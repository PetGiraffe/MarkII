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comments1.xml" ContentType="application/vnd.openxmlformats-officedocument.spreadsheetml.comments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2.xml" ContentType="application/vnd.openxmlformats-officedocument.drawing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750" yWindow="0" windowWidth="28800" windowHeight="11700" tabRatio="845" firstSheet="6" activeTab="21"/>
  </bookViews>
  <sheets>
    <sheet name="Individual Schedule" sheetId="23" r:id="rId1"/>
    <sheet name="RTA" sheetId="46" r:id="rId2"/>
    <sheet name="Summary" sheetId="26" r:id="rId3"/>
    <sheet name="Template" sheetId="29" state="hidden" r:id="rId4"/>
    <sheet name="Fri 03.20" sheetId="32" r:id="rId5"/>
    <sheet name="Sat 03.21" sheetId="30" r:id="rId6"/>
    <sheet name="Sun 03.22" sheetId="36" r:id="rId7"/>
    <sheet name="Mon 03.23" sheetId="35" r:id="rId8"/>
    <sheet name="Tue 03.24" sheetId="34" r:id="rId9"/>
    <sheet name="Wed 03.25" sheetId="31" r:id="rId10"/>
    <sheet name="Thu 03.26" sheetId="33" r:id="rId11"/>
    <sheet name="Fri 03.27" sheetId="42" r:id="rId12"/>
    <sheet name="Sat 03.28" sheetId="40" r:id="rId13"/>
    <sheet name="Sun 03.29" sheetId="38" r:id="rId14"/>
    <sheet name="Mon 03.30" sheetId="39" r:id="rId15"/>
    <sheet name="Tue 03.31" sheetId="37" r:id="rId16"/>
    <sheet name="Wed 04.01" sheetId="41" r:id="rId17"/>
    <sheet name="Thu 04.02" sheetId="43" r:id="rId18"/>
    <sheet name="Base Schedules" sheetId="55" r:id="rId19"/>
    <sheet name="Other Scheduled Events" sheetId="44" r:id="rId20"/>
    <sheet name="Schedule Data" sheetId="1" state="veryHidden" r:id="rId21"/>
    <sheet name="rpt tools" sheetId="3" r:id="rId22"/>
    <sheet name="Interview" sheetId="54" r:id="rId23"/>
    <sheet name="Project Time" sheetId="53" r:id="rId24"/>
  </sheets>
  <externalReferences>
    <externalReference r:id="rId25"/>
  </externalReferences>
  <definedNames>
    <definedName name="_xlnm._FilterDatabase" localSheetId="18" hidden="1">'Base Schedules'!$A$243:$AX$243</definedName>
    <definedName name="_xlnm._FilterDatabase" localSheetId="4" hidden="1">'Fri 03.20'!$B$3:$C$3</definedName>
    <definedName name="_xlnm._FilterDatabase" localSheetId="11" hidden="1">'Fri 03.27'!$B$8:$AY$49</definedName>
    <definedName name="_xlnm._FilterDatabase" localSheetId="7" hidden="1">'Mon 03.23'!$B$8:$AY$54</definedName>
    <definedName name="_xlnm._FilterDatabase" localSheetId="14" hidden="1">'Mon 03.30'!$B$8:$AY$59</definedName>
    <definedName name="_xlnm._FilterDatabase" localSheetId="19" hidden="1">'Other Scheduled Events'!$N$3:$V$25</definedName>
    <definedName name="_xlnm._FilterDatabase" localSheetId="23" hidden="1">'Project Time'!$B$1:$K$1125</definedName>
    <definedName name="_xlnm._FilterDatabase" localSheetId="21" hidden="1">'rpt tools'!$O$1:$P$48</definedName>
    <definedName name="_xlnm._FilterDatabase" localSheetId="1" hidden="1">RTA!$B$6:$J$76</definedName>
    <definedName name="_xlnm._FilterDatabase" localSheetId="5" hidden="1">'Sat 03.21'!$B$8:$AY$46</definedName>
    <definedName name="_xlnm._FilterDatabase" localSheetId="12" hidden="1">'Sat 03.28'!$B$8:$AY$46</definedName>
    <definedName name="_xlnm._FilterDatabase" localSheetId="6" hidden="1">'Sun 03.22'!$B$8:$AY$47</definedName>
    <definedName name="_xlnm._FilterDatabase" localSheetId="13" hidden="1">'Sun 03.29'!$B$8:$AY$48</definedName>
    <definedName name="_xlnm._FilterDatabase" localSheetId="3" hidden="1">Template!$B$8:$AY$79</definedName>
    <definedName name="_xlnm._FilterDatabase" localSheetId="10" hidden="1">'Thu 03.26'!$B$3:$C$3</definedName>
    <definedName name="_xlnm._FilterDatabase" localSheetId="17" hidden="1">'Thu 04.02'!$B$8:$AY$46</definedName>
    <definedName name="_xlnm._FilterDatabase" localSheetId="8" hidden="1">'Tue 03.24'!$B$8:$AY$55</definedName>
    <definedName name="_xlnm._FilterDatabase" localSheetId="15" hidden="1">'Tue 03.31'!$B$8:$AY$56</definedName>
    <definedName name="_xlnm._FilterDatabase" localSheetId="9" hidden="1">'Wed 03.25'!$B$3:$C$3</definedName>
    <definedName name="_xlnm._FilterDatabase" localSheetId="16" hidden="1">'Wed 04.01'!$B$8:$AY$56</definedName>
    <definedName name="Day_1">'rpt tools'!$C$2</definedName>
    <definedName name="Day_10">'rpt tools'!$C$11</definedName>
    <definedName name="Day_11">'rpt tools'!$C$12</definedName>
    <definedName name="Day_12">'rpt tools'!$C$13</definedName>
    <definedName name="Day_13">'rpt tools'!$C$14</definedName>
    <definedName name="Day_14">'rpt tools'!$C$15</definedName>
    <definedName name="Day_2">'rpt tools'!$C$3</definedName>
    <definedName name="Day_3">'rpt tools'!$C$4</definedName>
    <definedName name="Day_4">'rpt tools'!$C$5</definedName>
    <definedName name="Day_5">'rpt tools'!$C$6</definedName>
    <definedName name="Day_6">'rpt tools'!$C$7</definedName>
    <definedName name="Day_7">'rpt tools'!$C$8</definedName>
    <definedName name="Day_8">'rpt tools'!$C$9</definedName>
    <definedName name="Day_9">'rpt tools'!$C$10</definedName>
    <definedName name="_xlnm.Print_Area" localSheetId="0">'Individual Schedule'!$A$1:$Q$49</definedName>
  </definedNames>
  <calcPr calcId="162913"/>
</workbook>
</file>

<file path=xl/calcChain.xml><?xml version="1.0" encoding="utf-8"?>
<calcChain xmlns="http://schemas.openxmlformats.org/spreadsheetml/2006/main">
  <c r="H278" i="55" l="1"/>
  <c r="G278" i="55"/>
  <c r="F278" i="55"/>
  <c r="E278" i="55"/>
  <c r="H277" i="55"/>
  <c r="G277" i="55"/>
  <c r="F277" i="55"/>
  <c r="E277" i="55"/>
  <c r="H276" i="55"/>
  <c r="G276" i="55"/>
  <c r="F276" i="55"/>
  <c r="E276" i="55"/>
  <c r="H275" i="55"/>
  <c r="G275" i="55"/>
  <c r="F275" i="55"/>
  <c r="E275" i="55"/>
  <c r="H273" i="55"/>
  <c r="G273" i="55"/>
  <c r="F273" i="55"/>
  <c r="E273" i="55"/>
  <c r="H272" i="55"/>
  <c r="G272" i="55"/>
  <c r="F272" i="55"/>
  <c r="E272" i="55"/>
  <c r="H271" i="55"/>
  <c r="G271" i="55"/>
  <c r="F271" i="55"/>
  <c r="E271" i="55"/>
  <c r="H270" i="55"/>
  <c r="G270" i="55"/>
  <c r="F270" i="55"/>
  <c r="E270" i="55"/>
  <c r="H269" i="55"/>
  <c r="G269" i="55"/>
  <c r="F269" i="55"/>
  <c r="E269" i="55"/>
  <c r="H268" i="55"/>
  <c r="G268" i="55"/>
  <c r="F268" i="55"/>
  <c r="E268" i="55"/>
  <c r="H267" i="55"/>
  <c r="G267" i="55"/>
  <c r="F267" i="55"/>
  <c r="E267" i="55"/>
  <c r="H266" i="55"/>
  <c r="G266" i="55"/>
  <c r="F266" i="55"/>
  <c r="E266" i="55"/>
  <c r="H265" i="55"/>
  <c r="G265" i="55"/>
  <c r="F265" i="55"/>
  <c r="E265" i="55"/>
  <c r="H264" i="55"/>
  <c r="G264" i="55"/>
  <c r="F264" i="55"/>
  <c r="E264" i="55"/>
  <c r="H262" i="55"/>
  <c r="G262" i="55"/>
  <c r="F262" i="55"/>
  <c r="E262" i="55"/>
  <c r="H261" i="55"/>
  <c r="G261" i="55"/>
  <c r="F261" i="55"/>
  <c r="E261" i="55"/>
  <c r="H260" i="55"/>
  <c r="G260" i="55"/>
  <c r="F260" i="55"/>
  <c r="E260" i="55"/>
  <c r="H259" i="55"/>
  <c r="G259" i="55"/>
  <c r="F259" i="55"/>
  <c r="E259" i="55"/>
  <c r="H258" i="55"/>
  <c r="G258" i="55"/>
  <c r="F258" i="55"/>
  <c r="E258" i="55"/>
  <c r="H257" i="55"/>
  <c r="G257" i="55"/>
  <c r="F257" i="55"/>
  <c r="E257" i="55"/>
  <c r="H256" i="55"/>
  <c r="G256" i="55"/>
  <c r="F256" i="55"/>
  <c r="E256" i="55"/>
  <c r="H255" i="55"/>
  <c r="G255" i="55"/>
  <c r="F255" i="55"/>
  <c r="E255" i="55"/>
  <c r="H254" i="55"/>
  <c r="G254" i="55"/>
  <c r="F254" i="55"/>
  <c r="E254" i="55"/>
  <c r="H253" i="55"/>
  <c r="G253" i="55"/>
  <c r="F253" i="55"/>
  <c r="E253" i="55"/>
  <c r="H252" i="55"/>
  <c r="G252" i="55"/>
  <c r="F252" i="55"/>
  <c r="E252" i="55"/>
  <c r="H251" i="55"/>
  <c r="G251" i="55"/>
  <c r="F251" i="55"/>
  <c r="E251" i="55"/>
  <c r="H250" i="55"/>
  <c r="G250" i="55"/>
  <c r="F250" i="55"/>
  <c r="E250" i="55"/>
  <c r="H249" i="55"/>
  <c r="G249" i="55"/>
  <c r="F249" i="55"/>
  <c r="E249" i="55"/>
  <c r="H248" i="55"/>
  <c r="G248" i="55"/>
  <c r="F248" i="55"/>
  <c r="E248" i="55"/>
  <c r="H247" i="55"/>
  <c r="G247" i="55"/>
  <c r="F247" i="55"/>
  <c r="E247" i="55"/>
  <c r="H246" i="55"/>
  <c r="G246" i="55"/>
  <c r="F246" i="55"/>
  <c r="E246" i="55"/>
  <c r="H245" i="55"/>
  <c r="G245" i="55"/>
  <c r="F245" i="55"/>
  <c r="E245" i="55"/>
  <c r="H244" i="55"/>
  <c r="G244" i="55"/>
  <c r="F244" i="55"/>
  <c r="E244" i="55"/>
  <c r="H239" i="55"/>
  <c r="G239" i="55"/>
  <c r="F239" i="55"/>
  <c r="E239" i="55"/>
  <c r="H238" i="55"/>
  <c r="G238" i="55"/>
  <c r="F238" i="55"/>
  <c r="E238" i="55"/>
  <c r="H237" i="55"/>
  <c r="G237" i="55"/>
  <c r="F237" i="55"/>
  <c r="E237" i="55"/>
  <c r="H236" i="55"/>
  <c r="G236" i="55"/>
  <c r="F236" i="55"/>
  <c r="E236" i="55"/>
  <c r="H234" i="55"/>
  <c r="G234" i="55"/>
  <c r="F234" i="55"/>
  <c r="E234" i="55"/>
  <c r="H233" i="55"/>
  <c r="G233" i="55"/>
  <c r="F233" i="55"/>
  <c r="E233" i="55"/>
  <c r="H232" i="55"/>
  <c r="G232" i="55"/>
  <c r="F232" i="55"/>
  <c r="E232" i="55"/>
  <c r="H231" i="55"/>
  <c r="G231" i="55"/>
  <c r="F231" i="55"/>
  <c r="E231" i="55"/>
  <c r="H230" i="55"/>
  <c r="G230" i="55"/>
  <c r="F230" i="55"/>
  <c r="E230" i="55"/>
  <c r="H229" i="55"/>
  <c r="G229" i="55"/>
  <c r="F229" i="55"/>
  <c r="E229" i="55"/>
  <c r="H228" i="55"/>
  <c r="G228" i="55"/>
  <c r="F228" i="55"/>
  <c r="E228" i="55"/>
  <c r="H227" i="55"/>
  <c r="G227" i="55"/>
  <c r="F227" i="55"/>
  <c r="E227" i="55"/>
  <c r="H226" i="55"/>
  <c r="G226" i="55"/>
  <c r="F226" i="55"/>
  <c r="E226" i="55"/>
  <c r="H225" i="55"/>
  <c r="G225" i="55"/>
  <c r="F225" i="55"/>
  <c r="E225" i="55"/>
  <c r="H223" i="55"/>
  <c r="G223" i="55"/>
  <c r="F223" i="55"/>
  <c r="E223" i="55"/>
  <c r="H222" i="55"/>
  <c r="G222" i="55"/>
  <c r="F222" i="55"/>
  <c r="E222" i="55"/>
  <c r="H221" i="55"/>
  <c r="G221" i="55"/>
  <c r="F221" i="55"/>
  <c r="E221" i="55"/>
  <c r="H220" i="55"/>
  <c r="G220" i="55"/>
  <c r="F220" i="55"/>
  <c r="E220" i="55"/>
  <c r="H219" i="55"/>
  <c r="G219" i="55"/>
  <c r="F219" i="55"/>
  <c r="E219" i="55"/>
  <c r="H218" i="55"/>
  <c r="G218" i="55"/>
  <c r="F218" i="55"/>
  <c r="E218" i="55"/>
  <c r="H217" i="55"/>
  <c r="G217" i="55"/>
  <c r="F217" i="55"/>
  <c r="E217" i="55"/>
  <c r="H216" i="55"/>
  <c r="G216" i="55"/>
  <c r="F216" i="55"/>
  <c r="E216" i="55"/>
  <c r="H215" i="55"/>
  <c r="G215" i="55"/>
  <c r="F215" i="55"/>
  <c r="E215" i="55"/>
  <c r="H214" i="55"/>
  <c r="G214" i="55"/>
  <c r="F214" i="55"/>
  <c r="E214" i="55"/>
  <c r="H213" i="55"/>
  <c r="G213" i="55"/>
  <c r="F213" i="55"/>
  <c r="E213" i="55"/>
  <c r="H212" i="55"/>
  <c r="G212" i="55"/>
  <c r="F212" i="55"/>
  <c r="E212" i="55"/>
  <c r="H211" i="55"/>
  <c r="G211" i="55"/>
  <c r="F211" i="55"/>
  <c r="E211" i="55"/>
  <c r="H210" i="55"/>
  <c r="G210" i="55"/>
  <c r="F210" i="55"/>
  <c r="E210" i="55"/>
  <c r="H209" i="55"/>
  <c r="G209" i="55"/>
  <c r="F209" i="55"/>
  <c r="E209" i="55"/>
  <c r="H208" i="55"/>
  <c r="G208" i="55"/>
  <c r="F208" i="55"/>
  <c r="E208" i="55"/>
  <c r="H207" i="55"/>
  <c r="G207" i="55"/>
  <c r="F207" i="55"/>
  <c r="E207" i="55"/>
  <c r="H206" i="55"/>
  <c r="G206" i="55"/>
  <c r="F206" i="55"/>
  <c r="E206" i="55"/>
  <c r="H200" i="55"/>
  <c r="G200" i="55"/>
  <c r="F200" i="55"/>
  <c r="E200" i="55"/>
  <c r="H199" i="55"/>
  <c r="G199" i="55"/>
  <c r="F199" i="55"/>
  <c r="E199" i="55"/>
  <c r="H198" i="55"/>
  <c r="G198" i="55"/>
  <c r="F198" i="55"/>
  <c r="E198" i="55"/>
  <c r="H197" i="55"/>
  <c r="G197" i="55"/>
  <c r="F197" i="55"/>
  <c r="E197" i="55"/>
  <c r="H196" i="55"/>
  <c r="G196" i="55"/>
  <c r="F196" i="55"/>
  <c r="E196" i="55"/>
  <c r="H195" i="55"/>
  <c r="G195" i="55"/>
  <c r="F195" i="55"/>
  <c r="E195" i="55"/>
  <c r="H194" i="55"/>
  <c r="G194" i="55"/>
  <c r="F194" i="55"/>
  <c r="E194" i="55"/>
  <c r="H192" i="55"/>
  <c r="G192" i="55"/>
  <c r="F192" i="55"/>
  <c r="E192" i="55"/>
  <c r="H191" i="55"/>
  <c r="G191" i="55"/>
  <c r="F191" i="55"/>
  <c r="E191" i="55"/>
  <c r="H190" i="55"/>
  <c r="G190" i="55"/>
  <c r="F190" i="55"/>
  <c r="E190" i="55"/>
  <c r="H189" i="55"/>
  <c r="G189" i="55"/>
  <c r="F189" i="55"/>
  <c r="E189" i="55"/>
  <c r="H188" i="55"/>
  <c r="G188" i="55"/>
  <c r="F188" i="55"/>
  <c r="E188" i="55"/>
  <c r="H187" i="55"/>
  <c r="G187" i="55"/>
  <c r="F187" i="55"/>
  <c r="E187" i="55"/>
  <c r="H186" i="55"/>
  <c r="G186" i="55"/>
  <c r="F186" i="55"/>
  <c r="E186" i="55"/>
  <c r="H185" i="55"/>
  <c r="G185" i="55"/>
  <c r="F185" i="55"/>
  <c r="E185" i="55"/>
  <c r="H184" i="55"/>
  <c r="G184" i="55"/>
  <c r="F184" i="55"/>
  <c r="E184" i="55"/>
  <c r="H183" i="55"/>
  <c r="G183" i="55"/>
  <c r="F183" i="55"/>
  <c r="E183" i="55"/>
  <c r="H181" i="55"/>
  <c r="G181" i="55"/>
  <c r="F181" i="55"/>
  <c r="E181" i="55"/>
  <c r="H180" i="55"/>
  <c r="G180" i="55"/>
  <c r="F180" i="55"/>
  <c r="E180" i="55"/>
  <c r="H179" i="55"/>
  <c r="G179" i="55"/>
  <c r="F179" i="55"/>
  <c r="E179" i="55"/>
  <c r="H178" i="55"/>
  <c r="G178" i="55"/>
  <c r="F178" i="55"/>
  <c r="E178" i="55"/>
  <c r="H177" i="55"/>
  <c r="G177" i="55"/>
  <c r="F177" i="55"/>
  <c r="E177" i="55"/>
  <c r="H176" i="55"/>
  <c r="G176" i="55"/>
  <c r="F176" i="55"/>
  <c r="E176" i="55"/>
  <c r="H175" i="55"/>
  <c r="G175" i="55"/>
  <c r="F175" i="55"/>
  <c r="E175" i="55"/>
  <c r="H174" i="55"/>
  <c r="G174" i="55"/>
  <c r="F174" i="55"/>
  <c r="E174" i="55"/>
  <c r="H173" i="55"/>
  <c r="G173" i="55"/>
  <c r="F173" i="55"/>
  <c r="E173" i="55"/>
  <c r="H172" i="55"/>
  <c r="G172" i="55"/>
  <c r="F172" i="55"/>
  <c r="E172" i="55"/>
  <c r="H171" i="55"/>
  <c r="G171" i="55"/>
  <c r="F171" i="55"/>
  <c r="E171" i="55"/>
  <c r="H170" i="55"/>
  <c r="G170" i="55"/>
  <c r="F170" i="55"/>
  <c r="E170" i="55"/>
  <c r="H169" i="55"/>
  <c r="G169" i="55"/>
  <c r="F169" i="55"/>
  <c r="E169" i="55"/>
  <c r="H168" i="55"/>
  <c r="G168" i="55"/>
  <c r="F168" i="55"/>
  <c r="E168" i="55"/>
  <c r="H167" i="55"/>
  <c r="G167" i="55"/>
  <c r="F167" i="55"/>
  <c r="E167" i="55"/>
  <c r="H166" i="55"/>
  <c r="G166" i="55"/>
  <c r="F166" i="55"/>
  <c r="E166" i="55"/>
  <c r="H165" i="55"/>
  <c r="G165" i="55"/>
  <c r="F165" i="55"/>
  <c r="E165" i="55"/>
  <c r="H164" i="55"/>
  <c r="G164" i="55"/>
  <c r="F164" i="55"/>
  <c r="E164" i="55"/>
  <c r="H163" i="55"/>
  <c r="G163" i="55"/>
  <c r="F163" i="55"/>
  <c r="E163" i="55"/>
  <c r="H162" i="55"/>
  <c r="G162" i="55"/>
  <c r="F162" i="55"/>
  <c r="E162" i="55"/>
  <c r="H161" i="55"/>
  <c r="G161" i="55"/>
  <c r="F161" i="55"/>
  <c r="E161" i="55"/>
  <c r="H153" i="55"/>
  <c r="G153" i="55"/>
  <c r="F153" i="55"/>
  <c r="E153" i="55"/>
  <c r="H152" i="55"/>
  <c r="G152" i="55"/>
  <c r="F152" i="55"/>
  <c r="E152" i="55"/>
  <c r="H151" i="55"/>
  <c r="G151" i="55"/>
  <c r="F151" i="55"/>
  <c r="E151" i="55"/>
  <c r="H150" i="55"/>
  <c r="G150" i="55"/>
  <c r="F150" i="55"/>
  <c r="E150" i="55"/>
  <c r="H149" i="55"/>
  <c r="G149" i="55"/>
  <c r="F149" i="55"/>
  <c r="E149" i="55"/>
  <c r="H147" i="55"/>
  <c r="G147" i="55"/>
  <c r="F147" i="55"/>
  <c r="E147" i="55"/>
  <c r="H146" i="55"/>
  <c r="G146" i="55"/>
  <c r="F146" i="55"/>
  <c r="E146" i="55"/>
  <c r="H145" i="55"/>
  <c r="G145" i="55"/>
  <c r="F145" i="55"/>
  <c r="E145" i="55"/>
  <c r="H144" i="55"/>
  <c r="G144" i="55"/>
  <c r="F144" i="55"/>
  <c r="E144" i="55"/>
  <c r="H143" i="55"/>
  <c r="G143" i="55"/>
  <c r="F143" i="55"/>
  <c r="E143" i="55"/>
  <c r="H142" i="55"/>
  <c r="G142" i="55"/>
  <c r="F142" i="55"/>
  <c r="E142" i="55"/>
  <c r="H141" i="55"/>
  <c r="G141" i="55"/>
  <c r="F141" i="55"/>
  <c r="E141" i="55"/>
  <c r="H140" i="55"/>
  <c r="G140" i="55"/>
  <c r="F140" i="55"/>
  <c r="E140" i="55"/>
  <c r="H139" i="55"/>
  <c r="G139" i="55"/>
  <c r="F139" i="55"/>
  <c r="E139" i="55"/>
  <c r="H138" i="55"/>
  <c r="G138" i="55"/>
  <c r="F138" i="55"/>
  <c r="E138" i="55"/>
  <c r="H137" i="55"/>
  <c r="G137" i="55"/>
  <c r="F137" i="55"/>
  <c r="E137" i="55"/>
  <c r="H136" i="55"/>
  <c r="G136" i="55"/>
  <c r="F136" i="55"/>
  <c r="E136" i="55"/>
  <c r="H135" i="55"/>
  <c r="G135" i="55"/>
  <c r="F135" i="55"/>
  <c r="E135" i="55"/>
  <c r="H134" i="55"/>
  <c r="G134" i="55"/>
  <c r="F134" i="55"/>
  <c r="E134" i="55"/>
  <c r="H133" i="55"/>
  <c r="G133" i="55"/>
  <c r="F133" i="55"/>
  <c r="E133" i="55"/>
  <c r="H132" i="55"/>
  <c r="G132" i="55"/>
  <c r="F132" i="55"/>
  <c r="E132" i="55"/>
  <c r="H131" i="55"/>
  <c r="G131" i="55"/>
  <c r="F131" i="55"/>
  <c r="E131" i="55"/>
  <c r="H130" i="55"/>
  <c r="G130" i="55"/>
  <c r="F130" i="55"/>
  <c r="E130" i="55"/>
  <c r="H129" i="55"/>
  <c r="G129" i="55"/>
  <c r="F129" i="55"/>
  <c r="E129" i="55"/>
  <c r="H128" i="55"/>
  <c r="G128" i="55"/>
  <c r="F128" i="55"/>
  <c r="E128" i="55"/>
  <c r="H127" i="55"/>
  <c r="G127" i="55"/>
  <c r="F127" i="55"/>
  <c r="E127" i="55"/>
  <c r="H126" i="55"/>
  <c r="G126" i="55"/>
  <c r="F126" i="55"/>
  <c r="E126" i="55"/>
  <c r="H125" i="55"/>
  <c r="G125" i="55"/>
  <c r="F125" i="55"/>
  <c r="E125" i="55"/>
  <c r="H124" i="55"/>
  <c r="G124" i="55"/>
  <c r="F124" i="55"/>
  <c r="E124" i="55"/>
  <c r="H123" i="55"/>
  <c r="G123" i="55"/>
  <c r="F123" i="55"/>
  <c r="E123" i="55"/>
  <c r="H122" i="55"/>
  <c r="G122" i="55"/>
  <c r="F122" i="55"/>
  <c r="E122" i="55"/>
  <c r="H121" i="55"/>
  <c r="G121" i="55"/>
  <c r="F121" i="55"/>
  <c r="E121" i="55"/>
  <c r="H120" i="55"/>
  <c r="G120" i="55"/>
  <c r="F120" i="55"/>
  <c r="E120" i="55"/>
  <c r="H119" i="55"/>
  <c r="G119" i="55"/>
  <c r="F119" i="55"/>
  <c r="E119" i="55"/>
  <c r="H118" i="55"/>
  <c r="G118" i="55"/>
  <c r="F118" i="55"/>
  <c r="E118" i="55"/>
  <c r="H117" i="55"/>
  <c r="G117" i="55"/>
  <c r="F117" i="55"/>
  <c r="E117" i="55"/>
  <c r="H116" i="55"/>
  <c r="G116" i="55"/>
  <c r="F116" i="55"/>
  <c r="E116" i="55"/>
  <c r="H115" i="55"/>
  <c r="G115" i="55"/>
  <c r="F115" i="55"/>
  <c r="E115" i="55"/>
  <c r="H114" i="55"/>
  <c r="G114" i="55"/>
  <c r="F114" i="55"/>
  <c r="E114" i="55"/>
  <c r="H103" i="55"/>
  <c r="G103" i="55"/>
  <c r="F103" i="55"/>
  <c r="E103" i="55"/>
  <c r="H102" i="55"/>
  <c r="G102" i="55"/>
  <c r="F102" i="55"/>
  <c r="E102" i="55"/>
  <c r="H101" i="55"/>
  <c r="G101" i="55"/>
  <c r="F101" i="55"/>
  <c r="E101" i="55"/>
  <c r="H100" i="55"/>
  <c r="G100" i="55"/>
  <c r="F100" i="55"/>
  <c r="E100" i="55"/>
  <c r="H99" i="55"/>
  <c r="G99" i="55"/>
  <c r="F99" i="55"/>
  <c r="E99" i="55"/>
  <c r="H98" i="55"/>
  <c r="G98" i="55"/>
  <c r="F98" i="55"/>
  <c r="E98" i="55"/>
  <c r="H97" i="55"/>
  <c r="G97" i="55"/>
  <c r="F97" i="55"/>
  <c r="E97" i="55"/>
  <c r="H96" i="55"/>
  <c r="G96" i="55"/>
  <c r="F96" i="55"/>
  <c r="E96" i="55"/>
  <c r="H95" i="55"/>
  <c r="G95" i="55"/>
  <c r="F95" i="55"/>
  <c r="E95" i="55"/>
  <c r="H94" i="55"/>
  <c r="G94" i="55"/>
  <c r="F94" i="55"/>
  <c r="E94" i="55"/>
  <c r="H93" i="55"/>
  <c r="G93" i="55"/>
  <c r="F93" i="55"/>
  <c r="E93" i="55"/>
  <c r="H92" i="55"/>
  <c r="G92" i="55"/>
  <c r="F92" i="55"/>
  <c r="E92" i="55"/>
  <c r="H91" i="55"/>
  <c r="G91" i="55"/>
  <c r="F91" i="55"/>
  <c r="E91" i="55"/>
  <c r="H90" i="55"/>
  <c r="G90" i="55"/>
  <c r="F90" i="55"/>
  <c r="E90" i="55"/>
  <c r="H89" i="55"/>
  <c r="G89" i="55"/>
  <c r="F89" i="55"/>
  <c r="E89" i="55"/>
  <c r="H88" i="55"/>
  <c r="G88" i="55"/>
  <c r="F88" i="55"/>
  <c r="E88" i="55"/>
  <c r="H87" i="55"/>
  <c r="G87" i="55"/>
  <c r="F87" i="55"/>
  <c r="E87" i="55"/>
  <c r="H86" i="55"/>
  <c r="G86" i="55"/>
  <c r="F86" i="55"/>
  <c r="E86" i="55"/>
  <c r="H85" i="55"/>
  <c r="G85" i="55"/>
  <c r="F85" i="55"/>
  <c r="E85" i="55"/>
  <c r="H84" i="55"/>
  <c r="G84" i="55"/>
  <c r="F84" i="55"/>
  <c r="E84" i="55"/>
  <c r="H83" i="55"/>
  <c r="G83" i="55"/>
  <c r="F83" i="55"/>
  <c r="E83" i="55"/>
  <c r="H82" i="55"/>
  <c r="G82" i="55"/>
  <c r="F82" i="55"/>
  <c r="E82" i="55"/>
  <c r="H81" i="55"/>
  <c r="G81" i="55"/>
  <c r="F81" i="55"/>
  <c r="E81" i="55"/>
  <c r="H80" i="55"/>
  <c r="G80" i="55"/>
  <c r="F80" i="55"/>
  <c r="E80" i="55"/>
  <c r="H74" i="55"/>
  <c r="G74" i="55"/>
  <c r="F74" i="55"/>
  <c r="E74" i="55"/>
  <c r="H73" i="55"/>
  <c r="G73" i="55"/>
  <c r="F73" i="55"/>
  <c r="E73" i="55"/>
  <c r="H72" i="55"/>
  <c r="G72" i="55"/>
  <c r="F72" i="55"/>
  <c r="E72" i="55"/>
  <c r="H71" i="55"/>
  <c r="G71" i="55"/>
  <c r="F71" i="55"/>
  <c r="E71" i="55"/>
  <c r="H70" i="55"/>
  <c r="G70" i="55"/>
  <c r="F70" i="55"/>
  <c r="E70" i="55"/>
  <c r="H69" i="55"/>
  <c r="G69" i="55"/>
  <c r="F69" i="55"/>
  <c r="E69" i="55"/>
  <c r="H68" i="55"/>
  <c r="G68" i="55"/>
  <c r="F68" i="55"/>
  <c r="E68" i="55"/>
  <c r="H67" i="55"/>
  <c r="G67" i="55"/>
  <c r="F67" i="55"/>
  <c r="E67" i="55"/>
  <c r="H66" i="55"/>
  <c r="G66" i="55"/>
  <c r="F66" i="55"/>
  <c r="E66" i="55"/>
  <c r="H65" i="55"/>
  <c r="G65" i="55"/>
  <c r="F65" i="55"/>
  <c r="E65" i="55"/>
  <c r="H64" i="55"/>
  <c r="G64" i="55"/>
  <c r="F64" i="55"/>
  <c r="E64" i="55"/>
  <c r="H63" i="55"/>
  <c r="G63" i="55"/>
  <c r="F63" i="55"/>
  <c r="E63" i="55"/>
  <c r="H62" i="55"/>
  <c r="G62" i="55"/>
  <c r="F62" i="55"/>
  <c r="E62" i="55"/>
  <c r="H61" i="55"/>
  <c r="G61" i="55"/>
  <c r="F61" i="55"/>
  <c r="E61" i="55"/>
  <c r="H60" i="55"/>
  <c r="G60" i="55"/>
  <c r="F60" i="55"/>
  <c r="E60" i="55"/>
  <c r="H59" i="55"/>
  <c r="G59" i="55"/>
  <c r="F59" i="55"/>
  <c r="E59" i="55"/>
  <c r="H58" i="55"/>
  <c r="G58" i="55"/>
  <c r="F58" i="55"/>
  <c r="E58" i="55"/>
  <c r="H57" i="55"/>
  <c r="G57" i="55"/>
  <c r="F57" i="55"/>
  <c r="E57" i="55"/>
  <c r="H56" i="55"/>
  <c r="G56" i="55"/>
  <c r="F56" i="55"/>
  <c r="E56" i="55"/>
  <c r="H55" i="55"/>
  <c r="G55" i="55"/>
  <c r="F55" i="55"/>
  <c r="E55" i="55"/>
  <c r="H54" i="55"/>
  <c r="G54" i="55"/>
  <c r="F54" i="55"/>
  <c r="E54" i="55"/>
  <c r="H53" i="55"/>
  <c r="G53" i="55"/>
  <c r="F53" i="55"/>
  <c r="E53" i="55"/>
  <c r="H52" i="55"/>
  <c r="G52" i="55"/>
  <c r="F52" i="55"/>
  <c r="E52" i="55"/>
  <c r="H51" i="55"/>
  <c r="G51" i="55"/>
  <c r="F51" i="55"/>
  <c r="E51" i="55"/>
  <c r="H50" i="55"/>
  <c r="G50" i="55"/>
  <c r="F50" i="55"/>
  <c r="E50" i="55"/>
  <c r="H49" i="55"/>
  <c r="G49" i="55"/>
  <c r="F49" i="55"/>
  <c r="E49" i="55"/>
  <c r="H48" i="55"/>
  <c r="G48" i="55"/>
  <c r="F48" i="55"/>
  <c r="E48" i="55"/>
  <c r="H47" i="55"/>
  <c r="G47" i="55"/>
  <c r="F47" i="55"/>
  <c r="E47" i="55"/>
  <c r="H39" i="55"/>
  <c r="G39" i="55"/>
  <c r="F39" i="55"/>
  <c r="E39" i="55"/>
  <c r="H38" i="55"/>
  <c r="G38" i="55"/>
  <c r="F38" i="55"/>
  <c r="E38" i="55"/>
  <c r="H36" i="55"/>
  <c r="G36" i="55"/>
  <c r="F36" i="55"/>
  <c r="E36" i="55"/>
  <c r="H35" i="55"/>
  <c r="G35" i="55"/>
  <c r="F35" i="55"/>
  <c r="E35" i="55"/>
  <c r="H34" i="55"/>
  <c r="G34" i="55"/>
  <c r="F34" i="55"/>
  <c r="E34" i="55"/>
  <c r="H33" i="55"/>
  <c r="G33" i="55"/>
  <c r="F33" i="55"/>
  <c r="E33" i="55"/>
  <c r="H32" i="55"/>
  <c r="G32" i="55"/>
  <c r="F32" i="55"/>
  <c r="E32" i="55"/>
  <c r="H31" i="55"/>
  <c r="G31" i="55"/>
  <c r="F31" i="55"/>
  <c r="E31" i="55"/>
  <c r="H30" i="55"/>
  <c r="G30" i="55"/>
  <c r="F30" i="55"/>
  <c r="E30" i="55"/>
  <c r="H29" i="55"/>
  <c r="G29" i="55"/>
  <c r="F29" i="55"/>
  <c r="E29" i="55"/>
  <c r="H28" i="55"/>
  <c r="G28" i="55"/>
  <c r="F28" i="55"/>
  <c r="E28" i="55"/>
  <c r="H27" i="55"/>
  <c r="G27" i="55"/>
  <c r="F27" i="55"/>
  <c r="E27" i="55"/>
  <c r="H26" i="55"/>
  <c r="G26" i="55"/>
  <c r="F26" i="55"/>
  <c r="E26" i="55"/>
  <c r="H25" i="55"/>
  <c r="G25" i="55"/>
  <c r="F25" i="55"/>
  <c r="E25" i="55"/>
  <c r="H23" i="55"/>
  <c r="G23" i="55"/>
  <c r="F23" i="55"/>
  <c r="E23" i="55"/>
  <c r="H22" i="55"/>
  <c r="G22" i="55"/>
  <c r="F22" i="55"/>
  <c r="E22" i="55"/>
  <c r="H21" i="55"/>
  <c r="G21" i="55"/>
  <c r="F21" i="55"/>
  <c r="E21" i="55"/>
  <c r="H20" i="55"/>
  <c r="G20" i="55"/>
  <c r="F20" i="55"/>
  <c r="E20" i="55"/>
  <c r="H19" i="55"/>
  <c r="G19" i="55"/>
  <c r="F19" i="55"/>
  <c r="E19" i="55"/>
  <c r="H18" i="55"/>
  <c r="G18" i="55"/>
  <c r="F18" i="55"/>
  <c r="E18" i="55"/>
  <c r="H17" i="55"/>
  <c r="G17" i="55"/>
  <c r="F17" i="55"/>
  <c r="E17" i="55"/>
  <c r="H16" i="55"/>
  <c r="G16" i="55"/>
  <c r="F16" i="55"/>
  <c r="E16" i="55"/>
  <c r="H15" i="55"/>
  <c r="G15" i="55"/>
  <c r="F15" i="55"/>
  <c r="E15" i="55"/>
  <c r="H14" i="55"/>
  <c r="G14" i="55"/>
  <c r="F14" i="55"/>
  <c r="E14" i="55"/>
  <c r="H13" i="55"/>
  <c r="G13" i="55"/>
  <c r="F13" i="55"/>
  <c r="E13" i="55"/>
  <c r="H12" i="55"/>
  <c r="G12" i="55"/>
  <c r="F12" i="55"/>
  <c r="E12" i="55"/>
  <c r="H11" i="55"/>
  <c r="G11" i="55"/>
  <c r="F11" i="55"/>
  <c r="E11" i="55"/>
  <c r="H10" i="55"/>
  <c r="G10" i="55"/>
  <c r="F10" i="55"/>
  <c r="E10" i="55"/>
  <c r="H9" i="55"/>
  <c r="G9" i="55"/>
  <c r="F9" i="55"/>
  <c r="E9" i="55"/>
  <c r="H8" i="55"/>
  <c r="G8" i="55"/>
  <c r="F8" i="55"/>
  <c r="E8" i="55"/>
  <c r="H7" i="55"/>
  <c r="G7" i="55"/>
  <c r="F7" i="55"/>
  <c r="E7" i="55"/>
  <c r="H6" i="55"/>
  <c r="G6" i="55"/>
  <c r="F6" i="55"/>
  <c r="E6" i="55"/>
  <c r="H5" i="55"/>
  <c r="G5" i="55"/>
  <c r="F5" i="55"/>
  <c r="E5" i="55"/>
  <c r="H4" i="55"/>
  <c r="G4" i="55"/>
  <c r="F4" i="55"/>
  <c r="E4" i="55"/>
  <c r="H3" i="55"/>
  <c r="G3" i="55"/>
  <c r="F3" i="55"/>
  <c r="E3" i="55"/>
  <c r="H2" i="55"/>
  <c r="G2" i="55"/>
  <c r="F2" i="55"/>
  <c r="E2" i="55"/>
  <c r="E40" i="55" l="1"/>
  <c r="F40" i="55"/>
  <c r="G40" i="55"/>
  <c r="H40" i="55"/>
  <c r="K48" i="40" l="1"/>
  <c r="L48" i="40"/>
  <c r="M48" i="40"/>
  <c r="N48" i="40"/>
  <c r="O48" i="40"/>
  <c r="P48" i="40"/>
  <c r="Q48" i="40"/>
  <c r="R48" i="40"/>
  <c r="S48" i="40"/>
  <c r="T48" i="40"/>
  <c r="U48" i="40"/>
  <c r="V48" i="40"/>
  <c r="W48" i="40"/>
  <c r="X48" i="40"/>
  <c r="Y48" i="40"/>
  <c r="Z48" i="40"/>
  <c r="AA48" i="40"/>
  <c r="AB48" i="40"/>
  <c r="AC48" i="40"/>
  <c r="AD48" i="40"/>
  <c r="AE48" i="40"/>
  <c r="AF48" i="40"/>
  <c r="AG48" i="40"/>
  <c r="AH48" i="40"/>
  <c r="AI48" i="40"/>
  <c r="AJ48" i="40"/>
  <c r="AK48" i="40"/>
  <c r="AL48" i="40"/>
  <c r="AM48" i="40"/>
  <c r="AN48" i="40"/>
  <c r="AO48" i="40"/>
  <c r="AP48" i="40"/>
  <c r="AQ48" i="40"/>
  <c r="AR48" i="40"/>
  <c r="AS48" i="40"/>
  <c r="AT48" i="40"/>
  <c r="AU48" i="40"/>
  <c r="AV48" i="40"/>
  <c r="AW48" i="40"/>
  <c r="AX48" i="40"/>
  <c r="J48" i="40"/>
  <c r="AW52" i="30"/>
  <c r="AW53" i="30" s="1"/>
  <c r="AS52" i="30"/>
  <c r="AS53" i="30" s="1"/>
  <c r="AO52" i="30"/>
  <c r="AO53" i="30" s="1"/>
  <c r="AK52" i="30"/>
  <c r="AK53" i="30" s="1"/>
  <c r="AC52" i="30"/>
  <c r="AC53" i="30" s="1"/>
  <c r="Y52" i="30"/>
  <c r="Y53" i="30" s="1"/>
  <c r="U52" i="30"/>
  <c r="U53" i="30" s="1"/>
  <c r="Q52" i="30"/>
  <c r="Q53" i="30" s="1"/>
  <c r="M52" i="30"/>
  <c r="M53" i="30" s="1"/>
  <c r="J52" i="30"/>
  <c r="J53" i="30" s="1"/>
  <c r="L62" i="33"/>
  <c r="L63" i="33" s="1"/>
  <c r="L60" i="31"/>
  <c r="L61" i="31" s="1"/>
  <c r="K61" i="34"/>
  <c r="K62" i="34" s="1"/>
  <c r="L61" i="34"/>
  <c r="L62" i="34" s="1"/>
  <c r="M61" i="34"/>
  <c r="M62" i="34" s="1"/>
  <c r="N61" i="34"/>
  <c r="N62" i="34" s="1"/>
  <c r="O61" i="34"/>
  <c r="O62" i="34" s="1"/>
  <c r="P61" i="34"/>
  <c r="P62" i="34" s="1"/>
  <c r="Q61" i="34"/>
  <c r="Q62" i="34" s="1"/>
  <c r="R61" i="34"/>
  <c r="R62" i="34" s="1"/>
  <c r="S61" i="34"/>
  <c r="S62" i="34" s="1"/>
  <c r="T61" i="34"/>
  <c r="T62" i="34" s="1"/>
  <c r="U61" i="34"/>
  <c r="U62" i="34" s="1"/>
  <c r="V61" i="34"/>
  <c r="V62" i="34" s="1"/>
  <c r="W61" i="34"/>
  <c r="W62" i="34" s="1"/>
  <c r="X61" i="34"/>
  <c r="X62" i="34" s="1"/>
  <c r="Y61" i="34"/>
  <c r="Y62" i="34" s="1"/>
  <c r="Z61" i="34"/>
  <c r="Z62" i="34" s="1"/>
  <c r="AA61" i="34"/>
  <c r="AA62" i="34" s="1"/>
  <c r="AB61" i="34"/>
  <c r="AB62" i="34" s="1"/>
  <c r="AC61" i="34"/>
  <c r="AC62" i="34" s="1"/>
  <c r="AD61" i="34"/>
  <c r="AD62" i="34" s="1"/>
  <c r="AE61" i="34"/>
  <c r="AE62" i="34" s="1"/>
  <c r="AG61" i="34"/>
  <c r="AG62" i="34" s="1"/>
  <c r="AH61" i="34"/>
  <c r="AH62" i="34" s="1"/>
  <c r="AI61" i="34"/>
  <c r="AI62" i="34" s="1"/>
  <c r="AJ61" i="34"/>
  <c r="AJ62" i="34" s="1"/>
  <c r="AK61" i="34"/>
  <c r="AK62" i="34" s="1"/>
  <c r="AL61" i="34"/>
  <c r="AL62" i="34" s="1"/>
  <c r="AM61" i="34"/>
  <c r="AM62" i="34" s="1"/>
  <c r="AN61" i="34"/>
  <c r="AN62" i="34" s="1"/>
  <c r="AQ61" i="34"/>
  <c r="AQ62" i="34" s="1"/>
  <c r="AR61" i="34"/>
  <c r="AR62" i="34" s="1"/>
  <c r="AS61" i="34"/>
  <c r="AS62" i="34" s="1"/>
  <c r="AT61" i="34"/>
  <c r="AT62" i="34" s="1"/>
  <c r="AU61" i="34"/>
  <c r="AU62" i="34" s="1"/>
  <c r="AV61" i="34"/>
  <c r="AV62" i="34" s="1"/>
  <c r="AW61" i="34"/>
  <c r="AW62" i="34" s="1"/>
  <c r="J61" i="34"/>
  <c r="J62" i="34" s="1"/>
  <c r="K60" i="35"/>
  <c r="K61" i="35" s="1"/>
  <c r="L60" i="35"/>
  <c r="L61" i="35" s="1"/>
  <c r="M60" i="35"/>
  <c r="M61" i="35" s="1"/>
  <c r="N60" i="35"/>
  <c r="N61" i="35" s="1"/>
  <c r="O60" i="35"/>
  <c r="O61" i="35" s="1"/>
  <c r="P60" i="35"/>
  <c r="P61" i="35" s="1"/>
  <c r="Q60" i="35"/>
  <c r="Q61" i="35" s="1"/>
  <c r="R60" i="35"/>
  <c r="R61" i="35" s="1"/>
  <c r="S60" i="35"/>
  <c r="S61" i="35" s="1"/>
  <c r="T60" i="35"/>
  <c r="T61" i="35" s="1"/>
  <c r="U60" i="35"/>
  <c r="U61" i="35" s="1"/>
  <c r="V60" i="35"/>
  <c r="V61" i="35" s="1"/>
  <c r="W60" i="35"/>
  <c r="W61" i="35" s="1"/>
  <c r="X60" i="35"/>
  <c r="X61" i="35" s="1"/>
  <c r="Y60" i="35"/>
  <c r="Y61" i="35" s="1"/>
  <c r="Z60" i="35"/>
  <c r="Z61" i="35" s="1"/>
  <c r="AA60" i="35"/>
  <c r="AA61" i="35" s="1"/>
  <c r="AL60" i="35"/>
  <c r="AL61" i="35" s="1"/>
  <c r="AD60" i="35"/>
  <c r="AD61" i="35" s="1"/>
  <c r="AE60" i="35"/>
  <c r="AE61" i="35" s="1"/>
  <c r="AF60" i="35"/>
  <c r="AF61" i="35" s="1"/>
  <c r="AG60" i="35"/>
  <c r="AG61" i="35" s="1"/>
  <c r="AH60" i="35"/>
  <c r="AH61" i="35" s="1"/>
  <c r="AI60" i="35"/>
  <c r="AI61" i="35" s="1"/>
  <c r="AJ60" i="35"/>
  <c r="AJ61" i="35" s="1"/>
  <c r="AK60" i="35"/>
  <c r="AK61" i="35" s="1"/>
  <c r="AN60" i="35"/>
  <c r="AN61" i="35" s="1"/>
  <c r="AO60" i="35"/>
  <c r="AO61" i="35" s="1"/>
  <c r="AP60" i="35"/>
  <c r="AP61" i="35" s="1"/>
  <c r="AQ60" i="35"/>
  <c r="AQ61" i="35" s="1"/>
  <c r="AR60" i="35"/>
  <c r="AR61" i="35" s="1"/>
  <c r="AS60" i="35"/>
  <c r="AS61" i="35" s="1"/>
  <c r="AT60" i="35"/>
  <c r="AT61" i="35" s="1"/>
  <c r="AU60" i="35"/>
  <c r="AU61" i="35" s="1"/>
  <c r="AV60" i="35"/>
  <c r="AV61" i="35" s="1"/>
  <c r="AW60" i="35"/>
  <c r="AW61" i="35" s="1"/>
  <c r="J60" i="35"/>
  <c r="J61" i="35" s="1"/>
  <c r="K52" i="36"/>
  <c r="K53" i="36" s="1"/>
  <c r="L52" i="36"/>
  <c r="L53" i="36" s="1"/>
  <c r="M52" i="36"/>
  <c r="M53" i="36" s="1"/>
  <c r="N52" i="36"/>
  <c r="N53" i="36" s="1"/>
  <c r="O52" i="36"/>
  <c r="O53" i="36" s="1"/>
  <c r="P52" i="36"/>
  <c r="P53" i="36" s="1"/>
  <c r="Q52" i="36"/>
  <c r="Q53" i="36" s="1"/>
  <c r="R52" i="36"/>
  <c r="R53" i="36" s="1"/>
  <c r="S52" i="36"/>
  <c r="S53" i="36" s="1"/>
  <c r="T52" i="36"/>
  <c r="T53" i="36" s="1"/>
  <c r="U52" i="36"/>
  <c r="U53" i="36" s="1"/>
  <c r="V52" i="36"/>
  <c r="V53" i="36" s="1"/>
  <c r="W52" i="36"/>
  <c r="W53" i="36" s="1"/>
  <c r="X52" i="36"/>
  <c r="X53" i="36" s="1"/>
  <c r="AJ52" i="36"/>
  <c r="AJ53" i="36" s="1"/>
  <c r="AA52" i="36"/>
  <c r="AA53" i="36" s="1"/>
  <c r="AB52" i="36"/>
  <c r="AB53" i="36" s="1"/>
  <c r="AC52" i="36"/>
  <c r="AC53" i="36" s="1"/>
  <c r="AD52" i="36"/>
  <c r="AD53" i="36" s="1"/>
  <c r="AE52" i="36"/>
  <c r="AE53" i="36" s="1"/>
  <c r="AF52" i="36"/>
  <c r="AF53" i="36" s="1"/>
  <c r="AG52" i="36"/>
  <c r="AG53" i="36" s="1"/>
  <c r="AH52" i="36"/>
  <c r="AH53" i="36" s="1"/>
  <c r="AK52" i="36"/>
  <c r="AK53" i="36" s="1"/>
  <c r="AL52" i="36"/>
  <c r="AL53" i="36" s="1"/>
  <c r="AM52" i="36"/>
  <c r="AM53" i="36" s="1"/>
  <c r="AN52" i="36"/>
  <c r="AN53" i="36" s="1"/>
  <c r="AO52" i="36"/>
  <c r="AO53" i="36" s="1"/>
  <c r="AP52" i="36"/>
  <c r="AP53" i="36" s="1"/>
  <c r="AQ52" i="36"/>
  <c r="AQ53" i="36" s="1"/>
  <c r="AR52" i="36"/>
  <c r="AR53" i="36" s="1"/>
  <c r="AS52" i="36"/>
  <c r="AS53" i="36" s="1"/>
  <c r="AT52" i="36"/>
  <c r="AT53" i="36" s="1"/>
  <c r="AU52" i="36"/>
  <c r="AU53" i="36" s="1"/>
  <c r="AV52" i="36"/>
  <c r="AV53" i="36" s="1"/>
  <c r="AW52" i="36"/>
  <c r="AW53" i="36" s="1"/>
  <c r="J52" i="36"/>
  <c r="J53" i="36" s="1"/>
  <c r="AR34" i="32"/>
  <c r="AR45" i="32"/>
  <c r="R27" i="32"/>
  <c r="R16" i="32"/>
  <c r="V10" i="32"/>
  <c r="V9" i="32"/>
  <c r="V14" i="32"/>
  <c r="V13" i="32"/>
  <c r="V16" i="32"/>
  <c r="V19" i="32"/>
  <c r="V21" i="32"/>
  <c r="V27" i="32"/>
  <c r="V31" i="32"/>
  <c r="V30" i="32"/>
  <c r="V29" i="32"/>
  <c r="P60" i="31" l="1"/>
  <c r="P61" i="31" s="1"/>
  <c r="AF62" i="33"/>
  <c r="AF63" i="33" s="1"/>
  <c r="U52" i="40"/>
  <c r="U53" i="40" s="1"/>
  <c r="AV60" i="31"/>
  <c r="AV61" i="31" s="1"/>
  <c r="AJ60" i="31"/>
  <c r="AJ61" i="31" s="1"/>
  <c r="T62" i="33"/>
  <c r="T63" i="33" s="1"/>
  <c r="AK52" i="40"/>
  <c r="AK53" i="40" s="1"/>
  <c r="AF60" i="31"/>
  <c r="AF61" i="31" s="1"/>
  <c r="AV62" i="33"/>
  <c r="AV63" i="33" s="1"/>
  <c r="P62" i="33"/>
  <c r="P63" i="33" s="1"/>
  <c r="AW52" i="40"/>
  <c r="AW53" i="40" s="1"/>
  <c r="T60" i="31"/>
  <c r="T61" i="31" s="1"/>
  <c r="AJ62" i="33"/>
  <c r="AJ63" i="33" s="1"/>
  <c r="Q52" i="40"/>
  <c r="Q53" i="40" s="1"/>
  <c r="K52" i="30"/>
  <c r="K53" i="30" s="1"/>
  <c r="K52" i="40"/>
  <c r="K53" i="40" s="1"/>
  <c r="O52" i="30"/>
  <c r="O53" i="30" s="1"/>
  <c r="O52" i="40"/>
  <c r="O53" i="40" s="1"/>
  <c r="S52" i="30"/>
  <c r="S53" i="30" s="1"/>
  <c r="S52" i="40"/>
  <c r="S53" i="40" s="1"/>
  <c r="AA52" i="30"/>
  <c r="AA53" i="30" s="1"/>
  <c r="AA52" i="40"/>
  <c r="AA53" i="40" s="1"/>
  <c r="AE52" i="30"/>
  <c r="AE53" i="30" s="1"/>
  <c r="AE52" i="40"/>
  <c r="AE53" i="40" s="1"/>
  <c r="AI52" i="30"/>
  <c r="AI53" i="30" s="1"/>
  <c r="AI52" i="40"/>
  <c r="AI53" i="40" s="1"/>
  <c r="AM52" i="30"/>
  <c r="AM53" i="30" s="1"/>
  <c r="AM52" i="40"/>
  <c r="AM53" i="40" s="1"/>
  <c r="AQ52" i="30"/>
  <c r="AQ53" i="30" s="1"/>
  <c r="AQ52" i="40"/>
  <c r="AQ53" i="40" s="1"/>
  <c r="AU52" i="30"/>
  <c r="AU53" i="30" s="1"/>
  <c r="AU52" i="40"/>
  <c r="AU53" i="40" s="1"/>
  <c r="L52" i="30"/>
  <c r="L53" i="30" s="1"/>
  <c r="L52" i="40"/>
  <c r="L53" i="40" s="1"/>
  <c r="T52" i="30"/>
  <c r="T53" i="30" s="1"/>
  <c r="T52" i="40"/>
  <c r="T53" i="40" s="1"/>
  <c r="AB52" i="30"/>
  <c r="AB53" i="30" s="1"/>
  <c r="AB52" i="40"/>
  <c r="AB53" i="40" s="1"/>
  <c r="AJ52" i="30"/>
  <c r="AJ53" i="30" s="1"/>
  <c r="AJ52" i="40"/>
  <c r="AJ53" i="40" s="1"/>
  <c r="AV52" i="30"/>
  <c r="AV53" i="30" s="1"/>
  <c r="AV52" i="40"/>
  <c r="AV53" i="40" s="1"/>
  <c r="AR60" i="31"/>
  <c r="AR61" i="31" s="1"/>
  <c r="AB60" i="31"/>
  <c r="AB61" i="31" s="1"/>
  <c r="AR62" i="33"/>
  <c r="AR63" i="33" s="1"/>
  <c r="AB62" i="33"/>
  <c r="AB63" i="33" s="1"/>
  <c r="Y52" i="40"/>
  <c r="Y53" i="40" s="1"/>
  <c r="AO52" i="40"/>
  <c r="AO53" i="40" s="1"/>
  <c r="P52" i="30"/>
  <c r="P53" i="30" s="1"/>
  <c r="P52" i="40"/>
  <c r="P53" i="40" s="1"/>
  <c r="X52" i="30"/>
  <c r="X53" i="30" s="1"/>
  <c r="X52" i="40"/>
  <c r="X53" i="40" s="1"/>
  <c r="AN52" i="30"/>
  <c r="AN53" i="30" s="1"/>
  <c r="AN52" i="40"/>
  <c r="AN53" i="40" s="1"/>
  <c r="AR52" i="30"/>
  <c r="AR53" i="30" s="1"/>
  <c r="AR52" i="40"/>
  <c r="AR53" i="40" s="1"/>
  <c r="M60" i="31"/>
  <c r="M61" i="31" s="1"/>
  <c r="Q60" i="31"/>
  <c r="Q61" i="31" s="1"/>
  <c r="U60" i="31"/>
  <c r="U61" i="31" s="1"/>
  <c r="Y60" i="31"/>
  <c r="Y61" i="31" s="1"/>
  <c r="AC60" i="31"/>
  <c r="AC61" i="31" s="1"/>
  <c r="AG60" i="31"/>
  <c r="AG61" i="31" s="1"/>
  <c r="AK60" i="31"/>
  <c r="AK61" i="31" s="1"/>
  <c r="AO60" i="31"/>
  <c r="AO61" i="31" s="1"/>
  <c r="AS60" i="31"/>
  <c r="AS61" i="31" s="1"/>
  <c r="AW60" i="31"/>
  <c r="AW61" i="31" s="1"/>
  <c r="N60" i="31"/>
  <c r="N61" i="31" s="1"/>
  <c r="R60" i="31"/>
  <c r="R61" i="31" s="1"/>
  <c r="V60" i="31"/>
  <c r="V61" i="31" s="1"/>
  <c r="Z60" i="31"/>
  <c r="Z61" i="31" s="1"/>
  <c r="AD60" i="31"/>
  <c r="AD61" i="31" s="1"/>
  <c r="AH60" i="31"/>
  <c r="AH61" i="31" s="1"/>
  <c r="AL60" i="31"/>
  <c r="AL61" i="31" s="1"/>
  <c r="AP60" i="31"/>
  <c r="AP61" i="31" s="1"/>
  <c r="AT60" i="31"/>
  <c r="AT61" i="31" s="1"/>
  <c r="J60" i="31"/>
  <c r="J61" i="31" s="1"/>
  <c r="K60" i="31"/>
  <c r="K61" i="31" s="1"/>
  <c r="O60" i="31"/>
  <c r="O61" i="31" s="1"/>
  <c r="S60" i="31"/>
  <c r="S61" i="31" s="1"/>
  <c r="W60" i="31"/>
  <c r="W61" i="31" s="1"/>
  <c r="AA60" i="31"/>
  <c r="AA61" i="31" s="1"/>
  <c r="AE60" i="31"/>
  <c r="AE61" i="31" s="1"/>
  <c r="AI60" i="31"/>
  <c r="AI61" i="31" s="1"/>
  <c r="AM60" i="31"/>
  <c r="AM61" i="31" s="1"/>
  <c r="AQ60" i="31"/>
  <c r="AQ61" i="31" s="1"/>
  <c r="AU60" i="31"/>
  <c r="AU61" i="31" s="1"/>
  <c r="M62" i="33"/>
  <c r="M63" i="33" s="1"/>
  <c r="Q62" i="33"/>
  <c r="Q63" i="33" s="1"/>
  <c r="U62" i="33"/>
  <c r="U63" i="33" s="1"/>
  <c r="Y62" i="33"/>
  <c r="Y63" i="33" s="1"/>
  <c r="AC62" i="33"/>
  <c r="AC63" i="33" s="1"/>
  <c r="AG62" i="33"/>
  <c r="AG63" i="33" s="1"/>
  <c r="AK62" i="33"/>
  <c r="AK63" i="33" s="1"/>
  <c r="AO62" i="33"/>
  <c r="AO63" i="33" s="1"/>
  <c r="AS62" i="33"/>
  <c r="AS63" i="33" s="1"/>
  <c r="AW62" i="33"/>
  <c r="AW63" i="33" s="1"/>
  <c r="N62" i="33"/>
  <c r="N63" i="33" s="1"/>
  <c r="R62" i="33"/>
  <c r="R63" i="33" s="1"/>
  <c r="V62" i="33"/>
  <c r="V63" i="33" s="1"/>
  <c r="Z62" i="33"/>
  <c r="Z63" i="33" s="1"/>
  <c r="AD62" i="33"/>
  <c r="AD63" i="33" s="1"/>
  <c r="AH62" i="33"/>
  <c r="AH63" i="33" s="1"/>
  <c r="AL62" i="33"/>
  <c r="AL63" i="33" s="1"/>
  <c r="AP62" i="33"/>
  <c r="AP63" i="33" s="1"/>
  <c r="AT62" i="33"/>
  <c r="AT63" i="33" s="1"/>
  <c r="J62" i="33"/>
  <c r="J63" i="33" s="1"/>
  <c r="K62" i="33"/>
  <c r="K63" i="33" s="1"/>
  <c r="O62" i="33"/>
  <c r="O63" i="33" s="1"/>
  <c r="S62" i="33"/>
  <c r="S63" i="33" s="1"/>
  <c r="W62" i="33"/>
  <c r="W63" i="33" s="1"/>
  <c r="AA62" i="33"/>
  <c r="AA63" i="33" s="1"/>
  <c r="AE62" i="33"/>
  <c r="AE63" i="33" s="1"/>
  <c r="AI62" i="33"/>
  <c r="AI63" i="33" s="1"/>
  <c r="AM62" i="33"/>
  <c r="AM63" i="33" s="1"/>
  <c r="AQ62" i="33"/>
  <c r="AQ63" i="33" s="1"/>
  <c r="AU62" i="33"/>
  <c r="AU63" i="33" s="1"/>
  <c r="N52" i="30"/>
  <c r="N53" i="30" s="1"/>
  <c r="N52" i="40"/>
  <c r="N53" i="40" s="1"/>
  <c r="R52" i="30"/>
  <c r="R53" i="30" s="1"/>
  <c r="R52" i="40"/>
  <c r="R53" i="40" s="1"/>
  <c r="AF52" i="30"/>
  <c r="AF53" i="30" s="1"/>
  <c r="AF52" i="40"/>
  <c r="AF53" i="40" s="1"/>
  <c r="Z52" i="30"/>
  <c r="Z53" i="30" s="1"/>
  <c r="Z52" i="40"/>
  <c r="Z53" i="40" s="1"/>
  <c r="AD52" i="30"/>
  <c r="AD53" i="30" s="1"/>
  <c r="AD52" i="40"/>
  <c r="AD53" i="40" s="1"/>
  <c r="AH52" i="30"/>
  <c r="AH53" i="30" s="1"/>
  <c r="AH52" i="40"/>
  <c r="AH53" i="40" s="1"/>
  <c r="AL52" i="30"/>
  <c r="AL53" i="30" s="1"/>
  <c r="AL52" i="40"/>
  <c r="AL53" i="40" s="1"/>
  <c r="AP52" i="30"/>
  <c r="AP53" i="30" s="1"/>
  <c r="AP52" i="40"/>
  <c r="AP53" i="40" s="1"/>
  <c r="AT52" i="30"/>
  <c r="AT53" i="30" s="1"/>
  <c r="AT52" i="40"/>
  <c r="AT53" i="40" s="1"/>
  <c r="AN60" i="31"/>
  <c r="AN61" i="31" s="1"/>
  <c r="X60" i="31"/>
  <c r="X61" i="31" s="1"/>
  <c r="AN62" i="33"/>
  <c r="AN63" i="33" s="1"/>
  <c r="X62" i="33"/>
  <c r="X63" i="33" s="1"/>
  <c r="M52" i="40"/>
  <c r="M53" i="40" s="1"/>
  <c r="AC52" i="40"/>
  <c r="AC53" i="40" s="1"/>
  <c r="AS52" i="40"/>
  <c r="AS53" i="40" s="1"/>
  <c r="AI57" i="32"/>
  <c r="AI58" i="32" s="1"/>
  <c r="AV57" i="32"/>
  <c r="AV58" i="32" s="1"/>
  <c r="AN57" i="32"/>
  <c r="AN58" i="32" s="1"/>
  <c r="AF57" i="32"/>
  <c r="AF58" i="32" s="1"/>
  <c r="X57" i="32"/>
  <c r="X58" i="32" s="1"/>
  <c r="P57" i="32"/>
  <c r="P58" i="32" s="1"/>
  <c r="AQ57" i="32"/>
  <c r="AQ58" i="32" s="1"/>
  <c r="AA57" i="32"/>
  <c r="AA58" i="32" s="1"/>
  <c r="W57" i="32"/>
  <c r="W58" i="32" s="1"/>
  <c r="O57" i="32"/>
  <c r="O58" i="32" s="1"/>
  <c r="J57" i="32"/>
  <c r="J58" i="32" s="1"/>
  <c r="AT57" i="32"/>
  <c r="AT58" i="32" s="1"/>
  <c r="AP57" i="32"/>
  <c r="AP58" i="32" s="1"/>
  <c r="AL57" i="32"/>
  <c r="AL58" i="32" s="1"/>
  <c r="AH57" i="32"/>
  <c r="AH58" i="32" s="1"/>
  <c r="Z57" i="32"/>
  <c r="Z58" i="32" s="1"/>
  <c r="V57" i="32"/>
  <c r="V58" i="32" s="1"/>
  <c r="R57" i="32"/>
  <c r="R58" i="32" s="1"/>
  <c r="N57" i="32"/>
  <c r="N58" i="32" s="1"/>
  <c r="AR57" i="32"/>
  <c r="AR58" i="32" s="1"/>
  <c r="AJ57" i="32"/>
  <c r="AJ58" i="32" s="1"/>
  <c r="AB57" i="32"/>
  <c r="AB58" i="32" s="1"/>
  <c r="AD57" i="32"/>
  <c r="AD58" i="32" s="1"/>
  <c r="L57" i="32"/>
  <c r="L58" i="32" s="1"/>
  <c r="AU57" i="32"/>
  <c r="AU58" i="32" s="1"/>
  <c r="AM57" i="32"/>
  <c r="AM58" i="32" s="1"/>
  <c r="AE57" i="32"/>
  <c r="AE58" i="32" s="1"/>
  <c r="S57" i="32"/>
  <c r="S58" i="32" s="1"/>
  <c r="K57" i="32"/>
  <c r="K58" i="32" s="1"/>
  <c r="AW57" i="32"/>
  <c r="AW58" i="32" s="1"/>
  <c r="AS57" i="32"/>
  <c r="AS58" i="32" s="1"/>
  <c r="AO57" i="32"/>
  <c r="AO58" i="32" s="1"/>
  <c r="AK57" i="32"/>
  <c r="AK58" i="32" s="1"/>
  <c r="AG57" i="32"/>
  <c r="AG58" i="32" s="1"/>
  <c r="Y57" i="32"/>
  <c r="Y58" i="32" s="1"/>
  <c r="U57" i="32"/>
  <c r="U58" i="32" s="1"/>
  <c r="Q57" i="32"/>
  <c r="Q58" i="32" s="1"/>
  <c r="M57" i="32"/>
  <c r="M58" i="32" s="1"/>
  <c r="AF61" i="34"/>
  <c r="AF62" i="34" s="1"/>
  <c r="AP61" i="34"/>
  <c r="AP62" i="34" s="1"/>
  <c r="AB60" i="35"/>
  <c r="AB61" i="35" s="1"/>
  <c r="AI52" i="36"/>
  <c r="AI53" i="36" s="1"/>
  <c r="Y52" i="36"/>
  <c r="Y53" i="36" s="1"/>
  <c r="AM60" i="35"/>
  <c r="AM61" i="35" s="1"/>
  <c r="AC60" i="35"/>
  <c r="AC61" i="35" s="1"/>
  <c r="AO61" i="34"/>
  <c r="AO62" i="34" s="1"/>
  <c r="Z52" i="36"/>
  <c r="Z53" i="36" s="1"/>
  <c r="AX63" i="33" l="1"/>
  <c r="W52" i="30"/>
  <c r="W53" i="30" s="1"/>
  <c r="W52" i="40"/>
  <c r="W53" i="40" s="1"/>
  <c r="V52" i="30"/>
  <c r="V53" i="30" s="1"/>
  <c r="V52" i="40"/>
  <c r="V53" i="40" s="1"/>
  <c r="AG52" i="30"/>
  <c r="AG53" i="30" s="1"/>
  <c r="AG52" i="40"/>
  <c r="AG53" i="40" s="1"/>
  <c r="AX62" i="33"/>
  <c r="AC57" i="32"/>
  <c r="AC58" i="32" s="1"/>
  <c r="T57" i="32"/>
  <c r="T58" i="32" s="1"/>
  <c r="AX61" i="31"/>
  <c r="AX61" i="35"/>
  <c r="AX58" i="32" l="1"/>
  <c r="AX57" i="32"/>
  <c r="AX62" i="34"/>
  <c r="AX53" i="30"/>
  <c r="AX53" i="36"/>
  <c r="AX61" i="34"/>
  <c r="AX60" i="31"/>
  <c r="AX52" i="30"/>
  <c r="AX52" i="36"/>
  <c r="AX60" i="35"/>
  <c r="L61" i="37" l="1"/>
  <c r="L62" i="37" s="1"/>
  <c r="P61" i="37"/>
  <c r="P62" i="37" s="1"/>
  <c r="T61" i="37"/>
  <c r="T62" i="37" s="1"/>
  <c r="X61" i="37"/>
  <c r="X62" i="37" s="1"/>
  <c r="AB61" i="37"/>
  <c r="AB62" i="37" s="1"/>
  <c r="AF61" i="37"/>
  <c r="AF62" i="37" s="1"/>
  <c r="AJ61" i="37"/>
  <c r="AJ62" i="37" s="1"/>
  <c r="AN61" i="37"/>
  <c r="AN62" i="37" s="1"/>
  <c r="AR61" i="37"/>
  <c r="AR62" i="37" s="1"/>
  <c r="AV61" i="37"/>
  <c r="AV62" i="37" s="1"/>
  <c r="M61" i="37"/>
  <c r="M62" i="37" s="1"/>
  <c r="Q61" i="37"/>
  <c r="Q62" i="37" s="1"/>
  <c r="U61" i="37"/>
  <c r="U62" i="37" s="1"/>
  <c r="Y61" i="37"/>
  <c r="Y62" i="37" s="1"/>
  <c r="AC61" i="37"/>
  <c r="AC62" i="37" s="1"/>
  <c r="AG61" i="37"/>
  <c r="AG62" i="37" s="1"/>
  <c r="AK61" i="37"/>
  <c r="AK62" i="37" s="1"/>
  <c r="AO61" i="37"/>
  <c r="AO62" i="37" s="1"/>
  <c r="AS61" i="37"/>
  <c r="AS62" i="37" s="1"/>
  <c r="AW61" i="37"/>
  <c r="AW62" i="37" s="1"/>
  <c r="J61" i="37"/>
  <c r="N61" i="37"/>
  <c r="N62" i="37" s="1"/>
  <c r="R61" i="37"/>
  <c r="R62" i="37" s="1"/>
  <c r="V61" i="37"/>
  <c r="V62" i="37" s="1"/>
  <c r="Z61" i="37"/>
  <c r="Z62" i="37" s="1"/>
  <c r="AD61" i="37"/>
  <c r="AD62" i="37" s="1"/>
  <c r="AH61" i="37"/>
  <c r="AH62" i="37" s="1"/>
  <c r="AL61" i="37"/>
  <c r="AL62" i="37" s="1"/>
  <c r="AP61" i="37"/>
  <c r="AP62" i="37" s="1"/>
  <c r="AT61" i="37"/>
  <c r="AT62" i="37" s="1"/>
  <c r="K61" i="37"/>
  <c r="K62" i="37" s="1"/>
  <c r="AA61" i="37"/>
  <c r="AA62" i="37" s="1"/>
  <c r="AQ61" i="37"/>
  <c r="AQ62" i="37" s="1"/>
  <c r="S61" i="37"/>
  <c r="S62" i="37" s="1"/>
  <c r="W61" i="37"/>
  <c r="W62" i="37" s="1"/>
  <c r="O61" i="37"/>
  <c r="O62" i="37" s="1"/>
  <c r="AE61" i="37"/>
  <c r="AE62" i="37" s="1"/>
  <c r="AU61" i="37"/>
  <c r="AU62" i="37" s="1"/>
  <c r="AI61" i="37"/>
  <c r="AI62" i="37" s="1"/>
  <c r="AM61" i="37"/>
  <c r="AM62" i="37" s="1"/>
  <c r="AR52" i="43"/>
  <c r="AR53" i="43" s="1"/>
  <c r="T52" i="43"/>
  <c r="T53" i="43" s="1"/>
  <c r="AE62" i="41"/>
  <c r="AE63" i="41" s="1"/>
  <c r="AH62" i="41"/>
  <c r="AH63" i="41" s="1"/>
  <c r="AP52" i="43"/>
  <c r="AP53" i="43" s="1"/>
  <c r="W52" i="43"/>
  <c r="W53" i="43" s="1"/>
  <c r="AA52" i="43"/>
  <c r="AA53" i="43" s="1"/>
  <c r="AO52" i="43"/>
  <c r="AO53" i="43" s="1"/>
  <c r="AF52" i="43"/>
  <c r="AF53" i="43" s="1"/>
  <c r="AH52" i="43"/>
  <c r="AH53" i="43" s="1"/>
  <c r="AC52" i="43"/>
  <c r="AC53" i="43" s="1"/>
  <c r="L52" i="43"/>
  <c r="L53" i="43" s="1"/>
  <c r="AL52" i="43"/>
  <c r="AL53" i="43" s="1"/>
  <c r="R52" i="43"/>
  <c r="R53" i="43" s="1"/>
  <c r="R62" i="41"/>
  <c r="R63" i="41" s="1"/>
  <c r="AP62" i="41"/>
  <c r="AP63" i="41" s="1"/>
  <c r="O62" i="41"/>
  <c r="O63" i="41" s="1"/>
  <c r="AJ62" i="41"/>
  <c r="AJ63" i="41" s="1"/>
  <c r="AS62" i="41"/>
  <c r="AS63" i="41" s="1"/>
  <c r="AQ62" i="41"/>
  <c r="AQ63" i="41" s="1"/>
  <c r="V62" i="41"/>
  <c r="V63" i="41" s="1"/>
  <c r="T62" i="41"/>
  <c r="T63" i="41" s="1"/>
  <c r="AA62" i="41"/>
  <c r="AA63" i="41" s="1"/>
  <c r="Y62" i="41"/>
  <c r="Y63" i="41" s="1"/>
  <c r="P52" i="43"/>
  <c r="P53" i="43" s="1"/>
  <c r="S52" i="43"/>
  <c r="S53" i="43" s="1"/>
  <c r="AG52" i="43"/>
  <c r="AG53" i="43" s="1"/>
  <c r="AW52" i="43"/>
  <c r="AW53" i="43" s="1"/>
  <c r="AF62" i="41"/>
  <c r="AF63" i="41" s="1"/>
  <c r="Z62" i="41"/>
  <c r="Z63" i="41" s="1"/>
  <c r="N52" i="43"/>
  <c r="N53" i="43" s="1"/>
  <c r="O52" i="43"/>
  <c r="O53" i="43" s="1"/>
  <c r="AS52" i="43"/>
  <c r="AS53" i="43" s="1"/>
  <c r="AU52" i="43"/>
  <c r="AU53" i="43" s="1"/>
  <c r="AL62" i="41"/>
  <c r="AL63" i="41" s="1"/>
  <c r="L62" i="41"/>
  <c r="L63" i="41" s="1"/>
  <c r="AT62" i="41"/>
  <c r="AT63" i="41" s="1"/>
  <c r="AK62" i="41"/>
  <c r="AK63" i="41" s="1"/>
  <c r="AO62" i="41"/>
  <c r="AO63" i="41" s="1"/>
  <c r="U52" i="43"/>
  <c r="U53" i="43" s="1"/>
  <c r="X52" i="43"/>
  <c r="X53" i="43" s="1"/>
  <c r="AV52" i="43"/>
  <c r="AV53" i="43" s="1"/>
  <c r="AE52" i="43"/>
  <c r="AE53" i="43" s="1"/>
  <c r="AV62" i="41"/>
  <c r="AV63" i="41" s="1"/>
  <c r="AC62" i="41"/>
  <c r="AC63" i="41" s="1"/>
  <c r="AI62" i="41"/>
  <c r="AI63" i="41" s="1"/>
  <c r="W62" i="41"/>
  <c r="W63" i="41" s="1"/>
  <c r="X62" i="41"/>
  <c r="X63" i="41" s="1"/>
  <c r="P62" i="41"/>
  <c r="P63" i="41" s="1"/>
  <c r="AN52" i="43"/>
  <c r="AN53" i="43" s="1"/>
  <c r="AK52" i="43"/>
  <c r="AK53" i="43" s="1"/>
  <c r="Z52" i="43"/>
  <c r="Z53" i="43" s="1"/>
  <c r="Y52" i="43"/>
  <c r="Y53" i="43" s="1"/>
  <c r="AD52" i="43"/>
  <c r="AD53" i="43" s="1"/>
  <c r="K52" i="43"/>
  <c r="K53" i="43" s="1"/>
  <c r="AB62" i="41"/>
  <c r="AB63" i="41" s="1"/>
  <c r="Q62" i="41"/>
  <c r="Q63" i="41" s="1"/>
  <c r="AW62" i="41"/>
  <c r="AW63" i="41" s="1"/>
  <c r="S62" i="41"/>
  <c r="S63" i="41" s="1"/>
  <c r="K62" i="41"/>
  <c r="K63" i="41" s="1"/>
  <c r="AI52" i="43"/>
  <c r="AI53" i="43" s="1"/>
  <c r="AT52" i="43"/>
  <c r="AT53" i="43" s="1"/>
  <c r="M52" i="43"/>
  <c r="M53" i="43" s="1"/>
  <c r="AJ52" i="43"/>
  <c r="AJ53" i="43" s="1"/>
  <c r="V52" i="43"/>
  <c r="V53" i="43" s="1"/>
  <c r="AM52" i="43"/>
  <c r="AM53" i="43" s="1"/>
  <c r="AB52" i="43"/>
  <c r="AB53" i="43" s="1"/>
  <c r="AQ52" i="43"/>
  <c r="AQ53" i="43" s="1"/>
  <c r="Q52" i="43"/>
  <c r="Q53" i="43" s="1"/>
  <c r="J52" i="43"/>
  <c r="AR62" i="41"/>
  <c r="AR63" i="41" s="1"/>
  <c r="N62" i="41"/>
  <c r="N63" i="41" s="1"/>
  <c r="AG62" i="41"/>
  <c r="AG63" i="41" s="1"/>
  <c r="AM62" i="41"/>
  <c r="AM63" i="41" s="1"/>
  <c r="U62" i="41"/>
  <c r="U63" i="41" s="1"/>
  <c r="AU62" i="41"/>
  <c r="AU63" i="41" s="1"/>
  <c r="AN62" i="41"/>
  <c r="AN63" i="41" s="1"/>
  <c r="AD62" i="41"/>
  <c r="AD63" i="41" s="1"/>
  <c r="M62" i="41"/>
  <c r="M63" i="41" s="1"/>
  <c r="J62" i="41"/>
  <c r="J11" i="36"/>
  <c r="K11" i="36"/>
  <c r="L11" i="36"/>
  <c r="M11" i="36"/>
  <c r="N11" i="36"/>
  <c r="O11" i="36"/>
  <c r="P11" i="36"/>
  <c r="Q11" i="36"/>
  <c r="R11" i="36"/>
  <c r="S11" i="36"/>
  <c r="T11" i="36"/>
  <c r="U11" i="36"/>
  <c r="V11" i="36"/>
  <c r="W11" i="36"/>
  <c r="X11" i="36"/>
  <c r="Y11" i="36"/>
  <c r="Z11" i="36"/>
  <c r="AA11" i="36"/>
  <c r="AB11" i="36"/>
  <c r="AC11" i="36"/>
  <c r="AD11" i="36"/>
  <c r="AE11" i="36"/>
  <c r="AF11" i="36"/>
  <c r="AG11" i="36"/>
  <c r="AH11" i="36"/>
  <c r="AI11" i="36"/>
  <c r="AJ11" i="36"/>
  <c r="AK11" i="36"/>
  <c r="AL11" i="36"/>
  <c r="AM11" i="36"/>
  <c r="AN11" i="36"/>
  <c r="AO11" i="36"/>
  <c r="AP11" i="36"/>
  <c r="AQ11" i="36"/>
  <c r="AR11" i="36"/>
  <c r="AS11" i="36"/>
  <c r="AT11" i="36"/>
  <c r="AU11" i="36"/>
  <c r="AV11" i="36"/>
  <c r="AW11" i="36"/>
  <c r="AX11" i="36"/>
  <c r="J12" i="36"/>
  <c r="K12" i="36"/>
  <c r="L12" i="36"/>
  <c r="M12" i="36"/>
  <c r="N12" i="36"/>
  <c r="O12" i="36"/>
  <c r="P12" i="36"/>
  <c r="Q12" i="36"/>
  <c r="R12" i="36"/>
  <c r="S12" i="36"/>
  <c r="T12" i="36"/>
  <c r="U12" i="36"/>
  <c r="V12" i="36"/>
  <c r="W12" i="36"/>
  <c r="X12" i="36"/>
  <c r="Y12" i="36"/>
  <c r="Z12" i="36"/>
  <c r="AA12" i="36"/>
  <c r="AB12" i="36"/>
  <c r="AC12" i="36"/>
  <c r="AD12" i="36"/>
  <c r="AE12" i="36"/>
  <c r="AF12" i="36"/>
  <c r="AG12" i="36"/>
  <c r="AH12" i="36"/>
  <c r="AI12" i="36"/>
  <c r="AJ12" i="36"/>
  <c r="AK12" i="36"/>
  <c r="AL12" i="36"/>
  <c r="AM12" i="36"/>
  <c r="AN12" i="36"/>
  <c r="AO12" i="36"/>
  <c r="AP12" i="36"/>
  <c r="AQ12" i="36"/>
  <c r="AR12" i="36"/>
  <c r="AS12" i="36"/>
  <c r="AT12" i="36"/>
  <c r="AU12" i="36"/>
  <c r="AV12" i="36"/>
  <c r="AW12" i="36"/>
  <c r="AX12" i="36"/>
  <c r="J13" i="36"/>
  <c r="K13" i="36"/>
  <c r="L13" i="36"/>
  <c r="M13" i="36"/>
  <c r="N13" i="36"/>
  <c r="O13" i="36"/>
  <c r="P13" i="36"/>
  <c r="Q13" i="36"/>
  <c r="R13" i="36"/>
  <c r="S13" i="36"/>
  <c r="T13" i="36"/>
  <c r="U13" i="36"/>
  <c r="V13" i="36"/>
  <c r="W13" i="36"/>
  <c r="X13" i="36"/>
  <c r="Y13" i="36"/>
  <c r="Z13" i="36"/>
  <c r="AA13" i="36"/>
  <c r="AB13" i="36"/>
  <c r="AC13" i="36"/>
  <c r="AD13" i="36"/>
  <c r="AE13" i="36"/>
  <c r="AF13" i="36"/>
  <c r="AG13" i="36"/>
  <c r="AH13" i="36"/>
  <c r="AI13" i="36"/>
  <c r="AJ13" i="36"/>
  <c r="AK13" i="36"/>
  <c r="AL13" i="36"/>
  <c r="AM13" i="36"/>
  <c r="AN13" i="36"/>
  <c r="AO13" i="36"/>
  <c r="AP13" i="36"/>
  <c r="AQ13" i="36"/>
  <c r="AR13" i="36"/>
  <c r="AS13" i="36"/>
  <c r="AT13" i="36"/>
  <c r="AU13" i="36"/>
  <c r="AV13" i="36"/>
  <c r="AW13" i="36"/>
  <c r="AX13" i="36"/>
  <c r="J14" i="36"/>
  <c r="K14" i="36"/>
  <c r="L14" i="36"/>
  <c r="M14" i="36"/>
  <c r="N14" i="36"/>
  <c r="O14" i="36"/>
  <c r="P14" i="36"/>
  <c r="Q14" i="36"/>
  <c r="R14" i="36"/>
  <c r="S14" i="36"/>
  <c r="T14" i="36"/>
  <c r="U14" i="36"/>
  <c r="V14" i="36"/>
  <c r="W14" i="36"/>
  <c r="X14" i="36"/>
  <c r="Y14" i="36"/>
  <c r="Z14" i="36"/>
  <c r="AA14" i="36"/>
  <c r="AB14" i="36"/>
  <c r="AC14" i="36"/>
  <c r="AD14" i="36"/>
  <c r="AE14" i="36"/>
  <c r="AF14" i="36"/>
  <c r="AG14" i="36"/>
  <c r="AH14" i="36"/>
  <c r="AI14" i="36"/>
  <c r="AJ14" i="36"/>
  <c r="AK14" i="36"/>
  <c r="AL14" i="36"/>
  <c r="AM14" i="36"/>
  <c r="AN14" i="36"/>
  <c r="AO14" i="36"/>
  <c r="AP14" i="36"/>
  <c r="AQ14" i="36"/>
  <c r="AR14" i="36"/>
  <c r="AS14" i="36"/>
  <c r="AT14" i="36"/>
  <c r="AU14" i="36"/>
  <c r="AV14" i="36"/>
  <c r="AW14" i="36"/>
  <c r="AX14" i="36"/>
  <c r="J15" i="36"/>
  <c r="K15" i="36"/>
  <c r="L15" i="36"/>
  <c r="M15" i="36"/>
  <c r="N15" i="36"/>
  <c r="O15" i="36"/>
  <c r="P15" i="36"/>
  <c r="Q15" i="36"/>
  <c r="R15" i="36"/>
  <c r="S15" i="36"/>
  <c r="T15" i="36"/>
  <c r="U15" i="36"/>
  <c r="V15" i="36"/>
  <c r="W15" i="36"/>
  <c r="X15" i="36"/>
  <c r="Y15" i="36"/>
  <c r="Z15" i="36"/>
  <c r="AA15" i="36"/>
  <c r="AB15" i="36"/>
  <c r="AC15" i="36"/>
  <c r="AD15" i="36"/>
  <c r="AE15" i="36"/>
  <c r="AF15" i="36"/>
  <c r="AG15" i="36"/>
  <c r="AH15" i="36"/>
  <c r="AI15" i="36"/>
  <c r="AJ15" i="36"/>
  <c r="AK15" i="36"/>
  <c r="AL15" i="36"/>
  <c r="AM15" i="36"/>
  <c r="AN15" i="36"/>
  <c r="AO15" i="36"/>
  <c r="AP15" i="36"/>
  <c r="AQ15" i="36"/>
  <c r="AR15" i="36"/>
  <c r="AS15" i="36"/>
  <c r="AT15" i="36"/>
  <c r="AU15" i="36"/>
  <c r="AV15" i="36"/>
  <c r="AW15" i="36"/>
  <c r="AX15" i="36"/>
  <c r="J16" i="36"/>
  <c r="K16" i="36"/>
  <c r="L16" i="36"/>
  <c r="M16" i="36"/>
  <c r="N16" i="36"/>
  <c r="O16" i="36"/>
  <c r="P16" i="36"/>
  <c r="Q16" i="36"/>
  <c r="R16" i="36"/>
  <c r="S16" i="36"/>
  <c r="T16" i="36"/>
  <c r="U16" i="36"/>
  <c r="V16" i="36"/>
  <c r="W16" i="36"/>
  <c r="X16" i="36"/>
  <c r="Y16" i="36"/>
  <c r="Z16" i="36"/>
  <c r="AA16" i="36"/>
  <c r="AB16" i="36"/>
  <c r="AC16" i="36"/>
  <c r="AD16" i="36"/>
  <c r="AE16" i="36"/>
  <c r="AF16" i="36"/>
  <c r="AG16" i="36"/>
  <c r="AH16" i="36"/>
  <c r="AI16" i="36"/>
  <c r="AJ16" i="36"/>
  <c r="AK16" i="36"/>
  <c r="AL16" i="36"/>
  <c r="AM16" i="36"/>
  <c r="AN16" i="36"/>
  <c r="AO16" i="36"/>
  <c r="AP16" i="36"/>
  <c r="AQ16" i="36"/>
  <c r="AR16" i="36"/>
  <c r="AS16" i="36"/>
  <c r="AT16" i="36"/>
  <c r="AU16" i="36"/>
  <c r="AV16" i="36"/>
  <c r="AW16" i="36"/>
  <c r="AX16" i="36"/>
  <c r="J17" i="36"/>
  <c r="K17" i="36"/>
  <c r="L17" i="36"/>
  <c r="M17" i="36"/>
  <c r="N17" i="36"/>
  <c r="O17" i="36"/>
  <c r="P17" i="36"/>
  <c r="Q17" i="36"/>
  <c r="R17" i="36"/>
  <c r="S17" i="36"/>
  <c r="T17" i="36"/>
  <c r="U17" i="36"/>
  <c r="V17" i="36"/>
  <c r="W17" i="36"/>
  <c r="X17" i="36"/>
  <c r="Y17" i="36"/>
  <c r="Z17" i="36"/>
  <c r="AA17" i="36"/>
  <c r="AB17" i="36"/>
  <c r="AC17" i="36"/>
  <c r="AD17" i="36"/>
  <c r="AE17" i="36"/>
  <c r="AF17" i="36"/>
  <c r="AG17" i="36"/>
  <c r="AH17" i="36"/>
  <c r="AI17" i="36"/>
  <c r="AJ17" i="36"/>
  <c r="AK17" i="36"/>
  <c r="AL17" i="36"/>
  <c r="AM17" i="36"/>
  <c r="AN17" i="36"/>
  <c r="AO17" i="36"/>
  <c r="AP17" i="36"/>
  <c r="AQ17" i="36"/>
  <c r="AR17" i="36"/>
  <c r="AS17" i="36"/>
  <c r="AT17" i="36"/>
  <c r="AU17" i="36"/>
  <c r="AV17" i="36"/>
  <c r="AW17" i="36"/>
  <c r="AX17" i="36"/>
  <c r="J18" i="36"/>
  <c r="K18" i="36"/>
  <c r="L18" i="36"/>
  <c r="M18" i="36"/>
  <c r="N18" i="36"/>
  <c r="O18" i="36"/>
  <c r="P18" i="36"/>
  <c r="Q18" i="36"/>
  <c r="R18" i="36"/>
  <c r="S18" i="36"/>
  <c r="T18" i="36"/>
  <c r="U18" i="36"/>
  <c r="V18" i="36"/>
  <c r="W18" i="36"/>
  <c r="X18" i="36"/>
  <c r="Y18" i="36"/>
  <c r="Z18" i="36"/>
  <c r="AA18" i="36"/>
  <c r="AB18" i="36"/>
  <c r="AC18" i="36"/>
  <c r="AD18" i="36"/>
  <c r="AE18" i="36"/>
  <c r="AF18" i="36"/>
  <c r="AG18" i="36"/>
  <c r="AH18" i="36"/>
  <c r="AI18" i="36"/>
  <c r="AJ18" i="36"/>
  <c r="AK18" i="36"/>
  <c r="AL18" i="36"/>
  <c r="AM18" i="36"/>
  <c r="AN18" i="36"/>
  <c r="AO18" i="36"/>
  <c r="AP18" i="36"/>
  <c r="AQ18" i="36"/>
  <c r="AR18" i="36"/>
  <c r="AS18" i="36"/>
  <c r="AT18" i="36"/>
  <c r="AU18" i="36"/>
  <c r="AV18" i="36"/>
  <c r="AW18" i="36"/>
  <c r="AX18" i="36"/>
  <c r="J19" i="36"/>
  <c r="K19" i="36"/>
  <c r="L19" i="36"/>
  <c r="M19" i="36"/>
  <c r="N19" i="36"/>
  <c r="O19" i="36"/>
  <c r="P19" i="36"/>
  <c r="Q19" i="36"/>
  <c r="R19" i="36"/>
  <c r="S19" i="36"/>
  <c r="T19" i="36"/>
  <c r="U19" i="36"/>
  <c r="V19" i="36"/>
  <c r="W19" i="36"/>
  <c r="X19" i="36"/>
  <c r="Y19" i="36"/>
  <c r="Z19" i="36"/>
  <c r="AA19" i="36"/>
  <c r="AB19" i="36"/>
  <c r="AC19" i="36"/>
  <c r="AD19" i="36"/>
  <c r="AE19" i="36"/>
  <c r="AF19" i="36"/>
  <c r="AG19" i="36"/>
  <c r="AH19" i="36"/>
  <c r="AI19" i="36"/>
  <c r="AJ19" i="36"/>
  <c r="AK19" i="36"/>
  <c r="AL19" i="36"/>
  <c r="AM19" i="36"/>
  <c r="AN19" i="36"/>
  <c r="AO19" i="36"/>
  <c r="AP19" i="36"/>
  <c r="AQ19" i="36"/>
  <c r="AR19" i="36"/>
  <c r="AS19" i="36"/>
  <c r="AT19" i="36"/>
  <c r="AU19" i="36"/>
  <c r="AV19" i="36"/>
  <c r="AW19" i="36"/>
  <c r="AX19" i="36"/>
  <c r="J21" i="36"/>
  <c r="K21" i="36"/>
  <c r="L21" i="36"/>
  <c r="M21" i="36"/>
  <c r="N21" i="36"/>
  <c r="O21" i="36"/>
  <c r="P21" i="36"/>
  <c r="Q21" i="36"/>
  <c r="R21" i="36"/>
  <c r="S21" i="36"/>
  <c r="T21" i="36"/>
  <c r="U21" i="36"/>
  <c r="V21" i="36"/>
  <c r="W21" i="36"/>
  <c r="X21" i="36"/>
  <c r="Y21" i="36"/>
  <c r="Z21" i="36"/>
  <c r="AA21" i="36"/>
  <c r="AB21" i="36"/>
  <c r="AC21" i="36"/>
  <c r="AD21" i="36"/>
  <c r="AE21" i="36"/>
  <c r="AF21" i="36"/>
  <c r="AG21" i="36"/>
  <c r="AH21" i="36"/>
  <c r="AI21" i="36"/>
  <c r="AJ21" i="36"/>
  <c r="AK21" i="36"/>
  <c r="AL21" i="36"/>
  <c r="AM21" i="36"/>
  <c r="AN21" i="36"/>
  <c r="AO21" i="36"/>
  <c r="AP21" i="36"/>
  <c r="AQ21" i="36"/>
  <c r="AR21" i="36"/>
  <c r="AS21" i="36"/>
  <c r="AT21" i="36"/>
  <c r="AU21" i="36"/>
  <c r="AV21" i="36"/>
  <c r="AW21" i="36"/>
  <c r="AX21" i="36"/>
  <c r="J22" i="36"/>
  <c r="K22" i="36"/>
  <c r="L22" i="36"/>
  <c r="M22" i="36"/>
  <c r="N22" i="36"/>
  <c r="O22" i="36"/>
  <c r="P22" i="36"/>
  <c r="Q22" i="36"/>
  <c r="R22" i="36"/>
  <c r="S22" i="36"/>
  <c r="T22" i="36"/>
  <c r="U22" i="36"/>
  <c r="V22" i="36"/>
  <c r="W22" i="36"/>
  <c r="X22" i="36"/>
  <c r="Y22" i="36"/>
  <c r="Z22" i="36"/>
  <c r="AA22" i="36"/>
  <c r="AB22" i="36"/>
  <c r="AC22" i="36"/>
  <c r="AD22" i="36"/>
  <c r="AE22" i="36"/>
  <c r="AF22" i="36"/>
  <c r="AG22" i="36"/>
  <c r="AH22" i="36"/>
  <c r="AI22" i="36"/>
  <c r="AJ22" i="36"/>
  <c r="AK22" i="36"/>
  <c r="AL22" i="36"/>
  <c r="AM22" i="36"/>
  <c r="AN22" i="36"/>
  <c r="AO22" i="36"/>
  <c r="AP22" i="36"/>
  <c r="AQ22" i="36"/>
  <c r="AR22" i="36"/>
  <c r="AS22" i="36"/>
  <c r="AT22" i="36"/>
  <c r="AU22" i="36"/>
  <c r="AV22" i="36"/>
  <c r="AW22" i="36"/>
  <c r="AX22" i="36"/>
  <c r="J23" i="36"/>
  <c r="K23" i="36"/>
  <c r="L23" i="36"/>
  <c r="M23" i="36"/>
  <c r="N23" i="36"/>
  <c r="O23" i="36"/>
  <c r="P23" i="36"/>
  <c r="Q23" i="36"/>
  <c r="R23" i="36"/>
  <c r="S23" i="36"/>
  <c r="T23" i="36"/>
  <c r="U23" i="36"/>
  <c r="V23" i="36"/>
  <c r="W23" i="36"/>
  <c r="X23" i="36"/>
  <c r="Y23" i="36"/>
  <c r="Z23" i="36"/>
  <c r="AA23" i="36"/>
  <c r="AB23" i="36"/>
  <c r="AC23" i="36"/>
  <c r="AD23" i="36"/>
  <c r="AE23" i="36"/>
  <c r="AF23" i="36"/>
  <c r="AG23" i="36"/>
  <c r="AH23" i="36"/>
  <c r="AI23" i="36"/>
  <c r="AJ23" i="36"/>
  <c r="AK23" i="36"/>
  <c r="AL23" i="36"/>
  <c r="AM23" i="36"/>
  <c r="AN23" i="36"/>
  <c r="AO23" i="36"/>
  <c r="AP23" i="36"/>
  <c r="AQ23" i="36"/>
  <c r="AR23" i="36"/>
  <c r="AS23" i="36"/>
  <c r="AT23" i="36"/>
  <c r="AU23" i="36"/>
  <c r="AV23" i="36"/>
  <c r="AW23" i="36"/>
  <c r="AX23" i="36"/>
  <c r="J25" i="36"/>
  <c r="K25" i="36"/>
  <c r="L25" i="36"/>
  <c r="M25" i="36"/>
  <c r="N25" i="36"/>
  <c r="O25" i="36"/>
  <c r="P25" i="36"/>
  <c r="Q25" i="36"/>
  <c r="R25" i="36"/>
  <c r="S25" i="36"/>
  <c r="T25" i="36"/>
  <c r="U25" i="36"/>
  <c r="V25" i="36"/>
  <c r="W25" i="36"/>
  <c r="X25" i="36"/>
  <c r="Y25" i="36"/>
  <c r="Z25" i="36"/>
  <c r="AA25" i="36"/>
  <c r="AB25" i="36"/>
  <c r="AC25" i="36"/>
  <c r="AD25" i="36"/>
  <c r="AE25" i="36"/>
  <c r="AF25" i="36"/>
  <c r="AG25" i="36"/>
  <c r="AH25" i="36"/>
  <c r="AI25" i="36"/>
  <c r="AJ25" i="36"/>
  <c r="AK25" i="36"/>
  <c r="AL25" i="36"/>
  <c r="AM25" i="36"/>
  <c r="AN25" i="36"/>
  <c r="AO25" i="36"/>
  <c r="AP25" i="36"/>
  <c r="AQ25" i="36"/>
  <c r="AR25" i="36"/>
  <c r="AS25" i="36"/>
  <c r="AT25" i="36"/>
  <c r="AU25" i="36"/>
  <c r="AV25" i="36"/>
  <c r="AW25" i="36"/>
  <c r="AX25" i="36"/>
  <c r="J26" i="36"/>
  <c r="K26" i="36"/>
  <c r="L26" i="36"/>
  <c r="M26" i="36"/>
  <c r="N26" i="36"/>
  <c r="O26" i="36"/>
  <c r="P26" i="36"/>
  <c r="Q26" i="36"/>
  <c r="R26" i="36"/>
  <c r="S26" i="36"/>
  <c r="T26" i="36"/>
  <c r="U26" i="36"/>
  <c r="V26" i="36"/>
  <c r="W26" i="36"/>
  <c r="X26" i="36"/>
  <c r="Y26" i="36"/>
  <c r="Z26" i="36"/>
  <c r="AA26" i="36"/>
  <c r="AB26" i="36"/>
  <c r="AC26" i="36"/>
  <c r="AD26" i="36"/>
  <c r="AE26" i="36"/>
  <c r="AF26" i="36"/>
  <c r="AG26" i="36"/>
  <c r="AH26" i="36"/>
  <c r="AI26" i="36"/>
  <c r="AJ26" i="36"/>
  <c r="AK26" i="36"/>
  <c r="AL26" i="36"/>
  <c r="AM26" i="36"/>
  <c r="AN26" i="36"/>
  <c r="AO26" i="36"/>
  <c r="AP26" i="36"/>
  <c r="AQ26" i="36"/>
  <c r="AR26" i="36"/>
  <c r="AS26" i="36"/>
  <c r="AT26" i="36"/>
  <c r="AU26" i="36"/>
  <c r="AV26" i="36"/>
  <c r="AW26" i="36"/>
  <c r="AX26" i="36"/>
  <c r="J27" i="36"/>
  <c r="K27" i="36"/>
  <c r="L27" i="36"/>
  <c r="M27" i="36"/>
  <c r="N27" i="36"/>
  <c r="O27" i="36"/>
  <c r="P27" i="36"/>
  <c r="Q27" i="36"/>
  <c r="R27" i="36"/>
  <c r="S27" i="36"/>
  <c r="T27" i="36"/>
  <c r="U27" i="36"/>
  <c r="V27" i="36"/>
  <c r="W27" i="36"/>
  <c r="X27" i="36"/>
  <c r="Y27" i="36"/>
  <c r="Z27" i="36"/>
  <c r="AA27" i="36"/>
  <c r="AB27" i="36"/>
  <c r="AC27" i="36"/>
  <c r="AD27" i="36"/>
  <c r="AE27" i="36"/>
  <c r="AF27" i="36"/>
  <c r="AG27" i="36"/>
  <c r="AH27" i="36"/>
  <c r="AI27" i="36"/>
  <c r="AJ27" i="36"/>
  <c r="AK27" i="36"/>
  <c r="AL27" i="36"/>
  <c r="AM27" i="36"/>
  <c r="AN27" i="36"/>
  <c r="AO27" i="36"/>
  <c r="AP27" i="36"/>
  <c r="AQ27" i="36"/>
  <c r="AR27" i="36"/>
  <c r="AS27" i="36"/>
  <c r="AT27" i="36"/>
  <c r="AU27" i="36"/>
  <c r="AV27" i="36"/>
  <c r="AW27" i="36"/>
  <c r="AX27" i="36"/>
  <c r="J28" i="36"/>
  <c r="K28" i="36"/>
  <c r="L28" i="36"/>
  <c r="M28" i="36"/>
  <c r="N28" i="36"/>
  <c r="O28" i="36"/>
  <c r="P28" i="36"/>
  <c r="Q28" i="36"/>
  <c r="R28" i="36"/>
  <c r="S28" i="36"/>
  <c r="T28" i="36"/>
  <c r="U28" i="36"/>
  <c r="V28" i="36"/>
  <c r="W28" i="36"/>
  <c r="X28" i="36"/>
  <c r="Y28" i="36"/>
  <c r="Z28" i="36"/>
  <c r="AA28" i="36"/>
  <c r="AB28" i="36"/>
  <c r="AC28" i="36"/>
  <c r="AD28" i="36"/>
  <c r="AE28" i="36"/>
  <c r="AF28" i="36"/>
  <c r="AG28" i="36"/>
  <c r="AH28" i="36"/>
  <c r="AI28" i="36"/>
  <c r="AJ28" i="36"/>
  <c r="AK28" i="36"/>
  <c r="AL28" i="36"/>
  <c r="AM28" i="36"/>
  <c r="AN28" i="36"/>
  <c r="AO28" i="36"/>
  <c r="AP28" i="36"/>
  <c r="AQ28" i="36"/>
  <c r="AR28" i="36"/>
  <c r="AS28" i="36"/>
  <c r="AT28" i="36"/>
  <c r="AU28" i="36"/>
  <c r="AV28" i="36"/>
  <c r="AW28" i="36"/>
  <c r="AX28" i="36"/>
  <c r="J20" i="36"/>
  <c r="K20" i="36"/>
  <c r="L20" i="36"/>
  <c r="M20" i="36"/>
  <c r="N20" i="36"/>
  <c r="O20" i="36"/>
  <c r="P20" i="36"/>
  <c r="Q20" i="36"/>
  <c r="R20" i="36"/>
  <c r="S20" i="36"/>
  <c r="T20" i="36"/>
  <c r="U20" i="36"/>
  <c r="V20" i="36"/>
  <c r="W20" i="36"/>
  <c r="X20" i="36"/>
  <c r="Y20" i="36"/>
  <c r="Z20" i="36"/>
  <c r="AA20" i="36"/>
  <c r="AB20" i="36"/>
  <c r="AC20" i="36"/>
  <c r="AD20" i="36"/>
  <c r="AE20" i="36"/>
  <c r="AF20" i="36"/>
  <c r="AG20" i="36"/>
  <c r="AH20" i="36"/>
  <c r="AI20" i="36"/>
  <c r="AJ20" i="36"/>
  <c r="AK20" i="36"/>
  <c r="AL20" i="36"/>
  <c r="AM20" i="36"/>
  <c r="AN20" i="36"/>
  <c r="AO20" i="36"/>
  <c r="AP20" i="36"/>
  <c r="AQ20" i="36"/>
  <c r="AR20" i="36"/>
  <c r="AS20" i="36"/>
  <c r="AT20" i="36"/>
  <c r="AU20" i="36"/>
  <c r="AV20" i="36"/>
  <c r="AW20" i="36"/>
  <c r="AX20" i="36"/>
  <c r="J29" i="36"/>
  <c r="K29" i="36"/>
  <c r="L29" i="36"/>
  <c r="M29" i="36"/>
  <c r="N29" i="36"/>
  <c r="O29" i="36"/>
  <c r="P29" i="36"/>
  <c r="Q29" i="36"/>
  <c r="R29" i="36"/>
  <c r="S29" i="36"/>
  <c r="T29" i="36"/>
  <c r="U29" i="36"/>
  <c r="V29" i="36"/>
  <c r="W29" i="36"/>
  <c r="X29" i="36"/>
  <c r="Y29" i="36"/>
  <c r="Z29" i="36"/>
  <c r="AA29" i="36"/>
  <c r="AB29" i="36"/>
  <c r="AC29" i="36"/>
  <c r="AD29" i="36"/>
  <c r="AE29" i="36"/>
  <c r="AF29" i="36"/>
  <c r="AG29" i="36"/>
  <c r="AH29" i="36"/>
  <c r="AI29" i="36"/>
  <c r="AJ29" i="36"/>
  <c r="AK29" i="36"/>
  <c r="AL29" i="36"/>
  <c r="AM29" i="36"/>
  <c r="AN29" i="36"/>
  <c r="AO29" i="36"/>
  <c r="AP29" i="36"/>
  <c r="AQ29" i="36"/>
  <c r="AR29" i="36"/>
  <c r="AS29" i="36"/>
  <c r="AT29" i="36"/>
  <c r="AU29" i="36"/>
  <c r="AV29" i="36"/>
  <c r="AW29" i="36"/>
  <c r="AX29" i="36"/>
  <c r="J30" i="36"/>
  <c r="K30" i="36"/>
  <c r="L30" i="36"/>
  <c r="M30" i="36"/>
  <c r="N30" i="36"/>
  <c r="O30" i="36"/>
  <c r="P30" i="36"/>
  <c r="Q30" i="36"/>
  <c r="R30" i="36"/>
  <c r="S30" i="36"/>
  <c r="T30" i="36"/>
  <c r="U30" i="36"/>
  <c r="V30" i="36"/>
  <c r="W30" i="36"/>
  <c r="X30" i="36"/>
  <c r="Y30" i="36"/>
  <c r="Z30" i="36"/>
  <c r="AA30" i="36"/>
  <c r="AB30" i="36"/>
  <c r="AC30" i="36"/>
  <c r="AD30" i="36"/>
  <c r="AE30" i="36"/>
  <c r="AF30" i="36"/>
  <c r="AG30" i="36"/>
  <c r="AH30" i="36"/>
  <c r="AI30" i="36"/>
  <c r="AJ30" i="36"/>
  <c r="AK30" i="36"/>
  <c r="AL30" i="36"/>
  <c r="AM30" i="36"/>
  <c r="AN30" i="36"/>
  <c r="AO30" i="36"/>
  <c r="AP30" i="36"/>
  <c r="AQ30" i="36"/>
  <c r="AR30" i="36"/>
  <c r="AS30" i="36"/>
  <c r="AT30" i="36"/>
  <c r="AU30" i="36"/>
  <c r="AV30" i="36"/>
  <c r="AW30" i="36"/>
  <c r="AX30" i="36"/>
  <c r="J31" i="36"/>
  <c r="K31" i="36"/>
  <c r="L31" i="36"/>
  <c r="M31" i="36"/>
  <c r="N31" i="36"/>
  <c r="O31" i="36"/>
  <c r="P31" i="36"/>
  <c r="Q31" i="36"/>
  <c r="R31" i="36"/>
  <c r="S31" i="36"/>
  <c r="T31" i="36"/>
  <c r="U31" i="36"/>
  <c r="V31" i="36"/>
  <c r="W31" i="36"/>
  <c r="X31" i="36"/>
  <c r="Y31" i="36"/>
  <c r="Z31" i="36"/>
  <c r="AA31" i="36"/>
  <c r="AB31" i="36"/>
  <c r="AC31" i="36"/>
  <c r="AD31" i="36"/>
  <c r="AE31" i="36"/>
  <c r="AF31" i="36"/>
  <c r="AG31" i="36"/>
  <c r="AH31" i="36"/>
  <c r="AI31" i="36"/>
  <c r="AJ31" i="36"/>
  <c r="AK31" i="36"/>
  <c r="AL31" i="36"/>
  <c r="AM31" i="36"/>
  <c r="AN31" i="36"/>
  <c r="AO31" i="36"/>
  <c r="AP31" i="36"/>
  <c r="AQ31" i="36"/>
  <c r="AR31" i="36"/>
  <c r="AS31" i="36"/>
  <c r="AT31" i="36"/>
  <c r="AU31" i="36"/>
  <c r="AV31" i="36"/>
  <c r="AW31" i="36"/>
  <c r="AX31" i="36"/>
  <c r="J32" i="36"/>
  <c r="K32" i="36"/>
  <c r="L32" i="36"/>
  <c r="M32" i="36"/>
  <c r="N32" i="36"/>
  <c r="O32" i="36"/>
  <c r="P32" i="36"/>
  <c r="Q32" i="36"/>
  <c r="R32" i="36"/>
  <c r="S32" i="36"/>
  <c r="T32" i="36"/>
  <c r="U32" i="36"/>
  <c r="V32" i="36"/>
  <c r="W32" i="36"/>
  <c r="X32" i="36"/>
  <c r="Y32" i="36"/>
  <c r="Z32" i="36"/>
  <c r="AA32" i="36"/>
  <c r="AB32" i="36"/>
  <c r="AC32" i="36"/>
  <c r="AD32" i="36"/>
  <c r="AE32" i="36"/>
  <c r="AF32" i="36"/>
  <c r="AG32" i="36"/>
  <c r="AH32" i="36"/>
  <c r="AI32" i="36"/>
  <c r="AJ32" i="36"/>
  <c r="AK32" i="36"/>
  <c r="AL32" i="36"/>
  <c r="AM32" i="36"/>
  <c r="AN32" i="36"/>
  <c r="AO32" i="36"/>
  <c r="AP32" i="36"/>
  <c r="AQ32" i="36"/>
  <c r="AR32" i="36"/>
  <c r="AS32" i="36"/>
  <c r="AT32" i="36"/>
  <c r="AU32" i="36"/>
  <c r="AV32" i="36"/>
  <c r="AW32" i="36"/>
  <c r="AX32" i="36"/>
  <c r="AH17" i="32"/>
  <c r="AI17" i="32"/>
  <c r="AJ17" i="32"/>
  <c r="AK17" i="32"/>
  <c r="AL17" i="32"/>
  <c r="AM17" i="32"/>
  <c r="AN17" i="32"/>
  <c r="AO17" i="32"/>
  <c r="AP17" i="32"/>
  <c r="AQ17" i="32"/>
  <c r="AR17" i="32"/>
  <c r="AS17" i="32"/>
  <c r="AT17" i="32"/>
  <c r="AU17" i="32"/>
  <c r="AV17" i="32"/>
  <c r="AW17" i="32"/>
  <c r="AX17" i="32"/>
  <c r="AH18" i="32"/>
  <c r="AI18" i="32"/>
  <c r="AJ18" i="32"/>
  <c r="AK18" i="32"/>
  <c r="AL18" i="32"/>
  <c r="AM18" i="32"/>
  <c r="AN18" i="32"/>
  <c r="AO18" i="32"/>
  <c r="AP18" i="32"/>
  <c r="AQ18" i="32"/>
  <c r="AR18" i="32"/>
  <c r="AS18" i="32"/>
  <c r="AT18" i="32"/>
  <c r="AU18" i="32"/>
  <c r="AV18" i="32"/>
  <c r="AW18" i="32"/>
  <c r="AX18" i="32"/>
  <c r="AH19" i="32"/>
  <c r="AI19" i="32"/>
  <c r="AJ19" i="32"/>
  <c r="AK19" i="32"/>
  <c r="AL19" i="32"/>
  <c r="AM19" i="32"/>
  <c r="AN19" i="32"/>
  <c r="AO19" i="32"/>
  <c r="AP19" i="32"/>
  <c r="AQ19" i="32"/>
  <c r="AR19" i="32"/>
  <c r="AS19" i="32"/>
  <c r="AT19" i="32"/>
  <c r="AU19" i="32"/>
  <c r="AV19" i="32"/>
  <c r="AW19" i="32"/>
  <c r="AX19" i="32"/>
  <c r="AH20" i="32"/>
  <c r="AI20" i="32"/>
  <c r="AJ20" i="32"/>
  <c r="AK20" i="32"/>
  <c r="AL20" i="32"/>
  <c r="AM20" i="32"/>
  <c r="AN20" i="32"/>
  <c r="AO20" i="32"/>
  <c r="AP20" i="32"/>
  <c r="AQ20" i="32"/>
  <c r="AR20" i="32"/>
  <c r="AS20" i="32"/>
  <c r="AT20" i="32"/>
  <c r="AU20" i="32"/>
  <c r="AV20" i="32"/>
  <c r="AW20" i="32"/>
  <c r="AX20" i="32"/>
  <c r="AH21" i="32"/>
  <c r="AI21" i="32"/>
  <c r="AJ21" i="32"/>
  <c r="AK21" i="32"/>
  <c r="AL21" i="32"/>
  <c r="AM21" i="32"/>
  <c r="AN21" i="32"/>
  <c r="AO21" i="32"/>
  <c r="AP21" i="32"/>
  <c r="AQ21" i="32"/>
  <c r="AR21" i="32"/>
  <c r="AS21" i="32"/>
  <c r="AT21" i="32"/>
  <c r="AU21" i="32"/>
  <c r="AV21" i="32"/>
  <c r="AW21" i="32"/>
  <c r="AX21" i="32"/>
  <c r="AH22" i="32"/>
  <c r="AI22" i="32"/>
  <c r="AJ22" i="32"/>
  <c r="AK22" i="32"/>
  <c r="AL22" i="32"/>
  <c r="AM22" i="32"/>
  <c r="AN22" i="32"/>
  <c r="AO22" i="32"/>
  <c r="AP22" i="32"/>
  <c r="AQ22" i="32"/>
  <c r="AR22" i="32"/>
  <c r="AS22" i="32"/>
  <c r="AT22" i="32"/>
  <c r="AU22" i="32"/>
  <c r="AV22" i="32"/>
  <c r="AW22" i="32"/>
  <c r="AX22" i="32"/>
  <c r="AH23" i="32"/>
  <c r="AI23" i="32"/>
  <c r="AJ23" i="32"/>
  <c r="AK23" i="32"/>
  <c r="AL23" i="32"/>
  <c r="AM23" i="32"/>
  <c r="AN23" i="32"/>
  <c r="AO23" i="32"/>
  <c r="AP23" i="32"/>
  <c r="AQ23" i="32"/>
  <c r="AR23" i="32"/>
  <c r="AS23" i="32"/>
  <c r="AT23" i="32"/>
  <c r="AU23" i="32"/>
  <c r="AV23" i="32"/>
  <c r="AW23" i="32"/>
  <c r="AX23" i="32"/>
  <c r="AH24" i="32"/>
  <c r="AI24" i="32"/>
  <c r="AJ24" i="32"/>
  <c r="AK24" i="32"/>
  <c r="AL24" i="32"/>
  <c r="AM24" i="32"/>
  <c r="AN24" i="32"/>
  <c r="AO24" i="32"/>
  <c r="AP24" i="32"/>
  <c r="AQ24" i="32"/>
  <c r="AR24" i="32"/>
  <c r="AS24" i="32"/>
  <c r="AT24" i="32"/>
  <c r="AU24" i="32"/>
  <c r="AV24" i="32"/>
  <c r="AW24" i="32"/>
  <c r="AX24" i="32"/>
  <c r="AH26" i="32"/>
  <c r="AI26" i="32"/>
  <c r="AJ26" i="32"/>
  <c r="AK26" i="32"/>
  <c r="AL26" i="32"/>
  <c r="AM26" i="32"/>
  <c r="AN26" i="32"/>
  <c r="AO26" i="32"/>
  <c r="AP26" i="32"/>
  <c r="AQ26" i="32"/>
  <c r="AR26" i="32"/>
  <c r="AS26" i="32"/>
  <c r="AT26" i="32"/>
  <c r="AU26" i="32"/>
  <c r="AV26" i="32"/>
  <c r="AW26" i="32"/>
  <c r="AX26" i="32"/>
  <c r="AH27" i="32"/>
  <c r="AI27" i="32"/>
  <c r="AJ27" i="32"/>
  <c r="AK27" i="32"/>
  <c r="AL27" i="32"/>
  <c r="AM27" i="32"/>
  <c r="AN27" i="32"/>
  <c r="AO27" i="32"/>
  <c r="AP27" i="32"/>
  <c r="AQ27" i="32"/>
  <c r="AR27" i="32"/>
  <c r="AS27" i="32"/>
  <c r="AT27" i="32"/>
  <c r="AU27" i="32"/>
  <c r="AV27" i="32"/>
  <c r="AW27" i="32"/>
  <c r="AX27" i="32"/>
  <c r="AH28" i="32"/>
  <c r="AI28" i="32"/>
  <c r="AJ28" i="32"/>
  <c r="AK28" i="32"/>
  <c r="AL28" i="32"/>
  <c r="AM28" i="32"/>
  <c r="AN28" i="32"/>
  <c r="AO28" i="32"/>
  <c r="AP28" i="32"/>
  <c r="AQ28" i="32"/>
  <c r="AR28" i="32"/>
  <c r="AS28" i="32"/>
  <c r="AT28" i="32"/>
  <c r="AU28" i="32"/>
  <c r="AV28" i="32"/>
  <c r="AW28" i="32"/>
  <c r="AX28" i="32"/>
  <c r="AH29" i="32"/>
  <c r="AI29" i="32"/>
  <c r="AJ29" i="32"/>
  <c r="AK29" i="32"/>
  <c r="AL29" i="32"/>
  <c r="AM29" i="32"/>
  <c r="AN29" i="32"/>
  <c r="AO29" i="32"/>
  <c r="AP29" i="32"/>
  <c r="AQ29" i="32"/>
  <c r="AR29" i="32"/>
  <c r="AS29" i="32"/>
  <c r="AT29" i="32"/>
  <c r="AU29" i="32"/>
  <c r="AV29" i="32"/>
  <c r="AW29" i="32"/>
  <c r="AX29" i="32"/>
  <c r="AH30" i="32"/>
  <c r="AI30" i="32"/>
  <c r="AJ30" i="32"/>
  <c r="AK30" i="32"/>
  <c r="AL30" i="32"/>
  <c r="AM30" i="32"/>
  <c r="AN30" i="32"/>
  <c r="AO30" i="32"/>
  <c r="AP30" i="32"/>
  <c r="AQ30" i="32"/>
  <c r="AR30" i="32"/>
  <c r="AS30" i="32"/>
  <c r="AT30" i="32"/>
  <c r="AU30" i="32"/>
  <c r="AV30" i="32"/>
  <c r="AW30" i="32"/>
  <c r="AX30" i="32"/>
  <c r="AH31" i="32"/>
  <c r="AI31" i="32"/>
  <c r="AJ31" i="32"/>
  <c r="AK31" i="32"/>
  <c r="AL31" i="32"/>
  <c r="AM31" i="32"/>
  <c r="AN31" i="32"/>
  <c r="AO31" i="32"/>
  <c r="AP31" i="32"/>
  <c r="AQ31" i="32"/>
  <c r="AR31" i="32"/>
  <c r="AS31" i="32"/>
  <c r="AT31" i="32"/>
  <c r="AU31" i="32"/>
  <c r="AV31" i="32"/>
  <c r="AW31" i="32"/>
  <c r="AX31" i="32"/>
  <c r="AH32" i="32"/>
  <c r="AI32" i="32"/>
  <c r="AJ32" i="32"/>
  <c r="AK32" i="32"/>
  <c r="AL32" i="32"/>
  <c r="AM32" i="32"/>
  <c r="AN32" i="32"/>
  <c r="AO32" i="32"/>
  <c r="AP32" i="32"/>
  <c r="AQ32" i="32"/>
  <c r="AR32" i="32"/>
  <c r="AS32" i="32"/>
  <c r="AT32" i="32"/>
  <c r="AU32" i="32"/>
  <c r="AV32" i="32"/>
  <c r="AW32" i="32"/>
  <c r="AX32" i="32"/>
  <c r="AH33" i="32"/>
  <c r="AI33" i="32"/>
  <c r="AJ33" i="32"/>
  <c r="AK33" i="32"/>
  <c r="AL33" i="32"/>
  <c r="AM33" i="32"/>
  <c r="AN33" i="32"/>
  <c r="AO33" i="32"/>
  <c r="AP33" i="32"/>
  <c r="AQ33" i="32"/>
  <c r="AR33" i="32"/>
  <c r="AS33" i="32"/>
  <c r="AT33" i="32"/>
  <c r="AU33" i="32"/>
  <c r="AV33" i="32"/>
  <c r="AW33" i="32"/>
  <c r="AX33" i="32"/>
  <c r="AH34" i="32"/>
  <c r="AI34" i="32"/>
  <c r="AJ34" i="32"/>
  <c r="AK34" i="32"/>
  <c r="AL34" i="32"/>
  <c r="AM34" i="32"/>
  <c r="AN34" i="32"/>
  <c r="AO34" i="32"/>
  <c r="AP34" i="32"/>
  <c r="AQ34" i="32"/>
  <c r="AS34" i="32"/>
  <c r="AT34" i="32"/>
  <c r="AU34" i="32"/>
  <c r="AV34" i="32"/>
  <c r="AW34" i="32"/>
  <c r="AX34" i="32"/>
  <c r="AH35" i="32"/>
  <c r="AI35" i="32"/>
  <c r="AJ35" i="32"/>
  <c r="AK35" i="32"/>
  <c r="AL35" i="32"/>
  <c r="AM35" i="32"/>
  <c r="AN35" i="32"/>
  <c r="AO35" i="32"/>
  <c r="AP35" i="32"/>
  <c r="AQ35" i="32"/>
  <c r="AR35" i="32"/>
  <c r="AS35" i="32"/>
  <c r="AT35" i="32"/>
  <c r="AU35" i="32"/>
  <c r="AV35" i="32"/>
  <c r="AW35" i="32"/>
  <c r="AX35" i="32"/>
  <c r="AH36" i="32"/>
  <c r="AI36" i="32"/>
  <c r="AJ36" i="32"/>
  <c r="AK36" i="32"/>
  <c r="AL36" i="32"/>
  <c r="AM36" i="32"/>
  <c r="AN36" i="32"/>
  <c r="AO36" i="32"/>
  <c r="AP36" i="32"/>
  <c r="AQ36" i="32"/>
  <c r="AR36" i="32"/>
  <c r="AS36" i="32"/>
  <c r="AT36" i="32"/>
  <c r="AU36" i="32"/>
  <c r="AV36" i="32"/>
  <c r="AW36" i="32"/>
  <c r="AX36" i="32"/>
  <c r="AH37" i="32"/>
  <c r="AI37" i="32"/>
  <c r="AJ37" i="32"/>
  <c r="AK37" i="32"/>
  <c r="AL37" i="32"/>
  <c r="AM37" i="32"/>
  <c r="AN37" i="32"/>
  <c r="AO37" i="32"/>
  <c r="AP37" i="32"/>
  <c r="AQ37" i="32"/>
  <c r="AR37" i="32"/>
  <c r="AS37" i="32"/>
  <c r="AT37" i="32"/>
  <c r="AU37" i="32"/>
  <c r="AV37" i="32"/>
  <c r="AW37" i="32"/>
  <c r="AX37" i="32"/>
  <c r="AH38" i="32"/>
  <c r="AI38" i="32"/>
  <c r="AJ38" i="32"/>
  <c r="AK38" i="32"/>
  <c r="AL38" i="32"/>
  <c r="AM38" i="32"/>
  <c r="AN38" i="32"/>
  <c r="AO38" i="32"/>
  <c r="AP38" i="32"/>
  <c r="AQ38" i="32"/>
  <c r="AR38" i="32"/>
  <c r="AS38" i="32"/>
  <c r="AT38" i="32"/>
  <c r="AU38" i="32"/>
  <c r="AV38" i="32"/>
  <c r="AW38" i="32"/>
  <c r="AX38" i="32"/>
  <c r="AH39" i="32"/>
  <c r="AI39" i="32"/>
  <c r="AJ39" i="32"/>
  <c r="AK39" i="32"/>
  <c r="AL39" i="32"/>
  <c r="AM39" i="32"/>
  <c r="AN39" i="32"/>
  <c r="AO39" i="32"/>
  <c r="AP39" i="32"/>
  <c r="AQ39" i="32"/>
  <c r="AR39" i="32"/>
  <c r="AS39" i="32"/>
  <c r="AT39" i="32"/>
  <c r="AU39" i="32"/>
  <c r="AV39" i="32"/>
  <c r="AW39" i="32"/>
  <c r="AX39" i="32"/>
  <c r="AH40" i="32"/>
  <c r="AI40" i="32"/>
  <c r="AJ40" i="32"/>
  <c r="AK40" i="32"/>
  <c r="AL40" i="32"/>
  <c r="AM40" i="32"/>
  <c r="AN40" i="32"/>
  <c r="AO40" i="32"/>
  <c r="AP40" i="32"/>
  <c r="AQ40" i="32"/>
  <c r="AR40" i="32"/>
  <c r="AS40" i="32"/>
  <c r="AT40" i="32"/>
  <c r="AU40" i="32"/>
  <c r="AV40" i="32"/>
  <c r="AW40" i="32"/>
  <c r="AX40" i="32"/>
  <c r="AH41" i="32"/>
  <c r="AI41" i="32"/>
  <c r="AJ41" i="32"/>
  <c r="AK41" i="32"/>
  <c r="AL41" i="32"/>
  <c r="AM41" i="32"/>
  <c r="AN41" i="32"/>
  <c r="AO41" i="32"/>
  <c r="AP41" i="32"/>
  <c r="AQ41" i="32"/>
  <c r="AR41" i="32"/>
  <c r="AS41" i="32"/>
  <c r="AT41" i="32"/>
  <c r="AU41" i="32"/>
  <c r="AV41" i="32"/>
  <c r="AW41" i="32"/>
  <c r="AX41" i="32"/>
  <c r="AH25" i="32"/>
  <c r="AI25" i="32"/>
  <c r="AJ25" i="32"/>
  <c r="AK25" i="32"/>
  <c r="AL25" i="32"/>
  <c r="AM25" i="32"/>
  <c r="AN25" i="32"/>
  <c r="AO25" i="32"/>
  <c r="AP25" i="32"/>
  <c r="AQ25" i="32"/>
  <c r="AR25" i="32"/>
  <c r="AS25" i="32"/>
  <c r="AT25" i="32"/>
  <c r="AU25" i="32"/>
  <c r="AV25" i="32"/>
  <c r="AW25" i="32"/>
  <c r="AX25" i="32"/>
  <c r="AH42" i="32"/>
  <c r="AI42" i="32"/>
  <c r="AJ42" i="32"/>
  <c r="AK42" i="32"/>
  <c r="AL42" i="32"/>
  <c r="AM42" i="32"/>
  <c r="AN42" i="32"/>
  <c r="AO42" i="32"/>
  <c r="AP42" i="32"/>
  <c r="AQ42" i="32"/>
  <c r="AR42" i="32"/>
  <c r="AS42" i="32"/>
  <c r="AT42" i="32"/>
  <c r="AU42" i="32"/>
  <c r="AV42" i="32"/>
  <c r="AW42" i="32"/>
  <c r="AX42" i="32"/>
  <c r="AH43" i="32"/>
  <c r="AI43" i="32"/>
  <c r="AJ43" i="32"/>
  <c r="AK43" i="32"/>
  <c r="AL43" i="32"/>
  <c r="AM43" i="32"/>
  <c r="AN43" i="32"/>
  <c r="AO43" i="32"/>
  <c r="AP43" i="32"/>
  <c r="AQ43" i="32"/>
  <c r="AR43" i="32"/>
  <c r="AS43" i="32"/>
  <c r="AT43" i="32"/>
  <c r="AU43" i="32"/>
  <c r="AV43" i="32"/>
  <c r="AW43" i="32"/>
  <c r="AX43" i="32"/>
  <c r="AH44" i="32"/>
  <c r="AI44" i="32"/>
  <c r="AJ44" i="32"/>
  <c r="AK44" i="32"/>
  <c r="AL44" i="32"/>
  <c r="AM44" i="32"/>
  <c r="AN44" i="32"/>
  <c r="AO44" i="32"/>
  <c r="AP44" i="32"/>
  <c r="AQ44" i="32"/>
  <c r="AR44" i="32"/>
  <c r="AS44" i="32"/>
  <c r="AT44" i="32"/>
  <c r="AU44" i="32"/>
  <c r="AV44" i="32"/>
  <c r="AW44" i="32"/>
  <c r="AX44" i="32"/>
  <c r="AH45" i="32"/>
  <c r="AI45" i="32"/>
  <c r="AJ45" i="32"/>
  <c r="AK45" i="32"/>
  <c r="AL45" i="32"/>
  <c r="AM45" i="32"/>
  <c r="AN45" i="32"/>
  <c r="AO45" i="32"/>
  <c r="AP45" i="32"/>
  <c r="AQ45" i="32"/>
  <c r="AS45" i="32"/>
  <c r="AT45" i="32"/>
  <c r="AU45" i="32"/>
  <c r="AV45" i="32"/>
  <c r="AW45" i="32"/>
  <c r="AX45" i="32"/>
  <c r="T22" i="32"/>
  <c r="U22" i="32"/>
  <c r="V22" i="32"/>
  <c r="W22" i="32"/>
  <c r="X22" i="32"/>
  <c r="Y22" i="32"/>
  <c r="Z22" i="32"/>
  <c r="AA22" i="32"/>
  <c r="AB22" i="32"/>
  <c r="AC22" i="32"/>
  <c r="AD22" i="32"/>
  <c r="AE22" i="32"/>
  <c r="AF22" i="32"/>
  <c r="AG22" i="32"/>
  <c r="T23" i="32"/>
  <c r="U23" i="32"/>
  <c r="V23" i="32"/>
  <c r="W23" i="32"/>
  <c r="X23" i="32"/>
  <c r="Y23" i="32"/>
  <c r="Z23" i="32"/>
  <c r="AA23" i="32"/>
  <c r="AB23" i="32"/>
  <c r="AC23" i="32"/>
  <c r="AD23" i="32"/>
  <c r="AE23" i="32"/>
  <c r="AF23" i="32"/>
  <c r="AG23" i="32"/>
  <c r="T24" i="32"/>
  <c r="U24" i="32"/>
  <c r="V24" i="32"/>
  <c r="W24" i="32"/>
  <c r="X24" i="32"/>
  <c r="Y24" i="32"/>
  <c r="Z24" i="32"/>
  <c r="AA24" i="32"/>
  <c r="AB24" i="32"/>
  <c r="AC24" i="32"/>
  <c r="AD24" i="32"/>
  <c r="AE24" i="32"/>
  <c r="AF24" i="32"/>
  <c r="AG24" i="32"/>
  <c r="T26" i="32"/>
  <c r="U26" i="32"/>
  <c r="V26" i="32"/>
  <c r="W26" i="32"/>
  <c r="X26" i="32"/>
  <c r="Y26" i="32"/>
  <c r="Z26" i="32"/>
  <c r="AA26" i="32"/>
  <c r="AB26" i="32"/>
  <c r="AC26" i="32"/>
  <c r="AD26" i="32"/>
  <c r="AE26" i="32"/>
  <c r="AF26" i="32"/>
  <c r="AG26" i="32"/>
  <c r="T27" i="32"/>
  <c r="U27" i="32"/>
  <c r="W27" i="32"/>
  <c r="X27" i="32"/>
  <c r="Y27" i="32"/>
  <c r="Z27" i="32"/>
  <c r="AA27" i="32"/>
  <c r="AB27" i="32"/>
  <c r="AC27" i="32"/>
  <c r="AD27" i="32"/>
  <c r="AE27" i="32"/>
  <c r="AF27" i="32"/>
  <c r="AG27" i="32"/>
  <c r="T28" i="32"/>
  <c r="U28" i="32"/>
  <c r="V28" i="32"/>
  <c r="W28" i="32"/>
  <c r="X28" i="32"/>
  <c r="Y28" i="32"/>
  <c r="Z28" i="32"/>
  <c r="AA28" i="32"/>
  <c r="AB28" i="32"/>
  <c r="AC28" i="32"/>
  <c r="AD28" i="32"/>
  <c r="AE28" i="32"/>
  <c r="AF28" i="32"/>
  <c r="AG28" i="32"/>
  <c r="T29" i="32"/>
  <c r="U29" i="32"/>
  <c r="W29" i="32"/>
  <c r="X29" i="32"/>
  <c r="Y29" i="32"/>
  <c r="Z29" i="32"/>
  <c r="AA29" i="32"/>
  <c r="AB29" i="32"/>
  <c r="AC29" i="32"/>
  <c r="AD29" i="32"/>
  <c r="AE29" i="32"/>
  <c r="AF29" i="32"/>
  <c r="AG29" i="32"/>
  <c r="T30" i="32"/>
  <c r="U30" i="32"/>
  <c r="W30" i="32"/>
  <c r="X30" i="32"/>
  <c r="Y30" i="32"/>
  <c r="Z30" i="32"/>
  <c r="AA30" i="32"/>
  <c r="AB30" i="32"/>
  <c r="AC30" i="32"/>
  <c r="AD30" i="32"/>
  <c r="AE30" i="32"/>
  <c r="AF30" i="32"/>
  <c r="AG30" i="32"/>
  <c r="T31" i="32"/>
  <c r="U31" i="32"/>
  <c r="W31" i="32"/>
  <c r="X31" i="32"/>
  <c r="Y31" i="32"/>
  <c r="Z31" i="32"/>
  <c r="AA31" i="32"/>
  <c r="AB31" i="32"/>
  <c r="AC31" i="32"/>
  <c r="AD31" i="32"/>
  <c r="AE31" i="32"/>
  <c r="AF31" i="32"/>
  <c r="AG31" i="32"/>
  <c r="T32" i="32"/>
  <c r="U32" i="32"/>
  <c r="V32" i="32"/>
  <c r="W32" i="32"/>
  <c r="X32" i="32"/>
  <c r="Y32" i="32"/>
  <c r="Z32" i="32"/>
  <c r="AA32" i="32"/>
  <c r="AB32" i="32"/>
  <c r="AC32" i="32"/>
  <c r="AD32" i="32"/>
  <c r="AE32" i="32"/>
  <c r="AF32" i="32"/>
  <c r="AG32" i="32"/>
  <c r="T33" i="32"/>
  <c r="U33" i="32"/>
  <c r="V33" i="32"/>
  <c r="W33" i="32"/>
  <c r="X33" i="32"/>
  <c r="Y33" i="32"/>
  <c r="Z33" i="32"/>
  <c r="AA33" i="32"/>
  <c r="AB33" i="32"/>
  <c r="AC33" i="32"/>
  <c r="AD33" i="32"/>
  <c r="AE33" i="32"/>
  <c r="AF33" i="32"/>
  <c r="AG33" i="32"/>
  <c r="T34" i="32"/>
  <c r="U34" i="32"/>
  <c r="V34" i="32"/>
  <c r="W34" i="32"/>
  <c r="X34" i="32"/>
  <c r="Y34" i="32"/>
  <c r="Z34" i="32"/>
  <c r="AA34" i="32"/>
  <c r="AB34" i="32"/>
  <c r="AC34" i="32"/>
  <c r="AD34" i="32"/>
  <c r="AE34" i="32"/>
  <c r="AF34" i="32"/>
  <c r="AG34" i="32"/>
  <c r="T35" i="32"/>
  <c r="U35" i="32"/>
  <c r="V35" i="32"/>
  <c r="W35" i="32"/>
  <c r="X35" i="32"/>
  <c r="Y35" i="32"/>
  <c r="Z35" i="32"/>
  <c r="AA35" i="32"/>
  <c r="AB35" i="32"/>
  <c r="AC35" i="32"/>
  <c r="AD35" i="32"/>
  <c r="AE35" i="32"/>
  <c r="AF35" i="32"/>
  <c r="AG35" i="32"/>
  <c r="T36" i="32"/>
  <c r="U36" i="32"/>
  <c r="V36" i="32"/>
  <c r="W36" i="32"/>
  <c r="X36" i="32"/>
  <c r="Y36" i="32"/>
  <c r="Z36" i="32"/>
  <c r="AA36" i="32"/>
  <c r="AB36" i="32"/>
  <c r="AC36" i="32"/>
  <c r="AD36" i="32"/>
  <c r="AE36" i="32"/>
  <c r="AF36" i="32"/>
  <c r="AG36" i="32"/>
  <c r="T37" i="32"/>
  <c r="U37" i="32"/>
  <c r="V37" i="32"/>
  <c r="W37" i="32"/>
  <c r="X37" i="32"/>
  <c r="Y37" i="32"/>
  <c r="Z37" i="32"/>
  <c r="AA37" i="32"/>
  <c r="AB37" i="32"/>
  <c r="AC37" i="32"/>
  <c r="AD37" i="32"/>
  <c r="AE37" i="32"/>
  <c r="AF37" i="32"/>
  <c r="AG37" i="32"/>
  <c r="T38" i="32"/>
  <c r="U38" i="32"/>
  <c r="V38" i="32"/>
  <c r="W38" i="32"/>
  <c r="X38" i="32"/>
  <c r="Y38" i="32"/>
  <c r="Z38" i="32"/>
  <c r="AA38" i="32"/>
  <c r="AB38" i="32"/>
  <c r="AC38" i="32"/>
  <c r="AD38" i="32"/>
  <c r="AE38" i="32"/>
  <c r="AF38" i="32"/>
  <c r="AG38" i="32"/>
  <c r="T39" i="32"/>
  <c r="U39" i="32"/>
  <c r="V39" i="32"/>
  <c r="W39" i="32"/>
  <c r="X39" i="32"/>
  <c r="Y39" i="32"/>
  <c r="Z39" i="32"/>
  <c r="AA39" i="32"/>
  <c r="AB39" i="32"/>
  <c r="AC39" i="32"/>
  <c r="AD39" i="32"/>
  <c r="AE39" i="32"/>
  <c r="AF39" i="32"/>
  <c r="AG39" i="32"/>
  <c r="T40" i="32"/>
  <c r="U40" i="32"/>
  <c r="V40" i="32"/>
  <c r="W40" i="32"/>
  <c r="X40" i="32"/>
  <c r="Y40" i="32"/>
  <c r="Z40" i="32"/>
  <c r="AA40" i="32"/>
  <c r="AB40" i="32"/>
  <c r="AC40" i="32"/>
  <c r="AD40" i="32"/>
  <c r="AE40" i="32"/>
  <c r="AF40" i="32"/>
  <c r="AG40" i="32"/>
  <c r="T41" i="32"/>
  <c r="U41" i="32"/>
  <c r="V41" i="32"/>
  <c r="W41" i="32"/>
  <c r="X41" i="32"/>
  <c r="Y41" i="32"/>
  <c r="Z41" i="32"/>
  <c r="AA41" i="32"/>
  <c r="AB41" i="32"/>
  <c r="AC41" i="32"/>
  <c r="AD41" i="32"/>
  <c r="AE41" i="32"/>
  <c r="AF41" i="32"/>
  <c r="AG41" i="32"/>
  <c r="T25" i="32"/>
  <c r="U25" i="32"/>
  <c r="V25" i="32"/>
  <c r="W25" i="32"/>
  <c r="X25" i="32"/>
  <c r="Y25" i="32"/>
  <c r="Z25" i="32"/>
  <c r="AA25" i="32"/>
  <c r="AB25" i="32"/>
  <c r="AC25" i="32"/>
  <c r="AD25" i="32"/>
  <c r="AE25" i="32"/>
  <c r="AF25" i="32"/>
  <c r="AG25" i="32"/>
  <c r="T42" i="32"/>
  <c r="U42" i="32"/>
  <c r="V42" i="32"/>
  <c r="W42" i="32"/>
  <c r="X42" i="32"/>
  <c r="Y42" i="32"/>
  <c r="Z42" i="32"/>
  <c r="AA42" i="32"/>
  <c r="AB42" i="32"/>
  <c r="AC42" i="32"/>
  <c r="AD42" i="32"/>
  <c r="AE42" i="32"/>
  <c r="AF42" i="32"/>
  <c r="AG42" i="32"/>
  <c r="T43" i="32"/>
  <c r="U43" i="32"/>
  <c r="V43" i="32"/>
  <c r="W43" i="32"/>
  <c r="X43" i="32"/>
  <c r="Y43" i="32"/>
  <c r="Z43" i="32"/>
  <c r="AA43" i="32"/>
  <c r="AB43" i="32"/>
  <c r="AC43" i="32"/>
  <c r="AD43" i="32"/>
  <c r="AE43" i="32"/>
  <c r="AF43" i="32"/>
  <c r="AG43" i="32"/>
  <c r="T44" i="32"/>
  <c r="U44" i="32"/>
  <c r="V44" i="32"/>
  <c r="W44" i="32"/>
  <c r="X44" i="32"/>
  <c r="Y44" i="32"/>
  <c r="Z44" i="32"/>
  <c r="AA44" i="32"/>
  <c r="AB44" i="32"/>
  <c r="AC44" i="32"/>
  <c r="AD44" i="32"/>
  <c r="AE44" i="32"/>
  <c r="AF44" i="32"/>
  <c r="AG44" i="32"/>
  <c r="L65" i="39" l="1"/>
  <c r="L66" i="39" s="1"/>
  <c r="P65" i="39"/>
  <c r="P66" i="39" s="1"/>
  <c r="T65" i="39"/>
  <c r="T66" i="39" s="1"/>
  <c r="X65" i="39"/>
  <c r="X66" i="39" s="1"/>
  <c r="AB65" i="39"/>
  <c r="AB66" i="39" s="1"/>
  <c r="AF65" i="39"/>
  <c r="AF66" i="39" s="1"/>
  <c r="AJ65" i="39"/>
  <c r="AJ66" i="39" s="1"/>
  <c r="AN65" i="39"/>
  <c r="AN66" i="39" s="1"/>
  <c r="AR65" i="39"/>
  <c r="AR66" i="39" s="1"/>
  <c r="AV65" i="39"/>
  <c r="AV66" i="39" s="1"/>
  <c r="M65" i="39"/>
  <c r="M66" i="39" s="1"/>
  <c r="Q65" i="39"/>
  <c r="Q66" i="39" s="1"/>
  <c r="U65" i="39"/>
  <c r="U66" i="39" s="1"/>
  <c r="Y65" i="39"/>
  <c r="Y66" i="39" s="1"/>
  <c r="AC65" i="39"/>
  <c r="AC66" i="39" s="1"/>
  <c r="AG65" i="39"/>
  <c r="AG66" i="39" s="1"/>
  <c r="AK65" i="39"/>
  <c r="AK66" i="39" s="1"/>
  <c r="AO65" i="39"/>
  <c r="AO66" i="39" s="1"/>
  <c r="AS65" i="39"/>
  <c r="AS66" i="39" s="1"/>
  <c r="AW65" i="39"/>
  <c r="AW66" i="39" s="1"/>
  <c r="N65" i="39"/>
  <c r="N66" i="39" s="1"/>
  <c r="R65" i="39"/>
  <c r="R66" i="39" s="1"/>
  <c r="V65" i="39"/>
  <c r="V66" i="39" s="1"/>
  <c r="Z65" i="39"/>
  <c r="Z66" i="39" s="1"/>
  <c r="AD65" i="39"/>
  <c r="AD66" i="39" s="1"/>
  <c r="AH65" i="39"/>
  <c r="AH66" i="39" s="1"/>
  <c r="AL65" i="39"/>
  <c r="AL66" i="39" s="1"/>
  <c r="AP65" i="39"/>
  <c r="AP66" i="39" s="1"/>
  <c r="AT65" i="39"/>
  <c r="AT66" i="39" s="1"/>
  <c r="J65" i="39"/>
  <c r="S65" i="39"/>
  <c r="S66" i="39" s="1"/>
  <c r="AI65" i="39"/>
  <c r="AI66" i="39" s="1"/>
  <c r="AA65" i="39"/>
  <c r="AA66" i="39" s="1"/>
  <c r="O65" i="39"/>
  <c r="O66" i="39" s="1"/>
  <c r="AU65" i="39"/>
  <c r="AU66" i="39" s="1"/>
  <c r="W65" i="39"/>
  <c r="W66" i="39" s="1"/>
  <c r="AM65" i="39"/>
  <c r="AM66" i="39" s="1"/>
  <c r="K65" i="39"/>
  <c r="K66" i="39" s="1"/>
  <c r="AQ65" i="39"/>
  <c r="AQ66" i="39" s="1"/>
  <c r="AE65" i="39"/>
  <c r="AE66" i="39" s="1"/>
  <c r="J63" i="41"/>
  <c r="AX63" i="41" s="1"/>
  <c r="AX62" i="41"/>
  <c r="L54" i="42"/>
  <c r="L55" i="42" s="1"/>
  <c r="P54" i="42"/>
  <c r="P55" i="42" s="1"/>
  <c r="T54" i="42"/>
  <c r="T55" i="42" s="1"/>
  <c r="X54" i="42"/>
  <c r="X55" i="42" s="1"/>
  <c r="AB54" i="42"/>
  <c r="AB55" i="42" s="1"/>
  <c r="AF54" i="42"/>
  <c r="AF55" i="42" s="1"/>
  <c r="AJ54" i="42"/>
  <c r="AJ55" i="42" s="1"/>
  <c r="AN54" i="42"/>
  <c r="AN55" i="42" s="1"/>
  <c r="AR54" i="42"/>
  <c r="AR55" i="42" s="1"/>
  <c r="AV54" i="42"/>
  <c r="AV55" i="42" s="1"/>
  <c r="AD54" i="42"/>
  <c r="AD55" i="42" s="1"/>
  <c r="AL54" i="42"/>
  <c r="AL55" i="42" s="1"/>
  <c r="AT54" i="42"/>
  <c r="AT55" i="42" s="1"/>
  <c r="J54" i="42"/>
  <c r="K54" i="42"/>
  <c r="K55" i="42" s="1"/>
  <c r="S54" i="42"/>
  <c r="S55" i="42" s="1"/>
  <c r="AA54" i="42"/>
  <c r="AA55" i="42" s="1"/>
  <c r="AI54" i="42"/>
  <c r="AI55" i="42" s="1"/>
  <c r="AQ54" i="42"/>
  <c r="AQ55" i="42" s="1"/>
  <c r="M54" i="42"/>
  <c r="M55" i="42" s="1"/>
  <c r="Q54" i="42"/>
  <c r="Q55" i="42" s="1"/>
  <c r="U54" i="42"/>
  <c r="U55" i="42" s="1"/>
  <c r="Y54" i="42"/>
  <c r="Y55" i="42" s="1"/>
  <c r="AC54" i="42"/>
  <c r="AC55" i="42" s="1"/>
  <c r="AG54" i="42"/>
  <c r="AG55" i="42" s="1"/>
  <c r="AK54" i="42"/>
  <c r="AK55" i="42" s="1"/>
  <c r="AO54" i="42"/>
  <c r="AO55" i="42" s="1"/>
  <c r="AS54" i="42"/>
  <c r="AS55" i="42" s="1"/>
  <c r="AW54" i="42"/>
  <c r="AW55" i="42" s="1"/>
  <c r="N54" i="42"/>
  <c r="N55" i="42" s="1"/>
  <c r="R54" i="42"/>
  <c r="R55" i="42" s="1"/>
  <c r="V54" i="42"/>
  <c r="V55" i="42" s="1"/>
  <c r="Z54" i="42"/>
  <c r="Z55" i="42" s="1"/>
  <c r="AH54" i="42"/>
  <c r="AH55" i="42" s="1"/>
  <c r="AP54" i="42"/>
  <c r="AP55" i="42" s="1"/>
  <c r="O54" i="42"/>
  <c r="O55" i="42" s="1"/>
  <c r="W54" i="42"/>
  <c r="W55" i="42" s="1"/>
  <c r="AE54" i="42"/>
  <c r="AE55" i="42" s="1"/>
  <c r="AM54" i="42"/>
  <c r="AM55" i="42" s="1"/>
  <c r="AU54" i="42"/>
  <c r="AU55" i="42" s="1"/>
  <c r="J53" i="43"/>
  <c r="AX53" i="43" s="1"/>
  <c r="AX52" i="43"/>
  <c r="J62" i="37"/>
  <c r="AX62" i="37" s="1"/>
  <c r="AX61" i="37"/>
  <c r="S23" i="34"/>
  <c r="T23" i="34"/>
  <c r="U23" i="34"/>
  <c r="V23" i="34"/>
  <c r="W23" i="34"/>
  <c r="X23" i="34"/>
  <c r="Y23" i="34"/>
  <c r="Z23" i="34"/>
  <c r="AA23" i="34"/>
  <c r="AB23" i="34"/>
  <c r="AC23" i="34"/>
  <c r="AD23" i="34"/>
  <c r="AE23" i="34"/>
  <c r="AF23" i="34"/>
  <c r="AG23" i="34"/>
  <c r="AH23" i="34"/>
  <c r="AI23" i="34"/>
  <c r="AJ23" i="34"/>
  <c r="AK23" i="34"/>
  <c r="AL23" i="34"/>
  <c r="AM23" i="34"/>
  <c r="AN23" i="34"/>
  <c r="S24" i="34"/>
  <c r="T24" i="34"/>
  <c r="U24" i="34"/>
  <c r="V24" i="34"/>
  <c r="W24" i="34"/>
  <c r="X24" i="34"/>
  <c r="Y24" i="34"/>
  <c r="Z24" i="34"/>
  <c r="AA24" i="34"/>
  <c r="AB24" i="34"/>
  <c r="AC24" i="34"/>
  <c r="AD24" i="34"/>
  <c r="AE24" i="34"/>
  <c r="AF24" i="34"/>
  <c r="AG24" i="34"/>
  <c r="AH24" i="34"/>
  <c r="AI24" i="34"/>
  <c r="AJ24" i="34"/>
  <c r="AK24" i="34"/>
  <c r="AL24" i="34"/>
  <c r="AM24" i="34"/>
  <c r="AN24" i="34"/>
  <c r="S25" i="34"/>
  <c r="T25" i="34"/>
  <c r="U25" i="34"/>
  <c r="V25" i="34"/>
  <c r="W25" i="34"/>
  <c r="X25" i="34"/>
  <c r="Y25" i="34"/>
  <c r="Z25" i="34"/>
  <c r="AA25" i="34"/>
  <c r="AB25" i="34"/>
  <c r="AC25" i="34"/>
  <c r="AD25" i="34"/>
  <c r="AE25" i="34"/>
  <c r="AF25" i="34"/>
  <c r="AG25" i="34"/>
  <c r="AH25" i="34"/>
  <c r="AI25" i="34"/>
  <c r="AJ25" i="34"/>
  <c r="AK25" i="34"/>
  <c r="AL25" i="34"/>
  <c r="AM25" i="34"/>
  <c r="AN25" i="34"/>
  <c r="S26" i="34"/>
  <c r="T26" i="34"/>
  <c r="U26" i="34"/>
  <c r="V26" i="34"/>
  <c r="W26" i="34"/>
  <c r="X26" i="34"/>
  <c r="Y26" i="34"/>
  <c r="Z26" i="34"/>
  <c r="AA26" i="34"/>
  <c r="AB26" i="34"/>
  <c r="AC26" i="34"/>
  <c r="AD26" i="34"/>
  <c r="AE26" i="34"/>
  <c r="AF26" i="34"/>
  <c r="AG26" i="34"/>
  <c r="AH26" i="34"/>
  <c r="AI26" i="34"/>
  <c r="AJ26" i="34"/>
  <c r="AK26" i="34"/>
  <c r="AL26" i="34"/>
  <c r="AM26" i="34"/>
  <c r="AN26" i="34"/>
  <c r="S27" i="34"/>
  <c r="T27" i="34"/>
  <c r="U27" i="34"/>
  <c r="V27" i="34"/>
  <c r="W27" i="34"/>
  <c r="X27" i="34"/>
  <c r="Y27" i="34"/>
  <c r="Z27" i="34"/>
  <c r="AA27" i="34"/>
  <c r="AB27" i="34"/>
  <c r="AC27" i="34"/>
  <c r="AD27" i="34"/>
  <c r="AE27" i="34"/>
  <c r="AF27" i="34"/>
  <c r="AG27" i="34"/>
  <c r="AH27" i="34"/>
  <c r="AI27" i="34"/>
  <c r="AJ27" i="34"/>
  <c r="AK27" i="34"/>
  <c r="AL27" i="34"/>
  <c r="AM27" i="34"/>
  <c r="AN27" i="34"/>
  <c r="S28" i="34"/>
  <c r="T28" i="34"/>
  <c r="U28" i="34"/>
  <c r="V28" i="34"/>
  <c r="W28" i="34"/>
  <c r="X28" i="34"/>
  <c r="Y28" i="34"/>
  <c r="Z28" i="34"/>
  <c r="AA28" i="34"/>
  <c r="AB28" i="34"/>
  <c r="AC28" i="34"/>
  <c r="AD28" i="34"/>
  <c r="AE28" i="34"/>
  <c r="AF28" i="34"/>
  <c r="AG28" i="34"/>
  <c r="AH28" i="34"/>
  <c r="AI28" i="34"/>
  <c r="AJ28" i="34"/>
  <c r="AK28" i="34"/>
  <c r="AL28" i="34"/>
  <c r="AM28" i="34"/>
  <c r="AN28" i="34"/>
  <c r="S29" i="34"/>
  <c r="T29" i="34"/>
  <c r="U29" i="34"/>
  <c r="V29" i="34"/>
  <c r="W29" i="34"/>
  <c r="X29" i="34"/>
  <c r="Y29" i="34"/>
  <c r="Z29" i="34"/>
  <c r="AA29" i="34"/>
  <c r="AB29" i="34"/>
  <c r="AC29" i="34"/>
  <c r="AD29" i="34"/>
  <c r="AE29" i="34"/>
  <c r="AF29" i="34"/>
  <c r="AG29" i="34"/>
  <c r="AH29" i="34"/>
  <c r="AI29" i="34"/>
  <c r="AJ29" i="34"/>
  <c r="AK29" i="34"/>
  <c r="AL29" i="34"/>
  <c r="AM29" i="34"/>
  <c r="AN29" i="34"/>
  <c r="S30" i="34"/>
  <c r="T30" i="34"/>
  <c r="U30" i="34"/>
  <c r="V30" i="34"/>
  <c r="W30" i="34"/>
  <c r="X30" i="34"/>
  <c r="Y30" i="34"/>
  <c r="Z30" i="34"/>
  <c r="AA30" i="34"/>
  <c r="AB30" i="34"/>
  <c r="AC30" i="34"/>
  <c r="AD30" i="34"/>
  <c r="AE30" i="34"/>
  <c r="AF30" i="34"/>
  <c r="AG30" i="34"/>
  <c r="AH30" i="34"/>
  <c r="AI30" i="34"/>
  <c r="AJ30" i="34"/>
  <c r="AK30" i="34"/>
  <c r="AL30" i="34"/>
  <c r="AM30" i="34"/>
  <c r="AN30" i="34"/>
  <c r="S31" i="34"/>
  <c r="T31" i="34"/>
  <c r="U31" i="34"/>
  <c r="V31" i="34"/>
  <c r="W31" i="34"/>
  <c r="X31" i="34"/>
  <c r="Y31" i="34"/>
  <c r="Z31" i="34"/>
  <c r="AA31" i="34"/>
  <c r="AB31" i="34"/>
  <c r="AC31" i="34"/>
  <c r="AD31" i="34"/>
  <c r="AE31" i="34"/>
  <c r="AF31" i="34"/>
  <c r="AG31" i="34"/>
  <c r="AH31" i="34"/>
  <c r="AI31" i="34"/>
  <c r="AJ31" i="34"/>
  <c r="AK31" i="34"/>
  <c r="AL31" i="34"/>
  <c r="AM31" i="34"/>
  <c r="AN31" i="34"/>
  <c r="S32" i="34"/>
  <c r="T32" i="34"/>
  <c r="U32" i="34"/>
  <c r="V32" i="34"/>
  <c r="W32" i="34"/>
  <c r="X32" i="34"/>
  <c r="Y32" i="34"/>
  <c r="Z32" i="34"/>
  <c r="AA32" i="34"/>
  <c r="AB32" i="34"/>
  <c r="AC32" i="34"/>
  <c r="AD32" i="34"/>
  <c r="AE32" i="34"/>
  <c r="AF32" i="34"/>
  <c r="AG32" i="34"/>
  <c r="AH32" i="34"/>
  <c r="AI32" i="34"/>
  <c r="AJ32" i="34"/>
  <c r="AK32" i="34"/>
  <c r="AL32" i="34"/>
  <c r="AM32" i="34"/>
  <c r="AN32" i="34"/>
  <c r="S33" i="34"/>
  <c r="T33" i="34"/>
  <c r="U33" i="34"/>
  <c r="V33" i="34"/>
  <c r="W33" i="34"/>
  <c r="X33" i="34"/>
  <c r="Y33" i="34"/>
  <c r="Z33" i="34"/>
  <c r="AA33" i="34"/>
  <c r="AB33" i="34"/>
  <c r="AC33" i="34"/>
  <c r="AD33" i="34"/>
  <c r="AE33" i="34"/>
  <c r="AF33" i="34"/>
  <c r="AG33" i="34"/>
  <c r="AH33" i="34"/>
  <c r="AI33" i="34"/>
  <c r="AJ33" i="34"/>
  <c r="AK33" i="34"/>
  <c r="AL33" i="34"/>
  <c r="AM33" i="34"/>
  <c r="AN33" i="34"/>
  <c r="S35" i="34"/>
  <c r="T35" i="34"/>
  <c r="U35" i="34"/>
  <c r="V35" i="34"/>
  <c r="W35" i="34"/>
  <c r="X35" i="34"/>
  <c r="Y35" i="34"/>
  <c r="Z35" i="34"/>
  <c r="AA35" i="34"/>
  <c r="AB35" i="34"/>
  <c r="AC35" i="34"/>
  <c r="AD35" i="34"/>
  <c r="AE35" i="34"/>
  <c r="AF35" i="34"/>
  <c r="AG35" i="34"/>
  <c r="AH35" i="34"/>
  <c r="AI35" i="34"/>
  <c r="AJ35" i="34"/>
  <c r="AK35" i="34"/>
  <c r="AL35" i="34"/>
  <c r="AM35" i="34"/>
  <c r="AN35" i="34"/>
  <c r="S36" i="34"/>
  <c r="T36" i="34"/>
  <c r="U36" i="34"/>
  <c r="V36" i="34"/>
  <c r="W36" i="34"/>
  <c r="X36" i="34"/>
  <c r="Y36" i="34"/>
  <c r="Z36" i="34"/>
  <c r="AA36" i="34"/>
  <c r="AB36" i="34"/>
  <c r="AC36" i="34"/>
  <c r="AD36" i="34"/>
  <c r="AE36" i="34"/>
  <c r="AF36" i="34"/>
  <c r="AG36" i="34"/>
  <c r="AH36" i="34"/>
  <c r="AI36" i="34"/>
  <c r="AJ36" i="34"/>
  <c r="AK36" i="34"/>
  <c r="AL36" i="34"/>
  <c r="AM36" i="34"/>
  <c r="AN36" i="34"/>
  <c r="S37" i="34"/>
  <c r="T37" i="34"/>
  <c r="U37" i="34"/>
  <c r="V37" i="34"/>
  <c r="W37" i="34"/>
  <c r="X37" i="34"/>
  <c r="Y37" i="34"/>
  <c r="Z37" i="34"/>
  <c r="AA37" i="34"/>
  <c r="AB37" i="34"/>
  <c r="AC37" i="34"/>
  <c r="AD37" i="34"/>
  <c r="AE37" i="34"/>
  <c r="AF37" i="34"/>
  <c r="AG37" i="34"/>
  <c r="AH37" i="34"/>
  <c r="AI37" i="34"/>
  <c r="AJ37" i="34"/>
  <c r="AK37" i="34"/>
  <c r="AL37" i="34"/>
  <c r="AM37" i="34"/>
  <c r="AN37" i="34"/>
  <c r="S38" i="34"/>
  <c r="T38" i="34"/>
  <c r="U38" i="34"/>
  <c r="V38" i="34"/>
  <c r="W38" i="34"/>
  <c r="X38" i="34"/>
  <c r="Y38" i="34"/>
  <c r="Z38" i="34"/>
  <c r="AA38" i="34"/>
  <c r="AB38" i="34"/>
  <c r="AC38" i="34"/>
  <c r="AD38" i="34"/>
  <c r="AE38" i="34"/>
  <c r="AF38" i="34"/>
  <c r="AG38" i="34"/>
  <c r="AH38" i="34"/>
  <c r="AI38" i="34"/>
  <c r="AJ38" i="34"/>
  <c r="AK38" i="34"/>
  <c r="AL38" i="34"/>
  <c r="AM38" i="34"/>
  <c r="AN38" i="34"/>
  <c r="S39" i="34"/>
  <c r="T39" i="34"/>
  <c r="U39" i="34"/>
  <c r="V39" i="34"/>
  <c r="W39" i="34"/>
  <c r="X39" i="34"/>
  <c r="Y39" i="34"/>
  <c r="Z39" i="34"/>
  <c r="AA39" i="34"/>
  <c r="AB39" i="34"/>
  <c r="AC39" i="34"/>
  <c r="AD39" i="34"/>
  <c r="AE39" i="34"/>
  <c r="AF39" i="34"/>
  <c r="AG39" i="34"/>
  <c r="AH39" i="34"/>
  <c r="AI39" i="34"/>
  <c r="AJ39" i="34"/>
  <c r="AK39" i="34"/>
  <c r="AL39" i="34"/>
  <c r="AM39" i="34"/>
  <c r="AN39" i="34"/>
  <c r="S40" i="34"/>
  <c r="T40" i="34"/>
  <c r="U40" i="34"/>
  <c r="V40" i="34"/>
  <c r="W40" i="34"/>
  <c r="X40" i="34"/>
  <c r="Y40" i="34"/>
  <c r="Z40" i="34"/>
  <c r="AA40" i="34"/>
  <c r="AB40" i="34"/>
  <c r="AC40" i="34"/>
  <c r="AD40" i="34"/>
  <c r="AE40" i="34"/>
  <c r="AF40" i="34"/>
  <c r="AG40" i="34"/>
  <c r="AH40" i="34"/>
  <c r="AI40" i="34"/>
  <c r="AJ40" i="34"/>
  <c r="AK40" i="34"/>
  <c r="AL40" i="34"/>
  <c r="AM40" i="34"/>
  <c r="AN40" i="34"/>
  <c r="S41" i="34"/>
  <c r="T41" i="34"/>
  <c r="U41" i="34"/>
  <c r="V41" i="34"/>
  <c r="W41" i="34"/>
  <c r="X41" i="34"/>
  <c r="Y41" i="34"/>
  <c r="Z41" i="34"/>
  <c r="AA41" i="34"/>
  <c r="AB41" i="34"/>
  <c r="AC41" i="34"/>
  <c r="AD41" i="34"/>
  <c r="AE41" i="34"/>
  <c r="AF41" i="34"/>
  <c r="AG41" i="34"/>
  <c r="AH41" i="34"/>
  <c r="AI41" i="34"/>
  <c r="AJ41" i="34"/>
  <c r="AK41" i="34"/>
  <c r="AL41" i="34"/>
  <c r="AM41" i="34"/>
  <c r="AN41" i="34"/>
  <c r="J55" i="42" l="1"/>
  <c r="AX55" i="42" s="1"/>
  <c r="AX54" i="42"/>
  <c r="J66" i="39"/>
  <c r="AX66" i="39" s="1"/>
  <c r="AX65" i="39"/>
  <c r="J9" i="32"/>
  <c r="K9" i="32"/>
  <c r="L9" i="32"/>
  <c r="M9" i="32"/>
  <c r="N9" i="32"/>
  <c r="O9" i="32"/>
  <c r="P9" i="32"/>
  <c r="Q9" i="32"/>
  <c r="R9" i="32"/>
  <c r="S9" i="32"/>
  <c r="T9" i="32"/>
  <c r="U9" i="32"/>
  <c r="W9" i="32"/>
  <c r="X9" i="32"/>
  <c r="Y9" i="32"/>
  <c r="Z9" i="32"/>
  <c r="AA9" i="32"/>
  <c r="AB9" i="32"/>
  <c r="AC9" i="32"/>
  <c r="AD9" i="32"/>
  <c r="AE9" i="32"/>
  <c r="AF9" i="32"/>
  <c r="AG9" i="32"/>
  <c r="AH9" i="32"/>
  <c r="AI9" i="32"/>
  <c r="AJ9" i="32"/>
  <c r="AK9" i="32"/>
  <c r="AL9" i="32"/>
  <c r="AM9" i="32"/>
  <c r="AN9" i="32"/>
  <c r="AO9" i="32"/>
  <c r="AP9" i="32"/>
  <c r="AQ9" i="32"/>
  <c r="AR9" i="32"/>
  <c r="AS9" i="32"/>
  <c r="AT9" i="32"/>
  <c r="AU9" i="32"/>
  <c r="AV9" i="32"/>
  <c r="AW9" i="32"/>
  <c r="AX9" i="32"/>
  <c r="J10" i="32"/>
  <c r="K10" i="32"/>
  <c r="L10" i="32"/>
  <c r="M10" i="32"/>
  <c r="N10" i="32"/>
  <c r="O10" i="32"/>
  <c r="P10" i="32"/>
  <c r="Q10" i="32"/>
  <c r="R10" i="32"/>
  <c r="S10" i="32"/>
  <c r="T10" i="32"/>
  <c r="U10" i="32"/>
  <c r="W10" i="32"/>
  <c r="X10" i="32"/>
  <c r="Y10" i="32"/>
  <c r="Z10" i="32"/>
  <c r="AA10" i="32"/>
  <c r="AB10" i="32"/>
  <c r="AC10" i="32"/>
  <c r="AD10" i="32"/>
  <c r="AE10" i="32"/>
  <c r="AF10" i="32"/>
  <c r="AG10" i="32"/>
  <c r="AH10" i="32"/>
  <c r="AI10" i="32"/>
  <c r="AJ10" i="32"/>
  <c r="AK10" i="32"/>
  <c r="AL10" i="32"/>
  <c r="AM10" i="32"/>
  <c r="AN10" i="32"/>
  <c r="AO10" i="32"/>
  <c r="AP10" i="32"/>
  <c r="AQ10" i="32"/>
  <c r="AR10" i="32"/>
  <c r="AS10" i="32"/>
  <c r="AT10" i="32"/>
  <c r="AU10" i="32"/>
  <c r="AV10" i="32"/>
  <c r="AW10" i="32"/>
  <c r="AX10" i="32"/>
  <c r="J11" i="32"/>
  <c r="K11" i="32"/>
  <c r="L11" i="32"/>
  <c r="M11" i="32"/>
  <c r="N11" i="32"/>
  <c r="O11" i="32"/>
  <c r="P11" i="32"/>
  <c r="Q11" i="32"/>
  <c r="R11" i="32"/>
  <c r="S11" i="32"/>
  <c r="T11" i="32"/>
  <c r="U11" i="32"/>
  <c r="V11" i="32"/>
  <c r="W11" i="32"/>
  <c r="X11" i="32"/>
  <c r="Y11" i="32"/>
  <c r="Z11" i="32"/>
  <c r="AA11" i="32"/>
  <c r="AB11" i="32"/>
  <c r="AC11" i="32"/>
  <c r="AD11" i="32"/>
  <c r="AE11" i="32"/>
  <c r="AF11" i="32"/>
  <c r="AG11" i="32"/>
  <c r="AH11" i="32"/>
  <c r="AI11" i="32"/>
  <c r="AJ11" i="32"/>
  <c r="AK11" i="32"/>
  <c r="AL11" i="32"/>
  <c r="AM11" i="32"/>
  <c r="AN11" i="32"/>
  <c r="AO11" i="32"/>
  <c r="AP11" i="32"/>
  <c r="AQ11" i="32"/>
  <c r="AR11" i="32"/>
  <c r="AS11" i="32"/>
  <c r="AT11" i="32"/>
  <c r="AU11" i="32"/>
  <c r="AV11" i="32"/>
  <c r="AW11" i="32"/>
  <c r="AX11" i="32"/>
  <c r="J12" i="32"/>
  <c r="K12" i="32"/>
  <c r="L12" i="32"/>
  <c r="M12" i="32"/>
  <c r="N12" i="32"/>
  <c r="O12" i="32"/>
  <c r="P12" i="32"/>
  <c r="Q12" i="32"/>
  <c r="R12" i="32"/>
  <c r="S12" i="32"/>
  <c r="T12" i="32"/>
  <c r="U12" i="32"/>
  <c r="V12" i="32"/>
  <c r="W12" i="32"/>
  <c r="X12" i="32"/>
  <c r="Y12" i="32"/>
  <c r="Z12" i="32"/>
  <c r="AA12" i="32"/>
  <c r="AB12" i="32"/>
  <c r="AC12" i="32"/>
  <c r="AD12" i="32"/>
  <c r="AE12" i="32"/>
  <c r="AF12" i="32"/>
  <c r="AG12" i="32"/>
  <c r="AH12" i="32"/>
  <c r="AI12" i="32"/>
  <c r="AJ12" i="32"/>
  <c r="AK12" i="32"/>
  <c r="AL12" i="32"/>
  <c r="AM12" i="32"/>
  <c r="AN12" i="32"/>
  <c r="AO12" i="32"/>
  <c r="AP12" i="32"/>
  <c r="AQ12" i="32"/>
  <c r="AR12" i="32"/>
  <c r="AS12" i="32"/>
  <c r="AT12" i="32"/>
  <c r="AU12" i="32"/>
  <c r="AV12" i="32"/>
  <c r="AW12" i="32"/>
  <c r="AX12" i="32"/>
  <c r="J13" i="32"/>
  <c r="K13" i="32"/>
  <c r="L13" i="32"/>
  <c r="M13" i="32"/>
  <c r="N13" i="32"/>
  <c r="O13" i="32"/>
  <c r="P13" i="32"/>
  <c r="Q13" i="32"/>
  <c r="R13" i="32"/>
  <c r="S13" i="32"/>
  <c r="T13" i="32"/>
  <c r="U13" i="32"/>
  <c r="W13" i="32"/>
  <c r="X13" i="32"/>
  <c r="Y13" i="32"/>
  <c r="Z13" i="32"/>
  <c r="AA13" i="32"/>
  <c r="AB13" i="32"/>
  <c r="AC13" i="32"/>
  <c r="AD13" i="32"/>
  <c r="AE13" i="32"/>
  <c r="AF13" i="32"/>
  <c r="AG13" i="32"/>
  <c r="AH13" i="32"/>
  <c r="AI13" i="32"/>
  <c r="AJ13" i="32"/>
  <c r="AK13" i="32"/>
  <c r="AL13" i="32"/>
  <c r="AM13" i="32"/>
  <c r="AN13" i="32"/>
  <c r="AO13" i="32"/>
  <c r="AP13" i="32"/>
  <c r="AQ13" i="32"/>
  <c r="AR13" i="32"/>
  <c r="AS13" i="32"/>
  <c r="AT13" i="32"/>
  <c r="AU13" i="32"/>
  <c r="AV13" i="32"/>
  <c r="AW13" i="32"/>
  <c r="AX13" i="32"/>
  <c r="J14" i="32"/>
  <c r="K14" i="32"/>
  <c r="L14" i="32"/>
  <c r="M14" i="32"/>
  <c r="N14" i="32"/>
  <c r="O14" i="32"/>
  <c r="P14" i="32"/>
  <c r="Q14" i="32"/>
  <c r="R14" i="32"/>
  <c r="S14" i="32"/>
  <c r="T14" i="32"/>
  <c r="U14" i="32"/>
  <c r="W14" i="32"/>
  <c r="X14" i="32"/>
  <c r="Y14" i="32"/>
  <c r="Z14" i="32"/>
  <c r="AA14" i="32"/>
  <c r="AB14" i="32"/>
  <c r="AC14" i="32"/>
  <c r="AD14" i="32"/>
  <c r="AE14" i="32"/>
  <c r="AF14" i="32"/>
  <c r="AG14" i="32"/>
  <c r="AH14" i="32"/>
  <c r="AI14" i="32"/>
  <c r="AJ14" i="32"/>
  <c r="AK14" i="32"/>
  <c r="AL14" i="32"/>
  <c r="AM14" i="32"/>
  <c r="AN14" i="32"/>
  <c r="AO14" i="32"/>
  <c r="AP14" i="32"/>
  <c r="AQ14" i="32"/>
  <c r="AR14" i="32"/>
  <c r="AS14" i="32"/>
  <c r="AT14" i="32"/>
  <c r="AU14" i="32"/>
  <c r="AV14" i="32"/>
  <c r="AW14" i="32"/>
  <c r="AX14" i="32"/>
  <c r="J15" i="32"/>
  <c r="K15" i="32"/>
  <c r="L15" i="32"/>
  <c r="M15" i="32"/>
  <c r="N15" i="32"/>
  <c r="O15" i="32"/>
  <c r="P15" i="32"/>
  <c r="Q15" i="32"/>
  <c r="R15" i="32"/>
  <c r="S15" i="32"/>
  <c r="T15" i="32"/>
  <c r="U15" i="32"/>
  <c r="V15" i="32"/>
  <c r="W15" i="32"/>
  <c r="X15" i="32"/>
  <c r="Y15" i="32"/>
  <c r="Z15" i="32"/>
  <c r="AA15" i="32"/>
  <c r="AB15" i="32"/>
  <c r="AC15" i="32"/>
  <c r="AD15" i="32"/>
  <c r="AE15" i="32"/>
  <c r="AF15" i="32"/>
  <c r="AG15" i="32"/>
  <c r="AH15" i="32"/>
  <c r="AI15" i="32"/>
  <c r="AJ15" i="32"/>
  <c r="AK15" i="32"/>
  <c r="AL15" i="32"/>
  <c r="AM15" i="32"/>
  <c r="AN15" i="32"/>
  <c r="AO15" i="32"/>
  <c r="AP15" i="32"/>
  <c r="AQ15" i="32"/>
  <c r="AR15" i="32"/>
  <c r="AS15" i="32"/>
  <c r="AT15" i="32"/>
  <c r="AU15" i="32"/>
  <c r="AV15" i="32"/>
  <c r="AW15" i="32"/>
  <c r="AX15" i="32"/>
  <c r="J16" i="32"/>
  <c r="K16" i="32"/>
  <c r="L16" i="32"/>
  <c r="M16" i="32"/>
  <c r="N16" i="32"/>
  <c r="O16" i="32"/>
  <c r="P16" i="32"/>
  <c r="Q16" i="32"/>
  <c r="S16" i="32"/>
  <c r="T16" i="32"/>
  <c r="U16" i="32"/>
  <c r="W16" i="32"/>
  <c r="X16" i="32"/>
  <c r="Y16" i="32"/>
  <c r="Z16" i="32"/>
  <c r="AA16" i="32"/>
  <c r="AB16" i="32"/>
  <c r="AC16" i="32"/>
  <c r="AD16" i="32"/>
  <c r="AE16" i="32"/>
  <c r="AF16" i="32"/>
  <c r="AG16" i="32"/>
  <c r="AH16" i="32"/>
  <c r="AI16" i="32"/>
  <c r="AJ16" i="32"/>
  <c r="AK16" i="32"/>
  <c r="AL16" i="32"/>
  <c r="AM16" i="32"/>
  <c r="AN16" i="32"/>
  <c r="AO16" i="32"/>
  <c r="AP16" i="32"/>
  <c r="AQ16" i="32"/>
  <c r="AR16" i="32"/>
  <c r="AS16" i="32"/>
  <c r="AT16" i="32"/>
  <c r="AU16" i="32"/>
  <c r="AV16" i="32"/>
  <c r="AW16" i="32"/>
  <c r="AX16" i="32"/>
  <c r="J17" i="32"/>
  <c r="K17" i="32"/>
  <c r="L17" i="32"/>
  <c r="M17" i="32"/>
  <c r="N17" i="32"/>
  <c r="O17" i="32"/>
  <c r="P17" i="32"/>
  <c r="Q17" i="32"/>
  <c r="R17" i="32"/>
  <c r="S17" i="32"/>
  <c r="T17" i="32"/>
  <c r="U17" i="32"/>
  <c r="V17" i="32"/>
  <c r="W17" i="32"/>
  <c r="X17" i="32"/>
  <c r="Y17" i="32"/>
  <c r="Z17" i="32"/>
  <c r="AA17" i="32"/>
  <c r="AB17" i="32"/>
  <c r="AC17" i="32"/>
  <c r="AD17" i="32"/>
  <c r="AE17" i="32"/>
  <c r="AF17" i="32"/>
  <c r="AG17" i="32"/>
  <c r="J18" i="32"/>
  <c r="K18" i="32"/>
  <c r="L18" i="32"/>
  <c r="M18" i="32"/>
  <c r="N18" i="32"/>
  <c r="O18" i="32"/>
  <c r="P18" i="32"/>
  <c r="Q18" i="32"/>
  <c r="R18" i="32"/>
  <c r="S18" i="32"/>
  <c r="T18" i="32"/>
  <c r="U18" i="32"/>
  <c r="V18" i="32"/>
  <c r="W18" i="32"/>
  <c r="X18" i="32"/>
  <c r="Y18" i="32"/>
  <c r="Z18" i="32"/>
  <c r="AA18" i="32"/>
  <c r="AB18" i="32"/>
  <c r="AC18" i="32"/>
  <c r="AD18" i="32"/>
  <c r="AE18" i="32"/>
  <c r="AF18" i="32"/>
  <c r="AG18" i="32"/>
  <c r="J19" i="32"/>
  <c r="K19" i="32"/>
  <c r="L19" i="32"/>
  <c r="M19" i="32"/>
  <c r="N19" i="32"/>
  <c r="O19" i="32"/>
  <c r="P19" i="32"/>
  <c r="Q19" i="32"/>
  <c r="R19" i="32"/>
  <c r="S19" i="32"/>
  <c r="T19" i="32"/>
  <c r="U19" i="32"/>
  <c r="W19" i="32"/>
  <c r="X19" i="32"/>
  <c r="Y19" i="32"/>
  <c r="Z19" i="32"/>
  <c r="AA19" i="32"/>
  <c r="AB19" i="32"/>
  <c r="AC19" i="32"/>
  <c r="AD19" i="32"/>
  <c r="AE19" i="32"/>
  <c r="AF19" i="32"/>
  <c r="AG19" i="32"/>
  <c r="J20" i="32"/>
  <c r="K20" i="32"/>
  <c r="L20" i="32"/>
  <c r="M20" i="32"/>
  <c r="N20" i="32"/>
  <c r="O20" i="32"/>
  <c r="P20" i="32"/>
  <c r="Q20" i="32"/>
  <c r="R20" i="32"/>
  <c r="S20" i="32"/>
  <c r="T20" i="32"/>
  <c r="U20" i="32"/>
  <c r="V20" i="32"/>
  <c r="W20" i="32"/>
  <c r="X20" i="32"/>
  <c r="Y20" i="32"/>
  <c r="Z20" i="32"/>
  <c r="AA20" i="32"/>
  <c r="AB20" i="32"/>
  <c r="AC20" i="32"/>
  <c r="AD20" i="32"/>
  <c r="AE20" i="32"/>
  <c r="AF20" i="32"/>
  <c r="AG20" i="32"/>
  <c r="J21" i="32"/>
  <c r="K21" i="32"/>
  <c r="L21" i="32"/>
  <c r="M21" i="32"/>
  <c r="N21" i="32"/>
  <c r="O21" i="32"/>
  <c r="P21" i="32"/>
  <c r="Q21" i="32"/>
  <c r="R21" i="32"/>
  <c r="S21" i="32"/>
  <c r="T21" i="32"/>
  <c r="U21" i="32"/>
  <c r="W21" i="32"/>
  <c r="X21" i="32"/>
  <c r="Y21" i="32"/>
  <c r="Z21" i="32"/>
  <c r="AA21" i="32"/>
  <c r="AB21" i="32"/>
  <c r="AC21" i="32"/>
  <c r="AD21" i="32"/>
  <c r="AE21" i="32"/>
  <c r="AF21" i="32"/>
  <c r="AG21" i="32"/>
  <c r="J22" i="32"/>
  <c r="K22" i="32"/>
  <c r="L22" i="32"/>
  <c r="M22" i="32"/>
  <c r="N22" i="32"/>
  <c r="O22" i="32"/>
  <c r="P22" i="32"/>
  <c r="Q22" i="32"/>
  <c r="R22" i="32"/>
  <c r="S22" i="32"/>
  <c r="J23" i="32"/>
  <c r="K23" i="32"/>
  <c r="L23" i="32"/>
  <c r="M23" i="32"/>
  <c r="N23" i="32"/>
  <c r="O23" i="32"/>
  <c r="P23" i="32"/>
  <c r="Q23" i="32"/>
  <c r="R23" i="32"/>
  <c r="S23" i="32"/>
  <c r="J24" i="32"/>
  <c r="K24" i="32"/>
  <c r="L24" i="32"/>
  <c r="M24" i="32"/>
  <c r="N24" i="32"/>
  <c r="O24" i="32"/>
  <c r="P24" i="32"/>
  <c r="Q24" i="32"/>
  <c r="R24" i="32"/>
  <c r="S24" i="32"/>
  <c r="J26" i="32"/>
  <c r="K26" i="32"/>
  <c r="L26" i="32"/>
  <c r="M26" i="32"/>
  <c r="N26" i="32"/>
  <c r="O26" i="32"/>
  <c r="P26" i="32"/>
  <c r="Q26" i="32"/>
  <c r="R26" i="32"/>
  <c r="S26" i="32"/>
  <c r="J27" i="32"/>
  <c r="K27" i="32"/>
  <c r="L27" i="32"/>
  <c r="M27" i="32"/>
  <c r="N27" i="32"/>
  <c r="O27" i="32"/>
  <c r="P27" i="32"/>
  <c r="Q27" i="32"/>
  <c r="S27" i="32"/>
  <c r="J28" i="32"/>
  <c r="K28" i="32"/>
  <c r="L28" i="32"/>
  <c r="M28" i="32"/>
  <c r="N28" i="32"/>
  <c r="O28" i="32"/>
  <c r="P28" i="32"/>
  <c r="Q28" i="32"/>
  <c r="R28" i="32"/>
  <c r="S28" i="32"/>
  <c r="J29" i="32"/>
  <c r="K29" i="32"/>
  <c r="L29" i="32"/>
  <c r="M29" i="32"/>
  <c r="N29" i="32"/>
  <c r="O29" i="32"/>
  <c r="P29" i="32"/>
  <c r="Q29" i="32"/>
  <c r="R29" i="32"/>
  <c r="S29" i="32"/>
  <c r="J30" i="32"/>
  <c r="K30" i="32"/>
  <c r="L30" i="32"/>
  <c r="M30" i="32"/>
  <c r="N30" i="32"/>
  <c r="O30" i="32"/>
  <c r="P30" i="32"/>
  <c r="Q30" i="32"/>
  <c r="R30" i="32"/>
  <c r="S30" i="32"/>
  <c r="J31" i="32"/>
  <c r="K31" i="32"/>
  <c r="L31" i="32"/>
  <c r="M31" i="32"/>
  <c r="N31" i="32"/>
  <c r="O31" i="32"/>
  <c r="P31" i="32"/>
  <c r="Q31" i="32"/>
  <c r="R31" i="32"/>
  <c r="S31" i="32"/>
  <c r="J32" i="32"/>
  <c r="K32" i="32"/>
  <c r="L32" i="32"/>
  <c r="M32" i="32"/>
  <c r="N32" i="32"/>
  <c r="O32" i="32"/>
  <c r="P32" i="32"/>
  <c r="Q32" i="32"/>
  <c r="R32" i="32"/>
  <c r="S32" i="32"/>
  <c r="J34" i="32"/>
  <c r="K34" i="32"/>
  <c r="L34" i="32"/>
  <c r="M34" i="32"/>
  <c r="N34" i="32"/>
  <c r="O34" i="32"/>
  <c r="P34" i="32"/>
  <c r="Q34" i="32"/>
  <c r="R34" i="32"/>
  <c r="S34" i="32"/>
  <c r="J35" i="32"/>
  <c r="K35" i="32"/>
  <c r="L35" i="32"/>
  <c r="M35" i="32"/>
  <c r="N35" i="32"/>
  <c r="O35" i="32"/>
  <c r="P35" i="32"/>
  <c r="Q35" i="32"/>
  <c r="R35" i="32"/>
  <c r="S35" i="32"/>
  <c r="J36" i="32"/>
  <c r="K36" i="32"/>
  <c r="L36" i="32"/>
  <c r="M36" i="32"/>
  <c r="N36" i="32"/>
  <c r="O36" i="32"/>
  <c r="P36" i="32"/>
  <c r="Q36" i="32"/>
  <c r="R36" i="32"/>
  <c r="S36" i="32"/>
  <c r="J42" i="32"/>
  <c r="K42" i="32"/>
  <c r="L42" i="32"/>
  <c r="M42" i="32"/>
  <c r="N42" i="32"/>
  <c r="O42" i="32"/>
  <c r="P42" i="32"/>
  <c r="Q42" i="32"/>
  <c r="R42" i="32"/>
  <c r="S42" i="32"/>
  <c r="J37" i="32"/>
  <c r="K37" i="32"/>
  <c r="L37" i="32"/>
  <c r="M37" i="32"/>
  <c r="N37" i="32"/>
  <c r="O37" i="32"/>
  <c r="P37" i="32"/>
  <c r="Q37" i="32"/>
  <c r="R37" i="32"/>
  <c r="S37" i="32"/>
  <c r="J38" i="32"/>
  <c r="K38" i="32"/>
  <c r="L38" i="32"/>
  <c r="M38" i="32"/>
  <c r="N38" i="32"/>
  <c r="O38" i="32"/>
  <c r="P38" i="32"/>
  <c r="Q38" i="32"/>
  <c r="R38" i="32"/>
  <c r="S38" i="32"/>
  <c r="J39" i="32"/>
  <c r="K39" i="32"/>
  <c r="L39" i="32"/>
  <c r="M39" i="32"/>
  <c r="N39" i="32"/>
  <c r="O39" i="32"/>
  <c r="P39" i="32"/>
  <c r="Q39" i="32"/>
  <c r="R39" i="32"/>
  <c r="S39" i="32"/>
  <c r="J41" i="32"/>
  <c r="K41" i="32"/>
  <c r="L41" i="32"/>
  <c r="M41" i="32"/>
  <c r="N41" i="32"/>
  <c r="O41" i="32"/>
  <c r="P41" i="32"/>
  <c r="Q41" i="32"/>
  <c r="R41" i="32"/>
  <c r="S41" i="32"/>
  <c r="J25" i="32"/>
  <c r="K25" i="32"/>
  <c r="L25" i="32"/>
  <c r="M25" i="32"/>
  <c r="N25" i="32"/>
  <c r="O25" i="32"/>
  <c r="P25" i="32"/>
  <c r="Q25" i="32"/>
  <c r="R25" i="32"/>
  <c r="S25" i="32"/>
  <c r="J43" i="32"/>
  <c r="K43" i="32"/>
  <c r="L43" i="32"/>
  <c r="M43" i="32"/>
  <c r="N43" i="32"/>
  <c r="O43" i="32"/>
  <c r="P43" i="32"/>
  <c r="Q43" i="32"/>
  <c r="R43" i="32"/>
  <c r="S43" i="32"/>
  <c r="J44" i="32"/>
  <c r="K44" i="32"/>
  <c r="L44" i="32"/>
  <c r="M44" i="32"/>
  <c r="N44" i="32"/>
  <c r="O44" i="32"/>
  <c r="P44" i="32"/>
  <c r="Q44" i="32"/>
  <c r="R44" i="32"/>
  <c r="S44" i="32"/>
  <c r="J3" i="53" l="1"/>
  <c r="J4" i="53"/>
  <c r="J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2" i="53"/>
  <c r="G37" i="40" l="1"/>
  <c r="G38" i="40"/>
  <c r="G39" i="40"/>
  <c r="G40" i="40"/>
  <c r="G41" i="40"/>
  <c r="G42" i="40"/>
  <c r="G43" i="40"/>
  <c r="G44" i="40"/>
  <c r="G45" i="40"/>
  <c r="G46" i="40"/>
  <c r="G46" i="42"/>
  <c r="G47" i="42"/>
  <c r="G48" i="42"/>
  <c r="G49" i="42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49" i="34"/>
  <c r="G50" i="34"/>
  <c r="G51" i="34"/>
  <c r="G52" i="34"/>
  <c r="G53" i="34"/>
  <c r="G54" i="34"/>
  <c r="G55" i="34"/>
  <c r="G50" i="35"/>
  <c r="G51" i="35"/>
  <c r="G52" i="35"/>
  <c r="G53" i="35"/>
  <c r="G54" i="35"/>
  <c r="G35" i="36"/>
  <c r="G36" i="36"/>
  <c r="G37" i="36"/>
  <c r="G38" i="36"/>
  <c r="G39" i="36"/>
  <c r="G40" i="36"/>
  <c r="G41" i="36"/>
  <c r="G42" i="36"/>
  <c r="G43" i="36"/>
  <c r="G44" i="36"/>
  <c r="G45" i="36"/>
  <c r="G46" i="36"/>
  <c r="G47" i="36"/>
  <c r="Y10" i="38" l="1"/>
  <c r="AE10" i="38"/>
  <c r="AF11" i="38"/>
  <c r="AE11" i="38"/>
  <c r="AD11" i="38"/>
  <c r="AC11" i="38"/>
  <c r="AB11" i="38"/>
  <c r="AF10" i="38"/>
  <c r="AD10" i="38"/>
  <c r="AC10" i="38"/>
  <c r="AB10" i="38"/>
  <c r="AC36" i="35" l="1"/>
  <c r="AX45" i="42" l="1"/>
  <c r="AW45" i="42"/>
  <c r="AV45" i="42"/>
  <c r="AU45" i="42"/>
  <c r="AT45" i="42"/>
  <c r="AS45" i="42"/>
  <c r="AR45" i="42"/>
  <c r="AQ45" i="42"/>
  <c r="AP45" i="42"/>
  <c r="AO45" i="42"/>
  <c r="AN45" i="42"/>
  <c r="AM45" i="42"/>
  <c r="AL45" i="42"/>
  <c r="AK45" i="42"/>
  <c r="AJ45" i="42"/>
  <c r="AI45" i="42"/>
  <c r="AH45" i="42"/>
  <c r="AG45" i="42"/>
  <c r="AF45" i="42"/>
  <c r="AE45" i="42"/>
  <c r="AD45" i="42"/>
  <c r="AC45" i="42"/>
  <c r="AB45" i="42"/>
  <c r="AA45" i="42"/>
  <c r="Z45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M45" i="42"/>
  <c r="L45" i="42"/>
  <c r="K45" i="42"/>
  <c r="J45" i="42"/>
  <c r="AX44" i="42"/>
  <c r="AW44" i="42"/>
  <c r="AV44" i="42"/>
  <c r="AU44" i="42"/>
  <c r="AT44" i="42"/>
  <c r="AS44" i="42"/>
  <c r="AR44" i="42"/>
  <c r="AQ44" i="42"/>
  <c r="AP44" i="42"/>
  <c r="AO44" i="42"/>
  <c r="AN44" i="42"/>
  <c r="AM44" i="42"/>
  <c r="AL44" i="42"/>
  <c r="AK44" i="42"/>
  <c r="AJ44" i="42"/>
  <c r="AI44" i="42"/>
  <c r="AH44" i="42"/>
  <c r="AG44" i="42"/>
  <c r="AF44" i="42"/>
  <c r="AE44" i="42"/>
  <c r="AD44" i="42"/>
  <c r="AC44" i="42"/>
  <c r="AB44" i="42"/>
  <c r="AA44" i="42"/>
  <c r="Z44" i="42"/>
  <c r="Y44" i="42"/>
  <c r="X44" i="42"/>
  <c r="W44" i="42"/>
  <c r="V44" i="42"/>
  <c r="U44" i="42"/>
  <c r="T44" i="42"/>
  <c r="S44" i="42"/>
  <c r="R44" i="42"/>
  <c r="Q44" i="42"/>
  <c r="P44" i="42"/>
  <c r="O44" i="42"/>
  <c r="N44" i="42"/>
  <c r="M44" i="42"/>
  <c r="L44" i="42"/>
  <c r="K44" i="42"/>
  <c r="J44" i="42"/>
  <c r="AX39" i="42"/>
  <c r="AW39" i="42"/>
  <c r="AV39" i="42"/>
  <c r="AU39" i="42"/>
  <c r="AT39" i="42"/>
  <c r="AS39" i="42"/>
  <c r="AR39" i="42"/>
  <c r="AQ39" i="42"/>
  <c r="AP39" i="42"/>
  <c r="AO39" i="42"/>
  <c r="AN39" i="42"/>
  <c r="AM39" i="42"/>
  <c r="AL39" i="42"/>
  <c r="AK39" i="42"/>
  <c r="AJ39" i="42"/>
  <c r="AI39" i="42"/>
  <c r="AH39" i="42"/>
  <c r="AG39" i="42"/>
  <c r="AF39" i="42"/>
  <c r="AE39" i="42"/>
  <c r="AD39" i="42"/>
  <c r="AC39" i="42"/>
  <c r="AB39" i="42"/>
  <c r="AA39" i="42"/>
  <c r="Z39" i="42"/>
  <c r="Y39" i="42"/>
  <c r="X39" i="42"/>
  <c r="W39" i="42"/>
  <c r="V39" i="42"/>
  <c r="U39" i="42"/>
  <c r="T39" i="42"/>
  <c r="S39" i="42"/>
  <c r="R39" i="42"/>
  <c r="Q39" i="42"/>
  <c r="P39" i="42"/>
  <c r="O39" i="42"/>
  <c r="N39" i="42"/>
  <c r="M39" i="42"/>
  <c r="L39" i="42"/>
  <c r="K39" i="42"/>
  <c r="J39" i="42"/>
  <c r="AX40" i="42"/>
  <c r="AW40" i="42"/>
  <c r="AV40" i="42"/>
  <c r="AU40" i="42"/>
  <c r="AT40" i="42"/>
  <c r="AS40" i="42"/>
  <c r="AR40" i="42"/>
  <c r="AQ40" i="42"/>
  <c r="AP40" i="42"/>
  <c r="AO40" i="42"/>
  <c r="AN40" i="42"/>
  <c r="AM40" i="42"/>
  <c r="AL40" i="42"/>
  <c r="AK40" i="42"/>
  <c r="AJ40" i="42"/>
  <c r="AI40" i="42"/>
  <c r="AH40" i="42"/>
  <c r="AG40" i="42"/>
  <c r="AF40" i="42"/>
  <c r="AE40" i="42"/>
  <c r="AD40" i="42"/>
  <c r="AC40" i="42"/>
  <c r="AB40" i="42"/>
  <c r="AA40" i="42"/>
  <c r="Z40" i="42"/>
  <c r="Y40" i="42"/>
  <c r="X40" i="42"/>
  <c r="W40" i="42"/>
  <c r="V40" i="42"/>
  <c r="U40" i="42"/>
  <c r="T40" i="42"/>
  <c r="S40" i="42"/>
  <c r="R40" i="42"/>
  <c r="Q40" i="42"/>
  <c r="P40" i="42"/>
  <c r="O40" i="42"/>
  <c r="N40" i="42"/>
  <c r="M40" i="42"/>
  <c r="L40" i="42"/>
  <c r="K40" i="42"/>
  <c r="J40" i="42"/>
  <c r="AX36" i="42"/>
  <c r="AW36" i="42"/>
  <c r="AV36" i="42"/>
  <c r="AU36" i="42"/>
  <c r="AT36" i="42"/>
  <c r="AS36" i="42"/>
  <c r="AR36" i="42"/>
  <c r="AQ36" i="42"/>
  <c r="AP36" i="42"/>
  <c r="AO36" i="42"/>
  <c r="AN36" i="42"/>
  <c r="AM36" i="42"/>
  <c r="AL36" i="42"/>
  <c r="AK36" i="42"/>
  <c r="AJ36" i="42"/>
  <c r="AI36" i="42"/>
  <c r="AH36" i="42"/>
  <c r="AG36" i="42"/>
  <c r="AF36" i="42"/>
  <c r="AE36" i="42"/>
  <c r="AD36" i="42"/>
  <c r="AC36" i="42"/>
  <c r="AB36" i="42"/>
  <c r="AA36" i="42"/>
  <c r="Z36" i="42"/>
  <c r="Y36" i="42"/>
  <c r="X36" i="42"/>
  <c r="W36" i="42"/>
  <c r="V36" i="42"/>
  <c r="U36" i="42"/>
  <c r="T36" i="42"/>
  <c r="S36" i="42"/>
  <c r="R36" i="42"/>
  <c r="Q36" i="42"/>
  <c r="P36" i="42"/>
  <c r="O36" i="42"/>
  <c r="N36" i="42"/>
  <c r="M36" i="42"/>
  <c r="L36" i="42"/>
  <c r="K36" i="42"/>
  <c r="J36" i="42"/>
  <c r="AX35" i="42"/>
  <c r="AW35" i="42"/>
  <c r="AV35" i="42"/>
  <c r="AU35" i="42"/>
  <c r="AT35" i="42"/>
  <c r="AS35" i="42"/>
  <c r="AR35" i="42"/>
  <c r="AQ35" i="42"/>
  <c r="AP35" i="42"/>
  <c r="AO35" i="42"/>
  <c r="AN35" i="42"/>
  <c r="AM35" i="42"/>
  <c r="AL35" i="42"/>
  <c r="AK35" i="42"/>
  <c r="AJ35" i="42"/>
  <c r="AI35" i="42"/>
  <c r="AH35" i="42"/>
  <c r="AG35" i="42"/>
  <c r="AF35" i="42"/>
  <c r="AE35" i="42"/>
  <c r="AD35" i="42"/>
  <c r="AC35" i="42"/>
  <c r="AB35" i="42"/>
  <c r="AA35" i="42"/>
  <c r="Z35" i="42"/>
  <c r="Y35" i="42"/>
  <c r="X35" i="42"/>
  <c r="W35" i="42"/>
  <c r="V35" i="42"/>
  <c r="U35" i="42"/>
  <c r="T35" i="42"/>
  <c r="S35" i="42"/>
  <c r="R35" i="42"/>
  <c r="Q35" i="42"/>
  <c r="P35" i="42"/>
  <c r="O35" i="42"/>
  <c r="N35" i="42"/>
  <c r="M35" i="42"/>
  <c r="L35" i="42"/>
  <c r="K35" i="42"/>
  <c r="J35" i="42"/>
  <c r="AX32" i="42"/>
  <c r="AW32" i="42"/>
  <c r="AV32" i="42"/>
  <c r="AU32" i="42"/>
  <c r="AT32" i="42"/>
  <c r="AS32" i="42"/>
  <c r="AR32" i="42"/>
  <c r="AQ32" i="42"/>
  <c r="AP32" i="42"/>
  <c r="AO32" i="42"/>
  <c r="AN32" i="42"/>
  <c r="AM32" i="42"/>
  <c r="AL32" i="42"/>
  <c r="AK32" i="42"/>
  <c r="AJ32" i="42"/>
  <c r="AI32" i="42"/>
  <c r="AH32" i="42"/>
  <c r="AG32" i="42"/>
  <c r="AF32" i="42"/>
  <c r="AE32" i="42"/>
  <c r="AD32" i="42"/>
  <c r="AC32" i="42"/>
  <c r="AB32" i="42"/>
  <c r="AA32" i="42"/>
  <c r="Z32" i="42"/>
  <c r="Y32" i="42"/>
  <c r="X32" i="42"/>
  <c r="W32" i="42"/>
  <c r="V32" i="42"/>
  <c r="U32" i="42"/>
  <c r="T32" i="42"/>
  <c r="S32" i="42"/>
  <c r="R32" i="42"/>
  <c r="Q32" i="42"/>
  <c r="P32" i="42"/>
  <c r="O32" i="42"/>
  <c r="N32" i="42"/>
  <c r="M32" i="42"/>
  <c r="L32" i="42"/>
  <c r="K32" i="42"/>
  <c r="J32" i="42"/>
  <c r="AX31" i="42"/>
  <c r="AW31" i="42"/>
  <c r="AV31" i="42"/>
  <c r="AU31" i="42"/>
  <c r="AT31" i="42"/>
  <c r="AS31" i="42"/>
  <c r="AR31" i="42"/>
  <c r="AQ31" i="42"/>
  <c r="AP31" i="42"/>
  <c r="AO31" i="42"/>
  <c r="AN31" i="42"/>
  <c r="AM31" i="42"/>
  <c r="AL31" i="42"/>
  <c r="AK31" i="42"/>
  <c r="AJ31" i="42"/>
  <c r="AI31" i="42"/>
  <c r="AH31" i="42"/>
  <c r="AG31" i="42"/>
  <c r="AF31" i="42"/>
  <c r="AE31" i="42"/>
  <c r="AD31" i="42"/>
  <c r="AC31" i="42"/>
  <c r="AB31" i="42"/>
  <c r="AA31" i="42"/>
  <c r="Z31" i="42"/>
  <c r="Y31" i="42"/>
  <c r="X31" i="42"/>
  <c r="W31" i="42"/>
  <c r="V31" i="42"/>
  <c r="U31" i="42"/>
  <c r="T31" i="42"/>
  <c r="S31" i="42"/>
  <c r="R31" i="42"/>
  <c r="Q31" i="42"/>
  <c r="P31" i="42"/>
  <c r="O31" i="42"/>
  <c r="N31" i="42"/>
  <c r="M31" i="42"/>
  <c r="L31" i="42"/>
  <c r="K31" i="42"/>
  <c r="J31" i="42"/>
  <c r="AX30" i="42"/>
  <c r="AW30" i="42"/>
  <c r="AV30" i="42"/>
  <c r="AU30" i="42"/>
  <c r="AT30" i="42"/>
  <c r="AS30" i="42"/>
  <c r="AR30" i="42"/>
  <c r="AQ30" i="42"/>
  <c r="AP30" i="42"/>
  <c r="AO30" i="42"/>
  <c r="AN30" i="42"/>
  <c r="AM30" i="42"/>
  <c r="AL30" i="42"/>
  <c r="AK30" i="42"/>
  <c r="AJ30" i="42"/>
  <c r="AI30" i="42"/>
  <c r="AH30" i="42"/>
  <c r="AG30" i="42"/>
  <c r="AF30" i="42"/>
  <c r="AE30" i="42"/>
  <c r="AD30" i="42"/>
  <c r="AC30" i="42"/>
  <c r="AB30" i="42"/>
  <c r="AA30" i="42"/>
  <c r="Z30" i="42"/>
  <c r="Y30" i="42"/>
  <c r="X30" i="42"/>
  <c r="W30" i="42"/>
  <c r="V30" i="42"/>
  <c r="U30" i="42"/>
  <c r="T30" i="42"/>
  <c r="S30" i="42"/>
  <c r="R30" i="42"/>
  <c r="Q30" i="42"/>
  <c r="P30" i="42"/>
  <c r="O30" i="42"/>
  <c r="N30" i="42"/>
  <c r="M30" i="42"/>
  <c r="L30" i="42"/>
  <c r="K30" i="42"/>
  <c r="J30" i="42"/>
  <c r="AX29" i="42"/>
  <c r="AW29" i="42"/>
  <c r="AV29" i="42"/>
  <c r="AU29" i="42"/>
  <c r="AT29" i="42"/>
  <c r="AS29" i="42"/>
  <c r="AR29" i="42"/>
  <c r="AQ29" i="42"/>
  <c r="AP29" i="42"/>
  <c r="AO29" i="42"/>
  <c r="AN29" i="42"/>
  <c r="AM29" i="42"/>
  <c r="AL29" i="42"/>
  <c r="AK29" i="42"/>
  <c r="AJ29" i="42"/>
  <c r="AI29" i="42"/>
  <c r="AH29" i="42"/>
  <c r="AG29" i="42"/>
  <c r="AF29" i="42"/>
  <c r="AE29" i="42"/>
  <c r="AD29" i="42"/>
  <c r="AC29" i="42"/>
  <c r="AB29" i="42"/>
  <c r="AA29" i="42"/>
  <c r="Z29" i="42"/>
  <c r="Y29" i="42"/>
  <c r="X29" i="42"/>
  <c r="W29" i="42"/>
  <c r="V29" i="42"/>
  <c r="U29" i="42"/>
  <c r="T29" i="42"/>
  <c r="S29" i="42"/>
  <c r="R29" i="42"/>
  <c r="Q29" i="42"/>
  <c r="P29" i="42"/>
  <c r="O29" i="42"/>
  <c r="N29" i="42"/>
  <c r="M29" i="42"/>
  <c r="L29" i="42"/>
  <c r="K29" i="42"/>
  <c r="J29" i="42"/>
  <c r="AX27" i="42"/>
  <c r="AW27" i="42"/>
  <c r="AV27" i="42"/>
  <c r="AU27" i="42"/>
  <c r="AT27" i="42"/>
  <c r="AS27" i="42"/>
  <c r="AR27" i="42"/>
  <c r="AQ27" i="42"/>
  <c r="AP27" i="42"/>
  <c r="AO27" i="42"/>
  <c r="AN27" i="42"/>
  <c r="AM27" i="42"/>
  <c r="AL27" i="42"/>
  <c r="AK27" i="42"/>
  <c r="AJ27" i="42"/>
  <c r="AI27" i="42"/>
  <c r="AH27" i="42"/>
  <c r="AG27" i="42"/>
  <c r="AF27" i="42"/>
  <c r="AE27" i="42"/>
  <c r="AD27" i="42"/>
  <c r="AC27" i="42"/>
  <c r="AB27" i="42"/>
  <c r="AA27" i="42"/>
  <c r="Z27" i="42"/>
  <c r="Y27" i="42"/>
  <c r="X27" i="42"/>
  <c r="W27" i="42"/>
  <c r="V27" i="42"/>
  <c r="U27" i="42"/>
  <c r="T27" i="42"/>
  <c r="S27" i="42"/>
  <c r="R27" i="42"/>
  <c r="Q27" i="42"/>
  <c r="P27" i="42"/>
  <c r="O27" i="42"/>
  <c r="N27" i="42"/>
  <c r="M27" i="42"/>
  <c r="L27" i="42"/>
  <c r="K27" i="42"/>
  <c r="J27" i="42"/>
  <c r="AX21" i="42"/>
  <c r="AW21" i="42"/>
  <c r="AV21" i="42"/>
  <c r="AU21" i="42"/>
  <c r="AT21" i="42"/>
  <c r="AS21" i="42"/>
  <c r="AR21" i="42"/>
  <c r="AQ21" i="42"/>
  <c r="AP21" i="42"/>
  <c r="AO21" i="42"/>
  <c r="AN21" i="42"/>
  <c r="AM21" i="42"/>
  <c r="AL21" i="42"/>
  <c r="AK21" i="42"/>
  <c r="AJ21" i="42"/>
  <c r="AI21" i="42"/>
  <c r="AH21" i="42"/>
  <c r="AG21" i="42"/>
  <c r="AF21" i="42"/>
  <c r="AE21" i="42"/>
  <c r="AD21" i="42"/>
  <c r="AC21" i="42"/>
  <c r="AB21" i="42"/>
  <c r="AA21" i="42"/>
  <c r="Z21" i="42"/>
  <c r="Y21" i="42"/>
  <c r="X21" i="42"/>
  <c r="W21" i="42"/>
  <c r="V21" i="42"/>
  <c r="U21" i="42"/>
  <c r="T21" i="42"/>
  <c r="S21" i="42"/>
  <c r="R21" i="42"/>
  <c r="Q21" i="42"/>
  <c r="P21" i="42"/>
  <c r="O21" i="42"/>
  <c r="N21" i="42"/>
  <c r="M21" i="42"/>
  <c r="L21" i="42"/>
  <c r="K21" i="42"/>
  <c r="J21" i="42"/>
  <c r="AX19" i="42"/>
  <c r="AW19" i="42"/>
  <c r="AV19" i="42"/>
  <c r="AU19" i="42"/>
  <c r="AT19" i="42"/>
  <c r="AS19" i="42"/>
  <c r="AR19" i="42"/>
  <c r="AQ19" i="42"/>
  <c r="AP19" i="42"/>
  <c r="AO19" i="42"/>
  <c r="AN19" i="42"/>
  <c r="AM19" i="42"/>
  <c r="AL19" i="42"/>
  <c r="AK19" i="42"/>
  <c r="AJ19" i="42"/>
  <c r="AI19" i="42"/>
  <c r="AH19" i="42"/>
  <c r="AG19" i="42"/>
  <c r="AF19" i="42"/>
  <c r="AE19" i="42"/>
  <c r="AD19" i="42"/>
  <c r="AC19" i="42"/>
  <c r="AB19" i="42"/>
  <c r="AA19" i="42"/>
  <c r="Z19" i="42"/>
  <c r="Y19" i="42"/>
  <c r="X19" i="42"/>
  <c r="W19" i="42"/>
  <c r="V19" i="42"/>
  <c r="U19" i="42"/>
  <c r="T19" i="42"/>
  <c r="S19" i="42"/>
  <c r="R19" i="42"/>
  <c r="Q19" i="42"/>
  <c r="P19" i="42"/>
  <c r="O19" i="42"/>
  <c r="N19" i="42"/>
  <c r="M19" i="42"/>
  <c r="L19" i="42"/>
  <c r="K19" i="42"/>
  <c r="J19" i="42"/>
  <c r="AX16" i="42"/>
  <c r="AW16" i="42"/>
  <c r="AV16" i="42"/>
  <c r="AU16" i="42"/>
  <c r="AT16" i="42"/>
  <c r="AS16" i="42"/>
  <c r="AR16" i="42"/>
  <c r="AQ16" i="42"/>
  <c r="AP16" i="42"/>
  <c r="AO16" i="42"/>
  <c r="AN16" i="42"/>
  <c r="AM16" i="42"/>
  <c r="AL16" i="42"/>
  <c r="AK16" i="42"/>
  <c r="AJ16" i="42"/>
  <c r="AI16" i="42"/>
  <c r="AH16" i="42"/>
  <c r="AG16" i="42"/>
  <c r="AF16" i="42"/>
  <c r="AE16" i="42"/>
  <c r="AD16" i="42"/>
  <c r="AC16" i="42"/>
  <c r="AB16" i="42"/>
  <c r="AA16" i="42"/>
  <c r="Z16" i="42"/>
  <c r="Y16" i="42"/>
  <c r="X16" i="42"/>
  <c r="W16" i="42"/>
  <c r="V16" i="42"/>
  <c r="U16" i="42"/>
  <c r="T16" i="42"/>
  <c r="S16" i="42"/>
  <c r="R16" i="42"/>
  <c r="Q16" i="42"/>
  <c r="P16" i="42"/>
  <c r="O16" i="42"/>
  <c r="N16" i="42"/>
  <c r="M16" i="42"/>
  <c r="L16" i="42"/>
  <c r="K16" i="42"/>
  <c r="J16" i="42"/>
  <c r="AX15" i="42"/>
  <c r="AW15" i="42"/>
  <c r="AV15" i="42"/>
  <c r="AU15" i="42"/>
  <c r="AT15" i="42"/>
  <c r="AS15" i="42"/>
  <c r="AR15" i="42"/>
  <c r="AQ15" i="42"/>
  <c r="AP15" i="42"/>
  <c r="AO15" i="42"/>
  <c r="AN15" i="42"/>
  <c r="AM15" i="42"/>
  <c r="AL15" i="42"/>
  <c r="AK15" i="42"/>
  <c r="AJ15" i="42"/>
  <c r="AI15" i="42"/>
  <c r="AH15" i="42"/>
  <c r="AG15" i="42"/>
  <c r="AF15" i="42"/>
  <c r="AE15" i="42"/>
  <c r="AD15" i="42"/>
  <c r="AC15" i="42"/>
  <c r="AB15" i="42"/>
  <c r="AA15" i="42"/>
  <c r="Z15" i="42"/>
  <c r="Y15" i="42"/>
  <c r="X15" i="42"/>
  <c r="W15" i="42"/>
  <c r="V15" i="42"/>
  <c r="U15" i="42"/>
  <c r="T15" i="42"/>
  <c r="S15" i="42"/>
  <c r="R15" i="42"/>
  <c r="Q15" i="42"/>
  <c r="P15" i="42"/>
  <c r="O15" i="42"/>
  <c r="N15" i="42"/>
  <c r="M15" i="42"/>
  <c r="L15" i="42"/>
  <c r="K15" i="42"/>
  <c r="J15" i="42"/>
  <c r="AX13" i="42"/>
  <c r="AW13" i="42"/>
  <c r="AV13" i="42"/>
  <c r="AU13" i="42"/>
  <c r="AT13" i="42"/>
  <c r="AS13" i="42"/>
  <c r="AR13" i="42"/>
  <c r="AQ13" i="42"/>
  <c r="AP13" i="42"/>
  <c r="AO13" i="42"/>
  <c r="AN13" i="42"/>
  <c r="AM13" i="42"/>
  <c r="AL13" i="42"/>
  <c r="AK13" i="42"/>
  <c r="AJ13" i="42"/>
  <c r="AI13" i="42"/>
  <c r="AH13" i="42"/>
  <c r="AG13" i="42"/>
  <c r="AF13" i="42"/>
  <c r="AE13" i="42"/>
  <c r="AD13" i="42"/>
  <c r="AC13" i="42"/>
  <c r="AB13" i="42"/>
  <c r="AA13" i="42"/>
  <c r="Z13" i="42"/>
  <c r="Y13" i="42"/>
  <c r="X13" i="42"/>
  <c r="W13" i="42"/>
  <c r="V13" i="42"/>
  <c r="U13" i="42"/>
  <c r="T13" i="42"/>
  <c r="S13" i="42"/>
  <c r="R13" i="42"/>
  <c r="Q13" i="42"/>
  <c r="P13" i="42"/>
  <c r="O13" i="42"/>
  <c r="N13" i="42"/>
  <c r="M13" i="42"/>
  <c r="L13" i="42"/>
  <c r="K13" i="42"/>
  <c r="J13" i="42"/>
  <c r="AX12" i="42"/>
  <c r="AW12" i="42"/>
  <c r="AV12" i="42"/>
  <c r="AU12" i="42"/>
  <c r="AT12" i="42"/>
  <c r="AS12" i="42"/>
  <c r="AR12" i="42"/>
  <c r="AQ12" i="42"/>
  <c r="AP12" i="42"/>
  <c r="AO12" i="42"/>
  <c r="AN12" i="42"/>
  <c r="AM12" i="42"/>
  <c r="AL12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S12" i="42"/>
  <c r="R12" i="42"/>
  <c r="Q12" i="42"/>
  <c r="P12" i="42"/>
  <c r="O12" i="42"/>
  <c r="N12" i="42"/>
  <c r="M12" i="42"/>
  <c r="L12" i="42"/>
  <c r="K12" i="42"/>
  <c r="J12" i="42"/>
  <c r="AX10" i="42"/>
  <c r="AW10" i="42"/>
  <c r="AV10" i="42"/>
  <c r="AU10" i="42"/>
  <c r="AT10" i="42"/>
  <c r="AS10" i="42"/>
  <c r="AR10" i="42"/>
  <c r="AQ10" i="42"/>
  <c r="AP10" i="42"/>
  <c r="AO10" i="42"/>
  <c r="AN10" i="42"/>
  <c r="AM10" i="42"/>
  <c r="AL10" i="42"/>
  <c r="AK10" i="42"/>
  <c r="AJ10" i="42"/>
  <c r="AI10" i="42"/>
  <c r="AH10" i="42"/>
  <c r="AG10" i="42"/>
  <c r="AF10" i="42"/>
  <c r="AE10" i="42"/>
  <c r="AD10" i="42"/>
  <c r="AC10" i="42"/>
  <c r="AB10" i="42"/>
  <c r="AA10" i="42"/>
  <c r="Z10" i="42"/>
  <c r="Y10" i="42"/>
  <c r="X10" i="42"/>
  <c r="W10" i="42"/>
  <c r="V10" i="42"/>
  <c r="U10" i="42"/>
  <c r="T10" i="42"/>
  <c r="S10" i="42"/>
  <c r="R10" i="42"/>
  <c r="Q10" i="42"/>
  <c r="P10" i="42"/>
  <c r="O10" i="42"/>
  <c r="N10" i="42"/>
  <c r="M10" i="42"/>
  <c r="L10" i="42"/>
  <c r="K10" i="42"/>
  <c r="J10" i="42"/>
  <c r="AX43" i="42"/>
  <c r="AW43" i="42"/>
  <c r="AV43" i="42"/>
  <c r="AU43" i="42"/>
  <c r="AT43" i="42"/>
  <c r="AS43" i="42"/>
  <c r="AR43" i="42"/>
  <c r="AQ43" i="42"/>
  <c r="AP43" i="42"/>
  <c r="AO43" i="42"/>
  <c r="AN43" i="42"/>
  <c r="AM43" i="42"/>
  <c r="AL43" i="42"/>
  <c r="AK43" i="42"/>
  <c r="AJ43" i="42"/>
  <c r="AI43" i="42"/>
  <c r="AH43" i="42"/>
  <c r="AG43" i="42"/>
  <c r="AF43" i="42"/>
  <c r="AE43" i="42"/>
  <c r="AD43" i="42"/>
  <c r="AC43" i="42"/>
  <c r="AB43" i="42"/>
  <c r="AA43" i="42"/>
  <c r="Z43" i="42"/>
  <c r="Y43" i="42"/>
  <c r="X43" i="42"/>
  <c r="W43" i="42"/>
  <c r="V43" i="42"/>
  <c r="U43" i="42"/>
  <c r="T43" i="42"/>
  <c r="S43" i="42"/>
  <c r="R43" i="42"/>
  <c r="Q43" i="42"/>
  <c r="P43" i="42"/>
  <c r="O43" i="42"/>
  <c r="N43" i="42"/>
  <c r="M43" i="42"/>
  <c r="L43" i="42"/>
  <c r="K43" i="42"/>
  <c r="J43" i="42"/>
  <c r="AX25" i="42"/>
  <c r="AW25" i="42"/>
  <c r="AV25" i="42"/>
  <c r="AU25" i="42"/>
  <c r="AT25" i="42"/>
  <c r="AS25" i="42"/>
  <c r="AR25" i="42"/>
  <c r="AQ25" i="42"/>
  <c r="AP25" i="42"/>
  <c r="AO25" i="42"/>
  <c r="AN25" i="42"/>
  <c r="AM25" i="42"/>
  <c r="AL25" i="42"/>
  <c r="AK25" i="42"/>
  <c r="AJ25" i="42"/>
  <c r="AI25" i="42"/>
  <c r="AH25" i="42"/>
  <c r="AG25" i="42"/>
  <c r="AF25" i="42"/>
  <c r="AE25" i="42"/>
  <c r="AD25" i="42"/>
  <c r="AC25" i="42"/>
  <c r="AB25" i="42"/>
  <c r="AA25" i="42"/>
  <c r="Z25" i="42"/>
  <c r="Y25" i="42"/>
  <c r="X25" i="42"/>
  <c r="W25" i="42"/>
  <c r="V25" i="42"/>
  <c r="U25" i="42"/>
  <c r="T25" i="42"/>
  <c r="S25" i="42"/>
  <c r="R25" i="42"/>
  <c r="Q25" i="42"/>
  <c r="P25" i="42"/>
  <c r="O25" i="42"/>
  <c r="N25" i="42"/>
  <c r="M25" i="42"/>
  <c r="L25" i="42"/>
  <c r="K25" i="42"/>
  <c r="J25" i="42"/>
  <c r="AX41" i="42"/>
  <c r="AW41" i="42"/>
  <c r="AV41" i="42"/>
  <c r="AU41" i="42"/>
  <c r="AT41" i="42"/>
  <c r="AS41" i="42"/>
  <c r="AR41" i="42"/>
  <c r="AQ41" i="42"/>
  <c r="AP41" i="42"/>
  <c r="AO41" i="42"/>
  <c r="AN41" i="42"/>
  <c r="AM41" i="42"/>
  <c r="AL41" i="42"/>
  <c r="AK41" i="42"/>
  <c r="AJ41" i="42"/>
  <c r="AI41" i="42"/>
  <c r="AH41" i="42"/>
  <c r="AG41" i="42"/>
  <c r="AF41" i="42"/>
  <c r="AE41" i="42"/>
  <c r="AD41" i="42"/>
  <c r="AC41" i="42"/>
  <c r="AB41" i="42"/>
  <c r="AA41" i="42"/>
  <c r="Z41" i="42"/>
  <c r="Y41" i="42"/>
  <c r="X41" i="42"/>
  <c r="W41" i="42"/>
  <c r="V41" i="42"/>
  <c r="U41" i="42"/>
  <c r="T41" i="42"/>
  <c r="S41" i="42"/>
  <c r="R41" i="42"/>
  <c r="Q41" i="42"/>
  <c r="P41" i="42"/>
  <c r="O41" i="42"/>
  <c r="N41" i="42"/>
  <c r="M41" i="42"/>
  <c r="L41" i="42"/>
  <c r="K41" i="42"/>
  <c r="J41" i="42"/>
  <c r="AX38" i="42"/>
  <c r="AW38" i="42"/>
  <c r="AV38" i="42"/>
  <c r="AU38" i="42"/>
  <c r="AT38" i="42"/>
  <c r="AS38" i="42"/>
  <c r="AR38" i="42"/>
  <c r="AQ38" i="42"/>
  <c r="AP38" i="42"/>
  <c r="AO38" i="42"/>
  <c r="AN38" i="42"/>
  <c r="AM38" i="42"/>
  <c r="AL38" i="42"/>
  <c r="AK38" i="42"/>
  <c r="AJ38" i="42"/>
  <c r="AI38" i="42"/>
  <c r="AH38" i="42"/>
  <c r="AG38" i="42"/>
  <c r="AF38" i="42"/>
  <c r="AE38" i="42"/>
  <c r="AD38" i="42"/>
  <c r="AC38" i="42"/>
  <c r="AB38" i="42"/>
  <c r="AA38" i="42"/>
  <c r="Z38" i="42"/>
  <c r="Y38" i="42"/>
  <c r="X38" i="42"/>
  <c r="W38" i="42"/>
  <c r="V38" i="42"/>
  <c r="U38" i="42"/>
  <c r="T38" i="42"/>
  <c r="S38" i="42"/>
  <c r="R38" i="42"/>
  <c r="Q38" i="42"/>
  <c r="P38" i="42"/>
  <c r="O38" i="42"/>
  <c r="N38" i="42"/>
  <c r="M38" i="42"/>
  <c r="L38" i="42"/>
  <c r="K38" i="42"/>
  <c r="J38" i="42"/>
  <c r="AX37" i="42"/>
  <c r="AW37" i="42"/>
  <c r="AV37" i="42"/>
  <c r="AU37" i="42"/>
  <c r="AT37" i="42"/>
  <c r="AS37" i="42"/>
  <c r="AR37" i="42"/>
  <c r="AQ37" i="42"/>
  <c r="AP37" i="42"/>
  <c r="AO37" i="42"/>
  <c r="AN37" i="42"/>
  <c r="AM37" i="42"/>
  <c r="AL37" i="42"/>
  <c r="AK37" i="42"/>
  <c r="AJ37" i="42"/>
  <c r="AI37" i="42"/>
  <c r="AH37" i="42"/>
  <c r="AG37" i="42"/>
  <c r="AF37" i="42"/>
  <c r="AE37" i="42"/>
  <c r="AD37" i="42"/>
  <c r="AC37" i="42"/>
  <c r="AB37" i="42"/>
  <c r="AA37" i="42"/>
  <c r="Z37" i="42"/>
  <c r="Y37" i="42"/>
  <c r="X37" i="42"/>
  <c r="W37" i="42"/>
  <c r="V37" i="42"/>
  <c r="U37" i="42"/>
  <c r="T37" i="42"/>
  <c r="S37" i="42"/>
  <c r="R37" i="42"/>
  <c r="Q37" i="42"/>
  <c r="P37" i="42"/>
  <c r="O37" i="42"/>
  <c r="N37" i="42"/>
  <c r="M37" i="42"/>
  <c r="L37" i="42"/>
  <c r="K37" i="42"/>
  <c r="J37" i="42"/>
  <c r="AX34" i="42"/>
  <c r="AW34" i="42"/>
  <c r="AV34" i="42"/>
  <c r="AU34" i="42"/>
  <c r="AT34" i="42"/>
  <c r="AS34" i="42"/>
  <c r="AR34" i="42"/>
  <c r="AQ34" i="42"/>
  <c r="AP34" i="42"/>
  <c r="AO34" i="42"/>
  <c r="AN34" i="42"/>
  <c r="AM34" i="42"/>
  <c r="AL34" i="42"/>
  <c r="AK34" i="42"/>
  <c r="AJ34" i="42"/>
  <c r="AI34" i="42"/>
  <c r="AH34" i="42"/>
  <c r="AG34" i="42"/>
  <c r="AF34" i="42"/>
  <c r="AE34" i="42"/>
  <c r="AD34" i="42"/>
  <c r="AC34" i="42"/>
  <c r="AB34" i="42"/>
  <c r="AA34" i="42"/>
  <c r="Z34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M34" i="42"/>
  <c r="L34" i="42"/>
  <c r="K34" i="42"/>
  <c r="J34" i="42"/>
  <c r="AX28" i="42"/>
  <c r="AW28" i="42"/>
  <c r="AV28" i="42"/>
  <c r="AU28" i="42"/>
  <c r="AT28" i="42"/>
  <c r="AS28" i="42"/>
  <c r="AR28" i="42"/>
  <c r="AQ28" i="42"/>
  <c r="AP28" i="42"/>
  <c r="AO28" i="42"/>
  <c r="AN28" i="42"/>
  <c r="AM28" i="42"/>
  <c r="AL28" i="42"/>
  <c r="AK28" i="42"/>
  <c r="AJ28" i="42"/>
  <c r="AI28" i="42"/>
  <c r="AH28" i="42"/>
  <c r="AG28" i="42"/>
  <c r="AF28" i="42"/>
  <c r="AE28" i="42"/>
  <c r="AD28" i="42"/>
  <c r="AC28" i="42"/>
  <c r="AB28" i="42"/>
  <c r="AA28" i="42"/>
  <c r="Z28" i="42"/>
  <c r="Y28" i="42"/>
  <c r="X28" i="42"/>
  <c r="W28" i="42"/>
  <c r="V28" i="42"/>
  <c r="U28" i="42"/>
  <c r="T28" i="42"/>
  <c r="S28" i="42"/>
  <c r="R28" i="42"/>
  <c r="Q28" i="42"/>
  <c r="P28" i="42"/>
  <c r="O28" i="42"/>
  <c r="N28" i="42"/>
  <c r="M28" i="42"/>
  <c r="L28" i="42"/>
  <c r="K28" i="42"/>
  <c r="J28" i="42"/>
  <c r="AX26" i="42"/>
  <c r="AW26" i="42"/>
  <c r="AV26" i="42"/>
  <c r="AU26" i="42"/>
  <c r="AT26" i="42"/>
  <c r="AS26" i="42"/>
  <c r="AR26" i="42"/>
  <c r="AQ26" i="42"/>
  <c r="AP26" i="42"/>
  <c r="AO26" i="42"/>
  <c r="AN26" i="42"/>
  <c r="AM26" i="42"/>
  <c r="AL26" i="42"/>
  <c r="AK26" i="42"/>
  <c r="AJ26" i="42"/>
  <c r="AI26" i="42"/>
  <c r="AH26" i="42"/>
  <c r="AG26" i="42"/>
  <c r="AF26" i="42"/>
  <c r="AE26" i="42"/>
  <c r="AD26" i="42"/>
  <c r="AC26" i="42"/>
  <c r="AB26" i="42"/>
  <c r="AA26" i="42"/>
  <c r="Z26" i="42"/>
  <c r="Y26" i="42"/>
  <c r="X26" i="42"/>
  <c r="W26" i="42"/>
  <c r="V26" i="42"/>
  <c r="U26" i="42"/>
  <c r="T26" i="42"/>
  <c r="S26" i="42"/>
  <c r="R26" i="42"/>
  <c r="Q26" i="42"/>
  <c r="P26" i="42"/>
  <c r="O26" i="42"/>
  <c r="N26" i="42"/>
  <c r="M26" i="42"/>
  <c r="L26" i="42"/>
  <c r="K26" i="42"/>
  <c r="J26" i="42"/>
  <c r="AX24" i="42"/>
  <c r="AW24" i="42"/>
  <c r="AV24" i="42"/>
  <c r="AU24" i="42"/>
  <c r="AT24" i="42"/>
  <c r="AS24" i="42"/>
  <c r="AR24" i="42"/>
  <c r="AQ24" i="42"/>
  <c r="AP24" i="42"/>
  <c r="AO24" i="42"/>
  <c r="AN24" i="42"/>
  <c r="AM24" i="42"/>
  <c r="AL24" i="42"/>
  <c r="AK24" i="42"/>
  <c r="AJ24" i="42"/>
  <c r="AI24" i="42"/>
  <c r="AH24" i="42"/>
  <c r="AG24" i="42"/>
  <c r="AF24" i="42"/>
  <c r="AE24" i="42"/>
  <c r="AD24" i="42"/>
  <c r="AC24" i="42"/>
  <c r="AB24" i="42"/>
  <c r="AA24" i="42"/>
  <c r="Z24" i="42"/>
  <c r="Y24" i="42"/>
  <c r="X24" i="42"/>
  <c r="W24" i="42"/>
  <c r="V24" i="42"/>
  <c r="U24" i="42"/>
  <c r="T24" i="42"/>
  <c r="S24" i="42"/>
  <c r="R24" i="42"/>
  <c r="Q24" i="42"/>
  <c r="P24" i="42"/>
  <c r="O24" i="42"/>
  <c r="N24" i="42"/>
  <c r="M24" i="42"/>
  <c r="L24" i="42"/>
  <c r="K24" i="42"/>
  <c r="J24" i="42"/>
  <c r="AX23" i="42"/>
  <c r="AW23" i="42"/>
  <c r="AV23" i="42"/>
  <c r="AU23" i="42"/>
  <c r="AT23" i="42"/>
  <c r="AS23" i="42"/>
  <c r="AR23" i="42"/>
  <c r="AQ23" i="42"/>
  <c r="AP23" i="42"/>
  <c r="AO23" i="42"/>
  <c r="AN23" i="42"/>
  <c r="AM23" i="42"/>
  <c r="AL23" i="42"/>
  <c r="AK23" i="42"/>
  <c r="AJ23" i="42"/>
  <c r="AI23" i="42"/>
  <c r="AH23" i="42"/>
  <c r="AG23" i="42"/>
  <c r="AF23" i="42"/>
  <c r="AE23" i="42"/>
  <c r="AD23" i="42"/>
  <c r="AC23" i="42"/>
  <c r="AB23" i="42"/>
  <c r="AA23" i="42"/>
  <c r="Z23" i="42"/>
  <c r="Y23" i="42"/>
  <c r="X23" i="42"/>
  <c r="W23" i="42"/>
  <c r="V23" i="42"/>
  <c r="U23" i="42"/>
  <c r="T23" i="42"/>
  <c r="S23" i="42"/>
  <c r="R23" i="42"/>
  <c r="Q23" i="42"/>
  <c r="P23" i="42"/>
  <c r="O23" i="42"/>
  <c r="N23" i="42"/>
  <c r="M23" i="42"/>
  <c r="L23" i="42"/>
  <c r="K23" i="42"/>
  <c r="J23" i="42"/>
  <c r="AX22" i="42"/>
  <c r="AW22" i="42"/>
  <c r="AV22" i="42"/>
  <c r="AU22" i="42"/>
  <c r="AT22" i="42"/>
  <c r="AS22" i="42"/>
  <c r="AR22" i="42"/>
  <c r="AQ22" i="42"/>
  <c r="AP22" i="42"/>
  <c r="AO22" i="42"/>
  <c r="AN22" i="42"/>
  <c r="AM22" i="42"/>
  <c r="AL22" i="42"/>
  <c r="AK22" i="42"/>
  <c r="AJ22" i="42"/>
  <c r="AI22" i="42"/>
  <c r="AH22" i="42"/>
  <c r="AG22" i="42"/>
  <c r="AF22" i="42"/>
  <c r="AE22" i="42"/>
  <c r="AD22" i="42"/>
  <c r="AC22" i="42"/>
  <c r="AB22" i="42"/>
  <c r="AA22" i="42"/>
  <c r="Z22" i="42"/>
  <c r="Y22" i="42"/>
  <c r="X22" i="42"/>
  <c r="W22" i="42"/>
  <c r="V22" i="42"/>
  <c r="U22" i="42"/>
  <c r="T22" i="42"/>
  <c r="S22" i="42"/>
  <c r="R22" i="42"/>
  <c r="Q22" i="42"/>
  <c r="P22" i="42"/>
  <c r="O22" i="42"/>
  <c r="N22" i="42"/>
  <c r="M22" i="42"/>
  <c r="L22" i="42"/>
  <c r="K22" i="42"/>
  <c r="J22" i="42"/>
  <c r="AX20" i="42"/>
  <c r="AW20" i="42"/>
  <c r="AV20" i="42"/>
  <c r="AU20" i="42"/>
  <c r="AT20" i="42"/>
  <c r="AS20" i="42"/>
  <c r="AR20" i="42"/>
  <c r="AQ20" i="42"/>
  <c r="AP20" i="42"/>
  <c r="AO20" i="42"/>
  <c r="AN20" i="42"/>
  <c r="AM20" i="42"/>
  <c r="AL20" i="42"/>
  <c r="AK20" i="42"/>
  <c r="AJ20" i="42"/>
  <c r="AI20" i="42"/>
  <c r="AH20" i="42"/>
  <c r="AG20" i="42"/>
  <c r="AF20" i="42"/>
  <c r="AE20" i="42"/>
  <c r="AD20" i="42"/>
  <c r="AC20" i="42"/>
  <c r="AB20" i="42"/>
  <c r="AA20" i="42"/>
  <c r="Z20" i="42"/>
  <c r="Y20" i="42"/>
  <c r="X20" i="42"/>
  <c r="W20" i="42"/>
  <c r="V20" i="42"/>
  <c r="U20" i="42"/>
  <c r="T20" i="42"/>
  <c r="S20" i="42"/>
  <c r="R20" i="42"/>
  <c r="Q20" i="42"/>
  <c r="P20" i="42"/>
  <c r="O20" i="42"/>
  <c r="N20" i="42"/>
  <c r="M20" i="42"/>
  <c r="L20" i="42"/>
  <c r="K20" i="42"/>
  <c r="J20" i="42"/>
  <c r="AX18" i="42"/>
  <c r="AW18" i="42"/>
  <c r="AV18" i="42"/>
  <c r="AU18" i="42"/>
  <c r="AT18" i="42"/>
  <c r="AS18" i="42"/>
  <c r="AR18" i="42"/>
  <c r="AQ18" i="42"/>
  <c r="AP18" i="42"/>
  <c r="AO18" i="42"/>
  <c r="AN18" i="42"/>
  <c r="AM18" i="42"/>
  <c r="AL18" i="42"/>
  <c r="AK18" i="42"/>
  <c r="AJ18" i="42"/>
  <c r="AI18" i="42"/>
  <c r="AH18" i="42"/>
  <c r="AG18" i="42"/>
  <c r="AF18" i="42"/>
  <c r="AE18" i="42"/>
  <c r="AD18" i="42"/>
  <c r="AC18" i="42"/>
  <c r="AB18" i="42"/>
  <c r="AA18" i="42"/>
  <c r="Z18" i="42"/>
  <c r="Y18" i="42"/>
  <c r="X18" i="42"/>
  <c r="W18" i="42"/>
  <c r="V18" i="42"/>
  <c r="U18" i="42"/>
  <c r="T18" i="42"/>
  <c r="S18" i="42"/>
  <c r="R18" i="42"/>
  <c r="Q18" i="42"/>
  <c r="P18" i="42"/>
  <c r="O18" i="42"/>
  <c r="N18" i="42"/>
  <c r="M18" i="42"/>
  <c r="L18" i="42"/>
  <c r="K18" i="42"/>
  <c r="J18" i="42"/>
  <c r="AX17" i="42"/>
  <c r="AW17" i="42"/>
  <c r="AV17" i="42"/>
  <c r="AU17" i="42"/>
  <c r="AT17" i="42"/>
  <c r="AS17" i="42"/>
  <c r="AR17" i="42"/>
  <c r="AQ17" i="42"/>
  <c r="AP17" i="42"/>
  <c r="AO17" i="42"/>
  <c r="AN17" i="42"/>
  <c r="AM17" i="42"/>
  <c r="AL17" i="42"/>
  <c r="AK17" i="42"/>
  <c r="AJ17" i="42"/>
  <c r="AI17" i="42"/>
  <c r="AH17" i="42"/>
  <c r="AG17" i="42"/>
  <c r="AF17" i="42"/>
  <c r="AE17" i="42"/>
  <c r="AD17" i="42"/>
  <c r="AC17" i="42"/>
  <c r="AB17" i="42"/>
  <c r="AA17" i="42"/>
  <c r="Z17" i="42"/>
  <c r="Y17" i="42"/>
  <c r="X17" i="42"/>
  <c r="W17" i="42"/>
  <c r="V17" i="42"/>
  <c r="U17" i="42"/>
  <c r="T17" i="42"/>
  <c r="S17" i="42"/>
  <c r="R17" i="42"/>
  <c r="Q17" i="42"/>
  <c r="P17" i="42"/>
  <c r="O17" i="42"/>
  <c r="N17" i="42"/>
  <c r="M17" i="42"/>
  <c r="L17" i="42"/>
  <c r="K17" i="42"/>
  <c r="J17" i="42"/>
  <c r="AX14" i="42"/>
  <c r="AW14" i="42"/>
  <c r="AV14" i="42"/>
  <c r="AU14" i="42"/>
  <c r="AT14" i="42"/>
  <c r="AS14" i="42"/>
  <c r="AR14" i="42"/>
  <c r="AQ14" i="42"/>
  <c r="AP14" i="42"/>
  <c r="AO14" i="42"/>
  <c r="AN14" i="42"/>
  <c r="AM14" i="42"/>
  <c r="AL14" i="42"/>
  <c r="AK14" i="42"/>
  <c r="AJ14" i="42"/>
  <c r="AI14" i="42"/>
  <c r="AH14" i="42"/>
  <c r="AG14" i="42"/>
  <c r="AF14" i="42"/>
  <c r="AE14" i="42"/>
  <c r="AD14" i="42"/>
  <c r="AC14" i="42"/>
  <c r="AB14" i="42"/>
  <c r="AA14" i="42"/>
  <c r="Z14" i="42"/>
  <c r="Y14" i="42"/>
  <c r="X14" i="42"/>
  <c r="W14" i="42"/>
  <c r="V14" i="42"/>
  <c r="U14" i="42"/>
  <c r="T14" i="42"/>
  <c r="S14" i="42"/>
  <c r="R14" i="42"/>
  <c r="Q14" i="42"/>
  <c r="P14" i="42"/>
  <c r="O14" i="42"/>
  <c r="N14" i="42"/>
  <c r="M14" i="42"/>
  <c r="L14" i="42"/>
  <c r="K14" i="42"/>
  <c r="J14" i="42"/>
  <c r="AX11" i="42"/>
  <c r="AW11" i="42"/>
  <c r="AV11" i="42"/>
  <c r="AU11" i="42"/>
  <c r="AT11" i="42"/>
  <c r="AS11" i="42"/>
  <c r="AR11" i="42"/>
  <c r="AQ11" i="42"/>
  <c r="AP11" i="42"/>
  <c r="AO11" i="42"/>
  <c r="AN11" i="42"/>
  <c r="AM11" i="42"/>
  <c r="AL11" i="42"/>
  <c r="AK11" i="42"/>
  <c r="AJ11" i="42"/>
  <c r="AI11" i="42"/>
  <c r="AH11" i="42"/>
  <c r="AG11" i="42"/>
  <c r="AF11" i="42"/>
  <c r="AE11" i="42"/>
  <c r="AD11" i="42"/>
  <c r="AC11" i="42"/>
  <c r="AB11" i="42"/>
  <c r="AA11" i="42"/>
  <c r="Z11" i="42"/>
  <c r="Y11" i="42"/>
  <c r="X11" i="42"/>
  <c r="W11" i="42"/>
  <c r="V11" i="42"/>
  <c r="U11" i="42"/>
  <c r="T11" i="42"/>
  <c r="S11" i="42"/>
  <c r="R11" i="42"/>
  <c r="Q11" i="42"/>
  <c r="P11" i="42"/>
  <c r="O11" i="42"/>
  <c r="N11" i="42"/>
  <c r="M11" i="42"/>
  <c r="L11" i="42"/>
  <c r="K11" i="42"/>
  <c r="J11" i="42"/>
  <c r="AX9" i="42"/>
  <c r="AW9" i="42"/>
  <c r="AV9" i="42"/>
  <c r="AU9" i="42"/>
  <c r="AT9" i="42"/>
  <c r="AS9" i="42"/>
  <c r="AR9" i="42"/>
  <c r="AQ9" i="42"/>
  <c r="AP9" i="42"/>
  <c r="AO9" i="42"/>
  <c r="AN9" i="42"/>
  <c r="AM9" i="42"/>
  <c r="AL9" i="42"/>
  <c r="AK9" i="42"/>
  <c r="AJ9" i="42"/>
  <c r="AI9" i="42"/>
  <c r="AH9" i="42"/>
  <c r="AG9" i="42"/>
  <c r="AF9" i="42"/>
  <c r="AE9" i="42"/>
  <c r="AD9" i="42"/>
  <c r="AC9" i="42"/>
  <c r="AB9" i="42"/>
  <c r="AA9" i="42"/>
  <c r="Z9" i="42"/>
  <c r="Y9" i="42"/>
  <c r="X9" i="42"/>
  <c r="W9" i="42"/>
  <c r="V9" i="42"/>
  <c r="U9" i="42"/>
  <c r="T9" i="42"/>
  <c r="S9" i="42"/>
  <c r="R9" i="42"/>
  <c r="Q9" i="42"/>
  <c r="P9" i="42"/>
  <c r="O9" i="42"/>
  <c r="N9" i="42"/>
  <c r="M9" i="42"/>
  <c r="L9" i="42"/>
  <c r="K9" i="42"/>
  <c r="J9" i="42"/>
  <c r="G18" i="42" l="1"/>
  <c r="G24" i="42"/>
  <c r="G37" i="42"/>
  <c r="G43" i="42"/>
  <c r="G12" i="42"/>
  <c r="G19" i="42"/>
  <c r="G30" i="42"/>
  <c r="G36" i="42"/>
  <c r="G45" i="42"/>
  <c r="G11" i="42"/>
  <c r="G20" i="42"/>
  <c r="G26" i="42"/>
  <c r="G38" i="42"/>
  <c r="G13" i="42"/>
  <c r="G21" i="42"/>
  <c r="G31" i="42"/>
  <c r="G40" i="42"/>
  <c r="G9" i="42"/>
  <c r="G14" i="42"/>
  <c r="G22" i="42"/>
  <c r="G28" i="42"/>
  <c r="G41" i="42"/>
  <c r="G15" i="42"/>
  <c r="G27" i="42"/>
  <c r="G32" i="42"/>
  <c r="G39" i="42"/>
  <c r="G17" i="42"/>
  <c r="G23" i="42"/>
  <c r="G34" i="42"/>
  <c r="G25" i="42"/>
  <c r="G10" i="42"/>
  <c r="G16" i="42"/>
  <c r="G29" i="42"/>
  <c r="G35" i="42"/>
  <c r="G44" i="42"/>
  <c r="AX36" i="30"/>
  <c r="C48" i="42" l="1"/>
  <c r="D48" i="42"/>
  <c r="E48" i="42"/>
  <c r="C47" i="36"/>
  <c r="D47" i="36"/>
  <c r="E47" i="36"/>
  <c r="F47" i="36"/>
  <c r="H47" i="36"/>
  <c r="I47" i="36"/>
  <c r="AX46" i="43"/>
  <c r="AW46" i="43"/>
  <c r="AV46" i="43"/>
  <c r="AU46" i="43"/>
  <c r="AT46" i="43"/>
  <c r="AS46" i="43"/>
  <c r="AR46" i="43"/>
  <c r="AQ46" i="43"/>
  <c r="AP46" i="43"/>
  <c r="AO46" i="43"/>
  <c r="AN46" i="43"/>
  <c r="AM46" i="43"/>
  <c r="AL46" i="43"/>
  <c r="AK46" i="43"/>
  <c r="AJ46" i="43"/>
  <c r="AI46" i="43"/>
  <c r="AH46" i="43"/>
  <c r="AG46" i="43"/>
  <c r="AF46" i="43"/>
  <c r="AE46" i="43"/>
  <c r="AD46" i="43"/>
  <c r="AC46" i="43"/>
  <c r="AB46" i="43"/>
  <c r="AA46" i="43"/>
  <c r="Z46" i="43"/>
  <c r="Y46" i="43"/>
  <c r="X46" i="43"/>
  <c r="W46" i="43"/>
  <c r="V46" i="43"/>
  <c r="U46" i="43"/>
  <c r="T46" i="43"/>
  <c r="S46" i="43"/>
  <c r="R46" i="43"/>
  <c r="Q46" i="43"/>
  <c r="P46" i="43"/>
  <c r="O46" i="43"/>
  <c r="N46" i="43"/>
  <c r="M46" i="43"/>
  <c r="L46" i="43"/>
  <c r="K46" i="43"/>
  <c r="J46" i="43"/>
  <c r="AX45" i="43"/>
  <c r="AW45" i="43"/>
  <c r="AV45" i="43"/>
  <c r="AU45" i="43"/>
  <c r="AT45" i="43"/>
  <c r="AS45" i="43"/>
  <c r="AR45" i="43"/>
  <c r="AQ45" i="43"/>
  <c r="AP45" i="43"/>
  <c r="AO45" i="43"/>
  <c r="AN45" i="43"/>
  <c r="AM45" i="43"/>
  <c r="AL45" i="43"/>
  <c r="AK45" i="43"/>
  <c r="AJ45" i="43"/>
  <c r="AI45" i="43"/>
  <c r="AH45" i="43"/>
  <c r="AG45" i="43"/>
  <c r="AF45" i="43"/>
  <c r="AE45" i="43"/>
  <c r="AD45" i="43"/>
  <c r="AC45" i="43"/>
  <c r="AB45" i="43"/>
  <c r="AA45" i="43"/>
  <c r="Z45" i="43"/>
  <c r="Y45" i="43"/>
  <c r="X45" i="43"/>
  <c r="W45" i="43"/>
  <c r="V45" i="43"/>
  <c r="U45" i="43"/>
  <c r="T45" i="43"/>
  <c r="S45" i="43"/>
  <c r="R45" i="43"/>
  <c r="Q45" i="43"/>
  <c r="P45" i="43"/>
  <c r="O45" i="43"/>
  <c r="N45" i="43"/>
  <c r="M45" i="43"/>
  <c r="L45" i="43"/>
  <c r="K45" i="43"/>
  <c r="J45" i="43"/>
  <c r="AX44" i="43"/>
  <c r="AW44" i="43"/>
  <c r="AV44" i="43"/>
  <c r="AU44" i="43"/>
  <c r="AT44" i="43"/>
  <c r="AS44" i="43"/>
  <c r="AR44" i="43"/>
  <c r="AQ44" i="43"/>
  <c r="AP44" i="43"/>
  <c r="AO44" i="43"/>
  <c r="AN44" i="43"/>
  <c r="AM44" i="43"/>
  <c r="AL44" i="43"/>
  <c r="AK44" i="43"/>
  <c r="AJ44" i="43"/>
  <c r="AI44" i="43"/>
  <c r="AH44" i="43"/>
  <c r="AG44" i="43"/>
  <c r="AF44" i="43"/>
  <c r="AE44" i="43"/>
  <c r="AD44" i="43"/>
  <c r="AC44" i="43"/>
  <c r="AB44" i="43"/>
  <c r="AA44" i="43"/>
  <c r="Z44" i="43"/>
  <c r="Y44" i="43"/>
  <c r="X44" i="43"/>
  <c r="W44" i="43"/>
  <c r="V44" i="43"/>
  <c r="U44" i="43"/>
  <c r="T44" i="43"/>
  <c r="S44" i="43"/>
  <c r="R44" i="43"/>
  <c r="Q44" i="43"/>
  <c r="P44" i="43"/>
  <c r="O44" i="43"/>
  <c r="N44" i="43"/>
  <c r="M44" i="43"/>
  <c r="L44" i="43"/>
  <c r="K44" i="43"/>
  <c r="J44" i="43"/>
  <c r="AX43" i="43"/>
  <c r="AW43" i="43"/>
  <c r="AV43" i="43"/>
  <c r="AU43" i="43"/>
  <c r="AT43" i="43"/>
  <c r="AS43" i="43"/>
  <c r="AR43" i="43"/>
  <c r="AQ43" i="43"/>
  <c r="AP43" i="43"/>
  <c r="AO43" i="43"/>
  <c r="AN43" i="43"/>
  <c r="AM43" i="43"/>
  <c r="AL43" i="43"/>
  <c r="AK43" i="43"/>
  <c r="AJ43" i="43"/>
  <c r="AI43" i="43"/>
  <c r="AH43" i="43"/>
  <c r="AG43" i="43"/>
  <c r="AF43" i="43"/>
  <c r="AE43" i="43"/>
  <c r="AD43" i="43"/>
  <c r="AC43" i="43"/>
  <c r="AB43" i="43"/>
  <c r="AA43" i="43"/>
  <c r="Z43" i="43"/>
  <c r="Y43" i="43"/>
  <c r="X43" i="43"/>
  <c r="W43" i="43"/>
  <c r="V43" i="43"/>
  <c r="U43" i="43"/>
  <c r="T43" i="43"/>
  <c r="S43" i="43"/>
  <c r="R43" i="43"/>
  <c r="Q43" i="43"/>
  <c r="P43" i="43"/>
  <c r="O43" i="43"/>
  <c r="N43" i="43"/>
  <c r="M43" i="43"/>
  <c r="L43" i="43"/>
  <c r="K43" i="43"/>
  <c r="J43" i="43"/>
  <c r="AX42" i="43"/>
  <c r="AW42" i="43"/>
  <c r="AV42" i="43"/>
  <c r="AU42" i="43"/>
  <c r="AT42" i="43"/>
  <c r="AS42" i="43"/>
  <c r="AR42" i="43"/>
  <c r="AQ42" i="43"/>
  <c r="AP42" i="43"/>
  <c r="AO42" i="43"/>
  <c r="AN42" i="43"/>
  <c r="AM42" i="43"/>
  <c r="AL42" i="43"/>
  <c r="AK42" i="43"/>
  <c r="AJ42" i="43"/>
  <c r="AI42" i="43"/>
  <c r="AH42" i="43"/>
  <c r="AG42" i="43"/>
  <c r="AF42" i="43"/>
  <c r="AE42" i="43"/>
  <c r="AD42" i="43"/>
  <c r="AC42" i="43"/>
  <c r="AB42" i="43"/>
  <c r="AA42" i="43"/>
  <c r="Z42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AX30" i="43"/>
  <c r="AW30" i="43"/>
  <c r="AV30" i="43"/>
  <c r="AU30" i="43"/>
  <c r="AT30" i="43"/>
  <c r="AS30" i="43"/>
  <c r="AR30" i="43"/>
  <c r="AQ30" i="43"/>
  <c r="AP30" i="43"/>
  <c r="AO30" i="43"/>
  <c r="AN30" i="43"/>
  <c r="AM30" i="43"/>
  <c r="AL30" i="43"/>
  <c r="AK30" i="43"/>
  <c r="AJ30" i="43"/>
  <c r="AI30" i="43"/>
  <c r="AH30" i="43"/>
  <c r="AG30" i="43"/>
  <c r="AF30" i="43"/>
  <c r="AE30" i="43"/>
  <c r="AD30" i="43"/>
  <c r="AC30" i="43"/>
  <c r="AB30" i="43"/>
  <c r="AA30" i="43"/>
  <c r="Z30" i="43"/>
  <c r="Y30" i="43"/>
  <c r="X30" i="43"/>
  <c r="W30" i="43"/>
  <c r="V30" i="43"/>
  <c r="U30" i="43"/>
  <c r="T30" i="43"/>
  <c r="S30" i="43"/>
  <c r="R30" i="43"/>
  <c r="Q30" i="43"/>
  <c r="P30" i="43"/>
  <c r="O30" i="43"/>
  <c r="N30" i="43"/>
  <c r="M30" i="43"/>
  <c r="L30" i="43"/>
  <c r="K30" i="43"/>
  <c r="J30" i="43"/>
  <c r="AX41" i="43"/>
  <c r="AW41" i="43"/>
  <c r="AV41" i="43"/>
  <c r="AU41" i="43"/>
  <c r="AT41" i="43"/>
  <c r="AS41" i="43"/>
  <c r="AR41" i="43"/>
  <c r="AQ41" i="43"/>
  <c r="AP41" i="43"/>
  <c r="AO41" i="43"/>
  <c r="AN41" i="43"/>
  <c r="AM41" i="43"/>
  <c r="AL41" i="43"/>
  <c r="AK41" i="43"/>
  <c r="AJ41" i="43"/>
  <c r="AI41" i="43"/>
  <c r="AH41" i="43"/>
  <c r="AG41" i="43"/>
  <c r="AF41" i="43"/>
  <c r="AE41" i="43"/>
  <c r="AD41" i="43"/>
  <c r="AC41" i="43"/>
  <c r="AB41" i="43"/>
  <c r="AA41" i="43"/>
  <c r="Z41" i="43"/>
  <c r="Y41" i="43"/>
  <c r="X41" i="43"/>
  <c r="W41" i="43"/>
  <c r="V41" i="43"/>
  <c r="U41" i="43"/>
  <c r="T41" i="43"/>
  <c r="S41" i="43"/>
  <c r="R41" i="43"/>
  <c r="Q41" i="43"/>
  <c r="P41" i="43"/>
  <c r="O41" i="43"/>
  <c r="N41" i="43"/>
  <c r="M41" i="43"/>
  <c r="L41" i="43"/>
  <c r="K41" i="43"/>
  <c r="J41" i="43"/>
  <c r="AX40" i="43"/>
  <c r="AW40" i="43"/>
  <c r="AV40" i="43"/>
  <c r="AU40" i="43"/>
  <c r="AT40" i="43"/>
  <c r="AS40" i="43"/>
  <c r="AR40" i="43"/>
  <c r="AQ40" i="43"/>
  <c r="AP40" i="43"/>
  <c r="AO40" i="43"/>
  <c r="AN40" i="43"/>
  <c r="AM40" i="43"/>
  <c r="AL40" i="43"/>
  <c r="AK40" i="43"/>
  <c r="AJ40" i="43"/>
  <c r="AI40" i="43"/>
  <c r="AH40" i="43"/>
  <c r="AG40" i="43"/>
  <c r="AF40" i="43"/>
  <c r="AE40" i="43"/>
  <c r="AD40" i="43"/>
  <c r="AC40" i="43"/>
  <c r="AB40" i="43"/>
  <c r="AA40" i="43"/>
  <c r="Z40" i="43"/>
  <c r="Y40" i="43"/>
  <c r="X40" i="43"/>
  <c r="W40" i="43"/>
  <c r="V40" i="43"/>
  <c r="U40" i="43"/>
  <c r="T40" i="43"/>
  <c r="S40" i="43"/>
  <c r="R40" i="43"/>
  <c r="Q40" i="43"/>
  <c r="P40" i="43"/>
  <c r="O40" i="43"/>
  <c r="N40" i="43"/>
  <c r="M40" i="43"/>
  <c r="L40" i="43"/>
  <c r="K40" i="43"/>
  <c r="J40" i="43"/>
  <c r="AX38" i="43"/>
  <c r="AW38" i="43"/>
  <c r="AV38" i="43"/>
  <c r="AU38" i="43"/>
  <c r="AT38" i="43"/>
  <c r="AS38" i="43"/>
  <c r="AR38" i="43"/>
  <c r="AQ38" i="43"/>
  <c r="AP38" i="43"/>
  <c r="AO38" i="43"/>
  <c r="AN38" i="43"/>
  <c r="AM38" i="43"/>
  <c r="AL38" i="43"/>
  <c r="AK38" i="43"/>
  <c r="AJ38" i="43"/>
  <c r="AI38" i="43"/>
  <c r="AH38" i="43"/>
  <c r="AG38" i="43"/>
  <c r="AF38" i="43"/>
  <c r="AE38" i="43"/>
  <c r="AD38" i="43"/>
  <c r="AC38" i="43"/>
  <c r="AB38" i="43"/>
  <c r="AA38" i="43"/>
  <c r="Z38" i="43"/>
  <c r="Y38" i="43"/>
  <c r="X38" i="43"/>
  <c r="W38" i="43"/>
  <c r="V38" i="43"/>
  <c r="U38" i="43"/>
  <c r="T38" i="43"/>
  <c r="S38" i="43"/>
  <c r="R38" i="43"/>
  <c r="Q38" i="43"/>
  <c r="P38" i="43"/>
  <c r="O38" i="43"/>
  <c r="N38" i="43"/>
  <c r="M38" i="43"/>
  <c r="L38" i="43"/>
  <c r="K38" i="43"/>
  <c r="J38" i="43"/>
  <c r="AX39" i="43"/>
  <c r="AW39" i="43"/>
  <c r="AV39" i="43"/>
  <c r="AU39" i="43"/>
  <c r="AT39" i="43"/>
  <c r="AS39" i="43"/>
  <c r="AR39" i="43"/>
  <c r="AQ39" i="43"/>
  <c r="AP39" i="43"/>
  <c r="AO39" i="43"/>
  <c r="AN39" i="43"/>
  <c r="AM39" i="43"/>
  <c r="AL39" i="43"/>
  <c r="AK39" i="43"/>
  <c r="AJ39" i="43"/>
  <c r="AI39" i="43"/>
  <c r="AH39" i="43"/>
  <c r="AG39" i="43"/>
  <c r="AF39" i="43"/>
  <c r="AE39" i="43"/>
  <c r="AD39" i="43"/>
  <c r="AC39" i="43"/>
  <c r="AB39" i="43"/>
  <c r="AA39" i="43"/>
  <c r="Z39" i="43"/>
  <c r="Y39" i="43"/>
  <c r="X39" i="43"/>
  <c r="W39" i="43"/>
  <c r="V39" i="43"/>
  <c r="U39" i="43"/>
  <c r="T39" i="43"/>
  <c r="S39" i="43"/>
  <c r="R39" i="43"/>
  <c r="Q39" i="43"/>
  <c r="P39" i="43"/>
  <c r="O39" i="43"/>
  <c r="N39" i="43"/>
  <c r="M39" i="43"/>
  <c r="L39" i="43"/>
  <c r="K39" i="43"/>
  <c r="J39" i="43"/>
  <c r="AX24" i="43"/>
  <c r="AW24" i="43"/>
  <c r="AV24" i="43"/>
  <c r="AU24" i="43"/>
  <c r="AT24" i="43"/>
  <c r="AS24" i="43"/>
  <c r="AR24" i="43"/>
  <c r="AQ24" i="43"/>
  <c r="AP24" i="43"/>
  <c r="AO24" i="43"/>
  <c r="AN24" i="43"/>
  <c r="AM24" i="43"/>
  <c r="AL24" i="43"/>
  <c r="AK24" i="43"/>
  <c r="AJ24" i="43"/>
  <c r="AI24" i="43"/>
  <c r="AH24" i="43"/>
  <c r="AG24" i="43"/>
  <c r="AF24" i="43"/>
  <c r="AE24" i="43"/>
  <c r="AD24" i="43"/>
  <c r="AC24" i="43"/>
  <c r="AB24" i="43"/>
  <c r="AA24" i="43"/>
  <c r="Z24" i="43"/>
  <c r="Y24" i="43"/>
  <c r="X24" i="43"/>
  <c r="W24" i="43"/>
  <c r="V24" i="43"/>
  <c r="U24" i="43"/>
  <c r="T24" i="43"/>
  <c r="S24" i="43"/>
  <c r="R24" i="43"/>
  <c r="Q24" i="43"/>
  <c r="P24" i="43"/>
  <c r="O24" i="43"/>
  <c r="N24" i="43"/>
  <c r="M24" i="43"/>
  <c r="L24" i="43"/>
  <c r="K24" i="43"/>
  <c r="J24" i="43"/>
  <c r="AX37" i="43"/>
  <c r="AW37" i="43"/>
  <c r="AV37" i="43"/>
  <c r="AU37" i="43"/>
  <c r="AT37" i="43"/>
  <c r="AS37" i="43"/>
  <c r="AR37" i="43"/>
  <c r="AQ37" i="43"/>
  <c r="AP37" i="43"/>
  <c r="AO37" i="43"/>
  <c r="AN37" i="43"/>
  <c r="AM37" i="43"/>
  <c r="AL37" i="43"/>
  <c r="AK37" i="43"/>
  <c r="AJ37" i="43"/>
  <c r="AI37" i="43"/>
  <c r="AH37" i="43"/>
  <c r="AG37" i="43"/>
  <c r="AF37" i="43"/>
  <c r="AE37" i="43"/>
  <c r="AD37" i="43"/>
  <c r="AC37" i="43"/>
  <c r="AB37" i="43"/>
  <c r="AA37" i="43"/>
  <c r="Z37" i="43"/>
  <c r="Y37" i="43"/>
  <c r="X37" i="43"/>
  <c r="W37" i="43"/>
  <c r="V37" i="43"/>
  <c r="U37" i="43"/>
  <c r="T37" i="43"/>
  <c r="S37" i="43"/>
  <c r="R37" i="43"/>
  <c r="Q37" i="43"/>
  <c r="P37" i="43"/>
  <c r="O37" i="43"/>
  <c r="N37" i="43"/>
  <c r="M37" i="43"/>
  <c r="L37" i="43"/>
  <c r="K37" i="43"/>
  <c r="J37" i="43"/>
  <c r="AX36" i="43"/>
  <c r="AW36" i="43"/>
  <c r="AV36" i="43"/>
  <c r="AU36" i="43"/>
  <c r="AT36" i="43"/>
  <c r="AS36" i="43"/>
  <c r="AR36" i="43"/>
  <c r="AQ36" i="43"/>
  <c r="AP36" i="43"/>
  <c r="AO36" i="43"/>
  <c r="AN36" i="43"/>
  <c r="AM36" i="43"/>
  <c r="AL36" i="43"/>
  <c r="AK36" i="43"/>
  <c r="AJ36" i="43"/>
  <c r="AI36" i="43"/>
  <c r="AH36" i="43"/>
  <c r="AG36" i="43"/>
  <c r="AF36" i="43"/>
  <c r="AE36" i="43"/>
  <c r="AD36" i="43"/>
  <c r="AC36" i="43"/>
  <c r="AB36" i="43"/>
  <c r="AA36" i="43"/>
  <c r="Z36" i="43"/>
  <c r="Y36" i="43"/>
  <c r="X36" i="43"/>
  <c r="W36" i="43"/>
  <c r="V36" i="43"/>
  <c r="U36" i="43"/>
  <c r="T36" i="43"/>
  <c r="S36" i="43"/>
  <c r="R36" i="43"/>
  <c r="Q36" i="43"/>
  <c r="P36" i="43"/>
  <c r="O36" i="43"/>
  <c r="N36" i="43"/>
  <c r="M36" i="43"/>
  <c r="L36" i="43"/>
  <c r="K36" i="43"/>
  <c r="J36" i="43"/>
  <c r="AX35" i="43"/>
  <c r="AW35" i="43"/>
  <c r="AV35" i="43"/>
  <c r="AU35" i="43"/>
  <c r="AT35" i="43"/>
  <c r="AS35" i="43"/>
  <c r="AR35" i="43"/>
  <c r="AQ35" i="43"/>
  <c r="AP35" i="43"/>
  <c r="AO35" i="43"/>
  <c r="AN35" i="43"/>
  <c r="AM35" i="43"/>
  <c r="AL35" i="43"/>
  <c r="AK35" i="43"/>
  <c r="AJ35" i="43"/>
  <c r="AI35" i="43"/>
  <c r="AH35" i="43"/>
  <c r="AG35" i="43"/>
  <c r="AF35" i="43"/>
  <c r="AE35" i="43"/>
  <c r="AD35" i="43"/>
  <c r="AC35" i="43"/>
  <c r="AB35" i="43"/>
  <c r="AA35" i="43"/>
  <c r="Z35" i="43"/>
  <c r="Y35" i="43"/>
  <c r="X35" i="43"/>
  <c r="W35" i="43"/>
  <c r="V35" i="43"/>
  <c r="U35" i="43"/>
  <c r="T35" i="43"/>
  <c r="S35" i="43"/>
  <c r="R35" i="43"/>
  <c r="Q35" i="43"/>
  <c r="P35" i="43"/>
  <c r="O35" i="43"/>
  <c r="N35" i="43"/>
  <c r="M35" i="43"/>
  <c r="L35" i="43"/>
  <c r="K35" i="43"/>
  <c r="J35" i="43"/>
  <c r="AX33" i="43"/>
  <c r="AW33" i="43"/>
  <c r="AV33" i="43"/>
  <c r="AU33" i="43"/>
  <c r="AT33" i="43"/>
  <c r="AS33" i="43"/>
  <c r="AR33" i="43"/>
  <c r="AQ33" i="43"/>
  <c r="AP33" i="43"/>
  <c r="AO33" i="43"/>
  <c r="AN33" i="43"/>
  <c r="AM33" i="43"/>
  <c r="AL33" i="43"/>
  <c r="AK33" i="43"/>
  <c r="AJ33" i="43"/>
  <c r="AI33" i="43"/>
  <c r="AH33" i="43"/>
  <c r="AG33" i="43"/>
  <c r="AF33" i="43"/>
  <c r="AE33" i="43"/>
  <c r="AD33" i="43"/>
  <c r="AC33" i="43"/>
  <c r="AB33" i="43"/>
  <c r="AA33" i="43"/>
  <c r="Z33" i="43"/>
  <c r="Y33" i="43"/>
  <c r="X33" i="43"/>
  <c r="W33" i="43"/>
  <c r="V33" i="43"/>
  <c r="U33" i="43"/>
  <c r="T33" i="43"/>
  <c r="S33" i="43"/>
  <c r="R33" i="43"/>
  <c r="Q33" i="43"/>
  <c r="P33" i="43"/>
  <c r="O33" i="43"/>
  <c r="N33" i="43"/>
  <c r="M33" i="43"/>
  <c r="L33" i="43"/>
  <c r="K33" i="43"/>
  <c r="J33" i="43"/>
  <c r="AX34" i="43"/>
  <c r="AW34" i="43"/>
  <c r="AV34" i="43"/>
  <c r="AU34" i="43"/>
  <c r="AT34" i="43"/>
  <c r="AS34" i="43"/>
  <c r="AR34" i="43"/>
  <c r="AQ34" i="43"/>
  <c r="AP34" i="43"/>
  <c r="AO34" i="43"/>
  <c r="AN34" i="43"/>
  <c r="AM34" i="43"/>
  <c r="AL34" i="43"/>
  <c r="AK34" i="43"/>
  <c r="AJ34" i="43"/>
  <c r="AI34" i="43"/>
  <c r="AH34" i="43"/>
  <c r="AG34" i="43"/>
  <c r="AF34" i="43"/>
  <c r="AE34" i="43"/>
  <c r="AD34" i="43"/>
  <c r="AC34" i="43"/>
  <c r="AB34" i="43"/>
  <c r="AA34" i="43"/>
  <c r="Z34" i="43"/>
  <c r="Y34" i="43"/>
  <c r="X34" i="43"/>
  <c r="W34" i="43"/>
  <c r="V34" i="43"/>
  <c r="U34" i="43"/>
  <c r="T34" i="43"/>
  <c r="S34" i="43"/>
  <c r="R34" i="43"/>
  <c r="Q34" i="43"/>
  <c r="P34" i="43"/>
  <c r="O34" i="43"/>
  <c r="N34" i="43"/>
  <c r="M34" i="43"/>
  <c r="L34" i="43"/>
  <c r="K34" i="43"/>
  <c r="J34" i="43"/>
  <c r="AX32" i="43"/>
  <c r="AW32" i="43"/>
  <c r="AV32" i="43"/>
  <c r="AU32" i="43"/>
  <c r="AT32" i="43"/>
  <c r="AS32" i="43"/>
  <c r="AR32" i="43"/>
  <c r="AQ32" i="43"/>
  <c r="AP32" i="43"/>
  <c r="AO32" i="43"/>
  <c r="AN32" i="43"/>
  <c r="AM32" i="43"/>
  <c r="AL32" i="43"/>
  <c r="AK32" i="43"/>
  <c r="AJ32" i="43"/>
  <c r="AI32" i="43"/>
  <c r="AH32" i="43"/>
  <c r="AG32" i="43"/>
  <c r="AF32" i="43"/>
  <c r="AE32" i="43"/>
  <c r="AD32" i="43"/>
  <c r="AC32" i="43"/>
  <c r="AB32" i="43"/>
  <c r="AA32" i="43"/>
  <c r="Z32" i="43"/>
  <c r="Y32" i="43"/>
  <c r="X32" i="43"/>
  <c r="W32" i="43"/>
  <c r="V32" i="43"/>
  <c r="U32" i="43"/>
  <c r="T32" i="43"/>
  <c r="S32" i="43"/>
  <c r="R32" i="43"/>
  <c r="Q32" i="43"/>
  <c r="P32" i="43"/>
  <c r="O32" i="43"/>
  <c r="N32" i="43"/>
  <c r="M32" i="43"/>
  <c r="L32" i="43"/>
  <c r="K32" i="43"/>
  <c r="J32" i="43"/>
  <c r="AX31" i="43"/>
  <c r="AW31" i="43"/>
  <c r="AV31" i="43"/>
  <c r="AU31" i="43"/>
  <c r="AT31" i="43"/>
  <c r="AS31" i="43"/>
  <c r="AR31" i="43"/>
  <c r="AQ31" i="43"/>
  <c r="AP31" i="43"/>
  <c r="AO31" i="43"/>
  <c r="AN31" i="43"/>
  <c r="AM31" i="43"/>
  <c r="AL31" i="43"/>
  <c r="AK31" i="43"/>
  <c r="AJ31" i="43"/>
  <c r="AI31" i="43"/>
  <c r="AH31" i="43"/>
  <c r="AG31" i="43"/>
  <c r="AF31" i="43"/>
  <c r="AE31" i="43"/>
  <c r="AD31" i="43"/>
  <c r="AC31" i="43"/>
  <c r="AB31" i="43"/>
  <c r="AA31" i="43"/>
  <c r="Z31" i="43"/>
  <c r="Y31" i="43"/>
  <c r="X31" i="43"/>
  <c r="W31" i="43"/>
  <c r="V31" i="43"/>
  <c r="U31" i="43"/>
  <c r="T31" i="43"/>
  <c r="S31" i="43"/>
  <c r="R31" i="43"/>
  <c r="Q31" i="43"/>
  <c r="P31" i="43"/>
  <c r="O31" i="43"/>
  <c r="N31" i="43"/>
  <c r="M31" i="43"/>
  <c r="L31" i="43"/>
  <c r="K31" i="43"/>
  <c r="J31" i="43"/>
  <c r="AX29" i="43"/>
  <c r="AW29" i="43"/>
  <c r="AV29" i="43"/>
  <c r="AU29" i="43"/>
  <c r="AT29" i="43"/>
  <c r="AS29" i="43"/>
  <c r="AR29" i="43"/>
  <c r="AQ29" i="43"/>
  <c r="AP29" i="43"/>
  <c r="AO29" i="43"/>
  <c r="AN29" i="43"/>
  <c r="AM29" i="43"/>
  <c r="AL29" i="43"/>
  <c r="AK29" i="43"/>
  <c r="AJ29" i="43"/>
  <c r="AI29" i="43"/>
  <c r="AH29" i="43"/>
  <c r="AG29" i="43"/>
  <c r="AF29" i="43"/>
  <c r="AE29" i="43"/>
  <c r="AD29" i="43"/>
  <c r="AC29" i="43"/>
  <c r="AB29" i="43"/>
  <c r="AA29" i="43"/>
  <c r="Z29" i="43"/>
  <c r="Y29" i="43"/>
  <c r="X29" i="43"/>
  <c r="W29" i="43"/>
  <c r="V29" i="43"/>
  <c r="U29" i="43"/>
  <c r="T29" i="43"/>
  <c r="S29" i="43"/>
  <c r="R29" i="43"/>
  <c r="Q29" i="43"/>
  <c r="P29" i="43"/>
  <c r="O29" i="43"/>
  <c r="N29" i="43"/>
  <c r="M29" i="43"/>
  <c r="L29" i="43"/>
  <c r="K29" i="43"/>
  <c r="J29" i="43"/>
  <c r="AX28" i="43"/>
  <c r="AW28" i="43"/>
  <c r="AV28" i="43"/>
  <c r="AU28" i="43"/>
  <c r="AT28" i="43"/>
  <c r="AS28" i="43"/>
  <c r="AR28" i="43"/>
  <c r="AQ28" i="43"/>
  <c r="AP28" i="43"/>
  <c r="AO28" i="43"/>
  <c r="AN28" i="43"/>
  <c r="AM28" i="43"/>
  <c r="AL28" i="43"/>
  <c r="AK28" i="43"/>
  <c r="AJ28" i="43"/>
  <c r="AI28" i="43"/>
  <c r="AH28" i="43"/>
  <c r="AG28" i="43"/>
  <c r="AF28" i="43"/>
  <c r="AE28" i="43"/>
  <c r="AD28" i="43"/>
  <c r="AC28" i="43"/>
  <c r="AB28" i="43"/>
  <c r="AA28" i="43"/>
  <c r="Z28" i="43"/>
  <c r="Y28" i="43"/>
  <c r="X28" i="43"/>
  <c r="W28" i="43"/>
  <c r="V28" i="43"/>
  <c r="U28" i="43"/>
  <c r="T28" i="43"/>
  <c r="S28" i="43"/>
  <c r="R28" i="43"/>
  <c r="Q28" i="43"/>
  <c r="P28" i="43"/>
  <c r="O28" i="43"/>
  <c r="N28" i="43"/>
  <c r="M28" i="43"/>
  <c r="L28" i="43"/>
  <c r="K28" i="43"/>
  <c r="J28" i="43"/>
  <c r="AX27" i="43"/>
  <c r="AW27" i="43"/>
  <c r="AV27" i="43"/>
  <c r="AU27" i="43"/>
  <c r="AT27" i="43"/>
  <c r="AS27" i="43"/>
  <c r="AR27" i="43"/>
  <c r="AQ27" i="43"/>
  <c r="AP27" i="43"/>
  <c r="AO27" i="43"/>
  <c r="AN27" i="43"/>
  <c r="AM27" i="43"/>
  <c r="AL27" i="43"/>
  <c r="AK27" i="43"/>
  <c r="AJ27" i="43"/>
  <c r="AI27" i="43"/>
  <c r="AH27" i="43"/>
  <c r="AG27" i="43"/>
  <c r="AF27" i="43"/>
  <c r="AE27" i="43"/>
  <c r="AD27" i="43"/>
  <c r="AC27" i="43"/>
  <c r="AB27" i="43"/>
  <c r="AA27" i="43"/>
  <c r="Z27" i="43"/>
  <c r="Y27" i="43"/>
  <c r="X27" i="43"/>
  <c r="W27" i="43"/>
  <c r="V27" i="43"/>
  <c r="U27" i="43"/>
  <c r="T27" i="43"/>
  <c r="S27" i="43"/>
  <c r="R27" i="43"/>
  <c r="Q27" i="43"/>
  <c r="P27" i="43"/>
  <c r="O27" i="43"/>
  <c r="N27" i="43"/>
  <c r="M27" i="43"/>
  <c r="L27" i="43"/>
  <c r="K27" i="43"/>
  <c r="J27" i="43"/>
  <c r="AX26" i="43"/>
  <c r="AW26" i="43"/>
  <c r="AV26" i="43"/>
  <c r="AU26" i="43"/>
  <c r="AT26" i="43"/>
  <c r="AS26" i="43"/>
  <c r="AR26" i="43"/>
  <c r="AQ26" i="43"/>
  <c r="AP26" i="43"/>
  <c r="AO26" i="43"/>
  <c r="AN26" i="43"/>
  <c r="AM26" i="43"/>
  <c r="AL26" i="43"/>
  <c r="AK26" i="43"/>
  <c r="AJ26" i="43"/>
  <c r="AI26" i="43"/>
  <c r="AH26" i="43"/>
  <c r="AG26" i="43"/>
  <c r="AF26" i="43"/>
  <c r="AE26" i="43"/>
  <c r="AD26" i="43"/>
  <c r="AC26" i="43"/>
  <c r="AB26" i="43"/>
  <c r="AA26" i="43"/>
  <c r="Z26" i="43"/>
  <c r="Y26" i="43"/>
  <c r="X26" i="43"/>
  <c r="W26" i="43"/>
  <c r="V26" i="43"/>
  <c r="U26" i="43"/>
  <c r="T26" i="43"/>
  <c r="S26" i="43"/>
  <c r="R26" i="43"/>
  <c r="Q26" i="43"/>
  <c r="P26" i="43"/>
  <c r="O26" i="43"/>
  <c r="N26" i="43"/>
  <c r="M26" i="43"/>
  <c r="L26" i="43"/>
  <c r="K26" i="43"/>
  <c r="J26" i="43"/>
  <c r="AX25" i="43"/>
  <c r="AW25" i="43"/>
  <c r="AV25" i="43"/>
  <c r="AU25" i="43"/>
  <c r="AT25" i="43"/>
  <c r="AS25" i="43"/>
  <c r="AR25" i="43"/>
  <c r="AQ25" i="43"/>
  <c r="AP25" i="43"/>
  <c r="AO25" i="43"/>
  <c r="AN25" i="43"/>
  <c r="AM25" i="43"/>
  <c r="AL25" i="43"/>
  <c r="AK25" i="43"/>
  <c r="AJ25" i="43"/>
  <c r="AI25" i="43"/>
  <c r="AH25" i="43"/>
  <c r="AG25" i="43"/>
  <c r="AF25" i="43"/>
  <c r="AE25" i="43"/>
  <c r="AD25" i="43"/>
  <c r="AC25" i="43"/>
  <c r="AB25" i="43"/>
  <c r="AA25" i="43"/>
  <c r="Z25" i="43"/>
  <c r="Y25" i="43"/>
  <c r="X25" i="43"/>
  <c r="W25" i="43"/>
  <c r="V25" i="43"/>
  <c r="U25" i="43"/>
  <c r="T25" i="43"/>
  <c r="S25" i="43"/>
  <c r="R25" i="43"/>
  <c r="Q25" i="43"/>
  <c r="P25" i="43"/>
  <c r="O25" i="43"/>
  <c r="N25" i="43"/>
  <c r="M25" i="43"/>
  <c r="L25" i="43"/>
  <c r="K25" i="43"/>
  <c r="J25" i="43"/>
  <c r="AX23" i="43"/>
  <c r="AW23" i="43"/>
  <c r="AV23" i="43"/>
  <c r="AU23" i="43"/>
  <c r="AT23" i="43"/>
  <c r="AS23" i="43"/>
  <c r="AR23" i="43"/>
  <c r="AQ23" i="43"/>
  <c r="AP23" i="43"/>
  <c r="AO23" i="43"/>
  <c r="AN23" i="43"/>
  <c r="AM23" i="43"/>
  <c r="AL23" i="43"/>
  <c r="AK23" i="43"/>
  <c r="AJ23" i="43"/>
  <c r="AI23" i="43"/>
  <c r="AH23" i="43"/>
  <c r="AG23" i="43"/>
  <c r="AF23" i="43"/>
  <c r="AE23" i="43"/>
  <c r="AD23" i="43"/>
  <c r="AC23" i="43"/>
  <c r="AB23" i="43"/>
  <c r="AA23" i="43"/>
  <c r="Z23" i="43"/>
  <c r="Y23" i="43"/>
  <c r="X23" i="43"/>
  <c r="W23" i="43"/>
  <c r="V23" i="43"/>
  <c r="U23" i="43"/>
  <c r="T23" i="43"/>
  <c r="S23" i="43"/>
  <c r="R23" i="43"/>
  <c r="Q23" i="43"/>
  <c r="P23" i="43"/>
  <c r="O23" i="43"/>
  <c r="N23" i="43"/>
  <c r="M23" i="43"/>
  <c r="L23" i="43"/>
  <c r="K23" i="43"/>
  <c r="J23" i="43"/>
  <c r="AX22" i="43"/>
  <c r="AW22" i="43"/>
  <c r="AV22" i="43"/>
  <c r="AU22" i="43"/>
  <c r="AT22" i="43"/>
  <c r="AS22" i="43"/>
  <c r="AR22" i="43"/>
  <c r="AQ22" i="43"/>
  <c r="AP22" i="43"/>
  <c r="AO22" i="43"/>
  <c r="AN22" i="43"/>
  <c r="AM22" i="43"/>
  <c r="AL22" i="43"/>
  <c r="AK22" i="43"/>
  <c r="AJ22" i="43"/>
  <c r="AI22" i="43"/>
  <c r="AH22" i="43"/>
  <c r="AG22" i="43"/>
  <c r="AF22" i="43"/>
  <c r="AE22" i="43"/>
  <c r="AD22" i="43"/>
  <c r="AC22" i="43"/>
  <c r="AB22" i="43"/>
  <c r="AA22" i="43"/>
  <c r="Z22" i="43"/>
  <c r="Y22" i="43"/>
  <c r="X22" i="43"/>
  <c r="W22" i="43"/>
  <c r="V22" i="43"/>
  <c r="U22" i="43"/>
  <c r="T22" i="43"/>
  <c r="S22" i="43"/>
  <c r="R22" i="43"/>
  <c r="Q22" i="43"/>
  <c r="P22" i="43"/>
  <c r="O22" i="43"/>
  <c r="N22" i="43"/>
  <c r="M22" i="43"/>
  <c r="L22" i="43"/>
  <c r="K22" i="43"/>
  <c r="J22" i="43"/>
  <c r="AX21" i="43"/>
  <c r="AW21" i="43"/>
  <c r="AV21" i="43"/>
  <c r="AU21" i="43"/>
  <c r="AT21" i="43"/>
  <c r="AS21" i="43"/>
  <c r="AR21" i="43"/>
  <c r="AQ21" i="43"/>
  <c r="AP21" i="43"/>
  <c r="AO21" i="43"/>
  <c r="AN21" i="43"/>
  <c r="AM21" i="43"/>
  <c r="AL21" i="43"/>
  <c r="AK21" i="43"/>
  <c r="AJ21" i="43"/>
  <c r="AI21" i="43"/>
  <c r="AH21" i="43"/>
  <c r="AG21" i="43"/>
  <c r="AF21" i="43"/>
  <c r="AE21" i="43"/>
  <c r="AD21" i="43"/>
  <c r="AC21" i="43"/>
  <c r="AB21" i="43"/>
  <c r="AA21" i="43"/>
  <c r="Z21" i="43"/>
  <c r="Y21" i="43"/>
  <c r="X21" i="43"/>
  <c r="W21" i="43"/>
  <c r="V21" i="43"/>
  <c r="U21" i="43"/>
  <c r="T21" i="43"/>
  <c r="S21" i="43"/>
  <c r="R21" i="43"/>
  <c r="Q21" i="43"/>
  <c r="P21" i="43"/>
  <c r="O21" i="43"/>
  <c r="N21" i="43"/>
  <c r="M21" i="43"/>
  <c r="L21" i="43"/>
  <c r="K21" i="43"/>
  <c r="J21" i="43"/>
  <c r="AX19" i="43"/>
  <c r="AW19" i="43"/>
  <c r="AV19" i="43"/>
  <c r="AU19" i="43"/>
  <c r="AT19" i="43"/>
  <c r="AS19" i="43"/>
  <c r="AR19" i="43"/>
  <c r="AQ19" i="43"/>
  <c r="AP19" i="43"/>
  <c r="AO19" i="43"/>
  <c r="AN19" i="43"/>
  <c r="AM19" i="43"/>
  <c r="AL19" i="43"/>
  <c r="AK19" i="43"/>
  <c r="AJ19" i="43"/>
  <c r="AI19" i="43"/>
  <c r="AH19" i="43"/>
  <c r="AG19" i="43"/>
  <c r="AF19" i="43"/>
  <c r="AE19" i="43"/>
  <c r="AD19" i="43"/>
  <c r="AC19" i="43"/>
  <c r="AB19" i="43"/>
  <c r="AA19" i="43"/>
  <c r="Z19" i="43"/>
  <c r="Y19" i="43"/>
  <c r="X19" i="43"/>
  <c r="W19" i="43"/>
  <c r="V19" i="43"/>
  <c r="U19" i="43"/>
  <c r="T19" i="43"/>
  <c r="S19" i="43"/>
  <c r="R19" i="43"/>
  <c r="Q19" i="43"/>
  <c r="P19" i="43"/>
  <c r="O19" i="43"/>
  <c r="N19" i="43"/>
  <c r="M19" i="43"/>
  <c r="L19" i="43"/>
  <c r="K19" i="43"/>
  <c r="J19" i="43"/>
  <c r="AX20" i="43"/>
  <c r="AW20" i="43"/>
  <c r="AV20" i="43"/>
  <c r="AU20" i="43"/>
  <c r="AT20" i="43"/>
  <c r="AS20" i="43"/>
  <c r="AR20" i="43"/>
  <c r="AQ20" i="43"/>
  <c r="AP20" i="43"/>
  <c r="AO20" i="43"/>
  <c r="AN20" i="43"/>
  <c r="AM20" i="43"/>
  <c r="AL20" i="43"/>
  <c r="AK20" i="43"/>
  <c r="AJ20" i="43"/>
  <c r="AI20" i="43"/>
  <c r="AH20" i="43"/>
  <c r="AG20" i="43"/>
  <c r="AF20" i="43"/>
  <c r="AE20" i="43"/>
  <c r="AD20" i="43"/>
  <c r="AC20" i="43"/>
  <c r="AB20" i="43"/>
  <c r="AA20" i="43"/>
  <c r="Z20" i="43"/>
  <c r="Y20" i="43"/>
  <c r="X20" i="43"/>
  <c r="W20" i="43"/>
  <c r="V20" i="43"/>
  <c r="U20" i="43"/>
  <c r="T20" i="43"/>
  <c r="S20" i="43"/>
  <c r="R20" i="43"/>
  <c r="Q20" i="43"/>
  <c r="P20" i="43"/>
  <c r="O20" i="43"/>
  <c r="N20" i="43"/>
  <c r="M20" i="43"/>
  <c r="L20" i="43"/>
  <c r="K20" i="43"/>
  <c r="J20" i="43"/>
  <c r="AX18" i="43"/>
  <c r="AW18" i="43"/>
  <c r="AV18" i="43"/>
  <c r="AU18" i="43"/>
  <c r="AT18" i="43"/>
  <c r="AS18" i="43"/>
  <c r="AR18" i="43"/>
  <c r="AQ18" i="43"/>
  <c r="AP18" i="43"/>
  <c r="AO18" i="43"/>
  <c r="AN18" i="43"/>
  <c r="AM18" i="43"/>
  <c r="AL18" i="43"/>
  <c r="AK18" i="43"/>
  <c r="AJ18" i="43"/>
  <c r="AI18" i="43"/>
  <c r="AH18" i="43"/>
  <c r="AG18" i="43"/>
  <c r="AF18" i="43"/>
  <c r="AE18" i="43"/>
  <c r="AD18" i="43"/>
  <c r="AC18" i="43"/>
  <c r="AB18" i="43"/>
  <c r="AA18" i="43"/>
  <c r="Z18" i="43"/>
  <c r="Y18" i="43"/>
  <c r="X18" i="43"/>
  <c r="W18" i="43"/>
  <c r="V18" i="43"/>
  <c r="U18" i="43"/>
  <c r="T18" i="43"/>
  <c r="S18" i="43"/>
  <c r="R18" i="43"/>
  <c r="Q18" i="43"/>
  <c r="P18" i="43"/>
  <c r="O18" i="43"/>
  <c r="N18" i="43"/>
  <c r="M18" i="43"/>
  <c r="L18" i="43"/>
  <c r="K18" i="43"/>
  <c r="J18" i="43"/>
  <c r="AX17" i="43"/>
  <c r="AW17" i="43"/>
  <c r="AV17" i="43"/>
  <c r="AU17" i="43"/>
  <c r="AT17" i="43"/>
  <c r="AS17" i="43"/>
  <c r="AR17" i="43"/>
  <c r="AQ17" i="43"/>
  <c r="AP17" i="43"/>
  <c r="AO17" i="43"/>
  <c r="AN17" i="43"/>
  <c r="AM17" i="43"/>
  <c r="AL17" i="43"/>
  <c r="AK17" i="43"/>
  <c r="AJ17" i="43"/>
  <c r="AI17" i="43"/>
  <c r="AH17" i="43"/>
  <c r="AG17" i="43"/>
  <c r="AF17" i="43"/>
  <c r="AE17" i="43"/>
  <c r="AD17" i="43"/>
  <c r="AC17" i="43"/>
  <c r="AB17" i="43"/>
  <c r="AA17" i="43"/>
  <c r="Z17" i="43"/>
  <c r="Y17" i="43"/>
  <c r="X17" i="43"/>
  <c r="W17" i="43"/>
  <c r="V17" i="43"/>
  <c r="U17" i="43"/>
  <c r="T17" i="43"/>
  <c r="S17" i="43"/>
  <c r="R17" i="43"/>
  <c r="Q17" i="43"/>
  <c r="P17" i="43"/>
  <c r="O17" i="43"/>
  <c r="N17" i="43"/>
  <c r="M17" i="43"/>
  <c r="L17" i="43"/>
  <c r="K17" i="43"/>
  <c r="J17" i="43"/>
  <c r="AX16" i="43"/>
  <c r="AW16" i="43"/>
  <c r="AV16" i="43"/>
  <c r="AU16" i="43"/>
  <c r="AT16" i="43"/>
  <c r="AS16" i="43"/>
  <c r="AR16" i="43"/>
  <c r="AQ16" i="43"/>
  <c r="AP16" i="43"/>
  <c r="AO16" i="43"/>
  <c r="AN16" i="43"/>
  <c r="AM16" i="43"/>
  <c r="AL16" i="43"/>
  <c r="AK16" i="43"/>
  <c r="AJ16" i="43"/>
  <c r="AI16" i="43"/>
  <c r="AH16" i="43"/>
  <c r="AG16" i="43"/>
  <c r="AF16" i="43"/>
  <c r="AE16" i="43"/>
  <c r="AD16" i="43"/>
  <c r="AC16" i="43"/>
  <c r="AB16" i="43"/>
  <c r="AA16" i="43"/>
  <c r="Z16" i="43"/>
  <c r="Y16" i="43"/>
  <c r="X16" i="43"/>
  <c r="W16" i="43"/>
  <c r="V16" i="43"/>
  <c r="U16" i="43"/>
  <c r="T16" i="43"/>
  <c r="S16" i="43"/>
  <c r="R16" i="43"/>
  <c r="Q16" i="43"/>
  <c r="P16" i="43"/>
  <c r="O16" i="43"/>
  <c r="N16" i="43"/>
  <c r="M16" i="43"/>
  <c r="L16" i="43"/>
  <c r="K16" i="43"/>
  <c r="J16" i="43"/>
  <c r="AX15" i="43"/>
  <c r="AW15" i="43"/>
  <c r="AV15" i="43"/>
  <c r="AU15" i="43"/>
  <c r="AT15" i="43"/>
  <c r="AS15" i="43"/>
  <c r="AR15" i="43"/>
  <c r="AQ15" i="43"/>
  <c r="AP15" i="43"/>
  <c r="AO15" i="43"/>
  <c r="AN15" i="43"/>
  <c r="AM15" i="43"/>
  <c r="AL15" i="43"/>
  <c r="AK15" i="43"/>
  <c r="AJ15" i="43"/>
  <c r="AI15" i="43"/>
  <c r="AH15" i="43"/>
  <c r="AG15" i="43"/>
  <c r="AF15" i="43"/>
  <c r="AE15" i="43"/>
  <c r="AD15" i="43"/>
  <c r="AC15" i="43"/>
  <c r="AB15" i="43"/>
  <c r="AA15" i="43"/>
  <c r="Z15" i="43"/>
  <c r="Y15" i="43"/>
  <c r="X15" i="43"/>
  <c r="W15" i="43"/>
  <c r="V15" i="43"/>
  <c r="U15" i="43"/>
  <c r="T15" i="43"/>
  <c r="S15" i="43"/>
  <c r="R15" i="43"/>
  <c r="Q15" i="43"/>
  <c r="P15" i="43"/>
  <c r="O15" i="43"/>
  <c r="N15" i="43"/>
  <c r="M15" i="43"/>
  <c r="L15" i="43"/>
  <c r="K15" i="43"/>
  <c r="J15" i="43"/>
  <c r="AX14" i="43"/>
  <c r="AW14" i="43"/>
  <c r="AV14" i="43"/>
  <c r="AU14" i="43"/>
  <c r="AT14" i="43"/>
  <c r="AS14" i="43"/>
  <c r="AR14" i="43"/>
  <c r="AQ14" i="43"/>
  <c r="AP14" i="43"/>
  <c r="AO14" i="43"/>
  <c r="AN14" i="43"/>
  <c r="AM14" i="43"/>
  <c r="AL14" i="43"/>
  <c r="AK14" i="43"/>
  <c r="AJ14" i="43"/>
  <c r="AI14" i="43"/>
  <c r="AH14" i="43"/>
  <c r="AG14" i="43"/>
  <c r="AF14" i="43"/>
  <c r="AE14" i="43"/>
  <c r="AD14" i="43"/>
  <c r="AC14" i="43"/>
  <c r="AB14" i="43"/>
  <c r="AA14" i="43"/>
  <c r="Z14" i="43"/>
  <c r="Y14" i="43"/>
  <c r="X14" i="43"/>
  <c r="W14" i="43"/>
  <c r="V14" i="43"/>
  <c r="U14" i="43"/>
  <c r="T14" i="43"/>
  <c r="S14" i="43"/>
  <c r="R14" i="43"/>
  <c r="Q14" i="43"/>
  <c r="P14" i="43"/>
  <c r="O14" i="43"/>
  <c r="N14" i="43"/>
  <c r="M14" i="43"/>
  <c r="L14" i="43"/>
  <c r="K14" i="43"/>
  <c r="J14" i="43"/>
  <c r="AX13" i="43"/>
  <c r="AW13" i="43"/>
  <c r="AV13" i="43"/>
  <c r="AU13" i="43"/>
  <c r="AT13" i="43"/>
  <c r="AS13" i="43"/>
  <c r="AR13" i="43"/>
  <c r="AQ13" i="43"/>
  <c r="AP13" i="43"/>
  <c r="AO13" i="43"/>
  <c r="AN13" i="43"/>
  <c r="AM13" i="43"/>
  <c r="AL13" i="43"/>
  <c r="AK13" i="43"/>
  <c r="AJ13" i="43"/>
  <c r="AI13" i="43"/>
  <c r="AH13" i="43"/>
  <c r="AG13" i="43"/>
  <c r="AF13" i="43"/>
  <c r="AE13" i="43"/>
  <c r="AD13" i="43"/>
  <c r="AC13" i="43"/>
  <c r="AB13" i="43"/>
  <c r="AA13" i="43"/>
  <c r="Z13" i="43"/>
  <c r="Y13" i="43"/>
  <c r="X13" i="43"/>
  <c r="W13" i="43"/>
  <c r="V13" i="43"/>
  <c r="U13" i="43"/>
  <c r="T13" i="43"/>
  <c r="S13" i="43"/>
  <c r="R13" i="43"/>
  <c r="Q13" i="43"/>
  <c r="P13" i="43"/>
  <c r="O13" i="43"/>
  <c r="N13" i="43"/>
  <c r="M13" i="43"/>
  <c r="L13" i="43"/>
  <c r="K13" i="43"/>
  <c r="J13" i="43"/>
  <c r="AX12" i="43"/>
  <c r="AW12" i="43"/>
  <c r="AV12" i="43"/>
  <c r="AU12" i="43"/>
  <c r="AT12" i="43"/>
  <c r="AS12" i="43"/>
  <c r="AR12" i="43"/>
  <c r="AQ12" i="43"/>
  <c r="AP12" i="43"/>
  <c r="AO12" i="43"/>
  <c r="AN12" i="43"/>
  <c r="AM12" i="43"/>
  <c r="AL12" i="43"/>
  <c r="AK12" i="43"/>
  <c r="AJ12" i="43"/>
  <c r="AI12" i="43"/>
  <c r="AH12" i="43"/>
  <c r="AG12" i="43"/>
  <c r="AF12" i="43"/>
  <c r="AE12" i="43"/>
  <c r="AD12" i="43"/>
  <c r="AC12" i="43"/>
  <c r="AB12" i="43"/>
  <c r="AA12" i="43"/>
  <c r="Z12" i="43"/>
  <c r="Y12" i="43"/>
  <c r="X12" i="43"/>
  <c r="W12" i="43"/>
  <c r="V12" i="43"/>
  <c r="U12" i="43"/>
  <c r="T12" i="43"/>
  <c r="S12" i="43"/>
  <c r="R12" i="43"/>
  <c r="Q12" i="43"/>
  <c r="P12" i="43"/>
  <c r="O12" i="43"/>
  <c r="N12" i="43"/>
  <c r="M12" i="43"/>
  <c r="L12" i="43"/>
  <c r="K12" i="43"/>
  <c r="J12" i="43"/>
  <c r="AX11" i="43"/>
  <c r="AW11" i="43"/>
  <c r="AV11" i="43"/>
  <c r="AU11" i="43"/>
  <c r="AT11" i="43"/>
  <c r="AS11" i="43"/>
  <c r="AR11" i="43"/>
  <c r="AQ11" i="43"/>
  <c r="AP11" i="43"/>
  <c r="AO11" i="43"/>
  <c r="AN11" i="43"/>
  <c r="AM11" i="43"/>
  <c r="AL11" i="43"/>
  <c r="AK11" i="43"/>
  <c r="AJ11" i="43"/>
  <c r="AI11" i="43"/>
  <c r="AH11" i="43"/>
  <c r="AG11" i="43"/>
  <c r="AF11" i="43"/>
  <c r="AE11" i="43"/>
  <c r="AD11" i="43"/>
  <c r="AC11" i="43"/>
  <c r="AB11" i="43"/>
  <c r="AA11" i="43"/>
  <c r="Z11" i="43"/>
  <c r="Y11" i="43"/>
  <c r="X11" i="43"/>
  <c r="W11" i="43"/>
  <c r="V11" i="43"/>
  <c r="U11" i="43"/>
  <c r="T11" i="43"/>
  <c r="S11" i="43"/>
  <c r="R11" i="43"/>
  <c r="Q11" i="43"/>
  <c r="P11" i="43"/>
  <c r="O11" i="43"/>
  <c r="N11" i="43"/>
  <c r="M11" i="43"/>
  <c r="L11" i="43"/>
  <c r="K11" i="43"/>
  <c r="J11" i="43"/>
  <c r="AX10" i="43"/>
  <c r="AW10" i="43"/>
  <c r="AV10" i="43"/>
  <c r="AU10" i="43"/>
  <c r="AT10" i="43"/>
  <c r="AS10" i="43"/>
  <c r="AR10" i="43"/>
  <c r="AQ10" i="43"/>
  <c r="AP10" i="43"/>
  <c r="AO10" i="43"/>
  <c r="AN10" i="43"/>
  <c r="AM10" i="43"/>
  <c r="AL10" i="43"/>
  <c r="AK10" i="43"/>
  <c r="AJ10" i="43"/>
  <c r="AI10" i="43"/>
  <c r="AH10" i="43"/>
  <c r="AG10" i="43"/>
  <c r="AF10" i="43"/>
  <c r="AE10" i="43"/>
  <c r="AD10" i="43"/>
  <c r="AC10" i="43"/>
  <c r="AB10" i="43"/>
  <c r="AA10" i="43"/>
  <c r="Z10" i="43"/>
  <c r="Y10" i="43"/>
  <c r="X10" i="43"/>
  <c r="W10" i="43"/>
  <c r="V10" i="43"/>
  <c r="U10" i="43"/>
  <c r="T10" i="43"/>
  <c r="S10" i="43"/>
  <c r="R10" i="43"/>
  <c r="Q10" i="43"/>
  <c r="P10" i="43"/>
  <c r="O10" i="43"/>
  <c r="N10" i="43"/>
  <c r="M10" i="43"/>
  <c r="L10" i="43"/>
  <c r="K10" i="43"/>
  <c r="J10" i="43"/>
  <c r="AX9" i="43"/>
  <c r="AW9" i="43"/>
  <c r="AV9" i="43"/>
  <c r="AU9" i="43"/>
  <c r="AT9" i="43"/>
  <c r="AS9" i="43"/>
  <c r="AR9" i="43"/>
  <c r="AQ9" i="43"/>
  <c r="AP9" i="43"/>
  <c r="AO9" i="43"/>
  <c r="AN9" i="43"/>
  <c r="AM9" i="43"/>
  <c r="AL9" i="43"/>
  <c r="AK9" i="43"/>
  <c r="AJ9" i="43"/>
  <c r="AI9" i="43"/>
  <c r="AH9" i="43"/>
  <c r="AG9" i="43"/>
  <c r="AF9" i="43"/>
  <c r="AE9" i="43"/>
  <c r="AD9" i="43"/>
  <c r="AC9" i="43"/>
  <c r="AB9" i="43"/>
  <c r="AA9" i="43"/>
  <c r="Z9" i="43"/>
  <c r="Y9" i="43"/>
  <c r="X9" i="43"/>
  <c r="W9" i="43"/>
  <c r="V9" i="43"/>
  <c r="U9" i="43"/>
  <c r="T9" i="43"/>
  <c r="S9" i="43"/>
  <c r="R9" i="43"/>
  <c r="Q9" i="43"/>
  <c r="P9" i="43"/>
  <c r="O9" i="43"/>
  <c r="N9" i="43"/>
  <c r="M9" i="43"/>
  <c r="L9" i="43"/>
  <c r="K9" i="43"/>
  <c r="J9" i="43"/>
  <c r="AX56" i="33"/>
  <c r="AX55" i="33"/>
  <c r="AX54" i="33"/>
  <c r="AX53" i="33"/>
  <c r="AX52" i="33"/>
  <c r="AX51" i="33"/>
  <c r="AW51" i="33"/>
  <c r="AV51" i="33"/>
  <c r="AU51" i="33"/>
  <c r="AT51" i="33"/>
  <c r="AS51" i="33"/>
  <c r="AR51" i="33"/>
  <c r="AQ51" i="33"/>
  <c r="AP51" i="33"/>
  <c r="AO51" i="33"/>
  <c r="AN51" i="33"/>
  <c r="AM51" i="33"/>
  <c r="AL51" i="33"/>
  <c r="AK51" i="33"/>
  <c r="AJ51" i="33"/>
  <c r="AI51" i="33"/>
  <c r="AH51" i="33"/>
  <c r="AG51" i="33"/>
  <c r="AF51" i="33"/>
  <c r="AE51" i="33"/>
  <c r="AD51" i="33"/>
  <c r="AC51" i="33"/>
  <c r="AB51" i="33"/>
  <c r="AA51" i="33"/>
  <c r="Z51" i="33"/>
  <c r="Y51" i="33"/>
  <c r="X51" i="33"/>
  <c r="W51" i="33"/>
  <c r="V51" i="33"/>
  <c r="U51" i="33"/>
  <c r="T51" i="33"/>
  <c r="S51" i="33"/>
  <c r="R51" i="33"/>
  <c r="Q51" i="33"/>
  <c r="P51" i="33"/>
  <c r="O51" i="33"/>
  <c r="N51" i="33"/>
  <c r="M51" i="33"/>
  <c r="L51" i="33"/>
  <c r="K51" i="33"/>
  <c r="J51" i="33"/>
  <c r="AX50" i="33"/>
  <c r="AW50" i="33"/>
  <c r="AV50" i="33"/>
  <c r="AU50" i="33"/>
  <c r="AT50" i="33"/>
  <c r="AS50" i="33"/>
  <c r="AR50" i="33"/>
  <c r="AQ50" i="33"/>
  <c r="AP50" i="33"/>
  <c r="AO50" i="33"/>
  <c r="AN50" i="33"/>
  <c r="AM50" i="33"/>
  <c r="AL50" i="33"/>
  <c r="AK50" i="33"/>
  <c r="AJ50" i="33"/>
  <c r="AI50" i="33"/>
  <c r="AH50" i="33"/>
  <c r="AG50" i="33"/>
  <c r="AF50" i="33"/>
  <c r="AE50" i="33"/>
  <c r="AD50" i="33"/>
  <c r="AC50" i="33"/>
  <c r="AB50" i="33"/>
  <c r="AA50" i="33"/>
  <c r="Z50" i="33"/>
  <c r="Y50" i="33"/>
  <c r="X50" i="33"/>
  <c r="W50" i="33"/>
  <c r="V50" i="33"/>
  <c r="U50" i="33"/>
  <c r="T50" i="33"/>
  <c r="S50" i="33"/>
  <c r="R50" i="33"/>
  <c r="Q50" i="33"/>
  <c r="P50" i="33"/>
  <c r="O50" i="33"/>
  <c r="N50" i="33"/>
  <c r="M50" i="33"/>
  <c r="L50" i="33"/>
  <c r="K50" i="33"/>
  <c r="J50" i="33"/>
  <c r="AX49" i="33"/>
  <c r="AW49" i="33"/>
  <c r="AV49" i="33"/>
  <c r="AU49" i="33"/>
  <c r="AT49" i="33"/>
  <c r="AS49" i="33"/>
  <c r="AR49" i="33"/>
  <c r="AQ49" i="33"/>
  <c r="AP49" i="33"/>
  <c r="AO49" i="33"/>
  <c r="AN49" i="33"/>
  <c r="AM49" i="33"/>
  <c r="AL49" i="33"/>
  <c r="AK49" i="33"/>
  <c r="AJ49" i="33"/>
  <c r="AI49" i="33"/>
  <c r="AH49" i="33"/>
  <c r="AG49" i="33"/>
  <c r="AF49" i="33"/>
  <c r="AE49" i="33"/>
  <c r="AD49" i="33"/>
  <c r="AC49" i="33"/>
  <c r="AB49" i="33"/>
  <c r="AA49" i="33"/>
  <c r="Z49" i="33"/>
  <c r="Y49" i="33"/>
  <c r="X49" i="33"/>
  <c r="W49" i="33"/>
  <c r="V49" i="33"/>
  <c r="U49" i="33"/>
  <c r="T49" i="33"/>
  <c r="S49" i="33"/>
  <c r="R49" i="33"/>
  <c r="Q49" i="33"/>
  <c r="P49" i="33"/>
  <c r="O49" i="33"/>
  <c r="N49" i="33"/>
  <c r="M49" i="33"/>
  <c r="L49" i="33"/>
  <c r="K49" i="33"/>
  <c r="J49" i="33"/>
  <c r="AX48" i="33"/>
  <c r="AW48" i="33"/>
  <c r="AV48" i="33"/>
  <c r="AU48" i="33"/>
  <c r="AT48" i="33"/>
  <c r="AS48" i="33"/>
  <c r="AR48" i="33"/>
  <c r="AQ48" i="33"/>
  <c r="AP48" i="33"/>
  <c r="AO48" i="33"/>
  <c r="AN48" i="33"/>
  <c r="AM48" i="33"/>
  <c r="AL48" i="33"/>
  <c r="AK48" i="33"/>
  <c r="AJ48" i="33"/>
  <c r="AI48" i="33"/>
  <c r="AH48" i="33"/>
  <c r="AG48" i="33"/>
  <c r="AF48" i="33"/>
  <c r="AE48" i="33"/>
  <c r="AD48" i="33"/>
  <c r="AC48" i="33"/>
  <c r="AB48" i="33"/>
  <c r="AA48" i="33"/>
  <c r="Z48" i="33"/>
  <c r="Y48" i="33"/>
  <c r="X48" i="33"/>
  <c r="W48" i="33"/>
  <c r="V48" i="33"/>
  <c r="U48" i="33"/>
  <c r="T48" i="33"/>
  <c r="S48" i="33"/>
  <c r="R48" i="33"/>
  <c r="Q48" i="33"/>
  <c r="P48" i="33"/>
  <c r="O48" i="33"/>
  <c r="N48" i="33"/>
  <c r="M48" i="33"/>
  <c r="L48" i="33"/>
  <c r="K48" i="33"/>
  <c r="J48" i="33"/>
  <c r="AX47" i="33"/>
  <c r="AW47" i="33"/>
  <c r="AV47" i="33"/>
  <c r="AU47" i="33"/>
  <c r="AT47" i="33"/>
  <c r="AS47" i="33"/>
  <c r="AR47" i="33"/>
  <c r="AQ47" i="33"/>
  <c r="AP47" i="33"/>
  <c r="AO47" i="33"/>
  <c r="AN47" i="33"/>
  <c r="AM47" i="33"/>
  <c r="AL47" i="33"/>
  <c r="AK47" i="33"/>
  <c r="AJ47" i="33"/>
  <c r="AI47" i="33"/>
  <c r="AH47" i="33"/>
  <c r="AG47" i="33"/>
  <c r="AF47" i="33"/>
  <c r="AE47" i="33"/>
  <c r="AD47" i="33"/>
  <c r="AC47" i="33"/>
  <c r="AB47" i="33"/>
  <c r="AA47" i="33"/>
  <c r="Z47" i="33"/>
  <c r="Y47" i="33"/>
  <c r="X47" i="33"/>
  <c r="W47" i="33"/>
  <c r="V47" i="33"/>
  <c r="U47" i="33"/>
  <c r="T47" i="33"/>
  <c r="S47" i="33"/>
  <c r="R47" i="33"/>
  <c r="Q47" i="33"/>
  <c r="P47" i="33"/>
  <c r="O47" i="33"/>
  <c r="N47" i="33"/>
  <c r="M47" i="33"/>
  <c r="L47" i="33"/>
  <c r="K47" i="33"/>
  <c r="J47" i="33"/>
  <c r="AX46" i="33"/>
  <c r="AW46" i="33"/>
  <c r="AV46" i="33"/>
  <c r="AU46" i="33"/>
  <c r="AT46" i="33"/>
  <c r="AS46" i="33"/>
  <c r="AR46" i="33"/>
  <c r="AQ46" i="33"/>
  <c r="AP46" i="33"/>
  <c r="AO46" i="33"/>
  <c r="AN46" i="33"/>
  <c r="AM46" i="33"/>
  <c r="AL46" i="33"/>
  <c r="AK46" i="33"/>
  <c r="AJ46" i="33"/>
  <c r="AI46" i="33"/>
  <c r="AH46" i="33"/>
  <c r="AG46" i="33"/>
  <c r="AF46" i="33"/>
  <c r="AE46" i="33"/>
  <c r="AD46" i="33"/>
  <c r="AC46" i="33"/>
  <c r="AB46" i="33"/>
  <c r="AA46" i="33"/>
  <c r="Z46" i="33"/>
  <c r="Y46" i="33"/>
  <c r="X46" i="33"/>
  <c r="W46" i="33"/>
  <c r="V46" i="33"/>
  <c r="U46" i="33"/>
  <c r="T46" i="33"/>
  <c r="S46" i="33"/>
  <c r="R46" i="33"/>
  <c r="Q46" i="33"/>
  <c r="P46" i="33"/>
  <c r="O46" i="33"/>
  <c r="N46" i="33"/>
  <c r="M46" i="33"/>
  <c r="L46" i="33"/>
  <c r="K46" i="33"/>
  <c r="J46" i="33"/>
  <c r="AX45" i="33"/>
  <c r="AW45" i="33"/>
  <c r="AV45" i="33"/>
  <c r="AU45" i="33"/>
  <c r="AT45" i="33"/>
  <c r="AS45" i="33"/>
  <c r="AR45" i="33"/>
  <c r="AQ45" i="33"/>
  <c r="AP45" i="33"/>
  <c r="AO45" i="33"/>
  <c r="AN45" i="33"/>
  <c r="AM45" i="33"/>
  <c r="AL45" i="33"/>
  <c r="AK45" i="33"/>
  <c r="AJ45" i="33"/>
  <c r="AI45" i="33"/>
  <c r="AH45" i="33"/>
  <c r="AG45" i="33"/>
  <c r="AF45" i="33"/>
  <c r="AE45" i="33"/>
  <c r="AD45" i="33"/>
  <c r="AC45" i="33"/>
  <c r="AB45" i="33"/>
  <c r="AA45" i="33"/>
  <c r="Z45" i="33"/>
  <c r="Y45" i="33"/>
  <c r="X45" i="33"/>
  <c r="W45" i="33"/>
  <c r="V45" i="33"/>
  <c r="U45" i="33"/>
  <c r="T45" i="33"/>
  <c r="S45" i="33"/>
  <c r="R45" i="33"/>
  <c r="Q45" i="33"/>
  <c r="P45" i="33"/>
  <c r="O45" i="33"/>
  <c r="N45" i="33"/>
  <c r="M45" i="33"/>
  <c r="L45" i="33"/>
  <c r="K45" i="33"/>
  <c r="J45" i="33"/>
  <c r="AX44" i="33"/>
  <c r="AW44" i="33"/>
  <c r="AV44" i="33"/>
  <c r="AU44" i="33"/>
  <c r="AT44" i="33"/>
  <c r="AS44" i="33"/>
  <c r="AR44" i="33"/>
  <c r="AQ44" i="33"/>
  <c r="AP44" i="33"/>
  <c r="AO44" i="33"/>
  <c r="AN44" i="33"/>
  <c r="AM44" i="33"/>
  <c r="AL44" i="33"/>
  <c r="AK44" i="33"/>
  <c r="AJ44" i="33"/>
  <c r="AI44" i="33"/>
  <c r="AH44" i="33"/>
  <c r="AG44" i="33"/>
  <c r="AF44" i="33"/>
  <c r="AE44" i="33"/>
  <c r="AD44" i="33"/>
  <c r="AC44" i="33"/>
  <c r="AB44" i="33"/>
  <c r="AA44" i="33"/>
  <c r="Z44" i="33"/>
  <c r="Y44" i="33"/>
  <c r="X44" i="33"/>
  <c r="W44" i="33"/>
  <c r="V44" i="33"/>
  <c r="U44" i="33"/>
  <c r="T44" i="33"/>
  <c r="S44" i="33"/>
  <c r="R44" i="33"/>
  <c r="Q44" i="33"/>
  <c r="P44" i="33"/>
  <c r="O44" i="33"/>
  <c r="N44" i="33"/>
  <c r="M44" i="33"/>
  <c r="L44" i="33"/>
  <c r="K44" i="33"/>
  <c r="J44" i="33"/>
  <c r="AX43" i="33"/>
  <c r="AW43" i="33"/>
  <c r="AV43" i="33"/>
  <c r="AU43" i="33"/>
  <c r="AT43" i="33"/>
  <c r="AS43" i="33"/>
  <c r="AR43" i="33"/>
  <c r="AQ43" i="33"/>
  <c r="AP43" i="33"/>
  <c r="AO43" i="33"/>
  <c r="AN43" i="33"/>
  <c r="AM43" i="33"/>
  <c r="AL43" i="33"/>
  <c r="AK43" i="33"/>
  <c r="AJ43" i="33"/>
  <c r="AI43" i="33"/>
  <c r="AH43" i="33"/>
  <c r="AG43" i="33"/>
  <c r="AF43" i="33"/>
  <c r="AE43" i="33"/>
  <c r="AD43" i="33"/>
  <c r="AC43" i="33"/>
  <c r="AB43" i="33"/>
  <c r="AA43" i="33"/>
  <c r="Z43" i="33"/>
  <c r="Y43" i="33"/>
  <c r="X43" i="33"/>
  <c r="W43" i="33"/>
  <c r="V43" i="33"/>
  <c r="U43" i="33"/>
  <c r="T43" i="33"/>
  <c r="S43" i="33"/>
  <c r="R43" i="33"/>
  <c r="Q43" i="33"/>
  <c r="P43" i="33"/>
  <c r="O43" i="33"/>
  <c r="N43" i="33"/>
  <c r="M43" i="33"/>
  <c r="L43" i="33"/>
  <c r="K43" i="33"/>
  <c r="J43" i="33"/>
  <c r="AX42" i="33"/>
  <c r="AW42" i="33"/>
  <c r="AV42" i="33"/>
  <c r="AU42" i="33"/>
  <c r="AT42" i="33"/>
  <c r="AS42" i="33"/>
  <c r="AR42" i="33"/>
  <c r="AQ42" i="33"/>
  <c r="AP42" i="33"/>
  <c r="AO42" i="33"/>
  <c r="AN42" i="33"/>
  <c r="AM42" i="33"/>
  <c r="AL42" i="33"/>
  <c r="AK42" i="33"/>
  <c r="AJ42" i="33"/>
  <c r="AI42" i="33"/>
  <c r="AH42" i="33"/>
  <c r="AG42" i="33"/>
  <c r="AF42" i="33"/>
  <c r="AE42" i="33"/>
  <c r="AD42" i="33"/>
  <c r="AC42" i="33"/>
  <c r="AB42" i="33"/>
  <c r="AA42" i="33"/>
  <c r="Z42" i="33"/>
  <c r="Y42" i="33"/>
  <c r="X42" i="33"/>
  <c r="W42" i="33"/>
  <c r="V42" i="33"/>
  <c r="U42" i="33"/>
  <c r="T42" i="33"/>
  <c r="S42" i="33"/>
  <c r="R42" i="33"/>
  <c r="Q42" i="33"/>
  <c r="P42" i="33"/>
  <c r="O42" i="33"/>
  <c r="N42" i="33"/>
  <c r="M42" i="33"/>
  <c r="L42" i="33"/>
  <c r="K42" i="33"/>
  <c r="J42" i="33"/>
  <c r="AX30" i="33"/>
  <c r="AW30" i="33"/>
  <c r="AV30" i="33"/>
  <c r="AU30" i="33"/>
  <c r="AT30" i="33"/>
  <c r="AS30" i="33"/>
  <c r="AR30" i="33"/>
  <c r="AQ30" i="33"/>
  <c r="AP30" i="33"/>
  <c r="AO30" i="33"/>
  <c r="AN30" i="33"/>
  <c r="AM30" i="33"/>
  <c r="AL30" i="33"/>
  <c r="AK30" i="33"/>
  <c r="AJ30" i="33"/>
  <c r="AI30" i="33"/>
  <c r="AH30" i="33"/>
  <c r="AG30" i="33"/>
  <c r="AF30" i="33"/>
  <c r="AE30" i="33"/>
  <c r="AD30" i="33"/>
  <c r="AC30" i="33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AX41" i="33"/>
  <c r="AW41" i="33"/>
  <c r="AV41" i="33"/>
  <c r="AU41" i="33"/>
  <c r="AT41" i="33"/>
  <c r="AS41" i="33"/>
  <c r="AR41" i="33"/>
  <c r="AQ41" i="33"/>
  <c r="AP41" i="33"/>
  <c r="AO41" i="33"/>
  <c r="AN41" i="33"/>
  <c r="AM41" i="33"/>
  <c r="AL41" i="33"/>
  <c r="AK41" i="33"/>
  <c r="AJ41" i="33"/>
  <c r="AI41" i="33"/>
  <c r="AH41" i="33"/>
  <c r="AG41" i="33"/>
  <c r="AF41" i="33"/>
  <c r="AE41" i="33"/>
  <c r="AD41" i="33"/>
  <c r="AC41" i="33"/>
  <c r="AB41" i="33"/>
  <c r="AA41" i="33"/>
  <c r="Z41" i="33"/>
  <c r="Y41" i="33"/>
  <c r="X41" i="33"/>
  <c r="W41" i="33"/>
  <c r="V41" i="33"/>
  <c r="U41" i="33"/>
  <c r="T41" i="33"/>
  <c r="S41" i="33"/>
  <c r="R41" i="33"/>
  <c r="Q41" i="33"/>
  <c r="P41" i="33"/>
  <c r="O41" i="33"/>
  <c r="N41" i="33"/>
  <c r="M41" i="33"/>
  <c r="L41" i="33"/>
  <c r="K41" i="33"/>
  <c r="J41" i="33"/>
  <c r="AX40" i="33"/>
  <c r="AW40" i="33"/>
  <c r="AV40" i="33"/>
  <c r="AU40" i="33"/>
  <c r="AT40" i="33"/>
  <c r="AS40" i="33"/>
  <c r="AR40" i="33"/>
  <c r="AQ40" i="33"/>
  <c r="AP40" i="33"/>
  <c r="AO40" i="33"/>
  <c r="AN40" i="33"/>
  <c r="AM40" i="33"/>
  <c r="AL40" i="33"/>
  <c r="AK40" i="33"/>
  <c r="AJ40" i="33"/>
  <c r="AI40" i="33"/>
  <c r="AH40" i="33"/>
  <c r="AG40" i="33"/>
  <c r="AF40" i="33"/>
  <c r="AE40" i="33"/>
  <c r="AD40" i="33"/>
  <c r="AC40" i="33"/>
  <c r="AB40" i="33"/>
  <c r="AA40" i="33"/>
  <c r="Z40" i="33"/>
  <c r="Y40" i="33"/>
  <c r="X40" i="33"/>
  <c r="W40" i="33"/>
  <c r="V40" i="33"/>
  <c r="U40" i="33"/>
  <c r="T40" i="33"/>
  <c r="S40" i="33"/>
  <c r="R40" i="33"/>
  <c r="Q40" i="33"/>
  <c r="P40" i="33"/>
  <c r="O40" i="33"/>
  <c r="N40" i="33"/>
  <c r="M40" i="33"/>
  <c r="L40" i="33"/>
  <c r="K40" i="33"/>
  <c r="J40" i="33"/>
  <c r="AX38" i="33"/>
  <c r="AW38" i="33"/>
  <c r="AV38" i="33"/>
  <c r="AU38" i="33"/>
  <c r="AT38" i="33"/>
  <c r="AS38" i="33"/>
  <c r="AR38" i="33"/>
  <c r="AQ38" i="33"/>
  <c r="AP38" i="33"/>
  <c r="AO38" i="33"/>
  <c r="AN38" i="33"/>
  <c r="AM38" i="33"/>
  <c r="AL38" i="33"/>
  <c r="AK38" i="33"/>
  <c r="AJ38" i="33"/>
  <c r="AI38" i="33"/>
  <c r="AH38" i="33"/>
  <c r="AG38" i="33"/>
  <c r="AF38" i="33"/>
  <c r="AE38" i="33"/>
  <c r="AD38" i="33"/>
  <c r="AC38" i="33"/>
  <c r="AB38" i="33"/>
  <c r="AA38" i="33"/>
  <c r="Z38" i="33"/>
  <c r="Y38" i="33"/>
  <c r="X38" i="33"/>
  <c r="W38" i="33"/>
  <c r="V38" i="33"/>
  <c r="U38" i="33"/>
  <c r="T38" i="33"/>
  <c r="S38" i="33"/>
  <c r="R38" i="33"/>
  <c r="Q38" i="33"/>
  <c r="P38" i="33"/>
  <c r="O38" i="33"/>
  <c r="N38" i="33"/>
  <c r="M38" i="33"/>
  <c r="L38" i="33"/>
  <c r="K38" i="33"/>
  <c r="J38" i="33"/>
  <c r="AX39" i="33"/>
  <c r="AW39" i="33"/>
  <c r="AV39" i="33"/>
  <c r="AU39" i="33"/>
  <c r="AT39" i="33"/>
  <c r="AS39" i="33"/>
  <c r="AR39" i="33"/>
  <c r="AQ39" i="33"/>
  <c r="AP39" i="33"/>
  <c r="AO39" i="33"/>
  <c r="AN39" i="33"/>
  <c r="AM39" i="33"/>
  <c r="AL39" i="33"/>
  <c r="AK39" i="33"/>
  <c r="AJ39" i="33"/>
  <c r="AI39" i="33"/>
  <c r="AH39" i="33"/>
  <c r="AG39" i="33"/>
  <c r="AF39" i="33"/>
  <c r="AE39" i="33"/>
  <c r="AD39" i="33"/>
  <c r="AC39" i="33"/>
  <c r="AB39" i="33"/>
  <c r="AA39" i="33"/>
  <c r="Z39" i="33"/>
  <c r="Y39" i="33"/>
  <c r="X39" i="33"/>
  <c r="W39" i="33"/>
  <c r="V39" i="33"/>
  <c r="U39" i="33"/>
  <c r="T39" i="33"/>
  <c r="S39" i="33"/>
  <c r="R39" i="33"/>
  <c r="Q39" i="33"/>
  <c r="P39" i="33"/>
  <c r="O39" i="33"/>
  <c r="N39" i="33"/>
  <c r="M39" i="33"/>
  <c r="L39" i="33"/>
  <c r="K39" i="33"/>
  <c r="J39" i="33"/>
  <c r="AX24" i="33"/>
  <c r="AW24" i="33"/>
  <c r="AV24" i="33"/>
  <c r="AU24" i="33"/>
  <c r="AT24" i="33"/>
  <c r="AS24" i="33"/>
  <c r="AR24" i="33"/>
  <c r="AQ24" i="33"/>
  <c r="AP24" i="33"/>
  <c r="AO24" i="33"/>
  <c r="AN24" i="33"/>
  <c r="AM24" i="33"/>
  <c r="AL24" i="33"/>
  <c r="AK24" i="33"/>
  <c r="AJ24" i="33"/>
  <c r="AI24" i="33"/>
  <c r="AH24" i="33"/>
  <c r="AG24" i="33"/>
  <c r="AF24" i="33"/>
  <c r="AE24" i="33"/>
  <c r="AD24" i="33"/>
  <c r="AC24" i="33"/>
  <c r="AB24" i="33"/>
  <c r="AA24" i="33"/>
  <c r="Z24" i="33"/>
  <c r="Y24" i="33"/>
  <c r="X24" i="33"/>
  <c r="W24" i="33"/>
  <c r="V24" i="33"/>
  <c r="U24" i="33"/>
  <c r="T24" i="33"/>
  <c r="S24" i="33"/>
  <c r="R24" i="33"/>
  <c r="Q24" i="33"/>
  <c r="P24" i="33"/>
  <c r="O24" i="33"/>
  <c r="N24" i="33"/>
  <c r="M24" i="33"/>
  <c r="L24" i="33"/>
  <c r="K24" i="33"/>
  <c r="J24" i="33"/>
  <c r="AX37" i="33"/>
  <c r="AW37" i="33"/>
  <c r="AV37" i="33"/>
  <c r="AU37" i="33"/>
  <c r="AT37" i="33"/>
  <c r="AS37" i="33"/>
  <c r="AR37" i="33"/>
  <c r="AQ37" i="33"/>
  <c r="AP37" i="33"/>
  <c r="AO37" i="33"/>
  <c r="AN37" i="33"/>
  <c r="AM37" i="33"/>
  <c r="AL37" i="33"/>
  <c r="AK37" i="33"/>
  <c r="AJ37" i="33"/>
  <c r="AI37" i="33"/>
  <c r="AH37" i="33"/>
  <c r="AG37" i="33"/>
  <c r="AF37" i="33"/>
  <c r="AE37" i="33"/>
  <c r="AD37" i="33"/>
  <c r="AC37" i="33"/>
  <c r="AB37" i="33"/>
  <c r="AA37" i="33"/>
  <c r="Z37" i="33"/>
  <c r="Y37" i="33"/>
  <c r="X37" i="33"/>
  <c r="W37" i="33"/>
  <c r="V37" i="33"/>
  <c r="U37" i="33"/>
  <c r="T37" i="33"/>
  <c r="S37" i="33"/>
  <c r="R37" i="33"/>
  <c r="Q37" i="33"/>
  <c r="P37" i="33"/>
  <c r="O37" i="33"/>
  <c r="N37" i="33"/>
  <c r="M37" i="33"/>
  <c r="L37" i="33"/>
  <c r="K37" i="33"/>
  <c r="J37" i="33"/>
  <c r="AX36" i="33"/>
  <c r="AW36" i="33"/>
  <c r="AV36" i="33"/>
  <c r="AU36" i="33"/>
  <c r="AT36" i="33"/>
  <c r="AS36" i="33"/>
  <c r="AR36" i="33"/>
  <c r="AQ36" i="33"/>
  <c r="AP36" i="33"/>
  <c r="AO36" i="33"/>
  <c r="AN36" i="33"/>
  <c r="AM36" i="33"/>
  <c r="AL36" i="33"/>
  <c r="AK36" i="33"/>
  <c r="AJ36" i="33"/>
  <c r="AI36" i="33"/>
  <c r="AH36" i="33"/>
  <c r="AG36" i="33"/>
  <c r="AF36" i="33"/>
  <c r="AE36" i="33"/>
  <c r="AD36" i="33"/>
  <c r="AC36" i="33"/>
  <c r="AB36" i="33"/>
  <c r="AA36" i="33"/>
  <c r="Z36" i="33"/>
  <c r="Y36" i="33"/>
  <c r="X36" i="33"/>
  <c r="W36" i="33"/>
  <c r="V36" i="33"/>
  <c r="U36" i="33"/>
  <c r="T36" i="33"/>
  <c r="S36" i="33"/>
  <c r="R36" i="33"/>
  <c r="Q36" i="33"/>
  <c r="P36" i="33"/>
  <c r="O36" i="33"/>
  <c r="N36" i="33"/>
  <c r="M36" i="33"/>
  <c r="L36" i="33"/>
  <c r="K36" i="33"/>
  <c r="J36" i="33"/>
  <c r="AX35" i="33"/>
  <c r="AW35" i="33"/>
  <c r="AV35" i="33"/>
  <c r="AU35" i="33"/>
  <c r="AT35" i="33"/>
  <c r="AS35" i="33"/>
  <c r="AR35" i="33"/>
  <c r="AQ35" i="33"/>
  <c r="AP35" i="33"/>
  <c r="AO35" i="33"/>
  <c r="AN35" i="33"/>
  <c r="AM35" i="33"/>
  <c r="AL35" i="33"/>
  <c r="AK35" i="33"/>
  <c r="AJ35" i="33"/>
  <c r="AI35" i="33"/>
  <c r="AH35" i="33"/>
  <c r="AG35" i="33"/>
  <c r="AF35" i="33"/>
  <c r="AE35" i="33"/>
  <c r="AD35" i="33"/>
  <c r="AC35" i="33"/>
  <c r="AB35" i="33"/>
  <c r="AA35" i="33"/>
  <c r="Z35" i="33"/>
  <c r="Y35" i="33"/>
  <c r="X35" i="33"/>
  <c r="W35" i="33"/>
  <c r="V35" i="33"/>
  <c r="U35" i="33"/>
  <c r="T35" i="33"/>
  <c r="S35" i="33"/>
  <c r="R35" i="33"/>
  <c r="Q35" i="33"/>
  <c r="P35" i="33"/>
  <c r="O35" i="33"/>
  <c r="N35" i="33"/>
  <c r="M35" i="33"/>
  <c r="L35" i="33"/>
  <c r="K35" i="33"/>
  <c r="J35" i="33"/>
  <c r="AX34" i="33"/>
  <c r="AW34" i="33"/>
  <c r="AV34" i="33"/>
  <c r="AU34" i="33"/>
  <c r="AT34" i="33"/>
  <c r="AS34" i="33"/>
  <c r="AR34" i="33"/>
  <c r="AQ34" i="33"/>
  <c r="AP34" i="33"/>
  <c r="AO34" i="33"/>
  <c r="AN34" i="33"/>
  <c r="AM34" i="33"/>
  <c r="AL34" i="33"/>
  <c r="AK34" i="33"/>
  <c r="AJ34" i="33"/>
  <c r="AI34" i="33"/>
  <c r="AH34" i="33"/>
  <c r="AG34" i="33"/>
  <c r="AF34" i="33"/>
  <c r="AE34" i="33"/>
  <c r="AD34" i="33"/>
  <c r="AC34" i="33"/>
  <c r="AB34" i="33"/>
  <c r="AA34" i="33"/>
  <c r="Z34" i="33"/>
  <c r="Y34" i="33"/>
  <c r="X34" i="33"/>
  <c r="W34" i="33"/>
  <c r="V34" i="33"/>
  <c r="U34" i="33"/>
  <c r="T34" i="33"/>
  <c r="S34" i="33"/>
  <c r="R34" i="33"/>
  <c r="Q34" i="33"/>
  <c r="P34" i="33"/>
  <c r="O34" i="33"/>
  <c r="N34" i="33"/>
  <c r="M34" i="33"/>
  <c r="L34" i="33"/>
  <c r="K34" i="33"/>
  <c r="J34" i="33"/>
  <c r="AX33" i="33"/>
  <c r="AW33" i="33"/>
  <c r="AV33" i="33"/>
  <c r="AU33" i="33"/>
  <c r="AT33" i="33"/>
  <c r="AS33" i="33"/>
  <c r="AR33" i="33"/>
  <c r="AQ33" i="33"/>
  <c r="AP33" i="33"/>
  <c r="AO33" i="33"/>
  <c r="AN33" i="33"/>
  <c r="AM33" i="33"/>
  <c r="AL33" i="33"/>
  <c r="AK33" i="33"/>
  <c r="AJ33" i="33"/>
  <c r="AI33" i="33"/>
  <c r="AH33" i="33"/>
  <c r="AG33" i="33"/>
  <c r="AF33" i="33"/>
  <c r="AE33" i="33"/>
  <c r="AD33" i="33"/>
  <c r="AC33" i="33"/>
  <c r="AB33" i="33"/>
  <c r="AA33" i="33"/>
  <c r="Z33" i="33"/>
  <c r="Y33" i="33"/>
  <c r="X33" i="33"/>
  <c r="W33" i="33"/>
  <c r="V33" i="33"/>
  <c r="U33" i="33"/>
  <c r="T33" i="33"/>
  <c r="S33" i="33"/>
  <c r="R33" i="33"/>
  <c r="Q33" i="33"/>
  <c r="P33" i="33"/>
  <c r="O33" i="33"/>
  <c r="N33" i="33"/>
  <c r="M33" i="33"/>
  <c r="L33" i="33"/>
  <c r="K33" i="33"/>
  <c r="J33" i="33"/>
  <c r="AX32" i="33"/>
  <c r="AW32" i="33"/>
  <c r="AV32" i="33"/>
  <c r="AU32" i="33"/>
  <c r="AT32" i="33"/>
  <c r="AS32" i="33"/>
  <c r="AR32" i="33"/>
  <c r="AQ32" i="33"/>
  <c r="AP32" i="33"/>
  <c r="AO32" i="33"/>
  <c r="AN32" i="33"/>
  <c r="AM32" i="33"/>
  <c r="AL32" i="33"/>
  <c r="AK32" i="33"/>
  <c r="AJ32" i="33"/>
  <c r="AI32" i="33"/>
  <c r="AH32" i="33"/>
  <c r="AG32" i="33"/>
  <c r="AF32" i="33"/>
  <c r="AE32" i="33"/>
  <c r="AD32" i="33"/>
  <c r="AC32" i="33"/>
  <c r="AB32" i="33"/>
  <c r="AA32" i="33"/>
  <c r="Z32" i="33"/>
  <c r="Y32" i="33"/>
  <c r="X32" i="33"/>
  <c r="W32" i="33"/>
  <c r="V32" i="33"/>
  <c r="U32" i="33"/>
  <c r="T32" i="33"/>
  <c r="S32" i="33"/>
  <c r="R32" i="33"/>
  <c r="Q32" i="33"/>
  <c r="P32" i="33"/>
  <c r="O32" i="33"/>
  <c r="N32" i="33"/>
  <c r="M32" i="33"/>
  <c r="L32" i="33"/>
  <c r="K32" i="33"/>
  <c r="J32" i="33"/>
  <c r="AX31" i="33"/>
  <c r="AW31" i="33"/>
  <c r="AV31" i="33"/>
  <c r="AU31" i="33"/>
  <c r="AT31" i="33"/>
  <c r="AS31" i="33"/>
  <c r="AR31" i="33"/>
  <c r="AQ31" i="33"/>
  <c r="AP31" i="33"/>
  <c r="AO31" i="33"/>
  <c r="AN31" i="33"/>
  <c r="AM31" i="33"/>
  <c r="AL31" i="33"/>
  <c r="AK31" i="33"/>
  <c r="AJ31" i="33"/>
  <c r="AI31" i="33"/>
  <c r="AH31" i="33"/>
  <c r="AG31" i="33"/>
  <c r="AF31" i="33"/>
  <c r="AE31" i="33"/>
  <c r="AD31" i="33"/>
  <c r="AC31" i="33"/>
  <c r="AB31" i="33"/>
  <c r="AA31" i="33"/>
  <c r="Z31" i="33"/>
  <c r="Y31" i="33"/>
  <c r="X31" i="33"/>
  <c r="W31" i="33"/>
  <c r="V31" i="33"/>
  <c r="U31" i="33"/>
  <c r="T31" i="33"/>
  <c r="S31" i="33"/>
  <c r="R31" i="33"/>
  <c r="Q31" i="33"/>
  <c r="P31" i="33"/>
  <c r="O31" i="33"/>
  <c r="N31" i="33"/>
  <c r="M31" i="33"/>
  <c r="L31" i="33"/>
  <c r="K31" i="33"/>
  <c r="J31" i="33"/>
  <c r="AX29" i="33"/>
  <c r="AW29" i="33"/>
  <c r="AV29" i="33"/>
  <c r="AU29" i="33"/>
  <c r="AT29" i="33"/>
  <c r="AS29" i="33"/>
  <c r="AR29" i="33"/>
  <c r="AQ29" i="33"/>
  <c r="AP29" i="33"/>
  <c r="AO29" i="33"/>
  <c r="AN29" i="33"/>
  <c r="AM29" i="33"/>
  <c r="AL29" i="33"/>
  <c r="AK29" i="33"/>
  <c r="AJ29" i="33"/>
  <c r="AI29" i="33"/>
  <c r="AH29" i="33"/>
  <c r="AG29" i="33"/>
  <c r="AF29" i="33"/>
  <c r="AE29" i="33"/>
  <c r="AD29" i="33"/>
  <c r="AC29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AX28" i="33"/>
  <c r="AW28" i="33"/>
  <c r="AV28" i="33"/>
  <c r="AU28" i="33"/>
  <c r="AT28" i="33"/>
  <c r="AS28" i="33"/>
  <c r="AR28" i="33"/>
  <c r="AQ28" i="33"/>
  <c r="AP28" i="33"/>
  <c r="AO28" i="33"/>
  <c r="AN28" i="33"/>
  <c r="AM28" i="33"/>
  <c r="AL28" i="33"/>
  <c r="AK28" i="33"/>
  <c r="AJ28" i="33"/>
  <c r="AI28" i="33"/>
  <c r="AH28" i="33"/>
  <c r="AG28" i="33"/>
  <c r="AF28" i="33"/>
  <c r="AE28" i="33"/>
  <c r="AD28" i="33"/>
  <c r="AC28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AX27" i="33"/>
  <c r="AW27" i="33"/>
  <c r="AV27" i="33"/>
  <c r="AU27" i="33"/>
  <c r="AT27" i="33"/>
  <c r="AS27" i="33"/>
  <c r="AR27" i="33"/>
  <c r="AQ27" i="33"/>
  <c r="AP27" i="33"/>
  <c r="AO27" i="33"/>
  <c r="AN27" i="33"/>
  <c r="AM27" i="33"/>
  <c r="AL27" i="33"/>
  <c r="AK27" i="33"/>
  <c r="AJ27" i="33"/>
  <c r="AI27" i="33"/>
  <c r="AH27" i="33"/>
  <c r="AG27" i="33"/>
  <c r="AF27" i="33"/>
  <c r="AE27" i="33"/>
  <c r="AD27" i="33"/>
  <c r="AC27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AX26" i="33"/>
  <c r="AW26" i="33"/>
  <c r="AV26" i="33"/>
  <c r="AU26" i="33"/>
  <c r="AT26" i="33"/>
  <c r="AS26" i="33"/>
  <c r="AR26" i="33"/>
  <c r="AQ26" i="33"/>
  <c r="AP26" i="33"/>
  <c r="AO26" i="33"/>
  <c r="AN26" i="33"/>
  <c r="AM26" i="33"/>
  <c r="AL26" i="33"/>
  <c r="AK26" i="33"/>
  <c r="AJ26" i="33"/>
  <c r="AI26" i="33"/>
  <c r="AH26" i="33"/>
  <c r="AG26" i="33"/>
  <c r="AF26" i="33"/>
  <c r="AE26" i="33"/>
  <c r="AD26" i="33"/>
  <c r="AC26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AX25" i="33"/>
  <c r="AW25" i="33"/>
  <c r="AV25" i="33"/>
  <c r="AU25" i="33"/>
  <c r="AT25" i="33"/>
  <c r="AS25" i="33"/>
  <c r="AR25" i="33"/>
  <c r="AQ25" i="33"/>
  <c r="AP25" i="33"/>
  <c r="AO25" i="33"/>
  <c r="AN25" i="33"/>
  <c r="AM25" i="33"/>
  <c r="AL25" i="33"/>
  <c r="AK25" i="33"/>
  <c r="AJ25" i="33"/>
  <c r="AI25" i="33"/>
  <c r="AH25" i="33"/>
  <c r="AG25" i="33"/>
  <c r="AF25" i="33"/>
  <c r="AE25" i="33"/>
  <c r="AD25" i="33"/>
  <c r="AC25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AX23" i="33"/>
  <c r="AW23" i="33"/>
  <c r="AV23" i="33"/>
  <c r="AU23" i="33"/>
  <c r="AT23" i="33"/>
  <c r="AS23" i="33"/>
  <c r="AR23" i="33"/>
  <c r="AQ23" i="33"/>
  <c r="AP23" i="33"/>
  <c r="AO23" i="33"/>
  <c r="AN23" i="33"/>
  <c r="AM23" i="33"/>
  <c r="AL23" i="33"/>
  <c r="AK23" i="33"/>
  <c r="AJ23" i="33"/>
  <c r="AI23" i="33"/>
  <c r="AH23" i="33"/>
  <c r="AG23" i="33"/>
  <c r="AF23" i="33"/>
  <c r="AE23" i="33"/>
  <c r="AD23" i="33"/>
  <c r="AC23" i="33"/>
  <c r="AB23" i="33"/>
  <c r="AA23" i="33"/>
  <c r="Z23" i="33"/>
  <c r="Y23" i="33"/>
  <c r="X23" i="33"/>
  <c r="W23" i="33"/>
  <c r="V23" i="33"/>
  <c r="U23" i="33"/>
  <c r="T23" i="33"/>
  <c r="S23" i="33"/>
  <c r="R23" i="33"/>
  <c r="Q23" i="33"/>
  <c r="P23" i="33"/>
  <c r="O23" i="33"/>
  <c r="N23" i="33"/>
  <c r="M23" i="33"/>
  <c r="L23" i="33"/>
  <c r="K23" i="33"/>
  <c r="J23" i="33"/>
  <c r="AX22" i="33"/>
  <c r="AW22" i="33"/>
  <c r="AV22" i="33"/>
  <c r="AU22" i="33"/>
  <c r="AT22" i="33"/>
  <c r="AS22" i="33"/>
  <c r="AR22" i="33"/>
  <c r="AQ22" i="33"/>
  <c r="AP22" i="33"/>
  <c r="AO22" i="33"/>
  <c r="AN22" i="33"/>
  <c r="AM22" i="33"/>
  <c r="AL22" i="33"/>
  <c r="AK22" i="33"/>
  <c r="AJ22" i="33"/>
  <c r="AI22" i="33"/>
  <c r="AH22" i="33"/>
  <c r="AG22" i="33"/>
  <c r="AF22" i="33"/>
  <c r="AE22" i="33"/>
  <c r="AD22" i="33"/>
  <c r="AC22" i="33"/>
  <c r="AB22" i="33"/>
  <c r="AA22" i="33"/>
  <c r="Z22" i="33"/>
  <c r="Y22" i="33"/>
  <c r="X22" i="33"/>
  <c r="W22" i="33"/>
  <c r="V22" i="33"/>
  <c r="U22" i="33"/>
  <c r="T22" i="33"/>
  <c r="S22" i="33"/>
  <c r="R22" i="33"/>
  <c r="Q22" i="33"/>
  <c r="P22" i="33"/>
  <c r="O22" i="33"/>
  <c r="N22" i="33"/>
  <c r="M22" i="33"/>
  <c r="L22" i="33"/>
  <c r="K22" i="33"/>
  <c r="J22" i="33"/>
  <c r="AX21" i="33"/>
  <c r="AW21" i="33"/>
  <c r="AV21" i="33"/>
  <c r="AU21" i="33"/>
  <c r="AT21" i="33"/>
  <c r="AS21" i="33"/>
  <c r="AR21" i="33"/>
  <c r="AQ21" i="33"/>
  <c r="AP21" i="33"/>
  <c r="AO21" i="33"/>
  <c r="AN21" i="33"/>
  <c r="AM21" i="33"/>
  <c r="AL21" i="33"/>
  <c r="AK21" i="33"/>
  <c r="AJ21" i="33"/>
  <c r="AI21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AX20" i="33"/>
  <c r="AW20" i="33"/>
  <c r="AV20" i="33"/>
  <c r="AU20" i="33"/>
  <c r="AT20" i="33"/>
  <c r="AS20" i="33"/>
  <c r="AR20" i="33"/>
  <c r="AQ20" i="33"/>
  <c r="AP20" i="33"/>
  <c r="AO20" i="33"/>
  <c r="AN20" i="33"/>
  <c r="AM20" i="33"/>
  <c r="AL20" i="33"/>
  <c r="AK20" i="33"/>
  <c r="AJ20" i="33"/>
  <c r="AI20" i="33"/>
  <c r="AH20" i="33"/>
  <c r="AG20" i="33"/>
  <c r="AF20" i="33"/>
  <c r="AE20" i="33"/>
  <c r="AD20" i="33"/>
  <c r="AC20" i="33"/>
  <c r="AB20" i="33"/>
  <c r="AA20" i="33"/>
  <c r="Z20" i="33"/>
  <c r="Y20" i="33"/>
  <c r="X20" i="33"/>
  <c r="W20" i="33"/>
  <c r="V20" i="33"/>
  <c r="U20" i="33"/>
  <c r="T20" i="33"/>
  <c r="S20" i="33"/>
  <c r="R20" i="33"/>
  <c r="Q20" i="33"/>
  <c r="P20" i="33"/>
  <c r="O20" i="33"/>
  <c r="N20" i="33"/>
  <c r="M20" i="33"/>
  <c r="L20" i="33"/>
  <c r="K20" i="33"/>
  <c r="J20" i="33"/>
  <c r="AX19" i="33"/>
  <c r="AW19" i="33"/>
  <c r="AV19" i="33"/>
  <c r="AU19" i="33"/>
  <c r="AT19" i="33"/>
  <c r="AS19" i="33"/>
  <c r="AR19" i="33"/>
  <c r="AQ19" i="33"/>
  <c r="AP19" i="33"/>
  <c r="AO19" i="33"/>
  <c r="AN19" i="33"/>
  <c r="AM19" i="33"/>
  <c r="AL19" i="33"/>
  <c r="AK19" i="33"/>
  <c r="AJ19" i="33"/>
  <c r="AI19" i="33"/>
  <c r="AH19" i="33"/>
  <c r="AG19" i="33"/>
  <c r="AF19" i="33"/>
  <c r="AE19" i="33"/>
  <c r="AD19" i="33"/>
  <c r="AC19" i="33"/>
  <c r="AB19" i="33"/>
  <c r="AA19" i="33"/>
  <c r="Z19" i="33"/>
  <c r="Y19" i="33"/>
  <c r="X19" i="33"/>
  <c r="W19" i="33"/>
  <c r="V19" i="33"/>
  <c r="U19" i="33"/>
  <c r="T19" i="33"/>
  <c r="S19" i="33"/>
  <c r="R19" i="33"/>
  <c r="Q19" i="33"/>
  <c r="P19" i="33"/>
  <c r="O19" i="33"/>
  <c r="N19" i="33"/>
  <c r="M19" i="33"/>
  <c r="L19" i="33"/>
  <c r="K19" i="33"/>
  <c r="J19" i="33"/>
  <c r="AX18" i="33"/>
  <c r="AW18" i="33"/>
  <c r="AV18" i="33"/>
  <c r="AU18" i="33"/>
  <c r="AT18" i="33"/>
  <c r="AS18" i="33"/>
  <c r="AR18" i="33"/>
  <c r="AQ18" i="33"/>
  <c r="AP18" i="33"/>
  <c r="AO18" i="33"/>
  <c r="AN18" i="33"/>
  <c r="AM18" i="33"/>
  <c r="AL18" i="33"/>
  <c r="AK18" i="33"/>
  <c r="AJ18" i="33"/>
  <c r="AI18" i="33"/>
  <c r="AH18" i="33"/>
  <c r="AG18" i="33"/>
  <c r="AF18" i="33"/>
  <c r="AE18" i="33"/>
  <c r="AD18" i="33"/>
  <c r="AC18" i="33"/>
  <c r="AB18" i="33"/>
  <c r="AA18" i="33"/>
  <c r="Z18" i="33"/>
  <c r="Y18" i="33"/>
  <c r="X18" i="33"/>
  <c r="W18" i="33"/>
  <c r="V18" i="33"/>
  <c r="U18" i="33"/>
  <c r="T18" i="33"/>
  <c r="S18" i="33"/>
  <c r="R18" i="33"/>
  <c r="Q18" i="33"/>
  <c r="P18" i="33"/>
  <c r="O18" i="33"/>
  <c r="N18" i="33"/>
  <c r="M18" i="33"/>
  <c r="L18" i="33"/>
  <c r="K18" i="33"/>
  <c r="J18" i="33"/>
  <c r="AX17" i="33"/>
  <c r="AW17" i="33"/>
  <c r="AV17" i="33"/>
  <c r="AU17" i="33"/>
  <c r="AT17" i="33"/>
  <c r="AS17" i="33"/>
  <c r="AR17" i="33"/>
  <c r="AQ17" i="33"/>
  <c r="AP17" i="33"/>
  <c r="AO17" i="33"/>
  <c r="AN17" i="33"/>
  <c r="AM17" i="33"/>
  <c r="AL17" i="33"/>
  <c r="AK17" i="33"/>
  <c r="AJ17" i="33"/>
  <c r="AI17" i="33"/>
  <c r="AH17" i="33"/>
  <c r="AG17" i="33"/>
  <c r="AF17" i="33"/>
  <c r="AE17" i="33"/>
  <c r="AD17" i="33"/>
  <c r="AC17" i="33"/>
  <c r="AB17" i="33"/>
  <c r="AA17" i="33"/>
  <c r="Z17" i="33"/>
  <c r="Y17" i="33"/>
  <c r="X17" i="33"/>
  <c r="W17" i="33"/>
  <c r="V17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AX16" i="33"/>
  <c r="AW16" i="33"/>
  <c r="AV16" i="33"/>
  <c r="AU16" i="33"/>
  <c r="AT16" i="33"/>
  <c r="AS16" i="33"/>
  <c r="AR16" i="33"/>
  <c r="AQ16" i="33"/>
  <c r="AP16" i="33"/>
  <c r="AO16" i="33"/>
  <c r="AN16" i="33"/>
  <c r="AM16" i="33"/>
  <c r="AL16" i="33"/>
  <c r="AK16" i="33"/>
  <c r="AJ16" i="33"/>
  <c r="AI16" i="33"/>
  <c r="AH16" i="33"/>
  <c r="AG16" i="33"/>
  <c r="AF16" i="33"/>
  <c r="AE16" i="33"/>
  <c r="AD16" i="33"/>
  <c r="AC16" i="33"/>
  <c r="AB16" i="33"/>
  <c r="AA16" i="33"/>
  <c r="Z16" i="33"/>
  <c r="Y16" i="33"/>
  <c r="X16" i="33"/>
  <c r="W16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AX15" i="33"/>
  <c r="AW15" i="33"/>
  <c r="AV15" i="33"/>
  <c r="AU15" i="33"/>
  <c r="AT15" i="33"/>
  <c r="AS15" i="33"/>
  <c r="AR15" i="33"/>
  <c r="AQ15" i="33"/>
  <c r="AP15" i="33"/>
  <c r="AO15" i="33"/>
  <c r="AN15" i="33"/>
  <c r="AM15" i="33"/>
  <c r="AL15" i="33"/>
  <c r="AK15" i="33"/>
  <c r="AJ15" i="33"/>
  <c r="AI15" i="33"/>
  <c r="AH15" i="33"/>
  <c r="AG15" i="33"/>
  <c r="AF15" i="33"/>
  <c r="AE15" i="33"/>
  <c r="AD15" i="33"/>
  <c r="AC15" i="33"/>
  <c r="AB15" i="33"/>
  <c r="AA15" i="33"/>
  <c r="Z15" i="33"/>
  <c r="Y15" i="33"/>
  <c r="X15" i="33"/>
  <c r="W15" i="33"/>
  <c r="V15" i="33"/>
  <c r="U15" i="33"/>
  <c r="T15" i="33"/>
  <c r="S15" i="33"/>
  <c r="R15" i="33"/>
  <c r="Q15" i="33"/>
  <c r="P15" i="33"/>
  <c r="O15" i="33"/>
  <c r="N15" i="33"/>
  <c r="M15" i="33"/>
  <c r="L15" i="33"/>
  <c r="K15" i="33"/>
  <c r="J15" i="33"/>
  <c r="AX14" i="33"/>
  <c r="AW14" i="33"/>
  <c r="AV14" i="33"/>
  <c r="AU14" i="33"/>
  <c r="AT14" i="33"/>
  <c r="AS14" i="33"/>
  <c r="AR14" i="33"/>
  <c r="AQ14" i="33"/>
  <c r="AP14" i="33"/>
  <c r="AO14" i="33"/>
  <c r="AN14" i="33"/>
  <c r="AM14" i="33"/>
  <c r="AL14" i="33"/>
  <c r="AK14" i="33"/>
  <c r="AJ14" i="33"/>
  <c r="AI14" i="33"/>
  <c r="AH14" i="33"/>
  <c r="AG14" i="33"/>
  <c r="AF14" i="33"/>
  <c r="AE14" i="33"/>
  <c r="AD14" i="33"/>
  <c r="AC14" i="33"/>
  <c r="AB14" i="33"/>
  <c r="AA14" i="33"/>
  <c r="Z14" i="33"/>
  <c r="Y14" i="33"/>
  <c r="X14" i="33"/>
  <c r="W14" i="33"/>
  <c r="V14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AX13" i="33"/>
  <c r="AW13" i="33"/>
  <c r="AV13" i="33"/>
  <c r="AU13" i="33"/>
  <c r="AT13" i="33"/>
  <c r="AS13" i="33"/>
  <c r="AR13" i="33"/>
  <c r="AQ13" i="33"/>
  <c r="AP13" i="33"/>
  <c r="AO13" i="33"/>
  <c r="AN13" i="33"/>
  <c r="AM13" i="33"/>
  <c r="AL13" i="33"/>
  <c r="AK13" i="33"/>
  <c r="AJ13" i="33"/>
  <c r="AI13" i="33"/>
  <c r="AH13" i="33"/>
  <c r="AG13" i="33"/>
  <c r="AF13" i="33"/>
  <c r="AE13" i="33"/>
  <c r="AD13" i="33"/>
  <c r="AC13" i="33"/>
  <c r="AB13" i="33"/>
  <c r="AA13" i="33"/>
  <c r="Z13" i="33"/>
  <c r="Y13" i="33"/>
  <c r="X13" i="33"/>
  <c r="W13" i="33"/>
  <c r="V13" i="33"/>
  <c r="U13" i="33"/>
  <c r="T13" i="33"/>
  <c r="S13" i="33"/>
  <c r="R13" i="33"/>
  <c r="Q13" i="33"/>
  <c r="P13" i="33"/>
  <c r="O13" i="33"/>
  <c r="N13" i="33"/>
  <c r="M13" i="33"/>
  <c r="L13" i="33"/>
  <c r="K13" i="33"/>
  <c r="J13" i="33"/>
  <c r="AX12" i="33"/>
  <c r="AW12" i="33"/>
  <c r="AV12" i="33"/>
  <c r="AU12" i="33"/>
  <c r="AT12" i="33"/>
  <c r="AS12" i="33"/>
  <c r="AR12" i="33"/>
  <c r="AQ12" i="33"/>
  <c r="AP12" i="33"/>
  <c r="AO12" i="33"/>
  <c r="AN12" i="33"/>
  <c r="AM12" i="33"/>
  <c r="AL12" i="33"/>
  <c r="AK12" i="33"/>
  <c r="AJ12" i="33"/>
  <c r="AI12" i="33"/>
  <c r="AH12" i="33"/>
  <c r="AG12" i="33"/>
  <c r="AF12" i="33"/>
  <c r="AE12" i="33"/>
  <c r="AD12" i="33"/>
  <c r="AC12" i="33"/>
  <c r="AB12" i="33"/>
  <c r="AA12" i="33"/>
  <c r="Z12" i="33"/>
  <c r="Y12" i="33"/>
  <c r="X12" i="33"/>
  <c r="W12" i="33"/>
  <c r="V12" i="33"/>
  <c r="U12" i="33"/>
  <c r="T12" i="33"/>
  <c r="S12" i="33"/>
  <c r="R12" i="33"/>
  <c r="Q12" i="33"/>
  <c r="P12" i="33"/>
  <c r="O12" i="33"/>
  <c r="N12" i="33"/>
  <c r="M12" i="33"/>
  <c r="L12" i="33"/>
  <c r="K12" i="33"/>
  <c r="J12" i="33"/>
  <c r="AX11" i="33"/>
  <c r="AW11" i="33"/>
  <c r="AV11" i="33"/>
  <c r="AU11" i="33"/>
  <c r="AT11" i="33"/>
  <c r="AS11" i="33"/>
  <c r="AR11" i="33"/>
  <c r="AQ11" i="33"/>
  <c r="AP11" i="33"/>
  <c r="AO11" i="33"/>
  <c r="AN11" i="33"/>
  <c r="AM11" i="33"/>
  <c r="AL11" i="33"/>
  <c r="AK11" i="33"/>
  <c r="AJ11" i="33"/>
  <c r="AI11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AX10" i="33"/>
  <c r="AW10" i="33"/>
  <c r="AV10" i="33"/>
  <c r="AU10" i="33"/>
  <c r="AT10" i="33"/>
  <c r="AS10" i="33"/>
  <c r="AR10" i="33"/>
  <c r="AQ10" i="33"/>
  <c r="AP10" i="33"/>
  <c r="AO10" i="33"/>
  <c r="AN10" i="33"/>
  <c r="AM10" i="33"/>
  <c r="AL10" i="33"/>
  <c r="AK10" i="33"/>
  <c r="AJ10" i="33"/>
  <c r="AI10" i="33"/>
  <c r="AH10" i="33"/>
  <c r="AG10" i="33"/>
  <c r="AF10" i="33"/>
  <c r="AE10" i="33"/>
  <c r="AD10" i="33"/>
  <c r="AC10" i="33"/>
  <c r="AB10" i="33"/>
  <c r="AA10" i="33"/>
  <c r="Z10" i="33"/>
  <c r="Y10" i="33"/>
  <c r="X10" i="33"/>
  <c r="W10" i="33"/>
  <c r="V10" i="33"/>
  <c r="U10" i="33"/>
  <c r="T10" i="33"/>
  <c r="S10" i="33"/>
  <c r="R10" i="33"/>
  <c r="Q10" i="33"/>
  <c r="P10" i="33"/>
  <c r="O10" i="33"/>
  <c r="N10" i="33"/>
  <c r="M10" i="33"/>
  <c r="L10" i="33"/>
  <c r="K10" i="33"/>
  <c r="J10" i="33"/>
  <c r="AX9" i="33"/>
  <c r="AW9" i="33"/>
  <c r="AV9" i="33"/>
  <c r="AU9" i="33"/>
  <c r="AT9" i="33"/>
  <c r="AS9" i="33"/>
  <c r="AR9" i="33"/>
  <c r="AQ9" i="33"/>
  <c r="AP9" i="33"/>
  <c r="AO9" i="33"/>
  <c r="AN9" i="33"/>
  <c r="AM9" i="33"/>
  <c r="AL9" i="33"/>
  <c r="AK9" i="33"/>
  <c r="AJ9" i="33"/>
  <c r="AI9" i="33"/>
  <c r="AH9" i="33"/>
  <c r="AG9" i="33"/>
  <c r="AF9" i="33"/>
  <c r="AE9" i="33"/>
  <c r="AD9" i="33"/>
  <c r="AC9" i="33"/>
  <c r="AB9" i="33"/>
  <c r="AA9" i="33"/>
  <c r="Z9" i="33"/>
  <c r="Y9" i="33"/>
  <c r="X9" i="33"/>
  <c r="W9" i="33"/>
  <c r="V9" i="33"/>
  <c r="U9" i="33"/>
  <c r="T9" i="33"/>
  <c r="S9" i="33"/>
  <c r="R9" i="33"/>
  <c r="Q9" i="33"/>
  <c r="P9" i="33"/>
  <c r="O9" i="33"/>
  <c r="N9" i="33"/>
  <c r="M9" i="33"/>
  <c r="L9" i="33"/>
  <c r="K9" i="33"/>
  <c r="J9" i="33"/>
  <c r="AX55" i="41"/>
  <c r="AW55" i="41"/>
  <c r="AV55" i="41"/>
  <c r="AU55" i="41"/>
  <c r="AT55" i="41"/>
  <c r="AS55" i="41"/>
  <c r="AR55" i="41"/>
  <c r="AQ55" i="41"/>
  <c r="AP55" i="41"/>
  <c r="AO55" i="41"/>
  <c r="AN55" i="41"/>
  <c r="AM55" i="41"/>
  <c r="AL55" i="41"/>
  <c r="AK55" i="41"/>
  <c r="AJ55" i="41"/>
  <c r="AI55" i="41"/>
  <c r="AH55" i="41"/>
  <c r="AG55" i="41"/>
  <c r="AF55" i="41"/>
  <c r="AE55" i="41"/>
  <c r="AD55" i="41"/>
  <c r="AC55" i="41"/>
  <c r="AB55" i="41"/>
  <c r="AA55" i="41"/>
  <c r="Z55" i="41"/>
  <c r="Y55" i="41"/>
  <c r="X55" i="41"/>
  <c r="W55" i="41"/>
  <c r="V55" i="41"/>
  <c r="U55" i="41"/>
  <c r="T55" i="41"/>
  <c r="S55" i="41"/>
  <c r="R55" i="41"/>
  <c r="Q55" i="41"/>
  <c r="P55" i="41"/>
  <c r="O55" i="41"/>
  <c r="N55" i="41"/>
  <c r="M55" i="41"/>
  <c r="L55" i="41"/>
  <c r="K55" i="41"/>
  <c r="J55" i="41"/>
  <c r="AX54" i="41"/>
  <c r="AW54" i="41"/>
  <c r="AV54" i="41"/>
  <c r="AU54" i="41"/>
  <c r="AT54" i="41"/>
  <c r="AS54" i="41"/>
  <c r="AR54" i="41"/>
  <c r="AQ54" i="41"/>
  <c r="AP54" i="41"/>
  <c r="AO54" i="41"/>
  <c r="AN54" i="41"/>
  <c r="AM54" i="41"/>
  <c r="AL54" i="41"/>
  <c r="AK54" i="41"/>
  <c r="AJ54" i="4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AX53" i="41"/>
  <c r="AW53" i="41"/>
  <c r="AV53" i="41"/>
  <c r="AU53" i="41"/>
  <c r="AT53" i="41"/>
  <c r="AS53" i="41"/>
  <c r="AR53" i="41"/>
  <c r="AQ53" i="41"/>
  <c r="AP53" i="41"/>
  <c r="AO53" i="41"/>
  <c r="AN53" i="41"/>
  <c r="AM53" i="41"/>
  <c r="AL53" i="41"/>
  <c r="AK53" i="41"/>
  <c r="AJ53" i="41"/>
  <c r="AI53" i="41"/>
  <c r="AH53" i="41"/>
  <c r="AG53" i="41"/>
  <c r="AF53" i="41"/>
  <c r="AE53" i="41"/>
  <c r="AD53" i="41"/>
  <c r="AC53" i="41"/>
  <c r="AB53" i="41"/>
  <c r="AA53" i="41"/>
  <c r="Z53" i="41"/>
  <c r="Y53" i="41"/>
  <c r="X53" i="41"/>
  <c r="W53" i="41"/>
  <c r="V53" i="41"/>
  <c r="U53" i="41"/>
  <c r="T53" i="41"/>
  <c r="S53" i="41"/>
  <c r="R53" i="41"/>
  <c r="Q53" i="41"/>
  <c r="P53" i="41"/>
  <c r="O53" i="41"/>
  <c r="N53" i="41"/>
  <c r="M53" i="41"/>
  <c r="L53" i="41"/>
  <c r="K53" i="41"/>
  <c r="J53" i="41"/>
  <c r="AX52" i="41"/>
  <c r="AW52" i="41"/>
  <c r="AV52" i="41"/>
  <c r="AU52" i="41"/>
  <c r="AT52" i="41"/>
  <c r="AS52" i="41"/>
  <c r="AR52" i="41"/>
  <c r="AQ52" i="41"/>
  <c r="AP52" i="41"/>
  <c r="AO52" i="41"/>
  <c r="AN52" i="41"/>
  <c r="AM52" i="41"/>
  <c r="AL52" i="41"/>
  <c r="AK52" i="41"/>
  <c r="AJ52" i="41"/>
  <c r="AI52" i="41"/>
  <c r="AH52" i="41"/>
  <c r="AG52" i="41"/>
  <c r="AF52" i="41"/>
  <c r="AE52" i="41"/>
  <c r="AD52" i="41"/>
  <c r="AC52" i="41"/>
  <c r="AB52" i="41"/>
  <c r="AA52" i="41"/>
  <c r="Z52" i="41"/>
  <c r="Y52" i="41"/>
  <c r="X52" i="41"/>
  <c r="W52" i="41"/>
  <c r="V52" i="41"/>
  <c r="U52" i="41"/>
  <c r="T52" i="41"/>
  <c r="S52" i="41"/>
  <c r="R52" i="41"/>
  <c r="Q52" i="41"/>
  <c r="P52" i="41"/>
  <c r="O52" i="41"/>
  <c r="N52" i="41"/>
  <c r="M52" i="41"/>
  <c r="L52" i="41"/>
  <c r="K52" i="41"/>
  <c r="J52" i="41"/>
  <c r="AX51" i="41"/>
  <c r="AW51" i="41"/>
  <c r="AV51" i="41"/>
  <c r="AU51" i="41"/>
  <c r="AT51" i="41"/>
  <c r="AS51" i="41"/>
  <c r="AR51" i="41"/>
  <c r="AQ51" i="41"/>
  <c r="AP51" i="41"/>
  <c r="AO51" i="41"/>
  <c r="AN51" i="41"/>
  <c r="AM51" i="41"/>
  <c r="AL51" i="41"/>
  <c r="AK51" i="41"/>
  <c r="AJ51" i="41"/>
  <c r="AI51" i="41"/>
  <c r="AH51" i="41"/>
  <c r="AG51" i="41"/>
  <c r="AF51" i="41"/>
  <c r="AE51" i="41"/>
  <c r="AD51" i="41"/>
  <c r="AC51" i="41"/>
  <c r="AB51" i="41"/>
  <c r="AA51" i="41"/>
  <c r="Z51" i="41"/>
  <c r="Y51" i="41"/>
  <c r="X51" i="41"/>
  <c r="W51" i="41"/>
  <c r="V51" i="41"/>
  <c r="U51" i="41"/>
  <c r="T51" i="41"/>
  <c r="S51" i="41"/>
  <c r="R51" i="41"/>
  <c r="Q51" i="41"/>
  <c r="P51" i="41"/>
  <c r="O51" i="41"/>
  <c r="N51" i="41"/>
  <c r="M51" i="41"/>
  <c r="L51" i="41"/>
  <c r="K51" i="41"/>
  <c r="J51" i="41"/>
  <c r="AX50" i="41"/>
  <c r="AW50" i="41"/>
  <c r="AV50" i="41"/>
  <c r="AU50" i="41"/>
  <c r="AT50" i="41"/>
  <c r="AS50" i="41"/>
  <c r="AR50" i="41"/>
  <c r="AQ50" i="41"/>
  <c r="AP50" i="41"/>
  <c r="AO50" i="41"/>
  <c r="AN50" i="41"/>
  <c r="AM50" i="41"/>
  <c r="AL50" i="41"/>
  <c r="AK50" i="41"/>
  <c r="AJ50" i="41"/>
  <c r="AI50" i="41"/>
  <c r="AH50" i="41"/>
  <c r="AG50" i="41"/>
  <c r="AF50" i="41"/>
  <c r="AE50" i="41"/>
  <c r="AD50" i="41"/>
  <c r="AC50" i="41"/>
  <c r="AB50" i="41"/>
  <c r="AA50" i="41"/>
  <c r="Z50" i="41"/>
  <c r="Y50" i="41"/>
  <c r="X50" i="41"/>
  <c r="W50" i="41"/>
  <c r="V50" i="41"/>
  <c r="U50" i="41"/>
  <c r="T50" i="41"/>
  <c r="S50" i="41"/>
  <c r="R50" i="41"/>
  <c r="Q50" i="41"/>
  <c r="P50" i="41"/>
  <c r="O50" i="41"/>
  <c r="N50" i="41"/>
  <c r="M50" i="41"/>
  <c r="L50" i="41"/>
  <c r="K50" i="41"/>
  <c r="J50" i="41"/>
  <c r="AX49" i="41"/>
  <c r="AW49" i="41"/>
  <c r="AV49" i="41"/>
  <c r="AU49" i="41"/>
  <c r="AT49" i="41"/>
  <c r="AS49" i="41"/>
  <c r="AR49" i="41"/>
  <c r="AQ49" i="41"/>
  <c r="AP49" i="41"/>
  <c r="AO49" i="41"/>
  <c r="AN49" i="41"/>
  <c r="AM49" i="41"/>
  <c r="AL49" i="41"/>
  <c r="AK49" i="41"/>
  <c r="AJ49" i="41"/>
  <c r="AI49" i="41"/>
  <c r="AH49" i="41"/>
  <c r="AG49" i="41"/>
  <c r="AF49" i="41"/>
  <c r="AE49" i="41"/>
  <c r="AD49" i="41"/>
  <c r="AC49" i="41"/>
  <c r="AB49" i="41"/>
  <c r="AA49" i="41"/>
  <c r="Z49" i="41"/>
  <c r="Y49" i="41"/>
  <c r="X49" i="41"/>
  <c r="W49" i="41"/>
  <c r="V49" i="41"/>
  <c r="U49" i="41"/>
  <c r="T49" i="41"/>
  <c r="S49" i="41"/>
  <c r="R49" i="41"/>
  <c r="Q49" i="41"/>
  <c r="P49" i="41"/>
  <c r="O49" i="41"/>
  <c r="N49" i="41"/>
  <c r="M49" i="41"/>
  <c r="L49" i="41"/>
  <c r="K49" i="41"/>
  <c r="J49" i="41"/>
  <c r="AX48" i="41"/>
  <c r="AW48" i="41"/>
  <c r="AV48" i="41"/>
  <c r="AU48" i="41"/>
  <c r="AT48" i="41"/>
  <c r="AS48" i="41"/>
  <c r="AR48" i="41"/>
  <c r="AQ48" i="41"/>
  <c r="AP48" i="41"/>
  <c r="AO48" i="41"/>
  <c r="AN48" i="41"/>
  <c r="AM48" i="41"/>
  <c r="AL48" i="41"/>
  <c r="AK48" i="41"/>
  <c r="AJ48" i="41"/>
  <c r="AI48" i="41"/>
  <c r="AH48" i="41"/>
  <c r="AG48" i="41"/>
  <c r="AF48" i="41"/>
  <c r="AE48" i="41"/>
  <c r="AD48" i="41"/>
  <c r="AC48" i="41"/>
  <c r="AB48" i="41"/>
  <c r="AA48" i="41"/>
  <c r="Z48" i="41"/>
  <c r="Y48" i="41"/>
  <c r="X48" i="41"/>
  <c r="W48" i="41"/>
  <c r="V48" i="41"/>
  <c r="U48" i="41"/>
  <c r="T48" i="41"/>
  <c r="S48" i="41"/>
  <c r="R48" i="41"/>
  <c r="Q48" i="41"/>
  <c r="P48" i="41"/>
  <c r="O48" i="41"/>
  <c r="N48" i="41"/>
  <c r="M48" i="41"/>
  <c r="L48" i="41"/>
  <c r="K48" i="41"/>
  <c r="J48" i="41"/>
  <c r="AX47" i="41"/>
  <c r="AW47" i="41"/>
  <c r="AV47" i="41"/>
  <c r="AU47" i="41"/>
  <c r="AT47" i="41"/>
  <c r="AS47" i="41"/>
  <c r="AR47" i="41"/>
  <c r="AQ47" i="41"/>
  <c r="AP47" i="41"/>
  <c r="AO47" i="41"/>
  <c r="AN47" i="41"/>
  <c r="AM47" i="41"/>
  <c r="AL47" i="41"/>
  <c r="AK47" i="41"/>
  <c r="AJ47" i="41"/>
  <c r="AI47" i="41"/>
  <c r="AH47" i="41"/>
  <c r="AG47" i="41"/>
  <c r="AF47" i="41"/>
  <c r="AE47" i="41"/>
  <c r="AD47" i="41"/>
  <c r="AC47" i="41"/>
  <c r="AB47" i="41"/>
  <c r="AA47" i="41"/>
  <c r="Z47" i="41"/>
  <c r="Y47" i="41"/>
  <c r="X47" i="41"/>
  <c r="W47" i="41"/>
  <c r="V47" i="41"/>
  <c r="U47" i="41"/>
  <c r="T47" i="41"/>
  <c r="S47" i="41"/>
  <c r="R47" i="41"/>
  <c r="Q47" i="41"/>
  <c r="P47" i="41"/>
  <c r="O47" i="41"/>
  <c r="N47" i="41"/>
  <c r="M47" i="41"/>
  <c r="L47" i="41"/>
  <c r="K47" i="41"/>
  <c r="J47" i="41"/>
  <c r="AX46" i="41"/>
  <c r="AW46" i="41"/>
  <c r="AV46" i="41"/>
  <c r="AU46" i="41"/>
  <c r="AT46" i="41"/>
  <c r="AS46" i="41"/>
  <c r="AR46" i="41"/>
  <c r="AQ46" i="41"/>
  <c r="AP46" i="41"/>
  <c r="AO46" i="41"/>
  <c r="AN46" i="41"/>
  <c r="AM46" i="41"/>
  <c r="AL46" i="41"/>
  <c r="AK46" i="41"/>
  <c r="AJ46" i="4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T46" i="41"/>
  <c r="S46" i="41"/>
  <c r="R46" i="41"/>
  <c r="Q46" i="41"/>
  <c r="P46" i="41"/>
  <c r="O46" i="41"/>
  <c r="N46" i="41"/>
  <c r="M46" i="41"/>
  <c r="L46" i="41"/>
  <c r="K46" i="41"/>
  <c r="J46" i="41"/>
  <c r="AX45" i="41"/>
  <c r="AW45" i="41"/>
  <c r="AV45" i="41"/>
  <c r="AU45" i="41"/>
  <c r="AT45" i="41"/>
  <c r="AS45" i="41"/>
  <c r="AR45" i="41"/>
  <c r="AQ45" i="41"/>
  <c r="AP45" i="41"/>
  <c r="AO45" i="41"/>
  <c r="AN45" i="41"/>
  <c r="AM45" i="41"/>
  <c r="AL45" i="41"/>
  <c r="AK45" i="41"/>
  <c r="AJ45" i="41"/>
  <c r="AI45" i="41"/>
  <c r="AH45" i="41"/>
  <c r="AG45" i="41"/>
  <c r="AF45" i="41"/>
  <c r="AE45" i="41"/>
  <c r="AD45" i="41"/>
  <c r="AC45" i="41"/>
  <c r="AB45" i="41"/>
  <c r="AA45" i="41"/>
  <c r="Z45" i="41"/>
  <c r="Y45" i="41"/>
  <c r="X45" i="41"/>
  <c r="W45" i="41"/>
  <c r="V45" i="41"/>
  <c r="U45" i="41"/>
  <c r="T45" i="41"/>
  <c r="S45" i="41"/>
  <c r="R45" i="41"/>
  <c r="Q45" i="41"/>
  <c r="P45" i="41"/>
  <c r="O45" i="41"/>
  <c r="N45" i="41"/>
  <c r="M45" i="41"/>
  <c r="L45" i="41"/>
  <c r="K45" i="41"/>
  <c r="J45" i="41"/>
  <c r="AX44" i="41"/>
  <c r="AW44" i="41"/>
  <c r="AV44" i="41"/>
  <c r="AU44" i="41"/>
  <c r="AT44" i="41"/>
  <c r="AS44" i="41"/>
  <c r="AR44" i="41"/>
  <c r="AQ44" i="41"/>
  <c r="AP44" i="41"/>
  <c r="AO44" i="41"/>
  <c r="AN44" i="41"/>
  <c r="AM44" i="41"/>
  <c r="AL44" i="41"/>
  <c r="AK44" i="41"/>
  <c r="AJ44" i="41"/>
  <c r="AI44" i="41"/>
  <c r="AH44" i="41"/>
  <c r="AG44" i="41"/>
  <c r="AF44" i="41"/>
  <c r="AE44" i="41"/>
  <c r="AD44" i="41"/>
  <c r="AC44" i="41"/>
  <c r="AB44" i="41"/>
  <c r="AA44" i="41"/>
  <c r="Z44" i="41"/>
  <c r="Y44" i="41"/>
  <c r="X44" i="41"/>
  <c r="W44" i="41"/>
  <c r="V44" i="41"/>
  <c r="U44" i="41"/>
  <c r="T44" i="41"/>
  <c r="S44" i="41"/>
  <c r="R44" i="41"/>
  <c r="Q44" i="41"/>
  <c r="P44" i="41"/>
  <c r="O44" i="41"/>
  <c r="N44" i="41"/>
  <c r="M44" i="41"/>
  <c r="L44" i="41"/>
  <c r="K44" i="41"/>
  <c r="J44" i="41"/>
  <c r="AX43" i="41"/>
  <c r="AW43" i="41"/>
  <c r="AV43" i="41"/>
  <c r="AU43" i="41"/>
  <c r="AT43" i="41"/>
  <c r="AS43" i="41"/>
  <c r="AR43" i="41"/>
  <c r="AQ43" i="41"/>
  <c r="AP43" i="41"/>
  <c r="AO43" i="41"/>
  <c r="AN43" i="41"/>
  <c r="AM43" i="41"/>
  <c r="AL43" i="41"/>
  <c r="AK43" i="41"/>
  <c r="AJ43" i="41"/>
  <c r="AI43" i="41"/>
  <c r="AH43" i="41"/>
  <c r="AG43" i="41"/>
  <c r="AF43" i="41"/>
  <c r="AE43" i="41"/>
  <c r="AD43" i="41"/>
  <c r="AC43" i="41"/>
  <c r="AB43" i="41"/>
  <c r="AA43" i="41"/>
  <c r="Z43" i="41"/>
  <c r="Y43" i="41"/>
  <c r="X43" i="41"/>
  <c r="W43" i="41"/>
  <c r="V43" i="41"/>
  <c r="U43" i="41"/>
  <c r="T43" i="41"/>
  <c r="S43" i="41"/>
  <c r="R43" i="41"/>
  <c r="Q43" i="41"/>
  <c r="P43" i="41"/>
  <c r="O43" i="41"/>
  <c r="N43" i="41"/>
  <c r="M43" i="41"/>
  <c r="L43" i="41"/>
  <c r="K43" i="41"/>
  <c r="J43" i="41"/>
  <c r="AX42" i="41"/>
  <c r="AW42" i="41"/>
  <c r="AV42" i="41"/>
  <c r="AU42" i="41"/>
  <c r="AT42" i="41"/>
  <c r="AS42" i="41"/>
  <c r="AR42" i="41"/>
  <c r="AQ42" i="41"/>
  <c r="AP42" i="41"/>
  <c r="AO42" i="41"/>
  <c r="AN42" i="41"/>
  <c r="AM42" i="41"/>
  <c r="AL42" i="41"/>
  <c r="AK42" i="41"/>
  <c r="AJ42" i="41"/>
  <c r="AI42" i="41"/>
  <c r="AH42" i="41"/>
  <c r="AG42" i="41"/>
  <c r="AF42" i="41"/>
  <c r="AE42" i="41"/>
  <c r="AD42" i="41"/>
  <c r="AC42" i="41"/>
  <c r="AB42" i="41"/>
  <c r="AA42" i="41"/>
  <c r="Z42" i="41"/>
  <c r="Y42" i="41"/>
  <c r="X42" i="41"/>
  <c r="W42" i="41"/>
  <c r="V42" i="41"/>
  <c r="U42" i="41"/>
  <c r="T42" i="41"/>
  <c r="S42" i="41"/>
  <c r="R42" i="41"/>
  <c r="Q42" i="41"/>
  <c r="P42" i="41"/>
  <c r="O42" i="41"/>
  <c r="N42" i="41"/>
  <c r="M42" i="41"/>
  <c r="L42" i="41"/>
  <c r="K42" i="41"/>
  <c r="J42" i="41"/>
  <c r="AX40" i="41"/>
  <c r="AW40" i="41"/>
  <c r="AV40" i="41"/>
  <c r="AU40" i="41"/>
  <c r="AT40" i="41"/>
  <c r="AS40" i="41"/>
  <c r="AR40" i="41"/>
  <c r="AQ40" i="41"/>
  <c r="AP40" i="41"/>
  <c r="AO40" i="41"/>
  <c r="AN40" i="41"/>
  <c r="AM40" i="41"/>
  <c r="AL40" i="41"/>
  <c r="AK40" i="41"/>
  <c r="AJ40" i="41"/>
  <c r="AI40" i="41"/>
  <c r="AH40" i="41"/>
  <c r="AG40" i="41"/>
  <c r="AF40" i="41"/>
  <c r="AE40" i="41"/>
  <c r="AD40" i="41"/>
  <c r="AC40" i="41"/>
  <c r="AB40" i="41"/>
  <c r="AA40" i="41"/>
  <c r="Z40" i="41"/>
  <c r="Y40" i="41"/>
  <c r="X40" i="41"/>
  <c r="W40" i="41"/>
  <c r="V40" i="41"/>
  <c r="U40" i="41"/>
  <c r="T40" i="41"/>
  <c r="S40" i="41"/>
  <c r="R40" i="41"/>
  <c r="Q40" i="41"/>
  <c r="P40" i="41"/>
  <c r="O40" i="41"/>
  <c r="N40" i="41"/>
  <c r="M40" i="41"/>
  <c r="L40" i="41"/>
  <c r="K40" i="41"/>
  <c r="J40" i="41"/>
  <c r="AX39" i="41"/>
  <c r="AW39" i="41"/>
  <c r="AV39" i="41"/>
  <c r="AU39" i="41"/>
  <c r="AT39" i="41"/>
  <c r="AS39" i="41"/>
  <c r="AR39" i="41"/>
  <c r="AQ39" i="41"/>
  <c r="AP39" i="41"/>
  <c r="AO39" i="41"/>
  <c r="AN39" i="41"/>
  <c r="AM39" i="41"/>
  <c r="AL39" i="41"/>
  <c r="AK39" i="41"/>
  <c r="AJ39" i="41"/>
  <c r="AI39" i="41"/>
  <c r="AH39" i="41"/>
  <c r="AG39" i="41"/>
  <c r="AF39" i="41"/>
  <c r="AE39" i="41"/>
  <c r="AD39" i="41"/>
  <c r="AC39" i="41"/>
  <c r="AB39" i="41"/>
  <c r="AA39" i="41"/>
  <c r="Z39" i="41"/>
  <c r="Y39" i="41"/>
  <c r="X39" i="41"/>
  <c r="W39" i="41"/>
  <c r="V39" i="41"/>
  <c r="U39" i="41"/>
  <c r="T39" i="41"/>
  <c r="S39" i="41"/>
  <c r="R39" i="41"/>
  <c r="Q39" i="41"/>
  <c r="P39" i="41"/>
  <c r="O39" i="41"/>
  <c r="N39" i="41"/>
  <c r="M39" i="41"/>
  <c r="L39" i="41"/>
  <c r="K39" i="41"/>
  <c r="J39" i="41"/>
  <c r="AX38" i="41"/>
  <c r="AW38" i="41"/>
  <c r="AV38" i="41"/>
  <c r="AU38" i="41"/>
  <c r="AT38" i="41"/>
  <c r="AS38" i="41"/>
  <c r="AR38" i="41"/>
  <c r="AQ38" i="41"/>
  <c r="AP38" i="41"/>
  <c r="AO38" i="41"/>
  <c r="AN38" i="41"/>
  <c r="AM38" i="41"/>
  <c r="AL38" i="41"/>
  <c r="AK38" i="41"/>
  <c r="AJ38" i="41"/>
  <c r="AI38" i="41"/>
  <c r="AH38" i="41"/>
  <c r="AG38" i="41"/>
  <c r="AF38" i="41"/>
  <c r="AE38" i="41"/>
  <c r="AD38" i="41"/>
  <c r="AC38" i="41"/>
  <c r="AB38" i="41"/>
  <c r="AA38" i="41"/>
  <c r="Z38" i="41"/>
  <c r="Y38" i="41"/>
  <c r="X38" i="41"/>
  <c r="W38" i="41"/>
  <c r="V38" i="41"/>
  <c r="U38" i="41"/>
  <c r="T38" i="41"/>
  <c r="S38" i="41"/>
  <c r="R38" i="41"/>
  <c r="Q38" i="41"/>
  <c r="P38" i="41"/>
  <c r="O38" i="41"/>
  <c r="N38" i="41"/>
  <c r="M38" i="41"/>
  <c r="L38" i="41"/>
  <c r="K38" i="41"/>
  <c r="J38" i="41"/>
  <c r="AX36" i="41"/>
  <c r="AW36" i="41"/>
  <c r="AV36" i="41"/>
  <c r="AU36" i="41"/>
  <c r="AT36" i="41"/>
  <c r="AS36" i="41"/>
  <c r="AR36" i="41"/>
  <c r="AQ36" i="41"/>
  <c r="AP36" i="41"/>
  <c r="AO36" i="41"/>
  <c r="AN36" i="41"/>
  <c r="AM36" i="41"/>
  <c r="AL36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AX37" i="41"/>
  <c r="AW37" i="41"/>
  <c r="AV37" i="41"/>
  <c r="AU37" i="41"/>
  <c r="AT37" i="41"/>
  <c r="AS37" i="41"/>
  <c r="AR37" i="41"/>
  <c r="AQ37" i="41"/>
  <c r="AP37" i="41"/>
  <c r="AO37" i="41"/>
  <c r="AN37" i="41"/>
  <c r="AM37" i="41"/>
  <c r="AL37" i="41"/>
  <c r="AK37" i="41"/>
  <c r="AJ37" i="41"/>
  <c r="AI37" i="41"/>
  <c r="AH37" i="41"/>
  <c r="AG37" i="41"/>
  <c r="AF37" i="41"/>
  <c r="AE37" i="41"/>
  <c r="AD37" i="41"/>
  <c r="AC37" i="41"/>
  <c r="AB37" i="41"/>
  <c r="AA37" i="41"/>
  <c r="Z37" i="41"/>
  <c r="Y37" i="41"/>
  <c r="X37" i="41"/>
  <c r="W37" i="41"/>
  <c r="V37" i="41"/>
  <c r="U37" i="41"/>
  <c r="T37" i="41"/>
  <c r="S37" i="41"/>
  <c r="R37" i="41"/>
  <c r="Q37" i="41"/>
  <c r="P37" i="41"/>
  <c r="O37" i="41"/>
  <c r="N37" i="41"/>
  <c r="M37" i="41"/>
  <c r="L37" i="41"/>
  <c r="K37" i="41"/>
  <c r="J37" i="41"/>
  <c r="AX33" i="41"/>
  <c r="AW33" i="41"/>
  <c r="AV33" i="41"/>
  <c r="AU33" i="41"/>
  <c r="AT33" i="41"/>
  <c r="AS33" i="41"/>
  <c r="AR33" i="41"/>
  <c r="AQ33" i="41"/>
  <c r="AP33" i="41"/>
  <c r="AO33" i="41"/>
  <c r="AN33" i="41"/>
  <c r="AM33" i="41"/>
  <c r="AL33" i="41"/>
  <c r="AK33" i="41"/>
  <c r="AJ33" i="41"/>
  <c r="AI33" i="41"/>
  <c r="AH33" i="41"/>
  <c r="AG33" i="41"/>
  <c r="AF33" i="41"/>
  <c r="AE33" i="41"/>
  <c r="AD33" i="41"/>
  <c r="AC33" i="41"/>
  <c r="AB33" i="41"/>
  <c r="AA33" i="41"/>
  <c r="Z33" i="41"/>
  <c r="Y33" i="41"/>
  <c r="X33" i="41"/>
  <c r="W33" i="41"/>
  <c r="V33" i="41"/>
  <c r="U33" i="41"/>
  <c r="T33" i="41"/>
  <c r="S33" i="41"/>
  <c r="R33" i="41"/>
  <c r="Q33" i="41"/>
  <c r="P33" i="41"/>
  <c r="O33" i="41"/>
  <c r="N33" i="41"/>
  <c r="M33" i="41"/>
  <c r="L33" i="41"/>
  <c r="K33" i="41"/>
  <c r="J33" i="41"/>
  <c r="AX34" i="41"/>
  <c r="AW34" i="41"/>
  <c r="AV34" i="41"/>
  <c r="AU34" i="41"/>
  <c r="AT34" i="41"/>
  <c r="AS34" i="41"/>
  <c r="AR34" i="41"/>
  <c r="AQ34" i="41"/>
  <c r="AP34" i="41"/>
  <c r="AO34" i="41"/>
  <c r="AN34" i="41"/>
  <c r="AM34" i="41"/>
  <c r="AL34" i="41"/>
  <c r="AK34" i="41"/>
  <c r="AJ34" i="41"/>
  <c r="AI34" i="41"/>
  <c r="AH34" i="41"/>
  <c r="AG34" i="41"/>
  <c r="AF34" i="41"/>
  <c r="AE34" i="41"/>
  <c r="AD34" i="41"/>
  <c r="AC34" i="41"/>
  <c r="AB34" i="41"/>
  <c r="AA34" i="41"/>
  <c r="Z34" i="41"/>
  <c r="Y34" i="41"/>
  <c r="X34" i="41"/>
  <c r="W34" i="41"/>
  <c r="V34" i="41"/>
  <c r="U34" i="41"/>
  <c r="T34" i="41"/>
  <c r="S34" i="41"/>
  <c r="R34" i="41"/>
  <c r="Q34" i="41"/>
  <c r="P34" i="41"/>
  <c r="O34" i="41"/>
  <c r="N34" i="41"/>
  <c r="M34" i="41"/>
  <c r="L34" i="41"/>
  <c r="K34" i="41"/>
  <c r="J34" i="41"/>
  <c r="AX35" i="41"/>
  <c r="AW35" i="41"/>
  <c r="AV35" i="41"/>
  <c r="AU35" i="41"/>
  <c r="AT35" i="41"/>
  <c r="AS35" i="41"/>
  <c r="AR35" i="41"/>
  <c r="AQ35" i="41"/>
  <c r="AP35" i="41"/>
  <c r="AO35" i="41"/>
  <c r="AN35" i="41"/>
  <c r="AM35" i="41"/>
  <c r="AL35" i="41"/>
  <c r="AK35" i="41"/>
  <c r="AJ35" i="41"/>
  <c r="AI35" i="41"/>
  <c r="AH35" i="41"/>
  <c r="AG35" i="41"/>
  <c r="AF35" i="41"/>
  <c r="AE35" i="41"/>
  <c r="AD35" i="41"/>
  <c r="AC35" i="41"/>
  <c r="AB35" i="41"/>
  <c r="AA35" i="41"/>
  <c r="Z35" i="41"/>
  <c r="Y35" i="41"/>
  <c r="X35" i="41"/>
  <c r="W35" i="41"/>
  <c r="V35" i="41"/>
  <c r="U35" i="41"/>
  <c r="T35" i="41"/>
  <c r="S35" i="41"/>
  <c r="R35" i="41"/>
  <c r="Q35" i="41"/>
  <c r="P35" i="41"/>
  <c r="O35" i="41"/>
  <c r="N35" i="41"/>
  <c r="M35" i="41"/>
  <c r="L35" i="41"/>
  <c r="K35" i="41"/>
  <c r="J35" i="41"/>
  <c r="AX32" i="41"/>
  <c r="AW32" i="41"/>
  <c r="AV32" i="41"/>
  <c r="AU32" i="41"/>
  <c r="AT32" i="41"/>
  <c r="AS32" i="41"/>
  <c r="AR32" i="41"/>
  <c r="AQ32" i="41"/>
  <c r="AP32" i="41"/>
  <c r="AO32" i="41"/>
  <c r="AN32" i="41"/>
  <c r="AM32" i="41"/>
  <c r="AL32" i="41"/>
  <c r="AK32" i="41"/>
  <c r="AJ32" i="41"/>
  <c r="AI32" i="41"/>
  <c r="AH32" i="41"/>
  <c r="AG32" i="41"/>
  <c r="AF32" i="41"/>
  <c r="AE32" i="41"/>
  <c r="AD32" i="41"/>
  <c r="AC32" i="41"/>
  <c r="AB32" i="41"/>
  <c r="AA32" i="41"/>
  <c r="Z32" i="41"/>
  <c r="Y32" i="41"/>
  <c r="X32" i="41"/>
  <c r="W32" i="41"/>
  <c r="V32" i="41"/>
  <c r="U32" i="41"/>
  <c r="T32" i="41"/>
  <c r="S32" i="41"/>
  <c r="R32" i="41"/>
  <c r="Q32" i="41"/>
  <c r="P32" i="41"/>
  <c r="O32" i="41"/>
  <c r="N32" i="41"/>
  <c r="M32" i="41"/>
  <c r="L32" i="41"/>
  <c r="K32" i="41"/>
  <c r="J32" i="41"/>
  <c r="AX41" i="41"/>
  <c r="AW41" i="41"/>
  <c r="AV41" i="41"/>
  <c r="AU41" i="41"/>
  <c r="AT41" i="41"/>
  <c r="AS41" i="41"/>
  <c r="AR41" i="41"/>
  <c r="AQ41" i="41"/>
  <c r="AP41" i="41"/>
  <c r="AO41" i="41"/>
  <c r="AN41" i="41"/>
  <c r="AM41" i="41"/>
  <c r="AL41" i="41"/>
  <c r="AK41" i="41"/>
  <c r="AJ41" i="41"/>
  <c r="AI41" i="41"/>
  <c r="AH41" i="41"/>
  <c r="AG41" i="41"/>
  <c r="AF41" i="41"/>
  <c r="AE41" i="41"/>
  <c r="AD41" i="41"/>
  <c r="AC41" i="41"/>
  <c r="AB41" i="41"/>
  <c r="AA41" i="41"/>
  <c r="Z41" i="41"/>
  <c r="Y41" i="41"/>
  <c r="X41" i="41"/>
  <c r="W41" i="41"/>
  <c r="V41" i="41"/>
  <c r="U41" i="41"/>
  <c r="T41" i="41"/>
  <c r="S41" i="41"/>
  <c r="R41" i="41"/>
  <c r="Q41" i="41"/>
  <c r="P41" i="41"/>
  <c r="O41" i="41"/>
  <c r="N41" i="41"/>
  <c r="M41" i="41"/>
  <c r="L41" i="41"/>
  <c r="K41" i="41"/>
  <c r="J41" i="41"/>
  <c r="AX30" i="41"/>
  <c r="AW30" i="41"/>
  <c r="AV30" i="41"/>
  <c r="AU30" i="41"/>
  <c r="AT30" i="41"/>
  <c r="AS30" i="41"/>
  <c r="AR30" i="41"/>
  <c r="AQ30" i="41"/>
  <c r="AP30" i="41"/>
  <c r="AO30" i="41"/>
  <c r="AN30" i="41"/>
  <c r="AM30" i="41"/>
  <c r="AL30" i="41"/>
  <c r="AK30" i="41"/>
  <c r="AJ30" i="41"/>
  <c r="AI30" i="41"/>
  <c r="AH30" i="41"/>
  <c r="AG30" i="41"/>
  <c r="AF30" i="41"/>
  <c r="AE30" i="41"/>
  <c r="AD30" i="41"/>
  <c r="AC30" i="41"/>
  <c r="AB30" i="41"/>
  <c r="AA30" i="41"/>
  <c r="Z30" i="41"/>
  <c r="Y30" i="41"/>
  <c r="X30" i="41"/>
  <c r="W30" i="41"/>
  <c r="V30" i="41"/>
  <c r="U30" i="41"/>
  <c r="T30" i="41"/>
  <c r="S30" i="41"/>
  <c r="R30" i="41"/>
  <c r="Q30" i="41"/>
  <c r="P30" i="41"/>
  <c r="O30" i="41"/>
  <c r="N30" i="41"/>
  <c r="M30" i="41"/>
  <c r="L30" i="41"/>
  <c r="K30" i="41"/>
  <c r="J30" i="41"/>
  <c r="AX31" i="41"/>
  <c r="AW31" i="41"/>
  <c r="AV31" i="41"/>
  <c r="AU31" i="41"/>
  <c r="AT31" i="41"/>
  <c r="AS31" i="41"/>
  <c r="AR31" i="41"/>
  <c r="AQ31" i="41"/>
  <c r="AP31" i="41"/>
  <c r="AO31" i="41"/>
  <c r="AN31" i="41"/>
  <c r="AM31" i="41"/>
  <c r="AL31" i="41"/>
  <c r="AK31" i="41"/>
  <c r="AJ31" i="41"/>
  <c r="AI31" i="41"/>
  <c r="AH31" i="41"/>
  <c r="AG31" i="41"/>
  <c r="AF31" i="41"/>
  <c r="AE31" i="41"/>
  <c r="AD31" i="41"/>
  <c r="AC31" i="41"/>
  <c r="AB31" i="41"/>
  <c r="AA31" i="41"/>
  <c r="Z31" i="41"/>
  <c r="Y31" i="41"/>
  <c r="X31" i="41"/>
  <c r="W31" i="41"/>
  <c r="V31" i="41"/>
  <c r="U31" i="41"/>
  <c r="T31" i="41"/>
  <c r="S31" i="41"/>
  <c r="R31" i="41"/>
  <c r="Q31" i="41"/>
  <c r="P31" i="41"/>
  <c r="O31" i="41"/>
  <c r="N31" i="41"/>
  <c r="M31" i="41"/>
  <c r="L31" i="41"/>
  <c r="K31" i="41"/>
  <c r="J31" i="41"/>
  <c r="AX29" i="41"/>
  <c r="AW29" i="41"/>
  <c r="AV29" i="41"/>
  <c r="AU29" i="41"/>
  <c r="AT29" i="41"/>
  <c r="AS29" i="41"/>
  <c r="AR29" i="41"/>
  <c r="AQ29" i="41"/>
  <c r="AP29" i="41"/>
  <c r="AO29" i="41"/>
  <c r="AN29" i="41"/>
  <c r="AM29" i="41"/>
  <c r="AL29" i="41"/>
  <c r="AK29" i="41"/>
  <c r="AJ29" i="41"/>
  <c r="AI29" i="41"/>
  <c r="AH29" i="41"/>
  <c r="AG29" i="41"/>
  <c r="AF29" i="41"/>
  <c r="AE29" i="41"/>
  <c r="AD29" i="41"/>
  <c r="AC29" i="41"/>
  <c r="AB29" i="41"/>
  <c r="AA29" i="41"/>
  <c r="Z29" i="41"/>
  <c r="Y29" i="41"/>
  <c r="X29" i="41"/>
  <c r="W29" i="41"/>
  <c r="V29" i="41"/>
  <c r="U29" i="41"/>
  <c r="T29" i="41"/>
  <c r="S29" i="41"/>
  <c r="R29" i="41"/>
  <c r="Q29" i="41"/>
  <c r="P29" i="41"/>
  <c r="O29" i="41"/>
  <c r="N29" i="41"/>
  <c r="M29" i="41"/>
  <c r="L29" i="41"/>
  <c r="K29" i="41"/>
  <c r="J29" i="41"/>
  <c r="AX28" i="41"/>
  <c r="AW28" i="41"/>
  <c r="AV28" i="41"/>
  <c r="AU28" i="41"/>
  <c r="AT28" i="41"/>
  <c r="AS28" i="41"/>
  <c r="AR28" i="41"/>
  <c r="AQ28" i="41"/>
  <c r="AP28" i="41"/>
  <c r="AO28" i="41"/>
  <c r="AN28" i="41"/>
  <c r="AM28" i="41"/>
  <c r="AL28" i="41"/>
  <c r="AK28" i="41"/>
  <c r="AJ28" i="41"/>
  <c r="AI28" i="41"/>
  <c r="AH28" i="41"/>
  <c r="AG28" i="41"/>
  <c r="AF28" i="41"/>
  <c r="AE28" i="41"/>
  <c r="AD28" i="41"/>
  <c r="AC28" i="41"/>
  <c r="AB28" i="41"/>
  <c r="AA28" i="41"/>
  <c r="Z28" i="41"/>
  <c r="Y28" i="41"/>
  <c r="X28" i="41"/>
  <c r="W28" i="41"/>
  <c r="V28" i="41"/>
  <c r="U28" i="41"/>
  <c r="T28" i="41"/>
  <c r="S28" i="41"/>
  <c r="R28" i="41"/>
  <c r="Q28" i="41"/>
  <c r="P28" i="41"/>
  <c r="O28" i="41"/>
  <c r="N28" i="41"/>
  <c r="M28" i="41"/>
  <c r="L28" i="41"/>
  <c r="K28" i="41"/>
  <c r="J28" i="41"/>
  <c r="AX27" i="41"/>
  <c r="AW27" i="41"/>
  <c r="AV27" i="41"/>
  <c r="AU27" i="41"/>
  <c r="AT27" i="41"/>
  <c r="AS27" i="41"/>
  <c r="AR27" i="41"/>
  <c r="AQ27" i="41"/>
  <c r="AP27" i="41"/>
  <c r="AO27" i="41"/>
  <c r="AN27" i="41"/>
  <c r="AM27" i="41"/>
  <c r="AL27" i="41"/>
  <c r="AK27" i="41"/>
  <c r="AJ27" i="41"/>
  <c r="AI27" i="41"/>
  <c r="AH27" i="41"/>
  <c r="AG27" i="41"/>
  <c r="AF27" i="41"/>
  <c r="AE27" i="41"/>
  <c r="AD27" i="41"/>
  <c r="AC27" i="41"/>
  <c r="AB27" i="41"/>
  <c r="AA27" i="41"/>
  <c r="Z27" i="41"/>
  <c r="Y27" i="41"/>
  <c r="X27" i="41"/>
  <c r="W27" i="41"/>
  <c r="V27" i="41"/>
  <c r="U27" i="41"/>
  <c r="T27" i="41"/>
  <c r="S27" i="41"/>
  <c r="R27" i="41"/>
  <c r="Q27" i="41"/>
  <c r="P27" i="41"/>
  <c r="O27" i="41"/>
  <c r="N27" i="41"/>
  <c r="M27" i="41"/>
  <c r="L27" i="41"/>
  <c r="K27" i="41"/>
  <c r="J27" i="41"/>
  <c r="AX26" i="41"/>
  <c r="AW26" i="41"/>
  <c r="AV26" i="41"/>
  <c r="AU26" i="41"/>
  <c r="AT26" i="41"/>
  <c r="AS26" i="41"/>
  <c r="AR26" i="41"/>
  <c r="AQ26" i="41"/>
  <c r="AP26" i="41"/>
  <c r="AO26" i="41"/>
  <c r="AN26" i="41"/>
  <c r="AM26" i="41"/>
  <c r="AL26" i="41"/>
  <c r="AK26" i="41"/>
  <c r="AJ26" i="41"/>
  <c r="AI26" i="41"/>
  <c r="AH26" i="41"/>
  <c r="AG26" i="41"/>
  <c r="AF26" i="41"/>
  <c r="AE26" i="41"/>
  <c r="AD26" i="41"/>
  <c r="AC26" i="41"/>
  <c r="AB26" i="41"/>
  <c r="AA26" i="41"/>
  <c r="Z26" i="41"/>
  <c r="Y26" i="41"/>
  <c r="X26" i="41"/>
  <c r="W26" i="41"/>
  <c r="V26" i="41"/>
  <c r="U26" i="41"/>
  <c r="T26" i="41"/>
  <c r="S26" i="41"/>
  <c r="R26" i="41"/>
  <c r="Q26" i="41"/>
  <c r="P26" i="41"/>
  <c r="O26" i="41"/>
  <c r="N26" i="41"/>
  <c r="M26" i="41"/>
  <c r="L26" i="41"/>
  <c r="K26" i="41"/>
  <c r="J26" i="41"/>
  <c r="AX25" i="41"/>
  <c r="AW25" i="41"/>
  <c r="AV25" i="41"/>
  <c r="AU25" i="41"/>
  <c r="AT25" i="41"/>
  <c r="AS25" i="41"/>
  <c r="AR25" i="41"/>
  <c r="AQ25" i="41"/>
  <c r="AP25" i="41"/>
  <c r="AO25" i="41"/>
  <c r="AN25" i="41"/>
  <c r="AM25" i="41"/>
  <c r="AL25" i="41"/>
  <c r="AK25" i="41"/>
  <c r="AJ25" i="41"/>
  <c r="AI25" i="41"/>
  <c r="AH25" i="41"/>
  <c r="AG25" i="41"/>
  <c r="AF25" i="41"/>
  <c r="AE25" i="41"/>
  <c r="AD25" i="41"/>
  <c r="AC25" i="41"/>
  <c r="AB25" i="41"/>
  <c r="AA25" i="41"/>
  <c r="Z25" i="41"/>
  <c r="Y25" i="41"/>
  <c r="X25" i="41"/>
  <c r="W25" i="41"/>
  <c r="V25" i="41"/>
  <c r="U25" i="41"/>
  <c r="T25" i="41"/>
  <c r="S25" i="41"/>
  <c r="R25" i="41"/>
  <c r="Q25" i="41"/>
  <c r="P25" i="41"/>
  <c r="O25" i="41"/>
  <c r="N25" i="41"/>
  <c r="M25" i="41"/>
  <c r="L25" i="41"/>
  <c r="K25" i="41"/>
  <c r="J25" i="41"/>
  <c r="AX24" i="41"/>
  <c r="AW24" i="41"/>
  <c r="AV24" i="41"/>
  <c r="AU24" i="41"/>
  <c r="AT24" i="41"/>
  <c r="AS24" i="41"/>
  <c r="AR24" i="41"/>
  <c r="AQ24" i="41"/>
  <c r="AP24" i="41"/>
  <c r="AO24" i="41"/>
  <c r="AN24" i="41"/>
  <c r="AM24" i="41"/>
  <c r="AL24" i="41"/>
  <c r="AK24" i="41"/>
  <c r="AJ24" i="41"/>
  <c r="AI24" i="41"/>
  <c r="AH24" i="41"/>
  <c r="AG24" i="41"/>
  <c r="AF24" i="41"/>
  <c r="AE24" i="41"/>
  <c r="AD24" i="41"/>
  <c r="AC24" i="41"/>
  <c r="AB24" i="41"/>
  <c r="AA24" i="41"/>
  <c r="Z24" i="41"/>
  <c r="Y24" i="41"/>
  <c r="X24" i="41"/>
  <c r="W24" i="41"/>
  <c r="V24" i="41"/>
  <c r="U24" i="41"/>
  <c r="T24" i="41"/>
  <c r="S24" i="41"/>
  <c r="R24" i="41"/>
  <c r="Q24" i="41"/>
  <c r="P24" i="41"/>
  <c r="O24" i="41"/>
  <c r="N24" i="41"/>
  <c r="M24" i="41"/>
  <c r="L24" i="41"/>
  <c r="K24" i="41"/>
  <c r="J24" i="41"/>
  <c r="AX23" i="41"/>
  <c r="AW23" i="41"/>
  <c r="AV23" i="41"/>
  <c r="AU23" i="41"/>
  <c r="AT23" i="41"/>
  <c r="AS23" i="41"/>
  <c r="AR23" i="41"/>
  <c r="AQ23" i="41"/>
  <c r="AP23" i="41"/>
  <c r="AO23" i="41"/>
  <c r="AN23" i="41"/>
  <c r="AM23" i="41"/>
  <c r="AL23" i="41"/>
  <c r="AK23" i="41"/>
  <c r="AJ23" i="41"/>
  <c r="AI23" i="41"/>
  <c r="AH23" i="41"/>
  <c r="AG23" i="41"/>
  <c r="AF23" i="41"/>
  <c r="AE23" i="41"/>
  <c r="AD23" i="41"/>
  <c r="AC23" i="41"/>
  <c r="AB23" i="41"/>
  <c r="AA23" i="41"/>
  <c r="Z23" i="41"/>
  <c r="Y23" i="41"/>
  <c r="X23" i="41"/>
  <c r="W23" i="41"/>
  <c r="V23" i="41"/>
  <c r="U23" i="41"/>
  <c r="T23" i="41"/>
  <c r="S23" i="41"/>
  <c r="R23" i="41"/>
  <c r="Q23" i="41"/>
  <c r="P23" i="41"/>
  <c r="O23" i="41"/>
  <c r="N23" i="41"/>
  <c r="M23" i="41"/>
  <c r="L23" i="41"/>
  <c r="K23" i="41"/>
  <c r="J23" i="41"/>
  <c r="AX22" i="41"/>
  <c r="AW22" i="41"/>
  <c r="AV22" i="41"/>
  <c r="AU22" i="41"/>
  <c r="AT22" i="41"/>
  <c r="AS22" i="41"/>
  <c r="AR22" i="41"/>
  <c r="AQ22" i="41"/>
  <c r="AP22" i="41"/>
  <c r="AO22" i="41"/>
  <c r="AN22" i="41"/>
  <c r="AM22" i="41"/>
  <c r="AL22" i="41"/>
  <c r="AK22" i="41"/>
  <c r="AJ22" i="41"/>
  <c r="AI22" i="41"/>
  <c r="AH22" i="41"/>
  <c r="AG22" i="41"/>
  <c r="AF22" i="41"/>
  <c r="AE22" i="41"/>
  <c r="AD22" i="41"/>
  <c r="AC22" i="41"/>
  <c r="AB22" i="41"/>
  <c r="AA22" i="41"/>
  <c r="Z22" i="41"/>
  <c r="Y22" i="41"/>
  <c r="X22" i="41"/>
  <c r="W22" i="41"/>
  <c r="V22" i="41"/>
  <c r="U22" i="41"/>
  <c r="T22" i="41"/>
  <c r="S22" i="41"/>
  <c r="R22" i="41"/>
  <c r="Q22" i="41"/>
  <c r="P22" i="41"/>
  <c r="O22" i="41"/>
  <c r="N22" i="41"/>
  <c r="M22" i="41"/>
  <c r="L22" i="41"/>
  <c r="K22" i="41"/>
  <c r="J22" i="41"/>
  <c r="AX21" i="41"/>
  <c r="AW21" i="41"/>
  <c r="AV21" i="41"/>
  <c r="AU21" i="41"/>
  <c r="AT21" i="41"/>
  <c r="AS21" i="41"/>
  <c r="AR21" i="41"/>
  <c r="AQ21" i="41"/>
  <c r="AP21" i="41"/>
  <c r="AO21" i="41"/>
  <c r="AN21" i="41"/>
  <c r="AM21" i="41"/>
  <c r="AL21" i="41"/>
  <c r="AK21" i="41"/>
  <c r="AJ21" i="41"/>
  <c r="AI21" i="41"/>
  <c r="AH21" i="41"/>
  <c r="AG21" i="41"/>
  <c r="AF21" i="41"/>
  <c r="AE21" i="41"/>
  <c r="AD21" i="41"/>
  <c r="AC21" i="41"/>
  <c r="AB21" i="41"/>
  <c r="AA21" i="41"/>
  <c r="Z21" i="41"/>
  <c r="Y21" i="41"/>
  <c r="X21" i="41"/>
  <c r="W21" i="41"/>
  <c r="V21" i="41"/>
  <c r="U21" i="41"/>
  <c r="T21" i="41"/>
  <c r="S21" i="41"/>
  <c r="R21" i="41"/>
  <c r="Q21" i="41"/>
  <c r="P21" i="41"/>
  <c r="O21" i="41"/>
  <c r="N21" i="41"/>
  <c r="M21" i="41"/>
  <c r="L21" i="41"/>
  <c r="K21" i="41"/>
  <c r="J21" i="41"/>
  <c r="AX20" i="41"/>
  <c r="AW20" i="41"/>
  <c r="AV20" i="41"/>
  <c r="AU20" i="41"/>
  <c r="AT20" i="41"/>
  <c r="AS20" i="41"/>
  <c r="AR20" i="41"/>
  <c r="AQ20" i="41"/>
  <c r="AP20" i="41"/>
  <c r="AO20" i="41"/>
  <c r="AN20" i="41"/>
  <c r="AM20" i="41"/>
  <c r="AL20" i="41"/>
  <c r="AK20" i="41"/>
  <c r="AJ20" i="41"/>
  <c r="AI20" i="41"/>
  <c r="AH20" i="41"/>
  <c r="AG20" i="41"/>
  <c r="AF20" i="41"/>
  <c r="AE20" i="41"/>
  <c r="AD20" i="41"/>
  <c r="AC20" i="41"/>
  <c r="AB20" i="41"/>
  <c r="AA20" i="41"/>
  <c r="Z20" i="41"/>
  <c r="Y20" i="41"/>
  <c r="X20" i="41"/>
  <c r="W20" i="41"/>
  <c r="V20" i="41"/>
  <c r="U20" i="41"/>
  <c r="T20" i="41"/>
  <c r="S20" i="41"/>
  <c r="R20" i="41"/>
  <c r="Q20" i="41"/>
  <c r="P20" i="41"/>
  <c r="O20" i="41"/>
  <c r="N20" i="41"/>
  <c r="M20" i="41"/>
  <c r="L20" i="41"/>
  <c r="K20" i="41"/>
  <c r="J20" i="41"/>
  <c r="AX19" i="41"/>
  <c r="AW19" i="41"/>
  <c r="AV19" i="41"/>
  <c r="AU19" i="41"/>
  <c r="AT19" i="41"/>
  <c r="AS19" i="41"/>
  <c r="AR19" i="41"/>
  <c r="AQ19" i="41"/>
  <c r="AP19" i="41"/>
  <c r="AO19" i="41"/>
  <c r="AN19" i="41"/>
  <c r="AM19" i="41"/>
  <c r="AL19" i="41"/>
  <c r="AK19" i="41"/>
  <c r="AJ19" i="41"/>
  <c r="AI19" i="41"/>
  <c r="AH19" i="41"/>
  <c r="AG19" i="41"/>
  <c r="AF19" i="41"/>
  <c r="AE19" i="41"/>
  <c r="AD19" i="41"/>
  <c r="AC19" i="41"/>
  <c r="AB19" i="41"/>
  <c r="AA19" i="41"/>
  <c r="Z19" i="41"/>
  <c r="Y19" i="41"/>
  <c r="X19" i="41"/>
  <c r="W19" i="41"/>
  <c r="V19" i="41"/>
  <c r="U19" i="41"/>
  <c r="T19" i="41"/>
  <c r="S19" i="41"/>
  <c r="R19" i="41"/>
  <c r="Q19" i="41"/>
  <c r="P19" i="41"/>
  <c r="O19" i="41"/>
  <c r="N19" i="41"/>
  <c r="M19" i="41"/>
  <c r="L19" i="41"/>
  <c r="K19" i="41"/>
  <c r="J19" i="41"/>
  <c r="AX18" i="41"/>
  <c r="AW18" i="41"/>
  <c r="AV18" i="41"/>
  <c r="AU18" i="41"/>
  <c r="AT18" i="41"/>
  <c r="AS18" i="41"/>
  <c r="AR18" i="41"/>
  <c r="AQ18" i="41"/>
  <c r="AP18" i="41"/>
  <c r="AO18" i="41"/>
  <c r="AN18" i="41"/>
  <c r="AM18" i="41"/>
  <c r="AL18" i="41"/>
  <c r="AK18" i="41"/>
  <c r="AJ18" i="41"/>
  <c r="AI18" i="41"/>
  <c r="AH18" i="41"/>
  <c r="AG18" i="41"/>
  <c r="AF18" i="41"/>
  <c r="AE18" i="41"/>
  <c r="AD18" i="41"/>
  <c r="AC18" i="41"/>
  <c r="AB18" i="41"/>
  <c r="AA18" i="41"/>
  <c r="Z18" i="41"/>
  <c r="Y18" i="41"/>
  <c r="X18" i="41"/>
  <c r="W18" i="41"/>
  <c r="V18" i="41"/>
  <c r="U18" i="41"/>
  <c r="T18" i="41"/>
  <c r="S18" i="41"/>
  <c r="R18" i="41"/>
  <c r="Q18" i="41"/>
  <c r="P18" i="41"/>
  <c r="O18" i="41"/>
  <c r="N18" i="41"/>
  <c r="M18" i="41"/>
  <c r="L18" i="41"/>
  <c r="K18" i="41"/>
  <c r="J18" i="41"/>
  <c r="AX17" i="41"/>
  <c r="AW17" i="41"/>
  <c r="AV17" i="41"/>
  <c r="AU17" i="41"/>
  <c r="AT17" i="41"/>
  <c r="AS17" i="41"/>
  <c r="AR17" i="41"/>
  <c r="AQ17" i="41"/>
  <c r="AP17" i="41"/>
  <c r="AO17" i="41"/>
  <c r="AN17" i="41"/>
  <c r="AM17" i="41"/>
  <c r="AL17" i="41"/>
  <c r="AK17" i="41"/>
  <c r="AJ17" i="41"/>
  <c r="AI17" i="41"/>
  <c r="AH17" i="41"/>
  <c r="AG17" i="41"/>
  <c r="AF17" i="41"/>
  <c r="AE17" i="41"/>
  <c r="AD17" i="41"/>
  <c r="AC17" i="41"/>
  <c r="AB17" i="41"/>
  <c r="AA17" i="41"/>
  <c r="Z17" i="41"/>
  <c r="Y17" i="41"/>
  <c r="X17" i="41"/>
  <c r="W17" i="41"/>
  <c r="V17" i="41"/>
  <c r="U17" i="41"/>
  <c r="T17" i="41"/>
  <c r="S17" i="41"/>
  <c r="R17" i="41"/>
  <c r="Q17" i="41"/>
  <c r="P17" i="41"/>
  <c r="O17" i="41"/>
  <c r="N17" i="41"/>
  <c r="M17" i="41"/>
  <c r="L17" i="41"/>
  <c r="K17" i="41"/>
  <c r="J17" i="41"/>
  <c r="AX16" i="41"/>
  <c r="AW16" i="41"/>
  <c r="AV16" i="41"/>
  <c r="AU16" i="41"/>
  <c r="AT16" i="41"/>
  <c r="AS16" i="41"/>
  <c r="AR16" i="41"/>
  <c r="AQ16" i="41"/>
  <c r="AP16" i="41"/>
  <c r="AO16" i="41"/>
  <c r="AN16" i="41"/>
  <c r="AM16" i="41"/>
  <c r="AL16" i="41"/>
  <c r="AK16" i="41"/>
  <c r="AJ16" i="41"/>
  <c r="AI16" i="41"/>
  <c r="AH16" i="41"/>
  <c r="AG16" i="41"/>
  <c r="AF16" i="41"/>
  <c r="AE16" i="41"/>
  <c r="AD16" i="41"/>
  <c r="AC16" i="41"/>
  <c r="AB16" i="41"/>
  <c r="AA16" i="41"/>
  <c r="Z16" i="41"/>
  <c r="Y16" i="41"/>
  <c r="X16" i="41"/>
  <c r="W16" i="41"/>
  <c r="V16" i="41"/>
  <c r="U16" i="41"/>
  <c r="T16" i="41"/>
  <c r="S16" i="41"/>
  <c r="R16" i="41"/>
  <c r="Q16" i="41"/>
  <c r="P16" i="41"/>
  <c r="O16" i="41"/>
  <c r="N16" i="41"/>
  <c r="M16" i="41"/>
  <c r="L16" i="41"/>
  <c r="K16" i="41"/>
  <c r="J16" i="41"/>
  <c r="AX15" i="41"/>
  <c r="AW15" i="41"/>
  <c r="AV15" i="41"/>
  <c r="AU15" i="41"/>
  <c r="AT15" i="41"/>
  <c r="AS15" i="41"/>
  <c r="AR15" i="41"/>
  <c r="AQ15" i="41"/>
  <c r="AP15" i="41"/>
  <c r="AO15" i="41"/>
  <c r="AN15" i="41"/>
  <c r="AM15" i="41"/>
  <c r="AL15" i="41"/>
  <c r="AK15" i="41"/>
  <c r="AJ15" i="41"/>
  <c r="AI15" i="41"/>
  <c r="AH15" i="41"/>
  <c r="AG15" i="41"/>
  <c r="AF15" i="41"/>
  <c r="AE15" i="41"/>
  <c r="AD15" i="41"/>
  <c r="AC15" i="41"/>
  <c r="AB15" i="41"/>
  <c r="AA15" i="41"/>
  <c r="Z15" i="41"/>
  <c r="Y15" i="41"/>
  <c r="X15" i="41"/>
  <c r="W15" i="41"/>
  <c r="V15" i="41"/>
  <c r="U15" i="41"/>
  <c r="T15" i="41"/>
  <c r="S15" i="41"/>
  <c r="R15" i="41"/>
  <c r="Q15" i="41"/>
  <c r="P15" i="41"/>
  <c r="O15" i="41"/>
  <c r="N15" i="41"/>
  <c r="M15" i="41"/>
  <c r="L15" i="41"/>
  <c r="K15" i="41"/>
  <c r="J15" i="41"/>
  <c r="AX14" i="41"/>
  <c r="AW14" i="41"/>
  <c r="AV14" i="41"/>
  <c r="AU14" i="41"/>
  <c r="AT14" i="41"/>
  <c r="AS14" i="41"/>
  <c r="AR14" i="41"/>
  <c r="AQ14" i="41"/>
  <c r="AP14" i="41"/>
  <c r="AO14" i="41"/>
  <c r="AN14" i="41"/>
  <c r="AM14" i="41"/>
  <c r="AL14" i="41"/>
  <c r="AK14" i="41"/>
  <c r="AJ14" i="41"/>
  <c r="AI14" i="41"/>
  <c r="AH14" i="41"/>
  <c r="AG14" i="41"/>
  <c r="AF14" i="41"/>
  <c r="AE14" i="41"/>
  <c r="AD14" i="41"/>
  <c r="AC14" i="41"/>
  <c r="AB14" i="41"/>
  <c r="AA14" i="41"/>
  <c r="Z14" i="41"/>
  <c r="Y14" i="41"/>
  <c r="X14" i="41"/>
  <c r="W14" i="41"/>
  <c r="V14" i="41"/>
  <c r="U14" i="41"/>
  <c r="T14" i="41"/>
  <c r="S14" i="41"/>
  <c r="R14" i="41"/>
  <c r="Q14" i="41"/>
  <c r="P14" i="41"/>
  <c r="O14" i="41"/>
  <c r="N14" i="41"/>
  <c r="M14" i="41"/>
  <c r="L14" i="41"/>
  <c r="K14" i="41"/>
  <c r="J14" i="41"/>
  <c r="AX13" i="41"/>
  <c r="AW13" i="41"/>
  <c r="AV13" i="41"/>
  <c r="AU13" i="41"/>
  <c r="AT13" i="41"/>
  <c r="AS13" i="41"/>
  <c r="AR13" i="41"/>
  <c r="AQ13" i="41"/>
  <c r="AP13" i="41"/>
  <c r="AO13" i="41"/>
  <c r="AN13" i="41"/>
  <c r="AM13" i="41"/>
  <c r="AL13" i="41"/>
  <c r="AK13" i="41"/>
  <c r="AJ13" i="41"/>
  <c r="AI13" i="41"/>
  <c r="AH13" i="41"/>
  <c r="AG13" i="41"/>
  <c r="AF13" i="41"/>
  <c r="AE13" i="41"/>
  <c r="AD13" i="41"/>
  <c r="AC13" i="41"/>
  <c r="AB13" i="41"/>
  <c r="AA13" i="41"/>
  <c r="Z13" i="41"/>
  <c r="Y13" i="41"/>
  <c r="X13" i="41"/>
  <c r="W13" i="41"/>
  <c r="V13" i="41"/>
  <c r="U13" i="41"/>
  <c r="T13" i="41"/>
  <c r="S13" i="41"/>
  <c r="R13" i="41"/>
  <c r="Q13" i="41"/>
  <c r="P13" i="41"/>
  <c r="O13" i="41"/>
  <c r="N13" i="41"/>
  <c r="M13" i="41"/>
  <c r="L13" i="41"/>
  <c r="K13" i="41"/>
  <c r="J13" i="41"/>
  <c r="AX10" i="41"/>
  <c r="AW10" i="41"/>
  <c r="AV10" i="41"/>
  <c r="AU10" i="41"/>
  <c r="AT10" i="41"/>
  <c r="AS10" i="41"/>
  <c r="AR10" i="41"/>
  <c r="AQ10" i="41"/>
  <c r="AP10" i="41"/>
  <c r="AO10" i="41"/>
  <c r="AN10" i="41"/>
  <c r="AM10" i="41"/>
  <c r="AL10" i="41"/>
  <c r="AK10" i="41"/>
  <c r="AJ10" i="41"/>
  <c r="AI10" i="41"/>
  <c r="AH10" i="41"/>
  <c r="AG10" i="41"/>
  <c r="AF10" i="41"/>
  <c r="AE10" i="41"/>
  <c r="AD10" i="41"/>
  <c r="AC10" i="41"/>
  <c r="AB10" i="41"/>
  <c r="AA10" i="41"/>
  <c r="Z10" i="41"/>
  <c r="Y10" i="41"/>
  <c r="X10" i="41"/>
  <c r="W10" i="41"/>
  <c r="V10" i="41"/>
  <c r="U10" i="41"/>
  <c r="T10" i="41"/>
  <c r="S10" i="41"/>
  <c r="R10" i="41"/>
  <c r="Q10" i="41"/>
  <c r="P10" i="41"/>
  <c r="O10" i="41"/>
  <c r="N10" i="41"/>
  <c r="M10" i="41"/>
  <c r="L10" i="41"/>
  <c r="K10" i="41"/>
  <c r="J10" i="41"/>
  <c r="AX11" i="41"/>
  <c r="AW11" i="41"/>
  <c r="AV11" i="41"/>
  <c r="AU11" i="41"/>
  <c r="AT11" i="41"/>
  <c r="AS11" i="41"/>
  <c r="AR11" i="41"/>
  <c r="AQ11" i="41"/>
  <c r="AP11" i="41"/>
  <c r="AO11" i="41"/>
  <c r="AN11" i="41"/>
  <c r="AM11" i="41"/>
  <c r="AL11" i="41"/>
  <c r="AK11" i="41"/>
  <c r="AJ11" i="41"/>
  <c r="AI11" i="41"/>
  <c r="AH11" i="41"/>
  <c r="AG11" i="41"/>
  <c r="AF11" i="41"/>
  <c r="AE11" i="41"/>
  <c r="AD11" i="41"/>
  <c r="AC11" i="41"/>
  <c r="AB11" i="41"/>
  <c r="AA11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AX12" i="41"/>
  <c r="AW12" i="41"/>
  <c r="AV12" i="41"/>
  <c r="AU12" i="41"/>
  <c r="AT12" i="41"/>
  <c r="AS12" i="41"/>
  <c r="AR12" i="41"/>
  <c r="AQ12" i="41"/>
  <c r="AP12" i="41"/>
  <c r="AO12" i="41"/>
  <c r="AN12" i="41"/>
  <c r="AM12" i="41"/>
  <c r="AL12" i="41"/>
  <c r="AK12" i="41"/>
  <c r="AJ12" i="41"/>
  <c r="AI12" i="41"/>
  <c r="AH12" i="41"/>
  <c r="AG12" i="41"/>
  <c r="AF12" i="41"/>
  <c r="AE12" i="41"/>
  <c r="AD12" i="41"/>
  <c r="AC12" i="41"/>
  <c r="AB12" i="41"/>
  <c r="AA12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AX9" i="41"/>
  <c r="AW9" i="41"/>
  <c r="AV9" i="41"/>
  <c r="AU9" i="41"/>
  <c r="AT9" i="41"/>
  <c r="AS9" i="41"/>
  <c r="AR9" i="41"/>
  <c r="AQ9" i="41"/>
  <c r="AP9" i="41"/>
  <c r="AO9" i="41"/>
  <c r="AN9" i="41"/>
  <c r="AM9" i="41"/>
  <c r="AL9" i="41"/>
  <c r="AK9" i="41"/>
  <c r="AJ9" i="41"/>
  <c r="AI9" i="41"/>
  <c r="AH9" i="41"/>
  <c r="AG9" i="41"/>
  <c r="AF9" i="41"/>
  <c r="AE9" i="41"/>
  <c r="AD9" i="41"/>
  <c r="AC9" i="41"/>
  <c r="AB9" i="41"/>
  <c r="AA9" i="41"/>
  <c r="Z9" i="41"/>
  <c r="Y9" i="41"/>
  <c r="X9" i="41"/>
  <c r="W9" i="41"/>
  <c r="V9" i="41"/>
  <c r="U9" i="41"/>
  <c r="T9" i="41"/>
  <c r="S9" i="41"/>
  <c r="R9" i="41"/>
  <c r="Q9" i="41"/>
  <c r="P9" i="41"/>
  <c r="O9" i="41"/>
  <c r="N9" i="41"/>
  <c r="M9" i="41"/>
  <c r="L9" i="41"/>
  <c r="K9" i="41"/>
  <c r="J9" i="41"/>
  <c r="AX56" i="41"/>
  <c r="AX51" i="31"/>
  <c r="AW51" i="31"/>
  <c r="AV51" i="31"/>
  <c r="AU51" i="31"/>
  <c r="AT51" i="31"/>
  <c r="AS51" i="31"/>
  <c r="AR51" i="31"/>
  <c r="AQ51" i="31"/>
  <c r="AP51" i="31"/>
  <c r="AO51" i="31"/>
  <c r="AN51" i="31"/>
  <c r="AM51" i="31"/>
  <c r="AL51" i="31"/>
  <c r="AK51" i="31"/>
  <c r="AJ51" i="31"/>
  <c r="AI51" i="31"/>
  <c r="AH51" i="31"/>
  <c r="AG51" i="31"/>
  <c r="AF51" i="31"/>
  <c r="AE51" i="31"/>
  <c r="AD51" i="31"/>
  <c r="AC51" i="31"/>
  <c r="AB51" i="31"/>
  <c r="AA51" i="31"/>
  <c r="Z51" i="31"/>
  <c r="Y51" i="31"/>
  <c r="X51" i="31"/>
  <c r="W51" i="31"/>
  <c r="V51" i="31"/>
  <c r="U51" i="31"/>
  <c r="T51" i="31"/>
  <c r="S51" i="31"/>
  <c r="R51" i="31"/>
  <c r="Q51" i="31"/>
  <c r="P51" i="31"/>
  <c r="O51" i="31"/>
  <c r="N51" i="31"/>
  <c r="M51" i="31"/>
  <c r="L51" i="31"/>
  <c r="K51" i="31"/>
  <c r="J51" i="31"/>
  <c r="AX50" i="31"/>
  <c r="AW50" i="31"/>
  <c r="AV50" i="31"/>
  <c r="AU50" i="31"/>
  <c r="AT50" i="31"/>
  <c r="AS50" i="31"/>
  <c r="AR50" i="31"/>
  <c r="AQ50" i="31"/>
  <c r="AP50" i="31"/>
  <c r="AO50" i="31"/>
  <c r="AN50" i="31"/>
  <c r="AM50" i="31"/>
  <c r="AL50" i="31"/>
  <c r="AK50" i="31"/>
  <c r="AJ50" i="31"/>
  <c r="AI50" i="31"/>
  <c r="AH50" i="31"/>
  <c r="AG50" i="31"/>
  <c r="AF50" i="31"/>
  <c r="AE50" i="31"/>
  <c r="AD50" i="31"/>
  <c r="AC50" i="31"/>
  <c r="AB50" i="31"/>
  <c r="AA50" i="31"/>
  <c r="Z50" i="31"/>
  <c r="Y50" i="31"/>
  <c r="X50" i="31"/>
  <c r="W50" i="31"/>
  <c r="V50" i="31"/>
  <c r="U50" i="31"/>
  <c r="T50" i="31"/>
  <c r="S50" i="31"/>
  <c r="R50" i="31"/>
  <c r="Q50" i="31"/>
  <c r="P50" i="31"/>
  <c r="O50" i="31"/>
  <c r="N50" i="31"/>
  <c r="M50" i="31"/>
  <c r="L50" i="31"/>
  <c r="K50" i="31"/>
  <c r="J50" i="31"/>
  <c r="AX49" i="31"/>
  <c r="AW49" i="31"/>
  <c r="AV49" i="31"/>
  <c r="AU49" i="31"/>
  <c r="AT49" i="31"/>
  <c r="AS49" i="31"/>
  <c r="AR49" i="31"/>
  <c r="AQ49" i="31"/>
  <c r="AP49" i="31"/>
  <c r="AO49" i="31"/>
  <c r="AN49" i="31"/>
  <c r="AM49" i="31"/>
  <c r="AL49" i="31"/>
  <c r="AK49" i="31"/>
  <c r="AJ49" i="31"/>
  <c r="AI49" i="31"/>
  <c r="AH49" i="31"/>
  <c r="AG49" i="31"/>
  <c r="AF49" i="31"/>
  <c r="AE49" i="31"/>
  <c r="AD49" i="31"/>
  <c r="AC49" i="31"/>
  <c r="AB49" i="31"/>
  <c r="AA49" i="31"/>
  <c r="Z49" i="31"/>
  <c r="Y49" i="31"/>
  <c r="X49" i="31"/>
  <c r="W49" i="31"/>
  <c r="V49" i="31"/>
  <c r="U49" i="31"/>
  <c r="T49" i="31"/>
  <c r="S49" i="31"/>
  <c r="R49" i="31"/>
  <c r="Q49" i="31"/>
  <c r="P49" i="31"/>
  <c r="O49" i="31"/>
  <c r="N49" i="31"/>
  <c r="M49" i="31"/>
  <c r="L49" i="31"/>
  <c r="K49" i="31"/>
  <c r="J49" i="31"/>
  <c r="AX48" i="31"/>
  <c r="AW48" i="31"/>
  <c r="AV48" i="31"/>
  <c r="AU48" i="31"/>
  <c r="AT48" i="31"/>
  <c r="AS48" i="31"/>
  <c r="AR48" i="31"/>
  <c r="AQ48" i="31"/>
  <c r="AP48" i="31"/>
  <c r="AO48" i="31"/>
  <c r="AN48" i="31"/>
  <c r="AM48" i="31"/>
  <c r="AL48" i="31"/>
  <c r="AK48" i="31"/>
  <c r="AJ48" i="31"/>
  <c r="AI48" i="31"/>
  <c r="AH48" i="31"/>
  <c r="AG48" i="31"/>
  <c r="AF48" i="31"/>
  <c r="AE48" i="31"/>
  <c r="AD48" i="31"/>
  <c r="AC48" i="31"/>
  <c r="AB48" i="31"/>
  <c r="AA48" i="31"/>
  <c r="Z48" i="31"/>
  <c r="Y48" i="31"/>
  <c r="X48" i="31"/>
  <c r="W48" i="31"/>
  <c r="V48" i="31"/>
  <c r="U48" i="31"/>
  <c r="T48" i="31"/>
  <c r="S48" i="31"/>
  <c r="R48" i="31"/>
  <c r="Q48" i="31"/>
  <c r="P48" i="31"/>
  <c r="O48" i="31"/>
  <c r="N48" i="31"/>
  <c r="M48" i="31"/>
  <c r="L48" i="31"/>
  <c r="K48" i="31"/>
  <c r="J48" i="31"/>
  <c r="AX47" i="31"/>
  <c r="AW47" i="31"/>
  <c r="AV47" i="31"/>
  <c r="AU47" i="31"/>
  <c r="AT47" i="31"/>
  <c r="AS47" i="31"/>
  <c r="AR47" i="31"/>
  <c r="AQ47" i="31"/>
  <c r="AP47" i="31"/>
  <c r="AO47" i="31"/>
  <c r="AN47" i="31"/>
  <c r="AM47" i="31"/>
  <c r="AL47" i="31"/>
  <c r="AK47" i="31"/>
  <c r="AJ47" i="31"/>
  <c r="AI47" i="31"/>
  <c r="AH47" i="31"/>
  <c r="AG47" i="31"/>
  <c r="AF47" i="31"/>
  <c r="AE47" i="31"/>
  <c r="AD47" i="31"/>
  <c r="AC47" i="31"/>
  <c r="AB47" i="31"/>
  <c r="AA47" i="31"/>
  <c r="Z47" i="31"/>
  <c r="Y47" i="31"/>
  <c r="X47" i="31"/>
  <c r="W47" i="31"/>
  <c r="V47" i="31"/>
  <c r="U47" i="31"/>
  <c r="T47" i="31"/>
  <c r="S47" i="31"/>
  <c r="R47" i="31"/>
  <c r="Q47" i="31"/>
  <c r="P47" i="31"/>
  <c r="O47" i="31"/>
  <c r="N47" i="31"/>
  <c r="M47" i="31"/>
  <c r="L47" i="31"/>
  <c r="K47" i="31"/>
  <c r="J47" i="31"/>
  <c r="AX46" i="31"/>
  <c r="AW46" i="31"/>
  <c r="AV46" i="31"/>
  <c r="AU46" i="31"/>
  <c r="AT46" i="31"/>
  <c r="AS46" i="31"/>
  <c r="AR46" i="31"/>
  <c r="AQ46" i="31"/>
  <c r="AP46" i="31"/>
  <c r="AO46" i="31"/>
  <c r="AN46" i="31"/>
  <c r="AM46" i="31"/>
  <c r="AL46" i="31"/>
  <c r="AK46" i="31"/>
  <c r="AJ46" i="31"/>
  <c r="AI46" i="31"/>
  <c r="AH46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AX45" i="31"/>
  <c r="AW45" i="31"/>
  <c r="AV45" i="31"/>
  <c r="AU45" i="31"/>
  <c r="AT45" i="31"/>
  <c r="AS45" i="31"/>
  <c r="AR45" i="31"/>
  <c r="AQ45" i="31"/>
  <c r="AP45" i="31"/>
  <c r="AO45" i="31"/>
  <c r="AN45" i="31"/>
  <c r="AM45" i="31"/>
  <c r="AL45" i="31"/>
  <c r="AK45" i="31"/>
  <c r="AJ45" i="31"/>
  <c r="AI45" i="31"/>
  <c r="AH45" i="31"/>
  <c r="AG45" i="31"/>
  <c r="AF45" i="31"/>
  <c r="AE45" i="31"/>
  <c r="AD45" i="31"/>
  <c r="AC45" i="31"/>
  <c r="AB45" i="31"/>
  <c r="AA45" i="31"/>
  <c r="Z45" i="31"/>
  <c r="Y45" i="31"/>
  <c r="X45" i="31"/>
  <c r="W45" i="31"/>
  <c r="V45" i="31"/>
  <c r="U45" i="31"/>
  <c r="T45" i="31"/>
  <c r="S45" i="31"/>
  <c r="R45" i="31"/>
  <c r="Q45" i="31"/>
  <c r="P45" i="31"/>
  <c r="O45" i="31"/>
  <c r="N45" i="31"/>
  <c r="M45" i="31"/>
  <c r="L45" i="31"/>
  <c r="K45" i="31"/>
  <c r="J45" i="31"/>
  <c r="AX44" i="31"/>
  <c r="AW44" i="31"/>
  <c r="AV44" i="31"/>
  <c r="AU44" i="31"/>
  <c r="AT44" i="31"/>
  <c r="AS44" i="31"/>
  <c r="AR44" i="31"/>
  <c r="AQ44" i="31"/>
  <c r="AP44" i="31"/>
  <c r="AO44" i="31"/>
  <c r="AN44" i="31"/>
  <c r="AM44" i="31"/>
  <c r="AL44" i="31"/>
  <c r="AK44" i="31"/>
  <c r="AJ44" i="31"/>
  <c r="AI44" i="31"/>
  <c r="AH44" i="31"/>
  <c r="AG44" i="31"/>
  <c r="AF44" i="31"/>
  <c r="AE44" i="31"/>
  <c r="AD44" i="31"/>
  <c r="AC44" i="31"/>
  <c r="AB44" i="31"/>
  <c r="AA44" i="31"/>
  <c r="Z44" i="31"/>
  <c r="Y44" i="31"/>
  <c r="X44" i="31"/>
  <c r="W44" i="31"/>
  <c r="V44" i="31"/>
  <c r="U44" i="31"/>
  <c r="T44" i="31"/>
  <c r="S44" i="31"/>
  <c r="R44" i="31"/>
  <c r="Q44" i="31"/>
  <c r="P44" i="31"/>
  <c r="O44" i="31"/>
  <c r="N44" i="31"/>
  <c r="M44" i="31"/>
  <c r="L44" i="31"/>
  <c r="K44" i="31"/>
  <c r="J44" i="31"/>
  <c r="AX43" i="31"/>
  <c r="AW43" i="31"/>
  <c r="AV43" i="31"/>
  <c r="AU43" i="31"/>
  <c r="AT43" i="31"/>
  <c r="AS43" i="31"/>
  <c r="AR43" i="31"/>
  <c r="AQ43" i="31"/>
  <c r="AP43" i="31"/>
  <c r="AO43" i="31"/>
  <c r="AN43" i="31"/>
  <c r="AM43" i="31"/>
  <c r="AL43" i="31"/>
  <c r="AK43" i="31"/>
  <c r="AJ43" i="31"/>
  <c r="AI43" i="31"/>
  <c r="AH43" i="31"/>
  <c r="AG43" i="31"/>
  <c r="AF43" i="31"/>
  <c r="AE43" i="31"/>
  <c r="AD43" i="31"/>
  <c r="AC43" i="31"/>
  <c r="AB43" i="31"/>
  <c r="AA43" i="31"/>
  <c r="Z43" i="31"/>
  <c r="Y43" i="31"/>
  <c r="X43" i="31"/>
  <c r="W43" i="31"/>
  <c r="V43" i="31"/>
  <c r="U43" i="31"/>
  <c r="T43" i="31"/>
  <c r="S43" i="31"/>
  <c r="R43" i="31"/>
  <c r="Q43" i="31"/>
  <c r="P43" i="31"/>
  <c r="O43" i="31"/>
  <c r="N43" i="31"/>
  <c r="M43" i="31"/>
  <c r="L43" i="31"/>
  <c r="K43" i="31"/>
  <c r="J43" i="31"/>
  <c r="AX42" i="31"/>
  <c r="AW42" i="31"/>
  <c r="AV42" i="31"/>
  <c r="AU42" i="31"/>
  <c r="AT42" i="31"/>
  <c r="AS42" i="31"/>
  <c r="AR42" i="31"/>
  <c r="AQ42" i="31"/>
  <c r="AP42" i="31"/>
  <c r="AO42" i="31"/>
  <c r="AN42" i="31"/>
  <c r="AM42" i="31"/>
  <c r="AL42" i="31"/>
  <c r="AK42" i="31"/>
  <c r="AJ42" i="31"/>
  <c r="AI42" i="31"/>
  <c r="AH42" i="31"/>
  <c r="AG42" i="31"/>
  <c r="AF42" i="31"/>
  <c r="AE42" i="31"/>
  <c r="AD42" i="3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AX39" i="31"/>
  <c r="AW39" i="31"/>
  <c r="AV39" i="31"/>
  <c r="AU39" i="31"/>
  <c r="AT39" i="31"/>
  <c r="AS39" i="31"/>
  <c r="AR39" i="31"/>
  <c r="AQ39" i="31"/>
  <c r="AP39" i="31"/>
  <c r="AO39" i="31"/>
  <c r="AN39" i="31"/>
  <c r="AM39" i="31"/>
  <c r="AL39" i="31"/>
  <c r="AK39" i="31"/>
  <c r="AJ39" i="31"/>
  <c r="AI39" i="31"/>
  <c r="AH39" i="31"/>
  <c r="AG39" i="31"/>
  <c r="AF39" i="31"/>
  <c r="AE39" i="31"/>
  <c r="AD39" i="31"/>
  <c r="AC39" i="31"/>
  <c r="AB39" i="31"/>
  <c r="AA39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AX38" i="31"/>
  <c r="AW38" i="31"/>
  <c r="AV38" i="31"/>
  <c r="AU38" i="31"/>
  <c r="AT38" i="31"/>
  <c r="AS38" i="31"/>
  <c r="AR38" i="31"/>
  <c r="AQ38" i="31"/>
  <c r="AP38" i="31"/>
  <c r="AO38" i="31"/>
  <c r="AN38" i="31"/>
  <c r="AM38" i="31"/>
  <c r="AL38" i="31"/>
  <c r="AK38" i="31"/>
  <c r="AJ38" i="31"/>
  <c r="AI38" i="31"/>
  <c r="AH38" i="31"/>
  <c r="AG38" i="31"/>
  <c r="AF38" i="31"/>
  <c r="AE38" i="31"/>
  <c r="AD38" i="31"/>
  <c r="AC38" i="31"/>
  <c r="AB38" i="31"/>
  <c r="AA38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AX37" i="31"/>
  <c r="AW37" i="31"/>
  <c r="AV37" i="31"/>
  <c r="AU37" i="31"/>
  <c r="AT37" i="31"/>
  <c r="AS37" i="31"/>
  <c r="AR37" i="31"/>
  <c r="AQ37" i="31"/>
  <c r="AP37" i="31"/>
  <c r="AO37" i="31"/>
  <c r="AN37" i="31"/>
  <c r="AM37" i="31"/>
  <c r="AL37" i="31"/>
  <c r="AK37" i="31"/>
  <c r="AJ37" i="31"/>
  <c r="AI37" i="31"/>
  <c r="AH37" i="31"/>
  <c r="AG37" i="31"/>
  <c r="AF37" i="31"/>
  <c r="AE37" i="31"/>
  <c r="AD37" i="31"/>
  <c r="AC37" i="31"/>
  <c r="AB37" i="31"/>
  <c r="AA37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AX35" i="31"/>
  <c r="AW35" i="31"/>
  <c r="AV35" i="31"/>
  <c r="AU35" i="31"/>
  <c r="AT35" i="31"/>
  <c r="AS35" i="31"/>
  <c r="AR35" i="31"/>
  <c r="AQ35" i="31"/>
  <c r="AP35" i="31"/>
  <c r="AO35" i="31"/>
  <c r="AN35" i="31"/>
  <c r="AM35" i="31"/>
  <c r="AL35" i="31"/>
  <c r="AK35" i="31"/>
  <c r="AJ35" i="31"/>
  <c r="AI35" i="31"/>
  <c r="AH35" i="31"/>
  <c r="AG35" i="31"/>
  <c r="AF35" i="31"/>
  <c r="AE35" i="31"/>
  <c r="AD35" i="31"/>
  <c r="AC35" i="31"/>
  <c r="AB35" i="31"/>
  <c r="AA35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X36" i="31"/>
  <c r="AW36" i="31"/>
  <c r="AV36" i="31"/>
  <c r="AU36" i="31"/>
  <c r="AT36" i="31"/>
  <c r="AS36" i="31"/>
  <c r="AR36" i="31"/>
  <c r="AQ36" i="31"/>
  <c r="AP36" i="31"/>
  <c r="AO36" i="31"/>
  <c r="AN36" i="31"/>
  <c r="AM36" i="31"/>
  <c r="AL36" i="31"/>
  <c r="AK36" i="31"/>
  <c r="AJ36" i="31"/>
  <c r="AI36" i="31"/>
  <c r="AH36" i="31"/>
  <c r="AG36" i="31"/>
  <c r="AF36" i="31"/>
  <c r="AE36" i="31"/>
  <c r="AD36" i="31"/>
  <c r="AC36" i="31"/>
  <c r="AB36" i="31"/>
  <c r="AA36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AX33" i="31"/>
  <c r="AW33" i="31"/>
  <c r="AV33" i="31"/>
  <c r="AU33" i="31"/>
  <c r="AT33" i="31"/>
  <c r="AS33" i="31"/>
  <c r="AR33" i="31"/>
  <c r="AQ33" i="31"/>
  <c r="AP33" i="31"/>
  <c r="AO33" i="31"/>
  <c r="AN33" i="31"/>
  <c r="AM33" i="31"/>
  <c r="AL33" i="31"/>
  <c r="AK33" i="31"/>
  <c r="AJ33" i="31"/>
  <c r="AI33" i="31"/>
  <c r="AH33" i="31"/>
  <c r="AG33" i="31"/>
  <c r="AF33" i="31"/>
  <c r="AE33" i="31"/>
  <c r="AD33" i="31"/>
  <c r="AC33" i="31"/>
  <c r="AB33" i="31"/>
  <c r="AA33" i="31"/>
  <c r="Z33" i="31"/>
  <c r="Y33" i="31"/>
  <c r="X33" i="31"/>
  <c r="W33" i="31"/>
  <c r="V33" i="31"/>
  <c r="U33" i="31"/>
  <c r="T33" i="31"/>
  <c r="S33" i="31"/>
  <c r="R33" i="31"/>
  <c r="Q33" i="31"/>
  <c r="P33" i="31"/>
  <c r="O33" i="31"/>
  <c r="N33" i="31"/>
  <c r="M33" i="31"/>
  <c r="L33" i="31"/>
  <c r="K33" i="31"/>
  <c r="J33" i="31"/>
  <c r="AX34" i="31"/>
  <c r="AW34" i="31"/>
  <c r="AV34" i="31"/>
  <c r="AU34" i="31"/>
  <c r="AT34" i="31"/>
  <c r="AS34" i="31"/>
  <c r="AR34" i="31"/>
  <c r="AQ34" i="31"/>
  <c r="AP34" i="31"/>
  <c r="AO34" i="31"/>
  <c r="AN34" i="31"/>
  <c r="AM34" i="31"/>
  <c r="AL34" i="31"/>
  <c r="AK34" i="31"/>
  <c r="AJ34" i="31"/>
  <c r="AI34" i="31"/>
  <c r="AH34" i="31"/>
  <c r="AG34" i="31"/>
  <c r="AF34" i="31"/>
  <c r="AE34" i="31"/>
  <c r="AD34" i="31"/>
  <c r="AC34" i="31"/>
  <c r="AB34" i="31"/>
  <c r="AA34" i="31"/>
  <c r="Z34" i="31"/>
  <c r="Y34" i="31"/>
  <c r="X34" i="31"/>
  <c r="W34" i="31"/>
  <c r="V34" i="31"/>
  <c r="U34" i="31"/>
  <c r="T34" i="31"/>
  <c r="S34" i="31"/>
  <c r="R34" i="31"/>
  <c r="Q34" i="31"/>
  <c r="P34" i="31"/>
  <c r="O34" i="31"/>
  <c r="N34" i="31"/>
  <c r="M34" i="31"/>
  <c r="L34" i="31"/>
  <c r="K34" i="31"/>
  <c r="J34" i="31"/>
  <c r="AX32" i="31"/>
  <c r="AW32" i="31"/>
  <c r="AV32" i="31"/>
  <c r="AU32" i="31"/>
  <c r="AT32" i="31"/>
  <c r="AS32" i="31"/>
  <c r="AR32" i="31"/>
  <c r="AQ32" i="31"/>
  <c r="AP32" i="31"/>
  <c r="AO32" i="31"/>
  <c r="AN32" i="31"/>
  <c r="AM32" i="31"/>
  <c r="AL32" i="31"/>
  <c r="AK32" i="31"/>
  <c r="AJ32" i="31"/>
  <c r="AI32" i="31"/>
  <c r="AH32" i="31"/>
  <c r="AG32" i="31"/>
  <c r="AF32" i="31"/>
  <c r="AE32" i="31"/>
  <c r="AD32" i="31"/>
  <c r="AC32" i="31"/>
  <c r="AB32" i="31"/>
  <c r="AA32" i="31"/>
  <c r="Z32" i="31"/>
  <c r="Y32" i="31"/>
  <c r="X32" i="31"/>
  <c r="W32" i="31"/>
  <c r="V32" i="31"/>
  <c r="U32" i="31"/>
  <c r="T32" i="31"/>
  <c r="S32" i="31"/>
  <c r="R32" i="31"/>
  <c r="Q32" i="31"/>
  <c r="P32" i="31"/>
  <c r="O32" i="31"/>
  <c r="N32" i="31"/>
  <c r="M32" i="31"/>
  <c r="L32" i="31"/>
  <c r="K32" i="31"/>
  <c r="J32" i="31"/>
  <c r="AX31" i="31"/>
  <c r="AW31" i="31"/>
  <c r="AV31" i="31"/>
  <c r="AU31" i="31"/>
  <c r="AT31" i="31"/>
  <c r="AS31" i="31"/>
  <c r="AR31" i="31"/>
  <c r="AQ31" i="31"/>
  <c r="AP31" i="31"/>
  <c r="AO31" i="31"/>
  <c r="AN31" i="31"/>
  <c r="AM31" i="31"/>
  <c r="AL31" i="31"/>
  <c r="AK31" i="31"/>
  <c r="AJ31" i="31"/>
  <c r="AI31" i="31"/>
  <c r="AH31" i="31"/>
  <c r="AG31" i="31"/>
  <c r="AF31" i="31"/>
  <c r="AE31" i="31"/>
  <c r="AD31" i="31"/>
  <c r="AC31" i="31"/>
  <c r="AB31" i="31"/>
  <c r="AA31" i="31"/>
  <c r="Z31" i="31"/>
  <c r="Y31" i="31"/>
  <c r="X31" i="31"/>
  <c r="W31" i="31"/>
  <c r="V31" i="31"/>
  <c r="U31" i="31"/>
  <c r="T31" i="31"/>
  <c r="S31" i="31"/>
  <c r="R31" i="31"/>
  <c r="Q31" i="31"/>
  <c r="P31" i="31"/>
  <c r="O31" i="31"/>
  <c r="N31" i="31"/>
  <c r="M31" i="31"/>
  <c r="L31" i="31"/>
  <c r="K31" i="31"/>
  <c r="J31" i="31"/>
  <c r="AX40" i="31"/>
  <c r="AW40" i="31"/>
  <c r="AV40" i="31"/>
  <c r="AU40" i="31"/>
  <c r="AT40" i="31"/>
  <c r="AS40" i="31"/>
  <c r="AR40" i="31"/>
  <c r="AQ40" i="31"/>
  <c r="AP40" i="31"/>
  <c r="AO40" i="31"/>
  <c r="AN40" i="31"/>
  <c r="AM40" i="31"/>
  <c r="AL40" i="31"/>
  <c r="AK40" i="31"/>
  <c r="AJ40" i="31"/>
  <c r="AI40" i="31"/>
  <c r="AH40" i="31"/>
  <c r="AG40" i="31"/>
  <c r="AF40" i="31"/>
  <c r="AE40" i="31"/>
  <c r="AD40" i="31"/>
  <c r="AC40" i="31"/>
  <c r="AB40" i="31"/>
  <c r="AA40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AX29" i="31"/>
  <c r="AW29" i="31"/>
  <c r="AV29" i="31"/>
  <c r="AU29" i="31"/>
  <c r="AT29" i="31"/>
  <c r="AS29" i="31"/>
  <c r="AR29" i="31"/>
  <c r="AQ29" i="31"/>
  <c r="AP29" i="31"/>
  <c r="AO29" i="31"/>
  <c r="AN29" i="31"/>
  <c r="AM29" i="31"/>
  <c r="AL29" i="31"/>
  <c r="AK29" i="31"/>
  <c r="AJ29" i="31"/>
  <c r="AI29" i="31"/>
  <c r="AH29" i="31"/>
  <c r="AG29" i="31"/>
  <c r="AF29" i="31"/>
  <c r="AE29" i="31"/>
  <c r="AD29" i="31"/>
  <c r="AC29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AX30" i="31"/>
  <c r="AW30" i="31"/>
  <c r="AV30" i="31"/>
  <c r="AU30" i="31"/>
  <c r="AT30" i="31"/>
  <c r="AS30" i="31"/>
  <c r="AR30" i="31"/>
  <c r="AQ30" i="31"/>
  <c r="AP30" i="31"/>
  <c r="AO30" i="31"/>
  <c r="AN30" i="31"/>
  <c r="AM30" i="31"/>
  <c r="AL30" i="31"/>
  <c r="AK30" i="31"/>
  <c r="AJ30" i="31"/>
  <c r="AI30" i="31"/>
  <c r="AH30" i="31"/>
  <c r="AG30" i="31"/>
  <c r="AF30" i="31"/>
  <c r="AE30" i="31"/>
  <c r="AD30" i="31"/>
  <c r="AC30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AX41" i="31"/>
  <c r="AW41" i="31"/>
  <c r="AV41" i="31"/>
  <c r="AU41" i="31"/>
  <c r="AT41" i="31"/>
  <c r="AS41" i="31"/>
  <c r="AR41" i="31"/>
  <c r="AQ41" i="31"/>
  <c r="AP41" i="31"/>
  <c r="AO41" i="31"/>
  <c r="AN41" i="31"/>
  <c r="AM41" i="31"/>
  <c r="AL41" i="31"/>
  <c r="AK41" i="31"/>
  <c r="AJ41" i="31"/>
  <c r="AI41" i="31"/>
  <c r="AH41" i="31"/>
  <c r="AG41" i="31"/>
  <c r="AF41" i="31"/>
  <c r="AE41" i="31"/>
  <c r="AD41" i="31"/>
  <c r="AC41" i="31"/>
  <c r="AB41" i="31"/>
  <c r="AA41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AX28" i="31"/>
  <c r="AW28" i="31"/>
  <c r="AV28" i="31"/>
  <c r="AU28" i="31"/>
  <c r="AT28" i="31"/>
  <c r="AS28" i="31"/>
  <c r="AR28" i="31"/>
  <c r="AQ28" i="31"/>
  <c r="AP28" i="31"/>
  <c r="AO28" i="31"/>
  <c r="AN28" i="31"/>
  <c r="AM28" i="31"/>
  <c r="AL28" i="31"/>
  <c r="AK28" i="31"/>
  <c r="AJ28" i="31"/>
  <c r="AI28" i="31"/>
  <c r="AH28" i="31"/>
  <c r="AG28" i="31"/>
  <c r="AF28" i="31"/>
  <c r="AE28" i="31"/>
  <c r="AD28" i="31"/>
  <c r="AC28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AX27" i="31"/>
  <c r="AW27" i="31"/>
  <c r="AV27" i="31"/>
  <c r="AU27" i="31"/>
  <c r="AT27" i="31"/>
  <c r="AS27" i="31"/>
  <c r="AR27" i="31"/>
  <c r="AQ27" i="31"/>
  <c r="AP27" i="31"/>
  <c r="AO27" i="31"/>
  <c r="AN27" i="31"/>
  <c r="AM27" i="31"/>
  <c r="AL27" i="31"/>
  <c r="AK27" i="31"/>
  <c r="AJ27" i="31"/>
  <c r="AI27" i="31"/>
  <c r="AH27" i="31"/>
  <c r="AG27" i="31"/>
  <c r="AF27" i="31"/>
  <c r="AE27" i="31"/>
  <c r="AD27" i="31"/>
  <c r="AC27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AX26" i="31"/>
  <c r="AW26" i="31"/>
  <c r="AV26" i="31"/>
  <c r="AU26" i="31"/>
  <c r="AT26" i="31"/>
  <c r="AS26" i="31"/>
  <c r="AR26" i="31"/>
  <c r="AQ26" i="31"/>
  <c r="AP26" i="31"/>
  <c r="AO26" i="31"/>
  <c r="AN26" i="31"/>
  <c r="AM26" i="31"/>
  <c r="AL26" i="31"/>
  <c r="AK26" i="31"/>
  <c r="AJ26" i="31"/>
  <c r="AI26" i="31"/>
  <c r="AH26" i="31"/>
  <c r="AG26" i="31"/>
  <c r="AF26" i="31"/>
  <c r="AE26" i="31"/>
  <c r="AD26" i="31"/>
  <c r="AC26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AX25" i="31"/>
  <c r="AW25" i="31"/>
  <c r="AV25" i="31"/>
  <c r="AU25" i="31"/>
  <c r="AT25" i="31"/>
  <c r="AS25" i="31"/>
  <c r="AR25" i="31"/>
  <c r="AQ25" i="31"/>
  <c r="AP25" i="31"/>
  <c r="AO25" i="31"/>
  <c r="AN25" i="31"/>
  <c r="AM25" i="31"/>
  <c r="AL25" i="31"/>
  <c r="AK25" i="31"/>
  <c r="AJ25" i="31"/>
  <c r="AI25" i="31"/>
  <c r="AH25" i="31"/>
  <c r="AG25" i="31"/>
  <c r="AF25" i="31"/>
  <c r="AE25" i="31"/>
  <c r="AD25" i="31"/>
  <c r="AC25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AX24" i="31"/>
  <c r="AW24" i="31"/>
  <c r="AV24" i="31"/>
  <c r="AU24" i="31"/>
  <c r="AT24" i="31"/>
  <c r="AS24" i="31"/>
  <c r="AR24" i="31"/>
  <c r="AQ24" i="31"/>
  <c r="AP24" i="31"/>
  <c r="AO24" i="31"/>
  <c r="AN24" i="31"/>
  <c r="AM24" i="31"/>
  <c r="AL24" i="31"/>
  <c r="AK24" i="31"/>
  <c r="AJ24" i="31"/>
  <c r="AI24" i="31"/>
  <c r="AH24" i="31"/>
  <c r="AG24" i="31"/>
  <c r="AF24" i="31"/>
  <c r="AE24" i="31"/>
  <c r="AD24" i="31"/>
  <c r="AC24" i="31"/>
  <c r="AB24" i="31"/>
  <c r="AA24" i="31"/>
  <c r="Z24" i="31"/>
  <c r="Y24" i="31"/>
  <c r="X24" i="31"/>
  <c r="W24" i="31"/>
  <c r="V24" i="31"/>
  <c r="U24" i="31"/>
  <c r="T24" i="31"/>
  <c r="S24" i="31"/>
  <c r="R24" i="31"/>
  <c r="Q24" i="31"/>
  <c r="P24" i="31"/>
  <c r="O24" i="31"/>
  <c r="N24" i="31"/>
  <c r="M24" i="31"/>
  <c r="L24" i="31"/>
  <c r="K24" i="31"/>
  <c r="J24" i="31"/>
  <c r="AX23" i="31"/>
  <c r="AW23" i="31"/>
  <c r="AV23" i="31"/>
  <c r="AU23" i="31"/>
  <c r="AT23" i="31"/>
  <c r="AS23" i="31"/>
  <c r="AR23" i="31"/>
  <c r="AQ23" i="31"/>
  <c r="AP23" i="31"/>
  <c r="AO23" i="31"/>
  <c r="AN23" i="31"/>
  <c r="AM23" i="31"/>
  <c r="AL23" i="31"/>
  <c r="AK23" i="31"/>
  <c r="AJ23" i="31"/>
  <c r="AI23" i="31"/>
  <c r="AH23" i="31"/>
  <c r="AG23" i="31"/>
  <c r="AF23" i="31"/>
  <c r="AE23" i="31"/>
  <c r="AD23" i="31"/>
  <c r="AC23" i="31"/>
  <c r="AB23" i="31"/>
  <c r="AA23" i="31"/>
  <c r="Z23" i="31"/>
  <c r="Y23" i="31"/>
  <c r="X23" i="31"/>
  <c r="W23" i="31"/>
  <c r="V23" i="31"/>
  <c r="U23" i="31"/>
  <c r="T23" i="31"/>
  <c r="S23" i="31"/>
  <c r="R23" i="31"/>
  <c r="Q23" i="31"/>
  <c r="P23" i="31"/>
  <c r="O23" i="31"/>
  <c r="N23" i="31"/>
  <c r="M23" i="31"/>
  <c r="L23" i="31"/>
  <c r="K23" i="31"/>
  <c r="J23" i="31"/>
  <c r="AX22" i="31"/>
  <c r="AW22" i="31"/>
  <c r="AV22" i="31"/>
  <c r="AU22" i="31"/>
  <c r="AT22" i="31"/>
  <c r="AS22" i="31"/>
  <c r="AR22" i="31"/>
  <c r="AQ22" i="31"/>
  <c r="AP22" i="31"/>
  <c r="AO22" i="31"/>
  <c r="AN22" i="31"/>
  <c r="AM22" i="31"/>
  <c r="AL22" i="31"/>
  <c r="AK22" i="31"/>
  <c r="AJ22" i="31"/>
  <c r="AI22" i="31"/>
  <c r="AH22" i="31"/>
  <c r="AG22" i="31"/>
  <c r="AF22" i="31"/>
  <c r="AE22" i="31"/>
  <c r="AD22" i="31"/>
  <c r="AC22" i="31"/>
  <c r="AB22" i="31"/>
  <c r="AA22" i="31"/>
  <c r="Z22" i="31"/>
  <c r="Y22" i="31"/>
  <c r="X22" i="31"/>
  <c r="W22" i="31"/>
  <c r="V22" i="31"/>
  <c r="U22" i="31"/>
  <c r="T22" i="31"/>
  <c r="S22" i="31"/>
  <c r="R22" i="31"/>
  <c r="Q22" i="31"/>
  <c r="P22" i="31"/>
  <c r="O22" i="31"/>
  <c r="N22" i="31"/>
  <c r="M22" i="31"/>
  <c r="L22" i="31"/>
  <c r="K22" i="31"/>
  <c r="J22" i="31"/>
  <c r="AX21" i="31"/>
  <c r="AW21" i="31"/>
  <c r="AV21" i="31"/>
  <c r="AU21" i="31"/>
  <c r="AT21" i="31"/>
  <c r="AS21" i="31"/>
  <c r="AR21" i="31"/>
  <c r="AQ21" i="31"/>
  <c r="AP21" i="31"/>
  <c r="AO21" i="31"/>
  <c r="AN21" i="31"/>
  <c r="AM21" i="31"/>
  <c r="AL21" i="31"/>
  <c r="AK21" i="31"/>
  <c r="AJ21" i="31"/>
  <c r="AI21" i="31"/>
  <c r="AH21" i="31"/>
  <c r="AG21" i="31"/>
  <c r="AF21" i="31"/>
  <c r="AE21" i="31"/>
  <c r="AD21" i="31"/>
  <c r="AC21" i="31"/>
  <c r="AB21" i="31"/>
  <c r="AA21" i="31"/>
  <c r="Z21" i="31"/>
  <c r="Y21" i="31"/>
  <c r="X21" i="31"/>
  <c r="W21" i="31"/>
  <c r="V21" i="31"/>
  <c r="U21" i="31"/>
  <c r="T21" i="31"/>
  <c r="S21" i="31"/>
  <c r="R21" i="31"/>
  <c r="Q21" i="31"/>
  <c r="P21" i="31"/>
  <c r="O21" i="31"/>
  <c r="N21" i="31"/>
  <c r="M21" i="31"/>
  <c r="L21" i="31"/>
  <c r="K21" i="31"/>
  <c r="J21" i="31"/>
  <c r="AX20" i="31"/>
  <c r="AW20" i="31"/>
  <c r="AV20" i="31"/>
  <c r="AU20" i="31"/>
  <c r="AT20" i="31"/>
  <c r="AS20" i="31"/>
  <c r="AR20" i="31"/>
  <c r="AQ20" i="31"/>
  <c r="AP20" i="31"/>
  <c r="AO20" i="31"/>
  <c r="AN20" i="31"/>
  <c r="AM20" i="31"/>
  <c r="AL20" i="31"/>
  <c r="AK20" i="31"/>
  <c r="AJ20" i="31"/>
  <c r="AI20" i="31"/>
  <c r="AH20" i="31"/>
  <c r="AG20" i="31"/>
  <c r="AF20" i="31"/>
  <c r="AE20" i="31"/>
  <c r="AD20" i="31"/>
  <c r="AC20" i="31"/>
  <c r="AB20" i="31"/>
  <c r="AA20" i="31"/>
  <c r="Z20" i="31"/>
  <c r="Y20" i="31"/>
  <c r="X20" i="31"/>
  <c r="W20" i="31"/>
  <c r="V20" i="31"/>
  <c r="U20" i="31"/>
  <c r="T20" i="31"/>
  <c r="S20" i="31"/>
  <c r="R20" i="31"/>
  <c r="Q20" i="31"/>
  <c r="P20" i="31"/>
  <c r="O20" i="31"/>
  <c r="N20" i="31"/>
  <c r="M20" i="31"/>
  <c r="L20" i="31"/>
  <c r="K20" i="31"/>
  <c r="J20" i="31"/>
  <c r="AX19" i="31"/>
  <c r="AW19" i="31"/>
  <c r="AV19" i="31"/>
  <c r="AU19" i="31"/>
  <c r="AT19" i="31"/>
  <c r="AS19" i="31"/>
  <c r="AR19" i="31"/>
  <c r="AQ19" i="31"/>
  <c r="AP19" i="31"/>
  <c r="AO19" i="31"/>
  <c r="AN19" i="31"/>
  <c r="AM19" i="31"/>
  <c r="AL19" i="31"/>
  <c r="AK19" i="31"/>
  <c r="AJ19" i="31"/>
  <c r="AI19" i="31"/>
  <c r="AH19" i="31"/>
  <c r="AG19" i="31"/>
  <c r="AF19" i="31"/>
  <c r="AE19" i="31"/>
  <c r="AD19" i="31"/>
  <c r="AC19" i="31"/>
  <c r="AB19" i="31"/>
  <c r="AA19" i="31"/>
  <c r="Z19" i="31"/>
  <c r="Y19" i="31"/>
  <c r="X19" i="31"/>
  <c r="W19" i="31"/>
  <c r="V19" i="31"/>
  <c r="U19" i="31"/>
  <c r="T19" i="31"/>
  <c r="S19" i="31"/>
  <c r="R19" i="31"/>
  <c r="Q19" i="31"/>
  <c r="P19" i="31"/>
  <c r="O19" i="31"/>
  <c r="N19" i="31"/>
  <c r="M19" i="31"/>
  <c r="L19" i="31"/>
  <c r="K19" i="31"/>
  <c r="J19" i="31"/>
  <c r="AX18" i="31"/>
  <c r="AW18" i="31"/>
  <c r="AV18" i="31"/>
  <c r="AU18" i="31"/>
  <c r="AT18" i="31"/>
  <c r="AS18" i="31"/>
  <c r="AR18" i="31"/>
  <c r="AQ18" i="31"/>
  <c r="AP18" i="31"/>
  <c r="AO18" i="31"/>
  <c r="AN18" i="31"/>
  <c r="AM18" i="31"/>
  <c r="AL18" i="31"/>
  <c r="AK18" i="31"/>
  <c r="AJ18" i="31"/>
  <c r="AI18" i="31"/>
  <c r="AH18" i="31"/>
  <c r="AG18" i="31"/>
  <c r="AF18" i="31"/>
  <c r="AE18" i="31"/>
  <c r="AD18" i="31"/>
  <c r="AC18" i="31"/>
  <c r="AB18" i="31"/>
  <c r="AA18" i="31"/>
  <c r="Z18" i="31"/>
  <c r="Y18" i="31"/>
  <c r="X18" i="31"/>
  <c r="W18" i="31"/>
  <c r="V18" i="31"/>
  <c r="U18" i="31"/>
  <c r="T18" i="31"/>
  <c r="S18" i="31"/>
  <c r="R18" i="31"/>
  <c r="Q18" i="31"/>
  <c r="P18" i="31"/>
  <c r="O18" i="31"/>
  <c r="N18" i="31"/>
  <c r="M18" i="31"/>
  <c r="L18" i="31"/>
  <c r="K18" i="31"/>
  <c r="J18" i="31"/>
  <c r="AX17" i="31"/>
  <c r="AW17" i="31"/>
  <c r="AV17" i="31"/>
  <c r="AU17" i="31"/>
  <c r="AT17" i="31"/>
  <c r="AS17" i="31"/>
  <c r="AR17" i="31"/>
  <c r="AQ17" i="31"/>
  <c r="AP17" i="31"/>
  <c r="AO17" i="31"/>
  <c r="AN17" i="31"/>
  <c r="AM17" i="31"/>
  <c r="AL17" i="31"/>
  <c r="AK17" i="31"/>
  <c r="AJ17" i="31"/>
  <c r="AI17" i="31"/>
  <c r="AH17" i="31"/>
  <c r="AG17" i="31"/>
  <c r="AF17" i="31"/>
  <c r="AE17" i="31"/>
  <c r="AD17" i="31"/>
  <c r="AC17" i="31"/>
  <c r="AB17" i="31"/>
  <c r="AA17" i="31"/>
  <c r="Z17" i="31"/>
  <c r="Y17" i="31"/>
  <c r="X17" i="31"/>
  <c r="W17" i="31"/>
  <c r="V17" i="31"/>
  <c r="U17" i="31"/>
  <c r="T17" i="31"/>
  <c r="S17" i="31"/>
  <c r="R17" i="31"/>
  <c r="Q17" i="31"/>
  <c r="P17" i="31"/>
  <c r="O17" i="31"/>
  <c r="N17" i="31"/>
  <c r="M17" i="31"/>
  <c r="L17" i="31"/>
  <c r="K17" i="31"/>
  <c r="J17" i="31"/>
  <c r="AX16" i="31"/>
  <c r="AW16" i="31"/>
  <c r="AV16" i="31"/>
  <c r="AU16" i="31"/>
  <c r="AT16" i="31"/>
  <c r="AS16" i="31"/>
  <c r="AR16" i="31"/>
  <c r="AQ16" i="31"/>
  <c r="AP16" i="31"/>
  <c r="AO16" i="31"/>
  <c r="AN16" i="31"/>
  <c r="AM16" i="31"/>
  <c r="AL16" i="31"/>
  <c r="AK16" i="31"/>
  <c r="AJ16" i="31"/>
  <c r="AI16" i="31"/>
  <c r="AH16" i="31"/>
  <c r="AG16" i="31"/>
  <c r="AF16" i="31"/>
  <c r="AE16" i="31"/>
  <c r="AD16" i="31"/>
  <c r="AC16" i="31"/>
  <c r="AB16" i="31"/>
  <c r="AA16" i="31"/>
  <c r="Z16" i="31"/>
  <c r="Y16" i="31"/>
  <c r="X16" i="31"/>
  <c r="W16" i="31"/>
  <c r="V16" i="31"/>
  <c r="U16" i="31"/>
  <c r="T16" i="31"/>
  <c r="S16" i="31"/>
  <c r="R16" i="31"/>
  <c r="Q16" i="31"/>
  <c r="P16" i="31"/>
  <c r="O16" i="31"/>
  <c r="N16" i="31"/>
  <c r="M16" i="31"/>
  <c r="L16" i="31"/>
  <c r="K16" i="31"/>
  <c r="J16" i="31"/>
  <c r="AX15" i="31"/>
  <c r="AW15" i="31"/>
  <c r="AV15" i="31"/>
  <c r="AU15" i="31"/>
  <c r="AT15" i="31"/>
  <c r="AS15" i="31"/>
  <c r="AR15" i="31"/>
  <c r="AQ15" i="31"/>
  <c r="AP15" i="31"/>
  <c r="AO15" i="31"/>
  <c r="AN15" i="31"/>
  <c r="AM15" i="31"/>
  <c r="AL15" i="31"/>
  <c r="AK15" i="31"/>
  <c r="AJ15" i="31"/>
  <c r="AI15" i="31"/>
  <c r="AH15" i="31"/>
  <c r="AG15" i="31"/>
  <c r="AF15" i="31"/>
  <c r="AE15" i="31"/>
  <c r="AD15" i="31"/>
  <c r="AC15" i="31"/>
  <c r="AB15" i="31"/>
  <c r="AA15" i="31"/>
  <c r="Z15" i="31"/>
  <c r="Y15" i="31"/>
  <c r="X15" i="31"/>
  <c r="W15" i="31"/>
  <c r="V15" i="31"/>
  <c r="U15" i="31"/>
  <c r="T15" i="31"/>
  <c r="S15" i="31"/>
  <c r="R15" i="31"/>
  <c r="Q15" i="31"/>
  <c r="P15" i="31"/>
  <c r="O15" i="31"/>
  <c r="N15" i="31"/>
  <c r="M15" i="31"/>
  <c r="L15" i="31"/>
  <c r="K15" i="31"/>
  <c r="J15" i="31"/>
  <c r="AX14" i="31"/>
  <c r="AW14" i="31"/>
  <c r="AV14" i="31"/>
  <c r="AU14" i="31"/>
  <c r="AT14" i="31"/>
  <c r="AS14" i="31"/>
  <c r="AR14" i="31"/>
  <c r="AQ14" i="31"/>
  <c r="AP14" i="31"/>
  <c r="AO14" i="31"/>
  <c r="AN14" i="31"/>
  <c r="AM14" i="31"/>
  <c r="AL14" i="31"/>
  <c r="AK14" i="31"/>
  <c r="AJ14" i="31"/>
  <c r="AI14" i="31"/>
  <c r="AH14" i="31"/>
  <c r="AG14" i="31"/>
  <c r="AF14" i="31"/>
  <c r="AE14" i="31"/>
  <c r="AD14" i="31"/>
  <c r="AC14" i="31"/>
  <c r="AB14" i="31"/>
  <c r="AA14" i="31"/>
  <c r="Z14" i="31"/>
  <c r="Y14" i="31"/>
  <c r="X14" i="31"/>
  <c r="W14" i="31"/>
  <c r="V14" i="31"/>
  <c r="U14" i="31"/>
  <c r="T14" i="31"/>
  <c r="S14" i="31"/>
  <c r="R14" i="31"/>
  <c r="Q14" i="31"/>
  <c r="P14" i="31"/>
  <c r="O14" i="31"/>
  <c r="N14" i="31"/>
  <c r="M14" i="31"/>
  <c r="L14" i="31"/>
  <c r="K14" i="31"/>
  <c r="J14" i="31"/>
  <c r="AX13" i="31"/>
  <c r="AW13" i="31"/>
  <c r="AV13" i="31"/>
  <c r="AU13" i="31"/>
  <c r="AT13" i="31"/>
  <c r="AS13" i="31"/>
  <c r="AR13" i="31"/>
  <c r="AQ13" i="31"/>
  <c r="AP13" i="31"/>
  <c r="AO13" i="31"/>
  <c r="AN13" i="31"/>
  <c r="AM13" i="31"/>
  <c r="AL13" i="31"/>
  <c r="AK13" i="31"/>
  <c r="AJ13" i="31"/>
  <c r="AI13" i="31"/>
  <c r="AH13" i="31"/>
  <c r="AG13" i="31"/>
  <c r="AF13" i="31"/>
  <c r="AE13" i="31"/>
  <c r="AD13" i="31"/>
  <c r="AC13" i="31"/>
  <c r="AB13" i="31"/>
  <c r="AA13" i="31"/>
  <c r="Z13" i="31"/>
  <c r="Y13" i="31"/>
  <c r="X13" i="31"/>
  <c r="W13" i="31"/>
  <c r="V13" i="31"/>
  <c r="U13" i="31"/>
  <c r="T13" i="31"/>
  <c r="S13" i="31"/>
  <c r="R13" i="31"/>
  <c r="Q13" i="31"/>
  <c r="P13" i="31"/>
  <c r="O13" i="31"/>
  <c r="N13" i="31"/>
  <c r="M13" i="31"/>
  <c r="L13" i="31"/>
  <c r="K13" i="31"/>
  <c r="J13" i="31"/>
  <c r="AX11" i="31"/>
  <c r="AW11" i="31"/>
  <c r="AV11" i="31"/>
  <c r="AU11" i="31"/>
  <c r="AT11" i="31"/>
  <c r="AS11" i="31"/>
  <c r="AR11" i="31"/>
  <c r="AQ11" i="31"/>
  <c r="AP11" i="31"/>
  <c r="AO11" i="31"/>
  <c r="AN11" i="31"/>
  <c r="AM11" i="31"/>
  <c r="AL11" i="31"/>
  <c r="AK11" i="31"/>
  <c r="AJ11" i="31"/>
  <c r="AI11" i="31"/>
  <c r="AH11" i="31"/>
  <c r="AG11" i="31"/>
  <c r="AF11" i="31"/>
  <c r="AE11" i="31"/>
  <c r="AD11" i="31"/>
  <c r="AC11" i="31"/>
  <c r="AB11" i="31"/>
  <c r="AA11" i="31"/>
  <c r="Z11" i="31"/>
  <c r="Y11" i="31"/>
  <c r="X11" i="31"/>
  <c r="W11" i="31"/>
  <c r="V11" i="31"/>
  <c r="U11" i="31"/>
  <c r="T11" i="31"/>
  <c r="S11" i="31"/>
  <c r="R11" i="31"/>
  <c r="Q11" i="31"/>
  <c r="P11" i="31"/>
  <c r="O11" i="31"/>
  <c r="N11" i="31"/>
  <c r="M11" i="31"/>
  <c r="L11" i="31"/>
  <c r="K11" i="31"/>
  <c r="J11" i="31"/>
  <c r="AX12" i="31"/>
  <c r="AW12" i="31"/>
  <c r="AV12" i="31"/>
  <c r="AU12" i="31"/>
  <c r="AT12" i="31"/>
  <c r="AS12" i="31"/>
  <c r="AR12" i="31"/>
  <c r="AQ12" i="31"/>
  <c r="AP12" i="31"/>
  <c r="AO12" i="31"/>
  <c r="AN12" i="31"/>
  <c r="AM12" i="31"/>
  <c r="AL12" i="31"/>
  <c r="AK12" i="31"/>
  <c r="AJ12" i="31"/>
  <c r="AI12" i="31"/>
  <c r="AH12" i="31"/>
  <c r="AG12" i="31"/>
  <c r="AF12" i="31"/>
  <c r="AE12" i="31"/>
  <c r="AD12" i="31"/>
  <c r="AC12" i="31"/>
  <c r="AB12" i="31"/>
  <c r="AA12" i="31"/>
  <c r="Z12" i="31"/>
  <c r="Y12" i="31"/>
  <c r="X12" i="31"/>
  <c r="W12" i="31"/>
  <c r="V12" i="31"/>
  <c r="U12" i="31"/>
  <c r="T12" i="31"/>
  <c r="S12" i="31"/>
  <c r="R12" i="31"/>
  <c r="Q12" i="31"/>
  <c r="P12" i="31"/>
  <c r="O12" i="31"/>
  <c r="N12" i="31"/>
  <c r="M12" i="31"/>
  <c r="L12" i="31"/>
  <c r="K12" i="31"/>
  <c r="J12" i="31"/>
  <c r="AX10" i="31"/>
  <c r="AW10" i="31"/>
  <c r="AV10" i="31"/>
  <c r="AU10" i="31"/>
  <c r="AT10" i="31"/>
  <c r="AS10" i="31"/>
  <c r="AR10" i="31"/>
  <c r="AQ10" i="31"/>
  <c r="AP10" i="31"/>
  <c r="AO10" i="31"/>
  <c r="AN10" i="31"/>
  <c r="AM10" i="31"/>
  <c r="AL10" i="31"/>
  <c r="AK10" i="31"/>
  <c r="AJ10" i="31"/>
  <c r="AI10" i="31"/>
  <c r="AH10" i="31"/>
  <c r="AG10" i="31"/>
  <c r="AF10" i="31"/>
  <c r="AE10" i="31"/>
  <c r="AD10" i="31"/>
  <c r="AC10" i="31"/>
  <c r="AB10" i="31"/>
  <c r="AA10" i="31"/>
  <c r="Z10" i="31"/>
  <c r="Y10" i="31"/>
  <c r="X10" i="31"/>
  <c r="W10" i="31"/>
  <c r="V10" i="31"/>
  <c r="U10" i="31"/>
  <c r="T10" i="31"/>
  <c r="S10" i="31"/>
  <c r="R10" i="31"/>
  <c r="Q10" i="31"/>
  <c r="P10" i="31"/>
  <c r="O10" i="31"/>
  <c r="N10" i="31"/>
  <c r="M10" i="31"/>
  <c r="L10" i="31"/>
  <c r="K10" i="31"/>
  <c r="J10" i="31"/>
  <c r="AX9" i="31"/>
  <c r="AW9" i="31"/>
  <c r="AV9" i="31"/>
  <c r="AU9" i="31"/>
  <c r="AT9" i="31"/>
  <c r="AS9" i="31"/>
  <c r="AR9" i="31"/>
  <c r="AQ9" i="31"/>
  <c r="AP9" i="31"/>
  <c r="AO9" i="31"/>
  <c r="AN9" i="31"/>
  <c r="AM9" i="31"/>
  <c r="AL9" i="31"/>
  <c r="AK9" i="31"/>
  <c r="AJ9" i="31"/>
  <c r="AI9" i="31"/>
  <c r="AH9" i="31"/>
  <c r="AG9" i="31"/>
  <c r="AF9" i="31"/>
  <c r="AE9" i="31"/>
  <c r="AD9" i="31"/>
  <c r="AC9" i="31"/>
  <c r="AB9" i="31"/>
  <c r="AA9" i="31"/>
  <c r="Z9" i="31"/>
  <c r="Y9" i="31"/>
  <c r="X9" i="31"/>
  <c r="W9" i="31"/>
  <c r="V9" i="31"/>
  <c r="U9" i="31"/>
  <c r="T9" i="31"/>
  <c r="S9" i="31"/>
  <c r="R9" i="31"/>
  <c r="Q9" i="31"/>
  <c r="P9" i="31"/>
  <c r="O9" i="31"/>
  <c r="N9" i="31"/>
  <c r="M9" i="31"/>
  <c r="L9" i="31"/>
  <c r="K9" i="31"/>
  <c r="J9" i="31"/>
  <c r="AX52" i="31"/>
  <c r="AX53" i="31"/>
  <c r="AX54" i="31"/>
  <c r="AX55" i="31"/>
  <c r="J35" i="37"/>
  <c r="K35" i="37"/>
  <c r="L35" i="37"/>
  <c r="M35" i="37"/>
  <c r="N35" i="37"/>
  <c r="O35" i="37"/>
  <c r="P35" i="37"/>
  <c r="Q35" i="37"/>
  <c r="R35" i="37"/>
  <c r="S35" i="37"/>
  <c r="T35" i="37"/>
  <c r="U35" i="37"/>
  <c r="V35" i="37"/>
  <c r="W35" i="37"/>
  <c r="X35" i="37"/>
  <c r="Y35" i="37"/>
  <c r="Z35" i="37"/>
  <c r="AA35" i="37"/>
  <c r="AB35" i="37"/>
  <c r="AC35" i="37"/>
  <c r="AD35" i="37"/>
  <c r="AE35" i="37"/>
  <c r="AF35" i="37"/>
  <c r="AG35" i="37"/>
  <c r="AH35" i="37"/>
  <c r="AI35" i="37"/>
  <c r="AJ35" i="37"/>
  <c r="AK35" i="37"/>
  <c r="AL35" i="37"/>
  <c r="AM35" i="37"/>
  <c r="AN35" i="37"/>
  <c r="AO35" i="37"/>
  <c r="AP35" i="37"/>
  <c r="AQ35" i="37"/>
  <c r="AR35" i="37"/>
  <c r="AS35" i="37"/>
  <c r="AT35" i="37"/>
  <c r="AU35" i="37"/>
  <c r="AV35" i="37"/>
  <c r="AW35" i="37"/>
  <c r="AX35" i="37"/>
  <c r="J32" i="37"/>
  <c r="K32" i="37"/>
  <c r="L32" i="37"/>
  <c r="M32" i="37"/>
  <c r="N32" i="37"/>
  <c r="O32" i="37"/>
  <c r="P32" i="37"/>
  <c r="Q32" i="37"/>
  <c r="R32" i="37"/>
  <c r="S32" i="37"/>
  <c r="T32" i="37"/>
  <c r="U32" i="37"/>
  <c r="V32" i="37"/>
  <c r="W32" i="37"/>
  <c r="X32" i="37"/>
  <c r="Y32" i="37"/>
  <c r="Z32" i="37"/>
  <c r="AA32" i="37"/>
  <c r="AB32" i="37"/>
  <c r="AC32" i="37"/>
  <c r="AD32" i="37"/>
  <c r="AE32" i="37"/>
  <c r="AF32" i="37"/>
  <c r="AG32" i="37"/>
  <c r="AH32" i="37"/>
  <c r="AI32" i="37"/>
  <c r="AJ32" i="37"/>
  <c r="AK32" i="37"/>
  <c r="AL32" i="37"/>
  <c r="AM32" i="37"/>
  <c r="AN32" i="37"/>
  <c r="AO32" i="37"/>
  <c r="AP32" i="37"/>
  <c r="AQ32" i="37"/>
  <c r="AR32" i="37"/>
  <c r="AS32" i="37"/>
  <c r="AT32" i="37"/>
  <c r="AU32" i="37"/>
  <c r="AV32" i="37"/>
  <c r="AW32" i="37"/>
  <c r="AX32" i="37"/>
  <c r="J48" i="37"/>
  <c r="K48" i="37"/>
  <c r="L48" i="37"/>
  <c r="M48" i="37"/>
  <c r="N48" i="37"/>
  <c r="O48" i="37"/>
  <c r="P48" i="37"/>
  <c r="Q48" i="37"/>
  <c r="R48" i="37"/>
  <c r="S48" i="37"/>
  <c r="T48" i="37"/>
  <c r="U48" i="37"/>
  <c r="V48" i="37"/>
  <c r="W48" i="37"/>
  <c r="X48" i="37"/>
  <c r="Y48" i="37"/>
  <c r="Z48" i="37"/>
  <c r="AA48" i="37"/>
  <c r="AB48" i="37"/>
  <c r="AC48" i="37"/>
  <c r="AD48" i="37"/>
  <c r="AE48" i="37"/>
  <c r="AF48" i="37"/>
  <c r="AG48" i="37"/>
  <c r="AH48" i="37"/>
  <c r="AI48" i="37"/>
  <c r="AJ48" i="37"/>
  <c r="AK48" i="37"/>
  <c r="AL48" i="37"/>
  <c r="AM48" i="37"/>
  <c r="AN48" i="37"/>
  <c r="AO48" i="37"/>
  <c r="AP48" i="37"/>
  <c r="AQ48" i="37"/>
  <c r="AR48" i="37"/>
  <c r="AS48" i="37"/>
  <c r="AT48" i="37"/>
  <c r="AU48" i="37"/>
  <c r="AV48" i="37"/>
  <c r="AW48" i="37"/>
  <c r="AX48" i="37"/>
  <c r="J36" i="37"/>
  <c r="K36" i="37"/>
  <c r="L36" i="37"/>
  <c r="M36" i="37"/>
  <c r="N36" i="37"/>
  <c r="O36" i="37"/>
  <c r="P36" i="37"/>
  <c r="Q36" i="37"/>
  <c r="R36" i="37"/>
  <c r="S36" i="37"/>
  <c r="T36" i="37"/>
  <c r="U36" i="37"/>
  <c r="V36" i="37"/>
  <c r="W36" i="37"/>
  <c r="X36" i="37"/>
  <c r="Y36" i="37"/>
  <c r="Z36" i="37"/>
  <c r="AA36" i="37"/>
  <c r="AB36" i="37"/>
  <c r="AC36" i="37"/>
  <c r="AD36" i="37"/>
  <c r="AE36" i="37"/>
  <c r="AF36" i="37"/>
  <c r="AG36" i="37"/>
  <c r="AH36" i="37"/>
  <c r="AI36" i="37"/>
  <c r="AJ36" i="37"/>
  <c r="AK36" i="37"/>
  <c r="AL36" i="37"/>
  <c r="AM36" i="37"/>
  <c r="AN36" i="37"/>
  <c r="AO36" i="37"/>
  <c r="AP36" i="37"/>
  <c r="AQ36" i="37"/>
  <c r="AR36" i="37"/>
  <c r="AS36" i="37"/>
  <c r="AT36" i="37"/>
  <c r="AU36" i="37"/>
  <c r="AV36" i="37"/>
  <c r="AW36" i="37"/>
  <c r="AX36" i="37"/>
  <c r="J37" i="37"/>
  <c r="K37" i="37"/>
  <c r="L37" i="37"/>
  <c r="M37" i="37"/>
  <c r="N37" i="37"/>
  <c r="O37" i="37"/>
  <c r="P37" i="37"/>
  <c r="Q37" i="37"/>
  <c r="R37" i="37"/>
  <c r="S37" i="37"/>
  <c r="T37" i="37"/>
  <c r="U37" i="37"/>
  <c r="V37" i="37"/>
  <c r="W37" i="37"/>
  <c r="X37" i="37"/>
  <c r="Y37" i="37"/>
  <c r="Z37" i="37"/>
  <c r="AA37" i="37"/>
  <c r="AB37" i="37"/>
  <c r="AC37" i="37"/>
  <c r="AD37" i="37"/>
  <c r="AE37" i="37"/>
  <c r="AF37" i="37"/>
  <c r="AG37" i="37"/>
  <c r="AH37" i="37"/>
  <c r="AI37" i="37"/>
  <c r="AJ37" i="37"/>
  <c r="AK37" i="37"/>
  <c r="AL37" i="37"/>
  <c r="AM37" i="37"/>
  <c r="AN37" i="37"/>
  <c r="AO37" i="37"/>
  <c r="AP37" i="37"/>
  <c r="AQ37" i="37"/>
  <c r="AR37" i="37"/>
  <c r="AS37" i="37"/>
  <c r="AT37" i="37"/>
  <c r="AU37" i="37"/>
  <c r="AV37" i="37"/>
  <c r="AW37" i="37"/>
  <c r="AX37" i="37"/>
  <c r="J38" i="37"/>
  <c r="K38" i="37"/>
  <c r="L38" i="37"/>
  <c r="M38" i="37"/>
  <c r="N38" i="37"/>
  <c r="O38" i="37"/>
  <c r="P38" i="37"/>
  <c r="Q38" i="37"/>
  <c r="R38" i="37"/>
  <c r="S38" i="37"/>
  <c r="T38" i="37"/>
  <c r="U38" i="37"/>
  <c r="V38" i="37"/>
  <c r="W38" i="37"/>
  <c r="X38" i="37"/>
  <c r="Y38" i="37"/>
  <c r="Z38" i="37"/>
  <c r="AA38" i="37"/>
  <c r="AB38" i="37"/>
  <c r="AC38" i="37"/>
  <c r="AD38" i="37"/>
  <c r="AE38" i="37"/>
  <c r="AF38" i="37"/>
  <c r="AG38" i="37"/>
  <c r="AH38" i="37"/>
  <c r="AI38" i="37"/>
  <c r="AJ38" i="37"/>
  <c r="AK38" i="37"/>
  <c r="AL38" i="37"/>
  <c r="AM38" i="37"/>
  <c r="AN38" i="37"/>
  <c r="AO38" i="37"/>
  <c r="AP38" i="37"/>
  <c r="AQ38" i="37"/>
  <c r="AR38" i="37"/>
  <c r="AS38" i="37"/>
  <c r="AT38" i="37"/>
  <c r="AU38" i="37"/>
  <c r="AV38" i="37"/>
  <c r="AW38" i="37"/>
  <c r="AX38" i="37"/>
  <c r="J39" i="37"/>
  <c r="K39" i="37"/>
  <c r="L39" i="37"/>
  <c r="M39" i="37"/>
  <c r="N39" i="37"/>
  <c r="O39" i="37"/>
  <c r="P39" i="37"/>
  <c r="Q39" i="37"/>
  <c r="R39" i="37"/>
  <c r="S39" i="37"/>
  <c r="T39" i="37"/>
  <c r="U39" i="37"/>
  <c r="V39" i="37"/>
  <c r="W39" i="37"/>
  <c r="X39" i="37"/>
  <c r="Y39" i="37"/>
  <c r="Z39" i="37"/>
  <c r="AA39" i="37"/>
  <c r="AB39" i="37"/>
  <c r="AC39" i="37"/>
  <c r="AD39" i="37"/>
  <c r="AE39" i="37"/>
  <c r="AF39" i="37"/>
  <c r="AG39" i="37"/>
  <c r="AH39" i="37"/>
  <c r="AI39" i="37"/>
  <c r="AJ39" i="37"/>
  <c r="AK39" i="37"/>
  <c r="AL39" i="37"/>
  <c r="AM39" i="37"/>
  <c r="AN39" i="37"/>
  <c r="AO39" i="37"/>
  <c r="AP39" i="37"/>
  <c r="AQ39" i="37"/>
  <c r="AR39" i="37"/>
  <c r="AS39" i="37"/>
  <c r="AT39" i="37"/>
  <c r="AU39" i="37"/>
  <c r="AV39" i="37"/>
  <c r="AW39" i="37"/>
  <c r="AX39" i="37"/>
  <c r="J40" i="37"/>
  <c r="K40" i="37"/>
  <c r="L40" i="37"/>
  <c r="M40" i="37"/>
  <c r="N40" i="37"/>
  <c r="O40" i="37"/>
  <c r="P40" i="37"/>
  <c r="Q40" i="37"/>
  <c r="R40" i="37"/>
  <c r="S40" i="37"/>
  <c r="T40" i="37"/>
  <c r="U40" i="37"/>
  <c r="V40" i="37"/>
  <c r="W40" i="37"/>
  <c r="X40" i="37"/>
  <c r="Y40" i="37"/>
  <c r="Z40" i="37"/>
  <c r="AA40" i="37"/>
  <c r="AB40" i="37"/>
  <c r="AC40" i="37"/>
  <c r="AD40" i="37"/>
  <c r="AE40" i="37"/>
  <c r="AF40" i="37"/>
  <c r="AG40" i="37"/>
  <c r="AH40" i="37"/>
  <c r="AI40" i="37"/>
  <c r="AJ40" i="37"/>
  <c r="AK40" i="37"/>
  <c r="AL40" i="37"/>
  <c r="AM40" i="37"/>
  <c r="AN40" i="37"/>
  <c r="AO40" i="37"/>
  <c r="AP40" i="37"/>
  <c r="AQ40" i="37"/>
  <c r="AR40" i="37"/>
  <c r="AS40" i="37"/>
  <c r="AT40" i="37"/>
  <c r="AU40" i="37"/>
  <c r="AV40" i="37"/>
  <c r="AW40" i="37"/>
  <c r="AX40" i="37"/>
  <c r="J42" i="37"/>
  <c r="K42" i="37"/>
  <c r="L42" i="37"/>
  <c r="M42" i="37"/>
  <c r="N42" i="37"/>
  <c r="O42" i="37"/>
  <c r="P42" i="37"/>
  <c r="Q42" i="37"/>
  <c r="R42" i="37"/>
  <c r="S42" i="37"/>
  <c r="T42" i="37"/>
  <c r="U42" i="37"/>
  <c r="V42" i="37"/>
  <c r="W42" i="37"/>
  <c r="X42" i="37"/>
  <c r="Y42" i="37"/>
  <c r="Z42" i="37"/>
  <c r="AA42" i="37"/>
  <c r="AB42" i="37"/>
  <c r="AC42" i="37"/>
  <c r="AD42" i="37"/>
  <c r="AE42" i="37"/>
  <c r="AF42" i="37"/>
  <c r="AG42" i="37"/>
  <c r="AH42" i="37"/>
  <c r="AI42" i="37"/>
  <c r="AJ42" i="37"/>
  <c r="AK42" i="37"/>
  <c r="AL42" i="37"/>
  <c r="AM42" i="37"/>
  <c r="AN42" i="37"/>
  <c r="AO42" i="37"/>
  <c r="AP42" i="37"/>
  <c r="AQ42" i="37"/>
  <c r="AR42" i="37"/>
  <c r="AS42" i="37"/>
  <c r="AT42" i="37"/>
  <c r="AU42" i="37"/>
  <c r="AV42" i="37"/>
  <c r="AW42" i="37"/>
  <c r="AX42" i="37"/>
  <c r="J43" i="37"/>
  <c r="K43" i="37"/>
  <c r="L43" i="37"/>
  <c r="M43" i="37"/>
  <c r="N43" i="37"/>
  <c r="O43" i="37"/>
  <c r="P43" i="37"/>
  <c r="Q43" i="37"/>
  <c r="R43" i="37"/>
  <c r="S43" i="37"/>
  <c r="T43" i="37"/>
  <c r="U43" i="37"/>
  <c r="V43" i="37"/>
  <c r="W43" i="37"/>
  <c r="X43" i="37"/>
  <c r="Y43" i="37"/>
  <c r="Z43" i="37"/>
  <c r="AA43" i="37"/>
  <c r="AB43" i="37"/>
  <c r="AC43" i="37"/>
  <c r="AD43" i="37"/>
  <c r="AE43" i="37"/>
  <c r="AF43" i="37"/>
  <c r="AG43" i="37"/>
  <c r="AH43" i="37"/>
  <c r="AI43" i="37"/>
  <c r="AJ43" i="37"/>
  <c r="AK43" i="37"/>
  <c r="AL43" i="37"/>
  <c r="AM43" i="37"/>
  <c r="AN43" i="37"/>
  <c r="AO43" i="37"/>
  <c r="AP43" i="37"/>
  <c r="AQ43" i="37"/>
  <c r="AR43" i="37"/>
  <c r="AS43" i="37"/>
  <c r="AT43" i="37"/>
  <c r="AU43" i="37"/>
  <c r="AV43" i="37"/>
  <c r="AW43" i="37"/>
  <c r="AX43" i="37"/>
  <c r="J41" i="37"/>
  <c r="K41" i="37"/>
  <c r="L41" i="37"/>
  <c r="M41" i="37"/>
  <c r="N41" i="37"/>
  <c r="O41" i="37"/>
  <c r="P41" i="37"/>
  <c r="Q41" i="37"/>
  <c r="R41" i="37"/>
  <c r="S41" i="37"/>
  <c r="T41" i="37"/>
  <c r="U41" i="37"/>
  <c r="V41" i="37"/>
  <c r="W41" i="37"/>
  <c r="X41" i="37"/>
  <c r="Y41" i="37"/>
  <c r="Z41" i="37"/>
  <c r="AA41" i="37"/>
  <c r="AB41" i="37"/>
  <c r="AC41" i="37"/>
  <c r="AD41" i="37"/>
  <c r="AE41" i="37"/>
  <c r="AF41" i="37"/>
  <c r="AG41" i="37"/>
  <c r="AH41" i="37"/>
  <c r="AI41" i="37"/>
  <c r="AJ41" i="37"/>
  <c r="AK41" i="37"/>
  <c r="AL41" i="37"/>
  <c r="AM41" i="37"/>
  <c r="AN41" i="37"/>
  <c r="AO41" i="37"/>
  <c r="AP41" i="37"/>
  <c r="AQ41" i="37"/>
  <c r="AR41" i="37"/>
  <c r="AS41" i="37"/>
  <c r="AT41" i="37"/>
  <c r="AU41" i="37"/>
  <c r="AV41" i="37"/>
  <c r="AW41" i="37"/>
  <c r="AX41" i="37"/>
  <c r="J44" i="37"/>
  <c r="K44" i="37"/>
  <c r="L44" i="37"/>
  <c r="M44" i="37"/>
  <c r="N44" i="37"/>
  <c r="O44" i="37"/>
  <c r="P44" i="37"/>
  <c r="Q44" i="37"/>
  <c r="R44" i="37"/>
  <c r="S44" i="37"/>
  <c r="T44" i="37"/>
  <c r="U44" i="37"/>
  <c r="V44" i="37"/>
  <c r="W44" i="37"/>
  <c r="X44" i="37"/>
  <c r="Y44" i="37"/>
  <c r="Z44" i="37"/>
  <c r="AA44" i="37"/>
  <c r="AB44" i="37"/>
  <c r="AC44" i="37"/>
  <c r="AD44" i="37"/>
  <c r="AE44" i="37"/>
  <c r="AF44" i="37"/>
  <c r="AG44" i="37"/>
  <c r="AH44" i="37"/>
  <c r="AI44" i="37"/>
  <c r="AJ44" i="37"/>
  <c r="AK44" i="37"/>
  <c r="AL44" i="37"/>
  <c r="AM44" i="37"/>
  <c r="AN44" i="37"/>
  <c r="AO44" i="37"/>
  <c r="AP44" i="37"/>
  <c r="AQ44" i="37"/>
  <c r="AR44" i="37"/>
  <c r="AS44" i="37"/>
  <c r="AT44" i="37"/>
  <c r="AU44" i="37"/>
  <c r="AV44" i="37"/>
  <c r="AW44" i="37"/>
  <c r="AX44" i="37"/>
  <c r="J45" i="37"/>
  <c r="K45" i="37"/>
  <c r="L45" i="37"/>
  <c r="M45" i="37"/>
  <c r="N45" i="37"/>
  <c r="O45" i="37"/>
  <c r="P45" i="37"/>
  <c r="Q45" i="37"/>
  <c r="R45" i="37"/>
  <c r="S45" i="37"/>
  <c r="T45" i="37"/>
  <c r="U45" i="37"/>
  <c r="V45" i="37"/>
  <c r="W45" i="37"/>
  <c r="X45" i="37"/>
  <c r="Y45" i="37"/>
  <c r="Z45" i="37"/>
  <c r="AA45" i="37"/>
  <c r="AB45" i="37"/>
  <c r="AC45" i="37"/>
  <c r="AD45" i="37"/>
  <c r="AE45" i="37"/>
  <c r="AF45" i="37"/>
  <c r="AG45" i="37"/>
  <c r="AH45" i="37"/>
  <c r="AI45" i="37"/>
  <c r="AJ45" i="37"/>
  <c r="AK45" i="37"/>
  <c r="AL45" i="37"/>
  <c r="AM45" i="37"/>
  <c r="AN45" i="37"/>
  <c r="AO45" i="37"/>
  <c r="AP45" i="37"/>
  <c r="AQ45" i="37"/>
  <c r="AR45" i="37"/>
  <c r="AS45" i="37"/>
  <c r="AT45" i="37"/>
  <c r="AU45" i="37"/>
  <c r="AV45" i="37"/>
  <c r="AW45" i="37"/>
  <c r="AX45" i="37"/>
  <c r="J46" i="37"/>
  <c r="K46" i="37"/>
  <c r="L46" i="37"/>
  <c r="M46" i="37"/>
  <c r="N46" i="37"/>
  <c r="O46" i="37"/>
  <c r="P46" i="37"/>
  <c r="Q46" i="37"/>
  <c r="R46" i="37"/>
  <c r="S46" i="37"/>
  <c r="T46" i="37"/>
  <c r="U46" i="37"/>
  <c r="V46" i="37"/>
  <c r="W46" i="37"/>
  <c r="X46" i="37"/>
  <c r="Y46" i="37"/>
  <c r="Z46" i="37"/>
  <c r="AA46" i="37"/>
  <c r="AB46" i="37"/>
  <c r="AC46" i="37"/>
  <c r="AD46" i="37"/>
  <c r="AE46" i="37"/>
  <c r="AF46" i="37"/>
  <c r="AG46" i="37"/>
  <c r="AH46" i="37"/>
  <c r="AI46" i="37"/>
  <c r="AJ46" i="37"/>
  <c r="AK46" i="37"/>
  <c r="AL46" i="37"/>
  <c r="AM46" i="37"/>
  <c r="AN46" i="37"/>
  <c r="AO46" i="37"/>
  <c r="AP46" i="37"/>
  <c r="AQ46" i="37"/>
  <c r="AR46" i="37"/>
  <c r="AS46" i="37"/>
  <c r="AT46" i="37"/>
  <c r="AU46" i="37"/>
  <c r="AV46" i="37"/>
  <c r="AW46" i="37"/>
  <c r="AX46" i="37"/>
  <c r="J47" i="37"/>
  <c r="K47" i="37"/>
  <c r="L47" i="37"/>
  <c r="M47" i="37"/>
  <c r="N47" i="37"/>
  <c r="O47" i="37"/>
  <c r="P47" i="37"/>
  <c r="Q47" i="37"/>
  <c r="R47" i="37"/>
  <c r="S47" i="37"/>
  <c r="T47" i="37"/>
  <c r="U47" i="37"/>
  <c r="V47" i="37"/>
  <c r="W47" i="37"/>
  <c r="X47" i="37"/>
  <c r="Y47" i="37"/>
  <c r="Z47" i="37"/>
  <c r="AA47" i="37"/>
  <c r="AB47" i="37"/>
  <c r="AC47" i="37"/>
  <c r="AD47" i="37"/>
  <c r="AE47" i="37"/>
  <c r="AF47" i="37"/>
  <c r="AG47" i="37"/>
  <c r="AH47" i="37"/>
  <c r="AI47" i="37"/>
  <c r="AJ47" i="37"/>
  <c r="AK47" i="37"/>
  <c r="AL47" i="37"/>
  <c r="AM47" i="37"/>
  <c r="AN47" i="37"/>
  <c r="AO47" i="37"/>
  <c r="AP47" i="37"/>
  <c r="AQ47" i="37"/>
  <c r="AR47" i="37"/>
  <c r="AS47" i="37"/>
  <c r="AT47" i="37"/>
  <c r="AU47" i="37"/>
  <c r="AV47" i="37"/>
  <c r="AW47" i="37"/>
  <c r="AX47" i="37"/>
  <c r="J49" i="37"/>
  <c r="K49" i="37"/>
  <c r="L49" i="37"/>
  <c r="M49" i="37"/>
  <c r="N49" i="37"/>
  <c r="O49" i="37"/>
  <c r="P49" i="37"/>
  <c r="Q49" i="37"/>
  <c r="R49" i="37"/>
  <c r="S49" i="37"/>
  <c r="T49" i="37"/>
  <c r="U49" i="37"/>
  <c r="V49" i="37"/>
  <c r="W49" i="37"/>
  <c r="X49" i="37"/>
  <c r="Y49" i="37"/>
  <c r="Z49" i="37"/>
  <c r="AA49" i="37"/>
  <c r="AB49" i="37"/>
  <c r="AC49" i="37"/>
  <c r="AD49" i="37"/>
  <c r="AE49" i="37"/>
  <c r="AF49" i="37"/>
  <c r="AG49" i="37"/>
  <c r="AH49" i="37"/>
  <c r="AI49" i="37"/>
  <c r="AJ49" i="37"/>
  <c r="AK49" i="37"/>
  <c r="AL49" i="37"/>
  <c r="AM49" i="37"/>
  <c r="AN49" i="37"/>
  <c r="AO49" i="37"/>
  <c r="AP49" i="37"/>
  <c r="AQ49" i="37"/>
  <c r="AR49" i="37"/>
  <c r="AS49" i="37"/>
  <c r="AT49" i="37"/>
  <c r="AU49" i="37"/>
  <c r="AV49" i="37"/>
  <c r="AW49" i="37"/>
  <c r="AX49" i="37"/>
  <c r="J50" i="37"/>
  <c r="K50" i="37"/>
  <c r="L50" i="37"/>
  <c r="M50" i="37"/>
  <c r="N50" i="37"/>
  <c r="O50" i="37"/>
  <c r="P50" i="37"/>
  <c r="Q50" i="37"/>
  <c r="R50" i="37"/>
  <c r="S50" i="37"/>
  <c r="T50" i="37"/>
  <c r="U50" i="37"/>
  <c r="V50" i="37"/>
  <c r="W50" i="37"/>
  <c r="X50" i="37"/>
  <c r="Y50" i="37"/>
  <c r="Z50" i="37"/>
  <c r="AA50" i="37"/>
  <c r="AB50" i="37"/>
  <c r="AC50" i="37"/>
  <c r="AD50" i="37"/>
  <c r="AE50" i="37"/>
  <c r="AF50" i="37"/>
  <c r="AG50" i="37"/>
  <c r="AH50" i="37"/>
  <c r="AI50" i="37"/>
  <c r="AJ50" i="37"/>
  <c r="AK50" i="37"/>
  <c r="AL50" i="37"/>
  <c r="AM50" i="37"/>
  <c r="AN50" i="37"/>
  <c r="AO50" i="37"/>
  <c r="AP50" i="37"/>
  <c r="AQ50" i="37"/>
  <c r="AR50" i="37"/>
  <c r="AS50" i="37"/>
  <c r="AT50" i="37"/>
  <c r="AU50" i="37"/>
  <c r="AV50" i="37"/>
  <c r="AW50" i="37"/>
  <c r="AX50" i="37"/>
  <c r="J51" i="37"/>
  <c r="K51" i="37"/>
  <c r="L51" i="37"/>
  <c r="M51" i="37"/>
  <c r="N51" i="37"/>
  <c r="O51" i="37"/>
  <c r="P51" i="37"/>
  <c r="Q51" i="37"/>
  <c r="R51" i="37"/>
  <c r="S51" i="37"/>
  <c r="T51" i="37"/>
  <c r="U51" i="37"/>
  <c r="V51" i="37"/>
  <c r="W51" i="37"/>
  <c r="X51" i="37"/>
  <c r="Y51" i="37"/>
  <c r="Z51" i="37"/>
  <c r="AA51" i="37"/>
  <c r="AB51" i="37"/>
  <c r="AC51" i="37"/>
  <c r="AD51" i="37"/>
  <c r="AE51" i="37"/>
  <c r="AF51" i="37"/>
  <c r="AG51" i="37"/>
  <c r="AH51" i="37"/>
  <c r="AI51" i="37"/>
  <c r="AJ51" i="37"/>
  <c r="AK51" i="37"/>
  <c r="AL51" i="37"/>
  <c r="AM51" i="37"/>
  <c r="AN51" i="37"/>
  <c r="AO51" i="37"/>
  <c r="AP51" i="37"/>
  <c r="AQ51" i="37"/>
  <c r="AR51" i="37"/>
  <c r="AS51" i="37"/>
  <c r="AT51" i="37"/>
  <c r="AU51" i="37"/>
  <c r="AV51" i="37"/>
  <c r="AW51" i="37"/>
  <c r="AX51" i="37"/>
  <c r="J52" i="37"/>
  <c r="K52" i="37"/>
  <c r="L52" i="37"/>
  <c r="M52" i="37"/>
  <c r="N52" i="37"/>
  <c r="O52" i="37"/>
  <c r="P52" i="37"/>
  <c r="Q52" i="37"/>
  <c r="R52" i="37"/>
  <c r="S52" i="37"/>
  <c r="T52" i="37"/>
  <c r="U52" i="37"/>
  <c r="V52" i="37"/>
  <c r="W52" i="37"/>
  <c r="X52" i="37"/>
  <c r="Y52" i="37"/>
  <c r="Z52" i="37"/>
  <c r="AA52" i="37"/>
  <c r="AB52" i="37"/>
  <c r="AC52" i="37"/>
  <c r="AD52" i="37"/>
  <c r="AE52" i="37"/>
  <c r="AF52" i="37"/>
  <c r="AG52" i="37"/>
  <c r="AH52" i="37"/>
  <c r="AI52" i="37"/>
  <c r="AJ52" i="37"/>
  <c r="AK52" i="37"/>
  <c r="AL52" i="37"/>
  <c r="AM52" i="37"/>
  <c r="AN52" i="37"/>
  <c r="AO52" i="37"/>
  <c r="AP52" i="37"/>
  <c r="AQ52" i="37"/>
  <c r="AR52" i="37"/>
  <c r="AS52" i="37"/>
  <c r="AT52" i="37"/>
  <c r="AU52" i="37"/>
  <c r="AV52" i="37"/>
  <c r="AW52" i="37"/>
  <c r="AX52" i="37"/>
  <c r="J53" i="37"/>
  <c r="K53" i="37"/>
  <c r="L53" i="37"/>
  <c r="M53" i="37"/>
  <c r="N53" i="37"/>
  <c r="O53" i="37"/>
  <c r="P53" i="37"/>
  <c r="Q53" i="37"/>
  <c r="R53" i="37"/>
  <c r="S53" i="37"/>
  <c r="T53" i="37"/>
  <c r="U53" i="37"/>
  <c r="V53" i="37"/>
  <c r="W53" i="37"/>
  <c r="X53" i="37"/>
  <c r="Y53" i="37"/>
  <c r="Z53" i="37"/>
  <c r="AA53" i="37"/>
  <c r="AB53" i="37"/>
  <c r="AC53" i="37"/>
  <c r="AD53" i="37"/>
  <c r="AE53" i="37"/>
  <c r="AF53" i="37"/>
  <c r="AG53" i="37"/>
  <c r="AH53" i="37"/>
  <c r="AI53" i="37"/>
  <c r="AJ53" i="37"/>
  <c r="AK53" i="37"/>
  <c r="AL53" i="37"/>
  <c r="AM53" i="37"/>
  <c r="AN53" i="37"/>
  <c r="AO53" i="37"/>
  <c r="AP53" i="37"/>
  <c r="AQ53" i="37"/>
  <c r="AR53" i="37"/>
  <c r="AS53" i="37"/>
  <c r="AT53" i="37"/>
  <c r="AU53" i="37"/>
  <c r="AV53" i="37"/>
  <c r="AW53" i="37"/>
  <c r="AX53" i="37"/>
  <c r="J54" i="37"/>
  <c r="K54" i="37"/>
  <c r="L54" i="37"/>
  <c r="M54" i="37"/>
  <c r="N54" i="37"/>
  <c r="O54" i="37"/>
  <c r="P54" i="37"/>
  <c r="Q54" i="37"/>
  <c r="R54" i="37"/>
  <c r="S54" i="37"/>
  <c r="T54" i="37"/>
  <c r="U54" i="37"/>
  <c r="V54" i="37"/>
  <c r="W54" i="37"/>
  <c r="X54" i="37"/>
  <c r="Y54" i="37"/>
  <c r="Z54" i="37"/>
  <c r="AA54" i="37"/>
  <c r="AB54" i="37"/>
  <c r="AC54" i="37"/>
  <c r="AD54" i="37"/>
  <c r="AE54" i="37"/>
  <c r="AF54" i="37"/>
  <c r="AG54" i="37"/>
  <c r="AH54" i="37"/>
  <c r="AI54" i="37"/>
  <c r="AJ54" i="37"/>
  <c r="AK54" i="37"/>
  <c r="AL54" i="37"/>
  <c r="AM54" i="37"/>
  <c r="AN54" i="37"/>
  <c r="AO54" i="37"/>
  <c r="AP54" i="37"/>
  <c r="AQ54" i="37"/>
  <c r="AR54" i="37"/>
  <c r="AS54" i="37"/>
  <c r="AT54" i="37"/>
  <c r="AU54" i="37"/>
  <c r="AV54" i="37"/>
  <c r="AW54" i="37"/>
  <c r="AX54" i="37"/>
  <c r="J55" i="37"/>
  <c r="K55" i="37"/>
  <c r="L55" i="37"/>
  <c r="M55" i="37"/>
  <c r="N55" i="37"/>
  <c r="O55" i="37"/>
  <c r="P55" i="37"/>
  <c r="Q55" i="37"/>
  <c r="R55" i="37"/>
  <c r="S55" i="37"/>
  <c r="T55" i="37"/>
  <c r="U55" i="37"/>
  <c r="V55" i="37"/>
  <c r="W55" i="37"/>
  <c r="X55" i="37"/>
  <c r="Y55" i="37"/>
  <c r="Z55" i="37"/>
  <c r="AA55" i="37"/>
  <c r="AB55" i="37"/>
  <c r="AC55" i="37"/>
  <c r="AD55" i="37"/>
  <c r="AE55" i="37"/>
  <c r="AF55" i="37"/>
  <c r="AG55" i="37"/>
  <c r="AH55" i="37"/>
  <c r="AI55" i="37"/>
  <c r="AJ55" i="37"/>
  <c r="AK55" i="37"/>
  <c r="AL55" i="37"/>
  <c r="AM55" i="37"/>
  <c r="AN55" i="37"/>
  <c r="AO55" i="37"/>
  <c r="AP55" i="37"/>
  <c r="AQ55" i="37"/>
  <c r="AR55" i="37"/>
  <c r="AS55" i="37"/>
  <c r="AT55" i="37"/>
  <c r="AU55" i="37"/>
  <c r="AV55" i="37"/>
  <c r="AW55" i="37"/>
  <c r="AX55" i="37"/>
  <c r="AX33" i="37"/>
  <c r="AW33" i="37"/>
  <c r="AV33" i="37"/>
  <c r="AU33" i="37"/>
  <c r="AT33" i="37"/>
  <c r="AS33" i="37"/>
  <c r="AR33" i="37"/>
  <c r="AQ33" i="37"/>
  <c r="AP33" i="37"/>
  <c r="AO33" i="37"/>
  <c r="AN33" i="37"/>
  <c r="AM33" i="37"/>
  <c r="AL33" i="37"/>
  <c r="AK33" i="37"/>
  <c r="AJ33" i="37"/>
  <c r="AI33" i="37"/>
  <c r="AH33" i="37"/>
  <c r="AG33" i="37"/>
  <c r="AF33" i="37"/>
  <c r="AE33" i="37"/>
  <c r="AD33" i="37"/>
  <c r="AC33" i="37"/>
  <c r="AB33" i="37"/>
  <c r="AA33" i="37"/>
  <c r="Z33" i="37"/>
  <c r="Y33" i="37"/>
  <c r="X33" i="37"/>
  <c r="W33" i="37"/>
  <c r="V33" i="37"/>
  <c r="U33" i="37"/>
  <c r="T33" i="37"/>
  <c r="S33" i="37"/>
  <c r="R33" i="37"/>
  <c r="Q33" i="37"/>
  <c r="P33" i="37"/>
  <c r="O33" i="37"/>
  <c r="N33" i="37"/>
  <c r="M33" i="37"/>
  <c r="L33" i="37"/>
  <c r="K33" i="37"/>
  <c r="J33" i="37"/>
  <c r="AX31" i="37"/>
  <c r="AW31" i="37"/>
  <c r="AV31" i="37"/>
  <c r="AU31" i="37"/>
  <c r="AT31" i="37"/>
  <c r="AS31" i="37"/>
  <c r="AR31" i="37"/>
  <c r="AQ31" i="37"/>
  <c r="AP31" i="37"/>
  <c r="AO31" i="37"/>
  <c r="AN31" i="37"/>
  <c r="AM31" i="37"/>
  <c r="AL31" i="37"/>
  <c r="AK31" i="37"/>
  <c r="AJ31" i="37"/>
  <c r="AI31" i="37"/>
  <c r="AH31" i="37"/>
  <c r="AG31" i="37"/>
  <c r="AF31" i="37"/>
  <c r="AE31" i="37"/>
  <c r="AD31" i="37"/>
  <c r="AC31" i="37"/>
  <c r="AB31" i="37"/>
  <c r="AA31" i="37"/>
  <c r="Z31" i="37"/>
  <c r="Y31" i="37"/>
  <c r="X31" i="37"/>
  <c r="W31" i="37"/>
  <c r="V31" i="37"/>
  <c r="U31" i="37"/>
  <c r="T31" i="37"/>
  <c r="S31" i="37"/>
  <c r="R31" i="37"/>
  <c r="Q31" i="37"/>
  <c r="P31" i="37"/>
  <c r="O31" i="37"/>
  <c r="N31" i="37"/>
  <c r="M31" i="37"/>
  <c r="L31" i="37"/>
  <c r="K31" i="37"/>
  <c r="J31" i="37"/>
  <c r="AX30" i="37"/>
  <c r="AW30" i="37"/>
  <c r="AV30" i="37"/>
  <c r="AU30" i="37"/>
  <c r="AT30" i="37"/>
  <c r="AS30" i="37"/>
  <c r="AR30" i="37"/>
  <c r="AQ30" i="37"/>
  <c r="AP30" i="37"/>
  <c r="AO30" i="37"/>
  <c r="AN30" i="37"/>
  <c r="AM30" i="37"/>
  <c r="AL30" i="37"/>
  <c r="AK30" i="37"/>
  <c r="AJ30" i="37"/>
  <c r="AI30" i="37"/>
  <c r="AH30" i="37"/>
  <c r="AG30" i="37"/>
  <c r="AF30" i="37"/>
  <c r="AE30" i="37"/>
  <c r="AD30" i="37"/>
  <c r="AC30" i="37"/>
  <c r="AB30" i="37"/>
  <c r="AA30" i="37"/>
  <c r="Z30" i="37"/>
  <c r="Y30" i="37"/>
  <c r="X30" i="37"/>
  <c r="W30" i="37"/>
  <c r="V30" i="37"/>
  <c r="U30" i="37"/>
  <c r="T30" i="37"/>
  <c r="S30" i="37"/>
  <c r="R30" i="37"/>
  <c r="Q30" i="37"/>
  <c r="P30" i="37"/>
  <c r="O30" i="37"/>
  <c r="N30" i="37"/>
  <c r="M30" i="37"/>
  <c r="L30" i="37"/>
  <c r="K30" i="37"/>
  <c r="J30" i="37"/>
  <c r="AX29" i="37"/>
  <c r="AW29" i="37"/>
  <c r="AV29" i="37"/>
  <c r="AU29" i="37"/>
  <c r="AT29" i="37"/>
  <c r="AS29" i="37"/>
  <c r="AR29" i="37"/>
  <c r="AQ29" i="37"/>
  <c r="AP29" i="37"/>
  <c r="AO29" i="37"/>
  <c r="AN29" i="37"/>
  <c r="AM29" i="37"/>
  <c r="AL29" i="37"/>
  <c r="AK29" i="37"/>
  <c r="AJ29" i="37"/>
  <c r="AI29" i="37"/>
  <c r="AH29" i="37"/>
  <c r="AG29" i="37"/>
  <c r="AF29" i="37"/>
  <c r="AE29" i="37"/>
  <c r="AD29" i="37"/>
  <c r="AC29" i="37"/>
  <c r="AB29" i="37"/>
  <c r="AA29" i="37"/>
  <c r="Z29" i="37"/>
  <c r="Y29" i="37"/>
  <c r="X29" i="37"/>
  <c r="W29" i="37"/>
  <c r="V29" i="37"/>
  <c r="U29" i="37"/>
  <c r="T29" i="37"/>
  <c r="S29" i="37"/>
  <c r="R29" i="37"/>
  <c r="Q29" i="37"/>
  <c r="P29" i="37"/>
  <c r="O29" i="37"/>
  <c r="N29" i="37"/>
  <c r="M29" i="37"/>
  <c r="L29" i="37"/>
  <c r="K29" i="37"/>
  <c r="J29" i="37"/>
  <c r="AX28" i="37"/>
  <c r="AW28" i="37"/>
  <c r="AV28" i="37"/>
  <c r="AU28" i="37"/>
  <c r="AT28" i="37"/>
  <c r="AS28" i="37"/>
  <c r="AR28" i="37"/>
  <c r="AQ28" i="37"/>
  <c r="AP28" i="37"/>
  <c r="AO28" i="37"/>
  <c r="AN28" i="37"/>
  <c r="AM28" i="37"/>
  <c r="AL28" i="37"/>
  <c r="AK28" i="37"/>
  <c r="AJ28" i="37"/>
  <c r="AI28" i="37"/>
  <c r="AH28" i="37"/>
  <c r="AG28" i="37"/>
  <c r="AF28" i="37"/>
  <c r="AE28" i="37"/>
  <c r="AD28" i="37"/>
  <c r="AC28" i="37"/>
  <c r="AB28" i="37"/>
  <c r="AA28" i="37"/>
  <c r="Z28" i="37"/>
  <c r="Y28" i="37"/>
  <c r="X28" i="37"/>
  <c r="W28" i="37"/>
  <c r="V28" i="37"/>
  <c r="U28" i="37"/>
  <c r="T28" i="37"/>
  <c r="S28" i="37"/>
  <c r="R28" i="37"/>
  <c r="Q28" i="37"/>
  <c r="P28" i="37"/>
  <c r="O28" i="37"/>
  <c r="N28" i="37"/>
  <c r="M28" i="37"/>
  <c r="L28" i="37"/>
  <c r="K28" i="37"/>
  <c r="J28" i="37"/>
  <c r="AX27" i="37"/>
  <c r="AW27" i="37"/>
  <c r="AV27" i="37"/>
  <c r="AU27" i="37"/>
  <c r="AT27" i="37"/>
  <c r="AS27" i="37"/>
  <c r="AR27" i="37"/>
  <c r="AQ27" i="37"/>
  <c r="AP27" i="37"/>
  <c r="AO27" i="37"/>
  <c r="AN27" i="37"/>
  <c r="AM27" i="37"/>
  <c r="AL27" i="37"/>
  <c r="AK27" i="37"/>
  <c r="AJ27" i="37"/>
  <c r="AI27" i="37"/>
  <c r="AH27" i="37"/>
  <c r="AG27" i="37"/>
  <c r="AF27" i="37"/>
  <c r="AE27" i="37"/>
  <c r="AD27" i="37"/>
  <c r="AC27" i="37"/>
  <c r="AB27" i="37"/>
  <c r="AA27" i="37"/>
  <c r="Z27" i="37"/>
  <c r="Y27" i="37"/>
  <c r="X27" i="37"/>
  <c r="W27" i="37"/>
  <c r="V27" i="37"/>
  <c r="U27" i="37"/>
  <c r="T27" i="37"/>
  <c r="S27" i="37"/>
  <c r="R27" i="37"/>
  <c r="Q27" i="37"/>
  <c r="P27" i="37"/>
  <c r="O27" i="37"/>
  <c r="N27" i="37"/>
  <c r="M27" i="37"/>
  <c r="L27" i="37"/>
  <c r="K27" i="37"/>
  <c r="J27" i="37"/>
  <c r="AX26" i="37"/>
  <c r="AW26" i="37"/>
  <c r="AV26" i="37"/>
  <c r="AU26" i="37"/>
  <c r="AT26" i="37"/>
  <c r="AS26" i="37"/>
  <c r="AR26" i="37"/>
  <c r="AQ26" i="37"/>
  <c r="AP26" i="37"/>
  <c r="AO26" i="37"/>
  <c r="AN26" i="37"/>
  <c r="AM26" i="37"/>
  <c r="AL26" i="37"/>
  <c r="AK26" i="37"/>
  <c r="AJ26" i="37"/>
  <c r="AI26" i="37"/>
  <c r="AH26" i="37"/>
  <c r="AG26" i="37"/>
  <c r="AF26" i="37"/>
  <c r="AE26" i="37"/>
  <c r="AD26" i="37"/>
  <c r="AC26" i="37"/>
  <c r="AB26" i="37"/>
  <c r="AA26" i="37"/>
  <c r="Z26" i="37"/>
  <c r="Y26" i="37"/>
  <c r="X26" i="37"/>
  <c r="W26" i="37"/>
  <c r="V26" i="37"/>
  <c r="U26" i="37"/>
  <c r="T26" i="37"/>
  <c r="S26" i="37"/>
  <c r="R26" i="37"/>
  <c r="Q26" i="37"/>
  <c r="P26" i="37"/>
  <c r="O26" i="37"/>
  <c r="N26" i="37"/>
  <c r="M26" i="37"/>
  <c r="L26" i="37"/>
  <c r="K26" i="37"/>
  <c r="J26" i="37"/>
  <c r="AX25" i="37"/>
  <c r="AW25" i="37"/>
  <c r="AV25" i="37"/>
  <c r="AU25" i="37"/>
  <c r="AT25" i="37"/>
  <c r="AS25" i="37"/>
  <c r="AR25" i="37"/>
  <c r="AQ25" i="37"/>
  <c r="AP25" i="37"/>
  <c r="AO25" i="37"/>
  <c r="AN25" i="37"/>
  <c r="AM25" i="37"/>
  <c r="AL25" i="37"/>
  <c r="AK25" i="37"/>
  <c r="AJ25" i="37"/>
  <c r="AI25" i="37"/>
  <c r="AH25" i="37"/>
  <c r="AG25" i="37"/>
  <c r="AF25" i="37"/>
  <c r="AE25" i="37"/>
  <c r="AD25" i="37"/>
  <c r="AC25" i="37"/>
  <c r="AB25" i="37"/>
  <c r="AA25" i="37"/>
  <c r="Z25" i="37"/>
  <c r="Y25" i="37"/>
  <c r="X25" i="37"/>
  <c r="W25" i="37"/>
  <c r="V25" i="37"/>
  <c r="U25" i="37"/>
  <c r="T25" i="37"/>
  <c r="S25" i="37"/>
  <c r="R25" i="37"/>
  <c r="Q25" i="37"/>
  <c r="P25" i="37"/>
  <c r="O25" i="37"/>
  <c r="N25" i="37"/>
  <c r="M25" i="37"/>
  <c r="L25" i="37"/>
  <c r="K25" i="37"/>
  <c r="J25" i="37"/>
  <c r="AX24" i="37"/>
  <c r="AW24" i="37"/>
  <c r="AV24" i="37"/>
  <c r="AU24" i="37"/>
  <c r="AT24" i="37"/>
  <c r="AS24" i="37"/>
  <c r="AR24" i="37"/>
  <c r="AQ24" i="37"/>
  <c r="AP24" i="37"/>
  <c r="AO24" i="37"/>
  <c r="AN24" i="37"/>
  <c r="AM24" i="37"/>
  <c r="AL24" i="37"/>
  <c r="AK24" i="37"/>
  <c r="AJ24" i="37"/>
  <c r="AI24" i="37"/>
  <c r="AH24" i="37"/>
  <c r="AG24" i="37"/>
  <c r="AF24" i="37"/>
  <c r="AE24" i="37"/>
  <c r="AD24" i="37"/>
  <c r="AC24" i="37"/>
  <c r="AB24" i="37"/>
  <c r="AA24" i="37"/>
  <c r="Z24" i="37"/>
  <c r="Y24" i="37"/>
  <c r="X24" i="37"/>
  <c r="W24" i="37"/>
  <c r="V24" i="37"/>
  <c r="U24" i="37"/>
  <c r="T24" i="37"/>
  <c r="S24" i="37"/>
  <c r="R24" i="37"/>
  <c r="Q24" i="37"/>
  <c r="P24" i="37"/>
  <c r="O24" i="37"/>
  <c r="N24" i="37"/>
  <c r="M24" i="37"/>
  <c r="L24" i="37"/>
  <c r="K24" i="37"/>
  <c r="J24" i="37"/>
  <c r="AX23" i="37"/>
  <c r="AW23" i="37"/>
  <c r="AV23" i="37"/>
  <c r="AU23" i="37"/>
  <c r="AT23" i="37"/>
  <c r="AS23" i="37"/>
  <c r="AR23" i="37"/>
  <c r="AQ23" i="37"/>
  <c r="AP23" i="37"/>
  <c r="AO23" i="37"/>
  <c r="AN23" i="37"/>
  <c r="AM23" i="37"/>
  <c r="AL23" i="37"/>
  <c r="AK23" i="37"/>
  <c r="AJ23" i="37"/>
  <c r="AI23" i="37"/>
  <c r="AH23" i="37"/>
  <c r="AG23" i="37"/>
  <c r="AF23" i="37"/>
  <c r="AE23" i="37"/>
  <c r="AD23" i="37"/>
  <c r="AC23" i="37"/>
  <c r="AB23" i="37"/>
  <c r="AA23" i="37"/>
  <c r="Z23" i="37"/>
  <c r="Y23" i="37"/>
  <c r="X23" i="37"/>
  <c r="W23" i="37"/>
  <c r="V23" i="37"/>
  <c r="U23" i="37"/>
  <c r="T23" i="37"/>
  <c r="S23" i="37"/>
  <c r="R23" i="37"/>
  <c r="Q23" i="37"/>
  <c r="P23" i="37"/>
  <c r="O23" i="37"/>
  <c r="N23" i="37"/>
  <c r="M23" i="37"/>
  <c r="L23" i="37"/>
  <c r="K23" i="37"/>
  <c r="J23" i="37"/>
  <c r="AX22" i="37"/>
  <c r="AW22" i="37"/>
  <c r="AV22" i="37"/>
  <c r="AU22" i="37"/>
  <c r="AT22" i="37"/>
  <c r="AS22" i="37"/>
  <c r="AR22" i="37"/>
  <c r="AQ22" i="37"/>
  <c r="AP22" i="37"/>
  <c r="AO22" i="37"/>
  <c r="AN22" i="37"/>
  <c r="AM22" i="37"/>
  <c r="AL22" i="37"/>
  <c r="AK22" i="37"/>
  <c r="AJ22" i="37"/>
  <c r="AI22" i="37"/>
  <c r="AH22" i="37"/>
  <c r="AG22" i="37"/>
  <c r="AF22" i="37"/>
  <c r="AE22" i="37"/>
  <c r="AD22" i="37"/>
  <c r="AC22" i="37"/>
  <c r="AB22" i="37"/>
  <c r="AA22" i="37"/>
  <c r="Z22" i="37"/>
  <c r="Y22" i="37"/>
  <c r="X22" i="37"/>
  <c r="W22" i="37"/>
  <c r="V22" i="37"/>
  <c r="U22" i="37"/>
  <c r="T22" i="37"/>
  <c r="S22" i="37"/>
  <c r="R22" i="37"/>
  <c r="Q22" i="37"/>
  <c r="P22" i="37"/>
  <c r="O22" i="37"/>
  <c r="N22" i="37"/>
  <c r="M22" i="37"/>
  <c r="L22" i="37"/>
  <c r="K22" i="37"/>
  <c r="J22" i="37"/>
  <c r="AX21" i="37"/>
  <c r="AW21" i="37"/>
  <c r="AV21" i="37"/>
  <c r="AU21" i="37"/>
  <c r="AT21" i="37"/>
  <c r="AS21" i="37"/>
  <c r="AR21" i="37"/>
  <c r="AQ21" i="37"/>
  <c r="AP21" i="37"/>
  <c r="AO21" i="37"/>
  <c r="AN21" i="37"/>
  <c r="AM21" i="37"/>
  <c r="AL21" i="37"/>
  <c r="AK21" i="37"/>
  <c r="AJ21" i="37"/>
  <c r="AI21" i="37"/>
  <c r="AH21" i="37"/>
  <c r="AG21" i="37"/>
  <c r="AF21" i="37"/>
  <c r="AE21" i="37"/>
  <c r="AD21" i="37"/>
  <c r="AC21" i="37"/>
  <c r="AB21" i="37"/>
  <c r="AA21" i="37"/>
  <c r="Z21" i="37"/>
  <c r="Y21" i="37"/>
  <c r="X21" i="37"/>
  <c r="W21" i="37"/>
  <c r="V21" i="37"/>
  <c r="U21" i="37"/>
  <c r="T21" i="37"/>
  <c r="S21" i="37"/>
  <c r="R21" i="37"/>
  <c r="Q21" i="37"/>
  <c r="P21" i="37"/>
  <c r="O21" i="37"/>
  <c r="N21" i="37"/>
  <c r="M21" i="37"/>
  <c r="L21" i="37"/>
  <c r="K21" i="37"/>
  <c r="J21" i="37"/>
  <c r="AX20" i="37"/>
  <c r="AW20" i="37"/>
  <c r="AV20" i="37"/>
  <c r="AU20" i="37"/>
  <c r="AT20" i="37"/>
  <c r="AS20" i="37"/>
  <c r="AR20" i="37"/>
  <c r="AQ20" i="37"/>
  <c r="AP20" i="37"/>
  <c r="AO20" i="37"/>
  <c r="AN20" i="37"/>
  <c r="AM20" i="37"/>
  <c r="AL20" i="37"/>
  <c r="AK20" i="37"/>
  <c r="AJ20" i="37"/>
  <c r="AI20" i="37"/>
  <c r="AH20" i="37"/>
  <c r="AG20" i="37"/>
  <c r="AF20" i="37"/>
  <c r="AE20" i="37"/>
  <c r="AD20" i="37"/>
  <c r="AC20" i="37"/>
  <c r="AB20" i="37"/>
  <c r="AA20" i="37"/>
  <c r="Z20" i="37"/>
  <c r="Y20" i="37"/>
  <c r="X20" i="37"/>
  <c r="W20" i="37"/>
  <c r="V20" i="37"/>
  <c r="U20" i="37"/>
  <c r="T20" i="37"/>
  <c r="S20" i="37"/>
  <c r="R20" i="37"/>
  <c r="Q20" i="37"/>
  <c r="P20" i="37"/>
  <c r="O20" i="37"/>
  <c r="N20" i="37"/>
  <c r="M20" i="37"/>
  <c r="L20" i="37"/>
  <c r="K20" i="37"/>
  <c r="J20" i="37"/>
  <c r="AX19" i="37"/>
  <c r="AW19" i="37"/>
  <c r="AV19" i="37"/>
  <c r="AU19" i="37"/>
  <c r="AT19" i="37"/>
  <c r="AS19" i="37"/>
  <c r="AR19" i="37"/>
  <c r="AQ19" i="37"/>
  <c r="AP19" i="37"/>
  <c r="AO19" i="37"/>
  <c r="AN19" i="37"/>
  <c r="AM19" i="37"/>
  <c r="AL19" i="37"/>
  <c r="AK19" i="37"/>
  <c r="AJ19" i="37"/>
  <c r="AI19" i="37"/>
  <c r="AH19" i="37"/>
  <c r="AG19" i="37"/>
  <c r="AF19" i="37"/>
  <c r="AE19" i="37"/>
  <c r="AD19" i="37"/>
  <c r="AC19" i="37"/>
  <c r="AB19" i="37"/>
  <c r="AA19" i="37"/>
  <c r="Z19" i="37"/>
  <c r="Y19" i="37"/>
  <c r="X19" i="37"/>
  <c r="W19" i="37"/>
  <c r="V19" i="37"/>
  <c r="U19" i="37"/>
  <c r="T19" i="37"/>
  <c r="S19" i="37"/>
  <c r="R19" i="37"/>
  <c r="Q19" i="37"/>
  <c r="P19" i="37"/>
  <c r="O19" i="37"/>
  <c r="N19" i="37"/>
  <c r="M19" i="37"/>
  <c r="L19" i="37"/>
  <c r="K19" i="37"/>
  <c r="J19" i="37"/>
  <c r="AX18" i="37"/>
  <c r="AW18" i="37"/>
  <c r="AV18" i="37"/>
  <c r="AU18" i="37"/>
  <c r="AT18" i="37"/>
  <c r="AS18" i="37"/>
  <c r="AR18" i="37"/>
  <c r="AQ18" i="37"/>
  <c r="AP18" i="37"/>
  <c r="AO18" i="37"/>
  <c r="AN18" i="37"/>
  <c r="AM18" i="37"/>
  <c r="AL18" i="37"/>
  <c r="AK18" i="37"/>
  <c r="AJ18" i="37"/>
  <c r="AI18" i="37"/>
  <c r="AH18" i="37"/>
  <c r="AG18" i="37"/>
  <c r="AF18" i="37"/>
  <c r="AE18" i="37"/>
  <c r="AD18" i="37"/>
  <c r="AC18" i="37"/>
  <c r="AB18" i="37"/>
  <c r="AA18" i="37"/>
  <c r="Z18" i="37"/>
  <c r="Y18" i="37"/>
  <c r="X18" i="37"/>
  <c r="W18" i="37"/>
  <c r="V18" i="37"/>
  <c r="U18" i="37"/>
  <c r="T18" i="37"/>
  <c r="S18" i="37"/>
  <c r="R18" i="37"/>
  <c r="Q18" i="37"/>
  <c r="P18" i="37"/>
  <c r="O18" i="37"/>
  <c r="N18" i="37"/>
  <c r="M18" i="37"/>
  <c r="L18" i="37"/>
  <c r="K18" i="37"/>
  <c r="J18" i="37"/>
  <c r="AX17" i="37"/>
  <c r="AW17" i="37"/>
  <c r="AV17" i="37"/>
  <c r="AU17" i="37"/>
  <c r="AT17" i="37"/>
  <c r="AS17" i="37"/>
  <c r="AR17" i="37"/>
  <c r="AQ17" i="37"/>
  <c r="AP17" i="37"/>
  <c r="AO17" i="37"/>
  <c r="AN17" i="37"/>
  <c r="AM17" i="37"/>
  <c r="AL17" i="37"/>
  <c r="AK17" i="37"/>
  <c r="AJ17" i="37"/>
  <c r="AI17" i="37"/>
  <c r="AH17" i="37"/>
  <c r="AG17" i="37"/>
  <c r="AF17" i="37"/>
  <c r="AE17" i="37"/>
  <c r="AD17" i="37"/>
  <c r="AC17" i="37"/>
  <c r="AB17" i="37"/>
  <c r="AA17" i="37"/>
  <c r="Z17" i="37"/>
  <c r="Y17" i="37"/>
  <c r="X17" i="37"/>
  <c r="W17" i="37"/>
  <c r="V17" i="37"/>
  <c r="U17" i="37"/>
  <c r="T17" i="37"/>
  <c r="S17" i="37"/>
  <c r="R17" i="37"/>
  <c r="Q17" i="37"/>
  <c r="P17" i="37"/>
  <c r="O17" i="37"/>
  <c r="N17" i="37"/>
  <c r="M17" i="37"/>
  <c r="L17" i="37"/>
  <c r="K17" i="37"/>
  <c r="J17" i="37"/>
  <c r="AX16" i="37"/>
  <c r="AW16" i="37"/>
  <c r="AV16" i="37"/>
  <c r="AU16" i="37"/>
  <c r="AT16" i="37"/>
  <c r="AS16" i="37"/>
  <c r="AR16" i="37"/>
  <c r="AQ16" i="37"/>
  <c r="AP16" i="37"/>
  <c r="AO16" i="37"/>
  <c r="AN16" i="37"/>
  <c r="AM16" i="37"/>
  <c r="AL16" i="37"/>
  <c r="AK16" i="37"/>
  <c r="AJ16" i="37"/>
  <c r="AI16" i="37"/>
  <c r="AH16" i="37"/>
  <c r="AG16" i="37"/>
  <c r="AF16" i="37"/>
  <c r="AE16" i="37"/>
  <c r="AD16" i="37"/>
  <c r="AC16" i="37"/>
  <c r="AB16" i="37"/>
  <c r="AA16" i="37"/>
  <c r="Z16" i="37"/>
  <c r="Y16" i="37"/>
  <c r="X16" i="37"/>
  <c r="W16" i="37"/>
  <c r="V16" i="37"/>
  <c r="U16" i="37"/>
  <c r="T16" i="37"/>
  <c r="S16" i="37"/>
  <c r="R16" i="37"/>
  <c r="Q16" i="37"/>
  <c r="P16" i="37"/>
  <c r="O16" i="37"/>
  <c r="N16" i="37"/>
  <c r="M16" i="37"/>
  <c r="L16" i="37"/>
  <c r="K16" i="37"/>
  <c r="J16" i="37"/>
  <c r="AX15" i="37"/>
  <c r="AW15" i="37"/>
  <c r="AV15" i="37"/>
  <c r="AU15" i="37"/>
  <c r="AT15" i="37"/>
  <c r="AS15" i="37"/>
  <c r="AR15" i="37"/>
  <c r="AQ15" i="37"/>
  <c r="AP15" i="37"/>
  <c r="AO15" i="37"/>
  <c r="AN15" i="37"/>
  <c r="AM15" i="37"/>
  <c r="AL15" i="37"/>
  <c r="AK15" i="37"/>
  <c r="AJ15" i="37"/>
  <c r="AI15" i="37"/>
  <c r="AH15" i="37"/>
  <c r="AG15" i="37"/>
  <c r="AF15" i="37"/>
  <c r="AE15" i="37"/>
  <c r="AD15" i="37"/>
  <c r="AC15" i="37"/>
  <c r="AB15" i="37"/>
  <c r="AA15" i="37"/>
  <c r="Z15" i="37"/>
  <c r="Y15" i="37"/>
  <c r="X15" i="37"/>
  <c r="W15" i="37"/>
  <c r="V15" i="37"/>
  <c r="U15" i="37"/>
  <c r="T15" i="37"/>
  <c r="S15" i="37"/>
  <c r="R15" i="37"/>
  <c r="Q15" i="37"/>
  <c r="P15" i="37"/>
  <c r="O15" i="37"/>
  <c r="N15" i="37"/>
  <c r="M15" i="37"/>
  <c r="L15" i="37"/>
  <c r="K15" i="37"/>
  <c r="J15" i="37"/>
  <c r="AX14" i="37"/>
  <c r="AW14" i="37"/>
  <c r="AV14" i="37"/>
  <c r="AU14" i="37"/>
  <c r="AT14" i="37"/>
  <c r="AS14" i="37"/>
  <c r="AR14" i="37"/>
  <c r="AQ14" i="37"/>
  <c r="AP14" i="37"/>
  <c r="AO14" i="37"/>
  <c r="AN14" i="37"/>
  <c r="AM14" i="37"/>
  <c r="AL14" i="37"/>
  <c r="AK14" i="37"/>
  <c r="AJ14" i="37"/>
  <c r="AI14" i="37"/>
  <c r="AH14" i="37"/>
  <c r="AG14" i="37"/>
  <c r="AF14" i="37"/>
  <c r="AE14" i="37"/>
  <c r="AD14" i="37"/>
  <c r="AC14" i="37"/>
  <c r="AB14" i="37"/>
  <c r="AA14" i="37"/>
  <c r="Z14" i="37"/>
  <c r="Y14" i="37"/>
  <c r="X14" i="37"/>
  <c r="W14" i="37"/>
  <c r="V14" i="37"/>
  <c r="U14" i="37"/>
  <c r="T14" i="37"/>
  <c r="S14" i="37"/>
  <c r="R14" i="37"/>
  <c r="Q14" i="37"/>
  <c r="P14" i="37"/>
  <c r="O14" i="37"/>
  <c r="N14" i="37"/>
  <c r="M14" i="37"/>
  <c r="L14" i="37"/>
  <c r="K14" i="37"/>
  <c r="J14" i="37"/>
  <c r="AX13" i="37"/>
  <c r="AW13" i="37"/>
  <c r="AV13" i="37"/>
  <c r="AU13" i="37"/>
  <c r="AT13" i="37"/>
  <c r="AS13" i="37"/>
  <c r="AR13" i="37"/>
  <c r="AQ13" i="37"/>
  <c r="AP13" i="37"/>
  <c r="AO13" i="37"/>
  <c r="AN13" i="37"/>
  <c r="AM13" i="37"/>
  <c r="AL13" i="37"/>
  <c r="AK13" i="37"/>
  <c r="AJ13" i="37"/>
  <c r="AI13" i="37"/>
  <c r="AH13" i="37"/>
  <c r="AG13" i="37"/>
  <c r="AF13" i="37"/>
  <c r="AE13" i="37"/>
  <c r="AD13" i="37"/>
  <c r="AC13" i="37"/>
  <c r="AB13" i="37"/>
  <c r="AA13" i="37"/>
  <c r="Z13" i="37"/>
  <c r="Y13" i="37"/>
  <c r="X13" i="37"/>
  <c r="W13" i="37"/>
  <c r="V13" i="37"/>
  <c r="U13" i="37"/>
  <c r="T13" i="37"/>
  <c r="S13" i="37"/>
  <c r="R13" i="37"/>
  <c r="Q13" i="37"/>
  <c r="P13" i="37"/>
  <c r="O13" i="37"/>
  <c r="N13" i="37"/>
  <c r="M13" i="37"/>
  <c r="L13" i="37"/>
  <c r="K13" i="37"/>
  <c r="J13" i="37"/>
  <c r="AX12" i="37"/>
  <c r="AW12" i="37"/>
  <c r="AV12" i="37"/>
  <c r="AU12" i="37"/>
  <c r="AT12" i="37"/>
  <c r="AS12" i="37"/>
  <c r="AR12" i="37"/>
  <c r="AQ12" i="37"/>
  <c r="AP12" i="37"/>
  <c r="AO12" i="37"/>
  <c r="AN12" i="37"/>
  <c r="AM12" i="37"/>
  <c r="AL12" i="37"/>
  <c r="AK12" i="37"/>
  <c r="AJ12" i="37"/>
  <c r="AI12" i="37"/>
  <c r="AH12" i="37"/>
  <c r="AG12" i="37"/>
  <c r="AF12" i="37"/>
  <c r="AE12" i="37"/>
  <c r="AD12" i="37"/>
  <c r="AC12" i="37"/>
  <c r="AB12" i="37"/>
  <c r="AA12" i="37"/>
  <c r="Z12" i="37"/>
  <c r="Y12" i="37"/>
  <c r="X12" i="37"/>
  <c r="W12" i="37"/>
  <c r="V12" i="37"/>
  <c r="U12" i="37"/>
  <c r="T12" i="37"/>
  <c r="S12" i="37"/>
  <c r="R12" i="37"/>
  <c r="Q12" i="37"/>
  <c r="P12" i="37"/>
  <c r="O12" i="37"/>
  <c r="N12" i="37"/>
  <c r="M12" i="37"/>
  <c r="L12" i="37"/>
  <c r="K12" i="37"/>
  <c r="J12" i="37"/>
  <c r="AX34" i="37"/>
  <c r="AW34" i="37"/>
  <c r="AV34" i="37"/>
  <c r="AU34" i="37"/>
  <c r="AT34" i="37"/>
  <c r="AS34" i="37"/>
  <c r="AR34" i="37"/>
  <c r="AQ34" i="37"/>
  <c r="AP34" i="37"/>
  <c r="AO34" i="37"/>
  <c r="AN34" i="37"/>
  <c r="AM34" i="37"/>
  <c r="AL34" i="37"/>
  <c r="AK34" i="37"/>
  <c r="AJ34" i="37"/>
  <c r="AI34" i="37"/>
  <c r="AH34" i="37"/>
  <c r="AG34" i="37"/>
  <c r="AF34" i="37"/>
  <c r="AE34" i="37"/>
  <c r="AD34" i="37"/>
  <c r="AC34" i="37"/>
  <c r="AB34" i="37"/>
  <c r="AA34" i="37"/>
  <c r="Z34" i="37"/>
  <c r="Y34" i="37"/>
  <c r="X34" i="37"/>
  <c r="W34" i="37"/>
  <c r="V34" i="37"/>
  <c r="U34" i="37"/>
  <c r="T34" i="37"/>
  <c r="S34" i="37"/>
  <c r="R34" i="37"/>
  <c r="Q34" i="37"/>
  <c r="P34" i="37"/>
  <c r="O34" i="37"/>
  <c r="N34" i="37"/>
  <c r="M34" i="37"/>
  <c r="L34" i="37"/>
  <c r="K34" i="37"/>
  <c r="J34" i="37"/>
  <c r="AX11" i="37"/>
  <c r="AW11" i="37"/>
  <c r="AV11" i="37"/>
  <c r="AU11" i="37"/>
  <c r="AT11" i="37"/>
  <c r="AS11" i="37"/>
  <c r="AR11" i="37"/>
  <c r="AQ11" i="37"/>
  <c r="AP11" i="37"/>
  <c r="AO11" i="37"/>
  <c r="AN11" i="37"/>
  <c r="AM11" i="37"/>
  <c r="AL11" i="37"/>
  <c r="AK11" i="37"/>
  <c r="AJ11" i="37"/>
  <c r="AI11" i="37"/>
  <c r="AH11" i="37"/>
  <c r="AG11" i="37"/>
  <c r="AF11" i="37"/>
  <c r="AE11" i="37"/>
  <c r="AD11" i="37"/>
  <c r="AC11" i="37"/>
  <c r="AB11" i="37"/>
  <c r="AA11" i="37"/>
  <c r="Z11" i="37"/>
  <c r="Y11" i="37"/>
  <c r="X11" i="37"/>
  <c r="W11" i="37"/>
  <c r="V11" i="37"/>
  <c r="U11" i="37"/>
  <c r="T11" i="37"/>
  <c r="S11" i="37"/>
  <c r="R11" i="37"/>
  <c r="Q11" i="37"/>
  <c r="P11" i="37"/>
  <c r="O11" i="37"/>
  <c r="N11" i="37"/>
  <c r="M11" i="37"/>
  <c r="L11" i="37"/>
  <c r="K11" i="37"/>
  <c r="J11" i="37"/>
  <c r="AX10" i="37"/>
  <c r="AW10" i="37"/>
  <c r="AV10" i="37"/>
  <c r="AU10" i="37"/>
  <c r="AT10" i="37"/>
  <c r="AS10" i="37"/>
  <c r="AR10" i="37"/>
  <c r="AQ10" i="37"/>
  <c r="AP10" i="37"/>
  <c r="AO10" i="37"/>
  <c r="AN10" i="37"/>
  <c r="AM10" i="37"/>
  <c r="AL10" i="37"/>
  <c r="AK10" i="37"/>
  <c r="AJ10" i="37"/>
  <c r="AI10" i="37"/>
  <c r="AH10" i="37"/>
  <c r="AG10" i="37"/>
  <c r="AF10" i="37"/>
  <c r="AE10" i="37"/>
  <c r="AD10" i="37"/>
  <c r="AC10" i="37"/>
  <c r="AB10" i="37"/>
  <c r="AA10" i="37"/>
  <c r="Z10" i="37"/>
  <c r="Y10" i="37"/>
  <c r="X10" i="37"/>
  <c r="W10" i="37"/>
  <c r="V10" i="37"/>
  <c r="U10" i="37"/>
  <c r="T10" i="37"/>
  <c r="S10" i="37"/>
  <c r="R10" i="37"/>
  <c r="Q10" i="37"/>
  <c r="P10" i="37"/>
  <c r="O10" i="37"/>
  <c r="N10" i="37"/>
  <c r="M10" i="37"/>
  <c r="L10" i="37"/>
  <c r="K10" i="37"/>
  <c r="J10" i="37"/>
  <c r="AX9" i="37"/>
  <c r="AW9" i="37"/>
  <c r="AV9" i="37"/>
  <c r="AU9" i="37"/>
  <c r="AT9" i="37"/>
  <c r="AS9" i="37"/>
  <c r="AR9" i="37"/>
  <c r="AQ9" i="37"/>
  <c r="AP9" i="37"/>
  <c r="AO9" i="37"/>
  <c r="AN9" i="37"/>
  <c r="AM9" i="37"/>
  <c r="AL9" i="37"/>
  <c r="AK9" i="37"/>
  <c r="AJ9" i="37"/>
  <c r="AI9" i="37"/>
  <c r="AH9" i="37"/>
  <c r="AG9" i="37"/>
  <c r="AF9" i="37"/>
  <c r="AE9" i="37"/>
  <c r="AD9" i="37"/>
  <c r="AC9" i="37"/>
  <c r="AB9" i="37"/>
  <c r="AA9" i="37"/>
  <c r="Z9" i="37"/>
  <c r="Y9" i="37"/>
  <c r="X9" i="37"/>
  <c r="W9" i="37"/>
  <c r="V9" i="37"/>
  <c r="U9" i="37"/>
  <c r="T9" i="37"/>
  <c r="S9" i="37"/>
  <c r="R9" i="37"/>
  <c r="Q9" i="37"/>
  <c r="P9" i="37"/>
  <c r="O9" i="37"/>
  <c r="N9" i="37"/>
  <c r="M9" i="37"/>
  <c r="L9" i="37"/>
  <c r="K9" i="37"/>
  <c r="J9" i="37"/>
  <c r="AX56" i="37"/>
  <c r="J51" i="34"/>
  <c r="K51" i="34"/>
  <c r="L51" i="34"/>
  <c r="M51" i="34"/>
  <c r="N51" i="34"/>
  <c r="O51" i="34"/>
  <c r="P51" i="34"/>
  <c r="Q51" i="34"/>
  <c r="R51" i="34"/>
  <c r="S51" i="34"/>
  <c r="T51" i="34"/>
  <c r="U51" i="34"/>
  <c r="V51" i="34"/>
  <c r="W51" i="34"/>
  <c r="X51" i="34"/>
  <c r="Y51" i="34"/>
  <c r="Z51" i="34"/>
  <c r="AA51" i="34"/>
  <c r="AB51" i="34"/>
  <c r="AC51" i="34"/>
  <c r="AD51" i="34"/>
  <c r="AE51" i="34"/>
  <c r="AF51" i="34"/>
  <c r="AG51" i="34"/>
  <c r="AH51" i="34"/>
  <c r="AI51" i="34"/>
  <c r="AJ51" i="34"/>
  <c r="AK51" i="34"/>
  <c r="AL51" i="34"/>
  <c r="AM51" i="34"/>
  <c r="AN51" i="34"/>
  <c r="AO51" i="34"/>
  <c r="AP51" i="34"/>
  <c r="AQ51" i="34"/>
  <c r="AR51" i="34"/>
  <c r="AS51" i="34"/>
  <c r="AT51" i="34"/>
  <c r="AU51" i="34"/>
  <c r="AV51" i="34"/>
  <c r="AW51" i="34"/>
  <c r="AX51" i="34"/>
  <c r="J52" i="34"/>
  <c r="K52" i="34"/>
  <c r="L52" i="34"/>
  <c r="M52" i="34"/>
  <c r="N52" i="34"/>
  <c r="O52" i="34"/>
  <c r="P52" i="34"/>
  <c r="Q52" i="34"/>
  <c r="R52" i="34"/>
  <c r="S52" i="34"/>
  <c r="T52" i="34"/>
  <c r="U52" i="34"/>
  <c r="V52" i="34"/>
  <c r="W52" i="34"/>
  <c r="X52" i="34"/>
  <c r="Y52" i="34"/>
  <c r="Z52" i="34"/>
  <c r="AA52" i="34"/>
  <c r="AB52" i="34"/>
  <c r="AC52" i="34"/>
  <c r="AD52" i="34"/>
  <c r="AE52" i="34"/>
  <c r="AF52" i="34"/>
  <c r="AG52" i="34"/>
  <c r="AH52" i="34"/>
  <c r="AI52" i="34"/>
  <c r="AJ52" i="34"/>
  <c r="AK52" i="34"/>
  <c r="AL52" i="34"/>
  <c r="AM52" i="34"/>
  <c r="AN52" i="34"/>
  <c r="AO52" i="34"/>
  <c r="AP52" i="34"/>
  <c r="AQ52" i="34"/>
  <c r="AR52" i="34"/>
  <c r="AS52" i="34"/>
  <c r="AT52" i="34"/>
  <c r="AU52" i="34"/>
  <c r="AV52" i="34"/>
  <c r="AW52" i="34"/>
  <c r="AX52" i="34"/>
  <c r="J53" i="34"/>
  <c r="K53" i="34"/>
  <c r="L53" i="34"/>
  <c r="M53" i="34"/>
  <c r="N53" i="34"/>
  <c r="O53" i="34"/>
  <c r="P53" i="34"/>
  <c r="Q53" i="34"/>
  <c r="R53" i="34"/>
  <c r="S53" i="34"/>
  <c r="T53" i="34"/>
  <c r="U53" i="34"/>
  <c r="V53" i="34"/>
  <c r="W53" i="34"/>
  <c r="X53" i="34"/>
  <c r="Y53" i="34"/>
  <c r="Z53" i="34"/>
  <c r="AA53" i="34"/>
  <c r="AB53" i="34"/>
  <c r="AC53" i="34"/>
  <c r="AD53" i="34"/>
  <c r="AE53" i="34"/>
  <c r="AF53" i="34"/>
  <c r="AG53" i="34"/>
  <c r="AH53" i="34"/>
  <c r="AI53" i="34"/>
  <c r="AJ53" i="34"/>
  <c r="AK53" i="34"/>
  <c r="AL53" i="34"/>
  <c r="AM53" i="34"/>
  <c r="AN53" i="34"/>
  <c r="AO53" i="34"/>
  <c r="AP53" i="34"/>
  <c r="AQ53" i="34"/>
  <c r="AR53" i="34"/>
  <c r="AS53" i="34"/>
  <c r="AT53" i="34"/>
  <c r="AU53" i="34"/>
  <c r="AV53" i="34"/>
  <c r="AW53" i="34"/>
  <c r="AX53" i="34"/>
  <c r="J54" i="34"/>
  <c r="K54" i="34"/>
  <c r="L54" i="34"/>
  <c r="M54" i="34"/>
  <c r="N54" i="34"/>
  <c r="O54" i="34"/>
  <c r="P54" i="34"/>
  <c r="Q54" i="34"/>
  <c r="R54" i="34"/>
  <c r="S54" i="34"/>
  <c r="T54" i="34"/>
  <c r="U54" i="34"/>
  <c r="V54" i="34"/>
  <c r="W54" i="34"/>
  <c r="X54" i="34"/>
  <c r="Y54" i="34"/>
  <c r="Z54" i="34"/>
  <c r="AA54" i="34"/>
  <c r="AB54" i="34"/>
  <c r="AC54" i="34"/>
  <c r="AD54" i="34"/>
  <c r="AE54" i="34"/>
  <c r="AF54" i="34"/>
  <c r="AG54" i="34"/>
  <c r="AH54" i="34"/>
  <c r="AI54" i="34"/>
  <c r="AJ54" i="34"/>
  <c r="AK54" i="34"/>
  <c r="AL54" i="34"/>
  <c r="AM54" i="34"/>
  <c r="AN54" i="34"/>
  <c r="AO54" i="34"/>
  <c r="AP54" i="34"/>
  <c r="AQ54" i="34"/>
  <c r="AR54" i="34"/>
  <c r="AS54" i="34"/>
  <c r="AT54" i="34"/>
  <c r="AU54" i="34"/>
  <c r="AV54" i="34"/>
  <c r="AW54" i="34"/>
  <c r="AX54" i="34"/>
  <c r="J55" i="34"/>
  <c r="K55" i="34"/>
  <c r="L55" i="34"/>
  <c r="M55" i="34"/>
  <c r="N55" i="34"/>
  <c r="O55" i="34"/>
  <c r="P55" i="34"/>
  <c r="Q55" i="34"/>
  <c r="R55" i="34"/>
  <c r="S55" i="34"/>
  <c r="T55" i="34"/>
  <c r="U55" i="34"/>
  <c r="V55" i="34"/>
  <c r="W55" i="34"/>
  <c r="X55" i="34"/>
  <c r="Y55" i="34"/>
  <c r="Z55" i="34"/>
  <c r="AA55" i="34"/>
  <c r="AB55" i="34"/>
  <c r="AC55" i="34"/>
  <c r="AD55" i="34"/>
  <c r="AE55" i="34"/>
  <c r="AF55" i="34"/>
  <c r="AG55" i="34"/>
  <c r="AH55" i="34"/>
  <c r="AI55" i="34"/>
  <c r="AJ55" i="34"/>
  <c r="AK55" i="34"/>
  <c r="AL55" i="34"/>
  <c r="AM55" i="34"/>
  <c r="AN55" i="34"/>
  <c r="AO55" i="34"/>
  <c r="AP55" i="34"/>
  <c r="AQ55" i="34"/>
  <c r="AR55" i="34"/>
  <c r="AS55" i="34"/>
  <c r="AT55" i="34"/>
  <c r="AU55" i="34"/>
  <c r="AV55" i="34"/>
  <c r="AW55" i="34"/>
  <c r="AX55" i="34"/>
  <c r="AX50" i="34"/>
  <c r="AW50" i="34"/>
  <c r="AV50" i="34"/>
  <c r="AU50" i="34"/>
  <c r="AT50" i="34"/>
  <c r="AS50" i="34"/>
  <c r="AR50" i="34"/>
  <c r="AQ50" i="34"/>
  <c r="AP50" i="34"/>
  <c r="AO50" i="34"/>
  <c r="AN50" i="34"/>
  <c r="AM50" i="34"/>
  <c r="AL50" i="34"/>
  <c r="AK50" i="34"/>
  <c r="AJ50" i="34"/>
  <c r="AI50" i="34"/>
  <c r="AH50" i="34"/>
  <c r="AG50" i="34"/>
  <c r="AF50" i="34"/>
  <c r="AE50" i="34"/>
  <c r="AD50" i="34"/>
  <c r="AC50" i="34"/>
  <c r="AB50" i="34"/>
  <c r="AA50" i="34"/>
  <c r="Z50" i="34"/>
  <c r="Y50" i="34"/>
  <c r="X50" i="34"/>
  <c r="W50" i="34"/>
  <c r="V50" i="34"/>
  <c r="U50" i="34"/>
  <c r="T50" i="34"/>
  <c r="S50" i="34"/>
  <c r="R50" i="34"/>
  <c r="Q50" i="34"/>
  <c r="P50" i="34"/>
  <c r="O50" i="34"/>
  <c r="N50" i="34"/>
  <c r="M50" i="34"/>
  <c r="L50" i="34"/>
  <c r="K50" i="34"/>
  <c r="J50" i="34"/>
  <c r="AX49" i="34"/>
  <c r="AW49" i="34"/>
  <c r="AV49" i="34"/>
  <c r="AU49" i="34"/>
  <c r="AT49" i="34"/>
  <c r="AS49" i="34"/>
  <c r="AR49" i="34"/>
  <c r="AQ49" i="34"/>
  <c r="AP49" i="34"/>
  <c r="AO49" i="34"/>
  <c r="AN49" i="34"/>
  <c r="AM49" i="34"/>
  <c r="AL49" i="34"/>
  <c r="AK49" i="34"/>
  <c r="AJ49" i="34"/>
  <c r="AI49" i="34"/>
  <c r="AH49" i="34"/>
  <c r="AG49" i="34"/>
  <c r="AF49" i="34"/>
  <c r="AE49" i="34"/>
  <c r="AD49" i="34"/>
  <c r="AC49" i="34"/>
  <c r="AB49" i="34"/>
  <c r="AA49" i="34"/>
  <c r="Z49" i="34"/>
  <c r="Y49" i="34"/>
  <c r="X49" i="34"/>
  <c r="W49" i="34"/>
  <c r="V49" i="34"/>
  <c r="U49" i="34"/>
  <c r="T49" i="34"/>
  <c r="S49" i="34"/>
  <c r="R49" i="34"/>
  <c r="Q49" i="34"/>
  <c r="P49" i="34"/>
  <c r="O49" i="34"/>
  <c r="N49" i="34"/>
  <c r="M49" i="34"/>
  <c r="L49" i="34"/>
  <c r="K49" i="34"/>
  <c r="J49" i="34"/>
  <c r="AX47" i="34"/>
  <c r="AW47" i="34"/>
  <c r="AV47" i="34"/>
  <c r="AU47" i="34"/>
  <c r="AT47" i="34"/>
  <c r="AS47" i="34"/>
  <c r="AR47" i="34"/>
  <c r="AQ47" i="34"/>
  <c r="AP47" i="34"/>
  <c r="AO47" i="34"/>
  <c r="AN47" i="34"/>
  <c r="AM47" i="34"/>
  <c r="AL47" i="34"/>
  <c r="AK47" i="34"/>
  <c r="AJ47" i="34"/>
  <c r="AI47" i="34"/>
  <c r="AH47" i="34"/>
  <c r="AG47" i="34"/>
  <c r="AF47" i="34"/>
  <c r="AE47" i="34"/>
  <c r="AD47" i="34"/>
  <c r="AC47" i="34"/>
  <c r="AB47" i="34"/>
  <c r="AA47" i="34"/>
  <c r="Z47" i="34"/>
  <c r="Y47" i="34"/>
  <c r="X47" i="34"/>
  <c r="W47" i="34"/>
  <c r="V47" i="34"/>
  <c r="U47" i="34"/>
  <c r="T47" i="34"/>
  <c r="S47" i="34"/>
  <c r="R47" i="34"/>
  <c r="Q47" i="34"/>
  <c r="P47" i="34"/>
  <c r="O47" i="34"/>
  <c r="N47" i="34"/>
  <c r="M47" i="34"/>
  <c r="L47" i="34"/>
  <c r="K47" i="34"/>
  <c r="J47" i="34"/>
  <c r="AX46" i="34"/>
  <c r="AW46" i="34"/>
  <c r="AV46" i="34"/>
  <c r="AU46" i="34"/>
  <c r="AT46" i="34"/>
  <c r="AS46" i="34"/>
  <c r="AR46" i="34"/>
  <c r="AQ46" i="34"/>
  <c r="AP46" i="34"/>
  <c r="AO46" i="34"/>
  <c r="AN46" i="34"/>
  <c r="AM46" i="34"/>
  <c r="AL46" i="34"/>
  <c r="AK46" i="34"/>
  <c r="AJ46" i="34"/>
  <c r="AI46" i="34"/>
  <c r="AH46" i="34"/>
  <c r="AG46" i="34"/>
  <c r="AF46" i="34"/>
  <c r="AE46" i="34"/>
  <c r="AD46" i="34"/>
  <c r="AC46" i="34"/>
  <c r="AB46" i="34"/>
  <c r="AA46" i="34"/>
  <c r="Z46" i="34"/>
  <c r="Y46" i="34"/>
  <c r="X46" i="34"/>
  <c r="W46" i="34"/>
  <c r="V46" i="34"/>
  <c r="U46" i="34"/>
  <c r="T46" i="34"/>
  <c r="S46" i="34"/>
  <c r="R46" i="34"/>
  <c r="Q46" i="34"/>
  <c r="P46" i="34"/>
  <c r="O46" i="34"/>
  <c r="N46" i="34"/>
  <c r="M46" i="34"/>
  <c r="L46" i="34"/>
  <c r="K46" i="34"/>
  <c r="J46" i="34"/>
  <c r="AX45" i="34"/>
  <c r="AW45" i="34"/>
  <c r="AV45" i="34"/>
  <c r="AU45" i="34"/>
  <c r="AT45" i="34"/>
  <c r="AS45" i="34"/>
  <c r="AR45" i="34"/>
  <c r="AQ45" i="34"/>
  <c r="AP45" i="34"/>
  <c r="AO45" i="34"/>
  <c r="AN45" i="34"/>
  <c r="AM45" i="34"/>
  <c r="AL45" i="34"/>
  <c r="AK45" i="34"/>
  <c r="AJ45" i="34"/>
  <c r="AI45" i="34"/>
  <c r="AH45" i="34"/>
  <c r="AG45" i="34"/>
  <c r="AF45" i="34"/>
  <c r="AE45" i="34"/>
  <c r="AD45" i="34"/>
  <c r="AC45" i="34"/>
  <c r="AB45" i="34"/>
  <c r="AA45" i="34"/>
  <c r="Z45" i="34"/>
  <c r="Y45" i="34"/>
  <c r="X45" i="34"/>
  <c r="W45" i="34"/>
  <c r="V45" i="34"/>
  <c r="U45" i="34"/>
  <c r="T45" i="34"/>
  <c r="S45" i="34"/>
  <c r="R45" i="34"/>
  <c r="Q45" i="34"/>
  <c r="P45" i="34"/>
  <c r="O45" i="34"/>
  <c r="N45" i="34"/>
  <c r="M45" i="34"/>
  <c r="L45" i="34"/>
  <c r="K45" i="34"/>
  <c r="J45" i="34"/>
  <c r="AX44" i="34"/>
  <c r="AW44" i="34"/>
  <c r="AV44" i="34"/>
  <c r="AU44" i="34"/>
  <c r="AT44" i="34"/>
  <c r="AS44" i="34"/>
  <c r="AR44" i="34"/>
  <c r="AQ44" i="34"/>
  <c r="AP44" i="34"/>
  <c r="AO44" i="34"/>
  <c r="AN44" i="34"/>
  <c r="AM44" i="34"/>
  <c r="AL44" i="34"/>
  <c r="AK44" i="34"/>
  <c r="AJ44" i="34"/>
  <c r="AI44" i="34"/>
  <c r="AH44" i="34"/>
  <c r="AG44" i="34"/>
  <c r="AF44" i="34"/>
  <c r="AE44" i="34"/>
  <c r="AD44" i="34"/>
  <c r="AC44" i="34"/>
  <c r="AB44" i="34"/>
  <c r="AA44" i="34"/>
  <c r="Z44" i="34"/>
  <c r="Y44" i="34"/>
  <c r="X44" i="34"/>
  <c r="W44" i="34"/>
  <c r="V44" i="34"/>
  <c r="U44" i="34"/>
  <c r="T44" i="34"/>
  <c r="S44" i="34"/>
  <c r="R44" i="34"/>
  <c r="Q44" i="34"/>
  <c r="P44" i="34"/>
  <c r="O44" i="34"/>
  <c r="N44" i="34"/>
  <c r="M44" i="34"/>
  <c r="L44" i="34"/>
  <c r="K44" i="34"/>
  <c r="J44" i="34"/>
  <c r="AX41" i="34"/>
  <c r="AW41" i="34"/>
  <c r="AV41" i="34"/>
  <c r="AU41" i="34"/>
  <c r="AT41" i="34"/>
  <c r="AS41" i="34"/>
  <c r="AR41" i="34"/>
  <c r="AQ41" i="34"/>
  <c r="AP41" i="34"/>
  <c r="AO41" i="34"/>
  <c r="R41" i="34"/>
  <c r="Q41" i="34"/>
  <c r="P41" i="34"/>
  <c r="O41" i="34"/>
  <c r="N41" i="34"/>
  <c r="M41" i="34"/>
  <c r="L41" i="34"/>
  <c r="K41" i="34"/>
  <c r="J41" i="34"/>
  <c r="AX43" i="34"/>
  <c r="AW43" i="34"/>
  <c r="AV43" i="34"/>
  <c r="AU43" i="34"/>
  <c r="AT43" i="34"/>
  <c r="AS43" i="34"/>
  <c r="AR43" i="34"/>
  <c r="AQ43" i="34"/>
  <c r="AP43" i="34"/>
  <c r="AO43" i="34"/>
  <c r="AN43" i="34"/>
  <c r="AM43" i="34"/>
  <c r="AL43" i="34"/>
  <c r="AK43" i="34"/>
  <c r="AJ43" i="34"/>
  <c r="AI43" i="34"/>
  <c r="AH43" i="34"/>
  <c r="AG43" i="34"/>
  <c r="AF43" i="34"/>
  <c r="AE43" i="34"/>
  <c r="AD43" i="34"/>
  <c r="AC43" i="34"/>
  <c r="AB43" i="34"/>
  <c r="AA43" i="34"/>
  <c r="Z43" i="34"/>
  <c r="Y43" i="34"/>
  <c r="X43" i="34"/>
  <c r="W43" i="34"/>
  <c r="V43" i="34"/>
  <c r="U43" i="34"/>
  <c r="T43" i="34"/>
  <c r="S43" i="34"/>
  <c r="R43" i="34"/>
  <c r="Q43" i="34"/>
  <c r="P43" i="34"/>
  <c r="O43" i="34"/>
  <c r="N43" i="34"/>
  <c r="M43" i="34"/>
  <c r="L43" i="34"/>
  <c r="K43" i="34"/>
  <c r="J43" i="34"/>
  <c r="AX42" i="34"/>
  <c r="AW42" i="34"/>
  <c r="AV42" i="34"/>
  <c r="AU42" i="34"/>
  <c r="AT42" i="34"/>
  <c r="AS42" i="34"/>
  <c r="AR42" i="34"/>
  <c r="AQ42" i="34"/>
  <c r="AP42" i="34"/>
  <c r="AO42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AX40" i="34"/>
  <c r="AW40" i="34"/>
  <c r="AV40" i="34"/>
  <c r="AU40" i="34"/>
  <c r="AT40" i="34"/>
  <c r="AS40" i="34"/>
  <c r="AR40" i="34"/>
  <c r="AQ40" i="34"/>
  <c r="AP40" i="34"/>
  <c r="AO40" i="34"/>
  <c r="R40" i="34"/>
  <c r="Q40" i="34"/>
  <c r="P40" i="34"/>
  <c r="O40" i="34"/>
  <c r="N40" i="34"/>
  <c r="M40" i="34"/>
  <c r="L40" i="34"/>
  <c r="K40" i="34"/>
  <c r="J40" i="34"/>
  <c r="AX39" i="34"/>
  <c r="AW39" i="34"/>
  <c r="AV39" i="34"/>
  <c r="AU39" i="34"/>
  <c r="AT39" i="34"/>
  <c r="AS39" i="34"/>
  <c r="AR39" i="34"/>
  <c r="AQ39" i="34"/>
  <c r="AP39" i="34"/>
  <c r="AO39" i="34"/>
  <c r="R39" i="34"/>
  <c r="Q39" i="34"/>
  <c r="P39" i="34"/>
  <c r="O39" i="34"/>
  <c r="N39" i="34"/>
  <c r="M39" i="34"/>
  <c r="L39" i="34"/>
  <c r="K39" i="34"/>
  <c r="J39" i="34"/>
  <c r="AX38" i="34"/>
  <c r="AW38" i="34"/>
  <c r="AV38" i="34"/>
  <c r="AU38" i="34"/>
  <c r="AT38" i="34"/>
  <c r="AS38" i="34"/>
  <c r="AR38" i="34"/>
  <c r="AQ38" i="34"/>
  <c r="AP38" i="34"/>
  <c r="AO38" i="34"/>
  <c r="R38" i="34"/>
  <c r="Q38" i="34"/>
  <c r="P38" i="34"/>
  <c r="O38" i="34"/>
  <c r="N38" i="34"/>
  <c r="M38" i="34"/>
  <c r="L38" i="34"/>
  <c r="K38" i="34"/>
  <c r="J38" i="34"/>
  <c r="AX37" i="34"/>
  <c r="AW37" i="34"/>
  <c r="AV37" i="34"/>
  <c r="AU37" i="34"/>
  <c r="AT37" i="34"/>
  <c r="AS37" i="34"/>
  <c r="AR37" i="34"/>
  <c r="AQ37" i="34"/>
  <c r="AP37" i="34"/>
  <c r="AO37" i="34"/>
  <c r="R37" i="34"/>
  <c r="Q37" i="34"/>
  <c r="P37" i="34"/>
  <c r="O37" i="34"/>
  <c r="N37" i="34"/>
  <c r="M37" i="34"/>
  <c r="L37" i="34"/>
  <c r="K37" i="34"/>
  <c r="J37" i="34"/>
  <c r="AX36" i="34"/>
  <c r="AW36" i="34"/>
  <c r="AV36" i="34"/>
  <c r="AU36" i="34"/>
  <c r="AT36" i="34"/>
  <c r="AS36" i="34"/>
  <c r="AR36" i="34"/>
  <c r="AQ36" i="34"/>
  <c r="AP36" i="34"/>
  <c r="AO36" i="34"/>
  <c r="R36" i="34"/>
  <c r="Q36" i="34"/>
  <c r="P36" i="34"/>
  <c r="O36" i="34"/>
  <c r="N36" i="34"/>
  <c r="M36" i="34"/>
  <c r="L36" i="34"/>
  <c r="K36" i="34"/>
  <c r="J36" i="34"/>
  <c r="AX48" i="34"/>
  <c r="AW48" i="34"/>
  <c r="AV48" i="34"/>
  <c r="AU48" i="34"/>
  <c r="AT48" i="34"/>
  <c r="AS48" i="34"/>
  <c r="AR48" i="34"/>
  <c r="AQ48" i="34"/>
  <c r="AP48" i="34"/>
  <c r="AO48" i="34"/>
  <c r="AN48" i="34"/>
  <c r="AM48" i="34"/>
  <c r="AL48" i="34"/>
  <c r="AK48" i="34"/>
  <c r="AJ48" i="34"/>
  <c r="AI48" i="34"/>
  <c r="AH48" i="34"/>
  <c r="AG48" i="34"/>
  <c r="AF48" i="34"/>
  <c r="AE48" i="34"/>
  <c r="AD48" i="34"/>
  <c r="AC48" i="34"/>
  <c r="AB48" i="34"/>
  <c r="AA48" i="34"/>
  <c r="Z48" i="34"/>
  <c r="Y48" i="34"/>
  <c r="X48" i="34"/>
  <c r="W48" i="34"/>
  <c r="V48" i="34"/>
  <c r="U48" i="34"/>
  <c r="T48" i="34"/>
  <c r="S48" i="34"/>
  <c r="R48" i="34"/>
  <c r="Q48" i="34"/>
  <c r="P48" i="34"/>
  <c r="O48" i="34"/>
  <c r="N48" i="34"/>
  <c r="M48" i="34"/>
  <c r="L48" i="34"/>
  <c r="K48" i="34"/>
  <c r="J48" i="34"/>
  <c r="AX32" i="34"/>
  <c r="AW32" i="34"/>
  <c r="AV32" i="34"/>
  <c r="AU32" i="34"/>
  <c r="AT32" i="34"/>
  <c r="AS32" i="34"/>
  <c r="AR32" i="34"/>
  <c r="AQ32" i="34"/>
  <c r="AP32" i="34"/>
  <c r="AO32" i="34"/>
  <c r="R32" i="34"/>
  <c r="Q32" i="34"/>
  <c r="P32" i="34"/>
  <c r="O32" i="34"/>
  <c r="N32" i="34"/>
  <c r="M32" i="34"/>
  <c r="L32" i="34"/>
  <c r="K32" i="34"/>
  <c r="J32" i="34"/>
  <c r="AX35" i="34"/>
  <c r="AW35" i="34"/>
  <c r="AV35" i="34"/>
  <c r="AU35" i="34"/>
  <c r="AT35" i="34"/>
  <c r="AS35" i="34"/>
  <c r="AR35" i="34"/>
  <c r="AQ35" i="34"/>
  <c r="AP35" i="34"/>
  <c r="AO35" i="34"/>
  <c r="R35" i="34"/>
  <c r="Q35" i="34"/>
  <c r="P35" i="34"/>
  <c r="O35" i="34"/>
  <c r="N35" i="34"/>
  <c r="M35" i="34"/>
  <c r="L35" i="34"/>
  <c r="K35" i="34"/>
  <c r="J35" i="34"/>
  <c r="AX33" i="34"/>
  <c r="AW33" i="34"/>
  <c r="AV33" i="34"/>
  <c r="AU33" i="34"/>
  <c r="AT33" i="34"/>
  <c r="AS33" i="34"/>
  <c r="AR33" i="34"/>
  <c r="AQ33" i="34"/>
  <c r="AP33" i="34"/>
  <c r="AO33" i="34"/>
  <c r="R33" i="34"/>
  <c r="Q33" i="34"/>
  <c r="P33" i="34"/>
  <c r="O33" i="34"/>
  <c r="N33" i="34"/>
  <c r="M33" i="34"/>
  <c r="L33" i="34"/>
  <c r="K33" i="34"/>
  <c r="J33" i="34"/>
  <c r="AX31" i="34"/>
  <c r="AW31" i="34"/>
  <c r="AV31" i="34"/>
  <c r="AU31" i="34"/>
  <c r="AT31" i="34"/>
  <c r="AS31" i="34"/>
  <c r="AR31" i="34"/>
  <c r="AQ31" i="34"/>
  <c r="AP31" i="34"/>
  <c r="AO31" i="34"/>
  <c r="R31" i="34"/>
  <c r="Q31" i="34"/>
  <c r="P31" i="34"/>
  <c r="O31" i="34"/>
  <c r="N31" i="34"/>
  <c r="M31" i="34"/>
  <c r="L31" i="34"/>
  <c r="K31" i="34"/>
  <c r="J31" i="34"/>
  <c r="AX30" i="34"/>
  <c r="AW30" i="34"/>
  <c r="AV30" i="34"/>
  <c r="AU30" i="34"/>
  <c r="AT30" i="34"/>
  <c r="AS30" i="34"/>
  <c r="AR30" i="34"/>
  <c r="AQ30" i="34"/>
  <c r="AP30" i="34"/>
  <c r="AO30" i="34"/>
  <c r="R30" i="34"/>
  <c r="Q30" i="34"/>
  <c r="P30" i="34"/>
  <c r="O30" i="34"/>
  <c r="N30" i="34"/>
  <c r="M30" i="34"/>
  <c r="L30" i="34"/>
  <c r="K30" i="34"/>
  <c r="J30" i="34"/>
  <c r="AX29" i="34"/>
  <c r="AW29" i="34"/>
  <c r="AV29" i="34"/>
  <c r="AU29" i="34"/>
  <c r="AT29" i="34"/>
  <c r="AS29" i="34"/>
  <c r="AR29" i="34"/>
  <c r="AQ29" i="34"/>
  <c r="AP29" i="34"/>
  <c r="AO29" i="34"/>
  <c r="R29" i="34"/>
  <c r="Q29" i="34"/>
  <c r="P29" i="34"/>
  <c r="O29" i="34"/>
  <c r="N29" i="34"/>
  <c r="M29" i="34"/>
  <c r="L29" i="34"/>
  <c r="K29" i="34"/>
  <c r="J29" i="34"/>
  <c r="AX28" i="34"/>
  <c r="AW28" i="34"/>
  <c r="AV28" i="34"/>
  <c r="AU28" i="34"/>
  <c r="AT28" i="34"/>
  <c r="AS28" i="34"/>
  <c r="AR28" i="34"/>
  <c r="AQ28" i="34"/>
  <c r="AP28" i="34"/>
  <c r="AO28" i="34"/>
  <c r="R28" i="34"/>
  <c r="Q28" i="34"/>
  <c r="P28" i="34"/>
  <c r="O28" i="34"/>
  <c r="N28" i="34"/>
  <c r="M28" i="34"/>
  <c r="L28" i="34"/>
  <c r="K28" i="34"/>
  <c r="J28" i="34"/>
  <c r="AX27" i="34"/>
  <c r="AW27" i="34"/>
  <c r="AV27" i="34"/>
  <c r="AU27" i="34"/>
  <c r="AT27" i="34"/>
  <c r="AS27" i="34"/>
  <c r="AR27" i="34"/>
  <c r="AQ27" i="34"/>
  <c r="AP27" i="34"/>
  <c r="AO27" i="34"/>
  <c r="R27" i="34"/>
  <c r="Q27" i="34"/>
  <c r="P27" i="34"/>
  <c r="O27" i="34"/>
  <c r="N27" i="34"/>
  <c r="M27" i="34"/>
  <c r="L27" i="34"/>
  <c r="K27" i="34"/>
  <c r="J27" i="34"/>
  <c r="AX26" i="34"/>
  <c r="AW26" i="34"/>
  <c r="AV26" i="34"/>
  <c r="AU26" i="34"/>
  <c r="AT26" i="34"/>
  <c r="AS26" i="34"/>
  <c r="AR26" i="34"/>
  <c r="AQ26" i="34"/>
  <c r="AP26" i="34"/>
  <c r="AO26" i="34"/>
  <c r="R26" i="34"/>
  <c r="Q26" i="34"/>
  <c r="P26" i="34"/>
  <c r="O26" i="34"/>
  <c r="N26" i="34"/>
  <c r="M26" i="34"/>
  <c r="L26" i="34"/>
  <c r="K26" i="34"/>
  <c r="J26" i="34"/>
  <c r="AX25" i="34"/>
  <c r="AW25" i="34"/>
  <c r="AV25" i="34"/>
  <c r="AU25" i="34"/>
  <c r="AT25" i="34"/>
  <c r="AS25" i="34"/>
  <c r="AR25" i="34"/>
  <c r="AQ25" i="34"/>
  <c r="AP25" i="34"/>
  <c r="AO25" i="34"/>
  <c r="R25" i="34"/>
  <c r="Q25" i="34"/>
  <c r="P25" i="34"/>
  <c r="O25" i="34"/>
  <c r="N25" i="34"/>
  <c r="M25" i="34"/>
  <c r="L25" i="34"/>
  <c r="K25" i="34"/>
  <c r="J25" i="34"/>
  <c r="AX24" i="34"/>
  <c r="AW24" i="34"/>
  <c r="AV24" i="34"/>
  <c r="AU24" i="34"/>
  <c r="AT24" i="34"/>
  <c r="AS24" i="34"/>
  <c r="AR24" i="34"/>
  <c r="AQ24" i="34"/>
  <c r="AP24" i="34"/>
  <c r="AO24" i="34"/>
  <c r="R24" i="34"/>
  <c r="Q24" i="34"/>
  <c r="P24" i="34"/>
  <c r="O24" i="34"/>
  <c r="N24" i="34"/>
  <c r="M24" i="34"/>
  <c r="L24" i="34"/>
  <c r="K24" i="34"/>
  <c r="J24" i="34"/>
  <c r="AX23" i="34"/>
  <c r="AW23" i="34"/>
  <c r="AV23" i="34"/>
  <c r="AU23" i="34"/>
  <c r="AT23" i="34"/>
  <c r="AS23" i="34"/>
  <c r="AR23" i="34"/>
  <c r="AQ23" i="34"/>
  <c r="AP23" i="34"/>
  <c r="AO23" i="34"/>
  <c r="R23" i="34"/>
  <c r="Q23" i="34"/>
  <c r="P23" i="34"/>
  <c r="O23" i="34"/>
  <c r="N23" i="34"/>
  <c r="M23" i="34"/>
  <c r="L23" i="34"/>
  <c r="K23" i="34"/>
  <c r="J23" i="34"/>
  <c r="AX22" i="34"/>
  <c r="AW22" i="34"/>
  <c r="AV22" i="34"/>
  <c r="AU22" i="34"/>
  <c r="AT22" i="34"/>
  <c r="AS22" i="34"/>
  <c r="AR22" i="34"/>
  <c r="AQ22" i="34"/>
  <c r="AP22" i="34"/>
  <c r="AO22" i="34"/>
  <c r="AN22" i="34"/>
  <c r="AM22" i="34"/>
  <c r="AL22" i="34"/>
  <c r="AK22" i="34"/>
  <c r="AJ22" i="34"/>
  <c r="AI22" i="34"/>
  <c r="AH22" i="34"/>
  <c r="AG22" i="34"/>
  <c r="AF22" i="34"/>
  <c r="AE22" i="34"/>
  <c r="AD22" i="34"/>
  <c r="AC22" i="34"/>
  <c r="AB22" i="34"/>
  <c r="AA22" i="34"/>
  <c r="Z22" i="34"/>
  <c r="Y22" i="34"/>
  <c r="X22" i="34"/>
  <c r="W22" i="34"/>
  <c r="V22" i="34"/>
  <c r="U22" i="34"/>
  <c r="T22" i="34"/>
  <c r="S22" i="34"/>
  <c r="R22" i="34"/>
  <c r="Q22" i="34"/>
  <c r="P22" i="34"/>
  <c r="O22" i="34"/>
  <c r="N22" i="34"/>
  <c r="M22" i="34"/>
  <c r="L22" i="34"/>
  <c r="K22" i="34"/>
  <c r="J22" i="34"/>
  <c r="AX21" i="34"/>
  <c r="AW21" i="34"/>
  <c r="AV21" i="34"/>
  <c r="AU21" i="34"/>
  <c r="AT21" i="34"/>
  <c r="AS21" i="34"/>
  <c r="AR21" i="34"/>
  <c r="AQ21" i="34"/>
  <c r="AP21" i="34"/>
  <c r="AO21" i="34"/>
  <c r="AN21" i="34"/>
  <c r="AM21" i="34"/>
  <c r="AL21" i="34"/>
  <c r="AK21" i="34"/>
  <c r="AJ21" i="34"/>
  <c r="AI21" i="34"/>
  <c r="AH21" i="34"/>
  <c r="AG21" i="34"/>
  <c r="AF21" i="34"/>
  <c r="AE21" i="34"/>
  <c r="AD21" i="34"/>
  <c r="AC21" i="34"/>
  <c r="AB21" i="34"/>
  <c r="AA21" i="34"/>
  <c r="Z21" i="34"/>
  <c r="Y21" i="34"/>
  <c r="X21" i="34"/>
  <c r="W21" i="34"/>
  <c r="V21" i="34"/>
  <c r="U21" i="34"/>
  <c r="T21" i="34"/>
  <c r="S21" i="34"/>
  <c r="R21" i="34"/>
  <c r="Q21" i="34"/>
  <c r="P21" i="34"/>
  <c r="O21" i="34"/>
  <c r="N21" i="34"/>
  <c r="M21" i="34"/>
  <c r="L21" i="34"/>
  <c r="K21" i="34"/>
  <c r="J21" i="34"/>
  <c r="AX20" i="34"/>
  <c r="AW20" i="34"/>
  <c r="AV20" i="34"/>
  <c r="AU20" i="34"/>
  <c r="AT20" i="34"/>
  <c r="AS20" i="34"/>
  <c r="AR20" i="34"/>
  <c r="AQ20" i="34"/>
  <c r="AP20" i="34"/>
  <c r="AO20" i="34"/>
  <c r="AN20" i="34"/>
  <c r="AM20" i="34"/>
  <c r="AL20" i="34"/>
  <c r="AK20" i="34"/>
  <c r="AJ20" i="34"/>
  <c r="AI20" i="34"/>
  <c r="AH20" i="34"/>
  <c r="AG20" i="34"/>
  <c r="AF20" i="34"/>
  <c r="AE20" i="34"/>
  <c r="AD20" i="34"/>
  <c r="AC20" i="34"/>
  <c r="AB20" i="34"/>
  <c r="AA20" i="34"/>
  <c r="Z20" i="34"/>
  <c r="Y20" i="34"/>
  <c r="X20" i="34"/>
  <c r="W20" i="34"/>
  <c r="V20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AX19" i="34"/>
  <c r="AW19" i="34"/>
  <c r="AV19" i="34"/>
  <c r="AU19" i="34"/>
  <c r="AT19" i="34"/>
  <c r="AS19" i="34"/>
  <c r="AR19" i="34"/>
  <c r="AQ19" i="34"/>
  <c r="AP19" i="34"/>
  <c r="AO19" i="34"/>
  <c r="AN19" i="34"/>
  <c r="AM19" i="34"/>
  <c r="AL19" i="34"/>
  <c r="AK19" i="34"/>
  <c r="AJ19" i="34"/>
  <c r="AI19" i="34"/>
  <c r="AH19" i="34"/>
  <c r="AG19" i="34"/>
  <c r="AF19" i="34"/>
  <c r="AE19" i="34"/>
  <c r="AD19" i="34"/>
  <c r="AC19" i="34"/>
  <c r="AB19" i="34"/>
  <c r="AA19" i="34"/>
  <c r="Z19" i="34"/>
  <c r="Y19" i="34"/>
  <c r="X19" i="34"/>
  <c r="W19" i="34"/>
  <c r="V19" i="34"/>
  <c r="U19" i="34"/>
  <c r="T19" i="34"/>
  <c r="S19" i="34"/>
  <c r="R19" i="34"/>
  <c r="Q19" i="34"/>
  <c r="P19" i="34"/>
  <c r="O19" i="34"/>
  <c r="N19" i="34"/>
  <c r="M19" i="34"/>
  <c r="L19" i="34"/>
  <c r="K19" i="34"/>
  <c r="J19" i="34"/>
  <c r="AX18" i="34"/>
  <c r="AW18" i="34"/>
  <c r="AV18" i="34"/>
  <c r="AU18" i="34"/>
  <c r="AT18" i="34"/>
  <c r="AS18" i="34"/>
  <c r="AR18" i="34"/>
  <c r="AQ18" i="34"/>
  <c r="AP18" i="34"/>
  <c r="AO18" i="34"/>
  <c r="AN18" i="34"/>
  <c r="AM18" i="34"/>
  <c r="AL18" i="34"/>
  <c r="AK18" i="34"/>
  <c r="AJ18" i="34"/>
  <c r="AI18" i="34"/>
  <c r="AH18" i="34"/>
  <c r="AG18" i="34"/>
  <c r="AF18" i="34"/>
  <c r="AE18" i="34"/>
  <c r="AD18" i="34"/>
  <c r="AC18" i="34"/>
  <c r="AB18" i="34"/>
  <c r="AA18" i="34"/>
  <c r="Z18" i="34"/>
  <c r="Y18" i="34"/>
  <c r="X18" i="34"/>
  <c r="W18" i="34"/>
  <c r="V18" i="34"/>
  <c r="U18" i="34"/>
  <c r="T18" i="34"/>
  <c r="S18" i="34"/>
  <c r="R18" i="34"/>
  <c r="Q18" i="34"/>
  <c r="P18" i="34"/>
  <c r="O18" i="34"/>
  <c r="N18" i="34"/>
  <c r="M18" i="34"/>
  <c r="L18" i="34"/>
  <c r="K18" i="34"/>
  <c r="J18" i="34"/>
  <c r="AX17" i="34"/>
  <c r="AW17" i="34"/>
  <c r="AV17" i="34"/>
  <c r="AU17" i="34"/>
  <c r="AT17" i="34"/>
  <c r="AS17" i="34"/>
  <c r="AR17" i="34"/>
  <c r="AQ17" i="34"/>
  <c r="AP17" i="34"/>
  <c r="AO17" i="34"/>
  <c r="AN17" i="34"/>
  <c r="AM17" i="34"/>
  <c r="AL17" i="34"/>
  <c r="AK17" i="34"/>
  <c r="AJ17" i="34"/>
  <c r="AI17" i="34"/>
  <c r="AH17" i="34"/>
  <c r="AG17" i="34"/>
  <c r="AF17" i="34"/>
  <c r="AE17" i="34"/>
  <c r="AD17" i="34"/>
  <c r="AC17" i="34"/>
  <c r="AB17" i="34"/>
  <c r="AA17" i="34"/>
  <c r="Z17" i="34"/>
  <c r="Y17" i="34"/>
  <c r="X17" i="34"/>
  <c r="W17" i="34"/>
  <c r="V17" i="34"/>
  <c r="U17" i="34"/>
  <c r="T17" i="34"/>
  <c r="S17" i="34"/>
  <c r="R17" i="34"/>
  <c r="Q17" i="34"/>
  <c r="P17" i="34"/>
  <c r="O17" i="34"/>
  <c r="N17" i="34"/>
  <c r="M17" i="34"/>
  <c r="L17" i="34"/>
  <c r="K17" i="34"/>
  <c r="J17" i="34"/>
  <c r="AX16" i="34"/>
  <c r="AW16" i="34"/>
  <c r="AV16" i="34"/>
  <c r="AU16" i="34"/>
  <c r="AT16" i="34"/>
  <c r="AS16" i="34"/>
  <c r="AR16" i="34"/>
  <c r="AQ16" i="34"/>
  <c r="AP16" i="34"/>
  <c r="AO16" i="34"/>
  <c r="AN16" i="34"/>
  <c r="AM16" i="34"/>
  <c r="AL16" i="34"/>
  <c r="AK16" i="34"/>
  <c r="AJ16" i="34"/>
  <c r="AI16" i="34"/>
  <c r="AH16" i="34"/>
  <c r="AG16" i="34"/>
  <c r="AF16" i="34"/>
  <c r="AE16" i="34"/>
  <c r="AD16" i="34"/>
  <c r="AC16" i="34"/>
  <c r="AB16" i="34"/>
  <c r="AA16" i="34"/>
  <c r="Z16" i="34"/>
  <c r="Y16" i="34"/>
  <c r="X16" i="34"/>
  <c r="W16" i="34"/>
  <c r="V16" i="34"/>
  <c r="U16" i="34"/>
  <c r="T16" i="34"/>
  <c r="S16" i="34"/>
  <c r="R16" i="34"/>
  <c r="Q16" i="34"/>
  <c r="P16" i="34"/>
  <c r="O16" i="34"/>
  <c r="N16" i="34"/>
  <c r="M16" i="34"/>
  <c r="L16" i="34"/>
  <c r="K16" i="34"/>
  <c r="J16" i="34"/>
  <c r="AX15" i="34"/>
  <c r="AW15" i="34"/>
  <c r="AV15" i="34"/>
  <c r="AU15" i="34"/>
  <c r="AT15" i="34"/>
  <c r="AS15" i="34"/>
  <c r="AR15" i="34"/>
  <c r="AQ15" i="34"/>
  <c r="AP15" i="34"/>
  <c r="AO15" i="34"/>
  <c r="AN15" i="34"/>
  <c r="AM15" i="34"/>
  <c r="AL15" i="34"/>
  <c r="AK15" i="34"/>
  <c r="AJ15" i="34"/>
  <c r="AI15" i="34"/>
  <c r="AH15" i="34"/>
  <c r="AG15" i="34"/>
  <c r="AF15" i="34"/>
  <c r="AE15" i="34"/>
  <c r="AD15" i="34"/>
  <c r="AC15" i="34"/>
  <c r="AB15" i="34"/>
  <c r="AA15" i="34"/>
  <c r="Z15" i="34"/>
  <c r="Y15" i="34"/>
  <c r="X15" i="34"/>
  <c r="W15" i="34"/>
  <c r="V15" i="34"/>
  <c r="U15" i="34"/>
  <c r="T15" i="34"/>
  <c r="S15" i="34"/>
  <c r="R15" i="34"/>
  <c r="Q15" i="34"/>
  <c r="P15" i="34"/>
  <c r="O15" i="34"/>
  <c r="N15" i="34"/>
  <c r="M15" i="34"/>
  <c r="L15" i="34"/>
  <c r="K15" i="34"/>
  <c r="J15" i="34"/>
  <c r="AX14" i="34"/>
  <c r="AW14" i="34"/>
  <c r="AV14" i="34"/>
  <c r="AU14" i="34"/>
  <c r="AT14" i="34"/>
  <c r="AS14" i="34"/>
  <c r="AR14" i="34"/>
  <c r="AQ14" i="34"/>
  <c r="AP14" i="34"/>
  <c r="AO14" i="34"/>
  <c r="AN14" i="34"/>
  <c r="AM14" i="34"/>
  <c r="AL14" i="34"/>
  <c r="AK14" i="34"/>
  <c r="AJ14" i="34"/>
  <c r="AI14" i="34"/>
  <c r="AH14" i="34"/>
  <c r="AG14" i="34"/>
  <c r="AF14" i="34"/>
  <c r="AE14" i="34"/>
  <c r="AD14" i="34"/>
  <c r="AC14" i="34"/>
  <c r="AB14" i="34"/>
  <c r="AA14" i="34"/>
  <c r="Z14" i="34"/>
  <c r="Y14" i="34"/>
  <c r="X14" i="34"/>
  <c r="W14" i="34"/>
  <c r="V14" i="34"/>
  <c r="U14" i="34"/>
  <c r="T14" i="34"/>
  <c r="S14" i="34"/>
  <c r="R14" i="34"/>
  <c r="Q14" i="34"/>
  <c r="P14" i="34"/>
  <c r="O14" i="34"/>
  <c r="N14" i="34"/>
  <c r="M14" i="34"/>
  <c r="L14" i="34"/>
  <c r="K14" i="34"/>
  <c r="J14" i="34"/>
  <c r="AX13" i="34"/>
  <c r="AW13" i="34"/>
  <c r="AV13" i="34"/>
  <c r="AU13" i="34"/>
  <c r="AT13" i="34"/>
  <c r="AS13" i="34"/>
  <c r="AR13" i="34"/>
  <c r="AQ13" i="34"/>
  <c r="AP13" i="34"/>
  <c r="AO13" i="34"/>
  <c r="AN13" i="34"/>
  <c r="AM13" i="34"/>
  <c r="AL13" i="34"/>
  <c r="AK13" i="34"/>
  <c r="AJ13" i="34"/>
  <c r="AI13" i="34"/>
  <c r="AH13" i="34"/>
  <c r="AG13" i="34"/>
  <c r="AF13" i="34"/>
  <c r="AE13" i="34"/>
  <c r="AD13" i="34"/>
  <c r="AC13" i="34"/>
  <c r="AB13" i="34"/>
  <c r="AA13" i="34"/>
  <c r="Z13" i="34"/>
  <c r="Y13" i="34"/>
  <c r="X13" i="34"/>
  <c r="W13" i="34"/>
  <c r="V13" i="34"/>
  <c r="U13" i="34"/>
  <c r="T13" i="34"/>
  <c r="S13" i="34"/>
  <c r="R13" i="34"/>
  <c r="Q13" i="34"/>
  <c r="P13" i="34"/>
  <c r="O13" i="34"/>
  <c r="N13" i="34"/>
  <c r="M13" i="34"/>
  <c r="L13" i="34"/>
  <c r="K13" i="34"/>
  <c r="J13" i="34"/>
  <c r="AX12" i="34"/>
  <c r="AW12" i="34"/>
  <c r="AV12" i="34"/>
  <c r="AU12" i="34"/>
  <c r="AT12" i="34"/>
  <c r="AS12" i="34"/>
  <c r="AR12" i="34"/>
  <c r="AQ12" i="34"/>
  <c r="AP12" i="34"/>
  <c r="AO12" i="34"/>
  <c r="AN12" i="34"/>
  <c r="AM12" i="34"/>
  <c r="AL12" i="34"/>
  <c r="AK12" i="34"/>
  <c r="AJ12" i="34"/>
  <c r="AI12" i="34"/>
  <c r="AH12" i="34"/>
  <c r="AG12" i="34"/>
  <c r="AF12" i="34"/>
  <c r="AE12" i="34"/>
  <c r="AD12" i="34"/>
  <c r="AC12" i="34"/>
  <c r="AB12" i="34"/>
  <c r="AA12" i="34"/>
  <c r="Z12" i="34"/>
  <c r="Y12" i="34"/>
  <c r="X12" i="34"/>
  <c r="W12" i="34"/>
  <c r="V12" i="34"/>
  <c r="U12" i="34"/>
  <c r="T12" i="34"/>
  <c r="S12" i="34"/>
  <c r="R12" i="34"/>
  <c r="Q12" i="34"/>
  <c r="P12" i="34"/>
  <c r="O12" i="34"/>
  <c r="N12" i="34"/>
  <c r="M12" i="34"/>
  <c r="L12" i="34"/>
  <c r="K12" i="34"/>
  <c r="J12" i="34"/>
  <c r="AX34" i="34"/>
  <c r="AW34" i="34"/>
  <c r="AV34" i="34"/>
  <c r="AU34" i="34"/>
  <c r="AT34" i="34"/>
  <c r="AS34" i="34"/>
  <c r="AR34" i="34"/>
  <c r="AQ34" i="34"/>
  <c r="AP34" i="34"/>
  <c r="AO34" i="34"/>
  <c r="AN34" i="34"/>
  <c r="AM34" i="34"/>
  <c r="AL34" i="34"/>
  <c r="AK34" i="34"/>
  <c r="AJ34" i="34"/>
  <c r="AI34" i="34"/>
  <c r="AH34" i="34"/>
  <c r="AG34" i="34"/>
  <c r="AF34" i="34"/>
  <c r="AE34" i="34"/>
  <c r="AD34" i="34"/>
  <c r="AC34" i="34"/>
  <c r="AB34" i="34"/>
  <c r="AA34" i="34"/>
  <c r="Z34" i="34"/>
  <c r="Y34" i="34"/>
  <c r="X34" i="34"/>
  <c r="W34" i="34"/>
  <c r="V34" i="34"/>
  <c r="U34" i="34"/>
  <c r="T34" i="34"/>
  <c r="S34" i="34"/>
  <c r="R34" i="34"/>
  <c r="Q34" i="34"/>
  <c r="P34" i="34"/>
  <c r="O34" i="34"/>
  <c r="N34" i="34"/>
  <c r="M34" i="34"/>
  <c r="L34" i="34"/>
  <c r="K34" i="34"/>
  <c r="J34" i="34"/>
  <c r="AX11" i="34"/>
  <c r="AW11" i="34"/>
  <c r="AV11" i="34"/>
  <c r="AU11" i="34"/>
  <c r="AT11" i="34"/>
  <c r="AS11" i="34"/>
  <c r="AR11" i="34"/>
  <c r="AQ11" i="34"/>
  <c r="AP11" i="34"/>
  <c r="AO11" i="34"/>
  <c r="AN11" i="34"/>
  <c r="AM11" i="34"/>
  <c r="AL11" i="34"/>
  <c r="AK11" i="34"/>
  <c r="AJ11" i="34"/>
  <c r="AI11" i="34"/>
  <c r="AH11" i="34"/>
  <c r="AG11" i="34"/>
  <c r="AF11" i="34"/>
  <c r="AE11" i="34"/>
  <c r="AD11" i="34"/>
  <c r="AC11" i="34"/>
  <c r="AB11" i="34"/>
  <c r="AA11" i="34"/>
  <c r="Z11" i="34"/>
  <c r="Y11" i="34"/>
  <c r="X11" i="34"/>
  <c r="W11" i="34"/>
  <c r="V11" i="34"/>
  <c r="U11" i="34"/>
  <c r="T11" i="34"/>
  <c r="S11" i="34"/>
  <c r="R11" i="34"/>
  <c r="Q11" i="34"/>
  <c r="P11" i="34"/>
  <c r="O11" i="34"/>
  <c r="N11" i="34"/>
  <c r="M11" i="34"/>
  <c r="L11" i="34"/>
  <c r="K11" i="34"/>
  <c r="J11" i="34"/>
  <c r="AX10" i="34"/>
  <c r="AW10" i="34"/>
  <c r="AV10" i="34"/>
  <c r="AU10" i="34"/>
  <c r="AT10" i="34"/>
  <c r="AS10" i="34"/>
  <c r="AR10" i="34"/>
  <c r="AQ10" i="34"/>
  <c r="AP10" i="34"/>
  <c r="AO10" i="34"/>
  <c r="AN10" i="34"/>
  <c r="AM10" i="34"/>
  <c r="AL10" i="34"/>
  <c r="AK10" i="34"/>
  <c r="AJ10" i="34"/>
  <c r="AI10" i="34"/>
  <c r="AH10" i="34"/>
  <c r="AG10" i="34"/>
  <c r="AF10" i="34"/>
  <c r="AE10" i="34"/>
  <c r="AD10" i="34"/>
  <c r="AC10" i="34"/>
  <c r="AB10" i="34"/>
  <c r="AA10" i="34"/>
  <c r="Z10" i="34"/>
  <c r="Y10" i="34"/>
  <c r="X10" i="34"/>
  <c r="W10" i="34"/>
  <c r="V10" i="34"/>
  <c r="U10" i="34"/>
  <c r="T10" i="34"/>
  <c r="S10" i="34"/>
  <c r="R10" i="34"/>
  <c r="Q10" i="34"/>
  <c r="P10" i="34"/>
  <c r="O10" i="34"/>
  <c r="N10" i="34"/>
  <c r="M10" i="34"/>
  <c r="L10" i="34"/>
  <c r="K10" i="34"/>
  <c r="J10" i="34"/>
  <c r="AX9" i="34"/>
  <c r="AW9" i="34"/>
  <c r="AV9" i="34"/>
  <c r="AU9" i="34"/>
  <c r="AT9" i="34"/>
  <c r="AS9" i="34"/>
  <c r="AR9" i="34"/>
  <c r="AQ9" i="34"/>
  <c r="AP9" i="34"/>
  <c r="AO9" i="34"/>
  <c r="AN9" i="34"/>
  <c r="AM9" i="34"/>
  <c r="AL9" i="34"/>
  <c r="AK9" i="34"/>
  <c r="AJ9" i="34"/>
  <c r="AI9" i="34"/>
  <c r="AH9" i="34"/>
  <c r="AG9" i="34"/>
  <c r="AF9" i="34"/>
  <c r="AE9" i="34"/>
  <c r="AD9" i="34"/>
  <c r="AC9" i="34"/>
  <c r="AB9" i="34"/>
  <c r="AA9" i="34"/>
  <c r="Z9" i="34"/>
  <c r="Y9" i="34"/>
  <c r="X9" i="34"/>
  <c r="W9" i="34"/>
  <c r="V9" i="34"/>
  <c r="U9" i="34"/>
  <c r="T9" i="34"/>
  <c r="S9" i="34"/>
  <c r="R9" i="34"/>
  <c r="Q9" i="34"/>
  <c r="P9" i="34"/>
  <c r="O9" i="34"/>
  <c r="N9" i="34"/>
  <c r="M9" i="34"/>
  <c r="L9" i="34"/>
  <c r="K9" i="34"/>
  <c r="J9" i="34"/>
  <c r="J48" i="39"/>
  <c r="K48" i="39"/>
  <c r="L48" i="39"/>
  <c r="M48" i="39"/>
  <c r="N48" i="39"/>
  <c r="O48" i="39"/>
  <c r="P48" i="39"/>
  <c r="Q48" i="39"/>
  <c r="R48" i="39"/>
  <c r="S48" i="39"/>
  <c r="T48" i="39"/>
  <c r="U48" i="39"/>
  <c r="V48" i="39"/>
  <c r="W48" i="39"/>
  <c r="X48" i="39"/>
  <c r="Y48" i="39"/>
  <c r="Z48" i="39"/>
  <c r="AA48" i="39"/>
  <c r="AB48" i="39"/>
  <c r="AC48" i="39"/>
  <c r="AD48" i="39"/>
  <c r="AE48" i="39"/>
  <c r="AF48" i="39"/>
  <c r="AG48" i="39"/>
  <c r="AH48" i="39"/>
  <c r="AI48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J49" i="39"/>
  <c r="K49" i="39"/>
  <c r="L49" i="39"/>
  <c r="M49" i="39"/>
  <c r="N49" i="39"/>
  <c r="O49" i="39"/>
  <c r="P49" i="39"/>
  <c r="Q49" i="39"/>
  <c r="R49" i="39"/>
  <c r="S49" i="39"/>
  <c r="T49" i="39"/>
  <c r="U49" i="39"/>
  <c r="V49" i="39"/>
  <c r="W49" i="39"/>
  <c r="X49" i="39"/>
  <c r="Y49" i="39"/>
  <c r="Z49" i="39"/>
  <c r="AA49" i="39"/>
  <c r="AB49" i="39"/>
  <c r="AC49" i="39"/>
  <c r="AD49" i="39"/>
  <c r="AE49" i="39"/>
  <c r="AF49" i="39"/>
  <c r="AG49" i="39"/>
  <c r="AH49" i="39"/>
  <c r="AI49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J50" i="39"/>
  <c r="K50" i="39"/>
  <c r="L50" i="39"/>
  <c r="M50" i="39"/>
  <c r="N50" i="39"/>
  <c r="O50" i="39"/>
  <c r="P50" i="39"/>
  <c r="Q50" i="39"/>
  <c r="R50" i="39"/>
  <c r="S50" i="39"/>
  <c r="T50" i="39"/>
  <c r="U50" i="39"/>
  <c r="V50" i="39"/>
  <c r="W50" i="39"/>
  <c r="X50" i="39"/>
  <c r="Y50" i="39"/>
  <c r="Z50" i="39"/>
  <c r="AA50" i="39"/>
  <c r="AB50" i="39"/>
  <c r="AC50" i="39"/>
  <c r="AD50" i="39"/>
  <c r="AE50" i="39"/>
  <c r="AF50" i="39"/>
  <c r="AG50" i="39"/>
  <c r="AH50" i="39"/>
  <c r="AI50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J51" i="39"/>
  <c r="K51" i="39"/>
  <c r="L51" i="39"/>
  <c r="M51" i="39"/>
  <c r="N51" i="39"/>
  <c r="O51" i="39"/>
  <c r="P51" i="39"/>
  <c r="Q51" i="39"/>
  <c r="R51" i="39"/>
  <c r="S51" i="39"/>
  <c r="T51" i="39"/>
  <c r="U51" i="39"/>
  <c r="V51" i="39"/>
  <c r="W51" i="39"/>
  <c r="X51" i="39"/>
  <c r="Y51" i="39"/>
  <c r="Z51" i="39"/>
  <c r="AA51" i="39"/>
  <c r="AB51" i="39"/>
  <c r="AC51" i="39"/>
  <c r="AD51" i="39"/>
  <c r="AE51" i="39"/>
  <c r="AF51" i="39"/>
  <c r="AG51" i="39"/>
  <c r="AH51" i="39"/>
  <c r="AI51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J52" i="39"/>
  <c r="K52" i="39"/>
  <c r="L52" i="39"/>
  <c r="M52" i="39"/>
  <c r="N52" i="39"/>
  <c r="O52" i="39"/>
  <c r="P52" i="39"/>
  <c r="Q52" i="39"/>
  <c r="R52" i="39"/>
  <c r="S52" i="39"/>
  <c r="T52" i="39"/>
  <c r="U52" i="39"/>
  <c r="V52" i="39"/>
  <c r="W52" i="39"/>
  <c r="X52" i="39"/>
  <c r="Y52" i="39"/>
  <c r="Z52" i="39"/>
  <c r="AA52" i="39"/>
  <c r="AB52" i="39"/>
  <c r="AC52" i="39"/>
  <c r="AD52" i="39"/>
  <c r="AE52" i="39"/>
  <c r="AF52" i="39"/>
  <c r="AG52" i="39"/>
  <c r="AH52" i="39"/>
  <c r="AI52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J53" i="39"/>
  <c r="K53" i="39"/>
  <c r="L53" i="39"/>
  <c r="M53" i="39"/>
  <c r="N53" i="39"/>
  <c r="O53" i="39"/>
  <c r="P53" i="39"/>
  <c r="Q53" i="39"/>
  <c r="R53" i="39"/>
  <c r="S53" i="39"/>
  <c r="T53" i="39"/>
  <c r="U53" i="39"/>
  <c r="V53" i="39"/>
  <c r="W53" i="39"/>
  <c r="X53" i="39"/>
  <c r="Y53" i="39"/>
  <c r="Z53" i="39"/>
  <c r="AA53" i="39"/>
  <c r="AB53" i="39"/>
  <c r="AC53" i="39"/>
  <c r="AD53" i="39"/>
  <c r="AE53" i="39"/>
  <c r="AF53" i="39"/>
  <c r="AG53" i="39"/>
  <c r="AH53" i="39"/>
  <c r="AI53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J54" i="39"/>
  <c r="K54" i="39"/>
  <c r="L54" i="39"/>
  <c r="M54" i="39"/>
  <c r="N54" i="39"/>
  <c r="O54" i="39"/>
  <c r="P54" i="39"/>
  <c r="Q54" i="39"/>
  <c r="R54" i="39"/>
  <c r="S54" i="39"/>
  <c r="T54" i="39"/>
  <c r="U54" i="39"/>
  <c r="V54" i="39"/>
  <c r="W54" i="39"/>
  <c r="X54" i="39"/>
  <c r="Y54" i="39"/>
  <c r="Z54" i="39"/>
  <c r="AA54" i="39"/>
  <c r="AB54" i="39"/>
  <c r="AC54" i="39"/>
  <c r="AD54" i="39"/>
  <c r="AE54" i="39"/>
  <c r="AF54" i="39"/>
  <c r="AG54" i="39"/>
  <c r="AH54" i="39"/>
  <c r="AI54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J55" i="39"/>
  <c r="K55" i="39"/>
  <c r="L55" i="39"/>
  <c r="M55" i="39"/>
  <c r="N55" i="39"/>
  <c r="O55" i="39"/>
  <c r="P55" i="39"/>
  <c r="Q55" i="39"/>
  <c r="R55" i="39"/>
  <c r="S55" i="39"/>
  <c r="T55" i="39"/>
  <c r="U55" i="39"/>
  <c r="V55" i="39"/>
  <c r="W55" i="39"/>
  <c r="X55" i="39"/>
  <c r="Y55" i="39"/>
  <c r="Z55" i="39"/>
  <c r="AA55" i="39"/>
  <c r="AB55" i="39"/>
  <c r="AC55" i="39"/>
  <c r="AD55" i="39"/>
  <c r="AE55" i="39"/>
  <c r="AF55" i="39"/>
  <c r="AG55" i="39"/>
  <c r="AH55" i="39"/>
  <c r="AI55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J56" i="39"/>
  <c r="K56" i="39"/>
  <c r="L56" i="39"/>
  <c r="M56" i="39"/>
  <c r="N56" i="39"/>
  <c r="O56" i="39"/>
  <c r="P56" i="39"/>
  <c r="Q56" i="39"/>
  <c r="R56" i="39"/>
  <c r="S56" i="39"/>
  <c r="T56" i="39"/>
  <c r="U56" i="39"/>
  <c r="V56" i="39"/>
  <c r="W56" i="39"/>
  <c r="X56" i="39"/>
  <c r="Y56" i="39"/>
  <c r="Z56" i="39"/>
  <c r="AA56" i="39"/>
  <c r="AB56" i="39"/>
  <c r="AC56" i="39"/>
  <c r="AD56" i="39"/>
  <c r="AE56" i="39"/>
  <c r="AF56" i="39"/>
  <c r="AG56" i="39"/>
  <c r="AH56" i="39"/>
  <c r="AI56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J57" i="39"/>
  <c r="K57" i="39"/>
  <c r="L57" i="39"/>
  <c r="M57" i="39"/>
  <c r="N57" i="39"/>
  <c r="O57" i="39"/>
  <c r="P57" i="39"/>
  <c r="Q57" i="39"/>
  <c r="R57" i="39"/>
  <c r="S57" i="39"/>
  <c r="T57" i="39"/>
  <c r="U57" i="39"/>
  <c r="V57" i="39"/>
  <c r="W57" i="39"/>
  <c r="X57" i="39"/>
  <c r="Y57" i="39"/>
  <c r="Z57" i="39"/>
  <c r="AA57" i="39"/>
  <c r="AB57" i="39"/>
  <c r="AC57" i="39"/>
  <c r="AD57" i="39"/>
  <c r="AE57" i="39"/>
  <c r="AF57" i="39"/>
  <c r="AG57" i="39"/>
  <c r="AH57" i="39"/>
  <c r="AI57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J58" i="39"/>
  <c r="K58" i="39"/>
  <c r="L58" i="39"/>
  <c r="M58" i="39"/>
  <c r="N58" i="39"/>
  <c r="O58" i="39"/>
  <c r="P58" i="39"/>
  <c r="Q58" i="39"/>
  <c r="R58" i="39"/>
  <c r="S58" i="39"/>
  <c r="T58" i="39"/>
  <c r="U58" i="39"/>
  <c r="V58" i="39"/>
  <c r="W58" i="39"/>
  <c r="X58" i="39"/>
  <c r="Y58" i="39"/>
  <c r="Z58" i="39"/>
  <c r="AA58" i="39"/>
  <c r="AB58" i="39"/>
  <c r="AC58" i="39"/>
  <c r="AD58" i="39"/>
  <c r="AE58" i="39"/>
  <c r="AF58" i="39"/>
  <c r="AG58" i="39"/>
  <c r="AH58" i="39"/>
  <c r="AI58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J59" i="39"/>
  <c r="K59" i="39"/>
  <c r="L59" i="39"/>
  <c r="M59" i="39"/>
  <c r="N59" i="39"/>
  <c r="O59" i="39"/>
  <c r="P59" i="39"/>
  <c r="Q59" i="39"/>
  <c r="R59" i="39"/>
  <c r="S59" i="39"/>
  <c r="T59" i="39"/>
  <c r="U59" i="39"/>
  <c r="V59" i="39"/>
  <c r="W59" i="39"/>
  <c r="X59" i="39"/>
  <c r="Y59" i="39"/>
  <c r="Z59" i="39"/>
  <c r="AA59" i="39"/>
  <c r="AB59" i="39"/>
  <c r="AC59" i="39"/>
  <c r="AD59" i="39"/>
  <c r="AE59" i="39"/>
  <c r="AF59" i="39"/>
  <c r="AG59" i="39"/>
  <c r="AH59" i="39"/>
  <c r="AI59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X47" i="39"/>
  <c r="AW47" i="39"/>
  <c r="AV47" i="39"/>
  <c r="AU47" i="39"/>
  <c r="AT47" i="39"/>
  <c r="AS47" i="39"/>
  <c r="AR47" i="39"/>
  <c r="AQ47" i="39"/>
  <c r="AP47" i="39"/>
  <c r="AO47" i="39"/>
  <c r="AN47" i="39"/>
  <c r="AM47" i="39"/>
  <c r="AL47" i="39"/>
  <c r="AK47" i="39"/>
  <c r="AJ47" i="39"/>
  <c r="AI47" i="39"/>
  <c r="AH47" i="39"/>
  <c r="AG47" i="39"/>
  <c r="AF47" i="39"/>
  <c r="AE47" i="39"/>
  <c r="AD47" i="39"/>
  <c r="AC47" i="39"/>
  <c r="AB47" i="39"/>
  <c r="AA47" i="39"/>
  <c r="Z47" i="39"/>
  <c r="Y47" i="39"/>
  <c r="X47" i="39"/>
  <c r="W47" i="39"/>
  <c r="V47" i="39"/>
  <c r="U47" i="39"/>
  <c r="T47" i="39"/>
  <c r="S47" i="39"/>
  <c r="R47" i="39"/>
  <c r="Q47" i="39"/>
  <c r="P47" i="39"/>
  <c r="O47" i="39"/>
  <c r="N47" i="39"/>
  <c r="M47" i="39"/>
  <c r="L47" i="39"/>
  <c r="K47" i="39"/>
  <c r="J47" i="39"/>
  <c r="AX46" i="39"/>
  <c r="AW46" i="39"/>
  <c r="AV46" i="39"/>
  <c r="AU46" i="39"/>
  <c r="AT46" i="39"/>
  <c r="AS46" i="39"/>
  <c r="AR46" i="39"/>
  <c r="AQ46" i="39"/>
  <c r="AP46" i="39"/>
  <c r="AO46" i="39"/>
  <c r="AN46" i="39"/>
  <c r="AM46" i="39"/>
  <c r="AL46" i="39"/>
  <c r="AK46" i="39"/>
  <c r="AJ46" i="39"/>
  <c r="AI46" i="39"/>
  <c r="AH46" i="39"/>
  <c r="AG46" i="39"/>
  <c r="AF46" i="39"/>
  <c r="AE46" i="39"/>
  <c r="AD46" i="39"/>
  <c r="AC46" i="39"/>
  <c r="AB46" i="39"/>
  <c r="AA46" i="39"/>
  <c r="Z46" i="39"/>
  <c r="Y46" i="39"/>
  <c r="X46" i="39"/>
  <c r="W46" i="39"/>
  <c r="V46" i="39"/>
  <c r="U46" i="39"/>
  <c r="T46" i="39"/>
  <c r="S46" i="39"/>
  <c r="R46" i="39"/>
  <c r="Q46" i="39"/>
  <c r="P46" i="39"/>
  <c r="O46" i="39"/>
  <c r="N46" i="39"/>
  <c r="M46" i="39"/>
  <c r="L46" i="39"/>
  <c r="K46" i="39"/>
  <c r="J46" i="39"/>
  <c r="AX45" i="39"/>
  <c r="AW45" i="39"/>
  <c r="AV45" i="39"/>
  <c r="AU45" i="39"/>
  <c r="AT45" i="39"/>
  <c r="AS45" i="39"/>
  <c r="AR45" i="39"/>
  <c r="AQ45" i="39"/>
  <c r="AP45" i="39"/>
  <c r="AO45" i="39"/>
  <c r="AN45" i="39"/>
  <c r="AM45" i="39"/>
  <c r="AL45" i="39"/>
  <c r="AK45" i="39"/>
  <c r="AJ45" i="39"/>
  <c r="AI45" i="39"/>
  <c r="AH45" i="39"/>
  <c r="AG45" i="39"/>
  <c r="AF45" i="39"/>
  <c r="AE45" i="39"/>
  <c r="AD45" i="39"/>
  <c r="AC45" i="39"/>
  <c r="AB45" i="39"/>
  <c r="AA45" i="39"/>
  <c r="Z45" i="39"/>
  <c r="Y45" i="39"/>
  <c r="X45" i="39"/>
  <c r="W45" i="39"/>
  <c r="V45" i="39"/>
  <c r="U45" i="39"/>
  <c r="T45" i="39"/>
  <c r="S45" i="39"/>
  <c r="R45" i="39"/>
  <c r="Q45" i="39"/>
  <c r="P45" i="39"/>
  <c r="O45" i="39"/>
  <c r="N45" i="39"/>
  <c r="M45" i="39"/>
  <c r="L45" i="39"/>
  <c r="K45" i="39"/>
  <c r="J45" i="39"/>
  <c r="AX44" i="39"/>
  <c r="AW44" i="39"/>
  <c r="AV44" i="39"/>
  <c r="AU44" i="39"/>
  <c r="AT44" i="39"/>
  <c r="AS44" i="39"/>
  <c r="AR44" i="39"/>
  <c r="AQ44" i="39"/>
  <c r="AP44" i="39"/>
  <c r="AO44" i="39"/>
  <c r="AN44" i="39"/>
  <c r="AM44" i="39"/>
  <c r="AL44" i="39"/>
  <c r="AK44" i="39"/>
  <c r="AJ44" i="39"/>
  <c r="AI44" i="39"/>
  <c r="AH44" i="39"/>
  <c r="AG44" i="39"/>
  <c r="AF44" i="39"/>
  <c r="AE44" i="39"/>
  <c r="AD44" i="39"/>
  <c r="AC44" i="39"/>
  <c r="AB44" i="39"/>
  <c r="AA44" i="39"/>
  <c r="Z44" i="39"/>
  <c r="Y44" i="39"/>
  <c r="X44" i="39"/>
  <c r="W44" i="39"/>
  <c r="V44" i="39"/>
  <c r="U44" i="39"/>
  <c r="T44" i="39"/>
  <c r="S44" i="39"/>
  <c r="R44" i="39"/>
  <c r="Q44" i="39"/>
  <c r="P44" i="39"/>
  <c r="O44" i="39"/>
  <c r="N44" i="39"/>
  <c r="M44" i="39"/>
  <c r="L44" i="39"/>
  <c r="K44" i="39"/>
  <c r="J44" i="39"/>
  <c r="AX40" i="39"/>
  <c r="AW40" i="39"/>
  <c r="AV40" i="39"/>
  <c r="AU40" i="39"/>
  <c r="AT40" i="39"/>
  <c r="AS40" i="39"/>
  <c r="AR40" i="39"/>
  <c r="AQ40" i="39"/>
  <c r="AP40" i="39"/>
  <c r="AO40" i="39"/>
  <c r="AN40" i="39"/>
  <c r="AM40" i="39"/>
  <c r="AL40" i="39"/>
  <c r="AK40" i="39"/>
  <c r="AJ40" i="39"/>
  <c r="AI40" i="39"/>
  <c r="AH40" i="39"/>
  <c r="AG40" i="39"/>
  <c r="AF40" i="39"/>
  <c r="AE40" i="39"/>
  <c r="AD40" i="39"/>
  <c r="AC40" i="39"/>
  <c r="AB40" i="39"/>
  <c r="AA40" i="39"/>
  <c r="Z40" i="39"/>
  <c r="Y40" i="39"/>
  <c r="X40" i="39"/>
  <c r="W40" i="39"/>
  <c r="V40" i="39"/>
  <c r="U40" i="39"/>
  <c r="T40" i="39"/>
  <c r="S40" i="39"/>
  <c r="R40" i="39"/>
  <c r="Q40" i="39"/>
  <c r="P40" i="39"/>
  <c r="O40" i="39"/>
  <c r="N40" i="39"/>
  <c r="M40" i="39"/>
  <c r="L40" i="39"/>
  <c r="K40" i="39"/>
  <c r="J40" i="39"/>
  <c r="AX43" i="39"/>
  <c r="AW43" i="39"/>
  <c r="AV43" i="39"/>
  <c r="AU43" i="39"/>
  <c r="AT43" i="39"/>
  <c r="AS43" i="39"/>
  <c r="AR43" i="39"/>
  <c r="AQ43" i="39"/>
  <c r="AP43" i="39"/>
  <c r="AO43" i="39"/>
  <c r="AN43" i="39"/>
  <c r="AM43" i="39"/>
  <c r="AL43" i="39"/>
  <c r="AK43" i="39"/>
  <c r="AJ43" i="39"/>
  <c r="AI43" i="39"/>
  <c r="AH43" i="39"/>
  <c r="AG43" i="39"/>
  <c r="AF43" i="39"/>
  <c r="AE43" i="39"/>
  <c r="AD43" i="39"/>
  <c r="AC43" i="39"/>
  <c r="AB43" i="39"/>
  <c r="AA43" i="39"/>
  <c r="Z43" i="39"/>
  <c r="Y43" i="39"/>
  <c r="X43" i="39"/>
  <c r="W43" i="39"/>
  <c r="V43" i="39"/>
  <c r="U43" i="39"/>
  <c r="T43" i="39"/>
  <c r="S43" i="39"/>
  <c r="R43" i="39"/>
  <c r="Q43" i="39"/>
  <c r="P43" i="39"/>
  <c r="O43" i="39"/>
  <c r="N43" i="39"/>
  <c r="M43" i="39"/>
  <c r="L43" i="39"/>
  <c r="K43" i="39"/>
  <c r="J43" i="39"/>
  <c r="AX42" i="39"/>
  <c r="AW42" i="39"/>
  <c r="AV42" i="39"/>
  <c r="AU42" i="39"/>
  <c r="AT42" i="39"/>
  <c r="AS42" i="39"/>
  <c r="AR42" i="39"/>
  <c r="AQ42" i="39"/>
  <c r="AP42" i="39"/>
  <c r="AO42" i="39"/>
  <c r="AN42" i="39"/>
  <c r="AM42" i="39"/>
  <c r="AL42" i="39"/>
  <c r="AK42" i="39"/>
  <c r="AJ42" i="39"/>
  <c r="AI42" i="39"/>
  <c r="AH42" i="39"/>
  <c r="AG42" i="39"/>
  <c r="AF42" i="39"/>
  <c r="AE42" i="39"/>
  <c r="AD42" i="39"/>
  <c r="AC42" i="39"/>
  <c r="AB42" i="39"/>
  <c r="AA42" i="39"/>
  <c r="Z42" i="39"/>
  <c r="Y42" i="39"/>
  <c r="X42" i="39"/>
  <c r="W42" i="39"/>
  <c r="V42" i="39"/>
  <c r="U42" i="39"/>
  <c r="T42" i="39"/>
  <c r="S42" i="39"/>
  <c r="R42" i="39"/>
  <c r="Q42" i="39"/>
  <c r="P42" i="39"/>
  <c r="O42" i="39"/>
  <c r="N42" i="39"/>
  <c r="M42" i="39"/>
  <c r="L42" i="39"/>
  <c r="K42" i="39"/>
  <c r="J42" i="39"/>
  <c r="AX27" i="39"/>
  <c r="AW27" i="39"/>
  <c r="AV27" i="39"/>
  <c r="AU27" i="39"/>
  <c r="AT27" i="39"/>
  <c r="AS27" i="39"/>
  <c r="AR27" i="39"/>
  <c r="AQ27" i="39"/>
  <c r="AP27" i="39"/>
  <c r="AO27" i="39"/>
  <c r="AN27" i="39"/>
  <c r="AM27" i="39"/>
  <c r="AL27" i="39"/>
  <c r="AK27" i="39"/>
  <c r="AJ27" i="39"/>
  <c r="AI27" i="39"/>
  <c r="AH27" i="39"/>
  <c r="AG27" i="39"/>
  <c r="AF27" i="39"/>
  <c r="AE27" i="39"/>
  <c r="AD27" i="39"/>
  <c r="AC27" i="39"/>
  <c r="AB27" i="39"/>
  <c r="AA27" i="39"/>
  <c r="Z27" i="39"/>
  <c r="Y27" i="39"/>
  <c r="X27" i="39"/>
  <c r="W27" i="39"/>
  <c r="V27" i="39"/>
  <c r="U27" i="39"/>
  <c r="T27" i="39"/>
  <c r="S27" i="39"/>
  <c r="R27" i="39"/>
  <c r="Q27" i="39"/>
  <c r="P27" i="39"/>
  <c r="O27" i="39"/>
  <c r="N27" i="39"/>
  <c r="M27" i="39"/>
  <c r="L27" i="39"/>
  <c r="K27" i="39"/>
  <c r="J27" i="39"/>
  <c r="AX41" i="39"/>
  <c r="AW41" i="39"/>
  <c r="AV41" i="39"/>
  <c r="AU41" i="39"/>
  <c r="AT41" i="39"/>
  <c r="AS41" i="39"/>
  <c r="AR41" i="39"/>
  <c r="AQ41" i="39"/>
  <c r="AP41" i="39"/>
  <c r="AO41" i="39"/>
  <c r="AN41" i="39"/>
  <c r="AM41" i="39"/>
  <c r="AL41" i="39"/>
  <c r="AK41" i="39"/>
  <c r="AJ41" i="39"/>
  <c r="AI41" i="39"/>
  <c r="AH41" i="39"/>
  <c r="AG41" i="39"/>
  <c r="AF41" i="39"/>
  <c r="AE41" i="39"/>
  <c r="AD41" i="39"/>
  <c r="AC41" i="39"/>
  <c r="AB41" i="39"/>
  <c r="AA41" i="39"/>
  <c r="Z41" i="39"/>
  <c r="Y41" i="39"/>
  <c r="X41" i="39"/>
  <c r="W41" i="39"/>
  <c r="V41" i="39"/>
  <c r="U41" i="39"/>
  <c r="T41" i="39"/>
  <c r="S41" i="39"/>
  <c r="R41" i="39"/>
  <c r="Q41" i="39"/>
  <c r="P41" i="39"/>
  <c r="O41" i="39"/>
  <c r="N41" i="39"/>
  <c r="M41" i="39"/>
  <c r="L41" i="39"/>
  <c r="K41" i="39"/>
  <c r="J41" i="39"/>
  <c r="AX39" i="39"/>
  <c r="AW39" i="39"/>
  <c r="AV39" i="39"/>
  <c r="AU39" i="39"/>
  <c r="AT39" i="39"/>
  <c r="AS39" i="39"/>
  <c r="AR39" i="39"/>
  <c r="AQ39" i="39"/>
  <c r="AP39" i="39"/>
  <c r="AO39" i="39"/>
  <c r="AN39" i="39"/>
  <c r="AM39" i="39"/>
  <c r="AL39" i="39"/>
  <c r="AK39" i="39"/>
  <c r="AJ39" i="39"/>
  <c r="AI39" i="39"/>
  <c r="AH39" i="39"/>
  <c r="AG39" i="39"/>
  <c r="AF39" i="39"/>
  <c r="AE39" i="39"/>
  <c r="AD39" i="39"/>
  <c r="AC39" i="39"/>
  <c r="AB39" i="39"/>
  <c r="AA39" i="39"/>
  <c r="Z39" i="39"/>
  <c r="Y39" i="39"/>
  <c r="X39" i="39"/>
  <c r="W39" i="39"/>
  <c r="V39" i="39"/>
  <c r="U39" i="39"/>
  <c r="T39" i="39"/>
  <c r="S39" i="39"/>
  <c r="R39" i="39"/>
  <c r="Q39" i="39"/>
  <c r="P39" i="39"/>
  <c r="O39" i="39"/>
  <c r="N39" i="39"/>
  <c r="M39" i="39"/>
  <c r="L39" i="39"/>
  <c r="K39" i="39"/>
  <c r="J39" i="39"/>
  <c r="AX38" i="39"/>
  <c r="AW38" i="39"/>
  <c r="AV38" i="39"/>
  <c r="AU38" i="39"/>
  <c r="AT38" i="39"/>
  <c r="AS38" i="39"/>
  <c r="AR38" i="39"/>
  <c r="AQ38" i="39"/>
  <c r="AP38" i="39"/>
  <c r="AO38" i="39"/>
  <c r="AN38" i="39"/>
  <c r="AM38" i="39"/>
  <c r="AL38" i="39"/>
  <c r="AK38" i="39"/>
  <c r="AJ38" i="39"/>
  <c r="AI38" i="39"/>
  <c r="AH38" i="39"/>
  <c r="AG38" i="39"/>
  <c r="AF38" i="39"/>
  <c r="AE38" i="39"/>
  <c r="AD38" i="39"/>
  <c r="AC38" i="39"/>
  <c r="AB38" i="39"/>
  <c r="AA38" i="39"/>
  <c r="Z38" i="39"/>
  <c r="Y38" i="39"/>
  <c r="X38" i="39"/>
  <c r="W38" i="39"/>
  <c r="V38" i="39"/>
  <c r="U38" i="39"/>
  <c r="T38" i="39"/>
  <c r="S38" i="39"/>
  <c r="R38" i="39"/>
  <c r="Q38" i="39"/>
  <c r="P38" i="39"/>
  <c r="O38" i="39"/>
  <c r="N38" i="39"/>
  <c r="M38" i="39"/>
  <c r="L38" i="39"/>
  <c r="K38" i="39"/>
  <c r="J38" i="39"/>
  <c r="AX32" i="39"/>
  <c r="AW32" i="39"/>
  <c r="AV32" i="39"/>
  <c r="AU32" i="39"/>
  <c r="AT32" i="39"/>
  <c r="AS32" i="39"/>
  <c r="AR32" i="39"/>
  <c r="AQ32" i="39"/>
  <c r="AP32" i="39"/>
  <c r="AO32" i="39"/>
  <c r="AN32" i="39"/>
  <c r="AM32" i="39"/>
  <c r="AL32" i="39"/>
  <c r="AK32" i="39"/>
  <c r="AJ32" i="39"/>
  <c r="AI32" i="39"/>
  <c r="AH32" i="39"/>
  <c r="AG32" i="39"/>
  <c r="AF32" i="39"/>
  <c r="AE32" i="39"/>
  <c r="AD32" i="39"/>
  <c r="AC32" i="39"/>
  <c r="AB32" i="39"/>
  <c r="AA32" i="39"/>
  <c r="Z32" i="39"/>
  <c r="Y32" i="39"/>
  <c r="X32" i="39"/>
  <c r="W32" i="39"/>
  <c r="V32" i="39"/>
  <c r="U32" i="39"/>
  <c r="T32" i="39"/>
  <c r="S32" i="39"/>
  <c r="R32" i="39"/>
  <c r="Q32" i="39"/>
  <c r="P32" i="39"/>
  <c r="O32" i="39"/>
  <c r="N32" i="39"/>
  <c r="M32" i="39"/>
  <c r="L32" i="39"/>
  <c r="K32" i="39"/>
  <c r="J32" i="39"/>
  <c r="AX37" i="39"/>
  <c r="AW37" i="39"/>
  <c r="AV37" i="39"/>
  <c r="AU37" i="39"/>
  <c r="AT37" i="39"/>
  <c r="AS37" i="39"/>
  <c r="AR37" i="39"/>
  <c r="AQ37" i="39"/>
  <c r="AP37" i="39"/>
  <c r="AO37" i="39"/>
  <c r="AN37" i="39"/>
  <c r="AM37" i="39"/>
  <c r="AL37" i="39"/>
  <c r="AK37" i="39"/>
  <c r="AJ37" i="39"/>
  <c r="AI37" i="39"/>
  <c r="AH37" i="39"/>
  <c r="AG37" i="39"/>
  <c r="AF37" i="39"/>
  <c r="AE37" i="39"/>
  <c r="AD37" i="39"/>
  <c r="AC37" i="39"/>
  <c r="AB37" i="39"/>
  <c r="AA37" i="39"/>
  <c r="Z37" i="39"/>
  <c r="Y37" i="39"/>
  <c r="X37" i="39"/>
  <c r="W37" i="39"/>
  <c r="V37" i="39"/>
  <c r="U37" i="39"/>
  <c r="T37" i="39"/>
  <c r="S37" i="39"/>
  <c r="R37" i="39"/>
  <c r="Q37" i="39"/>
  <c r="P37" i="39"/>
  <c r="O37" i="39"/>
  <c r="N37" i="39"/>
  <c r="M37" i="39"/>
  <c r="L37" i="39"/>
  <c r="K37" i="39"/>
  <c r="J37" i="39"/>
  <c r="AX34" i="39"/>
  <c r="AW34" i="39"/>
  <c r="AV34" i="39"/>
  <c r="AU34" i="39"/>
  <c r="AT34" i="39"/>
  <c r="AS34" i="39"/>
  <c r="AR34" i="39"/>
  <c r="AQ34" i="39"/>
  <c r="AP34" i="39"/>
  <c r="AO34" i="39"/>
  <c r="AN34" i="39"/>
  <c r="AM34" i="39"/>
  <c r="AL34" i="39"/>
  <c r="AK34" i="39"/>
  <c r="AJ34" i="39"/>
  <c r="AI34" i="39"/>
  <c r="AH34" i="39"/>
  <c r="AG34" i="39"/>
  <c r="AF34" i="39"/>
  <c r="AE34" i="39"/>
  <c r="AD34" i="39"/>
  <c r="AC34" i="39"/>
  <c r="AB34" i="39"/>
  <c r="AA34" i="39"/>
  <c r="Z34" i="39"/>
  <c r="Y34" i="39"/>
  <c r="X34" i="39"/>
  <c r="W34" i="39"/>
  <c r="V34" i="39"/>
  <c r="U34" i="39"/>
  <c r="T34" i="39"/>
  <c r="S34" i="39"/>
  <c r="R34" i="39"/>
  <c r="Q34" i="39"/>
  <c r="P34" i="39"/>
  <c r="O34" i="39"/>
  <c r="N34" i="39"/>
  <c r="M34" i="39"/>
  <c r="L34" i="39"/>
  <c r="K34" i="39"/>
  <c r="J34" i="39"/>
  <c r="AX35" i="39"/>
  <c r="AW35" i="39"/>
  <c r="AV35" i="39"/>
  <c r="AU35" i="39"/>
  <c r="AT35" i="39"/>
  <c r="AS35" i="39"/>
  <c r="AR35" i="39"/>
  <c r="AQ35" i="39"/>
  <c r="AP35" i="39"/>
  <c r="AO35" i="39"/>
  <c r="AN35" i="39"/>
  <c r="AM35" i="39"/>
  <c r="AL35" i="39"/>
  <c r="AK35" i="39"/>
  <c r="AJ35" i="39"/>
  <c r="AI35" i="39"/>
  <c r="AH35" i="39"/>
  <c r="AG35" i="39"/>
  <c r="AF35" i="39"/>
  <c r="AE35" i="39"/>
  <c r="AD35" i="39"/>
  <c r="AC35" i="39"/>
  <c r="AB35" i="39"/>
  <c r="AA35" i="39"/>
  <c r="Z35" i="39"/>
  <c r="Y35" i="39"/>
  <c r="X35" i="39"/>
  <c r="W35" i="39"/>
  <c r="V35" i="39"/>
  <c r="U35" i="39"/>
  <c r="T35" i="39"/>
  <c r="S35" i="39"/>
  <c r="R35" i="39"/>
  <c r="Q35" i="39"/>
  <c r="P35" i="39"/>
  <c r="O35" i="39"/>
  <c r="N35" i="39"/>
  <c r="M35" i="39"/>
  <c r="L35" i="39"/>
  <c r="K35" i="39"/>
  <c r="J35" i="39"/>
  <c r="AX33" i="39"/>
  <c r="AW33" i="39"/>
  <c r="AV33" i="39"/>
  <c r="AU33" i="39"/>
  <c r="AT33" i="39"/>
  <c r="AS33" i="39"/>
  <c r="AR33" i="39"/>
  <c r="AQ33" i="39"/>
  <c r="AP33" i="39"/>
  <c r="AO33" i="39"/>
  <c r="AN33" i="39"/>
  <c r="AM33" i="39"/>
  <c r="AL33" i="39"/>
  <c r="AK33" i="39"/>
  <c r="AJ33" i="39"/>
  <c r="AI33" i="39"/>
  <c r="AH33" i="39"/>
  <c r="AG33" i="39"/>
  <c r="AF33" i="39"/>
  <c r="AE33" i="39"/>
  <c r="AD33" i="39"/>
  <c r="AC33" i="39"/>
  <c r="AB33" i="39"/>
  <c r="AA33" i="39"/>
  <c r="Z33" i="39"/>
  <c r="Y33" i="39"/>
  <c r="X33" i="39"/>
  <c r="W33" i="39"/>
  <c r="V33" i="39"/>
  <c r="U33" i="39"/>
  <c r="T33" i="39"/>
  <c r="S33" i="39"/>
  <c r="R33" i="39"/>
  <c r="Q33" i="39"/>
  <c r="P33" i="39"/>
  <c r="O33" i="39"/>
  <c r="N33" i="39"/>
  <c r="M33" i="39"/>
  <c r="L33" i="39"/>
  <c r="K33" i="39"/>
  <c r="J33" i="39"/>
  <c r="AX31" i="39"/>
  <c r="AW31" i="39"/>
  <c r="AV31" i="39"/>
  <c r="AU31" i="39"/>
  <c r="AT31" i="39"/>
  <c r="AS31" i="39"/>
  <c r="AR31" i="39"/>
  <c r="AQ31" i="39"/>
  <c r="AP31" i="39"/>
  <c r="AO31" i="39"/>
  <c r="AN31" i="39"/>
  <c r="AM31" i="39"/>
  <c r="AL31" i="39"/>
  <c r="AK31" i="39"/>
  <c r="AJ31" i="39"/>
  <c r="AI31" i="39"/>
  <c r="AH31" i="39"/>
  <c r="AG31" i="39"/>
  <c r="AF31" i="39"/>
  <c r="AE31" i="39"/>
  <c r="AD31" i="39"/>
  <c r="AC31" i="39"/>
  <c r="AB31" i="39"/>
  <c r="AA31" i="39"/>
  <c r="Z31" i="39"/>
  <c r="Y31" i="39"/>
  <c r="X31" i="39"/>
  <c r="W31" i="39"/>
  <c r="V31" i="39"/>
  <c r="U31" i="39"/>
  <c r="T31" i="39"/>
  <c r="S31" i="39"/>
  <c r="R31" i="39"/>
  <c r="Q31" i="39"/>
  <c r="P31" i="39"/>
  <c r="O31" i="39"/>
  <c r="N31" i="39"/>
  <c r="M31" i="39"/>
  <c r="L31" i="39"/>
  <c r="K31" i="39"/>
  <c r="J31" i="39"/>
  <c r="AX30" i="39"/>
  <c r="AW30" i="39"/>
  <c r="AV30" i="39"/>
  <c r="AU30" i="39"/>
  <c r="AT30" i="39"/>
  <c r="AS30" i="39"/>
  <c r="AR30" i="39"/>
  <c r="AQ30" i="39"/>
  <c r="AP30" i="39"/>
  <c r="AO30" i="39"/>
  <c r="AN30" i="39"/>
  <c r="AM30" i="39"/>
  <c r="AL30" i="39"/>
  <c r="AK30" i="39"/>
  <c r="AJ30" i="39"/>
  <c r="AI30" i="39"/>
  <c r="AH30" i="39"/>
  <c r="AG30" i="39"/>
  <c r="AF30" i="39"/>
  <c r="AE30" i="39"/>
  <c r="AD30" i="39"/>
  <c r="AC30" i="39"/>
  <c r="AB30" i="39"/>
  <c r="AA30" i="39"/>
  <c r="Z30" i="39"/>
  <c r="Y30" i="39"/>
  <c r="X30" i="39"/>
  <c r="W30" i="39"/>
  <c r="V30" i="39"/>
  <c r="U30" i="39"/>
  <c r="T30" i="39"/>
  <c r="S30" i="39"/>
  <c r="R30" i="39"/>
  <c r="Q30" i="39"/>
  <c r="P30" i="39"/>
  <c r="O30" i="39"/>
  <c r="N30" i="39"/>
  <c r="M30" i="39"/>
  <c r="L30" i="39"/>
  <c r="K30" i="39"/>
  <c r="J30" i="39"/>
  <c r="AX29" i="39"/>
  <c r="AW29" i="39"/>
  <c r="AV29" i="39"/>
  <c r="AU29" i="39"/>
  <c r="AT29" i="39"/>
  <c r="AS29" i="39"/>
  <c r="AR29" i="39"/>
  <c r="AQ29" i="39"/>
  <c r="AP29" i="39"/>
  <c r="AO29" i="39"/>
  <c r="AN29" i="39"/>
  <c r="AM29" i="39"/>
  <c r="AL29" i="39"/>
  <c r="AK29" i="39"/>
  <c r="AJ29" i="39"/>
  <c r="AI29" i="39"/>
  <c r="AH29" i="39"/>
  <c r="AG29" i="39"/>
  <c r="AF29" i="39"/>
  <c r="AE29" i="39"/>
  <c r="AD29" i="39"/>
  <c r="AC29" i="39"/>
  <c r="AB29" i="39"/>
  <c r="AA29" i="39"/>
  <c r="Z29" i="39"/>
  <c r="Y29" i="39"/>
  <c r="X29" i="39"/>
  <c r="W29" i="39"/>
  <c r="V29" i="39"/>
  <c r="U29" i="39"/>
  <c r="T29" i="39"/>
  <c r="S29" i="39"/>
  <c r="R29" i="39"/>
  <c r="Q29" i="39"/>
  <c r="P29" i="39"/>
  <c r="O29" i="39"/>
  <c r="N29" i="39"/>
  <c r="M29" i="39"/>
  <c r="L29" i="39"/>
  <c r="K29" i="39"/>
  <c r="J29" i="39"/>
  <c r="AX28" i="39"/>
  <c r="AW28" i="39"/>
  <c r="AV28" i="39"/>
  <c r="AU28" i="39"/>
  <c r="AT28" i="39"/>
  <c r="AS28" i="39"/>
  <c r="AR28" i="39"/>
  <c r="AQ28" i="39"/>
  <c r="AP28" i="39"/>
  <c r="AO28" i="39"/>
  <c r="AN28" i="39"/>
  <c r="AM28" i="39"/>
  <c r="AL28" i="39"/>
  <c r="AK28" i="39"/>
  <c r="AJ28" i="39"/>
  <c r="AI28" i="39"/>
  <c r="AH28" i="39"/>
  <c r="AG28" i="39"/>
  <c r="AF28" i="39"/>
  <c r="AE28" i="39"/>
  <c r="AD28" i="39"/>
  <c r="AC28" i="39"/>
  <c r="AB28" i="39"/>
  <c r="AA28" i="39"/>
  <c r="Z28" i="39"/>
  <c r="Y28" i="39"/>
  <c r="X28" i="39"/>
  <c r="W28" i="39"/>
  <c r="V28" i="39"/>
  <c r="U28" i="39"/>
  <c r="T28" i="39"/>
  <c r="S28" i="39"/>
  <c r="R28" i="39"/>
  <c r="Q28" i="39"/>
  <c r="P28" i="39"/>
  <c r="O28" i="39"/>
  <c r="N28" i="39"/>
  <c r="M28" i="39"/>
  <c r="L28" i="39"/>
  <c r="K28" i="39"/>
  <c r="J28" i="39"/>
  <c r="AX26" i="39"/>
  <c r="AW26" i="39"/>
  <c r="AV26" i="39"/>
  <c r="AU26" i="39"/>
  <c r="AT26" i="39"/>
  <c r="AS26" i="39"/>
  <c r="AR26" i="39"/>
  <c r="AQ26" i="39"/>
  <c r="AP26" i="39"/>
  <c r="AO26" i="39"/>
  <c r="AN26" i="39"/>
  <c r="AM26" i="39"/>
  <c r="AL26" i="39"/>
  <c r="AK26" i="39"/>
  <c r="AJ26" i="39"/>
  <c r="AI26" i="39"/>
  <c r="AH26" i="39"/>
  <c r="AG26" i="39"/>
  <c r="AF26" i="39"/>
  <c r="AE26" i="39"/>
  <c r="AD26" i="39"/>
  <c r="AC26" i="39"/>
  <c r="AB26" i="39"/>
  <c r="AA26" i="39"/>
  <c r="Z26" i="39"/>
  <c r="Y26" i="39"/>
  <c r="X26" i="39"/>
  <c r="W26" i="39"/>
  <c r="V26" i="39"/>
  <c r="U26" i="39"/>
  <c r="T26" i="39"/>
  <c r="S26" i="39"/>
  <c r="R26" i="39"/>
  <c r="Q26" i="39"/>
  <c r="P26" i="39"/>
  <c r="O26" i="39"/>
  <c r="N26" i="39"/>
  <c r="M26" i="39"/>
  <c r="L26" i="39"/>
  <c r="K26" i="39"/>
  <c r="J26" i="39"/>
  <c r="AX25" i="39"/>
  <c r="AW25" i="39"/>
  <c r="AV25" i="39"/>
  <c r="AU25" i="39"/>
  <c r="AT25" i="39"/>
  <c r="AS25" i="39"/>
  <c r="AR25" i="39"/>
  <c r="AQ25" i="39"/>
  <c r="AP25" i="39"/>
  <c r="AO25" i="39"/>
  <c r="AN25" i="39"/>
  <c r="AM25" i="39"/>
  <c r="AL25" i="39"/>
  <c r="AK25" i="39"/>
  <c r="AJ25" i="39"/>
  <c r="AI25" i="39"/>
  <c r="AH25" i="39"/>
  <c r="AG25" i="39"/>
  <c r="AF25" i="39"/>
  <c r="AE25" i="39"/>
  <c r="AD25" i="39"/>
  <c r="AC25" i="39"/>
  <c r="AB25" i="39"/>
  <c r="AA25" i="39"/>
  <c r="Z25" i="39"/>
  <c r="Y25" i="39"/>
  <c r="X25" i="39"/>
  <c r="W25" i="39"/>
  <c r="V25" i="39"/>
  <c r="U25" i="39"/>
  <c r="T25" i="39"/>
  <c r="S25" i="39"/>
  <c r="R25" i="39"/>
  <c r="Q25" i="39"/>
  <c r="P25" i="39"/>
  <c r="O25" i="39"/>
  <c r="N25" i="39"/>
  <c r="M25" i="39"/>
  <c r="L25" i="39"/>
  <c r="K25" i="39"/>
  <c r="J25" i="39"/>
  <c r="AX24" i="39"/>
  <c r="AW24" i="39"/>
  <c r="AV24" i="39"/>
  <c r="AU24" i="39"/>
  <c r="AT24" i="39"/>
  <c r="AS24" i="39"/>
  <c r="AR24" i="39"/>
  <c r="AQ24" i="39"/>
  <c r="AP24" i="39"/>
  <c r="AO24" i="39"/>
  <c r="AN24" i="39"/>
  <c r="AM24" i="39"/>
  <c r="AL24" i="39"/>
  <c r="AK24" i="39"/>
  <c r="AJ24" i="39"/>
  <c r="AI24" i="39"/>
  <c r="AH24" i="39"/>
  <c r="AG24" i="39"/>
  <c r="AF24" i="39"/>
  <c r="AE24" i="39"/>
  <c r="AD24" i="39"/>
  <c r="AC24" i="39"/>
  <c r="AB24" i="39"/>
  <c r="AA24" i="39"/>
  <c r="Z24" i="39"/>
  <c r="Y24" i="39"/>
  <c r="X24" i="39"/>
  <c r="W24" i="39"/>
  <c r="V24" i="39"/>
  <c r="U24" i="39"/>
  <c r="T24" i="39"/>
  <c r="S24" i="39"/>
  <c r="R24" i="39"/>
  <c r="Q24" i="39"/>
  <c r="P24" i="39"/>
  <c r="O24" i="39"/>
  <c r="N24" i="39"/>
  <c r="M24" i="39"/>
  <c r="L24" i="39"/>
  <c r="K24" i="39"/>
  <c r="J24" i="39"/>
  <c r="AX23" i="39"/>
  <c r="AW23" i="39"/>
  <c r="AV23" i="39"/>
  <c r="AU23" i="39"/>
  <c r="AT23" i="39"/>
  <c r="AS23" i="39"/>
  <c r="AR23" i="39"/>
  <c r="AQ23" i="39"/>
  <c r="AP23" i="39"/>
  <c r="AO23" i="39"/>
  <c r="AN23" i="39"/>
  <c r="AM23" i="39"/>
  <c r="AL23" i="39"/>
  <c r="AK23" i="39"/>
  <c r="AJ23" i="39"/>
  <c r="AI23" i="39"/>
  <c r="AH23" i="39"/>
  <c r="AG23" i="39"/>
  <c r="AF23" i="39"/>
  <c r="AE23" i="39"/>
  <c r="AD23" i="39"/>
  <c r="AC23" i="39"/>
  <c r="AB23" i="39"/>
  <c r="AA23" i="39"/>
  <c r="Z23" i="39"/>
  <c r="Y23" i="39"/>
  <c r="X23" i="39"/>
  <c r="W23" i="39"/>
  <c r="V23" i="39"/>
  <c r="U23" i="39"/>
  <c r="T23" i="39"/>
  <c r="S23" i="39"/>
  <c r="R23" i="39"/>
  <c r="Q23" i="39"/>
  <c r="P23" i="39"/>
  <c r="O23" i="39"/>
  <c r="N23" i="39"/>
  <c r="M23" i="39"/>
  <c r="L23" i="39"/>
  <c r="K23" i="39"/>
  <c r="J23" i="39"/>
  <c r="AX22" i="39"/>
  <c r="AW22" i="39"/>
  <c r="AV22" i="39"/>
  <c r="AU22" i="39"/>
  <c r="AT22" i="39"/>
  <c r="AS22" i="39"/>
  <c r="AR22" i="39"/>
  <c r="AQ22" i="39"/>
  <c r="AP22" i="39"/>
  <c r="AO22" i="39"/>
  <c r="AN22" i="39"/>
  <c r="AM22" i="39"/>
  <c r="AL22" i="39"/>
  <c r="AK22" i="39"/>
  <c r="AJ22" i="39"/>
  <c r="AI22" i="39"/>
  <c r="AH22" i="39"/>
  <c r="AG22" i="39"/>
  <c r="AF22" i="39"/>
  <c r="AE22" i="39"/>
  <c r="AD22" i="39"/>
  <c r="AC22" i="39"/>
  <c r="AB22" i="39"/>
  <c r="AA22" i="39"/>
  <c r="Z22" i="39"/>
  <c r="Y22" i="39"/>
  <c r="X22" i="39"/>
  <c r="W22" i="39"/>
  <c r="V22" i="39"/>
  <c r="U22" i="39"/>
  <c r="T22" i="39"/>
  <c r="S22" i="39"/>
  <c r="R22" i="39"/>
  <c r="Q22" i="39"/>
  <c r="P22" i="39"/>
  <c r="O22" i="39"/>
  <c r="N22" i="39"/>
  <c r="M22" i="39"/>
  <c r="L22" i="39"/>
  <c r="K22" i="39"/>
  <c r="J22" i="39"/>
  <c r="AX21" i="39"/>
  <c r="AW21" i="39"/>
  <c r="AV21" i="39"/>
  <c r="AU21" i="39"/>
  <c r="AT21" i="39"/>
  <c r="AS21" i="39"/>
  <c r="AR21" i="39"/>
  <c r="AQ21" i="39"/>
  <c r="AP21" i="39"/>
  <c r="AO21" i="39"/>
  <c r="AN21" i="39"/>
  <c r="AM21" i="39"/>
  <c r="AL21" i="39"/>
  <c r="AK21" i="39"/>
  <c r="AJ21" i="39"/>
  <c r="AI21" i="39"/>
  <c r="AH21" i="39"/>
  <c r="AG21" i="39"/>
  <c r="AF21" i="39"/>
  <c r="AE21" i="39"/>
  <c r="AD21" i="39"/>
  <c r="AC21" i="39"/>
  <c r="AB21" i="39"/>
  <c r="AA21" i="39"/>
  <c r="Z21" i="39"/>
  <c r="Y21" i="39"/>
  <c r="X21" i="39"/>
  <c r="W21" i="39"/>
  <c r="V21" i="39"/>
  <c r="U21" i="39"/>
  <c r="T21" i="39"/>
  <c r="S21" i="39"/>
  <c r="R21" i="39"/>
  <c r="Q21" i="39"/>
  <c r="P21" i="39"/>
  <c r="O21" i="39"/>
  <c r="N21" i="39"/>
  <c r="M21" i="39"/>
  <c r="L21" i="39"/>
  <c r="K21" i="39"/>
  <c r="J21" i="39"/>
  <c r="AX20" i="39"/>
  <c r="AW20" i="39"/>
  <c r="AV20" i="39"/>
  <c r="AU20" i="39"/>
  <c r="AT20" i="39"/>
  <c r="AS20" i="39"/>
  <c r="AR20" i="39"/>
  <c r="AQ20" i="39"/>
  <c r="AP20" i="39"/>
  <c r="AO20" i="39"/>
  <c r="AN20" i="39"/>
  <c r="AM20" i="39"/>
  <c r="AL20" i="39"/>
  <c r="AK20" i="39"/>
  <c r="AJ20" i="39"/>
  <c r="AI20" i="39"/>
  <c r="AH20" i="39"/>
  <c r="AG20" i="39"/>
  <c r="AF20" i="39"/>
  <c r="AE20" i="39"/>
  <c r="AD20" i="39"/>
  <c r="AC20" i="39"/>
  <c r="AB20" i="39"/>
  <c r="AA20" i="39"/>
  <c r="Z20" i="39"/>
  <c r="Y20" i="39"/>
  <c r="X20" i="39"/>
  <c r="W20" i="39"/>
  <c r="V20" i="39"/>
  <c r="U20" i="39"/>
  <c r="T20" i="39"/>
  <c r="S20" i="39"/>
  <c r="R20" i="39"/>
  <c r="Q20" i="39"/>
  <c r="P20" i="39"/>
  <c r="O20" i="39"/>
  <c r="N20" i="39"/>
  <c r="M20" i="39"/>
  <c r="L20" i="39"/>
  <c r="K20" i="39"/>
  <c r="J20" i="39"/>
  <c r="AX19" i="39"/>
  <c r="AW19" i="39"/>
  <c r="AV19" i="39"/>
  <c r="AU19" i="39"/>
  <c r="AT19" i="39"/>
  <c r="AS19" i="39"/>
  <c r="AR19" i="39"/>
  <c r="AQ19" i="39"/>
  <c r="AP19" i="39"/>
  <c r="AO19" i="39"/>
  <c r="AN19" i="39"/>
  <c r="AM19" i="39"/>
  <c r="AL19" i="39"/>
  <c r="AK19" i="39"/>
  <c r="AJ19" i="39"/>
  <c r="AI19" i="39"/>
  <c r="AH19" i="39"/>
  <c r="AG19" i="39"/>
  <c r="AF19" i="39"/>
  <c r="AE19" i="39"/>
  <c r="AD19" i="39"/>
  <c r="AC19" i="39"/>
  <c r="AB19" i="39"/>
  <c r="AA19" i="39"/>
  <c r="Z19" i="39"/>
  <c r="Y19" i="39"/>
  <c r="X19" i="39"/>
  <c r="W19" i="39"/>
  <c r="V19" i="39"/>
  <c r="U19" i="39"/>
  <c r="T19" i="39"/>
  <c r="S19" i="39"/>
  <c r="R19" i="39"/>
  <c r="Q19" i="39"/>
  <c r="P19" i="39"/>
  <c r="O19" i="39"/>
  <c r="N19" i="39"/>
  <c r="M19" i="39"/>
  <c r="L19" i="39"/>
  <c r="K19" i="39"/>
  <c r="J19" i="39"/>
  <c r="AX18" i="39"/>
  <c r="AW18" i="39"/>
  <c r="AV18" i="39"/>
  <c r="AU18" i="39"/>
  <c r="AT18" i="39"/>
  <c r="AS18" i="39"/>
  <c r="AR18" i="39"/>
  <c r="AQ18" i="39"/>
  <c r="AP18" i="39"/>
  <c r="AO18" i="39"/>
  <c r="AN18" i="39"/>
  <c r="AM18" i="39"/>
  <c r="AL18" i="39"/>
  <c r="AK18" i="39"/>
  <c r="AJ18" i="39"/>
  <c r="AI18" i="39"/>
  <c r="AH18" i="39"/>
  <c r="AG18" i="39"/>
  <c r="AF18" i="39"/>
  <c r="AE18" i="39"/>
  <c r="AD18" i="39"/>
  <c r="AC18" i="39"/>
  <c r="AB18" i="39"/>
  <c r="AA18" i="39"/>
  <c r="Z18" i="39"/>
  <c r="Y18" i="39"/>
  <c r="X18" i="39"/>
  <c r="W18" i="39"/>
  <c r="V18" i="39"/>
  <c r="U18" i="39"/>
  <c r="T18" i="39"/>
  <c r="S18" i="39"/>
  <c r="R18" i="39"/>
  <c r="Q18" i="39"/>
  <c r="P18" i="39"/>
  <c r="O18" i="39"/>
  <c r="N18" i="39"/>
  <c r="M18" i="39"/>
  <c r="L18" i="39"/>
  <c r="K18" i="39"/>
  <c r="J18" i="39"/>
  <c r="AX17" i="39"/>
  <c r="AW17" i="39"/>
  <c r="AV17" i="39"/>
  <c r="AU17" i="39"/>
  <c r="AT17" i="39"/>
  <c r="AS17" i="39"/>
  <c r="AR17" i="39"/>
  <c r="AQ17" i="39"/>
  <c r="AP17" i="39"/>
  <c r="AO17" i="39"/>
  <c r="AN17" i="39"/>
  <c r="AM17" i="39"/>
  <c r="AL17" i="39"/>
  <c r="AK17" i="39"/>
  <c r="AJ17" i="39"/>
  <c r="AI17" i="39"/>
  <c r="AH17" i="39"/>
  <c r="AG17" i="39"/>
  <c r="AF17" i="39"/>
  <c r="AE17" i="39"/>
  <c r="AD17" i="39"/>
  <c r="AC17" i="39"/>
  <c r="AB17" i="39"/>
  <c r="AA17" i="39"/>
  <c r="Z17" i="39"/>
  <c r="Y17" i="39"/>
  <c r="X17" i="39"/>
  <c r="W17" i="39"/>
  <c r="V17" i="39"/>
  <c r="U17" i="39"/>
  <c r="T17" i="39"/>
  <c r="S17" i="39"/>
  <c r="R17" i="39"/>
  <c r="Q17" i="39"/>
  <c r="P17" i="39"/>
  <c r="O17" i="39"/>
  <c r="N17" i="39"/>
  <c r="M17" i="39"/>
  <c r="L17" i="39"/>
  <c r="K17" i="39"/>
  <c r="J17" i="39"/>
  <c r="AX16" i="39"/>
  <c r="AW16" i="39"/>
  <c r="AV16" i="39"/>
  <c r="AU16" i="39"/>
  <c r="AT16" i="39"/>
  <c r="AS16" i="39"/>
  <c r="AR16" i="39"/>
  <c r="AQ16" i="39"/>
  <c r="AP16" i="39"/>
  <c r="AO16" i="39"/>
  <c r="AN16" i="39"/>
  <c r="AM16" i="39"/>
  <c r="AL16" i="39"/>
  <c r="AK16" i="39"/>
  <c r="AJ16" i="39"/>
  <c r="AI16" i="39"/>
  <c r="AH16" i="39"/>
  <c r="AG16" i="39"/>
  <c r="AF16" i="39"/>
  <c r="AE16" i="39"/>
  <c r="AD16" i="39"/>
  <c r="AC16" i="39"/>
  <c r="AB16" i="39"/>
  <c r="AA16" i="39"/>
  <c r="Z16" i="39"/>
  <c r="Y16" i="39"/>
  <c r="X16" i="39"/>
  <c r="W16" i="39"/>
  <c r="V16" i="39"/>
  <c r="U16" i="39"/>
  <c r="T16" i="39"/>
  <c r="S16" i="39"/>
  <c r="R16" i="39"/>
  <c r="Q16" i="39"/>
  <c r="P16" i="39"/>
  <c r="O16" i="39"/>
  <c r="N16" i="39"/>
  <c r="M16" i="39"/>
  <c r="L16" i="39"/>
  <c r="K16" i="39"/>
  <c r="J16" i="39"/>
  <c r="AX15" i="39"/>
  <c r="AW15" i="39"/>
  <c r="AV15" i="39"/>
  <c r="AU15" i="39"/>
  <c r="AT15" i="39"/>
  <c r="AS15" i="39"/>
  <c r="AR15" i="39"/>
  <c r="AQ15" i="39"/>
  <c r="AP15" i="39"/>
  <c r="AO15" i="39"/>
  <c r="AN15" i="39"/>
  <c r="AM15" i="39"/>
  <c r="AL15" i="39"/>
  <c r="AK15" i="39"/>
  <c r="AJ15" i="39"/>
  <c r="AI15" i="39"/>
  <c r="AH15" i="39"/>
  <c r="AG15" i="39"/>
  <c r="AF15" i="39"/>
  <c r="AE15" i="39"/>
  <c r="AD15" i="39"/>
  <c r="AC15" i="39"/>
  <c r="AB15" i="39"/>
  <c r="AA15" i="39"/>
  <c r="Z15" i="39"/>
  <c r="Y15" i="39"/>
  <c r="X15" i="39"/>
  <c r="W15" i="39"/>
  <c r="V15" i="39"/>
  <c r="U15" i="39"/>
  <c r="T15" i="39"/>
  <c r="S15" i="39"/>
  <c r="R15" i="39"/>
  <c r="Q15" i="39"/>
  <c r="P15" i="39"/>
  <c r="O15" i="39"/>
  <c r="N15" i="39"/>
  <c r="M15" i="39"/>
  <c r="L15" i="39"/>
  <c r="K15" i="39"/>
  <c r="J15" i="39"/>
  <c r="AX14" i="39"/>
  <c r="AW14" i="39"/>
  <c r="AV14" i="39"/>
  <c r="AU14" i="39"/>
  <c r="AT14" i="39"/>
  <c r="AS14" i="39"/>
  <c r="AR14" i="39"/>
  <c r="AQ14" i="39"/>
  <c r="AP14" i="39"/>
  <c r="AO14" i="39"/>
  <c r="AN14" i="39"/>
  <c r="AM14" i="39"/>
  <c r="AL14" i="39"/>
  <c r="AK14" i="39"/>
  <c r="AJ14" i="39"/>
  <c r="AI14" i="39"/>
  <c r="AH14" i="39"/>
  <c r="AG14" i="39"/>
  <c r="AF14" i="39"/>
  <c r="AE14" i="39"/>
  <c r="AD14" i="39"/>
  <c r="AC14" i="39"/>
  <c r="AB14" i="39"/>
  <c r="AA14" i="39"/>
  <c r="Z14" i="39"/>
  <c r="Y14" i="39"/>
  <c r="X14" i="39"/>
  <c r="W14" i="39"/>
  <c r="V14" i="39"/>
  <c r="U14" i="39"/>
  <c r="T14" i="39"/>
  <c r="S14" i="39"/>
  <c r="R14" i="39"/>
  <c r="Q14" i="39"/>
  <c r="P14" i="39"/>
  <c r="O14" i="39"/>
  <c r="N14" i="39"/>
  <c r="M14" i="39"/>
  <c r="L14" i="39"/>
  <c r="K14" i="39"/>
  <c r="J14" i="39"/>
  <c r="AX13" i="39"/>
  <c r="AW13" i="39"/>
  <c r="AV13" i="39"/>
  <c r="AU13" i="39"/>
  <c r="AT13" i="39"/>
  <c r="AS13" i="39"/>
  <c r="AR13" i="39"/>
  <c r="AQ13" i="39"/>
  <c r="AP13" i="39"/>
  <c r="AO13" i="39"/>
  <c r="AN13" i="39"/>
  <c r="AM13" i="39"/>
  <c r="AL13" i="39"/>
  <c r="AK13" i="39"/>
  <c r="AJ13" i="39"/>
  <c r="AI13" i="39"/>
  <c r="AH13" i="39"/>
  <c r="AG13" i="39"/>
  <c r="AF13" i="39"/>
  <c r="AE13" i="39"/>
  <c r="AD13" i="39"/>
  <c r="AC13" i="39"/>
  <c r="AB13" i="39"/>
  <c r="AA13" i="39"/>
  <c r="Z13" i="39"/>
  <c r="Y13" i="39"/>
  <c r="X13" i="39"/>
  <c r="W13" i="39"/>
  <c r="V13" i="39"/>
  <c r="U13" i="39"/>
  <c r="T13" i="39"/>
  <c r="S13" i="39"/>
  <c r="R13" i="39"/>
  <c r="Q13" i="39"/>
  <c r="P13" i="39"/>
  <c r="O13" i="39"/>
  <c r="N13" i="39"/>
  <c r="M13" i="39"/>
  <c r="L13" i="39"/>
  <c r="K13" i="39"/>
  <c r="J13" i="39"/>
  <c r="AX12" i="39"/>
  <c r="AW12" i="39"/>
  <c r="AV12" i="39"/>
  <c r="AU12" i="39"/>
  <c r="AT12" i="39"/>
  <c r="AS12" i="39"/>
  <c r="AR12" i="39"/>
  <c r="AQ12" i="39"/>
  <c r="AP12" i="39"/>
  <c r="AO12" i="39"/>
  <c r="AN12" i="39"/>
  <c r="AM12" i="39"/>
  <c r="AL12" i="39"/>
  <c r="AK12" i="39"/>
  <c r="AJ12" i="39"/>
  <c r="AI12" i="39"/>
  <c r="AH12" i="39"/>
  <c r="AG12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AX36" i="39"/>
  <c r="AW36" i="39"/>
  <c r="AV36" i="39"/>
  <c r="AU36" i="39"/>
  <c r="AT36" i="39"/>
  <c r="AS36" i="39"/>
  <c r="AR36" i="39"/>
  <c r="AQ36" i="39"/>
  <c r="AP36" i="39"/>
  <c r="AO36" i="39"/>
  <c r="AN36" i="39"/>
  <c r="AM36" i="39"/>
  <c r="AL36" i="39"/>
  <c r="AK36" i="39"/>
  <c r="AJ36" i="39"/>
  <c r="AI36" i="39"/>
  <c r="AH36" i="39"/>
  <c r="AG36" i="39"/>
  <c r="AF36" i="39"/>
  <c r="AE36" i="39"/>
  <c r="AD36" i="39"/>
  <c r="AC36" i="39"/>
  <c r="AB36" i="39"/>
  <c r="AA36" i="39"/>
  <c r="Z36" i="39"/>
  <c r="Y36" i="39"/>
  <c r="X36" i="39"/>
  <c r="W36" i="39"/>
  <c r="V36" i="39"/>
  <c r="U36" i="39"/>
  <c r="T36" i="39"/>
  <c r="S36" i="39"/>
  <c r="R36" i="39"/>
  <c r="Q36" i="39"/>
  <c r="P36" i="39"/>
  <c r="O36" i="39"/>
  <c r="N36" i="39"/>
  <c r="M36" i="39"/>
  <c r="L36" i="39"/>
  <c r="K36" i="39"/>
  <c r="J36" i="39"/>
  <c r="AX11" i="39"/>
  <c r="AW11" i="39"/>
  <c r="AV11" i="39"/>
  <c r="AU11" i="39"/>
  <c r="AT11" i="39"/>
  <c r="AS11" i="39"/>
  <c r="AR11" i="39"/>
  <c r="AQ11" i="39"/>
  <c r="AP11" i="39"/>
  <c r="AO11" i="39"/>
  <c r="AN11" i="39"/>
  <c r="AM11" i="39"/>
  <c r="AL11" i="39"/>
  <c r="AK11" i="39"/>
  <c r="AJ11" i="39"/>
  <c r="AI11" i="39"/>
  <c r="AH11" i="39"/>
  <c r="AG11" i="39"/>
  <c r="AF11" i="39"/>
  <c r="AE11" i="39"/>
  <c r="AD11" i="39"/>
  <c r="AC11" i="39"/>
  <c r="AB11" i="39"/>
  <c r="AA11" i="39"/>
  <c r="Z11" i="39"/>
  <c r="Y11" i="39"/>
  <c r="X11" i="39"/>
  <c r="W11" i="39"/>
  <c r="V11" i="39"/>
  <c r="U11" i="39"/>
  <c r="T11" i="39"/>
  <c r="S11" i="39"/>
  <c r="R11" i="39"/>
  <c r="Q11" i="39"/>
  <c r="P11" i="39"/>
  <c r="O11" i="39"/>
  <c r="N11" i="39"/>
  <c r="M11" i="39"/>
  <c r="L11" i="39"/>
  <c r="K11" i="39"/>
  <c r="J11" i="39"/>
  <c r="AX10" i="39"/>
  <c r="AW10" i="39"/>
  <c r="AV10" i="39"/>
  <c r="AU10" i="39"/>
  <c r="AT10" i="39"/>
  <c r="AS10" i="39"/>
  <c r="AR10" i="39"/>
  <c r="AQ10" i="39"/>
  <c r="AP10" i="39"/>
  <c r="AO10" i="39"/>
  <c r="AN10" i="39"/>
  <c r="AM10" i="39"/>
  <c r="AL10" i="39"/>
  <c r="AK10" i="39"/>
  <c r="AJ10" i="39"/>
  <c r="AI10" i="39"/>
  <c r="AH10" i="39"/>
  <c r="AG10" i="39"/>
  <c r="AF10" i="39"/>
  <c r="AE10" i="39"/>
  <c r="AD10" i="39"/>
  <c r="AC10" i="39"/>
  <c r="AB10" i="39"/>
  <c r="AA10" i="39"/>
  <c r="Z10" i="39"/>
  <c r="Y10" i="39"/>
  <c r="X10" i="39"/>
  <c r="W10" i="39"/>
  <c r="V10" i="39"/>
  <c r="U10" i="39"/>
  <c r="T10" i="39"/>
  <c r="S10" i="39"/>
  <c r="R10" i="39"/>
  <c r="Q10" i="39"/>
  <c r="P10" i="39"/>
  <c r="O10" i="39"/>
  <c r="N10" i="39"/>
  <c r="M10" i="39"/>
  <c r="L10" i="39"/>
  <c r="K10" i="39"/>
  <c r="J10" i="39"/>
  <c r="AX9" i="39"/>
  <c r="AW9" i="39"/>
  <c r="AV9" i="39"/>
  <c r="AU9" i="39"/>
  <c r="AT9" i="39"/>
  <c r="AS9" i="39"/>
  <c r="AR9" i="39"/>
  <c r="AQ9" i="39"/>
  <c r="AP9" i="39"/>
  <c r="AO9" i="39"/>
  <c r="AN9" i="39"/>
  <c r="AM9" i="39"/>
  <c r="AL9" i="39"/>
  <c r="AK9" i="39"/>
  <c r="AJ9" i="39"/>
  <c r="AI9" i="39"/>
  <c r="AH9" i="39"/>
  <c r="AG9" i="39"/>
  <c r="AF9" i="39"/>
  <c r="AE9" i="39"/>
  <c r="AD9" i="39"/>
  <c r="AC9" i="39"/>
  <c r="AB9" i="39"/>
  <c r="AA9" i="39"/>
  <c r="Z9" i="39"/>
  <c r="Y9" i="39"/>
  <c r="X9" i="39"/>
  <c r="W9" i="39"/>
  <c r="V9" i="39"/>
  <c r="U9" i="39"/>
  <c r="T9" i="39"/>
  <c r="S9" i="39"/>
  <c r="R9" i="39"/>
  <c r="Q9" i="39"/>
  <c r="P9" i="39"/>
  <c r="O9" i="39"/>
  <c r="N9" i="39"/>
  <c r="M9" i="39"/>
  <c r="L9" i="39"/>
  <c r="K9" i="39"/>
  <c r="J9" i="39"/>
  <c r="J47" i="35"/>
  <c r="K47" i="35"/>
  <c r="L47" i="35"/>
  <c r="M47" i="35"/>
  <c r="N47" i="35"/>
  <c r="O47" i="35"/>
  <c r="P47" i="35"/>
  <c r="Q47" i="35"/>
  <c r="R47" i="35"/>
  <c r="S47" i="35"/>
  <c r="T47" i="35"/>
  <c r="U47" i="35"/>
  <c r="V47" i="35"/>
  <c r="W47" i="35"/>
  <c r="X47" i="35"/>
  <c r="Y47" i="35"/>
  <c r="Z47" i="35"/>
  <c r="AA47" i="35"/>
  <c r="AB47" i="35"/>
  <c r="AC47" i="35"/>
  <c r="AD47" i="35"/>
  <c r="AE47" i="35"/>
  <c r="AF47" i="35"/>
  <c r="AG47" i="35"/>
  <c r="AH47" i="35"/>
  <c r="AI47" i="35"/>
  <c r="AJ47" i="35"/>
  <c r="AK47" i="35"/>
  <c r="AL47" i="35"/>
  <c r="AM47" i="35"/>
  <c r="AN47" i="35"/>
  <c r="AO47" i="35"/>
  <c r="AP47" i="35"/>
  <c r="AQ47" i="35"/>
  <c r="AR47" i="35"/>
  <c r="AS47" i="35"/>
  <c r="AT47" i="35"/>
  <c r="AU47" i="35"/>
  <c r="AV47" i="35"/>
  <c r="AW47" i="35"/>
  <c r="AX47" i="35"/>
  <c r="J32" i="35"/>
  <c r="K32" i="35"/>
  <c r="L32" i="35"/>
  <c r="M32" i="35"/>
  <c r="N32" i="35"/>
  <c r="O32" i="35"/>
  <c r="P32" i="35"/>
  <c r="Q32" i="35"/>
  <c r="R32" i="35"/>
  <c r="S32" i="35"/>
  <c r="T32" i="35"/>
  <c r="U32" i="35"/>
  <c r="V32" i="35"/>
  <c r="W32" i="35"/>
  <c r="X32" i="35"/>
  <c r="Y32" i="35"/>
  <c r="Z32" i="35"/>
  <c r="AA32" i="35"/>
  <c r="AB32" i="35"/>
  <c r="AC32" i="35"/>
  <c r="AD32" i="35"/>
  <c r="AE32" i="35"/>
  <c r="AF32" i="35"/>
  <c r="AG32" i="35"/>
  <c r="AH32" i="35"/>
  <c r="AI32" i="35"/>
  <c r="AJ32" i="35"/>
  <c r="AK32" i="35"/>
  <c r="AL32" i="35"/>
  <c r="AM32" i="35"/>
  <c r="AN32" i="35"/>
  <c r="AO32" i="35"/>
  <c r="AP32" i="35"/>
  <c r="AQ32" i="35"/>
  <c r="AR32" i="35"/>
  <c r="AS32" i="35"/>
  <c r="AT32" i="35"/>
  <c r="AU32" i="35"/>
  <c r="AV32" i="35"/>
  <c r="AW32" i="35"/>
  <c r="AX32" i="35"/>
  <c r="J49" i="35"/>
  <c r="K49" i="35"/>
  <c r="L49" i="35"/>
  <c r="M49" i="35"/>
  <c r="N49" i="35"/>
  <c r="O49" i="35"/>
  <c r="P49" i="35"/>
  <c r="Q49" i="35"/>
  <c r="R49" i="35"/>
  <c r="S49" i="35"/>
  <c r="T49" i="35"/>
  <c r="U49" i="35"/>
  <c r="V49" i="35"/>
  <c r="W49" i="35"/>
  <c r="X49" i="35"/>
  <c r="Y49" i="35"/>
  <c r="Z49" i="35"/>
  <c r="AA49" i="35"/>
  <c r="AB49" i="35"/>
  <c r="AC49" i="35"/>
  <c r="AD49" i="35"/>
  <c r="AE49" i="35"/>
  <c r="AF49" i="35"/>
  <c r="AG49" i="35"/>
  <c r="AH49" i="35"/>
  <c r="AI49" i="35"/>
  <c r="AJ49" i="35"/>
  <c r="AK49" i="35"/>
  <c r="AL49" i="35"/>
  <c r="AM49" i="35"/>
  <c r="AN49" i="35"/>
  <c r="AO49" i="35"/>
  <c r="AP49" i="35"/>
  <c r="AQ49" i="35"/>
  <c r="AR49" i="35"/>
  <c r="AS49" i="35"/>
  <c r="AT49" i="35"/>
  <c r="AU49" i="35"/>
  <c r="AV49" i="35"/>
  <c r="AW49" i="35"/>
  <c r="AX49" i="35"/>
  <c r="J50" i="35"/>
  <c r="K50" i="35"/>
  <c r="L50" i="35"/>
  <c r="M50" i="35"/>
  <c r="N50" i="35"/>
  <c r="O50" i="35"/>
  <c r="P50" i="35"/>
  <c r="Q50" i="35"/>
  <c r="R50" i="35"/>
  <c r="S50" i="35"/>
  <c r="T50" i="35"/>
  <c r="U50" i="35"/>
  <c r="V50" i="35"/>
  <c r="W50" i="35"/>
  <c r="X50" i="35"/>
  <c r="Y50" i="35"/>
  <c r="Z50" i="35"/>
  <c r="AA50" i="35"/>
  <c r="AB50" i="35"/>
  <c r="AC50" i="35"/>
  <c r="AD50" i="35"/>
  <c r="AE50" i="35"/>
  <c r="AF50" i="35"/>
  <c r="AG50" i="35"/>
  <c r="AH50" i="35"/>
  <c r="AI50" i="35"/>
  <c r="AJ50" i="35"/>
  <c r="AK50" i="35"/>
  <c r="AL50" i="35"/>
  <c r="AM50" i="35"/>
  <c r="AN50" i="35"/>
  <c r="AO50" i="35"/>
  <c r="AP50" i="35"/>
  <c r="AQ50" i="35"/>
  <c r="AR50" i="35"/>
  <c r="AS50" i="35"/>
  <c r="AT50" i="35"/>
  <c r="AU50" i="35"/>
  <c r="AV50" i="35"/>
  <c r="AW50" i="35"/>
  <c r="AX50" i="35"/>
  <c r="J51" i="35"/>
  <c r="K51" i="35"/>
  <c r="L51" i="35"/>
  <c r="M51" i="35"/>
  <c r="N51" i="35"/>
  <c r="O51" i="35"/>
  <c r="P51" i="35"/>
  <c r="Q51" i="35"/>
  <c r="R51" i="35"/>
  <c r="S51" i="35"/>
  <c r="T51" i="35"/>
  <c r="U51" i="35"/>
  <c r="V51" i="35"/>
  <c r="W51" i="35"/>
  <c r="X51" i="35"/>
  <c r="Y51" i="35"/>
  <c r="Z51" i="35"/>
  <c r="AA51" i="35"/>
  <c r="AB51" i="35"/>
  <c r="AC51" i="35"/>
  <c r="AD51" i="35"/>
  <c r="AE51" i="35"/>
  <c r="AF51" i="35"/>
  <c r="AG51" i="35"/>
  <c r="AH51" i="35"/>
  <c r="AI51" i="35"/>
  <c r="AJ51" i="35"/>
  <c r="AK51" i="35"/>
  <c r="AL51" i="35"/>
  <c r="AM51" i="35"/>
  <c r="AN51" i="35"/>
  <c r="AO51" i="35"/>
  <c r="AP51" i="35"/>
  <c r="AQ51" i="35"/>
  <c r="AR51" i="35"/>
  <c r="AS51" i="35"/>
  <c r="AT51" i="35"/>
  <c r="AU51" i="35"/>
  <c r="AV51" i="35"/>
  <c r="AW51" i="35"/>
  <c r="AX51" i="35"/>
  <c r="J52" i="35"/>
  <c r="K52" i="35"/>
  <c r="L52" i="35"/>
  <c r="M52" i="35"/>
  <c r="N52" i="35"/>
  <c r="O52" i="35"/>
  <c r="P52" i="35"/>
  <c r="Q52" i="35"/>
  <c r="R52" i="35"/>
  <c r="S52" i="35"/>
  <c r="T52" i="35"/>
  <c r="U52" i="35"/>
  <c r="V52" i="35"/>
  <c r="W52" i="35"/>
  <c r="X52" i="35"/>
  <c r="Y52" i="35"/>
  <c r="Z52" i="35"/>
  <c r="AA52" i="35"/>
  <c r="AB52" i="35"/>
  <c r="AC52" i="35"/>
  <c r="AD52" i="35"/>
  <c r="AE52" i="35"/>
  <c r="AF52" i="35"/>
  <c r="AG52" i="35"/>
  <c r="AH52" i="35"/>
  <c r="AI52" i="35"/>
  <c r="AJ52" i="35"/>
  <c r="AK52" i="35"/>
  <c r="AL52" i="35"/>
  <c r="AM52" i="35"/>
  <c r="AN52" i="35"/>
  <c r="AO52" i="35"/>
  <c r="AP52" i="35"/>
  <c r="AQ52" i="35"/>
  <c r="AR52" i="35"/>
  <c r="AS52" i="35"/>
  <c r="AT52" i="35"/>
  <c r="AU52" i="35"/>
  <c r="AV52" i="35"/>
  <c r="AW52" i="35"/>
  <c r="AX52" i="35"/>
  <c r="J53" i="35"/>
  <c r="K53" i="35"/>
  <c r="L53" i="35"/>
  <c r="M53" i="35"/>
  <c r="N53" i="35"/>
  <c r="O53" i="35"/>
  <c r="P53" i="35"/>
  <c r="Q53" i="35"/>
  <c r="R53" i="35"/>
  <c r="S53" i="35"/>
  <c r="T53" i="35"/>
  <c r="U53" i="35"/>
  <c r="V53" i="35"/>
  <c r="W53" i="35"/>
  <c r="X53" i="35"/>
  <c r="Y53" i="35"/>
  <c r="Z53" i="35"/>
  <c r="AA53" i="35"/>
  <c r="AB53" i="35"/>
  <c r="AC53" i="35"/>
  <c r="AD53" i="35"/>
  <c r="AE53" i="35"/>
  <c r="AF53" i="35"/>
  <c r="AG53" i="35"/>
  <c r="AH53" i="35"/>
  <c r="AI53" i="35"/>
  <c r="AJ53" i="35"/>
  <c r="AK53" i="35"/>
  <c r="AL53" i="35"/>
  <c r="AM53" i="35"/>
  <c r="AN53" i="35"/>
  <c r="AO53" i="35"/>
  <c r="AP53" i="35"/>
  <c r="AQ53" i="35"/>
  <c r="AR53" i="35"/>
  <c r="AS53" i="35"/>
  <c r="AT53" i="35"/>
  <c r="AU53" i="35"/>
  <c r="AV53" i="35"/>
  <c r="AW53" i="35"/>
  <c r="AX53" i="35"/>
  <c r="J54" i="35"/>
  <c r="K54" i="35"/>
  <c r="L54" i="35"/>
  <c r="M54" i="35"/>
  <c r="N54" i="35"/>
  <c r="O54" i="35"/>
  <c r="P54" i="35"/>
  <c r="Q54" i="35"/>
  <c r="R54" i="35"/>
  <c r="S54" i="35"/>
  <c r="T54" i="35"/>
  <c r="U54" i="35"/>
  <c r="V54" i="35"/>
  <c r="W54" i="35"/>
  <c r="X54" i="35"/>
  <c r="Y54" i="35"/>
  <c r="Z54" i="35"/>
  <c r="AA54" i="35"/>
  <c r="AB54" i="35"/>
  <c r="AC54" i="35"/>
  <c r="AD54" i="35"/>
  <c r="AE54" i="35"/>
  <c r="AF54" i="35"/>
  <c r="AG54" i="35"/>
  <c r="AH54" i="35"/>
  <c r="AI54" i="35"/>
  <c r="AJ54" i="35"/>
  <c r="AK54" i="35"/>
  <c r="AL54" i="35"/>
  <c r="AM54" i="35"/>
  <c r="AN54" i="35"/>
  <c r="AO54" i="35"/>
  <c r="AP54" i="35"/>
  <c r="AQ54" i="35"/>
  <c r="AR54" i="35"/>
  <c r="AS54" i="35"/>
  <c r="AT54" i="35"/>
  <c r="AU54" i="35"/>
  <c r="AV54" i="35"/>
  <c r="AW54" i="35"/>
  <c r="AX54" i="35"/>
  <c r="AX46" i="35"/>
  <c r="AW46" i="35"/>
  <c r="AV46" i="35"/>
  <c r="AU46" i="35"/>
  <c r="AT46" i="35"/>
  <c r="AS46" i="35"/>
  <c r="AR46" i="35"/>
  <c r="AQ46" i="35"/>
  <c r="AP46" i="35"/>
  <c r="AO46" i="35"/>
  <c r="AN46" i="35"/>
  <c r="AM46" i="35"/>
  <c r="AL46" i="35"/>
  <c r="AK46" i="35"/>
  <c r="AJ46" i="35"/>
  <c r="AI46" i="35"/>
  <c r="AH46" i="35"/>
  <c r="AG46" i="35"/>
  <c r="AF46" i="35"/>
  <c r="AE46" i="35"/>
  <c r="AD46" i="35"/>
  <c r="AC46" i="35"/>
  <c r="AB46" i="35"/>
  <c r="AA46" i="35"/>
  <c r="Z46" i="35"/>
  <c r="Y46" i="35"/>
  <c r="X46" i="35"/>
  <c r="W46" i="35"/>
  <c r="V46" i="35"/>
  <c r="U46" i="35"/>
  <c r="T46" i="35"/>
  <c r="S46" i="35"/>
  <c r="R46" i="35"/>
  <c r="Q46" i="35"/>
  <c r="P46" i="35"/>
  <c r="O46" i="35"/>
  <c r="N46" i="35"/>
  <c r="M46" i="35"/>
  <c r="L46" i="35"/>
  <c r="K46" i="35"/>
  <c r="J46" i="35"/>
  <c r="AX45" i="35"/>
  <c r="AW45" i="35"/>
  <c r="AV45" i="35"/>
  <c r="AU45" i="35"/>
  <c r="AT45" i="35"/>
  <c r="AS45" i="35"/>
  <c r="AR45" i="35"/>
  <c r="AQ45" i="35"/>
  <c r="AP45" i="35"/>
  <c r="AO45" i="35"/>
  <c r="AN45" i="35"/>
  <c r="AM45" i="35"/>
  <c r="AL45" i="35"/>
  <c r="AK45" i="35"/>
  <c r="AJ45" i="35"/>
  <c r="AI45" i="35"/>
  <c r="AH45" i="35"/>
  <c r="AG45" i="35"/>
  <c r="AF45" i="35"/>
  <c r="AE45" i="35"/>
  <c r="AD45" i="35"/>
  <c r="AC45" i="35"/>
  <c r="AB45" i="35"/>
  <c r="AA45" i="35"/>
  <c r="Z45" i="35"/>
  <c r="Y45" i="35"/>
  <c r="X45" i="35"/>
  <c r="W45" i="35"/>
  <c r="V45" i="35"/>
  <c r="U45" i="35"/>
  <c r="T45" i="35"/>
  <c r="S45" i="35"/>
  <c r="R45" i="35"/>
  <c r="Q45" i="35"/>
  <c r="P45" i="35"/>
  <c r="O45" i="35"/>
  <c r="N45" i="35"/>
  <c r="M45" i="35"/>
  <c r="L45" i="35"/>
  <c r="K45" i="35"/>
  <c r="J45" i="35"/>
  <c r="AX44" i="35"/>
  <c r="AW44" i="35"/>
  <c r="AV44" i="35"/>
  <c r="AU44" i="35"/>
  <c r="AT44" i="35"/>
  <c r="AS44" i="35"/>
  <c r="AR44" i="35"/>
  <c r="AQ44" i="35"/>
  <c r="AP44" i="35"/>
  <c r="AO44" i="35"/>
  <c r="AN44" i="35"/>
  <c r="AM44" i="35"/>
  <c r="AL44" i="35"/>
  <c r="AK44" i="35"/>
  <c r="AJ44" i="35"/>
  <c r="AI44" i="35"/>
  <c r="AH44" i="35"/>
  <c r="AG44" i="35"/>
  <c r="AF44" i="35"/>
  <c r="AE44" i="35"/>
  <c r="AD44" i="35"/>
  <c r="AC44" i="35"/>
  <c r="AB44" i="35"/>
  <c r="AA44" i="35"/>
  <c r="Z44" i="35"/>
  <c r="Y44" i="35"/>
  <c r="X44" i="35"/>
  <c r="W44" i="35"/>
  <c r="V44" i="35"/>
  <c r="U44" i="35"/>
  <c r="T44" i="35"/>
  <c r="S44" i="35"/>
  <c r="R44" i="35"/>
  <c r="Q44" i="35"/>
  <c r="P44" i="35"/>
  <c r="O44" i="35"/>
  <c r="N44" i="35"/>
  <c r="M44" i="35"/>
  <c r="L44" i="35"/>
  <c r="K44" i="35"/>
  <c r="J44" i="35"/>
  <c r="AX40" i="35"/>
  <c r="AW40" i="35"/>
  <c r="AV40" i="35"/>
  <c r="AU40" i="35"/>
  <c r="AT40" i="35"/>
  <c r="AS40" i="35"/>
  <c r="AR40" i="35"/>
  <c r="AQ40" i="35"/>
  <c r="AP40" i="35"/>
  <c r="AO40" i="35"/>
  <c r="AN40" i="35"/>
  <c r="AM40" i="35"/>
  <c r="AL40" i="35"/>
  <c r="AK40" i="35"/>
  <c r="AJ40" i="35"/>
  <c r="AI40" i="35"/>
  <c r="AH40" i="35"/>
  <c r="AG40" i="35"/>
  <c r="AF40" i="35"/>
  <c r="AE40" i="35"/>
  <c r="AD40" i="35"/>
  <c r="AC40" i="35"/>
  <c r="AB40" i="35"/>
  <c r="AA40" i="35"/>
  <c r="Z40" i="35"/>
  <c r="Y40" i="35"/>
  <c r="X40" i="35"/>
  <c r="W40" i="35"/>
  <c r="V40" i="35"/>
  <c r="U40" i="35"/>
  <c r="T40" i="35"/>
  <c r="S40" i="35"/>
  <c r="R40" i="35"/>
  <c r="Q40" i="35"/>
  <c r="P40" i="35"/>
  <c r="O40" i="35"/>
  <c r="N40" i="35"/>
  <c r="M40" i="35"/>
  <c r="L40" i="35"/>
  <c r="K40" i="35"/>
  <c r="J40" i="35"/>
  <c r="AX43" i="35"/>
  <c r="AW43" i="35"/>
  <c r="AV43" i="35"/>
  <c r="AU43" i="35"/>
  <c r="AT43" i="35"/>
  <c r="AS43" i="35"/>
  <c r="AR43" i="35"/>
  <c r="AQ43" i="35"/>
  <c r="AP43" i="35"/>
  <c r="AO43" i="35"/>
  <c r="AN43" i="35"/>
  <c r="AM43" i="35"/>
  <c r="AL43" i="35"/>
  <c r="AK43" i="35"/>
  <c r="AJ43" i="35"/>
  <c r="AI43" i="35"/>
  <c r="AH43" i="35"/>
  <c r="AG43" i="35"/>
  <c r="AF43" i="35"/>
  <c r="AE43" i="35"/>
  <c r="AD43" i="35"/>
  <c r="AC43" i="35"/>
  <c r="AB43" i="35"/>
  <c r="AA43" i="35"/>
  <c r="Z43" i="35"/>
  <c r="Y43" i="35"/>
  <c r="X43" i="35"/>
  <c r="W43" i="35"/>
  <c r="V43" i="35"/>
  <c r="U43" i="35"/>
  <c r="T43" i="35"/>
  <c r="S43" i="35"/>
  <c r="R43" i="35"/>
  <c r="Q43" i="35"/>
  <c r="P43" i="35"/>
  <c r="O43" i="35"/>
  <c r="N43" i="35"/>
  <c r="M43" i="35"/>
  <c r="L43" i="35"/>
  <c r="K43" i="35"/>
  <c r="J43" i="35"/>
  <c r="AX27" i="35"/>
  <c r="AW27" i="35"/>
  <c r="AV27" i="35"/>
  <c r="AU27" i="35"/>
  <c r="AT27" i="35"/>
  <c r="AS27" i="35"/>
  <c r="AR27" i="35"/>
  <c r="AQ27" i="35"/>
  <c r="AP27" i="35"/>
  <c r="AO27" i="35"/>
  <c r="AN27" i="35"/>
  <c r="AM27" i="35"/>
  <c r="AL27" i="35"/>
  <c r="AK27" i="35"/>
  <c r="AJ27" i="35"/>
  <c r="AI27" i="35"/>
  <c r="AH27" i="35"/>
  <c r="AG27" i="35"/>
  <c r="AF27" i="35"/>
  <c r="AE27" i="35"/>
  <c r="AD27" i="35"/>
  <c r="AC27" i="35"/>
  <c r="AB27" i="35"/>
  <c r="AA27" i="35"/>
  <c r="Z27" i="35"/>
  <c r="Y27" i="35"/>
  <c r="X27" i="35"/>
  <c r="W27" i="35"/>
  <c r="V27" i="35"/>
  <c r="U27" i="35"/>
  <c r="T27" i="35"/>
  <c r="S27" i="35"/>
  <c r="R27" i="35"/>
  <c r="Q27" i="35"/>
  <c r="P27" i="35"/>
  <c r="O27" i="35"/>
  <c r="N27" i="35"/>
  <c r="M27" i="35"/>
  <c r="L27" i="35"/>
  <c r="K27" i="35"/>
  <c r="J27" i="35"/>
  <c r="AX42" i="35"/>
  <c r="AW42" i="35"/>
  <c r="AV42" i="35"/>
  <c r="AU42" i="35"/>
  <c r="AT42" i="35"/>
  <c r="AS42" i="35"/>
  <c r="AR42" i="35"/>
  <c r="AQ42" i="35"/>
  <c r="AP42" i="35"/>
  <c r="AO42" i="35"/>
  <c r="AN42" i="35"/>
  <c r="AM42" i="35"/>
  <c r="AL42" i="35"/>
  <c r="AK42" i="35"/>
  <c r="AJ42" i="35"/>
  <c r="AI42" i="35"/>
  <c r="AH42" i="35"/>
  <c r="AG42" i="35"/>
  <c r="AF42" i="35"/>
  <c r="AE42" i="35"/>
  <c r="AD42" i="35"/>
  <c r="AC42" i="35"/>
  <c r="AB42" i="35"/>
  <c r="AA42" i="35"/>
  <c r="Z42" i="35"/>
  <c r="Y42" i="35"/>
  <c r="X42" i="35"/>
  <c r="W42" i="35"/>
  <c r="V42" i="35"/>
  <c r="U42" i="35"/>
  <c r="T42" i="35"/>
  <c r="S42" i="35"/>
  <c r="R42" i="35"/>
  <c r="Q42" i="35"/>
  <c r="P42" i="35"/>
  <c r="O42" i="35"/>
  <c r="N42" i="35"/>
  <c r="M42" i="35"/>
  <c r="L42" i="35"/>
  <c r="K42" i="35"/>
  <c r="J42" i="35"/>
  <c r="AX41" i="35"/>
  <c r="AW41" i="35"/>
  <c r="AV41" i="35"/>
  <c r="AU41" i="35"/>
  <c r="AT41" i="35"/>
  <c r="AS41" i="35"/>
  <c r="AR41" i="35"/>
  <c r="AQ41" i="35"/>
  <c r="AP41" i="35"/>
  <c r="AO41" i="35"/>
  <c r="AN41" i="35"/>
  <c r="AM41" i="35"/>
  <c r="AL41" i="35"/>
  <c r="AK41" i="35"/>
  <c r="AJ41" i="35"/>
  <c r="AI41" i="35"/>
  <c r="AH41" i="35"/>
  <c r="AG41" i="35"/>
  <c r="AF41" i="35"/>
  <c r="AE41" i="35"/>
  <c r="AD41" i="35"/>
  <c r="AC41" i="35"/>
  <c r="AB41" i="35"/>
  <c r="AA41" i="35"/>
  <c r="Z41" i="35"/>
  <c r="Y41" i="35"/>
  <c r="X41" i="35"/>
  <c r="W41" i="35"/>
  <c r="V41" i="35"/>
  <c r="U41" i="35"/>
  <c r="T41" i="35"/>
  <c r="S41" i="35"/>
  <c r="R41" i="35"/>
  <c r="Q41" i="35"/>
  <c r="P41" i="35"/>
  <c r="O41" i="35"/>
  <c r="N41" i="35"/>
  <c r="M41" i="35"/>
  <c r="L41" i="35"/>
  <c r="K41" i="35"/>
  <c r="J41" i="35"/>
  <c r="AX39" i="35"/>
  <c r="AW39" i="35"/>
  <c r="AV39" i="35"/>
  <c r="AU39" i="35"/>
  <c r="AT39" i="35"/>
  <c r="AS39" i="35"/>
  <c r="AR39" i="35"/>
  <c r="AQ39" i="35"/>
  <c r="AP39" i="35"/>
  <c r="AO39" i="35"/>
  <c r="AN39" i="35"/>
  <c r="AM39" i="35"/>
  <c r="AL39" i="35"/>
  <c r="AK39" i="35"/>
  <c r="AJ39" i="35"/>
  <c r="AI39" i="35"/>
  <c r="AH39" i="35"/>
  <c r="AG39" i="35"/>
  <c r="AF39" i="35"/>
  <c r="AE39" i="35"/>
  <c r="AD39" i="35"/>
  <c r="AC39" i="35"/>
  <c r="AB39" i="35"/>
  <c r="AA39" i="35"/>
  <c r="Z39" i="35"/>
  <c r="Y39" i="35"/>
  <c r="X39" i="35"/>
  <c r="W39" i="35"/>
  <c r="V39" i="35"/>
  <c r="U39" i="35"/>
  <c r="T39" i="35"/>
  <c r="S39" i="35"/>
  <c r="R39" i="35"/>
  <c r="Q39" i="35"/>
  <c r="P39" i="35"/>
  <c r="O39" i="35"/>
  <c r="N39" i="35"/>
  <c r="M39" i="35"/>
  <c r="L39" i="35"/>
  <c r="K39" i="35"/>
  <c r="J39" i="35"/>
  <c r="AX38" i="35"/>
  <c r="AW38" i="35"/>
  <c r="AV38" i="35"/>
  <c r="AU38" i="35"/>
  <c r="AT38" i="35"/>
  <c r="AS38" i="35"/>
  <c r="AR38" i="35"/>
  <c r="AQ38" i="35"/>
  <c r="AP38" i="35"/>
  <c r="AO38" i="35"/>
  <c r="AN38" i="35"/>
  <c r="AM38" i="35"/>
  <c r="AL38" i="35"/>
  <c r="AK38" i="35"/>
  <c r="AJ38" i="35"/>
  <c r="AI38" i="35"/>
  <c r="AH38" i="35"/>
  <c r="AG38" i="35"/>
  <c r="AF38" i="35"/>
  <c r="AE38" i="35"/>
  <c r="AD38" i="35"/>
  <c r="AC38" i="35"/>
  <c r="AB38" i="35"/>
  <c r="AA38" i="35"/>
  <c r="Z38" i="35"/>
  <c r="Y38" i="35"/>
  <c r="X38" i="35"/>
  <c r="W38" i="35"/>
  <c r="V38" i="35"/>
  <c r="U38" i="35"/>
  <c r="T38" i="35"/>
  <c r="S38" i="35"/>
  <c r="R38" i="35"/>
  <c r="Q38" i="35"/>
  <c r="P38" i="35"/>
  <c r="O38" i="35"/>
  <c r="N38" i="35"/>
  <c r="M38" i="35"/>
  <c r="L38" i="35"/>
  <c r="K38" i="35"/>
  <c r="J38" i="35"/>
  <c r="AX48" i="35"/>
  <c r="AW48" i="35"/>
  <c r="AV48" i="35"/>
  <c r="AU48" i="35"/>
  <c r="AT48" i="35"/>
  <c r="AS48" i="35"/>
  <c r="AR48" i="35"/>
  <c r="AQ48" i="35"/>
  <c r="AP48" i="35"/>
  <c r="AO48" i="35"/>
  <c r="AN48" i="35"/>
  <c r="AM48" i="35"/>
  <c r="AL48" i="35"/>
  <c r="AK48" i="35"/>
  <c r="AJ48" i="35"/>
  <c r="AI48" i="35"/>
  <c r="AH48" i="35"/>
  <c r="AG48" i="35"/>
  <c r="AF48" i="35"/>
  <c r="AE48" i="35"/>
  <c r="AD48" i="35"/>
  <c r="AC48" i="35"/>
  <c r="AB48" i="35"/>
  <c r="AA48" i="35"/>
  <c r="Z48" i="35"/>
  <c r="Y48" i="35"/>
  <c r="X48" i="35"/>
  <c r="W48" i="35"/>
  <c r="V48" i="35"/>
  <c r="U48" i="35"/>
  <c r="T48" i="35"/>
  <c r="S48" i="35"/>
  <c r="R48" i="35"/>
  <c r="Q48" i="35"/>
  <c r="P48" i="35"/>
  <c r="O48" i="35"/>
  <c r="N48" i="35"/>
  <c r="M48" i="35"/>
  <c r="L48" i="35"/>
  <c r="K48" i="35"/>
  <c r="J48" i="35"/>
  <c r="AX37" i="35"/>
  <c r="AW37" i="35"/>
  <c r="AV37" i="35"/>
  <c r="AU37" i="35"/>
  <c r="AT37" i="35"/>
  <c r="AS37" i="35"/>
  <c r="AR37" i="35"/>
  <c r="AQ37" i="35"/>
  <c r="AP37" i="35"/>
  <c r="AO37" i="35"/>
  <c r="AN37" i="35"/>
  <c r="AM37" i="35"/>
  <c r="AL37" i="35"/>
  <c r="AK37" i="35"/>
  <c r="AJ37" i="35"/>
  <c r="AI37" i="35"/>
  <c r="AH37" i="35"/>
  <c r="AG37" i="35"/>
  <c r="AF37" i="35"/>
  <c r="AE37" i="35"/>
  <c r="AD37" i="35"/>
  <c r="AC37" i="35"/>
  <c r="AB37" i="35"/>
  <c r="AA37" i="35"/>
  <c r="Z37" i="35"/>
  <c r="Y37" i="35"/>
  <c r="X37" i="35"/>
  <c r="W37" i="35"/>
  <c r="V37" i="35"/>
  <c r="U37" i="35"/>
  <c r="T37" i="35"/>
  <c r="S37" i="35"/>
  <c r="R37" i="35"/>
  <c r="Q37" i="35"/>
  <c r="P37" i="35"/>
  <c r="O37" i="35"/>
  <c r="N37" i="35"/>
  <c r="M37" i="35"/>
  <c r="L37" i="35"/>
  <c r="K37" i="35"/>
  <c r="J37" i="35"/>
  <c r="AX35" i="35"/>
  <c r="AW35" i="35"/>
  <c r="AV35" i="35"/>
  <c r="AU35" i="35"/>
  <c r="AT35" i="35"/>
  <c r="AS35" i="35"/>
  <c r="AR35" i="35"/>
  <c r="AQ35" i="35"/>
  <c r="AP35" i="35"/>
  <c r="AO35" i="35"/>
  <c r="AN35" i="35"/>
  <c r="AM35" i="35"/>
  <c r="AL35" i="35"/>
  <c r="AK35" i="35"/>
  <c r="AJ35" i="35"/>
  <c r="AI35" i="35"/>
  <c r="AH35" i="35"/>
  <c r="AG35" i="35"/>
  <c r="AF35" i="35"/>
  <c r="AE35" i="35"/>
  <c r="AD35" i="35"/>
  <c r="AC35" i="35"/>
  <c r="AB35" i="35"/>
  <c r="AA35" i="35"/>
  <c r="Z35" i="35"/>
  <c r="Y35" i="35"/>
  <c r="X35" i="35"/>
  <c r="W35" i="35"/>
  <c r="V35" i="35"/>
  <c r="U35" i="35"/>
  <c r="T35" i="35"/>
  <c r="S35" i="35"/>
  <c r="R35" i="35"/>
  <c r="Q35" i="35"/>
  <c r="P35" i="35"/>
  <c r="O35" i="35"/>
  <c r="N35" i="35"/>
  <c r="M35" i="35"/>
  <c r="L35" i="35"/>
  <c r="K35" i="35"/>
  <c r="J35" i="35"/>
  <c r="AX34" i="35"/>
  <c r="AW34" i="35"/>
  <c r="AV34" i="35"/>
  <c r="AU34" i="35"/>
  <c r="AT34" i="35"/>
  <c r="AS34" i="35"/>
  <c r="AR34" i="35"/>
  <c r="AQ34" i="35"/>
  <c r="AP34" i="35"/>
  <c r="AO34" i="35"/>
  <c r="AN34" i="35"/>
  <c r="AM34" i="35"/>
  <c r="AL34" i="35"/>
  <c r="AK34" i="35"/>
  <c r="AJ34" i="35"/>
  <c r="AI34" i="35"/>
  <c r="AH34" i="35"/>
  <c r="AG34" i="35"/>
  <c r="AF34" i="35"/>
  <c r="AE34" i="35"/>
  <c r="AD34" i="35"/>
  <c r="AC34" i="35"/>
  <c r="AB34" i="35"/>
  <c r="AA34" i="35"/>
  <c r="Z34" i="35"/>
  <c r="Y34" i="35"/>
  <c r="X34" i="35"/>
  <c r="W34" i="35"/>
  <c r="V34" i="35"/>
  <c r="U34" i="35"/>
  <c r="T34" i="35"/>
  <c r="S34" i="35"/>
  <c r="R34" i="35"/>
  <c r="Q34" i="35"/>
  <c r="P34" i="35"/>
  <c r="O34" i="35"/>
  <c r="N34" i="35"/>
  <c r="M34" i="35"/>
  <c r="L34" i="35"/>
  <c r="K34" i="35"/>
  <c r="J34" i="35"/>
  <c r="AX33" i="35"/>
  <c r="AW33" i="35"/>
  <c r="AV33" i="35"/>
  <c r="AU33" i="35"/>
  <c r="AT33" i="35"/>
  <c r="AS33" i="35"/>
  <c r="AR33" i="35"/>
  <c r="AQ33" i="35"/>
  <c r="AP33" i="35"/>
  <c r="AO33" i="35"/>
  <c r="AN33" i="35"/>
  <c r="AM33" i="35"/>
  <c r="AL33" i="35"/>
  <c r="AK33" i="35"/>
  <c r="AJ33" i="35"/>
  <c r="AI33" i="35"/>
  <c r="AH33" i="35"/>
  <c r="AG33" i="35"/>
  <c r="AF33" i="35"/>
  <c r="AE33" i="35"/>
  <c r="AD33" i="35"/>
  <c r="AC33" i="35"/>
  <c r="AB33" i="35"/>
  <c r="AA33" i="35"/>
  <c r="Z33" i="35"/>
  <c r="Y33" i="35"/>
  <c r="X33" i="35"/>
  <c r="W33" i="35"/>
  <c r="V33" i="35"/>
  <c r="U33" i="35"/>
  <c r="T33" i="35"/>
  <c r="S33" i="35"/>
  <c r="R33" i="35"/>
  <c r="Q33" i="35"/>
  <c r="P33" i="35"/>
  <c r="O33" i="35"/>
  <c r="N33" i="35"/>
  <c r="M33" i="35"/>
  <c r="L33" i="35"/>
  <c r="K33" i="35"/>
  <c r="J33" i="35"/>
  <c r="AX31" i="35"/>
  <c r="AW31" i="35"/>
  <c r="AV31" i="35"/>
  <c r="AU31" i="35"/>
  <c r="AT31" i="35"/>
  <c r="AS31" i="35"/>
  <c r="AR31" i="35"/>
  <c r="AQ31" i="35"/>
  <c r="AP31" i="35"/>
  <c r="AO31" i="35"/>
  <c r="AN31" i="35"/>
  <c r="AM31" i="35"/>
  <c r="AL31" i="35"/>
  <c r="AK31" i="35"/>
  <c r="AJ31" i="35"/>
  <c r="AI31" i="35"/>
  <c r="AH31" i="35"/>
  <c r="AG31" i="35"/>
  <c r="AF31" i="35"/>
  <c r="AE31" i="35"/>
  <c r="AD31" i="35"/>
  <c r="AC31" i="35"/>
  <c r="AB31" i="35"/>
  <c r="AA31" i="35"/>
  <c r="Z31" i="35"/>
  <c r="Y31" i="35"/>
  <c r="X31" i="35"/>
  <c r="W31" i="35"/>
  <c r="V31" i="35"/>
  <c r="U31" i="35"/>
  <c r="T31" i="35"/>
  <c r="S31" i="35"/>
  <c r="R31" i="35"/>
  <c r="Q31" i="35"/>
  <c r="P31" i="35"/>
  <c r="O31" i="35"/>
  <c r="N31" i="35"/>
  <c r="M31" i="35"/>
  <c r="L31" i="35"/>
  <c r="K31" i="35"/>
  <c r="J31" i="35"/>
  <c r="AX30" i="35"/>
  <c r="AW30" i="35"/>
  <c r="AV30" i="35"/>
  <c r="AU30" i="35"/>
  <c r="AT30" i="35"/>
  <c r="AS30" i="35"/>
  <c r="AR30" i="35"/>
  <c r="AQ30" i="35"/>
  <c r="AP30" i="35"/>
  <c r="AO30" i="35"/>
  <c r="AN30" i="35"/>
  <c r="AM30" i="35"/>
  <c r="AL30" i="35"/>
  <c r="AK30" i="35"/>
  <c r="AJ30" i="35"/>
  <c r="AI30" i="35"/>
  <c r="AH30" i="35"/>
  <c r="AG30" i="35"/>
  <c r="AF30" i="35"/>
  <c r="AE30" i="35"/>
  <c r="AD30" i="35"/>
  <c r="AC30" i="35"/>
  <c r="AB30" i="35"/>
  <c r="AA30" i="35"/>
  <c r="Z30" i="35"/>
  <c r="Y30" i="35"/>
  <c r="X30" i="35"/>
  <c r="W30" i="35"/>
  <c r="V30" i="35"/>
  <c r="U30" i="35"/>
  <c r="T30" i="35"/>
  <c r="S30" i="35"/>
  <c r="R30" i="35"/>
  <c r="Q30" i="35"/>
  <c r="P30" i="35"/>
  <c r="O30" i="35"/>
  <c r="N30" i="35"/>
  <c r="M30" i="35"/>
  <c r="L30" i="35"/>
  <c r="K30" i="35"/>
  <c r="J30" i="35"/>
  <c r="AX29" i="35"/>
  <c r="AW29" i="35"/>
  <c r="AV29" i="35"/>
  <c r="AU29" i="35"/>
  <c r="AT29" i="35"/>
  <c r="AS29" i="35"/>
  <c r="AR29" i="35"/>
  <c r="AQ29" i="35"/>
  <c r="AP29" i="35"/>
  <c r="AO29" i="35"/>
  <c r="AN29" i="35"/>
  <c r="AM29" i="35"/>
  <c r="AL29" i="35"/>
  <c r="AK29" i="35"/>
  <c r="AJ29" i="35"/>
  <c r="AI29" i="35"/>
  <c r="AH29" i="35"/>
  <c r="AG29" i="35"/>
  <c r="AF29" i="35"/>
  <c r="AE29" i="35"/>
  <c r="AD29" i="35"/>
  <c r="AC29" i="35"/>
  <c r="AB29" i="35"/>
  <c r="AA29" i="35"/>
  <c r="Z29" i="35"/>
  <c r="Y29" i="35"/>
  <c r="X29" i="35"/>
  <c r="W29" i="35"/>
  <c r="V29" i="35"/>
  <c r="U29" i="35"/>
  <c r="T29" i="35"/>
  <c r="S29" i="35"/>
  <c r="R29" i="35"/>
  <c r="Q29" i="35"/>
  <c r="P29" i="35"/>
  <c r="O29" i="35"/>
  <c r="N29" i="35"/>
  <c r="M29" i="35"/>
  <c r="L29" i="35"/>
  <c r="K29" i="35"/>
  <c r="J29" i="35"/>
  <c r="AX28" i="35"/>
  <c r="AW28" i="35"/>
  <c r="AV28" i="35"/>
  <c r="AU28" i="35"/>
  <c r="AT28" i="35"/>
  <c r="AS28" i="35"/>
  <c r="AR28" i="35"/>
  <c r="AQ28" i="35"/>
  <c r="AP28" i="35"/>
  <c r="AO28" i="35"/>
  <c r="AN28" i="35"/>
  <c r="AM28" i="35"/>
  <c r="AL28" i="35"/>
  <c r="AK28" i="35"/>
  <c r="AJ28" i="35"/>
  <c r="AI28" i="35"/>
  <c r="AH28" i="35"/>
  <c r="AG28" i="35"/>
  <c r="AF28" i="35"/>
  <c r="AE28" i="35"/>
  <c r="AD28" i="35"/>
  <c r="AC28" i="35"/>
  <c r="AB28" i="35"/>
  <c r="AA28" i="35"/>
  <c r="Z28" i="35"/>
  <c r="Y28" i="35"/>
  <c r="X28" i="35"/>
  <c r="W28" i="35"/>
  <c r="V28" i="35"/>
  <c r="U28" i="35"/>
  <c r="T28" i="35"/>
  <c r="S28" i="35"/>
  <c r="R28" i="35"/>
  <c r="Q28" i="35"/>
  <c r="P28" i="35"/>
  <c r="O28" i="35"/>
  <c r="N28" i="35"/>
  <c r="M28" i="35"/>
  <c r="L28" i="35"/>
  <c r="K28" i="35"/>
  <c r="J28" i="35"/>
  <c r="AX26" i="35"/>
  <c r="AW26" i="35"/>
  <c r="AV26" i="35"/>
  <c r="AU26" i="35"/>
  <c r="AT26" i="35"/>
  <c r="AS26" i="35"/>
  <c r="AR26" i="35"/>
  <c r="AQ26" i="35"/>
  <c r="AP26" i="35"/>
  <c r="AO26" i="35"/>
  <c r="AN26" i="35"/>
  <c r="AM26" i="35"/>
  <c r="AL26" i="35"/>
  <c r="AK26" i="35"/>
  <c r="AJ26" i="35"/>
  <c r="AI26" i="35"/>
  <c r="AH26" i="35"/>
  <c r="AG26" i="35"/>
  <c r="AF26" i="35"/>
  <c r="AE26" i="35"/>
  <c r="AD26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O26" i="35"/>
  <c r="N26" i="35"/>
  <c r="M26" i="35"/>
  <c r="L26" i="35"/>
  <c r="K26" i="35"/>
  <c r="J26" i="35"/>
  <c r="AX25" i="35"/>
  <c r="AW25" i="35"/>
  <c r="AV25" i="35"/>
  <c r="AU25" i="35"/>
  <c r="AT25" i="35"/>
  <c r="AS25" i="35"/>
  <c r="AR25" i="35"/>
  <c r="AQ25" i="35"/>
  <c r="AP25" i="35"/>
  <c r="AO25" i="35"/>
  <c r="AN25" i="35"/>
  <c r="AM25" i="35"/>
  <c r="AL25" i="35"/>
  <c r="AK25" i="35"/>
  <c r="AJ25" i="35"/>
  <c r="AI25" i="35"/>
  <c r="AH25" i="35"/>
  <c r="AG25" i="35"/>
  <c r="AF25" i="35"/>
  <c r="AE25" i="35"/>
  <c r="AD25" i="35"/>
  <c r="AC25" i="35"/>
  <c r="AB25" i="35"/>
  <c r="AA25" i="35"/>
  <c r="Z25" i="35"/>
  <c r="Y25" i="35"/>
  <c r="X25" i="35"/>
  <c r="W25" i="35"/>
  <c r="V25" i="35"/>
  <c r="U25" i="35"/>
  <c r="T25" i="35"/>
  <c r="S25" i="35"/>
  <c r="R25" i="35"/>
  <c r="Q25" i="35"/>
  <c r="P25" i="35"/>
  <c r="O25" i="35"/>
  <c r="N25" i="35"/>
  <c r="M25" i="35"/>
  <c r="L25" i="35"/>
  <c r="K25" i="35"/>
  <c r="J25" i="35"/>
  <c r="AX24" i="35"/>
  <c r="AW24" i="35"/>
  <c r="AV24" i="35"/>
  <c r="AU24" i="35"/>
  <c r="AT24" i="35"/>
  <c r="AS24" i="35"/>
  <c r="AR24" i="35"/>
  <c r="AQ24" i="35"/>
  <c r="AP24" i="35"/>
  <c r="AO24" i="35"/>
  <c r="AN24" i="35"/>
  <c r="AM24" i="35"/>
  <c r="AL24" i="35"/>
  <c r="AK24" i="35"/>
  <c r="AJ24" i="35"/>
  <c r="AI24" i="35"/>
  <c r="AH24" i="35"/>
  <c r="AG24" i="35"/>
  <c r="AF24" i="35"/>
  <c r="AE24" i="35"/>
  <c r="AD24" i="35"/>
  <c r="AC24" i="35"/>
  <c r="AB24" i="35"/>
  <c r="AA24" i="35"/>
  <c r="Z24" i="35"/>
  <c r="Y24" i="35"/>
  <c r="X24" i="35"/>
  <c r="W24" i="35"/>
  <c r="V24" i="35"/>
  <c r="U24" i="35"/>
  <c r="T24" i="35"/>
  <c r="S24" i="35"/>
  <c r="R24" i="35"/>
  <c r="Q24" i="35"/>
  <c r="P24" i="35"/>
  <c r="O24" i="35"/>
  <c r="N24" i="35"/>
  <c r="M24" i="35"/>
  <c r="L24" i="35"/>
  <c r="K24" i="35"/>
  <c r="J24" i="35"/>
  <c r="AX23" i="35"/>
  <c r="AW23" i="35"/>
  <c r="AV23" i="35"/>
  <c r="AU23" i="35"/>
  <c r="AT23" i="35"/>
  <c r="AS23" i="35"/>
  <c r="AR23" i="35"/>
  <c r="AQ23" i="35"/>
  <c r="AP23" i="35"/>
  <c r="AO23" i="35"/>
  <c r="AN23" i="35"/>
  <c r="AM23" i="35"/>
  <c r="AL23" i="35"/>
  <c r="AK23" i="35"/>
  <c r="AJ23" i="35"/>
  <c r="AI23" i="35"/>
  <c r="AH23" i="35"/>
  <c r="AG23" i="35"/>
  <c r="AF23" i="35"/>
  <c r="AE23" i="35"/>
  <c r="AD23" i="35"/>
  <c r="AC23" i="35"/>
  <c r="AB23" i="35"/>
  <c r="AA23" i="35"/>
  <c r="Z23" i="35"/>
  <c r="Y23" i="35"/>
  <c r="X23" i="35"/>
  <c r="W23" i="35"/>
  <c r="V23" i="35"/>
  <c r="U23" i="35"/>
  <c r="T23" i="35"/>
  <c r="S23" i="35"/>
  <c r="R23" i="35"/>
  <c r="Q23" i="35"/>
  <c r="P23" i="35"/>
  <c r="O23" i="35"/>
  <c r="N23" i="35"/>
  <c r="M23" i="35"/>
  <c r="L23" i="35"/>
  <c r="K23" i="35"/>
  <c r="J23" i="35"/>
  <c r="AX22" i="35"/>
  <c r="AW22" i="35"/>
  <c r="AV22" i="35"/>
  <c r="AU22" i="35"/>
  <c r="AT22" i="35"/>
  <c r="AS22" i="35"/>
  <c r="AR22" i="35"/>
  <c r="AQ22" i="35"/>
  <c r="AP22" i="35"/>
  <c r="AO22" i="35"/>
  <c r="AN22" i="35"/>
  <c r="AM22" i="35"/>
  <c r="AL22" i="35"/>
  <c r="AK22" i="35"/>
  <c r="AJ22" i="35"/>
  <c r="AI22" i="35"/>
  <c r="AH22" i="35"/>
  <c r="AG22" i="35"/>
  <c r="AF22" i="35"/>
  <c r="AE22" i="35"/>
  <c r="AD22" i="35"/>
  <c r="AC22" i="35"/>
  <c r="AB22" i="35"/>
  <c r="AA22" i="35"/>
  <c r="Z22" i="35"/>
  <c r="Y22" i="35"/>
  <c r="X22" i="35"/>
  <c r="W22" i="35"/>
  <c r="V22" i="35"/>
  <c r="U22" i="35"/>
  <c r="T22" i="35"/>
  <c r="S22" i="35"/>
  <c r="R22" i="35"/>
  <c r="Q22" i="35"/>
  <c r="P22" i="35"/>
  <c r="O22" i="35"/>
  <c r="N22" i="35"/>
  <c r="M22" i="35"/>
  <c r="L22" i="35"/>
  <c r="K22" i="35"/>
  <c r="J22" i="35"/>
  <c r="AX21" i="35"/>
  <c r="AW21" i="35"/>
  <c r="AV21" i="35"/>
  <c r="AU21" i="35"/>
  <c r="AT21" i="35"/>
  <c r="AS21" i="35"/>
  <c r="AR21" i="35"/>
  <c r="AQ21" i="35"/>
  <c r="AP21" i="35"/>
  <c r="AO21" i="35"/>
  <c r="AN21" i="35"/>
  <c r="AM21" i="35"/>
  <c r="AL21" i="35"/>
  <c r="AK21" i="35"/>
  <c r="AJ21" i="35"/>
  <c r="AI21" i="35"/>
  <c r="AH21" i="35"/>
  <c r="AG21" i="35"/>
  <c r="AF21" i="35"/>
  <c r="AE21" i="35"/>
  <c r="AD21" i="35"/>
  <c r="AC21" i="35"/>
  <c r="AB21" i="35"/>
  <c r="AA21" i="35"/>
  <c r="Z21" i="35"/>
  <c r="Y21" i="35"/>
  <c r="X21" i="35"/>
  <c r="W21" i="35"/>
  <c r="V21" i="35"/>
  <c r="U21" i="35"/>
  <c r="T21" i="35"/>
  <c r="S21" i="35"/>
  <c r="R21" i="35"/>
  <c r="Q21" i="35"/>
  <c r="P21" i="35"/>
  <c r="O21" i="35"/>
  <c r="N21" i="35"/>
  <c r="M21" i="35"/>
  <c r="L21" i="35"/>
  <c r="K21" i="35"/>
  <c r="J21" i="35"/>
  <c r="AX20" i="35"/>
  <c r="AW20" i="35"/>
  <c r="AV20" i="35"/>
  <c r="AU20" i="35"/>
  <c r="AT20" i="35"/>
  <c r="AS20" i="35"/>
  <c r="AR20" i="35"/>
  <c r="AQ20" i="35"/>
  <c r="AP20" i="35"/>
  <c r="AO20" i="35"/>
  <c r="AN20" i="35"/>
  <c r="AM20" i="35"/>
  <c r="AL20" i="35"/>
  <c r="AK20" i="35"/>
  <c r="AJ20" i="35"/>
  <c r="AI20" i="35"/>
  <c r="AH20" i="35"/>
  <c r="AG20" i="35"/>
  <c r="AF20" i="35"/>
  <c r="AE20" i="35"/>
  <c r="AD20" i="35"/>
  <c r="AC20" i="35"/>
  <c r="AB20" i="35"/>
  <c r="AA20" i="35"/>
  <c r="Z20" i="35"/>
  <c r="Y20" i="35"/>
  <c r="X20" i="35"/>
  <c r="W20" i="35"/>
  <c r="V20" i="35"/>
  <c r="U20" i="35"/>
  <c r="T20" i="35"/>
  <c r="S20" i="35"/>
  <c r="R20" i="35"/>
  <c r="Q20" i="35"/>
  <c r="P20" i="35"/>
  <c r="O20" i="35"/>
  <c r="N20" i="35"/>
  <c r="M20" i="35"/>
  <c r="L20" i="35"/>
  <c r="K20" i="35"/>
  <c r="J20" i="35"/>
  <c r="AX19" i="35"/>
  <c r="AW19" i="35"/>
  <c r="AV19" i="35"/>
  <c r="AU19" i="35"/>
  <c r="AT19" i="35"/>
  <c r="AS19" i="35"/>
  <c r="AR19" i="35"/>
  <c r="AQ19" i="35"/>
  <c r="AP19" i="35"/>
  <c r="AO19" i="35"/>
  <c r="AN19" i="35"/>
  <c r="AM19" i="35"/>
  <c r="AL19" i="35"/>
  <c r="AK19" i="35"/>
  <c r="AJ19" i="35"/>
  <c r="AI19" i="35"/>
  <c r="AH19" i="35"/>
  <c r="AG19" i="35"/>
  <c r="AF19" i="35"/>
  <c r="AE19" i="35"/>
  <c r="AD19" i="35"/>
  <c r="AC19" i="35"/>
  <c r="AB19" i="35"/>
  <c r="AA19" i="35"/>
  <c r="Z19" i="35"/>
  <c r="Y19" i="35"/>
  <c r="X19" i="35"/>
  <c r="W19" i="35"/>
  <c r="V19" i="35"/>
  <c r="U19" i="35"/>
  <c r="T19" i="35"/>
  <c r="S19" i="35"/>
  <c r="R19" i="35"/>
  <c r="Q19" i="35"/>
  <c r="P19" i="35"/>
  <c r="O19" i="35"/>
  <c r="N19" i="35"/>
  <c r="M19" i="35"/>
  <c r="L19" i="35"/>
  <c r="K19" i="35"/>
  <c r="J19" i="35"/>
  <c r="AX18" i="35"/>
  <c r="AW18" i="35"/>
  <c r="AV18" i="35"/>
  <c r="AU18" i="35"/>
  <c r="AT18" i="35"/>
  <c r="AS18" i="35"/>
  <c r="AR18" i="35"/>
  <c r="AQ18" i="35"/>
  <c r="AP18" i="35"/>
  <c r="AO18" i="35"/>
  <c r="AN18" i="35"/>
  <c r="AM18" i="35"/>
  <c r="AL18" i="35"/>
  <c r="AK18" i="35"/>
  <c r="AJ18" i="35"/>
  <c r="AI18" i="35"/>
  <c r="AH18" i="35"/>
  <c r="AG18" i="35"/>
  <c r="AF18" i="35"/>
  <c r="AE18" i="35"/>
  <c r="AD18" i="35"/>
  <c r="AC18" i="35"/>
  <c r="AB18" i="35"/>
  <c r="AA18" i="35"/>
  <c r="Z18" i="35"/>
  <c r="Y18" i="35"/>
  <c r="X18" i="35"/>
  <c r="W18" i="35"/>
  <c r="V18" i="35"/>
  <c r="U18" i="35"/>
  <c r="T18" i="35"/>
  <c r="S18" i="35"/>
  <c r="R18" i="35"/>
  <c r="Q18" i="35"/>
  <c r="P18" i="35"/>
  <c r="O18" i="35"/>
  <c r="N18" i="35"/>
  <c r="M18" i="35"/>
  <c r="L18" i="35"/>
  <c r="K18" i="35"/>
  <c r="J18" i="35"/>
  <c r="AX17" i="35"/>
  <c r="AW17" i="35"/>
  <c r="AV17" i="35"/>
  <c r="AU17" i="35"/>
  <c r="AT17" i="35"/>
  <c r="AS17" i="35"/>
  <c r="AR17" i="35"/>
  <c r="AQ17" i="35"/>
  <c r="AP17" i="35"/>
  <c r="AO17" i="35"/>
  <c r="AN17" i="35"/>
  <c r="AM17" i="35"/>
  <c r="AL17" i="35"/>
  <c r="AK17" i="35"/>
  <c r="AJ17" i="35"/>
  <c r="AI17" i="35"/>
  <c r="AH17" i="35"/>
  <c r="AG17" i="35"/>
  <c r="AF17" i="35"/>
  <c r="AE17" i="35"/>
  <c r="AD17" i="35"/>
  <c r="AC17" i="35"/>
  <c r="AB17" i="35"/>
  <c r="AA17" i="35"/>
  <c r="Z17" i="35"/>
  <c r="Y17" i="35"/>
  <c r="X17" i="35"/>
  <c r="W17" i="35"/>
  <c r="V17" i="35"/>
  <c r="U17" i="35"/>
  <c r="T17" i="35"/>
  <c r="S17" i="35"/>
  <c r="R17" i="35"/>
  <c r="Q17" i="35"/>
  <c r="P17" i="35"/>
  <c r="O17" i="35"/>
  <c r="N17" i="35"/>
  <c r="M17" i="35"/>
  <c r="L17" i="35"/>
  <c r="K17" i="35"/>
  <c r="J17" i="35"/>
  <c r="AX16" i="35"/>
  <c r="AW16" i="35"/>
  <c r="AV16" i="35"/>
  <c r="AU16" i="35"/>
  <c r="AT16" i="35"/>
  <c r="AS16" i="35"/>
  <c r="AR16" i="35"/>
  <c r="AQ16" i="35"/>
  <c r="AP16" i="35"/>
  <c r="AO16" i="35"/>
  <c r="AN16" i="35"/>
  <c r="AM16" i="35"/>
  <c r="AL16" i="35"/>
  <c r="AK16" i="35"/>
  <c r="AJ16" i="35"/>
  <c r="AI16" i="35"/>
  <c r="AH16" i="35"/>
  <c r="AG16" i="35"/>
  <c r="AF16" i="35"/>
  <c r="AE16" i="35"/>
  <c r="AD16" i="35"/>
  <c r="AC16" i="35"/>
  <c r="AB16" i="35"/>
  <c r="AA16" i="35"/>
  <c r="Z16" i="35"/>
  <c r="Y16" i="35"/>
  <c r="X16" i="35"/>
  <c r="W16" i="35"/>
  <c r="V16" i="35"/>
  <c r="U16" i="35"/>
  <c r="T16" i="35"/>
  <c r="S16" i="35"/>
  <c r="R16" i="35"/>
  <c r="Q16" i="35"/>
  <c r="P16" i="35"/>
  <c r="O16" i="35"/>
  <c r="N16" i="35"/>
  <c r="M16" i="35"/>
  <c r="L16" i="35"/>
  <c r="K16" i="35"/>
  <c r="J16" i="35"/>
  <c r="AX15" i="35"/>
  <c r="AW15" i="35"/>
  <c r="AV15" i="35"/>
  <c r="AU15" i="35"/>
  <c r="AT15" i="35"/>
  <c r="AS15" i="35"/>
  <c r="AR15" i="35"/>
  <c r="AQ15" i="35"/>
  <c r="AP15" i="35"/>
  <c r="AO15" i="35"/>
  <c r="AN15" i="35"/>
  <c r="AM15" i="35"/>
  <c r="AL15" i="35"/>
  <c r="AK15" i="35"/>
  <c r="AJ15" i="35"/>
  <c r="AI15" i="35"/>
  <c r="AH15" i="35"/>
  <c r="AG15" i="35"/>
  <c r="AF15" i="35"/>
  <c r="AE15" i="35"/>
  <c r="AD15" i="35"/>
  <c r="AC15" i="35"/>
  <c r="AB15" i="35"/>
  <c r="AA15" i="35"/>
  <c r="Z15" i="35"/>
  <c r="Y15" i="35"/>
  <c r="X15" i="35"/>
  <c r="W15" i="35"/>
  <c r="V15" i="35"/>
  <c r="U15" i="35"/>
  <c r="T15" i="35"/>
  <c r="S15" i="35"/>
  <c r="R15" i="35"/>
  <c r="Q15" i="35"/>
  <c r="P15" i="35"/>
  <c r="O15" i="35"/>
  <c r="N15" i="35"/>
  <c r="M15" i="35"/>
  <c r="L15" i="35"/>
  <c r="K15" i="35"/>
  <c r="J15" i="35"/>
  <c r="AX14" i="35"/>
  <c r="AW14" i="35"/>
  <c r="AV14" i="35"/>
  <c r="AU14" i="35"/>
  <c r="AT14" i="35"/>
  <c r="AS14" i="35"/>
  <c r="AR14" i="35"/>
  <c r="AQ14" i="35"/>
  <c r="AP14" i="35"/>
  <c r="AO14" i="35"/>
  <c r="AN14" i="35"/>
  <c r="AM14" i="35"/>
  <c r="AL14" i="35"/>
  <c r="AK14" i="35"/>
  <c r="AJ14" i="35"/>
  <c r="AI14" i="35"/>
  <c r="AH14" i="35"/>
  <c r="AG14" i="35"/>
  <c r="AF14" i="35"/>
  <c r="AE14" i="35"/>
  <c r="AD14" i="35"/>
  <c r="AC14" i="35"/>
  <c r="AB14" i="35"/>
  <c r="AA14" i="35"/>
  <c r="Z14" i="35"/>
  <c r="Y14" i="35"/>
  <c r="X14" i="35"/>
  <c r="W14" i="35"/>
  <c r="V14" i="35"/>
  <c r="U14" i="35"/>
  <c r="T14" i="35"/>
  <c r="S14" i="35"/>
  <c r="R14" i="35"/>
  <c r="Q14" i="35"/>
  <c r="P14" i="35"/>
  <c r="O14" i="35"/>
  <c r="N14" i="35"/>
  <c r="M14" i="35"/>
  <c r="L14" i="35"/>
  <c r="K14" i="35"/>
  <c r="J14" i="35"/>
  <c r="AX13" i="35"/>
  <c r="AW13" i="35"/>
  <c r="AV13" i="35"/>
  <c r="AU13" i="35"/>
  <c r="AT13" i="35"/>
  <c r="AS13" i="35"/>
  <c r="AR13" i="35"/>
  <c r="AQ13" i="35"/>
  <c r="AP13" i="35"/>
  <c r="AO13" i="35"/>
  <c r="AN13" i="35"/>
  <c r="AM13" i="35"/>
  <c r="AL13" i="35"/>
  <c r="AK13" i="35"/>
  <c r="AJ13" i="35"/>
  <c r="AI13" i="35"/>
  <c r="AH13" i="35"/>
  <c r="AG13" i="35"/>
  <c r="AF13" i="35"/>
  <c r="AE13" i="35"/>
  <c r="AD13" i="35"/>
  <c r="AC13" i="35"/>
  <c r="AB13" i="35"/>
  <c r="AA13" i="35"/>
  <c r="Z13" i="35"/>
  <c r="Y13" i="35"/>
  <c r="X13" i="35"/>
  <c r="W13" i="35"/>
  <c r="V13" i="35"/>
  <c r="U13" i="35"/>
  <c r="T13" i="35"/>
  <c r="S13" i="35"/>
  <c r="R13" i="35"/>
  <c r="Q13" i="35"/>
  <c r="P13" i="35"/>
  <c r="O13" i="35"/>
  <c r="N13" i="35"/>
  <c r="M13" i="35"/>
  <c r="L13" i="35"/>
  <c r="K13" i="35"/>
  <c r="J13" i="35"/>
  <c r="AX12" i="35"/>
  <c r="AW12" i="35"/>
  <c r="AV12" i="35"/>
  <c r="AU12" i="35"/>
  <c r="AT12" i="35"/>
  <c r="AS12" i="35"/>
  <c r="AR12" i="35"/>
  <c r="AQ12" i="35"/>
  <c r="AP12" i="35"/>
  <c r="AO12" i="35"/>
  <c r="AN12" i="35"/>
  <c r="AM12" i="35"/>
  <c r="AL12" i="35"/>
  <c r="AK12" i="35"/>
  <c r="AJ12" i="35"/>
  <c r="AI12" i="35"/>
  <c r="AH12" i="35"/>
  <c r="AG12" i="35"/>
  <c r="AF12" i="35"/>
  <c r="AE12" i="35"/>
  <c r="AD12" i="35"/>
  <c r="AC12" i="35"/>
  <c r="AB12" i="35"/>
  <c r="AA12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AX11" i="35"/>
  <c r="AW11" i="35"/>
  <c r="AV11" i="35"/>
  <c r="AU11" i="35"/>
  <c r="AT11" i="35"/>
  <c r="AS11" i="35"/>
  <c r="AR11" i="35"/>
  <c r="AQ11" i="35"/>
  <c r="AP11" i="35"/>
  <c r="AO11" i="35"/>
  <c r="AN11" i="35"/>
  <c r="AM11" i="35"/>
  <c r="AL11" i="35"/>
  <c r="AK11" i="35"/>
  <c r="AJ11" i="35"/>
  <c r="AI11" i="35"/>
  <c r="AH11" i="35"/>
  <c r="AG11" i="35"/>
  <c r="AF11" i="35"/>
  <c r="AE11" i="35"/>
  <c r="AD11" i="35"/>
  <c r="AC11" i="35"/>
  <c r="AB11" i="35"/>
  <c r="AA11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AX10" i="35"/>
  <c r="AW10" i="35"/>
  <c r="AV10" i="35"/>
  <c r="AU10" i="35"/>
  <c r="AT10" i="35"/>
  <c r="AS10" i="35"/>
  <c r="AR10" i="35"/>
  <c r="AQ10" i="35"/>
  <c r="AP10" i="35"/>
  <c r="AO10" i="35"/>
  <c r="AN10" i="35"/>
  <c r="AM10" i="35"/>
  <c r="AL10" i="35"/>
  <c r="AK10" i="35"/>
  <c r="AJ10" i="35"/>
  <c r="AI10" i="35"/>
  <c r="AH10" i="35"/>
  <c r="AG10" i="35"/>
  <c r="AF10" i="35"/>
  <c r="AE10" i="35"/>
  <c r="AD10" i="35"/>
  <c r="AC10" i="35"/>
  <c r="AB10" i="35"/>
  <c r="AA10" i="35"/>
  <c r="Z10" i="35"/>
  <c r="Y10" i="35"/>
  <c r="X10" i="35"/>
  <c r="W10" i="35"/>
  <c r="V10" i="35"/>
  <c r="U10" i="35"/>
  <c r="T10" i="35"/>
  <c r="S10" i="35"/>
  <c r="R10" i="35"/>
  <c r="Q10" i="35"/>
  <c r="P10" i="35"/>
  <c r="O10" i="35"/>
  <c r="N10" i="35"/>
  <c r="M10" i="35"/>
  <c r="L10" i="35"/>
  <c r="K10" i="35"/>
  <c r="J10" i="35"/>
  <c r="AX36" i="35"/>
  <c r="AW36" i="35"/>
  <c r="AV36" i="35"/>
  <c r="AU36" i="35"/>
  <c r="AT36" i="35"/>
  <c r="AS36" i="35"/>
  <c r="AR36" i="35"/>
  <c r="AQ36" i="35"/>
  <c r="AP36" i="35"/>
  <c r="AO36" i="35"/>
  <c r="AN36" i="35"/>
  <c r="AM36" i="35"/>
  <c r="AL36" i="35"/>
  <c r="AK36" i="35"/>
  <c r="AJ36" i="35"/>
  <c r="AI36" i="35"/>
  <c r="AH36" i="35"/>
  <c r="AG36" i="35"/>
  <c r="AF36" i="35"/>
  <c r="AE36" i="35"/>
  <c r="AD36" i="35"/>
  <c r="AB36" i="35"/>
  <c r="AA36" i="35"/>
  <c r="Z36" i="35"/>
  <c r="Y36" i="35"/>
  <c r="X36" i="35"/>
  <c r="W36" i="35"/>
  <c r="V36" i="35"/>
  <c r="U36" i="35"/>
  <c r="T36" i="35"/>
  <c r="S36" i="35"/>
  <c r="R36" i="35"/>
  <c r="Q36" i="35"/>
  <c r="P36" i="35"/>
  <c r="O36" i="35"/>
  <c r="N36" i="35"/>
  <c r="M36" i="35"/>
  <c r="L36" i="35"/>
  <c r="K36" i="35"/>
  <c r="J36" i="35"/>
  <c r="AX9" i="35"/>
  <c r="AW9" i="35"/>
  <c r="AV9" i="35"/>
  <c r="AU9" i="35"/>
  <c r="AT9" i="35"/>
  <c r="AS9" i="35"/>
  <c r="AR9" i="35"/>
  <c r="AQ9" i="35"/>
  <c r="AP9" i="35"/>
  <c r="AO9" i="35"/>
  <c r="AN9" i="35"/>
  <c r="AM9" i="35"/>
  <c r="AL9" i="35"/>
  <c r="AK9" i="35"/>
  <c r="AJ9" i="35"/>
  <c r="AI9" i="35"/>
  <c r="AH9" i="35"/>
  <c r="AG9" i="35"/>
  <c r="AF9" i="35"/>
  <c r="AE9" i="35"/>
  <c r="AD9" i="35"/>
  <c r="AC9" i="35"/>
  <c r="AB9" i="35"/>
  <c r="AA9" i="35"/>
  <c r="Z9" i="35"/>
  <c r="Y9" i="35"/>
  <c r="X9" i="35"/>
  <c r="W9" i="35"/>
  <c r="V9" i="35"/>
  <c r="U9" i="35"/>
  <c r="T9" i="35"/>
  <c r="S9" i="35"/>
  <c r="R9" i="35"/>
  <c r="Q9" i="35"/>
  <c r="P9" i="35"/>
  <c r="O9" i="35"/>
  <c r="N9" i="35"/>
  <c r="M9" i="35"/>
  <c r="L9" i="35"/>
  <c r="K9" i="35"/>
  <c r="J9" i="35"/>
  <c r="M51" i="43" l="1"/>
  <c r="M54" i="43" s="1"/>
  <c r="M50" i="43"/>
  <c r="Q51" i="43"/>
  <c r="Q54" i="43" s="1"/>
  <c r="Q50" i="43"/>
  <c r="U51" i="43"/>
  <c r="U54" i="43" s="1"/>
  <c r="U50" i="43"/>
  <c r="Y51" i="43"/>
  <c r="Y54" i="43" s="1"/>
  <c r="Y50" i="43"/>
  <c r="AC51" i="43"/>
  <c r="AC54" i="43" s="1"/>
  <c r="AC50" i="43"/>
  <c r="AG51" i="43"/>
  <c r="AG54" i="43" s="1"/>
  <c r="AG50" i="43"/>
  <c r="AK51" i="43"/>
  <c r="AK54" i="43" s="1"/>
  <c r="AK50" i="43"/>
  <c r="AO51" i="43"/>
  <c r="AO54" i="43" s="1"/>
  <c r="AO50" i="43"/>
  <c r="AS51" i="43"/>
  <c r="AS54" i="43" s="1"/>
  <c r="AS50" i="43"/>
  <c r="AW51" i="43"/>
  <c r="AW54" i="43" s="1"/>
  <c r="AW50" i="43"/>
  <c r="J51" i="43"/>
  <c r="J50" i="43"/>
  <c r="N51" i="43"/>
  <c r="N54" i="43" s="1"/>
  <c r="N50" i="43"/>
  <c r="R51" i="43"/>
  <c r="R54" i="43" s="1"/>
  <c r="R50" i="43"/>
  <c r="V51" i="43"/>
  <c r="V54" i="43" s="1"/>
  <c r="V50" i="43"/>
  <c r="Z51" i="43"/>
  <c r="Z54" i="43" s="1"/>
  <c r="Z50" i="43"/>
  <c r="AD51" i="43"/>
  <c r="AD54" i="43" s="1"/>
  <c r="AD50" i="43"/>
  <c r="AH51" i="43"/>
  <c r="AH54" i="43" s="1"/>
  <c r="AH50" i="43"/>
  <c r="AL51" i="43"/>
  <c r="AL54" i="43" s="1"/>
  <c r="AL50" i="43"/>
  <c r="AP51" i="43"/>
  <c r="AP54" i="43" s="1"/>
  <c r="AP50" i="43"/>
  <c r="AT51" i="43"/>
  <c r="AT54" i="43" s="1"/>
  <c r="AT50" i="43"/>
  <c r="K50" i="43"/>
  <c r="K51" i="43"/>
  <c r="K54" i="43" s="1"/>
  <c r="O50" i="43"/>
  <c r="O51" i="43"/>
  <c r="O54" i="43" s="1"/>
  <c r="S50" i="43"/>
  <c r="S51" i="43"/>
  <c r="S54" i="43" s="1"/>
  <c r="W50" i="43"/>
  <c r="W51" i="43"/>
  <c r="W54" i="43" s="1"/>
  <c r="AA50" i="43"/>
  <c r="AA51" i="43"/>
  <c r="AA54" i="43" s="1"/>
  <c r="AE50" i="43"/>
  <c r="AE51" i="43"/>
  <c r="AE54" i="43" s="1"/>
  <c r="AI50" i="43"/>
  <c r="AI51" i="43"/>
  <c r="AI54" i="43" s="1"/>
  <c r="AM50" i="43"/>
  <c r="AM51" i="43"/>
  <c r="AM54" i="43" s="1"/>
  <c r="AQ50" i="43"/>
  <c r="AQ51" i="43"/>
  <c r="AQ54" i="43" s="1"/>
  <c r="AU50" i="43"/>
  <c r="AU51" i="43"/>
  <c r="AU54" i="43" s="1"/>
  <c r="L51" i="43"/>
  <c r="L54" i="43" s="1"/>
  <c r="L50" i="43"/>
  <c r="P51" i="43"/>
  <c r="P54" i="43" s="1"/>
  <c r="P50" i="43"/>
  <c r="T51" i="43"/>
  <c r="T54" i="43" s="1"/>
  <c r="T50" i="43"/>
  <c r="X51" i="43"/>
  <c r="X54" i="43" s="1"/>
  <c r="X50" i="43"/>
  <c r="AB51" i="43"/>
  <c r="AB54" i="43" s="1"/>
  <c r="AB50" i="43"/>
  <c r="AF51" i="43"/>
  <c r="AF54" i="43" s="1"/>
  <c r="AF50" i="43"/>
  <c r="AJ51" i="43"/>
  <c r="AJ54" i="43" s="1"/>
  <c r="AJ50" i="43"/>
  <c r="AN51" i="43"/>
  <c r="AN54" i="43" s="1"/>
  <c r="AN50" i="43"/>
  <c r="AR51" i="43"/>
  <c r="AR54" i="43" s="1"/>
  <c r="AR50" i="43"/>
  <c r="AV51" i="43"/>
  <c r="AV54" i="43" s="1"/>
  <c r="AV50" i="43"/>
  <c r="Y60" i="37"/>
  <c r="Y63" i="37" s="1"/>
  <c r="Y59" i="37"/>
  <c r="R59" i="37"/>
  <c r="R60" i="37"/>
  <c r="R63" i="37" s="1"/>
  <c r="AD59" i="37"/>
  <c r="AD60" i="37"/>
  <c r="AD63" i="37" s="1"/>
  <c r="AL59" i="37"/>
  <c r="AL60" i="37"/>
  <c r="AL63" i="37" s="1"/>
  <c r="K60" i="37"/>
  <c r="K63" i="37" s="1"/>
  <c r="K59" i="37"/>
  <c r="O60" i="37"/>
  <c r="O63" i="37" s="1"/>
  <c r="O59" i="37"/>
  <c r="S60" i="37"/>
  <c r="S63" i="37" s="1"/>
  <c r="S59" i="37"/>
  <c r="W60" i="37"/>
  <c r="W63" i="37" s="1"/>
  <c r="W59" i="37"/>
  <c r="AA60" i="37"/>
  <c r="AA63" i="37" s="1"/>
  <c r="AA59" i="37"/>
  <c r="AE60" i="37"/>
  <c r="AE63" i="37" s="1"/>
  <c r="AE59" i="37"/>
  <c r="AI60" i="37"/>
  <c r="AI63" i="37" s="1"/>
  <c r="AI59" i="37"/>
  <c r="AM60" i="37"/>
  <c r="AM63" i="37" s="1"/>
  <c r="AM59" i="37"/>
  <c r="AQ60" i="37"/>
  <c r="AQ63" i="37" s="1"/>
  <c r="AQ59" i="37"/>
  <c r="AU60" i="37"/>
  <c r="AU63" i="37" s="1"/>
  <c r="AU59" i="37"/>
  <c r="U60" i="37"/>
  <c r="U63" i="37" s="1"/>
  <c r="U59" i="37"/>
  <c r="N59" i="37"/>
  <c r="N60" i="37"/>
  <c r="N63" i="37" s="1"/>
  <c r="Z59" i="37"/>
  <c r="Z60" i="37"/>
  <c r="Z63" i="37" s="1"/>
  <c r="AH59" i="37"/>
  <c r="AH60" i="37"/>
  <c r="AH63" i="37" s="1"/>
  <c r="L60" i="37"/>
  <c r="L63" i="37" s="1"/>
  <c r="L59" i="37"/>
  <c r="P60" i="37"/>
  <c r="P63" i="37" s="1"/>
  <c r="P59" i="37"/>
  <c r="T60" i="37"/>
  <c r="T63" i="37" s="1"/>
  <c r="T59" i="37"/>
  <c r="X60" i="37"/>
  <c r="X63" i="37" s="1"/>
  <c r="X59" i="37"/>
  <c r="AB60" i="37"/>
  <c r="AB63" i="37" s="1"/>
  <c r="AB59" i="37"/>
  <c r="AF60" i="37"/>
  <c r="AF63" i="37" s="1"/>
  <c r="AF59" i="37"/>
  <c r="AJ60" i="37"/>
  <c r="AJ63" i="37" s="1"/>
  <c r="AJ59" i="37"/>
  <c r="AN60" i="37"/>
  <c r="AN63" i="37" s="1"/>
  <c r="AN59" i="37"/>
  <c r="AR60" i="37"/>
  <c r="AR63" i="37" s="1"/>
  <c r="AR59" i="37"/>
  <c r="AV60" i="37"/>
  <c r="AV63" i="37" s="1"/>
  <c r="AV59" i="37"/>
  <c r="Q60" i="37"/>
  <c r="Q63" i="37" s="1"/>
  <c r="Q59" i="37"/>
  <c r="AC60" i="37"/>
  <c r="AC63" i="37" s="1"/>
  <c r="AC59" i="37"/>
  <c r="AG60" i="37"/>
  <c r="AG63" i="37" s="1"/>
  <c r="AG59" i="37"/>
  <c r="AK60" i="37"/>
  <c r="AK63" i="37" s="1"/>
  <c r="AK59" i="37"/>
  <c r="AO60" i="37"/>
  <c r="AO63" i="37" s="1"/>
  <c r="AO59" i="37"/>
  <c r="AS60" i="37"/>
  <c r="AS63" i="37" s="1"/>
  <c r="AS59" i="37"/>
  <c r="AW60" i="37"/>
  <c r="AW63" i="37" s="1"/>
  <c r="AW59" i="37"/>
  <c r="M60" i="37"/>
  <c r="M63" i="37" s="1"/>
  <c r="M59" i="37"/>
  <c r="J60" i="37"/>
  <c r="J59" i="37"/>
  <c r="V59" i="37"/>
  <c r="V60" i="37"/>
  <c r="V63" i="37" s="1"/>
  <c r="AP59" i="37"/>
  <c r="AP60" i="37"/>
  <c r="AP63" i="37" s="1"/>
  <c r="AT59" i="37"/>
  <c r="AT60" i="37"/>
  <c r="AT63" i="37" s="1"/>
  <c r="U63" i="39"/>
  <c r="U64" i="39"/>
  <c r="U67" i="39" s="1"/>
  <c r="AG63" i="39"/>
  <c r="AG64" i="39"/>
  <c r="AG67" i="39" s="1"/>
  <c r="J64" i="39"/>
  <c r="J63" i="39"/>
  <c r="N64" i="39"/>
  <c r="N67" i="39" s="1"/>
  <c r="N63" i="39"/>
  <c r="R64" i="39"/>
  <c r="R67" i="39" s="1"/>
  <c r="R63" i="39"/>
  <c r="V64" i="39"/>
  <c r="V67" i="39" s="1"/>
  <c r="V63" i="39"/>
  <c r="Z64" i="39"/>
  <c r="Z67" i="39" s="1"/>
  <c r="Z63" i="39"/>
  <c r="AD64" i="39"/>
  <c r="AD67" i="39" s="1"/>
  <c r="AD63" i="39"/>
  <c r="AH64" i="39"/>
  <c r="AH67" i="39" s="1"/>
  <c r="AH63" i="39"/>
  <c r="AL64" i="39"/>
  <c r="AL67" i="39" s="1"/>
  <c r="AL63" i="39"/>
  <c r="AP64" i="39"/>
  <c r="AP67" i="39" s="1"/>
  <c r="AP63" i="39"/>
  <c r="AT64" i="39"/>
  <c r="AT67" i="39" s="1"/>
  <c r="AT63" i="39"/>
  <c r="Y63" i="39"/>
  <c r="Y64" i="39"/>
  <c r="Y67" i="39" s="1"/>
  <c r="AO63" i="39"/>
  <c r="AO64" i="39"/>
  <c r="AO67" i="39" s="1"/>
  <c r="AW63" i="39"/>
  <c r="AW64" i="39"/>
  <c r="AW67" i="39" s="1"/>
  <c r="O64" i="39"/>
  <c r="O67" i="39" s="1"/>
  <c r="O63" i="39"/>
  <c r="W64" i="39"/>
  <c r="W67" i="39" s="1"/>
  <c r="W63" i="39"/>
  <c r="AI64" i="39"/>
  <c r="AI67" i="39" s="1"/>
  <c r="AI63" i="39"/>
  <c r="M63" i="39"/>
  <c r="M64" i="39"/>
  <c r="M67" i="39" s="1"/>
  <c r="AC63" i="39"/>
  <c r="AC64" i="39"/>
  <c r="AC67" i="39" s="1"/>
  <c r="AS63" i="39"/>
  <c r="AS64" i="39"/>
  <c r="AS67" i="39" s="1"/>
  <c r="K64" i="39"/>
  <c r="K67" i="39" s="1"/>
  <c r="K63" i="39"/>
  <c r="S64" i="39"/>
  <c r="S67" i="39" s="1"/>
  <c r="S63" i="39"/>
  <c r="AA64" i="39"/>
  <c r="AA67" i="39" s="1"/>
  <c r="AA63" i="39"/>
  <c r="AE64" i="39"/>
  <c r="AE67" i="39" s="1"/>
  <c r="AE63" i="39"/>
  <c r="AM64" i="39"/>
  <c r="AM67" i="39" s="1"/>
  <c r="AM63" i="39"/>
  <c r="AQ64" i="39"/>
  <c r="AQ67" i="39" s="1"/>
  <c r="AQ63" i="39"/>
  <c r="AU64" i="39"/>
  <c r="AU67" i="39" s="1"/>
  <c r="AU63" i="39"/>
  <c r="L64" i="39"/>
  <c r="L67" i="39" s="1"/>
  <c r="L63" i="39"/>
  <c r="P64" i="39"/>
  <c r="P67" i="39" s="1"/>
  <c r="P63" i="39"/>
  <c r="T64" i="39"/>
  <c r="T67" i="39" s="1"/>
  <c r="T63" i="39"/>
  <c r="X64" i="39"/>
  <c r="X67" i="39" s="1"/>
  <c r="X63" i="39"/>
  <c r="AB64" i="39"/>
  <c r="AB67" i="39" s="1"/>
  <c r="AB63" i="39"/>
  <c r="AF64" i="39"/>
  <c r="AF67" i="39" s="1"/>
  <c r="AF63" i="39"/>
  <c r="AJ64" i="39"/>
  <c r="AJ67" i="39" s="1"/>
  <c r="AJ63" i="39"/>
  <c r="AN64" i="39"/>
  <c r="AN67" i="39" s="1"/>
  <c r="AN63" i="39"/>
  <c r="AR64" i="39"/>
  <c r="AR67" i="39" s="1"/>
  <c r="AR63" i="39"/>
  <c r="AV64" i="39"/>
  <c r="AV67" i="39" s="1"/>
  <c r="AV63" i="39"/>
  <c r="Q63" i="39"/>
  <c r="Q64" i="39"/>
  <c r="Q67" i="39" s="1"/>
  <c r="AK63" i="39"/>
  <c r="AK64" i="39"/>
  <c r="AK67" i="39" s="1"/>
  <c r="S60" i="34"/>
  <c r="S59" i="34"/>
  <c r="AE60" i="34"/>
  <c r="AE63" i="34" s="1"/>
  <c r="AE59" i="34"/>
  <c r="AQ60" i="34"/>
  <c r="AQ63" i="34" s="1"/>
  <c r="AQ59" i="34"/>
  <c r="AU60" i="34"/>
  <c r="AU63" i="34" s="1"/>
  <c r="AU59" i="34"/>
  <c r="K60" i="34"/>
  <c r="K59" i="34"/>
  <c r="W60" i="34"/>
  <c r="W59" i="34"/>
  <c r="AI60" i="34"/>
  <c r="AI59" i="34"/>
  <c r="L59" i="34"/>
  <c r="L60" i="34"/>
  <c r="L63" i="34" s="1"/>
  <c r="P59" i="34"/>
  <c r="P60" i="34"/>
  <c r="P63" i="34" s="1"/>
  <c r="T59" i="34"/>
  <c r="T60" i="34"/>
  <c r="T63" i="34" s="1"/>
  <c r="X59" i="34"/>
  <c r="X60" i="34"/>
  <c r="X63" i="34" s="1"/>
  <c r="AB59" i="34"/>
  <c r="AB60" i="34"/>
  <c r="AB63" i="34" s="1"/>
  <c r="AF59" i="34"/>
  <c r="AF60" i="34"/>
  <c r="AF63" i="34" s="1"/>
  <c r="AJ59" i="34"/>
  <c r="AJ60" i="34"/>
  <c r="AJ63" i="34" s="1"/>
  <c r="AN59" i="34"/>
  <c r="AN60" i="34"/>
  <c r="AN63" i="34" s="1"/>
  <c r="AR59" i="34"/>
  <c r="AR60" i="34"/>
  <c r="AR63" i="34" s="1"/>
  <c r="AV59" i="34"/>
  <c r="AV60" i="34"/>
  <c r="AV63" i="34" s="1"/>
  <c r="O60" i="34"/>
  <c r="O63" i="34" s="1"/>
  <c r="O59" i="34"/>
  <c r="AA60" i="34"/>
  <c r="AA59" i="34"/>
  <c r="AM60" i="34"/>
  <c r="AM63" i="34" s="1"/>
  <c r="AM59" i="34"/>
  <c r="M60" i="34"/>
  <c r="M63" i="34" s="1"/>
  <c r="M59" i="34"/>
  <c r="Q60" i="34"/>
  <c r="Q63" i="34" s="1"/>
  <c r="Q59" i="34"/>
  <c r="U60" i="34"/>
  <c r="U59" i="34"/>
  <c r="Y60" i="34"/>
  <c r="Y63" i="34" s="1"/>
  <c r="Y59" i="34"/>
  <c r="AC60" i="34"/>
  <c r="AC63" i="34" s="1"/>
  <c r="AC59" i="34"/>
  <c r="AG60" i="34"/>
  <c r="AG63" i="34" s="1"/>
  <c r="AG59" i="34"/>
  <c r="AK60" i="34"/>
  <c r="AK63" i="34" s="1"/>
  <c r="AK59" i="34"/>
  <c r="AO60" i="34"/>
  <c r="AO63" i="34" s="1"/>
  <c r="AO59" i="34"/>
  <c r="AS60" i="34"/>
  <c r="AS63" i="34" s="1"/>
  <c r="AS59" i="34"/>
  <c r="AW60" i="34"/>
  <c r="AW63" i="34" s="1"/>
  <c r="AW59" i="34"/>
  <c r="J60" i="34"/>
  <c r="J59" i="34"/>
  <c r="N60" i="34"/>
  <c r="N63" i="34" s="1"/>
  <c r="N59" i="34"/>
  <c r="R60" i="34"/>
  <c r="R63" i="34" s="1"/>
  <c r="R59" i="34"/>
  <c r="V60" i="34"/>
  <c r="V63" i="34" s="1"/>
  <c r="V59" i="34"/>
  <c r="Z60" i="34"/>
  <c r="Z63" i="34" s="1"/>
  <c r="Z59" i="34"/>
  <c r="AD60" i="34"/>
  <c r="AD63" i="34" s="1"/>
  <c r="AD59" i="34"/>
  <c r="AH60" i="34"/>
  <c r="AH63" i="34" s="1"/>
  <c r="AH59" i="34"/>
  <c r="AL60" i="34"/>
  <c r="AL63" i="34" s="1"/>
  <c r="AL59" i="34"/>
  <c r="AP60" i="34"/>
  <c r="AP63" i="34" s="1"/>
  <c r="AP59" i="34"/>
  <c r="AT60" i="34"/>
  <c r="AT63" i="34" s="1"/>
  <c r="AT59" i="34"/>
  <c r="N59" i="35"/>
  <c r="N62" i="35" s="1"/>
  <c r="N58" i="35"/>
  <c r="K59" i="35"/>
  <c r="K62" i="35" s="1"/>
  <c r="K58" i="35"/>
  <c r="O59" i="35"/>
  <c r="O62" i="35" s="1"/>
  <c r="O58" i="35"/>
  <c r="S59" i="35"/>
  <c r="S62" i="35" s="1"/>
  <c r="S58" i="35"/>
  <c r="W59" i="35"/>
  <c r="W62" i="35" s="1"/>
  <c r="W58" i="35"/>
  <c r="AA59" i="35"/>
  <c r="AA62" i="35" s="1"/>
  <c r="AA58" i="35"/>
  <c r="AE59" i="35"/>
  <c r="AE62" i="35" s="1"/>
  <c r="AE58" i="35"/>
  <c r="AI59" i="35"/>
  <c r="AI62" i="35" s="1"/>
  <c r="AI58" i="35"/>
  <c r="AM59" i="35"/>
  <c r="AM62" i="35" s="1"/>
  <c r="AM58" i="35"/>
  <c r="AQ59" i="35"/>
  <c r="AQ62" i="35" s="1"/>
  <c r="AQ58" i="35"/>
  <c r="AU59" i="35"/>
  <c r="AU62" i="35" s="1"/>
  <c r="AU58" i="35"/>
  <c r="P59" i="35"/>
  <c r="P62" i="35" s="1"/>
  <c r="P58" i="35"/>
  <c r="X59" i="35"/>
  <c r="X62" i="35" s="1"/>
  <c r="X58" i="35"/>
  <c r="AB59" i="35"/>
  <c r="AB62" i="35" s="1"/>
  <c r="AB58" i="35"/>
  <c r="AF59" i="35"/>
  <c r="AF62" i="35" s="1"/>
  <c r="AF58" i="35"/>
  <c r="AJ59" i="35"/>
  <c r="AJ62" i="35" s="1"/>
  <c r="AJ58" i="35"/>
  <c r="AN59" i="35"/>
  <c r="AN62" i="35" s="1"/>
  <c r="AN58" i="35"/>
  <c r="AR59" i="35"/>
  <c r="AR62" i="35" s="1"/>
  <c r="AR58" i="35"/>
  <c r="AV59" i="35"/>
  <c r="AV62" i="35" s="1"/>
  <c r="AV58" i="35"/>
  <c r="L59" i="35"/>
  <c r="L62" i="35" s="1"/>
  <c r="L58" i="35"/>
  <c r="T59" i="35"/>
  <c r="T62" i="35" s="1"/>
  <c r="T58" i="35"/>
  <c r="M59" i="35"/>
  <c r="M62" i="35" s="1"/>
  <c r="M58" i="35"/>
  <c r="Q59" i="35"/>
  <c r="Q62" i="35" s="1"/>
  <c r="Q58" i="35"/>
  <c r="U59" i="35"/>
  <c r="U62" i="35" s="1"/>
  <c r="U58" i="35"/>
  <c r="Y59" i="35"/>
  <c r="Y62" i="35" s="1"/>
  <c r="Y58" i="35"/>
  <c r="AC59" i="35"/>
  <c r="AC62" i="35" s="1"/>
  <c r="AC58" i="35"/>
  <c r="AG59" i="35"/>
  <c r="AG62" i="35" s="1"/>
  <c r="AG58" i="35"/>
  <c r="AK59" i="35"/>
  <c r="AK62" i="35" s="1"/>
  <c r="AK58" i="35"/>
  <c r="AO59" i="35"/>
  <c r="AO62" i="35" s="1"/>
  <c r="AO58" i="35"/>
  <c r="AS59" i="35"/>
  <c r="AS62" i="35" s="1"/>
  <c r="AS58" i="35"/>
  <c r="AW59" i="35"/>
  <c r="AW62" i="35" s="1"/>
  <c r="AW58" i="35"/>
  <c r="J59" i="35"/>
  <c r="J58" i="35"/>
  <c r="R59" i="35"/>
  <c r="R62" i="35" s="1"/>
  <c r="R58" i="35"/>
  <c r="V59" i="35"/>
  <c r="V62" i="35" s="1"/>
  <c r="V58" i="35"/>
  <c r="Z59" i="35"/>
  <c r="Z62" i="35" s="1"/>
  <c r="Z58" i="35"/>
  <c r="AD59" i="35"/>
  <c r="AD62" i="35" s="1"/>
  <c r="AD58" i="35"/>
  <c r="AH59" i="35"/>
  <c r="AH62" i="35" s="1"/>
  <c r="AH58" i="35"/>
  <c r="AL59" i="35"/>
  <c r="AL62" i="35" s="1"/>
  <c r="AL58" i="35"/>
  <c r="AP59" i="35"/>
  <c r="AP62" i="35" s="1"/>
  <c r="AP58" i="35"/>
  <c r="AT59" i="35"/>
  <c r="AT62" i="35" s="1"/>
  <c r="AT58" i="35"/>
  <c r="K63" i="34"/>
  <c r="S63" i="34"/>
  <c r="W63" i="34"/>
  <c r="AA63" i="34"/>
  <c r="AI63" i="34"/>
  <c r="U63" i="34"/>
  <c r="G29" i="31"/>
  <c r="G49" i="35"/>
  <c r="G34" i="37"/>
  <c r="G15" i="37"/>
  <c r="G19" i="37"/>
  <c r="G23" i="37"/>
  <c r="G27" i="37"/>
  <c r="G31" i="37"/>
  <c r="G36" i="39"/>
  <c r="G15" i="39"/>
  <c r="G19" i="39"/>
  <c r="G23" i="39"/>
  <c r="G28" i="39"/>
  <c r="G33" i="39"/>
  <c r="G32" i="39"/>
  <c r="G27" i="39"/>
  <c r="G44" i="39"/>
  <c r="G10" i="43"/>
  <c r="G14" i="43"/>
  <c r="G18" i="43"/>
  <c r="G22" i="43"/>
  <c r="G27" i="43"/>
  <c r="G32" i="43"/>
  <c r="G36" i="43"/>
  <c r="G38" i="43"/>
  <c r="G11" i="43"/>
  <c r="G15" i="43"/>
  <c r="G20" i="43"/>
  <c r="G23" i="43"/>
  <c r="G28" i="43"/>
  <c r="G34" i="43"/>
  <c r="G37" i="43"/>
  <c r="G40" i="43"/>
  <c r="G12" i="43"/>
  <c r="G16" i="43"/>
  <c r="G19" i="43"/>
  <c r="G25" i="43"/>
  <c r="G29" i="43"/>
  <c r="G33" i="43"/>
  <c r="G24" i="43"/>
  <c r="G41" i="43"/>
  <c r="G9" i="43"/>
  <c r="G13" i="43"/>
  <c r="G17" i="43"/>
  <c r="G21" i="43"/>
  <c r="G26" i="43"/>
  <c r="G31" i="43"/>
  <c r="G35" i="43"/>
  <c r="G39" i="43"/>
  <c r="G17" i="41"/>
  <c r="G21" i="41"/>
  <c r="G25" i="41"/>
  <c r="G29" i="41"/>
  <c r="G32" i="41"/>
  <c r="G37" i="41"/>
  <c r="G9" i="41"/>
  <c r="G13" i="41"/>
  <c r="G40" i="41"/>
  <c r="G12" i="41"/>
  <c r="G14" i="41"/>
  <c r="G18" i="41"/>
  <c r="G22" i="41"/>
  <c r="G26" i="41"/>
  <c r="G31" i="41"/>
  <c r="G35" i="41"/>
  <c r="G36" i="41"/>
  <c r="G11" i="41"/>
  <c r="G15" i="41"/>
  <c r="G19" i="41"/>
  <c r="G23" i="41"/>
  <c r="G27" i="41"/>
  <c r="G30" i="41"/>
  <c r="G34" i="41"/>
  <c r="G38" i="41"/>
  <c r="G10" i="41"/>
  <c r="G16" i="41"/>
  <c r="G20" i="41"/>
  <c r="G24" i="41"/>
  <c r="G28" i="41"/>
  <c r="G41" i="41"/>
  <c r="G33" i="41"/>
  <c r="G39" i="41"/>
  <c r="G9" i="37"/>
  <c r="G12" i="37"/>
  <c r="G16" i="37"/>
  <c r="G20" i="37"/>
  <c r="G24" i="37"/>
  <c r="G28" i="37"/>
  <c r="G33" i="37"/>
  <c r="G47" i="37"/>
  <c r="G41" i="37"/>
  <c r="G39" i="37"/>
  <c r="G48" i="37"/>
  <c r="G10" i="37"/>
  <c r="G13" i="37"/>
  <c r="G17" i="37"/>
  <c r="G21" i="37"/>
  <c r="G25" i="37"/>
  <c r="G29" i="37"/>
  <c r="G46" i="37"/>
  <c r="G43" i="37"/>
  <c r="G38" i="37"/>
  <c r="G32" i="37"/>
  <c r="G11" i="37"/>
  <c r="G14" i="37"/>
  <c r="G18" i="37"/>
  <c r="G22" i="37"/>
  <c r="G26" i="37"/>
  <c r="G30" i="37"/>
  <c r="G45" i="37"/>
  <c r="G42" i="37"/>
  <c r="G37" i="37"/>
  <c r="G35" i="37"/>
  <c r="G44" i="37"/>
  <c r="G40" i="37"/>
  <c r="G36" i="37"/>
  <c r="G9" i="39"/>
  <c r="G12" i="39"/>
  <c r="G16" i="39"/>
  <c r="G20" i="39"/>
  <c r="G24" i="39"/>
  <c r="G29" i="39"/>
  <c r="G35" i="39"/>
  <c r="G38" i="39"/>
  <c r="G42" i="39"/>
  <c r="G45" i="39"/>
  <c r="G13" i="39"/>
  <c r="G17" i="39"/>
  <c r="G21" i="39"/>
  <c r="G25" i="39"/>
  <c r="G30" i="39"/>
  <c r="G34" i="39"/>
  <c r="G39" i="39"/>
  <c r="G43" i="39"/>
  <c r="G46" i="39"/>
  <c r="G10" i="39"/>
  <c r="G11" i="39"/>
  <c r="G14" i="39"/>
  <c r="G18" i="39"/>
  <c r="G22" i="39"/>
  <c r="G26" i="39"/>
  <c r="G31" i="39"/>
  <c r="G37" i="39"/>
  <c r="G41" i="39"/>
  <c r="G40" i="39"/>
  <c r="G47" i="39"/>
  <c r="G16" i="33"/>
  <c r="G12" i="33"/>
  <c r="G20" i="33"/>
  <c r="G25" i="33"/>
  <c r="G29" i="33"/>
  <c r="G41" i="33"/>
  <c r="G35" i="33"/>
  <c r="G39" i="33"/>
  <c r="G11" i="33"/>
  <c r="G15" i="33"/>
  <c r="G19" i="33"/>
  <c r="G23" i="33"/>
  <c r="G28" i="33"/>
  <c r="G33" i="33"/>
  <c r="G37" i="33"/>
  <c r="G40" i="33"/>
  <c r="G34" i="33"/>
  <c r="G24" i="33"/>
  <c r="G9" i="33"/>
  <c r="G13" i="33"/>
  <c r="G17" i="33"/>
  <c r="G21" i="33"/>
  <c r="G26" i="33"/>
  <c r="G31" i="33"/>
  <c r="G10" i="33"/>
  <c r="G14" i="33"/>
  <c r="G18" i="33"/>
  <c r="G22" i="33"/>
  <c r="G27" i="33"/>
  <c r="G32" i="33"/>
  <c r="G36" i="33"/>
  <c r="G38" i="33"/>
  <c r="G9" i="31"/>
  <c r="G13" i="31"/>
  <c r="G17" i="31"/>
  <c r="G21" i="31"/>
  <c r="G25" i="31"/>
  <c r="G31" i="31"/>
  <c r="G36" i="31"/>
  <c r="G39" i="31"/>
  <c r="G10" i="31"/>
  <c r="G14" i="31"/>
  <c r="G18" i="31"/>
  <c r="G22" i="31"/>
  <c r="G26" i="31"/>
  <c r="G30" i="31"/>
  <c r="G32" i="31"/>
  <c r="G35" i="31"/>
  <c r="G12" i="31"/>
  <c r="G15" i="31"/>
  <c r="G19" i="31"/>
  <c r="G23" i="31"/>
  <c r="G27" i="31"/>
  <c r="G34" i="31"/>
  <c r="G37" i="31"/>
  <c r="G11" i="31"/>
  <c r="G16" i="31"/>
  <c r="G20" i="31"/>
  <c r="G24" i="31"/>
  <c r="G28" i="31"/>
  <c r="G40" i="31"/>
  <c r="G33" i="31"/>
  <c r="G38" i="31"/>
  <c r="G10" i="34"/>
  <c r="G13" i="34"/>
  <c r="G17" i="34"/>
  <c r="G21" i="34"/>
  <c r="G25" i="34"/>
  <c r="G29" i="34"/>
  <c r="G35" i="34"/>
  <c r="G37" i="34"/>
  <c r="G42" i="34"/>
  <c r="G45" i="34"/>
  <c r="G47" i="34"/>
  <c r="G9" i="34"/>
  <c r="G12" i="34"/>
  <c r="G16" i="34"/>
  <c r="G20" i="34"/>
  <c r="G24" i="34"/>
  <c r="G28" i="34"/>
  <c r="G33" i="34"/>
  <c r="G36" i="34"/>
  <c r="G40" i="34"/>
  <c r="G44" i="34"/>
  <c r="G11" i="34"/>
  <c r="G14" i="34"/>
  <c r="G18" i="34"/>
  <c r="G22" i="34"/>
  <c r="G26" i="34"/>
  <c r="G30" i="34"/>
  <c r="G32" i="34"/>
  <c r="G38" i="34"/>
  <c r="G43" i="34"/>
  <c r="G46" i="34"/>
  <c r="G34" i="34"/>
  <c r="G15" i="34"/>
  <c r="G19" i="34"/>
  <c r="G23" i="34"/>
  <c r="G27" i="34"/>
  <c r="G31" i="34"/>
  <c r="G48" i="34"/>
  <c r="G39" i="34"/>
  <c r="G41" i="34"/>
  <c r="G24" i="35"/>
  <c r="G29" i="35"/>
  <c r="G34" i="35"/>
  <c r="G38" i="35"/>
  <c r="G27" i="35"/>
  <c r="G45" i="35"/>
  <c r="G13" i="35"/>
  <c r="G17" i="35"/>
  <c r="G21" i="35"/>
  <c r="G9" i="35"/>
  <c r="G25" i="35"/>
  <c r="G30" i="35"/>
  <c r="G35" i="35"/>
  <c r="G39" i="35"/>
  <c r="G43" i="35"/>
  <c r="G46" i="35"/>
  <c r="G47" i="35"/>
  <c r="G36" i="35"/>
  <c r="G10" i="35"/>
  <c r="G14" i="35"/>
  <c r="G18" i="35"/>
  <c r="G22" i="35"/>
  <c r="G26" i="35"/>
  <c r="G31" i="35"/>
  <c r="G37" i="35"/>
  <c r="G41" i="35"/>
  <c r="G40" i="35"/>
  <c r="G11" i="35"/>
  <c r="G15" i="35"/>
  <c r="G19" i="35"/>
  <c r="G23" i="35"/>
  <c r="G28" i="35"/>
  <c r="G33" i="35"/>
  <c r="G48" i="35"/>
  <c r="G42" i="35"/>
  <c r="G44" i="35"/>
  <c r="G12" i="35"/>
  <c r="G16" i="35"/>
  <c r="G20" i="35"/>
  <c r="G32" i="35"/>
  <c r="AX46" i="36"/>
  <c r="AW46" i="36"/>
  <c r="AV46" i="36"/>
  <c r="AU46" i="36"/>
  <c r="AT46" i="36"/>
  <c r="AS46" i="36"/>
  <c r="AR46" i="36"/>
  <c r="AQ46" i="36"/>
  <c r="AP46" i="36"/>
  <c r="AO46" i="36"/>
  <c r="AN46" i="36"/>
  <c r="AM46" i="36"/>
  <c r="AL46" i="36"/>
  <c r="AK46" i="36"/>
  <c r="AJ46" i="36"/>
  <c r="AI46" i="36"/>
  <c r="AH46" i="36"/>
  <c r="AG46" i="36"/>
  <c r="AF46" i="36"/>
  <c r="AE46" i="36"/>
  <c r="AD46" i="36"/>
  <c r="AC46" i="36"/>
  <c r="AB46" i="36"/>
  <c r="AA46" i="36"/>
  <c r="Z46" i="36"/>
  <c r="Y46" i="36"/>
  <c r="X46" i="36"/>
  <c r="W46" i="36"/>
  <c r="V46" i="36"/>
  <c r="U46" i="36"/>
  <c r="T46" i="36"/>
  <c r="S46" i="36"/>
  <c r="R46" i="36"/>
  <c r="Q46" i="36"/>
  <c r="P46" i="36"/>
  <c r="O46" i="36"/>
  <c r="N46" i="36"/>
  <c r="M46" i="36"/>
  <c r="L46" i="36"/>
  <c r="K46" i="36"/>
  <c r="J46" i="36"/>
  <c r="AX45" i="36"/>
  <c r="AW45" i="36"/>
  <c r="AV45" i="36"/>
  <c r="AU45" i="36"/>
  <c r="AT45" i="36"/>
  <c r="AS45" i="36"/>
  <c r="AR45" i="36"/>
  <c r="AQ45" i="36"/>
  <c r="AP45" i="36"/>
  <c r="AO45" i="36"/>
  <c r="AN45" i="36"/>
  <c r="AM45" i="36"/>
  <c r="AL45" i="36"/>
  <c r="AK45" i="36"/>
  <c r="AJ45" i="36"/>
  <c r="AI45" i="36"/>
  <c r="AH45" i="36"/>
  <c r="AG45" i="36"/>
  <c r="AF45" i="36"/>
  <c r="AE45" i="36"/>
  <c r="AD45" i="36"/>
  <c r="AC45" i="36"/>
  <c r="AB45" i="36"/>
  <c r="AA45" i="36"/>
  <c r="Z45" i="36"/>
  <c r="Y45" i="36"/>
  <c r="X45" i="36"/>
  <c r="W45" i="36"/>
  <c r="V45" i="36"/>
  <c r="U45" i="36"/>
  <c r="T45" i="36"/>
  <c r="S45" i="36"/>
  <c r="R45" i="36"/>
  <c r="Q45" i="36"/>
  <c r="P45" i="36"/>
  <c r="O45" i="36"/>
  <c r="N45" i="36"/>
  <c r="M45" i="36"/>
  <c r="L45" i="36"/>
  <c r="K45" i="36"/>
  <c r="J45" i="36"/>
  <c r="AX44" i="36"/>
  <c r="AW44" i="36"/>
  <c r="AV44" i="36"/>
  <c r="AU44" i="36"/>
  <c r="AT44" i="36"/>
  <c r="AS44" i="36"/>
  <c r="AR44" i="36"/>
  <c r="AQ44" i="36"/>
  <c r="AP44" i="36"/>
  <c r="AO44" i="36"/>
  <c r="AN44" i="36"/>
  <c r="AM44" i="36"/>
  <c r="AL44" i="36"/>
  <c r="AK44" i="36"/>
  <c r="AJ44" i="36"/>
  <c r="AI44" i="36"/>
  <c r="AH44" i="36"/>
  <c r="AG44" i="36"/>
  <c r="AF44" i="36"/>
  <c r="AE44" i="36"/>
  <c r="AD44" i="36"/>
  <c r="AC44" i="36"/>
  <c r="AB44" i="36"/>
  <c r="AA44" i="36"/>
  <c r="Z44" i="36"/>
  <c r="Y44" i="36"/>
  <c r="X44" i="36"/>
  <c r="W44" i="36"/>
  <c r="V44" i="36"/>
  <c r="U44" i="36"/>
  <c r="T44" i="36"/>
  <c r="S44" i="36"/>
  <c r="R44" i="36"/>
  <c r="Q44" i="36"/>
  <c r="P44" i="36"/>
  <c r="O44" i="36"/>
  <c r="N44" i="36"/>
  <c r="M44" i="36"/>
  <c r="L44" i="36"/>
  <c r="K44" i="36"/>
  <c r="J44" i="36"/>
  <c r="AX43" i="36"/>
  <c r="AW43" i="36"/>
  <c r="AV43" i="36"/>
  <c r="AU43" i="36"/>
  <c r="AT43" i="36"/>
  <c r="AS43" i="36"/>
  <c r="AR43" i="36"/>
  <c r="AQ43" i="36"/>
  <c r="AP43" i="36"/>
  <c r="AO43" i="36"/>
  <c r="AN43" i="36"/>
  <c r="AM43" i="36"/>
  <c r="AL43" i="36"/>
  <c r="AK43" i="36"/>
  <c r="AJ43" i="36"/>
  <c r="AI43" i="36"/>
  <c r="AH43" i="36"/>
  <c r="AG43" i="36"/>
  <c r="AF43" i="36"/>
  <c r="AE43" i="36"/>
  <c r="AD43" i="36"/>
  <c r="AC43" i="36"/>
  <c r="AB43" i="36"/>
  <c r="AA43" i="36"/>
  <c r="Z43" i="36"/>
  <c r="Y43" i="36"/>
  <c r="X43" i="36"/>
  <c r="W43" i="36"/>
  <c r="V43" i="36"/>
  <c r="U43" i="36"/>
  <c r="T43" i="36"/>
  <c r="S43" i="36"/>
  <c r="R43" i="36"/>
  <c r="Q43" i="36"/>
  <c r="P43" i="36"/>
  <c r="O43" i="36"/>
  <c r="N43" i="36"/>
  <c r="M43" i="36"/>
  <c r="L43" i="36"/>
  <c r="K43" i="36"/>
  <c r="J43" i="36"/>
  <c r="AX42" i="36"/>
  <c r="AW42" i="36"/>
  <c r="AV42" i="36"/>
  <c r="AU42" i="36"/>
  <c r="AT42" i="36"/>
  <c r="AS42" i="36"/>
  <c r="AR42" i="36"/>
  <c r="AQ42" i="36"/>
  <c r="AP42" i="36"/>
  <c r="AO42" i="36"/>
  <c r="AN42" i="36"/>
  <c r="AM42" i="36"/>
  <c r="AL42" i="36"/>
  <c r="AK42" i="36"/>
  <c r="AJ42" i="36"/>
  <c r="AI42" i="36"/>
  <c r="AH42" i="36"/>
  <c r="AG42" i="36"/>
  <c r="AF42" i="36"/>
  <c r="AE42" i="36"/>
  <c r="AD42" i="36"/>
  <c r="AC42" i="36"/>
  <c r="AB42" i="36"/>
  <c r="AA42" i="36"/>
  <c r="Z42" i="36"/>
  <c r="Y42" i="36"/>
  <c r="X42" i="36"/>
  <c r="W42" i="36"/>
  <c r="V42" i="36"/>
  <c r="U42" i="36"/>
  <c r="T42" i="36"/>
  <c r="S42" i="36"/>
  <c r="R42" i="36"/>
  <c r="Q42" i="36"/>
  <c r="P42" i="36"/>
  <c r="O42" i="36"/>
  <c r="N42" i="36"/>
  <c r="M42" i="36"/>
  <c r="L42" i="36"/>
  <c r="K42" i="36"/>
  <c r="J42" i="36"/>
  <c r="AX41" i="36"/>
  <c r="AW41" i="36"/>
  <c r="AV41" i="36"/>
  <c r="AU41" i="36"/>
  <c r="AT41" i="36"/>
  <c r="AS41" i="36"/>
  <c r="AR41" i="36"/>
  <c r="AQ41" i="36"/>
  <c r="AP41" i="36"/>
  <c r="AO41" i="36"/>
  <c r="AN41" i="36"/>
  <c r="AM41" i="36"/>
  <c r="AL41" i="36"/>
  <c r="AK41" i="36"/>
  <c r="AJ41" i="36"/>
  <c r="AI41" i="36"/>
  <c r="AH41" i="36"/>
  <c r="AG41" i="36"/>
  <c r="AF41" i="36"/>
  <c r="AE41" i="36"/>
  <c r="AD41" i="36"/>
  <c r="AC41" i="36"/>
  <c r="AB41" i="36"/>
  <c r="AA41" i="36"/>
  <c r="Z41" i="36"/>
  <c r="Y41" i="36"/>
  <c r="X41" i="36"/>
  <c r="W41" i="36"/>
  <c r="V41" i="36"/>
  <c r="U41" i="36"/>
  <c r="T41" i="36"/>
  <c r="S41" i="36"/>
  <c r="R41" i="36"/>
  <c r="Q41" i="36"/>
  <c r="P41" i="36"/>
  <c r="O41" i="36"/>
  <c r="N41" i="36"/>
  <c r="M41" i="36"/>
  <c r="L41" i="36"/>
  <c r="K41" i="36"/>
  <c r="J41" i="36"/>
  <c r="AX40" i="36"/>
  <c r="AW40" i="36"/>
  <c r="AV40" i="36"/>
  <c r="AU40" i="36"/>
  <c r="AT40" i="36"/>
  <c r="AS40" i="36"/>
  <c r="AR40" i="36"/>
  <c r="AQ40" i="36"/>
  <c r="AP40" i="36"/>
  <c r="AO40" i="36"/>
  <c r="AN40" i="36"/>
  <c r="AM40" i="36"/>
  <c r="AL40" i="36"/>
  <c r="AK40" i="36"/>
  <c r="AJ40" i="36"/>
  <c r="AI40" i="36"/>
  <c r="AH40" i="36"/>
  <c r="AG40" i="36"/>
  <c r="AF40" i="36"/>
  <c r="AE40" i="36"/>
  <c r="AD40" i="36"/>
  <c r="AC40" i="36"/>
  <c r="AB40" i="36"/>
  <c r="AA40" i="36"/>
  <c r="Z40" i="36"/>
  <c r="Y40" i="36"/>
  <c r="X40" i="36"/>
  <c r="W40" i="36"/>
  <c r="V40" i="36"/>
  <c r="U40" i="36"/>
  <c r="T40" i="36"/>
  <c r="S40" i="36"/>
  <c r="R40" i="36"/>
  <c r="Q40" i="36"/>
  <c r="P40" i="36"/>
  <c r="O40" i="36"/>
  <c r="N40" i="36"/>
  <c r="M40" i="36"/>
  <c r="L40" i="36"/>
  <c r="K40" i="36"/>
  <c r="J40" i="36"/>
  <c r="AX39" i="36"/>
  <c r="AW39" i="36"/>
  <c r="AV39" i="36"/>
  <c r="AU39" i="36"/>
  <c r="AT39" i="36"/>
  <c r="AS39" i="36"/>
  <c r="AR39" i="36"/>
  <c r="AQ39" i="36"/>
  <c r="AP39" i="36"/>
  <c r="AO39" i="36"/>
  <c r="AN39" i="36"/>
  <c r="AM39" i="36"/>
  <c r="AL39" i="36"/>
  <c r="AK39" i="36"/>
  <c r="AJ39" i="36"/>
  <c r="AI39" i="36"/>
  <c r="AH39" i="36"/>
  <c r="AG39" i="36"/>
  <c r="AF39" i="36"/>
  <c r="AE39" i="36"/>
  <c r="AD39" i="36"/>
  <c r="AC39" i="36"/>
  <c r="AB39" i="36"/>
  <c r="AA39" i="36"/>
  <c r="Z39" i="36"/>
  <c r="Y39" i="36"/>
  <c r="X39" i="36"/>
  <c r="W39" i="36"/>
  <c r="V39" i="36"/>
  <c r="U39" i="36"/>
  <c r="T39" i="36"/>
  <c r="S39" i="36"/>
  <c r="R39" i="36"/>
  <c r="Q39" i="36"/>
  <c r="P39" i="36"/>
  <c r="O39" i="36"/>
  <c r="N39" i="36"/>
  <c r="M39" i="36"/>
  <c r="L39" i="36"/>
  <c r="K39" i="36"/>
  <c r="J39" i="36"/>
  <c r="AX38" i="36"/>
  <c r="AW38" i="36"/>
  <c r="AV38" i="36"/>
  <c r="AU38" i="36"/>
  <c r="AT38" i="36"/>
  <c r="AS38" i="36"/>
  <c r="AR38" i="36"/>
  <c r="AQ38" i="36"/>
  <c r="AP38" i="36"/>
  <c r="AO38" i="36"/>
  <c r="AN38" i="36"/>
  <c r="AM38" i="36"/>
  <c r="AL38" i="36"/>
  <c r="AK38" i="36"/>
  <c r="AJ38" i="36"/>
  <c r="AI38" i="36"/>
  <c r="AH38" i="36"/>
  <c r="AG38" i="36"/>
  <c r="AF38" i="36"/>
  <c r="AE38" i="36"/>
  <c r="AD38" i="36"/>
  <c r="AC38" i="36"/>
  <c r="AB38" i="36"/>
  <c r="AA38" i="36"/>
  <c r="Z38" i="36"/>
  <c r="Y38" i="36"/>
  <c r="X38" i="36"/>
  <c r="W38" i="36"/>
  <c r="V38" i="36"/>
  <c r="U38" i="36"/>
  <c r="T38" i="36"/>
  <c r="S38" i="36"/>
  <c r="R38" i="36"/>
  <c r="Q38" i="36"/>
  <c r="P38" i="36"/>
  <c r="O38" i="36"/>
  <c r="N38" i="36"/>
  <c r="M38" i="36"/>
  <c r="L38" i="36"/>
  <c r="K38" i="36"/>
  <c r="J38" i="36"/>
  <c r="AX37" i="36"/>
  <c r="AW37" i="36"/>
  <c r="AV37" i="36"/>
  <c r="AU37" i="36"/>
  <c r="AT37" i="36"/>
  <c r="AS37" i="36"/>
  <c r="AR37" i="36"/>
  <c r="AQ37" i="36"/>
  <c r="AP37" i="36"/>
  <c r="AO37" i="36"/>
  <c r="AN37" i="36"/>
  <c r="AM37" i="36"/>
  <c r="AL37" i="36"/>
  <c r="AK37" i="36"/>
  <c r="AJ37" i="36"/>
  <c r="AI37" i="36"/>
  <c r="AH37" i="36"/>
  <c r="AG37" i="36"/>
  <c r="AF37" i="36"/>
  <c r="AE37" i="36"/>
  <c r="AD37" i="36"/>
  <c r="AC37" i="36"/>
  <c r="AB37" i="36"/>
  <c r="AA37" i="36"/>
  <c r="Z37" i="36"/>
  <c r="Y37" i="36"/>
  <c r="X37" i="36"/>
  <c r="W37" i="36"/>
  <c r="V37" i="36"/>
  <c r="U37" i="36"/>
  <c r="T37" i="36"/>
  <c r="S37" i="36"/>
  <c r="R37" i="36"/>
  <c r="Q37" i="36"/>
  <c r="P37" i="36"/>
  <c r="O37" i="36"/>
  <c r="N37" i="36"/>
  <c r="M37" i="36"/>
  <c r="L37" i="36"/>
  <c r="K37" i="36"/>
  <c r="J37" i="36"/>
  <c r="AX36" i="36"/>
  <c r="AW36" i="36"/>
  <c r="AV36" i="36"/>
  <c r="AU36" i="36"/>
  <c r="AT36" i="36"/>
  <c r="AS36" i="36"/>
  <c r="AR36" i="36"/>
  <c r="AQ36" i="36"/>
  <c r="AP36" i="36"/>
  <c r="AO36" i="36"/>
  <c r="AN36" i="36"/>
  <c r="AM36" i="36"/>
  <c r="AL36" i="36"/>
  <c r="AK36" i="36"/>
  <c r="AJ36" i="36"/>
  <c r="AI36" i="36"/>
  <c r="AH36" i="36"/>
  <c r="AG36" i="36"/>
  <c r="AF36" i="36"/>
  <c r="AE36" i="36"/>
  <c r="AD36" i="36"/>
  <c r="AC36" i="36"/>
  <c r="AB36" i="36"/>
  <c r="AA36" i="36"/>
  <c r="Z36" i="36"/>
  <c r="Y36" i="36"/>
  <c r="X36" i="36"/>
  <c r="W36" i="36"/>
  <c r="V36" i="36"/>
  <c r="U36" i="36"/>
  <c r="T36" i="36"/>
  <c r="S36" i="36"/>
  <c r="R36" i="36"/>
  <c r="Q36" i="36"/>
  <c r="P36" i="36"/>
  <c r="O36" i="36"/>
  <c r="N36" i="36"/>
  <c r="M36" i="36"/>
  <c r="L36" i="36"/>
  <c r="K36" i="36"/>
  <c r="J36" i="36"/>
  <c r="AX35" i="36"/>
  <c r="AW35" i="36"/>
  <c r="AV35" i="36"/>
  <c r="AU35" i="36"/>
  <c r="AT35" i="36"/>
  <c r="AS35" i="36"/>
  <c r="AR35" i="36"/>
  <c r="AQ35" i="36"/>
  <c r="AP35" i="36"/>
  <c r="AO35" i="36"/>
  <c r="AN35" i="36"/>
  <c r="AM35" i="36"/>
  <c r="AL35" i="36"/>
  <c r="AK35" i="36"/>
  <c r="AJ35" i="36"/>
  <c r="AI35" i="36"/>
  <c r="AH35" i="36"/>
  <c r="AG35" i="36"/>
  <c r="AF35" i="36"/>
  <c r="AE35" i="36"/>
  <c r="AD35" i="36"/>
  <c r="AC35" i="36"/>
  <c r="AB35" i="36"/>
  <c r="AA35" i="36"/>
  <c r="Z35" i="36"/>
  <c r="Y35" i="36"/>
  <c r="X35" i="36"/>
  <c r="W35" i="36"/>
  <c r="V35" i="36"/>
  <c r="U35" i="36"/>
  <c r="T35" i="36"/>
  <c r="S35" i="36"/>
  <c r="R35" i="36"/>
  <c r="Q35" i="36"/>
  <c r="P35" i="36"/>
  <c r="O35" i="36"/>
  <c r="N35" i="36"/>
  <c r="M35" i="36"/>
  <c r="L35" i="36"/>
  <c r="K35" i="36"/>
  <c r="J35" i="36"/>
  <c r="AX34" i="36"/>
  <c r="AW34" i="36"/>
  <c r="AV34" i="36"/>
  <c r="AU34" i="36"/>
  <c r="AT34" i="36"/>
  <c r="AS34" i="36"/>
  <c r="AR34" i="36"/>
  <c r="AQ34" i="36"/>
  <c r="AP34" i="36"/>
  <c r="AO34" i="36"/>
  <c r="AN34" i="36"/>
  <c r="AM34" i="36"/>
  <c r="AL34" i="36"/>
  <c r="AK34" i="36"/>
  <c r="AJ34" i="36"/>
  <c r="AI34" i="36"/>
  <c r="AH34" i="36"/>
  <c r="AG34" i="36"/>
  <c r="AF34" i="36"/>
  <c r="AE34" i="36"/>
  <c r="AD34" i="36"/>
  <c r="AC34" i="36"/>
  <c r="AB34" i="36"/>
  <c r="AA34" i="36"/>
  <c r="Z34" i="36"/>
  <c r="Y34" i="36"/>
  <c r="X34" i="36"/>
  <c r="W34" i="36"/>
  <c r="V34" i="36"/>
  <c r="U34" i="36"/>
  <c r="T34" i="36"/>
  <c r="S34" i="36"/>
  <c r="R34" i="36"/>
  <c r="Q34" i="36"/>
  <c r="P34" i="36"/>
  <c r="O34" i="36"/>
  <c r="N34" i="36"/>
  <c r="M34" i="36"/>
  <c r="L34" i="36"/>
  <c r="K34" i="36"/>
  <c r="J34" i="36"/>
  <c r="G34" i="36" s="1"/>
  <c r="AX33" i="36"/>
  <c r="AW33" i="36"/>
  <c r="AV33" i="36"/>
  <c r="AU33" i="36"/>
  <c r="AT33" i="36"/>
  <c r="AS33" i="36"/>
  <c r="AR33" i="36"/>
  <c r="AQ33" i="36"/>
  <c r="AP33" i="36"/>
  <c r="AO33" i="36"/>
  <c r="AN33" i="36"/>
  <c r="AM33" i="36"/>
  <c r="AL33" i="36"/>
  <c r="AK33" i="36"/>
  <c r="AJ33" i="36"/>
  <c r="AI33" i="36"/>
  <c r="AH33" i="36"/>
  <c r="AG33" i="36"/>
  <c r="AF33" i="36"/>
  <c r="AE33" i="36"/>
  <c r="AD33" i="36"/>
  <c r="AC33" i="36"/>
  <c r="AB33" i="36"/>
  <c r="AA33" i="36"/>
  <c r="Z33" i="36"/>
  <c r="Y33" i="36"/>
  <c r="X33" i="36"/>
  <c r="W33" i="36"/>
  <c r="V33" i="36"/>
  <c r="U33" i="36"/>
  <c r="T33" i="36"/>
  <c r="S33" i="36"/>
  <c r="R33" i="36"/>
  <c r="Q33" i="36"/>
  <c r="P33" i="36"/>
  <c r="O33" i="36"/>
  <c r="N33" i="36"/>
  <c r="M33" i="36"/>
  <c r="L33" i="36"/>
  <c r="K33" i="36"/>
  <c r="J33" i="36"/>
  <c r="AX10" i="36"/>
  <c r="AW10" i="36"/>
  <c r="AV10" i="36"/>
  <c r="AU10" i="36"/>
  <c r="AT10" i="36"/>
  <c r="AS10" i="36"/>
  <c r="AR10" i="36"/>
  <c r="AQ10" i="36"/>
  <c r="AP10" i="36"/>
  <c r="AO10" i="36"/>
  <c r="AN10" i="36"/>
  <c r="AM10" i="36"/>
  <c r="AL10" i="36"/>
  <c r="AK10" i="36"/>
  <c r="AJ10" i="36"/>
  <c r="AI10" i="36"/>
  <c r="AH10" i="36"/>
  <c r="AG10" i="36"/>
  <c r="AF10" i="36"/>
  <c r="AE10" i="36"/>
  <c r="AD10" i="36"/>
  <c r="AC10" i="36"/>
  <c r="AB10" i="36"/>
  <c r="AA10" i="36"/>
  <c r="Z10" i="36"/>
  <c r="Y10" i="36"/>
  <c r="X10" i="36"/>
  <c r="W10" i="36"/>
  <c r="V10" i="36"/>
  <c r="U10" i="36"/>
  <c r="T10" i="36"/>
  <c r="S10" i="36"/>
  <c r="R10" i="36"/>
  <c r="Q10" i="36"/>
  <c r="P10" i="36"/>
  <c r="O10" i="36"/>
  <c r="N10" i="36"/>
  <c r="M10" i="36"/>
  <c r="L10" i="36"/>
  <c r="K10" i="36"/>
  <c r="J10" i="36"/>
  <c r="AX24" i="36"/>
  <c r="AW24" i="36"/>
  <c r="AV24" i="36"/>
  <c r="AU24" i="36"/>
  <c r="AT24" i="36"/>
  <c r="AS24" i="36"/>
  <c r="AR24" i="36"/>
  <c r="AQ24" i="36"/>
  <c r="AP24" i="36"/>
  <c r="AO24" i="36"/>
  <c r="AN24" i="36"/>
  <c r="AM24" i="36"/>
  <c r="AL24" i="36"/>
  <c r="AK24" i="36"/>
  <c r="AJ24" i="36"/>
  <c r="AI24" i="36"/>
  <c r="AH24" i="36"/>
  <c r="AG24" i="36"/>
  <c r="AF24" i="36"/>
  <c r="AE24" i="36"/>
  <c r="AD24" i="36"/>
  <c r="AC24" i="36"/>
  <c r="AB24" i="36"/>
  <c r="AA24" i="36"/>
  <c r="Z24" i="36"/>
  <c r="Y24" i="36"/>
  <c r="X24" i="36"/>
  <c r="W24" i="36"/>
  <c r="V24" i="36"/>
  <c r="U24" i="36"/>
  <c r="T24" i="36"/>
  <c r="S24" i="36"/>
  <c r="R24" i="36"/>
  <c r="Q24" i="36"/>
  <c r="P24" i="36"/>
  <c r="O24" i="36"/>
  <c r="N24" i="36"/>
  <c r="M24" i="36"/>
  <c r="L24" i="36"/>
  <c r="K24" i="36"/>
  <c r="J24" i="36"/>
  <c r="AX9" i="36"/>
  <c r="AW9" i="36"/>
  <c r="AV9" i="36"/>
  <c r="AU9" i="36"/>
  <c r="AT9" i="36"/>
  <c r="AS9" i="36"/>
  <c r="AR9" i="36"/>
  <c r="AQ9" i="36"/>
  <c r="AP9" i="36"/>
  <c r="AO9" i="36"/>
  <c r="AN9" i="36"/>
  <c r="AM9" i="36"/>
  <c r="AL9" i="36"/>
  <c r="AK9" i="36"/>
  <c r="AJ9" i="36"/>
  <c r="AI9" i="36"/>
  <c r="AH9" i="36"/>
  <c r="AG9" i="36"/>
  <c r="AF9" i="36"/>
  <c r="AD9" i="36"/>
  <c r="AC9" i="36"/>
  <c r="AB9" i="36"/>
  <c r="AA9" i="36"/>
  <c r="Z9" i="36"/>
  <c r="X9" i="36"/>
  <c r="W9" i="36"/>
  <c r="V9" i="36"/>
  <c r="U9" i="36"/>
  <c r="T9" i="36"/>
  <c r="S9" i="36"/>
  <c r="R9" i="36"/>
  <c r="Q9" i="36"/>
  <c r="P9" i="36"/>
  <c r="O9" i="36"/>
  <c r="N9" i="36"/>
  <c r="M9" i="36"/>
  <c r="L9" i="36"/>
  <c r="K9" i="36"/>
  <c r="J9" i="36"/>
  <c r="AX47" i="36"/>
  <c r="AW47" i="36"/>
  <c r="AV47" i="36"/>
  <c r="AU47" i="36"/>
  <c r="AT47" i="36"/>
  <c r="AS47" i="36"/>
  <c r="AR47" i="36"/>
  <c r="AQ47" i="36"/>
  <c r="AP47" i="36"/>
  <c r="AO47" i="36"/>
  <c r="AN47" i="36"/>
  <c r="AM47" i="36"/>
  <c r="AL47" i="36"/>
  <c r="AK47" i="36"/>
  <c r="AJ47" i="36"/>
  <c r="AI47" i="36"/>
  <c r="AH47" i="36"/>
  <c r="AG47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J11" i="38"/>
  <c r="K11" i="38"/>
  <c r="L11" i="38"/>
  <c r="M11" i="38"/>
  <c r="N11" i="38"/>
  <c r="O11" i="38"/>
  <c r="P11" i="38"/>
  <c r="Q11" i="38"/>
  <c r="R11" i="38"/>
  <c r="S11" i="38"/>
  <c r="T11" i="38"/>
  <c r="U11" i="38"/>
  <c r="V11" i="38"/>
  <c r="W11" i="38"/>
  <c r="X11" i="38"/>
  <c r="Y11" i="38"/>
  <c r="Z11" i="38"/>
  <c r="AA11" i="38"/>
  <c r="AG11" i="38"/>
  <c r="AH11" i="38"/>
  <c r="AI11" i="38"/>
  <c r="AJ11" i="38"/>
  <c r="AK11" i="38"/>
  <c r="AL11" i="38"/>
  <c r="AM11" i="38"/>
  <c r="AN11" i="38"/>
  <c r="AO11" i="38"/>
  <c r="AP11" i="38"/>
  <c r="AQ11" i="38"/>
  <c r="AR11" i="38"/>
  <c r="AS11" i="38"/>
  <c r="AT11" i="38"/>
  <c r="AU11" i="38"/>
  <c r="AV11" i="38"/>
  <c r="AW11" i="38"/>
  <c r="AX11" i="38"/>
  <c r="AX48" i="38"/>
  <c r="AX47" i="38"/>
  <c r="AW47" i="38"/>
  <c r="AV47" i="38"/>
  <c r="AU47" i="38"/>
  <c r="AT47" i="38"/>
  <c r="AS47" i="38"/>
  <c r="AR47" i="38"/>
  <c r="AQ47" i="38"/>
  <c r="AP47" i="38"/>
  <c r="AO47" i="38"/>
  <c r="AN47" i="38"/>
  <c r="AM47" i="38"/>
  <c r="AL47" i="38"/>
  <c r="AK47" i="38"/>
  <c r="AJ47" i="38"/>
  <c r="AI47" i="38"/>
  <c r="AH47" i="38"/>
  <c r="AG47" i="38"/>
  <c r="AF47" i="38"/>
  <c r="AE47" i="38"/>
  <c r="AD47" i="38"/>
  <c r="AC47" i="38"/>
  <c r="AB47" i="38"/>
  <c r="AA47" i="38"/>
  <c r="Z47" i="38"/>
  <c r="Y47" i="38"/>
  <c r="X47" i="38"/>
  <c r="W47" i="38"/>
  <c r="V47" i="38"/>
  <c r="U47" i="38"/>
  <c r="T47" i="38"/>
  <c r="S47" i="38"/>
  <c r="R47" i="38"/>
  <c r="Q47" i="38"/>
  <c r="P47" i="38"/>
  <c r="O47" i="38"/>
  <c r="N47" i="38"/>
  <c r="M47" i="38"/>
  <c r="L47" i="38"/>
  <c r="K47" i="38"/>
  <c r="J47" i="38"/>
  <c r="AX46" i="38"/>
  <c r="AW46" i="38"/>
  <c r="AV46" i="38"/>
  <c r="AU46" i="38"/>
  <c r="AT46" i="38"/>
  <c r="AS46" i="38"/>
  <c r="AR46" i="38"/>
  <c r="AQ46" i="38"/>
  <c r="AP46" i="38"/>
  <c r="AO46" i="38"/>
  <c r="AN46" i="38"/>
  <c r="AM46" i="38"/>
  <c r="AL46" i="38"/>
  <c r="AK46" i="38"/>
  <c r="AJ46" i="38"/>
  <c r="AI46" i="38"/>
  <c r="AH46" i="38"/>
  <c r="AG46" i="38"/>
  <c r="AF46" i="38"/>
  <c r="AE46" i="38"/>
  <c r="AD46" i="38"/>
  <c r="AC46" i="38"/>
  <c r="AB46" i="38"/>
  <c r="AA46" i="38"/>
  <c r="Z46" i="38"/>
  <c r="Y46" i="38"/>
  <c r="X46" i="38"/>
  <c r="W46" i="38"/>
  <c r="V46" i="38"/>
  <c r="U46" i="38"/>
  <c r="T46" i="38"/>
  <c r="S46" i="38"/>
  <c r="R46" i="38"/>
  <c r="Q46" i="38"/>
  <c r="P46" i="38"/>
  <c r="O46" i="38"/>
  <c r="N46" i="38"/>
  <c r="M46" i="38"/>
  <c r="L46" i="38"/>
  <c r="K46" i="38"/>
  <c r="J46" i="38"/>
  <c r="AX45" i="38"/>
  <c r="AW45" i="38"/>
  <c r="AV45" i="38"/>
  <c r="AU45" i="38"/>
  <c r="AT45" i="38"/>
  <c r="AS45" i="38"/>
  <c r="AR45" i="38"/>
  <c r="AQ45" i="38"/>
  <c r="AP45" i="38"/>
  <c r="AO45" i="38"/>
  <c r="AN45" i="38"/>
  <c r="AM45" i="38"/>
  <c r="AL45" i="38"/>
  <c r="AK45" i="38"/>
  <c r="AJ45" i="38"/>
  <c r="AI45" i="38"/>
  <c r="AH45" i="38"/>
  <c r="AG45" i="38"/>
  <c r="AF45" i="38"/>
  <c r="AE45" i="38"/>
  <c r="AD45" i="38"/>
  <c r="AC45" i="38"/>
  <c r="AB45" i="38"/>
  <c r="AA45" i="38"/>
  <c r="Z45" i="38"/>
  <c r="Y45" i="38"/>
  <c r="X45" i="38"/>
  <c r="W45" i="38"/>
  <c r="V45" i="38"/>
  <c r="U45" i="38"/>
  <c r="T45" i="38"/>
  <c r="S45" i="38"/>
  <c r="R45" i="38"/>
  <c r="Q45" i="38"/>
  <c r="P45" i="38"/>
  <c r="O45" i="38"/>
  <c r="N45" i="38"/>
  <c r="M45" i="38"/>
  <c r="L45" i="38"/>
  <c r="K45" i="38"/>
  <c r="J45" i="38"/>
  <c r="AX44" i="38"/>
  <c r="AW44" i="38"/>
  <c r="AV44" i="38"/>
  <c r="AU44" i="38"/>
  <c r="AT44" i="38"/>
  <c r="AS44" i="38"/>
  <c r="AR44" i="38"/>
  <c r="AQ44" i="38"/>
  <c r="AP44" i="38"/>
  <c r="AO44" i="38"/>
  <c r="AN44" i="38"/>
  <c r="AM44" i="38"/>
  <c r="AL44" i="38"/>
  <c r="AK44" i="38"/>
  <c r="AJ44" i="38"/>
  <c r="AI44" i="38"/>
  <c r="AH44" i="38"/>
  <c r="AG44" i="38"/>
  <c r="AF44" i="38"/>
  <c r="AE44" i="38"/>
  <c r="AD44" i="38"/>
  <c r="AC44" i="38"/>
  <c r="AB44" i="38"/>
  <c r="AA44" i="38"/>
  <c r="Z44" i="38"/>
  <c r="Y44" i="38"/>
  <c r="X44" i="38"/>
  <c r="W44" i="38"/>
  <c r="V44" i="38"/>
  <c r="U44" i="38"/>
  <c r="T44" i="38"/>
  <c r="S44" i="38"/>
  <c r="R44" i="38"/>
  <c r="Q44" i="38"/>
  <c r="P44" i="38"/>
  <c r="O44" i="38"/>
  <c r="N44" i="38"/>
  <c r="M44" i="38"/>
  <c r="L44" i="38"/>
  <c r="K44" i="38"/>
  <c r="J44" i="38"/>
  <c r="AX43" i="38"/>
  <c r="AW43" i="38"/>
  <c r="AV43" i="38"/>
  <c r="AU43" i="38"/>
  <c r="AT43" i="38"/>
  <c r="AS43" i="38"/>
  <c r="AR43" i="38"/>
  <c r="AQ43" i="38"/>
  <c r="AP43" i="38"/>
  <c r="AO43" i="38"/>
  <c r="AN43" i="38"/>
  <c r="AM43" i="38"/>
  <c r="AL43" i="38"/>
  <c r="AK43" i="38"/>
  <c r="AJ43" i="38"/>
  <c r="AI43" i="38"/>
  <c r="AH43" i="38"/>
  <c r="AG43" i="38"/>
  <c r="AF43" i="38"/>
  <c r="AE43" i="38"/>
  <c r="AD43" i="38"/>
  <c r="AC43" i="38"/>
  <c r="AB43" i="38"/>
  <c r="AA43" i="38"/>
  <c r="Z43" i="38"/>
  <c r="Y43" i="38"/>
  <c r="X43" i="38"/>
  <c r="W43" i="38"/>
  <c r="V43" i="38"/>
  <c r="U43" i="38"/>
  <c r="T43" i="38"/>
  <c r="S43" i="38"/>
  <c r="R43" i="38"/>
  <c r="Q43" i="38"/>
  <c r="P43" i="38"/>
  <c r="O43" i="38"/>
  <c r="N43" i="38"/>
  <c r="M43" i="38"/>
  <c r="L43" i="38"/>
  <c r="K43" i="38"/>
  <c r="J43" i="38"/>
  <c r="AX42" i="38"/>
  <c r="AW42" i="38"/>
  <c r="AV42" i="38"/>
  <c r="AU42" i="38"/>
  <c r="AT42" i="38"/>
  <c r="AS42" i="38"/>
  <c r="AR42" i="38"/>
  <c r="AQ42" i="38"/>
  <c r="AP42" i="38"/>
  <c r="AO42" i="38"/>
  <c r="AN42" i="38"/>
  <c r="AM42" i="38"/>
  <c r="AL42" i="38"/>
  <c r="AK42" i="38"/>
  <c r="AJ42" i="38"/>
  <c r="AI42" i="38"/>
  <c r="AH42" i="38"/>
  <c r="AG42" i="38"/>
  <c r="AF42" i="38"/>
  <c r="AE42" i="38"/>
  <c r="AD42" i="38"/>
  <c r="AC42" i="38"/>
  <c r="AB42" i="38"/>
  <c r="AA42" i="38"/>
  <c r="Z42" i="38"/>
  <c r="Y42" i="38"/>
  <c r="X42" i="38"/>
  <c r="W42" i="38"/>
  <c r="V42" i="38"/>
  <c r="U42" i="38"/>
  <c r="T42" i="38"/>
  <c r="S42" i="38"/>
  <c r="R42" i="38"/>
  <c r="Q42" i="38"/>
  <c r="P42" i="38"/>
  <c r="O42" i="38"/>
  <c r="N42" i="38"/>
  <c r="M42" i="38"/>
  <c r="L42" i="38"/>
  <c r="K42" i="38"/>
  <c r="J42" i="38"/>
  <c r="AX41" i="38"/>
  <c r="AW41" i="38"/>
  <c r="AV41" i="38"/>
  <c r="AU41" i="38"/>
  <c r="AT41" i="38"/>
  <c r="AS41" i="38"/>
  <c r="AR41" i="38"/>
  <c r="AQ41" i="38"/>
  <c r="AP41" i="38"/>
  <c r="AO41" i="38"/>
  <c r="AN41" i="38"/>
  <c r="AM41" i="38"/>
  <c r="AL41" i="38"/>
  <c r="AK41" i="38"/>
  <c r="AJ41" i="38"/>
  <c r="AI41" i="38"/>
  <c r="AH41" i="38"/>
  <c r="AG41" i="38"/>
  <c r="AF41" i="38"/>
  <c r="AE41" i="38"/>
  <c r="AD41" i="38"/>
  <c r="AC41" i="38"/>
  <c r="AB41" i="38"/>
  <c r="AA41" i="38"/>
  <c r="Z41" i="38"/>
  <c r="Y41" i="38"/>
  <c r="X41" i="38"/>
  <c r="W41" i="38"/>
  <c r="V41" i="38"/>
  <c r="U41" i="38"/>
  <c r="T41" i="38"/>
  <c r="S41" i="38"/>
  <c r="R41" i="38"/>
  <c r="Q41" i="38"/>
  <c r="P41" i="38"/>
  <c r="O41" i="38"/>
  <c r="N41" i="38"/>
  <c r="M41" i="38"/>
  <c r="L41" i="38"/>
  <c r="K41" i="38"/>
  <c r="J41" i="38"/>
  <c r="AX40" i="38"/>
  <c r="AW40" i="38"/>
  <c r="AV40" i="38"/>
  <c r="AU40" i="38"/>
  <c r="AT40" i="38"/>
  <c r="AS40" i="38"/>
  <c r="AR40" i="38"/>
  <c r="AQ40" i="38"/>
  <c r="AP40" i="38"/>
  <c r="AO40" i="38"/>
  <c r="AN40" i="38"/>
  <c r="AM40" i="38"/>
  <c r="AL40" i="38"/>
  <c r="AK40" i="38"/>
  <c r="AJ40" i="38"/>
  <c r="AI40" i="38"/>
  <c r="AH40" i="38"/>
  <c r="AG40" i="38"/>
  <c r="AF40" i="38"/>
  <c r="AE40" i="38"/>
  <c r="AD40" i="38"/>
  <c r="AC40" i="38"/>
  <c r="AB40" i="38"/>
  <c r="AA40" i="38"/>
  <c r="Z40" i="38"/>
  <c r="Y40" i="38"/>
  <c r="X40" i="38"/>
  <c r="W40" i="38"/>
  <c r="V40" i="38"/>
  <c r="U40" i="38"/>
  <c r="T40" i="38"/>
  <c r="S40" i="38"/>
  <c r="R40" i="38"/>
  <c r="Q40" i="38"/>
  <c r="P40" i="38"/>
  <c r="O40" i="38"/>
  <c r="N40" i="38"/>
  <c r="M40" i="38"/>
  <c r="L40" i="38"/>
  <c r="K40" i="38"/>
  <c r="J40" i="38"/>
  <c r="AX39" i="38"/>
  <c r="AW39" i="38"/>
  <c r="AV39" i="38"/>
  <c r="AU39" i="38"/>
  <c r="AT39" i="38"/>
  <c r="AS39" i="38"/>
  <c r="AR39" i="38"/>
  <c r="AQ39" i="38"/>
  <c r="AP39" i="38"/>
  <c r="AO39" i="38"/>
  <c r="AN39" i="38"/>
  <c r="AM39" i="38"/>
  <c r="AL39" i="38"/>
  <c r="AK39" i="38"/>
  <c r="AJ39" i="38"/>
  <c r="AI39" i="38"/>
  <c r="AH39" i="38"/>
  <c r="AG39" i="38"/>
  <c r="AF39" i="38"/>
  <c r="AE39" i="38"/>
  <c r="AD39" i="38"/>
  <c r="AC39" i="38"/>
  <c r="AB39" i="38"/>
  <c r="AA39" i="38"/>
  <c r="Z39" i="38"/>
  <c r="Y39" i="38"/>
  <c r="X39" i="38"/>
  <c r="W39" i="38"/>
  <c r="V39" i="38"/>
  <c r="U39" i="38"/>
  <c r="T39" i="38"/>
  <c r="S39" i="38"/>
  <c r="R39" i="38"/>
  <c r="Q39" i="38"/>
  <c r="P39" i="38"/>
  <c r="O39" i="38"/>
  <c r="N39" i="38"/>
  <c r="M39" i="38"/>
  <c r="L39" i="38"/>
  <c r="K39" i="38"/>
  <c r="J39" i="38"/>
  <c r="AX38" i="38"/>
  <c r="AW38" i="38"/>
  <c r="AV38" i="38"/>
  <c r="AU38" i="38"/>
  <c r="AT38" i="38"/>
  <c r="AS38" i="38"/>
  <c r="AR38" i="38"/>
  <c r="AQ38" i="38"/>
  <c r="AP38" i="38"/>
  <c r="AO38" i="38"/>
  <c r="AN38" i="38"/>
  <c r="AM38" i="38"/>
  <c r="AL38" i="38"/>
  <c r="AK38" i="38"/>
  <c r="AJ38" i="38"/>
  <c r="AI38" i="38"/>
  <c r="AH38" i="38"/>
  <c r="AG38" i="38"/>
  <c r="AF38" i="38"/>
  <c r="AE38" i="38"/>
  <c r="AD38" i="38"/>
  <c r="AC38" i="38"/>
  <c r="AB38" i="38"/>
  <c r="AA38" i="38"/>
  <c r="Z38" i="38"/>
  <c r="Y38" i="38"/>
  <c r="X38" i="38"/>
  <c r="W38" i="38"/>
  <c r="V38" i="38"/>
  <c r="U38" i="38"/>
  <c r="T38" i="38"/>
  <c r="S38" i="38"/>
  <c r="R38" i="38"/>
  <c r="Q38" i="38"/>
  <c r="P38" i="38"/>
  <c r="O38" i="38"/>
  <c r="N38" i="38"/>
  <c r="M38" i="38"/>
  <c r="L38" i="38"/>
  <c r="K38" i="38"/>
  <c r="J38" i="38"/>
  <c r="AX37" i="38"/>
  <c r="AW37" i="38"/>
  <c r="AV37" i="38"/>
  <c r="AU37" i="38"/>
  <c r="AT37" i="38"/>
  <c r="AS37" i="38"/>
  <c r="AR37" i="38"/>
  <c r="AQ37" i="38"/>
  <c r="AP37" i="38"/>
  <c r="AO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Y37" i="38"/>
  <c r="X37" i="38"/>
  <c r="W37" i="38"/>
  <c r="V37" i="38"/>
  <c r="U37" i="38"/>
  <c r="T37" i="38"/>
  <c r="S37" i="38"/>
  <c r="R37" i="38"/>
  <c r="Q37" i="38"/>
  <c r="P37" i="38"/>
  <c r="O37" i="38"/>
  <c r="N37" i="38"/>
  <c r="M37" i="38"/>
  <c r="L37" i="38"/>
  <c r="K37" i="38"/>
  <c r="J37" i="38"/>
  <c r="AX36" i="38"/>
  <c r="AW36" i="38"/>
  <c r="AV36" i="38"/>
  <c r="AU36" i="38"/>
  <c r="AT36" i="38"/>
  <c r="AS36" i="38"/>
  <c r="AR36" i="38"/>
  <c r="AQ36" i="38"/>
  <c r="AP36" i="38"/>
  <c r="AO36" i="38"/>
  <c r="AN36" i="38"/>
  <c r="AM36" i="38"/>
  <c r="AL36" i="38"/>
  <c r="AK36" i="38"/>
  <c r="AJ36" i="38"/>
  <c r="AI36" i="38"/>
  <c r="AH36" i="38"/>
  <c r="AG36" i="38"/>
  <c r="AF36" i="38"/>
  <c r="AE36" i="38"/>
  <c r="AD36" i="38"/>
  <c r="AC36" i="38"/>
  <c r="AB36" i="38"/>
  <c r="AA36" i="38"/>
  <c r="Z36" i="38"/>
  <c r="Y36" i="38"/>
  <c r="X36" i="38"/>
  <c r="W36" i="38"/>
  <c r="V36" i="38"/>
  <c r="U36" i="38"/>
  <c r="T36" i="38"/>
  <c r="S36" i="38"/>
  <c r="R36" i="38"/>
  <c r="Q36" i="38"/>
  <c r="P36" i="38"/>
  <c r="O36" i="38"/>
  <c r="N36" i="38"/>
  <c r="M36" i="38"/>
  <c r="L36" i="38"/>
  <c r="K36" i="38"/>
  <c r="J36" i="38"/>
  <c r="AX35" i="38"/>
  <c r="AW35" i="38"/>
  <c r="AV35" i="38"/>
  <c r="AU35" i="38"/>
  <c r="AT35" i="38"/>
  <c r="AS35" i="38"/>
  <c r="AR35" i="38"/>
  <c r="AQ35" i="38"/>
  <c r="AP35" i="38"/>
  <c r="AO35" i="38"/>
  <c r="AN35" i="38"/>
  <c r="AM35" i="38"/>
  <c r="AL35" i="38"/>
  <c r="AK35" i="38"/>
  <c r="AJ35" i="38"/>
  <c r="AI35" i="38"/>
  <c r="AH35" i="38"/>
  <c r="AG35" i="38"/>
  <c r="AF35" i="38"/>
  <c r="AE35" i="38"/>
  <c r="AD35" i="38"/>
  <c r="AC35" i="38"/>
  <c r="AB35" i="38"/>
  <c r="AA35" i="38"/>
  <c r="Z35" i="38"/>
  <c r="Y35" i="38"/>
  <c r="X35" i="38"/>
  <c r="W35" i="38"/>
  <c r="V35" i="38"/>
  <c r="U35" i="38"/>
  <c r="T35" i="38"/>
  <c r="S35" i="38"/>
  <c r="R35" i="38"/>
  <c r="Q35" i="38"/>
  <c r="P35" i="38"/>
  <c r="O35" i="38"/>
  <c r="N35" i="38"/>
  <c r="M35" i="38"/>
  <c r="L35" i="38"/>
  <c r="K35" i="38"/>
  <c r="J35" i="38"/>
  <c r="AX34" i="38"/>
  <c r="AW34" i="38"/>
  <c r="AV34" i="38"/>
  <c r="AU34" i="38"/>
  <c r="AT34" i="38"/>
  <c r="AS34" i="38"/>
  <c r="AR34" i="38"/>
  <c r="AQ34" i="38"/>
  <c r="AP34" i="38"/>
  <c r="AO34" i="38"/>
  <c r="AN34" i="38"/>
  <c r="AM34" i="38"/>
  <c r="AL34" i="38"/>
  <c r="AK34" i="38"/>
  <c r="AJ34" i="38"/>
  <c r="AI34" i="38"/>
  <c r="AH34" i="38"/>
  <c r="AG34" i="38"/>
  <c r="AF34" i="38"/>
  <c r="AE34" i="38"/>
  <c r="AD34" i="38"/>
  <c r="AC34" i="38"/>
  <c r="AB34" i="38"/>
  <c r="AA34" i="38"/>
  <c r="Z34" i="38"/>
  <c r="Y34" i="38"/>
  <c r="X34" i="38"/>
  <c r="W34" i="38"/>
  <c r="V34" i="38"/>
  <c r="U34" i="38"/>
  <c r="T34" i="38"/>
  <c r="S34" i="38"/>
  <c r="R34" i="38"/>
  <c r="Q34" i="38"/>
  <c r="P34" i="38"/>
  <c r="O34" i="38"/>
  <c r="N34" i="38"/>
  <c r="M34" i="38"/>
  <c r="L34" i="38"/>
  <c r="K34" i="38"/>
  <c r="J34" i="38"/>
  <c r="AX32" i="38"/>
  <c r="AW32" i="38"/>
  <c r="AV32" i="38"/>
  <c r="AU32" i="38"/>
  <c r="AT32" i="38"/>
  <c r="AS32" i="38"/>
  <c r="AR32" i="38"/>
  <c r="AQ32" i="38"/>
  <c r="AP32" i="38"/>
  <c r="AO32" i="38"/>
  <c r="AN32" i="38"/>
  <c r="AM32" i="38"/>
  <c r="AL32" i="38"/>
  <c r="AK32" i="38"/>
  <c r="AJ32" i="38"/>
  <c r="AI32" i="38"/>
  <c r="AH32" i="38"/>
  <c r="AG32" i="38"/>
  <c r="AF32" i="38"/>
  <c r="AE32" i="38"/>
  <c r="AD32" i="38"/>
  <c r="AC32" i="38"/>
  <c r="AB32" i="38"/>
  <c r="AA32" i="38"/>
  <c r="Z32" i="38"/>
  <c r="Y32" i="38"/>
  <c r="X32" i="38"/>
  <c r="W32" i="38"/>
  <c r="V32" i="38"/>
  <c r="U32" i="38"/>
  <c r="T32" i="38"/>
  <c r="S32" i="38"/>
  <c r="R32" i="38"/>
  <c r="Q32" i="38"/>
  <c r="P32" i="38"/>
  <c r="O32" i="38"/>
  <c r="N32" i="38"/>
  <c r="M32" i="38"/>
  <c r="L32" i="38"/>
  <c r="K32" i="38"/>
  <c r="J32" i="38"/>
  <c r="AX31" i="38"/>
  <c r="AW31" i="38"/>
  <c r="AV31" i="38"/>
  <c r="AU31" i="38"/>
  <c r="AT31" i="38"/>
  <c r="AS31" i="38"/>
  <c r="AR31" i="38"/>
  <c r="AQ31" i="38"/>
  <c r="AP31" i="38"/>
  <c r="AO31" i="38"/>
  <c r="AN31" i="38"/>
  <c r="AM31" i="38"/>
  <c r="AL31" i="38"/>
  <c r="AK31" i="38"/>
  <c r="AJ31" i="38"/>
  <c r="AI31" i="38"/>
  <c r="AH31" i="38"/>
  <c r="AG31" i="38"/>
  <c r="AF31" i="38"/>
  <c r="AE31" i="38"/>
  <c r="AD31" i="38"/>
  <c r="AC31" i="38"/>
  <c r="AB31" i="38"/>
  <c r="AA31" i="38"/>
  <c r="Z31" i="38"/>
  <c r="Y31" i="38"/>
  <c r="X31" i="38"/>
  <c r="W31" i="38"/>
  <c r="V31" i="38"/>
  <c r="U31" i="38"/>
  <c r="T31" i="38"/>
  <c r="S31" i="38"/>
  <c r="R31" i="38"/>
  <c r="Q31" i="38"/>
  <c r="P31" i="38"/>
  <c r="O31" i="38"/>
  <c r="N31" i="38"/>
  <c r="M31" i="38"/>
  <c r="L31" i="38"/>
  <c r="K31" i="38"/>
  <c r="J31" i="38"/>
  <c r="AX30" i="38"/>
  <c r="AW30" i="38"/>
  <c r="AV30" i="38"/>
  <c r="AU30" i="38"/>
  <c r="AT30" i="38"/>
  <c r="AS30" i="38"/>
  <c r="AR30" i="38"/>
  <c r="AQ30" i="38"/>
  <c r="AP30" i="38"/>
  <c r="AO30" i="38"/>
  <c r="AN30" i="38"/>
  <c r="AM30" i="38"/>
  <c r="AL30" i="38"/>
  <c r="AK30" i="38"/>
  <c r="AJ30" i="38"/>
  <c r="AI30" i="38"/>
  <c r="AH30" i="38"/>
  <c r="AG30" i="38"/>
  <c r="AF30" i="38"/>
  <c r="AE30" i="38"/>
  <c r="AD30" i="38"/>
  <c r="AC30" i="38"/>
  <c r="AB30" i="38"/>
  <c r="AA30" i="38"/>
  <c r="Z30" i="38"/>
  <c r="Y30" i="38"/>
  <c r="X30" i="38"/>
  <c r="W30" i="38"/>
  <c r="V30" i="38"/>
  <c r="U30" i="38"/>
  <c r="T30" i="38"/>
  <c r="S30" i="38"/>
  <c r="R30" i="38"/>
  <c r="Q30" i="38"/>
  <c r="P30" i="38"/>
  <c r="O30" i="38"/>
  <c r="N30" i="38"/>
  <c r="M30" i="38"/>
  <c r="L30" i="38"/>
  <c r="K30" i="38"/>
  <c r="J30" i="38"/>
  <c r="AX27" i="38"/>
  <c r="AW27" i="38"/>
  <c r="AV27" i="38"/>
  <c r="AU27" i="38"/>
  <c r="AT27" i="38"/>
  <c r="AS27" i="38"/>
  <c r="AR27" i="38"/>
  <c r="AQ27" i="38"/>
  <c r="AP27" i="38"/>
  <c r="AO27" i="38"/>
  <c r="AN27" i="38"/>
  <c r="AM27" i="38"/>
  <c r="AL27" i="38"/>
  <c r="AK27" i="38"/>
  <c r="AJ27" i="38"/>
  <c r="AI27" i="38"/>
  <c r="AH27" i="38"/>
  <c r="AG27" i="38"/>
  <c r="AF27" i="38"/>
  <c r="AE27" i="38"/>
  <c r="AD27" i="38"/>
  <c r="AC27" i="38"/>
  <c r="AB27" i="38"/>
  <c r="AA27" i="38"/>
  <c r="Z27" i="38"/>
  <c r="Y27" i="38"/>
  <c r="X27" i="38"/>
  <c r="W27" i="38"/>
  <c r="V27" i="38"/>
  <c r="U27" i="38"/>
  <c r="T27" i="38"/>
  <c r="S27" i="38"/>
  <c r="R27" i="38"/>
  <c r="Q27" i="38"/>
  <c r="P27" i="38"/>
  <c r="O27" i="38"/>
  <c r="N27" i="38"/>
  <c r="M27" i="38"/>
  <c r="L27" i="38"/>
  <c r="K27" i="38"/>
  <c r="J27" i="38"/>
  <c r="AX29" i="38"/>
  <c r="AW29" i="38"/>
  <c r="AV29" i="38"/>
  <c r="AU29" i="38"/>
  <c r="AT29" i="38"/>
  <c r="AS29" i="38"/>
  <c r="AR29" i="38"/>
  <c r="AQ29" i="38"/>
  <c r="AP29" i="38"/>
  <c r="AO29" i="38"/>
  <c r="AN29" i="38"/>
  <c r="AM29" i="38"/>
  <c r="AL29" i="38"/>
  <c r="AK29" i="38"/>
  <c r="AJ29" i="38"/>
  <c r="AI29" i="38"/>
  <c r="AH29" i="38"/>
  <c r="AG29" i="38"/>
  <c r="AF29" i="38"/>
  <c r="AE29" i="38"/>
  <c r="AD29" i="38"/>
  <c r="AC29" i="38"/>
  <c r="AB29" i="38"/>
  <c r="AA29" i="38"/>
  <c r="Z29" i="38"/>
  <c r="Y29" i="38"/>
  <c r="X29" i="38"/>
  <c r="W29" i="38"/>
  <c r="V29" i="38"/>
  <c r="U29" i="38"/>
  <c r="T29" i="38"/>
  <c r="S29" i="38"/>
  <c r="R29" i="38"/>
  <c r="Q29" i="38"/>
  <c r="P29" i="38"/>
  <c r="O29" i="38"/>
  <c r="N29" i="38"/>
  <c r="M29" i="38"/>
  <c r="L29" i="38"/>
  <c r="K29" i="38"/>
  <c r="J29" i="38"/>
  <c r="AX20" i="38"/>
  <c r="AW20" i="38"/>
  <c r="AV20" i="38"/>
  <c r="AU20" i="38"/>
  <c r="AT20" i="38"/>
  <c r="AS20" i="38"/>
  <c r="AR20" i="38"/>
  <c r="AQ20" i="38"/>
  <c r="AP20" i="38"/>
  <c r="AO20" i="38"/>
  <c r="AN20" i="38"/>
  <c r="AM20" i="38"/>
  <c r="AL20" i="38"/>
  <c r="AK20" i="38"/>
  <c r="AJ20" i="38"/>
  <c r="AI20" i="38"/>
  <c r="AH20" i="38"/>
  <c r="AG20" i="38"/>
  <c r="AF20" i="38"/>
  <c r="AE20" i="38"/>
  <c r="AD20" i="38"/>
  <c r="AC20" i="38"/>
  <c r="AB20" i="38"/>
  <c r="AA20" i="38"/>
  <c r="Z20" i="38"/>
  <c r="Y20" i="38"/>
  <c r="X20" i="38"/>
  <c r="W20" i="38"/>
  <c r="V20" i="38"/>
  <c r="U20" i="38"/>
  <c r="T20" i="38"/>
  <c r="S20" i="38"/>
  <c r="R20" i="38"/>
  <c r="Q20" i="38"/>
  <c r="P20" i="38"/>
  <c r="O20" i="38"/>
  <c r="N20" i="38"/>
  <c r="M20" i="38"/>
  <c r="L20" i="38"/>
  <c r="K20" i="38"/>
  <c r="J20" i="38"/>
  <c r="AX28" i="38"/>
  <c r="AW28" i="38"/>
  <c r="AV28" i="38"/>
  <c r="AU28" i="38"/>
  <c r="AT28" i="38"/>
  <c r="AS28" i="38"/>
  <c r="AR28" i="38"/>
  <c r="AQ28" i="38"/>
  <c r="AP28" i="38"/>
  <c r="AO28" i="38"/>
  <c r="AN28" i="38"/>
  <c r="AM28" i="38"/>
  <c r="AL28" i="38"/>
  <c r="AK28" i="38"/>
  <c r="AJ28" i="38"/>
  <c r="AI28" i="38"/>
  <c r="AH28" i="38"/>
  <c r="AG28" i="38"/>
  <c r="AF28" i="38"/>
  <c r="AE28" i="38"/>
  <c r="AD28" i="38"/>
  <c r="AC28" i="38"/>
  <c r="AB28" i="38"/>
  <c r="AA28" i="38"/>
  <c r="Z28" i="38"/>
  <c r="Y28" i="38"/>
  <c r="X28" i="38"/>
  <c r="W28" i="38"/>
  <c r="V28" i="38"/>
  <c r="U28" i="38"/>
  <c r="T28" i="38"/>
  <c r="S28" i="38"/>
  <c r="R28" i="38"/>
  <c r="Q28" i="38"/>
  <c r="P28" i="38"/>
  <c r="O28" i="38"/>
  <c r="N28" i="38"/>
  <c r="M28" i="38"/>
  <c r="L28" i="38"/>
  <c r="K28" i="38"/>
  <c r="J28" i="38"/>
  <c r="AX26" i="38"/>
  <c r="AW26" i="38"/>
  <c r="AV26" i="38"/>
  <c r="AU26" i="38"/>
  <c r="AT26" i="38"/>
  <c r="AS26" i="38"/>
  <c r="AR26" i="38"/>
  <c r="AQ26" i="38"/>
  <c r="AP26" i="38"/>
  <c r="AO26" i="38"/>
  <c r="AN26" i="38"/>
  <c r="AM26" i="38"/>
  <c r="AL26" i="38"/>
  <c r="AK26" i="38"/>
  <c r="AJ26" i="38"/>
  <c r="AI26" i="38"/>
  <c r="AH26" i="38"/>
  <c r="AG26" i="38"/>
  <c r="AF26" i="38"/>
  <c r="AE26" i="38"/>
  <c r="AD26" i="38"/>
  <c r="AC26" i="38"/>
  <c r="AB26" i="38"/>
  <c r="AA26" i="38"/>
  <c r="Z26" i="38"/>
  <c r="Y26" i="38"/>
  <c r="X26" i="38"/>
  <c r="W26" i="38"/>
  <c r="V26" i="38"/>
  <c r="U26" i="38"/>
  <c r="T26" i="38"/>
  <c r="S26" i="38"/>
  <c r="R26" i="38"/>
  <c r="Q26" i="38"/>
  <c r="P26" i="38"/>
  <c r="O26" i="38"/>
  <c r="N26" i="38"/>
  <c r="M26" i="38"/>
  <c r="L26" i="38"/>
  <c r="K26" i="38"/>
  <c r="J26" i="38"/>
  <c r="AX33" i="38"/>
  <c r="AW33" i="38"/>
  <c r="AV33" i="38"/>
  <c r="AU33" i="38"/>
  <c r="AT33" i="38"/>
  <c r="AS33" i="38"/>
  <c r="AR33" i="38"/>
  <c r="AQ33" i="38"/>
  <c r="AP33" i="38"/>
  <c r="AO33" i="38"/>
  <c r="AN33" i="38"/>
  <c r="AM33" i="38"/>
  <c r="AL33" i="38"/>
  <c r="AK33" i="38"/>
  <c r="AJ33" i="38"/>
  <c r="AI33" i="38"/>
  <c r="AH33" i="38"/>
  <c r="AG33" i="38"/>
  <c r="AF33" i="38"/>
  <c r="AE33" i="38"/>
  <c r="AD33" i="38"/>
  <c r="AC33" i="38"/>
  <c r="AB33" i="38"/>
  <c r="AA33" i="38"/>
  <c r="Z33" i="38"/>
  <c r="Y33" i="38"/>
  <c r="X33" i="38"/>
  <c r="W33" i="38"/>
  <c r="V33" i="38"/>
  <c r="U33" i="38"/>
  <c r="T33" i="38"/>
  <c r="S33" i="38"/>
  <c r="R33" i="38"/>
  <c r="Q33" i="38"/>
  <c r="P33" i="38"/>
  <c r="O33" i="38"/>
  <c r="N33" i="38"/>
  <c r="M33" i="38"/>
  <c r="L33" i="38"/>
  <c r="K33" i="38"/>
  <c r="J33" i="38"/>
  <c r="AX25" i="38"/>
  <c r="AW25" i="38"/>
  <c r="AV25" i="38"/>
  <c r="AU25" i="38"/>
  <c r="AT25" i="38"/>
  <c r="AS25" i="38"/>
  <c r="AR25" i="38"/>
  <c r="AQ25" i="38"/>
  <c r="AP25" i="38"/>
  <c r="AO25" i="38"/>
  <c r="AN25" i="38"/>
  <c r="AM25" i="38"/>
  <c r="AL25" i="38"/>
  <c r="AK25" i="38"/>
  <c r="AJ25" i="38"/>
  <c r="AI25" i="38"/>
  <c r="AH25" i="38"/>
  <c r="AG25" i="38"/>
  <c r="AF25" i="38"/>
  <c r="AE25" i="38"/>
  <c r="AD25" i="38"/>
  <c r="AC25" i="38"/>
  <c r="AB25" i="38"/>
  <c r="AA25" i="38"/>
  <c r="Z25" i="38"/>
  <c r="Y25" i="38"/>
  <c r="X25" i="38"/>
  <c r="W25" i="38"/>
  <c r="V25" i="38"/>
  <c r="U25" i="38"/>
  <c r="T25" i="38"/>
  <c r="S25" i="38"/>
  <c r="R25" i="38"/>
  <c r="Q25" i="38"/>
  <c r="P25" i="38"/>
  <c r="O25" i="38"/>
  <c r="N25" i="38"/>
  <c r="M25" i="38"/>
  <c r="L25" i="38"/>
  <c r="K25" i="38"/>
  <c r="J25" i="38"/>
  <c r="AX22" i="38"/>
  <c r="AW22" i="38"/>
  <c r="AV22" i="38"/>
  <c r="AU22" i="38"/>
  <c r="AT22" i="38"/>
  <c r="AS22" i="38"/>
  <c r="AR22" i="38"/>
  <c r="AQ22" i="38"/>
  <c r="AP22" i="38"/>
  <c r="AO22" i="38"/>
  <c r="AN22" i="38"/>
  <c r="AM22" i="38"/>
  <c r="AL22" i="38"/>
  <c r="AK22" i="38"/>
  <c r="AJ22" i="38"/>
  <c r="AI22" i="38"/>
  <c r="AH22" i="38"/>
  <c r="AG22" i="38"/>
  <c r="AF22" i="38"/>
  <c r="AE22" i="38"/>
  <c r="AD22" i="38"/>
  <c r="AC22" i="38"/>
  <c r="AB22" i="38"/>
  <c r="AA22" i="38"/>
  <c r="Z22" i="38"/>
  <c r="Y22" i="38"/>
  <c r="X22" i="38"/>
  <c r="W22" i="38"/>
  <c r="V22" i="38"/>
  <c r="U22" i="38"/>
  <c r="T22" i="38"/>
  <c r="S22" i="38"/>
  <c r="R22" i="38"/>
  <c r="Q22" i="38"/>
  <c r="P22" i="38"/>
  <c r="O22" i="38"/>
  <c r="N22" i="38"/>
  <c r="M22" i="38"/>
  <c r="L22" i="38"/>
  <c r="K22" i="38"/>
  <c r="J22" i="38"/>
  <c r="AX23" i="38"/>
  <c r="AW23" i="38"/>
  <c r="AV23" i="38"/>
  <c r="AU23" i="38"/>
  <c r="AT23" i="38"/>
  <c r="AS23" i="38"/>
  <c r="AR23" i="38"/>
  <c r="AQ23" i="38"/>
  <c r="AP23" i="38"/>
  <c r="AO23" i="38"/>
  <c r="AN23" i="38"/>
  <c r="AM23" i="38"/>
  <c r="AL23" i="38"/>
  <c r="AK23" i="38"/>
  <c r="AJ23" i="38"/>
  <c r="AI23" i="38"/>
  <c r="AH23" i="38"/>
  <c r="AG23" i="38"/>
  <c r="AF23" i="38"/>
  <c r="AE23" i="38"/>
  <c r="AD23" i="38"/>
  <c r="AC23" i="38"/>
  <c r="AB23" i="38"/>
  <c r="AA23" i="38"/>
  <c r="Z23" i="38"/>
  <c r="Y23" i="38"/>
  <c r="X23" i="38"/>
  <c r="W23" i="38"/>
  <c r="V23" i="38"/>
  <c r="U23" i="38"/>
  <c r="T23" i="38"/>
  <c r="S23" i="38"/>
  <c r="R23" i="38"/>
  <c r="Q23" i="38"/>
  <c r="P23" i="38"/>
  <c r="O23" i="38"/>
  <c r="N23" i="38"/>
  <c r="M23" i="38"/>
  <c r="L23" i="38"/>
  <c r="K23" i="38"/>
  <c r="J23" i="38"/>
  <c r="AX21" i="38"/>
  <c r="AW21" i="38"/>
  <c r="AV21" i="38"/>
  <c r="AU21" i="38"/>
  <c r="AT21" i="38"/>
  <c r="AS21" i="38"/>
  <c r="AR21" i="38"/>
  <c r="AQ21" i="38"/>
  <c r="AP21" i="38"/>
  <c r="AO21" i="38"/>
  <c r="AN21" i="38"/>
  <c r="AM21" i="38"/>
  <c r="AL21" i="38"/>
  <c r="AK21" i="38"/>
  <c r="AJ21" i="38"/>
  <c r="AI21" i="38"/>
  <c r="AH21" i="38"/>
  <c r="AG21" i="38"/>
  <c r="AF21" i="38"/>
  <c r="AE21" i="38"/>
  <c r="AD21" i="38"/>
  <c r="AC21" i="38"/>
  <c r="AB21" i="38"/>
  <c r="AA21" i="38"/>
  <c r="Z21" i="38"/>
  <c r="Y21" i="38"/>
  <c r="X21" i="38"/>
  <c r="W21" i="38"/>
  <c r="V21" i="38"/>
  <c r="U21" i="38"/>
  <c r="T21" i="38"/>
  <c r="S21" i="38"/>
  <c r="R21" i="38"/>
  <c r="Q21" i="38"/>
  <c r="P21" i="38"/>
  <c r="O21" i="38"/>
  <c r="N21" i="38"/>
  <c r="M21" i="38"/>
  <c r="L21" i="38"/>
  <c r="K21" i="38"/>
  <c r="J21" i="38"/>
  <c r="AX19" i="38"/>
  <c r="AW19" i="38"/>
  <c r="AV19" i="38"/>
  <c r="AU19" i="38"/>
  <c r="AT19" i="38"/>
  <c r="AS19" i="38"/>
  <c r="AR19" i="38"/>
  <c r="AQ19" i="38"/>
  <c r="AP19" i="38"/>
  <c r="AO19" i="38"/>
  <c r="AN19" i="38"/>
  <c r="AM19" i="38"/>
  <c r="AL19" i="38"/>
  <c r="AK19" i="38"/>
  <c r="AJ19" i="38"/>
  <c r="AI19" i="38"/>
  <c r="AH19" i="38"/>
  <c r="AG19" i="38"/>
  <c r="AF19" i="38"/>
  <c r="AE19" i="38"/>
  <c r="AD19" i="38"/>
  <c r="AC19" i="38"/>
  <c r="AB19" i="38"/>
  <c r="AA19" i="38"/>
  <c r="Z19" i="38"/>
  <c r="Y19" i="38"/>
  <c r="X19" i="38"/>
  <c r="W19" i="38"/>
  <c r="V19" i="38"/>
  <c r="U19" i="38"/>
  <c r="T19" i="38"/>
  <c r="S19" i="38"/>
  <c r="R19" i="38"/>
  <c r="Q19" i="38"/>
  <c r="P19" i="38"/>
  <c r="O19" i="38"/>
  <c r="N19" i="38"/>
  <c r="M19" i="38"/>
  <c r="L19" i="38"/>
  <c r="K19" i="38"/>
  <c r="J19" i="38"/>
  <c r="AX18" i="38"/>
  <c r="AW18" i="38"/>
  <c r="AV18" i="38"/>
  <c r="AU18" i="38"/>
  <c r="AT18" i="38"/>
  <c r="AS18" i="38"/>
  <c r="AR18" i="38"/>
  <c r="AQ18" i="38"/>
  <c r="AP18" i="38"/>
  <c r="AO18" i="38"/>
  <c r="AN18" i="38"/>
  <c r="AM18" i="38"/>
  <c r="AL18" i="38"/>
  <c r="AK18" i="38"/>
  <c r="AJ18" i="38"/>
  <c r="AI18" i="38"/>
  <c r="AH18" i="38"/>
  <c r="AG18" i="38"/>
  <c r="AF18" i="38"/>
  <c r="AE18" i="38"/>
  <c r="AD18" i="38"/>
  <c r="AC18" i="38"/>
  <c r="AB18" i="38"/>
  <c r="AA18" i="38"/>
  <c r="Z18" i="38"/>
  <c r="Y18" i="38"/>
  <c r="X18" i="38"/>
  <c r="W18" i="38"/>
  <c r="V18" i="38"/>
  <c r="U18" i="38"/>
  <c r="T18" i="38"/>
  <c r="S18" i="38"/>
  <c r="R18" i="38"/>
  <c r="Q18" i="38"/>
  <c r="P18" i="38"/>
  <c r="O18" i="38"/>
  <c r="N18" i="38"/>
  <c r="M18" i="38"/>
  <c r="L18" i="38"/>
  <c r="K18" i="38"/>
  <c r="J18" i="38"/>
  <c r="AX17" i="38"/>
  <c r="AW17" i="38"/>
  <c r="AV17" i="38"/>
  <c r="AU17" i="38"/>
  <c r="AT17" i="38"/>
  <c r="AS17" i="38"/>
  <c r="AR17" i="38"/>
  <c r="AQ17" i="38"/>
  <c r="AP17" i="38"/>
  <c r="AO17" i="38"/>
  <c r="AN17" i="38"/>
  <c r="AM17" i="38"/>
  <c r="AL17" i="38"/>
  <c r="AK17" i="38"/>
  <c r="AJ17" i="38"/>
  <c r="AI17" i="38"/>
  <c r="AH17" i="38"/>
  <c r="AG17" i="38"/>
  <c r="AF17" i="38"/>
  <c r="AE17" i="38"/>
  <c r="AD17" i="38"/>
  <c r="AC17" i="38"/>
  <c r="AB17" i="38"/>
  <c r="AA17" i="38"/>
  <c r="Z17" i="38"/>
  <c r="Y17" i="38"/>
  <c r="X17" i="38"/>
  <c r="W17" i="38"/>
  <c r="V17" i="38"/>
  <c r="U17" i="38"/>
  <c r="T17" i="38"/>
  <c r="S17" i="38"/>
  <c r="R17" i="38"/>
  <c r="Q17" i="38"/>
  <c r="P17" i="38"/>
  <c r="O17" i="38"/>
  <c r="N17" i="38"/>
  <c r="M17" i="38"/>
  <c r="L17" i="38"/>
  <c r="K17" i="38"/>
  <c r="J17" i="38"/>
  <c r="AX16" i="38"/>
  <c r="AW16" i="38"/>
  <c r="AV16" i="38"/>
  <c r="AU16" i="38"/>
  <c r="AT16" i="38"/>
  <c r="AS16" i="38"/>
  <c r="AR16" i="38"/>
  <c r="AQ16" i="38"/>
  <c r="AP16" i="38"/>
  <c r="AO16" i="38"/>
  <c r="AN16" i="38"/>
  <c r="AM16" i="38"/>
  <c r="AL16" i="38"/>
  <c r="AK16" i="38"/>
  <c r="AJ16" i="38"/>
  <c r="AI16" i="38"/>
  <c r="AH16" i="38"/>
  <c r="AG16" i="38"/>
  <c r="AF16" i="38"/>
  <c r="AE16" i="38"/>
  <c r="AD16" i="38"/>
  <c r="AC16" i="38"/>
  <c r="AB16" i="38"/>
  <c r="AA16" i="38"/>
  <c r="Z16" i="38"/>
  <c r="Y16" i="38"/>
  <c r="X16" i="38"/>
  <c r="W16" i="38"/>
  <c r="V16" i="38"/>
  <c r="U16" i="38"/>
  <c r="T16" i="38"/>
  <c r="S16" i="38"/>
  <c r="R16" i="38"/>
  <c r="Q16" i="38"/>
  <c r="P16" i="38"/>
  <c r="O16" i="38"/>
  <c r="N16" i="38"/>
  <c r="M16" i="38"/>
  <c r="L16" i="38"/>
  <c r="K16" i="38"/>
  <c r="J16" i="38"/>
  <c r="AX15" i="38"/>
  <c r="AW15" i="38"/>
  <c r="AV15" i="38"/>
  <c r="AU15" i="38"/>
  <c r="AT15" i="38"/>
  <c r="AS15" i="38"/>
  <c r="AR15" i="38"/>
  <c r="AQ15" i="38"/>
  <c r="AP15" i="38"/>
  <c r="AO15" i="38"/>
  <c r="AN15" i="38"/>
  <c r="AM15" i="38"/>
  <c r="AL15" i="38"/>
  <c r="AK15" i="38"/>
  <c r="AJ15" i="38"/>
  <c r="AI15" i="38"/>
  <c r="AH15" i="38"/>
  <c r="AG15" i="38"/>
  <c r="AF15" i="38"/>
  <c r="AE15" i="38"/>
  <c r="AD15" i="38"/>
  <c r="AC15" i="38"/>
  <c r="AB15" i="38"/>
  <c r="AA15" i="38"/>
  <c r="Z15" i="38"/>
  <c r="Y15" i="38"/>
  <c r="X15" i="38"/>
  <c r="W15" i="38"/>
  <c r="V15" i="38"/>
  <c r="U15" i="38"/>
  <c r="T15" i="38"/>
  <c r="S15" i="38"/>
  <c r="R15" i="38"/>
  <c r="Q15" i="38"/>
  <c r="P15" i="38"/>
  <c r="O15" i="38"/>
  <c r="N15" i="38"/>
  <c r="M15" i="38"/>
  <c r="L15" i="38"/>
  <c r="K15" i="38"/>
  <c r="J15" i="38"/>
  <c r="AX14" i="38"/>
  <c r="AW14" i="38"/>
  <c r="AV14" i="38"/>
  <c r="AU14" i="38"/>
  <c r="AT14" i="38"/>
  <c r="AS14" i="38"/>
  <c r="AR14" i="38"/>
  <c r="AQ14" i="38"/>
  <c r="AP14" i="38"/>
  <c r="AO14" i="38"/>
  <c r="AN14" i="38"/>
  <c r="AM14" i="38"/>
  <c r="AL14" i="38"/>
  <c r="AK14" i="38"/>
  <c r="AJ14" i="38"/>
  <c r="AI14" i="38"/>
  <c r="AH14" i="38"/>
  <c r="AG14" i="38"/>
  <c r="AF14" i="38"/>
  <c r="AE14" i="38"/>
  <c r="AD14" i="38"/>
  <c r="AC14" i="38"/>
  <c r="AB14" i="38"/>
  <c r="AA14" i="38"/>
  <c r="Z14" i="38"/>
  <c r="Y14" i="38"/>
  <c r="X14" i="38"/>
  <c r="W14" i="38"/>
  <c r="V14" i="38"/>
  <c r="U14" i="38"/>
  <c r="T14" i="38"/>
  <c r="S14" i="38"/>
  <c r="R14" i="38"/>
  <c r="Q14" i="38"/>
  <c r="P14" i="38"/>
  <c r="O14" i="38"/>
  <c r="N14" i="38"/>
  <c r="M14" i="38"/>
  <c r="L14" i="38"/>
  <c r="K14" i="38"/>
  <c r="J14" i="38"/>
  <c r="AX13" i="38"/>
  <c r="AW13" i="38"/>
  <c r="AV13" i="38"/>
  <c r="AU13" i="38"/>
  <c r="AT13" i="38"/>
  <c r="AS13" i="38"/>
  <c r="AR13" i="38"/>
  <c r="AQ13" i="38"/>
  <c r="AP13" i="38"/>
  <c r="AO13" i="38"/>
  <c r="AN13" i="38"/>
  <c r="AM13" i="38"/>
  <c r="AL13" i="38"/>
  <c r="AK13" i="38"/>
  <c r="AJ13" i="38"/>
  <c r="AI13" i="38"/>
  <c r="AH13" i="38"/>
  <c r="AG13" i="38"/>
  <c r="AF13" i="38"/>
  <c r="AE13" i="38"/>
  <c r="AD13" i="38"/>
  <c r="AC13" i="38"/>
  <c r="AB13" i="38"/>
  <c r="AA13" i="38"/>
  <c r="Z13" i="38"/>
  <c r="Y13" i="38"/>
  <c r="X13" i="38"/>
  <c r="W13" i="38"/>
  <c r="V13" i="38"/>
  <c r="U13" i="38"/>
  <c r="T13" i="38"/>
  <c r="S13" i="38"/>
  <c r="R13" i="38"/>
  <c r="Q13" i="38"/>
  <c r="P13" i="38"/>
  <c r="O13" i="38"/>
  <c r="N13" i="38"/>
  <c r="M13" i="38"/>
  <c r="L13" i="38"/>
  <c r="K13" i="38"/>
  <c r="J13" i="38"/>
  <c r="AX12" i="38"/>
  <c r="AW12" i="38"/>
  <c r="AV12" i="38"/>
  <c r="AU12" i="38"/>
  <c r="AT12" i="38"/>
  <c r="AS12" i="38"/>
  <c r="AR12" i="38"/>
  <c r="AQ12" i="38"/>
  <c r="AP12" i="38"/>
  <c r="AO12" i="38"/>
  <c r="AN12" i="38"/>
  <c r="AM12" i="38"/>
  <c r="AL12" i="38"/>
  <c r="AK12" i="38"/>
  <c r="AJ12" i="38"/>
  <c r="AI12" i="38"/>
  <c r="AH12" i="38"/>
  <c r="AG12" i="38"/>
  <c r="AF12" i="38"/>
  <c r="AE12" i="38"/>
  <c r="AD12" i="38"/>
  <c r="AC12" i="38"/>
  <c r="AB12" i="38"/>
  <c r="AA12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AX24" i="38"/>
  <c r="AW24" i="38"/>
  <c r="AV24" i="38"/>
  <c r="AU24" i="38"/>
  <c r="AT24" i="38"/>
  <c r="AS24" i="38"/>
  <c r="AR24" i="38"/>
  <c r="AQ24" i="38"/>
  <c r="AP24" i="38"/>
  <c r="AO24" i="38"/>
  <c r="AN24" i="38"/>
  <c r="AM24" i="38"/>
  <c r="AL24" i="38"/>
  <c r="AK24" i="38"/>
  <c r="AJ24" i="38"/>
  <c r="AI24" i="38"/>
  <c r="AH24" i="38"/>
  <c r="AG24" i="38"/>
  <c r="AF24" i="38"/>
  <c r="AE24" i="38"/>
  <c r="AD24" i="38"/>
  <c r="AC24" i="38"/>
  <c r="AB24" i="38"/>
  <c r="AA24" i="38"/>
  <c r="Z24" i="38"/>
  <c r="Y24" i="38"/>
  <c r="X24" i="38"/>
  <c r="W24" i="38"/>
  <c r="V24" i="38"/>
  <c r="U24" i="38"/>
  <c r="T24" i="38"/>
  <c r="S24" i="38"/>
  <c r="R24" i="38"/>
  <c r="Q24" i="38"/>
  <c r="P24" i="38"/>
  <c r="O24" i="38"/>
  <c r="N24" i="38"/>
  <c r="M24" i="38"/>
  <c r="L24" i="38"/>
  <c r="K24" i="38"/>
  <c r="J24" i="38"/>
  <c r="AX10" i="38"/>
  <c r="AW10" i="38"/>
  <c r="AV10" i="38"/>
  <c r="AU10" i="38"/>
  <c r="AT10" i="38"/>
  <c r="AS10" i="38"/>
  <c r="AR10" i="38"/>
  <c r="AQ10" i="38"/>
  <c r="AP10" i="38"/>
  <c r="AO10" i="38"/>
  <c r="AN10" i="38"/>
  <c r="AM10" i="38"/>
  <c r="AL10" i="38"/>
  <c r="AK10" i="38"/>
  <c r="AJ10" i="38"/>
  <c r="AI10" i="38"/>
  <c r="AH10" i="38"/>
  <c r="AG10" i="38"/>
  <c r="X10" i="38"/>
  <c r="W10" i="38"/>
  <c r="V10" i="38"/>
  <c r="U10" i="38"/>
  <c r="T10" i="38"/>
  <c r="S10" i="38"/>
  <c r="R10" i="38"/>
  <c r="Q10" i="38"/>
  <c r="P10" i="38"/>
  <c r="O10" i="38"/>
  <c r="N10" i="38"/>
  <c r="M10" i="38"/>
  <c r="L10" i="38"/>
  <c r="K10" i="38"/>
  <c r="J10" i="38"/>
  <c r="AX9" i="38"/>
  <c r="AW9" i="38"/>
  <c r="AV9" i="38"/>
  <c r="AU9" i="38"/>
  <c r="AT9" i="38"/>
  <c r="AS9" i="38"/>
  <c r="AR9" i="38"/>
  <c r="AQ9" i="38"/>
  <c r="AP9" i="38"/>
  <c r="AO9" i="38"/>
  <c r="AN9" i="38"/>
  <c r="AM9" i="38"/>
  <c r="AL9" i="38"/>
  <c r="AK9" i="38"/>
  <c r="AJ9" i="38"/>
  <c r="AI9" i="38"/>
  <c r="AH9" i="38"/>
  <c r="AG9" i="38"/>
  <c r="AF9" i="38"/>
  <c r="AE9" i="38"/>
  <c r="AD9" i="38"/>
  <c r="AC9" i="38"/>
  <c r="AB9" i="38"/>
  <c r="AA9" i="38"/>
  <c r="Z9" i="38"/>
  <c r="Y9" i="38"/>
  <c r="X9" i="38"/>
  <c r="W9" i="38"/>
  <c r="V9" i="38"/>
  <c r="U9" i="38"/>
  <c r="T9" i="38"/>
  <c r="S9" i="38"/>
  <c r="R9" i="38"/>
  <c r="Q9" i="38"/>
  <c r="P9" i="38"/>
  <c r="O9" i="38"/>
  <c r="N9" i="38"/>
  <c r="M9" i="38"/>
  <c r="L9" i="38"/>
  <c r="K9" i="38"/>
  <c r="J9" i="38"/>
  <c r="AY47" i="36"/>
  <c r="AX63" i="39" l="1"/>
  <c r="J67" i="39"/>
  <c r="AX67" i="39" s="1"/>
  <c r="AX64" i="39"/>
  <c r="AB53" i="38"/>
  <c r="AB52" i="38"/>
  <c r="AF52" i="38"/>
  <c r="AF53" i="38"/>
  <c r="AV53" i="38"/>
  <c r="AV52" i="38"/>
  <c r="AR53" i="38"/>
  <c r="AR52" i="38"/>
  <c r="AN53" i="38"/>
  <c r="AN52" i="38"/>
  <c r="AJ53" i="38"/>
  <c r="AJ52" i="38"/>
  <c r="AA53" i="38"/>
  <c r="AA52" i="38"/>
  <c r="W53" i="38"/>
  <c r="W52" i="38"/>
  <c r="S53" i="38"/>
  <c r="S52" i="38"/>
  <c r="O53" i="38"/>
  <c r="O52" i="38"/>
  <c r="K53" i="38"/>
  <c r="K52" i="38"/>
  <c r="AC53" i="38"/>
  <c r="AC52" i="38"/>
  <c r="AU53" i="38"/>
  <c r="AU52" i="38"/>
  <c r="AQ53" i="38"/>
  <c r="AQ52" i="38"/>
  <c r="AM53" i="38"/>
  <c r="AM52" i="38"/>
  <c r="AI53" i="38"/>
  <c r="AI52" i="38"/>
  <c r="Z53" i="38"/>
  <c r="Z52" i="38"/>
  <c r="V53" i="38"/>
  <c r="V52" i="38"/>
  <c r="R53" i="38"/>
  <c r="R52" i="38"/>
  <c r="N53" i="38"/>
  <c r="N52" i="38"/>
  <c r="AD53" i="38"/>
  <c r="AD52" i="38"/>
  <c r="AT53" i="38"/>
  <c r="AT52" i="38"/>
  <c r="AP53" i="38"/>
  <c r="AP52" i="38"/>
  <c r="AL53" i="38"/>
  <c r="AL52" i="38"/>
  <c r="AH53" i="38"/>
  <c r="AH52" i="38"/>
  <c r="Y53" i="38"/>
  <c r="Y52" i="38"/>
  <c r="U53" i="38"/>
  <c r="U52" i="38"/>
  <c r="Q53" i="38"/>
  <c r="Q52" i="38"/>
  <c r="M53" i="38"/>
  <c r="M52" i="38"/>
  <c r="J52" i="38"/>
  <c r="J53" i="38"/>
  <c r="AE53" i="38"/>
  <c r="AE52" i="38"/>
  <c r="AW53" i="38"/>
  <c r="AW52" i="38"/>
  <c r="AS53" i="38"/>
  <c r="AS52" i="38"/>
  <c r="AO53" i="38"/>
  <c r="AO52" i="38"/>
  <c r="AK53" i="38"/>
  <c r="AK52" i="38"/>
  <c r="AG53" i="38"/>
  <c r="AG52" i="38"/>
  <c r="X53" i="38"/>
  <c r="X52" i="38"/>
  <c r="T53" i="38"/>
  <c r="T52" i="38"/>
  <c r="P52" i="38"/>
  <c r="P53" i="38"/>
  <c r="L52" i="38"/>
  <c r="L53" i="38"/>
  <c r="L50" i="36"/>
  <c r="L51" i="36"/>
  <c r="L54" i="36" s="1"/>
  <c r="P50" i="36"/>
  <c r="P51" i="36"/>
  <c r="P54" i="36" s="1"/>
  <c r="T50" i="36"/>
  <c r="T51" i="36"/>
  <c r="T54" i="36" s="1"/>
  <c r="X50" i="36"/>
  <c r="X51" i="36"/>
  <c r="X54" i="36" s="1"/>
  <c r="AC50" i="36"/>
  <c r="AC51" i="36"/>
  <c r="AH50" i="36"/>
  <c r="AH51" i="36"/>
  <c r="AH54" i="36" s="1"/>
  <c r="AL50" i="36"/>
  <c r="AL51" i="36"/>
  <c r="AP50" i="36"/>
  <c r="AP51" i="36"/>
  <c r="AP54" i="36" s="1"/>
  <c r="AT50" i="36"/>
  <c r="AT51" i="36"/>
  <c r="AT54" i="36" s="1"/>
  <c r="M50" i="36"/>
  <c r="M51" i="36"/>
  <c r="M54" i="36" s="1"/>
  <c r="Q50" i="36"/>
  <c r="Q51" i="36"/>
  <c r="Q54" i="36" s="1"/>
  <c r="U50" i="36"/>
  <c r="U51" i="36"/>
  <c r="U54" i="36" s="1"/>
  <c r="Z50" i="36"/>
  <c r="Z51" i="36"/>
  <c r="AD50" i="36"/>
  <c r="AD51" i="36"/>
  <c r="AD54" i="36" s="1"/>
  <c r="AI50" i="36"/>
  <c r="AI51" i="36"/>
  <c r="AI54" i="36" s="1"/>
  <c r="AM50" i="36"/>
  <c r="AM51" i="36"/>
  <c r="AM54" i="36" s="1"/>
  <c r="AQ50" i="36"/>
  <c r="AQ51" i="36"/>
  <c r="AQ54" i="36" s="1"/>
  <c r="AU50" i="36"/>
  <c r="AU51" i="36"/>
  <c r="AU54" i="36" s="1"/>
  <c r="Y50" i="36"/>
  <c r="Y51" i="36"/>
  <c r="Y54" i="36" s="1"/>
  <c r="J50" i="36"/>
  <c r="J51" i="36"/>
  <c r="N50" i="36"/>
  <c r="N51" i="36"/>
  <c r="R50" i="36"/>
  <c r="R51" i="36"/>
  <c r="R54" i="36" s="1"/>
  <c r="V50" i="36"/>
  <c r="V51" i="36"/>
  <c r="V54" i="36" s="1"/>
  <c r="AA50" i="36"/>
  <c r="AA51" i="36"/>
  <c r="AA54" i="36" s="1"/>
  <c r="AF50" i="36"/>
  <c r="AF51" i="36"/>
  <c r="AJ50" i="36"/>
  <c r="AJ51" i="36"/>
  <c r="AJ54" i="36" s="1"/>
  <c r="AN50" i="36"/>
  <c r="AN51" i="36"/>
  <c r="AN54" i="36" s="1"/>
  <c r="AR50" i="36"/>
  <c r="AR51" i="36"/>
  <c r="AR54" i="36" s="1"/>
  <c r="AV50" i="36"/>
  <c r="AV51" i="36"/>
  <c r="AV54" i="36" s="1"/>
  <c r="K50" i="36"/>
  <c r="K51" i="36"/>
  <c r="K54" i="36" s="1"/>
  <c r="O50" i="36"/>
  <c r="O51" i="36"/>
  <c r="O54" i="36" s="1"/>
  <c r="S50" i="36"/>
  <c r="S51" i="36"/>
  <c r="S54" i="36" s="1"/>
  <c r="W50" i="36"/>
  <c r="W51" i="36"/>
  <c r="W54" i="36" s="1"/>
  <c r="AB50" i="36"/>
  <c r="AB51" i="36"/>
  <c r="AB54" i="36" s="1"/>
  <c r="AG50" i="36"/>
  <c r="AG51" i="36"/>
  <c r="AG54" i="36" s="1"/>
  <c r="AK50" i="36"/>
  <c r="AK51" i="36"/>
  <c r="AK54" i="36" s="1"/>
  <c r="AO50" i="36"/>
  <c r="AO51" i="36"/>
  <c r="AO54" i="36" s="1"/>
  <c r="AS50" i="36"/>
  <c r="AS51" i="36"/>
  <c r="AS54" i="36" s="1"/>
  <c r="AW50" i="36"/>
  <c r="AW51" i="36"/>
  <c r="AW54" i="36" s="1"/>
  <c r="AE50" i="36"/>
  <c r="AE51" i="36"/>
  <c r="AE54" i="36" s="1"/>
  <c r="AX50" i="43"/>
  <c r="J54" i="43"/>
  <c r="AX54" i="43" s="1"/>
  <c r="AX51" i="43"/>
  <c r="AX59" i="37"/>
  <c r="J63" i="37"/>
  <c r="AX63" i="37" s="1"/>
  <c r="AX60" i="37"/>
  <c r="AX59" i="34"/>
  <c r="AX60" i="34"/>
  <c r="J63" i="34"/>
  <c r="AX63" i="34" s="1"/>
  <c r="AX58" i="35"/>
  <c r="J62" i="35"/>
  <c r="AX62" i="35" s="1"/>
  <c r="AX59" i="35"/>
  <c r="N54" i="36"/>
  <c r="AF54" i="36"/>
  <c r="AC54" i="36"/>
  <c r="AL54" i="36"/>
  <c r="Z54" i="36"/>
  <c r="G33" i="36"/>
  <c r="G14" i="38"/>
  <c r="G18" i="38"/>
  <c r="G22" i="38"/>
  <c r="G28" i="38"/>
  <c r="G30" i="38"/>
  <c r="G29" i="36"/>
  <c r="G32" i="36"/>
  <c r="G9" i="38"/>
  <c r="G24" i="38"/>
  <c r="G15" i="38"/>
  <c r="G19" i="38"/>
  <c r="G25" i="38"/>
  <c r="G20" i="38"/>
  <c r="G31" i="38"/>
  <c r="G11" i="38"/>
  <c r="G10" i="38"/>
  <c r="G12" i="38"/>
  <c r="G16" i="38"/>
  <c r="G21" i="38"/>
  <c r="G29" i="38"/>
  <c r="G32" i="38"/>
  <c r="G13" i="38"/>
  <c r="G17" i="38"/>
  <c r="G23" i="38"/>
  <c r="G26" i="38"/>
  <c r="G27" i="38"/>
  <c r="G24" i="36"/>
  <c r="G13" i="36"/>
  <c r="G17" i="36"/>
  <c r="G26" i="36"/>
  <c r="G28" i="36"/>
  <c r="G20" i="36"/>
  <c r="G31" i="36"/>
  <c r="G10" i="36"/>
  <c r="G14" i="36"/>
  <c r="G18" i="36"/>
  <c r="G11" i="36"/>
  <c r="G15" i="36"/>
  <c r="G19" i="36"/>
  <c r="G27" i="36"/>
  <c r="G12" i="36"/>
  <c r="G16" i="36"/>
  <c r="G21" i="36"/>
  <c r="G22" i="36"/>
  <c r="G23" i="36"/>
  <c r="G25" i="36"/>
  <c r="G30" i="36"/>
  <c r="G9" i="36"/>
  <c r="AY45" i="38"/>
  <c r="AY44" i="38"/>
  <c r="AY43" i="38"/>
  <c r="AY42" i="38"/>
  <c r="AY41" i="38"/>
  <c r="AY40" i="38"/>
  <c r="AY39" i="38"/>
  <c r="AY38" i="38"/>
  <c r="AY37" i="38"/>
  <c r="AY36" i="38"/>
  <c r="AY35" i="38"/>
  <c r="AY34" i="38"/>
  <c r="AY32" i="38"/>
  <c r="AY31" i="38"/>
  <c r="AY30" i="38"/>
  <c r="AY27" i="38"/>
  <c r="AY29" i="38"/>
  <c r="AY20" i="38"/>
  <c r="AY28" i="38"/>
  <c r="AY26" i="38"/>
  <c r="AY33" i="38"/>
  <c r="AY25" i="38"/>
  <c r="AY22" i="38"/>
  <c r="AY23" i="38"/>
  <c r="AY21" i="38"/>
  <c r="AY19" i="38"/>
  <c r="AY18" i="38"/>
  <c r="AY17" i="38"/>
  <c r="AY16" i="38"/>
  <c r="AY15" i="38"/>
  <c r="AY14" i="38"/>
  <c r="AY13" i="38"/>
  <c r="AY12" i="38"/>
  <c r="AY24" i="38"/>
  <c r="AY11" i="38"/>
  <c r="AY10" i="38"/>
  <c r="AY9" i="38"/>
  <c r="BA33" i="38"/>
  <c r="BA32" i="38"/>
  <c r="BA31" i="38"/>
  <c r="BA30" i="38"/>
  <c r="BA29" i="38"/>
  <c r="BA28" i="38"/>
  <c r="BA27" i="38"/>
  <c r="AZ27" i="38"/>
  <c r="BA26" i="38"/>
  <c r="AZ26" i="38"/>
  <c r="BA25" i="38"/>
  <c r="AZ25" i="38"/>
  <c r="BA24" i="38"/>
  <c r="AZ24" i="38"/>
  <c r="BA23" i="38"/>
  <c r="AZ23" i="38"/>
  <c r="BA22" i="38"/>
  <c r="AZ22" i="38"/>
  <c r="BA21" i="38"/>
  <c r="AZ21" i="38"/>
  <c r="BA20" i="38"/>
  <c r="AZ20" i="38"/>
  <c r="BA19" i="38"/>
  <c r="AZ19" i="38"/>
  <c r="BA18" i="38"/>
  <c r="AZ18" i="38"/>
  <c r="BA17" i="38"/>
  <c r="AZ17" i="38"/>
  <c r="BA16" i="38"/>
  <c r="AZ16" i="38"/>
  <c r="BA15" i="38"/>
  <c r="AZ15" i="38"/>
  <c r="BA14" i="38"/>
  <c r="AZ14" i="38"/>
  <c r="BA13" i="38"/>
  <c r="AZ13" i="38"/>
  <c r="BA12" i="38"/>
  <c r="AZ12" i="38"/>
  <c r="BA11" i="38"/>
  <c r="AZ11" i="38"/>
  <c r="BA10" i="38"/>
  <c r="AZ10" i="38"/>
  <c r="BA9" i="38"/>
  <c r="AZ9" i="38"/>
  <c r="AY46" i="38"/>
  <c r="AY47" i="38"/>
  <c r="AY48" i="38"/>
  <c r="Q18" i="30"/>
  <c r="J45" i="30"/>
  <c r="K45" i="30"/>
  <c r="L45" i="30"/>
  <c r="M45" i="30"/>
  <c r="N45" i="30"/>
  <c r="O45" i="30"/>
  <c r="P45" i="30"/>
  <c r="Q45" i="30"/>
  <c r="R45" i="30"/>
  <c r="S45" i="30"/>
  <c r="T45" i="30"/>
  <c r="U45" i="30"/>
  <c r="V45" i="30"/>
  <c r="W45" i="30"/>
  <c r="X45" i="30"/>
  <c r="Y45" i="30"/>
  <c r="Z45" i="30"/>
  <c r="AA45" i="30"/>
  <c r="AB45" i="30"/>
  <c r="AC45" i="30"/>
  <c r="AD45" i="30"/>
  <c r="AE45" i="30"/>
  <c r="AF45" i="30"/>
  <c r="AG45" i="30"/>
  <c r="AH45" i="30"/>
  <c r="AI45" i="30"/>
  <c r="AJ45" i="30"/>
  <c r="AK45" i="30"/>
  <c r="AL45" i="30"/>
  <c r="AM45" i="30"/>
  <c r="AN45" i="30"/>
  <c r="AO45" i="30"/>
  <c r="AP45" i="30"/>
  <c r="AQ45" i="30"/>
  <c r="AR45" i="30"/>
  <c r="AS45" i="30"/>
  <c r="AT45" i="30"/>
  <c r="AU45" i="30"/>
  <c r="AV45" i="30"/>
  <c r="AW45" i="30"/>
  <c r="AX45" i="30"/>
  <c r="J46" i="30"/>
  <c r="K46" i="30"/>
  <c r="L46" i="30"/>
  <c r="M46" i="30"/>
  <c r="N46" i="30"/>
  <c r="O46" i="30"/>
  <c r="P46" i="30"/>
  <c r="Q46" i="30"/>
  <c r="R46" i="30"/>
  <c r="S46" i="30"/>
  <c r="T46" i="30"/>
  <c r="U46" i="30"/>
  <c r="V46" i="30"/>
  <c r="W46" i="30"/>
  <c r="X46" i="30"/>
  <c r="Y46" i="30"/>
  <c r="Z46" i="30"/>
  <c r="AA46" i="30"/>
  <c r="AB46" i="30"/>
  <c r="AC46" i="30"/>
  <c r="AD46" i="30"/>
  <c r="AE46" i="30"/>
  <c r="AF46" i="30"/>
  <c r="AG46" i="30"/>
  <c r="AH46" i="30"/>
  <c r="AI46" i="30"/>
  <c r="AJ46" i="30"/>
  <c r="AK46" i="30"/>
  <c r="AL46" i="30"/>
  <c r="AM46" i="30"/>
  <c r="AN46" i="30"/>
  <c r="AO46" i="30"/>
  <c r="AP46" i="30"/>
  <c r="AQ46" i="30"/>
  <c r="AR46" i="30"/>
  <c r="AS46" i="30"/>
  <c r="AT46" i="30"/>
  <c r="AU46" i="30"/>
  <c r="AV46" i="30"/>
  <c r="AW46" i="30"/>
  <c r="AX46" i="30"/>
  <c r="J19" i="30"/>
  <c r="K19" i="30"/>
  <c r="L19" i="30"/>
  <c r="M19" i="30"/>
  <c r="N19" i="30"/>
  <c r="O19" i="30"/>
  <c r="P19" i="30"/>
  <c r="Q19" i="30"/>
  <c r="R19" i="30"/>
  <c r="S19" i="30"/>
  <c r="T19" i="30"/>
  <c r="U19" i="30"/>
  <c r="V19" i="30"/>
  <c r="W19" i="30"/>
  <c r="X19" i="30"/>
  <c r="Y19" i="30"/>
  <c r="Z19" i="30"/>
  <c r="AA19" i="30"/>
  <c r="AB19" i="30"/>
  <c r="AC19" i="30"/>
  <c r="AD19" i="30"/>
  <c r="AE19" i="30"/>
  <c r="AF19" i="30"/>
  <c r="AG19" i="30"/>
  <c r="AH19" i="30"/>
  <c r="AI19" i="30"/>
  <c r="AJ19" i="30"/>
  <c r="AK19" i="30"/>
  <c r="AL19" i="30"/>
  <c r="AM19" i="30"/>
  <c r="AN19" i="30"/>
  <c r="AO19" i="30"/>
  <c r="AP19" i="30"/>
  <c r="AQ19" i="30"/>
  <c r="AR19" i="30"/>
  <c r="AS19" i="30"/>
  <c r="AT19" i="30"/>
  <c r="AU19" i="30"/>
  <c r="AV19" i="30"/>
  <c r="AW19" i="30"/>
  <c r="AX19" i="30"/>
  <c r="J31" i="30"/>
  <c r="K31" i="30"/>
  <c r="L31" i="30"/>
  <c r="M31" i="30"/>
  <c r="N31" i="30"/>
  <c r="O31" i="30"/>
  <c r="P31" i="30"/>
  <c r="Q31" i="30"/>
  <c r="R31" i="30"/>
  <c r="S31" i="30"/>
  <c r="T31" i="30"/>
  <c r="U31" i="30"/>
  <c r="V31" i="30"/>
  <c r="W31" i="30"/>
  <c r="X31" i="30"/>
  <c r="Y31" i="30"/>
  <c r="Z31" i="30"/>
  <c r="AA31" i="30"/>
  <c r="AB31" i="30"/>
  <c r="AC31" i="30"/>
  <c r="AD31" i="30"/>
  <c r="AE31" i="30"/>
  <c r="AF31" i="30"/>
  <c r="AG31" i="30"/>
  <c r="AH31" i="30"/>
  <c r="AI31" i="30"/>
  <c r="AJ31" i="30"/>
  <c r="AK31" i="30"/>
  <c r="AL31" i="30"/>
  <c r="AM31" i="30"/>
  <c r="AN31" i="30"/>
  <c r="AO31" i="30"/>
  <c r="AP31" i="30"/>
  <c r="AQ31" i="30"/>
  <c r="AR31" i="30"/>
  <c r="AS31" i="30"/>
  <c r="AT31" i="30"/>
  <c r="AU31" i="30"/>
  <c r="AV31" i="30"/>
  <c r="AW31" i="30"/>
  <c r="AX31" i="30"/>
  <c r="J32" i="30"/>
  <c r="K32" i="30"/>
  <c r="L32" i="30"/>
  <c r="M32" i="30"/>
  <c r="N32" i="30"/>
  <c r="O32" i="30"/>
  <c r="P32" i="30"/>
  <c r="Q32" i="30"/>
  <c r="R32" i="30"/>
  <c r="S32" i="30"/>
  <c r="T32" i="30"/>
  <c r="U32" i="30"/>
  <c r="V32" i="30"/>
  <c r="W32" i="30"/>
  <c r="X32" i="30"/>
  <c r="Y32" i="30"/>
  <c r="Z32" i="30"/>
  <c r="AA32" i="30"/>
  <c r="AB32" i="30"/>
  <c r="AC32" i="30"/>
  <c r="AD32" i="30"/>
  <c r="AE32" i="30"/>
  <c r="AF32" i="30"/>
  <c r="AG32" i="30"/>
  <c r="AH32" i="30"/>
  <c r="AI32" i="30"/>
  <c r="AJ32" i="30"/>
  <c r="AK32" i="30"/>
  <c r="AL32" i="30"/>
  <c r="AM32" i="30"/>
  <c r="AN32" i="30"/>
  <c r="AO32" i="30"/>
  <c r="AP32" i="30"/>
  <c r="AQ32" i="30"/>
  <c r="AR32" i="30"/>
  <c r="AS32" i="30"/>
  <c r="AT32" i="30"/>
  <c r="AU32" i="30"/>
  <c r="AV32" i="30"/>
  <c r="AW32" i="30"/>
  <c r="AX32" i="30"/>
  <c r="J34" i="30"/>
  <c r="K34" i="30"/>
  <c r="L34" i="30"/>
  <c r="M34" i="30"/>
  <c r="N34" i="30"/>
  <c r="O34" i="30"/>
  <c r="P34" i="30"/>
  <c r="Q34" i="30"/>
  <c r="R34" i="30"/>
  <c r="S34" i="30"/>
  <c r="T34" i="30"/>
  <c r="U34" i="30"/>
  <c r="V34" i="30"/>
  <c r="W34" i="30"/>
  <c r="X34" i="30"/>
  <c r="Y34" i="30"/>
  <c r="Z34" i="30"/>
  <c r="AA34" i="30"/>
  <c r="AB34" i="30"/>
  <c r="AC34" i="30"/>
  <c r="AD34" i="30"/>
  <c r="AE34" i="30"/>
  <c r="AF34" i="30"/>
  <c r="AG34" i="30"/>
  <c r="AH34" i="30"/>
  <c r="AI34" i="30"/>
  <c r="AJ34" i="30"/>
  <c r="AK34" i="30"/>
  <c r="AL34" i="30"/>
  <c r="AM34" i="30"/>
  <c r="AN34" i="30"/>
  <c r="AO34" i="30"/>
  <c r="AP34" i="30"/>
  <c r="AQ34" i="30"/>
  <c r="AR34" i="30"/>
  <c r="AS34" i="30"/>
  <c r="AT34" i="30"/>
  <c r="AU34" i="30"/>
  <c r="AV34" i="30"/>
  <c r="AW34" i="30"/>
  <c r="AX34" i="30"/>
  <c r="J24" i="30"/>
  <c r="K24" i="30"/>
  <c r="L24" i="30"/>
  <c r="M24" i="30"/>
  <c r="N24" i="30"/>
  <c r="O24" i="30"/>
  <c r="P24" i="30"/>
  <c r="Q24" i="30"/>
  <c r="R24" i="30"/>
  <c r="S24" i="30"/>
  <c r="T24" i="30"/>
  <c r="U24" i="30"/>
  <c r="V24" i="30"/>
  <c r="W24" i="30"/>
  <c r="X24" i="30"/>
  <c r="Y24" i="30"/>
  <c r="Z24" i="30"/>
  <c r="AA24" i="30"/>
  <c r="AB24" i="30"/>
  <c r="AC24" i="30"/>
  <c r="AD24" i="30"/>
  <c r="AE24" i="30"/>
  <c r="AF24" i="30"/>
  <c r="AG24" i="30"/>
  <c r="AH24" i="30"/>
  <c r="AI24" i="30"/>
  <c r="AJ24" i="30"/>
  <c r="AK24" i="30"/>
  <c r="AL24" i="30"/>
  <c r="AM24" i="30"/>
  <c r="AN24" i="30"/>
  <c r="AO24" i="30"/>
  <c r="AP24" i="30"/>
  <c r="AQ24" i="30"/>
  <c r="AR24" i="30"/>
  <c r="AS24" i="30"/>
  <c r="AT24" i="30"/>
  <c r="AU24" i="30"/>
  <c r="AV24" i="30"/>
  <c r="AW24" i="30"/>
  <c r="AX24" i="30"/>
  <c r="J37" i="30"/>
  <c r="K37" i="30"/>
  <c r="L37" i="30"/>
  <c r="M37" i="30"/>
  <c r="N37" i="30"/>
  <c r="O37" i="30"/>
  <c r="P37" i="30"/>
  <c r="Q37" i="30"/>
  <c r="R37" i="30"/>
  <c r="S37" i="30"/>
  <c r="T37" i="30"/>
  <c r="U37" i="30"/>
  <c r="V37" i="30"/>
  <c r="W37" i="30"/>
  <c r="X37" i="30"/>
  <c r="Y37" i="30"/>
  <c r="Z37" i="30"/>
  <c r="AA37" i="30"/>
  <c r="AB37" i="30"/>
  <c r="AC37" i="30"/>
  <c r="AD37" i="30"/>
  <c r="AE37" i="30"/>
  <c r="AF37" i="30"/>
  <c r="AG37" i="30"/>
  <c r="AH37" i="30"/>
  <c r="AI37" i="30"/>
  <c r="AJ37" i="30"/>
  <c r="AK37" i="30"/>
  <c r="AL37" i="30"/>
  <c r="AM37" i="30"/>
  <c r="AN37" i="30"/>
  <c r="AO37" i="30"/>
  <c r="AP37" i="30"/>
  <c r="AQ37" i="30"/>
  <c r="AR37" i="30"/>
  <c r="AS37" i="30"/>
  <c r="AT37" i="30"/>
  <c r="AU37" i="30"/>
  <c r="AV37" i="30"/>
  <c r="AW37" i="30"/>
  <c r="AX37" i="30"/>
  <c r="J38" i="30"/>
  <c r="K38" i="30"/>
  <c r="L38" i="30"/>
  <c r="M38" i="30"/>
  <c r="N38" i="30"/>
  <c r="O38" i="30"/>
  <c r="P38" i="30"/>
  <c r="Q38" i="30"/>
  <c r="R38" i="30"/>
  <c r="S38" i="30"/>
  <c r="T38" i="30"/>
  <c r="U38" i="30"/>
  <c r="V38" i="30"/>
  <c r="W38" i="30"/>
  <c r="X38" i="30"/>
  <c r="Y38" i="30"/>
  <c r="Z38" i="30"/>
  <c r="AA38" i="30"/>
  <c r="AB38" i="30"/>
  <c r="AC38" i="30"/>
  <c r="AD38" i="30"/>
  <c r="AE38" i="30"/>
  <c r="AF38" i="30"/>
  <c r="AG38" i="30"/>
  <c r="AH38" i="30"/>
  <c r="AI38" i="30"/>
  <c r="AJ38" i="30"/>
  <c r="AK38" i="30"/>
  <c r="AL38" i="30"/>
  <c r="AM38" i="30"/>
  <c r="AN38" i="30"/>
  <c r="AO38" i="30"/>
  <c r="AP38" i="30"/>
  <c r="AQ38" i="30"/>
  <c r="AR38" i="30"/>
  <c r="AS38" i="30"/>
  <c r="AT38" i="30"/>
  <c r="AU38" i="30"/>
  <c r="AV38" i="30"/>
  <c r="AW38" i="30"/>
  <c r="AX38" i="30"/>
  <c r="J39" i="30"/>
  <c r="K39" i="30"/>
  <c r="L39" i="30"/>
  <c r="M39" i="30"/>
  <c r="N39" i="30"/>
  <c r="O39" i="30"/>
  <c r="P39" i="30"/>
  <c r="Q39" i="30"/>
  <c r="R39" i="30"/>
  <c r="S39" i="30"/>
  <c r="T39" i="30"/>
  <c r="U39" i="30"/>
  <c r="V39" i="30"/>
  <c r="W39" i="30"/>
  <c r="X39" i="30"/>
  <c r="Y39" i="30"/>
  <c r="Z39" i="30"/>
  <c r="AA39" i="30"/>
  <c r="AB39" i="30"/>
  <c r="AC39" i="30"/>
  <c r="AD39" i="30"/>
  <c r="AE39" i="30"/>
  <c r="AF39" i="30"/>
  <c r="AG39" i="30"/>
  <c r="AH39" i="30"/>
  <c r="AI39" i="30"/>
  <c r="AJ39" i="30"/>
  <c r="AK39" i="30"/>
  <c r="AL39" i="30"/>
  <c r="AM39" i="30"/>
  <c r="AN39" i="30"/>
  <c r="AO39" i="30"/>
  <c r="AP39" i="30"/>
  <c r="AQ39" i="30"/>
  <c r="AR39" i="30"/>
  <c r="AS39" i="30"/>
  <c r="AT39" i="30"/>
  <c r="AU39" i="30"/>
  <c r="AV39" i="30"/>
  <c r="AW39" i="30"/>
  <c r="AX39" i="30"/>
  <c r="J40" i="30"/>
  <c r="K40" i="30"/>
  <c r="L40" i="30"/>
  <c r="M40" i="30"/>
  <c r="N40" i="30"/>
  <c r="O40" i="30"/>
  <c r="P40" i="30"/>
  <c r="Q40" i="30"/>
  <c r="R40" i="30"/>
  <c r="S40" i="30"/>
  <c r="T40" i="30"/>
  <c r="U40" i="30"/>
  <c r="V40" i="30"/>
  <c r="W40" i="30"/>
  <c r="X40" i="30"/>
  <c r="Y40" i="30"/>
  <c r="Z40" i="30"/>
  <c r="AA40" i="30"/>
  <c r="AB40" i="30"/>
  <c r="AC40" i="30"/>
  <c r="AD40" i="30"/>
  <c r="AE40" i="30"/>
  <c r="AF40" i="30"/>
  <c r="AG40" i="30"/>
  <c r="AH40" i="30"/>
  <c r="AI40" i="30"/>
  <c r="AJ40" i="30"/>
  <c r="AK40" i="30"/>
  <c r="AL40" i="30"/>
  <c r="AM40" i="30"/>
  <c r="AN40" i="30"/>
  <c r="AO40" i="30"/>
  <c r="AP40" i="30"/>
  <c r="AQ40" i="30"/>
  <c r="AR40" i="30"/>
  <c r="AS40" i="30"/>
  <c r="AT40" i="30"/>
  <c r="AU40" i="30"/>
  <c r="AV40" i="30"/>
  <c r="AW40" i="30"/>
  <c r="AX40" i="30"/>
  <c r="J41" i="30"/>
  <c r="K41" i="30"/>
  <c r="L41" i="30"/>
  <c r="M41" i="30"/>
  <c r="N41" i="30"/>
  <c r="O41" i="30"/>
  <c r="P41" i="30"/>
  <c r="Q41" i="30"/>
  <c r="R41" i="30"/>
  <c r="S41" i="30"/>
  <c r="T41" i="30"/>
  <c r="U41" i="30"/>
  <c r="V41" i="30"/>
  <c r="W41" i="30"/>
  <c r="X41" i="30"/>
  <c r="Y41" i="30"/>
  <c r="Z41" i="30"/>
  <c r="AA41" i="30"/>
  <c r="AB41" i="30"/>
  <c r="AC41" i="30"/>
  <c r="AD41" i="30"/>
  <c r="AE41" i="30"/>
  <c r="AF41" i="30"/>
  <c r="AG41" i="30"/>
  <c r="AH41" i="30"/>
  <c r="AI41" i="30"/>
  <c r="AJ41" i="30"/>
  <c r="AK41" i="30"/>
  <c r="AL41" i="30"/>
  <c r="AM41" i="30"/>
  <c r="AN41" i="30"/>
  <c r="AO41" i="30"/>
  <c r="AP41" i="30"/>
  <c r="AQ41" i="30"/>
  <c r="AR41" i="30"/>
  <c r="AS41" i="30"/>
  <c r="AT41" i="30"/>
  <c r="AU41" i="30"/>
  <c r="AV41" i="30"/>
  <c r="AW41" i="30"/>
  <c r="AX41" i="30"/>
  <c r="J42" i="30"/>
  <c r="K42" i="30"/>
  <c r="L42" i="30"/>
  <c r="M42" i="30"/>
  <c r="N42" i="30"/>
  <c r="O42" i="30"/>
  <c r="P42" i="30"/>
  <c r="Q42" i="30"/>
  <c r="R42" i="30"/>
  <c r="S42" i="30"/>
  <c r="T42" i="30"/>
  <c r="U42" i="30"/>
  <c r="V42" i="30"/>
  <c r="W42" i="30"/>
  <c r="X42" i="30"/>
  <c r="Y42" i="30"/>
  <c r="Z42" i="30"/>
  <c r="AA42" i="30"/>
  <c r="AB42" i="30"/>
  <c r="AC42" i="30"/>
  <c r="AD42" i="30"/>
  <c r="AE42" i="30"/>
  <c r="AF42" i="30"/>
  <c r="AG42" i="30"/>
  <c r="AH42" i="30"/>
  <c r="AI42" i="30"/>
  <c r="AJ42" i="30"/>
  <c r="AK42" i="30"/>
  <c r="AL42" i="30"/>
  <c r="AM42" i="30"/>
  <c r="AN42" i="30"/>
  <c r="AO42" i="30"/>
  <c r="AP42" i="30"/>
  <c r="AQ42" i="30"/>
  <c r="AR42" i="30"/>
  <c r="AS42" i="30"/>
  <c r="AT42" i="30"/>
  <c r="AU42" i="30"/>
  <c r="AV42" i="30"/>
  <c r="AW42" i="30"/>
  <c r="AX42" i="30"/>
  <c r="J43" i="30"/>
  <c r="K43" i="30"/>
  <c r="L43" i="30"/>
  <c r="M43" i="30"/>
  <c r="N43" i="30"/>
  <c r="O43" i="30"/>
  <c r="P43" i="30"/>
  <c r="Q43" i="30"/>
  <c r="R43" i="30"/>
  <c r="S43" i="30"/>
  <c r="T43" i="30"/>
  <c r="U43" i="30"/>
  <c r="V43" i="30"/>
  <c r="W43" i="30"/>
  <c r="X43" i="30"/>
  <c r="Y43" i="30"/>
  <c r="Z43" i="30"/>
  <c r="AA43" i="30"/>
  <c r="AB43" i="30"/>
  <c r="AC43" i="30"/>
  <c r="AD43" i="30"/>
  <c r="AE43" i="30"/>
  <c r="AF43" i="30"/>
  <c r="AG43" i="30"/>
  <c r="AH43" i="30"/>
  <c r="AI43" i="30"/>
  <c r="AJ43" i="30"/>
  <c r="AK43" i="30"/>
  <c r="AL43" i="30"/>
  <c r="AM43" i="30"/>
  <c r="AN43" i="30"/>
  <c r="AO43" i="30"/>
  <c r="AP43" i="30"/>
  <c r="AQ43" i="30"/>
  <c r="AR43" i="30"/>
  <c r="AS43" i="30"/>
  <c r="AT43" i="30"/>
  <c r="AU43" i="30"/>
  <c r="AV43" i="30"/>
  <c r="AW43" i="30"/>
  <c r="AX43" i="30"/>
  <c r="J44" i="30"/>
  <c r="K44" i="30"/>
  <c r="L44" i="30"/>
  <c r="M44" i="30"/>
  <c r="N44" i="30"/>
  <c r="O44" i="30"/>
  <c r="P44" i="30"/>
  <c r="Q44" i="30"/>
  <c r="R44" i="30"/>
  <c r="S44" i="30"/>
  <c r="T44" i="30"/>
  <c r="U44" i="30"/>
  <c r="V44" i="30"/>
  <c r="W44" i="30"/>
  <c r="X44" i="30"/>
  <c r="Y44" i="30"/>
  <c r="Z44" i="30"/>
  <c r="AA44" i="30"/>
  <c r="AB44" i="30"/>
  <c r="AC44" i="30"/>
  <c r="AD44" i="30"/>
  <c r="AE44" i="30"/>
  <c r="AF44" i="30"/>
  <c r="AG44" i="30"/>
  <c r="AH44" i="30"/>
  <c r="AI44" i="30"/>
  <c r="AJ44" i="30"/>
  <c r="AK44" i="30"/>
  <c r="AL44" i="30"/>
  <c r="AM44" i="30"/>
  <c r="AN44" i="30"/>
  <c r="AO44" i="30"/>
  <c r="AP44" i="30"/>
  <c r="AQ44" i="30"/>
  <c r="AR44" i="30"/>
  <c r="AS44" i="30"/>
  <c r="AT44" i="30"/>
  <c r="AU44" i="30"/>
  <c r="AV44" i="30"/>
  <c r="AW44" i="30"/>
  <c r="AX44" i="30"/>
  <c r="A38" i="30"/>
  <c r="C38" i="30"/>
  <c r="D38" i="30"/>
  <c r="E38" i="30"/>
  <c r="F38" i="30"/>
  <c r="G38" i="30"/>
  <c r="H38" i="30"/>
  <c r="I38" i="30"/>
  <c r="A39" i="30"/>
  <c r="C39" i="30"/>
  <c r="D39" i="30"/>
  <c r="E39" i="30"/>
  <c r="F39" i="30"/>
  <c r="G39" i="30"/>
  <c r="H39" i="30"/>
  <c r="I39" i="30"/>
  <c r="A40" i="30"/>
  <c r="C40" i="30"/>
  <c r="D40" i="30"/>
  <c r="E40" i="30"/>
  <c r="F40" i="30"/>
  <c r="G40" i="30"/>
  <c r="H40" i="30"/>
  <c r="I40" i="30"/>
  <c r="A41" i="30"/>
  <c r="C41" i="30"/>
  <c r="D41" i="30"/>
  <c r="E41" i="30"/>
  <c r="F41" i="30"/>
  <c r="G41" i="30"/>
  <c r="H41" i="30"/>
  <c r="I41" i="30"/>
  <c r="A42" i="30"/>
  <c r="C42" i="30"/>
  <c r="D42" i="30"/>
  <c r="E42" i="30"/>
  <c r="F42" i="30"/>
  <c r="G42" i="30"/>
  <c r="H42" i="30"/>
  <c r="I42" i="30"/>
  <c r="A43" i="30"/>
  <c r="C43" i="30"/>
  <c r="D43" i="30"/>
  <c r="E43" i="30"/>
  <c r="F43" i="30"/>
  <c r="G43" i="30"/>
  <c r="H43" i="30"/>
  <c r="I43" i="30"/>
  <c r="A44" i="30"/>
  <c r="C44" i="30"/>
  <c r="D44" i="30"/>
  <c r="E44" i="30"/>
  <c r="F44" i="30"/>
  <c r="G44" i="30"/>
  <c r="H44" i="30"/>
  <c r="I44" i="30"/>
  <c r="A45" i="30"/>
  <c r="C45" i="30"/>
  <c r="D45" i="30"/>
  <c r="E45" i="30"/>
  <c r="F45" i="30"/>
  <c r="G45" i="30"/>
  <c r="H45" i="30"/>
  <c r="I45" i="30"/>
  <c r="A46" i="30"/>
  <c r="C46" i="30"/>
  <c r="D46" i="30"/>
  <c r="E46" i="30"/>
  <c r="F46" i="30"/>
  <c r="G46" i="30"/>
  <c r="H46" i="30"/>
  <c r="I46" i="30"/>
  <c r="AY42" i="30"/>
  <c r="AY43" i="30"/>
  <c r="AY44" i="30"/>
  <c r="AY45" i="30"/>
  <c r="AY46" i="30"/>
  <c r="J47" i="32"/>
  <c r="K47" i="32"/>
  <c r="L47" i="32"/>
  <c r="M47" i="32"/>
  <c r="N47" i="32"/>
  <c r="O47" i="32"/>
  <c r="P47" i="32"/>
  <c r="Q47" i="32"/>
  <c r="R47" i="32"/>
  <c r="S47" i="32"/>
  <c r="T47" i="32"/>
  <c r="U47" i="32"/>
  <c r="V47" i="32"/>
  <c r="W47" i="32"/>
  <c r="X47" i="32"/>
  <c r="Y47" i="32"/>
  <c r="Z47" i="32"/>
  <c r="AA47" i="32"/>
  <c r="AB47" i="32"/>
  <c r="AC47" i="32"/>
  <c r="AD47" i="32"/>
  <c r="AE47" i="32"/>
  <c r="AF47" i="32"/>
  <c r="AG47" i="32"/>
  <c r="AH47" i="32"/>
  <c r="AI47" i="32"/>
  <c r="AJ47" i="32"/>
  <c r="AK47" i="32"/>
  <c r="AL47" i="32"/>
  <c r="AM47" i="32"/>
  <c r="AN47" i="32"/>
  <c r="AO47" i="32"/>
  <c r="AP47" i="32"/>
  <c r="AQ47" i="32"/>
  <c r="AR47" i="32"/>
  <c r="AS47" i="32"/>
  <c r="AT47" i="32"/>
  <c r="AU47" i="32"/>
  <c r="AV47" i="32"/>
  <c r="AW47" i="32"/>
  <c r="AX47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Z48" i="32"/>
  <c r="AA48" i="32"/>
  <c r="AB48" i="32"/>
  <c r="AC48" i="32"/>
  <c r="AD48" i="32"/>
  <c r="AE48" i="32"/>
  <c r="AF48" i="32"/>
  <c r="AG48" i="32"/>
  <c r="AH48" i="32"/>
  <c r="AI48" i="32"/>
  <c r="AJ48" i="32"/>
  <c r="AK48" i="32"/>
  <c r="AL48" i="32"/>
  <c r="AM48" i="32"/>
  <c r="AN48" i="32"/>
  <c r="AO48" i="32"/>
  <c r="AP48" i="32"/>
  <c r="AQ48" i="32"/>
  <c r="AR48" i="32"/>
  <c r="AS48" i="32"/>
  <c r="AT48" i="32"/>
  <c r="AU48" i="32"/>
  <c r="AV48" i="32"/>
  <c r="AW48" i="32"/>
  <c r="AX48" i="32"/>
  <c r="J49" i="32"/>
  <c r="K49" i="32"/>
  <c r="L49" i="32"/>
  <c r="M49" i="32"/>
  <c r="N49" i="32"/>
  <c r="O49" i="32"/>
  <c r="P49" i="32"/>
  <c r="Q49" i="32"/>
  <c r="R49" i="32"/>
  <c r="S49" i="32"/>
  <c r="T49" i="32"/>
  <c r="U49" i="32"/>
  <c r="V49" i="32"/>
  <c r="W49" i="32"/>
  <c r="X49" i="32"/>
  <c r="Y49" i="32"/>
  <c r="Z49" i="32"/>
  <c r="AA49" i="32"/>
  <c r="AB49" i="32"/>
  <c r="AC49" i="32"/>
  <c r="AD49" i="32"/>
  <c r="AE49" i="32"/>
  <c r="AF49" i="32"/>
  <c r="AG49" i="32"/>
  <c r="AH49" i="32"/>
  <c r="AI49" i="32"/>
  <c r="AJ49" i="32"/>
  <c r="AK49" i="32"/>
  <c r="AL49" i="32"/>
  <c r="AM49" i="32"/>
  <c r="AN49" i="32"/>
  <c r="AO49" i="32"/>
  <c r="AP49" i="32"/>
  <c r="AQ49" i="32"/>
  <c r="AR49" i="32"/>
  <c r="AS49" i="32"/>
  <c r="AT49" i="32"/>
  <c r="AU49" i="32"/>
  <c r="AV49" i="32"/>
  <c r="AW49" i="32"/>
  <c r="AX49" i="32"/>
  <c r="J50" i="32"/>
  <c r="K50" i="32"/>
  <c r="L50" i="32"/>
  <c r="M50" i="32"/>
  <c r="N50" i="32"/>
  <c r="O50" i="32"/>
  <c r="P50" i="32"/>
  <c r="Q50" i="32"/>
  <c r="R50" i="32"/>
  <c r="S50" i="32"/>
  <c r="T50" i="32"/>
  <c r="U50" i="32"/>
  <c r="V50" i="32"/>
  <c r="W50" i="32"/>
  <c r="X50" i="32"/>
  <c r="Y50" i="32"/>
  <c r="Z50" i="32"/>
  <c r="AA50" i="32"/>
  <c r="AB50" i="32"/>
  <c r="AC50" i="32"/>
  <c r="AD50" i="32"/>
  <c r="AE50" i="32"/>
  <c r="AF50" i="32"/>
  <c r="AG50" i="32"/>
  <c r="AH50" i="32"/>
  <c r="AI50" i="32"/>
  <c r="AJ50" i="32"/>
  <c r="AK50" i="32"/>
  <c r="AL50" i="32"/>
  <c r="AM50" i="32"/>
  <c r="AN50" i="32"/>
  <c r="AO50" i="32"/>
  <c r="AP50" i="32"/>
  <c r="AQ50" i="32"/>
  <c r="AR50" i="32"/>
  <c r="AS50" i="32"/>
  <c r="AT50" i="32"/>
  <c r="AU50" i="32"/>
  <c r="AV50" i="32"/>
  <c r="AW50" i="32"/>
  <c r="AX50" i="32"/>
  <c r="J51" i="32"/>
  <c r="K51" i="32"/>
  <c r="L51" i="32"/>
  <c r="M51" i="32"/>
  <c r="N51" i="32"/>
  <c r="O51" i="32"/>
  <c r="P51" i="32"/>
  <c r="Q51" i="32"/>
  <c r="R51" i="32"/>
  <c r="S51" i="32"/>
  <c r="T51" i="32"/>
  <c r="U51" i="32"/>
  <c r="V51" i="32"/>
  <c r="W51" i="32"/>
  <c r="X51" i="32"/>
  <c r="Y51" i="32"/>
  <c r="Z51" i="32"/>
  <c r="AA51" i="32"/>
  <c r="AB51" i="32"/>
  <c r="AC51" i="32"/>
  <c r="AD51" i="32"/>
  <c r="AE51" i="32"/>
  <c r="AF51" i="32"/>
  <c r="AG51" i="32"/>
  <c r="AH51" i="32"/>
  <c r="AI51" i="32"/>
  <c r="AJ51" i="32"/>
  <c r="AK51" i="32"/>
  <c r="AL51" i="32"/>
  <c r="AM51" i="32"/>
  <c r="AN51" i="32"/>
  <c r="AO51" i="32"/>
  <c r="AP51" i="32"/>
  <c r="AQ51" i="32"/>
  <c r="AR51" i="32"/>
  <c r="AS51" i="32"/>
  <c r="AT51" i="32"/>
  <c r="AU51" i="32"/>
  <c r="AV51" i="32"/>
  <c r="AW51" i="32"/>
  <c r="AX51" i="32"/>
  <c r="C49" i="32"/>
  <c r="C50" i="32"/>
  <c r="D49" i="32"/>
  <c r="D50" i="32"/>
  <c r="E49" i="32"/>
  <c r="E50" i="32"/>
  <c r="F49" i="32"/>
  <c r="F50" i="32"/>
  <c r="G49" i="32"/>
  <c r="G50" i="32"/>
  <c r="H49" i="32"/>
  <c r="H50" i="32"/>
  <c r="I49" i="32"/>
  <c r="I50" i="32"/>
  <c r="AY49" i="32"/>
  <c r="AY50" i="32"/>
  <c r="AX34" i="40"/>
  <c r="AW34" i="40"/>
  <c r="AV34" i="40"/>
  <c r="AU34" i="40"/>
  <c r="AT34" i="40"/>
  <c r="AS34" i="40"/>
  <c r="AR34" i="40"/>
  <c r="AQ34" i="40"/>
  <c r="AP34" i="40"/>
  <c r="AO34" i="40"/>
  <c r="AN34" i="40"/>
  <c r="AM34" i="40"/>
  <c r="AL34" i="40"/>
  <c r="AK34" i="40"/>
  <c r="AJ34" i="40"/>
  <c r="AI34" i="40"/>
  <c r="AH34" i="40"/>
  <c r="AG34" i="40"/>
  <c r="AF34" i="40"/>
  <c r="AE34" i="40"/>
  <c r="AD34" i="40"/>
  <c r="AC34" i="40"/>
  <c r="AB34" i="40"/>
  <c r="AA34" i="40"/>
  <c r="Z34" i="40"/>
  <c r="Y34" i="40"/>
  <c r="X34" i="40"/>
  <c r="W34" i="40"/>
  <c r="V34" i="40"/>
  <c r="U34" i="40"/>
  <c r="T34" i="40"/>
  <c r="S34" i="40"/>
  <c r="R34" i="40"/>
  <c r="Q34" i="40"/>
  <c r="P34" i="40"/>
  <c r="O34" i="40"/>
  <c r="N34" i="40"/>
  <c r="M34" i="40"/>
  <c r="L34" i="40"/>
  <c r="K34" i="40"/>
  <c r="J34" i="40"/>
  <c r="AX32" i="40"/>
  <c r="AW32" i="40"/>
  <c r="AV32" i="40"/>
  <c r="AU32" i="40"/>
  <c r="AT32" i="40"/>
  <c r="AS32" i="40"/>
  <c r="AR32" i="40"/>
  <c r="AQ32" i="40"/>
  <c r="AP32" i="40"/>
  <c r="AO32" i="40"/>
  <c r="AN32" i="40"/>
  <c r="AM32" i="40"/>
  <c r="AL32" i="40"/>
  <c r="AK32" i="40"/>
  <c r="AJ32" i="40"/>
  <c r="AI32" i="40"/>
  <c r="AH32" i="40"/>
  <c r="AG32" i="40"/>
  <c r="AF32" i="40"/>
  <c r="AE32" i="40"/>
  <c r="AD32" i="40"/>
  <c r="AC32" i="40"/>
  <c r="AB32" i="40"/>
  <c r="AA32" i="40"/>
  <c r="Z32" i="40"/>
  <c r="Y32" i="40"/>
  <c r="X32" i="40"/>
  <c r="W32" i="40"/>
  <c r="V32" i="40"/>
  <c r="U32" i="40"/>
  <c r="T32" i="40"/>
  <c r="S32" i="40"/>
  <c r="R32" i="40"/>
  <c r="Q32" i="40"/>
  <c r="P32" i="40"/>
  <c r="O32" i="40"/>
  <c r="N32" i="40"/>
  <c r="M32" i="40"/>
  <c r="L32" i="40"/>
  <c r="K32" i="40"/>
  <c r="J32" i="40"/>
  <c r="AX31" i="40"/>
  <c r="AW31" i="40"/>
  <c r="AV31" i="40"/>
  <c r="AU31" i="40"/>
  <c r="AT31" i="40"/>
  <c r="AS31" i="40"/>
  <c r="AR31" i="40"/>
  <c r="AQ31" i="40"/>
  <c r="AP31" i="40"/>
  <c r="AO31" i="40"/>
  <c r="AN31" i="40"/>
  <c r="AM31" i="40"/>
  <c r="AL31" i="40"/>
  <c r="AK31" i="40"/>
  <c r="AJ31" i="40"/>
  <c r="AI31" i="40"/>
  <c r="AH31" i="40"/>
  <c r="AG31" i="40"/>
  <c r="AF31" i="40"/>
  <c r="AE31" i="40"/>
  <c r="AD31" i="40"/>
  <c r="AC31" i="40"/>
  <c r="AB31" i="40"/>
  <c r="AA31" i="40"/>
  <c r="Z31" i="40"/>
  <c r="Y31" i="40"/>
  <c r="X31" i="40"/>
  <c r="W31" i="40"/>
  <c r="V31" i="40"/>
  <c r="U31" i="40"/>
  <c r="T31" i="40"/>
  <c r="S31" i="40"/>
  <c r="R31" i="40"/>
  <c r="Q31" i="40"/>
  <c r="P31" i="40"/>
  <c r="O31" i="40"/>
  <c r="N31" i="40"/>
  <c r="M31" i="40"/>
  <c r="L31" i="40"/>
  <c r="K31" i="40"/>
  <c r="J31" i="40"/>
  <c r="AX19" i="40"/>
  <c r="AW19" i="40"/>
  <c r="AV19" i="40"/>
  <c r="AU19" i="40"/>
  <c r="AT19" i="40"/>
  <c r="AS19" i="40"/>
  <c r="AR19" i="40"/>
  <c r="AQ19" i="40"/>
  <c r="AP19" i="40"/>
  <c r="AO19" i="40"/>
  <c r="AN19" i="40"/>
  <c r="AM19" i="40"/>
  <c r="AL19" i="40"/>
  <c r="AK19" i="40"/>
  <c r="AJ19" i="40"/>
  <c r="AI19" i="40"/>
  <c r="AH19" i="40"/>
  <c r="AG19" i="40"/>
  <c r="AF19" i="40"/>
  <c r="AE19" i="40"/>
  <c r="AD19" i="40"/>
  <c r="AC19" i="40"/>
  <c r="AB19" i="40"/>
  <c r="AA19" i="40"/>
  <c r="Z19" i="40"/>
  <c r="Y19" i="40"/>
  <c r="X19" i="40"/>
  <c r="W19" i="40"/>
  <c r="V19" i="40"/>
  <c r="U19" i="40"/>
  <c r="T19" i="40"/>
  <c r="S19" i="40"/>
  <c r="R19" i="40"/>
  <c r="Q19" i="40"/>
  <c r="P19" i="40"/>
  <c r="O19" i="40"/>
  <c r="N19" i="40"/>
  <c r="M19" i="40"/>
  <c r="L19" i="40"/>
  <c r="K19" i="40"/>
  <c r="J19" i="40"/>
  <c r="AX29" i="40"/>
  <c r="AW29" i="40"/>
  <c r="AV29" i="40"/>
  <c r="AU29" i="40"/>
  <c r="AT29" i="40"/>
  <c r="AS29" i="40"/>
  <c r="AR29" i="40"/>
  <c r="AQ29" i="40"/>
  <c r="AP29" i="40"/>
  <c r="AO29" i="40"/>
  <c r="AN29" i="40"/>
  <c r="AM29" i="40"/>
  <c r="AL29" i="40"/>
  <c r="AK29" i="40"/>
  <c r="AJ29" i="40"/>
  <c r="AI29" i="40"/>
  <c r="AH29" i="40"/>
  <c r="AG29" i="40"/>
  <c r="AF29" i="40"/>
  <c r="AE29" i="40"/>
  <c r="AD29" i="40"/>
  <c r="AC29" i="40"/>
  <c r="AB29" i="40"/>
  <c r="AA29" i="40"/>
  <c r="Z29" i="40"/>
  <c r="Y29" i="40"/>
  <c r="X29" i="40"/>
  <c r="W29" i="40"/>
  <c r="V29" i="40"/>
  <c r="U29" i="40"/>
  <c r="T29" i="40"/>
  <c r="S29" i="40"/>
  <c r="R29" i="40"/>
  <c r="Q29" i="40"/>
  <c r="P29" i="40"/>
  <c r="O29" i="40"/>
  <c r="N29" i="40"/>
  <c r="M29" i="40"/>
  <c r="L29" i="40"/>
  <c r="K29" i="40"/>
  <c r="J29" i="40"/>
  <c r="AX20" i="40"/>
  <c r="AW20" i="40"/>
  <c r="AV20" i="40"/>
  <c r="AU20" i="40"/>
  <c r="AT20" i="40"/>
  <c r="AS20" i="40"/>
  <c r="AR20" i="40"/>
  <c r="AQ20" i="40"/>
  <c r="AP20" i="40"/>
  <c r="AO20" i="40"/>
  <c r="AN20" i="40"/>
  <c r="AM20" i="40"/>
  <c r="AL20" i="40"/>
  <c r="AK20" i="40"/>
  <c r="AJ20" i="40"/>
  <c r="AI20" i="40"/>
  <c r="AH20" i="40"/>
  <c r="AG20" i="40"/>
  <c r="AF20" i="40"/>
  <c r="AE20" i="40"/>
  <c r="AD20" i="40"/>
  <c r="AC20" i="40"/>
  <c r="AB20" i="40"/>
  <c r="AA20" i="40"/>
  <c r="Z20" i="40"/>
  <c r="Y20" i="40"/>
  <c r="X20" i="40"/>
  <c r="W20" i="40"/>
  <c r="V20" i="40"/>
  <c r="U20" i="40"/>
  <c r="T20" i="40"/>
  <c r="S20" i="40"/>
  <c r="R20" i="40"/>
  <c r="Q20" i="40"/>
  <c r="P20" i="40"/>
  <c r="O20" i="40"/>
  <c r="N20" i="40"/>
  <c r="M20" i="40"/>
  <c r="L20" i="40"/>
  <c r="K20" i="40"/>
  <c r="J20" i="40"/>
  <c r="AX17" i="40"/>
  <c r="AW17" i="40"/>
  <c r="AV17" i="40"/>
  <c r="AU17" i="40"/>
  <c r="AT17" i="40"/>
  <c r="AS17" i="40"/>
  <c r="AR17" i="40"/>
  <c r="AQ17" i="40"/>
  <c r="AP17" i="40"/>
  <c r="AO17" i="40"/>
  <c r="AN17" i="40"/>
  <c r="AM17" i="40"/>
  <c r="AL17" i="40"/>
  <c r="AK17" i="40"/>
  <c r="AJ17" i="40"/>
  <c r="AI17" i="40"/>
  <c r="AH17" i="40"/>
  <c r="AG17" i="40"/>
  <c r="AF17" i="40"/>
  <c r="AE17" i="40"/>
  <c r="AD17" i="40"/>
  <c r="AC17" i="40"/>
  <c r="AB17" i="40"/>
  <c r="AA17" i="40"/>
  <c r="Z17" i="40"/>
  <c r="Y17" i="40"/>
  <c r="X17" i="40"/>
  <c r="W17" i="40"/>
  <c r="V17" i="40"/>
  <c r="U17" i="40"/>
  <c r="T17" i="40"/>
  <c r="S17" i="40"/>
  <c r="R17" i="40"/>
  <c r="Q17" i="40"/>
  <c r="P17" i="40"/>
  <c r="O17" i="40"/>
  <c r="N17" i="40"/>
  <c r="M17" i="40"/>
  <c r="L17" i="40"/>
  <c r="K17" i="40"/>
  <c r="J17" i="40"/>
  <c r="AX15" i="40"/>
  <c r="AW15" i="40"/>
  <c r="AV15" i="40"/>
  <c r="AU15" i="40"/>
  <c r="AT15" i="40"/>
  <c r="AS15" i="40"/>
  <c r="AR15" i="40"/>
  <c r="AQ15" i="40"/>
  <c r="AP15" i="40"/>
  <c r="AO15" i="40"/>
  <c r="AN15" i="40"/>
  <c r="AM15" i="40"/>
  <c r="AL15" i="40"/>
  <c r="AK15" i="40"/>
  <c r="AJ15" i="40"/>
  <c r="AI15" i="40"/>
  <c r="AH15" i="40"/>
  <c r="AG15" i="40"/>
  <c r="AF15" i="40"/>
  <c r="AE15" i="40"/>
  <c r="AD15" i="40"/>
  <c r="AC15" i="40"/>
  <c r="AB15" i="40"/>
  <c r="AA15" i="40"/>
  <c r="Z15" i="40"/>
  <c r="Y15" i="40"/>
  <c r="X15" i="40"/>
  <c r="W15" i="40"/>
  <c r="V15" i="40"/>
  <c r="U15" i="40"/>
  <c r="T15" i="40"/>
  <c r="S15" i="40"/>
  <c r="R15" i="40"/>
  <c r="Q15" i="40"/>
  <c r="P15" i="40"/>
  <c r="O15" i="40"/>
  <c r="N15" i="40"/>
  <c r="M15" i="40"/>
  <c r="L15" i="40"/>
  <c r="K15" i="40"/>
  <c r="J15" i="40"/>
  <c r="AX13" i="40"/>
  <c r="AW13" i="40"/>
  <c r="AV13" i="40"/>
  <c r="AU13" i="40"/>
  <c r="AT13" i="40"/>
  <c r="AS13" i="40"/>
  <c r="AR13" i="40"/>
  <c r="AQ13" i="40"/>
  <c r="AP13" i="40"/>
  <c r="AO13" i="40"/>
  <c r="AN13" i="40"/>
  <c r="AM13" i="40"/>
  <c r="AL13" i="40"/>
  <c r="AK13" i="40"/>
  <c r="AJ13" i="40"/>
  <c r="AI13" i="40"/>
  <c r="AH13" i="40"/>
  <c r="AG13" i="40"/>
  <c r="AF13" i="40"/>
  <c r="AE13" i="40"/>
  <c r="AD13" i="40"/>
  <c r="AC13" i="40"/>
  <c r="AB13" i="40"/>
  <c r="AA13" i="40"/>
  <c r="Z13" i="40"/>
  <c r="Y13" i="40"/>
  <c r="X13" i="40"/>
  <c r="W13" i="40"/>
  <c r="V13" i="40"/>
  <c r="U13" i="40"/>
  <c r="T13" i="40"/>
  <c r="S13" i="40"/>
  <c r="R13" i="40"/>
  <c r="Q13" i="40"/>
  <c r="P13" i="40"/>
  <c r="O13" i="40"/>
  <c r="N13" i="40"/>
  <c r="M13" i="40"/>
  <c r="L13" i="40"/>
  <c r="K13" i="40"/>
  <c r="J13" i="40"/>
  <c r="AX11" i="40"/>
  <c r="AW11" i="40"/>
  <c r="AV11" i="40"/>
  <c r="AU11" i="40"/>
  <c r="AT11" i="40"/>
  <c r="AS11" i="40"/>
  <c r="AR11" i="40"/>
  <c r="AQ11" i="40"/>
  <c r="AP11" i="40"/>
  <c r="AO11" i="40"/>
  <c r="AN11" i="40"/>
  <c r="AM11" i="40"/>
  <c r="AL11" i="40"/>
  <c r="AK11" i="40"/>
  <c r="AJ11" i="40"/>
  <c r="AI11" i="40"/>
  <c r="AH11" i="40"/>
  <c r="AG11" i="40"/>
  <c r="AF11" i="40"/>
  <c r="AE11" i="40"/>
  <c r="AD11" i="40"/>
  <c r="AC11" i="40"/>
  <c r="AB11" i="40"/>
  <c r="AA11" i="40"/>
  <c r="Z11" i="40"/>
  <c r="Y11" i="40"/>
  <c r="X11" i="40"/>
  <c r="W11" i="40"/>
  <c r="V11" i="40"/>
  <c r="U11" i="40"/>
  <c r="T11" i="40"/>
  <c r="S11" i="40"/>
  <c r="R11" i="40"/>
  <c r="Q11" i="40"/>
  <c r="P11" i="40"/>
  <c r="O11" i="40"/>
  <c r="N11" i="40"/>
  <c r="M11" i="40"/>
  <c r="L11" i="40"/>
  <c r="K11" i="40"/>
  <c r="J11" i="40"/>
  <c r="AX10" i="40"/>
  <c r="AW10" i="40"/>
  <c r="AV10" i="40"/>
  <c r="AU10" i="40"/>
  <c r="AT10" i="40"/>
  <c r="AS10" i="40"/>
  <c r="AR10" i="40"/>
  <c r="AQ10" i="40"/>
  <c r="AP10" i="40"/>
  <c r="AO10" i="40"/>
  <c r="AN10" i="40"/>
  <c r="AM10" i="40"/>
  <c r="AL10" i="40"/>
  <c r="AK10" i="40"/>
  <c r="AJ10" i="40"/>
  <c r="AI10" i="40"/>
  <c r="AH10" i="40"/>
  <c r="AG10" i="40"/>
  <c r="AF10" i="40"/>
  <c r="AE10" i="40"/>
  <c r="AD10" i="40"/>
  <c r="AC10" i="40"/>
  <c r="AB10" i="40"/>
  <c r="AA10" i="40"/>
  <c r="Z10" i="40"/>
  <c r="Y10" i="40"/>
  <c r="X10" i="40"/>
  <c r="W10" i="40"/>
  <c r="V10" i="40"/>
  <c r="U10" i="40"/>
  <c r="T10" i="40"/>
  <c r="S10" i="40"/>
  <c r="R10" i="40"/>
  <c r="Q10" i="40"/>
  <c r="P10" i="40"/>
  <c r="O10" i="40"/>
  <c r="N10" i="40"/>
  <c r="M10" i="40"/>
  <c r="L10" i="40"/>
  <c r="K10" i="40"/>
  <c r="J10" i="40"/>
  <c r="AX36" i="40"/>
  <c r="AW36" i="40"/>
  <c r="AV36" i="40"/>
  <c r="AU36" i="40"/>
  <c r="AT36" i="40"/>
  <c r="AS36" i="40"/>
  <c r="AR36" i="40"/>
  <c r="AQ36" i="40"/>
  <c r="AP36" i="40"/>
  <c r="AO36" i="40"/>
  <c r="AN36" i="40"/>
  <c r="AM36" i="40"/>
  <c r="AL36" i="40"/>
  <c r="AK36" i="40"/>
  <c r="AJ36" i="40"/>
  <c r="AI36" i="40"/>
  <c r="AH36" i="40"/>
  <c r="AG36" i="40"/>
  <c r="AF36" i="40"/>
  <c r="AE36" i="40"/>
  <c r="AD36" i="40"/>
  <c r="AC36" i="40"/>
  <c r="AB36" i="40"/>
  <c r="AA36" i="40"/>
  <c r="Z36" i="40"/>
  <c r="Y36" i="40"/>
  <c r="X36" i="40"/>
  <c r="W36" i="40"/>
  <c r="V36" i="40"/>
  <c r="U36" i="40"/>
  <c r="T36" i="40"/>
  <c r="S36" i="40"/>
  <c r="R36" i="40"/>
  <c r="Q36" i="40"/>
  <c r="P36" i="40"/>
  <c r="O36" i="40"/>
  <c r="N36" i="40"/>
  <c r="M36" i="40"/>
  <c r="L36" i="40"/>
  <c r="K36" i="40"/>
  <c r="J36" i="40"/>
  <c r="AX35" i="40"/>
  <c r="AW35" i="40"/>
  <c r="AV35" i="40"/>
  <c r="AU35" i="40"/>
  <c r="AT35" i="40"/>
  <c r="AS35" i="40"/>
  <c r="AR35" i="40"/>
  <c r="AQ35" i="40"/>
  <c r="AP35" i="40"/>
  <c r="AO35" i="40"/>
  <c r="AN35" i="40"/>
  <c r="AM35" i="40"/>
  <c r="AL35" i="40"/>
  <c r="AK35" i="40"/>
  <c r="AJ35" i="40"/>
  <c r="AI35" i="40"/>
  <c r="AH35" i="40"/>
  <c r="AG35" i="40"/>
  <c r="AF35" i="40"/>
  <c r="AE35" i="40"/>
  <c r="AD35" i="40"/>
  <c r="AC35" i="40"/>
  <c r="AB35" i="40"/>
  <c r="AA35" i="40"/>
  <c r="Z35" i="40"/>
  <c r="Y35" i="40"/>
  <c r="X35" i="40"/>
  <c r="W35" i="40"/>
  <c r="V35" i="40"/>
  <c r="U35" i="40"/>
  <c r="T35" i="40"/>
  <c r="S35" i="40"/>
  <c r="R35" i="40"/>
  <c r="Q35" i="40"/>
  <c r="P35" i="40"/>
  <c r="O35" i="40"/>
  <c r="N35" i="40"/>
  <c r="M35" i="40"/>
  <c r="L35" i="40"/>
  <c r="K35" i="40"/>
  <c r="J35" i="40"/>
  <c r="AX30" i="40"/>
  <c r="AW30" i="40"/>
  <c r="AV30" i="40"/>
  <c r="AU30" i="40"/>
  <c r="AT30" i="40"/>
  <c r="AS30" i="40"/>
  <c r="AR30" i="40"/>
  <c r="AQ30" i="40"/>
  <c r="AP30" i="40"/>
  <c r="AO30" i="40"/>
  <c r="AN30" i="40"/>
  <c r="AM30" i="40"/>
  <c r="AL30" i="40"/>
  <c r="AK30" i="40"/>
  <c r="AJ30" i="40"/>
  <c r="AI30" i="40"/>
  <c r="AH30" i="40"/>
  <c r="AG30" i="40"/>
  <c r="AF30" i="40"/>
  <c r="AE30" i="40"/>
  <c r="AD30" i="40"/>
  <c r="AC30" i="40"/>
  <c r="AB30" i="40"/>
  <c r="AA30" i="40"/>
  <c r="Z30" i="40"/>
  <c r="Y30" i="40"/>
  <c r="X30" i="40"/>
  <c r="W30" i="40"/>
  <c r="V30" i="40"/>
  <c r="U30" i="40"/>
  <c r="T30" i="40"/>
  <c r="S30" i="40"/>
  <c r="R30" i="40"/>
  <c r="Q30" i="40"/>
  <c r="P30" i="40"/>
  <c r="O30" i="40"/>
  <c r="N30" i="40"/>
  <c r="M30" i="40"/>
  <c r="L30" i="40"/>
  <c r="K30" i="40"/>
  <c r="J30" i="40"/>
  <c r="AX33" i="40"/>
  <c r="AW33" i="40"/>
  <c r="AV33" i="40"/>
  <c r="AU33" i="40"/>
  <c r="AT33" i="40"/>
  <c r="AS33" i="40"/>
  <c r="AR33" i="40"/>
  <c r="AQ33" i="40"/>
  <c r="AP33" i="40"/>
  <c r="AO33" i="40"/>
  <c r="AN33" i="40"/>
  <c r="AM33" i="40"/>
  <c r="AL33" i="40"/>
  <c r="AK33" i="40"/>
  <c r="AJ33" i="40"/>
  <c r="AI33" i="40"/>
  <c r="AH33" i="40"/>
  <c r="AG33" i="40"/>
  <c r="AF33" i="40"/>
  <c r="AE33" i="40"/>
  <c r="AD33" i="40"/>
  <c r="AC33" i="40"/>
  <c r="AB33" i="40"/>
  <c r="AA33" i="40"/>
  <c r="Z33" i="40"/>
  <c r="Y33" i="40"/>
  <c r="X33" i="40"/>
  <c r="W33" i="40"/>
  <c r="V33" i="40"/>
  <c r="U33" i="40"/>
  <c r="T33" i="40"/>
  <c r="S33" i="40"/>
  <c r="R33" i="40"/>
  <c r="Q33" i="40"/>
  <c r="P33" i="40"/>
  <c r="O33" i="40"/>
  <c r="N33" i="40"/>
  <c r="M33" i="40"/>
  <c r="L33" i="40"/>
  <c r="K33" i="40"/>
  <c r="J33" i="40"/>
  <c r="AX28" i="40"/>
  <c r="AW28" i="40"/>
  <c r="AV28" i="40"/>
  <c r="AU28" i="40"/>
  <c r="AT28" i="40"/>
  <c r="AS28" i="40"/>
  <c r="AR28" i="40"/>
  <c r="AQ28" i="40"/>
  <c r="AP28" i="40"/>
  <c r="AO28" i="40"/>
  <c r="AN28" i="40"/>
  <c r="AM28" i="40"/>
  <c r="AL28" i="40"/>
  <c r="AK28" i="40"/>
  <c r="AJ28" i="40"/>
  <c r="AI28" i="40"/>
  <c r="AH28" i="40"/>
  <c r="AG28" i="40"/>
  <c r="AF28" i="40"/>
  <c r="AE28" i="40"/>
  <c r="AD28" i="40"/>
  <c r="AC28" i="40"/>
  <c r="AB28" i="40"/>
  <c r="AA28" i="40"/>
  <c r="Z28" i="40"/>
  <c r="Y28" i="40"/>
  <c r="X28" i="40"/>
  <c r="W28" i="40"/>
  <c r="V28" i="40"/>
  <c r="U28" i="40"/>
  <c r="T28" i="40"/>
  <c r="S28" i="40"/>
  <c r="R28" i="40"/>
  <c r="Q28" i="40"/>
  <c r="P28" i="40"/>
  <c r="O28" i="40"/>
  <c r="N28" i="40"/>
  <c r="M28" i="40"/>
  <c r="L28" i="40"/>
  <c r="K28" i="40"/>
  <c r="J28" i="40"/>
  <c r="AX26" i="40"/>
  <c r="AW26" i="40"/>
  <c r="AV26" i="40"/>
  <c r="AU26" i="40"/>
  <c r="AT26" i="40"/>
  <c r="AS26" i="40"/>
  <c r="AR26" i="40"/>
  <c r="AQ26" i="40"/>
  <c r="AP26" i="40"/>
  <c r="AO26" i="40"/>
  <c r="AN26" i="40"/>
  <c r="AM26" i="40"/>
  <c r="AL26" i="40"/>
  <c r="AK26" i="40"/>
  <c r="AJ26" i="40"/>
  <c r="AI26" i="40"/>
  <c r="AH26" i="40"/>
  <c r="AG26" i="40"/>
  <c r="AF26" i="40"/>
  <c r="AE26" i="40"/>
  <c r="AD26" i="40"/>
  <c r="AC26" i="40"/>
  <c r="AB26" i="40"/>
  <c r="AA26" i="40"/>
  <c r="Z26" i="40"/>
  <c r="Y26" i="40"/>
  <c r="X26" i="40"/>
  <c r="W26" i="40"/>
  <c r="V26" i="40"/>
  <c r="U26" i="40"/>
  <c r="T26" i="40"/>
  <c r="S26" i="40"/>
  <c r="R26" i="40"/>
  <c r="Q26" i="40"/>
  <c r="P26" i="40"/>
  <c r="O26" i="40"/>
  <c r="N26" i="40"/>
  <c r="M26" i="40"/>
  <c r="L26" i="40"/>
  <c r="K26" i="40"/>
  <c r="J26" i="40"/>
  <c r="AX25" i="40"/>
  <c r="AW25" i="40"/>
  <c r="AV25" i="40"/>
  <c r="AU25" i="40"/>
  <c r="AT25" i="40"/>
  <c r="AS25" i="40"/>
  <c r="AR25" i="40"/>
  <c r="AQ25" i="40"/>
  <c r="AP25" i="40"/>
  <c r="AO25" i="40"/>
  <c r="AN25" i="40"/>
  <c r="AM25" i="40"/>
  <c r="AL25" i="40"/>
  <c r="AK25" i="40"/>
  <c r="AJ25" i="40"/>
  <c r="AI25" i="40"/>
  <c r="AH25" i="40"/>
  <c r="AG25" i="40"/>
  <c r="AF25" i="40"/>
  <c r="AE25" i="40"/>
  <c r="AD25" i="40"/>
  <c r="AC25" i="40"/>
  <c r="AB25" i="40"/>
  <c r="AA25" i="40"/>
  <c r="Z25" i="40"/>
  <c r="Y25" i="40"/>
  <c r="X25" i="40"/>
  <c r="W25" i="40"/>
  <c r="V25" i="40"/>
  <c r="U25" i="40"/>
  <c r="T25" i="40"/>
  <c r="S25" i="40"/>
  <c r="R25" i="40"/>
  <c r="Q25" i="40"/>
  <c r="P25" i="40"/>
  <c r="O25" i="40"/>
  <c r="N25" i="40"/>
  <c r="M25" i="40"/>
  <c r="L25" i="40"/>
  <c r="K25" i="40"/>
  <c r="J25" i="40"/>
  <c r="AX23" i="40"/>
  <c r="AW23" i="40"/>
  <c r="AV23" i="40"/>
  <c r="AU23" i="40"/>
  <c r="AT23" i="40"/>
  <c r="AS23" i="40"/>
  <c r="AR23" i="40"/>
  <c r="AQ23" i="40"/>
  <c r="AP23" i="40"/>
  <c r="AO23" i="40"/>
  <c r="AN23" i="40"/>
  <c r="AM23" i="40"/>
  <c r="AL23" i="40"/>
  <c r="AK23" i="40"/>
  <c r="AJ23" i="40"/>
  <c r="AI23" i="40"/>
  <c r="AH23" i="40"/>
  <c r="AG23" i="40"/>
  <c r="AF23" i="40"/>
  <c r="AE23" i="40"/>
  <c r="AD23" i="40"/>
  <c r="AC23" i="40"/>
  <c r="AB23" i="40"/>
  <c r="AA23" i="40"/>
  <c r="Z23" i="40"/>
  <c r="Y23" i="40"/>
  <c r="X23" i="40"/>
  <c r="W23" i="40"/>
  <c r="V23" i="40"/>
  <c r="U23" i="40"/>
  <c r="T23" i="40"/>
  <c r="S23" i="40"/>
  <c r="R23" i="40"/>
  <c r="Q23" i="40"/>
  <c r="P23" i="40"/>
  <c r="O23" i="40"/>
  <c r="N23" i="40"/>
  <c r="M23" i="40"/>
  <c r="L23" i="40"/>
  <c r="K23" i="40"/>
  <c r="J23" i="40"/>
  <c r="AX22" i="40"/>
  <c r="AW22" i="40"/>
  <c r="AV22" i="40"/>
  <c r="AU22" i="40"/>
  <c r="AT22" i="40"/>
  <c r="AS22" i="40"/>
  <c r="AR22" i="40"/>
  <c r="AQ22" i="40"/>
  <c r="AP22" i="40"/>
  <c r="AO22" i="40"/>
  <c r="AN22" i="40"/>
  <c r="AM22" i="40"/>
  <c r="AL22" i="40"/>
  <c r="AK22" i="40"/>
  <c r="AJ22" i="40"/>
  <c r="AI22" i="40"/>
  <c r="AH22" i="40"/>
  <c r="AG22" i="40"/>
  <c r="AF22" i="40"/>
  <c r="AE22" i="40"/>
  <c r="AD22" i="40"/>
  <c r="AC22" i="40"/>
  <c r="AB22" i="40"/>
  <c r="AA22" i="40"/>
  <c r="Z22" i="40"/>
  <c r="Y22" i="40"/>
  <c r="X22" i="40"/>
  <c r="W22" i="40"/>
  <c r="V22" i="40"/>
  <c r="U22" i="40"/>
  <c r="T22" i="40"/>
  <c r="S22" i="40"/>
  <c r="R22" i="40"/>
  <c r="Q22" i="40"/>
  <c r="P22" i="40"/>
  <c r="O22" i="40"/>
  <c r="N22" i="40"/>
  <c r="M22" i="40"/>
  <c r="L22" i="40"/>
  <c r="K22" i="40"/>
  <c r="J22" i="40"/>
  <c r="AX21" i="40"/>
  <c r="AW21" i="40"/>
  <c r="AV21" i="40"/>
  <c r="AU21" i="40"/>
  <c r="AT21" i="40"/>
  <c r="AS21" i="40"/>
  <c r="AR21" i="40"/>
  <c r="AQ21" i="40"/>
  <c r="AP21" i="40"/>
  <c r="AO21" i="40"/>
  <c r="AN21" i="40"/>
  <c r="AM21" i="40"/>
  <c r="AL21" i="40"/>
  <c r="AK21" i="40"/>
  <c r="AJ21" i="40"/>
  <c r="AI21" i="40"/>
  <c r="AH21" i="40"/>
  <c r="AG21" i="40"/>
  <c r="AF21" i="40"/>
  <c r="AE21" i="40"/>
  <c r="AD21" i="40"/>
  <c r="AC21" i="40"/>
  <c r="AB21" i="40"/>
  <c r="AA21" i="40"/>
  <c r="Z21" i="40"/>
  <c r="Y21" i="40"/>
  <c r="X21" i="40"/>
  <c r="W21" i="40"/>
  <c r="V21" i="40"/>
  <c r="U21" i="40"/>
  <c r="T21" i="40"/>
  <c r="S21" i="40"/>
  <c r="R21" i="40"/>
  <c r="Q21" i="40"/>
  <c r="P21" i="40"/>
  <c r="O21" i="40"/>
  <c r="N21" i="40"/>
  <c r="M21" i="40"/>
  <c r="L21" i="40"/>
  <c r="K21" i="40"/>
  <c r="J21" i="40"/>
  <c r="AX18" i="40"/>
  <c r="AW18" i="40"/>
  <c r="AV18" i="40"/>
  <c r="AU18" i="40"/>
  <c r="AT18" i="40"/>
  <c r="AS18" i="40"/>
  <c r="AR18" i="40"/>
  <c r="AQ18" i="40"/>
  <c r="AP18" i="40"/>
  <c r="AO18" i="40"/>
  <c r="AN18" i="40"/>
  <c r="AM18" i="40"/>
  <c r="AL18" i="40"/>
  <c r="AK18" i="40"/>
  <c r="AJ18" i="40"/>
  <c r="AI18" i="40"/>
  <c r="AH18" i="40"/>
  <c r="AG18" i="40"/>
  <c r="AF18" i="40"/>
  <c r="AE18" i="40"/>
  <c r="AD18" i="40"/>
  <c r="AC18" i="40"/>
  <c r="AB18" i="40"/>
  <c r="AA18" i="40"/>
  <c r="Z18" i="40"/>
  <c r="Y18" i="40"/>
  <c r="X18" i="40"/>
  <c r="W18" i="40"/>
  <c r="V18" i="40"/>
  <c r="U18" i="40"/>
  <c r="T18" i="40"/>
  <c r="S18" i="40"/>
  <c r="R18" i="40"/>
  <c r="Q18" i="40"/>
  <c r="P18" i="40"/>
  <c r="O18" i="40"/>
  <c r="N18" i="40"/>
  <c r="M18" i="40"/>
  <c r="L18" i="40"/>
  <c r="K18" i="40"/>
  <c r="J18" i="40"/>
  <c r="AX16" i="40"/>
  <c r="AW16" i="40"/>
  <c r="AV16" i="40"/>
  <c r="AU16" i="40"/>
  <c r="AT16" i="40"/>
  <c r="AS16" i="40"/>
  <c r="AR16" i="40"/>
  <c r="AQ16" i="40"/>
  <c r="AP16" i="40"/>
  <c r="AO16" i="40"/>
  <c r="AN16" i="40"/>
  <c r="AM16" i="40"/>
  <c r="AL16" i="40"/>
  <c r="AK16" i="40"/>
  <c r="AJ16" i="40"/>
  <c r="AI16" i="40"/>
  <c r="AH16" i="40"/>
  <c r="AG16" i="40"/>
  <c r="AF16" i="40"/>
  <c r="AE16" i="40"/>
  <c r="AD16" i="40"/>
  <c r="AC16" i="40"/>
  <c r="AB16" i="40"/>
  <c r="AA16" i="40"/>
  <c r="Z16" i="40"/>
  <c r="Y16" i="40"/>
  <c r="X16" i="40"/>
  <c r="W16" i="40"/>
  <c r="V16" i="40"/>
  <c r="U16" i="40"/>
  <c r="T16" i="40"/>
  <c r="S16" i="40"/>
  <c r="R16" i="40"/>
  <c r="Q16" i="40"/>
  <c r="P16" i="40"/>
  <c r="O16" i="40"/>
  <c r="N16" i="40"/>
  <c r="M16" i="40"/>
  <c r="L16" i="40"/>
  <c r="K16" i="40"/>
  <c r="J16" i="40"/>
  <c r="AX14" i="40"/>
  <c r="AW14" i="40"/>
  <c r="AV14" i="40"/>
  <c r="AU14" i="40"/>
  <c r="AT14" i="40"/>
  <c r="AS14" i="40"/>
  <c r="AR14" i="40"/>
  <c r="AQ14" i="40"/>
  <c r="AP14" i="40"/>
  <c r="AO14" i="40"/>
  <c r="AN14" i="40"/>
  <c r="AM14" i="40"/>
  <c r="AL14" i="40"/>
  <c r="AK14" i="40"/>
  <c r="AJ14" i="40"/>
  <c r="AI14" i="40"/>
  <c r="AH14" i="40"/>
  <c r="AG14" i="40"/>
  <c r="AF14" i="40"/>
  <c r="AE14" i="40"/>
  <c r="AD14" i="40"/>
  <c r="AC14" i="40"/>
  <c r="AB14" i="40"/>
  <c r="AA14" i="40"/>
  <c r="Z14" i="40"/>
  <c r="Y14" i="40"/>
  <c r="X14" i="40"/>
  <c r="W14" i="40"/>
  <c r="V14" i="40"/>
  <c r="U14" i="40"/>
  <c r="T14" i="40"/>
  <c r="S14" i="40"/>
  <c r="R14" i="40"/>
  <c r="Q14" i="40"/>
  <c r="P14" i="40"/>
  <c r="O14" i="40"/>
  <c r="N14" i="40"/>
  <c r="M14" i="40"/>
  <c r="L14" i="40"/>
  <c r="K14" i="40"/>
  <c r="J14" i="40"/>
  <c r="AX12" i="40"/>
  <c r="AW12" i="40"/>
  <c r="AV12" i="40"/>
  <c r="AU12" i="40"/>
  <c r="AT12" i="40"/>
  <c r="AS12" i="40"/>
  <c r="AR12" i="40"/>
  <c r="AQ12" i="40"/>
  <c r="AP12" i="40"/>
  <c r="AO12" i="40"/>
  <c r="AN12" i="40"/>
  <c r="AM12" i="40"/>
  <c r="AL12" i="40"/>
  <c r="AK12" i="40"/>
  <c r="AJ12" i="40"/>
  <c r="AI12" i="40"/>
  <c r="AH12" i="40"/>
  <c r="AG12" i="40"/>
  <c r="AF12" i="40"/>
  <c r="AE12" i="40"/>
  <c r="AD12" i="40"/>
  <c r="AC12" i="40"/>
  <c r="AB12" i="40"/>
  <c r="AA12" i="40"/>
  <c r="Z12" i="40"/>
  <c r="Y12" i="40"/>
  <c r="X12" i="40"/>
  <c r="W12" i="40"/>
  <c r="V12" i="40"/>
  <c r="U12" i="40"/>
  <c r="T12" i="40"/>
  <c r="S12" i="40"/>
  <c r="R12" i="40"/>
  <c r="Q12" i="40"/>
  <c r="P12" i="40"/>
  <c r="O12" i="40"/>
  <c r="N12" i="40"/>
  <c r="M12" i="40"/>
  <c r="L12" i="40"/>
  <c r="K12" i="40"/>
  <c r="J12" i="40"/>
  <c r="AX27" i="40"/>
  <c r="AW27" i="40"/>
  <c r="AV27" i="40"/>
  <c r="AU27" i="40"/>
  <c r="AT27" i="40"/>
  <c r="AS27" i="40"/>
  <c r="AR27" i="40"/>
  <c r="AQ27" i="40"/>
  <c r="AP27" i="40"/>
  <c r="AO27" i="40"/>
  <c r="AN27" i="40"/>
  <c r="AM27" i="40"/>
  <c r="AL27" i="40"/>
  <c r="AK27" i="40"/>
  <c r="AJ27" i="40"/>
  <c r="AI27" i="40"/>
  <c r="AH27" i="40"/>
  <c r="AG27" i="40"/>
  <c r="AF27" i="40"/>
  <c r="AE27" i="40"/>
  <c r="AD27" i="40"/>
  <c r="AC27" i="40"/>
  <c r="AB27" i="40"/>
  <c r="AA27" i="40"/>
  <c r="Z27" i="40"/>
  <c r="Y27" i="40"/>
  <c r="X27" i="40"/>
  <c r="W27" i="40"/>
  <c r="V27" i="40"/>
  <c r="U27" i="40"/>
  <c r="T27" i="40"/>
  <c r="S27" i="40"/>
  <c r="R27" i="40"/>
  <c r="Q27" i="40"/>
  <c r="P27" i="40"/>
  <c r="O27" i="40"/>
  <c r="N27" i="40"/>
  <c r="M27" i="40"/>
  <c r="L27" i="40"/>
  <c r="K27" i="40"/>
  <c r="J27" i="40"/>
  <c r="AX9" i="40"/>
  <c r="AW9" i="40"/>
  <c r="AV9" i="40"/>
  <c r="AU9" i="40"/>
  <c r="AT9" i="40"/>
  <c r="AS9" i="40"/>
  <c r="AR9" i="40"/>
  <c r="AQ9" i="40"/>
  <c r="AP9" i="40"/>
  <c r="AO9" i="40"/>
  <c r="AN9" i="40"/>
  <c r="AM9" i="40"/>
  <c r="AL9" i="40"/>
  <c r="AK9" i="40"/>
  <c r="AJ9" i="40"/>
  <c r="AI9" i="40"/>
  <c r="AH9" i="40"/>
  <c r="AG9" i="40"/>
  <c r="AF9" i="40"/>
  <c r="AE9" i="40"/>
  <c r="AD9" i="40"/>
  <c r="AC9" i="40"/>
  <c r="AB9" i="40"/>
  <c r="AA9" i="40"/>
  <c r="Z9" i="40"/>
  <c r="Y9" i="40"/>
  <c r="X9" i="40"/>
  <c r="W9" i="40"/>
  <c r="V9" i="40"/>
  <c r="U9" i="40"/>
  <c r="T9" i="40"/>
  <c r="S9" i="40"/>
  <c r="R9" i="40"/>
  <c r="Q9" i="40"/>
  <c r="P9" i="40"/>
  <c r="O9" i="40"/>
  <c r="N9" i="40"/>
  <c r="M9" i="40"/>
  <c r="L9" i="40"/>
  <c r="K9" i="40"/>
  <c r="J9" i="40"/>
  <c r="AX24" i="40"/>
  <c r="AX37" i="40"/>
  <c r="AX38" i="40"/>
  <c r="AX39" i="40"/>
  <c r="AX40" i="40"/>
  <c r="AX41" i="40"/>
  <c r="AX42" i="40"/>
  <c r="AX43" i="40"/>
  <c r="AX44" i="40"/>
  <c r="AX45" i="40"/>
  <c r="AL56" i="37"/>
  <c r="AX46" i="40"/>
  <c r="AW36" i="30"/>
  <c r="AV36" i="30"/>
  <c r="AU36" i="30"/>
  <c r="AT36" i="30"/>
  <c r="AS36" i="30"/>
  <c r="AR36" i="30"/>
  <c r="AQ36" i="30"/>
  <c r="AP36" i="30"/>
  <c r="AO36" i="30"/>
  <c r="AN36" i="30"/>
  <c r="AM36" i="30"/>
  <c r="AL36" i="30"/>
  <c r="AK36" i="30"/>
  <c r="AJ36" i="30"/>
  <c r="AI36" i="30"/>
  <c r="AH36" i="30"/>
  <c r="AG36" i="30"/>
  <c r="AF36" i="30"/>
  <c r="AE36" i="30"/>
  <c r="AD36" i="30"/>
  <c r="AC36" i="30"/>
  <c r="AB36" i="30"/>
  <c r="AA36" i="30"/>
  <c r="Z36" i="30"/>
  <c r="Y36" i="30"/>
  <c r="X36" i="30"/>
  <c r="W36" i="30"/>
  <c r="V36" i="30"/>
  <c r="U36" i="30"/>
  <c r="T36" i="30"/>
  <c r="S36" i="30"/>
  <c r="R36" i="30"/>
  <c r="Q36" i="30"/>
  <c r="P36" i="30"/>
  <c r="O36" i="30"/>
  <c r="N36" i="30"/>
  <c r="M36" i="30"/>
  <c r="L36" i="30"/>
  <c r="K36" i="30"/>
  <c r="J36" i="30"/>
  <c r="AX35" i="30"/>
  <c r="AW35" i="30"/>
  <c r="AV35" i="30"/>
  <c r="AU35" i="30"/>
  <c r="AT35" i="30"/>
  <c r="AS35" i="30"/>
  <c r="AR35" i="30"/>
  <c r="AQ35" i="30"/>
  <c r="AP35" i="30"/>
  <c r="AO35" i="30"/>
  <c r="AN35" i="30"/>
  <c r="AM35" i="30"/>
  <c r="AL35" i="30"/>
  <c r="AK35" i="30"/>
  <c r="AJ35" i="30"/>
  <c r="AI35" i="30"/>
  <c r="AH35" i="30"/>
  <c r="AG35" i="30"/>
  <c r="AF35" i="30"/>
  <c r="AE35" i="30"/>
  <c r="AD35" i="30"/>
  <c r="AC35" i="30"/>
  <c r="AB35" i="30"/>
  <c r="AA35" i="30"/>
  <c r="Z35" i="30"/>
  <c r="Y35" i="30"/>
  <c r="X35" i="30"/>
  <c r="W35" i="30"/>
  <c r="V35" i="30"/>
  <c r="U35" i="30"/>
  <c r="T35" i="30"/>
  <c r="S35" i="30"/>
  <c r="R35" i="30"/>
  <c r="Q35" i="30"/>
  <c r="P35" i="30"/>
  <c r="O35" i="30"/>
  <c r="N35" i="30"/>
  <c r="M35" i="30"/>
  <c r="L35" i="30"/>
  <c r="K35" i="30"/>
  <c r="J35" i="30"/>
  <c r="AX29" i="30"/>
  <c r="AW29" i="30"/>
  <c r="AV29" i="30"/>
  <c r="AU29" i="30"/>
  <c r="AT29" i="30"/>
  <c r="AS29" i="30"/>
  <c r="AR29" i="30"/>
  <c r="AQ29" i="30"/>
  <c r="AP29" i="30"/>
  <c r="AO29" i="30"/>
  <c r="AN29" i="30"/>
  <c r="AM29" i="30"/>
  <c r="AL29" i="30"/>
  <c r="AK29" i="30"/>
  <c r="AJ29" i="30"/>
  <c r="AI29" i="30"/>
  <c r="AH29" i="30"/>
  <c r="AG29" i="30"/>
  <c r="AF29" i="30"/>
  <c r="AE29" i="30"/>
  <c r="AD29" i="30"/>
  <c r="AC29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AX30" i="30"/>
  <c r="AW30" i="30"/>
  <c r="AV30" i="30"/>
  <c r="AU30" i="30"/>
  <c r="AT30" i="30"/>
  <c r="AS30" i="30"/>
  <c r="AR30" i="30"/>
  <c r="AQ30" i="30"/>
  <c r="AP30" i="30"/>
  <c r="AO30" i="30"/>
  <c r="AN30" i="30"/>
  <c r="AM30" i="30"/>
  <c r="AL30" i="30"/>
  <c r="AK30" i="30"/>
  <c r="AJ30" i="30"/>
  <c r="AI30" i="30"/>
  <c r="AH30" i="30"/>
  <c r="AG30" i="30"/>
  <c r="AF30" i="30"/>
  <c r="AE30" i="30"/>
  <c r="AD30" i="30"/>
  <c r="AC30" i="30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AX33" i="30"/>
  <c r="AW33" i="30"/>
  <c r="AV33" i="30"/>
  <c r="AU33" i="30"/>
  <c r="AT33" i="30"/>
  <c r="AS33" i="30"/>
  <c r="AR33" i="30"/>
  <c r="AQ33" i="30"/>
  <c r="AP33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AB33" i="30"/>
  <c r="AA33" i="30"/>
  <c r="Z33" i="30"/>
  <c r="Y33" i="30"/>
  <c r="X33" i="30"/>
  <c r="W33" i="30"/>
  <c r="V33" i="30"/>
  <c r="U33" i="30"/>
  <c r="T33" i="30"/>
  <c r="S33" i="30"/>
  <c r="R33" i="30"/>
  <c r="Q33" i="30"/>
  <c r="P33" i="30"/>
  <c r="O33" i="30"/>
  <c r="N33" i="30"/>
  <c r="M33" i="30"/>
  <c r="L33" i="30"/>
  <c r="K33" i="30"/>
  <c r="J33" i="30"/>
  <c r="AX28" i="30"/>
  <c r="AW28" i="30"/>
  <c r="AV28" i="30"/>
  <c r="AU28" i="30"/>
  <c r="AT28" i="30"/>
  <c r="AS28" i="30"/>
  <c r="AR28" i="30"/>
  <c r="AQ28" i="30"/>
  <c r="AP28" i="30"/>
  <c r="AO28" i="30"/>
  <c r="AN28" i="30"/>
  <c r="AM28" i="30"/>
  <c r="AL28" i="30"/>
  <c r="AK28" i="30"/>
  <c r="AJ28" i="30"/>
  <c r="AI28" i="30"/>
  <c r="AH28" i="30"/>
  <c r="AG28" i="30"/>
  <c r="AF28" i="30"/>
  <c r="AE28" i="30"/>
  <c r="AD28" i="30"/>
  <c r="AC28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AX26" i="30"/>
  <c r="AW26" i="30"/>
  <c r="AV26" i="30"/>
  <c r="AU26" i="30"/>
  <c r="AT26" i="30"/>
  <c r="AS26" i="30"/>
  <c r="AR26" i="30"/>
  <c r="AQ26" i="30"/>
  <c r="AP26" i="30"/>
  <c r="AO26" i="30"/>
  <c r="AN26" i="30"/>
  <c r="AM26" i="30"/>
  <c r="AL26" i="30"/>
  <c r="AK26" i="30"/>
  <c r="AJ26" i="30"/>
  <c r="AI26" i="30"/>
  <c r="AH26" i="30"/>
  <c r="AG26" i="30"/>
  <c r="AF26" i="30"/>
  <c r="AE26" i="30"/>
  <c r="AD26" i="30"/>
  <c r="AC26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AX25" i="30"/>
  <c r="AW25" i="30"/>
  <c r="AV25" i="30"/>
  <c r="AU25" i="30"/>
  <c r="AT25" i="30"/>
  <c r="AS25" i="30"/>
  <c r="AR25" i="30"/>
  <c r="AQ25" i="30"/>
  <c r="AP25" i="30"/>
  <c r="AO25" i="30"/>
  <c r="AN25" i="30"/>
  <c r="AM25" i="30"/>
  <c r="AL25" i="30"/>
  <c r="AK25" i="30"/>
  <c r="AJ25" i="30"/>
  <c r="AI25" i="30"/>
  <c r="AH25" i="30"/>
  <c r="AG25" i="30"/>
  <c r="AF25" i="30"/>
  <c r="AE25" i="30"/>
  <c r="AD25" i="30"/>
  <c r="AC25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AX23" i="30"/>
  <c r="AW23" i="30"/>
  <c r="AV23" i="30"/>
  <c r="AU23" i="30"/>
  <c r="AT23" i="30"/>
  <c r="AS23" i="30"/>
  <c r="AR23" i="30"/>
  <c r="AQ23" i="30"/>
  <c r="AP23" i="30"/>
  <c r="AO23" i="30"/>
  <c r="AN23" i="30"/>
  <c r="AM23" i="30"/>
  <c r="AL23" i="30"/>
  <c r="AK23" i="30"/>
  <c r="AJ23" i="30"/>
  <c r="AI23" i="30"/>
  <c r="AH23" i="30"/>
  <c r="AG23" i="30"/>
  <c r="AF23" i="30"/>
  <c r="AE23" i="30"/>
  <c r="AD23" i="30"/>
  <c r="AC23" i="30"/>
  <c r="AB23" i="30"/>
  <c r="AA23" i="30"/>
  <c r="Z23" i="30"/>
  <c r="Y23" i="30"/>
  <c r="X23" i="30"/>
  <c r="W23" i="30"/>
  <c r="V23" i="30"/>
  <c r="U23" i="30"/>
  <c r="T23" i="30"/>
  <c r="S23" i="30"/>
  <c r="R23" i="30"/>
  <c r="Q23" i="30"/>
  <c r="P23" i="30"/>
  <c r="O23" i="30"/>
  <c r="N23" i="30"/>
  <c r="M23" i="30"/>
  <c r="L23" i="30"/>
  <c r="K23" i="30"/>
  <c r="J23" i="30"/>
  <c r="AX22" i="30"/>
  <c r="AW22" i="30"/>
  <c r="AV22" i="30"/>
  <c r="AU22" i="30"/>
  <c r="AT22" i="30"/>
  <c r="AS22" i="30"/>
  <c r="AR22" i="30"/>
  <c r="AQ22" i="30"/>
  <c r="AP22" i="30"/>
  <c r="AO22" i="30"/>
  <c r="AN22" i="30"/>
  <c r="AM22" i="30"/>
  <c r="AL22" i="30"/>
  <c r="AK22" i="30"/>
  <c r="AJ22" i="30"/>
  <c r="AI22" i="30"/>
  <c r="AH22" i="30"/>
  <c r="AG22" i="30"/>
  <c r="AF22" i="30"/>
  <c r="AE22" i="30"/>
  <c r="AD22" i="30"/>
  <c r="AC22" i="30"/>
  <c r="AB22" i="30"/>
  <c r="AA22" i="30"/>
  <c r="Z22" i="30"/>
  <c r="Y22" i="30"/>
  <c r="X22" i="30"/>
  <c r="W22" i="30"/>
  <c r="V22" i="30"/>
  <c r="U22" i="30"/>
  <c r="T22" i="30"/>
  <c r="S22" i="30"/>
  <c r="R22" i="30"/>
  <c r="Q22" i="30"/>
  <c r="P22" i="30"/>
  <c r="O22" i="30"/>
  <c r="N22" i="30"/>
  <c r="M22" i="30"/>
  <c r="L22" i="30"/>
  <c r="K22" i="30"/>
  <c r="J22" i="30"/>
  <c r="AX21" i="30"/>
  <c r="AW21" i="30"/>
  <c r="AV21" i="30"/>
  <c r="AU21" i="30"/>
  <c r="AT21" i="30"/>
  <c r="AS21" i="30"/>
  <c r="AR21" i="30"/>
  <c r="AQ21" i="30"/>
  <c r="AP21" i="30"/>
  <c r="AO21" i="30"/>
  <c r="AN21" i="30"/>
  <c r="AM21" i="30"/>
  <c r="AL21" i="30"/>
  <c r="AK21" i="30"/>
  <c r="AJ21" i="30"/>
  <c r="AI21" i="30"/>
  <c r="AH21" i="30"/>
  <c r="AG21" i="30"/>
  <c r="AF21" i="30"/>
  <c r="AE21" i="30"/>
  <c r="AD21" i="30"/>
  <c r="AC21" i="30"/>
  <c r="AB21" i="30"/>
  <c r="AA21" i="30"/>
  <c r="Z21" i="30"/>
  <c r="Y21" i="30"/>
  <c r="X21" i="30"/>
  <c r="W21" i="30"/>
  <c r="V21" i="30"/>
  <c r="U21" i="30"/>
  <c r="T21" i="30"/>
  <c r="S21" i="30"/>
  <c r="R21" i="30"/>
  <c r="Q21" i="30"/>
  <c r="P21" i="30"/>
  <c r="O21" i="30"/>
  <c r="N21" i="30"/>
  <c r="M21" i="30"/>
  <c r="L21" i="30"/>
  <c r="K21" i="30"/>
  <c r="J21" i="30"/>
  <c r="AX20" i="30"/>
  <c r="AW20" i="30"/>
  <c r="AV20" i="30"/>
  <c r="AU20" i="30"/>
  <c r="AT20" i="30"/>
  <c r="AS20" i="30"/>
  <c r="AR20" i="30"/>
  <c r="AQ20" i="30"/>
  <c r="AP20" i="30"/>
  <c r="AO20" i="30"/>
  <c r="AN20" i="30"/>
  <c r="AM20" i="30"/>
  <c r="AL20" i="30"/>
  <c r="AK20" i="30"/>
  <c r="AJ20" i="30"/>
  <c r="AI20" i="30"/>
  <c r="AH20" i="30"/>
  <c r="AG20" i="30"/>
  <c r="AF20" i="30"/>
  <c r="AE20" i="30"/>
  <c r="AD20" i="30"/>
  <c r="AC20" i="30"/>
  <c r="AB20" i="30"/>
  <c r="AA20" i="30"/>
  <c r="Z20" i="30"/>
  <c r="Y20" i="30"/>
  <c r="X20" i="30"/>
  <c r="W20" i="30"/>
  <c r="V20" i="30"/>
  <c r="U20" i="30"/>
  <c r="T20" i="30"/>
  <c r="S20" i="30"/>
  <c r="R20" i="30"/>
  <c r="Q20" i="30"/>
  <c r="P20" i="30"/>
  <c r="O20" i="30"/>
  <c r="N20" i="30"/>
  <c r="M20" i="30"/>
  <c r="L20" i="30"/>
  <c r="K20" i="30"/>
  <c r="J20" i="30"/>
  <c r="AX18" i="30"/>
  <c r="AW18" i="30"/>
  <c r="AV18" i="30"/>
  <c r="AU18" i="30"/>
  <c r="AT18" i="30"/>
  <c r="AS18" i="30"/>
  <c r="AR18" i="30"/>
  <c r="AQ18" i="30"/>
  <c r="AP18" i="30"/>
  <c r="AO18" i="30"/>
  <c r="AN18" i="30"/>
  <c r="AM18" i="30"/>
  <c r="AL18" i="30"/>
  <c r="AK18" i="30"/>
  <c r="AJ18" i="30"/>
  <c r="AI18" i="30"/>
  <c r="AH18" i="30"/>
  <c r="AG18" i="30"/>
  <c r="AF18" i="30"/>
  <c r="AE18" i="30"/>
  <c r="AD18" i="30"/>
  <c r="AC18" i="30"/>
  <c r="AB18" i="30"/>
  <c r="AA18" i="30"/>
  <c r="Z18" i="30"/>
  <c r="Y18" i="30"/>
  <c r="X18" i="30"/>
  <c r="W18" i="30"/>
  <c r="V18" i="30"/>
  <c r="U18" i="30"/>
  <c r="T18" i="30"/>
  <c r="S18" i="30"/>
  <c r="R18" i="30"/>
  <c r="P18" i="30"/>
  <c r="O18" i="30"/>
  <c r="N18" i="30"/>
  <c r="M18" i="30"/>
  <c r="L18" i="30"/>
  <c r="K18" i="30"/>
  <c r="J18" i="30"/>
  <c r="AX17" i="30"/>
  <c r="AW17" i="30"/>
  <c r="AV17" i="30"/>
  <c r="AU17" i="30"/>
  <c r="AT17" i="30"/>
  <c r="AS17" i="30"/>
  <c r="AR17" i="30"/>
  <c r="AQ17" i="30"/>
  <c r="AP17" i="30"/>
  <c r="AO17" i="30"/>
  <c r="AN17" i="30"/>
  <c r="AM17" i="30"/>
  <c r="AL17" i="30"/>
  <c r="AK17" i="30"/>
  <c r="AJ17" i="30"/>
  <c r="AI17" i="30"/>
  <c r="AH17" i="30"/>
  <c r="AG17" i="30"/>
  <c r="AF17" i="30"/>
  <c r="AE17" i="30"/>
  <c r="AD17" i="30"/>
  <c r="AC17" i="30"/>
  <c r="AB17" i="30"/>
  <c r="AA17" i="30"/>
  <c r="Z17" i="30"/>
  <c r="Y17" i="30"/>
  <c r="X17" i="30"/>
  <c r="W17" i="30"/>
  <c r="V17" i="30"/>
  <c r="U17" i="30"/>
  <c r="T17" i="30"/>
  <c r="S17" i="30"/>
  <c r="R17" i="30"/>
  <c r="Q17" i="30"/>
  <c r="P17" i="30"/>
  <c r="O17" i="30"/>
  <c r="N17" i="30"/>
  <c r="M17" i="30"/>
  <c r="L17" i="30"/>
  <c r="K17" i="30"/>
  <c r="J17" i="30"/>
  <c r="AX16" i="30"/>
  <c r="AW16" i="30"/>
  <c r="AV16" i="30"/>
  <c r="AU16" i="30"/>
  <c r="AT16" i="30"/>
  <c r="AS16" i="30"/>
  <c r="AR16" i="30"/>
  <c r="AQ16" i="30"/>
  <c r="AP16" i="30"/>
  <c r="AO16" i="30"/>
  <c r="AN16" i="30"/>
  <c r="AM16" i="30"/>
  <c r="AL16" i="30"/>
  <c r="AK16" i="30"/>
  <c r="AJ16" i="30"/>
  <c r="AI16" i="30"/>
  <c r="AH16" i="30"/>
  <c r="AG16" i="30"/>
  <c r="AF16" i="30"/>
  <c r="AE16" i="30"/>
  <c r="AD16" i="30"/>
  <c r="AC16" i="30"/>
  <c r="AB16" i="30"/>
  <c r="AA16" i="30"/>
  <c r="Z16" i="30"/>
  <c r="Y16" i="30"/>
  <c r="X16" i="30"/>
  <c r="W16" i="30"/>
  <c r="V16" i="30"/>
  <c r="U16" i="30"/>
  <c r="T16" i="30"/>
  <c r="S16" i="30"/>
  <c r="R16" i="30"/>
  <c r="Q16" i="30"/>
  <c r="P16" i="30"/>
  <c r="O16" i="30"/>
  <c r="N16" i="30"/>
  <c r="M16" i="30"/>
  <c r="L16" i="30"/>
  <c r="K16" i="30"/>
  <c r="J16" i="30"/>
  <c r="AX15" i="30"/>
  <c r="AW15" i="30"/>
  <c r="AV15" i="30"/>
  <c r="AU15" i="30"/>
  <c r="AT15" i="30"/>
  <c r="AS15" i="30"/>
  <c r="AR15" i="30"/>
  <c r="AQ15" i="30"/>
  <c r="AP15" i="30"/>
  <c r="AO15" i="30"/>
  <c r="AN15" i="30"/>
  <c r="AM15" i="30"/>
  <c r="AL15" i="30"/>
  <c r="AK15" i="30"/>
  <c r="AJ15" i="30"/>
  <c r="AI15" i="30"/>
  <c r="AH15" i="30"/>
  <c r="AG15" i="30"/>
  <c r="AF15" i="30"/>
  <c r="AE15" i="30"/>
  <c r="AD15" i="30"/>
  <c r="AC15" i="30"/>
  <c r="AB15" i="30"/>
  <c r="AA15" i="30"/>
  <c r="Z15" i="30"/>
  <c r="Y15" i="30"/>
  <c r="X15" i="30"/>
  <c r="W15" i="30"/>
  <c r="V15" i="30"/>
  <c r="U15" i="30"/>
  <c r="T15" i="30"/>
  <c r="S15" i="30"/>
  <c r="R15" i="30"/>
  <c r="Q15" i="30"/>
  <c r="P15" i="30"/>
  <c r="O15" i="30"/>
  <c r="N15" i="30"/>
  <c r="M15" i="30"/>
  <c r="L15" i="30"/>
  <c r="K15" i="30"/>
  <c r="J15" i="30"/>
  <c r="AX14" i="30"/>
  <c r="AW14" i="30"/>
  <c r="AV14" i="30"/>
  <c r="AU14" i="30"/>
  <c r="AT14" i="30"/>
  <c r="AS14" i="30"/>
  <c r="AR14" i="30"/>
  <c r="AQ14" i="30"/>
  <c r="AP14" i="30"/>
  <c r="AO14" i="30"/>
  <c r="AN14" i="30"/>
  <c r="AM14" i="30"/>
  <c r="AL14" i="30"/>
  <c r="AK14" i="30"/>
  <c r="AJ14" i="30"/>
  <c r="AI14" i="30"/>
  <c r="AH14" i="30"/>
  <c r="AG14" i="30"/>
  <c r="AF14" i="30"/>
  <c r="AE14" i="30"/>
  <c r="AD14" i="30"/>
  <c r="AC14" i="30"/>
  <c r="AB14" i="30"/>
  <c r="AA14" i="30"/>
  <c r="Z14" i="30"/>
  <c r="Y14" i="30"/>
  <c r="X14" i="30"/>
  <c r="W14" i="30"/>
  <c r="V14" i="30"/>
  <c r="U14" i="30"/>
  <c r="T14" i="30"/>
  <c r="S14" i="30"/>
  <c r="R14" i="30"/>
  <c r="Q14" i="30"/>
  <c r="P14" i="30"/>
  <c r="O14" i="30"/>
  <c r="N14" i="30"/>
  <c r="M14" i="30"/>
  <c r="L14" i="30"/>
  <c r="K14" i="30"/>
  <c r="J14" i="30"/>
  <c r="AX13" i="30"/>
  <c r="AW13" i="30"/>
  <c r="AV13" i="30"/>
  <c r="AU13" i="30"/>
  <c r="AT13" i="30"/>
  <c r="AS13" i="30"/>
  <c r="AR13" i="30"/>
  <c r="AQ13" i="30"/>
  <c r="AP13" i="30"/>
  <c r="AO13" i="30"/>
  <c r="AN13" i="30"/>
  <c r="AM13" i="30"/>
  <c r="AL13" i="30"/>
  <c r="AK13" i="30"/>
  <c r="AJ13" i="30"/>
  <c r="AI13" i="30"/>
  <c r="AH13" i="30"/>
  <c r="AG13" i="30"/>
  <c r="AF13" i="30"/>
  <c r="AE13" i="30"/>
  <c r="AD13" i="30"/>
  <c r="AC13" i="30"/>
  <c r="AB13" i="30"/>
  <c r="AA13" i="30"/>
  <c r="Z13" i="30"/>
  <c r="Y13" i="30"/>
  <c r="X13" i="30"/>
  <c r="W13" i="30"/>
  <c r="V13" i="30"/>
  <c r="U13" i="30"/>
  <c r="T13" i="30"/>
  <c r="S13" i="30"/>
  <c r="R13" i="30"/>
  <c r="Q13" i="30"/>
  <c r="P13" i="30"/>
  <c r="O13" i="30"/>
  <c r="N13" i="30"/>
  <c r="M13" i="30"/>
  <c r="L13" i="30"/>
  <c r="K13" i="30"/>
  <c r="J13" i="30"/>
  <c r="AX12" i="30"/>
  <c r="AW12" i="30"/>
  <c r="AV12" i="30"/>
  <c r="AU12" i="30"/>
  <c r="AT12" i="30"/>
  <c r="AS12" i="30"/>
  <c r="AR12" i="30"/>
  <c r="AQ12" i="30"/>
  <c r="AP12" i="30"/>
  <c r="AO12" i="30"/>
  <c r="AN12" i="30"/>
  <c r="AM12" i="30"/>
  <c r="AL12" i="30"/>
  <c r="AK12" i="30"/>
  <c r="AJ12" i="30"/>
  <c r="AI12" i="30"/>
  <c r="AH12" i="30"/>
  <c r="AG12" i="30"/>
  <c r="AF12" i="30"/>
  <c r="AE12" i="30"/>
  <c r="AD12" i="30"/>
  <c r="AC12" i="30"/>
  <c r="AB12" i="30"/>
  <c r="AA12" i="30"/>
  <c r="Z12" i="30"/>
  <c r="Y12" i="30"/>
  <c r="X12" i="30"/>
  <c r="W12" i="30"/>
  <c r="V12" i="30"/>
  <c r="U12" i="30"/>
  <c r="T12" i="30"/>
  <c r="S12" i="30"/>
  <c r="R12" i="30"/>
  <c r="Q12" i="30"/>
  <c r="P12" i="30"/>
  <c r="O12" i="30"/>
  <c r="N12" i="30"/>
  <c r="M12" i="30"/>
  <c r="L12" i="30"/>
  <c r="K12" i="30"/>
  <c r="J12" i="30"/>
  <c r="AX27" i="30"/>
  <c r="AW27" i="30"/>
  <c r="AV27" i="30"/>
  <c r="AU27" i="30"/>
  <c r="AT27" i="30"/>
  <c r="AS27" i="30"/>
  <c r="AR27" i="30"/>
  <c r="AQ27" i="30"/>
  <c r="AP27" i="30"/>
  <c r="AO27" i="30"/>
  <c r="AN27" i="30"/>
  <c r="AM27" i="30"/>
  <c r="AL27" i="30"/>
  <c r="AK27" i="30"/>
  <c r="AJ27" i="30"/>
  <c r="AI27" i="30"/>
  <c r="AH27" i="30"/>
  <c r="AG27" i="30"/>
  <c r="AF27" i="30"/>
  <c r="AE27" i="30"/>
  <c r="AD27" i="30"/>
  <c r="AC27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AX11" i="30"/>
  <c r="AW11" i="30"/>
  <c r="AV11" i="30"/>
  <c r="AU11" i="30"/>
  <c r="AT11" i="30"/>
  <c r="AS11" i="30"/>
  <c r="AR11" i="30"/>
  <c r="AQ11" i="30"/>
  <c r="AP11" i="30"/>
  <c r="AO11" i="30"/>
  <c r="AN11" i="30"/>
  <c r="AM11" i="30"/>
  <c r="AL11" i="30"/>
  <c r="AK11" i="30"/>
  <c r="AJ11" i="30"/>
  <c r="AI11" i="30"/>
  <c r="AH11" i="30"/>
  <c r="AG11" i="30"/>
  <c r="AF11" i="30"/>
  <c r="AE11" i="30"/>
  <c r="AD11" i="30"/>
  <c r="AC11" i="30"/>
  <c r="AB11" i="30"/>
  <c r="AA11" i="30"/>
  <c r="Z11" i="30"/>
  <c r="Y11" i="30"/>
  <c r="X11" i="30"/>
  <c r="W11" i="30"/>
  <c r="V11" i="30"/>
  <c r="U11" i="30"/>
  <c r="T11" i="30"/>
  <c r="S11" i="30"/>
  <c r="R11" i="30"/>
  <c r="Q11" i="30"/>
  <c r="P11" i="30"/>
  <c r="O11" i="30"/>
  <c r="N11" i="30"/>
  <c r="M11" i="30"/>
  <c r="L11" i="30"/>
  <c r="K11" i="30"/>
  <c r="J11" i="30"/>
  <c r="AX10" i="30"/>
  <c r="AW10" i="30"/>
  <c r="AV10" i="30"/>
  <c r="AU10" i="30"/>
  <c r="AT10" i="30"/>
  <c r="AS10" i="30"/>
  <c r="AR10" i="30"/>
  <c r="AQ10" i="30"/>
  <c r="AP10" i="30"/>
  <c r="AO10" i="30"/>
  <c r="AN10" i="30"/>
  <c r="AM10" i="30"/>
  <c r="AL10" i="30"/>
  <c r="AK10" i="30"/>
  <c r="AJ10" i="30"/>
  <c r="AI10" i="30"/>
  <c r="AH10" i="30"/>
  <c r="AG10" i="30"/>
  <c r="AF10" i="30"/>
  <c r="AE10" i="30"/>
  <c r="AD10" i="30"/>
  <c r="AC10" i="30"/>
  <c r="AB10" i="30"/>
  <c r="AA10" i="30"/>
  <c r="Z10" i="30"/>
  <c r="Y10" i="30"/>
  <c r="X10" i="30"/>
  <c r="W10" i="30"/>
  <c r="V10" i="30"/>
  <c r="U10" i="30"/>
  <c r="T10" i="30"/>
  <c r="S10" i="30"/>
  <c r="R10" i="30"/>
  <c r="Q10" i="30"/>
  <c r="P10" i="30"/>
  <c r="O10" i="30"/>
  <c r="N10" i="30"/>
  <c r="M10" i="30"/>
  <c r="L10" i="30"/>
  <c r="K10" i="30"/>
  <c r="J10" i="30"/>
  <c r="AX9" i="30"/>
  <c r="AW9" i="30"/>
  <c r="AV9" i="30"/>
  <c r="AU9" i="30"/>
  <c r="AT9" i="30"/>
  <c r="AS9" i="30"/>
  <c r="AR9" i="30"/>
  <c r="AQ9" i="30"/>
  <c r="AP9" i="30"/>
  <c r="AO9" i="30"/>
  <c r="AN9" i="30"/>
  <c r="AM9" i="30"/>
  <c r="AL9" i="30"/>
  <c r="AK9" i="30"/>
  <c r="AJ9" i="30"/>
  <c r="AI9" i="30"/>
  <c r="AH9" i="30"/>
  <c r="AG9" i="30"/>
  <c r="AF9" i="30"/>
  <c r="AE9" i="30"/>
  <c r="AD9" i="30"/>
  <c r="AC9" i="30"/>
  <c r="AB9" i="30"/>
  <c r="AA9" i="30"/>
  <c r="Z9" i="30"/>
  <c r="Y9" i="30"/>
  <c r="X9" i="30"/>
  <c r="W9" i="30"/>
  <c r="V9" i="30"/>
  <c r="U9" i="30"/>
  <c r="T9" i="30"/>
  <c r="S9" i="30"/>
  <c r="R9" i="30"/>
  <c r="Q9" i="30"/>
  <c r="P9" i="30"/>
  <c r="O9" i="30"/>
  <c r="N9" i="30"/>
  <c r="M9" i="30"/>
  <c r="L9" i="30"/>
  <c r="K9" i="30"/>
  <c r="J9" i="30"/>
  <c r="F48" i="42"/>
  <c r="H48" i="42"/>
  <c r="I48" i="42"/>
  <c r="AX42" i="42"/>
  <c r="AX33" i="42"/>
  <c r="AX46" i="42"/>
  <c r="AX47" i="42"/>
  <c r="AX48" i="42"/>
  <c r="AX49" i="42"/>
  <c r="AX46" i="32"/>
  <c r="AN46" i="32"/>
  <c r="AG45" i="32"/>
  <c r="AF45" i="32"/>
  <c r="AE45" i="32"/>
  <c r="AD46" i="32"/>
  <c r="AD45" i="32"/>
  <c r="AC45" i="32"/>
  <c r="AB45" i="32"/>
  <c r="J40" i="32"/>
  <c r="K40" i="32"/>
  <c r="L40" i="32"/>
  <c r="M40" i="32"/>
  <c r="N40" i="32"/>
  <c r="O40" i="32"/>
  <c r="P40" i="32"/>
  <c r="Q40" i="32"/>
  <c r="R40" i="32"/>
  <c r="S40" i="32"/>
  <c r="J33" i="32"/>
  <c r="K33" i="32"/>
  <c r="L33" i="32"/>
  <c r="M33" i="32"/>
  <c r="N33" i="32"/>
  <c r="O33" i="32"/>
  <c r="P33" i="32"/>
  <c r="Q33" i="32"/>
  <c r="R33" i="32"/>
  <c r="S33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Z46" i="32"/>
  <c r="AA46" i="32"/>
  <c r="AA45" i="32"/>
  <c r="Z45" i="32"/>
  <c r="Y45" i="32"/>
  <c r="X45" i="32"/>
  <c r="W45" i="32"/>
  <c r="V45" i="32"/>
  <c r="U45" i="32"/>
  <c r="T45" i="32"/>
  <c r="S45" i="32"/>
  <c r="R45" i="32"/>
  <c r="Q45" i="32"/>
  <c r="P45" i="32"/>
  <c r="O45" i="32"/>
  <c r="N45" i="32"/>
  <c r="M45" i="32"/>
  <c r="L45" i="32"/>
  <c r="K45" i="32"/>
  <c r="J45" i="32"/>
  <c r="AX53" i="38" l="1"/>
  <c r="AX52" i="38"/>
  <c r="O51" i="30"/>
  <c r="O54" i="30" s="1"/>
  <c r="O50" i="30"/>
  <c r="AE51" i="30"/>
  <c r="AE54" i="30" s="1"/>
  <c r="AE50" i="30"/>
  <c r="AM51" i="30"/>
  <c r="AM54" i="30" s="1"/>
  <c r="AM50" i="30"/>
  <c r="L51" i="30"/>
  <c r="L54" i="30" s="1"/>
  <c r="L50" i="30"/>
  <c r="P51" i="30"/>
  <c r="P54" i="30" s="1"/>
  <c r="P50" i="30"/>
  <c r="T51" i="30"/>
  <c r="T54" i="30" s="1"/>
  <c r="T50" i="30"/>
  <c r="X51" i="30"/>
  <c r="X54" i="30" s="1"/>
  <c r="X50" i="30"/>
  <c r="AB51" i="30"/>
  <c r="AB54" i="30" s="1"/>
  <c r="AB50" i="30"/>
  <c r="AF51" i="30"/>
  <c r="AF54" i="30" s="1"/>
  <c r="AF50" i="30"/>
  <c r="AJ51" i="30"/>
  <c r="AJ54" i="30" s="1"/>
  <c r="AJ50" i="30"/>
  <c r="AN51" i="30"/>
  <c r="AN54" i="30" s="1"/>
  <c r="AN50" i="30"/>
  <c r="AR51" i="30"/>
  <c r="AR54" i="30" s="1"/>
  <c r="AR50" i="30"/>
  <c r="AV51" i="30"/>
  <c r="AV54" i="30" s="1"/>
  <c r="AV50" i="30"/>
  <c r="W51" i="30"/>
  <c r="W54" i="30" s="1"/>
  <c r="W50" i="30"/>
  <c r="M51" i="30"/>
  <c r="M54" i="30" s="1"/>
  <c r="M50" i="30"/>
  <c r="U51" i="30"/>
  <c r="U54" i="30" s="1"/>
  <c r="U50" i="30"/>
  <c r="AC51" i="30"/>
  <c r="AC54" i="30" s="1"/>
  <c r="AC50" i="30"/>
  <c r="AK51" i="30"/>
  <c r="AK54" i="30" s="1"/>
  <c r="AK50" i="30"/>
  <c r="AW51" i="30"/>
  <c r="AW54" i="30" s="1"/>
  <c r="AW50" i="30"/>
  <c r="S51" i="30"/>
  <c r="S54" i="30" s="1"/>
  <c r="S50" i="30"/>
  <c r="AI51" i="30"/>
  <c r="AI54" i="30" s="1"/>
  <c r="AI50" i="30"/>
  <c r="AU51" i="30"/>
  <c r="AU54" i="30" s="1"/>
  <c r="AU50" i="30"/>
  <c r="Q51" i="30"/>
  <c r="Q54" i="30" s="1"/>
  <c r="Q50" i="30"/>
  <c r="Y51" i="30"/>
  <c r="Y54" i="30" s="1"/>
  <c r="Y50" i="30"/>
  <c r="AG51" i="30"/>
  <c r="AG54" i="30" s="1"/>
  <c r="AG50" i="30"/>
  <c r="AO51" i="30"/>
  <c r="AO54" i="30" s="1"/>
  <c r="AO50" i="30"/>
  <c r="AS51" i="30"/>
  <c r="AS54" i="30" s="1"/>
  <c r="AS50" i="30"/>
  <c r="J51" i="30"/>
  <c r="J50" i="30"/>
  <c r="N51" i="30"/>
  <c r="N50" i="30"/>
  <c r="R51" i="30"/>
  <c r="R54" i="30" s="1"/>
  <c r="R50" i="30"/>
  <c r="V51" i="30"/>
  <c r="V54" i="30" s="1"/>
  <c r="V50" i="30"/>
  <c r="Z51" i="30"/>
  <c r="Z54" i="30" s="1"/>
  <c r="Z50" i="30"/>
  <c r="AD51" i="30"/>
  <c r="AD54" i="30" s="1"/>
  <c r="AD50" i="30"/>
  <c r="AH51" i="30"/>
  <c r="AH54" i="30" s="1"/>
  <c r="AH50" i="30"/>
  <c r="AL51" i="30"/>
  <c r="AL54" i="30" s="1"/>
  <c r="AL50" i="30"/>
  <c r="AP51" i="30"/>
  <c r="AP54" i="30" s="1"/>
  <c r="AP50" i="30"/>
  <c r="AT51" i="30"/>
  <c r="AT54" i="30" s="1"/>
  <c r="AT50" i="30"/>
  <c r="K51" i="30"/>
  <c r="K54" i="30" s="1"/>
  <c r="K50" i="30"/>
  <c r="AA51" i="30"/>
  <c r="AA54" i="30" s="1"/>
  <c r="AA50" i="30"/>
  <c r="AQ51" i="30"/>
  <c r="AQ54" i="30" s="1"/>
  <c r="AQ50" i="30"/>
  <c r="N54" i="30"/>
  <c r="AX50" i="36"/>
  <c r="J54" i="36"/>
  <c r="AX54" i="36" s="1"/>
  <c r="AX51" i="36"/>
  <c r="Q56" i="32"/>
  <c r="Q59" i="32" s="1"/>
  <c r="M56" i="32"/>
  <c r="M59" i="32" s="1"/>
  <c r="U56" i="32"/>
  <c r="U59" i="32" s="1"/>
  <c r="K56" i="32"/>
  <c r="K59" i="32" s="1"/>
  <c r="O56" i="32"/>
  <c r="O59" i="32" s="1"/>
  <c r="S56" i="32"/>
  <c r="S59" i="32" s="1"/>
  <c r="W56" i="32"/>
  <c r="W59" i="32" s="1"/>
  <c r="AA56" i="32"/>
  <c r="AA59" i="32" s="1"/>
  <c r="Y56" i="32"/>
  <c r="Y59" i="32" s="1"/>
  <c r="L56" i="32"/>
  <c r="L59" i="32" s="1"/>
  <c r="P56" i="32"/>
  <c r="P59" i="32" s="1"/>
  <c r="T56" i="32"/>
  <c r="T59" i="32" s="1"/>
  <c r="X56" i="32"/>
  <c r="X59" i="32" s="1"/>
  <c r="AD56" i="32"/>
  <c r="AD59" i="32" s="1"/>
  <c r="AN56" i="32"/>
  <c r="AN59" i="32" s="1"/>
  <c r="J56" i="32"/>
  <c r="J59" i="32" s="1"/>
  <c r="N56" i="32"/>
  <c r="N59" i="32" s="1"/>
  <c r="R56" i="32"/>
  <c r="R59" i="32" s="1"/>
  <c r="V56" i="32"/>
  <c r="V59" i="32" s="1"/>
  <c r="Z56" i="32"/>
  <c r="Z59" i="32" s="1"/>
  <c r="G36" i="32"/>
  <c r="G45" i="32"/>
  <c r="G30" i="32"/>
  <c r="G25" i="32"/>
  <c r="G23" i="32"/>
  <c r="G17" i="32"/>
  <c r="G35" i="32"/>
  <c r="G26" i="40"/>
  <c r="G35" i="40"/>
  <c r="G13" i="40"/>
  <c r="G29" i="40"/>
  <c r="G34" i="40"/>
  <c r="G41" i="32"/>
  <c r="G28" i="32"/>
  <c r="G22" i="32"/>
  <c r="G9" i="32"/>
  <c r="G39" i="32"/>
  <c r="G43" i="32"/>
  <c r="G38" i="32"/>
  <c r="G24" i="32"/>
  <c r="G18" i="32"/>
  <c r="G42" i="32"/>
  <c r="G31" i="32"/>
  <c r="G21" i="32"/>
  <c r="G13" i="32"/>
  <c r="G12" i="40"/>
  <c r="G21" i="40"/>
  <c r="G14" i="40"/>
  <c r="G22" i="40"/>
  <c r="G28" i="40"/>
  <c r="G36" i="40"/>
  <c r="G15" i="40"/>
  <c r="G19" i="40"/>
  <c r="G9" i="40"/>
  <c r="G16" i="40"/>
  <c r="G23" i="40"/>
  <c r="G33" i="40"/>
  <c r="G10" i="40"/>
  <c r="G17" i="40"/>
  <c r="G31" i="40"/>
  <c r="G27" i="40"/>
  <c r="G18" i="40"/>
  <c r="G25" i="40"/>
  <c r="G30" i="40"/>
  <c r="G11" i="40"/>
  <c r="G20" i="40"/>
  <c r="G32" i="40"/>
  <c r="G13" i="30"/>
  <c r="G17" i="30"/>
  <c r="G23" i="30"/>
  <c r="G33" i="30"/>
  <c r="G36" i="30"/>
  <c r="G11" i="30"/>
  <c r="G14" i="30"/>
  <c r="G18" i="30"/>
  <c r="G20" i="30"/>
  <c r="G25" i="30"/>
  <c r="G30" i="30"/>
  <c r="G32" i="30"/>
  <c r="G27" i="30"/>
  <c r="G15" i="30"/>
  <c r="G21" i="30"/>
  <c r="G26" i="30"/>
  <c r="G29" i="30"/>
  <c r="G31" i="30"/>
  <c r="G9" i="30"/>
  <c r="G12" i="30"/>
  <c r="G16" i="30"/>
  <c r="G22" i="30"/>
  <c r="G28" i="30"/>
  <c r="G35" i="30"/>
  <c r="G19" i="30"/>
  <c r="G34" i="30"/>
  <c r="G15" i="32"/>
  <c r="G44" i="32"/>
  <c r="G34" i="32"/>
  <c r="G29" i="32"/>
  <c r="G16" i="32"/>
  <c r="G26" i="32"/>
  <c r="G20" i="32"/>
  <c r="G12" i="32"/>
  <c r="G37" i="32"/>
  <c r="G32" i="32"/>
  <c r="G27" i="32"/>
  <c r="G14" i="32"/>
  <c r="G19" i="32"/>
  <c r="G10" i="32"/>
  <c r="G10" i="30"/>
  <c r="G11" i="32"/>
  <c r="J55" i="32"/>
  <c r="AX50" i="30" l="1"/>
  <c r="AX51" i="30"/>
  <c r="J54" i="30"/>
  <c r="AX54" i="30" s="1"/>
  <c r="I46" i="43"/>
  <c r="F46" i="43"/>
  <c r="E46" i="43"/>
  <c r="D46" i="43"/>
  <c r="C46" i="43"/>
  <c r="I45" i="43"/>
  <c r="F45" i="43"/>
  <c r="E45" i="43"/>
  <c r="D45" i="43"/>
  <c r="C45" i="43"/>
  <c r="I44" i="43"/>
  <c r="F44" i="43"/>
  <c r="E44" i="43"/>
  <c r="D44" i="43"/>
  <c r="C44" i="43"/>
  <c r="I43" i="43"/>
  <c r="F43" i="43"/>
  <c r="E43" i="43"/>
  <c r="D43" i="43"/>
  <c r="C43" i="43"/>
  <c r="I42" i="43"/>
  <c r="F42" i="43"/>
  <c r="E42" i="43"/>
  <c r="D42" i="43"/>
  <c r="C42" i="43"/>
  <c r="E30" i="43"/>
  <c r="D30" i="43"/>
  <c r="C30" i="43"/>
  <c r="F30" i="43" s="1"/>
  <c r="E41" i="43"/>
  <c r="D41" i="43"/>
  <c r="C41" i="43"/>
  <c r="E40" i="43"/>
  <c r="D40" i="43"/>
  <c r="C40" i="43"/>
  <c r="E38" i="43"/>
  <c r="D38" i="43"/>
  <c r="C38" i="43"/>
  <c r="E39" i="43"/>
  <c r="D39" i="43"/>
  <c r="C39" i="43"/>
  <c r="E24" i="43"/>
  <c r="D24" i="43"/>
  <c r="C24" i="43"/>
  <c r="E37" i="43"/>
  <c r="D37" i="43"/>
  <c r="C37" i="43"/>
  <c r="E36" i="43"/>
  <c r="D36" i="43"/>
  <c r="C36" i="43"/>
  <c r="E35" i="43"/>
  <c r="D35" i="43"/>
  <c r="C35" i="43"/>
  <c r="E33" i="43"/>
  <c r="D33" i="43"/>
  <c r="C33" i="43"/>
  <c r="E34" i="43"/>
  <c r="D34" i="43"/>
  <c r="C34" i="43"/>
  <c r="E32" i="43"/>
  <c r="D32" i="43"/>
  <c r="C32" i="43"/>
  <c r="E31" i="43"/>
  <c r="D31" i="43"/>
  <c r="C31" i="43"/>
  <c r="E29" i="43"/>
  <c r="D29" i="43"/>
  <c r="C29" i="43"/>
  <c r="E27" i="43"/>
  <c r="D27" i="43"/>
  <c r="C27" i="43"/>
  <c r="E28" i="43"/>
  <c r="D28" i="43"/>
  <c r="C28" i="43"/>
  <c r="E26" i="43"/>
  <c r="D26" i="43"/>
  <c r="C26" i="43"/>
  <c r="E25" i="43"/>
  <c r="D25" i="43"/>
  <c r="C25" i="43"/>
  <c r="E23" i="43"/>
  <c r="D23" i="43"/>
  <c r="C23" i="43"/>
  <c r="E22" i="43"/>
  <c r="D22" i="43"/>
  <c r="C22" i="43"/>
  <c r="E21" i="43"/>
  <c r="D21" i="43"/>
  <c r="C21" i="43"/>
  <c r="E19" i="43"/>
  <c r="D19" i="43"/>
  <c r="C19" i="43"/>
  <c r="E20" i="43"/>
  <c r="D20" i="43"/>
  <c r="C20" i="43"/>
  <c r="E18" i="43"/>
  <c r="D18" i="43"/>
  <c r="C18" i="43"/>
  <c r="E17" i="43"/>
  <c r="D17" i="43"/>
  <c r="C17" i="43"/>
  <c r="E16" i="43"/>
  <c r="D16" i="43"/>
  <c r="C16" i="43"/>
  <c r="E15" i="43"/>
  <c r="D15" i="43"/>
  <c r="C15" i="43"/>
  <c r="E14" i="43"/>
  <c r="D14" i="43"/>
  <c r="C14" i="43"/>
  <c r="E13" i="43"/>
  <c r="D13" i="43"/>
  <c r="C13" i="43"/>
  <c r="E12" i="43"/>
  <c r="D12" i="43"/>
  <c r="C12" i="43"/>
  <c r="E11" i="43"/>
  <c r="D11" i="43"/>
  <c r="C11" i="43"/>
  <c r="E10" i="43"/>
  <c r="D10" i="43"/>
  <c r="C10" i="43"/>
  <c r="E9" i="43"/>
  <c r="D9" i="43"/>
  <c r="C9" i="43"/>
  <c r="H46" i="43"/>
  <c r="G46" i="43"/>
  <c r="H45" i="43"/>
  <c r="G45" i="43"/>
  <c r="H44" i="43"/>
  <c r="G44" i="43"/>
  <c r="H43" i="43"/>
  <c r="G43" i="43"/>
  <c r="H42" i="43"/>
  <c r="G42" i="43"/>
  <c r="H30" i="43"/>
  <c r="G30" i="43"/>
  <c r="I55" i="41"/>
  <c r="F55" i="41"/>
  <c r="E55" i="41"/>
  <c r="D55" i="41"/>
  <c r="C55" i="41"/>
  <c r="I54" i="41"/>
  <c r="F54" i="41"/>
  <c r="E54" i="41"/>
  <c r="D54" i="41"/>
  <c r="C54" i="41"/>
  <c r="I53" i="41"/>
  <c r="F53" i="41"/>
  <c r="E53" i="41"/>
  <c r="D53" i="41"/>
  <c r="C53" i="41"/>
  <c r="I52" i="41"/>
  <c r="F52" i="41"/>
  <c r="E52" i="41"/>
  <c r="D52" i="41"/>
  <c r="C52" i="41"/>
  <c r="I51" i="41"/>
  <c r="F51" i="41"/>
  <c r="E51" i="41"/>
  <c r="D51" i="41"/>
  <c r="C51" i="41"/>
  <c r="I50" i="41"/>
  <c r="F50" i="41"/>
  <c r="E50" i="41"/>
  <c r="D50" i="41"/>
  <c r="C50" i="41"/>
  <c r="I49" i="41"/>
  <c r="F49" i="41"/>
  <c r="E49" i="41"/>
  <c r="D49" i="41"/>
  <c r="C49" i="41"/>
  <c r="I48" i="41"/>
  <c r="F48" i="41"/>
  <c r="E48" i="41"/>
  <c r="D48" i="41"/>
  <c r="C48" i="41"/>
  <c r="I47" i="41"/>
  <c r="F47" i="41"/>
  <c r="E47" i="41"/>
  <c r="D47" i="41"/>
  <c r="C47" i="41"/>
  <c r="I46" i="41"/>
  <c r="F46" i="41"/>
  <c r="E46" i="41"/>
  <c r="D46" i="41"/>
  <c r="C46" i="41"/>
  <c r="I45" i="41"/>
  <c r="F45" i="41"/>
  <c r="E45" i="41"/>
  <c r="D45" i="41"/>
  <c r="C45" i="41"/>
  <c r="I44" i="41"/>
  <c r="F44" i="41"/>
  <c r="E44" i="41"/>
  <c r="D44" i="41"/>
  <c r="C44" i="41"/>
  <c r="I43" i="41"/>
  <c r="F43" i="41"/>
  <c r="E43" i="41"/>
  <c r="D43" i="41"/>
  <c r="C43" i="41"/>
  <c r="I42" i="41"/>
  <c r="F42" i="41"/>
  <c r="E42" i="41"/>
  <c r="D42" i="41"/>
  <c r="C42" i="41"/>
  <c r="E40" i="41"/>
  <c r="D40" i="41"/>
  <c r="C40" i="41"/>
  <c r="E39" i="41"/>
  <c r="D39" i="41"/>
  <c r="C39" i="41"/>
  <c r="E38" i="41"/>
  <c r="D38" i="41"/>
  <c r="C38" i="41"/>
  <c r="E36" i="41"/>
  <c r="D36" i="41"/>
  <c r="C36" i="41"/>
  <c r="E37" i="41"/>
  <c r="D37" i="41"/>
  <c r="C37" i="41"/>
  <c r="E33" i="41"/>
  <c r="D33" i="41"/>
  <c r="C33" i="41"/>
  <c r="E34" i="41"/>
  <c r="D34" i="41"/>
  <c r="C34" i="41"/>
  <c r="E35" i="41"/>
  <c r="D35" i="41"/>
  <c r="C35" i="41"/>
  <c r="E32" i="41"/>
  <c r="D32" i="41"/>
  <c r="C32" i="41"/>
  <c r="E41" i="41"/>
  <c r="D41" i="41"/>
  <c r="C41" i="41"/>
  <c r="E30" i="41"/>
  <c r="D30" i="41"/>
  <c r="C30" i="41"/>
  <c r="E31" i="41"/>
  <c r="D31" i="41"/>
  <c r="C31" i="41"/>
  <c r="E29" i="41"/>
  <c r="D29" i="41"/>
  <c r="C29" i="41"/>
  <c r="E28" i="41"/>
  <c r="D28" i="41"/>
  <c r="C28" i="41"/>
  <c r="E27" i="41"/>
  <c r="D27" i="41"/>
  <c r="C27" i="41"/>
  <c r="E26" i="41"/>
  <c r="D26" i="41"/>
  <c r="C26" i="41"/>
  <c r="E25" i="41"/>
  <c r="D25" i="41"/>
  <c r="C25" i="41"/>
  <c r="E24" i="41"/>
  <c r="D24" i="41"/>
  <c r="C24" i="41"/>
  <c r="E23" i="41"/>
  <c r="D23" i="41"/>
  <c r="C23" i="41"/>
  <c r="E22" i="41"/>
  <c r="D22" i="41"/>
  <c r="C22" i="41"/>
  <c r="E21" i="41"/>
  <c r="D21" i="41"/>
  <c r="C21" i="41"/>
  <c r="E20" i="41"/>
  <c r="D20" i="41"/>
  <c r="C20" i="41"/>
  <c r="E19" i="41"/>
  <c r="D19" i="41"/>
  <c r="C19" i="41"/>
  <c r="E18" i="41"/>
  <c r="D18" i="41"/>
  <c r="C18" i="41"/>
  <c r="E17" i="41"/>
  <c r="D17" i="41"/>
  <c r="C17" i="41"/>
  <c r="E16" i="41"/>
  <c r="D16" i="41"/>
  <c r="C16" i="41"/>
  <c r="E15" i="41"/>
  <c r="D15" i="41"/>
  <c r="C15" i="41"/>
  <c r="E14" i="41"/>
  <c r="D14" i="41"/>
  <c r="C14" i="41"/>
  <c r="E13" i="41"/>
  <c r="D13" i="41"/>
  <c r="C13" i="41"/>
  <c r="E10" i="41"/>
  <c r="D10" i="41"/>
  <c r="C10" i="41"/>
  <c r="E11" i="41"/>
  <c r="D11" i="41"/>
  <c r="C11" i="41"/>
  <c r="E12" i="41"/>
  <c r="D12" i="41"/>
  <c r="C12" i="41"/>
  <c r="E9" i="41"/>
  <c r="D9" i="41"/>
  <c r="C9" i="41"/>
  <c r="D56" i="41"/>
  <c r="E56" i="41"/>
  <c r="J56" i="41"/>
  <c r="K56" i="41"/>
  <c r="L56" i="41"/>
  <c r="M56" i="41"/>
  <c r="N56" i="41"/>
  <c r="O56" i="41"/>
  <c r="P56" i="41"/>
  <c r="Q56" i="41"/>
  <c r="R56" i="41"/>
  <c r="S56" i="41"/>
  <c r="T56" i="41"/>
  <c r="U56" i="41"/>
  <c r="V56" i="41"/>
  <c r="W56" i="41"/>
  <c r="X56" i="41"/>
  <c r="Y56" i="41"/>
  <c r="Z56" i="41"/>
  <c r="AA56" i="41"/>
  <c r="AB56" i="41"/>
  <c r="AC56" i="41"/>
  <c r="AD56" i="41"/>
  <c r="AE56" i="41"/>
  <c r="AF56" i="41"/>
  <c r="AG56" i="41"/>
  <c r="AH56" i="41"/>
  <c r="AI56" i="41"/>
  <c r="AJ56" i="41"/>
  <c r="AK56" i="41"/>
  <c r="AL56" i="41"/>
  <c r="AM56" i="41"/>
  <c r="AN56" i="41"/>
  <c r="AO56" i="41"/>
  <c r="AP56" i="41"/>
  <c r="AQ56" i="41"/>
  <c r="AR56" i="41"/>
  <c r="AS56" i="41"/>
  <c r="AT56" i="41"/>
  <c r="AU56" i="41"/>
  <c r="AV56" i="41"/>
  <c r="AW56" i="41"/>
  <c r="H55" i="41"/>
  <c r="G55" i="41"/>
  <c r="H54" i="41"/>
  <c r="G54" i="41"/>
  <c r="H53" i="41"/>
  <c r="G53" i="41"/>
  <c r="H52" i="41"/>
  <c r="G52" i="41"/>
  <c r="H51" i="41"/>
  <c r="G51" i="41"/>
  <c r="H50" i="41"/>
  <c r="G50" i="41"/>
  <c r="H49" i="41"/>
  <c r="G49" i="41"/>
  <c r="H48" i="41"/>
  <c r="G48" i="41"/>
  <c r="H47" i="41"/>
  <c r="G47" i="41"/>
  <c r="H46" i="41"/>
  <c r="G46" i="41"/>
  <c r="H45" i="41"/>
  <c r="G45" i="41"/>
  <c r="H44" i="41"/>
  <c r="G44" i="41"/>
  <c r="H43" i="41"/>
  <c r="G43" i="41"/>
  <c r="H42" i="41"/>
  <c r="G42" i="41"/>
  <c r="I55" i="37"/>
  <c r="F55" i="37"/>
  <c r="E55" i="37"/>
  <c r="D55" i="37"/>
  <c r="C55" i="37"/>
  <c r="I54" i="37"/>
  <c r="F54" i="37"/>
  <c r="E54" i="37"/>
  <c r="D54" i="37"/>
  <c r="C54" i="37"/>
  <c r="I53" i="37"/>
  <c r="F53" i="37"/>
  <c r="E53" i="37"/>
  <c r="D53" i="37"/>
  <c r="C53" i="37"/>
  <c r="I52" i="37"/>
  <c r="F52" i="37"/>
  <c r="E52" i="37"/>
  <c r="D52" i="37"/>
  <c r="C52" i="37"/>
  <c r="I51" i="37"/>
  <c r="F51" i="37"/>
  <c r="E51" i="37"/>
  <c r="D51" i="37"/>
  <c r="C51" i="37"/>
  <c r="I50" i="37"/>
  <c r="F50" i="37"/>
  <c r="E50" i="37"/>
  <c r="D50" i="37"/>
  <c r="C50" i="37"/>
  <c r="I49" i="37"/>
  <c r="F49" i="37"/>
  <c r="E49" i="37"/>
  <c r="D49" i="37"/>
  <c r="C49" i="37"/>
  <c r="E47" i="37"/>
  <c r="D47" i="37"/>
  <c r="C47" i="37"/>
  <c r="E46" i="37"/>
  <c r="D46" i="37"/>
  <c r="C46" i="37"/>
  <c r="E45" i="37"/>
  <c r="D45" i="37"/>
  <c r="C45" i="37"/>
  <c r="E44" i="37"/>
  <c r="D44" i="37"/>
  <c r="C44" i="37"/>
  <c r="E41" i="37"/>
  <c r="D41" i="37"/>
  <c r="C41" i="37"/>
  <c r="E43" i="37"/>
  <c r="D43" i="37"/>
  <c r="C43" i="37"/>
  <c r="E42" i="37"/>
  <c r="D42" i="37"/>
  <c r="C42" i="37"/>
  <c r="E40" i="37"/>
  <c r="D40" i="37"/>
  <c r="C40" i="37"/>
  <c r="E39" i="37"/>
  <c r="D39" i="37"/>
  <c r="C39" i="37"/>
  <c r="E38" i="37"/>
  <c r="D38" i="37"/>
  <c r="C38" i="37"/>
  <c r="E37" i="37"/>
  <c r="D37" i="37"/>
  <c r="C37" i="37"/>
  <c r="E36" i="37"/>
  <c r="D36" i="37"/>
  <c r="C36" i="37"/>
  <c r="E48" i="37"/>
  <c r="D48" i="37"/>
  <c r="C48" i="37"/>
  <c r="E32" i="37"/>
  <c r="D32" i="37"/>
  <c r="C32" i="37"/>
  <c r="E35" i="37"/>
  <c r="D35" i="37"/>
  <c r="C35" i="37"/>
  <c r="E33" i="37"/>
  <c r="D33" i="37"/>
  <c r="C33" i="37"/>
  <c r="E31" i="37"/>
  <c r="D31" i="37"/>
  <c r="C31" i="37"/>
  <c r="E30" i="37"/>
  <c r="D30" i="37"/>
  <c r="C30" i="37"/>
  <c r="E29" i="37"/>
  <c r="D29" i="37"/>
  <c r="C29" i="37"/>
  <c r="E28" i="37"/>
  <c r="D28" i="37"/>
  <c r="C28" i="37"/>
  <c r="E27" i="37"/>
  <c r="D27" i="37"/>
  <c r="C27" i="37"/>
  <c r="E26" i="37"/>
  <c r="D26" i="37"/>
  <c r="C26" i="37"/>
  <c r="E25" i="37"/>
  <c r="D25" i="37"/>
  <c r="C25" i="37"/>
  <c r="E24" i="37"/>
  <c r="D24" i="37"/>
  <c r="C24" i="37"/>
  <c r="E23" i="37"/>
  <c r="D23" i="37"/>
  <c r="C23" i="37"/>
  <c r="E22" i="37"/>
  <c r="D22" i="37"/>
  <c r="C22" i="37"/>
  <c r="E21" i="37"/>
  <c r="D21" i="37"/>
  <c r="C21" i="37"/>
  <c r="E20" i="37"/>
  <c r="D20" i="37"/>
  <c r="C20" i="37"/>
  <c r="E19" i="37"/>
  <c r="D19" i="37"/>
  <c r="C19" i="37"/>
  <c r="E18" i="37"/>
  <c r="D18" i="37"/>
  <c r="C18" i="37"/>
  <c r="E17" i="37"/>
  <c r="D17" i="37"/>
  <c r="C17" i="37"/>
  <c r="E16" i="37"/>
  <c r="D16" i="37"/>
  <c r="C16" i="37"/>
  <c r="E15" i="37"/>
  <c r="D15" i="37"/>
  <c r="C15" i="37"/>
  <c r="E14" i="37"/>
  <c r="D14" i="37"/>
  <c r="C14" i="37"/>
  <c r="E13" i="37"/>
  <c r="D13" i="37"/>
  <c r="C13" i="37"/>
  <c r="E12" i="37"/>
  <c r="D12" i="37"/>
  <c r="C12" i="37"/>
  <c r="E34" i="37"/>
  <c r="D34" i="37"/>
  <c r="C34" i="37"/>
  <c r="E11" i="37"/>
  <c r="D11" i="37"/>
  <c r="C11" i="37"/>
  <c r="E10" i="37"/>
  <c r="D10" i="37"/>
  <c r="C10" i="37"/>
  <c r="E9" i="37"/>
  <c r="D9" i="37"/>
  <c r="C9" i="37"/>
  <c r="C56" i="37"/>
  <c r="D56" i="37"/>
  <c r="E56" i="37"/>
  <c r="J56" i="37"/>
  <c r="K56" i="37"/>
  <c r="L56" i="37"/>
  <c r="M56" i="37"/>
  <c r="N56" i="37"/>
  <c r="O56" i="37"/>
  <c r="P56" i="37"/>
  <c r="Q56" i="37"/>
  <c r="R56" i="37"/>
  <c r="S56" i="37"/>
  <c r="T56" i="37"/>
  <c r="U56" i="37"/>
  <c r="V56" i="37"/>
  <c r="W56" i="37"/>
  <c r="X56" i="37"/>
  <c r="Y56" i="37"/>
  <c r="Z56" i="37"/>
  <c r="AA56" i="37"/>
  <c r="AB56" i="37"/>
  <c r="AC56" i="37"/>
  <c r="AD56" i="37"/>
  <c r="AE56" i="37"/>
  <c r="AF56" i="37"/>
  <c r="AG56" i="37"/>
  <c r="AH56" i="37"/>
  <c r="AI56" i="37"/>
  <c r="AJ56" i="37"/>
  <c r="AN56" i="37"/>
  <c r="AO56" i="37"/>
  <c r="AP56" i="37"/>
  <c r="AQ56" i="37"/>
  <c r="AR56" i="37"/>
  <c r="AS56" i="37"/>
  <c r="AT56" i="37"/>
  <c r="AU56" i="37"/>
  <c r="AV56" i="37"/>
  <c r="AW56" i="37"/>
  <c r="H55" i="37"/>
  <c r="G55" i="37"/>
  <c r="H54" i="37"/>
  <c r="G54" i="37"/>
  <c r="H53" i="37"/>
  <c r="G53" i="37"/>
  <c r="H52" i="37"/>
  <c r="G52" i="37"/>
  <c r="H51" i="37"/>
  <c r="G51" i="37"/>
  <c r="H50" i="37"/>
  <c r="G50" i="37"/>
  <c r="H49" i="37"/>
  <c r="G49" i="37"/>
  <c r="I59" i="39"/>
  <c r="F59" i="39"/>
  <c r="E59" i="39"/>
  <c r="D59" i="39"/>
  <c r="C59" i="39"/>
  <c r="I58" i="39"/>
  <c r="F58" i="39"/>
  <c r="E58" i="39"/>
  <c r="D58" i="39"/>
  <c r="C58" i="39"/>
  <c r="I57" i="39"/>
  <c r="F57" i="39"/>
  <c r="E57" i="39"/>
  <c r="D57" i="39"/>
  <c r="C57" i="39"/>
  <c r="I56" i="39"/>
  <c r="F56" i="39"/>
  <c r="E56" i="39"/>
  <c r="D56" i="39"/>
  <c r="C56" i="39"/>
  <c r="I55" i="39"/>
  <c r="F55" i="39"/>
  <c r="E55" i="39"/>
  <c r="D55" i="39"/>
  <c r="C55" i="39"/>
  <c r="I54" i="39"/>
  <c r="F54" i="39"/>
  <c r="E54" i="39"/>
  <c r="D54" i="39"/>
  <c r="C54" i="39"/>
  <c r="I53" i="39"/>
  <c r="F53" i="39"/>
  <c r="E53" i="39"/>
  <c r="D53" i="39"/>
  <c r="C53" i="39"/>
  <c r="I52" i="39"/>
  <c r="F52" i="39"/>
  <c r="E52" i="39"/>
  <c r="D52" i="39"/>
  <c r="C52" i="39"/>
  <c r="I51" i="39"/>
  <c r="F51" i="39"/>
  <c r="E51" i="39"/>
  <c r="D51" i="39"/>
  <c r="C51" i="39"/>
  <c r="I50" i="39"/>
  <c r="F50" i="39"/>
  <c r="E50" i="39"/>
  <c r="D50" i="39"/>
  <c r="C50" i="39"/>
  <c r="F49" i="39"/>
  <c r="E49" i="39"/>
  <c r="D49" i="39"/>
  <c r="C49" i="39"/>
  <c r="I49" i="39" s="1"/>
  <c r="H48" i="39"/>
  <c r="E48" i="39"/>
  <c r="D48" i="39"/>
  <c r="C48" i="39"/>
  <c r="I48" i="39" s="1"/>
  <c r="E47" i="39"/>
  <c r="D47" i="39"/>
  <c r="C47" i="39"/>
  <c r="E46" i="39"/>
  <c r="D46" i="39"/>
  <c r="C46" i="39"/>
  <c r="E45" i="39"/>
  <c r="D45" i="39"/>
  <c r="C45" i="39"/>
  <c r="E44" i="39"/>
  <c r="D44" i="39"/>
  <c r="C44" i="39"/>
  <c r="E40" i="39"/>
  <c r="D40" i="39"/>
  <c r="C40" i="39"/>
  <c r="E43" i="39"/>
  <c r="D43" i="39"/>
  <c r="C43" i="39"/>
  <c r="E42" i="39"/>
  <c r="D42" i="39"/>
  <c r="C42" i="39"/>
  <c r="E27" i="39"/>
  <c r="D27" i="39"/>
  <c r="C27" i="39"/>
  <c r="E41" i="39"/>
  <c r="D41" i="39"/>
  <c r="C41" i="39"/>
  <c r="E39" i="39"/>
  <c r="D39" i="39"/>
  <c r="C39" i="39"/>
  <c r="E38" i="39"/>
  <c r="D38" i="39"/>
  <c r="C38" i="39"/>
  <c r="E32" i="39"/>
  <c r="D32" i="39"/>
  <c r="C32" i="39"/>
  <c r="E37" i="39"/>
  <c r="D37" i="39"/>
  <c r="C37" i="39"/>
  <c r="E34" i="39"/>
  <c r="D34" i="39"/>
  <c r="C34" i="39"/>
  <c r="E35" i="39"/>
  <c r="D35" i="39"/>
  <c r="C35" i="39"/>
  <c r="E33" i="39"/>
  <c r="D33" i="39"/>
  <c r="C33" i="39"/>
  <c r="E31" i="39"/>
  <c r="D31" i="39"/>
  <c r="C31" i="39"/>
  <c r="E30" i="39"/>
  <c r="D30" i="39"/>
  <c r="C30" i="39"/>
  <c r="E29" i="39"/>
  <c r="D29" i="39"/>
  <c r="C29" i="39"/>
  <c r="E28" i="39"/>
  <c r="D28" i="39"/>
  <c r="C28" i="39"/>
  <c r="E26" i="39"/>
  <c r="D26" i="39"/>
  <c r="C26" i="39"/>
  <c r="E25" i="39"/>
  <c r="D25" i="39"/>
  <c r="C25" i="39"/>
  <c r="E24" i="39"/>
  <c r="D24" i="39"/>
  <c r="C24" i="39"/>
  <c r="E23" i="39"/>
  <c r="D23" i="39"/>
  <c r="C23" i="39"/>
  <c r="E22" i="39"/>
  <c r="D22" i="39"/>
  <c r="C22" i="39"/>
  <c r="E21" i="39"/>
  <c r="D21" i="39"/>
  <c r="C21" i="39"/>
  <c r="E20" i="39"/>
  <c r="D20" i="39"/>
  <c r="C20" i="39"/>
  <c r="E19" i="39"/>
  <c r="D19" i="39"/>
  <c r="C19" i="39"/>
  <c r="E18" i="39"/>
  <c r="D18" i="39"/>
  <c r="C18" i="39"/>
  <c r="E17" i="39"/>
  <c r="D17" i="39"/>
  <c r="C17" i="39"/>
  <c r="E16" i="39"/>
  <c r="D16" i="39"/>
  <c r="C16" i="39"/>
  <c r="E15" i="39"/>
  <c r="D15" i="39"/>
  <c r="C15" i="39"/>
  <c r="E14" i="39"/>
  <c r="D14" i="39"/>
  <c r="C14" i="39"/>
  <c r="E13" i="39"/>
  <c r="D13" i="39"/>
  <c r="C13" i="39"/>
  <c r="E12" i="39"/>
  <c r="D12" i="39"/>
  <c r="C12" i="39"/>
  <c r="E36" i="39"/>
  <c r="D36" i="39"/>
  <c r="C36" i="39"/>
  <c r="E11" i="39"/>
  <c r="D11" i="39"/>
  <c r="C11" i="39"/>
  <c r="E10" i="39"/>
  <c r="D10" i="39"/>
  <c r="C10" i="39"/>
  <c r="E9" i="39"/>
  <c r="D9" i="39"/>
  <c r="C9" i="39"/>
  <c r="H59" i="39"/>
  <c r="G59" i="39"/>
  <c r="H58" i="39"/>
  <c r="G58" i="39"/>
  <c r="H57" i="39"/>
  <c r="G57" i="39"/>
  <c r="H56" i="39"/>
  <c r="G56" i="39"/>
  <c r="H55" i="39"/>
  <c r="G55" i="39"/>
  <c r="H54" i="39"/>
  <c r="G54" i="39"/>
  <c r="H53" i="39"/>
  <c r="G53" i="39"/>
  <c r="H52" i="39"/>
  <c r="G52" i="39"/>
  <c r="H51" i="39"/>
  <c r="G51" i="39"/>
  <c r="H50" i="39"/>
  <c r="G50" i="39"/>
  <c r="H49" i="39"/>
  <c r="G49" i="39"/>
  <c r="I47" i="38"/>
  <c r="F47" i="38"/>
  <c r="E47" i="38"/>
  <c r="D47" i="38"/>
  <c r="C47" i="38"/>
  <c r="I46" i="38"/>
  <c r="F46" i="38"/>
  <c r="E46" i="38"/>
  <c r="D46" i="38"/>
  <c r="C46" i="38"/>
  <c r="I45" i="38"/>
  <c r="F45" i="38"/>
  <c r="E45" i="38"/>
  <c r="D45" i="38"/>
  <c r="C45" i="38"/>
  <c r="I44" i="38"/>
  <c r="F44" i="38"/>
  <c r="E44" i="38"/>
  <c r="D44" i="38"/>
  <c r="C44" i="38"/>
  <c r="I43" i="38"/>
  <c r="F43" i="38"/>
  <c r="E43" i="38"/>
  <c r="D43" i="38"/>
  <c r="C43" i="38"/>
  <c r="I42" i="38"/>
  <c r="F42" i="38"/>
  <c r="E42" i="38"/>
  <c r="D42" i="38"/>
  <c r="C42" i="38"/>
  <c r="I41" i="38"/>
  <c r="F41" i="38"/>
  <c r="E41" i="38"/>
  <c r="D41" i="38"/>
  <c r="C41" i="38"/>
  <c r="I40" i="38"/>
  <c r="F40" i="38"/>
  <c r="E40" i="38"/>
  <c r="D40" i="38"/>
  <c r="C40" i="38"/>
  <c r="I39" i="38"/>
  <c r="F39" i="38"/>
  <c r="E39" i="38"/>
  <c r="D39" i="38"/>
  <c r="C39" i="38"/>
  <c r="I38" i="38"/>
  <c r="F38" i="38"/>
  <c r="E38" i="38"/>
  <c r="D38" i="38"/>
  <c r="C38" i="38"/>
  <c r="I37" i="38"/>
  <c r="F37" i="38"/>
  <c r="E37" i="38"/>
  <c r="D37" i="38"/>
  <c r="C37" i="38"/>
  <c r="I36" i="38"/>
  <c r="F36" i="38"/>
  <c r="E36" i="38"/>
  <c r="D36" i="38"/>
  <c r="C36" i="38"/>
  <c r="I35" i="38"/>
  <c r="F35" i="38"/>
  <c r="E35" i="38"/>
  <c r="D35" i="38"/>
  <c r="C35" i="38"/>
  <c r="E34" i="38"/>
  <c r="D34" i="38"/>
  <c r="C34" i="38"/>
  <c r="I34" i="38" s="1"/>
  <c r="E32" i="38"/>
  <c r="D32" i="38"/>
  <c r="C32" i="38"/>
  <c r="E31" i="38"/>
  <c r="D31" i="38"/>
  <c r="C31" i="38"/>
  <c r="E30" i="38"/>
  <c r="D30" i="38"/>
  <c r="C30" i="38"/>
  <c r="E27" i="38"/>
  <c r="D27" i="38"/>
  <c r="C27" i="38"/>
  <c r="E29" i="38"/>
  <c r="D29" i="38"/>
  <c r="C29" i="38"/>
  <c r="E20" i="38"/>
  <c r="D20" i="38"/>
  <c r="C20" i="38"/>
  <c r="E28" i="38"/>
  <c r="D28" i="38"/>
  <c r="C28" i="38"/>
  <c r="E26" i="38"/>
  <c r="D26" i="38"/>
  <c r="C26" i="38"/>
  <c r="E33" i="38"/>
  <c r="D33" i="38"/>
  <c r="C33" i="38"/>
  <c r="E25" i="38"/>
  <c r="D25" i="38"/>
  <c r="C25" i="38"/>
  <c r="E22" i="38"/>
  <c r="D22" i="38"/>
  <c r="C22" i="38"/>
  <c r="E23" i="38"/>
  <c r="D23" i="38"/>
  <c r="C23" i="38"/>
  <c r="E21" i="38"/>
  <c r="D21" i="38"/>
  <c r="C21" i="38"/>
  <c r="E19" i="38"/>
  <c r="D19" i="38"/>
  <c r="C19" i="38"/>
  <c r="E18" i="38"/>
  <c r="D18" i="38"/>
  <c r="C18" i="38"/>
  <c r="E17" i="38"/>
  <c r="D17" i="38"/>
  <c r="C17" i="38"/>
  <c r="E16" i="38"/>
  <c r="D16" i="38"/>
  <c r="C16" i="38"/>
  <c r="E15" i="38"/>
  <c r="D15" i="38"/>
  <c r="C15" i="38"/>
  <c r="E14" i="38"/>
  <c r="D14" i="38"/>
  <c r="C14" i="38"/>
  <c r="E13" i="38"/>
  <c r="D13" i="38"/>
  <c r="C13" i="38"/>
  <c r="E12" i="38"/>
  <c r="D12" i="38"/>
  <c r="C12" i="38"/>
  <c r="E24" i="38"/>
  <c r="D24" i="38"/>
  <c r="C24" i="38"/>
  <c r="E11" i="38"/>
  <c r="D11" i="38"/>
  <c r="C11" i="38"/>
  <c r="E10" i="38"/>
  <c r="D10" i="38"/>
  <c r="C10" i="38"/>
  <c r="E9" i="38"/>
  <c r="D9" i="38"/>
  <c r="C9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G38" i="38"/>
  <c r="H37" i="38"/>
  <c r="G37" i="38"/>
  <c r="H36" i="38"/>
  <c r="G36" i="38"/>
  <c r="H35" i="38"/>
  <c r="G35" i="38"/>
  <c r="H34" i="38"/>
  <c r="G34" i="38"/>
  <c r="I46" i="40"/>
  <c r="F46" i="40"/>
  <c r="AK56" i="37"/>
  <c r="AW45" i="40"/>
  <c r="AV45" i="40"/>
  <c r="AU45" i="40"/>
  <c r="AT45" i="40"/>
  <c r="AS45" i="40"/>
  <c r="AR45" i="40"/>
  <c r="AQ45" i="40"/>
  <c r="AP45" i="40"/>
  <c r="AO45" i="40"/>
  <c r="AN45" i="40"/>
  <c r="AM45" i="40"/>
  <c r="AL45" i="40"/>
  <c r="AK45" i="40"/>
  <c r="AJ45" i="40"/>
  <c r="AI45" i="40"/>
  <c r="AH45" i="40"/>
  <c r="AG45" i="40"/>
  <c r="AF45" i="40"/>
  <c r="AE45" i="40"/>
  <c r="AD45" i="40"/>
  <c r="AC45" i="40"/>
  <c r="AB45" i="40"/>
  <c r="AA45" i="40"/>
  <c r="Z45" i="40"/>
  <c r="Y45" i="40"/>
  <c r="X45" i="40"/>
  <c r="W45" i="40"/>
  <c r="V45" i="40"/>
  <c r="U45" i="40"/>
  <c r="T45" i="40"/>
  <c r="S45" i="40"/>
  <c r="R45" i="40"/>
  <c r="Q45" i="40"/>
  <c r="P45" i="40"/>
  <c r="O45" i="40"/>
  <c r="N45" i="40"/>
  <c r="M45" i="40"/>
  <c r="L45" i="40"/>
  <c r="K45" i="40"/>
  <c r="J45" i="40"/>
  <c r="I45" i="40"/>
  <c r="F45" i="40"/>
  <c r="E45" i="40"/>
  <c r="D45" i="40"/>
  <c r="C45" i="40"/>
  <c r="AW44" i="40"/>
  <c r="AV44" i="40"/>
  <c r="AU44" i="40"/>
  <c r="AT44" i="40"/>
  <c r="AS44" i="40"/>
  <c r="AR44" i="40"/>
  <c r="AQ44" i="40"/>
  <c r="AP44" i="40"/>
  <c r="AO44" i="40"/>
  <c r="AN44" i="40"/>
  <c r="AM44" i="40"/>
  <c r="AL44" i="40"/>
  <c r="AK44" i="40"/>
  <c r="AJ44" i="40"/>
  <c r="AI44" i="40"/>
  <c r="AH44" i="40"/>
  <c r="AG44" i="40"/>
  <c r="AF44" i="40"/>
  <c r="AE44" i="40"/>
  <c r="AD44" i="40"/>
  <c r="AC44" i="40"/>
  <c r="AB44" i="40"/>
  <c r="AA44" i="40"/>
  <c r="Z44" i="40"/>
  <c r="Y44" i="40"/>
  <c r="X44" i="40"/>
  <c r="W44" i="40"/>
  <c r="V44" i="40"/>
  <c r="U44" i="40"/>
  <c r="T44" i="40"/>
  <c r="S44" i="40"/>
  <c r="R44" i="40"/>
  <c r="Q44" i="40"/>
  <c r="P44" i="40"/>
  <c r="O44" i="40"/>
  <c r="N44" i="40"/>
  <c r="M44" i="40"/>
  <c r="L44" i="40"/>
  <c r="K44" i="40"/>
  <c r="J44" i="40"/>
  <c r="I44" i="40"/>
  <c r="F44" i="40"/>
  <c r="E44" i="40"/>
  <c r="D44" i="40"/>
  <c r="C44" i="40"/>
  <c r="AW43" i="40"/>
  <c r="AV43" i="40"/>
  <c r="AU43" i="40"/>
  <c r="AT43" i="40"/>
  <c r="AS43" i="40"/>
  <c r="AR43" i="40"/>
  <c r="AQ43" i="40"/>
  <c r="AP43" i="40"/>
  <c r="AO43" i="40"/>
  <c r="AN43" i="40"/>
  <c r="AM43" i="40"/>
  <c r="AL43" i="40"/>
  <c r="AK43" i="40"/>
  <c r="AJ43" i="40"/>
  <c r="AI43" i="40"/>
  <c r="AH43" i="40"/>
  <c r="AG43" i="40"/>
  <c r="AF43" i="40"/>
  <c r="AE43" i="40"/>
  <c r="AD43" i="40"/>
  <c r="AC43" i="40"/>
  <c r="AB43" i="40"/>
  <c r="AA43" i="40"/>
  <c r="Z43" i="40"/>
  <c r="Y43" i="40"/>
  <c r="X43" i="40"/>
  <c r="W43" i="40"/>
  <c r="V43" i="40"/>
  <c r="U43" i="40"/>
  <c r="T43" i="40"/>
  <c r="S43" i="40"/>
  <c r="R43" i="40"/>
  <c r="Q43" i="40"/>
  <c r="P43" i="40"/>
  <c r="O43" i="40"/>
  <c r="N43" i="40"/>
  <c r="M43" i="40"/>
  <c r="H43" i="40" s="1"/>
  <c r="L43" i="40"/>
  <c r="K43" i="40"/>
  <c r="J43" i="40"/>
  <c r="E43" i="40"/>
  <c r="D43" i="40"/>
  <c r="C43" i="40"/>
  <c r="F43" i="40" s="1"/>
  <c r="AW42" i="40"/>
  <c r="AV42" i="40"/>
  <c r="AU42" i="40"/>
  <c r="AT42" i="40"/>
  <c r="AS42" i="40"/>
  <c r="AR42" i="40"/>
  <c r="AQ42" i="40"/>
  <c r="AP42" i="40"/>
  <c r="AO42" i="40"/>
  <c r="AN42" i="40"/>
  <c r="AM42" i="40"/>
  <c r="AL42" i="40"/>
  <c r="AK42" i="40"/>
  <c r="AJ42" i="40"/>
  <c r="AI42" i="40"/>
  <c r="AH42" i="40"/>
  <c r="AG42" i="40"/>
  <c r="AF42" i="40"/>
  <c r="AE42" i="40"/>
  <c r="AD42" i="40"/>
  <c r="AC42" i="40"/>
  <c r="AB42" i="40"/>
  <c r="AA42" i="40"/>
  <c r="Z42" i="40"/>
  <c r="Y42" i="40"/>
  <c r="X42" i="40"/>
  <c r="W42" i="40"/>
  <c r="V42" i="40"/>
  <c r="U42" i="40"/>
  <c r="T42" i="40"/>
  <c r="S42" i="40"/>
  <c r="R42" i="40"/>
  <c r="Q42" i="40"/>
  <c r="P42" i="40"/>
  <c r="O42" i="40"/>
  <c r="N42" i="40"/>
  <c r="M42" i="40"/>
  <c r="L42" i="40"/>
  <c r="K42" i="40"/>
  <c r="J42" i="40"/>
  <c r="H42" i="40" s="1"/>
  <c r="E42" i="40"/>
  <c r="D42" i="40"/>
  <c r="C42" i="40"/>
  <c r="I42" i="40" s="1"/>
  <c r="AW41" i="40"/>
  <c r="AV41" i="40"/>
  <c r="AU41" i="40"/>
  <c r="AT41" i="40"/>
  <c r="AS41" i="40"/>
  <c r="AR41" i="40"/>
  <c r="AQ41" i="40"/>
  <c r="AP41" i="40"/>
  <c r="AO41" i="40"/>
  <c r="AN41" i="40"/>
  <c r="AM41" i="40"/>
  <c r="AL41" i="40"/>
  <c r="AK41" i="40"/>
  <c r="AJ41" i="40"/>
  <c r="AI41" i="40"/>
  <c r="AH41" i="40"/>
  <c r="AG41" i="40"/>
  <c r="AF41" i="40"/>
  <c r="AE41" i="40"/>
  <c r="AD41" i="40"/>
  <c r="AC41" i="40"/>
  <c r="AB41" i="40"/>
  <c r="AA41" i="40"/>
  <c r="Z41" i="40"/>
  <c r="Y41" i="40"/>
  <c r="X41" i="40"/>
  <c r="W41" i="40"/>
  <c r="V41" i="40"/>
  <c r="U41" i="40"/>
  <c r="T41" i="40"/>
  <c r="S41" i="40"/>
  <c r="R41" i="40"/>
  <c r="Q41" i="40"/>
  <c r="P41" i="40"/>
  <c r="O41" i="40"/>
  <c r="N41" i="40"/>
  <c r="M41" i="40"/>
  <c r="L41" i="40"/>
  <c r="K41" i="40"/>
  <c r="J41" i="40"/>
  <c r="E41" i="40"/>
  <c r="D41" i="40"/>
  <c r="C41" i="40"/>
  <c r="I41" i="40" s="1"/>
  <c r="AW40" i="40"/>
  <c r="AV40" i="40"/>
  <c r="AU40" i="40"/>
  <c r="AT40" i="40"/>
  <c r="AS40" i="40"/>
  <c r="AR40" i="40"/>
  <c r="AQ40" i="40"/>
  <c r="AP40" i="40"/>
  <c r="AO40" i="40"/>
  <c r="AN40" i="40"/>
  <c r="AM40" i="40"/>
  <c r="AL40" i="40"/>
  <c r="AK40" i="40"/>
  <c r="AJ40" i="40"/>
  <c r="AI40" i="40"/>
  <c r="AH40" i="40"/>
  <c r="AG40" i="40"/>
  <c r="AF40" i="40"/>
  <c r="AE40" i="40"/>
  <c r="AD40" i="40"/>
  <c r="AC40" i="40"/>
  <c r="AB40" i="40"/>
  <c r="AA40" i="40"/>
  <c r="Z40" i="40"/>
  <c r="Y40" i="40"/>
  <c r="X40" i="40"/>
  <c r="W40" i="40"/>
  <c r="V40" i="40"/>
  <c r="U40" i="40"/>
  <c r="T40" i="40"/>
  <c r="S40" i="40"/>
  <c r="R40" i="40"/>
  <c r="Q40" i="40"/>
  <c r="P40" i="40"/>
  <c r="O40" i="40"/>
  <c r="N40" i="40"/>
  <c r="M40" i="40"/>
  <c r="L40" i="40"/>
  <c r="K40" i="40"/>
  <c r="J40" i="40"/>
  <c r="F40" i="40"/>
  <c r="E40" i="40"/>
  <c r="D40" i="40"/>
  <c r="C40" i="40"/>
  <c r="I40" i="40" s="1"/>
  <c r="AW39" i="40"/>
  <c r="AV39" i="40"/>
  <c r="AU39" i="40"/>
  <c r="AT39" i="40"/>
  <c r="AS39" i="40"/>
  <c r="AR39" i="40"/>
  <c r="AQ39" i="40"/>
  <c r="AP39" i="40"/>
  <c r="AO39" i="40"/>
  <c r="AN39" i="40"/>
  <c r="AM39" i="40"/>
  <c r="AL39" i="40"/>
  <c r="AK39" i="40"/>
  <c r="AJ39" i="40"/>
  <c r="AI39" i="40"/>
  <c r="AH39" i="40"/>
  <c r="AG39" i="40"/>
  <c r="AF39" i="40"/>
  <c r="AE39" i="40"/>
  <c r="AD39" i="40"/>
  <c r="AC39" i="40"/>
  <c r="AB39" i="40"/>
  <c r="AA39" i="40"/>
  <c r="Z39" i="40"/>
  <c r="Y39" i="40"/>
  <c r="X39" i="40"/>
  <c r="W39" i="40"/>
  <c r="V39" i="40"/>
  <c r="U39" i="40"/>
  <c r="T39" i="40"/>
  <c r="S39" i="40"/>
  <c r="R39" i="40"/>
  <c r="Q39" i="40"/>
  <c r="P39" i="40"/>
  <c r="O39" i="40"/>
  <c r="N39" i="40"/>
  <c r="M39" i="40"/>
  <c r="H39" i="40" s="1"/>
  <c r="L39" i="40"/>
  <c r="K39" i="40"/>
  <c r="J39" i="40"/>
  <c r="E39" i="40"/>
  <c r="D39" i="40"/>
  <c r="C39" i="40"/>
  <c r="F39" i="40" s="1"/>
  <c r="AW38" i="40"/>
  <c r="AV38" i="40"/>
  <c r="AU38" i="40"/>
  <c r="AT38" i="40"/>
  <c r="AS38" i="40"/>
  <c r="AR38" i="40"/>
  <c r="AQ38" i="40"/>
  <c r="AP38" i="40"/>
  <c r="AO38" i="40"/>
  <c r="AN38" i="40"/>
  <c r="AM38" i="40"/>
  <c r="AL38" i="40"/>
  <c r="AK38" i="40"/>
  <c r="AJ38" i="40"/>
  <c r="AI38" i="40"/>
  <c r="AH38" i="40"/>
  <c r="AG38" i="40"/>
  <c r="AF38" i="40"/>
  <c r="AE38" i="40"/>
  <c r="AD38" i="40"/>
  <c r="AC38" i="40"/>
  <c r="AB38" i="40"/>
  <c r="AA38" i="40"/>
  <c r="Z38" i="40"/>
  <c r="Y38" i="40"/>
  <c r="X38" i="40"/>
  <c r="W38" i="40"/>
  <c r="V38" i="40"/>
  <c r="U38" i="40"/>
  <c r="T38" i="40"/>
  <c r="S38" i="40"/>
  <c r="R38" i="40"/>
  <c r="Q38" i="40"/>
  <c r="P38" i="40"/>
  <c r="O38" i="40"/>
  <c r="N38" i="40"/>
  <c r="M38" i="40"/>
  <c r="L38" i="40"/>
  <c r="K38" i="40"/>
  <c r="J38" i="40"/>
  <c r="H38" i="40" s="1"/>
  <c r="E38" i="40"/>
  <c r="D38" i="40"/>
  <c r="C38" i="40"/>
  <c r="I38" i="40" s="1"/>
  <c r="AW37" i="40"/>
  <c r="AV37" i="40"/>
  <c r="AU37" i="40"/>
  <c r="AT37" i="40"/>
  <c r="AS37" i="40"/>
  <c r="AR37" i="40"/>
  <c r="AQ37" i="40"/>
  <c r="AP37" i="40"/>
  <c r="AO37" i="40"/>
  <c r="AN37" i="40"/>
  <c r="AM37" i="40"/>
  <c r="AL37" i="40"/>
  <c r="AK37" i="40"/>
  <c r="AJ37" i="40"/>
  <c r="AI37" i="40"/>
  <c r="AH37" i="40"/>
  <c r="AG37" i="40"/>
  <c r="AF37" i="40"/>
  <c r="AE37" i="40"/>
  <c r="AD37" i="40"/>
  <c r="AC37" i="40"/>
  <c r="AB37" i="40"/>
  <c r="AA37" i="40"/>
  <c r="Z37" i="40"/>
  <c r="Y37" i="40"/>
  <c r="X37" i="40"/>
  <c r="W37" i="40"/>
  <c r="V37" i="40"/>
  <c r="U37" i="40"/>
  <c r="T37" i="40"/>
  <c r="S37" i="40"/>
  <c r="R37" i="40"/>
  <c r="Q37" i="40"/>
  <c r="P37" i="40"/>
  <c r="O37" i="40"/>
  <c r="N37" i="40"/>
  <c r="M37" i="40"/>
  <c r="L37" i="40"/>
  <c r="K37" i="40"/>
  <c r="J37" i="40"/>
  <c r="E37" i="40"/>
  <c r="D37" i="40"/>
  <c r="C37" i="40"/>
  <c r="I37" i="40" s="1"/>
  <c r="AW24" i="40"/>
  <c r="AV24" i="40"/>
  <c r="AU24" i="40"/>
  <c r="AT24" i="40"/>
  <c r="AS24" i="40"/>
  <c r="AR24" i="40"/>
  <c r="AQ24" i="40"/>
  <c r="AP24" i="40"/>
  <c r="AO24" i="40"/>
  <c r="AN24" i="40"/>
  <c r="AM24" i="40"/>
  <c r="AL24" i="40"/>
  <c r="AK24" i="40"/>
  <c r="AJ24" i="40"/>
  <c r="AI24" i="40"/>
  <c r="AH24" i="40"/>
  <c r="AG24" i="40"/>
  <c r="AF24" i="40"/>
  <c r="AE24" i="40"/>
  <c r="AD24" i="40"/>
  <c r="AC24" i="40"/>
  <c r="AB24" i="40"/>
  <c r="AA24" i="40"/>
  <c r="Z24" i="40"/>
  <c r="Y24" i="40"/>
  <c r="X24" i="40"/>
  <c r="W24" i="40"/>
  <c r="V24" i="40"/>
  <c r="U24" i="40"/>
  <c r="T24" i="40"/>
  <c r="S24" i="40"/>
  <c r="R24" i="40"/>
  <c r="Q24" i="40"/>
  <c r="P24" i="40"/>
  <c r="O24" i="40"/>
  <c r="N24" i="40"/>
  <c r="M24" i="40"/>
  <c r="L24" i="40"/>
  <c r="K24" i="40"/>
  <c r="J24" i="40"/>
  <c r="E24" i="40"/>
  <c r="D24" i="40"/>
  <c r="C24" i="40"/>
  <c r="E36" i="40"/>
  <c r="D36" i="40"/>
  <c r="C36" i="40"/>
  <c r="E35" i="40"/>
  <c r="D35" i="40"/>
  <c r="C35" i="40"/>
  <c r="E34" i="40"/>
  <c r="D34" i="40"/>
  <c r="C34" i="40"/>
  <c r="E32" i="40"/>
  <c r="D32" i="40"/>
  <c r="C32" i="40"/>
  <c r="E31" i="40"/>
  <c r="D31" i="40"/>
  <c r="C31" i="40"/>
  <c r="E19" i="40"/>
  <c r="D19" i="40"/>
  <c r="C19" i="40"/>
  <c r="E29" i="40"/>
  <c r="D29" i="40"/>
  <c r="C29" i="40"/>
  <c r="E30" i="40"/>
  <c r="D30" i="40"/>
  <c r="C30" i="40"/>
  <c r="E33" i="40"/>
  <c r="D33" i="40"/>
  <c r="C33" i="40"/>
  <c r="E28" i="40"/>
  <c r="D28" i="40"/>
  <c r="C28" i="40"/>
  <c r="E26" i="40"/>
  <c r="D26" i="40"/>
  <c r="C26" i="40"/>
  <c r="E25" i="40"/>
  <c r="D25" i="40"/>
  <c r="C25" i="40"/>
  <c r="E23" i="40"/>
  <c r="D23" i="40"/>
  <c r="C23" i="40"/>
  <c r="E22" i="40"/>
  <c r="D22" i="40"/>
  <c r="C22" i="40"/>
  <c r="E21" i="40"/>
  <c r="D21" i="40"/>
  <c r="C21" i="40"/>
  <c r="E20" i="40"/>
  <c r="D20" i="40"/>
  <c r="C20" i="40"/>
  <c r="E18" i="40"/>
  <c r="D18" i="40"/>
  <c r="C18" i="40"/>
  <c r="E17" i="40"/>
  <c r="D17" i="40"/>
  <c r="C17" i="40"/>
  <c r="E16" i="40"/>
  <c r="D16" i="40"/>
  <c r="C16" i="40"/>
  <c r="E15" i="40"/>
  <c r="D15" i="40"/>
  <c r="C15" i="40"/>
  <c r="E14" i="40"/>
  <c r="D14" i="40"/>
  <c r="C14" i="40"/>
  <c r="E13" i="40"/>
  <c r="D13" i="40"/>
  <c r="C13" i="40"/>
  <c r="E12" i="40"/>
  <c r="D12" i="40"/>
  <c r="C12" i="40"/>
  <c r="E27" i="40"/>
  <c r="D27" i="40"/>
  <c r="C27" i="40"/>
  <c r="E11" i="40"/>
  <c r="D11" i="40"/>
  <c r="C11" i="40"/>
  <c r="E10" i="40"/>
  <c r="D10" i="40"/>
  <c r="C10" i="40"/>
  <c r="E9" i="40"/>
  <c r="D9" i="40"/>
  <c r="C9" i="40"/>
  <c r="H46" i="40"/>
  <c r="H45" i="40"/>
  <c r="H44" i="40"/>
  <c r="I49" i="42"/>
  <c r="F49" i="42"/>
  <c r="AW47" i="42"/>
  <c r="AV47" i="42"/>
  <c r="AU47" i="42"/>
  <c r="AT47" i="42"/>
  <c r="AS47" i="42"/>
  <c r="AR47" i="42"/>
  <c r="AQ47" i="42"/>
  <c r="AP47" i="42"/>
  <c r="AO47" i="42"/>
  <c r="AN47" i="42"/>
  <c r="AM47" i="42"/>
  <c r="AL47" i="42"/>
  <c r="AK47" i="42"/>
  <c r="AJ47" i="42"/>
  <c r="AI47" i="42"/>
  <c r="AH47" i="42"/>
  <c r="AG47" i="42"/>
  <c r="AF47" i="42"/>
  <c r="AE47" i="42"/>
  <c r="AD47" i="42"/>
  <c r="AC47" i="42"/>
  <c r="AB47" i="42"/>
  <c r="AA47" i="42"/>
  <c r="Z47" i="42"/>
  <c r="Y47" i="42"/>
  <c r="X47" i="42"/>
  <c r="W47" i="42"/>
  <c r="V47" i="42"/>
  <c r="U47" i="42"/>
  <c r="T47" i="42"/>
  <c r="S47" i="42"/>
  <c r="R47" i="42"/>
  <c r="Q47" i="42"/>
  <c r="P47" i="42"/>
  <c r="O47" i="42"/>
  <c r="N47" i="42"/>
  <c r="M47" i="42"/>
  <c r="L47" i="42"/>
  <c r="K47" i="42"/>
  <c r="J47" i="42"/>
  <c r="I47" i="42"/>
  <c r="F47" i="42"/>
  <c r="E47" i="42"/>
  <c r="D47" i="42"/>
  <c r="C47" i="42"/>
  <c r="AW46" i="42"/>
  <c r="AV46" i="42"/>
  <c r="AU46" i="42"/>
  <c r="AT46" i="42"/>
  <c r="AS46" i="42"/>
  <c r="AR46" i="42"/>
  <c r="AQ46" i="42"/>
  <c r="AP46" i="42"/>
  <c r="AO46" i="42"/>
  <c r="AN46" i="42"/>
  <c r="AM46" i="42"/>
  <c r="AL46" i="42"/>
  <c r="AK46" i="42"/>
  <c r="AJ46" i="42"/>
  <c r="AI46" i="42"/>
  <c r="AH46" i="42"/>
  <c r="AG46" i="42"/>
  <c r="AF46" i="42"/>
  <c r="AE46" i="42"/>
  <c r="AD46" i="42"/>
  <c r="AC46" i="42"/>
  <c r="AB46" i="42"/>
  <c r="AA46" i="42"/>
  <c r="Z46" i="42"/>
  <c r="Y46" i="42"/>
  <c r="X46" i="42"/>
  <c r="W46" i="42"/>
  <c r="V46" i="42"/>
  <c r="U46" i="42"/>
  <c r="T46" i="42"/>
  <c r="S46" i="42"/>
  <c r="R46" i="42"/>
  <c r="Q46" i="42"/>
  <c r="P46" i="42"/>
  <c r="O46" i="42"/>
  <c r="N46" i="42"/>
  <c r="M46" i="42"/>
  <c r="L46" i="42"/>
  <c r="K46" i="42"/>
  <c r="J46" i="42"/>
  <c r="I46" i="42"/>
  <c r="F46" i="42"/>
  <c r="E46" i="42"/>
  <c r="D46" i="42"/>
  <c r="C46" i="42"/>
  <c r="AW33" i="42"/>
  <c r="AV33" i="42"/>
  <c r="AU33" i="42"/>
  <c r="AT33" i="42"/>
  <c r="AS33" i="42"/>
  <c r="AR33" i="42"/>
  <c r="AQ33" i="42"/>
  <c r="AP33" i="42"/>
  <c r="AO33" i="42"/>
  <c r="AN33" i="42"/>
  <c r="AM33" i="42"/>
  <c r="AL33" i="42"/>
  <c r="AK33" i="42"/>
  <c r="AJ33" i="42"/>
  <c r="AI33" i="42"/>
  <c r="AH33" i="42"/>
  <c r="AG33" i="42"/>
  <c r="AF33" i="42"/>
  <c r="AE33" i="42"/>
  <c r="AD33" i="42"/>
  <c r="AC33" i="42"/>
  <c r="AB33" i="42"/>
  <c r="AA33" i="42"/>
  <c r="Z33" i="42"/>
  <c r="Y33" i="42"/>
  <c r="X33" i="42"/>
  <c r="W33" i="42"/>
  <c r="V33" i="42"/>
  <c r="U33" i="42"/>
  <c r="T33" i="42"/>
  <c r="S33" i="42"/>
  <c r="R33" i="42"/>
  <c r="Q33" i="42"/>
  <c r="P33" i="42"/>
  <c r="O33" i="42"/>
  <c r="N33" i="42"/>
  <c r="M33" i="42"/>
  <c r="L33" i="42"/>
  <c r="K33" i="42"/>
  <c r="J33" i="42"/>
  <c r="E33" i="42"/>
  <c r="D33" i="42"/>
  <c r="C33" i="42"/>
  <c r="AW42" i="42"/>
  <c r="AV42" i="42"/>
  <c r="AU42" i="42"/>
  <c r="AT42" i="42"/>
  <c r="AS42" i="42"/>
  <c r="AR42" i="42"/>
  <c r="AQ42" i="42"/>
  <c r="AP42" i="42"/>
  <c r="AO42" i="42"/>
  <c r="AN42" i="42"/>
  <c r="AM42" i="42"/>
  <c r="AL42" i="42"/>
  <c r="AK42" i="42"/>
  <c r="AJ42" i="42"/>
  <c r="AI42" i="42"/>
  <c r="AH42" i="42"/>
  <c r="AG42" i="42"/>
  <c r="AF42" i="42"/>
  <c r="AE42" i="42"/>
  <c r="AD42" i="42"/>
  <c r="AC42" i="42"/>
  <c r="AB42" i="42"/>
  <c r="AA42" i="42"/>
  <c r="Z42" i="42"/>
  <c r="Y42" i="42"/>
  <c r="X42" i="42"/>
  <c r="W42" i="42"/>
  <c r="V42" i="42"/>
  <c r="U42" i="42"/>
  <c r="T42" i="42"/>
  <c r="S42" i="42"/>
  <c r="R42" i="42"/>
  <c r="Q42" i="42"/>
  <c r="P42" i="42"/>
  <c r="O42" i="42"/>
  <c r="N42" i="42"/>
  <c r="M42" i="42"/>
  <c r="L42" i="42"/>
  <c r="K42" i="42"/>
  <c r="J42" i="42"/>
  <c r="E42" i="42"/>
  <c r="D42" i="42"/>
  <c r="C42" i="42"/>
  <c r="E45" i="42"/>
  <c r="D45" i="42"/>
  <c r="C45" i="42"/>
  <c r="E44" i="42"/>
  <c r="D44" i="42"/>
  <c r="C44" i="42"/>
  <c r="E43" i="42"/>
  <c r="D43" i="42"/>
  <c r="C43" i="42"/>
  <c r="E25" i="42"/>
  <c r="D25" i="42"/>
  <c r="C25" i="42"/>
  <c r="E41" i="42"/>
  <c r="D41" i="42"/>
  <c r="C41" i="42"/>
  <c r="E39" i="42"/>
  <c r="D39" i="42"/>
  <c r="C39" i="42"/>
  <c r="E40" i="42"/>
  <c r="D40" i="42"/>
  <c r="C40" i="42"/>
  <c r="E38" i="42"/>
  <c r="D38" i="42"/>
  <c r="C38" i="42"/>
  <c r="E37" i="42"/>
  <c r="D37" i="42"/>
  <c r="C37" i="42"/>
  <c r="E36" i="42"/>
  <c r="D36" i="42"/>
  <c r="C36" i="42"/>
  <c r="E35" i="42"/>
  <c r="D35" i="42"/>
  <c r="C35" i="42"/>
  <c r="E34" i="42"/>
  <c r="D34" i="42"/>
  <c r="C34" i="42"/>
  <c r="E32" i="42"/>
  <c r="D32" i="42"/>
  <c r="C32" i="42"/>
  <c r="E31" i="42"/>
  <c r="D31" i="42"/>
  <c r="C31" i="42"/>
  <c r="E30" i="42"/>
  <c r="D30" i="42"/>
  <c r="C30" i="42"/>
  <c r="E29" i="42"/>
  <c r="D29" i="42"/>
  <c r="C29" i="42"/>
  <c r="E28" i="42"/>
  <c r="D28" i="42"/>
  <c r="C28" i="42"/>
  <c r="E27" i="42"/>
  <c r="D27" i="42"/>
  <c r="C27" i="42"/>
  <c r="E26" i="42"/>
  <c r="D26" i="42"/>
  <c r="C26" i="42"/>
  <c r="E24" i="42"/>
  <c r="D24" i="42"/>
  <c r="C24" i="42"/>
  <c r="E23" i="42"/>
  <c r="D23" i="42"/>
  <c r="C23" i="42"/>
  <c r="E22" i="42"/>
  <c r="D22" i="42"/>
  <c r="C22" i="42"/>
  <c r="E21" i="42"/>
  <c r="D21" i="42"/>
  <c r="C21" i="42"/>
  <c r="E20" i="42"/>
  <c r="D20" i="42"/>
  <c r="C20" i="42"/>
  <c r="E19" i="42"/>
  <c r="D19" i="42"/>
  <c r="C19" i="42"/>
  <c r="E18" i="42"/>
  <c r="D18" i="42"/>
  <c r="C18" i="42"/>
  <c r="E17" i="42"/>
  <c r="D17" i="42"/>
  <c r="C17" i="42"/>
  <c r="E16" i="42"/>
  <c r="D16" i="42"/>
  <c r="C16" i="42"/>
  <c r="E15" i="42"/>
  <c r="D15" i="42"/>
  <c r="C15" i="42"/>
  <c r="E14" i="42"/>
  <c r="D14" i="42"/>
  <c r="C14" i="42"/>
  <c r="E13" i="42"/>
  <c r="D13" i="42"/>
  <c r="C13" i="42"/>
  <c r="E12" i="42"/>
  <c r="D12" i="42"/>
  <c r="C12" i="42"/>
  <c r="E11" i="42"/>
  <c r="D11" i="42"/>
  <c r="C11" i="42"/>
  <c r="E10" i="42"/>
  <c r="D10" i="42"/>
  <c r="C10" i="42"/>
  <c r="E9" i="42"/>
  <c r="D9" i="42"/>
  <c r="C9" i="42"/>
  <c r="H49" i="42"/>
  <c r="H47" i="42"/>
  <c r="H46" i="42"/>
  <c r="AY48" i="42"/>
  <c r="AW56" i="33"/>
  <c r="AV56" i="33"/>
  <c r="AU56" i="33"/>
  <c r="AT56" i="33"/>
  <c r="AS56" i="33"/>
  <c r="AR56" i="33"/>
  <c r="AQ56" i="33"/>
  <c r="AP56" i="33"/>
  <c r="AO56" i="33"/>
  <c r="AN56" i="33"/>
  <c r="AM56" i="33"/>
  <c r="AL56" i="33"/>
  <c r="AK56" i="33"/>
  <c r="AJ56" i="33"/>
  <c r="AI56" i="33"/>
  <c r="AH56" i="33"/>
  <c r="AG56" i="33"/>
  <c r="AF56" i="33"/>
  <c r="AE56" i="33"/>
  <c r="AD56" i="33"/>
  <c r="AC56" i="33"/>
  <c r="AB56" i="33"/>
  <c r="AA56" i="33"/>
  <c r="Z56" i="33"/>
  <c r="Y56" i="33"/>
  <c r="X56" i="33"/>
  <c r="W56" i="33"/>
  <c r="V56" i="33"/>
  <c r="U56" i="33"/>
  <c r="T56" i="33"/>
  <c r="S56" i="33"/>
  <c r="R56" i="33"/>
  <c r="Q56" i="33"/>
  <c r="P56" i="33"/>
  <c r="O56" i="33"/>
  <c r="N56" i="33"/>
  <c r="M56" i="33"/>
  <c r="L56" i="33"/>
  <c r="K56" i="33"/>
  <c r="J56" i="33"/>
  <c r="I56" i="33"/>
  <c r="F56" i="33"/>
  <c r="E56" i="33"/>
  <c r="D56" i="33"/>
  <c r="C56" i="33"/>
  <c r="AW55" i="33"/>
  <c r="AV55" i="33"/>
  <c r="AU55" i="33"/>
  <c r="AT55" i="33"/>
  <c r="AS55" i="33"/>
  <c r="AR55" i="33"/>
  <c r="AQ55" i="33"/>
  <c r="AP55" i="33"/>
  <c r="AO55" i="33"/>
  <c r="AN55" i="33"/>
  <c r="AM55" i="33"/>
  <c r="AL55" i="33"/>
  <c r="AK55" i="33"/>
  <c r="AJ55" i="33"/>
  <c r="AI55" i="33"/>
  <c r="AH55" i="33"/>
  <c r="AG55" i="33"/>
  <c r="AF55" i="33"/>
  <c r="AE55" i="33"/>
  <c r="AD55" i="33"/>
  <c r="AC55" i="33"/>
  <c r="AB55" i="33"/>
  <c r="AA55" i="33"/>
  <c r="Z55" i="33"/>
  <c r="Y55" i="33"/>
  <c r="X55" i="33"/>
  <c r="W55" i="33"/>
  <c r="V55" i="33"/>
  <c r="U55" i="33"/>
  <c r="T55" i="33"/>
  <c r="S55" i="33"/>
  <c r="R55" i="33"/>
  <c r="Q55" i="33"/>
  <c r="P55" i="33"/>
  <c r="O55" i="33"/>
  <c r="N55" i="33"/>
  <c r="M55" i="33"/>
  <c r="L55" i="33"/>
  <c r="K55" i="33"/>
  <c r="J55" i="33"/>
  <c r="I55" i="33"/>
  <c r="F55" i="33"/>
  <c r="E55" i="33"/>
  <c r="D55" i="33"/>
  <c r="C55" i="33"/>
  <c r="AW54" i="33"/>
  <c r="AV54" i="33"/>
  <c r="AU54" i="33"/>
  <c r="AT54" i="33"/>
  <c r="AS54" i="33"/>
  <c r="AR54" i="33"/>
  <c r="AQ54" i="33"/>
  <c r="AP54" i="33"/>
  <c r="AO54" i="33"/>
  <c r="AN54" i="33"/>
  <c r="AM54" i="33"/>
  <c r="AL54" i="33"/>
  <c r="AK54" i="33"/>
  <c r="AJ54" i="33"/>
  <c r="AI54" i="33"/>
  <c r="AH54" i="33"/>
  <c r="AG54" i="33"/>
  <c r="AF54" i="33"/>
  <c r="AE54" i="33"/>
  <c r="AD54" i="33"/>
  <c r="AC54" i="33"/>
  <c r="AB54" i="33"/>
  <c r="AA54" i="33"/>
  <c r="Z54" i="33"/>
  <c r="Y54" i="33"/>
  <c r="X54" i="33"/>
  <c r="W54" i="33"/>
  <c r="V54" i="33"/>
  <c r="U54" i="33"/>
  <c r="T54" i="33"/>
  <c r="S54" i="33"/>
  <c r="R54" i="33"/>
  <c r="Q54" i="33"/>
  <c r="P54" i="33"/>
  <c r="O54" i="33"/>
  <c r="N54" i="33"/>
  <c r="M54" i="33"/>
  <c r="L54" i="33"/>
  <c r="K54" i="33"/>
  <c r="J54" i="33"/>
  <c r="I54" i="33"/>
  <c r="F54" i="33"/>
  <c r="E54" i="33"/>
  <c r="D54" i="33"/>
  <c r="C54" i="33"/>
  <c r="AW53" i="33"/>
  <c r="AV53" i="33"/>
  <c r="AU53" i="33"/>
  <c r="AT53" i="33"/>
  <c r="AS53" i="33"/>
  <c r="AR53" i="33"/>
  <c r="AQ53" i="33"/>
  <c r="AP53" i="33"/>
  <c r="AO53" i="33"/>
  <c r="AN53" i="33"/>
  <c r="AM53" i="33"/>
  <c r="AL53" i="33"/>
  <c r="AK53" i="33"/>
  <c r="AJ53" i="33"/>
  <c r="AI53" i="33"/>
  <c r="AH53" i="33"/>
  <c r="AG53" i="33"/>
  <c r="AF53" i="33"/>
  <c r="AE53" i="33"/>
  <c r="AD53" i="33"/>
  <c r="AC53" i="33"/>
  <c r="AB53" i="33"/>
  <c r="AA53" i="33"/>
  <c r="Z53" i="33"/>
  <c r="Y53" i="33"/>
  <c r="X53" i="33"/>
  <c r="W53" i="33"/>
  <c r="V53" i="33"/>
  <c r="U53" i="33"/>
  <c r="T53" i="33"/>
  <c r="S53" i="33"/>
  <c r="R53" i="33"/>
  <c r="Q53" i="33"/>
  <c r="P53" i="33"/>
  <c r="O53" i="33"/>
  <c r="N53" i="33"/>
  <c r="M53" i="33"/>
  <c r="L53" i="33"/>
  <c r="K53" i="33"/>
  <c r="J53" i="33"/>
  <c r="I53" i="33"/>
  <c r="F53" i="33"/>
  <c r="E53" i="33"/>
  <c r="D53" i="33"/>
  <c r="C53" i="33"/>
  <c r="AW52" i="33"/>
  <c r="AV52" i="33"/>
  <c r="AU52" i="33"/>
  <c r="AT52" i="33"/>
  <c r="AS52" i="33"/>
  <c r="AR52" i="33"/>
  <c r="AQ52" i="33"/>
  <c r="AP52" i="33"/>
  <c r="AO52" i="33"/>
  <c r="AN52" i="33"/>
  <c r="AM52" i="33"/>
  <c r="AL52" i="33"/>
  <c r="AK52" i="33"/>
  <c r="AJ52" i="33"/>
  <c r="AI52" i="33"/>
  <c r="AH52" i="33"/>
  <c r="AG52" i="33"/>
  <c r="AF52" i="33"/>
  <c r="AE52" i="33"/>
  <c r="AD52" i="33"/>
  <c r="AC52" i="33"/>
  <c r="AB52" i="33"/>
  <c r="AA52" i="33"/>
  <c r="Z52" i="33"/>
  <c r="Y52" i="33"/>
  <c r="X52" i="33"/>
  <c r="W52" i="33"/>
  <c r="V52" i="33"/>
  <c r="U52" i="33"/>
  <c r="T52" i="33"/>
  <c r="S52" i="33"/>
  <c r="R52" i="33"/>
  <c r="Q52" i="33"/>
  <c r="P52" i="33"/>
  <c r="O52" i="33"/>
  <c r="N52" i="33"/>
  <c r="M52" i="33"/>
  <c r="L52" i="33"/>
  <c r="K52" i="33"/>
  <c r="J52" i="33"/>
  <c r="I52" i="33"/>
  <c r="F52" i="33"/>
  <c r="E52" i="33"/>
  <c r="D52" i="33"/>
  <c r="C52" i="33"/>
  <c r="I51" i="33"/>
  <c r="F51" i="33"/>
  <c r="E51" i="33"/>
  <c r="D51" i="33"/>
  <c r="C51" i="33"/>
  <c r="I50" i="33"/>
  <c r="F50" i="33"/>
  <c r="E50" i="33"/>
  <c r="D50" i="33"/>
  <c r="C50" i="33"/>
  <c r="I49" i="33"/>
  <c r="F49" i="33"/>
  <c r="E49" i="33"/>
  <c r="D49" i="33"/>
  <c r="C49" i="33"/>
  <c r="I48" i="33"/>
  <c r="F48" i="33"/>
  <c r="E48" i="33"/>
  <c r="D48" i="33"/>
  <c r="C48" i="33"/>
  <c r="I47" i="33"/>
  <c r="F47" i="33"/>
  <c r="E47" i="33"/>
  <c r="D47" i="33"/>
  <c r="C47" i="33"/>
  <c r="I46" i="33"/>
  <c r="F46" i="33"/>
  <c r="E46" i="33"/>
  <c r="D46" i="33"/>
  <c r="C46" i="33"/>
  <c r="I45" i="33"/>
  <c r="F45" i="33"/>
  <c r="E45" i="33"/>
  <c r="D45" i="33"/>
  <c r="C45" i="33"/>
  <c r="I44" i="33"/>
  <c r="F44" i="33"/>
  <c r="E44" i="33"/>
  <c r="D44" i="33"/>
  <c r="C44" i="33"/>
  <c r="I43" i="33"/>
  <c r="F43" i="33"/>
  <c r="E43" i="33"/>
  <c r="D43" i="33"/>
  <c r="C43" i="33"/>
  <c r="I42" i="33"/>
  <c r="F42" i="33"/>
  <c r="E42" i="33"/>
  <c r="D42" i="33"/>
  <c r="C42" i="33"/>
  <c r="E30" i="33"/>
  <c r="D30" i="33"/>
  <c r="C30" i="33"/>
  <c r="F30" i="33" s="1"/>
  <c r="E41" i="33"/>
  <c r="D41" i="33"/>
  <c r="C41" i="33"/>
  <c r="E40" i="33"/>
  <c r="D40" i="33"/>
  <c r="C40" i="33"/>
  <c r="E38" i="33"/>
  <c r="D38" i="33"/>
  <c r="C38" i="33"/>
  <c r="E39" i="33"/>
  <c r="D39" i="33"/>
  <c r="C39" i="33"/>
  <c r="E24" i="33"/>
  <c r="D24" i="33"/>
  <c r="C24" i="33"/>
  <c r="E37" i="33"/>
  <c r="D37" i="33"/>
  <c r="C37" i="33"/>
  <c r="E36" i="33"/>
  <c r="D36" i="33"/>
  <c r="C36" i="33"/>
  <c r="E35" i="33"/>
  <c r="D35" i="33"/>
  <c r="C35" i="33"/>
  <c r="E34" i="33"/>
  <c r="D34" i="33"/>
  <c r="C34" i="33"/>
  <c r="E33" i="33"/>
  <c r="D33" i="33"/>
  <c r="C33" i="33"/>
  <c r="E32" i="33"/>
  <c r="D32" i="33"/>
  <c r="C32" i="33"/>
  <c r="E31" i="33"/>
  <c r="D31" i="33"/>
  <c r="C31" i="33"/>
  <c r="E29" i="33"/>
  <c r="D29" i="33"/>
  <c r="C29" i="33"/>
  <c r="E27" i="33"/>
  <c r="D27" i="33"/>
  <c r="C27" i="33"/>
  <c r="E28" i="33"/>
  <c r="D28" i="33"/>
  <c r="C28" i="33"/>
  <c r="E26" i="33"/>
  <c r="D26" i="33"/>
  <c r="C26" i="33"/>
  <c r="E25" i="33"/>
  <c r="D25" i="33"/>
  <c r="C25" i="33"/>
  <c r="E23" i="33"/>
  <c r="D23" i="33"/>
  <c r="C23" i="33"/>
  <c r="E22" i="33"/>
  <c r="D22" i="33"/>
  <c r="C22" i="33"/>
  <c r="E21" i="33"/>
  <c r="D21" i="33"/>
  <c r="C21" i="33"/>
  <c r="E20" i="33"/>
  <c r="D20" i="33"/>
  <c r="C20" i="33"/>
  <c r="E19" i="33"/>
  <c r="D19" i="33"/>
  <c r="C19" i="33"/>
  <c r="E18" i="33"/>
  <c r="D18" i="33"/>
  <c r="C18" i="33"/>
  <c r="E17" i="33"/>
  <c r="D17" i="33"/>
  <c r="C17" i="33"/>
  <c r="E16" i="33"/>
  <c r="D16" i="33"/>
  <c r="C16" i="33"/>
  <c r="E15" i="33"/>
  <c r="D15" i="33"/>
  <c r="C15" i="33"/>
  <c r="E14" i="33"/>
  <c r="D14" i="33"/>
  <c r="C14" i="33"/>
  <c r="E13" i="33"/>
  <c r="D13" i="33"/>
  <c r="C13" i="33"/>
  <c r="E12" i="33"/>
  <c r="D12" i="33"/>
  <c r="C12" i="33"/>
  <c r="E11" i="33"/>
  <c r="D11" i="33"/>
  <c r="C11" i="33"/>
  <c r="E10" i="33"/>
  <c r="D10" i="33"/>
  <c r="C10" i="33"/>
  <c r="E9" i="33"/>
  <c r="D9" i="33"/>
  <c r="C9" i="33"/>
  <c r="H56" i="33"/>
  <c r="G56" i="33"/>
  <c r="H55" i="33"/>
  <c r="G55" i="33"/>
  <c r="H54" i="33"/>
  <c r="G54" i="33"/>
  <c r="H53" i="33"/>
  <c r="G53" i="33"/>
  <c r="H52" i="33"/>
  <c r="G52" i="33"/>
  <c r="H51" i="33"/>
  <c r="G51" i="33"/>
  <c r="H50" i="33"/>
  <c r="G50" i="33"/>
  <c r="H49" i="33"/>
  <c r="G49" i="33"/>
  <c r="H48" i="33"/>
  <c r="G48" i="33"/>
  <c r="H47" i="33"/>
  <c r="G47" i="33"/>
  <c r="H46" i="33"/>
  <c r="G46" i="33"/>
  <c r="H45" i="33"/>
  <c r="G45" i="33"/>
  <c r="H44" i="33"/>
  <c r="G44" i="33"/>
  <c r="H43" i="33"/>
  <c r="G43" i="33"/>
  <c r="H42" i="33"/>
  <c r="G42" i="33"/>
  <c r="H30" i="33"/>
  <c r="G30" i="33"/>
  <c r="I55" i="31"/>
  <c r="F55" i="31"/>
  <c r="E55" i="31"/>
  <c r="D55" i="31"/>
  <c r="C55" i="31"/>
  <c r="AW54" i="31"/>
  <c r="AV54" i="31"/>
  <c r="AU54" i="31"/>
  <c r="AT54" i="31"/>
  <c r="AS54" i="31"/>
  <c r="AR54" i="31"/>
  <c r="AQ54" i="31"/>
  <c r="AP54" i="31"/>
  <c r="AO54" i="31"/>
  <c r="AN54" i="31"/>
  <c r="AM54" i="31"/>
  <c r="AL54" i="31"/>
  <c r="AK54" i="31"/>
  <c r="AJ54" i="31"/>
  <c r="AI54" i="31"/>
  <c r="AH54" i="31"/>
  <c r="AG54" i="31"/>
  <c r="AF54" i="31"/>
  <c r="AE54" i="31"/>
  <c r="AD54" i="31"/>
  <c r="AC54" i="31"/>
  <c r="AB54" i="31"/>
  <c r="AA54" i="31"/>
  <c r="Z54" i="31"/>
  <c r="Y54" i="31"/>
  <c r="X54" i="31"/>
  <c r="W54" i="31"/>
  <c r="V54" i="31"/>
  <c r="U54" i="31"/>
  <c r="T54" i="31"/>
  <c r="S54" i="31"/>
  <c r="R54" i="31"/>
  <c r="Q54" i="31"/>
  <c r="P54" i="31"/>
  <c r="O54" i="31"/>
  <c r="N54" i="31"/>
  <c r="M54" i="31"/>
  <c r="L54" i="31"/>
  <c r="K54" i="31"/>
  <c r="J54" i="31"/>
  <c r="I54" i="31"/>
  <c r="F54" i="31"/>
  <c r="E54" i="31"/>
  <c r="D54" i="31"/>
  <c r="C54" i="31"/>
  <c r="AW53" i="31"/>
  <c r="AV53" i="31"/>
  <c r="AU53" i="31"/>
  <c r="AT53" i="31"/>
  <c r="AS53" i="31"/>
  <c r="AR53" i="31"/>
  <c r="AQ53" i="31"/>
  <c r="AP53" i="31"/>
  <c r="AO53" i="31"/>
  <c r="AN53" i="31"/>
  <c r="AM53" i="31"/>
  <c r="AL53" i="31"/>
  <c r="AK53" i="31"/>
  <c r="AJ53" i="31"/>
  <c r="AI53" i="31"/>
  <c r="AH53" i="31"/>
  <c r="AG53" i="31"/>
  <c r="AF53" i="31"/>
  <c r="AE53" i="31"/>
  <c r="AD53" i="31"/>
  <c r="AC53" i="31"/>
  <c r="AB53" i="31"/>
  <c r="AA53" i="31"/>
  <c r="Z53" i="31"/>
  <c r="Y53" i="31"/>
  <c r="X53" i="31"/>
  <c r="W53" i="31"/>
  <c r="V53" i="31"/>
  <c r="U53" i="31"/>
  <c r="T53" i="31"/>
  <c r="S53" i="31"/>
  <c r="R53" i="31"/>
  <c r="Q53" i="31"/>
  <c r="P53" i="31"/>
  <c r="O53" i="31"/>
  <c r="N53" i="31"/>
  <c r="M53" i="31"/>
  <c r="L53" i="31"/>
  <c r="K53" i="31"/>
  <c r="J53" i="31"/>
  <c r="I53" i="31"/>
  <c r="F53" i="31"/>
  <c r="E53" i="31"/>
  <c r="D53" i="31"/>
  <c r="C53" i="31"/>
  <c r="AW52" i="31"/>
  <c r="AV52" i="31"/>
  <c r="AU52" i="31"/>
  <c r="AT52" i="31"/>
  <c r="AS52" i="31"/>
  <c r="AR52" i="31"/>
  <c r="AQ52" i="31"/>
  <c r="AP52" i="31"/>
  <c r="AO52" i="31"/>
  <c r="AN52" i="31"/>
  <c r="AM52" i="31"/>
  <c r="AL52" i="31"/>
  <c r="AK52" i="31"/>
  <c r="AJ52" i="31"/>
  <c r="AI52" i="31"/>
  <c r="AH52" i="31"/>
  <c r="AG52" i="31"/>
  <c r="AF52" i="31"/>
  <c r="AE52" i="31"/>
  <c r="AD52" i="31"/>
  <c r="AC52" i="31"/>
  <c r="AB52" i="31"/>
  <c r="AA52" i="31"/>
  <c r="Z52" i="31"/>
  <c r="Y52" i="31"/>
  <c r="X52" i="31"/>
  <c r="W52" i="31"/>
  <c r="V52" i="31"/>
  <c r="U52" i="31"/>
  <c r="T52" i="31"/>
  <c r="S52" i="31"/>
  <c r="R52" i="31"/>
  <c r="Q52" i="31"/>
  <c r="P52" i="31"/>
  <c r="O52" i="31"/>
  <c r="N52" i="31"/>
  <c r="M52" i="31"/>
  <c r="L52" i="31"/>
  <c r="K52" i="31"/>
  <c r="J52" i="31"/>
  <c r="I52" i="31"/>
  <c r="F52" i="31"/>
  <c r="E52" i="31"/>
  <c r="D52" i="31"/>
  <c r="C52" i="31"/>
  <c r="I51" i="31"/>
  <c r="F51" i="31"/>
  <c r="E51" i="31"/>
  <c r="D51" i="31"/>
  <c r="C51" i="31"/>
  <c r="I50" i="31"/>
  <c r="F50" i="31"/>
  <c r="E50" i="31"/>
  <c r="D50" i="31"/>
  <c r="C50" i="31"/>
  <c r="I49" i="31"/>
  <c r="F49" i="31"/>
  <c r="E49" i="31"/>
  <c r="D49" i="31"/>
  <c r="C49" i="31"/>
  <c r="I48" i="31"/>
  <c r="F48" i="31"/>
  <c r="E48" i="31"/>
  <c r="D48" i="31"/>
  <c r="C48" i="31"/>
  <c r="I47" i="31"/>
  <c r="F47" i="31"/>
  <c r="E47" i="31"/>
  <c r="D47" i="31"/>
  <c r="C47" i="31"/>
  <c r="I46" i="31"/>
  <c r="F46" i="31"/>
  <c r="E46" i="31"/>
  <c r="D46" i="31"/>
  <c r="C46" i="31"/>
  <c r="I45" i="31"/>
  <c r="F45" i="31"/>
  <c r="E45" i="31"/>
  <c r="D45" i="31"/>
  <c r="C45" i="31"/>
  <c r="I44" i="31"/>
  <c r="F44" i="31"/>
  <c r="E44" i="31"/>
  <c r="D44" i="31"/>
  <c r="C44" i="31"/>
  <c r="I43" i="31"/>
  <c r="F43" i="31"/>
  <c r="E43" i="31"/>
  <c r="D43" i="31"/>
  <c r="C43" i="31"/>
  <c r="I42" i="31"/>
  <c r="F42" i="31"/>
  <c r="E42" i="31"/>
  <c r="D42" i="31"/>
  <c r="C42" i="31"/>
  <c r="E39" i="31"/>
  <c r="D39" i="31"/>
  <c r="C39" i="31"/>
  <c r="E38" i="31"/>
  <c r="D38" i="31"/>
  <c r="C38" i="31"/>
  <c r="E37" i="31"/>
  <c r="D37" i="31"/>
  <c r="C37" i="31"/>
  <c r="E35" i="31"/>
  <c r="D35" i="31"/>
  <c r="C35" i="31"/>
  <c r="E36" i="31"/>
  <c r="D36" i="31"/>
  <c r="C36" i="31"/>
  <c r="E33" i="31"/>
  <c r="D33" i="31"/>
  <c r="C33" i="31"/>
  <c r="E34" i="31"/>
  <c r="D34" i="31"/>
  <c r="C34" i="31"/>
  <c r="E32" i="31"/>
  <c r="D32" i="31"/>
  <c r="C32" i="31"/>
  <c r="E31" i="31"/>
  <c r="D31" i="31"/>
  <c r="C31" i="31"/>
  <c r="E40" i="31"/>
  <c r="D40" i="31"/>
  <c r="C40" i="31"/>
  <c r="E29" i="31"/>
  <c r="D29" i="31"/>
  <c r="C29" i="31"/>
  <c r="E30" i="31"/>
  <c r="D30" i="31"/>
  <c r="C30" i="31"/>
  <c r="E41" i="31"/>
  <c r="D41" i="31"/>
  <c r="C41" i="31"/>
  <c r="E28" i="31"/>
  <c r="D28" i="31"/>
  <c r="C28" i="31"/>
  <c r="E27" i="31"/>
  <c r="D27" i="31"/>
  <c r="C27" i="31"/>
  <c r="E26" i="31"/>
  <c r="D26" i="31"/>
  <c r="C26" i="31"/>
  <c r="E25" i="31"/>
  <c r="D25" i="31"/>
  <c r="C25" i="31"/>
  <c r="E24" i="31"/>
  <c r="D24" i="31"/>
  <c r="C24" i="31"/>
  <c r="E23" i="31"/>
  <c r="D23" i="31"/>
  <c r="C23" i="31"/>
  <c r="E22" i="31"/>
  <c r="D22" i="31"/>
  <c r="C22" i="31"/>
  <c r="E21" i="31"/>
  <c r="D21" i="31"/>
  <c r="C21" i="31"/>
  <c r="E20" i="31"/>
  <c r="D20" i="31"/>
  <c r="C20" i="31"/>
  <c r="E19" i="31"/>
  <c r="D19" i="31"/>
  <c r="C19" i="31"/>
  <c r="E18" i="31"/>
  <c r="D18" i="31"/>
  <c r="C18" i="31"/>
  <c r="E17" i="31"/>
  <c r="D17" i="31"/>
  <c r="C17" i="31"/>
  <c r="E16" i="31"/>
  <c r="D16" i="31"/>
  <c r="C16" i="31"/>
  <c r="E15" i="31"/>
  <c r="D15" i="31"/>
  <c r="C15" i="31"/>
  <c r="E14" i="31"/>
  <c r="D14" i="31"/>
  <c r="C14" i="31"/>
  <c r="E13" i="31"/>
  <c r="D13" i="31"/>
  <c r="C13" i="31"/>
  <c r="E11" i="31"/>
  <c r="D11" i="31"/>
  <c r="C11" i="31"/>
  <c r="E12" i="31"/>
  <c r="D12" i="31"/>
  <c r="C12" i="31"/>
  <c r="E10" i="31"/>
  <c r="D10" i="31"/>
  <c r="C10" i="31"/>
  <c r="E9" i="31"/>
  <c r="D9" i="31"/>
  <c r="C9" i="31"/>
  <c r="AY55" i="31"/>
  <c r="H55" i="31"/>
  <c r="H54" i="31"/>
  <c r="H53" i="31"/>
  <c r="H52" i="31"/>
  <c r="H51" i="31"/>
  <c r="H50" i="31"/>
  <c r="H49" i="31"/>
  <c r="H48" i="31"/>
  <c r="H47" i="31"/>
  <c r="H46" i="31"/>
  <c r="H45" i="31"/>
  <c r="H44" i="31"/>
  <c r="H43" i="31"/>
  <c r="H42" i="31"/>
  <c r="I55" i="34"/>
  <c r="F55" i="34"/>
  <c r="E55" i="34"/>
  <c r="D55" i="34"/>
  <c r="C55" i="34"/>
  <c r="I54" i="34"/>
  <c r="F54" i="34"/>
  <c r="E54" i="34"/>
  <c r="D54" i="34"/>
  <c r="C54" i="34"/>
  <c r="I53" i="34"/>
  <c r="F53" i="34"/>
  <c r="E53" i="34"/>
  <c r="D53" i="34"/>
  <c r="C53" i="34"/>
  <c r="I52" i="34"/>
  <c r="F52" i="34"/>
  <c r="E52" i="34"/>
  <c r="D52" i="34"/>
  <c r="C52" i="34"/>
  <c r="I51" i="34"/>
  <c r="F51" i="34"/>
  <c r="E51" i="34"/>
  <c r="D51" i="34"/>
  <c r="C51" i="34"/>
  <c r="I50" i="34"/>
  <c r="F50" i="34"/>
  <c r="E50" i="34"/>
  <c r="D50" i="34"/>
  <c r="C50" i="34"/>
  <c r="I49" i="34"/>
  <c r="F49" i="34"/>
  <c r="E49" i="34"/>
  <c r="D49" i="34"/>
  <c r="C49" i="34"/>
  <c r="E47" i="34"/>
  <c r="D47" i="34"/>
  <c r="C47" i="34"/>
  <c r="E46" i="34"/>
  <c r="D46" i="34"/>
  <c r="C46" i="34"/>
  <c r="E45" i="34"/>
  <c r="D45" i="34"/>
  <c r="C45" i="34"/>
  <c r="E44" i="34"/>
  <c r="D44" i="34"/>
  <c r="C44" i="34"/>
  <c r="E41" i="34"/>
  <c r="D41" i="34"/>
  <c r="C41" i="34"/>
  <c r="E43" i="34"/>
  <c r="D43" i="34"/>
  <c r="C43" i="34"/>
  <c r="E42" i="34"/>
  <c r="D42" i="34"/>
  <c r="C42" i="34"/>
  <c r="E40" i="34"/>
  <c r="D40" i="34"/>
  <c r="C40" i="34"/>
  <c r="E39" i="34"/>
  <c r="D39" i="34"/>
  <c r="C39" i="34"/>
  <c r="E38" i="34"/>
  <c r="D38" i="34"/>
  <c r="C38" i="34"/>
  <c r="E37" i="34"/>
  <c r="D37" i="34"/>
  <c r="C37" i="34"/>
  <c r="E36" i="34"/>
  <c r="D36" i="34"/>
  <c r="C36" i="34"/>
  <c r="E48" i="34"/>
  <c r="D48" i="34"/>
  <c r="C48" i="34"/>
  <c r="E32" i="34"/>
  <c r="D32" i="34"/>
  <c r="C32" i="34"/>
  <c r="E35" i="34"/>
  <c r="D35" i="34"/>
  <c r="C35" i="34"/>
  <c r="E33" i="34"/>
  <c r="D33" i="34"/>
  <c r="C33" i="34"/>
  <c r="E31" i="34"/>
  <c r="D31" i="34"/>
  <c r="C31" i="34"/>
  <c r="E30" i="34"/>
  <c r="D30" i="34"/>
  <c r="C30" i="34"/>
  <c r="E29" i="34"/>
  <c r="D29" i="34"/>
  <c r="C29" i="34"/>
  <c r="E28" i="34"/>
  <c r="D28" i="34"/>
  <c r="C28" i="34"/>
  <c r="E27" i="34"/>
  <c r="D27" i="34"/>
  <c r="C27" i="34"/>
  <c r="E26" i="34"/>
  <c r="D26" i="34"/>
  <c r="C26" i="34"/>
  <c r="E25" i="34"/>
  <c r="D25" i="34"/>
  <c r="C25" i="34"/>
  <c r="E24" i="34"/>
  <c r="D24" i="34"/>
  <c r="C24" i="34"/>
  <c r="E23" i="34"/>
  <c r="D23" i="34"/>
  <c r="C23" i="34"/>
  <c r="E22" i="34"/>
  <c r="D22" i="34"/>
  <c r="C22" i="34"/>
  <c r="E21" i="34"/>
  <c r="D21" i="34"/>
  <c r="C21" i="34"/>
  <c r="E20" i="34"/>
  <c r="D20" i="34"/>
  <c r="C20" i="34"/>
  <c r="E19" i="34"/>
  <c r="D19" i="34"/>
  <c r="C19" i="34"/>
  <c r="E18" i="34"/>
  <c r="D18" i="34"/>
  <c r="C18" i="34"/>
  <c r="E17" i="34"/>
  <c r="D17" i="34"/>
  <c r="C17" i="34"/>
  <c r="E16" i="34"/>
  <c r="D16" i="34"/>
  <c r="C16" i="34"/>
  <c r="E15" i="34"/>
  <c r="D15" i="34"/>
  <c r="C15" i="34"/>
  <c r="E14" i="34"/>
  <c r="D14" i="34"/>
  <c r="C14" i="34"/>
  <c r="E13" i="34"/>
  <c r="D13" i="34"/>
  <c r="C13" i="34"/>
  <c r="E12" i="34"/>
  <c r="D12" i="34"/>
  <c r="C12" i="34"/>
  <c r="E34" i="34"/>
  <c r="D34" i="34"/>
  <c r="C34" i="34"/>
  <c r="E11" i="34"/>
  <c r="D11" i="34"/>
  <c r="C11" i="34"/>
  <c r="E10" i="34"/>
  <c r="D10" i="34"/>
  <c r="C10" i="34"/>
  <c r="E9" i="34"/>
  <c r="D9" i="34"/>
  <c r="C9" i="34"/>
  <c r="H55" i="34"/>
  <c r="H54" i="34"/>
  <c r="H53" i="34"/>
  <c r="H52" i="34"/>
  <c r="H51" i="34"/>
  <c r="H50" i="34"/>
  <c r="H49" i="34"/>
  <c r="I54" i="35"/>
  <c r="F54" i="35"/>
  <c r="E54" i="35"/>
  <c r="D54" i="35"/>
  <c r="C54" i="35"/>
  <c r="I53" i="35"/>
  <c r="F53" i="35"/>
  <c r="E53" i="35"/>
  <c r="D53" i="35"/>
  <c r="C53" i="35"/>
  <c r="I52" i="35"/>
  <c r="F52" i="35"/>
  <c r="E52" i="35"/>
  <c r="D52" i="35"/>
  <c r="C52" i="35"/>
  <c r="I51" i="35"/>
  <c r="F51" i="35"/>
  <c r="E51" i="35"/>
  <c r="D51" i="35"/>
  <c r="C51" i="35"/>
  <c r="I50" i="35"/>
  <c r="F50" i="35"/>
  <c r="E50" i="35"/>
  <c r="D50" i="35"/>
  <c r="C50" i="35"/>
  <c r="E49" i="35"/>
  <c r="D49" i="35"/>
  <c r="C49" i="35"/>
  <c r="F49" i="35" s="1"/>
  <c r="H32" i="35"/>
  <c r="E32" i="35"/>
  <c r="D32" i="35"/>
  <c r="C32" i="35"/>
  <c r="I32" i="35" s="1"/>
  <c r="E47" i="35"/>
  <c r="D47" i="35"/>
  <c r="C47" i="35"/>
  <c r="E46" i="35"/>
  <c r="D46" i="35"/>
  <c r="C46" i="35"/>
  <c r="E45" i="35"/>
  <c r="D45" i="35"/>
  <c r="C45" i="35"/>
  <c r="E44" i="35"/>
  <c r="D44" i="35"/>
  <c r="C44" i="35"/>
  <c r="E40" i="35"/>
  <c r="D40" i="35"/>
  <c r="C40" i="35"/>
  <c r="E43" i="35"/>
  <c r="D43" i="35"/>
  <c r="C43" i="35"/>
  <c r="E27" i="35"/>
  <c r="D27" i="35"/>
  <c r="C27" i="35"/>
  <c r="E42" i="35"/>
  <c r="D42" i="35"/>
  <c r="C42" i="35"/>
  <c r="E41" i="35"/>
  <c r="D41" i="35"/>
  <c r="C41" i="35"/>
  <c r="E39" i="35"/>
  <c r="D39" i="35"/>
  <c r="C39" i="35"/>
  <c r="E38" i="35"/>
  <c r="D38" i="35"/>
  <c r="C38" i="35"/>
  <c r="E48" i="35"/>
  <c r="D48" i="35"/>
  <c r="C48" i="35"/>
  <c r="E37" i="35"/>
  <c r="D37" i="35"/>
  <c r="C37" i="35"/>
  <c r="E35" i="35"/>
  <c r="D35" i="35"/>
  <c r="C35" i="35"/>
  <c r="E34" i="35"/>
  <c r="D34" i="35"/>
  <c r="C34" i="35"/>
  <c r="E33" i="35"/>
  <c r="D33" i="35"/>
  <c r="C33" i="35"/>
  <c r="E31" i="35"/>
  <c r="D31" i="35"/>
  <c r="C31" i="35"/>
  <c r="E30" i="35"/>
  <c r="D30" i="35"/>
  <c r="C30" i="35"/>
  <c r="E29" i="35"/>
  <c r="D29" i="35"/>
  <c r="C29" i="35"/>
  <c r="E28" i="35"/>
  <c r="D28" i="35"/>
  <c r="C28" i="35"/>
  <c r="E26" i="35"/>
  <c r="D26" i="35"/>
  <c r="C26" i="35"/>
  <c r="E25" i="35"/>
  <c r="D25" i="35"/>
  <c r="C25" i="35"/>
  <c r="E24" i="35"/>
  <c r="D24" i="35"/>
  <c r="C24" i="35"/>
  <c r="E23" i="35"/>
  <c r="D23" i="35"/>
  <c r="C23" i="35"/>
  <c r="E22" i="35"/>
  <c r="D22" i="35"/>
  <c r="C22" i="35"/>
  <c r="E21" i="35"/>
  <c r="D21" i="35"/>
  <c r="C21" i="35"/>
  <c r="E20" i="35"/>
  <c r="D20" i="35"/>
  <c r="C20" i="35"/>
  <c r="E19" i="35"/>
  <c r="D19" i="35"/>
  <c r="C19" i="35"/>
  <c r="E18" i="35"/>
  <c r="D18" i="35"/>
  <c r="C18" i="35"/>
  <c r="E17" i="35"/>
  <c r="D17" i="35"/>
  <c r="C17" i="35"/>
  <c r="E16" i="35"/>
  <c r="D16" i="35"/>
  <c r="C16" i="35"/>
  <c r="E15" i="35"/>
  <c r="D15" i="35"/>
  <c r="C15" i="35"/>
  <c r="E14" i="35"/>
  <c r="D14" i="35"/>
  <c r="C14" i="35"/>
  <c r="E13" i="35"/>
  <c r="D13" i="35"/>
  <c r="C13" i="35"/>
  <c r="E12" i="35"/>
  <c r="D12" i="35"/>
  <c r="C12" i="35"/>
  <c r="E11" i="35"/>
  <c r="D11" i="35"/>
  <c r="C11" i="35"/>
  <c r="E10" i="35"/>
  <c r="D10" i="35"/>
  <c r="C10" i="35"/>
  <c r="E36" i="35"/>
  <c r="D36" i="35"/>
  <c r="C36" i="35"/>
  <c r="E9" i="35"/>
  <c r="D9" i="35"/>
  <c r="C9" i="35"/>
  <c r="H54" i="35"/>
  <c r="H53" i="35"/>
  <c r="H52" i="35"/>
  <c r="H51" i="35"/>
  <c r="H50" i="35"/>
  <c r="H49" i="35"/>
  <c r="I46" i="36"/>
  <c r="F46" i="36"/>
  <c r="E46" i="36"/>
  <c r="D46" i="36"/>
  <c r="C46" i="36"/>
  <c r="E32" i="36"/>
  <c r="D32" i="36"/>
  <c r="C32" i="36"/>
  <c r="E31" i="36"/>
  <c r="D31" i="36"/>
  <c r="C31" i="36"/>
  <c r="E30" i="36"/>
  <c r="D30" i="36"/>
  <c r="C30" i="36"/>
  <c r="E27" i="36"/>
  <c r="D27" i="36"/>
  <c r="C27" i="36"/>
  <c r="E29" i="36"/>
  <c r="D29" i="36"/>
  <c r="C29" i="36"/>
  <c r="E20" i="36"/>
  <c r="D20" i="36"/>
  <c r="C20" i="36"/>
  <c r="E28" i="36"/>
  <c r="D28" i="36"/>
  <c r="C28" i="36"/>
  <c r="E25" i="36"/>
  <c r="D25" i="36"/>
  <c r="C25" i="36"/>
  <c r="E33" i="36"/>
  <c r="D33" i="36"/>
  <c r="C33" i="36"/>
  <c r="E26" i="36"/>
  <c r="D26" i="36"/>
  <c r="C26" i="36"/>
  <c r="E22" i="36"/>
  <c r="D22" i="36"/>
  <c r="C22" i="36"/>
  <c r="E23" i="36"/>
  <c r="D23" i="36"/>
  <c r="C23" i="36"/>
  <c r="E21" i="36"/>
  <c r="D21" i="36"/>
  <c r="C21" i="36"/>
  <c r="E19" i="36"/>
  <c r="D19" i="36"/>
  <c r="C19" i="36"/>
  <c r="E18" i="36"/>
  <c r="D18" i="36"/>
  <c r="C18" i="36"/>
  <c r="E17" i="36"/>
  <c r="D17" i="36"/>
  <c r="C17" i="36"/>
  <c r="E16" i="36"/>
  <c r="D16" i="36"/>
  <c r="C16" i="36"/>
  <c r="E15" i="36"/>
  <c r="D15" i="36"/>
  <c r="C15" i="36"/>
  <c r="E14" i="36"/>
  <c r="D14" i="36"/>
  <c r="C14" i="36"/>
  <c r="E13" i="36"/>
  <c r="D13" i="36"/>
  <c r="C13" i="36"/>
  <c r="E12" i="36"/>
  <c r="D12" i="36"/>
  <c r="C12" i="36"/>
  <c r="E24" i="36"/>
  <c r="D24" i="36"/>
  <c r="C24" i="36"/>
  <c r="E10" i="36"/>
  <c r="D10" i="36"/>
  <c r="C10" i="36"/>
  <c r="E9" i="36"/>
  <c r="D9" i="36"/>
  <c r="C9" i="36"/>
  <c r="E11" i="36"/>
  <c r="D11" i="36"/>
  <c r="C11" i="36"/>
  <c r="I45" i="36"/>
  <c r="F45" i="36"/>
  <c r="E45" i="36"/>
  <c r="D45" i="36"/>
  <c r="C45" i="36"/>
  <c r="I44" i="36"/>
  <c r="F44" i="36"/>
  <c r="E44" i="36"/>
  <c r="D44" i="36"/>
  <c r="C44" i="36"/>
  <c r="I43" i="36"/>
  <c r="F43" i="36"/>
  <c r="E43" i="36"/>
  <c r="D43" i="36"/>
  <c r="C43" i="36"/>
  <c r="I42" i="36"/>
  <c r="F42" i="36"/>
  <c r="E42" i="36"/>
  <c r="D42" i="36"/>
  <c r="C42" i="36"/>
  <c r="I41" i="36"/>
  <c r="F41" i="36"/>
  <c r="E41" i="36"/>
  <c r="D41" i="36"/>
  <c r="C41" i="36"/>
  <c r="I40" i="36"/>
  <c r="F40" i="36"/>
  <c r="E40" i="36"/>
  <c r="D40" i="36"/>
  <c r="C40" i="36"/>
  <c r="I39" i="36"/>
  <c r="F39" i="36"/>
  <c r="E39" i="36"/>
  <c r="D39" i="36"/>
  <c r="C39" i="36"/>
  <c r="I38" i="36"/>
  <c r="F38" i="36"/>
  <c r="E38" i="36"/>
  <c r="D38" i="36"/>
  <c r="C38" i="36"/>
  <c r="I37" i="36"/>
  <c r="F37" i="36"/>
  <c r="E37" i="36"/>
  <c r="D37" i="36"/>
  <c r="C37" i="36"/>
  <c r="I36" i="36"/>
  <c r="F36" i="36"/>
  <c r="E36" i="36"/>
  <c r="D36" i="36"/>
  <c r="C36" i="36"/>
  <c r="I35" i="36"/>
  <c r="F35" i="36"/>
  <c r="E35" i="36"/>
  <c r="D35" i="36"/>
  <c r="C35" i="36"/>
  <c r="F34" i="36"/>
  <c r="E34" i="36"/>
  <c r="D34" i="36"/>
  <c r="C34" i="36"/>
  <c r="I34" i="36" s="1"/>
  <c r="H46" i="36"/>
  <c r="H45" i="36"/>
  <c r="H44" i="36"/>
  <c r="H43" i="36"/>
  <c r="H42" i="36"/>
  <c r="H41" i="36"/>
  <c r="H40" i="36"/>
  <c r="H39" i="36"/>
  <c r="H38" i="36"/>
  <c r="H37" i="36"/>
  <c r="H36" i="36"/>
  <c r="H35" i="36"/>
  <c r="H34" i="36"/>
  <c r="G37" i="30"/>
  <c r="E37" i="30"/>
  <c r="D37" i="30"/>
  <c r="C37" i="30"/>
  <c r="I37" i="30" s="1"/>
  <c r="H24" i="30"/>
  <c r="E24" i="30"/>
  <c r="D24" i="30"/>
  <c r="C24" i="30"/>
  <c r="I24" i="30" s="1"/>
  <c r="E36" i="30"/>
  <c r="D36" i="30"/>
  <c r="C36" i="30"/>
  <c r="E35" i="30"/>
  <c r="D35" i="30"/>
  <c r="C35" i="30"/>
  <c r="E34" i="30"/>
  <c r="D34" i="30"/>
  <c r="C34" i="30"/>
  <c r="E32" i="30"/>
  <c r="D32" i="30"/>
  <c r="C32" i="30"/>
  <c r="E31" i="30"/>
  <c r="D31" i="30"/>
  <c r="C31" i="30"/>
  <c r="E19" i="30"/>
  <c r="D19" i="30"/>
  <c r="C19" i="30"/>
  <c r="E29" i="30"/>
  <c r="D29" i="30"/>
  <c r="C29" i="30"/>
  <c r="E30" i="30"/>
  <c r="D30" i="30"/>
  <c r="C30" i="30"/>
  <c r="E33" i="30"/>
  <c r="D33" i="30"/>
  <c r="C33" i="30"/>
  <c r="E28" i="30"/>
  <c r="D28" i="30"/>
  <c r="C28" i="30"/>
  <c r="E26" i="30"/>
  <c r="D26" i="30"/>
  <c r="C26" i="30"/>
  <c r="E25" i="30"/>
  <c r="D25" i="30"/>
  <c r="C25" i="30"/>
  <c r="E23" i="30"/>
  <c r="D23" i="30"/>
  <c r="C23" i="30"/>
  <c r="E22" i="30"/>
  <c r="D22" i="30"/>
  <c r="C22" i="30"/>
  <c r="E21" i="30"/>
  <c r="D21" i="30"/>
  <c r="C21" i="30"/>
  <c r="E20" i="30"/>
  <c r="D20" i="30"/>
  <c r="C20" i="30"/>
  <c r="E18" i="30"/>
  <c r="D18" i="30"/>
  <c r="C18" i="30"/>
  <c r="E17" i="30"/>
  <c r="D17" i="30"/>
  <c r="C17" i="30"/>
  <c r="E16" i="30"/>
  <c r="D16" i="30"/>
  <c r="C16" i="30"/>
  <c r="E15" i="30"/>
  <c r="D15" i="30"/>
  <c r="C15" i="30"/>
  <c r="E14" i="30"/>
  <c r="D14" i="30"/>
  <c r="C14" i="30"/>
  <c r="E13" i="30"/>
  <c r="D13" i="30"/>
  <c r="C13" i="30"/>
  <c r="E12" i="30"/>
  <c r="D12" i="30"/>
  <c r="C12" i="30"/>
  <c r="E27" i="30"/>
  <c r="D27" i="30"/>
  <c r="C27" i="30"/>
  <c r="E11" i="30"/>
  <c r="D11" i="30"/>
  <c r="C11" i="30"/>
  <c r="E10" i="30"/>
  <c r="D10" i="30"/>
  <c r="C10" i="30"/>
  <c r="E9" i="30"/>
  <c r="D9" i="30"/>
  <c r="C9" i="30"/>
  <c r="G24" i="30"/>
  <c r="E9" i="32"/>
  <c r="E12" i="32"/>
  <c r="E10" i="32"/>
  <c r="E13" i="32"/>
  <c r="E15" i="32"/>
  <c r="E14" i="32"/>
  <c r="E16" i="32"/>
  <c r="E17" i="32"/>
  <c r="E18" i="32"/>
  <c r="E19" i="32"/>
  <c r="E20" i="32"/>
  <c r="E21" i="32"/>
  <c r="E22" i="32"/>
  <c r="E23" i="32"/>
  <c r="E24" i="32"/>
  <c r="E26" i="32"/>
  <c r="E27" i="32"/>
  <c r="E28" i="32"/>
  <c r="E29" i="32"/>
  <c r="E30" i="32"/>
  <c r="E31" i="32"/>
  <c r="E32" i="32"/>
  <c r="E36" i="32"/>
  <c r="E34" i="32"/>
  <c r="E35" i="32"/>
  <c r="E38" i="32"/>
  <c r="E39" i="32"/>
  <c r="E42" i="32"/>
  <c r="E37" i="32"/>
  <c r="E41" i="32"/>
  <c r="E25" i="32"/>
  <c r="E43" i="32"/>
  <c r="E44" i="32"/>
  <c r="E45" i="32"/>
  <c r="E40" i="32"/>
  <c r="E33" i="32"/>
  <c r="E46" i="32"/>
  <c r="E47" i="32"/>
  <c r="E48" i="32"/>
  <c r="E11" i="32"/>
  <c r="D9" i="32"/>
  <c r="D12" i="32"/>
  <c r="D10" i="32"/>
  <c r="D13" i="32"/>
  <c r="D15" i="32"/>
  <c r="D14" i="32"/>
  <c r="D16" i="32"/>
  <c r="D17" i="32"/>
  <c r="D18" i="32"/>
  <c r="D19" i="32"/>
  <c r="D20" i="32"/>
  <c r="D21" i="32"/>
  <c r="D22" i="32"/>
  <c r="D23" i="32"/>
  <c r="D24" i="32"/>
  <c r="D26" i="32"/>
  <c r="D27" i="32"/>
  <c r="D28" i="32"/>
  <c r="D29" i="32"/>
  <c r="D30" i="32"/>
  <c r="D31" i="32"/>
  <c r="D32" i="32"/>
  <c r="D36" i="32"/>
  <c r="D34" i="32"/>
  <c r="D35" i="32"/>
  <c r="D38" i="32"/>
  <c r="D39" i="32"/>
  <c r="D42" i="32"/>
  <c r="D37" i="32"/>
  <c r="D41" i="32"/>
  <c r="D25" i="32"/>
  <c r="D43" i="32"/>
  <c r="D44" i="32"/>
  <c r="D45" i="32"/>
  <c r="D40" i="32"/>
  <c r="D33" i="32"/>
  <c r="D46" i="32"/>
  <c r="D47" i="32"/>
  <c r="D48" i="32"/>
  <c r="D11" i="32"/>
  <c r="C9" i="32"/>
  <c r="C12" i="32"/>
  <c r="C10" i="32"/>
  <c r="C13" i="32"/>
  <c r="C15" i="32"/>
  <c r="C14" i="32"/>
  <c r="C16" i="32"/>
  <c r="C17" i="32"/>
  <c r="C18" i="32"/>
  <c r="C19" i="32"/>
  <c r="C20" i="32"/>
  <c r="C21" i="32"/>
  <c r="C22" i="32"/>
  <c r="C23" i="32"/>
  <c r="C24" i="32"/>
  <c r="C26" i="32"/>
  <c r="C27" i="32"/>
  <c r="C28" i="32"/>
  <c r="C29" i="32"/>
  <c r="C30" i="32"/>
  <c r="C31" i="32"/>
  <c r="C32" i="32"/>
  <c r="C36" i="32"/>
  <c r="C34" i="32"/>
  <c r="C35" i="32"/>
  <c r="C38" i="32"/>
  <c r="C39" i="32"/>
  <c r="C42" i="32"/>
  <c r="C37" i="32"/>
  <c r="C41" i="32"/>
  <c r="C25" i="32"/>
  <c r="C43" i="32"/>
  <c r="C44" i="32"/>
  <c r="C45" i="32"/>
  <c r="C40" i="32"/>
  <c r="C33" i="32"/>
  <c r="C46" i="32"/>
  <c r="C47" i="32"/>
  <c r="C48" i="32"/>
  <c r="C11" i="32"/>
  <c r="L51" i="40" l="1"/>
  <c r="L54" i="40" s="1"/>
  <c r="L50" i="40"/>
  <c r="P51" i="40"/>
  <c r="P54" i="40" s="1"/>
  <c r="P50" i="40"/>
  <c r="T50" i="40"/>
  <c r="T51" i="40"/>
  <c r="T54" i="40" s="1"/>
  <c r="X50" i="40"/>
  <c r="X51" i="40"/>
  <c r="X54" i="40" s="1"/>
  <c r="AB50" i="40"/>
  <c r="AB51" i="40"/>
  <c r="AB54" i="40" s="1"/>
  <c r="AF51" i="40"/>
  <c r="AF54" i="40" s="1"/>
  <c r="AF50" i="40"/>
  <c r="AJ51" i="40"/>
  <c r="AJ54" i="40" s="1"/>
  <c r="AJ50" i="40"/>
  <c r="AN51" i="40"/>
  <c r="AN54" i="40" s="1"/>
  <c r="AN50" i="40"/>
  <c r="AR51" i="40"/>
  <c r="AR54" i="40" s="1"/>
  <c r="AR50" i="40"/>
  <c r="AV51" i="40"/>
  <c r="AV54" i="40" s="1"/>
  <c r="AV50" i="40"/>
  <c r="M50" i="40"/>
  <c r="M51" i="40"/>
  <c r="M54" i="40" s="1"/>
  <c r="Q50" i="40"/>
  <c r="Q51" i="40"/>
  <c r="Q54" i="40" s="1"/>
  <c r="U51" i="40"/>
  <c r="U54" i="40" s="1"/>
  <c r="U50" i="40"/>
  <c r="Y50" i="40"/>
  <c r="Y51" i="40"/>
  <c r="Y54" i="40" s="1"/>
  <c r="AC51" i="40"/>
  <c r="AC54" i="40" s="1"/>
  <c r="AC50" i="40"/>
  <c r="AG51" i="40"/>
  <c r="AG54" i="40" s="1"/>
  <c r="AG50" i="40"/>
  <c r="AK51" i="40"/>
  <c r="AK54" i="40" s="1"/>
  <c r="AK50" i="40"/>
  <c r="AO51" i="40"/>
  <c r="AO54" i="40" s="1"/>
  <c r="AO50" i="40"/>
  <c r="AS51" i="40"/>
  <c r="AS54" i="40" s="1"/>
  <c r="AS50" i="40"/>
  <c r="AW51" i="40"/>
  <c r="AW54" i="40" s="1"/>
  <c r="AW50" i="40"/>
  <c r="J51" i="40"/>
  <c r="J50" i="40"/>
  <c r="N51" i="40"/>
  <c r="N54" i="40" s="1"/>
  <c r="N50" i="40"/>
  <c r="R51" i="40"/>
  <c r="R54" i="40" s="1"/>
  <c r="R50" i="40"/>
  <c r="V50" i="40"/>
  <c r="V51" i="40"/>
  <c r="V54" i="40" s="1"/>
  <c r="Z51" i="40"/>
  <c r="Z54" i="40" s="1"/>
  <c r="Z50" i="40"/>
  <c r="AD50" i="40"/>
  <c r="AD51" i="40"/>
  <c r="AD54" i="40" s="1"/>
  <c r="AH51" i="40"/>
  <c r="AH54" i="40" s="1"/>
  <c r="AH50" i="40"/>
  <c r="AL50" i="40"/>
  <c r="AL51" i="40"/>
  <c r="AL54" i="40" s="1"/>
  <c r="AP51" i="40"/>
  <c r="AP54" i="40" s="1"/>
  <c r="AP50" i="40"/>
  <c r="AT51" i="40"/>
  <c r="AT54" i="40" s="1"/>
  <c r="AT50" i="40"/>
  <c r="K50" i="40"/>
  <c r="K51" i="40"/>
  <c r="K54" i="40" s="1"/>
  <c r="O51" i="40"/>
  <c r="O54" i="40" s="1"/>
  <c r="O50" i="40"/>
  <c r="S51" i="40"/>
  <c r="S54" i="40" s="1"/>
  <c r="S50" i="40"/>
  <c r="W51" i="40"/>
  <c r="W54" i="40" s="1"/>
  <c r="W50" i="40"/>
  <c r="AA50" i="40"/>
  <c r="AA51" i="40"/>
  <c r="AA54" i="40" s="1"/>
  <c r="AE51" i="40"/>
  <c r="AE54" i="40" s="1"/>
  <c r="AE50" i="40"/>
  <c r="AI50" i="40"/>
  <c r="AI51" i="40"/>
  <c r="AI54" i="40" s="1"/>
  <c r="AM51" i="40"/>
  <c r="AM54" i="40" s="1"/>
  <c r="AM50" i="40"/>
  <c r="AQ51" i="40"/>
  <c r="AQ54" i="40" s="1"/>
  <c r="AQ50" i="40"/>
  <c r="AU51" i="40"/>
  <c r="AU54" i="40" s="1"/>
  <c r="AU50" i="40"/>
  <c r="K53" i="42"/>
  <c r="K56" i="42" s="1"/>
  <c r="K52" i="42"/>
  <c r="O53" i="42"/>
  <c r="O56" i="42" s="1"/>
  <c r="O52" i="42"/>
  <c r="S53" i="42"/>
  <c r="S56" i="42" s="1"/>
  <c r="S52" i="42"/>
  <c r="W53" i="42"/>
  <c r="W56" i="42" s="1"/>
  <c r="W52" i="42"/>
  <c r="AA53" i="42"/>
  <c r="AA56" i="42" s="1"/>
  <c r="AA52" i="42"/>
  <c r="AE53" i="42"/>
  <c r="AE56" i="42" s="1"/>
  <c r="AE52" i="42"/>
  <c r="AI53" i="42"/>
  <c r="AI56" i="42" s="1"/>
  <c r="AI52" i="42"/>
  <c r="AM53" i="42"/>
  <c r="AM56" i="42" s="1"/>
  <c r="AM52" i="42"/>
  <c r="AQ53" i="42"/>
  <c r="AQ56" i="42" s="1"/>
  <c r="AQ52" i="42"/>
  <c r="AU53" i="42"/>
  <c r="AU56" i="42" s="1"/>
  <c r="AU52" i="42"/>
  <c r="L53" i="42"/>
  <c r="L56" i="42" s="1"/>
  <c r="L52" i="42"/>
  <c r="P53" i="42"/>
  <c r="P56" i="42" s="1"/>
  <c r="P52" i="42"/>
  <c r="T53" i="42"/>
  <c r="T56" i="42" s="1"/>
  <c r="T52" i="42"/>
  <c r="X53" i="42"/>
  <c r="X56" i="42" s="1"/>
  <c r="X52" i="42"/>
  <c r="AB53" i="42"/>
  <c r="AB56" i="42" s="1"/>
  <c r="AB52" i="42"/>
  <c r="AF53" i="42"/>
  <c r="AF56" i="42" s="1"/>
  <c r="AF52" i="42"/>
  <c r="AJ53" i="42"/>
  <c r="AJ56" i="42" s="1"/>
  <c r="AJ52" i="42"/>
  <c r="AN53" i="42"/>
  <c r="AN56" i="42" s="1"/>
  <c r="AN52" i="42"/>
  <c r="AR53" i="42"/>
  <c r="AR56" i="42" s="1"/>
  <c r="AR52" i="42"/>
  <c r="AV53" i="42"/>
  <c r="AV56" i="42" s="1"/>
  <c r="AV52" i="42"/>
  <c r="M53" i="42"/>
  <c r="M56" i="42" s="1"/>
  <c r="M52" i="42"/>
  <c r="Q53" i="42"/>
  <c r="Q56" i="42" s="1"/>
  <c r="Q52" i="42"/>
  <c r="U53" i="42"/>
  <c r="U56" i="42" s="1"/>
  <c r="U52" i="42"/>
  <c r="Y53" i="42"/>
  <c r="Y56" i="42" s="1"/>
  <c r="Y52" i="42"/>
  <c r="AC53" i="42"/>
  <c r="AC56" i="42" s="1"/>
  <c r="AC52" i="42"/>
  <c r="AG53" i="42"/>
  <c r="AG56" i="42" s="1"/>
  <c r="AG52" i="42"/>
  <c r="AK53" i="42"/>
  <c r="AK56" i="42" s="1"/>
  <c r="AK52" i="42"/>
  <c r="AO53" i="42"/>
  <c r="AO56" i="42" s="1"/>
  <c r="AO52" i="42"/>
  <c r="AS53" i="42"/>
  <c r="AS56" i="42" s="1"/>
  <c r="AS52" i="42"/>
  <c r="AW53" i="42"/>
  <c r="AW56" i="42" s="1"/>
  <c r="AW52" i="42"/>
  <c r="J52" i="42"/>
  <c r="J53" i="42"/>
  <c r="N52" i="42"/>
  <c r="N53" i="42"/>
  <c r="N56" i="42" s="1"/>
  <c r="R52" i="42"/>
  <c r="R53" i="42"/>
  <c r="R56" i="42" s="1"/>
  <c r="V52" i="42"/>
  <c r="V53" i="42"/>
  <c r="V56" i="42" s="1"/>
  <c r="Z52" i="42"/>
  <c r="Z53" i="42"/>
  <c r="Z56" i="42" s="1"/>
  <c r="AD52" i="42"/>
  <c r="AD53" i="42"/>
  <c r="AD56" i="42" s="1"/>
  <c r="AH52" i="42"/>
  <c r="AH53" i="42"/>
  <c r="AH56" i="42" s="1"/>
  <c r="AL52" i="42"/>
  <c r="AL53" i="42"/>
  <c r="AL56" i="42" s="1"/>
  <c r="AP52" i="42"/>
  <c r="AP53" i="42"/>
  <c r="AP56" i="42" s="1"/>
  <c r="AT52" i="42"/>
  <c r="AT53" i="42"/>
  <c r="AT56" i="42" s="1"/>
  <c r="AU61" i="41"/>
  <c r="AU64" i="41" s="1"/>
  <c r="AU60" i="41"/>
  <c r="AQ61" i="41"/>
  <c r="AQ64" i="41" s="1"/>
  <c r="AQ60" i="41"/>
  <c r="AM61" i="41"/>
  <c r="AM64" i="41" s="1"/>
  <c r="AM60" i="41"/>
  <c r="AI61" i="41"/>
  <c r="AI64" i="41" s="1"/>
  <c r="AI60" i="41"/>
  <c r="AE61" i="41"/>
  <c r="AE64" i="41" s="1"/>
  <c r="AE60" i="41"/>
  <c r="AA61" i="41"/>
  <c r="AA64" i="41" s="1"/>
  <c r="AA60" i="41"/>
  <c r="W61" i="41"/>
  <c r="W64" i="41" s="1"/>
  <c r="W60" i="41"/>
  <c r="S61" i="41"/>
  <c r="S64" i="41" s="1"/>
  <c r="S60" i="41"/>
  <c r="O61" i="41"/>
  <c r="O64" i="41" s="1"/>
  <c r="O60" i="41"/>
  <c r="K61" i="41"/>
  <c r="K64" i="41" s="1"/>
  <c r="K60" i="41"/>
  <c r="AT61" i="41"/>
  <c r="AT64" i="41" s="1"/>
  <c r="AT60" i="41"/>
  <c r="AP61" i="41"/>
  <c r="AP64" i="41" s="1"/>
  <c r="AP60" i="41"/>
  <c r="AL61" i="41"/>
  <c r="AL64" i="41" s="1"/>
  <c r="AL60" i="41"/>
  <c r="AH61" i="41"/>
  <c r="AH64" i="41" s="1"/>
  <c r="AH60" i="41"/>
  <c r="AD61" i="41"/>
  <c r="AD64" i="41" s="1"/>
  <c r="AD60" i="41"/>
  <c r="Z61" i="41"/>
  <c r="Z64" i="41" s="1"/>
  <c r="Z60" i="41"/>
  <c r="V61" i="41"/>
  <c r="V64" i="41" s="1"/>
  <c r="V60" i="41"/>
  <c r="R61" i="41"/>
  <c r="R64" i="41" s="1"/>
  <c r="R60" i="41"/>
  <c r="N61" i="41"/>
  <c r="N64" i="41" s="1"/>
  <c r="N60" i="41"/>
  <c r="J60" i="41"/>
  <c r="J61" i="41"/>
  <c r="AW61" i="41"/>
  <c r="AW64" i="41" s="1"/>
  <c r="AW60" i="41"/>
  <c r="AS61" i="41"/>
  <c r="AS64" i="41" s="1"/>
  <c r="AS60" i="41"/>
  <c r="AO61" i="41"/>
  <c r="AO64" i="41" s="1"/>
  <c r="AO60" i="41"/>
  <c r="AK61" i="41"/>
  <c r="AK64" i="41" s="1"/>
  <c r="AK60" i="41"/>
  <c r="AG61" i="41"/>
  <c r="AG64" i="41" s="1"/>
  <c r="AG60" i="41"/>
  <c r="AC61" i="41"/>
  <c r="AC64" i="41" s="1"/>
  <c r="AC60" i="41"/>
  <c r="Y61" i="41"/>
  <c r="Y64" i="41" s="1"/>
  <c r="Y60" i="41"/>
  <c r="U61" i="41"/>
  <c r="U64" i="41" s="1"/>
  <c r="U60" i="41"/>
  <c r="Q61" i="41"/>
  <c r="Q64" i="41" s="1"/>
  <c r="Q60" i="41"/>
  <c r="M61" i="41"/>
  <c r="M64" i="41" s="1"/>
  <c r="M60" i="41"/>
  <c r="AV60" i="41"/>
  <c r="AV61" i="41"/>
  <c r="AV64" i="41" s="1"/>
  <c r="AR60" i="41"/>
  <c r="AR61" i="41"/>
  <c r="AR64" i="41" s="1"/>
  <c r="AN60" i="41"/>
  <c r="AN61" i="41"/>
  <c r="AN64" i="41" s="1"/>
  <c r="AJ60" i="41"/>
  <c r="AJ61" i="41"/>
  <c r="AJ64" i="41" s="1"/>
  <c r="AF60" i="41"/>
  <c r="AF61" i="41"/>
  <c r="AF64" i="41" s="1"/>
  <c r="AB60" i="41"/>
  <c r="AB61" i="41"/>
  <c r="AB64" i="41" s="1"/>
  <c r="X60" i="41"/>
  <c r="X61" i="41"/>
  <c r="X64" i="41" s="1"/>
  <c r="T60" i="41"/>
  <c r="T61" i="41"/>
  <c r="T64" i="41" s="1"/>
  <c r="P60" i="41"/>
  <c r="P61" i="41"/>
  <c r="P64" i="41" s="1"/>
  <c r="L60" i="41"/>
  <c r="L61" i="41"/>
  <c r="L64" i="41" s="1"/>
  <c r="J61" i="33"/>
  <c r="J60" i="33"/>
  <c r="N61" i="33"/>
  <c r="N64" i="33" s="1"/>
  <c r="N60" i="33"/>
  <c r="R61" i="33"/>
  <c r="R64" i="33" s="1"/>
  <c r="R60" i="33"/>
  <c r="V61" i="33"/>
  <c r="V64" i="33" s="1"/>
  <c r="V60" i="33"/>
  <c r="Z61" i="33"/>
  <c r="Z64" i="33" s="1"/>
  <c r="Z60" i="33"/>
  <c r="AD61" i="33"/>
  <c r="AD64" i="33" s="1"/>
  <c r="AD60" i="33"/>
  <c r="AH61" i="33"/>
  <c r="AH64" i="33" s="1"/>
  <c r="AH60" i="33"/>
  <c r="AL61" i="33"/>
  <c r="AL64" i="33" s="1"/>
  <c r="AL60" i="33"/>
  <c r="AP61" i="33"/>
  <c r="AP64" i="33" s="1"/>
  <c r="AP60" i="33"/>
  <c r="AT61" i="33"/>
  <c r="AT64" i="33" s="1"/>
  <c r="AT60" i="33"/>
  <c r="K60" i="33"/>
  <c r="K61" i="33"/>
  <c r="K64" i="33" s="1"/>
  <c r="O60" i="33"/>
  <c r="O61" i="33"/>
  <c r="O64" i="33" s="1"/>
  <c r="S60" i="33"/>
  <c r="S61" i="33"/>
  <c r="S64" i="33" s="1"/>
  <c r="W60" i="33"/>
  <c r="W61" i="33"/>
  <c r="W64" i="33" s="1"/>
  <c r="AA60" i="33"/>
  <c r="AA61" i="33"/>
  <c r="AA64" i="33" s="1"/>
  <c r="AE60" i="33"/>
  <c r="AE61" i="33"/>
  <c r="AE64" i="33" s="1"/>
  <c r="AI60" i="33"/>
  <c r="AI61" i="33"/>
  <c r="AI64" i="33" s="1"/>
  <c r="AM60" i="33"/>
  <c r="AM61" i="33"/>
  <c r="AM64" i="33" s="1"/>
  <c r="AQ60" i="33"/>
  <c r="AQ61" i="33"/>
  <c r="AQ64" i="33" s="1"/>
  <c r="AU60" i="33"/>
  <c r="AU61" i="33"/>
  <c r="AU64" i="33" s="1"/>
  <c r="L61" i="33"/>
  <c r="L64" i="33" s="1"/>
  <c r="L60" i="33"/>
  <c r="P61" i="33"/>
  <c r="P64" i="33" s="1"/>
  <c r="P60" i="33"/>
  <c r="T61" i="33"/>
  <c r="T64" i="33" s="1"/>
  <c r="T60" i="33"/>
  <c r="X61" i="33"/>
  <c r="X64" i="33" s="1"/>
  <c r="X60" i="33"/>
  <c r="AB61" i="33"/>
  <c r="AB64" i="33" s="1"/>
  <c r="AB60" i="33"/>
  <c r="AF61" i="33"/>
  <c r="AF64" i="33" s="1"/>
  <c r="AF60" i="33"/>
  <c r="AJ61" i="33"/>
  <c r="AJ64" i="33" s="1"/>
  <c r="AJ60" i="33"/>
  <c r="AN61" i="33"/>
  <c r="AN64" i="33" s="1"/>
  <c r="AN60" i="33"/>
  <c r="AR61" i="33"/>
  <c r="AR64" i="33" s="1"/>
  <c r="AR60" i="33"/>
  <c r="AV61" i="33"/>
  <c r="AV64" i="33" s="1"/>
  <c r="AV60" i="33"/>
  <c r="M61" i="33"/>
  <c r="M64" i="33" s="1"/>
  <c r="M60" i="33"/>
  <c r="Q61" i="33"/>
  <c r="Q64" i="33" s="1"/>
  <c r="Q60" i="33"/>
  <c r="U61" i="33"/>
  <c r="U64" i="33" s="1"/>
  <c r="U60" i="33"/>
  <c r="Y61" i="33"/>
  <c r="Y64" i="33" s="1"/>
  <c r="Y60" i="33"/>
  <c r="AC61" i="33"/>
  <c r="AC64" i="33" s="1"/>
  <c r="AC60" i="33"/>
  <c r="AG61" i="33"/>
  <c r="AG64" i="33" s="1"/>
  <c r="AG60" i="33"/>
  <c r="AK61" i="33"/>
  <c r="AK64" i="33" s="1"/>
  <c r="AK60" i="33"/>
  <c r="AO61" i="33"/>
  <c r="AO64" i="33" s="1"/>
  <c r="AO60" i="33"/>
  <c r="AS61" i="33"/>
  <c r="AS64" i="33" s="1"/>
  <c r="AS60" i="33"/>
  <c r="AW61" i="33"/>
  <c r="AW64" i="33" s="1"/>
  <c r="AW60" i="33"/>
  <c r="K59" i="31"/>
  <c r="K62" i="31" s="1"/>
  <c r="K58" i="31"/>
  <c r="O59" i="31"/>
  <c r="O62" i="31" s="1"/>
  <c r="O58" i="31"/>
  <c r="S59" i="31"/>
  <c r="S62" i="31" s="1"/>
  <c r="S58" i="31"/>
  <c r="W59" i="31"/>
  <c r="W62" i="31" s="1"/>
  <c r="W58" i="31"/>
  <c r="AA59" i="31"/>
  <c r="AA62" i="31" s="1"/>
  <c r="AA58" i="31"/>
  <c r="AE59" i="31"/>
  <c r="AE62" i="31" s="1"/>
  <c r="AE58" i="31"/>
  <c r="AI59" i="31"/>
  <c r="AI62" i="31" s="1"/>
  <c r="AI58" i="31"/>
  <c r="AM59" i="31"/>
  <c r="AM62" i="31" s="1"/>
  <c r="AM58" i="31"/>
  <c r="AQ59" i="31"/>
  <c r="AQ62" i="31" s="1"/>
  <c r="AQ58" i="31"/>
  <c r="AU59" i="31"/>
  <c r="AU62" i="31" s="1"/>
  <c r="AU58" i="31"/>
  <c r="L58" i="31"/>
  <c r="L59" i="31"/>
  <c r="L62" i="31" s="1"/>
  <c r="P58" i="31"/>
  <c r="P59" i="31"/>
  <c r="P62" i="31" s="1"/>
  <c r="T58" i="31"/>
  <c r="T59" i="31"/>
  <c r="T62" i="31" s="1"/>
  <c r="X58" i="31"/>
  <c r="X59" i="31"/>
  <c r="X62" i="31" s="1"/>
  <c r="AB58" i="31"/>
  <c r="AB59" i="31"/>
  <c r="AB62" i="31" s="1"/>
  <c r="AF58" i="31"/>
  <c r="AF59" i="31"/>
  <c r="AF62" i="31" s="1"/>
  <c r="AJ58" i="31"/>
  <c r="AJ59" i="31"/>
  <c r="AJ62" i="31" s="1"/>
  <c r="AN58" i="31"/>
  <c r="AN59" i="31"/>
  <c r="AN62" i="31" s="1"/>
  <c r="AR58" i="31"/>
  <c r="AR59" i="31"/>
  <c r="AR62" i="31" s="1"/>
  <c r="AV58" i="31"/>
  <c r="AV59" i="31"/>
  <c r="AV62" i="31" s="1"/>
  <c r="M59" i="31"/>
  <c r="M62" i="31" s="1"/>
  <c r="M58" i="31"/>
  <c r="Q59" i="31"/>
  <c r="Q62" i="31" s="1"/>
  <c r="Q58" i="31"/>
  <c r="U59" i="31"/>
  <c r="U58" i="31"/>
  <c r="Y59" i="31"/>
  <c r="Y62" i="31" s="1"/>
  <c r="Y58" i="31"/>
  <c r="AC59" i="31"/>
  <c r="AC62" i="31" s="1"/>
  <c r="AC58" i="31"/>
  <c r="AG59" i="31"/>
  <c r="AG62" i="31" s="1"/>
  <c r="AG58" i="31"/>
  <c r="AK59" i="31"/>
  <c r="AK62" i="31" s="1"/>
  <c r="AK58" i="31"/>
  <c r="AO59" i="31"/>
  <c r="AO62" i="31" s="1"/>
  <c r="AO58" i="31"/>
  <c r="AS59" i="31"/>
  <c r="AS62" i="31" s="1"/>
  <c r="AS58" i="31"/>
  <c r="AW59" i="31"/>
  <c r="AW62" i="31" s="1"/>
  <c r="AW58" i="31"/>
  <c r="J59" i="31"/>
  <c r="J58" i="31"/>
  <c r="N59" i="31"/>
  <c r="N62" i="31" s="1"/>
  <c r="N58" i="31"/>
  <c r="R59" i="31"/>
  <c r="R62" i="31" s="1"/>
  <c r="R58" i="31"/>
  <c r="V59" i="31"/>
  <c r="V62" i="31" s="1"/>
  <c r="V58" i="31"/>
  <c r="Z59" i="31"/>
  <c r="Z62" i="31" s="1"/>
  <c r="Z58" i="31"/>
  <c r="AD59" i="31"/>
  <c r="AD62" i="31" s="1"/>
  <c r="AD58" i="31"/>
  <c r="AH59" i="31"/>
  <c r="AH62" i="31" s="1"/>
  <c r="AH58" i="31"/>
  <c r="AL59" i="31"/>
  <c r="AL62" i="31" s="1"/>
  <c r="AL58" i="31"/>
  <c r="AP59" i="31"/>
  <c r="AP62" i="31" s="1"/>
  <c r="AP58" i="31"/>
  <c r="AT59" i="31"/>
  <c r="AT62" i="31" s="1"/>
  <c r="AT58" i="31"/>
  <c r="U62" i="31"/>
  <c r="G42" i="42"/>
  <c r="F33" i="42"/>
  <c r="F24" i="40"/>
  <c r="I42" i="42"/>
  <c r="H33" i="42"/>
  <c r="I30" i="43"/>
  <c r="F48" i="39"/>
  <c r="F34" i="38"/>
  <c r="I24" i="40"/>
  <c r="G24" i="40"/>
  <c r="I33" i="42"/>
  <c r="H42" i="42"/>
  <c r="G33" i="42"/>
  <c r="F42" i="42"/>
  <c r="I30" i="33"/>
  <c r="I49" i="35"/>
  <c r="F24" i="30"/>
  <c r="F32" i="35"/>
  <c r="H31" i="31"/>
  <c r="H28" i="38"/>
  <c r="F28" i="39"/>
  <c r="H31" i="39"/>
  <c r="H41" i="39"/>
  <c r="H47" i="39"/>
  <c r="H12" i="38"/>
  <c r="F17" i="38"/>
  <c r="H21" i="38"/>
  <c r="H22" i="38"/>
  <c r="H29" i="38"/>
  <c r="H32" i="38"/>
  <c r="F32" i="30"/>
  <c r="H38" i="33"/>
  <c r="H22" i="39"/>
  <c r="H30" i="38"/>
  <c r="H25" i="31"/>
  <c r="F38" i="42"/>
  <c r="I35" i="42"/>
  <c r="H35" i="42"/>
  <c r="H37" i="42"/>
  <c r="I39" i="42"/>
  <c r="F17" i="37"/>
  <c r="H31" i="30"/>
  <c r="I35" i="30"/>
  <c r="I36" i="31"/>
  <c r="I39" i="31"/>
  <c r="H24" i="39"/>
  <c r="H26" i="39"/>
  <c r="H29" i="39"/>
  <c r="I30" i="39"/>
  <c r="I29" i="30"/>
  <c r="F28" i="35"/>
  <c r="H37" i="35"/>
  <c r="I48" i="35"/>
  <c r="F42" i="35"/>
  <c r="F11" i="31"/>
  <c r="H17" i="31"/>
  <c r="H32" i="33"/>
  <c r="I27" i="40"/>
  <c r="F25" i="40"/>
  <c r="I30" i="40"/>
  <c r="F32" i="40"/>
  <c r="F28" i="38"/>
  <c r="F22" i="43"/>
  <c r="I15" i="43"/>
  <c r="H15" i="43"/>
  <c r="H17" i="43"/>
  <c r="I20" i="43"/>
  <c r="H20" i="43"/>
  <c r="H21" i="43"/>
  <c r="I25" i="43"/>
  <c r="I40" i="41"/>
  <c r="H40" i="41"/>
  <c r="H37" i="37"/>
  <c r="F39" i="37"/>
  <c r="F40" i="37"/>
  <c r="I14" i="37"/>
  <c r="H14" i="37"/>
  <c r="H16" i="37"/>
  <c r="I19" i="37"/>
  <c r="F35" i="37"/>
  <c r="F36" i="39"/>
  <c r="F44" i="39"/>
  <c r="H14" i="39"/>
  <c r="I9" i="38"/>
  <c r="H9" i="38"/>
  <c r="H10" i="38"/>
  <c r="H24" i="38"/>
  <c r="I12" i="38"/>
  <c r="H13" i="38"/>
  <c r="F30" i="38"/>
  <c r="I25" i="38"/>
  <c r="H33" i="38"/>
  <c r="H20" i="38"/>
  <c r="I29" i="38"/>
  <c r="H27" i="38"/>
  <c r="F18" i="38"/>
  <c r="H18" i="38"/>
  <c r="I22" i="38"/>
  <c r="I16" i="42"/>
  <c r="F20" i="42"/>
  <c r="F14" i="33"/>
  <c r="H22" i="33"/>
  <c r="F28" i="33"/>
  <c r="H28" i="33"/>
  <c r="H31" i="33"/>
  <c r="I32" i="33"/>
  <c r="F36" i="33"/>
  <c r="F25" i="31"/>
  <c r="F31" i="31"/>
  <c r="H34" i="31"/>
  <c r="I30" i="36"/>
  <c r="H30" i="36"/>
  <c r="H32" i="36"/>
  <c r="F17" i="36"/>
  <c r="H13" i="43"/>
  <c r="I14" i="43"/>
  <c r="I37" i="43"/>
  <c r="H37" i="43"/>
  <c r="H39" i="43"/>
  <c r="F38" i="43"/>
  <c r="I41" i="43"/>
  <c r="F9" i="43"/>
  <c r="I36" i="43"/>
  <c r="H28" i="43"/>
  <c r="H29" i="43"/>
  <c r="F31" i="43"/>
  <c r="F10" i="37"/>
  <c r="I13" i="37"/>
  <c r="I30" i="37"/>
  <c r="H30" i="37"/>
  <c r="H33" i="37"/>
  <c r="F9" i="37"/>
  <c r="H9" i="37"/>
  <c r="F21" i="37"/>
  <c r="F25" i="37"/>
  <c r="I29" i="37"/>
  <c r="I46" i="37"/>
  <c r="H46" i="37"/>
  <c r="H21" i="37"/>
  <c r="F23" i="37"/>
  <c r="F24" i="37"/>
  <c r="F37" i="37"/>
  <c r="F42" i="37"/>
  <c r="I45" i="37"/>
  <c r="F15" i="39"/>
  <c r="F19" i="39"/>
  <c r="H20" i="39"/>
  <c r="I23" i="39"/>
  <c r="I42" i="39"/>
  <c r="H40" i="39"/>
  <c r="H45" i="39"/>
  <c r="I46" i="39"/>
  <c r="H16" i="39"/>
  <c r="F18" i="39"/>
  <c r="H18" i="39"/>
  <c r="F33" i="39"/>
  <c r="F32" i="39"/>
  <c r="H38" i="39"/>
  <c r="I27" i="39"/>
  <c r="I9" i="39"/>
  <c r="H11" i="39"/>
  <c r="H12" i="39"/>
  <c r="I13" i="39"/>
  <c r="H35" i="39"/>
  <c r="F37" i="39"/>
  <c r="H37" i="39"/>
  <c r="I24" i="38"/>
  <c r="F14" i="38"/>
  <c r="H15" i="38"/>
  <c r="I16" i="38"/>
  <c r="H17" i="38"/>
  <c r="F23" i="38"/>
  <c r="I28" i="38"/>
  <c r="I20" i="38"/>
  <c r="I32" i="38"/>
  <c r="H14" i="38"/>
  <c r="H16" i="38"/>
  <c r="I11" i="38"/>
  <c r="I14" i="38"/>
  <c r="I15" i="38"/>
  <c r="H19" i="38"/>
  <c r="I21" i="38"/>
  <c r="H23" i="38"/>
  <c r="G33" i="38"/>
  <c r="F26" i="38"/>
  <c r="I30" i="38"/>
  <c r="I31" i="38"/>
  <c r="H31" i="38"/>
  <c r="F10" i="38"/>
  <c r="F11" i="38"/>
  <c r="H11" i="38"/>
  <c r="F13" i="38"/>
  <c r="I18" i="38"/>
  <c r="I19" i="38"/>
  <c r="F22" i="38"/>
  <c r="H25" i="38"/>
  <c r="I33" i="38"/>
  <c r="H26" i="38"/>
  <c r="F27" i="38"/>
  <c r="I12" i="40"/>
  <c r="H13" i="40"/>
  <c r="H14" i="40"/>
  <c r="I29" i="40"/>
  <c r="H31" i="40"/>
  <c r="I35" i="40"/>
  <c r="H10" i="40"/>
  <c r="F20" i="40"/>
  <c r="H22" i="40"/>
  <c r="F23" i="40"/>
  <c r="F15" i="40"/>
  <c r="I17" i="40"/>
  <c r="F10" i="42"/>
  <c r="F11" i="42"/>
  <c r="F29" i="42"/>
  <c r="I34" i="42"/>
  <c r="H9" i="42"/>
  <c r="F27" i="42"/>
  <c r="F28" i="42"/>
  <c r="I17" i="42"/>
  <c r="H19" i="42"/>
  <c r="I22" i="42"/>
  <c r="H44" i="42"/>
  <c r="F45" i="42"/>
  <c r="F12" i="42"/>
  <c r="H14" i="33"/>
  <c r="F26" i="33"/>
  <c r="F38" i="33"/>
  <c r="H10" i="33"/>
  <c r="I11" i="33"/>
  <c r="I16" i="33"/>
  <c r="H16" i="33"/>
  <c r="I20" i="33"/>
  <c r="H20" i="33"/>
  <c r="H9" i="33"/>
  <c r="I10" i="33"/>
  <c r="H18" i="33"/>
  <c r="I33" i="33"/>
  <c r="H34" i="33"/>
  <c r="H36" i="33"/>
  <c r="I24" i="33"/>
  <c r="H24" i="33"/>
  <c r="F40" i="31"/>
  <c r="H21" i="31"/>
  <c r="I22" i="31"/>
  <c r="H22" i="31"/>
  <c r="H23" i="31"/>
  <c r="H24" i="31"/>
  <c r="I27" i="31"/>
  <c r="H27" i="31"/>
  <c r="H39" i="31"/>
  <c r="F13" i="31"/>
  <c r="H13" i="31"/>
  <c r="I17" i="31"/>
  <c r="H19" i="31"/>
  <c r="I21" i="31"/>
  <c r="H36" i="31"/>
  <c r="I35" i="31"/>
  <c r="H35" i="31"/>
  <c r="H37" i="31"/>
  <c r="H38" i="31"/>
  <c r="F39" i="31"/>
  <c r="F23" i="34"/>
  <c r="H47" i="34"/>
  <c r="F33" i="35"/>
  <c r="H28" i="35"/>
  <c r="H30" i="35"/>
  <c r="F31" i="35"/>
  <c r="F44" i="35"/>
  <c r="H47" i="35"/>
  <c r="I18" i="35"/>
  <c r="H44" i="35"/>
  <c r="H46" i="35"/>
  <c r="F47" i="35"/>
  <c r="I10" i="35"/>
  <c r="I12" i="35"/>
  <c r="I16" i="35"/>
  <c r="I38" i="35"/>
  <c r="H38" i="35"/>
  <c r="I43" i="35"/>
  <c r="H23" i="36"/>
  <c r="H26" i="36"/>
  <c r="F33" i="36"/>
  <c r="F32" i="36"/>
  <c r="H11" i="36"/>
  <c r="I10" i="36"/>
  <c r="F10" i="36"/>
  <c r="H12" i="36"/>
  <c r="I14" i="36"/>
  <c r="H16" i="36"/>
  <c r="I19" i="36"/>
  <c r="F23" i="36"/>
  <c r="F25" i="36"/>
  <c r="I27" i="36"/>
  <c r="I27" i="30"/>
  <c r="F15" i="30"/>
  <c r="F9" i="30"/>
  <c r="I9" i="30"/>
  <c r="F20" i="41"/>
  <c r="F28" i="41"/>
  <c r="I41" i="41"/>
  <c r="F33" i="41"/>
  <c r="H24" i="41"/>
  <c r="H26" i="41"/>
  <c r="F27" i="41"/>
  <c r="I9" i="41"/>
  <c r="F9" i="41"/>
  <c r="H11" i="41"/>
  <c r="I13" i="41"/>
  <c r="F13" i="41"/>
  <c r="H15" i="41"/>
  <c r="I17" i="41"/>
  <c r="H19" i="41"/>
  <c r="I22" i="41"/>
  <c r="H39" i="41"/>
  <c r="I32" i="41"/>
  <c r="F32" i="41"/>
  <c r="H34" i="41"/>
  <c r="I36" i="41"/>
  <c r="F17" i="41"/>
  <c r="I16" i="41"/>
  <c r="I20" i="41"/>
  <c r="I26" i="41"/>
  <c r="H28" i="41"/>
  <c r="I33" i="41"/>
  <c r="F37" i="41"/>
  <c r="H38" i="41"/>
  <c r="F39" i="41"/>
  <c r="F40" i="41"/>
  <c r="I10" i="41"/>
  <c r="I21" i="41"/>
  <c r="F24" i="41"/>
  <c r="H31" i="41"/>
  <c r="I37" i="41"/>
  <c r="H12" i="41"/>
  <c r="F11" i="41"/>
  <c r="H10" i="41"/>
  <c r="H14" i="41"/>
  <c r="F15" i="41"/>
  <c r="H16" i="41"/>
  <c r="H18" i="41"/>
  <c r="F19" i="41"/>
  <c r="I24" i="41"/>
  <c r="I25" i="41"/>
  <c r="F25" i="41"/>
  <c r="H27" i="41"/>
  <c r="I31" i="41"/>
  <c r="H41" i="41"/>
  <c r="H35" i="41"/>
  <c r="F34" i="41"/>
  <c r="I39" i="41"/>
  <c r="F21" i="41"/>
  <c r="H23" i="41"/>
  <c r="F30" i="41"/>
  <c r="I12" i="41"/>
  <c r="I14" i="41"/>
  <c r="I18" i="41"/>
  <c r="H20" i="41"/>
  <c r="H22" i="41"/>
  <c r="F23" i="41"/>
  <c r="I28" i="41"/>
  <c r="I29" i="41"/>
  <c r="F29" i="41"/>
  <c r="H30" i="41"/>
  <c r="F41" i="41"/>
  <c r="I35" i="41"/>
  <c r="H33" i="41"/>
  <c r="H36" i="41"/>
  <c r="F38" i="41"/>
  <c r="F9" i="31"/>
  <c r="I12" i="31"/>
  <c r="F16" i="31"/>
  <c r="I25" i="31"/>
  <c r="I26" i="31"/>
  <c r="H26" i="31"/>
  <c r="H28" i="31"/>
  <c r="F41" i="31"/>
  <c r="I29" i="31"/>
  <c r="F33" i="31"/>
  <c r="H41" i="31"/>
  <c r="I9" i="31"/>
  <c r="H9" i="31"/>
  <c r="I10" i="31"/>
  <c r="H10" i="31"/>
  <c r="H11" i="31"/>
  <c r="I15" i="31"/>
  <c r="I19" i="31"/>
  <c r="F24" i="31"/>
  <c r="I41" i="31"/>
  <c r="I30" i="31"/>
  <c r="H30" i="31"/>
  <c r="H40" i="31"/>
  <c r="I34" i="31"/>
  <c r="F38" i="31"/>
  <c r="H12" i="31"/>
  <c r="F17" i="31"/>
  <c r="F20" i="31"/>
  <c r="H15" i="31"/>
  <c r="H29" i="31"/>
  <c r="I13" i="31"/>
  <c r="I14" i="31"/>
  <c r="H14" i="31"/>
  <c r="H16" i="31"/>
  <c r="I18" i="31"/>
  <c r="H18" i="31"/>
  <c r="H20" i="31"/>
  <c r="F21" i="31"/>
  <c r="I23" i="31"/>
  <c r="F28" i="31"/>
  <c r="I31" i="31"/>
  <c r="I32" i="31"/>
  <c r="H32" i="31"/>
  <c r="H33" i="31"/>
  <c r="F36" i="31"/>
  <c r="I37" i="31"/>
  <c r="H10" i="37"/>
  <c r="F34" i="37"/>
  <c r="F12" i="37"/>
  <c r="I17" i="37"/>
  <c r="I18" i="37"/>
  <c r="H18" i="37"/>
  <c r="H20" i="37"/>
  <c r="I23" i="37"/>
  <c r="H25" i="37"/>
  <c r="F27" i="37"/>
  <c r="F28" i="37"/>
  <c r="I35" i="37"/>
  <c r="I32" i="37"/>
  <c r="H32" i="37"/>
  <c r="H36" i="37"/>
  <c r="I39" i="37"/>
  <c r="H42" i="37"/>
  <c r="F41" i="37"/>
  <c r="F44" i="37"/>
  <c r="I48" i="37"/>
  <c r="I34" i="37"/>
  <c r="H13" i="37"/>
  <c r="F15" i="37"/>
  <c r="F16" i="37"/>
  <c r="I21" i="37"/>
  <c r="I22" i="37"/>
  <c r="H22" i="37"/>
  <c r="H24" i="37"/>
  <c r="I27" i="37"/>
  <c r="H29" i="37"/>
  <c r="F31" i="37"/>
  <c r="F33" i="37"/>
  <c r="I37" i="37"/>
  <c r="I38" i="37"/>
  <c r="H38" i="37"/>
  <c r="H40" i="37"/>
  <c r="I41" i="37"/>
  <c r="H45" i="37"/>
  <c r="H47" i="37"/>
  <c r="I10" i="37"/>
  <c r="I11" i="37"/>
  <c r="H11" i="37"/>
  <c r="H12" i="37"/>
  <c r="F13" i="37"/>
  <c r="I15" i="37"/>
  <c r="H17" i="37"/>
  <c r="F19" i="37"/>
  <c r="F20" i="37"/>
  <c r="I25" i="37"/>
  <c r="I26" i="37"/>
  <c r="H26" i="37"/>
  <c r="H28" i="37"/>
  <c r="F29" i="37"/>
  <c r="I31" i="37"/>
  <c r="H35" i="37"/>
  <c r="F48" i="37"/>
  <c r="F36" i="37"/>
  <c r="I42" i="37"/>
  <c r="I43" i="37"/>
  <c r="H43" i="37"/>
  <c r="H44" i="37"/>
  <c r="F45" i="37"/>
  <c r="I47" i="37"/>
  <c r="I24" i="39"/>
  <c r="H9" i="39"/>
  <c r="H42" i="39"/>
  <c r="I36" i="39"/>
  <c r="I12" i="39"/>
  <c r="I17" i="39"/>
  <c r="H19" i="39"/>
  <c r="H21" i="39"/>
  <c r="F22" i="39"/>
  <c r="I28" i="39"/>
  <c r="I29" i="39"/>
  <c r="I34" i="39"/>
  <c r="H32" i="39"/>
  <c r="H39" i="39"/>
  <c r="F41" i="39"/>
  <c r="I44" i="39"/>
  <c r="I45" i="39"/>
  <c r="F11" i="39"/>
  <c r="I15" i="39"/>
  <c r="I16" i="39"/>
  <c r="I21" i="39"/>
  <c r="F26" i="39"/>
  <c r="I33" i="39"/>
  <c r="I35" i="39"/>
  <c r="I39" i="39"/>
  <c r="H43" i="39"/>
  <c r="F40" i="39"/>
  <c r="I10" i="39"/>
  <c r="H36" i="39"/>
  <c r="F13" i="39"/>
  <c r="F14" i="39"/>
  <c r="I19" i="39"/>
  <c r="I20" i="39"/>
  <c r="F23" i="39"/>
  <c r="I25" i="39"/>
  <c r="H28" i="39"/>
  <c r="H30" i="39"/>
  <c r="F31" i="39"/>
  <c r="I32" i="39"/>
  <c r="I38" i="39"/>
  <c r="F27" i="39"/>
  <c r="I43" i="39"/>
  <c r="F47" i="39"/>
  <c r="I20" i="34"/>
  <c r="H20" i="34"/>
  <c r="I25" i="34"/>
  <c r="H36" i="35"/>
  <c r="H14" i="35"/>
  <c r="I15" i="35"/>
  <c r="I20" i="35"/>
  <c r="I24" i="35"/>
  <c r="I30" i="35"/>
  <c r="H33" i="35"/>
  <c r="H35" i="35"/>
  <c r="F37" i="35"/>
  <c r="H41" i="35"/>
  <c r="I42" i="35"/>
  <c r="I27" i="35"/>
  <c r="H27" i="35"/>
  <c r="I46" i="35"/>
  <c r="H11" i="35"/>
  <c r="H13" i="35"/>
  <c r="F14" i="35"/>
  <c r="H17" i="35"/>
  <c r="H22" i="35"/>
  <c r="I23" i="35"/>
  <c r="H26" i="35"/>
  <c r="I28" i="35"/>
  <c r="I29" i="35"/>
  <c r="H29" i="35"/>
  <c r="I35" i="35"/>
  <c r="H48" i="35"/>
  <c r="H39" i="35"/>
  <c r="F41" i="35"/>
  <c r="H40" i="35"/>
  <c r="I44" i="35"/>
  <c r="I45" i="35"/>
  <c r="H45" i="35"/>
  <c r="I9" i="35"/>
  <c r="H19" i="35"/>
  <c r="H21" i="35"/>
  <c r="F22" i="35"/>
  <c r="H23" i="35"/>
  <c r="H25" i="35"/>
  <c r="F26" i="35"/>
  <c r="H31" i="35"/>
  <c r="I33" i="35"/>
  <c r="I34" i="35"/>
  <c r="H34" i="35"/>
  <c r="F48" i="35"/>
  <c r="I39" i="35"/>
  <c r="H42" i="35"/>
  <c r="H43" i="35"/>
  <c r="F40" i="35"/>
  <c r="H18" i="34"/>
  <c r="I19" i="34"/>
  <c r="I36" i="34"/>
  <c r="H36" i="34"/>
  <c r="F39" i="34"/>
  <c r="I42" i="34"/>
  <c r="I45" i="34"/>
  <c r="F15" i="34"/>
  <c r="H34" i="34"/>
  <c r="H13" i="34"/>
  <c r="F14" i="34"/>
  <c r="F31" i="34"/>
  <c r="I48" i="34"/>
  <c r="I10" i="34"/>
  <c r="H27" i="34"/>
  <c r="H29" i="34"/>
  <c r="F30" i="34"/>
  <c r="I47" i="34"/>
  <c r="F47" i="34"/>
  <c r="I9" i="34"/>
  <c r="H15" i="34"/>
  <c r="H22" i="34"/>
  <c r="I23" i="34"/>
  <c r="I24" i="34"/>
  <c r="H24" i="34"/>
  <c r="F27" i="34"/>
  <c r="I29" i="34"/>
  <c r="H31" i="34"/>
  <c r="H35" i="34"/>
  <c r="F32" i="34"/>
  <c r="H38" i="34"/>
  <c r="I39" i="34"/>
  <c r="I40" i="34"/>
  <c r="H40" i="34"/>
  <c r="I44" i="34"/>
  <c r="H44" i="34"/>
  <c r="H9" i="34"/>
  <c r="F34" i="34"/>
  <c r="H17" i="34"/>
  <c r="F18" i="34"/>
  <c r="H11" i="34"/>
  <c r="I34" i="34"/>
  <c r="I12" i="34"/>
  <c r="H12" i="34"/>
  <c r="I17" i="34"/>
  <c r="H19" i="34"/>
  <c r="H21" i="34"/>
  <c r="F22" i="34"/>
  <c r="H26" i="34"/>
  <c r="I27" i="34"/>
  <c r="I28" i="34"/>
  <c r="H28" i="34"/>
  <c r="I35" i="34"/>
  <c r="H48" i="34"/>
  <c r="H37" i="34"/>
  <c r="F38" i="34"/>
  <c r="H43" i="34"/>
  <c r="I41" i="34"/>
  <c r="H46" i="34"/>
  <c r="H32" i="34"/>
  <c r="I13" i="34"/>
  <c r="H10" i="34"/>
  <c r="F11" i="34"/>
  <c r="H14" i="34"/>
  <c r="I15" i="34"/>
  <c r="I16" i="34"/>
  <c r="H16" i="34"/>
  <c r="F19" i="34"/>
  <c r="I21" i="34"/>
  <c r="H23" i="34"/>
  <c r="H25" i="34"/>
  <c r="F26" i="34"/>
  <c r="H30" i="34"/>
  <c r="I31" i="34"/>
  <c r="I33" i="34"/>
  <c r="H33" i="34"/>
  <c r="F48" i="34"/>
  <c r="I37" i="34"/>
  <c r="H39" i="34"/>
  <c r="H42" i="34"/>
  <c r="F43" i="34"/>
  <c r="H41" i="34"/>
  <c r="F41" i="34"/>
  <c r="H45" i="34"/>
  <c r="F46" i="34"/>
  <c r="H35" i="33"/>
  <c r="I36" i="33"/>
  <c r="I37" i="33"/>
  <c r="H37" i="33"/>
  <c r="I41" i="33"/>
  <c r="H25" i="33"/>
  <c r="H41" i="33"/>
  <c r="H13" i="33"/>
  <c r="F15" i="33"/>
  <c r="I19" i="33"/>
  <c r="H19" i="33"/>
  <c r="F22" i="33"/>
  <c r="I25" i="33"/>
  <c r="F31" i="33"/>
  <c r="F13" i="33"/>
  <c r="H17" i="33"/>
  <c r="I18" i="33"/>
  <c r="H21" i="33"/>
  <c r="I22" i="33"/>
  <c r="I23" i="33"/>
  <c r="H23" i="33"/>
  <c r="I29" i="33"/>
  <c r="F35" i="33"/>
  <c r="H39" i="33"/>
  <c r="I38" i="33"/>
  <c r="I40" i="33"/>
  <c r="F33" i="33"/>
  <c r="F9" i="33"/>
  <c r="I14" i="33"/>
  <c r="I15" i="33"/>
  <c r="H12" i="33"/>
  <c r="H29" i="33"/>
  <c r="F10" i="33"/>
  <c r="I12" i="33"/>
  <c r="F17" i="33"/>
  <c r="F18" i="33"/>
  <c r="F21" i="33"/>
  <c r="H26" i="33"/>
  <c r="I28" i="33"/>
  <c r="I27" i="33"/>
  <c r="F27" i="33"/>
  <c r="F32" i="33"/>
  <c r="I34" i="33"/>
  <c r="F39" i="33"/>
  <c r="H9" i="43"/>
  <c r="I10" i="43"/>
  <c r="I11" i="43"/>
  <c r="H11" i="43"/>
  <c r="F14" i="43"/>
  <c r="I16" i="43"/>
  <c r="I19" i="43"/>
  <c r="H22" i="43"/>
  <c r="F25" i="43"/>
  <c r="F26" i="43"/>
  <c r="I32" i="43"/>
  <c r="I34" i="43"/>
  <c r="H34" i="43"/>
  <c r="H35" i="43"/>
  <c r="F36" i="43"/>
  <c r="I24" i="43"/>
  <c r="H38" i="43"/>
  <c r="H41" i="43"/>
  <c r="H10" i="43"/>
  <c r="F12" i="43"/>
  <c r="F13" i="43"/>
  <c r="I18" i="43"/>
  <c r="I22" i="43"/>
  <c r="I23" i="43"/>
  <c r="H23" i="43"/>
  <c r="H26" i="43"/>
  <c r="F28" i="43"/>
  <c r="I29" i="43"/>
  <c r="H32" i="43"/>
  <c r="H33" i="43"/>
  <c r="F35" i="43"/>
  <c r="I38" i="43"/>
  <c r="I40" i="43"/>
  <c r="H40" i="43"/>
  <c r="F10" i="43"/>
  <c r="I12" i="43"/>
  <c r="H14" i="43"/>
  <c r="F16" i="43"/>
  <c r="F17" i="43"/>
  <c r="H18" i="43"/>
  <c r="F19" i="43"/>
  <c r="F21" i="43"/>
  <c r="I28" i="43"/>
  <c r="I27" i="43"/>
  <c r="H27" i="43"/>
  <c r="H31" i="43"/>
  <c r="F32" i="43"/>
  <c r="I33" i="43"/>
  <c r="H36" i="43"/>
  <c r="H24" i="43"/>
  <c r="F39" i="43"/>
  <c r="I9" i="43"/>
  <c r="F18" i="43"/>
  <c r="I26" i="43"/>
  <c r="I35" i="43"/>
  <c r="I39" i="43"/>
  <c r="H12" i="43"/>
  <c r="H16" i="43"/>
  <c r="H19" i="43"/>
  <c r="H25" i="43"/>
  <c r="F11" i="43"/>
  <c r="F15" i="43"/>
  <c r="F20" i="43"/>
  <c r="F23" i="43"/>
  <c r="F27" i="43"/>
  <c r="F34" i="43"/>
  <c r="F37" i="43"/>
  <c r="F40" i="43"/>
  <c r="I21" i="43"/>
  <c r="I31" i="43"/>
  <c r="F29" i="43"/>
  <c r="F33" i="43"/>
  <c r="F24" i="43"/>
  <c r="F41" i="43"/>
  <c r="I13" i="43"/>
  <c r="I17" i="43"/>
  <c r="I9" i="33"/>
  <c r="I39" i="33"/>
  <c r="F19" i="33"/>
  <c r="I13" i="33"/>
  <c r="I26" i="33"/>
  <c r="I31" i="33"/>
  <c r="F11" i="33"/>
  <c r="F23" i="33"/>
  <c r="F37" i="33"/>
  <c r="F40" i="33"/>
  <c r="H11" i="33"/>
  <c r="H15" i="33"/>
  <c r="H27" i="33"/>
  <c r="H33" i="33"/>
  <c r="H40" i="33"/>
  <c r="F12" i="33"/>
  <c r="F16" i="33"/>
  <c r="F20" i="33"/>
  <c r="F25" i="33"/>
  <c r="F29" i="33"/>
  <c r="F34" i="33"/>
  <c r="F24" i="33"/>
  <c r="F41" i="33"/>
  <c r="I17" i="33"/>
  <c r="I21" i="33"/>
  <c r="I35" i="33"/>
  <c r="I15" i="41"/>
  <c r="F16" i="41"/>
  <c r="I27" i="41"/>
  <c r="I34" i="41"/>
  <c r="I38" i="41"/>
  <c r="H9" i="41"/>
  <c r="H13" i="41"/>
  <c r="H17" i="41"/>
  <c r="H21" i="41"/>
  <c r="H25" i="41"/>
  <c r="H29" i="41"/>
  <c r="H32" i="41"/>
  <c r="H37" i="41"/>
  <c r="I11" i="41"/>
  <c r="F10" i="41"/>
  <c r="I19" i="41"/>
  <c r="I30" i="41"/>
  <c r="F12" i="41"/>
  <c r="F14" i="41"/>
  <c r="F18" i="41"/>
  <c r="F22" i="41"/>
  <c r="F26" i="41"/>
  <c r="F31" i="41"/>
  <c r="F35" i="41"/>
  <c r="F36" i="41"/>
  <c r="I23" i="41"/>
  <c r="I16" i="31"/>
  <c r="I20" i="31"/>
  <c r="I28" i="31"/>
  <c r="I33" i="31"/>
  <c r="I38" i="31"/>
  <c r="F10" i="31"/>
  <c r="F14" i="31"/>
  <c r="F18" i="31"/>
  <c r="F22" i="31"/>
  <c r="F26" i="31"/>
  <c r="F30" i="31"/>
  <c r="F32" i="31"/>
  <c r="F35" i="31"/>
  <c r="I24" i="31"/>
  <c r="I40" i="31"/>
  <c r="F12" i="31"/>
  <c r="F15" i="31"/>
  <c r="F19" i="31"/>
  <c r="F23" i="31"/>
  <c r="F27" i="31"/>
  <c r="F29" i="31"/>
  <c r="F34" i="31"/>
  <c r="F37" i="31"/>
  <c r="I11" i="31"/>
  <c r="I12" i="37"/>
  <c r="I20" i="37"/>
  <c r="H34" i="37"/>
  <c r="H15" i="37"/>
  <c r="H19" i="37"/>
  <c r="H23" i="37"/>
  <c r="H27" i="37"/>
  <c r="H31" i="37"/>
  <c r="H48" i="37"/>
  <c r="H39" i="37"/>
  <c r="H41" i="37"/>
  <c r="F11" i="37"/>
  <c r="F14" i="37"/>
  <c r="F18" i="37"/>
  <c r="F22" i="37"/>
  <c r="F26" i="37"/>
  <c r="F30" i="37"/>
  <c r="F32" i="37"/>
  <c r="F38" i="37"/>
  <c r="F43" i="37"/>
  <c r="F46" i="37"/>
  <c r="I33" i="37"/>
  <c r="F47" i="37"/>
  <c r="I9" i="37"/>
  <c r="I16" i="37"/>
  <c r="I24" i="37"/>
  <c r="I28" i="37"/>
  <c r="I36" i="37"/>
  <c r="I40" i="37"/>
  <c r="I44" i="37"/>
  <c r="I38" i="34"/>
  <c r="I43" i="34"/>
  <c r="I46" i="34"/>
  <c r="F9" i="34"/>
  <c r="F12" i="34"/>
  <c r="F16" i="34"/>
  <c r="F20" i="34"/>
  <c r="F24" i="34"/>
  <c r="F28" i="34"/>
  <c r="F33" i="34"/>
  <c r="F44" i="34"/>
  <c r="F10" i="34"/>
  <c r="F13" i="34"/>
  <c r="F17" i="34"/>
  <c r="F21" i="34"/>
  <c r="F25" i="34"/>
  <c r="F29" i="34"/>
  <c r="F35" i="34"/>
  <c r="F37" i="34"/>
  <c r="F42" i="34"/>
  <c r="F45" i="34"/>
  <c r="I11" i="34"/>
  <c r="I14" i="34"/>
  <c r="I18" i="34"/>
  <c r="I22" i="34"/>
  <c r="I26" i="34"/>
  <c r="I30" i="34"/>
  <c r="I32" i="34"/>
  <c r="F36" i="34"/>
  <c r="F40" i="34"/>
  <c r="I14" i="39"/>
  <c r="I18" i="39"/>
  <c r="I37" i="39"/>
  <c r="G48" i="39"/>
  <c r="F9" i="39"/>
  <c r="F20" i="39"/>
  <c r="H10" i="39"/>
  <c r="H13" i="39"/>
  <c r="H15" i="39"/>
  <c r="H17" i="39"/>
  <c r="H23" i="39"/>
  <c r="H25" i="39"/>
  <c r="H33" i="39"/>
  <c r="H34" i="39"/>
  <c r="H27" i="39"/>
  <c r="H44" i="39"/>
  <c r="H46" i="39"/>
  <c r="F10" i="39"/>
  <c r="F17" i="39"/>
  <c r="F21" i="39"/>
  <c r="F25" i="39"/>
  <c r="F30" i="39"/>
  <c r="F34" i="39"/>
  <c r="F39" i="39"/>
  <c r="F43" i="39"/>
  <c r="F46" i="39"/>
  <c r="I11" i="39"/>
  <c r="I22" i="39"/>
  <c r="I26" i="39"/>
  <c r="I31" i="39"/>
  <c r="I41" i="39"/>
  <c r="I40" i="39"/>
  <c r="I47" i="39"/>
  <c r="F12" i="39"/>
  <c r="F16" i="39"/>
  <c r="F24" i="39"/>
  <c r="F29" i="39"/>
  <c r="F35" i="39"/>
  <c r="F38" i="39"/>
  <c r="F42" i="39"/>
  <c r="F45" i="39"/>
  <c r="H24" i="35"/>
  <c r="F24" i="35"/>
  <c r="F11" i="35"/>
  <c r="I13" i="35"/>
  <c r="F19" i="35"/>
  <c r="F10" i="35"/>
  <c r="H10" i="35"/>
  <c r="I11" i="35"/>
  <c r="H12" i="35"/>
  <c r="F12" i="35"/>
  <c r="H15" i="35"/>
  <c r="F18" i="35"/>
  <c r="H18" i="35"/>
  <c r="I19" i="35"/>
  <c r="H20" i="35"/>
  <c r="F20" i="35"/>
  <c r="H9" i="35"/>
  <c r="F9" i="35"/>
  <c r="H16" i="35"/>
  <c r="F16" i="35"/>
  <c r="I21" i="35"/>
  <c r="I36" i="35"/>
  <c r="I14" i="35"/>
  <c r="F15" i="35"/>
  <c r="I17" i="35"/>
  <c r="I22" i="35"/>
  <c r="F23" i="35"/>
  <c r="I25" i="35"/>
  <c r="F45" i="35"/>
  <c r="F36" i="35"/>
  <c r="F13" i="35"/>
  <c r="F17" i="35"/>
  <c r="F21" i="35"/>
  <c r="F25" i="35"/>
  <c r="F30" i="35"/>
  <c r="F35" i="35"/>
  <c r="F39" i="35"/>
  <c r="F43" i="35"/>
  <c r="F46" i="35"/>
  <c r="I26" i="35"/>
  <c r="I31" i="35"/>
  <c r="I37" i="35"/>
  <c r="I41" i="35"/>
  <c r="I40" i="35"/>
  <c r="I47" i="35"/>
  <c r="F29" i="35"/>
  <c r="F34" i="35"/>
  <c r="F38" i="35"/>
  <c r="F27" i="35"/>
  <c r="I13" i="38"/>
  <c r="I17" i="38"/>
  <c r="I23" i="38"/>
  <c r="I26" i="38"/>
  <c r="I27" i="38"/>
  <c r="F24" i="38"/>
  <c r="F15" i="38"/>
  <c r="F19" i="38"/>
  <c r="F25" i="38"/>
  <c r="F20" i="38"/>
  <c r="F31" i="38"/>
  <c r="I10" i="38"/>
  <c r="F9" i="38"/>
  <c r="F12" i="38"/>
  <c r="F16" i="38"/>
  <c r="F21" i="38"/>
  <c r="F33" i="38"/>
  <c r="F29" i="38"/>
  <c r="F32" i="38"/>
  <c r="F14" i="36"/>
  <c r="I9" i="36"/>
  <c r="I13" i="36"/>
  <c r="I17" i="36"/>
  <c r="I18" i="36"/>
  <c r="F18" i="36"/>
  <c r="H21" i="36"/>
  <c r="I26" i="36"/>
  <c r="H25" i="36"/>
  <c r="H20" i="36"/>
  <c r="F29" i="36"/>
  <c r="F11" i="36"/>
  <c r="H9" i="36"/>
  <c r="H24" i="36"/>
  <c r="F12" i="36"/>
  <c r="H13" i="36"/>
  <c r="H15" i="36"/>
  <c r="F16" i="36"/>
  <c r="I23" i="36"/>
  <c r="I22" i="36"/>
  <c r="F22" i="36"/>
  <c r="H33" i="36"/>
  <c r="I20" i="36"/>
  <c r="H27" i="36"/>
  <c r="H31" i="36"/>
  <c r="I24" i="36"/>
  <c r="I15" i="36"/>
  <c r="H17" i="36"/>
  <c r="H19" i="36"/>
  <c r="F21" i="36"/>
  <c r="I25" i="36"/>
  <c r="I28" i="36"/>
  <c r="F28" i="36"/>
  <c r="H29" i="36"/>
  <c r="F27" i="36"/>
  <c r="I31" i="36"/>
  <c r="I12" i="36"/>
  <c r="I29" i="36"/>
  <c r="H10" i="36"/>
  <c r="H14" i="36"/>
  <c r="H18" i="36"/>
  <c r="H22" i="36"/>
  <c r="H28" i="36"/>
  <c r="F30" i="36"/>
  <c r="I11" i="36"/>
  <c r="I21" i="36"/>
  <c r="I33" i="36"/>
  <c r="I32" i="36"/>
  <c r="F24" i="36"/>
  <c r="F15" i="36"/>
  <c r="F19" i="36"/>
  <c r="F26" i="36"/>
  <c r="F20" i="36"/>
  <c r="F31" i="36"/>
  <c r="F9" i="36"/>
  <c r="F13" i="36"/>
  <c r="I16" i="36"/>
  <c r="I16" i="40"/>
  <c r="H28" i="40"/>
  <c r="I32" i="40"/>
  <c r="I34" i="40"/>
  <c r="H36" i="40"/>
  <c r="I15" i="40"/>
  <c r="F33" i="40"/>
  <c r="I10" i="40"/>
  <c r="F13" i="40"/>
  <c r="F14" i="40"/>
  <c r="I20" i="40"/>
  <c r="I21" i="40"/>
  <c r="H23" i="40"/>
  <c r="I28" i="40"/>
  <c r="H19" i="40"/>
  <c r="F31" i="40"/>
  <c r="F10" i="40"/>
  <c r="F11" i="40"/>
  <c r="H18" i="40"/>
  <c r="I22" i="40"/>
  <c r="I9" i="40"/>
  <c r="H11" i="40"/>
  <c r="F27" i="40"/>
  <c r="I13" i="40"/>
  <c r="F17" i="40"/>
  <c r="F18" i="40"/>
  <c r="I25" i="40"/>
  <c r="I26" i="40"/>
  <c r="H33" i="40"/>
  <c r="F30" i="40"/>
  <c r="I19" i="40"/>
  <c r="H35" i="40"/>
  <c r="F36" i="40"/>
  <c r="F20" i="30"/>
  <c r="F25" i="30"/>
  <c r="I30" i="30"/>
  <c r="F22" i="30"/>
  <c r="F23" i="30"/>
  <c r="I12" i="30"/>
  <c r="I17" i="30"/>
  <c r="H18" i="30"/>
  <c r="F11" i="30"/>
  <c r="I15" i="30"/>
  <c r="I16" i="30"/>
  <c r="I22" i="30"/>
  <c r="F28" i="30"/>
  <c r="F33" i="30"/>
  <c r="I32" i="30"/>
  <c r="I34" i="30"/>
  <c r="H36" i="30"/>
  <c r="F29" i="30"/>
  <c r="I10" i="30"/>
  <c r="F13" i="30"/>
  <c r="F14" i="30"/>
  <c r="I20" i="30"/>
  <c r="I21" i="30"/>
  <c r="H23" i="30"/>
  <c r="I28" i="30"/>
  <c r="F19" i="30"/>
  <c r="F31" i="30"/>
  <c r="F27" i="30"/>
  <c r="I13" i="30"/>
  <c r="F18" i="30"/>
  <c r="I25" i="30"/>
  <c r="I26" i="30"/>
  <c r="F26" i="30"/>
  <c r="F30" i="30"/>
  <c r="I19" i="30"/>
  <c r="H35" i="30"/>
  <c r="F36" i="30"/>
  <c r="F25" i="42"/>
  <c r="I44" i="42"/>
  <c r="F14" i="42"/>
  <c r="F15" i="42"/>
  <c r="F32" i="42"/>
  <c r="I38" i="42"/>
  <c r="I40" i="42"/>
  <c r="F18" i="42"/>
  <c r="F19" i="42"/>
  <c r="I24" i="42"/>
  <c r="I26" i="42"/>
  <c r="H26" i="42"/>
  <c r="H28" i="42"/>
  <c r="I31" i="42"/>
  <c r="F36" i="42"/>
  <c r="F37" i="42"/>
  <c r="I25" i="42"/>
  <c r="I43" i="42"/>
  <c r="H43" i="42"/>
  <c r="H45" i="42"/>
  <c r="H17" i="42"/>
  <c r="I10" i="42"/>
  <c r="I20" i="42"/>
  <c r="I21" i="42"/>
  <c r="H21" i="42"/>
  <c r="H23" i="42"/>
  <c r="F24" i="42"/>
  <c r="I27" i="42"/>
  <c r="F31" i="42"/>
  <c r="H40" i="42"/>
  <c r="H41" i="42"/>
  <c r="I9" i="42"/>
  <c r="H11" i="42"/>
  <c r="I14" i="42"/>
  <c r="I12" i="42"/>
  <c r="I13" i="42"/>
  <c r="H13" i="42"/>
  <c r="H15" i="42"/>
  <c r="F16" i="42"/>
  <c r="I18" i="42"/>
  <c r="F22" i="42"/>
  <c r="F23" i="42"/>
  <c r="I29" i="42"/>
  <c r="I30" i="42"/>
  <c r="H30" i="42"/>
  <c r="H32" i="42"/>
  <c r="F34" i="42"/>
  <c r="I36" i="42"/>
  <c r="H39" i="42"/>
  <c r="F41" i="42"/>
  <c r="I14" i="40"/>
  <c r="I33" i="40"/>
  <c r="I43" i="40"/>
  <c r="I31" i="40"/>
  <c r="I39" i="40"/>
  <c r="F9" i="40"/>
  <c r="F12" i="40"/>
  <c r="F16" i="40"/>
  <c r="F21" i="40"/>
  <c r="F26" i="40"/>
  <c r="F29" i="40"/>
  <c r="F34" i="40"/>
  <c r="F37" i="40"/>
  <c r="F41" i="40"/>
  <c r="I11" i="40"/>
  <c r="I18" i="40"/>
  <c r="I36" i="40"/>
  <c r="F22" i="40"/>
  <c r="F28" i="40"/>
  <c r="F19" i="40"/>
  <c r="F35" i="40"/>
  <c r="F38" i="40"/>
  <c r="F42" i="40"/>
  <c r="I23" i="40"/>
  <c r="H17" i="40"/>
  <c r="H9" i="40"/>
  <c r="H12" i="40"/>
  <c r="H21" i="40"/>
  <c r="H29" i="40"/>
  <c r="H34" i="40"/>
  <c r="H37" i="40"/>
  <c r="H27" i="40"/>
  <c r="H15" i="40"/>
  <c r="H20" i="40"/>
  <c r="H25" i="40"/>
  <c r="H30" i="40"/>
  <c r="H32" i="40"/>
  <c r="H24" i="40"/>
  <c r="H40" i="40"/>
  <c r="H16" i="40"/>
  <c r="H26" i="40"/>
  <c r="H41" i="40"/>
  <c r="I23" i="42"/>
  <c r="I32" i="42"/>
  <c r="I45" i="42"/>
  <c r="I15" i="42"/>
  <c r="I37" i="42"/>
  <c r="I41" i="42"/>
  <c r="F9" i="42"/>
  <c r="F13" i="42"/>
  <c r="F17" i="42"/>
  <c r="F21" i="42"/>
  <c r="F26" i="42"/>
  <c r="F30" i="42"/>
  <c r="F35" i="42"/>
  <c r="F40" i="42"/>
  <c r="F43" i="42"/>
  <c r="I28" i="42"/>
  <c r="H10" i="42"/>
  <c r="H14" i="42"/>
  <c r="H18" i="42"/>
  <c r="H22" i="42"/>
  <c r="H27" i="42"/>
  <c r="H31" i="42"/>
  <c r="H36" i="42"/>
  <c r="F39" i="42"/>
  <c r="F44" i="42"/>
  <c r="I11" i="42"/>
  <c r="I19" i="42"/>
  <c r="H12" i="42"/>
  <c r="H16" i="42"/>
  <c r="H20" i="42"/>
  <c r="H24" i="42"/>
  <c r="H29" i="42"/>
  <c r="H34" i="42"/>
  <c r="H38" i="42"/>
  <c r="H25" i="42"/>
  <c r="H14" i="30"/>
  <c r="I11" i="30"/>
  <c r="I18" i="30"/>
  <c r="I14" i="30"/>
  <c r="F12" i="30"/>
  <c r="F21" i="30"/>
  <c r="F34" i="30"/>
  <c r="F37" i="30"/>
  <c r="I31" i="30"/>
  <c r="I36" i="30"/>
  <c r="F16" i="30"/>
  <c r="H11" i="30"/>
  <c r="H33" i="30"/>
  <c r="F10" i="30"/>
  <c r="F17" i="30"/>
  <c r="F35" i="30"/>
  <c r="I23" i="30"/>
  <c r="I33" i="30"/>
  <c r="H10" i="30"/>
  <c r="H27" i="30"/>
  <c r="H13" i="30"/>
  <c r="H15" i="30"/>
  <c r="H17" i="30"/>
  <c r="H20" i="30"/>
  <c r="H22" i="30"/>
  <c r="H25" i="30"/>
  <c r="H28" i="30"/>
  <c r="H30" i="30"/>
  <c r="H19" i="30"/>
  <c r="H32" i="30"/>
  <c r="H9" i="30"/>
  <c r="H12" i="30"/>
  <c r="H16" i="30"/>
  <c r="H21" i="30"/>
  <c r="H26" i="30"/>
  <c r="H29" i="30"/>
  <c r="H34" i="30"/>
  <c r="H37" i="30"/>
  <c r="F46" i="32"/>
  <c r="F48" i="32"/>
  <c r="AW46" i="32"/>
  <c r="AV46" i="32"/>
  <c r="AU46" i="32"/>
  <c r="AT46" i="32"/>
  <c r="AS46" i="32"/>
  <c r="AR46" i="32"/>
  <c r="AQ46" i="32"/>
  <c r="AP46" i="32"/>
  <c r="AO46" i="32"/>
  <c r="AM46" i="32"/>
  <c r="AL46" i="32"/>
  <c r="AK46" i="32"/>
  <c r="AJ46" i="32"/>
  <c r="AI46" i="32"/>
  <c r="AH46" i="32"/>
  <c r="AG46" i="32"/>
  <c r="AF46" i="32"/>
  <c r="AE46" i="32"/>
  <c r="AC46" i="32"/>
  <c r="AB46" i="32"/>
  <c r="G46" i="32"/>
  <c r="F47" i="32"/>
  <c r="G48" i="32"/>
  <c r="I47" i="32"/>
  <c r="I48" i="32"/>
  <c r="AY40" i="36"/>
  <c r="AY41" i="36"/>
  <c r="AY42" i="36"/>
  <c r="AY43" i="36"/>
  <c r="AY44" i="36"/>
  <c r="AY45" i="36"/>
  <c r="AY11" i="36"/>
  <c r="AY9" i="36"/>
  <c r="AY10" i="36"/>
  <c r="AY24" i="36"/>
  <c r="AY12" i="36"/>
  <c r="AY13" i="36"/>
  <c r="AY14" i="36"/>
  <c r="AY15" i="36"/>
  <c r="AY16" i="36"/>
  <c r="AY17" i="36"/>
  <c r="AY18" i="36"/>
  <c r="AY19" i="36"/>
  <c r="AY21" i="36"/>
  <c r="AY23" i="36"/>
  <c r="AY22" i="36"/>
  <c r="AY26" i="36"/>
  <c r="AY33" i="36"/>
  <c r="AY25" i="36"/>
  <c r="AY28" i="36"/>
  <c r="AY20" i="36"/>
  <c r="AY29" i="36"/>
  <c r="AY27" i="36"/>
  <c r="AY30" i="36"/>
  <c r="AY31" i="36"/>
  <c r="AY32" i="36"/>
  <c r="AY34" i="36"/>
  <c r="AY35" i="36"/>
  <c r="AY36" i="36"/>
  <c r="AY37" i="36"/>
  <c r="AY38" i="36"/>
  <c r="AX50" i="40" l="1"/>
  <c r="AX51" i="40"/>
  <c r="J56" i="42"/>
  <c r="AX56" i="42" s="1"/>
  <c r="AX53" i="42"/>
  <c r="AX52" i="42"/>
  <c r="J64" i="41"/>
  <c r="AX64" i="41" s="1"/>
  <c r="AX61" i="41"/>
  <c r="AX60" i="41"/>
  <c r="AX60" i="33"/>
  <c r="J64" i="33"/>
  <c r="AX64" i="33" s="1"/>
  <c r="AX61" i="33"/>
  <c r="AX58" i="31"/>
  <c r="J62" i="31"/>
  <c r="AX62" i="31" s="1"/>
  <c r="AX59" i="31"/>
  <c r="I33" i="32"/>
  <c r="F40" i="32"/>
  <c r="F33" i="32"/>
  <c r="I40" i="32"/>
  <c r="G33" i="32"/>
  <c r="G40" i="32"/>
  <c r="AF56" i="32"/>
  <c r="AF59" i="32" s="1"/>
  <c r="AJ56" i="32"/>
  <c r="AJ59" i="32" s="1"/>
  <c r="AO56" i="32"/>
  <c r="AO59" i="32" s="1"/>
  <c r="AS56" i="32"/>
  <c r="AS59" i="32" s="1"/>
  <c r="AW56" i="32"/>
  <c r="AW59" i="32" s="1"/>
  <c r="AC56" i="32"/>
  <c r="AC59" i="32" s="1"/>
  <c r="AH56" i="32"/>
  <c r="AH59" i="32" s="1"/>
  <c r="AL56" i="32"/>
  <c r="AL59" i="32" s="1"/>
  <c r="AQ56" i="32"/>
  <c r="AQ59" i="32" s="1"/>
  <c r="AU56" i="32"/>
  <c r="AU59" i="32" s="1"/>
  <c r="AB56" i="32"/>
  <c r="AB59" i="32" s="1"/>
  <c r="AG56" i="32"/>
  <c r="AG59" i="32" s="1"/>
  <c r="AK56" i="32"/>
  <c r="AK59" i="32" s="1"/>
  <c r="AP56" i="32"/>
  <c r="AP59" i="32" s="1"/>
  <c r="AT56" i="32"/>
  <c r="AT59" i="32" s="1"/>
  <c r="AE56" i="32"/>
  <c r="AE59" i="32" s="1"/>
  <c r="AI56" i="32"/>
  <c r="AI59" i="32" s="1"/>
  <c r="AM56" i="32"/>
  <c r="AM59" i="32" s="1"/>
  <c r="AR56" i="32"/>
  <c r="AR59" i="32" s="1"/>
  <c r="AV56" i="32"/>
  <c r="AV59" i="32" s="1"/>
  <c r="G48" i="36"/>
  <c r="I48" i="36"/>
  <c r="F48" i="36"/>
  <c r="H48" i="36"/>
  <c r="F45" i="32"/>
  <c r="H48" i="32"/>
  <c r="H47" i="32"/>
  <c r="H46" i="32"/>
  <c r="H33" i="32"/>
  <c r="H40" i="32"/>
  <c r="I46" i="32"/>
  <c r="G47" i="32"/>
  <c r="I29" i="32"/>
  <c r="I43" i="32"/>
  <c r="I38" i="32"/>
  <c r="I36" i="32"/>
  <c r="F11" i="32"/>
  <c r="I44" i="32"/>
  <c r="I34" i="32"/>
  <c r="I31" i="32"/>
  <c r="I21" i="32"/>
  <c r="I18" i="32"/>
  <c r="I45" i="32"/>
  <c r="I41" i="32"/>
  <c r="I42" i="32"/>
  <c r="I32" i="32"/>
  <c r="I10" i="32"/>
  <c r="I39" i="32"/>
  <c r="I27" i="32"/>
  <c r="I15" i="32"/>
  <c r="I25" i="32"/>
  <c r="I37" i="32"/>
  <c r="I35" i="32"/>
  <c r="I30" i="32"/>
  <c r="H45" i="32"/>
  <c r="H44" i="32"/>
  <c r="H43" i="32"/>
  <c r="H25" i="32"/>
  <c r="H41" i="32"/>
  <c r="H39" i="32"/>
  <c r="H38" i="32"/>
  <c r="H37" i="32"/>
  <c r="H42" i="32"/>
  <c r="H34" i="32"/>
  <c r="H36" i="32"/>
  <c r="H35" i="32"/>
  <c r="H32" i="32"/>
  <c r="H31" i="32"/>
  <c r="H29" i="32"/>
  <c r="H30" i="32"/>
  <c r="F44" i="32"/>
  <c r="F43" i="32"/>
  <c r="F25" i="32"/>
  <c r="F41" i="32"/>
  <c r="F39" i="32"/>
  <c r="F38" i="32"/>
  <c r="F37" i="32"/>
  <c r="F42" i="32"/>
  <c r="F34" i="32"/>
  <c r="F36" i="32"/>
  <c r="F35" i="32"/>
  <c r="F32" i="32"/>
  <c r="F31" i="32"/>
  <c r="F29" i="32"/>
  <c r="F30" i="32"/>
  <c r="H24" i="32"/>
  <c r="H20" i="32"/>
  <c r="I9" i="32"/>
  <c r="I28" i="32"/>
  <c r="I23" i="32"/>
  <c r="I19" i="32"/>
  <c r="I14" i="32"/>
  <c r="H23" i="32"/>
  <c r="H12" i="32"/>
  <c r="I24" i="32"/>
  <c r="I20" i="32"/>
  <c r="I16" i="32"/>
  <c r="I12" i="32"/>
  <c r="H27" i="32"/>
  <c r="H21" i="32"/>
  <c r="H18" i="32"/>
  <c r="H15" i="32"/>
  <c r="H10" i="32"/>
  <c r="H16" i="32"/>
  <c r="I11" i="32"/>
  <c r="I26" i="32"/>
  <c r="I22" i="32"/>
  <c r="I17" i="32"/>
  <c r="I13" i="32"/>
  <c r="H9" i="32"/>
  <c r="H26" i="32"/>
  <c r="H22" i="32"/>
  <c r="H17" i="32"/>
  <c r="H13" i="32"/>
  <c r="H28" i="32"/>
  <c r="H19" i="32"/>
  <c r="H14" i="32"/>
  <c r="H11" i="32"/>
  <c r="F28" i="32"/>
  <c r="F27" i="32"/>
  <c r="F26" i="32"/>
  <c r="F24" i="32"/>
  <c r="F23" i="32"/>
  <c r="F21" i="32"/>
  <c r="F22" i="32"/>
  <c r="F20" i="32"/>
  <c r="F19" i="32"/>
  <c r="F18" i="32"/>
  <c r="F17" i="32"/>
  <c r="F16" i="32"/>
  <c r="F14" i="32"/>
  <c r="F15" i="32"/>
  <c r="F13" i="32"/>
  <c r="F12" i="32"/>
  <c r="F10" i="32"/>
  <c r="F9" i="32"/>
  <c r="AX59" i="32" l="1"/>
  <c r="AX56" i="32"/>
  <c r="AY9" i="43" l="1"/>
  <c r="AY10" i="43"/>
  <c r="AY11" i="43"/>
  <c r="AY12" i="43"/>
  <c r="AY13" i="43"/>
  <c r="AY14" i="43"/>
  <c r="AY15" i="43"/>
  <c r="AY16" i="43"/>
  <c r="AY17" i="43"/>
  <c r="AY18" i="43"/>
  <c r="AY20" i="43"/>
  <c r="AY19" i="43"/>
  <c r="AY21" i="43"/>
  <c r="AY22" i="43"/>
  <c r="AY23" i="43"/>
  <c r="AY25" i="43"/>
  <c r="AY26" i="43"/>
  <c r="AY28" i="43"/>
  <c r="AY27" i="43"/>
  <c r="AY29" i="43"/>
  <c r="AY31" i="43"/>
  <c r="AY32" i="43"/>
  <c r="AY34" i="43"/>
  <c r="AY33" i="43"/>
  <c r="AY35" i="43"/>
  <c r="AY36" i="43"/>
  <c r="AY24" i="43"/>
  <c r="AY39" i="43"/>
  <c r="AY38" i="43"/>
  <c r="AY40" i="43"/>
  <c r="AY41" i="43"/>
  <c r="AY30" i="43"/>
  <c r="AY42" i="43"/>
  <c r="AY37" i="43"/>
  <c r="AY43" i="43"/>
  <c r="AY44" i="43"/>
  <c r="AY45" i="43"/>
  <c r="AY46" i="43"/>
  <c r="A27" i="34" l="1"/>
  <c r="R13" i="26" l="1"/>
  <c r="S13" i="26"/>
  <c r="T13" i="26"/>
  <c r="U13" i="26"/>
  <c r="R19" i="26"/>
  <c r="S19" i="26"/>
  <c r="T19" i="26"/>
  <c r="U19" i="26"/>
  <c r="R23" i="26"/>
  <c r="S23" i="26"/>
  <c r="T23" i="26"/>
  <c r="U23" i="26"/>
  <c r="R24" i="26"/>
  <c r="S24" i="26"/>
  <c r="T24" i="26"/>
  <c r="U24" i="26"/>
  <c r="R25" i="26"/>
  <c r="S25" i="26"/>
  <c r="T25" i="26"/>
  <c r="U25" i="26"/>
  <c r="AY48" i="31" l="1"/>
  <c r="AY28" i="31"/>
  <c r="AY49" i="31"/>
  <c r="AY50" i="31"/>
  <c r="AY51" i="31"/>
  <c r="AY52" i="31"/>
  <c r="AY53" i="31"/>
  <c r="AY54" i="31"/>
  <c r="AY41" i="31"/>
  <c r="AY30" i="31"/>
  <c r="AY29" i="31"/>
  <c r="AY11" i="30"/>
  <c r="AY35" i="30"/>
  <c r="AY21" i="30"/>
  <c r="A32" i="31" l="1"/>
  <c r="AW55" i="32" l="1"/>
  <c r="AV55" i="32"/>
  <c r="AU55" i="32"/>
  <c r="AT55" i="32"/>
  <c r="AS55" i="32"/>
  <c r="AR55" i="32"/>
  <c r="AQ55" i="32"/>
  <c r="AP55" i="32"/>
  <c r="AO55" i="32"/>
  <c r="AN55" i="32"/>
  <c r="AM55" i="32"/>
  <c r="AL55" i="32"/>
  <c r="AK55" i="32"/>
  <c r="AJ55" i="32"/>
  <c r="AI55" i="32"/>
  <c r="AH55" i="32"/>
  <c r="AG55" i="32"/>
  <c r="AF55" i="32"/>
  <c r="AE55" i="32"/>
  <c r="AD55" i="32"/>
  <c r="AC55" i="32"/>
  <c r="AB55" i="32"/>
  <c r="AA55" i="32"/>
  <c r="Z55" i="32"/>
  <c r="Y55" i="32"/>
  <c r="X55" i="32"/>
  <c r="W55" i="32"/>
  <c r="V55" i="32"/>
  <c r="U55" i="32"/>
  <c r="T55" i="32"/>
  <c r="S55" i="32"/>
  <c r="R55" i="32"/>
  <c r="Q55" i="32"/>
  <c r="P55" i="32"/>
  <c r="O55" i="32"/>
  <c r="N55" i="32"/>
  <c r="M55" i="32"/>
  <c r="L55" i="32"/>
  <c r="K55" i="32"/>
  <c r="AX55" i="32" l="1"/>
  <c r="F56" i="37"/>
  <c r="G56" i="37"/>
  <c r="H56" i="37"/>
  <c r="I56" i="37"/>
  <c r="AY56" i="37"/>
  <c r="AX57" i="35" l="1"/>
  <c r="AX59" i="33"/>
  <c r="AX49" i="40"/>
  <c r="AX62" i="39"/>
  <c r="AX58" i="37"/>
  <c r="AX59" i="41"/>
  <c r="AX49" i="43"/>
  <c r="AY49" i="36"/>
  <c r="AY57" i="35"/>
  <c r="AY57" i="31"/>
  <c r="AY59" i="33"/>
  <c r="AY51" i="42"/>
  <c r="AY49" i="40"/>
  <c r="AY62" i="39"/>
  <c r="AY58" i="37"/>
  <c r="AY59" i="41"/>
  <c r="AY49" i="43"/>
  <c r="R21" i="26" l="1"/>
  <c r="U21" i="26"/>
  <c r="T21" i="26"/>
  <c r="S21" i="26"/>
  <c r="U8" i="26"/>
  <c r="T8" i="26"/>
  <c r="T12" i="26"/>
  <c r="U10" i="26"/>
  <c r="T10" i="26"/>
  <c r="U12" i="26" l="1"/>
  <c r="U7" i="26"/>
  <c r="T16" i="26"/>
  <c r="U16" i="26"/>
  <c r="U26" i="26"/>
  <c r="T6" i="26"/>
  <c r="U6" i="26"/>
  <c r="T26" i="26"/>
  <c r="U18" i="26"/>
  <c r="T18" i="26"/>
  <c r="T7" i="26"/>
  <c r="A33" i="32" l="1"/>
  <c r="AY27" i="31" l="1"/>
  <c r="AY29" i="32" l="1"/>
  <c r="A23" i="33" l="1"/>
  <c r="C4" i="46" l="1"/>
  <c r="U402" i="1"/>
  <c r="T402" i="1" s="1"/>
  <c r="U395" i="1"/>
  <c r="T395" i="1" s="1"/>
  <c r="U374" i="1"/>
  <c r="T374" i="1" s="1"/>
  <c r="U367" i="1"/>
  <c r="T367" i="1" s="1"/>
  <c r="U353" i="1"/>
  <c r="T353" i="1" s="1"/>
  <c r="U325" i="1"/>
  <c r="T325" i="1" s="1"/>
  <c r="U304" i="1"/>
  <c r="T304" i="1" s="1"/>
  <c r="U297" i="1"/>
  <c r="T297" i="1" s="1"/>
  <c r="U290" i="1"/>
  <c r="T290" i="1" s="1"/>
  <c r="U283" i="1"/>
  <c r="T283" i="1" s="1"/>
  <c r="U453" i="1"/>
  <c r="T453" i="1" s="1"/>
  <c r="U262" i="1"/>
  <c r="T262" i="1" s="1"/>
  <c r="U255" i="1"/>
  <c r="T255" i="1" s="1"/>
  <c r="U248" i="1"/>
  <c r="T248" i="1" s="1"/>
  <c r="U241" i="1"/>
  <c r="T241" i="1" s="1"/>
  <c r="U227" i="1"/>
  <c r="T227" i="1" s="1"/>
  <c r="U454" i="1"/>
  <c r="T454" i="1" s="1"/>
  <c r="U171" i="1"/>
  <c r="T171" i="1" s="1"/>
  <c r="U136" i="1"/>
  <c r="T136" i="1" s="1"/>
  <c r="U115" i="1"/>
  <c r="T115" i="1" s="1"/>
  <c r="U108" i="1"/>
  <c r="T108" i="1" s="1"/>
  <c r="U87" i="1"/>
  <c r="T87" i="1" s="1"/>
  <c r="U80" i="1"/>
  <c r="T80" i="1" s="1"/>
  <c r="U66" i="1"/>
  <c r="T66" i="1" s="1"/>
  <c r="U59" i="1"/>
  <c r="T59" i="1" s="1"/>
  <c r="U52" i="1"/>
  <c r="T52" i="1" s="1"/>
  <c r="U24" i="1"/>
  <c r="T24" i="1" s="1"/>
  <c r="U455" i="1"/>
  <c r="T455" i="1" s="1"/>
  <c r="U416" i="1"/>
  <c r="T416" i="1" s="1"/>
  <c r="U381" i="1"/>
  <c r="T381" i="1" s="1"/>
  <c r="U339" i="1"/>
  <c r="T339" i="1" s="1"/>
  <c r="U318" i="1"/>
  <c r="T318" i="1" s="1"/>
  <c r="U456" i="1"/>
  <c r="T456" i="1" s="1"/>
  <c r="U234" i="1"/>
  <c r="T234" i="1" s="1"/>
  <c r="U220" i="1"/>
  <c r="T220" i="1" s="1"/>
  <c r="U150" i="1"/>
  <c r="T150" i="1" s="1"/>
  <c r="U388" i="1"/>
  <c r="T388" i="1" s="1"/>
  <c r="U346" i="1"/>
  <c r="T346" i="1" s="1"/>
  <c r="U206" i="1"/>
  <c r="T206" i="1" s="1"/>
  <c r="U199" i="1"/>
  <c r="T199" i="1" s="1"/>
  <c r="U94" i="1"/>
  <c r="T94" i="1" s="1"/>
  <c r="U38" i="1"/>
  <c r="T38" i="1" s="1"/>
  <c r="U311" i="1"/>
  <c r="T311" i="1" s="1"/>
  <c r="U276" i="1"/>
  <c r="T276" i="1" s="1"/>
  <c r="U185" i="1"/>
  <c r="T185" i="1" s="1"/>
  <c r="U178" i="1"/>
  <c r="T178" i="1" s="1"/>
  <c r="U164" i="1"/>
  <c r="T164" i="1" s="1"/>
  <c r="U101" i="1"/>
  <c r="T101" i="1" s="1"/>
  <c r="U45" i="1"/>
  <c r="T45" i="1" s="1"/>
  <c r="U10" i="1"/>
  <c r="T10" i="1" s="1"/>
  <c r="U360" i="1"/>
  <c r="T360" i="1" s="1"/>
  <c r="U457" i="1"/>
  <c r="T457" i="1" s="1"/>
  <c r="U192" i="1"/>
  <c r="T192" i="1" s="1"/>
  <c r="U157" i="1"/>
  <c r="T157" i="1" s="1"/>
  <c r="U458" i="1"/>
  <c r="T458" i="1" s="1"/>
  <c r="U129" i="1"/>
  <c r="T129" i="1" s="1"/>
  <c r="U73" i="1"/>
  <c r="T73" i="1" s="1"/>
  <c r="U17" i="1"/>
  <c r="T17" i="1" s="1"/>
  <c r="U269" i="1"/>
  <c r="T269" i="1" s="1"/>
  <c r="U409" i="1"/>
  <c r="T409" i="1" s="1"/>
  <c r="U143" i="1"/>
  <c r="T143" i="1" s="1"/>
  <c r="U122" i="1"/>
  <c r="T122" i="1" s="1"/>
  <c r="U459" i="1"/>
  <c r="T459" i="1" s="1"/>
  <c r="U31" i="1"/>
  <c r="T31" i="1" s="1"/>
  <c r="U213" i="1"/>
  <c r="T213" i="1" s="1"/>
  <c r="U332" i="1"/>
  <c r="T332" i="1" s="1"/>
  <c r="U398" i="1"/>
  <c r="T398" i="1" s="1"/>
  <c r="U391" i="1"/>
  <c r="T391" i="1" s="1"/>
  <c r="U370" i="1"/>
  <c r="T370" i="1" s="1"/>
  <c r="U363" i="1"/>
  <c r="T363" i="1" s="1"/>
  <c r="U349" i="1"/>
  <c r="T349" i="1" s="1"/>
  <c r="U321" i="1"/>
  <c r="T321" i="1" s="1"/>
  <c r="U300" i="1"/>
  <c r="T300" i="1" s="1"/>
  <c r="U293" i="1"/>
  <c r="T293" i="1" s="1"/>
  <c r="U286" i="1"/>
  <c r="T286" i="1" s="1"/>
  <c r="U279" i="1"/>
  <c r="T279" i="1" s="1"/>
  <c r="U425" i="1"/>
  <c r="T425" i="1" s="1"/>
  <c r="U258" i="1"/>
  <c r="T258" i="1" s="1"/>
  <c r="U251" i="1"/>
  <c r="T251" i="1" s="1"/>
  <c r="U244" i="1"/>
  <c r="T244" i="1" s="1"/>
  <c r="U237" i="1"/>
  <c r="T237" i="1" s="1"/>
  <c r="U223" i="1"/>
  <c r="T223" i="1" s="1"/>
  <c r="U426" i="1"/>
  <c r="T426" i="1" s="1"/>
  <c r="U167" i="1"/>
  <c r="T167" i="1" s="1"/>
  <c r="U132" i="1"/>
  <c r="T132" i="1" s="1"/>
  <c r="U111" i="1"/>
  <c r="T111" i="1" s="1"/>
  <c r="U104" i="1"/>
  <c r="T104" i="1" s="1"/>
  <c r="U83" i="1"/>
  <c r="T83" i="1" s="1"/>
  <c r="U76" i="1"/>
  <c r="T76" i="1" s="1"/>
  <c r="U62" i="1"/>
  <c r="T62" i="1" s="1"/>
  <c r="U55" i="1"/>
  <c r="T55" i="1" s="1"/>
  <c r="U48" i="1"/>
  <c r="T48" i="1" s="1"/>
  <c r="U20" i="1"/>
  <c r="T20" i="1" s="1"/>
  <c r="U427" i="1"/>
  <c r="T427" i="1" s="1"/>
  <c r="U412" i="1"/>
  <c r="T412" i="1" s="1"/>
  <c r="U377" i="1"/>
  <c r="T377" i="1" s="1"/>
  <c r="U335" i="1"/>
  <c r="T335" i="1" s="1"/>
  <c r="U314" i="1"/>
  <c r="T314" i="1" s="1"/>
  <c r="U428" i="1"/>
  <c r="T428" i="1" s="1"/>
  <c r="U230" i="1"/>
  <c r="T230" i="1" s="1"/>
  <c r="U216" i="1"/>
  <c r="T216" i="1" s="1"/>
  <c r="U146" i="1"/>
  <c r="T146" i="1" s="1"/>
  <c r="U384" i="1"/>
  <c r="T384" i="1" s="1"/>
  <c r="U342" i="1"/>
  <c r="T342" i="1" s="1"/>
  <c r="U202" i="1"/>
  <c r="T202" i="1" s="1"/>
  <c r="U195" i="1"/>
  <c r="T195" i="1" s="1"/>
  <c r="U90" i="1"/>
  <c r="T90" i="1" s="1"/>
  <c r="U34" i="1"/>
  <c r="T34" i="1" s="1"/>
  <c r="U307" i="1"/>
  <c r="T307" i="1" s="1"/>
  <c r="U272" i="1"/>
  <c r="T272" i="1" s="1"/>
  <c r="U181" i="1"/>
  <c r="T181" i="1" s="1"/>
  <c r="U174" i="1"/>
  <c r="T174" i="1" s="1"/>
  <c r="U160" i="1"/>
  <c r="T160" i="1" s="1"/>
  <c r="U97" i="1"/>
  <c r="T97" i="1" s="1"/>
  <c r="U41" i="1"/>
  <c r="T41" i="1" s="1"/>
  <c r="U6" i="1"/>
  <c r="T6" i="1" s="1"/>
  <c r="U356" i="1"/>
  <c r="T356" i="1" s="1"/>
  <c r="U429" i="1"/>
  <c r="T429" i="1" s="1"/>
  <c r="U188" i="1"/>
  <c r="T188" i="1" s="1"/>
  <c r="U153" i="1"/>
  <c r="T153" i="1" s="1"/>
  <c r="U430" i="1"/>
  <c r="T430" i="1" s="1"/>
  <c r="U125" i="1"/>
  <c r="T125" i="1" s="1"/>
  <c r="U69" i="1"/>
  <c r="T69" i="1" s="1"/>
  <c r="U13" i="1"/>
  <c r="T13" i="1" s="1"/>
  <c r="U265" i="1"/>
  <c r="T265" i="1" s="1"/>
  <c r="U405" i="1"/>
  <c r="T405" i="1" s="1"/>
  <c r="U139" i="1"/>
  <c r="T139" i="1" s="1"/>
  <c r="U118" i="1"/>
  <c r="T118" i="1" s="1"/>
  <c r="U431" i="1"/>
  <c r="T431" i="1" s="1"/>
  <c r="U27" i="1"/>
  <c r="T27" i="1" s="1"/>
  <c r="U209" i="1"/>
  <c r="T209" i="1" s="1"/>
  <c r="U328" i="1"/>
  <c r="T328" i="1" s="1"/>
  <c r="U397" i="1"/>
  <c r="T397" i="1" s="1"/>
  <c r="U390" i="1"/>
  <c r="T390" i="1" s="1"/>
  <c r="U369" i="1"/>
  <c r="T369" i="1" s="1"/>
  <c r="U362" i="1"/>
  <c r="T362" i="1" s="1"/>
  <c r="U348" i="1"/>
  <c r="T348" i="1" s="1"/>
  <c r="U320" i="1"/>
  <c r="T320" i="1" s="1"/>
  <c r="U299" i="1"/>
  <c r="T299" i="1" s="1"/>
  <c r="U292" i="1"/>
  <c r="T292" i="1" s="1"/>
  <c r="U285" i="1"/>
  <c r="T285" i="1" s="1"/>
  <c r="U278" i="1"/>
  <c r="T278" i="1" s="1"/>
  <c r="U418" i="1"/>
  <c r="T418" i="1" s="1"/>
  <c r="U257" i="1"/>
  <c r="T257" i="1" s="1"/>
  <c r="U250" i="1"/>
  <c r="T250" i="1" s="1"/>
  <c r="U243" i="1"/>
  <c r="T243" i="1" s="1"/>
  <c r="U236" i="1"/>
  <c r="T236" i="1" s="1"/>
  <c r="U222" i="1"/>
  <c r="T222" i="1" s="1"/>
  <c r="U419" i="1"/>
  <c r="T419" i="1" s="1"/>
  <c r="U166" i="1"/>
  <c r="T166" i="1" s="1"/>
  <c r="U131" i="1"/>
  <c r="T131" i="1" s="1"/>
  <c r="U110" i="1"/>
  <c r="T110" i="1" s="1"/>
  <c r="U103" i="1"/>
  <c r="T103" i="1" s="1"/>
  <c r="U82" i="1"/>
  <c r="T82" i="1" s="1"/>
  <c r="U75" i="1"/>
  <c r="T75" i="1" s="1"/>
  <c r="U61" i="1"/>
  <c r="T61" i="1" s="1"/>
  <c r="U54" i="1"/>
  <c r="T54" i="1" s="1"/>
  <c r="U47" i="1"/>
  <c r="T47" i="1" s="1"/>
  <c r="U19" i="1"/>
  <c r="T19" i="1" s="1"/>
  <c r="U420" i="1"/>
  <c r="T420" i="1" s="1"/>
  <c r="U411" i="1"/>
  <c r="T411" i="1" s="1"/>
  <c r="U376" i="1"/>
  <c r="T376" i="1" s="1"/>
  <c r="U334" i="1"/>
  <c r="T334" i="1" s="1"/>
  <c r="U313" i="1"/>
  <c r="T313" i="1" s="1"/>
  <c r="U421" i="1"/>
  <c r="T421" i="1" s="1"/>
  <c r="U229" i="1"/>
  <c r="T229" i="1" s="1"/>
  <c r="U215" i="1"/>
  <c r="T215" i="1" s="1"/>
  <c r="U145" i="1"/>
  <c r="T145" i="1" s="1"/>
  <c r="U383" i="1"/>
  <c r="T383" i="1" s="1"/>
  <c r="U341" i="1"/>
  <c r="T341" i="1" s="1"/>
  <c r="U201" i="1"/>
  <c r="T201" i="1" s="1"/>
  <c r="U194" i="1"/>
  <c r="T194" i="1" s="1"/>
  <c r="U89" i="1"/>
  <c r="T89" i="1" s="1"/>
  <c r="U33" i="1"/>
  <c r="T33" i="1" s="1"/>
  <c r="U306" i="1"/>
  <c r="T306" i="1" s="1"/>
  <c r="U271" i="1"/>
  <c r="T271" i="1" s="1"/>
  <c r="U180" i="1"/>
  <c r="T180" i="1" s="1"/>
  <c r="U173" i="1"/>
  <c r="T173" i="1" s="1"/>
  <c r="U159" i="1"/>
  <c r="T159" i="1" s="1"/>
  <c r="U96" i="1"/>
  <c r="T96" i="1" s="1"/>
  <c r="U40" i="1"/>
  <c r="T40" i="1" s="1"/>
  <c r="U5" i="1"/>
  <c r="U355" i="1"/>
  <c r="T355" i="1" s="1"/>
  <c r="U422" i="1"/>
  <c r="T422" i="1" s="1"/>
  <c r="U187" i="1"/>
  <c r="T187" i="1" s="1"/>
  <c r="U152" i="1"/>
  <c r="T152" i="1" s="1"/>
  <c r="U423" i="1"/>
  <c r="T423" i="1" s="1"/>
  <c r="U124" i="1"/>
  <c r="T124" i="1" s="1"/>
  <c r="U68" i="1"/>
  <c r="T68" i="1" s="1"/>
  <c r="U12" i="1"/>
  <c r="T12" i="1" s="1"/>
  <c r="U264" i="1"/>
  <c r="T264" i="1" s="1"/>
  <c r="U404" i="1"/>
  <c r="T404" i="1" s="1"/>
  <c r="U138" i="1"/>
  <c r="T138" i="1" s="1"/>
  <c r="U117" i="1"/>
  <c r="T117" i="1" s="1"/>
  <c r="U424" i="1"/>
  <c r="T424" i="1" s="1"/>
  <c r="U26" i="1"/>
  <c r="T26" i="1" s="1"/>
  <c r="U208" i="1"/>
  <c r="T208" i="1" s="1"/>
  <c r="U327" i="1"/>
  <c r="T327" i="1" s="1"/>
  <c r="U399" i="1"/>
  <c r="T399" i="1" s="1"/>
  <c r="U392" i="1"/>
  <c r="T392" i="1" s="1"/>
  <c r="U371" i="1"/>
  <c r="T371" i="1" s="1"/>
  <c r="U364" i="1"/>
  <c r="T364" i="1" s="1"/>
  <c r="U350" i="1"/>
  <c r="T350" i="1" s="1"/>
  <c r="U322" i="1"/>
  <c r="T322" i="1" s="1"/>
  <c r="U301" i="1"/>
  <c r="T301" i="1" s="1"/>
  <c r="U294" i="1"/>
  <c r="T294" i="1" s="1"/>
  <c r="U287" i="1"/>
  <c r="T287" i="1" s="1"/>
  <c r="U280" i="1"/>
  <c r="T280" i="1" s="1"/>
  <c r="U432" i="1"/>
  <c r="T432" i="1" s="1"/>
  <c r="U259" i="1"/>
  <c r="T259" i="1" s="1"/>
  <c r="U252" i="1"/>
  <c r="T252" i="1" s="1"/>
  <c r="U245" i="1"/>
  <c r="T245" i="1" s="1"/>
  <c r="U238" i="1"/>
  <c r="T238" i="1" s="1"/>
  <c r="U224" i="1"/>
  <c r="T224" i="1" s="1"/>
  <c r="U433" i="1"/>
  <c r="T433" i="1" s="1"/>
  <c r="U168" i="1"/>
  <c r="T168" i="1" s="1"/>
  <c r="U133" i="1"/>
  <c r="T133" i="1" s="1"/>
  <c r="U112" i="1"/>
  <c r="T112" i="1" s="1"/>
  <c r="U105" i="1"/>
  <c r="T105" i="1" s="1"/>
  <c r="U84" i="1"/>
  <c r="T84" i="1" s="1"/>
  <c r="U77" i="1"/>
  <c r="T77" i="1" s="1"/>
  <c r="U63" i="1"/>
  <c r="T63" i="1" s="1"/>
  <c r="U56" i="1"/>
  <c r="T56" i="1" s="1"/>
  <c r="U49" i="1"/>
  <c r="T49" i="1" s="1"/>
  <c r="U21" i="1"/>
  <c r="T21" i="1" s="1"/>
  <c r="U434" i="1"/>
  <c r="T434" i="1" s="1"/>
  <c r="U413" i="1"/>
  <c r="T413" i="1" s="1"/>
  <c r="U378" i="1"/>
  <c r="T378" i="1" s="1"/>
  <c r="U336" i="1"/>
  <c r="T336" i="1" s="1"/>
  <c r="U315" i="1"/>
  <c r="T315" i="1" s="1"/>
  <c r="U435" i="1"/>
  <c r="T435" i="1" s="1"/>
  <c r="U231" i="1"/>
  <c r="T231" i="1" s="1"/>
  <c r="U217" i="1"/>
  <c r="T217" i="1" s="1"/>
  <c r="U147" i="1"/>
  <c r="T147" i="1" s="1"/>
  <c r="U385" i="1"/>
  <c r="T385" i="1" s="1"/>
  <c r="U343" i="1"/>
  <c r="T343" i="1" s="1"/>
  <c r="U203" i="1"/>
  <c r="T203" i="1" s="1"/>
  <c r="U196" i="1"/>
  <c r="T196" i="1" s="1"/>
  <c r="U91" i="1"/>
  <c r="T91" i="1" s="1"/>
  <c r="U35" i="1"/>
  <c r="T35" i="1" s="1"/>
  <c r="U308" i="1"/>
  <c r="T308" i="1" s="1"/>
  <c r="U273" i="1"/>
  <c r="T273" i="1" s="1"/>
  <c r="U182" i="1"/>
  <c r="T182" i="1" s="1"/>
  <c r="U175" i="1"/>
  <c r="T175" i="1" s="1"/>
  <c r="U161" i="1"/>
  <c r="T161" i="1" s="1"/>
  <c r="U98" i="1"/>
  <c r="T98" i="1" s="1"/>
  <c r="U42" i="1"/>
  <c r="T42" i="1" s="1"/>
  <c r="U7" i="1"/>
  <c r="T7" i="1" s="1"/>
  <c r="U357" i="1"/>
  <c r="T357" i="1" s="1"/>
  <c r="U436" i="1"/>
  <c r="T436" i="1" s="1"/>
  <c r="U189" i="1"/>
  <c r="T189" i="1" s="1"/>
  <c r="U154" i="1"/>
  <c r="T154" i="1" s="1"/>
  <c r="U437" i="1"/>
  <c r="T437" i="1" s="1"/>
  <c r="U126" i="1"/>
  <c r="T126" i="1" s="1"/>
  <c r="U70" i="1"/>
  <c r="T70" i="1" s="1"/>
  <c r="U14" i="1"/>
  <c r="T14" i="1" s="1"/>
  <c r="U266" i="1"/>
  <c r="T266" i="1" s="1"/>
  <c r="U406" i="1"/>
  <c r="T406" i="1" s="1"/>
  <c r="U140" i="1"/>
  <c r="T140" i="1" s="1"/>
  <c r="U119" i="1"/>
  <c r="T119" i="1" s="1"/>
  <c r="U438" i="1"/>
  <c r="T438" i="1" s="1"/>
  <c r="U28" i="1"/>
  <c r="T28" i="1" s="1"/>
  <c r="U210" i="1"/>
  <c r="T210" i="1" s="1"/>
  <c r="U329" i="1"/>
  <c r="T329" i="1" s="1"/>
  <c r="U403" i="1"/>
  <c r="T403" i="1" s="1"/>
  <c r="U396" i="1"/>
  <c r="T396" i="1" s="1"/>
  <c r="U375" i="1"/>
  <c r="T375" i="1" s="1"/>
  <c r="U368" i="1"/>
  <c r="T368" i="1" s="1"/>
  <c r="U354" i="1"/>
  <c r="T354" i="1" s="1"/>
  <c r="U326" i="1"/>
  <c r="T326" i="1" s="1"/>
  <c r="U305" i="1"/>
  <c r="T305" i="1" s="1"/>
  <c r="U298" i="1"/>
  <c r="T298" i="1" s="1"/>
  <c r="U291" i="1"/>
  <c r="T291" i="1" s="1"/>
  <c r="U284" i="1"/>
  <c r="T284" i="1" s="1"/>
  <c r="U460" i="1"/>
  <c r="T460" i="1" s="1"/>
  <c r="U263" i="1"/>
  <c r="T263" i="1" s="1"/>
  <c r="U256" i="1"/>
  <c r="T256" i="1" s="1"/>
  <c r="U249" i="1"/>
  <c r="T249" i="1" s="1"/>
  <c r="U242" i="1"/>
  <c r="T242" i="1" s="1"/>
  <c r="U228" i="1"/>
  <c r="T228" i="1" s="1"/>
  <c r="U461" i="1"/>
  <c r="T461" i="1" s="1"/>
  <c r="U172" i="1"/>
  <c r="T172" i="1" s="1"/>
  <c r="U137" i="1"/>
  <c r="T137" i="1" s="1"/>
  <c r="U116" i="1"/>
  <c r="T116" i="1" s="1"/>
  <c r="U109" i="1"/>
  <c r="T109" i="1" s="1"/>
  <c r="U88" i="1"/>
  <c r="T88" i="1" s="1"/>
  <c r="U81" i="1"/>
  <c r="T81" i="1" s="1"/>
  <c r="U67" i="1"/>
  <c r="T67" i="1" s="1"/>
  <c r="U60" i="1"/>
  <c r="T60" i="1" s="1"/>
  <c r="U53" i="1"/>
  <c r="T53" i="1" s="1"/>
  <c r="U25" i="1"/>
  <c r="T25" i="1" s="1"/>
  <c r="U462" i="1"/>
  <c r="T462" i="1" s="1"/>
  <c r="U417" i="1"/>
  <c r="T417" i="1" s="1"/>
  <c r="U382" i="1"/>
  <c r="T382" i="1" s="1"/>
  <c r="U340" i="1"/>
  <c r="T340" i="1" s="1"/>
  <c r="U319" i="1"/>
  <c r="T319" i="1" s="1"/>
  <c r="U463" i="1"/>
  <c r="T463" i="1" s="1"/>
  <c r="U235" i="1"/>
  <c r="T235" i="1" s="1"/>
  <c r="U221" i="1"/>
  <c r="T221" i="1" s="1"/>
  <c r="U151" i="1"/>
  <c r="T151" i="1" s="1"/>
  <c r="U389" i="1"/>
  <c r="T389" i="1" s="1"/>
  <c r="U347" i="1"/>
  <c r="T347" i="1" s="1"/>
  <c r="U207" i="1"/>
  <c r="T207" i="1" s="1"/>
  <c r="U200" i="1"/>
  <c r="T200" i="1" s="1"/>
  <c r="U95" i="1"/>
  <c r="T95" i="1" s="1"/>
  <c r="U39" i="1"/>
  <c r="T39" i="1" s="1"/>
  <c r="U312" i="1"/>
  <c r="T312" i="1" s="1"/>
  <c r="U277" i="1"/>
  <c r="T277" i="1" s="1"/>
  <c r="U186" i="1"/>
  <c r="T186" i="1" s="1"/>
  <c r="U179" i="1"/>
  <c r="T179" i="1" s="1"/>
  <c r="U165" i="1"/>
  <c r="T165" i="1" s="1"/>
  <c r="U102" i="1"/>
  <c r="T102" i="1" s="1"/>
  <c r="U46" i="1"/>
  <c r="T46" i="1" s="1"/>
  <c r="U11" i="1"/>
  <c r="T11" i="1" s="1"/>
  <c r="U361" i="1"/>
  <c r="T361" i="1" s="1"/>
  <c r="U464" i="1"/>
  <c r="T464" i="1" s="1"/>
  <c r="U193" i="1"/>
  <c r="T193" i="1" s="1"/>
  <c r="U158" i="1"/>
  <c r="T158" i="1" s="1"/>
  <c r="U465" i="1"/>
  <c r="T465" i="1" s="1"/>
  <c r="U130" i="1"/>
  <c r="T130" i="1" s="1"/>
  <c r="U74" i="1"/>
  <c r="T74" i="1" s="1"/>
  <c r="U18" i="1"/>
  <c r="T18" i="1" s="1"/>
  <c r="U270" i="1"/>
  <c r="T270" i="1" s="1"/>
  <c r="U410" i="1"/>
  <c r="T410" i="1" s="1"/>
  <c r="U144" i="1"/>
  <c r="T144" i="1" s="1"/>
  <c r="U123" i="1"/>
  <c r="T123" i="1" s="1"/>
  <c r="U466" i="1"/>
  <c r="T466" i="1" s="1"/>
  <c r="U32" i="1"/>
  <c r="T32" i="1" s="1"/>
  <c r="U214" i="1"/>
  <c r="T214" i="1" s="1"/>
  <c r="U333" i="1"/>
  <c r="T333" i="1" s="1"/>
  <c r="U401" i="1"/>
  <c r="T401" i="1" s="1"/>
  <c r="U394" i="1"/>
  <c r="T394" i="1" s="1"/>
  <c r="U373" i="1"/>
  <c r="T373" i="1" s="1"/>
  <c r="U366" i="1"/>
  <c r="T366" i="1" s="1"/>
  <c r="U352" i="1"/>
  <c r="T352" i="1" s="1"/>
  <c r="U324" i="1"/>
  <c r="T324" i="1" s="1"/>
  <c r="U303" i="1"/>
  <c r="T303" i="1" s="1"/>
  <c r="U296" i="1"/>
  <c r="T296" i="1" s="1"/>
  <c r="U289" i="1"/>
  <c r="T289" i="1" s="1"/>
  <c r="U282" i="1"/>
  <c r="T282" i="1" s="1"/>
  <c r="U446" i="1"/>
  <c r="T446" i="1" s="1"/>
  <c r="U261" i="1"/>
  <c r="T261" i="1" s="1"/>
  <c r="U254" i="1"/>
  <c r="T254" i="1" s="1"/>
  <c r="U247" i="1"/>
  <c r="T247" i="1" s="1"/>
  <c r="U240" i="1"/>
  <c r="T240" i="1" s="1"/>
  <c r="U226" i="1"/>
  <c r="T226" i="1" s="1"/>
  <c r="U447" i="1"/>
  <c r="T447" i="1" s="1"/>
  <c r="U170" i="1"/>
  <c r="T170" i="1" s="1"/>
  <c r="U135" i="1"/>
  <c r="T135" i="1" s="1"/>
  <c r="U114" i="1"/>
  <c r="T114" i="1" s="1"/>
  <c r="U107" i="1"/>
  <c r="T107" i="1" s="1"/>
  <c r="U86" i="1"/>
  <c r="T86" i="1" s="1"/>
  <c r="U79" i="1"/>
  <c r="T79" i="1" s="1"/>
  <c r="U65" i="1"/>
  <c r="T65" i="1" s="1"/>
  <c r="U58" i="1"/>
  <c r="T58" i="1" s="1"/>
  <c r="U51" i="1"/>
  <c r="T51" i="1" s="1"/>
  <c r="U23" i="1"/>
  <c r="T23" i="1" s="1"/>
  <c r="U448" i="1"/>
  <c r="T448" i="1" s="1"/>
  <c r="U415" i="1"/>
  <c r="T415" i="1" s="1"/>
  <c r="U380" i="1"/>
  <c r="T380" i="1" s="1"/>
  <c r="U338" i="1"/>
  <c r="T338" i="1" s="1"/>
  <c r="U317" i="1"/>
  <c r="T317" i="1" s="1"/>
  <c r="U449" i="1"/>
  <c r="T449" i="1" s="1"/>
  <c r="U233" i="1"/>
  <c r="T233" i="1" s="1"/>
  <c r="U219" i="1"/>
  <c r="T219" i="1" s="1"/>
  <c r="U149" i="1"/>
  <c r="T149" i="1" s="1"/>
  <c r="U387" i="1"/>
  <c r="T387" i="1" s="1"/>
  <c r="U345" i="1"/>
  <c r="T345" i="1" s="1"/>
  <c r="U205" i="1"/>
  <c r="T205" i="1" s="1"/>
  <c r="U198" i="1"/>
  <c r="T198" i="1" s="1"/>
  <c r="U93" i="1"/>
  <c r="T93" i="1" s="1"/>
  <c r="U37" i="1"/>
  <c r="T37" i="1" s="1"/>
  <c r="U310" i="1"/>
  <c r="T310" i="1" s="1"/>
  <c r="U275" i="1"/>
  <c r="T275" i="1" s="1"/>
  <c r="U184" i="1"/>
  <c r="T184" i="1" s="1"/>
  <c r="U177" i="1"/>
  <c r="T177" i="1" s="1"/>
  <c r="U163" i="1"/>
  <c r="T163" i="1" s="1"/>
  <c r="U100" i="1"/>
  <c r="T100" i="1" s="1"/>
  <c r="U44" i="1"/>
  <c r="T44" i="1" s="1"/>
  <c r="U9" i="1"/>
  <c r="T9" i="1" s="1"/>
  <c r="U359" i="1"/>
  <c r="T359" i="1" s="1"/>
  <c r="U450" i="1"/>
  <c r="T450" i="1" s="1"/>
  <c r="U191" i="1"/>
  <c r="T191" i="1" s="1"/>
  <c r="U156" i="1"/>
  <c r="T156" i="1" s="1"/>
  <c r="U451" i="1"/>
  <c r="T451" i="1" s="1"/>
  <c r="U128" i="1"/>
  <c r="T128" i="1" s="1"/>
  <c r="U72" i="1"/>
  <c r="T72" i="1" s="1"/>
  <c r="U16" i="1"/>
  <c r="T16" i="1" s="1"/>
  <c r="U268" i="1"/>
  <c r="T268" i="1" s="1"/>
  <c r="U408" i="1"/>
  <c r="T408" i="1" s="1"/>
  <c r="U142" i="1"/>
  <c r="T142" i="1" s="1"/>
  <c r="U121" i="1"/>
  <c r="T121" i="1" s="1"/>
  <c r="U452" i="1"/>
  <c r="T452" i="1" s="1"/>
  <c r="U30" i="1"/>
  <c r="T30" i="1" s="1"/>
  <c r="U212" i="1"/>
  <c r="T212" i="1" s="1"/>
  <c r="U331" i="1"/>
  <c r="T331" i="1" s="1"/>
  <c r="V402" i="1"/>
  <c r="V395" i="1"/>
  <c r="V374" i="1"/>
  <c r="V367" i="1"/>
  <c r="V353" i="1"/>
  <c r="V325" i="1"/>
  <c r="V304" i="1"/>
  <c r="V297" i="1"/>
  <c r="V290" i="1"/>
  <c r="V283" i="1"/>
  <c r="V453" i="1"/>
  <c r="V262" i="1"/>
  <c r="V255" i="1"/>
  <c r="V248" i="1"/>
  <c r="V241" i="1"/>
  <c r="V227" i="1"/>
  <c r="V454" i="1"/>
  <c r="V171" i="1"/>
  <c r="V136" i="1"/>
  <c r="V115" i="1"/>
  <c r="V108" i="1"/>
  <c r="V87" i="1"/>
  <c r="V80" i="1"/>
  <c r="V66" i="1"/>
  <c r="V59" i="1"/>
  <c r="V52" i="1"/>
  <c r="V24" i="1"/>
  <c r="V455" i="1"/>
  <c r="V416" i="1"/>
  <c r="V381" i="1"/>
  <c r="V339" i="1"/>
  <c r="V318" i="1"/>
  <c r="V456" i="1"/>
  <c r="V234" i="1"/>
  <c r="V220" i="1"/>
  <c r="V150" i="1"/>
  <c r="V388" i="1"/>
  <c r="V346" i="1"/>
  <c r="V206" i="1"/>
  <c r="V199" i="1"/>
  <c r="V94" i="1"/>
  <c r="V38" i="1"/>
  <c r="V311" i="1"/>
  <c r="V276" i="1"/>
  <c r="V185" i="1"/>
  <c r="V178" i="1"/>
  <c r="V164" i="1"/>
  <c r="V101" i="1"/>
  <c r="V45" i="1"/>
  <c r="V10" i="1"/>
  <c r="V360" i="1"/>
  <c r="V457" i="1"/>
  <c r="V192" i="1"/>
  <c r="V157" i="1"/>
  <c r="V458" i="1"/>
  <c r="V129" i="1"/>
  <c r="V73" i="1"/>
  <c r="V17" i="1"/>
  <c r="V269" i="1"/>
  <c r="V409" i="1"/>
  <c r="V143" i="1"/>
  <c r="V122" i="1"/>
  <c r="V459" i="1"/>
  <c r="V31" i="1"/>
  <c r="V213" i="1"/>
  <c r="V332" i="1"/>
  <c r="V398" i="1"/>
  <c r="V391" i="1"/>
  <c r="V370" i="1"/>
  <c r="V363" i="1"/>
  <c r="V349" i="1"/>
  <c r="V321" i="1"/>
  <c r="V300" i="1"/>
  <c r="V293" i="1"/>
  <c r="V286" i="1"/>
  <c r="V279" i="1"/>
  <c r="V425" i="1"/>
  <c r="V258" i="1"/>
  <c r="V251" i="1"/>
  <c r="V244" i="1"/>
  <c r="V237" i="1"/>
  <c r="V223" i="1"/>
  <c r="V426" i="1"/>
  <c r="V167" i="1"/>
  <c r="V132" i="1"/>
  <c r="V111" i="1"/>
  <c r="V104" i="1"/>
  <c r="V83" i="1"/>
  <c r="V76" i="1"/>
  <c r="V62" i="1"/>
  <c r="V55" i="1"/>
  <c r="V48" i="1"/>
  <c r="V20" i="1"/>
  <c r="V427" i="1"/>
  <c r="V412" i="1"/>
  <c r="V377" i="1"/>
  <c r="V335" i="1"/>
  <c r="V314" i="1"/>
  <c r="V428" i="1"/>
  <c r="V230" i="1"/>
  <c r="V216" i="1"/>
  <c r="V146" i="1"/>
  <c r="V384" i="1"/>
  <c r="V342" i="1"/>
  <c r="V202" i="1"/>
  <c r="V195" i="1"/>
  <c r="V90" i="1"/>
  <c r="V34" i="1"/>
  <c r="V307" i="1"/>
  <c r="V272" i="1"/>
  <c r="V181" i="1"/>
  <c r="V174" i="1"/>
  <c r="V160" i="1"/>
  <c r="V97" i="1"/>
  <c r="V41" i="1"/>
  <c r="V6" i="1"/>
  <c r="V356" i="1"/>
  <c r="V429" i="1"/>
  <c r="V188" i="1"/>
  <c r="V153" i="1"/>
  <c r="V430" i="1"/>
  <c r="V125" i="1"/>
  <c r="V69" i="1"/>
  <c r="V13" i="1"/>
  <c r="V265" i="1"/>
  <c r="V405" i="1"/>
  <c r="V139" i="1"/>
  <c r="V118" i="1"/>
  <c r="V431" i="1"/>
  <c r="V27" i="1"/>
  <c r="V209" i="1"/>
  <c r="V328" i="1"/>
  <c r="V397" i="1"/>
  <c r="V390" i="1"/>
  <c r="V369" i="1"/>
  <c r="V362" i="1"/>
  <c r="V348" i="1"/>
  <c r="V320" i="1"/>
  <c r="V299" i="1"/>
  <c r="V292" i="1"/>
  <c r="V285" i="1"/>
  <c r="V278" i="1"/>
  <c r="V418" i="1"/>
  <c r="V257" i="1"/>
  <c r="V250" i="1"/>
  <c r="V243" i="1"/>
  <c r="V236" i="1"/>
  <c r="V222" i="1"/>
  <c r="V419" i="1"/>
  <c r="V166" i="1"/>
  <c r="V131" i="1"/>
  <c r="V110" i="1"/>
  <c r="V103" i="1"/>
  <c r="V82" i="1"/>
  <c r="V75" i="1"/>
  <c r="V61" i="1"/>
  <c r="V54" i="1"/>
  <c r="V47" i="1"/>
  <c r="V19" i="1"/>
  <c r="V420" i="1"/>
  <c r="V411" i="1"/>
  <c r="V376" i="1"/>
  <c r="V334" i="1"/>
  <c r="V313" i="1"/>
  <c r="V421" i="1"/>
  <c r="V229" i="1"/>
  <c r="V215" i="1"/>
  <c r="V145" i="1"/>
  <c r="V383" i="1"/>
  <c r="V341" i="1"/>
  <c r="V201" i="1"/>
  <c r="V194" i="1"/>
  <c r="V89" i="1"/>
  <c r="V33" i="1"/>
  <c r="V306" i="1"/>
  <c r="V271" i="1"/>
  <c r="V180" i="1"/>
  <c r="V173" i="1"/>
  <c r="V159" i="1"/>
  <c r="V96" i="1"/>
  <c r="V40" i="1"/>
  <c r="V5" i="1"/>
  <c r="V355" i="1"/>
  <c r="V422" i="1"/>
  <c r="V187" i="1"/>
  <c r="V152" i="1"/>
  <c r="V423" i="1"/>
  <c r="V124" i="1"/>
  <c r="V68" i="1"/>
  <c r="V12" i="1"/>
  <c r="V264" i="1"/>
  <c r="V404" i="1"/>
  <c r="V138" i="1"/>
  <c r="V117" i="1"/>
  <c r="V424" i="1"/>
  <c r="V26" i="1"/>
  <c r="V208" i="1"/>
  <c r="V327" i="1"/>
  <c r="V399" i="1"/>
  <c r="V392" i="1"/>
  <c r="V371" i="1"/>
  <c r="V364" i="1"/>
  <c r="V350" i="1"/>
  <c r="V322" i="1"/>
  <c r="V301" i="1"/>
  <c r="V294" i="1"/>
  <c r="V287" i="1"/>
  <c r="V280" i="1"/>
  <c r="V432" i="1"/>
  <c r="V259" i="1"/>
  <c r="V252" i="1"/>
  <c r="V245" i="1"/>
  <c r="V238" i="1"/>
  <c r="V224" i="1"/>
  <c r="V433" i="1"/>
  <c r="V168" i="1"/>
  <c r="V133" i="1"/>
  <c r="V112" i="1"/>
  <c r="V105" i="1"/>
  <c r="V84" i="1"/>
  <c r="V77" i="1"/>
  <c r="V63" i="1"/>
  <c r="V56" i="1"/>
  <c r="V49" i="1"/>
  <c r="V21" i="1"/>
  <c r="V434" i="1"/>
  <c r="V413" i="1"/>
  <c r="V378" i="1"/>
  <c r="V336" i="1"/>
  <c r="V315" i="1"/>
  <c r="V435" i="1"/>
  <c r="V231" i="1"/>
  <c r="V217" i="1"/>
  <c r="V147" i="1"/>
  <c r="V385" i="1"/>
  <c r="V343" i="1"/>
  <c r="V203" i="1"/>
  <c r="V196" i="1"/>
  <c r="V91" i="1"/>
  <c r="V35" i="1"/>
  <c r="V308" i="1"/>
  <c r="V273" i="1"/>
  <c r="V182" i="1"/>
  <c r="V175" i="1"/>
  <c r="V161" i="1"/>
  <c r="V98" i="1"/>
  <c r="V42" i="1"/>
  <c r="V7" i="1"/>
  <c r="V357" i="1"/>
  <c r="V436" i="1"/>
  <c r="V189" i="1"/>
  <c r="V154" i="1"/>
  <c r="V437" i="1"/>
  <c r="V126" i="1"/>
  <c r="V70" i="1"/>
  <c r="V14" i="1"/>
  <c r="V266" i="1"/>
  <c r="V406" i="1"/>
  <c r="V140" i="1"/>
  <c r="V119" i="1"/>
  <c r="V438" i="1"/>
  <c r="V28" i="1"/>
  <c r="V210" i="1"/>
  <c r="V329" i="1"/>
  <c r="V403" i="1"/>
  <c r="V396" i="1"/>
  <c r="V375" i="1"/>
  <c r="V368" i="1"/>
  <c r="V354" i="1"/>
  <c r="V326" i="1"/>
  <c r="V305" i="1"/>
  <c r="V298" i="1"/>
  <c r="V291" i="1"/>
  <c r="V284" i="1"/>
  <c r="V460" i="1"/>
  <c r="V263" i="1"/>
  <c r="V256" i="1"/>
  <c r="V249" i="1"/>
  <c r="V242" i="1"/>
  <c r="V228" i="1"/>
  <c r="V461" i="1"/>
  <c r="V172" i="1"/>
  <c r="V137" i="1"/>
  <c r="V116" i="1"/>
  <c r="V109" i="1"/>
  <c r="V88" i="1"/>
  <c r="V81" i="1"/>
  <c r="V67" i="1"/>
  <c r="V60" i="1"/>
  <c r="V53" i="1"/>
  <c r="V25" i="1"/>
  <c r="V462" i="1"/>
  <c r="V417" i="1"/>
  <c r="V382" i="1"/>
  <c r="V340" i="1"/>
  <c r="V319" i="1"/>
  <c r="V463" i="1"/>
  <c r="V235" i="1"/>
  <c r="V221" i="1"/>
  <c r="V151" i="1"/>
  <c r="V389" i="1"/>
  <c r="V347" i="1"/>
  <c r="V207" i="1"/>
  <c r="V200" i="1"/>
  <c r="V95" i="1"/>
  <c r="V39" i="1"/>
  <c r="V312" i="1"/>
  <c r="V277" i="1"/>
  <c r="V186" i="1"/>
  <c r="V179" i="1"/>
  <c r="V165" i="1"/>
  <c r="V102" i="1"/>
  <c r="V46" i="1"/>
  <c r="V11" i="1"/>
  <c r="V361" i="1"/>
  <c r="V464" i="1"/>
  <c r="V193" i="1"/>
  <c r="V158" i="1"/>
  <c r="V465" i="1"/>
  <c r="V130" i="1"/>
  <c r="V74" i="1"/>
  <c r="V18" i="1"/>
  <c r="V270" i="1"/>
  <c r="V410" i="1"/>
  <c r="V144" i="1"/>
  <c r="V123" i="1"/>
  <c r="V466" i="1"/>
  <c r="V32" i="1"/>
  <c r="V214" i="1"/>
  <c r="V333" i="1"/>
  <c r="V401" i="1"/>
  <c r="V394" i="1"/>
  <c r="V373" i="1"/>
  <c r="V366" i="1"/>
  <c r="V352" i="1"/>
  <c r="V324" i="1"/>
  <c r="V303" i="1"/>
  <c r="V296" i="1"/>
  <c r="V289" i="1"/>
  <c r="V282" i="1"/>
  <c r="V446" i="1"/>
  <c r="V261" i="1"/>
  <c r="V254" i="1"/>
  <c r="V247" i="1"/>
  <c r="V240" i="1"/>
  <c r="V226" i="1"/>
  <c r="V447" i="1"/>
  <c r="V170" i="1"/>
  <c r="V135" i="1"/>
  <c r="V114" i="1"/>
  <c r="V107" i="1"/>
  <c r="V86" i="1"/>
  <c r="V79" i="1"/>
  <c r="V65" i="1"/>
  <c r="V58" i="1"/>
  <c r="V51" i="1"/>
  <c r="V23" i="1"/>
  <c r="V448" i="1"/>
  <c r="V415" i="1"/>
  <c r="V380" i="1"/>
  <c r="V338" i="1"/>
  <c r="V317" i="1"/>
  <c r="V449" i="1"/>
  <c r="V233" i="1"/>
  <c r="V219" i="1"/>
  <c r="V149" i="1"/>
  <c r="V387" i="1"/>
  <c r="V345" i="1"/>
  <c r="V205" i="1"/>
  <c r="V198" i="1"/>
  <c r="V93" i="1"/>
  <c r="V37" i="1"/>
  <c r="V310" i="1"/>
  <c r="V275" i="1"/>
  <c r="V184" i="1"/>
  <c r="V177" i="1"/>
  <c r="V163" i="1"/>
  <c r="V100" i="1"/>
  <c r="V44" i="1"/>
  <c r="V9" i="1"/>
  <c r="V359" i="1"/>
  <c r="V450" i="1"/>
  <c r="V191" i="1"/>
  <c r="V156" i="1"/>
  <c r="V451" i="1"/>
  <c r="V128" i="1"/>
  <c r="V72" i="1"/>
  <c r="V16" i="1"/>
  <c r="V268" i="1"/>
  <c r="V408" i="1"/>
  <c r="V142" i="1"/>
  <c r="V121" i="1"/>
  <c r="V452" i="1"/>
  <c r="V30" i="1"/>
  <c r="V212" i="1"/>
  <c r="V331" i="1"/>
  <c r="X402" i="1"/>
  <c r="Z402" i="1" s="1"/>
  <c r="X395" i="1"/>
  <c r="Z395" i="1" s="1"/>
  <c r="X374" i="1"/>
  <c r="Z374" i="1" s="1"/>
  <c r="X367" i="1"/>
  <c r="X353" i="1"/>
  <c r="Z353" i="1" s="1"/>
  <c r="X325" i="1"/>
  <c r="Z325" i="1" s="1"/>
  <c r="X304" i="1"/>
  <c r="Z304" i="1" s="1"/>
  <c r="X297" i="1"/>
  <c r="Z297" i="1" s="1"/>
  <c r="X290" i="1"/>
  <c r="Z290" i="1" s="1"/>
  <c r="X283" i="1"/>
  <c r="Z283" i="1" s="1"/>
  <c r="X453" i="1"/>
  <c r="Z453" i="1" s="1"/>
  <c r="X262" i="1"/>
  <c r="X255" i="1"/>
  <c r="Z255" i="1" s="1"/>
  <c r="X248" i="1"/>
  <c r="Z248" i="1" s="1"/>
  <c r="X241" i="1"/>
  <c r="Z241" i="1" s="1"/>
  <c r="X227" i="1"/>
  <c r="Z227" i="1" s="1"/>
  <c r="X454" i="1"/>
  <c r="Z454" i="1" s="1"/>
  <c r="X171" i="1"/>
  <c r="Z171" i="1" s="1"/>
  <c r="X136" i="1"/>
  <c r="Y136" i="1" s="1"/>
  <c r="X115" i="1"/>
  <c r="Z115" i="1" s="1"/>
  <c r="X108" i="1"/>
  <c r="Y108" i="1" s="1"/>
  <c r="X87" i="1"/>
  <c r="Y87" i="1" s="1"/>
  <c r="X80" i="1"/>
  <c r="X66" i="1"/>
  <c r="Y66" i="1" s="1"/>
  <c r="X59" i="1"/>
  <c r="Z59" i="1" s="1"/>
  <c r="X52" i="1"/>
  <c r="Y52" i="1" s="1"/>
  <c r="X24" i="1"/>
  <c r="X455" i="1"/>
  <c r="Z455" i="1" s="1"/>
  <c r="X416" i="1"/>
  <c r="Y416" i="1" s="1"/>
  <c r="X381" i="1"/>
  <c r="X339" i="1"/>
  <c r="X318" i="1"/>
  <c r="Y318" i="1" s="1"/>
  <c r="X456" i="1"/>
  <c r="Z456" i="1" s="1"/>
  <c r="X234" i="1"/>
  <c r="Z234" i="1" s="1"/>
  <c r="X220" i="1"/>
  <c r="X150" i="1"/>
  <c r="Y150" i="1" s="1"/>
  <c r="X388" i="1"/>
  <c r="Y388" i="1" s="1"/>
  <c r="X346" i="1"/>
  <c r="Y346" i="1" s="1"/>
  <c r="X206" i="1"/>
  <c r="X199" i="1"/>
  <c r="Z199" i="1" s="1"/>
  <c r="X94" i="1"/>
  <c r="Z94" i="1" s="1"/>
  <c r="X38" i="1"/>
  <c r="Y38" i="1" s="1"/>
  <c r="X311" i="1"/>
  <c r="X276" i="1"/>
  <c r="Y276" i="1" s="1"/>
  <c r="X185" i="1"/>
  <c r="Y185" i="1" s="1"/>
  <c r="X178" i="1"/>
  <c r="Z178" i="1" s="1"/>
  <c r="X164" i="1"/>
  <c r="X101" i="1"/>
  <c r="Z101" i="1" s="1"/>
  <c r="X45" i="1"/>
  <c r="Z45" i="1" s="1"/>
  <c r="X10" i="1"/>
  <c r="Z10" i="1" s="1"/>
  <c r="X360" i="1"/>
  <c r="X457" i="1"/>
  <c r="Y457" i="1" s="1"/>
  <c r="X192" i="1"/>
  <c r="Y192" i="1" s="1"/>
  <c r="X157" i="1"/>
  <c r="Y157" i="1" s="1"/>
  <c r="X458" i="1"/>
  <c r="X129" i="1"/>
  <c r="Y129" i="1" s="1"/>
  <c r="X73" i="1"/>
  <c r="Z73" i="1" s="1"/>
  <c r="X17" i="1"/>
  <c r="Y17" i="1" s="1"/>
  <c r="X269" i="1"/>
  <c r="X409" i="1"/>
  <c r="Z409" i="1" s="1"/>
  <c r="X143" i="1"/>
  <c r="Y143" i="1" s="1"/>
  <c r="X122" i="1"/>
  <c r="X459" i="1"/>
  <c r="X31" i="1"/>
  <c r="Y31" i="1" s="1"/>
  <c r="X213" i="1"/>
  <c r="Z213" i="1" s="1"/>
  <c r="X332" i="1"/>
  <c r="Z332" i="1" s="1"/>
  <c r="X398" i="1"/>
  <c r="X391" i="1"/>
  <c r="Y391" i="1" s="1"/>
  <c r="X370" i="1"/>
  <c r="Y370" i="1" s="1"/>
  <c r="X363" i="1"/>
  <c r="Y363" i="1" s="1"/>
  <c r="X349" i="1"/>
  <c r="X321" i="1"/>
  <c r="Z321" i="1" s="1"/>
  <c r="X300" i="1"/>
  <c r="Z300" i="1" s="1"/>
  <c r="X293" i="1"/>
  <c r="Y293" i="1" s="1"/>
  <c r="X286" i="1"/>
  <c r="X279" i="1"/>
  <c r="Y279" i="1" s="1"/>
  <c r="X425" i="1"/>
  <c r="Y425" i="1" s="1"/>
  <c r="X258" i="1"/>
  <c r="Z258" i="1" s="1"/>
  <c r="X251" i="1"/>
  <c r="X244" i="1"/>
  <c r="Z244" i="1" s="1"/>
  <c r="X237" i="1"/>
  <c r="Z237" i="1" s="1"/>
  <c r="X223" i="1"/>
  <c r="Z223" i="1" s="1"/>
  <c r="X426" i="1"/>
  <c r="X167" i="1"/>
  <c r="Y167" i="1" s="1"/>
  <c r="X132" i="1"/>
  <c r="Y132" i="1" s="1"/>
  <c r="X111" i="1"/>
  <c r="Y111" i="1" s="1"/>
  <c r="X104" i="1"/>
  <c r="X83" i="1"/>
  <c r="Y83" i="1" s="1"/>
  <c r="X76" i="1"/>
  <c r="Z76" i="1" s="1"/>
  <c r="X62" i="1"/>
  <c r="Y62" i="1" s="1"/>
  <c r="X55" i="1"/>
  <c r="X48" i="1"/>
  <c r="Z48" i="1" s="1"/>
  <c r="X20" i="1"/>
  <c r="Y20" i="1" s="1"/>
  <c r="X427" i="1"/>
  <c r="X412" i="1"/>
  <c r="X377" i="1"/>
  <c r="Z377" i="1" s="1"/>
  <c r="X335" i="1"/>
  <c r="Z335" i="1" s="1"/>
  <c r="X314" i="1"/>
  <c r="Z314" i="1" s="1"/>
  <c r="X428" i="1"/>
  <c r="X230" i="1"/>
  <c r="Y230" i="1" s="1"/>
  <c r="X216" i="1"/>
  <c r="Y216" i="1" s="1"/>
  <c r="X146" i="1"/>
  <c r="Y146" i="1" s="1"/>
  <c r="X384" i="1"/>
  <c r="X342" i="1"/>
  <c r="Z342" i="1" s="1"/>
  <c r="X202" i="1"/>
  <c r="Z202" i="1" s="1"/>
  <c r="X195" i="1"/>
  <c r="Y195" i="1" s="1"/>
  <c r="X90" i="1"/>
  <c r="X34" i="1"/>
  <c r="Y34" i="1" s="1"/>
  <c r="X307" i="1"/>
  <c r="Y307" i="1" s="1"/>
  <c r="X272" i="1"/>
  <c r="Z272" i="1" s="1"/>
  <c r="X181" i="1"/>
  <c r="X174" i="1"/>
  <c r="Z174" i="1" s="1"/>
  <c r="X160" i="1"/>
  <c r="Y160" i="1" s="1"/>
  <c r="X97" i="1"/>
  <c r="Y97" i="1" s="1"/>
  <c r="X41" i="1"/>
  <c r="X6" i="1"/>
  <c r="Y6" i="1" s="1"/>
  <c r="X356" i="1"/>
  <c r="Y356" i="1" s="1"/>
  <c r="X429" i="1"/>
  <c r="Y429" i="1" s="1"/>
  <c r="X188" i="1"/>
  <c r="X153" i="1"/>
  <c r="Y153" i="1" s="1"/>
  <c r="X430" i="1"/>
  <c r="Z430" i="1" s="1"/>
  <c r="X125" i="1"/>
  <c r="Y125" i="1" s="1"/>
  <c r="X69" i="1"/>
  <c r="X13" i="1"/>
  <c r="Z13" i="1" s="1"/>
  <c r="X265" i="1"/>
  <c r="Y265" i="1" s="1"/>
  <c r="X405" i="1"/>
  <c r="X139" i="1"/>
  <c r="X118" i="1"/>
  <c r="Z118" i="1" s="1"/>
  <c r="X431" i="1"/>
  <c r="Z431" i="1" s="1"/>
  <c r="X27" i="1"/>
  <c r="Z27" i="1" s="1"/>
  <c r="X209" i="1"/>
  <c r="X328" i="1"/>
  <c r="Y328" i="1" s="1"/>
  <c r="X397" i="1"/>
  <c r="Y397" i="1" s="1"/>
  <c r="X390" i="1"/>
  <c r="Y390" i="1" s="1"/>
  <c r="X369" i="1"/>
  <c r="X362" i="1"/>
  <c r="Z362" i="1" s="1"/>
  <c r="X348" i="1"/>
  <c r="Z348" i="1" s="1"/>
  <c r="X320" i="1"/>
  <c r="Y320" i="1" s="1"/>
  <c r="X299" i="1"/>
  <c r="X292" i="1"/>
  <c r="Y292" i="1" s="1"/>
  <c r="X285" i="1"/>
  <c r="Y285" i="1" s="1"/>
  <c r="X278" i="1"/>
  <c r="Z278" i="1" s="1"/>
  <c r="X418" i="1"/>
  <c r="X257" i="1"/>
  <c r="Z257" i="1" s="1"/>
  <c r="X250" i="1"/>
  <c r="Y250" i="1" s="1"/>
  <c r="X243" i="1"/>
  <c r="Y243" i="1" s="1"/>
  <c r="X236" i="1"/>
  <c r="X222" i="1"/>
  <c r="Y222" i="1" s="1"/>
  <c r="X419" i="1"/>
  <c r="Y419" i="1" s="1"/>
  <c r="X166" i="1"/>
  <c r="Y166" i="1" s="1"/>
  <c r="X131" i="1"/>
  <c r="X110" i="1"/>
  <c r="Y110" i="1" s="1"/>
  <c r="X103" i="1"/>
  <c r="Z103" i="1" s="1"/>
  <c r="X82" i="1"/>
  <c r="Y82" i="1" s="1"/>
  <c r="X75" i="1"/>
  <c r="X61" i="1"/>
  <c r="Z61" i="1" s="1"/>
  <c r="X54" i="1"/>
  <c r="Y54" i="1" s="1"/>
  <c r="X47" i="1"/>
  <c r="X19" i="1"/>
  <c r="X420" i="1"/>
  <c r="Z420" i="1" s="1"/>
  <c r="X411" i="1"/>
  <c r="Z411" i="1" s="1"/>
  <c r="X376" i="1"/>
  <c r="Z376" i="1" s="1"/>
  <c r="X334" i="1"/>
  <c r="X313" i="1"/>
  <c r="Y313" i="1" s="1"/>
  <c r="X421" i="1"/>
  <c r="Y421" i="1" s="1"/>
  <c r="X229" i="1"/>
  <c r="Y229" i="1" s="1"/>
  <c r="X215" i="1"/>
  <c r="X145" i="1"/>
  <c r="Z145" i="1" s="1"/>
  <c r="X383" i="1"/>
  <c r="Z383" i="1" s="1"/>
  <c r="X341" i="1"/>
  <c r="Y341" i="1" s="1"/>
  <c r="X201" i="1"/>
  <c r="X194" i="1"/>
  <c r="Y194" i="1" s="1"/>
  <c r="X89" i="1"/>
  <c r="Y89" i="1" s="1"/>
  <c r="X33" i="1"/>
  <c r="Z33" i="1" s="1"/>
  <c r="X306" i="1"/>
  <c r="X271" i="1"/>
  <c r="Z271" i="1" s="1"/>
  <c r="X180" i="1"/>
  <c r="Y180" i="1" s="1"/>
  <c r="X173" i="1"/>
  <c r="Y173" i="1" s="1"/>
  <c r="X159" i="1"/>
  <c r="X96" i="1"/>
  <c r="Y96" i="1" s="1"/>
  <c r="X40" i="1"/>
  <c r="Y40" i="1" s="1"/>
  <c r="X5" i="1"/>
  <c r="Y5" i="1" s="1"/>
  <c r="X355" i="1"/>
  <c r="X422" i="1"/>
  <c r="Y422" i="1" s="1"/>
  <c r="X187" i="1"/>
  <c r="Z187" i="1" s="1"/>
  <c r="X152" i="1"/>
  <c r="Y152" i="1" s="1"/>
  <c r="X423" i="1"/>
  <c r="X124" i="1"/>
  <c r="Z124" i="1" s="1"/>
  <c r="X68" i="1"/>
  <c r="Y68" i="1" s="1"/>
  <c r="X12" i="1"/>
  <c r="X264" i="1"/>
  <c r="X404" i="1"/>
  <c r="Z404" i="1" s="1"/>
  <c r="X138" i="1"/>
  <c r="Z138" i="1" s="1"/>
  <c r="X117" i="1"/>
  <c r="Z117" i="1" s="1"/>
  <c r="X424" i="1"/>
  <c r="X26" i="1"/>
  <c r="Y26" i="1" s="1"/>
  <c r="X208" i="1"/>
  <c r="Y208" i="1" s="1"/>
  <c r="X327" i="1"/>
  <c r="Y327" i="1" s="1"/>
  <c r="X399" i="1"/>
  <c r="X392" i="1"/>
  <c r="Z392" i="1" s="1"/>
  <c r="X371" i="1"/>
  <c r="Z371" i="1" s="1"/>
  <c r="X364" i="1"/>
  <c r="Y364" i="1" s="1"/>
  <c r="X350" i="1"/>
  <c r="X322" i="1"/>
  <c r="Y322" i="1" s="1"/>
  <c r="X301" i="1"/>
  <c r="Y301" i="1" s="1"/>
  <c r="X294" i="1"/>
  <c r="Z294" i="1" s="1"/>
  <c r="X287" i="1"/>
  <c r="X280" i="1"/>
  <c r="Z280" i="1" s="1"/>
  <c r="X432" i="1"/>
  <c r="Z432" i="1" s="1"/>
  <c r="X259" i="1"/>
  <c r="Y259" i="1" s="1"/>
  <c r="X252" i="1"/>
  <c r="X245" i="1"/>
  <c r="Y245" i="1" s="1"/>
  <c r="X238" i="1"/>
  <c r="Y238" i="1" s="1"/>
  <c r="X224" i="1"/>
  <c r="Y224" i="1" s="1"/>
  <c r="X433" i="1"/>
  <c r="X168" i="1"/>
  <c r="Y168" i="1" s="1"/>
  <c r="X133" i="1"/>
  <c r="Z133" i="1" s="1"/>
  <c r="X112" i="1"/>
  <c r="Y112" i="1" s="1"/>
  <c r="X105" i="1"/>
  <c r="X84" i="1"/>
  <c r="Z84" i="1" s="1"/>
  <c r="X77" i="1"/>
  <c r="Y77" i="1" s="1"/>
  <c r="X63" i="1"/>
  <c r="X56" i="1"/>
  <c r="X49" i="1"/>
  <c r="Y49" i="1" s="1"/>
  <c r="X21" i="1"/>
  <c r="Z21" i="1" s="1"/>
  <c r="X434" i="1"/>
  <c r="Z434" i="1" s="1"/>
  <c r="X413" i="1"/>
  <c r="X378" i="1"/>
  <c r="Y378" i="1" s="1"/>
  <c r="X336" i="1"/>
  <c r="Y336" i="1" s="1"/>
  <c r="X315" i="1"/>
  <c r="Y315" i="1" s="1"/>
  <c r="X435" i="1"/>
  <c r="X231" i="1"/>
  <c r="Z231" i="1" s="1"/>
  <c r="X217" i="1"/>
  <c r="Z217" i="1" s="1"/>
  <c r="X147" i="1"/>
  <c r="Y147" i="1" s="1"/>
  <c r="X385" i="1"/>
  <c r="X343" i="1"/>
  <c r="Y343" i="1" s="1"/>
  <c r="X203" i="1"/>
  <c r="Y203" i="1" s="1"/>
  <c r="X196" i="1"/>
  <c r="Z196" i="1" s="1"/>
  <c r="X91" i="1"/>
  <c r="X35" i="1"/>
  <c r="Z35" i="1" s="1"/>
  <c r="X308" i="1"/>
  <c r="Y308" i="1" s="1"/>
  <c r="X273" i="1"/>
  <c r="Z273" i="1" s="1"/>
  <c r="X182" i="1"/>
  <c r="X175" i="1"/>
  <c r="Y175" i="1" s="1"/>
  <c r="X161" i="1"/>
  <c r="Y161" i="1" s="1"/>
  <c r="X98" i="1"/>
  <c r="Y98" i="1" s="1"/>
  <c r="X42" i="1"/>
  <c r="X7" i="1"/>
  <c r="Y7" i="1" s="1"/>
  <c r="X357" i="1"/>
  <c r="Z357" i="1" s="1"/>
  <c r="X436" i="1"/>
  <c r="Y436" i="1" s="1"/>
  <c r="X189" i="1"/>
  <c r="X154" i="1"/>
  <c r="Z154" i="1" s="1"/>
  <c r="X437" i="1"/>
  <c r="Y437" i="1" s="1"/>
  <c r="X126" i="1"/>
  <c r="X70" i="1"/>
  <c r="X14" i="1"/>
  <c r="Z14" i="1" s="1"/>
  <c r="X266" i="1"/>
  <c r="Z266" i="1" s="1"/>
  <c r="X406" i="1"/>
  <c r="Z406" i="1" s="1"/>
  <c r="X140" i="1"/>
  <c r="X119" i="1"/>
  <c r="Y119" i="1" s="1"/>
  <c r="X438" i="1"/>
  <c r="Y438" i="1" s="1"/>
  <c r="X28" i="1"/>
  <c r="Y28" i="1" s="1"/>
  <c r="X210" i="1"/>
  <c r="X329" i="1"/>
  <c r="Z329" i="1" s="1"/>
  <c r="X403" i="1"/>
  <c r="Z403" i="1" s="1"/>
  <c r="X396" i="1"/>
  <c r="Y396" i="1" s="1"/>
  <c r="X375" i="1"/>
  <c r="X368" i="1"/>
  <c r="Y368" i="1" s="1"/>
  <c r="X354" i="1"/>
  <c r="Y354" i="1" s="1"/>
  <c r="X326" i="1"/>
  <c r="Z326" i="1" s="1"/>
  <c r="X305" i="1"/>
  <c r="X298" i="1"/>
  <c r="Z298" i="1" s="1"/>
  <c r="X291" i="1"/>
  <c r="Y291" i="1" s="1"/>
  <c r="X284" i="1"/>
  <c r="Z284" i="1" s="1"/>
  <c r="X460" i="1"/>
  <c r="X263" i="1"/>
  <c r="Y263" i="1" s="1"/>
  <c r="X256" i="1"/>
  <c r="Y256" i="1" s="1"/>
  <c r="X249" i="1"/>
  <c r="Y249" i="1" s="1"/>
  <c r="X242" i="1"/>
  <c r="X228" i="1"/>
  <c r="Y228" i="1" s="1"/>
  <c r="X461" i="1"/>
  <c r="Z461" i="1" s="1"/>
  <c r="X172" i="1"/>
  <c r="Y172" i="1" s="1"/>
  <c r="X137" i="1"/>
  <c r="X116" i="1"/>
  <c r="Z116" i="1" s="1"/>
  <c r="X109" i="1"/>
  <c r="Y109" i="1" s="1"/>
  <c r="X88" i="1"/>
  <c r="X81" i="1"/>
  <c r="X67" i="1"/>
  <c r="Y67" i="1" s="1"/>
  <c r="X60" i="1"/>
  <c r="Z60" i="1" s="1"/>
  <c r="X53" i="1"/>
  <c r="Z53" i="1" s="1"/>
  <c r="X25" i="1"/>
  <c r="X462" i="1"/>
  <c r="Y462" i="1" s="1"/>
  <c r="X417" i="1"/>
  <c r="Y417" i="1" s="1"/>
  <c r="X382" i="1"/>
  <c r="Y382" i="1" s="1"/>
  <c r="X340" i="1"/>
  <c r="X319" i="1"/>
  <c r="Z319" i="1" s="1"/>
  <c r="X463" i="1"/>
  <c r="Z463" i="1" s="1"/>
  <c r="X235" i="1"/>
  <c r="Y235" i="1" s="1"/>
  <c r="X221" i="1"/>
  <c r="X151" i="1"/>
  <c r="Y151" i="1" s="1"/>
  <c r="X389" i="1"/>
  <c r="Y389" i="1" s="1"/>
  <c r="X347" i="1"/>
  <c r="Z347" i="1" s="1"/>
  <c r="X207" i="1"/>
  <c r="X200" i="1"/>
  <c r="Z200" i="1" s="1"/>
  <c r="X95" i="1"/>
  <c r="Y95" i="1" s="1"/>
  <c r="X39" i="1"/>
  <c r="Z39" i="1" s="1"/>
  <c r="X312" i="1"/>
  <c r="X277" i="1"/>
  <c r="Y277" i="1" s="1"/>
  <c r="X186" i="1"/>
  <c r="Y186" i="1" s="1"/>
  <c r="X179" i="1"/>
  <c r="Y179" i="1" s="1"/>
  <c r="X165" i="1"/>
  <c r="X102" i="1"/>
  <c r="Y102" i="1" s="1"/>
  <c r="X46" i="1"/>
  <c r="Z46" i="1" s="1"/>
  <c r="X11" i="1"/>
  <c r="Y11" i="1" s="1"/>
  <c r="X361" i="1"/>
  <c r="X464" i="1"/>
  <c r="Z464" i="1" s="1"/>
  <c r="X193" i="1"/>
  <c r="Y193" i="1" s="1"/>
  <c r="X158" i="1"/>
  <c r="X465" i="1"/>
  <c r="X130" i="1"/>
  <c r="Y130" i="1" s="1"/>
  <c r="X74" i="1"/>
  <c r="Z74" i="1" s="1"/>
  <c r="X18" i="1"/>
  <c r="Z18" i="1" s="1"/>
  <c r="X270" i="1"/>
  <c r="X410" i="1"/>
  <c r="Y410" i="1" s="1"/>
  <c r="X144" i="1"/>
  <c r="X123" i="1"/>
  <c r="Y123" i="1" s="1"/>
  <c r="X466" i="1"/>
  <c r="X32" i="1"/>
  <c r="Z32" i="1" s="1"/>
  <c r="X214" i="1"/>
  <c r="Z214" i="1" s="1"/>
  <c r="X333" i="1"/>
  <c r="Y333" i="1" s="1"/>
  <c r="X401" i="1"/>
  <c r="X394" i="1"/>
  <c r="Y394" i="1" s="1"/>
  <c r="X373" i="1"/>
  <c r="Y373" i="1" s="1"/>
  <c r="X366" i="1"/>
  <c r="Z366" i="1" s="1"/>
  <c r="X352" i="1"/>
  <c r="X324" i="1"/>
  <c r="Y324" i="1" s="1"/>
  <c r="X303" i="1"/>
  <c r="Z303" i="1" s="1"/>
  <c r="X296" i="1"/>
  <c r="Y296" i="1" s="1"/>
  <c r="X289" i="1"/>
  <c r="X282" i="1"/>
  <c r="Y282" i="1" s="1"/>
  <c r="X446" i="1"/>
  <c r="Y446" i="1" s="1"/>
  <c r="X261" i="1"/>
  <c r="Y261" i="1" s="1"/>
  <c r="X254" i="1"/>
  <c r="X247" i="1"/>
  <c r="Y247" i="1" s="1"/>
  <c r="X240" i="1"/>
  <c r="Z240" i="1" s="1"/>
  <c r="X226" i="1"/>
  <c r="Y226" i="1" s="1"/>
  <c r="X447" i="1"/>
  <c r="X170" i="1"/>
  <c r="Y170" i="1" s="1"/>
  <c r="X135" i="1"/>
  <c r="Y135" i="1" s="1"/>
  <c r="X114" i="1"/>
  <c r="X107" i="1"/>
  <c r="X86" i="1"/>
  <c r="Z86" i="1" s="1"/>
  <c r="X79" i="1"/>
  <c r="Z79" i="1" s="1"/>
  <c r="X65" i="1"/>
  <c r="Y65" i="1" s="1"/>
  <c r="X58" i="1"/>
  <c r="X51" i="1"/>
  <c r="Z51" i="1" s="1"/>
  <c r="X23" i="1"/>
  <c r="Y23" i="1" s="1"/>
  <c r="X448" i="1"/>
  <c r="Y448" i="1" s="1"/>
  <c r="X415" i="1"/>
  <c r="X380" i="1"/>
  <c r="Z380" i="1" s="1"/>
  <c r="X338" i="1"/>
  <c r="Z338" i="1" s="1"/>
  <c r="X317" i="1"/>
  <c r="Y317" i="1" s="1"/>
  <c r="X449" i="1"/>
  <c r="Y449" i="1" s="1"/>
  <c r="X233" i="1"/>
  <c r="Y233" i="1" s="1"/>
  <c r="X219" i="1"/>
  <c r="Y219" i="1" s="1"/>
  <c r="X149" i="1"/>
  <c r="Z149" i="1" s="1"/>
  <c r="X387" i="1"/>
  <c r="Y387" i="1" s="1"/>
  <c r="X345" i="1"/>
  <c r="Y345" i="1" s="1"/>
  <c r="X205" i="1"/>
  <c r="Y205" i="1" s="1"/>
  <c r="X198" i="1"/>
  <c r="Y198" i="1" s="1"/>
  <c r="X93" i="1"/>
  <c r="Y93" i="1" s="1"/>
  <c r="X37" i="1"/>
  <c r="Y37" i="1" s="1"/>
  <c r="X310" i="1"/>
  <c r="Z310" i="1" s="1"/>
  <c r="X275" i="1"/>
  <c r="Y275" i="1" s="1"/>
  <c r="X184" i="1"/>
  <c r="Y184" i="1" s="1"/>
  <c r="X177" i="1"/>
  <c r="Y177" i="1" s="1"/>
  <c r="X163" i="1"/>
  <c r="Y163" i="1" s="1"/>
  <c r="X100" i="1"/>
  <c r="Y100" i="1" s="1"/>
  <c r="X44" i="1"/>
  <c r="Y44" i="1" s="1"/>
  <c r="X9" i="1"/>
  <c r="Z9" i="1" s="1"/>
  <c r="X359" i="1"/>
  <c r="Z359" i="1" s="1"/>
  <c r="X450" i="1"/>
  <c r="Z450" i="1" s="1"/>
  <c r="X191" i="1"/>
  <c r="Y191" i="1" s="1"/>
  <c r="X156" i="1"/>
  <c r="Y156" i="1" s="1"/>
  <c r="X451" i="1"/>
  <c r="Y451" i="1" s="1"/>
  <c r="X128" i="1"/>
  <c r="Y128" i="1" s="1"/>
  <c r="X72" i="1"/>
  <c r="Y72" i="1" s="1"/>
  <c r="X16" i="1"/>
  <c r="Z16" i="1" s="1"/>
  <c r="X268" i="1"/>
  <c r="Y268" i="1" s="1"/>
  <c r="X408" i="1"/>
  <c r="Y408" i="1" s="1"/>
  <c r="X142" i="1"/>
  <c r="Y142" i="1" s="1"/>
  <c r="X121" i="1"/>
  <c r="Y121" i="1" s="1"/>
  <c r="X452" i="1"/>
  <c r="Z452" i="1" s="1"/>
  <c r="X30" i="1"/>
  <c r="Y30" i="1" s="1"/>
  <c r="X212" i="1"/>
  <c r="Y212" i="1" s="1"/>
  <c r="X331" i="1"/>
  <c r="Y331" i="1" s="1"/>
  <c r="Y402" i="1"/>
  <c r="Y367" i="1"/>
  <c r="Y353" i="1"/>
  <c r="Y297" i="1"/>
  <c r="Y290" i="1"/>
  <c r="Y262" i="1"/>
  <c r="Y255" i="1"/>
  <c r="Y227" i="1"/>
  <c r="Y454" i="1"/>
  <c r="Y115" i="1"/>
  <c r="Y455" i="1"/>
  <c r="Y199" i="1"/>
  <c r="Y101" i="1"/>
  <c r="Y409" i="1"/>
  <c r="Y321" i="1"/>
  <c r="Y244" i="1"/>
  <c r="Y48" i="1"/>
  <c r="Y377" i="1"/>
  <c r="Y103" i="1"/>
  <c r="Z367" i="1"/>
  <c r="Z262" i="1"/>
  <c r="Z318" i="1"/>
  <c r="Z150" i="1"/>
  <c r="Z457" i="1"/>
  <c r="Z391" i="1"/>
  <c r="Z83" i="1"/>
  <c r="Z34" i="1"/>
  <c r="Z222" i="1"/>
  <c r="Z96" i="1"/>
  <c r="Z37" i="1"/>
  <c r="Z157" i="1" l="1"/>
  <c r="Y266" i="1"/>
  <c r="Y241" i="1"/>
  <c r="Y171" i="1"/>
  <c r="Y248" i="1"/>
  <c r="Y283" i="1"/>
  <c r="Y325" i="1"/>
  <c r="Y453" i="1"/>
  <c r="Y304" i="1"/>
  <c r="Y374" i="1"/>
  <c r="Y395" i="1"/>
  <c r="Y217" i="1"/>
  <c r="Y431" i="1"/>
  <c r="Z389" i="1"/>
  <c r="Z292" i="1"/>
  <c r="Z132" i="1"/>
  <c r="Z388" i="1"/>
  <c r="Y280" i="1"/>
  <c r="Y118" i="1"/>
  <c r="Y237" i="1"/>
  <c r="Z219" i="1"/>
  <c r="Z245" i="1"/>
  <c r="Z6" i="1"/>
  <c r="Y74" i="1"/>
  <c r="Y271" i="1"/>
  <c r="Y13" i="1"/>
  <c r="Z363" i="1"/>
  <c r="Y10" i="1"/>
  <c r="Y234" i="1"/>
  <c r="Y310" i="1"/>
  <c r="Y223" i="1"/>
  <c r="Y332" i="1"/>
  <c r="Y45" i="1"/>
  <c r="Z256" i="1"/>
  <c r="Y200" i="1"/>
  <c r="Z322" i="1"/>
  <c r="Z194" i="1"/>
  <c r="Y392" i="1"/>
  <c r="Z26" i="1"/>
  <c r="Z313" i="1"/>
  <c r="Z328" i="1"/>
  <c r="Z230" i="1"/>
  <c r="Z167" i="1"/>
  <c r="Z31" i="1"/>
  <c r="Z276" i="1"/>
  <c r="Z66" i="1"/>
  <c r="Y145" i="1"/>
  <c r="Y257" i="1"/>
  <c r="Y404" i="1"/>
  <c r="Y420" i="1"/>
  <c r="Y362" i="1"/>
  <c r="Y174" i="1"/>
  <c r="Z279" i="1"/>
  <c r="Z129" i="1"/>
  <c r="Y231" i="1"/>
  <c r="Y124" i="1"/>
  <c r="Y61" i="1"/>
  <c r="Y342" i="1"/>
  <c r="Y452" i="1"/>
  <c r="Y9" i="1"/>
  <c r="Z296" i="1"/>
  <c r="Z67" i="1"/>
  <c r="Y380" i="1"/>
  <c r="Z123" i="1"/>
  <c r="Z368" i="1"/>
  <c r="Z346" i="1"/>
  <c r="Z198" i="1"/>
  <c r="Z315" i="1"/>
  <c r="Z327" i="1"/>
  <c r="Y314" i="1"/>
  <c r="Z224" i="1"/>
  <c r="Y278" i="1"/>
  <c r="Z243" i="1"/>
  <c r="Y117" i="1"/>
  <c r="Y33" i="1"/>
  <c r="Z229" i="1"/>
  <c r="Y53" i="1"/>
  <c r="Y272" i="1"/>
  <c r="Z451" i="1"/>
  <c r="Z135" i="1"/>
  <c r="Z382" i="1"/>
  <c r="Z28" i="1"/>
  <c r="Z5" i="1"/>
  <c r="Z97" i="1"/>
  <c r="Z425" i="1"/>
  <c r="Y18" i="1"/>
  <c r="Y406" i="1"/>
  <c r="Y432" i="1"/>
  <c r="Y202" i="1"/>
  <c r="Y178" i="1"/>
  <c r="Z448" i="1"/>
  <c r="Z179" i="1"/>
  <c r="Z249" i="1"/>
  <c r="Z98" i="1"/>
  <c r="Z173" i="1"/>
  <c r="Z429" i="1"/>
  <c r="Z146" i="1"/>
  <c r="Z111" i="1"/>
  <c r="Z87" i="1"/>
  <c r="Y116" i="1"/>
  <c r="Y273" i="1"/>
  <c r="Y434" i="1"/>
  <c r="Y294" i="1"/>
  <c r="Y258" i="1"/>
  <c r="Z259" i="1"/>
  <c r="Z166" i="1"/>
  <c r="Z390" i="1"/>
  <c r="Y39" i="1"/>
  <c r="Y284" i="1"/>
  <c r="Y196" i="1"/>
  <c r="Y376" i="1"/>
  <c r="Y27" i="1"/>
  <c r="Z324" i="1"/>
  <c r="Z130" i="1"/>
  <c r="Z151" i="1"/>
  <c r="Y51" i="1"/>
  <c r="Y319" i="1"/>
  <c r="Z156" i="1"/>
  <c r="Z378" i="1"/>
  <c r="Y35" i="1"/>
  <c r="Z331" i="1"/>
  <c r="Z170" i="1"/>
  <c r="Z394" i="1"/>
  <c r="Z119" i="1"/>
  <c r="Z49" i="1"/>
  <c r="Y86" i="1"/>
  <c r="Y32" i="1"/>
  <c r="Y464" i="1"/>
  <c r="Y298" i="1"/>
  <c r="Y14" i="1"/>
  <c r="Z175" i="1"/>
  <c r="Z121" i="1"/>
  <c r="Z177" i="1"/>
  <c r="Z233" i="1"/>
  <c r="Z282" i="1"/>
  <c r="Z277" i="1"/>
  <c r="Z462" i="1"/>
  <c r="Z263" i="1"/>
  <c r="Z343" i="1"/>
  <c r="Y329" i="1"/>
  <c r="Y154" i="1"/>
  <c r="Y84" i="1"/>
  <c r="Z446" i="1"/>
  <c r="Z373" i="1"/>
  <c r="Z109" i="1"/>
  <c r="Z291" i="1"/>
  <c r="Z438" i="1"/>
  <c r="Z308" i="1"/>
  <c r="Z336" i="1"/>
  <c r="Z208" i="1"/>
  <c r="Z180" i="1"/>
  <c r="Z421" i="1"/>
  <c r="Z250" i="1"/>
  <c r="Z397" i="1"/>
  <c r="Z160" i="1"/>
  <c r="Z216" i="1"/>
  <c r="Z143" i="1"/>
  <c r="Z108" i="1"/>
  <c r="Y359" i="1"/>
  <c r="Y79" i="1"/>
  <c r="Y60" i="1"/>
  <c r="Y133" i="1"/>
  <c r="Y138" i="1"/>
  <c r="Y383" i="1"/>
  <c r="Y76" i="1"/>
  <c r="Y213" i="1"/>
  <c r="Y456" i="1"/>
  <c r="Z268" i="1"/>
  <c r="Z163" i="1"/>
  <c r="Z205" i="1"/>
  <c r="Z23" i="1"/>
  <c r="Z193" i="1"/>
  <c r="Z95" i="1"/>
  <c r="Z417" i="1"/>
  <c r="Z354" i="1"/>
  <c r="Z161" i="1"/>
  <c r="Z203" i="1"/>
  <c r="Z238" i="1"/>
  <c r="Z301" i="1"/>
  <c r="Z40" i="1"/>
  <c r="Z89" i="1"/>
  <c r="Z419" i="1"/>
  <c r="Z285" i="1"/>
  <c r="Z356" i="1"/>
  <c r="Z307" i="1"/>
  <c r="Z370" i="1"/>
  <c r="Z416" i="1"/>
  <c r="Y338" i="1"/>
  <c r="Y303" i="1"/>
  <c r="Y46" i="1"/>
  <c r="Y463" i="1"/>
  <c r="Y357" i="1"/>
  <c r="Y21" i="1"/>
  <c r="Y371" i="1"/>
  <c r="Y430" i="1"/>
  <c r="Y335" i="1"/>
  <c r="Y300" i="1"/>
  <c r="Y94" i="1"/>
  <c r="Z144" i="1"/>
  <c r="Y144" i="1"/>
  <c r="Z186" i="1"/>
  <c r="Z437" i="1"/>
  <c r="Z77" i="1"/>
  <c r="Z68" i="1"/>
  <c r="Z54" i="1"/>
  <c r="Z265" i="1"/>
  <c r="Z20" i="1"/>
  <c r="Z192" i="1"/>
  <c r="Z185" i="1"/>
  <c r="Y240" i="1"/>
  <c r="Y214" i="1"/>
  <c r="Y461" i="1"/>
  <c r="Y403" i="1"/>
  <c r="Y187" i="1"/>
  <c r="Y411" i="1"/>
  <c r="Y348" i="1"/>
  <c r="Y73" i="1"/>
  <c r="Y59" i="1"/>
  <c r="Z408" i="1"/>
  <c r="Z345" i="1"/>
  <c r="Z247" i="1"/>
  <c r="Z102" i="1"/>
  <c r="Z228" i="1"/>
  <c r="Z7" i="1"/>
  <c r="Z168" i="1"/>
  <c r="Z422" i="1"/>
  <c r="Z110" i="1"/>
  <c r="Z153" i="1"/>
  <c r="Y16" i="1"/>
  <c r="Y366" i="1"/>
  <c r="Y347" i="1"/>
  <c r="Y326" i="1"/>
  <c r="Z114" i="1"/>
  <c r="Y114" i="1"/>
  <c r="Z158" i="1"/>
  <c r="Y158" i="1"/>
  <c r="Z88" i="1"/>
  <c r="Y88" i="1"/>
  <c r="Z47" i="1"/>
  <c r="Y47" i="1"/>
  <c r="Z427" i="1"/>
  <c r="Y427" i="1"/>
  <c r="Z122" i="1"/>
  <c r="Y122" i="1"/>
  <c r="Z381" i="1"/>
  <c r="Y381" i="1"/>
  <c r="Z275" i="1"/>
  <c r="Z261" i="1"/>
  <c r="Z410" i="1"/>
  <c r="Y450" i="1"/>
  <c r="Z126" i="1"/>
  <c r="Y126" i="1"/>
  <c r="Z63" i="1"/>
  <c r="Y63" i="1"/>
  <c r="Z12" i="1"/>
  <c r="Y12" i="1"/>
  <c r="Z405" i="1"/>
  <c r="Y405" i="1"/>
  <c r="Z128" i="1"/>
  <c r="Z65" i="1"/>
  <c r="Y149" i="1"/>
  <c r="Z30" i="1"/>
  <c r="Z100" i="1"/>
  <c r="Z317" i="1"/>
  <c r="Z226" i="1"/>
  <c r="Z333" i="1"/>
  <c r="Z11" i="1"/>
  <c r="Z235" i="1"/>
  <c r="Z172" i="1"/>
  <c r="Z396" i="1"/>
  <c r="Z436" i="1"/>
  <c r="Z147" i="1"/>
  <c r="Z112" i="1"/>
  <c r="Z364" i="1"/>
  <c r="Z152" i="1"/>
  <c r="Z341" i="1"/>
  <c r="Z82" i="1"/>
  <c r="Z320" i="1"/>
  <c r="Z125" i="1"/>
  <c r="Z195" i="1"/>
  <c r="Z62" i="1"/>
  <c r="Z293" i="1"/>
  <c r="Z17" i="1"/>
  <c r="Z38" i="1"/>
  <c r="Z52" i="1"/>
  <c r="Y447" i="1"/>
  <c r="Z447" i="1"/>
  <c r="Y352" i="1"/>
  <c r="Z352" i="1"/>
  <c r="Y270" i="1"/>
  <c r="Z270" i="1"/>
  <c r="Y165" i="1"/>
  <c r="Z165" i="1"/>
  <c r="Y221" i="1"/>
  <c r="Z221" i="1"/>
  <c r="Y25" i="1"/>
  <c r="Z25" i="1"/>
  <c r="Y460" i="1"/>
  <c r="Z460" i="1"/>
  <c r="Y375" i="1"/>
  <c r="Z375" i="1"/>
  <c r="Y189" i="1"/>
  <c r="Z189" i="1"/>
  <c r="Y182" i="1"/>
  <c r="Z182" i="1"/>
  <c r="Y413" i="1"/>
  <c r="Z413" i="1"/>
  <c r="Y433" i="1"/>
  <c r="Z433" i="1"/>
  <c r="Y350" i="1"/>
  <c r="Z350" i="1"/>
  <c r="Y264" i="1"/>
  <c r="Z264" i="1"/>
  <c r="Y159" i="1"/>
  <c r="Z159" i="1"/>
  <c r="Y215" i="1"/>
  <c r="Z215" i="1"/>
  <c r="Y75" i="1"/>
  <c r="Z75" i="1"/>
  <c r="Y418" i="1"/>
  <c r="Z418" i="1"/>
  <c r="Y369" i="1"/>
  <c r="Z369" i="1"/>
  <c r="Y69" i="1"/>
  <c r="Z69" i="1"/>
  <c r="Y90" i="1"/>
  <c r="Z90" i="1"/>
  <c r="Y428" i="1"/>
  <c r="Z428" i="1"/>
  <c r="Y104" i="1"/>
  <c r="Z104" i="1"/>
  <c r="Y286" i="1"/>
  <c r="Z286" i="1"/>
  <c r="Y398" i="1"/>
  <c r="Z398" i="1"/>
  <c r="Y458" i="1"/>
  <c r="Z458" i="1"/>
  <c r="Y311" i="1"/>
  <c r="Z311" i="1"/>
  <c r="Y339" i="1"/>
  <c r="Z339" i="1"/>
  <c r="Y80" i="1"/>
  <c r="Z80" i="1"/>
  <c r="Z212" i="1"/>
  <c r="Z72" i="1"/>
  <c r="Z44" i="1"/>
  <c r="Z93" i="1"/>
  <c r="Z387" i="1"/>
  <c r="Z449" i="1"/>
  <c r="Y58" i="1"/>
  <c r="Z58" i="1"/>
  <c r="Y254" i="1"/>
  <c r="Z254" i="1"/>
  <c r="Y401" i="1"/>
  <c r="Z401" i="1"/>
  <c r="Y465" i="1"/>
  <c r="Z465" i="1"/>
  <c r="Y312" i="1"/>
  <c r="Z312" i="1"/>
  <c r="Y340" i="1"/>
  <c r="Z340" i="1"/>
  <c r="Y137" i="1"/>
  <c r="Z137" i="1"/>
  <c r="Y305" i="1"/>
  <c r="Z305" i="1"/>
  <c r="Y140" i="1"/>
  <c r="Z140" i="1"/>
  <c r="Y42" i="1"/>
  <c r="Z42" i="1"/>
  <c r="Y385" i="1"/>
  <c r="Z385" i="1"/>
  <c r="Y56" i="1"/>
  <c r="Z56" i="1"/>
  <c r="Y252" i="1"/>
  <c r="Z252" i="1"/>
  <c r="Y399" i="1"/>
  <c r="Z399" i="1"/>
  <c r="Y423" i="1"/>
  <c r="Z423" i="1"/>
  <c r="Y306" i="1"/>
  <c r="Z306" i="1"/>
  <c r="Y334" i="1"/>
  <c r="Z334" i="1"/>
  <c r="Y131" i="1"/>
  <c r="Z131" i="1"/>
  <c r="Y299" i="1"/>
  <c r="Z299" i="1"/>
  <c r="Y139" i="1"/>
  <c r="Z139" i="1"/>
  <c r="Y41" i="1"/>
  <c r="Z41" i="1"/>
  <c r="Y384" i="1"/>
  <c r="Z384" i="1"/>
  <c r="Y55" i="1"/>
  <c r="Z55" i="1"/>
  <c r="Y251" i="1"/>
  <c r="Z251" i="1"/>
  <c r="Y459" i="1"/>
  <c r="Z459" i="1"/>
  <c r="Y360" i="1"/>
  <c r="Z360" i="1"/>
  <c r="Y206" i="1"/>
  <c r="Z206" i="1"/>
  <c r="Z142" i="1"/>
  <c r="Z184" i="1"/>
  <c r="Y415" i="1"/>
  <c r="Z415" i="1"/>
  <c r="Y107" i="1"/>
  <c r="Z107" i="1"/>
  <c r="Y289" i="1"/>
  <c r="Z289" i="1"/>
  <c r="Y466" i="1"/>
  <c r="Z466" i="1"/>
  <c r="Y361" i="1"/>
  <c r="Z361" i="1"/>
  <c r="Y207" i="1"/>
  <c r="Z207" i="1"/>
  <c r="Y81" i="1"/>
  <c r="Z81" i="1"/>
  <c r="Y242" i="1"/>
  <c r="Z242" i="1"/>
  <c r="Y210" i="1"/>
  <c r="Z210" i="1"/>
  <c r="Y70" i="1"/>
  <c r="Z70" i="1"/>
  <c r="Y91" i="1"/>
  <c r="Z91" i="1"/>
  <c r="Y435" i="1"/>
  <c r="Z435" i="1"/>
  <c r="Y105" i="1"/>
  <c r="Z105" i="1"/>
  <c r="Y287" i="1"/>
  <c r="Z287" i="1"/>
  <c r="Y424" i="1"/>
  <c r="Z424" i="1"/>
  <c r="Y355" i="1"/>
  <c r="Z355" i="1"/>
  <c r="Y201" i="1"/>
  <c r="Z201" i="1"/>
  <c r="Y19" i="1"/>
  <c r="Z19" i="1"/>
  <c r="Y236" i="1"/>
  <c r="Z236" i="1"/>
  <c r="Y209" i="1"/>
  <c r="Z209" i="1"/>
  <c r="Y188" i="1"/>
  <c r="Z188" i="1"/>
  <c r="Y181" i="1"/>
  <c r="Z181" i="1"/>
  <c r="Y412" i="1"/>
  <c r="Z412" i="1"/>
  <c r="Y426" i="1"/>
  <c r="Z426" i="1"/>
  <c r="Y349" i="1"/>
  <c r="Z349" i="1"/>
  <c r="Y269" i="1"/>
  <c r="Z269" i="1"/>
  <c r="Y164" i="1"/>
  <c r="Z164" i="1"/>
  <c r="Y220" i="1"/>
  <c r="Z220" i="1"/>
  <c r="Y24" i="1"/>
  <c r="Z24" i="1"/>
  <c r="Z191" i="1"/>
  <c r="Z136" i="1"/>
  <c r="T5" i="1"/>
  <c r="H56" i="41" l="1"/>
  <c r="G56" i="41"/>
  <c r="H48" i="38"/>
  <c r="G48" i="38"/>
  <c r="T22" i="26"/>
  <c r="U22" i="26"/>
  <c r="T11" i="26"/>
  <c r="U11" i="26"/>
  <c r="H51" i="32"/>
  <c r="H53" i="32" s="1"/>
  <c r="G51" i="32"/>
  <c r="G53" i="32" s="1"/>
  <c r="T17" i="26" l="1"/>
  <c r="U17" i="26"/>
  <c r="T20" i="26"/>
  <c r="U14" i="26"/>
  <c r="T14" i="26"/>
  <c r="U20" i="26"/>
  <c r="U9" i="26"/>
  <c r="U15" i="26"/>
  <c r="T9" i="26"/>
  <c r="T15" i="26"/>
  <c r="G57" i="37"/>
  <c r="H57" i="37"/>
  <c r="G56" i="31"/>
  <c r="H56" i="31"/>
  <c r="F4" i="46" l="1"/>
  <c r="U120" i="1" l="1"/>
  <c r="T120" i="1" s="1"/>
  <c r="V120" i="1"/>
  <c r="X120" i="1"/>
  <c r="Y120" i="1" s="1"/>
  <c r="Z120" i="1" l="1"/>
  <c r="U400" i="1"/>
  <c r="V400" i="1"/>
  <c r="X400" i="1"/>
  <c r="U393" i="1"/>
  <c r="T393" i="1" s="1"/>
  <c r="V393" i="1"/>
  <c r="X393" i="1"/>
  <c r="Z393" i="1" s="1"/>
  <c r="U372" i="1"/>
  <c r="T372" i="1" s="1"/>
  <c r="V372" i="1"/>
  <c r="X372" i="1"/>
  <c r="U365" i="1"/>
  <c r="T365" i="1" s="1"/>
  <c r="V365" i="1"/>
  <c r="X365" i="1"/>
  <c r="Z365" i="1" s="1"/>
  <c r="U253" i="1"/>
  <c r="T253" i="1" s="1"/>
  <c r="V253" i="1"/>
  <c r="X253" i="1"/>
  <c r="U351" i="1"/>
  <c r="T351" i="1" s="1"/>
  <c r="V351" i="1"/>
  <c r="X351" i="1"/>
  <c r="U323" i="1"/>
  <c r="T323" i="1" s="1"/>
  <c r="V323" i="1"/>
  <c r="X323" i="1"/>
  <c r="U239" i="1"/>
  <c r="T239" i="1" s="1"/>
  <c r="V239" i="1"/>
  <c r="X239" i="1"/>
  <c r="U78" i="1"/>
  <c r="T78" i="1" s="1"/>
  <c r="V78" i="1"/>
  <c r="X78" i="1"/>
  <c r="U225" i="1"/>
  <c r="T225" i="1" s="1"/>
  <c r="V225" i="1"/>
  <c r="X225" i="1"/>
  <c r="Y225" i="1" s="1"/>
  <c r="U267" i="1"/>
  <c r="T267" i="1" s="1"/>
  <c r="V267" i="1"/>
  <c r="X267" i="1"/>
  <c r="U440" i="1"/>
  <c r="T440" i="1" s="1"/>
  <c r="V440" i="1"/>
  <c r="X440" i="1"/>
  <c r="Z440" i="1" s="1"/>
  <c r="U169" i="1"/>
  <c r="T169" i="1" s="1"/>
  <c r="V169" i="1"/>
  <c r="X169" i="1"/>
  <c r="U295" i="1"/>
  <c r="T295" i="1" s="1"/>
  <c r="V295" i="1"/>
  <c r="X295" i="1"/>
  <c r="Z295" i="1" s="1"/>
  <c r="U316" i="1"/>
  <c r="T316" i="1" s="1"/>
  <c r="V316" i="1"/>
  <c r="X316" i="1"/>
  <c r="U134" i="1"/>
  <c r="T134" i="1" s="1"/>
  <c r="V134" i="1"/>
  <c r="X134" i="1"/>
  <c r="Z134" i="1" s="1"/>
  <c r="U113" i="1"/>
  <c r="T113" i="1" s="1"/>
  <c r="V113" i="1"/>
  <c r="X113" i="1"/>
  <c r="U183" i="1"/>
  <c r="T183" i="1" s="1"/>
  <c r="V183" i="1"/>
  <c r="X183" i="1"/>
  <c r="Z183" i="1" s="1"/>
  <c r="U57" i="1"/>
  <c r="T57" i="1" s="1"/>
  <c r="V57" i="1"/>
  <c r="X57" i="1"/>
  <c r="U386" i="1"/>
  <c r="T386" i="1" s="1"/>
  <c r="V386" i="1"/>
  <c r="X386" i="1"/>
  <c r="U22" i="1"/>
  <c r="T22" i="1" s="1"/>
  <c r="V22" i="1"/>
  <c r="X22" i="1"/>
  <c r="U85" i="1"/>
  <c r="T85" i="1" s="1"/>
  <c r="V85" i="1"/>
  <c r="X85" i="1"/>
  <c r="U441" i="1"/>
  <c r="T441" i="1" s="1"/>
  <c r="V441" i="1"/>
  <c r="X441" i="1"/>
  <c r="U414" i="1"/>
  <c r="T414" i="1" s="1"/>
  <c r="V414" i="1"/>
  <c r="X414" i="1"/>
  <c r="Y414" i="1" s="1"/>
  <c r="U141" i="1"/>
  <c r="T141" i="1" s="1"/>
  <c r="V141" i="1"/>
  <c r="X141" i="1"/>
  <c r="U106" i="1"/>
  <c r="T106" i="1" s="1"/>
  <c r="V106" i="1"/>
  <c r="X106" i="1"/>
  <c r="Y106" i="1" s="1"/>
  <c r="U445" i="1"/>
  <c r="T445" i="1" s="1"/>
  <c r="V445" i="1"/>
  <c r="X445" i="1"/>
  <c r="U204" i="1"/>
  <c r="T204" i="1" s="1"/>
  <c r="V204" i="1"/>
  <c r="X204" i="1"/>
  <c r="Y204" i="1" s="1"/>
  <c r="U232" i="1"/>
  <c r="T232" i="1" s="1"/>
  <c r="V232" i="1"/>
  <c r="X232" i="1"/>
  <c r="U218" i="1"/>
  <c r="T218" i="1" s="1"/>
  <c r="V218" i="1"/>
  <c r="X218" i="1"/>
  <c r="Y218" i="1" s="1"/>
  <c r="U29" i="1"/>
  <c r="T29" i="1" s="1"/>
  <c r="V29" i="1"/>
  <c r="X29" i="1"/>
  <c r="U148" i="1"/>
  <c r="T148" i="1" s="1"/>
  <c r="V148" i="1"/>
  <c r="X148" i="1"/>
  <c r="Z148" i="1" s="1"/>
  <c r="U344" i="1"/>
  <c r="T344" i="1" s="1"/>
  <c r="V344" i="1"/>
  <c r="X344" i="1"/>
  <c r="U197" i="1"/>
  <c r="T197" i="1" s="1"/>
  <c r="V197" i="1"/>
  <c r="X197" i="1"/>
  <c r="Z197" i="1" s="1"/>
  <c r="U36" i="1"/>
  <c r="T36" i="1" s="1"/>
  <c r="V36" i="1"/>
  <c r="X36" i="1"/>
  <c r="U246" i="1"/>
  <c r="T246" i="1" s="1"/>
  <c r="V246" i="1"/>
  <c r="X246" i="1"/>
  <c r="U50" i="1"/>
  <c r="T50" i="1" s="1"/>
  <c r="V50" i="1"/>
  <c r="X50" i="1"/>
  <c r="U211" i="1"/>
  <c r="T211" i="1" s="1"/>
  <c r="V211" i="1"/>
  <c r="X211" i="1"/>
  <c r="U330" i="1"/>
  <c r="T330" i="1" s="1"/>
  <c r="V330" i="1"/>
  <c r="X330" i="1"/>
  <c r="Z330" i="1" s="1"/>
  <c r="U309" i="1"/>
  <c r="T309" i="1" s="1"/>
  <c r="V309" i="1"/>
  <c r="X309" i="1"/>
  <c r="U92" i="1"/>
  <c r="T92" i="1" s="1"/>
  <c r="V92" i="1"/>
  <c r="X92" i="1"/>
  <c r="U176" i="1"/>
  <c r="T176" i="1" s="1"/>
  <c r="V176" i="1"/>
  <c r="X176" i="1"/>
  <c r="Z176" i="1" s="1"/>
  <c r="U162" i="1"/>
  <c r="T162" i="1" s="1"/>
  <c r="V162" i="1"/>
  <c r="X162" i="1"/>
  <c r="U337" i="1"/>
  <c r="T337" i="1" s="1"/>
  <c r="V337" i="1"/>
  <c r="X337" i="1"/>
  <c r="Z337" i="1" s="1"/>
  <c r="U99" i="1"/>
  <c r="T99" i="1" s="1"/>
  <c r="V99" i="1"/>
  <c r="X99" i="1"/>
  <c r="U8" i="1"/>
  <c r="V8" i="1"/>
  <c r="X8" i="1"/>
  <c r="U15" i="1"/>
  <c r="T15" i="1" s="1"/>
  <c r="V15" i="1"/>
  <c r="X15" i="1"/>
  <c r="Y15" i="1" s="1"/>
  <c r="U64" i="1"/>
  <c r="T64" i="1" s="1"/>
  <c r="V64" i="1"/>
  <c r="X64" i="1"/>
  <c r="Z64" i="1" s="1"/>
  <c r="U443" i="1"/>
  <c r="T443" i="1" s="1"/>
  <c r="V443" i="1"/>
  <c r="X443" i="1"/>
  <c r="Y443" i="1" s="1"/>
  <c r="U442" i="1"/>
  <c r="T442" i="1" s="1"/>
  <c r="V442" i="1"/>
  <c r="X442" i="1"/>
  <c r="Z442" i="1" s="1"/>
  <c r="U43" i="1"/>
  <c r="T43" i="1" s="1"/>
  <c r="V43" i="1"/>
  <c r="X43" i="1"/>
  <c r="U379" i="1"/>
  <c r="T379" i="1" s="1"/>
  <c r="V379" i="1"/>
  <c r="X379" i="1"/>
  <c r="U260" i="1"/>
  <c r="T260" i="1" s="1"/>
  <c r="V260" i="1"/>
  <c r="X260" i="1"/>
  <c r="Z260" i="1" s="1"/>
  <c r="U190" i="1"/>
  <c r="T190" i="1" s="1"/>
  <c r="V190" i="1"/>
  <c r="X190" i="1"/>
  <c r="U155" i="1"/>
  <c r="T155" i="1" s="1"/>
  <c r="V155" i="1"/>
  <c r="X155" i="1"/>
  <c r="Z155" i="1" s="1"/>
  <c r="U444" i="1"/>
  <c r="T444" i="1" s="1"/>
  <c r="V444" i="1"/>
  <c r="X444" i="1"/>
  <c r="U127" i="1"/>
  <c r="T127" i="1" s="1"/>
  <c r="V127" i="1"/>
  <c r="X127" i="1"/>
  <c r="U274" i="1"/>
  <c r="T274" i="1" s="1"/>
  <c r="V274" i="1"/>
  <c r="X274" i="1"/>
  <c r="U439" i="1"/>
  <c r="V439" i="1"/>
  <c r="X439" i="1"/>
  <c r="U302" i="1"/>
  <c r="T302" i="1" s="1"/>
  <c r="V302" i="1"/>
  <c r="X302" i="1"/>
  <c r="Z302" i="1" s="1"/>
  <c r="U281" i="1"/>
  <c r="T281" i="1" s="1"/>
  <c r="V281" i="1"/>
  <c r="X281" i="1"/>
  <c r="Z281" i="1" s="1"/>
  <c r="U407" i="1"/>
  <c r="T407" i="1" s="1"/>
  <c r="V407" i="1"/>
  <c r="X407" i="1"/>
  <c r="Y407" i="1" s="1"/>
  <c r="U71" i="1"/>
  <c r="T71" i="1" s="1"/>
  <c r="V71" i="1"/>
  <c r="X71" i="1"/>
  <c r="Y71" i="1" s="1"/>
  <c r="U288" i="1"/>
  <c r="T288" i="1" s="1"/>
  <c r="V288" i="1"/>
  <c r="X288" i="1"/>
  <c r="Y288" i="1" s="1"/>
  <c r="U358" i="1"/>
  <c r="T358" i="1" s="1"/>
  <c r="V358" i="1"/>
  <c r="X358" i="1"/>
  <c r="Y358" i="1" s="1"/>
  <c r="C48" i="38" l="1"/>
  <c r="T8" i="1"/>
  <c r="Q19" i="1"/>
  <c r="Q47" i="1"/>
  <c r="Q46" i="1"/>
  <c r="Q45" i="1"/>
  <c r="Q6" i="1"/>
  <c r="T400" i="1"/>
  <c r="T439" i="1"/>
  <c r="Q20" i="1"/>
  <c r="Y440" i="1"/>
  <c r="Y183" i="1"/>
  <c r="Y330" i="1"/>
  <c r="Y148" i="1"/>
  <c r="Y281" i="1"/>
  <c r="Z443" i="1"/>
  <c r="Y393" i="1"/>
  <c r="Y64" i="1"/>
  <c r="Y176" i="1"/>
  <c r="Y295" i="1"/>
  <c r="Z225" i="1"/>
  <c r="Z218" i="1"/>
  <c r="Z204" i="1"/>
  <c r="Z106" i="1"/>
  <c r="Z414" i="1"/>
  <c r="Y337" i="1"/>
  <c r="Y197" i="1"/>
  <c r="Y365" i="1"/>
  <c r="Y155" i="1"/>
  <c r="Y260" i="1"/>
  <c r="Y442" i="1"/>
  <c r="Y134" i="1"/>
  <c r="Y85" i="1"/>
  <c r="Z85" i="1"/>
  <c r="Z288" i="1"/>
  <c r="Z71" i="1"/>
  <c r="Z127" i="1"/>
  <c r="Y127" i="1"/>
  <c r="Y50" i="1"/>
  <c r="Z50" i="1"/>
  <c r="Y239" i="1"/>
  <c r="Z239" i="1"/>
  <c r="Y386" i="1"/>
  <c r="Z386" i="1"/>
  <c r="Y274" i="1"/>
  <c r="Z274" i="1"/>
  <c r="Z8" i="1"/>
  <c r="Y8" i="1"/>
  <c r="Y36" i="1"/>
  <c r="Z36" i="1"/>
  <c r="Y351" i="1"/>
  <c r="Z351" i="1"/>
  <c r="Y302" i="1"/>
  <c r="Y439" i="1"/>
  <c r="Z439" i="1"/>
  <c r="Y444" i="1"/>
  <c r="Z444" i="1"/>
  <c r="Y99" i="1"/>
  <c r="Z99" i="1"/>
  <c r="Y344" i="1"/>
  <c r="Z344" i="1"/>
  <c r="Y113" i="1"/>
  <c r="Z113" i="1"/>
  <c r="Y372" i="1"/>
  <c r="Z372" i="1"/>
  <c r="Z358" i="1"/>
  <c r="Z407" i="1"/>
  <c r="Y190" i="1"/>
  <c r="Z190" i="1"/>
  <c r="Y379" i="1"/>
  <c r="Z379" i="1"/>
  <c r="Y43" i="1"/>
  <c r="Z43" i="1"/>
  <c r="Y309" i="1"/>
  <c r="Z309" i="1"/>
  <c r="Y141" i="1"/>
  <c r="Z141" i="1"/>
  <c r="Y267" i="1"/>
  <c r="Z267" i="1"/>
  <c r="Z15" i="1"/>
  <c r="Y211" i="1"/>
  <c r="Z211" i="1"/>
  <c r="Y29" i="1"/>
  <c r="Z29" i="1"/>
  <c r="Y441" i="1"/>
  <c r="Z441" i="1"/>
  <c r="Y316" i="1"/>
  <c r="Z316" i="1"/>
  <c r="Y78" i="1"/>
  <c r="Z78" i="1"/>
  <c r="Y400" i="1"/>
  <c r="Z400" i="1"/>
  <c r="Y162" i="1"/>
  <c r="Z162" i="1"/>
  <c r="Y246" i="1"/>
  <c r="Z246" i="1"/>
  <c r="Y232" i="1"/>
  <c r="Z232" i="1"/>
  <c r="Y22" i="1"/>
  <c r="Z22" i="1"/>
  <c r="Y169" i="1"/>
  <c r="Z169" i="1"/>
  <c r="Y323" i="1"/>
  <c r="Z323" i="1"/>
  <c r="Y92" i="1"/>
  <c r="Z92" i="1"/>
  <c r="Y445" i="1"/>
  <c r="Z445" i="1"/>
  <c r="Y57" i="1"/>
  <c r="Z57" i="1"/>
  <c r="Y253" i="1"/>
  <c r="Z253" i="1"/>
  <c r="R18" i="26" l="1"/>
  <c r="S18" i="26"/>
  <c r="R7" i="26"/>
  <c r="R8" i="26"/>
  <c r="S8" i="26"/>
  <c r="R10" i="26"/>
  <c r="S10" i="26"/>
  <c r="S16" i="26" l="1"/>
  <c r="S6" i="26"/>
  <c r="R6" i="26"/>
  <c r="S26" i="26"/>
  <c r="S12" i="26"/>
  <c r="R16" i="26"/>
  <c r="R12" i="26"/>
  <c r="R26" i="26"/>
  <c r="S7" i="26"/>
  <c r="A10" i="43"/>
  <c r="A11" i="43"/>
  <c r="A12" i="43"/>
  <c r="A13" i="43"/>
  <c r="A14" i="43"/>
  <c r="A15" i="43"/>
  <c r="A16" i="43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10" i="37"/>
  <c r="A11" i="37"/>
  <c r="A12" i="37"/>
  <c r="A13" i="37"/>
  <c r="A14" i="37"/>
  <c r="A15" i="37"/>
  <c r="A16" i="37"/>
  <c r="A17" i="37"/>
  <c r="A18" i="37"/>
  <c r="A19" i="37"/>
  <c r="A20" i="37"/>
  <c r="A21" i="37"/>
  <c r="A22" i="37"/>
  <c r="A23" i="37"/>
  <c r="A24" i="37"/>
  <c r="A25" i="37"/>
  <c r="A26" i="37"/>
  <c r="A27" i="37"/>
  <c r="A28" i="37"/>
  <c r="A29" i="37"/>
  <c r="A30" i="37"/>
  <c r="A31" i="37"/>
  <c r="A32" i="37"/>
  <c r="A33" i="37"/>
  <c r="A34" i="37"/>
  <c r="A35" i="37"/>
  <c r="A36" i="37"/>
  <c r="A37" i="37"/>
  <c r="A38" i="37"/>
  <c r="A39" i="37"/>
  <c r="A40" i="37"/>
  <c r="A41" i="37"/>
  <c r="A42" i="37"/>
  <c r="A43" i="37"/>
  <c r="A44" i="37"/>
  <c r="A45" i="37"/>
  <c r="A46" i="37"/>
  <c r="A47" i="37"/>
  <c r="A48" i="37"/>
  <c r="A49" i="37"/>
  <c r="A50" i="37"/>
  <c r="A51" i="37"/>
  <c r="A52" i="37"/>
  <c r="A53" i="37"/>
  <c r="A54" i="37"/>
  <c r="A55" i="37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10" i="40"/>
  <c r="A11" i="40"/>
  <c r="A12" i="40"/>
  <c r="A13" i="40"/>
  <c r="A14" i="40"/>
  <c r="A15" i="40"/>
  <c r="A16" i="40"/>
  <c r="A17" i="40"/>
  <c r="A18" i="40"/>
  <c r="A19" i="40"/>
  <c r="A20" i="40"/>
  <c r="A21" i="40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10" i="42"/>
  <c r="A11" i="42"/>
  <c r="A12" i="42"/>
  <c r="A13" i="42"/>
  <c r="A14" i="42"/>
  <c r="A15" i="42"/>
  <c r="A16" i="42"/>
  <c r="A17" i="42"/>
  <c r="A18" i="42"/>
  <c r="A19" i="42"/>
  <c r="A20" i="42"/>
  <c r="A21" i="42"/>
  <c r="A22" i="42"/>
  <c r="A23" i="42"/>
  <c r="A24" i="42"/>
  <c r="A25" i="42"/>
  <c r="A26" i="42"/>
  <c r="A27" i="42"/>
  <c r="A28" i="42"/>
  <c r="A29" i="42"/>
  <c r="A30" i="42"/>
  <c r="A31" i="42"/>
  <c r="A32" i="42"/>
  <c r="A33" i="42"/>
  <c r="A34" i="42"/>
  <c r="A35" i="42"/>
  <c r="A36" i="42"/>
  <c r="A37" i="42"/>
  <c r="A38" i="42"/>
  <c r="A39" i="42"/>
  <c r="A40" i="42"/>
  <c r="A41" i="42"/>
  <c r="A42" i="42"/>
  <c r="A43" i="42"/>
  <c r="A44" i="42"/>
  <c r="A45" i="42"/>
  <c r="A46" i="42"/>
  <c r="A47" i="42"/>
  <c r="A48" i="42"/>
  <c r="A10" i="33"/>
  <c r="A11" i="33"/>
  <c r="A12" i="33"/>
  <c r="A13" i="33"/>
  <c r="A14" i="33"/>
  <c r="A15" i="33"/>
  <c r="A16" i="33"/>
  <c r="A17" i="33"/>
  <c r="A18" i="33"/>
  <c r="A19" i="33"/>
  <c r="A20" i="33"/>
  <c r="A21" i="33"/>
  <c r="A22" i="33"/>
  <c r="A24" i="33"/>
  <c r="A25" i="33"/>
  <c r="A27" i="33"/>
  <c r="A28" i="33"/>
  <c r="A29" i="33"/>
  <c r="A30" i="33"/>
  <c r="A31" i="33"/>
  <c r="A32" i="33"/>
  <c r="A33" i="33"/>
  <c r="A34" i="33"/>
  <c r="A35" i="33"/>
  <c r="A36" i="33"/>
  <c r="A37" i="33"/>
  <c r="A38" i="33"/>
  <c r="A39" i="33"/>
  <c r="A40" i="33"/>
  <c r="A41" i="33"/>
  <c r="A42" i="33"/>
  <c r="A43" i="33"/>
  <c r="A44" i="33"/>
  <c r="A45" i="33"/>
  <c r="A46" i="33"/>
  <c r="A47" i="33"/>
  <c r="A48" i="33"/>
  <c r="A49" i="33"/>
  <c r="A50" i="33"/>
  <c r="A51" i="33"/>
  <c r="A52" i="33"/>
  <c r="A53" i="33"/>
  <c r="A54" i="33"/>
  <c r="A55" i="33"/>
  <c r="A56" i="33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1" i="31"/>
  <c r="A52" i="31"/>
  <c r="A53" i="31"/>
  <c r="A54" i="31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51" i="34"/>
  <c r="A52" i="34"/>
  <c r="A53" i="34"/>
  <c r="A54" i="34"/>
  <c r="A55" i="34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46" i="36" l="1"/>
  <c r="A47" i="36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51" i="32"/>
  <c r="A9" i="32"/>
  <c r="AY33" i="31" l="1"/>
  <c r="AY38" i="31"/>
  <c r="AY36" i="31" l="1"/>
  <c r="AY9" i="31"/>
  <c r="AY12" i="31"/>
  <c r="AY47" i="31"/>
  <c r="AY42" i="31"/>
  <c r="AY18" i="31"/>
  <c r="AY39" i="31"/>
  <c r="AY13" i="31"/>
  <c r="AY37" i="31"/>
  <c r="AY23" i="31"/>
  <c r="AY32" i="31"/>
  <c r="AY46" i="31"/>
  <c r="AY34" i="31"/>
  <c r="AY19" i="31"/>
  <c r="AY44" i="31"/>
  <c r="AY22" i="31"/>
  <c r="AY35" i="31"/>
  <c r="AY11" i="31"/>
  <c r="AY20" i="31"/>
  <c r="AY21" i="31"/>
  <c r="AY17" i="31"/>
  <c r="AY14" i="31"/>
  <c r="AY25" i="31"/>
  <c r="AY10" i="31"/>
  <c r="AY24" i="31"/>
  <c r="AY43" i="31"/>
  <c r="AY45" i="31"/>
  <c r="AY40" i="31"/>
  <c r="AY26" i="31"/>
  <c r="AY31" i="31"/>
  <c r="AY15" i="31"/>
  <c r="AY16" i="31"/>
  <c r="C9" i="23" l="1"/>
  <c r="D9" i="23"/>
  <c r="E9" i="23"/>
  <c r="F9" i="23"/>
  <c r="G9" i="23"/>
  <c r="H9" i="23"/>
  <c r="I9" i="23"/>
  <c r="J9" i="23"/>
  <c r="K9" i="23"/>
  <c r="L9" i="23"/>
  <c r="M9" i="23"/>
  <c r="N9" i="23"/>
  <c r="O9" i="23"/>
  <c r="P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P14" i="23"/>
  <c r="C15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C16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O17" i="23"/>
  <c r="P17" i="23"/>
  <c r="C18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C19" i="23"/>
  <c r="D19" i="23"/>
  <c r="E19" i="23"/>
  <c r="F19" i="23"/>
  <c r="G19" i="23"/>
  <c r="H19" i="23"/>
  <c r="I19" i="23"/>
  <c r="J19" i="23"/>
  <c r="K19" i="23"/>
  <c r="L19" i="23"/>
  <c r="M19" i="23"/>
  <c r="N19" i="23"/>
  <c r="O19" i="23"/>
  <c r="P19" i="23"/>
  <c r="C20" i="23"/>
  <c r="D20" i="23"/>
  <c r="E20" i="23"/>
  <c r="F20" i="23"/>
  <c r="G20" i="23"/>
  <c r="H20" i="23"/>
  <c r="I20" i="23"/>
  <c r="J20" i="23"/>
  <c r="K20" i="23"/>
  <c r="L20" i="23"/>
  <c r="M20" i="23"/>
  <c r="N20" i="23"/>
  <c r="O20" i="23"/>
  <c r="P20" i="23"/>
  <c r="C21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C22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C23" i="23"/>
  <c r="D23" i="23"/>
  <c r="E23" i="23"/>
  <c r="F23" i="23"/>
  <c r="G23" i="23"/>
  <c r="H23" i="23"/>
  <c r="I23" i="23"/>
  <c r="K23" i="23"/>
  <c r="L23" i="23"/>
  <c r="M23" i="23"/>
  <c r="N23" i="23"/>
  <c r="O23" i="23"/>
  <c r="P23" i="23"/>
  <c r="C24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C25" i="23"/>
  <c r="D25" i="23"/>
  <c r="E25" i="23"/>
  <c r="F25" i="23"/>
  <c r="G25" i="23"/>
  <c r="H25" i="23"/>
  <c r="I25" i="23"/>
  <c r="J25" i="23"/>
  <c r="K25" i="23"/>
  <c r="L25" i="23"/>
  <c r="M25" i="23"/>
  <c r="N25" i="23"/>
  <c r="O25" i="23"/>
  <c r="P25" i="23"/>
  <c r="C26" i="23"/>
  <c r="D26" i="23"/>
  <c r="E26" i="23"/>
  <c r="F26" i="23"/>
  <c r="G26" i="23"/>
  <c r="H26" i="23"/>
  <c r="I26" i="23"/>
  <c r="J26" i="23"/>
  <c r="K26" i="23"/>
  <c r="L26" i="23"/>
  <c r="M26" i="23"/>
  <c r="N26" i="23"/>
  <c r="O26" i="23"/>
  <c r="P26" i="23"/>
  <c r="C27" i="23"/>
  <c r="D27" i="23"/>
  <c r="E27" i="23"/>
  <c r="F27" i="23"/>
  <c r="G27" i="23"/>
  <c r="H27" i="23"/>
  <c r="I27" i="23"/>
  <c r="J27" i="23"/>
  <c r="K27" i="23"/>
  <c r="L27" i="23"/>
  <c r="M27" i="23"/>
  <c r="N27" i="23"/>
  <c r="O27" i="23"/>
  <c r="P27" i="23"/>
  <c r="C28" i="23"/>
  <c r="D28" i="23"/>
  <c r="E28" i="23"/>
  <c r="F28" i="23"/>
  <c r="G28" i="23"/>
  <c r="H28" i="23"/>
  <c r="I28" i="23"/>
  <c r="J28" i="23"/>
  <c r="K28" i="23"/>
  <c r="L28" i="23"/>
  <c r="M28" i="23"/>
  <c r="N28" i="23"/>
  <c r="O28" i="23"/>
  <c r="P28" i="23"/>
  <c r="C29" i="23"/>
  <c r="D29" i="23"/>
  <c r="E29" i="23"/>
  <c r="F29" i="23"/>
  <c r="G29" i="23"/>
  <c r="H29" i="23"/>
  <c r="I29" i="23"/>
  <c r="J29" i="23"/>
  <c r="K29" i="23"/>
  <c r="L29" i="23"/>
  <c r="M29" i="23"/>
  <c r="N29" i="23"/>
  <c r="O29" i="23"/>
  <c r="P29" i="23"/>
  <c r="C30" i="23"/>
  <c r="D30" i="23"/>
  <c r="E30" i="23"/>
  <c r="F30" i="23"/>
  <c r="G30" i="23"/>
  <c r="H30" i="23"/>
  <c r="I30" i="23"/>
  <c r="J30" i="23"/>
  <c r="K30" i="23"/>
  <c r="L30" i="23"/>
  <c r="M30" i="23"/>
  <c r="N30" i="23"/>
  <c r="O30" i="23"/>
  <c r="P30" i="23"/>
  <c r="C31" i="23"/>
  <c r="D31" i="23"/>
  <c r="E31" i="23"/>
  <c r="F31" i="23"/>
  <c r="G31" i="23"/>
  <c r="H31" i="23"/>
  <c r="I31" i="23"/>
  <c r="J31" i="23"/>
  <c r="K31" i="23"/>
  <c r="L31" i="23"/>
  <c r="M31" i="23"/>
  <c r="N31" i="23"/>
  <c r="O31" i="23"/>
  <c r="P31" i="23"/>
  <c r="C32" i="23"/>
  <c r="D32" i="23"/>
  <c r="E32" i="23"/>
  <c r="F32" i="23"/>
  <c r="G32" i="23"/>
  <c r="H32" i="23"/>
  <c r="I32" i="23"/>
  <c r="J32" i="23"/>
  <c r="K32" i="23"/>
  <c r="L32" i="23"/>
  <c r="M32" i="23"/>
  <c r="N32" i="23"/>
  <c r="O32" i="23"/>
  <c r="P32" i="23"/>
  <c r="C33" i="23"/>
  <c r="D33" i="23"/>
  <c r="E33" i="23"/>
  <c r="F33" i="23"/>
  <c r="G33" i="23"/>
  <c r="H33" i="23"/>
  <c r="I33" i="23"/>
  <c r="J33" i="23"/>
  <c r="K33" i="23"/>
  <c r="L33" i="23"/>
  <c r="M33" i="23"/>
  <c r="N33" i="23"/>
  <c r="O33" i="23"/>
  <c r="P33" i="23"/>
  <c r="C34" i="23"/>
  <c r="D34" i="23"/>
  <c r="E34" i="23"/>
  <c r="F34" i="23"/>
  <c r="G34" i="23"/>
  <c r="H34" i="23"/>
  <c r="I34" i="23"/>
  <c r="J34" i="23"/>
  <c r="K34" i="23"/>
  <c r="L34" i="23"/>
  <c r="M34" i="23"/>
  <c r="N34" i="23"/>
  <c r="O34" i="23"/>
  <c r="P34" i="23"/>
  <c r="C35" i="23"/>
  <c r="D35" i="23"/>
  <c r="E35" i="23"/>
  <c r="F35" i="23"/>
  <c r="G35" i="23"/>
  <c r="H35" i="23"/>
  <c r="I35" i="23"/>
  <c r="J35" i="23"/>
  <c r="K35" i="23"/>
  <c r="L35" i="23"/>
  <c r="M35" i="23"/>
  <c r="N35" i="23"/>
  <c r="O35" i="23"/>
  <c r="P35" i="23"/>
  <c r="C36" i="23"/>
  <c r="D36" i="23"/>
  <c r="E36" i="23"/>
  <c r="F36" i="23"/>
  <c r="G36" i="23"/>
  <c r="H36" i="23"/>
  <c r="I36" i="23"/>
  <c r="J36" i="23"/>
  <c r="K36" i="23"/>
  <c r="L36" i="23"/>
  <c r="M36" i="23"/>
  <c r="N36" i="23"/>
  <c r="O36" i="23"/>
  <c r="P36" i="23"/>
  <c r="C37" i="23"/>
  <c r="D37" i="23"/>
  <c r="E37" i="23"/>
  <c r="F37" i="23"/>
  <c r="G37" i="23"/>
  <c r="H37" i="23"/>
  <c r="I37" i="23"/>
  <c r="J37" i="23"/>
  <c r="K37" i="23"/>
  <c r="L37" i="23"/>
  <c r="M37" i="23"/>
  <c r="N37" i="23"/>
  <c r="O37" i="23"/>
  <c r="P37" i="23"/>
  <c r="C38" i="23"/>
  <c r="D38" i="23"/>
  <c r="E38" i="23"/>
  <c r="F38" i="23"/>
  <c r="G38" i="23"/>
  <c r="H38" i="23"/>
  <c r="I38" i="23"/>
  <c r="J38" i="23"/>
  <c r="K38" i="23"/>
  <c r="L38" i="23"/>
  <c r="M38" i="23"/>
  <c r="N38" i="23"/>
  <c r="O38" i="23"/>
  <c r="P38" i="23"/>
  <c r="C39" i="23"/>
  <c r="D39" i="23"/>
  <c r="E39" i="23"/>
  <c r="F39" i="23"/>
  <c r="G39" i="23"/>
  <c r="H39" i="23"/>
  <c r="I39" i="23"/>
  <c r="J39" i="23"/>
  <c r="K39" i="23"/>
  <c r="L39" i="23"/>
  <c r="M39" i="23"/>
  <c r="N39" i="23"/>
  <c r="O39" i="23"/>
  <c r="P39" i="23"/>
  <c r="C40" i="23"/>
  <c r="D40" i="23"/>
  <c r="E40" i="23"/>
  <c r="F40" i="23"/>
  <c r="G40" i="23"/>
  <c r="H40" i="23"/>
  <c r="I40" i="23"/>
  <c r="J40" i="23"/>
  <c r="K40" i="23"/>
  <c r="L40" i="23"/>
  <c r="M40" i="23"/>
  <c r="N40" i="23"/>
  <c r="O40" i="23"/>
  <c r="P40" i="23"/>
  <c r="C41" i="23"/>
  <c r="D41" i="23"/>
  <c r="E41" i="23"/>
  <c r="F41" i="23"/>
  <c r="G41" i="23"/>
  <c r="H41" i="23"/>
  <c r="I41" i="23"/>
  <c r="J41" i="23"/>
  <c r="K41" i="23"/>
  <c r="L41" i="23"/>
  <c r="M41" i="23"/>
  <c r="N41" i="23"/>
  <c r="O41" i="23"/>
  <c r="P41" i="23"/>
  <c r="C42" i="23"/>
  <c r="D42" i="23"/>
  <c r="E42" i="23"/>
  <c r="F42" i="23"/>
  <c r="G42" i="23"/>
  <c r="H42" i="23"/>
  <c r="I42" i="23"/>
  <c r="J42" i="23"/>
  <c r="K42" i="23"/>
  <c r="L42" i="23"/>
  <c r="M42" i="23"/>
  <c r="N42" i="23"/>
  <c r="O42" i="23"/>
  <c r="P42" i="23"/>
  <c r="C43" i="23"/>
  <c r="D43" i="23"/>
  <c r="E43" i="23"/>
  <c r="F43" i="23"/>
  <c r="G43" i="23"/>
  <c r="H43" i="23"/>
  <c r="I43" i="23"/>
  <c r="J43" i="23"/>
  <c r="K43" i="23"/>
  <c r="L43" i="23"/>
  <c r="M43" i="23"/>
  <c r="N43" i="23"/>
  <c r="O43" i="23"/>
  <c r="P43" i="23"/>
  <c r="C44" i="23"/>
  <c r="D44" i="23"/>
  <c r="E44" i="23"/>
  <c r="F44" i="23"/>
  <c r="G44" i="23"/>
  <c r="H44" i="23"/>
  <c r="I44" i="23"/>
  <c r="J44" i="23"/>
  <c r="K44" i="23"/>
  <c r="L44" i="23"/>
  <c r="M44" i="23"/>
  <c r="N44" i="23"/>
  <c r="O44" i="23"/>
  <c r="P44" i="23"/>
  <c r="C45" i="23"/>
  <c r="D45" i="23"/>
  <c r="E45" i="23"/>
  <c r="F45" i="23"/>
  <c r="G45" i="23"/>
  <c r="H45" i="23"/>
  <c r="I45" i="23"/>
  <c r="J45" i="23"/>
  <c r="K45" i="23"/>
  <c r="L45" i="23"/>
  <c r="M45" i="23"/>
  <c r="N45" i="23"/>
  <c r="O45" i="23"/>
  <c r="P45" i="23"/>
  <c r="C46" i="23"/>
  <c r="D46" i="23"/>
  <c r="E46" i="23"/>
  <c r="F46" i="23"/>
  <c r="G46" i="23"/>
  <c r="H46" i="23"/>
  <c r="I46" i="23"/>
  <c r="J46" i="23"/>
  <c r="K46" i="23"/>
  <c r="L46" i="23"/>
  <c r="M46" i="23"/>
  <c r="N46" i="23"/>
  <c r="O46" i="23"/>
  <c r="P46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C6" i="23"/>
  <c r="C8" i="3"/>
  <c r="C2" i="3" s="1"/>
  <c r="C3" i="3" s="1"/>
  <c r="B3" i="35" s="1"/>
  <c r="E6" i="23" l="1"/>
  <c r="D6" i="23"/>
  <c r="F6" i="23"/>
  <c r="C4" i="3"/>
  <c r="B3" i="34" s="1"/>
  <c r="AY29" i="42"/>
  <c r="AY27" i="32"/>
  <c r="G6" i="23" l="1"/>
  <c r="C5" i="3"/>
  <c r="C6" i="3" l="1"/>
  <c r="H6" i="23"/>
  <c r="A47" i="40"/>
  <c r="AY17" i="40"/>
  <c r="AY16" i="40"/>
  <c r="AY34" i="40"/>
  <c r="AY35" i="40"/>
  <c r="AY25" i="40"/>
  <c r="AY28" i="42"/>
  <c r="AY22" i="42"/>
  <c r="AY38" i="42"/>
  <c r="AY15" i="42"/>
  <c r="AY48" i="41"/>
  <c r="AY15" i="41"/>
  <c r="AY17" i="41"/>
  <c r="AY52" i="37"/>
  <c r="AY14" i="39"/>
  <c r="AY31" i="39"/>
  <c r="AY48" i="39"/>
  <c r="A49" i="38"/>
  <c r="A50" i="38"/>
  <c r="A51" i="38"/>
  <c r="A47" i="30"/>
  <c r="AY40" i="30"/>
  <c r="AY26" i="30"/>
  <c r="AY16" i="30"/>
  <c r="AY21" i="32"/>
  <c r="AY9" i="32"/>
  <c r="AY12" i="32"/>
  <c r="AY54" i="33"/>
  <c r="AY11" i="33"/>
  <c r="AY42" i="33"/>
  <c r="AY46" i="34"/>
  <c r="AY23" i="34"/>
  <c r="A48" i="36"/>
  <c r="A49" i="36"/>
  <c r="A50" i="36"/>
  <c r="AY43" i="35"/>
  <c r="AY48" i="35"/>
  <c r="AY18" i="35"/>
  <c r="AY51" i="35"/>
  <c r="C14" i="3" l="1"/>
  <c r="I6" i="23"/>
  <c r="J6" i="23" l="1"/>
  <c r="C15" i="3"/>
  <c r="K6" i="23" l="1"/>
  <c r="C9" i="3"/>
  <c r="C10" i="3" l="1"/>
  <c r="L6" i="23"/>
  <c r="C11" i="3" l="1"/>
  <c r="M6" i="23"/>
  <c r="AY46" i="42"/>
  <c r="AY33" i="42"/>
  <c r="AY18" i="42"/>
  <c r="AY41" i="42"/>
  <c r="AY20" i="41"/>
  <c r="AY30" i="41"/>
  <c r="AY24" i="37"/>
  <c r="AY10" i="39"/>
  <c r="AY38" i="32"/>
  <c r="AY46" i="33"/>
  <c r="AY41" i="33"/>
  <c r="AY9" i="35"/>
  <c r="N6" i="23" l="1"/>
  <c r="C12" i="3"/>
  <c r="O6" i="23" l="1"/>
  <c r="C13" i="3"/>
  <c r="P6" i="23" s="1"/>
  <c r="AY40" i="40" l="1"/>
  <c r="AY45" i="40"/>
  <c r="AY18" i="40"/>
  <c r="AY19" i="40"/>
  <c r="AY43" i="40"/>
  <c r="AY26" i="40"/>
  <c r="AY44" i="40"/>
  <c r="AY11" i="40"/>
  <c r="AY32" i="40"/>
  <c r="AY12" i="40"/>
  <c r="AY13" i="40"/>
  <c r="AM56" i="37"/>
  <c r="AY37" i="40"/>
  <c r="AY31" i="40"/>
  <c r="AY14" i="40"/>
  <c r="AY15" i="40"/>
  <c r="AY20" i="40"/>
  <c r="AY22" i="40"/>
  <c r="AY47" i="32" l="1"/>
  <c r="AY39" i="36"/>
  <c r="AY46" i="36"/>
  <c r="G58" i="41" l="1"/>
  <c r="G58" i="33"/>
  <c r="AY19" i="33" l="1"/>
  <c r="AY36" i="33"/>
  <c r="AY20" i="33"/>
  <c r="AY18" i="33"/>
  <c r="AY55" i="33"/>
  <c r="AY26" i="33"/>
  <c r="AY13" i="33"/>
  <c r="AY40" i="33"/>
  <c r="AY21" i="33"/>
  <c r="AY15" i="33"/>
  <c r="AY17" i="33"/>
  <c r="AY25" i="33"/>
  <c r="AY23" i="33"/>
  <c r="AY34" i="33"/>
  <c r="AY44" i="33"/>
  <c r="AY14" i="33"/>
  <c r="AY53" i="33"/>
  <c r="AY38" i="33"/>
  <c r="AY27" i="33"/>
  <c r="AY48" i="33"/>
  <c r="AY45" i="33"/>
  <c r="AY32" i="33"/>
  <c r="AY30" i="33"/>
  <c r="AY33" i="33"/>
  <c r="AY39" i="33"/>
  <c r="AY29" i="33"/>
  <c r="AY24" i="33"/>
  <c r="AY35" i="33"/>
  <c r="AY12" i="33"/>
  <c r="AY50" i="33"/>
  <c r="AY10" i="33"/>
  <c r="AY56" i="33"/>
  <c r="AY49" i="33"/>
  <c r="AY43" i="33"/>
  <c r="AY47" i="33"/>
  <c r="AY9" i="33"/>
  <c r="AY51" i="33"/>
  <c r="AY16" i="33"/>
  <c r="AY22" i="33"/>
  <c r="AY31" i="33"/>
  <c r="AY37" i="33"/>
  <c r="AY52" i="33"/>
  <c r="AY28" i="33"/>
  <c r="H58" i="33"/>
  <c r="AY21" i="40"/>
  <c r="AY10" i="40"/>
  <c r="AY27" i="40"/>
  <c r="AY42" i="40"/>
  <c r="AY39" i="40"/>
  <c r="AY33" i="40"/>
  <c r="AY38" i="40"/>
  <c r="AY41" i="40"/>
  <c r="AY23" i="40"/>
  <c r="AY28" i="40"/>
  <c r="AY29" i="40"/>
  <c r="AY24" i="40"/>
  <c r="AY9" i="40"/>
  <c r="AY30" i="40"/>
  <c r="AY36" i="40"/>
  <c r="AY46" i="40"/>
  <c r="AY21" i="42"/>
  <c r="AY43" i="42"/>
  <c r="AY34" i="42"/>
  <c r="AY10" i="42"/>
  <c r="AY45" i="42"/>
  <c r="AY40" i="42"/>
  <c r="AY24" i="42"/>
  <c r="AY23" i="42"/>
  <c r="AY35" i="42"/>
  <c r="AY32" i="42"/>
  <c r="AY26" i="42"/>
  <c r="AY36" i="42"/>
  <c r="AY9" i="42"/>
  <c r="AY37" i="42"/>
  <c r="AY30" i="42"/>
  <c r="AY47" i="42"/>
  <c r="AY12" i="42"/>
  <c r="AY16" i="42"/>
  <c r="AY49" i="42"/>
  <c r="AY42" i="42"/>
  <c r="AY17" i="42"/>
  <c r="AY14" i="42"/>
  <c r="AY27" i="42"/>
  <c r="J23" i="23" s="1"/>
  <c r="AY11" i="42"/>
  <c r="AY25" i="42"/>
  <c r="AY44" i="42"/>
  <c r="AY13" i="42"/>
  <c r="AY39" i="42"/>
  <c r="AY19" i="42"/>
  <c r="AY31" i="42"/>
  <c r="AY20" i="42"/>
  <c r="AY40" i="41"/>
  <c r="AY10" i="41"/>
  <c r="AY25" i="41"/>
  <c r="AY35" i="41"/>
  <c r="AY33" i="41"/>
  <c r="AY37" i="41"/>
  <c r="AY53" i="41"/>
  <c r="AY47" i="41"/>
  <c r="AY16" i="41"/>
  <c r="AY11" i="41"/>
  <c r="AY50" i="41"/>
  <c r="AY42" i="41"/>
  <c r="AY41" i="41"/>
  <c r="AY24" i="41"/>
  <c r="AY31" i="41"/>
  <c r="AY18" i="41"/>
  <c r="AY51" i="41"/>
  <c r="AY52" i="41"/>
  <c r="AY56" i="41"/>
  <c r="AY46" i="41"/>
  <c r="AY14" i="41"/>
  <c r="AY34" i="41"/>
  <c r="AY54" i="41"/>
  <c r="AY22" i="41"/>
  <c r="AY9" i="41"/>
  <c r="AY23" i="41"/>
  <c r="AY36" i="41"/>
  <c r="AY44" i="41"/>
  <c r="AY28" i="41"/>
  <c r="AY26" i="41"/>
  <c r="AY21" i="41"/>
  <c r="AY27" i="41"/>
  <c r="AY55" i="41"/>
  <c r="AY32" i="41"/>
  <c r="AY39" i="41"/>
  <c r="AY45" i="41"/>
  <c r="AY49" i="41"/>
  <c r="AY38" i="41"/>
  <c r="AY19" i="41"/>
  <c r="AY43" i="41"/>
  <c r="AY13" i="41"/>
  <c r="AY12" i="41"/>
  <c r="AY29" i="41"/>
  <c r="H58" i="41"/>
  <c r="AY19" i="37"/>
  <c r="AY29" i="37"/>
  <c r="AY43" i="37"/>
  <c r="AY14" i="37"/>
  <c r="AY41" i="37"/>
  <c r="AY18" i="37"/>
  <c r="AY13" i="37"/>
  <c r="AY42" i="37"/>
  <c r="AY32" i="37"/>
  <c r="AY25" i="37"/>
  <c r="AY21" i="37"/>
  <c r="AY37" i="37"/>
  <c r="AY17" i="37"/>
  <c r="AY46" i="37"/>
  <c r="AY49" i="37"/>
  <c r="AY28" i="37"/>
  <c r="AY23" i="37"/>
  <c r="AY44" i="37"/>
  <c r="AY22" i="37"/>
  <c r="AY48" i="37"/>
  <c r="AY55" i="37"/>
  <c r="AY50" i="37"/>
  <c r="AY12" i="37"/>
  <c r="AY20" i="37"/>
  <c r="AY16" i="37"/>
  <c r="AY40" i="37"/>
  <c r="AY35" i="37"/>
  <c r="AY11" i="37"/>
  <c r="AY15" i="37"/>
  <c r="AY45" i="37"/>
  <c r="AY54" i="37"/>
  <c r="AY36" i="37"/>
  <c r="AY51" i="37"/>
  <c r="AY27" i="37"/>
  <c r="AY26" i="37"/>
  <c r="AY39" i="37"/>
  <c r="AY53" i="37"/>
  <c r="AY10" i="37"/>
  <c r="AY38" i="37"/>
  <c r="AY34" i="37"/>
  <c r="AY47" i="37"/>
  <c r="AY9" i="37"/>
  <c r="AY31" i="37"/>
  <c r="AY30" i="37"/>
  <c r="AY33" i="37"/>
  <c r="AY17" i="39"/>
  <c r="AY52" i="39"/>
  <c r="AY28" i="39"/>
  <c r="AY16" i="39"/>
  <c r="AY43" i="39"/>
  <c r="AY29" i="39"/>
  <c r="AY24" i="39"/>
  <c r="AY50" i="39"/>
  <c r="AY35" i="39"/>
  <c r="AY59" i="39"/>
  <c r="AY21" i="39"/>
  <c r="AY34" i="39"/>
  <c r="AY15" i="39"/>
  <c r="AY37" i="39"/>
  <c r="AY9" i="39"/>
  <c r="AY38" i="39"/>
  <c r="AY22" i="39"/>
  <c r="AY46" i="39"/>
  <c r="AY20" i="39"/>
  <c r="AY39" i="39"/>
  <c r="AY55" i="39"/>
  <c r="AY30" i="39"/>
  <c r="AY49" i="39"/>
  <c r="AY56" i="39"/>
  <c r="AY44" i="39"/>
  <c r="AY58" i="39"/>
  <c r="AY45" i="39"/>
  <c r="AY42" i="39"/>
  <c r="AY13" i="39"/>
  <c r="AY11" i="39"/>
  <c r="AY40" i="39"/>
  <c r="AY18" i="39"/>
  <c r="AY54" i="39"/>
  <c r="AY25" i="39"/>
  <c r="AY32" i="39"/>
  <c r="AY36" i="39"/>
  <c r="AY53" i="39"/>
  <c r="AY26" i="39"/>
  <c r="AY51" i="39"/>
  <c r="AY33" i="39"/>
  <c r="AY27" i="39"/>
  <c r="AY19" i="39"/>
  <c r="AY41" i="39"/>
  <c r="AY12" i="39"/>
  <c r="AY23" i="39"/>
  <c r="AY57" i="39"/>
  <c r="AY47" i="39"/>
  <c r="AY39" i="30"/>
  <c r="AY33" i="30"/>
  <c r="AY20" i="30"/>
  <c r="AY36" i="30"/>
  <c r="AY38" i="30"/>
  <c r="AY30" i="30"/>
  <c r="AY15" i="30"/>
  <c r="AY12" i="30"/>
  <c r="AY18" i="30"/>
  <c r="AY24" i="30"/>
  <c r="AY23" i="30"/>
  <c r="AY22" i="30"/>
  <c r="AY19" i="30"/>
  <c r="AY17" i="30"/>
  <c r="AY10" i="30"/>
  <c r="AY31" i="30"/>
  <c r="AY9" i="30"/>
  <c r="AY25" i="30"/>
  <c r="AY14" i="30"/>
  <c r="AY34" i="30"/>
  <c r="AY28" i="30"/>
  <c r="AY41" i="30"/>
  <c r="AY37" i="30"/>
  <c r="AY32" i="30"/>
  <c r="AY13" i="30"/>
  <c r="AY27" i="30"/>
  <c r="AY29" i="30"/>
  <c r="AY36" i="32"/>
  <c r="AY31" i="32"/>
  <c r="AY17" i="32"/>
  <c r="AY35" i="32"/>
  <c r="AY24" i="32"/>
  <c r="AY40" i="32"/>
  <c r="AY14" i="32"/>
  <c r="AY48" i="32"/>
  <c r="AY18" i="32"/>
  <c r="AY13" i="32"/>
  <c r="AY16" i="32"/>
  <c r="AY44" i="32"/>
  <c r="AY26" i="32"/>
  <c r="AY41" i="32"/>
  <c r="AY28" i="32"/>
  <c r="AY45" i="32"/>
  <c r="AY42" i="32"/>
  <c r="AY11" i="32"/>
  <c r="AY46" i="32"/>
  <c r="AY22" i="32"/>
  <c r="AY34" i="32"/>
  <c r="AY25" i="32"/>
  <c r="AY15" i="32"/>
  <c r="AY51" i="32"/>
  <c r="AY37" i="32"/>
  <c r="AY43" i="32"/>
  <c r="AY33" i="32"/>
  <c r="AY23" i="32"/>
  <c r="AY32" i="32"/>
  <c r="AY19" i="32"/>
  <c r="AY30" i="32"/>
  <c r="AY39" i="32"/>
  <c r="AY20" i="32"/>
  <c r="AY10" i="32"/>
  <c r="AY37" i="34"/>
  <c r="AY51" i="34"/>
  <c r="AY52" i="34"/>
  <c r="AY55" i="34"/>
  <c r="AY43" i="34"/>
  <c r="AY54" i="34"/>
  <c r="AY38" i="34"/>
  <c r="AY25" i="34"/>
  <c r="AY14" i="34"/>
  <c r="AY26" i="34"/>
  <c r="AY29" i="34"/>
  <c r="AY41" i="34"/>
  <c r="AY17" i="34"/>
  <c r="AY19" i="34"/>
  <c r="AY32" i="34"/>
  <c r="AY22" i="34"/>
  <c r="AY40" i="34"/>
  <c r="AY27" i="34"/>
  <c r="AY10" i="34"/>
  <c r="AY21" i="34"/>
  <c r="AY49" i="34"/>
  <c r="AY35" i="34"/>
  <c r="AY34" i="34"/>
  <c r="AY15" i="34"/>
  <c r="AY44" i="34"/>
  <c r="AY53" i="34"/>
  <c r="AY39" i="34"/>
  <c r="AY16" i="34"/>
  <c r="AY20" i="34"/>
  <c r="AY24" i="34"/>
  <c r="AY42" i="34"/>
  <c r="AY28" i="34"/>
  <c r="AY45" i="34"/>
  <c r="AY47" i="34"/>
  <c r="AY31" i="34"/>
  <c r="AY30" i="34"/>
  <c r="AY9" i="34"/>
  <c r="AY11" i="34"/>
  <c r="AY36" i="34"/>
  <c r="AY13" i="34"/>
  <c r="AY12" i="34"/>
  <c r="AY18" i="34"/>
  <c r="AY33" i="34"/>
  <c r="AY50" i="34"/>
  <c r="AY48" i="34"/>
  <c r="AY15" i="35"/>
  <c r="AY28" i="35"/>
  <c r="AY49" i="35"/>
  <c r="AY27" i="35"/>
  <c r="AY44" i="35"/>
  <c r="AY35" i="35"/>
  <c r="AY14" i="35"/>
  <c r="AY20" i="35"/>
  <c r="AY47" i="35"/>
  <c r="AY31" i="35"/>
  <c r="AY25" i="35"/>
  <c r="AY45" i="35"/>
  <c r="AY24" i="35"/>
  <c r="AY34" i="35"/>
  <c r="AY21" i="35"/>
  <c r="AY46" i="35"/>
  <c r="AY11" i="35"/>
  <c r="AY17" i="35"/>
  <c r="AY50" i="35"/>
  <c r="AY36" i="35"/>
  <c r="AY32" i="35"/>
  <c r="AY38" i="35"/>
  <c r="AY16" i="35"/>
  <c r="AY12" i="35"/>
  <c r="AY33" i="35"/>
  <c r="AY13" i="35"/>
  <c r="AY22" i="35"/>
  <c r="AY39" i="35"/>
  <c r="AY19" i="35"/>
  <c r="AY40" i="35"/>
  <c r="AY54" i="35"/>
  <c r="AY42" i="35"/>
  <c r="AY10" i="35"/>
  <c r="AY30" i="35"/>
  <c r="AY23" i="35"/>
  <c r="AY53" i="35"/>
  <c r="AY52" i="35"/>
  <c r="AY37" i="35"/>
  <c r="AY29" i="35"/>
  <c r="AY26" i="35"/>
  <c r="AY41" i="35"/>
  <c r="A9" i="38" l="1"/>
  <c r="A9" i="39"/>
  <c r="G61" i="39" l="1"/>
  <c r="H61" i="39"/>
  <c r="A9" i="35" l="1"/>
  <c r="E6" i="46" l="1"/>
  <c r="F6" i="46" s="1"/>
  <c r="D6" i="46" l="1"/>
  <c r="I6" i="46" l="1"/>
  <c r="H6" i="46"/>
  <c r="G6" i="46"/>
  <c r="O4" i="23" l="1"/>
  <c r="I4" i="23" l="1"/>
  <c r="M45" i="26" l="1"/>
  <c r="M2" i="26"/>
  <c r="B3" i="36"/>
  <c r="CC50" i="26"/>
  <c r="CC51" i="26"/>
  <c r="CC52" i="26"/>
  <c r="CC56" i="26"/>
  <c r="CC57" i="26"/>
  <c r="CC59" i="26"/>
  <c r="CC62" i="26"/>
  <c r="CC64" i="26"/>
  <c r="CC66" i="26"/>
  <c r="CC67" i="26"/>
  <c r="CC68" i="26"/>
  <c r="CC70" i="26"/>
  <c r="CC71" i="26"/>
  <c r="CC72" i="26"/>
  <c r="CC73" i="26"/>
  <c r="CC74" i="26"/>
  <c r="CC75" i="26"/>
  <c r="CC76" i="26"/>
  <c r="CC80" i="26"/>
  <c r="CC83" i="26"/>
  <c r="CC85" i="26"/>
  <c r="CB50" i="26"/>
  <c r="CB51" i="26"/>
  <c r="CB52" i="26"/>
  <c r="CB56" i="26"/>
  <c r="CB57" i="26"/>
  <c r="CB59" i="26"/>
  <c r="CB62" i="26"/>
  <c r="CB64" i="26"/>
  <c r="CB66" i="26"/>
  <c r="CB67" i="26"/>
  <c r="CB68" i="26"/>
  <c r="CB70" i="26"/>
  <c r="CB71" i="26"/>
  <c r="CB72" i="26"/>
  <c r="CB73" i="26"/>
  <c r="CB74" i="26"/>
  <c r="CB75" i="26"/>
  <c r="CB76" i="26"/>
  <c r="CB80" i="26"/>
  <c r="CB83" i="26"/>
  <c r="CB85" i="26"/>
  <c r="CA70" i="26"/>
  <c r="CA73" i="26"/>
  <c r="CA76" i="26"/>
  <c r="CA83" i="26"/>
  <c r="AT50" i="26"/>
  <c r="AT51" i="26"/>
  <c r="AT52" i="26"/>
  <c r="AT56" i="26"/>
  <c r="AT57" i="26"/>
  <c r="AT59" i="26"/>
  <c r="AT62" i="26"/>
  <c r="AT64" i="26"/>
  <c r="AT66" i="26"/>
  <c r="AT67" i="26"/>
  <c r="AT68" i="26"/>
  <c r="AT70" i="26"/>
  <c r="AT71" i="26"/>
  <c r="AT72" i="26"/>
  <c r="AT73" i="26"/>
  <c r="AT74" i="26"/>
  <c r="AT75" i="26"/>
  <c r="AT76" i="26"/>
  <c r="AT80" i="26"/>
  <c r="AT83" i="26"/>
  <c r="AT85" i="26"/>
  <c r="AS50" i="26"/>
  <c r="AS51" i="26"/>
  <c r="AS52" i="26"/>
  <c r="AS56" i="26"/>
  <c r="AS57" i="26"/>
  <c r="AS59" i="26"/>
  <c r="AS62" i="26"/>
  <c r="AS64" i="26"/>
  <c r="AS66" i="26"/>
  <c r="AS67" i="26"/>
  <c r="AS68" i="26"/>
  <c r="AS70" i="26"/>
  <c r="AS71" i="26"/>
  <c r="AS72" i="26"/>
  <c r="AS73" i="26"/>
  <c r="AS74" i="26"/>
  <c r="AS75" i="26"/>
  <c r="AS76" i="26"/>
  <c r="AS80" i="26"/>
  <c r="AS83" i="26"/>
  <c r="AS85" i="26"/>
  <c r="AR83" i="26"/>
  <c r="BZ70" i="26"/>
  <c r="BZ73" i="26"/>
  <c r="BZ76" i="26"/>
  <c r="BZ83" i="26"/>
  <c r="AQ83" i="26"/>
  <c r="BX51" i="26"/>
  <c r="BX59" i="26"/>
  <c r="BX63" i="26"/>
  <c r="BX70" i="26"/>
  <c r="BX75" i="26"/>
  <c r="BX84" i="26"/>
  <c r="BX85" i="26"/>
  <c r="BW51" i="26"/>
  <c r="BW59" i="26"/>
  <c r="BW63" i="26"/>
  <c r="BW70" i="26"/>
  <c r="BW75" i="26"/>
  <c r="BW84" i="26"/>
  <c r="BW85" i="26"/>
  <c r="AO51" i="26"/>
  <c r="AO59" i="26"/>
  <c r="AO63" i="26"/>
  <c r="AO70" i="26"/>
  <c r="AO75" i="26"/>
  <c r="AO84" i="26"/>
  <c r="AO85" i="26"/>
  <c r="AN51" i="26"/>
  <c r="AN59" i="26"/>
  <c r="AN63" i="26"/>
  <c r="AN70" i="26"/>
  <c r="AN75" i="26"/>
  <c r="AN84" i="26"/>
  <c r="AN85" i="26"/>
  <c r="BS49" i="26"/>
  <c r="BS55" i="26"/>
  <c r="BS61" i="26"/>
  <c r="BS77" i="26"/>
  <c r="BS84" i="26"/>
  <c r="BR49" i="26"/>
  <c r="BR55" i="26"/>
  <c r="BR61" i="26"/>
  <c r="BR77" i="26"/>
  <c r="BR84" i="26"/>
  <c r="AJ49" i="26"/>
  <c r="AJ55" i="26"/>
  <c r="AJ61" i="26"/>
  <c r="AJ77" i="26"/>
  <c r="AJ84" i="26"/>
  <c r="AI49" i="26"/>
  <c r="AI55" i="26"/>
  <c r="AI61" i="26"/>
  <c r="AI77" i="26"/>
  <c r="AI84" i="26"/>
  <c r="BN54" i="26"/>
  <c r="BN55" i="26"/>
  <c r="BN58" i="26"/>
  <c r="BN69" i="26"/>
  <c r="BN79" i="26"/>
  <c r="BN81" i="26"/>
  <c r="BN83" i="26"/>
  <c r="BM54" i="26"/>
  <c r="BM55" i="26"/>
  <c r="BM58" i="26"/>
  <c r="BM69" i="26"/>
  <c r="BM79" i="26"/>
  <c r="BM81" i="26"/>
  <c r="BM83" i="26"/>
  <c r="BL79" i="26"/>
  <c r="BL83" i="26"/>
  <c r="BI58" i="26"/>
  <c r="BI69" i="26"/>
  <c r="BI78" i="26"/>
  <c r="BI79" i="26"/>
  <c r="BI81" i="26"/>
  <c r="BH58" i="26"/>
  <c r="BH69" i="26"/>
  <c r="BH78" i="26"/>
  <c r="BH79" i="26"/>
  <c r="BH81" i="26"/>
  <c r="BG79" i="26"/>
  <c r="AE54" i="26"/>
  <c r="AE55" i="26"/>
  <c r="AE58" i="26"/>
  <c r="AE69" i="26"/>
  <c r="AE79" i="26"/>
  <c r="AE81" i="26"/>
  <c r="AE83" i="26"/>
  <c r="AD54" i="26"/>
  <c r="AD55" i="26"/>
  <c r="AD58" i="26"/>
  <c r="AD69" i="26"/>
  <c r="AD79" i="26"/>
  <c r="AD81" i="26"/>
  <c r="AD83" i="26"/>
  <c r="AC83" i="26"/>
  <c r="Z58" i="26"/>
  <c r="Z78" i="26"/>
  <c r="Z79" i="26"/>
  <c r="Y58" i="26"/>
  <c r="Y78" i="26"/>
  <c r="Y79" i="26"/>
  <c r="BK79" i="26"/>
  <c r="BK83" i="26"/>
  <c r="AB83" i="26"/>
  <c r="BF79" i="26"/>
  <c r="BD48" i="26"/>
  <c r="BD53" i="26"/>
  <c r="BD60" i="26"/>
  <c r="BD65" i="26"/>
  <c r="BD74" i="26"/>
  <c r="BD78" i="26"/>
  <c r="BD82" i="26"/>
  <c r="BC48" i="26"/>
  <c r="BC53" i="26"/>
  <c r="BC60" i="26"/>
  <c r="BC65" i="26"/>
  <c r="BC74" i="26"/>
  <c r="BC78" i="26"/>
  <c r="BC82" i="26"/>
  <c r="AY48" i="26"/>
  <c r="AY49" i="26"/>
  <c r="AY50" i="26"/>
  <c r="AY52" i="26"/>
  <c r="AY53" i="26"/>
  <c r="AY54" i="26"/>
  <c r="AY56" i="26"/>
  <c r="AY57" i="26"/>
  <c r="AY60" i="26"/>
  <c r="AY61" i="26"/>
  <c r="AY62" i="26"/>
  <c r="AY63" i="26"/>
  <c r="AY64" i="26"/>
  <c r="AY65" i="26"/>
  <c r="AY66" i="26"/>
  <c r="AY67" i="26"/>
  <c r="AY68" i="26"/>
  <c r="AY71" i="26"/>
  <c r="AY73" i="26"/>
  <c r="AY76" i="26"/>
  <c r="AY77" i="26"/>
  <c r="AY80" i="26"/>
  <c r="AY82" i="26"/>
  <c r="AX48" i="26"/>
  <c r="AX49" i="26"/>
  <c r="AX50" i="26"/>
  <c r="AX52" i="26"/>
  <c r="AX53" i="26"/>
  <c r="AX54" i="26"/>
  <c r="AX56" i="26"/>
  <c r="AX57" i="26"/>
  <c r="AX60" i="26"/>
  <c r="AX61" i="26"/>
  <c r="AX62" i="26"/>
  <c r="AX63" i="26"/>
  <c r="AX64" i="26"/>
  <c r="AX65" i="26"/>
  <c r="AX66" i="26"/>
  <c r="AX67" i="26"/>
  <c r="AX68" i="26"/>
  <c r="AX71" i="26"/>
  <c r="AX73" i="26"/>
  <c r="AX76" i="26"/>
  <c r="AX77" i="26"/>
  <c r="AX80" i="26"/>
  <c r="AX82" i="26"/>
  <c r="AW48" i="26"/>
  <c r="AW54" i="26"/>
  <c r="AW56" i="26"/>
  <c r="AW61" i="26"/>
  <c r="AW62" i="26"/>
  <c r="AW76" i="26"/>
  <c r="AW77" i="26"/>
  <c r="AV48" i="26"/>
  <c r="U48" i="26"/>
  <c r="U53" i="26"/>
  <c r="U60" i="26"/>
  <c r="U65" i="26"/>
  <c r="U74" i="26"/>
  <c r="U78" i="26"/>
  <c r="U82" i="26"/>
  <c r="T48" i="26"/>
  <c r="T53" i="26"/>
  <c r="T60" i="26"/>
  <c r="T65" i="26"/>
  <c r="T74" i="26"/>
  <c r="T78" i="26"/>
  <c r="T82" i="26"/>
  <c r="AV54" i="26"/>
  <c r="AV56" i="26"/>
  <c r="AV61" i="26"/>
  <c r="AV62" i="26"/>
  <c r="AV76" i="26"/>
  <c r="AV77" i="26"/>
  <c r="P48" i="26"/>
  <c r="P49" i="26"/>
  <c r="P50" i="26"/>
  <c r="P52" i="26"/>
  <c r="P53" i="26"/>
  <c r="P54" i="26"/>
  <c r="P56" i="26"/>
  <c r="P57" i="26"/>
  <c r="P60" i="26"/>
  <c r="P61" i="26"/>
  <c r="P62" i="26"/>
  <c r="P63" i="26"/>
  <c r="P64" i="26"/>
  <c r="P65" i="26"/>
  <c r="P66" i="26"/>
  <c r="P67" i="26"/>
  <c r="P68" i="26"/>
  <c r="P71" i="26"/>
  <c r="P72" i="26"/>
  <c r="P73" i="26"/>
  <c r="P76" i="26"/>
  <c r="P77" i="26"/>
  <c r="P80" i="26"/>
  <c r="P82" i="26"/>
  <c r="O48" i="26"/>
  <c r="O49" i="26"/>
  <c r="O50" i="26"/>
  <c r="O52" i="26"/>
  <c r="O53" i="26"/>
  <c r="O54" i="26"/>
  <c r="O56" i="26"/>
  <c r="O57" i="26"/>
  <c r="O60" i="26"/>
  <c r="O61" i="26"/>
  <c r="O62" i="26"/>
  <c r="O63" i="26"/>
  <c r="O64" i="26"/>
  <c r="O65" i="26"/>
  <c r="O66" i="26"/>
  <c r="O67" i="26"/>
  <c r="O68" i="26"/>
  <c r="O71" i="26"/>
  <c r="O72" i="26"/>
  <c r="O73" i="26"/>
  <c r="O76" i="26"/>
  <c r="O77" i="26"/>
  <c r="O80" i="26"/>
  <c r="O82" i="26"/>
  <c r="N61" i="26"/>
  <c r="M61" i="26"/>
  <c r="CC5" i="26"/>
  <c r="CC8" i="26"/>
  <c r="CC9" i="26"/>
  <c r="CC18" i="26"/>
  <c r="CC19" i="26"/>
  <c r="CC20" i="26"/>
  <c r="CC22" i="26"/>
  <c r="CC25" i="26"/>
  <c r="CC26" i="26"/>
  <c r="CC29" i="26"/>
  <c r="CC31" i="26"/>
  <c r="CC33" i="26"/>
  <c r="CC35" i="26"/>
  <c r="CC40" i="26"/>
  <c r="CC42" i="26"/>
  <c r="CB8" i="26"/>
  <c r="CB9" i="26"/>
  <c r="CB20" i="26"/>
  <c r="CB22" i="26"/>
  <c r="CB35" i="26"/>
  <c r="AT5" i="26"/>
  <c r="AT8" i="26"/>
  <c r="AT9" i="26"/>
  <c r="AT18" i="26"/>
  <c r="AT19" i="26"/>
  <c r="AT20" i="26"/>
  <c r="AT22" i="26"/>
  <c r="AT25" i="26"/>
  <c r="AT26" i="26"/>
  <c r="AT29" i="26"/>
  <c r="AT31" i="26"/>
  <c r="AT33" i="26"/>
  <c r="AT35" i="26"/>
  <c r="AT40" i="26"/>
  <c r="AT42" i="26"/>
  <c r="AS8" i="26"/>
  <c r="AS9" i="26"/>
  <c r="AS20" i="26"/>
  <c r="AS22" i="26"/>
  <c r="AS35" i="26"/>
  <c r="BX8" i="26"/>
  <c r="BX20" i="26"/>
  <c r="BW8" i="26"/>
  <c r="BW20" i="26"/>
  <c r="AO20" i="26"/>
  <c r="AO24" i="26"/>
  <c r="AO28" i="26"/>
  <c r="AO38" i="26"/>
  <c r="AO42" i="26"/>
  <c r="AN20" i="26"/>
  <c r="BS7" i="26"/>
  <c r="BS14" i="26"/>
  <c r="BS17" i="26"/>
  <c r="BS23" i="26"/>
  <c r="BS24" i="26"/>
  <c r="BS36" i="26"/>
  <c r="BS38" i="26"/>
  <c r="BS39" i="26"/>
  <c r="BR7" i="26"/>
  <c r="BR14" i="26"/>
  <c r="BR23" i="26"/>
  <c r="BR24" i="26"/>
  <c r="BR38" i="26"/>
  <c r="BQ38" i="26"/>
  <c r="BP38" i="26"/>
  <c r="AJ7" i="26"/>
  <c r="AJ14" i="26"/>
  <c r="AJ17" i="26"/>
  <c r="AJ23" i="26"/>
  <c r="AJ24" i="26"/>
  <c r="AJ36" i="26"/>
  <c r="AJ38" i="26"/>
  <c r="AJ39" i="26"/>
  <c r="AI7" i="26"/>
  <c r="AI14" i="26"/>
  <c r="AI23" i="26"/>
  <c r="AI24" i="26"/>
  <c r="AI38" i="26"/>
  <c r="AH38" i="26"/>
  <c r="AG38" i="26"/>
  <c r="BN7" i="26"/>
  <c r="BM7" i="26"/>
  <c r="AE7" i="26"/>
  <c r="AE11" i="26"/>
  <c r="AE13" i="26"/>
  <c r="AE23" i="26"/>
  <c r="AE33" i="26"/>
  <c r="AE37" i="26"/>
  <c r="AD7" i="26"/>
  <c r="BI6" i="26"/>
  <c r="BI12" i="26"/>
  <c r="BI13" i="26"/>
  <c r="BI16" i="26"/>
  <c r="BI27" i="26"/>
  <c r="BI30" i="26"/>
  <c r="BI34" i="26"/>
  <c r="BI37" i="26"/>
  <c r="BH12" i="26"/>
  <c r="BH13" i="26"/>
  <c r="Z13" i="26"/>
  <c r="Z16" i="26"/>
  <c r="Y13" i="26"/>
  <c r="BD6" i="26"/>
  <c r="BD10" i="26"/>
  <c r="BD16" i="26"/>
  <c r="BD21" i="26"/>
  <c r="BD30" i="26"/>
  <c r="BD34" i="26"/>
  <c r="BD41" i="26"/>
  <c r="BD43" i="26"/>
  <c r="BC30" i="26"/>
  <c r="U30" i="26"/>
  <c r="U34" i="26"/>
  <c r="U41" i="26"/>
  <c r="U43" i="26"/>
  <c r="T30" i="26"/>
  <c r="AY9" i="26"/>
  <c r="AY10" i="26"/>
  <c r="AY11" i="26"/>
  <c r="AY17" i="26"/>
  <c r="AY27" i="26"/>
  <c r="AY28" i="26"/>
  <c r="AY32" i="26"/>
  <c r="AY40" i="26"/>
  <c r="AY41" i="26"/>
  <c r="AY43" i="26"/>
  <c r="P5" i="26"/>
  <c r="AX9" i="26"/>
  <c r="AX10" i="26"/>
  <c r="AX11" i="26"/>
  <c r="AX17" i="26"/>
  <c r="AX27" i="26"/>
  <c r="AX28" i="26"/>
  <c r="AX32" i="26"/>
  <c r="AX40" i="26"/>
  <c r="AX41" i="26"/>
  <c r="AX43" i="26"/>
  <c r="AW11" i="26"/>
  <c r="AW40" i="26"/>
  <c r="AW41" i="26"/>
  <c r="AW43" i="26"/>
  <c r="AV11" i="26"/>
  <c r="AV40" i="26"/>
  <c r="AV41" i="26"/>
  <c r="AV43" i="26"/>
  <c r="P9" i="26"/>
  <c r="P10" i="26"/>
  <c r="P11" i="26"/>
  <c r="P12" i="26"/>
  <c r="P15" i="26"/>
  <c r="P17" i="26"/>
  <c r="P18" i="26"/>
  <c r="P19" i="26"/>
  <c r="P21" i="26"/>
  <c r="P22" i="26"/>
  <c r="P25" i="26"/>
  <c r="P27" i="26"/>
  <c r="P28" i="26"/>
  <c r="P29" i="26"/>
  <c r="P31" i="26"/>
  <c r="P32" i="26"/>
  <c r="P35" i="26"/>
  <c r="P36" i="26"/>
  <c r="P40" i="26"/>
  <c r="P41" i="26"/>
  <c r="P43" i="26"/>
  <c r="O9" i="26"/>
  <c r="O10" i="26"/>
  <c r="O11" i="26"/>
  <c r="O17" i="26"/>
  <c r="O18" i="26"/>
  <c r="O27" i="26"/>
  <c r="O28" i="26"/>
  <c r="O32" i="26"/>
  <c r="O36" i="26"/>
  <c r="O40" i="26"/>
  <c r="O41" i="26"/>
  <c r="O43" i="26"/>
  <c r="N28" i="26"/>
  <c r="N40" i="26"/>
  <c r="N41" i="26"/>
  <c r="N43" i="26"/>
  <c r="M28" i="26"/>
  <c r="M40" i="26"/>
  <c r="M41" i="26"/>
  <c r="M43" i="26"/>
  <c r="CB48" i="26" l="1"/>
  <c r="CB53" i="26"/>
  <c r="CB55" i="26"/>
  <c r="CB58" i="26"/>
  <c r="CB17" i="26"/>
  <c r="CC27" i="26"/>
  <c r="CC79" i="26"/>
  <c r="BS22" i="26"/>
  <c r="BS71" i="26"/>
  <c r="BS76" i="26"/>
  <c r="BS35" i="26"/>
  <c r="BS42" i="26"/>
  <c r="BH49" i="26"/>
  <c r="BH50" i="26"/>
  <c r="BH52" i="26"/>
  <c r="BH9" i="26"/>
  <c r="BH53" i="26"/>
  <c r="BH56" i="26"/>
  <c r="BH57" i="26"/>
  <c r="BH15" i="26"/>
  <c r="BI17" i="26"/>
  <c r="BD25" i="26"/>
  <c r="AY6" i="26"/>
  <c r="AY13" i="26"/>
  <c r="AY24" i="26"/>
  <c r="AY30" i="26"/>
  <c r="AS79" i="26"/>
  <c r="AI9" i="26"/>
  <c r="AI53" i="26"/>
  <c r="AJ59" i="26"/>
  <c r="AJ60" i="26"/>
  <c r="AJ18" i="26"/>
  <c r="AJ19" i="26"/>
  <c r="AJ64" i="26"/>
  <c r="AJ65" i="26"/>
  <c r="AJ66" i="26"/>
  <c r="AJ67" i="26"/>
  <c r="AJ22" i="26"/>
  <c r="AJ68" i="26"/>
  <c r="AJ25" i="26"/>
  <c r="AJ26" i="26"/>
  <c r="AJ29" i="26"/>
  <c r="AJ30" i="26"/>
  <c r="AJ31" i="26"/>
  <c r="AJ32" i="26"/>
  <c r="AJ76" i="26"/>
  <c r="AJ34" i="26"/>
  <c r="AJ79" i="26"/>
  <c r="AJ37" i="26"/>
  <c r="AE6" i="26"/>
  <c r="AD51" i="26"/>
  <c r="AD48" i="26"/>
  <c r="AD8" i="26"/>
  <c r="AD56" i="26"/>
  <c r="AD57" i="26"/>
  <c r="AD60" i="26"/>
  <c r="Z60" i="26"/>
  <c r="Z70" i="26"/>
  <c r="Z68" i="26"/>
  <c r="Z29" i="26"/>
  <c r="Z31" i="26"/>
  <c r="Z80" i="26"/>
  <c r="Z38" i="26"/>
  <c r="U33" i="26"/>
  <c r="U36" i="26"/>
  <c r="U42" i="26"/>
  <c r="P59" i="26"/>
  <c r="P16" i="26"/>
  <c r="P23" i="26"/>
  <c r="P30" i="26"/>
  <c r="P74" i="26"/>
  <c r="P81" i="26"/>
  <c r="P84" i="26"/>
  <c r="P42" i="26"/>
  <c r="P7" i="26"/>
  <c r="BS63" i="26"/>
  <c r="BS18" i="26"/>
  <c r="BS62" i="26"/>
  <c r="BS59" i="26"/>
  <c r="BR9" i="26"/>
  <c r="BR50" i="26"/>
  <c r="A9" i="43"/>
  <c r="A9" i="42"/>
  <c r="A9" i="41"/>
  <c r="CC58" i="26"/>
  <c r="CC48" i="26"/>
  <c r="A9" i="40"/>
  <c r="AX39" i="26"/>
  <c r="AY34" i="26"/>
  <c r="AY33" i="26"/>
  <c r="AY26" i="26"/>
  <c r="AY23" i="26"/>
  <c r="AY16" i="26"/>
  <c r="BI19" i="26"/>
  <c r="BI61" i="26"/>
  <c r="BI15" i="26"/>
  <c r="BI57" i="26"/>
  <c r="BI56" i="26"/>
  <c r="BI53" i="26"/>
  <c r="BI11" i="26"/>
  <c r="BI9" i="26"/>
  <c r="BI52" i="26"/>
  <c r="BI50" i="26"/>
  <c r="BI49" i="26"/>
  <c r="A9" i="37"/>
  <c r="P83" i="26"/>
  <c r="P37" i="26"/>
  <c r="P79" i="26"/>
  <c r="P33" i="26"/>
  <c r="P75" i="26"/>
  <c r="P26" i="26"/>
  <c r="P24" i="26"/>
  <c r="P69" i="26"/>
  <c r="P20" i="26"/>
  <c r="P58" i="26"/>
  <c r="P13" i="26"/>
  <c r="P51" i="26"/>
  <c r="P6" i="26"/>
  <c r="T81" i="26"/>
  <c r="T80" i="26"/>
  <c r="U80" i="26"/>
  <c r="T79" i="26"/>
  <c r="U35" i="26"/>
  <c r="T76" i="26"/>
  <c r="T75" i="26"/>
  <c r="U75" i="26"/>
  <c r="U31" i="26"/>
  <c r="T73" i="26"/>
  <c r="T72" i="26"/>
  <c r="U72" i="26"/>
  <c r="U28" i="26"/>
  <c r="U27" i="26"/>
  <c r="U71" i="26"/>
  <c r="T68" i="26"/>
  <c r="U68" i="26"/>
  <c r="T69" i="26"/>
  <c r="U69" i="26"/>
  <c r="T64" i="26"/>
  <c r="U64" i="26"/>
  <c r="T63" i="26"/>
  <c r="T62" i="26"/>
  <c r="T61" i="26"/>
  <c r="T59" i="26"/>
  <c r="T58" i="26"/>
  <c r="U58" i="26"/>
  <c r="T57" i="26"/>
  <c r="U57" i="26"/>
  <c r="T56" i="26"/>
  <c r="U56" i="26"/>
  <c r="T55" i="26"/>
  <c r="U55" i="26"/>
  <c r="T54" i="26"/>
  <c r="U54" i="26"/>
  <c r="T52" i="26"/>
  <c r="U52" i="26"/>
  <c r="T50" i="26"/>
  <c r="U50" i="26"/>
  <c r="T51" i="26"/>
  <c r="U51" i="26"/>
  <c r="U5" i="26"/>
  <c r="Z43" i="26"/>
  <c r="Z74" i="26"/>
  <c r="Z71" i="26"/>
  <c r="Z17" i="26"/>
  <c r="Z14" i="26"/>
  <c r="Z56" i="26"/>
  <c r="Y48" i="26"/>
  <c r="A9" i="34"/>
  <c r="AJ12" i="26"/>
  <c r="AJ53" i="26"/>
  <c r="AJ11" i="26"/>
  <c r="AJ9" i="26"/>
  <c r="AJ52" i="26"/>
  <c r="AJ50" i="26"/>
  <c r="AJ6" i="26"/>
  <c r="AJ5" i="26"/>
  <c r="A9" i="33"/>
  <c r="AO69" i="26"/>
  <c r="AO65" i="26"/>
  <c r="AN64" i="26"/>
  <c r="AO18" i="26"/>
  <c r="AO61" i="26"/>
  <c r="AN60" i="26"/>
  <c r="AO58" i="26"/>
  <c r="AO57" i="26"/>
  <c r="AN56" i="26"/>
  <c r="AO56" i="26"/>
  <c r="AO55" i="26"/>
  <c r="AN53" i="26"/>
  <c r="AO53" i="26"/>
  <c r="AO54" i="26"/>
  <c r="AO10" i="26"/>
  <c r="AN9" i="26"/>
  <c r="AO9" i="26"/>
  <c r="AO52" i="26"/>
  <c r="AN48" i="26"/>
  <c r="AO48" i="26"/>
  <c r="AO50" i="26"/>
  <c r="AN49" i="26"/>
  <c r="AO49" i="26"/>
  <c r="AN14" i="26"/>
  <c r="AO14" i="26"/>
  <c r="AO7" i="26"/>
  <c r="AE16" i="26"/>
  <c r="AE18" i="26"/>
  <c r="AD61" i="26"/>
  <c r="AE61" i="26"/>
  <c r="AD59" i="26"/>
  <c r="AE59" i="26"/>
  <c r="AD12" i="26"/>
  <c r="AE12" i="26"/>
  <c r="AD53" i="26"/>
  <c r="AE53" i="26"/>
  <c r="AD9" i="26"/>
  <c r="AE9" i="26"/>
  <c r="AD52" i="26"/>
  <c r="AE52" i="26"/>
  <c r="AD50" i="26"/>
  <c r="AE50" i="26"/>
  <c r="AD49" i="26"/>
  <c r="AE49" i="26"/>
  <c r="AD5" i="26"/>
  <c r="A9" i="31"/>
  <c r="A9" i="30"/>
  <c r="BN14" i="26" l="1"/>
  <c r="BZ16" i="26"/>
  <c r="CB10" i="26"/>
  <c r="CB26" i="26"/>
  <c r="BX30" i="26"/>
  <c r="BX72" i="26"/>
  <c r="BX38" i="26"/>
  <c r="BX24" i="26"/>
  <c r="BX18" i="26"/>
  <c r="BX32" i="26"/>
  <c r="BX83" i="26"/>
  <c r="BX74" i="26"/>
  <c r="BX27" i="26"/>
  <c r="BX52" i="26"/>
  <c r="BX42" i="26"/>
  <c r="BX58" i="26"/>
  <c r="BX49" i="26"/>
  <c r="BX28" i="26"/>
  <c r="BX68" i="26"/>
  <c r="BX61" i="26"/>
  <c r="BX39" i="26"/>
  <c r="BX12" i="26"/>
  <c r="BX26" i="26"/>
  <c r="BX7" i="26"/>
  <c r="BN37" i="26"/>
  <c r="BN33" i="26"/>
  <c r="BN82" i="26"/>
  <c r="BN76" i="26"/>
  <c r="BN13" i="26"/>
  <c r="BN68" i="26"/>
  <c r="BN34" i="26"/>
  <c r="BN77" i="26"/>
  <c r="BN15" i="26"/>
  <c r="BN51" i="26"/>
  <c r="BN30" i="26"/>
  <c r="BN78" i="26"/>
  <c r="BN36" i="26"/>
  <c r="BN71" i="26"/>
  <c r="BN27" i="26"/>
  <c r="BN62" i="26"/>
  <c r="BN25" i="26"/>
  <c r="BN23" i="26"/>
  <c r="BN11" i="26"/>
  <c r="BN6" i="26"/>
  <c r="BN29" i="26"/>
  <c r="AX6" i="26"/>
  <c r="AX13" i="26"/>
  <c r="AX24" i="26"/>
  <c r="AW16" i="26"/>
  <c r="AV16" i="26"/>
  <c r="AX30" i="26"/>
  <c r="AS34" i="26"/>
  <c r="AS31" i="26"/>
  <c r="AQ43" i="26"/>
  <c r="AQ41" i="26"/>
  <c r="AN24" i="26"/>
  <c r="AI11" i="26"/>
  <c r="AD10" i="26"/>
  <c r="R40" i="26"/>
  <c r="T39" i="26"/>
  <c r="T27" i="26"/>
  <c r="T34" i="26"/>
  <c r="O5" i="26"/>
  <c r="BW64" i="26"/>
  <c r="BW61" i="26"/>
  <c r="BW58" i="26"/>
  <c r="BW54" i="26"/>
  <c r="BW52" i="26"/>
  <c r="BW68" i="26"/>
  <c r="BW57" i="26"/>
  <c r="BW56" i="26"/>
  <c r="BW55" i="26"/>
  <c r="BW50" i="26"/>
  <c r="BW14" i="26"/>
  <c r="BM61" i="26"/>
  <c r="BM68" i="26"/>
  <c r="BW77" i="26"/>
  <c r="BW67" i="26"/>
  <c r="BM64" i="26"/>
  <c r="BM53" i="26"/>
  <c r="BM77" i="26"/>
  <c r="BM52" i="26"/>
  <c r="BM50" i="26"/>
  <c r="BM49" i="26"/>
  <c r="CC53" i="26"/>
  <c r="CC17" i="26"/>
  <c r="CB60" i="26"/>
  <c r="CC11" i="26"/>
  <c r="CC77" i="26"/>
  <c r="CB28" i="26"/>
  <c r="CB27" i="26"/>
  <c r="CB69" i="26"/>
  <c r="BW82" i="26"/>
  <c r="BW81" i="26"/>
  <c r="BW76" i="26"/>
  <c r="BW25" i="26"/>
  <c r="BW69" i="26"/>
  <c r="BX54" i="26"/>
  <c r="BX10" i="26"/>
  <c r="BS66" i="26"/>
  <c r="BS58" i="26"/>
  <c r="BS53" i="26"/>
  <c r="BS10" i="26"/>
  <c r="BR52" i="26"/>
  <c r="BS31" i="26"/>
  <c r="BS83" i="26"/>
  <c r="BS34" i="26"/>
  <c r="BS69" i="26"/>
  <c r="BS64" i="26"/>
  <c r="BS37" i="26"/>
  <c r="BS75" i="26"/>
  <c r="BS5" i="26"/>
  <c r="BS29" i="26"/>
  <c r="BS25" i="26"/>
  <c r="BS56" i="26"/>
  <c r="BR67" i="26"/>
  <c r="BR65" i="26"/>
  <c r="BR64" i="26"/>
  <c r="BS16" i="26"/>
  <c r="BR60" i="26"/>
  <c r="BS15" i="26"/>
  <c r="BS57" i="26"/>
  <c r="BS54" i="26"/>
  <c r="BS9" i="26"/>
  <c r="BS52" i="26"/>
  <c r="BS79" i="26"/>
  <c r="BS78" i="26"/>
  <c r="BS27" i="26"/>
  <c r="BR68" i="26"/>
  <c r="BS73" i="26"/>
  <c r="BS41" i="26"/>
  <c r="BS81" i="26"/>
  <c r="BS28" i="26"/>
  <c r="BS43" i="26"/>
  <c r="BM65" i="26"/>
  <c r="BM19" i="26"/>
  <c r="BM59" i="26"/>
  <c r="BM12" i="26"/>
  <c r="BM9" i="26"/>
  <c r="BM8" i="26"/>
  <c r="BM51" i="26"/>
  <c r="BM72" i="26"/>
  <c r="BM5" i="26"/>
  <c r="BM74" i="26"/>
  <c r="BM67" i="26"/>
  <c r="BM62" i="26"/>
  <c r="BM56" i="26"/>
  <c r="BM48" i="26"/>
  <c r="BM85" i="26"/>
  <c r="BH75" i="26"/>
  <c r="BH73" i="26"/>
  <c r="BH68" i="26"/>
  <c r="BH65" i="26"/>
  <c r="BH59" i="26"/>
  <c r="BH55" i="26"/>
  <c r="BH54" i="26"/>
  <c r="BH8" i="26"/>
  <c r="BH48" i="26"/>
  <c r="BH51" i="26"/>
  <c r="BH80" i="26"/>
  <c r="BH11" i="26"/>
  <c r="BI80" i="26"/>
  <c r="BI35" i="26"/>
  <c r="BI75" i="26"/>
  <c r="BI73" i="26"/>
  <c r="BH29" i="26"/>
  <c r="BI26" i="26"/>
  <c r="BH71" i="26"/>
  <c r="BI68" i="26"/>
  <c r="BI23" i="26"/>
  <c r="BI65" i="26"/>
  <c r="BD62" i="26"/>
  <c r="BD38" i="26"/>
  <c r="BD37" i="26"/>
  <c r="BD32" i="26"/>
  <c r="BD66" i="26"/>
  <c r="BD13" i="26"/>
  <c r="BD7" i="26"/>
  <c r="BD14" i="26"/>
  <c r="BD5" i="26"/>
  <c r="BD49" i="26"/>
  <c r="BD51" i="26"/>
  <c r="BD50" i="26"/>
  <c r="BD52" i="26"/>
  <c r="BD8" i="26"/>
  <c r="BD9" i="26"/>
  <c r="BD11" i="26"/>
  <c r="BD54" i="26"/>
  <c r="BD55" i="26"/>
  <c r="BD56" i="26"/>
  <c r="BD79" i="26"/>
  <c r="BD70" i="26"/>
  <c r="BC50" i="26"/>
  <c r="BD63" i="26"/>
  <c r="BD61" i="26"/>
  <c r="BD57" i="26"/>
  <c r="BC55" i="26"/>
  <c r="BC8" i="26"/>
  <c r="AS82" i="26"/>
  <c r="AJ40" i="26"/>
  <c r="AJ83" i="26"/>
  <c r="Z42" i="26"/>
  <c r="Z41" i="26"/>
  <c r="Z40" i="26"/>
  <c r="Z39" i="26"/>
  <c r="Z82" i="26"/>
  <c r="U40" i="26"/>
  <c r="U85" i="26"/>
  <c r="N39" i="26"/>
  <c r="P85" i="26"/>
  <c r="BS40" i="26"/>
  <c r="BS85" i="26"/>
  <c r="BI41" i="26"/>
  <c r="BI82" i="26"/>
  <c r="AY39" i="26"/>
  <c r="AW39" i="26"/>
  <c r="CC36" i="26"/>
  <c r="CB79" i="26"/>
  <c r="CC34" i="26"/>
  <c r="CC69" i="26"/>
  <c r="CB82" i="26"/>
  <c r="CC82" i="26"/>
  <c r="CB43" i="26"/>
  <c r="CB78" i="26"/>
  <c r="CB77" i="26"/>
  <c r="CB30" i="26"/>
  <c r="CC30" i="26"/>
  <c r="CB40" i="26"/>
  <c r="CC21" i="26"/>
  <c r="CB63" i="26"/>
  <c r="CC63" i="26"/>
  <c r="CC41" i="26"/>
  <c r="CC39" i="26"/>
  <c r="CC84" i="26"/>
  <c r="CB81" i="26"/>
  <c r="CC37" i="26"/>
  <c r="CC43" i="26"/>
  <c r="CC78" i="26"/>
  <c r="CC32" i="26"/>
  <c r="CC28" i="26"/>
  <c r="CC24" i="26"/>
  <c r="CC23" i="26"/>
  <c r="CC65" i="26"/>
  <c r="CC16" i="26"/>
  <c r="CC61" i="26"/>
  <c r="CC15" i="26"/>
  <c r="CC12" i="26"/>
  <c r="CC54" i="26"/>
  <c r="CC10" i="26"/>
  <c r="CC49" i="26"/>
  <c r="CC6" i="26"/>
  <c r="CC13" i="26"/>
  <c r="CC60" i="26"/>
  <c r="CA43" i="26"/>
  <c r="CB84" i="26"/>
  <c r="CB39" i="26"/>
  <c r="CC55" i="26"/>
  <c r="CB49" i="26"/>
  <c r="CB11" i="26"/>
  <c r="CB54" i="26"/>
  <c r="CB61" i="26"/>
  <c r="CB65" i="26"/>
  <c r="CB24" i="26"/>
  <c r="CC81" i="26"/>
  <c r="CC38" i="26"/>
  <c r="CC14" i="26"/>
  <c r="CC7" i="26"/>
  <c r="BX41" i="26"/>
  <c r="BX82" i="26"/>
  <c r="BW83" i="26"/>
  <c r="BX37" i="26"/>
  <c r="BX43" i="26"/>
  <c r="BX35" i="26"/>
  <c r="BW78" i="26"/>
  <c r="BX78" i="26"/>
  <c r="BX77" i="26"/>
  <c r="BW74" i="26"/>
  <c r="BW22" i="26"/>
  <c r="BX22" i="26"/>
  <c r="BX21" i="26"/>
  <c r="BX23" i="26"/>
  <c r="BW65" i="26"/>
  <c r="BX65" i="26"/>
  <c r="BX64" i="26"/>
  <c r="BW19" i="26"/>
  <c r="BX16" i="26"/>
  <c r="BX17" i="26"/>
  <c r="BX60" i="26"/>
  <c r="BX5" i="26"/>
  <c r="BX48" i="26"/>
  <c r="BX9" i="26"/>
  <c r="BX11" i="26"/>
  <c r="BX53" i="26"/>
  <c r="BX13" i="26"/>
  <c r="BX19" i="26"/>
  <c r="BW49" i="26"/>
  <c r="BW48" i="26"/>
  <c r="BW9" i="26"/>
  <c r="BW53" i="26"/>
  <c r="BW12" i="26"/>
  <c r="BW60" i="26"/>
  <c r="BW21" i="26"/>
  <c r="BW43" i="26"/>
  <c r="BX79" i="26"/>
  <c r="BX81" i="26"/>
  <c r="BW80" i="26"/>
  <c r="BW36" i="26"/>
  <c r="BX36" i="26"/>
  <c r="BW79" i="26"/>
  <c r="BW34" i="26"/>
  <c r="BX34" i="26"/>
  <c r="BW33" i="26"/>
  <c r="BX33" i="26"/>
  <c r="BX76" i="26"/>
  <c r="BX31" i="26"/>
  <c r="BW73" i="26"/>
  <c r="BX73" i="26"/>
  <c r="BW72" i="26"/>
  <c r="BX29" i="26"/>
  <c r="BW27" i="26"/>
  <c r="BX25" i="26"/>
  <c r="BW71" i="26"/>
  <c r="BX71" i="26"/>
  <c r="BX67" i="26"/>
  <c r="BW66" i="26"/>
  <c r="BX66" i="26"/>
  <c r="BX69" i="26"/>
  <c r="BW62" i="26"/>
  <c r="BX56" i="26"/>
  <c r="BX15" i="26"/>
  <c r="BX62" i="26"/>
  <c r="BX14" i="26"/>
  <c r="BX6" i="26"/>
  <c r="BX50" i="26"/>
  <c r="BX55" i="26"/>
  <c r="BX57" i="26"/>
  <c r="BX40" i="26"/>
  <c r="BX80" i="26"/>
  <c r="BW7" i="26"/>
  <c r="BR82" i="26"/>
  <c r="BR74" i="26"/>
  <c r="BR85" i="26"/>
  <c r="BR43" i="26"/>
  <c r="BR35" i="26"/>
  <c r="BR75" i="26"/>
  <c r="BR73" i="26"/>
  <c r="BR71" i="26"/>
  <c r="BR21" i="26"/>
  <c r="BR69" i="26"/>
  <c r="BR63" i="26"/>
  <c r="BR62" i="26"/>
  <c r="BR20" i="26"/>
  <c r="BR58" i="26"/>
  <c r="BR11" i="26"/>
  <c r="BR56" i="26"/>
  <c r="BR66" i="26"/>
  <c r="BR25" i="26"/>
  <c r="BR34" i="26"/>
  <c r="BR83" i="26"/>
  <c r="BR51" i="26"/>
  <c r="BR48" i="26"/>
  <c r="BR8" i="26"/>
  <c r="BS12" i="26"/>
  <c r="BS60" i="26"/>
  <c r="BS65" i="26"/>
  <c r="BS68" i="26"/>
  <c r="BS30" i="26"/>
  <c r="BS74" i="26"/>
  <c r="BS32" i="26"/>
  <c r="BS33" i="26"/>
  <c r="BS82" i="26"/>
  <c r="BS21" i="26"/>
  <c r="BR80" i="26"/>
  <c r="BR72" i="26"/>
  <c r="BR70" i="26"/>
  <c r="BR53" i="26"/>
  <c r="BS13" i="26"/>
  <c r="BS51" i="26"/>
  <c r="BS48" i="26"/>
  <c r="BS8" i="26"/>
  <c r="BR59" i="26"/>
  <c r="BR76" i="26"/>
  <c r="BS11" i="26"/>
  <c r="BS19" i="26"/>
  <c r="BS20" i="26"/>
  <c r="BS67" i="26"/>
  <c r="BS70" i="26"/>
  <c r="BS26" i="26"/>
  <c r="BS72" i="26"/>
  <c r="BS80" i="26"/>
  <c r="BS6" i="26"/>
  <c r="BS50" i="26"/>
  <c r="BR54" i="26"/>
  <c r="BR57" i="26"/>
  <c r="BR78" i="26"/>
  <c r="BR79" i="26"/>
  <c r="BR81" i="26"/>
  <c r="BR5" i="26"/>
  <c r="BN42" i="26"/>
  <c r="BN41" i="26"/>
  <c r="BN39" i="26"/>
  <c r="BN80" i="26"/>
  <c r="BM78" i="26"/>
  <c r="BM76" i="26"/>
  <c r="BN75" i="26"/>
  <c r="BM32" i="26"/>
  <c r="BN32" i="26"/>
  <c r="BN74" i="26"/>
  <c r="BN31" i="26"/>
  <c r="BN73" i="26"/>
  <c r="BN72" i="26"/>
  <c r="BN28" i="26"/>
  <c r="BM26" i="26"/>
  <c r="BN26" i="26"/>
  <c r="BM24" i="26"/>
  <c r="BN24" i="26"/>
  <c r="BM70" i="26"/>
  <c r="BN70" i="26"/>
  <c r="BN22" i="26"/>
  <c r="BM21" i="26"/>
  <c r="BN21" i="26"/>
  <c r="BN67" i="26"/>
  <c r="BM66" i="26"/>
  <c r="BN66" i="26"/>
  <c r="BN65" i="26"/>
  <c r="BM20" i="26"/>
  <c r="BN20" i="26"/>
  <c r="BN64" i="26"/>
  <c r="BM63" i="26"/>
  <c r="BN63" i="26"/>
  <c r="BN19" i="26"/>
  <c r="BM16" i="26"/>
  <c r="BN16" i="26"/>
  <c r="BN18" i="26"/>
  <c r="BM17" i="26"/>
  <c r="BN17" i="26"/>
  <c r="BN61" i="26"/>
  <c r="BM60" i="26"/>
  <c r="BN60" i="26"/>
  <c r="BN59" i="26"/>
  <c r="BM57" i="26"/>
  <c r="BN57" i="26"/>
  <c r="BN12" i="26"/>
  <c r="BN56" i="26"/>
  <c r="BN53" i="26"/>
  <c r="BN10" i="26"/>
  <c r="BN9" i="26"/>
  <c r="BN8" i="26"/>
  <c r="BN52" i="26"/>
  <c r="BN48" i="26"/>
  <c r="BN50" i="26"/>
  <c r="BN38" i="26"/>
  <c r="BN84" i="26"/>
  <c r="BN43" i="26"/>
  <c r="BN35" i="26"/>
  <c r="BM71" i="26"/>
  <c r="BM28" i="26"/>
  <c r="BM73" i="26"/>
  <c r="BM75" i="26"/>
  <c r="BM82" i="26"/>
  <c r="BM38" i="26"/>
  <c r="BN40" i="26"/>
  <c r="BM84" i="26"/>
  <c r="BN85" i="26"/>
  <c r="BM80" i="26"/>
  <c r="BN49" i="26"/>
  <c r="BN5" i="26"/>
  <c r="BI64" i="26"/>
  <c r="BI29" i="26"/>
  <c r="BI74" i="26"/>
  <c r="BI33" i="26"/>
  <c r="BI43" i="26"/>
  <c r="BI83" i="26"/>
  <c r="BI42" i="26"/>
  <c r="BH38" i="26"/>
  <c r="BI38" i="26"/>
  <c r="BH39" i="26"/>
  <c r="BI39" i="26"/>
  <c r="BH84" i="26"/>
  <c r="BI84" i="26"/>
  <c r="BH60" i="26"/>
  <c r="BI60" i="26"/>
  <c r="BI5" i="26"/>
  <c r="BI51" i="26"/>
  <c r="BI48" i="26"/>
  <c r="BI8" i="26"/>
  <c r="BI10" i="26"/>
  <c r="BI54" i="26"/>
  <c r="BI55" i="26"/>
  <c r="BI14" i="26"/>
  <c r="BI59" i="26"/>
  <c r="BH61" i="26"/>
  <c r="BH64" i="26"/>
  <c r="BH22" i="26"/>
  <c r="BH74" i="26"/>
  <c r="BH83" i="26"/>
  <c r="BH82" i="26"/>
  <c r="BH41" i="26"/>
  <c r="BI22" i="26"/>
  <c r="BI71" i="26"/>
  <c r="BI40" i="26"/>
  <c r="BH85" i="26"/>
  <c r="BI85" i="26"/>
  <c r="BI36" i="26"/>
  <c r="BH77" i="26"/>
  <c r="BI77" i="26"/>
  <c r="BH76" i="26"/>
  <c r="BI76" i="26"/>
  <c r="BH32" i="26"/>
  <c r="BI32" i="26"/>
  <c r="BH31" i="26"/>
  <c r="BI31" i="26"/>
  <c r="BH72" i="26"/>
  <c r="BI72" i="26"/>
  <c r="BH28" i="26"/>
  <c r="BI28" i="26"/>
  <c r="BI25" i="26"/>
  <c r="BI24" i="26"/>
  <c r="BH70" i="26"/>
  <c r="BI70" i="26"/>
  <c r="BI21" i="26"/>
  <c r="BH67" i="26"/>
  <c r="BI67" i="26"/>
  <c r="BH66" i="26"/>
  <c r="BI66" i="26"/>
  <c r="BH20" i="26"/>
  <c r="BI20" i="26"/>
  <c r="BH63" i="26"/>
  <c r="BI63" i="26"/>
  <c r="BI18" i="26"/>
  <c r="BH62" i="26"/>
  <c r="BI62" i="26"/>
  <c r="BH5" i="26"/>
  <c r="BI7" i="26"/>
  <c r="BC83" i="26"/>
  <c r="BC85" i="26"/>
  <c r="BC81" i="26"/>
  <c r="BD80" i="26"/>
  <c r="BC80" i="26"/>
  <c r="BC77" i="26"/>
  <c r="BD33" i="26"/>
  <c r="BC33" i="26"/>
  <c r="BC29" i="26"/>
  <c r="BC26" i="26"/>
  <c r="BD27" i="26"/>
  <c r="BD71" i="26"/>
  <c r="BC71" i="26"/>
  <c r="BD68" i="26"/>
  <c r="BC68" i="26"/>
  <c r="BC66" i="26"/>
  <c r="BD69" i="26"/>
  <c r="BC69" i="26"/>
  <c r="BC20" i="26"/>
  <c r="BD64" i="26"/>
  <c r="BC64" i="26"/>
  <c r="BD17" i="26"/>
  <c r="BC59" i="26"/>
  <c r="BD58" i="26"/>
  <c r="BC58" i="26"/>
  <c r="BD24" i="26"/>
  <c r="BD59" i="26"/>
  <c r="BD29" i="26"/>
  <c r="BD77" i="26"/>
  <c r="BD83" i="26"/>
  <c r="BD42" i="26"/>
  <c r="BD84" i="26"/>
  <c r="BC84" i="26"/>
  <c r="BC37" i="26"/>
  <c r="BD36" i="26"/>
  <c r="BC79" i="26"/>
  <c r="BD35" i="26"/>
  <c r="BC35" i="26"/>
  <c r="BC76" i="26"/>
  <c r="BD75" i="26"/>
  <c r="BC75" i="26"/>
  <c r="BD31" i="26"/>
  <c r="BC31" i="26"/>
  <c r="BC73" i="26"/>
  <c r="BD72" i="26"/>
  <c r="BC72" i="26"/>
  <c r="BD28" i="26"/>
  <c r="BC28" i="26"/>
  <c r="BC70" i="26"/>
  <c r="BD22" i="26"/>
  <c r="BC23" i="26"/>
  <c r="BD67" i="26"/>
  <c r="BC67" i="26"/>
  <c r="BC63" i="26"/>
  <c r="BD19" i="26"/>
  <c r="BC18" i="26"/>
  <c r="BC62" i="26"/>
  <c r="BC61" i="26"/>
  <c r="BD15" i="26"/>
  <c r="BC15" i="26"/>
  <c r="BD20" i="26"/>
  <c r="BD73" i="26"/>
  <c r="BD39" i="26"/>
  <c r="BD18" i="26"/>
  <c r="BD23" i="26"/>
  <c r="BD26" i="26"/>
  <c r="BD76" i="26"/>
  <c r="BD81" i="26"/>
  <c r="BD12" i="26"/>
  <c r="BC51" i="26"/>
  <c r="BC52" i="26"/>
  <c r="BC9" i="26"/>
  <c r="BC54" i="26"/>
  <c r="BC56" i="26"/>
  <c r="BC57" i="26"/>
  <c r="BD40" i="26"/>
  <c r="BD85" i="26"/>
  <c r="BC14" i="26"/>
  <c r="BC49" i="26"/>
  <c r="BC13" i="26"/>
  <c r="BC38" i="26"/>
  <c r="AV39" i="26"/>
  <c r="AX23" i="26"/>
  <c r="AT84" i="26"/>
  <c r="AT81" i="26"/>
  <c r="AT37" i="26"/>
  <c r="AT36" i="26"/>
  <c r="AT78" i="26"/>
  <c r="AT77" i="26"/>
  <c r="AT32" i="26"/>
  <c r="AT30" i="26"/>
  <c r="AT28" i="26"/>
  <c r="AT27" i="26"/>
  <c r="AT24" i="26"/>
  <c r="AT21" i="26"/>
  <c r="AT23" i="26"/>
  <c r="AT69" i="26"/>
  <c r="AT65" i="26"/>
  <c r="AT63" i="26"/>
  <c r="AT16" i="26"/>
  <c r="AT17" i="26"/>
  <c r="AT61" i="26"/>
  <c r="AT60" i="26"/>
  <c r="AT15" i="26"/>
  <c r="AT58" i="26"/>
  <c r="AT12" i="26"/>
  <c r="AT13" i="26"/>
  <c r="AT55" i="26"/>
  <c r="AT53" i="26"/>
  <c r="AT54" i="26"/>
  <c r="AT11" i="26"/>
  <c r="AT10" i="26"/>
  <c r="AT48" i="26"/>
  <c r="AT49" i="26"/>
  <c r="AT6" i="26"/>
  <c r="AT14" i="26"/>
  <c r="AS49" i="26"/>
  <c r="AS48" i="26"/>
  <c r="AS11" i="26"/>
  <c r="AS54" i="26"/>
  <c r="AS53" i="26"/>
  <c r="AS55" i="26"/>
  <c r="AS58" i="26"/>
  <c r="AS60" i="26"/>
  <c r="AS61" i="26"/>
  <c r="AS17" i="26"/>
  <c r="AS63" i="26"/>
  <c r="AS65" i="26"/>
  <c r="AS69" i="26"/>
  <c r="AS24" i="26"/>
  <c r="AS27" i="26"/>
  <c r="AS28" i="26"/>
  <c r="AS30" i="26"/>
  <c r="AS32" i="26"/>
  <c r="AS77" i="26"/>
  <c r="AS78" i="26"/>
  <c r="AS81" i="26"/>
  <c r="AS84" i="26"/>
  <c r="AT41" i="26"/>
  <c r="AT38" i="26"/>
  <c r="AT39" i="26"/>
  <c r="AT82" i="26"/>
  <c r="AT43" i="26"/>
  <c r="AR43" i="26"/>
  <c r="AT79" i="26"/>
  <c r="AT34" i="26"/>
  <c r="AT7" i="26"/>
  <c r="AN73" i="26"/>
  <c r="AN25" i="26"/>
  <c r="AN71" i="26"/>
  <c r="AN68" i="26"/>
  <c r="AN22" i="26"/>
  <c r="AN21" i="26"/>
  <c r="AN67" i="26"/>
  <c r="AN66" i="26"/>
  <c r="AN65" i="26"/>
  <c r="AN19" i="26"/>
  <c r="AN18" i="26"/>
  <c r="AN62" i="26"/>
  <c r="AN61" i="26"/>
  <c r="AN57" i="26"/>
  <c r="AN55" i="26"/>
  <c r="AN54" i="26"/>
  <c r="AN52" i="26"/>
  <c r="AN50" i="26"/>
  <c r="AN41" i="26"/>
  <c r="AN83" i="26"/>
  <c r="AN81" i="26"/>
  <c r="AN79" i="26"/>
  <c r="AN35" i="26"/>
  <c r="AN74" i="26"/>
  <c r="AN58" i="26"/>
  <c r="AN69" i="26"/>
  <c r="AN40" i="26"/>
  <c r="AN82" i="26"/>
  <c r="AN80" i="26"/>
  <c r="AN43" i="26"/>
  <c r="AN34" i="26"/>
  <c r="AN78" i="26"/>
  <c r="AN77" i="26"/>
  <c r="AN76" i="26"/>
  <c r="AO12" i="26"/>
  <c r="AO15" i="26"/>
  <c r="AO60" i="26"/>
  <c r="AO62" i="26"/>
  <c r="AO17" i="26"/>
  <c r="AO19" i="26"/>
  <c r="AO64" i="26"/>
  <c r="AO66" i="26"/>
  <c r="AO67" i="26"/>
  <c r="AO23" i="26"/>
  <c r="AO21" i="26"/>
  <c r="AO22" i="26"/>
  <c r="AO68" i="26"/>
  <c r="AO71" i="26"/>
  <c r="AO25" i="26"/>
  <c r="AO27" i="26"/>
  <c r="AO29" i="26"/>
  <c r="AO30" i="26"/>
  <c r="AO73" i="26"/>
  <c r="AO31" i="26"/>
  <c r="AO74" i="26"/>
  <c r="AO76" i="26"/>
  <c r="AO33" i="26"/>
  <c r="AO77" i="26"/>
  <c r="AO78" i="26"/>
  <c r="AO35" i="26"/>
  <c r="AO34" i="26"/>
  <c r="AO79" i="26"/>
  <c r="AO43" i="26"/>
  <c r="AO37" i="26"/>
  <c r="AO80" i="26"/>
  <c r="AO81" i="26"/>
  <c r="AO83" i="26"/>
  <c r="AO82" i="26"/>
  <c r="AO40" i="26"/>
  <c r="AO41" i="26"/>
  <c r="AN7" i="26"/>
  <c r="AJ82" i="26"/>
  <c r="AI82" i="26"/>
  <c r="AJ80" i="26"/>
  <c r="AI80" i="26"/>
  <c r="AJ74" i="26"/>
  <c r="AI74" i="26"/>
  <c r="AJ33" i="26"/>
  <c r="AJ72" i="26"/>
  <c r="AI72" i="26"/>
  <c r="AJ27" i="26"/>
  <c r="AJ20" i="26"/>
  <c r="AI20" i="26"/>
  <c r="AJ16" i="26"/>
  <c r="AJ15" i="26"/>
  <c r="AI50" i="26"/>
  <c r="AI52" i="26"/>
  <c r="AI42" i="26"/>
  <c r="AI57" i="26"/>
  <c r="AI56" i="26"/>
  <c r="AI54" i="26"/>
  <c r="AI8" i="26"/>
  <c r="AI48" i="26"/>
  <c r="AI51" i="26"/>
  <c r="AJ42" i="26"/>
  <c r="AI83" i="26"/>
  <c r="AJ85" i="26"/>
  <c r="AI34" i="26"/>
  <c r="AJ35" i="26"/>
  <c r="AI76" i="26"/>
  <c r="AJ73" i="26"/>
  <c r="AJ28" i="26"/>
  <c r="AI26" i="26"/>
  <c r="AJ21" i="26"/>
  <c r="AI67" i="26"/>
  <c r="AI66" i="26"/>
  <c r="AJ69" i="26"/>
  <c r="AI65" i="26"/>
  <c r="AI19" i="26"/>
  <c r="AI59" i="26"/>
  <c r="AJ58" i="26"/>
  <c r="AJ13" i="26"/>
  <c r="AJ51" i="26"/>
  <c r="AJ48" i="26"/>
  <c r="AJ8" i="26"/>
  <c r="AJ10" i="26"/>
  <c r="AJ54" i="26"/>
  <c r="AJ56" i="26"/>
  <c r="AJ57" i="26"/>
  <c r="AJ41" i="26"/>
  <c r="AI40" i="26"/>
  <c r="AJ43" i="26"/>
  <c r="AI79" i="26"/>
  <c r="AJ75" i="26"/>
  <c r="AI32" i="26"/>
  <c r="AI25" i="26"/>
  <c r="AJ71" i="26"/>
  <c r="AI68" i="26"/>
  <c r="AI64" i="26"/>
  <c r="AI18" i="26"/>
  <c r="AJ62" i="26"/>
  <c r="AI60" i="26"/>
  <c r="AI58" i="26"/>
  <c r="AI62" i="26"/>
  <c r="AI69" i="26"/>
  <c r="AI21" i="26"/>
  <c r="AI71" i="26"/>
  <c r="AI73" i="26"/>
  <c r="AI75" i="26"/>
  <c r="AI35" i="26"/>
  <c r="AI43" i="26"/>
  <c r="AI85" i="26"/>
  <c r="AI41" i="26"/>
  <c r="AI5" i="26"/>
  <c r="AE41" i="26"/>
  <c r="AD82" i="26"/>
  <c r="AE82" i="26"/>
  <c r="AD75" i="26"/>
  <c r="AE75" i="26"/>
  <c r="AD71" i="26"/>
  <c r="AE71" i="26"/>
  <c r="AD65" i="26"/>
  <c r="AE65" i="26"/>
  <c r="AE38" i="26"/>
  <c r="AD38" i="26"/>
  <c r="AD16" i="26"/>
  <c r="AE40" i="26"/>
  <c r="AE39" i="26"/>
  <c r="AD85" i="26"/>
  <c r="AE85" i="26"/>
  <c r="AE80" i="26"/>
  <c r="AD80" i="26"/>
  <c r="AE78" i="26"/>
  <c r="AD78" i="26"/>
  <c r="AD77" i="26"/>
  <c r="AE77" i="26"/>
  <c r="AE76" i="26"/>
  <c r="AD76" i="26"/>
  <c r="AE30" i="26"/>
  <c r="AD72" i="26"/>
  <c r="AE72" i="26"/>
  <c r="AD29" i="26"/>
  <c r="AD20" i="26"/>
  <c r="AD63" i="26"/>
  <c r="AE36" i="26"/>
  <c r="AE35" i="26"/>
  <c r="AD73" i="26"/>
  <c r="AE73" i="26"/>
  <c r="AD28" i="26"/>
  <c r="AE28" i="26"/>
  <c r="AE22" i="26"/>
  <c r="AE42" i="26"/>
  <c r="AE84" i="26"/>
  <c r="AD84" i="26"/>
  <c r="AE43" i="26"/>
  <c r="AE34" i="26"/>
  <c r="AE32" i="26"/>
  <c r="AD32" i="26"/>
  <c r="AD74" i="26"/>
  <c r="AE74" i="26"/>
  <c r="AE31" i="26"/>
  <c r="AD31" i="26"/>
  <c r="AD26" i="26"/>
  <c r="AD24" i="26"/>
  <c r="AD70" i="26"/>
  <c r="AD66" i="26"/>
  <c r="AD62" i="26"/>
  <c r="AE51" i="26"/>
  <c r="AE48" i="26"/>
  <c r="AE8" i="26"/>
  <c r="AE10" i="26"/>
  <c r="AE56" i="26"/>
  <c r="AE57" i="26"/>
  <c r="AE60" i="26"/>
  <c r="AE29" i="26"/>
  <c r="AE26" i="26"/>
  <c r="AE25" i="26"/>
  <c r="AE24" i="26"/>
  <c r="AD68" i="26"/>
  <c r="AE70" i="26"/>
  <c r="AE21" i="26"/>
  <c r="AD67" i="26"/>
  <c r="AE66" i="26"/>
  <c r="AE20" i="26"/>
  <c r="AE63" i="26"/>
  <c r="AD18" i="26"/>
  <c r="AD6" i="26"/>
  <c r="AE62" i="26"/>
  <c r="AE17" i="26"/>
  <c r="AE19" i="26"/>
  <c r="AE67" i="26"/>
  <c r="AE68" i="26"/>
  <c r="AE5" i="26"/>
  <c r="Y83" i="26"/>
  <c r="Y74" i="26"/>
  <c r="Y71" i="26"/>
  <c r="Y64" i="26"/>
  <c r="Y59" i="26"/>
  <c r="Y57" i="26"/>
  <c r="Y56" i="26"/>
  <c r="Y10" i="26"/>
  <c r="Y9" i="26"/>
  <c r="Z64" i="26"/>
  <c r="Y82" i="26"/>
  <c r="Y29" i="26"/>
  <c r="Y68" i="26"/>
  <c r="Y70" i="26"/>
  <c r="Y63" i="26"/>
  <c r="Y60" i="26"/>
  <c r="Y53" i="26"/>
  <c r="Z48" i="26"/>
  <c r="Z53" i="26"/>
  <c r="Z77" i="26"/>
  <c r="Z83" i="26"/>
  <c r="Z9" i="26"/>
  <c r="Z10" i="26"/>
  <c r="Z57" i="26"/>
  <c r="Z59" i="26"/>
  <c r="Z63" i="26"/>
  <c r="Z23" i="26"/>
  <c r="Z26" i="26"/>
  <c r="Z76" i="26"/>
  <c r="Y38" i="26"/>
  <c r="Y77" i="26"/>
  <c r="Y76" i="26"/>
  <c r="Y31" i="26"/>
  <c r="Y80" i="26"/>
  <c r="U79" i="26"/>
  <c r="U76" i="26"/>
  <c r="U73" i="26"/>
  <c r="U38" i="26"/>
  <c r="U77" i="26"/>
  <c r="U29" i="26"/>
  <c r="U70" i="26"/>
  <c r="U63" i="26"/>
  <c r="U62" i="26"/>
  <c r="U61" i="26"/>
  <c r="U59" i="26"/>
  <c r="U39" i="26"/>
  <c r="U81" i="26"/>
  <c r="U83" i="26"/>
  <c r="T70" i="26"/>
  <c r="T71" i="26"/>
  <c r="T29" i="26"/>
  <c r="T31" i="26"/>
  <c r="T33" i="26"/>
  <c r="T77" i="26"/>
  <c r="T36" i="26"/>
  <c r="T85" i="26"/>
  <c r="T83" i="26"/>
  <c r="T38" i="26"/>
  <c r="O79" i="26"/>
  <c r="O78" i="26"/>
  <c r="O75" i="26"/>
  <c r="O70" i="26"/>
  <c r="O8" i="26"/>
  <c r="O69" i="26"/>
  <c r="O84" i="26"/>
  <c r="P14" i="26"/>
  <c r="P8" i="26"/>
  <c r="P55" i="26"/>
  <c r="P70" i="26"/>
  <c r="P78" i="26"/>
  <c r="P34" i="26"/>
  <c r="P39" i="26"/>
  <c r="P38" i="26"/>
  <c r="O39" i="26"/>
  <c r="O83" i="26"/>
  <c r="O81" i="26"/>
  <c r="O20" i="26"/>
  <c r="O59" i="26"/>
  <c r="O51" i="26"/>
  <c r="O58" i="26"/>
  <c r="M39" i="26"/>
  <c r="O14" i="26"/>
  <c r="O55" i="26"/>
  <c r="O23" i="26"/>
  <c r="O74" i="26"/>
  <c r="O85" i="26"/>
  <c r="J33" i="26" l="1"/>
  <c r="J9" i="26"/>
  <c r="J17" i="26"/>
  <c r="J34" i="26"/>
  <c r="J30" i="26"/>
  <c r="J32" i="26"/>
  <c r="BZ43" i="26"/>
  <c r="CB36" i="26"/>
  <c r="BW41" i="26"/>
  <c r="BR27" i="26"/>
  <c r="BR13" i="26"/>
  <c r="BR41" i="26"/>
  <c r="BR42" i="26"/>
  <c r="BR26" i="26"/>
  <c r="BR6" i="26"/>
  <c r="BH21" i="26"/>
  <c r="BH24" i="26"/>
  <c r="AS23" i="26"/>
  <c r="AS15" i="26"/>
  <c r="AS43" i="26"/>
  <c r="AN31" i="26"/>
  <c r="AN33" i="26"/>
  <c r="AD25" i="26"/>
  <c r="Y14" i="26"/>
  <c r="T5" i="26"/>
  <c r="O37" i="26"/>
  <c r="CA41" i="26"/>
  <c r="BZ41" i="26"/>
  <c r="CB32" i="26"/>
  <c r="CB12" i="26"/>
  <c r="CB18" i="26"/>
  <c r="CB37" i="26"/>
  <c r="CB42" i="26"/>
  <c r="CB34" i="26"/>
  <c r="CB31" i="26"/>
  <c r="CB23" i="26"/>
  <c r="CA16" i="26"/>
  <c r="CB38" i="26"/>
  <c r="CB25" i="26"/>
  <c r="CB14" i="26"/>
  <c r="CB15" i="26"/>
  <c r="CB7" i="26"/>
  <c r="CB5" i="26"/>
  <c r="CB41" i="26"/>
  <c r="CB33" i="26"/>
  <c r="CB6" i="26"/>
  <c r="CB19" i="26"/>
  <c r="CB16" i="26"/>
  <c r="CB29" i="26"/>
  <c r="CB13" i="26"/>
  <c r="BW18" i="26"/>
  <c r="BW40" i="26"/>
  <c r="BW13" i="26"/>
  <c r="BW29" i="26"/>
  <c r="BW28" i="26"/>
  <c r="BW10" i="26"/>
  <c r="BW26" i="26"/>
  <c r="BW16" i="26"/>
  <c r="BU38" i="26"/>
  <c r="BW23" i="26"/>
  <c r="BW38" i="26"/>
  <c r="BW15" i="26"/>
  <c r="BW39" i="26"/>
  <c r="BW30" i="26"/>
  <c r="BW31" i="26"/>
  <c r="BV38" i="26"/>
  <c r="BW17" i="26"/>
  <c r="BW24" i="26"/>
  <c r="BW35" i="26"/>
  <c r="BW11" i="26"/>
  <c r="BW32" i="26"/>
  <c r="BW5" i="26"/>
  <c r="BW37" i="26"/>
  <c r="BW42" i="26"/>
  <c r="BW6" i="26"/>
  <c r="BR31" i="26"/>
  <c r="BR17" i="26"/>
  <c r="BR40" i="26"/>
  <c r="BR12" i="26"/>
  <c r="BR18" i="26"/>
  <c r="BR28" i="26"/>
  <c r="BR36" i="26"/>
  <c r="BR22" i="26"/>
  <c r="BR32" i="26"/>
  <c r="BR37" i="26"/>
  <c r="BR15" i="26"/>
  <c r="BR39" i="26"/>
  <c r="BR16" i="26"/>
  <c r="BR10" i="26"/>
  <c r="BR29" i="26"/>
  <c r="BR33" i="26"/>
  <c r="BR30" i="26"/>
  <c r="BR19" i="26"/>
  <c r="BK39" i="26"/>
  <c r="BL42" i="26"/>
  <c r="BM43" i="26"/>
  <c r="BM18" i="26"/>
  <c r="BM39" i="26"/>
  <c r="BM14" i="26"/>
  <c r="BM30" i="26"/>
  <c r="BM15" i="26"/>
  <c r="BM10" i="26"/>
  <c r="BM36" i="26"/>
  <c r="BM23" i="26"/>
  <c r="BK42" i="26"/>
  <c r="BL39" i="26"/>
  <c r="BM35" i="26"/>
  <c r="BM11" i="26"/>
  <c r="BM22" i="26"/>
  <c r="BM6" i="26"/>
  <c r="BM40" i="26"/>
  <c r="BM42" i="26"/>
  <c r="BM37" i="26"/>
  <c r="BM41" i="26"/>
  <c r="BM33" i="26"/>
  <c r="BM34" i="26"/>
  <c r="BM25" i="26"/>
  <c r="BM29" i="26"/>
  <c r="BM31" i="26"/>
  <c r="BM27" i="26"/>
  <c r="BM13" i="26"/>
  <c r="BH18" i="26"/>
  <c r="BH27" i="26"/>
  <c r="BH25" i="26"/>
  <c r="BH6" i="26"/>
  <c r="BF42" i="26"/>
  <c r="BH33" i="26"/>
  <c r="BH7" i="26"/>
  <c r="BH43" i="26"/>
  <c r="BH30" i="26"/>
  <c r="BH42" i="26"/>
  <c r="BH37" i="26"/>
  <c r="BH40" i="26"/>
  <c r="BH16" i="26"/>
  <c r="BH23" i="26"/>
  <c r="BH36" i="26"/>
  <c r="BG42" i="26"/>
  <c r="BH35" i="26"/>
  <c r="BH10" i="26"/>
  <c r="BH14" i="26"/>
  <c r="BH17" i="26"/>
  <c r="BH19" i="26"/>
  <c r="BH34" i="26"/>
  <c r="BH26" i="26"/>
  <c r="BC22" i="26"/>
  <c r="BC41" i="26"/>
  <c r="BC36" i="26"/>
  <c r="BC42" i="26"/>
  <c r="BC17" i="26"/>
  <c r="BC25" i="26"/>
  <c r="BC6" i="26"/>
  <c r="BC11" i="26"/>
  <c r="BA40" i="26"/>
  <c r="BC5" i="26"/>
  <c r="BC10" i="26"/>
  <c r="BC7" i="26"/>
  <c r="BC12" i="26"/>
  <c r="BC19" i="26"/>
  <c r="BC34" i="26"/>
  <c r="BC39" i="26"/>
  <c r="BC40" i="26"/>
  <c r="BC16" i="26"/>
  <c r="BC24" i="26"/>
  <c r="BC21" i="26"/>
  <c r="BC27" i="26"/>
  <c r="BC32" i="26"/>
  <c r="BC43" i="26"/>
  <c r="BB40" i="26"/>
  <c r="AX34" i="26"/>
  <c r="AX33" i="26"/>
  <c r="AX16" i="26"/>
  <c r="AX26" i="26"/>
  <c r="AS10" i="26"/>
  <c r="AS26" i="26"/>
  <c r="AS7" i="26"/>
  <c r="AS5" i="26"/>
  <c r="AS41" i="26"/>
  <c r="AS33" i="26"/>
  <c r="AR41" i="26"/>
  <c r="AS37" i="26"/>
  <c r="AS42" i="26"/>
  <c r="AS12" i="26"/>
  <c r="AS18" i="26"/>
  <c r="AS16" i="26"/>
  <c r="AS29" i="26"/>
  <c r="AS38" i="26"/>
  <c r="AS25" i="26"/>
  <c r="AS36" i="26"/>
  <c r="AS21" i="26"/>
  <c r="AS40" i="26"/>
  <c r="AS13" i="26"/>
  <c r="AS6" i="26"/>
  <c r="AS19" i="26"/>
  <c r="AS39" i="26"/>
  <c r="AS14" i="26"/>
  <c r="AN23" i="26"/>
  <c r="AN38" i="26"/>
  <c r="AN27" i="26"/>
  <c r="AN17" i="26"/>
  <c r="AN12" i="26"/>
  <c r="AN15" i="26"/>
  <c r="AN37" i="26"/>
  <c r="AN42" i="26"/>
  <c r="AN10" i="26"/>
  <c r="AN29" i="26"/>
  <c r="AN28" i="26"/>
  <c r="AN30" i="26"/>
  <c r="AI29" i="26"/>
  <c r="AI6" i="26"/>
  <c r="AI15" i="26"/>
  <c r="AI39" i="26"/>
  <c r="AI28" i="26"/>
  <c r="AI36" i="26"/>
  <c r="AI10" i="26"/>
  <c r="AI12" i="26"/>
  <c r="AI33" i="26"/>
  <c r="AI16" i="26"/>
  <c r="AI27" i="26"/>
  <c r="AI37" i="26"/>
  <c r="AI13" i="26"/>
  <c r="AI22" i="26"/>
  <c r="AI30" i="26"/>
  <c r="AI31" i="26"/>
  <c r="AI17" i="26"/>
  <c r="AD21" i="26"/>
  <c r="AD30" i="26"/>
  <c r="AD39" i="26"/>
  <c r="AD17" i="26"/>
  <c r="AD43" i="26"/>
  <c r="AD42" i="26"/>
  <c r="AD37" i="26"/>
  <c r="AD13" i="26"/>
  <c r="AD19" i="26"/>
  <c r="AD34" i="26"/>
  <c r="AD40" i="26"/>
  <c r="AD41" i="26"/>
  <c r="AD33" i="26"/>
  <c r="AD22" i="26"/>
  <c r="AD35" i="26"/>
  <c r="AD11" i="26"/>
  <c r="AD36" i="26"/>
  <c r="AD23" i="26"/>
  <c r="Y41" i="26"/>
  <c r="Y17" i="26"/>
  <c r="Y23" i="26"/>
  <c r="Y42" i="26"/>
  <c r="Y43" i="26"/>
  <c r="Y40" i="26"/>
  <c r="Y16" i="26"/>
  <c r="Y39" i="26"/>
  <c r="Y26" i="26"/>
  <c r="T40" i="26"/>
  <c r="T41" i="26"/>
  <c r="T35" i="26"/>
  <c r="T43" i="26"/>
  <c r="T28" i="26"/>
  <c r="S40" i="26"/>
  <c r="T42" i="26"/>
  <c r="O7" i="26"/>
  <c r="O6" i="26"/>
  <c r="O19" i="26"/>
  <c r="O16" i="26"/>
  <c r="O29" i="26"/>
  <c r="O26" i="26"/>
  <c r="O22" i="26"/>
  <c r="O13" i="26"/>
  <c r="O12" i="26"/>
  <c r="O30" i="26"/>
  <c r="O15" i="26"/>
  <c r="O33" i="26"/>
  <c r="O35" i="26"/>
  <c r="O42" i="26"/>
  <c r="O38" i="26"/>
  <c r="O25" i="26"/>
  <c r="O24" i="26"/>
  <c r="O21" i="26"/>
  <c r="O34" i="26"/>
  <c r="O31" i="26"/>
  <c r="CB21" i="26"/>
  <c r="I49" i="26"/>
  <c r="I76" i="26"/>
  <c r="J65" i="26"/>
  <c r="E57" i="26"/>
  <c r="F42" i="26"/>
  <c r="J76" i="26"/>
  <c r="I65" i="26"/>
  <c r="J48" i="26"/>
  <c r="J41" i="26"/>
  <c r="F57" i="26"/>
  <c r="F48" i="26"/>
  <c r="F43" i="26"/>
  <c r="F80" i="26"/>
  <c r="F41" i="26"/>
  <c r="J53" i="26"/>
  <c r="I56" i="26"/>
  <c r="J40" i="26"/>
  <c r="J39" i="26"/>
  <c r="J82" i="26"/>
  <c r="J28" i="26"/>
  <c r="I82" i="26"/>
  <c r="J56" i="26"/>
  <c r="J49" i="26"/>
  <c r="J11" i="26"/>
  <c r="J43" i="26"/>
  <c r="I48" i="26"/>
  <c r="I53" i="26"/>
  <c r="F53" i="26"/>
  <c r="F40" i="26"/>
  <c r="E60" i="26"/>
  <c r="E82" i="26"/>
  <c r="E48" i="26"/>
  <c r="F60" i="26"/>
  <c r="F82" i="26"/>
  <c r="F38" i="26"/>
  <c r="E53" i="26"/>
  <c r="E80" i="26"/>
  <c r="G50" i="42"/>
  <c r="G48" i="43"/>
  <c r="G48" i="30"/>
  <c r="H48" i="30"/>
  <c r="H48" i="40"/>
  <c r="H50" i="42"/>
  <c r="H48" i="43"/>
  <c r="G48" i="40"/>
  <c r="I28" i="26" l="1"/>
  <c r="I9" i="26"/>
  <c r="I33" i="26"/>
  <c r="I32" i="26"/>
  <c r="I34" i="26"/>
  <c r="I30" i="26"/>
  <c r="I17" i="26"/>
  <c r="I43" i="26"/>
  <c r="E43" i="26"/>
  <c r="I41" i="26"/>
  <c r="I39" i="26"/>
  <c r="E38" i="26"/>
  <c r="E41" i="26"/>
  <c r="E42" i="26"/>
  <c r="I11" i="26"/>
  <c r="I40" i="26"/>
  <c r="E40" i="26"/>
  <c r="L85" i="29"/>
  <c r="M85" i="29"/>
  <c r="N85" i="29"/>
  <c r="O85" i="29"/>
  <c r="P85" i="29"/>
  <c r="Q85" i="29"/>
  <c r="R85" i="29"/>
  <c r="S85" i="29"/>
  <c r="T85" i="29"/>
  <c r="U85" i="29"/>
  <c r="V85" i="29"/>
  <c r="W85" i="29"/>
  <c r="X85" i="29"/>
  <c r="Y85" i="29"/>
  <c r="Z85" i="29"/>
  <c r="AA85" i="29"/>
  <c r="AB85" i="29"/>
  <c r="AC85" i="29"/>
  <c r="AD85" i="29"/>
  <c r="AE85" i="29"/>
  <c r="AF85" i="29"/>
  <c r="AG85" i="29"/>
  <c r="AH85" i="29"/>
  <c r="AI85" i="29"/>
  <c r="AJ85" i="29"/>
  <c r="AK85" i="29"/>
  <c r="AL85" i="29"/>
  <c r="AM85" i="29"/>
  <c r="AN85" i="29"/>
  <c r="AO85" i="29"/>
  <c r="AP85" i="29"/>
  <c r="AQ85" i="29"/>
  <c r="AR85" i="29"/>
  <c r="AS85" i="29"/>
  <c r="AT85" i="29"/>
  <c r="AU85" i="29"/>
  <c r="AV85" i="29"/>
  <c r="K85" i="29"/>
  <c r="L9" i="29" l="1"/>
  <c r="K9" i="29"/>
  <c r="AY90" i="29"/>
  <c r="AY89" i="29"/>
  <c r="AY87" i="29"/>
  <c r="AY85" i="29"/>
  <c r="AY84" i="29"/>
  <c r="AY79" i="29"/>
  <c r="I79" i="29"/>
  <c r="H79" i="29"/>
  <c r="G79" i="29"/>
  <c r="F79" i="29"/>
  <c r="A79" i="29"/>
  <c r="AY78" i="29"/>
  <c r="I78" i="29"/>
  <c r="H78" i="29"/>
  <c r="G78" i="29"/>
  <c r="F78" i="29"/>
  <c r="A78" i="29"/>
  <c r="AY77" i="29"/>
  <c r="I77" i="29"/>
  <c r="H77" i="29"/>
  <c r="G77" i="29"/>
  <c r="F77" i="29"/>
  <c r="A77" i="29"/>
  <c r="AY76" i="29"/>
  <c r="I76" i="29"/>
  <c r="H76" i="29"/>
  <c r="G76" i="29"/>
  <c r="F76" i="29"/>
  <c r="A76" i="29"/>
  <c r="AY75" i="29"/>
  <c r="I75" i="29"/>
  <c r="H75" i="29"/>
  <c r="G75" i="29"/>
  <c r="F75" i="29"/>
  <c r="A75" i="29"/>
  <c r="AY74" i="29"/>
  <c r="I74" i="29"/>
  <c r="H74" i="29"/>
  <c r="G74" i="29"/>
  <c r="F74" i="29"/>
  <c r="A74" i="29"/>
  <c r="AY73" i="29"/>
  <c r="I73" i="29"/>
  <c r="H73" i="29"/>
  <c r="G73" i="29"/>
  <c r="F73" i="29"/>
  <c r="A73" i="29"/>
  <c r="AY72" i="29"/>
  <c r="I72" i="29"/>
  <c r="H72" i="29"/>
  <c r="G72" i="29"/>
  <c r="F72" i="29"/>
  <c r="A72" i="29"/>
  <c r="AY71" i="29"/>
  <c r="I71" i="29"/>
  <c r="H71" i="29"/>
  <c r="G71" i="29"/>
  <c r="F71" i="29"/>
  <c r="A71" i="29"/>
  <c r="AY70" i="29"/>
  <c r="I70" i="29"/>
  <c r="H70" i="29"/>
  <c r="G70" i="29"/>
  <c r="F70" i="29"/>
  <c r="A70" i="29"/>
  <c r="AY69" i="29"/>
  <c r="I69" i="29"/>
  <c r="H69" i="29"/>
  <c r="G69" i="29"/>
  <c r="F69" i="29"/>
  <c r="A69" i="29"/>
  <c r="AY68" i="29"/>
  <c r="I68" i="29"/>
  <c r="H68" i="29"/>
  <c r="G68" i="29"/>
  <c r="F68" i="29"/>
  <c r="A68" i="29"/>
  <c r="AY67" i="29"/>
  <c r="I67" i="29"/>
  <c r="H67" i="29"/>
  <c r="G67" i="29"/>
  <c r="F67" i="29"/>
  <c r="A67" i="29"/>
  <c r="AY66" i="29"/>
  <c r="I66" i="29"/>
  <c r="H66" i="29"/>
  <c r="G66" i="29"/>
  <c r="F66" i="29"/>
  <c r="A66" i="29"/>
  <c r="AY65" i="29"/>
  <c r="I65" i="29"/>
  <c r="H65" i="29"/>
  <c r="G65" i="29"/>
  <c r="F65" i="29"/>
  <c r="A65" i="29"/>
  <c r="AY64" i="29"/>
  <c r="I64" i="29"/>
  <c r="H64" i="29"/>
  <c r="G64" i="29"/>
  <c r="F64" i="29"/>
  <c r="A64" i="29"/>
  <c r="AY63" i="29"/>
  <c r="I63" i="29"/>
  <c r="H63" i="29"/>
  <c r="G63" i="29"/>
  <c r="F63" i="29"/>
  <c r="A63" i="29"/>
  <c r="AY62" i="29"/>
  <c r="I62" i="29"/>
  <c r="H62" i="29"/>
  <c r="G62" i="29"/>
  <c r="F62" i="29"/>
  <c r="A62" i="29"/>
  <c r="AY61" i="29"/>
  <c r="I61" i="29"/>
  <c r="H61" i="29"/>
  <c r="G61" i="29"/>
  <c r="F61" i="29"/>
  <c r="A61" i="29"/>
  <c r="AY60" i="29"/>
  <c r="I60" i="29"/>
  <c r="H60" i="29"/>
  <c r="G60" i="29"/>
  <c r="F60" i="29"/>
  <c r="A60" i="29"/>
  <c r="AY59" i="29"/>
  <c r="I59" i="29"/>
  <c r="H59" i="29"/>
  <c r="G59" i="29"/>
  <c r="F59" i="29"/>
  <c r="A59" i="29"/>
  <c r="AY58" i="29"/>
  <c r="I58" i="29"/>
  <c r="H58" i="29"/>
  <c r="G58" i="29"/>
  <c r="F58" i="29"/>
  <c r="A58" i="29"/>
  <c r="AY57" i="29"/>
  <c r="I57" i="29"/>
  <c r="H57" i="29"/>
  <c r="G57" i="29"/>
  <c r="F57" i="29"/>
  <c r="A57" i="29"/>
  <c r="AY56" i="29"/>
  <c r="I56" i="29"/>
  <c r="H56" i="29"/>
  <c r="G56" i="29"/>
  <c r="F56" i="29"/>
  <c r="A56" i="29"/>
  <c r="AY55" i="29"/>
  <c r="I55" i="29"/>
  <c r="H55" i="29"/>
  <c r="G55" i="29"/>
  <c r="F55" i="29"/>
  <c r="A55" i="29"/>
  <c r="AY54" i="29"/>
  <c r="I54" i="29"/>
  <c r="H54" i="29"/>
  <c r="G54" i="29"/>
  <c r="F54" i="29"/>
  <c r="A54" i="29"/>
  <c r="AY53" i="29"/>
  <c r="I53" i="29"/>
  <c r="H53" i="29"/>
  <c r="G53" i="29"/>
  <c r="F53" i="29"/>
  <c r="A53" i="29"/>
  <c r="AY52" i="29"/>
  <c r="I52" i="29"/>
  <c r="H52" i="29"/>
  <c r="G52" i="29"/>
  <c r="F52" i="29"/>
  <c r="A52" i="29"/>
  <c r="AY51" i="29"/>
  <c r="I51" i="29"/>
  <c r="H51" i="29"/>
  <c r="G51" i="29"/>
  <c r="F51" i="29"/>
  <c r="A51" i="29"/>
  <c r="AY50" i="29"/>
  <c r="I50" i="29"/>
  <c r="H50" i="29"/>
  <c r="G50" i="29"/>
  <c r="F50" i="29"/>
  <c r="A50" i="29"/>
  <c r="AY49" i="29"/>
  <c r="I49" i="29"/>
  <c r="H49" i="29"/>
  <c r="G49" i="29"/>
  <c r="F49" i="29"/>
  <c r="A49" i="29"/>
  <c r="AY48" i="29"/>
  <c r="I48" i="29"/>
  <c r="H48" i="29"/>
  <c r="G48" i="29"/>
  <c r="F48" i="29"/>
  <c r="A48" i="29"/>
  <c r="AY47" i="29"/>
  <c r="I47" i="29"/>
  <c r="H47" i="29"/>
  <c r="G47" i="29"/>
  <c r="F47" i="29"/>
  <c r="A47" i="29"/>
  <c r="AY46" i="29"/>
  <c r="I46" i="29"/>
  <c r="H46" i="29"/>
  <c r="G46" i="29"/>
  <c r="F46" i="29"/>
  <c r="A46" i="29"/>
  <c r="AY45" i="29"/>
  <c r="I45" i="29"/>
  <c r="H45" i="29"/>
  <c r="G45" i="29"/>
  <c r="F45" i="29"/>
  <c r="A45" i="29"/>
  <c r="AY44" i="29"/>
  <c r="I44" i="29"/>
  <c r="H44" i="29"/>
  <c r="G44" i="29"/>
  <c r="F44" i="29"/>
  <c r="A44" i="29"/>
  <c r="AY43" i="29"/>
  <c r="I43" i="29"/>
  <c r="H43" i="29"/>
  <c r="G43" i="29"/>
  <c r="F43" i="29"/>
  <c r="A43" i="29"/>
  <c r="AY42" i="29"/>
  <c r="I42" i="29"/>
  <c r="H42" i="29"/>
  <c r="G42" i="29"/>
  <c r="F42" i="29"/>
  <c r="A42" i="29"/>
  <c r="AY41" i="29"/>
  <c r="I41" i="29"/>
  <c r="H41" i="29"/>
  <c r="G41" i="29"/>
  <c r="F41" i="29"/>
  <c r="A41" i="29"/>
  <c r="AY40" i="29"/>
  <c r="A40" i="29"/>
  <c r="AY39" i="29"/>
  <c r="A39" i="29"/>
  <c r="AY38" i="29"/>
  <c r="A38" i="29"/>
  <c r="AY37" i="29"/>
  <c r="A37" i="29"/>
  <c r="AY36" i="29"/>
  <c r="A36" i="29"/>
  <c r="AY35" i="29"/>
  <c r="A35" i="29"/>
  <c r="AY34" i="29"/>
  <c r="A34" i="29"/>
  <c r="AY33" i="29"/>
  <c r="A33" i="29"/>
  <c r="AY32" i="29"/>
  <c r="A32" i="29"/>
  <c r="AY31" i="29"/>
  <c r="A31" i="29"/>
  <c r="AY30" i="29"/>
  <c r="A30" i="29"/>
  <c r="AY29" i="29"/>
  <c r="A29" i="29"/>
  <c r="AY28" i="29"/>
  <c r="A28" i="29"/>
  <c r="AY27" i="29"/>
  <c r="A27" i="29"/>
  <c r="AY26" i="29"/>
  <c r="A26" i="29"/>
  <c r="AY25" i="29"/>
  <c r="A25" i="29"/>
  <c r="AY24" i="29"/>
  <c r="A24" i="29"/>
  <c r="AY23" i="29"/>
  <c r="A23" i="29"/>
  <c r="AY22" i="29"/>
  <c r="A22" i="29"/>
  <c r="AY21" i="29"/>
  <c r="A21" i="29"/>
  <c r="AY20" i="29"/>
  <c r="A20" i="29"/>
  <c r="AY19" i="29"/>
  <c r="A19" i="29"/>
  <c r="AY18" i="29"/>
  <c r="A18" i="29"/>
  <c r="AY17" i="29"/>
  <c r="A17" i="29"/>
  <c r="AY16" i="29"/>
  <c r="A16" i="29"/>
  <c r="AY15" i="29"/>
  <c r="A15" i="29"/>
  <c r="AY14" i="29"/>
  <c r="A14" i="29"/>
  <c r="AY13" i="29"/>
  <c r="A13" i="29"/>
  <c r="AY12" i="29"/>
  <c r="A12" i="29"/>
  <c r="AY11" i="29"/>
  <c r="A11" i="29"/>
  <c r="AY10" i="29"/>
  <c r="A10" i="29"/>
  <c r="B3" i="29"/>
  <c r="K88" i="29" l="1"/>
  <c r="K87" i="29"/>
  <c r="K90" i="29"/>
  <c r="K89" i="29"/>
  <c r="Q89" i="29" l="1"/>
  <c r="Q90" i="29"/>
  <c r="Q88" i="29"/>
  <c r="Q87" i="29"/>
  <c r="D2" i="3" l="1"/>
  <c r="Q23" i="1" l="1"/>
  <c r="Q26" i="1"/>
  <c r="Q22" i="1"/>
  <c r="Q41" i="1"/>
  <c r="Q27" i="1"/>
  <c r="Q51" i="1"/>
  <c r="Q16" i="1"/>
  <c r="Q60" i="1"/>
  <c r="Q62" i="1"/>
  <c r="Q50" i="1"/>
  <c r="Q17" i="1"/>
  <c r="Q15" i="1"/>
  <c r="Q58" i="1"/>
  <c r="Q14" i="1"/>
  <c r="Q11" i="1"/>
  <c r="Q59" i="1"/>
  <c r="Q13" i="1"/>
  <c r="Q61" i="1"/>
  <c r="Q12" i="1"/>
  <c r="Q18" i="1"/>
  <c r="Q52" i="1"/>
  <c r="C56" i="41"/>
  <c r="Q5" i="1"/>
  <c r="Q7" i="1"/>
  <c r="Q10" i="1"/>
  <c r="Q42" i="1"/>
  <c r="Q33" i="1"/>
  <c r="Q37" i="1"/>
  <c r="Q34" i="1"/>
  <c r="Q55" i="1"/>
  <c r="Q29" i="1"/>
  <c r="Q36" i="1"/>
  <c r="Q49" i="1"/>
  <c r="Q54" i="1"/>
  <c r="Q32" i="1"/>
  <c r="Q25" i="1"/>
  <c r="Q43" i="1"/>
  <c r="Q38" i="1"/>
  <c r="Q31" i="1"/>
  <c r="Q56" i="1"/>
  <c r="Q57" i="1"/>
  <c r="Q24" i="1"/>
  <c r="Q40" i="1"/>
  <c r="Q21" i="1"/>
  <c r="Q30" i="1"/>
  <c r="Q28" i="1"/>
  <c r="Q35" i="1"/>
  <c r="Q48" i="1"/>
  <c r="Q9" i="1"/>
  <c r="Q8" i="1"/>
  <c r="Q53" i="1"/>
  <c r="Q39" i="1"/>
  <c r="Q44" i="1"/>
  <c r="BG16" i="26" l="1"/>
  <c r="AH33" i="26"/>
  <c r="BG10" i="26"/>
  <c r="AV24" i="26"/>
  <c r="AW24" i="26"/>
  <c r="BZ75" i="26"/>
  <c r="CA75" i="26"/>
  <c r="BZ28" i="26"/>
  <c r="CA28" i="26"/>
  <c r="AQ66" i="26"/>
  <c r="AR66" i="26"/>
  <c r="AQ16" i="26"/>
  <c r="AR16" i="26"/>
  <c r="AR32" i="26"/>
  <c r="F51" i="32"/>
  <c r="I51" i="32"/>
  <c r="CA20" i="26"/>
  <c r="CA23" i="26"/>
  <c r="BZ25" i="26"/>
  <c r="CA25" i="26"/>
  <c r="BZ9" i="26"/>
  <c r="CA9" i="26"/>
  <c r="BU85" i="26"/>
  <c r="BV85" i="26"/>
  <c r="BL16" i="26"/>
  <c r="BL28" i="26"/>
  <c r="BK28" i="26"/>
  <c r="I56" i="41"/>
  <c r="F56" i="41"/>
  <c r="BG13" i="26"/>
  <c r="BF13" i="26"/>
  <c r="BB16" i="26"/>
  <c r="AW28" i="26"/>
  <c r="AV28" i="26"/>
  <c r="I48" i="38"/>
  <c r="F48" i="38"/>
  <c r="AW9" i="26"/>
  <c r="AV9" i="26"/>
  <c r="AQ50" i="26"/>
  <c r="AR50" i="26"/>
  <c r="AC28" i="26"/>
  <c r="AB28" i="26"/>
  <c r="S14" i="26"/>
  <c r="R14" i="26"/>
  <c r="S22" i="26"/>
  <c r="R22" i="26"/>
  <c r="S53" i="26"/>
  <c r="N53" i="26"/>
  <c r="M53" i="26"/>
  <c r="N16" i="26"/>
  <c r="M16" i="26"/>
  <c r="M76" i="26"/>
  <c r="N76" i="26"/>
  <c r="M9" i="26"/>
  <c r="N9" i="26"/>
  <c r="M11" i="26"/>
  <c r="N11" i="26"/>
  <c r="M80" i="26"/>
  <c r="N80" i="26"/>
  <c r="M77" i="26"/>
  <c r="N77" i="26"/>
  <c r="M62" i="26"/>
  <c r="N62" i="26"/>
  <c r="M56" i="26"/>
  <c r="N56" i="26"/>
  <c r="AQ7" i="26"/>
  <c r="AR56" i="26"/>
  <c r="AQ56" i="26"/>
  <c r="AR52" i="26"/>
  <c r="AQ52" i="26"/>
  <c r="AQ18" i="26"/>
  <c r="AR18" i="26"/>
  <c r="BQ35" i="26"/>
  <c r="BK35" i="26"/>
  <c r="BL35" i="26"/>
  <c r="BG35" i="26"/>
  <c r="BG57" i="26"/>
  <c r="CA61" i="26"/>
  <c r="BZ35" i="26"/>
  <c r="CA35" i="26"/>
  <c r="BV84" i="26"/>
  <c r="BU84" i="26"/>
  <c r="AH68" i="26"/>
  <c r="AB79" i="26"/>
  <c r="AC79" i="26"/>
  <c r="W42" i="26"/>
  <c r="X42" i="26"/>
  <c r="W79" i="26"/>
  <c r="X79" i="26"/>
  <c r="W10" i="26"/>
  <c r="X10" i="26"/>
  <c r="S35" i="26"/>
  <c r="N24" i="26"/>
  <c r="M24" i="26"/>
  <c r="N60" i="26"/>
  <c r="M60" i="26"/>
  <c r="M54" i="26"/>
  <c r="N22" i="26"/>
  <c r="AR62" i="26"/>
  <c r="AQ62" i="26"/>
  <c r="AR76" i="26"/>
  <c r="AQ76" i="26"/>
  <c r="AL84" i="26"/>
  <c r="AL38" i="26"/>
  <c r="AM38" i="26"/>
  <c r="AM40" i="26"/>
  <c r="BQ40" i="26"/>
  <c r="BL38" i="26"/>
  <c r="BK38" i="26"/>
  <c r="BL40" i="26"/>
  <c r="BK40" i="26"/>
  <c r="BL43" i="26"/>
  <c r="AH40" i="26"/>
  <c r="AB38" i="26"/>
  <c r="AB40" i="26"/>
  <c r="X38" i="26"/>
  <c r="X39" i="26"/>
  <c r="X43" i="26"/>
  <c r="X40" i="26"/>
  <c r="S42" i="26"/>
  <c r="R39" i="26"/>
  <c r="S39" i="26"/>
  <c r="S38" i="26"/>
  <c r="S43" i="26"/>
  <c r="BV40" i="26"/>
  <c r="BV31" i="26"/>
  <c r="BQ42" i="26"/>
  <c r="BQ16" i="26"/>
  <c r="BQ83" i="26"/>
  <c r="BP83" i="26"/>
  <c r="BV39" i="26"/>
  <c r="BV83" i="26"/>
  <c r="BU83" i="26"/>
  <c r="CA42" i="26"/>
  <c r="BV41" i="26"/>
  <c r="BU41" i="26"/>
  <c r="BG83" i="26"/>
  <c r="BF83" i="26"/>
  <c r="BG39" i="26"/>
  <c r="BG40" i="26"/>
  <c r="CA39" i="26"/>
  <c r="BQ41" i="26"/>
  <c r="BP41" i="26"/>
  <c r="CA40" i="26"/>
  <c r="BV16" i="26"/>
  <c r="BQ39" i="26"/>
  <c r="BG38" i="26"/>
  <c r="BL34" i="26"/>
  <c r="BK34" i="26"/>
  <c r="BQ68" i="26"/>
  <c r="BP68" i="26"/>
  <c r="BV42" i="26"/>
  <c r="BF10" i="26"/>
  <c r="BL41" i="26"/>
  <c r="BK41" i="26"/>
  <c r="BV43" i="26"/>
  <c r="BG41" i="26"/>
  <c r="BF41" i="26"/>
  <c r="BG43" i="26"/>
  <c r="BQ43" i="26"/>
  <c r="CA38" i="26"/>
  <c r="AR7" i="26"/>
  <c r="S83" i="26"/>
  <c r="R83" i="26"/>
  <c r="X41" i="26"/>
  <c r="AB41" i="26"/>
  <c r="AM41" i="26"/>
  <c r="AL41" i="26"/>
  <c r="AC34" i="26"/>
  <c r="AG68" i="26"/>
  <c r="AH39" i="26"/>
  <c r="X83" i="26"/>
  <c r="W83" i="26"/>
  <c r="M83" i="26"/>
  <c r="N83" i="26"/>
  <c r="R41" i="26"/>
  <c r="S41" i="26"/>
  <c r="AH42" i="26"/>
  <c r="M25" i="26"/>
  <c r="AM83" i="26"/>
  <c r="AL83" i="26"/>
  <c r="AH41" i="26"/>
  <c r="AG41" i="26"/>
  <c r="AH83" i="26"/>
  <c r="AG83" i="26"/>
  <c r="AH16" i="26"/>
  <c r="AH43" i="26"/>
  <c r="W13" i="26" l="1"/>
  <c r="S20" i="26"/>
  <c r="R20" i="26"/>
  <c r="X13" i="26"/>
  <c r="S15" i="26"/>
  <c r="AB68" i="26"/>
  <c r="X16" i="26"/>
  <c r="R15" i="26"/>
  <c r="S17" i="26"/>
  <c r="R17" i="26"/>
  <c r="R9" i="26"/>
  <c r="R11" i="26"/>
  <c r="S9" i="26"/>
  <c r="S11" i="26"/>
  <c r="N82" i="26"/>
  <c r="M82" i="26"/>
  <c r="BV22" i="26"/>
  <c r="F57" i="37"/>
  <c r="I57" i="37"/>
  <c r="CA7" i="26"/>
  <c r="BZ7" i="26"/>
  <c r="CA32" i="26"/>
  <c r="BZ56" i="26"/>
  <c r="R53" i="26"/>
  <c r="F56" i="31"/>
  <c r="I56" i="31"/>
  <c r="I53" i="32"/>
  <c r="F53" i="32"/>
  <c r="AC39" i="26"/>
  <c r="AC42" i="26"/>
  <c r="AC41" i="26"/>
  <c r="D41" i="26" s="1"/>
  <c r="AC40" i="26"/>
  <c r="AB39" i="26"/>
  <c r="AB42" i="26"/>
  <c r="BZ50" i="26"/>
  <c r="BK68" i="26"/>
  <c r="BQ74" i="26"/>
  <c r="BL68" i="26"/>
  <c r="AV53" i="26"/>
  <c r="AV52" i="26"/>
  <c r="BQ33" i="26"/>
  <c r="BB53" i="26"/>
  <c r="BA53" i="26"/>
  <c r="AW52" i="26"/>
  <c r="AW53" i="26"/>
  <c r="CA56" i="26"/>
  <c r="CA55" i="26"/>
  <c r="CA63" i="26"/>
  <c r="CA50" i="26"/>
  <c r="CA82" i="26"/>
  <c r="BA60" i="26"/>
  <c r="S60" i="26"/>
  <c r="AM18" i="26"/>
  <c r="R60" i="26"/>
  <c r="BB60" i="26"/>
  <c r="AL68" i="26"/>
  <c r="BL5" i="26"/>
  <c r="BP77" i="26"/>
  <c r="AW60" i="26"/>
  <c r="BL54" i="26"/>
  <c r="BK54" i="26"/>
  <c r="AV60" i="26"/>
  <c r="AW50" i="26"/>
  <c r="BZ53" i="26"/>
  <c r="CA59" i="26"/>
  <c r="BV68" i="26"/>
  <c r="BU68" i="26"/>
  <c r="BQ77" i="26"/>
  <c r="BZ59" i="26"/>
  <c r="BK5" i="26"/>
  <c r="BZ20" i="26"/>
  <c r="AM68" i="26"/>
  <c r="M50" i="26"/>
  <c r="N50" i="26"/>
  <c r="BP53" i="26"/>
  <c r="BQ53" i="26"/>
  <c r="BP49" i="26"/>
  <c r="AV6" i="26"/>
  <c r="AV64" i="26"/>
  <c r="AR67" i="26"/>
  <c r="AV63" i="26"/>
  <c r="CA62" i="26"/>
  <c r="BP48" i="26"/>
  <c r="CA71" i="26"/>
  <c r="CA67" i="26"/>
  <c r="CA68" i="26"/>
  <c r="BP84" i="26"/>
  <c r="BQ48" i="26"/>
  <c r="CA30" i="26"/>
  <c r="CA80" i="26"/>
  <c r="BZ30" i="26"/>
  <c r="AV57" i="26"/>
  <c r="AV68" i="26"/>
  <c r="AV50" i="26"/>
  <c r="AW57" i="26"/>
  <c r="AW68" i="26"/>
  <c r="X68" i="26"/>
  <c r="BQ49" i="26"/>
  <c r="BQ84" i="26"/>
  <c r="BK53" i="26"/>
  <c r="BL53" i="26"/>
  <c r="BL69" i="26"/>
  <c r="BF69" i="26"/>
  <c r="BF53" i="26"/>
  <c r="BG69" i="26"/>
  <c r="BG53" i="26"/>
  <c r="BF68" i="26"/>
  <c r="BG68" i="26"/>
  <c r="AW6" i="26"/>
  <c r="AW63" i="26"/>
  <c r="AV80" i="26"/>
  <c r="AV82" i="26"/>
  <c r="AW64" i="26"/>
  <c r="AW80" i="26"/>
  <c r="AW82" i="26"/>
  <c r="CA64" i="26"/>
  <c r="BZ18" i="26"/>
  <c r="BZ85" i="26"/>
  <c r="BZ66" i="26"/>
  <c r="BZ72" i="26"/>
  <c r="BZ52" i="26"/>
  <c r="CA8" i="26"/>
  <c r="BZ71" i="26"/>
  <c r="BZ8" i="26"/>
  <c r="BZ67" i="26"/>
  <c r="BZ80" i="26"/>
  <c r="BZ68" i="26"/>
  <c r="CA18" i="26"/>
  <c r="CA85" i="26"/>
  <c r="CA66" i="26"/>
  <c r="CA57" i="26"/>
  <c r="CA72" i="26"/>
  <c r="CA52" i="26"/>
  <c r="BZ57" i="26"/>
  <c r="BZ62" i="26"/>
  <c r="BZ64" i="26"/>
  <c r="BV53" i="26"/>
  <c r="BU18" i="26"/>
  <c r="BU53" i="26"/>
  <c r="BU70" i="26"/>
  <c r="W68" i="26"/>
  <c r="AQ67" i="26"/>
  <c r="CA53" i="26"/>
  <c r="I58" i="33"/>
  <c r="F58" i="33"/>
  <c r="CA78" i="26"/>
  <c r="BL65" i="26"/>
  <c r="BV18" i="26"/>
  <c r="BV71" i="26"/>
  <c r="BV57" i="26"/>
  <c r="BQ12" i="26"/>
  <c r="BK48" i="26"/>
  <c r="BK69" i="26"/>
  <c r="BG65" i="26"/>
  <c r="BV72" i="26"/>
  <c r="N63" i="26"/>
  <c r="AG53" i="26"/>
  <c r="AR59" i="26"/>
  <c r="AQ59" i="26"/>
  <c r="AM70" i="26"/>
  <c r="AM53" i="26"/>
  <c r="AQ64" i="26"/>
  <c r="M68" i="26"/>
  <c r="AL53" i="26"/>
  <c r="R68" i="26"/>
  <c r="X69" i="26"/>
  <c r="M63" i="26"/>
  <c r="N68" i="26"/>
  <c r="S68" i="26"/>
  <c r="AQ85" i="26"/>
  <c r="AR85" i="26"/>
  <c r="AL70" i="26"/>
  <c r="AC54" i="26"/>
  <c r="AC69" i="26"/>
  <c r="AB54" i="26"/>
  <c r="AC68" i="26"/>
  <c r="M64" i="26"/>
  <c r="N54" i="26"/>
  <c r="N64" i="26"/>
  <c r="M52" i="26"/>
  <c r="N52" i="26"/>
  <c r="AQ70" i="26"/>
  <c r="AQ68" i="26"/>
  <c r="AR70" i="26"/>
  <c r="AR68" i="26"/>
  <c r="AR64" i="26"/>
  <c r="AM84" i="26"/>
  <c r="M6" i="26"/>
  <c r="N6" i="26"/>
  <c r="AR20" i="26"/>
  <c r="AQ20" i="26"/>
  <c r="AB5" i="26"/>
  <c r="AC5" i="26"/>
  <c r="N29" i="26"/>
  <c r="N8" i="26"/>
  <c r="N25" i="26"/>
  <c r="AQ30" i="26"/>
  <c r="AR30" i="26"/>
  <c r="AR9" i="26"/>
  <c r="AQ6" i="26"/>
  <c r="AR8" i="26"/>
  <c r="AQ9" i="26"/>
  <c r="AR6" i="26"/>
  <c r="AL18" i="26"/>
  <c r="W53" i="26"/>
  <c r="AQ57" i="26"/>
  <c r="AL85" i="26"/>
  <c r="AQ75" i="26"/>
  <c r="AQ80" i="26"/>
  <c r="AQ73" i="26"/>
  <c r="AQ72" i="26"/>
  <c r="AR75" i="26"/>
  <c r="AR80" i="26"/>
  <c r="AR73" i="26"/>
  <c r="AR72" i="26"/>
  <c r="AR53" i="26"/>
  <c r="AM85" i="26"/>
  <c r="AH48" i="26"/>
  <c r="AG48" i="26"/>
  <c r="AB34" i="26"/>
  <c r="AB69" i="26"/>
  <c r="AB53" i="26"/>
  <c r="AC53" i="26"/>
  <c r="X53" i="26"/>
  <c r="M57" i="26"/>
  <c r="N57" i="26"/>
  <c r="AG84" i="26"/>
  <c r="AH84" i="26"/>
  <c r="R48" i="26"/>
  <c r="S73" i="26"/>
  <c r="AC48" i="26"/>
  <c r="AQ71" i="26"/>
  <c r="AR71" i="26"/>
  <c r="AH53" i="26"/>
  <c r="AQ53" i="26"/>
  <c r="AR57" i="26"/>
  <c r="W48" i="26"/>
  <c r="S48" i="26"/>
  <c r="N66" i="26"/>
  <c r="N49" i="26"/>
  <c r="M66" i="26"/>
  <c r="M49" i="26"/>
  <c r="AQ51" i="26"/>
  <c r="AR48" i="26"/>
  <c r="AL48" i="26"/>
  <c r="AM48" i="26"/>
  <c r="AG77" i="26"/>
  <c r="AH77" i="26"/>
  <c r="AH22" i="26"/>
  <c r="AC36" i="26"/>
  <c r="AB30" i="26"/>
  <c r="X17" i="26"/>
  <c r="S27" i="26"/>
  <c r="AH19" i="26"/>
  <c r="AH5" i="26"/>
  <c r="AG5" i="26"/>
  <c r="AC30" i="26"/>
  <c r="X26" i="26"/>
  <c r="R29" i="26"/>
  <c r="S29" i="26"/>
  <c r="R27" i="26"/>
  <c r="N34" i="26"/>
  <c r="M34" i="26"/>
  <c r="AM7" i="26"/>
  <c r="AL7" i="26"/>
  <c r="W41" i="26"/>
  <c r="C41" i="26" s="1"/>
  <c r="M23" i="26"/>
  <c r="N23" i="26"/>
  <c r="BG48" i="26"/>
  <c r="BB48" i="26"/>
  <c r="BP21" i="26"/>
  <c r="BQ22" i="26"/>
  <c r="BF48" i="26"/>
  <c r="BB26" i="26"/>
  <c r="BA26" i="26"/>
  <c r="AW23" i="26"/>
  <c r="CA14" i="26"/>
  <c r="BV12" i="26"/>
  <c r="BP5" i="26"/>
  <c r="AW34" i="26"/>
  <c r="BZ48" i="26"/>
  <c r="BU48" i="26"/>
  <c r="BL30" i="26"/>
  <c r="AV34" i="26"/>
  <c r="BQ5" i="26"/>
  <c r="BQ19" i="26"/>
  <c r="BQ21" i="26"/>
  <c r="BK30" i="26"/>
  <c r="BL48" i="26"/>
  <c r="BG27" i="26"/>
  <c r="BG26" i="26"/>
  <c r="BG11" i="26"/>
  <c r="BG17" i="26"/>
  <c r="BB49" i="26"/>
  <c r="BB29" i="26"/>
  <c r="BA48" i="26"/>
  <c r="BA29" i="26"/>
  <c r="AW49" i="26"/>
  <c r="AV49" i="26"/>
  <c r="AV23" i="26"/>
  <c r="BV15" i="26"/>
  <c r="BU7" i="26"/>
  <c r="BV19" i="26"/>
  <c r="BU20" i="26"/>
  <c r="BV48" i="26"/>
  <c r="BG49" i="26"/>
  <c r="BV7" i="26"/>
  <c r="CA48" i="26"/>
  <c r="BG84" i="26"/>
  <c r="AB48" i="26"/>
  <c r="AH49" i="26"/>
  <c r="AG49" i="26"/>
  <c r="X48" i="26"/>
  <c r="M48" i="26"/>
  <c r="N48" i="26"/>
  <c r="AQ48" i="26"/>
  <c r="R78" i="26"/>
  <c r="AM43" i="26"/>
  <c r="AM12" i="26"/>
  <c r="N14" i="26"/>
  <c r="AL20" i="26"/>
  <c r="AM20" i="26"/>
  <c r="AM33" i="26"/>
  <c r="AQ8" i="26"/>
  <c r="N21" i="26"/>
  <c r="S65" i="26"/>
  <c r="R65" i="26"/>
  <c r="AH12" i="26"/>
  <c r="CA12" i="26"/>
  <c r="F58" i="41"/>
  <c r="I58" i="41"/>
  <c r="BU22" i="26"/>
  <c r="BZ37" i="26"/>
  <c r="BK11" i="26"/>
  <c r="CA37" i="26"/>
  <c r="X58" i="26"/>
  <c r="S78" i="26"/>
  <c r="AQ37" i="26"/>
  <c r="AR37" i="26"/>
  <c r="BG32" i="26"/>
  <c r="BQ56" i="26"/>
  <c r="BK80" i="26"/>
  <c r="CA24" i="26"/>
  <c r="BG72" i="26"/>
  <c r="BQ80" i="26"/>
  <c r="BQ60" i="26"/>
  <c r="BQ32" i="26"/>
  <c r="BQ76" i="26"/>
  <c r="BQ79" i="26"/>
  <c r="BQ65" i="26"/>
  <c r="BK55" i="26"/>
  <c r="BK22" i="26"/>
  <c r="BL52" i="26"/>
  <c r="BG80" i="26"/>
  <c r="BB9" i="26"/>
  <c r="AW65" i="26"/>
  <c r="AV65" i="26"/>
  <c r="CA65" i="26"/>
  <c r="BA65" i="26"/>
  <c r="AV67" i="26"/>
  <c r="BB19" i="26"/>
  <c r="CA81" i="26"/>
  <c r="BQ20" i="26"/>
  <c r="BQ9" i="26"/>
  <c r="BQ73" i="26"/>
  <c r="CA31" i="26"/>
  <c r="BB65" i="26"/>
  <c r="BV6" i="26"/>
  <c r="BP61" i="26"/>
  <c r="BB82" i="26"/>
  <c r="BA19" i="26"/>
  <c r="BL75" i="26"/>
  <c r="BZ74" i="26"/>
  <c r="BQ26" i="26"/>
  <c r="BA82" i="26"/>
  <c r="CA74" i="26"/>
  <c r="CA58" i="26"/>
  <c r="BQ34" i="26"/>
  <c r="BG22" i="26"/>
  <c r="BF58" i="26"/>
  <c r="AV30" i="26"/>
  <c r="BQ59" i="26"/>
  <c r="BQ52" i="26"/>
  <c r="BL9" i="26"/>
  <c r="BL62" i="26"/>
  <c r="BG5" i="26"/>
  <c r="BB78" i="26"/>
  <c r="BA78" i="26"/>
  <c r="AW71" i="26"/>
  <c r="BP18" i="26"/>
  <c r="BP24" i="26"/>
  <c r="BP55" i="26"/>
  <c r="BP14" i="26"/>
  <c r="BP7" i="26"/>
  <c r="BQ81" i="26"/>
  <c r="BQ69" i="26"/>
  <c r="BQ82" i="26"/>
  <c r="BQ62" i="26"/>
  <c r="BQ18" i="26"/>
  <c r="BQ55" i="26"/>
  <c r="BQ14" i="26"/>
  <c r="BQ11" i="26"/>
  <c r="BL66" i="26"/>
  <c r="BK77" i="26"/>
  <c r="BK84" i="26"/>
  <c r="BK18" i="26"/>
  <c r="BK76" i="26"/>
  <c r="BK81" i="26"/>
  <c r="BL58" i="26"/>
  <c r="BK17" i="26"/>
  <c r="BL81" i="26"/>
  <c r="BL60" i="26"/>
  <c r="BK58" i="26"/>
  <c r="BK64" i="26"/>
  <c r="BK6" i="26"/>
  <c r="BL8" i="26"/>
  <c r="BG58" i="26"/>
  <c r="BG70" i="26"/>
  <c r="BG73" i="26"/>
  <c r="BF15" i="26"/>
  <c r="BF81" i="26"/>
  <c r="BF78" i="26"/>
  <c r="BG15" i="26"/>
  <c r="BG78" i="26"/>
  <c r="BG20" i="26"/>
  <c r="BG82" i="26"/>
  <c r="BA10" i="26"/>
  <c r="BB30" i="26"/>
  <c r="BB10" i="26"/>
  <c r="BB50" i="26"/>
  <c r="BB74" i="26"/>
  <c r="BA30" i="26"/>
  <c r="BA74" i="26"/>
  <c r="AV73" i="26"/>
  <c r="AV66" i="26"/>
  <c r="AW67" i="26"/>
  <c r="AW73" i="26"/>
  <c r="AW66" i="26"/>
  <c r="AV71" i="26"/>
  <c r="AW72" i="26"/>
  <c r="BZ51" i="26"/>
  <c r="CA13" i="26"/>
  <c r="CA19" i="26"/>
  <c r="CA60" i="26"/>
  <c r="CA21" i="26"/>
  <c r="BV25" i="26"/>
  <c r="BV60" i="26"/>
  <c r="BV58" i="26"/>
  <c r="BU28" i="26"/>
  <c r="BV9" i="26"/>
  <c r="BV61" i="26"/>
  <c r="BU51" i="26"/>
  <c r="BQ23" i="26"/>
  <c r="BQ85" i="26"/>
  <c r="BQ27" i="26"/>
  <c r="BQ31" i="26"/>
  <c r="AV32" i="26"/>
  <c r="BL51" i="26"/>
  <c r="BK19" i="26"/>
  <c r="BK32" i="26"/>
  <c r="BL74" i="26"/>
  <c r="BB52" i="26"/>
  <c r="BL11" i="26"/>
  <c r="BL19" i="26"/>
  <c r="BL22" i="26"/>
  <c r="BL32" i="26"/>
  <c r="BP34" i="26"/>
  <c r="BB33" i="26"/>
  <c r="BV80" i="26"/>
  <c r="AV17" i="26"/>
  <c r="BL7" i="26"/>
  <c r="BQ71" i="26"/>
  <c r="BA33" i="26"/>
  <c r="BQ24" i="26"/>
  <c r="BQ7" i="26"/>
  <c r="BQ51" i="26"/>
  <c r="BG59" i="26"/>
  <c r="BG24" i="26"/>
  <c r="BG28" i="26"/>
  <c r="BG7" i="26"/>
  <c r="BG67" i="26"/>
  <c r="AW13" i="26"/>
  <c r="AW18" i="26"/>
  <c r="CA17" i="26"/>
  <c r="CA26" i="26"/>
  <c r="CA29" i="26"/>
  <c r="CA77" i="26"/>
  <c r="CA34" i="26"/>
  <c r="CA84" i="26"/>
  <c r="CA27" i="26"/>
  <c r="BZ34" i="26"/>
  <c r="BZ27" i="26"/>
  <c r="AR60" i="26"/>
  <c r="BG51" i="26"/>
  <c r="AV26" i="26"/>
  <c r="AV10" i="26"/>
  <c r="AW27" i="26"/>
  <c r="BG21" i="26"/>
  <c r="BG62" i="26"/>
  <c r="BG52" i="26"/>
  <c r="BG56" i="26"/>
  <c r="BG77" i="26"/>
  <c r="BG76" i="26"/>
  <c r="BF28" i="26"/>
  <c r="BF7" i="26"/>
  <c r="AV13" i="26"/>
  <c r="AV27" i="26"/>
  <c r="BV75" i="26"/>
  <c r="BP30" i="26"/>
  <c r="BQ13" i="26"/>
  <c r="BQ30" i="26"/>
  <c r="BP23" i="26"/>
  <c r="BL80" i="26"/>
  <c r="BP28" i="26"/>
  <c r="BQ17" i="26"/>
  <c r="BQ8" i="26"/>
  <c r="BQ72" i="26"/>
  <c r="BQ36" i="26"/>
  <c r="BQ37" i="26"/>
  <c r="BQ58" i="26"/>
  <c r="BQ64" i="26"/>
  <c r="BQ54" i="26"/>
  <c r="BQ75" i="26"/>
  <c r="BQ50" i="26"/>
  <c r="BQ61" i="26"/>
  <c r="BQ25" i="26"/>
  <c r="BQ67" i="26"/>
  <c r="BQ28" i="26"/>
  <c r="BQ29" i="26"/>
  <c r="BQ66" i="26"/>
  <c r="BQ6" i="26"/>
  <c r="BQ15" i="26"/>
  <c r="BQ57" i="26"/>
  <c r="BK20" i="26"/>
  <c r="BL61" i="26"/>
  <c r="BL57" i="26"/>
  <c r="BL12" i="26"/>
  <c r="BL6" i="26"/>
  <c r="BK12" i="26"/>
  <c r="BL21" i="26"/>
  <c r="BL27" i="26"/>
  <c r="BL76" i="26"/>
  <c r="BL26" i="26"/>
  <c r="BL64" i="26"/>
  <c r="BL71" i="26"/>
  <c r="BL84" i="26"/>
  <c r="BL18" i="26"/>
  <c r="BK7" i="26"/>
  <c r="BL13" i="26"/>
  <c r="BL15" i="26"/>
  <c r="BL70" i="26"/>
  <c r="BL55" i="26"/>
  <c r="BL25" i="26"/>
  <c r="BL78" i="26"/>
  <c r="BL29" i="26"/>
  <c r="BL31" i="26"/>
  <c r="BK15" i="26"/>
  <c r="BK63" i="26"/>
  <c r="BK74" i="26"/>
  <c r="BK67" i="26"/>
  <c r="BK31" i="26"/>
  <c r="BG50" i="26"/>
  <c r="BG74" i="26"/>
  <c r="BG54" i="26"/>
  <c r="BG8" i="26"/>
  <c r="BG25" i="26"/>
  <c r="BG37" i="26"/>
  <c r="BG14" i="26"/>
  <c r="BG60" i="26"/>
  <c r="BG6" i="26"/>
  <c r="BG85" i="26"/>
  <c r="BG23" i="26"/>
  <c r="BF12" i="26"/>
  <c r="BG75" i="26"/>
  <c r="BG81" i="26"/>
  <c r="BG12" i="26"/>
  <c r="BG63" i="26"/>
  <c r="BF30" i="26"/>
  <c r="BF18" i="26"/>
  <c r="BF34" i="26"/>
  <c r="BF29" i="26"/>
  <c r="BF31" i="26"/>
  <c r="BF19" i="26"/>
  <c r="BG30" i="26"/>
  <c r="BG18" i="26"/>
  <c r="BG34" i="26"/>
  <c r="BG29" i="26"/>
  <c r="BG71" i="26"/>
  <c r="BG66" i="26"/>
  <c r="BG64" i="26"/>
  <c r="BG33" i="26"/>
  <c r="BG31" i="26"/>
  <c r="BG19" i="26"/>
  <c r="BA31" i="26"/>
  <c r="BA15" i="26"/>
  <c r="BB15" i="26"/>
  <c r="BB31" i="26"/>
  <c r="AV33" i="26"/>
  <c r="AW33" i="26"/>
  <c r="AW32" i="26"/>
  <c r="AW30" i="26"/>
  <c r="AW26" i="26"/>
  <c r="AW10" i="26"/>
  <c r="AW17" i="26"/>
  <c r="AW36" i="26"/>
  <c r="CA49" i="26"/>
  <c r="CA51" i="26"/>
  <c r="CA79" i="26"/>
  <c r="CA10" i="26"/>
  <c r="CA36" i="26"/>
  <c r="CA15" i="26"/>
  <c r="CA69" i="26"/>
  <c r="CA22" i="26"/>
  <c r="BZ10" i="26"/>
  <c r="BZ22" i="26"/>
  <c r="BV79" i="26"/>
  <c r="BV77" i="26"/>
  <c r="BV24" i="26"/>
  <c r="BV50" i="26"/>
  <c r="BV13" i="26"/>
  <c r="BV28" i="26"/>
  <c r="BU75" i="26"/>
  <c r="BU59" i="26"/>
  <c r="BV56" i="26"/>
  <c r="BV74" i="26"/>
  <c r="BV65" i="26"/>
  <c r="BV11" i="26"/>
  <c r="BV69" i="26"/>
  <c r="BV34" i="26"/>
  <c r="AH30" i="26"/>
  <c r="M30" i="26"/>
  <c r="AH60" i="26"/>
  <c r="W58" i="26"/>
  <c r="AB55" i="26"/>
  <c r="AM59" i="26"/>
  <c r="AG55" i="26"/>
  <c r="AH55" i="26"/>
  <c r="AG61" i="26"/>
  <c r="AH61" i="26"/>
  <c r="AH59" i="26"/>
  <c r="S74" i="26"/>
  <c r="W78" i="26"/>
  <c r="AC81" i="26"/>
  <c r="AC58" i="26"/>
  <c r="AC55" i="26"/>
  <c r="AB58" i="26"/>
  <c r="AB81" i="26"/>
  <c r="X78" i="26"/>
  <c r="R82" i="26"/>
  <c r="S55" i="26"/>
  <c r="R74" i="26"/>
  <c r="S82" i="26"/>
  <c r="N71" i="26"/>
  <c r="M71" i="26"/>
  <c r="M72" i="26"/>
  <c r="N73" i="26"/>
  <c r="M73" i="26"/>
  <c r="N72" i="26"/>
  <c r="N65" i="26"/>
  <c r="M65" i="26"/>
  <c r="M67" i="26"/>
  <c r="N67" i="26"/>
  <c r="AL75" i="26"/>
  <c r="AL59" i="26"/>
  <c r="AM51" i="26"/>
  <c r="AM63" i="26"/>
  <c r="AM75" i="26"/>
  <c r="BV67" i="26"/>
  <c r="BV32" i="26"/>
  <c r="BV35" i="26"/>
  <c r="BV70" i="26"/>
  <c r="BV62" i="26"/>
  <c r="BV26" i="26"/>
  <c r="BV51" i="26"/>
  <c r="BV66" i="26"/>
  <c r="BV59" i="26"/>
  <c r="BV55" i="26"/>
  <c r="BV27" i="26"/>
  <c r="BV78" i="26"/>
  <c r="BV76" i="26"/>
  <c r="BV73" i="26"/>
  <c r="BV49" i="26"/>
  <c r="BV20" i="26"/>
  <c r="BV23" i="26"/>
  <c r="BU10" i="26"/>
  <c r="BU63" i="26"/>
  <c r="BV10" i="26"/>
  <c r="BV63" i="26"/>
  <c r="BV52" i="26"/>
  <c r="AG21" i="26"/>
  <c r="AH37" i="26"/>
  <c r="AH21" i="26"/>
  <c r="Z81" i="26"/>
  <c r="Y81" i="26"/>
  <c r="X60" i="26"/>
  <c r="X85" i="26"/>
  <c r="X75" i="26"/>
  <c r="Z69" i="26"/>
  <c r="Y69" i="26"/>
  <c r="Z51" i="26"/>
  <c r="Y51" i="26"/>
  <c r="W85" i="26"/>
  <c r="W19" i="26"/>
  <c r="W75" i="26"/>
  <c r="W7" i="26"/>
  <c r="W52" i="26"/>
  <c r="X25" i="26"/>
  <c r="X5" i="26"/>
  <c r="X52" i="26"/>
  <c r="AR51" i="26"/>
  <c r="M33" i="26"/>
  <c r="N33" i="26"/>
  <c r="M32" i="26"/>
  <c r="AQ74" i="26"/>
  <c r="AR74" i="26"/>
  <c r="AQ27" i="26"/>
  <c r="AR27" i="26"/>
  <c r="AL63" i="26"/>
  <c r="AL51" i="26"/>
  <c r="AB65" i="26"/>
  <c r="S58" i="26"/>
  <c r="AC65" i="26"/>
  <c r="S57" i="26"/>
  <c r="AH71" i="26"/>
  <c r="X72" i="26"/>
  <c r="AH74" i="26"/>
  <c r="AB82" i="26"/>
  <c r="AC82" i="26"/>
  <c r="S5" i="26"/>
  <c r="R28" i="26"/>
  <c r="S56" i="26"/>
  <c r="R30" i="26"/>
  <c r="S30" i="26"/>
  <c r="S79" i="26"/>
  <c r="S77" i="26"/>
  <c r="S71" i="26"/>
  <c r="S70" i="26"/>
  <c r="AL22" i="26"/>
  <c r="R54" i="26"/>
  <c r="M36" i="26"/>
  <c r="AQ55" i="26"/>
  <c r="AQ34" i="26"/>
  <c r="AC61" i="26"/>
  <c r="X82" i="26"/>
  <c r="AH52" i="26"/>
  <c r="M27" i="26"/>
  <c r="M17" i="26"/>
  <c r="X8" i="26"/>
  <c r="AQ10" i="26"/>
  <c r="R33" i="26"/>
  <c r="AR12" i="26"/>
  <c r="M13" i="26"/>
  <c r="M18" i="26"/>
  <c r="M10" i="26"/>
  <c r="R34" i="26"/>
  <c r="S62" i="26"/>
  <c r="X59" i="26"/>
  <c r="W59" i="26"/>
  <c r="AR54" i="26"/>
  <c r="N59" i="26"/>
  <c r="N78" i="26"/>
  <c r="N75" i="26"/>
  <c r="N74" i="26"/>
  <c r="S33" i="26"/>
  <c r="N70" i="26"/>
  <c r="N69" i="26"/>
  <c r="N81" i="26"/>
  <c r="N79" i="26"/>
  <c r="S28" i="26"/>
  <c r="S50" i="26"/>
  <c r="S31" i="26"/>
  <c r="S85" i="26"/>
  <c r="D83" i="26" s="1"/>
  <c r="R80" i="26"/>
  <c r="S80" i="26"/>
  <c r="S69" i="26"/>
  <c r="S81" i="26"/>
  <c r="S75" i="26"/>
  <c r="S72" i="26"/>
  <c r="R61" i="26"/>
  <c r="S64" i="26"/>
  <c r="S63" i="26"/>
  <c r="S61" i="26"/>
  <c r="R62" i="26"/>
  <c r="S52" i="26"/>
  <c r="S54" i="26"/>
  <c r="S59" i="26"/>
  <c r="S51" i="26"/>
  <c r="S36" i="26"/>
  <c r="R31" i="26"/>
  <c r="S34" i="26"/>
  <c r="AQ28" i="26"/>
  <c r="N84" i="26"/>
  <c r="N58" i="26"/>
  <c r="N55" i="26"/>
  <c r="N51" i="26"/>
  <c r="M7" i="26"/>
  <c r="AR55" i="26"/>
  <c r="AR29" i="26"/>
  <c r="AR49" i="26"/>
  <c r="AR28" i="26"/>
  <c r="AR10" i="26"/>
  <c r="AM71" i="26"/>
  <c r="AM22" i="26"/>
  <c r="BB14" i="26"/>
  <c r="CA11" i="26"/>
  <c r="CA6" i="26"/>
  <c r="BZ11" i="26"/>
  <c r="BZ6" i="26"/>
  <c r="AM29" i="26"/>
  <c r="AM81" i="26"/>
  <c r="AL10" i="26"/>
  <c r="AM69" i="26"/>
  <c r="BV21" i="26"/>
  <c r="BU21" i="26"/>
  <c r="BU30" i="26"/>
  <c r="BV30" i="26"/>
  <c r="AM73" i="26"/>
  <c r="AL21" i="26"/>
  <c r="AM79" i="26"/>
  <c r="AM21" i="26"/>
  <c r="AL14" i="26"/>
  <c r="AL34" i="26"/>
  <c r="AL28" i="26"/>
  <c r="AL37" i="26"/>
  <c r="AM10" i="26"/>
  <c r="AM67" i="26"/>
  <c r="AM49" i="26"/>
  <c r="AM14" i="26"/>
  <c r="AM62" i="26"/>
  <c r="AM34" i="26"/>
  <c r="AM24" i="26"/>
  <c r="AM28" i="26"/>
  <c r="AM37" i="26"/>
  <c r="AM61" i="26"/>
  <c r="AM74" i="26"/>
  <c r="AM78" i="26"/>
  <c r="AL17" i="26"/>
  <c r="AM54" i="26"/>
  <c r="BV64" i="26"/>
  <c r="BU14" i="26"/>
  <c r="BU17" i="26"/>
  <c r="BU37" i="26"/>
  <c r="BV14" i="26"/>
  <c r="BV17" i="26"/>
  <c r="BV37" i="26"/>
  <c r="BU36" i="26"/>
  <c r="BU8" i="26"/>
  <c r="BU34" i="26"/>
  <c r="BV36" i="26"/>
  <c r="BV8" i="26"/>
  <c r="AH72" i="26"/>
  <c r="AH79" i="26"/>
  <c r="AB7" i="26"/>
  <c r="AC7" i="26"/>
  <c r="AB22" i="26"/>
  <c r="AC22" i="26"/>
  <c r="AB17" i="26"/>
  <c r="AG30" i="26"/>
  <c r="AH26" i="26"/>
  <c r="AH51" i="26"/>
  <c r="AH8" i="26"/>
  <c r="AH17" i="26"/>
  <c r="W31" i="26"/>
  <c r="X31" i="26"/>
  <c r="AB26" i="26"/>
  <c r="X57" i="26"/>
  <c r="X24" i="26"/>
  <c r="X29" i="26"/>
  <c r="W29" i="26"/>
  <c r="AG28" i="26"/>
  <c r="AH32" i="26"/>
  <c r="AH50" i="26"/>
  <c r="AH31" i="26"/>
  <c r="AH73" i="26"/>
  <c r="AC35" i="26"/>
  <c r="AB66" i="26"/>
  <c r="AC74" i="26"/>
  <c r="AC50" i="26"/>
  <c r="AB85" i="26"/>
  <c r="AH23" i="26"/>
  <c r="AH56" i="26"/>
  <c r="AH28" i="26"/>
  <c r="AH82" i="26"/>
  <c r="AG23" i="26"/>
  <c r="AG82" i="26"/>
  <c r="AH36" i="26"/>
  <c r="AH25" i="26"/>
  <c r="AH11" i="26"/>
  <c r="AH14" i="26"/>
  <c r="AH67" i="26"/>
  <c r="AH9" i="26"/>
  <c r="AH65" i="26"/>
  <c r="AH76" i="26"/>
  <c r="AG14" i="26"/>
  <c r="AH15" i="26"/>
  <c r="AH58" i="26"/>
  <c r="AH24" i="26"/>
  <c r="AH29" i="26"/>
  <c r="AH62" i="26"/>
  <c r="AH66" i="26"/>
  <c r="AH54" i="26"/>
  <c r="AH13" i="26"/>
  <c r="AH18" i="26"/>
  <c r="AH57" i="26"/>
  <c r="AH20" i="26"/>
  <c r="AH69" i="26"/>
  <c r="AH7" i="26"/>
  <c r="AH34" i="26"/>
  <c r="AH6" i="26"/>
  <c r="AH80" i="26"/>
  <c r="AH27" i="26"/>
  <c r="AH64" i="26"/>
  <c r="AH85" i="26"/>
  <c r="AH35" i="26"/>
  <c r="AH75" i="26"/>
  <c r="AG24" i="26"/>
  <c r="AG18" i="26"/>
  <c r="AG7" i="26"/>
  <c r="AG34" i="26"/>
  <c r="AB57" i="26"/>
  <c r="AB74" i="26"/>
  <c r="X70" i="26"/>
  <c r="X80" i="26"/>
  <c r="X56" i="26"/>
  <c r="W77" i="26"/>
  <c r="W12" i="26"/>
  <c r="AB35" i="26"/>
  <c r="AB67" i="26"/>
  <c r="AC67" i="26"/>
  <c r="AC26" i="26"/>
  <c r="AC62" i="26"/>
  <c r="AB32" i="26"/>
  <c r="AB19" i="26"/>
  <c r="AB18" i="26"/>
  <c r="AB63" i="26"/>
  <c r="AB6" i="26"/>
  <c r="AB21" i="26"/>
  <c r="AC32" i="26"/>
  <c r="AC19" i="26"/>
  <c r="AC18" i="26"/>
  <c r="X71" i="26"/>
  <c r="X51" i="26"/>
  <c r="X64" i="26"/>
  <c r="X63" i="26"/>
  <c r="X14" i="26"/>
  <c r="X19" i="26"/>
  <c r="X73" i="26"/>
  <c r="X77" i="26"/>
  <c r="X30" i="26"/>
  <c r="X74" i="26"/>
  <c r="X22" i="26"/>
  <c r="W28" i="26"/>
  <c r="W30" i="26"/>
  <c r="X49" i="26"/>
  <c r="X76" i="26"/>
  <c r="X65" i="26"/>
  <c r="X35" i="26"/>
  <c r="X23" i="26"/>
  <c r="W51" i="26"/>
  <c r="W67" i="26"/>
  <c r="N7" i="26"/>
  <c r="AR19" i="26"/>
  <c r="AQ35" i="26"/>
  <c r="AQ11" i="26"/>
  <c r="AR35" i="26"/>
  <c r="AR11" i="26"/>
  <c r="AR39" i="26"/>
  <c r="AR34" i="26"/>
  <c r="AQ22" i="26"/>
  <c r="AR22" i="26"/>
  <c r="AM42" i="26"/>
  <c r="AM19" i="26"/>
  <c r="AM17" i="26"/>
  <c r="AL35" i="26"/>
  <c r="AL30" i="26"/>
  <c r="AM35" i="26"/>
  <c r="AM30" i="26"/>
  <c r="AL42" i="26"/>
  <c r="M26" i="26"/>
  <c r="N35" i="26"/>
  <c r="N30" i="26"/>
  <c r="N31" i="26"/>
  <c r="N27" i="26"/>
  <c r="N15" i="26"/>
  <c r="N13" i="26"/>
  <c r="N37" i="26"/>
  <c r="N32" i="26"/>
  <c r="N19" i="26"/>
  <c r="N17" i="26"/>
  <c r="N20" i="26"/>
  <c r="N18" i="26"/>
  <c r="N12" i="26"/>
  <c r="N10" i="26"/>
  <c r="N26" i="26"/>
  <c r="N42" i="26"/>
  <c r="N36" i="26"/>
  <c r="AR26" i="26"/>
  <c r="AR58" i="26"/>
  <c r="AQ58" i="26"/>
  <c r="BL63" i="26"/>
  <c r="AB60" i="26"/>
  <c r="AC77" i="26"/>
  <c r="AC6" i="26"/>
  <c r="AB77" i="26"/>
  <c r="AC60" i="26"/>
  <c r="AC9" i="26"/>
  <c r="BK49" i="26"/>
  <c r="BV33" i="26"/>
  <c r="BU13" i="26"/>
  <c r="CA33" i="26"/>
  <c r="BL49" i="26"/>
  <c r="BK51" i="26"/>
  <c r="BL37" i="26"/>
  <c r="BL17" i="26"/>
  <c r="BG55" i="26"/>
  <c r="BV29" i="26"/>
  <c r="BQ70" i="26"/>
  <c r="BQ63" i="26"/>
  <c r="BL67" i="26"/>
  <c r="BL72" i="26"/>
  <c r="BK57" i="26"/>
  <c r="BG36" i="26"/>
  <c r="BP43" i="26"/>
  <c r="BP80" i="26"/>
  <c r="BP74" i="26"/>
  <c r="BQ78" i="26"/>
  <c r="BL77" i="26"/>
  <c r="BL36" i="26"/>
  <c r="BK71" i="26"/>
  <c r="BL23" i="26"/>
  <c r="BL14" i="26"/>
  <c r="BL85" i="26"/>
  <c r="BL56" i="26"/>
  <c r="BL20" i="26"/>
  <c r="BL73" i="26"/>
  <c r="BL82" i="26"/>
  <c r="BL24" i="26"/>
  <c r="BL50" i="26"/>
  <c r="BL59" i="26"/>
  <c r="BK75" i="26"/>
  <c r="BF59" i="26"/>
  <c r="BF67" i="26"/>
  <c r="BG61" i="26"/>
  <c r="BF85" i="26"/>
  <c r="CA54" i="26"/>
  <c r="BU76" i="26"/>
  <c r="BV54" i="26"/>
  <c r="BV82" i="26"/>
  <c r="BU74" i="26"/>
  <c r="BU71" i="26"/>
  <c r="BF11" i="26"/>
  <c r="BP75" i="26"/>
  <c r="BP8" i="26"/>
  <c r="BF73" i="26"/>
  <c r="BP13" i="26"/>
  <c r="BP42" i="26"/>
  <c r="BP12" i="26"/>
  <c r="BF75" i="26"/>
  <c r="BF43" i="26"/>
  <c r="BF22" i="26"/>
  <c r="BP81" i="26"/>
  <c r="BP36" i="26"/>
  <c r="BU78" i="26"/>
  <c r="BP65" i="26"/>
  <c r="BK27" i="26"/>
  <c r="BP40" i="26"/>
  <c r="BP50" i="26"/>
  <c r="BP15" i="26"/>
  <c r="BP39" i="26"/>
  <c r="BP35" i="26"/>
  <c r="BP52" i="26"/>
  <c r="BP31" i="26"/>
  <c r="BP54" i="26"/>
  <c r="BP32" i="26"/>
  <c r="BP76" i="26"/>
  <c r="BP69" i="26"/>
  <c r="BP82" i="26"/>
  <c r="BF61" i="26"/>
  <c r="BP73" i="26"/>
  <c r="BP59" i="26"/>
  <c r="BF66" i="26"/>
  <c r="BP63" i="26"/>
  <c r="BP6" i="26"/>
  <c r="BF39" i="26"/>
  <c r="BP20" i="26"/>
  <c r="BP85" i="26"/>
  <c r="BP78" i="26"/>
  <c r="BP79" i="26"/>
  <c r="BP67" i="26"/>
  <c r="BP64" i="26"/>
  <c r="BP70" i="26"/>
  <c r="BP71" i="26"/>
  <c r="BP72" i="26"/>
  <c r="BP66" i="26"/>
  <c r="BP60" i="26"/>
  <c r="BP57" i="26"/>
  <c r="BP58" i="26"/>
  <c r="BP56" i="26"/>
  <c r="BP51" i="26"/>
  <c r="BP37" i="26"/>
  <c r="BP33" i="26"/>
  <c r="BP16" i="26"/>
  <c r="BP62" i="26"/>
  <c r="BP25" i="26"/>
  <c r="BP11" i="26"/>
  <c r="BP22" i="26"/>
  <c r="BP17" i="26"/>
  <c r="BP27" i="26"/>
  <c r="BP26" i="26"/>
  <c r="BP9" i="26"/>
  <c r="BP29" i="26"/>
  <c r="BP19" i="26"/>
  <c r="BF8" i="26"/>
  <c r="BZ38" i="26"/>
  <c r="BF37" i="26"/>
  <c r="BZ24" i="26"/>
  <c r="BZ21" i="26"/>
  <c r="BF17" i="26"/>
  <c r="BU24" i="26"/>
  <c r="BK52" i="26"/>
  <c r="BL33" i="26"/>
  <c r="BK85" i="26"/>
  <c r="BK82" i="26"/>
  <c r="BK78" i="26"/>
  <c r="BK72" i="26"/>
  <c r="BK73" i="26"/>
  <c r="BK70" i="26"/>
  <c r="BK66" i="26"/>
  <c r="BK61" i="26"/>
  <c r="BK59" i="26"/>
  <c r="BK60" i="26"/>
  <c r="BK62" i="26"/>
  <c r="BK65" i="26"/>
  <c r="BK56" i="26"/>
  <c r="BK37" i="26"/>
  <c r="BK50" i="26"/>
  <c r="BK16" i="26"/>
  <c r="BK14" i="26"/>
  <c r="BK33" i="26"/>
  <c r="BK25" i="26"/>
  <c r="BK23" i="26"/>
  <c r="BK43" i="26"/>
  <c r="BK29" i="26"/>
  <c r="BK24" i="26"/>
  <c r="BK21" i="26"/>
  <c r="BK36" i="26"/>
  <c r="BK13" i="26"/>
  <c r="BK26" i="26"/>
  <c r="BK9" i="26"/>
  <c r="BK8" i="26"/>
  <c r="BZ23" i="26"/>
  <c r="BF33" i="26"/>
  <c r="BF32" i="26"/>
  <c r="BF52" i="26"/>
  <c r="BF23" i="26"/>
  <c r="BF64" i="26"/>
  <c r="BF14" i="26"/>
  <c r="BF84" i="26"/>
  <c r="BF56" i="26"/>
  <c r="BF77" i="26"/>
  <c r="BF54" i="26"/>
  <c r="BF40" i="26"/>
  <c r="BF71" i="26"/>
  <c r="BF57" i="26"/>
  <c r="BF49" i="26"/>
  <c r="BF27" i="26"/>
  <c r="BF74" i="26"/>
  <c r="BU61" i="26"/>
  <c r="BF63" i="26"/>
  <c r="BF62" i="26"/>
  <c r="BU77" i="26"/>
  <c r="BF20" i="26"/>
  <c r="BF16" i="26"/>
  <c r="BU6" i="26"/>
  <c r="BF25" i="26"/>
  <c r="BF65" i="26"/>
  <c r="BF82" i="26"/>
  <c r="BF80" i="26"/>
  <c r="BF76" i="26"/>
  <c r="BF70" i="26"/>
  <c r="BF72" i="26"/>
  <c r="BF60" i="26"/>
  <c r="BF55" i="26"/>
  <c r="BF51" i="26"/>
  <c r="BF50" i="26"/>
  <c r="BF35" i="26"/>
  <c r="BF36" i="26"/>
  <c r="BF24" i="26"/>
  <c r="BF38" i="26"/>
  <c r="BF21" i="26"/>
  <c r="BF6" i="26"/>
  <c r="BF5" i="26"/>
  <c r="BF26" i="26"/>
  <c r="BA14" i="26"/>
  <c r="BA49" i="26"/>
  <c r="BU27" i="26"/>
  <c r="BU49" i="26"/>
  <c r="BZ79" i="26"/>
  <c r="BZ81" i="26"/>
  <c r="BA52" i="26"/>
  <c r="BA50" i="26"/>
  <c r="BA16" i="26"/>
  <c r="BA9" i="26"/>
  <c r="BZ77" i="26"/>
  <c r="BZ12" i="26"/>
  <c r="BU15" i="26"/>
  <c r="BZ82" i="26"/>
  <c r="BZ63" i="26"/>
  <c r="BU73" i="26"/>
  <c r="BZ32" i="26"/>
  <c r="BU19" i="26"/>
  <c r="BU40" i="26"/>
  <c r="BU50" i="26"/>
  <c r="BU80" i="26"/>
  <c r="BU72" i="26"/>
  <c r="BU9" i="26"/>
  <c r="BZ19" i="26"/>
  <c r="BZ58" i="26"/>
  <c r="BV81" i="26"/>
  <c r="BZ40" i="26"/>
  <c r="BZ84" i="26"/>
  <c r="BZ78" i="26"/>
  <c r="BZ69" i="26"/>
  <c r="BZ65" i="26"/>
  <c r="BZ61" i="26"/>
  <c r="BZ60" i="26"/>
  <c r="BZ55" i="26"/>
  <c r="BZ54" i="26"/>
  <c r="BZ49" i="26"/>
  <c r="BZ33" i="26"/>
  <c r="BZ14" i="26"/>
  <c r="BZ42" i="26"/>
  <c r="BZ31" i="26"/>
  <c r="BZ36" i="26"/>
  <c r="BZ15" i="26"/>
  <c r="BZ13" i="26"/>
  <c r="BZ17" i="26"/>
  <c r="BZ26" i="26"/>
  <c r="BZ29" i="26"/>
  <c r="BZ39" i="26"/>
  <c r="BU57" i="26"/>
  <c r="BU33" i="26"/>
  <c r="BU58" i="26"/>
  <c r="BU69" i="26"/>
  <c r="BU65" i="26"/>
  <c r="BU29" i="26"/>
  <c r="BU35" i="26"/>
  <c r="BU43" i="26"/>
  <c r="BU26" i="26"/>
  <c r="BU23" i="26"/>
  <c r="BU81" i="26"/>
  <c r="BU79" i="26"/>
  <c r="BU82" i="26"/>
  <c r="BU66" i="26"/>
  <c r="BU64" i="26"/>
  <c r="BU67" i="26"/>
  <c r="BU62" i="26"/>
  <c r="BU52" i="26"/>
  <c r="BU55" i="26"/>
  <c r="BU54" i="26"/>
  <c r="BU56" i="26"/>
  <c r="BU16" i="26"/>
  <c r="BU60" i="26"/>
  <c r="BU25" i="26"/>
  <c r="BU31" i="26"/>
  <c r="BU42" i="26"/>
  <c r="BU11" i="26"/>
  <c r="BU39" i="26"/>
  <c r="BU12" i="26"/>
  <c r="BU32" i="26"/>
  <c r="AC51" i="26"/>
  <c r="AC85" i="26"/>
  <c r="AC24" i="26"/>
  <c r="AC84" i="26"/>
  <c r="AC75" i="26"/>
  <c r="AC29" i="26"/>
  <c r="AC8" i="26"/>
  <c r="AB75" i="26"/>
  <c r="AG85" i="26"/>
  <c r="AG19" i="26"/>
  <c r="AG57" i="26"/>
  <c r="AG74" i="26"/>
  <c r="AG33" i="26"/>
  <c r="N38" i="26"/>
  <c r="AG16" i="26"/>
  <c r="AC20" i="26"/>
  <c r="AC21" i="26"/>
  <c r="AC56" i="26"/>
  <c r="AG66" i="26"/>
  <c r="AB50" i="26"/>
  <c r="AG76" i="26"/>
  <c r="AG8" i="26"/>
  <c r="AG67" i="26"/>
  <c r="AC31" i="26"/>
  <c r="AC12" i="26"/>
  <c r="AB73" i="26"/>
  <c r="AG11" i="26"/>
  <c r="AG69" i="26"/>
  <c r="AG64" i="26"/>
  <c r="AG72" i="26"/>
  <c r="AG54" i="26"/>
  <c r="AG32" i="26"/>
  <c r="AG56" i="26"/>
  <c r="AG17" i="26"/>
  <c r="AB31" i="26"/>
  <c r="AG65" i="26"/>
  <c r="AG73" i="26"/>
  <c r="AG9" i="26"/>
  <c r="AG31" i="26"/>
  <c r="AG13" i="26"/>
  <c r="AG52" i="26"/>
  <c r="AG39" i="26"/>
  <c r="AG58" i="26"/>
  <c r="AG51" i="26"/>
  <c r="AG22" i="26"/>
  <c r="AG36" i="26"/>
  <c r="AG50" i="26"/>
  <c r="AG12" i="26"/>
  <c r="AG60" i="26"/>
  <c r="AG80" i="26"/>
  <c r="AG75" i="26"/>
  <c r="AG37" i="26"/>
  <c r="AG43" i="26"/>
  <c r="AG26" i="26"/>
  <c r="AG20" i="26"/>
  <c r="AG15" i="26"/>
  <c r="AG29" i="26"/>
  <c r="AG25" i="26"/>
  <c r="AG71" i="26"/>
  <c r="AG62" i="26"/>
  <c r="AG6" i="26"/>
  <c r="AG35" i="26"/>
  <c r="AG27" i="26"/>
  <c r="AG40" i="26"/>
  <c r="AG79" i="26"/>
  <c r="AG42" i="26"/>
  <c r="AG59" i="26"/>
  <c r="AC37" i="26"/>
  <c r="AC25" i="26"/>
  <c r="AC59" i="26"/>
  <c r="AC49" i="26"/>
  <c r="AB37" i="26"/>
  <c r="AB49" i="26"/>
  <c r="AC72" i="26"/>
  <c r="AC17" i="26"/>
  <c r="AC57" i="26"/>
  <c r="AC73" i="26"/>
  <c r="AC71" i="26"/>
  <c r="AC23" i="26"/>
  <c r="AC16" i="26"/>
  <c r="AC11" i="26"/>
  <c r="AC52" i="26"/>
  <c r="AC66" i="26"/>
  <c r="AC63" i="26"/>
  <c r="AC38" i="26"/>
  <c r="AC70" i="26"/>
  <c r="AC76" i="26"/>
  <c r="AC13" i="26"/>
  <c r="AC33" i="26"/>
  <c r="AC78" i="26"/>
  <c r="AC43" i="26"/>
  <c r="AB72" i="26"/>
  <c r="AB70" i="26"/>
  <c r="AC80" i="26"/>
  <c r="AL52" i="26"/>
  <c r="M81" i="26"/>
  <c r="M20" i="26"/>
  <c r="N85" i="26"/>
  <c r="M69" i="26"/>
  <c r="AB56" i="26"/>
  <c r="AB33" i="26"/>
  <c r="AB52" i="26"/>
  <c r="AB84" i="26"/>
  <c r="AB13" i="26"/>
  <c r="AB80" i="26"/>
  <c r="AB59" i="26"/>
  <c r="AB12" i="26"/>
  <c r="AB76" i="26"/>
  <c r="AB24" i="26"/>
  <c r="AB29" i="26"/>
  <c r="AB11" i="26"/>
  <c r="AB8" i="26"/>
  <c r="AB20" i="26"/>
  <c r="AB16" i="26"/>
  <c r="AB71" i="26"/>
  <c r="AB25" i="26"/>
  <c r="AB62" i="26"/>
  <c r="AB61" i="26"/>
  <c r="AB78" i="26"/>
  <c r="AB9" i="26"/>
  <c r="AB51" i="26"/>
  <c r="AB23" i="26"/>
  <c r="AB43" i="26"/>
  <c r="AB36" i="26"/>
  <c r="W40" i="26"/>
  <c r="W57" i="26"/>
  <c r="W82" i="26"/>
  <c r="W39" i="26"/>
  <c r="W23" i="26"/>
  <c r="S76" i="26"/>
  <c r="R71" i="26"/>
  <c r="R63" i="26"/>
  <c r="M85" i="26"/>
  <c r="AQ12" i="26"/>
  <c r="AL58" i="26"/>
  <c r="W11" i="26"/>
  <c r="R72" i="26"/>
  <c r="M35" i="26"/>
  <c r="M31" i="26"/>
  <c r="M58" i="26"/>
  <c r="M59" i="26"/>
  <c r="AQ32" i="26"/>
  <c r="AL9" i="26"/>
  <c r="AL29" i="26"/>
  <c r="AL81" i="26"/>
  <c r="AL60" i="26"/>
  <c r="AL33" i="26"/>
  <c r="M12" i="26"/>
  <c r="M14" i="26"/>
  <c r="M84" i="26"/>
  <c r="W17" i="26"/>
  <c r="W62" i="26"/>
  <c r="W60" i="26"/>
  <c r="W56" i="26"/>
  <c r="W26" i="26"/>
  <c r="W8" i="26"/>
  <c r="W14" i="26"/>
  <c r="W38" i="26"/>
  <c r="W71" i="26"/>
  <c r="W25" i="26"/>
  <c r="W43" i="26"/>
  <c r="W70" i="26"/>
  <c r="W76" i="26"/>
  <c r="W74" i="26"/>
  <c r="W66" i="26"/>
  <c r="W64" i="26"/>
  <c r="W16" i="26"/>
  <c r="W63" i="26"/>
  <c r="W5" i="26"/>
  <c r="W84" i="26"/>
  <c r="W80" i="26"/>
  <c r="R77" i="26"/>
  <c r="R52" i="26"/>
  <c r="R70" i="26"/>
  <c r="R75" i="26"/>
  <c r="R58" i="26"/>
  <c r="R43" i="26"/>
  <c r="R57" i="26"/>
  <c r="R56" i="26"/>
  <c r="R79" i="26"/>
  <c r="R59" i="26"/>
  <c r="R38" i="26"/>
  <c r="R85" i="26"/>
  <c r="R64" i="26"/>
  <c r="R73" i="26"/>
  <c r="R76" i="26"/>
  <c r="R5" i="26"/>
  <c r="R81" i="26"/>
  <c r="R36" i="26"/>
  <c r="R55" i="26"/>
  <c r="R35" i="26"/>
  <c r="R42" i="26"/>
  <c r="R69" i="26"/>
  <c r="R51" i="26"/>
  <c r="M55" i="26"/>
  <c r="M74" i="26"/>
  <c r="M70" i="26"/>
  <c r="M79" i="26"/>
  <c r="M78" i="26"/>
  <c r="M29" i="26"/>
  <c r="M19" i="26"/>
  <c r="M51" i="26"/>
  <c r="M21" i="26"/>
  <c r="M8" i="26"/>
  <c r="M42" i="26"/>
  <c r="M38" i="26"/>
  <c r="M22" i="26"/>
  <c r="M37" i="26"/>
  <c r="M15" i="26"/>
  <c r="M75" i="26"/>
  <c r="AQ39" i="26"/>
  <c r="AQ60" i="26"/>
  <c r="AQ49" i="26"/>
  <c r="AQ54" i="26"/>
  <c r="AQ19" i="26"/>
  <c r="AQ81" i="26"/>
  <c r="AQ26" i="26"/>
  <c r="AM57" i="26"/>
  <c r="AL62" i="26"/>
  <c r="AL80" i="26"/>
  <c r="AM64" i="26"/>
  <c r="AM23" i="26"/>
  <c r="AM60" i="26"/>
  <c r="AL12" i="26"/>
  <c r="AL15" i="26"/>
  <c r="AM65" i="26"/>
  <c r="AL55" i="26"/>
  <c r="AL78" i="26"/>
  <c r="AL69" i="26"/>
  <c r="AM76" i="26"/>
  <c r="AM82" i="26"/>
  <c r="AM9" i="26"/>
  <c r="AM66" i="26"/>
  <c r="AL54" i="26"/>
  <c r="AL77" i="26"/>
  <c r="AL40" i="26"/>
  <c r="AL61" i="26"/>
  <c r="AM50" i="26"/>
  <c r="AL71" i="26"/>
  <c r="AL43" i="26"/>
  <c r="AL24" i="26"/>
  <c r="AL27" i="26"/>
  <c r="AL25" i="26"/>
  <c r="AM58" i="26"/>
  <c r="AL31" i="26"/>
  <c r="AL56" i="26"/>
  <c r="AM77" i="26"/>
  <c r="AL74" i="26"/>
  <c r="AL65" i="26"/>
  <c r="AL73" i="26"/>
  <c r="AL19" i="26"/>
  <c r="AM27" i="26"/>
  <c r="AM25" i="26"/>
  <c r="AM56" i="26"/>
  <c r="AL67" i="26"/>
  <c r="AL23" i="26"/>
  <c r="AL49" i="26"/>
  <c r="AL82" i="26"/>
  <c r="AL57" i="26"/>
  <c r="AL50" i="26"/>
  <c r="AL79" i="26"/>
  <c r="AL66" i="26"/>
  <c r="AL64" i="26"/>
  <c r="AL76" i="26"/>
  <c r="AM15" i="26"/>
  <c r="AM31" i="26"/>
  <c r="AM55" i="26"/>
  <c r="AM52" i="26"/>
  <c r="R50" i="26"/>
  <c r="AM80" i="26"/>
  <c r="AL5" i="26"/>
  <c r="BA69" i="26"/>
  <c r="BA76" i="26"/>
  <c r="BA7" i="26"/>
  <c r="BB7" i="26"/>
  <c r="BA37" i="26"/>
  <c r="BB37" i="26"/>
  <c r="BU5" i="26"/>
  <c r="F50" i="42"/>
  <c r="BZ5" i="26"/>
  <c r="F48" i="40"/>
  <c r="H40" i="26"/>
  <c r="BQ10" i="26"/>
  <c r="I48" i="43"/>
  <c r="BP10" i="26"/>
  <c r="F48" i="43"/>
  <c r="BK10" i="26"/>
  <c r="BF9" i="26"/>
  <c r="I50" i="42"/>
  <c r="BV5" i="26"/>
  <c r="BG9" i="26"/>
  <c r="CA5" i="26"/>
  <c r="I48" i="40"/>
  <c r="BL10" i="26"/>
  <c r="BA36" i="26"/>
  <c r="BA85" i="26"/>
  <c r="BA73" i="26"/>
  <c r="BB72" i="26"/>
  <c r="BB32" i="26"/>
  <c r="BA42" i="26"/>
  <c r="BB12" i="26"/>
  <c r="BB61" i="26"/>
  <c r="BB58" i="26"/>
  <c r="BB11" i="26"/>
  <c r="BB80" i="26"/>
  <c r="BA34" i="26"/>
  <c r="BA71" i="26"/>
  <c r="BA20" i="26"/>
  <c r="BA62" i="26"/>
  <c r="BB39" i="26"/>
  <c r="H39" i="26" s="1"/>
  <c r="BA58" i="26"/>
  <c r="BA41" i="26"/>
  <c r="G41" i="26" s="1"/>
  <c r="BA57" i="26"/>
  <c r="BB77" i="26"/>
  <c r="BB57" i="26"/>
  <c r="BB6" i="26"/>
  <c r="BA11" i="26"/>
  <c r="BA13" i="26"/>
  <c r="BB83" i="26"/>
  <c r="BA23" i="26"/>
  <c r="BB68" i="26"/>
  <c r="BB17" i="26"/>
  <c r="BB55" i="26"/>
  <c r="BA32" i="26"/>
  <c r="BA83" i="26"/>
  <c r="BB25" i="26"/>
  <c r="BA67" i="26"/>
  <c r="BA77" i="26"/>
  <c r="BA72" i="26"/>
  <c r="BB36" i="26"/>
  <c r="BA68" i="26"/>
  <c r="BA56" i="26"/>
  <c r="BA22" i="26"/>
  <c r="BA17" i="26"/>
  <c r="BB13" i="26"/>
  <c r="BB43" i="26"/>
  <c r="H43" i="26" s="1"/>
  <c r="BB70" i="26"/>
  <c r="BA81" i="26"/>
  <c r="BB85" i="26"/>
  <c r="BB24" i="26"/>
  <c r="BB42" i="26"/>
  <c r="BB67" i="26"/>
  <c r="BB76" i="26"/>
  <c r="BA61" i="26"/>
  <c r="BB63" i="26"/>
  <c r="BB79" i="26"/>
  <c r="BB69" i="26"/>
  <c r="BB71" i="26"/>
  <c r="BA18" i="26"/>
  <c r="BA64" i="26"/>
  <c r="BB73" i="26"/>
  <c r="BA39" i="26"/>
  <c r="BB23" i="26"/>
  <c r="BA80" i="26"/>
  <c r="BA59" i="26"/>
  <c r="BB56" i="26"/>
  <c r="BB20" i="26"/>
  <c r="BB62" i="26"/>
  <c r="BB18" i="26"/>
  <c r="BA35" i="26"/>
  <c r="BA5" i="26"/>
  <c r="BA51" i="26"/>
  <c r="BB64" i="26"/>
  <c r="BA28" i="26"/>
  <c r="BA25" i="26"/>
  <c r="BB27" i="26"/>
  <c r="BA84" i="26"/>
  <c r="BB54" i="26"/>
  <c r="BA24" i="26"/>
  <c r="BB8" i="26"/>
  <c r="BA66" i="26"/>
  <c r="BB75" i="26"/>
  <c r="BA55" i="26"/>
  <c r="BA21" i="26"/>
  <c r="BA54" i="26"/>
  <c r="BA63" i="26"/>
  <c r="BA27" i="26"/>
  <c r="BA8" i="26"/>
  <c r="BA12" i="26"/>
  <c r="BB34" i="26"/>
  <c r="BB59" i="26"/>
  <c r="BB22" i="26"/>
  <c r="BA6" i="26"/>
  <c r="BB41" i="26"/>
  <c r="H41" i="26" s="1"/>
  <c r="BB35" i="26"/>
  <c r="BB5" i="26"/>
  <c r="BB51" i="26"/>
  <c r="BB28" i="26"/>
  <c r="BB21" i="26"/>
  <c r="BA79" i="26"/>
  <c r="BB84" i="26"/>
  <c r="BA43" i="26"/>
  <c r="BA70" i="26"/>
  <c r="BB81" i="26"/>
  <c r="BB66" i="26"/>
  <c r="BA75" i="26"/>
  <c r="F61" i="39"/>
  <c r="BA38" i="26"/>
  <c r="I61" i="39"/>
  <c r="BB38" i="26"/>
  <c r="AQ31" i="26"/>
  <c r="AR17" i="26"/>
  <c r="AQ29" i="26"/>
  <c r="AQ13" i="26"/>
  <c r="AQ65" i="26"/>
  <c r="AQ82" i="26"/>
  <c r="AR23" i="26"/>
  <c r="AQ15" i="26"/>
  <c r="AQ69" i="26"/>
  <c r="AR15" i="26"/>
  <c r="AQ21" i="26"/>
  <c r="AQ17" i="26"/>
  <c r="AR63" i="26"/>
  <c r="AR36" i="26"/>
  <c r="AR31" i="26"/>
  <c r="AR38" i="26"/>
  <c r="AQ25" i="26"/>
  <c r="AR33" i="26"/>
  <c r="AR40" i="26"/>
  <c r="AQ84" i="26"/>
  <c r="AR42" i="26"/>
  <c r="AQ77" i="26"/>
  <c r="AQ78" i="26"/>
  <c r="AQ79" i="26"/>
  <c r="AQ61" i="26"/>
  <c r="AQ23" i="26"/>
  <c r="AR14" i="26"/>
  <c r="AQ63" i="26"/>
  <c r="AR65" i="26"/>
  <c r="AQ24" i="26"/>
  <c r="AR69" i="26"/>
  <c r="AR78" i="26"/>
  <c r="AR79" i="26"/>
  <c r="AR61" i="26"/>
  <c r="AR25" i="26"/>
  <c r="AQ33" i="26"/>
  <c r="AR84" i="26"/>
  <c r="AQ36" i="26"/>
  <c r="AQ40" i="26"/>
  <c r="AR77" i="26"/>
  <c r="AR81" i="26"/>
  <c r="AQ38" i="26"/>
  <c r="AR21" i="26"/>
  <c r="AR13" i="26"/>
  <c r="AQ14" i="26"/>
  <c r="AR82" i="26"/>
  <c r="AR24" i="26"/>
  <c r="AQ42" i="26"/>
  <c r="C83" i="26"/>
  <c r="M5" i="26"/>
  <c r="AB10" i="26"/>
  <c r="AH10" i="26"/>
  <c r="W9" i="26"/>
  <c r="N5" i="26"/>
  <c r="AC10" i="26"/>
  <c r="AQ5" i="26"/>
  <c r="F48" i="30"/>
  <c r="AR5" i="26"/>
  <c r="I48" i="30"/>
  <c r="AG10" i="26"/>
  <c r="X9" i="26"/>
  <c r="R45" i="26"/>
  <c r="R2" i="26"/>
  <c r="D3" i="3"/>
  <c r="D35" i="26" l="1"/>
  <c r="C31" i="26"/>
  <c r="H17" i="26"/>
  <c r="H32" i="26"/>
  <c r="G9" i="26"/>
  <c r="G34" i="26"/>
  <c r="H34" i="26"/>
  <c r="H9" i="26"/>
  <c r="H13" i="26"/>
  <c r="H33" i="26"/>
  <c r="G30" i="26"/>
  <c r="G33" i="26"/>
  <c r="G17" i="26"/>
  <c r="D17" i="26"/>
  <c r="H30" i="26"/>
  <c r="G32" i="26"/>
  <c r="D40" i="26"/>
  <c r="W65" i="26"/>
  <c r="C65" i="26" s="1"/>
  <c r="W54" i="26"/>
  <c r="C54" i="26" s="1"/>
  <c r="Z49" i="26"/>
  <c r="Z65" i="26"/>
  <c r="X81" i="26"/>
  <c r="W33" i="26"/>
  <c r="C33" i="26" s="1"/>
  <c r="Y49" i="26"/>
  <c r="Y65" i="26"/>
  <c r="W81" i="26"/>
  <c r="W69" i="26"/>
  <c r="Z30" i="26"/>
  <c r="Z62" i="26"/>
  <c r="F62" i="26" s="1"/>
  <c r="Y30" i="26"/>
  <c r="Y62" i="26"/>
  <c r="E62" i="26" s="1"/>
  <c r="Y84" i="26"/>
  <c r="X62" i="26"/>
  <c r="D62" i="26" s="1"/>
  <c r="Z84" i="26"/>
  <c r="AL26" i="26"/>
  <c r="W49" i="26"/>
  <c r="W50" i="26"/>
  <c r="C50" i="26" s="1"/>
  <c r="W72" i="26"/>
  <c r="C77" i="26" s="1"/>
  <c r="X84" i="26"/>
  <c r="X50" i="26"/>
  <c r="D50" i="26" s="1"/>
  <c r="Z73" i="26"/>
  <c r="F73" i="26" s="1"/>
  <c r="Z72" i="26"/>
  <c r="F77" i="26" s="1"/>
  <c r="Y73" i="26"/>
  <c r="E73" i="26" s="1"/>
  <c r="Y72" i="26"/>
  <c r="Y11" i="26"/>
  <c r="Y50" i="26"/>
  <c r="Z11" i="26"/>
  <c r="Z50" i="26"/>
  <c r="W73" i="26"/>
  <c r="C73" i="26" s="1"/>
  <c r="X54" i="26"/>
  <c r="D51" i="26" s="1"/>
  <c r="Z32" i="26"/>
  <c r="Y32" i="26"/>
  <c r="W32" i="26"/>
  <c r="X15" i="26"/>
  <c r="X11" i="26"/>
  <c r="Z22" i="26"/>
  <c r="AL11" i="26"/>
  <c r="C23" i="26" s="1"/>
  <c r="H77" i="26"/>
  <c r="X33" i="26"/>
  <c r="D33" i="26" s="1"/>
  <c r="D43" i="26"/>
  <c r="W15" i="26"/>
  <c r="W18" i="26"/>
  <c r="X32" i="26"/>
  <c r="X20" i="26"/>
  <c r="W20" i="26"/>
  <c r="AL6" i="26"/>
  <c r="Y19" i="26"/>
  <c r="E19" i="26" s="1"/>
  <c r="Y15" i="26"/>
  <c r="Z19" i="26"/>
  <c r="F19" i="26" s="1"/>
  <c r="Z15" i="26"/>
  <c r="Y85" i="26"/>
  <c r="E83" i="26" s="1"/>
  <c r="Y20" i="26"/>
  <c r="Z85" i="26"/>
  <c r="F83" i="26" s="1"/>
  <c r="Z20" i="26"/>
  <c r="Z18" i="26"/>
  <c r="Z33" i="26"/>
  <c r="F33" i="26" s="1"/>
  <c r="Z5" i="26"/>
  <c r="Z12" i="26"/>
  <c r="Y5" i="26"/>
  <c r="Y12" i="26"/>
  <c r="X12" i="26"/>
  <c r="Y18" i="26"/>
  <c r="Y33" i="26"/>
  <c r="E33" i="26" s="1"/>
  <c r="F57" i="34"/>
  <c r="H57" i="34"/>
  <c r="G57" i="34"/>
  <c r="I57" i="34"/>
  <c r="H28" i="26"/>
  <c r="H82" i="26"/>
  <c r="H48" i="26"/>
  <c r="H49" i="26"/>
  <c r="G11" i="26"/>
  <c r="W6" i="26"/>
  <c r="H11" i="26"/>
  <c r="W22" i="26"/>
  <c r="W35" i="26"/>
  <c r="C35" i="26" s="1"/>
  <c r="X18" i="26"/>
  <c r="X34" i="26"/>
  <c r="D34" i="26" s="1"/>
  <c r="W34" i="26"/>
  <c r="C34" i="26" s="1"/>
  <c r="X6" i="26"/>
  <c r="X28" i="26"/>
  <c r="D31" i="26" s="1"/>
  <c r="W24" i="26"/>
  <c r="Y54" i="26"/>
  <c r="Y35" i="26"/>
  <c r="E35" i="26" s="1"/>
  <c r="Z54" i="26"/>
  <c r="Z35" i="26"/>
  <c r="F35" i="26" s="1"/>
  <c r="Y52" i="26"/>
  <c r="Y28" i="26"/>
  <c r="Y6" i="26"/>
  <c r="Y24" i="26"/>
  <c r="Z52" i="26"/>
  <c r="Z28" i="26"/>
  <c r="Z6" i="26"/>
  <c r="Z24" i="26"/>
  <c r="Z75" i="26"/>
  <c r="Z34" i="26"/>
  <c r="F34" i="26" s="1"/>
  <c r="Y8" i="26"/>
  <c r="Y25" i="26"/>
  <c r="Y7" i="26"/>
  <c r="Y22" i="26"/>
  <c r="Z8" i="26"/>
  <c r="Z25" i="26"/>
  <c r="Y75" i="26"/>
  <c r="Y34" i="26"/>
  <c r="E34" i="26" s="1"/>
  <c r="X7" i="26"/>
  <c r="Z7" i="26"/>
  <c r="H65" i="26"/>
  <c r="H76" i="26"/>
  <c r="AL36" i="26"/>
  <c r="AL13" i="26"/>
  <c r="AL8" i="26"/>
  <c r="D57" i="26"/>
  <c r="D80" i="26"/>
  <c r="D52" i="26"/>
  <c r="D73" i="26"/>
  <c r="D42" i="26"/>
  <c r="H36" i="26"/>
  <c r="H68" i="26"/>
  <c r="H72" i="26"/>
  <c r="H53" i="26"/>
  <c r="H56" i="26"/>
  <c r="G65" i="26"/>
  <c r="G76" i="26"/>
  <c r="G53" i="26"/>
  <c r="G82" i="26"/>
  <c r="G56" i="26"/>
  <c r="G49" i="26"/>
  <c r="G48" i="26"/>
  <c r="G40" i="26"/>
  <c r="K40" i="26" s="1"/>
  <c r="G28" i="26"/>
  <c r="G43" i="26"/>
  <c r="K43" i="26" s="1"/>
  <c r="G39" i="26"/>
  <c r="K39" i="26" s="1"/>
  <c r="D48" i="26"/>
  <c r="D38" i="26"/>
  <c r="D65" i="26"/>
  <c r="C51" i="26"/>
  <c r="Y67" i="26"/>
  <c r="Y66" i="26"/>
  <c r="Z67" i="26"/>
  <c r="Z66" i="26"/>
  <c r="X67" i="26"/>
  <c r="X66" i="26"/>
  <c r="C52" i="26"/>
  <c r="C28" i="26"/>
  <c r="C40" i="26"/>
  <c r="D82" i="26"/>
  <c r="C43" i="26"/>
  <c r="C48" i="26"/>
  <c r="D53" i="26"/>
  <c r="C80" i="26"/>
  <c r="C62" i="26"/>
  <c r="C42" i="26"/>
  <c r="C38" i="26"/>
  <c r="C57" i="26"/>
  <c r="D19" i="26"/>
  <c r="C19" i="26"/>
  <c r="D60" i="26"/>
  <c r="C60" i="26"/>
  <c r="C75" i="26"/>
  <c r="C82" i="26"/>
  <c r="C53" i="26"/>
  <c r="AB64" i="26"/>
  <c r="C76" i="26" s="1"/>
  <c r="AN32" i="26"/>
  <c r="AO32" i="26"/>
  <c r="AM32" i="26"/>
  <c r="AL32" i="26"/>
  <c r="AO16" i="26"/>
  <c r="AN16" i="26"/>
  <c r="AM16" i="26"/>
  <c r="AL16" i="26"/>
  <c r="C7" i="26" s="1"/>
  <c r="AE15" i="26"/>
  <c r="AB15" i="26"/>
  <c r="C10" i="26" s="1"/>
  <c r="AC15" i="26"/>
  <c r="AI63" i="26"/>
  <c r="AJ63" i="26"/>
  <c r="AG63" i="26"/>
  <c r="C59" i="26" s="1"/>
  <c r="AH63" i="26"/>
  <c r="D59" i="26" s="1"/>
  <c r="AB27" i="26"/>
  <c r="AE27" i="26"/>
  <c r="AD27" i="26"/>
  <c r="AC27" i="26"/>
  <c r="AJ81" i="26"/>
  <c r="AI81" i="26"/>
  <c r="AH81" i="26"/>
  <c r="D58" i="26" s="1"/>
  <c r="AG81" i="26"/>
  <c r="AO72" i="26"/>
  <c r="F68" i="26" s="1"/>
  <c r="AN72" i="26"/>
  <c r="E68" i="26" s="1"/>
  <c r="AM72" i="26"/>
  <c r="D68" i="26" s="1"/>
  <c r="AL72" i="26"/>
  <c r="AI70" i="26"/>
  <c r="AJ70" i="26"/>
  <c r="AH70" i="26"/>
  <c r="D75" i="26" s="1"/>
  <c r="AN39" i="26"/>
  <c r="E39" i="26" s="1"/>
  <c r="AO39" i="26"/>
  <c r="F39" i="26" s="1"/>
  <c r="AL39" i="26"/>
  <c r="C39" i="26" s="1"/>
  <c r="AM39" i="26"/>
  <c r="D39" i="26" s="1"/>
  <c r="AG70" i="26"/>
  <c r="AD64" i="26"/>
  <c r="AE64" i="26"/>
  <c r="AC64" i="26"/>
  <c r="D76" i="26" s="1"/>
  <c r="AD14" i="26"/>
  <c r="E14" i="26" s="1"/>
  <c r="AE14" i="26"/>
  <c r="AB14" i="26"/>
  <c r="AC14" i="26"/>
  <c r="D14" i="26" s="1"/>
  <c r="AD15" i="26"/>
  <c r="AJ78" i="26"/>
  <c r="AI78" i="26"/>
  <c r="AH78" i="26"/>
  <c r="AG78" i="26"/>
  <c r="K41" i="26"/>
  <c r="A41" i="26"/>
  <c r="C12" i="26"/>
  <c r="W45" i="26"/>
  <c r="W2" i="26"/>
  <c r="D4" i="3"/>
  <c r="H11" i="29"/>
  <c r="I11" i="29"/>
  <c r="I23" i="29"/>
  <c r="H14" i="29"/>
  <c r="H35" i="29"/>
  <c r="I17" i="29"/>
  <c r="G17" i="29"/>
  <c r="I29" i="29"/>
  <c r="I36" i="29"/>
  <c r="G36" i="29"/>
  <c r="I14" i="29"/>
  <c r="H26" i="29"/>
  <c r="H33" i="29"/>
  <c r="I18" i="29"/>
  <c r="H23" i="29"/>
  <c r="H28" i="29"/>
  <c r="G16" i="29"/>
  <c r="I21" i="29"/>
  <c r="H30" i="29"/>
  <c r="G33" i="29"/>
  <c r="G39" i="29"/>
  <c r="G38" i="29"/>
  <c r="G28" i="29"/>
  <c r="I26" i="29"/>
  <c r="H19" i="29"/>
  <c r="I32" i="29"/>
  <c r="I25" i="29"/>
  <c r="I28" i="29"/>
  <c r="H17" i="29"/>
  <c r="G27" i="29"/>
  <c r="I27" i="29"/>
  <c r="H16" i="29"/>
  <c r="G29" i="29"/>
  <c r="G22" i="29"/>
  <c r="H31" i="29"/>
  <c r="G12" i="29"/>
  <c r="G25" i="29"/>
  <c r="I16" i="29"/>
  <c r="F11" i="29"/>
  <c r="G11" i="29"/>
  <c r="G18" i="29"/>
  <c r="H25" i="29"/>
  <c r="G24" i="29"/>
  <c r="H36" i="29"/>
  <c r="I37" i="29"/>
  <c r="H18" i="29"/>
  <c r="I19" i="29"/>
  <c r="G37" i="29"/>
  <c r="H20" i="29"/>
  <c r="I15" i="29"/>
  <c r="G26" i="29"/>
  <c r="F36" i="29"/>
  <c r="H38" i="29"/>
  <c r="H13" i="29"/>
  <c r="G32" i="29"/>
  <c r="H27" i="29"/>
  <c r="I30" i="29"/>
  <c r="F27" i="29"/>
  <c r="G13" i="29"/>
  <c r="I38" i="29"/>
  <c r="G23" i="29"/>
  <c r="I40" i="29"/>
  <c r="F26" i="29"/>
  <c r="H34" i="29"/>
  <c r="G15" i="29"/>
  <c r="G40" i="29"/>
  <c r="F19" i="29"/>
  <c r="G19" i="29"/>
  <c r="I39" i="29"/>
  <c r="I12" i="29"/>
  <c r="F40" i="29"/>
  <c r="H40" i="29"/>
  <c r="F13" i="29"/>
  <c r="I13" i="29"/>
  <c r="F30" i="29"/>
  <c r="G30" i="29"/>
  <c r="I31" i="29"/>
  <c r="I24" i="29"/>
  <c r="H37" i="29"/>
  <c r="F29" i="29"/>
  <c r="H29" i="29"/>
  <c r="H32" i="29"/>
  <c r="F23" i="29"/>
  <c r="F38" i="29"/>
  <c r="G21" i="29"/>
  <c r="G20" i="29"/>
  <c r="F39" i="29"/>
  <c r="H39" i="29"/>
  <c r="G35" i="29"/>
  <c r="F24" i="29"/>
  <c r="H24" i="29"/>
  <c r="F32" i="29"/>
  <c r="F16" i="29"/>
  <c r="F15" i="29"/>
  <c r="H15" i="29"/>
  <c r="I34" i="29"/>
  <c r="F34" i="29"/>
  <c r="G34" i="29"/>
  <c r="F21" i="29"/>
  <c r="H21" i="29"/>
  <c r="I22" i="29"/>
  <c r="F20" i="29"/>
  <c r="I20" i="29"/>
  <c r="F37" i="29"/>
  <c r="F31" i="29"/>
  <c r="G31" i="29"/>
  <c r="F12" i="29"/>
  <c r="H12" i="29"/>
  <c r="F22" i="29"/>
  <c r="H22" i="29"/>
  <c r="F17" i="29"/>
  <c r="F18" i="29"/>
  <c r="F35" i="29"/>
  <c r="I35" i="29"/>
  <c r="F25" i="29"/>
  <c r="F14" i="29"/>
  <c r="G14" i="29"/>
  <c r="F28" i="29"/>
  <c r="F33" i="29"/>
  <c r="I33" i="29"/>
  <c r="M87" i="29"/>
  <c r="M88" i="29"/>
  <c r="M90" i="29"/>
  <c r="M89" i="29"/>
  <c r="U89" i="29"/>
  <c r="U90" i="29"/>
  <c r="U88" i="29"/>
  <c r="U87" i="29"/>
  <c r="Y87" i="29"/>
  <c r="Y89" i="29"/>
  <c r="Y88" i="29"/>
  <c r="Y90" i="29"/>
  <c r="AC90" i="29"/>
  <c r="AC88" i="29"/>
  <c r="AC89" i="29"/>
  <c r="AC87" i="29"/>
  <c r="AG90" i="29"/>
  <c r="AG88" i="29"/>
  <c r="AG89" i="29"/>
  <c r="AG87" i="29"/>
  <c r="AK90" i="29"/>
  <c r="AK88" i="29"/>
  <c r="AK87" i="29"/>
  <c r="AK89" i="29"/>
  <c r="AO87" i="29"/>
  <c r="AO88" i="29"/>
  <c r="AO89" i="29"/>
  <c r="AO90" i="29"/>
  <c r="N88" i="29"/>
  <c r="N89" i="29"/>
  <c r="N87" i="29"/>
  <c r="N90" i="29"/>
  <c r="R90" i="29"/>
  <c r="R89" i="29"/>
  <c r="R87" i="29"/>
  <c r="R88" i="29"/>
  <c r="V89" i="29"/>
  <c r="V90" i="29"/>
  <c r="V87" i="29"/>
  <c r="V88" i="29"/>
  <c r="Z88" i="29"/>
  <c r="Z89" i="29"/>
  <c r="Z87" i="29"/>
  <c r="Z90" i="29"/>
  <c r="AD88" i="29"/>
  <c r="AD89" i="29"/>
  <c r="AD90" i="29"/>
  <c r="AD87" i="29"/>
  <c r="AH89" i="29"/>
  <c r="AH88" i="29"/>
  <c r="AH90" i="29"/>
  <c r="AH87" i="29"/>
  <c r="AL88" i="29"/>
  <c r="AL87" i="29"/>
  <c r="AL90" i="29"/>
  <c r="AL89" i="29"/>
  <c r="L89" i="29"/>
  <c r="L88" i="29"/>
  <c r="L90" i="29"/>
  <c r="L87" i="29"/>
  <c r="O87" i="29"/>
  <c r="O88" i="29"/>
  <c r="O89" i="29"/>
  <c r="O90" i="29"/>
  <c r="S89" i="29"/>
  <c r="S88" i="29"/>
  <c r="S87" i="29"/>
  <c r="S90" i="29"/>
  <c r="W88" i="29"/>
  <c r="W89" i="29"/>
  <c r="W87" i="29"/>
  <c r="W90" i="29"/>
  <c r="AA89" i="29"/>
  <c r="AA87" i="29"/>
  <c r="AA88" i="29"/>
  <c r="AA90" i="29"/>
  <c r="AE89" i="29"/>
  <c r="AE87" i="29"/>
  <c r="AE88" i="29"/>
  <c r="AE90" i="29"/>
  <c r="AI88" i="29"/>
  <c r="AI90" i="29"/>
  <c r="AI89" i="29"/>
  <c r="AI87" i="29"/>
  <c r="AM88" i="29"/>
  <c r="AM89" i="29"/>
  <c r="AM87" i="29"/>
  <c r="AM90" i="29"/>
  <c r="P90" i="29"/>
  <c r="P88" i="29"/>
  <c r="P89" i="29"/>
  <c r="P87" i="29"/>
  <c r="T87" i="29"/>
  <c r="T88" i="29"/>
  <c r="T90" i="29"/>
  <c r="T89" i="29"/>
  <c r="X89" i="29"/>
  <c r="X90" i="29"/>
  <c r="X88" i="29"/>
  <c r="X87" i="29"/>
  <c r="AB89" i="29"/>
  <c r="AB87" i="29"/>
  <c r="AB90" i="29"/>
  <c r="AB88" i="29"/>
  <c r="AF88" i="29"/>
  <c r="AF89" i="29"/>
  <c r="AF90" i="29"/>
  <c r="AF87" i="29"/>
  <c r="AJ87" i="29"/>
  <c r="AJ90" i="29"/>
  <c r="AJ89" i="29"/>
  <c r="AJ88" i="29"/>
  <c r="AN89" i="29"/>
  <c r="AN88" i="29"/>
  <c r="AN87" i="29"/>
  <c r="AN90" i="29"/>
  <c r="AP88" i="29"/>
  <c r="AP90" i="29"/>
  <c r="AP89" i="29"/>
  <c r="AP87" i="29"/>
  <c r="AS88" i="29"/>
  <c r="AS90" i="29"/>
  <c r="AS89" i="29"/>
  <c r="AS87" i="29"/>
  <c r="AQ87" i="29"/>
  <c r="AQ88" i="29"/>
  <c r="AQ89" i="29"/>
  <c r="AQ90" i="29"/>
  <c r="H10" i="29"/>
  <c r="AR88" i="29"/>
  <c r="AR90" i="29"/>
  <c r="AR89" i="29"/>
  <c r="AR87" i="29"/>
  <c r="AV89" i="29"/>
  <c r="AV90" i="29"/>
  <c r="AV87" i="29"/>
  <c r="AV88" i="29"/>
  <c r="I10" i="29"/>
  <c r="AT87" i="29"/>
  <c r="AT89" i="29"/>
  <c r="AT90" i="29"/>
  <c r="AT88" i="29"/>
  <c r="G10" i="29"/>
  <c r="AU87" i="29"/>
  <c r="AU88" i="29"/>
  <c r="AU90" i="29"/>
  <c r="F10" i="29"/>
  <c r="AU89" i="29"/>
  <c r="D7" i="26" l="1"/>
  <c r="A7" i="26" s="1"/>
  <c r="E7" i="26"/>
  <c r="C6" i="26"/>
  <c r="F7" i="26"/>
  <c r="D28" i="26"/>
  <c r="A28" i="26" s="1"/>
  <c r="C18" i="26"/>
  <c r="C15" i="26"/>
  <c r="F31" i="26"/>
  <c r="F28" i="26"/>
  <c r="E31" i="26"/>
  <c r="E28" i="26"/>
  <c r="C14" i="26"/>
  <c r="A14" i="26" s="1"/>
  <c r="F14" i="26"/>
  <c r="D10" i="26"/>
  <c r="C8" i="26"/>
  <c r="D15" i="26"/>
  <c r="F15" i="26"/>
  <c r="F17" i="26"/>
  <c r="E15" i="26"/>
  <c r="E17" i="26"/>
  <c r="E10" i="26"/>
  <c r="C17" i="26"/>
  <c r="A17" i="26" s="1"/>
  <c r="C22" i="26"/>
  <c r="C11" i="26"/>
  <c r="F10" i="26"/>
  <c r="A40" i="26"/>
  <c r="D77" i="26"/>
  <c r="E65" i="26"/>
  <c r="F65" i="26"/>
  <c r="C68" i="26"/>
  <c r="E77" i="26"/>
  <c r="AO11" i="26"/>
  <c r="F23" i="26" s="1"/>
  <c r="AO26" i="26"/>
  <c r="F22" i="26" s="1"/>
  <c r="AN11" i="26"/>
  <c r="E23" i="26" s="1"/>
  <c r="AN26" i="26"/>
  <c r="E22" i="26" s="1"/>
  <c r="AM11" i="26"/>
  <c r="D11" i="26" s="1"/>
  <c r="AM26" i="26"/>
  <c r="D22" i="26" s="1"/>
  <c r="C70" i="26"/>
  <c r="E70" i="26"/>
  <c r="F70" i="26"/>
  <c r="D78" i="26"/>
  <c r="F72" i="26"/>
  <c r="E72" i="26"/>
  <c r="F50" i="26"/>
  <c r="F75" i="26"/>
  <c r="E51" i="26"/>
  <c r="E54" i="26"/>
  <c r="F76" i="26"/>
  <c r="E58" i="26"/>
  <c r="E81" i="26"/>
  <c r="D70" i="26"/>
  <c r="E76" i="26"/>
  <c r="E64" i="26"/>
  <c r="E78" i="26"/>
  <c r="F58" i="26"/>
  <c r="F81" i="26"/>
  <c r="E59" i="26"/>
  <c r="E63" i="26"/>
  <c r="D63" i="26"/>
  <c r="D72" i="26"/>
  <c r="F51" i="26"/>
  <c r="F54" i="26"/>
  <c r="F52" i="26"/>
  <c r="C72" i="26"/>
  <c r="D81" i="26"/>
  <c r="E50" i="26"/>
  <c r="E75" i="26"/>
  <c r="E52" i="26"/>
  <c r="F78" i="26"/>
  <c r="F59" i="26"/>
  <c r="F63" i="26"/>
  <c r="D64" i="26"/>
  <c r="C78" i="26"/>
  <c r="C58" i="26"/>
  <c r="C81" i="26"/>
  <c r="C63" i="26"/>
  <c r="D54" i="26"/>
  <c r="D29" i="26"/>
  <c r="C20" i="26"/>
  <c r="A43" i="26"/>
  <c r="C29" i="26"/>
  <c r="F29" i="26"/>
  <c r="AN6" i="26"/>
  <c r="E20" i="26" s="1"/>
  <c r="AO6" i="26"/>
  <c r="F20" i="26" s="1"/>
  <c r="AM6" i="26"/>
  <c r="E29" i="26"/>
  <c r="K9" i="26"/>
  <c r="K28" i="26"/>
  <c r="K30" i="26"/>
  <c r="K34" i="26"/>
  <c r="K32" i="26"/>
  <c r="AM36" i="26"/>
  <c r="AN36" i="26"/>
  <c r="AO36" i="26"/>
  <c r="AN13" i="26"/>
  <c r="AO13" i="26"/>
  <c r="AM13" i="26"/>
  <c r="AN5" i="26"/>
  <c r="E12" i="26" s="1"/>
  <c r="AN8" i="26"/>
  <c r="E18" i="26" s="1"/>
  <c r="AO5" i="26"/>
  <c r="F12" i="26" s="1"/>
  <c r="AO8" i="26"/>
  <c r="F18" i="26" s="1"/>
  <c r="AM5" i="26"/>
  <c r="D12" i="26" s="1"/>
  <c r="A12" i="26" s="1"/>
  <c r="AM8" i="26"/>
  <c r="D18" i="26" s="1"/>
  <c r="A34" i="26"/>
  <c r="A35" i="26"/>
  <c r="A42" i="26"/>
  <c r="K33" i="26"/>
  <c r="A38" i="26"/>
  <c r="A33" i="26"/>
  <c r="Y36" i="26"/>
  <c r="Y37" i="26"/>
  <c r="Y55" i="26"/>
  <c r="Y21" i="26"/>
  <c r="Y61" i="26"/>
  <c r="Y27" i="26"/>
  <c r="E27" i="26" s="1"/>
  <c r="X55" i="26"/>
  <c r="X21" i="26"/>
  <c r="W36" i="26"/>
  <c r="C36" i="26" s="1"/>
  <c r="W37" i="26"/>
  <c r="W55" i="26"/>
  <c r="W21" i="26"/>
  <c r="W61" i="26"/>
  <c r="C64" i="26" s="1"/>
  <c r="W27" i="26"/>
  <c r="C27" i="26" s="1"/>
  <c r="X61" i="26"/>
  <c r="X27" i="26"/>
  <c r="D27" i="26" s="1"/>
  <c r="Z36" i="26"/>
  <c r="Z37" i="26"/>
  <c r="X36" i="26"/>
  <c r="X37" i="26"/>
  <c r="Z55" i="26"/>
  <c r="Z21" i="26"/>
  <c r="F21" i="26" s="1"/>
  <c r="Z61" i="26"/>
  <c r="F64" i="26" s="1"/>
  <c r="Z27" i="26"/>
  <c r="F27" i="26" s="1"/>
  <c r="S67" i="26"/>
  <c r="D71" i="26" s="1"/>
  <c r="R67" i="26"/>
  <c r="C71" i="26" s="1"/>
  <c r="T67" i="26"/>
  <c r="E71" i="26" s="1"/>
  <c r="U67" i="26"/>
  <c r="F71" i="26" s="1"/>
  <c r="A31" i="26"/>
  <c r="A39" i="26"/>
  <c r="AB2" i="26"/>
  <c r="AB45" i="26"/>
  <c r="B3" i="31"/>
  <c r="D5" i="3"/>
  <c r="I82" i="29"/>
  <c r="H82" i="29"/>
  <c r="F82" i="29"/>
  <c r="G82" i="29"/>
  <c r="D26" i="26" l="1"/>
  <c r="E26" i="26"/>
  <c r="A22" i="26"/>
  <c r="A29" i="26"/>
  <c r="F8" i="26"/>
  <c r="F11" i="26"/>
  <c r="D21" i="26"/>
  <c r="C26" i="26"/>
  <c r="C21" i="26"/>
  <c r="D20" i="26"/>
  <c r="D6" i="26"/>
  <c r="A6" i="26" s="1"/>
  <c r="E11" i="26"/>
  <c r="E6" i="26"/>
  <c r="D8" i="26"/>
  <c r="A8" i="26" s="1"/>
  <c r="F6" i="26"/>
  <c r="E21" i="26"/>
  <c r="A10" i="26"/>
  <c r="F26" i="26"/>
  <c r="F30" i="26"/>
  <c r="F9" i="26"/>
  <c r="D30" i="26"/>
  <c r="D9" i="26"/>
  <c r="E24" i="26"/>
  <c r="C30" i="26"/>
  <c r="C9" i="26"/>
  <c r="E30" i="26"/>
  <c r="E9" i="26"/>
  <c r="E8" i="26"/>
  <c r="F24" i="26"/>
  <c r="C24" i="26"/>
  <c r="D24" i="26"/>
  <c r="D23" i="26"/>
  <c r="A23" i="26" s="1"/>
  <c r="F67" i="26"/>
  <c r="F55" i="26"/>
  <c r="E56" i="26"/>
  <c r="E61" i="26"/>
  <c r="C56" i="26"/>
  <c r="C61" i="26"/>
  <c r="F56" i="26"/>
  <c r="F61" i="26"/>
  <c r="D56" i="26"/>
  <c r="D61" i="26"/>
  <c r="C67" i="26"/>
  <c r="C55" i="26"/>
  <c r="D67" i="26"/>
  <c r="D55" i="26"/>
  <c r="E67" i="26"/>
  <c r="E55" i="26"/>
  <c r="A15" i="26"/>
  <c r="F36" i="26"/>
  <c r="D36" i="26"/>
  <c r="A36" i="26" s="1"/>
  <c r="E36" i="26"/>
  <c r="A27" i="26"/>
  <c r="AG45" i="26"/>
  <c r="AG2" i="26"/>
  <c r="B3" i="33"/>
  <c r="D6" i="3"/>
  <c r="A26" i="26" l="1"/>
  <c r="A30" i="26"/>
  <c r="A24" i="26"/>
  <c r="A9" i="26"/>
  <c r="A19" i="26"/>
  <c r="A21" i="26"/>
  <c r="AL45" i="26"/>
  <c r="AL2" i="26"/>
  <c r="B3" i="32"/>
  <c r="D7" i="3"/>
  <c r="AQ45" i="26" l="1"/>
  <c r="AQ2" i="26"/>
  <c r="B3" i="30"/>
  <c r="D8" i="3"/>
  <c r="B3" i="38" l="1"/>
  <c r="AV2" i="26"/>
  <c r="AV45" i="26"/>
  <c r="D9" i="3"/>
  <c r="B3" i="39" l="1"/>
  <c r="BA45" i="26"/>
  <c r="BA2" i="26"/>
  <c r="D10" i="3"/>
  <c r="BF45" i="26" l="1"/>
  <c r="BF2" i="26"/>
  <c r="B3" i="37"/>
  <c r="D11" i="3"/>
  <c r="BK45" i="26" l="1"/>
  <c r="BK2" i="26"/>
  <c r="B3" i="41"/>
  <c r="D12" i="3"/>
  <c r="BP2" i="26" l="1"/>
  <c r="BP45" i="26"/>
  <c r="B3" i="43"/>
  <c r="D13" i="3"/>
  <c r="BU45" i="26" l="1"/>
  <c r="BU2" i="26"/>
  <c r="B3" i="42"/>
  <c r="D14" i="3"/>
  <c r="I4" i="46" l="1"/>
  <c r="B2" i="26"/>
  <c r="BZ45" i="26"/>
  <c r="BZ2" i="26"/>
  <c r="B45" i="26"/>
  <c r="B3" i="40"/>
  <c r="D15" i="3"/>
  <c r="AX85" i="26" l="1"/>
  <c r="AW84" i="26"/>
  <c r="AW81" i="26"/>
  <c r="AW14" i="26"/>
  <c r="AW35" i="26"/>
  <c r="H35" i="26" s="1"/>
  <c r="AW15" i="26"/>
  <c r="AW42" i="26"/>
  <c r="H42" i="26" s="1"/>
  <c r="AW79" i="26"/>
  <c r="AW20" i="26"/>
  <c r="H20" i="26" s="1"/>
  <c r="AW70" i="26"/>
  <c r="AY25" i="26"/>
  <c r="AW38" i="26"/>
  <c r="H38" i="26" s="1"/>
  <c r="AW5" i="26"/>
  <c r="AV83" i="26"/>
  <c r="G73" i="26" s="1"/>
  <c r="AX25" i="26"/>
  <c r="AW75" i="26"/>
  <c r="AW31" i="26"/>
  <c r="AW78" i="26"/>
  <c r="AY12" i="26"/>
  <c r="AV72" i="26"/>
  <c r="G77" i="26" s="1"/>
  <c r="AW51" i="26"/>
  <c r="AY85" i="26"/>
  <c r="AW69" i="26"/>
  <c r="AY35" i="26"/>
  <c r="J35" i="26" s="1"/>
  <c r="AW21" i="26"/>
  <c r="AW19" i="26"/>
  <c r="AW74" i="26"/>
  <c r="AW29" i="26"/>
  <c r="AV25" i="26"/>
  <c r="AW83" i="26"/>
  <c r="H73" i="26" s="1"/>
  <c r="AW8" i="26"/>
  <c r="H18" i="26" s="1"/>
  <c r="AX83" i="26"/>
  <c r="I73" i="26" s="1"/>
  <c r="AW12" i="26"/>
  <c r="AX72" i="26"/>
  <c r="I77" i="26" s="1"/>
  <c r="AW55" i="26"/>
  <c r="AX74" i="26"/>
  <c r="AW25" i="26"/>
  <c r="AX20" i="26"/>
  <c r="I20" i="26" s="1"/>
  <c r="AY38" i="26"/>
  <c r="J38" i="26" s="1"/>
  <c r="AY72" i="26"/>
  <c r="J77" i="26" s="1"/>
  <c r="AW58" i="26"/>
  <c r="AX14" i="26"/>
  <c r="AY79" i="26"/>
  <c r="AW37" i="26"/>
  <c r="H37" i="26" s="1"/>
  <c r="AV20" i="26"/>
  <c r="AW59" i="26"/>
  <c r="H62" i="26" s="1"/>
  <c r="AY7" i="26"/>
  <c r="AW7" i="26"/>
  <c r="AY83" i="26"/>
  <c r="J73" i="26" s="1"/>
  <c r="AV85" i="26"/>
  <c r="AW85" i="26"/>
  <c r="AY19" i="26"/>
  <c r="AX42" i="26"/>
  <c r="I42" i="26" s="1"/>
  <c r="AY70" i="26"/>
  <c r="AV7" i="26"/>
  <c r="AX35" i="26"/>
  <c r="I35" i="26" s="1"/>
  <c r="AX8" i="26"/>
  <c r="AX7" i="26"/>
  <c r="AW22" i="26"/>
  <c r="H8" i="26" s="1"/>
  <c r="G16" i="26" l="1"/>
  <c r="G20" i="26"/>
  <c r="H21" i="26"/>
  <c r="H7" i="26"/>
  <c r="G7" i="26"/>
  <c r="J7" i="26"/>
  <c r="I7" i="26"/>
  <c r="H29" i="26"/>
  <c r="H15" i="26"/>
  <c r="H25" i="26"/>
  <c r="H12" i="26"/>
  <c r="H5" i="26"/>
  <c r="H10" i="26"/>
  <c r="H27" i="26"/>
  <c r="I16" i="26"/>
  <c r="J6" i="26"/>
  <c r="J23" i="26"/>
  <c r="H14" i="26"/>
  <c r="H22" i="26"/>
  <c r="H6" i="26"/>
  <c r="H23" i="26"/>
  <c r="H26" i="26"/>
  <c r="H24" i="26"/>
  <c r="H19" i="26"/>
  <c r="H31" i="26"/>
  <c r="H16" i="26"/>
  <c r="H54" i="26"/>
  <c r="H60" i="26"/>
  <c r="H70" i="26"/>
  <c r="I68" i="26"/>
  <c r="I72" i="26"/>
  <c r="H61" i="26"/>
  <c r="H83" i="26"/>
  <c r="J52" i="26"/>
  <c r="G83" i="26"/>
  <c r="H63" i="26"/>
  <c r="H84" i="26"/>
  <c r="J68" i="26"/>
  <c r="J72" i="26"/>
  <c r="H71" i="26"/>
  <c r="H51" i="26"/>
  <c r="J57" i="26"/>
  <c r="J79" i="26"/>
  <c r="H67" i="26"/>
  <c r="H55" i="26"/>
  <c r="I83" i="26"/>
  <c r="G68" i="26"/>
  <c r="G72" i="26"/>
  <c r="H50" i="26"/>
  <c r="H75" i="26"/>
  <c r="H78" i="26"/>
  <c r="H58" i="26"/>
  <c r="H81" i="26"/>
  <c r="H57" i="26"/>
  <c r="H79" i="26"/>
  <c r="H52" i="26"/>
  <c r="H85" i="26"/>
  <c r="I80" i="26"/>
  <c r="I74" i="26"/>
  <c r="G52" i="26"/>
  <c r="J61" i="26"/>
  <c r="J83" i="26"/>
  <c r="H66" i="26"/>
  <c r="H59" i="26"/>
  <c r="H80" i="26"/>
  <c r="H74" i="26"/>
  <c r="H64" i="26"/>
  <c r="H69" i="26"/>
  <c r="I52" i="26"/>
  <c r="I85" i="26"/>
  <c r="AX18" i="26"/>
  <c r="I18" i="26" s="1"/>
  <c r="AX36" i="26"/>
  <c r="I36" i="26" s="1"/>
  <c r="AY18" i="26"/>
  <c r="AY36" i="26"/>
  <c r="J36" i="26" s="1"/>
  <c r="AV18" i="26"/>
  <c r="AV36" i="26"/>
  <c r="G36" i="26" s="1"/>
  <c r="K36" i="26" s="1"/>
  <c r="AY59" i="26"/>
  <c r="J62" i="26" s="1"/>
  <c r="AV8" i="26"/>
  <c r="AX12" i="26"/>
  <c r="I25" i="26" s="1"/>
  <c r="AV29" i="26"/>
  <c r="G27" i="26" s="1"/>
  <c r="AY55" i="26"/>
  <c r="AV12" i="26"/>
  <c r="AX75" i="26"/>
  <c r="AY58" i="26"/>
  <c r="AX78" i="26"/>
  <c r="AX59" i="26"/>
  <c r="I62" i="26" s="1"/>
  <c r="AX81" i="26"/>
  <c r="I61" i="26" s="1"/>
  <c r="AX15" i="26"/>
  <c r="AY37" i="26"/>
  <c r="J37" i="26" s="1"/>
  <c r="AV84" i="26"/>
  <c r="AX19" i="26"/>
  <c r="AX79" i="26"/>
  <c r="AX84" i="26"/>
  <c r="AY51" i="26"/>
  <c r="AV31" i="26"/>
  <c r="AV21" i="26"/>
  <c r="G24" i="26" s="1"/>
  <c r="AV22" i="26"/>
  <c r="AY31" i="26"/>
  <c r="AY84" i="26"/>
  <c r="AV14" i="26"/>
  <c r="AV5" i="26"/>
  <c r="AV74" i="26"/>
  <c r="AV70" i="26"/>
  <c r="AY81" i="26"/>
  <c r="AV81" i="26"/>
  <c r="G61" i="26" s="1"/>
  <c r="AY78" i="26"/>
  <c r="J70" i="26" s="1"/>
  <c r="AV78" i="26"/>
  <c r="G85" i="26" s="1"/>
  <c r="AV79" i="26"/>
  <c r="AY74" i="26"/>
  <c r="AY75" i="26"/>
  <c r="AV75" i="26"/>
  <c r="AX69" i="26"/>
  <c r="AX70" i="26"/>
  <c r="I78" i="26" s="1"/>
  <c r="AY69" i="26"/>
  <c r="AV69" i="26"/>
  <c r="AX58" i="26"/>
  <c r="AV59" i="26"/>
  <c r="G62" i="26" s="1"/>
  <c r="AV58" i="26"/>
  <c r="AV55" i="26"/>
  <c r="AX55" i="26"/>
  <c r="AV51" i="26"/>
  <c r="AX51" i="26"/>
  <c r="AV37" i="26"/>
  <c r="G37" i="26" s="1"/>
  <c r="K37" i="26" s="1"/>
  <c r="AX37" i="26"/>
  <c r="I37" i="26" s="1"/>
  <c r="AY14" i="26"/>
  <c r="AY42" i="26"/>
  <c r="J42" i="26" s="1"/>
  <c r="AV42" i="26"/>
  <c r="G42" i="26" s="1"/>
  <c r="K42" i="26" s="1"/>
  <c r="AX31" i="26"/>
  <c r="AV35" i="26"/>
  <c r="AV15" i="26"/>
  <c r="AY15" i="26"/>
  <c r="AX22" i="26"/>
  <c r="I8" i="26" s="1"/>
  <c r="AY22" i="26"/>
  <c r="AV38" i="26"/>
  <c r="G38" i="26" s="1"/>
  <c r="K38" i="26" s="1"/>
  <c r="AY21" i="26"/>
  <c r="J21" i="26" s="1"/>
  <c r="AX38" i="26"/>
  <c r="I38" i="26" s="1"/>
  <c r="AX21" i="26"/>
  <c r="I21" i="26" s="1"/>
  <c r="AY20" i="26"/>
  <c r="AY29" i="26"/>
  <c r="AX29" i="26"/>
  <c r="AY8" i="26"/>
  <c r="AX5" i="26"/>
  <c r="AV19" i="26"/>
  <c r="AY5" i="26"/>
  <c r="J12" i="26" s="1"/>
  <c r="H50" i="38"/>
  <c r="F50" i="38"/>
  <c r="I50" i="38"/>
  <c r="G50" i="38"/>
  <c r="J18" i="26" l="1"/>
  <c r="K24" i="26"/>
  <c r="K27" i="26"/>
  <c r="G12" i="26"/>
  <c r="G8" i="26"/>
  <c r="K8" i="26" s="1"/>
  <c r="I12" i="26"/>
  <c r="K7" i="26"/>
  <c r="G18" i="26"/>
  <c r="J29" i="26"/>
  <c r="J15" i="26"/>
  <c r="I22" i="26"/>
  <c r="J16" i="26"/>
  <c r="J20" i="26"/>
  <c r="G29" i="26"/>
  <c r="G15" i="26"/>
  <c r="K15" i="26" s="1"/>
  <c r="J8" i="26"/>
  <c r="I29" i="26"/>
  <c r="I15" i="26"/>
  <c r="G21" i="26"/>
  <c r="K16" i="26"/>
  <c r="J10" i="26"/>
  <c r="J27" i="26"/>
  <c r="I10" i="26"/>
  <c r="I27" i="26"/>
  <c r="I19" i="26"/>
  <c r="I31" i="26"/>
  <c r="G14" i="26"/>
  <c r="G22" i="26"/>
  <c r="K22" i="26" s="1"/>
  <c r="G10" i="26"/>
  <c r="J26" i="26"/>
  <c r="J24" i="26"/>
  <c r="G19" i="26"/>
  <c r="G31" i="26"/>
  <c r="I6" i="26"/>
  <c r="I23" i="26"/>
  <c r="G5" i="26"/>
  <c r="K5" i="26" s="1"/>
  <c r="G13" i="26"/>
  <c r="K13" i="26" s="1"/>
  <c r="I5" i="26"/>
  <c r="I13" i="26"/>
  <c r="J19" i="26"/>
  <c r="J31" i="26"/>
  <c r="I14" i="26"/>
  <c r="G6" i="26"/>
  <c r="K6" i="26" s="1"/>
  <c r="G23" i="26"/>
  <c r="K23" i="26" s="1"/>
  <c r="I26" i="26"/>
  <c r="I24" i="26"/>
  <c r="J14" i="26"/>
  <c r="J22" i="26"/>
  <c r="J5" i="26"/>
  <c r="J13" i="26"/>
  <c r="J25" i="26"/>
  <c r="G25" i="26"/>
  <c r="K25" i="26" s="1"/>
  <c r="G35" i="26"/>
  <c r="K35" i="26" s="1"/>
  <c r="G26" i="26"/>
  <c r="G54" i="26"/>
  <c r="G60" i="26"/>
  <c r="I54" i="26"/>
  <c r="I60" i="26"/>
  <c r="J54" i="26"/>
  <c r="J60" i="26"/>
  <c r="J85" i="26"/>
  <c r="G70" i="26"/>
  <c r="G78" i="26"/>
  <c r="J78" i="26"/>
  <c r="G57" i="26"/>
  <c r="G79" i="26"/>
  <c r="G67" i="26"/>
  <c r="G55" i="26"/>
  <c r="G50" i="26"/>
  <c r="G75" i="26"/>
  <c r="I58" i="26"/>
  <c r="I81" i="26"/>
  <c r="I50" i="26"/>
  <c r="I75" i="26"/>
  <c r="I71" i="26"/>
  <c r="I51" i="26"/>
  <c r="J64" i="26"/>
  <c r="J69" i="26"/>
  <c r="J50" i="26"/>
  <c r="J75" i="26"/>
  <c r="G80" i="26"/>
  <c r="G74" i="26"/>
  <c r="J71" i="26"/>
  <c r="J51" i="26"/>
  <c r="G63" i="26"/>
  <c r="G84" i="26"/>
  <c r="I66" i="26"/>
  <c r="I59" i="26"/>
  <c r="I67" i="26"/>
  <c r="I55" i="26"/>
  <c r="I64" i="26"/>
  <c r="I69" i="26"/>
  <c r="J58" i="26"/>
  <c r="J81" i="26"/>
  <c r="I57" i="26"/>
  <c r="I79" i="26"/>
  <c r="G64" i="26"/>
  <c r="G69" i="26"/>
  <c r="J63" i="26"/>
  <c r="J84" i="26"/>
  <c r="G71" i="26"/>
  <c r="G51" i="26"/>
  <c r="G66" i="26"/>
  <c r="G59" i="26"/>
  <c r="J80" i="26"/>
  <c r="J74" i="26"/>
  <c r="G58" i="26"/>
  <c r="G81" i="26"/>
  <c r="I63" i="26"/>
  <c r="I84" i="26"/>
  <c r="I70" i="26"/>
  <c r="J67" i="26"/>
  <c r="J55" i="26"/>
  <c r="J66" i="26"/>
  <c r="J59" i="26"/>
  <c r="S84" i="26"/>
  <c r="R84" i="26"/>
  <c r="K29" i="26" l="1"/>
  <c r="K10" i="26"/>
  <c r="K14" i="26"/>
  <c r="K12" i="26"/>
  <c r="K20" i="26"/>
  <c r="K18" i="26"/>
  <c r="K11" i="26"/>
  <c r="K31" i="26"/>
  <c r="K17" i="26"/>
  <c r="K21" i="26"/>
  <c r="K26" i="26"/>
  <c r="K19" i="26"/>
  <c r="C84" i="26"/>
  <c r="C79" i="26"/>
  <c r="D84" i="26"/>
  <c r="D79" i="26"/>
  <c r="T84" i="26"/>
  <c r="U84" i="26"/>
  <c r="I56" i="35"/>
  <c r="F56" i="35"/>
  <c r="H56" i="35"/>
  <c r="G56" i="35"/>
  <c r="R37" i="26"/>
  <c r="C37" i="26" s="1"/>
  <c r="R49" i="26"/>
  <c r="T37" i="26"/>
  <c r="E37" i="26" s="1"/>
  <c r="T49" i="26"/>
  <c r="U37" i="26"/>
  <c r="F37" i="26" s="1"/>
  <c r="U49" i="26"/>
  <c r="S37" i="26"/>
  <c r="D37" i="26" s="1"/>
  <c r="S49" i="26"/>
  <c r="R32" i="26"/>
  <c r="C32" i="26" s="1"/>
  <c r="T32" i="26"/>
  <c r="E32" i="26" s="1"/>
  <c r="U32" i="26"/>
  <c r="F32" i="26" s="1"/>
  <c r="S32" i="26"/>
  <c r="D32" i="26" s="1"/>
  <c r="R66" i="26"/>
  <c r="C69" i="26" s="1"/>
  <c r="U66" i="26"/>
  <c r="F69" i="26" s="1"/>
  <c r="S66" i="26"/>
  <c r="D69" i="26" s="1"/>
  <c r="T66" i="26"/>
  <c r="E69" i="26" s="1"/>
  <c r="F5" i="26" l="1"/>
  <c r="F13" i="26"/>
  <c r="F16" i="26"/>
  <c r="F25" i="26"/>
  <c r="D5" i="26"/>
  <c r="D13" i="26"/>
  <c r="D16" i="26"/>
  <c r="D25" i="26"/>
  <c r="C5" i="26"/>
  <c r="C13" i="26"/>
  <c r="E5" i="26"/>
  <c r="E13" i="26"/>
  <c r="E16" i="26"/>
  <c r="E25" i="26"/>
  <c r="C16" i="26"/>
  <c r="C25" i="26"/>
  <c r="A20" i="26" s="1"/>
  <c r="E84" i="26"/>
  <c r="E79" i="26"/>
  <c r="F84" i="26"/>
  <c r="F79" i="26"/>
  <c r="D74" i="26"/>
  <c r="D66" i="26"/>
  <c r="F85" i="26"/>
  <c r="F49" i="26"/>
  <c r="F74" i="26"/>
  <c r="F66" i="26"/>
  <c r="D85" i="26"/>
  <c r="D49" i="26"/>
  <c r="E85" i="26"/>
  <c r="E49" i="26"/>
  <c r="C85" i="26"/>
  <c r="C49" i="26"/>
  <c r="C74" i="26"/>
  <c r="C66" i="26"/>
  <c r="E74" i="26"/>
  <c r="E66" i="26"/>
  <c r="A37" i="26"/>
  <c r="A32" i="26"/>
  <c r="B59" i="46"/>
  <c r="B18" i="46"/>
  <c r="B55" i="46"/>
  <c r="B9" i="46"/>
  <c r="B39" i="46"/>
  <c r="B48" i="46"/>
  <c r="B40" i="46"/>
  <c r="B58" i="46"/>
  <c r="B71" i="46"/>
  <c r="B41" i="46"/>
  <c r="B29" i="46"/>
  <c r="B52" i="46"/>
  <c r="B51" i="46"/>
  <c r="B17" i="46"/>
  <c r="B57" i="46"/>
  <c r="B36" i="46"/>
  <c r="B53" i="46"/>
  <c r="B22" i="46"/>
  <c r="B44" i="46"/>
  <c r="B68" i="46"/>
  <c r="B13" i="46"/>
  <c r="B30" i="46"/>
  <c r="B74" i="46"/>
  <c r="B72" i="46"/>
  <c r="B25" i="46"/>
  <c r="B47" i="46"/>
  <c r="B27" i="46"/>
  <c r="B69" i="46"/>
  <c r="B54" i="46"/>
  <c r="B21" i="46"/>
  <c r="B7" i="46"/>
  <c r="B10" i="46"/>
  <c r="B66" i="46"/>
  <c r="B60" i="46"/>
  <c r="B61" i="46"/>
  <c r="B50" i="46"/>
  <c r="B63" i="46"/>
  <c r="B46" i="46"/>
  <c r="B26" i="46"/>
  <c r="B64" i="46"/>
  <c r="B65" i="46"/>
  <c r="B11" i="46"/>
  <c r="B34" i="46"/>
  <c r="B45" i="46"/>
  <c r="B16" i="46"/>
  <c r="B12" i="46"/>
  <c r="B19" i="46"/>
  <c r="B70" i="46"/>
  <c r="B38" i="46"/>
  <c r="B31" i="46"/>
  <c r="B33" i="46"/>
  <c r="B37" i="46"/>
  <c r="B56" i="46"/>
  <c r="B43" i="46"/>
  <c r="B15" i="46"/>
  <c r="B20" i="46"/>
  <c r="B49" i="46"/>
  <c r="B75" i="46"/>
  <c r="B23" i="46"/>
  <c r="B73" i="46"/>
  <c r="B32" i="46"/>
  <c r="B67" i="46"/>
  <c r="B14" i="46"/>
  <c r="B76" i="46"/>
  <c r="B24" i="46"/>
  <c r="B42" i="46"/>
  <c r="B8" i="46"/>
  <c r="B35" i="46"/>
  <c r="B62" i="46"/>
  <c r="B28" i="46"/>
  <c r="C35" i="46" l="1"/>
  <c r="C32" i="46"/>
  <c r="C30" i="46"/>
  <c r="C29" i="46"/>
  <c r="C34" i="46"/>
  <c r="C37" i="46"/>
  <c r="C36" i="46"/>
  <c r="C31" i="46"/>
  <c r="C33" i="46"/>
  <c r="C27" i="46"/>
  <c r="C25" i="46"/>
  <c r="C28" i="46"/>
  <c r="C26" i="46"/>
  <c r="C18" i="46"/>
  <c r="C24" i="46"/>
  <c r="C21" i="46"/>
  <c r="C8" i="46"/>
  <c r="C9" i="46"/>
  <c r="C23" i="46"/>
  <c r="C10" i="46"/>
  <c r="C19" i="46"/>
  <c r="C20" i="46"/>
  <c r="C22" i="46"/>
  <c r="C15" i="46"/>
  <c r="C13" i="46"/>
  <c r="C14" i="46"/>
  <c r="C16" i="46"/>
  <c r="C12" i="46"/>
  <c r="C17" i="46"/>
  <c r="C11" i="46"/>
  <c r="C7" i="46"/>
  <c r="A25" i="26"/>
  <c r="A16" i="26"/>
  <c r="A18" i="26"/>
  <c r="A13" i="26"/>
  <c r="A11" i="26"/>
  <c r="A5" i="26"/>
  <c r="C49" i="46"/>
  <c r="C71" i="46"/>
  <c r="C76" i="46"/>
  <c r="C39" i="46"/>
  <c r="C59" i="46"/>
  <c r="C56" i="46"/>
  <c r="C60" i="46"/>
  <c r="C70" i="46"/>
  <c r="C75" i="46"/>
  <c r="C63" i="46"/>
  <c r="C62" i="46"/>
  <c r="C72" i="46"/>
  <c r="C52" i="46"/>
  <c r="C53" i="46"/>
  <c r="C38" i="46"/>
  <c r="C58" i="46"/>
  <c r="C48" i="46"/>
  <c r="C44" i="46"/>
  <c r="C40" i="46"/>
  <c r="C57" i="46"/>
  <c r="C64" i="46"/>
  <c r="C73" i="46"/>
  <c r="C69" i="46"/>
  <c r="C50" i="46"/>
  <c r="C42" i="46"/>
  <c r="C68" i="46"/>
  <c r="C66" i="46"/>
  <c r="C74" i="46"/>
  <c r="C51" i="46"/>
  <c r="C41" i="46"/>
  <c r="C47" i="46"/>
  <c r="C55" i="46"/>
  <c r="C65" i="46"/>
  <c r="C46" i="46"/>
  <c r="C61" i="46"/>
  <c r="C67" i="46"/>
  <c r="C45" i="46"/>
  <c r="C43" i="46"/>
  <c r="C54" i="46"/>
  <c r="J52" i="40" l="1"/>
  <c r="K54" i="38" l="1"/>
  <c r="K55" i="38" s="1"/>
  <c r="K56" i="38" s="1"/>
  <c r="O54" i="38"/>
  <c r="O55" i="38" s="1"/>
  <c r="O56" i="38" s="1"/>
  <c r="S54" i="38"/>
  <c r="S55" i="38" s="1"/>
  <c r="S56" i="38" s="1"/>
  <c r="W54" i="38"/>
  <c r="W55" i="38" s="1"/>
  <c r="W56" i="38" s="1"/>
  <c r="AA54" i="38"/>
  <c r="AA55" i="38" s="1"/>
  <c r="AA56" i="38" s="1"/>
  <c r="AE54" i="38"/>
  <c r="AE55" i="38" s="1"/>
  <c r="AE56" i="38" s="1"/>
  <c r="AI54" i="38"/>
  <c r="AI55" i="38" s="1"/>
  <c r="AI56" i="38" s="1"/>
  <c r="AM54" i="38"/>
  <c r="AM55" i="38" s="1"/>
  <c r="AM56" i="38" s="1"/>
  <c r="AQ54" i="38"/>
  <c r="AQ55" i="38" s="1"/>
  <c r="AQ56" i="38" s="1"/>
  <c r="AU54" i="38"/>
  <c r="AU55" i="38" s="1"/>
  <c r="AU56" i="38" s="1"/>
  <c r="L54" i="38"/>
  <c r="L55" i="38" s="1"/>
  <c r="L56" i="38" s="1"/>
  <c r="P54" i="38"/>
  <c r="P55" i="38" s="1"/>
  <c r="P56" i="38" s="1"/>
  <c r="T54" i="38"/>
  <c r="T55" i="38" s="1"/>
  <c r="T56" i="38" s="1"/>
  <c r="X54" i="38"/>
  <c r="X55" i="38" s="1"/>
  <c r="X56" i="38" s="1"/>
  <c r="AB54" i="38"/>
  <c r="AB55" i="38" s="1"/>
  <c r="AB56" i="38" s="1"/>
  <c r="AF54" i="38"/>
  <c r="AF55" i="38" s="1"/>
  <c r="AF56" i="38" s="1"/>
  <c r="AJ54" i="38"/>
  <c r="AJ55" i="38" s="1"/>
  <c r="AJ56" i="38" s="1"/>
  <c r="AN54" i="38"/>
  <c r="AN55" i="38" s="1"/>
  <c r="AN56" i="38" s="1"/>
  <c r="AR54" i="38"/>
  <c r="AR55" i="38" s="1"/>
  <c r="AR56" i="38" s="1"/>
  <c r="AV54" i="38"/>
  <c r="AV55" i="38" s="1"/>
  <c r="AV56" i="38" s="1"/>
  <c r="M54" i="38"/>
  <c r="M55" i="38" s="1"/>
  <c r="M56" i="38" s="1"/>
  <c r="Q54" i="38"/>
  <c r="Q55" i="38" s="1"/>
  <c r="Q56" i="38" s="1"/>
  <c r="U54" i="38"/>
  <c r="U55" i="38" s="1"/>
  <c r="U56" i="38" s="1"/>
  <c r="Y54" i="38"/>
  <c r="Y55" i="38" s="1"/>
  <c r="Y56" i="38" s="1"/>
  <c r="AC54" i="38"/>
  <c r="AC55" i="38" s="1"/>
  <c r="AC56" i="38" s="1"/>
  <c r="AG54" i="38"/>
  <c r="AG55" i="38" s="1"/>
  <c r="AG56" i="38" s="1"/>
  <c r="AK54" i="38"/>
  <c r="AK55" i="38" s="1"/>
  <c r="AK56" i="38" s="1"/>
  <c r="AO54" i="38"/>
  <c r="AO55" i="38" s="1"/>
  <c r="AO56" i="38" s="1"/>
  <c r="AS54" i="38"/>
  <c r="AS55" i="38" s="1"/>
  <c r="AS56" i="38" s="1"/>
  <c r="AW54" i="38"/>
  <c r="AW55" i="38" s="1"/>
  <c r="AW56" i="38" s="1"/>
  <c r="Z54" i="38"/>
  <c r="Z55" i="38" s="1"/>
  <c r="Z56" i="38" s="1"/>
  <c r="AP54" i="38"/>
  <c r="AP55" i="38" s="1"/>
  <c r="AP56" i="38" s="1"/>
  <c r="AH54" i="38"/>
  <c r="AH55" i="38" s="1"/>
  <c r="AH56" i="38" s="1"/>
  <c r="AL54" i="38"/>
  <c r="AL55" i="38" s="1"/>
  <c r="AL56" i="38" s="1"/>
  <c r="N54" i="38"/>
  <c r="N55" i="38" s="1"/>
  <c r="N56" i="38" s="1"/>
  <c r="AD54" i="38"/>
  <c r="AD55" i="38" s="1"/>
  <c r="AD56" i="38" s="1"/>
  <c r="AT54" i="38"/>
  <c r="AT55" i="38" s="1"/>
  <c r="AT56" i="38" s="1"/>
  <c r="R54" i="38"/>
  <c r="R55" i="38" s="1"/>
  <c r="R56" i="38" s="1"/>
  <c r="J54" i="38"/>
  <c r="V54" i="38"/>
  <c r="V55" i="38" s="1"/>
  <c r="V56" i="38" s="1"/>
  <c r="J53" i="40"/>
  <c r="AX52" i="40"/>
  <c r="G27" i="46"/>
  <c r="E68" i="46"/>
  <c r="D29" i="46"/>
  <c r="D27" i="46"/>
  <c r="H34" i="46"/>
  <c r="E28" i="46"/>
  <c r="G10" i="46"/>
  <c r="I30" i="46"/>
  <c r="E70" i="46"/>
  <c r="E46" i="46"/>
  <c r="F70" i="46"/>
  <c r="H18" i="46"/>
  <c r="H8" i="46"/>
  <c r="D60" i="46"/>
  <c r="F15" i="46"/>
  <c r="F44" i="46"/>
  <c r="E20" i="46"/>
  <c r="I53" i="46"/>
  <c r="H57" i="46"/>
  <c r="I50" i="46"/>
  <c r="E71" i="46"/>
  <c r="G45" i="46"/>
  <c r="H51" i="46"/>
  <c r="D31" i="46"/>
  <c r="F52" i="46"/>
  <c r="D57" i="46"/>
  <c r="I44" i="46"/>
  <c r="I19" i="46"/>
  <c r="I31" i="46"/>
  <c r="G56" i="46"/>
  <c r="F73" i="46"/>
  <c r="I69" i="46"/>
  <c r="I47" i="46"/>
  <c r="H52" i="46"/>
  <c r="I68" i="46"/>
  <c r="G65" i="46"/>
  <c r="G46" i="46"/>
  <c r="I60" i="46"/>
  <c r="H30" i="46"/>
  <c r="H38" i="46"/>
  <c r="H45" i="46"/>
  <c r="I62" i="46"/>
  <c r="E56" i="46"/>
  <c r="F17" i="46"/>
  <c r="E40" i="46"/>
  <c r="D9" i="46"/>
  <c r="G36" i="46"/>
  <c r="G8" i="46"/>
  <c r="D12" i="46"/>
  <c r="E25" i="46"/>
  <c r="F60" i="46"/>
  <c r="F39" i="46"/>
  <c r="E32" i="46"/>
  <c r="H50" i="46"/>
  <c r="I75" i="46"/>
  <c r="E63" i="46"/>
  <c r="F46" i="46"/>
  <c r="F31" i="46"/>
  <c r="F9" i="46"/>
  <c r="E57" i="46"/>
  <c r="E55" i="46"/>
  <c r="I10" i="46"/>
  <c r="H58" i="46"/>
  <c r="D48" i="46"/>
  <c r="E49" i="46"/>
  <c r="H59" i="46"/>
  <c r="I21" i="46"/>
  <c r="H73" i="46"/>
  <c r="D22" i="46"/>
  <c r="F74" i="46"/>
  <c r="G44" i="46"/>
  <c r="E45" i="46"/>
  <c r="I12" i="46"/>
  <c r="I65" i="46"/>
  <c r="I55" i="46"/>
  <c r="G62" i="46"/>
  <c r="D59" i="46"/>
  <c r="E43" i="46"/>
  <c r="D8" i="46"/>
  <c r="F69" i="46"/>
  <c r="D63" i="46"/>
  <c r="G22" i="46"/>
  <c r="F19" i="46"/>
  <c r="E37" i="46"/>
  <c r="H25" i="46"/>
  <c r="H54" i="46"/>
  <c r="F13" i="46"/>
  <c r="H41" i="46"/>
  <c r="I24" i="46"/>
  <c r="H49" i="46"/>
  <c r="H72" i="46"/>
  <c r="D35" i="46"/>
  <c r="E23" i="46"/>
  <c r="H35" i="46"/>
  <c r="E39" i="46"/>
  <c r="H63" i="46"/>
  <c r="H70" i="46"/>
  <c r="I42" i="46"/>
  <c r="H20" i="46"/>
  <c r="G75" i="46"/>
  <c r="F55" i="46"/>
  <c r="G28" i="46"/>
  <c r="E76" i="46"/>
  <c r="F7" i="46"/>
  <c r="H36" i="46"/>
  <c r="H17" i="46"/>
  <c r="F37" i="46"/>
  <c r="G31" i="46"/>
  <c r="I54" i="46"/>
  <c r="F18" i="46"/>
  <c r="I8" i="46"/>
  <c r="D73" i="46"/>
  <c r="E74" i="46"/>
  <c r="G18" i="46"/>
  <c r="F53" i="46"/>
  <c r="H76" i="46"/>
  <c r="E29" i="46"/>
  <c r="F64" i="46"/>
  <c r="E11" i="46"/>
  <c r="I15" i="46"/>
  <c r="E53" i="46"/>
  <c r="G12" i="46"/>
  <c r="H24" i="46"/>
  <c r="D76" i="46"/>
  <c r="E61" i="46"/>
  <c r="I74" i="46"/>
  <c r="G50" i="46"/>
  <c r="F11" i="46"/>
  <c r="H9" i="46"/>
  <c r="D39" i="46"/>
  <c r="D36" i="46"/>
  <c r="F54" i="46"/>
  <c r="I48" i="46"/>
  <c r="D7" i="46"/>
  <c r="E38" i="46"/>
  <c r="H16" i="46"/>
  <c r="E35" i="46"/>
  <c r="H29" i="46"/>
  <c r="H43" i="46"/>
  <c r="E47" i="46"/>
  <c r="I32" i="46"/>
  <c r="I33" i="46"/>
  <c r="I64" i="46"/>
  <c r="F23" i="46"/>
  <c r="E12" i="46"/>
  <c r="F65" i="46"/>
  <c r="F30" i="46"/>
  <c r="E73" i="46"/>
  <c r="F28" i="46"/>
  <c r="G30" i="46"/>
  <c r="D53" i="46"/>
  <c r="H12" i="46"/>
  <c r="I52" i="46"/>
  <c r="E41" i="46"/>
  <c r="G52" i="46"/>
  <c r="I43" i="46"/>
  <c r="D75" i="46"/>
  <c r="E19" i="46"/>
  <c r="D61" i="46"/>
  <c r="G51" i="46"/>
  <c r="F61" i="46"/>
  <c r="E7" i="46"/>
  <c r="D16" i="46"/>
  <c r="G69" i="46"/>
  <c r="E44" i="46"/>
  <c r="G63" i="46"/>
  <c r="G7" i="46"/>
  <c r="H13" i="46"/>
  <c r="H48" i="46"/>
  <c r="G40" i="46"/>
  <c r="D34" i="46"/>
  <c r="H60" i="46"/>
  <c r="H46" i="46"/>
  <c r="D52" i="46"/>
  <c r="I36" i="46"/>
  <c r="G61" i="46"/>
  <c r="F27" i="46"/>
  <c r="I61" i="46"/>
  <c r="G60" i="46"/>
  <c r="H26" i="46"/>
  <c r="H32" i="46"/>
  <c r="I13" i="46"/>
  <c r="G67" i="46"/>
  <c r="H10" i="46"/>
  <c r="D51" i="46"/>
  <c r="E59" i="46"/>
  <c r="G76" i="46"/>
  <c r="H53" i="46"/>
  <c r="E42" i="46"/>
  <c r="G16" i="46"/>
  <c r="E8" i="46"/>
  <c r="I72" i="46"/>
  <c r="G72" i="46"/>
  <c r="F72" i="46"/>
  <c r="H40" i="46"/>
  <c r="D70" i="46"/>
  <c r="E34" i="46"/>
  <c r="G11" i="46"/>
  <c r="G71" i="46"/>
  <c r="F67" i="46"/>
  <c r="D28" i="46"/>
  <c r="E24" i="46"/>
  <c r="D14" i="46"/>
  <c r="I45" i="46"/>
  <c r="G53" i="46"/>
  <c r="F49" i="46"/>
  <c r="F43" i="46"/>
  <c r="D11" i="46"/>
  <c r="I20" i="46"/>
  <c r="I63" i="46"/>
  <c r="D24" i="46"/>
  <c r="G42" i="46"/>
  <c r="H15" i="46"/>
  <c r="I56" i="46"/>
  <c r="G23" i="46"/>
  <c r="H69" i="46"/>
  <c r="I73" i="46"/>
  <c r="D65" i="46"/>
  <c r="E75" i="46"/>
  <c r="F62" i="46"/>
  <c r="I51" i="46"/>
  <c r="G39" i="46"/>
  <c r="E58" i="46"/>
  <c r="E31" i="46"/>
  <c r="D40" i="46"/>
  <c r="D64" i="46"/>
  <c r="I35" i="46"/>
  <c r="H65" i="46"/>
  <c r="D54" i="46"/>
  <c r="H55" i="46"/>
  <c r="F57" i="46"/>
  <c r="G57" i="46"/>
  <c r="H67" i="46"/>
  <c r="G17" i="46"/>
  <c r="E16" i="46"/>
  <c r="I38" i="46"/>
  <c r="H47" i="46"/>
  <c r="E62" i="46"/>
  <c r="H11" i="46"/>
  <c r="E72" i="46"/>
  <c r="E14" i="46"/>
  <c r="I28" i="46"/>
  <c r="G73" i="46"/>
  <c r="F34" i="46"/>
  <c r="H64" i="46"/>
  <c r="F33" i="46"/>
  <c r="E60" i="46"/>
  <c r="D69" i="46"/>
  <c r="G24" i="46"/>
  <c r="D68" i="46"/>
  <c r="E33" i="46"/>
  <c r="F45" i="46"/>
  <c r="F32" i="46"/>
  <c r="I37" i="46"/>
  <c r="D55" i="46"/>
  <c r="E13" i="46"/>
  <c r="F8" i="46"/>
  <c r="G25" i="46"/>
  <c r="E27" i="46"/>
  <c r="I40" i="46"/>
  <c r="H37" i="46"/>
  <c r="I29" i="46"/>
  <c r="F58" i="46"/>
  <c r="D46" i="46"/>
  <c r="I26" i="46"/>
  <c r="I46" i="46"/>
  <c r="G14" i="46"/>
  <c r="G43" i="46"/>
  <c r="E10" i="46"/>
  <c r="E48" i="46"/>
  <c r="F36" i="46"/>
  <c r="D43" i="46"/>
  <c r="F41" i="46"/>
  <c r="D41" i="46"/>
  <c r="G19" i="46"/>
  <c r="G59" i="46"/>
  <c r="E36" i="46"/>
  <c r="I66" i="46"/>
  <c r="G20" i="46"/>
  <c r="D32" i="46"/>
  <c r="F16" i="46"/>
  <c r="G35" i="46"/>
  <c r="D30" i="46"/>
  <c r="I49" i="46"/>
  <c r="G37" i="46"/>
  <c r="D33" i="46"/>
  <c r="I18" i="46"/>
  <c r="D37" i="46"/>
  <c r="G32" i="46"/>
  <c r="D44" i="46"/>
  <c r="G41" i="46"/>
  <c r="F38" i="46"/>
  <c r="H74" i="46"/>
  <c r="D23" i="46"/>
  <c r="H33" i="46"/>
  <c r="H62" i="46"/>
  <c r="D49" i="46"/>
  <c r="E22" i="46"/>
  <c r="I67" i="46"/>
  <c r="G26" i="46"/>
  <c r="F71" i="46"/>
  <c r="H7" i="46"/>
  <c r="F42" i="46"/>
  <c r="F25" i="46"/>
  <c r="F63" i="46"/>
  <c r="E9" i="46"/>
  <c r="D71" i="46"/>
  <c r="E18" i="46"/>
  <c r="D67" i="46"/>
  <c r="G33" i="46"/>
  <c r="E52" i="46"/>
  <c r="G34" i="46"/>
  <c r="H19" i="46"/>
  <c r="G74" i="46"/>
  <c r="D56" i="46"/>
  <c r="E50" i="46"/>
  <c r="G49" i="46"/>
  <c r="D17" i="46"/>
  <c r="H71" i="46"/>
  <c r="D20" i="46"/>
  <c r="I58" i="46"/>
  <c r="G47" i="46"/>
  <c r="F22" i="46"/>
  <c r="E17" i="46"/>
  <c r="D45" i="46"/>
  <c r="H61" i="46"/>
  <c r="I59" i="46"/>
  <c r="H31" i="46"/>
  <c r="I9" i="46"/>
  <c r="F50" i="46"/>
  <c r="D13" i="46"/>
  <c r="F75" i="46"/>
  <c r="D38" i="46"/>
  <c r="H21" i="46"/>
  <c r="F56" i="46"/>
  <c r="D66" i="46"/>
  <c r="E30" i="46"/>
  <c r="H14" i="46"/>
  <c r="I17" i="46"/>
  <c r="H22" i="46"/>
  <c r="I22" i="46"/>
  <c r="E64" i="46"/>
  <c r="F48" i="46"/>
  <c r="F51" i="46"/>
  <c r="F68" i="46"/>
  <c r="E26" i="46"/>
  <c r="I41" i="46"/>
  <c r="F14" i="46"/>
  <c r="E21" i="46"/>
  <c r="H66" i="46"/>
  <c r="E54" i="46"/>
  <c r="G29" i="46"/>
  <c r="G9" i="46"/>
  <c r="I57" i="46"/>
  <c r="G64" i="46"/>
  <c r="D62" i="46"/>
  <c r="D10" i="46"/>
  <c r="D18" i="46"/>
  <c r="G48" i="46"/>
  <c r="E69" i="46"/>
  <c r="D50" i="46"/>
  <c r="I14" i="46"/>
  <c r="G58" i="46"/>
  <c r="G55" i="46"/>
  <c r="G70" i="46"/>
  <c r="G15" i="46"/>
  <c r="H27" i="46"/>
  <c r="F66" i="46"/>
  <c r="I70" i="46"/>
  <c r="I7" i="46"/>
  <c r="E65" i="46"/>
  <c r="F29" i="46"/>
  <c r="G13" i="46"/>
  <c r="I16" i="46"/>
  <c r="F12" i="46"/>
  <c r="F47" i="46"/>
  <c r="E67" i="46"/>
  <c r="D72" i="46"/>
  <c r="H44" i="46"/>
  <c r="D19" i="46"/>
  <c r="F24" i="46"/>
  <c r="F26" i="46"/>
  <c r="D15" i="46"/>
  <c r="I11" i="46"/>
  <c r="H39" i="46"/>
  <c r="D74" i="46"/>
  <c r="F35" i="46"/>
  <c r="G66" i="46"/>
  <c r="D47" i="46"/>
  <c r="H75" i="46"/>
  <c r="E15" i="46"/>
  <c r="D42" i="46"/>
  <c r="H56" i="46"/>
  <c r="D21" i="46"/>
  <c r="H68" i="46"/>
  <c r="F40" i="46"/>
  <c r="I25" i="46"/>
  <c r="F20" i="46"/>
  <c r="D25" i="46"/>
  <c r="G68" i="46"/>
  <c r="F59" i="46"/>
  <c r="H23" i="46"/>
  <c r="H42" i="46"/>
  <c r="D58" i="46"/>
  <c r="E66" i="46"/>
  <c r="I71" i="46"/>
  <c r="I39" i="46"/>
  <c r="F10" i="46"/>
  <c r="I34" i="46"/>
  <c r="H28" i="46"/>
  <c r="F76" i="46"/>
  <c r="I27" i="46"/>
  <c r="D26" i="46"/>
  <c r="G54" i="46"/>
  <c r="F21" i="46"/>
  <c r="I23" i="46"/>
  <c r="I76" i="46"/>
  <c r="E51" i="46"/>
  <c r="G21" i="46"/>
  <c r="G38" i="46"/>
  <c r="J26" i="46" l="1"/>
  <c r="J58" i="46"/>
  <c r="J25" i="46"/>
  <c r="J21" i="46"/>
  <c r="J42" i="46"/>
  <c r="J47" i="46"/>
  <c r="J74" i="46"/>
  <c r="J15" i="46"/>
  <c r="J19" i="46"/>
  <c r="J72" i="46"/>
  <c r="J50" i="46"/>
  <c r="J18" i="46"/>
  <c r="J10" i="46"/>
  <c r="J62" i="46"/>
  <c r="J66" i="46"/>
  <c r="J38" i="46"/>
  <c r="J13" i="46"/>
  <c r="J45" i="46"/>
  <c r="J20" i="46"/>
  <c r="J17" i="46"/>
  <c r="J56" i="46"/>
  <c r="J67" i="46"/>
  <c r="J71" i="46"/>
  <c r="J49" i="46"/>
  <c r="J23" i="46"/>
  <c r="J44" i="46"/>
  <c r="J37" i="46"/>
  <c r="J33" i="46"/>
  <c r="J30" i="46"/>
  <c r="J32" i="46"/>
  <c r="J41" i="46"/>
  <c r="J43" i="46"/>
  <c r="J46" i="46"/>
  <c r="J55" i="46"/>
  <c r="J68" i="46"/>
  <c r="J69" i="46"/>
  <c r="J54" i="46"/>
  <c r="J64" i="46"/>
  <c r="J40" i="46"/>
  <c r="J65" i="46"/>
  <c r="J24" i="46"/>
  <c r="J11" i="46"/>
  <c r="J14" i="46"/>
  <c r="J28" i="46"/>
  <c r="J70" i="46"/>
  <c r="J51" i="46"/>
  <c r="J52" i="46"/>
  <c r="J34" i="46"/>
  <c r="J16" i="46"/>
  <c r="J61" i="46"/>
  <c r="J75" i="46"/>
  <c r="J53" i="46"/>
  <c r="J7" i="46"/>
  <c r="J36" i="46"/>
  <c r="J39" i="46"/>
  <c r="J76" i="46"/>
  <c r="J73" i="46"/>
  <c r="J35" i="46"/>
  <c r="J63" i="46"/>
  <c r="J8" i="46"/>
  <c r="J59" i="46"/>
  <c r="J22" i="46"/>
  <c r="J48" i="46"/>
  <c r="J12" i="46"/>
  <c r="J9" i="46"/>
  <c r="J57" i="46"/>
  <c r="J31" i="46"/>
  <c r="J60" i="46"/>
  <c r="J27" i="46"/>
  <c r="J29" i="46"/>
  <c r="J55" i="38"/>
  <c r="AX54" i="38"/>
  <c r="AX53" i="40"/>
  <c r="J54" i="40"/>
  <c r="AX54" i="40" s="1"/>
  <c r="AX55" i="38" l="1"/>
  <c r="J56" i="38"/>
  <c r="AX56" i="38" s="1"/>
</calcChain>
</file>

<file path=xl/comments1.xml><?xml version="1.0" encoding="utf-8"?>
<comments xmlns="http://schemas.openxmlformats.org/spreadsheetml/2006/main">
  <authors>
    <author>Author</author>
  </authors>
  <commentList>
    <comment ref="V9" authorId="0" shapeId="0">
      <text>
        <r>
          <rPr>
            <b/>
            <sz val="9"/>
            <color indexed="81"/>
            <rFont val="Tahoma"/>
            <family val="2"/>
          </rPr>
          <t>Originally T 1300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 xml:space="preserve">Originally T 0830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Originally T 1000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Originally S 2100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<sst xmlns="http://schemas.openxmlformats.org/spreadsheetml/2006/main" count="13298" uniqueCount="602">
  <si>
    <t>ESS ID</t>
  </si>
  <si>
    <t>Avaya ID</t>
  </si>
  <si>
    <t>Employee Name</t>
  </si>
  <si>
    <t>DOH</t>
  </si>
  <si>
    <t>Sales ID</t>
  </si>
  <si>
    <t>Dept</t>
  </si>
  <si>
    <t>Sun</t>
  </si>
  <si>
    <t>Mon</t>
  </si>
  <si>
    <t>Tue</t>
  </si>
  <si>
    <t>Wed</t>
  </si>
  <si>
    <t>Thu</t>
  </si>
  <si>
    <t>Fri</t>
  </si>
  <si>
    <t>Sat</t>
  </si>
  <si>
    <t>Supervisor</t>
  </si>
  <si>
    <t>Manager</t>
  </si>
  <si>
    <t>Lead</t>
  </si>
  <si>
    <t>OFF</t>
  </si>
  <si>
    <t>Breen, Mark</t>
  </si>
  <si>
    <t>Patterson, Alvin</t>
  </si>
  <si>
    <t>Albert, Christina</t>
  </si>
  <si>
    <t>Germony, June</t>
  </si>
  <si>
    <t>Waggoner, Lori</t>
  </si>
  <si>
    <t>Benish, Elisha</t>
  </si>
  <si>
    <t>McFall, Erin</t>
  </si>
  <si>
    <t>Birrueta Arellano, Neftali</t>
  </si>
  <si>
    <t>Oates, Eleanor</t>
  </si>
  <si>
    <t>Culley, Brad</t>
  </si>
  <si>
    <t>McLean, Michael</t>
  </si>
  <si>
    <t>Opper, Joshua</t>
  </si>
  <si>
    <t>Mood, Ken</t>
  </si>
  <si>
    <t>Koistinen, Shaun</t>
  </si>
  <si>
    <t>Garcia, Valentin</t>
  </si>
  <si>
    <t>Alvarez, Carlos</t>
  </si>
  <si>
    <t>Parkin-Rego, Kimberlee</t>
  </si>
  <si>
    <t>Greene, Alicia</t>
  </si>
  <si>
    <t>Paulson, Matthew</t>
  </si>
  <si>
    <t>Walker, Brett</t>
  </si>
  <si>
    <t>Bozovich, Lola</t>
  </si>
  <si>
    <t>Sinsel, Robert</t>
  </si>
  <si>
    <t>Ulrich, Michael</t>
  </si>
  <si>
    <t>Krussell, Jennifer</t>
  </si>
  <si>
    <t>Harley, Timothy</t>
  </si>
  <si>
    <t>Olson, Katherine</t>
  </si>
  <si>
    <t>Thompson, Danielle</t>
  </si>
  <si>
    <t>Albritton, Ahmed</t>
  </si>
  <si>
    <t>McLean, Neva</t>
  </si>
  <si>
    <t>Senft, Thomas</t>
  </si>
  <si>
    <t>Satra, Ellen</t>
  </si>
  <si>
    <t>Madamba, Anthony</t>
  </si>
  <si>
    <t>Olson, Dan</t>
  </si>
  <si>
    <t>Floirendo, Nicholas</t>
  </si>
  <si>
    <t>Martin, Gary</t>
  </si>
  <si>
    <t>Zornick, David</t>
  </si>
  <si>
    <t>Stevens, Amanda</t>
  </si>
  <si>
    <t>Roberts, Steven</t>
  </si>
  <si>
    <t>Gasbarre, Lynn</t>
  </si>
  <si>
    <t>Roberts, Melinda</t>
  </si>
  <si>
    <t>Cultice, Diana</t>
  </si>
  <si>
    <t>Demaris, Evan</t>
  </si>
  <si>
    <t>Banuelos, Lincoln</t>
  </si>
  <si>
    <t>Muzzy, Mark</t>
  </si>
  <si>
    <t>Ward, Barbara</t>
  </si>
  <si>
    <t>Gebhardt, Kelsey</t>
  </si>
  <si>
    <t>Conner, Mark</t>
  </si>
  <si>
    <t>Drefchinski, Jacob</t>
  </si>
  <si>
    <t>Lawrence, Rodney</t>
  </si>
  <si>
    <t>Aguilar, Angelica</t>
  </si>
  <si>
    <t>Qualman, Sophy</t>
  </si>
  <si>
    <t>Johannesen, Stephanie</t>
  </si>
  <si>
    <t>Slagle, Natasha</t>
  </si>
  <si>
    <t>Vasbinder, Ryan</t>
  </si>
  <si>
    <t>Zornes, Thomas</t>
  </si>
  <si>
    <t>EE ID</t>
  </si>
  <si>
    <t>Date</t>
  </si>
  <si>
    <t>Start</t>
  </si>
  <si>
    <t>Stop</t>
  </si>
  <si>
    <t>Day_1</t>
  </si>
  <si>
    <t>Day_2</t>
  </si>
  <si>
    <t>Day_3</t>
  </si>
  <si>
    <t>Day_4</t>
  </si>
  <si>
    <t>Day_5</t>
  </si>
  <si>
    <t>Day_6</t>
  </si>
  <si>
    <t>Day_7</t>
  </si>
  <si>
    <t>Code</t>
  </si>
  <si>
    <t>Shift Start</t>
  </si>
  <si>
    <t>DOW</t>
  </si>
  <si>
    <t>Shift Stop</t>
  </si>
  <si>
    <t>Help Line</t>
  </si>
  <si>
    <t>Team MTG</t>
  </si>
  <si>
    <t>Admin</t>
  </si>
  <si>
    <t>RTA</t>
  </si>
  <si>
    <t>Scheduled</t>
  </si>
  <si>
    <t>Totals</t>
  </si>
  <si>
    <t>0500</t>
  </si>
  <si>
    <t>1330</t>
  </si>
  <si>
    <t>0530</t>
  </si>
  <si>
    <t>1400</t>
  </si>
  <si>
    <t>0600</t>
  </si>
  <si>
    <t>1430</t>
  </si>
  <si>
    <t>1530</t>
  </si>
  <si>
    <t>0000</t>
  </si>
  <si>
    <t>1030</t>
  </si>
  <si>
    <t>1900</t>
  </si>
  <si>
    <t>0730</t>
  </si>
  <si>
    <t>1600</t>
  </si>
  <si>
    <t>0900</t>
  </si>
  <si>
    <t>1730</t>
  </si>
  <si>
    <t>0930</t>
  </si>
  <si>
    <t>1800</t>
  </si>
  <si>
    <t>0700</t>
  </si>
  <si>
    <t>2200</t>
  </si>
  <si>
    <t>1300</t>
  </si>
  <si>
    <t>2130</t>
  </si>
  <si>
    <t>0830</t>
  </si>
  <si>
    <t>1700</t>
  </si>
  <si>
    <t>2300</t>
  </si>
  <si>
    <t>1130</t>
  </si>
  <si>
    <t>2030</t>
  </si>
  <si>
    <t>1500</t>
  </si>
  <si>
    <t>2230</t>
  </si>
  <si>
    <t>2330</t>
  </si>
  <si>
    <t>0800</t>
  </si>
  <si>
    <t>1100</t>
  </si>
  <si>
    <t>2000</t>
  </si>
  <si>
    <t>Quick Codes</t>
  </si>
  <si>
    <t>Description</t>
  </si>
  <si>
    <t>HL</t>
  </si>
  <si>
    <t>TM</t>
  </si>
  <si>
    <t>Team Meeting</t>
  </si>
  <si>
    <t>Lunch</t>
  </si>
  <si>
    <t>ADM</t>
  </si>
  <si>
    <t>RTA Sup / RTA Runner</t>
  </si>
  <si>
    <t>30 Minute Interval Counts</t>
  </si>
  <si>
    <t>Help Line Calls / Interval</t>
  </si>
  <si>
    <t>Help Line Support Needed</t>
  </si>
  <si>
    <t>Support in Help Line</t>
  </si>
  <si>
    <t>Support in Admin</t>
  </si>
  <si>
    <t>Suport in RTA</t>
  </si>
  <si>
    <t>Misc Meet</t>
  </si>
  <si>
    <t>Misc</t>
  </si>
  <si>
    <t>0630</t>
  </si>
  <si>
    <t>1000</t>
  </si>
  <si>
    <t>1830</t>
  </si>
  <si>
    <t>1930</t>
  </si>
  <si>
    <t>Supervisors in Help Line</t>
  </si>
  <si>
    <t>Break (1 | 2)</t>
  </si>
  <si>
    <t>B1 | B2</t>
  </si>
  <si>
    <t xml:space="preserve">Employee Name </t>
  </si>
  <si>
    <t>1200</t>
  </si>
  <si>
    <t>1230</t>
  </si>
  <si>
    <t>1630</t>
  </si>
  <si>
    <t>2100</t>
  </si>
  <si>
    <t xml:space="preserve"> </t>
  </si>
  <si>
    <t xml:space="preserve">  </t>
  </si>
  <si>
    <t>IF(AND(Table5[@[Shift Start]:[Shift Start]]="",Table5[@[Shift Stop]:[Shift Stop]]=""),"",IF(Table5[@[Shift Start]:[Shift Start]]=K$7,"s",IF(Table5[@[Shift Stop]:[Shift Stop]]=K$7,"f","")))</t>
  </si>
  <si>
    <t>Formula</t>
  </si>
  <si>
    <t>Fill Start and Stop</t>
  </si>
  <si>
    <t>Day_8</t>
  </si>
  <si>
    <t>Day_9</t>
  </si>
  <si>
    <t>Day_10</t>
  </si>
  <si>
    <t>Day_11</t>
  </si>
  <si>
    <t>Day_12</t>
  </si>
  <si>
    <t>Day_13</t>
  </si>
  <si>
    <t>Day_14</t>
  </si>
  <si>
    <t>IF(AND($D10="",$E10=""),"",IF($D10=K$7,"s",IF($E10=K$7,"f","")))</t>
  </si>
  <si>
    <t>Fill Start and Stop no Tbl ref</t>
  </si>
  <si>
    <t>Sunday</t>
  </si>
  <si>
    <t>Monday</t>
  </si>
  <si>
    <t>Tuesday</t>
  </si>
  <si>
    <t>Wednesday</t>
  </si>
  <si>
    <t>Thursday</t>
  </si>
  <si>
    <t>Friday</t>
  </si>
  <si>
    <t>Help Line W1</t>
  </si>
  <si>
    <t>RTA W1</t>
  </si>
  <si>
    <t>Admin W1</t>
  </si>
  <si>
    <t>TM W1</t>
  </si>
  <si>
    <t>Help Line W2</t>
  </si>
  <si>
    <t>RTA W2</t>
  </si>
  <si>
    <t>Admin W2</t>
  </si>
  <si>
    <t>TM W2</t>
  </si>
  <si>
    <t>S</t>
  </si>
  <si>
    <t>M</t>
  </si>
  <si>
    <t>T</t>
  </si>
  <si>
    <t>W</t>
  </si>
  <si>
    <t>R</t>
  </si>
  <si>
    <t>F</t>
  </si>
  <si>
    <t>Y</t>
  </si>
  <si>
    <t>Interval</t>
  </si>
  <si>
    <t>Lead / Sup</t>
  </si>
  <si>
    <t>Table</t>
  </si>
  <si>
    <t>Sun_W1</t>
  </si>
  <si>
    <t>Mon_W1</t>
  </si>
  <si>
    <t>Tue_W1</t>
  </si>
  <si>
    <t>Wed_W1</t>
  </si>
  <si>
    <t>Thu_W1</t>
  </si>
  <si>
    <t>Fri_W1</t>
  </si>
  <si>
    <t>Sat_W1</t>
  </si>
  <si>
    <t>Sun_W2</t>
  </si>
  <si>
    <t>Mon_W2</t>
  </si>
  <si>
    <t>Tue_W2</t>
  </si>
  <si>
    <t>Wed_W2</t>
  </si>
  <si>
    <t>Thu_W2</t>
  </si>
  <si>
    <t>Fri_W2</t>
  </si>
  <si>
    <t>Sat_W2</t>
  </si>
  <si>
    <t>Day:</t>
  </si>
  <si>
    <t>Date:</t>
  </si>
  <si>
    <t>Current Interval:</t>
  </si>
  <si>
    <t>Manager:</t>
  </si>
  <si>
    <t>Name:</t>
  </si>
  <si>
    <t>Individual Schedule</t>
  </si>
  <si>
    <t>All Blanks</t>
  </si>
  <si>
    <t>RNNR</t>
  </si>
  <si>
    <t>RTA Runner</t>
  </si>
  <si>
    <t>RTA Sup</t>
  </si>
  <si>
    <t>Cover RTA</t>
  </si>
  <si>
    <t>CRTA</t>
  </si>
  <si>
    <t>Schedules Count</t>
  </si>
  <si>
    <t>Planned</t>
  </si>
  <si>
    <t>p</t>
  </si>
  <si>
    <t>Column1</t>
  </si>
  <si>
    <t>U</t>
  </si>
  <si>
    <t>Unplanned</t>
  </si>
  <si>
    <t>COACHING</t>
  </si>
  <si>
    <t>Coaching</t>
  </si>
  <si>
    <t>-</t>
  </si>
  <si>
    <t>..</t>
  </si>
  <si>
    <t>Harding, Mickeya</t>
  </si>
  <si>
    <t>Ostby, Paige</t>
  </si>
  <si>
    <t/>
  </si>
  <si>
    <t>Fairbrother, Amy</t>
  </si>
  <si>
    <t>Suarez, Alyssa</t>
  </si>
  <si>
    <t>Fiskvik, Christopher</t>
  </si>
  <si>
    <t>Wonser, Shannon</t>
  </si>
  <si>
    <t>Shiraki, Suzy</t>
  </si>
  <si>
    <t>Taylor, Sean</t>
  </si>
  <si>
    <t>Britton, Michael</t>
  </si>
  <si>
    <t>Goss, Ian</t>
  </si>
  <si>
    <t>Fine, Melissa</t>
  </si>
  <si>
    <t>Suhama, Ryan</t>
  </si>
  <si>
    <t>Hart, Ashley</t>
  </si>
  <si>
    <t>HL B1</t>
  </si>
  <si>
    <t>LUNCH</t>
  </si>
  <si>
    <t>HL B2</t>
  </si>
  <si>
    <t>0030</t>
  </si>
  <si>
    <t>0100</t>
  </si>
  <si>
    <t>Donaca, Jeff</t>
  </si>
  <si>
    <t>Moretz, David</t>
  </si>
  <si>
    <t>B1 HL</t>
  </si>
  <si>
    <t>B2 HL</t>
  </si>
  <si>
    <t>Ahmed Hassan, Zahra</t>
  </si>
  <si>
    <t>8am</t>
  </si>
  <si>
    <t>8:30am</t>
  </si>
  <si>
    <t>9am</t>
  </si>
  <si>
    <t>9:30am</t>
  </si>
  <si>
    <t>10am</t>
  </si>
  <si>
    <t>10:30am</t>
  </si>
  <si>
    <t>11am</t>
  </si>
  <si>
    <t>11:30am</t>
  </si>
  <si>
    <t>12pm</t>
  </si>
  <si>
    <t>12:30pm</t>
  </si>
  <si>
    <t>1pm</t>
  </si>
  <si>
    <t>1:30pm</t>
  </si>
  <si>
    <t>2pm</t>
  </si>
  <si>
    <t>2:30pm</t>
  </si>
  <si>
    <t>3pm</t>
  </si>
  <si>
    <t>3:30pm</t>
  </si>
  <si>
    <t>4pm</t>
  </si>
  <si>
    <t>4:30pm</t>
  </si>
  <si>
    <t>5pm</t>
  </si>
  <si>
    <t>5:30pm</t>
  </si>
  <si>
    <t>Mclean, Neva</t>
  </si>
  <si>
    <t>Ledesma, Paul</t>
  </si>
  <si>
    <t>Danielson, Julie</t>
  </si>
  <si>
    <t>24608</t>
  </si>
  <si>
    <t>13426</t>
  </si>
  <si>
    <t>37357</t>
  </si>
  <si>
    <t>70401</t>
  </si>
  <si>
    <t>21363</t>
  </si>
  <si>
    <t>60933</t>
  </si>
  <si>
    <t>42730</t>
  </si>
  <si>
    <t>14587</t>
  </si>
  <si>
    <t>11503</t>
  </si>
  <si>
    <t>31514</t>
  </si>
  <si>
    <t>15628</t>
  </si>
  <si>
    <t>31682</t>
  </si>
  <si>
    <t>13723</t>
  </si>
  <si>
    <t>70832</t>
  </si>
  <si>
    <t>13565</t>
  </si>
  <si>
    <t>25197</t>
  </si>
  <si>
    <t>17825</t>
  </si>
  <si>
    <t>70423</t>
  </si>
  <si>
    <t>24622</t>
  </si>
  <si>
    <t>19139</t>
  </si>
  <si>
    <t>61722</t>
  </si>
  <si>
    <t>27044</t>
  </si>
  <si>
    <t>25761</t>
  </si>
  <si>
    <t>45164</t>
  </si>
  <si>
    <t>70008</t>
  </si>
  <si>
    <t>28814</t>
  </si>
  <si>
    <t>71705</t>
  </si>
  <si>
    <t>36354</t>
  </si>
  <si>
    <t>38465</t>
  </si>
  <si>
    <t>26201</t>
  </si>
  <si>
    <t>70039</t>
  </si>
  <si>
    <t>71732</t>
  </si>
  <si>
    <t>16027</t>
  </si>
  <si>
    <t>70028</t>
  </si>
  <si>
    <t>17049</t>
  </si>
  <si>
    <t>36123</t>
  </si>
  <si>
    <t>25208</t>
  </si>
  <si>
    <t>71708</t>
  </si>
  <si>
    <t>18227</t>
  </si>
  <si>
    <t>71722</t>
  </si>
  <si>
    <t>70536</t>
  </si>
  <si>
    <t>37157</t>
  </si>
  <si>
    <t>12235</t>
  </si>
  <si>
    <t>17707</t>
  </si>
  <si>
    <t>20835</t>
  </si>
  <si>
    <t>71706</t>
  </si>
  <si>
    <t>71724</t>
  </si>
  <si>
    <t>18183</t>
  </si>
  <si>
    <t>48000</t>
  </si>
  <si>
    <t>70412</t>
  </si>
  <si>
    <t>47964</t>
  </si>
  <si>
    <t>20684</t>
  </si>
  <si>
    <t>18193</t>
  </si>
  <si>
    <t>06:00-14:30</t>
  </si>
  <si>
    <t>05:30-14:00</t>
  </si>
  <si>
    <t>07:00-16:00</t>
  </si>
  <si>
    <t>05:00-13:30</t>
  </si>
  <si>
    <t>15:30-00:00</t>
  </si>
  <si>
    <t>16:30-01:00</t>
  </si>
  <si>
    <t>07:30-16:00</t>
  </si>
  <si>
    <t>09:00-17:30</t>
  </si>
  <si>
    <t>12:00-23:00</t>
  </si>
  <si>
    <t>08:00-16:30</t>
  </si>
  <si>
    <t>11:30-20:00</t>
  </si>
  <si>
    <t>06:30-15:00</t>
  </si>
  <si>
    <t>12:00-20:30</t>
  </si>
  <si>
    <t>13:00-21:30</t>
  </si>
  <si>
    <t>05:00-16:00</t>
  </si>
  <si>
    <t>10:30-19:00</t>
  </si>
  <si>
    <t>12:30-21:00</t>
  </si>
  <si>
    <t>10:30-19:30</t>
  </si>
  <si>
    <t>05:30-14:30</t>
  </si>
  <si>
    <t>16:00-01:00</t>
  </si>
  <si>
    <t>13:00-22:00</t>
  </si>
  <si>
    <t>14:00-23:00</t>
  </si>
  <si>
    <t>15:00-00:00</t>
  </si>
  <si>
    <t>12:00-21:00</t>
  </si>
  <si>
    <t>08:00-17:00</t>
  </si>
  <si>
    <t>04:45-13:45</t>
  </si>
  <si>
    <t>08:30-17:30</t>
  </si>
  <si>
    <t>09:30-18:30</t>
  </si>
  <si>
    <t>05:00-14:00</t>
  </si>
  <si>
    <t>14:30-23:30</t>
  </si>
  <si>
    <t>10:00-19:00</t>
  </si>
  <si>
    <t>06:00-15:00</t>
  </si>
  <si>
    <t>11:00-20:00</t>
  </si>
  <si>
    <t>12:30-21:30</t>
  </si>
  <si>
    <t>Floor Supervisor</t>
  </si>
  <si>
    <t>B1 ADM</t>
  </si>
  <si>
    <t>ADM B2</t>
  </si>
  <si>
    <t>B2 ADM</t>
  </si>
  <si>
    <t>ADM B1</t>
  </si>
  <si>
    <t>Total</t>
  </si>
  <si>
    <t>SIDE BY SIDE</t>
  </si>
  <si>
    <t>SBS Coaching</t>
  </si>
  <si>
    <t>Runner Count</t>
  </si>
  <si>
    <t>Madamba, Rocky</t>
  </si>
  <si>
    <t>A</t>
  </si>
  <si>
    <t>T3</t>
  </si>
  <si>
    <t>Sup Training</t>
  </si>
  <si>
    <t>Sup Schedules</t>
  </si>
  <si>
    <t>08:00--17:00</t>
  </si>
  <si>
    <t>07:30-16:30</t>
  </si>
  <si>
    <t>06:30-15:30</t>
  </si>
  <si>
    <t>Name</t>
  </si>
  <si>
    <t>Agent shift</t>
  </si>
  <si>
    <t>Team Meeting Times</t>
  </si>
  <si>
    <t>Team KO meeting</t>
  </si>
  <si>
    <t>Team MP meeting</t>
  </si>
  <si>
    <t>Pratt, Chris</t>
  </si>
  <si>
    <t>24877</t>
  </si>
  <si>
    <t>Lead Billing</t>
  </si>
  <si>
    <t>Sup, Customer Service</t>
  </si>
  <si>
    <t>Mgr, Cust Care Trning Delivery</t>
  </si>
  <si>
    <t>Corbridge, Johanna</t>
  </si>
  <si>
    <t>Coughlin, Patrick</t>
  </si>
  <si>
    <t>Walbrun, Matthew</t>
  </si>
  <si>
    <t>Woodruff, Dale</t>
  </si>
  <si>
    <t>70110</t>
  </si>
  <si>
    <t>33335</t>
  </si>
  <si>
    <t>37327</t>
  </si>
  <si>
    <t>16138</t>
  </si>
  <si>
    <t>Facilitator</t>
  </si>
  <si>
    <t>Facilitator II</t>
  </si>
  <si>
    <t>Mgr, Customer Service</t>
  </si>
  <si>
    <t>07:00-15:30</t>
  </si>
  <si>
    <t>9:00-17:30</t>
  </si>
  <si>
    <t>11:00-19:30</t>
  </si>
  <si>
    <t>14:00-01:00</t>
  </si>
  <si>
    <t>16:00-25:00</t>
  </si>
  <si>
    <t>Week 1</t>
  </si>
  <si>
    <t>Saturday</t>
  </si>
  <si>
    <t>Week 2</t>
  </si>
  <si>
    <t>Tues 1pm-2pm</t>
  </si>
  <si>
    <t>Wed 4p-5p</t>
  </si>
  <si>
    <t>Mon 2:30-3:30p</t>
  </si>
  <si>
    <t>Mon 1-2p</t>
  </si>
  <si>
    <t>&lt;-Edit Mode</t>
  </si>
  <si>
    <t>Berry, Melanie</t>
  </si>
  <si>
    <t>Salas, Sheila</t>
  </si>
  <si>
    <t>Johnson, Jezsamyn</t>
  </si>
  <si>
    <t>Condon, Heather</t>
  </si>
  <si>
    <t>Hampton, Tammy</t>
  </si>
  <si>
    <t>Delgadillo, Marcos</t>
  </si>
  <si>
    <t>Felice, Holly</t>
  </si>
  <si>
    <t>Zawacky, Susan</t>
  </si>
  <si>
    <t>Meier, Karen</t>
  </si>
  <si>
    <t>Berrien, Chyenne</t>
  </si>
  <si>
    <t>Akuna, Barbara</t>
  </si>
  <si>
    <t>Fenn, Monica</t>
  </si>
  <si>
    <t>Hardie, Felecia</t>
  </si>
  <si>
    <t>Tyler, Jeremee</t>
  </si>
  <si>
    <t>13:30-22:00</t>
  </si>
  <si>
    <t>05:15-13:45</t>
  </si>
  <si>
    <t>09:30-18:00</t>
  </si>
  <si>
    <t>Sup</t>
  </si>
  <si>
    <t>Team ZAH meeting</t>
  </si>
  <si>
    <t>Team RL meeting</t>
  </si>
  <si>
    <t>PROJECT</t>
  </si>
  <si>
    <t>Moretz, Dave</t>
  </si>
  <si>
    <t>Agents</t>
  </si>
  <si>
    <t>Staley, Alexander</t>
  </si>
  <si>
    <t>Team Matt TM</t>
  </si>
  <si>
    <t>Team KO TM</t>
  </si>
  <si>
    <t>Interview</t>
  </si>
  <si>
    <t>Team ZAH TM</t>
  </si>
  <si>
    <t>Team RL TM</t>
  </si>
  <si>
    <t>Sup Hours</t>
  </si>
  <si>
    <t>Sup Days</t>
  </si>
  <si>
    <t>Mgr</t>
  </si>
  <si>
    <t>Mgr TM</t>
  </si>
  <si>
    <t>Avail DOW</t>
  </si>
  <si>
    <t>Avail Times</t>
  </si>
  <si>
    <t>TM DOW</t>
  </si>
  <si>
    <t>TM Time</t>
  </si>
  <si>
    <t>F==MTWR</t>
  </si>
  <si>
    <t>Kathy</t>
  </si>
  <si>
    <t>M 1430-1530</t>
  </si>
  <si>
    <t>1330-1930</t>
  </si>
  <si>
    <t>FYSM==R</t>
  </si>
  <si>
    <t>F, R</t>
  </si>
  <si>
    <t>FY==TWR</t>
  </si>
  <si>
    <t>Rodney</t>
  </si>
  <si>
    <t>W 1600-1700</t>
  </si>
  <si>
    <t>T, W</t>
  </si>
  <si>
    <t>1530-1930</t>
  </si>
  <si>
    <t>Matt</t>
  </si>
  <si>
    <t>M 1300-1400</t>
  </si>
  <si>
    <t>0800-1300</t>
  </si>
  <si>
    <t>1200-1800</t>
  </si>
  <si>
    <t>=Y=MTWR</t>
  </si>
  <si>
    <t>Zahra</t>
  </si>
  <si>
    <t xml:space="preserve">T 1300-1400 </t>
  </si>
  <si>
    <t>1400-2000</t>
  </si>
  <si>
    <t>F===TWR</t>
  </si>
  <si>
    <t>1630-2130</t>
  </si>
  <si>
    <t>FY=MTW=</t>
  </si>
  <si>
    <t>0900-1330</t>
  </si>
  <si>
    <t>0700-1230</t>
  </si>
  <si>
    <t>F, S</t>
  </si>
  <si>
    <t>0800-1400</t>
  </si>
  <si>
    <t>FYSMT==</t>
  </si>
  <si>
    <t>F, Y, S</t>
  </si>
  <si>
    <t>1230-1930</t>
  </si>
  <si>
    <t>=YSMT==</t>
  </si>
  <si>
    <t>F, Y</t>
  </si>
  <si>
    <t>1600-1930</t>
  </si>
  <si>
    <t>F, T, W</t>
  </si>
  <si>
    <t>0800-1230</t>
  </si>
  <si>
    <t>F, Y, S, R</t>
  </si>
  <si>
    <t>1330-2000</t>
  </si>
  <si>
    <t>0930-1030</t>
  </si>
  <si>
    <t>==SMTWR</t>
  </si>
  <si>
    <t>W, R</t>
  </si>
  <si>
    <t>F, T</t>
  </si>
  <si>
    <t>0930-1330</t>
  </si>
  <si>
    <t>1630-2100</t>
  </si>
  <si>
    <t>0730-1300</t>
  </si>
  <si>
    <t>0700-1000</t>
  </si>
  <si>
    <t>0830-1200</t>
  </si>
  <si>
    <t>1030-1200</t>
  </si>
  <si>
    <t>0900-1100</t>
  </si>
  <si>
    <t>TM PREP</t>
  </si>
  <si>
    <t>STEVENS TM</t>
  </si>
  <si>
    <t>OATES TM</t>
  </si>
  <si>
    <t>ALVAREZ TM</t>
  </si>
  <si>
    <t>TM ULRICH</t>
  </si>
  <si>
    <t>MCFALL TM</t>
  </si>
  <si>
    <t>N MCLEAN TM</t>
  </si>
  <si>
    <t>MADAMBA TM</t>
  </si>
  <si>
    <t>OLSON TM</t>
  </si>
  <si>
    <t>ZORNICK TM</t>
  </si>
  <si>
    <t>GERMONY TM</t>
  </si>
  <si>
    <t>GARCIA TM</t>
  </si>
  <si>
    <t>VASBINDER TM</t>
  </si>
  <si>
    <t>AGUILAR TM</t>
  </si>
  <si>
    <t>KPR TM</t>
  </si>
  <si>
    <t>MARTIN TM</t>
  </si>
  <si>
    <t>BANUELOS TM</t>
  </si>
  <si>
    <t>SENFT TM</t>
  </si>
  <si>
    <t>CONNER TM</t>
  </si>
  <si>
    <t>DONACA TM</t>
  </si>
  <si>
    <t>MCLEAN TM</t>
  </si>
  <si>
    <t>Lead Name</t>
  </si>
  <si>
    <t>Week 1 Pairing</t>
  </si>
  <si>
    <t>Time</t>
  </si>
  <si>
    <t>Sup Name</t>
  </si>
  <si>
    <t>Reason</t>
  </si>
  <si>
    <t>Week 2 Pairing</t>
  </si>
  <si>
    <t>Sup Name2</t>
  </si>
  <si>
    <t>Mon 12pm</t>
  </si>
  <si>
    <t>Fri 1:00pm</t>
  </si>
  <si>
    <t>Fri 12:30pm</t>
  </si>
  <si>
    <t>Mon 12:30pm</t>
  </si>
  <si>
    <t>Tue 6:00pm</t>
  </si>
  <si>
    <t>Tue 8:30pm</t>
  </si>
  <si>
    <t>Sun 12:30pm</t>
  </si>
  <si>
    <t>Fri 12:00pm</t>
  </si>
  <si>
    <t>Mon 6:00pm</t>
  </si>
  <si>
    <t>Fri 1:30pm</t>
  </si>
  <si>
    <t>Sat 3:00pm</t>
  </si>
  <si>
    <t>Sun 11:30am</t>
  </si>
  <si>
    <t>Wed 12:00pm</t>
  </si>
  <si>
    <t>Wed 6:00pm</t>
  </si>
  <si>
    <t>Sat 1:00pm</t>
  </si>
  <si>
    <t>Mon 1:00pm</t>
  </si>
  <si>
    <t>Thurs 3:00pm</t>
  </si>
  <si>
    <t>Sat 1:30pm</t>
  </si>
  <si>
    <t>Tue 1:00pm</t>
  </si>
  <si>
    <t>Deason, Karina</t>
  </si>
  <si>
    <t>High Rep Assist (24%)</t>
  </si>
  <si>
    <t>Doyle, Christian</t>
  </si>
  <si>
    <t>High Rep Assist (13%)</t>
  </si>
  <si>
    <t>Sat 12:00pm</t>
  </si>
  <si>
    <t>Mitchell, Nylah</t>
  </si>
  <si>
    <t>McLean, Mike</t>
  </si>
  <si>
    <t>High Rep Assist (11%)</t>
  </si>
  <si>
    <t>Jackson, Shakeria</t>
  </si>
  <si>
    <t>High Rep Assist (10%)</t>
  </si>
  <si>
    <t>Rockwell, Sarah</t>
  </si>
  <si>
    <t>High Rep Assist (9%)</t>
  </si>
  <si>
    <t>Mosley, Kristen</t>
  </si>
  <si>
    <t>High Escalations (8.5%)</t>
  </si>
  <si>
    <t>Lawhead, Allen</t>
  </si>
  <si>
    <t>High Escalations</t>
  </si>
  <si>
    <t>High Escalations (8.3%)</t>
  </si>
  <si>
    <t>Godley, Andraus</t>
  </si>
  <si>
    <t>Alcaraz, Jordan</t>
  </si>
  <si>
    <t>Lavalley, Taylor</t>
  </si>
  <si>
    <t>Bartolaba, Denzel</t>
  </si>
  <si>
    <t>Parkin-Rego, Kimberly</t>
  </si>
  <si>
    <t>Bailey, Jennifer</t>
  </si>
  <si>
    <t>Jadid, Mary</t>
  </si>
  <si>
    <t>Nounou, Andrea</t>
  </si>
  <si>
    <t>Bacon, Madison</t>
  </si>
  <si>
    <t>Zeller, David</t>
  </si>
  <si>
    <t>Mansfield, Lisa</t>
  </si>
  <si>
    <t>Hanson, Sarah</t>
  </si>
  <si>
    <t>Clifford, Heather</t>
  </si>
  <si>
    <t>Thompson, Angela J</t>
  </si>
  <si>
    <t>Harmon, Susan</t>
  </si>
  <si>
    <t>Green, Jason</t>
  </si>
  <si>
    <t>Westmoreland, Hecotr</t>
  </si>
  <si>
    <t>Holbrook, Rebecca</t>
  </si>
  <si>
    <t>VOC</t>
  </si>
  <si>
    <t>T, R</t>
  </si>
  <si>
    <t>Real-Time Schedule</t>
  </si>
  <si>
    <t>hl</t>
  </si>
  <si>
    <t>HL Count</t>
  </si>
  <si>
    <t>Austin Harris</t>
  </si>
  <si>
    <t>April Mason</t>
  </si>
  <si>
    <t>Heather Condon</t>
  </si>
  <si>
    <t>11:30-19:30</t>
  </si>
  <si>
    <t>Harris, Austin</t>
  </si>
  <si>
    <t>Mason, April</t>
  </si>
  <si>
    <t>EL Forecast</t>
  </si>
  <si>
    <t>EL Forecast Count</t>
  </si>
  <si>
    <t>HL Requirements</t>
  </si>
  <si>
    <t>HL Over/Under</t>
  </si>
  <si>
    <t xml:space="preserve">EL Forecast </t>
  </si>
  <si>
    <t>Ibanez, Margaret</t>
  </si>
  <si>
    <t>Curtis, Mary</t>
  </si>
  <si>
    <t>Seekins, Paula</t>
  </si>
  <si>
    <t>Roof, Katie</t>
  </si>
  <si>
    <t>Wallace, Ashley</t>
  </si>
  <si>
    <t>Aronson, Erika</t>
  </si>
  <si>
    <t>Lucero, Jennifer</t>
  </si>
  <si>
    <t>Cultice TM</t>
  </si>
  <si>
    <t>Obika, Toluwapemi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</si>
</sst>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m/d/yy;@"/>
    <numFmt numFmtId="165" formatCode="0000"/>
    <numFmt numFmtId="166" formatCode="m/d;@"/>
    <numFmt numFmtId="167" formatCode="h:mm;@"/>
    <numFmt numFmtId="168" formatCode="####"/>
    <numFmt numFmtId="169" formatCode="mm/dd/yy;@"/>
    <numFmt numFmtId="170" formatCode="0.0"/>
  </numFmts>
  <fonts count="7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2"/>
    </font>
    <font>
      <sz val="10"/>
      <color indexed="8"/>
      <name val="Arial"/>
      <family val="2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</font>
    <font>
      <sz val="9"/>
      <color theme="1"/>
      <name val="Calibri"/>
      <family val="2"/>
    </font>
    <font>
      <b/>
      <sz val="10"/>
      <color theme="0"/>
      <name val="Cambria"/>
      <family val="1"/>
      <scheme val="major"/>
    </font>
    <font>
      <b/>
      <sz val="12"/>
      <color theme="1"/>
      <name val="Cambria"/>
      <family val="1"/>
      <scheme val="major"/>
    </font>
    <font>
      <b/>
      <sz val="8"/>
      <color theme="1"/>
      <name val="Cambria"/>
      <family val="1"/>
      <scheme val="maj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7"/>
      <name val="Calibri"/>
      <family val="2"/>
    </font>
    <font>
      <b/>
      <sz val="10"/>
      <color rgb="FF9C0006"/>
      <name val="Calibri"/>
      <family val="2"/>
    </font>
    <font>
      <b/>
      <sz val="10"/>
      <color rgb="FF006100"/>
      <name val="Calibri"/>
      <family val="2"/>
    </font>
    <font>
      <b/>
      <sz val="10"/>
      <color theme="3"/>
      <name val="Calibri"/>
      <family val="2"/>
    </font>
    <font>
      <b/>
      <sz val="10"/>
      <color theme="2" tint="-0.749961851863155"/>
      <name val="Calibri"/>
      <family val="2"/>
    </font>
    <font>
      <b/>
      <sz val="10"/>
      <color theme="8" tint="-0.24994659260841701"/>
      <name val="Calibri"/>
      <family val="2"/>
    </font>
    <font>
      <b/>
      <sz val="10"/>
      <color theme="3"/>
      <name val="Cambria"/>
      <family val="1"/>
      <scheme val="major"/>
    </font>
    <font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mbria"/>
      <family val="1"/>
      <scheme val="major"/>
    </font>
    <font>
      <sz val="9"/>
      <color theme="1"/>
      <name val="Calibri"/>
      <family val="2"/>
      <scheme val="minor"/>
    </font>
    <font>
      <b/>
      <sz val="14"/>
      <color theme="1"/>
      <name val="Cambria"/>
      <family val="1"/>
      <scheme val="major"/>
    </font>
    <font>
      <sz val="9"/>
      <name val="Calibri"/>
      <family val="2"/>
      <scheme val="minor"/>
    </font>
    <font>
      <b/>
      <sz val="11"/>
      <color theme="0"/>
      <name val="Cambria"/>
      <family val="1"/>
      <scheme val="major"/>
    </font>
    <font>
      <b/>
      <sz val="11"/>
      <color theme="1"/>
      <name val="Cambria"/>
      <family val="1"/>
      <scheme val="major"/>
    </font>
    <font>
      <sz val="11"/>
      <color theme="0"/>
      <name val="Calibri"/>
      <family val="2"/>
      <scheme val="minor"/>
    </font>
    <font>
      <b/>
      <sz val="16"/>
      <color theme="3"/>
      <name val="Cambria"/>
      <family val="1"/>
      <scheme val="major"/>
    </font>
    <font>
      <sz val="11"/>
      <color theme="3"/>
      <name val="Cambria"/>
      <family val="1"/>
      <scheme val="major"/>
    </font>
    <font>
      <sz val="10"/>
      <color theme="3"/>
      <name val="Cambria"/>
      <family val="1"/>
      <scheme val="major"/>
    </font>
    <font>
      <b/>
      <sz val="10"/>
      <color rgb="FF006100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Calibri"/>
      <family val="2"/>
    </font>
    <font>
      <sz val="8"/>
      <color theme="1"/>
      <name val="Cambria"/>
      <family val="1"/>
      <scheme val="maj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sz val="10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8"/>
      <color theme="5" tint="-0.24994659260841701"/>
      <name val="Calibri"/>
      <family val="2"/>
      <scheme val="minor"/>
    </font>
    <font>
      <b/>
      <i/>
      <sz val="8"/>
      <color theme="5" tint="-0.2499465926084170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9" tint="-0.499984740745262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8"/>
      <color theme="3"/>
      <name val="Spectrum Sans ExtraBold"/>
      <family val="2"/>
    </font>
    <font>
      <sz val="11"/>
      <color theme="3"/>
      <name val="Spectrum Sans ExtraBold"/>
      <family val="2"/>
    </font>
    <font>
      <b/>
      <sz val="12"/>
      <color theme="1"/>
      <name val="Spectrum Sans ExtraBold"/>
      <family val="2"/>
    </font>
    <font>
      <b/>
      <sz val="12"/>
      <color theme="0"/>
      <name val="Cambria"/>
      <family val="1"/>
      <scheme val="maj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0"/>
      <color theme="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BBFFA3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</fills>
  <borders count="10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6" tint="0.59996337778862885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auto="1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auto="1"/>
      </right>
      <top style="thin">
        <color theme="1" tint="0.499984740745262"/>
      </top>
      <bottom/>
      <diagonal/>
    </border>
    <border>
      <left/>
      <right/>
      <top style="medium">
        <color auto="1"/>
      </top>
      <bottom style="medium">
        <color indexed="64"/>
      </bottom>
      <diagonal/>
    </border>
    <border>
      <left style="thin">
        <color theme="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theme="6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theme="1" tint="0.499984740745262"/>
      </right>
      <top/>
      <bottom style="thin">
        <color theme="6"/>
      </bottom>
      <diagonal/>
    </border>
    <border>
      <left/>
      <right style="thin">
        <color theme="1" tint="0.499984740745262"/>
      </right>
      <top style="thin">
        <color theme="6"/>
      </top>
      <bottom style="thin">
        <color theme="6"/>
      </bottom>
      <diagonal/>
    </border>
    <border>
      <left/>
      <right style="thin">
        <color theme="1" tint="0.499984740745262"/>
      </right>
      <top style="thin">
        <color theme="6"/>
      </top>
      <bottom/>
      <diagonal/>
    </border>
    <border>
      <left style="medium">
        <color indexed="64"/>
      </left>
      <right/>
      <top/>
      <bottom style="thin">
        <color theme="6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 style="thin">
        <color theme="6" tint="0.5999633777886288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6"/>
      </left>
      <right style="thin">
        <color theme="6"/>
      </right>
      <top style="thin">
        <color indexed="64"/>
      </top>
      <bottom style="thin">
        <color indexed="64"/>
      </bottom>
      <diagonal/>
    </border>
    <border>
      <left style="thin">
        <color theme="6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theme="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6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indexed="64"/>
      </top>
      <bottom style="thin">
        <color indexed="64"/>
      </bottom>
      <diagonal/>
    </border>
    <border>
      <left/>
      <right style="thin">
        <color theme="6" tint="0.59996337778862885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0"/>
      </left>
      <right/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rgb="FF000000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theme="0"/>
      </left>
      <right/>
      <top style="thin">
        <color theme="4"/>
      </top>
      <bottom style="thin">
        <color theme="4"/>
      </bottom>
      <diagonal/>
    </border>
    <border>
      <left/>
      <right/>
      <top/>
      <bottom style="thick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4"/>
      </bottom>
      <diagonal/>
    </border>
    <border>
      <left/>
      <right/>
      <top style="thick">
        <color rgb="FF009242"/>
      </top>
      <bottom/>
      <diagonal/>
    </border>
    <border>
      <left/>
      <right/>
      <top/>
      <bottom style="thick">
        <color rgb="FF009242"/>
      </bottom>
      <diagonal/>
    </border>
    <border>
      <left/>
      <right/>
      <top style="thin">
        <color rgb="FF009242"/>
      </top>
      <bottom style="thin">
        <color rgb="FF009242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</borders>
  <cellStyleXfs count="23">
    <xf numFmtId="0" fontId="0" fillId="0" borderId="0"/>
    <xf numFmtId="0" fontId="3" fillId="0" borderId="0">
      <alignment vertical="top"/>
    </xf>
    <xf numFmtId="0" fontId="3" fillId="0" borderId="0">
      <alignment vertical="top"/>
    </xf>
    <xf numFmtId="0" fontId="2" fillId="0" borderId="0"/>
    <xf numFmtId="0" fontId="8" fillId="0" borderId="0"/>
    <xf numFmtId="0" fontId="10" fillId="0" borderId="0"/>
    <xf numFmtId="0" fontId="17" fillId="3" borderId="0" applyProtection="0">
      <alignment horizontal="center" vertical="center"/>
    </xf>
    <xf numFmtId="0" fontId="16" fillId="7" borderId="0" applyProtection="0">
      <alignment horizontal="center" vertical="center"/>
    </xf>
    <xf numFmtId="0" fontId="18" fillId="2" borderId="0" applyProtection="0">
      <alignment horizontal="center" vertical="center"/>
    </xf>
    <xf numFmtId="0" fontId="19" fillId="8" borderId="0" applyProtection="0">
      <alignment horizontal="center" vertical="center"/>
    </xf>
    <xf numFmtId="0" fontId="20" fillId="9" borderId="0" applyProtection="0">
      <alignment horizontal="center" vertical="center"/>
    </xf>
    <xf numFmtId="0" fontId="9" fillId="10" borderId="1" applyProtection="0">
      <alignment horizontal="center" vertical="center"/>
    </xf>
    <xf numFmtId="0" fontId="21" fillId="11" borderId="0" applyProtection="0">
      <alignment horizontal="center" vertical="center"/>
    </xf>
    <xf numFmtId="0" fontId="36" fillId="28" borderId="0">
      <alignment horizontal="center" vertical="center" wrapText="1"/>
    </xf>
    <xf numFmtId="0" fontId="36" fillId="24" borderId="0">
      <alignment horizontal="center" vertical="center" wrapText="1"/>
    </xf>
    <xf numFmtId="0" fontId="36" fillId="23" borderId="0">
      <alignment horizontal="center" vertical="center" wrapText="1"/>
    </xf>
    <xf numFmtId="0" fontId="36" fillId="29" borderId="0">
      <alignment horizontal="center" vertical="center" wrapText="1"/>
    </xf>
    <xf numFmtId="0" fontId="36" fillId="30" borderId="0">
      <alignment horizontal="center" vertical="center" wrapText="1"/>
    </xf>
    <xf numFmtId="0" fontId="36" fillId="22" borderId="0">
      <alignment horizontal="center" vertical="center" wrapText="1"/>
    </xf>
    <xf numFmtId="0" fontId="36" fillId="25" borderId="0">
      <alignment horizontal="center" vertical="center" wrapText="1"/>
    </xf>
    <xf numFmtId="0" fontId="35" fillId="27" borderId="0">
      <alignment horizontal="center" vertical="center"/>
    </xf>
    <xf numFmtId="0" fontId="13" fillId="31" borderId="70">
      <alignment horizontal="center" vertical="center" wrapText="1"/>
    </xf>
    <xf numFmtId="49" fontId="45" fillId="38" borderId="0">
      <alignment horizontal="center" vertical="center"/>
      <protection locked="0"/>
    </xf>
  </cellStyleXfs>
  <cellXfs count="51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6" fillId="0" borderId="0" xfId="3" applyFont="1" applyAlignment="1">
      <alignment horizontal="center" vertical="center" wrapText="1"/>
    </xf>
    <xf numFmtId="0" fontId="6" fillId="0" borderId="0" xfId="0" applyFont="1"/>
    <xf numFmtId="0" fontId="12" fillId="0" borderId="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 wrapText="1"/>
    </xf>
    <xf numFmtId="0" fontId="6" fillId="14" borderId="1" xfId="0" applyFont="1" applyFill="1" applyBorder="1" applyAlignment="1">
      <alignment horizontal="center" vertical="center" wrapText="1"/>
    </xf>
    <xf numFmtId="0" fontId="6" fillId="15" borderId="1" xfId="0" applyFont="1" applyFill="1" applyBorder="1" applyAlignment="1">
      <alignment horizontal="center" vertical="center" wrapText="1"/>
    </xf>
    <xf numFmtId="0" fontId="23" fillId="0" borderId="0" xfId="0" applyFont="1"/>
    <xf numFmtId="0" fontId="6" fillId="16" borderId="1" xfId="0" applyFont="1" applyFill="1" applyBorder="1" applyAlignment="1">
      <alignment horizontal="center" vertical="center" wrapText="1"/>
    </xf>
    <xf numFmtId="0" fontId="6" fillId="17" borderId="1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22" fillId="0" borderId="0" xfId="0" applyFont="1" applyBorder="1" applyAlignment="1">
      <alignment vertical="center"/>
    </xf>
    <xf numFmtId="0" fontId="11" fillId="5" borderId="17" xfId="3" applyFont="1" applyFill="1" applyBorder="1" applyAlignment="1">
      <alignment horizontal="center" vertical="center" wrapText="1"/>
    </xf>
    <xf numFmtId="0" fontId="11" fillId="5" borderId="18" xfId="3" applyFont="1" applyFill="1" applyBorder="1" applyAlignment="1">
      <alignment horizontal="center" vertical="center" wrapText="1"/>
    </xf>
    <xf numFmtId="0" fontId="11" fillId="5" borderId="19" xfId="3" applyFont="1" applyFill="1" applyBorder="1" applyAlignment="1">
      <alignment horizontal="center" vertical="center" wrapText="1"/>
    </xf>
    <xf numFmtId="0" fontId="6" fillId="0" borderId="22" xfId="0" applyFont="1" applyBorder="1" applyAlignment="1">
      <alignment horizontal="left" vertical="center" indent="1"/>
    </xf>
    <xf numFmtId="0" fontId="6" fillId="0" borderId="22" xfId="0" applyFont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165" fontId="11" fillId="5" borderId="23" xfId="3" applyNumberFormat="1" applyFont="1" applyFill="1" applyBorder="1" applyAlignment="1">
      <alignment horizontal="center" vertical="center" wrapText="1"/>
    </xf>
    <xf numFmtId="0" fontId="6" fillId="0" borderId="26" xfId="0" applyFont="1" applyBorder="1" applyAlignment="1">
      <alignment horizontal="left" vertical="center" indent="1"/>
    </xf>
    <xf numFmtId="0" fontId="6" fillId="0" borderId="26" xfId="0" applyFont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32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24" fillId="0" borderId="0" xfId="0" applyFont="1"/>
    <xf numFmtId="0" fontId="25" fillId="0" borderId="27" xfId="3" applyFont="1" applyFill="1" applyBorder="1" applyAlignment="1">
      <alignment horizontal="center" vertical="center" wrapText="1"/>
    </xf>
    <xf numFmtId="0" fontId="25" fillId="0" borderId="24" xfId="3" applyFont="1" applyFill="1" applyBorder="1" applyAlignment="1">
      <alignment horizontal="center" vertical="center" wrapText="1"/>
    </xf>
    <xf numFmtId="0" fontId="25" fillId="0" borderId="28" xfId="3" applyFont="1" applyFill="1" applyBorder="1" applyAlignment="1">
      <alignment horizontal="center" vertical="center" wrapText="1"/>
    </xf>
    <xf numFmtId="165" fontId="25" fillId="0" borderId="24" xfId="3" applyNumberFormat="1" applyFont="1" applyFill="1" applyBorder="1" applyAlignment="1">
      <alignment horizontal="center" vertical="center" wrapText="1"/>
    </xf>
    <xf numFmtId="0" fontId="26" fillId="0" borderId="0" xfId="0" applyFont="1"/>
    <xf numFmtId="0" fontId="26" fillId="0" borderId="15" xfId="0" applyFont="1" applyBorder="1" applyAlignment="1">
      <alignment horizontal="left" vertical="center" indent="1"/>
    </xf>
    <xf numFmtId="0" fontId="26" fillId="0" borderId="15" xfId="0" applyFont="1" applyBorder="1" applyAlignment="1">
      <alignment horizontal="center" vertical="center"/>
    </xf>
    <xf numFmtId="0" fontId="26" fillId="6" borderId="15" xfId="0" applyFont="1" applyFill="1" applyBorder="1" applyAlignment="1">
      <alignment horizontal="center" vertical="center"/>
    </xf>
    <xf numFmtId="0" fontId="26" fillId="6" borderId="16" xfId="0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2" xfId="0" applyFont="1" applyBorder="1" applyAlignment="1">
      <alignment horizontal="left" vertical="center" indent="1"/>
    </xf>
    <xf numFmtId="0" fontId="26" fillId="0" borderId="12" xfId="0" applyFont="1" applyBorder="1" applyAlignment="1">
      <alignment horizontal="center" vertical="center"/>
    </xf>
    <xf numFmtId="0" fontId="26" fillId="6" borderId="12" xfId="0" applyFont="1" applyFill="1" applyBorder="1" applyAlignment="1">
      <alignment horizontal="center" vertical="center"/>
    </xf>
    <xf numFmtId="0" fontId="26" fillId="6" borderId="13" xfId="0" applyFont="1" applyFill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20" xfId="0" applyFont="1" applyBorder="1" applyAlignment="1">
      <alignment horizontal="left" vertical="center" indent="1"/>
    </xf>
    <xf numFmtId="0" fontId="26" fillId="0" borderId="20" xfId="0" applyFont="1" applyBorder="1" applyAlignment="1">
      <alignment horizontal="center" vertical="center"/>
    </xf>
    <xf numFmtId="0" fontId="26" fillId="6" borderId="20" xfId="0" applyFont="1" applyFill="1" applyBorder="1" applyAlignment="1">
      <alignment horizontal="center" vertical="center"/>
    </xf>
    <xf numFmtId="0" fontId="26" fillId="6" borderId="21" xfId="0" applyFont="1" applyFill="1" applyBorder="1" applyAlignment="1">
      <alignment horizontal="center" vertical="center"/>
    </xf>
    <xf numFmtId="0" fontId="26" fillId="0" borderId="29" xfId="0" applyFont="1" applyBorder="1" applyAlignment="1">
      <alignment horizontal="left" vertical="center" indent="1"/>
    </xf>
    <xf numFmtId="0" fontId="26" fillId="0" borderId="26" xfId="0" applyFont="1" applyBorder="1" applyAlignment="1">
      <alignment horizontal="left" vertical="center" indent="1"/>
    </xf>
    <xf numFmtId="0" fontId="26" fillId="0" borderId="26" xfId="0" applyFont="1" applyBorder="1" applyAlignment="1">
      <alignment horizontal="center" vertical="center"/>
    </xf>
    <xf numFmtId="0" fontId="26" fillId="6" borderId="26" xfId="0" applyFont="1" applyFill="1" applyBorder="1" applyAlignment="1">
      <alignment horizontal="center" vertical="center"/>
    </xf>
    <xf numFmtId="0" fontId="26" fillId="6" borderId="30" xfId="0" applyFont="1" applyFill="1" applyBorder="1" applyAlignment="1">
      <alignment horizontal="center" vertical="center"/>
    </xf>
    <xf numFmtId="164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14" fillId="0" borderId="14" xfId="0" applyFont="1" applyBorder="1" applyAlignment="1">
      <alignment horizontal="center" vertical="center" wrapText="1"/>
    </xf>
    <xf numFmtId="0" fontId="17" fillId="3" borderId="25" xfId="6" applyBorder="1" applyAlignment="1">
      <alignment horizontal="center" vertical="center"/>
    </xf>
    <xf numFmtId="0" fontId="9" fillId="10" borderId="14" xfId="11" applyBorder="1" applyAlignment="1">
      <alignment horizontal="center" vertical="center"/>
    </xf>
    <xf numFmtId="0" fontId="14" fillId="0" borderId="3" xfId="0" applyFont="1" applyBorder="1" applyAlignment="1">
      <alignment horizontal="center" vertical="center" wrapText="1"/>
    </xf>
    <xf numFmtId="0" fontId="16" fillId="7" borderId="3" xfId="7" applyBorder="1" applyAlignment="1">
      <alignment horizontal="center" vertical="center"/>
    </xf>
    <xf numFmtId="0" fontId="19" fillId="8" borderId="14" xfId="9" applyBorder="1" applyAlignment="1">
      <alignment horizontal="center" vertical="center"/>
    </xf>
    <xf numFmtId="0" fontId="18" fillId="2" borderId="14" xfId="8" applyBorder="1" applyAlignment="1">
      <alignment horizontal="center" vertical="center"/>
    </xf>
    <xf numFmtId="0" fontId="20" fillId="9" borderId="14" xfId="10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26" fillId="0" borderId="46" xfId="0" applyFont="1" applyBorder="1" applyAlignment="1">
      <alignment horizontal="left" vertical="center" indent="1"/>
    </xf>
    <xf numFmtId="0" fontId="26" fillId="0" borderId="47" xfId="0" applyFont="1" applyBorder="1" applyAlignment="1">
      <alignment horizontal="left" vertical="center" indent="1"/>
    </xf>
    <xf numFmtId="0" fontId="26" fillId="0" borderId="48" xfId="0" applyFont="1" applyBorder="1" applyAlignment="1">
      <alignment horizontal="left" vertical="center" indent="1"/>
    </xf>
    <xf numFmtId="0" fontId="26" fillId="0" borderId="49" xfId="0" applyFont="1" applyBorder="1" applyAlignment="1">
      <alignment horizontal="left" vertical="center" indent="1"/>
    </xf>
    <xf numFmtId="0" fontId="26" fillId="0" borderId="50" xfId="0" applyFont="1" applyBorder="1" applyAlignment="1">
      <alignment horizontal="left" vertical="center" indent="1"/>
    </xf>
    <xf numFmtId="0" fontId="11" fillId="5" borderId="51" xfId="3" applyFont="1" applyFill="1" applyBorder="1" applyAlignment="1">
      <alignment horizontal="center" vertical="center" wrapText="1"/>
    </xf>
    <xf numFmtId="0" fontId="11" fillId="5" borderId="52" xfId="3" applyFont="1" applyFill="1" applyBorder="1" applyAlignment="1">
      <alignment horizontal="center" vertical="center" wrapText="1"/>
    </xf>
    <xf numFmtId="0" fontId="11" fillId="5" borderId="53" xfId="3" applyFont="1" applyFill="1" applyBorder="1" applyAlignment="1">
      <alignment horizontal="center" vertical="center" wrapText="1"/>
    </xf>
    <xf numFmtId="165" fontId="11" fillId="5" borderId="54" xfId="3" applyNumberFormat="1" applyFont="1" applyFill="1" applyBorder="1" applyAlignment="1">
      <alignment horizontal="center" vertical="center" wrapText="1"/>
    </xf>
    <xf numFmtId="0" fontId="11" fillId="5" borderId="54" xfId="3" applyFont="1" applyFill="1" applyBorder="1" applyAlignment="1">
      <alignment horizontal="center" vertical="center" wrapText="1"/>
    </xf>
    <xf numFmtId="165" fontId="26" fillId="0" borderId="15" xfId="0" applyNumberFormat="1" applyFont="1" applyBorder="1" applyAlignment="1">
      <alignment horizontal="center" vertical="center"/>
    </xf>
    <xf numFmtId="165" fontId="26" fillId="0" borderId="12" xfId="0" applyNumberFormat="1" applyFont="1" applyBorder="1" applyAlignment="1">
      <alignment horizontal="center" vertical="center"/>
    </xf>
    <xf numFmtId="165" fontId="26" fillId="0" borderId="20" xfId="0" applyNumberFormat="1" applyFont="1" applyBorder="1" applyAlignment="1">
      <alignment horizontal="center" vertical="center"/>
    </xf>
    <xf numFmtId="165" fontId="26" fillId="0" borderId="26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11" borderId="55" xfId="12" applyBorder="1" applyAlignment="1">
      <alignment horizontal="center" vertical="center"/>
    </xf>
    <xf numFmtId="0" fontId="14" fillId="0" borderId="55" xfId="0" applyFont="1" applyBorder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/>
    </xf>
    <xf numFmtId="0" fontId="6" fillId="19" borderId="44" xfId="0" applyFont="1" applyFill="1" applyBorder="1" applyAlignment="1">
      <alignment horizontal="center" vertical="center"/>
    </xf>
    <xf numFmtId="0" fontId="7" fillId="19" borderId="3" xfId="0" applyFont="1" applyFill="1" applyBorder="1" applyAlignment="1">
      <alignment horizontal="center" vertical="center"/>
    </xf>
    <xf numFmtId="0" fontId="6" fillId="19" borderId="3" xfId="0" applyFont="1" applyFill="1" applyBorder="1" applyAlignment="1">
      <alignment horizontal="center" vertical="center"/>
    </xf>
    <xf numFmtId="0" fontId="6" fillId="19" borderId="45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165" fontId="23" fillId="0" borderId="0" xfId="0" applyNumberFormat="1" applyFont="1" applyAlignment="1">
      <alignment horizontal="center" vertical="center"/>
    </xf>
    <xf numFmtId="0" fontId="27" fillId="0" borderId="0" xfId="0" applyFont="1" applyBorder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left" vertical="center" indent="1"/>
    </xf>
    <xf numFmtId="0" fontId="6" fillId="18" borderId="0" xfId="0" applyFont="1" applyFill="1" applyAlignment="1">
      <alignment horizontal="center" vertical="center" wrapText="1"/>
    </xf>
    <xf numFmtId="0" fontId="4" fillId="0" borderId="1" xfId="1" applyNumberFormat="1" applyFont="1" applyBorder="1" applyAlignment="1">
      <alignment horizontal="left" vertical="center" indent="1"/>
    </xf>
    <xf numFmtId="0" fontId="4" fillId="0" borderId="7" xfId="1" applyNumberFormat="1" applyFont="1" applyBorder="1" applyAlignment="1">
      <alignment horizontal="left" vertical="center" indent="1"/>
    </xf>
    <xf numFmtId="0" fontId="5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left" vertical="center" indent="1"/>
    </xf>
    <xf numFmtId="0" fontId="4" fillId="0" borderId="0" xfId="1" applyNumberFormat="1" applyFont="1" applyBorder="1" applyAlignment="1">
      <alignment horizontal="left" vertical="center" indent="1"/>
    </xf>
    <xf numFmtId="0" fontId="5" fillId="0" borderId="0" xfId="0" applyFont="1" applyBorder="1" applyAlignment="1">
      <alignment horizontal="left" vertical="center" indent="1"/>
    </xf>
    <xf numFmtId="0" fontId="4" fillId="0" borderId="0" xfId="0" applyFont="1" applyBorder="1" applyAlignment="1">
      <alignment horizontal="left" vertical="center" indent="1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29" fillId="5" borderId="1" xfId="0" applyFont="1" applyFill="1" applyBorder="1" applyAlignment="1">
      <alignment horizontal="center" vertical="center"/>
    </xf>
    <xf numFmtId="0" fontId="29" fillId="5" borderId="58" xfId="0" applyFont="1" applyFill="1" applyBorder="1" applyAlignment="1">
      <alignment horizontal="center" vertical="center"/>
    </xf>
    <xf numFmtId="0" fontId="29" fillId="5" borderId="59" xfId="0" applyFont="1" applyFill="1" applyBorder="1" applyAlignment="1">
      <alignment horizontal="center" vertical="center"/>
    </xf>
    <xf numFmtId="0" fontId="5" fillId="0" borderId="1" xfId="1" applyNumberFormat="1" applyFont="1" applyBorder="1" applyAlignment="1">
      <alignment horizontal="left" vertical="center" indent="1"/>
    </xf>
    <xf numFmtId="0" fontId="30" fillId="0" borderId="10" xfId="0" applyFont="1" applyBorder="1" applyAlignment="1">
      <alignment horizontal="right" vertical="center" indent="1"/>
    </xf>
    <xf numFmtId="0" fontId="4" fillId="0" borderId="1" xfId="1" applyNumberFormat="1" applyFont="1" applyBorder="1" applyAlignment="1">
      <alignment horizontal="left" vertical="center" wrapText="1" indent="1"/>
    </xf>
    <xf numFmtId="0" fontId="7" fillId="26" borderId="1" xfId="1" applyNumberFormat="1" applyFont="1" applyFill="1" applyBorder="1" applyAlignment="1">
      <alignment horizontal="center" vertical="center" wrapText="1"/>
    </xf>
    <xf numFmtId="0" fontId="31" fillId="0" borderId="0" xfId="0" applyFont="1"/>
    <xf numFmtId="0" fontId="0" fillId="0" borderId="62" xfId="0" applyBorder="1" applyAlignment="1">
      <alignment horizontal="center" vertical="center"/>
    </xf>
    <xf numFmtId="0" fontId="33" fillId="0" borderId="10" xfId="0" applyNumberFormat="1" applyFont="1" applyBorder="1" applyAlignment="1">
      <alignment horizontal="left" vertical="center"/>
    </xf>
    <xf numFmtId="167" fontId="0" fillId="0" borderId="0" xfId="0" applyNumberFormat="1"/>
    <xf numFmtId="166" fontId="3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66" xfId="0" applyFont="1" applyFill="1" applyBorder="1" applyAlignment="1">
      <alignment horizontal="center" vertical="center"/>
    </xf>
    <xf numFmtId="0" fontId="26" fillId="0" borderId="63" xfId="0" applyFont="1" applyBorder="1" applyAlignment="1">
      <alignment horizontal="left" vertical="center" indent="1"/>
    </xf>
    <xf numFmtId="0" fontId="26" fillId="0" borderId="64" xfId="0" applyFont="1" applyBorder="1" applyAlignment="1">
      <alignment horizontal="left" vertical="center" indent="1"/>
    </xf>
    <xf numFmtId="0" fontId="32" fillId="0" borderId="0" xfId="0" applyFont="1" applyAlignment="1">
      <alignment vertical="center" wrapText="1"/>
    </xf>
    <xf numFmtId="0" fontId="6" fillId="0" borderId="0" xfId="0" applyFont="1" applyFill="1" applyAlignment="1">
      <alignment horizontal="center" vertical="center"/>
    </xf>
    <xf numFmtId="0" fontId="20" fillId="9" borderId="11" xfId="10" applyBorder="1" applyAlignment="1">
      <alignment horizontal="center" vertical="center"/>
    </xf>
    <xf numFmtId="0" fontId="35" fillId="27" borderId="68" xfId="20" applyBorder="1">
      <alignment horizontal="center" vertical="center"/>
    </xf>
    <xf numFmtId="0" fontId="18" fillId="2" borderId="67" xfId="8" applyBorder="1">
      <alignment horizontal="center" vertical="center"/>
    </xf>
    <xf numFmtId="0" fontId="26" fillId="0" borderId="0" xfId="0" applyFont="1" applyBorder="1" applyAlignment="1">
      <alignment horizontal="left" vertical="center" indent="1"/>
    </xf>
    <xf numFmtId="165" fontId="26" fillId="0" borderId="0" xfId="0" applyNumberFormat="1" applyFont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6" fillId="0" borderId="0" xfId="0" applyFont="1" applyFill="1"/>
    <xf numFmtId="0" fontId="1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37" fillId="0" borderId="0" xfId="0" applyFont="1"/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26" fillId="0" borderId="0" xfId="0" applyFont="1" applyBorder="1" applyAlignment="1" applyProtection="1">
      <alignment horizontal="left" vertical="center" indent="1"/>
      <protection locked="0"/>
    </xf>
    <xf numFmtId="0" fontId="38" fillId="3" borderId="25" xfId="6" applyFont="1" applyBorder="1" applyAlignment="1">
      <alignment horizontal="center" vertical="center"/>
    </xf>
    <xf numFmtId="0" fontId="13" fillId="31" borderId="70" xfId="21">
      <alignment horizontal="center" vertical="center" wrapText="1"/>
    </xf>
    <xf numFmtId="0" fontId="13" fillId="35" borderId="3" xfId="0" applyFont="1" applyFill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9" fillId="34" borderId="67" xfId="12" applyFont="1" applyFill="1" applyBorder="1" applyAlignment="1">
      <alignment horizontal="center" vertical="center"/>
    </xf>
    <xf numFmtId="0" fontId="14" fillId="0" borderId="67" xfId="0" applyFont="1" applyBorder="1" applyAlignment="1">
      <alignment horizontal="center" vertical="center" wrapText="1"/>
    </xf>
    <xf numFmtId="0" fontId="38" fillId="33" borderId="55" xfId="12" applyFont="1" applyFill="1" applyBorder="1" applyAlignment="1">
      <alignment horizontal="center" vertical="center"/>
    </xf>
    <xf numFmtId="0" fontId="26" fillId="0" borderId="28" xfId="0" applyFont="1" applyBorder="1" applyAlignment="1" applyProtection="1">
      <alignment horizontal="left" vertical="center" indent="1"/>
      <protection locked="0"/>
    </xf>
    <xf numFmtId="0" fontId="26" fillId="0" borderId="69" xfId="0" applyFont="1" applyBorder="1" applyAlignment="1" applyProtection="1">
      <alignment horizontal="left" vertical="center" indent="1"/>
      <protection locked="0"/>
    </xf>
    <xf numFmtId="0" fontId="26" fillId="0" borderId="69" xfId="0" applyFont="1" applyBorder="1" applyAlignment="1">
      <alignment horizontal="left" vertical="center" indent="1"/>
    </xf>
    <xf numFmtId="0" fontId="26" fillId="0" borderId="69" xfId="0" applyNumberFormat="1" applyFont="1" applyBorder="1" applyAlignment="1">
      <alignment horizontal="left" vertical="center" indent="1"/>
    </xf>
    <xf numFmtId="0" fontId="26" fillId="0" borderId="69" xfId="0" applyNumberFormat="1" applyFont="1" applyBorder="1" applyAlignment="1" applyProtection="1">
      <alignment horizontal="left" vertical="center" indent="1"/>
      <protection locked="0"/>
    </xf>
    <xf numFmtId="0" fontId="26" fillId="0" borderId="57" xfId="0" applyFont="1" applyBorder="1" applyAlignment="1" applyProtection="1">
      <alignment horizontal="left" vertical="center" indent="1"/>
      <protection locked="0"/>
    </xf>
    <xf numFmtId="0" fontId="26" fillId="0" borderId="74" xfId="0" applyFont="1" applyBorder="1" applyAlignment="1" applyProtection="1">
      <alignment horizontal="left" vertical="center" indent="1"/>
      <protection locked="0"/>
    </xf>
    <xf numFmtId="0" fontId="26" fillId="0" borderId="74" xfId="0" applyNumberFormat="1" applyFont="1" applyBorder="1" applyAlignment="1" applyProtection="1">
      <alignment horizontal="left" vertical="center" indent="1"/>
      <protection locked="0"/>
    </xf>
    <xf numFmtId="0" fontId="26" fillId="0" borderId="74" xfId="0" applyFont="1" applyBorder="1" applyAlignment="1">
      <alignment horizontal="left" vertical="center" indent="1"/>
    </xf>
    <xf numFmtId="0" fontId="26" fillId="0" borderId="74" xfId="0" applyNumberFormat="1" applyFont="1" applyBorder="1" applyAlignment="1">
      <alignment horizontal="left" vertical="center" indent="1"/>
    </xf>
    <xf numFmtId="0" fontId="11" fillId="5" borderId="17" xfId="3" applyFont="1" applyFill="1" applyBorder="1" applyAlignment="1" applyProtection="1">
      <alignment horizontal="center" vertical="center" wrapText="1"/>
      <protection locked="0"/>
    </xf>
    <xf numFmtId="0" fontId="11" fillId="5" borderId="18" xfId="3" applyFont="1" applyFill="1" applyBorder="1" applyAlignment="1" applyProtection="1">
      <alignment horizontal="center" vertical="center" wrapText="1"/>
      <protection locked="0"/>
    </xf>
    <xf numFmtId="165" fontId="11" fillId="5" borderId="23" xfId="3" applyNumberFormat="1" applyFont="1" applyFill="1" applyBorder="1" applyAlignment="1" applyProtection="1">
      <alignment horizontal="center" vertical="center" wrapText="1"/>
      <protection locked="0"/>
    </xf>
    <xf numFmtId="0" fontId="11" fillId="5" borderId="19" xfId="3" applyFont="1" applyFill="1" applyBorder="1" applyAlignment="1" applyProtection="1">
      <alignment horizontal="center" vertical="center" wrapText="1"/>
      <protection locked="0"/>
    </xf>
    <xf numFmtId="0" fontId="6" fillId="32" borderId="8" xfId="0" applyFont="1" applyFill="1" applyBorder="1" applyAlignment="1">
      <alignment horizontal="center" vertical="center"/>
    </xf>
    <xf numFmtId="0" fontId="6" fillId="32" borderId="9" xfId="0" applyFont="1" applyFill="1" applyBorder="1" applyAlignment="1">
      <alignment horizontal="center" vertical="center"/>
    </xf>
    <xf numFmtId="0" fontId="6" fillId="32" borderId="6" xfId="0" applyFont="1" applyFill="1" applyBorder="1" applyAlignment="1">
      <alignment horizontal="center" vertical="center"/>
    </xf>
    <xf numFmtId="0" fontId="6" fillId="32" borderId="71" xfId="0" applyFont="1" applyFill="1" applyBorder="1" applyAlignment="1">
      <alignment horizontal="center" vertical="center"/>
    </xf>
    <xf numFmtId="0" fontId="6" fillId="32" borderId="0" xfId="0" applyFont="1" applyFill="1" applyBorder="1" applyAlignment="1">
      <alignment horizontal="center" vertical="center"/>
    </xf>
    <xf numFmtId="0" fontId="6" fillId="32" borderId="72" xfId="0" applyFont="1" applyFill="1" applyBorder="1" applyAlignment="1">
      <alignment horizontal="center" vertical="center"/>
    </xf>
    <xf numFmtId="0" fontId="6" fillId="32" borderId="5" xfId="0" applyFont="1" applyFill="1" applyBorder="1" applyAlignment="1">
      <alignment horizontal="center" vertical="center"/>
    </xf>
    <xf numFmtId="0" fontId="6" fillId="32" borderId="10" xfId="0" applyFont="1" applyFill="1" applyBorder="1" applyAlignment="1">
      <alignment horizontal="center" vertical="center"/>
    </xf>
    <xf numFmtId="0" fontId="6" fillId="32" borderId="4" xfId="0" applyFont="1" applyFill="1" applyBorder="1" applyAlignment="1">
      <alignment horizontal="center" vertical="center"/>
    </xf>
    <xf numFmtId="0" fontId="26" fillId="32" borderId="75" xfId="0" applyFont="1" applyFill="1" applyBorder="1" applyAlignment="1">
      <alignment horizontal="center" vertical="center"/>
    </xf>
    <xf numFmtId="0" fontId="26" fillId="32" borderId="0" xfId="0" applyFont="1" applyFill="1" applyBorder="1" applyAlignment="1">
      <alignment horizontal="center" vertical="center"/>
    </xf>
    <xf numFmtId="0" fontId="26" fillId="32" borderId="76" xfId="0" applyFont="1" applyFill="1" applyBorder="1" applyAlignment="1">
      <alignment horizontal="center" vertical="center"/>
    </xf>
    <xf numFmtId="0" fontId="40" fillId="32" borderId="0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41" fillId="0" borderId="69" xfId="0" applyNumberFormat="1" applyFont="1" applyBorder="1" applyAlignment="1">
      <alignment horizontal="left" vertical="center" indent="1"/>
    </xf>
    <xf numFmtId="164" fontId="0" fillId="4" borderId="0" xfId="0" applyNumberFormat="1" applyFill="1" applyAlignment="1">
      <alignment horizontal="center" vertical="center"/>
    </xf>
    <xf numFmtId="0" fontId="26" fillId="0" borderId="0" xfId="0" applyNumberFormat="1" applyFont="1" applyBorder="1" applyAlignment="1">
      <alignment horizontal="center" vertical="center"/>
    </xf>
    <xf numFmtId="0" fontId="26" fillId="0" borderId="26" xfId="0" applyFont="1" applyBorder="1" applyAlignment="1" applyProtection="1">
      <alignment horizontal="left" vertical="center" indent="1"/>
      <protection locked="0"/>
    </xf>
    <xf numFmtId="0" fontId="26" fillId="0" borderId="30" xfId="0" applyFont="1" applyBorder="1" applyAlignment="1" applyProtection="1">
      <alignment horizontal="left" vertical="center" indent="1"/>
      <protection locked="0"/>
    </xf>
    <xf numFmtId="0" fontId="34" fillId="0" borderId="0" xfId="0" applyFont="1" applyAlignment="1"/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top"/>
    </xf>
    <xf numFmtId="0" fontId="34" fillId="0" borderId="0" xfId="0" applyFont="1"/>
    <xf numFmtId="0" fontId="0" fillId="0" borderId="0" xfId="0" quotePrefix="1"/>
    <xf numFmtId="0" fontId="26" fillId="0" borderId="28" xfId="0" applyFont="1" applyBorder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43" fillId="0" borderId="0" xfId="1" applyFont="1" applyFill="1" applyBorder="1" applyAlignment="1">
      <alignment horizontal="center" vertical="center"/>
    </xf>
    <xf numFmtId="49" fontId="11" fillId="5" borderId="23" xfId="3" applyNumberFormat="1" applyFont="1" applyFill="1" applyBorder="1" applyAlignment="1" applyProtection="1">
      <alignment horizontal="center" vertical="center" wrapText="1"/>
      <protection locked="0"/>
    </xf>
    <xf numFmtId="0" fontId="26" fillId="0" borderId="30" xfId="0" applyFont="1" applyBorder="1" applyAlignment="1">
      <alignment horizontal="left" vertical="center" indent="1"/>
    </xf>
    <xf numFmtId="0" fontId="26" fillId="0" borderId="50" xfId="0" applyFont="1" applyFill="1" applyBorder="1" applyAlignment="1" applyProtection="1">
      <alignment horizontal="left" vertical="center" indent="1"/>
      <protection locked="0"/>
    </xf>
    <xf numFmtId="0" fontId="26" fillId="0" borderId="50" xfId="0" applyFont="1" applyFill="1" applyBorder="1" applyAlignment="1">
      <alignment horizontal="left" vertical="center" indent="1"/>
    </xf>
    <xf numFmtId="0" fontId="26" fillId="0" borderId="29" xfId="0" applyFont="1" applyFill="1" applyBorder="1" applyAlignment="1" applyProtection="1">
      <alignment horizontal="left" vertical="center" indent="1"/>
      <protection locked="0"/>
    </xf>
    <xf numFmtId="0" fontId="26" fillId="0" borderId="29" xfId="0" applyFont="1" applyFill="1" applyBorder="1" applyAlignment="1">
      <alignment horizontal="left" vertical="center" indent="1"/>
    </xf>
    <xf numFmtId="0" fontId="6" fillId="10" borderId="0" xfId="0" applyFont="1" applyFill="1"/>
    <xf numFmtId="0" fontId="6" fillId="10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6" fillId="36" borderId="0" xfId="0" applyFont="1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5" fillId="0" borderId="0" xfId="0" applyFont="1" applyFill="1" applyBorder="1" applyAlignment="1">
      <alignment horizontal="center" vertical="center" wrapText="1"/>
    </xf>
    <xf numFmtId="0" fontId="36" fillId="0" borderId="0" xfId="13" applyFill="1" applyBorder="1">
      <alignment horizontal="center" vertical="center" wrapText="1"/>
    </xf>
    <xf numFmtId="0" fontId="36" fillId="0" borderId="0" xfId="14" applyFill="1" applyBorder="1">
      <alignment horizontal="center" vertical="center" wrapText="1"/>
    </xf>
    <xf numFmtId="0" fontId="36" fillId="0" borderId="0" xfId="15" applyFill="1" applyBorder="1">
      <alignment horizontal="center" vertical="center" wrapText="1"/>
    </xf>
    <xf numFmtId="0" fontId="36" fillId="0" borderId="0" xfId="17" applyFill="1" applyBorder="1">
      <alignment horizontal="center" vertical="center" wrapText="1"/>
    </xf>
    <xf numFmtId="0" fontId="36" fillId="0" borderId="0" xfId="18" applyFill="1" applyBorder="1">
      <alignment horizontal="center" vertical="center" wrapText="1"/>
    </xf>
    <xf numFmtId="0" fontId="36" fillId="0" borderId="0" xfId="19" applyFill="1" applyBorder="1">
      <alignment horizontal="center" vertical="center" wrapText="1"/>
    </xf>
    <xf numFmtId="0" fontId="36" fillId="0" borderId="0" xfId="16" applyFill="1" applyBorder="1">
      <alignment horizontal="center" vertical="center" wrapText="1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vertical="center"/>
    </xf>
    <xf numFmtId="165" fontId="40" fillId="5" borderId="77" xfId="3" applyNumberFormat="1" applyFont="1" applyFill="1" applyBorder="1" applyAlignment="1">
      <alignment vertical="center"/>
    </xf>
    <xf numFmtId="0" fontId="11" fillId="5" borderId="78" xfId="3" applyFont="1" applyFill="1" applyBorder="1" applyAlignment="1">
      <alignment horizontal="center" vertical="center" wrapText="1"/>
    </xf>
    <xf numFmtId="0" fontId="6" fillId="0" borderId="27" xfId="0" applyFont="1" applyBorder="1"/>
    <xf numFmtId="0" fontId="6" fillId="0" borderId="24" xfId="0" applyFont="1" applyBorder="1"/>
    <xf numFmtId="0" fontId="6" fillId="0" borderId="28" xfId="0" applyFont="1" applyBorder="1"/>
    <xf numFmtId="0" fontId="6" fillId="0" borderId="41" xfId="0" applyFont="1" applyBorder="1"/>
    <xf numFmtId="0" fontId="6" fillId="0" borderId="32" xfId="0" applyFont="1" applyBorder="1"/>
    <xf numFmtId="49" fontId="46" fillId="38" borderId="1" xfId="22" applyFont="1" applyBorder="1">
      <alignment horizontal="center" vertical="center"/>
      <protection locked="0"/>
    </xf>
    <xf numFmtId="0" fontId="47" fillId="0" borderId="50" xfId="0" applyFont="1" applyFill="1" applyBorder="1" applyAlignment="1">
      <alignment horizontal="left" vertical="center" indent="1"/>
    </xf>
    <xf numFmtId="0" fontId="44" fillId="0" borderId="71" xfId="0" applyNumberFormat="1" applyFont="1" applyFill="1" applyBorder="1" applyAlignment="1">
      <alignment horizontal="center" vertical="center"/>
    </xf>
    <xf numFmtId="0" fontId="44" fillId="0" borderId="72" xfId="0" applyFont="1" applyFill="1" applyBorder="1" applyAlignment="1">
      <alignment horizontal="center" vertical="center"/>
    </xf>
    <xf numFmtId="0" fontId="47" fillId="0" borderId="69" xfId="0" applyNumberFormat="1" applyFont="1" applyBorder="1" applyAlignment="1">
      <alignment horizontal="left" vertical="center" indent="1"/>
    </xf>
    <xf numFmtId="0" fontId="47" fillId="0" borderId="0" xfId="0" applyNumberFormat="1" applyFont="1" applyBorder="1" applyAlignment="1">
      <alignment horizontal="left" vertical="center" indent="1"/>
    </xf>
    <xf numFmtId="165" fontId="47" fillId="0" borderId="0" xfId="0" applyNumberFormat="1" applyFont="1" applyBorder="1" applyAlignment="1">
      <alignment horizontal="center" vertical="center"/>
    </xf>
    <xf numFmtId="0" fontId="47" fillId="6" borderId="0" xfId="0" applyNumberFormat="1" applyFont="1" applyFill="1" applyBorder="1" applyAlignment="1">
      <alignment horizontal="center" vertical="center"/>
    </xf>
    <xf numFmtId="0" fontId="44" fillId="0" borderId="0" xfId="0" applyNumberFormat="1" applyFont="1" applyFill="1" applyBorder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5" borderId="18" xfId="3" applyFont="1" applyFill="1" applyBorder="1" applyAlignment="1">
      <alignment horizontal="center" vertical="center" wrapText="1"/>
    </xf>
    <xf numFmtId="165" fontId="11" fillId="5" borderId="77" xfId="3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48" fillId="0" borderId="0" xfId="0" applyFont="1" applyFill="1" applyBorder="1" applyAlignment="1">
      <alignment horizontal="center" vertical="center" wrapText="1"/>
    </xf>
    <xf numFmtId="0" fontId="49" fillId="39" borderId="1" xfId="0" applyFont="1" applyFill="1" applyBorder="1" applyAlignment="1">
      <alignment horizontal="center" vertical="center" wrapText="1"/>
    </xf>
    <xf numFmtId="0" fontId="26" fillId="0" borderId="76" xfId="0" applyFont="1" applyBorder="1" applyAlignment="1">
      <alignment horizontal="left" vertical="center" indent="1"/>
    </xf>
    <xf numFmtId="0" fontId="26" fillId="0" borderId="69" xfId="0" applyFont="1" applyBorder="1" applyAlignment="1" applyProtection="1">
      <alignment horizontal="left" vertical="center" indent="1"/>
    </xf>
    <xf numFmtId="0" fontId="26" fillId="0" borderId="69" xfId="0" applyNumberFormat="1" applyFont="1" applyBorder="1" applyAlignment="1" applyProtection="1">
      <alignment horizontal="left" vertical="center" indent="1"/>
    </xf>
    <xf numFmtId="0" fontId="26" fillId="0" borderId="28" xfId="0" applyNumberFormat="1" applyFont="1" applyBorder="1" applyAlignment="1" applyProtection="1">
      <alignment horizontal="left" vertical="center" indent="1"/>
    </xf>
    <xf numFmtId="0" fontId="0" fillId="0" borderId="0" xfId="0" applyAlignment="1"/>
    <xf numFmtId="0" fontId="1" fillId="0" borderId="0" xfId="0" applyFont="1" applyBorder="1"/>
    <xf numFmtId="0" fontId="1" fillId="0" borderId="0" xfId="0" applyFont="1" applyFill="1" applyBorder="1"/>
    <xf numFmtId="0" fontId="4" fillId="0" borderId="0" xfId="0" applyFont="1" applyFill="1" applyBorder="1"/>
    <xf numFmtId="0" fontId="42" fillId="0" borderId="0" xfId="0" applyFont="1" applyFill="1" applyBorder="1"/>
    <xf numFmtId="0" fontId="0" fillId="0" borderId="1" xfId="0" applyBorder="1"/>
    <xf numFmtId="20" fontId="1" fillId="0" borderId="1" xfId="0" applyNumberFormat="1" applyFont="1" applyBorder="1"/>
    <xf numFmtId="0" fontId="1" fillId="0" borderId="1" xfId="0" applyFont="1" applyFill="1" applyBorder="1"/>
    <xf numFmtId="0" fontId="4" fillId="0" borderId="1" xfId="0" applyFont="1" applyFill="1" applyBorder="1"/>
    <xf numFmtId="0" fontId="26" fillId="0" borderId="0" xfId="0" applyFont="1" applyBorder="1" applyAlignment="1" applyProtection="1">
      <alignment horizontal="left" vertical="center" indent="1"/>
    </xf>
    <xf numFmtId="0" fontId="6" fillId="0" borderId="0" xfId="0" applyFont="1" applyBorder="1"/>
    <xf numFmtId="0" fontId="11" fillId="5" borderId="80" xfId="3" applyFont="1" applyFill="1" applyBorder="1" applyAlignment="1">
      <alignment horizontal="center" vertical="center" wrapText="1"/>
    </xf>
    <xf numFmtId="165" fontId="11" fillId="5" borderId="81" xfId="3" applyNumberFormat="1" applyFont="1" applyFill="1" applyBorder="1" applyAlignment="1">
      <alignment horizontal="center" vertical="center" wrapText="1"/>
    </xf>
    <xf numFmtId="165" fontId="11" fillId="5" borderId="77" xfId="3" applyNumberFormat="1" applyFont="1" applyFill="1" applyBorder="1" applyAlignment="1">
      <alignment horizontal="center" vertical="center" wrapText="1"/>
    </xf>
    <xf numFmtId="0" fontId="50" fillId="0" borderId="69" xfId="0" applyNumberFormat="1" applyFont="1" applyBorder="1" applyAlignment="1" applyProtection="1">
      <alignment horizontal="left" vertical="center" indent="1"/>
      <protection locked="0"/>
    </xf>
    <xf numFmtId="0" fontId="6" fillId="0" borderId="69" xfId="0" applyFont="1" applyBorder="1"/>
    <xf numFmtId="0" fontId="6" fillId="0" borderId="83" xfId="0" applyFont="1" applyBorder="1"/>
    <xf numFmtId="0" fontId="6" fillId="0" borderId="82" xfId="0" applyFont="1" applyBorder="1"/>
    <xf numFmtId="165" fontId="40" fillId="5" borderId="23" xfId="3" applyNumberFormat="1" applyFont="1" applyFill="1" applyBorder="1" applyAlignment="1">
      <alignment vertical="center"/>
    </xf>
    <xf numFmtId="0" fontId="6" fillId="0" borderId="0" xfId="0" applyFont="1" applyFill="1" applyBorder="1"/>
    <xf numFmtId="0" fontId="11" fillId="5" borderId="17" xfId="3" applyFont="1" applyFill="1" applyBorder="1" applyAlignment="1">
      <alignment horizontal="center" vertical="top" wrapText="1"/>
    </xf>
    <xf numFmtId="0" fontId="11" fillId="5" borderId="18" xfId="3" applyFont="1" applyFill="1" applyBorder="1" applyAlignment="1">
      <alignment horizontal="center" vertical="top" wrapText="1"/>
    </xf>
    <xf numFmtId="165" fontId="11" fillId="5" borderId="23" xfId="3" applyNumberFormat="1" applyFont="1" applyFill="1" applyBorder="1" applyAlignment="1">
      <alignment horizontal="center" vertical="top" wrapText="1"/>
    </xf>
    <xf numFmtId="165" fontId="40" fillId="5" borderId="77" xfId="3" applyNumberFormat="1" applyFont="1" applyFill="1" applyBorder="1" applyAlignment="1">
      <alignment vertical="top"/>
    </xf>
    <xf numFmtId="0" fontId="11" fillId="5" borderId="78" xfId="3" applyFont="1" applyFill="1" applyBorder="1" applyAlignment="1">
      <alignment horizontal="center" vertical="top" wrapText="1"/>
    </xf>
    <xf numFmtId="0" fontId="6" fillId="0" borderId="0" xfId="0" applyFont="1" applyAlignment="1">
      <alignment vertical="top"/>
    </xf>
    <xf numFmtId="165" fontId="26" fillId="0" borderId="0" xfId="0" applyNumberFormat="1" applyFont="1" applyBorder="1" applyAlignment="1" applyProtection="1">
      <alignment horizontal="center" vertical="center"/>
    </xf>
    <xf numFmtId="0" fontId="26" fillId="0" borderId="69" xfId="0" applyFont="1" applyFill="1" applyBorder="1" applyAlignment="1" applyProtection="1">
      <alignment horizontal="left" vertical="center" indent="1"/>
      <protection locked="0"/>
    </xf>
    <xf numFmtId="0" fontId="26" fillId="0" borderId="75" xfId="0" applyFont="1" applyBorder="1" applyAlignment="1">
      <alignment horizontal="left" vertical="center" indent="1"/>
    </xf>
    <xf numFmtId="0" fontId="0" fillId="0" borderId="1" xfId="0" applyFill="1" applyBorder="1"/>
    <xf numFmtId="0" fontId="0" fillId="21" borderId="0" xfId="0" applyFill="1"/>
    <xf numFmtId="0" fontId="42" fillId="0" borderId="1" xfId="0" applyFont="1" applyFill="1" applyBorder="1"/>
    <xf numFmtId="0" fontId="6" fillId="0" borderId="7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20" fontId="0" fillId="0" borderId="0" xfId="0" applyNumberFormat="1" applyBorder="1"/>
    <xf numFmtId="0" fontId="11" fillId="5" borderId="85" xfId="3" applyFont="1" applyFill="1" applyBorder="1" applyAlignment="1" applyProtection="1">
      <alignment horizontal="center" vertical="center" wrapText="1"/>
      <protection locked="0"/>
    </xf>
    <xf numFmtId="0" fontId="11" fillId="5" borderId="80" xfId="3" applyFont="1" applyFill="1" applyBorder="1" applyAlignment="1" applyProtection="1">
      <alignment horizontal="center" vertical="center" wrapText="1"/>
      <protection locked="0"/>
    </xf>
    <xf numFmtId="49" fontId="11" fillId="5" borderId="77" xfId="3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6" fillId="0" borderId="0" xfId="0" applyNumberFormat="1" applyFont="1"/>
    <xf numFmtId="0" fontId="26" fillId="0" borderId="28" xfId="0" applyFont="1" applyBorder="1" applyAlignment="1" applyProtection="1">
      <alignment horizontal="left" vertical="center" indent="1"/>
    </xf>
    <xf numFmtId="0" fontId="26" fillId="0" borderId="26" xfId="0" applyFont="1" applyBorder="1" applyAlignment="1" applyProtection="1">
      <alignment horizontal="left" vertical="center" indent="1"/>
    </xf>
    <xf numFmtId="0" fontId="26" fillId="0" borderId="57" xfId="0" applyFont="1" applyBorder="1" applyAlignment="1">
      <alignment horizontal="left" vertical="center" indent="1"/>
    </xf>
    <xf numFmtId="20" fontId="52" fillId="0" borderId="1" xfId="0" applyNumberFormat="1" applyFont="1" applyBorder="1"/>
    <xf numFmtId="0" fontId="0" fillId="0" borderId="1" xfId="0" applyFont="1" applyBorder="1"/>
    <xf numFmtId="0" fontId="4" fillId="0" borderId="7" xfId="0" applyFont="1" applyFill="1" applyBorder="1"/>
    <xf numFmtId="20" fontId="4" fillId="0" borderId="0" xfId="0" applyNumberFormat="1" applyFont="1" applyFill="1" applyBorder="1"/>
    <xf numFmtId="20" fontId="0" fillId="0" borderId="0" xfId="0" applyNumberFormat="1" applyFill="1" applyBorder="1"/>
    <xf numFmtId="0" fontId="0" fillId="0" borderId="7" xfId="0" applyBorder="1"/>
    <xf numFmtId="0" fontId="0" fillId="0" borderId="7" xfId="0" applyFont="1" applyBorder="1"/>
    <xf numFmtId="0" fontId="41" fillId="0" borderId="69" xfId="0" applyNumberFormat="1" applyFont="1" applyBorder="1" applyAlignment="1" applyProtection="1">
      <alignment horizontal="left" vertical="center" indent="1"/>
    </xf>
    <xf numFmtId="0" fontId="26" fillId="0" borderId="30" xfId="0" applyFont="1" applyBorder="1" applyAlignment="1" applyProtection="1">
      <alignment horizontal="left" vertical="center" indent="1"/>
    </xf>
    <xf numFmtId="0" fontId="53" fillId="0" borderId="74" xfId="0" applyNumberFormat="1" applyFont="1" applyBorder="1" applyAlignment="1">
      <alignment horizontal="left" vertical="center" indent="1"/>
    </xf>
    <xf numFmtId="0" fontId="0" fillId="0" borderId="7" xfId="0" applyBorder="1" applyAlignment="1">
      <alignment horizontal="left"/>
    </xf>
    <xf numFmtId="0" fontId="0" fillId="16" borderId="27" xfId="0" applyFill="1" applyBorder="1" applyAlignment="1">
      <alignment horizontal="left"/>
    </xf>
    <xf numFmtId="0" fontId="0" fillId="16" borderId="24" xfId="0" applyFill="1" applyBorder="1" applyAlignment="1">
      <alignment horizontal="left"/>
    </xf>
    <xf numFmtId="0" fontId="0" fillId="16" borderId="28" xfId="0" applyFill="1" applyBorder="1" applyAlignment="1">
      <alignment horizontal="left"/>
    </xf>
    <xf numFmtId="0" fontId="0" fillId="16" borderId="29" xfId="0" applyFill="1" applyBorder="1" applyAlignment="1">
      <alignment horizontal="left"/>
    </xf>
    <xf numFmtId="0" fontId="0" fillId="16" borderId="26" xfId="0" applyFill="1" applyBorder="1" applyAlignment="1">
      <alignment horizontal="left"/>
    </xf>
    <xf numFmtId="0" fontId="0" fillId="16" borderId="30" xfId="0" applyFill="1" applyBorder="1" applyAlignment="1">
      <alignment horizontal="left"/>
    </xf>
    <xf numFmtId="0" fontId="0" fillId="16" borderId="41" xfId="0" applyFill="1" applyBorder="1" applyAlignment="1">
      <alignment horizontal="left"/>
    </xf>
    <xf numFmtId="0" fontId="0" fillId="16" borderId="38" xfId="0" applyFill="1" applyBorder="1" applyAlignment="1">
      <alignment horizontal="left"/>
    </xf>
    <xf numFmtId="0" fontId="1" fillId="0" borderId="7" xfId="0" applyFont="1" applyFill="1" applyBorder="1"/>
    <xf numFmtId="0" fontId="52" fillId="0" borderId="1" xfId="0" applyFont="1" applyBorder="1"/>
    <xf numFmtId="20" fontId="52" fillId="7" borderId="1" xfId="0" applyNumberFormat="1" applyFont="1" applyFill="1" applyBorder="1"/>
    <xf numFmtId="0" fontId="52" fillId="7" borderId="1" xfId="0" applyFont="1" applyFill="1" applyBorder="1"/>
    <xf numFmtId="0" fontId="1" fillId="7" borderId="1" xfId="0" applyFont="1" applyFill="1" applyBorder="1"/>
    <xf numFmtId="20" fontId="52" fillId="41" borderId="1" xfId="0" applyNumberFormat="1" applyFont="1" applyFill="1" applyBorder="1"/>
    <xf numFmtId="0" fontId="52" fillId="41" borderId="1" xfId="0" applyFont="1" applyFill="1" applyBorder="1"/>
    <xf numFmtId="0" fontId="4" fillId="41" borderId="1" xfId="0" applyFont="1" applyFill="1" applyBorder="1"/>
    <xf numFmtId="0" fontId="1" fillId="41" borderId="1" xfId="0" applyFont="1" applyFill="1" applyBorder="1"/>
    <xf numFmtId="20" fontId="52" fillId="20" borderId="1" xfId="0" applyNumberFormat="1" applyFont="1" applyFill="1" applyBorder="1"/>
    <xf numFmtId="0" fontId="52" fillId="20" borderId="1" xfId="0" applyFont="1" applyFill="1" applyBorder="1"/>
    <xf numFmtId="0" fontId="1" fillId="20" borderId="1" xfId="0" applyFont="1" applyFill="1" applyBorder="1"/>
    <xf numFmtId="0" fontId="4" fillId="20" borderId="1" xfId="0" applyFont="1" applyFill="1" applyBorder="1"/>
    <xf numFmtId="20" fontId="52" fillId="42" borderId="1" xfId="0" applyNumberFormat="1" applyFont="1" applyFill="1" applyBorder="1"/>
    <xf numFmtId="0" fontId="52" fillId="42" borderId="1" xfId="0" applyFont="1" applyFill="1" applyBorder="1"/>
    <xf numFmtId="0" fontId="4" fillId="42" borderId="1" xfId="0" applyFont="1" applyFill="1" applyBorder="1"/>
    <xf numFmtId="0" fontId="1" fillId="42" borderId="1" xfId="0" applyFont="1" applyFill="1" applyBorder="1"/>
    <xf numFmtId="20" fontId="52" fillId="42" borderId="7" xfId="0" applyNumberFormat="1" applyFont="1" applyFill="1" applyBorder="1"/>
    <xf numFmtId="0" fontId="1" fillId="42" borderId="7" xfId="0" applyFont="1" applyFill="1" applyBorder="1"/>
    <xf numFmtId="0" fontId="26" fillId="20" borderId="50" xfId="0" applyFont="1" applyFill="1" applyBorder="1" applyAlignment="1" applyProtection="1">
      <alignment horizontal="left" vertical="center" indent="1"/>
      <protection locked="0"/>
    </xf>
    <xf numFmtId="0" fontId="26" fillId="42" borderId="50" xfId="0" applyFont="1" applyFill="1" applyBorder="1" applyAlignment="1" applyProtection="1">
      <alignment horizontal="left" vertical="center" indent="1"/>
      <protection locked="0"/>
    </xf>
    <xf numFmtId="0" fontId="26" fillId="7" borderId="50" xfId="0" applyFont="1" applyFill="1" applyBorder="1" applyAlignment="1" applyProtection="1">
      <alignment horizontal="left" vertical="center" indent="1"/>
      <protection locked="0"/>
    </xf>
    <xf numFmtId="0" fontId="26" fillId="41" borderId="50" xfId="0" applyFont="1" applyFill="1" applyBorder="1" applyAlignment="1" applyProtection="1">
      <alignment horizontal="left" vertical="center" indent="1"/>
      <protection locked="0"/>
    </xf>
    <xf numFmtId="0" fontId="26" fillId="41" borderId="50" xfId="0" applyFont="1" applyFill="1" applyBorder="1" applyAlignment="1">
      <alignment horizontal="left" vertical="center" indent="1"/>
    </xf>
    <xf numFmtId="0" fontId="53" fillId="0" borderId="30" xfId="0" applyNumberFormat="1" applyFont="1" applyBorder="1" applyAlignment="1">
      <alignment horizontal="left" vertical="center" indent="1"/>
    </xf>
    <xf numFmtId="0" fontId="0" fillId="21" borderId="7" xfId="0" applyFill="1" applyBorder="1"/>
    <xf numFmtId="0" fontId="0" fillId="39" borderId="1" xfId="0" applyFill="1" applyBorder="1"/>
    <xf numFmtId="165" fontId="11" fillId="40" borderId="23" xfId="3" applyNumberFormat="1" applyFont="1" applyFill="1" applyBorder="1" applyAlignment="1" applyProtection="1">
      <alignment horizontal="center" vertical="center" wrapText="1"/>
      <protection locked="0"/>
    </xf>
    <xf numFmtId="165" fontId="11" fillId="43" borderId="23" xfId="3" applyNumberFormat="1" applyFont="1" applyFill="1" applyBorder="1" applyAlignment="1" applyProtection="1">
      <alignment horizontal="center" vertical="center" wrapText="1"/>
      <protection locked="0"/>
    </xf>
    <xf numFmtId="165" fontId="11" fillId="7" borderId="23" xfId="3" applyNumberFormat="1" applyFont="1" applyFill="1" applyBorder="1" applyAlignment="1" applyProtection="1">
      <alignment horizontal="center" vertical="center" wrapText="1"/>
      <protection locked="0"/>
    </xf>
    <xf numFmtId="165" fontId="11" fillId="41" borderId="23" xfId="3" applyNumberFormat="1" applyFont="1" applyFill="1" applyBorder="1" applyAlignment="1" applyProtection="1">
      <alignment horizontal="center" vertical="center" wrapText="1"/>
      <protection locked="0"/>
    </xf>
    <xf numFmtId="0" fontId="56" fillId="0" borderId="50" xfId="0" applyFont="1" applyFill="1" applyBorder="1" applyAlignment="1" applyProtection="1">
      <alignment horizontal="left" vertical="center" indent="1"/>
      <protection locked="0"/>
    </xf>
    <xf numFmtId="0" fontId="56" fillId="0" borderId="69" xfId="0" applyNumberFormat="1" applyFont="1" applyBorder="1" applyAlignment="1" applyProtection="1">
      <alignment horizontal="left" vertical="center" indent="1"/>
    </xf>
    <xf numFmtId="0" fontId="56" fillId="0" borderId="0" xfId="0" applyNumberFormat="1" applyFont="1" applyBorder="1" applyAlignment="1" applyProtection="1">
      <alignment horizontal="left" vertical="center" indent="1"/>
    </xf>
    <xf numFmtId="0" fontId="56" fillId="0" borderId="0" xfId="0" applyNumberFormat="1" applyFont="1" applyBorder="1" applyAlignment="1" applyProtection="1">
      <alignment horizontal="center" vertical="center"/>
    </xf>
    <xf numFmtId="165" fontId="56" fillId="0" borderId="0" xfId="0" applyNumberFormat="1" applyFont="1" applyBorder="1" applyAlignment="1" applyProtection="1">
      <alignment horizontal="center" vertical="center"/>
    </xf>
    <xf numFmtId="0" fontId="56" fillId="6" borderId="0" xfId="0" applyNumberFormat="1" applyFont="1" applyFill="1" applyBorder="1" applyAlignment="1">
      <alignment horizontal="center" vertical="center"/>
    </xf>
    <xf numFmtId="0" fontId="56" fillId="0" borderId="69" xfId="0" applyNumberFormat="1" applyFont="1" applyBorder="1" applyAlignment="1">
      <alignment horizontal="left" vertical="center" indent="1"/>
    </xf>
    <xf numFmtId="0" fontId="26" fillId="0" borderId="50" xfId="0" applyNumberFormat="1" applyFont="1" applyFill="1" applyBorder="1" applyAlignment="1" applyProtection="1">
      <alignment horizontal="left" vertical="center" indent="1"/>
      <protection locked="0"/>
    </xf>
    <xf numFmtId="0" fontId="26" fillId="0" borderId="27" xfId="0" applyFont="1" applyFill="1" applyBorder="1" applyAlignment="1" applyProtection="1">
      <alignment horizontal="left" vertical="center" indent="1"/>
      <protection locked="0"/>
    </xf>
    <xf numFmtId="0" fontId="26" fillId="0" borderId="24" xfId="0" applyFont="1" applyBorder="1" applyAlignment="1" applyProtection="1">
      <alignment horizontal="left" vertical="center" indent="1"/>
    </xf>
    <xf numFmtId="165" fontId="26" fillId="0" borderId="24" xfId="0" applyNumberFormat="1" applyFont="1" applyBorder="1" applyAlignment="1" applyProtection="1">
      <alignment horizontal="center" vertical="center"/>
    </xf>
    <xf numFmtId="165" fontId="26" fillId="0" borderId="28" xfId="0" applyNumberFormat="1" applyFont="1" applyBorder="1" applyAlignment="1" applyProtection="1">
      <alignment horizontal="center" vertical="center"/>
    </xf>
    <xf numFmtId="165" fontId="26" fillId="0" borderId="69" xfId="0" applyNumberFormat="1" applyFont="1" applyBorder="1" applyAlignment="1" applyProtection="1">
      <alignment horizontal="center" vertical="center"/>
    </xf>
    <xf numFmtId="165" fontId="26" fillId="0" borderId="30" xfId="0" applyNumberFormat="1" applyFont="1" applyBorder="1" applyAlignment="1">
      <alignment horizontal="center" vertical="center"/>
    </xf>
    <xf numFmtId="0" fontId="26" fillId="6" borderId="27" xfId="0" applyFont="1" applyFill="1" applyBorder="1" applyAlignment="1">
      <alignment horizontal="center" vertical="center"/>
    </xf>
    <xf numFmtId="0" fontId="26" fillId="6" borderId="24" xfId="0" applyFont="1" applyFill="1" applyBorder="1" applyAlignment="1">
      <alignment horizontal="center" vertical="center"/>
    </xf>
    <xf numFmtId="0" fontId="26" fillId="6" borderId="50" xfId="0" applyFont="1" applyFill="1" applyBorder="1" applyAlignment="1">
      <alignment horizontal="center" vertical="center"/>
    </xf>
    <xf numFmtId="0" fontId="6" fillId="6" borderId="3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44" fillId="0" borderId="0" xfId="0" applyFont="1" applyFill="1" applyBorder="1" applyAlignment="1" applyProtection="1">
      <alignment horizontal="center" vertical="center"/>
      <protection locked="0"/>
    </xf>
    <xf numFmtId="0" fontId="11" fillId="5" borderId="91" xfId="3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indent="1"/>
    </xf>
    <xf numFmtId="0" fontId="6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11" fillId="40" borderId="93" xfId="3" applyNumberFormat="1" applyFont="1" applyFill="1" applyBorder="1" applyAlignment="1">
      <alignment horizontal="center" vertical="center" wrapText="1"/>
    </xf>
    <xf numFmtId="165" fontId="11" fillId="43" borderId="93" xfId="3" applyNumberFormat="1" applyFont="1" applyFill="1" applyBorder="1" applyAlignment="1">
      <alignment horizontal="center" vertical="center" wrapText="1"/>
    </xf>
    <xf numFmtId="165" fontId="11" fillId="7" borderId="93" xfId="3" applyNumberFormat="1" applyFont="1" applyFill="1" applyBorder="1" applyAlignment="1">
      <alignment horizontal="center" vertical="center" wrapText="1"/>
    </xf>
    <xf numFmtId="165" fontId="11" fillId="41" borderId="93" xfId="3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26" fillId="40" borderId="50" xfId="0" applyFont="1" applyFill="1" applyBorder="1" applyAlignment="1" applyProtection="1">
      <alignment horizontal="left" vertical="center" indent="1"/>
      <protection locked="0"/>
    </xf>
    <xf numFmtId="0" fontId="26" fillId="40" borderId="50" xfId="0" applyFont="1" applyFill="1" applyBorder="1" applyAlignment="1">
      <alignment horizontal="left" vertical="center" indent="1"/>
    </xf>
    <xf numFmtId="0" fontId="26" fillId="43" borderId="50" xfId="0" applyFont="1" applyFill="1" applyBorder="1" applyAlignment="1" applyProtection="1">
      <alignment horizontal="left" vertical="center" indent="1"/>
      <protection locked="0"/>
    </xf>
    <xf numFmtId="0" fontId="26" fillId="43" borderId="50" xfId="0" applyFont="1" applyFill="1" applyBorder="1" applyAlignment="1">
      <alignment horizontal="left" vertical="center" indent="1"/>
    </xf>
    <xf numFmtId="0" fontId="26" fillId="21" borderId="50" xfId="0" applyFont="1" applyFill="1" applyBorder="1" applyAlignment="1">
      <alignment horizontal="left" vertical="center" indent="1"/>
    </xf>
    <xf numFmtId="0" fontId="26" fillId="21" borderId="50" xfId="0" applyFont="1" applyFill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center"/>
    </xf>
    <xf numFmtId="0" fontId="0" fillId="39" borderId="0" xfId="0" applyFill="1" applyBorder="1"/>
    <xf numFmtId="0" fontId="0" fillId="39" borderId="7" xfId="0" applyFill="1" applyBorder="1"/>
    <xf numFmtId="0" fontId="52" fillId="0" borderId="1" xfId="0" applyFont="1" applyFill="1" applyBorder="1"/>
    <xf numFmtId="20" fontId="0" fillId="0" borderId="1" xfId="0" applyNumberFormat="1" applyFont="1" applyFill="1" applyBorder="1"/>
    <xf numFmtId="0" fontId="0" fillId="0" borderId="1" xfId="0" applyFont="1" applyFill="1" applyBorder="1"/>
    <xf numFmtId="20" fontId="52" fillId="0" borderId="1" xfId="0" applyNumberFormat="1" applyFont="1" applyFill="1" applyBorder="1"/>
    <xf numFmtId="0" fontId="55" fillId="0" borderId="1" xfId="0" applyFont="1" applyFill="1" applyBorder="1"/>
    <xf numFmtId="20" fontId="55" fillId="0" borderId="1" xfId="0" applyNumberFormat="1" applyFont="1" applyFill="1" applyBorder="1"/>
    <xf numFmtId="0" fontId="0" fillId="0" borderId="1" xfId="0" applyNumberFormat="1" applyFont="1" applyFill="1" applyBorder="1"/>
    <xf numFmtId="0" fontId="0" fillId="0" borderId="0" xfId="0" applyAlignment="1">
      <alignment horizontal="center"/>
    </xf>
    <xf numFmtId="0" fontId="0" fillId="44" borderId="0" xfId="0" applyFill="1" applyAlignment="1">
      <alignment horizontal="center"/>
    </xf>
    <xf numFmtId="0" fontId="59" fillId="26" borderId="0" xfId="0" applyFont="1" applyFill="1" applyBorder="1" applyAlignment="1">
      <alignment horizontal="center" vertical="center" wrapText="1"/>
    </xf>
    <xf numFmtId="167" fontId="59" fillId="26" borderId="0" xfId="0" applyNumberFormat="1" applyFont="1" applyFill="1" applyBorder="1" applyAlignment="1">
      <alignment horizontal="center" vertical="center" wrapText="1"/>
    </xf>
    <xf numFmtId="167" fontId="59" fillId="44" borderId="0" xfId="0" applyNumberFormat="1" applyFont="1" applyFill="1" applyBorder="1" applyAlignment="1">
      <alignment horizontal="center" vertical="center" wrapText="1"/>
    </xf>
    <xf numFmtId="0" fontId="0" fillId="44" borderId="0" xfId="0" applyFill="1"/>
    <xf numFmtId="0" fontId="0" fillId="0" borderId="0" xfId="0" applyFont="1" applyBorder="1"/>
    <xf numFmtId="14" fontId="0" fillId="0" borderId="0" xfId="0" applyNumberFormat="1" applyFont="1" applyBorder="1"/>
    <xf numFmtId="167" fontId="0" fillId="0" borderId="0" xfId="0" applyNumberFormat="1" applyFont="1" applyBorder="1" applyAlignment="1">
      <alignment vertical="center"/>
    </xf>
    <xf numFmtId="167" fontId="0" fillId="44" borderId="0" xfId="0" applyNumberFormat="1" applyFont="1" applyFill="1" applyBorder="1" applyAlignment="1">
      <alignment vertical="center"/>
    </xf>
    <xf numFmtId="22" fontId="0" fillId="0" borderId="0" xfId="0" applyNumberFormat="1" applyFont="1" applyBorder="1" applyAlignment="1">
      <alignment vertical="center"/>
    </xf>
    <xf numFmtId="0" fontId="0" fillId="0" borderId="0" xfId="0" applyFont="1" applyBorder="1" applyAlignment="1">
      <alignment vertical="center"/>
    </xf>
    <xf numFmtId="167" fontId="0" fillId="0" borderId="50" xfId="0" applyNumberFormat="1" applyFont="1" applyFill="1" applyBorder="1" applyAlignment="1">
      <alignment vertical="center"/>
    </xf>
    <xf numFmtId="0" fontId="0" fillId="44" borderId="0" xfId="0" applyFill="1" applyBorder="1"/>
    <xf numFmtId="22" fontId="0" fillId="0" borderId="0" xfId="0" applyNumberFormat="1" applyFont="1" applyBorder="1"/>
    <xf numFmtId="22" fontId="0" fillId="44" borderId="0" xfId="0" applyNumberFormat="1" applyFont="1" applyFill="1" applyBorder="1"/>
    <xf numFmtId="22" fontId="0" fillId="0" borderId="50" xfId="0" applyNumberFormat="1" applyFont="1" applyFill="1" applyBorder="1"/>
    <xf numFmtId="0" fontId="0" fillId="0" borderId="69" xfId="0" applyBorder="1"/>
    <xf numFmtId="169" fontId="0" fillId="0" borderId="0" xfId="0" applyNumberFormat="1" applyFont="1" applyBorder="1" applyAlignment="1">
      <alignment vertical="center"/>
    </xf>
    <xf numFmtId="167" fontId="0" fillId="0" borderId="50" xfId="0" applyNumberFormat="1" applyBorder="1"/>
    <xf numFmtId="167" fontId="0" fillId="44" borderId="0" xfId="0" applyNumberFormat="1" applyFill="1" applyBorder="1"/>
    <xf numFmtId="167" fontId="0" fillId="0" borderId="50" xfId="0" applyNumberFormat="1" applyFill="1" applyBorder="1"/>
    <xf numFmtId="167" fontId="0" fillId="0" borderId="0" xfId="0" applyNumberFormat="1" applyBorder="1"/>
    <xf numFmtId="22" fontId="0" fillId="45" borderId="94" xfId="0" applyNumberFormat="1" applyFont="1" applyFill="1" applyBorder="1" applyAlignment="1">
      <alignment vertical="center"/>
    </xf>
    <xf numFmtId="0" fontId="0" fillId="45" borderId="94" xfId="0" applyFont="1" applyFill="1" applyBorder="1" applyAlignment="1">
      <alignment vertical="center"/>
    </xf>
    <xf numFmtId="22" fontId="0" fillId="0" borderId="94" xfId="0" applyNumberFormat="1" applyFont="1" applyBorder="1" applyAlignment="1">
      <alignment vertical="center"/>
    </xf>
    <xf numFmtId="0" fontId="0" fillId="0" borderId="94" xfId="0" applyFont="1" applyBorder="1" applyAlignment="1">
      <alignment vertical="center"/>
    </xf>
    <xf numFmtId="0" fontId="0" fillId="45" borderId="94" xfId="0" applyFont="1" applyFill="1" applyBorder="1"/>
    <xf numFmtId="0" fontId="0" fillId="0" borderId="94" xfId="0" applyFont="1" applyBorder="1"/>
    <xf numFmtId="167" fontId="0" fillId="45" borderId="94" xfId="0" applyNumberFormat="1" applyFont="1" applyFill="1" applyBorder="1" applyAlignment="1">
      <alignment vertical="center"/>
    </xf>
    <xf numFmtId="167" fontId="0" fillId="0" borderId="94" xfId="0" applyNumberFormat="1" applyFont="1" applyBorder="1" applyAlignment="1">
      <alignment vertical="center"/>
    </xf>
    <xf numFmtId="0" fontId="31" fillId="46" borderId="0" xfId="0" applyFont="1" applyFill="1"/>
    <xf numFmtId="0" fontId="0" fillId="46" borderId="0" xfId="0" applyFill="1"/>
    <xf numFmtId="0" fontId="32" fillId="46" borderId="0" xfId="0" applyFont="1" applyFill="1" applyAlignment="1">
      <alignment vertical="center" wrapText="1"/>
    </xf>
    <xf numFmtId="0" fontId="31" fillId="46" borderId="96" xfId="0" applyFont="1" applyFill="1" applyBorder="1"/>
    <xf numFmtId="0" fontId="0" fillId="46" borderId="97" xfId="0" applyFill="1" applyBorder="1"/>
    <xf numFmtId="168" fontId="11" fillId="26" borderId="99" xfId="0" applyNumberFormat="1" applyFont="1" applyFill="1" applyBorder="1" applyAlignment="1">
      <alignment horizontal="center" vertical="center"/>
    </xf>
    <xf numFmtId="0" fontId="26" fillId="0" borderId="65" xfId="0" applyFont="1" applyFill="1" applyBorder="1" applyAlignment="1">
      <alignment horizontal="center" vertical="center"/>
    </xf>
    <xf numFmtId="0" fontId="0" fillId="46" borderId="98" xfId="0" applyFill="1" applyBorder="1"/>
    <xf numFmtId="0" fontId="0" fillId="46" borderId="100" xfId="0" applyFill="1" applyBorder="1"/>
    <xf numFmtId="0" fontId="0" fillId="46" borderId="102" xfId="0" applyFill="1" applyBorder="1"/>
    <xf numFmtId="0" fontId="0" fillId="47" borderId="103" xfId="0" applyFill="1" applyBorder="1"/>
    <xf numFmtId="0" fontId="0" fillId="47" borderId="104" xfId="0" applyFill="1" applyBorder="1"/>
    <xf numFmtId="0" fontId="61" fillId="0" borderId="95" xfId="0" applyNumberFormat="1" applyFont="1" applyBorder="1" applyAlignment="1">
      <alignment horizontal="left" vertical="center"/>
    </xf>
    <xf numFmtId="164" fontId="61" fillId="0" borderId="95" xfId="0" applyNumberFormat="1" applyFont="1" applyBorder="1" applyAlignment="1">
      <alignment horizontal="left" vertical="center"/>
    </xf>
    <xf numFmtId="0" fontId="62" fillId="0" borderId="92" xfId="0" applyFont="1" applyBorder="1" applyAlignment="1">
      <alignment horizontal="right" vertical="center" indent="1"/>
    </xf>
    <xf numFmtId="0" fontId="62" fillId="0" borderId="50" xfId="0" applyFont="1" applyBorder="1" applyAlignment="1">
      <alignment horizontal="right" vertical="center" indent="1"/>
    </xf>
    <xf numFmtId="0" fontId="63" fillId="26" borderId="51" xfId="0" applyFont="1" applyFill="1" applyBorder="1" applyAlignment="1">
      <alignment horizontal="center" vertical="center"/>
    </xf>
    <xf numFmtId="0" fontId="63" fillId="26" borderId="52" xfId="0" applyFont="1" applyFill="1" applyBorder="1" applyAlignment="1">
      <alignment horizontal="center" vertical="center"/>
    </xf>
    <xf numFmtId="168" fontId="63" fillId="26" borderId="101" xfId="0" applyNumberFormat="1" applyFont="1" applyFill="1" applyBorder="1" applyAlignment="1">
      <alignment horizontal="center" vertical="center"/>
    </xf>
    <xf numFmtId="168" fontId="63" fillId="48" borderId="101" xfId="0" applyNumberFormat="1" applyFont="1" applyFill="1" applyBorder="1" applyAlignment="1">
      <alignment horizontal="center" vertical="center"/>
    </xf>
    <xf numFmtId="0" fontId="64" fillId="0" borderId="2" xfId="0" applyFont="1" applyBorder="1" applyAlignment="1">
      <alignment horizontal="left" vertical="center" indent="1"/>
    </xf>
    <xf numFmtId="0" fontId="64" fillId="0" borderId="1" xfId="0" applyFont="1" applyBorder="1" applyAlignment="1">
      <alignment horizontal="left" vertical="center" indent="1"/>
    </xf>
    <xf numFmtId="0" fontId="64" fillId="32" borderId="0" xfId="0" applyFont="1" applyFill="1" applyBorder="1" applyAlignment="1">
      <alignment horizontal="center" vertical="center"/>
    </xf>
    <xf numFmtId="0" fontId="64" fillId="32" borderId="76" xfId="0" applyFont="1" applyFill="1" applyBorder="1" applyAlignment="1">
      <alignment horizontal="center" vertical="center"/>
    </xf>
    <xf numFmtId="0" fontId="64" fillId="0" borderId="6" xfId="0" applyFont="1" applyBorder="1" applyAlignment="1">
      <alignment horizontal="left" vertical="center" indent="1"/>
    </xf>
    <xf numFmtId="0" fontId="64" fillId="0" borderId="7" xfId="0" applyFont="1" applyBorder="1" applyAlignment="1">
      <alignment horizontal="left" vertical="center" indent="1"/>
    </xf>
    <xf numFmtId="165" fontId="11" fillId="0" borderId="23" xfId="3" applyNumberFormat="1" applyFont="1" applyFill="1" applyBorder="1" applyAlignment="1" applyProtection="1">
      <alignment horizontal="center" vertical="center" wrapText="1"/>
      <protection locked="0"/>
    </xf>
    <xf numFmtId="0" fontId="66" fillId="32" borderId="0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left" vertical="center" indent="1"/>
    </xf>
    <xf numFmtId="0" fontId="0" fillId="46" borderId="97" xfId="0" applyFont="1" applyFill="1" applyBorder="1"/>
    <xf numFmtId="0" fontId="67" fillId="0" borderId="1" xfId="0" applyFont="1" applyBorder="1"/>
    <xf numFmtId="0" fontId="65" fillId="6" borderId="0" xfId="0" applyFont="1" applyFill="1" applyBorder="1" applyAlignment="1">
      <alignment horizontal="center" vertical="center"/>
    </xf>
    <xf numFmtId="0" fontId="66" fillId="19" borderId="84" xfId="0" applyFont="1" applyFill="1" applyBorder="1" applyAlignment="1">
      <alignment horizontal="center" vertical="center"/>
    </xf>
    <xf numFmtId="0" fontId="66" fillId="19" borderId="106" xfId="0" applyFont="1" applyFill="1" applyBorder="1" applyAlignment="1">
      <alignment horizontal="center" vertical="center"/>
    </xf>
    <xf numFmtId="0" fontId="68" fillId="0" borderId="0" xfId="0" applyFont="1"/>
    <xf numFmtId="170" fontId="70" fillId="19" borderId="84" xfId="0" applyNumberFormat="1" applyFont="1" applyFill="1" applyBorder="1" applyAlignment="1">
      <alignment horizontal="center" vertical="center"/>
    </xf>
    <xf numFmtId="0" fontId="66" fillId="0" borderId="105" xfId="0" applyFont="1" applyBorder="1" applyAlignment="1">
      <alignment horizontal="center" vertical="center"/>
    </xf>
    <xf numFmtId="0" fontId="66" fillId="0" borderId="56" xfId="0" applyFont="1" applyBorder="1" applyAlignment="1">
      <alignment horizontal="center" vertical="center"/>
    </xf>
    <xf numFmtId="0" fontId="66" fillId="0" borderId="57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1" xfId="0" applyFont="1" applyBorder="1" applyAlignment="1">
      <alignment vertical="center"/>
    </xf>
    <xf numFmtId="0" fontId="70" fillId="0" borderId="1" xfId="0" applyFont="1" applyBorder="1" applyAlignment="1">
      <alignment horizontal="center" vertical="center"/>
    </xf>
    <xf numFmtId="0" fontId="33" fillId="0" borderId="10" xfId="0" applyFont="1" applyBorder="1" applyAlignment="1" applyProtection="1">
      <alignment horizontal="left" vertical="center" indent="1"/>
      <protection locked="0"/>
    </xf>
    <xf numFmtId="0" fontId="33" fillId="0" borderId="10" xfId="0" applyFont="1" applyBorder="1" applyAlignment="1">
      <alignment horizontal="left" vertical="center" indent="1"/>
    </xf>
    <xf numFmtId="0" fontId="30" fillId="0" borderId="10" xfId="0" applyFont="1" applyBorder="1" applyAlignment="1">
      <alignment horizontal="right" vertical="center" indent="1"/>
    </xf>
    <xf numFmtId="0" fontId="32" fillId="0" borderId="0" xfId="0" applyFont="1" applyAlignment="1">
      <alignment horizontal="center" vertical="center"/>
    </xf>
    <xf numFmtId="0" fontId="60" fillId="0" borderId="92" xfId="0" applyFont="1" applyBorder="1" applyAlignment="1">
      <alignment horizontal="center" vertical="center" wrapText="1"/>
    </xf>
    <xf numFmtId="0" fontId="60" fillId="0" borderId="22" xfId="0" applyFont="1" applyBorder="1" applyAlignment="1">
      <alignment horizontal="center" vertical="center" wrapText="1"/>
    </xf>
    <xf numFmtId="0" fontId="60" fillId="0" borderId="0" xfId="0" applyFont="1" applyBorder="1" applyAlignment="1">
      <alignment horizontal="center" vertical="center" wrapText="1"/>
    </xf>
    <xf numFmtId="0" fontId="60" fillId="0" borderId="95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7" fillId="0" borderId="10" xfId="0" applyFont="1" applyBorder="1" applyAlignment="1">
      <alignment horizontal="left" vertical="center"/>
    </xf>
    <xf numFmtId="0" fontId="6" fillId="0" borderId="41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69" fillId="5" borderId="1" xfId="0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/>
    </xf>
    <xf numFmtId="0" fontId="71" fillId="5" borderId="1" xfId="0" applyFont="1" applyFill="1" applyBorder="1" applyAlignment="1">
      <alignment horizontal="center" vertical="center"/>
    </xf>
    <xf numFmtId="0" fontId="51" fillId="43" borderId="0" xfId="0" applyFont="1" applyFill="1" applyAlignment="1">
      <alignment horizontal="center" vertical="center" wrapText="1"/>
    </xf>
    <xf numFmtId="0" fontId="51" fillId="40" borderId="0" xfId="0" applyFont="1" applyFill="1" applyAlignment="1">
      <alignment horizontal="center" vertical="center" wrapText="1"/>
    </xf>
    <xf numFmtId="0" fontId="51" fillId="7" borderId="0" xfId="0" applyFont="1" applyFill="1" applyAlignment="1">
      <alignment horizontal="center" vertical="center" wrapText="1"/>
    </xf>
    <xf numFmtId="0" fontId="51" fillId="41" borderId="0" xfId="0" applyFont="1" applyFill="1" applyAlignment="1">
      <alignment horizontal="center" vertical="center" wrapText="1"/>
    </xf>
    <xf numFmtId="0" fontId="27" fillId="0" borderId="10" xfId="0" applyFont="1" applyFill="1" applyBorder="1" applyAlignment="1">
      <alignment horizontal="left" vertical="center"/>
    </xf>
    <xf numFmtId="0" fontId="51" fillId="21" borderId="0" xfId="0" applyFont="1" applyFill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45" xfId="0" applyFill="1" applyBorder="1" applyAlignment="1">
      <alignment horizontal="left"/>
    </xf>
    <xf numFmtId="0" fontId="0" fillId="0" borderId="40" xfId="0" applyFill="1" applyBorder="1" applyAlignment="1">
      <alignment horizontal="left"/>
    </xf>
    <xf numFmtId="0" fontId="0" fillId="0" borderId="44" xfId="0" applyFill="1" applyBorder="1" applyAlignment="1">
      <alignment horizontal="left"/>
    </xf>
    <xf numFmtId="0" fontId="0" fillId="0" borderId="43" xfId="0" applyFill="1" applyBorder="1" applyAlignment="1">
      <alignment horizontal="left"/>
    </xf>
    <xf numFmtId="0" fontId="0" fillId="37" borderId="79" xfId="0" applyFill="1" applyBorder="1" applyAlignment="1">
      <alignment horizontal="center" vertical="center"/>
    </xf>
    <xf numFmtId="0" fontId="0" fillId="37" borderId="86" xfId="0" applyFill="1" applyBorder="1" applyAlignment="1">
      <alignment horizontal="center" vertical="center"/>
    </xf>
    <xf numFmtId="0" fontId="0" fillId="0" borderId="5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89" xfId="0" applyFill="1" applyBorder="1" applyAlignment="1">
      <alignment horizontal="left"/>
    </xf>
    <xf numFmtId="0" fontId="0" fillId="0" borderId="38" xfId="0" applyFill="1" applyBorder="1" applyAlignment="1">
      <alignment horizontal="left"/>
    </xf>
    <xf numFmtId="0" fontId="0" fillId="0" borderId="90" xfId="0" applyFill="1" applyBorder="1" applyAlignment="1">
      <alignment horizontal="left"/>
    </xf>
    <xf numFmtId="0" fontId="0" fillId="0" borderId="8" xfId="0" applyFill="1" applyBorder="1" applyAlignment="1">
      <alignment horizontal="left"/>
    </xf>
    <xf numFmtId="0" fontId="0" fillId="0" borderId="6" xfId="0" applyFill="1" applyBorder="1" applyAlignment="1">
      <alignment horizontal="left"/>
    </xf>
    <xf numFmtId="0" fontId="54" fillId="0" borderId="0" xfId="0" applyFont="1" applyAlignment="1">
      <alignment horizontal="center" vertical="center" textRotation="90"/>
    </xf>
    <xf numFmtId="0" fontId="0" fillId="16" borderId="87" xfId="0" applyFill="1" applyBorder="1" applyAlignment="1">
      <alignment horizontal="center" vertical="center"/>
    </xf>
    <xf numFmtId="0" fontId="0" fillId="16" borderId="88" xfId="0" applyFill="1" applyBorder="1" applyAlignment="1">
      <alignment horizontal="center" vertical="center"/>
    </xf>
    <xf numFmtId="0" fontId="0" fillId="37" borderId="87" xfId="0" applyFill="1" applyBorder="1" applyAlignment="1">
      <alignment horizontal="center" vertical="center"/>
    </xf>
    <xf numFmtId="0" fontId="0" fillId="37" borderId="88" xfId="0" applyFill="1" applyBorder="1" applyAlignment="1">
      <alignment horizontal="center" vertical="center"/>
    </xf>
    <xf numFmtId="0" fontId="0" fillId="0" borderId="41" xfId="0" applyFill="1" applyBorder="1" applyAlignment="1">
      <alignment horizontal="left"/>
    </xf>
  </cellXfs>
  <cellStyles count="23">
    <cellStyle name="Admin" xfId="9"/>
    <cellStyle name="Break" xfId="12"/>
    <cellStyle name="Help Line" xfId="7"/>
    <cellStyle name="Lunch" xfId="11"/>
    <cellStyle name="Mgr Alvin" xfId="15"/>
    <cellStyle name="Mgr Barb" xfId="19"/>
    <cellStyle name="Mgr Brad" xfId="14"/>
    <cellStyle name="Mgr Danielle" xfId="17"/>
    <cellStyle name="Mgr Lola" xfId="13"/>
    <cellStyle name="Mgr Lori" xfId="18"/>
    <cellStyle name="Mgr Melinda" xfId="16"/>
    <cellStyle name="Misc" xfId="6"/>
    <cellStyle name="Normal" xfId="0" builtinId="0"/>
    <cellStyle name="Normal 2" xfId="1"/>
    <cellStyle name="Normal 3" xfId="4"/>
    <cellStyle name="Normal 4" xfId="5"/>
    <cellStyle name="Normal 5" xfId="3"/>
    <cellStyle name="Normal 6" xfId="2"/>
    <cellStyle name="Planned" xfId="21"/>
    <cellStyle name="RNNR" xfId="20"/>
    <cellStyle name="RTA" xfId="8"/>
    <cellStyle name="SIDE BY SIDE" xfId="22"/>
    <cellStyle name="Team Meeting" xfId="10"/>
  </cellStyles>
  <dxfs count="187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ill>
        <patternFill patternType="gray0625">
          <bgColor theme="0" tint="-0.14996795556505021"/>
        </patternFill>
      </fill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FF0000"/>
      </font>
      <fill>
        <gradientFill degree="45">
          <stop position="0">
            <color theme="0"/>
          </stop>
          <stop position="1">
            <color rgb="FFF28876"/>
          </stop>
        </gradientFill>
      </fill>
    </dxf>
    <dxf>
      <font>
        <b/>
        <i/>
        <color rgb="FFD18E09"/>
      </font>
      <fill>
        <gradientFill degree="13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B050"/>
      </font>
      <fill>
        <gradientFill type="path" left="0.5" right="0.5" top="0.5" bottom="0.5">
          <stop position="0">
            <color theme="0"/>
          </stop>
          <stop position="1">
            <color rgb="FFBBFFA3"/>
          </stop>
        </gradient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  <border>
        <left style="thin">
          <color theme="3"/>
        </left>
        <top style="thin">
          <color theme="3"/>
        </top>
        <bottom style="thin">
          <color theme="3"/>
        </bottom>
        <vertical/>
        <horizontal/>
      </border>
    </dxf>
    <dxf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8" tint="-0.24994659260841701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00000"/>
        </patternFill>
      </fill>
    </dxf>
    <dxf>
      <fill>
        <patternFill>
          <bgColor theme="8"/>
        </patternFill>
      </fill>
    </dxf>
    <dxf>
      <fill>
        <patternFill>
          <bgColor rgb="FFC00000"/>
        </patternFill>
      </fill>
    </dxf>
    <dxf>
      <fill>
        <patternFill>
          <bgColor theme="7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1"/>
      </font>
      <fill>
        <patternFill>
          <bgColor rgb="FFC0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 tint="-0.24994659260841701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009242"/>
      </font>
      <fill>
        <patternFill>
          <bgColor rgb="FF65FFA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ill>
        <patternFill patternType="gray0625">
          <bgColor theme="0" tint="-0.14996795556505021"/>
        </pattern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ont>
        <color auto="1"/>
      </font>
      <fill>
        <patternFill>
          <bgColor theme="0"/>
        </patternFill>
      </fill>
    </dxf>
    <dxf>
      <fill>
        <patternFill>
          <bgColor theme="8"/>
        </patternFill>
      </fill>
    </dxf>
    <dxf>
      <font>
        <b/>
        <i val="0"/>
      </font>
      <fill>
        <patternFill>
          <bgColor theme="5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>
          <bgColor theme="8"/>
        </patternFill>
      </fill>
    </dxf>
    <dxf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3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BBFFA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2" tint="-0.749961851863155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EB9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b/>
        <i val="0"/>
      </font>
      <fill>
        <patternFill>
          <bgColor theme="6"/>
        </patternFill>
      </fill>
      <border>
        <left style="hair">
          <color theme="3"/>
        </left>
        <right style="hair">
          <color theme="3"/>
        </right>
        <top style="hair">
          <color theme="3"/>
        </top>
        <bottom style="hair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7" formatCode="m/d/yyyy\ h:mm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7" formatCode="m/d/yyyy\ h:mm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h:mm;@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7" formatCode="h:mm;@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h:mm;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m/d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m/d/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m/d/yy;@"/>
    </dxf>
    <dxf>
      <numFmt numFmtId="164" formatCode="m/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border diagonalUp="0" diagonalDown="0">
        <left/>
        <right style="medium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outline="0">
        <left style="medium">
          <color auto="1"/>
        </left>
        <right style="medium">
          <color rgb="FF000000"/>
        </right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mbria"/>
        <scheme val="major"/>
      </font>
      <numFmt numFmtId="165" formatCode="00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outline="0">
        <left style="medium">
          <color auto="1"/>
        </left>
        <right style="medium">
          <color rgb="FF000000"/>
        </right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mbria"/>
        <scheme val="major"/>
      </font>
      <numFmt numFmtId="165" formatCode="00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outline="0">
        <left style="medium">
          <color auto="1"/>
        </left>
        <right style="medium">
          <color rgb="FF000000"/>
        </right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mbria"/>
        <scheme val="major"/>
      </font>
      <numFmt numFmtId="165" formatCode="00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outline="0">
        <left style="medium">
          <color auto="1"/>
        </left>
        <right style="medium">
          <color rgb="FF000000"/>
        </right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mbria"/>
        <scheme val="major"/>
      </font>
      <numFmt numFmtId="165" formatCode="00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left style="medium">
          <color auto="1"/>
        </left>
        <right style="medium">
          <color rgb="FF000000"/>
        </right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mbria"/>
        <scheme val="major"/>
      </font>
      <numFmt numFmtId="165" formatCode="00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border outline="0">
        <left style="medium">
          <color auto="1"/>
        </left>
        <right style="medium">
          <color rgb="FF000000"/>
        </right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mbria"/>
        <scheme val="major"/>
      </font>
      <numFmt numFmtId="165" formatCode="00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border outline="0">
        <left style="medium">
          <color auto="1"/>
        </left>
        <right style="medium">
          <color rgb="FF000000"/>
        </right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mbria"/>
        <scheme val="major"/>
      </font>
      <numFmt numFmtId="165" formatCode="00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outline="0">
        <left style="medium">
          <color auto="1"/>
        </left>
        <right style="medium">
          <color rgb="FF000000"/>
        </right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mbria"/>
        <scheme val="major"/>
      </font>
      <numFmt numFmtId="165" formatCode="00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medium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border outline="0">
        <left style="medium">
          <color auto="1"/>
        </left>
        <right style="medium">
          <color rgb="FF000000"/>
        </right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mbria"/>
        <scheme val="major"/>
      </font>
      <numFmt numFmtId="165" formatCode="00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border outline="0">
        <left style="medium">
          <color auto="1"/>
        </left>
        <right style="medium">
          <color rgb="FF000000"/>
        </right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mbria"/>
        <scheme val="major"/>
      </font>
      <numFmt numFmtId="165" formatCode="00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border outline="0">
        <left style="medium">
          <color auto="1"/>
        </left>
        <right style="medium">
          <color rgb="FF000000"/>
        </right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mbria"/>
        <scheme val="major"/>
      </font>
      <numFmt numFmtId="165" formatCode="00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border outline="0">
        <left style="medium">
          <color auto="1"/>
        </left>
        <right style="medium">
          <color rgb="FF000000"/>
        </right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mbria"/>
        <scheme val="major"/>
      </font>
      <numFmt numFmtId="165" formatCode="00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outline="0">
        <left style="medium">
          <color auto="1"/>
        </left>
        <right style="medium">
          <color rgb="FF000000"/>
        </right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mbria"/>
        <scheme val="major"/>
      </font>
      <numFmt numFmtId="165" formatCode="00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outline="0">
        <left style="medium">
          <color auto="1"/>
        </left>
        <right style="medium">
          <color rgb="FF000000"/>
        </right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mbria"/>
        <scheme val="major"/>
      </font>
      <numFmt numFmtId="165" formatCode="00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medium">
          <color auto="1"/>
        </right>
        <top style="thin">
          <color theme="1" tint="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0000"/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center" textRotation="0" wrapText="0" indent="1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center" textRotation="0" wrapText="0" indent="1" justifyLastLine="0" shrinkToFit="0" readingOrder="0"/>
      <border diagonalUp="0" diagonalDown="0">
        <left/>
        <right style="thin">
          <color theme="1" tint="0.499984740745262"/>
        </right>
        <top style="thin">
          <color theme="6"/>
        </top>
        <bottom/>
        <vertical/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mbria"/>
        <scheme val="major"/>
      </font>
      <numFmt numFmtId="165" formatCode="00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</dxf>
    <dxf>
      <font>
        <b val="0"/>
        <strike val="0"/>
        <outline val="0"/>
        <shadow val="0"/>
        <u val="none"/>
        <vertAlign val="baseline"/>
        <sz val="10"/>
      </font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  <alignment horizontal="left" vertical="center" textRotation="0" wrapText="0" relativeIndent="1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</font>
    </dxf>
    <dxf>
      <font>
        <b val="0"/>
        <strike val="0"/>
        <outline val="0"/>
        <shadow val="0"/>
        <u val="none"/>
        <vertAlign val="baseline"/>
        <sz val="10"/>
      </font>
      <alignment horizontal="center" vertical="center" textRotation="0" wrapText="1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fill>
        <patternFill>
          <bgColor theme="0" tint="-0.14996795556505021"/>
        </patternFill>
      </fill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color theme="0"/>
      </font>
      <fill>
        <patternFill>
          <bgColor theme="4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/>
        </vertical>
        <horizontal/>
      </border>
    </dxf>
  </dxfs>
  <tableStyles count="3" defaultTableStyle="TableStyleMedium2" defaultPivotStyle="PivotStyleMedium9">
    <tableStyle name="TableStyleLight9 2" pivot="0" count="1">
      <tableStyleElement type="headerRow" dxfId="1873"/>
    </tableStyle>
    <tableStyle name="TableStyleLight9 3" pivot="0" count="9">
      <tableStyleElement type="wholeTable" dxfId="1872"/>
      <tableStyleElement type="headerRow" dxfId="1871"/>
      <tableStyleElement type="totalRow" dxfId="1870"/>
      <tableStyleElement type="firstColumn" dxfId="1869"/>
      <tableStyleElement type="lastColumn" dxfId="1868"/>
      <tableStyleElement type="firstRowStripe" dxfId="1867"/>
      <tableStyleElement type="secondRowStripe" dxfId="1866"/>
      <tableStyleElement type="firstColumnStripe" dxfId="1865"/>
      <tableStyleElement type="secondColumnStripe" dxfId="1864"/>
    </tableStyle>
    <tableStyle name="TableStyleLight9 4" pivot="0" count="2">
      <tableStyleElement type="wholeTable" dxfId="1863"/>
      <tableStyleElement type="headerRow" dxfId="1862"/>
    </tableStyle>
  </tableStyles>
  <colors>
    <mruColors>
      <color rgb="FFCDF3CD"/>
      <color rgb="FF009242"/>
      <color rgb="FF65FFAB"/>
      <color rgb="FF79F77C"/>
      <color rgb="FFFF9933"/>
      <color rgb="FFFFEAE7"/>
      <color rgb="FFFFC7CE"/>
      <color rgb="FFFFEB9C"/>
      <color rgb="FFBBFFA3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123825</xdr:colOff>
      <xdr:row>1</xdr:row>
      <xdr:rowOff>165100</xdr:rowOff>
    </xdr:from>
    <xdr:to>
      <xdr:col>13</xdr:col>
      <xdr:colOff>609600</xdr:colOff>
      <xdr:row>5</xdr:row>
      <xdr:rowOff>174625</xdr:rowOff>
    </xdr:to>
    <xdr:sp macro="[0]!Cleanup_RTA_Table" textlink="">
      <xdr:nvSpPr>
        <xdr:cNvPr id="2" name="Rounded Rectangle 1"/>
        <xdr:cNvSpPr/>
      </xdr:nvSpPr>
      <xdr:spPr>
        <a:xfrm>
          <a:off x="6934200" y="241300"/>
          <a:ext cx="1704975" cy="581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+mj-lt"/>
            </a:rPr>
            <a:t>Cleanup Table</a:t>
          </a:r>
        </a:p>
      </xdr:txBody>
    </xdr:sp>
    <xdr:clientData/>
  </xdr:twoCellAnchor>
  <xdr:twoCellAnchor>
    <xdr:from>
      <xdr:col>13</xdr:col>
      <xdr:colOff>752475</xdr:colOff>
      <xdr:row>1</xdr:row>
      <xdr:rowOff>152400</xdr:rowOff>
    </xdr:from>
    <xdr:to>
      <xdr:col>13</xdr:col>
      <xdr:colOff>2457450</xdr:colOff>
      <xdr:row>5</xdr:row>
      <xdr:rowOff>161925</xdr:rowOff>
    </xdr:to>
    <xdr:sp macro="[0]!RefreshRTA" textlink="">
      <xdr:nvSpPr>
        <xdr:cNvPr id="3" name="Rounded Rectangle 2"/>
        <xdr:cNvSpPr/>
      </xdr:nvSpPr>
      <xdr:spPr>
        <a:xfrm>
          <a:off x="8782050" y="228600"/>
          <a:ext cx="1704975" cy="5810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+mj-lt"/>
            </a:rPr>
            <a:t>Refresh Table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1485900</xdr:colOff>
      <xdr:row>7</xdr:row>
      <xdr:rowOff>85725</xdr:rowOff>
    </xdr:from>
    <xdr:to>
      <xdr:col>11</xdr:col>
      <xdr:colOff>209550</xdr:colOff>
      <xdr:row>9</xdr:row>
      <xdr:rowOff>114300</xdr:rowOff>
    </xdr:to>
    <xdr:sp macro="[0]!PublishMode" textlink="">
      <xdr:nvSpPr>
        <xdr:cNvPr id="2" name="Rounded Rectangle 1"/>
        <xdr:cNvSpPr/>
      </xdr:nvSpPr>
      <xdr:spPr>
        <a:xfrm>
          <a:off x="7562850" y="1419225"/>
          <a:ext cx="1895475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latin typeface="+mj-lt"/>
            </a:rPr>
            <a:t>Publish Mode</a:t>
          </a:r>
        </a:p>
        <a:p>
          <a:pPr algn="ctr"/>
          <a:endParaRPr lang="en-US" sz="800" b="1">
            <a:latin typeface="+mj-lt"/>
          </a:endParaRPr>
        </a:p>
      </xdr:txBody>
    </xdr:sp>
    <xdr:clientData/>
  </xdr:twoCellAnchor>
  <xdr:twoCellAnchor>
    <xdr:from>
      <xdr:col>9</xdr:col>
      <xdr:colOff>962026</xdr:colOff>
      <xdr:row>22</xdr:row>
      <xdr:rowOff>0</xdr:rowOff>
    </xdr:from>
    <xdr:to>
      <xdr:col>11</xdr:col>
      <xdr:colOff>590551</xdr:colOff>
      <xdr:row>24</xdr:row>
      <xdr:rowOff>47625</xdr:rowOff>
    </xdr:to>
    <xdr:sp macro="[0]!EditMode" textlink="">
      <xdr:nvSpPr>
        <xdr:cNvPr id="4" name="Rounded Rectangle 3"/>
        <xdr:cNvSpPr/>
      </xdr:nvSpPr>
      <xdr:spPr>
        <a:xfrm>
          <a:off x="7038976" y="4191000"/>
          <a:ext cx="2800350" cy="4286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latin typeface="+mj-lt"/>
            </a:rPr>
            <a:t>All Mode</a:t>
          </a:r>
        </a:p>
        <a:p>
          <a:pPr algn="ctr"/>
          <a:endParaRPr lang="en-US" sz="800" b="1">
            <a:latin typeface="+mj-lt"/>
          </a:endParaRPr>
        </a:p>
      </xdr:txBody>
    </xdr:sp>
    <xdr:clientData/>
  </xdr:twoCellAnchor>
  <xdr:twoCellAnchor>
    <xdr:from>
      <xdr:col>9</xdr:col>
      <xdr:colOff>1504950</xdr:colOff>
      <xdr:row>10</xdr:row>
      <xdr:rowOff>66675</xdr:rowOff>
    </xdr:from>
    <xdr:to>
      <xdr:col>11</xdr:col>
      <xdr:colOff>228600</xdr:colOff>
      <xdr:row>12</xdr:row>
      <xdr:rowOff>95250</xdr:rowOff>
    </xdr:to>
    <xdr:sp macro="[0]!ProtectWorksheets" textlink="">
      <xdr:nvSpPr>
        <xdr:cNvPr id="5" name="Rounded Rectangle 4"/>
        <xdr:cNvSpPr/>
      </xdr:nvSpPr>
      <xdr:spPr>
        <a:xfrm>
          <a:off x="7581900" y="1971675"/>
          <a:ext cx="1895475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latin typeface="+mj-lt"/>
            </a:rPr>
            <a:t>Protect Pt1</a:t>
          </a:r>
        </a:p>
        <a:p>
          <a:pPr algn="ctr"/>
          <a:endParaRPr lang="en-US" sz="800" b="1">
            <a:latin typeface="+mj-lt"/>
          </a:endParaRPr>
        </a:p>
      </xdr:txBody>
    </xdr:sp>
    <xdr:clientData/>
  </xdr:twoCellAnchor>
  <xdr:twoCellAnchor>
    <xdr:from>
      <xdr:col>9</xdr:col>
      <xdr:colOff>1495425</xdr:colOff>
      <xdr:row>13</xdr:row>
      <xdr:rowOff>47625</xdr:rowOff>
    </xdr:from>
    <xdr:to>
      <xdr:col>11</xdr:col>
      <xdr:colOff>219075</xdr:colOff>
      <xdr:row>15</xdr:row>
      <xdr:rowOff>76200</xdr:rowOff>
    </xdr:to>
    <xdr:sp macro="[0]!ProtectWorksheets_Part2" textlink="">
      <xdr:nvSpPr>
        <xdr:cNvPr id="6" name="Rounded Rectangle 5"/>
        <xdr:cNvSpPr/>
      </xdr:nvSpPr>
      <xdr:spPr>
        <a:xfrm>
          <a:off x="7572375" y="2524125"/>
          <a:ext cx="1895475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latin typeface="+mj-lt"/>
            </a:rPr>
            <a:t>Protect Pt2</a:t>
          </a:r>
        </a:p>
        <a:p>
          <a:pPr algn="ctr"/>
          <a:endParaRPr lang="en-US" sz="800" b="1">
            <a:latin typeface="+mj-lt"/>
          </a:endParaRPr>
        </a:p>
      </xdr:txBody>
    </xdr:sp>
    <xdr:clientData/>
  </xdr:twoCellAnchor>
  <xdr:twoCellAnchor>
    <xdr:from>
      <xdr:col>9</xdr:col>
      <xdr:colOff>962025</xdr:colOff>
      <xdr:row>17</xdr:row>
      <xdr:rowOff>19050</xdr:rowOff>
    </xdr:from>
    <xdr:to>
      <xdr:col>11</xdr:col>
      <xdr:colOff>600075</xdr:colOff>
      <xdr:row>19</xdr:row>
      <xdr:rowOff>133350</xdr:rowOff>
    </xdr:to>
    <xdr:sp macro="[0]!UnProtectAll" textlink="">
      <xdr:nvSpPr>
        <xdr:cNvPr id="7" name="Rounded Rectangle 6"/>
        <xdr:cNvSpPr/>
      </xdr:nvSpPr>
      <xdr:spPr>
        <a:xfrm>
          <a:off x="7038975" y="3257550"/>
          <a:ext cx="2809875" cy="4953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latin typeface="+mj-lt"/>
            </a:rPr>
            <a:t>Unprotect</a:t>
          </a:r>
        </a:p>
        <a:p>
          <a:pPr algn="ctr"/>
          <a:endParaRPr lang="en-US" sz="800" b="1">
            <a:latin typeface="+mj-lt"/>
          </a:endParaRPr>
        </a:p>
      </xdr:txBody>
    </xdr:sp>
    <xdr:clientData/>
  </xdr:twoCellAnchor>
  <xdr:twoCellAnchor>
    <xdr:from>
      <xdr:col>9</xdr:col>
      <xdr:colOff>962025</xdr:colOff>
      <xdr:row>25</xdr:row>
      <xdr:rowOff>19049</xdr:rowOff>
    </xdr:from>
    <xdr:to>
      <xdr:col>11</xdr:col>
      <xdr:colOff>600075</xdr:colOff>
      <xdr:row>27</xdr:row>
      <xdr:rowOff>47624</xdr:rowOff>
    </xdr:to>
    <xdr:sp macro="[0]!Lead_Mode" textlink="">
      <xdr:nvSpPr>
        <xdr:cNvPr id="8" name="Rounded Rectangle 7"/>
        <xdr:cNvSpPr/>
      </xdr:nvSpPr>
      <xdr:spPr>
        <a:xfrm>
          <a:off x="7038975" y="4781549"/>
          <a:ext cx="2809875" cy="4095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latin typeface="+mj-lt"/>
            </a:rPr>
            <a:t>Lead Mode</a:t>
          </a:r>
        </a:p>
        <a:p>
          <a:pPr algn="ctr"/>
          <a:endParaRPr lang="en-US" sz="800" b="1">
            <a:latin typeface="+mj-lt"/>
          </a:endParaRPr>
        </a:p>
      </xdr:txBody>
    </xdr:sp>
    <xdr:clientData/>
  </xdr:twoCellAnchor>
  <xdr:twoCellAnchor>
    <xdr:from>
      <xdr:col>9</xdr:col>
      <xdr:colOff>952500</xdr:colOff>
      <xdr:row>28</xdr:row>
      <xdr:rowOff>9525</xdr:rowOff>
    </xdr:from>
    <xdr:to>
      <xdr:col>11</xdr:col>
      <xdr:colOff>590550</xdr:colOff>
      <xdr:row>30</xdr:row>
      <xdr:rowOff>19050</xdr:rowOff>
    </xdr:to>
    <xdr:sp macro="[0]!Supervisor_Mode" textlink="">
      <xdr:nvSpPr>
        <xdr:cNvPr id="9" name="Rounded Rectangle 8"/>
        <xdr:cNvSpPr/>
      </xdr:nvSpPr>
      <xdr:spPr>
        <a:xfrm>
          <a:off x="7029450" y="5343525"/>
          <a:ext cx="2809875" cy="3905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latin typeface="+mj-lt"/>
            </a:rPr>
            <a:t>Sup</a:t>
          </a:r>
          <a:r>
            <a:rPr lang="en-US" sz="1800" b="1" baseline="0">
              <a:latin typeface="+mj-lt"/>
            </a:rPr>
            <a:t> Mode</a:t>
          </a:r>
          <a:endParaRPr lang="en-US" sz="1800" b="1">
            <a:latin typeface="+mj-lt"/>
          </a:endParaRPr>
        </a:p>
        <a:p>
          <a:pPr algn="ctr"/>
          <a:endParaRPr lang="en-US" sz="800" b="1">
            <a:latin typeface="+mj-lt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loor%20Ops%20Schedule/Forecaster/Forec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ecast sheet"/>
      <sheetName val="Weighted"/>
      <sheetName val="Tuesday"/>
      <sheetName val="Wednesday"/>
      <sheetName val="Thursday"/>
      <sheetName val="Friday"/>
      <sheetName val="Saturday"/>
      <sheetName val="Sunday"/>
      <sheetName val="Monday"/>
    </sheetNames>
    <sheetDataSet>
      <sheetData sheetId="0"/>
      <sheetData sheetId="1">
        <row r="2">
          <cell r="B2">
            <v>1.05</v>
          </cell>
          <cell r="C2">
            <v>1.05</v>
          </cell>
          <cell r="D2">
            <v>1.05</v>
          </cell>
          <cell r="E2">
            <v>2.1</v>
          </cell>
          <cell r="F2">
            <v>1.05</v>
          </cell>
          <cell r="G2">
            <v>1.05</v>
          </cell>
          <cell r="H2">
            <v>2.1</v>
          </cell>
          <cell r="I2">
            <v>2.1</v>
          </cell>
          <cell r="J2">
            <v>2.1</v>
          </cell>
          <cell r="K2">
            <v>2.1</v>
          </cell>
          <cell r="L2">
            <v>3.1500000000000004</v>
          </cell>
          <cell r="M2">
            <v>2.1</v>
          </cell>
          <cell r="N2">
            <v>2.1</v>
          </cell>
          <cell r="O2">
            <v>4.2</v>
          </cell>
          <cell r="P2">
            <v>3.1500000000000004</v>
          </cell>
          <cell r="Q2">
            <v>3.1500000000000004</v>
          </cell>
          <cell r="R2">
            <v>2.1</v>
          </cell>
          <cell r="S2">
            <v>2.1</v>
          </cell>
          <cell r="T2">
            <v>6.3000000000000007</v>
          </cell>
          <cell r="U2">
            <v>2.1</v>
          </cell>
          <cell r="V2">
            <v>3.1500000000000004</v>
          </cell>
          <cell r="W2">
            <v>2.1</v>
          </cell>
          <cell r="X2">
            <v>3.1500000000000004</v>
          </cell>
          <cell r="Y2">
            <v>2.1</v>
          </cell>
          <cell r="Z2">
            <v>1.05</v>
          </cell>
          <cell r="AA2">
            <v>2.1</v>
          </cell>
          <cell r="AB2">
            <v>3.1500000000000004</v>
          </cell>
          <cell r="AC2">
            <v>2.1</v>
          </cell>
          <cell r="AD2">
            <v>1.05</v>
          </cell>
          <cell r="AE2">
            <v>2.1</v>
          </cell>
          <cell r="AF2">
            <v>2.1</v>
          </cell>
          <cell r="AG2">
            <v>2.1</v>
          </cell>
          <cell r="AH2">
            <v>1.05</v>
          </cell>
          <cell r="AI2">
            <v>1.05</v>
          </cell>
          <cell r="AJ2">
            <v>1.05</v>
          </cell>
          <cell r="AK2">
            <v>1.05</v>
          </cell>
          <cell r="AL2">
            <v>1.05</v>
          </cell>
          <cell r="AM2">
            <v>1.05</v>
          </cell>
          <cell r="AN2">
            <v>1.05</v>
          </cell>
          <cell r="AO2">
            <v>1.05</v>
          </cell>
        </row>
        <row r="5">
          <cell r="B5">
            <v>1.05</v>
          </cell>
          <cell r="C5">
            <v>1.05</v>
          </cell>
          <cell r="D5">
            <v>1.05</v>
          </cell>
          <cell r="E5">
            <v>1.05</v>
          </cell>
          <cell r="F5">
            <v>1.05</v>
          </cell>
          <cell r="G5">
            <v>1.05</v>
          </cell>
          <cell r="H5">
            <v>2.1</v>
          </cell>
          <cell r="I5">
            <v>1.05</v>
          </cell>
          <cell r="J5">
            <v>2.1</v>
          </cell>
          <cell r="K5">
            <v>2.1</v>
          </cell>
          <cell r="L5">
            <v>2.1</v>
          </cell>
          <cell r="M5">
            <v>1.05</v>
          </cell>
          <cell r="N5">
            <v>1.05</v>
          </cell>
          <cell r="O5">
            <v>2.1</v>
          </cell>
          <cell r="P5">
            <v>2.1</v>
          </cell>
          <cell r="Q5">
            <v>3.1500000000000004</v>
          </cell>
          <cell r="R5">
            <v>3.1500000000000004</v>
          </cell>
          <cell r="S5">
            <v>2.1</v>
          </cell>
          <cell r="T5">
            <v>2.1</v>
          </cell>
          <cell r="U5">
            <v>2.1</v>
          </cell>
          <cell r="V5">
            <v>3.1500000000000004</v>
          </cell>
          <cell r="W5">
            <v>1.05</v>
          </cell>
          <cell r="X5">
            <v>1.05</v>
          </cell>
          <cell r="Y5">
            <v>2.1</v>
          </cell>
          <cell r="Z5">
            <v>1.05</v>
          </cell>
          <cell r="AA5">
            <v>2.1</v>
          </cell>
          <cell r="AB5">
            <v>2.1</v>
          </cell>
          <cell r="AC5">
            <v>2.1</v>
          </cell>
          <cell r="AD5">
            <v>1.05</v>
          </cell>
          <cell r="AE5">
            <v>1.05</v>
          </cell>
          <cell r="AF5">
            <v>1.05</v>
          </cell>
          <cell r="AG5">
            <v>2.1</v>
          </cell>
          <cell r="AH5">
            <v>1.05</v>
          </cell>
          <cell r="AI5">
            <v>1.05</v>
          </cell>
          <cell r="AJ5">
            <v>1.05</v>
          </cell>
          <cell r="AK5">
            <v>1.05</v>
          </cell>
          <cell r="AL5">
            <v>1.05</v>
          </cell>
          <cell r="AM5">
            <v>1.05</v>
          </cell>
          <cell r="AN5">
            <v>1.05</v>
          </cell>
          <cell r="AO5">
            <v>1.05</v>
          </cell>
        </row>
        <row r="8">
          <cell r="B8">
            <v>1.05</v>
          </cell>
          <cell r="C8">
            <v>1.05</v>
          </cell>
          <cell r="D8">
            <v>1.05</v>
          </cell>
          <cell r="E8">
            <v>1.05</v>
          </cell>
          <cell r="F8">
            <v>1.05</v>
          </cell>
          <cell r="G8">
            <v>1.05</v>
          </cell>
          <cell r="H8">
            <v>1.05</v>
          </cell>
          <cell r="I8">
            <v>1.05</v>
          </cell>
          <cell r="J8">
            <v>3.1500000000000004</v>
          </cell>
          <cell r="K8">
            <v>1.05</v>
          </cell>
          <cell r="L8">
            <v>1.05</v>
          </cell>
          <cell r="M8">
            <v>1.05</v>
          </cell>
          <cell r="N8">
            <v>2.1</v>
          </cell>
          <cell r="O8">
            <v>1.05</v>
          </cell>
          <cell r="P8">
            <v>2.1</v>
          </cell>
          <cell r="Q8">
            <v>2.1</v>
          </cell>
          <cell r="R8">
            <v>1.05</v>
          </cell>
          <cell r="S8">
            <v>3.1500000000000004</v>
          </cell>
          <cell r="T8">
            <v>1.05</v>
          </cell>
          <cell r="U8">
            <v>1.05</v>
          </cell>
          <cell r="V8">
            <v>1.05</v>
          </cell>
          <cell r="W8">
            <v>2.1</v>
          </cell>
          <cell r="X8">
            <v>3.1500000000000004</v>
          </cell>
          <cell r="Y8">
            <v>2.1</v>
          </cell>
          <cell r="Z8">
            <v>1.05</v>
          </cell>
          <cell r="AA8">
            <v>2.1</v>
          </cell>
          <cell r="AB8">
            <v>1.05</v>
          </cell>
          <cell r="AC8">
            <v>1.05</v>
          </cell>
          <cell r="AD8">
            <v>1.05</v>
          </cell>
          <cell r="AE8">
            <v>1.05</v>
          </cell>
          <cell r="AF8">
            <v>1.05</v>
          </cell>
          <cell r="AG8">
            <v>2.1</v>
          </cell>
          <cell r="AH8">
            <v>1.05</v>
          </cell>
          <cell r="AI8">
            <v>1.05</v>
          </cell>
          <cell r="AJ8">
            <v>1.05</v>
          </cell>
          <cell r="AK8">
            <v>1.05</v>
          </cell>
          <cell r="AL8">
            <v>1.05</v>
          </cell>
          <cell r="AM8">
            <v>1.05</v>
          </cell>
          <cell r="AN8">
            <v>1.05</v>
          </cell>
          <cell r="AO8">
            <v>1.05</v>
          </cell>
        </row>
        <row r="11">
          <cell r="B11">
            <v>1.05</v>
          </cell>
          <cell r="C11">
            <v>1.05</v>
          </cell>
          <cell r="D11">
            <v>1.05</v>
          </cell>
          <cell r="E11">
            <v>1.05</v>
          </cell>
          <cell r="F11">
            <v>1.05</v>
          </cell>
          <cell r="G11">
            <v>2.1</v>
          </cell>
          <cell r="H11">
            <v>1.05</v>
          </cell>
          <cell r="I11">
            <v>2.1</v>
          </cell>
          <cell r="J11">
            <v>1.05</v>
          </cell>
          <cell r="K11">
            <v>2.1</v>
          </cell>
          <cell r="L11">
            <v>2.1</v>
          </cell>
          <cell r="M11">
            <v>2.1</v>
          </cell>
          <cell r="N11">
            <v>2.1</v>
          </cell>
          <cell r="O11">
            <v>3.1500000000000004</v>
          </cell>
          <cell r="P11">
            <v>3.1500000000000004</v>
          </cell>
          <cell r="Q11">
            <v>2.1</v>
          </cell>
          <cell r="R11">
            <v>4.2</v>
          </cell>
          <cell r="S11">
            <v>2.1</v>
          </cell>
          <cell r="T11">
            <v>3.1500000000000004</v>
          </cell>
          <cell r="U11">
            <v>4.2</v>
          </cell>
          <cell r="V11">
            <v>4.2</v>
          </cell>
          <cell r="W11">
            <v>4.2</v>
          </cell>
          <cell r="X11">
            <v>3.1500000000000004</v>
          </cell>
          <cell r="Y11">
            <v>2.1</v>
          </cell>
          <cell r="Z11">
            <v>2.1</v>
          </cell>
          <cell r="AA11">
            <v>2.1</v>
          </cell>
          <cell r="AB11">
            <v>2.1</v>
          </cell>
          <cell r="AC11">
            <v>2.1</v>
          </cell>
          <cell r="AD11">
            <v>3.1500000000000004</v>
          </cell>
          <cell r="AE11">
            <v>4.2</v>
          </cell>
          <cell r="AF11">
            <v>2.1</v>
          </cell>
          <cell r="AG11">
            <v>2.1</v>
          </cell>
          <cell r="AH11">
            <v>1.05</v>
          </cell>
          <cell r="AI11">
            <v>1.05</v>
          </cell>
          <cell r="AJ11">
            <v>1.05</v>
          </cell>
          <cell r="AK11">
            <v>1.05</v>
          </cell>
          <cell r="AL11">
            <v>1.05</v>
          </cell>
          <cell r="AM11">
            <v>1.05</v>
          </cell>
          <cell r="AN11">
            <v>1.05</v>
          </cell>
          <cell r="AO11">
            <v>1.05</v>
          </cell>
        </row>
        <row r="14">
          <cell r="B14">
            <v>1.05</v>
          </cell>
          <cell r="C14">
            <v>1.05</v>
          </cell>
          <cell r="D14">
            <v>1.05</v>
          </cell>
          <cell r="E14">
            <v>1.05</v>
          </cell>
          <cell r="F14">
            <v>2.1</v>
          </cell>
          <cell r="G14">
            <v>1.05</v>
          </cell>
          <cell r="H14">
            <v>3.1500000000000004</v>
          </cell>
          <cell r="I14">
            <v>2.1</v>
          </cell>
          <cell r="J14">
            <v>3.1500000000000004</v>
          </cell>
          <cell r="K14">
            <v>2.1</v>
          </cell>
          <cell r="L14">
            <v>1.05</v>
          </cell>
          <cell r="M14">
            <v>3.1500000000000004</v>
          </cell>
          <cell r="N14">
            <v>3.1500000000000004</v>
          </cell>
          <cell r="O14">
            <v>2.1</v>
          </cell>
          <cell r="P14">
            <v>2.1</v>
          </cell>
          <cell r="Q14">
            <v>2.1</v>
          </cell>
          <cell r="R14">
            <v>2.1</v>
          </cell>
          <cell r="S14">
            <v>3.1500000000000004</v>
          </cell>
          <cell r="T14">
            <v>2.1</v>
          </cell>
          <cell r="U14">
            <v>3.1500000000000004</v>
          </cell>
          <cell r="V14">
            <v>4.2</v>
          </cell>
          <cell r="W14">
            <v>2.1</v>
          </cell>
          <cell r="X14">
            <v>2.1</v>
          </cell>
          <cell r="Y14">
            <v>2.1</v>
          </cell>
          <cell r="Z14">
            <v>1.05</v>
          </cell>
          <cell r="AA14">
            <v>2.1</v>
          </cell>
          <cell r="AB14">
            <v>2.1</v>
          </cell>
          <cell r="AC14">
            <v>1.05</v>
          </cell>
          <cell r="AD14">
            <v>1.05</v>
          </cell>
          <cell r="AE14">
            <v>1.05</v>
          </cell>
          <cell r="AF14">
            <v>1.05</v>
          </cell>
          <cell r="AG14">
            <v>2.1</v>
          </cell>
          <cell r="AH14">
            <v>2.1</v>
          </cell>
          <cell r="AI14">
            <v>1.05</v>
          </cell>
          <cell r="AJ14">
            <v>1.05</v>
          </cell>
          <cell r="AK14">
            <v>1.05</v>
          </cell>
          <cell r="AL14">
            <v>1.05</v>
          </cell>
          <cell r="AM14">
            <v>1.05</v>
          </cell>
          <cell r="AN14">
            <v>1.05</v>
          </cell>
          <cell r="AO14">
            <v>1.05</v>
          </cell>
        </row>
        <row r="17">
          <cell r="B17">
            <v>1.05</v>
          </cell>
        </row>
        <row r="20">
          <cell r="B20">
            <v>1.05</v>
          </cell>
        </row>
        <row r="24">
          <cell r="B24">
            <v>1.1000000000000001</v>
          </cell>
        </row>
        <row r="27">
          <cell r="B27">
            <v>1.1000000000000001</v>
          </cell>
        </row>
        <row r="30">
          <cell r="B30">
            <v>1.1000000000000001</v>
          </cell>
        </row>
        <row r="33">
          <cell r="B33">
            <v>1.1000000000000001</v>
          </cell>
        </row>
        <row r="36">
          <cell r="B36">
            <v>1.1000000000000001</v>
          </cell>
        </row>
        <row r="39">
          <cell r="B39">
            <v>1.1000000000000001</v>
          </cell>
          <cell r="C39">
            <v>1.1000000000000001</v>
          </cell>
          <cell r="D39">
            <v>1.1000000000000001</v>
          </cell>
          <cell r="E39">
            <v>2.2000000000000002</v>
          </cell>
          <cell r="F39">
            <v>1.1000000000000001</v>
          </cell>
          <cell r="G39">
            <v>2.2000000000000002</v>
          </cell>
          <cell r="H39">
            <v>2.2000000000000002</v>
          </cell>
          <cell r="I39">
            <v>2.2000000000000002</v>
          </cell>
          <cell r="J39">
            <v>2.2000000000000002</v>
          </cell>
          <cell r="K39">
            <v>2.2000000000000002</v>
          </cell>
          <cell r="L39">
            <v>2.2000000000000002</v>
          </cell>
          <cell r="M39">
            <v>2.2000000000000002</v>
          </cell>
          <cell r="N39">
            <v>3.3000000000000003</v>
          </cell>
          <cell r="O39">
            <v>3.3000000000000003</v>
          </cell>
          <cell r="P39">
            <v>2.2000000000000002</v>
          </cell>
          <cell r="Q39">
            <v>2.2000000000000002</v>
          </cell>
          <cell r="R39">
            <v>3.3000000000000003</v>
          </cell>
          <cell r="S39">
            <v>2.2000000000000002</v>
          </cell>
          <cell r="T39">
            <v>3.3000000000000003</v>
          </cell>
          <cell r="U39">
            <v>3.3000000000000003</v>
          </cell>
          <cell r="V39">
            <v>3.3000000000000003</v>
          </cell>
          <cell r="W39">
            <v>3.3000000000000003</v>
          </cell>
          <cell r="X39">
            <v>3.3000000000000003</v>
          </cell>
          <cell r="Y39">
            <v>4.4000000000000004</v>
          </cell>
          <cell r="Z39">
            <v>2.2000000000000002</v>
          </cell>
          <cell r="AA39">
            <v>3.3000000000000003</v>
          </cell>
          <cell r="AB39">
            <v>2.2000000000000002</v>
          </cell>
          <cell r="AC39">
            <v>2.2000000000000002</v>
          </cell>
          <cell r="AD39">
            <v>2.2000000000000002</v>
          </cell>
          <cell r="AE39">
            <v>1.1000000000000001</v>
          </cell>
          <cell r="AF39">
            <v>2.2000000000000002</v>
          </cell>
          <cell r="AG39">
            <v>1.1000000000000001</v>
          </cell>
          <cell r="AH39">
            <v>1.1000000000000001</v>
          </cell>
          <cell r="AI39">
            <v>1.1000000000000001</v>
          </cell>
          <cell r="AJ39">
            <v>1.1000000000000001</v>
          </cell>
          <cell r="AK39">
            <v>1.1000000000000001</v>
          </cell>
          <cell r="AL39">
            <v>1.1000000000000001</v>
          </cell>
          <cell r="AM39">
            <v>1.1000000000000001</v>
          </cell>
          <cell r="AN39">
            <v>1.1000000000000001</v>
          </cell>
          <cell r="AO39">
            <v>1.1000000000000001</v>
          </cell>
        </row>
        <row r="42">
          <cell r="B42">
            <v>1.1000000000000001</v>
          </cell>
          <cell r="C42">
            <v>1.1000000000000001</v>
          </cell>
          <cell r="D42">
            <v>1.1000000000000001</v>
          </cell>
          <cell r="E42">
            <v>1.1000000000000001</v>
          </cell>
          <cell r="F42">
            <v>1.1000000000000001</v>
          </cell>
          <cell r="G42">
            <v>2.2000000000000002</v>
          </cell>
          <cell r="H42">
            <v>2.2000000000000002</v>
          </cell>
          <cell r="I42">
            <v>3.3000000000000003</v>
          </cell>
          <cell r="J42">
            <v>2.2000000000000002</v>
          </cell>
          <cell r="K42">
            <v>1.1000000000000001</v>
          </cell>
          <cell r="L42">
            <v>2.2000000000000002</v>
          </cell>
          <cell r="M42">
            <v>3.3000000000000003</v>
          </cell>
          <cell r="N42">
            <v>2.2000000000000002</v>
          </cell>
          <cell r="O42">
            <v>3.3000000000000003</v>
          </cell>
          <cell r="P42">
            <v>2.2000000000000002</v>
          </cell>
          <cell r="Q42">
            <v>2.2000000000000002</v>
          </cell>
          <cell r="R42">
            <v>3.3000000000000003</v>
          </cell>
          <cell r="S42">
            <v>3.3000000000000003</v>
          </cell>
          <cell r="T42">
            <v>3.3000000000000003</v>
          </cell>
          <cell r="U42">
            <v>2.2000000000000002</v>
          </cell>
          <cell r="V42">
            <v>2.2000000000000002</v>
          </cell>
          <cell r="W42">
            <v>4.4000000000000004</v>
          </cell>
          <cell r="X42">
            <v>3.3000000000000003</v>
          </cell>
          <cell r="Y42">
            <v>2.2000000000000002</v>
          </cell>
          <cell r="Z42">
            <v>2.2000000000000002</v>
          </cell>
          <cell r="AA42">
            <v>1.1000000000000001</v>
          </cell>
          <cell r="AB42">
            <v>2.2000000000000002</v>
          </cell>
          <cell r="AC42">
            <v>2.2000000000000002</v>
          </cell>
          <cell r="AD42">
            <v>2.2000000000000002</v>
          </cell>
          <cell r="AE42">
            <v>1.1000000000000001</v>
          </cell>
          <cell r="AF42">
            <v>1.1000000000000001</v>
          </cell>
          <cell r="AG42">
            <v>2.2000000000000002</v>
          </cell>
          <cell r="AH42">
            <v>1.1000000000000001</v>
          </cell>
          <cell r="AI42">
            <v>1.1000000000000001</v>
          </cell>
          <cell r="AJ42">
            <v>1.1000000000000001</v>
          </cell>
          <cell r="AK42">
            <v>1.1000000000000001</v>
          </cell>
          <cell r="AL42">
            <v>1.1000000000000001</v>
          </cell>
          <cell r="AM42">
            <v>1.1000000000000001</v>
          </cell>
          <cell r="AN42">
            <v>1.1000000000000001</v>
          </cell>
          <cell r="AO42">
            <v>1.1000000000000001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2" name="LeadSum" displayName="LeadSum" ref="B4:J43" totalsRowShown="0" headerRowDxfId="1861" dataDxfId="1860">
  <autoFilter ref="B4:J43"/>
  <sortState ref="B5:J43">
    <sortCondition ref="B4:B43"/>
  </sortState>
  <tableColumns count="9">
    <tableColumn id="1" name="Lead" dataDxfId="1859"/>
    <tableColumn id="7" name="Help Line W1" dataDxfId="1858">
      <calculatedColumnFormula>SUM(LSum_Sun1[[#This Row],[Help Line]],LSum_Mon1[[#This Row],[Help Line]],LSum_Tue1[[#This Row],[Help Line]],LSum_Wed1[[#This Row],[Help Line]],LSum_Thu1[[#This Row],[Help Line]],LSum_Fri1[[#This Row],[Help Line]],LSum_Sat1[[#This Row],[Help Line]])</calculatedColumnFormula>
    </tableColumn>
    <tableColumn id="8" name="RTA W1" dataDxfId="1857">
      <calculatedColumnFormula>SUM(LSum_Sun1[[#This Row],[RTA]],LSum_Mon1[[#This Row],[RTA]],LSum_Tue1[[#This Row],[RTA]],LSum_Wed1[[#This Row],[RTA]],LSum_Thu1[[#This Row],[RTA]],LSum_Fri1[[#This Row],[RTA]],LSum_Sat1[[#This Row],[RTA]])</calculatedColumnFormula>
    </tableColumn>
    <tableColumn id="9" name="Admin W1" dataDxfId="1856">
      <calculatedColumnFormula>SUM(LSum_Sun1[[#This Row],[Admin]],LSum_Mon1[[#This Row],[Admin]],LSum_Tue1[[#This Row],[Admin]],LSum_Wed1[[#This Row],[Admin]],LSum_Thu1[[#This Row],[Admin]],LSum_Fri1[[#This Row],[Admin]],LSum_Sat1[[#This Row],[Admin]])</calculatedColumnFormula>
    </tableColumn>
    <tableColumn id="10" name="TM W1" dataDxfId="1855">
      <calculatedColumnFormula>SUM(LSum_Sun1[[#This Row],[TM]],LSum_Mon1[[#This Row],[TM]],LSum_Tue1[[#This Row],[TM]],LSum_Wed1[[#This Row],[TM]],LSum_Thu1[[#This Row],[TM]],LSum_Fri1[[#This Row],[TM]],LSum_Sat1[[#This Row],[TM]])</calculatedColumnFormula>
    </tableColumn>
    <tableColumn id="2" name="Help Line W2" dataDxfId="1854">
      <calculatedColumnFormula>SUM(LSum_Sun2[[#This Row],[Help Line]],LSum_Mon2[[#This Row],[Help Line]],LSum_Tue2[[#This Row],[Help Line]],LSum_Wed2[[#This Row],[Help Line]],LSum_Thu2[[#This Row],[Help Line]],LSum_Fri2[[#This Row],[Help Line]],LSum_Sat2[[#This Row],[Help Line]])</calculatedColumnFormula>
    </tableColumn>
    <tableColumn id="3" name="RTA W2" dataDxfId="1853">
      <calculatedColumnFormula>SUM(LSum_Sun2[[#This Row],[RTA]],LSum_Mon2[[#This Row],[RTA]],LSum_Tue2[[#This Row],[RTA]],LSum_Wed2[[#This Row],[RTA]],LSum_Thu2[[#This Row],[RTA]],LSum_Fri2[[#This Row],[RTA]],LSum_Sat2[[#This Row],[RTA]])</calculatedColumnFormula>
    </tableColumn>
    <tableColumn id="4" name="Admin W2" dataDxfId="1852">
      <calculatedColumnFormula>SUM(LSum_Sun2[[#This Row],[Admin]],LSum_Mon2[[#This Row],[Admin]],LSum_Tue2[[#This Row],[Admin]],LSum_Wed2[[#This Row],[Admin]],LSum_Thu2[[#This Row],[Admin]],LSum_Fri2[[#This Row],[Admin]],LSum_Sat2[[#This Row],[Admin]])</calculatedColumnFormula>
    </tableColumn>
    <tableColumn id="5" name="TM W2" dataDxfId="1851">
      <calculatedColumnFormula>SUM(LSum_Sun2[[#This Row],[TM]],LSum_Mon2[[#This Row],[TM]],LSum_Tue2[[#This Row],[TM]],LSum_Wed2[[#This Row],[TM]],LSum_Thu2[[#This Row],[TM]],LSum_Fri2[[#This Row],[TM]],LSum_Sat2[[#This Row],[TM]])</calculatedColumnFormula>
    </tableColumn>
  </tableColumns>
  <tableStyleInfo name="TableStyleLight9 3" showFirstColumn="0" showLastColumn="0" showRowStripes="1" showColumnStripes="0"/>
</table>
</file>

<file path=xl/tables/table2.xml><?xml version="1.0" encoding="utf-8"?>
<table xmlns="http://schemas.openxmlformats.org/spreadsheetml/2006/main" id="23" name="SupSum" displayName="SupSum" ref="B47:J85" totalsRowShown="0" headerRowDxfId="1850" dataDxfId="1849">
  <autoFilter ref="B47:J85"/>
  <sortState ref="B48:J85">
    <sortCondition ref="B47:B85"/>
  </sortState>
  <tableColumns count="9">
    <tableColumn id="1" name="Supervisor" dataDxfId="1848"/>
    <tableColumn id="7" name="Help Line W1" dataDxfId="1847">
      <calculatedColumnFormula>SUM(SSum_Sun1[[#This Row],[Help Line]],SSum_Mon1[[#This Row],[Help Line]],SSum_Tue1[[#This Row],[Help Line]],SSum_Wed1[[#This Row],[Help Line]],SSum_Thu1[[#This Row],[Help Line]],SSum_Fri1[[#This Row],[Help Line]],SSum_Sat1[[#This Row],[Help Line]])</calculatedColumnFormula>
    </tableColumn>
    <tableColumn id="8" name="RTA W1" dataDxfId="1846">
      <calculatedColumnFormula>SUM(SSum_Sun1[[#This Row],[RTA]],SSum_Mon1[[#This Row],[RTA]],SSum_Tue1[[#This Row],[RTA]],SSum_Wed1[[#This Row],[RTA]],SSum_Thu1[[#This Row],[RTA]],SSum_Fri1[[#This Row],[RTA]],SSum_Sat1[[#This Row],[RTA]])</calculatedColumnFormula>
    </tableColumn>
    <tableColumn id="9" name="Admin W1" dataDxfId="1845">
      <calculatedColumnFormula>SUM(SSum_Sun1[[#This Row],[Admin]],SSum_Mon1[[#This Row],[Admin]],SSum_Tue1[[#This Row],[Admin]],SSum_Wed1[[#This Row],[Admin]],SSum_Thu1[[#This Row],[Admin]],SSum_Fri1[[#This Row],[Admin]],SSum_Sat1[[#This Row],[Admin]])</calculatedColumnFormula>
    </tableColumn>
    <tableColumn id="10" name="TM W1" dataDxfId="1844">
      <calculatedColumnFormula>SUM(SSum_Sun1[[#This Row],[TM]],SSum_Mon1[[#This Row],[TM]],SSum_Tue1[[#This Row],[TM]],SSum_Wed1[[#This Row],[TM]],SSum_Thu1[[#This Row],[TM]],SSum_Fri1[[#This Row],[TM]],SSum_Sat1[[#This Row],[TM]])</calculatedColumnFormula>
    </tableColumn>
    <tableColumn id="2" name="Help Line W2" dataDxfId="1843">
      <calculatedColumnFormula>SUM(SSum_Sun2[[#This Row],[Help Line]],SSum_Mon2[[#This Row],[Help Line]],SSum_Tue2[[#This Row],[Help Line]],SSum_Wed2[[#This Row],[Help Line]],SSum_Thu2[[#This Row],[Help Line]],SSum_Fri2[[#This Row],[Help Line]],SSum_Sat2[[#This Row],[Help Line]])</calculatedColumnFormula>
    </tableColumn>
    <tableColumn id="3" name="RTA W2" dataDxfId="1842">
      <calculatedColumnFormula>SUM(SSum_Sun2[[#This Row],[RTA]],SSum_Mon2[[#This Row],[RTA]],SSum_Tue2[[#This Row],[RTA]],SSum_Wed2[[#This Row],[RTA]],SSum_Thu2[[#This Row],[RTA]],SSum_Fri2[[#This Row],[RTA]],SSum_Sat2[[#This Row],[RTA]])</calculatedColumnFormula>
    </tableColumn>
    <tableColumn id="4" name="Admin W2" dataDxfId="1841">
      <calculatedColumnFormula>SUM(SSum_Sun2[[#This Row],[Admin]],SSum_Mon2[[#This Row],[Admin]],SSum_Tue2[[#This Row],[Admin]],SSum_Wed2[[#This Row],[Admin]],SSum_Thu2[[#This Row],[Admin]],SSum_Fri2[[#This Row],[Admin]],SSum_Sat2[[#This Row],[Admin]])</calculatedColumnFormula>
    </tableColumn>
    <tableColumn id="5" name="TM W2" dataDxfId="1840">
      <calculatedColumnFormula>SUM(SSum_Sun2[[#This Row],[TM]],SSum_Mon2[[#This Row],[TM]],SSum_Tue2[[#This Row],[TM]],SSum_Wed2[[#This Row],[TM]],SSum_Thu2[[#This Row],[TM]],SSum_Fri2[[#This Row],[TM]],SSum_Sat2[[#This Row],[TM]])</calculatedColumnFormula>
    </tableColumn>
  </tableColumns>
  <tableStyleInfo name="TableStyleLight9 3" showFirstColumn="0" showLastColumn="0" showRowStripes="1" showColumnStripes="0"/>
</table>
</file>

<file path=xl/tables/table3.xml><?xml version="1.0" encoding="utf-8"?>
<table xmlns="http://schemas.openxmlformats.org/spreadsheetml/2006/main" id="24" name="LSum_Sun1" displayName="LSum_Sun1" ref="M4:P43" totalsRowShown="0" headerRowDxfId="1839" dataDxfId="1838">
  <autoFilter ref="M4:P43"/>
  <tableColumns count="4">
    <tableColumn id="1" name="Help Line" dataDxfId="1837">
      <calculatedColumnFormula>IFERROR(VLOOKUP(LeadSum[[#This Row],[Lead]],Sun_W1[],MATCH("Help Line",Sun_W1[#Headers],0),0),"")</calculatedColumnFormula>
    </tableColumn>
    <tableColumn id="2" name="RTA" dataDxfId="1836">
      <calculatedColumnFormula>IFERROR(VLOOKUP(LeadSum[[#This Row],[Lead]],Sun_W1[],MATCH("RTA",Sun_W1[#Headers],0),0),"")</calculatedColumnFormula>
    </tableColumn>
    <tableColumn id="3" name="Admin" dataDxfId="1835">
      <calculatedColumnFormula>IFERROR(VLOOKUP(LeadSum[[#This Row],[Lead]],Sun_W1[],MATCH("Admin",Sun_W1[#Headers],0),0),"")</calculatedColumnFormula>
    </tableColumn>
    <tableColumn id="4" name="TM" dataDxfId="1834">
      <calculatedColumnFormula>IFERROR(VLOOKUP(LeadSum[[#This Row],[Lead]],Sun_W1[],MATCH("Team MTG",Sun_W1[#Headers],0),0),"")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5" name="LSum_Mon1" displayName="LSum_Mon1" ref="R4:U43" totalsRowShown="0" headerRowDxfId="1833" dataDxfId="1832">
  <autoFilter ref="R4:U43"/>
  <tableColumns count="4">
    <tableColumn id="1" name="Help Line" dataDxfId="1831">
      <calculatedColumnFormula>IFERROR(VLOOKUP(LeadSum[[#This Row],[Lead]],Mon_W1[],MATCH("Help Line",Mon_W1[#Headers],0),0),"")</calculatedColumnFormula>
    </tableColumn>
    <tableColumn id="2" name="RTA" dataDxfId="1830">
      <calculatedColumnFormula>IFERROR(VLOOKUP(LeadSum[[#This Row],[Lead]],Mon_W1[],MATCH("RTA",Mon_W1[#Headers],0),0),"")</calculatedColumnFormula>
    </tableColumn>
    <tableColumn id="3" name="Admin" dataDxfId="1829">
      <calculatedColumnFormula>IFERROR(VLOOKUP(LeadSum[[#This Row],[Lead]],Mon_W1[],MATCH("Admin",Mon_W1[#Headers],0),0),"")</calculatedColumnFormula>
    </tableColumn>
    <tableColumn id="4" name="TM" dataDxfId="1828">
      <calculatedColumnFormula>IFERROR(VLOOKUP(LeadSum[[#This Row],[Lead]],Mon_W1[],MATCH("Team MTG",Mon_W1[#Headers],0),0),"")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6" name="LSum_Tue1" displayName="LSum_Tue1" ref="W4:Z43" totalsRowShown="0" headerRowDxfId="1827" dataDxfId="1826">
  <autoFilter ref="W4:Z43"/>
  <tableColumns count="4">
    <tableColumn id="1" name="Help Line" dataDxfId="1825">
      <calculatedColumnFormula>IFERROR(VLOOKUP(LeadSum[[#This Row],[Lead]],Tue_W1[],MATCH("Help Line",Tue_W1[#Headers],0),0),"")</calculatedColumnFormula>
    </tableColumn>
    <tableColumn id="2" name="RTA" dataDxfId="1824">
      <calculatedColumnFormula>IFERROR(VLOOKUP(LeadSum[[#This Row],[Lead]],Tue_W1[],MATCH("RTA",Tue_W1[#Headers],0),0),"")</calculatedColumnFormula>
    </tableColumn>
    <tableColumn id="3" name="Admin" dataDxfId="1823">
      <calculatedColumnFormula>IFERROR(VLOOKUP(LeadSum[[#This Row],[Lead]],Tue_W1[],MATCH("Admin",Tue_W1[#Headers],0),0),"")</calculatedColumnFormula>
    </tableColumn>
    <tableColumn id="4" name="TM" dataDxfId="1822">
      <calculatedColumnFormula>IFERROR(VLOOKUP(LeadSum[[#This Row],[Lead]],Tue_W1[],MATCH("Team MTG",Tue_W1[#Headers],0),0),"")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27" name="LSum_Wed1" displayName="LSum_Wed1" ref="AB4:AE43" totalsRowShown="0" headerRowDxfId="1821" dataDxfId="1820">
  <autoFilter ref="AB4:AE43"/>
  <tableColumns count="4">
    <tableColumn id="1" name="Help Line" dataDxfId="1819">
      <calculatedColumnFormula>IFERROR(VLOOKUP(LeadSum[[#This Row],[Lead]],Wed_W1[],MATCH("Help Line",Wed_W1[#Headers],0),0),"")</calculatedColumnFormula>
    </tableColumn>
    <tableColumn id="2" name="RTA" dataDxfId="1818">
      <calculatedColumnFormula>IFERROR(VLOOKUP(LeadSum[[#This Row],[Lead]],Wed_W1[],MATCH("RTA",Wed_W1[#Headers],0),0),"")</calculatedColumnFormula>
    </tableColumn>
    <tableColumn id="3" name="Admin" dataDxfId="1817">
      <calculatedColumnFormula>IFERROR(VLOOKUP(LeadSum[[#This Row],[Lead]],Wed_W1[],MATCH("Admin",Wed_W1[#Headers],0),0),"")</calculatedColumnFormula>
    </tableColumn>
    <tableColumn id="4" name="TM" dataDxfId="1816">
      <calculatedColumnFormula>IFERROR(VLOOKUP(LeadSum[[#This Row],[Lead]],Wed_W1[],MATCH("Team MTG",Wed_W1[#Headers],0),0),"")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28" name="LSum_Thu1" displayName="LSum_Thu1" ref="AG4:AJ43" totalsRowShown="0" headerRowDxfId="1815" dataDxfId="1814">
  <autoFilter ref="AG4:AJ43"/>
  <tableColumns count="4">
    <tableColumn id="1" name="Help Line" dataDxfId="1813">
      <calculatedColumnFormula>IFERROR(VLOOKUP(LeadSum[[#This Row],[Lead]],Thu_W1[],MATCH("Help Line",Thu_W1[#Headers],0),0),"")</calculatedColumnFormula>
    </tableColumn>
    <tableColumn id="2" name="RTA" dataDxfId="1812">
      <calculatedColumnFormula>IFERROR(VLOOKUP(LeadSum[[#This Row],[Lead]],Thu_W1[],MATCH("RTA",Thu_W1[#Headers],0),0),"")</calculatedColumnFormula>
    </tableColumn>
    <tableColumn id="3" name="Admin" dataDxfId="1811">
      <calculatedColumnFormula>IFERROR(VLOOKUP(LeadSum[[#This Row],[Lead]],Thu_W1[],MATCH("Admin",Thu_W1[#Headers],0),0),"")</calculatedColumnFormula>
    </tableColumn>
    <tableColumn id="4" name="TM" dataDxfId="1810">
      <calculatedColumnFormula>IFERROR(VLOOKUP(LeadSum[[#This Row],[Lead]],Thu_W1[],MATCH("Team MTG",Thu_W1[#Headers],0),0),"")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29" name="LSum_Fri1" displayName="LSum_Fri1" ref="AL4:AO43" totalsRowShown="0" headerRowDxfId="1809" dataDxfId="1808">
  <autoFilter ref="AL4:AO43"/>
  <tableColumns count="4">
    <tableColumn id="1" name="Help Line" dataDxfId="1807">
      <calculatedColumnFormula>IFERROR(VLOOKUP(LeadSum[[#This Row],[Lead]],Fri_W1[],MATCH("Help Line",Fri_W1[#Headers],0),0),"")</calculatedColumnFormula>
    </tableColumn>
    <tableColumn id="2" name="RTA" dataDxfId="1806">
      <calculatedColumnFormula>IFERROR(VLOOKUP(LeadSum[[#This Row],[Lead]],Fri_W1[],MATCH("RTA",Fri_W1[#Headers],0),0),"")</calculatedColumnFormula>
    </tableColumn>
    <tableColumn id="3" name="Admin" dataDxfId="1805">
      <calculatedColumnFormula>IFERROR(VLOOKUP(LeadSum[[#This Row],[Lead]],Fri_W1[],MATCH("Admin",Fri_W1[#Headers],0),0),"")</calculatedColumnFormula>
    </tableColumn>
    <tableColumn id="4" name="TM" dataDxfId="1804">
      <calculatedColumnFormula>IFERROR(VLOOKUP(LeadSum[[#This Row],[Lead]],Fri_W1[],MATCH("Team MTG",Fri_W1[#Headers],0),0),"")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30" name="LSum_Sat1" displayName="LSum_Sat1" ref="AQ4:AT43" totalsRowShown="0" headerRowDxfId="1803" dataDxfId="1802">
  <autoFilter ref="AQ4:AT43"/>
  <tableColumns count="4">
    <tableColumn id="1" name="Help Line" dataDxfId="1801">
      <calculatedColumnFormula>IFERROR(VLOOKUP(LeadSum[[#This Row],[Lead]],Sat_W1[],MATCH("Help Line",Sat_W1[#Headers],0),0),"")</calculatedColumnFormula>
    </tableColumn>
    <tableColumn id="2" name="RTA" dataDxfId="1800">
      <calculatedColumnFormula>IFERROR(VLOOKUP(LeadSum[[#This Row],[Lead]],Sat_W1[],MATCH("RTA",Sat_W1[#Headers],0),0),"")</calculatedColumnFormula>
    </tableColumn>
    <tableColumn id="3" name="Admin" dataDxfId="1799">
      <calculatedColumnFormula>IFERROR(VLOOKUP(LeadSum[[#This Row],[Lead]],Sat_W1[],MATCH("Admin",Sat_W1[#Headers],0),0),"")</calculatedColumnFormula>
    </tableColumn>
    <tableColumn id="4" name="TM" dataDxfId="1798">
      <calculatedColumnFormula>IFERROR(VLOOKUP(LeadSum[[#This Row],[Lead]],Sat_W1[],MATCH("Team MTG",Sat_W1[#Headers],0),0),"")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31" name="LSum_Sun2" displayName="LSum_Sun2" ref="AV4:AY43" totalsRowShown="0" headerRowDxfId="1797" dataDxfId="1796">
  <autoFilter ref="AV4:AY43"/>
  <tableColumns count="4">
    <tableColumn id="1" name="Help Line" dataDxfId="1795">
      <calculatedColumnFormula>IFERROR(VLOOKUP(LeadSum[[#This Row],[Lead]],Sun_W2[],MATCH("Help Line",Sun_W2[#Headers],0),0),"")</calculatedColumnFormula>
    </tableColumn>
    <tableColumn id="2" name="RTA" dataDxfId="1794">
      <calculatedColumnFormula>IFERROR(VLOOKUP(LeadSum[[#This Row],[Lead]],Sun_W2[],MATCH("RTA",Sun_W2[#Headers],0),0),"")</calculatedColumnFormula>
    </tableColumn>
    <tableColumn id="3" name="Admin" dataDxfId="1793">
      <calculatedColumnFormula>IFERROR(VLOOKUP(LeadSum[[#This Row],[Lead]],Sun_W2[],MATCH("Admin",Sun_W2[#Headers],0),0),"")</calculatedColumnFormula>
    </tableColumn>
    <tableColumn id="4" name="TM" dataDxfId="1792">
      <calculatedColumnFormula>IFERROR(VLOOKUP(LeadSum[[#This Row],[Lead]],Sun_W2[],MATCH("Team MTG",Sun_W2[#Headers],0),0),"")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32" name="LSum_Mon2" displayName="LSum_Mon2" ref="BA4:BD43" totalsRowShown="0" headerRowDxfId="1791" dataDxfId="1790">
  <autoFilter ref="BA4:BD43"/>
  <tableColumns count="4">
    <tableColumn id="1" name="Help Line" dataDxfId="1789">
      <calculatedColumnFormula>IFERROR(VLOOKUP(LeadSum[[#This Row],[Lead]],Mon_W2[],MATCH("Help Line",Mon_W2[#Headers],0),0),"")</calculatedColumnFormula>
    </tableColumn>
    <tableColumn id="2" name="RTA" dataDxfId="1788">
      <calculatedColumnFormula>IFERROR(VLOOKUP(LeadSum[[#This Row],[Lead]],Mon_W2[],MATCH("RTA",Mon_W2[#Headers],0),0),"")</calculatedColumnFormula>
    </tableColumn>
    <tableColumn id="3" name="Admin" dataDxfId="1787">
      <calculatedColumnFormula>IFERROR(VLOOKUP(LeadSum[[#This Row],[Lead]],Mon_W2[],MATCH("Admin",Mon_W2[#Headers],0),0),"")</calculatedColumnFormula>
    </tableColumn>
    <tableColumn id="4" name="TM" dataDxfId="1786">
      <calculatedColumnFormula>IFERROR(VLOOKUP(LeadSum[[#This Row],[Lead]],Mon_W2[],MATCH("Team MTG",Mon_W2[#Headers],0),0),"")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id="33" name="LSum_Tue2" displayName="LSum_Tue2" ref="BF4:BI43" totalsRowShown="0" headerRowDxfId="1785" dataDxfId="1784">
  <autoFilter ref="BF4:BI43"/>
  <tableColumns count="4">
    <tableColumn id="1" name="Help Line" dataDxfId="1783">
      <calculatedColumnFormula>IFERROR(VLOOKUP(LeadSum[[#This Row],[Lead]],Tue_W2[],MATCH("Help Line",Tue_W2[#Headers],0),0),"")</calculatedColumnFormula>
    </tableColumn>
    <tableColumn id="2" name="RTA" dataDxfId="1782">
      <calculatedColumnFormula>IFERROR(VLOOKUP(LeadSum[[#This Row],[Lead]],Tue_W2[],MATCH("RTA",Tue_W2[#Headers],0),0),"")</calculatedColumnFormula>
    </tableColumn>
    <tableColumn id="3" name="Admin" dataDxfId="1781">
      <calculatedColumnFormula>IFERROR(VLOOKUP(LeadSum[[#This Row],[Lead]],Tue_W2[],MATCH("Admin",Tue_W2[#Headers],0),0),"")</calculatedColumnFormula>
    </tableColumn>
    <tableColumn id="4" name="TM" dataDxfId="1780">
      <calculatedColumnFormula>IFERROR(VLOOKUP(LeadSum[[#This Row],[Lead]],Tue_W2[],MATCH("Team MTG",Tue_W2[#Headers],0),0),"")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34" name="LSum_Wed2" displayName="LSum_Wed2" ref="BK4:BN43" totalsRowShown="0" headerRowDxfId="1779" dataDxfId="1778">
  <autoFilter ref="BK4:BN43"/>
  <tableColumns count="4">
    <tableColumn id="1" name="Help Line" dataDxfId="1777">
      <calculatedColumnFormula>IFERROR(VLOOKUP(LeadSum[[#This Row],[Lead]],Wed_W2[],MATCH("Help Line",Wed_W2[#Headers],0),0),"")</calculatedColumnFormula>
    </tableColumn>
    <tableColumn id="2" name="RTA" dataDxfId="1776">
      <calculatedColumnFormula>IFERROR(VLOOKUP(LeadSum[[#This Row],[Lead]],Wed_W2[],MATCH("RTA",Wed_W2[#Headers],0),0),"")</calculatedColumnFormula>
    </tableColumn>
    <tableColumn id="3" name="Admin" dataDxfId="1775">
      <calculatedColumnFormula>IFERROR(VLOOKUP(LeadSum[[#This Row],[Lead]],Wed_W2[],MATCH("Admin",Wed_W2[#Headers],0),0),"")</calculatedColumnFormula>
    </tableColumn>
    <tableColumn id="4" name="TM" dataDxfId="1774">
      <calculatedColumnFormula>IFERROR(VLOOKUP(LeadSum[[#This Row],[Lead]],Wed_W2[],MATCH("Team MTG",Wed_W2[#Headers],0),0),"")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35" name="LSum_Thu2" displayName="LSum_Thu2" ref="BP4:BS43" totalsRowShown="0" headerRowDxfId="1773" dataDxfId="1772">
  <autoFilter ref="BP4:BS43"/>
  <tableColumns count="4">
    <tableColumn id="1" name="Help Line" dataDxfId="1771">
      <calculatedColumnFormula>IFERROR(VLOOKUP(LeadSum[[#This Row],[Lead]],Thu_W2[],MATCH("Help Line",Thu_W2[#Headers],0),0),"")</calculatedColumnFormula>
    </tableColumn>
    <tableColumn id="2" name="RTA" dataDxfId="1770">
      <calculatedColumnFormula>IFERROR(VLOOKUP(LeadSum[[#This Row],[Lead]],Thu_W2[],MATCH("RTA",Thu_W2[#Headers],0),0),"")</calculatedColumnFormula>
    </tableColumn>
    <tableColumn id="3" name="Admin" dataDxfId="1769">
      <calculatedColumnFormula>IFERROR(VLOOKUP(LeadSum[[#This Row],[Lead]],Thu_W2[],MATCH("Admin",Thu_W2[#Headers],0),0),"")</calculatedColumnFormula>
    </tableColumn>
    <tableColumn id="4" name="TM" dataDxfId="1768">
      <calculatedColumnFormula>IFERROR(VLOOKUP(LeadSum[[#This Row],[Lead]],Thu_W2[],MATCH("Team MTG",Thu_W2[#Headers],0),0),"")</calculatedColumnFormula>
    </tableColumn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id="36" name="LSum_Fri2" displayName="LSum_Fri2" ref="BU4:BX43" totalsRowShown="0" headerRowDxfId="1767" dataDxfId="1766">
  <autoFilter ref="BU4:BX43"/>
  <tableColumns count="4">
    <tableColumn id="1" name="Help Line" dataDxfId="1765">
      <calculatedColumnFormula>IFERROR(VLOOKUP(LeadSum[[#This Row],[Lead]],Fri_W2[],MATCH("Help Line",Fri_W2[#Headers],0),0),"")</calculatedColumnFormula>
    </tableColumn>
    <tableColumn id="2" name="RTA" dataDxfId="1764">
      <calculatedColumnFormula>IFERROR(VLOOKUP(LeadSum[[#This Row],[Lead]],Fri_W2[],MATCH("RTA",Fri_W2[#Headers],0),0),"")</calculatedColumnFormula>
    </tableColumn>
    <tableColumn id="3" name="Admin" dataDxfId="1763">
      <calculatedColumnFormula>IFERROR(VLOOKUP(LeadSum[[#This Row],[Lead]],Fri_W2[],MATCH("Admin",Fri_W2[#Headers],0),0),"")</calculatedColumnFormula>
    </tableColumn>
    <tableColumn id="4" name="TM" dataDxfId="1762">
      <calculatedColumnFormula>IFERROR(VLOOKUP(LeadSum[[#This Row],[Lead]],Fri_W2[],MATCH("Team MTG",Fri_W2[#Headers],0),0),"")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id="37" name="LSum_Sat2" displayName="LSum_Sat2" ref="BZ4:CC43" totalsRowShown="0" headerRowDxfId="1761" dataDxfId="1760">
  <autoFilter ref="BZ4:CC43"/>
  <tableColumns count="4">
    <tableColumn id="1" name="Help Line" dataDxfId="1759">
      <calculatedColumnFormula>IFERROR(VLOOKUP(LeadSum[[#This Row],[Lead]],Sat_W2[],MATCH("Help Line",Sat_W2[#Headers],0),0),"")</calculatedColumnFormula>
    </tableColumn>
    <tableColumn id="2" name="RTA" dataDxfId="1758">
      <calculatedColumnFormula>IFERROR(VLOOKUP(LeadSum[[#This Row],[Lead]],Sat_W2[],MATCH("RTA",Sat_W2[#Headers],0),0),"")</calculatedColumnFormula>
    </tableColumn>
    <tableColumn id="3" name="Admin" dataDxfId="1757">
      <calculatedColumnFormula>IFERROR(VLOOKUP(LeadSum[[#This Row],[Lead]],Sat_W2[],MATCH("Admin",Sat_W2[#Headers],0),0),"")</calculatedColumnFormula>
    </tableColumn>
    <tableColumn id="4" name="TM" dataDxfId="1756">
      <calculatedColumnFormula>IFERROR(VLOOKUP(LeadSum[[#This Row],[Lead]],Sat_W2[],MATCH("Team MTG",Sat_W2[#Headers],0),0),"")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id="38" name="SSum_Sun1" displayName="SSum_Sun1" ref="M47:P85" totalsRowShown="0" headerRowDxfId="1755" dataDxfId="1754">
  <autoFilter ref="M47:P85"/>
  <tableColumns count="4">
    <tableColumn id="1" name="Help Line" dataDxfId="1753">
      <calculatedColumnFormula>IFERROR(VLOOKUP(SupSum[[#This Row],[Supervisor]],Sun_W1[],MATCH("Help Line",Sun_W1[#Headers],0),0),"")</calculatedColumnFormula>
    </tableColumn>
    <tableColumn id="2" name="RTA" dataDxfId="1752">
      <calculatedColumnFormula>IFERROR(VLOOKUP(SupSum[[#This Row],[Supervisor]],Sun_W1[],MATCH("RTA",Sun_W1[#Headers],0),0),"")</calculatedColumnFormula>
    </tableColumn>
    <tableColumn id="3" name="Admin" dataDxfId="1751">
      <calculatedColumnFormula>IFERROR(VLOOKUP(SupSum[[#This Row],[Supervisor]],Sun_W1[],MATCH("Admin",Sun_W1[#Headers],0),0),"")</calculatedColumnFormula>
    </tableColumn>
    <tableColumn id="4" name="TM" dataDxfId="1750">
      <calculatedColumnFormula>IFERROR(VLOOKUP(SupSum[[#This Row],[Supervisor]],Sun_W1[],MATCH("Team MTG",Sun_W1[#Headers],0),0),"")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id="39" name="SSum_Mon1" displayName="SSum_Mon1" ref="R47:U85" totalsRowShown="0" headerRowDxfId="1749" dataDxfId="1748">
  <autoFilter ref="R47:U85"/>
  <tableColumns count="4">
    <tableColumn id="1" name="Help Line" dataDxfId="1747">
      <calculatedColumnFormula>IFERROR(VLOOKUP(SupSum[[#This Row],[Supervisor]],Mon_W1[],MATCH("Help Line",Mon_W1[#Headers],0),0),"")</calculatedColumnFormula>
    </tableColumn>
    <tableColumn id="2" name="RTA" dataDxfId="1746">
      <calculatedColumnFormula>IFERROR(VLOOKUP(SupSum[[#This Row],[Supervisor]],Mon_W1[],MATCH("RTA",Mon_W1[#Headers],0),0),"")</calculatedColumnFormula>
    </tableColumn>
    <tableColumn id="3" name="Admin" dataDxfId="1745">
      <calculatedColumnFormula>IFERROR(VLOOKUP(SupSum[[#This Row],[Supervisor]],Mon_W1[],MATCH("Admin",Mon_W1[#Headers],0),0),"")</calculatedColumnFormula>
    </tableColumn>
    <tableColumn id="4" name="TM" dataDxfId="1744">
      <calculatedColumnFormula>IFERROR(VLOOKUP(SupSum[[#This Row],[Supervisor]],Mon_W1[],MATCH("Team MTG",Mon_W1[#Headers],0),0),"")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id="40" name="SSum_Tue1" displayName="SSum_Tue1" ref="W47:Z85" totalsRowShown="0" headerRowDxfId="1743" dataDxfId="1742">
  <autoFilter ref="W47:Z85"/>
  <tableColumns count="4">
    <tableColumn id="1" name="Help Line" dataDxfId="1741">
      <calculatedColumnFormula>IFERROR(VLOOKUP(SupSum[[#This Row],[Supervisor]],Tue_W1[],MATCH("Help Line",Tue_W1[#Headers],0),0),"")</calculatedColumnFormula>
    </tableColumn>
    <tableColumn id="2" name="RTA" dataDxfId="1740">
      <calculatedColumnFormula>IFERROR(VLOOKUP(SupSum[[#This Row],[Supervisor]],Tue_W1[],MATCH("RTA",Tue_W1[#Headers],0),0),"")</calculatedColumnFormula>
    </tableColumn>
    <tableColumn id="3" name="Admin" dataDxfId="1739">
      <calculatedColumnFormula>IFERROR(VLOOKUP(SupSum[[#This Row],[Supervisor]],Tue_W1[],MATCH("Admin",Tue_W1[#Headers],0),0),"")</calculatedColumnFormula>
    </tableColumn>
    <tableColumn id="4" name="TM" dataDxfId="1738">
      <calculatedColumnFormula>IFERROR(VLOOKUP(SupSum[[#This Row],[Supervisor]],Tue_W1[],MATCH("Team MTG",Tue_W1[#Headers],0),0),"")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id="41" name="SSum_Wed1" displayName="SSum_Wed1" ref="AB47:AE85" totalsRowShown="0" headerRowDxfId="1737" dataDxfId="1736">
  <autoFilter ref="AB47:AE85"/>
  <tableColumns count="4">
    <tableColumn id="1" name="Help Line" dataDxfId="1735">
      <calculatedColumnFormula>IFERROR(VLOOKUP(SupSum[[#This Row],[Supervisor]],Wed_W1[],MATCH("Help Line",Wed_W1[#Headers],0),0),"")</calculatedColumnFormula>
    </tableColumn>
    <tableColumn id="2" name="RTA" dataDxfId="1734">
      <calculatedColumnFormula>IFERROR(VLOOKUP(SupSum[[#This Row],[Supervisor]],Wed_W1[],MATCH("RTA",Wed_W1[#Headers],0),0),"")</calculatedColumnFormula>
    </tableColumn>
    <tableColumn id="3" name="Admin" dataDxfId="1733">
      <calculatedColumnFormula>IFERROR(VLOOKUP(SupSum[[#This Row],[Supervisor]],Wed_W1[],MATCH("Admin",Wed_W1[#Headers],0),0),"")</calculatedColumnFormula>
    </tableColumn>
    <tableColumn id="4" name="TM" dataDxfId="1732">
      <calculatedColumnFormula>IFERROR(VLOOKUP(SupSum[[#This Row],[Supervisor]],Wed_W1[],MATCH("Team MTG",Wed_W1[#Headers],0),0),"")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id="42" name="SSum_Thu1" displayName="SSum_Thu1" ref="AG47:AJ85" totalsRowShown="0" headerRowDxfId="1731" dataDxfId="1730">
  <autoFilter ref="AG47:AJ85"/>
  <tableColumns count="4">
    <tableColumn id="1" name="Help Line" dataDxfId="1729">
      <calculatedColumnFormula>IFERROR(VLOOKUP(SupSum[[#This Row],[Supervisor]],Thu_W1[],MATCH("Help Line",Thu_W1[#Headers],0),0),"")</calculatedColumnFormula>
    </tableColumn>
    <tableColumn id="2" name="RTA" dataDxfId="1728">
      <calculatedColumnFormula>IFERROR(VLOOKUP(SupSum[[#This Row],[Supervisor]],Thu_W1[],MATCH("RTA",Thu_W1[#Headers],0),0),"")</calculatedColumnFormula>
    </tableColumn>
    <tableColumn id="3" name="Admin" dataDxfId="1727">
      <calculatedColumnFormula>IFERROR(VLOOKUP(SupSum[[#This Row],[Supervisor]],Thu_W1[],MATCH("Admin",Thu_W1[#Headers],0),0),"")</calculatedColumnFormula>
    </tableColumn>
    <tableColumn id="4" name="TM" dataDxfId="1726">
      <calculatedColumnFormula>IFERROR(VLOOKUP(SupSum[[#This Row],[Supervisor]],Thu_W1[],MATCH("Team MTG",Thu_W1[#Headers],0),0),"")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id="43" name="SSum_Fri1" displayName="SSum_Fri1" ref="AL47:AO85" totalsRowShown="0" headerRowDxfId="1725" dataDxfId="1724">
  <autoFilter ref="AL47:AO85"/>
  <tableColumns count="4">
    <tableColumn id="1" name="Help Line" dataDxfId="1723">
      <calculatedColumnFormula>IFERROR(VLOOKUP(SupSum[[#This Row],[Supervisor]],Fri_W1[],MATCH("Help Line",Fri_W1[#Headers],0),0),"")</calculatedColumnFormula>
    </tableColumn>
    <tableColumn id="2" name="RTA" dataDxfId="1722">
      <calculatedColumnFormula>IFERROR(VLOOKUP(SupSum[[#This Row],[Supervisor]],Fri_W1[],MATCH("RTA",Fri_W1[#Headers],0),0),"")</calculatedColumnFormula>
    </tableColumn>
    <tableColumn id="3" name="Admin" dataDxfId="1721">
      <calculatedColumnFormula>IFERROR(VLOOKUP(SupSum[[#This Row],[Supervisor]],Fri_W1[],MATCH("Admin",Fri_W1[#Headers],0),0),"")</calculatedColumnFormula>
    </tableColumn>
    <tableColumn id="4" name="TM" dataDxfId="1720">
      <calculatedColumnFormula>IFERROR(VLOOKUP(SupSum[[#This Row],[Supervisor]],Fri_W1[],MATCH("Team MTG",Fri_W1[#Headers],0),0),"")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id="44" name="SSum_Sat1" displayName="SSum_Sat1" ref="AQ47:AT85" totalsRowShown="0" headerRowDxfId="1719" dataDxfId="1718">
  <autoFilter ref="AQ47:AT85"/>
  <tableColumns count="4">
    <tableColumn id="1" name="Help Line" dataDxfId="1717">
      <calculatedColumnFormula>IFERROR(VLOOKUP(SupSum[[#This Row],[Supervisor]],Sat_W1[],MATCH("Help Line",Sat_W1[#Headers],0),0),"")</calculatedColumnFormula>
    </tableColumn>
    <tableColumn id="2" name="RTA" dataDxfId="1716">
      <calculatedColumnFormula>IFERROR(VLOOKUP(SupSum[[#This Row],[Supervisor]],Sat_W1[],MATCH("RTA",Sat_W1[#Headers],0),0),"")</calculatedColumnFormula>
    </tableColumn>
    <tableColumn id="3" name="Admin" dataDxfId="1715">
      <calculatedColumnFormula>IFERROR(VLOOKUP(SupSum[[#This Row],[Supervisor]],Sat_W1[],MATCH("Admin",Sat_W1[#Headers],0),0),"")</calculatedColumnFormula>
    </tableColumn>
    <tableColumn id="4" name="TM" dataDxfId="1714">
      <calculatedColumnFormula>IFERROR(VLOOKUP(SupSum[[#This Row],[Supervisor]],Sat_W1[],MATCH("Team MTG",Sat_W1[#Headers],0),0),"")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id="45" name="SSum_Sun2" displayName="SSum_Sun2" ref="AV47:AY85" totalsRowShown="0" headerRowDxfId="1713" dataDxfId="1712">
  <autoFilter ref="AV47:AY85"/>
  <tableColumns count="4">
    <tableColumn id="1" name="Help Line" dataDxfId="1711">
      <calculatedColumnFormula>IFERROR(VLOOKUP(SupSum[[#This Row],[Supervisor]],Sun_W2[],MATCH("Help Line",Sun_W2[#Headers],0),0),"")</calculatedColumnFormula>
    </tableColumn>
    <tableColumn id="2" name="RTA" dataDxfId="1710">
      <calculatedColumnFormula>IFERROR(VLOOKUP(SupSum[[#This Row],[Supervisor]],Sun_W2[],MATCH("RTA",Sun_W2[#Headers],0),0),"")</calculatedColumnFormula>
    </tableColumn>
    <tableColumn id="3" name="Admin" dataDxfId="1709">
      <calculatedColumnFormula>IFERROR(VLOOKUP(SupSum[[#This Row],[Supervisor]],Sun_W2[],MATCH("Admin",Sun_W2[#Headers],0),0),"")</calculatedColumnFormula>
    </tableColumn>
    <tableColumn id="4" name="TM" dataDxfId="1708">
      <calculatedColumnFormula>IFERROR(VLOOKUP(SupSum[[#This Row],[Supervisor]],Sun_W2[],MATCH("Team MTG",Sun_W2[#Headers],0),0),"")</calculatedColumnFormula>
    </tableColumn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id="46" name="SSum_Mon2" displayName="SSum_Mon2" ref="BA47:BD85" totalsRowShown="0" headerRowDxfId="1707" dataDxfId="1706">
  <autoFilter ref="BA47:BD85"/>
  <tableColumns count="4">
    <tableColumn id="1" name="Help Line" dataDxfId="1705">
      <calculatedColumnFormula>IFERROR(VLOOKUP(SupSum[[#This Row],[Supervisor]],Mon_W2[],MATCH("Help Line",Mon_W2[#Headers],0),0),"")</calculatedColumnFormula>
    </tableColumn>
    <tableColumn id="2" name="RTA" dataDxfId="1704">
      <calculatedColumnFormula>IFERROR(VLOOKUP(SupSum[[#This Row],[Supervisor]],Mon_W2[],MATCH("RTA",Mon_W2[#Headers],0),0),"")</calculatedColumnFormula>
    </tableColumn>
    <tableColumn id="3" name="Admin" dataDxfId="1703">
      <calculatedColumnFormula>IFERROR(VLOOKUP(SupSum[[#This Row],[Supervisor]],Mon_W2[],MATCH("Admin",Mon_W2[#Headers],0),0),"")</calculatedColumnFormula>
    </tableColumn>
    <tableColumn id="4" name="TM" dataDxfId="1702">
      <calculatedColumnFormula>IFERROR(VLOOKUP(SupSum[[#This Row],[Supervisor]],Mon_W2[],MATCH("Team MTG",Mon_W2[#Headers],0),0),"")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id="47" name="SSum_Tue2" displayName="SSum_Tue2" ref="BF47:BI85" totalsRowShown="0" headerRowDxfId="1701" dataDxfId="1700">
  <autoFilter ref="BF47:BI85"/>
  <tableColumns count="4">
    <tableColumn id="1" name="Help Line" dataDxfId="1699">
      <calculatedColumnFormula>IFERROR(VLOOKUP(SupSum[[#This Row],[Supervisor]],Tue_W2[],MATCH("Help Line",Tue_W2[#Headers],0),0),"")</calculatedColumnFormula>
    </tableColumn>
    <tableColumn id="2" name="RTA" dataDxfId="1698">
      <calculatedColumnFormula>IFERROR(VLOOKUP(SupSum[[#This Row],[Supervisor]],Tue_W2[],MATCH("RTA",Tue_W2[#Headers],0),0),"")</calculatedColumnFormula>
    </tableColumn>
    <tableColumn id="3" name="Admin" dataDxfId="1697">
      <calculatedColumnFormula>IFERROR(VLOOKUP(SupSum[[#This Row],[Supervisor]],Tue_W2[],MATCH("Admin",Tue_W2[#Headers],0),0),"")</calculatedColumnFormula>
    </tableColumn>
    <tableColumn id="4" name="TM" dataDxfId="1696">
      <calculatedColumnFormula>IFERROR(VLOOKUP(SupSum[[#This Row],[Supervisor]],Tue_W2[],MATCH("Team MTG",Tue_W2[#Headers],0),0),"")</calculatedColumnFormula>
    </tableColumn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id="48" name="SSum_Wed2" displayName="SSum_Wed2" ref="BK47:BN85" totalsRowShown="0" headerRowDxfId="1695" dataDxfId="1694">
  <autoFilter ref="BK47:BN85"/>
  <tableColumns count="4">
    <tableColumn id="1" name="Help Line" dataDxfId="1693">
      <calculatedColumnFormula>IFERROR(VLOOKUP(SupSum[[#This Row],[Supervisor]],Wed_W2[],MATCH("Help Line",Wed_W2[#Headers],0),0),"")</calculatedColumnFormula>
    </tableColumn>
    <tableColumn id="2" name="RTA" dataDxfId="1692">
      <calculatedColumnFormula>IFERROR(VLOOKUP(SupSum[[#This Row],[Supervisor]],Wed_W2[],MATCH("RTA",Wed_W2[#Headers],0),0),"")</calculatedColumnFormula>
    </tableColumn>
    <tableColumn id="3" name="Admin" dataDxfId="1691">
      <calculatedColumnFormula>IFERROR(VLOOKUP(SupSum[[#This Row],[Supervisor]],Wed_W2[],MATCH("Admin",Wed_W2[#Headers],0),0),"")</calculatedColumnFormula>
    </tableColumn>
    <tableColumn id="4" name="TM" dataDxfId="1690">
      <calculatedColumnFormula>IFERROR(VLOOKUP(SupSum[[#This Row],[Supervisor]],Wed_W2[],MATCH("Team MTG",Wed_W2[#Headers],0),0),"")</calculatedColumnFormula>
    </tableColumn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id="49" name="SSum_Thu2" displayName="SSum_Thu2" ref="BP47:BS85" totalsRowShown="0" headerRowDxfId="1689" dataDxfId="1688">
  <autoFilter ref="BP47:BS85"/>
  <tableColumns count="4">
    <tableColumn id="1" name="Help Line" dataDxfId="1687">
      <calculatedColumnFormula>IFERROR(VLOOKUP(SupSum[[#This Row],[Supervisor]],Thu_W2[],MATCH("Help Line",Thu_W2[#Headers],0),0),"")</calculatedColumnFormula>
    </tableColumn>
    <tableColumn id="2" name="RTA" dataDxfId="1686">
      <calculatedColumnFormula>IFERROR(VLOOKUP(SupSum[[#This Row],[Supervisor]],Thu_W2[],MATCH("RTA",Thu_W2[#Headers],0),0),"")</calculatedColumnFormula>
    </tableColumn>
    <tableColumn id="3" name="Admin" dataDxfId="1685">
      <calculatedColumnFormula>IFERROR(VLOOKUP(SupSum[[#This Row],[Supervisor]],Thu_W2[],MATCH("Admin",Thu_W2[#Headers],0),0),"")</calculatedColumnFormula>
    </tableColumn>
    <tableColumn id="4" name="TM" dataDxfId="1684">
      <calculatedColumnFormula>IFERROR(VLOOKUP(SupSum[[#This Row],[Supervisor]],Thu_W2[],MATCH("Team MTG",Thu_W2[#Headers],0),0),"")</calculatedColumnFormula>
    </tableColumn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id="50" name="SSum_Fri2" displayName="SSum_Fri2" ref="BU47:BX85" totalsRowShown="0" headerRowDxfId="1683" dataDxfId="1682">
  <autoFilter ref="BU47:BX85"/>
  <tableColumns count="4">
    <tableColumn id="1" name="Help Line" dataDxfId="1681">
      <calculatedColumnFormula>IFERROR(VLOOKUP(SupSum[[#This Row],[Supervisor]],Fri_W2[],MATCH("Help Line",Fri_W2[#Headers],0),0),"")</calculatedColumnFormula>
    </tableColumn>
    <tableColumn id="2" name="RTA" dataDxfId="1680">
      <calculatedColumnFormula>IFERROR(VLOOKUP(SupSum[[#This Row],[Supervisor]],Fri_W2[],MATCH("RTA",Fri_W2[#Headers],0),0),"")</calculatedColumnFormula>
    </tableColumn>
    <tableColumn id="3" name="Admin" dataDxfId="1679">
      <calculatedColumnFormula>IFERROR(VLOOKUP(SupSum[[#This Row],[Supervisor]],Fri_W2[],MATCH("Admin",Fri_W2[#Headers],0),0),"")</calculatedColumnFormula>
    </tableColumn>
    <tableColumn id="4" name="TM" dataDxfId="1678">
      <calculatedColumnFormula>IFERROR(VLOOKUP(SupSum[[#This Row],[Supervisor]],Fri_W2[],MATCH("Team MTG",Fri_W2[#Headers],0),0),"")</calculatedColumnFormula>
    </tableColumn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id="51" name="SSum_Sat2" displayName="SSum_Sat2" ref="BZ47:CC85" totalsRowShown="0" headerRowDxfId="1677" dataDxfId="1676">
  <autoFilter ref="BZ47:CC85"/>
  <tableColumns count="4">
    <tableColumn id="1" name="Help Line" dataDxfId="1675">
      <calculatedColumnFormula>IFERROR(VLOOKUP(SupSum[[#This Row],[Supervisor]],Sat_W2[],MATCH("Help Line",Sat_W2[#Headers],0),0),"")</calculatedColumnFormula>
    </tableColumn>
    <tableColumn id="2" name="RTA" dataDxfId="1674">
      <calculatedColumnFormula>IFERROR(VLOOKUP(SupSum[[#This Row],[Supervisor]],Sat_W2[],MATCH("RTA",Sat_W2[#Headers],0),0),"")</calculatedColumnFormula>
    </tableColumn>
    <tableColumn id="3" name="Admin" dataDxfId="1673">
      <calculatedColumnFormula>IFERROR(VLOOKUP(SupSum[[#This Row],[Supervisor]],Sat_W2[],MATCH("Admin",Sat_W2[#Headers],0),0),"")</calculatedColumnFormula>
    </tableColumn>
    <tableColumn id="4" name="TM" dataDxfId="1672">
      <calculatedColumnFormula>IFERROR(VLOOKUP(SupSum[[#This Row],[Supervisor]],Sat_W2[],MATCH("Team MTG",Sat_W2[#Headers],0),0),"")</calculatedColumnFormula>
    </tableColumn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id="5" name="Table5" displayName="Table5" ref="B8:AY80" totalsRowShown="0" headerRowDxfId="1671" dataDxfId="1670" tableBorderDxfId="1669" headerRowCellStyle="Normal 5">
  <autoFilter ref="B8:AY80"/>
  <tableColumns count="50">
    <tableColumn id="1" name="Employee Name" dataDxfId="1668"/>
    <tableColumn id="2" name="Dept" dataDxfId="1667"/>
    <tableColumn id="3" name="Shift Start" dataDxfId="1666"/>
    <tableColumn id="4" name="Shift Stop" dataDxfId="1665"/>
    <tableColumn id="5" name="Help Line" dataDxfId="1664"/>
    <tableColumn id="6" name="Team MTG" dataDxfId="1663"/>
    <tableColumn id="7" name="Admin" dataDxfId="1662"/>
    <tableColumn id="8" name="RTA" dataDxfId="1661"/>
    <tableColumn id="9" name=" " dataDxfId="1660"/>
    <tableColumn id="10" name="0500" dataDxfId="1659">
      <calculatedColumnFormula>IF(AND($D9="",$E9=""),"",IF(Table5[[#This Row],[Shift Start]]=Table5[[#Headers],[0500]],"s",IF(Table5[[#This Row],[Shift Stop]]=Table5[[#Headers],[0500]],"f",IF(AND(Table5[[#This Row],[Shift Start]]&gt;Table5[[#Headers],[0500]],Table5[[#This Row],[Shift Stop]]&lt;Table5[[#Headers],[0500]]),"m",""))))</calculatedColumnFormula>
    </tableColumn>
    <tableColumn id="11" name="0530" dataDxfId="1658">
      <calculatedColumnFormula>IF(AND(Table5[[#This Row],[Shift Start]:[Shift Start]]="",Table5[[#This Row],[Shift Stop]:[Shift Stop]]=""),"",IF(Table5[[#This Row],[Shift Start]:[Shift Start]]=L$7,"s",IF(Table5[[#This Row],[Shift Stop]:[Shift Stop]]=L$7,"f",IF(AND(Table5[[#This Row],[Shift Start]:[Shift Start]]&lt;L$7,Table5[[#This Row],[Shift Stop]:[Shift Stop]]&gt;L$7),"m",""))))</calculatedColumnFormula>
    </tableColumn>
    <tableColumn id="12" name="0600" dataDxfId="1657"/>
    <tableColumn id="13" name="0630" dataDxfId="1656"/>
    <tableColumn id="14" name="0700" dataDxfId="1655"/>
    <tableColumn id="15" name="0730" dataDxfId="1654"/>
    <tableColumn id="16" name="0800" dataDxfId="1653"/>
    <tableColumn id="17" name="0830" dataDxfId="1652"/>
    <tableColumn id="18" name="0900" dataDxfId="1651"/>
    <tableColumn id="19" name="0930" dataDxfId="1650"/>
    <tableColumn id="20" name="1000" dataDxfId="1649"/>
    <tableColumn id="21" name="1030" dataDxfId="1648"/>
    <tableColumn id="22" name="1100" dataDxfId="1647"/>
    <tableColumn id="23" name="1130" dataDxfId="1646"/>
    <tableColumn id="24" name="1200" dataDxfId="1645"/>
    <tableColumn id="25" name="1230" dataDxfId="1644"/>
    <tableColumn id="26" name="1300" dataDxfId="1643"/>
    <tableColumn id="27" name="1330" dataDxfId="1642"/>
    <tableColumn id="28" name="1400" dataDxfId="1641"/>
    <tableColumn id="29" name="1430" dataDxfId="1640"/>
    <tableColumn id="30" name="1500" dataDxfId="1639"/>
    <tableColumn id="31" name="1530" dataDxfId="1638"/>
    <tableColumn id="32" name="1600" dataDxfId="1637"/>
    <tableColumn id="33" name="1630" dataDxfId="1636"/>
    <tableColumn id="34" name="1700" dataDxfId="1635"/>
    <tableColumn id="35" name="1730" dataDxfId="1634"/>
    <tableColumn id="36" name="1800" dataDxfId="1633"/>
    <tableColumn id="37" name="1830" dataDxfId="1632"/>
    <tableColumn id="38" name="1900" dataDxfId="1631"/>
    <tableColumn id="39" name="1930" dataDxfId="1630"/>
    <tableColumn id="40" name="2000" dataDxfId="1629"/>
    <tableColumn id="41" name="2030" dataDxfId="1628"/>
    <tableColumn id="42" name="2100" dataDxfId="1627"/>
    <tableColumn id="43" name="2130" dataDxfId="1626"/>
    <tableColumn id="44" name="2200" dataDxfId="1625"/>
    <tableColumn id="45" name="2230" dataDxfId="1624"/>
    <tableColumn id="46" name="2300" dataDxfId="1623"/>
    <tableColumn id="47" name="2330" dataDxfId="1622"/>
    <tableColumn id="50" name="0000" dataDxfId="1621"/>
    <tableColumn id="48" name="  " dataDxfId="1620"/>
    <tableColumn id="49" name="Employee Name " dataDxfId="1619"/>
  </tableColumns>
  <tableStyleInfo name="TableStyleLight9 2" showFirstColumn="0" showLastColumn="0" showRowStripes="1" showColumnStripes="0"/>
</table>
</file>

<file path=xl/tables/table32.xml><?xml version="1.0" encoding="utf-8"?>
<table xmlns="http://schemas.openxmlformats.org/spreadsheetml/2006/main" id="9" name="Fri_W1" displayName="Fri_W1" ref="B8:AY51" totalsRowShown="0" headerRowDxfId="1618" dataDxfId="1616" headerRowBorderDxfId="1617" tableBorderDxfId="1615" headerRowCellStyle="Normal 5">
  <autoFilter ref="B8:AY51">
    <filterColumn colId="0">
      <customFilters>
        <customFilter operator="notEqual" val=" "/>
      </customFilters>
    </filterColumn>
  </autoFilter>
  <sortState ref="B9:AY51">
    <sortCondition ref="D8:D51"/>
  </sortState>
  <tableColumns count="50">
    <tableColumn id="1" name="Employee Name" dataDxfId="1614"/>
    <tableColumn id="2" name="Dept" dataDxfId="1613">
      <calculatedColumnFormula>IFERROR(VLOOKUP(Fri_W1[[#This Row],[Employee Name]],Schedules[[#All],[Employee Name]:[Dept]],2,0),"")</calculatedColumnFormula>
    </tableColumn>
    <tableColumn id="3" name="Shift Start" dataDxfId="1612">
      <calculatedColumnFormula>IFERROR(INDEX(Schedules[],MATCH(Fri_W1[[#This Row],[Employee Name]]&amp;"fri",Schedules[Column1],0),MATCH("START",Schedules[#Headers],0)),"")</calculatedColumnFormula>
    </tableColumn>
    <tableColumn id="4" name="Shift Stop" dataDxfId="1611">
      <calculatedColumnFormula>IFERROR(INDEX(Schedules[],MATCH(Fri_W1[[#This Row],[Employee Name]]&amp;"fri",Schedules[Column1],0),MATCH("STOP",Schedules[#Headers],0)),"")</calculatedColumnFormula>
    </tableColumn>
    <tableColumn id="5" name="Help Line" dataDxfId="1610">
      <calculatedColumnFormula>IF(Fri_W1[[#This Row],[Employee Name]]="","",IF(Fri_W1[[#This Row],[Dept]]="Supervisor",COUNTIFS($J9:$AU9,"*HL*",$J9:$AU9,"&lt;&gt;"&amp;"pHL"),COUNTIFS($J9:$AU9,"*HL*",$J9:$AU9,"&lt;&gt;"&amp;"*pHL*",$J9:$AU9,"&lt;&gt;"&amp;"pB1 HL",$J9:$AU9,"&lt;&gt;"&amp;"pB2 HL")-SUM(COUNTIFS($J9:$AU9,"*HL B1*",$J9:$AU9,"&lt;&gt;"&amp;"pHL B1")*0.5,COUNTIFS($J9:$AU9,"*HL B2*",$J9:$AU9,"&lt;&gt;"&amp;"pHL B2")*0.5,COUNTIFS($J9:$AU9,"*B1 HL*",$J9:$AU9,"&lt;&gt;"&amp;"pB1 HL")*0.5,COUNTIFS($J9:$AU9,"*B2 HL*",$J9:$AU9,"&lt;&gt;"&amp;"pB2 HL")*0.5)))</calculatedColumnFormula>
    </tableColumn>
    <tableColumn id="6" name="Coaching" dataDxfId="1609">
      <calculatedColumnFormula>IF(B9="","",COUNTIFS($J9:$AU9,"*TM*",$J9:$AU9,"&lt;&gt;"&amp;"pTM",$J9:$AU9,"&lt;&gt;"&amp;"uTM"))</calculatedColumnFormula>
    </tableColumn>
    <tableColumn id="7" name="Admin" dataDxfId="1608">
      <calculatedColumnFormula>IF(B9="","",COUNTIFS($J9:$AU9,"*ADM*",$J9:$AU9,"&lt;&gt;"&amp;"pADM",$J9:$AU9,"&lt;&gt;"&amp;"uADM"))</calculatedColumnFormula>
    </tableColumn>
    <tableColumn id="8" name="RTA" dataDxfId="1607">
      <calculatedColumnFormula>IF(Fri_W1[[#This Row],[Employee Name]]="","",IF(Fri_W1[[#This Row],[Dept]]="Supervisor",SUM(COUNTIFS($J9:$AU9,"RTA*",$J9:$AU9,"&lt;&gt;"&amp;"pRTA"),COUNTIFS($J9:$AU9,"*CRTA*",$J9:$AU9,"&lt;&gt;"&amp;"pCRTA")),COUNTIFS($J9:$AU9,"*RNNR*",$J9:$AU9,"&lt;&gt;"&amp;"*pRNNR*",$J9:$AU9,"&lt;&gt;"&amp;"pB1 RNNR",$J9:$AU9,"&lt;&gt;"&amp;"pB2 RNNR")-SUM(COUNTIFS($J9:$AU9,"*RNNR B1*",$J9:$AU9,"&lt;&gt;"&amp;"pRNNR B1")*0.5,COUNTIFS($J9:$AU9,"*RNNR B2*",$J9:$AU9,"&lt;&gt;"&amp;"pRNNR B2")*0.5,COUNTIFS($J9:$AU9,"*B1 RNNR*",$J9:$AU9,"&lt;&gt;"&amp;"pB1 RNNR")*0.5,COUNTIFS($J9:$AU9,"*B2 RNNR*",$J9:$AU9,"&lt;&gt;"&amp;"pB2 RNNR")*0.5)))</calculatedColumnFormula>
    </tableColumn>
    <tableColumn id="10" name="0500" dataDxfId="1606"/>
    <tableColumn id="11" name="0530" dataDxfId="1605">
      <calculatedColumnFormula>VLOOKUP(Fri_W1[[#This Row],[Employee Name]],'Base Schedules'!$A:$J,10,FALSE)</calculatedColumnFormula>
    </tableColumn>
    <tableColumn id="12" name="0600" dataDxfId="1604">
      <calculatedColumnFormula>VLOOKUP(Fri_W1[[#This Row],[Employee Name]],'Base Schedules'!$A:$K,11,FALSE)</calculatedColumnFormula>
    </tableColumn>
    <tableColumn id="13" name="0630" dataDxfId="1603">
      <calculatedColumnFormula>VLOOKUP(Fri_W1[[#This Row],[Employee Name]],'Base Schedules'!$A:$L,12,FALSE)</calculatedColumnFormula>
    </tableColumn>
    <tableColumn id="14" name="0700" dataDxfId="1602">
      <calculatedColumnFormula>VLOOKUP(Fri_W1[[#This Row],[Employee Name]],'Base Schedules'!$A:$M,13,FALSE)</calculatedColumnFormula>
    </tableColumn>
    <tableColumn id="15" name="0730" dataDxfId="1601">
      <calculatedColumnFormula>VLOOKUP(Fri_W1[[#This Row],[Employee Name]],'Base Schedules'!$A:$N,14,FALSE)</calculatedColumnFormula>
    </tableColumn>
    <tableColumn id="16" name="0800" dataDxfId="1600">
      <calculatedColumnFormula>VLOOKUP(Fri_W1[[#This Row],[Employee Name]],'Base Schedules'!$A:$O,15,FALSE)</calculatedColumnFormula>
    </tableColumn>
    <tableColumn id="17" name="0830" dataDxfId="1599">
      <calculatedColumnFormula>VLOOKUP(Fri_W1[[#This Row],[Employee Name]],'Base Schedules'!$A:$P,16,FALSE)</calculatedColumnFormula>
    </tableColumn>
    <tableColumn id="18" name="0900" dataDxfId="1598">
      <calculatedColumnFormula>VLOOKUP(Fri_W1[[#This Row],[Employee Name]],'Base Schedules'!$A:$Q,17,FALSE)</calculatedColumnFormula>
    </tableColumn>
    <tableColumn id="19" name="0930" dataDxfId="1597">
      <calculatedColumnFormula>VLOOKUP(Fri_W1[[#This Row],[Employee Name]],'Base Schedules'!$A:$R,18,FALSE)</calculatedColumnFormula>
    </tableColumn>
    <tableColumn id="20" name="1000" dataDxfId="1596">
      <calculatedColumnFormula>VLOOKUP(Fri_W1[[#This Row],[Employee Name]],'Base Schedules'!$A:$S,19,FALSE)</calculatedColumnFormula>
    </tableColumn>
    <tableColumn id="21" name="1030" dataDxfId="1595">
      <calculatedColumnFormula>VLOOKUP(Fri_W1[[#This Row],[Employee Name]],'Base Schedules'!$A:$T,20,FALSE)</calculatedColumnFormula>
    </tableColumn>
    <tableColumn id="22" name="1100" dataDxfId="1594">
      <calculatedColumnFormula>VLOOKUP(Fri_W1[[#This Row],[Employee Name]],'Base Schedules'!$A:$U,21,FALSE)</calculatedColumnFormula>
    </tableColumn>
    <tableColumn id="23" name="1130" dataDxfId="1593">
      <calculatedColumnFormula>VLOOKUP(Fri_W1[[#This Row],[Employee Name]],'Base Schedules'!$A:$V,22,FALSE)</calculatedColumnFormula>
    </tableColumn>
    <tableColumn id="24" name="1200" dataDxfId="1592">
      <calculatedColumnFormula>VLOOKUP(Fri_W1[[#This Row],[Employee Name]],'Base Schedules'!$A:$W,23,FALSE)</calculatedColumnFormula>
    </tableColumn>
    <tableColumn id="25" name="1230" dataDxfId="1591">
      <calculatedColumnFormula>VLOOKUP(Fri_W1[[#This Row],[Employee Name]],'Base Schedules'!$A:$X,24,FALSE)</calculatedColumnFormula>
    </tableColumn>
    <tableColumn id="26" name="1300" dataDxfId="1590">
      <calculatedColumnFormula>VLOOKUP(Fri_W1[[#This Row],[Employee Name]],'Base Schedules'!$A:$Y,25,FALSE)</calculatedColumnFormula>
    </tableColumn>
    <tableColumn id="27" name="1330" dataDxfId="1589">
      <calculatedColumnFormula>VLOOKUP(Fri_W1[[#This Row],[Employee Name]],'Base Schedules'!$A:$Z,26,FALSE)</calculatedColumnFormula>
    </tableColumn>
    <tableColumn id="28" name="1400" dataDxfId="1588">
      <calculatedColumnFormula>VLOOKUP(Fri_W1[[#This Row],[Employee Name]],'Base Schedules'!$A:$AA,27,FALSE)</calculatedColumnFormula>
    </tableColumn>
    <tableColumn id="29" name="1430" dataDxfId="1587">
      <calculatedColumnFormula>VLOOKUP(Fri_W1[[#This Row],[Employee Name]],'Base Schedules'!$A:$AB,28,FALSE)</calculatedColumnFormula>
    </tableColumn>
    <tableColumn id="30" name="1500" dataDxfId="1586">
      <calculatedColumnFormula>VLOOKUP(Fri_W1[[#This Row],[Employee Name]],'Base Schedules'!$A:$AC,29,FALSE)</calculatedColumnFormula>
    </tableColumn>
    <tableColumn id="31" name="1530" dataDxfId="1585">
      <calculatedColumnFormula>VLOOKUP(Fri_W1[[#This Row],[Employee Name]],'Base Schedules'!$A:$AD,30,FALSE)</calculatedColumnFormula>
    </tableColumn>
    <tableColumn id="32" name="1600" dataDxfId="1584">
      <calculatedColumnFormula>VLOOKUP(Fri_W1[[#This Row],[Employee Name]],'Base Schedules'!$A:$AE,31,FALSE)</calculatedColumnFormula>
    </tableColumn>
    <tableColumn id="33" name="1630" dataDxfId="1583">
      <calculatedColumnFormula>VLOOKUP(Fri_W1[[#This Row],[Employee Name]],'Base Schedules'!$A:$AF,32,FALSE)</calculatedColumnFormula>
    </tableColumn>
    <tableColumn id="34" name="1700" dataDxfId="1582">
      <calculatedColumnFormula>VLOOKUP(Fri_W1[[#This Row],[Employee Name]],'Base Schedules'!$A:$AG,33,FALSE)</calculatedColumnFormula>
    </tableColumn>
    <tableColumn id="35" name="1730" dataDxfId="1581">
      <calculatedColumnFormula>VLOOKUP(Fri_W1[[#This Row],[Employee Name]],'Base Schedules'!$A:$AH,34,FALSE)</calculatedColumnFormula>
    </tableColumn>
    <tableColumn id="36" name="1800" dataDxfId="1580">
      <calculatedColumnFormula>VLOOKUP(Fri_W1[[#This Row],[Employee Name]],'Base Schedules'!$A:$AI,35,FALSE)</calculatedColumnFormula>
    </tableColumn>
    <tableColumn id="37" name="1830" dataDxfId="1579">
      <calculatedColumnFormula>VLOOKUP(Fri_W1[[#This Row],[Employee Name]],'Base Schedules'!$A:$AJ,36,FALSE)</calculatedColumnFormula>
    </tableColumn>
    <tableColumn id="38" name="1900" dataDxfId="1578">
      <calculatedColumnFormula>VLOOKUP(Fri_W1[[#This Row],[Employee Name]],'Base Schedules'!$A:$AK,37,FALSE)</calculatedColumnFormula>
    </tableColumn>
    <tableColumn id="39" name="1930" dataDxfId="1577">
      <calculatedColumnFormula>VLOOKUP(Fri_W1[[#This Row],[Employee Name]],'Base Schedules'!$A:$AL,38,FALSE)</calculatedColumnFormula>
    </tableColumn>
    <tableColumn id="40" name="2000" dataDxfId="1576">
      <calculatedColumnFormula>VLOOKUP(Fri_W1[[#This Row],[Employee Name]],'Base Schedules'!$A:$AM,39,FALSE)</calculatedColumnFormula>
    </tableColumn>
    <tableColumn id="41" name="2030" dataDxfId="1575">
      <calculatedColumnFormula>VLOOKUP(Fri_W1[[#This Row],[Employee Name]],'Base Schedules'!$A:$AN,40,FALSE)</calculatedColumnFormula>
    </tableColumn>
    <tableColumn id="42" name="2100" dataDxfId="1574">
      <calculatedColumnFormula>VLOOKUP(Fri_W1[[#This Row],[Employee Name]],'Base Schedules'!$A:$AO,41,FALSE)</calculatedColumnFormula>
    </tableColumn>
    <tableColumn id="43" name="2130" dataDxfId="1573">
      <calculatedColumnFormula>VLOOKUP(Fri_W1[[#This Row],[Employee Name]],'Base Schedules'!$A:$AP,42,FALSE)</calculatedColumnFormula>
    </tableColumn>
    <tableColumn id="44" name="2200" dataDxfId="1572">
      <calculatedColumnFormula>VLOOKUP(Fri_W1[[#This Row],[Employee Name]],'Base Schedules'!$A:$AQ,43,FALSE)</calculatedColumnFormula>
    </tableColumn>
    <tableColumn id="45" name="2230" dataDxfId="1571">
      <calculatedColumnFormula>VLOOKUP(Fri_W1[[#This Row],[Employee Name]],'Base Schedules'!$A:$AR,44,FALSE)</calculatedColumnFormula>
    </tableColumn>
    <tableColumn id="46" name="2300" dataDxfId="1570">
      <calculatedColumnFormula>VLOOKUP(Fri_W1[[#This Row],[Employee Name]],'Base Schedules'!$A:$AS,45,FALSE)</calculatedColumnFormula>
    </tableColumn>
    <tableColumn id="47" name="2330" dataDxfId="1569">
      <calculatedColumnFormula>VLOOKUP(Fri_W1[[#This Row],[Employee Name]],'Base Schedules'!$A:$AT,46,FALSE)</calculatedColumnFormula>
    </tableColumn>
    <tableColumn id="48" name="0000" dataDxfId="1568">
      <calculatedColumnFormula>VLOOKUP(Fri_W1[[#This Row],[Employee Name]],'Base Schedules'!$A:$AU,47,FALSE)</calculatedColumnFormula>
    </tableColumn>
    <tableColumn id="9" name="0030" dataDxfId="1567">
      <calculatedColumnFormula>VLOOKUP(Fri_W1[[#This Row],[Employee Name]],'Base Schedules'!$A:$AV,48,FALSE)</calculatedColumnFormula>
    </tableColumn>
    <tableColumn id="50" name="0100" dataDxfId="1566">
      <calculatedColumnFormula>IFERROR(IF(VLOOKUP(Fri_W1[[#This Row],[Employee Name]],'Base Schedules'!$A$1:$AW$44,9,FALSE)="","",VLOOKUP(Fri_W1[[#This Row],[Employee Name]],'Base Schedules'!$A$1:$AW$44,9,FALSE)),"")</calculatedColumnFormula>
    </tableColumn>
    <tableColumn id="49" name="Employee Name " dataDxfId="1565">
      <calculatedColumnFormula>IF(B9="","",B9)</calculatedColumnFormula>
    </tableColumn>
  </tableColumns>
  <tableStyleInfo name="TableStyleLight9 2" showFirstColumn="0" showLastColumn="0" showRowStripes="1" showColumnStripes="0"/>
</table>
</file>

<file path=xl/tables/table33.xml><?xml version="1.0" encoding="utf-8"?>
<table xmlns="http://schemas.openxmlformats.org/spreadsheetml/2006/main" id="7" name="Sat_W1" displayName="Sat_W1" ref="B8:AY46" totalsRowShown="0" headerRowDxfId="1564" dataDxfId="1562" headerRowBorderDxfId="1563" tableBorderDxfId="1561" headerRowCellStyle="Normal 5">
  <autoFilter ref="B8:AY46">
    <filterColumn colId="0">
      <customFilters>
        <customFilter operator="notEqual" val=" "/>
      </customFilters>
    </filterColumn>
  </autoFilter>
  <sortState ref="B9:AY46">
    <sortCondition ref="D8:D46"/>
  </sortState>
  <tableColumns count="50">
    <tableColumn id="1" name="Employee Name" dataDxfId="1560"/>
    <tableColumn id="2" name="Dept" dataDxfId="1559">
      <calculatedColumnFormula>IFERROR(VLOOKUP(Sat_W1[[#This Row],[Employee Name]],Schedules[[#All],[Employee Name]:[Dept]],2,0),"")</calculatedColumnFormula>
    </tableColumn>
    <tableColumn id="3" name="Shift Start" dataDxfId="1558">
      <calculatedColumnFormula>IFERROR(INDEX(Schedules[],MATCH(Sat_W1[[#This Row],[Employee Name]]&amp;"sat",Schedules[Column1],0),MATCH("START",Schedules[#Headers],0)),"")</calculatedColumnFormula>
    </tableColumn>
    <tableColumn id="4" name="Shift Stop" dataDxfId="1557">
      <calculatedColumnFormula>IFERROR(INDEX(Schedules[],MATCH(Sat_W1[[#This Row],[Employee Name]]&amp;"sat",Schedules[Column1],0),MATCH("STOP",Schedules[#Headers],0)),"")</calculatedColumnFormula>
    </tableColumn>
    <tableColumn id="5" name="Help Line" dataDxfId="1556">
      <calculatedColumnFormula>IF(Fri_W1[[#This Row],[Employee Name]]="","",IF(Fri_W1[[#This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calculatedColumnFormula>
    </tableColumn>
    <tableColumn id="6" name="Coaching" dataDxfId="1555">
      <calculatedColumnFormula>IF(B9="","",COUNTIFS($J9:$AU9,"*TM*",$J9:$AU9,"&lt;&gt;"&amp;"pTM",$J9:$AU9,"&lt;&gt;"&amp;"uTM"))</calculatedColumnFormula>
    </tableColumn>
    <tableColumn id="7" name="Admin" dataDxfId="1554">
      <calculatedColumnFormula>IF(B9="","",COUNTIFS($J9:$AU9,"*ADM*",$J9:$AU9,"&lt;&gt;"&amp;"pADM",$J9:$AU9,"&lt;&gt;"&amp;"uADM"))</calculatedColumnFormula>
    </tableColumn>
    <tableColumn id="8" name="RTA" dataDxfId="1553">
      <calculatedColumnFormula>IF(Sat_W1[[#This Row],[Employee Name]]="","",IF(Sat_W1[[#This Row],[Dept]]="Supervisor",SUM(COUNTIFS($J9:$AU9,"RTA*",$J9:$AU9,"&lt;&gt;"&amp;"pRTA"),COUNTIFS($J9:$AU9,"*CRTA*",$J9:$AU9,"&lt;&gt;"&amp;"pCRTA")),COUNTIFS($J9:$AU9,"*RNNR*",$J9:$AU9,"&lt;&gt;"&amp;"*pRNNR*",$J9:$AU9,"&lt;&gt;"&amp;"pB1 RNNR",$J9:$AU9,"&lt;&gt;"&amp;"pB2 RNNR")-SUM(COUNTIFS($J9:$AU9,"*RNNR B1*",$J9:$AU9,"&lt;&gt;"&amp;"pRNNR B1")*0.5,COUNTIFS($J9:$AU9,"*RNNR B2*",$J9:$AU9,"&lt;&gt;"&amp;"pRNNR B2")*0.5,COUNTIFS($J9:$AU9,"*B1 RNNR*",$J9:$AU9,"&lt;&gt;"&amp;"pB1 RNNR")*0.5,COUNTIFS($J9:$AU9,"*B2 RNNR*",$J9:$AU9,"&lt;&gt;"&amp;"pB2 RNNR")*0.5)))</calculatedColumnFormula>
    </tableColumn>
    <tableColumn id="10" name="0500" dataDxfId="1552">
      <calculatedColumnFormula>VLOOKUP(Fri_W1[[#This Row],[Employee Name]],'Base Schedules'!$A:$I,9,FALSE)</calculatedColumnFormula>
    </tableColumn>
    <tableColumn id="11" name="0530" dataDxfId="1551">
      <calculatedColumnFormula>VLOOKUP(Fri_W1[[#This Row],[Employee Name]],'Base Schedules'!$A:$J,10,FALSE)</calculatedColumnFormula>
    </tableColumn>
    <tableColumn id="12" name="0600" dataDxfId="1550">
      <calculatedColumnFormula>VLOOKUP(Fri_W1[[#This Row],[Employee Name]],'Base Schedules'!$A:$K,11,FALSE)</calculatedColumnFormula>
    </tableColumn>
    <tableColumn id="13" name="0630" dataDxfId="1549">
      <calculatedColumnFormula>VLOOKUP(Fri_W1[[#This Row],[Employee Name]],'Base Schedules'!$A:$L,12,FALSE)</calculatedColumnFormula>
    </tableColumn>
    <tableColumn id="14" name="0700" dataDxfId="1548">
      <calculatedColumnFormula>VLOOKUP(Fri_W1[[#This Row],[Employee Name]],'Base Schedules'!$A:$M,13,FALSE)</calculatedColumnFormula>
    </tableColumn>
    <tableColumn id="15" name="0730" dataDxfId="1547">
      <calculatedColumnFormula>VLOOKUP(Fri_W1[[#This Row],[Employee Name]],'Base Schedules'!$A:$N,14,FALSE)</calculatedColumnFormula>
    </tableColumn>
    <tableColumn id="16" name="0800" dataDxfId="1546">
      <calculatedColumnFormula>VLOOKUP(Fri_W1[[#This Row],[Employee Name]],'Base Schedules'!$A:$O,15,FALSE)</calculatedColumnFormula>
    </tableColumn>
    <tableColumn id="17" name="0830" dataDxfId="1545">
      <calculatedColumnFormula>VLOOKUP(Fri_W1[[#This Row],[Employee Name]],'Base Schedules'!$A:$P,16,FALSE)</calculatedColumnFormula>
    </tableColumn>
    <tableColumn id="18" name="0900" dataDxfId="1544">
      <calculatedColumnFormula>VLOOKUP(Fri_W1[[#This Row],[Employee Name]],'Base Schedules'!$A:$Q,17,FALSE)</calculatedColumnFormula>
    </tableColumn>
    <tableColumn id="19" name="0930" dataDxfId="1543">
      <calculatedColumnFormula>VLOOKUP(Fri_W1[[#This Row],[Employee Name]],'Base Schedules'!$A:$R,18,FALSE)</calculatedColumnFormula>
    </tableColumn>
    <tableColumn id="20" name="1000" dataDxfId="1542">
      <calculatedColumnFormula>VLOOKUP(Fri_W1[[#This Row],[Employee Name]],'Base Schedules'!$A:$S,19,FALSE)</calculatedColumnFormula>
    </tableColumn>
    <tableColumn id="21" name="1030" dataDxfId="1541">
      <calculatedColumnFormula>VLOOKUP(Fri_W1[[#This Row],[Employee Name]],'Base Schedules'!$A:$T,20,FALSE)</calculatedColumnFormula>
    </tableColumn>
    <tableColumn id="22" name="1100" dataDxfId="1540">
      <calculatedColumnFormula>VLOOKUP(Fri_W1[[#This Row],[Employee Name]],'Base Schedules'!$A:$U,21,FALSE)</calculatedColumnFormula>
    </tableColumn>
    <tableColumn id="23" name="1130" dataDxfId="1539">
      <calculatedColumnFormula>VLOOKUP(Fri_W1[[#This Row],[Employee Name]],'Base Schedules'!$A:$V,22,FALSE)</calculatedColumnFormula>
    </tableColumn>
    <tableColumn id="24" name="1200" dataDxfId="1538">
      <calculatedColumnFormula>VLOOKUP(Fri_W1[[#This Row],[Employee Name]],'Base Schedules'!$A:$W,23,FALSE)</calculatedColumnFormula>
    </tableColumn>
    <tableColumn id="25" name="1230" dataDxfId="1537">
      <calculatedColumnFormula>VLOOKUP(Fri_W1[[#This Row],[Employee Name]],'Base Schedules'!$A:$X,24,FALSE)</calculatedColumnFormula>
    </tableColumn>
    <tableColumn id="26" name="1300" dataDxfId="1536">
      <calculatedColumnFormula>VLOOKUP(Fri_W1[[#This Row],[Employee Name]],'Base Schedules'!$A:$Y,25,FALSE)</calculatedColumnFormula>
    </tableColumn>
    <tableColumn id="27" name="1330" dataDxfId="1535">
      <calculatedColumnFormula>VLOOKUP(Fri_W1[[#This Row],[Employee Name]],'Base Schedules'!$A:$Z,26,FALSE)</calculatedColumnFormula>
    </tableColumn>
    <tableColumn id="28" name="1400" dataDxfId="1534">
      <calculatedColumnFormula>VLOOKUP(Fri_W1[[#This Row],[Employee Name]],'Base Schedules'!$A:$AA,27,FALSE)</calculatedColumnFormula>
    </tableColumn>
    <tableColumn id="29" name="1430" dataDxfId="1533">
      <calculatedColumnFormula>VLOOKUP(Fri_W1[[#This Row],[Employee Name]],'Base Schedules'!$A:$AB,28,FALSE)</calculatedColumnFormula>
    </tableColumn>
    <tableColumn id="30" name="1500" dataDxfId="1532">
      <calculatedColumnFormula>VLOOKUP(Fri_W1[[#This Row],[Employee Name]],'Base Schedules'!$A:$AC,29,FALSE)</calculatedColumnFormula>
    </tableColumn>
    <tableColumn id="31" name="1530" dataDxfId="1531">
      <calculatedColumnFormula>VLOOKUP(Fri_W1[[#This Row],[Employee Name]],'Base Schedules'!$A:$AD,30,FALSE)</calculatedColumnFormula>
    </tableColumn>
    <tableColumn id="32" name="1600" dataDxfId="1530">
      <calculatedColumnFormula>VLOOKUP(Fri_W1[[#This Row],[Employee Name]],'Base Schedules'!$A:$AE,31,FALSE)</calculatedColumnFormula>
    </tableColumn>
    <tableColumn id="33" name="1630" dataDxfId="1529">
      <calculatedColumnFormula>VLOOKUP(Fri_W1[[#This Row],[Employee Name]],'Base Schedules'!$A:$AF,32,FALSE)</calculatedColumnFormula>
    </tableColumn>
    <tableColumn id="34" name="1700" dataDxfId="1528">
      <calculatedColumnFormula>VLOOKUP(Fri_W1[[#This Row],[Employee Name]],'Base Schedules'!$A:$AG,33,FALSE)</calculatedColumnFormula>
    </tableColumn>
    <tableColumn id="35" name="1730" dataDxfId="1527">
      <calculatedColumnFormula>VLOOKUP(Fri_W1[[#This Row],[Employee Name]],'Base Schedules'!$A:$AH,34,FALSE)</calculatedColumnFormula>
    </tableColumn>
    <tableColumn id="36" name="1800" dataDxfId="1526">
      <calculatedColumnFormula>VLOOKUP(Fri_W1[[#This Row],[Employee Name]],'Base Schedules'!$A:$AI,35,FALSE)</calculatedColumnFormula>
    </tableColumn>
    <tableColumn id="37" name="1830" dataDxfId="1525">
      <calculatedColumnFormula>VLOOKUP(Fri_W1[[#This Row],[Employee Name]],'Base Schedules'!$A:$AJ,36,FALSE)</calculatedColumnFormula>
    </tableColumn>
    <tableColumn id="38" name="1900" dataDxfId="1524">
      <calculatedColumnFormula>VLOOKUP(Fri_W1[[#This Row],[Employee Name]],'Base Schedules'!$A:$AK,37,FALSE)</calculatedColumnFormula>
    </tableColumn>
    <tableColumn id="39" name="1930" dataDxfId="1523">
      <calculatedColumnFormula>VLOOKUP(Fri_W1[[#This Row],[Employee Name]],'Base Schedules'!$A:$AL,38,FALSE)</calculatedColumnFormula>
    </tableColumn>
    <tableColumn id="40" name="2000" dataDxfId="1522">
      <calculatedColumnFormula>VLOOKUP(Fri_W1[[#This Row],[Employee Name]],'Base Schedules'!$A:$AM,39,FALSE)</calculatedColumnFormula>
    </tableColumn>
    <tableColumn id="41" name="2030" dataDxfId="1521">
      <calculatedColumnFormula>VLOOKUP(Fri_W1[[#This Row],[Employee Name]],'Base Schedules'!$A:$AN,40,FALSE)</calculatedColumnFormula>
    </tableColumn>
    <tableColumn id="42" name="2100" dataDxfId="1520">
      <calculatedColumnFormula>VLOOKUP(Fri_W1[[#This Row],[Employee Name]],'Base Schedules'!$A:$AO,41,FALSE)</calculatedColumnFormula>
    </tableColumn>
    <tableColumn id="43" name="2130" dataDxfId="1519">
      <calculatedColumnFormula>VLOOKUP(Fri_W1[[#This Row],[Employee Name]],'Base Schedules'!$A:$AP,42,FALSE)</calculatedColumnFormula>
    </tableColumn>
    <tableColumn id="44" name="2200" dataDxfId="1518">
      <calculatedColumnFormula>VLOOKUP(Fri_W1[[#This Row],[Employee Name]],'Base Schedules'!$A:$AQ,43,FALSE)</calculatedColumnFormula>
    </tableColumn>
    <tableColumn id="45" name="2230" dataDxfId="1517">
      <calculatedColumnFormula>VLOOKUP(Fri_W1[[#This Row],[Employee Name]],'Base Schedules'!$A:$AR,44,FALSE)</calculatedColumnFormula>
    </tableColumn>
    <tableColumn id="46" name="2300" dataDxfId="1516">
      <calculatedColumnFormula>VLOOKUP(Fri_W1[[#This Row],[Employee Name]],'Base Schedules'!$A:$AS,45,FALSE)</calculatedColumnFormula>
    </tableColumn>
    <tableColumn id="47" name="2330" dataDxfId="1515">
      <calculatedColumnFormula>VLOOKUP(Fri_W1[[#This Row],[Employee Name]],'Base Schedules'!$A:$AT,46,FALSE)</calculatedColumnFormula>
    </tableColumn>
    <tableColumn id="48" name="0000" dataDxfId="1514">
      <calculatedColumnFormula>VLOOKUP(Fri_W1[[#This Row],[Employee Name]],'Base Schedules'!$A:$AU,47,FALSE)</calculatedColumnFormula>
    </tableColumn>
    <tableColumn id="9" name="0030" dataDxfId="1513">
      <calculatedColumnFormula>VLOOKUP(Fri_W1[[#This Row],[Employee Name]],'Base Schedules'!$A:$AV,48,FALSE)</calculatedColumnFormula>
    </tableColumn>
    <tableColumn id="50" name="0100" dataDxfId="1512">
      <calculatedColumnFormula>IFERROR(IF(VLOOKUP(Fri_W1[[#This Row],[Employee Name]],'Base Schedules'!$A$1:$AW$44,49,FALSE)="","",VLOOKUP(Fri_W1[[#This Row],[Employee Name]],'Base Schedules'!$A$1:$AW$44,49,FALSE)),"")</calculatedColumnFormula>
    </tableColumn>
    <tableColumn id="49" name="Employee Name " dataDxfId="1511">
      <calculatedColumnFormula>IF(B9="","",B9)</calculatedColumnFormula>
    </tableColumn>
  </tableColumns>
  <tableStyleInfo name="TableStyleLight9 2" showFirstColumn="0" showLastColumn="0" showRowStripes="1" showColumnStripes="0"/>
</table>
</file>

<file path=xl/tables/table34.xml><?xml version="1.0" encoding="utf-8"?>
<table xmlns="http://schemas.openxmlformats.org/spreadsheetml/2006/main" id="13" name="Sun_W1" displayName="Sun_W1" ref="B8:AY47" totalsRowShown="0" headerRowDxfId="1510" dataDxfId="1508" headerRowBorderDxfId="1509" tableBorderDxfId="1507" headerRowCellStyle="Normal 5">
  <autoFilter ref="B8:AY47">
    <filterColumn colId="0">
      <customFilters>
        <customFilter operator="notEqual" val=" "/>
      </customFilters>
    </filterColumn>
  </autoFilter>
  <sortState ref="B9:AY47">
    <sortCondition ref="D8:D47"/>
  </sortState>
  <tableColumns count="50">
    <tableColumn id="1" name="Employee Name" dataDxfId="1506"/>
    <tableColumn id="2" name="Dept" dataDxfId="1505">
      <calculatedColumnFormula>_xlfn.IFNA(VLOOKUP(Sat_W1[[#This Row],[Employee Name]],'Base Schedules'!A:B,2,FALSE),"")</calculatedColumnFormula>
    </tableColumn>
    <tableColumn id="3" name="Shift Start" dataDxfId="1504">
      <calculatedColumnFormula>_xlfn.IFNA(VLOOKUP(Sat_W1[[#This Row],[Employee Name]],'Base Schedules'!A:C,3,FALSE),"")</calculatedColumnFormula>
    </tableColumn>
    <tableColumn id="4" name="Shift Stop" dataDxfId="1503">
      <calculatedColumnFormula>_xlfn.IFNA(VLOOKUP(Sat_W1[[#This Row],[Employee Name]],'Base Schedules'!A:D,4,FALSE),"")</calculatedColumnFormula>
    </tableColumn>
    <tableColumn id="5" name="Help Line" dataDxfId="1502">
      <calculatedColumnFormula>IF(Sat_W1[[#This Row],[Employee Name]]="","",IF(Sat_W1[[#This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calculatedColumnFormula>
    </tableColumn>
    <tableColumn id="6" name="Coaching" dataDxfId="1501">
      <calculatedColumnFormula>IF(B9="","",COUNTIFS($J9:$AX9,"*Coaching*",$J9:$AX9,"&lt;&gt;"&amp;"pTM",$J9:$AX9,"&lt;&gt;"&amp;"uTM"))</calculatedColumnFormula>
    </tableColumn>
    <tableColumn id="7" name="Admin" dataDxfId="1500">
      <calculatedColumnFormula>IF(B9="","",COUNTIFS($J9:$AX9,"*ADM*",$J9:$AX9,"&lt;&gt;"&amp;"pADM",$J9:$AX9,"&lt;&gt;"&amp;"uADM"))</calculatedColumnFormula>
    </tableColumn>
    <tableColumn id="8" name="RTA" dataDxfId="1499">
      <calculatedColumnFormula>IF(Sat_W1[[#This Row],[Employee Name]]="","",IF(Sat_W1[[#This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calculatedColumnFormula>
    </tableColumn>
    <tableColumn id="10" name="0500" dataDxfId="1498">
      <calculatedColumnFormula>IFERROR(IF(VLOOKUP(Sat_W1[[#This Row],[Employee Name]],'Base Schedules'!$A$46:$AW$77,9,FALSE)="","",VLOOKUP(Sat_W1[[#This Row],[Employee Name]],'Base Schedules'!$A$46:$AW$77,9,FALSE)),"")</calculatedColumnFormula>
    </tableColumn>
    <tableColumn id="11" name="0530" dataDxfId="1497">
      <calculatedColumnFormula>IFERROR(IF(VLOOKUP(Sat_W1[[#This Row],[Employee Name]],'Base Schedules'!$A$46:$AW$77,10,FALSE)="","",VLOOKUP(Sat_W1[[#This Row],[Employee Name]],'Base Schedules'!$A$46:$AW$77,10,FALSE)),"")</calculatedColumnFormula>
    </tableColumn>
    <tableColumn id="12" name="0600" dataDxfId="1496">
      <calculatedColumnFormula>IFERROR(IF(VLOOKUP(Sat_W1[[#This Row],[Employee Name]],'Base Schedules'!$A$46:$AW$77,11,FALSE)="","",VLOOKUP(Sat_W1[[#This Row],[Employee Name]],'Base Schedules'!$A$46:$AW$77,11,FALSE)),"")</calculatedColumnFormula>
    </tableColumn>
    <tableColumn id="13" name="0630" dataDxfId="1495">
      <calculatedColumnFormula>IFERROR(IF(VLOOKUP(Sat_W1[[#This Row],[Employee Name]],'Base Schedules'!$A$46:$AW$77,12,FALSE)="","",VLOOKUP(Sat_W1[[#This Row],[Employee Name]],'Base Schedules'!$A$46:$AW$77,12,FALSE)),"")</calculatedColumnFormula>
    </tableColumn>
    <tableColumn id="14" name="0700" dataDxfId="1494">
      <calculatedColumnFormula>IFERROR(IF(VLOOKUP(Sat_W1[[#This Row],[Employee Name]],'Base Schedules'!$A$46:$AW$77,13,FALSE)="","",VLOOKUP(Sat_W1[[#This Row],[Employee Name]],'Base Schedules'!$A$46:$AW$77,13,FALSE)),"")</calculatedColumnFormula>
    </tableColumn>
    <tableColumn id="15" name="0730" dataDxfId="1493">
      <calculatedColumnFormula>IFERROR(IF(VLOOKUP(Sat_W1[[#This Row],[Employee Name]],'Base Schedules'!$A$46:$AW$77,14,FALSE)="","",VLOOKUP(Sat_W1[[#This Row],[Employee Name]],'Base Schedules'!$A$46:$AW$77,14,FALSE)),"")</calculatedColumnFormula>
    </tableColumn>
    <tableColumn id="16" name="0800" dataDxfId="1492">
      <calculatedColumnFormula>IFERROR(IF(VLOOKUP(Sat_W1[[#This Row],[Employee Name]],'Base Schedules'!$A$46:$AW$77,15,FALSE)="","",VLOOKUP(Sat_W1[[#This Row],[Employee Name]],'Base Schedules'!$A$46:$AW$77,15,FALSE)),"")</calculatedColumnFormula>
    </tableColumn>
    <tableColumn id="17" name="0830" dataDxfId="1491">
      <calculatedColumnFormula>IFERROR(IF(VLOOKUP(Sat_W1[[#This Row],[Employee Name]],'Base Schedules'!$A$46:$AW$77,16,FALSE)="","",VLOOKUP(Sat_W1[[#This Row],[Employee Name]],'Base Schedules'!$A$46:$AW$77,16,FALSE)),"")</calculatedColumnFormula>
    </tableColumn>
    <tableColumn id="18" name="0900" dataDxfId="1490">
      <calculatedColumnFormula>IFERROR(IF(VLOOKUP(Sat_W1[[#This Row],[Employee Name]],'Base Schedules'!$A$46:$AW$77,17,FALSE)="","",VLOOKUP(Sat_W1[[#This Row],[Employee Name]],'Base Schedules'!$A$46:$AW$77,17,FALSE)),"")</calculatedColumnFormula>
    </tableColumn>
    <tableColumn id="19" name="0930" dataDxfId="1489">
      <calculatedColumnFormula>IFERROR(IF(VLOOKUP(Sat_W1[[#This Row],[Employee Name]],'Base Schedules'!$A$46:$AW$77,18,FALSE)="","",VLOOKUP(Sat_W1[[#This Row],[Employee Name]],'Base Schedules'!$A$46:$AW$77,18,FALSE)),"")</calculatedColumnFormula>
    </tableColumn>
    <tableColumn id="20" name="1000" dataDxfId="1488">
      <calculatedColumnFormula>IFERROR(IF(VLOOKUP(Sat_W1[[#This Row],[Employee Name]],'Base Schedules'!$A$46:$AW$77,19,FALSE)="","",VLOOKUP(Sat_W1[[#This Row],[Employee Name]],'Base Schedules'!$A$46:$AW$77,19,FALSE)),"")</calculatedColumnFormula>
    </tableColumn>
    <tableColumn id="21" name="1030" dataDxfId="1487">
      <calculatedColumnFormula>IFERROR(IF(VLOOKUP(Sat_W1[[#This Row],[Employee Name]],'Base Schedules'!$A$46:$AW$77,20,FALSE)="","",VLOOKUP(Sat_W1[[#This Row],[Employee Name]],'Base Schedules'!$A$46:$AW$77,20,FALSE)),"")</calculatedColumnFormula>
    </tableColumn>
    <tableColumn id="22" name="1100" dataDxfId="1486">
      <calculatedColumnFormula>IFERROR(IF(VLOOKUP(Sat_W1[[#This Row],[Employee Name]],'Base Schedules'!$A$46:$AW$77,21,FALSE)="","",VLOOKUP(Sat_W1[[#This Row],[Employee Name]],'Base Schedules'!$A$46:$AW$77,21,FALSE)),"")</calculatedColumnFormula>
    </tableColumn>
    <tableColumn id="23" name="1130" dataDxfId="1485">
      <calculatedColumnFormula>IFERROR(IF(VLOOKUP(Sat_W1[[#This Row],[Employee Name]],'Base Schedules'!$A$46:$AW$77,22,FALSE)="","",VLOOKUP(Sat_W1[[#This Row],[Employee Name]],'Base Schedules'!$A$46:$AW$77,22,FALSE)),"")</calculatedColumnFormula>
    </tableColumn>
    <tableColumn id="24" name="1200" dataDxfId="1484">
      <calculatedColumnFormula>IFERROR(IF(VLOOKUP(Sat_W1[[#This Row],[Employee Name]],'Base Schedules'!$A$46:$AW$77,23,FALSE)="","",VLOOKUP(Sat_W1[[#This Row],[Employee Name]],'Base Schedules'!$A$46:$AW$77,23,FALSE)),"")</calculatedColumnFormula>
    </tableColumn>
    <tableColumn id="25" name="1230" dataDxfId="1483">
      <calculatedColumnFormula>IFERROR(IF(VLOOKUP(Sat_W1[[#This Row],[Employee Name]],'Base Schedules'!$A$46:$AW$77,24,FALSE)="","",VLOOKUP(Sat_W1[[#This Row],[Employee Name]],'Base Schedules'!$A$46:$AW$77,24,FALSE)),"")</calculatedColumnFormula>
    </tableColumn>
    <tableColumn id="26" name="1300" dataDxfId="1482">
      <calculatedColumnFormula>IFERROR(IF(VLOOKUP(Sat_W1[[#This Row],[Employee Name]],'Base Schedules'!$A$46:$AW$77,25,FALSE)="","",VLOOKUP(Sat_W1[[#This Row],[Employee Name]],'Base Schedules'!$A$46:$AW$77,25,FALSE)),"")</calculatedColumnFormula>
    </tableColumn>
    <tableColumn id="27" name="1330" dataDxfId="1481">
      <calculatedColumnFormula>IFERROR(IF(VLOOKUP(Sat_W1[[#This Row],[Employee Name]],'Base Schedules'!$A$46:$AW$77,26,FALSE)="","",VLOOKUP(Sat_W1[[#This Row],[Employee Name]],'Base Schedules'!$A$46:$AW$77,26,FALSE)),"")</calculatedColumnFormula>
    </tableColumn>
    <tableColumn id="28" name="1400" dataDxfId="1480">
      <calculatedColumnFormula>IFERROR(IF(VLOOKUP(Sat_W1[[#This Row],[Employee Name]],'Base Schedules'!$A$46:$AW$77,27,FALSE)="","",VLOOKUP(Sat_W1[[#This Row],[Employee Name]],'Base Schedules'!$A$46:$AW$77,27,FALSE)),"")</calculatedColumnFormula>
    </tableColumn>
    <tableColumn id="29" name="1430" dataDxfId="1479">
      <calculatedColumnFormula>IFERROR(IF(VLOOKUP(Sat_W1[[#This Row],[Employee Name]],'Base Schedules'!$A$46:$AW$77,28,FALSE)="","",VLOOKUP(Sat_W1[[#This Row],[Employee Name]],'Base Schedules'!$A$46:$AW$77,28,FALSE)),"")</calculatedColumnFormula>
    </tableColumn>
    <tableColumn id="30" name="1500" dataDxfId="1478">
      <calculatedColumnFormula>IFERROR(IF(VLOOKUP(Sat_W1[[#This Row],[Employee Name]],'Base Schedules'!$A$46:$AW$77,29,FALSE)="","",VLOOKUP(Sat_W1[[#This Row],[Employee Name]],'Base Schedules'!$A$46:$AW$77,29,FALSE)),"")</calculatedColumnFormula>
    </tableColumn>
    <tableColumn id="31" name="1530" dataDxfId="1477">
      <calculatedColumnFormula>IFERROR(IF(VLOOKUP(Sat_W1[[#This Row],[Employee Name]],'Base Schedules'!$A$46:$AW$77,30,FALSE)="","",VLOOKUP(Sat_W1[[#This Row],[Employee Name]],'Base Schedules'!$A$46:$AW$77,30,FALSE)),"")</calculatedColumnFormula>
    </tableColumn>
    <tableColumn id="32" name="1600" dataDxfId="1476">
      <calculatedColumnFormula>IFERROR(IF(VLOOKUP(Sat_W1[[#This Row],[Employee Name]],'Base Schedules'!$A$46:$AW$77,31,FALSE)="","",VLOOKUP(Sat_W1[[#This Row],[Employee Name]],'Base Schedules'!$A$46:$AW$77,31,FALSE)),"")</calculatedColumnFormula>
    </tableColumn>
    <tableColumn id="33" name="1630" dataDxfId="1475">
      <calculatedColumnFormula>IFERROR(IF(VLOOKUP(Sat_W1[[#This Row],[Employee Name]],'Base Schedules'!$A$46:$AW$77,32,FALSE)="","",VLOOKUP(Sat_W1[[#This Row],[Employee Name]],'Base Schedules'!$A$46:$AW$77,32,FALSE)),"")</calculatedColumnFormula>
    </tableColumn>
    <tableColumn id="34" name="1700" dataDxfId="1474">
      <calculatedColumnFormula>IFERROR(IF(VLOOKUP(Sat_W1[[#This Row],[Employee Name]],'Base Schedules'!$A$46:$AW$77,33,FALSE)="","",VLOOKUP(Sat_W1[[#This Row],[Employee Name]],'Base Schedules'!$A$46:$AW$77,33,FALSE)),"")</calculatedColumnFormula>
    </tableColumn>
    <tableColumn id="35" name="1730" dataDxfId="1473">
      <calculatedColumnFormula>IFERROR(IF(VLOOKUP(Sat_W1[[#This Row],[Employee Name]],'Base Schedules'!$A$46:$AW$77,34,FALSE)="","",VLOOKUP(Sat_W1[[#This Row],[Employee Name]],'Base Schedules'!$A$46:$AW$77,34,FALSE)),"")</calculatedColumnFormula>
    </tableColumn>
    <tableColumn id="36" name="1800" dataDxfId="1472">
      <calculatedColumnFormula>IFERROR(IF(VLOOKUP(Sat_W1[[#This Row],[Employee Name]],'Base Schedules'!$A$46:$AW$77,35,FALSE)="","",VLOOKUP(Sat_W1[[#This Row],[Employee Name]],'Base Schedules'!$A$46:$AW$77,35,FALSE)),"")</calculatedColumnFormula>
    </tableColumn>
    <tableColumn id="37" name="1830" dataDxfId="1471">
      <calculatedColumnFormula>IFERROR(IF(VLOOKUP(Sat_W1[[#This Row],[Employee Name]],'Base Schedules'!$A$46:$AW$77,36,FALSE)="","",VLOOKUP(Sat_W1[[#This Row],[Employee Name]],'Base Schedules'!$A$46:$AW$77,36,FALSE)),"")</calculatedColumnFormula>
    </tableColumn>
    <tableColumn id="38" name="1900" dataDxfId="1470">
      <calculatedColumnFormula>IFERROR(IF(VLOOKUP(Sat_W1[[#This Row],[Employee Name]],'Base Schedules'!$A$46:$AW$77,37,FALSE)="","",VLOOKUP(Sat_W1[[#This Row],[Employee Name]],'Base Schedules'!$A$46:$AW$77,37,FALSE)),"")</calculatedColumnFormula>
    </tableColumn>
    <tableColumn id="39" name="1930" dataDxfId="1469">
      <calculatedColumnFormula>IFERROR(IF(VLOOKUP(Sat_W1[[#This Row],[Employee Name]],'Base Schedules'!$A$46:$AW$77,38,FALSE)="","",VLOOKUP(Sat_W1[[#This Row],[Employee Name]],'Base Schedules'!$A$46:$AW$77,38,FALSE)),"")</calculatedColumnFormula>
    </tableColumn>
    <tableColumn id="40" name="2000" dataDxfId="1468">
      <calculatedColumnFormula>IFERROR(IF(VLOOKUP(Sat_W1[[#This Row],[Employee Name]],'Base Schedules'!$A$46:$AW$77,39,FALSE)="","",VLOOKUP(Sat_W1[[#This Row],[Employee Name]],'Base Schedules'!$A$46:$AW$77,39,FALSE)),"")</calculatedColumnFormula>
    </tableColumn>
    <tableColumn id="41" name="2030" dataDxfId="1467">
      <calculatedColumnFormula>IFERROR(IF(VLOOKUP(Sat_W1[[#This Row],[Employee Name]],'Base Schedules'!$A$46:$AW$77,40,FALSE)="","",VLOOKUP(Sat_W1[[#This Row],[Employee Name]],'Base Schedules'!$A$46:$AW$77,40,FALSE)),"")</calculatedColumnFormula>
    </tableColumn>
    <tableColumn id="42" name="2100" dataDxfId="1466">
      <calculatedColumnFormula>IFERROR(IF(VLOOKUP(Sat_W1[[#This Row],[Employee Name]],'Base Schedules'!$A$46:$AW$77,41,FALSE)="","",VLOOKUP(Sat_W1[[#This Row],[Employee Name]],'Base Schedules'!$A$46:$AW$77,41,FALSE)),"")</calculatedColumnFormula>
    </tableColumn>
    <tableColumn id="43" name="2130" dataDxfId="1465">
      <calculatedColumnFormula>IFERROR(IF(VLOOKUP(Sat_W1[[#This Row],[Employee Name]],'Base Schedules'!$A$46:$AW$77,42,FALSE)="","",VLOOKUP(Sat_W1[[#This Row],[Employee Name]],'Base Schedules'!$A$46:$AW$77,42,FALSE)),"")</calculatedColumnFormula>
    </tableColumn>
    <tableColumn id="44" name="2200" dataDxfId="1464">
      <calculatedColumnFormula>IFERROR(IF(VLOOKUP(Sat_W1[[#This Row],[Employee Name]],'Base Schedules'!$A$46:$AW$77,43,FALSE)="","",VLOOKUP(Sat_W1[[#This Row],[Employee Name]],'Base Schedules'!$A$46:$AW$77,43,FALSE)),"")</calculatedColumnFormula>
    </tableColumn>
    <tableColumn id="45" name="2230" dataDxfId="1463">
      <calculatedColumnFormula>IFERROR(IF(VLOOKUP(Sat_W1[[#This Row],[Employee Name]],'Base Schedules'!$A$46:$AW$77,44,FALSE)="","",VLOOKUP(Sat_W1[[#This Row],[Employee Name]],'Base Schedules'!$A$46:$AW$77,44,FALSE)),"")</calculatedColumnFormula>
    </tableColumn>
    <tableColumn id="46" name="2300" dataDxfId="1462">
      <calculatedColumnFormula>IFERROR(IF(VLOOKUP(Sat_W1[[#This Row],[Employee Name]],'Base Schedules'!$A$46:$AW$77,45,FALSE)="","",VLOOKUP(Sat_W1[[#This Row],[Employee Name]],'Base Schedules'!$A$46:$AW$77,45,FALSE)),"")</calculatedColumnFormula>
    </tableColumn>
    <tableColumn id="47" name="2330" dataDxfId="1461">
      <calculatedColumnFormula>IFERROR(IF(VLOOKUP(Sat_W1[[#This Row],[Employee Name]],'Base Schedules'!$A$46:$AW$77,46,FALSE)="","",VLOOKUP(Sat_W1[[#This Row],[Employee Name]],'Base Schedules'!$A$46:$AW$77,46,FALSE)),"")</calculatedColumnFormula>
    </tableColumn>
    <tableColumn id="48" name="0000" dataDxfId="1460">
      <calculatedColumnFormula>IFERROR(IF(VLOOKUP(Sat_W1[[#This Row],[Employee Name]],'Base Schedules'!$A$46:$AW$77,47,FALSE)="","",VLOOKUP(Sat_W1[[#This Row],[Employee Name]],'Base Schedules'!$A$46:$AW$77,47,FALSE)),"")</calculatedColumnFormula>
    </tableColumn>
    <tableColumn id="9" name="0030" dataDxfId="1459">
      <calculatedColumnFormula>IFERROR(IF(VLOOKUP(Sat_W1[[#This Row],[Employee Name]],'Base Schedules'!$A$46:$AW$77,48,FALSE)="","",VLOOKUP(Sat_W1[[#This Row],[Employee Name]],'Base Schedules'!$A$46:$AW$77,48,FALSE)),"")</calculatedColumnFormula>
    </tableColumn>
    <tableColumn id="50" name="0100" dataDxfId="1458">
      <calculatedColumnFormula>IFERROR(IF(VLOOKUP(Sat_W1[[#This Row],[Employee Name]],'Base Schedules'!$A$46:$AW$77,49,FALSE)="","",VLOOKUP(Sat_W1[[#This Row],[Employee Name]],'Base Schedules'!$A$46:$AW$77,49,FALSE)),"")</calculatedColumnFormula>
    </tableColumn>
    <tableColumn id="49" name="Employee Name " dataDxfId="1457">
      <calculatedColumnFormula>IF(B9="","",B9)</calculatedColumnFormula>
    </tableColumn>
  </tableColumns>
  <tableStyleInfo name="TableStyleLight9 2" showFirstColumn="0" showLastColumn="0" showRowStripes="1" showColumnStripes="0"/>
</table>
</file>

<file path=xl/tables/table35.xml><?xml version="1.0" encoding="utf-8"?>
<table xmlns="http://schemas.openxmlformats.org/spreadsheetml/2006/main" id="12" name="Mon_W1" displayName="Mon_W1" ref="B8:AY54" totalsRowShown="0" headerRowDxfId="1456" dataDxfId="1454" headerRowBorderDxfId="1455" tableBorderDxfId="1453" headerRowCellStyle="Normal 5">
  <autoFilter ref="B8:AY54">
    <filterColumn colId="0">
      <customFilters>
        <customFilter operator="notEqual" val=" "/>
      </customFilters>
    </filterColumn>
  </autoFilter>
  <sortState ref="B9:AY54">
    <sortCondition ref="D8:D54"/>
  </sortState>
  <tableColumns count="50">
    <tableColumn id="1" name="Employee Name" dataDxfId="1452"/>
    <tableColumn id="2" name="Dept" dataDxfId="1451">
      <calculatedColumnFormula>_xlfn.IFNA(VLOOKUP(Sat_W1[[#This Row],[Employee Name]],'Base Schedules'!A:B,2,FALSE),"")</calculatedColumnFormula>
    </tableColumn>
    <tableColumn id="3" name="Shift Start" dataDxfId="1450">
      <calculatedColumnFormula>_xlfn.IFNA(VLOOKUP(Sat_W1[[#This Row],[Employee Name]],'Base Schedules'!A:C,3,FALSE),"")</calculatedColumnFormula>
    </tableColumn>
    <tableColumn id="4" name="Shift Stop" dataDxfId="1449">
      <calculatedColumnFormula>_xlfn.IFNA(VLOOKUP(Sat_W1[[#This Row],[Employee Name]],'Base Schedules'!A:D,4,FALSE),"")</calculatedColumnFormula>
    </tableColumn>
    <tableColumn id="5" name="Help Line" dataDxfId="1448">
      <calculatedColumnFormula>IF(Sat_W1[[#This Row],[Employee Name]]="","",IF(Sat_W1[[#This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calculatedColumnFormula>
    </tableColumn>
    <tableColumn id="6" name="Coaching" dataDxfId="1447">
      <calculatedColumnFormula>IF(B9="","",COUNTIFS($J9:$AX9,"Coaching",$J9:$AX9,"&lt;&gt;"&amp;"pTM",$J9:$AX9,"&lt;&gt;"&amp;"uTM"))</calculatedColumnFormula>
    </tableColumn>
    <tableColumn id="7" name="Admin" dataDxfId="1446">
      <calculatedColumnFormula>IF(B9="","",COUNTIFS($J9:$AX9,"*ADM*",$J9:$AX9,"&lt;&gt;"&amp;"pADM",$J9:$AX9,"&lt;&gt;"&amp;"uADM"))</calculatedColumnFormula>
    </tableColumn>
    <tableColumn id="8" name="RTA" dataDxfId="1445">
      <calculatedColumnFormula>IF(Sat_W1[[#This Row],[Employee Name]]="","",IF(Sat_W1[[#This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calculatedColumnFormula>
    </tableColumn>
    <tableColumn id="10" name="0500" dataDxfId="1444"/>
    <tableColumn id="11" name="0530" dataDxfId="1443"/>
    <tableColumn id="12" name="0600" dataDxfId="1442"/>
    <tableColumn id="13" name="0630" dataDxfId="1441"/>
    <tableColumn id="14" name="0700" dataDxfId="1440"/>
    <tableColumn id="15" name="0730" dataDxfId="1439"/>
    <tableColumn id="16" name="0800" dataDxfId="1438"/>
    <tableColumn id="17" name="0830" dataDxfId="1437"/>
    <tableColumn id="18" name="0900" dataDxfId="1436"/>
    <tableColumn id="19" name="0930" dataDxfId="1435"/>
    <tableColumn id="20" name="1000" dataDxfId="1434"/>
    <tableColumn id="21" name="1030" dataDxfId="1433"/>
    <tableColumn id="22" name="1100" dataDxfId="1432"/>
    <tableColumn id="23" name="1130" dataDxfId="1431"/>
    <tableColumn id="24" name="1200" dataDxfId="1430"/>
    <tableColumn id="25" name="1230" dataDxfId="1429"/>
    <tableColumn id="26" name="1300" dataDxfId="1428"/>
    <tableColumn id="27" name="1330" dataDxfId="1427"/>
    <tableColumn id="28" name="1400" dataDxfId="1426"/>
    <tableColumn id="29" name="1430" dataDxfId="1425"/>
    <tableColumn id="30" name="1500" dataDxfId="1424"/>
    <tableColumn id="31" name="1530" dataDxfId="1423"/>
    <tableColumn id="32" name="1600" dataDxfId="1422"/>
    <tableColumn id="33" name="1630" dataDxfId="1421"/>
    <tableColumn id="34" name="1700" dataDxfId="1420"/>
    <tableColumn id="35" name="1730" dataDxfId="1419"/>
    <tableColumn id="36" name="1800" dataDxfId="1418"/>
    <tableColumn id="37" name="1830" dataDxfId="1417"/>
    <tableColumn id="38" name="1900" dataDxfId="1416"/>
    <tableColumn id="39" name="1930" dataDxfId="1415"/>
    <tableColumn id="40" name="2000" dataDxfId="1414"/>
    <tableColumn id="41" name="2030" dataDxfId="1413"/>
    <tableColumn id="42" name="2100" dataDxfId="1412"/>
    <tableColumn id="43" name="2130" dataDxfId="1411"/>
    <tableColumn id="44" name="2200" dataDxfId="1410"/>
    <tableColumn id="45" name="2230" dataDxfId="1409"/>
    <tableColumn id="46" name="2300" dataDxfId="1408"/>
    <tableColumn id="47" name="2330" dataDxfId="1407"/>
    <tableColumn id="48" name="0000" dataDxfId="1406"/>
    <tableColumn id="9" name="0030" dataDxfId="1405"/>
    <tableColumn id="50" name="0100" dataDxfId="1404">
      <calculatedColumnFormula>IFERROR(IF(VLOOKUP(Sun_W1[[#This Row],[Employee Name]],'Base Schedules'!$A$79:$AW$111,49,FALSE)="","",VLOOKUP(Sun_W1[[#This Row],[Employee Name]],'Base Schedules'!$A$79:$AW$111,49,FALSE)),"")</calculatedColumnFormula>
    </tableColumn>
    <tableColumn id="49" name="Employee Name " dataDxfId="1403">
      <calculatedColumnFormula>IF(B9="","",B9)</calculatedColumnFormula>
    </tableColumn>
  </tableColumns>
  <tableStyleInfo name="TableStyleLight9 2" showFirstColumn="0" showLastColumn="0" showRowStripes="1" showColumnStripes="0"/>
</table>
</file>

<file path=xl/tables/table36.xml><?xml version="1.0" encoding="utf-8"?>
<table xmlns="http://schemas.openxmlformats.org/spreadsheetml/2006/main" id="11" name="Tue_W1" displayName="Tue_W1" ref="B8:AY55" totalsRowShown="0" headerRowDxfId="1402" dataDxfId="1400" headerRowBorderDxfId="1401" tableBorderDxfId="1399" headerRowCellStyle="Normal 5">
  <autoFilter ref="B8:AY55">
    <filterColumn colId="0">
      <customFilters>
        <customFilter operator="notEqual" val=" "/>
      </customFilters>
    </filterColumn>
  </autoFilter>
  <sortState ref="B9:AY55">
    <sortCondition ref="D8:D55"/>
  </sortState>
  <tableColumns count="50">
    <tableColumn id="1" name="Employee Name" dataDxfId="1398"/>
    <tableColumn id="2" name="Dept" dataDxfId="1397">
      <calculatedColumnFormula>_xlfn.IFNA(VLOOKUP(Sat_W1[[#This Row],[Employee Name]],'Base Schedules'!A:B,2,FALSE),"")</calculatedColumnFormula>
    </tableColumn>
    <tableColumn id="3" name="Shift Start" dataDxfId="1396">
      <calculatedColumnFormula>_xlfn.IFNA(VLOOKUP(Sat_W1[[#This Row],[Employee Name]],'Base Schedules'!A:C,3,FALSE),"")</calculatedColumnFormula>
    </tableColumn>
    <tableColumn id="4" name="Shift Stop" dataDxfId="1395">
      <calculatedColumnFormula>_xlfn.IFNA(VLOOKUP(Sat_W1[[#This Row],[Employee Name]],'Base Schedules'!A:D,4,FALSE),"")</calculatedColumnFormula>
    </tableColumn>
    <tableColumn id="5" name="Help Line" dataDxfId="1394">
      <calculatedColumnFormula>IF(Sat_W1[[#This Row],[Employee Name]]="","",IF(Sat_W1[[#This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calculatedColumnFormula>
    </tableColumn>
    <tableColumn id="6" name="Coaching" dataDxfId="1393">
      <calculatedColumnFormula>IF(B9="","",COUNTIFS($J9:$AX9,"*Coaching*",$J9:$AX9,"&lt;&gt;"&amp;"pTM",$J9:$AX9,"&lt;&gt;"&amp;"uTM"))</calculatedColumnFormula>
    </tableColumn>
    <tableColumn id="7" name="Admin" dataDxfId="1392">
      <calculatedColumnFormula>IF(B9="","",COUNTIFS($J9:$AX9,"*ADM*",$J9:$AX9,"&lt;&gt;"&amp;"pADM",$J9:$AX9,"&lt;&gt;"&amp;"uADM"))</calculatedColumnFormula>
    </tableColumn>
    <tableColumn id="8" name="RTA" dataDxfId="1391">
      <calculatedColumnFormula>IF(Sat_W1[[#This Row],[Employee Name]]="","",IF(Sat_W1[[#This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calculatedColumnFormula>
    </tableColumn>
    <tableColumn id="10" name="0500" dataDxfId="1390"/>
    <tableColumn id="11" name="0530" dataDxfId="1389"/>
    <tableColumn id="12" name="0600" dataDxfId="1388"/>
    <tableColumn id="13" name="0630" dataDxfId="1387"/>
    <tableColumn id="14" name="0700" dataDxfId="1386"/>
    <tableColumn id="15" name="0730" dataDxfId="1385"/>
    <tableColumn id="16" name="0800" dataDxfId="1384"/>
    <tableColumn id="17" name="0830" dataDxfId="1383"/>
    <tableColumn id="18" name="0900" dataDxfId="1382"/>
    <tableColumn id="19" name="0930" dataDxfId="1381"/>
    <tableColumn id="20" name="1000" dataDxfId="1380"/>
    <tableColumn id="21" name="1030" dataDxfId="1379"/>
    <tableColumn id="22" name="1100" dataDxfId="1378"/>
    <tableColumn id="23" name="1130" dataDxfId="1377"/>
    <tableColumn id="24" name="1200" dataDxfId="1376"/>
    <tableColumn id="25" name="1230" dataDxfId="1375"/>
    <tableColumn id="26" name="1300" dataDxfId="1374"/>
    <tableColumn id="27" name="1330" dataDxfId="1373"/>
    <tableColumn id="28" name="1400" dataDxfId="1372"/>
    <tableColumn id="29" name="1430" dataDxfId="1371"/>
    <tableColumn id="30" name="1500" dataDxfId="1370"/>
    <tableColumn id="31" name="1530" dataDxfId="1369"/>
    <tableColumn id="32" name="1600" dataDxfId="1368"/>
    <tableColumn id="33" name="1630" dataDxfId="1367"/>
    <tableColumn id="34" name="1700" dataDxfId="1366"/>
    <tableColumn id="35" name="1730" dataDxfId="1365"/>
    <tableColumn id="36" name="1800" dataDxfId="1364"/>
    <tableColumn id="37" name="1830" dataDxfId="1363"/>
    <tableColumn id="38" name="1900" dataDxfId="1362"/>
    <tableColumn id="39" name="1930" dataDxfId="1361"/>
    <tableColumn id="40" name="2000" dataDxfId="1360"/>
    <tableColumn id="41" name="2030" dataDxfId="1359"/>
    <tableColumn id="42" name="2100" dataDxfId="1358"/>
    <tableColumn id="43" name="2130" dataDxfId="1357"/>
    <tableColumn id="44" name="2200" dataDxfId="1356"/>
    <tableColumn id="45" name="2230" dataDxfId="1355"/>
    <tableColumn id="46" name="2300" dataDxfId="1354"/>
    <tableColumn id="47" name="2330" dataDxfId="1353"/>
    <tableColumn id="48" name="0000" dataDxfId="1352"/>
    <tableColumn id="9" name="0030" dataDxfId="1351"/>
    <tableColumn id="50" name="0100" dataDxfId="1350">
      <calculatedColumnFormula>IFERROR(IF(VLOOKUP(Mon_W1[[#This Row],[Employee Name]],'Base Schedules'!$A$113:$AW$158,49,FALSE)="","",VLOOKUP(Mon_W1[[#This Row],[Employee Name]],'Base Schedules'!$A$113:$AW$158,49,FALSE)),"")</calculatedColumnFormula>
    </tableColumn>
    <tableColumn id="49" name="Employee Name " dataDxfId="1349">
      <calculatedColumnFormula>IF(B9="","",B9)</calculatedColumnFormula>
    </tableColumn>
  </tableColumns>
  <tableStyleInfo name="TableStyleLight9 2" showFirstColumn="0" showLastColumn="0" showRowStripes="1" showColumnStripes="0"/>
</table>
</file>

<file path=xl/tables/table37.xml><?xml version="1.0" encoding="utf-8"?>
<table xmlns="http://schemas.openxmlformats.org/spreadsheetml/2006/main" id="8" name="Wed_W1" displayName="Wed_W1" ref="B8:AY55" totalsRowShown="0" headerRowDxfId="1348" dataDxfId="1346" headerRowBorderDxfId="1347" tableBorderDxfId="1345" headerRowCellStyle="Normal 5">
  <autoFilter ref="B8:AY55">
    <filterColumn colId="0">
      <customFilters>
        <customFilter operator="notEqual" val=" "/>
      </customFilters>
    </filterColumn>
  </autoFilter>
  <sortState ref="B9:AY55">
    <sortCondition ref="D8:D55"/>
  </sortState>
  <tableColumns count="50">
    <tableColumn id="1" name="Employee Name" dataDxfId="1344"/>
    <tableColumn id="2" name="Dept" dataDxfId="1343">
      <calculatedColumnFormula>_xlfn.IFNA(VLOOKUP(Sat_W1[[#This Row],[Employee Name]],'Base Schedules'!A:B,2,FALSE),"")</calculatedColumnFormula>
    </tableColumn>
    <tableColumn id="3" name="Shift Start" dataDxfId="1342">
      <calculatedColumnFormula>_xlfn.IFNA(VLOOKUP(Sat_W1[[#This Row],[Employee Name]],'Base Schedules'!A:C,3,FALSE),"")</calculatedColumnFormula>
    </tableColumn>
    <tableColumn id="4" name="Shift Stop" dataDxfId="1341">
      <calculatedColumnFormula>_xlfn.IFNA(VLOOKUP(Sat_W1[[#This Row],[Employee Name]],'Base Schedules'!A:D,4,FALSE),"")</calculatedColumnFormula>
    </tableColumn>
    <tableColumn id="5" name="Help Line" dataDxfId="1340">
      <calculatedColumnFormula>IF(Sat_W1[[#This Row],[Employee Name]]="","",IF(Sat_W1[[#This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calculatedColumnFormula>
    </tableColumn>
    <tableColumn id="6" name="Coaching" dataDxfId="1339">
      <calculatedColumnFormula>IF(B9="","",COUNTIFS($J9:$AX9,"*Coaching*",$J9:$AX9,"&lt;&gt;"&amp;"pTM",$J9:$AX9,"&lt;&gt;"&amp;"uTM"))</calculatedColumnFormula>
    </tableColumn>
    <tableColumn id="7" name="Admin" dataDxfId="1338">
      <calculatedColumnFormula>IF(B9="","",COUNTIFS($J9:$AX9,"*ADM*",$J9:$AX9,"&lt;&gt;"&amp;"pADM",$J9:$AX9,"&lt;&gt;"&amp;"uADM"))</calculatedColumnFormula>
    </tableColumn>
    <tableColumn id="8" name="RTA" dataDxfId="1337">
      <calculatedColumnFormula>IF(Sat_W1[[#This Row],[Employee Name]]="","",IF(Sat_W1[[#This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calculatedColumnFormula>
    </tableColumn>
    <tableColumn id="10" name="0500" dataDxfId="1336"/>
    <tableColumn id="11" name="0530" dataDxfId="1335"/>
    <tableColumn id="12" name="0600" dataDxfId="1334"/>
    <tableColumn id="13" name="0630" dataDxfId="1333"/>
    <tableColumn id="14" name="0700" dataDxfId="1332"/>
    <tableColumn id="15" name="0730" dataDxfId="1331"/>
    <tableColumn id="16" name="0800" dataDxfId="1330"/>
    <tableColumn id="17" name="0830" dataDxfId="1329"/>
    <tableColumn id="18" name="0900" dataDxfId="1328"/>
    <tableColumn id="19" name="0930" dataDxfId="1327"/>
    <tableColumn id="20" name="1000" dataDxfId="1326"/>
    <tableColumn id="21" name="1030" dataDxfId="1325"/>
    <tableColumn id="22" name="1100" dataDxfId="1324"/>
    <tableColumn id="23" name="1130" dataDxfId="1323"/>
    <tableColumn id="24" name="1200" dataDxfId="1322"/>
    <tableColumn id="25" name="1230" dataDxfId="1321"/>
    <tableColumn id="26" name="1300" dataDxfId="1320"/>
    <tableColumn id="27" name="1330" dataDxfId="1319"/>
    <tableColumn id="28" name="1400" dataDxfId="1318"/>
    <tableColumn id="29" name="1430" dataDxfId="1317"/>
    <tableColumn id="30" name="1500" dataDxfId="1316"/>
    <tableColumn id="31" name="1530" dataDxfId="1315"/>
    <tableColumn id="32" name="1600" dataDxfId="1314"/>
    <tableColumn id="33" name="1630" dataDxfId="1313"/>
    <tableColumn id="34" name="1700" dataDxfId="1312"/>
    <tableColumn id="35" name="1730" dataDxfId="1311"/>
    <tableColumn id="36" name="1800" dataDxfId="1310"/>
    <tableColumn id="37" name="1830" dataDxfId="1309"/>
    <tableColumn id="38" name="1900" dataDxfId="1308"/>
    <tableColumn id="39" name="1930" dataDxfId="1307"/>
    <tableColumn id="40" name="2000" dataDxfId="1306"/>
    <tableColumn id="41" name="2030" dataDxfId="1305"/>
    <tableColumn id="42" name="2100" dataDxfId="1304"/>
    <tableColumn id="43" name="2130" dataDxfId="1303"/>
    <tableColumn id="44" name="2200" dataDxfId="1302"/>
    <tableColumn id="45" name="2230" dataDxfId="1301"/>
    <tableColumn id="46" name="2300" dataDxfId="1300"/>
    <tableColumn id="47" name="2330" dataDxfId="1299"/>
    <tableColumn id="48" name="0000" dataDxfId="1298"/>
    <tableColumn id="9" name="0030" dataDxfId="1297"/>
    <tableColumn id="50" name="0100" dataDxfId="1296">
      <calculatedColumnFormula>IFERROR(IF(VLOOKUP(Tue_W1[[#This Row],[Employee Name]],'Base Schedules'!$A$160:$AW$203,49,FALSE)="","",VLOOKUP(Tue_W1[[#This Row],[Employee Name]],'Base Schedules'!$A$160:$AW$203,49,FALSE)),"")</calculatedColumnFormula>
    </tableColumn>
    <tableColumn id="49" name="Employee Name " dataDxfId="1295">
      <calculatedColumnFormula>IF(B9="","",B9)</calculatedColumnFormula>
    </tableColumn>
  </tableColumns>
  <tableStyleInfo name="TableStyleLight9 2" showFirstColumn="0" showLastColumn="0" showRowStripes="1" showColumnStripes="0"/>
</table>
</file>

<file path=xl/tables/table38.xml><?xml version="1.0" encoding="utf-8"?>
<table xmlns="http://schemas.openxmlformats.org/spreadsheetml/2006/main" id="10" name="Thu_W1" displayName="Thu_W1" ref="B8:AY56" totalsRowShown="0" headerRowDxfId="1294" dataDxfId="1292" headerRowBorderDxfId="1293" tableBorderDxfId="1291" headerRowCellStyle="Normal 5">
  <autoFilter ref="B8:AY56">
    <filterColumn colId="0">
      <customFilters>
        <customFilter operator="notEqual" val=" "/>
      </customFilters>
    </filterColumn>
  </autoFilter>
  <sortState ref="B9:AY56">
    <sortCondition ref="D8:D56"/>
  </sortState>
  <tableColumns count="50">
    <tableColumn id="1" name="Employee Name" dataDxfId="1290"/>
    <tableColumn id="2" name="Dept" dataDxfId="1289">
      <calculatedColumnFormula>_xlfn.IFNA(VLOOKUP(Sat_W1[[#This Row],[Employee Name]],'Base Schedules'!A:B,2,FALSE),"")</calculatedColumnFormula>
    </tableColumn>
    <tableColumn id="3" name="Shift Start" dataDxfId="1288">
      <calculatedColumnFormula>_xlfn.IFNA(VLOOKUP(Sat_W1[[#This Row],[Employee Name]],'Base Schedules'!A:C,3,FALSE),"")</calculatedColumnFormula>
    </tableColumn>
    <tableColumn id="4" name="Shift Stop" dataDxfId="1287">
      <calculatedColumnFormula>_xlfn.IFNA(VLOOKUP(Sat_W1[[#This Row],[Employee Name]],'Base Schedules'!A:D,4,FALSE),"")</calculatedColumnFormula>
    </tableColumn>
    <tableColumn id="5" name="Help Line" dataDxfId="1286">
      <calculatedColumnFormula>IF(Thu_W1[[#This Row],[Employee Name]]="","",IF(Thu_W1[[#This Row],[Dept]]="Supervisor",COUNTIFS($J9:$AU9,"*HL*",$J9:$AU9,"&lt;&gt;"&amp;"pHL"),COUNTIFS($J9:$AU9,"*HL*",$J9:$AU9,"&lt;&gt;"&amp;"*pHL*",$J9:$AU9,"&lt;&gt;"&amp;"pB1 HL",$J9:$AU9,"&lt;&gt;"&amp;"pB2 HL")-SUM(COUNTIFS($J9:$AU9,"*HL B1*",$J9:$AU9,"&lt;&gt;"&amp;"pHL B1")*0.5,COUNTIFS($J9:$AU9,"*HL B2*",$J9:$AU9,"&lt;&gt;"&amp;"pHL B2")*0.5,COUNTIFS($J9:$AU9,"*B1 HL*",$J9:$AU9,"&lt;&gt;"&amp;"pB1 HL")*0.5,COUNTIFS($J9:$AU9,"*B2 HL*",$J9:$AU9,"&lt;&gt;"&amp;"pB2 HL")*0.5)))</calculatedColumnFormula>
    </tableColumn>
    <tableColumn id="6" name="Coaching" dataDxfId="1285">
      <calculatedColumnFormula>IF(B9="","",COUNTIFS($J9:$AU9,"*TM*",$J9:$AU9,"&lt;&gt;"&amp;"pTM",$J9:$AU9,"&lt;&gt;"&amp;"uTM"))</calculatedColumnFormula>
    </tableColumn>
    <tableColumn id="7" name="Admin" dataDxfId="1284">
      <calculatedColumnFormula>IF(B9="","",COUNTIFS($J9:$AU9,"*ADM*",$J9:$AU9,"&lt;&gt;"&amp;"pADM",$J9:$AU9,"&lt;&gt;"&amp;"uADM"))</calculatedColumnFormula>
    </tableColumn>
    <tableColumn id="8" name="RTA" dataDxfId="1283">
      <calculatedColumnFormula>IF(Thu_W1[[#This Row],[Employee Name]]="","",IF(Thu_W1[[#This Row],[Dept]]="Supervisor",SUM(COUNTIFS($J9:$AU9,"RTA*",$J9:$AU9,"&lt;&gt;"&amp;"pRTA"),COUNTIFS($J9:$AU9,"*CRTA*",$J9:$AU9,"&lt;&gt;"&amp;"pCRTA")),COUNTIFS($J9:$AU9,"*RNNR*",$J9:$AU9,"&lt;&gt;"&amp;"*pRNNR*",$J9:$AU9,"&lt;&gt;"&amp;"pB1 RNNR",$J9:$AU9,"&lt;&gt;"&amp;"pB2 RNNR")-SUM(COUNTIFS($J9:$AU9,"*RNNR B1*",$J9:$AU9,"&lt;&gt;"&amp;"pRNNR B1")*0.5,COUNTIFS($J9:$AU9,"*RNNR B2*",$J9:$AU9,"&lt;&gt;"&amp;"pRNNR B2")*0.5,COUNTIFS($J9:$AU9,"*B1 RNNR*",$J9:$AU9,"&lt;&gt;"&amp;"pB1 RNNR")*0.5,COUNTIFS($J9:$AU9,"*B2 RNNR*",$J9:$AU9,"&lt;&gt;"&amp;"pB2 RNNR")*0.5)))</calculatedColumnFormula>
    </tableColumn>
    <tableColumn id="10" name="0500" dataDxfId="1282"/>
    <tableColumn id="11" name="0530" dataDxfId="1281"/>
    <tableColumn id="12" name="0600" dataDxfId="1280"/>
    <tableColumn id="13" name="0630" dataDxfId="1279"/>
    <tableColumn id="14" name="0700" dataDxfId="1278"/>
    <tableColumn id="15" name="0730" dataDxfId="1277"/>
    <tableColumn id="16" name="0800" dataDxfId="1276"/>
    <tableColumn id="17" name="0830" dataDxfId="1275"/>
    <tableColumn id="18" name="0900" dataDxfId="1274"/>
    <tableColumn id="19" name="0930" dataDxfId="1273"/>
    <tableColumn id="20" name="1000" dataDxfId="1272"/>
    <tableColumn id="21" name="1030" dataDxfId="1271"/>
    <tableColumn id="22" name="1100" dataDxfId="1270"/>
    <tableColumn id="23" name="1130" dataDxfId="1269"/>
    <tableColumn id="24" name="1200" dataDxfId="1268"/>
    <tableColumn id="25" name="1230" dataDxfId="1267"/>
    <tableColumn id="26" name="1300" dataDxfId="1266"/>
    <tableColumn id="27" name="1330" dataDxfId="1265"/>
    <tableColumn id="28" name="1400" dataDxfId="1264"/>
    <tableColumn id="29" name="1430" dataDxfId="1263"/>
    <tableColumn id="30" name="1500" dataDxfId="1262"/>
    <tableColumn id="31" name="1530" dataDxfId="1261"/>
    <tableColumn id="32" name="1600" dataDxfId="1260"/>
    <tableColumn id="33" name="1630" dataDxfId="1259"/>
    <tableColumn id="34" name="1700" dataDxfId="1258"/>
    <tableColumn id="35" name="1730" dataDxfId="1257"/>
    <tableColumn id="36" name="1800" dataDxfId="1256"/>
    <tableColumn id="37" name="1830" dataDxfId="1255"/>
    <tableColumn id="38" name="1900" dataDxfId="1254"/>
    <tableColumn id="39" name="1930" dataDxfId="1253"/>
    <tableColumn id="40" name="2000" dataDxfId="1252"/>
    <tableColumn id="41" name="2030" dataDxfId="1251"/>
    <tableColumn id="42" name="2100" dataDxfId="1250"/>
    <tableColumn id="43" name="2130" dataDxfId="1249"/>
    <tableColumn id="44" name="2200" dataDxfId="1248"/>
    <tableColumn id="45" name="2230" dataDxfId="1247"/>
    <tableColumn id="46" name="2300" dataDxfId="1246"/>
    <tableColumn id="47" name="2330" dataDxfId="1245"/>
    <tableColumn id="48" name="0000" dataDxfId="1244"/>
    <tableColumn id="9" name="0030" dataDxfId="1243"/>
    <tableColumn id="50" name="0100" dataDxfId="1242">
      <calculatedColumnFormula>IFERROR(IF(VLOOKUP(Wed_W1[[#This Row],[Employee Name]],'Base Schedules'!$A$205:$AW$241,49,FALSE)="","",VLOOKUP(Wed_W1[[#This Row],[Employee Name]],'Base Schedules'!$A$205:$AW$241,49,FALSE)),"")</calculatedColumnFormula>
    </tableColumn>
    <tableColumn id="49" name="Employee Name " dataDxfId="1241">
      <calculatedColumnFormula>IF(B9="","",B9)</calculatedColumnFormula>
    </tableColumn>
  </tableColumns>
  <tableStyleInfo name="TableStyleLight9 2" showFirstColumn="0" showLastColumn="0" showRowStripes="1" showColumnStripes="0"/>
</table>
</file>

<file path=xl/tables/table39.xml><?xml version="1.0" encoding="utf-8"?>
<table xmlns="http://schemas.openxmlformats.org/spreadsheetml/2006/main" id="19" name="Fri_W2" displayName="Fri_W2" ref="B8:AY49" totalsRowShown="0" headerRowDxfId="1240" dataDxfId="1238" headerRowBorderDxfId="1239" tableBorderDxfId="1237" headerRowCellStyle="Normal 5">
  <autoFilter ref="B8:AY49">
    <filterColumn colId="0">
      <customFilters>
        <customFilter operator="notEqual" val=" "/>
      </customFilters>
    </filterColumn>
  </autoFilter>
  <sortState ref="B9:AY49">
    <sortCondition ref="D8:D49"/>
  </sortState>
  <tableColumns count="50">
    <tableColumn id="1" name="Employee Name" dataDxfId="1236"/>
    <tableColumn id="2" name="Dept" dataDxfId="1235">
      <calculatedColumnFormula>_xlfn.IFNA(VLOOKUP(Sat_W1[[#This Row],[Employee Name]],'Base Schedules'!A:B,2,FALSE),"")</calculatedColumnFormula>
    </tableColumn>
    <tableColumn id="3" name="Shift Start" dataDxfId="1234">
      <calculatedColumnFormula>_xlfn.IFNA(VLOOKUP(Sat_W1[[#This Row],[Employee Name]],'Base Schedules'!A:C,3,FALSE),"")</calculatedColumnFormula>
    </tableColumn>
    <tableColumn id="4" name="Shift Stop" dataDxfId="1233">
      <calculatedColumnFormula>_xlfn.IFNA(VLOOKUP(Sat_W1[[#This Row],[Employee Name]],'Base Schedules'!A:D,4,FALSE),"")</calculatedColumnFormula>
    </tableColumn>
    <tableColumn id="5" name="Help Line" dataDxfId="1232">
      <calculatedColumnFormula>IF(Fri_W1[[#This Row],[Employee Name]]="","",IF(Fri_W1[[#This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calculatedColumnFormula>
    </tableColumn>
    <tableColumn id="6" name="Coaching" dataDxfId="1231">
      <calculatedColumnFormula>IF(B9="","",COUNTIFS($J9:$AX9,"*Coaching*",$J9:$AX9,"&lt;&gt;"&amp;"pTM",$J9:$AX9,"&lt;&gt;"&amp;"uTM"))</calculatedColumnFormula>
    </tableColumn>
    <tableColumn id="7" name="Admin" dataDxfId="1230">
      <calculatedColumnFormula>IF(B9="","",COUNTIFS($J9:$AX9,"*ADM*",$J9:$AX9,"&lt;&gt;"&amp;"pADM",$J9:$AX9,"&lt;&gt;"&amp;"uADM"))</calculatedColumnFormula>
    </tableColumn>
    <tableColumn id="8" name="RTA" dataDxfId="1229">
      <calculatedColumnFormula>IF(Fri_W1[[#This Row],[Employee Name]]="","",IF(Fri_W1[[#This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calculatedColumnFormula>
    </tableColumn>
    <tableColumn id="10" name="0500" dataDxfId="1228"/>
    <tableColumn id="11" name="0530" dataDxfId="1227"/>
    <tableColumn id="12" name="0600" dataDxfId="1226"/>
    <tableColumn id="13" name="0630" dataDxfId="1225"/>
    <tableColumn id="14" name="0700" dataDxfId="1224"/>
    <tableColumn id="15" name="0730" dataDxfId="1223"/>
    <tableColumn id="16" name="0800" dataDxfId="1222"/>
    <tableColumn id="17" name="0830" dataDxfId="1221"/>
    <tableColumn id="18" name="0900" dataDxfId="1220"/>
    <tableColumn id="19" name="0930" dataDxfId="1219"/>
    <tableColumn id="20" name="1000" dataDxfId="1218"/>
    <tableColumn id="21" name="1030" dataDxfId="1217"/>
    <tableColumn id="22" name="1100" dataDxfId="1216"/>
    <tableColumn id="23" name="1130" dataDxfId="1215"/>
    <tableColumn id="24" name="1200" dataDxfId="1214"/>
    <tableColumn id="25" name="1230" dataDxfId="1213"/>
    <tableColumn id="26" name="1300" dataDxfId="1212"/>
    <tableColumn id="27" name="1330" dataDxfId="1211"/>
    <tableColumn id="28" name="1400" dataDxfId="1210"/>
    <tableColumn id="29" name="1430" dataDxfId="1209"/>
    <tableColumn id="30" name="1500" dataDxfId="1208"/>
    <tableColumn id="31" name="1530" dataDxfId="1207"/>
    <tableColumn id="32" name="1600" dataDxfId="1206"/>
    <tableColumn id="33" name="1630" dataDxfId="1205"/>
    <tableColumn id="34" name="1700" dataDxfId="1204"/>
    <tableColumn id="35" name="1730" dataDxfId="1203"/>
    <tableColumn id="36" name="1800" dataDxfId="1202"/>
    <tableColumn id="37" name="1830" dataDxfId="1201"/>
    <tableColumn id="38" name="1900" dataDxfId="1200"/>
    <tableColumn id="39" name="1930" dataDxfId="1199"/>
    <tableColumn id="40" name="2000" dataDxfId="1198"/>
    <tableColumn id="41" name="2030" dataDxfId="1197"/>
    <tableColumn id="42" name="2100" dataDxfId="1196"/>
    <tableColumn id="43" name="2130" dataDxfId="1195"/>
    <tableColumn id="44" name="2200" dataDxfId="1194"/>
    <tableColumn id="45" name="2230" dataDxfId="1193"/>
    <tableColumn id="46" name="2300" dataDxfId="1192"/>
    <tableColumn id="47" name="2330" dataDxfId="1191"/>
    <tableColumn id="52" name="0000" dataDxfId="1190"/>
    <tableColumn id="51" name="0030" dataDxfId="1189"/>
    <tableColumn id="50" name="0100" dataDxfId="1188">
      <calculatedColumnFormula>IFERROR(IF(VLOOKUP(Fri_W1[[#This Row],[Employee Name]],'Base Schedules'!$A$1:$AW$44,49,FALSE)="","",VLOOKUP(Fri_W1[[#This Row],[Employee Name]],'Base Schedules'!$A$1:$AW$44,49,FALSE)),"")</calculatedColumnFormula>
    </tableColumn>
    <tableColumn id="49" name="Employee Name " dataDxfId="1187">
      <calculatedColumnFormula>IF(B9="","",B9)</calculatedColumnFormula>
    </tableColumn>
  </tableColumns>
  <tableStyleInfo name="TableStyleLight9 2" showFirstColumn="0" showLastColumn="0" showRowStripes="1" showColumnStripes="0"/>
</table>
</file>

<file path=xl/tables/table40.xml><?xml version="1.0" encoding="utf-8"?>
<table xmlns="http://schemas.openxmlformats.org/spreadsheetml/2006/main" id="17" name="Sat_W2" displayName="Sat_W2" ref="B8:AY46" totalsRowShown="0" headerRowDxfId="1186" dataDxfId="1184" headerRowBorderDxfId="1185" tableBorderDxfId="1183" headerRowCellStyle="Normal 5">
  <autoFilter ref="B8:AY46">
    <filterColumn colId="0">
      <customFilters>
        <customFilter operator="notEqual" val=" "/>
      </customFilters>
    </filterColumn>
  </autoFilter>
  <sortState ref="B9:AY46">
    <sortCondition ref="D8:D46"/>
  </sortState>
  <tableColumns count="50">
    <tableColumn id="1" name="Employee Name" dataDxfId="1182"/>
    <tableColumn id="2" name="Dept" dataDxfId="1181"/>
    <tableColumn id="3" name="Shift Start" dataDxfId="1180"/>
    <tableColumn id="4" name="Shift Stop" dataDxfId="1179"/>
    <tableColumn id="5" name="Help Line" dataDxfId="1178">
      <calculatedColumnFormula>IF(Fri_W2[[#This Row],[Employee Name]]="","",IF(Fri_W2[[#This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calculatedColumnFormula>
    </tableColumn>
    <tableColumn id="6" name="Coaching" dataDxfId="1177">
      <calculatedColumnFormula>IF(B9="","",COUNTIFS($J9:$AX9,"*Coaching*",$J9:$AX9,"&lt;&gt;"&amp;"pTM",$J9:$AX9,"&lt;&gt;"&amp;"uTM"))</calculatedColumnFormula>
    </tableColumn>
    <tableColumn id="7" name="Admin" dataDxfId="1176">
      <calculatedColumnFormula>IF(B9="","",COUNTIFS($J9:$AX9,"*ADM*",$J9:$AX9,"&lt;&gt;"&amp;"pADM",$J9:$AX9,"&lt;&gt;"&amp;"uADM"))</calculatedColumnFormula>
    </tableColumn>
    <tableColumn id="8" name="RTA" dataDxfId="1175">
      <calculatedColumnFormula>IF(Fri_W2[[#This Row],[Employee Name]]="","",IF(Fri_W2[[#This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calculatedColumnFormula>
    </tableColumn>
    <tableColumn id="10" name="0500" dataDxfId="1174"/>
    <tableColumn id="11" name="0530" dataDxfId="1173"/>
    <tableColumn id="12" name="0600" dataDxfId="1172"/>
    <tableColumn id="13" name="0630" dataDxfId="1171"/>
    <tableColumn id="14" name="0700" dataDxfId="1170"/>
    <tableColumn id="15" name="0730" dataDxfId="1169"/>
    <tableColumn id="16" name="0800" dataDxfId="1168"/>
    <tableColumn id="17" name="0830" dataDxfId="1167"/>
    <tableColumn id="18" name="0900" dataDxfId="1166"/>
    <tableColumn id="19" name="0930" dataDxfId="1165"/>
    <tableColumn id="20" name="1000" dataDxfId="1164"/>
    <tableColumn id="21" name="1030" dataDxfId="1163"/>
    <tableColumn id="22" name="1100" dataDxfId="1162"/>
    <tableColumn id="23" name="1130" dataDxfId="1161"/>
    <tableColumn id="24" name="1200" dataDxfId="1160"/>
    <tableColumn id="25" name="1230" dataDxfId="1159"/>
    <tableColumn id="26" name="1300" dataDxfId="1158"/>
    <tableColumn id="27" name="1330" dataDxfId="1157"/>
    <tableColumn id="28" name="1400" dataDxfId="1156"/>
    <tableColumn id="29" name="1430" dataDxfId="1155"/>
    <tableColumn id="30" name="1500" dataDxfId="1154"/>
    <tableColumn id="31" name="1530" dataDxfId="1153"/>
    <tableColumn id="32" name="1600" dataDxfId="1152"/>
    <tableColumn id="33" name="1630" dataDxfId="1151"/>
    <tableColumn id="34" name="1700" dataDxfId="1150"/>
    <tableColumn id="35" name="1730" dataDxfId="1149"/>
    <tableColumn id="36" name="1800" dataDxfId="1148"/>
    <tableColumn id="37" name="1830" dataDxfId="1147"/>
    <tableColumn id="38" name="1900" dataDxfId="1146"/>
    <tableColumn id="39" name="1930" dataDxfId="1145"/>
    <tableColumn id="40" name="2000" dataDxfId="1144"/>
    <tableColumn id="41" name="2030" dataDxfId="1143"/>
    <tableColumn id="42" name="2100" dataDxfId="1142"/>
    <tableColumn id="43" name="2130" dataDxfId="1141"/>
    <tableColumn id="44" name="2200" dataDxfId="1140"/>
    <tableColumn id="45" name="2230" dataDxfId="1139"/>
    <tableColumn id="46" name="2300" dataDxfId="1138"/>
    <tableColumn id="47" name="2330" dataDxfId="1137"/>
    <tableColumn id="52" name="0000" dataDxfId="1136"/>
    <tableColumn id="51" name="0030" dataDxfId="1135"/>
    <tableColumn id="50" name="0100" dataDxfId="1134">
      <calculatedColumnFormula>IFERROR(IF(VLOOKUP(Sat_W1[[#This Row],[Employee Name]],'Base Schedules'!$A$46:$AW$77,49,FALSE)="","",VLOOKUP(Sat_W1[[#This Row],[Employee Name]],'Base Schedules'!$A$46:$AW$77,49,FALSE)),"")</calculatedColumnFormula>
    </tableColumn>
    <tableColumn id="49" name="Employee Name " dataDxfId="1133">
      <calculatedColumnFormula>IF(B9="","",B9)</calculatedColumnFormula>
    </tableColumn>
  </tableColumns>
  <tableStyleInfo name="TableStyleLight9 2" showFirstColumn="0" showLastColumn="0" showRowStripes="1" showColumnStripes="0"/>
</table>
</file>

<file path=xl/tables/table41.xml><?xml version="1.0" encoding="utf-8"?>
<table xmlns="http://schemas.openxmlformats.org/spreadsheetml/2006/main" id="15" name="Sun_W2" displayName="Sun_W2" ref="B8:AY48" totalsRowShown="0" headerRowDxfId="1132" dataDxfId="1130" headerRowBorderDxfId="1131" tableBorderDxfId="1129" headerRowCellStyle="Normal 5">
  <autoFilter ref="B8:AY48">
    <filterColumn colId="0">
      <customFilters>
        <customFilter operator="notEqual" val=" "/>
      </customFilters>
    </filterColumn>
  </autoFilter>
  <sortState ref="B9:AY48">
    <sortCondition ref="D8:D48"/>
  </sortState>
  <tableColumns count="50">
    <tableColumn id="1" name="Employee Name" dataDxfId="1128"/>
    <tableColumn id="2" name="Dept" dataDxfId="1127">
      <calculatedColumnFormula>IFERROR(VLOOKUP(Sat_W2[[#This Row],[Employee Name]],Schedules[[#All],[Employee Name]:[Dept]],2,0),"")</calculatedColumnFormula>
    </tableColumn>
    <tableColumn id="3" name="Shift Start" dataDxfId="1126"/>
    <tableColumn id="4" name="Shift Stop" dataDxfId="1125"/>
    <tableColumn id="5" name="Help Line" dataDxfId="1124">
      <calculatedColumnFormula>IF(Sun_W2[[#This Row],[Employee Name]]="","",IF(Sun_W2[[#This Row],[Dept]]="Supervisor",COUNTIFS($J9:$AU9,"*HL*",$J9:$AU9,"&lt;&gt;"&amp;"pHL"),COUNTIFS($J9:$AU9,"*HL*",$J9:$AU9,"&lt;&gt;"&amp;"*pHL*",$J9:$AU9,"&lt;&gt;"&amp;"pB1 HL",$J9:$AU9,"&lt;&gt;"&amp;"pB2 HL")-SUM(COUNTIFS($J9:$AU9,"*HL B1*",$J9:$AU9,"&lt;&gt;"&amp;"pHL B1")*0.5,COUNTIFS($J9:$AU9,"*HL B2*",$J9:$AU9,"&lt;&gt;"&amp;"pHL B2")*0.5,COUNTIFS($J9:$AU9,"*B1 HL*",$J9:$AU9,"&lt;&gt;"&amp;"pB1 HL")*0.5,COUNTIFS($J9:$AU9,"*B2 HL*",$J9:$AU9,"&lt;&gt;"&amp;"pB2 HL")*0.5)))</calculatedColumnFormula>
    </tableColumn>
    <tableColumn id="6" name="Coaching" dataDxfId="1123">
      <calculatedColumnFormula>IF(B9="","",COUNTIFS($J9:$AU9,"*TM*",$J9:$AU9,"&lt;&gt;"&amp;"pTM",$J9:$AU9,"&lt;&gt;"&amp;"uTM"))</calculatedColumnFormula>
    </tableColumn>
    <tableColumn id="7" name="Admin" dataDxfId="1122">
      <calculatedColumnFormula>IF(B9="","",COUNTIFS($J9:$AU9,"*ADM*",$J9:$AU9,"&lt;&gt;"&amp;"pADM",$J9:$AU9,"&lt;&gt;"&amp;"uADM"))</calculatedColumnFormula>
    </tableColumn>
    <tableColumn id="8" name="RTA" dataDxfId="1121">
      <calculatedColumnFormula>IF(Sun_W2[[#This Row],[Employee Name]]="","",IF(Sun_W2[[#This Row],[Dept]]="Supervisor",SUM(COUNTIFS($J9:$AU9,"RTA*",$J9:$AU9,"&lt;&gt;"&amp;"pRTA"),COUNTIFS($J9:$AU9,"*CRTA*",$J9:$AU9,"&lt;&gt;"&amp;"pCRTA")),COUNTIFS($J9:$AU9,"*RNNR*",$J9:$AU9,"&lt;&gt;"&amp;"*pRNNR*",$J9:$AU9,"&lt;&gt;"&amp;"pB1 RNNR",$J9:$AU9,"&lt;&gt;"&amp;"pB2 RNNR")-SUM(COUNTIFS($J9:$AU9,"*RNNR B1*",$J9:$AU9,"&lt;&gt;"&amp;"pRNNR B1")*0.5,COUNTIFS($J9:$AU9,"*RNNR B2*",$J9:$AU9,"&lt;&gt;"&amp;"pRNNR B2")*0.5,COUNTIFS($J9:$AU9,"*B1 RNNR*",$J9:$AU9,"&lt;&gt;"&amp;"pB1 RNNR")*0.5,COUNTIFS($J9:$AU9,"*B2 RNNR*",$J9:$AU9,"&lt;&gt;"&amp;"pB2 RNNR")*0.5)))</calculatedColumnFormula>
    </tableColumn>
    <tableColumn id="10" name="0500" dataDxfId="1120"/>
    <tableColumn id="11" name="0530" dataDxfId="1119"/>
    <tableColumn id="12" name="0600" dataDxfId="1118"/>
    <tableColumn id="13" name="0630" dataDxfId="1117"/>
    <tableColumn id="14" name="0700" dataDxfId="1116"/>
    <tableColumn id="15" name="0730" dataDxfId="1115"/>
    <tableColumn id="16" name="0800" dataDxfId="1114"/>
    <tableColumn id="17" name="0830" dataDxfId="1113"/>
    <tableColumn id="18" name="0900" dataDxfId="1112"/>
    <tableColumn id="19" name="0930" dataDxfId="1111"/>
    <tableColumn id="20" name="1000" dataDxfId="1110"/>
    <tableColumn id="21" name="1030" dataDxfId="1109"/>
    <tableColumn id="22" name="1100" dataDxfId="1108"/>
    <tableColumn id="23" name="1130" dataDxfId="1107"/>
    <tableColumn id="24" name="1200" dataDxfId="1106"/>
    <tableColumn id="25" name="1230" dataDxfId="1105"/>
    <tableColumn id="26" name="1300" dataDxfId="1104"/>
    <tableColumn id="27" name="1330" dataDxfId="1103"/>
    <tableColumn id="28" name="1400" dataDxfId="1102"/>
    <tableColumn id="29" name="1430" dataDxfId="1101"/>
    <tableColumn id="30" name="1500" dataDxfId="1100"/>
    <tableColumn id="31" name="1530" dataDxfId="1099"/>
    <tableColumn id="32" name="1600" dataDxfId="1098"/>
    <tableColumn id="33" name="1630" dataDxfId="1097"/>
    <tableColumn id="34" name="1700" dataDxfId="1096"/>
    <tableColumn id="35" name="1730" dataDxfId="1095"/>
    <tableColumn id="36" name="1800" dataDxfId="1094"/>
    <tableColumn id="37" name="1830" dataDxfId="1093"/>
    <tableColumn id="38" name="1900" dataDxfId="1092"/>
    <tableColumn id="39" name="1930" dataDxfId="1091"/>
    <tableColumn id="40" name="2000" dataDxfId="1090"/>
    <tableColumn id="41" name="2030" dataDxfId="1089"/>
    <tableColumn id="42" name="2100" dataDxfId="1088"/>
    <tableColumn id="43" name="2130" dataDxfId="1087"/>
    <tableColumn id="44" name="2200" dataDxfId="1086"/>
    <tableColumn id="45" name="2230" dataDxfId="1085"/>
    <tableColumn id="46" name="2300" dataDxfId="1084"/>
    <tableColumn id="47" name="2330" dataDxfId="1083"/>
    <tableColumn id="52" name="0000" dataDxfId="1082"/>
    <tableColumn id="51" name="0030" dataDxfId="1081"/>
    <tableColumn id="50" name="0100" dataDxfId="1080">
      <calculatedColumnFormula>IFERROR(IF(VLOOKUP(Sun_W1[[#This Row],[Employee Name]],'Base Schedules'!$A$46:$AW$77,49,FALSE)="","",VLOOKUP(Sun_W1[[#This Row],[Employee Name]],'Base Schedules'!$A$46:$AW$77,49,FALSE)),"")</calculatedColumnFormula>
    </tableColumn>
    <tableColumn id="49" name="Employee Name " dataDxfId="1079">
      <calculatedColumnFormula>IF(B9="","",B9)</calculatedColumnFormula>
    </tableColumn>
  </tableColumns>
  <tableStyleInfo name="TableStyleLight9 2" showFirstColumn="0" showLastColumn="0" showRowStripes="1" showColumnStripes="0"/>
</table>
</file>

<file path=xl/tables/table42.xml><?xml version="1.0" encoding="utf-8"?>
<table xmlns="http://schemas.openxmlformats.org/spreadsheetml/2006/main" id="16" name="Mon_W2" displayName="Mon_W2" ref="B8:AY59" totalsRowShown="0" headerRowDxfId="1078" dataDxfId="1076" headerRowBorderDxfId="1077" tableBorderDxfId="1075" headerRowCellStyle="Normal 5">
  <autoFilter ref="B8:AY59">
    <filterColumn colId="0">
      <customFilters>
        <customFilter operator="notEqual" val=" "/>
      </customFilters>
    </filterColumn>
  </autoFilter>
  <sortState ref="B9:AY59">
    <sortCondition ref="D8:D59"/>
  </sortState>
  <tableColumns count="50">
    <tableColumn id="1" name="Employee Name" dataDxfId="1074"/>
    <tableColumn id="2" name="Dept" dataDxfId="1073">
      <calculatedColumnFormula>_xlfn.IFNA(VLOOKUP(Sat_W2[[#This Row],[Employee Name]],'Base Schedules'!A:B,2,FALSE),"")</calculatedColumnFormula>
    </tableColumn>
    <tableColumn id="3" name="Shift Start" dataDxfId="1072">
      <calculatedColumnFormula>_xlfn.IFNA(VLOOKUP(Sat_W2[[#This Row],[Employee Name]],'Base Schedules'!A:C,3,FALSE),"")</calculatedColumnFormula>
    </tableColumn>
    <tableColumn id="4" name="Shift Stop" dataDxfId="1071">
      <calculatedColumnFormula>_xlfn.IFNA(VLOOKUP(Sat_W2[[#This Row],[Employee Name]],'Base Schedules'!A:D,4,FALSE),"")</calculatedColumnFormula>
    </tableColumn>
    <tableColumn id="5" name="Help Line" dataDxfId="1070">
      <calculatedColumnFormula>IF(Mon_W2[[#This Row],[Employee Name]]="","",IF(Mon_W2[[#This Row],[Dept]]="Supervisor",COUNTIFS($J9:$AU9,"*HL*",$J9:$AU9,"&lt;&gt;"&amp;"pHL"),COUNTIFS($J9:$AU9,"*HL*",$J9:$AU9,"&lt;&gt;"&amp;"*pHL*",$J9:$AU9,"&lt;&gt;"&amp;"pB1 HL",$J9:$AU9,"&lt;&gt;"&amp;"pB2 HL")-SUM(COUNTIFS($J9:$AU9,"*HL B1*",$J9:$AU9,"&lt;&gt;"&amp;"pHL B1")*0.5,COUNTIFS($J9:$AU9,"*HL B2*",$J9:$AU9,"&lt;&gt;"&amp;"pHL B2")*0.5,COUNTIFS($J9:$AU9,"*B1 HL*",$J9:$AU9,"&lt;&gt;"&amp;"pB1 HL")*0.5,COUNTIFS($J9:$AU9,"*B2 HL*",$J9:$AU9,"&lt;&gt;"&amp;"pB2 HL")*0.5)))</calculatedColumnFormula>
    </tableColumn>
    <tableColumn id="6" name="Coaching" dataDxfId="1069">
      <calculatedColumnFormula>IF(B9="","",COUNTIFS($J9:$AU9,"*TM*",$J9:$AU9,"&lt;&gt;"&amp;"pTM",$J9:$AU9,"&lt;&gt;"&amp;"uTM"))</calculatedColumnFormula>
    </tableColumn>
    <tableColumn id="7" name="Admin" dataDxfId="1068">
      <calculatedColumnFormula>IF(B9="","",COUNTIFS($J9:$AU9,"*ADM*",$J9:$AU9,"&lt;&gt;"&amp;"pADM",$J9:$AU9,"&lt;&gt;"&amp;"uADM"))</calculatedColumnFormula>
    </tableColumn>
    <tableColumn id="8" name="RTA" dataDxfId="1067">
      <calculatedColumnFormula>IF(Mon_W2[[#This Row],[Employee Name]]="","",IF(Mon_W2[[#This Row],[Dept]]="Supervisor",SUM(COUNTIFS($J9:$AU9,"RTA*",$J9:$AU9,"&lt;&gt;"&amp;"pRTA"),COUNTIFS($J9:$AU9,"*CRTA*",$J9:$AU9,"&lt;&gt;"&amp;"pCRTA")),COUNTIFS($J9:$AU9,"*RNNR*",$J9:$AU9,"&lt;&gt;"&amp;"*pRNNR*",$J9:$AU9,"&lt;&gt;"&amp;"pB1 RNNR",$J9:$AU9,"&lt;&gt;"&amp;"pB2 RNNR")-SUM(COUNTIFS($J9:$AU9,"*RNNR B1*",$J9:$AU9,"&lt;&gt;"&amp;"pRNNR B1")*0.5,COUNTIFS($J9:$AU9,"*RNNR B2*",$J9:$AU9,"&lt;&gt;"&amp;"pRNNR B2")*0.5,COUNTIFS($J9:$AU9,"*B1 RNNR*",$J9:$AU9,"&lt;&gt;"&amp;"pB1 RNNR")*0.5,COUNTIFS($J9:$AU9,"*B2 RNNR*",$J9:$AU9,"&lt;&gt;"&amp;"pB2 RNNR")*0.5)))</calculatedColumnFormula>
    </tableColumn>
    <tableColumn id="10" name="0500" dataDxfId="1066">
      <calculatedColumnFormula>IFERROR(IF(VLOOKUP(Sat_W2[[#This Row],[Employee Name]],'Base Schedules'!$A:$I,9,FALSE)="","",VLOOKUP(Sat_W2[[#This Row],[Employee Name]],'Base Schedules'!$A:$I,9,FALSE)),"")</calculatedColumnFormula>
    </tableColumn>
    <tableColumn id="11" name="0530" dataDxfId="1065">
      <calculatedColumnFormula>IFERROR(IF(VLOOKUP(Sat_W2[[#This Row],[Employee Name]],'Base Schedules'!$A:$J,10,FALSE)="","",VLOOKUP(Sat_W2[[#This Row],[Employee Name]],'Base Schedules'!$A:$J,10,FALSE)),"")</calculatedColumnFormula>
    </tableColumn>
    <tableColumn id="12" name="0600" dataDxfId="1064">
      <calculatedColumnFormula>IFERROR(IF(VLOOKUP(Sat_W2[[#This Row],[Employee Name]],'Base Schedules'!$A:$K,11,FALSE)="","",VLOOKUP(Sat_W2[[#This Row],[Employee Name]],'Base Schedules'!$A:$K,11,FALSE)),"")</calculatedColumnFormula>
    </tableColumn>
    <tableColumn id="13" name="0630" dataDxfId="1063">
      <calculatedColumnFormula>IFERROR(IF(VLOOKUP(Sat_W2[[#This Row],[Employee Name]],'Base Schedules'!$A:$L,12,FALSE)="","",VLOOKUP(Sat_W2[[#This Row],[Employee Name]],'Base Schedules'!$A:$L,12,FALSE)),"")</calculatedColumnFormula>
    </tableColumn>
    <tableColumn id="14" name="0700" dataDxfId="1062">
      <calculatedColumnFormula>IFERROR(IF(VLOOKUP(Sat_W2[[#This Row],[Employee Name]],'Base Schedules'!$A:$M,13,FALSE)="","",VLOOKUP(Sat_W2[[#This Row],[Employee Name]],'Base Schedules'!$A:$M,13,FALSE)),"")</calculatedColumnFormula>
    </tableColumn>
    <tableColumn id="15" name="0730" dataDxfId="1061">
      <calculatedColumnFormula>IFERROR(IF(VLOOKUP(Sat_W2[[#This Row],[Employee Name]],'Base Schedules'!$A:$N,14,FALSE)="","",VLOOKUP(Sat_W2[[#This Row],[Employee Name]],'Base Schedules'!$A:$N,14,FALSE)),"")</calculatedColumnFormula>
    </tableColumn>
    <tableColumn id="16" name="0800" dataDxfId="1060">
      <calculatedColumnFormula>IFERROR(IF(VLOOKUP(Sat_W2[[#This Row],[Employee Name]],'Base Schedules'!$A:$O,15,FALSE)="","",VLOOKUP(Sat_W2[[#This Row],[Employee Name]],'Base Schedules'!$A:$O,15,FALSE)),"")</calculatedColumnFormula>
    </tableColumn>
    <tableColumn id="17" name="0830" dataDxfId="1059">
      <calculatedColumnFormula>IFERROR(IF(VLOOKUP(Sat_W2[[#This Row],[Employee Name]],'Base Schedules'!$A:$P,16,FALSE)="","",VLOOKUP(Sat_W2[[#This Row],[Employee Name]],'Base Schedules'!$A:$P,16,FALSE)),"")</calculatedColumnFormula>
    </tableColumn>
    <tableColumn id="18" name="0900" dataDxfId="1058">
      <calculatedColumnFormula>IFERROR(IF(VLOOKUP(Sat_W2[[#This Row],[Employee Name]],'Base Schedules'!$A:$Q,17,FALSE)="","",VLOOKUP(Sat_W2[[#This Row],[Employee Name]],'Base Schedules'!$A:$Q,17,FALSE)),"")</calculatedColumnFormula>
    </tableColumn>
    <tableColumn id="19" name="0930" dataDxfId="1057">
      <calculatedColumnFormula>IFERROR(IF(VLOOKUP(Sat_W2[[#This Row],[Employee Name]],'Base Schedules'!$A:$R,18,FALSE)="","",VLOOKUP(Sat_W2[[#This Row],[Employee Name]],'Base Schedules'!$A:$R,18,FALSE)),"")</calculatedColumnFormula>
    </tableColumn>
    <tableColumn id="20" name="1000" dataDxfId="1056">
      <calculatedColumnFormula>IFERROR(IF(VLOOKUP(Sat_W2[[#This Row],[Employee Name]],'Base Schedules'!$A:$S,19,FALSE)="","",VLOOKUP(Sat_W2[[#This Row],[Employee Name]],'Base Schedules'!$A:$S,19,FALSE)),"")</calculatedColumnFormula>
    </tableColumn>
    <tableColumn id="21" name="1030" dataDxfId="1055">
      <calculatedColumnFormula>IFERROR(IF(VLOOKUP(Sat_W2[[#This Row],[Employee Name]],'Base Schedules'!$A:$T,20,FALSE)="","",VLOOKUP(Sat_W2[[#This Row],[Employee Name]],'Base Schedules'!$A:$T,20,FALSE)),"")</calculatedColumnFormula>
    </tableColumn>
    <tableColumn id="22" name="1100" dataDxfId="1054">
      <calculatedColumnFormula>IFERROR(IF(VLOOKUP(Sat_W2[[#This Row],[Employee Name]],'Base Schedules'!$A:$U,21,FALSE)="","",VLOOKUP(Sat_W2[[#This Row],[Employee Name]],'Base Schedules'!$A:$U,21,FALSE)),"")</calculatedColumnFormula>
    </tableColumn>
    <tableColumn id="23" name="1130" dataDxfId="1053">
      <calculatedColumnFormula>IFERROR(IF(VLOOKUP(Sat_W2[[#This Row],[Employee Name]],'Base Schedules'!$A:$V,22,FALSE)="","",VLOOKUP(Sat_W2[[#This Row],[Employee Name]],'Base Schedules'!$A:$V,22,FALSE)),"")</calculatedColumnFormula>
    </tableColumn>
    <tableColumn id="24" name="1200" dataDxfId="1052">
      <calculatedColumnFormula>IFERROR(IF(VLOOKUP(Sat_W2[[#This Row],[Employee Name]],'Base Schedules'!$A:$W,23,FALSE)="","",VLOOKUP(Sat_W2[[#This Row],[Employee Name]],'Base Schedules'!$A:$W,23,FALSE)),"")</calculatedColumnFormula>
    </tableColumn>
    <tableColumn id="25" name="1230" dataDxfId="1051">
      <calculatedColumnFormula>IFERROR(IF(VLOOKUP(Sat_W2[[#This Row],[Employee Name]],'Base Schedules'!$A:$X,24,FALSE)="","",VLOOKUP(Sat_W2[[#This Row],[Employee Name]],'Base Schedules'!$A:$X,24,FALSE)),"")</calculatedColumnFormula>
    </tableColumn>
    <tableColumn id="26" name="1300" dataDxfId="1050">
      <calculatedColumnFormula>IFERROR(IF(VLOOKUP(Sat_W2[[#This Row],[Employee Name]],'Base Schedules'!$A:$Y,25,FALSE)="","",VLOOKUP(Sat_W2[[#This Row],[Employee Name]],'Base Schedules'!$A:$Y,25,FALSE)),"")</calculatedColumnFormula>
    </tableColumn>
    <tableColumn id="27" name="1330" dataDxfId="1049">
      <calculatedColumnFormula>IFERROR(IF(VLOOKUP(Sat_W2[[#This Row],[Employee Name]],'Base Schedules'!$A:$Z,26,FALSE)="","",VLOOKUP(Sat_W2[[#This Row],[Employee Name]],'Base Schedules'!$A:$Z,26,FALSE)),"")</calculatedColumnFormula>
    </tableColumn>
    <tableColumn id="28" name="1400" dataDxfId="1048">
      <calculatedColumnFormula>IFERROR(IF(VLOOKUP(Sat_W2[[#This Row],[Employee Name]],'Base Schedules'!$A:$AA,27,FALSE)="","",VLOOKUP(Sat_W2[[#This Row],[Employee Name]],'Base Schedules'!$A:$AA,27,FALSE)),"")</calculatedColumnFormula>
    </tableColumn>
    <tableColumn id="29" name="1430" dataDxfId="1047">
      <calculatedColumnFormula>IFERROR(IF(VLOOKUP(Sat_W2[[#This Row],[Employee Name]],'Base Schedules'!$A:$AB,28,FALSE)="","",VLOOKUP(Sat_W2[[#This Row],[Employee Name]],'Base Schedules'!$A:$AB,28,FALSE)),"")</calculatedColumnFormula>
    </tableColumn>
    <tableColumn id="30" name="1500" dataDxfId="1046">
      <calculatedColumnFormula>IFERROR(IF(VLOOKUP(Sat_W2[[#This Row],[Employee Name]],'Base Schedules'!$A:$AC,29,FALSE)="","",VLOOKUP(Sat_W2[[#This Row],[Employee Name]],'Base Schedules'!$A:$AC,29,FALSE)),"")</calculatedColumnFormula>
    </tableColumn>
    <tableColumn id="31" name="1530" dataDxfId="1045">
      <calculatedColumnFormula>IFERROR(IF(VLOOKUP(Sat_W2[[#This Row],[Employee Name]],'Base Schedules'!$A:$AD,30,FALSE)="","",VLOOKUP(Sat_W2[[#This Row],[Employee Name]],'Base Schedules'!$A:$AD,30,FALSE)),"")</calculatedColumnFormula>
    </tableColumn>
    <tableColumn id="32" name="1600" dataDxfId="1044">
      <calculatedColumnFormula>IFERROR(IF(VLOOKUP(Sat_W2[[#This Row],[Employee Name]],'Base Schedules'!$A:$AE,31,FALSE)="","",VLOOKUP(Sat_W2[[#This Row],[Employee Name]],'Base Schedules'!$A:$AE,31,FALSE)),"")</calculatedColumnFormula>
    </tableColumn>
    <tableColumn id="33" name="1630" dataDxfId="1043">
      <calculatedColumnFormula>IFERROR(IF(VLOOKUP(Sat_W2[[#This Row],[Employee Name]],'Base Schedules'!$A:$AF,32,FALSE)="","",VLOOKUP(Sat_W2[[#This Row],[Employee Name]],'Base Schedules'!$A:$AF,32,FALSE)),"")</calculatedColumnFormula>
    </tableColumn>
    <tableColumn id="34" name="1700" dataDxfId="1042">
      <calculatedColumnFormula>IFERROR(IF(VLOOKUP(Sat_W2[[#This Row],[Employee Name]],'Base Schedules'!$A:$AG,33,FALSE)="","",VLOOKUP(Sat_W2[[#This Row],[Employee Name]],'Base Schedules'!$A:$AG,33,FALSE)),"")</calculatedColumnFormula>
    </tableColumn>
    <tableColumn id="35" name="1730" dataDxfId="1041">
      <calculatedColumnFormula>IFERROR(IF(VLOOKUP(Sat_W2[[#This Row],[Employee Name]],'Base Schedules'!$A:$AH,34,FALSE)="","",VLOOKUP(Sat_W2[[#This Row],[Employee Name]],'Base Schedules'!$A:$AH,34,FALSE)),"")</calculatedColumnFormula>
    </tableColumn>
    <tableColumn id="36" name="1800" dataDxfId="1040">
      <calculatedColumnFormula>IFERROR(IF(VLOOKUP(Sat_W2[[#This Row],[Employee Name]],'Base Schedules'!$A:$AI,35,FALSE)="","",VLOOKUP(Sat_W2[[#This Row],[Employee Name]],'Base Schedules'!$A:$AI,35,FALSE)),"")</calculatedColumnFormula>
    </tableColumn>
    <tableColumn id="37" name="1830" dataDxfId="1039">
      <calculatedColumnFormula>IFERROR(IF(VLOOKUP(Sat_W2[[#This Row],[Employee Name]],'Base Schedules'!$A:$AJ,36,FALSE)="","",VLOOKUP(Sat_W2[[#This Row],[Employee Name]],'Base Schedules'!$A:$AJ,36,FALSE)),"")</calculatedColumnFormula>
    </tableColumn>
    <tableColumn id="38" name="1900" dataDxfId="1038">
      <calculatedColumnFormula>IFERROR(IF(VLOOKUP(Sat_W2[[#This Row],[Employee Name]],'Base Schedules'!$A:$AK,37,FALSE)="","",VLOOKUP(Sat_W2[[#This Row],[Employee Name]],'Base Schedules'!$A:$AK,37,FALSE)),"")</calculatedColumnFormula>
    </tableColumn>
    <tableColumn id="39" name="1930" dataDxfId="1037">
      <calculatedColumnFormula>IFERROR(IF(VLOOKUP(Sat_W2[[#This Row],[Employee Name]],'Base Schedules'!$A:$AL,38,FALSE)="","",VLOOKUP(Sat_W2[[#This Row],[Employee Name]],'Base Schedules'!$A:$AL,38,FALSE)),"")</calculatedColumnFormula>
    </tableColumn>
    <tableColumn id="40" name="2000" dataDxfId="1036">
      <calculatedColumnFormula>IFERROR(IF(VLOOKUP(Sat_W2[[#This Row],[Employee Name]],'Base Schedules'!$A:$AM,39,FALSE)="","",VLOOKUP(Sat_W2[[#This Row],[Employee Name]],'Base Schedules'!$A:$AM,39,FALSE)),"")</calculatedColumnFormula>
    </tableColumn>
    <tableColumn id="41" name="2030" dataDxfId="1035">
      <calculatedColumnFormula>IFERROR(IF(VLOOKUP(Sat_W2[[#This Row],[Employee Name]],'Base Schedules'!$A:$AN,40,FALSE)="","",VLOOKUP(Sat_W2[[#This Row],[Employee Name]],'Base Schedules'!$A:$AN,40,FALSE)),"")</calculatedColumnFormula>
    </tableColumn>
    <tableColumn id="42" name="2100" dataDxfId="1034">
      <calculatedColumnFormula>IFERROR(IF(VLOOKUP(Sat_W2[[#This Row],[Employee Name]],'Base Schedules'!$A:$AO,41,FALSE)="","",VLOOKUP(Sat_W2[[#This Row],[Employee Name]],'Base Schedules'!$A:$AO,41,FALSE)),"")</calculatedColumnFormula>
    </tableColumn>
    <tableColumn id="43" name="2130" dataDxfId="1033">
      <calculatedColumnFormula>IFERROR(IF(VLOOKUP(Sat_W2[[#This Row],[Employee Name]],'Base Schedules'!$A:$AP,42,FALSE)="","",VLOOKUP(Sat_W2[[#This Row],[Employee Name]],'Base Schedules'!$A:$AP,42,FALSE)),"")</calculatedColumnFormula>
    </tableColumn>
    <tableColumn id="44" name="2200" dataDxfId="1032">
      <calculatedColumnFormula>IFERROR(IF(VLOOKUP(Sat_W2[[#This Row],[Employee Name]],'Base Schedules'!$A:$AQ,43,FALSE)="","",VLOOKUP(Sat_W2[[#This Row],[Employee Name]],'Base Schedules'!$A:$AQ,43,FALSE)),"")</calculatedColumnFormula>
    </tableColumn>
    <tableColumn id="45" name="2230" dataDxfId="1031">
      <calculatedColumnFormula>IFERROR(IF(VLOOKUP(Sat_W2[[#This Row],[Employee Name]],'Base Schedules'!$A:$AR,44,FALSE)="","",VLOOKUP(Sat_W2[[#This Row],[Employee Name]],'Base Schedules'!$A:$AR,44,FALSE)),"")</calculatedColumnFormula>
    </tableColumn>
    <tableColumn id="46" name="2300" dataDxfId="1030">
      <calculatedColumnFormula>IFERROR(IF(VLOOKUP(Sat_W2[[#This Row],[Employee Name]],'Base Schedules'!$A:$AS,45,FALSE)="","",VLOOKUP(Sat_W2[[#This Row],[Employee Name]],'Base Schedules'!$A:$AS,45,FALSE)),"")</calculatedColumnFormula>
    </tableColumn>
    <tableColumn id="47" name="2330" dataDxfId="1029">
      <calculatedColumnFormula>IFERROR(IF(VLOOKUP(Sat_W2[[#This Row],[Employee Name]],'Base Schedules'!$A:$AT,46,FALSE)="","",VLOOKUP(Sat_W2[[#This Row],[Employee Name]],'Base Schedules'!$A:$AT,46,FALSE)),"")</calculatedColumnFormula>
    </tableColumn>
    <tableColumn id="48" name="0000" dataDxfId="1028">
      <calculatedColumnFormula>IFERROR(IF(VLOOKUP(Sat_W2[[#This Row],[Employee Name]],'Base Schedules'!$A:$AU,47,FALSE)="","",VLOOKUP(Sat_W2[[#This Row],[Employee Name]],'Base Schedules'!$A:$AU,47,FALSE)),"")</calculatedColumnFormula>
    </tableColumn>
    <tableColumn id="9" name="0030" dataDxfId="1027">
      <calculatedColumnFormula>IFERROR(IF(VLOOKUP(Sat_W2[[#This Row],[Employee Name]],'Base Schedules'!$A:$AV,48,FALSE)="","",VLOOKUP(Sat_W2[[#This Row],[Employee Name]],'Base Schedules'!$A:$AV,48,FALSE)),"")</calculatedColumnFormula>
    </tableColumn>
    <tableColumn id="50" name="0100" dataDxfId="1026">
      <calculatedColumnFormula>IFERROR(IF(VLOOKUP(Mon_W1[[#This Row],[Employee Name]],'Base Schedules'!$A$113:$AW$158,49,FALSE)="","",VLOOKUP(Mon_W1[[#This Row],[Employee Name]],'Base Schedules'!$A$113:$AW$158,49,FALSE)),"")</calculatedColumnFormula>
    </tableColumn>
    <tableColumn id="49" name="Employee Name " dataDxfId="1025">
      <calculatedColumnFormula>IF(B9="","",B9)</calculatedColumnFormula>
    </tableColumn>
  </tableColumns>
  <tableStyleInfo name="TableStyleLight9 2" showFirstColumn="0" showLastColumn="0" showRowStripes="1" showColumnStripes="0"/>
</table>
</file>

<file path=xl/tables/table43.xml><?xml version="1.0" encoding="utf-8"?>
<table xmlns="http://schemas.openxmlformats.org/spreadsheetml/2006/main" id="14" name="Tue_W2" displayName="Tue_W2" ref="B8:AY56" totalsRowShown="0" headerRowDxfId="1024" dataDxfId="1022" headerRowBorderDxfId="1023" tableBorderDxfId="1021" headerRowCellStyle="Normal 5">
  <autoFilter ref="B8:AY56">
    <filterColumn colId="0">
      <customFilters>
        <customFilter operator="notEqual" val=" "/>
      </customFilters>
    </filterColumn>
  </autoFilter>
  <sortState ref="B9:AY56">
    <sortCondition ref="D8:D56"/>
  </sortState>
  <tableColumns count="50">
    <tableColumn id="1" name="Employee Name" dataDxfId="1020"/>
    <tableColumn id="2" name="Dept" dataDxfId="1019">
      <calculatedColumnFormula>_xlfn.IFNA(VLOOKUP(Sat_W2[[#This Row],[Employee Name]],'Base Schedules'!A:B,2,FALSE),"")</calculatedColumnFormula>
    </tableColumn>
    <tableColumn id="3" name="Shift Start" dataDxfId="1018">
      <calculatedColumnFormula>_xlfn.IFNA(VLOOKUP(Sat_W2[[#This Row],[Employee Name]],'Base Schedules'!A:C,3,FALSE),"")</calculatedColumnFormula>
    </tableColumn>
    <tableColumn id="4" name="Shift Stop" dataDxfId="1017">
      <calculatedColumnFormula>_xlfn.IFNA(VLOOKUP(Sat_W2[[#This Row],[Employee Name]],'Base Schedules'!A:D,4,FALSE),"")</calculatedColumnFormula>
    </tableColumn>
    <tableColumn id="5" name="Help Line" dataDxfId="1016">
      <calculatedColumnFormula>IF(Tue_W2[[#This Row],[Employee Name]]="","",IF(Tue_W2[[#This Row],[Dept]]="Supervisor",COUNTIFS($J9:$AU9,"*HL*",$J9:$AU9,"&lt;&gt;"&amp;"pHL"),COUNTIFS($J9:$AU9,"*HL*",$J9:$AU9,"&lt;&gt;"&amp;"*pHL*",$J9:$AU9,"&lt;&gt;"&amp;"pB1 HL",$J9:$AU9,"&lt;&gt;"&amp;"pB2 HL")-SUM(COUNTIFS($J9:$AU9,"*HL B1*",$J9:$AU9,"&lt;&gt;"&amp;"pHL B1")*0.5,COUNTIFS($J9:$AU9,"*HL B2*",$J9:$AU9,"&lt;&gt;"&amp;"pHL B2")*0.5,COUNTIFS($J9:$AU9,"*B1 HL*",$J9:$AU9,"&lt;&gt;"&amp;"pB1 HL")*0.5,COUNTIFS($J9:$AU9,"*B2 HL*",$J9:$AU9,"&lt;&gt;"&amp;"pB2 HL")*0.5)))</calculatedColumnFormula>
    </tableColumn>
    <tableColumn id="6" name="Coaching" dataDxfId="1015">
      <calculatedColumnFormula>IF(B9="","",COUNTIFS($J9:$AU9,"*TM*",$J9:$AU9,"&lt;&gt;"&amp;"pTM",$J9:$AU9,"&lt;&gt;"&amp;"uTM"))</calculatedColumnFormula>
    </tableColumn>
    <tableColumn id="7" name="Admin" dataDxfId="1014">
      <calculatedColumnFormula>IF(B9="","",COUNTIFS($J9:$AU9,"*ADM*",$J9:$AU9,"&lt;&gt;"&amp;"pADM",$J9:$AU9,"&lt;&gt;"&amp;"uADM"))</calculatedColumnFormula>
    </tableColumn>
    <tableColumn id="8" name="RTA" dataDxfId="1013">
      <calculatedColumnFormula>IF(Tue_W2[[#This Row],[Employee Name]]="","",IF(Tue_W2[[#This Row],[Dept]]="Supervisor",SUM(COUNTIFS($J9:$AU9,"RTA*",$J9:$AU9,"&lt;&gt;"&amp;"pRTA"),COUNTIFS($J9:$AU9,"*CRTA*",$J9:$AU9,"&lt;&gt;"&amp;"pCRTA")),COUNTIFS($J9:$AU9,"*RNNR*",$J9:$AU9,"&lt;&gt;"&amp;"*pRNNR*",$J9:$AU9,"&lt;&gt;"&amp;"pB1 RNNR",$J9:$AU9,"&lt;&gt;"&amp;"pB2 RNNR")-SUM(COUNTIFS($J9:$AU9,"*RNNR B1*",$J9:$AU9,"&lt;&gt;"&amp;"pRNNR B1")*0.5,COUNTIFS($J9:$AU9,"*RNNR B2*",$J9:$AU9,"&lt;&gt;"&amp;"pRNNR B2")*0.5,COUNTIFS($J9:$AU9,"*B1 RNNR*",$J9:$AU9,"&lt;&gt;"&amp;"pB1 RNNR")*0.5,COUNTIFS($J9:$AU9,"*B2 RNNR*",$J9:$AU9,"&lt;&gt;"&amp;"pB2 RNNR")*0.5)))</calculatedColumnFormula>
    </tableColumn>
    <tableColumn id="10" name="0500" dataDxfId="1012">
      <calculatedColumnFormula>IFERROR(IF(VLOOKUP(Sat_W2[[#This Row],[Employee Name]],'Base Schedules'!$A:$I,9,FALSE)="","",VLOOKUP(Sat_W2[[#This Row],[Employee Name]],'Base Schedules'!$A:$I,9,FALSE)),"")</calculatedColumnFormula>
    </tableColumn>
    <tableColumn id="11" name="0530" dataDxfId="1011">
      <calculatedColumnFormula>IFERROR(IF(VLOOKUP(Sat_W2[[#This Row],[Employee Name]],'Base Schedules'!$A:$J,10,FALSE)="","",VLOOKUP(Sat_W2[[#This Row],[Employee Name]],'Base Schedules'!$A:$J,10,FALSE)),"")</calculatedColumnFormula>
    </tableColumn>
    <tableColumn id="12" name="0600" dataDxfId="1010">
      <calculatedColumnFormula>IFERROR(IF(VLOOKUP(Sat_W2[[#This Row],[Employee Name]],'Base Schedules'!$A:$K,11,FALSE)="","",VLOOKUP(Sat_W2[[#This Row],[Employee Name]],'Base Schedules'!$A:$K,11,FALSE)),"")</calculatedColumnFormula>
    </tableColumn>
    <tableColumn id="13" name="0630" dataDxfId="1009">
      <calculatedColumnFormula>IFERROR(IF(VLOOKUP(Sat_W2[[#This Row],[Employee Name]],'Base Schedules'!$A:$L,12,FALSE)="","",VLOOKUP(Sat_W2[[#This Row],[Employee Name]],'Base Schedules'!$A:$L,12,FALSE)),"")</calculatedColumnFormula>
    </tableColumn>
    <tableColumn id="14" name="0700" dataDxfId="1008">
      <calculatedColumnFormula>IFERROR(IF(VLOOKUP(Sat_W2[[#This Row],[Employee Name]],'Base Schedules'!$A:$M,13,FALSE)="","",VLOOKUP(Sat_W2[[#This Row],[Employee Name]],'Base Schedules'!$A:$M,13,FALSE)),"")</calculatedColumnFormula>
    </tableColumn>
    <tableColumn id="15" name="0730" dataDxfId="1007">
      <calculatedColumnFormula>IFERROR(IF(VLOOKUP(Sat_W2[[#This Row],[Employee Name]],'Base Schedules'!$A:$N,14,FALSE)="","",VLOOKUP(Sat_W2[[#This Row],[Employee Name]],'Base Schedules'!$A:$N,14,FALSE)),"")</calculatedColumnFormula>
    </tableColumn>
    <tableColumn id="16" name="0800" dataDxfId="1006">
      <calculatedColumnFormula>IFERROR(IF(VLOOKUP(Sat_W2[[#This Row],[Employee Name]],'Base Schedules'!$A:$O,15,FALSE)="","",VLOOKUP(Sat_W2[[#This Row],[Employee Name]],'Base Schedules'!$A:$O,15,FALSE)),"")</calculatedColumnFormula>
    </tableColumn>
    <tableColumn id="17" name="0830" dataDxfId="1005">
      <calculatedColumnFormula>IFERROR(IF(VLOOKUP(Sat_W2[[#This Row],[Employee Name]],'Base Schedules'!$A:$P,16,FALSE)="","",VLOOKUP(Sat_W2[[#This Row],[Employee Name]],'Base Schedules'!$A:$P,16,FALSE)),"")</calculatedColumnFormula>
    </tableColumn>
    <tableColumn id="18" name="0900" dataDxfId="1004">
      <calculatedColumnFormula>IFERROR(IF(VLOOKUP(Sat_W2[[#This Row],[Employee Name]],'Base Schedules'!$A:$Q,17,FALSE)="","",VLOOKUP(Sat_W2[[#This Row],[Employee Name]],'Base Schedules'!$A:$Q,17,FALSE)),"")</calculatedColumnFormula>
    </tableColumn>
    <tableColumn id="19" name="0930" dataDxfId="1003">
      <calculatedColumnFormula>IFERROR(IF(VLOOKUP(Sat_W2[[#This Row],[Employee Name]],'Base Schedules'!$A:$R,18,FALSE)="","",VLOOKUP(Sat_W2[[#This Row],[Employee Name]],'Base Schedules'!$A:$R,18,FALSE)),"")</calculatedColumnFormula>
    </tableColumn>
    <tableColumn id="20" name="1000" dataDxfId="1002">
      <calculatedColumnFormula>IFERROR(IF(VLOOKUP(Sat_W2[[#This Row],[Employee Name]],'Base Schedules'!$A:$S,19,FALSE)="","",VLOOKUP(Sat_W2[[#This Row],[Employee Name]],'Base Schedules'!$A:$S,19,FALSE)),"")</calculatedColumnFormula>
    </tableColumn>
    <tableColumn id="21" name="1030" dataDxfId="1001">
      <calculatedColumnFormula>IFERROR(IF(VLOOKUP(Sat_W2[[#This Row],[Employee Name]],'Base Schedules'!$A:$T,20,FALSE)="","",VLOOKUP(Sat_W2[[#This Row],[Employee Name]],'Base Schedules'!$A:$T,20,FALSE)),"")</calculatedColumnFormula>
    </tableColumn>
    <tableColumn id="22" name="1100" dataDxfId="1000">
      <calculatedColumnFormula>IFERROR(IF(VLOOKUP(Sat_W2[[#This Row],[Employee Name]],'Base Schedules'!$A:$U,21,FALSE)="","",VLOOKUP(Sat_W2[[#This Row],[Employee Name]],'Base Schedules'!$A:$U,21,FALSE)),"")</calculatedColumnFormula>
    </tableColumn>
    <tableColumn id="23" name="1130" dataDxfId="999">
      <calculatedColumnFormula>IFERROR(IF(VLOOKUP(Sat_W2[[#This Row],[Employee Name]],'Base Schedules'!$A:$V,22,FALSE)="","",VLOOKUP(Sat_W2[[#This Row],[Employee Name]],'Base Schedules'!$A:$V,22,FALSE)),"")</calculatedColumnFormula>
    </tableColumn>
    <tableColumn id="24" name="1200" dataDxfId="998">
      <calculatedColumnFormula>IFERROR(IF(VLOOKUP(Sat_W2[[#This Row],[Employee Name]],'Base Schedules'!$A:$W,23,FALSE)="","",VLOOKUP(Sat_W2[[#This Row],[Employee Name]],'Base Schedules'!$A:$W,23,FALSE)),"")</calculatedColumnFormula>
    </tableColumn>
    <tableColumn id="25" name="1230" dataDxfId="997">
      <calculatedColumnFormula>IFERROR(IF(VLOOKUP(Sat_W2[[#This Row],[Employee Name]],'Base Schedules'!$A:$X,24,FALSE)="","",VLOOKUP(Sat_W2[[#This Row],[Employee Name]],'Base Schedules'!$A:$X,24,FALSE)),"")</calculatedColumnFormula>
    </tableColumn>
    <tableColumn id="26" name="1300" dataDxfId="996">
      <calculatedColumnFormula>IFERROR(IF(VLOOKUP(Sat_W2[[#This Row],[Employee Name]],'Base Schedules'!$A:$Y,25,FALSE)="","",VLOOKUP(Sat_W2[[#This Row],[Employee Name]],'Base Schedules'!$A:$Y,25,FALSE)),"")</calculatedColumnFormula>
    </tableColumn>
    <tableColumn id="27" name="1330" dataDxfId="995">
      <calculatedColumnFormula>IFERROR(IF(VLOOKUP(Sat_W2[[#This Row],[Employee Name]],'Base Schedules'!$A:$Z,26,FALSE)="","",VLOOKUP(Sat_W2[[#This Row],[Employee Name]],'Base Schedules'!$A:$Z,26,FALSE)),"")</calculatedColumnFormula>
    </tableColumn>
    <tableColumn id="28" name="1400" dataDxfId="994">
      <calculatedColumnFormula>IFERROR(IF(VLOOKUP(Sat_W2[[#This Row],[Employee Name]],'Base Schedules'!$A:$AA,27,FALSE)="","",VLOOKUP(Sat_W2[[#This Row],[Employee Name]],'Base Schedules'!$A:$AA,27,FALSE)),"")</calculatedColumnFormula>
    </tableColumn>
    <tableColumn id="29" name="1430" dataDxfId="993">
      <calculatedColumnFormula>IFERROR(IF(VLOOKUP(Sat_W2[[#This Row],[Employee Name]],'Base Schedules'!$A:$AB,28,FALSE)="","",VLOOKUP(Sat_W2[[#This Row],[Employee Name]],'Base Schedules'!$A:$AB,28,FALSE)),"")</calculatedColumnFormula>
    </tableColumn>
    <tableColumn id="30" name="1500" dataDxfId="992">
      <calculatedColumnFormula>IFERROR(IF(VLOOKUP(Sat_W2[[#This Row],[Employee Name]],'Base Schedules'!$A:$AC,29,FALSE)="","",VLOOKUP(Sat_W2[[#This Row],[Employee Name]],'Base Schedules'!$A:$AC,29,FALSE)),"")</calculatedColumnFormula>
    </tableColumn>
    <tableColumn id="31" name="1530" dataDxfId="991">
      <calculatedColumnFormula>IFERROR(IF(VLOOKUP(Sat_W2[[#This Row],[Employee Name]],'Base Schedules'!$A:$AD,30,FALSE)="","",VLOOKUP(Sat_W2[[#This Row],[Employee Name]],'Base Schedules'!$A:$AD,30,FALSE)),"")</calculatedColumnFormula>
    </tableColumn>
    <tableColumn id="32" name="1600" dataDxfId="990">
      <calculatedColumnFormula>IFERROR(IF(VLOOKUP(Sat_W2[[#This Row],[Employee Name]],'Base Schedules'!$A:$AE,31,FALSE)="","",VLOOKUP(Sat_W2[[#This Row],[Employee Name]],'Base Schedules'!$A:$AE,31,FALSE)),"")</calculatedColumnFormula>
    </tableColumn>
    <tableColumn id="33" name="1630" dataDxfId="989">
      <calculatedColumnFormula>IFERROR(IF(VLOOKUP(Sat_W2[[#This Row],[Employee Name]],'Base Schedules'!$A:$AF,32,FALSE)="","",VLOOKUP(Sat_W2[[#This Row],[Employee Name]],'Base Schedules'!$A:$AF,32,FALSE)),"")</calculatedColumnFormula>
    </tableColumn>
    <tableColumn id="34" name="1700" dataDxfId="988">
      <calculatedColumnFormula>IFERROR(IF(VLOOKUP(Sat_W2[[#This Row],[Employee Name]],'Base Schedules'!$A:$AG,33,FALSE)="","",VLOOKUP(Sat_W2[[#This Row],[Employee Name]],'Base Schedules'!$A:$AG,33,FALSE)),"")</calculatedColumnFormula>
    </tableColumn>
    <tableColumn id="35" name="1730" dataDxfId="987">
      <calculatedColumnFormula>IFERROR(IF(VLOOKUP(Sat_W2[[#This Row],[Employee Name]],'Base Schedules'!$A:$AH,34,FALSE)="","",VLOOKUP(Sat_W2[[#This Row],[Employee Name]],'Base Schedules'!$A:$AH,34,FALSE)),"")</calculatedColumnFormula>
    </tableColumn>
    <tableColumn id="36" name="1800" dataDxfId="986">
      <calculatedColumnFormula>IFERROR(IF(VLOOKUP(Sat_W2[[#This Row],[Employee Name]],'Base Schedules'!$A:$AI,35,FALSE)="","",VLOOKUP(Sat_W2[[#This Row],[Employee Name]],'Base Schedules'!$A:$AI,35,FALSE)),"")</calculatedColumnFormula>
    </tableColumn>
    <tableColumn id="37" name="1830" dataDxfId="985">
      <calculatedColumnFormula>IFERROR(IF(VLOOKUP(Sat_W2[[#This Row],[Employee Name]],'Base Schedules'!$A:$AJ,36,FALSE)="","",VLOOKUP(Sat_W2[[#This Row],[Employee Name]],'Base Schedules'!$A:$AJ,36,FALSE)),"")</calculatedColumnFormula>
    </tableColumn>
    <tableColumn id="38" name="1900" dataDxfId="984">
      <calculatedColumnFormula>IFERROR(IF(VLOOKUP(Sat_W2[[#This Row],[Employee Name]],'Base Schedules'!$A:$AK,37,FALSE)="","",VLOOKUP(Sat_W2[[#This Row],[Employee Name]],'Base Schedules'!$A:$AK,37,FALSE)),"")</calculatedColumnFormula>
    </tableColumn>
    <tableColumn id="39" name="1930" dataDxfId="983">
      <calculatedColumnFormula>IFERROR(IF(VLOOKUP(Sat_W2[[#This Row],[Employee Name]],'Base Schedules'!$A:$AL,38,FALSE)="","",VLOOKUP(Sat_W2[[#This Row],[Employee Name]],'Base Schedules'!$A:$AL,38,FALSE)),"")</calculatedColumnFormula>
    </tableColumn>
    <tableColumn id="40" name="2000" dataDxfId="982">
      <calculatedColumnFormula>IFERROR(IF(VLOOKUP(Sat_W2[[#This Row],[Employee Name]],'Base Schedules'!$A:$AM,39,FALSE)="","",VLOOKUP(Sat_W2[[#This Row],[Employee Name]],'Base Schedules'!$A:$AM,39,FALSE)),"")</calculatedColumnFormula>
    </tableColumn>
    <tableColumn id="41" name="2030" dataDxfId="981">
      <calculatedColumnFormula>IFERROR(IF(VLOOKUP(Sat_W2[[#This Row],[Employee Name]],'Base Schedules'!$A:$AN,40,FALSE)="","",VLOOKUP(Sat_W2[[#This Row],[Employee Name]],'Base Schedules'!$A:$AN,40,FALSE)),"")</calculatedColumnFormula>
    </tableColumn>
    <tableColumn id="42" name="2100" dataDxfId="980">
      <calculatedColumnFormula>IFERROR(IF(VLOOKUP(Sat_W2[[#This Row],[Employee Name]],'Base Schedules'!$A:$AO,41,FALSE)="","",VLOOKUP(Sat_W2[[#This Row],[Employee Name]],'Base Schedules'!$A:$AO,41,FALSE)),"")</calculatedColumnFormula>
    </tableColumn>
    <tableColumn id="43" name="2130" dataDxfId="979">
      <calculatedColumnFormula>IFERROR(IF(VLOOKUP(Sat_W2[[#This Row],[Employee Name]],'Base Schedules'!$A:$AP,42,FALSE)="","",VLOOKUP(Sat_W2[[#This Row],[Employee Name]],'Base Schedules'!$A:$AP,42,FALSE)),"")</calculatedColumnFormula>
    </tableColumn>
    <tableColumn id="44" name="2200" dataDxfId="978">
      <calculatedColumnFormula>IFERROR(IF(VLOOKUP(Sat_W2[[#This Row],[Employee Name]],'Base Schedules'!$A:$AQ,43,FALSE)="","",VLOOKUP(Sat_W2[[#This Row],[Employee Name]],'Base Schedules'!$A:$AQ,43,FALSE)),"")</calculatedColumnFormula>
    </tableColumn>
    <tableColumn id="45" name="2230" dataDxfId="977">
      <calculatedColumnFormula>IFERROR(IF(VLOOKUP(Sat_W2[[#This Row],[Employee Name]],'Base Schedules'!$A:$AR,44,FALSE)="","",VLOOKUP(Sat_W2[[#This Row],[Employee Name]],'Base Schedules'!$A:$AR,44,FALSE)),"")</calculatedColumnFormula>
    </tableColumn>
    <tableColumn id="46" name="2300" dataDxfId="976">
      <calculatedColumnFormula>IFERROR(IF(VLOOKUP(Sat_W2[[#This Row],[Employee Name]],'Base Schedules'!$A:$AS,45,FALSE)="","",VLOOKUP(Sat_W2[[#This Row],[Employee Name]],'Base Schedules'!$A:$AS,45,FALSE)),"")</calculatedColumnFormula>
    </tableColumn>
    <tableColumn id="47" name="2330" dataDxfId="975">
      <calculatedColumnFormula>IFERROR(IF(VLOOKUP(Sat_W2[[#This Row],[Employee Name]],'Base Schedules'!$A:$AT,46,FALSE)="","",VLOOKUP(Sat_W2[[#This Row],[Employee Name]],'Base Schedules'!$A:$AT,46,FALSE)),"")</calculatedColumnFormula>
    </tableColumn>
    <tableColumn id="48" name="0000" dataDxfId="974">
      <calculatedColumnFormula>IFERROR(IF(VLOOKUP(Sat_W2[[#This Row],[Employee Name]],'Base Schedules'!$A:$AU,47,FALSE)="","",VLOOKUP(Sat_W2[[#This Row],[Employee Name]],'Base Schedules'!$A:$AU,47,FALSE)),"")</calculatedColumnFormula>
    </tableColumn>
    <tableColumn id="9" name="0030" dataDxfId="973">
      <calculatedColumnFormula>IFERROR(IF(VLOOKUP(Sat_W2[[#This Row],[Employee Name]],'Base Schedules'!$A:$AV,48,FALSE)="","",VLOOKUP(Sat_W2[[#This Row],[Employee Name]],'Base Schedules'!$A:$AV,48,FALSE)),"")</calculatedColumnFormula>
    </tableColumn>
    <tableColumn id="50" name="0100" dataDxfId="972">
      <calculatedColumnFormula>IFERROR(IF(VLOOKUP(Tue_W1[[#This Row],[Employee Name]],'Base Schedules'!$A$160:$AW$203,49,FALSE)="","",VLOOKUP(Tue_W1[[#This Row],[Employee Name]],'Base Schedules'!$A$160:$AW$203,49,FALSE)),"")</calculatedColumnFormula>
    </tableColumn>
    <tableColumn id="49" name="Employee Name " dataDxfId="971">
      <calculatedColumnFormula>IF(B9="","",B9)</calculatedColumnFormula>
    </tableColumn>
  </tableColumns>
  <tableStyleInfo name="TableStyleLight9 2" showFirstColumn="0" showLastColumn="0" showRowStripes="1" showColumnStripes="0"/>
</table>
</file>

<file path=xl/tables/table44.xml><?xml version="1.0" encoding="utf-8"?>
<table xmlns="http://schemas.openxmlformats.org/spreadsheetml/2006/main" id="18" name="Wed_W2" displayName="Wed_W2" ref="B8:AY56" totalsRowShown="0" headerRowDxfId="970" dataDxfId="968" headerRowBorderDxfId="969" tableBorderDxfId="967" headerRowCellStyle="Normal 5">
  <autoFilter ref="B8:AY56">
    <filterColumn colId="0">
      <customFilters>
        <customFilter operator="notEqual" val=" "/>
      </customFilters>
    </filterColumn>
  </autoFilter>
  <sortState ref="B9:AY56">
    <sortCondition ref="D8:D56"/>
  </sortState>
  <tableColumns count="50">
    <tableColumn id="1" name="Employee Name" dataDxfId="966"/>
    <tableColumn id="2" name="Dept" dataDxfId="965"/>
    <tableColumn id="3" name="Shift Start" dataDxfId="964">
      <calculatedColumnFormula>_xlfn.IFNA(VLOOKUP(Sat_W2[[#This Row],[Employee Name]],'Base Schedules'!A:C,3,FALSE),"")</calculatedColumnFormula>
    </tableColumn>
    <tableColumn id="4" name="Shift Stop" dataDxfId="963">
      <calculatedColumnFormula>_xlfn.IFNA(VLOOKUP(Sat_W2[[#This Row],[Employee Name]],'Base Schedules'!A:D,4,FALSE),"")</calculatedColumnFormula>
    </tableColumn>
    <tableColumn id="5" name="Help Line" dataDxfId="962">
      <calculatedColumnFormula>IF(Wed_W2[[#This Row],[Employee Name]]="","",IF(Wed_W2[[#This Row],[Dept]]="Supervisor",COUNTIFS($J9:$AU9,"*HL*",$J9:$AU9,"&lt;&gt;"&amp;"pHL"),COUNTIFS($J9:$AU9,"*HL*",$J9:$AU9,"&lt;&gt;"&amp;"*pHL*",$J9:$AU9,"&lt;&gt;"&amp;"pB1 HL",$J9:$AU9,"&lt;&gt;"&amp;"pB2 HL")-SUM(COUNTIFS($J9:$AU9,"*HL B1*",$J9:$AU9,"&lt;&gt;"&amp;"pHL B1")*0.5,COUNTIFS($J9:$AU9,"*HL B2*",$J9:$AU9,"&lt;&gt;"&amp;"pHL B2")*0.5,COUNTIFS($J9:$AU9,"*B1 HL*",$J9:$AU9,"&lt;&gt;"&amp;"pB1 HL")*0.5,COUNTIFS($J9:$AU9,"*B2 HL*",$J9:$AU9,"&lt;&gt;"&amp;"pB2 HL")*0.5)))</calculatedColumnFormula>
    </tableColumn>
    <tableColumn id="6" name="Coaching" dataDxfId="961">
      <calculatedColumnFormula>IF(B9="","",COUNTIFS($J9:$AU9,"*TM*",$J9:$AU9,"&lt;&gt;"&amp;"pTM",$J9:$AU9,"&lt;&gt;"&amp;"uTM"))</calculatedColumnFormula>
    </tableColumn>
    <tableColumn id="7" name="Admin" dataDxfId="960">
      <calculatedColumnFormula>IF(B9="","",COUNTIFS($J9:$AU9,"*ADM*",$J9:$AU9,"&lt;&gt;"&amp;"pADM",$J9:$AU9,"&lt;&gt;"&amp;"uADM"))</calculatedColumnFormula>
    </tableColumn>
    <tableColumn id="8" name="RTA" dataDxfId="959">
      <calculatedColumnFormula>IF(Wed_W2[[#This Row],[Employee Name]]="","",IF(Wed_W2[[#This Row],[Dept]]="Supervisor",SUM(COUNTIFS($J9:$AU9,"RTA*",$J9:$AU9,"&lt;&gt;"&amp;"pRTA"),COUNTIFS($J9:$AU9,"*CRTA*",$J9:$AU9,"&lt;&gt;"&amp;"pCRTA")),COUNTIFS($J9:$AU9,"*RNNR*",$J9:$AU9,"&lt;&gt;"&amp;"*pRNNR*",$J9:$AU9,"&lt;&gt;"&amp;"pB1 RNNR",$J9:$AU9,"&lt;&gt;"&amp;"pB2 RNNR")-SUM(COUNTIFS($J9:$AU9,"*RNNR B1*",$J9:$AU9,"&lt;&gt;"&amp;"pRNNR B1")*0.5,COUNTIFS($J9:$AU9,"*RNNR B2*",$J9:$AU9,"&lt;&gt;"&amp;"pRNNR B2")*0.5,COUNTIFS($J9:$AU9,"*B1 RNNR*",$J9:$AU9,"&lt;&gt;"&amp;"pB1 RNNR")*0.5,COUNTIFS($J9:$AU9,"*B2 RNNR*",$J9:$AU9,"&lt;&gt;"&amp;"pB2 RNNR")*0.5)))</calculatedColumnFormula>
    </tableColumn>
    <tableColumn id="10" name="0500" dataDxfId="958">
      <calculatedColumnFormula>IFERROR(IF(VLOOKUP(Sat_W2[[#This Row],[Employee Name]],'Base Schedules'!$A:$I,9,FALSE)="","",VLOOKUP(Sat_W2[[#This Row],[Employee Name]],'Base Schedules'!$A:$I,9,FALSE)),"")</calculatedColumnFormula>
    </tableColumn>
    <tableColumn id="11" name="0530" dataDxfId="957">
      <calculatedColumnFormula>IFERROR(IF(VLOOKUP(Sat_W2[[#This Row],[Employee Name]],'Base Schedules'!$A:$J,10,FALSE)="","",VLOOKUP(Sat_W2[[#This Row],[Employee Name]],'Base Schedules'!$A:$J,10,FALSE)),"")</calculatedColumnFormula>
    </tableColumn>
    <tableColumn id="12" name="0600" dataDxfId="956">
      <calculatedColumnFormula>IFERROR(IF(VLOOKUP(Sat_W2[[#This Row],[Employee Name]],'Base Schedules'!$A:$K,11,FALSE)="","",VLOOKUP(Sat_W2[[#This Row],[Employee Name]],'Base Schedules'!$A:$K,11,FALSE)),"")</calculatedColumnFormula>
    </tableColumn>
    <tableColumn id="13" name="0630" dataDxfId="955">
      <calculatedColumnFormula>IFERROR(IF(VLOOKUP(Sat_W2[[#This Row],[Employee Name]],'Base Schedules'!$A:$L,12,FALSE)="","",VLOOKUP(Sat_W2[[#This Row],[Employee Name]],'Base Schedules'!$A:$L,12,FALSE)),"")</calculatedColumnFormula>
    </tableColumn>
    <tableColumn id="14" name="0700" dataDxfId="954">
      <calculatedColumnFormula>IFERROR(IF(VLOOKUP(Sat_W2[[#This Row],[Employee Name]],'Base Schedules'!$A:$M,13,FALSE)="","",VLOOKUP(Sat_W2[[#This Row],[Employee Name]],'Base Schedules'!$A:$M,13,FALSE)),"")</calculatedColumnFormula>
    </tableColumn>
    <tableColumn id="15" name="0730" dataDxfId="953">
      <calculatedColumnFormula>IFERROR(IF(VLOOKUP(Sat_W2[[#This Row],[Employee Name]],'Base Schedules'!$A:$N,14,FALSE)="","",VLOOKUP(Sat_W2[[#This Row],[Employee Name]],'Base Schedules'!$A:$N,14,FALSE)),"")</calculatedColumnFormula>
    </tableColumn>
    <tableColumn id="16" name="0800" dataDxfId="952">
      <calculatedColumnFormula>IFERROR(IF(VLOOKUP(Sat_W2[[#This Row],[Employee Name]],'Base Schedules'!$A:$O,15,FALSE)="","",VLOOKUP(Sat_W2[[#This Row],[Employee Name]],'Base Schedules'!$A:$O,15,FALSE)),"")</calculatedColumnFormula>
    </tableColumn>
    <tableColumn id="17" name="0830" dataDxfId="951">
      <calculatedColumnFormula>IFERROR(IF(VLOOKUP(Sat_W2[[#This Row],[Employee Name]],'Base Schedules'!$A:$P,16,FALSE)="","",VLOOKUP(Sat_W2[[#This Row],[Employee Name]],'Base Schedules'!$A:$P,16,FALSE)),"")</calculatedColumnFormula>
    </tableColumn>
    <tableColumn id="18" name="0900" dataDxfId="950">
      <calculatedColumnFormula>IFERROR(IF(VLOOKUP(Sat_W2[[#This Row],[Employee Name]],'Base Schedules'!$A:$Q,17,FALSE)="","",VLOOKUP(Sat_W2[[#This Row],[Employee Name]],'Base Schedules'!$A:$Q,17,FALSE)),"")</calculatedColumnFormula>
    </tableColumn>
    <tableColumn id="19" name="0930" dataDxfId="949">
      <calculatedColumnFormula>IFERROR(IF(VLOOKUP(Sat_W2[[#This Row],[Employee Name]],'Base Schedules'!$A:$R,18,FALSE)="","",VLOOKUP(Sat_W2[[#This Row],[Employee Name]],'Base Schedules'!$A:$R,18,FALSE)),"")</calculatedColumnFormula>
    </tableColumn>
    <tableColumn id="20" name="1000" dataDxfId="948">
      <calculatedColumnFormula>IFERROR(IF(VLOOKUP(Sat_W2[[#This Row],[Employee Name]],'Base Schedules'!$A:$S,19,FALSE)="","",VLOOKUP(Sat_W2[[#This Row],[Employee Name]],'Base Schedules'!$A:$S,19,FALSE)),"")</calculatedColumnFormula>
    </tableColumn>
    <tableColumn id="21" name="1030" dataDxfId="947">
      <calculatedColumnFormula>IFERROR(IF(VLOOKUP(Sat_W2[[#This Row],[Employee Name]],'Base Schedules'!$A:$T,20,FALSE)="","",VLOOKUP(Sat_W2[[#This Row],[Employee Name]],'Base Schedules'!$A:$T,20,FALSE)),"")</calculatedColumnFormula>
    </tableColumn>
    <tableColumn id="22" name="1100" dataDxfId="946">
      <calculatedColumnFormula>IFERROR(IF(VLOOKUP(Sat_W2[[#This Row],[Employee Name]],'Base Schedules'!$A:$U,21,FALSE)="","",VLOOKUP(Sat_W2[[#This Row],[Employee Name]],'Base Schedules'!$A:$U,21,FALSE)),"")</calculatedColumnFormula>
    </tableColumn>
    <tableColumn id="23" name="1130" dataDxfId="945">
      <calculatedColumnFormula>IFERROR(IF(VLOOKUP(Sat_W2[[#This Row],[Employee Name]],'Base Schedules'!$A:$V,22,FALSE)="","",VLOOKUP(Sat_W2[[#This Row],[Employee Name]],'Base Schedules'!$A:$V,22,FALSE)),"")</calculatedColumnFormula>
    </tableColumn>
    <tableColumn id="24" name="1200" dataDxfId="944">
      <calculatedColumnFormula>IFERROR(IF(VLOOKUP(Sat_W2[[#This Row],[Employee Name]],'Base Schedules'!$A:$W,23,FALSE)="","",VLOOKUP(Sat_W2[[#This Row],[Employee Name]],'Base Schedules'!$A:$W,23,FALSE)),"")</calculatedColumnFormula>
    </tableColumn>
    <tableColumn id="25" name="1230" dataDxfId="943">
      <calculatedColumnFormula>IFERROR(IF(VLOOKUP(Sat_W2[[#This Row],[Employee Name]],'Base Schedules'!$A:$X,24,FALSE)="","",VLOOKUP(Sat_W2[[#This Row],[Employee Name]],'Base Schedules'!$A:$X,24,FALSE)),"")</calculatedColumnFormula>
    </tableColumn>
    <tableColumn id="26" name="1300" dataDxfId="942">
      <calculatedColumnFormula>IFERROR(IF(VLOOKUP(Sat_W2[[#This Row],[Employee Name]],'Base Schedules'!$A:$Y,25,FALSE)="","",VLOOKUP(Sat_W2[[#This Row],[Employee Name]],'Base Schedules'!$A:$Y,25,FALSE)),"")</calculatedColumnFormula>
    </tableColumn>
    <tableColumn id="27" name="1330" dataDxfId="941">
      <calculatedColumnFormula>IFERROR(IF(VLOOKUP(Sat_W2[[#This Row],[Employee Name]],'Base Schedules'!$A:$Z,26,FALSE)="","",VLOOKUP(Sat_W2[[#This Row],[Employee Name]],'Base Schedules'!$A:$Z,26,FALSE)),"")</calculatedColumnFormula>
    </tableColumn>
    <tableColumn id="28" name="1400" dataDxfId="940">
      <calculatedColumnFormula>IFERROR(IF(VLOOKUP(Sat_W2[[#This Row],[Employee Name]],'Base Schedules'!$A:$AA,27,FALSE)="","",VLOOKUP(Sat_W2[[#This Row],[Employee Name]],'Base Schedules'!$A:$AA,27,FALSE)),"")</calculatedColumnFormula>
    </tableColumn>
    <tableColumn id="29" name="1430" dataDxfId="939">
      <calculatedColumnFormula>IFERROR(IF(VLOOKUP(Sat_W2[[#This Row],[Employee Name]],'Base Schedules'!$A:$AB,28,FALSE)="","",VLOOKUP(Sat_W2[[#This Row],[Employee Name]],'Base Schedules'!$A:$AB,28,FALSE)),"")</calculatedColumnFormula>
    </tableColumn>
    <tableColumn id="30" name="1500" dataDxfId="938">
      <calculatedColumnFormula>IFERROR(IF(VLOOKUP(Sat_W2[[#This Row],[Employee Name]],'Base Schedules'!$A:$AC,29,FALSE)="","",VLOOKUP(Sat_W2[[#This Row],[Employee Name]],'Base Schedules'!$A:$AC,29,FALSE)),"")</calculatedColumnFormula>
    </tableColumn>
    <tableColumn id="31" name="1530" dataDxfId="937">
      <calculatedColumnFormula>IFERROR(IF(VLOOKUP(Sat_W2[[#This Row],[Employee Name]],'Base Schedules'!$A:$AD,30,FALSE)="","",VLOOKUP(Sat_W2[[#This Row],[Employee Name]],'Base Schedules'!$A:$AD,30,FALSE)),"")</calculatedColumnFormula>
    </tableColumn>
    <tableColumn id="32" name="1600" dataDxfId="936">
      <calculatedColumnFormula>IFERROR(IF(VLOOKUP(Sat_W2[[#This Row],[Employee Name]],'Base Schedules'!$A:$AE,31,FALSE)="","",VLOOKUP(Sat_W2[[#This Row],[Employee Name]],'Base Schedules'!$A:$AE,31,FALSE)),"")</calculatedColumnFormula>
    </tableColumn>
    <tableColumn id="33" name="1630" dataDxfId="935">
      <calculatedColumnFormula>IFERROR(IF(VLOOKUP(Sat_W2[[#This Row],[Employee Name]],'Base Schedules'!$A:$AF,32,FALSE)="","",VLOOKUP(Sat_W2[[#This Row],[Employee Name]],'Base Schedules'!$A:$AF,32,FALSE)),"")</calculatedColumnFormula>
    </tableColumn>
    <tableColumn id="34" name="1700" dataDxfId="934">
      <calculatedColumnFormula>IFERROR(IF(VLOOKUP(Sat_W2[[#This Row],[Employee Name]],'Base Schedules'!$A:$AG,33,FALSE)="","",VLOOKUP(Sat_W2[[#This Row],[Employee Name]],'Base Schedules'!$A:$AG,33,FALSE)),"")</calculatedColumnFormula>
    </tableColumn>
    <tableColumn id="35" name="1730" dataDxfId="933">
      <calculatedColumnFormula>IFERROR(IF(VLOOKUP(Sat_W2[[#This Row],[Employee Name]],'Base Schedules'!$A:$AH,34,FALSE)="","",VLOOKUP(Sat_W2[[#This Row],[Employee Name]],'Base Schedules'!$A:$AH,34,FALSE)),"")</calculatedColumnFormula>
    </tableColumn>
    <tableColumn id="36" name="1800" dataDxfId="932">
      <calculatedColumnFormula>IFERROR(IF(VLOOKUP(Sat_W2[[#This Row],[Employee Name]],'Base Schedules'!$A:$AI,35,FALSE)="","",VLOOKUP(Sat_W2[[#This Row],[Employee Name]],'Base Schedules'!$A:$AI,35,FALSE)),"")</calculatedColumnFormula>
    </tableColumn>
    <tableColumn id="37" name="1830" dataDxfId="931">
      <calculatedColumnFormula>IFERROR(IF(VLOOKUP(Sat_W2[[#This Row],[Employee Name]],'Base Schedules'!$A:$AJ,36,FALSE)="","",VLOOKUP(Sat_W2[[#This Row],[Employee Name]],'Base Schedules'!$A:$AJ,36,FALSE)),"")</calculatedColumnFormula>
    </tableColumn>
    <tableColumn id="38" name="1900" dataDxfId="930">
      <calculatedColumnFormula>IFERROR(IF(VLOOKUP(Sat_W2[[#This Row],[Employee Name]],'Base Schedules'!$A:$AK,37,FALSE)="","",VLOOKUP(Sat_W2[[#This Row],[Employee Name]],'Base Schedules'!$A:$AK,37,FALSE)),"")</calculatedColumnFormula>
    </tableColumn>
    <tableColumn id="39" name="1930" dataDxfId="929">
      <calculatedColumnFormula>IFERROR(IF(VLOOKUP(Sat_W2[[#This Row],[Employee Name]],'Base Schedules'!$A:$AL,38,FALSE)="","",VLOOKUP(Sat_W2[[#This Row],[Employee Name]],'Base Schedules'!$A:$AL,38,FALSE)),"")</calculatedColumnFormula>
    </tableColumn>
    <tableColumn id="40" name="2000" dataDxfId="928">
      <calculatedColumnFormula>IFERROR(IF(VLOOKUP(Sat_W2[[#This Row],[Employee Name]],'Base Schedules'!$A:$AM,39,FALSE)="","",VLOOKUP(Sat_W2[[#This Row],[Employee Name]],'Base Schedules'!$A:$AM,39,FALSE)),"")</calculatedColumnFormula>
    </tableColumn>
    <tableColumn id="41" name="2030" dataDxfId="927">
      <calculatedColumnFormula>IFERROR(IF(VLOOKUP(Sat_W2[[#This Row],[Employee Name]],'Base Schedules'!$A:$AN,40,FALSE)="","",VLOOKUP(Sat_W2[[#This Row],[Employee Name]],'Base Schedules'!$A:$AN,40,FALSE)),"")</calculatedColumnFormula>
    </tableColumn>
    <tableColumn id="42" name="2100" dataDxfId="926">
      <calculatedColumnFormula>IFERROR(IF(VLOOKUP(Sat_W2[[#This Row],[Employee Name]],'Base Schedules'!$A:$AO,41,FALSE)="","",VLOOKUP(Sat_W2[[#This Row],[Employee Name]],'Base Schedules'!$A:$AO,41,FALSE)),"")</calculatedColumnFormula>
    </tableColumn>
    <tableColumn id="43" name="2130" dataDxfId="925">
      <calculatedColumnFormula>IFERROR(IF(VLOOKUP(Sat_W2[[#This Row],[Employee Name]],'Base Schedules'!$A:$AP,42,FALSE)="","",VLOOKUP(Sat_W2[[#This Row],[Employee Name]],'Base Schedules'!$A:$AP,42,FALSE)),"")</calculatedColumnFormula>
    </tableColumn>
    <tableColumn id="44" name="2200" dataDxfId="924">
      <calculatedColumnFormula>IFERROR(IF(VLOOKUP(Sat_W2[[#This Row],[Employee Name]],'Base Schedules'!$A:$AQ,43,FALSE)="","",VLOOKUP(Sat_W2[[#This Row],[Employee Name]],'Base Schedules'!$A:$AQ,43,FALSE)),"")</calculatedColumnFormula>
    </tableColumn>
    <tableColumn id="45" name="2230" dataDxfId="923">
      <calculatedColumnFormula>IFERROR(IF(VLOOKUP(Sat_W2[[#This Row],[Employee Name]],'Base Schedules'!$A:$AR,44,FALSE)="","",VLOOKUP(Sat_W2[[#This Row],[Employee Name]],'Base Schedules'!$A:$AR,44,FALSE)),"")</calculatedColumnFormula>
    </tableColumn>
    <tableColumn id="46" name="2300" dataDxfId="922">
      <calculatedColumnFormula>IFERROR(IF(VLOOKUP(Sat_W2[[#This Row],[Employee Name]],'Base Schedules'!$A:$AS,45,FALSE)="","",VLOOKUP(Sat_W2[[#This Row],[Employee Name]],'Base Schedules'!$A:$AS,45,FALSE)),"")</calculatedColumnFormula>
    </tableColumn>
    <tableColumn id="47" name="2330" dataDxfId="921">
      <calculatedColumnFormula>IFERROR(IF(VLOOKUP(Sat_W2[[#This Row],[Employee Name]],'Base Schedules'!$A:$AT,46,FALSE)="","",VLOOKUP(Sat_W2[[#This Row],[Employee Name]],'Base Schedules'!$A:$AT,46,FALSE)),"")</calculatedColumnFormula>
    </tableColumn>
    <tableColumn id="48" name="0000" dataDxfId="920">
      <calculatedColumnFormula>IFERROR(IF(VLOOKUP(Sat_W2[[#This Row],[Employee Name]],'Base Schedules'!$A:$AU,47,FALSE)="","",VLOOKUP(Sat_W2[[#This Row],[Employee Name]],'Base Schedules'!$A:$AU,47,FALSE)),"")</calculatedColumnFormula>
    </tableColumn>
    <tableColumn id="9" name="0030" dataDxfId="919">
      <calculatedColumnFormula>IFERROR(IF(VLOOKUP(Sat_W2[[#This Row],[Employee Name]],'Base Schedules'!$A:$AV,48,FALSE)="","",VLOOKUP(Sat_W2[[#This Row],[Employee Name]],'Base Schedules'!$A:$AV,48,FALSE)),"")</calculatedColumnFormula>
    </tableColumn>
    <tableColumn id="50" name="0100" dataDxfId="918">
      <calculatedColumnFormula>IFERROR(IF(VLOOKUP(Wed_W1[[#This Row],[Employee Name]],'Base Schedules'!$A$205:$AW$241,49,FALSE)="","",VLOOKUP(Wed_W1[[#This Row],[Employee Name]],'Base Schedules'!$A$205:$AW$241,49,FALSE)),"")</calculatedColumnFormula>
    </tableColumn>
    <tableColumn id="49" name="Employee Name " dataDxfId="917">
      <calculatedColumnFormula>IF(B9="","",B9)</calculatedColumnFormula>
    </tableColumn>
  </tableColumns>
  <tableStyleInfo name="TableStyleLight9 2" showFirstColumn="0" showLastColumn="0" showRowStripes="1" showColumnStripes="0"/>
</table>
</file>

<file path=xl/tables/table45.xml><?xml version="1.0" encoding="utf-8"?>
<table xmlns="http://schemas.openxmlformats.org/spreadsheetml/2006/main" id="20" name="Thu_W2" displayName="Thu_W2" ref="B8:AY46" totalsRowShown="0" headerRowDxfId="916" dataDxfId="914" headerRowBorderDxfId="915" tableBorderDxfId="913" headerRowCellStyle="Normal 5">
  <autoFilter ref="B8:AY46">
    <filterColumn colId="0">
      <customFilters>
        <customFilter operator="notEqual" val=" "/>
      </customFilters>
    </filterColumn>
  </autoFilter>
  <sortState ref="B9:AY46">
    <sortCondition ref="D8:D46"/>
  </sortState>
  <tableColumns count="50">
    <tableColumn id="1" name="Employee Name" dataDxfId="912"/>
    <tableColumn id="2" name="Dept" dataDxfId="911"/>
    <tableColumn id="3" name="Shift Start" dataDxfId="910">
      <calculatedColumnFormula>_xlfn.IFNA(VLOOKUP(Sat_W2[[#This Row],[Employee Name]],'Base Schedules'!A:C,3,FALSE),"")</calculatedColumnFormula>
    </tableColumn>
    <tableColumn id="4" name="Shift Stop" dataDxfId="909">
      <calculatedColumnFormula>_xlfn.IFNA(VLOOKUP(Sat_W2[[#This Row],[Employee Name]],'Base Schedules'!A:D,4,FALSE),"")</calculatedColumnFormula>
    </tableColumn>
    <tableColumn id="5" name="Help Line" dataDxfId="908">
      <calculatedColumnFormula>IF(Thu_W2[[#This Row],[Employee Name]]="","",IF(Thu_W2[[#This Row],[Dept]]="Supervisor",COUNTIFS($J9:$AU9,"*HL*",$J9:$AU9,"&lt;&gt;"&amp;"pHL"),COUNTIFS($J9:$AU9,"*HL*",$J9:$AU9,"&lt;&gt;"&amp;"*pHL*",$J9:$AU9,"&lt;&gt;"&amp;"pB1 HL",$J9:$AU9,"&lt;&gt;"&amp;"pB2 HL")-SUM(COUNTIFS($J9:$AU9,"*HL B1*",$J9:$AU9,"&lt;&gt;"&amp;"pHL B1")*0.5,COUNTIFS($J9:$AU9,"*HL B2*",$J9:$AU9,"&lt;&gt;"&amp;"pHL B2")*0.5,COUNTIFS($J9:$AU9,"*B1 HL*",$J9:$AU9,"&lt;&gt;"&amp;"pB1 HL")*0.5,COUNTIFS($J9:$AU9,"*B2 HL*",$J9:$AU9,"&lt;&gt;"&amp;"pB2 HL")*0.5)))</calculatedColumnFormula>
    </tableColumn>
    <tableColumn id="6" name="Coaching" dataDxfId="907">
      <calculatedColumnFormula>IF(B9="","",COUNTIFS($J9:$AU9,"*TM*",$J9:$AU9,"&lt;&gt;"&amp;"pTM",$J9:$AU9,"&lt;&gt;"&amp;"uTM"))</calculatedColumnFormula>
    </tableColumn>
    <tableColumn id="7" name="Admin" dataDxfId="906">
      <calculatedColumnFormula>IF(B9="","",COUNTIFS($J9:$AU9,"*ADM*",$J9:$AU9,"&lt;&gt;"&amp;"pADM",$J9:$AU9,"&lt;&gt;"&amp;"uADM"))</calculatedColumnFormula>
    </tableColumn>
    <tableColumn id="8" name="RTA" dataDxfId="905">
      <calculatedColumnFormula>IF(Thu_W2[[#This Row],[Employee Name]]="","",IF(Thu_W2[[#This Row],[Dept]]="Supervisor",SUM(COUNTIFS($J9:$AU9,"RTA*",$J9:$AU9,"&lt;&gt;"&amp;"pRTA"),COUNTIFS($J9:$AU9,"*CRTA*",$J9:$AU9,"&lt;&gt;"&amp;"pCRTA")),COUNTIFS($J9:$AU9,"*RNNR*",$J9:$AU9,"&lt;&gt;"&amp;"*pRNNR*",$J9:$AU9,"&lt;&gt;"&amp;"pB1 RNNR",$J9:$AU9,"&lt;&gt;"&amp;"pB2 RNNR")-SUM(COUNTIFS($J9:$AU9,"*RNNR B1*",$J9:$AU9,"&lt;&gt;"&amp;"pRNNR B1")*0.5,COUNTIFS($J9:$AU9,"*RNNR B2*",$J9:$AU9,"&lt;&gt;"&amp;"pRNNR B2")*0.5,COUNTIFS($J9:$AU9,"*B1 RNNR*",$J9:$AU9,"&lt;&gt;"&amp;"pB1 RNNR")*0.5,COUNTIFS($J9:$AU9,"*B2 RNNR*",$J9:$AU9,"&lt;&gt;"&amp;"pB2 RNNR")*0.5)))</calculatedColumnFormula>
    </tableColumn>
    <tableColumn id="10" name="0500" dataDxfId="904">
      <calculatedColumnFormula>IFERROR(IF(VLOOKUP(Sat_W2[[#This Row],[Employee Name]],'Base Schedules'!$A:$I,9,FALSE)="","",VLOOKUP(Sat_W2[[#This Row],[Employee Name]],'Base Schedules'!$A:$I,9,FALSE)),"")</calculatedColumnFormula>
    </tableColumn>
    <tableColumn id="11" name="0530" dataDxfId="903">
      <calculatedColumnFormula>IFERROR(IF(VLOOKUP(Sat_W2[[#This Row],[Employee Name]],'Base Schedules'!$A:$J,10,FALSE)="","",VLOOKUP(Sat_W2[[#This Row],[Employee Name]],'Base Schedules'!$A:$J,10,FALSE)),"")</calculatedColumnFormula>
    </tableColumn>
    <tableColumn id="12" name="0600" dataDxfId="902">
      <calculatedColumnFormula>IFERROR(IF(VLOOKUP(Sat_W2[[#This Row],[Employee Name]],'Base Schedules'!$A:$K,11,FALSE)="","",VLOOKUP(Sat_W2[[#This Row],[Employee Name]],'Base Schedules'!$A:$K,11,FALSE)),"")</calculatedColumnFormula>
    </tableColumn>
    <tableColumn id="13" name="0630" dataDxfId="901">
      <calculatedColumnFormula>IFERROR(IF(VLOOKUP(Sat_W2[[#This Row],[Employee Name]],'Base Schedules'!$A:$L,12,FALSE)="","",VLOOKUP(Sat_W2[[#This Row],[Employee Name]],'Base Schedules'!$A:$L,12,FALSE)),"")</calculatedColumnFormula>
    </tableColumn>
    <tableColumn id="14" name="0700" dataDxfId="900">
      <calculatedColumnFormula>IFERROR(IF(VLOOKUP(Sat_W2[[#This Row],[Employee Name]],'Base Schedules'!$A:$M,13,FALSE)="","",VLOOKUP(Sat_W2[[#This Row],[Employee Name]],'Base Schedules'!$A:$M,13,FALSE)),"")</calculatedColumnFormula>
    </tableColumn>
    <tableColumn id="15" name="0730" dataDxfId="899">
      <calculatedColumnFormula>IFERROR(IF(VLOOKUP(Sat_W2[[#This Row],[Employee Name]],'Base Schedules'!$A:$N,14,FALSE)="","",VLOOKUP(Sat_W2[[#This Row],[Employee Name]],'Base Schedules'!$A:$N,14,FALSE)),"")</calculatedColumnFormula>
    </tableColumn>
    <tableColumn id="16" name="0800" dataDxfId="898">
      <calculatedColumnFormula>IFERROR(IF(VLOOKUP(Sat_W2[[#This Row],[Employee Name]],'Base Schedules'!$A:$O,15,FALSE)="","",VLOOKUP(Sat_W2[[#This Row],[Employee Name]],'Base Schedules'!$A:$O,15,FALSE)),"")</calculatedColumnFormula>
    </tableColumn>
    <tableColumn id="17" name="0830" dataDxfId="897">
      <calculatedColumnFormula>IFERROR(IF(VLOOKUP(Sat_W2[[#This Row],[Employee Name]],'Base Schedules'!$A:$P,16,FALSE)="","",VLOOKUP(Sat_W2[[#This Row],[Employee Name]],'Base Schedules'!$A:$P,16,FALSE)),"")</calculatedColumnFormula>
    </tableColumn>
    <tableColumn id="18" name="0900" dataDxfId="896">
      <calculatedColumnFormula>IFERROR(IF(VLOOKUP(Sat_W2[[#This Row],[Employee Name]],'Base Schedules'!$A:$Q,17,FALSE)="","",VLOOKUP(Sat_W2[[#This Row],[Employee Name]],'Base Schedules'!$A:$Q,17,FALSE)),"")</calculatedColumnFormula>
    </tableColumn>
    <tableColumn id="19" name="0930" dataDxfId="895">
      <calculatedColumnFormula>IFERROR(IF(VLOOKUP(Sat_W2[[#This Row],[Employee Name]],'Base Schedules'!$A:$R,18,FALSE)="","",VLOOKUP(Sat_W2[[#This Row],[Employee Name]],'Base Schedules'!$A:$R,18,FALSE)),"")</calculatedColumnFormula>
    </tableColumn>
    <tableColumn id="20" name="1000" dataDxfId="894">
      <calculatedColumnFormula>IFERROR(IF(VLOOKUP(Sat_W2[[#This Row],[Employee Name]],'Base Schedules'!$A:$S,19,FALSE)="","",VLOOKUP(Sat_W2[[#This Row],[Employee Name]],'Base Schedules'!$A:$S,19,FALSE)),"")</calculatedColumnFormula>
    </tableColumn>
    <tableColumn id="21" name="1030" dataDxfId="893">
      <calculatedColumnFormula>IFERROR(IF(VLOOKUP(Sat_W2[[#This Row],[Employee Name]],'Base Schedules'!$A:$T,20,FALSE)="","",VLOOKUP(Sat_W2[[#This Row],[Employee Name]],'Base Schedules'!$A:$T,20,FALSE)),"")</calculatedColumnFormula>
    </tableColumn>
    <tableColumn id="22" name="1100" dataDxfId="892">
      <calculatedColumnFormula>IFERROR(IF(VLOOKUP(Sat_W2[[#This Row],[Employee Name]],'Base Schedules'!$A:$U,21,FALSE)="","",VLOOKUP(Sat_W2[[#This Row],[Employee Name]],'Base Schedules'!$A:$U,21,FALSE)),"")</calculatedColumnFormula>
    </tableColumn>
    <tableColumn id="23" name="1130" dataDxfId="891">
      <calculatedColumnFormula>IFERROR(IF(VLOOKUP(Sat_W2[[#This Row],[Employee Name]],'Base Schedules'!$A:$V,22,FALSE)="","",VLOOKUP(Sat_W2[[#This Row],[Employee Name]],'Base Schedules'!$A:$V,22,FALSE)),"")</calculatedColumnFormula>
    </tableColumn>
    <tableColumn id="24" name="1200" dataDxfId="890">
      <calculatedColumnFormula>IFERROR(IF(VLOOKUP(Sat_W2[[#This Row],[Employee Name]],'Base Schedules'!$A:$W,23,FALSE)="","",VLOOKUP(Sat_W2[[#This Row],[Employee Name]],'Base Schedules'!$A:$W,23,FALSE)),"")</calculatedColumnFormula>
    </tableColumn>
    <tableColumn id="25" name="1230" dataDxfId="889">
      <calculatedColumnFormula>IFERROR(IF(VLOOKUP(Sat_W2[[#This Row],[Employee Name]],'Base Schedules'!$A:$X,24,FALSE)="","",VLOOKUP(Sat_W2[[#This Row],[Employee Name]],'Base Schedules'!$A:$X,24,FALSE)),"")</calculatedColumnFormula>
    </tableColumn>
    <tableColumn id="26" name="1300" dataDxfId="888">
      <calculatedColumnFormula>IFERROR(IF(VLOOKUP(Sat_W2[[#This Row],[Employee Name]],'Base Schedules'!$A:$Y,25,FALSE)="","",VLOOKUP(Sat_W2[[#This Row],[Employee Name]],'Base Schedules'!$A:$Y,25,FALSE)),"")</calculatedColumnFormula>
    </tableColumn>
    <tableColumn id="27" name="1330" dataDxfId="887">
      <calculatedColumnFormula>IFERROR(IF(VLOOKUP(Sat_W2[[#This Row],[Employee Name]],'Base Schedules'!$A:$Z,26,FALSE)="","",VLOOKUP(Sat_W2[[#This Row],[Employee Name]],'Base Schedules'!$A:$Z,26,FALSE)),"")</calculatedColumnFormula>
    </tableColumn>
    <tableColumn id="28" name="1400" dataDxfId="886">
      <calculatedColumnFormula>IFERROR(IF(VLOOKUP(Sat_W2[[#This Row],[Employee Name]],'Base Schedules'!$A:$AA,27,FALSE)="","",VLOOKUP(Sat_W2[[#This Row],[Employee Name]],'Base Schedules'!$A:$AA,27,FALSE)),"")</calculatedColumnFormula>
    </tableColumn>
    <tableColumn id="29" name="1430" dataDxfId="885">
      <calculatedColumnFormula>IFERROR(IF(VLOOKUP(Sat_W2[[#This Row],[Employee Name]],'Base Schedules'!$A:$AB,28,FALSE)="","",VLOOKUP(Sat_W2[[#This Row],[Employee Name]],'Base Schedules'!$A:$AB,28,FALSE)),"")</calculatedColumnFormula>
    </tableColumn>
    <tableColumn id="30" name="1500" dataDxfId="884">
      <calculatedColumnFormula>IFERROR(IF(VLOOKUP(Sat_W2[[#This Row],[Employee Name]],'Base Schedules'!$A:$AC,29,FALSE)="","",VLOOKUP(Sat_W2[[#This Row],[Employee Name]],'Base Schedules'!$A:$AC,29,FALSE)),"")</calculatedColumnFormula>
    </tableColumn>
    <tableColumn id="31" name="1530" dataDxfId="883">
      <calculatedColumnFormula>IFERROR(IF(VLOOKUP(Sat_W2[[#This Row],[Employee Name]],'Base Schedules'!$A:$AD,30,FALSE)="","",VLOOKUP(Sat_W2[[#This Row],[Employee Name]],'Base Schedules'!$A:$AD,30,FALSE)),"")</calculatedColumnFormula>
    </tableColumn>
    <tableColumn id="32" name="1600" dataDxfId="882">
      <calculatedColumnFormula>IFERROR(IF(VLOOKUP(Sat_W2[[#This Row],[Employee Name]],'Base Schedules'!$A:$AE,31,FALSE)="","",VLOOKUP(Sat_W2[[#This Row],[Employee Name]],'Base Schedules'!$A:$AE,31,FALSE)),"")</calculatedColumnFormula>
    </tableColumn>
    <tableColumn id="33" name="1630" dataDxfId="881">
      <calculatedColumnFormula>IFERROR(IF(VLOOKUP(Sat_W2[[#This Row],[Employee Name]],'Base Schedules'!$A:$AF,32,FALSE)="","",VLOOKUP(Sat_W2[[#This Row],[Employee Name]],'Base Schedules'!$A:$AF,32,FALSE)),"")</calculatedColumnFormula>
    </tableColumn>
    <tableColumn id="34" name="1700" dataDxfId="880">
      <calculatedColumnFormula>IFERROR(IF(VLOOKUP(Sat_W2[[#This Row],[Employee Name]],'Base Schedules'!$A:$AG,33,FALSE)="","",VLOOKUP(Sat_W2[[#This Row],[Employee Name]],'Base Schedules'!$A:$AG,33,FALSE)),"")</calculatedColumnFormula>
    </tableColumn>
    <tableColumn id="35" name="1730" dataDxfId="879">
      <calculatedColumnFormula>IFERROR(IF(VLOOKUP(Sat_W2[[#This Row],[Employee Name]],'Base Schedules'!$A:$AH,34,FALSE)="","",VLOOKUP(Sat_W2[[#This Row],[Employee Name]],'Base Schedules'!$A:$AH,34,FALSE)),"")</calculatedColumnFormula>
    </tableColumn>
    <tableColumn id="36" name="1800" dataDxfId="878">
      <calculatedColumnFormula>IFERROR(IF(VLOOKUP(Sat_W2[[#This Row],[Employee Name]],'Base Schedules'!$A:$AI,35,FALSE)="","",VLOOKUP(Sat_W2[[#This Row],[Employee Name]],'Base Schedules'!$A:$AI,35,FALSE)),"")</calculatedColumnFormula>
    </tableColumn>
    <tableColumn id="37" name="1830" dataDxfId="877">
      <calculatedColumnFormula>IFERROR(IF(VLOOKUP(Sat_W2[[#This Row],[Employee Name]],'Base Schedules'!$A:$AJ,36,FALSE)="","",VLOOKUP(Sat_W2[[#This Row],[Employee Name]],'Base Schedules'!$A:$AJ,36,FALSE)),"")</calculatedColumnFormula>
    </tableColumn>
    <tableColumn id="38" name="1900" dataDxfId="876">
      <calculatedColumnFormula>IFERROR(IF(VLOOKUP(Sat_W2[[#This Row],[Employee Name]],'Base Schedules'!$A:$AK,37,FALSE)="","",VLOOKUP(Sat_W2[[#This Row],[Employee Name]],'Base Schedules'!$A:$AK,37,FALSE)),"")</calculatedColumnFormula>
    </tableColumn>
    <tableColumn id="39" name="1930" dataDxfId="875">
      <calculatedColumnFormula>IFERROR(IF(VLOOKUP(Sat_W2[[#This Row],[Employee Name]],'Base Schedules'!$A:$AL,38,FALSE)="","",VLOOKUP(Sat_W2[[#This Row],[Employee Name]],'Base Schedules'!$A:$AL,38,FALSE)),"")</calculatedColumnFormula>
    </tableColumn>
    <tableColumn id="40" name="2000" dataDxfId="874">
      <calculatedColumnFormula>IFERROR(IF(VLOOKUP(Sat_W2[[#This Row],[Employee Name]],'Base Schedules'!$A:$AM,39,FALSE)="","",VLOOKUP(Sat_W2[[#This Row],[Employee Name]],'Base Schedules'!$A:$AM,39,FALSE)),"")</calculatedColumnFormula>
    </tableColumn>
    <tableColumn id="41" name="2030" dataDxfId="873">
      <calculatedColumnFormula>IFERROR(IF(VLOOKUP(Sat_W2[[#This Row],[Employee Name]],'Base Schedules'!$A:$AN,40,FALSE)="","",VLOOKUP(Sat_W2[[#This Row],[Employee Name]],'Base Schedules'!$A:$AN,40,FALSE)),"")</calculatedColumnFormula>
    </tableColumn>
    <tableColumn id="42" name="2100" dataDxfId="872">
      <calculatedColumnFormula>IFERROR(IF(VLOOKUP(Sat_W2[[#This Row],[Employee Name]],'Base Schedules'!$A:$AO,41,FALSE)="","",VLOOKUP(Sat_W2[[#This Row],[Employee Name]],'Base Schedules'!$A:$AO,41,FALSE)),"")</calculatedColumnFormula>
    </tableColumn>
    <tableColumn id="43" name="2130" dataDxfId="871">
      <calculatedColumnFormula>IFERROR(IF(VLOOKUP(Sat_W2[[#This Row],[Employee Name]],'Base Schedules'!$A:$AP,42,FALSE)="","",VLOOKUP(Sat_W2[[#This Row],[Employee Name]],'Base Schedules'!$A:$AP,42,FALSE)),"")</calculatedColumnFormula>
    </tableColumn>
    <tableColumn id="44" name="2200" dataDxfId="870">
      <calculatedColumnFormula>IFERROR(IF(VLOOKUP(Sat_W2[[#This Row],[Employee Name]],'Base Schedules'!$A:$AQ,43,FALSE)="","",VLOOKUP(Sat_W2[[#This Row],[Employee Name]],'Base Schedules'!$A:$AQ,43,FALSE)),"")</calculatedColumnFormula>
    </tableColumn>
    <tableColumn id="45" name="2230" dataDxfId="869">
      <calculatedColumnFormula>IFERROR(IF(VLOOKUP(Sat_W2[[#This Row],[Employee Name]],'Base Schedules'!$A:$AR,44,FALSE)="","",VLOOKUP(Sat_W2[[#This Row],[Employee Name]],'Base Schedules'!$A:$AR,44,FALSE)),"")</calculatedColumnFormula>
    </tableColumn>
    <tableColumn id="46" name="2300" dataDxfId="868">
      <calculatedColumnFormula>IFERROR(IF(VLOOKUP(Sat_W2[[#This Row],[Employee Name]],'Base Schedules'!$A:$AS,45,FALSE)="","",VLOOKUP(Sat_W2[[#This Row],[Employee Name]],'Base Schedules'!$A:$AS,45,FALSE)),"")</calculatedColumnFormula>
    </tableColumn>
    <tableColumn id="47" name="2330" dataDxfId="867">
      <calculatedColumnFormula>IFERROR(IF(VLOOKUP(Sat_W2[[#This Row],[Employee Name]],'Base Schedules'!$A:$AT,46,FALSE)="","",VLOOKUP(Sat_W2[[#This Row],[Employee Name]],'Base Schedules'!$A:$AT,46,FALSE)),"")</calculatedColumnFormula>
    </tableColumn>
    <tableColumn id="48" name="0000" dataDxfId="866">
      <calculatedColumnFormula>IFERROR(IF(VLOOKUP(Sat_W2[[#This Row],[Employee Name]],'Base Schedules'!$A:$AU,47,FALSE)="","",VLOOKUP(Sat_W2[[#This Row],[Employee Name]],'Base Schedules'!$A:$AU,47,FALSE)),"")</calculatedColumnFormula>
    </tableColumn>
    <tableColumn id="9" name="0030" dataDxfId="865">
      <calculatedColumnFormula>IFERROR(IF(VLOOKUP(Sat_W2[[#This Row],[Employee Name]],'Base Schedules'!$A:$AV,48,FALSE)="","",VLOOKUP(Sat_W2[[#This Row],[Employee Name]],'Base Schedules'!$A:$AV,48,FALSE)),"")</calculatedColumnFormula>
    </tableColumn>
    <tableColumn id="50" name="0100" dataDxfId="864"/>
    <tableColumn id="49" name="Employee Name " dataDxfId="863">
      <calculatedColumnFormula>IF(B9="","",B9)</calculatedColumnFormula>
    </tableColumn>
  </tableColumns>
  <tableStyleInfo name="TableStyleLight9 2" showFirstColumn="0" showLastColumn="0" showRowStripes="1" showColumnStripes="0"/>
</table>
</file>

<file path=xl/tables/table46.xml><?xml version="1.0" encoding="utf-8"?>
<table xmlns="http://schemas.openxmlformats.org/spreadsheetml/2006/main" id="1" name="TeamList" displayName="TeamList" ref="B4:Q64" totalsRowShown="0">
  <autoFilter ref="B4:Q64"/>
  <sortState ref="B5:Q63">
    <sortCondition ref="P4:P63"/>
  </sortState>
  <tableColumns count="16">
    <tableColumn id="1" name="ESS ID"/>
    <tableColumn id="2" name="Avaya ID"/>
    <tableColumn id="3" name="Employee Name"/>
    <tableColumn id="4" name="DOH" dataDxfId="862"/>
    <tableColumn id="5" name="Sales ID" dataDxfId="861"/>
    <tableColumn id="6" name="Dept"/>
    <tableColumn id="7" name="Sun"/>
    <tableColumn id="8" name="Mon"/>
    <tableColumn id="9" name="Tue"/>
    <tableColumn id="10" name="Wed"/>
    <tableColumn id="11" name="Thu"/>
    <tableColumn id="12" name="Fri"/>
    <tableColumn id="13" name="Sat"/>
    <tableColumn id="14" name="Supervisor"/>
    <tableColumn id="15" name="Manager"/>
    <tableColumn id="16" name="Schedules Count">
      <calculatedColumnFormula>COUNTIFS(#REF!,TeamList[[#This Row],[Employee Name]])</calculatedColumnFormula>
    </tableColumn>
  </tableColumns>
  <tableStyleInfo name="TableStyleLight9" showFirstColumn="0" showLastColumn="0" showRowStripes="1" showColumnStripes="0"/>
</table>
</file>

<file path=xl/tables/table47.xml><?xml version="1.0" encoding="utf-8"?>
<table xmlns="http://schemas.openxmlformats.org/spreadsheetml/2006/main" id="3" name="Schedules" displayName="Schedules" ref="S4:Z466" totalsRowShown="0" headerRowDxfId="860" dataDxfId="859">
  <autoFilter ref="S4:Z466"/>
  <sortState ref="S5:Z466">
    <sortCondition descending="1" ref="T4:T466"/>
  </sortState>
  <tableColumns count="8">
    <tableColumn id="1" name="EE ID" dataDxfId="858"/>
    <tableColumn id="3" name="Column1" dataDxfId="857">
      <calculatedColumnFormula>Schedules[[#This Row],[Employee Name]]&amp;Schedules[[#This Row],[DOW]]</calculatedColumnFormula>
    </tableColumn>
    <tableColumn id="24" name="Employee Name" dataDxfId="856">
      <calculatedColumnFormula>IFERROR(VLOOKUP(Schedules[[#This Row],[EE ID]],TeamList[],MATCH(Schedules[[#Headers],[Employee Name]],TeamList[#Headers],0),0),"_NO MATCH")</calculatedColumnFormula>
    </tableColumn>
    <tableColumn id="2" name="Dept" dataDxfId="855">
      <calculatedColumnFormula>IFERROR(VLOOKUP(Schedules[[#This Row],[EE ID]],TeamList[],MATCH(Schedules[[#Headers],[Dept]],TeamList[#Headers],0),0),"_NO MATCH")</calculatedColumnFormula>
    </tableColumn>
    <tableColumn id="25" name="DOW" dataDxfId="854"/>
    <tableColumn id="27" name="Scheduled" dataDxfId="853">
      <calculatedColumnFormula>IFERROR(IF(VLOOKUP(Schedules[[#This Row],[EE ID]],TeamList[],MATCH(Schedules[[#This Row],[DOW]],TeamList[#Headers],0),0)="OFF","OFF","SCH"),"_NO MATCH")</calculatedColumnFormula>
    </tableColumn>
    <tableColumn id="26" name="Start" dataDxfId="852">
      <calculatedColumnFormula>IFERROR(IF(Schedules[[#This Row],[Scheduled]]="OFF","",LEFT(VLOOKUP(Schedules[[#This Row],[EE ID]],TeamList[],MATCH(Schedules[[#This Row],[DOW]],TeamList[#Headers],0),0),4)),"_NO MATCH")</calculatedColumnFormula>
    </tableColumn>
    <tableColumn id="28" name="Stop" dataDxfId="851">
      <calculatedColumnFormula>IFERROR(IF(Schedules[[#This Row],[Scheduled]]="OFF","",RIGHT(VLOOKUP(Schedules[[#This Row],[EE ID]],TeamList[],MATCH(Schedules[[#This Row],[DOW]],TeamList[#Headers],0),0),4)),"_NO MATCH")</calculatedColumnFormula>
    </tableColumn>
  </tableColumns>
  <tableStyleInfo name="TableStyleLight9" showFirstColumn="0" showLastColumn="0" showRowStripes="1" showColumnStripes="0"/>
</table>
</file>

<file path=xl/tables/table48.xml><?xml version="1.0" encoding="utf-8"?>
<table xmlns="http://schemas.openxmlformats.org/spreadsheetml/2006/main" id="4" name="Date_Ranges" displayName="Date_Ranges" ref="B1:E15" totalsRowShown="0" dataDxfId="850">
  <autoFilter ref="B1:E15"/>
  <tableColumns count="4">
    <tableColumn id="1" name="Code" dataDxfId="849"/>
    <tableColumn id="2" name="Date" dataDxfId="848">
      <calculatedColumnFormula>C1+1</calculatedColumnFormula>
    </tableColumn>
    <tableColumn id="3" name="DOW" dataDxfId="847">
      <calculatedColumnFormula>TEXT(Day_1,"DDDD")</calculatedColumnFormula>
    </tableColumn>
    <tableColumn id="4" name="Table" dataDxfId="846"/>
  </tableColumns>
  <tableStyleInfo name="TableStyleLight9" showFirstColumn="0" showLastColumn="0" showRowStripes="1" showColumnStripes="0"/>
</table>
</file>

<file path=xl/tables/table49.xml><?xml version="1.0" encoding="utf-8"?>
<table xmlns="http://schemas.openxmlformats.org/spreadsheetml/2006/main" id="6" name="MGR_Names" displayName="MGR_Names" ref="G1:G6" totalsRowShown="0">
  <autoFilter ref="G1:G6"/>
  <tableColumns count="1">
    <tableColumn id="1" name="Manager"/>
  </tableColumns>
  <tableStyleInfo name="TableStyleLight9" showFirstColumn="0" showLastColumn="0" showRowStripes="1" showColumnStripes="0"/>
</table>
</file>

<file path=xl/tables/table50.xml><?xml version="1.0" encoding="utf-8"?>
<table xmlns="http://schemas.openxmlformats.org/spreadsheetml/2006/main" id="52" name="Table52" displayName="Table52" ref="I1:I65" totalsRowShown="0" headerRowDxfId="845">
  <autoFilter ref="I1:I65"/>
  <sortState ref="I2:I72">
    <sortCondition ref="I1:I72"/>
  </sortState>
  <tableColumns count="1">
    <tableColumn id="1" name="Lead / Sup"/>
  </tableColumns>
  <tableStyleInfo name="TableStyleLight9" showFirstColumn="0" showLastColumn="0" showRowStripes="1" showColumnStripes="0"/>
</table>
</file>

<file path=xl/tables/table51.xml><?xml version="1.0" encoding="utf-8"?>
<table xmlns="http://schemas.openxmlformats.org/spreadsheetml/2006/main" id="21" name="Intervals" displayName="Intervals" ref="R1:R40" totalsRowShown="0" headerRowDxfId="844" dataDxfId="843">
  <autoFilter ref="R1:R40"/>
  <tableColumns count="1">
    <tableColumn id="1" name="Interval" dataDxfId="842"/>
  </tableColumns>
  <tableStyleInfo name="TableStyleLight9" showFirstColumn="0" showLastColumn="0" showRowStripes="1" showColumnStripes="0"/>
</table>
</file>

<file path=xl/tables/table52.xml><?xml version="1.0" encoding="utf-8"?>
<table xmlns="http://schemas.openxmlformats.org/spreadsheetml/2006/main" id="2" name="Table2" displayName="Table2" ref="B1:F31" totalsRowShown="0" headerRowDxfId="841" tableBorderDxfId="840">
  <autoFilter ref="B1:F31">
    <filterColumn colId="0">
      <customFilters>
        <customFilter operator="notEqual" val=" "/>
      </customFilters>
    </filterColumn>
  </autoFilter>
  <sortState ref="B2:F31">
    <sortCondition ref="D1:D31"/>
  </sortState>
  <tableColumns count="5">
    <tableColumn id="1" name="Lead Name" dataDxfId="839"/>
    <tableColumn id="2" name="Week 1 Pairing" dataDxfId="838"/>
    <tableColumn id="3" name="Time" dataDxfId="837"/>
    <tableColumn id="4" name="Sup Name" dataDxfId="836"/>
    <tableColumn id="5" name="Reason" dataDxfId="835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54" name="Table54" displayName="Table54" ref="H1:L31" totalsRowShown="0" headerRowDxfId="834" dataDxfId="833" tableBorderDxfId="832">
  <autoFilter ref="H1:L31"/>
  <sortState ref="H2:L24">
    <sortCondition ref="J1:J31"/>
  </sortState>
  <tableColumns count="5">
    <tableColumn id="1" name="Lead Name" dataDxfId="831"/>
    <tableColumn id="2" name="Week 2 Pairing" dataDxfId="830"/>
    <tableColumn id="3" name="Time" dataDxfId="829">
      <calculatedColumnFormula>IF(Table2[[#This Row],[Time]]="","",Table2[[#This Row],[Time]])</calculatedColumnFormula>
    </tableColumn>
    <tableColumn id="4" name="Sup Name2" dataDxfId="828"/>
    <tableColumn id="5" name="Reason" dataDxfId="8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harte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629B"/>
      </a:accent1>
      <a:accent2>
        <a:srgbClr val="009681"/>
      </a:accent2>
      <a:accent3>
        <a:srgbClr val="919194"/>
      </a:accent3>
      <a:accent4>
        <a:srgbClr val="500778"/>
      </a:accent4>
      <a:accent5>
        <a:srgbClr val="FFA300"/>
      </a:accent5>
      <a:accent6>
        <a:srgbClr val="910048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29" Type="http://schemas.openxmlformats.org/officeDocument/2006/relationships/table" Target="../tables/table28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31" Type="http://schemas.openxmlformats.org/officeDocument/2006/relationships/table" Target="../tables/table30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Relationship Id="rId30" Type="http://schemas.openxmlformats.org/officeDocument/2006/relationships/table" Target="../tables/table2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2.bin"/><Relationship Id="rId6" Type="http://schemas.openxmlformats.org/officeDocument/2006/relationships/table" Target="../tables/table51.xml"/><Relationship Id="rId5" Type="http://schemas.openxmlformats.org/officeDocument/2006/relationships/table" Target="../tables/table50.xml"/><Relationship Id="rId4" Type="http://schemas.openxmlformats.org/officeDocument/2006/relationships/table" Target="../tables/table4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3.xml"/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  <pageSetUpPr fitToPage="1"/>
  </sheetPr>
  <dimension ref="A1:XFC88"/>
  <sheetViews>
    <sheetView workbookViewId="0">
      <selection activeCell="B2" sqref="B2:P2"/>
    </sheetView>
  </sheetViews>
  <sheetFormatPr defaultColWidth="0" defaultRowHeight="15" zeroHeight="1" x14ac:dyDescent="0.25"/>
  <cols>
    <col min="1" max="1" width="1.7109375" customWidth="1"/>
    <col min="2" max="2" width="9.140625" customWidth="1"/>
    <col min="3" max="16" width="11.28515625" customWidth="1"/>
    <col min="17" max="17" width="1.7109375" customWidth="1"/>
    <col min="18" max="41" width="0" hidden="1" customWidth="1"/>
    <col min="42" max="16383" width="9.140625" hidden="1"/>
    <col min="16384" max="16384" width="2" customWidth="1"/>
  </cols>
  <sheetData>
    <row r="1" spans="1:16" ht="6" customHeight="1" x14ac:dyDescent="0.25"/>
    <row r="2" spans="1:16" ht="18.75" customHeight="1" x14ac:dyDescent="0.25">
      <c r="B2" s="465" t="s">
        <v>209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</row>
    <row r="3" spans="1:16" ht="6" customHeight="1" x14ac:dyDescent="0.25"/>
    <row r="4" spans="1:16" x14ac:dyDescent="0.25">
      <c r="B4" s="123" t="s">
        <v>208</v>
      </c>
      <c r="C4" s="462" t="s">
        <v>66</v>
      </c>
      <c r="D4" s="462"/>
      <c r="E4" s="462"/>
      <c r="H4" s="123" t="s">
        <v>207</v>
      </c>
      <c r="I4" s="463" t="str">
        <f>IFERROR(INDEX(TeamList[],MATCH($C$4,TeamList[[Employee Name]:[Employee Name]],0),MATCH("Manager",TeamList[#Headers],0)),"")</f>
        <v>Paulson, Matthew</v>
      </c>
      <c r="J4" s="463"/>
      <c r="K4" s="463"/>
      <c r="M4" s="464" t="s">
        <v>206</v>
      </c>
      <c r="N4" s="464"/>
      <c r="O4" s="128" t="str">
        <f ca="1">TEXT(INT((NOW()-TRUNC(NOW()))/0.0208333333333333)*0.0208333333333333,"hhmm")</f>
        <v>1500</v>
      </c>
    </row>
    <row r="5" spans="1:16" ht="6" customHeight="1" x14ac:dyDescent="0.25"/>
    <row r="6" spans="1:16" x14ac:dyDescent="0.25">
      <c r="C6" s="130">
        <f>Day_6</f>
        <v>43910</v>
      </c>
      <c r="D6" s="130">
        <f>Day_7</f>
        <v>43911</v>
      </c>
      <c r="E6" s="130">
        <f>Day_1</f>
        <v>43912</v>
      </c>
      <c r="F6" s="130">
        <f>Day_2</f>
        <v>43913</v>
      </c>
      <c r="G6" s="130">
        <f>Day_3</f>
        <v>43914</v>
      </c>
      <c r="H6" s="130">
        <f>Day_4</f>
        <v>43915</v>
      </c>
      <c r="I6" s="130">
        <f>Day_5</f>
        <v>43916</v>
      </c>
      <c r="J6" s="130">
        <f>Day_13</f>
        <v>43917</v>
      </c>
      <c r="K6" s="130">
        <f>Day_14</f>
        <v>43918</v>
      </c>
      <c r="L6" s="130">
        <f>Day_8</f>
        <v>43919</v>
      </c>
      <c r="M6" s="130">
        <f>Day_9</f>
        <v>43920</v>
      </c>
      <c r="N6" s="130">
        <f>Day_10</f>
        <v>43921</v>
      </c>
      <c r="O6" s="130">
        <f>Day_11</f>
        <v>43922</v>
      </c>
      <c r="P6" s="130">
        <f>Day_12</f>
        <v>43923</v>
      </c>
    </row>
    <row r="7" spans="1:16" x14ac:dyDescent="0.25">
      <c r="B7" s="119" t="s">
        <v>187</v>
      </c>
      <c r="C7" s="120" t="s">
        <v>11</v>
      </c>
      <c r="D7" s="120" t="s">
        <v>12</v>
      </c>
      <c r="E7" s="120" t="s">
        <v>6</v>
      </c>
      <c r="F7" s="120" t="s">
        <v>7</v>
      </c>
      <c r="G7" s="120" t="s">
        <v>8</v>
      </c>
      <c r="H7" s="120" t="s">
        <v>9</v>
      </c>
      <c r="I7" s="120" t="s">
        <v>10</v>
      </c>
      <c r="J7" s="120" t="s">
        <v>11</v>
      </c>
      <c r="K7" s="120" t="s">
        <v>12</v>
      </c>
      <c r="L7" s="120" t="s">
        <v>6</v>
      </c>
      <c r="M7" s="120" t="s">
        <v>7</v>
      </c>
      <c r="N7" s="120" t="s">
        <v>8</v>
      </c>
      <c r="O7" s="120" t="s">
        <v>9</v>
      </c>
      <c r="P7" s="121" t="s">
        <v>10</v>
      </c>
    </row>
    <row r="8" spans="1:16" x14ac:dyDescent="0.25">
      <c r="A8" s="129"/>
      <c r="B8" s="127" t="s">
        <v>93</v>
      </c>
      <c r="C8" s="172" t="str">
        <f>IFERROR(IF(INDEX(Fri_W1[],MATCH('Individual Schedule'!$C$4,Fri_W1[Employee Name],0),MATCH('Individual Schedule'!$B8,Fri_W1[#Headers],0))="","",INDEX(Fri_W1[],MATCH('Individual Schedule'!$C$4,Fri_W1[Employee Name],0),MATCH('Individual Schedule'!$B8,Fri_W1[#Headers],0))),"")</f>
        <v/>
      </c>
      <c r="D8" s="173" t="str">
        <f>IFERROR(IF(INDEX(Sat_W1[],MATCH('Individual Schedule'!$C$4,Sat_W1[Employee Name],0),MATCH('Individual Schedule'!$B8,Sat_W1[#Headers],0))="","",INDEX(Sat_W1[],MATCH('Individual Schedule'!$C$4,Sat_W1[Employee Name],0),MATCH('Individual Schedule'!$B8,Sat_W1[#Headers],0))),"")</f>
        <v/>
      </c>
      <c r="E8" s="173" t="str">
        <f>IFERROR(IF(INDEX(Sun_W1[],MATCH('Individual Schedule'!$C$4,Sun_W1[Employee Name],0),MATCH('Individual Schedule'!$B8,Sun_W1[#Headers],0))="","",INDEX(Sun_W1[],MATCH('Individual Schedule'!$C$4,Sun_W1[Employee Name],0),MATCH('Individual Schedule'!$B8,Sun_W1[#Headers],0))),"")</f>
        <v/>
      </c>
      <c r="F8" s="173" t="str">
        <f>IFERROR(IF(INDEX(Mon_W1[],MATCH('Individual Schedule'!$C$4,Mon_W1[Employee Name],0),MATCH('Individual Schedule'!$B8,Mon_W1[#Headers],0))="","",INDEX(Mon_W1[],MATCH('Individual Schedule'!$C$4,Mon_W1[Employee Name],0),MATCH('Individual Schedule'!$B8,Mon_W1[#Headers],0))),"")</f>
        <v/>
      </c>
      <c r="G8" s="173" t="str">
        <f>IFERROR(IF(INDEX(Tue_W1[],MATCH('Individual Schedule'!$C$4,Tue_W1[Employee Name],0),MATCH('Individual Schedule'!$B8,Tue_W1[#Headers],0))="","",INDEX(Tue_W1[],MATCH('Individual Schedule'!$C$4,Tue_W1[Employee Name],0),MATCH('Individual Schedule'!$B8,Tue_W1[#Headers],0))),"")</f>
        <v/>
      </c>
      <c r="H8" s="173" t="str">
        <f>IFERROR(IF(INDEX(Wed_W1[],MATCH('Individual Schedule'!$C$4,Wed_W1[Employee Name],0),MATCH('Individual Schedule'!$B8,Wed_W1[#Headers],0))="","",INDEX(Wed_W1[],MATCH('Individual Schedule'!$C$4,Wed_W1[Employee Name],0),MATCH('Individual Schedule'!$B8,Wed_W1[#Headers],0))),"")</f>
        <v/>
      </c>
      <c r="I8" s="173" t="str">
        <f>IFERROR(IF(INDEX(Thu_W1[],MATCH('Individual Schedule'!$C$4,Thu_W1[Employee Name],0),MATCH('Individual Schedule'!$B8,Thu_W1[#Headers],0))="","",INDEX(Thu_W1[],MATCH('Individual Schedule'!$C$4,Thu_W1[Employee Name],0),MATCH('Individual Schedule'!$B8,Thu_W1[#Headers],0))),"")</f>
        <v/>
      </c>
      <c r="J8" s="173" t="str">
        <f>IFERROR(IF(INDEX(Fri_W2[],MATCH('Individual Schedule'!$C$4,Fri_W2[Employee Name],0),MATCH('Individual Schedule'!$B8,Fri_W2[#Headers],0))="","",INDEX(Fri_W2[],MATCH('Individual Schedule'!$C$4,Fri_W2[Employee Name],0),MATCH('Individual Schedule'!$B8,Fri_W2[#Headers],0))),"")</f>
        <v/>
      </c>
      <c r="K8" s="173" t="str">
        <f>IFERROR(IF(INDEX(Sat_W2[],MATCH('Individual Schedule'!$C$4,Sat_W2[Employee Name],0),MATCH('Individual Schedule'!$B8,Sat_W2[#Headers],0))="","",INDEX(Sat_W2[],MATCH('Individual Schedule'!$C$4,Sat_W2[Employee Name],0),MATCH('Individual Schedule'!$B8,Sat_W2[#Headers],0))),"")</f>
        <v/>
      </c>
      <c r="L8" s="173" t="str">
        <f>IFERROR(IF(INDEX(Sun_W2[],MATCH('Individual Schedule'!$C$4,Sun_W2[Employee Name],0),MATCH('Individual Schedule'!$B8,Sun_W2[#Headers],0))="","",INDEX(Sun_W2[],MATCH('Individual Schedule'!$C$4,Sun_W2[Employee Name],0),MATCH('Individual Schedule'!$B8,Sun_W2[#Headers],0))),"")</f>
        <v/>
      </c>
      <c r="M8" s="173" t="str">
        <f>IFERROR(IF(INDEX(Mon_W2[],MATCH('Individual Schedule'!$C$4,Mon_W2[Employee Name],0),MATCH('Individual Schedule'!$B8,Mon_W2[#Headers],0))="","",INDEX(Mon_W2[],MATCH('Individual Schedule'!$C$4,Mon_W2[Employee Name],0),MATCH('Individual Schedule'!$B8,Mon_W2[#Headers],0))),"")</f>
        <v/>
      </c>
      <c r="N8" s="173" t="str">
        <f>IFERROR(IF(INDEX(Tue_W2[],MATCH('Individual Schedule'!$C$4,Tue_W2[Employee Name],0),MATCH('Individual Schedule'!$B8,Tue_W2[#Headers],0))="","",INDEX(Tue_W2[],MATCH('Individual Schedule'!$C$4,Tue_W2[Employee Name],0),MATCH('Individual Schedule'!$B8,Tue_W2[#Headers],0))),"")</f>
        <v/>
      </c>
      <c r="O8" s="173" t="str">
        <f>IFERROR(IF(INDEX(Wed_W2[],MATCH('Individual Schedule'!$C$4,Wed_W2[Employee Name],0),MATCH('Individual Schedule'!$B8,Wed_W2[#Headers],0))="","",INDEX(Wed_W2[],MATCH('Individual Schedule'!$C$4,Wed_W2[Employee Name],0),MATCH('Individual Schedule'!$B8,Wed_W2[#Headers],0))),"")</f>
        <v/>
      </c>
      <c r="P8" s="174" t="str">
        <f>IFERROR(IF(INDEX(Thu_W2[],MATCH('Individual Schedule'!$C$4,Thu_W2[Employee Name],0),MATCH('Individual Schedule'!$B8,Thu_W2[#Headers],0))="","",INDEX(Thu_W2[],MATCH('Individual Schedule'!$C$4,Thu_W2[Employee Name],0),MATCH('Individual Schedule'!$B8,Thu_W2[#Headers],0))),"")</f>
        <v/>
      </c>
    </row>
    <row r="9" spans="1:16" x14ac:dyDescent="0.25">
      <c r="A9" s="129"/>
      <c r="B9" s="117" t="s">
        <v>95</v>
      </c>
      <c r="C9" s="175" t="str">
        <f>IFERROR(IF(INDEX(Fri_W1[],MATCH('Individual Schedule'!$C$4,Fri_W1[Employee Name],0),MATCH('Individual Schedule'!$B9,Fri_W1[#Headers],0))="","",INDEX(Fri_W1[],MATCH('Individual Schedule'!$C$4,Fri_W1[Employee Name],0),MATCH('Individual Schedule'!$B9,Fri_W1[#Headers],0))),"")</f>
        <v/>
      </c>
      <c r="D9" s="176" t="str">
        <f>IFERROR(IF(INDEX(Sat_W1[],MATCH('Individual Schedule'!$C$4,Sat_W1[Employee Name],0),MATCH('Individual Schedule'!$B9,Sat_W1[#Headers],0))="","",INDEX(Sat_W1[],MATCH('Individual Schedule'!$C$4,Sat_W1[Employee Name],0),MATCH('Individual Schedule'!$B9,Sat_W1[#Headers],0))),"")</f>
        <v/>
      </c>
      <c r="E9" s="176" t="str">
        <f>IFERROR(IF(INDEX(Sun_W1[],MATCH('Individual Schedule'!$C$4,Sun_W1[Employee Name],0),MATCH('Individual Schedule'!$B9,Sun_W1[#Headers],0))="","",INDEX(Sun_W1[],MATCH('Individual Schedule'!$C$4,Sun_W1[Employee Name],0),MATCH('Individual Schedule'!$B9,Sun_W1[#Headers],0))),"")</f>
        <v/>
      </c>
      <c r="F9" s="176" t="str">
        <f>IFERROR(IF(INDEX(Mon_W1[],MATCH('Individual Schedule'!$C$4,Mon_W1[Employee Name],0),MATCH('Individual Schedule'!$B9,Mon_W1[#Headers],0))="","",INDEX(Mon_W1[],MATCH('Individual Schedule'!$C$4,Mon_W1[Employee Name],0),MATCH('Individual Schedule'!$B9,Mon_W1[#Headers],0))),"")</f>
        <v/>
      </c>
      <c r="G9" s="176" t="str">
        <f>IFERROR(IF(INDEX(Tue_W1[],MATCH('Individual Schedule'!$C$4,Tue_W1[Employee Name],0),MATCH('Individual Schedule'!$B9,Tue_W1[#Headers],0))="","",INDEX(Tue_W1[],MATCH('Individual Schedule'!$C$4,Tue_W1[Employee Name],0),MATCH('Individual Schedule'!$B9,Tue_W1[#Headers],0))),"")</f>
        <v/>
      </c>
      <c r="H9" s="176" t="str">
        <f>IFERROR(IF(INDEX(Wed_W1[],MATCH('Individual Schedule'!$C$4,Wed_W1[Employee Name],0),MATCH('Individual Schedule'!$B9,Wed_W1[#Headers],0))="","",INDEX(Wed_W1[],MATCH('Individual Schedule'!$C$4,Wed_W1[Employee Name],0),MATCH('Individual Schedule'!$B9,Wed_W1[#Headers],0))),"")</f>
        <v/>
      </c>
      <c r="I9" s="176" t="str">
        <f>IFERROR(IF(INDEX(Thu_W1[],MATCH('Individual Schedule'!$C$4,Thu_W1[Employee Name],0),MATCH('Individual Schedule'!$B9,Thu_W1[#Headers],0))="","",INDEX(Thu_W1[],MATCH('Individual Schedule'!$C$4,Thu_W1[Employee Name],0),MATCH('Individual Schedule'!$B9,Thu_W1[#Headers],0))),"")</f>
        <v/>
      </c>
      <c r="J9" s="176" t="str">
        <f>IFERROR(IF(INDEX(Fri_W2[],MATCH('Individual Schedule'!$C$4,Fri_W2[Employee Name],0),MATCH('Individual Schedule'!$B9,Fri_W2[#Headers],0))="","",INDEX(Fri_W2[],MATCH('Individual Schedule'!$C$4,Fri_W2[Employee Name],0),MATCH('Individual Schedule'!$B9,Fri_W2[#Headers],0))),"")</f>
        <v/>
      </c>
      <c r="K9" s="176" t="str">
        <f>IFERROR(IF(INDEX(Sat_W2[],MATCH('Individual Schedule'!$C$4,Sat_W2[Employee Name],0),MATCH('Individual Schedule'!$B9,Sat_W2[#Headers],0))="","",INDEX(Sat_W2[],MATCH('Individual Schedule'!$C$4,Sat_W2[Employee Name],0),MATCH('Individual Schedule'!$B9,Sat_W2[#Headers],0))),"")</f>
        <v/>
      </c>
      <c r="L9" s="176" t="str">
        <f>IFERROR(IF(INDEX(Sun_W2[],MATCH('Individual Schedule'!$C$4,Sun_W2[Employee Name],0),MATCH('Individual Schedule'!$B9,Sun_W2[#Headers],0))="","",INDEX(Sun_W2[],MATCH('Individual Schedule'!$C$4,Sun_W2[Employee Name],0),MATCH('Individual Schedule'!$B9,Sun_W2[#Headers],0))),"")</f>
        <v/>
      </c>
      <c r="M9" s="176" t="str">
        <f>IFERROR(IF(INDEX(Mon_W2[],MATCH('Individual Schedule'!$C$4,Mon_W2[Employee Name],0),MATCH('Individual Schedule'!$B9,Mon_W2[#Headers],0))="","",INDEX(Mon_W2[],MATCH('Individual Schedule'!$C$4,Mon_W2[Employee Name],0),MATCH('Individual Schedule'!$B9,Mon_W2[#Headers],0))),"")</f>
        <v/>
      </c>
      <c r="N9" s="176" t="str">
        <f>IFERROR(IF(INDEX(Tue_W2[],MATCH('Individual Schedule'!$C$4,Tue_W2[Employee Name],0),MATCH('Individual Schedule'!$B9,Tue_W2[#Headers],0))="","",INDEX(Tue_W2[],MATCH('Individual Schedule'!$C$4,Tue_W2[Employee Name],0),MATCH('Individual Schedule'!$B9,Tue_W2[#Headers],0))),"")</f>
        <v/>
      </c>
      <c r="O9" s="176" t="str">
        <f>IFERROR(IF(INDEX(Wed_W2[],MATCH('Individual Schedule'!$C$4,Wed_W2[Employee Name],0),MATCH('Individual Schedule'!$B9,Wed_W2[#Headers],0))="","",INDEX(Wed_W2[],MATCH('Individual Schedule'!$C$4,Wed_W2[Employee Name],0),MATCH('Individual Schedule'!$B9,Wed_W2[#Headers],0))),"")</f>
        <v/>
      </c>
      <c r="P9" s="177" t="str">
        <f>IFERROR(IF(INDEX(Thu_W2[],MATCH('Individual Schedule'!$C$4,Thu_W2[Employee Name],0),MATCH('Individual Schedule'!$B9,Thu_W2[#Headers],0))="","",INDEX(Thu_W2[],MATCH('Individual Schedule'!$C$4,Thu_W2[Employee Name],0),MATCH('Individual Schedule'!$B9,Thu_W2[#Headers],0))),"")</f>
        <v/>
      </c>
    </row>
    <row r="10" spans="1:16" x14ac:dyDescent="0.25">
      <c r="A10" s="129"/>
      <c r="B10" s="117" t="s">
        <v>97</v>
      </c>
      <c r="C10" s="175" t="str">
        <f>IFERROR(IF(INDEX(Fri_W1[],MATCH('Individual Schedule'!$C$4,Fri_W1[Employee Name],0),MATCH('Individual Schedule'!$B10,Fri_W1[#Headers],0))="","",INDEX(Fri_W1[],MATCH('Individual Schedule'!$C$4,Fri_W1[Employee Name],0),MATCH('Individual Schedule'!$B10,Fri_W1[#Headers],0))),"")</f>
        <v/>
      </c>
      <c r="D10" s="176" t="str">
        <f>IFERROR(IF(INDEX(Sat_W1[],MATCH('Individual Schedule'!$C$4,Sat_W1[Employee Name],0),MATCH('Individual Schedule'!$B10,Sat_W1[#Headers],0))="","",INDEX(Sat_W1[],MATCH('Individual Schedule'!$C$4,Sat_W1[Employee Name],0),MATCH('Individual Schedule'!$B10,Sat_W1[#Headers],0))),"")</f>
        <v/>
      </c>
      <c r="E10" s="176" t="str">
        <f>IFERROR(IF(INDEX(Sun_W1[],MATCH('Individual Schedule'!$C$4,Sun_W1[Employee Name],0),MATCH('Individual Schedule'!$B10,Sun_W1[#Headers],0))="","",INDEX(Sun_W1[],MATCH('Individual Schedule'!$C$4,Sun_W1[Employee Name],0),MATCH('Individual Schedule'!$B10,Sun_W1[#Headers],0))),"")</f>
        <v/>
      </c>
      <c r="F10" s="176" t="str">
        <f>IFERROR(IF(INDEX(Mon_W1[],MATCH('Individual Schedule'!$C$4,Mon_W1[Employee Name],0),MATCH('Individual Schedule'!$B10,Mon_W1[#Headers],0))="","",INDEX(Mon_W1[],MATCH('Individual Schedule'!$C$4,Mon_W1[Employee Name],0),MATCH('Individual Schedule'!$B10,Mon_W1[#Headers],0))),"")</f>
        <v/>
      </c>
      <c r="G10" s="176" t="str">
        <f>IFERROR(IF(INDEX(Tue_W1[],MATCH('Individual Schedule'!$C$4,Tue_W1[Employee Name],0),MATCH('Individual Schedule'!$B10,Tue_W1[#Headers],0))="","",INDEX(Tue_W1[],MATCH('Individual Schedule'!$C$4,Tue_W1[Employee Name],0),MATCH('Individual Schedule'!$B10,Tue_W1[#Headers],0))),"")</f>
        <v/>
      </c>
      <c r="H10" s="176" t="str">
        <f>IFERROR(IF(INDEX(Wed_W1[],MATCH('Individual Schedule'!$C$4,Wed_W1[Employee Name],0),MATCH('Individual Schedule'!$B10,Wed_W1[#Headers],0))="","",INDEX(Wed_W1[],MATCH('Individual Schedule'!$C$4,Wed_W1[Employee Name],0),MATCH('Individual Schedule'!$B10,Wed_W1[#Headers],0))),"")</f>
        <v/>
      </c>
      <c r="I10" s="176" t="str">
        <f>IFERROR(IF(INDEX(Thu_W1[],MATCH('Individual Schedule'!$C$4,Thu_W1[Employee Name],0),MATCH('Individual Schedule'!$B10,Thu_W1[#Headers],0))="","",INDEX(Thu_W1[],MATCH('Individual Schedule'!$C$4,Thu_W1[Employee Name],0),MATCH('Individual Schedule'!$B10,Thu_W1[#Headers],0))),"")</f>
        <v/>
      </c>
      <c r="J10" s="176" t="str">
        <f>IFERROR(IF(INDEX(Fri_W2[],MATCH('Individual Schedule'!$C$4,Fri_W2[Employee Name],0),MATCH('Individual Schedule'!$B10,Fri_W2[#Headers],0))="","",INDEX(Fri_W2[],MATCH('Individual Schedule'!$C$4,Fri_W2[Employee Name],0),MATCH('Individual Schedule'!$B10,Fri_W2[#Headers],0))),"")</f>
        <v/>
      </c>
      <c r="K10" s="176" t="str">
        <f>IFERROR(IF(INDEX(Sat_W2[],MATCH('Individual Schedule'!$C$4,Sat_W2[Employee Name],0),MATCH('Individual Schedule'!$B10,Sat_W2[#Headers],0))="","",INDEX(Sat_W2[],MATCH('Individual Schedule'!$C$4,Sat_W2[Employee Name],0),MATCH('Individual Schedule'!$B10,Sat_W2[#Headers],0))),"")</f>
        <v/>
      </c>
      <c r="L10" s="176" t="str">
        <f>IFERROR(IF(INDEX(Sun_W2[],MATCH('Individual Schedule'!$C$4,Sun_W2[Employee Name],0),MATCH('Individual Schedule'!$B10,Sun_W2[#Headers],0))="","",INDEX(Sun_W2[],MATCH('Individual Schedule'!$C$4,Sun_W2[Employee Name],0),MATCH('Individual Schedule'!$B10,Sun_W2[#Headers],0))),"")</f>
        <v/>
      </c>
      <c r="M10" s="176" t="str">
        <f>IFERROR(IF(INDEX(Mon_W2[],MATCH('Individual Schedule'!$C$4,Mon_W2[Employee Name],0),MATCH('Individual Schedule'!$B10,Mon_W2[#Headers],0))="","",INDEX(Mon_W2[],MATCH('Individual Schedule'!$C$4,Mon_W2[Employee Name],0),MATCH('Individual Schedule'!$B10,Mon_W2[#Headers],0))),"")</f>
        <v/>
      </c>
      <c r="N10" s="176" t="str">
        <f>IFERROR(IF(INDEX(Tue_W2[],MATCH('Individual Schedule'!$C$4,Tue_W2[Employee Name],0),MATCH('Individual Schedule'!$B10,Tue_W2[#Headers],0))="","",INDEX(Tue_W2[],MATCH('Individual Schedule'!$C$4,Tue_W2[Employee Name],0),MATCH('Individual Schedule'!$B10,Tue_W2[#Headers],0))),"")</f>
        <v/>
      </c>
      <c r="O10" s="176" t="str">
        <f>IFERROR(IF(INDEX(Wed_W2[],MATCH('Individual Schedule'!$C$4,Wed_W2[Employee Name],0),MATCH('Individual Schedule'!$B10,Wed_W2[#Headers],0))="","",INDEX(Wed_W2[],MATCH('Individual Schedule'!$C$4,Wed_W2[Employee Name],0),MATCH('Individual Schedule'!$B10,Wed_W2[#Headers],0))),"")</f>
        <v/>
      </c>
      <c r="P10" s="177" t="str">
        <f>IFERROR(IF(INDEX(Thu_W2[],MATCH('Individual Schedule'!$C$4,Thu_W2[Employee Name],0),MATCH('Individual Schedule'!$B10,Thu_W2[#Headers],0))="","",INDEX(Thu_W2[],MATCH('Individual Schedule'!$C$4,Thu_W2[Employee Name],0),MATCH('Individual Schedule'!$B10,Thu_W2[#Headers],0))),"")</f>
        <v/>
      </c>
    </row>
    <row r="11" spans="1:16" x14ac:dyDescent="0.25">
      <c r="A11" s="129"/>
      <c r="B11" s="117" t="s">
        <v>140</v>
      </c>
      <c r="C11" s="175" t="str">
        <f>IFERROR(IF(INDEX(Fri_W1[],MATCH('Individual Schedule'!$C$4,Fri_W1[Employee Name],0),MATCH('Individual Schedule'!$B11,Fri_W1[#Headers],0))="","",INDEX(Fri_W1[],MATCH('Individual Schedule'!$C$4,Fri_W1[Employee Name],0),MATCH('Individual Schedule'!$B11,Fri_W1[#Headers],0))),"")</f>
        <v/>
      </c>
      <c r="D11" s="176" t="str">
        <f>IFERROR(IF(INDEX(Sat_W1[],MATCH('Individual Schedule'!$C$4,Sat_W1[Employee Name],0),MATCH('Individual Schedule'!$B11,Sat_W1[#Headers],0))="","",INDEX(Sat_W1[],MATCH('Individual Schedule'!$C$4,Sat_W1[Employee Name],0),MATCH('Individual Schedule'!$B11,Sat_W1[#Headers],0))),"")</f>
        <v/>
      </c>
      <c r="E11" s="176" t="str">
        <f>IFERROR(IF(INDEX(Sun_W1[],MATCH('Individual Schedule'!$C$4,Sun_W1[Employee Name],0),MATCH('Individual Schedule'!$B11,Sun_W1[#Headers],0))="","",INDEX(Sun_W1[],MATCH('Individual Schedule'!$C$4,Sun_W1[Employee Name],0),MATCH('Individual Schedule'!$B11,Sun_W1[#Headers],0))),"")</f>
        <v/>
      </c>
      <c r="F11" s="176" t="str">
        <f>IFERROR(IF(INDEX(Mon_W1[],MATCH('Individual Schedule'!$C$4,Mon_W1[Employee Name],0),MATCH('Individual Schedule'!$B11,Mon_W1[#Headers],0))="","",INDEX(Mon_W1[],MATCH('Individual Schedule'!$C$4,Mon_W1[Employee Name],0),MATCH('Individual Schedule'!$B11,Mon_W1[#Headers],0))),"")</f>
        <v/>
      </c>
      <c r="G11" s="176" t="str">
        <f>IFERROR(IF(INDEX(Tue_W1[],MATCH('Individual Schedule'!$C$4,Tue_W1[Employee Name],0),MATCH('Individual Schedule'!$B11,Tue_W1[#Headers],0))="","",INDEX(Tue_W1[],MATCH('Individual Schedule'!$C$4,Tue_W1[Employee Name],0),MATCH('Individual Schedule'!$B11,Tue_W1[#Headers],0))),"")</f>
        <v/>
      </c>
      <c r="H11" s="176" t="str">
        <f>IFERROR(IF(INDEX(Wed_W1[],MATCH('Individual Schedule'!$C$4,Wed_W1[Employee Name],0),MATCH('Individual Schedule'!$B11,Wed_W1[#Headers],0))="","",INDEX(Wed_W1[],MATCH('Individual Schedule'!$C$4,Wed_W1[Employee Name],0),MATCH('Individual Schedule'!$B11,Wed_W1[#Headers],0))),"")</f>
        <v/>
      </c>
      <c r="I11" s="176" t="str">
        <f>IFERROR(IF(INDEX(Thu_W1[],MATCH('Individual Schedule'!$C$4,Thu_W1[Employee Name],0),MATCH('Individual Schedule'!$B11,Thu_W1[#Headers],0))="","",INDEX(Thu_W1[],MATCH('Individual Schedule'!$C$4,Thu_W1[Employee Name],0),MATCH('Individual Schedule'!$B11,Thu_W1[#Headers],0))),"")</f>
        <v/>
      </c>
      <c r="J11" s="176" t="str">
        <f>IFERROR(IF(INDEX(Fri_W2[],MATCH('Individual Schedule'!$C$4,Fri_W2[Employee Name],0),MATCH('Individual Schedule'!$B11,Fri_W2[#Headers],0))="","",INDEX(Fri_W2[],MATCH('Individual Schedule'!$C$4,Fri_W2[Employee Name],0),MATCH('Individual Schedule'!$B11,Fri_W2[#Headers],0))),"")</f>
        <v/>
      </c>
      <c r="K11" s="176" t="str">
        <f>IFERROR(IF(INDEX(Sat_W2[],MATCH('Individual Schedule'!$C$4,Sat_W2[Employee Name],0),MATCH('Individual Schedule'!$B11,Sat_W2[#Headers],0))="","",INDEX(Sat_W2[],MATCH('Individual Schedule'!$C$4,Sat_W2[Employee Name],0),MATCH('Individual Schedule'!$B11,Sat_W2[#Headers],0))),"")</f>
        <v/>
      </c>
      <c r="L11" s="176" t="str">
        <f>IFERROR(IF(INDEX(Sun_W2[],MATCH('Individual Schedule'!$C$4,Sun_W2[Employee Name],0),MATCH('Individual Schedule'!$B11,Sun_W2[#Headers],0))="","",INDEX(Sun_W2[],MATCH('Individual Schedule'!$C$4,Sun_W2[Employee Name],0),MATCH('Individual Schedule'!$B11,Sun_W2[#Headers],0))),"")</f>
        <v/>
      </c>
      <c r="M11" s="176" t="str">
        <f>IFERROR(IF(INDEX(Mon_W2[],MATCH('Individual Schedule'!$C$4,Mon_W2[Employee Name],0),MATCH('Individual Schedule'!$B11,Mon_W2[#Headers],0))="","",INDEX(Mon_W2[],MATCH('Individual Schedule'!$C$4,Mon_W2[Employee Name],0),MATCH('Individual Schedule'!$B11,Mon_W2[#Headers],0))),"")</f>
        <v/>
      </c>
      <c r="N11" s="176" t="str">
        <f>IFERROR(IF(INDEX(Tue_W2[],MATCH('Individual Schedule'!$C$4,Tue_W2[Employee Name],0),MATCH('Individual Schedule'!$B11,Tue_W2[#Headers],0))="","",INDEX(Tue_W2[],MATCH('Individual Schedule'!$C$4,Tue_W2[Employee Name],0),MATCH('Individual Schedule'!$B11,Tue_W2[#Headers],0))),"")</f>
        <v/>
      </c>
      <c r="O11" s="176" t="str">
        <f>IFERROR(IF(INDEX(Wed_W2[],MATCH('Individual Schedule'!$C$4,Wed_W2[Employee Name],0),MATCH('Individual Schedule'!$B11,Wed_W2[#Headers],0))="","",INDEX(Wed_W2[],MATCH('Individual Schedule'!$C$4,Wed_W2[Employee Name],0),MATCH('Individual Schedule'!$B11,Wed_W2[#Headers],0))),"")</f>
        <v/>
      </c>
      <c r="P11" s="177" t="str">
        <f>IFERROR(IF(INDEX(Thu_W2[],MATCH('Individual Schedule'!$C$4,Thu_W2[Employee Name],0),MATCH('Individual Schedule'!$B11,Thu_W2[#Headers],0))="","",INDEX(Thu_W2[],MATCH('Individual Schedule'!$C$4,Thu_W2[Employee Name],0),MATCH('Individual Schedule'!$B11,Thu_W2[#Headers],0))),"")</f>
        <v/>
      </c>
    </row>
    <row r="12" spans="1:16" x14ac:dyDescent="0.25">
      <c r="A12" s="129"/>
      <c r="B12" s="117" t="s">
        <v>109</v>
      </c>
      <c r="C12" s="175" t="str">
        <f>IFERROR(IF(INDEX(Fri_W1[],MATCH('Individual Schedule'!$C$4,Fri_W1[Employee Name],0),MATCH('Individual Schedule'!$B12,Fri_W1[#Headers],0))="","",INDEX(Fri_W1[],MATCH('Individual Schedule'!$C$4,Fri_W1[Employee Name],0),MATCH('Individual Schedule'!$B12,Fri_W1[#Headers],0))),"")</f>
        <v/>
      </c>
      <c r="D12" s="176" t="str">
        <f>IFERROR(IF(INDEX(Sat_W1[],MATCH('Individual Schedule'!$C$4,Sat_W1[Employee Name],0),MATCH('Individual Schedule'!$B12,Sat_W1[#Headers],0))="","",INDEX(Sat_W1[],MATCH('Individual Schedule'!$C$4,Sat_W1[Employee Name],0),MATCH('Individual Schedule'!$B12,Sat_W1[#Headers],0))),"")</f>
        <v/>
      </c>
      <c r="E12" s="176" t="str">
        <f>IFERROR(IF(INDEX(Sun_W1[],MATCH('Individual Schedule'!$C$4,Sun_W1[Employee Name],0),MATCH('Individual Schedule'!$B12,Sun_W1[#Headers],0))="","",INDEX(Sun_W1[],MATCH('Individual Schedule'!$C$4,Sun_W1[Employee Name],0),MATCH('Individual Schedule'!$B12,Sun_W1[#Headers],0))),"")</f>
        <v/>
      </c>
      <c r="F12" s="176" t="str">
        <f>IFERROR(IF(INDEX(Mon_W1[],MATCH('Individual Schedule'!$C$4,Mon_W1[Employee Name],0),MATCH('Individual Schedule'!$B12,Mon_W1[#Headers],0))="","",INDEX(Mon_W1[],MATCH('Individual Schedule'!$C$4,Mon_W1[Employee Name],0),MATCH('Individual Schedule'!$B12,Mon_W1[#Headers],0))),"")</f>
        <v/>
      </c>
      <c r="G12" s="176" t="str">
        <f>IFERROR(IF(INDEX(Tue_W1[],MATCH('Individual Schedule'!$C$4,Tue_W1[Employee Name],0),MATCH('Individual Schedule'!$B12,Tue_W1[#Headers],0))="","",INDEX(Tue_W1[],MATCH('Individual Schedule'!$C$4,Tue_W1[Employee Name],0),MATCH('Individual Schedule'!$B12,Tue_W1[#Headers],0))),"")</f>
        <v/>
      </c>
      <c r="H12" s="176" t="str">
        <f>IFERROR(IF(INDEX(Wed_W1[],MATCH('Individual Schedule'!$C$4,Wed_W1[Employee Name],0),MATCH('Individual Schedule'!$B12,Wed_W1[#Headers],0))="","",INDEX(Wed_W1[],MATCH('Individual Schedule'!$C$4,Wed_W1[Employee Name],0),MATCH('Individual Schedule'!$B12,Wed_W1[#Headers],0))),"")</f>
        <v/>
      </c>
      <c r="I12" s="176" t="str">
        <f>IFERROR(IF(INDEX(Thu_W1[],MATCH('Individual Schedule'!$C$4,Thu_W1[Employee Name],0),MATCH('Individual Schedule'!$B12,Thu_W1[#Headers],0))="","",INDEX(Thu_W1[],MATCH('Individual Schedule'!$C$4,Thu_W1[Employee Name],0),MATCH('Individual Schedule'!$B12,Thu_W1[#Headers],0))),"")</f>
        <v/>
      </c>
      <c r="J12" s="176" t="str">
        <f>IFERROR(IF(INDEX(Fri_W2[],MATCH('Individual Schedule'!$C$4,Fri_W2[Employee Name],0),MATCH('Individual Schedule'!$B12,Fri_W2[#Headers],0))="","",INDEX(Fri_W2[],MATCH('Individual Schedule'!$C$4,Fri_W2[Employee Name],0),MATCH('Individual Schedule'!$B12,Fri_W2[#Headers],0))),"")</f>
        <v/>
      </c>
      <c r="K12" s="176" t="str">
        <f>IFERROR(IF(INDEX(Sat_W2[],MATCH('Individual Schedule'!$C$4,Sat_W2[Employee Name],0),MATCH('Individual Schedule'!$B12,Sat_W2[#Headers],0))="","",INDEX(Sat_W2[],MATCH('Individual Schedule'!$C$4,Sat_W2[Employee Name],0),MATCH('Individual Schedule'!$B12,Sat_W2[#Headers],0))),"")</f>
        <v/>
      </c>
      <c r="L12" s="176" t="str">
        <f>IFERROR(IF(INDEX(Sun_W2[],MATCH('Individual Schedule'!$C$4,Sun_W2[Employee Name],0),MATCH('Individual Schedule'!$B12,Sun_W2[#Headers],0))="","",INDEX(Sun_W2[],MATCH('Individual Schedule'!$C$4,Sun_W2[Employee Name],0),MATCH('Individual Schedule'!$B12,Sun_W2[#Headers],0))),"")</f>
        <v/>
      </c>
      <c r="M12" s="176" t="str">
        <f>IFERROR(IF(INDEX(Mon_W2[],MATCH('Individual Schedule'!$C$4,Mon_W2[Employee Name],0),MATCH('Individual Schedule'!$B12,Mon_W2[#Headers],0))="","",INDEX(Mon_W2[],MATCH('Individual Schedule'!$C$4,Mon_W2[Employee Name],0),MATCH('Individual Schedule'!$B12,Mon_W2[#Headers],0))),"")</f>
        <v/>
      </c>
      <c r="N12" s="176" t="str">
        <f>IFERROR(IF(INDEX(Tue_W2[],MATCH('Individual Schedule'!$C$4,Tue_W2[Employee Name],0),MATCH('Individual Schedule'!$B12,Tue_W2[#Headers],0))="","",INDEX(Tue_W2[],MATCH('Individual Schedule'!$C$4,Tue_W2[Employee Name],0),MATCH('Individual Schedule'!$B12,Tue_W2[#Headers],0))),"")</f>
        <v/>
      </c>
      <c r="O12" s="176" t="str">
        <f>IFERROR(IF(INDEX(Wed_W2[],MATCH('Individual Schedule'!$C$4,Wed_W2[Employee Name],0),MATCH('Individual Schedule'!$B12,Wed_W2[#Headers],0))="","",INDEX(Wed_W2[],MATCH('Individual Schedule'!$C$4,Wed_W2[Employee Name],0),MATCH('Individual Schedule'!$B12,Wed_W2[#Headers],0))),"")</f>
        <v/>
      </c>
      <c r="P12" s="177" t="str">
        <f>IFERROR(IF(INDEX(Thu_W2[],MATCH('Individual Schedule'!$C$4,Thu_W2[Employee Name],0),MATCH('Individual Schedule'!$B12,Thu_W2[#Headers],0))="","",INDEX(Thu_W2[],MATCH('Individual Schedule'!$C$4,Thu_W2[Employee Name],0),MATCH('Individual Schedule'!$B12,Thu_W2[#Headers],0))),"")</f>
        <v/>
      </c>
    </row>
    <row r="13" spans="1:16" x14ac:dyDescent="0.25">
      <c r="A13" s="129"/>
      <c r="B13" s="117" t="s">
        <v>103</v>
      </c>
      <c r="C13" s="175" t="str">
        <f>IFERROR(IF(INDEX(Fri_W1[],MATCH('Individual Schedule'!$C$4,Fri_W1[Employee Name],0),MATCH('Individual Schedule'!$B13,Fri_W1[#Headers],0))="","",INDEX(Fri_W1[],MATCH('Individual Schedule'!$C$4,Fri_W1[Employee Name],0),MATCH('Individual Schedule'!$B13,Fri_W1[#Headers],0))),"")</f>
        <v/>
      </c>
      <c r="D13" s="176" t="str">
        <f>IFERROR(IF(INDEX(Sat_W1[],MATCH('Individual Schedule'!$C$4,Sat_W1[Employee Name],0),MATCH('Individual Schedule'!$B13,Sat_W1[#Headers],0))="","",INDEX(Sat_W1[],MATCH('Individual Schedule'!$C$4,Sat_W1[Employee Name],0),MATCH('Individual Schedule'!$B13,Sat_W1[#Headers],0))),"")</f>
        <v/>
      </c>
      <c r="E13" s="176" t="str">
        <f>IFERROR(IF(INDEX(Sun_W1[],MATCH('Individual Schedule'!$C$4,Sun_W1[Employee Name],0),MATCH('Individual Schedule'!$B13,Sun_W1[#Headers],0))="","",INDEX(Sun_W1[],MATCH('Individual Schedule'!$C$4,Sun_W1[Employee Name],0),MATCH('Individual Schedule'!$B13,Sun_W1[#Headers],0))),"")</f>
        <v/>
      </c>
      <c r="F13" s="176" t="str">
        <f>IFERROR(IF(INDEX(Mon_W1[],MATCH('Individual Schedule'!$C$4,Mon_W1[Employee Name],0),MATCH('Individual Schedule'!$B13,Mon_W1[#Headers],0))="","",INDEX(Mon_W1[],MATCH('Individual Schedule'!$C$4,Mon_W1[Employee Name],0),MATCH('Individual Schedule'!$B13,Mon_W1[#Headers],0))),"")</f>
        <v/>
      </c>
      <c r="G13" s="176" t="str">
        <f>IFERROR(IF(INDEX(Tue_W1[],MATCH('Individual Schedule'!$C$4,Tue_W1[Employee Name],0),MATCH('Individual Schedule'!$B13,Tue_W1[#Headers],0))="","",INDEX(Tue_W1[],MATCH('Individual Schedule'!$C$4,Tue_W1[Employee Name],0),MATCH('Individual Schedule'!$B13,Tue_W1[#Headers],0))),"")</f>
        <v/>
      </c>
      <c r="H13" s="176" t="str">
        <f>IFERROR(IF(INDEX(Wed_W1[],MATCH('Individual Schedule'!$C$4,Wed_W1[Employee Name],0),MATCH('Individual Schedule'!$B13,Wed_W1[#Headers],0))="","",INDEX(Wed_W1[],MATCH('Individual Schedule'!$C$4,Wed_W1[Employee Name],0),MATCH('Individual Schedule'!$B13,Wed_W1[#Headers],0))),"")</f>
        <v/>
      </c>
      <c r="I13" s="176" t="str">
        <f>IFERROR(IF(INDEX(Thu_W1[],MATCH('Individual Schedule'!$C$4,Thu_W1[Employee Name],0),MATCH('Individual Schedule'!$B13,Thu_W1[#Headers],0))="","",INDEX(Thu_W1[],MATCH('Individual Schedule'!$C$4,Thu_W1[Employee Name],0),MATCH('Individual Schedule'!$B13,Thu_W1[#Headers],0))),"")</f>
        <v/>
      </c>
      <c r="J13" s="176" t="str">
        <f>IFERROR(IF(INDEX(Fri_W2[],MATCH('Individual Schedule'!$C$4,Fri_W2[Employee Name],0),MATCH('Individual Schedule'!$B13,Fri_W2[#Headers],0))="","",INDEX(Fri_W2[],MATCH('Individual Schedule'!$C$4,Fri_W2[Employee Name],0),MATCH('Individual Schedule'!$B13,Fri_W2[#Headers],0))),"")</f>
        <v/>
      </c>
      <c r="K13" s="176" t="str">
        <f>IFERROR(IF(INDEX(Sat_W2[],MATCH('Individual Schedule'!$C$4,Sat_W2[Employee Name],0),MATCH('Individual Schedule'!$B13,Sat_W2[#Headers],0))="","",INDEX(Sat_W2[],MATCH('Individual Schedule'!$C$4,Sat_W2[Employee Name],0),MATCH('Individual Schedule'!$B13,Sat_W2[#Headers],0))),"")</f>
        <v/>
      </c>
      <c r="L13" s="176" t="str">
        <f>IFERROR(IF(INDEX(Sun_W2[],MATCH('Individual Schedule'!$C$4,Sun_W2[Employee Name],0),MATCH('Individual Schedule'!$B13,Sun_W2[#Headers],0))="","",INDEX(Sun_W2[],MATCH('Individual Schedule'!$C$4,Sun_W2[Employee Name],0),MATCH('Individual Schedule'!$B13,Sun_W2[#Headers],0))),"")</f>
        <v/>
      </c>
      <c r="M13" s="176" t="str">
        <f>IFERROR(IF(INDEX(Mon_W2[],MATCH('Individual Schedule'!$C$4,Mon_W2[Employee Name],0),MATCH('Individual Schedule'!$B13,Mon_W2[#Headers],0))="","",INDEX(Mon_W2[],MATCH('Individual Schedule'!$C$4,Mon_W2[Employee Name],0),MATCH('Individual Schedule'!$B13,Mon_W2[#Headers],0))),"")</f>
        <v/>
      </c>
      <c r="N13" s="176" t="str">
        <f>IFERROR(IF(INDEX(Tue_W2[],MATCH('Individual Schedule'!$C$4,Tue_W2[Employee Name],0),MATCH('Individual Schedule'!$B13,Tue_W2[#Headers],0))="","",INDEX(Tue_W2[],MATCH('Individual Schedule'!$C$4,Tue_W2[Employee Name],0),MATCH('Individual Schedule'!$B13,Tue_W2[#Headers],0))),"")</f>
        <v/>
      </c>
      <c r="O13" s="176" t="str">
        <f>IFERROR(IF(INDEX(Wed_W2[],MATCH('Individual Schedule'!$C$4,Wed_W2[Employee Name],0),MATCH('Individual Schedule'!$B13,Wed_W2[#Headers],0))="","",INDEX(Wed_W2[],MATCH('Individual Schedule'!$C$4,Wed_W2[Employee Name],0),MATCH('Individual Schedule'!$B13,Wed_W2[#Headers],0))),"")</f>
        <v/>
      </c>
      <c r="P13" s="177" t="str">
        <f>IFERROR(IF(INDEX(Thu_W2[],MATCH('Individual Schedule'!$C$4,Thu_W2[Employee Name],0),MATCH('Individual Schedule'!$B13,Thu_W2[#Headers],0))="","",INDEX(Thu_W2[],MATCH('Individual Schedule'!$C$4,Thu_W2[Employee Name],0),MATCH('Individual Schedule'!$B13,Thu_W2[#Headers],0))),"")</f>
        <v/>
      </c>
    </row>
    <row r="14" spans="1:16" x14ac:dyDescent="0.25">
      <c r="A14" s="129"/>
      <c r="B14" s="117" t="s">
        <v>121</v>
      </c>
      <c r="C14" s="175" t="str">
        <f>IFERROR(IF(INDEX(Fri_W1[],MATCH('Individual Schedule'!$C$4,Fri_W1[Employee Name],0),MATCH('Individual Schedule'!$B14,Fri_W1[#Headers],0))="","",INDEX(Fri_W1[],MATCH('Individual Schedule'!$C$4,Fri_W1[Employee Name],0),MATCH('Individual Schedule'!$B14,Fri_W1[#Headers],0))),"")</f>
        <v/>
      </c>
      <c r="D14" s="176" t="str">
        <f>IFERROR(IF(INDEX(Sat_W1[],MATCH('Individual Schedule'!$C$4,Sat_W1[Employee Name],0),MATCH('Individual Schedule'!$B14,Sat_W1[#Headers],0))="","",INDEX(Sat_W1[],MATCH('Individual Schedule'!$C$4,Sat_W1[Employee Name],0),MATCH('Individual Schedule'!$B14,Sat_W1[#Headers],0))),"")</f>
        <v/>
      </c>
      <c r="E14" s="176" t="str">
        <f>IFERROR(IF(INDEX(Sun_W1[],MATCH('Individual Schedule'!$C$4,Sun_W1[Employee Name],0),MATCH('Individual Schedule'!$B14,Sun_W1[#Headers],0))="","",INDEX(Sun_W1[],MATCH('Individual Schedule'!$C$4,Sun_W1[Employee Name],0),MATCH('Individual Schedule'!$B14,Sun_W1[#Headers],0))),"")</f>
        <v/>
      </c>
      <c r="F14" s="176" t="str">
        <f>IFERROR(IF(INDEX(Mon_W1[],MATCH('Individual Schedule'!$C$4,Mon_W1[Employee Name],0),MATCH('Individual Schedule'!$B14,Mon_W1[#Headers],0))="","",INDEX(Mon_W1[],MATCH('Individual Schedule'!$C$4,Mon_W1[Employee Name],0),MATCH('Individual Schedule'!$B14,Mon_W1[#Headers],0))),"")</f>
        <v/>
      </c>
      <c r="G14" s="176" t="str">
        <f>IFERROR(IF(INDEX(Tue_W1[],MATCH('Individual Schedule'!$C$4,Tue_W1[Employee Name],0),MATCH('Individual Schedule'!$B14,Tue_W1[#Headers],0))="","",INDEX(Tue_W1[],MATCH('Individual Schedule'!$C$4,Tue_W1[Employee Name],0),MATCH('Individual Schedule'!$B14,Tue_W1[#Headers],0))),"")</f>
        <v/>
      </c>
      <c r="H14" s="176" t="str">
        <f>IFERROR(IF(INDEX(Wed_W1[],MATCH('Individual Schedule'!$C$4,Wed_W1[Employee Name],0),MATCH('Individual Schedule'!$B14,Wed_W1[#Headers],0))="","",INDEX(Wed_W1[],MATCH('Individual Schedule'!$C$4,Wed_W1[Employee Name],0),MATCH('Individual Schedule'!$B14,Wed_W1[#Headers],0))),"")</f>
        <v/>
      </c>
      <c r="I14" s="176" t="str">
        <f>IFERROR(IF(INDEX(Thu_W1[],MATCH('Individual Schedule'!$C$4,Thu_W1[Employee Name],0),MATCH('Individual Schedule'!$B14,Thu_W1[#Headers],0))="","",INDEX(Thu_W1[],MATCH('Individual Schedule'!$C$4,Thu_W1[Employee Name],0),MATCH('Individual Schedule'!$B14,Thu_W1[#Headers],0))),"")</f>
        <v/>
      </c>
      <c r="J14" s="176" t="str">
        <f>IFERROR(IF(INDEX(Fri_W2[],MATCH('Individual Schedule'!$C$4,Fri_W2[Employee Name],0),MATCH('Individual Schedule'!$B14,Fri_W2[#Headers],0))="","",INDEX(Fri_W2[],MATCH('Individual Schedule'!$C$4,Fri_W2[Employee Name],0),MATCH('Individual Schedule'!$B14,Fri_W2[#Headers],0))),"")</f>
        <v/>
      </c>
      <c r="K14" s="176" t="str">
        <f>IFERROR(IF(INDEX(Sat_W2[],MATCH('Individual Schedule'!$C$4,Sat_W2[Employee Name],0),MATCH('Individual Schedule'!$B14,Sat_W2[#Headers],0))="","",INDEX(Sat_W2[],MATCH('Individual Schedule'!$C$4,Sat_W2[Employee Name],0),MATCH('Individual Schedule'!$B14,Sat_W2[#Headers],0))),"")</f>
        <v/>
      </c>
      <c r="L14" s="176" t="str">
        <f>IFERROR(IF(INDEX(Sun_W2[],MATCH('Individual Schedule'!$C$4,Sun_W2[Employee Name],0),MATCH('Individual Schedule'!$B14,Sun_W2[#Headers],0))="","",INDEX(Sun_W2[],MATCH('Individual Schedule'!$C$4,Sun_W2[Employee Name],0),MATCH('Individual Schedule'!$B14,Sun_W2[#Headers],0))),"")</f>
        <v/>
      </c>
      <c r="M14" s="176" t="str">
        <f>IFERROR(IF(INDEX(Mon_W2[],MATCH('Individual Schedule'!$C$4,Mon_W2[Employee Name],0),MATCH('Individual Schedule'!$B14,Mon_W2[#Headers],0))="","",INDEX(Mon_W2[],MATCH('Individual Schedule'!$C$4,Mon_W2[Employee Name],0),MATCH('Individual Schedule'!$B14,Mon_W2[#Headers],0))),"")</f>
        <v/>
      </c>
      <c r="N14" s="176" t="str">
        <f>IFERROR(IF(INDEX(Tue_W2[],MATCH('Individual Schedule'!$C$4,Tue_W2[Employee Name],0),MATCH('Individual Schedule'!$B14,Tue_W2[#Headers],0))="","",INDEX(Tue_W2[],MATCH('Individual Schedule'!$C$4,Tue_W2[Employee Name],0),MATCH('Individual Schedule'!$B14,Tue_W2[#Headers],0))),"")</f>
        <v/>
      </c>
      <c r="O14" s="176" t="str">
        <f>IFERROR(IF(INDEX(Wed_W2[],MATCH('Individual Schedule'!$C$4,Wed_W2[Employee Name],0),MATCH('Individual Schedule'!$B14,Wed_W2[#Headers],0))="","",INDEX(Wed_W2[],MATCH('Individual Schedule'!$C$4,Wed_W2[Employee Name],0),MATCH('Individual Schedule'!$B14,Wed_W2[#Headers],0))),"")</f>
        <v/>
      </c>
      <c r="P14" s="177" t="str">
        <f>IFERROR(IF(INDEX(Thu_W2[],MATCH('Individual Schedule'!$C$4,Thu_W2[Employee Name],0),MATCH('Individual Schedule'!$B14,Thu_W2[#Headers],0))="","",INDEX(Thu_W2[],MATCH('Individual Schedule'!$C$4,Thu_W2[Employee Name],0),MATCH('Individual Schedule'!$B14,Thu_W2[#Headers],0))),"")</f>
        <v/>
      </c>
    </row>
    <row r="15" spans="1:16" x14ac:dyDescent="0.25">
      <c r="A15" s="129"/>
      <c r="B15" s="117" t="s">
        <v>113</v>
      </c>
      <c r="C15" s="175" t="str">
        <f>IFERROR(IF(INDEX(Fri_W1[],MATCH('Individual Schedule'!$C$4,Fri_W1[Employee Name],0),MATCH('Individual Schedule'!$B15,Fri_W1[#Headers],0))="","",INDEX(Fri_W1[],MATCH('Individual Schedule'!$C$4,Fri_W1[Employee Name],0),MATCH('Individual Schedule'!$B15,Fri_W1[#Headers],0))),"")</f>
        <v/>
      </c>
      <c r="D15" s="176" t="str">
        <f>IFERROR(IF(INDEX(Sat_W1[],MATCH('Individual Schedule'!$C$4,Sat_W1[Employee Name],0),MATCH('Individual Schedule'!$B15,Sat_W1[#Headers],0))="","",INDEX(Sat_W1[],MATCH('Individual Schedule'!$C$4,Sat_W1[Employee Name],0),MATCH('Individual Schedule'!$B15,Sat_W1[#Headers],0))),"")</f>
        <v/>
      </c>
      <c r="E15" s="176" t="str">
        <f>IFERROR(IF(INDEX(Sun_W1[],MATCH('Individual Schedule'!$C$4,Sun_W1[Employee Name],0),MATCH('Individual Schedule'!$B15,Sun_W1[#Headers],0))="","",INDEX(Sun_W1[],MATCH('Individual Schedule'!$C$4,Sun_W1[Employee Name],0),MATCH('Individual Schedule'!$B15,Sun_W1[#Headers],0))),"")</f>
        <v/>
      </c>
      <c r="F15" s="176" t="str">
        <f>IFERROR(IF(INDEX(Mon_W1[],MATCH('Individual Schedule'!$C$4,Mon_W1[Employee Name],0),MATCH('Individual Schedule'!$B15,Mon_W1[#Headers],0))="","",INDEX(Mon_W1[],MATCH('Individual Schedule'!$C$4,Mon_W1[Employee Name],0),MATCH('Individual Schedule'!$B15,Mon_W1[#Headers],0))),"")</f>
        <v/>
      </c>
      <c r="G15" s="176" t="str">
        <f>IFERROR(IF(INDEX(Tue_W1[],MATCH('Individual Schedule'!$C$4,Tue_W1[Employee Name],0),MATCH('Individual Schedule'!$B15,Tue_W1[#Headers],0))="","",INDEX(Tue_W1[],MATCH('Individual Schedule'!$C$4,Tue_W1[Employee Name],0),MATCH('Individual Schedule'!$B15,Tue_W1[#Headers],0))),"")</f>
        <v/>
      </c>
      <c r="H15" s="176" t="str">
        <f>IFERROR(IF(INDEX(Wed_W1[],MATCH('Individual Schedule'!$C$4,Wed_W1[Employee Name],0),MATCH('Individual Schedule'!$B15,Wed_W1[#Headers],0))="","",INDEX(Wed_W1[],MATCH('Individual Schedule'!$C$4,Wed_W1[Employee Name],0),MATCH('Individual Schedule'!$B15,Wed_W1[#Headers],0))),"")</f>
        <v/>
      </c>
      <c r="I15" s="176" t="str">
        <f>IFERROR(IF(INDEX(Thu_W1[],MATCH('Individual Schedule'!$C$4,Thu_W1[Employee Name],0),MATCH('Individual Schedule'!$B15,Thu_W1[#Headers],0))="","",INDEX(Thu_W1[],MATCH('Individual Schedule'!$C$4,Thu_W1[Employee Name],0),MATCH('Individual Schedule'!$B15,Thu_W1[#Headers],0))),"")</f>
        <v/>
      </c>
      <c r="J15" s="176" t="str">
        <f>IFERROR(IF(INDEX(Fri_W2[],MATCH('Individual Schedule'!$C$4,Fri_W2[Employee Name],0),MATCH('Individual Schedule'!$B15,Fri_W2[#Headers],0))="","",INDEX(Fri_W2[],MATCH('Individual Schedule'!$C$4,Fri_W2[Employee Name],0),MATCH('Individual Schedule'!$B15,Fri_W2[#Headers],0))),"")</f>
        <v/>
      </c>
      <c r="K15" s="176" t="str">
        <f>IFERROR(IF(INDEX(Sat_W2[],MATCH('Individual Schedule'!$C$4,Sat_W2[Employee Name],0),MATCH('Individual Schedule'!$B15,Sat_W2[#Headers],0))="","",INDEX(Sat_W2[],MATCH('Individual Schedule'!$C$4,Sat_W2[Employee Name],0),MATCH('Individual Schedule'!$B15,Sat_W2[#Headers],0))),"")</f>
        <v/>
      </c>
      <c r="L15" s="176" t="str">
        <f>IFERROR(IF(INDEX(Sun_W2[],MATCH('Individual Schedule'!$C$4,Sun_W2[Employee Name],0),MATCH('Individual Schedule'!$B15,Sun_W2[#Headers],0))="","",INDEX(Sun_W2[],MATCH('Individual Schedule'!$C$4,Sun_W2[Employee Name],0),MATCH('Individual Schedule'!$B15,Sun_W2[#Headers],0))),"")</f>
        <v/>
      </c>
      <c r="M15" s="176" t="str">
        <f>IFERROR(IF(INDEX(Mon_W2[],MATCH('Individual Schedule'!$C$4,Mon_W2[Employee Name],0),MATCH('Individual Schedule'!$B15,Mon_W2[#Headers],0))="","",INDEX(Mon_W2[],MATCH('Individual Schedule'!$C$4,Mon_W2[Employee Name],0),MATCH('Individual Schedule'!$B15,Mon_W2[#Headers],0))),"")</f>
        <v/>
      </c>
      <c r="N15" s="176" t="str">
        <f>IFERROR(IF(INDEX(Tue_W2[],MATCH('Individual Schedule'!$C$4,Tue_W2[Employee Name],0),MATCH('Individual Schedule'!$B15,Tue_W2[#Headers],0))="","",INDEX(Tue_W2[],MATCH('Individual Schedule'!$C$4,Tue_W2[Employee Name],0),MATCH('Individual Schedule'!$B15,Tue_W2[#Headers],0))),"")</f>
        <v/>
      </c>
      <c r="O15" s="176" t="str">
        <f>IFERROR(IF(INDEX(Wed_W2[],MATCH('Individual Schedule'!$C$4,Wed_W2[Employee Name],0),MATCH('Individual Schedule'!$B15,Wed_W2[#Headers],0))="","",INDEX(Wed_W2[],MATCH('Individual Schedule'!$C$4,Wed_W2[Employee Name],0),MATCH('Individual Schedule'!$B15,Wed_W2[#Headers],0))),"")</f>
        <v/>
      </c>
      <c r="P15" s="177" t="str">
        <f>IFERROR(IF(INDEX(Thu_W2[],MATCH('Individual Schedule'!$C$4,Thu_W2[Employee Name],0),MATCH('Individual Schedule'!$B15,Thu_W2[#Headers],0))="","",INDEX(Thu_W2[],MATCH('Individual Schedule'!$C$4,Thu_W2[Employee Name],0),MATCH('Individual Schedule'!$B15,Thu_W2[#Headers],0))),"")</f>
        <v/>
      </c>
    </row>
    <row r="16" spans="1:16" x14ac:dyDescent="0.25">
      <c r="A16" s="129"/>
      <c r="B16" s="117" t="s">
        <v>105</v>
      </c>
      <c r="C16" s="175" t="str">
        <f>IFERROR(IF(INDEX(Fri_W1[],MATCH('Individual Schedule'!$C$4,Fri_W1[Employee Name],0),MATCH('Individual Schedule'!$B16,Fri_W1[#Headers],0))="","",INDEX(Fri_W1[],MATCH('Individual Schedule'!$C$4,Fri_W1[Employee Name],0),MATCH('Individual Schedule'!$B16,Fri_W1[#Headers],0))),"")</f>
        <v/>
      </c>
      <c r="D16" s="176" t="str">
        <f>IFERROR(IF(INDEX(Sat_W1[],MATCH('Individual Schedule'!$C$4,Sat_W1[Employee Name],0),MATCH('Individual Schedule'!$B16,Sat_W1[#Headers],0))="","",INDEX(Sat_W1[],MATCH('Individual Schedule'!$C$4,Sat_W1[Employee Name],0),MATCH('Individual Schedule'!$B16,Sat_W1[#Headers],0))),"")</f>
        <v/>
      </c>
      <c r="E16" s="176" t="str">
        <f>IFERROR(IF(INDEX(Sun_W1[],MATCH('Individual Schedule'!$C$4,Sun_W1[Employee Name],0),MATCH('Individual Schedule'!$B16,Sun_W1[#Headers],0))="","",INDEX(Sun_W1[],MATCH('Individual Schedule'!$C$4,Sun_W1[Employee Name],0),MATCH('Individual Schedule'!$B16,Sun_W1[#Headers],0))),"")</f>
        <v/>
      </c>
      <c r="F16" s="176" t="str">
        <f>IFERROR(IF(INDEX(Mon_W1[],MATCH('Individual Schedule'!$C$4,Mon_W1[Employee Name],0),MATCH('Individual Schedule'!$B16,Mon_W1[#Headers],0))="","",INDEX(Mon_W1[],MATCH('Individual Schedule'!$C$4,Mon_W1[Employee Name],0),MATCH('Individual Schedule'!$B16,Mon_W1[#Headers],0))),"")</f>
        <v/>
      </c>
      <c r="G16" s="176" t="str">
        <f>IFERROR(IF(INDEX(Tue_W1[],MATCH('Individual Schedule'!$C$4,Tue_W1[Employee Name],0),MATCH('Individual Schedule'!$B16,Tue_W1[#Headers],0))="","",INDEX(Tue_W1[],MATCH('Individual Schedule'!$C$4,Tue_W1[Employee Name],0),MATCH('Individual Schedule'!$B16,Tue_W1[#Headers],0))),"")</f>
        <v/>
      </c>
      <c r="H16" s="176" t="str">
        <f>IFERROR(IF(INDEX(Wed_W1[],MATCH('Individual Schedule'!$C$4,Wed_W1[Employee Name],0),MATCH('Individual Schedule'!$B16,Wed_W1[#Headers],0))="","",INDEX(Wed_W1[],MATCH('Individual Schedule'!$C$4,Wed_W1[Employee Name],0),MATCH('Individual Schedule'!$B16,Wed_W1[#Headers],0))),"")</f>
        <v/>
      </c>
      <c r="I16" s="176" t="str">
        <f>IFERROR(IF(INDEX(Thu_W1[],MATCH('Individual Schedule'!$C$4,Thu_W1[Employee Name],0),MATCH('Individual Schedule'!$B16,Thu_W1[#Headers],0))="","",INDEX(Thu_W1[],MATCH('Individual Schedule'!$C$4,Thu_W1[Employee Name],0),MATCH('Individual Schedule'!$B16,Thu_W1[#Headers],0))),"")</f>
        <v/>
      </c>
      <c r="J16" s="176" t="str">
        <f>IFERROR(IF(INDEX(Fri_W2[],MATCH('Individual Schedule'!$C$4,Fri_W2[Employee Name],0),MATCH('Individual Schedule'!$B16,Fri_W2[#Headers],0))="","",INDEX(Fri_W2[],MATCH('Individual Schedule'!$C$4,Fri_W2[Employee Name],0),MATCH('Individual Schedule'!$B16,Fri_W2[#Headers],0))),"")</f>
        <v/>
      </c>
      <c r="K16" s="176" t="str">
        <f>IFERROR(IF(INDEX(Sat_W2[],MATCH('Individual Schedule'!$C$4,Sat_W2[Employee Name],0),MATCH('Individual Schedule'!$B16,Sat_W2[#Headers],0))="","",INDEX(Sat_W2[],MATCH('Individual Schedule'!$C$4,Sat_W2[Employee Name],0),MATCH('Individual Schedule'!$B16,Sat_W2[#Headers],0))),"")</f>
        <v/>
      </c>
      <c r="L16" s="176" t="str">
        <f>IFERROR(IF(INDEX(Sun_W2[],MATCH('Individual Schedule'!$C$4,Sun_W2[Employee Name],0),MATCH('Individual Schedule'!$B16,Sun_W2[#Headers],0))="","",INDEX(Sun_W2[],MATCH('Individual Schedule'!$C$4,Sun_W2[Employee Name],0),MATCH('Individual Schedule'!$B16,Sun_W2[#Headers],0))),"")</f>
        <v/>
      </c>
      <c r="M16" s="176" t="str">
        <f>IFERROR(IF(INDEX(Mon_W2[],MATCH('Individual Schedule'!$C$4,Mon_W2[Employee Name],0),MATCH('Individual Schedule'!$B16,Mon_W2[#Headers],0))="","",INDEX(Mon_W2[],MATCH('Individual Schedule'!$C$4,Mon_W2[Employee Name],0),MATCH('Individual Schedule'!$B16,Mon_W2[#Headers],0))),"")</f>
        <v/>
      </c>
      <c r="N16" s="176" t="str">
        <f>IFERROR(IF(INDEX(Tue_W2[],MATCH('Individual Schedule'!$C$4,Tue_W2[Employee Name],0),MATCH('Individual Schedule'!$B16,Tue_W2[#Headers],0))="","",INDEX(Tue_W2[],MATCH('Individual Schedule'!$C$4,Tue_W2[Employee Name],0),MATCH('Individual Schedule'!$B16,Tue_W2[#Headers],0))),"")</f>
        <v/>
      </c>
      <c r="O16" s="176" t="str">
        <f>IFERROR(IF(INDEX(Wed_W2[],MATCH('Individual Schedule'!$C$4,Wed_W2[Employee Name],0),MATCH('Individual Schedule'!$B16,Wed_W2[#Headers],0))="","",INDEX(Wed_W2[],MATCH('Individual Schedule'!$C$4,Wed_W2[Employee Name],0),MATCH('Individual Schedule'!$B16,Wed_W2[#Headers],0))),"")</f>
        <v/>
      </c>
      <c r="P16" s="177" t="str">
        <f>IFERROR(IF(INDEX(Thu_W2[],MATCH('Individual Schedule'!$C$4,Thu_W2[Employee Name],0),MATCH('Individual Schedule'!$B16,Thu_W2[#Headers],0))="","",INDEX(Thu_W2[],MATCH('Individual Schedule'!$C$4,Thu_W2[Employee Name],0),MATCH('Individual Schedule'!$B16,Thu_W2[#Headers],0))),"")</f>
        <v/>
      </c>
    </row>
    <row r="17" spans="1:16" x14ac:dyDescent="0.25">
      <c r="A17" s="129"/>
      <c r="B17" s="117" t="s">
        <v>107</v>
      </c>
      <c r="C17" s="175" t="str">
        <f>IFERROR(IF(INDEX(Fri_W1[],MATCH('Individual Schedule'!$C$4,Fri_W1[Employee Name],0),MATCH('Individual Schedule'!$B17,Fri_W1[#Headers],0))="","",INDEX(Fri_W1[],MATCH('Individual Schedule'!$C$4,Fri_W1[Employee Name],0),MATCH('Individual Schedule'!$B17,Fri_W1[#Headers],0))),"")</f>
        <v/>
      </c>
      <c r="D17" s="176" t="str">
        <f>IFERROR(IF(INDEX(Sat_W1[],MATCH('Individual Schedule'!$C$4,Sat_W1[Employee Name],0),MATCH('Individual Schedule'!$B17,Sat_W1[#Headers],0))="","",INDEX(Sat_W1[],MATCH('Individual Schedule'!$C$4,Sat_W1[Employee Name],0),MATCH('Individual Schedule'!$B17,Sat_W1[#Headers],0))),"")</f>
        <v/>
      </c>
      <c r="E17" s="176" t="str">
        <f>IFERROR(IF(INDEX(Sun_W1[],MATCH('Individual Schedule'!$C$4,Sun_W1[Employee Name],0),MATCH('Individual Schedule'!$B17,Sun_W1[#Headers],0))="","",INDEX(Sun_W1[],MATCH('Individual Schedule'!$C$4,Sun_W1[Employee Name],0),MATCH('Individual Schedule'!$B17,Sun_W1[#Headers],0))),"")</f>
        <v/>
      </c>
      <c r="F17" s="176" t="str">
        <f>IFERROR(IF(INDEX(Mon_W1[],MATCH('Individual Schedule'!$C$4,Mon_W1[Employee Name],0),MATCH('Individual Schedule'!$B17,Mon_W1[#Headers],0))="","",INDEX(Mon_W1[],MATCH('Individual Schedule'!$C$4,Mon_W1[Employee Name],0),MATCH('Individual Schedule'!$B17,Mon_W1[#Headers],0))),"")</f>
        <v/>
      </c>
      <c r="G17" s="176" t="str">
        <f>IFERROR(IF(INDEX(Tue_W1[],MATCH('Individual Schedule'!$C$4,Tue_W1[Employee Name],0),MATCH('Individual Schedule'!$B17,Tue_W1[#Headers],0))="","",INDEX(Tue_W1[],MATCH('Individual Schedule'!$C$4,Tue_W1[Employee Name],0),MATCH('Individual Schedule'!$B17,Tue_W1[#Headers],0))),"")</f>
        <v/>
      </c>
      <c r="H17" s="176" t="str">
        <f>IFERROR(IF(INDEX(Wed_W1[],MATCH('Individual Schedule'!$C$4,Wed_W1[Employee Name],0),MATCH('Individual Schedule'!$B17,Wed_W1[#Headers],0))="","",INDEX(Wed_W1[],MATCH('Individual Schedule'!$C$4,Wed_W1[Employee Name],0),MATCH('Individual Schedule'!$B17,Wed_W1[#Headers],0))),"")</f>
        <v/>
      </c>
      <c r="I17" s="176" t="str">
        <f>IFERROR(IF(INDEX(Thu_W1[],MATCH('Individual Schedule'!$C$4,Thu_W1[Employee Name],0),MATCH('Individual Schedule'!$B17,Thu_W1[#Headers],0))="","",INDEX(Thu_W1[],MATCH('Individual Schedule'!$C$4,Thu_W1[Employee Name],0),MATCH('Individual Schedule'!$B17,Thu_W1[#Headers],0))),"")</f>
        <v/>
      </c>
      <c r="J17" s="176" t="str">
        <f>IFERROR(IF(INDEX(Fri_W2[],MATCH('Individual Schedule'!$C$4,Fri_W2[Employee Name],0),MATCH('Individual Schedule'!$B17,Fri_W2[#Headers],0))="","",INDEX(Fri_W2[],MATCH('Individual Schedule'!$C$4,Fri_W2[Employee Name],0),MATCH('Individual Schedule'!$B17,Fri_W2[#Headers],0))),"")</f>
        <v/>
      </c>
      <c r="K17" s="176" t="str">
        <f>IFERROR(IF(INDEX(Sat_W2[],MATCH('Individual Schedule'!$C$4,Sat_W2[Employee Name],0),MATCH('Individual Schedule'!$B17,Sat_W2[#Headers],0))="","",INDEX(Sat_W2[],MATCH('Individual Schedule'!$C$4,Sat_W2[Employee Name],0),MATCH('Individual Schedule'!$B17,Sat_W2[#Headers],0))),"")</f>
        <v/>
      </c>
      <c r="L17" s="176" t="str">
        <f>IFERROR(IF(INDEX(Sun_W2[],MATCH('Individual Schedule'!$C$4,Sun_W2[Employee Name],0),MATCH('Individual Schedule'!$B17,Sun_W2[#Headers],0))="","",INDEX(Sun_W2[],MATCH('Individual Schedule'!$C$4,Sun_W2[Employee Name],0),MATCH('Individual Schedule'!$B17,Sun_W2[#Headers],0))),"")</f>
        <v/>
      </c>
      <c r="M17" s="176" t="str">
        <f>IFERROR(IF(INDEX(Mon_W2[],MATCH('Individual Schedule'!$C$4,Mon_W2[Employee Name],0),MATCH('Individual Schedule'!$B17,Mon_W2[#Headers],0))="","",INDEX(Mon_W2[],MATCH('Individual Schedule'!$C$4,Mon_W2[Employee Name],0),MATCH('Individual Schedule'!$B17,Mon_W2[#Headers],0))),"")</f>
        <v/>
      </c>
      <c r="N17" s="176" t="str">
        <f>IFERROR(IF(INDEX(Tue_W2[],MATCH('Individual Schedule'!$C$4,Tue_W2[Employee Name],0),MATCH('Individual Schedule'!$B17,Tue_W2[#Headers],0))="","",INDEX(Tue_W2[],MATCH('Individual Schedule'!$C$4,Tue_W2[Employee Name],0),MATCH('Individual Schedule'!$B17,Tue_W2[#Headers],0))),"")</f>
        <v/>
      </c>
      <c r="O17" s="176" t="str">
        <f>IFERROR(IF(INDEX(Wed_W2[],MATCH('Individual Schedule'!$C$4,Wed_W2[Employee Name],0),MATCH('Individual Schedule'!$B17,Wed_W2[#Headers],0))="","",INDEX(Wed_W2[],MATCH('Individual Schedule'!$C$4,Wed_W2[Employee Name],0),MATCH('Individual Schedule'!$B17,Wed_W2[#Headers],0))),"")</f>
        <v/>
      </c>
      <c r="P17" s="177" t="str">
        <f>IFERROR(IF(INDEX(Thu_W2[],MATCH('Individual Schedule'!$C$4,Thu_W2[Employee Name],0),MATCH('Individual Schedule'!$B17,Thu_W2[#Headers],0))="","",INDEX(Thu_W2[],MATCH('Individual Schedule'!$C$4,Thu_W2[Employee Name],0),MATCH('Individual Schedule'!$B17,Thu_W2[#Headers],0))),"")</f>
        <v/>
      </c>
    </row>
    <row r="18" spans="1:16" x14ac:dyDescent="0.25">
      <c r="A18" s="129"/>
      <c r="B18" s="117" t="s">
        <v>141</v>
      </c>
      <c r="C18" s="175" t="str">
        <f>IFERROR(IF(INDEX(Fri_W1[],MATCH('Individual Schedule'!$C$4,Fri_W1[Employee Name],0),MATCH('Individual Schedule'!$B18,Fri_W1[#Headers],0))="","",INDEX(Fri_W1[],MATCH('Individual Schedule'!$C$4,Fri_W1[Employee Name],0),MATCH('Individual Schedule'!$B18,Fri_W1[#Headers],0))),"")</f>
        <v/>
      </c>
      <c r="D18" s="176" t="str">
        <f>IFERROR(IF(INDEX(Sat_W1[],MATCH('Individual Schedule'!$C$4,Sat_W1[Employee Name],0),MATCH('Individual Schedule'!$B18,Sat_W1[#Headers],0))="","",INDEX(Sat_W1[],MATCH('Individual Schedule'!$C$4,Sat_W1[Employee Name],0),MATCH('Individual Schedule'!$B18,Sat_W1[#Headers],0))),"")</f>
        <v/>
      </c>
      <c r="E18" s="176" t="str">
        <f>IFERROR(IF(INDEX(Sun_W1[],MATCH('Individual Schedule'!$C$4,Sun_W1[Employee Name],0),MATCH('Individual Schedule'!$B18,Sun_W1[#Headers],0))="","",INDEX(Sun_W1[],MATCH('Individual Schedule'!$C$4,Sun_W1[Employee Name],0),MATCH('Individual Schedule'!$B18,Sun_W1[#Headers],0))),"")</f>
        <v/>
      </c>
      <c r="F18" s="176" t="str">
        <f>IFERROR(IF(INDEX(Mon_W1[],MATCH('Individual Schedule'!$C$4,Mon_W1[Employee Name],0),MATCH('Individual Schedule'!$B18,Mon_W1[#Headers],0))="","",INDEX(Mon_W1[],MATCH('Individual Schedule'!$C$4,Mon_W1[Employee Name],0),MATCH('Individual Schedule'!$B18,Mon_W1[#Headers],0))),"")</f>
        <v/>
      </c>
      <c r="G18" s="176" t="str">
        <f>IFERROR(IF(INDEX(Tue_W1[],MATCH('Individual Schedule'!$C$4,Tue_W1[Employee Name],0),MATCH('Individual Schedule'!$B18,Tue_W1[#Headers],0))="","",INDEX(Tue_W1[],MATCH('Individual Schedule'!$C$4,Tue_W1[Employee Name],0),MATCH('Individual Schedule'!$B18,Tue_W1[#Headers],0))),"")</f>
        <v/>
      </c>
      <c r="H18" s="176" t="str">
        <f>IFERROR(IF(INDEX(Wed_W1[],MATCH('Individual Schedule'!$C$4,Wed_W1[Employee Name],0),MATCH('Individual Schedule'!$B18,Wed_W1[#Headers],0))="","",INDEX(Wed_W1[],MATCH('Individual Schedule'!$C$4,Wed_W1[Employee Name],0),MATCH('Individual Schedule'!$B18,Wed_W1[#Headers],0))),"")</f>
        <v/>
      </c>
      <c r="I18" s="176" t="str">
        <f>IFERROR(IF(INDEX(Thu_W1[],MATCH('Individual Schedule'!$C$4,Thu_W1[Employee Name],0),MATCH('Individual Schedule'!$B18,Thu_W1[#Headers],0))="","",INDEX(Thu_W1[],MATCH('Individual Schedule'!$C$4,Thu_W1[Employee Name],0),MATCH('Individual Schedule'!$B18,Thu_W1[#Headers],0))),"")</f>
        <v/>
      </c>
      <c r="J18" s="176" t="str">
        <f>IFERROR(IF(INDEX(Fri_W2[],MATCH('Individual Schedule'!$C$4,Fri_W2[Employee Name],0),MATCH('Individual Schedule'!$B18,Fri_W2[#Headers],0))="","",INDEX(Fri_W2[],MATCH('Individual Schedule'!$C$4,Fri_W2[Employee Name],0),MATCH('Individual Schedule'!$B18,Fri_W2[#Headers],0))),"")</f>
        <v/>
      </c>
      <c r="K18" s="176" t="str">
        <f>IFERROR(IF(INDEX(Sat_W2[],MATCH('Individual Schedule'!$C$4,Sat_W2[Employee Name],0),MATCH('Individual Schedule'!$B18,Sat_W2[#Headers],0))="","",INDEX(Sat_W2[],MATCH('Individual Schedule'!$C$4,Sat_W2[Employee Name],0),MATCH('Individual Schedule'!$B18,Sat_W2[#Headers],0))),"")</f>
        <v/>
      </c>
      <c r="L18" s="176" t="str">
        <f>IFERROR(IF(INDEX(Sun_W2[],MATCH('Individual Schedule'!$C$4,Sun_W2[Employee Name],0),MATCH('Individual Schedule'!$B18,Sun_W2[#Headers],0))="","",INDEX(Sun_W2[],MATCH('Individual Schedule'!$C$4,Sun_W2[Employee Name],0),MATCH('Individual Schedule'!$B18,Sun_W2[#Headers],0))),"")</f>
        <v/>
      </c>
      <c r="M18" s="176" t="str">
        <f>IFERROR(IF(INDEX(Mon_W2[],MATCH('Individual Schedule'!$C$4,Mon_W2[Employee Name],0),MATCH('Individual Schedule'!$B18,Mon_W2[#Headers],0))="","",INDEX(Mon_W2[],MATCH('Individual Schedule'!$C$4,Mon_W2[Employee Name],0),MATCH('Individual Schedule'!$B18,Mon_W2[#Headers],0))),"")</f>
        <v/>
      </c>
      <c r="N18" s="176" t="str">
        <f>IFERROR(IF(INDEX(Tue_W2[],MATCH('Individual Schedule'!$C$4,Tue_W2[Employee Name],0),MATCH('Individual Schedule'!$B18,Tue_W2[#Headers],0))="","",INDEX(Tue_W2[],MATCH('Individual Schedule'!$C$4,Tue_W2[Employee Name],0),MATCH('Individual Schedule'!$B18,Tue_W2[#Headers],0))),"")</f>
        <v/>
      </c>
      <c r="O18" s="176" t="str">
        <f>IFERROR(IF(INDEX(Wed_W2[],MATCH('Individual Schedule'!$C$4,Wed_W2[Employee Name],0),MATCH('Individual Schedule'!$B18,Wed_W2[#Headers],0))="","",INDEX(Wed_W2[],MATCH('Individual Schedule'!$C$4,Wed_W2[Employee Name],0),MATCH('Individual Schedule'!$B18,Wed_W2[#Headers],0))),"")</f>
        <v/>
      </c>
      <c r="P18" s="177" t="str">
        <f>IFERROR(IF(INDEX(Thu_W2[],MATCH('Individual Schedule'!$C$4,Thu_W2[Employee Name],0),MATCH('Individual Schedule'!$B18,Thu_W2[#Headers],0))="","",INDEX(Thu_W2[],MATCH('Individual Schedule'!$C$4,Thu_W2[Employee Name],0),MATCH('Individual Schedule'!$B18,Thu_W2[#Headers],0))),"")</f>
        <v/>
      </c>
    </row>
    <row r="19" spans="1:16" x14ac:dyDescent="0.25">
      <c r="A19" s="129"/>
      <c r="B19" s="117" t="s">
        <v>101</v>
      </c>
      <c r="C19" s="175" t="str">
        <f>IFERROR(IF(INDEX(Fri_W1[],MATCH('Individual Schedule'!$C$4,Fri_W1[Employee Name],0),MATCH('Individual Schedule'!$B19,Fri_W1[#Headers],0))="","",INDEX(Fri_W1[],MATCH('Individual Schedule'!$C$4,Fri_W1[Employee Name],0),MATCH('Individual Schedule'!$B19,Fri_W1[#Headers],0))),"")</f>
        <v/>
      </c>
      <c r="D19" s="176" t="str">
        <f>IFERROR(IF(INDEX(Sat_W1[],MATCH('Individual Schedule'!$C$4,Sat_W1[Employee Name],0),MATCH('Individual Schedule'!$B19,Sat_W1[#Headers],0))="","",INDEX(Sat_W1[],MATCH('Individual Schedule'!$C$4,Sat_W1[Employee Name],0),MATCH('Individual Schedule'!$B19,Sat_W1[#Headers],0))),"")</f>
        <v/>
      </c>
      <c r="E19" s="176" t="str">
        <f>IFERROR(IF(INDEX(Sun_W1[],MATCH('Individual Schedule'!$C$4,Sun_W1[Employee Name],0),MATCH('Individual Schedule'!$B19,Sun_W1[#Headers],0))="","",INDEX(Sun_W1[],MATCH('Individual Schedule'!$C$4,Sun_W1[Employee Name],0),MATCH('Individual Schedule'!$B19,Sun_W1[#Headers],0))),"")</f>
        <v/>
      </c>
      <c r="F19" s="176" t="str">
        <f>IFERROR(IF(INDEX(Mon_W1[],MATCH('Individual Schedule'!$C$4,Mon_W1[Employee Name],0),MATCH('Individual Schedule'!$B19,Mon_W1[#Headers],0))="","",INDEX(Mon_W1[],MATCH('Individual Schedule'!$C$4,Mon_W1[Employee Name],0),MATCH('Individual Schedule'!$B19,Mon_W1[#Headers],0))),"")</f>
        <v/>
      </c>
      <c r="G19" s="176" t="str">
        <f>IFERROR(IF(INDEX(Tue_W1[],MATCH('Individual Schedule'!$C$4,Tue_W1[Employee Name],0),MATCH('Individual Schedule'!$B19,Tue_W1[#Headers],0))="","",INDEX(Tue_W1[],MATCH('Individual Schedule'!$C$4,Tue_W1[Employee Name],0),MATCH('Individual Schedule'!$B19,Tue_W1[#Headers],0))),"")</f>
        <v/>
      </c>
      <c r="H19" s="176" t="str">
        <f>IFERROR(IF(INDEX(Wed_W1[],MATCH('Individual Schedule'!$C$4,Wed_W1[Employee Name],0),MATCH('Individual Schedule'!$B19,Wed_W1[#Headers],0))="","",INDEX(Wed_W1[],MATCH('Individual Schedule'!$C$4,Wed_W1[Employee Name],0),MATCH('Individual Schedule'!$B19,Wed_W1[#Headers],0))),"")</f>
        <v/>
      </c>
      <c r="I19" s="176" t="str">
        <f>IFERROR(IF(INDEX(Thu_W1[],MATCH('Individual Schedule'!$C$4,Thu_W1[Employee Name],0),MATCH('Individual Schedule'!$B19,Thu_W1[#Headers],0))="","",INDEX(Thu_W1[],MATCH('Individual Schedule'!$C$4,Thu_W1[Employee Name],0),MATCH('Individual Schedule'!$B19,Thu_W1[#Headers],0))),"")</f>
        <v/>
      </c>
      <c r="J19" s="176" t="str">
        <f>IFERROR(IF(INDEX(Fri_W2[],MATCH('Individual Schedule'!$C$4,Fri_W2[Employee Name],0),MATCH('Individual Schedule'!$B19,Fri_W2[#Headers],0))="","",INDEX(Fri_W2[],MATCH('Individual Schedule'!$C$4,Fri_W2[Employee Name],0),MATCH('Individual Schedule'!$B19,Fri_W2[#Headers],0))),"")</f>
        <v/>
      </c>
      <c r="K19" s="176" t="str">
        <f>IFERROR(IF(INDEX(Sat_W2[],MATCH('Individual Schedule'!$C$4,Sat_W2[Employee Name],0),MATCH('Individual Schedule'!$B19,Sat_W2[#Headers],0))="","",INDEX(Sat_W2[],MATCH('Individual Schedule'!$C$4,Sat_W2[Employee Name],0),MATCH('Individual Schedule'!$B19,Sat_W2[#Headers],0))),"")</f>
        <v/>
      </c>
      <c r="L19" s="176" t="str">
        <f>IFERROR(IF(INDEX(Sun_W2[],MATCH('Individual Schedule'!$C$4,Sun_W2[Employee Name],0),MATCH('Individual Schedule'!$B19,Sun_W2[#Headers],0))="","",INDEX(Sun_W2[],MATCH('Individual Schedule'!$C$4,Sun_W2[Employee Name],0),MATCH('Individual Schedule'!$B19,Sun_W2[#Headers],0))),"")</f>
        <v/>
      </c>
      <c r="M19" s="176" t="str">
        <f>IFERROR(IF(INDEX(Mon_W2[],MATCH('Individual Schedule'!$C$4,Mon_W2[Employee Name],0),MATCH('Individual Schedule'!$B19,Mon_W2[#Headers],0))="","",INDEX(Mon_W2[],MATCH('Individual Schedule'!$C$4,Mon_W2[Employee Name],0),MATCH('Individual Schedule'!$B19,Mon_W2[#Headers],0))),"")</f>
        <v/>
      </c>
      <c r="N19" s="176" t="str">
        <f>IFERROR(IF(INDEX(Tue_W2[],MATCH('Individual Schedule'!$C$4,Tue_W2[Employee Name],0),MATCH('Individual Schedule'!$B19,Tue_W2[#Headers],0))="","",INDEX(Tue_W2[],MATCH('Individual Schedule'!$C$4,Tue_W2[Employee Name],0),MATCH('Individual Schedule'!$B19,Tue_W2[#Headers],0))),"")</f>
        <v/>
      </c>
      <c r="O19" s="176" t="str">
        <f>IFERROR(IF(INDEX(Wed_W2[],MATCH('Individual Schedule'!$C$4,Wed_W2[Employee Name],0),MATCH('Individual Schedule'!$B19,Wed_W2[#Headers],0))="","",INDEX(Wed_W2[],MATCH('Individual Schedule'!$C$4,Wed_W2[Employee Name],0),MATCH('Individual Schedule'!$B19,Wed_W2[#Headers],0))),"")</f>
        <v/>
      </c>
      <c r="P19" s="177" t="str">
        <f>IFERROR(IF(INDEX(Thu_W2[],MATCH('Individual Schedule'!$C$4,Thu_W2[Employee Name],0),MATCH('Individual Schedule'!$B19,Thu_W2[#Headers],0))="","",INDEX(Thu_W2[],MATCH('Individual Schedule'!$C$4,Thu_W2[Employee Name],0),MATCH('Individual Schedule'!$B19,Thu_W2[#Headers],0))),"")</f>
        <v/>
      </c>
    </row>
    <row r="20" spans="1:16" x14ac:dyDescent="0.25">
      <c r="A20" s="129"/>
      <c r="B20" s="117" t="s">
        <v>122</v>
      </c>
      <c r="C20" s="175" t="str">
        <f>IFERROR(IF(INDEX(Fri_W1[],MATCH('Individual Schedule'!$C$4,Fri_W1[Employee Name],0),MATCH('Individual Schedule'!$B20,Fri_W1[#Headers],0))="","",INDEX(Fri_W1[],MATCH('Individual Schedule'!$C$4,Fri_W1[Employee Name],0),MATCH('Individual Schedule'!$B20,Fri_W1[#Headers],0))),"")</f>
        <v/>
      </c>
      <c r="D20" s="176" t="str">
        <f>IFERROR(IF(INDEX(Sat_W1[],MATCH('Individual Schedule'!$C$4,Sat_W1[Employee Name],0),MATCH('Individual Schedule'!$B20,Sat_W1[#Headers],0))="","",INDEX(Sat_W1[],MATCH('Individual Schedule'!$C$4,Sat_W1[Employee Name],0),MATCH('Individual Schedule'!$B20,Sat_W1[#Headers],0))),"")</f>
        <v/>
      </c>
      <c r="E20" s="176" t="str">
        <f>IFERROR(IF(INDEX(Sun_W1[],MATCH('Individual Schedule'!$C$4,Sun_W1[Employee Name],0),MATCH('Individual Schedule'!$B20,Sun_W1[#Headers],0))="","",INDEX(Sun_W1[],MATCH('Individual Schedule'!$C$4,Sun_W1[Employee Name],0),MATCH('Individual Schedule'!$B20,Sun_W1[#Headers],0))),"")</f>
        <v/>
      </c>
      <c r="F20" s="176" t="str">
        <f>IFERROR(IF(INDEX(Mon_W1[],MATCH('Individual Schedule'!$C$4,Mon_W1[Employee Name],0),MATCH('Individual Schedule'!$B20,Mon_W1[#Headers],0))="","",INDEX(Mon_W1[],MATCH('Individual Schedule'!$C$4,Mon_W1[Employee Name],0),MATCH('Individual Schedule'!$B20,Mon_W1[#Headers],0))),"")</f>
        <v/>
      </c>
      <c r="G20" s="176" t="str">
        <f>IFERROR(IF(INDEX(Tue_W1[],MATCH('Individual Schedule'!$C$4,Tue_W1[Employee Name],0),MATCH('Individual Schedule'!$B20,Tue_W1[#Headers],0))="","",INDEX(Tue_W1[],MATCH('Individual Schedule'!$C$4,Tue_W1[Employee Name],0),MATCH('Individual Schedule'!$B20,Tue_W1[#Headers],0))),"")</f>
        <v/>
      </c>
      <c r="H20" s="176" t="str">
        <f>IFERROR(IF(INDEX(Wed_W1[],MATCH('Individual Schedule'!$C$4,Wed_W1[Employee Name],0),MATCH('Individual Schedule'!$B20,Wed_W1[#Headers],0))="","",INDEX(Wed_W1[],MATCH('Individual Schedule'!$C$4,Wed_W1[Employee Name],0),MATCH('Individual Schedule'!$B20,Wed_W1[#Headers],0))),"")</f>
        <v/>
      </c>
      <c r="I20" s="176" t="str">
        <f>IFERROR(IF(INDEX(Thu_W1[],MATCH('Individual Schedule'!$C$4,Thu_W1[Employee Name],0),MATCH('Individual Schedule'!$B20,Thu_W1[#Headers],0))="","",INDEX(Thu_W1[],MATCH('Individual Schedule'!$C$4,Thu_W1[Employee Name],0),MATCH('Individual Schedule'!$B20,Thu_W1[#Headers],0))),"")</f>
        <v/>
      </c>
      <c r="J20" s="176" t="str">
        <f>IFERROR(IF(INDEX(Fri_W2[],MATCH('Individual Schedule'!$C$4,Fri_W2[Employee Name],0),MATCH('Individual Schedule'!$B20,Fri_W2[#Headers],0))="","",INDEX(Fri_W2[],MATCH('Individual Schedule'!$C$4,Fri_W2[Employee Name],0),MATCH('Individual Schedule'!$B20,Fri_W2[#Headers],0))),"")</f>
        <v/>
      </c>
      <c r="K20" s="176" t="str">
        <f>IFERROR(IF(INDEX(Sat_W2[],MATCH('Individual Schedule'!$C$4,Sat_W2[Employee Name],0),MATCH('Individual Schedule'!$B20,Sat_W2[#Headers],0))="","",INDEX(Sat_W2[],MATCH('Individual Schedule'!$C$4,Sat_W2[Employee Name],0),MATCH('Individual Schedule'!$B20,Sat_W2[#Headers],0))),"")</f>
        <v/>
      </c>
      <c r="L20" s="176" t="str">
        <f>IFERROR(IF(INDEX(Sun_W2[],MATCH('Individual Schedule'!$C$4,Sun_W2[Employee Name],0),MATCH('Individual Schedule'!$B20,Sun_W2[#Headers],0))="","",INDEX(Sun_W2[],MATCH('Individual Schedule'!$C$4,Sun_W2[Employee Name],0),MATCH('Individual Schedule'!$B20,Sun_W2[#Headers],0))),"")</f>
        <v/>
      </c>
      <c r="M20" s="176" t="str">
        <f>IFERROR(IF(INDEX(Mon_W2[],MATCH('Individual Schedule'!$C$4,Mon_W2[Employee Name],0),MATCH('Individual Schedule'!$B20,Mon_W2[#Headers],0))="","",INDEX(Mon_W2[],MATCH('Individual Schedule'!$C$4,Mon_W2[Employee Name],0),MATCH('Individual Schedule'!$B20,Mon_W2[#Headers],0))),"")</f>
        <v/>
      </c>
      <c r="N20" s="176" t="str">
        <f>IFERROR(IF(INDEX(Tue_W2[],MATCH('Individual Schedule'!$C$4,Tue_W2[Employee Name],0),MATCH('Individual Schedule'!$B20,Tue_W2[#Headers],0))="","",INDEX(Tue_W2[],MATCH('Individual Schedule'!$C$4,Tue_W2[Employee Name],0),MATCH('Individual Schedule'!$B20,Tue_W2[#Headers],0))),"")</f>
        <v/>
      </c>
      <c r="O20" s="176" t="str">
        <f>IFERROR(IF(INDEX(Wed_W2[],MATCH('Individual Schedule'!$C$4,Wed_W2[Employee Name],0),MATCH('Individual Schedule'!$B20,Wed_W2[#Headers],0))="","",INDEX(Wed_W2[],MATCH('Individual Schedule'!$C$4,Wed_W2[Employee Name],0),MATCH('Individual Schedule'!$B20,Wed_W2[#Headers],0))),"")</f>
        <v/>
      </c>
      <c r="P20" s="177" t="str">
        <f>IFERROR(IF(INDEX(Thu_W2[],MATCH('Individual Schedule'!$C$4,Thu_W2[Employee Name],0),MATCH('Individual Schedule'!$B20,Thu_W2[#Headers],0))="","",INDEX(Thu_W2[],MATCH('Individual Schedule'!$C$4,Thu_W2[Employee Name],0),MATCH('Individual Schedule'!$B20,Thu_W2[#Headers],0))),"")</f>
        <v/>
      </c>
    </row>
    <row r="21" spans="1:16" x14ac:dyDescent="0.25">
      <c r="A21" s="129"/>
      <c r="B21" s="117" t="s">
        <v>116</v>
      </c>
      <c r="C21" s="175" t="str">
        <f>IFERROR(IF(INDEX(Fri_W1[],MATCH('Individual Schedule'!$C$4,Fri_W1[Employee Name],0),MATCH('Individual Schedule'!$B21,Fri_W1[#Headers],0))="","",INDEX(Fri_W1[],MATCH('Individual Schedule'!$C$4,Fri_W1[Employee Name],0),MATCH('Individual Schedule'!$B21,Fri_W1[#Headers],0))),"")</f>
        <v/>
      </c>
      <c r="D21" s="176" t="str">
        <f>IFERROR(IF(INDEX(Sat_W1[],MATCH('Individual Schedule'!$C$4,Sat_W1[Employee Name],0),MATCH('Individual Schedule'!$B21,Sat_W1[#Headers],0))="","",INDEX(Sat_W1[],MATCH('Individual Schedule'!$C$4,Sat_W1[Employee Name],0),MATCH('Individual Schedule'!$B21,Sat_W1[#Headers],0))),"")</f>
        <v/>
      </c>
      <c r="E21" s="176" t="str">
        <f>IFERROR(IF(INDEX(Sun_W1[],MATCH('Individual Schedule'!$C$4,Sun_W1[Employee Name],0),MATCH('Individual Schedule'!$B21,Sun_W1[#Headers],0))="","",INDEX(Sun_W1[],MATCH('Individual Schedule'!$C$4,Sun_W1[Employee Name],0),MATCH('Individual Schedule'!$B21,Sun_W1[#Headers],0))),"")</f>
        <v/>
      </c>
      <c r="F21" s="176" t="str">
        <f>IFERROR(IF(INDEX(Mon_W1[],MATCH('Individual Schedule'!$C$4,Mon_W1[Employee Name],0),MATCH('Individual Schedule'!$B21,Mon_W1[#Headers],0))="","",INDEX(Mon_W1[],MATCH('Individual Schedule'!$C$4,Mon_W1[Employee Name],0),MATCH('Individual Schedule'!$B21,Mon_W1[#Headers],0))),"")</f>
        <v/>
      </c>
      <c r="G21" s="176" t="str">
        <f>IFERROR(IF(INDEX(Tue_W1[],MATCH('Individual Schedule'!$C$4,Tue_W1[Employee Name],0),MATCH('Individual Schedule'!$B21,Tue_W1[#Headers],0))="","",INDEX(Tue_W1[],MATCH('Individual Schedule'!$C$4,Tue_W1[Employee Name],0),MATCH('Individual Schedule'!$B21,Tue_W1[#Headers],0))),"")</f>
        <v/>
      </c>
      <c r="H21" s="176" t="str">
        <f>IFERROR(IF(INDEX(Wed_W1[],MATCH('Individual Schedule'!$C$4,Wed_W1[Employee Name],0),MATCH('Individual Schedule'!$B21,Wed_W1[#Headers],0))="","",INDEX(Wed_W1[],MATCH('Individual Schedule'!$C$4,Wed_W1[Employee Name],0),MATCH('Individual Schedule'!$B21,Wed_W1[#Headers],0))),"")</f>
        <v/>
      </c>
      <c r="I21" s="176" t="str">
        <f>IFERROR(IF(INDEX(Thu_W1[],MATCH('Individual Schedule'!$C$4,Thu_W1[Employee Name],0),MATCH('Individual Schedule'!$B21,Thu_W1[#Headers],0))="","",INDEX(Thu_W1[],MATCH('Individual Schedule'!$C$4,Thu_W1[Employee Name],0),MATCH('Individual Schedule'!$B21,Thu_W1[#Headers],0))),"")</f>
        <v/>
      </c>
      <c r="J21" s="176" t="str">
        <f>IFERROR(IF(INDEX(Fri_W2[],MATCH('Individual Schedule'!$C$4,Fri_W2[Employee Name],0),MATCH('Individual Schedule'!$B21,Fri_W2[#Headers],0))="","",INDEX(Fri_W2[],MATCH('Individual Schedule'!$C$4,Fri_W2[Employee Name],0),MATCH('Individual Schedule'!$B21,Fri_W2[#Headers],0))),"")</f>
        <v/>
      </c>
      <c r="K21" s="176" t="str">
        <f>IFERROR(IF(INDEX(Sat_W2[],MATCH('Individual Schedule'!$C$4,Sat_W2[Employee Name],0),MATCH('Individual Schedule'!$B21,Sat_W2[#Headers],0))="","",INDEX(Sat_W2[],MATCH('Individual Schedule'!$C$4,Sat_W2[Employee Name],0),MATCH('Individual Schedule'!$B21,Sat_W2[#Headers],0))),"")</f>
        <v/>
      </c>
      <c r="L21" s="176" t="str">
        <f>IFERROR(IF(INDEX(Sun_W2[],MATCH('Individual Schedule'!$C$4,Sun_W2[Employee Name],0),MATCH('Individual Schedule'!$B21,Sun_W2[#Headers],0))="","",INDEX(Sun_W2[],MATCH('Individual Schedule'!$C$4,Sun_W2[Employee Name],0),MATCH('Individual Schedule'!$B21,Sun_W2[#Headers],0))),"")</f>
        <v/>
      </c>
      <c r="M21" s="176" t="str">
        <f>IFERROR(IF(INDEX(Mon_W2[],MATCH('Individual Schedule'!$C$4,Mon_W2[Employee Name],0),MATCH('Individual Schedule'!$B21,Mon_W2[#Headers],0))="","",INDEX(Mon_W2[],MATCH('Individual Schedule'!$C$4,Mon_W2[Employee Name],0),MATCH('Individual Schedule'!$B21,Mon_W2[#Headers],0))),"")</f>
        <v/>
      </c>
      <c r="N21" s="176" t="str">
        <f>IFERROR(IF(INDEX(Tue_W2[],MATCH('Individual Schedule'!$C$4,Tue_W2[Employee Name],0),MATCH('Individual Schedule'!$B21,Tue_W2[#Headers],0))="","",INDEX(Tue_W2[],MATCH('Individual Schedule'!$C$4,Tue_W2[Employee Name],0),MATCH('Individual Schedule'!$B21,Tue_W2[#Headers],0))),"")</f>
        <v/>
      </c>
      <c r="O21" s="176" t="str">
        <f>IFERROR(IF(INDEX(Wed_W2[],MATCH('Individual Schedule'!$C$4,Wed_W2[Employee Name],0),MATCH('Individual Schedule'!$B21,Wed_W2[#Headers],0))="","",INDEX(Wed_W2[],MATCH('Individual Schedule'!$C$4,Wed_W2[Employee Name],0),MATCH('Individual Schedule'!$B21,Wed_W2[#Headers],0))),"")</f>
        <v/>
      </c>
      <c r="P21" s="177" t="str">
        <f>IFERROR(IF(INDEX(Thu_W2[],MATCH('Individual Schedule'!$C$4,Thu_W2[Employee Name],0),MATCH('Individual Schedule'!$B21,Thu_W2[#Headers],0))="","",INDEX(Thu_W2[],MATCH('Individual Schedule'!$C$4,Thu_W2[Employee Name],0),MATCH('Individual Schedule'!$B21,Thu_W2[#Headers],0))),"")</f>
        <v/>
      </c>
    </row>
    <row r="22" spans="1:16" x14ac:dyDescent="0.25">
      <c r="A22" s="129"/>
      <c r="B22" s="117" t="s">
        <v>148</v>
      </c>
      <c r="C22" s="175" t="str">
        <f>IFERROR(IF(INDEX(Fri_W1[],MATCH('Individual Schedule'!$C$4,Fri_W1[Employee Name],0),MATCH('Individual Schedule'!$B22,Fri_W1[#Headers],0))="","",INDEX(Fri_W1[],MATCH('Individual Schedule'!$C$4,Fri_W1[Employee Name],0),MATCH('Individual Schedule'!$B22,Fri_W1[#Headers],0))),"")</f>
        <v/>
      </c>
      <c r="D22" s="176" t="str">
        <f>IFERROR(IF(INDEX(Sat_W1[],MATCH('Individual Schedule'!$C$4,Sat_W1[Employee Name],0),MATCH('Individual Schedule'!$B22,Sat_W1[#Headers],0))="","",INDEX(Sat_W1[],MATCH('Individual Schedule'!$C$4,Sat_W1[Employee Name],0),MATCH('Individual Schedule'!$B22,Sat_W1[#Headers],0))),"")</f>
        <v/>
      </c>
      <c r="E22" s="176" t="str">
        <f>IFERROR(IF(INDEX(Sun_W1[],MATCH('Individual Schedule'!$C$4,Sun_W1[Employee Name],0),MATCH('Individual Schedule'!$B22,Sun_W1[#Headers],0))="","",INDEX(Sun_W1[],MATCH('Individual Schedule'!$C$4,Sun_W1[Employee Name],0),MATCH('Individual Schedule'!$B22,Sun_W1[#Headers],0))),"")</f>
        <v/>
      </c>
      <c r="F22" s="176" t="str">
        <f>IFERROR(IF(INDEX(Mon_W1[],MATCH('Individual Schedule'!$C$4,Mon_W1[Employee Name],0),MATCH('Individual Schedule'!$B22,Mon_W1[#Headers],0))="","",INDEX(Mon_W1[],MATCH('Individual Schedule'!$C$4,Mon_W1[Employee Name],0),MATCH('Individual Schedule'!$B22,Mon_W1[#Headers],0))),"")</f>
        <v/>
      </c>
      <c r="G22" s="176" t="str">
        <f>IFERROR(IF(INDEX(Tue_W1[],MATCH('Individual Schedule'!$C$4,Tue_W1[Employee Name],0),MATCH('Individual Schedule'!$B22,Tue_W1[#Headers],0))="","",INDEX(Tue_W1[],MATCH('Individual Schedule'!$C$4,Tue_W1[Employee Name],0),MATCH('Individual Schedule'!$B22,Tue_W1[#Headers],0))),"")</f>
        <v/>
      </c>
      <c r="H22" s="176" t="str">
        <f>IFERROR(IF(INDEX(Wed_W1[],MATCH('Individual Schedule'!$C$4,Wed_W1[Employee Name],0),MATCH('Individual Schedule'!$B22,Wed_W1[#Headers],0))="","",INDEX(Wed_W1[],MATCH('Individual Schedule'!$C$4,Wed_W1[Employee Name],0),MATCH('Individual Schedule'!$B22,Wed_W1[#Headers],0))),"")</f>
        <v/>
      </c>
      <c r="I22" s="176" t="str">
        <f>IFERROR(IF(INDEX(Thu_W1[],MATCH('Individual Schedule'!$C$4,Thu_W1[Employee Name],0),MATCH('Individual Schedule'!$B22,Thu_W1[#Headers],0))="","",INDEX(Thu_W1[],MATCH('Individual Schedule'!$C$4,Thu_W1[Employee Name],0),MATCH('Individual Schedule'!$B22,Thu_W1[#Headers],0))),"")</f>
        <v/>
      </c>
      <c r="J22" s="176" t="str">
        <f>IFERROR(IF(INDEX(Fri_W2[],MATCH('Individual Schedule'!$C$4,Fri_W2[Employee Name],0),MATCH('Individual Schedule'!$B22,Fri_W2[#Headers],0))="","",INDEX(Fri_W2[],MATCH('Individual Schedule'!$C$4,Fri_W2[Employee Name],0),MATCH('Individual Schedule'!$B22,Fri_W2[#Headers],0))),"")</f>
        <v/>
      </c>
      <c r="K22" s="176" t="str">
        <f>IFERROR(IF(INDEX(Sat_W2[],MATCH('Individual Schedule'!$C$4,Sat_W2[Employee Name],0),MATCH('Individual Schedule'!$B22,Sat_W2[#Headers],0))="","",INDEX(Sat_W2[],MATCH('Individual Schedule'!$C$4,Sat_W2[Employee Name],0),MATCH('Individual Schedule'!$B22,Sat_W2[#Headers],0))),"")</f>
        <v/>
      </c>
      <c r="L22" s="176" t="str">
        <f>IFERROR(IF(INDEX(Sun_W2[],MATCH('Individual Schedule'!$C$4,Sun_W2[Employee Name],0),MATCH('Individual Schedule'!$B22,Sun_W2[#Headers],0))="","",INDEX(Sun_W2[],MATCH('Individual Schedule'!$C$4,Sun_W2[Employee Name],0),MATCH('Individual Schedule'!$B22,Sun_W2[#Headers],0))),"")</f>
        <v/>
      </c>
      <c r="M22" s="176" t="str">
        <f>IFERROR(IF(INDEX(Mon_W2[],MATCH('Individual Schedule'!$C$4,Mon_W2[Employee Name],0),MATCH('Individual Schedule'!$B22,Mon_W2[#Headers],0))="","",INDEX(Mon_W2[],MATCH('Individual Schedule'!$C$4,Mon_W2[Employee Name],0),MATCH('Individual Schedule'!$B22,Mon_W2[#Headers],0))),"")</f>
        <v/>
      </c>
      <c r="N22" s="176" t="str">
        <f>IFERROR(IF(INDEX(Tue_W2[],MATCH('Individual Schedule'!$C$4,Tue_W2[Employee Name],0),MATCH('Individual Schedule'!$B22,Tue_W2[#Headers],0))="","",INDEX(Tue_W2[],MATCH('Individual Schedule'!$C$4,Tue_W2[Employee Name],0),MATCH('Individual Schedule'!$B22,Tue_W2[#Headers],0))),"")</f>
        <v/>
      </c>
      <c r="O22" s="176" t="str">
        <f>IFERROR(IF(INDEX(Wed_W2[],MATCH('Individual Schedule'!$C$4,Wed_W2[Employee Name],0),MATCH('Individual Schedule'!$B22,Wed_W2[#Headers],0))="","",INDEX(Wed_W2[],MATCH('Individual Schedule'!$C$4,Wed_W2[Employee Name],0),MATCH('Individual Schedule'!$B22,Wed_W2[#Headers],0))),"")</f>
        <v/>
      </c>
      <c r="P22" s="177" t="str">
        <f>IFERROR(IF(INDEX(Thu_W2[],MATCH('Individual Schedule'!$C$4,Thu_W2[Employee Name],0),MATCH('Individual Schedule'!$B22,Thu_W2[#Headers],0))="","",INDEX(Thu_W2[],MATCH('Individual Schedule'!$C$4,Thu_W2[Employee Name],0),MATCH('Individual Schedule'!$B22,Thu_W2[#Headers],0))),"")</f>
        <v/>
      </c>
    </row>
    <row r="23" spans="1:16" x14ac:dyDescent="0.25">
      <c r="A23" s="129"/>
      <c r="B23" s="117" t="s">
        <v>149</v>
      </c>
      <c r="C23" s="175" t="str">
        <f>IFERROR(IF(INDEX(Fri_W1[],MATCH('Individual Schedule'!$C$4,Fri_W1[Employee Name],0),MATCH('Individual Schedule'!$B23,Fri_W1[#Headers],0))="","",INDEX(Fri_W1[],MATCH('Individual Schedule'!$C$4,Fri_W1[Employee Name],0),MATCH('Individual Schedule'!$B23,Fri_W1[#Headers],0))),"")</f>
        <v>-</v>
      </c>
      <c r="D23" s="176" t="str">
        <f>IFERROR(IF(INDEX(Sat_W1[],MATCH('Individual Schedule'!$C$4,Sat_W1[Employee Name],0),MATCH('Individual Schedule'!$B23,Sat_W1[#Headers],0))="","",INDEX(Sat_W1[],MATCH('Individual Schedule'!$C$4,Sat_W1[Employee Name],0),MATCH('Individual Schedule'!$B23,Sat_W1[#Headers],0))),"")</f>
        <v/>
      </c>
      <c r="E23" s="176" t="str">
        <f>IFERROR(IF(INDEX(Sun_W1[],MATCH('Individual Schedule'!$C$4,Sun_W1[Employee Name],0),MATCH('Individual Schedule'!$B23,Sun_W1[#Headers],0))="","",INDEX(Sun_W1[],MATCH('Individual Schedule'!$C$4,Sun_W1[Employee Name],0),MATCH('Individual Schedule'!$B23,Sun_W1[#Headers],0))),"")</f>
        <v/>
      </c>
      <c r="F23" s="176" t="str">
        <f>IFERROR(IF(INDEX(Mon_W1[],MATCH('Individual Schedule'!$C$4,Mon_W1[Employee Name],0),MATCH('Individual Schedule'!$B23,Mon_W1[#Headers],0))="","",INDEX(Mon_W1[],MATCH('Individual Schedule'!$C$4,Mon_W1[Employee Name],0),MATCH('Individual Schedule'!$B23,Mon_W1[#Headers],0))),"")</f>
        <v>-</v>
      </c>
      <c r="G23" s="176" t="str">
        <f>IFERROR(IF(INDEX(Tue_W1[],MATCH('Individual Schedule'!$C$4,Tue_W1[Employee Name],0),MATCH('Individual Schedule'!$B23,Tue_W1[#Headers],0))="","",INDEX(Tue_W1[],MATCH('Individual Schedule'!$C$4,Tue_W1[Employee Name],0),MATCH('Individual Schedule'!$B23,Tue_W1[#Headers],0))),"")</f>
        <v>-</v>
      </c>
      <c r="H23" s="176" t="str">
        <f>IFERROR(IF(INDEX(Wed_W1[],MATCH('Individual Schedule'!$C$4,Wed_W1[Employee Name],0),MATCH('Individual Schedule'!$B23,Wed_W1[#Headers],0))="","",INDEX(Wed_W1[],MATCH('Individual Schedule'!$C$4,Wed_W1[Employee Name],0),MATCH('Individual Schedule'!$B23,Wed_W1[#Headers],0))),"")</f>
        <v>-</v>
      </c>
      <c r="I23" s="176" t="str">
        <f>IFERROR(IF(INDEX(Thu_W1[],MATCH('Individual Schedule'!$C$4,Thu_W1[Employee Name],0),MATCH('Individual Schedule'!$B23,Thu_W1[#Headers],0))="","",INDEX(Thu_W1[],MATCH('Individual Schedule'!$C$4,Thu_W1[Employee Name],0),MATCH('Individual Schedule'!$B23,Thu_W1[#Headers],0))),"")</f>
        <v>-</v>
      </c>
      <c r="J23" s="176" t="str">
        <f>IFERROR(IF(INDEX(Fri_W2[],MATCH('Individual Schedule'!$C$4,Fri_W2[Employee Name],0),MATCH('Individual Schedule'!$B23,Fri_W2[#Headers],0))="","",INDEX(Fri_W2[],MATCH('Individual Schedule'!$C$4,Fri_W2[Employee Name],0),MATCH('Individual Schedule'!$B23,Fri_W2[#Headers],0))),"")</f>
        <v>-</v>
      </c>
      <c r="K23" s="176" t="str">
        <f>IFERROR(IF(INDEX(Sat_W2[],MATCH('Individual Schedule'!$C$4,Sat_W2[Employee Name],0),MATCH('Individual Schedule'!$B23,Sat_W2[#Headers],0))="","",INDEX(Sat_W2[],MATCH('Individual Schedule'!$C$4,Sat_W2[Employee Name],0),MATCH('Individual Schedule'!$B23,Sat_W2[#Headers],0))),"")</f>
        <v/>
      </c>
      <c r="L23" s="176" t="str">
        <f>IFERROR(IF(INDEX(Sun_W2[],MATCH('Individual Schedule'!$C$4,Sun_W2[Employee Name],0),MATCH('Individual Schedule'!$B23,Sun_W2[#Headers],0))="","",INDEX(Sun_W2[],MATCH('Individual Schedule'!$C$4,Sun_W2[Employee Name],0),MATCH('Individual Schedule'!$B23,Sun_W2[#Headers],0))),"")</f>
        <v/>
      </c>
      <c r="M23" s="176" t="str">
        <f>IFERROR(IF(INDEX(Mon_W2[],MATCH('Individual Schedule'!$C$4,Mon_W2[Employee Name],0),MATCH('Individual Schedule'!$B23,Mon_W2[#Headers],0))="","",INDEX(Mon_W2[],MATCH('Individual Schedule'!$C$4,Mon_W2[Employee Name],0),MATCH('Individual Schedule'!$B23,Mon_W2[#Headers],0))),"")</f>
        <v>-</v>
      </c>
      <c r="N23" s="176" t="str">
        <f>IFERROR(IF(INDEX(Tue_W2[],MATCH('Individual Schedule'!$C$4,Tue_W2[Employee Name],0),MATCH('Individual Schedule'!$B23,Tue_W2[#Headers],0))="","",INDEX(Tue_W2[],MATCH('Individual Schedule'!$C$4,Tue_W2[Employee Name],0),MATCH('Individual Schedule'!$B23,Tue_W2[#Headers],0))),"")</f>
        <v>-</v>
      </c>
      <c r="O23" s="176" t="str">
        <f>IFERROR(IF(INDEX(Wed_W2[],MATCH('Individual Schedule'!$C$4,Wed_W2[Employee Name],0),MATCH('Individual Schedule'!$B23,Wed_W2[#Headers],0))="","",INDEX(Wed_W2[],MATCH('Individual Schedule'!$C$4,Wed_W2[Employee Name],0),MATCH('Individual Schedule'!$B23,Wed_W2[#Headers],0))),"")</f>
        <v>-</v>
      </c>
      <c r="P23" s="177" t="str">
        <f>IFERROR(IF(INDEX(Thu_W2[],MATCH('Individual Schedule'!$C$4,Thu_W2[Employee Name],0),MATCH('Individual Schedule'!$B23,Thu_W2[#Headers],0))="","",INDEX(Thu_W2[],MATCH('Individual Schedule'!$C$4,Thu_W2[Employee Name],0),MATCH('Individual Schedule'!$B23,Thu_W2[#Headers],0))),"")</f>
        <v>-</v>
      </c>
    </row>
    <row r="24" spans="1:16" x14ac:dyDescent="0.25">
      <c r="A24" s="129"/>
      <c r="B24" s="117" t="s">
        <v>111</v>
      </c>
      <c r="C24" s="175" t="str">
        <f>IFERROR(IF(INDEX(Fri_W1[],MATCH('Individual Schedule'!$C$4,Fri_W1[Employee Name],0),MATCH('Individual Schedule'!$B24,Fri_W1[#Headers],0))="","",INDEX(Fri_W1[],MATCH('Individual Schedule'!$C$4,Fri_W1[Employee Name],0),MATCH('Individual Schedule'!$B24,Fri_W1[#Headers],0))),"")</f>
        <v>-</v>
      </c>
      <c r="D24" s="176" t="str">
        <f>IFERROR(IF(INDEX(Sat_W1[],MATCH('Individual Schedule'!$C$4,Sat_W1[Employee Name],0),MATCH('Individual Schedule'!$B24,Sat_W1[#Headers],0))="","",INDEX(Sat_W1[],MATCH('Individual Schedule'!$C$4,Sat_W1[Employee Name],0),MATCH('Individual Schedule'!$B24,Sat_W1[#Headers],0))),"")</f>
        <v/>
      </c>
      <c r="E24" s="176" t="str">
        <f>IFERROR(IF(INDEX(Sun_W1[],MATCH('Individual Schedule'!$C$4,Sun_W1[Employee Name],0),MATCH('Individual Schedule'!$B24,Sun_W1[#Headers],0))="","",INDEX(Sun_W1[],MATCH('Individual Schedule'!$C$4,Sun_W1[Employee Name],0),MATCH('Individual Schedule'!$B24,Sun_W1[#Headers],0))),"")</f>
        <v/>
      </c>
      <c r="F24" s="176" t="str">
        <f>IFERROR(IF(INDEX(Mon_W1[],MATCH('Individual Schedule'!$C$4,Mon_W1[Employee Name],0),MATCH('Individual Schedule'!$B24,Mon_W1[#Headers],0))="","",INDEX(Mon_W1[],MATCH('Individual Schedule'!$C$4,Mon_W1[Employee Name],0),MATCH('Individual Schedule'!$B24,Mon_W1[#Headers],0))),"")</f>
        <v>-</v>
      </c>
      <c r="G24" s="176" t="str">
        <f>IFERROR(IF(INDEX(Tue_W1[],MATCH('Individual Schedule'!$C$4,Tue_W1[Employee Name],0),MATCH('Individual Schedule'!$B24,Tue_W1[#Headers],0))="","",INDEX(Tue_W1[],MATCH('Individual Schedule'!$C$4,Tue_W1[Employee Name],0),MATCH('Individual Schedule'!$B24,Tue_W1[#Headers],0))),"")</f>
        <v>-</v>
      </c>
      <c r="H24" s="176" t="str">
        <f>IFERROR(IF(INDEX(Wed_W1[],MATCH('Individual Schedule'!$C$4,Wed_W1[Employee Name],0),MATCH('Individual Schedule'!$B24,Wed_W1[#Headers],0))="","",INDEX(Wed_W1[],MATCH('Individual Schedule'!$C$4,Wed_W1[Employee Name],0),MATCH('Individual Schedule'!$B24,Wed_W1[#Headers],0))),"")</f>
        <v>-</v>
      </c>
      <c r="I24" s="176" t="str">
        <f>IFERROR(IF(INDEX(Thu_W1[],MATCH('Individual Schedule'!$C$4,Thu_W1[Employee Name],0),MATCH('Individual Schedule'!$B24,Thu_W1[#Headers],0))="","",INDEX(Thu_W1[],MATCH('Individual Schedule'!$C$4,Thu_W1[Employee Name],0),MATCH('Individual Schedule'!$B24,Thu_W1[#Headers],0))),"")</f>
        <v>-</v>
      </c>
      <c r="J24" s="176" t="str">
        <f>IFERROR(IF(INDEX(Fri_W2[],MATCH('Individual Schedule'!$C$4,Fri_W2[Employee Name],0),MATCH('Individual Schedule'!$B24,Fri_W2[#Headers],0))="","",INDEX(Fri_W2[],MATCH('Individual Schedule'!$C$4,Fri_W2[Employee Name],0),MATCH('Individual Schedule'!$B24,Fri_W2[#Headers],0))),"")</f>
        <v>-</v>
      </c>
      <c r="K24" s="176" t="str">
        <f>IFERROR(IF(INDEX(Sat_W2[],MATCH('Individual Schedule'!$C$4,Sat_W2[Employee Name],0),MATCH('Individual Schedule'!$B24,Sat_W2[#Headers],0))="","",INDEX(Sat_W2[],MATCH('Individual Schedule'!$C$4,Sat_W2[Employee Name],0),MATCH('Individual Schedule'!$B24,Sat_W2[#Headers],0))),"")</f>
        <v/>
      </c>
      <c r="L24" s="176" t="str">
        <f>IFERROR(IF(INDEX(Sun_W2[],MATCH('Individual Schedule'!$C$4,Sun_W2[Employee Name],0),MATCH('Individual Schedule'!$B24,Sun_W2[#Headers],0))="","",INDEX(Sun_W2[],MATCH('Individual Schedule'!$C$4,Sun_W2[Employee Name],0),MATCH('Individual Schedule'!$B24,Sun_W2[#Headers],0))),"")</f>
        <v/>
      </c>
      <c r="M24" s="176" t="str">
        <f>IFERROR(IF(INDEX(Mon_W2[],MATCH('Individual Schedule'!$C$4,Mon_W2[Employee Name],0),MATCH('Individual Schedule'!$B24,Mon_W2[#Headers],0))="","",INDEX(Mon_W2[],MATCH('Individual Schedule'!$C$4,Mon_W2[Employee Name],0),MATCH('Individual Schedule'!$B24,Mon_W2[#Headers],0))),"")</f>
        <v>-</v>
      </c>
      <c r="N24" s="176" t="str">
        <f>IFERROR(IF(INDEX(Tue_W2[],MATCH('Individual Schedule'!$C$4,Tue_W2[Employee Name],0),MATCH('Individual Schedule'!$B24,Tue_W2[#Headers],0))="","",INDEX(Tue_W2[],MATCH('Individual Schedule'!$C$4,Tue_W2[Employee Name],0),MATCH('Individual Schedule'!$B24,Tue_W2[#Headers],0))),"")</f>
        <v>-</v>
      </c>
      <c r="O24" s="176" t="str">
        <f>IFERROR(IF(INDEX(Wed_W2[],MATCH('Individual Schedule'!$C$4,Wed_W2[Employee Name],0),MATCH('Individual Schedule'!$B24,Wed_W2[#Headers],0))="","",INDEX(Wed_W2[],MATCH('Individual Schedule'!$C$4,Wed_W2[Employee Name],0),MATCH('Individual Schedule'!$B24,Wed_W2[#Headers],0))),"")</f>
        <v>-</v>
      </c>
      <c r="P24" s="177" t="str">
        <f>IFERROR(IF(INDEX(Thu_W2[],MATCH('Individual Schedule'!$C$4,Thu_W2[Employee Name],0),MATCH('Individual Schedule'!$B24,Thu_W2[#Headers],0))="","",INDEX(Thu_W2[],MATCH('Individual Schedule'!$C$4,Thu_W2[Employee Name],0),MATCH('Individual Schedule'!$B24,Thu_W2[#Headers],0))),"")</f>
        <v>-</v>
      </c>
    </row>
    <row r="25" spans="1:16" x14ac:dyDescent="0.25">
      <c r="A25" s="129"/>
      <c r="B25" s="117" t="s">
        <v>94</v>
      </c>
      <c r="C25" s="175" t="str">
        <f>IFERROR(IF(INDEX(Fri_W1[],MATCH('Individual Schedule'!$C$4,Fri_W1[Employee Name],0),MATCH('Individual Schedule'!$B25,Fri_W1[#Headers],0))="","",INDEX(Fri_W1[],MATCH('Individual Schedule'!$C$4,Fri_W1[Employee Name],0),MATCH('Individual Schedule'!$B25,Fri_W1[#Headers],0))),"")</f>
        <v>-</v>
      </c>
      <c r="D25" s="176" t="str">
        <f>IFERROR(IF(INDEX(Sat_W1[],MATCH('Individual Schedule'!$C$4,Sat_W1[Employee Name],0),MATCH('Individual Schedule'!$B25,Sat_W1[#Headers],0))="","",INDEX(Sat_W1[],MATCH('Individual Schedule'!$C$4,Sat_W1[Employee Name],0),MATCH('Individual Schedule'!$B25,Sat_W1[#Headers],0))),"")</f>
        <v/>
      </c>
      <c r="E25" s="176" t="str">
        <f>IFERROR(IF(INDEX(Sun_W1[],MATCH('Individual Schedule'!$C$4,Sun_W1[Employee Name],0),MATCH('Individual Schedule'!$B25,Sun_W1[#Headers],0))="","",INDEX(Sun_W1[],MATCH('Individual Schedule'!$C$4,Sun_W1[Employee Name],0),MATCH('Individual Schedule'!$B25,Sun_W1[#Headers],0))),"")</f>
        <v/>
      </c>
      <c r="F25" s="176" t="str">
        <f>IFERROR(IF(INDEX(Mon_W1[],MATCH('Individual Schedule'!$C$4,Mon_W1[Employee Name],0),MATCH('Individual Schedule'!$B25,Mon_W1[#Headers],0))="","",INDEX(Mon_W1[],MATCH('Individual Schedule'!$C$4,Mon_W1[Employee Name],0),MATCH('Individual Schedule'!$B25,Mon_W1[#Headers],0))),"")</f>
        <v>-</v>
      </c>
      <c r="G25" s="176" t="str">
        <f>IFERROR(IF(INDEX(Tue_W1[],MATCH('Individual Schedule'!$C$4,Tue_W1[Employee Name],0),MATCH('Individual Schedule'!$B25,Tue_W1[#Headers],0))="","",INDEX(Tue_W1[],MATCH('Individual Schedule'!$C$4,Tue_W1[Employee Name],0),MATCH('Individual Schedule'!$B25,Tue_W1[#Headers],0))),"")</f>
        <v>-</v>
      </c>
      <c r="H25" s="176" t="str">
        <f>IFERROR(IF(INDEX(Wed_W1[],MATCH('Individual Schedule'!$C$4,Wed_W1[Employee Name],0),MATCH('Individual Schedule'!$B25,Wed_W1[#Headers],0))="","",INDEX(Wed_W1[],MATCH('Individual Schedule'!$C$4,Wed_W1[Employee Name],0),MATCH('Individual Schedule'!$B25,Wed_W1[#Headers],0))),"")</f>
        <v>-</v>
      </c>
      <c r="I25" s="176" t="str">
        <f>IFERROR(IF(INDEX(Thu_W1[],MATCH('Individual Schedule'!$C$4,Thu_W1[Employee Name],0),MATCH('Individual Schedule'!$B25,Thu_W1[#Headers],0))="","",INDEX(Thu_W1[],MATCH('Individual Schedule'!$C$4,Thu_W1[Employee Name],0),MATCH('Individual Schedule'!$B25,Thu_W1[#Headers],0))),"")</f>
        <v>-</v>
      </c>
      <c r="J25" s="176" t="str">
        <f>IFERROR(IF(INDEX(Fri_W2[],MATCH('Individual Schedule'!$C$4,Fri_W2[Employee Name],0),MATCH('Individual Schedule'!$B25,Fri_W2[#Headers],0))="","",INDEX(Fri_W2[],MATCH('Individual Schedule'!$C$4,Fri_W2[Employee Name],0),MATCH('Individual Schedule'!$B25,Fri_W2[#Headers],0))),"")</f>
        <v>-</v>
      </c>
      <c r="K25" s="176" t="str">
        <f>IFERROR(IF(INDEX(Sat_W2[],MATCH('Individual Schedule'!$C$4,Sat_W2[Employee Name],0),MATCH('Individual Schedule'!$B25,Sat_W2[#Headers],0))="","",INDEX(Sat_W2[],MATCH('Individual Schedule'!$C$4,Sat_W2[Employee Name],0),MATCH('Individual Schedule'!$B25,Sat_W2[#Headers],0))),"")</f>
        <v/>
      </c>
      <c r="L25" s="176" t="str">
        <f>IFERROR(IF(INDEX(Sun_W2[],MATCH('Individual Schedule'!$C$4,Sun_W2[Employee Name],0),MATCH('Individual Schedule'!$B25,Sun_W2[#Headers],0))="","",INDEX(Sun_W2[],MATCH('Individual Schedule'!$C$4,Sun_W2[Employee Name],0),MATCH('Individual Schedule'!$B25,Sun_W2[#Headers],0))),"")</f>
        <v/>
      </c>
      <c r="M25" s="176" t="str">
        <f>IFERROR(IF(INDEX(Mon_W2[],MATCH('Individual Schedule'!$C$4,Mon_W2[Employee Name],0),MATCH('Individual Schedule'!$B25,Mon_W2[#Headers],0))="","",INDEX(Mon_W2[],MATCH('Individual Schedule'!$C$4,Mon_W2[Employee Name],0),MATCH('Individual Schedule'!$B25,Mon_W2[#Headers],0))),"")</f>
        <v>-</v>
      </c>
      <c r="N25" s="176" t="str">
        <f>IFERROR(IF(INDEX(Tue_W2[],MATCH('Individual Schedule'!$C$4,Tue_W2[Employee Name],0),MATCH('Individual Schedule'!$B25,Tue_W2[#Headers],0))="","",INDEX(Tue_W2[],MATCH('Individual Schedule'!$C$4,Tue_W2[Employee Name],0),MATCH('Individual Schedule'!$B25,Tue_W2[#Headers],0))),"")</f>
        <v>-</v>
      </c>
      <c r="O25" s="176" t="str">
        <f>IFERROR(IF(INDEX(Wed_W2[],MATCH('Individual Schedule'!$C$4,Wed_W2[Employee Name],0),MATCH('Individual Schedule'!$B25,Wed_W2[#Headers],0))="","",INDEX(Wed_W2[],MATCH('Individual Schedule'!$C$4,Wed_W2[Employee Name],0),MATCH('Individual Schedule'!$B25,Wed_W2[#Headers],0))),"")</f>
        <v>-</v>
      </c>
      <c r="P25" s="177" t="str">
        <f>IFERROR(IF(INDEX(Thu_W2[],MATCH('Individual Schedule'!$C$4,Thu_W2[Employee Name],0),MATCH('Individual Schedule'!$B25,Thu_W2[#Headers],0))="","",INDEX(Thu_W2[],MATCH('Individual Schedule'!$C$4,Thu_W2[Employee Name],0),MATCH('Individual Schedule'!$B25,Thu_W2[#Headers],0))),"")</f>
        <v>-</v>
      </c>
    </row>
    <row r="26" spans="1:16" x14ac:dyDescent="0.25">
      <c r="A26" s="129"/>
      <c r="B26" s="117" t="s">
        <v>96</v>
      </c>
      <c r="C26" s="175" t="str">
        <f>IFERROR(IF(INDEX(Fri_W1[],MATCH('Individual Schedule'!$C$4,Fri_W1[Employee Name],0),MATCH('Individual Schedule'!$B26,Fri_W1[#Headers],0))="","",INDEX(Fri_W1[],MATCH('Individual Schedule'!$C$4,Fri_W1[Employee Name],0),MATCH('Individual Schedule'!$B26,Fri_W1[#Headers],0))),"")</f>
        <v>-</v>
      </c>
      <c r="D26" s="176" t="str">
        <f>IFERROR(IF(INDEX(Sat_W1[],MATCH('Individual Schedule'!$C$4,Sat_W1[Employee Name],0),MATCH('Individual Schedule'!$B26,Sat_W1[#Headers],0))="","",INDEX(Sat_W1[],MATCH('Individual Schedule'!$C$4,Sat_W1[Employee Name],0),MATCH('Individual Schedule'!$B26,Sat_W1[#Headers],0))),"")</f>
        <v/>
      </c>
      <c r="E26" s="176" t="str">
        <f>IFERROR(IF(INDEX(Sun_W1[],MATCH('Individual Schedule'!$C$4,Sun_W1[Employee Name],0),MATCH('Individual Schedule'!$B26,Sun_W1[#Headers],0))="","",INDEX(Sun_W1[],MATCH('Individual Schedule'!$C$4,Sun_W1[Employee Name],0),MATCH('Individual Schedule'!$B26,Sun_W1[#Headers],0))),"")</f>
        <v/>
      </c>
      <c r="F26" s="176" t="str">
        <f>IFERROR(IF(INDEX(Mon_W1[],MATCH('Individual Schedule'!$C$4,Mon_W1[Employee Name],0),MATCH('Individual Schedule'!$B26,Mon_W1[#Headers],0))="","",INDEX(Mon_W1[],MATCH('Individual Schedule'!$C$4,Mon_W1[Employee Name],0),MATCH('Individual Schedule'!$B26,Mon_W1[#Headers],0))),"")</f>
        <v>-</v>
      </c>
      <c r="G26" s="176" t="str">
        <f>IFERROR(IF(INDEX(Tue_W1[],MATCH('Individual Schedule'!$C$4,Tue_W1[Employee Name],0),MATCH('Individual Schedule'!$B26,Tue_W1[#Headers],0))="","",INDEX(Tue_W1[],MATCH('Individual Schedule'!$C$4,Tue_W1[Employee Name],0),MATCH('Individual Schedule'!$B26,Tue_W1[#Headers],0))),"")</f>
        <v>Coaching</v>
      </c>
      <c r="H26" s="176" t="str">
        <f>IFERROR(IF(INDEX(Wed_W1[],MATCH('Individual Schedule'!$C$4,Wed_W1[Employee Name],0),MATCH('Individual Schedule'!$B26,Wed_W1[#Headers],0))="","",INDEX(Wed_W1[],MATCH('Individual Schedule'!$C$4,Wed_W1[Employee Name],0),MATCH('Individual Schedule'!$B26,Wed_W1[#Headers],0))),"")</f>
        <v>-</v>
      </c>
      <c r="I26" s="176" t="str">
        <f>IFERROR(IF(INDEX(Thu_W1[],MATCH('Individual Schedule'!$C$4,Thu_W1[Employee Name],0),MATCH('Individual Schedule'!$B26,Thu_W1[#Headers],0))="","",INDEX(Thu_W1[],MATCH('Individual Schedule'!$C$4,Thu_W1[Employee Name],0),MATCH('Individual Schedule'!$B26,Thu_W1[#Headers],0))),"")</f>
        <v>Interview</v>
      </c>
      <c r="J26" s="176" t="str">
        <f>IFERROR(IF(INDEX(Fri_W2[],MATCH('Individual Schedule'!$C$4,Fri_W2[Employee Name],0),MATCH('Individual Schedule'!$B26,Fri_W2[#Headers],0))="","",INDEX(Fri_W2[],MATCH('Individual Schedule'!$C$4,Fri_W2[Employee Name],0),MATCH('Individual Schedule'!$B26,Fri_W2[#Headers],0))),"")</f>
        <v>-</v>
      </c>
      <c r="K26" s="176" t="str">
        <f>IFERROR(IF(INDEX(Sat_W2[],MATCH('Individual Schedule'!$C$4,Sat_W2[Employee Name],0),MATCH('Individual Schedule'!$B26,Sat_W2[#Headers],0))="","",INDEX(Sat_W2[],MATCH('Individual Schedule'!$C$4,Sat_W2[Employee Name],0),MATCH('Individual Schedule'!$B26,Sat_W2[#Headers],0))),"")</f>
        <v/>
      </c>
      <c r="L26" s="176" t="str">
        <f>IFERROR(IF(INDEX(Sun_W2[],MATCH('Individual Schedule'!$C$4,Sun_W2[Employee Name],0),MATCH('Individual Schedule'!$B26,Sun_W2[#Headers],0))="","",INDEX(Sun_W2[],MATCH('Individual Schedule'!$C$4,Sun_W2[Employee Name],0),MATCH('Individual Schedule'!$B26,Sun_W2[#Headers],0))),"")</f>
        <v/>
      </c>
      <c r="M26" s="176" t="str">
        <f>IFERROR(IF(INDEX(Mon_W2[],MATCH('Individual Schedule'!$C$4,Mon_W2[Employee Name],0),MATCH('Individual Schedule'!$B26,Mon_W2[#Headers],0))="","",INDEX(Mon_W2[],MATCH('Individual Schedule'!$C$4,Mon_W2[Employee Name],0),MATCH('Individual Schedule'!$B26,Mon_W2[#Headers],0))),"")</f>
        <v>-</v>
      </c>
      <c r="N26" s="176" t="str">
        <f>IFERROR(IF(INDEX(Tue_W2[],MATCH('Individual Schedule'!$C$4,Tue_W2[Employee Name],0),MATCH('Individual Schedule'!$B26,Tue_W2[#Headers],0))="","",INDEX(Tue_W2[],MATCH('Individual Schedule'!$C$4,Tue_W2[Employee Name],0),MATCH('Individual Schedule'!$B26,Tue_W2[#Headers],0))),"")</f>
        <v>Coaching</v>
      </c>
      <c r="O26" s="176" t="str">
        <f>IFERROR(IF(INDEX(Wed_W2[],MATCH('Individual Schedule'!$C$4,Wed_W2[Employee Name],0),MATCH('Individual Schedule'!$B26,Wed_W2[#Headers],0))="","",INDEX(Wed_W2[],MATCH('Individual Schedule'!$C$4,Wed_W2[Employee Name],0),MATCH('Individual Schedule'!$B26,Wed_W2[#Headers],0))),"")</f>
        <v>-</v>
      </c>
      <c r="P26" s="177" t="str">
        <f>IFERROR(IF(INDEX(Thu_W2[],MATCH('Individual Schedule'!$C$4,Thu_W2[Employee Name],0),MATCH('Individual Schedule'!$B26,Thu_W2[#Headers],0))="","",INDEX(Thu_W2[],MATCH('Individual Schedule'!$C$4,Thu_W2[Employee Name],0),MATCH('Individual Schedule'!$B26,Thu_W2[#Headers],0))),"")</f>
        <v>Interview</v>
      </c>
    </row>
    <row r="27" spans="1:16" x14ac:dyDescent="0.25">
      <c r="A27" s="129"/>
      <c r="B27" s="117" t="s">
        <v>98</v>
      </c>
      <c r="C27" s="175" t="str">
        <f>IFERROR(IF(INDEX(Fri_W1[],MATCH('Individual Schedule'!$C$4,Fri_W1[Employee Name],0),MATCH('Individual Schedule'!$B27,Fri_W1[#Headers],0))="","",INDEX(Fri_W1[],MATCH('Individual Schedule'!$C$4,Fri_W1[Employee Name],0),MATCH('Individual Schedule'!$B27,Fri_W1[#Headers],0))),"")</f>
        <v>-</v>
      </c>
      <c r="D27" s="176" t="str">
        <f>IFERROR(IF(INDEX(Sat_W1[],MATCH('Individual Schedule'!$C$4,Sat_W1[Employee Name],0),MATCH('Individual Schedule'!$B27,Sat_W1[#Headers],0))="","",INDEX(Sat_W1[],MATCH('Individual Schedule'!$C$4,Sat_W1[Employee Name],0),MATCH('Individual Schedule'!$B27,Sat_W1[#Headers],0))),"")</f>
        <v/>
      </c>
      <c r="E27" s="176" t="str">
        <f>IFERROR(IF(INDEX(Sun_W1[],MATCH('Individual Schedule'!$C$4,Sun_W1[Employee Name],0),MATCH('Individual Schedule'!$B27,Sun_W1[#Headers],0))="","",INDEX(Sun_W1[],MATCH('Individual Schedule'!$C$4,Sun_W1[Employee Name],0),MATCH('Individual Schedule'!$B27,Sun_W1[#Headers],0))),"")</f>
        <v/>
      </c>
      <c r="F27" s="176" t="str">
        <f>IFERROR(IF(INDEX(Mon_W1[],MATCH('Individual Schedule'!$C$4,Mon_W1[Employee Name],0),MATCH('Individual Schedule'!$B27,Mon_W1[#Headers],0))="","",INDEX(Mon_W1[],MATCH('Individual Schedule'!$C$4,Mon_W1[Employee Name],0),MATCH('Individual Schedule'!$B27,Mon_W1[#Headers],0))),"")</f>
        <v>Team KO TM</v>
      </c>
      <c r="G27" s="176" t="str">
        <f>IFERROR(IF(INDEX(Tue_W1[],MATCH('Individual Schedule'!$C$4,Tue_W1[Employee Name],0),MATCH('Individual Schedule'!$B27,Tue_W1[#Headers],0))="","",INDEX(Tue_W1[],MATCH('Individual Schedule'!$C$4,Tue_W1[Employee Name],0),MATCH('Individual Schedule'!$B27,Tue_W1[#Headers],0))),"")</f>
        <v>Coaching</v>
      </c>
      <c r="H27" s="176" t="str">
        <f>IFERROR(IF(INDEX(Wed_W1[],MATCH('Individual Schedule'!$C$4,Wed_W1[Employee Name],0),MATCH('Individual Schedule'!$B27,Wed_W1[#Headers],0))="","",INDEX(Wed_W1[],MATCH('Individual Schedule'!$C$4,Wed_W1[Employee Name],0),MATCH('Individual Schedule'!$B27,Wed_W1[#Headers],0))),"")</f>
        <v>-</v>
      </c>
      <c r="I27" s="176" t="str">
        <f>IFERROR(IF(INDEX(Thu_W1[],MATCH('Individual Schedule'!$C$4,Thu_W1[Employee Name],0),MATCH('Individual Schedule'!$B27,Thu_W1[#Headers],0))="","",INDEX(Thu_W1[],MATCH('Individual Schedule'!$C$4,Thu_W1[Employee Name],0),MATCH('Individual Schedule'!$B27,Thu_W1[#Headers],0))),"")</f>
        <v>Interview</v>
      </c>
      <c r="J27" s="176" t="str">
        <f>IFERROR(IF(INDEX(Fri_W2[],MATCH('Individual Schedule'!$C$4,Fri_W2[Employee Name],0),MATCH('Individual Schedule'!$B27,Fri_W2[#Headers],0))="","",INDEX(Fri_W2[],MATCH('Individual Schedule'!$C$4,Fri_W2[Employee Name],0),MATCH('Individual Schedule'!$B27,Fri_W2[#Headers],0))),"")</f>
        <v>-</v>
      </c>
      <c r="K27" s="176" t="str">
        <f>IFERROR(IF(INDEX(Sat_W2[],MATCH('Individual Schedule'!$C$4,Sat_W2[Employee Name],0),MATCH('Individual Schedule'!$B27,Sat_W2[#Headers],0))="","",INDEX(Sat_W2[],MATCH('Individual Schedule'!$C$4,Sat_W2[Employee Name],0),MATCH('Individual Schedule'!$B27,Sat_W2[#Headers],0))),"")</f>
        <v/>
      </c>
      <c r="L27" s="176" t="str">
        <f>IFERROR(IF(INDEX(Sun_W2[],MATCH('Individual Schedule'!$C$4,Sun_W2[Employee Name],0),MATCH('Individual Schedule'!$B27,Sun_W2[#Headers],0))="","",INDEX(Sun_W2[],MATCH('Individual Schedule'!$C$4,Sun_W2[Employee Name],0),MATCH('Individual Schedule'!$B27,Sun_W2[#Headers],0))),"")</f>
        <v/>
      </c>
      <c r="M27" s="176" t="str">
        <f>IFERROR(IF(INDEX(Mon_W2[],MATCH('Individual Schedule'!$C$4,Mon_W2[Employee Name],0),MATCH('Individual Schedule'!$B27,Mon_W2[#Headers],0))="","",INDEX(Mon_W2[],MATCH('Individual Schedule'!$C$4,Mon_W2[Employee Name],0),MATCH('Individual Schedule'!$B27,Mon_W2[#Headers],0))),"")</f>
        <v>Team KO TM</v>
      </c>
      <c r="N27" s="176" t="str">
        <f>IFERROR(IF(INDEX(Tue_W2[],MATCH('Individual Schedule'!$C$4,Tue_W2[Employee Name],0),MATCH('Individual Schedule'!$B27,Tue_W2[#Headers],0))="","",INDEX(Tue_W2[],MATCH('Individual Schedule'!$C$4,Tue_W2[Employee Name],0),MATCH('Individual Schedule'!$B27,Tue_W2[#Headers],0))),"")</f>
        <v>Coaching</v>
      </c>
      <c r="O27" s="176" t="str">
        <f>IFERROR(IF(INDEX(Wed_W2[],MATCH('Individual Schedule'!$C$4,Wed_W2[Employee Name],0),MATCH('Individual Schedule'!$B27,Wed_W2[#Headers],0))="","",INDEX(Wed_W2[],MATCH('Individual Schedule'!$C$4,Wed_W2[Employee Name],0),MATCH('Individual Schedule'!$B27,Wed_W2[#Headers],0))),"")</f>
        <v>-</v>
      </c>
      <c r="P27" s="177" t="str">
        <f>IFERROR(IF(INDEX(Thu_W2[],MATCH('Individual Schedule'!$C$4,Thu_W2[Employee Name],0),MATCH('Individual Schedule'!$B27,Thu_W2[#Headers],0))="","",INDEX(Thu_W2[],MATCH('Individual Schedule'!$C$4,Thu_W2[Employee Name],0),MATCH('Individual Schedule'!$B27,Thu_W2[#Headers],0))),"")</f>
        <v>Interview</v>
      </c>
    </row>
    <row r="28" spans="1:16" x14ac:dyDescent="0.25">
      <c r="A28" s="129"/>
      <c r="B28" s="117" t="s">
        <v>118</v>
      </c>
      <c r="C28" s="175" t="str">
        <f>IFERROR(IF(INDEX(Fri_W1[],MATCH('Individual Schedule'!$C$4,Fri_W1[Employee Name],0),MATCH('Individual Schedule'!$B28,Fri_W1[#Headers],0))="","",INDEX(Fri_W1[],MATCH('Individual Schedule'!$C$4,Fri_W1[Employee Name],0),MATCH('Individual Schedule'!$B28,Fri_W1[#Headers],0))),"")</f>
        <v>Interview</v>
      </c>
      <c r="D28" s="176" t="str">
        <f>IFERROR(IF(INDEX(Sat_W1[],MATCH('Individual Schedule'!$C$4,Sat_W1[Employee Name],0),MATCH('Individual Schedule'!$B28,Sat_W1[#Headers],0))="","",INDEX(Sat_W1[],MATCH('Individual Schedule'!$C$4,Sat_W1[Employee Name],0),MATCH('Individual Schedule'!$B28,Sat_W1[#Headers],0))),"")</f>
        <v/>
      </c>
      <c r="E28" s="176" t="str">
        <f>IFERROR(IF(INDEX(Sun_W1[],MATCH('Individual Schedule'!$C$4,Sun_W1[Employee Name],0),MATCH('Individual Schedule'!$B28,Sun_W1[#Headers],0))="","",INDEX(Sun_W1[],MATCH('Individual Schedule'!$C$4,Sun_W1[Employee Name],0),MATCH('Individual Schedule'!$B28,Sun_W1[#Headers],0))),"")</f>
        <v/>
      </c>
      <c r="F28" s="176" t="str">
        <f>IFERROR(IF(INDEX(Mon_W1[],MATCH('Individual Schedule'!$C$4,Mon_W1[Employee Name],0),MATCH('Individual Schedule'!$B28,Mon_W1[#Headers],0))="","",INDEX(Mon_W1[],MATCH('Individual Schedule'!$C$4,Mon_W1[Employee Name],0),MATCH('Individual Schedule'!$B28,Mon_W1[#Headers],0))),"")</f>
        <v>Team KO TM</v>
      </c>
      <c r="G28" s="176" t="str">
        <f>IFERROR(IF(INDEX(Tue_W1[],MATCH('Individual Schedule'!$C$4,Tue_W1[Employee Name],0),MATCH('Individual Schedule'!$B28,Tue_W1[#Headers],0))="","",INDEX(Tue_W1[],MATCH('Individual Schedule'!$C$4,Tue_W1[Employee Name],0),MATCH('Individual Schedule'!$B28,Tue_W1[#Headers],0))),"")</f>
        <v>Coaching</v>
      </c>
      <c r="H28" s="176" t="str">
        <f>IFERROR(IF(INDEX(Wed_W1[],MATCH('Individual Schedule'!$C$4,Wed_W1[Employee Name],0),MATCH('Individual Schedule'!$B28,Wed_W1[#Headers],0))="","",INDEX(Wed_W1[],MATCH('Individual Schedule'!$C$4,Wed_W1[Employee Name],0),MATCH('Individual Schedule'!$B28,Wed_W1[#Headers],0))),"")</f>
        <v>Interview</v>
      </c>
      <c r="I28" s="176" t="str">
        <f>IFERROR(IF(INDEX(Thu_W1[],MATCH('Individual Schedule'!$C$4,Thu_W1[Employee Name],0),MATCH('Individual Schedule'!$B28,Thu_W1[#Headers],0))="","",INDEX(Thu_W1[],MATCH('Individual Schedule'!$C$4,Thu_W1[Employee Name],0),MATCH('Individual Schedule'!$B28,Thu_W1[#Headers],0))),"")</f>
        <v>-</v>
      </c>
      <c r="J28" s="176" t="str">
        <f>IFERROR(IF(INDEX(Fri_W2[],MATCH('Individual Schedule'!$C$4,Fri_W2[Employee Name],0),MATCH('Individual Schedule'!$B28,Fri_W2[#Headers],0))="","",INDEX(Fri_W2[],MATCH('Individual Schedule'!$C$4,Fri_W2[Employee Name],0),MATCH('Individual Schedule'!$B28,Fri_W2[#Headers],0))),"")</f>
        <v>Interview</v>
      </c>
      <c r="K28" s="176" t="str">
        <f>IFERROR(IF(INDEX(Sat_W2[],MATCH('Individual Schedule'!$C$4,Sat_W2[Employee Name],0),MATCH('Individual Schedule'!$B28,Sat_W2[#Headers],0))="","",INDEX(Sat_W2[],MATCH('Individual Schedule'!$C$4,Sat_W2[Employee Name],0),MATCH('Individual Schedule'!$B28,Sat_W2[#Headers],0))),"")</f>
        <v/>
      </c>
      <c r="L28" s="176" t="str">
        <f>IFERROR(IF(INDEX(Sun_W2[],MATCH('Individual Schedule'!$C$4,Sun_W2[Employee Name],0),MATCH('Individual Schedule'!$B28,Sun_W2[#Headers],0))="","",INDEX(Sun_W2[],MATCH('Individual Schedule'!$C$4,Sun_W2[Employee Name],0),MATCH('Individual Schedule'!$B28,Sun_W2[#Headers],0))),"")</f>
        <v/>
      </c>
      <c r="M28" s="176" t="str">
        <f>IFERROR(IF(INDEX(Mon_W2[],MATCH('Individual Schedule'!$C$4,Mon_W2[Employee Name],0),MATCH('Individual Schedule'!$B28,Mon_W2[#Headers],0))="","",INDEX(Mon_W2[],MATCH('Individual Schedule'!$C$4,Mon_W2[Employee Name],0),MATCH('Individual Schedule'!$B28,Mon_W2[#Headers],0))),"")</f>
        <v>Team KO TM</v>
      </c>
      <c r="N28" s="176" t="str">
        <f>IFERROR(IF(INDEX(Tue_W2[],MATCH('Individual Schedule'!$C$4,Tue_W2[Employee Name],0),MATCH('Individual Schedule'!$B28,Tue_W2[#Headers],0))="","",INDEX(Tue_W2[],MATCH('Individual Schedule'!$C$4,Tue_W2[Employee Name],0),MATCH('Individual Schedule'!$B28,Tue_W2[#Headers],0))),"")</f>
        <v>Coaching</v>
      </c>
      <c r="O28" s="176" t="str">
        <f>IFERROR(IF(INDEX(Wed_W2[],MATCH('Individual Schedule'!$C$4,Wed_W2[Employee Name],0),MATCH('Individual Schedule'!$B28,Wed_W2[#Headers],0))="","",INDEX(Wed_W2[],MATCH('Individual Schedule'!$C$4,Wed_W2[Employee Name],0),MATCH('Individual Schedule'!$B28,Wed_W2[#Headers],0))),"")</f>
        <v>Interview</v>
      </c>
      <c r="P28" s="177" t="str">
        <f>IFERROR(IF(INDEX(Thu_W2[],MATCH('Individual Schedule'!$C$4,Thu_W2[Employee Name],0),MATCH('Individual Schedule'!$B28,Thu_W2[#Headers],0))="","",INDEX(Thu_W2[],MATCH('Individual Schedule'!$C$4,Thu_W2[Employee Name],0),MATCH('Individual Schedule'!$B28,Thu_W2[#Headers],0))),"")</f>
        <v>-</v>
      </c>
    </row>
    <row r="29" spans="1:16" x14ac:dyDescent="0.25">
      <c r="A29" s="129"/>
      <c r="B29" s="117" t="s">
        <v>99</v>
      </c>
      <c r="C29" s="175" t="str">
        <f>IFERROR(IF(INDEX(Fri_W1[],MATCH('Individual Schedule'!$C$4,Fri_W1[Employee Name],0),MATCH('Individual Schedule'!$B29,Fri_W1[#Headers],0))="","",INDEX(Fri_W1[],MATCH('Individual Schedule'!$C$4,Fri_W1[Employee Name],0),MATCH('Individual Schedule'!$B29,Fri_W1[#Headers],0))),"")</f>
        <v>Interview</v>
      </c>
      <c r="D29" s="176" t="str">
        <f>IFERROR(IF(INDEX(Sat_W1[],MATCH('Individual Schedule'!$C$4,Sat_W1[Employee Name],0),MATCH('Individual Schedule'!$B29,Sat_W1[#Headers],0))="","",INDEX(Sat_W1[],MATCH('Individual Schedule'!$C$4,Sat_W1[Employee Name],0),MATCH('Individual Schedule'!$B29,Sat_W1[#Headers],0))),"")</f>
        <v/>
      </c>
      <c r="E29" s="176" t="str">
        <f>IFERROR(IF(INDEX(Sun_W1[],MATCH('Individual Schedule'!$C$4,Sun_W1[Employee Name],0),MATCH('Individual Schedule'!$B29,Sun_W1[#Headers],0))="","",INDEX(Sun_W1[],MATCH('Individual Schedule'!$C$4,Sun_W1[Employee Name],0),MATCH('Individual Schedule'!$B29,Sun_W1[#Headers],0))),"")</f>
        <v/>
      </c>
      <c r="F29" s="176" t="str">
        <f>IFERROR(IF(INDEX(Mon_W1[],MATCH('Individual Schedule'!$C$4,Mon_W1[Employee Name],0),MATCH('Individual Schedule'!$B29,Mon_W1[#Headers],0))="","",INDEX(Mon_W1[],MATCH('Individual Schedule'!$C$4,Mon_W1[Employee Name],0),MATCH('Individual Schedule'!$B29,Mon_W1[#Headers],0))),"")</f>
        <v>-</v>
      </c>
      <c r="G29" s="176" t="str">
        <f>IFERROR(IF(INDEX(Tue_W1[],MATCH('Individual Schedule'!$C$4,Tue_W1[Employee Name],0),MATCH('Individual Schedule'!$B29,Tue_W1[#Headers],0))="","",INDEX(Tue_W1[],MATCH('Individual Schedule'!$C$4,Tue_W1[Employee Name],0),MATCH('Individual Schedule'!$B29,Tue_W1[#Headers],0))),"")</f>
        <v>-</v>
      </c>
      <c r="H29" s="176" t="str">
        <f>IFERROR(IF(INDEX(Wed_W1[],MATCH('Individual Schedule'!$C$4,Wed_W1[Employee Name],0),MATCH('Individual Schedule'!$B29,Wed_W1[#Headers],0))="","",INDEX(Wed_W1[],MATCH('Individual Schedule'!$C$4,Wed_W1[Employee Name],0),MATCH('Individual Schedule'!$B29,Wed_W1[#Headers],0))),"")</f>
        <v>Interview</v>
      </c>
      <c r="I29" s="176" t="str">
        <f>IFERROR(IF(INDEX(Thu_W1[],MATCH('Individual Schedule'!$C$4,Thu_W1[Employee Name],0),MATCH('Individual Schedule'!$B29,Thu_W1[#Headers],0))="","",INDEX(Thu_W1[],MATCH('Individual Schedule'!$C$4,Thu_W1[Employee Name],0),MATCH('Individual Schedule'!$B29,Thu_W1[#Headers],0))),"")</f>
        <v>-</v>
      </c>
      <c r="J29" s="176" t="str">
        <f>IFERROR(IF(INDEX(Fri_W2[],MATCH('Individual Schedule'!$C$4,Fri_W2[Employee Name],0),MATCH('Individual Schedule'!$B29,Fri_W2[#Headers],0))="","",INDEX(Fri_W2[],MATCH('Individual Schedule'!$C$4,Fri_W2[Employee Name],0),MATCH('Individual Schedule'!$B29,Fri_W2[#Headers],0))),"")</f>
        <v>Interview</v>
      </c>
      <c r="K29" s="176" t="str">
        <f>IFERROR(IF(INDEX(Sat_W2[],MATCH('Individual Schedule'!$C$4,Sat_W2[Employee Name],0),MATCH('Individual Schedule'!$B29,Sat_W2[#Headers],0))="","",INDEX(Sat_W2[],MATCH('Individual Schedule'!$C$4,Sat_W2[Employee Name],0),MATCH('Individual Schedule'!$B29,Sat_W2[#Headers],0))),"")</f>
        <v/>
      </c>
      <c r="L29" s="176" t="str">
        <f>IFERROR(IF(INDEX(Sun_W2[],MATCH('Individual Schedule'!$C$4,Sun_W2[Employee Name],0),MATCH('Individual Schedule'!$B29,Sun_W2[#Headers],0))="","",INDEX(Sun_W2[],MATCH('Individual Schedule'!$C$4,Sun_W2[Employee Name],0),MATCH('Individual Schedule'!$B29,Sun_W2[#Headers],0))),"")</f>
        <v/>
      </c>
      <c r="M29" s="176" t="str">
        <f>IFERROR(IF(INDEX(Mon_W2[],MATCH('Individual Schedule'!$C$4,Mon_W2[Employee Name],0),MATCH('Individual Schedule'!$B29,Mon_W2[#Headers],0))="","",INDEX(Mon_W2[],MATCH('Individual Schedule'!$C$4,Mon_W2[Employee Name],0),MATCH('Individual Schedule'!$B29,Mon_W2[#Headers],0))),"")</f>
        <v>-</v>
      </c>
      <c r="N29" s="176" t="str">
        <f>IFERROR(IF(INDEX(Tue_W2[],MATCH('Individual Schedule'!$C$4,Tue_W2[Employee Name],0),MATCH('Individual Schedule'!$B29,Tue_W2[#Headers],0))="","",INDEX(Tue_W2[],MATCH('Individual Schedule'!$C$4,Tue_W2[Employee Name],0),MATCH('Individual Schedule'!$B29,Tue_W2[#Headers],0))),"")</f>
        <v>-</v>
      </c>
      <c r="O29" s="176" t="str">
        <f>IFERROR(IF(INDEX(Wed_W2[],MATCH('Individual Schedule'!$C$4,Wed_W2[Employee Name],0),MATCH('Individual Schedule'!$B29,Wed_W2[#Headers],0))="","",INDEX(Wed_W2[],MATCH('Individual Schedule'!$C$4,Wed_W2[Employee Name],0),MATCH('Individual Schedule'!$B29,Wed_W2[#Headers],0))),"")</f>
        <v>Interview</v>
      </c>
      <c r="P29" s="177" t="str">
        <f>IFERROR(IF(INDEX(Thu_W2[],MATCH('Individual Schedule'!$C$4,Thu_W2[Employee Name],0),MATCH('Individual Schedule'!$B29,Thu_W2[#Headers],0))="","",INDEX(Thu_W2[],MATCH('Individual Schedule'!$C$4,Thu_W2[Employee Name],0),MATCH('Individual Schedule'!$B29,Thu_W2[#Headers],0))),"")</f>
        <v>-</v>
      </c>
    </row>
    <row r="30" spans="1:16" x14ac:dyDescent="0.25">
      <c r="A30" s="129"/>
      <c r="B30" s="117" t="s">
        <v>104</v>
      </c>
      <c r="C30" s="175" t="str">
        <f>IFERROR(IF(INDEX(Fri_W1[],MATCH('Individual Schedule'!$C$4,Fri_W1[Employee Name],0),MATCH('Individual Schedule'!$B30,Fri_W1[#Headers],0))="","",INDEX(Fri_W1[],MATCH('Individual Schedule'!$C$4,Fri_W1[Employee Name],0),MATCH('Individual Schedule'!$B30,Fri_W1[#Headers],0))),"")</f>
        <v>-</v>
      </c>
      <c r="D30" s="176" t="str">
        <f>IFERROR(IF(INDEX(Sat_W1[],MATCH('Individual Schedule'!$C$4,Sat_W1[Employee Name],0),MATCH('Individual Schedule'!$B30,Sat_W1[#Headers],0))="","",INDEX(Sat_W1[],MATCH('Individual Schedule'!$C$4,Sat_W1[Employee Name],0),MATCH('Individual Schedule'!$B30,Sat_W1[#Headers],0))),"")</f>
        <v/>
      </c>
      <c r="E30" s="176" t="str">
        <f>IFERROR(IF(INDEX(Sun_W1[],MATCH('Individual Schedule'!$C$4,Sun_W1[Employee Name],0),MATCH('Individual Schedule'!$B30,Sun_W1[#Headers],0))="","",INDEX(Sun_W1[],MATCH('Individual Schedule'!$C$4,Sun_W1[Employee Name],0),MATCH('Individual Schedule'!$B30,Sun_W1[#Headers],0))),"")</f>
        <v/>
      </c>
      <c r="F30" s="176" t="str">
        <f>IFERROR(IF(INDEX(Mon_W1[],MATCH('Individual Schedule'!$C$4,Mon_W1[Employee Name],0),MATCH('Individual Schedule'!$B30,Mon_W1[#Headers],0))="","",INDEX(Mon_W1[],MATCH('Individual Schedule'!$C$4,Mon_W1[Employee Name],0),MATCH('Individual Schedule'!$B30,Mon_W1[#Headers],0))),"")</f>
        <v>-</v>
      </c>
      <c r="G30" s="176" t="str">
        <f>IFERROR(IF(INDEX(Tue_W1[],MATCH('Individual Schedule'!$C$4,Tue_W1[Employee Name],0),MATCH('Individual Schedule'!$B30,Tue_W1[#Headers],0))="","",INDEX(Tue_W1[],MATCH('Individual Schedule'!$C$4,Tue_W1[Employee Name],0),MATCH('Individual Schedule'!$B30,Tue_W1[#Headers],0))),"")</f>
        <v>Interview</v>
      </c>
      <c r="H30" s="176" t="str">
        <f>IFERROR(IF(INDEX(Wed_W1[],MATCH('Individual Schedule'!$C$4,Wed_W1[Employee Name],0),MATCH('Individual Schedule'!$B30,Wed_W1[#Headers],0))="","",INDEX(Wed_W1[],MATCH('Individual Schedule'!$C$4,Wed_W1[Employee Name],0),MATCH('Individual Schedule'!$B30,Wed_W1[#Headers],0))),"")</f>
        <v>-</v>
      </c>
      <c r="I30" s="176" t="str">
        <f>IFERROR(IF(INDEX(Thu_W1[],MATCH('Individual Schedule'!$C$4,Thu_W1[Employee Name],0),MATCH('Individual Schedule'!$B30,Thu_W1[#Headers],0))="","",INDEX(Thu_W1[],MATCH('Individual Schedule'!$C$4,Thu_W1[Employee Name],0),MATCH('Individual Schedule'!$B30,Thu_W1[#Headers],0))),"")</f>
        <v>-</v>
      </c>
      <c r="J30" s="176" t="str">
        <f>IFERROR(IF(INDEX(Fri_W2[],MATCH('Individual Schedule'!$C$4,Fri_W2[Employee Name],0),MATCH('Individual Schedule'!$B30,Fri_W2[#Headers],0))="","",INDEX(Fri_W2[],MATCH('Individual Schedule'!$C$4,Fri_W2[Employee Name],0),MATCH('Individual Schedule'!$B30,Fri_W2[#Headers],0))),"")</f>
        <v>-</v>
      </c>
      <c r="K30" s="176" t="str">
        <f>IFERROR(IF(INDEX(Sat_W2[],MATCH('Individual Schedule'!$C$4,Sat_W2[Employee Name],0),MATCH('Individual Schedule'!$B30,Sat_W2[#Headers],0))="","",INDEX(Sat_W2[],MATCH('Individual Schedule'!$C$4,Sat_W2[Employee Name],0),MATCH('Individual Schedule'!$B30,Sat_W2[#Headers],0))),"")</f>
        <v/>
      </c>
      <c r="L30" s="176" t="str">
        <f>IFERROR(IF(INDEX(Sun_W2[],MATCH('Individual Schedule'!$C$4,Sun_W2[Employee Name],0),MATCH('Individual Schedule'!$B30,Sun_W2[#Headers],0))="","",INDEX(Sun_W2[],MATCH('Individual Schedule'!$C$4,Sun_W2[Employee Name],0),MATCH('Individual Schedule'!$B30,Sun_W2[#Headers],0))),"")</f>
        <v/>
      </c>
      <c r="M30" s="176" t="str">
        <f>IFERROR(IF(INDEX(Mon_W2[],MATCH('Individual Schedule'!$C$4,Mon_W2[Employee Name],0),MATCH('Individual Schedule'!$B30,Mon_W2[#Headers],0))="","",INDEX(Mon_W2[],MATCH('Individual Schedule'!$C$4,Mon_W2[Employee Name],0),MATCH('Individual Schedule'!$B30,Mon_W2[#Headers],0))),"")</f>
        <v>-</v>
      </c>
      <c r="N30" s="176" t="str">
        <f>IFERROR(IF(INDEX(Tue_W2[],MATCH('Individual Schedule'!$C$4,Tue_W2[Employee Name],0),MATCH('Individual Schedule'!$B30,Tue_W2[#Headers],0))="","",INDEX(Tue_W2[],MATCH('Individual Schedule'!$C$4,Tue_W2[Employee Name],0),MATCH('Individual Schedule'!$B30,Tue_W2[#Headers],0))),"")</f>
        <v>Interview</v>
      </c>
      <c r="O30" s="176" t="str">
        <f>IFERROR(IF(INDEX(Wed_W2[],MATCH('Individual Schedule'!$C$4,Wed_W2[Employee Name],0),MATCH('Individual Schedule'!$B30,Wed_W2[#Headers],0))="","",INDEX(Wed_W2[],MATCH('Individual Schedule'!$C$4,Wed_W2[Employee Name],0),MATCH('Individual Schedule'!$B30,Wed_W2[#Headers],0))),"")</f>
        <v>-</v>
      </c>
      <c r="P30" s="177" t="str">
        <f>IFERROR(IF(INDEX(Thu_W2[],MATCH('Individual Schedule'!$C$4,Thu_W2[Employee Name],0),MATCH('Individual Schedule'!$B30,Thu_W2[#Headers],0))="","",INDEX(Thu_W2[],MATCH('Individual Schedule'!$C$4,Thu_W2[Employee Name],0),MATCH('Individual Schedule'!$B30,Thu_W2[#Headers],0))),"")</f>
        <v>-</v>
      </c>
    </row>
    <row r="31" spans="1:16" x14ac:dyDescent="0.25">
      <c r="A31" s="129"/>
      <c r="B31" s="117" t="s">
        <v>150</v>
      </c>
      <c r="C31" s="175" t="str">
        <f>IFERROR(IF(INDEX(Fri_W1[],MATCH('Individual Schedule'!$C$4,Fri_W1[Employee Name],0),MATCH('Individual Schedule'!$B31,Fri_W1[#Headers],0))="","",INDEX(Fri_W1[],MATCH('Individual Schedule'!$C$4,Fri_W1[Employee Name],0),MATCH('Individual Schedule'!$B31,Fri_W1[#Headers],0))),"")</f>
        <v>-</v>
      </c>
      <c r="D31" s="176" t="str">
        <f>IFERROR(IF(INDEX(Sat_W1[],MATCH('Individual Schedule'!$C$4,Sat_W1[Employee Name],0),MATCH('Individual Schedule'!$B31,Sat_W1[#Headers],0))="","",INDEX(Sat_W1[],MATCH('Individual Schedule'!$C$4,Sat_W1[Employee Name],0),MATCH('Individual Schedule'!$B31,Sat_W1[#Headers],0))),"")</f>
        <v/>
      </c>
      <c r="E31" s="176" t="str">
        <f>IFERROR(IF(INDEX(Sun_W1[],MATCH('Individual Schedule'!$C$4,Sun_W1[Employee Name],0),MATCH('Individual Schedule'!$B31,Sun_W1[#Headers],0))="","",INDEX(Sun_W1[],MATCH('Individual Schedule'!$C$4,Sun_W1[Employee Name],0),MATCH('Individual Schedule'!$B31,Sun_W1[#Headers],0))),"")</f>
        <v/>
      </c>
      <c r="F31" s="176" t="str">
        <f>IFERROR(IF(INDEX(Mon_W1[],MATCH('Individual Schedule'!$C$4,Mon_W1[Employee Name],0),MATCH('Individual Schedule'!$B31,Mon_W1[#Headers],0))="","",INDEX(Mon_W1[],MATCH('Individual Schedule'!$C$4,Mon_W1[Employee Name],0),MATCH('Individual Schedule'!$B31,Mon_W1[#Headers],0))),"")</f>
        <v>-</v>
      </c>
      <c r="G31" s="176" t="str">
        <f>IFERROR(IF(INDEX(Tue_W1[],MATCH('Individual Schedule'!$C$4,Tue_W1[Employee Name],0),MATCH('Individual Schedule'!$B31,Tue_W1[#Headers],0))="","",INDEX(Tue_W1[],MATCH('Individual Schedule'!$C$4,Tue_W1[Employee Name],0),MATCH('Individual Schedule'!$B31,Tue_W1[#Headers],0))),"")</f>
        <v>Interview</v>
      </c>
      <c r="H31" s="176" t="str">
        <f>IFERROR(IF(INDEX(Wed_W1[],MATCH('Individual Schedule'!$C$4,Wed_W1[Employee Name],0),MATCH('Individual Schedule'!$B31,Wed_W1[#Headers],0))="","",INDEX(Wed_W1[],MATCH('Individual Schedule'!$C$4,Wed_W1[Employee Name],0),MATCH('Individual Schedule'!$B31,Wed_W1[#Headers],0))),"")</f>
        <v>-</v>
      </c>
      <c r="I31" s="176" t="str">
        <f>IFERROR(IF(INDEX(Thu_W1[],MATCH('Individual Schedule'!$C$4,Thu_W1[Employee Name],0),MATCH('Individual Schedule'!$B31,Thu_W1[#Headers],0))="","",INDEX(Thu_W1[],MATCH('Individual Schedule'!$C$4,Thu_W1[Employee Name],0),MATCH('Individual Schedule'!$B31,Thu_W1[#Headers],0))),"")</f>
        <v>Coaching</v>
      </c>
      <c r="J31" s="176" t="str">
        <f>IFERROR(IF(INDEX(Fri_W2[],MATCH('Individual Schedule'!$C$4,Fri_W2[Employee Name],0),MATCH('Individual Schedule'!$B31,Fri_W2[#Headers],0))="","",INDEX(Fri_W2[],MATCH('Individual Schedule'!$C$4,Fri_W2[Employee Name],0),MATCH('Individual Schedule'!$B31,Fri_W2[#Headers],0))),"")</f>
        <v>-</v>
      </c>
      <c r="K31" s="176" t="str">
        <f>IFERROR(IF(INDEX(Sat_W2[],MATCH('Individual Schedule'!$C$4,Sat_W2[Employee Name],0),MATCH('Individual Schedule'!$B31,Sat_W2[#Headers],0))="","",INDEX(Sat_W2[],MATCH('Individual Schedule'!$C$4,Sat_W2[Employee Name],0),MATCH('Individual Schedule'!$B31,Sat_W2[#Headers],0))),"")</f>
        <v/>
      </c>
      <c r="L31" s="176" t="str">
        <f>IFERROR(IF(INDEX(Sun_W2[],MATCH('Individual Schedule'!$C$4,Sun_W2[Employee Name],0),MATCH('Individual Schedule'!$B31,Sun_W2[#Headers],0))="","",INDEX(Sun_W2[],MATCH('Individual Schedule'!$C$4,Sun_W2[Employee Name],0),MATCH('Individual Schedule'!$B31,Sun_W2[#Headers],0))),"")</f>
        <v/>
      </c>
      <c r="M31" s="176" t="str">
        <f>IFERROR(IF(INDEX(Mon_W2[],MATCH('Individual Schedule'!$C$4,Mon_W2[Employee Name],0),MATCH('Individual Schedule'!$B31,Mon_W2[#Headers],0))="","",INDEX(Mon_W2[],MATCH('Individual Schedule'!$C$4,Mon_W2[Employee Name],0),MATCH('Individual Schedule'!$B31,Mon_W2[#Headers],0))),"")</f>
        <v>-</v>
      </c>
      <c r="N31" s="176" t="str">
        <f>IFERROR(IF(INDEX(Tue_W2[],MATCH('Individual Schedule'!$C$4,Tue_W2[Employee Name],0),MATCH('Individual Schedule'!$B31,Tue_W2[#Headers],0))="","",INDEX(Tue_W2[],MATCH('Individual Schedule'!$C$4,Tue_W2[Employee Name],0),MATCH('Individual Schedule'!$B31,Tue_W2[#Headers],0))),"")</f>
        <v>Interview</v>
      </c>
      <c r="O31" s="176" t="str">
        <f>IFERROR(IF(INDEX(Wed_W2[],MATCH('Individual Schedule'!$C$4,Wed_W2[Employee Name],0),MATCH('Individual Schedule'!$B31,Wed_W2[#Headers],0))="","",INDEX(Wed_W2[],MATCH('Individual Schedule'!$C$4,Wed_W2[Employee Name],0),MATCH('Individual Schedule'!$B31,Wed_W2[#Headers],0))),"")</f>
        <v>-</v>
      </c>
      <c r="P31" s="177" t="str">
        <f>IFERROR(IF(INDEX(Thu_W2[],MATCH('Individual Schedule'!$C$4,Thu_W2[Employee Name],0),MATCH('Individual Schedule'!$B31,Thu_W2[#Headers],0))="","",INDEX(Thu_W2[],MATCH('Individual Schedule'!$C$4,Thu_W2[Employee Name],0),MATCH('Individual Schedule'!$B31,Thu_W2[#Headers],0))),"")</f>
        <v>Coaching</v>
      </c>
    </row>
    <row r="32" spans="1:16" x14ac:dyDescent="0.25">
      <c r="A32" s="129"/>
      <c r="B32" s="117" t="s">
        <v>114</v>
      </c>
      <c r="C32" s="175" t="str">
        <f>IFERROR(IF(INDEX(Fri_W1[],MATCH('Individual Schedule'!$C$4,Fri_W1[Employee Name],0),MATCH('Individual Schedule'!$B32,Fri_W1[#Headers],0))="","",INDEX(Fri_W1[],MATCH('Individual Schedule'!$C$4,Fri_W1[Employee Name],0),MATCH('Individual Schedule'!$B32,Fri_W1[#Headers],0))),"")</f>
        <v>-</v>
      </c>
      <c r="D32" s="176" t="str">
        <f>IFERROR(IF(INDEX(Sat_W1[],MATCH('Individual Schedule'!$C$4,Sat_W1[Employee Name],0),MATCH('Individual Schedule'!$B32,Sat_W1[#Headers],0))="","",INDEX(Sat_W1[],MATCH('Individual Schedule'!$C$4,Sat_W1[Employee Name],0),MATCH('Individual Schedule'!$B32,Sat_W1[#Headers],0))),"")</f>
        <v/>
      </c>
      <c r="E32" s="176" t="str">
        <f>IFERROR(IF(INDEX(Sun_W1[],MATCH('Individual Schedule'!$C$4,Sun_W1[Employee Name],0),MATCH('Individual Schedule'!$B32,Sun_W1[#Headers],0))="","",INDEX(Sun_W1[],MATCH('Individual Schedule'!$C$4,Sun_W1[Employee Name],0),MATCH('Individual Schedule'!$B32,Sun_W1[#Headers],0))),"")</f>
        <v/>
      </c>
      <c r="F32" s="176" t="str">
        <f>IFERROR(IF(INDEX(Mon_W1[],MATCH('Individual Schedule'!$C$4,Mon_W1[Employee Name],0),MATCH('Individual Schedule'!$B32,Mon_W1[#Headers],0))="","",INDEX(Mon_W1[],MATCH('Individual Schedule'!$C$4,Mon_W1[Employee Name],0),MATCH('Individual Schedule'!$B32,Mon_W1[#Headers],0))),"")</f>
        <v>Interview</v>
      </c>
      <c r="G32" s="176" t="str">
        <f>IFERROR(IF(INDEX(Tue_W1[],MATCH('Individual Schedule'!$C$4,Tue_W1[Employee Name],0),MATCH('Individual Schedule'!$B32,Tue_W1[#Headers],0))="","",INDEX(Tue_W1[],MATCH('Individual Schedule'!$C$4,Tue_W1[Employee Name],0),MATCH('Individual Schedule'!$B32,Tue_W1[#Headers],0))),"")</f>
        <v>-</v>
      </c>
      <c r="H32" s="176" t="str">
        <f>IFERROR(IF(INDEX(Wed_W1[],MATCH('Individual Schedule'!$C$4,Wed_W1[Employee Name],0),MATCH('Individual Schedule'!$B32,Wed_W1[#Headers],0))="","",INDEX(Wed_W1[],MATCH('Individual Schedule'!$C$4,Wed_W1[Employee Name],0),MATCH('Individual Schedule'!$B32,Wed_W1[#Headers],0))),"")</f>
        <v>-</v>
      </c>
      <c r="I32" s="176" t="str">
        <f>IFERROR(IF(INDEX(Thu_W1[],MATCH('Individual Schedule'!$C$4,Thu_W1[Employee Name],0),MATCH('Individual Schedule'!$B32,Thu_W1[#Headers],0))="","",INDEX(Thu_W1[],MATCH('Individual Schedule'!$C$4,Thu_W1[Employee Name],0),MATCH('Individual Schedule'!$B32,Thu_W1[#Headers],0))),"")</f>
        <v>Coaching</v>
      </c>
      <c r="J32" s="176" t="str">
        <f>IFERROR(IF(INDEX(Fri_W2[],MATCH('Individual Schedule'!$C$4,Fri_W2[Employee Name],0),MATCH('Individual Schedule'!$B32,Fri_W2[#Headers],0))="","",INDEX(Fri_W2[],MATCH('Individual Schedule'!$C$4,Fri_W2[Employee Name],0),MATCH('Individual Schedule'!$B32,Fri_W2[#Headers],0))),"")</f>
        <v>-</v>
      </c>
      <c r="K32" s="176" t="str">
        <f>IFERROR(IF(INDEX(Sat_W2[],MATCH('Individual Schedule'!$C$4,Sat_W2[Employee Name],0),MATCH('Individual Schedule'!$B32,Sat_W2[#Headers],0))="","",INDEX(Sat_W2[],MATCH('Individual Schedule'!$C$4,Sat_W2[Employee Name],0),MATCH('Individual Schedule'!$B32,Sat_W2[#Headers],0))),"")</f>
        <v/>
      </c>
      <c r="L32" s="176" t="str">
        <f>IFERROR(IF(INDEX(Sun_W2[],MATCH('Individual Schedule'!$C$4,Sun_W2[Employee Name],0),MATCH('Individual Schedule'!$B32,Sun_W2[#Headers],0))="","",INDEX(Sun_W2[],MATCH('Individual Schedule'!$C$4,Sun_W2[Employee Name],0),MATCH('Individual Schedule'!$B32,Sun_W2[#Headers],0))),"")</f>
        <v/>
      </c>
      <c r="M32" s="176" t="str">
        <f>IFERROR(IF(INDEX(Mon_W2[],MATCH('Individual Schedule'!$C$4,Mon_W2[Employee Name],0),MATCH('Individual Schedule'!$B32,Mon_W2[#Headers],0))="","",INDEX(Mon_W2[],MATCH('Individual Schedule'!$C$4,Mon_W2[Employee Name],0),MATCH('Individual Schedule'!$B32,Mon_W2[#Headers],0))),"")</f>
        <v>Interview</v>
      </c>
      <c r="N32" s="176" t="str">
        <f>IFERROR(IF(INDEX(Tue_W2[],MATCH('Individual Schedule'!$C$4,Tue_W2[Employee Name],0),MATCH('Individual Schedule'!$B32,Tue_W2[#Headers],0))="","",INDEX(Tue_W2[],MATCH('Individual Schedule'!$C$4,Tue_W2[Employee Name],0),MATCH('Individual Schedule'!$B32,Tue_W2[#Headers],0))),"")</f>
        <v>-</v>
      </c>
      <c r="O32" s="176" t="str">
        <f>IFERROR(IF(INDEX(Wed_W2[],MATCH('Individual Schedule'!$C$4,Wed_W2[Employee Name],0),MATCH('Individual Schedule'!$B32,Wed_W2[#Headers],0))="","",INDEX(Wed_W2[],MATCH('Individual Schedule'!$C$4,Wed_W2[Employee Name],0),MATCH('Individual Schedule'!$B32,Wed_W2[#Headers],0))),"")</f>
        <v>-</v>
      </c>
      <c r="P32" s="177" t="str">
        <f>IFERROR(IF(INDEX(Thu_W2[],MATCH('Individual Schedule'!$C$4,Thu_W2[Employee Name],0),MATCH('Individual Schedule'!$B32,Thu_W2[#Headers],0))="","",INDEX(Thu_W2[],MATCH('Individual Schedule'!$C$4,Thu_W2[Employee Name],0),MATCH('Individual Schedule'!$B32,Thu_W2[#Headers],0))),"")</f>
        <v>Coaching</v>
      </c>
    </row>
    <row r="33" spans="1:16" x14ac:dyDescent="0.25">
      <c r="A33" s="129"/>
      <c r="B33" s="117" t="s">
        <v>106</v>
      </c>
      <c r="C33" s="175" t="str">
        <f>IFERROR(IF(INDEX(Fri_W1[],MATCH('Individual Schedule'!$C$4,Fri_W1[Employee Name],0),MATCH('Individual Schedule'!$B33,Fri_W1[#Headers],0))="","",INDEX(Fri_W1[],MATCH('Individual Schedule'!$C$4,Fri_W1[Employee Name],0),MATCH('Individual Schedule'!$B33,Fri_W1[#Headers],0))),"")</f>
        <v>-</v>
      </c>
      <c r="D33" s="176" t="str">
        <f>IFERROR(IF(INDEX(Sat_W1[],MATCH('Individual Schedule'!$C$4,Sat_W1[Employee Name],0),MATCH('Individual Schedule'!$B33,Sat_W1[#Headers],0))="","",INDEX(Sat_W1[],MATCH('Individual Schedule'!$C$4,Sat_W1[Employee Name],0),MATCH('Individual Schedule'!$B33,Sat_W1[#Headers],0))),"")</f>
        <v/>
      </c>
      <c r="E33" s="176" t="str">
        <f>IFERROR(IF(INDEX(Sun_W1[],MATCH('Individual Schedule'!$C$4,Sun_W1[Employee Name],0),MATCH('Individual Schedule'!$B33,Sun_W1[#Headers],0))="","",INDEX(Sun_W1[],MATCH('Individual Schedule'!$C$4,Sun_W1[Employee Name],0),MATCH('Individual Schedule'!$B33,Sun_W1[#Headers],0))),"")</f>
        <v/>
      </c>
      <c r="F33" s="176" t="str">
        <f>IFERROR(IF(INDEX(Mon_W1[],MATCH('Individual Schedule'!$C$4,Mon_W1[Employee Name],0),MATCH('Individual Schedule'!$B33,Mon_W1[#Headers],0))="","",INDEX(Mon_W1[],MATCH('Individual Schedule'!$C$4,Mon_W1[Employee Name],0),MATCH('Individual Schedule'!$B33,Mon_W1[#Headers],0))),"")</f>
        <v>Interview</v>
      </c>
      <c r="G33" s="176" t="str">
        <f>IFERROR(IF(INDEX(Tue_W1[],MATCH('Individual Schedule'!$C$4,Tue_W1[Employee Name],0),MATCH('Individual Schedule'!$B33,Tue_W1[#Headers],0))="","",INDEX(Tue_W1[],MATCH('Individual Schedule'!$C$4,Tue_W1[Employee Name],0),MATCH('Individual Schedule'!$B33,Tue_W1[#Headers],0))),"")</f>
        <v>-</v>
      </c>
      <c r="H33" s="176" t="str">
        <f>IFERROR(IF(INDEX(Wed_W1[],MATCH('Individual Schedule'!$C$4,Wed_W1[Employee Name],0),MATCH('Individual Schedule'!$B33,Wed_W1[#Headers],0))="","",INDEX(Wed_W1[],MATCH('Individual Schedule'!$C$4,Wed_W1[Employee Name],0),MATCH('Individual Schedule'!$B33,Wed_W1[#Headers],0))),"")</f>
        <v>-</v>
      </c>
      <c r="I33" s="176" t="str">
        <f>IFERROR(IF(INDEX(Thu_W1[],MATCH('Individual Schedule'!$C$4,Thu_W1[Employee Name],0),MATCH('Individual Schedule'!$B33,Thu_W1[#Headers],0))="","",INDEX(Thu_W1[],MATCH('Individual Schedule'!$C$4,Thu_W1[Employee Name],0),MATCH('Individual Schedule'!$B33,Thu_W1[#Headers],0))),"")</f>
        <v>Coaching</v>
      </c>
      <c r="J33" s="176" t="str">
        <f>IFERROR(IF(INDEX(Fri_W2[],MATCH('Individual Schedule'!$C$4,Fri_W2[Employee Name],0),MATCH('Individual Schedule'!$B33,Fri_W2[#Headers],0))="","",INDEX(Fri_W2[],MATCH('Individual Schedule'!$C$4,Fri_W2[Employee Name],0),MATCH('Individual Schedule'!$B33,Fri_W2[#Headers],0))),"")</f>
        <v>-</v>
      </c>
      <c r="K33" s="176" t="str">
        <f>IFERROR(IF(INDEX(Sat_W2[],MATCH('Individual Schedule'!$C$4,Sat_W2[Employee Name],0),MATCH('Individual Schedule'!$B33,Sat_W2[#Headers],0))="","",INDEX(Sat_W2[],MATCH('Individual Schedule'!$C$4,Sat_W2[Employee Name],0),MATCH('Individual Schedule'!$B33,Sat_W2[#Headers],0))),"")</f>
        <v/>
      </c>
      <c r="L33" s="176" t="str">
        <f>IFERROR(IF(INDEX(Sun_W2[],MATCH('Individual Schedule'!$C$4,Sun_W2[Employee Name],0),MATCH('Individual Schedule'!$B33,Sun_W2[#Headers],0))="","",INDEX(Sun_W2[],MATCH('Individual Schedule'!$C$4,Sun_W2[Employee Name],0),MATCH('Individual Schedule'!$B33,Sun_W2[#Headers],0))),"")</f>
        <v/>
      </c>
      <c r="M33" s="176" t="str">
        <f>IFERROR(IF(INDEX(Mon_W2[],MATCH('Individual Schedule'!$C$4,Mon_W2[Employee Name],0),MATCH('Individual Schedule'!$B33,Mon_W2[#Headers],0))="","",INDEX(Mon_W2[],MATCH('Individual Schedule'!$C$4,Mon_W2[Employee Name],0),MATCH('Individual Schedule'!$B33,Mon_W2[#Headers],0))),"")</f>
        <v>Interview</v>
      </c>
      <c r="N33" s="176" t="str">
        <f>IFERROR(IF(INDEX(Tue_W2[],MATCH('Individual Schedule'!$C$4,Tue_W2[Employee Name],0),MATCH('Individual Schedule'!$B33,Tue_W2[#Headers],0))="","",INDEX(Tue_W2[],MATCH('Individual Schedule'!$C$4,Tue_W2[Employee Name],0),MATCH('Individual Schedule'!$B33,Tue_W2[#Headers],0))),"")</f>
        <v>-</v>
      </c>
      <c r="O33" s="176" t="str">
        <f>IFERROR(IF(INDEX(Wed_W2[],MATCH('Individual Schedule'!$C$4,Wed_W2[Employee Name],0),MATCH('Individual Schedule'!$B33,Wed_W2[#Headers],0))="","",INDEX(Wed_W2[],MATCH('Individual Schedule'!$C$4,Wed_W2[Employee Name],0),MATCH('Individual Schedule'!$B33,Wed_W2[#Headers],0))),"")</f>
        <v>-</v>
      </c>
      <c r="P33" s="177" t="str">
        <f>IFERROR(IF(INDEX(Thu_W2[],MATCH('Individual Schedule'!$C$4,Thu_W2[Employee Name],0),MATCH('Individual Schedule'!$B33,Thu_W2[#Headers],0))="","",INDEX(Thu_W2[],MATCH('Individual Schedule'!$C$4,Thu_W2[Employee Name],0),MATCH('Individual Schedule'!$B33,Thu_W2[#Headers],0))),"")</f>
        <v>Coaching</v>
      </c>
    </row>
    <row r="34" spans="1:16" x14ac:dyDescent="0.25">
      <c r="A34" s="129"/>
      <c r="B34" s="117" t="s">
        <v>108</v>
      </c>
      <c r="C34" s="175" t="str">
        <f>IFERROR(IF(INDEX(Fri_W1[],MATCH('Individual Schedule'!$C$4,Fri_W1[Employee Name],0),MATCH('Individual Schedule'!$B34,Fri_W1[#Headers],0))="","",INDEX(Fri_W1[],MATCH('Individual Schedule'!$C$4,Fri_W1[Employee Name],0),MATCH('Individual Schedule'!$B34,Fri_W1[#Headers],0))),"")</f>
        <v>-</v>
      </c>
      <c r="D34" s="176" t="str">
        <f>IFERROR(IF(INDEX(Sat_W1[],MATCH('Individual Schedule'!$C$4,Sat_W1[Employee Name],0),MATCH('Individual Schedule'!$B34,Sat_W1[#Headers],0))="","",INDEX(Sat_W1[],MATCH('Individual Schedule'!$C$4,Sat_W1[Employee Name],0),MATCH('Individual Schedule'!$B34,Sat_W1[#Headers],0))),"")</f>
        <v/>
      </c>
      <c r="E34" s="176" t="str">
        <f>IFERROR(IF(INDEX(Sun_W1[],MATCH('Individual Schedule'!$C$4,Sun_W1[Employee Name],0),MATCH('Individual Schedule'!$B34,Sun_W1[#Headers],0))="","",INDEX(Sun_W1[],MATCH('Individual Schedule'!$C$4,Sun_W1[Employee Name],0),MATCH('Individual Schedule'!$B34,Sun_W1[#Headers],0))),"")</f>
        <v/>
      </c>
      <c r="F34" s="176" t="str">
        <f>IFERROR(IF(INDEX(Mon_W1[],MATCH('Individual Schedule'!$C$4,Mon_W1[Employee Name],0),MATCH('Individual Schedule'!$B34,Mon_W1[#Headers],0))="","",INDEX(Mon_W1[],MATCH('Individual Schedule'!$C$4,Mon_W1[Employee Name],0),MATCH('Individual Schedule'!$B34,Mon_W1[#Headers],0))),"")</f>
        <v>-</v>
      </c>
      <c r="G34" s="176" t="str">
        <f>IFERROR(IF(INDEX(Tue_W1[],MATCH('Individual Schedule'!$C$4,Tue_W1[Employee Name],0),MATCH('Individual Schedule'!$B34,Tue_W1[#Headers],0))="","",INDEX(Tue_W1[],MATCH('Individual Schedule'!$C$4,Tue_W1[Employee Name],0),MATCH('Individual Schedule'!$B34,Tue_W1[#Headers],0))),"")</f>
        <v>-</v>
      </c>
      <c r="H34" s="176" t="str">
        <f>IFERROR(IF(INDEX(Wed_W1[],MATCH('Individual Schedule'!$C$4,Wed_W1[Employee Name],0),MATCH('Individual Schedule'!$B34,Wed_W1[#Headers],0))="","",INDEX(Wed_W1[],MATCH('Individual Schedule'!$C$4,Wed_W1[Employee Name],0),MATCH('Individual Schedule'!$B34,Wed_W1[#Headers],0))),"")</f>
        <v>-</v>
      </c>
      <c r="I34" s="176" t="str">
        <f>IFERROR(IF(INDEX(Thu_W1[],MATCH('Individual Schedule'!$C$4,Thu_W1[Employee Name],0),MATCH('Individual Schedule'!$B34,Thu_W1[#Headers],0))="","",INDEX(Thu_W1[],MATCH('Individual Schedule'!$C$4,Thu_W1[Employee Name],0),MATCH('Individual Schedule'!$B34,Thu_W1[#Headers],0))),"")</f>
        <v>Coaching</v>
      </c>
      <c r="J34" s="176" t="str">
        <f>IFERROR(IF(INDEX(Fri_W2[],MATCH('Individual Schedule'!$C$4,Fri_W2[Employee Name],0),MATCH('Individual Schedule'!$B34,Fri_W2[#Headers],0))="","",INDEX(Fri_W2[],MATCH('Individual Schedule'!$C$4,Fri_W2[Employee Name],0),MATCH('Individual Schedule'!$B34,Fri_W2[#Headers],0))),"")</f>
        <v>-</v>
      </c>
      <c r="K34" s="176" t="str">
        <f>IFERROR(IF(INDEX(Sat_W2[],MATCH('Individual Schedule'!$C$4,Sat_W2[Employee Name],0),MATCH('Individual Schedule'!$B34,Sat_W2[#Headers],0))="","",INDEX(Sat_W2[],MATCH('Individual Schedule'!$C$4,Sat_W2[Employee Name],0),MATCH('Individual Schedule'!$B34,Sat_W2[#Headers],0))),"")</f>
        <v/>
      </c>
      <c r="L34" s="176" t="str">
        <f>IFERROR(IF(INDEX(Sun_W2[],MATCH('Individual Schedule'!$C$4,Sun_W2[Employee Name],0),MATCH('Individual Schedule'!$B34,Sun_W2[#Headers],0))="","",INDEX(Sun_W2[],MATCH('Individual Schedule'!$C$4,Sun_W2[Employee Name],0),MATCH('Individual Schedule'!$B34,Sun_W2[#Headers],0))),"")</f>
        <v/>
      </c>
      <c r="M34" s="176" t="str">
        <f>IFERROR(IF(INDEX(Mon_W2[],MATCH('Individual Schedule'!$C$4,Mon_W2[Employee Name],0),MATCH('Individual Schedule'!$B34,Mon_W2[#Headers],0))="","",INDEX(Mon_W2[],MATCH('Individual Schedule'!$C$4,Mon_W2[Employee Name],0),MATCH('Individual Schedule'!$B34,Mon_W2[#Headers],0))),"")</f>
        <v>-</v>
      </c>
      <c r="N34" s="176" t="str">
        <f>IFERROR(IF(INDEX(Tue_W2[],MATCH('Individual Schedule'!$C$4,Tue_W2[Employee Name],0),MATCH('Individual Schedule'!$B34,Tue_W2[#Headers],0))="","",INDEX(Tue_W2[],MATCH('Individual Schedule'!$C$4,Tue_W2[Employee Name],0),MATCH('Individual Schedule'!$B34,Tue_W2[#Headers],0))),"")</f>
        <v>-</v>
      </c>
      <c r="O34" s="176" t="str">
        <f>IFERROR(IF(INDEX(Wed_W2[],MATCH('Individual Schedule'!$C$4,Wed_W2[Employee Name],0),MATCH('Individual Schedule'!$B34,Wed_W2[#Headers],0))="","",INDEX(Wed_W2[],MATCH('Individual Schedule'!$C$4,Wed_W2[Employee Name],0),MATCH('Individual Schedule'!$B34,Wed_W2[#Headers],0))),"")</f>
        <v>-</v>
      </c>
      <c r="P34" s="177" t="str">
        <f>IFERROR(IF(INDEX(Thu_W2[],MATCH('Individual Schedule'!$C$4,Thu_W2[Employee Name],0),MATCH('Individual Schedule'!$B34,Thu_W2[#Headers],0))="","",INDEX(Thu_W2[],MATCH('Individual Schedule'!$C$4,Thu_W2[Employee Name],0),MATCH('Individual Schedule'!$B34,Thu_W2[#Headers],0))),"")</f>
        <v>Coaching</v>
      </c>
    </row>
    <row r="35" spans="1:16" x14ac:dyDescent="0.25">
      <c r="A35" s="129"/>
      <c r="B35" s="117" t="s">
        <v>142</v>
      </c>
      <c r="C35" s="175" t="str">
        <f>IFERROR(IF(INDEX(Fri_W1[],MATCH('Individual Schedule'!$C$4,Fri_W1[Employee Name],0),MATCH('Individual Schedule'!$B35,Fri_W1[#Headers],0))="","",INDEX(Fri_W1[],MATCH('Individual Schedule'!$C$4,Fri_W1[Employee Name],0),MATCH('Individual Schedule'!$B35,Fri_W1[#Headers],0))),"")</f>
        <v>Coaching</v>
      </c>
      <c r="D35" s="176" t="str">
        <f>IFERROR(IF(INDEX(Sat_W1[],MATCH('Individual Schedule'!$C$4,Sat_W1[Employee Name],0),MATCH('Individual Schedule'!$B35,Sat_W1[#Headers],0))="","",INDEX(Sat_W1[],MATCH('Individual Schedule'!$C$4,Sat_W1[Employee Name],0),MATCH('Individual Schedule'!$B35,Sat_W1[#Headers],0))),"")</f>
        <v/>
      </c>
      <c r="E35" s="176" t="str">
        <f>IFERROR(IF(INDEX(Sun_W1[],MATCH('Individual Schedule'!$C$4,Sun_W1[Employee Name],0),MATCH('Individual Schedule'!$B35,Sun_W1[#Headers],0))="","",INDEX(Sun_W1[],MATCH('Individual Schedule'!$C$4,Sun_W1[Employee Name],0),MATCH('Individual Schedule'!$B35,Sun_W1[#Headers],0))),"")</f>
        <v/>
      </c>
      <c r="F35" s="176" t="str">
        <f>IFERROR(IF(INDEX(Mon_W1[],MATCH('Individual Schedule'!$C$4,Mon_W1[Employee Name],0),MATCH('Individual Schedule'!$B35,Mon_W1[#Headers],0))="","",INDEX(Mon_W1[],MATCH('Individual Schedule'!$C$4,Mon_W1[Employee Name],0),MATCH('Individual Schedule'!$B35,Mon_W1[#Headers],0))),"")</f>
        <v>-</v>
      </c>
      <c r="G35" s="176" t="str">
        <f>IFERROR(IF(INDEX(Tue_W1[],MATCH('Individual Schedule'!$C$4,Tue_W1[Employee Name],0),MATCH('Individual Schedule'!$B35,Tue_W1[#Headers],0))="","",INDEX(Tue_W1[],MATCH('Individual Schedule'!$C$4,Tue_W1[Employee Name],0),MATCH('Individual Schedule'!$B35,Tue_W1[#Headers],0))),"")</f>
        <v>-</v>
      </c>
      <c r="H35" s="176" t="str">
        <f>IFERROR(IF(INDEX(Wed_W1[],MATCH('Individual Schedule'!$C$4,Wed_W1[Employee Name],0),MATCH('Individual Schedule'!$B35,Wed_W1[#Headers],0))="","",INDEX(Wed_W1[],MATCH('Individual Schedule'!$C$4,Wed_W1[Employee Name],0),MATCH('Individual Schedule'!$B35,Wed_W1[#Headers],0))),"")</f>
        <v>-</v>
      </c>
      <c r="I35" s="176" t="str">
        <f>IFERROR(IF(INDEX(Thu_W1[],MATCH('Individual Schedule'!$C$4,Thu_W1[Employee Name],0),MATCH('Individual Schedule'!$B35,Thu_W1[#Headers],0))="","",INDEX(Thu_W1[],MATCH('Individual Schedule'!$C$4,Thu_W1[Employee Name],0),MATCH('Individual Schedule'!$B35,Thu_W1[#Headers],0))),"")</f>
        <v>-</v>
      </c>
      <c r="J35" s="176" t="str">
        <f>IFERROR(IF(INDEX(Fri_W2[],MATCH('Individual Schedule'!$C$4,Fri_W2[Employee Name],0),MATCH('Individual Schedule'!$B35,Fri_W2[#Headers],0))="","",INDEX(Fri_W2[],MATCH('Individual Schedule'!$C$4,Fri_W2[Employee Name],0),MATCH('Individual Schedule'!$B35,Fri_W2[#Headers],0))),"")</f>
        <v>Coaching</v>
      </c>
      <c r="K35" s="176" t="str">
        <f>IFERROR(IF(INDEX(Sat_W2[],MATCH('Individual Schedule'!$C$4,Sat_W2[Employee Name],0),MATCH('Individual Schedule'!$B35,Sat_W2[#Headers],0))="","",INDEX(Sat_W2[],MATCH('Individual Schedule'!$C$4,Sat_W2[Employee Name],0),MATCH('Individual Schedule'!$B35,Sat_W2[#Headers],0))),"")</f>
        <v/>
      </c>
      <c r="L35" s="176" t="str">
        <f>IFERROR(IF(INDEX(Sun_W2[],MATCH('Individual Schedule'!$C$4,Sun_W2[Employee Name],0),MATCH('Individual Schedule'!$B35,Sun_W2[#Headers],0))="","",INDEX(Sun_W2[],MATCH('Individual Schedule'!$C$4,Sun_W2[Employee Name],0),MATCH('Individual Schedule'!$B35,Sun_W2[#Headers],0))),"")</f>
        <v/>
      </c>
      <c r="M35" s="176" t="str">
        <f>IFERROR(IF(INDEX(Mon_W2[],MATCH('Individual Schedule'!$C$4,Mon_W2[Employee Name],0),MATCH('Individual Schedule'!$B35,Mon_W2[#Headers],0))="","",INDEX(Mon_W2[],MATCH('Individual Schedule'!$C$4,Mon_W2[Employee Name],0),MATCH('Individual Schedule'!$B35,Mon_W2[#Headers],0))),"")</f>
        <v>-</v>
      </c>
      <c r="N35" s="176" t="str">
        <f>IFERROR(IF(INDEX(Tue_W2[],MATCH('Individual Schedule'!$C$4,Tue_W2[Employee Name],0),MATCH('Individual Schedule'!$B35,Tue_W2[#Headers],0))="","",INDEX(Tue_W2[],MATCH('Individual Schedule'!$C$4,Tue_W2[Employee Name],0),MATCH('Individual Schedule'!$B35,Tue_W2[#Headers],0))),"")</f>
        <v>-</v>
      </c>
      <c r="O35" s="176" t="str">
        <f>IFERROR(IF(INDEX(Wed_W2[],MATCH('Individual Schedule'!$C$4,Wed_W2[Employee Name],0),MATCH('Individual Schedule'!$B35,Wed_W2[#Headers],0))="","",INDEX(Wed_W2[],MATCH('Individual Schedule'!$C$4,Wed_W2[Employee Name],0),MATCH('Individual Schedule'!$B35,Wed_W2[#Headers],0))),"")</f>
        <v>-</v>
      </c>
      <c r="P35" s="177" t="str">
        <f>IFERROR(IF(INDEX(Thu_W2[],MATCH('Individual Schedule'!$C$4,Thu_W2[Employee Name],0),MATCH('Individual Schedule'!$B35,Thu_W2[#Headers],0))="","",INDEX(Thu_W2[],MATCH('Individual Schedule'!$C$4,Thu_W2[Employee Name],0),MATCH('Individual Schedule'!$B35,Thu_W2[#Headers],0))),"")</f>
        <v>-</v>
      </c>
    </row>
    <row r="36" spans="1:16" x14ac:dyDescent="0.25">
      <c r="A36" s="129"/>
      <c r="B36" s="117" t="s">
        <v>102</v>
      </c>
      <c r="C36" s="175" t="str">
        <f>IFERROR(IF(INDEX(Fri_W1[],MATCH('Individual Schedule'!$C$4,Fri_W1[Employee Name],0),MATCH('Individual Schedule'!$B36,Fri_W1[#Headers],0))="","",INDEX(Fri_W1[],MATCH('Individual Schedule'!$C$4,Fri_W1[Employee Name],0),MATCH('Individual Schedule'!$B36,Fri_W1[#Headers],0))),"")</f>
        <v>Coaching</v>
      </c>
      <c r="D36" s="176" t="str">
        <f>IFERROR(IF(INDEX(Sat_W1[],MATCH('Individual Schedule'!$C$4,Sat_W1[Employee Name],0),MATCH('Individual Schedule'!$B36,Sat_W1[#Headers],0))="","",INDEX(Sat_W1[],MATCH('Individual Schedule'!$C$4,Sat_W1[Employee Name],0),MATCH('Individual Schedule'!$B36,Sat_W1[#Headers],0))),"")</f>
        <v/>
      </c>
      <c r="E36" s="176" t="str">
        <f>IFERROR(IF(INDEX(Sun_W1[],MATCH('Individual Schedule'!$C$4,Sun_W1[Employee Name],0),MATCH('Individual Schedule'!$B36,Sun_W1[#Headers],0))="","",INDEX(Sun_W1[],MATCH('Individual Schedule'!$C$4,Sun_W1[Employee Name],0),MATCH('Individual Schedule'!$B36,Sun_W1[#Headers],0))),"")</f>
        <v/>
      </c>
      <c r="F36" s="176" t="str">
        <f>IFERROR(IF(INDEX(Mon_W1[],MATCH('Individual Schedule'!$C$4,Mon_W1[Employee Name],0),MATCH('Individual Schedule'!$B36,Mon_W1[#Headers],0))="","",INDEX(Mon_W1[],MATCH('Individual Schedule'!$C$4,Mon_W1[Employee Name],0),MATCH('Individual Schedule'!$B36,Mon_W1[#Headers],0))),"")</f>
        <v>-</v>
      </c>
      <c r="G36" s="176" t="str">
        <f>IFERROR(IF(INDEX(Tue_W1[],MATCH('Individual Schedule'!$C$4,Tue_W1[Employee Name],0),MATCH('Individual Schedule'!$B36,Tue_W1[#Headers],0))="","",INDEX(Tue_W1[],MATCH('Individual Schedule'!$C$4,Tue_W1[Employee Name],0),MATCH('Individual Schedule'!$B36,Tue_W1[#Headers],0))),"")</f>
        <v>TM PREP</v>
      </c>
      <c r="H36" s="176" t="str">
        <f>IFERROR(IF(INDEX(Wed_W1[],MATCH('Individual Schedule'!$C$4,Wed_W1[Employee Name],0),MATCH('Individual Schedule'!$B36,Wed_W1[#Headers],0))="","",INDEX(Wed_W1[],MATCH('Individual Schedule'!$C$4,Wed_W1[Employee Name],0),MATCH('Individual Schedule'!$B36,Wed_W1[#Headers],0))),"")</f>
        <v>-</v>
      </c>
      <c r="I36" s="176" t="str">
        <f>IFERROR(IF(INDEX(Thu_W1[],MATCH('Individual Schedule'!$C$4,Thu_W1[Employee Name],0),MATCH('Individual Schedule'!$B36,Thu_W1[#Headers],0))="","",INDEX(Thu_W1[],MATCH('Individual Schedule'!$C$4,Thu_W1[Employee Name],0),MATCH('Individual Schedule'!$B36,Thu_W1[#Headers],0))),"")</f>
        <v>-</v>
      </c>
      <c r="J36" s="176" t="str">
        <f>IFERROR(IF(INDEX(Fri_W2[],MATCH('Individual Schedule'!$C$4,Fri_W2[Employee Name],0),MATCH('Individual Schedule'!$B36,Fri_W2[#Headers],0))="","",INDEX(Fri_W2[],MATCH('Individual Schedule'!$C$4,Fri_W2[Employee Name],0),MATCH('Individual Schedule'!$B36,Fri_W2[#Headers],0))),"")</f>
        <v>Coaching</v>
      </c>
      <c r="K36" s="176" t="str">
        <f>IFERROR(IF(INDEX(Sat_W2[],MATCH('Individual Schedule'!$C$4,Sat_W2[Employee Name],0),MATCH('Individual Schedule'!$B36,Sat_W2[#Headers],0))="","",INDEX(Sat_W2[],MATCH('Individual Schedule'!$C$4,Sat_W2[Employee Name],0),MATCH('Individual Schedule'!$B36,Sat_W2[#Headers],0))),"")</f>
        <v/>
      </c>
      <c r="L36" s="176" t="str">
        <f>IFERROR(IF(INDEX(Sun_W2[],MATCH('Individual Schedule'!$C$4,Sun_W2[Employee Name],0),MATCH('Individual Schedule'!$B36,Sun_W2[#Headers],0))="","",INDEX(Sun_W2[],MATCH('Individual Schedule'!$C$4,Sun_W2[Employee Name],0),MATCH('Individual Schedule'!$B36,Sun_W2[#Headers],0))),"")</f>
        <v/>
      </c>
      <c r="M36" s="176" t="str">
        <f>IFERROR(IF(INDEX(Mon_W2[],MATCH('Individual Schedule'!$C$4,Mon_W2[Employee Name],0),MATCH('Individual Schedule'!$B36,Mon_W2[#Headers],0))="","",INDEX(Mon_W2[],MATCH('Individual Schedule'!$C$4,Mon_W2[Employee Name],0),MATCH('Individual Schedule'!$B36,Mon_W2[#Headers],0))),"")</f>
        <v>-</v>
      </c>
      <c r="N36" s="176" t="str">
        <f>IFERROR(IF(INDEX(Tue_W2[],MATCH('Individual Schedule'!$C$4,Tue_W2[Employee Name],0),MATCH('Individual Schedule'!$B36,Tue_W2[#Headers],0))="","",INDEX(Tue_W2[],MATCH('Individual Schedule'!$C$4,Tue_W2[Employee Name],0),MATCH('Individual Schedule'!$B36,Tue_W2[#Headers],0))),"")</f>
        <v>TM PREP</v>
      </c>
      <c r="O36" s="176" t="str">
        <f>IFERROR(IF(INDEX(Wed_W2[],MATCH('Individual Schedule'!$C$4,Wed_W2[Employee Name],0),MATCH('Individual Schedule'!$B36,Wed_W2[#Headers],0))="","",INDEX(Wed_W2[],MATCH('Individual Schedule'!$C$4,Wed_W2[Employee Name],0),MATCH('Individual Schedule'!$B36,Wed_W2[#Headers],0))),"")</f>
        <v>-</v>
      </c>
      <c r="P36" s="177" t="str">
        <f>IFERROR(IF(INDEX(Thu_W2[],MATCH('Individual Schedule'!$C$4,Thu_W2[Employee Name],0),MATCH('Individual Schedule'!$B36,Thu_W2[#Headers],0))="","",INDEX(Thu_W2[],MATCH('Individual Schedule'!$C$4,Thu_W2[Employee Name],0),MATCH('Individual Schedule'!$B36,Thu_W2[#Headers],0))),"")</f>
        <v>-</v>
      </c>
    </row>
    <row r="37" spans="1:16" x14ac:dyDescent="0.25">
      <c r="A37" s="129"/>
      <c r="B37" s="117" t="s">
        <v>143</v>
      </c>
      <c r="C37" s="175" t="str">
        <f>IFERROR(IF(INDEX(Fri_W1[],MATCH('Individual Schedule'!$C$4,Fri_W1[Employee Name],0),MATCH('Individual Schedule'!$B37,Fri_W1[#Headers],0))="","",INDEX(Fri_W1[],MATCH('Individual Schedule'!$C$4,Fri_W1[Employee Name],0),MATCH('Individual Schedule'!$B37,Fri_W1[#Headers],0))),"")</f>
        <v>Coaching</v>
      </c>
      <c r="D37" s="176" t="str">
        <f>IFERROR(IF(INDEX(Sat_W1[],MATCH('Individual Schedule'!$C$4,Sat_W1[Employee Name],0),MATCH('Individual Schedule'!$B37,Sat_W1[#Headers],0))="","",INDEX(Sat_W1[],MATCH('Individual Schedule'!$C$4,Sat_W1[Employee Name],0),MATCH('Individual Schedule'!$B37,Sat_W1[#Headers],0))),"")</f>
        <v/>
      </c>
      <c r="E37" s="176" t="str">
        <f>IFERROR(IF(INDEX(Sun_W1[],MATCH('Individual Schedule'!$C$4,Sun_W1[Employee Name],0),MATCH('Individual Schedule'!$B37,Sun_W1[#Headers],0))="","",INDEX(Sun_W1[],MATCH('Individual Schedule'!$C$4,Sun_W1[Employee Name],0),MATCH('Individual Schedule'!$B37,Sun_W1[#Headers],0))),"")</f>
        <v/>
      </c>
      <c r="F37" s="176" t="str">
        <f>IFERROR(IF(INDEX(Mon_W1[],MATCH('Individual Schedule'!$C$4,Mon_W1[Employee Name],0),MATCH('Individual Schedule'!$B37,Mon_W1[#Headers],0))="","",INDEX(Mon_W1[],MATCH('Individual Schedule'!$C$4,Mon_W1[Employee Name],0),MATCH('Individual Schedule'!$B37,Mon_W1[#Headers],0))),"")</f>
        <v>-</v>
      </c>
      <c r="G37" s="176" t="str">
        <f>IFERROR(IF(INDEX(Tue_W1[],MATCH('Individual Schedule'!$C$4,Tue_W1[Employee Name],0),MATCH('Individual Schedule'!$B37,Tue_W1[#Headers],0))="","",INDEX(Tue_W1[],MATCH('Individual Schedule'!$C$4,Tue_W1[Employee Name],0),MATCH('Individual Schedule'!$B37,Tue_W1[#Headers],0))),"")</f>
        <v>AGUILAR TM</v>
      </c>
      <c r="H37" s="176" t="str">
        <f>IFERROR(IF(INDEX(Wed_W1[],MATCH('Individual Schedule'!$C$4,Wed_W1[Employee Name],0),MATCH('Individual Schedule'!$B37,Wed_W1[#Headers],0))="","",INDEX(Wed_W1[],MATCH('Individual Schedule'!$C$4,Wed_W1[Employee Name],0),MATCH('Individual Schedule'!$B37,Wed_W1[#Headers],0))),"")</f>
        <v>Coaching</v>
      </c>
      <c r="I37" s="176" t="str">
        <f>IFERROR(IF(INDEX(Thu_W1[],MATCH('Individual Schedule'!$C$4,Thu_W1[Employee Name],0),MATCH('Individual Schedule'!$B37,Thu_W1[#Headers],0))="","",INDEX(Thu_W1[],MATCH('Individual Schedule'!$C$4,Thu_W1[Employee Name],0),MATCH('Individual Schedule'!$B37,Thu_W1[#Headers],0))),"")</f>
        <v>-</v>
      </c>
      <c r="J37" s="176" t="str">
        <f>IFERROR(IF(INDEX(Fri_W2[],MATCH('Individual Schedule'!$C$4,Fri_W2[Employee Name],0),MATCH('Individual Schedule'!$B37,Fri_W2[#Headers],0))="","",INDEX(Fri_W2[],MATCH('Individual Schedule'!$C$4,Fri_W2[Employee Name],0),MATCH('Individual Schedule'!$B37,Fri_W2[#Headers],0))),"")</f>
        <v>Coaching</v>
      </c>
      <c r="K37" s="176" t="str">
        <f>IFERROR(IF(INDEX(Sat_W2[],MATCH('Individual Schedule'!$C$4,Sat_W2[Employee Name],0),MATCH('Individual Schedule'!$B37,Sat_W2[#Headers],0))="","",INDEX(Sat_W2[],MATCH('Individual Schedule'!$C$4,Sat_W2[Employee Name],0),MATCH('Individual Schedule'!$B37,Sat_W2[#Headers],0))),"")</f>
        <v/>
      </c>
      <c r="L37" s="176" t="str">
        <f>IFERROR(IF(INDEX(Sun_W2[],MATCH('Individual Schedule'!$C$4,Sun_W2[Employee Name],0),MATCH('Individual Schedule'!$B37,Sun_W2[#Headers],0))="","",INDEX(Sun_W2[],MATCH('Individual Schedule'!$C$4,Sun_W2[Employee Name],0),MATCH('Individual Schedule'!$B37,Sun_W2[#Headers],0))),"")</f>
        <v/>
      </c>
      <c r="M37" s="176" t="str">
        <f>IFERROR(IF(INDEX(Mon_W2[],MATCH('Individual Schedule'!$C$4,Mon_W2[Employee Name],0),MATCH('Individual Schedule'!$B37,Mon_W2[#Headers],0))="","",INDEX(Mon_W2[],MATCH('Individual Schedule'!$C$4,Mon_W2[Employee Name],0),MATCH('Individual Schedule'!$B37,Mon_W2[#Headers],0))),"")</f>
        <v>-</v>
      </c>
      <c r="N37" s="176" t="str">
        <f>IFERROR(IF(INDEX(Tue_W2[],MATCH('Individual Schedule'!$C$4,Tue_W2[Employee Name],0),MATCH('Individual Schedule'!$B37,Tue_W2[#Headers],0))="","",INDEX(Tue_W2[],MATCH('Individual Schedule'!$C$4,Tue_W2[Employee Name],0),MATCH('Individual Schedule'!$B37,Tue_W2[#Headers],0))),"")</f>
        <v>AGUILAR TM</v>
      </c>
      <c r="O37" s="176" t="str">
        <f>IFERROR(IF(INDEX(Wed_W2[],MATCH('Individual Schedule'!$C$4,Wed_W2[Employee Name],0),MATCH('Individual Schedule'!$B37,Wed_W2[#Headers],0))="","",INDEX(Wed_W2[],MATCH('Individual Schedule'!$C$4,Wed_W2[Employee Name],0),MATCH('Individual Schedule'!$B37,Wed_W2[#Headers],0))),"")</f>
        <v>Coaching</v>
      </c>
      <c r="P37" s="177" t="str">
        <f>IFERROR(IF(INDEX(Thu_W2[],MATCH('Individual Schedule'!$C$4,Thu_W2[Employee Name],0),MATCH('Individual Schedule'!$B37,Thu_W2[#Headers],0))="","",INDEX(Thu_W2[],MATCH('Individual Schedule'!$C$4,Thu_W2[Employee Name],0),MATCH('Individual Schedule'!$B37,Thu_W2[#Headers],0))),"")</f>
        <v>-</v>
      </c>
    </row>
    <row r="38" spans="1:16" x14ac:dyDescent="0.25">
      <c r="A38" s="129"/>
      <c r="B38" s="117" t="s">
        <v>123</v>
      </c>
      <c r="C38" s="175" t="str">
        <f>IFERROR(IF(INDEX(Fri_W1[],MATCH('Individual Schedule'!$C$4,Fri_W1[Employee Name],0),MATCH('Individual Schedule'!$B38,Fri_W1[#Headers],0))="","",INDEX(Fri_W1[],MATCH('Individual Schedule'!$C$4,Fri_W1[Employee Name],0),MATCH('Individual Schedule'!$B38,Fri_W1[#Headers],0))),"")</f>
        <v>Coaching</v>
      </c>
      <c r="D38" s="176" t="str">
        <f>IFERROR(IF(INDEX(Sat_W1[],MATCH('Individual Schedule'!$C$4,Sat_W1[Employee Name],0),MATCH('Individual Schedule'!$B38,Sat_W1[#Headers],0))="","",INDEX(Sat_W1[],MATCH('Individual Schedule'!$C$4,Sat_W1[Employee Name],0),MATCH('Individual Schedule'!$B38,Sat_W1[#Headers],0))),"")</f>
        <v/>
      </c>
      <c r="E38" s="176" t="str">
        <f>IFERROR(IF(INDEX(Sun_W1[],MATCH('Individual Schedule'!$C$4,Sun_W1[Employee Name],0),MATCH('Individual Schedule'!$B38,Sun_W1[#Headers],0))="","",INDEX(Sun_W1[],MATCH('Individual Schedule'!$C$4,Sun_W1[Employee Name],0),MATCH('Individual Schedule'!$B38,Sun_W1[#Headers],0))),"")</f>
        <v/>
      </c>
      <c r="F38" s="176" t="str">
        <f>IFERROR(IF(INDEX(Mon_W1[],MATCH('Individual Schedule'!$C$4,Mon_W1[Employee Name],0),MATCH('Individual Schedule'!$B38,Mon_W1[#Headers],0))="","",INDEX(Mon_W1[],MATCH('Individual Schedule'!$C$4,Mon_W1[Employee Name],0),MATCH('Individual Schedule'!$B38,Mon_W1[#Headers],0))),"")</f>
        <v>-</v>
      </c>
      <c r="G38" s="176" t="str">
        <f>IFERROR(IF(INDEX(Tue_W1[],MATCH('Individual Schedule'!$C$4,Tue_W1[Employee Name],0),MATCH('Individual Schedule'!$B38,Tue_W1[#Headers],0))="","",INDEX(Tue_W1[],MATCH('Individual Schedule'!$C$4,Tue_W1[Employee Name],0),MATCH('Individual Schedule'!$B38,Tue_W1[#Headers],0))),"")</f>
        <v>AGUILAR TM</v>
      </c>
      <c r="H38" s="176" t="str">
        <f>IFERROR(IF(INDEX(Wed_W1[],MATCH('Individual Schedule'!$C$4,Wed_W1[Employee Name],0),MATCH('Individual Schedule'!$B38,Wed_W1[#Headers],0))="","",INDEX(Wed_W1[],MATCH('Individual Schedule'!$C$4,Wed_W1[Employee Name],0),MATCH('Individual Schedule'!$B38,Wed_W1[#Headers],0))),"")</f>
        <v>Coaching</v>
      </c>
      <c r="I38" s="176" t="str">
        <f>IFERROR(IF(INDEX(Thu_W1[],MATCH('Individual Schedule'!$C$4,Thu_W1[Employee Name],0),MATCH('Individual Schedule'!$B38,Thu_W1[#Headers],0))="","",INDEX(Thu_W1[],MATCH('Individual Schedule'!$C$4,Thu_W1[Employee Name],0),MATCH('Individual Schedule'!$B38,Thu_W1[#Headers],0))),"")</f>
        <v>-</v>
      </c>
      <c r="J38" s="176" t="str">
        <f>IFERROR(IF(INDEX(Fri_W2[],MATCH('Individual Schedule'!$C$4,Fri_W2[Employee Name],0),MATCH('Individual Schedule'!$B38,Fri_W2[#Headers],0))="","",INDEX(Fri_W2[],MATCH('Individual Schedule'!$C$4,Fri_W2[Employee Name],0),MATCH('Individual Schedule'!$B38,Fri_W2[#Headers],0))),"")</f>
        <v>Coaching</v>
      </c>
      <c r="K38" s="176" t="str">
        <f>IFERROR(IF(INDEX(Sat_W2[],MATCH('Individual Schedule'!$C$4,Sat_W2[Employee Name],0),MATCH('Individual Schedule'!$B38,Sat_W2[#Headers],0))="","",INDEX(Sat_W2[],MATCH('Individual Schedule'!$C$4,Sat_W2[Employee Name],0),MATCH('Individual Schedule'!$B38,Sat_W2[#Headers],0))),"")</f>
        <v/>
      </c>
      <c r="L38" s="176" t="str">
        <f>IFERROR(IF(INDEX(Sun_W2[],MATCH('Individual Schedule'!$C$4,Sun_W2[Employee Name],0),MATCH('Individual Schedule'!$B38,Sun_W2[#Headers],0))="","",INDEX(Sun_W2[],MATCH('Individual Schedule'!$C$4,Sun_W2[Employee Name],0),MATCH('Individual Schedule'!$B38,Sun_W2[#Headers],0))),"")</f>
        <v/>
      </c>
      <c r="M38" s="176" t="str">
        <f>IFERROR(IF(INDEX(Mon_W2[],MATCH('Individual Schedule'!$C$4,Mon_W2[Employee Name],0),MATCH('Individual Schedule'!$B38,Mon_W2[#Headers],0))="","",INDEX(Mon_W2[],MATCH('Individual Schedule'!$C$4,Mon_W2[Employee Name],0),MATCH('Individual Schedule'!$B38,Mon_W2[#Headers],0))),"")</f>
        <v>-</v>
      </c>
      <c r="N38" s="176" t="str">
        <f>IFERROR(IF(INDEX(Tue_W2[],MATCH('Individual Schedule'!$C$4,Tue_W2[Employee Name],0),MATCH('Individual Schedule'!$B38,Tue_W2[#Headers],0))="","",INDEX(Tue_W2[],MATCH('Individual Schedule'!$C$4,Tue_W2[Employee Name],0),MATCH('Individual Schedule'!$B38,Tue_W2[#Headers],0))),"")</f>
        <v>AGUILAR TM</v>
      </c>
      <c r="O38" s="176" t="str">
        <f>IFERROR(IF(INDEX(Wed_W2[],MATCH('Individual Schedule'!$C$4,Wed_W2[Employee Name],0),MATCH('Individual Schedule'!$B38,Wed_W2[#Headers],0))="","",INDEX(Wed_W2[],MATCH('Individual Schedule'!$C$4,Wed_W2[Employee Name],0),MATCH('Individual Schedule'!$B38,Wed_W2[#Headers],0))),"")</f>
        <v>Coaching</v>
      </c>
      <c r="P38" s="177" t="str">
        <f>IFERROR(IF(INDEX(Thu_W2[],MATCH('Individual Schedule'!$C$4,Thu_W2[Employee Name],0),MATCH('Individual Schedule'!$B38,Thu_W2[#Headers],0))="","",INDEX(Thu_W2[],MATCH('Individual Schedule'!$C$4,Thu_W2[Employee Name],0),MATCH('Individual Schedule'!$B38,Thu_W2[#Headers],0))),"")</f>
        <v>-</v>
      </c>
    </row>
    <row r="39" spans="1:16" x14ac:dyDescent="0.25">
      <c r="A39" s="129"/>
      <c r="B39" s="117" t="s">
        <v>117</v>
      </c>
      <c r="C39" s="175" t="str">
        <f>IFERROR(IF(INDEX(Fri_W1[],MATCH('Individual Schedule'!$C$4,Fri_W1[Employee Name],0),MATCH('Individual Schedule'!$B39,Fri_W1[#Headers],0))="","",INDEX(Fri_W1[],MATCH('Individual Schedule'!$C$4,Fri_W1[Employee Name],0),MATCH('Individual Schedule'!$B39,Fri_W1[#Headers],0))),"")</f>
        <v>-</v>
      </c>
      <c r="D39" s="176" t="str">
        <f>IFERROR(IF(INDEX(Sat_W1[],MATCH('Individual Schedule'!$C$4,Sat_W1[Employee Name],0),MATCH('Individual Schedule'!$B39,Sat_W1[#Headers],0))="","",INDEX(Sat_W1[],MATCH('Individual Schedule'!$C$4,Sat_W1[Employee Name],0),MATCH('Individual Schedule'!$B39,Sat_W1[#Headers],0))),"")</f>
        <v/>
      </c>
      <c r="E39" s="176" t="str">
        <f>IFERROR(IF(INDEX(Sun_W1[],MATCH('Individual Schedule'!$C$4,Sun_W1[Employee Name],0),MATCH('Individual Schedule'!$B39,Sun_W1[#Headers],0))="","",INDEX(Sun_W1[],MATCH('Individual Schedule'!$C$4,Sun_W1[Employee Name],0),MATCH('Individual Schedule'!$B39,Sun_W1[#Headers],0))),"")</f>
        <v/>
      </c>
      <c r="F39" s="176" t="str">
        <f>IFERROR(IF(INDEX(Mon_W1[],MATCH('Individual Schedule'!$C$4,Mon_W1[Employee Name],0),MATCH('Individual Schedule'!$B39,Mon_W1[#Headers],0))="","",INDEX(Mon_W1[],MATCH('Individual Schedule'!$C$4,Mon_W1[Employee Name],0),MATCH('Individual Schedule'!$B39,Mon_W1[#Headers],0))),"")</f>
        <v>-</v>
      </c>
      <c r="G39" s="176" t="str">
        <f>IFERROR(IF(INDEX(Tue_W1[],MATCH('Individual Schedule'!$C$4,Tue_W1[Employee Name],0),MATCH('Individual Schedule'!$B39,Tue_W1[#Headers],0))="","",INDEX(Tue_W1[],MATCH('Individual Schedule'!$C$4,Tue_W1[Employee Name],0),MATCH('Individual Schedule'!$B39,Tue_W1[#Headers],0))),"")</f>
        <v>-</v>
      </c>
      <c r="H39" s="176" t="str">
        <f>IFERROR(IF(INDEX(Wed_W1[],MATCH('Individual Schedule'!$C$4,Wed_W1[Employee Name],0),MATCH('Individual Schedule'!$B39,Wed_W1[#Headers],0))="","",INDEX(Wed_W1[],MATCH('Individual Schedule'!$C$4,Wed_W1[Employee Name],0),MATCH('Individual Schedule'!$B39,Wed_W1[#Headers],0))),"")</f>
        <v>Coaching</v>
      </c>
      <c r="I39" s="176" t="str">
        <f>IFERROR(IF(INDEX(Thu_W1[],MATCH('Individual Schedule'!$C$4,Thu_W1[Employee Name],0),MATCH('Individual Schedule'!$B39,Thu_W1[#Headers],0))="","",INDEX(Thu_W1[],MATCH('Individual Schedule'!$C$4,Thu_W1[Employee Name],0),MATCH('Individual Schedule'!$B39,Thu_W1[#Headers],0))),"")</f>
        <v>-</v>
      </c>
      <c r="J39" s="176" t="str">
        <f>IFERROR(IF(INDEX(Fri_W2[],MATCH('Individual Schedule'!$C$4,Fri_W2[Employee Name],0),MATCH('Individual Schedule'!$B39,Fri_W2[#Headers],0))="","",INDEX(Fri_W2[],MATCH('Individual Schedule'!$C$4,Fri_W2[Employee Name],0),MATCH('Individual Schedule'!$B39,Fri_W2[#Headers],0))),"")</f>
        <v>-</v>
      </c>
      <c r="K39" s="176" t="str">
        <f>IFERROR(IF(INDEX(Sat_W2[],MATCH('Individual Schedule'!$C$4,Sat_W2[Employee Name],0),MATCH('Individual Schedule'!$B39,Sat_W2[#Headers],0))="","",INDEX(Sat_W2[],MATCH('Individual Schedule'!$C$4,Sat_W2[Employee Name],0),MATCH('Individual Schedule'!$B39,Sat_W2[#Headers],0))),"")</f>
        <v/>
      </c>
      <c r="L39" s="176" t="str">
        <f>IFERROR(IF(INDEX(Sun_W2[],MATCH('Individual Schedule'!$C$4,Sun_W2[Employee Name],0),MATCH('Individual Schedule'!$B39,Sun_W2[#Headers],0))="","",INDEX(Sun_W2[],MATCH('Individual Schedule'!$C$4,Sun_W2[Employee Name],0),MATCH('Individual Schedule'!$B39,Sun_W2[#Headers],0))),"")</f>
        <v/>
      </c>
      <c r="M39" s="176" t="str">
        <f>IFERROR(IF(INDEX(Mon_W2[],MATCH('Individual Schedule'!$C$4,Mon_W2[Employee Name],0),MATCH('Individual Schedule'!$B39,Mon_W2[#Headers],0))="","",INDEX(Mon_W2[],MATCH('Individual Schedule'!$C$4,Mon_W2[Employee Name],0),MATCH('Individual Schedule'!$B39,Mon_W2[#Headers],0))),"")</f>
        <v>-</v>
      </c>
      <c r="N39" s="176" t="str">
        <f>IFERROR(IF(INDEX(Tue_W2[],MATCH('Individual Schedule'!$C$4,Tue_W2[Employee Name],0),MATCH('Individual Schedule'!$B39,Tue_W2[#Headers],0))="","",INDEX(Tue_W2[],MATCH('Individual Schedule'!$C$4,Tue_W2[Employee Name],0),MATCH('Individual Schedule'!$B39,Tue_W2[#Headers],0))),"")</f>
        <v>-</v>
      </c>
      <c r="O39" s="176" t="str">
        <f>IFERROR(IF(INDEX(Wed_W2[],MATCH('Individual Schedule'!$C$4,Wed_W2[Employee Name],0),MATCH('Individual Schedule'!$B39,Wed_W2[#Headers],0))="","",INDEX(Wed_W2[],MATCH('Individual Schedule'!$C$4,Wed_W2[Employee Name],0),MATCH('Individual Schedule'!$B39,Wed_W2[#Headers],0))),"")</f>
        <v>Coaching</v>
      </c>
      <c r="P39" s="177" t="str">
        <f>IFERROR(IF(INDEX(Thu_W2[],MATCH('Individual Schedule'!$C$4,Thu_W2[Employee Name],0),MATCH('Individual Schedule'!$B39,Thu_W2[#Headers],0))="","",INDEX(Thu_W2[],MATCH('Individual Schedule'!$C$4,Thu_W2[Employee Name],0),MATCH('Individual Schedule'!$B39,Thu_W2[#Headers],0))),"")</f>
        <v>-</v>
      </c>
    </row>
    <row r="40" spans="1:16" x14ac:dyDescent="0.25">
      <c r="A40" s="129"/>
      <c r="B40" s="117" t="s">
        <v>151</v>
      </c>
      <c r="C40" s="175" t="str">
        <f>IFERROR(IF(INDEX(Fri_W1[],MATCH('Individual Schedule'!$C$4,Fri_W1[Employee Name],0),MATCH('Individual Schedule'!$B40,Fri_W1[#Headers],0))="","",INDEX(Fri_W1[],MATCH('Individual Schedule'!$C$4,Fri_W1[Employee Name],0),MATCH('Individual Schedule'!$B40,Fri_W1[#Headers],0))),"")</f>
        <v>-</v>
      </c>
      <c r="D40" s="176" t="str">
        <f>IFERROR(IF(INDEX(Sat_W1[],MATCH('Individual Schedule'!$C$4,Sat_W1[Employee Name],0),MATCH('Individual Schedule'!$B40,Sat_W1[#Headers],0))="","",INDEX(Sat_W1[],MATCH('Individual Schedule'!$C$4,Sat_W1[Employee Name],0),MATCH('Individual Schedule'!$B40,Sat_W1[#Headers],0))),"")</f>
        <v/>
      </c>
      <c r="E40" s="176" t="str">
        <f>IFERROR(IF(INDEX(Sun_W1[],MATCH('Individual Schedule'!$C$4,Sun_W1[Employee Name],0),MATCH('Individual Schedule'!$B40,Sun_W1[#Headers],0))="","",INDEX(Sun_W1[],MATCH('Individual Schedule'!$C$4,Sun_W1[Employee Name],0),MATCH('Individual Schedule'!$B40,Sun_W1[#Headers],0))),"")</f>
        <v/>
      </c>
      <c r="F40" s="176" t="str">
        <f>IFERROR(IF(INDEX(Mon_W1[],MATCH('Individual Schedule'!$C$4,Mon_W1[Employee Name],0),MATCH('Individual Schedule'!$B40,Mon_W1[#Headers],0))="","",INDEX(Mon_W1[],MATCH('Individual Schedule'!$C$4,Mon_W1[Employee Name],0),MATCH('Individual Schedule'!$B40,Mon_W1[#Headers],0))),"")</f>
        <v>-</v>
      </c>
      <c r="G40" s="176" t="str">
        <f>IFERROR(IF(INDEX(Tue_W1[],MATCH('Individual Schedule'!$C$4,Tue_W1[Employee Name],0),MATCH('Individual Schedule'!$B40,Tue_W1[#Headers],0))="","",INDEX(Tue_W1[],MATCH('Individual Schedule'!$C$4,Tue_W1[Employee Name],0),MATCH('Individual Schedule'!$B40,Tue_W1[#Headers],0))),"")</f>
        <v>-</v>
      </c>
      <c r="H40" s="176" t="str">
        <f>IFERROR(IF(INDEX(Wed_W1[],MATCH('Individual Schedule'!$C$4,Wed_W1[Employee Name],0),MATCH('Individual Schedule'!$B40,Wed_W1[#Headers],0))="","",INDEX(Wed_W1[],MATCH('Individual Schedule'!$C$4,Wed_W1[Employee Name],0),MATCH('Individual Schedule'!$B40,Wed_W1[#Headers],0))),"")</f>
        <v>Coaching</v>
      </c>
      <c r="I40" s="176" t="str">
        <f>IFERROR(IF(INDEX(Thu_W1[],MATCH('Individual Schedule'!$C$4,Thu_W1[Employee Name],0),MATCH('Individual Schedule'!$B40,Thu_W1[#Headers],0))="","",INDEX(Thu_W1[],MATCH('Individual Schedule'!$C$4,Thu_W1[Employee Name],0),MATCH('Individual Schedule'!$B40,Thu_W1[#Headers],0))),"")</f>
        <v>-</v>
      </c>
      <c r="J40" s="176" t="str">
        <f>IFERROR(IF(INDEX(Fri_W2[],MATCH('Individual Schedule'!$C$4,Fri_W2[Employee Name],0),MATCH('Individual Schedule'!$B40,Fri_W2[#Headers],0))="","",INDEX(Fri_W2[],MATCH('Individual Schedule'!$C$4,Fri_W2[Employee Name],0),MATCH('Individual Schedule'!$B40,Fri_W2[#Headers],0))),"")</f>
        <v>-</v>
      </c>
      <c r="K40" s="176" t="str">
        <f>IFERROR(IF(INDEX(Sat_W2[],MATCH('Individual Schedule'!$C$4,Sat_W2[Employee Name],0),MATCH('Individual Schedule'!$B40,Sat_W2[#Headers],0))="","",INDEX(Sat_W2[],MATCH('Individual Schedule'!$C$4,Sat_W2[Employee Name],0),MATCH('Individual Schedule'!$B40,Sat_W2[#Headers],0))),"")</f>
        <v/>
      </c>
      <c r="L40" s="176" t="str">
        <f>IFERROR(IF(INDEX(Sun_W2[],MATCH('Individual Schedule'!$C$4,Sun_W2[Employee Name],0),MATCH('Individual Schedule'!$B40,Sun_W2[#Headers],0))="","",INDEX(Sun_W2[],MATCH('Individual Schedule'!$C$4,Sun_W2[Employee Name],0),MATCH('Individual Schedule'!$B40,Sun_W2[#Headers],0))),"")</f>
        <v/>
      </c>
      <c r="M40" s="176" t="str">
        <f>IFERROR(IF(INDEX(Mon_W2[],MATCH('Individual Schedule'!$C$4,Mon_W2[Employee Name],0),MATCH('Individual Schedule'!$B40,Mon_W2[#Headers],0))="","",INDEX(Mon_W2[],MATCH('Individual Schedule'!$C$4,Mon_W2[Employee Name],0),MATCH('Individual Schedule'!$B40,Mon_W2[#Headers],0))),"")</f>
        <v>-</v>
      </c>
      <c r="N40" s="176" t="str">
        <f>IFERROR(IF(INDEX(Tue_W2[],MATCH('Individual Schedule'!$C$4,Tue_W2[Employee Name],0),MATCH('Individual Schedule'!$B40,Tue_W2[#Headers],0))="","",INDEX(Tue_W2[],MATCH('Individual Schedule'!$C$4,Tue_W2[Employee Name],0),MATCH('Individual Schedule'!$B40,Tue_W2[#Headers],0))),"")</f>
        <v>-</v>
      </c>
      <c r="O40" s="176" t="str">
        <f>IFERROR(IF(INDEX(Wed_W2[],MATCH('Individual Schedule'!$C$4,Wed_W2[Employee Name],0),MATCH('Individual Schedule'!$B40,Wed_W2[#Headers],0))="","",INDEX(Wed_W2[],MATCH('Individual Schedule'!$C$4,Wed_W2[Employee Name],0),MATCH('Individual Schedule'!$B40,Wed_W2[#Headers],0))),"")</f>
        <v>Coaching</v>
      </c>
      <c r="P40" s="177" t="str">
        <f>IFERROR(IF(INDEX(Thu_W2[],MATCH('Individual Schedule'!$C$4,Thu_W2[Employee Name],0),MATCH('Individual Schedule'!$B40,Thu_W2[#Headers],0))="","",INDEX(Thu_W2[],MATCH('Individual Schedule'!$C$4,Thu_W2[Employee Name],0),MATCH('Individual Schedule'!$B40,Thu_W2[#Headers],0))),"")</f>
        <v>-</v>
      </c>
    </row>
    <row r="41" spans="1:16" x14ac:dyDescent="0.25">
      <c r="A41" s="129"/>
      <c r="B41" s="117" t="s">
        <v>112</v>
      </c>
      <c r="C41" s="175" t="str">
        <f>IFERROR(IF(INDEX(Fri_W1[],MATCH('Individual Schedule'!$C$4,Fri_W1[Employee Name],0),MATCH('Individual Schedule'!$B41,Fri_W1[#Headers],0))="","",INDEX(Fri_W1[],MATCH('Individual Schedule'!$C$4,Fri_W1[Employee Name],0),MATCH('Individual Schedule'!$B41,Fri_W1[#Headers],0))),"")</f>
        <v>-</v>
      </c>
      <c r="D41" s="176" t="str">
        <f>IFERROR(IF(INDEX(Sat_W1[],MATCH('Individual Schedule'!$C$4,Sat_W1[Employee Name],0),MATCH('Individual Schedule'!$B41,Sat_W1[#Headers],0))="","",INDEX(Sat_W1[],MATCH('Individual Schedule'!$C$4,Sat_W1[Employee Name],0),MATCH('Individual Schedule'!$B41,Sat_W1[#Headers],0))),"")</f>
        <v/>
      </c>
      <c r="E41" s="176" t="str">
        <f>IFERROR(IF(INDEX(Sun_W1[],MATCH('Individual Schedule'!$C$4,Sun_W1[Employee Name],0),MATCH('Individual Schedule'!$B41,Sun_W1[#Headers],0))="","",INDEX(Sun_W1[],MATCH('Individual Schedule'!$C$4,Sun_W1[Employee Name],0),MATCH('Individual Schedule'!$B41,Sun_W1[#Headers],0))),"")</f>
        <v/>
      </c>
      <c r="F41" s="176" t="str">
        <f>IFERROR(IF(INDEX(Mon_W1[],MATCH('Individual Schedule'!$C$4,Mon_W1[Employee Name],0),MATCH('Individual Schedule'!$B41,Mon_W1[#Headers],0))="","",INDEX(Mon_W1[],MATCH('Individual Schedule'!$C$4,Mon_W1[Employee Name],0),MATCH('Individual Schedule'!$B41,Mon_W1[#Headers],0))),"")</f>
        <v>-</v>
      </c>
      <c r="G41" s="176" t="str">
        <f>IFERROR(IF(INDEX(Tue_W1[],MATCH('Individual Schedule'!$C$4,Tue_W1[Employee Name],0),MATCH('Individual Schedule'!$B41,Tue_W1[#Headers],0))="","",INDEX(Tue_W1[],MATCH('Individual Schedule'!$C$4,Tue_W1[Employee Name],0),MATCH('Individual Schedule'!$B41,Tue_W1[#Headers],0))),"")</f>
        <v>-</v>
      </c>
      <c r="H41" s="176" t="str">
        <f>IFERROR(IF(INDEX(Wed_W1[],MATCH('Individual Schedule'!$C$4,Wed_W1[Employee Name],0),MATCH('Individual Schedule'!$B41,Wed_W1[#Headers],0))="","",INDEX(Wed_W1[],MATCH('Individual Schedule'!$C$4,Wed_W1[Employee Name],0),MATCH('Individual Schedule'!$B41,Wed_W1[#Headers],0))),"")</f>
        <v>-</v>
      </c>
      <c r="I41" s="176" t="str">
        <f>IFERROR(IF(INDEX(Thu_W1[],MATCH('Individual Schedule'!$C$4,Thu_W1[Employee Name],0),MATCH('Individual Schedule'!$B41,Thu_W1[#Headers],0))="","",INDEX(Thu_W1[],MATCH('Individual Schedule'!$C$4,Thu_W1[Employee Name],0),MATCH('Individual Schedule'!$B41,Thu_W1[#Headers],0))),"")</f>
        <v>-</v>
      </c>
      <c r="J41" s="176" t="str">
        <f>IFERROR(IF(INDEX(Fri_W2[],MATCH('Individual Schedule'!$C$4,Fri_W2[Employee Name],0),MATCH('Individual Schedule'!$B41,Fri_W2[#Headers],0))="","",INDEX(Fri_W2[],MATCH('Individual Schedule'!$C$4,Fri_W2[Employee Name],0),MATCH('Individual Schedule'!$B41,Fri_W2[#Headers],0))),"")</f>
        <v>-</v>
      </c>
      <c r="K41" s="176" t="str">
        <f>IFERROR(IF(INDEX(Sat_W2[],MATCH('Individual Schedule'!$C$4,Sat_W2[Employee Name],0),MATCH('Individual Schedule'!$B41,Sat_W2[#Headers],0))="","",INDEX(Sat_W2[],MATCH('Individual Schedule'!$C$4,Sat_W2[Employee Name],0),MATCH('Individual Schedule'!$B41,Sat_W2[#Headers],0))),"")</f>
        <v/>
      </c>
      <c r="L41" s="176" t="str">
        <f>IFERROR(IF(INDEX(Sun_W2[],MATCH('Individual Schedule'!$C$4,Sun_W2[Employee Name],0),MATCH('Individual Schedule'!$B41,Sun_W2[#Headers],0))="","",INDEX(Sun_W2[],MATCH('Individual Schedule'!$C$4,Sun_W2[Employee Name],0),MATCH('Individual Schedule'!$B41,Sun_W2[#Headers],0))),"")</f>
        <v/>
      </c>
      <c r="M41" s="176" t="str">
        <f>IFERROR(IF(INDEX(Mon_W2[],MATCH('Individual Schedule'!$C$4,Mon_W2[Employee Name],0),MATCH('Individual Schedule'!$B41,Mon_W2[#Headers],0))="","",INDEX(Mon_W2[],MATCH('Individual Schedule'!$C$4,Mon_W2[Employee Name],0),MATCH('Individual Schedule'!$B41,Mon_W2[#Headers],0))),"")</f>
        <v>-</v>
      </c>
      <c r="N41" s="176" t="str">
        <f>IFERROR(IF(INDEX(Tue_W2[],MATCH('Individual Schedule'!$C$4,Tue_W2[Employee Name],0),MATCH('Individual Schedule'!$B41,Tue_W2[#Headers],0))="","",INDEX(Tue_W2[],MATCH('Individual Schedule'!$C$4,Tue_W2[Employee Name],0),MATCH('Individual Schedule'!$B41,Tue_W2[#Headers],0))),"")</f>
        <v>-</v>
      </c>
      <c r="O41" s="176" t="str">
        <f>IFERROR(IF(INDEX(Wed_W2[],MATCH('Individual Schedule'!$C$4,Wed_W2[Employee Name],0),MATCH('Individual Schedule'!$B41,Wed_W2[#Headers],0))="","",INDEX(Wed_W2[],MATCH('Individual Schedule'!$C$4,Wed_W2[Employee Name],0),MATCH('Individual Schedule'!$B41,Wed_W2[#Headers],0))),"")</f>
        <v>-</v>
      </c>
      <c r="P41" s="177" t="str">
        <f>IFERROR(IF(INDEX(Thu_W2[],MATCH('Individual Schedule'!$C$4,Thu_W2[Employee Name],0),MATCH('Individual Schedule'!$B41,Thu_W2[#Headers],0))="","",INDEX(Thu_W2[],MATCH('Individual Schedule'!$C$4,Thu_W2[Employee Name],0),MATCH('Individual Schedule'!$B41,Thu_W2[#Headers],0))),"")</f>
        <v>-</v>
      </c>
    </row>
    <row r="42" spans="1:16" x14ac:dyDescent="0.25">
      <c r="A42" s="129"/>
      <c r="B42" s="117" t="s">
        <v>110</v>
      </c>
      <c r="C42" s="175" t="str">
        <f>IFERROR(IF(INDEX(Fri_W1[],MATCH('Individual Schedule'!$C$4,Fri_W1[Employee Name],0),MATCH('Individual Schedule'!$B42,Fri_W1[#Headers],0))="","",INDEX(Fri_W1[],MATCH('Individual Schedule'!$C$4,Fri_W1[Employee Name],0),MATCH('Individual Schedule'!$B42,Fri_W1[#Headers],0))),"")</f>
        <v/>
      </c>
      <c r="D42" s="176" t="str">
        <f>IFERROR(IF(INDEX(Sat_W1[],MATCH('Individual Schedule'!$C$4,Sat_W1[Employee Name],0),MATCH('Individual Schedule'!$B42,Sat_W1[#Headers],0))="","",INDEX(Sat_W1[],MATCH('Individual Schedule'!$C$4,Sat_W1[Employee Name],0),MATCH('Individual Schedule'!$B42,Sat_W1[#Headers],0))),"")</f>
        <v/>
      </c>
      <c r="E42" s="176" t="str">
        <f>IFERROR(IF(INDEX(Sun_W1[],MATCH('Individual Schedule'!$C$4,Sun_W1[Employee Name],0),MATCH('Individual Schedule'!$B42,Sun_W1[#Headers],0))="","",INDEX(Sun_W1[],MATCH('Individual Schedule'!$C$4,Sun_W1[Employee Name],0),MATCH('Individual Schedule'!$B42,Sun_W1[#Headers],0))),"")</f>
        <v/>
      </c>
      <c r="F42" s="176" t="str">
        <f>IFERROR(IF(INDEX(Mon_W1[],MATCH('Individual Schedule'!$C$4,Mon_W1[Employee Name],0),MATCH('Individual Schedule'!$B42,Mon_W1[#Headers],0))="","",INDEX(Mon_W1[],MATCH('Individual Schedule'!$C$4,Mon_W1[Employee Name],0),MATCH('Individual Schedule'!$B42,Mon_W1[#Headers],0))),"")</f>
        <v/>
      </c>
      <c r="G42" s="176" t="str">
        <f>IFERROR(IF(INDEX(Tue_W1[],MATCH('Individual Schedule'!$C$4,Tue_W1[Employee Name],0),MATCH('Individual Schedule'!$B42,Tue_W1[#Headers],0))="","",INDEX(Tue_W1[],MATCH('Individual Schedule'!$C$4,Tue_W1[Employee Name],0),MATCH('Individual Schedule'!$B42,Tue_W1[#Headers],0))),"")</f>
        <v/>
      </c>
      <c r="H42" s="176" t="str">
        <f>IFERROR(IF(INDEX(Wed_W1[],MATCH('Individual Schedule'!$C$4,Wed_W1[Employee Name],0),MATCH('Individual Schedule'!$B42,Wed_W1[#Headers],0))="","",INDEX(Wed_W1[],MATCH('Individual Schedule'!$C$4,Wed_W1[Employee Name],0),MATCH('Individual Schedule'!$B42,Wed_W1[#Headers],0))),"")</f>
        <v/>
      </c>
      <c r="I42" s="176" t="str">
        <f>IFERROR(IF(INDEX(Thu_W1[],MATCH('Individual Schedule'!$C$4,Thu_W1[Employee Name],0),MATCH('Individual Schedule'!$B42,Thu_W1[#Headers],0))="","",INDEX(Thu_W1[],MATCH('Individual Schedule'!$C$4,Thu_W1[Employee Name],0),MATCH('Individual Schedule'!$B42,Thu_W1[#Headers],0))),"")</f>
        <v/>
      </c>
      <c r="J42" s="176" t="str">
        <f>IFERROR(IF(INDEX(Fri_W2[],MATCH('Individual Schedule'!$C$4,Fri_W2[Employee Name],0),MATCH('Individual Schedule'!$B42,Fri_W2[#Headers],0))="","",INDEX(Fri_W2[],MATCH('Individual Schedule'!$C$4,Fri_W2[Employee Name],0),MATCH('Individual Schedule'!$B42,Fri_W2[#Headers],0))),"")</f>
        <v/>
      </c>
      <c r="K42" s="176" t="str">
        <f>IFERROR(IF(INDEX(Sat_W2[],MATCH('Individual Schedule'!$C$4,Sat_W2[Employee Name],0),MATCH('Individual Schedule'!$B42,Sat_W2[#Headers],0))="","",INDEX(Sat_W2[],MATCH('Individual Schedule'!$C$4,Sat_W2[Employee Name],0),MATCH('Individual Schedule'!$B42,Sat_W2[#Headers],0))),"")</f>
        <v/>
      </c>
      <c r="L42" s="176" t="str">
        <f>IFERROR(IF(INDEX(Sun_W2[],MATCH('Individual Schedule'!$C$4,Sun_W2[Employee Name],0),MATCH('Individual Schedule'!$B42,Sun_W2[#Headers],0))="","",INDEX(Sun_W2[],MATCH('Individual Schedule'!$C$4,Sun_W2[Employee Name],0),MATCH('Individual Schedule'!$B42,Sun_W2[#Headers],0))),"")</f>
        <v/>
      </c>
      <c r="M42" s="176" t="str">
        <f>IFERROR(IF(INDEX(Mon_W2[],MATCH('Individual Schedule'!$C$4,Mon_W2[Employee Name],0),MATCH('Individual Schedule'!$B42,Mon_W2[#Headers],0))="","",INDEX(Mon_W2[],MATCH('Individual Schedule'!$C$4,Mon_W2[Employee Name],0),MATCH('Individual Schedule'!$B42,Mon_W2[#Headers],0))),"")</f>
        <v/>
      </c>
      <c r="N42" s="176" t="str">
        <f>IFERROR(IF(INDEX(Tue_W2[],MATCH('Individual Schedule'!$C$4,Tue_W2[Employee Name],0),MATCH('Individual Schedule'!$B42,Tue_W2[#Headers],0))="","",INDEX(Tue_W2[],MATCH('Individual Schedule'!$C$4,Tue_W2[Employee Name],0),MATCH('Individual Schedule'!$B42,Tue_W2[#Headers],0))),"")</f>
        <v/>
      </c>
      <c r="O42" s="176" t="str">
        <f>IFERROR(IF(INDEX(Wed_W2[],MATCH('Individual Schedule'!$C$4,Wed_W2[Employee Name],0),MATCH('Individual Schedule'!$B42,Wed_W2[#Headers],0))="","",INDEX(Wed_W2[],MATCH('Individual Schedule'!$C$4,Wed_W2[Employee Name],0),MATCH('Individual Schedule'!$B42,Wed_W2[#Headers],0))),"")</f>
        <v/>
      </c>
      <c r="P42" s="177" t="str">
        <f>IFERROR(IF(INDEX(Thu_W2[],MATCH('Individual Schedule'!$C$4,Thu_W2[Employee Name],0),MATCH('Individual Schedule'!$B42,Thu_W2[#Headers],0))="","",INDEX(Thu_W2[],MATCH('Individual Schedule'!$C$4,Thu_W2[Employee Name],0),MATCH('Individual Schedule'!$B42,Thu_W2[#Headers],0))),"")</f>
        <v/>
      </c>
    </row>
    <row r="43" spans="1:16" x14ac:dyDescent="0.25">
      <c r="A43" s="129"/>
      <c r="B43" s="117" t="s">
        <v>119</v>
      </c>
      <c r="C43" s="175" t="str">
        <f>IFERROR(IF(INDEX(Fri_W1[],MATCH('Individual Schedule'!$C$4,Fri_W1[Employee Name],0),MATCH('Individual Schedule'!$B43,Fri_W1[#Headers],0))="","",INDEX(Fri_W1[],MATCH('Individual Schedule'!$C$4,Fri_W1[Employee Name],0),MATCH('Individual Schedule'!$B43,Fri_W1[#Headers],0))),"")</f>
        <v/>
      </c>
      <c r="D43" s="176" t="str">
        <f>IFERROR(IF(INDEX(Sat_W1[],MATCH('Individual Schedule'!$C$4,Sat_W1[Employee Name],0),MATCH('Individual Schedule'!$B43,Sat_W1[#Headers],0))="","",INDEX(Sat_W1[],MATCH('Individual Schedule'!$C$4,Sat_W1[Employee Name],0),MATCH('Individual Schedule'!$B43,Sat_W1[#Headers],0))),"")</f>
        <v/>
      </c>
      <c r="E43" s="176" t="str">
        <f>IFERROR(IF(INDEX(Sun_W1[],MATCH('Individual Schedule'!$C$4,Sun_W1[Employee Name],0),MATCH('Individual Schedule'!$B43,Sun_W1[#Headers],0))="","",INDEX(Sun_W1[],MATCH('Individual Schedule'!$C$4,Sun_W1[Employee Name],0),MATCH('Individual Schedule'!$B43,Sun_W1[#Headers],0))),"")</f>
        <v/>
      </c>
      <c r="F43" s="176" t="str">
        <f>IFERROR(IF(INDEX(Mon_W1[],MATCH('Individual Schedule'!$C$4,Mon_W1[Employee Name],0),MATCH('Individual Schedule'!$B43,Mon_W1[#Headers],0))="","",INDEX(Mon_W1[],MATCH('Individual Schedule'!$C$4,Mon_W1[Employee Name],0),MATCH('Individual Schedule'!$B43,Mon_W1[#Headers],0))),"")</f>
        <v/>
      </c>
      <c r="G43" s="176" t="str">
        <f>IFERROR(IF(INDEX(Tue_W1[],MATCH('Individual Schedule'!$C$4,Tue_W1[Employee Name],0),MATCH('Individual Schedule'!$B43,Tue_W1[#Headers],0))="","",INDEX(Tue_W1[],MATCH('Individual Schedule'!$C$4,Tue_W1[Employee Name],0),MATCH('Individual Schedule'!$B43,Tue_W1[#Headers],0))),"")</f>
        <v/>
      </c>
      <c r="H43" s="176" t="str">
        <f>IFERROR(IF(INDEX(Wed_W1[],MATCH('Individual Schedule'!$C$4,Wed_W1[Employee Name],0),MATCH('Individual Schedule'!$B43,Wed_W1[#Headers],0))="","",INDEX(Wed_W1[],MATCH('Individual Schedule'!$C$4,Wed_W1[Employee Name],0),MATCH('Individual Schedule'!$B43,Wed_W1[#Headers],0))),"")</f>
        <v/>
      </c>
      <c r="I43" s="176" t="str">
        <f>IFERROR(IF(INDEX(Thu_W1[],MATCH('Individual Schedule'!$C$4,Thu_W1[Employee Name],0),MATCH('Individual Schedule'!$B43,Thu_W1[#Headers],0))="","",INDEX(Thu_W1[],MATCH('Individual Schedule'!$C$4,Thu_W1[Employee Name],0),MATCH('Individual Schedule'!$B43,Thu_W1[#Headers],0))),"")</f>
        <v/>
      </c>
      <c r="J43" s="176" t="str">
        <f>IFERROR(IF(INDEX(Fri_W2[],MATCH('Individual Schedule'!$C$4,Fri_W2[Employee Name],0),MATCH('Individual Schedule'!$B43,Fri_W2[#Headers],0))="","",INDEX(Fri_W2[],MATCH('Individual Schedule'!$C$4,Fri_W2[Employee Name],0),MATCH('Individual Schedule'!$B43,Fri_W2[#Headers],0))),"")</f>
        <v/>
      </c>
      <c r="K43" s="176" t="str">
        <f>IFERROR(IF(INDEX(Sat_W2[],MATCH('Individual Schedule'!$C$4,Sat_W2[Employee Name],0),MATCH('Individual Schedule'!$B43,Sat_W2[#Headers],0))="","",INDEX(Sat_W2[],MATCH('Individual Schedule'!$C$4,Sat_W2[Employee Name],0),MATCH('Individual Schedule'!$B43,Sat_W2[#Headers],0))),"")</f>
        <v/>
      </c>
      <c r="L43" s="176" t="str">
        <f>IFERROR(IF(INDEX(Sun_W2[],MATCH('Individual Schedule'!$C$4,Sun_W2[Employee Name],0),MATCH('Individual Schedule'!$B43,Sun_W2[#Headers],0))="","",INDEX(Sun_W2[],MATCH('Individual Schedule'!$C$4,Sun_W2[Employee Name],0),MATCH('Individual Schedule'!$B43,Sun_W2[#Headers],0))),"")</f>
        <v/>
      </c>
      <c r="M43" s="176" t="str">
        <f>IFERROR(IF(INDEX(Mon_W2[],MATCH('Individual Schedule'!$C$4,Mon_W2[Employee Name],0),MATCH('Individual Schedule'!$B43,Mon_W2[#Headers],0))="","",INDEX(Mon_W2[],MATCH('Individual Schedule'!$C$4,Mon_W2[Employee Name],0),MATCH('Individual Schedule'!$B43,Mon_W2[#Headers],0))),"")</f>
        <v/>
      </c>
      <c r="N43" s="176" t="str">
        <f>IFERROR(IF(INDEX(Tue_W2[],MATCH('Individual Schedule'!$C$4,Tue_W2[Employee Name],0),MATCH('Individual Schedule'!$B43,Tue_W2[#Headers],0))="","",INDEX(Tue_W2[],MATCH('Individual Schedule'!$C$4,Tue_W2[Employee Name],0),MATCH('Individual Schedule'!$B43,Tue_W2[#Headers],0))),"")</f>
        <v/>
      </c>
      <c r="O43" s="176" t="str">
        <f>IFERROR(IF(INDEX(Wed_W2[],MATCH('Individual Schedule'!$C$4,Wed_W2[Employee Name],0),MATCH('Individual Schedule'!$B43,Wed_W2[#Headers],0))="","",INDEX(Wed_W2[],MATCH('Individual Schedule'!$C$4,Wed_W2[Employee Name],0),MATCH('Individual Schedule'!$B43,Wed_W2[#Headers],0))),"")</f>
        <v/>
      </c>
      <c r="P43" s="177" t="str">
        <f>IFERROR(IF(INDEX(Thu_W2[],MATCH('Individual Schedule'!$C$4,Thu_W2[Employee Name],0),MATCH('Individual Schedule'!$B43,Thu_W2[#Headers],0))="","",INDEX(Thu_W2[],MATCH('Individual Schedule'!$C$4,Thu_W2[Employee Name],0),MATCH('Individual Schedule'!$B43,Thu_W2[#Headers],0))),"")</f>
        <v/>
      </c>
    </row>
    <row r="44" spans="1:16" x14ac:dyDescent="0.25">
      <c r="A44" s="129"/>
      <c r="B44" s="117" t="s">
        <v>115</v>
      </c>
      <c r="C44" s="175" t="str">
        <f>IFERROR(IF(INDEX(Fri_W1[],MATCH('Individual Schedule'!$C$4,Fri_W1[Employee Name],0),MATCH('Individual Schedule'!$B44,Fri_W1[#Headers],0))="","",INDEX(Fri_W1[],MATCH('Individual Schedule'!$C$4,Fri_W1[Employee Name],0),MATCH('Individual Schedule'!$B44,Fri_W1[#Headers],0))),"")</f>
        <v/>
      </c>
      <c r="D44" s="176" t="str">
        <f>IFERROR(IF(INDEX(Sat_W1[],MATCH('Individual Schedule'!$C$4,Sat_W1[Employee Name],0),MATCH('Individual Schedule'!$B44,Sat_W1[#Headers],0))="","",INDEX(Sat_W1[],MATCH('Individual Schedule'!$C$4,Sat_W1[Employee Name],0),MATCH('Individual Schedule'!$B44,Sat_W1[#Headers],0))),"")</f>
        <v/>
      </c>
      <c r="E44" s="176" t="str">
        <f>IFERROR(IF(INDEX(Sun_W1[],MATCH('Individual Schedule'!$C$4,Sun_W1[Employee Name],0),MATCH('Individual Schedule'!$B44,Sun_W1[#Headers],0))="","",INDEX(Sun_W1[],MATCH('Individual Schedule'!$C$4,Sun_W1[Employee Name],0),MATCH('Individual Schedule'!$B44,Sun_W1[#Headers],0))),"")</f>
        <v/>
      </c>
      <c r="F44" s="176" t="str">
        <f>IFERROR(IF(INDEX(Mon_W1[],MATCH('Individual Schedule'!$C$4,Mon_W1[Employee Name],0),MATCH('Individual Schedule'!$B44,Mon_W1[#Headers],0))="","",INDEX(Mon_W1[],MATCH('Individual Schedule'!$C$4,Mon_W1[Employee Name],0),MATCH('Individual Schedule'!$B44,Mon_W1[#Headers],0))),"")</f>
        <v/>
      </c>
      <c r="G44" s="176" t="str">
        <f>IFERROR(IF(INDEX(Tue_W1[],MATCH('Individual Schedule'!$C$4,Tue_W1[Employee Name],0),MATCH('Individual Schedule'!$B44,Tue_W1[#Headers],0))="","",INDEX(Tue_W1[],MATCH('Individual Schedule'!$C$4,Tue_W1[Employee Name],0),MATCH('Individual Schedule'!$B44,Tue_W1[#Headers],0))),"")</f>
        <v/>
      </c>
      <c r="H44" s="176" t="str">
        <f>IFERROR(IF(INDEX(Wed_W1[],MATCH('Individual Schedule'!$C$4,Wed_W1[Employee Name],0),MATCH('Individual Schedule'!$B44,Wed_W1[#Headers],0))="","",INDEX(Wed_W1[],MATCH('Individual Schedule'!$C$4,Wed_W1[Employee Name],0),MATCH('Individual Schedule'!$B44,Wed_W1[#Headers],0))),"")</f>
        <v/>
      </c>
      <c r="I44" s="176" t="str">
        <f>IFERROR(IF(INDEX(Thu_W1[],MATCH('Individual Schedule'!$C$4,Thu_W1[Employee Name],0),MATCH('Individual Schedule'!$B44,Thu_W1[#Headers],0))="","",INDEX(Thu_W1[],MATCH('Individual Schedule'!$C$4,Thu_W1[Employee Name],0),MATCH('Individual Schedule'!$B44,Thu_W1[#Headers],0))),"")</f>
        <v/>
      </c>
      <c r="J44" s="176" t="str">
        <f>IFERROR(IF(INDEX(Fri_W2[],MATCH('Individual Schedule'!$C$4,Fri_W2[Employee Name],0),MATCH('Individual Schedule'!$B44,Fri_W2[#Headers],0))="","",INDEX(Fri_W2[],MATCH('Individual Schedule'!$C$4,Fri_W2[Employee Name],0),MATCH('Individual Schedule'!$B44,Fri_W2[#Headers],0))),"")</f>
        <v/>
      </c>
      <c r="K44" s="176" t="str">
        <f>IFERROR(IF(INDEX(Sat_W2[],MATCH('Individual Schedule'!$C$4,Sat_W2[Employee Name],0),MATCH('Individual Schedule'!$B44,Sat_W2[#Headers],0))="","",INDEX(Sat_W2[],MATCH('Individual Schedule'!$C$4,Sat_W2[Employee Name],0),MATCH('Individual Schedule'!$B44,Sat_W2[#Headers],0))),"")</f>
        <v/>
      </c>
      <c r="L44" s="176" t="str">
        <f>IFERROR(IF(INDEX(Sun_W2[],MATCH('Individual Schedule'!$C$4,Sun_W2[Employee Name],0),MATCH('Individual Schedule'!$B44,Sun_W2[#Headers],0))="","",INDEX(Sun_W2[],MATCH('Individual Schedule'!$C$4,Sun_W2[Employee Name],0),MATCH('Individual Schedule'!$B44,Sun_W2[#Headers],0))),"")</f>
        <v/>
      </c>
      <c r="M44" s="176" t="str">
        <f>IFERROR(IF(INDEX(Mon_W2[],MATCH('Individual Schedule'!$C$4,Mon_W2[Employee Name],0),MATCH('Individual Schedule'!$B44,Mon_W2[#Headers],0))="","",INDEX(Mon_W2[],MATCH('Individual Schedule'!$C$4,Mon_W2[Employee Name],0),MATCH('Individual Schedule'!$B44,Mon_W2[#Headers],0))),"")</f>
        <v/>
      </c>
      <c r="N44" s="176" t="str">
        <f>IFERROR(IF(INDEX(Tue_W2[],MATCH('Individual Schedule'!$C$4,Tue_W2[Employee Name],0),MATCH('Individual Schedule'!$B44,Tue_W2[#Headers],0))="","",INDEX(Tue_W2[],MATCH('Individual Schedule'!$C$4,Tue_W2[Employee Name],0),MATCH('Individual Schedule'!$B44,Tue_W2[#Headers],0))),"")</f>
        <v/>
      </c>
      <c r="O44" s="176" t="str">
        <f>IFERROR(IF(INDEX(Wed_W2[],MATCH('Individual Schedule'!$C$4,Wed_W2[Employee Name],0),MATCH('Individual Schedule'!$B44,Wed_W2[#Headers],0))="","",INDEX(Wed_W2[],MATCH('Individual Schedule'!$C$4,Wed_W2[Employee Name],0),MATCH('Individual Schedule'!$B44,Wed_W2[#Headers],0))),"")</f>
        <v/>
      </c>
      <c r="P44" s="177" t="str">
        <f>IFERROR(IF(INDEX(Thu_W2[],MATCH('Individual Schedule'!$C$4,Thu_W2[Employee Name],0),MATCH('Individual Schedule'!$B44,Thu_W2[#Headers],0))="","",INDEX(Thu_W2[],MATCH('Individual Schedule'!$C$4,Thu_W2[Employee Name],0),MATCH('Individual Schedule'!$B44,Thu_W2[#Headers],0))),"")</f>
        <v/>
      </c>
    </row>
    <row r="45" spans="1:16" x14ac:dyDescent="0.25">
      <c r="A45" s="129"/>
      <c r="B45" s="117" t="s">
        <v>120</v>
      </c>
      <c r="C45" s="175" t="str">
        <f>IFERROR(IF(INDEX(Fri_W1[],MATCH('Individual Schedule'!$C$4,Fri_W1[Employee Name],0),MATCH('Individual Schedule'!$B45,Fri_W1[#Headers],0))="","",INDEX(Fri_W1[],MATCH('Individual Schedule'!$C$4,Fri_W1[Employee Name],0),MATCH('Individual Schedule'!$B45,Fri_W1[#Headers],0))),"")</f>
        <v/>
      </c>
      <c r="D45" s="176" t="str">
        <f>IFERROR(IF(INDEX(Sat_W1[],MATCH('Individual Schedule'!$C$4,Sat_W1[Employee Name],0),MATCH('Individual Schedule'!$B45,Sat_W1[#Headers],0))="","",INDEX(Sat_W1[],MATCH('Individual Schedule'!$C$4,Sat_W1[Employee Name],0),MATCH('Individual Schedule'!$B45,Sat_W1[#Headers],0))),"")</f>
        <v/>
      </c>
      <c r="E45" s="176" t="str">
        <f>IFERROR(IF(INDEX(Sun_W1[],MATCH('Individual Schedule'!$C$4,Sun_W1[Employee Name],0),MATCH('Individual Schedule'!$B45,Sun_W1[#Headers],0))="","",INDEX(Sun_W1[],MATCH('Individual Schedule'!$C$4,Sun_W1[Employee Name],0),MATCH('Individual Schedule'!$B45,Sun_W1[#Headers],0))),"")</f>
        <v/>
      </c>
      <c r="F45" s="176" t="str">
        <f>IFERROR(IF(INDEX(Mon_W1[],MATCH('Individual Schedule'!$C$4,Mon_W1[Employee Name],0),MATCH('Individual Schedule'!$B45,Mon_W1[#Headers],0))="","",INDEX(Mon_W1[],MATCH('Individual Schedule'!$C$4,Mon_W1[Employee Name],0),MATCH('Individual Schedule'!$B45,Mon_W1[#Headers],0))),"")</f>
        <v/>
      </c>
      <c r="G45" s="176" t="str">
        <f>IFERROR(IF(INDEX(Tue_W1[],MATCH('Individual Schedule'!$C$4,Tue_W1[Employee Name],0),MATCH('Individual Schedule'!$B45,Tue_W1[#Headers],0))="","",INDEX(Tue_W1[],MATCH('Individual Schedule'!$C$4,Tue_W1[Employee Name],0),MATCH('Individual Schedule'!$B45,Tue_W1[#Headers],0))),"")</f>
        <v/>
      </c>
      <c r="H45" s="176" t="str">
        <f>IFERROR(IF(INDEX(Wed_W1[],MATCH('Individual Schedule'!$C$4,Wed_W1[Employee Name],0),MATCH('Individual Schedule'!$B45,Wed_W1[#Headers],0))="","",INDEX(Wed_W1[],MATCH('Individual Schedule'!$C$4,Wed_W1[Employee Name],0),MATCH('Individual Schedule'!$B45,Wed_W1[#Headers],0))),"")</f>
        <v/>
      </c>
      <c r="I45" s="176" t="str">
        <f>IFERROR(IF(INDEX(Thu_W1[],MATCH('Individual Schedule'!$C$4,Thu_W1[Employee Name],0),MATCH('Individual Schedule'!$B45,Thu_W1[#Headers],0))="","",INDEX(Thu_W1[],MATCH('Individual Schedule'!$C$4,Thu_W1[Employee Name],0),MATCH('Individual Schedule'!$B45,Thu_W1[#Headers],0))),"")</f>
        <v/>
      </c>
      <c r="J45" s="176" t="str">
        <f>IFERROR(IF(INDEX(Fri_W2[],MATCH('Individual Schedule'!$C$4,Fri_W2[Employee Name],0),MATCH('Individual Schedule'!$B45,Fri_W2[#Headers],0))="","",INDEX(Fri_W2[],MATCH('Individual Schedule'!$C$4,Fri_W2[Employee Name],0),MATCH('Individual Schedule'!$B45,Fri_W2[#Headers],0))),"")</f>
        <v/>
      </c>
      <c r="K45" s="176" t="str">
        <f>IFERROR(IF(INDEX(Sat_W2[],MATCH('Individual Schedule'!$C$4,Sat_W2[Employee Name],0),MATCH('Individual Schedule'!$B45,Sat_W2[#Headers],0))="","",INDEX(Sat_W2[],MATCH('Individual Schedule'!$C$4,Sat_W2[Employee Name],0),MATCH('Individual Schedule'!$B45,Sat_W2[#Headers],0))),"")</f>
        <v/>
      </c>
      <c r="L45" s="176" t="str">
        <f>IFERROR(IF(INDEX(Sun_W2[],MATCH('Individual Schedule'!$C$4,Sun_W2[Employee Name],0),MATCH('Individual Schedule'!$B45,Sun_W2[#Headers],0))="","",INDEX(Sun_W2[],MATCH('Individual Schedule'!$C$4,Sun_W2[Employee Name],0),MATCH('Individual Schedule'!$B45,Sun_W2[#Headers],0))),"")</f>
        <v/>
      </c>
      <c r="M45" s="176" t="str">
        <f>IFERROR(IF(INDEX(Mon_W2[],MATCH('Individual Schedule'!$C$4,Mon_W2[Employee Name],0),MATCH('Individual Schedule'!$B45,Mon_W2[#Headers],0))="","",INDEX(Mon_W2[],MATCH('Individual Schedule'!$C$4,Mon_W2[Employee Name],0),MATCH('Individual Schedule'!$B45,Mon_W2[#Headers],0))),"")</f>
        <v/>
      </c>
      <c r="N45" s="176" t="str">
        <f>IFERROR(IF(INDEX(Tue_W2[],MATCH('Individual Schedule'!$C$4,Tue_W2[Employee Name],0),MATCH('Individual Schedule'!$B45,Tue_W2[#Headers],0))="","",INDEX(Tue_W2[],MATCH('Individual Schedule'!$C$4,Tue_W2[Employee Name],0),MATCH('Individual Schedule'!$B45,Tue_W2[#Headers],0))),"")</f>
        <v/>
      </c>
      <c r="O45" s="176" t="str">
        <f>IFERROR(IF(INDEX(Wed_W2[],MATCH('Individual Schedule'!$C$4,Wed_W2[Employee Name],0),MATCH('Individual Schedule'!$B45,Wed_W2[#Headers],0))="","",INDEX(Wed_W2[],MATCH('Individual Schedule'!$C$4,Wed_W2[Employee Name],0),MATCH('Individual Schedule'!$B45,Wed_W2[#Headers],0))),"")</f>
        <v/>
      </c>
      <c r="P45" s="177" t="str">
        <f>IFERROR(IF(INDEX(Thu_W2[],MATCH('Individual Schedule'!$C$4,Thu_W2[Employee Name],0),MATCH('Individual Schedule'!$B45,Thu_W2[#Headers],0))="","",INDEX(Thu_W2[],MATCH('Individual Schedule'!$C$4,Thu_W2[Employee Name],0),MATCH('Individual Schedule'!$B45,Thu_W2[#Headers],0))),"")</f>
        <v/>
      </c>
    </row>
    <row r="46" spans="1:16" x14ac:dyDescent="0.25">
      <c r="A46" s="129"/>
      <c r="B46" s="118" t="s">
        <v>100</v>
      </c>
      <c r="C46" s="178" t="str">
        <f>IFERROR(IF(INDEX(Fri_W1[],MATCH('Individual Schedule'!$C$4,Fri_W1[Employee Name],0),MATCH('Individual Schedule'!$B46,Fri_W1[#Headers],0))="","",INDEX(Fri_W1[],MATCH('Individual Schedule'!$C$4,Fri_W1[Employee Name],0),MATCH('Individual Schedule'!$B46,Fri_W1[#Headers],0))),"")</f>
        <v/>
      </c>
      <c r="D46" s="179" t="str">
        <f>IFERROR(IF(INDEX(Sat_W1[],MATCH('Individual Schedule'!$C$4,Sat_W1[Employee Name],0),MATCH('Individual Schedule'!$B46,Sat_W1[#Headers],0))="","",INDEX(Sat_W1[],MATCH('Individual Schedule'!$C$4,Sat_W1[Employee Name],0),MATCH('Individual Schedule'!$B46,Sat_W1[#Headers],0))),"")</f>
        <v/>
      </c>
      <c r="E46" s="179" t="str">
        <f>IFERROR(IF(INDEX(Sun_W1[],MATCH('Individual Schedule'!$C$4,Sun_W1[Employee Name],0),MATCH('Individual Schedule'!$B46,Sun_W1[#Headers],0))="","",INDEX(Sun_W1[],MATCH('Individual Schedule'!$C$4,Sun_W1[Employee Name],0),MATCH('Individual Schedule'!$B46,Sun_W1[#Headers],0))),"")</f>
        <v/>
      </c>
      <c r="F46" s="179" t="str">
        <f>IFERROR(IF(INDEX(Mon_W1[],MATCH('Individual Schedule'!$C$4,Mon_W1[Employee Name],0),MATCH('Individual Schedule'!$B46,Mon_W1[#Headers],0))="","",INDEX(Mon_W1[],MATCH('Individual Schedule'!$C$4,Mon_W1[Employee Name],0),MATCH('Individual Schedule'!$B46,Mon_W1[#Headers],0))),"")</f>
        <v/>
      </c>
      <c r="G46" s="179" t="str">
        <f>IFERROR(IF(INDEX(Tue_W1[],MATCH('Individual Schedule'!$C$4,Tue_W1[Employee Name],0),MATCH('Individual Schedule'!$B46,Tue_W1[#Headers],0))="","",INDEX(Tue_W1[],MATCH('Individual Schedule'!$C$4,Tue_W1[Employee Name],0),MATCH('Individual Schedule'!$B46,Tue_W1[#Headers],0))),"")</f>
        <v/>
      </c>
      <c r="H46" s="179" t="str">
        <f>IFERROR(IF(INDEX(Wed_W1[],MATCH('Individual Schedule'!$C$4,Wed_W1[Employee Name],0),MATCH('Individual Schedule'!$B46,Wed_W1[#Headers],0))="","",INDEX(Wed_W1[],MATCH('Individual Schedule'!$C$4,Wed_W1[Employee Name],0),MATCH('Individual Schedule'!$B46,Wed_W1[#Headers],0))),"")</f>
        <v/>
      </c>
      <c r="I46" s="179" t="str">
        <f>IFERROR(IF(INDEX(Thu_W1[],MATCH('Individual Schedule'!$C$4,Thu_W1[Employee Name],0),MATCH('Individual Schedule'!$B46,Thu_W1[#Headers],0))="","",INDEX(Thu_W1[],MATCH('Individual Schedule'!$C$4,Thu_W1[Employee Name],0),MATCH('Individual Schedule'!$B46,Thu_W1[#Headers],0))),"")</f>
        <v/>
      </c>
      <c r="J46" s="179" t="str">
        <f>IFERROR(IF(INDEX(Fri_W2[],MATCH('Individual Schedule'!$C$4,Fri_W2[Employee Name],0),MATCH('Individual Schedule'!$B46,Fri_W2[#Headers],0))="","",INDEX(Fri_W2[],MATCH('Individual Schedule'!$C$4,Fri_W2[Employee Name],0),MATCH('Individual Schedule'!$B46,Fri_W2[#Headers],0))),"")</f>
        <v/>
      </c>
      <c r="K46" s="179" t="str">
        <f>IFERROR(IF(INDEX(Sat_W2[],MATCH('Individual Schedule'!$C$4,Sat_W2[Employee Name],0),MATCH('Individual Schedule'!$B46,Sat_W2[#Headers],0))="","",INDEX(Sat_W2[],MATCH('Individual Schedule'!$C$4,Sat_W2[Employee Name],0),MATCH('Individual Schedule'!$B46,Sat_W2[#Headers],0))),"")</f>
        <v/>
      </c>
      <c r="L46" s="179" t="str">
        <f>IFERROR(IF(INDEX(Sun_W2[],MATCH('Individual Schedule'!$C$4,Sun_W2[Employee Name],0),MATCH('Individual Schedule'!$B46,Sun_W2[#Headers],0))="","",INDEX(Sun_W2[],MATCH('Individual Schedule'!$C$4,Sun_W2[Employee Name],0),MATCH('Individual Schedule'!$B46,Sun_W2[#Headers],0))),"")</f>
        <v/>
      </c>
      <c r="M46" s="179" t="str">
        <f>IFERROR(IF(INDEX(Mon_W2[],MATCH('Individual Schedule'!$C$4,Mon_W2[Employee Name],0),MATCH('Individual Schedule'!$B46,Mon_W2[#Headers],0))="","",INDEX(Mon_W2[],MATCH('Individual Schedule'!$C$4,Mon_W2[Employee Name],0),MATCH('Individual Schedule'!$B46,Mon_W2[#Headers],0))),"")</f>
        <v/>
      </c>
      <c r="N46" s="179" t="str">
        <f>IFERROR(IF(INDEX(Tue_W2[],MATCH('Individual Schedule'!$C$4,Tue_W2[Employee Name],0),MATCH('Individual Schedule'!$B46,Tue_W2[#Headers],0))="","",INDEX(Tue_W2[],MATCH('Individual Schedule'!$C$4,Tue_W2[Employee Name],0),MATCH('Individual Schedule'!$B46,Tue_W2[#Headers],0))),"")</f>
        <v/>
      </c>
      <c r="O46" s="179" t="str">
        <f>IFERROR(IF(INDEX(Wed_W2[],MATCH('Individual Schedule'!$C$4,Wed_W2[Employee Name],0),MATCH('Individual Schedule'!$B46,Wed_W2[#Headers],0))="","",INDEX(Wed_W2[],MATCH('Individual Schedule'!$C$4,Wed_W2[Employee Name],0),MATCH('Individual Schedule'!$B46,Wed_W2[#Headers],0))),"")</f>
        <v/>
      </c>
      <c r="P46" s="180" t="str">
        <f>IFERROR(IF(INDEX(Thu_W2[],MATCH('Individual Schedule'!$C$4,Thu_W2[Employee Name],0),MATCH('Individual Schedule'!$B46,Thu_W2[#Headers],0))="","",INDEX(Thu_W2[],MATCH('Individual Schedule'!$C$4,Thu_W2[Employee Name],0),MATCH('Individual Schedule'!$B46,Thu_W2[#Headers],0))),"")</f>
        <v/>
      </c>
    </row>
    <row r="47" spans="1:16" ht="6" customHeight="1" x14ac:dyDescent="0.25"/>
    <row r="48" spans="1:16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</sheetData>
  <sheetProtection autoFilter="0"/>
  <mergeCells count="4">
    <mergeCell ref="C4:E4"/>
    <mergeCell ref="I4:K4"/>
    <mergeCell ref="M4:N4"/>
    <mergeCell ref="B2:P2"/>
  </mergeCells>
  <conditionalFormatting sqref="C8:P46">
    <cfRule type="beginsWith" dxfId="826" priority="2" stopIfTrue="1" operator="beginsWith" text="u">
      <formula>LEFT(C8,LEN("u"))="u"</formula>
    </cfRule>
    <cfRule type="beginsWith" dxfId="825" priority="3" stopIfTrue="1" operator="beginsWith" text="p">
      <formula>LEFT(C8,LEN("p"))="p"</formula>
    </cfRule>
    <cfRule type="containsText" dxfId="824" priority="4" stopIfTrue="1" operator="containsText" text="B">
      <formula>NOT(ISERROR(SEARCH("B",C8)))</formula>
    </cfRule>
    <cfRule type="containsText" dxfId="823" priority="5" operator="containsText" text="Lunch">
      <formula>NOT(ISERROR(SEARCH("Lunch",C8)))</formula>
    </cfRule>
    <cfRule type="containsText" dxfId="822" priority="7" operator="containsText" text="Coaching">
      <formula>NOT(ISERROR(SEARCH("Coaching",C8)))</formula>
    </cfRule>
    <cfRule type="containsText" dxfId="821" priority="8" operator="containsText" text="HL">
      <formula>NOT(ISERROR(SEARCH("HL",C8)))</formula>
    </cfRule>
    <cfRule type="containsText" dxfId="820" priority="18" operator="containsText" text="TM">
      <formula>NOT(ISERROR(SEARCH("TM",C8)))</formula>
    </cfRule>
    <cfRule type="containsText" dxfId="819" priority="19" operator="containsText" text="RTA">
      <formula>NOT(ISERROR(SEARCH("RTA",C8)))</formula>
    </cfRule>
    <cfRule type="containsText" dxfId="818" priority="21" operator="containsText" text="RNNR">
      <formula>NOT(ISERROR(SEARCH("RNNR",C8)))</formula>
    </cfRule>
    <cfRule type="containsText" dxfId="817" priority="22" operator="containsText" text="ADM">
      <formula>NOT(ISERROR(SEARCH("ADM",C8)))</formula>
    </cfRule>
    <cfRule type="notContainsBlanks" dxfId="816" priority="24">
      <formula>LEN(TRIM(C8))&gt;0</formula>
    </cfRule>
  </conditionalFormatting>
  <conditionalFormatting sqref="O4">
    <cfRule type="containsBlanks" dxfId="815" priority="16">
      <formula>LEN(TRIM(O4))=0</formula>
    </cfRule>
  </conditionalFormatting>
  <conditionalFormatting sqref="B8:B46">
    <cfRule type="cellIs" dxfId="814" priority="10" operator="equal">
      <formula>$O$4</formula>
    </cfRule>
  </conditionalFormatting>
  <conditionalFormatting sqref="C4:E4">
    <cfRule type="containsBlanks" dxfId="813" priority="9">
      <formula>LEN(TRIM(C4))=0</formula>
    </cfRule>
  </conditionalFormatting>
  <pageMargins left="0.7" right="0.7" top="0.75" bottom="0.75" header="0.3" footer="0.3"/>
  <pageSetup scale="53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F7DB0F1-4BE3-4779-A2F6-1584635A4209}">
            <xm:f>NOT(ISERROR(SEARCH("-",C8)))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</x14:dxf>
          </x14:cfRule>
          <xm:sqref>C8:P46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'rpt tools'!$I$2:$I$66</xm:f>
          </x14:formula1>
          <xm:sqref>C4:E4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theme="4"/>
  </sheetPr>
  <dimension ref="A1:O90"/>
  <sheetViews>
    <sheetView workbookViewId="0">
      <selection activeCell="B2" sqref="B2:I2"/>
    </sheetView>
  </sheetViews>
  <sheetFormatPr defaultColWidth="0" defaultRowHeight="15" zeroHeight="1" x14ac:dyDescent="0.25"/>
  <cols>
    <col min="1" max="1" width="1" style="126" customWidth="1"/>
    <col min="2" max="2" width="35.28515625" customWidth="1"/>
    <col min="3" max="3" width="13.5703125" customWidth="1"/>
    <col min="4" max="9" width="22.5703125" customWidth="1"/>
    <col min="10" max="10" width="12.42578125" hidden="1" customWidth="1"/>
    <col min="11" max="11" width="1.7109375" customWidth="1"/>
    <col min="12" max="13" width="9.140625" customWidth="1"/>
    <col min="14" max="14" width="38.85546875" customWidth="1"/>
    <col min="15" max="15" width="1.7109375" customWidth="1"/>
    <col min="16" max="16384" width="9.140625" hidden="1"/>
  </cols>
  <sheetData>
    <row r="1" spans="1:15" ht="6" customHeight="1" thickBot="1" x14ac:dyDescent="0.3">
      <c r="A1" s="418"/>
      <c r="B1" s="419"/>
      <c r="C1" s="419"/>
      <c r="D1" s="419"/>
      <c r="E1" s="428"/>
      <c r="F1" s="419"/>
      <c r="G1" s="419"/>
      <c r="H1" s="419"/>
      <c r="I1" s="419"/>
      <c r="K1" s="419"/>
      <c r="L1" s="419"/>
      <c r="M1" s="419"/>
      <c r="N1" s="419"/>
      <c r="O1" s="419"/>
    </row>
    <row r="2" spans="1:15" ht="18" customHeight="1" thickTop="1" thickBot="1" x14ac:dyDescent="0.3">
      <c r="A2" s="418"/>
      <c r="B2" s="466" t="s">
        <v>579</v>
      </c>
      <c r="C2" s="467"/>
      <c r="D2" s="467"/>
      <c r="E2" s="468"/>
      <c r="F2" s="467"/>
      <c r="G2" s="467"/>
      <c r="H2" s="467"/>
      <c r="I2" s="469"/>
      <c r="J2" s="135"/>
      <c r="K2" s="420"/>
      <c r="L2" s="420"/>
      <c r="M2" s="420"/>
      <c r="N2" s="420"/>
      <c r="O2" s="419"/>
    </row>
    <row r="3" spans="1:15" ht="6" customHeight="1" thickBot="1" x14ac:dyDescent="0.3">
      <c r="A3" s="418"/>
      <c r="B3" s="419"/>
      <c r="C3" s="419"/>
      <c r="D3" s="419"/>
      <c r="E3" s="429"/>
      <c r="F3" s="419"/>
      <c r="G3" s="419"/>
      <c r="H3" s="419"/>
      <c r="I3" s="419"/>
      <c r="K3" s="419"/>
      <c r="L3" s="419"/>
      <c r="M3" s="419"/>
      <c r="N3" s="419"/>
      <c r="O3" s="419"/>
    </row>
    <row r="4" spans="1:15" ht="17.25" thickBot="1" x14ac:dyDescent="0.3">
      <c r="A4" s="418"/>
      <c r="B4" s="432" t="s">
        <v>206</v>
      </c>
      <c r="C4" s="430" t="str">
        <f ca="1">TEXT(INT((NOW()-TRUNC(NOW()))/0.0208333333333333)*0.0208333333333333,"hhmm")</f>
        <v>1500</v>
      </c>
      <c r="D4" s="419"/>
      <c r="E4" s="433" t="s">
        <v>205</v>
      </c>
      <c r="F4" s="431">
        <f ca="1">TODAY()</f>
        <v>43910</v>
      </c>
      <c r="G4" s="419"/>
      <c r="H4" s="432" t="s">
        <v>204</v>
      </c>
      <c r="I4" s="430" t="str">
        <f ca="1">IFERROR(INDEX(Date_Ranges[],MATCH($F$4,Date_Ranges[[Date]:[Date]],0),4),"")</f>
        <v>Fri_W1</v>
      </c>
      <c r="K4" s="419"/>
      <c r="L4" s="419"/>
      <c r="M4" s="419"/>
      <c r="N4" s="419"/>
      <c r="O4" s="419"/>
    </row>
    <row r="5" spans="1:15" ht="6" customHeight="1" thickBot="1" x14ac:dyDescent="0.3">
      <c r="A5" s="418"/>
      <c r="B5" s="426"/>
      <c r="C5" s="426"/>
      <c r="D5" s="426"/>
      <c r="E5" s="429"/>
      <c r="F5" s="426"/>
      <c r="G5" s="426"/>
      <c r="H5" s="426"/>
      <c r="I5" s="426"/>
      <c r="K5" s="419"/>
      <c r="L5" s="419"/>
      <c r="M5" s="419"/>
      <c r="N5" s="419"/>
      <c r="O5" s="419"/>
    </row>
    <row r="6" spans="1:15" ht="16.5" thickTop="1" x14ac:dyDescent="0.25">
      <c r="A6" s="421"/>
      <c r="B6" s="434" t="s">
        <v>2</v>
      </c>
      <c r="C6" s="435" t="s">
        <v>5</v>
      </c>
      <c r="D6" s="436" t="str">
        <f ca="1">IF(INDEX(Intervals[],MATCH(E6,Intervals[[Interval]:[Interval]],0)-1,1)="","",INDEX(Intervals[],MATCH(E6,Intervals[[Interval]:[Interval]],0)-1,1))</f>
        <v>1430</v>
      </c>
      <c r="E6" s="437" t="str">
        <f ca="1">TEXT(INT((NOW()-TRUNC(NOW()))/0.0208333333333333)*0.0208333333333333,"hhmm")</f>
        <v>1500</v>
      </c>
      <c r="F6" s="436" t="str">
        <f ca="1">IF(INDEX(Intervals[],MATCH(E6,Intervals[[Interval]:[Interval]],0)+1,1)="","",INDEX(Intervals[],MATCH(E6,Intervals[[Interval]:[Interval]],0)+1,1))</f>
        <v>1530</v>
      </c>
      <c r="G6" s="436" t="str">
        <f ca="1">IF(INDEX(Intervals[],MATCH(E6,Intervals[[Interval]:[Interval]],0)+2,1)="","",INDEX(Intervals[],MATCH(E6,Intervals[[Interval]:[Interval]],0)+2,1))</f>
        <v>1600</v>
      </c>
      <c r="H6" s="436" t="str">
        <f ca="1">IF(INDEX(Intervals[],MATCH(E6,Intervals[[Interval]:[Interval]],0)+3,1)="","",INDEX(Intervals[],MATCH(E6,Intervals[[Interval]:[Interval]],0)+3,1))</f>
        <v>1630</v>
      </c>
      <c r="I6" s="436" t="str">
        <f ca="1">IF(INDEX(Intervals[],MATCH(E6,Intervals[[Interval]:[Interval]],0)+4,1)="","",INDEX(Intervals[],MATCH(E6,Intervals[[Interval]:[Interval]],0)+4,1))</f>
        <v>1700</v>
      </c>
      <c r="J6" s="423" t="s">
        <v>210</v>
      </c>
      <c r="K6" s="425"/>
      <c r="L6" s="419"/>
      <c r="M6" s="419"/>
      <c r="N6" s="419"/>
      <c r="O6" s="419"/>
    </row>
    <row r="7" spans="1:15" ht="15.75" hidden="1" x14ac:dyDescent="0.25">
      <c r="A7" s="421">
        <v>1</v>
      </c>
      <c r="B7" s="446" t="str">
        <f ca="1">IFERROR(IF(INDEX(INDIRECT($I$4),$A7,1)=0,"",INDEX(INDIRECT($I$4),$A7,1)),"")</f>
        <v>Birrueta Arellano, Neftali</v>
      </c>
      <c r="C7" s="446" t="str">
        <f ca="1">VLOOKUP(B7,'Base Schedules'!A:B,2,FALSE)</f>
        <v>Lead</v>
      </c>
      <c r="D7" s="445" t="str">
        <f ca="1">IFERROR(INDEX(INDIRECT($I$4),MATCH($B7,INDIRECT($I$4&amp;"[Employee Name]"),0),MATCH(D$6,INDIRECT($I$4&amp;"[#Headers]"),0)),"")</f>
        <v/>
      </c>
      <c r="E7" s="445" t="str">
        <f t="shared" ref="E7:I22" ca="1" si="0">IFERROR(INDEX(INDIRECT($I$4),MATCH($B7,INDIRECT($I$4&amp;"[Employee Name]"),0),MATCH(E$6,INDIRECT($I$4&amp;"[#Headers]"),0)),"")</f>
        <v/>
      </c>
      <c r="F7" s="445" t="str">
        <f t="shared" ca="1" si="0"/>
        <v/>
      </c>
      <c r="G7" s="445" t="str">
        <f t="shared" ca="1" si="0"/>
        <v/>
      </c>
      <c r="H7" s="445" t="str">
        <f t="shared" ca="1" si="0"/>
        <v/>
      </c>
      <c r="I7" s="445" t="str">
        <f t="shared" ca="1" si="0"/>
        <v/>
      </c>
      <c r="J7" s="132" t="b">
        <f ca="1">IF(AND(OR(D7="",D7=0),OR(E7="",E7=0),OR(F7="",F7=0),OR(G7="",G7=0),OR(H7="",H7=0),OR(I7="",I7=0)),TRUE,FALSE)</f>
        <v>1</v>
      </c>
      <c r="K7" s="425"/>
      <c r="L7" s="419"/>
      <c r="M7" s="419"/>
      <c r="N7" s="419"/>
      <c r="O7" s="419"/>
    </row>
    <row r="8" spans="1:15" ht="15.75" hidden="1" x14ac:dyDescent="0.25">
      <c r="A8" s="421">
        <v>2</v>
      </c>
      <c r="B8" s="446" t="str">
        <f t="shared" ref="B8:B71" ca="1" si="1">IFERROR(IF(INDEX(INDIRECT($I$4),$A8,1)=0,"",INDEX(INDIRECT($I$4),$A8,1)),"")</f>
        <v>Shiraki, Suzy</v>
      </c>
      <c r="C8" s="446" t="str">
        <f ca="1">VLOOKUP(B8,'Base Schedules'!A:B,2,FALSE)</f>
        <v>Lead</v>
      </c>
      <c r="D8" s="445" t="str">
        <f t="shared" ref="D8:I39" ca="1" si="2">IFERROR(INDEX(INDIRECT($I$4),MATCH($B8,INDIRECT($I$4&amp;"[Employee Name]"),0),MATCH(D$6,INDIRECT($I$4&amp;"[#Headers]"),0)),"")</f>
        <v/>
      </c>
      <c r="E8" s="445" t="str">
        <f t="shared" ca="1" si="0"/>
        <v/>
      </c>
      <c r="F8" s="445" t="str">
        <f t="shared" ca="1" si="0"/>
        <v/>
      </c>
      <c r="G8" s="445" t="str">
        <f t="shared" ca="1" si="0"/>
        <v/>
      </c>
      <c r="H8" s="445" t="str">
        <f t="shared" ca="1" si="0"/>
        <v/>
      </c>
      <c r="I8" s="445" t="str">
        <f t="shared" ca="1" si="0"/>
        <v/>
      </c>
      <c r="J8" s="132" t="b">
        <f t="shared" ref="J8:J71" ca="1" si="3">IF(AND(OR(D8="",D8=0),OR(E8="",E8=0),OR(F8="",F8=0),OR(G8="",G8=0),OR(H8="",H8=0),OR(I8="",I8=0)),TRUE,FALSE)</f>
        <v>1</v>
      </c>
      <c r="K8" s="425"/>
      <c r="L8" s="419"/>
      <c r="M8" s="419"/>
      <c r="N8" s="419"/>
      <c r="O8" s="419"/>
    </row>
    <row r="9" spans="1:15" ht="15.75" hidden="1" x14ac:dyDescent="0.25">
      <c r="A9" s="421">
        <v>3</v>
      </c>
      <c r="B9" s="446" t="str">
        <f t="shared" ca="1" si="1"/>
        <v>Alvarez, Carlos</v>
      </c>
      <c r="C9" s="446" t="str">
        <f ca="1">VLOOKUP(B9,'Base Schedules'!A:B,2,FALSE)</f>
        <v>Supervisor</v>
      </c>
      <c r="D9" s="445" t="str">
        <f t="shared" ca="1" si="2"/>
        <v/>
      </c>
      <c r="E9" s="445" t="str">
        <f t="shared" ca="1" si="0"/>
        <v/>
      </c>
      <c r="F9" s="445" t="str">
        <f t="shared" ca="1" si="0"/>
        <v/>
      </c>
      <c r="G9" s="445" t="str">
        <f t="shared" ca="1" si="0"/>
        <v/>
      </c>
      <c r="H9" s="445" t="str">
        <f t="shared" ca="1" si="0"/>
        <v/>
      </c>
      <c r="I9" s="445" t="str">
        <f t="shared" ca="1" si="0"/>
        <v/>
      </c>
      <c r="J9" s="132" t="b">
        <f t="shared" ca="1" si="3"/>
        <v>1</v>
      </c>
      <c r="K9" s="425"/>
      <c r="L9" s="419"/>
      <c r="M9" s="419"/>
      <c r="N9" s="419"/>
      <c r="O9" s="419"/>
    </row>
    <row r="10" spans="1:15" ht="15.75" hidden="1" x14ac:dyDescent="0.25">
      <c r="A10" s="421">
        <v>4</v>
      </c>
      <c r="B10" s="446" t="str">
        <f t="shared" ca="1" si="1"/>
        <v>Oates, Eleanor</v>
      </c>
      <c r="C10" s="446" t="str">
        <f ca="1">VLOOKUP(B10,'Base Schedules'!A:B,2,FALSE)</f>
        <v>Supervisor</v>
      </c>
      <c r="D10" s="445" t="str">
        <f t="shared" ca="1" si="2"/>
        <v/>
      </c>
      <c r="E10" s="445" t="str">
        <f t="shared" ca="1" si="0"/>
        <v/>
      </c>
      <c r="F10" s="445" t="str">
        <f t="shared" ca="1" si="0"/>
        <v/>
      </c>
      <c r="G10" s="445" t="str">
        <f t="shared" ca="1" si="0"/>
        <v/>
      </c>
      <c r="H10" s="445" t="str">
        <f t="shared" ca="1" si="0"/>
        <v/>
      </c>
      <c r="I10" s="445" t="str">
        <f t="shared" ca="1" si="0"/>
        <v/>
      </c>
      <c r="J10" s="132" t="b">
        <f t="shared" ca="1" si="3"/>
        <v>1</v>
      </c>
      <c r="K10" s="425"/>
      <c r="L10" s="419"/>
      <c r="M10" s="419"/>
      <c r="N10" s="419"/>
      <c r="O10" s="419"/>
    </row>
    <row r="11" spans="1:15" ht="15.75" hidden="1" x14ac:dyDescent="0.25">
      <c r="A11" s="421">
        <v>5</v>
      </c>
      <c r="B11" s="446" t="str">
        <f t="shared" ca="1" si="1"/>
        <v>Albritton, Ahmed</v>
      </c>
      <c r="C11" s="446" t="str">
        <f ca="1">VLOOKUP(B11,'Base Schedules'!A:B,2,FALSE)</f>
        <v>Lead</v>
      </c>
      <c r="D11" s="445" t="str">
        <f t="shared" ca="1" si="2"/>
        <v/>
      </c>
      <c r="E11" s="445" t="str">
        <f t="shared" ca="1" si="0"/>
        <v/>
      </c>
      <c r="F11" s="445" t="str">
        <f t="shared" ca="1" si="0"/>
        <v/>
      </c>
      <c r="G11" s="445" t="str">
        <f t="shared" ca="1" si="0"/>
        <v/>
      </c>
      <c r="H11" s="445" t="str">
        <f t="shared" ca="1" si="0"/>
        <v/>
      </c>
      <c r="I11" s="445" t="str">
        <f t="shared" ca="1" si="0"/>
        <v/>
      </c>
      <c r="J11" s="132" t="b">
        <f t="shared" ca="1" si="3"/>
        <v>1</v>
      </c>
      <c r="K11" s="425"/>
      <c r="L11" s="419"/>
      <c r="M11" s="419"/>
      <c r="N11" s="419"/>
      <c r="O11" s="419"/>
    </row>
    <row r="12" spans="1:15" ht="15.75" hidden="1" x14ac:dyDescent="0.25">
      <c r="A12" s="421">
        <v>6</v>
      </c>
      <c r="B12" s="446" t="str">
        <f t="shared" ca="1" si="1"/>
        <v>Suarez, Alyssa</v>
      </c>
      <c r="C12" s="446" t="str">
        <f ca="1">VLOOKUP(B12,'Base Schedules'!A:B,2,FALSE)</f>
        <v>Lead</v>
      </c>
      <c r="D12" s="445" t="str">
        <f t="shared" ca="1" si="2"/>
        <v/>
      </c>
      <c r="E12" s="445" t="str">
        <f t="shared" ca="1" si="0"/>
        <v/>
      </c>
      <c r="F12" s="445" t="str">
        <f t="shared" ca="1" si="0"/>
        <v/>
      </c>
      <c r="G12" s="445" t="str">
        <f t="shared" ca="1" si="0"/>
        <v/>
      </c>
      <c r="H12" s="445" t="str">
        <f t="shared" ca="1" si="0"/>
        <v/>
      </c>
      <c r="I12" s="445" t="str">
        <f t="shared" ca="1" si="0"/>
        <v/>
      </c>
      <c r="J12" s="132" t="b">
        <f t="shared" ca="1" si="3"/>
        <v>1</v>
      </c>
      <c r="K12" s="425"/>
      <c r="L12" s="419"/>
      <c r="M12" s="419"/>
      <c r="N12" s="419"/>
      <c r="O12" s="419"/>
    </row>
    <row r="13" spans="1:15" ht="15.75" hidden="1" x14ac:dyDescent="0.25">
      <c r="A13" s="421">
        <v>7</v>
      </c>
      <c r="B13" s="446" t="str">
        <f t="shared" ca="1" si="1"/>
        <v>Breen, Mark</v>
      </c>
      <c r="C13" s="446" t="str">
        <f ca="1">VLOOKUP(B13,'Base Schedules'!A:B,2,FALSE)</f>
        <v>Supervisor</v>
      </c>
      <c r="D13" s="445" t="str">
        <f t="shared" ca="1" si="2"/>
        <v/>
      </c>
      <c r="E13" s="445" t="str">
        <f t="shared" ca="1" si="0"/>
        <v/>
      </c>
      <c r="F13" s="445" t="str">
        <f t="shared" ca="1" si="0"/>
        <v/>
      </c>
      <c r="G13" s="445" t="str">
        <f t="shared" ca="1" si="0"/>
        <v/>
      </c>
      <c r="H13" s="445" t="str">
        <f t="shared" ca="1" si="0"/>
        <v/>
      </c>
      <c r="I13" s="445" t="str">
        <f t="shared" ca="1" si="0"/>
        <v/>
      </c>
      <c r="J13" s="132" t="b">
        <f t="shared" ca="1" si="3"/>
        <v>1</v>
      </c>
      <c r="K13" s="425"/>
      <c r="L13" s="419"/>
      <c r="M13" s="419"/>
      <c r="N13" s="419"/>
      <c r="O13" s="419"/>
    </row>
    <row r="14" spans="1:15" ht="15.75" hidden="1" x14ac:dyDescent="0.25">
      <c r="A14" s="421">
        <v>8</v>
      </c>
      <c r="B14" s="446" t="str">
        <f t="shared" ca="1" si="1"/>
        <v>Albert, Christina</v>
      </c>
      <c r="C14" s="446" t="str">
        <f ca="1">VLOOKUP(B14,'Base Schedules'!A:B,2,FALSE)</f>
        <v>Lead</v>
      </c>
      <c r="D14" s="445" t="str">
        <f t="shared" ca="1" si="2"/>
        <v/>
      </c>
      <c r="E14" s="445" t="str">
        <f t="shared" ca="1" si="0"/>
        <v/>
      </c>
      <c r="F14" s="445" t="str">
        <f t="shared" ca="1" si="0"/>
        <v/>
      </c>
      <c r="G14" s="445" t="str">
        <f t="shared" ca="1" si="0"/>
        <v/>
      </c>
      <c r="H14" s="445" t="str">
        <f t="shared" ca="1" si="0"/>
        <v/>
      </c>
      <c r="I14" s="445" t="str">
        <f t="shared" ca="1" si="0"/>
        <v/>
      </c>
      <c r="J14" s="132" t="b">
        <f t="shared" ca="1" si="3"/>
        <v>1</v>
      </c>
      <c r="K14" s="425"/>
      <c r="L14" s="419"/>
      <c r="M14" s="419"/>
      <c r="N14" s="419"/>
      <c r="O14" s="419"/>
    </row>
    <row r="15" spans="1:15" ht="15.75" hidden="1" x14ac:dyDescent="0.25">
      <c r="A15" s="421">
        <v>9</v>
      </c>
      <c r="B15" s="446" t="str">
        <f t="shared" ca="1" si="1"/>
        <v>Germony, June</v>
      </c>
      <c r="C15" s="446" t="str">
        <f ca="1">VLOOKUP(B15,'Base Schedules'!A:B,2,FALSE)</f>
        <v>Supervisor</v>
      </c>
      <c r="D15" s="445" t="str">
        <f t="shared" ca="1" si="2"/>
        <v>-</v>
      </c>
      <c r="E15" s="445" t="str">
        <f t="shared" ca="1" si="0"/>
        <v/>
      </c>
      <c r="F15" s="445" t="str">
        <f t="shared" ca="1" si="0"/>
        <v/>
      </c>
      <c r="G15" s="445" t="str">
        <f t="shared" ca="1" si="0"/>
        <v/>
      </c>
      <c r="H15" s="445" t="str">
        <f t="shared" ca="1" si="0"/>
        <v/>
      </c>
      <c r="I15" s="445" t="str">
        <f t="shared" ca="1" si="0"/>
        <v/>
      </c>
      <c r="J15" s="132" t="b">
        <f t="shared" ca="1" si="3"/>
        <v>0</v>
      </c>
      <c r="K15" s="425"/>
      <c r="L15" s="419"/>
      <c r="M15" s="419"/>
      <c r="N15" s="419"/>
      <c r="O15" s="419"/>
    </row>
    <row r="16" spans="1:15" ht="18.75" hidden="1" customHeight="1" x14ac:dyDescent="0.25">
      <c r="A16" s="421">
        <v>10</v>
      </c>
      <c r="B16" s="447" t="str">
        <f t="shared" ca="1" si="1"/>
        <v>Madamba, Rocky</v>
      </c>
      <c r="C16" s="446" t="str">
        <f ca="1">VLOOKUP(B16,'Base Schedules'!A:B,2,FALSE)</f>
        <v>Supervisor</v>
      </c>
      <c r="D16" s="445" t="str">
        <f t="shared" ca="1" si="2"/>
        <v>-</v>
      </c>
      <c r="E16" s="445" t="str">
        <f t="shared" ca="1" si="0"/>
        <v/>
      </c>
      <c r="F16" s="445" t="str">
        <f t="shared" ca="1" si="0"/>
        <v/>
      </c>
      <c r="G16" s="445" t="str">
        <f t="shared" ca="1" si="0"/>
        <v/>
      </c>
      <c r="H16" s="445" t="str">
        <f t="shared" ca="1" si="0"/>
        <v/>
      </c>
      <c r="I16" s="445" t="str">
        <f t="shared" ca="1" si="0"/>
        <v/>
      </c>
      <c r="J16" s="424" t="b">
        <f t="shared" ca="1" si="3"/>
        <v>0</v>
      </c>
      <c r="K16" s="425"/>
      <c r="L16" s="419"/>
      <c r="M16" s="419"/>
      <c r="N16" s="419"/>
      <c r="O16" s="419"/>
    </row>
    <row r="17" spans="1:15" ht="18.75" hidden="1" customHeight="1" x14ac:dyDescent="0.25">
      <c r="A17" s="421">
        <v>11</v>
      </c>
      <c r="B17" s="447" t="str">
        <f t="shared" ca="1" si="1"/>
        <v>Greene, Alicia</v>
      </c>
      <c r="C17" s="446" t="str">
        <f ca="1">VLOOKUP(B17,'Base Schedules'!A:B,2,FALSE)</f>
        <v>Lead</v>
      </c>
      <c r="D17" s="445" t="str">
        <f t="shared" ca="1" si="2"/>
        <v>ADM</v>
      </c>
      <c r="E17" s="445" t="str">
        <f t="shared" ca="1" si="0"/>
        <v/>
      </c>
      <c r="F17" s="445" t="str">
        <f t="shared" ca="1" si="0"/>
        <v/>
      </c>
      <c r="G17" s="445" t="str">
        <f t="shared" ca="1" si="0"/>
        <v/>
      </c>
      <c r="H17" s="445" t="str">
        <f t="shared" ca="1" si="0"/>
        <v/>
      </c>
      <c r="I17" s="445" t="str">
        <f t="shared" ca="1" si="0"/>
        <v/>
      </c>
      <c r="J17" s="424" t="b">
        <f t="shared" ca="1" si="3"/>
        <v>0</v>
      </c>
      <c r="K17" s="425"/>
      <c r="L17" s="419"/>
      <c r="M17" s="419"/>
      <c r="N17" s="419"/>
      <c r="O17" s="419"/>
    </row>
    <row r="18" spans="1:15" ht="18.75" hidden="1" customHeight="1" x14ac:dyDescent="0.25">
      <c r="A18" s="421">
        <v>12</v>
      </c>
      <c r="B18" s="447" t="str">
        <f t="shared" ca="1" si="1"/>
        <v>Ulrich, Michael</v>
      </c>
      <c r="C18" s="446" t="str">
        <f ca="1">VLOOKUP(B18,'Base Schedules'!A:B,2,FALSE)</f>
        <v>Supervisor</v>
      </c>
      <c r="D18" s="445" t="str">
        <f t="shared" ca="1" si="2"/>
        <v>-</v>
      </c>
      <c r="E18" s="445" t="str">
        <f t="shared" ca="1" si="0"/>
        <v>-</v>
      </c>
      <c r="F18" s="445" t="str">
        <f t="shared" ca="1" si="0"/>
        <v/>
      </c>
      <c r="G18" s="445" t="str">
        <f t="shared" ca="1" si="0"/>
        <v/>
      </c>
      <c r="H18" s="445" t="str">
        <f t="shared" ca="1" si="0"/>
        <v/>
      </c>
      <c r="I18" s="445" t="str">
        <f t="shared" ca="1" si="0"/>
        <v/>
      </c>
      <c r="J18" s="424" t="b">
        <f t="shared" ca="1" si="3"/>
        <v>0</v>
      </c>
      <c r="K18" s="425"/>
      <c r="L18" s="419"/>
      <c r="M18" s="419"/>
      <c r="N18" s="419"/>
      <c r="O18" s="419"/>
    </row>
    <row r="19" spans="1:15" ht="18.75" hidden="1" customHeight="1" x14ac:dyDescent="0.25">
      <c r="A19" s="421">
        <v>13</v>
      </c>
      <c r="B19" s="447" t="str">
        <f t="shared" ca="1" si="1"/>
        <v>Benish, Elisha</v>
      </c>
      <c r="C19" s="446" t="str">
        <f ca="1">VLOOKUP(B19,'Base Schedules'!A:B,2,FALSE)</f>
        <v>Lead</v>
      </c>
      <c r="D19" s="445" t="str">
        <f t="shared" ca="1" si="2"/>
        <v>HL</v>
      </c>
      <c r="E19" s="445" t="str">
        <f t="shared" ca="1" si="0"/>
        <v>ADM</v>
      </c>
      <c r="F19" s="445" t="str">
        <f t="shared" ca="1" si="0"/>
        <v>ADM</v>
      </c>
      <c r="G19" s="445" t="str">
        <f t="shared" ca="1" si="0"/>
        <v/>
      </c>
      <c r="H19" s="445" t="str">
        <f t="shared" ca="1" si="0"/>
        <v/>
      </c>
      <c r="I19" s="445" t="str">
        <f t="shared" ca="1" si="0"/>
        <v/>
      </c>
      <c r="J19" s="424" t="b">
        <f t="shared" ca="1" si="3"/>
        <v>0</v>
      </c>
      <c r="K19" s="425"/>
      <c r="L19" s="419"/>
      <c r="M19" s="419"/>
      <c r="N19" s="419"/>
      <c r="O19" s="419"/>
    </row>
    <row r="20" spans="1:15" ht="18.75" hidden="1" customHeight="1" x14ac:dyDescent="0.25">
      <c r="A20" s="421">
        <v>14</v>
      </c>
      <c r="B20" s="447" t="str">
        <f t="shared" ca="1" si="1"/>
        <v>Martin, Gary</v>
      </c>
      <c r="C20" s="446" t="str">
        <f ca="1">VLOOKUP(B20,'Base Schedules'!A:B,2,FALSE)</f>
        <v>Supervisor</v>
      </c>
      <c r="D20" s="445" t="str">
        <f t="shared" ca="1" si="2"/>
        <v>Coaching</v>
      </c>
      <c r="E20" s="445" t="str">
        <f t="shared" ca="1" si="0"/>
        <v>Coaching</v>
      </c>
      <c r="F20" s="445" t="str">
        <f t="shared" ca="1" si="0"/>
        <v>-</v>
      </c>
      <c r="G20" s="445" t="str">
        <f t="shared" ca="1" si="0"/>
        <v/>
      </c>
      <c r="H20" s="445" t="str">
        <f t="shared" ca="1" si="0"/>
        <v/>
      </c>
      <c r="I20" s="445" t="str">
        <f t="shared" ca="1" si="0"/>
        <v/>
      </c>
      <c r="J20" s="424" t="b">
        <f t="shared" ca="1" si="3"/>
        <v>0</v>
      </c>
      <c r="K20" s="425"/>
      <c r="L20" s="419"/>
      <c r="M20" s="419"/>
      <c r="N20" s="419"/>
      <c r="O20" s="419"/>
    </row>
    <row r="21" spans="1:15" ht="18.75" customHeight="1" x14ac:dyDescent="0.25">
      <c r="A21" s="421">
        <v>15</v>
      </c>
      <c r="B21" s="447" t="str">
        <f t="shared" ca="1" si="1"/>
        <v>Garcia, Valentin</v>
      </c>
      <c r="C21" s="446" t="str">
        <f ca="1">VLOOKUP(B21,'Base Schedules'!A:B,2,FALSE)</f>
        <v>Supervisor</v>
      </c>
      <c r="D21" s="445" t="str">
        <f t="shared" ca="1" si="2"/>
        <v>Coaching</v>
      </c>
      <c r="E21" s="445" t="str">
        <f t="shared" ca="1" si="0"/>
        <v>Coaching</v>
      </c>
      <c r="F21" s="445" t="str">
        <f t="shared" ca="1" si="0"/>
        <v>Coaching</v>
      </c>
      <c r="G21" s="445" t="str">
        <f t="shared" ca="1" si="0"/>
        <v>-</v>
      </c>
      <c r="H21" s="445" t="str">
        <f t="shared" ca="1" si="0"/>
        <v/>
      </c>
      <c r="I21" s="445" t="str">
        <f t="shared" ca="1" si="0"/>
        <v/>
      </c>
      <c r="J21" s="424" t="b">
        <f t="shared" ca="1" si="3"/>
        <v>0</v>
      </c>
      <c r="K21" s="425"/>
      <c r="L21" s="419"/>
      <c r="M21" s="419"/>
      <c r="N21" s="419"/>
      <c r="O21" s="419"/>
    </row>
    <row r="22" spans="1:15" ht="18.75" customHeight="1" x14ac:dyDescent="0.25">
      <c r="A22" s="421">
        <v>16</v>
      </c>
      <c r="B22" s="447" t="str">
        <f t="shared" ca="1" si="1"/>
        <v>Parkin-Rego, Kimberlee</v>
      </c>
      <c r="C22" s="446" t="str">
        <f ca="1">VLOOKUP(B22,'Base Schedules'!A:B,2,FALSE)</f>
        <v>Supervisor</v>
      </c>
      <c r="D22" s="445" t="str">
        <f t="shared" ca="1" si="2"/>
        <v>Coaching</v>
      </c>
      <c r="E22" s="445" t="str">
        <f t="shared" ca="1" si="0"/>
        <v>Coaching</v>
      </c>
      <c r="F22" s="445" t="str">
        <f t="shared" ca="1" si="0"/>
        <v>Coaching</v>
      </c>
      <c r="G22" s="445" t="str">
        <f t="shared" ca="1" si="0"/>
        <v>Coaching</v>
      </c>
      <c r="H22" s="445" t="str">
        <f t="shared" ca="1" si="0"/>
        <v/>
      </c>
      <c r="I22" s="445" t="str">
        <f t="shared" ca="1" si="0"/>
        <v/>
      </c>
      <c r="J22" s="424" t="b">
        <f t="shared" ca="1" si="3"/>
        <v>0</v>
      </c>
      <c r="K22" s="425"/>
      <c r="L22" s="419"/>
      <c r="M22" s="419"/>
      <c r="N22" s="419"/>
      <c r="O22" s="419"/>
    </row>
    <row r="23" spans="1:15" ht="18.75" customHeight="1" x14ac:dyDescent="0.25">
      <c r="A23" s="421">
        <v>17</v>
      </c>
      <c r="B23" s="447" t="str">
        <f t="shared" ca="1" si="1"/>
        <v>Olson, Dan</v>
      </c>
      <c r="C23" s="446" t="str">
        <f ca="1">VLOOKUP(B23,'Base Schedules'!A:B,2,FALSE)</f>
        <v>Supervisor</v>
      </c>
      <c r="D23" s="445" t="str">
        <f t="shared" ca="1" si="2"/>
        <v>Coaching</v>
      </c>
      <c r="E23" s="445" t="str">
        <f t="shared" ca="1" si="2"/>
        <v>-</v>
      </c>
      <c r="F23" s="445" t="str">
        <f t="shared" ca="1" si="2"/>
        <v>-</v>
      </c>
      <c r="G23" s="445" t="str">
        <f t="shared" ca="1" si="2"/>
        <v>-</v>
      </c>
      <c r="H23" s="445" t="str">
        <f t="shared" ca="1" si="2"/>
        <v>-</v>
      </c>
      <c r="I23" s="445" t="str">
        <f t="shared" ca="1" si="2"/>
        <v/>
      </c>
      <c r="J23" s="424" t="b">
        <f t="shared" ca="1" si="3"/>
        <v>0</v>
      </c>
      <c r="K23" s="425"/>
      <c r="L23" s="419"/>
      <c r="M23" s="419"/>
      <c r="N23" s="419"/>
      <c r="O23" s="419"/>
    </row>
    <row r="24" spans="1:15" ht="18.75" customHeight="1" x14ac:dyDescent="0.25">
      <c r="A24" s="421">
        <v>18</v>
      </c>
      <c r="B24" s="447" t="str">
        <f t="shared" ca="1" si="1"/>
        <v>Stevens, Amanda</v>
      </c>
      <c r="C24" s="446" t="str">
        <f ca="1">VLOOKUP(B24,'Base Schedules'!A:B,2,FALSE)</f>
        <v>Supervisor</v>
      </c>
      <c r="D24" s="445" t="str">
        <f t="shared" ca="1" si="2"/>
        <v>-</v>
      </c>
      <c r="E24" s="445" t="str">
        <f t="shared" ca="1" si="2"/>
        <v>Coaching</v>
      </c>
      <c r="F24" s="445" t="str">
        <f t="shared" ca="1" si="2"/>
        <v>Coaching</v>
      </c>
      <c r="G24" s="445" t="str">
        <f t="shared" ca="1" si="2"/>
        <v>Coaching</v>
      </c>
      <c r="H24" s="445" t="str">
        <f t="shared" ca="1" si="2"/>
        <v>Coaching</v>
      </c>
      <c r="I24" s="445" t="str">
        <f t="shared" ca="1" si="2"/>
        <v>-</v>
      </c>
      <c r="J24" s="424" t="b">
        <f t="shared" ca="1" si="3"/>
        <v>0</v>
      </c>
      <c r="K24" s="425"/>
      <c r="L24" s="419"/>
      <c r="M24" s="419"/>
      <c r="N24" s="419"/>
      <c r="O24" s="419"/>
    </row>
    <row r="25" spans="1:15" ht="18.75" customHeight="1" x14ac:dyDescent="0.25">
      <c r="A25" s="421">
        <v>19</v>
      </c>
      <c r="B25" s="447" t="str">
        <f t="shared" ca="1" si="1"/>
        <v>Fiskvik, Christopher</v>
      </c>
      <c r="C25" s="446" t="str">
        <f ca="1">VLOOKUP(B25,'Base Schedules'!A:B,2,FALSE)</f>
        <v>Lead</v>
      </c>
      <c r="D25" s="445" t="str">
        <f t="shared" ca="1" si="2"/>
        <v>HL</v>
      </c>
      <c r="E25" s="445" t="str">
        <f t="shared" ca="1" si="2"/>
        <v>HL</v>
      </c>
      <c r="F25" s="445" t="str">
        <f t="shared" ca="1" si="2"/>
        <v>B2 ADM</v>
      </c>
      <c r="G25" s="445" t="str">
        <f t="shared" ca="1" si="2"/>
        <v>RNNR</v>
      </c>
      <c r="H25" s="445" t="str">
        <f t="shared" ca="1" si="2"/>
        <v>RNNR</v>
      </c>
      <c r="I25" s="445" t="str">
        <f t="shared" ca="1" si="2"/>
        <v>ADM</v>
      </c>
      <c r="J25" s="424" t="b">
        <f t="shared" ca="1" si="3"/>
        <v>0</v>
      </c>
      <c r="K25" s="425"/>
      <c r="L25" s="419"/>
      <c r="M25" s="419"/>
      <c r="N25" s="419"/>
      <c r="O25" s="419"/>
    </row>
    <row r="26" spans="1:15" ht="18.75" customHeight="1" x14ac:dyDescent="0.25">
      <c r="A26" s="421">
        <v>20</v>
      </c>
      <c r="B26" s="447" t="str">
        <f t="shared" ca="1" si="1"/>
        <v>McLean, Michael</v>
      </c>
      <c r="C26" s="446" t="str">
        <f ca="1">VLOOKUP(B26,'Base Schedules'!A:B,2,FALSE)</f>
        <v>Supervisor</v>
      </c>
      <c r="D26" s="445" t="str">
        <f t="shared" ca="1" si="2"/>
        <v>Interview</v>
      </c>
      <c r="E26" s="445" t="str">
        <f t="shared" ca="1" si="2"/>
        <v>-</v>
      </c>
      <c r="F26" s="445" t="str">
        <f t="shared" ca="1" si="2"/>
        <v>-</v>
      </c>
      <c r="G26" s="445" t="str">
        <f t="shared" ca="1" si="2"/>
        <v>Coaching</v>
      </c>
      <c r="H26" s="445" t="str">
        <f t="shared" ca="1" si="2"/>
        <v>Coaching</v>
      </c>
      <c r="I26" s="445" t="str">
        <f t="shared" ca="1" si="2"/>
        <v>Coaching</v>
      </c>
      <c r="J26" s="424" t="b">
        <f t="shared" ca="1" si="3"/>
        <v>0</v>
      </c>
      <c r="K26" s="425"/>
      <c r="L26" s="419"/>
      <c r="M26" s="419"/>
      <c r="N26" s="419"/>
      <c r="O26" s="419"/>
    </row>
    <row r="27" spans="1:15" ht="18.75" customHeight="1" x14ac:dyDescent="0.25">
      <c r="A27" s="421">
        <v>21</v>
      </c>
      <c r="B27" s="447" t="str">
        <f t="shared" ca="1" si="1"/>
        <v>Slagle, Natasha</v>
      </c>
      <c r="C27" s="446" t="str">
        <f ca="1">VLOOKUP(B27,'Base Schedules'!A:B,2,FALSE)</f>
        <v>Lead</v>
      </c>
      <c r="D27" s="445" t="str">
        <f t="shared" ca="1" si="2"/>
        <v>LUNCH</v>
      </c>
      <c r="E27" s="445" t="str">
        <f t="shared" ca="1" si="2"/>
        <v>LUNCH</v>
      </c>
      <c r="F27" s="445" t="str">
        <f t="shared" ca="1" si="2"/>
        <v>ADM</v>
      </c>
      <c r="G27" s="445" t="str">
        <f t="shared" ca="1" si="2"/>
        <v>HL</v>
      </c>
      <c r="H27" s="445" t="str">
        <f t="shared" ca="1" si="2"/>
        <v>HL</v>
      </c>
      <c r="I27" s="445" t="str">
        <f t="shared" ca="1" si="2"/>
        <v>B2 HL</v>
      </c>
      <c r="J27" s="424" t="b">
        <f t="shared" ca="1" si="3"/>
        <v>0</v>
      </c>
      <c r="K27" s="425"/>
      <c r="L27" s="419"/>
      <c r="M27" s="419"/>
      <c r="N27" s="419"/>
      <c r="O27" s="419"/>
    </row>
    <row r="28" spans="1:15" ht="18.75" customHeight="1" x14ac:dyDescent="0.25">
      <c r="A28" s="421">
        <v>22</v>
      </c>
      <c r="B28" s="447" t="str">
        <f t="shared" ca="1" si="1"/>
        <v>Qualman, Sophy</v>
      </c>
      <c r="C28" s="446" t="str">
        <f ca="1">VLOOKUP(B28,'Base Schedules'!A:B,2,FALSE)</f>
        <v>Lead</v>
      </c>
      <c r="D28" s="445" t="str">
        <f t="shared" ca="1" si="2"/>
        <v>ADM</v>
      </c>
      <c r="E28" s="445" t="str">
        <f t="shared" ca="1" si="2"/>
        <v>LUNCH</v>
      </c>
      <c r="F28" s="445" t="str">
        <f t="shared" ca="1" si="2"/>
        <v>ADM</v>
      </c>
      <c r="G28" s="445" t="str">
        <f t="shared" ca="1" si="2"/>
        <v>ADM</v>
      </c>
      <c r="H28" s="445" t="str">
        <f t="shared" ca="1" si="2"/>
        <v>B2 HL</v>
      </c>
      <c r="I28" s="445" t="str">
        <f t="shared" ca="1" si="2"/>
        <v>HL</v>
      </c>
      <c r="J28" s="424" t="b">
        <f t="shared" ca="1" si="3"/>
        <v>0</v>
      </c>
      <c r="K28" s="425"/>
      <c r="L28" s="419"/>
      <c r="M28" s="419"/>
      <c r="N28" s="419"/>
      <c r="O28" s="419"/>
    </row>
    <row r="29" spans="1:15" ht="18.75" customHeight="1" x14ac:dyDescent="0.25">
      <c r="A29" s="421">
        <v>23</v>
      </c>
      <c r="B29" s="447" t="str">
        <f t="shared" ca="1" si="1"/>
        <v>Koistinen, Shaun</v>
      </c>
      <c r="C29" s="446" t="str">
        <f ca="1">VLOOKUP(B29,'Base Schedules'!A:B,2,FALSE)</f>
        <v>Lead</v>
      </c>
      <c r="D29" s="445" t="str">
        <f t="shared" ca="1" si="2"/>
        <v>ADM</v>
      </c>
      <c r="E29" s="445" t="str">
        <f t="shared" ca="1" si="2"/>
        <v>ADM</v>
      </c>
      <c r="F29" s="445" t="str">
        <f t="shared" ca="1" si="2"/>
        <v>LUNCH</v>
      </c>
      <c r="G29" s="445" t="str">
        <f t="shared" ca="1" si="2"/>
        <v>HL</v>
      </c>
      <c r="H29" s="445" t="str">
        <f t="shared" ca="1" si="2"/>
        <v>HL</v>
      </c>
      <c r="I29" s="445" t="str">
        <f t="shared" ca="1" si="2"/>
        <v>HL</v>
      </c>
      <c r="J29" s="424" t="b">
        <f t="shared" ca="1" si="3"/>
        <v>0</v>
      </c>
      <c r="K29" s="425"/>
      <c r="L29" s="419"/>
      <c r="M29" s="419"/>
      <c r="N29" s="419"/>
      <c r="O29" s="419"/>
    </row>
    <row r="30" spans="1:15" ht="18.75" customHeight="1" x14ac:dyDescent="0.25">
      <c r="A30" s="421">
        <v>24</v>
      </c>
      <c r="B30" s="438" t="str">
        <f t="shared" ca="1" si="1"/>
        <v>Goss, Ian</v>
      </c>
      <c r="C30" s="446" t="str">
        <f ca="1">VLOOKUP(B30,'Base Schedules'!A:B,2,FALSE)</f>
        <v>Lead</v>
      </c>
      <c r="D30" s="445" t="str">
        <f t="shared" ca="1" si="2"/>
        <v>RNNR</v>
      </c>
      <c r="E30" s="445" t="str">
        <f t="shared" ca="1" si="2"/>
        <v>HL</v>
      </c>
      <c r="F30" s="445" t="str">
        <f t="shared" ca="1" si="2"/>
        <v>HL</v>
      </c>
      <c r="G30" s="445" t="str">
        <f t="shared" ca="1" si="2"/>
        <v>LUNCH</v>
      </c>
      <c r="H30" s="445" t="str">
        <f t="shared" ca="1" si="2"/>
        <v>HL</v>
      </c>
      <c r="I30" s="445" t="str">
        <f t="shared" ca="1" si="2"/>
        <v>HL</v>
      </c>
      <c r="J30" s="424" t="b">
        <f t="shared" ca="1" si="3"/>
        <v>0</v>
      </c>
      <c r="K30" s="425"/>
      <c r="L30" s="419"/>
      <c r="M30" s="419"/>
      <c r="N30" s="419"/>
      <c r="O30" s="419"/>
    </row>
    <row r="31" spans="1:15" ht="18.75" customHeight="1" x14ac:dyDescent="0.25">
      <c r="A31" s="421">
        <v>25</v>
      </c>
      <c r="B31" s="438" t="str">
        <f t="shared" ca="1" si="1"/>
        <v>Condon, Heather</v>
      </c>
      <c r="C31" s="446" t="str">
        <f ca="1">VLOOKUP(B31,'Base Schedules'!A:B,2,FALSE)</f>
        <v>Lead</v>
      </c>
      <c r="D31" s="445" t="str">
        <f t="shared" ca="1" si="2"/>
        <v>HL</v>
      </c>
      <c r="E31" s="445" t="str">
        <f t="shared" ca="1" si="2"/>
        <v>HL</v>
      </c>
      <c r="F31" s="445" t="str">
        <f t="shared" ca="1" si="2"/>
        <v>ADM</v>
      </c>
      <c r="G31" s="445" t="str">
        <f t="shared" ca="1" si="2"/>
        <v>ADM</v>
      </c>
      <c r="H31" s="445" t="str">
        <f t="shared" ca="1" si="2"/>
        <v>LUNCH</v>
      </c>
      <c r="I31" s="445" t="str">
        <f t="shared" ca="1" si="2"/>
        <v>ADM</v>
      </c>
      <c r="J31" s="424" t="b">
        <f t="shared" ca="1" si="3"/>
        <v>0</v>
      </c>
      <c r="K31" s="425"/>
      <c r="L31" s="419"/>
      <c r="M31" s="419"/>
      <c r="N31" s="419"/>
      <c r="O31" s="419"/>
    </row>
    <row r="32" spans="1:15" ht="18.75" customHeight="1" x14ac:dyDescent="0.25">
      <c r="A32" s="421">
        <v>26</v>
      </c>
      <c r="B32" s="438" t="str">
        <f t="shared" ca="1" si="1"/>
        <v>Floirendo, Nicholas</v>
      </c>
      <c r="C32" s="446" t="str">
        <f ca="1">VLOOKUP(B32,'Base Schedules'!A:B,2,FALSE)</f>
        <v>Lead</v>
      </c>
      <c r="D32" s="445" t="str">
        <f t="shared" ca="1" si="2"/>
        <v>B1 HL</v>
      </c>
      <c r="E32" s="445" t="str">
        <f t="shared" ca="1" si="2"/>
        <v>HL</v>
      </c>
      <c r="F32" s="445" t="str">
        <f t="shared" ca="1" si="2"/>
        <v>HL</v>
      </c>
      <c r="G32" s="445" t="str">
        <f t="shared" ca="1" si="2"/>
        <v>HL</v>
      </c>
      <c r="H32" s="445" t="str">
        <f t="shared" ca="1" si="2"/>
        <v>HL</v>
      </c>
      <c r="I32" s="445" t="str">
        <f t="shared" ca="1" si="2"/>
        <v>LUNCH</v>
      </c>
      <c r="J32" s="424" t="b">
        <f t="shared" ca="1" si="3"/>
        <v>0</v>
      </c>
      <c r="K32" s="425"/>
      <c r="L32" s="419"/>
      <c r="M32" s="419"/>
      <c r="N32" s="419"/>
      <c r="O32" s="419"/>
    </row>
    <row r="33" spans="1:15" ht="18.75" customHeight="1" x14ac:dyDescent="0.25">
      <c r="A33" s="421">
        <v>27</v>
      </c>
      <c r="B33" s="438" t="str">
        <f t="shared" ca="1" si="1"/>
        <v>Harding, Mickeya</v>
      </c>
      <c r="C33" s="446" t="str">
        <f ca="1">VLOOKUP(B33,'Base Schedules'!A:B,2,FALSE)</f>
        <v>Lead</v>
      </c>
      <c r="D33" s="445" t="str">
        <f t="shared" ca="1" si="2"/>
        <v>ADM</v>
      </c>
      <c r="E33" s="445" t="str">
        <f t="shared" ca="1" si="2"/>
        <v>ADM</v>
      </c>
      <c r="F33" s="445" t="str">
        <f t="shared" ca="1" si="2"/>
        <v>ADM</v>
      </c>
      <c r="G33" s="445" t="str">
        <f t="shared" ca="1" si="2"/>
        <v>LUNCH</v>
      </c>
      <c r="H33" s="445" t="str">
        <f t="shared" ca="1" si="2"/>
        <v>ADM</v>
      </c>
      <c r="I33" s="445" t="str">
        <f t="shared" ca="1" si="2"/>
        <v>ADM</v>
      </c>
      <c r="J33" s="424" t="b">
        <f t="shared" ca="1" si="3"/>
        <v>0</v>
      </c>
      <c r="K33" s="425"/>
      <c r="L33" s="419"/>
      <c r="M33" s="419"/>
      <c r="N33" s="419"/>
      <c r="O33" s="419"/>
    </row>
    <row r="34" spans="1:15" ht="18.75" customHeight="1" x14ac:dyDescent="0.25">
      <c r="A34" s="421">
        <v>28</v>
      </c>
      <c r="B34" s="438" t="str">
        <f t="shared" ca="1" si="1"/>
        <v>Conner, Mark</v>
      </c>
      <c r="C34" s="446" t="str">
        <f ca="1">VLOOKUP(B34,'Base Schedules'!A:B,2,FALSE)</f>
        <v>Supervisor</v>
      </c>
      <c r="D34" s="445" t="str">
        <f t="shared" ca="1" si="2"/>
        <v>Interview</v>
      </c>
      <c r="E34" s="445" t="str">
        <f t="shared" ca="1" si="2"/>
        <v>-</v>
      </c>
      <c r="F34" s="445" t="str">
        <f t="shared" ca="1" si="2"/>
        <v>-</v>
      </c>
      <c r="G34" s="445" t="str">
        <f t="shared" ca="1" si="2"/>
        <v>-</v>
      </c>
      <c r="H34" s="445" t="str">
        <f t="shared" ca="1" si="2"/>
        <v>Coaching</v>
      </c>
      <c r="I34" s="445" t="str">
        <f t="shared" ca="1" si="2"/>
        <v>Coaching</v>
      </c>
      <c r="J34" s="424" t="b">
        <f t="shared" ca="1" si="3"/>
        <v>0</v>
      </c>
      <c r="K34" s="425"/>
      <c r="L34" s="419"/>
      <c r="M34" s="419"/>
      <c r="N34" s="419"/>
      <c r="O34" s="419"/>
    </row>
    <row r="35" spans="1:15" ht="18.75" customHeight="1" x14ac:dyDescent="0.25">
      <c r="A35" s="421">
        <v>29</v>
      </c>
      <c r="B35" s="442" t="str">
        <f t="shared" ca="1" si="1"/>
        <v>Suhama, Ryan</v>
      </c>
      <c r="C35" s="446" t="str">
        <f ca="1">VLOOKUP(B35,'Base Schedules'!A:B,2,FALSE)</f>
        <v>Lead</v>
      </c>
      <c r="D35" s="445" t="str">
        <f t="shared" ca="1" si="2"/>
        <v>HL</v>
      </c>
      <c r="E35" s="445" t="str">
        <f t="shared" ca="1" si="2"/>
        <v>HL</v>
      </c>
      <c r="F35" s="445" t="str">
        <f t="shared" ca="1" si="2"/>
        <v>HL</v>
      </c>
      <c r="G35" s="445" t="str">
        <f t="shared" ca="1" si="2"/>
        <v>HL</v>
      </c>
      <c r="H35" s="445" t="str">
        <f t="shared" ca="1" si="2"/>
        <v>LUNCH</v>
      </c>
      <c r="I35" s="445" t="str">
        <f t="shared" ca="1" si="2"/>
        <v>RNNR</v>
      </c>
      <c r="J35" s="424" t="b">
        <f t="shared" ca="1" si="3"/>
        <v>0</v>
      </c>
      <c r="K35" s="425"/>
      <c r="L35" s="419"/>
      <c r="M35" s="419"/>
      <c r="N35" s="419"/>
      <c r="O35" s="419"/>
    </row>
    <row r="36" spans="1:15" ht="18.75" customHeight="1" x14ac:dyDescent="0.25">
      <c r="A36" s="421">
        <v>30</v>
      </c>
      <c r="B36" s="438" t="str">
        <f t="shared" ca="1" si="1"/>
        <v>Aguilar, Angelica</v>
      </c>
      <c r="C36" s="446" t="str">
        <f ca="1">VLOOKUP(B36,'Base Schedules'!A:B,2,FALSE)</f>
        <v>Supervisor</v>
      </c>
      <c r="D36" s="445" t="str">
        <f t="shared" ca="1" si="2"/>
        <v>-</v>
      </c>
      <c r="E36" s="445" t="str">
        <f t="shared" ca="1" si="2"/>
        <v>Interview</v>
      </c>
      <c r="F36" s="445" t="str">
        <f t="shared" ca="1" si="2"/>
        <v>Interview</v>
      </c>
      <c r="G36" s="445" t="str">
        <f t="shared" ca="1" si="2"/>
        <v>-</v>
      </c>
      <c r="H36" s="445" t="str">
        <f t="shared" ca="1" si="2"/>
        <v>-</v>
      </c>
      <c r="I36" s="445" t="str">
        <f t="shared" ca="1" si="2"/>
        <v>-</v>
      </c>
      <c r="J36" s="424" t="b">
        <f t="shared" ca="1" si="3"/>
        <v>0</v>
      </c>
      <c r="K36" s="425"/>
      <c r="L36" s="419"/>
      <c r="M36" s="419"/>
      <c r="N36" s="419"/>
      <c r="O36" s="419"/>
    </row>
    <row r="37" spans="1:15" ht="18.75" customHeight="1" thickBot="1" x14ac:dyDescent="0.3">
      <c r="A37" s="421">
        <v>31</v>
      </c>
      <c r="B37" s="438" t="str">
        <f t="shared" ca="1" si="1"/>
        <v>McFall, Erin</v>
      </c>
      <c r="C37" s="446" t="str">
        <f ca="1">VLOOKUP(B37,'Base Schedules'!A:B,2,FALSE)</f>
        <v>Supervisor</v>
      </c>
      <c r="D37" s="445" t="str">
        <f t="shared" ca="1" si="2"/>
        <v>Coaching</v>
      </c>
      <c r="E37" s="445" t="str">
        <f t="shared" ca="1" si="2"/>
        <v>-</v>
      </c>
      <c r="F37" s="445" t="str">
        <f t="shared" ca="1" si="2"/>
        <v>-</v>
      </c>
      <c r="G37" s="445" t="str">
        <f t="shared" ca="1" si="2"/>
        <v>Interview</v>
      </c>
      <c r="H37" s="445" t="str">
        <f t="shared" ca="1" si="2"/>
        <v>Interview</v>
      </c>
      <c r="I37" s="445" t="str">
        <f t="shared" ca="1" si="2"/>
        <v>-</v>
      </c>
      <c r="J37" s="424" t="b">
        <f t="shared" ca="1" si="3"/>
        <v>0</v>
      </c>
      <c r="K37" s="425"/>
      <c r="L37" s="419"/>
      <c r="M37" s="419"/>
      <c r="N37" s="419"/>
      <c r="O37" s="419"/>
    </row>
    <row r="38" spans="1:15" ht="18.75" hidden="1" customHeight="1" x14ac:dyDescent="0.3">
      <c r="A38" s="421">
        <v>32</v>
      </c>
      <c r="B38" s="438" t="str">
        <f t="shared" ca="1" si="1"/>
        <v>Mason, April</v>
      </c>
      <c r="C38" s="439" t="str">
        <f ca="1">IFERROR(INDEX(TeamList[],MATCH(RTA!$B38,TeamList[Employee Name],0),MATCH("Dept",TeamList[#Headers],0)),"")</f>
        <v/>
      </c>
      <c r="D38" s="440" t="str">
        <f t="shared" ca="1" si="2"/>
        <v>HL</v>
      </c>
      <c r="E38" s="440" t="str">
        <f t="shared" ca="1" si="2"/>
        <v>RNNR</v>
      </c>
      <c r="F38" s="440" t="str">
        <f t="shared" ca="1" si="2"/>
        <v>RNNR</v>
      </c>
      <c r="G38" s="440" t="str">
        <f t="shared" ca="1" si="2"/>
        <v>LUNCH</v>
      </c>
      <c r="H38" s="440" t="str">
        <f t="shared" ca="1" si="2"/>
        <v>ADM</v>
      </c>
      <c r="I38" s="441" t="str">
        <f t="shared" ca="1" si="2"/>
        <v>HL</v>
      </c>
      <c r="J38" s="424" t="b">
        <f t="shared" ca="1" si="3"/>
        <v>0</v>
      </c>
      <c r="K38" s="425"/>
      <c r="L38" s="419"/>
      <c r="M38" s="419"/>
      <c r="N38" s="419"/>
      <c r="O38" s="419"/>
    </row>
    <row r="39" spans="1:15" ht="18.75" hidden="1" customHeight="1" x14ac:dyDescent="0.3">
      <c r="A39" s="421">
        <v>33</v>
      </c>
      <c r="B39" s="438" t="str">
        <f t="shared" ca="1" si="1"/>
        <v>Banuelos, Lincoln</v>
      </c>
      <c r="C39" s="439" t="str">
        <f ca="1">IFERROR(INDEX(TeamList[],MATCH(RTA!$B39,TeamList[Employee Name],0),MATCH("Dept",TeamList[#Headers],0)),"")</f>
        <v>Sup, Customer Service</v>
      </c>
      <c r="D39" s="440" t="str">
        <f t="shared" ca="1" si="2"/>
        <v>-</v>
      </c>
      <c r="E39" s="440" t="str">
        <f t="shared" ca="1" si="2"/>
        <v>-</v>
      </c>
      <c r="F39" s="440" t="str">
        <f t="shared" ca="1" si="2"/>
        <v>-</v>
      </c>
      <c r="G39" s="440" t="str">
        <f t="shared" ca="1" si="2"/>
        <v>Interview</v>
      </c>
      <c r="H39" s="440" t="str">
        <f t="shared" ca="1" si="2"/>
        <v>Interview</v>
      </c>
      <c r="I39" s="441" t="str">
        <f t="shared" ca="1" si="2"/>
        <v>-</v>
      </c>
      <c r="J39" s="424" t="b">
        <f t="shared" ca="1" si="3"/>
        <v>0</v>
      </c>
      <c r="K39" s="425"/>
      <c r="L39" s="419"/>
      <c r="M39" s="419"/>
      <c r="N39" s="419"/>
      <c r="O39" s="419"/>
    </row>
    <row r="40" spans="1:15" ht="18.75" hidden="1" customHeight="1" x14ac:dyDescent="0.3">
      <c r="A40" s="421">
        <v>34</v>
      </c>
      <c r="B40" s="438" t="str">
        <f t="shared" ca="1" si="1"/>
        <v>Harris, Austin</v>
      </c>
      <c r="C40" s="439" t="str">
        <f ca="1">IFERROR(INDEX(TeamList[],MATCH(RTA!$B40,TeamList[Employee Name],0),MATCH("Dept",TeamList[#Headers],0)),"")</f>
        <v/>
      </c>
      <c r="D40" s="440" t="str">
        <f t="shared" ref="D40:I76" ca="1" si="4">IFERROR(INDEX(INDIRECT($I$4),MATCH($B40,INDIRECT($I$4&amp;"[Employee Name]"),0),MATCH(D$6,INDIRECT($I$4&amp;"[#Headers]"),0)),"")</f>
        <v>HL</v>
      </c>
      <c r="E40" s="440" t="str">
        <f t="shared" ca="1" si="4"/>
        <v>HL</v>
      </c>
      <c r="F40" s="440" t="str">
        <f t="shared" ca="1" si="4"/>
        <v>B1 ADM</v>
      </c>
      <c r="G40" s="440" t="str">
        <f t="shared" ca="1" si="4"/>
        <v>ADM</v>
      </c>
      <c r="H40" s="440" t="str">
        <f t="shared" ca="1" si="4"/>
        <v>ADM</v>
      </c>
      <c r="I40" s="441" t="str">
        <f t="shared" ca="1" si="4"/>
        <v>ADM</v>
      </c>
      <c r="J40" s="424" t="b">
        <f t="shared" ca="1" si="3"/>
        <v>0</v>
      </c>
      <c r="K40" s="425"/>
      <c r="L40" s="419"/>
      <c r="M40" s="419"/>
      <c r="N40" s="419"/>
      <c r="O40" s="419"/>
    </row>
    <row r="41" spans="1:15" ht="18.75" hidden="1" customHeight="1" x14ac:dyDescent="0.3">
      <c r="A41" s="421">
        <v>35</v>
      </c>
      <c r="B41" s="438" t="str">
        <f t="shared" ca="1" si="1"/>
        <v>Donaca, Jeff</v>
      </c>
      <c r="C41" s="439" t="str">
        <f ca="1">IFERROR(INDEX(TeamList[],MATCH(RTA!$B41,TeamList[Employee Name],0),MATCH("Dept",TeamList[#Headers],0)),"")</f>
        <v>Sup, Customer Service</v>
      </c>
      <c r="D41" s="440" t="str">
        <f t="shared" ca="1" si="4"/>
        <v>-</v>
      </c>
      <c r="E41" s="440" t="str">
        <f t="shared" ca="1" si="4"/>
        <v>-</v>
      </c>
      <c r="F41" s="440" t="str">
        <f t="shared" ca="1" si="4"/>
        <v>-</v>
      </c>
      <c r="G41" s="440" t="str">
        <f t="shared" ca="1" si="4"/>
        <v>-</v>
      </c>
      <c r="H41" s="440" t="str">
        <f t="shared" ca="1" si="4"/>
        <v>-</v>
      </c>
      <c r="I41" s="441" t="str">
        <f t="shared" ca="1" si="4"/>
        <v>-</v>
      </c>
      <c r="J41" s="424" t="b">
        <f t="shared" ca="1" si="3"/>
        <v>0</v>
      </c>
      <c r="K41" s="425"/>
      <c r="L41" s="419"/>
      <c r="M41" s="419"/>
      <c r="N41" s="419"/>
      <c r="O41" s="419"/>
    </row>
    <row r="42" spans="1:15" ht="15.75" hidden="1" thickBot="1" x14ac:dyDescent="0.3">
      <c r="A42" s="126">
        <v>36</v>
      </c>
      <c r="B42" s="276" t="str">
        <f t="shared" ca="1" si="1"/>
        <v>Britton, Michael</v>
      </c>
      <c r="C42" s="244" t="str">
        <f ca="1">IFERROR(INDEX(TeamList[],MATCH(RTA!$B42,TeamList[Employee Name],0),MATCH("Dept",TeamList[#Headers],0)),"")</f>
        <v>Lead Billing</v>
      </c>
      <c r="D42" s="181" t="str">
        <f t="shared" ca="1" si="4"/>
        <v/>
      </c>
      <c r="E42" s="182" t="str">
        <f t="shared" ca="1" si="4"/>
        <v/>
      </c>
      <c r="F42" s="182" t="str">
        <f t="shared" ca="1" si="4"/>
        <v>ADM</v>
      </c>
      <c r="G42" s="182" t="str">
        <f t="shared" ca="1" si="4"/>
        <v>ADM</v>
      </c>
      <c r="H42" s="182" t="str">
        <f t="shared" ca="1" si="4"/>
        <v>ADM</v>
      </c>
      <c r="I42" s="183" t="str">
        <f t="shared" ca="1" si="4"/>
        <v>ADM</v>
      </c>
      <c r="J42" s="132" t="b">
        <f t="shared" ca="1" si="3"/>
        <v>0</v>
      </c>
    </row>
    <row r="43" spans="1:15" ht="15.75" hidden="1" thickBot="1" x14ac:dyDescent="0.3">
      <c r="A43" s="126">
        <v>37</v>
      </c>
      <c r="B43" s="133" t="str">
        <f t="shared" ca="1" si="1"/>
        <v>Fairbrother, Amy</v>
      </c>
      <c r="C43" s="134" t="str">
        <f ca="1">IFERROR(INDEX(TeamList[],MATCH(RTA!$B43,TeamList[Employee Name],0),MATCH("Dept",TeamList[#Headers],0)),"")</f>
        <v>Lead Billing</v>
      </c>
      <c r="D43" s="181" t="str">
        <f t="shared" ca="1" si="4"/>
        <v/>
      </c>
      <c r="E43" s="182" t="str">
        <f t="shared" ca="1" si="4"/>
        <v/>
      </c>
      <c r="F43" s="182" t="str">
        <f t="shared" ca="1" si="4"/>
        <v/>
      </c>
      <c r="G43" s="182" t="str">
        <f t="shared" ca="1" si="4"/>
        <v/>
      </c>
      <c r="H43" s="182" t="str">
        <f t="shared" ca="1" si="4"/>
        <v>ADM</v>
      </c>
      <c r="I43" s="183" t="str">
        <f t="shared" ca="1" si="4"/>
        <v>ADM</v>
      </c>
      <c r="J43" s="132" t="b">
        <f t="shared" ca="1" si="3"/>
        <v>0</v>
      </c>
    </row>
    <row r="44" spans="1:15" ht="15.75" hidden="1" thickBot="1" x14ac:dyDescent="0.3">
      <c r="A44" s="126">
        <v>38</v>
      </c>
      <c r="B44" s="133" t="str">
        <f t="shared" ca="1" si="1"/>
        <v/>
      </c>
      <c r="C44" s="134" t="str">
        <f ca="1">IFERROR(INDEX(TeamList[],MATCH(RTA!$B44,TeamList[Employee Name],0),MATCH("Dept",TeamList[#Headers],0)),"")</f>
        <v/>
      </c>
      <c r="D44" s="181" t="str">
        <f t="shared" ca="1" si="4"/>
        <v/>
      </c>
      <c r="E44" s="182" t="str">
        <f t="shared" ca="1" si="4"/>
        <v/>
      </c>
      <c r="F44" s="182" t="str">
        <f t="shared" ca="1" si="4"/>
        <v/>
      </c>
      <c r="G44" s="182" t="str">
        <f t="shared" ca="1" si="4"/>
        <v/>
      </c>
      <c r="H44" s="182" t="str">
        <f t="shared" ca="1" si="4"/>
        <v/>
      </c>
      <c r="I44" s="183" t="str">
        <f t="shared" ca="1" si="4"/>
        <v/>
      </c>
      <c r="J44" s="132" t="b">
        <f t="shared" ca="1" si="3"/>
        <v>1</v>
      </c>
    </row>
    <row r="45" spans="1:15" ht="15.75" hidden="1" thickBot="1" x14ac:dyDescent="0.3">
      <c r="A45" s="126">
        <v>39</v>
      </c>
      <c r="B45" s="133" t="str">
        <f t="shared" ca="1" si="1"/>
        <v/>
      </c>
      <c r="C45" s="134" t="str">
        <f ca="1">IFERROR(INDEX(TeamList[],MATCH(RTA!$B45,TeamList[Employee Name],0),MATCH("Dept",TeamList[#Headers],0)),"")</f>
        <v/>
      </c>
      <c r="D45" s="181" t="str">
        <f t="shared" ca="1" si="4"/>
        <v/>
      </c>
      <c r="E45" s="182" t="str">
        <f t="shared" ca="1" si="4"/>
        <v/>
      </c>
      <c r="F45" s="182" t="str">
        <f t="shared" ca="1" si="4"/>
        <v/>
      </c>
      <c r="G45" s="182" t="str">
        <f t="shared" ca="1" si="4"/>
        <v/>
      </c>
      <c r="H45" s="182" t="str">
        <f t="shared" ca="1" si="4"/>
        <v/>
      </c>
      <c r="I45" s="183" t="str">
        <f t="shared" ca="1" si="4"/>
        <v/>
      </c>
      <c r="J45" s="132" t="b">
        <f t="shared" ca="1" si="3"/>
        <v>1</v>
      </c>
    </row>
    <row r="46" spans="1:15" ht="15.75" hidden="1" thickBot="1" x14ac:dyDescent="0.3">
      <c r="A46" s="126">
        <v>40</v>
      </c>
      <c r="B46" s="133" t="str">
        <f t="shared" ca="1" si="1"/>
        <v/>
      </c>
      <c r="C46" s="134" t="str">
        <f ca="1">IFERROR(INDEX(TeamList[],MATCH(RTA!$B46,TeamList[Employee Name],0),MATCH("Dept",TeamList[#Headers],0)),"")</f>
        <v/>
      </c>
      <c r="D46" s="181" t="str">
        <f t="shared" ca="1" si="4"/>
        <v/>
      </c>
      <c r="E46" s="182" t="str">
        <f t="shared" ca="1" si="4"/>
        <v/>
      </c>
      <c r="F46" s="182" t="str">
        <f t="shared" ca="1" si="4"/>
        <v/>
      </c>
      <c r="G46" s="182" t="str">
        <f t="shared" ca="1" si="4"/>
        <v/>
      </c>
      <c r="H46" s="182" t="str">
        <f t="shared" ca="1" si="4"/>
        <v/>
      </c>
      <c r="I46" s="183" t="str">
        <f t="shared" ca="1" si="4"/>
        <v/>
      </c>
      <c r="J46" s="132" t="b">
        <f t="shared" ca="1" si="3"/>
        <v>1</v>
      </c>
    </row>
    <row r="47" spans="1:15" ht="15.75" hidden="1" thickBot="1" x14ac:dyDescent="0.3">
      <c r="A47" s="126">
        <v>41</v>
      </c>
      <c r="B47" s="133" t="str">
        <f t="shared" ca="1" si="1"/>
        <v/>
      </c>
      <c r="C47" s="134" t="str">
        <f ca="1">IFERROR(INDEX(TeamList[],MATCH(RTA!$B47,TeamList[Employee Name],0),MATCH("Dept",TeamList[#Headers],0)),"")</f>
        <v/>
      </c>
      <c r="D47" s="181" t="str">
        <f t="shared" ca="1" si="4"/>
        <v/>
      </c>
      <c r="E47" s="182" t="str">
        <f t="shared" ca="1" si="4"/>
        <v/>
      </c>
      <c r="F47" s="182" t="str">
        <f t="shared" ca="1" si="4"/>
        <v/>
      </c>
      <c r="G47" s="182" t="str">
        <f t="shared" ca="1" si="4"/>
        <v/>
      </c>
      <c r="H47" s="182" t="str">
        <f t="shared" ca="1" si="4"/>
        <v/>
      </c>
      <c r="I47" s="183" t="str">
        <f t="shared" ca="1" si="4"/>
        <v/>
      </c>
      <c r="J47" s="132" t="b">
        <f t="shared" ca="1" si="3"/>
        <v>1</v>
      </c>
    </row>
    <row r="48" spans="1:15" ht="15.75" hidden="1" thickBot="1" x14ac:dyDescent="0.3">
      <c r="A48" s="126">
        <v>42</v>
      </c>
      <c r="B48" s="133" t="str">
        <f t="shared" ca="1" si="1"/>
        <v/>
      </c>
      <c r="C48" s="134" t="str">
        <f ca="1">IFERROR(INDEX(TeamList[],MATCH(RTA!$B48,TeamList[Employee Name],0),MATCH("Dept",TeamList[#Headers],0)),"")</f>
        <v/>
      </c>
      <c r="D48" s="181" t="str">
        <f t="shared" ca="1" si="4"/>
        <v/>
      </c>
      <c r="E48" s="182" t="str">
        <f t="shared" ca="1" si="4"/>
        <v/>
      </c>
      <c r="F48" s="182" t="str">
        <f t="shared" ca="1" si="4"/>
        <v/>
      </c>
      <c r="G48" s="182" t="str">
        <f t="shared" ca="1" si="4"/>
        <v/>
      </c>
      <c r="H48" s="182" t="str">
        <f t="shared" ca="1" si="4"/>
        <v/>
      </c>
      <c r="I48" s="183" t="str">
        <f t="shared" ca="1" si="4"/>
        <v/>
      </c>
      <c r="J48" s="132" t="b">
        <f t="shared" ca="1" si="3"/>
        <v>1</v>
      </c>
    </row>
    <row r="49" spans="1:10" ht="15.75" hidden="1" thickBot="1" x14ac:dyDescent="0.3">
      <c r="A49" s="126">
        <v>43</v>
      </c>
      <c r="B49" s="133" t="str">
        <f t="shared" ca="1" si="1"/>
        <v/>
      </c>
      <c r="C49" s="134" t="str">
        <f ca="1">IFERROR(INDEX(TeamList[],MATCH(RTA!$B49,TeamList[Employee Name],0),MATCH("Dept",TeamList[#Headers],0)),"")</f>
        <v/>
      </c>
      <c r="D49" s="181" t="str">
        <f t="shared" ca="1" si="4"/>
        <v/>
      </c>
      <c r="E49" s="182" t="str">
        <f t="shared" ca="1" si="4"/>
        <v/>
      </c>
      <c r="F49" s="182" t="str">
        <f t="shared" ca="1" si="4"/>
        <v/>
      </c>
      <c r="G49" s="182" t="str">
        <f t="shared" ca="1" si="4"/>
        <v/>
      </c>
      <c r="H49" s="182" t="str">
        <f t="shared" ca="1" si="4"/>
        <v/>
      </c>
      <c r="I49" s="183" t="str">
        <f t="shared" ca="1" si="4"/>
        <v/>
      </c>
      <c r="J49" s="132" t="b">
        <f t="shared" ca="1" si="3"/>
        <v>1</v>
      </c>
    </row>
    <row r="50" spans="1:10" ht="15.75" hidden="1" thickBot="1" x14ac:dyDescent="0.3">
      <c r="A50" s="126">
        <v>44</v>
      </c>
      <c r="B50" s="133" t="str">
        <f t="shared" ca="1" si="1"/>
        <v/>
      </c>
      <c r="C50" s="134" t="str">
        <f ca="1">IFERROR(INDEX(TeamList[],MATCH(RTA!$B50,TeamList[Employee Name],0),MATCH("Dept",TeamList[#Headers],0)),"")</f>
        <v/>
      </c>
      <c r="D50" s="181" t="str">
        <f t="shared" ca="1" si="4"/>
        <v/>
      </c>
      <c r="E50" s="182" t="str">
        <f t="shared" ca="1" si="4"/>
        <v/>
      </c>
      <c r="F50" s="182" t="str">
        <f t="shared" ca="1" si="4"/>
        <v/>
      </c>
      <c r="G50" s="182" t="str">
        <f t="shared" ca="1" si="4"/>
        <v/>
      </c>
      <c r="H50" s="182" t="str">
        <f t="shared" ca="1" si="4"/>
        <v/>
      </c>
      <c r="I50" s="183" t="str">
        <f t="shared" ca="1" si="4"/>
        <v/>
      </c>
      <c r="J50" s="132" t="b">
        <f t="shared" ca="1" si="3"/>
        <v>1</v>
      </c>
    </row>
    <row r="51" spans="1:10" ht="15.75" hidden="1" thickBot="1" x14ac:dyDescent="0.3">
      <c r="A51" s="126">
        <v>45</v>
      </c>
      <c r="B51" s="133" t="str">
        <f t="shared" ca="1" si="1"/>
        <v/>
      </c>
      <c r="C51" s="134" t="str">
        <f ca="1">IFERROR(INDEX(TeamList[],MATCH(RTA!$B51,TeamList[Employee Name],0),MATCH("Dept",TeamList[#Headers],0)),"")</f>
        <v/>
      </c>
      <c r="D51" s="181" t="str">
        <f t="shared" ca="1" si="4"/>
        <v/>
      </c>
      <c r="E51" s="182" t="str">
        <f t="shared" ca="1" si="4"/>
        <v/>
      </c>
      <c r="F51" s="182" t="str">
        <f t="shared" ca="1" si="4"/>
        <v/>
      </c>
      <c r="G51" s="182" t="str">
        <f t="shared" ca="1" si="4"/>
        <v/>
      </c>
      <c r="H51" s="182" t="str">
        <f t="shared" ca="1" si="4"/>
        <v/>
      </c>
      <c r="I51" s="183" t="str">
        <f t="shared" ca="1" si="4"/>
        <v/>
      </c>
      <c r="J51" s="132" t="b">
        <f t="shared" ca="1" si="3"/>
        <v>1</v>
      </c>
    </row>
    <row r="52" spans="1:10" ht="15.75" hidden="1" thickBot="1" x14ac:dyDescent="0.3">
      <c r="A52" s="126">
        <v>46</v>
      </c>
      <c r="B52" s="133" t="str">
        <f t="shared" ca="1" si="1"/>
        <v/>
      </c>
      <c r="C52" s="134" t="str">
        <f ca="1">IFERROR(INDEX(TeamList[],MATCH(RTA!$B52,TeamList[Employee Name],0),MATCH("Dept",TeamList[#Headers],0)),"")</f>
        <v/>
      </c>
      <c r="D52" s="181" t="str">
        <f t="shared" ca="1" si="4"/>
        <v/>
      </c>
      <c r="E52" s="182" t="str">
        <f t="shared" ca="1" si="4"/>
        <v/>
      </c>
      <c r="F52" s="182" t="str">
        <f t="shared" ca="1" si="4"/>
        <v/>
      </c>
      <c r="G52" s="182" t="str">
        <f t="shared" ca="1" si="4"/>
        <v/>
      </c>
      <c r="H52" s="182" t="str">
        <f t="shared" ca="1" si="4"/>
        <v/>
      </c>
      <c r="I52" s="183" t="str">
        <f t="shared" ca="1" si="4"/>
        <v/>
      </c>
      <c r="J52" s="132" t="b">
        <f t="shared" ca="1" si="3"/>
        <v>1</v>
      </c>
    </row>
    <row r="53" spans="1:10" ht="15.75" hidden="1" thickBot="1" x14ac:dyDescent="0.3">
      <c r="A53" s="126">
        <v>47</v>
      </c>
      <c r="B53" s="133" t="str">
        <f t="shared" ca="1" si="1"/>
        <v/>
      </c>
      <c r="C53" s="134" t="str">
        <f ca="1">IFERROR(INDEX(TeamList[],MATCH(RTA!$B53,TeamList[Employee Name],0),MATCH("Dept",TeamList[#Headers],0)),"")</f>
        <v/>
      </c>
      <c r="D53" s="181" t="str">
        <f t="shared" ca="1" si="4"/>
        <v/>
      </c>
      <c r="E53" s="182" t="str">
        <f t="shared" ca="1" si="4"/>
        <v/>
      </c>
      <c r="F53" s="182" t="str">
        <f t="shared" ca="1" si="4"/>
        <v/>
      </c>
      <c r="G53" s="182" t="str">
        <f t="shared" ca="1" si="4"/>
        <v/>
      </c>
      <c r="H53" s="182" t="str">
        <f t="shared" ca="1" si="4"/>
        <v/>
      </c>
      <c r="I53" s="183" t="str">
        <f t="shared" ca="1" si="4"/>
        <v/>
      </c>
      <c r="J53" s="132" t="b">
        <f t="shared" ca="1" si="3"/>
        <v>1</v>
      </c>
    </row>
    <row r="54" spans="1:10" ht="15.75" hidden="1" thickBot="1" x14ac:dyDescent="0.3">
      <c r="A54" s="126">
        <v>48</v>
      </c>
      <c r="B54" s="133" t="str">
        <f t="shared" ca="1" si="1"/>
        <v/>
      </c>
      <c r="C54" s="134" t="str">
        <f ca="1">IFERROR(INDEX(TeamList[],MATCH(RTA!$B54,TeamList[Employee Name],0),MATCH("Dept",TeamList[#Headers],0)),"")</f>
        <v/>
      </c>
      <c r="D54" s="181" t="str">
        <f t="shared" ca="1" si="4"/>
        <v/>
      </c>
      <c r="E54" s="182" t="str">
        <f t="shared" ca="1" si="4"/>
        <v/>
      </c>
      <c r="F54" s="182" t="str">
        <f t="shared" ca="1" si="4"/>
        <v/>
      </c>
      <c r="G54" s="182" t="str">
        <f t="shared" ca="1" si="4"/>
        <v/>
      </c>
      <c r="H54" s="182" t="str">
        <f t="shared" ca="1" si="4"/>
        <v/>
      </c>
      <c r="I54" s="183" t="str">
        <f t="shared" ca="1" si="4"/>
        <v/>
      </c>
      <c r="J54" s="132" t="b">
        <f t="shared" ca="1" si="3"/>
        <v>1</v>
      </c>
    </row>
    <row r="55" spans="1:10" ht="15.75" hidden="1" thickBot="1" x14ac:dyDescent="0.3">
      <c r="A55" s="126">
        <v>49</v>
      </c>
      <c r="B55" s="133" t="str">
        <f t="shared" ca="1" si="1"/>
        <v/>
      </c>
      <c r="C55" s="134" t="str">
        <f ca="1">IFERROR(INDEX(TeamList[],MATCH(RTA!$B55,TeamList[Employee Name],0),MATCH("Dept",TeamList[#Headers],0)),"")</f>
        <v/>
      </c>
      <c r="D55" s="181" t="str">
        <f t="shared" ca="1" si="4"/>
        <v/>
      </c>
      <c r="E55" s="182" t="str">
        <f t="shared" ca="1" si="4"/>
        <v/>
      </c>
      <c r="F55" s="182" t="str">
        <f t="shared" ca="1" si="4"/>
        <v/>
      </c>
      <c r="G55" s="182" t="str">
        <f t="shared" ca="1" si="4"/>
        <v/>
      </c>
      <c r="H55" s="182" t="str">
        <f t="shared" ca="1" si="4"/>
        <v/>
      </c>
      <c r="I55" s="183" t="str">
        <f t="shared" ca="1" si="4"/>
        <v/>
      </c>
      <c r="J55" s="132" t="b">
        <f t="shared" ca="1" si="3"/>
        <v>1</v>
      </c>
    </row>
    <row r="56" spans="1:10" ht="15.75" hidden="1" thickBot="1" x14ac:dyDescent="0.3">
      <c r="A56" s="126">
        <v>50</v>
      </c>
      <c r="B56" s="133" t="str">
        <f t="shared" ca="1" si="1"/>
        <v/>
      </c>
      <c r="C56" s="134" t="str">
        <f ca="1">IFERROR(INDEX(TeamList[],MATCH(RTA!$B56,TeamList[Employee Name],0),MATCH("Dept",TeamList[#Headers],0)),"")</f>
        <v/>
      </c>
      <c r="D56" s="181" t="str">
        <f t="shared" ca="1" si="4"/>
        <v/>
      </c>
      <c r="E56" s="182" t="str">
        <f t="shared" ca="1" si="4"/>
        <v/>
      </c>
      <c r="F56" s="182" t="str">
        <f t="shared" ca="1" si="4"/>
        <v/>
      </c>
      <c r="G56" s="182" t="str">
        <f t="shared" ca="1" si="4"/>
        <v/>
      </c>
      <c r="H56" s="182" t="str">
        <f t="shared" ca="1" si="4"/>
        <v/>
      </c>
      <c r="I56" s="183" t="str">
        <f t="shared" ca="1" si="4"/>
        <v/>
      </c>
      <c r="J56" s="132" t="b">
        <f t="shared" ca="1" si="3"/>
        <v>1</v>
      </c>
    </row>
    <row r="57" spans="1:10" ht="15.75" hidden="1" thickBot="1" x14ac:dyDescent="0.3">
      <c r="A57" s="126">
        <v>51</v>
      </c>
      <c r="B57" s="133" t="str">
        <f t="shared" ca="1" si="1"/>
        <v/>
      </c>
      <c r="C57" s="134" t="str">
        <f ca="1">IFERROR(INDEX(TeamList[],MATCH(RTA!$B57,TeamList[Employee Name],0),MATCH("Dept",TeamList[#Headers],0)),"")</f>
        <v/>
      </c>
      <c r="D57" s="181" t="str">
        <f t="shared" ca="1" si="4"/>
        <v/>
      </c>
      <c r="E57" s="182" t="str">
        <f t="shared" ca="1" si="4"/>
        <v/>
      </c>
      <c r="F57" s="182" t="str">
        <f t="shared" ca="1" si="4"/>
        <v/>
      </c>
      <c r="G57" s="182" t="str">
        <f t="shared" ca="1" si="4"/>
        <v/>
      </c>
      <c r="H57" s="182" t="str">
        <f t="shared" ca="1" si="4"/>
        <v/>
      </c>
      <c r="I57" s="183" t="str">
        <f t="shared" ca="1" si="4"/>
        <v/>
      </c>
      <c r="J57" s="132" t="b">
        <f t="shared" ca="1" si="3"/>
        <v>1</v>
      </c>
    </row>
    <row r="58" spans="1:10" ht="15.75" hidden="1" thickBot="1" x14ac:dyDescent="0.3">
      <c r="A58" s="126">
        <v>52</v>
      </c>
      <c r="B58" s="133" t="str">
        <f t="shared" ca="1" si="1"/>
        <v/>
      </c>
      <c r="C58" s="134" t="str">
        <f ca="1">IFERROR(INDEX(TeamList[],MATCH(RTA!$B58,TeamList[Employee Name],0),MATCH("Dept",TeamList[#Headers],0)),"")</f>
        <v/>
      </c>
      <c r="D58" s="181" t="str">
        <f t="shared" ca="1" si="4"/>
        <v/>
      </c>
      <c r="E58" s="182" t="str">
        <f t="shared" ca="1" si="4"/>
        <v/>
      </c>
      <c r="F58" s="182" t="str">
        <f t="shared" ca="1" si="4"/>
        <v/>
      </c>
      <c r="G58" s="182" t="str">
        <f t="shared" ca="1" si="4"/>
        <v/>
      </c>
      <c r="H58" s="182" t="str">
        <f t="shared" ca="1" si="4"/>
        <v/>
      </c>
      <c r="I58" s="183" t="str">
        <f t="shared" ca="1" si="4"/>
        <v/>
      </c>
      <c r="J58" s="132" t="b">
        <f t="shared" ca="1" si="3"/>
        <v>1</v>
      </c>
    </row>
    <row r="59" spans="1:10" ht="15.75" hidden="1" thickBot="1" x14ac:dyDescent="0.3">
      <c r="A59" s="126">
        <v>53</v>
      </c>
      <c r="B59" s="133" t="str">
        <f t="shared" ca="1" si="1"/>
        <v/>
      </c>
      <c r="C59" s="134" t="str">
        <f ca="1">IFERROR(INDEX(TeamList[],MATCH(RTA!$B59,TeamList[Employee Name],0),MATCH("Dept",TeamList[#Headers],0)),"")</f>
        <v/>
      </c>
      <c r="D59" s="181" t="str">
        <f t="shared" ca="1" si="4"/>
        <v/>
      </c>
      <c r="E59" s="182" t="str">
        <f t="shared" ca="1" si="4"/>
        <v/>
      </c>
      <c r="F59" s="182" t="str">
        <f t="shared" ca="1" si="4"/>
        <v/>
      </c>
      <c r="G59" s="182" t="str">
        <f t="shared" ca="1" si="4"/>
        <v/>
      </c>
      <c r="H59" s="182" t="str">
        <f t="shared" ca="1" si="4"/>
        <v/>
      </c>
      <c r="I59" s="183" t="str">
        <f t="shared" ca="1" si="4"/>
        <v/>
      </c>
      <c r="J59" s="132" t="b">
        <f t="shared" ca="1" si="3"/>
        <v>1</v>
      </c>
    </row>
    <row r="60" spans="1:10" ht="15.75" hidden="1" thickBot="1" x14ac:dyDescent="0.3">
      <c r="A60" s="126">
        <v>54</v>
      </c>
      <c r="B60" s="133" t="str">
        <f t="shared" ca="1" si="1"/>
        <v/>
      </c>
      <c r="C60" s="134" t="str">
        <f ca="1">IFERROR(INDEX(TeamList[],MATCH(RTA!$B60,TeamList[Employee Name],0),MATCH("Dept",TeamList[#Headers],0)),"")</f>
        <v/>
      </c>
      <c r="D60" s="181" t="str">
        <f t="shared" ca="1" si="4"/>
        <v/>
      </c>
      <c r="E60" s="182" t="str">
        <f t="shared" ca="1" si="4"/>
        <v/>
      </c>
      <c r="F60" s="182" t="str">
        <f t="shared" ca="1" si="4"/>
        <v/>
      </c>
      <c r="G60" s="182" t="str">
        <f t="shared" ca="1" si="4"/>
        <v/>
      </c>
      <c r="H60" s="182" t="str">
        <f t="shared" ca="1" si="4"/>
        <v/>
      </c>
      <c r="I60" s="183" t="str">
        <f t="shared" ca="1" si="4"/>
        <v/>
      </c>
      <c r="J60" s="132" t="b">
        <f t="shared" ca="1" si="3"/>
        <v>1</v>
      </c>
    </row>
    <row r="61" spans="1:10" ht="15.75" hidden="1" thickBot="1" x14ac:dyDescent="0.3">
      <c r="A61" s="126">
        <v>55</v>
      </c>
      <c r="B61" s="133" t="str">
        <f t="shared" ca="1" si="1"/>
        <v/>
      </c>
      <c r="C61" s="134" t="str">
        <f ca="1">IFERROR(INDEX(TeamList[],MATCH(RTA!$B61,TeamList[Employee Name],0),MATCH("Dept",TeamList[#Headers],0)),"")</f>
        <v/>
      </c>
      <c r="D61" s="181" t="str">
        <f t="shared" ca="1" si="4"/>
        <v/>
      </c>
      <c r="E61" s="182" t="str">
        <f t="shared" ca="1" si="4"/>
        <v/>
      </c>
      <c r="F61" s="182" t="str">
        <f t="shared" ca="1" si="4"/>
        <v/>
      </c>
      <c r="G61" s="182" t="str">
        <f t="shared" ca="1" si="4"/>
        <v/>
      </c>
      <c r="H61" s="182" t="str">
        <f t="shared" ca="1" si="4"/>
        <v/>
      </c>
      <c r="I61" s="183" t="str">
        <f t="shared" ca="1" si="4"/>
        <v/>
      </c>
      <c r="J61" s="132" t="b">
        <f t="shared" ca="1" si="3"/>
        <v>1</v>
      </c>
    </row>
    <row r="62" spans="1:10" ht="15.75" hidden="1" thickBot="1" x14ac:dyDescent="0.3">
      <c r="A62" s="126">
        <v>56</v>
      </c>
      <c r="B62" s="133" t="str">
        <f t="shared" ca="1" si="1"/>
        <v/>
      </c>
      <c r="C62" s="134" t="str">
        <f ca="1">IFERROR(INDEX(TeamList[],MATCH(RTA!$B62,TeamList[Employee Name],0),MATCH("Dept",TeamList[#Headers],0)),"")</f>
        <v/>
      </c>
      <c r="D62" s="181" t="str">
        <f t="shared" ca="1" si="4"/>
        <v/>
      </c>
      <c r="E62" s="182" t="str">
        <f t="shared" ca="1" si="4"/>
        <v/>
      </c>
      <c r="F62" s="182" t="str">
        <f t="shared" ca="1" si="4"/>
        <v/>
      </c>
      <c r="G62" s="182" t="str">
        <f t="shared" ca="1" si="4"/>
        <v/>
      </c>
      <c r="H62" s="182" t="str">
        <f t="shared" ca="1" si="4"/>
        <v/>
      </c>
      <c r="I62" s="183" t="str">
        <f t="shared" ca="1" si="4"/>
        <v/>
      </c>
      <c r="J62" s="132" t="b">
        <f t="shared" ca="1" si="3"/>
        <v>1</v>
      </c>
    </row>
    <row r="63" spans="1:10" ht="15.75" hidden="1" thickBot="1" x14ac:dyDescent="0.3">
      <c r="A63" s="126">
        <v>57</v>
      </c>
      <c r="B63" s="133" t="str">
        <f t="shared" ca="1" si="1"/>
        <v/>
      </c>
      <c r="C63" s="134" t="str">
        <f ca="1">IFERROR(INDEX(TeamList[],MATCH(RTA!$B63,TeamList[Employee Name],0),MATCH("Dept",TeamList[#Headers],0)),"")</f>
        <v/>
      </c>
      <c r="D63" s="181" t="str">
        <f t="shared" ca="1" si="4"/>
        <v/>
      </c>
      <c r="E63" s="182" t="str">
        <f t="shared" ca="1" si="4"/>
        <v/>
      </c>
      <c r="F63" s="182" t="str">
        <f t="shared" ca="1" si="4"/>
        <v/>
      </c>
      <c r="G63" s="182" t="str">
        <f t="shared" ca="1" si="4"/>
        <v/>
      </c>
      <c r="H63" s="182" t="str">
        <f t="shared" ca="1" si="4"/>
        <v/>
      </c>
      <c r="I63" s="183" t="str">
        <f t="shared" ca="1" si="4"/>
        <v/>
      </c>
      <c r="J63" s="132" t="b">
        <f t="shared" ca="1" si="3"/>
        <v>1</v>
      </c>
    </row>
    <row r="64" spans="1:10" ht="15.75" hidden="1" thickBot="1" x14ac:dyDescent="0.3">
      <c r="A64" s="126">
        <v>58</v>
      </c>
      <c r="B64" s="133" t="str">
        <f t="shared" ca="1" si="1"/>
        <v/>
      </c>
      <c r="C64" s="134" t="str">
        <f ca="1">IFERROR(INDEX(TeamList[],MATCH(RTA!$B64,TeamList[Employee Name],0),MATCH("Dept",TeamList[#Headers],0)),"")</f>
        <v/>
      </c>
      <c r="D64" s="181" t="str">
        <f t="shared" ca="1" si="4"/>
        <v/>
      </c>
      <c r="E64" s="182" t="str">
        <f t="shared" ca="1" si="4"/>
        <v/>
      </c>
      <c r="F64" s="182" t="str">
        <f t="shared" ca="1" si="4"/>
        <v/>
      </c>
      <c r="G64" s="182" t="str">
        <f t="shared" ca="1" si="4"/>
        <v/>
      </c>
      <c r="H64" s="182" t="str">
        <f t="shared" ca="1" si="4"/>
        <v/>
      </c>
      <c r="I64" s="183" t="str">
        <f t="shared" ca="1" si="4"/>
        <v/>
      </c>
      <c r="J64" s="132" t="b">
        <f t="shared" ca="1" si="3"/>
        <v>1</v>
      </c>
    </row>
    <row r="65" spans="1:15" ht="15.75" hidden="1" thickBot="1" x14ac:dyDescent="0.3">
      <c r="A65" s="126">
        <v>59</v>
      </c>
      <c r="B65" s="133" t="str">
        <f t="shared" ca="1" si="1"/>
        <v/>
      </c>
      <c r="C65" s="134" t="str">
        <f ca="1">IFERROR(INDEX(TeamList[],MATCH(RTA!$B65,TeamList[Employee Name],0),MATCH("Dept",TeamList[#Headers],0)),"")</f>
        <v/>
      </c>
      <c r="D65" s="181" t="str">
        <f t="shared" ca="1" si="4"/>
        <v/>
      </c>
      <c r="E65" s="182" t="str">
        <f t="shared" ca="1" si="4"/>
        <v/>
      </c>
      <c r="F65" s="182" t="str">
        <f t="shared" ca="1" si="4"/>
        <v/>
      </c>
      <c r="G65" s="182" t="str">
        <f t="shared" ca="1" si="4"/>
        <v/>
      </c>
      <c r="H65" s="182" t="str">
        <f t="shared" ca="1" si="4"/>
        <v/>
      </c>
      <c r="I65" s="183" t="str">
        <f t="shared" ca="1" si="4"/>
        <v/>
      </c>
      <c r="J65" s="132" t="b">
        <f t="shared" ca="1" si="3"/>
        <v>1</v>
      </c>
    </row>
    <row r="66" spans="1:15" ht="15.75" hidden="1" thickBot="1" x14ac:dyDescent="0.3">
      <c r="A66" s="126">
        <v>60</v>
      </c>
      <c r="B66" s="133" t="str">
        <f t="shared" ca="1" si="1"/>
        <v/>
      </c>
      <c r="C66" s="134" t="str">
        <f ca="1">IFERROR(INDEX(TeamList[],MATCH(RTA!$B66,TeamList[Employee Name],0),MATCH("Dept",TeamList[#Headers],0)),"")</f>
        <v/>
      </c>
      <c r="D66" s="181" t="str">
        <f t="shared" ca="1" si="4"/>
        <v/>
      </c>
      <c r="E66" s="182" t="str">
        <f t="shared" ca="1" si="4"/>
        <v/>
      </c>
      <c r="F66" s="182" t="str">
        <f t="shared" ca="1" si="4"/>
        <v/>
      </c>
      <c r="G66" s="182" t="str">
        <f t="shared" ca="1" si="4"/>
        <v/>
      </c>
      <c r="H66" s="182" t="str">
        <f t="shared" ca="1" si="4"/>
        <v/>
      </c>
      <c r="I66" s="183" t="str">
        <f t="shared" ca="1" si="4"/>
        <v/>
      </c>
      <c r="J66" s="132" t="b">
        <f t="shared" ca="1" si="3"/>
        <v>1</v>
      </c>
    </row>
    <row r="67" spans="1:15" ht="15.75" hidden="1" thickBot="1" x14ac:dyDescent="0.3">
      <c r="A67" s="126">
        <v>61</v>
      </c>
      <c r="B67" s="133" t="str">
        <f t="shared" ca="1" si="1"/>
        <v/>
      </c>
      <c r="C67" s="134" t="str">
        <f ca="1">IFERROR(INDEX(TeamList[],MATCH(RTA!$B67,TeamList[Employee Name],0),MATCH("Dept",TeamList[#Headers],0)),"")</f>
        <v/>
      </c>
      <c r="D67" s="181" t="str">
        <f t="shared" ca="1" si="4"/>
        <v/>
      </c>
      <c r="E67" s="182" t="str">
        <f t="shared" ca="1" si="4"/>
        <v/>
      </c>
      <c r="F67" s="182" t="str">
        <f t="shared" ca="1" si="4"/>
        <v/>
      </c>
      <c r="G67" s="182" t="str">
        <f t="shared" ca="1" si="4"/>
        <v/>
      </c>
      <c r="H67" s="182" t="str">
        <f t="shared" ca="1" si="4"/>
        <v/>
      </c>
      <c r="I67" s="183" t="str">
        <f t="shared" ca="1" si="4"/>
        <v/>
      </c>
      <c r="J67" s="132" t="b">
        <f t="shared" ca="1" si="3"/>
        <v>1</v>
      </c>
    </row>
    <row r="68" spans="1:15" ht="15.75" hidden="1" thickBot="1" x14ac:dyDescent="0.3">
      <c r="A68" s="126">
        <v>62</v>
      </c>
      <c r="B68" s="133" t="str">
        <f t="shared" ca="1" si="1"/>
        <v/>
      </c>
      <c r="C68" s="134" t="str">
        <f ca="1">IFERROR(INDEX(TeamList[],MATCH(RTA!$B68,TeamList[Employee Name],0),MATCH("Dept",TeamList[#Headers],0)),"")</f>
        <v/>
      </c>
      <c r="D68" s="181" t="str">
        <f t="shared" ca="1" si="4"/>
        <v/>
      </c>
      <c r="E68" s="182" t="str">
        <f t="shared" ca="1" si="4"/>
        <v/>
      </c>
      <c r="F68" s="182" t="str">
        <f t="shared" ca="1" si="4"/>
        <v/>
      </c>
      <c r="G68" s="182" t="str">
        <f t="shared" ca="1" si="4"/>
        <v/>
      </c>
      <c r="H68" s="182" t="str">
        <f t="shared" ca="1" si="4"/>
        <v/>
      </c>
      <c r="I68" s="183" t="str">
        <f t="shared" ca="1" si="4"/>
        <v/>
      </c>
      <c r="J68" s="132" t="b">
        <f t="shared" ca="1" si="3"/>
        <v>1</v>
      </c>
    </row>
    <row r="69" spans="1:15" ht="15.75" hidden="1" thickBot="1" x14ac:dyDescent="0.3">
      <c r="A69" s="126">
        <v>63</v>
      </c>
      <c r="B69" s="133" t="str">
        <f t="shared" ca="1" si="1"/>
        <v/>
      </c>
      <c r="C69" s="134" t="str">
        <f ca="1">IFERROR(INDEX(TeamList[],MATCH(RTA!$B69,TeamList[Employee Name],0),MATCH("Dept",TeamList[#Headers],0)),"")</f>
        <v/>
      </c>
      <c r="D69" s="181" t="str">
        <f t="shared" ca="1" si="4"/>
        <v/>
      </c>
      <c r="E69" s="182" t="str">
        <f t="shared" ca="1" si="4"/>
        <v/>
      </c>
      <c r="F69" s="182" t="str">
        <f t="shared" ca="1" si="4"/>
        <v/>
      </c>
      <c r="G69" s="182" t="str">
        <f t="shared" ca="1" si="4"/>
        <v/>
      </c>
      <c r="H69" s="182" t="str">
        <f t="shared" ca="1" si="4"/>
        <v/>
      </c>
      <c r="I69" s="183" t="str">
        <f t="shared" ca="1" si="4"/>
        <v/>
      </c>
      <c r="J69" s="132" t="b">
        <f t="shared" ca="1" si="3"/>
        <v>1</v>
      </c>
    </row>
    <row r="70" spans="1:15" ht="15.75" hidden="1" thickBot="1" x14ac:dyDescent="0.3">
      <c r="A70" s="126">
        <v>64</v>
      </c>
      <c r="B70" s="133" t="str">
        <f t="shared" ca="1" si="1"/>
        <v/>
      </c>
      <c r="C70" s="134" t="str">
        <f ca="1">IFERROR(INDEX(TeamList[],MATCH(RTA!$B70,TeamList[Employee Name],0),MATCH("Dept",TeamList[#Headers],0)),"")</f>
        <v/>
      </c>
      <c r="D70" s="181" t="str">
        <f t="shared" ca="1" si="4"/>
        <v/>
      </c>
      <c r="E70" s="182" t="str">
        <f t="shared" ca="1" si="4"/>
        <v/>
      </c>
      <c r="F70" s="182" t="str">
        <f t="shared" ca="1" si="4"/>
        <v/>
      </c>
      <c r="G70" s="182" t="str">
        <f t="shared" ca="1" si="4"/>
        <v/>
      </c>
      <c r="H70" s="182" t="str">
        <f t="shared" ca="1" si="4"/>
        <v/>
      </c>
      <c r="I70" s="183" t="str">
        <f t="shared" ca="1" si="4"/>
        <v/>
      </c>
      <c r="J70" s="132" t="b">
        <f t="shared" ca="1" si="3"/>
        <v>1</v>
      </c>
    </row>
    <row r="71" spans="1:15" ht="15.75" hidden="1" thickBot="1" x14ac:dyDescent="0.3">
      <c r="A71" s="126">
        <v>65</v>
      </c>
      <c r="B71" s="133" t="str">
        <f t="shared" ca="1" si="1"/>
        <v/>
      </c>
      <c r="C71" s="134" t="str">
        <f ca="1">IFERROR(INDEX(TeamList[],MATCH(RTA!$B71,TeamList[Employee Name],0),MATCH("Dept",TeamList[#Headers],0)),"")</f>
        <v/>
      </c>
      <c r="D71" s="181" t="str">
        <f t="shared" ca="1" si="4"/>
        <v/>
      </c>
      <c r="E71" s="182" t="str">
        <f t="shared" ca="1" si="4"/>
        <v/>
      </c>
      <c r="F71" s="182" t="str">
        <f t="shared" ca="1" si="4"/>
        <v/>
      </c>
      <c r="G71" s="182" t="str">
        <f t="shared" ca="1" si="4"/>
        <v/>
      </c>
      <c r="H71" s="182" t="str">
        <f t="shared" ca="1" si="4"/>
        <v/>
      </c>
      <c r="I71" s="183" t="str">
        <f t="shared" ca="1" si="4"/>
        <v/>
      </c>
      <c r="J71" s="132" t="b">
        <f t="shared" ca="1" si="3"/>
        <v>1</v>
      </c>
    </row>
    <row r="72" spans="1:15" ht="15.75" hidden="1" thickBot="1" x14ac:dyDescent="0.3">
      <c r="A72" s="126">
        <v>66</v>
      </c>
      <c r="B72" s="133" t="str">
        <f ca="1">IFERROR(IF(INDEX(INDIRECT($I$4),$A72,1)=0,"",INDEX(INDIRECT($I$4),$A72,1)),"")</f>
        <v/>
      </c>
      <c r="C72" s="134" t="str">
        <f ca="1">IFERROR(INDEX(TeamList[],MATCH(RTA!$B72,TeamList[Employee Name],0),MATCH("Dept",TeamList[#Headers],0)),"")</f>
        <v/>
      </c>
      <c r="D72" s="181" t="str">
        <f t="shared" ca="1" si="4"/>
        <v/>
      </c>
      <c r="E72" s="182" t="str">
        <f t="shared" ca="1" si="4"/>
        <v/>
      </c>
      <c r="F72" s="182" t="str">
        <f t="shared" ca="1" si="4"/>
        <v/>
      </c>
      <c r="G72" s="182" t="str">
        <f t="shared" ca="1" si="4"/>
        <v/>
      </c>
      <c r="H72" s="182" t="str">
        <f t="shared" ca="1" si="4"/>
        <v/>
      </c>
      <c r="I72" s="183" t="str">
        <f t="shared" ca="1" si="4"/>
        <v/>
      </c>
      <c r="J72" s="132" t="b">
        <f ca="1">IF(AND(OR(D72="",D72=0),OR(E72="",E72=0),OR(F72="",F72=0),OR(G72="",G72=0),OR(H72="",H72=0),OR(I72="",I72=0)),TRUE,FALSE)</f>
        <v>1</v>
      </c>
    </row>
    <row r="73" spans="1:15" ht="18.75" hidden="1" customHeight="1" x14ac:dyDescent="0.3">
      <c r="A73" s="421">
        <v>67</v>
      </c>
      <c r="B73" s="438" t="str">
        <f ca="1">IFERROR(IF(INDEX(INDIRECT($I$4),$A73,1)=0,"",INDEX(INDIRECT($I$4),$A73,1)),"")</f>
        <v/>
      </c>
      <c r="C73" s="439" t="str">
        <f ca="1">IFERROR(INDEX(TeamList[],MATCH(RTA!$B73,TeamList[Employee Name],0),MATCH("Dept",TeamList[#Headers],0)),"")</f>
        <v/>
      </c>
      <c r="D73" s="440" t="str">
        <f t="shared" ca="1" si="4"/>
        <v/>
      </c>
      <c r="E73" s="440" t="str">
        <f t="shared" ca="1" si="4"/>
        <v/>
      </c>
      <c r="F73" s="440" t="str">
        <f t="shared" ca="1" si="4"/>
        <v/>
      </c>
      <c r="G73" s="440" t="str">
        <f t="shared" ca="1" si="4"/>
        <v/>
      </c>
      <c r="H73" s="440" t="str">
        <f t="shared" ca="1" si="4"/>
        <v/>
      </c>
      <c r="I73" s="441" t="str">
        <f t="shared" ca="1" si="4"/>
        <v/>
      </c>
      <c r="J73" s="424" t="b">
        <f ca="1">IF(AND(OR(D73="",D73=0),OR(E73="",E73=0),OR(F73="",F73=0),OR(G73="",G73=0),OR(H73="",H73=0),OR(I73="",I73=0)),TRUE,FALSE)</f>
        <v>1</v>
      </c>
      <c r="K73" s="425"/>
      <c r="L73" s="419"/>
      <c r="M73" s="419"/>
      <c r="N73" s="419"/>
      <c r="O73" s="419"/>
    </row>
    <row r="74" spans="1:15" ht="18.75" hidden="1" customHeight="1" x14ac:dyDescent="0.3">
      <c r="A74" s="421">
        <v>68</v>
      </c>
      <c r="B74" s="438" t="str">
        <f ca="1">IFERROR(IF(INDEX(INDIRECT($I$4),$A74,1)=0,"",INDEX(INDIRECT($I$4),$A74,1)),"")</f>
        <v/>
      </c>
      <c r="C74" s="439" t="str">
        <f ca="1">IFERROR(INDEX(TeamList[],MATCH(RTA!$B74,TeamList[Employee Name],0),MATCH("Dept",TeamList[#Headers],0)),"")</f>
        <v/>
      </c>
      <c r="D74" s="440" t="str">
        <f t="shared" ca="1" si="4"/>
        <v/>
      </c>
      <c r="E74" s="440" t="str">
        <f t="shared" ca="1" si="4"/>
        <v/>
      </c>
      <c r="F74" s="440" t="str">
        <f t="shared" ca="1" si="4"/>
        <v/>
      </c>
      <c r="G74" s="440" t="str">
        <f t="shared" ca="1" si="4"/>
        <v/>
      </c>
      <c r="H74" s="440" t="str">
        <f t="shared" ca="1" si="4"/>
        <v/>
      </c>
      <c r="I74" s="441" t="str">
        <f t="shared" ca="1" si="4"/>
        <v/>
      </c>
      <c r="J74" s="424" t="b">
        <f ca="1">IF(AND(OR(D74="",D74=0),OR(E74="",E74=0),OR(F74="",F74=0),OR(G74="",G74=0),OR(H74="",H74=0),OR(I74="",I74=0)),TRUE,FALSE)</f>
        <v>1</v>
      </c>
      <c r="K74" s="425"/>
      <c r="L74" s="419"/>
      <c r="M74" s="419"/>
      <c r="N74" s="419"/>
      <c r="O74" s="419"/>
    </row>
    <row r="75" spans="1:15" ht="18.75" hidden="1" customHeight="1" x14ac:dyDescent="0.3">
      <c r="A75" s="421">
        <v>69</v>
      </c>
      <c r="B75" s="438" t="str">
        <f ca="1">IFERROR(IF(INDEX(INDIRECT($I$4),$A75,1)=0,"",INDEX(INDIRECT($I$4),$A75,1)),"")</f>
        <v/>
      </c>
      <c r="C75" s="439" t="str">
        <f ca="1">IFERROR(INDEX(TeamList[],MATCH(RTA!$B75,TeamList[Employee Name],0),MATCH("Dept",TeamList[#Headers],0)),"")</f>
        <v/>
      </c>
      <c r="D75" s="440" t="str">
        <f t="shared" ca="1" si="4"/>
        <v/>
      </c>
      <c r="E75" s="440" t="str">
        <f t="shared" ca="1" si="4"/>
        <v/>
      </c>
      <c r="F75" s="440" t="str">
        <f t="shared" ca="1" si="4"/>
        <v/>
      </c>
      <c r="G75" s="440" t="str">
        <f t="shared" ca="1" si="4"/>
        <v/>
      </c>
      <c r="H75" s="440" t="str">
        <f t="shared" ca="1" si="4"/>
        <v/>
      </c>
      <c r="I75" s="441" t="str">
        <f t="shared" ca="1" si="4"/>
        <v/>
      </c>
      <c r="J75" s="424" t="b">
        <f ca="1">IF(AND(OR(D75="",D75=0),OR(E75="",E75=0),OR(F75="",F75=0),OR(G75="",G75=0),OR(H75="",H75=0),OR(I75="",I75=0)),TRUE,FALSE)</f>
        <v>1</v>
      </c>
      <c r="K75" s="425"/>
      <c r="L75" s="419"/>
      <c r="M75" s="419"/>
      <c r="N75" s="419"/>
      <c r="O75" s="419"/>
    </row>
    <row r="76" spans="1:15" ht="18.75" hidden="1" customHeight="1" thickBot="1" x14ac:dyDescent="0.3">
      <c r="A76" s="421">
        <v>70</v>
      </c>
      <c r="B76" s="442" t="str">
        <f ca="1">IFERROR(IF(INDEX(INDIRECT($I$4),$A76,1)=0,"",INDEX(INDIRECT($I$4),$A76,1)),"")</f>
        <v/>
      </c>
      <c r="C76" s="443" t="str">
        <f ca="1">IFERROR(INDEX(TeamList[],MATCH(RTA!$B76,TeamList[Employee Name],0),MATCH("Dept",TeamList[#Headers],0)),"")</f>
        <v/>
      </c>
      <c r="D76" s="440" t="str">
        <f t="shared" ca="1" si="4"/>
        <v/>
      </c>
      <c r="E76" s="440" t="str">
        <f t="shared" ca="1" si="4"/>
        <v/>
      </c>
      <c r="F76" s="440" t="str">
        <f t="shared" ca="1" si="4"/>
        <v/>
      </c>
      <c r="G76" s="440" t="str">
        <f t="shared" ca="1" si="4"/>
        <v/>
      </c>
      <c r="H76" s="440" t="str">
        <f t="shared" ca="1" si="4"/>
        <v/>
      </c>
      <c r="I76" s="441" t="str">
        <f t="shared" ca="1" si="4"/>
        <v/>
      </c>
      <c r="J76" s="424" t="b">
        <f ca="1">IF(AND(OR(D76="",D76=0),OR(E76="",E76=0),OR(F76="",F76=0),OR(G76="",G76=0),OR(H76="",H76=0),OR(I76="",I76=0)),TRUE,FALSE)</f>
        <v>1</v>
      </c>
      <c r="K76" s="425"/>
      <c r="L76" s="419"/>
      <c r="M76" s="419"/>
      <c r="N76" s="419"/>
      <c r="O76" s="419"/>
    </row>
    <row r="77" spans="1:15" ht="14.25" customHeight="1" thickTop="1" x14ac:dyDescent="0.25">
      <c r="A77" s="418"/>
      <c r="B77" s="448"/>
      <c r="C77" s="448"/>
      <c r="D77" s="422"/>
      <c r="E77" s="427"/>
      <c r="F77" s="422"/>
      <c r="G77" s="422"/>
      <c r="H77" s="422"/>
      <c r="I77" s="422"/>
      <c r="K77" s="419"/>
      <c r="L77" s="419"/>
      <c r="M77" s="419"/>
      <c r="N77" s="419"/>
      <c r="O77" s="419"/>
    </row>
    <row r="78" spans="1:15" ht="11.25" customHeight="1" x14ac:dyDescent="0.25">
      <c r="A78" s="418"/>
      <c r="B78" s="419"/>
      <c r="C78" s="419"/>
      <c r="D78" s="419"/>
      <c r="E78" s="419"/>
      <c r="F78" s="419"/>
      <c r="G78" s="419"/>
      <c r="H78" s="419"/>
      <c r="I78" s="419"/>
      <c r="K78" s="419"/>
      <c r="L78" s="419"/>
      <c r="M78" s="419"/>
      <c r="N78" s="419"/>
      <c r="O78" s="419"/>
    </row>
    <row r="79" spans="1:15" x14ac:dyDescent="0.25">
      <c r="A79" s="418"/>
      <c r="B79" s="419"/>
      <c r="C79" s="419"/>
      <c r="D79" s="419"/>
      <c r="E79" s="419"/>
      <c r="F79" s="419"/>
      <c r="G79" s="419"/>
      <c r="H79" s="419"/>
      <c r="I79" s="419"/>
      <c r="K79" s="419"/>
      <c r="L79" s="419"/>
      <c r="M79" s="419"/>
      <c r="N79" s="419"/>
      <c r="O79" s="419"/>
    </row>
    <row r="80" spans="1:15" x14ac:dyDescent="0.25">
      <c r="A80" s="418"/>
      <c r="B80" s="419"/>
      <c r="C80" s="419"/>
      <c r="D80" s="419"/>
      <c r="E80" s="419"/>
      <c r="F80" s="419"/>
      <c r="G80" s="419"/>
      <c r="H80" s="419"/>
      <c r="I80" s="419"/>
      <c r="K80" s="419"/>
      <c r="L80" s="419"/>
      <c r="M80" s="419"/>
      <c r="N80" s="419"/>
      <c r="O80" s="419"/>
    </row>
    <row r="81" spans="1:15" x14ac:dyDescent="0.25">
      <c r="A81" s="418"/>
      <c r="B81" s="419"/>
      <c r="C81" s="419"/>
      <c r="D81" s="419"/>
      <c r="E81" s="419"/>
      <c r="F81" s="419"/>
      <c r="G81" s="419"/>
      <c r="H81" s="419"/>
      <c r="I81" s="419"/>
      <c r="K81" s="419"/>
      <c r="L81" s="419"/>
      <c r="M81" s="419"/>
      <c r="N81" s="419"/>
      <c r="O81" s="419"/>
    </row>
    <row r="82" spans="1:15" x14ac:dyDescent="0.25">
      <c r="A82" s="418"/>
      <c r="B82" s="419"/>
      <c r="C82" s="419"/>
      <c r="D82" s="419"/>
      <c r="E82" s="419"/>
      <c r="F82" s="419"/>
      <c r="G82" s="419"/>
      <c r="H82" s="419"/>
      <c r="I82" s="419"/>
      <c r="K82" s="419"/>
      <c r="L82" s="419"/>
      <c r="M82" s="419"/>
      <c r="N82" s="419"/>
      <c r="O82" s="419"/>
    </row>
    <row r="83" spans="1:15" x14ac:dyDescent="0.25">
      <c r="A83" s="418"/>
      <c r="B83" s="419"/>
      <c r="C83" s="419"/>
      <c r="D83" s="419"/>
      <c r="E83" s="419"/>
      <c r="F83" s="419"/>
      <c r="G83" s="419"/>
      <c r="H83" s="419"/>
      <c r="I83" s="419"/>
      <c r="K83" s="419"/>
      <c r="L83" s="419"/>
      <c r="M83" s="419"/>
      <c r="N83" s="419"/>
      <c r="O83" s="419"/>
    </row>
    <row r="84" spans="1:15" x14ac:dyDescent="0.25">
      <c r="A84" s="418"/>
      <c r="B84" s="419"/>
      <c r="C84" s="419"/>
      <c r="D84" s="419"/>
      <c r="E84" s="419"/>
      <c r="F84" s="419"/>
      <c r="G84" s="419"/>
      <c r="H84" s="419"/>
      <c r="I84" s="419"/>
      <c r="K84" s="419"/>
      <c r="L84" s="419"/>
      <c r="M84" s="419"/>
      <c r="N84" s="419"/>
      <c r="O84" s="419"/>
    </row>
    <row r="85" spans="1:15" x14ac:dyDescent="0.25">
      <c r="A85" s="418"/>
      <c r="B85" s="419"/>
      <c r="C85" s="419"/>
      <c r="D85" s="419"/>
      <c r="E85" s="419"/>
      <c r="F85" s="419"/>
      <c r="G85" s="419"/>
      <c r="H85" s="419"/>
      <c r="I85" s="419"/>
      <c r="K85" s="419"/>
      <c r="L85" s="419"/>
      <c r="M85" s="419"/>
      <c r="N85" s="419"/>
      <c r="O85" s="419"/>
    </row>
    <row r="86" spans="1:15" x14ac:dyDescent="0.25">
      <c r="A86" s="418"/>
      <c r="B86" s="419"/>
      <c r="C86" s="419"/>
      <c r="D86" s="419"/>
      <c r="E86" s="419"/>
      <c r="F86" s="419"/>
      <c r="G86" s="419"/>
      <c r="H86" s="419"/>
      <c r="I86" s="419"/>
      <c r="K86" s="419"/>
      <c r="L86" s="419"/>
      <c r="M86" s="419"/>
      <c r="N86" s="419"/>
      <c r="O86" s="419"/>
    </row>
    <row r="87" spans="1:15" x14ac:dyDescent="0.25">
      <c r="A87" s="418"/>
      <c r="B87" s="419"/>
      <c r="C87" s="419"/>
      <c r="D87" s="419"/>
      <c r="E87" s="419"/>
      <c r="F87" s="419"/>
      <c r="G87" s="419"/>
      <c r="H87" s="419"/>
      <c r="I87" s="419"/>
      <c r="K87" s="419"/>
      <c r="L87" s="419"/>
      <c r="M87" s="419"/>
      <c r="N87" s="419"/>
      <c r="O87" s="419"/>
    </row>
    <row r="88" spans="1:15" x14ac:dyDescent="0.25">
      <c r="A88" s="418"/>
      <c r="B88" s="419"/>
      <c r="C88" s="419"/>
      <c r="D88" s="419"/>
      <c r="E88" s="419"/>
      <c r="F88" s="419"/>
      <c r="G88" s="419"/>
      <c r="H88" s="419"/>
      <c r="I88" s="419"/>
      <c r="K88" s="419"/>
      <c r="L88" s="419"/>
      <c r="M88" s="419"/>
      <c r="N88" s="419"/>
      <c r="O88" s="419"/>
    </row>
    <row r="89" spans="1:15" x14ac:dyDescent="0.25">
      <c r="A89" s="418"/>
      <c r="B89" s="419"/>
      <c r="C89" s="419"/>
      <c r="D89" s="419"/>
      <c r="E89" s="419"/>
      <c r="F89" s="419"/>
      <c r="G89" s="419"/>
      <c r="H89" s="419"/>
      <c r="I89" s="419"/>
      <c r="K89" s="419"/>
      <c r="L89" s="419"/>
      <c r="M89" s="419"/>
      <c r="N89" s="419"/>
      <c r="O89" s="419"/>
    </row>
    <row r="90" spans="1:15" x14ac:dyDescent="0.25">
      <c r="A90" s="418"/>
      <c r="B90" s="419"/>
      <c r="C90" s="419"/>
      <c r="D90" s="419"/>
      <c r="E90" s="419"/>
      <c r="F90" s="419"/>
      <c r="G90" s="419"/>
      <c r="H90" s="419"/>
      <c r="I90" s="419"/>
      <c r="K90" s="419"/>
      <c r="L90" s="419"/>
      <c r="M90" s="419"/>
      <c r="N90" s="419"/>
      <c r="O90" s="419"/>
    </row>
  </sheetData>
  <sheetProtection autoFilter="0"/>
  <autoFilter ref="B6:J76">
    <filterColumn colId="8">
      <filters>
        <filter val="FALSE"/>
      </filters>
    </filterColumn>
  </autoFilter>
  <mergeCells count="1">
    <mergeCell ref="B2:I2"/>
  </mergeCells>
  <conditionalFormatting sqref="D38:I76">
    <cfRule type="beginsWith" dxfId="811" priority="92" stopIfTrue="1" operator="beginsWith" text="u">
      <formula>LEFT(D38,LEN("u"))="u"</formula>
    </cfRule>
    <cfRule type="beginsWith" dxfId="810" priority="93" stopIfTrue="1" operator="beginsWith" text="p">
      <formula>LEFT(D38,LEN("p"))="p"</formula>
    </cfRule>
    <cfRule type="containsText" dxfId="809" priority="95" stopIfTrue="1" operator="containsText" text="B1">
      <formula>NOT(ISERROR(SEARCH("B1",D38)))</formula>
    </cfRule>
    <cfRule type="containsText" dxfId="808" priority="96" stopIfTrue="1" operator="containsText" text="B2">
      <formula>NOT(ISERROR(SEARCH("B2",D38)))</formula>
    </cfRule>
    <cfRule type="containsText" dxfId="807" priority="97" operator="containsText" text="Lunch">
      <formula>NOT(ISERROR(SEARCH("Lunch",D38)))</formula>
    </cfRule>
    <cfRule type="containsText" dxfId="806" priority="98" operator="containsText" text="Coaching">
      <formula>NOT(ISERROR(SEARCH("Coaching",D38)))</formula>
    </cfRule>
    <cfRule type="containsText" dxfId="805" priority="99" operator="containsText" text="TM">
      <formula>NOT(ISERROR(SEARCH("TM",D38)))</formula>
    </cfRule>
    <cfRule type="containsText" dxfId="804" priority="100" operator="containsText" text="RTA">
      <formula>NOT(ISERROR(SEARCH("RTA",D38)))</formula>
    </cfRule>
    <cfRule type="cellIs" dxfId="803" priority="102" operator="equal">
      <formula>"RNNR"</formula>
    </cfRule>
    <cfRule type="containsText" dxfId="802" priority="103" operator="containsText" text="ADM">
      <formula>NOT(ISERROR(SEARCH("ADM",D38)))</formula>
    </cfRule>
    <cfRule type="containsText" dxfId="801" priority="104" operator="containsText" text="HL">
      <formula>NOT(ISERROR(SEARCH("HL",D38)))</formula>
    </cfRule>
    <cfRule type="cellIs" dxfId="800" priority="105" stopIfTrue="1" operator="equal">
      <formula>0</formula>
    </cfRule>
    <cfRule type="notContainsBlanks" dxfId="799" priority="107">
      <formula>LEN(TRIM(D38))&gt;0</formula>
    </cfRule>
  </conditionalFormatting>
  <conditionalFormatting sqref="D7:I21">
    <cfRule type="containsBlanks" dxfId="798" priority="76" stopIfTrue="1">
      <formula>LEN(TRIM(D7))=0</formula>
    </cfRule>
    <cfRule type="beginsWith" dxfId="797" priority="78" stopIfTrue="1" operator="beginsWith" text="u">
      <formula>LEFT(D7,LEN("u"))="u"</formula>
    </cfRule>
    <cfRule type="beginsWith" dxfId="796" priority="79" stopIfTrue="1" operator="beginsWith" text="p">
      <formula>LEFT(D7,LEN("p"))="p"</formula>
    </cfRule>
    <cfRule type="containsText" dxfId="795" priority="80" stopIfTrue="1" operator="containsText" text="B1">
      <formula>NOT(ISERROR(SEARCH("B1",D7)))</formula>
    </cfRule>
    <cfRule type="containsText" dxfId="794" priority="81" stopIfTrue="1" operator="containsText" text="B2">
      <formula>NOT(ISERROR(SEARCH("B2",D7)))</formula>
    </cfRule>
    <cfRule type="containsText" dxfId="793" priority="82" stopIfTrue="1" operator="containsText" text="Lunch">
      <formula>NOT(ISERROR(SEARCH("Lunch",D7)))</formula>
    </cfRule>
    <cfRule type="containsText" dxfId="792" priority="83" stopIfTrue="1" operator="containsText" text="Interview">
      <formula>NOT(ISERROR(SEARCH("Interview",D7)))</formula>
    </cfRule>
    <cfRule type="containsText" dxfId="791" priority="84" stopIfTrue="1" operator="containsText" text="Side by Side">
      <formula>NOT(ISERROR(SEARCH("Side by Side",D7)))</formula>
    </cfRule>
    <cfRule type="containsText" dxfId="790" priority="85" stopIfTrue="1" operator="containsText" text="COACHING">
      <formula>NOT(ISERROR(SEARCH("COACHING",D7)))</formula>
    </cfRule>
    <cfRule type="containsText" dxfId="789" priority="86" stopIfTrue="1" operator="containsText" text="TM">
      <formula>NOT(ISERROR(SEARCH("TM",D7)))</formula>
    </cfRule>
    <cfRule type="containsText" dxfId="788" priority="87" stopIfTrue="1" operator="containsText" text="RNNR">
      <formula>NOT(ISERROR(SEARCH("RNNR",D7)))</formula>
    </cfRule>
    <cfRule type="containsText" dxfId="787" priority="88" stopIfTrue="1" operator="containsText" text="ADM">
      <formula>NOT(ISERROR(SEARCH("ADM",D7)))</formula>
    </cfRule>
    <cfRule type="containsText" dxfId="786" priority="89" stopIfTrue="1" operator="containsText" text="HL">
      <formula>NOT(ISERROR(SEARCH("HL",D7)))</formula>
    </cfRule>
    <cfRule type="notContainsBlanks" dxfId="785" priority="90" stopIfTrue="1">
      <formula>LEN(TRIM(D7))&gt;0</formula>
    </cfRule>
  </conditionalFormatting>
  <conditionalFormatting sqref="D31:I35">
    <cfRule type="containsBlanks" dxfId="784" priority="31" stopIfTrue="1">
      <formula>LEN(TRIM(D31))=0</formula>
    </cfRule>
    <cfRule type="beginsWith" dxfId="783" priority="33" stopIfTrue="1" operator="beginsWith" text="u">
      <formula>LEFT(D31,LEN("u"))="u"</formula>
    </cfRule>
    <cfRule type="beginsWith" dxfId="782" priority="34" stopIfTrue="1" operator="beginsWith" text="p">
      <formula>LEFT(D31,LEN("p"))="p"</formula>
    </cfRule>
    <cfRule type="containsText" dxfId="781" priority="35" stopIfTrue="1" operator="containsText" text="B1">
      <formula>NOT(ISERROR(SEARCH("B1",D31)))</formula>
    </cfRule>
    <cfRule type="containsText" dxfId="780" priority="36" stopIfTrue="1" operator="containsText" text="B2">
      <formula>NOT(ISERROR(SEARCH("B2",D31)))</formula>
    </cfRule>
    <cfRule type="containsText" dxfId="779" priority="37" stopIfTrue="1" operator="containsText" text="Lunch">
      <formula>NOT(ISERROR(SEARCH("Lunch",D31)))</formula>
    </cfRule>
    <cfRule type="containsText" dxfId="778" priority="38" stopIfTrue="1" operator="containsText" text="Interview">
      <formula>NOT(ISERROR(SEARCH("Interview",D31)))</formula>
    </cfRule>
    <cfRule type="containsText" dxfId="777" priority="39" stopIfTrue="1" operator="containsText" text="Side by Side">
      <formula>NOT(ISERROR(SEARCH("Side by Side",D31)))</formula>
    </cfRule>
    <cfRule type="containsText" dxfId="776" priority="40" stopIfTrue="1" operator="containsText" text="COACHING">
      <formula>NOT(ISERROR(SEARCH("COACHING",D31)))</formula>
    </cfRule>
    <cfRule type="containsText" dxfId="775" priority="41" stopIfTrue="1" operator="containsText" text="TM">
      <formula>NOT(ISERROR(SEARCH("TM",D31)))</formula>
    </cfRule>
    <cfRule type="containsText" dxfId="774" priority="42" stopIfTrue="1" operator="containsText" text="RNNR">
      <formula>NOT(ISERROR(SEARCH("RNNR",D31)))</formula>
    </cfRule>
    <cfRule type="containsText" dxfId="773" priority="43" stopIfTrue="1" operator="containsText" text="ADM">
      <formula>NOT(ISERROR(SEARCH("ADM",D31)))</formula>
    </cfRule>
    <cfRule type="containsText" dxfId="772" priority="44" stopIfTrue="1" operator="containsText" text="HL">
      <formula>NOT(ISERROR(SEARCH("HL",D31)))</formula>
    </cfRule>
    <cfRule type="notContainsBlanks" dxfId="771" priority="45" stopIfTrue="1">
      <formula>LEN(TRIM(D31))&gt;0</formula>
    </cfRule>
  </conditionalFormatting>
  <conditionalFormatting sqref="D22:I30">
    <cfRule type="containsBlanks" dxfId="770" priority="16" stopIfTrue="1">
      <formula>LEN(TRIM(D22))=0</formula>
    </cfRule>
    <cfRule type="beginsWith" dxfId="769" priority="18" stopIfTrue="1" operator="beginsWith" text="u">
      <formula>LEFT(D22,LEN("u"))="u"</formula>
    </cfRule>
    <cfRule type="beginsWith" dxfId="768" priority="19" stopIfTrue="1" operator="beginsWith" text="p">
      <formula>LEFT(D22,LEN("p"))="p"</formula>
    </cfRule>
    <cfRule type="containsText" dxfId="767" priority="20" stopIfTrue="1" operator="containsText" text="B1">
      <formula>NOT(ISERROR(SEARCH("B1",D22)))</formula>
    </cfRule>
    <cfRule type="containsText" dxfId="766" priority="21" stopIfTrue="1" operator="containsText" text="B2">
      <formula>NOT(ISERROR(SEARCH("B2",D22)))</formula>
    </cfRule>
    <cfRule type="containsText" dxfId="765" priority="22" stopIfTrue="1" operator="containsText" text="Lunch">
      <formula>NOT(ISERROR(SEARCH("Lunch",D22)))</formula>
    </cfRule>
    <cfRule type="containsText" dxfId="764" priority="23" stopIfTrue="1" operator="containsText" text="Interview">
      <formula>NOT(ISERROR(SEARCH("Interview",D22)))</formula>
    </cfRule>
    <cfRule type="containsText" dxfId="763" priority="24" stopIfTrue="1" operator="containsText" text="Side by Side">
      <formula>NOT(ISERROR(SEARCH("Side by Side",D22)))</formula>
    </cfRule>
    <cfRule type="containsText" dxfId="762" priority="25" stopIfTrue="1" operator="containsText" text="COACHING">
      <formula>NOT(ISERROR(SEARCH("COACHING",D22)))</formula>
    </cfRule>
    <cfRule type="containsText" dxfId="761" priority="26" stopIfTrue="1" operator="containsText" text="TM">
      <formula>NOT(ISERROR(SEARCH("TM",D22)))</formula>
    </cfRule>
    <cfRule type="containsText" dxfId="760" priority="27" stopIfTrue="1" operator="containsText" text="RNNR">
      <formula>NOT(ISERROR(SEARCH("RNNR",D22)))</formula>
    </cfRule>
    <cfRule type="containsText" dxfId="759" priority="28" stopIfTrue="1" operator="containsText" text="ADM">
      <formula>NOT(ISERROR(SEARCH("ADM",D22)))</formula>
    </cfRule>
    <cfRule type="containsText" dxfId="758" priority="29" stopIfTrue="1" operator="containsText" text="HL">
      <formula>NOT(ISERROR(SEARCH("HL",D22)))</formula>
    </cfRule>
    <cfRule type="notContainsBlanks" dxfId="757" priority="30" stopIfTrue="1">
      <formula>LEN(TRIM(D22))&gt;0</formula>
    </cfRule>
  </conditionalFormatting>
  <conditionalFormatting sqref="D36:I37">
    <cfRule type="containsBlanks" dxfId="756" priority="1" stopIfTrue="1">
      <formula>LEN(TRIM(D36))=0</formula>
    </cfRule>
    <cfRule type="beginsWith" dxfId="755" priority="3" stopIfTrue="1" operator="beginsWith" text="u">
      <formula>LEFT(D36,LEN("u"))="u"</formula>
    </cfRule>
    <cfRule type="beginsWith" dxfId="754" priority="4" stopIfTrue="1" operator="beginsWith" text="p">
      <formula>LEFT(D36,LEN("p"))="p"</formula>
    </cfRule>
    <cfRule type="containsText" dxfId="753" priority="5" stopIfTrue="1" operator="containsText" text="B1">
      <formula>NOT(ISERROR(SEARCH("B1",D36)))</formula>
    </cfRule>
    <cfRule type="containsText" dxfId="752" priority="6" stopIfTrue="1" operator="containsText" text="B2">
      <formula>NOT(ISERROR(SEARCH("B2",D36)))</formula>
    </cfRule>
    <cfRule type="containsText" dxfId="751" priority="7" stopIfTrue="1" operator="containsText" text="Lunch">
      <formula>NOT(ISERROR(SEARCH("Lunch",D36)))</formula>
    </cfRule>
    <cfRule type="containsText" dxfId="750" priority="8" stopIfTrue="1" operator="containsText" text="Interview">
      <formula>NOT(ISERROR(SEARCH("Interview",D36)))</formula>
    </cfRule>
    <cfRule type="containsText" dxfId="749" priority="9" stopIfTrue="1" operator="containsText" text="Side by Side">
      <formula>NOT(ISERROR(SEARCH("Side by Side",D36)))</formula>
    </cfRule>
    <cfRule type="containsText" dxfId="748" priority="10" stopIfTrue="1" operator="containsText" text="COACHING">
      <formula>NOT(ISERROR(SEARCH("COACHING",D36)))</formula>
    </cfRule>
    <cfRule type="containsText" dxfId="747" priority="11" stopIfTrue="1" operator="containsText" text="TM">
      <formula>NOT(ISERROR(SEARCH("TM",D36)))</formula>
    </cfRule>
    <cfRule type="containsText" dxfId="746" priority="12" stopIfTrue="1" operator="containsText" text="RNNR">
      <formula>NOT(ISERROR(SEARCH("RNNR",D36)))</formula>
    </cfRule>
    <cfRule type="containsText" dxfId="745" priority="13" stopIfTrue="1" operator="containsText" text="ADM">
      <formula>NOT(ISERROR(SEARCH("ADM",D36)))</formula>
    </cfRule>
    <cfRule type="containsText" dxfId="744" priority="14" stopIfTrue="1" operator="containsText" text="HL">
      <formula>NOT(ISERROR(SEARCH("HL",D36)))</formula>
    </cfRule>
    <cfRule type="notContainsBlanks" dxfId="743" priority="15" stopIfTrue="1">
      <formula>LEN(TRIM(D36))&gt;0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1" stopIfTrue="1" operator="containsText" id="{1400F773-5F75-4347-944C-62F37E747997}">
            <xm:f>NOT(ISERROR(SEARCH("-",D38)))</xm:f>
            <xm:f>"-"</xm:f>
            <x14:dxf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D38:I76</xm:sqref>
        </x14:conditionalFormatting>
        <x14:conditionalFormatting xmlns:xm="http://schemas.microsoft.com/office/excel/2006/main">
          <x14:cfRule type="containsText" priority="77" stopIfTrue="1" operator="containsText" id="{3F3082DB-4815-43CE-B94C-86E50E372C9B}">
            <xm:f>NOT(ISERROR(SEARCH("-",D7)))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D7:I21</xm:sqref>
        </x14:conditionalFormatting>
        <x14:conditionalFormatting xmlns:xm="http://schemas.microsoft.com/office/excel/2006/main">
          <x14:cfRule type="containsText" priority="32" stopIfTrue="1" operator="containsText" id="{4FDED50B-98D6-4738-8348-BFA8E3B9F0C4}">
            <xm:f>NOT(ISERROR(SEARCH("-",D31)))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D31:I35</xm:sqref>
        </x14:conditionalFormatting>
        <x14:conditionalFormatting xmlns:xm="http://schemas.microsoft.com/office/excel/2006/main">
          <x14:cfRule type="containsText" priority="17" stopIfTrue="1" operator="containsText" id="{B3CECD69-F4B7-4592-A4BC-89401888782C}">
            <xm:f>NOT(ISERROR(SEARCH("-",D22)))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D22:I30</xm:sqref>
        </x14:conditionalFormatting>
        <x14:conditionalFormatting xmlns:xm="http://schemas.microsoft.com/office/excel/2006/main">
          <x14:cfRule type="containsText" priority="2" stopIfTrue="1" operator="containsText" id="{701C8861-9D27-401C-9960-4F83C32B5B06}">
            <xm:f>NOT(ISERROR(SEARCH("-",D36)))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D36:I37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/>
    <outlinePr summaryBelow="0" summaryRight="0"/>
  </sheetPr>
  <dimension ref="A1:CD85"/>
  <sheetViews>
    <sheetView topLeftCell="A46" workbookViewId="0">
      <selection activeCell="K86" sqref="K86"/>
    </sheetView>
  </sheetViews>
  <sheetFormatPr defaultColWidth="0" defaultRowHeight="12.75" outlineLevelCol="2" x14ac:dyDescent="0.2"/>
  <cols>
    <col min="1" max="1" width="3.140625" style="6" customWidth="1"/>
    <col min="2" max="2" width="25" style="6" bestFit="1" customWidth="1"/>
    <col min="3" max="10" width="9.7109375" style="6" customWidth="1"/>
    <col min="11" max="11" width="3.7109375" style="6" customWidth="1"/>
    <col min="12" max="12" width="1.85546875" style="6" customWidth="1"/>
    <col min="13" max="16" width="8.7109375" style="6" customWidth="1" outlineLevel="2"/>
    <col min="17" max="17" width="3.7109375" style="6" customWidth="1" outlineLevel="1"/>
    <col min="18" max="21" width="8.7109375" style="6" customWidth="1" outlineLevel="2"/>
    <col min="22" max="22" width="3.7109375" style="6" customWidth="1" outlineLevel="1" collapsed="1"/>
    <col min="23" max="26" width="8.7109375" style="6" hidden="1" customWidth="1" outlineLevel="2"/>
    <col min="27" max="27" width="3.7109375" style="6" customWidth="1" outlineLevel="1"/>
    <col min="28" max="31" width="8.7109375" style="6" customWidth="1" outlineLevel="2"/>
    <col min="32" max="32" width="3.7109375" style="6" customWidth="1" outlineLevel="1"/>
    <col min="33" max="36" width="8.7109375" style="6" customWidth="1" outlineLevel="2"/>
    <col min="37" max="37" width="3.7109375" style="6" customWidth="1" outlineLevel="1"/>
    <col min="38" max="41" width="8.7109375" style="6" customWidth="1" outlineLevel="2"/>
    <col min="42" max="42" width="3.7109375" style="6" customWidth="1" outlineLevel="1"/>
    <col min="43" max="46" width="8.7109375" style="6" customWidth="1" outlineLevel="2"/>
    <col min="47" max="47" width="3.7109375" style="6" customWidth="1"/>
    <col min="48" max="51" width="8.7109375" style="6" customWidth="1" outlineLevel="2"/>
    <col min="52" max="52" width="3.7109375" style="6" customWidth="1" outlineLevel="1"/>
    <col min="53" max="56" width="8.7109375" style="6" customWidth="1" outlineLevel="2"/>
    <col min="57" max="57" width="3.7109375" style="6" customWidth="1" outlineLevel="1"/>
    <col min="58" max="61" width="8.7109375" style="6" customWidth="1" outlineLevel="2"/>
    <col min="62" max="62" width="3.7109375" style="6" customWidth="1" outlineLevel="1"/>
    <col min="63" max="66" width="8.7109375" style="6" customWidth="1" outlineLevel="2"/>
    <col min="67" max="67" width="3.7109375" style="6" customWidth="1" outlineLevel="1"/>
    <col min="68" max="71" width="8.7109375" style="6" customWidth="1" outlineLevel="2"/>
    <col min="72" max="72" width="3.7109375" style="6" customWidth="1" outlineLevel="1"/>
    <col min="73" max="76" width="8.7109375" style="6" customWidth="1" outlineLevel="2"/>
    <col min="77" max="77" width="3.7109375" style="6" customWidth="1" outlineLevel="1"/>
    <col min="78" max="81" width="8.7109375" style="6" customWidth="1" outlineLevel="2"/>
    <col min="82" max="82" width="3.7109375" style="6" customWidth="1"/>
    <col min="83" max="16384" width="9.140625" style="6" hidden="1"/>
  </cols>
  <sheetData>
    <row r="1" spans="1:81" ht="6" customHeight="1" x14ac:dyDescent="0.2"/>
    <row r="2" spans="1:81" x14ac:dyDescent="0.2">
      <c r="B2" s="470" t="str">
        <f>"Lead Summary: "&amp;TEXT(Day_1,"mm/dd")&amp;" - "&amp;TEXT(Day_14,"mm/dd")</f>
        <v>Lead Summary: 03/22 - 03/28</v>
      </c>
      <c r="C2" s="470"/>
      <c r="D2" s="470"/>
      <c r="E2" s="470"/>
      <c r="F2" s="470"/>
      <c r="G2" s="470"/>
      <c r="H2" s="470"/>
      <c r="I2" s="470"/>
      <c r="J2" s="470"/>
      <c r="K2" s="191"/>
      <c r="L2" s="191"/>
      <c r="M2" s="470" t="str">
        <f>"Lead - "&amp;TEXT(Day_1,"DDDD")&amp;" - "&amp;TEXT(Day_1,"mm/dd/yy")</f>
        <v>Lead - Sunday - 03/22/20</v>
      </c>
      <c r="N2" s="470"/>
      <c r="O2" s="470"/>
      <c r="P2" s="470"/>
      <c r="Q2" s="192"/>
      <c r="R2" s="470" t="str">
        <f>"Lead - "&amp;TEXT(Day_2,"DDDD")&amp;" - "&amp;TEXT(Day_2,"mm/dd/yy")</f>
        <v>Lead - Monday - 03/23/20</v>
      </c>
      <c r="S2" s="470"/>
      <c r="T2" s="470"/>
      <c r="U2" s="470"/>
      <c r="V2" s="192"/>
      <c r="W2" s="470" t="str">
        <f>"Lead - "&amp;TEXT(Day_3,"DDDD")&amp;" - "&amp;TEXT(Day_3,"mm/dd/yy")</f>
        <v>Lead - Tuesday - 03/24/20</v>
      </c>
      <c r="X2" s="470"/>
      <c r="Y2" s="470"/>
      <c r="Z2" s="470"/>
      <c r="AA2" s="192"/>
      <c r="AB2" s="470" t="str">
        <f>"Lead - "&amp;TEXT(Day_4,"DDDD")&amp;" - "&amp;TEXT(Day_4,"mm/dd/yy")</f>
        <v>Lead - Wednesday - 03/25/20</v>
      </c>
      <c r="AC2" s="470"/>
      <c r="AD2" s="470"/>
      <c r="AE2" s="470"/>
      <c r="AF2" s="192"/>
      <c r="AG2" s="470" t="str">
        <f>"Lead - "&amp;TEXT(Day_5,"DDDD")&amp;" - "&amp;TEXT(Day_5,"mm/dd/yy")</f>
        <v>Lead - Thursday - 03/26/20</v>
      </c>
      <c r="AH2" s="470"/>
      <c r="AI2" s="470"/>
      <c r="AJ2" s="470"/>
      <c r="AK2" s="192"/>
      <c r="AL2" s="470" t="str">
        <f>"Lead - "&amp;TEXT(Day_6,"DDDD")&amp;" - "&amp;TEXT(Day_6,"mm/dd/yy")</f>
        <v>Lead - Friday - 03/20/20</v>
      </c>
      <c r="AM2" s="470"/>
      <c r="AN2" s="470"/>
      <c r="AO2" s="470"/>
      <c r="AP2" s="192"/>
      <c r="AQ2" s="470" t="str">
        <f>"Lead - "&amp;TEXT(Day_7,"DDDD")&amp;" - "&amp;TEXT(Day_7,"mm/dd/yy")</f>
        <v>Lead - Saturday - 03/21/20</v>
      </c>
      <c r="AR2" s="470"/>
      <c r="AS2" s="470"/>
      <c r="AT2" s="470"/>
      <c r="AU2" s="192"/>
      <c r="AV2" s="470" t="str">
        <f>"Lead - "&amp;TEXT(Day_8,"DDDD")&amp;" - "&amp;TEXT(Day_8,"mm/dd/yy")</f>
        <v>Lead - Sunday - 03/29/20</v>
      </c>
      <c r="AW2" s="470"/>
      <c r="AX2" s="470"/>
      <c r="AY2" s="470"/>
      <c r="AZ2" s="192"/>
      <c r="BA2" s="470" t="str">
        <f>"Lead - "&amp;TEXT(Day_9,"DDDD")&amp;" - "&amp;TEXT(Day_9,"mm/dd/yy")</f>
        <v>Lead - Monday - 03/30/20</v>
      </c>
      <c r="BB2" s="470"/>
      <c r="BC2" s="470"/>
      <c r="BD2" s="470"/>
      <c r="BE2" s="192"/>
      <c r="BF2" s="470" t="str">
        <f>"Lead - "&amp;TEXT(Day_10,"DDDD")&amp;" - "&amp;TEXT(Day_10,"mm/dd/yy")</f>
        <v>Lead - Tuesday - 03/31/20</v>
      </c>
      <c r="BG2" s="470"/>
      <c r="BH2" s="470"/>
      <c r="BI2" s="470"/>
      <c r="BJ2" s="192"/>
      <c r="BK2" s="470" t="str">
        <f>"Lead - "&amp;TEXT(Day_11,"DDDD")&amp;" - "&amp;TEXT(Day_11,"mm/dd/yy")</f>
        <v>Lead - Wednesday - 04/01/20</v>
      </c>
      <c r="BL2" s="470"/>
      <c r="BM2" s="470"/>
      <c r="BN2" s="470"/>
      <c r="BO2" s="192"/>
      <c r="BP2" s="470" t="str">
        <f>"Lead - "&amp;TEXT(Day_12,"DDDD")&amp;" - "&amp;TEXT(Day_12,"mm/dd/yy")</f>
        <v>Lead - Thursday - 04/02/20</v>
      </c>
      <c r="BQ2" s="470"/>
      <c r="BR2" s="470"/>
      <c r="BS2" s="470"/>
      <c r="BT2" s="192"/>
      <c r="BU2" s="470" t="str">
        <f>"Lead - "&amp;TEXT(Day_13,"DDDD")&amp;" - "&amp;TEXT(Day_13,"mm/dd/yy")</f>
        <v>Lead - Friday - 03/27/20</v>
      </c>
      <c r="BV2" s="470"/>
      <c r="BW2" s="470"/>
      <c r="BX2" s="470"/>
      <c r="BY2" s="192"/>
      <c r="BZ2" s="470" t="str">
        <f>"Lead - "&amp;TEXT(Day_14,"DDDD")&amp;" - "&amp;TEXT(Day_14,"mm/dd/yy")</f>
        <v>Lead - Saturday - 03/28/20</v>
      </c>
      <c r="CA2" s="470"/>
      <c r="CB2" s="470"/>
      <c r="CC2" s="470"/>
    </row>
    <row r="3" spans="1:81" ht="6" customHeight="1" x14ac:dyDescent="0.2"/>
    <row r="4" spans="1:81" ht="159" customHeight="1" x14ac:dyDescent="0.2">
      <c r="B4" s="107" t="s">
        <v>15</v>
      </c>
      <c r="C4" s="107" t="s">
        <v>172</v>
      </c>
      <c r="D4" s="107" t="s">
        <v>173</v>
      </c>
      <c r="E4" s="107" t="s">
        <v>174</v>
      </c>
      <c r="F4" s="107" t="s">
        <v>175</v>
      </c>
      <c r="G4" s="109" t="s">
        <v>176</v>
      </c>
      <c r="H4" s="109" t="s">
        <v>177</v>
      </c>
      <c r="I4" s="109" t="s">
        <v>178</v>
      </c>
      <c r="J4" s="109" t="s">
        <v>179</v>
      </c>
      <c r="K4" s="193" t="s">
        <v>180</v>
      </c>
      <c r="L4" s="193"/>
      <c r="M4" s="107" t="s">
        <v>87</v>
      </c>
      <c r="N4" s="107" t="s">
        <v>90</v>
      </c>
      <c r="O4" s="107" t="s">
        <v>89</v>
      </c>
      <c r="P4" s="107" t="s">
        <v>127</v>
      </c>
      <c r="Q4" s="193" t="s">
        <v>181</v>
      </c>
      <c r="R4" s="107" t="s">
        <v>87</v>
      </c>
      <c r="S4" s="107" t="s">
        <v>90</v>
      </c>
      <c r="T4" s="107" t="s">
        <v>89</v>
      </c>
      <c r="U4" s="107" t="s">
        <v>127</v>
      </c>
      <c r="V4" s="193" t="s">
        <v>182</v>
      </c>
      <c r="W4" s="107" t="s">
        <v>87</v>
      </c>
      <c r="X4" s="107" t="s">
        <v>90</v>
      </c>
      <c r="Y4" s="107" t="s">
        <v>89</v>
      </c>
      <c r="Z4" s="107" t="s">
        <v>127</v>
      </c>
      <c r="AA4" s="193" t="s">
        <v>183</v>
      </c>
      <c r="AB4" s="107" t="s">
        <v>87</v>
      </c>
      <c r="AC4" s="107" t="s">
        <v>90</v>
      </c>
      <c r="AD4" s="107" t="s">
        <v>89</v>
      </c>
      <c r="AE4" s="107" t="s">
        <v>127</v>
      </c>
      <c r="AF4" s="193" t="s">
        <v>184</v>
      </c>
      <c r="AG4" s="107" t="s">
        <v>87</v>
      </c>
      <c r="AH4" s="107" t="s">
        <v>90</v>
      </c>
      <c r="AI4" s="107" t="s">
        <v>89</v>
      </c>
      <c r="AJ4" s="107" t="s">
        <v>127</v>
      </c>
      <c r="AK4" s="193" t="s">
        <v>185</v>
      </c>
      <c r="AL4" s="107" t="s">
        <v>87</v>
      </c>
      <c r="AM4" s="107" t="s">
        <v>90</v>
      </c>
      <c r="AN4" s="107" t="s">
        <v>89</v>
      </c>
      <c r="AO4" s="107" t="s">
        <v>127</v>
      </c>
      <c r="AP4" s="193" t="s">
        <v>186</v>
      </c>
      <c r="AQ4" s="107" t="s">
        <v>87</v>
      </c>
      <c r="AR4" s="107" t="s">
        <v>90</v>
      </c>
      <c r="AS4" s="107" t="s">
        <v>89</v>
      </c>
      <c r="AT4" s="107" t="s">
        <v>127</v>
      </c>
      <c r="AU4" s="193" t="s">
        <v>180</v>
      </c>
      <c r="AV4" s="109" t="s">
        <v>87</v>
      </c>
      <c r="AW4" s="109" t="s">
        <v>90</v>
      </c>
      <c r="AX4" s="109" t="s">
        <v>89</v>
      </c>
      <c r="AY4" s="109" t="s">
        <v>127</v>
      </c>
      <c r="AZ4" s="193" t="s">
        <v>181</v>
      </c>
      <c r="BA4" s="109" t="s">
        <v>87</v>
      </c>
      <c r="BB4" s="109" t="s">
        <v>90</v>
      </c>
      <c r="BC4" s="109" t="s">
        <v>89</v>
      </c>
      <c r="BD4" s="109" t="s">
        <v>127</v>
      </c>
      <c r="BE4" s="193" t="s">
        <v>182</v>
      </c>
      <c r="BF4" s="109" t="s">
        <v>87</v>
      </c>
      <c r="BG4" s="109" t="s">
        <v>90</v>
      </c>
      <c r="BH4" s="109" t="s">
        <v>89</v>
      </c>
      <c r="BI4" s="109" t="s">
        <v>127</v>
      </c>
      <c r="BJ4" s="193" t="s">
        <v>183</v>
      </c>
      <c r="BK4" s="109" t="s">
        <v>87</v>
      </c>
      <c r="BL4" s="109" t="s">
        <v>90</v>
      </c>
      <c r="BM4" s="109" t="s">
        <v>89</v>
      </c>
      <c r="BN4" s="109" t="s">
        <v>127</v>
      </c>
      <c r="BO4" s="193" t="s">
        <v>184</v>
      </c>
      <c r="BP4" s="109" t="s">
        <v>87</v>
      </c>
      <c r="BQ4" s="109" t="s">
        <v>90</v>
      </c>
      <c r="BR4" s="109" t="s">
        <v>89</v>
      </c>
      <c r="BS4" s="109" t="s">
        <v>127</v>
      </c>
      <c r="BT4" s="193" t="s">
        <v>185</v>
      </c>
      <c r="BU4" s="109" t="s">
        <v>87</v>
      </c>
      <c r="BV4" s="109" t="s">
        <v>90</v>
      </c>
      <c r="BW4" s="109" t="s">
        <v>89</v>
      </c>
      <c r="BX4" s="109" t="s">
        <v>127</v>
      </c>
      <c r="BY4" s="193" t="s">
        <v>186</v>
      </c>
      <c r="BZ4" s="109" t="s">
        <v>87</v>
      </c>
      <c r="CA4" s="109" t="s">
        <v>90</v>
      </c>
      <c r="CB4" s="109" t="s">
        <v>89</v>
      </c>
      <c r="CC4" s="109" t="s">
        <v>127</v>
      </c>
    </row>
    <row r="5" spans="1:81" x14ac:dyDescent="0.2">
      <c r="A5" s="93">
        <f>SUM(LeadSum[[#This Row],[Help Line W1]:[RTA W1]])</f>
        <v>40</v>
      </c>
      <c r="B5" s="108" t="s">
        <v>19</v>
      </c>
      <c r="C5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30</v>
      </c>
      <c r="D5" s="93">
        <f>SUM(LSum_Sun1[[#This Row],[RTA]],LSum_Mon1[[#This Row],[RTA]],LSum_Tue1[[#This Row],[RTA]],LSum_Wed1[[#This Row],[RTA]],LSum_Thu1[[#This Row],[RTA]],LSum_Fri1[[#This Row],[RTA]],LSum_Sat1[[#This Row],[RTA]])</f>
        <v>10</v>
      </c>
      <c r="E5" s="93">
        <f>SUM(LSum_Sun1[[#This Row],[Admin]],LSum_Mon1[[#This Row],[Admin]],LSum_Tue1[[#This Row],[Admin]],LSum_Wed1[[#This Row],[Admin]],LSum_Thu1[[#This Row],[Admin]],LSum_Fri1[[#This Row],[Admin]],LSum_Sat1[[#This Row],[Admin]])</f>
        <v>37</v>
      </c>
      <c r="F5" s="93">
        <f>SUM(LSum_Sun1[[#This Row],[TM]],LSum_Mon1[[#This Row],[TM]],LSum_Tue1[[#This Row],[TM]],LSum_Wed1[[#This Row],[TM]],LSum_Thu1[[#This Row],[TM]],LSum_Fri1[[#This Row],[TM]],LSum_Sat1[[#This Row],[TM]])</f>
        <v>0</v>
      </c>
      <c r="G5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30</v>
      </c>
      <c r="H5" s="93">
        <f>SUM(LSum_Sun2[[#This Row],[RTA]],LSum_Mon2[[#This Row],[RTA]],LSum_Tue2[[#This Row],[RTA]],LSum_Wed2[[#This Row],[RTA]],LSum_Thu2[[#This Row],[RTA]],LSum_Fri2[[#This Row],[RTA]],LSum_Sat2[[#This Row],[RTA]])</f>
        <v>10</v>
      </c>
      <c r="I5" s="93">
        <f>SUM(LSum_Sun2[[#This Row],[Admin]],LSum_Mon2[[#This Row],[Admin]],LSum_Tue2[[#This Row],[Admin]],LSum_Wed2[[#This Row],[Admin]],LSum_Thu2[[#This Row],[Admin]],LSum_Fri2[[#This Row],[Admin]],LSum_Sat2[[#This Row],[Admin]])</f>
        <v>37</v>
      </c>
      <c r="J5" s="93">
        <f>SUM(LSum_Sun2[[#This Row],[TM]],LSum_Mon2[[#This Row],[TM]],LSum_Tue2[[#This Row],[TM]],LSum_Wed2[[#This Row],[TM]],LSum_Thu2[[#This Row],[TM]],LSum_Fri2[[#This Row],[TM]],LSum_Sat2[[#This Row],[TM]])</f>
        <v>0</v>
      </c>
      <c r="K5" s="93">
        <f>SUM(LeadSum[[#This Row],[Help Line W2]:[RTA W2]])</f>
        <v>40</v>
      </c>
      <c r="L5" s="93"/>
      <c r="M5" s="93" t="str">
        <f>IFERROR(VLOOKUP(LeadSum[[#This Row],[Lead]],Sun_W1[],MATCH("Help Line",Sun_W1[#Headers],0),0),"")</f>
        <v/>
      </c>
      <c r="N5" s="93" t="str">
        <f>IFERROR(VLOOKUP(LeadSum[[#This Row],[Lead]],Sun_W1[],MATCH("RTA",Sun_W1[#Headers],0),0),"")</f>
        <v/>
      </c>
      <c r="O5" s="93" t="str">
        <f>IFERROR(VLOOKUP(LeadSum[[#This Row],[Lead]],Sun_W1[],MATCH("Admin",Sun_W1[#Headers],0),0),"")</f>
        <v/>
      </c>
      <c r="P5" s="93" t="str">
        <f>IFERROR(VLOOKUP(LeadSum[[#This Row],[Lead]],Sun_W1[],MATCH("Team MTG",Sun_W1[#Headers],0),0),"")</f>
        <v/>
      </c>
      <c r="R5" s="93">
        <f>IFERROR(VLOOKUP(LeadSum[[#This Row],[Lead]],Mon_W1[],MATCH("Help Line",Mon_W1[#Headers],0),0),"")</f>
        <v>5</v>
      </c>
      <c r="S5" s="93">
        <f>IFERROR(VLOOKUP(LeadSum[[#This Row],[Lead]],Mon_W1[],MATCH("RTA",Mon_W1[#Headers],0),0),"")</f>
        <v>2</v>
      </c>
      <c r="T5" s="93">
        <f>IFERROR(VLOOKUP(LeadSum[[#This Row],[Lead]],Mon_W1[],MATCH("Admin",Mon_W1[#Headers],0),0),"")</f>
        <v>7</v>
      </c>
      <c r="U5" s="93" t="str">
        <f>IFERROR(VLOOKUP(LeadSum[[#This Row],[Lead]],Mon_W1[],MATCH("Team MTG",Mon_W1[#Headers],0),0),"")</f>
        <v/>
      </c>
      <c r="W5" s="93">
        <f>IFERROR(VLOOKUP(LeadSum[[#This Row],[Lead]],Tue_W1[],MATCH("Help Line",Tue_W1[#Headers],0),0),"")</f>
        <v>6</v>
      </c>
      <c r="X5" s="93">
        <f>IFERROR(VLOOKUP(LeadSum[[#This Row],[Lead]],Tue_W1[],MATCH("RTA",Tue_W1[#Headers],0),0),"")</f>
        <v>2</v>
      </c>
      <c r="Y5" s="93">
        <f>IFERROR(VLOOKUP(LeadSum[[#This Row],[Lead]],Tue_W1[],MATCH("Admin",Tue_W1[#Headers],0),0),"")</f>
        <v>8</v>
      </c>
      <c r="Z5" s="93" t="str">
        <f>IFERROR(VLOOKUP(LeadSum[[#This Row],[Lead]],Tue_W1[],MATCH("Team MTG",Tue_W1[#Headers],0),0),"")</f>
        <v/>
      </c>
      <c r="AB5" s="93">
        <f>IFERROR(VLOOKUP(LeadSum[[#This Row],[Lead]],Wed_W1[],MATCH("Help Line",Wed_W1[#Headers],0),0),"")</f>
        <v>5.5</v>
      </c>
      <c r="AC5" s="93">
        <f>IFERROR(VLOOKUP(LeadSum[[#This Row],[Lead]],Wed_W1[],MATCH("RTA",Wed_W1[#Headers],0),0),"")</f>
        <v>2</v>
      </c>
      <c r="AD5" s="93">
        <f>IFERROR(VLOOKUP(LeadSum[[#This Row],[Lead]],Wed_W1[],MATCH("Admin",Wed_W1[#Headers],0),0),"")</f>
        <v>8</v>
      </c>
      <c r="AE5" s="93" t="str">
        <f>IFERROR(VLOOKUP(LeadSum[[#This Row],[Lead]],Wed_W1[],MATCH("Team MTG",Wed_W1[#Headers],0),0),"")</f>
        <v/>
      </c>
      <c r="AG5" s="93">
        <f>IFERROR(VLOOKUP(LeadSum[[#This Row],[Lead]],Thu_W1[],MATCH("Help Line",Thu_W1[#Headers],0),0),"")</f>
        <v>6</v>
      </c>
      <c r="AH5" s="93">
        <f>IFERROR(VLOOKUP(LeadSum[[#This Row],[Lead]],Thu_W1[],MATCH("RTA",Thu_W1[#Headers],0),0),"")</f>
        <v>2</v>
      </c>
      <c r="AI5" s="93">
        <f>IFERROR(VLOOKUP(LeadSum[[#This Row],[Lead]],Thu_W1[],MATCH("Admin",Thu_W1[#Headers],0),0),"")</f>
        <v>8</v>
      </c>
      <c r="AJ5" s="93" t="str">
        <f>IFERROR(VLOOKUP(LeadSum[[#This Row],[Lead]],Thu_W1[],MATCH("Team MTG",Thu_W1[#Headers],0),0),"")</f>
        <v/>
      </c>
      <c r="AL5" s="93">
        <f>IFERROR(VLOOKUP(LeadSum[[#This Row],[Lead]],Fri_W1[],MATCH("Help Line",Fri_W1[#Headers],0),0),"")</f>
        <v>7.5</v>
      </c>
      <c r="AM5" s="93">
        <f>IFERROR(VLOOKUP(LeadSum[[#This Row],[Lead]],Fri_W1[],MATCH("RTA",Fri_W1[#Headers],0),0),"")</f>
        <v>2</v>
      </c>
      <c r="AN5" s="93">
        <f>IFERROR(VLOOKUP(LeadSum[[#This Row],[Lead]],Fri_W1[],MATCH("Admin",Fri_W1[#Headers],0),0),"")</f>
        <v>6</v>
      </c>
      <c r="AO5" s="93" t="str">
        <f>IFERROR(VLOOKUP(LeadSum[[#This Row],[Lead]],Fri_W1[],MATCH("Team MTG",Fri_W1[#Headers],0),0),"")</f>
        <v/>
      </c>
      <c r="AQ5" s="93" t="str">
        <f>IFERROR(VLOOKUP(LeadSum[[#This Row],[Lead]],Sat_W1[],MATCH("Help Line",Sat_W1[#Headers],0),0),"")</f>
        <v/>
      </c>
      <c r="AR5" s="93" t="str">
        <f>IFERROR(VLOOKUP(LeadSum[[#This Row],[Lead]],Sat_W1[],MATCH("RTA",Sat_W1[#Headers],0),0),"")</f>
        <v/>
      </c>
      <c r="AS5" s="93" t="str">
        <f>IFERROR(VLOOKUP(LeadSum[[#This Row],[Lead]],Sat_W1[],MATCH("Admin",Sat_W1[#Headers],0),0),"")</f>
        <v/>
      </c>
      <c r="AT5" s="93" t="str">
        <f>IFERROR(VLOOKUP(LeadSum[[#This Row],[Lead]],Sat_W1[],MATCH("Team MTG",Sat_W1[#Headers],0),0),"")</f>
        <v/>
      </c>
      <c r="AV5" s="93" t="str">
        <f>IFERROR(VLOOKUP(LeadSum[[#This Row],[Lead]],Sun_W2[],MATCH("Help Line",Sun_W2[#Headers],0),0),"")</f>
        <v/>
      </c>
      <c r="AW5" s="93" t="str">
        <f>IFERROR(VLOOKUP(LeadSum[[#This Row],[Lead]],Sun_W2[],MATCH("RTA",Sun_W2[#Headers],0),0),"")</f>
        <v/>
      </c>
      <c r="AX5" s="93" t="str">
        <f>IFERROR(VLOOKUP(LeadSum[[#This Row],[Lead]],Sun_W2[],MATCH("Admin",Sun_W2[#Headers],0),0),"")</f>
        <v/>
      </c>
      <c r="AY5" s="93" t="str">
        <f>IFERROR(VLOOKUP(LeadSum[[#This Row],[Lead]],Sun_W2[],MATCH("Team MTG",Sun_W2[#Headers],0),0),"")</f>
        <v/>
      </c>
      <c r="BA5" s="93">
        <f>IFERROR(VLOOKUP(LeadSum[[#This Row],[Lead]],Mon_W2[],MATCH("Help Line",Mon_W2[#Headers],0),0),"")</f>
        <v>5</v>
      </c>
      <c r="BB5" s="93">
        <f>IFERROR(VLOOKUP(LeadSum[[#This Row],[Lead]],Mon_W2[],MATCH("RTA",Mon_W2[#Headers],0),0),"")</f>
        <v>2</v>
      </c>
      <c r="BC5" s="93">
        <f>IFERROR(VLOOKUP(LeadSum[[#This Row],[Lead]],Mon_W2[],MATCH("Admin",Mon_W2[#Headers],0),0),"")</f>
        <v>7</v>
      </c>
      <c r="BD5" s="93" t="str">
        <f>IFERROR(VLOOKUP(LeadSum[[#This Row],[Lead]],Mon_W2[],MATCH("Team MTG",Mon_W2[#Headers],0),0),"")</f>
        <v/>
      </c>
      <c r="BF5" s="93">
        <f>IFERROR(VLOOKUP(LeadSum[[#This Row],[Lead]],Tue_W2[],MATCH("Help Line",Tue_W2[#Headers],0),0),"")</f>
        <v>6</v>
      </c>
      <c r="BG5" s="93">
        <f>IFERROR(VLOOKUP(LeadSum[[#This Row],[Lead]],Tue_W2[],MATCH("RTA",Tue_W2[#Headers],0),0),"")</f>
        <v>2</v>
      </c>
      <c r="BH5" s="93">
        <f>IFERROR(VLOOKUP(LeadSum[[#This Row],[Lead]],Tue_W2[],MATCH("Admin",Tue_W2[#Headers],0),0),"")</f>
        <v>8</v>
      </c>
      <c r="BI5" s="93" t="str">
        <f>IFERROR(VLOOKUP(LeadSum[[#This Row],[Lead]],Tue_W2[],MATCH("Team MTG",Tue_W2[#Headers],0),0),"")</f>
        <v/>
      </c>
      <c r="BK5" s="93">
        <f>IFERROR(VLOOKUP(LeadSum[[#This Row],[Lead]],Wed_W2[],MATCH("Help Line",Wed_W2[#Headers],0),0),"")</f>
        <v>5.5</v>
      </c>
      <c r="BL5" s="93">
        <f>IFERROR(VLOOKUP(LeadSum[[#This Row],[Lead]],Wed_W2[],MATCH("RTA",Wed_W2[#Headers],0),0),"")</f>
        <v>2</v>
      </c>
      <c r="BM5" s="93">
        <f>IFERROR(VLOOKUP(LeadSum[[#This Row],[Lead]],Wed_W2[],MATCH("Admin",Wed_W2[#Headers],0),0),"")</f>
        <v>8</v>
      </c>
      <c r="BN5" s="93" t="str">
        <f>IFERROR(VLOOKUP(LeadSum[[#This Row],[Lead]],Wed_W2[],MATCH("Team MTG",Wed_W2[#Headers],0),0),"")</f>
        <v/>
      </c>
      <c r="BP5" s="93">
        <f>IFERROR(VLOOKUP(LeadSum[[#This Row],[Lead]],Thu_W2[],MATCH("Help Line",Thu_W2[#Headers],0),0),"")</f>
        <v>6</v>
      </c>
      <c r="BQ5" s="93">
        <f>IFERROR(VLOOKUP(LeadSum[[#This Row],[Lead]],Thu_W2[],MATCH("RTA",Thu_W2[#Headers],0),0),"")</f>
        <v>2</v>
      </c>
      <c r="BR5" s="93">
        <f>IFERROR(VLOOKUP(LeadSum[[#This Row],[Lead]],Thu_W2[],MATCH("Admin",Thu_W2[#Headers],0),0),"")</f>
        <v>8</v>
      </c>
      <c r="BS5" s="93" t="str">
        <f>IFERROR(VLOOKUP(LeadSum[[#This Row],[Lead]],Thu_W2[],MATCH("Team MTG",Thu_W2[#Headers],0),0),"")</f>
        <v/>
      </c>
      <c r="BU5" s="93">
        <f>IFERROR(VLOOKUP(LeadSum[[#This Row],[Lead]],Fri_W2[],MATCH("Help Line",Fri_W2[#Headers],0),0),"")</f>
        <v>7.5</v>
      </c>
      <c r="BV5" s="93">
        <f>IFERROR(VLOOKUP(LeadSum[[#This Row],[Lead]],Fri_W2[],MATCH("RTA",Fri_W2[#Headers],0),0),"")</f>
        <v>2</v>
      </c>
      <c r="BW5" s="93">
        <f>IFERROR(VLOOKUP(LeadSum[[#This Row],[Lead]],Fri_W2[],MATCH("Admin",Fri_W2[#Headers],0),0),"")</f>
        <v>6</v>
      </c>
      <c r="BX5" s="93" t="str">
        <f>IFERROR(VLOOKUP(LeadSum[[#This Row],[Lead]],Fri_W2[],MATCH("Team MTG",Fri_W2[#Headers],0),0),"")</f>
        <v/>
      </c>
      <c r="BZ5" s="93" t="str">
        <f>IFERROR(VLOOKUP(LeadSum[[#This Row],[Lead]],Sat_W2[],MATCH("Help Line",Sat_W2[#Headers],0),0),"")</f>
        <v/>
      </c>
      <c r="CA5" s="93" t="str">
        <f>IFERROR(VLOOKUP(LeadSum[[#This Row],[Lead]],Sat_W2[],MATCH("RTA",Sat_W2[#Headers],0),0),"")</f>
        <v/>
      </c>
      <c r="CB5" s="93" t="str">
        <f>IFERROR(VLOOKUP(LeadSum[[#This Row],[Lead]],Sat_W2[],MATCH("Admin",Sat_W2[#Headers],0),0),"")</f>
        <v/>
      </c>
      <c r="CC5" s="93" t="str">
        <f>IFERROR(VLOOKUP(LeadSum[[#This Row],[Lead]],Sat_W2[],MATCH("Team MTG",Sat_W2[#Headers],0),0),"")</f>
        <v/>
      </c>
    </row>
    <row r="6" spans="1:81" x14ac:dyDescent="0.2">
      <c r="A6" s="93">
        <f>SUM(LeadSum[[#This Row],[Help Line W1]:[RTA W1]])</f>
        <v>35.5</v>
      </c>
      <c r="B6" s="108" t="s">
        <v>44</v>
      </c>
      <c r="C6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25.5</v>
      </c>
      <c r="D6" s="93">
        <f>SUM(LSum_Sun1[[#This Row],[RTA]],LSum_Mon1[[#This Row],[RTA]],LSum_Tue1[[#This Row],[RTA]],LSum_Wed1[[#This Row],[RTA]],LSum_Thu1[[#This Row],[RTA]],LSum_Fri1[[#This Row],[RTA]],LSum_Sat1[[#This Row],[RTA]])</f>
        <v>10</v>
      </c>
      <c r="E6" s="93">
        <f>SUM(LSum_Sun1[[#This Row],[Admin]],LSum_Mon1[[#This Row],[Admin]],LSum_Tue1[[#This Row],[Admin]],LSum_Wed1[[#This Row],[Admin]],LSum_Thu1[[#This Row],[Admin]],LSum_Fri1[[#This Row],[Admin]],LSum_Sat1[[#This Row],[Admin]])</f>
        <v>40</v>
      </c>
      <c r="F6" s="93">
        <f>SUM(LSum_Sun1[[#This Row],[TM]],LSum_Mon1[[#This Row],[TM]],LSum_Tue1[[#This Row],[TM]],LSum_Wed1[[#This Row],[TM]],LSum_Thu1[[#This Row],[TM]],LSum_Fri1[[#This Row],[TM]],LSum_Sat1[[#This Row],[TM]])</f>
        <v>0</v>
      </c>
      <c r="G6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25.5</v>
      </c>
      <c r="H6" s="93">
        <f>SUM(LSum_Sun2[[#This Row],[RTA]],LSum_Mon2[[#This Row],[RTA]],LSum_Tue2[[#This Row],[RTA]],LSum_Wed2[[#This Row],[RTA]],LSum_Thu2[[#This Row],[RTA]],LSum_Fri2[[#This Row],[RTA]],LSum_Sat2[[#This Row],[RTA]])</f>
        <v>10</v>
      </c>
      <c r="I6" s="93">
        <f>SUM(LSum_Sun2[[#This Row],[Admin]],LSum_Mon2[[#This Row],[Admin]],LSum_Tue2[[#This Row],[Admin]],LSum_Wed2[[#This Row],[Admin]],LSum_Thu2[[#This Row],[Admin]],LSum_Fri2[[#This Row],[Admin]],LSum_Sat2[[#This Row],[Admin]])</f>
        <v>40</v>
      </c>
      <c r="J6" s="93">
        <f>SUM(LSum_Sun2[[#This Row],[TM]],LSum_Mon2[[#This Row],[TM]],LSum_Tue2[[#This Row],[TM]],LSum_Wed2[[#This Row],[TM]],LSum_Thu2[[#This Row],[TM]],LSum_Fri2[[#This Row],[TM]],LSum_Sat2[[#This Row],[TM]])</f>
        <v>0</v>
      </c>
      <c r="K6" s="93">
        <f>SUM(LeadSum[[#This Row],[Help Line W2]:[RTA W2]])</f>
        <v>35.5</v>
      </c>
      <c r="L6" s="93"/>
      <c r="M6" s="93" t="str">
        <f>IFERROR(VLOOKUP(LeadSum[[#This Row],[Lead]],Sun_W1[],MATCH("Help Line",Sun_W1[#Headers],0),0),"")</f>
        <v/>
      </c>
      <c r="N6" s="93" t="str">
        <f>IFERROR(VLOOKUP(LeadSum[[#This Row],[Lead]],Sun_W1[],MATCH("RTA",Sun_W1[#Headers],0),0),"")</f>
        <v/>
      </c>
      <c r="O6" s="93" t="str">
        <f>IFERROR(VLOOKUP(LeadSum[[#This Row],[Lead]],Sun_W1[],MATCH("Admin",Sun_W1[#Headers],0),0),"")</f>
        <v/>
      </c>
      <c r="P6" s="93" t="str">
        <f>IFERROR(VLOOKUP(LeadSum[[#This Row],[Lead]],Sun_W1[],MATCH("Team MTG",Sun_W1[#Headers],0),0),"")</f>
        <v/>
      </c>
      <c r="R6" s="93">
        <f>IFERROR(VLOOKUP(LeadSum[[#This Row],[Lead]],Mon_W1[],MATCH("Help Line",Mon_W1[#Headers],0),0),"")</f>
        <v>6.5</v>
      </c>
      <c r="S6" s="93">
        <f>IFERROR(VLOOKUP(LeadSum[[#This Row],[Lead]],Mon_W1[],MATCH("RTA",Mon_W1[#Headers],0),0),"")</f>
        <v>2</v>
      </c>
      <c r="T6" s="93">
        <f>IFERROR(VLOOKUP(LeadSum[[#This Row],[Lead]],Mon_W1[],MATCH("Admin",Mon_W1[#Headers],0),0),"")</f>
        <v>7</v>
      </c>
      <c r="U6" s="93" t="str">
        <f>IFERROR(VLOOKUP(LeadSum[[#This Row],[Lead]],Mon_W1[],MATCH("Team MTG",Mon_W1[#Headers],0),0),"")</f>
        <v/>
      </c>
      <c r="W6" s="93">
        <f>IFERROR(VLOOKUP(LeadSum[[#This Row],[Lead]],Tue_W1[],MATCH("Help Line",Tue_W1[#Headers],0),0),"")</f>
        <v>4.5</v>
      </c>
      <c r="X6" s="93">
        <f>IFERROR(VLOOKUP(LeadSum[[#This Row],[Lead]],Tue_W1[],MATCH("RTA",Tue_W1[#Headers],0),0),"")</f>
        <v>2</v>
      </c>
      <c r="Y6" s="93">
        <f>IFERROR(VLOOKUP(LeadSum[[#This Row],[Lead]],Tue_W1[],MATCH("Admin",Tue_W1[#Headers],0),0),"")</f>
        <v>9</v>
      </c>
      <c r="Z6" s="93" t="str">
        <f>IFERROR(VLOOKUP(LeadSum[[#This Row],[Lead]],Tue_W1[],MATCH("Team MTG",Tue_W1[#Headers],0),0),"")</f>
        <v/>
      </c>
      <c r="AB6" s="93">
        <f>IFERROR(VLOOKUP(LeadSum[[#This Row],[Lead]],Wed_W1[],MATCH("Help Line",Wed_W1[#Headers],0),0),"")</f>
        <v>5.5</v>
      </c>
      <c r="AC6" s="93">
        <f>IFERROR(VLOOKUP(LeadSum[[#This Row],[Lead]],Wed_W1[],MATCH("RTA",Wed_W1[#Headers],0),0),"")</f>
        <v>2</v>
      </c>
      <c r="AD6" s="93">
        <f>IFERROR(VLOOKUP(LeadSum[[#This Row],[Lead]],Wed_W1[],MATCH("Admin",Wed_W1[#Headers],0),0),"")</f>
        <v>8</v>
      </c>
      <c r="AE6" s="93" t="str">
        <f>IFERROR(VLOOKUP(LeadSum[[#This Row],[Lead]],Wed_W1[],MATCH("Team MTG",Wed_W1[#Headers],0),0),"")</f>
        <v/>
      </c>
      <c r="AG6" s="93">
        <f>IFERROR(VLOOKUP(LeadSum[[#This Row],[Lead]],Thu_W1[],MATCH("Help Line",Thu_W1[#Headers],0),0),"")</f>
        <v>4.5</v>
      </c>
      <c r="AH6" s="93">
        <f>IFERROR(VLOOKUP(LeadSum[[#This Row],[Lead]],Thu_W1[],MATCH("RTA",Thu_W1[#Headers],0),0),"")</f>
        <v>2</v>
      </c>
      <c r="AI6" s="93">
        <f>IFERROR(VLOOKUP(LeadSum[[#This Row],[Lead]],Thu_W1[],MATCH("Admin",Thu_W1[#Headers],0),0),"")</f>
        <v>9</v>
      </c>
      <c r="AJ6" s="93" t="str">
        <f>IFERROR(VLOOKUP(LeadSum[[#This Row],[Lead]],Thu_W1[],MATCH("Team MTG",Thu_W1[#Headers],0),0),"")</f>
        <v/>
      </c>
      <c r="AL6" s="93">
        <f>IFERROR(VLOOKUP(LeadSum[[#This Row],[Lead]],Fri_W1[],MATCH("Help Line",Fri_W1[#Headers],0),0),"")</f>
        <v>4.5</v>
      </c>
      <c r="AM6" s="93">
        <f>IFERROR(VLOOKUP(LeadSum[[#This Row],[Lead]],Fri_W1[],MATCH("RTA",Fri_W1[#Headers],0),0),"")</f>
        <v>2</v>
      </c>
      <c r="AN6" s="93">
        <f>IFERROR(VLOOKUP(LeadSum[[#This Row],[Lead]],Fri_W1[],MATCH("Admin",Fri_W1[#Headers],0),0),"")</f>
        <v>7</v>
      </c>
      <c r="AO6" s="93" t="str">
        <f>IFERROR(VLOOKUP(LeadSum[[#This Row],[Lead]],Fri_W1[],MATCH("Team MTG",Fri_W1[#Headers],0),0),"")</f>
        <v/>
      </c>
      <c r="AQ6" s="93" t="str">
        <f>IFERROR(VLOOKUP(LeadSum[[#This Row],[Lead]],Sat_W1[],MATCH("Help Line",Sat_W1[#Headers],0),0),"")</f>
        <v/>
      </c>
      <c r="AR6" s="93" t="str">
        <f>IFERROR(VLOOKUP(LeadSum[[#This Row],[Lead]],Sat_W1[],MATCH("RTA",Sat_W1[#Headers],0),0),"")</f>
        <v/>
      </c>
      <c r="AS6" s="93" t="str">
        <f>IFERROR(VLOOKUP(LeadSum[[#This Row],[Lead]],Sat_W1[],MATCH("Admin",Sat_W1[#Headers],0),0),"")</f>
        <v/>
      </c>
      <c r="AT6" s="93" t="str">
        <f>IFERROR(VLOOKUP(LeadSum[[#This Row],[Lead]],Sat_W1[],MATCH("Team MTG",Sat_W1[#Headers],0),0),"")</f>
        <v/>
      </c>
      <c r="AV6" s="93" t="str">
        <f>IFERROR(VLOOKUP(LeadSum[[#This Row],[Lead]],Sun_W2[],MATCH("Help Line",Sun_W2[#Headers],0),0),"")</f>
        <v/>
      </c>
      <c r="AW6" s="93" t="str">
        <f>IFERROR(VLOOKUP(LeadSum[[#This Row],[Lead]],Sun_W2[],MATCH("RTA",Sun_W2[#Headers],0),0),"")</f>
        <v/>
      </c>
      <c r="AX6" s="93" t="str">
        <f>IFERROR(VLOOKUP(LeadSum[[#This Row],[Lead]],Sun_W2[],MATCH("Admin",Sun_W2[#Headers],0),0),"")</f>
        <v/>
      </c>
      <c r="AY6" s="93" t="str">
        <f>IFERROR(VLOOKUP(LeadSum[[#This Row],[Lead]],Sun_W2[],MATCH("Team MTG",Sun_W2[#Headers],0),0),"")</f>
        <v/>
      </c>
      <c r="BA6" s="93">
        <f>IFERROR(VLOOKUP(LeadSum[[#This Row],[Lead]],Mon_W2[],MATCH("Help Line",Mon_W2[#Headers],0),0),"")</f>
        <v>6.5</v>
      </c>
      <c r="BB6" s="93">
        <f>IFERROR(VLOOKUP(LeadSum[[#This Row],[Lead]],Mon_W2[],MATCH("RTA",Mon_W2[#Headers],0),0),"")</f>
        <v>2</v>
      </c>
      <c r="BC6" s="93">
        <f>IFERROR(VLOOKUP(LeadSum[[#This Row],[Lead]],Mon_W2[],MATCH("Admin",Mon_W2[#Headers],0),0),"")</f>
        <v>7</v>
      </c>
      <c r="BD6" s="93" t="str">
        <f>IFERROR(VLOOKUP(LeadSum[[#This Row],[Lead]],Mon_W2[],MATCH("Team MTG",Mon_W2[#Headers],0),0),"")</f>
        <v/>
      </c>
      <c r="BF6" s="93">
        <f>IFERROR(VLOOKUP(LeadSum[[#This Row],[Lead]],Tue_W2[],MATCH("Help Line",Tue_W2[#Headers],0),0),"")</f>
        <v>4.5</v>
      </c>
      <c r="BG6" s="93">
        <f>IFERROR(VLOOKUP(LeadSum[[#This Row],[Lead]],Tue_W2[],MATCH("RTA",Tue_W2[#Headers],0),0),"")</f>
        <v>2</v>
      </c>
      <c r="BH6" s="93">
        <f>IFERROR(VLOOKUP(LeadSum[[#This Row],[Lead]],Tue_W2[],MATCH("Admin",Tue_W2[#Headers],0),0),"")</f>
        <v>9</v>
      </c>
      <c r="BI6" s="93" t="str">
        <f>IFERROR(VLOOKUP(LeadSum[[#This Row],[Lead]],Tue_W2[],MATCH("Team MTG",Tue_W2[#Headers],0),0),"")</f>
        <v/>
      </c>
      <c r="BK6" s="93">
        <f>IFERROR(VLOOKUP(LeadSum[[#This Row],[Lead]],Wed_W2[],MATCH("Help Line",Wed_W2[#Headers],0),0),"")</f>
        <v>5.5</v>
      </c>
      <c r="BL6" s="93">
        <f>IFERROR(VLOOKUP(LeadSum[[#This Row],[Lead]],Wed_W2[],MATCH("RTA",Wed_W2[#Headers],0),0),"")</f>
        <v>2</v>
      </c>
      <c r="BM6" s="93">
        <f>IFERROR(VLOOKUP(LeadSum[[#This Row],[Lead]],Wed_W2[],MATCH("Admin",Wed_W2[#Headers],0),0),"")</f>
        <v>8</v>
      </c>
      <c r="BN6" s="93" t="str">
        <f>IFERROR(VLOOKUP(LeadSum[[#This Row],[Lead]],Wed_W2[],MATCH("Team MTG",Wed_W2[#Headers],0),0),"")</f>
        <v/>
      </c>
      <c r="BP6" s="93">
        <f>IFERROR(VLOOKUP(LeadSum[[#This Row],[Lead]],Thu_W2[],MATCH("Help Line",Thu_W2[#Headers],0),0),"")</f>
        <v>4.5</v>
      </c>
      <c r="BQ6" s="93">
        <f>IFERROR(VLOOKUP(LeadSum[[#This Row],[Lead]],Thu_W2[],MATCH("RTA",Thu_W2[#Headers],0),0),"")</f>
        <v>2</v>
      </c>
      <c r="BR6" s="93">
        <f>IFERROR(VLOOKUP(LeadSum[[#This Row],[Lead]],Thu_W2[],MATCH("Admin",Thu_W2[#Headers],0),0),"")</f>
        <v>9</v>
      </c>
      <c r="BS6" s="93" t="str">
        <f>IFERROR(VLOOKUP(LeadSum[[#This Row],[Lead]],Thu_W2[],MATCH("Team MTG",Thu_W2[#Headers],0),0),"")</f>
        <v/>
      </c>
      <c r="BU6" s="93">
        <f>IFERROR(VLOOKUP(LeadSum[[#This Row],[Lead]],Fri_W2[],MATCH("Help Line",Fri_W2[#Headers],0),0),"")</f>
        <v>4.5</v>
      </c>
      <c r="BV6" s="93">
        <f>IFERROR(VLOOKUP(LeadSum[[#This Row],[Lead]],Fri_W2[],MATCH("RTA",Fri_W2[#Headers],0),0),"")</f>
        <v>2</v>
      </c>
      <c r="BW6" s="93">
        <f>IFERROR(VLOOKUP(LeadSum[[#This Row],[Lead]],Fri_W2[],MATCH("Admin",Fri_W2[#Headers],0),0),"")</f>
        <v>7</v>
      </c>
      <c r="BX6" s="93" t="str">
        <f>IFERROR(VLOOKUP(LeadSum[[#This Row],[Lead]],Fri_W2[],MATCH("Team MTG",Fri_W2[#Headers],0),0),"")</f>
        <v/>
      </c>
      <c r="BZ6" s="93" t="str">
        <f>IFERROR(VLOOKUP(LeadSum[[#This Row],[Lead]],Sat_W2[],MATCH("Help Line",Sat_W2[#Headers],0),0),"")</f>
        <v/>
      </c>
      <c r="CA6" s="93" t="str">
        <f>IFERROR(VLOOKUP(LeadSum[[#This Row],[Lead]],Sat_W2[],MATCH("RTA",Sat_W2[#Headers],0),0),"")</f>
        <v/>
      </c>
      <c r="CB6" s="93" t="str">
        <f>IFERROR(VLOOKUP(LeadSum[[#This Row],[Lead]],Sat_W2[],MATCH("Admin",Sat_W2[#Headers],0),0),"")</f>
        <v/>
      </c>
      <c r="CC6" s="93" t="str">
        <f>IFERROR(VLOOKUP(LeadSum[[#This Row],[Lead]],Sat_W2[],MATCH("Team MTG",Sat_W2[#Headers],0),0),"")</f>
        <v/>
      </c>
    </row>
    <row r="7" spans="1:81" x14ac:dyDescent="0.2">
      <c r="A7" s="93">
        <f>SUM(LeadSum[[#This Row],[Help Line W1]:[RTA W1]])</f>
        <v>40</v>
      </c>
      <c r="B7" s="108" t="s">
        <v>22</v>
      </c>
      <c r="C7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36</v>
      </c>
      <c r="D7" s="93">
        <f>SUM(LSum_Sun1[[#This Row],[RTA]],LSum_Mon1[[#This Row],[RTA]],LSum_Tue1[[#This Row],[RTA]],LSum_Wed1[[#This Row],[RTA]],LSum_Thu1[[#This Row],[RTA]],LSum_Fri1[[#This Row],[RTA]],LSum_Sat1[[#This Row],[RTA]])</f>
        <v>4</v>
      </c>
      <c r="E7" s="93">
        <f>SUM(LSum_Sun1[[#This Row],[Admin]],LSum_Mon1[[#This Row],[Admin]],LSum_Tue1[[#This Row],[Admin]],LSum_Wed1[[#This Row],[Admin]],LSum_Thu1[[#This Row],[Admin]],LSum_Fri1[[#This Row],[Admin]],LSum_Sat1[[#This Row],[Admin]])</f>
        <v>36</v>
      </c>
      <c r="F7" s="93">
        <f>SUM(LSum_Sun1[[#This Row],[TM]],LSum_Mon1[[#This Row],[TM]],LSum_Tue1[[#This Row],[TM]],LSum_Wed1[[#This Row],[TM]],LSum_Thu1[[#This Row],[TM]],LSum_Fri1[[#This Row],[TM]],LSum_Sat1[[#This Row],[TM]])</f>
        <v>0</v>
      </c>
      <c r="G7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36</v>
      </c>
      <c r="H7" s="93">
        <f>SUM(LSum_Sun2[[#This Row],[RTA]],LSum_Mon2[[#This Row],[RTA]],LSum_Tue2[[#This Row],[RTA]],LSum_Wed2[[#This Row],[RTA]],LSum_Thu2[[#This Row],[RTA]],LSum_Fri2[[#This Row],[RTA]],LSum_Sat2[[#This Row],[RTA]])</f>
        <v>4</v>
      </c>
      <c r="I7" s="93">
        <f>SUM(LSum_Sun2[[#This Row],[Admin]],LSum_Mon2[[#This Row],[Admin]],LSum_Tue2[[#This Row],[Admin]],LSum_Wed2[[#This Row],[Admin]],LSum_Thu2[[#This Row],[Admin]],LSum_Fri2[[#This Row],[Admin]],LSum_Sat2[[#This Row],[Admin]])</f>
        <v>36</v>
      </c>
      <c r="J7" s="93">
        <f>SUM(LSum_Sun2[[#This Row],[TM]],LSum_Mon2[[#This Row],[TM]],LSum_Tue2[[#This Row],[TM]],LSum_Wed2[[#This Row],[TM]],LSum_Thu2[[#This Row],[TM]],LSum_Fri2[[#This Row],[TM]],LSum_Sat2[[#This Row],[TM]])</f>
        <v>0</v>
      </c>
      <c r="K7" s="93">
        <f>SUM(LeadSum[[#This Row],[Help Line W2]:[RTA W2]])</f>
        <v>40</v>
      </c>
      <c r="L7" s="93"/>
      <c r="M7" s="93">
        <f>IFERROR(VLOOKUP(LeadSum[[#This Row],[Lead]],Sun_W1[],MATCH("Help Line",Sun_W1[#Headers],0),0),"")</f>
        <v>6.5</v>
      </c>
      <c r="N7" s="93">
        <f>IFERROR(VLOOKUP(LeadSum[[#This Row],[Lead]],Sun_W1[],MATCH("RTA",Sun_W1[#Headers],0),0),"")</f>
        <v>2</v>
      </c>
      <c r="O7" s="93">
        <f>IFERROR(VLOOKUP(LeadSum[[#This Row],[Lead]],Sun_W1[],MATCH("Admin",Sun_W1[#Headers],0),0),"")</f>
        <v>7</v>
      </c>
      <c r="P7" s="93" t="str">
        <f>IFERROR(VLOOKUP(LeadSum[[#This Row],[Lead]],Sun_W1[],MATCH("Team MTG",Sun_W1[#Headers],0),0),"")</f>
        <v/>
      </c>
      <c r="R7" s="93">
        <f>IFERROR(VLOOKUP(LeadSum[[#This Row],[Lead]],Mon_W1[],MATCH("Help Line",Mon_W1[#Headers],0),0),"")</f>
        <v>7.5</v>
      </c>
      <c r="S7" s="93">
        <f>IFERROR(VLOOKUP(LeadSum[[#This Row],[Lead]],Mon_W1[],MATCH("RTA",Mon_W1[#Headers],0),0),"")</f>
        <v>0</v>
      </c>
      <c r="T7" s="93">
        <f>IFERROR(VLOOKUP(LeadSum[[#This Row],[Lead]],Mon_W1[],MATCH("Admin",Mon_W1[#Headers],0),0),"")</f>
        <v>8</v>
      </c>
      <c r="U7" s="93" t="str">
        <f>IFERROR(VLOOKUP(LeadSum[[#This Row],[Lead]],Mon_W1[],MATCH("Team MTG",Mon_W1[#Headers],0),0),"")</f>
        <v/>
      </c>
      <c r="W7" s="93" t="str">
        <f>IFERROR(VLOOKUP(LeadSum[[#This Row],[Lead]],Tue_W1[],MATCH("Help Line",Tue_W1[#Headers],0),0),"")</f>
        <v/>
      </c>
      <c r="X7" s="93" t="str">
        <f>IFERROR(VLOOKUP(LeadSum[[#This Row],[Lead]],Tue_W1[],MATCH("RTA",Tue_W1[#Headers],0),0),"")</f>
        <v/>
      </c>
      <c r="Y7" s="93" t="str">
        <f>IFERROR(VLOOKUP(LeadSum[[#This Row],[Lead]],Tue_W1[],MATCH("Admin",Tue_W1[#Headers],0),0),"")</f>
        <v/>
      </c>
      <c r="Z7" s="93" t="str">
        <f>IFERROR(VLOOKUP(LeadSum[[#This Row],[Lead]],Tue_W1[],MATCH("Team MTG",Tue_W1[#Headers],0),0),"")</f>
        <v/>
      </c>
      <c r="AB7" s="93" t="str">
        <f>IFERROR(VLOOKUP(LeadSum[[#This Row],[Lead]],Wed_W1[],MATCH("Help Line",Wed_W1[#Headers],0),0),"")</f>
        <v/>
      </c>
      <c r="AC7" s="93" t="str">
        <f>IFERROR(VLOOKUP(LeadSum[[#This Row],[Lead]],Wed_W1[],MATCH("RTA",Wed_W1[#Headers],0),0),"")</f>
        <v/>
      </c>
      <c r="AD7" s="93" t="str">
        <f>IFERROR(VLOOKUP(LeadSum[[#This Row],[Lead]],Wed_W1[],MATCH("Admin",Wed_W1[#Headers],0),0),"")</f>
        <v/>
      </c>
      <c r="AE7" s="93" t="str">
        <f>IFERROR(VLOOKUP(LeadSum[[#This Row],[Lead]],Wed_W1[],MATCH("Team MTG",Wed_W1[#Headers],0),0),"")</f>
        <v/>
      </c>
      <c r="AG7" s="93">
        <f>IFERROR(VLOOKUP(LeadSum[[#This Row],[Lead]],Thu_W1[],MATCH("Help Line",Thu_W1[#Headers],0),0),"")</f>
        <v>9</v>
      </c>
      <c r="AH7" s="93">
        <f>IFERROR(VLOOKUP(LeadSum[[#This Row],[Lead]],Thu_W1[],MATCH("RTA",Thu_W1[#Headers],0),0),"")</f>
        <v>0</v>
      </c>
      <c r="AI7" s="93">
        <f>IFERROR(VLOOKUP(LeadSum[[#This Row],[Lead]],Thu_W1[],MATCH("Admin",Thu_W1[#Headers],0),0),"")</f>
        <v>7</v>
      </c>
      <c r="AJ7" s="93" t="str">
        <f>IFERROR(VLOOKUP(LeadSum[[#This Row],[Lead]],Thu_W1[],MATCH("Team MTG",Thu_W1[#Headers],0),0),"")</f>
        <v/>
      </c>
      <c r="AL7" s="93">
        <f>IFERROR(VLOOKUP(LeadSum[[#This Row],[Lead]],Fri_W1[],MATCH("Help Line",Fri_W1[#Headers],0),0),"")</f>
        <v>6.5</v>
      </c>
      <c r="AM7" s="93">
        <f>IFERROR(VLOOKUP(LeadSum[[#This Row],[Lead]],Fri_W1[],MATCH("RTA",Fri_W1[#Headers],0),0),"")</f>
        <v>0</v>
      </c>
      <c r="AN7" s="93">
        <f>IFERROR(VLOOKUP(LeadSum[[#This Row],[Lead]],Fri_W1[],MATCH("Admin",Fri_W1[#Headers],0),0),"")</f>
        <v>7</v>
      </c>
      <c r="AO7" s="93" t="str">
        <f>IFERROR(VLOOKUP(LeadSum[[#This Row],[Lead]],Fri_W1[],MATCH("Team MTG",Fri_W1[#Headers],0),0),"")</f>
        <v/>
      </c>
      <c r="AQ7" s="93">
        <f>IFERROR(VLOOKUP(LeadSum[[#This Row],[Lead]],Sat_W1[],MATCH("Help Line",Sat_W1[#Headers],0),0),"")</f>
        <v>6.5</v>
      </c>
      <c r="AR7" s="93">
        <f>IFERROR(VLOOKUP(LeadSum[[#This Row],[Lead]],Sat_W1[],MATCH("RTA",Sat_W1[#Headers],0),0),"")</f>
        <v>2</v>
      </c>
      <c r="AS7" s="93">
        <f>IFERROR(VLOOKUP(LeadSum[[#This Row],[Lead]],Sat_W1[],MATCH("Admin",Sat_W1[#Headers],0),0),"")</f>
        <v>7</v>
      </c>
      <c r="AT7" s="93" t="str">
        <f>IFERROR(VLOOKUP(LeadSum[[#This Row],[Lead]],Sat_W1[],MATCH("Team MTG",Sat_W1[#Headers],0),0),"")</f>
        <v/>
      </c>
      <c r="AV7" s="93">
        <f>IFERROR(VLOOKUP(LeadSum[[#This Row],[Lead]],Sun_W2[],MATCH("Help Line",Sun_W2[#Headers],0),0),"")</f>
        <v>6.5</v>
      </c>
      <c r="AW7" s="93">
        <f>IFERROR(VLOOKUP(LeadSum[[#This Row],[Lead]],Sun_W2[],MATCH("RTA",Sun_W2[#Headers],0),0),"")</f>
        <v>2</v>
      </c>
      <c r="AX7" s="93">
        <f>IFERROR(VLOOKUP(LeadSum[[#This Row],[Lead]],Sun_W2[],MATCH("Admin",Sun_W2[#Headers],0),0),"")</f>
        <v>7</v>
      </c>
      <c r="AY7" s="93" t="str">
        <f>IFERROR(VLOOKUP(LeadSum[[#This Row],[Lead]],Sun_W2[],MATCH("Team MTG",Sun_W2[#Headers],0),0),"")</f>
        <v/>
      </c>
      <c r="BA7" s="93">
        <f>IFERROR(VLOOKUP(LeadSum[[#This Row],[Lead]],Mon_W2[],MATCH("Help Line",Mon_W2[#Headers],0),0),"")</f>
        <v>7.5</v>
      </c>
      <c r="BB7" s="93">
        <f>IFERROR(VLOOKUP(LeadSum[[#This Row],[Lead]],Mon_W2[],MATCH("RTA",Mon_W2[#Headers],0),0),"")</f>
        <v>0</v>
      </c>
      <c r="BC7" s="93">
        <f>IFERROR(VLOOKUP(LeadSum[[#This Row],[Lead]],Mon_W2[],MATCH("Admin",Mon_W2[#Headers],0),0),"")</f>
        <v>8</v>
      </c>
      <c r="BD7" s="93" t="str">
        <f>IFERROR(VLOOKUP(LeadSum[[#This Row],[Lead]],Mon_W2[],MATCH("Team MTG",Mon_W2[#Headers],0),0),"")</f>
        <v/>
      </c>
      <c r="BF7" s="93" t="str">
        <f>IFERROR(VLOOKUP(LeadSum[[#This Row],[Lead]],Tue_W2[],MATCH("Help Line",Tue_W2[#Headers],0),0),"")</f>
        <v/>
      </c>
      <c r="BG7" s="93" t="str">
        <f>IFERROR(VLOOKUP(LeadSum[[#This Row],[Lead]],Tue_W2[],MATCH("RTA",Tue_W2[#Headers],0),0),"")</f>
        <v/>
      </c>
      <c r="BH7" s="93" t="str">
        <f>IFERROR(VLOOKUP(LeadSum[[#This Row],[Lead]],Tue_W2[],MATCH("Admin",Tue_W2[#Headers],0),0),"")</f>
        <v/>
      </c>
      <c r="BI7" s="93" t="str">
        <f>IFERROR(VLOOKUP(LeadSum[[#This Row],[Lead]],Tue_W2[],MATCH("Team MTG",Tue_W2[#Headers],0),0),"")</f>
        <v/>
      </c>
      <c r="BK7" s="93" t="str">
        <f>IFERROR(VLOOKUP(LeadSum[[#This Row],[Lead]],Wed_W2[],MATCH("Help Line",Wed_W2[#Headers],0),0),"")</f>
        <v/>
      </c>
      <c r="BL7" s="93" t="str">
        <f>IFERROR(VLOOKUP(LeadSum[[#This Row],[Lead]],Wed_W2[],MATCH("RTA",Wed_W2[#Headers],0),0),"")</f>
        <v/>
      </c>
      <c r="BM7" s="93" t="str">
        <f>IFERROR(VLOOKUP(LeadSum[[#This Row],[Lead]],Wed_W2[],MATCH("Admin",Wed_W2[#Headers],0),0),"")</f>
        <v/>
      </c>
      <c r="BN7" s="93" t="str">
        <f>IFERROR(VLOOKUP(LeadSum[[#This Row],[Lead]],Wed_W2[],MATCH("Team MTG",Wed_W2[#Headers],0),0),"")</f>
        <v/>
      </c>
      <c r="BP7" s="93">
        <f>IFERROR(VLOOKUP(LeadSum[[#This Row],[Lead]],Thu_W2[],MATCH("Help Line",Thu_W2[#Headers],0),0),"")</f>
        <v>9</v>
      </c>
      <c r="BQ7" s="93">
        <f>IFERROR(VLOOKUP(LeadSum[[#This Row],[Lead]],Thu_W2[],MATCH("RTA",Thu_W2[#Headers],0),0),"")</f>
        <v>0</v>
      </c>
      <c r="BR7" s="93">
        <f>IFERROR(VLOOKUP(LeadSum[[#This Row],[Lead]],Thu_W2[],MATCH("Admin",Thu_W2[#Headers],0),0),"")</f>
        <v>7</v>
      </c>
      <c r="BS7" s="93" t="str">
        <f>IFERROR(VLOOKUP(LeadSum[[#This Row],[Lead]],Thu_W2[],MATCH("Team MTG",Thu_W2[#Headers],0),0),"")</f>
        <v/>
      </c>
      <c r="BU7" s="93">
        <f>IFERROR(VLOOKUP(LeadSum[[#This Row],[Lead]],Fri_W2[],MATCH("Help Line",Fri_W2[#Headers],0),0),"")</f>
        <v>6.5</v>
      </c>
      <c r="BV7" s="93">
        <f>IFERROR(VLOOKUP(LeadSum[[#This Row],[Lead]],Fri_W2[],MATCH("RTA",Fri_W2[#Headers],0),0),"")</f>
        <v>0</v>
      </c>
      <c r="BW7" s="93">
        <f>IFERROR(VLOOKUP(LeadSum[[#This Row],[Lead]],Fri_W2[],MATCH("Admin",Fri_W2[#Headers],0),0),"")</f>
        <v>7</v>
      </c>
      <c r="BX7" s="93" t="str">
        <f>IFERROR(VLOOKUP(LeadSum[[#This Row],[Lead]],Fri_W2[],MATCH("Team MTG",Fri_W2[#Headers],0),0),"")</f>
        <v/>
      </c>
      <c r="BZ7" s="93">
        <f>IFERROR(VLOOKUP(LeadSum[[#This Row],[Lead]],Sat_W2[],MATCH("Help Line",Sat_W2[#Headers],0),0),"")</f>
        <v>6.5</v>
      </c>
      <c r="CA7" s="93">
        <f>IFERROR(VLOOKUP(LeadSum[[#This Row],[Lead]],Sat_W2[],MATCH("RTA",Sat_W2[#Headers],0),0),"")</f>
        <v>2</v>
      </c>
      <c r="CB7" s="93">
        <f>IFERROR(VLOOKUP(LeadSum[[#This Row],[Lead]],Sat_W2[],MATCH("Admin",Sat_W2[#Headers],0),0),"")</f>
        <v>7</v>
      </c>
      <c r="CC7" s="93" t="str">
        <f>IFERROR(VLOOKUP(LeadSum[[#This Row],[Lead]],Sat_W2[],MATCH("Team MTG",Sat_W2[#Headers],0),0),"")</f>
        <v/>
      </c>
    </row>
    <row r="8" spans="1:81" x14ac:dyDescent="0.2">
      <c r="A8" s="93">
        <f>SUM(LeadSum[[#This Row],[Help Line W1]:[RTA W1]])</f>
        <v>54</v>
      </c>
      <c r="B8" s="108" t="s">
        <v>24</v>
      </c>
      <c r="C8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44</v>
      </c>
      <c r="D8" s="93">
        <f>SUM(LSum_Sun1[[#This Row],[RTA]],LSum_Mon1[[#This Row],[RTA]],LSum_Tue1[[#This Row],[RTA]],LSum_Wed1[[#This Row],[RTA]],LSum_Thu1[[#This Row],[RTA]],LSum_Fri1[[#This Row],[RTA]],LSum_Sat1[[#This Row],[RTA]])</f>
        <v>10</v>
      </c>
      <c r="E8" s="93">
        <f>SUM(LSum_Sun1[[#This Row],[Admin]],LSum_Mon1[[#This Row],[Admin]],LSum_Tue1[[#This Row],[Admin]],LSum_Wed1[[#This Row],[Admin]],LSum_Thu1[[#This Row],[Admin]],LSum_Fri1[[#This Row],[Admin]],LSum_Sat1[[#This Row],[Admin]])</f>
        <v>22</v>
      </c>
      <c r="F8" s="93">
        <f>SUM(LSum_Sun1[[#This Row],[TM]],LSum_Mon1[[#This Row],[TM]],LSum_Tue1[[#This Row],[TM]],LSum_Wed1[[#This Row],[TM]],LSum_Thu1[[#This Row],[TM]],LSum_Fri1[[#This Row],[TM]],LSum_Sat1[[#This Row],[TM]])</f>
        <v>0</v>
      </c>
      <c r="G8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44</v>
      </c>
      <c r="H8" s="93">
        <f>SUM(LSum_Sun2[[#This Row],[RTA]],LSum_Mon2[[#This Row],[RTA]],LSum_Tue2[[#This Row],[RTA]],LSum_Wed2[[#This Row],[RTA]],LSum_Thu2[[#This Row],[RTA]],LSum_Fri2[[#This Row],[RTA]],LSum_Sat2[[#This Row],[RTA]])</f>
        <v>10</v>
      </c>
      <c r="I8" s="93">
        <f>SUM(LSum_Sun2[[#This Row],[Admin]],LSum_Mon2[[#This Row],[Admin]],LSum_Tue2[[#This Row],[Admin]],LSum_Wed2[[#This Row],[Admin]],LSum_Thu2[[#This Row],[Admin]],LSum_Fri2[[#This Row],[Admin]],LSum_Sat2[[#This Row],[Admin]])</f>
        <v>22</v>
      </c>
      <c r="J8" s="93">
        <f>SUM(LSum_Sun2[[#This Row],[TM]],LSum_Mon2[[#This Row],[TM]],LSum_Tue2[[#This Row],[TM]],LSum_Wed2[[#This Row],[TM]],LSum_Thu2[[#This Row],[TM]],LSum_Fri2[[#This Row],[TM]],LSum_Sat2[[#This Row],[TM]])</f>
        <v>0</v>
      </c>
      <c r="K8" s="93">
        <f>SUM(LeadSum[[#This Row],[Help Line W2]:[RTA W2]])</f>
        <v>54</v>
      </c>
      <c r="L8" s="93"/>
      <c r="M8" s="93" t="str">
        <f>IFERROR(VLOOKUP(LeadSum[[#This Row],[Lead]],Sun_W1[],MATCH("Help Line",Sun_W1[#Headers],0),0),"")</f>
        <v/>
      </c>
      <c r="N8" s="93" t="str">
        <f>IFERROR(VLOOKUP(LeadSum[[#This Row],[Lead]],Sun_W1[],MATCH("RTA",Sun_W1[#Headers],0),0),"")</f>
        <v/>
      </c>
      <c r="O8" s="93" t="str">
        <f>IFERROR(VLOOKUP(LeadSum[[#This Row],[Lead]],Sun_W1[],MATCH("Admin",Sun_W1[#Headers],0),0),"")</f>
        <v/>
      </c>
      <c r="P8" s="93" t="str">
        <f>IFERROR(VLOOKUP(LeadSum[[#This Row],[Lead]],Sun_W1[],MATCH("Team MTG",Sun_W1[#Headers],0),0),"")</f>
        <v/>
      </c>
      <c r="R8" s="93">
        <f>IFERROR(VLOOKUP(LeadSum[[#This Row],[Lead]],Mon_W1[],MATCH("Help Line",Mon_W1[#Headers],0),0),"")</f>
        <v>9</v>
      </c>
      <c r="S8" s="93">
        <f>IFERROR(VLOOKUP(LeadSum[[#This Row],[Lead]],Mon_W1[],MATCH("RTA",Mon_W1[#Headers],0),0),"")</f>
        <v>2</v>
      </c>
      <c r="T8" s="93">
        <f>IFERROR(VLOOKUP(LeadSum[[#This Row],[Lead]],Mon_W1[],MATCH("Admin",Mon_W1[#Headers],0),0),"")</f>
        <v>4</v>
      </c>
      <c r="U8" s="93" t="str">
        <f>IFERROR(VLOOKUP(LeadSum[[#This Row],[Lead]],Mon_W1[],MATCH("Team MTG",Mon_W1[#Headers],0),0),"")</f>
        <v/>
      </c>
      <c r="W8" s="93">
        <f>IFERROR(VLOOKUP(LeadSum[[#This Row],[Lead]],Tue_W1[],MATCH("Help Line",Tue_W1[#Headers],0),0),"")</f>
        <v>8</v>
      </c>
      <c r="X8" s="93">
        <f>IFERROR(VLOOKUP(LeadSum[[#This Row],[Lead]],Tue_W1[],MATCH("RTA",Tue_W1[#Headers],0),0),"")</f>
        <v>2</v>
      </c>
      <c r="Y8" s="93">
        <f>IFERROR(VLOOKUP(LeadSum[[#This Row],[Lead]],Tue_W1[],MATCH("Admin",Tue_W1[#Headers],0),0),"")</f>
        <v>5</v>
      </c>
      <c r="Z8" s="93" t="str">
        <f>IFERROR(VLOOKUP(LeadSum[[#This Row],[Lead]],Tue_W1[],MATCH("Team MTG",Tue_W1[#Headers],0),0),"")</f>
        <v/>
      </c>
      <c r="AB8" s="93">
        <f>IFERROR(VLOOKUP(LeadSum[[#This Row],[Lead]],Wed_W1[],MATCH("Help Line",Wed_W1[#Headers],0),0),"")</f>
        <v>9.5</v>
      </c>
      <c r="AC8" s="93">
        <f>IFERROR(VLOOKUP(LeadSum[[#This Row],[Lead]],Wed_W1[],MATCH("RTA",Wed_W1[#Headers],0),0),"")</f>
        <v>2</v>
      </c>
      <c r="AD8" s="93">
        <f>IFERROR(VLOOKUP(LeadSum[[#This Row],[Lead]],Wed_W1[],MATCH("Admin",Wed_W1[#Headers],0),0),"")</f>
        <v>4</v>
      </c>
      <c r="AE8" s="93" t="str">
        <f>IFERROR(VLOOKUP(LeadSum[[#This Row],[Lead]],Wed_W1[],MATCH("Team MTG",Wed_W1[#Headers],0),0),"")</f>
        <v/>
      </c>
      <c r="AG8" s="93">
        <f>IFERROR(VLOOKUP(LeadSum[[#This Row],[Lead]],Thu_W1[],MATCH("Help Line",Thu_W1[#Headers],0),0),"")</f>
        <v>9</v>
      </c>
      <c r="AH8" s="93">
        <f>IFERROR(VLOOKUP(LeadSum[[#This Row],[Lead]],Thu_W1[],MATCH("RTA",Thu_W1[#Headers],0),0),"")</f>
        <v>2</v>
      </c>
      <c r="AI8" s="93">
        <f>IFERROR(VLOOKUP(LeadSum[[#This Row],[Lead]],Thu_W1[],MATCH("Admin",Thu_W1[#Headers],0),0),"")</f>
        <v>4</v>
      </c>
      <c r="AJ8" s="93" t="str">
        <f>IFERROR(VLOOKUP(LeadSum[[#This Row],[Lead]],Thu_W1[],MATCH("Team MTG",Thu_W1[#Headers],0),0),"")</f>
        <v/>
      </c>
      <c r="AL8" s="93">
        <f>IFERROR(VLOOKUP(LeadSum[[#This Row],[Lead]],Fri_W1[],MATCH("Help Line",Fri_W1[#Headers],0),0),"")</f>
        <v>8.5</v>
      </c>
      <c r="AM8" s="93">
        <f>IFERROR(VLOOKUP(LeadSum[[#This Row],[Lead]],Fri_W1[],MATCH("RTA",Fri_W1[#Headers],0),0),"")</f>
        <v>2</v>
      </c>
      <c r="AN8" s="93">
        <f>IFERROR(VLOOKUP(LeadSum[[#This Row],[Lead]],Fri_W1[],MATCH("Admin",Fri_W1[#Headers],0),0),"")</f>
        <v>5</v>
      </c>
      <c r="AO8" s="93" t="str">
        <f>IFERROR(VLOOKUP(LeadSum[[#This Row],[Lead]],Fri_W1[],MATCH("Team MTG",Fri_W1[#Headers],0),0),"")</f>
        <v/>
      </c>
      <c r="AQ8" s="93" t="str">
        <f>IFERROR(VLOOKUP(LeadSum[[#This Row],[Lead]],Sat_W1[],MATCH("Help Line",Sat_W1[#Headers],0),0),"")</f>
        <v/>
      </c>
      <c r="AR8" s="93" t="str">
        <f>IFERROR(VLOOKUP(LeadSum[[#This Row],[Lead]],Sat_W1[],MATCH("RTA",Sat_W1[#Headers],0),0),"")</f>
        <v/>
      </c>
      <c r="AS8" s="93" t="str">
        <f>IFERROR(VLOOKUP(LeadSum[[#This Row],[Lead]],Sat_W1[],MATCH("Admin",Sat_W1[#Headers],0),0),"")</f>
        <v/>
      </c>
      <c r="AT8" s="93" t="str">
        <f>IFERROR(VLOOKUP(LeadSum[[#This Row],[Lead]],Sat_W1[],MATCH("Team MTG",Sat_W1[#Headers],0),0),"")</f>
        <v/>
      </c>
      <c r="AV8" s="93" t="str">
        <f>IFERROR(VLOOKUP(LeadSum[[#This Row],[Lead]],Sun_W2[],MATCH("Help Line",Sun_W2[#Headers],0),0),"")</f>
        <v/>
      </c>
      <c r="AW8" s="93" t="str">
        <f>IFERROR(VLOOKUP(LeadSum[[#This Row],[Lead]],Sun_W2[],MATCH("RTA",Sun_W2[#Headers],0),0),"")</f>
        <v/>
      </c>
      <c r="AX8" s="93" t="str">
        <f>IFERROR(VLOOKUP(LeadSum[[#This Row],[Lead]],Sun_W2[],MATCH("Admin",Sun_W2[#Headers],0),0),"")</f>
        <v/>
      </c>
      <c r="AY8" s="93" t="str">
        <f>IFERROR(VLOOKUP(LeadSum[[#This Row],[Lead]],Sun_W2[],MATCH("Team MTG",Sun_W2[#Headers],0),0),"")</f>
        <v/>
      </c>
      <c r="BA8" s="93">
        <f>IFERROR(VLOOKUP(LeadSum[[#This Row],[Lead]],Mon_W2[],MATCH("Help Line",Mon_W2[#Headers],0),0),"")</f>
        <v>9</v>
      </c>
      <c r="BB8" s="93">
        <f>IFERROR(VLOOKUP(LeadSum[[#This Row],[Lead]],Mon_W2[],MATCH("RTA",Mon_W2[#Headers],0),0),"")</f>
        <v>2</v>
      </c>
      <c r="BC8" s="93">
        <f>IFERROR(VLOOKUP(LeadSum[[#This Row],[Lead]],Mon_W2[],MATCH("Admin",Mon_W2[#Headers],0),0),"")</f>
        <v>4</v>
      </c>
      <c r="BD8" s="93" t="str">
        <f>IFERROR(VLOOKUP(LeadSum[[#This Row],[Lead]],Mon_W2[],MATCH("Team MTG",Mon_W2[#Headers],0),0),"")</f>
        <v/>
      </c>
      <c r="BF8" s="93">
        <f>IFERROR(VLOOKUP(LeadSum[[#This Row],[Lead]],Tue_W2[],MATCH("Help Line",Tue_W2[#Headers],0),0),"")</f>
        <v>8</v>
      </c>
      <c r="BG8" s="93">
        <f>IFERROR(VLOOKUP(LeadSum[[#This Row],[Lead]],Tue_W2[],MATCH("RTA",Tue_W2[#Headers],0),0),"")</f>
        <v>2</v>
      </c>
      <c r="BH8" s="93">
        <f>IFERROR(VLOOKUP(LeadSum[[#This Row],[Lead]],Tue_W2[],MATCH("Admin",Tue_W2[#Headers],0),0),"")</f>
        <v>5</v>
      </c>
      <c r="BI8" s="93" t="str">
        <f>IFERROR(VLOOKUP(LeadSum[[#This Row],[Lead]],Tue_W2[],MATCH("Team MTG",Tue_W2[#Headers],0),0),"")</f>
        <v/>
      </c>
      <c r="BK8" s="93">
        <f>IFERROR(VLOOKUP(LeadSum[[#This Row],[Lead]],Wed_W2[],MATCH("Help Line",Wed_W2[#Headers],0),0),"")</f>
        <v>9.5</v>
      </c>
      <c r="BL8" s="93">
        <f>IFERROR(VLOOKUP(LeadSum[[#This Row],[Lead]],Wed_W2[],MATCH("RTA",Wed_W2[#Headers],0),0),"")</f>
        <v>2</v>
      </c>
      <c r="BM8" s="93">
        <f>IFERROR(VLOOKUP(LeadSum[[#This Row],[Lead]],Wed_W2[],MATCH("Admin",Wed_W2[#Headers],0),0),"")</f>
        <v>4</v>
      </c>
      <c r="BN8" s="93" t="str">
        <f>IFERROR(VLOOKUP(LeadSum[[#This Row],[Lead]],Wed_W2[],MATCH("Team MTG",Wed_W2[#Headers],0),0),"")</f>
        <v/>
      </c>
      <c r="BP8" s="93">
        <f>IFERROR(VLOOKUP(LeadSum[[#This Row],[Lead]],Thu_W2[],MATCH("Help Line",Thu_W2[#Headers],0),0),"")</f>
        <v>9</v>
      </c>
      <c r="BQ8" s="93">
        <f>IFERROR(VLOOKUP(LeadSum[[#This Row],[Lead]],Thu_W2[],MATCH("RTA",Thu_W2[#Headers],0),0),"")</f>
        <v>2</v>
      </c>
      <c r="BR8" s="93">
        <f>IFERROR(VLOOKUP(LeadSum[[#This Row],[Lead]],Thu_W2[],MATCH("Admin",Thu_W2[#Headers],0),0),"")</f>
        <v>4</v>
      </c>
      <c r="BS8" s="93" t="str">
        <f>IFERROR(VLOOKUP(LeadSum[[#This Row],[Lead]],Thu_W2[],MATCH("Team MTG",Thu_W2[#Headers],0),0),"")</f>
        <v/>
      </c>
      <c r="BU8" s="93">
        <f>IFERROR(VLOOKUP(LeadSum[[#This Row],[Lead]],Fri_W2[],MATCH("Help Line",Fri_W2[#Headers],0),0),"")</f>
        <v>8.5</v>
      </c>
      <c r="BV8" s="93">
        <f>IFERROR(VLOOKUP(LeadSum[[#This Row],[Lead]],Fri_W2[],MATCH("RTA",Fri_W2[#Headers],0),0),"")</f>
        <v>2</v>
      </c>
      <c r="BW8" s="93">
        <f>IFERROR(VLOOKUP(LeadSum[[#This Row],[Lead]],Fri_W2[],MATCH("Admin",Fri_W2[#Headers],0),0),"")</f>
        <v>5</v>
      </c>
      <c r="BX8" s="93" t="str">
        <f>IFERROR(VLOOKUP(LeadSum[[#This Row],[Lead]],Fri_W2[],MATCH("Team MTG",Fri_W2[#Headers],0),0),"")</f>
        <v/>
      </c>
      <c r="BZ8" s="93" t="str">
        <f>IFERROR(VLOOKUP(LeadSum[[#This Row],[Lead]],Sat_W2[],MATCH("Help Line",Sat_W2[#Headers],0),0),"")</f>
        <v/>
      </c>
      <c r="CA8" s="93" t="str">
        <f>IFERROR(VLOOKUP(LeadSum[[#This Row],[Lead]],Sat_W2[],MATCH("RTA",Sat_W2[#Headers],0),0),"")</f>
        <v/>
      </c>
      <c r="CB8" s="93" t="str">
        <f>IFERROR(VLOOKUP(LeadSum[[#This Row],[Lead]],Sat_W2[],MATCH("Admin",Sat_W2[#Headers],0),0),"")</f>
        <v/>
      </c>
      <c r="CC8" s="93" t="str">
        <f>IFERROR(VLOOKUP(LeadSum[[#This Row],[Lead]],Sat_W2[],MATCH("Team MTG",Sat_W2[#Headers],0),0),"")</f>
        <v/>
      </c>
    </row>
    <row r="9" spans="1:81" x14ac:dyDescent="0.2">
      <c r="A9" s="93">
        <f>SUM(LeadSum[[#This Row],[Help Line W1]:[RTA W1]])</f>
        <v>44.5</v>
      </c>
      <c r="B9" s="108" t="s">
        <v>235</v>
      </c>
      <c r="C9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42.5</v>
      </c>
      <c r="D9" s="93">
        <f>SUM(LSum_Sun1[[#This Row],[RTA]],LSum_Mon1[[#This Row],[RTA]],LSum_Tue1[[#This Row],[RTA]],LSum_Wed1[[#This Row],[RTA]],LSum_Thu1[[#This Row],[RTA]],LSum_Fri1[[#This Row],[RTA]],LSum_Sat1[[#This Row],[RTA]])</f>
        <v>2</v>
      </c>
      <c r="E9" s="93">
        <f>SUM(LSum_Sun1[[#This Row],[Admin]],LSum_Mon1[[#This Row],[Admin]],LSum_Tue1[[#This Row],[Admin]],LSum_Wed1[[#This Row],[Admin]],LSum_Thu1[[#This Row],[Admin]],LSum_Fri1[[#This Row],[Admin]],LSum_Sat1[[#This Row],[Admin]])</f>
        <v>31</v>
      </c>
      <c r="F9" s="93">
        <f>SUM(LSum_Sun1[[#This Row],[TM]],LSum_Mon1[[#This Row],[TM]],LSum_Tue1[[#This Row],[TM]],LSum_Wed1[[#This Row],[TM]],LSum_Thu1[[#This Row],[TM]],LSum_Fri1[[#This Row],[TM]],LSum_Sat1[[#This Row],[TM]])</f>
        <v>0</v>
      </c>
      <c r="G9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42.5</v>
      </c>
      <c r="H9" s="93">
        <f>SUM(LSum_Sun2[[#This Row],[RTA]],LSum_Mon2[[#This Row],[RTA]],LSum_Tue2[[#This Row],[RTA]],LSum_Wed2[[#This Row],[RTA]],LSum_Thu2[[#This Row],[RTA]],LSum_Fri2[[#This Row],[RTA]],LSum_Sat2[[#This Row],[RTA]])</f>
        <v>2</v>
      </c>
      <c r="I9" s="93">
        <f>SUM(LSum_Sun2[[#This Row],[Admin]],LSum_Mon2[[#This Row],[Admin]],LSum_Tue2[[#This Row],[Admin]],LSum_Wed2[[#This Row],[Admin]],LSum_Thu2[[#This Row],[Admin]],LSum_Fri2[[#This Row],[Admin]],LSum_Sat2[[#This Row],[Admin]])</f>
        <v>31</v>
      </c>
      <c r="J9" s="93">
        <f>SUM(LSum_Sun2[[#This Row],[TM]],LSum_Mon2[[#This Row],[TM]],LSum_Tue2[[#This Row],[TM]],LSum_Wed2[[#This Row],[TM]],LSum_Thu2[[#This Row],[TM]],LSum_Fri2[[#This Row],[TM]],LSum_Sat2[[#This Row],[TM]])</f>
        <v>0</v>
      </c>
      <c r="K9" s="93">
        <f>SUM(LeadSum[[#This Row],[Help Line W2]:[RTA W2]])</f>
        <v>44.5</v>
      </c>
      <c r="L9" s="93"/>
      <c r="M9" s="93">
        <f>IFERROR(VLOOKUP(LeadSum[[#This Row],[Lead]],Sun_W1[],MATCH("Help Line",Sun_W1[#Headers],0),0),"")</f>
        <v>8.5</v>
      </c>
      <c r="N9" s="93">
        <f>IFERROR(VLOOKUP(LeadSum[[#This Row],[Lead]],Sun_W1[],MATCH("RTA",Sun_W1[#Headers],0),0),"")</f>
        <v>2</v>
      </c>
      <c r="O9" s="93">
        <f>IFERROR(VLOOKUP(LeadSum[[#This Row],[Lead]],Sun_W1[],MATCH("Admin",Sun_W1[#Headers],0),0),"")</f>
        <v>5</v>
      </c>
      <c r="P9" s="93" t="str">
        <f>IFERROR(VLOOKUP(LeadSum[[#This Row],[Lead]],Sun_W1[],MATCH("Team MTG",Sun_W1[#Headers],0),0),"")</f>
        <v/>
      </c>
      <c r="R9" s="93">
        <f>IFERROR(VLOOKUP(LeadSum[[#This Row],[Lead]],Mon_W1[],MATCH("Help Line",Mon_W1[#Headers],0),0),"")</f>
        <v>10.5</v>
      </c>
      <c r="S9" s="93">
        <f>IFERROR(VLOOKUP(LeadSum[[#This Row],[Lead]],Mon_W1[],MATCH("RTA",Mon_W1[#Headers],0),0),"")</f>
        <v>0</v>
      </c>
      <c r="T9" s="93">
        <f>IFERROR(VLOOKUP(LeadSum[[#This Row],[Lead]],Mon_W1[],MATCH("Admin",Mon_W1[#Headers],0),0),"")</f>
        <v>5</v>
      </c>
      <c r="U9" s="93" t="str">
        <f>IFERROR(VLOOKUP(LeadSum[[#This Row],[Lead]],Mon_W1[],MATCH("Team MTG",Mon_W1[#Headers],0),0),"")</f>
        <v/>
      </c>
      <c r="W9" s="93">
        <f>IFERROR(VLOOKUP(LeadSum[[#This Row],[Lead]],Tue_W1[],MATCH("Help Line",Tue_W1[#Headers],0),0),"")</f>
        <v>8.5</v>
      </c>
      <c r="X9" s="93">
        <f>IFERROR(VLOOKUP(LeadSum[[#This Row],[Lead]],Tue_W1[],MATCH("RTA",Tue_W1[#Headers],0),0),"")</f>
        <v>0</v>
      </c>
      <c r="Y9" s="93">
        <f>IFERROR(VLOOKUP(LeadSum[[#This Row],[Lead]],Tue_W1[],MATCH("Admin",Tue_W1[#Headers],0),0),"")</f>
        <v>5</v>
      </c>
      <c r="Z9" s="93" t="str">
        <f>IFERROR(VLOOKUP(LeadSum[[#This Row],[Lead]],Tue_W1[],MATCH("Team MTG",Tue_W1[#Headers],0),0),"")</f>
        <v/>
      </c>
      <c r="AB9" s="93" t="str">
        <f>IFERROR(VLOOKUP(LeadSum[[#This Row],[Lead]],Wed_W1[],MATCH("Help Line",Wed_W1[#Headers],0),0),"")</f>
        <v/>
      </c>
      <c r="AC9" s="93" t="str">
        <f>IFERROR(VLOOKUP(LeadSum[[#This Row],[Lead]],Wed_W1[],MATCH("RTA",Wed_W1[#Headers],0),0),"")</f>
        <v/>
      </c>
      <c r="AD9" s="93" t="str">
        <f>IFERROR(VLOOKUP(LeadSum[[#This Row],[Lead]],Wed_W1[],MATCH("Admin",Wed_W1[#Headers],0),0),"")</f>
        <v/>
      </c>
      <c r="AE9" s="93" t="str">
        <f>IFERROR(VLOOKUP(LeadSum[[#This Row],[Lead]],Wed_W1[],MATCH("Team MTG",Wed_W1[#Headers],0),0),"")</f>
        <v/>
      </c>
      <c r="AG9" s="93" t="str">
        <f>IFERROR(VLOOKUP(LeadSum[[#This Row],[Lead]],Thu_W1[],MATCH("Help Line",Thu_W1[#Headers],0),0),"")</f>
        <v/>
      </c>
      <c r="AH9" s="93" t="str">
        <f>IFERROR(VLOOKUP(LeadSum[[#This Row],[Lead]],Thu_W1[],MATCH("RTA",Thu_W1[#Headers],0),0),"")</f>
        <v/>
      </c>
      <c r="AI9" s="93" t="str">
        <f>IFERROR(VLOOKUP(LeadSum[[#This Row],[Lead]],Thu_W1[],MATCH("Admin",Thu_W1[#Headers],0),0),"")</f>
        <v/>
      </c>
      <c r="AJ9" s="93" t="str">
        <f>IFERROR(VLOOKUP(LeadSum[[#This Row],[Lead]],Thu_W1[],MATCH("Team MTG",Thu_W1[#Headers],0),0),"")</f>
        <v/>
      </c>
      <c r="AL9" s="93">
        <f>IFERROR(VLOOKUP(LeadSum[[#This Row],[Lead]],Fri_W1[],MATCH("Help Line",Fri_W1[#Headers],0),0),"")</f>
        <v>7.5</v>
      </c>
      <c r="AM9" s="93">
        <f>IFERROR(VLOOKUP(LeadSum[[#This Row],[Lead]],Fri_W1[],MATCH("RTA",Fri_W1[#Headers],0),0),"")</f>
        <v>0</v>
      </c>
      <c r="AN9" s="93">
        <f>IFERROR(VLOOKUP(LeadSum[[#This Row],[Lead]],Fri_W1[],MATCH("Admin",Fri_W1[#Headers],0),0),"")</f>
        <v>8</v>
      </c>
      <c r="AO9" s="93" t="str">
        <f>IFERROR(VLOOKUP(LeadSum[[#This Row],[Lead]],Fri_W1[],MATCH("Team MTG",Fri_W1[#Headers],0),0),"")</f>
        <v/>
      </c>
      <c r="AQ9" s="93">
        <f>IFERROR(VLOOKUP(LeadSum[[#This Row],[Lead]],Sat_W1[],MATCH("Help Line",Sat_W1[#Headers],0),0),"")</f>
        <v>7.5</v>
      </c>
      <c r="AR9" s="93">
        <f>IFERROR(VLOOKUP(LeadSum[[#This Row],[Lead]],Sat_W1[],MATCH("RTA",Sat_W1[#Headers],0),0),"")</f>
        <v>0</v>
      </c>
      <c r="AS9" s="93">
        <f>IFERROR(VLOOKUP(LeadSum[[#This Row],[Lead]],Sat_W1[],MATCH("Admin",Sat_W1[#Headers],0),0),"")</f>
        <v>8</v>
      </c>
      <c r="AT9" s="93" t="str">
        <f>IFERROR(VLOOKUP(LeadSum[[#This Row],[Lead]],Sat_W1[],MATCH("Team MTG",Sat_W1[#Headers],0),0),"")</f>
        <v/>
      </c>
      <c r="AV9" s="93">
        <f>IFERROR(VLOOKUP(LeadSum[[#This Row],[Lead]],Sun_W2[],MATCH("Help Line",Sun_W2[#Headers],0),0),"")</f>
        <v>8.5</v>
      </c>
      <c r="AW9" s="93">
        <f>IFERROR(VLOOKUP(LeadSum[[#This Row],[Lead]],Sun_W2[],MATCH("RTA",Sun_W2[#Headers],0),0),"")</f>
        <v>2</v>
      </c>
      <c r="AX9" s="93">
        <f>IFERROR(VLOOKUP(LeadSum[[#This Row],[Lead]],Sun_W2[],MATCH("Admin",Sun_W2[#Headers],0),0),"")</f>
        <v>5</v>
      </c>
      <c r="AY9" s="93" t="str">
        <f>IFERROR(VLOOKUP(LeadSum[[#This Row],[Lead]],Sun_W2[],MATCH("Team MTG",Sun_W2[#Headers],0),0),"")</f>
        <v/>
      </c>
      <c r="BA9" s="93">
        <f>IFERROR(VLOOKUP(LeadSum[[#This Row],[Lead]],Mon_W2[],MATCH("Help Line",Mon_W2[#Headers],0),0),"")</f>
        <v>10.5</v>
      </c>
      <c r="BB9" s="93">
        <f>IFERROR(VLOOKUP(LeadSum[[#This Row],[Lead]],Mon_W2[],MATCH("RTA",Mon_W2[#Headers],0),0),"")</f>
        <v>0</v>
      </c>
      <c r="BC9" s="93">
        <f>IFERROR(VLOOKUP(LeadSum[[#This Row],[Lead]],Mon_W2[],MATCH("Admin",Mon_W2[#Headers],0),0),"")</f>
        <v>5</v>
      </c>
      <c r="BD9" s="93" t="str">
        <f>IFERROR(VLOOKUP(LeadSum[[#This Row],[Lead]],Mon_W2[],MATCH("Team MTG",Mon_W2[#Headers],0),0),"")</f>
        <v/>
      </c>
      <c r="BF9" s="93">
        <f>IFERROR(VLOOKUP(LeadSum[[#This Row],[Lead]],Tue_W2[],MATCH("Help Line",Tue_W2[#Headers],0),0),"")</f>
        <v>8.5</v>
      </c>
      <c r="BG9" s="93">
        <f>IFERROR(VLOOKUP(LeadSum[[#This Row],[Lead]],Tue_W2[],MATCH("RTA",Tue_W2[#Headers],0),0),"")</f>
        <v>0</v>
      </c>
      <c r="BH9" s="93">
        <f>IFERROR(VLOOKUP(LeadSum[[#This Row],[Lead]],Tue_W2[],MATCH("Admin",Tue_W2[#Headers],0),0),"")</f>
        <v>5</v>
      </c>
      <c r="BI9" s="93" t="str">
        <f>IFERROR(VLOOKUP(LeadSum[[#This Row],[Lead]],Tue_W2[],MATCH("Team MTG",Tue_W2[#Headers],0),0),"")</f>
        <v/>
      </c>
      <c r="BK9" s="93" t="str">
        <f>IFERROR(VLOOKUP(LeadSum[[#This Row],[Lead]],Wed_W2[],MATCH("Help Line",Wed_W2[#Headers],0),0),"")</f>
        <v/>
      </c>
      <c r="BL9" s="93" t="str">
        <f>IFERROR(VLOOKUP(LeadSum[[#This Row],[Lead]],Wed_W2[],MATCH("RTA",Wed_W2[#Headers],0),0),"")</f>
        <v/>
      </c>
      <c r="BM9" s="93" t="str">
        <f>IFERROR(VLOOKUP(LeadSum[[#This Row],[Lead]],Wed_W2[],MATCH("Admin",Wed_W2[#Headers],0),0),"")</f>
        <v/>
      </c>
      <c r="BN9" s="93" t="str">
        <f>IFERROR(VLOOKUP(LeadSum[[#This Row],[Lead]],Wed_W2[],MATCH("Team MTG",Wed_W2[#Headers],0),0),"")</f>
        <v/>
      </c>
      <c r="BP9" s="93" t="str">
        <f>IFERROR(VLOOKUP(LeadSum[[#This Row],[Lead]],Thu_W2[],MATCH("Help Line",Thu_W2[#Headers],0),0),"")</f>
        <v/>
      </c>
      <c r="BQ9" s="93" t="str">
        <f>IFERROR(VLOOKUP(LeadSum[[#This Row],[Lead]],Thu_W2[],MATCH("RTA",Thu_W2[#Headers],0),0),"")</f>
        <v/>
      </c>
      <c r="BR9" s="93" t="str">
        <f>IFERROR(VLOOKUP(LeadSum[[#This Row],[Lead]],Thu_W2[],MATCH("Admin",Thu_W2[#Headers],0),0),"")</f>
        <v/>
      </c>
      <c r="BS9" s="93" t="str">
        <f>IFERROR(VLOOKUP(LeadSum[[#This Row],[Lead]],Thu_W2[],MATCH("Team MTG",Thu_W2[#Headers],0),0),"")</f>
        <v/>
      </c>
      <c r="BU9" s="93">
        <f>IFERROR(VLOOKUP(LeadSum[[#This Row],[Lead]],Fri_W2[],MATCH("Help Line",Fri_W2[#Headers],0),0),"")</f>
        <v>7.5</v>
      </c>
      <c r="BV9" s="93">
        <f>IFERROR(VLOOKUP(LeadSum[[#This Row],[Lead]],Fri_W2[],MATCH("RTA",Fri_W2[#Headers],0),0),"")</f>
        <v>0</v>
      </c>
      <c r="BW9" s="93">
        <f>IFERROR(VLOOKUP(LeadSum[[#This Row],[Lead]],Fri_W2[],MATCH("Admin",Fri_W2[#Headers],0),0),"")</f>
        <v>8</v>
      </c>
      <c r="BX9" s="93" t="str">
        <f>IFERROR(VLOOKUP(LeadSum[[#This Row],[Lead]],Fri_W2[],MATCH("Team MTG",Fri_W2[#Headers],0),0),"")</f>
        <v/>
      </c>
      <c r="BZ9" s="93">
        <f>IFERROR(VLOOKUP(LeadSum[[#This Row],[Lead]],Sat_W2[],MATCH("Help Line",Sat_W2[#Headers],0),0),"")</f>
        <v>7.5</v>
      </c>
      <c r="CA9" s="93">
        <f>IFERROR(VLOOKUP(LeadSum[[#This Row],[Lead]],Sat_W2[],MATCH("RTA",Sat_W2[#Headers],0),0),"")</f>
        <v>0</v>
      </c>
      <c r="CB9" s="93">
        <f>IFERROR(VLOOKUP(LeadSum[[#This Row],[Lead]],Sat_W2[],MATCH("Admin",Sat_W2[#Headers],0),0),"")</f>
        <v>8</v>
      </c>
      <c r="CC9" s="93" t="str">
        <f>IFERROR(VLOOKUP(LeadSum[[#This Row],[Lead]],Sat_W2[],MATCH("Team MTG",Sat_W2[#Headers],0),0),"")</f>
        <v/>
      </c>
    </row>
    <row r="10" spans="1:81" x14ac:dyDescent="0.2">
      <c r="A10" s="93">
        <f>SUM(LeadSum[[#This Row],[Help Line W1]:[RTA W1]])</f>
        <v>0</v>
      </c>
      <c r="B10" s="108" t="s">
        <v>58</v>
      </c>
      <c r="C10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10" s="93">
        <f>SUM(LSum_Sun1[[#This Row],[RTA]],LSum_Mon1[[#This Row],[RTA]],LSum_Tue1[[#This Row],[RTA]],LSum_Wed1[[#This Row],[RTA]],LSum_Thu1[[#This Row],[RTA]],LSum_Fri1[[#This Row],[RTA]],LSum_Sat1[[#This Row],[RTA]])</f>
        <v>0</v>
      </c>
      <c r="E10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10" s="93">
        <f>SUM(LSum_Sun1[[#This Row],[TM]],LSum_Mon1[[#This Row],[TM]],LSum_Tue1[[#This Row],[TM]],LSum_Wed1[[#This Row],[TM]],LSum_Thu1[[#This Row],[TM]],LSum_Fri1[[#This Row],[TM]],LSum_Sat1[[#This Row],[TM]])</f>
        <v>0</v>
      </c>
      <c r="G10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10" s="93">
        <f>SUM(LSum_Sun2[[#This Row],[RTA]],LSum_Mon2[[#This Row],[RTA]],LSum_Tue2[[#This Row],[RTA]],LSum_Wed2[[#This Row],[RTA]],LSum_Thu2[[#This Row],[RTA]],LSum_Fri2[[#This Row],[RTA]],LSum_Sat2[[#This Row],[RTA]])</f>
        <v>0</v>
      </c>
      <c r="I10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10" s="93">
        <f>SUM(LSum_Sun2[[#This Row],[TM]],LSum_Mon2[[#This Row],[TM]],LSum_Tue2[[#This Row],[TM]],LSum_Wed2[[#This Row],[TM]],LSum_Thu2[[#This Row],[TM]],LSum_Fri2[[#This Row],[TM]],LSum_Sat2[[#This Row],[TM]])</f>
        <v>0</v>
      </c>
      <c r="K10" s="93">
        <f>SUM(LeadSum[[#This Row],[Help Line W2]:[RTA W2]])</f>
        <v>0</v>
      </c>
      <c r="L10" s="93"/>
      <c r="M10" s="93" t="str">
        <f>IFERROR(VLOOKUP(LeadSum[[#This Row],[Lead]],Sun_W1[],MATCH("Help Line",Sun_W1[#Headers],0),0),"")</f>
        <v/>
      </c>
      <c r="N10" s="93" t="str">
        <f>IFERROR(VLOOKUP(LeadSum[[#This Row],[Lead]],Sun_W1[],MATCH("RTA",Sun_W1[#Headers],0),0),"")</f>
        <v/>
      </c>
      <c r="O10" s="93" t="str">
        <f>IFERROR(VLOOKUP(LeadSum[[#This Row],[Lead]],Sun_W1[],MATCH("Admin",Sun_W1[#Headers],0),0),"")</f>
        <v/>
      </c>
      <c r="P10" s="93" t="str">
        <f>IFERROR(VLOOKUP(LeadSum[[#This Row],[Lead]],Sun_W1[],MATCH("Team MTG",Sun_W1[#Headers],0),0),"")</f>
        <v/>
      </c>
      <c r="R10" s="93" t="str">
        <f>IFERROR(VLOOKUP(LeadSum[[#This Row],[Lead]],Mon_W1[],MATCH("Help Line",Mon_W1[#Headers],0),0),"")</f>
        <v/>
      </c>
      <c r="S10" s="93" t="str">
        <f>IFERROR(VLOOKUP(LeadSum[[#This Row],[Lead]],Mon_W1[],MATCH("RTA",Mon_W1[#Headers],0),0),"")</f>
        <v/>
      </c>
      <c r="T10" s="93" t="str">
        <f>IFERROR(VLOOKUP(LeadSum[[#This Row],[Lead]],Mon_W1[],MATCH("Admin",Mon_W1[#Headers],0),0),"")</f>
        <v/>
      </c>
      <c r="U10" s="93" t="str">
        <f>IFERROR(VLOOKUP(LeadSum[[#This Row],[Lead]],Mon_W1[],MATCH("Team MTG",Mon_W1[#Headers],0),0),"")</f>
        <v/>
      </c>
      <c r="W10" s="93" t="str">
        <f>IFERROR(VLOOKUP(LeadSum[[#This Row],[Lead]],Tue_W1[],MATCH("Help Line",Tue_W1[#Headers],0),0),"")</f>
        <v/>
      </c>
      <c r="X10" s="93" t="str">
        <f>IFERROR(VLOOKUP(LeadSum[[#This Row],[Lead]],Tue_W1[],MATCH("RTA",Tue_W1[#Headers],0),0),"")</f>
        <v/>
      </c>
      <c r="Y10" s="93" t="str">
        <f>IFERROR(VLOOKUP(LeadSum[[#This Row],[Lead]],Tue_W1[],MATCH("Admin",Tue_W1[#Headers],0),0),"")</f>
        <v/>
      </c>
      <c r="Z10" s="93" t="str">
        <f>IFERROR(VLOOKUP(LeadSum[[#This Row],[Lead]],Tue_W1[],MATCH("Team MTG",Tue_W1[#Headers],0),0),"")</f>
        <v/>
      </c>
      <c r="AB10" s="93" t="str">
        <f>IFERROR(VLOOKUP(LeadSum[[#This Row],[Lead]],Wed_W1[],MATCH("Help Line",Wed_W1[#Headers],0),0),"")</f>
        <v/>
      </c>
      <c r="AC10" s="93" t="str">
        <f>IFERROR(VLOOKUP(LeadSum[[#This Row],[Lead]],Wed_W1[],MATCH("RTA",Wed_W1[#Headers],0),0),"")</f>
        <v/>
      </c>
      <c r="AD10" s="93" t="str">
        <f>IFERROR(VLOOKUP(LeadSum[[#This Row],[Lead]],Wed_W1[],MATCH("Admin",Wed_W1[#Headers],0),0),"")</f>
        <v/>
      </c>
      <c r="AE10" s="93" t="str">
        <f>IFERROR(VLOOKUP(LeadSum[[#This Row],[Lead]],Wed_W1[],MATCH("Team MTG",Wed_W1[#Headers],0),0),"")</f>
        <v/>
      </c>
      <c r="AG10" s="93" t="str">
        <f>IFERROR(VLOOKUP(LeadSum[[#This Row],[Lead]],Thu_W1[],MATCH("Help Line",Thu_W1[#Headers],0),0),"")</f>
        <v/>
      </c>
      <c r="AH10" s="93" t="str">
        <f>IFERROR(VLOOKUP(LeadSum[[#This Row],[Lead]],Thu_W1[],MATCH("RTA",Thu_W1[#Headers],0),0),"")</f>
        <v/>
      </c>
      <c r="AI10" s="93" t="str">
        <f>IFERROR(VLOOKUP(LeadSum[[#This Row],[Lead]],Thu_W1[],MATCH("Admin",Thu_W1[#Headers],0),0),"")</f>
        <v/>
      </c>
      <c r="AJ10" s="93" t="str">
        <f>IFERROR(VLOOKUP(LeadSum[[#This Row],[Lead]],Thu_W1[],MATCH("Team MTG",Thu_W1[#Headers],0),0),"")</f>
        <v/>
      </c>
      <c r="AL10" s="93" t="str">
        <f>IFERROR(VLOOKUP(LeadSum[[#This Row],[Lead]],Fri_W1[],MATCH("Help Line",Fri_W1[#Headers],0),0),"")</f>
        <v/>
      </c>
      <c r="AM10" s="93" t="str">
        <f>IFERROR(VLOOKUP(LeadSum[[#This Row],[Lead]],Fri_W1[],MATCH("RTA",Fri_W1[#Headers],0),0),"")</f>
        <v/>
      </c>
      <c r="AN10" s="93" t="str">
        <f>IFERROR(VLOOKUP(LeadSum[[#This Row],[Lead]],Fri_W1[],MATCH("Admin",Fri_W1[#Headers],0),0),"")</f>
        <v/>
      </c>
      <c r="AO10" s="93" t="str">
        <f>IFERROR(VLOOKUP(LeadSum[[#This Row],[Lead]],Fri_W1[],MATCH("Team MTG",Fri_W1[#Headers],0),0),"")</f>
        <v/>
      </c>
      <c r="AQ10" s="93" t="str">
        <f>IFERROR(VLOOKUP(LeadSum[[#This Row],[Lead]],Sat_W1[],MATCH("Help Line",Sat_W1[#Headers],0),0),"")</f>
        <v/>
      </c>
      <c r="AR10" s="93" t="str">
        <f>IFERROR(VLOOKUP(LeadSum[[#This Row],[Lead]],Sat_W1[],MATCH("RTA",Sat_W1[#Headers],0),0),"")</f>
        <v/>
      </c>
      <c r="AS10" s="93" t="str">
        <f>IFERROR(VLOOKUP(LeadSum[[#This Row],[Lead]],Sat_W1[],MATCH("Admin",Sat_W1[#Headers],0),0),"")</f>
        <v/>
      </c>
      <c r="AT10" s="93" t="str">
        <f>IFERROR(VLOOKUP(LeadSum[[#This Row],[Lead]],Sat_W1[],MATCH("Team MTG",Sat_W1[#Headers],0),0),"")</f>
        <v/>
      </c>
      <c r="AV10" s="93" t="str">
        <f>IFERROR(VLOOKUP(LeadSum[[#This Row],[Lead]],Sun_W2[],MATCH("Help Line",Sun_W2[#Headers],0),0),"")</f>
        <v/>
      </c>
      <c r="AW10" s="93" t="str">
        <f>IFERROR(VLOOKUP(LeadSum[[#This Row],[Lead]],Sun_W2[],MATCH("RTA",Sun_W2[#Headers],0),0),"")</f>
        <v/>
      </c>
      <c r="AX10" s="93" t="str">
        <f>IFERROR(VLOOKUP(LeadSum[[#This Row],[Lead]],Sun_W2[],MATCH("Admin",Sun_W2[#Headers],0),0),"")</f>
        <v/>
      </c>
      <c r="AY10" s="93" t="str">
        <f>IFERROR(VLOOKUP(LeadSum[[#This Row],[Lead]],Sun_W2[],MATCH("Team MTG",Sun_W2[#Headers],0),0),"")</f>
        <v/>
      </c>
      <c r="BA10" s="93" t="str">
        <f>IFERROR(VLOOKUP(LeadSum[[#This Row],[Lead]],Mon_W2[],MATCH("Help Line",Mon_W2[#Headers],0),0),"")</f>
        <v/>
      </c>
      <c r="BB10" s="93" t="str">
        <f>IFERROR(VLOOKUP(LeadSum[[#This Row],[Lead]],Mon_W2[],MATCH("RTA",Mon_W2[#Headers],0),0),"")</f>
        <v/>
      </c>
      <c r="BC10" s="93" t="str">
        <f>IFERROR(VLOOKUP(LeadSum[[#This Row],[Lead]],Mon_W2[],MATCH("Admin",Mon_W2[#Headers],0),0),"")</f>
        <v/>
      </c>
      <c r="BD10" s="93" t="str">
        <f>IFERROR(VLOOKUP(LeadSum[[#This Row],[Lead]],Mon_W2[],MATCH("Team MTG",Mon_W2[#Headers],0),0),"")</f>
        <v/>
      </c>
      <c r="BF10" s="93" t="str">
        <f>IFERROR(VLOOKUP(LeadSum[[#This Row],[Lead]],Tue_W2[],MATCH("Help Line",Tue_W2[#Headers],0),0),"")</f>
        <v/>
      </c>
      <c r="BG10" s="93" t="str">
        <f>IFERROR(VLOOKUP(LeadSum[[#This Row],[Lead]],Tue_W2[],MATCH("RTA",Tue_W2[#Headers],0),0),"")</f>
        <v/>
      </c>
      <c r="BH10" s="93" t="str">
        <f>IFERROR(VLOOKUP(LeadSum[[#This Row],[Lead]],Tue_W2[],MATCH("Admin",Tue_W2[#Headers],0),0),"")</f>
        <v/>
      </c>
      <c r="BI10" s="93" t="str">
        <f>IFERROR(VLOOKUP(LeadSum[[#This Row],[Lead]],Tue_W2[],MATCH("Team MTG",Tue_W2[#Headers],0),0),"")</f>
        <v/>
      </c>
      <c r="BK10" s="93" t="str">
        <f>IFERROR(VLOOKUP(LeadSum[[#This Row],[Lead]],Wed_W2[],MATCH("Help Line",Wed_W2[#Headers],0),0),"")</f>
        <v/>
      </c>
      <c r="BL10" s="93" t="str">
        <f>IFERROR(VLOOKUP(LeadSum[[#This Row],[Lead]],Wed_W2[],MATCH("RTA",Wed_W2[#Headers],0),0),"")</f>
        <v/>
      </c>
      <c r="BM10" s="93" t="str">
        <f>IFERROR(VLOOKUP(LeadSum[[#This Row],[Lead]],Wed_W2[],MATCH("Admin",Wed_W2[#Headers],0),0),"")</f>
        <v/>
      </c>
      <c r="BN10" s="93" t="str">
        <f>IFERROR(VLOOKUP(LeadSum[[#This Row],[Lead]],Wed_W2[],MATCH("Team MTG",Wed_W2[#Headers],0),0),"")</f>
        <v/>
      </c>
      <c r="BP10" s="93" t="str">
        <f>IFERROR(VLOOKUP(LeadSum[[#This Row],[Lead]],Thu_W2[],MATCH("Help Line",Thu_W2[#Headers],0),0),"")</f>
        <v/>
      </c>
      <c r="BQ10" s="93" t="str">
        <f>IFERROR(VLOOKUP(LeadSum[[#This Row],[Lead]],Thu_W2[],MATCH("RTA",Thu_W2[#Headers],0),0),"")</f>
        <v/>
      </c>
      <c r="BR10" s="93" t="str">
        <f>IFERROR(VLOOKUP(LeadSum[[#This Row],[Lead]],Thu_W2[],MATCH("Admin",Thu_W2[#Headers],0),0),"")</f>
        <v/>
      </c>
      <c r="BS10" s="93" t="str">
        <f>IFERROR(VLOOKUP(LeadSum[[#This Row],[Lead]],Thu_W2[],MATCH("Team MTG",Thu_W2[#Headers],0),0),"")</f>
        <v/>
      </c>
      <c r="BU10" s="93" t="str">
        <f>IFERROR(VLOOKUP(LeadSum[[#This Row],[Lead]],Fri_W2[],MATCH("Help Line",Fri_W2[#Headers],0),0),"")</f>
        <v/>
      </c>
      <c r="BV10" s="93" t="str">
        <f>IFERROR(VLOOKUP(LeadSum[[#This Row],[Lead]],Fri_W2[],MATCH("RTA",Fri_W2[#Headers],0),0),"")</f>
        <v/>
      </c>
      <c r="BW10" s="93" t="str">
        <f>IFERROR(VLOOKUP(LeadSum[[#This Row],[Lead]],Fri_W2[],MATCH("Admin",Fri_W2[#Headers],0),0),"")</f>
        <v/>
      </c>
      <c r="BX10" s="93" t="str">
        <f>IFERROR(VLOOKUP(LeadSum[[#This Row],[Lead]],Fri_W2[],MATCH("Team MTG",Fri_W2[#Headers],0),0),"")</f>
        <v/>
      </c>
      <c r="BZ10" s="93" t="str">
        <f>IFERROR(VLOOKUP(LeadSum[[#This Row],[Lead]],Sat_W2[],MATCH("Help Line",Sat_W2[#Headers],0),0),"")</f>
        <v/>
      </c>
      <c r="CA10" s="93" t="str">
        <f>IFERROR(VLOOKUP(LeadSum[[#This Row],[Lead]],Sat_W2[],MATCH("RTA",Sat_W2[#Headers],0),0),"")</f>
        <v/>
      </c>
      <c r="CB10" s="93" t="str">
        <f>IFERROR(VLOOKUP(LeadSum[[#This Row],[Lead]],Sat_W2[],MATCH("Admin",Sat_W2[#Headers],0),0),"")</f>
        <v/>
      </c>
      <c r="CC10" s="93" t="str">
        <f>IFERROR(VLOOKUP(LeadSum[[#This Row],[Lead]],Sat_W2[],MATCH("Team MTG",Sat_W2[#Headers],0),0),"")</f>
        <v/>
      </c>
    </row>
    <row r="11" spans="1:81" x14ac:dyDescent="0.2">
      <c r="A11" s="93">
        <f>SUM(LeadSum[[#This Row],[Help Line W1]:[RTA W1]])</f>
        <v>50.5</v>
      </c>
      <c r="B11" s="108" t="s">
        <v>229</v>
      </c>
      <c r="C11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46.5</v>
      </c>
      <c r="D11" s="93">
        <f>SUM(LSum_Sun1[[#This Row],[RTA]],LSum_Mon1[[#This Row],[RTA]],LSum_Tue1[[#This Row],[RTA]],LSum_Wed1[[#This Row],[RTA]],LSum_Thu1[[#This Row],[RTA]],LSum_Fri1[[#This Row],[RTA]],LSum_Sat1[[#This Row],[RTA]])</f>
        <v>4</v>
      </c>
      <c r="E11" s="93">
        <f>SUM(LSum_Sun1[[#This Row],[Admin]],LSum_Mon1[[#This Row],[Admin]],LSum_Tue1[[#This Row],[Admin]],LSum_Wed1[[#This Row],[Admin]],LSum_Thu1[[#This Row],[Admin]],LSum_Fri1[[#This Row],[Admin]],LSum_Sat1[[#This Row],[Admin]])</f>
        <v>25</v>
      </c>
      <c r="F11" s="93">
        <f>SUM(LSum_Sun1[[#This Row],[TM]],LSum_Mon1[[#This Row],[TM]],LSum_Tue1[[#This Row],[TM]],LSum_Wed1[[#This Row],[TM]],LSum_Thu1[[#This Row],[TM]],LSum_Fri1[[#This Row],[TM]],LSum_Sat1[[#This Row],[TM]])</f>
        <v>0</v>
      </c>
      <c r="G11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46.5</v>
      </c>
      <c r="H11" s="93">
        <f>SUM(LSum_Sun2[[#This Row],[RTA]],LSum_Mon2[[#This Row],[RTA]],LSum_Tue2[[#This Row],[RTA]],LSum_Wed2[[#This Row],[RTA]],LSum_Thu2[[#This Row],[RTA]],LSum_Fri2[[#This Row],[RTA]],LSum_Sat2[[#This Row],[RTA]])</f>
        <v>4</v>
      </c>
      <c r="I11" s="93">
        <f>SUM(LSum_Sun2[[#This Row],[Admin]],LSum_Mon2[[#This Row],[Admin]],LSum_Tue2[[#This Row],[Admin]],LSum_Wed2[[#This Row],[Admin]],LSum_Thu2[[#This Row],[Admin]],LSum_Fri2[[#This Row],[Admin]],LSum_Sat2[[#This Row],[Admin]])</f>
        <v>25</v>
      </c>
      <c r="J11" s="93">
        <f>SUM(LSum_Sun2[[#This Row],[TM]],LSum_Mon2[[#This Row],[TM]],LSum_Tue2[[#This Row],[TM]],LSum_Wed2[[#This Row],[TM]],LSum_Thu2[[#This Row],[TM]],LSum_Fri2[[#This Row],[TM]],LSum_Sat2[[#This Row],[TM]])</f>
        <v>0</v>
      </c>
      <c r="K11" s="93">
        <f>SUM(LeadSum[[#This Row],[Help Line W2]:[RTA W2]])</f>
        <v>50.5</v>
      </c>
      <c r="L11" s="93"/>
      <c r="M11" s="93" t="str">
        <f>IFERROR(VLOOKUP(LeadSum[[#This Row],[Lead]],Sun_W1[],MATCH("Help Line",Sun_W1[#Headers],0),0),"")</f>
        <v/>
      </c>
      <c r="N11" s="93" t="str">
        <f>IFERROR(VLOOKUP(LeadSum[[#This Row],[Lead]],Sun_W1[],MATCH("RTA",Sun_W1[#Headers],0),0),"")</f>
        <v/>
      </c>
      <c r="O11" s="93" t="str">
        <f>IFERROR(VLOOKUP(LeadSum[[#This Row],[Lead]],Sun_W1[],MATCH("Admin",Sun_W1[#Headers],0),0),"")</f>
        <v/>
      </c>
      <c r="P11" s="93" t="str">
        <f>IFERROR(VLOOKUP(LeadSum[[#This Row],[Lead]],Sun_W1[],MATCH("Team MTG",Sun_W1[#Headers],0),0),"")</f>
        <v/>
      </c>
      <c r="R11" s="93">
        <f>IFERROR(VLOOKUP(LeadSum[[#This Row],[Lead]],Mon_W1[],MATCH("Help Line",Mon_W1[#Headers],0),0),"")</f>
        <v>12.5</v>
      </c>
      <c r="S11" s="93">
        <f>IFERROR(VLOOKUP(LeadSum[[#This Row],[Lead]],Mon_W1[],MATCH("RTA",Mon_W1[#Headers],0),0),"")</f>
        <v>0</v>
      </c>
      <c r="T11" s="93">
        <f>IFERROR(VLOOKUP(LeadSum[[#This Row],[Lead]],Mon_W1[],MATCH("Admin",Mon_W1[#Headers],0),0),"")</f>
        <v>3</v>
      </c>
      <c r="U11" s="93" t="str">
        <f>IFERROR(VLOOKUP(LeadSum[[#This Row],[Lead]],Mon_W1[],MATCH("Team MTG",Mon_W1[#Headers],0),0),"")</f>
        <v/>
      </c>
      <c r="W11" s="93">
        <f>IFERROR(VLOOKUP(LeadSum[[#This Row],[Lead]],Tue_W1[],MATCH("Help Line",Tue_W1[#Headers],0),0),"")</f>
        <v>8.5</v>
      </c>
      <c r="X11" s="93">
        <f>IFERROR(VLOOKUP(LeadSum[[#This Row],[Lead]],Tue_W1[],MATCH("RTA",Tue_W1[#Headers],0),0),"")</f>
        <v>2</v>
      </c>
      <c r="Y11" s="93">
        <f>IFERROR(VLOOKUP(LeadSum[[#This Row],[Lead]],Tue_W1[],MATCH("Admin",Tue_W1[#Headers],0),0),"")</f>
        <v>3</v>
      </c>
      <c r="Z11" s="93" t="str">
        <f>IFERROR(VLOOKUP(LeadSum[[#This Row],[Lead]],Tue_W1[],MATCH("Team MTG",Tue_W1[#Headers],0),0),"")</f>
        <v/>
      </c>
      <c r="AB11" s="93">
        <f>IFERROR(VLOOKUP(LeadSum[[#This Row],[Lead]],Wed_W1[],MATCH("Help Line",Wed_W1[#Headers],0),0),"")</f>
        <v>9.5</v>
      </c>
      <c r="AC11" s="93">
        <f>IFERROR(VLOOKUP(LeadSum[[#This Row],[Lead]],Wed_W1[],MATCH("RTA",Wed_W1[#Headers],0),0),"")</f>
        <v>0</v>
      </c>
      <c r="AD11" s="93">
        <f>IFERROR(VLOOKUP(LeadSum[[#This Row],[Lead]],Wed_W1[],MATCH("Admin",Wed_W1[#Headers],0),0),"")</f>
        <v>6</v>
      </c>
      <c r="AE11" s="93" t="str">
        <f>IFERROR(VLOOKUP(LeadSum[[#This Row],[Lead]],Wed_W1[],MATCH("Team MTG",Wed_W1[#Headers],0),0),"")</f>
        <v/>
      </c>
      <c r="AG11" s="93">
        <f>IFERROR(VLOOKUP(LeadSum[[#This Row],[Lead]],Thu_W1[],MATCH("Help Line",Thu_W1[#Headers],0),0),"")</f>
        <v>8.5</v>
      </c>
      <c r="AH11" s="93">
        <f>IFERROR(VLOOKUP(LeadSum[[#This Row],[Lead]],Thu_W1[],MATCH("RTA",Thu_W1[#Headers],0),0),"")</f>
        <v>2</v>
      </c>
      <c r="AI11" s="93">
        <f>IFERROR(VLOOKUP(LeadSum[[#This Row],[Lead]],Thu_W1[],MATCH("Admin",Thu_W1[#Headers],0),0),"")</f>
        <v>5</v>
      </c>
      <c r="AJ11" s="93" t="str">
        <f>IFERROR(VLOOKUP(LeadSum[[#This Row],[Lead]],Thu_W1[],MATCH("Team MTG",Thu_W1[#Headers],0),0),"")</f>
        <v/>
      </c>
      <c r="AL11" s="93">
        <f>IFERROR(VLOOKUP(LeadSum[[#This Row],[Lead]],Fri_W1[],MATCH("Help Line",Fri_W1[#Headers],0),0),"")</f>
        <v>7.5</v>
      </c>
      <c r="AM11" s="93">
        <f>IFERROR(VLOOKUP(LeadSum[[#This Row],[Lead]],Fri_W1[],MATCH("RTA",Fri_W1[#Headers],0),0),"")</f>
        <v>0</v>
      </c>
      <c r="AN11" s="93">
        <f>IFERROR(VLOOKUP(LeadSum[[#This Row],[Lead]],Fri_W1[],MATCH("Admin",Fri_W1[#Headers],0),0),"")</f>
        <v>8</v>
      </c>
      <c r="AO11" s="93" t="str">
        <f>IFERROR(VLOOKUP(LeadSum[[#This Row],[Lead]],Fri_W1[],MATCH("Team MTG",Fri_W1[#Headers],0),0),"")</f>
        <v/>
      </c>
      <c r="AQ11" s="93" t="str">
        <f>IFERROR(VLOOKUP(LeadSum[[#This Row],[Lead]],Sat_W1[],MATCH("Help Line",Sat_W1[#Headers],0),0),"")</f>
        <v/>
      </c>
      <c r="AR11" s="93" t="str">
        <f>IFERROR(VLOOKUP(LeadSum[[#This Row],[Lead]],Sat_W1[],MATCH("RTA",Sat_W1[#Headers],0),0),"")</f>
        <v/>
      </c>
      <c r="AS11" s="93" t="str">
        <f>IFERROR(VLOOKUP(LeadSum[[#This Row],[Lead]],Sat_W1[],MATCH("Admin",Sat_W1[#Headers],0),0),"")</f>
        <v/>
      </c>
      <c r="AT11" s="93" t="str">
        <f>IFERROR(VLOOKUP(LeadSum[[#This Row],[Lead]],Sat_W1[],MATCH("Team MTG",Sat_W1[#Headers],0),0),"")</f>
        <v/>
      </c>
      <c r="AV11" s="93" t="str">
        <f>IFERROR(VLOOKUP(LeadSum[[#This Row],[Lead]],Sun_W2[],MATCH("Help Line",Sun_W2[#Headers],0),0),"")</f>
        <v/>
      </c>
      <c r="AW11" s="93" t="str">
        <f>IFERROR(VLOOKUP(LeadSum[[#This Row],[Lead]],Sun_W2[],MATCH("RTA",Sun_W2[#Headers],0),0),"")</f>
        <v/>
      </c>
      <c r="AX11" s="93" t="str">
        <f>IFERROR(VLOOKUP(LeadSum[[#This Row],[Lead]],Sun_W2[],MATCH("Admin",Sun_W2[#Headers],0),0),"")</f>
        <v/>
      </c>
      <c r="AY11" s="93" t="str">
        <f>IFERROR(VLOOKUP(LeadSum[[#This Row],[Lead]],Sun_W2[],MATCH("Team MTG",Sun_W2[#Headers],0),0),"")</f>
        <v/>
      </c>
      <c r="BA11" s="93">
        <f>IFERROR(VLOOKUP(LeadSum[[#This Row],[Lead]],Mon_W2[],MATCH("Help Line",Mon_W2[#Headers],0),0),"")</f>
        <v>12.5</v>
      </c>
      <c r="BB11" s="93">
        <f>IFERROR(VLOOKUP(LeadSum[[#This Row],[Lead]],Mon_W2[],MATCH("RTA",Mon_W2[#Headers],0),0),"")</f>
        <v>0</v>
      </c>
      <c r="BC11" s="93">
        <f>IFERROR(VLOOKUP(LeadSum[[#This Row],[Lead]],Mon_W2[],MATCH("Admin",Mon_W2[#Headers],0),0),"")</f>
        <v>3</v>
      </c>
      <c r="BD11" s="93" t="str">
        <f>IFERROR(VLOOKUP(LeadSum[[#This Row],[Lead]],Mon_W2[],MATCH("Team MTG",Mon_W2[#Headers],0),0),"")</f>
        <v/>
      </c>
      <c r="BF11" s="93">
        <f>IFERROR(VLOOKUP(LeadSum[[#This Row],[Lead]],Tue_W2[],MATCH("Help Line",Tue_W2[#Headers],0),0),"")</f>
        <v>8.5</v>
      </c>
      <c r="BG11" s="93">
        <f>IFERROR(VLOOKUP(LeadSum[[#This Row],[Lead]],Tue_W2[],MATCH("RTA",Tue_W2[#Headers],0),0),"")</f>
        <v>2</v>
      </c>
      <c r="BH11" s="93">
        <f>IFERROR(VLOOKUP(LeadSum[[#This Row],[Lead]],Tue_W2[],MATCH("Admin",Tue_W2[#Headers],0),0),"")</f>
        <v>3</v>
      </c>
      <c r="BI11" s="93" t="str">
        <f>IFERROR(VLOOKUP(LeadSum[[#This Row],[Lead]],Tue_W2[],MATCH("Team MTG",Tue_W2[#Headers],0),0),"")</f>
        <v/>
      </c>
      <c r="BK11" s="93">
        <f>IFERROR(VLOOKUP(LeadSum[[#This Row],[Lead]],Wed_W2[],MATCH("Help Line",Wed_W2[#Headers],0),0),"")</f>
        <v>9.5</v>
      </c>
      <c r="BL11" s="93">
        <f>IFERROR(VLOOKUP(LeadSum[[#This Row],[Lead]],Wed_W2[],MATCH("RTA",Wed_W2[#Headers],0),0),"")</f>
        <v>0</v>
      </c>
      <c r="BM11" s="93">
        <f>IFERROR(VLOOKUP(LeadSum[[#This Row],[Lead]],Wed_W2[],MATCH("Admin",Wed_W2[#Headers],0),0),"")</f>
        <v>6</v>
      </c>
      <c r="BN11" s="93" t="str">
        <f>IFERROR(VLOOKUP(LeadSum[[#This Row],[Lead]],Wed_W2[],MATCH("Team MTG",Wed_W2[#Headers],0),0),"")</f>
        <v/>
      </c>
      <c r="BP11" s="93">
        <f>IFERROR(VLOOKUP(LeadSum[[#This Row],[Lead]],Thu_W2[],MATCH("Help Line",Thu_W2[#Headers],0),0),"")</f>
        <v>8.5</v>
      </c>
      <c r="BQ11" s="93">
        <f>IFERROR(VLOOKUP(LeadSum[[#This Row],[Lead]],Thu_W2[],MATCH("RTA",Thu_W2[#Headers],0),0),"")</f>
        <v>2</v>
      </c>
      <c r="BR11" s="93">
        <f>IFERROR(VLOOKUP(LeadSum[[#This Row],[Lead]],Thu_W2[],MATCH("Admin",Thu_W2[#Headers],0),0),"")</f>
        <v>5</v>
      </c>
      <c r="BS11" s="93" t="str">
        <f>IFERROR(VLOOKUP(LeadSum[[#This Row],[Lead]],Thu_W2[],MATCH("Team MTG",Thu_W2[#Headers],0),0),"")</f>
        <v/>
      </c>
      <c r="BU11" s="93">
        <f>IFERROR(VLOOKUP(LeadSum[[#This Row],[Lead]],Fri_W2[],MATCH("Help Line",Fri_W2[#Headers],0),0),"")</f>
        <v>7.5</v>
      </c>
      <c r="BV11" s="93">
        <f>IFERROR(VLOOKUP(LeadSum[[#This Row],[Lead]],Fri_W2[],MATCH("RTA",Fri_W2[#Headers],0),0),"")</f>
        <v>0</v>
      </c>
      <c r="BW11" s="93">
        <f>IFERROR(VLOOKUP(LeadSum[[#This Row],[Lead]],Fri_W2[],MATCH("Admin",Fri_W2[#Headers],0),0),"")</f>
        <v>8</v>
      </c>
      <c r="BX11" s="93" t="str">
        <f>IFERROR(VLOOKUP(LeadSum[[#This Row],[Lead]],Fri_W2[],MATCH("Team MTG",Fri_W2[#Headers],0),0),"")</f>
        <v/>
      </c>
      <c r="BZ11" s="93" t="str">
        <f>IFERROR(VLOOKUP(LeadSum[[#This Row],[Lead]],Sat_W2[],MATCH("Help Line",Sat_W2[#Headers],0),0),"")</f>
        <v/>
      </c>
      <c r="CA11" s="93" t="str">
        <f>IFERROR(VLOOKUP(LeadSum[[#This Row],[Lead]],Sat_W2[],MATCH("RTA",Sat_W2[#Headers],0),0),"")</f>
        <v/>
      </c>
      <c r="CB11" s="93" t="str">
        <f>IFERROR(VLOOKUP(LeadSum[[#This Row],[Lead]],Sat_W2[],MATCH("Admin",Sat_W2[#Headers],0),0),"")</f>
        <v/>
      </c>
      <c r="CC11" s="93" t="str">
        <f>IFERROR(VLOOKUP(LeadSum[[#This Row],[Lead]],Sat_W2[],MATCH("Team MTG",Sat_W2[#Headers],0),0),"")</f>
        <v/>
      </c>
    </row>
    <row r="12" spans="1:81" x14ac:dyDescent="0.2">
      <c r="A12" s="93">
        <f>SUM(LeadSum[[#This Row],[Help Line W1]:[RTA W1]])</f>
        <v>38.5</v>
      </c>
      <c r="B12" s="108" t="s">
        <v>237</v>
      </c>
      <c r="C12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30.5</v>
      </c>
      <c r="D12" s="93">
        <f>SUM(LSum_Sun1[[#This Row],[RTA]],LSum_Mon1[[#This Row],[RTA]],LSum_Tue1[[#This Row],[RTA]],LSum_Wed1[[#This Row],[RTA]],LSum_Thu1[[#This Row],[RTA]],LSum_Fri1[[#This Row],[RTA]],LSum_Sat1[[#This Row],[RTA]])</f>
        <v>8</v>
      </c>
      <c r="E12" s="93">
        <f>SUM(LSum_Sun1[[#This Row],[Admin]],LSum_Mon1[[#This Row],[Admin]],LSum_Tue1[[#This Row],[Admin]],LSum_Wed1[[#This Row],[Admin]],LSum_Thu1[[#This Row],[Admin]],LSum_Fri1[[#This Row],[Admin]],LSum_Sat1[[#This Row],[Admin]])</f>
        <v>39</v>
      </c>
      <c r="F12" s="93">
        <f>SUM(LSum_Sun1[[#This Row],[TM]],LSum_Mon1[[#This Row],[TM]],LSum_Tue1[[#This Row],[TM]],LSum_Wed1[[#This Row],[TM]],LSum_Thu1[[#This Row],[TM]],LSum_Fri1[[#This Row],[TM]],LSum_Sat1[[#This Row],[TM]])</f>
        <v>0</v>
      </c>
      <c r="G12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30.5</v>
      </c>
      <c r="H12" s="93">
        <f>SUM(LSum_Sun2[[#This Row],[RTA]],LSum_Mon2[[#This Row],[RTA]],LSum_Tue2[[#This Row],[RTA]],LSum_Wed2[[#This Row],[RTA]],LSum_Thu2[[#This Row],[RTA]],LSum_Fri2[[#This Row],[RTA]],LSum_Sat2[[#This Row],[RTA]])</f>
        <v>8</v>
      </c>
      <c r="I12" s="93">
        <f>SUM(LSum_Sun2[[#This Row],[Admin]],LSum_Mon2[[#This Row],[Admin]],LSum_Tue2[[#This Row],[Admin]],LSum_Wed2[[#This Row],[Admin]],LSum_Thu2[[#This Row],[Admin]],LSum_Fri2[[#This Row],[Admin]],LSum_Sat2[[#This Row],[Admin]])</f>
        <v>39</v>
      </c>
      <c r="J12" s="93">
        <f>SUM(LSum_Sun2[[#This Row],[TM]],LSum_Mon2[[#This Row],[TM]],LSum_Tue2[[#This Row],[TM]],LSum_Wed2[[#This Row],[TM]],LSum_Thu2[[#This Row],[TM]],LSum_Fri2[[#This Row],[TM]],LSum_Sat2[[#This Row],[TM]])</f>
        <v>0</v>
      </c>
      <c r="K12" s="93">
        <f>SUM(LeadSum[[#This Row],[Help Line W2]:[RTA W2]])</f>
        <v>38.5</v>
      </c>
      <c r="L12" s="93"/>
      <c r="M12" s="93">
        <f>IFERROR(VLOOKUP(LeadSum[[#This Row],[Lead]],Sun_W1[],MATCH("Help Line",Sun_W1[#Headers],0),0),"")</f>
        <v>5.5</v>
      </c>
      <c r="N12" s="93">
        <f>IFERROR(VLOOKUP(LeadSum[[#This Row],[Lead]],Sun_W1[],MATCH("RTA",Sun_W1[#Headers],0),0),"")</f>
        <v>2</v>
      </c>
      <c r="O12" s="93">
        <f>IFERROR(VLOOKUP(LeadSum[[#This Row],[Lead]],Sun_W1[],MATCH("Admin",Sun_W1[#Headers],0),0),"")</f>
        <v>6</v>
      </c>
      <c r="P12" s="93" t="str">
        <f>IFERROR(VLOOKUP(LeadSum[[#This Row],[Lead]],Sun_W1[],MATCH("Team MTG",Sun_W1[#Headers],0),0),"")</f>
        <v/>
      </c>
      <c r="R12" s="93">
        <f>IFERROR(VLOOKUP(LeadSum[[#This Row],[Lead]],Mon_W1[],MATCH("Help Line",Mon_W1[#Headers],0),0),"")</f>
        <v>6</v>
      </c>
      <c r="S12" s="93">
        <f>IFERROR(VLOOKUP(LeadSum[[#This Row],[Lead]],Mon_W1[],MATCH("RTA",Mon_W1[#Headers],0),0),"")</f>
        <v>2</v>
      </c>
      <c r="T12" s="93">
        <f>IFERROR(VLOOKUP(LeadSum[[#This Row],[Lead]],Mon_W1[],MATCH("Admin",Mon_W1[#Headers],0),0),"")</f>
        <v>8</v>
      </c>
      <c r="U12" s="93" t="str">
        <f>IFERROR(VLOOKUP(LeadSum[[#This Row],[Lead]],Mon_W1[],MATCH("Team MTG",Mon_W1[#Headers],0),0),"")</f>
        <v/>
      </c>
      <c r="W12" s="93">
        <f>IFERROR(VLOOKUP(LeadSum[[#This Row],[Lead]],Tue_W1[],MATCH("Help Line",Tue_W1[#Headers],0),0),"")</f>
        <v>6</v>
      </c>
      <c r="X12" s="93">
        <f>IFERROR(VLOOKUP(LeadSum[[#This Row],[Lead]],Tue_W1[],MATCH("RTA",Tue_W1[#Headers],0),0),"")</f>
        <v>2</v>
      </c>
      <c r="Y12" s="93">
        <f>IFERROR(VLOOKUP(LeadSum[[#This Row],[Lead]],Tue_W1[],MATCH("Admin",Tue_W1[#Headers],0),0),"")</f>
        <v>8</v>
      </c>
      <c r="Z12" s="93" t="str">
        <f>IFERROR(VLOOKUP(LeadSum[[#This Row],[Lead]],Tue_W1[],MATCH("Team MTG",Tue_W1[#Headers],0),0),"")</f>
        <v/>
      </c>
      <c r="AB12" s="93">
        <f>IFERROR(VLOOKUP(LeadSum[[#This Row],[Lead]],Wed_W1[],MATCH("Help Line",Wed_W1[#Headers],0),0),"")</f>
        <v>7</v>
      </c>
      <c r="AC12" s="93">
        <f>IFERROR(VLOOKUP(LeadSum[[#This Row],[Lead]],Wed_W1[],MATCH("RTA",Wed_W1[#Headers],0),0),"")</f>
        <v>2</v>
      </c>
      <c r="AD12" s="93">
        <f>IFERROR(VLOOKUP(LeadSum[[#This Row],[Lead]],Wed_W1[],MATCH("Admin",Wed_W1[#Headers],0),0),"")</f>
        <v>7</v>
      </c>
      <c r="AE12" s="93" t="str">
        <f>IFERROR(VLOOKUP(LeadSum[[#This Row],[Lead]],Wed_W1[],MATCH("Team MTG",Wed_W1[#Headers],0),0),"")</f>
        <v/>
      </c>
      <c r="AG12" s="93">
        <f>IFERROR(VLOOKUP(LeadSum[[#This Row],[Lead]],Thu_W1[],MATCH("Help Line",Thu_W1[#Headers],0),0),"")</f>
        <v>6</v>
      </c>
      <c r="AH12" s="93">
        <f>IFERROR(VLOOKUP(LeadSum[[#This Row],[Lead]],Thu_W1[],MATCH("RTA",Thu_W1[#Headers],0),0),"")</f>
        <v>0</v>
      </c>
      <c r="AI12" s="93">
        <f>IFERROR(VLOOKUP(LeadSum[[#This Row],[Lead]],Thu_W1[],MATCH("Admin",Thu_W1[#Headers],0),0),"")</f>
        <v>10</v>
      </c>
      <c r="AJ12" s="93" t="str">
        <f>IFERROR(VLOOKUP(LeadSum[[#This Row],[Lead]],Thu_W1[],MATCH("Team MTG",Thu_W1[#Headers],0),0),"")</f>
        <v/>
      </c>
      <c r="AL12" s="93" t="str">
        <f>IFERROR(VLOOKUP(LeadSum[[#This Row],[Lead]],Fri_W1[],MATCH("Help Line",Fri_W1[#Headers],0),0),"")</f>
        <v/>
      </c>
      <c r="AM12" s="93" t="str">
        <f>IFERROR(VLOOKUP(LeadSum[[#This Row],[Lead]],Fri_W1[],MATCH("RTA",Fri_W1[#Headers],0),0),"")</f>
        <v/>
      </c>
      <c r="AN12" s="93" t="str">
        <f>IFERROR(VLOOKUP(LeadSum[[#This Row],[Lead]],Fri_W1[],MATCH("Admin",Fri_W1[#Headers],0),0),"")</f>
        <v/>
      </c>
      <c r="AO12" s="93" t="str">
        <f>IFERROR(VLOOKUP(LeadSum[[#This Row],[Lead]],Fri_W1[],MATCH("Team MTG",Fri_W1[#Headers],0),0),"")</f>
        <v/>
      </c>
      <c r="AQ12" s="93" t="str">
        <f>IFERROR(VLOOKUP(LeadSum[[#This Row],[Lead]],Sat_W1[],MATCH("Help Line",Sat_W1[#Headers],0),0),"")</f>
        <v/>
      </c>
      <c r="AR12" s="93" t="str">
        <f>IFERROR(VLOOKUP(LeadSum[[#This Row],[Lead]],Sat_W1[],MATCH("RTA",Sat_W1[#Headers],0),0),"")</f>
        <v/>
      </c>
      <c r="AS12" s="93" t="str">
        <f>IFERROR(VLOOKUP(LeadSum[[#This Row],[Lead]],Sat_W1[],MATCH("Admin",Sat_W1[#Headers],0),0),"")</f>
        <v/>
      </c>
      <c r="AT12" s="93" t="str">
        <f>IFERROR(VLOOKUP(LeadSum[[#This Row],[Lead]],Sat_W1[],MATCH("Team MTG",Sat_W1[#Headers],0),0),"")</f>
        <v/>
      </c>
      <c r="AV12" s="93">
        <f>IFERROR(VLOOKUP(LeadSum[[#This Row],[Lead]],Sun_W2[],MATCH("Help Line",Sun_W2[#Headers],0),0),"")</f>
        <v>5.5</v>
      </c>
      <c r="AW12" s="93">
        <f>IFERROR(VLOOKUP(LeadSum[[#This Row],[Lead]],Sun_W2[],MATCH("RTA",Sun_W2[#Headers],0),0),"")</f>
        <v>2</v>
      </c>
      <c r="AX12" s="93">
        <f>IFERROR(VLOOKUP(LeadSum[[#This Row],[Lead]],Sun_W2[],MATCH("Admin",Sun_W2[#Headers],0),0),"")</f>
        <v>6</v>
      </c>
      <c r="AY12" s="93" t="str">
        <f>IFERROR(VLOOKUP(LeadSum[[#This Row],[Lead]],Sun_W2[],MATCH("Team MTG",Sun_W2[#Headers],0),0),"")</f>
        <v/>
      </c>
      <c r="BA12" s="93">
        <f>IFERROR(VLOOKUP(LeadSum[[#This Row],[Lead]],Mon_W2[],MATCH("Help Line",Mon_W2[#Headers],0),0),"")</f>
        <v>6</v>
      </c>
      <c r="BB12" s="93">
        <f>IFERROR(VLOOKUP(LeadSum[[#This Row],[Lead]],Mon_W2[],MATCH("RTA",Mon_W2[#Headers],0),0),"")</f>
        <v>2</v>
      </c>
      <c r="BC12" s="93">
        <f>IFERROR(VLOOKUP(LeadSum[[#This Row],[Lead]],Mon_W2[],MATCH("Admin",Mon_W2[#Headers],0),0),"")</f>
        <v>8</v>
      </c>
      <c r="BD12" s="93" t="str">
        <f>IFERROR(VLOOKUP(LeadSum[[#This Row],[Lead]],Mon_W2[],MATCH("Team MTG",Mon_W2[#Headers],0),0),"")</f>
        <v/>
      </c>
      <c r="BF12" s="93">
        <f>IFERROR(VLOOKUP(LeadSum[[#This Row],[Lead]],Tue_W2[],MATCH("Help Line",Tue_W2[#Headers],0),0),"")</f>
        <v>6</v>
      </c>
      <c r="BG12" s="93">
        <f>IFERROR(VLOOKUP(LeadSum[[#This Row],[Lead]],Tue_W2[],MATCH("RTA",Tue_W2[#Headers],0),0),"")</f>
        <v>2</v>
      </c>
      <c r="BH12" s="93">
        <f>IFERROR(VLOOKUP(LeadSum[[#This Row],[Lead]],Tue_W2[],MATCH("Admin",Tue_W2[#Headers],0),0),"")</f>
        <v>8</v>
      </c>
      <c r="BI12" s="93" t="str">
        <f>IFERROR(VLOOKUP(LeadSum[[#This Row],[Lead]],Tue_W2[],MATCH("Team MTG",Tue_W2[#Headers],0),0),"")</f>
        <v/>
      </c>
      <c r="BK12" s="93">
        <f>IFERROR(VLOOKUP(LeadSum[[#This Row],[Lead]],Wed_W2[],MATCH("Help Line",Wed_W2[#Headers],0),0),"")</f>
        <v>7</v>
      </c>
      <c r="BL12" s="93">
        <f>IFERROR(VLOOKUP(LeadSum[[#This Row],[Lead]],Wed_W2[],MATCH("RTA",Wed_W2[#Headers],0),0),"")</f>
        <v>2</v>
      </c>
      <c r="BM12" s="93">
        <f>IFERROR(VLOOKUP(LeadSum[[#This Row],[Lead]],Wed_W2[],MATCH("Admin",Wed_W2[#Headers],0),0),"")</f>
        <v>7</v>
      </c>
      <c r="BN12" s="93" t="str">
        <f>IFERROR(VLOOKUP(LeadSum[[#This Row],[Lead]],Wed_W2[],MATCH("Team MTG",Wed_W2[#Headers],0),0),"")</f>
        <v/>
      </c>
      <c r="BP12" s="93">
        <f>IFERROR(VLOOKUP(LeadSum[[#This Row],[Lead]],Thu_W2[],MATCH("Help Line",Thu_W2[#Headers],0),0),"")</f>
        <v>6</v>
      </c>
      <c r="BQ12" s="93">
        <f>IFERROR(VLOOKUP(LeadSum[[#This Row],[Lead]],Thu_W2[],MATCH("RTA",Thu_W2[#Headers],0),0),"")</f>
        <v>0</v>
      </c>
      <c r="BR12" s="93">
        <f>IFERROR(VLOOKUP(LeadSum[[#This Row],[Lead]],Thu_W2[],MATCH("Admin",Thu_W2[#Headers],0),0),"")</f>
        <v>10</v>
      </c>
      <c r="BS12" s="93" t="str">
        <f>IFERROR(VLOOKUP(LeadSum[[#This Row],[Lead]],Thu_W2[],MATCH("Team MTG",Thu_W2[#Headers],0),0),"")</f>
        <v/>
      </c>
      <c r="BU12" s="93" t="str">
        <f>IFERROR(VLOOKUP(LeadSum[[#This Row],[Lead]],Fri_W2[],MATCH("Help Line",Fri_W2[#Headers],0),0),"")</f>
        <v/>
      </c>
      <c r="BV12" s="93" t="str">
        <f>IFERROR(VLOOKUP(LeadSum[[#This Row],[Lead]],Fri_W2[],MATCH("RTA",Fri_W2[#Headers],0),0),"")</f>
        <v/>
      </c>
      <c r="BW12" s="93" t="str">
        <f>IFERROR(VLOOKUP(LeadSum[[#This Row],[Lead]],Fri_W2[],MATCH("Admin",Fri_W2[#Headers],0),0),"")</f>
        <v/>
      </c>
      <c r="BX12" s="93" t="str">
        <f>IFERROR(VLOOKUP(LeadSum[[#This Row],[Lead]],Fri_W2[],MATCH("Team MTG",Fri_W2[#Headers],0),0),"")</f>
        <v/>
      </c>
      <c r="BZ12" s="93" t="str">
        <f>IFERROR(VLOOKUP(LeadSum[[#This Row],[Lead]],Sat_W2[],MATCH("Help Line",Sat_W2[#Headers],0),0),"")</f>
        <v/>
      </c>
      <c r="CA12" s="93" t="str">
        <f>IFERROR(VLOOKUP(LeadSum[[#This Row],[Lead]],Sat_W2[],MATCH("RTA",Sat_W2[#Headers],0),0),"")</f>
        <v/>
      </c>
      <c r="CB12" s="93" t="str">
        <f>IFERROR(VLOOKUP(LeadSum[[#This Row],[Lead]],Sat_W2[],MATCH("Admin",Sat_W2[#Headers],0),0),"")</f>
        <v/>
      </c>
      <c r="CC12" s="93" t="str">
        <f>IFERROR(VLOOKUP(LeadSum[[#This Row],[Lead]],Sat_W2[],MATCH("Team MTG",Sat_W2[#Headers],0),0),"")</f>
        <v/>
      </c>
    </row>
    <row r="13" spans="1:81" x14ac:dyDescent="0.2">
      <c r="A13" s="93">
        <f>SUM(LeadSum[[#This Row],[Help Line W1]:[RTA W1]])</f>
        <v>40.5</v>
      </c>
      <c r="B13" s="108" t="s">
        <v>231</v>
      </c>
      <c r="C13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32.5</v>
      </c>
      <c r="D13" s="93">
        <f>SUM(LSum_Sun1[[#This Row],[RTA]],LSum_Mon1[[#This Row],[RTA]],LSum_Tue1[[#This Row],[RTA]],LSum_Wed1[[#This Row],[RTA]],LSum_Thu1[[#This Row],[RTA]],LSum_Fri1[[#This Row],[RTA]],LSum_Sat1[[#This Row],[RTA]])</f>
        <v>8</v>
      </c>
      <c r="E13" s="93">
        <f>SUM(LSum_Sun1[[#This Row],[Admin]],LSum_Mon1[[#This Row],[Admin]],LSum_Tue1[[#This Row],[Admin]],LSum_Wed1[[#This Row],[Admin]],LSum_Thu1[[#This Row],[Admin]],LSum_Fri1[[#This Row],[Admin]],LSum_Sat1[[#This Row],[Admin]])</f>
        <v>35</v>
      </c>
      <c r="F13" s="93">
        <f>SUM(LSum_Sun1[[#This Row],[TM]],LSum_Mon1[[#This Row],[TM]],LSum_Tue1[[#This Row],[TM]],LSum_Wed1[[#This Row],[TM]],LSum_Thu1[[#This Row],[TM]],LSum_Fri1[[#This Row],[TM]],LSum_Sat1[[#This Row],[TM]])</f>
        <v>0</v>
      </c>
      <c r="G13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32.5</v>
      </c>
      <c r="H13" s="93">
        <f>SUM(LSum_Sun2[[#This Row],[RTA]],LSum_Mon2[[#This Row],[RTA]],LSum_Tue2[[#This Row],[RTA]],LSum_Wed2[[#This Row],[RTA]],LSum_Thu2[[#This Row],[RTA]],LSum_Fri2[[#This Row],[RTA]],LSum_Sat2[[#This Row],[RTA]])</f>
        <v>8</v>
      </c>
      <c r="I13" s="93">
        <f>SUM(LSum_Sun2[[#This Row],[Admin]],LSum_Mon2[[#This Row],[Admin]],LSum_Tue2[[#This Row],[Admin]],LSum_Wed2[[#This Row],[Admin]],LSum_Thu2[[#This Row],[Admin]],LSum_Fri2[[#This Row],[Admin]],LSum_Sat2[[#This Row],[Admin]])</f>
        <v>35</v>
      </c>
      <c r="J13" s="93">
        <f>SUM(LSum_Sun2[[#This Row],[TM]],LSum_Mon2[[#This Row],[TM]],LSum_Tue2[[#This Row],[TM]],LSum_Wed2[[#This Row],[TM]],LSum_Thu2[[#This Row],[TM]],LSum_Fri2[[#This Row],[TM]],LSum_Sat2[[#This Row],[TM]])</f>
        <v>0</v>
      </c>
      <c r="K13" s="93">
        <f>SUM(LeadSum[[#This Row],[Help Line W2]:[RTA W2]])</f>
        <v>40.5</v>
      </c>
      <c r="L13" s="93"/>
      <c r="M13" s="93" t="str">
        <f>IFERROR(VLOOKUP(LeadSum[[#This Row],[Lead]],Sun_W1[],MATCH("Help Line",Sun_W1[#Headers],0),0),"")</f>
        <v/>
      </c>
      <c r="N13" s="93" t="str">
        <f>IFERROR(VLOOKUP(LeadSum[[#This Row],[Lead]],Sun_W1[],MATCH("RTA",Sun_W1[#Headers],0),0),"")</f>
        <v/>
      </c>
      <c r="O13" s="93" t="str">
        <f>IFERROR(VLOOKUP(LeadSum[[#This Row],[Lead]],Sun_W1[],MATCH("Admin",Sun_W1[#Headers],0),0),"")</f>
        <v/>
      </c>
      <c r="P13" s="93" t="str">
        <f>IFERROR(VLOOKUP(LeadSum[[#This Row],[Lead]],Sun_W1[],MATCH("Team MTG",Sun_W1[#Headers],0),0),"")</f>
        <v/>
      </c>
      <c r="R13" s="93" t="str">
        <f>IFERROR(VLOOKUP(LeadSum[[#This Row],[Lead]],Mon_W1[],MATCH("Help Line",Mon_W1[#Headers],0),0),"")</f>
        <v/>
      </c>
      <c r="S13" s="93" t="str">
        <f>IFERROR(VLOOKUP(LeadSum[[#This Row],[Lead]],Mon_W1[],MATCH("RTA",Mon_W1[#Headers],0),0),"")</f>
        <v/>
      </c>
      <c r="T13" s="93" t="str">
        <f>IFERROR(VLOOKUP(LeadSum[[#This Row],[Lead]],Mon_W1[],MATCH("Admin",Mon_W1[#Headers],0),0),"")</f>
        <v/>
      </c>
      <c r="U13" s="93" t="str">
        <f>IFERROR(VLOOKUP(LeadSum[[#This Row],[Lead]],Mon_W1[],MATCH("Team MTG",Mon_W1[#Headers],0),0),"")</f>
        <v/>
      </c>
      <c r="W13" s="93">
        <f>IFERROR(VLOOKUP(LeadSum[[#This Row],[Lead]],Tue_W1[],MATCH("Help Line",Tue_W1[#Headers],0),0),"")</f>
        <v>6.5</v>
      </c>
      <c r="X13" s="93">
        <f>IFERROR(VLOOKUP(LeadSum[[#This Row],[Lead]],Tue_W1[],MATCH("RTA",Tue_W1[#Headers],0),0),"")</f>
        <v>0</v>
      </c>
      <c r="Y13" s="93">
        <f>IFERROR(VLOOKUP(LeadSum[[#This Row],[Lead]],Tue_W1[],MATCH("Admin",Tue_W1[#Headers],0),0),"")</f>
        <v>9</v>
      </c>
      <c r="Z13" s="93" t="str">
        <f>IFERROR(VLOOKUP(LeadSum[[#This Row],[Lead]],Tue_W1[],MATCH("Team MTG",Tue_W1[#Headers],0),0),"")</f>
        <v/>
      </c>
      <c r="AB13" s="93">
        <f>IFERROR(VLOOKUP(LeadSum[[#This Row],[Lead]],Wed_W1[],MATCH("Help Line",Wed_W1[#Headers],0),0),"")</f>
        <v>6.5</v>
      </c>
      <c r="AC13" s="93">
        <f>IFERROR(VLOOKUP(LeadSum[[#This Row],[Lead]],Wed_W1[],MATCH("RTA",Wed_W1[#Headers],0),0),"")</f>
        <v>2</v>
      </c>
      <c r="AD13" s="93">
        <f>IFERROR(VLOOKUP(LeadSum[[#This Row],[Lead]],Wed_W1[],MATCH("Admin",Wed_W1[#Headers],0),0),"")</f>
        <v>7</v>
      </c>
      <c r="AE13" s="93" t="str">
        <f>IFERROR(VLOOKUP(LeadSum[[#This Row],[Lead]],Wed_W1[],MATCH("Team MTG",Wed_W1[#Headers],0),0),"")</f>
        <v/>
      </c>
      <c r="AG13" s="93">
        <f>IFERROR(VLOOKUP(LeadSum[[#This Row],[Lead]],Thu_W1[],MATCH("Help Line",Thu_W1[#Headers],0),0),"")</f>
        <v>5.5</v>
      </c>
      <c r="AH13" s="93">
        <f>IFERROR(VLOOKUP(LeadSum[[#This Row],[Lead]],Thu_W1[],MATCH("RTA",Thu_W1[#Headers],0),0),"")</f>
        <v>2</v>
      </c>
      <c r="AI13" s="93">
        <f>IFERROR(VLOOKUP(LeadSum[[#This Row],[Lead]],Thu_W1[],MATCH("Admin",Thu_W1[#Headers],0),0),"")</f>
        <v>8</v>
      </c>
      <c r="AJ13" s="93" t="str">
        <f>IFERROR(VLOOKUP(LeadSum[[#This Row],[Lead]],Thu_W1[],MATCH("Team MTG",Thu_W1[#Headers],0),0),"")</f>
        <v/>
      </c>
      <c r="AL13" s="93">
        <f>IFERROR(VLOOKUP(LeadSum[[#This Row],[Lead]],Fri_W1[],MATCH("Help Line",Fri_W1[#Headers],0),0),"")</f>
        <v>7.5</v>
      </c>
      <c r="AM13" s="93">
        <f>IFERROR(VLOOKUP(LeadSum[[#This Row],[Lead]],Fri_W1[],MATCH("RTA",Fri_W1[#Headers],0),0),"")</f>
        <v>2</v>
      </c>
      <c r="AN13" s="93">
        <f>IFERROR(VLOOKUP(LeadSum[[#This Row],[Lead]],Fri_W1[],MATCH("Admin",Fri_W1[#Headers],0),0),"")</f>
        <v>4</v>
      </c>
      <c r="AO13" s="93" t="str">
        <f>IFERROR(VLOOKUP(LeadSum[[#This Row],[Lead]],Fri_W1[],MATCH("Team MTG",Fri_W1[#Headers],0),0),"")</f>
        <v/>
      </c>
      <c r="AQ13" s="93">
        <f>IFERROR(VLOOKUP(LeadSum[[#This Row],[Lead]],Sat_W1[],MATCH("Help Line",Sat_W1[#Headers],0),0),"")</f>
        <v>6.5</v>
      </c>
      <c r="AR13" s="93">
        <f>IFERROR(VLOOKUP(LeadSum[[#This Row],[Lead]],Sat_W1[],MATCH("RTA",Sat_W1[#Headers],0),0),"")</f>
        <v>2</v>
      </c>
      <c r="AS13" s="93">
        <f>IFERROR(VLOOKUP(LeadSum[[#This Row],[Lead]],Sat_W1[],MATCH("Admin",Sat_W1[#Headers],0),0),"")</f>
        <v>7</v>
      </c>
      <c r="AT13" s="93" t="str">
        <f>IFERROR(VLOOKUP(LeadSum[[#This Row],[Lead]],Sat_W1[],MATCH("Team MTG",Sat_W1[#Headers],0),0),"")</f>
        <v/>
      </c>
      <c r="AV13" s="93" t="str">
        <f>IFERROR(VLOOKUP(LeadSum[[#This Row],[Lead]],Sun_W2[],MATCH("Help Line",Sun_W2[#Headers],0),0),"")</f>
        <v/>
      </c>
      <c r="AW13" s="93" t="str">
        <f>IFERROR(VLOOKUP(LeadSum[[#This Row],[Lead]],Sun_W2[],MATCH("RTA",Sun_W2[#Headers],0),0),"")</f>
        <v/>
      </c>
      <c r="AX13" s="93" t="str">
        <f>IFERROR(VLOOKUP(LeadSum[[#This Row],[Lead]],Sun_W2[],MATCH("Admin",Sun_W2[#Headers],0),0),"")</f>
        <v/>
      </c>
      <c r="AY13" s="93" t="str">
        <f>IFERROR(VLOOKUP(LeadSum[[#This Row],[Lead]],Sun_W2[],MATCH("Team MTG",Sun_W2[#Headers],0),0),"")</f>
        <v/>
      </c>
      <c r="BA13" s="93" t="str">
        <f>IFERROR(VLOOKUP(LeadSum[[#This Row],[Lead]],Mon_W2[],MATCH("Help Line",Mon_W2[#Headers],0),0),"")</f>
        <v/>
      </c>
      <c r="BB13" s="93" t="str">
        <f>IFERROR(VLOOKUP(LeadSum[[#This Row],[Lead]],Mon_W2[],MATCH("RTA",Mon_W2[#Headers],0),0),"")</f>
        <v/>
      </c>
      <c r="BC13" s="93" t="str">
        <f>IFERROR(VLOOKUP(LeadSum[[#This Row],[Lead]],Mon_W2[],MATCH("Admin",Mon_W2[#Headers],0),0),"")</f>
        <v/>
      </c>
      <c r="BD13" s="93" t="str">
        <f>IFERROR(VLOOKUP(LeadSum[[#This Row],[Lead]],Mon_W2[],MATCH("Team MTG",Mon_W2[#Headers],0),0),"")</f>
        <v/>
      </c>
      <c r="BF13" s="93">
        <f>IFERROR(VLOOKUP(LeadSum[[#This Row],[Lead]],Tue_W2[],MATCH("Help Line",Tue_W2[#Headers],0),0),"")</f>
        <v>6.5</v>
      </c>
      <c r="BG13" s="93">
        <f>IFERROR(VLOOKUP(LeadSum[[#This Row],[Lead]],Tue_W2[],MATCH("RTA",Tue_W2[#Headers],0),0),"")</f>
        <v>0</v>
      </c>
      <c r="BH13" s="93">
        <f>IFERROR(VLOOKUP(LeadSum[[#This Row],[Lead]],Tue_W2[],MATCH("Admin",Tue_W2[#Headers],0),0),"")</f>
        <v>9</v>
      </c>
      <c r="BI13" s="93" t="str">
        <f>IFERROR(VLOOKUP(LeadSum[[#This Row],[Lead]],Tue_W2[],MATCH("Team MTG",Tue_W2[#Headers],0),0),"")</f>
        <v/>
      </c>
      <c r="BK13" s="93">
        <f>IFERROR(VLOOKUP(LeadSum[[#This Row],[Lead]],Wed_W2[],MATCH("Help Line",Wed_W2[#Headers],0),0),"")</f>
        <v>6.5</v>
      </c>
      <c r="BL13" s="93">
        <f>IFERROR(VLOOKUP(LeadSum[[#This Row],[Lead]],Wed_W2[],MATCH("RTA",Wed_W2[#Headers],0),0),"")</f>
        <v>2</v>
      </c>
      <c r="BM13" s="93">
        <f>IFERROR(VLOOKUP(LeadSum[[#This Row],[Lead]],Wed_W2[],MATCH("Admin",Wed_W2[#Headers],0),0),"")</f>
        <v>7</v>
      </c>
      <c r="BN13" s="93" t="str">
        <f>IFERROR(VLOOKUP(LeadSum[[#This Row],[Lead]],Wed_W2[],MATCH("Team MTG",Wed_W2[#Headers],0),0),"")</f>
        <v/>
      </c>
      <c r="BP13" s="93">
        <f>IFERROR(VLOOKUP(LeadSum[[#This Row],[Lead]],Thu_W2[],MATCH("Help Line",Thu_W2[#Headers],0),0),"")</f>
        <v>5.5</v>
      </c>
      <c r="BQ13" s="93">
        <f>IFERROR(VLOOKUP(LeadSum[[#This Row],[Lead]],Thu_W2[],MATCH("RTA",Thu_W2[#Headers],0),0),"")</f>
        <v>2</v>
      </c>
      <c r="BR13" s="93">
        <f>IFERROR(VLOOKUP(LeadSum[[#This Row],[Lead]],Thu_W2[],MATCH("Admin",Thu_W2[#Headers],0),0),"")</f>
        <v>8</v>
      </c>
      <c r="BS13" s="93" t="str">
        <f>IFERROR(VLOOKUP(LeadSum[[#This Row],[Lead]],Thu_W2[],MATCH("Team MTG",Thu_W2[#Headers],0),0),"")</f>
        <v/>
      </c>
      <c r="BU13" s="93">
        <f>IFERROR(VLOOKUP(LeadSum[[#This Row],[Lead]],Fri_W2[],MATCH("Help Line",Fri_W2[#Headers],0),0),"")</f>
        <v>7.5</v>
      </c>
      <c r="BV13" s="93">
        <f>IFERROR(VLOOKUP(LeadSum[[#This Row],[Lead]],Fri_W2[],MATCH("RTA",Fri_W2[#Headers],0),0),"")</f>
        <v>2</v>
      </c>
      <c r="BW13" s="93">
        <f>IFERROR(VLOOKUP(LeadSum[[#This Row],[Lead]],Fri_W2[],MATCH("Admin",Fri_W2[#Headers],0),0),"")</f>
        <v>4</v>
      </c>
      <c r="BX13" s="93" t="str">
        <f>IFERROR(VLOOKUP(LeadSum[[#This Row],[Lead]],Fri_W2[],MATCH("Team MTG",Fri_W2[#Headers],0),0),"")</f>
        <v/>
      </c>
      <c r="BZ13" s="93">
        <f>IFERROR(VLOOKUP(LeadSum[[#This Row],[Lead]],Sat_W2[],MATCH("Help Line",Sat_W2[#Headers],0),0),"")</f>
        <v>6.5</v>
      </c>
      <c r="CA13" s="93">
        <f>IFERROR(VLOOKUP(LeadSum[[#This Row],[Lead]],Sat_W2[],MATCH("RTA",Sat_W2[#Headers],0),0),"")</f>
        <v>2</v>
      </c>
      <c r="CB13" s="93">
        <f>IFERROR(VLOOKUP(LeadSum[[#This Row],[Lead]],Sat_W2[],MATCH("Admin",Sat_W2[#Headers],0),0),"")</f>
        <v>7</v>
      </c>
      <c r="CC13" s="93" t="str">
        <f>IFERROR(VLOOKUP(LeadSum[[#This Row],[Lead]],Sat_W2[],MATCH("Team MTG",Sat_W2[#Headers],0),0),"")</f>
        <v/>
      </c>
    </row>
    <row r="14" spans="1:81" x14ac:dyDescent="0.2">
      <c r="A14" s="93">
        <f>SUM(LeadSum[[#This Row],[Help Line W1]:[RTA W1]])</f>
        <v>43</v>
      </c>
      <c r="B14" s="108" t="s">
        <v>50</v>
      </c>
      <c r="C14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37</v>
      </c>
      <c r="D14" s="93">
        <f>SUM(LSum_Sun1[[#This Row],[RTA]],LSum_Mon1[[#This Row],[RTA]],LSum_Tue1[[#This Row],[RTA]],LSum_Wed1[[#This Row],[RTA]],LSum_Thu1[[#This Row],[RTA]],LSum_Fri1[[#This Row],[RTA]],LSum_Sat1[[#This Row],[RTA]])</f>
        <v>6</v>
      </c>
      <c r="E14" s="93">
        <f>SUM(LSum_Sun1[[#This Row],[Admin]],LSum_Mon1[[#This Row],[Admin]],LSum_Tue1[[#This Row],[Admin]],LSum_Wed1[[#This Row],[Admin]],LSum_Thu1[[#This Row],[Admin]],LSum_Fri1[[#This Row],[Admin]],LSum_Sat1[[#This Row],[Admin]])</f>
        <v>32</v>
      </c>
      <c r="F14" s="93">
        <f>SUM(LSum_Sun1[[#This Row],[TM]],LSum_Mon1[[#This Row],[TM]],LSum_Tue1[[#This Row],[TM]],LSum_Wed1[[#This Row],[TM]],LSum_Thu1[[#This Row],[TM]],LSum_Fri1[[#This Row],[TM]],LSum_Sat1[[#This Row],[TM]])</f>
        <v>0</v>
      </c>
      <c r="G14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37</v>
      </c>
      <c r="H14" s="93">
        <f>SUM(LSum_Sun2[[#This Row],[RTA]],LSum_Mon2[[#This Row],[RTA]],LSum_Tue2[[#This Row],[RTA]],LSum_Wed2[[#This Row],[RTA]],LSum_Thu2[[#This Row],[RTA]],LSum_Fri2[[#This Row],[RTA]],LSum_Sat2[[#This Row],[RTA]])</f>
        <v>6</v>
      </c>
      <c r="I14" s="93">
        <f>SUM(LSum_Sun2[[#This Row],[Admin]],LSum_Mon2[[#This Row],[Admin]],LSum_Tue2[[#This Row],[Admin]],LSum_Wed2[[#This Row],[Admin]],LSum_Thu2[[#This Row],[Admin]],LSum_Fri2[[#This Row],[Admin]],LSum_Sat2[[#This Row],[Admin]])</f>
        <v>32</v>
      </c>
      <c r="J14" s="93">
        <f>SUM(LSum_Sun2[[#This Row],[TM]],LSum_Mon2[[#This Row],[TM]],LSum_Tue2[[#This Row],[TM]],LSum_Wed2[[#This Row],[TM]],LSum_Thu2[[#This Row],[TM]],LSum_Fri2[[#This Row],[TM]],LSum_Sat2[[#This Row],[TM]])</f>
        <v>0</v>
      </c>
      <c r="K14" s="93">
        <f>SUM(LeadSum[[#This Row],[Help Line W2]:[RTA W2]])</f>
        <v>43</v>
      </c>
      <c r="L14" s="93"/>
      <c r="M14" s="93">
        <f>IFERROR(VLOOKUP(LeadSum[[#This Row],[Lead]],Sun_W1[],MATCH("Help Line",Sun_W1[#Headers],0),0),"")</f>
        <v>10</v>
      </c>
      <c r="N14" s="93">
        <f>IFERROR(VLOOKUP(LeadSum[[#This Row],[Lead]],Sun_W1[],MATCH("RTA",Sun_W1[#Headers],0),0),"")</f>
        <v>2</v>
      </c>
      <c r="O14" s="93">
        <f>IFERROR(VLOOKUP(LeadSum[[#This Row],[Lead]],Sun_W1[],MATCH("Admin",Sun_W1[#Headers],0),0),"")</f>
        <v>7</v>
      </c>
      <c r="P14" s="93" t="str">
        <f>IFERROR(VLOOKUP(LeadSum[[#This Row],[Lead]],Sun_W1[],MATCH("Team MTG",Sun_W1[#Headers],0),0),"")</f>
        <v/>
      </c>
      <c r="R14" s="93">
        <f>IFERROR(VLOOKUP(LeadSum[[#This Row],[Lead]],Mon_W1[],MATCH("Help Line",Mon_W1[#Headers],0),0),"")</f>
        <v>8.5</v>
      </c>
      <c r="S14" s="93">
        <f>IFERROR(VLOOKUP(LeadSum[[#This Row],[Lead]],Mon_W1[],MATCH("RTA",Mon_W1[#Headers],0),0),"")</f>
        <v>2</v>
      </c>
      <c r="T14" s="93">
        <f>IFERROR(VLOOKUP(LeadSum[[#This Row],[Lead]],Mon_W1[],MATCH("Admin",Mon_W1[#Headers],0),0),"")</f>
        <v>7</v>
      </c>
      <c r="U14" s="93" t="str">
        <f>IFERROR(VLOOKUP(LeadSum[[#This Row],[Lead]],Mon_W1[],MATCH("Team MTG",Mon_W1[#Headers],0),0),"")</f>
        <v/>
      </c>
      <c r="W14" s="93" t="str">
        <f>IFERROR(VLOOKUP(LeadSum[[#This Row],[Lead]],Tue_W1[],MATCH("Help Line",Tue_W1[#Headers],0),0),"")</f>
        <v/>
      </c>
      <c r="X14" s="93" t="str">
        <f>IFERROR(VLOOKUP(LeadSum[[#This Row],[Lead]],Tue_W1[],MATCH("RTA",Tue_W1[#Headers],0),0),"")</f>
        <v/>
      </c>
      <c r="Y14" s="93" t="str">
        <f>IFERROR(VLOOKUP(LeadSum[[#This Row],[Lead]],Tue_W1[],MATCH("Admin",Tue_W1[#Headers],0),0),"")</f>
        <v/>
      </c>
      <c r="Z14" s="93" t="str">
        <f>IFERROR(VLOOKUP(LeadSum[[#This Row],[Lead]],Tue_W1[],MATCH("Team MTG",Tue_W1[#Headers],0),0),"")</f>
        <v/>
      </c>
      <c r="AB14" s="93" t="str">
        <f>IFERROR(VLOOKUP(LeadSum[[#This Row],[Lead]],Wed_W1[],MATCH("Help Line",Wed_W1[#Headers],0),0),"")</f>
        <v/>
      </c>
      <c r="AC14" s="93" t="str">
        <f>IFERROR(VLOOKUP(LeadSum[[#This Row],[Lead]],Wed_W1[],MATCH("RTA",Wed_W1[#Headers],0),0),"")</f>
        <v/>
      </c>
      <c r="AD14" s="93" t="str">
        <f>IFERROR(VLOOKUP(LeadSum[[#This Row],[Lead]],Wed_W1[],MATCH("Admin",Wed_W1[#Headers],0),0),"")</f>
        <v/>
      </c>
      <c r="AE14" s="93" t="str">
        <f>IFERROR(VLOOKUP(LeadSum[[#This Row],[Lead]],Wed_W1[],MATCH("Team MTG",Wed_W1[#Headers],0),0),"")</f>
        <v/>
      </c>
      <c r="AG14" s="93" t="str">
        <f>IFERROR(VLOOKUP(LeadSum[[#This Row],[Lead]],Thu_W1[],MATCH("Help Line",Thu_W1[#Headers],0),0),"")</f>
        <v/>
      </c>
      <c r="AH14" s="93" t="str">
        <f>IFERROR(VLOOKUP(LeadSum[[#This Row],[Lead]],Thu_W1[],MATCH("RTA",Thu_W1[#Headers],0),0),"")</f>
        <v/>
      </c>
      <c r="AI14" s="93" t="str">
        <f>IFERROR(VLOOKUP(LeadSum[[#This Row],[Lead]],Thu_W1[],MATCH("Admin",Thu_W1[#Headers],0),0),"")</f>
        <v/>
      </c>
      <c r="AJ14" s="93" t="str">
        <f>IFERROR(VLOOKUP(LeadSum[[#This Row],[Lead]],Thu_W1[],MATCH("Team MTG",Thu_W1[#Headers],0),0),"")</f>
        <v/>
      </c>
      <c r="AL14" s="93">
        <f>IFERROR(VLOOKUP(LeadSum[[#This Row],[Lead]],Fri_W1[],MATCH("Help Line",Fri_W1[#Headers],0),0),"")</f>
        <v>10</v>
      </c>
      <c r="AM14" s="93">
        <f>IFERROR(VLOOKUP(LeadSum[[#This Row],[Lead]],Fri_W1[],MATCH("RTA",Fri_W1[#Headers],0),0),"")</f>
        <v>0</v>
      </c>
      <c r="AN14" s="93">
        <f>IFERROR(VLOOKUP(LeadSum[[#This Row],[Lead]],Fri_W1[],MATCH("Admin",Fri_W1[#Headers],0),0),"")</f>
        <v>9</v>
      </c>
      <c r="AO14" s="93" t="str">
        <f>IFERROR(VLOOKUP(LeadSum[[#This Row],[Lead]],Fri_W1[],MATCH("Team MTG",Fri_W1[#Headers],0),0),"")</f>
        <v/>
      </c>
      <c r="AQ14" s="93">
        <f>IFERROR(VLOOKUP(LeadSum[[#This Row],[Lead]],Sat_W1[],MATCH("Help Line",Sat_W1[#Headers],0),0),"")</f>
        <v>8.5</v>
      </c>
      <c r="AR14" s="93">
        <f>IFERROR(VLOOKUP(LeadSum[[#This Row],[Lead]],Sat_W1[],MATCH("RTA",Sat_W1[#Headers],0),0),"")</f>
        <v>2</v>
      </c>
      <c r="AS14" s="93">
        <f>IFERROR(VLOOKUP(LeadSum[[#This Row],[Lead]],Sat_W1[],MATCH("Admin",Sat_W1[#Headers],0),0),"")</f>
        <v>9</v>
      </c>
      <c r="AT14" s="93" t="str">
        <f>IFERROR(VLOOKUP(LeadSum[[#This Row],[Lead]],Sat_W1[],MATCH("Team MTG",Sat_W1[#Headers],0),0),"")</f>
        <v/>
      </c>
      <c r="AV14" s="93">
        <f>IFERROR(VLOOKUP(LeadSum[[#This Row],[Lead]],Sun_W2[],MATCH("Help Line",Sun_W2[#Headers],0),0),"")</f>
        <v>10</v>
      </c>
      <c r="AW14" s="93">
        <f>IFERROR(VLOOKUP(LeadSum[[#This Row],[Lead]],Sun_W2[],MATCH("RTA",Sun_W2[#Headers],0),0),"")</f>
        <v>2</v>
      </c>
      <c r="AX14" s="93">
        <f>IFERROR(VLOOKUP(LeadSum[[#This Row],[Lead]],Sun_W2[],MATCH("Admin",Sun_W2[#Headers],0),0),"")</f>
        <v>7</v>
      </c>
      <c r="AY14" s="93" t="str">
        <f>IFERROR(VLOOKUP(LeadSum[[#This Row],[Lead]],Sun_W2[],MATCH("Team MTG",Sun_W2[#Headers],0),0),"")</f>
        <v/>
      </c>
      <c r="BA14" s="93">
        <f>IFERROR(VLOOKUP(LeadSum[[#This Row],[Lead]],Mon_W2[],MATCH("Help Line",Mon_W2[#Headers],0),0),"")</f>
        <v>8.5</v>
      </c>
      <c r="BB14" s="93">
        <f>IFERROR(VLOOKUP(LeadSum[[#This Row],[Lead]],Mon_W2[],MATCH("RTA",Mon_W2[#Headers],0),0),"")</f>
        <v>2</v>
      </c>
      <c r="BC14" s="93">
        <f>IFERROR(VLOOKUP(LeadSum[[#This Row],[Lead]],Mon_W2[],MATCH("Admin",Mon_W2[#Headers],0),0),"")</f>
        <v>7</v>
      </c>
      <c r="BD14" s="93" t="str">
        <f>IFERROR(VLOOKUP(LeadSum[[#This Row],[Lead]],Mon_W2[],MATCH("Team MTG",Mon_W2[#Headers],0),0),"")</f>
        <v/>
      </c>
      <c r="BF14" s="93" t="str">
        <f>IFERROR(VLOOKUP(LeadSum[[#This Row],[Lead]],Tue_W2[],MATCH("Help Line",Tue_W2[#Headers],0),0),"")</f>
        <v/>
      </c>
      <c r="BG14" s="93" t="str">
        <f>IFERROR(VLOOKUP(LeadSum[[#This Row],[Lead]],Tue_W2[],MATCH("RTA",Tue_W2[#Headers],0),0),"")</f>
        <v/>
      </c>
      <c r="BH14" s="93" t="str">
        <f>IFERROR(VLOOKUP(LeadSum[[#This Row],[Lead]],Tue_W2[],MATCH("Admin",Tue_W2[#Headers],0),0),"")</f>
        <v/>
      </c>
      <c r="BI14" s="93" t="str">
        <f>IFERROR(VLOOKUP(LeadSum[[#This Row],[Lead]],Tue_W2[],MATCH("Team MTG",Tue_W2[#Headers],0),0),"")</f>
        <v/>
      </c>
      <c r="BK14" s="93" t="str">
        <f>IFERROR(VLOOKUP(LeadSum[[#This Row],[Lead]],Wed_W2[],MATCH("Help Line",Wed_W2[#Headers],0),0),"")</f>
        <v/>
      </c>
      <c r="BL14" s="93" t="str">
        <f>IFERROR(VLOOKUP(LeadSum[[#This Row],[Lead]],Wed_W2[],MATCH("RTA",Wed_W2[#Headers],0),0),"")</f>
        <v/>
      </c>
      <c r="BM14" s="93" t="str">
        <f>IFERROR(VLOOKUP(LeadSum[[#This Row],[Lead]],Wed_W2[],MATCH("Admin",Wed_W2[#Headers],0),0),"")</f>
        <v/>
      </c>
      <c r="BN14" s="93" t="str">
        <f>IFERROR(VLOOKUP(LeadSum[[#This Row],[Lead]],Wed_W2[],MATCH("Team MTG",Wed_W2[#Headers],0),0),"")</f>
        <v/>
      </c>
      <c r="BP14" s="93" t="str">
        <f>IFERROR(VLOOKUP(LeadSum[[#This Row],[Lead]],Thu_W2[],MATCH("Help Line",Thu_W2[#Headers],0),0),"")</f>
        <v/>
      </c>
      <c r="BQ14" s="93" t="str">
        <f>IFERROR(VLOOKUP(LeadSum[[#This Row],[Lead]],Thu_W2[],MATCH("RTA",Thu_W2[#Headers],0),0),"")</f>
        <v/>
      </c>
      <c r="BR14" s="93" t="str">
        <f>IFERROR(VLOOKUP(LeadSum[[#This Row],[Lead]],Thu_W2[],MATCH("Admin",Thu_W2[#Headers],0),0),"")</f>
        <v/>
      </c>
      <c r="BS14" s="93" t="str">
        <f>IFERROR(VLOOKUP(LeadSum[[#This Row],[Lead]],Thu_W2[],MATCH("Team MTG",Thu_W2[#Headers],0),0),"")</f>
        <v/>
      </c>
      <c r="BU14" s="93">
        <f>IFERROR(VLOOKUP(LeadSum[[#This Row],[Lead]],Fri_W2[],MATCH("Help Line",Fri_W2[#Headers],0),0),"")</f>
        <v>10</v>
      </c>
      <c r="BV14" s="93">
        <f>IFERROR(VLOOKUP(LeadSum[[#This Row],[Lead]],Fri_W2[],MATCH("RTA",Fri_W2[#Headers],0),0),"")</f>
        <v>0</v>
      </c>
      <c r="BW14" s="93">
        <f>IFERROR(VLOOKUP(LeadSum[[#This Row],[Lead]],Fri_W2[],MATCH("Admin",Fri_W2[#Headers],0),0),"")</f>
        <v>9</v>
      </c>
      <c r="BX14" s="93" t="str">
        <f>IFERROR(VLOOKUP(LeadSum[[#This Row],[Lead]],Fri_W2[],MATCH("Team MTG",Fri_W2[#Headers],0),0),"")</f>
        <v/>
      </c>
      <c r="BZ14" s="93">
        <f>IFERROR(VLOOKUP(LeadSum[[#This Row],[Lead]],Sat_W2[],MATCH("Help Line",Sat_W2[#Headers],0),0),"")</f>
        <v>8.5</v>
      </c>
      <c r="CA14" s="93">
        <f>IFERROR(VLOOKUP(LeadSum[[#This Row],[Lead]],Sat_W2[],MATCH("RTA",Sat_W2[#Headers],0),0),"")</f>
        <v>2</v>
      </c>
      <c r="CB14" s="93">
        <f>IFERROR(VLOOKUP(LeadSum[[#This Row],[Lead]],Sat_W2[],MATCH("Admin",Sat_W2[#Headers],0),0),"")</f>
        <v>9</v>
      </c>
      <c r="CC14" s="93" t="str">
        <f>IFERROR(VLOOKUP(LeadSum[[#This Row],[Lead]],Sat_W2[],MATCH("Team MTG",Sat_W2[#Headers],0),0),"")</f>
        <v/>
      </c>
    </row>
    <row r="15" spans="1:81" x14ac:dyDescent="0.2">
      <c r="A15" s="93">
        <f>SUM(LeadSum[[#This Row],[Help Line W1]:[RTA W1]])</f>
        <v>42</v>
      </c>
      <c r="B15" s="108" t="s">
        <v>236</v>
      </c>
      <c r="C15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32</v>
      </c>
      <c r="D15" s="93">
        <f>SUM(LSum_Sun1[[#This Row],[RTA]],LSum_Mon1[[#This Row],[RTA]],LSum_Tue1[[#This Row],[RTA]],LSum_Wed1[[#This Row],[RTA]],LSum_Thu1[[#This Row],[RTA]],LSum_Fri1[[#This Row],[RTA]],LSum_Sat1[[#This Row],[RTA]])</f>
        <v>10</v>
      </c>
      <c r="E15" s="93">
        <f>SUM(LSum_Sun1[[#This Row],[Admin]],LSum_Mon1[[#This Row],[Admin]],LSum_Tue1[[#This Row],[Admin]],LSum_Wed1[[#This Row],[Admin]],LSum_Thu1[[#This Row],[Admin]],LSum_Fri1[[#This Row],[Admin]],LSum_Sat1[[#This Row],[Admin]])</f>
        <v>34</v>
      </c>
      <c r="F15" s="136">
        <f>SUM(LSum_Sun1[[#This Row],[TM]],LSum_Mon1[[#This Row],[TM]],LSum_Tue1[[#This Row],[TM]],LSum_Wed1[[#This Row],[TM]],LSum_Thu1[[#This Row],[TM]],LSum_Fri1[[#This Row],[TM]],LSum_Sat1[[#This Row],[TM]])</f>
        <v>0</v>
      </c>
      <c r="G15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32</v>
      </c>
      <c r="H15" s="93">
        <f>SUM(LSum_Sun2[[#This Row],[RTA]],LSum_Mon2[[#This Row],[RTA]],LSum_Tue2[[#This Row],[RTA]],LSum_Wed2[[#This Row],[RTA]],LSum_Thu2[[#This Row],[RTA]],LSum_Fri2[[#This Row],[RTA]],LSum_Sat2[[#This Row],[RTA]])</f>
        <v>10</v>
      </c>
      <c r="I15" s="93">
        <f>SUM(LSum_Sun2[[#This Row],[Admin]],LSum_Mon2[[#This Row],[Admin]],LSum_Tue2[[#This Row],[Admin]],LSum_Wed2[[#This Row],[Admin]],LSum_Thu2[[#This Row],[Admin]],LSum_Fri2[[#This Row],[Admin]],LSum_Sat2[[#This Row],[Admin]])</f>
        <v>34</v>
      </c>
      <c r="J15" s="93">
        <f>SUM(LSum_Sun2[[#This Row],[TM]],LSum_Mon2[[#This Row],[TM]],LSum_Tue2[[#This Row],[TM]],LSum_Wed2[[#This Row],[TM]],LSum_Thu2[[#This Row],[TM]],LSum_Fri2[[#This Row],[TM]],LSum_Sat2[[#This Row],[TM]])</f>
        <v>0</v>
      </c>
      <c r="K15" s="93">
        <f>SUM(LeadSum[[#This Row],[Help Line W2]:[RTA W2]])</f>
        <v>42</v>
      </c>
      <c r="L15" s="93"/>
      <c r="M15" s="93">
        <f>IFERROR(VLOOKUP(LeadSum[[#This Row],[Lead]],Sun_W1[],MATCH("Help Line",Sun_W1[#Headers],0),0),"")</f>
        <v>7.5</v>
      </c>
      <c r="N15" s="93">
        <f>IFERROR(VLOOKUP(LeadSum[[#This Row],[Lead]],Sun_W1[],MATCH("RTA",Sun_W1[#Headers],0),0),"")</f>
        <v>2</v>
      </c>
      <c r="O15" s="93">
        <f>IFERROR(VLOOKUP(LeadSum[[#This Row],[Lead]],Sun_W1[],MATCH("Admin",Sun_W1[#Headers],0),0),"")</f>
        <v>6</v>
      </c>
      <c r="P15" s="93" t="str">
        <f>IFERROR(VLOOKUP(LeadSum[[#This Row],[Lead]],Sun_W1[],MATCH("Team MTG",Sun_W1[#Headers],0),0),"")</f>
        <v/>
      </c>
      <c r="R15" s="93">
        <f>IFERROR(VLOOKUP(LeadSum[[#This Row],[Lead]],Mon_W1[],MATCH("Help Line",Mon_W1[#Headers],0),0),"")</f>
        <v>6.5</v>
      </c>
      <c r="S15" s="93">
        <f>IFERROR(VLOOKUP(LeadSum[[#This Row],[Lead]],Mon_W1[],MATCH("RTA",Mon_W1[#Headers],0),0),"")</f>
        <v>2</v>
      </c>
      <c r="T15" s="93">
        <f>IFERROR(VLOOKUP(LeadSum[[#This Row],[Lead]],Mon_W1[],MATCH("Admin",Mon_W1[#Headers],0),0),"")</f>
        <v>7</v>
      </c>
      <c r="U15" s="93" t="str">
        <f>IFERROR(VLOOKUP(LeadSum[[#This Row],[Lead]],Mon_W1[],MATCH("Team MTG",Mon_W1[#Headers],0),0),"")</f>
        <v/>
      </c>
      <c r="W15" s="93">
        <f>IFERROR(VLOOKUP(LeadSum[[#This Row],[Lead]],Tue_W1[],MATCH("Help Line",Tue_W1[#Headers],0),0),"")</f>
        <v>6.5</v>
      </c>
      <c r="X15" s="93">
        <f>IFERROR(VLOOKUP(LeadSum[[#This Row],[Lead]],Tue_W1[],MATCH("RTA",Tue_W1[#Headers],0),0),"")</f>
        <v>2</v>
      </c>
      <c r="Y15" s="93">
        <f>IFERROR(VLOOKUP(LeadSum[[#This Row],[Lead]],Tue_W1[],MATCH("Admin",Tue_W1[#Headers],0),0),"")</f>
        <v>7</v>
      </c>
      <c r="Z15" s="93" t="str">
        <f>IFERROR(VLOOKUP(LeadSum[[#This Row],[Lead]],Tue_W1[],MATCH("Team MTG",Tue_W1[#Headers],0),0),"")</f>
        <v/>
      </c>
      <c r="AB15" s="93" t="str">
        <f>IFERROR(VLOOKUP(LeadSum[[#This Row],[Lead]],Wed_W1[],MATCH("Help Line",Wed_W1[#Headers],0),0),"")</f>
        <v/>
      </c>
      <c r="AC15" s="93" t="str">
        <f>IFERROR(VLOOKUP(LeadSum[[#This Row],[Lead]],Wed_W1[],MATCH("RTA",Wed_W1[#Headers],0),0),"")</f>
        <v/>
      </c>
      <c r="AD15" s="93" t="str">
        <f>IFERROR(VLOOKUP(LeadSum[[#This Row],[Lead]],Wed_W1[],MATCH("Admin",Wed_W1[#Headers],0),0),"")</f>
        <v/>
      </c>
      <c r="AE15" s="93" t="str">
        <f>IFERROR(VLOOKUP(LeadSum[[#This Row],[Lead]],Wed_W1[],MATCH("Team MTG",Wed_W1[#Headers],0),0),"")</f>
        <v/>
      </c>
      <c r="AG15" s="93" t="str">
        <f>IFERROR(VLOOKUP(LeadSum[[#This Row],[Lead]],Thu_W1[],MATCH("Help Line",Thu_W1[#Headers],0),0),"")</f>
        <v/>
      </c>
      <c r="AH15" s="93" t="str">
        <f>IFERROR(VLOOKUP(LeadSum[[#This Row],[Lead]],Thu_W1[],MATCH("RTA",Thu_W1[#Headers],0),0),"")</f>
        <v/>
      </c>
      <c r="AI15" s="93" t="str">
        <f>IFERROR(VLOOKUP(LeadSum[[#This Row],[Lead]],Thu_W1[],MATCH("Admin",Thu_W1[#Headers],0),0),"")</f>
        <v/>
      </c>
      <c r="AJ15" s="93" t="str">
        <f>IFERROR(VLOOKUP(LeadSum[[#This Row],[Lead]],Thu_W1[],MATCH("Team MTG",Thu_W1[#Headers],0),0),"")</f>
        <v/>
      </c>
      <c r="AL15" s="93">
        <f>IFERROR(VLOOKUP(LeadSum[[#This Row],[Lead]],Fri_W1[],MATCH("Help Line",Fri_W1[#Headers],0),0),"")</f>
        <v>6</v>
      </c>
      <c r="AM15" s="93">
        <f>IFERROR(VLOOKUP(LeadSum[[#This Row],[Lead]],Fri_W1[],MATCH("RTA",Fri_W1[#Headers],0),0),"")</f>
        <v>2</v>
      </c>
      <c r="AN15" s="93">
        <f>IFERROR(VLOOKUP(LeadSum[[#This Row],[Lead]],Fri_W1[],MATCH("Admin",Fri_W1[#Headers],0),0),"")</f>
        <v>8</v>
      </c>
      <c r="AO15" s="93" t="str">
        <f>IFERROR(VLOOKUP(LeadSum[[#This Row],[Lead]],Fri_W1[],MATCH("Team MTG",Fri_W1[#Headers],0),0),"")</f>
        <v/>
      </c>
      <c r="AQ15" s="93">
        <f>IFERROR(VLOOKUP(LeadSum[[#This Row],[Lead]],Sat_W1[],MATCH("Help Line",Sat_W1[#Headers],0),0),"")</f>
        <v>5.5</v>
      </c>
      <c r="AR15" s="93">
        <f>IFERROR(VLOOKUP(LeadSum[[#This Row],[Lead]],Sat_W1[],MATCH("RTA",Sat_W1[#Headers],0),0),"")</f>
        <v>2</v>
      </c>
      <c r="AS15" s="93">
        <f>IFERROR(VLOOKUP(LeadSum[[#This Row],[Lead]],Sat_W1[],MATCH("Admin",Sat_W1[#Headers],0),0),"")</f>
        <v>6</v>
      </c>
      <c r="AT15" s="93" t="str">
        <f>IFERROR(VLOOKUP(LeadSum[[#This Row],[Lead]],Sat_W1[],MATCH("Team MTG",Sat_W1[#Headers],0),0),"")</f>
        <v/>
      </c>
      <c r="AV15" s="93">
        <f>IFERROR(VLOOKUP(LeadSum[[#This Row],[Lead]],Sun_W2[],MATCH("Help Line",Sun_W2[#Headers],0),0),"")</f>
        <v>7.5</v>
      </c>
      <c r="AW15" s="93">
        <f>IFERROR(VLOOKUP(LeadSum[[#This Row],[Lead]],Sun_W2[],MATCH("RTA",Sun_W2[#Headers],0),0),"")</f>
        <v>2</v>
      </c>
      <c r="AX15" s="93">
        <f>IFERROR(VLOOKUP(LeadSum[[#This Row],[Lead]],Sun_W2[],MATCH("Admin",Sun_W2[#Headers],0),0),"")</f>
        <v>6</v>
      </c>
      <c r="AY15" s="93" t="str">
        <f>IFERROR(VLOOKUP(LeadSum[[#This Row],[Lead]],Sun_W2[],MATCH("Team MTG",Sun_W2[#Headers],0),0),"")</f>
        <v/>
      </c>
      <c r="BA15" s="93">
        <f>IFERROR(VLOOKUP(LeadSum[[#This Row],[Lead]],Mon_W2[],MATCH("Help Line",Mon_W2[#Headers],0),0),"")</f>
        <v>6.5</v>
      </c>
      <c r="BB15" s="93">
        <f>IFERROR(VLOOKUP(LeadSum[[#This Row],[Lead]],Mon_W2[],MATCH("RTA",Mon_W2[#Headers],0),0),"")</f>
        <v>2</v>
      </c>
      <c r="BC15" s="93">
        <f>IFERROR(VLOOKUP(LeadSum[[#This Row],[Lead]],Mon_W2[],MATCH("Admin",Mon_W2[#Headers],0),0),"")</f>
        <v>7</v>
      </c>
      <c r="BD15" s="93" t="str">
        <f>IFERROR(VLOOKUP(LeadSum[[#This Row],[Lead]],Mon_W2[],MATCH("Team MTG",Mon_W2[#Headers],0),0),"")</f>
        <v/>
      </c>
      <c r="BF15" s="93">
        <f>IFERROR(VLOOKUP(LeadSum[[#This Row],[Lead]],Tue_W2[],MATCH("Help Line",Tue_W2[#Headers],0),0),"")</f>
        <v>6.5</v>
      </c>
      <c r="BG15" s="93">
        <f>IFERROR(VLOOKUP(LeadSum[[#This Row],[Lead]],Tue_W2[],MATCH("RTA",Tue_W2[#Headers],0),0),"")</f>
        <v>2</v>
      </c>
      <c r="BH15" s="93">
        <f>IFERROR(VLOOKUP(LeadSum[[#This Row],[Lead]],Tue_W2[],MATCH("Admin",Tue_W2[#Headers],0),0),"")</f>
        <v>7</v>
      </c>
      <c r="BI15" s="93" t="str">
        <f>IFERROR(VLOOKUP(LeadSum[[#This Row],[Lead]],Tue_W2[],MATCH("Team MTG",Tue_W2[#Headers],0),0),"")</f>
        <v/>
      </c>
      <c r="BK15" s="93">
        <f>IFERROR(VLOOKUP(LeadSum[[#This Row],[Lead]],Wed_W2[],MATCH("Help Line",Wed_W2[#Headers],0),0),"")</f>
        <v>0</v>
      </c>
      <c r="BL15" s="93">
        <f>IFERROR(VLOOKUP(LeadSum[[#This Row],[Lead]],Wed_W2[],MATCH("RTA",Wed_W2[#Headers],0),0),"")</f>
        <v>0</v>
      </c>
      <c r="BM15" s="93">
        <f>IFERROR(VLOOKUP(LeadSum[[#This Row],[Lead]],Wed_W2[],MATCH("Admin",Wed_W2[#Headers],0),0),"")</f>
        <v>0</v>
      </c>
      <c r="BN15" s="93" t="str">
        <f>IFERROR(VLOOKUP(LeadSum[[#This Row],[Lead]],Wed_W2[],MATCH("Team MTG",Wed_W2[#Headers],0),0),"")</f>
        <v/>
      </c>
      <c r="BP15" s="93" t="str">
        <f>IFERROR(VLOOKUP(LeadSum[[#This Row],[Lead]],Thu_W2[],MATCH("Help Line",Thu_W2[#Headers],0),0),"")</f>
        <v/>
      </c>
      <c r="BQ15" s="93" t="str">
        <f>IFERROR(VLOOKUP(LeadSum[[#This Row],[Lead]],Thu_W2[],MATCH("RTA",Thu_W2[#Headers],0),0),"")</f>
        <v/>
      </c>
      <c r="BR15" s="93" t="str">
        <f>IFERROR(VLOOKUP(LeadSum[[#This Row],[Lead]],Thu_W2[],MATCH("Admin",Thu_W2[#Headers],0),0),"")</f>
        <v/>
      </c>
      <c r="BS15" s="93" t="str">
        <f>IFERROR(VLOOKUP(LeadSum[[#This Row],[Lead]],Thu_W2[],MATCH("Team MTG",Thu_W2[#Headers],0),0),"")</f>
        <v/>
      </c>
      <c r="BU15" s="93">
        <f>IFERROR(VLOOKUP(LeadSum[[#This Row],[Lead]],Fri_W2[],MATCH("Help Line",Fri_W2[#Headers],0),0),"")</f>
        <v>6</v>
      </c>
      <c r="BV15" s="93">
        <f>IFERROR(VLOOKUP(LeadSum[[#This Row],[Lead]],Fri_W2[],MATCH("RTA",Fri_W2[#Headers],0),0),"")</f>
        <v>2</v>
      </c>
      <c r="BW15" s="93">
        <f>IFERROR(VLOOKUP(LeadSum[[#This Row],[Lead]],Fri_W2[],MATCH("Admin",Fri_W2[#Headers],0),0),"")</f>
        <v>8</v>
      </c>
      <c r="BX15" s="93" t="str">
        <f>IFERROR(VLOOKUP(LeadSum[[#This Row],[Lead]],Fri_W2[],MATCH("Team MTG",Fri_W2[#Headers],0),0),"")</f>
        <v/>
      </c>
      <c r="BZ15" s="93">
        <f>IFERROR(VLOOKUP(LeadSum[[#This Row],[Lead]],Sat_W2[],MATCH("Help Line",Sat_W2[#Headers],0),0),"")</f>
        <v>5.5</v>
      </c>
      <c r="CA15" s="93">
        <f>IFERROR(VLOOKUP(LeadSum[[#This Row],[Lead]],Sat_W2[],MATCH("RTA",Sat_W2[#Headers],0),0),"")</f>
        <v>2</v>
      </c>
      <c r="CB15" s="93">
        <f>IFERROR(VLOOKUP(LeadSum[[#This Row],[Lead]],Sat_W2[],MATCH("Admin",Sat_W2[#Headers],0),0),"")</f>
        <v>6</v>
      </c>
      <c r="CC15" s="93" t="str">
        <f>IFERROR(VLOOKUP(LeadSum[[#This Row],[Lead]],Sat_W2[],MATCH("Team MTG",Sat_W2[#Headers],0),0),"")</f>
        <v/>
      </c>
    </row>
    <row r="16" spans="1:81" x14ac:dyDescent="0.2">
      <c r="A16" s="93">
        <f>SUM(LeadSum[[#This Row],[Help Line W1]:[RTA W1]])</f>
        <v>41.5</v>
      </c>
      <c r="B16" s="108" t="s">
        <v>34</v>
      </c>
      <c r="C16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35.5</v>
      </c>
      <c r="D16" s="93">
        <f>SUM(LSum_Sun1[[#This Row],[RTA]],LSum_Mon1[[#This Row],[RTA]],LSum_Tue1[[#This Row],[RTA]],LSum_Wed1[[#This Row],[RTA]],LSum_Thu1[[#This Row],[RTA]],LSum_Fri1[[#This Row],[RTA]],LSum_Sat1[[#This Row],[RTA]])</f>
        <v>6</v>
      </c>
      <c r="E16" s="93">
        <f>SUM(LSum_Sun1[[#This Row],[Admin]],LSum_Mon1[[#This Row],[Admin]],LSum_Tue1[[#This Row],[Admin]],LSum_Wed1[[#This Row],[Admin]],LSum_Thu1[[#This Row],[Admin]],LSum_Fri1[[#This Row],[Admin]],LSum_Sat1[[#This Row],[Admin]])</f>
        <v>33</v>
      </c>
      <c r="F16" s="93">
        <f>SUM(LSum_Sun1[[#This Row],[TM]],LSum_Mon1[[#This Row],[TM]],LSum_Tue1[[#This Row],[TM]],LSum_Wed1[[#This Row],[TM]],LSum_Thu1[[#This Row],[TM]],LSum_Fri1[[#This Row],[TM]],LSum_Sat1[[#This Row],[TM]])</f>
        <v>0</v>
      </c>
      <c r="G16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35.5</v>
      </c>
      <c r="H16" s="93">
        <f>SUM(LSum_Sun2[[#This Row],[RTA]],LSum_Mon2[[#This Row],[RTA]],LSum_Tue2[[#This Row],[RTA]],LSum_Wed2[[#This Row],[RTA]],LSum_Thu2[[#This Row],[RTA]],LSum_Fri2[[#This Row],[RTA]],LSum_Sat2[[#This Row],[RTA]])</f>
        <v>6</v>
      </c>
      <c r="I16" s="93">
        <f>SUM(LSum_Sun2[[#This Row],[Admin]],LSum_Mon2[[#This Row],[Admin]],LSum_Tue2[[#This Row],[Admin]],LSum_Wed2[[#This Row],[Admin]],LSum_Thu2[[#This Row],[Admin]],LSum_Fri2[[#This Row],[Admin]],LSum_Sat2[[#This Row],[Admin]])</f>
        <v>33</v>
      </c>
      <c r="J16" s="93">
        <f>SUM(LSum_Sun2[[#This Row],[TM]],LSum_Mon2[[#This Row],[TM]],LSum_Tue2[[#This Row],[TM]],LSum_Wed2[[#This Row],[TM]],LSum_Thu2[[#This Row],[TM]],LSum_Fri2[[#This Row],[TM]],LSum_Sat2[[#This Row],[TM]])</f>
        <v>0</v>
      </c>
      <c r="K16" s="93">
        <f>SUM(LeadSum[[#This Row],[Help Line W2]:[RTA W2]])</f>
        <v>41.5</v>
      </c>
      <c r="L16" s="93"/>
      <c r="M16" s="93">
        <f>IFERROR(VLOOKUP(LeadSum[[#This Row],[Lead]],Sun_W1[],MATCH("Help Line",Sun_W1[#Headers],0),0),"")</f>
        <v>7.5</v>
      </c>
      <c r="N16" s="93">
        <f>IFERROR(VLOOKUP(LeadSum[[#This Row],[Lead]],Sun_W1[],MATCH("RTA",Sun_W1[#Headers],0),0),"")</f>
        <v>2</v>
      </c>
      <c r="O16" s="93">
        <f>IFERROR(VLOOKUP(LeadSum[[#This Row],[Lead]],Sun_W1[],MATCH("Admin",Sun_W1[#Headers],0),0),"")</f>
        <v>6</v>
      </c>
      <c r="P16" s="93" t="str">
        <f>IFERROR(VLOOKUP(LeadSum[[#This Row],[Lead]],Sun_W1[],MATCH("Team MTG",Sun_W1[#Headers],0),0),"")</f>
        <v/>
      </c>
      <c r="R16" s="93">
        <f>IFERROR(VLOOKUP(LeadSum[[#This Row],[Lead]],Mon_W1[],MATCH("Help Line",Mon_W1[#Headers],0),0),"")</f>
        <v>8</v>
      </c>
      <c r="S16" s="93">
        <f>IFERROR(VLOOKUP(LeadSum[[#This Row],[Lead]],Mon_W1[],MATCH("RTA",Mon_W1[#Headers],0),0),"")</f>
        <v>0</v>
      </c>
      <c r="T16" s="93">
        <f>IFERROR(VLOOKUP(LeadSum[[#This Row],[Lead]],Mon_W1[],MATCH("Admin",Mon_W1[#Headers],0),0),"")</f>
        <v>7</v>
      </c>
      <c r="U16" s="93" t="str">
        <f>IFERROR(VLOOKUP(LeadSum[[#This Row],[Lead]],Mon_W1[],MATCH("Team MTG",Mon_W1[#Headers],0),0),"")</f>
        <v/>
      </c>
      <c r="W16" s="93">
        <f>IFERROR(VLOOKUP(LeadSum[[#This Row],[Lead]],Tue_W1[],MATCH("Help Line",Tue_W1[#Headers],0),0),"")</f>
        <v>7</v>
      </c>
      <c r="X16" s="93">
        <f>IFERROR(VLOOKUP(LeadSum[[#This Row],[Lead]],Tue_W1[],MATCH("RTA",Tue_W1[#Headers],0),0),"")</f>
        <v>2</v>
      </c>
      <c r="Y16" s="93">
        <f>IFERROR(VLOOKUP(LeadSum[[#This Row],[Lead]],Tue_W1[],MATCH("Admin",Tue_W1[#Headers],0),0),"")</f>
        <v>6</v>
      </c>
      <c r="Z16" s="93" t="str">
        <f>IFERROR(VLOOKUP(LeadSum[[#This Row],[Lead]],Tue_W1[],MATCH("Team MTG",Tue_W1[#Headers],0),0),"")</f>
        <v/>
      </c>
      <c r="AB16" s="93" t="str">
        <f>IFERROR(VLOOKUP(LeadSum[[#This Row],[Lead]],Wed_W1[],MATCH("Help Line",Wed_W1[#Headers],0),0),"")</f>
        <v/>
      </c>
      <c r="AC16" s="93" t="str">
        <f>IFERROR(VLOOKUP(LeadSum[[#This Row],[Lead]],Wed_W1[],MATCH("RTA",Wed_W1[#Headers],0),0),"")</f>
        <v/>
      </c>
      <c r="AD16" s="93" t="str">
        <f>IFERROR(VLOOKUP(LeadSum[[#This Row],[Lead]],Wed_W1[],MATCH("Admin",Wed_W1[#Headers],0),0),"")</f>
        <v/>
      </c>
      <c r="AE16" s="93" t="str">
        <f>IFERROR(VLOOKUP(LeadSum[[#This Row],[Lead]],Wed_W1[],MATCH("Team MTG",Wed_W1[#Headers],0),0),"")</f>
        <v/>
      </c>
      <c r="AG16" s="93" t="str">
        <f>IFERROR(VLOOKUP(LeadSum[[#This Row],[Lead]],Thu_W1[],MATCH("Help Line",Thu_W1[#Headers],0),0),"")</f>
        <v/>
      </c>
      <c r="AH16" s="93" t="str">
        <f>IFERROR(VLOOKUP(LeadSum[[#This Row],[Lead]],Thu_W1[],MATCH("RTA",Thu_W1[#Headers],0),0),"")</f>
        <v/>
      </c>
      <c r="AI16" s="93" t="str">
        <f>IFERROR(VLOOKUP(LeadSum[[#This Row],[Lead]],Thu_W1[],MATCH("Admin",Thu_W1[#Headers],0),0),"")</f>
        <v/>
      </c>
      <c r="AJ16" s="93" t="str">
        <f>IFERROR(VLOOKUP(LeadSum[[#This Row],[Lead]],Thu_W1[],MATCH("Team MTG",Thu_W1[#Headers],0),0),"")</f>
        <v/>
      </c>
      <c r="AL16" s="93">
        <f>IFERROR(VLOOKUP(LeadSum[[#This Row],[Lead]],Fri_W1[],MATCH("Help Line",Fri_W1[#Headers],0),0),"")</f>
        <v>4.5</v>
      </c>
      <c r="AM16" s="93">
        <f>IFERROR(VLOOKUP(LeadSum[[#This Row],[Lead]],Fri_W1[],MATCH("RTA",Fri_W1[#Headers],0),0),"")</f>
        <v>2</v>
      </c>
      <c r="AN16" s="93">
        <f>IFERROR(VLOOKUP(LeadSum[[#This Row],[Lead]],Fri_W1[],MATCH("Admin",Fri_W1[#Headers],0),0),"")</f>
        <v>7</v>
      </c>
      <c r="AO16" s="93" t="str">
        <f>IFERROR(VLOOKUP(LeadSum[[#This Row],[Lead]],Fri_W1[],MATCH("Team MTG",Fri_W1[#Headers],0),0),"")</f>
        <v/>
      </c>
      <c r="AQ16" s="93">
        <f>IFERROR(VLOOKUP(LeadSum[[#This Row],[Lead]],Sat_W1[],MATCH("Help Line",Sat_W1[#Headers],0),0),"")</f>
        <v>8.5</v>
      </c>
      <c r="AR16" s="93">
        <f>IFERROR(VLOOKUP(LeadSum[[#This Row],[Lead]],Sat_W1[],MATCH("RTA",Sat_W1[#Headers],0),0),"")</f>
        <v>0</v>
      </c>
      <c r="AS16" s="93">
        <f>IFERROR(VLOOKUP(LeadSum[[#This Row],[Lead]],Sat_W1[],MATCH("Admin",Sat_W1[#Headers],0),0),"")</f>
        <v>7</v>
      </c>
      <c r="AT16" s="93" t="str">
        <f>IFERROR(VLOOKUP(LeadSum[[#This Row],[Lead]],Sat_W1[],MATCH("Team MTG",Sat_W1[#Headers],0),0),"")</f>
        <v/>
      </c>
      <c r="AV16" s="93">
        <f>IFERROR(VLOOKUP(LeadSum[[#This Row],[Lead]],Sun_W2[],MATCH("Help Line",Sun_W2[#Headers],0),0),"")</f>
        <v>7.5</v>
      </c>
      <c r="AW16" s="93">
        <f>IFERROR(VLOOKUP(LeadSum[[#This Row],[Lead]],Sun_W2[],MATCH("RTA",Sun_W2[#Headers],0),0),"")</f>
        <v>2</v>
      </c>
      <c r="AX16" s="93">
        <f>IFERROR(VLOOKUP(LeadSum[[#This Row],[Lead]],Sun_W2[],MATCH("Admin",Sun_W2[#Headers],0),0),"")</f>
        <v>6</v>
      </c>
      <c r="AY16" s="93" t="str">
        <f>IFERROR(VLOOKUP(LeadSum[[#This Row],[Lead]],Sun_W2[],MATCH("Team MTG",Sun_W2[#Headers],0),0),"")</f>
        <v/>
      </c>
      <c r="BA16" s="93">
        <f>IFERROR(VLOOKUP(LeadSum[[#This Row],[Lead]],Mon_W2[],MATCH("Help Line",Mon_W2[#Headers],0),0),"")</f>
        <v>8</v>
      </c>
      <c r="BB16" s="93">
        <f>IFERROR(VLOOKUP(LeadSum[[#This Row],[Lead]],Mon_W2[],MATCH("RTA",Mon_W2[#Headers],0),0),"")</f>
        <v>0</v>
      </c>
      <c r="BC16" s="93">
        <f>IFERROR(VLOOKUP(LeadSum[[#This Row],[Lead]],Mon_W2[],MATCH("Admin",Mon_W2[#Headers],0),0),"")</f>
        <v>7</v>
      </c>
      <c r="BD16" s="93" t="str">
        <f>IFERROR(VLOOKUP(LeadSum[[#This Row],[Lead]],Mon_W2[],MATCH("Team MTG",Mon_W2[#Headers],0),0),"")</f>
        <v/>
      </c>
      <c r="BF16" s="93">
        <f>IFERROR(VLOOKUP(LeadSum[[#This Row],[Lead]],Tue_W2[],MATCH("Help Line",Tue_W2[#Headers],0),0),"")</f>
        <v>7</v>
      </c>
      <c r="BG16" s="93">
        <f>IFERROR(VLOOKUP(LeadSum[[#This Row],[Lead]],Tue_W2[],MATCH("RTA",Tue_W2[#Headers],0),0),"")</f>
        <v>2</v>
      </c>
      <c r="BH16" s="93">
        <f>IFERROR(VLOOKUP(LeadSum[[#This Row],[Lead]],Tue_W2[],MATCH("Admin",Tue_W2[#Headers],0),0),"")</f>
        <v>6</v>
      </c>
      <c r="BI16" s="93" t="str">
        <f>IFERROR(VLOOKUP(LeadSum[[#This Row],[Lead]],Tue_W2[],MATCH("Team MTG",Tue_W2[#Headers],0),0),"")</f>
        <v/>
      </c>
      <c r="BK16" s="93" t="str">
        <f>IFERROR(VLOOKUP(LeadSum[[#This Row],[Lead]],Wed_W2[],MATCH("Help Line",Wed_W2[#Headers],0),0),"")</f>
        <v/>
      </c>
      <c r="BL16" s="93" t="str">
        <f>IFERROR(VLOOKUP(LeadSum[[#This Row],[Lead]],Wed_W2[],MATCH("RTA",Wed_W2[#Headers],0),0),"")</f>
        <v/>
      </c>
      <c r="BM16" s="93" t="str">
        <f>IFERROR(VLOOKUP(LeadSum[[#This Row],[Lead]],Wed_W2[],MATCH("Admin",Wed_W2[#Headers],0),0),"")</f>
        <v/>
      </c>
      <c r="BN16" s="93" t="str">
        <f>IFERROR(VLOOKUP(LeadSum[[#This Row],[Lead]],Wed_W2[],MATCH("Team MTG",Wed_W2[#Headers],0),0),"")</f>
        <v/>
      </c>
      <c r="BP16" s="93" t="str">
        <f>IFERROR(VLOOKUP(LeadSum[[#This Row],[Lead]],Thu_W2[],MATCH("Help Line",Thu_W2[#Headers],0),0),"")</f>
        <v/>
      </c>
      <c r="BQ16" s="93" t="str">
        <f>IFERROR(VLOOKUP(LeadSum[[#This Row],[Lead]],Thu_W2[],MATCH("RTA",Thu_W2[#Headers],0),0),"")</f>
        <v/>
      </c>
      <c r="BR16" s="93" t="str">
        <f>IFERROR(VLOOKUP(LeadSum[[#This Row],[Lead]],Thu_W2[],MATCH("Admin",Thu_W2[#Headers],0),0),"")</f>
        <v/>
      </c>
      <c r="BS16" s="93" t="str">
        <f>IFERROR(VLOOKUP(LeadSum[[#This Row],[Lead]],Thu_W2[],MATCH("Team MTG",Thu_W2[#Headers],0),0),"")</f>
        <v/>
      </c>
      <c r="BU16" s="93">
        <f>IFERROR(VLOOKUP(LeadSum[[#This Row],[Lead]],Fri_W2[],MATCH("Help Line",Fri_W2[#Headers],0),0),"")</f>
        <v>4.5</v>
      </c>
      <c r="BV16" s="93">
        <f>IFERROR(VLOOKUP(LeadSum[[#This Row],[Lead]],Fri_W2[],MATCH("RTA",Fri_W2[#Headers],0),0),"")</f>
        <v>2</v>
      </c>
      <c r="BW16" s="93">
        <f>IFERROR(VLOOKUP(LeadSum[[#This Row],[Lead]],Fri_W2[],MATCH("Admin",Fri_W2[#Headers],0),0),"")</f>
        <v>7</v>
      </c>
      <c r="BX16" s="93" t="str">
        <f>IFERROR(VLOOKUP(LeadSum[[#This Row],[Lead]],Fri_W2[],MATCH("Team MTG",Fri_W2[#Headers],0),0),"")</f>
        <v/>
      </c>
      <c r="BZ16" s="93">
        <f>IFERROR(VLOOKUP(LeadSum[[#This Row],[Lead]],Sat_W2[],MATCH("Help Line",Sat_W2[#Headers],0),0),"")</f>
        <v>8.5</v>
      </c>
      <c r="CA16" s="93">
        <f>IFERROR(VLOOKUP(LeadSum[[#This Row],[Lead]],Sat_W2[],MATCH("RTA",Sat_W2[#Headers],0),0),"")</f>
        <v>0</v>
      </c>
      <c r="CB16" s="93">
        <f>IFERROR(VLOOKUP(LeadSum[[#This Row],[Lead]],Sat_W2[],MATCH("Admin",Sat_W2[#Headers],0),0),"")</f>
        <v>7</v>
      </c>
      <c r="CC16" s="93" t="str">
        <f>IFERROR(VLOOKUP(LeadSum[[#This Row],[Lead]],Sat_W2[],MATCH("Team MTG",Sat_W2[#Headers],0),0),"")</f>
        <v/>
      </c>
    </row>
    <row r="17" spans="1:81" x14ac:dyDescent="0.2">
      <c r="A17" s="93">
        <f>SUM(LeadSum[[#This Row],[Help Line W1]:[RTA W1]])</f>
        <v>42</v>
      </c>
      <c r="B17" s="108" t="s">
        <v>226</v>
      </c>
      <c r="C17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36</v>
      </c>
      <c r="D17" s="93">
        <f>SUM(LSum_Sun1[[#This Row],[RTA]],LSum_Mon1[[#This Row],[RTA]],LSum_Tue1[[#This Row],[RTA]],LSum_Wed1[[#This Row],[RTA]],LSum_Thu1[[#This Row],[RTA]],LSum_Fri1[[#This Row],[RTA]],LSum_Sat1[[#This Row],[RTA]])</f>
        <v>6</v>
      </c>
      <c r="E17" s="93">
        <f>SUM(LSum_Sun1[[#This Row],[Admin]],LSum_Mon1[[#This Row],[Admin]],LSum_Tue1[[#This Row],[Admin]],LSum_Wed1[[#This Row],[Admin]],LSum_Thu1[[#This Row],[Admin]],LSum_Fri1[[#This Row],[Admin]],LSum_Sat1[[#This Row],[Admin]])</f>
        <v>34</v>
      </c>
      <c r="F17" s="93">
        <f>SUM(LSum_Sun1[[#This Row],[TM]],LSum_Mon1[[#This Row],[TM]],LSum_Tue1[[#This Row],[TM]],LSum_Wed1[[#This Row],[TM]],LSum_Thu1[[#This Row],[TM]],LSum_Fri1[[#This Row],[TM]],LSum_Sat1[[#This Row],[TM]])</f>
        <v>0</v>
      </c>
      <c r="G17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36</v>
      </c>
      <c r="H17" s="93">
        <f>SUM(LSum_Sun2[[#This Row],[RTA]],LSum_Mon2[[#This Row],[RTA]],LSum_Tue2[[#This Row],[RTA]],LSum_Wed2[[#This Row],[RTA]],LSum_Thu2[[#This Row],[RTA]],LSum_Fri2[[#This Row],[RTA]],LSum_Sat2[[#This Row],[RTA]])</f>
        <v>6</v>
      </c>
      <c r="I17" s="93">
        <f>SUM(LSum_Sun2[[#This Row],[Admin]],LSum_Mon2[[#This Row],[Admin]],LSum_Tue2[[#This Row],[Admin]],LSum_Wed2[[#This Row],[Admin]],LSum_Thu2[[#This Row],[Admin]],LSum_Fri2[[#This Row],[Admin]],LSum_Sat2[[#This Row],[Admin]])</f>
        <v>34</v>
      </c>
      <c r="J17" s="93">
        <f>SUM(LSum_Sun2[[#This Row],[TM]],LSum_Mon2[[#This Row],[TM]],LSum_Tue2[[#This Row],[TM]],LSum_Wed2[[#This Row],[TM]],LSum_Thu2[[#This Row],[TM]],LSum_Fri2[[#This Row],[TM]],LSum_Sat2[[#This Row],[TM]])</f>
        <v>0</v>
      </c>
      <c r="K17" s="93">
        <f>SUM(LeadSum[[#This Row],[Help Line W2]:[RTA W2]])</f>
        <v>42</v>
      </c>
      <c r="L17" s="93"/>
      <c r="M17" s="93">
        <f>IFERROR(VLOOKUP(LeadSum[[#This Row],[Lead]],Sun_W1[],MATCH("Help Line",Sun_W1[#Headers],0),0),"")</f>
        <v>6</v>
      </c>
      <c r="N17" s="93">
        <f>IFERROR(VLOOKUP(LeadSum[[#This Row],[Lead]],Sun_W1[],MATCH("RTA",Sun_W1[#Headers],0),0),"")</f>
        <v>2</v>
      </c>
      <c r="O17" s="93">
        <f>IFERROR(VLOOKUP(LeadSum[[#This Row],[Lead]],Sun_W1[],MATCH("Admin",Sun_W1[#Headers],0),0),"")</f>
        <v>8</v>
      </c>
      <c r="P17" s="93" t="str">
        <f>IFERROR(VLOOKUP(LeadSum[[#This Row],[Lead]],Sun_W1[],MATCH("Team MTG",Sun_W1[#Headers],0),0),"")</f>
        <v/>
      </c>
      <c r="R17" s="93">
        <f>IFERROR(VLOOKUP(LeadSum[[#This Row],[Lead]],Mon_W1[],MATCH("Help Line",Mon_W1[#Headers],0),0),"")</f>
        <v>7.5</v>
      </c>
      <c r="S17" s="93">
        <f>IFERROR(VLOOKUP(LeadSum[[#This Row],[Lead]],Mon_W1[],MATCH("RTA",Mon_W1[#Headers],0),0),"")</f>
        <v>2</v>
      </c>
      <c r="T17" s="93">
        <f>IFERROR(VLOOKUP(LeadSum[[#This Row],[Lead]],Mon_W1[],MATCH("Admin",Mon_W1[#Headers],0),0),"")</f>
        <v>6</v>
      </c>
      <c r="U17" s="93" t="str">
        <f>IFERROR(VLOOKUP(LeadSum[[#This Row],[Lead]],Mon_W1[],MATCH("Team MTG",Mon_W1[#Headers],0),0),"")</f>
        <v/>
      </c>
      <c r="W17" s="93" t="str">
        <f>IFERROR(VLOOKUP(LeadSum[[#This Row],[Lead]],Tue_W1[],MATCH("Help Line",Tue_W1[#Headers],0),0),"")</f>
        <v/>
      </c>
      <c r="X17" s="93" t="str">
        <f>IFERROR(VLOOKUP(LeadSum[[#This Row],[Lead]],Tue_W1[],MATCH("RTA",Tue_W1[#Headers],0),0),"")</f>
        <v/>
      </c>
      <c r="Y17" s="93" t="str">
        <f>IFERROR(VLOOKUP(LeadSum[[#This Row],[Lead]],Tue_W1[],MATCH("Admin",Tue_W1[#Headers],0),0),"")</f>
        <v/>
      </c>
      <c r="Z17" s="93" t="str">
        <f>IFERROR(VLOOKUP(LeadSum[[#This Row],[Lead]],Tue_W1[],MATCH("Team MTG",Tue_W1[#Headers],0),0),"")</f>
        <v/>
      </c>
      <c r="AB17" s="93" t="str">
        <f>IFERROR(VLOOKUP(LeadSum[[#This Row],[Lead]],Wed_W1[],MATCH("Help Line",Wed_W1[#Headers],0),0),"")</f>
        <v/>
      </c>
      <c r="AC17" s="93" t="str">
        <f>IFERROR(VLOOKUP(LeadSum[[#This Row],[Lead]],Wed_W1[],MATCH("RTA",Wed_W1[#Headers],0),0),"")</f>
        <v/>
      </c>
      <c r="AD17" s="93" t="str">
        <f>IFERROR(VLOOKUP(LeadSum[[#This Row],[Lead]],Wed_W1[],MATCH("Admin",Wed_W1[#Headers],0),0),"")</f>
        <v/>
      </c>
      <c r="AE17" s="93" t="str">
        <f>IFERROR(VLOOKUP(LeadSum[[#This Row],[Lead]],Wed_W1[],MATCH("Team MTG",Wed_W1[#Headers],0),0),"")</f>
        <v/>
      </c>
      <c r="AG17" s="93">
        <f>IFERROR(VLOOKUP(LeadSum[[#This Row],[Lead]],Thu_W1[],MATCH("Help Line",Thu_W1[#Headers],0),0),"")</f>
        <v>7.5</v>
      </c>
      <c r="AH17" s="93">
        <f>IFERROR(VLOOKUP(LeadSum[[#This Row],[Lead]],Thu_W1[],MATCH("RTA",Thu_W1[#Headers],0),0),"")</f>
        <v>2</v>
      </c>
      <c r="AI17" s="93">
        <f>IFERROR(VLOOKUP(LeadSum[[#This Row],[Lead]],Thu_W1[],MATCH("Admin",Thu_W1[#Headers],0),0),"")</f>
        <v>6</v>
      </c>
      <c r="AJ17" s="93" t="str">
        <f>IFERROR(VLOOKUP(LeadSum[[#This Row],[Lead]],Thu_W1[],MATCH("Team MTG",Thu_W1[#Headers],0),0),"")</f>
        <v/>
      </c>
      <c r="AL17" s="93">
        <f>IFERROR(VLOOKUP(LeadSum[[#This Row],[Lead]],Fri_W1[],MATCH("Help Line",Fri_W1[#Headers],0),0),"")</f>
        <v>8.5</v>
      </c>
      <c r="AM17" s="93">
        <f>IFERROR(VLOOKUP(LeadSum[[#This Row],[Lead]],Fri_W1[],MATCH("RTA",Fri_W1[#Headers],0),0),"")</f>
        <v>0</v>
      </c>
      <c r="AN17" s="93">
        <f>IFERROR(VLOOKUP(LeadSum[[#This Row],[Lead]],Fri_W1[],MATCH("Admin",Fri_W1[#Headers],0),0),"")</f>
        <v>7</v>
      </c>
      <c r="AO17" s="93" t="str">
        <f>IFERROR(VLOOKUP(LeadSum[[#This Row],[Lead]],Fri_W1[],MATCH("Team MTG",Fri_W1[#Headers],0),0),"")</f>
        <v/>
      </c>
      <c r="AQ17" s="93">
        <f>IFERROR(VLOOKUP(LeadSum[[#This Row],[Lead]],Sat_W1[],MATCH("Help Line",Sat_W1[#Headers],0),0),"")</f>
        <v>6.5</v>
      </c>
      <c r="AR17" s="93">
        <f>IFERROR(VLOOKUP(LeadSum[[#This Row],[Lead]],Sat_W1[],MATCH("RTA",Sat_W1[#Headers],0),0),"")</f>
        <v>0</v>
      </c>
      <c r="AS17" s="93">
        <f>IFERROR(VLOOKUP(LeadSum[[#This Row],[Lead]],Sat_W1[],MATCH("Admin",Sat_W1[#Headers],0),0),"")</f>
        <v>7</v>
      </c>
      <c r="AT17" s="93" t="str">
        <f>IFERROR(VLOOKUP(LeadSum[[#This Row],[Lead]],Sat_W1[],MATCH("Team MTG",Sat_W1[#Headers],0),0),"")</f>
        <v/>
      </c>
      <c r="AV17" s="93">
        <f>IFERROR(VLOOKUP(LeadSum[[#This Row],[Lead]],Sun_W2[],MATCH("Help Line",Sun_W2[#Headers],0),0),"")</f>
        <v>6</v>
      </c>
      <c r="AW17" s="93">
        <f>IFERROR(VLOOKUP(LeadSum[[#This Row],[Lead]],Sun_W2[],MATCH("RTA",Sun_W2[#Headers],0),0),"")</f>
        <v>2</v>
      </c>
      <c r="AX17" s="93">
        <f>IFERROR(VLOOKUP(LeadSum[[#This Row],[Lead]],Sun_W2[],MATCH("Admin",Sun_W2[#Headers],0),0),"")</f>
        <v>8</v>
      </c>
      <c r="AY17" s="93" t="str">
        <f>IFERROR(VLOOKUP(LeadSum[[#This Row],[Lead]],Sun_W2[],MATCH("Team MTG",Sun_W2[#Headers],0),0),"")</f>
        <v/>
      </c>
      <c r="BA17" s="93">
        <f>IFERROR(VLOOKUP(LeadSum[[#This Row],[Lead]],Mon_W2[],MATCH("Help Line",Mon_W2[#Headers],0),0),"")</f>
        <v>7.5</v>
      </c>
      <c r="BB17" s="93">
        <f>IFERROR(VLOOKUP(LeadSum[[#This Row],[Lead]],Mon_W2[],MATCH("RTA",Mon_W2[#Headers],0),0),"")</f>
        <v>2</v>
      </c>
      <c r="BC17" s="93">
        <f>IFERROR(VLOOKUP(LeadSum[[#This Row],[Lead]],Mon_W2[],MATCH("Admin",Mon_W2[#Headers],0),0),"")</f>
        <v>6</v>
      </c>
      <c r="BD17" s="93" t="str">
        <f>IFERROR(VLOOKUP(LeadSum[[#This Row],[Lead]],Mon_W2[],MATCH("Team MTG",Mon_W2[#Headers],0),0),"")</f>
        <v/>
      </c>
      <c r="BF17" s="93" t="str">
        <f>IFERROR(VLOOKUP(LeadSum[[#This Row],[Lead]],Tue_W2[],MATCH("Help Line",Tue_W2[#Headers],0),0),"")</f>
        <v/>
      </c>
      <c r="BG17" s="93" t="str">
        <f>IFERROR(VLOOKUP(LeadSum[[#This Row],[Lead]],Tue_W2[],MATCH("RTA",Tue_W2[#Headers],0),0),"")</f>
        <v/>
      </c>
      <c r="BH17" s="93" t="str">
        <f>IFERROR(VLOOKUP(LeadSum[[#This Row],[Lead]],Tue_W2[],MATCH("Admin",Tue_W2[#Headers],0),0),"")</f>
        <v/>
      </c>
      <c r="BI17" s="93" t="str">
        <f>IFERROR(VLOOKUP(LeadSum[[#This Row],[Lead]],Tue_W2[],MATCH("Team MTG",Tue_W2[#Headers],0),0),"")</f>
        <v/>
      </c>
      <c r="BK17" s="93" t="str">
        <f>IFERROR(VLOOKUP(LeadSum[[#This Row],[Lead]],Wed_W2[],MATCH("Help Line",Wed_W2[#Headers],0),0),"")</f>
        <v/>
      </c>
      <c r="BL17" s="93" t="str">
        <f>IFERROR(VLOOKUP(LeadSum[[#This Row],[Lead]],Wed_W2[],MATCH("RTA",Wed_W2[#Headers],0),0),"")</f>
        <v/>
      </c>
      <c r="BM17" s="93" t="str">
        <f>IFERROR(VLOOKUP(LeadSum[[#This Row],[Lead]],Wed_W2[],MATCH("Admin",Wed_W2[#Headers],0),0),"")</f>
        <v/>
      </c>
      <c r="BN17" s="93" t="str">
        <f>IFERROR(VLOOKUP(LeadSum[[#This Row],[Lead]],Wed_W2[],MATCH("Team MTG",Wed_W2[#Headers],0),0),"")</f>
        <v/>
      </c>
      <c r="BP17" s="93">
        <f>IFERROR(VLOOKUP(LeadSum[[#This Row],[Lead]],Thu_W2[],MATCH("Help Line",Thu_W2[#Headers],0),0),"")</f>
        <v>7.5</v>
      </c>
      <c r="BQ17" s="93">
        <f>IFERROR(VLOOKUP(LeadSum[[#This Row],[Lead]],Thu_W2[],MATCH("RTA",Thu_W2[#Headers],0),0),"")</f>
        <v>2</v>
      </c>
      <c r="BR17" s="93">
        <f>IFERROR(VLOOKUP(LeadSum[[#This Row],[Lead]],Thu_W2[],MATCH("Admin",Thu_W2[#Headers],0),0),"")</f>
        <v>6</v>
      </c>
      <c r="BS17" s="93" t="str">
        <f>IFERROR(VLOOKUP(LeadSum[[#This Row],[Lead]],Thu_W2[],MATCH("Team MTG",Thu_W2[#Headers],0),0),"")</f>
        <v/>
      </c>
      <c r="BU17" s="93">
        <f>IFERROR(VLOOKUP(LeadSum[[#This Row],[Lead]],Fri_W2[],MATCH("Help Line",Fri_W2[#Headers],0),0),"")</f>
        <v>8.5</v>
      </c>
      <c r="BV17" s="93">
        <f>IFERROR(VLOOKUP(LeadSum[[#This Row],[Lead]],Fri_W2[],MATCH("RTA",Fri_W2[#Headers],0),0),"")</f>
        <v>0</v>
      </c>
      <c r="BW17" s="93">
        <f>IFERROR(VLOOKUP(LeadSum[[#This Row],[Lead]],Fri_W2[],MATCH("Admin",Fri_W2[#Headers],0),0),"")</f>
        <v>7</v>
      </c>
      <c r="BX17" s="93" t="str">
        <f>IFERROR(VLOOKUP(LeadSum[[#This Row],[Lead]],Fri_W2[],MATCH("Team MTG",Fri_W2[#Headers],0),0),"")</f>
        <v/>
      </c>
      <c r="BZ17" s="93">
        <f>IFERROR(VLOOKUP(LeadSum[[#This Row],[Lead]],Sat_W2[],MATCH("Help Line",Sat_W2[#Headers],0),0),"")</f>
        <v>6.5</v>
      </c>
      <c r="CA17" s="93">
        <f>IFERROR(VLOOKUP(LeadSum[[#This Row],[Lead]],Sat_W2[],MATCH("RTA",Sat_W2[#Headers],0),0),"")</f>
        <v>0</v>
      </c>
      <c r="CB17" s="93">
        <f>IFERROR(VLOOKUP(LeadSum[[#This Row],[Lead]],Sat_W2[],MATCH("Admin",Sat_W2[#Headers],0),0),"")</f>
        <v>7</v>
      </c>
      <c r="CC17" s="93" t="str">
        <f>IFERROR(VLOOKUP(LeadSum[[#This Row],[Lead]],Sat_W2[],MATCH("Team MTG",Sat_W2[#Headers],0),0),"")</f>
        <v/>
      </c>
    </row>
    <row r="18" spans="1:81" x14ac:dyDescent="0.2">
      <c r="A18" s="93">
        <f>SUM(LeadSum[[#This Row],[Help Line W1]:[RTA W1]])</f>
        <v>41.5</v>
      </c>
      <c r="B18" s="108" t="s">
        <v>41</v>
      </c>
      <c r="C18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35.5</v>
      </c>
      <c r="D18" s="93">
        <f>SUM(LSum_Sun1[[#This Row],[RTA]],LSum_Mon1[[#This Row],[RTA]],LSum_Tue1[[#This Row],[RTA]],LSum_Wed1[[#This Row],[RTA]],LSum_Thu1[[#This Row],[RTA]],LSum_Fri1[[#This Row],[RTA]],LSum_Sat1[[#This Row],[RTA]])</f>
        <v>6</v>
      </c>
      <c r="E18" s="93">
        <f>SUM(LSum_Sun1[[#This Row],[Admin]],LSum_Mon1[[#This Row],[Admin]],LSum_Tue1[[#This Row],[Admin]],LSum_Wed1[[#This Row],[Admin]],LSum_Thu1[[#This Row],[Admin]],LSum_Fri1[[#This Row],[Admin]],LSum_Sat1[[#This Row],[Admin]])</f>
        <v>34</v>
      </c>
      <c r="F18" s="93">
        <f>SUM(LSum_Sun1[[#This Row],[TM]],LSum_Mon1[[#This Row],[TM]],LSum_Tue1[[#This Row],[TM]],LSum_Wed1[[#This Row],[TM]],LSum_Thu1[[#This Row],[TM]],LSum_Fri1[[#This Row],[TM]],LSum_Sat1[[#This Row],[TM]])</f>
        <v>0</v>
      </c>
      <c r="G18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35.5</v>
      </c>
      <c r="H18" s="93">
        <f>SUM(LSum_Sun2[[#This Row],[RTA]],LSum_Mon2[[#This Row],[RTA]],LSum_Tue2[[#This Row],[RTA]],LSum_Wed2[[#This Row],[RTA]],LSum_Thu2[[#This Row],[RTA]],LSum_Fri2[[#This Row],[RTA]],LSum_Sat2[[#This Row],[RTA]])</f>
        <v>6</v>
      </c>
      <c r="I18" s="93">
        <f>SUM(LSum_Sun2[[#This Row],[Admin]],LSum_Mon2[[#This Row],[Admin]],LSum_Tue2[[#This Row],[Admin]],LSum_Wed2[[#This Row],[Admin]],LSum_Thu2[[#This Row],[Admin]],LSum_Fri2[[#This Row],[Admin]],LSum_Sat2[[#This Row],[Admin]])</f>
        <v>34</v>
      </c>
      <c r="J18" s="93">
        <f>SUM(LSum_Sun2[[#This Row],[TM]],LSum_Mon2[[#This Row],[TM]],LSum_Tue2[[#This Row],[TM]],LSum_Wed2[[#This Row],[TM]],LSum_Thu2[[#This Row],[TM]],LSum_Fri2[[#This Row],[TM]],LSum_Sat2[[#This Row],[TM]])</f>
        <v>0</v>
      </c>
      <c r="K18" s="93">
        <f>SUM(LeadSum[[#This Row],[Help Line W2]:[RTA W2]])</f>
        <v>41.5</v>
      </c>
      <c r="L18" s="93"/>
      <c r="M18" s="93">
        <f>IFERROR(VLOOKUP(LeadSum[[#This Row],[Lead]],Sun_W1[],MATCH("Help Line",Sun_W1[#Headers],0),0),"")</f>
        <v>8.5</v>
      </c>
      <c r="N18" s="93">
        <f>IFERROR(VLOOKUP(LeadSum[[#This Row],[Lead]],Sun_W1[],MATCH("RTA",Sun_W1[#Headers],0),0),"")</f>
        <v>0</v>
      </c>
      <c r="O18" s="93">
        <f>IFERROR(VLOOKUP(LeadSum[[#This Row],[Lead]],Sun_W1[],MATCH("Admin",Sun_W1[#Headers],0),0),"")</f>
        <v>5</v>
      </c>
      <c r="P18" s="93" t="str">
        <f>IFERROR(VLOOKUP(LeadSum[[#This Row],[Lead]],Sun_W1[],MATCH("Team MTG",Sun_W1[#Headers],0),0),"")</f>
        <v/>
      </c>
      <c r="R18" s="93">
        <f>IFERROR(VLOOKUP(LeadSum[[#This Row],[Lead]],Mon_W1[],MATCH("Help Line",Mon_W1[#Headers],0),0),"")</f>
        <v>5.5</v>
      </c>
      <c r="S18" s="93">
        <f>IFERROR(VLOOKUP(LeadSum[[#This Row],[Lead]],Mon_W1[],MATCH("RTA",Mon_W1[#Headers],0),0),"")</f>
        <v>2</v>
      </c>
      <c r="T18" s="93">
        <f>IFERROR(VLOOKUP(LeadSum[[#This Row],[Lead]],Mon_W1[],MATCH("Admin",Mon_W1[#Headers],0),0),"")</f>
        <v>8</v>
      </c>
      <c r="U18" s="93" t="str">
        <f>IFERROR(VLOOKUP(LeadSum[[#This Row],[Lead]],Mon_W1[],MATCH("Team MTG",Mon_W1[#Headers],0),0),"")</f>
        <v/>
      </c>
      <c r="W18" s="93">
        <f>IFERROR(VLOOKUP(LeadSum[[#This Row],[Lead]],Tue_W1[],MATCH("Help Line",Tue_W1[#Headers],0),0),"")</f>
        <v>7.5</v>
      </c>
      <c r="X18" s="93">
        <f>IFERROR(VLOOKUP(LeadSum[[#This Row],[Lead]],Tue_W1[],MATCH("RTA",Tue_W1[#Headers],0),0),"")</f>
        <v>2</v>
      </c>
      <c r="Y18" s="93">
        <f>IFERROR(VLOOKUP(LeadSum[[#This Row],[Lead]],Tue_W1[],MATCH("Admin",Tue_W1[#Headers],0),0),"")</f>
        <v>6</v>
      </c>
      <c r="Z18" s="93" t="str">
        <f>IFERROR(VLOOKUP(LeadSum[[#This Row],[Lead]],Tue_W1[],MATCH("Team MTG",Tue_W1[#Headers],0),0),"")</f>
        <v/>
      </c>
      <c r="AB18" s="93">
        <f>IFERROR(VLOOKUP(LeadSum[[#This Row],[Lead]],Wed_W1[],MATCH("Help Line",Wed_W1[#Headers],0),0),"")</f>
        <v>7.5</v>
      </c>
      <c r="AC18" s="93">
        <f>IFERROR(VLOOKUP(LeadSum[[#This Row],[Lead]],Wed_W1[],MATCH("RTA",Wed_W1[#Headers],0),0),"")</f>
        <v>0</v>
      </c>
      <c r="AD18" s="93">
        <f>IFERROR(VLOOKUP(LeadSum[[#This Row],[Lead]],Wed_W1[],MATCH("Admin",Wed_W1[#Headers],0),0),"")</f>
        <v>8</v>
      </c>
      <c r="AE18" s="93" t="str">
        <f>IFERROR(VLOOKUP(LeadSum[[#This Row],[Lead]],Wed_W1[],MATCH("Team MTG",Wed_W1[#Headers],0),0),"")</f>
        <v/>
      </c>
      <c r="AG18" s="93" t="str">
        <f>IFERROR(VLOOKUP(LeadSum[[#This Row],[Lead]],Thu_W1[],MATCH("Help Line",Thu_W1[#Headers],0),0),"")</f>
        <v/>
      </c>
      <c r="AH18" s="93" t="str">
        <f>IFERROR(VLOOKUP(LeadSum[[#This Row],[Lead]],Thu_W1[],MATCH("RTA",Thu_W1[#Headers],0),0),"")</f>
        <v/>
      </c>
      <c r="AI18" s="93" t="str">
        <f>IFERROR(VLOOKUP(LeadSum[[#This Row],[Lead]],Thu_W1[],MATCH("Admin",Thu_W1[#Headers],0),0),"")</f>
        <v/>
      </c>
      <c r="AJ18" s="93" t="str">
        <f>IFERROR(VLOOKUP(LeadSum[[#This Row],[Lead]],Thu_W1[],MATCH("Team MTG",Thu_W1[#Headers],0),0),"")</f>
        <v/>
      </c>
      <c r="AL18" s="93" t="str">
        <f>IFERROR(VLOOKUP(LeadSum[[#This Row],[Lead]],Fri_W1[],MATCH("Help Line",Fri_W1[#Headers],0),0),"")</f>
        <v/>
      </c>
      <c r="AM18" s="93" t="str">
        <f>IFERROR(VLOOKUP(LeadSum[[#This Row],[Lead]],Fri_W1[],MATCH("RTA",Fri_W1[#Headers],0),0),"")</f>
        <v/>
      </c>
      <c r="AN18" s="93" t="str">
        <f>IFERROR(VLOOKUP(LeadSum[[#This Row],[Lead]],Fri_W1[],MATCH("Admin",Fri_W1[#Headers],0),0),"")</f>
        <v/>
      </c>
      <c r="AO18" s="93" t="str">
        <f>IFERROR(VLOOKUP(LeadSum[[#This Row],[Lead]],Fri_W1[],MATCH("Team MTG",Fri_W1[#Headers],0),0),"")</f>
        <v/>
      </c>
      <c r="AQ18" s="93">
        <f>IFERROR(VLOOKUP(LeadSum[[#This Row],[Lead]],Sat_W1[],MATCH("Help Line",Sat_W1[#Headers],0),0),"")</f>
        <v>6.5</v>
      </c>
      <c r="AR18" s="93">
        <f>IFERROR(VLOOKUP(LeadSum[[#This Row],[Lead]],Sat_W1[],MATCH("RTA",Sat_W1[#Headers],0),0),"")</f>
        <v>2</v>
      </c>
      <c r="AS18" s="93">
        <f>IFERROR(VLOOKUP(LeadSum[[#This Row],[Lead]],Sat_W1[],MATCH("Admin",Sat_W1[#Headers],0),0),"")</f>
        <v>7</v>
      </c>
      <c r="AT18" s="93" t="str">
        <f>IFERROR(VLOOKUP(LeadSum[[#This Row],[Lead]],Sat_W1[],MATCH("Team MTG",Sat_W1[#Headers],0),0),"")</f>
        <v/>
      </c>
      <c r="AV18" s="93">
        <f>IFERROR(VLOOKUP(LeadSum[[#This Row],[Lead]],Sun_W2[],MATCH("Help Line",Sun_W2[#Headers],0),0),"")</f>
        <v>8.5</v>
      </c>
      <c r="AW18" s="93">
        <f>IFERROR(VLOOKUP(LeadSum[[#This Row],[Lead]],Sun_W2[],MATCH("RTA",Sun_W2[#Headers],0),0),"")</f>
        <v>0</v>
      </c>
      <c r="AX18" s="93">
        <f>IFERROR(VLOOKUP(LeadSum[[#This Row],[Lead]],Sun_W2[],MATCH("Admin",Sun_W2[#Headers],0),0),"")</f>
        <v>5</v>
      </c>
      <c r="AY18" s="93" t="str">
        <f>IFERROR(VLOOKUP(LeadSum[[#This Row],[Lead]],Sun_W2[],MATCH("Team MTG",Sun_W2[#Headers],0),0),"")</f>
        <v/>
      </c>
      <c r="BA18" s="93">
        <f>IFERROR(VLOOKUP(LeadSum[[#This Row],[Lead]],Mon_W2[],MATCH("Help Line",Mon_W2[#Headers],0),0),"")</f>
        <v>5.5</v>
      </c>
      <c r="BB18" s="93">
        <f>IFERROR(VLOOKUP(LeadSum[[#This Row],[Lead]],Mon_W2[],MATCH("RTA",Mon_W2[#Headers],0),0),"")</f>
        <v>2</v>
      </c>
      <c r="BC18" s="93">
        <f>IFERROR(VLOOKUP(LeadSum[[#This Row],[Lead]],Mon_W2[],MATCH("Admin",Mon_W2[#Headers],0),0),"")</f>
        <v>8</v>
      </c>
      <c r="BD18" s="93" t="str">
        <f>IFERROR(VLOOKUP(LeadSum[[#This Row],[Lead]],Mon_W2[],MATCH("Team MTG",Mon_W2[#Headers],0),0),"")</f>
        <v/>
      </c>
      <c r="BF18" s="93">
        <f>IFERROR(VLOOKUP(LeadSum[[#This Row],[Lead]],Tue_W2[],MATCH("Help Line",Tue_W2[#Headers],0),0),"")</f>
        <v>7.5</v>
      </c>
      <c r="BG18" s="93">
        <f>IFERROR(VLOOKUP(LeadSum[[#This Row],[Lead]],Tue_W2[],MATCH("RTA",Tue_W2[#Headers],0),0),"")</f>
        <v>2</v>
      </c>
      <c r="BH18" s="93">
        <f>IFERROR(VLOOKUP(LeadSum[[#This Row],[Lead]],Tue_W2[],MATCH("Admin",Tue_W2[#Headers],0),0),"")</f>
        <v>6</v>
      </c>
      <c r="BI18" s="93" t="str">
        <f>IFERROR(VLOOKUP(LeadSum[[#This Row],[Lead]],Tue_W2[],MATCH("Team MTG",Tue_W2[#Headers],0),0),"")</f>
        <v/>
      </c>
      <c r="BK18" s="93">
        <f>IFERROR(VLOOKUP(LeadSum[[#This Row],[Lead]],Wed_W2[],MATCH("Help Line",Wed_W2[#Headers],0),0),"")</f>
        <v>7.5</v>
      </c>
      <c r="BL18" s="93">
        <f>IFERROR(VLOOKUP(LeadSum[[#This Row],[Lead]],Wed_W2[],MATCH("RTA",Wed_W2[#Headers],0),0),"")</f>
        <v>0</v>
      </c>
      <c r="BM18" s="93">
        <f>IFERROR(VLOOKUP(LeadSum[[#This Row],[Lead]],Wed_W2[],MATCH("Admin",Wed_W2[#Headers],0),0),"")</f>
        <v>8</v>
      </c>
      <c r="BN18" s="93" t="str">
        <f>IFERROR(VLOOKUP(LeadSum[[#This Row],[Lead]],Wed_W2[],MATCH("Team MTG",Wed_W2[#Headers],0),0),"")</f>
        <v/>
      </c>
      <c r="BP18" s="93" t="str">
        <f>IFERROR(VLOOKUP(LeadSum[[#This Row],[Lead]],Thu_W2[],MATCH("Help Line",Thu_W2[#Headers],0),0),"")</f>
        <v/>
      </c>
      <c r="BQ18" s="93" t="str">
        <f>IFERROR(VLOOKUP(LeadSum[[#This Row],[Lead]],Thu_W2[],MATCH("RTA",Thu_W2[#Headers],0),0),"")</f>
        <v/>
      </c>
      <c r="BR18" s="93" t="str">
        <f>IFERROR(VLOOKUP(LeadSum[[#This Row],[Lead]],Thu_W2[],MATCH("Admin",Thu_W2[#Headers],0),0),"")</f>
        <v/>
      </c>
      <c r="BS18" s="93" t="str">
        <f>IFERROR(VLOOKUP(LeadSum[[#This Row],[Lead]],Thu_W2[],MATCH("Team MTG",Thu_W2[#Headers],0),0),"")</f>
        <v/>
      </c>
      <c r="BU18" s="93" t="str">
        <f>IFERROR(VLOOKUP(LeadSum[[#This Row],[Lead]],Fri_W2[],MATCH("Help Line",Fri_W2[#Headers],0),0),"")</f>
        <v/>
      </c>
      <c r="BV18" s="93" t="str">
        <f>IFERROR(VLOOKUP(LeadSum[[#This Row],[Lead]],Fri_W2[],MATCH("RTA",Fri_W2[#Headers],0),0),"")</f>
        <v/>
      </c>
      <c r="BW18" s="93" t="str">
        <f>IFERROR(VLOOKUP(LeadSum[[#This Row],[Lead]],Fri_W2[],MATCH("Admin",Fri_W2[#Headers],0),0),"")</f>
        <v/>
      </c>
      <c r="BX18" s="93" t="str">
        <f>IFERROR(VLOOKUP(LeadSum[[#This Row],[Lead]],Fri_W2[],MATCH("Team MTG",Fri_W2[#Headers],0),0),"")</f>
        <v/>
      </c>
      <c r="BZ18" s="93">
        <f>IFERROR(VLOOKUP(LeadSum[[#This Row],[Lead]],Sat_W2[],MATCH("Help Line",Sat_W2[#Headers],0),0),"")</f>
        <v>6.5</v>
      </c>
      <c r="CA18" s="93">
        <f>IFERROR(VLOOKUP(LeadSum[[#This Row],[Lead]],Sat_W2[],MATCH("RTA",Sat_W2[#Headers],0),0),"")</f>
        <v>2</v>
      </c>
      <c r="CB18" s="93">
        <f>IFERROR(VLOOKUP(LeadSum[[#This Row],[Lead]],Sat_W2[],MATCH("Admin",Sat_W2[#Headers],0),0),"")</f>
        <v>7</v>
      </c>
      <c r="CC18" s="93" t="str">
        <f>IFERROR(VLOOKUP(LeadSum[[#This Row],[Lead]],Sat_W2[],MATCH("Team MTG",Sat_W2[#Headers],0),0),"")</f>
        <v/>
      </c>
    </row>
    <row r="19" spans="1:81" x14ac:dyDescent="0.2">
      <c r="A19" s="93">
        <f>SUM(LeadSum[[#This Row],[Help Line W1]:[RTA W1]])</f>
        <v>40.5</v>
      </c>
      <c r="B19" s="108" t="s">
        <v>30</v>
      </c>
      <c r="C19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32.5</v>
      </c>
      <c r="D19" s="93">
        <f>SUM(LSum_Sun1[[#This Row],[RTA]],LSum_Mon1[[#This Row],[RTA]],LSum_Tue1[[#This Row],[RTA]],LSum_Wed1[[#This Row],[RTA]],LSum_Thu1[[#This Row],[RTA]],LSum_Fri1[[#This Row],[RTA]],LSum_Sat1[[#This Row],[RTA]])</f>
        <v>8</v>
      </c>
      <c r="E19" s="93">
        <f>SUM(LSum_Sun1[[#This Row],[Admin]],LSum_Mon1[[#This Row],[Admin]],LSum_Tue1[[#This Row],[Admin]],LSum_Wed1[[#This Row],[Admin]],LSum_Thu1[[#This Row],[Admin]],LSum_Fri1[[#This Row],[Admin]],LSum_Sat1[[#This Row],[Admin]])</f>
        <v>35</v>
      </c>
      <c r="F19" s="93">
        <f>SUM(LSum_Sun1[[#This Row],[TM]],LSum_Mon1[[#This Row],[TM]],LSum_Tue1[[#This Row],[TM]],LSum_Wed1[[#This Row],[TM]],LSum_Thu1[[#This Row],[TM]],LSum_Fri1[[#This Row],[TM]],LSum_Sat1[[#This Row],[TM]])</f>
        <v>0</v>
      </c>
      <c r="G19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32.5</v>
      </c>
      <c r="H19" s="93">
        <f>SUM(LSum_Sun2[[#This Row],[RTA]],LSum_Mon2[[#This Row],[RTA]],LSum_Tue2[[#This Row],[RTA]],LSum_Wed2[[#This Row],[RTA]],LSum_Thu2[[#This Row],[RTA]],LSum_Fri2[[#This Row],[RTA]],LSum_Sat2[[#This Row],[RTA]])</f>
        <v>8</v>
      </c>
      <c r="I19" s="93">
        <f>SUM(LSum_Sun2[[#This Row],[Admin]],LSum_Mon2[[#This Row],[Admin]],LSum_Tue2[[#This Row],[Admin]],LSum_Wed2[[#This Row],[Admin]],LSum_Thu2[[#This Row],[Admin]],LSum_Fri2[[#This Row],[Admin]],LSum_Sat2[[#This Row],[Admin]])</f>
        <v>35</v>
      </c>
      <c r="J19" s="93">
        <f>SUM(LSum_Sun2[[#This Row],[TM]],LSum_Mon2[[#This Row],[TM]],LSum_Tue2[[#This Row],[TM]],LSum_Wed2[[#This Row],[TM]],LSum_Thu2[[#This Row],[TM]],LSum_Fri2[[#This Row],[TM]],LSum_Sat2[[#This Row],[TM]])</f>
        <v>0</v>
      </c>
      <c r="K19" s="93">
        <f>SUM(LeadSum[[#This Row],[Help Line W2]:[RTA W2]])</f>
        <v>40.5</v>
      </c>
      <c r="L19" s="93"/>
      <c r="M19" s="93" t="str">
        <f>IFERROR(VLOOKUP(LeadSum[[#This Row],[Lead]],Sun_W1[],MATCH("Help Line",Sun_W1[#Headers],0),0),"")</f>
        <v/>
      </c>
      <c r="N19" s="93" t="str">
        <f>IFERROR(VLOOKUP(LeadSum[[#This Row],[Lead]],Sun_W1[],MATCH("RTA",Sun_W1[#Headers],0),0),"")</f>
        <v/>
      </c>
      <c r="O19" s="93" t="str">
        <f>IFERROR(VLOOKUP(LeadSum[[#This Row],[Lead]],Sun_W1[],MATCH("Admin",Sun_W1[#Headers],0),0),"")</f>
        <v/>
      </c>
      <c r="P19" s="93" t="str">
        <f>IFERROR(VLOOKUP(LeadSum[[#This Row],[Lead]],Sun_W1[],MATCH("Team MTG",Sun_W1[#Headers],0),0),"")</f>
        <v/>
      </c>
      <c r="R19" s="93">
        <f>IFERROR(VLOOKUP(LeadSum[[#This Row],[Lead]],Mon_W1[],MATCH("Help Line",Mon_W1[#Headers],0),0),"")</f>
        <v>6.5</v>
      </c>
      <c r="S19" s="93">
        <f>IFERROR(VLOOKUP(LeadSum[[#This Row],[Lead]],Mon_W1[],MATCH("RTA",Mon_W1[#Headers],0),0),"")</f>
        <v>2</v>
      </c>
      <c r="T19" s="93">
        <f>IFERROR(VLOOKUP(LeadSum[[#This Row],[Lead]],Mon_W1[],MATCH("Admin",Mon_W1[#Headers],0),0),"")</f>
        <v>7</v>
      </c>
      <c r="U19" s="93" t="str">
        <f>IFERROR(VLOOKUP(LeadSum[[#This Row],[Lead]],Mon_W1[],MATCH("Team MTG",Mon_W1[#Headers],0),0),"")</f>
        <v/>
      </c>
      <c r="W19" s="93">
        <f>IFERROR(VLOOKUP(LeadSum[[#This Row],[Lead]],Tue_W1[],MATCH("Help Line",Tue_W1[#Headers],0),0),"")</f>
        <v>6.5</v>
      </c>
      <c r="X19" s="93">
        <f>IFERROR(VLOOKUP(LeadSum[[#This Row],[Lead]],Tue_W1[],MATCH("RTA",Tue_W1[#Headers],0),0),"")</f>
        <v>2</v>
      </c>
      <c r="Y19" s="93">
        <f>IFERROR(VLOOKUP(LeadSum[[#This Row],[Lead]],Tue_W1[],MATCH("Admin",Tue_W1[#Headers],0),0),"")</f>
        <v>7</v>
      </c>
      <c r="Z19" s="93" t="str">
        <f>IFERROR(VLOOKUP(LeadSum[[#This Row],[Lead]],Tue_W1[],MATCH("Team MTG",Tue_W1[#Headers],0),0),"")</f>
        <v/>
      </c>
      <c r="AB19" s="93">
        <f>IFERROR(VLOOKUP(LeadSum[[#This Row],[Lead]],Wed_W1[],MATCH("Help Line",Wed_W1[#Headers],0),0),"")</f>
        <v>5.5</v>
      </c>
      <c r="AC19" s="93">
        <f>IFERROR(VLOOKUP(LeadSum[[#This Row],[Lead]],Wed_W1[],MATCH("RTA",Wed_W1[#Headers],0),0),"")</f>
        <v>2</v>
      </c>
      <c r="AD19" s="93">
        <f>IFERROR(VLOOKUP(LeadSum[[#This Row],[Lead]],Wed_W1[],MATCH("Admin",Wed_W1[#Headers],0),0),"")</f>
        <v>6</v>
      </c>
      <c r="AE19" s="93" t="str">
        <f>IFERROR(VLOOKUP(LeadSum[[#This Row],[Lead]],Wed_W1[],MATCH("Team MTG",Wed_W1[#Headers],0),0),"")</f>
        <v/>
      </c>
      <c r="AG19" s="93">
        <f>IFERROR(VLOOKUP(LeadSum[[#This Row],[Lead]],Thu_W1[],MATCH("Help Line",Thu_W1[#Headers],0),0),"")</f>
        <v>6.5</v>
      </c>
      <c r="AH19" s="93">
        <f>IFERROR(VLOOKUP(LeadSum[[#This Row],[Lead]],Thu_W1[],MATCH("RTA",Thu_W1[#Headers],0),0),"")</f>
        <v>2</v>
      </c>
      <c r="AI19" s="93">
        <f>IFERROR(VLOOKUP(LeadSum[[#This Row],[Lead]],Thu_W1[],MATCH("Admin",Thu_W1[#Headers],0),0),"")</f>
        <v>7</v>
      </c>
      <c r="AJ19" s="93" t="str">
        <f>IFERROR(VLOOKUP(LeadSum[[#This Row],[Lead]],Thu_W1[],MATCH("Team MTG",Thu_W1[#Headers],0),0),"")</f>
        <v/>
      </c>
      <c r="AL19" s="93">
        <f>IFERROR(VLOOKUP(LeadSum[[#This Row],[Lead]],Fri_W1[],MATCH("Help Line",Fri_W1[#Headers],0),0),"")</f>
        <v>7.5</v>
      </c>
      <c r="AM19" s="93">
        <f>IFERROR(VLOOKUP(LeadSum[[#This Row],[Lead]],Fri_W1[],MATCH("RTA",Fri_W1[#Headers],0),0),"")</f>
        <v>0</v>
      </c>
      <c r="AN19" s="93">
        <f>IFERROR(VLOOKUP(LeadSum[[#This Row],[Lead]],Fri_W1[],MATCH("Admin",Fri_W1[#Headers],0),0),"")</f>
        <v>8</v>
      </c>
      <c r="AO19" s="93" t="str">
        <f>IFERROR(VLOOKUP(LeadSum[[#This Row],[Lead]],Fri_W1[],MATCH("Team MTG",Fri_W1[#Headers],0),0),"")</f>
        <v/>
      </c>
      <c r="AQ19" s="93" t="str">
        <f>IFERROR(VLOOKUP(LeadSum[[#This Row],[Lead]],Sat_W1[],MATCH("Help Line",Sat_W1[#Headers],0),0),"")</f>
        <v/>
      </c>
      <c r="AR19" s="93" t="str">
        <f>IFERROR(VLOOKUP(LeadSum[[#This Row],[Lead]],Sat_W1[],MATCH("RTA",Sat_W1[#Headers],0),0),"")</f>
        <v/>
      </c>
      <c r="AS19" s="93" t="str">
        <f>IFERROR(VLOOKUP(LeadSum[[#This Row],[Lead]],Sat_W1[],MATCH("Admin",Sat_W1[#Headers],0),0),"")</f>
        <v/>
      </c>
      <c r="AT19" s="93" t="str">
        <f>IFERROR(VLOOKUP(LeadSum[[#This Row],[Lead]],Sat_W1[],MATCH("Team MTG",Sat_W1[#Headers],0),0),"")</f>
        <v/>
      </c>
      <c r="AV19" s="93" t="str">
        <f>IFERROR(VLOOKUP(LeadSum[[#This Row],[Lead]],Sun_W2[],MATCH("Help Line",Sun_W2[#Headers],0),0),"")</f>
        <v/>
      </c>
      <c r="AW19" s="93" t="str">
        <f>IFERROR(VLOOKUP(LeadSum[[#This Row],[Lead]],Sun_W2[],MATCH("RTA",Sun_W2[#Headers],0),0),"")</f>
        <v/>
      </c>
      <c r="AX19" s="93" t="str">
        <f>IFERROR(VLOOKUP(LeadSum[[#This Row],[Lead]],Sun_W2[],MATCH("Admin",Sun_W2[#Headers],0),0),"")</f>
        <v/>
      </c>
      <c r="AY19" s="93" t="str">
        <f>IFERROR(VLOOKUP(LeadSum[[#This Row],[Lead]],Sun_W2[],MATCH("Team MTG",Sun_W2[#Headers],0),0),"")</f>
        <v/>
      </c>
      <c r="BA19" s="93">
        <f>IFERROR(VLOOKUP(LeadSum[[#This Row],[Lead]],Mon_W2[],MATCH("Help Line",Mon_W2[#Headers],0),0),"")</f>
        <v>6.5</v>
      </c>
      <c r="BB19" s="93">
        <f>IFERROR(VLOOKUP(LeadSum[[#This Row],[Lead]],Mon_W2[],MATCH("RTA",Mon_W2[#Headers],0),0),"")</f>
        <v>2</v>
      </c>
      <c r="BC19" s="93">
        <f>IFERROR(VLOOKUP(LeadSum[[#This Row],[Lead]],Mon_W2[],MATCH("Admin",Mon_W2[#Headers],0),0),"")</f>
        <v>7</v>
      </c>
      <c r="BD19" s="93" t="str">
        <f>IFERROR(VLOOKUP(LeadSum[[#This Row],[Lead]],Mon_W2[],MATCH("Team MTG",Mon_W2[#Headers],0),0),"")</f>
        <v/>
      </c>
      <c r="BF19" s="93">
        <f>IFERROR(VLOOKUP(LeadSum[[#This Row],[Lead]],Tue_W2[],MATCH("Help Line",Tue_W2[#Headers],0),0),"")</f>
        <v>6.5</v>
      </c>
      <c r="BG19" s="93">
        <f>IFERROR(VLOOKUP(LeadSum[[#This Row],[Lead]],Tue_W2[],MATCH("RTA",Tue_W2[#Headers],0),0),"")</f>
        <v>2</v>
      </c>
      <c r="BH19" s="93">
        <f>IFERROR(VLOOKUP(LeadSum[[#This Row],[Lead]],Tue_W2[],MATCH("Admin",Tue_W2[#Headers],0),0),"")</f>
        <v>7</v>
      </c>
      <c r="BI19" s="93" t="str">
        <f>IFERROR(VLOOKUP(LeadSum[[#This Row],[Lead]],Tue_W2[],MATCH("Team MTG",Tue_W2[#Headers],0),0),"")</f>
        <v/>
      </c>
      <c r="BK19" s="93">
        <f>IFERROR(VLOOKUP(LeadSum[[#This Row],[Lead]],Wed_W2[],MATCH("Help Line",Wed_W2[#Headers],0),0),"")</f>
        <v>5.5</v>
      </c>
      <c r="BL19" s="93">
        <f>IFERROR(VLOOKUP(LeadSum[[#This Row],[Lead]],Wed_W2[],MATCH("RTA",Wed_W2[#Headers],0),0),"")</f>
        <v>2</v>
      </c>
      <c r="BM19" s="93">
        <f>IFERROR(VLOOKUP(LeadSum[[#This Row],[Lead]],Wed_W2[],MATCH("Admin",Wed_W2[#Headers],0),0),"")</f>
        <v>6</v>
      </c>
      <c r="BN19" s="93" t="str">
        <f>IFERROR(VLOOKUP(LeadSum[[#This Row],[Lead]],Wed_W2[],MATCH("Team MTG",Wed_W2[#Headers],0),0),"")</f>
        <v/>
      </c>
      <c r="BP19" s="93">
        <f>IFERROR(VLOOKUP(LeadSum[[#This Row],[Lead]],Thu_W2[],MATCH("Help Line",Thu_W2[#Headers],0),0),"")</f>
        <v>6.5</v>
      </c>
      <c r="BQ19" s="93">
        <f>IFERROR(VLOOKUP(LeadSum[[#This Row],[Lead]],Thu_W2[],MATCH("RTA",Thu_W2[#Headers],0),0),"")</f>
        <v>2</v>
      </c>
      <c r="BR19" s="93">
        <f>IFERROR(VLOOKUP(LeadSum[[#This Row],[Lead]],Thu_W2[],MATCH("Admin",Thu_W2[#Headers],0),0),"")</f>
        <v>7</v>
      </c>
      <c r="BS19" s="93" t="str">
        <f>IFERROR(VLOOKUP(LeadSum[[#This Row],[Lead]],Thu_W2[],MATCH("Team MTG",Thu_W2[#Headers],0),0),"")</f>
        <v/>
      </c>
      <c r="BU19" s="93">
        <f>IFERROR(VLOOKUP(LeadSum[[#This Row],[Lead]],Fri_W2[],MATCH("Help Line",Fri_W2[#Headers],0),0),"")</f>
        <v>7.5</v>
      </c>
      <c r="BV19" s="93">
        <f>IFERROR(VLOOKUP(LeadSum[[#This Row],[Lead]],Fri_W2[],MATCH("RTA",Fri_W2[#Headers],0),0),"")</f>
        <v>0</v>
      </c>
      <c r="BW19" s="93">
        <f>IFERROR(VLOOKUP(LeadSum[[#This Row],[Lead]],Fri_W2[],MATCH("Admin",Fri_W2[#Headers],0),0),"")</f>
        <v>8</v>
      </c>
      <c r="BX19" s="93" t="str">
        <f>IFERROR(VLOOKUP(LeadSum[[#This Row],[Lead]],Fri_W2[],MATCH("Team MTG",Fri_W2[#Headers],0),0),"")</f>
        <v/>
      </c>
      <c r="BZ19" s="93" t="str">
        <f>IFERROR(VLOOKUP(LeadSum[[#This Row],[Lead]],Sat_W2[],MATCH("Help Line",Sat_W2[#Headers],0),0),"")</f>
        <v/>
      </c>
      <c r="CA19" s="93" t="str">
        <f>IFERROR(VLOOKUP(LeadSum[[#This Row],[Lead]],Sat_W2[],MATCH("RTA",Sat_W2[#Headers],0),0),"")</f>
        <v/>
      </c>
      <c r="CB19" s="93" t="str">
        <f>IFERROR(VLOOKUP(LeadSum[[#This Row],[Lead]],Sat_W2[],MATCH("Admin",Sat_W2[#Headers],0),0),"")</f>
        <v/>
      </c>
      <c r="CC19" s="93" t="str">
        <f>IFERROR(VLOOKUP(LeadSum[[#This Row],[Lead]],Sat_W2[],MATCH("Team MTG",Sat_W2[#Headers],0),0),"")</f>
        <v/>
      </c>
    </row>
    <row r="20" spans="1:81" x14ac:dyDescent="0.2">
      <c r="A20" s="93">
        <f>SUM(LeadSum[[#This Row],[Help Line W1]:[RTA W1]])</f>
        <v>49</v>
      </c>
      <c r="B20" s="108" t="s">
        <v>29</v>
      </c>
      <c r="C20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43</v>
      </c>
      <c r="D20" s="93">
        <f>SUM(LSum_Sun1[[#This Row],[RTA]],LSum_Mon1[[#This Row],[RTA]],LSum_Tue1[[#This Row],[RTA]],LSum_Wed1[[#This Row],[RTA]],LSum_Thu1[[#This Row],[RTA]],LSum_Fri1[[#This Row],[RTA]],LSum_Sat1[[#This Row],[RTA]])</f>
        <v>6</v>
      </c>
      <c r="E20" s="93">
        <f>SUM(LSum_Sun1[[#This Row],[Admin]],LSum_Mon1[[#This Row],[Admin]],LSum_Tue1[[#This Row],[Admin]],LSum_Wed1[[#This Row],[Admin]],LSum_Thu1[[#This Row],[Admin]],LSum_Fri1[[#This Row],[Admin]],LSum_Sat1[[#This Row],[Admin]])</f>
        <v>27</v>
      </c>
      <c r="F20" s="93">
        <f>SUM(LSum_Sun1[[#This Row],[TM]],LSum_Mon1[[#This Row],[TM]],LSum_Tue1[[#This Row],[TM]],LSum_Wed1[[#This Row],[TM]],LSum_Thu1[[#This Row],[TM]],LSum_Fri1[[#This Row],[TM]],LSum_Sat1[[#This Row],[TM]])</f>
        <v>0</v>
      </c>
      <c r="G20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43</v>
      </c>
      <c r="H20" s="93">
        <f>SUM(LSum_Sun2[[#This Row],[RTA]],LSum_Mon2[[#This Row],[RTA]],LSum_Tue2[[#This Row],[RTA]],LSum_Wed2[[#This Row],[RTA]],LSum_Thu2[[#This Row],[RTA]],LSum_Fri2[[#This Row],[RTA]],LSum_Sat2[[#This Row],[RTA]])</f>
        <v>6</v>
      </c>
      <c r="I20" s="93">
        <f>SUM(LSum_Sun2[[#This Row],[Admin]],LSum_Mon2[[#This Row],[Admin]],LSum_Tue2[[#This Row],[Admin]],LSum_Wed2[[#This Row],[Admin]],LSum_Thu2[[#This Row],[Admin]],LSum_Fri2[[#This Row],[Admin]],LSum_Sat2[[#This Row],[Admin]])</f>
        <v>27</v>
      </c>
      <c r="J20" s="93">
        <f>SUM(LSum_Sun2[[#This Row],[TM]],LSum_Mon2[[#This Row],[TM]],LSum_Tue2[[#This Row],[TM]],LSum_Wed2[[#This Row],[TM]],LSum_Thu2[[#This Row],[TM]],LSum_Fri2[[#This Row],[TM]],LSum_Sat2[[#This Row],[TM]])</f>
        <v>0</v>
      </c>
      <c r="K20" s="93">
        <f>SUM(LeadSum[[#This Row],[Help Line W2]:[RTA W2]])</f>
        <v>49</v>
      </c>
      <c r="L20" s="93"/>
      <c r="M20" s="93">
        <f>IFERROR(VLOOKUP(LeadSum[[#This Row],[Lead]],Sun_W1[],MATCH("Help Line",Sun_W1[#Headers],0),0),"")</f>
        <v>10.5</v>
      </c>
      <c r="N20" s="93">
        <f>IFERROR(VLOOKUP(LeadSum[[#This Row],[Lead]],Sun_W1[],MATCH("RTA",Sun_W1[#Headers],0),0),"")</f>
        <v>0</v>
      </c>
      <c r="O20" s="93">
        <f>IFERROR(VLOOKUP(LeadSum[[#This Row],[Lead]],Sun_W1[],MATCH("Admin",Sun_W1[#Headers],0),0),"")</f>
        <v>5</v>
      </c>
      <c r="P20" s="93" t="str">
        <f>IFERROR(VLOOKUP(LeadSum[[#This Row],[Lead]],Sun_W1[],MATCH("Team MTG",Sun_W1[#Headers],0),0),"")</f>
        <v/>
      </c>
      <c r="R20" s="93">
        <f>IFERROR(VLOOKUP(LeadSum[[#This Row],[Lead]],Mon_W1[],MATCH("Help Line",Mon_W1[#Headers],0),0),"")</f>
        <v>8.5</v>
      </c>
      <c r="S20" s="93">
        <f>IFERROR(VLOOKUP(LeadSum[[#This Row],[Lead]],Mon_W1[],MATCH("RTA",Mon_W1[#Headers],0),0),"")</f>
        <v>2</v>
      </c>
      <c r="T20" s="93">
        <f>IFERROR(VLOOKUP(LeadSum[[#This Row],[Lead]],Mon_W1[],MATCH("Admin",Mon_W1[#Headers],0),0),"")</f>
        <v>5</v>
      </c>
      <c r="U20" s="93" t="str">
        <f>IFERROR(VLOOKUP(LeadSum[[#This Row],[Lead]],Mon_W1[],MATCH("Team MTG",Mon_W1[#Headers],0),0),"")</f>
        <v/>
      </c>
      <c r="W20" s="93">
        <f>IFERROR(VLOOKUP(LeadSum[[#This Row],[Lead]],Tue_W1[],MATCH("Help Line",Tue_W1[#Headers],0),0),"")</f>
        <v>10.5</v>
      </c>
      <c r="X20" s="93">
        <f>IFERROR(VLOOKUP(LeadSum[[#This Row],[Lead]],Tue_W1[],MATCH("RTA",Tue_W1[#Headers],0),0),"")</f>
        <v>0</v>
      </c>
      <c r="Y20" s="93">
        <f>IFERROR(VLOOKUP(LeadSum[[#This Row],[Lead]],Tue_W1[],MATCH("Admin",Tue_W1[#Headers],0),0),"")</f>
        <v>5</v>
      </c>
      <c r="Z20" s="93" t="str">
        <f>IFERROR(VLOOKUP(LeadSum[[#This Row],[Lead]],Tue_W1[],MATCH("Team MTG",Tue_W1[#Headers],0),0),"")</f>
        <v/>
      </c>
      <c r="AB20" s="93">
        <f>IFERROR(VLOOKUP(LeadSum[[#This Row],[Lead]],Wed_W1[],MATCH("Help Line",Wed_W1[#Headers],0),0),"")</f>
        <v>6</v>
      </c>
      <c r="AC20" s="93">
        <f>IFERROR(VLOOKUP(LeadSum[[#This Row],[Lead]],Wed_W1[],MATCH("RTA",Wed_W1[#Headers],0),0),"")</f>
        <v>2</v>
      </c>
      <c r="AD20" s="93">
        <f>IFERROR(VLOOKUP(LeadSum[[#This Row],[Lead]],Wed_W1[],MATCH("Admin",Wed_W1[#Headers],0),0),"")</f>
        <v>6</v>
      </c>
      <c r="AE20" s="93" t="str">
        <f>IFERROR(VLOOKUP(LeadSum[[#This Row],[Lead]],Wed_W1[],MATCH("Team MTG",Wed_W1[#Headers],0),0),"")</f>
        <v/>
      </c>
      <c r="AG20" s="93">
        <f>IFERROR(VLOOKUP(LeadSum[[#This Row],[Lead]],Thu_W1[],MATCH("Help Line",Thu_W1[#Headers],0),0),"")</f>
        <v>7.5</v>
      </c>
      <c r="AH20" s="93">
        <f>IFERROR(VLOOKUP(LeadSum[[#This Row],[Lead]],Thu_W1[],MATCH("RTA",Thu_W1[#Headers],0),0),"")</f>
        <v>2</v>
      </c>
      <c r="AI20" s="93">
        <f>IFERROR(VLOOKUP(LeadSum[[#This Row],[Lead]],Thu_W1[],MATCH("Admin",Thu_W1[#Headers],0),0),"")</f>
        <v>6</v>
      </c>
      <c r="AJ20" s="93" t="str">
        <f>IFERROR(VLOOKUP(LeadSum[[#This Row],[Lead]],Thu_W1[],MATCH("Team MTG",Thu_W1[#Headers],0),0),"")</f>
        <v/>
      </c>
      <c r="AL20" s="93" t="str">
        <f>IFERROR(VLOOKUP(LeadSum[[#This Row],[Lead]],Fri_W1[],MATCH("Help Line",Fri_W1[#Headers],0),0),"")</f>
        <v/>
      </c>
      <c r="AM20" s="93" t="str">
        <f>IFERROR(VLOOKUP(LeadSum[[#This Row],[Lead]],Fri_W1[],MATCH("RTA",Fri_W1[#Headers],0),0),"")</f>
        <v/>
      </c>
      <c r="AN20" s="93" t="str">
        <f>IFERROR(VLOOKUP(LeadSum[[#This Row],[Lead]],Fri_W1[],MATCH("Admin",Fri_W1[#Headers],0),0),"")</f>
        <v/>
      </c>
      <c r="AO20" s="93" t="str">
        <f>IFERROR(VLOOKUP(LeadSum[[#This Row],[Lead]],Fri_W1[],MATCH("Team MTG",Fri_W1[#Headers],0),0),"")</f>
        <v/>
      </c>
      <c r="AQ20" s="93" t="str">
        <f>IFERROR(VLOOKUP(LeadSum[[#This Row],[Lead]],Sat_W1[],MATCH("Help Line",Sat_W1[#Headers],0),0),"")</f>
        <v/>
      </c>
      <c r="AR20" s="93" t="str">
        <f>IFERROR(VLOOKUP(LeadSum[[#This Row],[Lead]],Sat_W1[],MATCH("RTA",Sat_W1[#Headers],0),0),"")</f>
        <v/>
      </c>
      <c r="AS20" s="93" t="str">
        <f>IFERROR(VLOOKUP(LeadSum[[#This Row],[Lead]],Sat_W1[],MATCH("Admin",Sat_W1[#Headers],0),0),"")</f>
        <v/>
      </c>
      <c r="AT20" s="93" t="str">
        <f>IFERROR(VLOOKUP(LeadSum[[#This Row],[Lead]],Sat_W1[],MATCH("Team MTG",Sat_W1[#Headers],0),0),"")</f>
        <v/>
      </c>
      <c r="AV20" s="93">
        <f>IFERROR(VLOOKUP(LeadSum[[#This Row],[Lead]],Sun_W2[],MATCH("Help Line",Sun_W2[#Headers],0),0),"")</f>
        <v>10.5</v>
      </c>
      <c r="AW20" s="93">
        <f>IFERROR(VLOOKUP(LeadSum[[#This Row],[Lead]],Sun_W2[],MATCH("RTA",Sun_W2[#Headers],0),0),"")</f>
        <v>0</v>
      </c>
      <c r="AX20" s="93">
        <f>IFERROR(VLOOKUP(LeadSum[[#This Row],[Lead]],Sun_W2[],MATCH("Admin",Sun_W2[#Headers],0),0),"")</f>
        <v>5</v>
      </c>
      <c r="AY20" s="93" t="str">
        <f>IFERROR(VLOOKUP(LeadSum[[#This Row],[Lead]],Sun_W2[],MATCH("Team MTG",Sun_W2[#Headers],0),0),"")</f>
        <v/>
      </c>
      <c r="BA20" s="93">
        <f>IFERROR(VLOOKUP(LeadSum[[#This Row],[Lead]],Mon_W2[],MATCH("Help Line",Mon_W2[#Headers],0),0),"")</f>
        <v>8.5</v>
      </c>
      <c r="BB20" s="93">
        <f>IFERROR(VLOOKUP(LeadSum[[#This Row],[Lead]],Mon_W2[],MATCH("RTA",Mon_W2[#Headers],0),0),"")</f>
        <v>2</v>
      </c>
      <c r="BC20" s="93">
        <f>IFERROR(VLOOKUP(LeadSum[[#This Row],[Lead]],Mon_W2[],MATCH("Admin",Mon_W2[#Headers],0),0),"")</f>
        <v>5</v>
      </c>
      <c r="BD20" s="93" t="str">
        <f>IFERROR(VLOOKUP(LeadSum[[#This Row],[Lead]],Mon_W2[],MATCH("Team MTG",Mon_W2[#Headers],0),0),"")</f>
        <v/>
      </c>
      <c r="BF20" s="93">
        <f>IFERROR(VLOOKUP(LeadSum[[#This Row],[Lead]],Tue_W2[],MATCH("Help Line",Tue_W2[#Headers],0),0),"")</f>
        <v>10.5</v>
      </c>
      <c r="BG20" s="93">
        <f>IFERROR(VLOOKUP(LeadSum[[#This Row],[Lead]],Tue_W2[],MATCH("RTA",Tue_W2[#Headers],0),0),"")</f>
        <v>0</v>
      </c>
      <c r="BH20" s="93">
        <f>IFERROR(VLOOKUP(LeadSum[[#This Row],[Lead]],Tue_W2[],MATCH("Admin",Tue_W2[#Headers],0),0),"")</f>
        <v>5</v>
      </c>
      <c r="BI20" s="93" t="str">
        <f>IFERROR(VLOOKUP(LeadSum[[#This Row],[Lead]],Tue_W2[],MATCH("Team MTG",Tue_W2[#Headers],0),0),"")</f>
        <v/>
      </c>
      <c r="BK20" s="93">
        <f>IFERROR(VLOOKUP(LeadSum[[#This Row],[Lead]],Wed_W2[],MATCH("Help Line",Wed_W2[#Headers],0),0),"")</f>
        <v>6</v>
      </c>
      <c r="BL20" s="93">
        <f>IFERROR(VLOOKUP(LeadSum[[#This Row],[Lead]],Wed_W2[],MATCH("RTA",Wed_W2[#Headers],0),0),"")</f>
        <v>2</v>
      </c>
      <c r="BM20" s="93">
        <f>IFERROR(VLOOKUP(LeadSum[[#This Row],[Lead]],Wed_W2[],MATCH("Admin",Wed_W2[#Headers],0),0),"")</f>
        <v>6</v>
      </c>
      <c r="BN20" s="93" t="str">
        <f>IFERROR(VLOOKUP(LeadSum[[#This Row],[Lead]],Wed_W2[],MATCH("Team MTG",Wed_W2[#Headers],0),0),"")</f>
        <v/>
      </c>
      <c r="BP20" s="93">
        <f>IFERROR(VLOOKUP(LeadSum[[#This Row],[Lead]],Thu_W2[],MATCH("Help Line",Thu_W2[#Headers],0),0),"")</f>
        <v>7.5</v>
      </c>
      <c r="BQ20" s="93">
        <f>IFERROR(VLOOKUP(LeadSum[[#This Row],[Lead]],Thu_W2[],MATCH("RTA",Thu_W2[#Headers],0),0),"")</f>
        <v>2</v>
      </c>
      <c r="BR20" s="93">
        <f>IFERROR(VLOOKUP(LeadSum[[#This Row],[Lead]],Thu_W2[],MATCH("Admin",Thu_W2[#Headers],0),0),"")</f>
        <v>6</v>
      </c>
      <c r="BS20" s="93" t="str">
        <f>IFERROR(VLOOKUP(LeadSum[[#This Row],[Lead]],Thu_W2[],MATCH("Team MTG",Thu_W2[#Headers],0),0),"")</f>
        <v/>
      </c>
      <c r="BU20" s="93" t="str">
        <f>IFERROR(VLOOKUP(LeadSum[[#This Row],[Lead]],Fri_W2[],MATCH("Help Line",Fri_W2[#Headers],0),0),"")</f>
        <v/>
      </c>
      <c r="BV20" s="93" t="str">
        <f>IFERROR(VLOOKUP(LeadSum[[#This Row],[Lead]],Fri_W2[],MATCH("RTA",Fri_W2[#Headers],0),0),"")</f>
        <v/>
      </c>
      <c r="BW20" s="93" t="str">
        <f>IFERROR(VLOOKUP(LeadSum[[#This Row],[Lead]],Fri_W2[],MATCH("Admin",Fri_W2[#Headers],0),0),"")</f>
        <v/>
      </c>
      <c r="BX20" s="93" t="str">
        <f>IFERROR(VLOOKUP(LeadSum[[#This Row],[Lead]],Fri_W2[],MATCH("Team MTG",Fri_W2[#Headers],0),0),"")</f>
        <v/>
      </c>
      <c r="BZ20" s="93" t="str">
        <f>IFERROR(VLOOKUP(LeadSum[[#This Row],[Lead]],Sat_W2[],MATCH("Help Line",Sat_W2[#Headers],0),0),"")</f>
        <v/>
      </c>
      <c r="CA20" s="93" t="str">
        <f>IFERROR(VLOOKUP(LeadSum[[#This Row],[Lead]],Sat_W2[],MATCH("RTA",Sat_W2[#Headers],0),0),"")</f>
        <v/>
      </c>
      <c r="CB20" s="93" t="str">
        <f>IFERROR(VLOOKUP(LeadSum[[#This Row],[Lead]],Sat_W2[],MATCH("Admin",Sat_W2[#Headers],0),0),"")</f>
        <v/>
      </c>
      <c r="CC20" s="93" t="str">
        <f>IFERROR(VLOOKUP(LeadSum[[#This Row],[Lead]],Sat_W2[],MATCH("Team MTG",Sat_W2[#Headers],0),0),"")</f>
        <v/>
      </c>
    </row>
    <row r="21" spans="1:81" x14ac:dyDescent="0.2">
      <c r="A21" s="93">
        <f>SUM(LeadSum[[#This Row],[Help Line W1]:[RTA W1]])</f>
        <v>0</v>
      </c>
      <c r="B21" s="108" t="s">
        <v>227</v>
      </c>
      <c r="C21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21" s="93">
        <f>SUM(LSum_Sun1[[#This Row],[RTA]],LSum_Mon1[[#This Row],[RTA]],LSum_Tue1[[#This Row],[RTA]],LSum_Wed1[[#This Row],[RTA]],LSum_Thu1[[#This Row],[RTA]],LSum_Fri1[[#This Row],[RTA]],LSum_Sat1[[#This Row],[RTA]])</f>
        <v>0</v>
      </c>
      <c r="E21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21" s="93">
        <f>SUM(LSum_Sun1[[#This Row],[TM]],LSum_Mon1[[#This Row],[TM]],LSum_Tue1[[#This Row],[TM]],LSum_Wed1[[#This Row],[TM]],LSum_Thu1[[#This Row],[TM]],LSum_Fri1[[#This Row],[TM]],LSum_Sat1[[#This Row],[TM]])</f>
        <v>0</v>
      </c>
      <c r="G21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21" s="93">
        <f>SUM(LSum_Sun2[[#This Row],[RTA]],LSum_Mon2[[#This Row],[RTA]],LSum_Tue2[[#This Row],[RTA]],LSum_Wed2[[#This Row],[RTA]],LSum_Thu2[[#This Row],[RTA]],LSum_Fri2[[#This Row],[RTA]],LSum_Sat2[[#This Row],[RTA]])</f>
        <v>0</v>
      </c>
      <c r="I21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21" s="93">
        <f>SUM(LSum_Sun2[[#This Row],[TM]],LSum_Mon2[[#This Row],[TM]],LSum_Tue2[[#This Row],[TM]],LSum_Wed2[[#This Row],[TM]],LSum_Thu2[[#This Row],[TM]],LSum_Fri2[[#This Row],[TM]],LSum_Sat2[[#This Row],[TM]])</f>
        <v>0</v>
      </c>
      <c r="K21" s="93">
        <f>SUM(LeadSum[[#This Row],[Help Line W2]:[RTA W2]])</f>
        <v>0</v>
      </c>
      <c r="L21" s="93"/>
      <c r="M21" s="93">
        <f>IFERROR(VLOOKUP(LeadSum[[#This Row],[Lead]],Sun_W1[],MATCH("Help Line",Sun_W1[#Headers],0),0),"")</f>
        <v>0</v>
      </c>
      <c r="N21" s="93">
        <f>IFERROR(VLOOKUP(LeadSum[[#This Row],[Lead]],Sun_W1[],MATCH("RTA",Sun_W1[#Headers],0),0),"")</f>
        <v>0</v>
      </c>
      <c r="O21" s="93">
        <f>IFERROR(VLOOKUP(LeadSum[[#This Row],[Lead]],Sun_W1[],MATCH("Admin",Sun_W1[#Headers],0),0),"")</f>
        <v>0</v>
      </c>
      <c r="P21" s="93" t="str">
        <f>IFERROR(VLOOKUP(LeadSum[[#This Row],[Lead]],Sun_W1[],MATCH("Team MTG",Sun_W1[#Headers],0),0),"")</f>
        <v/>
      </c>
      <c r="R21" s="93">
        <f>IFERROR(VLOOKUP(LeadSum[[#This Row],[Lead]],Mon_W1[],MATCH("Help Line",Mon_W1[#Headers],0),0),"")</f>
        <v>0</v>
      </c>
      <c r="S21" s="93">
        <f>IFERROR(VLOOKUP(LeadSum[[#This Row],[Lead]],Mon_W1[],MATCH("RTA",Mon_W1[#Headers],0),0),"")</f>
        <v>0</v>
      </c>
      <c r="T21" s="93">
        <f>IFERROR(VLOOKUP(LeadSum[[#This Row],[Lead]],Mon_W1[],MATCH("Admin",Mon_W1[#Headers],0),0),"")</f>
        <v>0</v>
      </c>
      <c r="U21" s="93" t="str">
        <f>IFERROR(VLOOKUP(LeadSum[[#This Row],[Lead]],Mon_W1[],MATCH("Team MTG",Mon_W1[#Headers],0),0),"")</f>
        <v/>
      </c>
      <c r="W21" s="93">
        <f>IFERROR(VLOOKUP(LeadSum[[#This Row],[Lead]],Tue_W1[],MATCH("Help Line",Tue_W1[#Headers],0),0),"")</f>
        <v>0</v>
      </c>
      <c r="X21" s="93">
        <f>IFERROR(VLOOKUP(LeadSum[[#This Row],[Lead]],Tue_W1[],MATCH("RTA",Tue_W1[#Headers],0),0),"")</f>
        <v>0</v>
      </c>
      <c r="Y21" s="93">
        <f>IFERROR(VLOOKUP(LeadSum[[#This Row],[Lead]],Tue_W1[],MATCH("Admin",Tue_W1[#Headers],0),0),"")</f>
        <v>0</v>
      </c>
      <c r="Z21" s="93" t="str">
        <f>IFERROR(VLOOKUP(LeadSum[[#This Row],[Lead]],Tue_W1[],MATCH("Team MTG",Tue_W1[#Headers],0),0),"")</f>
        <v/>
      </c>
      <c r="AB21" s="93" t="str">
        <f>IFERROR(VLOOKUP(LeadSum[[#This Row],[Lead]],Wed_W1[],MATCH("Help Line",Wed_W1[#Headers],0),0),"")</f>
        <v/>
      </c>
      <c r="AC21" s="93" t="str">
        <f>IFERROR(VLOOKUP(LeadSum[[#This Row],[Lead]],Wed_W1[],MATCH("RTA",Wed_W1[#Headers],0),0),"")</f>
        <v/>
      </c>
      <c r="AD21" s="93" t="str">
        <f>IFERROR(VLOOKUP(LeadSum[[#This Row],[Lead]],Wed_W1[],MATCH("Admin",Wed_W1[#Headers],0),0),"")</f>
        <v/>
      </c>
      <c r="AE21" s="93" t="str">
        <f>IFERROR(VLOOKUP(LeadSum[[#This Row],[Lead]],Wed_W1[],MATCH("Team MTG",Wed_W1[#Headers],0),0),"")</f>
        <v/>
      </c>
      <c r="AG21" s="93" t="str">
        <f>IFERROR(VLOOKUP(LeadSum[[#This Row],[Lead]],Thu_W1[],MATCH("Help Line",Thu_W1[#Headers],0),0),"")</f>
        <v/>
      </c>
      <c r="AH21" s="93" t="str">
        <f>IFERROR(VLOOKUP(LeadSum[[#This Row],[Lead]],Thu_W1[],MATCH("RTA",Thu_W1[#Headers],0),0),"")</f>
        <v/>
      </c>
      <c r="AI21" s="93" t="str">
        <f>IFERROR(VLOOKUP(LeadSum[[#This Row],[Lead]],Thu_W1[],MATCH("Admin",Thu_W1[#Headers],0),0),"")</f>
        <v/>
      </c>
      <c r="AJ21" s="93" t="str">
        <f>IFERROR(VLOOKUP(LeadSum[[#This Row],[Lead]],Thu_W1[],MATCH("Team MTG",Thu_W1[#Headers],0),0),"")</f>
        <v/>
      </c>
      <c r="AL21" s="93" t="str">
        <f>IFERROR(VLOOKUP(LeadSum[[#This Row],[Lead]],Fri_W1[],MATCH("Help Line",Fri_W1[#Headers],0),0),"")</f>
        <v/>
      </c>
      <c r="AM21" s="93" t="str">
        <f>IFERROR(VLOOKUP(LeadSum[[#This Row],[Lead]],Fri_W1[],MATCH("RTA",Fri_W1[#Headers],0),0),"")</f>
        <v/>
      </c>
      <c r="AN21" s="93" t="str">
        <f>IFERROR(VLOOKUP(LeadSum[[#This Row],[Lead]],Fri_W1[],MATCH("Admin",Fri_W1[#Headers],0),0),"")</f>
        <v/>
      </c>
      <c r="AO21" s="93" t="str">
        <f>IFERROR(VLOOKUP(LeadSum[[#This Row],[Lead]],Fri_W1[],MATCH("Team MTG",Fri_W1[#Headers],0),0),"")</f>
        <v/>
      </c>
      <c r="AQ21" s="93">
        <f>IFERROR(VLOOKUP(LeadSum[[#This Row],[Lead]],Sat_W1[],MATCH("Help Line",Sat_W1[#Headers],0),0),"")</f>
        <v>0</v>
      </c>
      <c r="AR21" s="93">
        <f>IFERROR(VLOOKUP(LeadSum[[#This Row],[Lead]],Sat_W1[],MATCH("RTA",Sat_W1[#Headers],0),0),"")</f>
        <v>0</v>
      </c>
      <c r="AS21" s="93">
        <f>IFERROR(VLOOKUP(LeadSum[[#This Row],[Lead]],Sat_W1[],MATCH("Admin",Sat_W1[#Headers],0),0),"")</f>
        <v>0</v>
      </c>
      <c r="AT21" s="93" t="str">
        <f>IFERROR(VLOOKUP(LeadSum[[#This Row],[Lead]],Sat_W1[],MATCH("Team MTG",Sat_W1[#Headers],0),0),"")</f>
        <v/>
      </c>
      <c r="AV21" s="93">
        <f>IFERROR(VLOOKUP(LeadSum[[#This Row],[Lead]],Sun_W2[],MATCH("Help Line",Sun_W2[#Headers],0),0),"")</f>
        <v>0</v>
      </c>
      <c r="AW21" s="93">
        <f>IFERROR(VLOOKUP(LeadSum[[#This Row],[Lead]],Sun_W2[],MATCH("RTA",Sun_W2[#Headers],0),0),"")</f>
        <v>0</v>
      </c>
      <c r="AX21" s="93">
        <f>IFERROR(VLOOKUP(LeadSum[[#This Row],[Lead]],Sun_W2[],MATCH("Admin",Sun_W2[#Headers],0),0),"")</f>
        <v>0</v>
      </c>
      <c r="AY21" s="93" t="str">
        <f>IFERROR(VLOOKUP(LeadSum[[#This Row],[Lead]],Sun_W2[],MATCH("Team MTG",Sun_W2[#Headers],0),0),"")</f>
        <v/>
      </c>
      <c r="BA21" s="93">
        <f>IFERROR(VLOOKUP(LeadSum[[#This Row],[Lead]],Mon_W2[],MATCH("Help Line",Mon_W2[#Headers],0),0),"")</f>
        <v>0</v>
      </c>
      <c r="BB21" s="93">
        <f>IFERROR(VLOOKUP(LeadSum[[#This Row],[Lead]],Mon_W2[],MATCH("RTA",Mon_W2[#Headers],0),0),"")</f>
        <v>0</v>
      </c>
      <c r="BC21" s="93">
        <f>IFERROR(VLOOKUP(LeadSum[[#This Row],[Lead]],Mon_W2[],MATCH("Admin",Mon_W2[#Headers],0),0),"")</f>
        <v>0</v>
      </c>
      <c r="BD21" s="93" t="str">
        <f>IFERROR(VLOOKUP(LeadSum[[#This Row],[Lead]],Mon_W2[],MATCH("Team MTG",Mon_W2[#Headers],0),0),"")</f>
        <v/>
      </c>
      <c r="BF21" s="93">
        <f>IFERROR(VLOOKUP(LeadSum[[#This Row],[Lead]],Tue_W2[],MATCH("Help Line",Tue_W2[#Headers],0),0),"")</f>
        <v>0</v>
      </c>
      <c r="BG21" s="93">
        <f>IFERROR(VLOOKUP(LeadSum[[#This Row],[Lead]],Tue_W2[],MATCH("RTA",Tue_W2[#Headers],0),0),"")</f>
        <v>0</v>
      </c>
      <c r="BH21" s="93">
        <f>IFERROR(VLOOKUP(LeadSum[[#This Row],[Lead]],Tue_W2[],MATCH("Admin",Tue_W2[#Headers],0),0),"")</f>
        <v>0</v>
      </c>
      <c r="BI21" s="93" t="str">
        <f>IFERROR(VLOOKUP(LeadSum[[#This Row],[Lead]],Tue_W2[],MATCH("Team MTG",Tue_W2[#Headers],0),0),"")</f>
        <v/>
      </c>
      <c r="BK21" s="93" t="str">
        <f>IFERROR(VLOOKUP(LeadSum[[#This Row],[Lead]],Wed_W2[],MATCH("Help Line",Wed_W2[#Headers],0),0),"")</f>
        <v/>
      </c>
      <c r="BL21" s="93" t="str">
        <f>IFERROR(VLOOKUP(LeadSum[[#This Row],[Lead]],Wed_W2[],MATCH("RTA",Wed_W2[#Headers],0),0),"")</f>
        <v/>
      </c>
      <c r="BM21" s="93" t="str">
        <f>IFERROR(VLOOKUP(LeadSum[[#This Row],[Lead]],Wed_W2[],MATCH("Admin",Wed_W2[#Headers],0),0),"")</f>
        <v/>
      </c>
      <c r="BN21" s="93" t="str">
        <f>IFERROR(VLOOKUP(LeadSum[[#This Row],[Lead]],Wed_W2[],MATCH("Team MTG",Wed_W2[#Headers],0),0),"")</f>
        <v/>
      </c>
      <c r="BP21" s="93" t="str">
        <f>IFERROR(VLOOKUP(LeadSum[[#This Row],[Lead]],Thu_W2[],MATCH("Help Line",Thu_W2[#Headers],0),0),"")</f>
        <v/>
      </c>
      <c r="BQ21" s="93" t="str">
        <f>IFERROR(VLOOKUP(LeadSum[[#This Row],[Lead]],Thu_W2[],MATCH("RTA",Thu_W2[#Headers],0),0),"")</f>
        <v/>
      </c>
      <c r="BR21" s="93" t="str">
        <f>IFERROR(VLOOKUP(LeadSum[[#This Row],[Lead]],Thu_W2[],MATCH("Admin",Thu_W2[#Headers],0),0),"")</f>
        <v/>
      </c>
      <c r="BS21" s="93" t="str">
        <f>IFERROR(VLOOKUP(LeadSum[[#This Row],[Lead]],Thu_W2[],MATCH("Team MTG",Thu_W2[#Headers],0),0),"")</f>
        <v/>
      </c>
      <c r="BU21" s="93" t="str">
        <f>IFERROR(VLOOKUP(LeadSum[[#This Row],[Lead]],Fri_W2[],MATCH("Help Line",Fri_W2[#Headers],0),0),"")</f>
        <v/>
      </c>
      <c r="BV21" s="93" t="str">
        <f>IFERROR(VLOOKUP(LeadSum[[#This Row],[Lead]],Fri_W2[],MATCH("RTA",Fri_W2[#Headers],0),0),"")</f>
        <v/>
      </c>
      <c r="BW21" s="93" t="str">
        <f>IFERROR(VLOOKUP(LeadSum[[#This Row],[Lead]],Fri_W2[],MATCH("Admin",Fri_W2[#Headers],0),0),"")</f>
        <v/>
      </c>
      <c r="BX21" s="93" t="str">
        <f>IFERROR(VLOOKUP(LeadSum[[#This Row],[Lead]],Fri_W2[],MATCH("Team MTG",Fri_W2[#Headers],0),0),"")</f>
        <v/>
      </c>
      <c r="BZ21" s="93">
        <f>IFERROR(VLOOKUP(LeadSum[[#This Row],[Lead]],Sat_W2[],MATCH("Help Line",Sat_W2[#Headers],0),0),"")</f>
        <v>0</v>
      </c>
      <c r="CA21" s="93">
        <f>IFERROR(VLOOKUP(LeadSum[[#This Row],[Lead]],Sat_W2[],MATCH("RTA",Sat_W2[#Headers],0),0),"")</f>
        <v>0</v>
      </c>
      <c r="CB21" s="93">
        <f>IFERROR(VLOOKUP(LeadSum[[#This Row],[Lead]],Sat_W2[],MATCH("Admin",Sat_W2[#Headers],0),0),"")</f>
        <v>0</v>
      </c>
      <c r="CC21" s="93" t="str">
        <f>IFERROR(VLOOKUP(LeadSum[[#This Row],[Lead]],Sat_W2[],MATCH("Team MTG",Sat_W2[#Headers],0),0),"")</f>
        <v/>
      </c>
    </row>
    <row r="22" spans="1:81" x14ac:dyDescent="0.2">
      <c r="A22" s="93">
        <f>SUM(LeadSum[[#This Row],[Help Line W1]:[RTA W1]])</f>
        <v>44</v>
      </c>
      <c r="B22" s="108" t="s">
        <v>67</v>
      </c>
      <c r="C22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36</v>
      </c>
      <c r="D22" s="93">
        <f>SUM(LSum_Sun1[[#This Row],[RTA]],LSum_Mon1[[#This Row],[RTA]],LSum_Tue1[[#This Row],[RTA]],LSum_Wed1[[#This Row],[RTA]],LSum_Thu1[[#This Row],[RTA]],LSum_Fri1[[#This Row],[RTA]],LSum_Sat1[[#This Row],[RTA]])</f>
        <v>8</v>
      </c>
      <c r="E22" s="93">
        <f>SUM(LSum_Sun1[[#This Row],[Admin]],LSum_Mon1[[#This Row],[Admin]],LSum_Tue1[[#This Row],[Admin]],LSum_Wed1[[#This Row],[Admin]],LSum_Thu1[[#This Row],[Admin]],LSum_Fri1[[#This Row],[Admin]],LSum_Sat1[[#This Row],[Admin]])</f>
        <v>31</v>
      </c>
      <c r="F22" s="93">
        <f>SUM(LSum_Sun1[[#This Row],[TM]],LSum_Mon1[[#This Row],[TM]],LSum_Tue1[[#This Row],[TM]],LSum_Wed1[[#This Row],[TM]],LSum_Thu1[[#This Row],[TM]],LSum_Fri1[[#This Row],[TM]],LSum_Sat1[[#This Row],[TM]])</f>
        <v>0</v>
      </c>
      <c r="G22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36</v>
      </c>
      <c r="H22" s="93">
        <f>SUM(LSum_Sun2[[#This Row],[RTA]],LSum_Mon2[[#This Row],[RTA]],LSum_Tue2[[#This Row],[RTA]],LSum_Wed2[[#This Row],[RTA]],LSum_Thu2[[#This Row],[RTA]],LSum_Fri2[[#This Row],[RTA]],LSum_Sat2[[#This Row],[RTA]])</f>
        <v>8</v>
      </c>
      <c r="I22" s="93">
        <f>SUM(LSum_Sun2[[#This Row],[Admin]],LSum_Mon2[[#This Row],[Admin]],LSum_Tue2[[#This Row],[Admin]],LSum_Wed2[[#This Row],[Admin]],LSum_Thu2[[#This Row],[Admin]],LSum_Fri2[[#This Row],[Admin]],LSum_Sat2[[#This Row],[Admin]])</f>
        <v>31</v>
      </c>
      <c r="J22" s="93">
        <f>SUM(LSum_Sun2[[#This Row],[TM]],LSum_Mon2[[#This Row],[TM]],LSum_Tue2[[#This Row],[TM]],LSum_Wed2[[#This Row],[TM]],LSum_Thu2[[#This Row],[TM]],LSum_Fri2[[#This Row],[TM]],LSum_Sat2[[#This Row],[TM]])</f>
        <v>0</v>
      </c>
      <c r="K22" s="93">
        <f>SUM(LeadSum[[#This Row],[Help Line W2]:[RTA W2]])</f>
        <v>44</v>
      </c>
      <c r="L22" s="93"/>
      <c r="M22" s="93" t="str">
        <f>IFERROR(VLOOKUP(LeadSum[[#This Row],[Lead]],Sun_W1[],MATCH("Help Line",Sun_W1[#Headers],0),0),"")</f>
        <v/>
      </c>
      <c r="N22" s="93" t="str">
        <f>IFERROR(VLOOKUP(LeadSum[[#This Row],[Lead]],Sun_W1[],MATCH("RTA",Sun_W1[#Headers],0),0),"")</f>
        <v/>
      </c>
      <c r="O22" s="93" t="str">
        <f>IFERROR(VLOOKUP(LeadSum[[#This Row],[Lead]],Sun_W1[],MATCH("Admin",Sun_W1[#Headers],0),0),"")</f>
        <v/>
      </c>
      <c r="P22" s="93" t="str">
        <f>IFERROR(VLOOKUP(LeadSum[[#This Row],[Lead]],Sun_W1[],MATCH("Team MTG",Sun_W1[#Headers],0),0),"")</f>
        <v/>
      </c>
      <c r="R22" s="93">
        <f>IFERROR(VLOOKUP(LeadSum[[#This Row],[Lead]],Mon_W1[],MATCH("Help Line",Mon_W1[#Headers],0),0),"")</f>
        <v>6.5</v>
      </c>
      <c r="S22" s="93">
        <f>IFERROR(VLOOKUP(LeadSum[[#This Row],[Lead]],Mon_W1[],MATCH("RTA",Mon_W1[#Headers],0),0),"")</f>
        <v>2</v>
      </c>
      <c r="T22" s="93">
        <f>IFERROR(VLOOKUP(LeadSum[[#This Row],[Lead]],Mon_W1[],MATCH("Admin",Mon_W1[#Headers],0),0),"")</f>
        <v>5</v>
      </c>
      <c r="U22" s="93" t="str">
        <f>IFERROR(VLOOKUP(LeadSum[[#This Row],[Lead]],Mon_W1[],MATCH("Team MTG",Mon_W1[#Headers],0),0),"")</f>
        <v/>
      </c>
      <c r="W22" s="93">
        <f>IFERROR(VLOOKUP(LeadSum[[#This Row],[Lead]],Tue_W1[],MATCH("Help Line",Tue_W1[#Headers],0),0),"")</f>
        <v>7.5</v>
      </c>
      <c r="X22" s="93">
        <f>IFERROR(VLOOKUP(LeadSum[[#This Row],[Lead]],Tue_W1[],MATCH("RTA",Tue_W1[#Headers],0),0),"")</f>
        <v>2</v>
      </c>
      <c r="Y22" s="93">
        <f>IFERROR(VLOOKUP(LeadSum[[#This Row],[Lead]],Tue_W1[],MATCH("Admin",Tue_W1[#Headers],0),0),"")</f>
        <v>6</v>
      </c>
      <c r="Z22" s="93" t="str">
        <f>IFERROR(VLOOKUP(LeadSum[[#This Row],[Lead]],Tue_W1[],MATCH("Team MTG",Tue_W1[#Headers],0),0),"")</f>
        <v/>
      </c>
      <c r="AB22" s="93">
        <f>IFERROR(VLOOKUP(LeadSum[[#This Row],[Lead]],Wed_W1[],MATCH("Help Line",Wed_W1[#Headers],0),0),"")</f>
        <v>6.5</v>
      </c>
      <c r="AC22" s="93">
        <f>IFERROR(VLOOKUP(LeadSum[[#This Row],[Lead]],Wed_W1[],MATCH("RTA",Wed_W1[#Headers],0),0),"")</f>
        <v>2</v>
      </c>
      <c r="AD22" s="93">
        <f>IFERROR(VLOOKUP(LeadSum[[#This Row],[Lead]],Wed_W1[],MATCH("Admin",Wed_W1[#Headers],0),0),"")</f>
        <v>7</v>
      </c>
      <c r="AE22" s="93" t="str">
        <f>IFERROR(VLOOKUP(LeadSum[[#This Row],[Lead]],Wed_W1[],MATCH("Team MTG",Wed_W1[#Headers],0),0),"")</f>
        <v/>
      </c>
      <c r="AG22" s="93">
        <f>IFERROR(VLOOKUP(LeadSum[[#This Row],[Lead]],Thu_W1[],MATCH("Help Line",Thu_W1[#Headers],0),0),"")</f>
        <v>6.5</v>
      </c>
      <c r="AH22" s="93">
        <f>IFERROR(VLOOKUP(LeadSum[[#This Row],[Lead]],Thu_W1[],MATCH("RTA",Thu_W1[#Headers],0),0),"")</f>
        <v>2</v>
      </c>
      <c r="AI22" s="93">
        <f>IFERROR(VLOOKUP(LeadSum[[#This Row],[Lead]],Thu_W1[],MATCH("Admin",Thu_W1[#Headers],0),0),"")</f>
        <v>7</v>
      </c>
      <c r="AJ22" s="93" t="str">
        <f>IFERROR(VLOOKUP(LeadSum[[#This Row],[Lead]],Thu_W1[],MATCH("Team MTG",Thu_W1[#Headers],0),0),"")</f>
        <v/>
      </c>
      <c r="AL22" s="93">
        <f>IFERROR(VLOOKUP(LeadSum[[#This Row],[Lead]],Fri_W1[],MATCH("Help Line",Fri_W1[#Headers],0),0),"")</f>
        <v>9</v>
      </c>
      <c r="AM22" s="93">
        <f>IFERROR(VLOOKUP(LeadSum[[#This Row],[Lead]],Fri_W1[],MATCH("RTA",Fri_W1[#Headers],0),0),"")</f>
        <v>0</v>
      </c>
      <c r="AN22" s="93">
        <f>IFERROR(VLOOKUP(LeadSum[[#This Row],[Lead]],Fri_W1[],MATCH("Admin",Fri_W1[#Headers],0),0),"")</f>
        <v>6</v>
      </c>
      <c r="AO22" s="93" t="str">
        <f>IFERROR(VLOOKUP(LeadSum[[#This Row],[Lead]],Fri_W1[],MATCH("Team MTG",Fri_W1[#Headers],0),0),"")</f>
        <v/>
      </c>
      <c r="AQ22" s="93" t="str">
        <f>IFERROR(VLOOKUP(LeadSum[[#This Row],[Lead]],Sat_W1[],MATCH("Help Line",Sat_W1[#Headers],0),0),"")</f>
        <v/>
      </c>
      <c r="AR22" s="93" t="str">
        <f>IFERROR(VLOOKUP(LeadSum[[#This Row],[Lead]],Sat_W1[],MATCH("RTA",Sat_W1[#Headers],0),0),"")</f>
        <v/>
      </c>
      <c r="AS22" s="93" t="str">
        <f>IFERROR(VLOOKUP(LeadSum[[#This Row],[Lead]],Sat_W1[],MATCH("Admin",Sat_W1[#Headers],0),0),"")</f>
        <v/>
      </c>
      <c r="AT22" s="93" t="str">
        <f>IFERROR(VLOOKUP(LeadSum[[#This Row],[Lead]],Sat_W1[],MATCH("Team MTG",Sat_W1[#Headers],0),0),"")</f>
        <v/>
      </c>
      <c r="AV22" s="93" t="str">
        <f>IFERROR(VLOOKUP(LeadSum[[#This Row],[Lead]],Sun_W2[],MATCH("Help Line",Sun_W2[#Headers],0),0),"")</f>
        <v/>
      </c>
      <c r="AW22" s="93" t="str">
        <f>IFERROR(VLOOKUP(LeadSum[[#This Row],[Lead]],Sun_W2[],MATCH("RTA",Sun_W2[#Headers],0),0),"")</f>
        <v/>
      </c>
      <c r="AX22" s="93" t="str">
        <f>IFERROR(VLOOKUP(LeadSum[[#This Row],[Lead]],Sun_W2[],MATCH("Admin",Sun_W2[#Headers],0),0),"")</f>
        <v/>
      </c>
      <c r="AY22" s="93" t="str">
        <f>IFERROR(VLOOKUP(LeadSum[[#This Row],[Lead]],Sun_W2[],MATCH("Team MTG",Sun_W2[#Headers],0),0),"")</f>
        <v/>
      </c>
      <c r="BA22" s="93">
        <f>IFERROR(VLOOKUP(LeadSum[[#This Row],[Lead]],Mon_W2[],MATCH("Help Line",Mon_W2[#Headers],0),0),"")</f>
        <v>6.5</v>
      </c>
      <c r="BB22" s="93">
        <f>IFERROR(VLOOKUP(LeadSum[[#This Row],[Lead]],Mon_W2[],MATCH("RTA",Mon_W2[#Headers],0),0),"")</f>
        <v>2</v>
      </c>
      <c r="BC22" s="93">
        <f>IFERROR(VLOOKUP(LeadSum[[#This Row],[Lead]],Mon_W2[],MATCH("Admin",Mon_W2[#Headers],0),0),"")</f>
        <v>5</v>
      </c>
      <c r="BD22" s="93" t="str">
        <f>IFERROR(VLOOKUP(LeadSum[[#This Row],[Lead]],Mon_W2[],MATCH("Team MTG",Mon_W2[#Headers],0),0),"")</f>
        <v/>
      </c>
      <c r="BF22" s="93">
        <f>IFERROR(VLOOKUP(LeadSum[[#This Row],[Lead]],Tue_W2[],MATCH("Help Line",Tue_W2[#Headers],0),0),"")</f>
        <v>7.5</v>
      </c>
      <c r="BG22" s="93">
        <f>IFERROR(VLOOKUP(LeadSum[[#This Row],[Lead]],Tue_W2[],MATCH("RTA",Tue_W2[#Headers],0),0),"")</f>
        <v>2</v>
      </c>
      <c r="BH22" s="93">
        <f>IFERROR(VLOOKUP(LeadSum[[#This Row],[Lead]],Tue_W2[],MATCH("Admin",Tue_W2[#Headers],0),0),"")</f>
        <v>6</v>
      </c>
      <c r="BI22" s="93" t="str">
        <f>IFERROR(VLOOKUP(LeadSum[[#This Row],[Lead]],Tue_W2[],MATCH("Team MTG",Tue_W2[#Headers],0),0),"")</f>
        <v/>
      </c>
      <c r="BK22" s="93">
        <f>IFERROR(VLOOKUP(LeadSum[[#This Row],[Lead]],Wed_W2[],MATCH("Help Line",Wed_W2[#Headers],0),0),"")</f>
        <v>6.5</v>
      </c>
      <c r="BL22" s="93">
        <f>IFERROR(VLOOKUP(LeadSum[[#This Row],[Lead]],Wed_W2[],MATCH("RTA",Wed_W2[#Headers],0),0),"")</f>
        <v>2</v>
      </c>
      <c r="BM22" s="93">
        <f>IFERROR(VLOOKUP(LeadSum[[#This Row],[Lead]],Wed_W2[],MATCH("Admin",Wed_W2[#Headers],0),0),"")</f>
        <v>7</v>
      </c>
      <c r="BN22" s="93" t="str">
        <f>IFERROR(VLOOKUP(LeadSum[[#This Row],[Lead]],Wed_W2[],MATCH("Team MTG",Wed_W2[#Headers],0),0),"")</f>
        <v/>
      </c>
      <c r="BP22" s="93">
        <f>IFERROR(VLOOKUP(LeadSum[[#This Row],[Lead]],Thu_W2[],MATCH("Help Line",Thu_W2[#Headers],0),0),"")</f>
        <v>6.5</v>
      </c>
      <c r="BQ22" s="93">
        <f>IFERROR(VLOOKUP(LeadSum[[#This Row],[Lead]],Thu_W2[],MATCH("RTA",Thu_W2[#Headers],0),0),"")</f>
        <v>2</v>
      </c>
      <c r="BR22" s="93">
        <f>IFERROR(VLOOKUP(LeadSum[[#This Row],[Lead]],Thu_W2[],MATCH("Admin",Thu_W2[#Headers],0),0),"")</f>
        <v>7</v>
      </c>
      <c r="BS22" s="93" t="str">
        <f>IFERROR(VLOOKUP(LeadSum[[#This Row],[Lead]],Thu_W2[],MATCH("Team MTG",Thu_W2[#Headers],0),0),"")</f>
        <v/>
      </c>
      <c r="BU22" s="93">
        <f>IFERROR(VLOOKUP(LeadSum[[#This Row],[Lead]],Fri_W2[],MATCH("Help Line",Fri_W2[#Headers],0),0),"")</f>
        <v>9</v>
      </c>
      <c r="BV22" s="93">
        <f>IFERROR(VLOOKUP(LeadSum[[#This Row],[Lead]],Fri_W2[],MATCH("RTA",Fri_W2[#Headers],0),0),"")</f>
        <v>0</v>
      </c>
      <c r="BW22" s="93">
        <f>IFERROR(VLOOKUP(LeadSum[[#This Row],[Lead]],Fri_W2[],MATCH("Admin",Fri_W2[#Headers],0),0),"")</f>
        <v>6</v>
      </c>
      <c r="BX22" s="93" t="str">
        <f>IFERROR(VLOOKUP(LeadSum[[#This Row],[Lead]],Fri_W2[],MATCH("Team MTG",Fri_W2[#Headers],0),0),"")</f>
        <v/>
      </c>
      <c r="BZ22" s="93" t="str">
        <f>IFERROR(VLOOKUP(LeadSum[[#This Row],[Lead]],Sat_W2[],MATCH("Help Line",Sat_W2[#Headers],0),0),"")</f>
        <v/>
      </c>
      <c r="CA22" s="93" t="str">
        <f>IFERROR(VLOOKUP(LeadSum[[#This Row],[Lead]],Sat_W2[],MATCH("RTA",Sat_W2[#Headers],0),0),"")</f>
        <v/>
      </c>
      <c r="CB22" s="93" t="str">
        <f>IFERROR(VLOOKUP(LeadSum[[#This Row],[Lead]],Sat_W2[],MATCH("Admin",Sat_W2[#Headers],0),0),"")</f>
        <v/>
      </c>
      <c r="CC22" s="93" t="str">
        <f>IFERROR(VLOOKUP(LeadSum[[#This Row],[Lead]],Sat_W2[],MATCH("Team MTG",Sat_W2[#Headers],0),0),"")</f>
        <v/>
      </c>
    </row>
    <row r="23" spans="1:81" x14ac:dyDescent="0.2">
      <c r="A23" s="93">
        <f>SUM(LeadSum[[#This Row],[Help Line W1]:[RTA W1]])</f>
        <v>0</v>
      </c>
      <c r="B23" s="108" t="s">
        <v>54</v>
      </c>
      <c r="C23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23" s="93">
        <f>SUM(LSum_Sun1[[#This Row],[RTA]],LSum_Mon1[[#This Row],[RTA]],LSum_Tue1[[#This Row],[RTA]],LSum_Wed1[[#This Row],[RTA]],LSum_Thu1[[#This Row],[RTA]],LSum_Fri1[[#This Row],[RTA]],LSum_Sat1[[#This Row],[RTA]])</f>
        <v>0</v>
      </c>
      <c r="E23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23" s="93">
        <f>SUM(LSum_Sun1[[#This Row],[TM]],LSum_Mon1[[#This Row],[TM]],LSum_Tue1[[#This Row],[TM]],LSum_Wed1[[#This Row],[TM]],LSum_Thu1[[#This Row],[TM]],LSum_Fri1[[#This Row],[TM]],LSum_Sat1[[#This Row],[TM]])</f>
        <v>0</v>
      </c>
      <c r="G23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23" s="93">
        <f>SUM(LSum_Sun2[[#This Row],[RTA]],LSum_Mon2[[#This Row],[RTA]],LSum_Tue2[[#This Row],[RTA]],LSum_Wed2[[#This Row],[RTA]],LSum_Thu2[[#This Row],[RTA]],LSum_Fri2[[#This Row],[RTA]],LSum_Sat2[[#This Row],[RTA]])</f>
        <v>0</v>
      </c>
      <c r="I23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23" s="93">
        <f>SUM(LSum_Sun2[[#This Row],[TM]],LSum_Mon2[[#This Row],[TM]],LSum_Tue2[[#This Row],[TM]],LSum_Wed2[[#This Row],[TM]],LSum_Thu2[[#This Row],[TM]],LSum_Fri2[[#This Row],[TM]],LSum_Sat2[[#This Row],[TM]])</f>
        <v>0</v>
      </c>
      <c r="K23" s="93">
        <f>SUM(LeadSum[[#This Row],[Help Line W2]:[RTA W2]])</f>
        <v>0</v>
      </c>
      <c r="L23" s="93"/>
      <c r="M23" s="93" t="str">
        <f>IFERROR(VLOOKUP(LeadSum[[#This Row],[Lead]],Sun_W1[],MATCH("Help Line",Sun_W1[#Headers],0),0),"")</f>
        <v/>
      </c>
      <c r="N23" s="93" t="str">
        <f>IFERROR(VLOOKUP(LeadSum[[#This Row],[Lead]],Sun_W1[],MATCH("RTA",Sun_W1[#Headers],0),0),"")</f>
        <v/>
      </c>
      <c r="O23" s="93" t="str">
        <f>IFERROR(VLOOKUP(LeadSum[[#This Row],[Lead]],Sun_W1[],MATCH("Admin",Sun_W1[#Headers],0),0),"")</f>
        <v/>
      </c>
      <c r="P23" s="93" t="str">
        <f>IFERROR(VLOOKUP(LeadSum[[#This Row],[Lead]],Sun_W1[],MATCH("Team MTG",Sun_W1[#Headers],0),0),"")</f>
        <v/>
      </c>
      <c r="R23" s="93" t="str">
        <f>IFERROR(VLOOKUP(LeadSum[[#This Row],[Lead]],Mon_W1[],MATCH("Help Line",Mon_W1[#Headers],0),0),"")</f>
        <v/>
      </c>
      <c r="S23" s="93" t="str">
        <f>IFERROR(VLOOKUP(LeadSum[[#This Row],[Lead]],Mon_W1[],MATCH("RTA",Mon_W1[#Headers],0),0),"")</f>
        <v/>
      </c>
      <c r="T23" s="93" t="str">
        <f>IFERROR(VLOOKUP(LeadSum[[#This Row],[Lead]],Mon_W1[],MATCH("Admin",Mon_W1[#Headers],0),0),"")</f>
        <v/>
      </c>
      <c r="U23" s="93" t="str">
        <f>IFERROR(VLOOKUP(LeadSum[[#This Row],[Lead]],Mon_W1[],MATCH("Team MTG",Mon_W1[#Headers],0),0),"")</f>
        <v/>
      </c>
      <c r="W23" s="93" t="str">
        <f>IFERROR(VLOOKUP(LeadSum[[#This Row],[Lead]],Tue_W1[],MATCH("Help Line",Tue_W1[#Headers],0),0),"")</f>
        <v/>
      </c>
      <c r="X23" s="93" t="str">
        <f>IFERROR(VLOOKUP(LeadSum[[#This Row],[Lead]],Tue_W1[],MATCH("RTA",Tue_W1[#Headers],0),0),"")</f>
        <v/>
      </c>
      <c r="Y23" s="93" t="str">
        <f>IFERROR(VLOOKUP(LeadSum[[#This Row],[Lead]],Tue_W1[],MATCH("Admin",Tue_W1[#Headers],0),0),"")</f>
        <v/>
      </c>
      <c r="Z23" s="93" t="str">
        <f>IFERROR(VLOOKUP(LeadSum[[#This Row],[Lead]],Tue_W1[],MATCH("Team MTG",Tue_W1[#Headers],0),0),"")</f>
        <v/>
      </c>
      <c r="AB23" s="93" t="str">
        <f>IFERROR(VLOOKUP(LeadSum[[#This Row],[Lead]],Wed_W1[],MATCH("Help Line",Wed_W1[#Headers],0),0),"")</f>
        <v/>
      </c>
      <c r="AC23" s="93" t="str">
        <f>IFERROR(VLOOKUP(LeadSum[[#This Row],[Lead]],Wed_W1[],MATCH("RTA",Wed_W1[#Headers],0),0),"")</f>
        <v/>
      </c>
      <c r="AD23" s="93" t="str">
        <f>IFERROR(VLOOKUP(LeadSum[[#This Row],[Lead]],Wed_W1[],MATCH("Admin",Wed_W1[#Headers],0),0),"")</f>
        <v/>
      </c>
      <c r="AE23" s="93" t="str">
        <f>IFERROR(VLOOKUP(LeadSum[[#This Row],[Lead]],Wed_W1[],MATCH("Team MTG",Wed_W1[#Headers],0),0),"")</f>
        <v/>
      </c>
      <c r="AG23" s="93" t="str">
        <f>IFERROR(VLOOKUP(LeadSum[[#This Row],[Lead]],Thu_W1[],MATCH("Help Line",Thu_W1[#Headers],0),0),"")</f>
        <v/>
      </c>
      <c r="AH23" s="93" t="str">
        <f>IFERROR(VLOOKUP(LeadSum[[#This Row],[Lead]],Thu_W1[],MATCH("RTA",Thu_W1[#Headers],0),0),"")</f>
        <v/>
      </c>
      <c r="AI23" s="93" t="str">
        <f>IFERROR(VLOOKUP(LeadSum[[#This Row],[Lead]],Thu_W1[],MATCH("Admin",Thu_W1[#Headers],0),0),"")</f>
        <v/>
      </c>
      <c r="AJ23" s="93" t="str">
        <f>IFERROR(VLOOKUP(LeadSum[[#This Row],[Lead]],Thu_W1[],MATCH("Team MTG",Thu_W1[#Headers],0),0),"")</f>
        <v/>
      </c>
      <c r="AL23" s="93" t="str">
        <f>IFERROR(VLOOKUP(LeadSum[[#This Row],[Lead]],Fri_W1[],MATCH("Help Line",Fri_W1[#Headers],0),0),"")</f>
        <v/>
      </c>
      <c r="AM23" s="93" t="str">
        <f>IFERROR(VLOOKUP(LeadSum[[#This Row],[Lead]],Fri_W1[],MATCH("RTA",Fri_W1[#Headers],0),0),"")</f>
        <v/>
      </c>
      <c r="AN23" s="93" t="str">
        <f>IFERROR(VLOOKUP(LeadSum[[#This Row],[Lead]],Fri_W1[],MATCH("Admin",Fri_W1[#Headers],0),0),"")</f>
        <v/>
      </c>
      <c r="AO23" s="93" t="str">
        <f>IFERROR(VLOOKUP(LeadSum[[#This Row],[Lead]],Fri_W1[],MATCH("Team MTG",Fri_W1[#Headers],0),0),"")</f>
        <v/>
      </c>
      <c r="AQ23" s="93" t="str">
        <f>IFERROR(VLOOKUP(LeadSum[[#This Row],[Lead]],Sat_W1[],MATCH("Help Line",Sat_W1[#Headers],0),0),"")</f>
        <v/>
      </c>
      <c r="AR23" s="93" t="str">
        <f>IFERROR(VLOOKUP(LeadSum[[#This Row],[Lead]],Sat_W1[],MATCH("RTA",Sat_W1[#Headers],0),0),"")</f>
        <v/>
      </c>
      <c r="AS23" s="93" t="str">
        <f>IFERROR(VLOOKUP(LeadSum[[#This Row],[Lead]],Sat_W1[],MATCH("Admin",Sat_W1[#Headers],0),0),"")</f>
        <v/>
      </c>
      <c r="AT23" s="93" t="str">
        <f>IFERROR(VLOOKUP(LeadSum[[#This Row],[Lead]],Sat_W1[],MATCH("Team MTG",Sat_W1[#Headers],0),0),"")</f>
        <v/>
      </c>
      <c r="AV23" s="93" t="str">
        <f>IFERROR(VLOOKUP(LeadSum[[#This Row],[Lead]],Sun_W2[],MATCH("Help Line",Sun_W2[#Headers],0),0),"")</f>
        <v/>
      </c>
      <c r="AW23" s="93" t="str">
        <f>IFERROR(VLOOKUP(LeadSum[[#This Row],[Lead]],Sun_W2[],MATCH("RTA",Sun_W2[#Headers],0),0),"")</f>
        <v/>
      </c>
      <c r="AX23" s="93" t="str">
        <f>IFERROR(VLOOKUP(LeadSum[[#This Row],[Lead]],Sun_W2[],MATCH("Admin",Sun_W2[#Headers],0),0),"")</f>
        <v/>
      </c>
      <c r="AY23" s="93" t="str">
        <f>IFERROR(VLOOKUP(LeadSum[[#This Row],[Lead]],Sun_W2[],MATCH("Team MTG",Sun_W2[#Headers],0),0),"")</f>
        <v/>
      </c>
      <c r="BA23" s="93" t="str">
        <f>IFERROR(VLOOKUP(LeadSum[[#This Row],[Lead]],Mon_W2[],MATCH("Help Line",Mon_W2[#Headers],0),0),"")</f>
        <v/>
      </c>
      <c r="BB23" s="93" t="str">
        <f>IFERROR(VLOOKUP(LeadSum[[#This Row],[Lead]],Mon_W2[],MATCH("RTA",Mon_W2[#Headers],0),0),"")</f>
        <v/>
      </c>
      <c r="BC23" s="93" t="str">
        <f>IFERROR(VLOOKUP(LeadSum[[#This Row],[Lead]],Mon_W2[],MATCH("Admin",Mon_W2[#Headers],0),0),"")</f>
        <v/>
      </c>
      <c r="BD23" s="93" t="str">
        <f>IFERROR(VLOOKUP(LeadSum[[#This Row],[Lead]],Mon_W2[],MATCH("Team MTG",Mon_W2[#Headers],0),0),"")</f>
        <v/>
      </c>
      <c r="BF23" s="93" t="str">
        <f>IFERROR(VLOOKUP(LeadSum[[#This Row],[Lead]],Tue_W2[],MATCH("Help Line",Tue_W2[#Headers],0),0),"")</f>
        <v/>
      </c>
      <c r="BG23" s="93" t="str">
        <f>IFERROR(VLOOKUP(LeadSum[[#This Row],[Lead]],Tue_W2[],MATCH("RTA",Tue_W2[#Headers],0),0),"")</f>
        <v/>
      </c>
      <c r="BH23" s="93" t="str">
        <f>IFERROR(VLOOKUP(LeadSum[[#This Row],[Lead]],Tue_W2[],MATCH("Admin",Tue_W2[#Headers],0),0),"")</f>
        <v/>
      </c>
      <c r="BI23" s="93" t="str">
        <f>IFERROR(VLOOKUP(LeadSum[[#This Row],[Lead]],Tue_W2[],MATCH("Team MTG",Tue_W2[#Headers],0),0),"")</f>
        <v/>
      </c>
      <c r="BK23" s="93" t="str">
        <f>IFERROR(VLOOKUP(LeadSum[[#This Row],[Lead]],Wed_W2[],MATCH("Help Line",Wed_W2[#Headers],0),0),"")</f>
        <v/>
      </c>
      <c r="BL23" s="93" t="str">
        <f>IFERROR(VLOOKUP(LeadSum[[#This Row],[Lead]],Wed_W2[],MATCH("RTA",Wed_W2[#Headers],0),0),"")</f>
        <v/>
      </c>
      <c r="BM23" s="93" t="str">
        <f>IFERROR(VLOOKUP(LeadSum[[#This Row],[Lead]],Wed_W2[],MATCH("Admin",Wed_W2[#Headers],0),0),"")</f>
        <v/>
      </c>
      <c r="BN23" s="93" t="str">
        <f>IFERROR(VLOOKUP(LeadSum[[#This Row],[Lead]],Wed_W2[],MATCH("Team MTG",Wed_W2[#Headers],0),0),"")</f>
        <v/>
      </c>
      <c r="BP23" s="93" t="str">
        <f>IFERROR(VLOOKUP(LeadSum[[#This Row],[Lead]],Thu_W2[],MATCH("Help Line",Thu_W2[#Headers],0),0),"")</f>
        <v/>
      </c>
      <c r="BQ23" s="93" t="str">
        <f>IFERROR(VLOOKUP(LeadSum[[#This Row],[Lead]],Thu_W2[],MATCH("RTA",Thu_W2[#Headers],0),0),"")</f>
        <v/>
      </c>
      <c r="BR23" s="93" t="str">
        <f>IFERROR(VLOOKUP(LeadSum[[#This Row],[Lead]],Thu_W2[],MATCH("Admin",Thu_W2[#Headers],0),0),"")</f>
        <v/>
      </c>
      <c r="BS23" s="93" t="str">
        <f>IFERROR(VLOOKUP(LeadSum[[#This Row],[Lead]],Thu_W2[],MATCH("Team MTG",Thu_W2[#Headers],0),0),"")</f>
        <v/>
      </c>
      <c r="BU23" s="93" t="str">
        <f>IFERROR(VLOOKUP(LeadSum[[#This Row],[Lead]],Fri_W2[],MATCH("Help Line",Fri_W2[#Headers],0),0),"")</f>
        <v/>
      </c>
      <c r="BV23" s="93" t="str">
        <f>IFERROR(VLOOKUP(LeadSum[[#This Row],[Lead]],Fri_W2[],MATCH("RTA",Fri_W2[#Headers],0),0),"")</f>
        <v/>
      </c>
      <c r="BW23" s="93" t="str">
        <f>IFERROR(VLOOKUP(LeadSum[[#This Row],[Lead]],Fri_W2[],MATCH("Admin",Fri_W2[#Headers],0),0),"")</f>
        <v/>
      </c>
      <c r="BX23" s="93" t="str">
        <f>IFERROR(VLOOKUP(LeadSum[[#This Row],[Lead]],Fri_W2[],MATCH("Team MTG",Fri_W2[#Headers],0),0),"")</f>
        <v/>
      </c>
      <c r="BZ23" s="93" t="str">
        <f>IFERROR(VLOOKUP(LeadSum[[#This Row],[Lead]],Sat_W2[],MATCH("Help Line",Sat_W2[#Headers],0),0),"")</f>
        <v/>
      </c>
      <c r="CA23" s="93" t="str">
        <f>IFERROR(VLOOKUP(LeadSum[[#This Row],[Lead]],Sat_W2[],MATCH("RTA",Sat_W2[#Headers],0),0),"")</f>
        <v/>
      </c>
      <c r="CB23" s="93" t="str">
        <f>IFERROR(VLOOKUP(LeadSum[[#This Row],[Lead]],Sat_W2[],MATCH("Admin",Sat_W2[#Headers],0),0),"")</f>
        <v/>
      </c>
      <c r="CC23" s="93" t="str">
        <f>IFERROR(VLOOKUP(LeadSum[[#This Row],[Lead]],Sat_W2[],MATCH("Team MTG",Sat_W2[#Headers],0),0),"")</f>
        <v/>
      </c>
    </row>
    <row r="24" spans="1:81" x14ac:dyDescent="0.2">
      <c r="A24" s="93">
        <f>SUM(LeadSum[[#This Row],[Help Line W1]:[RTA W1]])</f>
        <v>48</v>
      </c>
      <c r="B24" s="108" t="s">
        <v>233</v>
      </c>
      <c r="C24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40</v>
      </c>
      <c r="D24" s="93">
        <f>SUM(LSum_Sun1[[#This Row],[RTA]],LSum_Mon1[[#This Row],[RTA]],LSum_Tue1[[#This Row],[RTA]],LSum_Wed1[[#This Row],[RTA]],LSum_Thu1[[#This Row],[RTA]],LSum_Fri1[[#This Row],[RTA]],LSum_Sat1[[#This Row],[RTA]])</f>
        <v>8</v>
      </c>
      <c r="E24" s="93">
        <f>SUM(LSum_Sun1[[#This Row],[Admin]],LSum_Mon1[[#This Row],[Admin]],LSum_Tue1[[#This Row],[Admin]],LSum_Wed1[[#This Row],[Admin]],LSum_Thu1[[#This Row],[Admin]],LSum_Fri1[[#This Row],[Admin]],LSum_Sat1[[#This Row],[Admin]])</f>
        <v>25</v>
      </c>
      <c r="F24" s="93">
        <f>SUM(LSum_Sun1[[#This Row],[TM]],LSum_Mon1[[#This Row],[TM]],LSum_Tue1[[#This Row],[TM]],LSum_Wed1[[#This Row],[TM]],LSum_Thu1[[#This Row],[TM]],LSum_Fri1[[#This Row],[TM]],LSum_Sat1[[#This Row],[TM]])</f>
        <v>0</v>
      </c>
      <c r="G24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39</v>
      </c>
      <c r="H24" s="93">
        <f>SUM(LSum_Sun2[[#This Row],[RTA]],LSum_Mon2[[#This Row],[RTA]],LSum_Tue2[[#This Row],[RTA]],LSum_Wed2[[#This Row],[RTA]],LSum_Thu2[[#This Row],[RTA]],LSum_Fri2[[#This Row],[RTA]],LSum_Sat2[[#This Row],[RTA]])</f>
        <v>8</v>
      </c>
      <c r="I24" s="93">
        <f>SUM(LSum_Sun2[[#This Row],[Admin]],LSum_Mon2[[#This Row],[Admin]],LSum_Tue2[[#This Row],[Admin]],LSum_Wed2[[#This Row],[Admin]],LSum_Thu2[[#This Row],[Admin]],LSum_Fri2[[#This Row],[Admin]],LSum_Sat2[[#This Row],[Admin]])</f>
        <v>26</v>
      </c>
      <c r="J24" s="93">
        <f>SUM(LSum_Sun2[[#This Row],[TM]],LSum_Mon2[[#This Row],[TM]],LSum_Tue2[[#This Row],[TM]],LSum_Wed2[[#This Row],[TM]],LSum_Thu2[[#This Row],[TM]],LSum_Fri2[[#This Row],[TM]],LSum_Sat2[[#This Row],[TM]])</f>
        <v>0</v>
      </c>
      <c r="K24" s="93">
        <f>SUM(LeadSum[[#This Row],[Help Line W2]:[RTA W2]])</f>
        <v>47</v>
      </c>
      <c r="L24" s="93"/>
      <c r="M24" s="93">
        <f>IFERROR(VLOOKUP(LeadSum[[#This Row],[Lead]],Sun_W1[],MATCH("Help Line",Sun_W1[#Headers],0),0),"")</f>
        <v>8</v>
      </c>
      <c r="N24" s="93">
        <f>IFERROR(VLOOKUP(LeadSum[[#This Row],[Lead]],Sun_W1[],MATCH("RTA",Sun_W1[#Headers],0),0),"")</f>
        <v>2</v>
      </c>
      <c r="O24" s="93">
        <f>IFERROR(VLOOKUP(LeadSum[[#This Row],[Lead]],Sun_W1[],MATCH("Admin",Sun_W1[#Headers],0),0),"")</f>
        <v>5</v>
      </c>
      <c r="P24" s="93" t="str">
        <f>IFERROR(VLOOKUP(LeadSum[[#This Row],[Lead]],Sun_W1[],MATCH("Team MTG",Sun_W1[#Headers],0),0),"")</f>
        <v/>
      </c>
      <c r="R24" s="93" t="str">
        <f>IFERROR(VLOOKUP(LeadSum[[#This Row],[Lead]],Mon_W1[],MATCH("Help Line",Mon_W1[#Headers],0),0),"")</f>
        <v/>
      </c>
      <c r="S24" s="93" t="str">
        <f>IFERROR(VLOOKUP(LeadSum[[#This Row],[Lead]],Mon_W1[],MATCH("RTA",Mon_W1[#Headers],0),0),"")</f>
        <v/>
      </c>
      <c r="T24" s="93" t="str">
        <f>IFERROR(VLOOKUP(LeadSum[[#This Row],[Lead]],Mon_W1[],MATCH("Admin",Mon_W1[#Headers],0),0),"")</f>
        <v/>
      </c>
      <c r="U24" s="93" t="str">
        <f>IFERROR(VLOOKUP(LeadSum[[#This Row],[Lead]],Mon_W1[],MATCH("Team MTG",Mon_W1[#Headers],0),0),"")</f>
        <v/>
      </c>
      <c r="W24" s="93" t="str">
        <f>IFERROR(VLOOKUP(LeadSum[[#This Row],[Lead]],Tue_W1[],MATCH("Help Line",Tue_W1[#Headers],0),0),"")</f>
        <v/>
      </c>
      <c r="X24" s="93" t="str">
        <f>IFERROR(VLOOKUP(LeadSum[[#This Row],[Lead]],Tue_W1[],MATCH("RTA",Tue_W1[#Headers],0),0),"")</f>
        <v/>
      </c>
      <c r="Y24" s="93" t="str">
        <f>IFERROR(VLOOKUP(LeadSum[[#This Row],[Lead]],Tue_W1[],MATCH("Admin",Tue_W1[#Headers],0),0),"")</f>
        <v/>
      </c>
      <c r="Z24" s="93" t="str">
        <f>IFERROR(VLOOKUP(LeadSum[[#This Row],[Lead]],Tue_W1[],MATCH("Team MTG",Tue_W1[#Headers],0),0),"")</f>
        <v/>
      </c>
      <c r="AB24" s="93">
        <f>IFERROR(VLOOKUP(LeadSum[[#This Row],[Lead]],Wed_W1[],MATCH("Help Line",Wed_W1[#Headers],0),0),"")</f>
        <v>9</v>
      </c>
      <c r="AC24" s="93">
        <f>IFERROR(VLOOKUP(LeadSum[[#This Row],[Lead]],Wed_W1[],MATCH("RTA",Wed_W1[#Headers],0),0),"")</f>
        <v>0</v>
      </c>
      <c r="AD24" s="93">
        <f>IFERROR(VLOOKUP(LeadSum[[#This Row],[Lead]],Wed_W1[],MATCH("Admin",Wed_W1[#Headers],0),0),"")</f>
        <v>6</v>
      </c>
      <c r="AE24" s="93" t="str">
        <f>IFERROR(VLOOKUP(LeadSum[[#This Row],[Lead]],Wed_W1[],MATCH("Team MTG",Wed_W1[#Headers],0),0),"")</f>
        <v/>
      </c>
      <c r="AG24" s="93">
        <f>IFERROR(VLOOKUP(LeadSum[[#This Row],[Lead]],Thu_W1[],MATCH("Help Line",Thu_W1[#Headers],0),0),"")</f>
        <v>9</v>
      </c>
      <c r="AH24" s="93">
        <f>IFERROR(VLOOKUP(LeadSum[[#This Row],[Lead]],Thu_W1[],MATCH("RTA",Thu_W1[#Headers],0),0),"")</f>
        <v>2</v>
      </c>
      <c r="AI24" s="93">
        <f>IFERROR(VLOOKUP(LeadSum[[#This Row],[Lead]],Thu_W1[],MATCH("Admin",Thu_W1[#Headers],0),0),"")</f>
        <v>4</v>
      </c>
      <c r="AJ24" s="93" t="str">
        <f>IFERROR(VLOOKUP(LeadSum[[#This Row],[Lead]],Thu_W1[],MATCH("Team MTG",Thu_W1[#Headers],0),0),"")</f>
        <v/>
      </c>
      <c r="AL24" s="93">
        <f>IFERROR(VLOOKUP(LeadSum[[#This Row],[Lead]],Fri_W1[],MATCH("Help Line",Fri_W1[#Headers],0),0),"")</f>
        <v>7</v>
      </c>
      <c r="AM24" s="93">
        <f>IFERROR(VLOOKUP(LeadSum[[#This Row],[Lead]],Fri_W1[],MATCH("RTA",Fri_W1[#Headers],0),0),"")</f>
        <v>2</v>
      </c>
      <c r="AN24" s="93">
        <f>IFERROR(VLOOKUP(LeadSum[[#This Row],[Lead]],Fri_W1[],MATCH("Admin",Fri_W1[#Headers],0),0),"")</f>
        <v>4</v>
      </c>
      <c r="AO24" s="93" t="str">
        <f>IFERROR(VLOOKUP(LeadSum[[#This Row],[Lead]],Fri_W1[],MATCH("Team MTG",Fri_W1[#Headers],0),0),"")</f>
        <v/>
      </c>
      <c r="AQ24" s="93">
        <f>IFERROR(VLOOKUP(LeadSum[[#This Row],[Lead]],Sat_W1[],MATCH("Help Line",Sat_W1[#Headers],0),0),"")</f>
        <v>7</v>
      </c>
      <c r="AR24" s="93">
        <f>IFERROR(VLOOKUP(LeadSum[[#This Row],[Lead]],Sat_W1[],MATCH("RTA",Sat_W1[#Headers],0),0),"")</f>
        <v>2</v>
      </c>
      <c r="AS24" s="93">
        <f>IFERROR(VLOOKUP(LeadSum[[#This Row],[Lead]],Sat_W1[],MATCH("Admin",Sat_W1[#Headers],0),0),"")</f>
        <v>6</v>
      </c>
      <c r="AT24" s="93" t="str">
        <f>IFERROR(VLOOKUP(LeadSum[[#This Row],[Lead]],Sat_W1[],MATCH("Team MTG",Sat_W1[#Headers],0),0),"")</f>
        <v/>
      </c>
      <c r="AV24" s="93">
        <f>IFERROR(VLOOKUP(LeadSum[[#This Row],[Lead]],Sun_W2[],MATCH("Help Line",Sun_W2[#Headers],0),0),"")</f>
        <v>7</v>
      </c>
      <c r="AW24" s="93">
        <f>IFERROR(VLOOKUP(LeadSum[[#This Row],[Lead]],Sun_W2[],MATCH("RTA",Sun_W2[#Headers],0),0),"")</f>
        <v>2</v>
      </c>
      <c r="AX24" s="93">
        <f>IFERROR(VLOOKUP(LeadSum[[#This Row],[Lead]],Sun_W2[],MATCH("Admin",Sun_W2[#Headers],0),0),"")</f>
        <v>6</v>
      </c>
      <c r="AY24" s="93" t="str">
        <f>IFERROR(VLOOKUP(LeadSum[[#This Row],[Lead]],Sun_W2[],MATCH("Team MTG",Sun_W2[#Headers],0),0),"")</f>
        <v/>
      </c>
      <c r="BA24" s="93" t="str">
        <f>IFERROR(VLOOKUP(LeadSum[[#This Row],[Lead]],Mon_W2[],MATCH("Help Line",Mon_W2[#Headers],0),0),"")</f>
        <v/>
      </c>
      <c r="BB24" s="93" t="str">
        <f>IFERROR(VLOOKUP(LeadSum[[#This Row],[Lead]],Mon_W2[],MATCH("RTA",Mon_W2[#Headers],0),0),"")</f>
        <v/>
      </c>
      <c r="BC24" s="93" t="str">
        <f>IFERROR(VLOOKUP(LeadSum[[#This Row],[Lead]],Mon_W2[],MATCH("Admin",Mon_W2[#Headers],0),0),"")</f>
        <v/>
      </c>
      <c r="BD24" s="93" t="str">
        <f>IFERROR(VLOOKUP(LeadSum[[#This Row],[Lead]],Mon_W2[],MATCH("Team MTG",Mon_W2[#Headers],0),0),"")</f>
        <v/>
      </c>
      <c r="BF24" s="93" t="str">
        <f>IFERROR(VLOOKUP(LeadSum[[#This Row],[Lead]],Tue_W2[],MATCH("Help Line",Tue_W2[#Headers],0),0),"")</f>
        <v/>
      </c>
      <c r="BG24" s="93" t="str">
        <f>IFERROR(VLOOKUP(LeadSum[[#This Row],[Lead]],Tue_W2[],MATCH("RTA",Tue_W2[#Headers],0),0),"")</f>
        <v/>
      </c>
      <c r="BH24" s="93" t="str">
        <f>IFERROR(VLOOKUP(LeadSum[[#This Row],[Lead]],Tue_W2[],MATCH("Admin",Tue_W2[#Headers],0),0),"")</f>
        <v/>
      </c>
      <c r="BI24" s="93" t="str">
        <f>IFERROR(VLOOKUP(LeadSum[[#This Row],[Lead]],Tue_W2[],MATCH("Team MTG",Tue_W2[#Headers],0),0),"")</f>
        <v/>
      </c>
      <c r="BK24" s="93">
        <f>IFERROR(VLOOKUP(LeadSum[[#This Row],[Lead]],Wed_W2[],MATCH("Help Line",Wed_W2[#Headers],0),0),"")</f>
        <v>9</v>
      </c>
      <c r="BL24" s="93">
        <f>IFERROR(VLOOKUP(LeadSum[[#This Row],[Lead]],Wed_W2[],MATCH("RTA",Wed_W2[#Headers],0),0),"")</f>
        <v>0</v>
      </c>
      <c r="BM24" s="93">
        <f>IFERROR(VLOOKUP(LeadSum[[#This Row],[Lead]],Wed_W2[],MATCH("Admin",Wed_W2[#Headers],0),0),"")</f>
        <v>6</v>
      </c>
      <c r="BN24" s="93" t="str">
        <f>IFERROR(VLOOKUP(LeadSum[[#This Row],[Lead]],Wed_W2[],MATCH("Team MTG",Wed_W2[#Headers],0),0),"")</f>
        <v/>
      </c>
      <c r="BP24" s="93">
        <f>IFERROR(VLOOKUP(LeadSum[[#This Row],[Lead]],Thu_W2[],MATCH("Help Line",Thu_W2[#Headers],0),0),"")</f>
        <v>9</v>
      </c>
      <c r="BQ24" s="93">
        <f>IFERROR(VLOOKUP(LeadSum[[#This Row],[Lead]],Thu_W2[],MATCH("RTA",Thu_W2[#Headers],0),0),"")</f>
        <v>2</v>
      </c>
      <c r="BR24" s="93">
        <f>IFERROR(VLOOKUP(LeadSum[[#This Row],[Lead]],Thu_W2[],MATCH("Admin",Thu_W2[#Headers],0),0),"")</f>
        <v>4</v>
      </c>
      <c r="BS24" s="93" t="str">
        <f>IFERROR(VLOOKUP(LeadSum[[#This Row],[Lead]],Thu_W2[],MATCH("Team MTG",Thu_W2[#Headers],0),0),"")</f>
        <v/>
      </c>
      <c r="BU24" s="93">
        <f>IFERROR(VLOOKUP(LeadSum[[#This Row],[Lead]],Fri_W2[],MATCH("Help Line",Fri_W2[#Headers],0),0),"")</f>
        <v>7</v>
      </c>
      <c r="BV24" s="93">
        <f>IFERROR(VLOOKUP(LeadSum[[#This Row],[Lead]],Fri_W2[],MATCH("RTA",Fri_W2[#Headers],0),0),"")</f>
        <v>2</v>
      </c>
      <c r="BW24" s="93">
        <f>IFERROR(VLOOKUP(LeadSum[[#This Row],[Lead]],Fri_W2[],MATCH("Admin",Fri_W2[#Headers],0),0),"")</f>
        <v>4</v>
      </c>
      <c r="BX24" s="93" t="str">
        <f>IFERROR(VLOOKUP(LeadSum[[#This Row],[Lead]],Fri_W2[],MATCH("Team MTG",Fri_W2[#Headers],0),0),"")</f>
        <v/>
      </c>
      <c r="BZ24" s="93">
        <f>IFERROR(VLOOKUP(LeadSum[[#This Row],[Lead]],Sat_W2[],MATCH("Help Line",Sat_W2[#Headers],0),0),"")</f>
        <v>7</v>
      </c>
      <c r="CA24" s="93">
        <f>IFERROR(VLOOKUP(LeadSum[[#This Row],[Lead]],Sat_W2[],MATCH("RTA",Sat_W2[#Headers],0),0),"")</f>
        <v>2</v>
      </c>
      <c r="CB24" s="93">
        <f>IFERROR(VLOOKUP(LeadSum[[#This Row],[Lead]],Sat_W2[],MATCH("Admin",Sat_W2[#Headers],0),0),"")</f>
        <v>6</v>
      </c>
      <c r="CC24" s="93" t="str">
        <f>IFERROR(VLOOKUP(LeadSum[[#This Row],[Lead]],Sat_W2[],MATCH("Team MTG",Sat_W2[#Headers],0),0),"")</f>
        <v/>
      </c>
    </row>
    <row r="25" spans="1:81" x14ac:dyDescent="0.2">
      <c r="A25" s="93">
        <f>SUM(LeadSum[[#This Row],[Help Line W1]:[RTA W1]])</f>
        <v>43.5</v>
      </c>
      <c r="B25" s="108" t="s">
        <v>69</v>
      </c>
      <c r="C25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33.5</v>
      </c>
      <c r="D25" s="93">
        <f>SUM(LSum_Sun1[[#This Row],[RTA]],LSum_Mon1[[#This Row],[RTA]],LSum_Tue1[[#This Row],[RTA]],LSum_Wed1[[#This Row],[RTA]],LSum_Thu1[[#This Row],[RTA]],LSum_Fri1[[#This Row],[RTA]],LSum_Sat1[[#This Row],[RTA]])</f>
        <v>10</v>
      </c>
      <c r="E25" s="93">
        <f>SUM(LSum_Sun1[[#This Row],[Admin]],LSum_Mon1[[#This Row],[Admin]],LSum_Tue1[[#This Row],[Admin]],LSum_Wed1[[#This Row],[Admin]],LSum_Thu1[[#This Row],[Admin]],LSum_Fri1[[#This Row],[Admin]],LSum_Sat1[[#This Row],[Admin]])</f>
        <v>31</v>
      </c>
      <c r="F25" s="93">
        <f>SUM(LSum_Sun1[[#This Row],[TM]],LSum_Mon1[[#This Row],[TM]],LSum_Tue1[[#This Row],[TM]],LSum_Wed1[[#This Row],[TM]],LSum_Thu1[[#This Row],[TM]],LSum_Fri1[[#This Row],[TM]],LSum_Sat1[[#This Row],[TM]])</f>
        <v>0</v>
      </c>
      <c r="G25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33.5</v>
      </c>
      <c r="H25" s="93">
        <f>SUM(LSum_Sun2[[#This Row],[RTA]],LSum_Mon2[[#This Row],[RTA]],LSum_Tue2[[#This Row],[RTA]],LSum_Wed2[[#This Row],[RTA]],LSum_Thu2[[#This Row],[RTA]],LSum_Fri2[[#This Row],[RTA]],LSum_Sat2[[#This Row],[RTA]])</f>
        <v>10</v>
      </c>
      <c r="I25" s="93">
        <f>SUM(LSum_Sun2[[#This Row],[Admin]],LSum_Mon2[[#This Row],[Admin]],LSum_Tue2[[#This Row],[Admin]],LSum_Wed2[[#This Row],[Admin]],LSum_Thu2[[#This Row],[Admin]],LSum_Fri2[[#This Row],[Admin]],LSum_Sat2[[#This Row],[Admin]])</f>
        <v>31</v>
      </c>
      <c r="J25" s="93">
        <f>SUM(LSum_Sun2[[#This Row],[TM]],LSum_Mon2[[#This Row],[TM]],LSum_Tue2[[#This Row],[TM]],LSum_Wed2[[#This Row],[TM]],LSum_Thu2[[#This Row],[TM]],LSum_Fri2[[#This Row],[TM]],LSum_Sat2[[#This Row],[TM]])</f>
        <v>0</v>
      </c>
      <c r="K25" s="93">
        <f>SUM(LeadSum[[#This Row],[Help Line W2]:[RTA W2]])</f>
        <v>43.5</v>
      </c>
      <c r="L25" s="93"/>
      <c r="M25" s="93" t="str">
        <f>IFERROR(VLOOKUP(LeadSum[[#This Row],[Lead]],Sun_W1[],MATCH("Help Line",Sun_W1[#Headers],0),0),"")</f>
        <v/>
      </c>
      <c r="N25" s="93" t="str">
        <f>IFERROR(VLOOKUP(LeadSum[[#This Row],[Lead]],Sun_W1[],MATCH("RTA",Sun_W1[#Headers],0),0),"")</f>
        <v/>
      </c>
      <c r="O25" s="93" t="str">
        <f>IFERROR(VLOOKUP(LeadSum[[#This Row],[Lead]],Sun_W1[],MATCH("Admin",Sun_W1[#Headers],0),0),"")</f>
        <v/>
      </c>
      <c r="P25" s="93" t="str">
        <f>IFERROR(VLOOKUP(LeadSum[[#This Row],[Lead]],Sun_W1[],MATCH("Team MTG",Sun_W1[#Headers],0),0),"")</f>
        <v/>
      </c>
      <c r="R25" s="93" t="str">
        <f>IFERROR(VLOOKUP(LeadSum[[#This Row],[Lead]],Mon_W1[],MATCH("Help Line",Mon_W1[#Headers],0),0),"")</f>
        <v/>
      </c>
      <c r="S25" s="93" t="str">
        <f>IFERROR(VLOOKUP(LeadSum[[#This Row],[Lead]],Mon_W1[],MATCH("RTA",Mon_W1[#Headers],0),0),"")</f>
        <v/>
      </c>
      <c r="T25" s="93" t="str">
        <f>IFERROR(VLOOKUP(LeadSum[[#This Row],[Lead]],Mon_W1[],MATCH("Admin",Mon_W1[#Headers],0),0),"")</f>
        <v/>
      </c>
      <c r="U25" s="93" t="str">
        <f>IFERROR(VLOOKUP(LeadSum[[#This Row],[Lead]],Mon_W1[],MATCH("Team MTG",Mon_W1[#Headers],0),0),"")</f>
        <v/>
      </c>
      <c r="W25" s="93">
        <f>IFERROR(VLOOKUP(LeadSum[[#This Row],[Lead]],Tue_W1[],MATCH("Help Line",Tue_W1[#Headers],0),0),"")</f>
        <v>7.5</v>
      </c>
      <c r="X25" s="93">
        <f>IFERROR(VLOOKUP(LeadSum[[#This Row],[Lead]],Tue_W1[],MATCH("RTA",Tue_W1[#Headers],0),0),"")</f>
        <v>2</v>
      </c>
      <c r="Y25" s="93">
        <f>IFERROR(VLOOKUP(LeadSum[[#This Row],[Lead]],Tue_W1[],MATCH("Admin",Tue_W1[#Headers],0),0),"")</f>
        <v>6</v>
      </c>
      <c r="Z25" s="93" t="str">
        <f>IFERROR(VLOOKUP(LeadSum[[#This Row],[Lead]],Tue_W1[],MATCH("Team MTG",Tue_W1[#Headers],0),0),"")</f>
        <v/>
      </c>
      <c r="AB25" s="93">
        <f>IFERROR(VLOOKUP(LeadSum[[#This Row],[Lead]],Wed_W1[],MATCH("Help Line",Wed_W1[#Headers],0),0),"")</f>
        <v>7</v>
      </c>
      <c r="AC25" s="93">
        <f>IFERROR(VLOOKUP(LeadSum[[#This Row],[Lead]],Wed_W1[],MATCH("RTA",Wed_W1[#Headers],0),0),"")</f>
        <v>2</v>
      </c>
      <c r="AD25" s="93">
        <f>IFERROR(VLOOKUP(LeadSum[[#This Row],[Lead]],Wed_W1[],MATCH("Admin",Wed_W1[#Headers],0),0),"")</f>
        <v>6</v>
      </c>
      <c r="AE25" s="93" t="str">
        <f>IFERROR(VLOOKUP(LeadSum[[#This Row],[Lead]],Wed_W1[],MATCH("Team MTG",Wed_W1[#Headers],0),0),"")</f>
        <v/>
      </c>
      <c r="AG25" s="93">
        <f>IFERROR(VLOOKUP(LeadSum[[#This Row],[Lead]],Thu_W1[],MATCH("Help Line",Thu_W1[#Headers],0),0),"")</f>
        <v>5.5</v>
      </c>
      <c r="AH25" s="93">
        <f>IFERROR(VLOOKUP(LeadSum[[#This Row],[Lead]],Thu_W1[],MATCH("RTA",Thu_W1[#Headers],0),0),"")</f>
        <v>2</v>
      </c>
      <c r="AI25" s="93">
        <f>IFERROR(VLOOKUP(LeadSum[[#This Row],[Lead]],Thu_W1[],MATCH("Admin",Thu_W1[#Headers],0),0),"")</f>
        <v>8</v>
      </c>
      <c r="AJ25" s="93" t="str">
        <f>IFERROR(VLOOKUP(LeadSum[[#This Row],[Lead]],Thu_W1[],MATCH("Team MTG",Thu_W1[#Headers],0),0),"")</f>
        <v/>
      </c>
      <c r="AL25" s="93">
        <f>IFERROR(VLOOKUP(LeadSum[[#This Row],[Lead]],Fri_W1[],MATCH("Help Line",Fri_W1[#Headers],0),0),"")</f>
        <v>8</v>
      </c>
      <c r="AM25" s="93">
        <f>IFERROR(VLOOKUP(LeadSum[[#This Row],[Lead]],Fri_W1[],MATCH("RTA",Fri_W1[#Headers],0),0),"")</f>
        <v>2</v>
      </c>
      <c r="AN25" s="93">
        <f>IFERROR(VLOOKUP(LeadSum[[#This Row],[Lead]],Fri_W1[],MATCH("Admin",Fri_W1[#Headers],0),0),"")</f>
        <v>5</v>
      </c>
      <c r="AO25" s="93" t="str">
        <f>IFERROR(VLOOKUP(LeadSum[[#This Row],[Lead]],Fri_W1[],MATCH("Team MTG",Fri_W1[#Headers],0),0),"")</f>
        <v/>
      </c>
      <c r="AQ25" s="93">
        <f>IFERROR(VLOOKUP(LeadSum[[#This Row],[Lead]],Sat_W1[],MATCH("Help Line",Sat_W1[#Headers],0),0),"")</f>
        <v>5.5</v>
      </c>
      <c r="AR25" s="93">
        <f>IFERROR(VLOOKUP(LeadSum[[#This Row],[Lead]],Sat_W1[],MATCH("RTA",Sat_W1[#Headers],0),0),"")</f>
        <v>2</v>
      </c>
      <c r="AS25" s="93">
        <f>IFERROR(VLOOKUP(LeadSum[[#This Row],[Lead]],Sat_W1[],MATCH("Admin",Sat_W1[#Headers],0),0),"")</f>
        <v>6</v>
      </c>
      <c r="AT25" s="93" t="str">
        <f>IFERROR(VLOOKUP(LeadSum[[#This Row],[Lead]],Sat_W1[],MATCH("Team MTG",Sat_W1[#Headers],0),0),"")</f>
        <v/>
      </c>
      <c r="AV25" s="93" t="str">
        <f>IFERROR(VLOOKUP(LeadSum[[#This Row],[Lead]],Sun_W2[],MATCH("Help Line",Sun_W2[#Headers],0),0),"")</f>
        <v/>
      </c>
      <c r="AW25" s="93" t="str">
        <f>IFERROR(VLOOKUP(LeadSum[[#This Row],[Lead]],Sun_W2[],MATCH("RTA",Sun_W2[#Headers],0),0),"")</f>
        <v/>
      </c>
      <c r="AX25" s="93" t="str">
        <f>IFERROR(VLOOKUP(LeadSum[[#This Row],[Lead]],Sun_W2[],MATCH("Admin",Sun_W2[#Headers],0),0),"")</f>
        <v/>
      </c>
      <c r="AY25" s="93" t="str">
        <f>IFERROR(VLOOKUP(LeadSum[[#This Row],[Lead]],Sun_W2[],MATCH("Team MTG",Sun_W2[#Headers],0),0),"")</f>
        <v/>
      </c>
      <c r="BA25" s="93" t="str">
        <f>IFERROR(VLOOKUP(LeadSum[[#This Row],[Lead]],Mon_W2[],MATCH("Help Line",Mon_W2[#Headers],0),0),"")</f>
        <v/>
      </c>
      <c r="BB25" s="93" t="str">
        <f>IFERROR(VLOOKUP(LeadSum[[#This Row],[Lead]],Mon_W2[],MATCH("RTA",Mon_W2[#Headers],0),0),"")</f>
        <v/>
      </c>
      <c r="BC25" s="93" t="str">
        <f>IFERROR(VLOOKUP(LeadSum[[#This Row],[Lead]],Mon_W2[],MATCH("Admin",Mon_W2[#Headers],0),0),"")</f>
        <v/>
      </c>
      <c r="BD25" s="93" t="str">
        <f>IFERROR(VLOOKUP(LeadSum[[#This Row],[Lead]],Mon_W2[],MATCH("Team MTG",Mon_W2[#Headers],0),0),"")</f>
        <v/>
      </c>
      <c r="BF25" s="93">
        <f>IFERROR(VLOOKUP(LeadSum[[#This Row],[Lead]],Tue_W2[],MATCH("Help Line",Tue_W2[#Headers],0),0),"")</f>
        <v>7.5</v>
      </c>
      <c r="BG25" s="93">
        <f>IFERROR(VLOOKUP(LeadSum[[#This Row],[Lead]],Tue_W2[],MATCH("RTA",Tue_W2[#Headers],0),0),"")</f>
        <v>2</v>
      </c>
      <c r="BH25" s="93">
        <f>IFERROR(VLOOKUP(LeadSum[[#This Row],[Lead]],Tue_W2[],MATCH("Admin",Tue_W2[#Headers],0),0),"")</f>
        <v>6</v>
      </c>
      <c r="BI25" s="93" t="str">
        <f>IFERROR(VLOOKUP(LeadSum[[#This Row],[Lead]],Tue_W2[],MATCH("Team MTG",Tue_W2[#Headers],0),0),"")</f>
        <v/>
      </c>
      <c r="BK25" s="93">
        <f>IFERROR(VLOOKUP(LeadSum[[#This Row],[Lead]],Wed_W2[],MATCH("Help Line",Wed_W2[#Headers],0),0),"")</f>
        <v>7</v>
      </c>
      <c r="BL25" s="93">
        <f>IFERROR(VLOOKUP(LeadSum[[#This Row],[Lead]],Wed_W2[],MATCH("RTA",Wed_W2[#Headers],0),0),"")</f>
        <v>2</v>
      </c>
      <c r="BM25" s="93">
        <f>IFERROR(VLOOKUP(LeadSum[[#This Row],[Lead]],Wed_W2[],MATCH("Admin",Wed_W2[#Headers],0),0),"")</f>
        <v>6</v>
      </c>
      <c r="BN25" s="93" t="str">
        <f>IFERROR(VLOOKUP(LeadSum[[#This Row],[Lead]],Wed_W2[],MATCH("Team MTG",Wed_W2[#Headers],0),0),"")</f>
        <v/>
      </c>
      <c r="BP25" s="93">
        <f>IFERROR(VLOOKUP(LeadSum[[#This Row],[Lead]],Thu_W2[],MATCH("Help Line",Thu_W2[#Headers],0),0),"")</f>
        <v>5.5</v>
      </c>
      <c r="BQ25" s="93">
        <f>IFERROR(VLOOKUP(LeadSum[[#This Row],[Lead]],Thu_W2[],MATCH("RTA",Thu_W2[#Headers],0),0),"")</f>
        <v>2</v>
      </c>
      <c r="BR25" s="93">
        <f>IFERROR(VLOOKUP(LeadSum[[#This Row],[Lead]],Thu_W2[],MATCH("Admin",Thu_W2[#Headers],0),0),"")</f>
        <v>8</v>
      </c>
      <c r="BS25" s="93" t="str">
        <f>IFERROR(VLOOKUP(LeadSum[[#This Row],[Lead]],Thu_W2[],MATCH("Team MTG",Thu_W2[#Headers],0),0),"")</f>
        <v/>
      </c>
      <c r="BU25" s="93">
        <f>IFERROR(VLOOKUP(LeadSum[[#This Row],[Lead]],Fri_W2[],MATCH("Help Line",Fri_W2[#Headers],0),0),"")</f>
        <v>8</v>
      </c>
      <c r="BV25" s="93">
        <f>IFERROR(VLOOKUP(LeadSum[[#This Row],[Lead]],Fri_W2[],MATCH("RTA",Fri_W2[#Headers],0),0),"")</f>
        <v>2</v>
      </c>
      <c r="BW25" s="93">
        <f>IFERROR(VLOOKUP(LeadSum[[#This Row],[Lead]],Fri_W2[],MATCH("Admin",Fri_W2[#Headers],0),0),"")</f>
        <v>5</v>
      </c>
      <c r="BX25" s="93" t="str">
        <f>IFERROR(VLOOKUP(LeadSum[[#This Row],[Lead]],Fri_W2[],MATCH("Team MTG",Fri_W2[#Headers],0),0),"")</f>
        <v/>
      </c>
      <c r="BZ25" s="93">
        <f>IFERROR(VLOOKUP(LeadSum[[#This Row],[Lead]],Sat_W2[],MATCH("Help Line",Sat_W2[#Headers],0),0),"")</f>
        <v>5.5</v>
      </c>
      <c r="CA25" s="93">
        <f>IFERROR(VLOOKUP(LeadSum[[#This Row],[Lead]],Sat_W2[],MATCH("RTA",Sat_W2[#Headers],0),0),"")</f>
        <v>2</v>
      </c>
      <c r="CB25" s="93">
        <f>IFERROR(VLOOKUP(LeadSum[[#This Row],[Lead]],Sat_W2[],MATCH("Admin",Sat_W2[#Headers],0),0),"")</f>
        <v>6</v>
      </c>
      <c r="CC25" s="93" t="str">
        <f>IFERROR(VLOOKUP(LeadSum[[#This Row],[Lead]],Sat_W2[],MATCH("Team MTG",Sat_W2[#Headers],0),0),"")</f>
        <v/>
      </c>
    </row>
    <row r="26" spans="1:81" x14ac:dyDescent="0.2">
      <c r="A26" s="93">
        <f>SUM(LeadSum[[#This Row],[Help Line W1]:[RTA W1]])</f>
        <v>47.5</v>
      </c>
      <c r="B26" s="108" t="s">
        <v>230</v>
      </c>
      <c r="C26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39.5</v>
      </c>
      <c r="D26" s="93">
        <f>SUM(LSum_Sun1[[#This Row],[RTA]],LSum_Mon1[[#This Row],[RTA]],LSum_Tue1[[#This Row],[RTA]],LSum_Wed1[[#This Row],[RTA]],LSum_Thu1[[#This Row],[RTA]],LSum_Fri1[[#This Row],[RTA]],LSum_Sat1[[#This Row],[RTA]])</f>
        <v>8</v>
      </c>
      <c r="E26" s="93">
        <f>SUM(LSum_Sun1[[#This Row],[Admin]],LSum_Mon1[[#This Row],[Admin]],LSum_Tue1[[#This Row],[Admin]],LSum_Wed1[[#This Row],[Admin]],LSum_Thu1[[#This Row],[Admin]],LSum_Fri1[[#This Row],[Admin]],LSum_Sat1[[#This Row],[Admin]])</f>
        <v>29</v>
      </c>
      <c r="F26" s="93">
        <f>SUM(LSum_Sun1[[#This Row],[TM]],LSum_Mon1[[#This Row],[TM]],LSum_Tue1[[#This Row],[TM]],LSum_Wed1[[#This Row],[TM]],LSum_Thu1[[#This Row],[TM]],LSum_Fri1[[#This Row],[TM]],LSum_Sat1[[#This Row],[TM]])</f>
        <v>0</v>
      </c>
      <c r="G26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39.5</v>
      </c>
      <c r="H26" s="93">
        <f>SUM(LSum_Sun2[[#This Row],[RTA]],LSum_Mon2[[#This Row],[RTA]],LSum_Tue2[[#This Row],[RTA]],LSum_Wed2[[#This Row],[RTA]],LSum_Thu2[[#This Row],[RTA]],LSum_Fri2[[#This Row],[RTA]],LSum_Sat2[[#This Row],[RTA]])</f>
        <v>8</v>
      </c>
      <c r="I26" s="93">
        <f>SUM(LSum_Sun2[[#This Row],[Admin]],LSum_Mon2[[#This Row],[Admin]],LSum_Tue2[[#This Row],[Admin]],LSum_Wed2[[#This Row],[Admin]],LSum_Thu2[[#This Row],[Admin]],LSum_Fri2[[#This Row],[Admin]],LSum_Sat2[[#This Row],[Admin]])</f>
        <v>29</v>
      </c>
      <c r="J26" s="93">
        <f>SUM(LSum_Sun2[[#This Row],[TM]],LSum_Mon2[[#This Row],[TM]],LSum_Tue2[[#This Row],[TM]],LSum_Wed2[[#This Row],[TM]],LSum_Thu2[[#This Row],[TM]],LSum_Fri2[[#This Row],[TM]],LSum_Sat2[[#This Row],[TM]])</f>
        <v>0</v>
      </c>
      <c r="K26" s="93">
        <f>SUM(LeadSum[[#This Row],[Help Line W2]:[RTA W2]])</f>
        <v>47.5</v>
      </c>
      <c r="L26" s="93"/>
      <c r="M26" s="93">
        <f>IFERROR(VLOOKUP(LeadSum[[#This Row],[Lead]],Sun_W1[],MATCH("Help Line",Sun_W1[#Headers],0),0),"")</f>
        <v>11</v>
      </c>
      <c r="N26" s="93">
        <f>IFERROR(VLOOKUP(LeadSum[[#This Row],[Lead]],Sun_W1[],MATCH("RTA",Sun_W1[#Headers],0),0),"")</f>
        <v>2</v>
      </c>
      <c r="O26" s="93">
        <f>IFERROR(VLOOKUP(LeadSum[[#This Row],[Lead]],Sun_W1[],MATCH("Admin",Sun_W1[#Headers],0),0),"")</f>
        <v>2</v>
      </c>
      <c r="P26" s="93" t="str">
        <f>IFERROR(VLOOKUP(LeadSum[[#This Row],[Lead]],Sun_W1[],MATCH("Team MTG",Sun_W1[#Headers],0),0),"")</f>
        <v/>
      </c>
      <c r="R26" s="93">
        <f>IFERROR(VLOOKUP(LeadSum[[#This Row],[Lead]],Mon_W1[],MATCH("Help Line",Mon_W1[#Headers],0),0),"")</f>
        <v>7</v>
      </c>
      <c r="S26" s="93">
        <f>IFERROR(VLOOKUP(LeadSum[[#This Row],[Lead]],Mon_W1[],MATCH("RTA",Mon_W1[#Headers],0),0),"")</f>
        <v>2</v>
      </c>
      <c r="T26" s="93">
        <f>IFERROR(VLOOKUP(LeadSum[[#This Row],[Lead]],Mon_W1[],MATCH("Admin",Mon_W1[#Headers],0),0),"")</f>
        <v>6</v>
      </c>
      <c r="U26" s="93" t="str">
        <f>IFERROR(VLOOKUP(LeadSum[[#This Row],[Lead]],Mon_W1[],MATCH("Team MTG",Mon_W1[#Headers],0),0),"")</f>
        <v/>
      </c>
      <c r="W26" s="93">
        <f>IFERROR(VLOOKUP(LeadSum[[#This Row],[Lead]],Tue_W1[],MATCH("Help Line",Tue_W1[#Headers],0),0),"")</f>
        <v>7</v>
      </c>
      <c r="X26" s="93">
        <f>IFERROR(VLOOKUP(LeadSum[[#This Row],[Lead]],Tue_W1[],MATCH("RTA",Tue_W1[#Headers],0),0),"")</f>
        <v>0</v>
      </c>
      <c r="Y26" s="93">
        <f>IFERROR(VLOOKUP(LeadSum[[#This Row],[Lead]],Tue_W1[],MATCH("Admin",Tue_W1[#Headers],0),0),"")</f>
        <v>9</v>
      </c>
      <c r="Z26" s="93" t="str">
        <f>IFERROR(VLOOKUP(LeadSum[[#This Row],[Lead]],Tue_W1[],MATCH("Team MTG",Tue_W1[#Headers],0),0),"")</f>
        <v/>
      </c>
      <c r="AB26" s="93" t="str">
        <f>IFERROR(VLOOKUP(LeadSum[[#This Row],[Lead]],Wed_W1[],MATCH("Help Line",Wed_W1[#Headers],0),0),"")</f>
        <v/>
      </c>
      <c r="AC26" s="93" t="str">
        <f>IFERROR(VLOOKUP(LeadSum[[#This Row],[Lead]],Wed_W1[],MATCH("RTA",Wed_W1[#Headers],0),0),"")</f>
        <v/>
      </c>
      <c r="AD26" s="93" t="str">
        <f>IFERROR(VLOOKUP(LeadSum[[#This Row],[Lead]],Wed_W1[],MATCH("Admin",Wed_W1[#Headers],0),0),"")</f>
        <v/>
      </c>
      <c r="AE26" s="93" t="str">
        <f>IFERROR(VLOOKUP(LeadSum[[#This Row],[Lead]],Wed_W1[],MATCH("Team MTG",Wed_W1[#Headers],0),0),"")</f>
        <v/>
      </c>
      <c r="AG26" s="93" t="str">
        <f>IFERROR(VLOOKUP(LeadSum[[#This Row],[Lead]],Thu_W1[],MATCH("Help Line",Thu_W1[#Headers],0),0),"")</f>
        <v/>
      </c>
      <c r="AH26" s="93" t="str">
        <f>IFERROR(VLOOKUP(LeadSum[[#This Row],[Lead]],Thu_W1[],MATCH("RTA",Thu_W1[#Headers],0),0),"")</f>
        <v/>
      </c>
      <c r="AI26" s="93" t="str">
        <f>IFERROR(VLOOKUP(LeadSum[[#This Row],[Lead]],Thu_W1[],MATCH("Admin",Thu_W1[#Headers],0),0),"")</f>
        <v/>
      </c>
      <c r="AJ26" s="93" t="str">
        <f>IFERROR(VLOOKUP(LeadSum[[#This Row],[Lead]],Thu_W1[],MATCH("Team MTG",Thu_W1[#Headers],0),0),"")</f>
        <v/>
      </c>
      <c r="AL26" s="93">
        <f>IFERROR(VLOOKUP(LeadSum[[#This Row],[Lead]],Fri_W1[],MATCH("Help Line",Fri_W1[#Headers],0),0),"")</f>
        <v>8</v>
      </c>
      <c r="AM26" s="93">
        <f>IFERROR(VLOOKUP(LeadSum[[#This Row],[Lead]],Fri_W1[],MATCH("RTA",Fri_W1[#Headers],0),0),"")</f>
        <v>2</v>
      </c>
      <c r="AN26" s="93">
        <f>IFERROR(VLOOKUP(LeadSum[[#This Row],[Lead]],Fri_W1[],MATCH("Admin",Fri_W1[#Headers],0),0),"")</f>
        <v>5</v>
      </c>
      <c r="AO26" s="93" t="str">
        <f>IFERROR(VLOOKUP(LeadSum[[#This Row],[Lead]],Fri_W1[],MATCH("Team MTG",Fri_W1[#Headers],0),0),"")</f>
        <v/>
      </c>
      <c r="AQ26" s="93">
        <f>IFERROR(VLOOKUP(LeadSum[[#This Row],[Lead]],Sat_W1[],MATCH("Help Line",Sat_W1[#Headers],0),0),"")</f>
        <v>6.5</v>
      </c>
      <c r="AR26" s="93">
        <f>IFERROR(VLOOKUP(LeadSum[[#This Row],[Lead]],Sat_W1[],MATCH("RTA",Sat_W1[#Headers],0),0),"")</f>
        <v>2</v>
      </c>
      <c r="AS26" s="93">
        <f>IFERROR(VLOOKUP(LeadSum[[#This Row],[Lead]],Sat_W1[],MATCH("Admin",Sat_W1[#Headers],0),0),"")</f>
        <v>7</v>
      </c>
      <c r="AT26" s="93" t="str">
        <f>IFERROR(VLOOKUP(LeadSum[[#This Row],[Lead]],Sat_W1[],MATCH("Team MTG",Sat_W1[#Headers],0),0),"")</f>
        <v/>
      </c>
      <c r="AV26" s="93">
        <f>IFERROR(VLOOKUP(LeadSum[[#This Row],[Lead]],Sun_W2[],MATCH("Help Line",Sun_W2[#Headers],0),0),"")</f>
        <v>11</v>
      </c>
      <c r="AW26" s="93">
        <f>IFERROR(VLOOKUP(LeadSum[[#This Row],[Lead]],Sun_W2[],MATCH("RTA",Sun_W2[#Headers],0),0),"")</f>
        <v>2</v>
      </c>
      <c r="AX26" s="93">
        <f>IFERROR(VLOOKUP(LeadSum[[#This Row],[Lead]],Sun_W2[],MATCH("Admin",Sun_W2[#Headers],0),0),"")</f>
        <v>2</v>
      </c>
      <c r="AY26" s="93" t="str">
        <f>IFERROR(VLOOKUP(LeadSum[[#This Row],[Lead]],Sun_W2[],MATCH("Team MTG",Sun_W2[#Headers],0),0),"")</f>
        <v/>
      </c>
      <c r="BA26" s="93">
        <f>IFERROR(VLOOKUP(LeadSum[[#This Row],[Lead]],Mon_W2[],MATCH("Help Line",Mon_W2[#Headers],0),0),"")</f>
        <v>7</v>
      </c>
      <c r="BB26" s="93">
        <f>IFERROR(VLOOKUP(LeadSum[[#This Row],[Lead]],Mon_W2[],MATCH("RTA",Mon_W2[#Headers],0),0),"")</f>
        <v>2</v>
      </c>
      <c r="BC26" s="93">
        <f>IFERROR(VLOOKUP(LeadSum[[#This Row],[Lead]],Mon_W2[],MATCH("Admin",Mon_W2[#Headers],0),0),"")</f>
        <v>6</v>
      </c>
      <c r="BD26" s="93" t="str">
        <f>IFERROR(VLOOKUP(LeadSum[[#This Row],[Lead]],Mon_W2[],MATCH("Team MTG",Mon_W2[#Headers],0),0),"")</f>
        <v/>
      </c>
      <c r="BF26" s="93">
        <f>IFERROR(VLOOKUP(LeadSum[[#This Row],[Lead]],Tue_W2[],MATCH("Help Line",Tue_W2[#Headers],0),0),"")</f>
        <v>7</v>
      </c>
      <c r="BG26" s="93">
        <f>IFERROR(VLOOKUP(LeadSum[[#This Row],[Lead]],Tue_W2[],MATCH("RTA",Tue_W2[#Headers],0),0),"")</f>
        <v>0</v>
      </c>
      <c r="BH26" s="93">
        <f>IFERROR(VLOOKUP(LeadSum[[#This Row],[Lead]],Tue_W2[],MATCH("Admin",Tue_W2[#Headers],0),0),"")</f>
        <v>9</v>
      </c>
      <c r="BI26" s="93" t="str">
        <f>IFERROR(VLOOKUP(LeadSum[[#This Row],[Lead]],Tue_W2[],MATCH("Team MTG",Tue_W2[#Headers],0),0),"")</f>
        <v/>
      </c>
      <c r="BK26" s="93" t="str">
        <f>IFERROR(VLOOKUP(LeadSum[[#This Row],[Lead]],Wed_W2[],MATCH("Help Line",Wed_W2[#Headers],0),0),"")</f>
        <v/>
      </c>
      <c r="BL26" s="93" t="str">
        <f>IFERROR(VLOOKUP(LeadSum[[#This Row],[Lead]],Wed_W2[],MATCH("RTA",Wed_W2[#Headers],0),0),"")</f>
        <v/>
      </c>
      <c r="BM26" s="93" t="str">
        <f>IFERROR(VLOOKUP(LeadSum[[#This Row],[Lead]],Wed_W2[],MATCH("Admin",Wed_W2[#Headers],0),0),"")</f>
        <v/>
      </c>
      <c r="BN26" s="93" t="str">
        <f>IFERROR(VLOOKUP(LeadSum[[#This Row],[Lead]],Wed_W2[],MATCH("Team MTG",Wed_W2[#Headers],0),0),"")</f>
        <v/>
      </c>
      <c r="BP26" s="93" t="str">
        <f>IFERROR(VLOOKUP(LeadSum[[#This Row],[Lead]],Thu_W2[],MATCH("Help Line",Thu_W2[#Headers],0),0),"")</f>
        <v/>
      </c>
      <c r="BQ26" s="93" t="str">
        <f>IFERROR(VLOOKUP(LeadSum[[#This Row],[Lead]],Thu_W2[],MATCH("RTA",Thu_W2[#Headers],0),0),"")</f>
        <v/>
      </c>
      <c r="BR26" s="93" t="str">
        <f>IFERROR(VLOOKUP(LeadSum[[#This Row],[Lead]],Thu_W2[],MATCH("Admin",Thu_W2[#Headers],0),0),"")</f>
        <v/>
      </c>
      <c r="BS26" s="93" t="str">
        <f>IFERROR(VLOOKUP(LeadSum[[#This Row],[Lead]],Thu_W2[],MATCH("Team MTG",Thu_W2[#Headers],0),0),"")</f>
        <v/>
      </c>
      <c r="BU26" s="93">
        <f>IFERROR(VLOOKUP(LeadSum[[#This Row],[Lead]],Fri_W2[],MATCH("Help Line",Fri_W2[#Headers],0),0),"")</f>
        <v>8</v>
      </c>
      <c r="BV26" s="93">
        <f>IFERROR(VLOOKUP(LeadSum[[#This Row],[Lead]],Fri_W2[],MATCH("RTA",Fri_W2[#Headers],0),0),"")</f>
        <v>2</v>
      </c>
      <c r="BW26" s="93">
        <f>IFERROR(VLOOKUP(LeadSum[[#This Row],[Lead]],Fri_W2[],MATCH("Admin",Fri_W2[#Headers],0),0),"")</f>
        <v>5</v>
      </c>
      <c r="BX26" s="93" t="str">
        <f>IFERROR(VLOOKUP(LeadSum[[#This Row],[Lead]],Fri_W2[],MATCH("Team MTG",Fri_W2[#Headers],0),0),"")</f>
        <v/>
      </c>
      <c r="BZ26" s="93">
        <f>IFERROR(VLOOKUP(LeadSum[[#This Row],[Lead]],Sat_W2[],MATCH("Help Line",Sat_W2[#Headers],0),0),"")</f>
        <v>6.5</v>
      </c>
      <c r="CA26" s="93">
        <f>IFERROR(VLOOKUP(LeadSum[[#This Row],[Lead]],Sat_W2[],MATCH("RTA",Sat_W2[#Headers],0),0),"")</f>
        <v>2</v>
      </c>
      <c r="CB26" s="93">
        <f>IFERROR(VLOOKUP(LeadSum[[#This Row],[Lead]],Sat_W2[],MATCH("Admin",Sat_W2[#Headers],0),0),"")</f>
        <v>7</v>
      </c>
      <c r="CC26" s="93" t="str">
        <f>IFERROR(VLOOKUP(LeadSum[[#This Row],[Lead]],Sat_W2[],MATCH("Team MTG",Sat_W2[#Headers],0),0),"")</f>
        <v/>
      </c>
    </row>
    <row r="27" spans="1:81" x14ac:dyDescent="0.2">
      <c r="A27" s="93">
        <f>SUM(LeadSum[[#This Row],[Help Line W1]:[RTA W1]])</f>
        <v>44</v>
      </c>
      <c r="B27" s="108" t="s">
        <v>238</v>
      </c>
      <c r="C27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32</v>
      </c>
      <c r="D27" s="93">
        <f>SUM(LSum_Sun1[[#This Row],[RTA]],LSum_Mon1[[#This Row],[RTA]],LSum_Tue1[[#This Row],[RTA]],LSum_Wed1[[#This Row],[RTA]],LSum_Thu1[[#This Row],[RTA]],LSum_Fri1[[#This Row],[RTA]],LSum_Sat1[[#This Row],[RTA]])</f>
        <v>12</v>
      </c>
      <c r="E27" s="93">
        <f>SUM(LSum_Sun1[[#This Row],[Admin]],LSum_Mon1[[#This Row],[Admin]],LSum_Tue1[[#This Row],[Admin]],LSum_Wed1[[#This Row],[Admin]],LSum_Thu1[[#This Row],[Admin]],LSum_Fri1[[#This Row],[Admin]],LSum_Sat1[[#This Row],[Admin]])</f>
        <v>33</v>
      </c>
      <c r="F27" s="136">
        <f>SUM(LSum_Sun1[[#This Row],[TM]],LSum_Mon1[[#This Row],[TM]],LSum_Tue1[[#This Row],[TM]],LSum_Wed1[[#This Row],[TM]],LSum_Thu1[[#This Row],[TM]],LSum_Fri1[[#This Row],[TM]],LSum_Sat1[[#This Row],[TM]])</f>
        <v>0</v>
      </c>
      <c r="G27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32</v>
      </c>
      <c r="H27" s="93">
        <f>SUM(LSum_Sun2[[#This Row],[RTA]],LSum_Mon2[[#This Row],[RTA]],LSum_Tue2[[#This Row],[RTA]],LSum_Wed2[[#This Row],[RTA]],LSum_Thu2[[#This Row],[RTA]],LSum_Fri2[[#This Row],[RTA]],LSum_Sat2[[#This Row],[RTA]])</f>
        <v>12</v>
      </c>
      <c r="I27" s="93">
        <f>SUM(LSum_Sun2[[#This Row],[Admin]],LSum_Mon2[[#This Row],[Admin]],LSum_Tue2[[#This Row],[Admin]],LSum_Wed2[[#This Row],[Admin]],LSum_Thu2[[#This Row],[Admin]],LSum_Fri2[[#This Row],[Admin]],LSum_Sat2[[#This Row],[Admin]])</f>
        <v>33</v>
      </c>
      <c r="J27" s="93">
        <f>SUM(LSum_Sun2[[#This Row],[TM]],LSum_Mon2[[#This Row],[TM]],LSum_Tue2[[#This Row],[TM]],LSum_Wed2[[#This Row],[TM]],LSum_Thu2[[#This Row],[TM]],LSum_Fri2[[#This Row],[TM]],LSum_Sat2[[#This Row],[TM]])</f>
        <v>0</v>
      </c>
      <c r="K27" s="93">
        <f>SUM(LeadSum[[#This Row],[Help Line W2]:[RTA W2]])</f>
        <v>44</v>
      </c>
      <c r="L27" s="93"/>
      <c r="M27" s="93">
        <f>IFERROR(VLOOKUP(LeadSum[[#This Row],[Lead]],Sun_W1[],MATCH("Help Line",Sun_W1[#Headers],0),0),"")</f>
        <v>7.5</v>
      </c>
      <c r="N27" s="93">
        <f>IFERROR(VLOOKUP(LeadSum[[#This Row],[Lead]],Sun_W1[],MATCH("RTA",Sun_W1[#Headers],0),0),"")</f>
        <v>2</v>
      </c>
      <c r="O27" s="93">
        <f>IFERROR(VLOOKUP(LeadSum[[#This Row],[Lead]],Sun_W1[],MATCH("Admin",Sun_W1[#Headers],0),0),"")</f>
        <v>6</v>
      </c>
      <c r="P27" s="93" t="str">
        <f>IFERROR(VLOOKUP(LeadSum[[#This Row],[Lead]],Sun_W1[],MATCH("Team MTG",Sun_W1[#Headers],0),0),"")</f>
        <v/>
      </c>
      <c r="R27" s="93">
        <f>IFERROR(VLOOKUP(LeadSum[[#This Row],[Lead]],Mon_W1[],MATCH("Help Line",Mon_W1[#Headers],0),0),"")</f>
        <v>5</v>
      </c>
      <c r="S27" s="93">
        <f>IFERROR(VLOOKUP(LeadSum[[#This Row],[Lead]],Mon_W1[],MATCH("RTA",Mon_W1[#Headers],0),0),"")</f>
        <v>4</v>
      </c>
      <c r="T27" s="93">
        <f>IFERROR(VLOOKUP(LeadSum[[#This Row],[Lead]],Mon_W1[],MATCH("Admin",Mon_W1[#Headers],0),0),"")</f>
        <v>7</v>
      </c>
      <c r="U27" s="93" t="str">
        <f>IFERROR(VLOOKUP(LeadSum[[#This Row],[Lead]],Mon_W1[],MATCH("Team MTG",Mon_W1[#Headers],0),0),"")</f>
        <v/>
      </c>
      <c r="W27" s="93">
        <f>IFERROR(VLOOKUP(LeadSum[[#This Row],[Lead]],Tue_W1[],MATCH("Help Line",Tue_W1[#Headers],0),0),"")</f>
        <v>5.5</v>
      </c>
      <c r="X27" s="93">
        <f>IFERROR(VLOOKUP(LeadSum[[#This Row],[Lead]],Tue_W1[],MATCH("RTA",Tue_W1[#Headers],0),0),"")</f>
        <v>2</v>
      </c>
      <c r="Y27" s="93">
        <f>IFERROR(VLOOKUP(LeadSum[[#This Row],[Lead]],Tue_W1[],MATCH("Admin",Tue_W1[#Headers],0),0),"")</f>
        <v>6</v>
      </c>
      <c r="Z27" s="93" t="str">
        <f>IFERROR(VLOOKUP(LeadSum[[#This Row],[Lead]],Tue_W1[],MATCH("Team MTG",Tue_W1[#Headers],0),0),"")</f>
        <v/>
      </c>
      <c r="AB27" s="93" t="str">
        <f>IFERROR(VLOOKUP(LeadSum[[#This Row],[Lead]],Wed_W1[],MATCH("Help Line",Wed_W1[#Headers],0),0),"")</f>
        <v/>
      </c>
      <c r="AC27" s="93" t="str">
        <f>IFERROR(VLOOKUP(LeadSum[[#This Row],[Lead]],Wed_W1[],MATCH("RTA",Wed_W1[#Headers],0),0),"")</f>
        <v/>
      </c>
      <c r="AD27" s="93" t="str">
        <f>IFERROR(VLOOKUP(LeadSum[[#This Row],[Lead]],Wed_W1[],MATCH("Admin",Wed_W1[#Headers],0),0),"")</f>
        <v/>
      </c>
      <c r="AE27" s="93" t="str">
        <f>IFERROR(VLOOKUP(LeadSum[[#This Row],[Lead]],Wed_W1[],MATCH("Team MTG",Wed_W1[#Headers],0),0),"")</f>
        <v/>
      </c>
      <c r="AG27" s="93" t="str">
        <f>IFERROR(VLOOKUP(LeadSum[[#This Row],[Lead]],Thu_W1[],MATCH("Help Line",Thu_W1[#Headers],0),0),"")</f>
        <v/>
      </c>
      <c r="AH27" s="93" t="str">
        <f>IFERROR(VLOOKUP(LeadSum[[#This Row],[Lead]],Thu_W1[],MATCH("RTA",Thu_W1[#Headers],0),0),"")</f>
        <v/>
      </c>
      <c r="AI27" s="93" t="str">
        <f>IFERROR(VLOOKUP(LeadSum[[#This Row],[Lead]],Thu_W1[],MATCH("Admin",Thu_W1[#Headers],0),0),"")</f>
        <v/>
      </c>
      <c r="AJ27" s="93" t="str">
        <f>IFERROR(VLOOKUP(LeadSum[[#This Row],[Lead]],Thu_W1[],MATCH("Team MTG",Thu_W1[#Headers],0),0),"")</f>
        <v/>
      </c>
      <c r="AL27" s="93">
        <f>IFERROR(VLOOKUP(LeadSum[[#This Row],[Lead]],Fri_W1[],MATCH("Help Line",Fri_W1[#Headers],0),0),"")</f>
        <v>8</v>
      </c>
      <c r="AM27" s="93">
        <f>IFERROR(VLOOKUP(LeadSum[[#This Row],[Lead]],Fri_W1[],MATCH("RTA",Fri_W1[#Headers],0),0),"")</f>
        <v>2</v>
      </c>
      <c r="AN27" s="93">
        <f>IFERROR(VLOOKUP(LeadSum[[#This Row],[Lead]],Fri_W1[],MATCH("Admin",Fri_W1[#Headers],0),0),"")</f>
        <v>6</v>
      </c>
      <c r="AO27" s="93" t="str">
        <f>IFERROR(VLOOKUP(LeadSum[[#This Row],[Lead]],Fri_W1[],MATCH("Team MTG",Fri_W1[#Headers],0),0),"")</f>
        <v/>
      </c>
      <c r="AQ27" s="93">
        <f>IFERROR(VLOOKUP(LeadSum[[#This Row],[Lead]],Sat_W1[],MATCH("Help Line",Sat_W1[#Headers],0),0),"")</f>
        <v>6</v>
      </c>
      <c r="AR27" s="93">
        <f>IFERROR(VLOOKUP(LeadSum[[#This Row],[Lead]],Sat_W1[],MATCH("RTA",Sat_W1[#Headers],0),0),"")</f>
        <v>2</v>
      </c>
      <c r="AS27" s="93">
        <f>IFERROR(VLOOKUP(LeadSum[[#This Row],[Lead]],Sat_W1[],MATCH("Admin",Sat_W1[#Headers],0),0),"")</f>
        <v>8</v>
      </c>
      <c r="AT27" s="93" t="str">
        <f>IFERROR(VLOOKUP(LeadSum[[#This Row],[Lead]],Sat_W1[],MATCH("Team MTG",Sat_W1[#Headers],0),0),"")</f>
        <v/>
      </c>
      <c r="AV27" s="93">
        <f>IFERROR(VLOOKUP(LeadSum[[#This Row],[Lead]],Sun_W2[],MATCH("Help Line",Sun_W2[#Headers],0),0),"")</f>
        <v>7.5</v>
      </c>
      <c r="AW27" s="93">
        <f>IFERROR(VLOOKUP(LeadSum[[#This Row],[Lead]],Sun_W2[],MATCH("RTA",Sun_W2[#Headers],0),0),"")</f>
        <v>2</v>
      </c>
      <c r="AX27" s="93">
        <f>IFERROR(VLOOKUP(LeadSum[[#This Row],[Lead]],Sun_W2[],MATCH("Admin",Sun_W2[#Headers],0),0),"")</f>
        <v>6</v>
      </c>
      <c r="AY27" s="93" t="str">
        <f>IFERROR(VLOOKUP(LeadSum[[#This Row],[Lead]],Sun_W2[],MATCH("Team MTG",Sun_W2[#Headers],0),0),"")</f>
        <v/>
      </c>
      <c r="BA27" s="93">
        <f>IFERROR(VLOOKUP(LeadSum[[#This Row],[Lead]],Mon_W2[],MATCH("Help Line",Mon_W2[#Headers],0),0),"")</f>
        <v>5</v>
      </c>
      <c r="BB27" s="93">
        <f>IFERROR(VLOOKUP(LeadSum[[#This Row],[Lead]],Mon_W2[],MATCH("RTA",Mon_W2[#Headers],0),0),"")</f>
        <v>4</v>
      </c>
      <c r="BC27" s="93">
        <f>IFERROR(VLOOKUP(LeadSum[[#This Row],[Lead]],Mon_W2[],MATCH("Admin",Mon_W2[#Headers],0),0),"")</f>
        <v>7</v>
      </c>
      <c r="BD27" s="93" t="str">
        <f>IFERROR(VLOOKUP(LeadSum[[#This Row],[Lead]],Mon_W2[],MATCH("Team MTG",Mon_W2[#Headers],0),0),"")</f>
        <v/>
      </c>
      <c r="BF27" s="93">
        <f>IFERROR(VLOOKUP(LeadSum[[#This Row],[Lead]],Tue_W2[],MATCH("Help Line",Tue_W2[#Headers],0),0),"")</f>
        <v>5.5</v>
      </c>
      <c r="BG27" s="93">
        <f>IFERROR(VLOOKUP(LeadSum[[#This Row],[Lead]],Tue_W2[],MATCH("RTA",Tue_W2[#Headers],0),0),"")</f>
        <v>2</v>
      </c>
      <c r="BH27" s="93">
        <f>IFERROR(VLOOKUP(LeadSum[[#This Row],[Lead]],Tue_W2[],MATCH("Admin",Tue_W2[#Headers],0),0),"")</f>
        <v>6</v>
      </c>
      <c r="BI27" s="93" t="str">
        <f>IFERROR(VLOOKUP(LeadSum[[#This Row],[Lead]],Tue_W2[],MATCH("Team MTG",Tue_W2[#Headers],0),0),"")</f>
        <v/>
      </c>
      <c r="BK27" s="93" t="str">
        <f>IFERROR(VLOOKUP(LeadSum[[#This Row],[Lead]],Wed_W2[],MATCH("Help Line",Wed_W2[#Headers],0),0),"")</f>
        <v/>
      </c>
      <c r="BL27" s="93" t="str">
        <f>IFERROR(VLOOKUP(LeadSum[[#This Row],[Lead]],Wed_W2[],MATCH("RTA",Wed_W2[#Headers],0),0),"")</f>
        <v/>
      </c>
      <c r="BM27" s="93" t="str">
        <f>IFERROR(VLOOKUP(LeadSum[[#This Row],[Lead]],Wed_W2[],MATCH("Admin",Wed_W2[#Headers],0),0),"")</f>
        <v/>
      </c>
      <c r="BN27" s="93" t="str">
        <f>IFERROR(VLOOKUP(LeadSum[[#This Row],[Lead]],Wed_W2[],MATCH("Team MTG",Wed_W2[#Headers],0),0),"")</f>
        <v/>
      </c>
      <c r="BP27" s="93" t="str">
        <f>IFERROR(VLOOKUP(LeadSum[[#This Row],[Lead]],Thu_W2[],MATCH("Help Line",Thu_W2[#Headers],0),0),"")</f>
        <v/>
      </c>
      <c r="BQ27" s="93" t="str">
        <f>IFERROR(VLOOKUP(LeadSum[[#This Row],[Lead]],Thu_W2[],MATCH("RTA",Thu_W2[#Headers],0),0),"")</f>
        <v/>
      </c>
      <c r="BR27" s="93" t="str">
        <f>IFERROR(VLOOKUP(LeadSum[[#This Row],[Lead]],Thu_W2[],MATCH("Admin",Thu_W2[#Headers],0),0),"")</f>
        <v/>
      </c>
      <c r="BS27" s="93" t="str">
        <f>IFERROR(VLOOKUP(LeadSum[[#This Row],[Lead]],Thu_W2[],MATCH("Team MTG",Thu_W2[#Headers],0),0),"")</f>
        <v/>
      </c>
      <c r="BU27" s="93">
        <f>IFERROR(VLOOKUP(LeadSum[[#This Row],[Lead]],Fri_W2[],MATCH("Help Line",Fri_W2[#Headers],0),0),"")</f>
        <v>8</v>
      </c>
      <c r="BV27" s="93">
        <f>IFERROR(VLOOKUP(LeadSum[[#This Row],[Lead]],Fri_W2[],MATCH("RTA",Fri_W2[#Headers],0),0),"")</f>
        <v>2</v>
      </c>
      <c r="BW27" s="93">
        <f>IFERROR(VLOOKUP(LeadSum[[#This Row],[Lead]],Fri_W2[],MATCH("Admin",Fri_W2[#Headers],0),0),"")</f>
        <v>6</v>
      </c>
      <c r="BX27" s="93" t="str">
        <f>IFERROR(VLOOKUP(LeadSum[[#This Row],[Lead]],Fri_W2[],MATCH("Team MTG",Fri_W2[#Headers],0),0),"")</f>
        <v/>
      </c>
      <c r="BZ27" s="93">
        <f>IFERROR(VLOOKUP(LeadSum[[#This Row],[Lead]],Sat_W2[],MATCH("Help Line",Sat_W2[#Headers],0),0),"")</f>
        <v>6</v>
      </c>
      <c r="CA27" s="93">
        <f>IFERROR(VLOOKUP(LeadSum[[#This Row],[Lead]],Sat_W2[],MATCH("RTA",Sat_W2[#Headers],0),0),"")</f>
        <v>2</v>
      </c>
      <c r="CB27" s="93">
        <f>IFERROR(VLOOKUP(LeadSum[[#This Row],[Lead]],Sat_W2[],MATCH("Admin",Sat_W2[#Headers],0),0),"")</f>
        <v>8</v>
      </c>
      <c r="CC27" s="93" t="str">
        <f>IFERROR(VLOOKUP(LeadSum[[#This Row],[Lead]],Sat_W2[],MATCH("Team MTG",Sat_W2[#Headers],0),0),"")</f>
        <v/>
      </c>
    </row>
    <row r="28" spans="1:81" x14ac:dyDescent="0.2">
      <c r="A28" s="93">
        <f>SUM(LeadSum[[#This Row],[Help Line W1]:[RTA W1]])</f>
        <v>0</v>
      </c>
      <c r="B28" s="108" t="s">
        <v>234</v>
      </c>
      <c r="C28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28" s="93">
        <f>SUM(LSum_Sun1[[#This Row],[RTA]],LSum_Mon1[[#This Row],[RTA]],LSum_Tue1[[#This Row],[RTA]],LSum_Wed1[[#This Row],[RTA]],LSum_Thu1[[#This Row],[RTA]],LSum_Fri1[[#This Row],[RTA]],LSum_Sat1[[#This Row],[RTA]])</f>
        <v>0</v>
      </c>
      <c r="E28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28" s="93">
        <f>SUM(LSum_Sun1[[#This Row],[TM]],LSum_Mon1[[#This Row],[TM]],LSum_Tue1[[#This Row],[TM]],LSum_Wed1[[#This Row],[TM]],LSum_Thu1[[#This Row],[TM]],LSum_Fri1[[#This Row],[TM]],LSum_Sat1[[#This Row],[TM]])</f>
        <v>0</v>
      </c>
      <c r="G28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28" s="93">
        <f>SUM(LSum_Sun2[[#This Row],[RTA]],LSum_Mon2[[#This Row],[RTA]],LSum_Tue2[[#This Row],[RTA]],LSum_Wed2[[#This Row],[RTA]],LSum_Thu2[[#This Row],[RTA]],LSum_Fri2[[#This Row],[RTA]],LSum_Sat2[[#This Row],[RTA]])</f>
        <v>0</v>
      </c>
      <c r="I28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28" s="93">
        <f>SUM(LSum_Sun2[[#This Row],[TM]],LSum_Mon2[[#This Row],[TM]],LSum_Tue2[[#This Row],[TM]],LSum_Wed2[[#This Row],[TM]],LSum_Thu2[[#This Row],[TM]],LSum_Fri2[[#This Row],[TM]],LSum_Sat2[[#This Row],[TM]])</f>
        <v>0</v>
      </c>
      <c r="K28" s="93">
        <f>SUM(LeadSum[[#This Row],[Help Line W2]:[RTA W2]])</f>
        <v>0</v>
      </c>
      <c r="L28" s="93"/>
      <c r="M28" s="93" t="str">
        <f>IFERROR(VLOOKUP(LeadSum[[#This Row],[Lead]],Sun_W1[],MATCH("Help Line",Sun_W1[#Headers],0),0),"")</f>
        <v/>
      </c>
      <c r="N28" s="93" t="str">
        <f>IFERROR(VLOOKUP(LeadSum[[#This Row],[Lead]],Sun_W1[],MATCH("RTA",Sun_W1[#Headers],0),0),"")</f>
        <v/>
      </c>
      <c r="O28" s="93" t="str">
        <f>IFERROR(VLOOKUP(LeadSum[[#This Row],[Lead]],Sun_W1[],MATCH("Admin",Sun_W1[#Headers],0),0),"")</f>
        <v/>
      </c>
      <c r="P28" s="93" t="str">
        <f>IFERROR(VLOOKUP(LeadSum[[#This Row],[Lead]],Sun_W1[],MATCH("Team MTG",Sun_W1[#Headers],0),0),"")</f>
        <v/>
      </c>
      <c r="R28" s="93" t="str">
        <f>IFERROR(VLOOKUP(LeadSum[[#This Row],[Lead]],Mon_W1[],MATCH("Help Line",Mon_W1[#Headers],0),0),"")</f>
        <v/>
      </c>
      <c r="S28" s="93" t="str">
        <f>IFERROR(VLOOKUP(LeadSum[[#This Row],[Lead]],Mon_W1[],MATCH("RTA",Mon_W1[#Headers],0),0),"")</f>
        <v/>
      </c>
      <c r="T28" s="93" t="str">
        <f>IFERROR(VLOOKUP(LeadSum[[#This Row],[Lead]],Mon_W1[],MATCH("Admin",Mon_W1[#Headers],0),0),"")</f>
        <v/>
      </c>
      <c r="U28" s="93" t="str">
        <f>IFERROR(VLOOKUP(LeadSum[[#This Row],[Lead]],Mon_W1[],MATCH("Team MTG",Mon_W1[#Headers],0),0),"")</f>
        <v/>
      </c>
      <c r="W28" s="93" t="str">
        <f>IFERROR(VLOOKUP(LeadSum[[#This Row],[Lead]],Tue_W1[],MATCH("Help Line",Tue_W1[#Headers],0),0),"")</f>
        <v/>
      </c>
      <c r="X28" s="93" t="str">
        <f>IFERROR(VLOOKUP(LeadSum[[#This Row],[Lead]],Tue_W1[],MATCH("RTA",Tue_W1[#Headers],0),0),"")</f>
        <v/>
      </c>
      <c r="Y28" s="93" t="str">
        <f>IFERROR(VLOOKUP(LeadSum[[#This Row],[Lead]],Tue_W1[],MATCH("Admin",Tue_W1[#Headers],0),0),"")</f>
        <v/>
      </c>
      <c r="Z28" s="93" t="str">
        <f>IFERROR(VLOOKUP(LeadSum[[#This Row],[Lead]],Tue_W1[],MATCH("Team MTG",Tue_W1[#Headers],0),0),"")</f>
        <v/>
      </c>
      <c r="AB28" s="93" t="str">
        <f>IFERROR(VLOOKUP(LeadSum[[#This Row],[Lead]],Wed_W1[],MATCH("Help Line",Wed_W1[#Headers],0),0),"")</f>
        <v/>
      </c>
      <c r="AC28" s="93" t="str">
        <f>IFERROR(VLOOKUP(LeadSum[[#This Row],[Lead]],Wed_W1[],MATCH("RTA",Wed_W1[#Headers],0),0),"")</f>
        <v/>
      </c>
      <c r="AD28" s="93" t="str">
        <f>IFERROR(VLOOKUP(LeadSum[[#This Row],[Lead]],Wed_W1[],MATCH("Admin",Wed_W1[#Headers],0),0),"")</f>
        <v/>
      </c>
      <c r="AE28" s="93" t="str">
        <f>IFERROR(VLOOKUP(LeadSum[[#This Row],[Lead]],Wed_W1[],MATCH("Team MTG",Wed_W1[#Headers],0),0),"")</f>
        <v/>
      </c>
      <c r="AG28" s="93" t="str">
        <f>IFERROR(VLOOKUP(LeadSum[[#This Row],[Lead]],Thu_W1[],MATCH("Help Line",Thu_W1[#Headers],0),0),"")</f>
        <v/>
      </c>
      <c r="AH28" s="93" t="str">
        <f>IFERROR(VLOOKUP(LeadSum[[#This Row],[Lead]],Thu_W1[],MATCH("RTA",Thu_W1[#Headers],0),0),"")</f>
        <v/>
      </c>
      <c r="AI28" s="93" t="str">
        <f>IFERROR(VLOOKUP(LeadSum[[#This Row],[Lead]],Thu_W1[],MATCH("Admin",Thu_W1[#Headers],0),0),"")</f>
        <v/>
      </c>
      <c r="AJ28" s="93" t="str">
        <f>IFERROR(VLOOKUP(LeadSum[[#This Row],[Lead]],Thu_W1[],MATCH("Team MTG",Thu_W1[#Headers],0),0),"")</f>
        <v/>
      </c>
      <c r="AL28" s="93" t="str">
        <f>IFERROR(VLOOKUP(LeadSum[[#This Row],[Lead]],Fri_W1[],MATCH("Help Line",Fri_W1[#Headers],0),0),"")</f>
        <v/>
      </c>
      <c r="AM28" s="93" t="str">
        <f>IFERROR(VLOOKUP(LeadSum[[#This Row],[Lead]],Fri_W1[],MATCH("RTA",Fri_W1[#Headers],0),0),"")</f>
        <v/>
      </c>
      <c r="AN28" s="93" t="str">
        <f>IFERROR(VLOOKUP(LeadSum[[#This Row],[Lead]],Fri_W1[],MATCH("Admin",Fri_W1[#Headers],0),0),"")</f>
        <v/>
      </c>
      <c r="AO28" s="93" t="str">
        <f>IFERROR(VLOOKUP(LeadSum[[#This Row],[Lead]],Fri_W1[],MATCH("Team MTG",Fri_W1[#Headers],0),0),"")</f>
        <v/>
      </c>
      <c r="AQ28" s="93" t="str">
        <f>IFERROR(VLOOKUP(LeadSum[[#This Row],[Lead]],Sat_W1[],MATCH("Help Line",Sat_W1[#Headers],0),0),"")</f>
        <v/>
      </c>
      <c r="AR28" s="93" t="str">
        <f>IFERROR(VLOOKUP(LeadSum[[#This Row],[Lead]],Sat_W1[],MATCH("RTA",Sat_W1[#Headers],0),0),"")</f>
        <v/>
      </c>
      <c r="AS28" s="93" t="str">
        <f>IFERROR(VLOOKUP(LeadSum[[#This Row],[Lead]],Sat_W1[],MATCH("Admin",Sat_W1[#Headers],0),0),"")</f>
        <v/>
      </c>
      <c r="AT28" s="93" t="str">
        <f>IFERROR(VLOOKUP(LeadSum[[#This Row],[Lead]],Sat_W1[],MATCH("Team MTG",Sat_W1[#Headers],0),0),"")</f>
        <v/>
      </c>
      <c r="AV28" s="93" t="str">
        <f>IFERROR(VLOOKUP(LeadSum[[#This Row],[Lead]],Sun_W2[],MATCH("Help Line",Sun_W2[#Headers],0),0),"")</f>
        <v/>
      </c>
      <c r="AW28" s="93" t="str">
        <f>IFERROR(VLOOKUP(LeadSum[[#This Row],[Lead]],Sun_W2[],MATCH("RTA",Sun_W2[#Headers],0),0),"")</f>
        <v/>
      </c>
      <c r="AX28" s="93" t="str">
        <f>IFERROR(VLOOKUP(LeadSum[[#This Row],[Lead]],Sun_W2[],MATCH("Admin",Sun_W2[#Headers],0),0),"")</f>
        <v/>
      </c>
      <c r="AY28" s="93" t="str">
        <f>IFERROR(VLOOKUP(LeadSum[[#This Row],[Lead]],Sun_W2[],MATCH("Team MTG",Sun_W2[#Headers],0),0),"")</f>
        <v/>
      </c>
      <c r="BA28" s="93" t="str">
        <f>IFERROR(VLOOKUP(LeadSum[[#This Row],[Lead]],Mon_W2[],MATCH("Help Line",Mon_W2[#Headers],0),0),"")</f>
        <v/>
      </c>
      <c r="BB28" s="93" t="str">
        <f>IFERROR(VLOOKUP(LeadSum[[#This Row],[Lead]],Mon_W2[],MATCH("RTA",Mon_W2[#Headers],0),0),"")</f>
        <v/>
      </c>
      <c r="BC28" s="93" t="str">
        <f>IFERROR(VLOOKUP(LeadSum[[#This Row],[Lead]],Mon_W2[],MATCH("Admin",Mon_W2[#Headers],0),0),"")</f>
        <v/>
      </c>
      <c r="BD28" s="93" t="str">
        <f>IFERROR(VLOOKUP(LeadSum[[#This Row],[Lead]],Mon_W2[],MATCH("Team MTG",Mon_W2[#Headers],0),0),"")</f>
        <v/>
      </c>
      <c r="BF28" s="93" t="str">
        <f>IFERROR(VLOOKUP(LeadSum[[#This Row],[Lead]],Tue_W2[],MATCH("Help Line",Tue_W2[#Headers],0),0),"")</f>
        <v/>
      </c>
      <c r="BG28" s="93" t="str">
        <f>IFERROR(VLOOKUP(LeadSum[[#This Row],[Lead]],Tue_W2[],MATCH("RTA",Tue_W2[#Headers],0),0),"")</f>
        <v/>
      </c>
      <c r="BH28" s="93" t="str">
        <f>IFERROR(VLOOKUP(LeadSum[[#This Row],[Lead]],Tue_W2[],MATCH("Admin",Tue_W2[#Headers],0),0),"")</f>
        <v/>
      </c>
      <c r="BI28" s="93" t="str">
        <f>IFERROR(VLOOKUP(LeadSum[[#This Row],[Lead]],Tue_W2[],MATCH("Team MTG",Tue_W2[#Headers],0),0),"")</f>
        <v/>
      </c>
      <c r="BK28" s="93" t="str">
        <f>IFERROR(VLOOKUP(LeadSum[[#This Row],[Lead]],Wed_W2[],MATCH("Help Line",Wed_W2[#Headers],0),0),"")</f>
        <v/>
      </c>
      <c r="BL28" s="93" t="str">
        <f>IFERROR(VLOOKUP(LeadSum[[#This Row],[Lead]],Wed_W2[],MATCH("RTA",Wed_W2[#Headers],0),0),"")</f>
        <v/>
      </c>
      <c r="BM28" s="93" t="str">
        <f>IFERROR(VLOOKUP(LeadSum[[#This Row],[Lead]],Wed_W2[],MATCH("Admin",Wed_W2[#Headers],0),0),"")</f>
        <v/>
      </c>
      <c r="BN28" s="93" t="str">
        <f>IFERROR(VLOOKUP(LeadSum[[#This Row],[Lead]],Wed_W2[],MATCH("Team MTG",Wed_W2[#Headers],0),0),"")</f>
        <v/>
      </c>
      <c r="BP28" s="93" t="str">
        <f>IFERROR(VLOOKUP(LeadSum[[#This Row],[Lead]],Thu_W2[],MATCH("Help Line",Thu_W2[#Headers],0),0),"")</f>
        <v/>
      </c>
      <c r="BQ28" s="93" t="str">
        <f>IFERROR(VLOOKUP(LeadSum[[#This Row],[Lead]],Thu_W2[],MATCH("RTA",Thu_W2[#Headers],0),0),"")</f>
        <v/>
      </c>
      <c r="BR28" s="93" t="str">
        <f>IFERROR(VLOOKUP(LeadSum[[#This Row],[Lead]],Thu_W2[],MATCH("Admin",Thu_W2[#Headers],0),0),"")</f>
        <v/>
      </c>
      <c r="BS28" s="93" t="str">
        <f>IFERROR(VLOOKUP(LeadSum[[#This Row],[Lead]],Thu_W2[],MATCH("Team MTG",Thu_W2[#Headers],0),0),"")</f>
        <v/>
      </c>
      <c r="BU28" s="93" t="str">
        <f>IFERROR(VLOOKUP(LeadSum[[#This Row],[Lead]],Fri_W2[],MATCH("Help Line",Fri_W2[#Headers],0),0),"")</f>
        <v/>
      </c>
      <c r="BV28" s="93" t="str">
        <f>IFERROR(VLOOKUP(LeadSum[[#This Row],[Lead]],Fri_W2[],MATCH("RTA",Fri_W2[#Headers],0),0),"")</f>
        <v/>
      </c>
      <c r="BW28" s="93" t="str">
        <f>IFERROR(VLOOKUP(LeadSum[[#This Row],[Lead]],Fri_W2[],MATCH("Admin",Fri_W2[#Headers],0),0),"")</f>
        <v/>
      </c>
      <c r="BX28" s="93" t="str">
        <f>IFERROR(VLOOKUP(LeadSum[[#This Row],[Lead]],Fri_W2[],MATCH("Team MTG",Fri_W2[#Headers],0),0),"")</f>
        <v/>
      </c>
      <c r="BZ28" s="93" t="str">
        <f>IFERROR(VLOOKUP(LeadSum[[#This Row],[Lead]],Sat_W2[],MATCH("Help Line",Sat_W2[#Headers],0),0),"")</f>
        <v/>
      </c>
      <c r="CA28" s="93" t="str">
        <f>IFERROR(VLOOKUP(LeadSum[[#This Row],[Lead]],Sat_W2[],MATCH("RTA",Sat_W2[#Headers],0),0),"")</f>
        <v/>
      </c>
      <c r="CB28" s="93" t="str">
        <f>IFERROR(VLOOKUP(LeadSum[[#This Row],[Lead]],Sat_W2[],MATCH("Admin",Sat_W2[#Headers],0),0),"")</f>
        <v/>
      </c>
      <c r="CC28" s="93" t="str">
        <f>IFERROR(VLOOKUP(LeadSum[[#This Row],[Lead]],Sat_W2[],MATCH("Team MTG",Sat_W2[#Headers],0),0),"")</f>
        <v/>
      </c>
    </row>
    <row r="29" spans="1:81" x14ac:dyDescent="0.2">
      <c r="A29" s="93">
        <f>SUM(LeadSum[[#This Row],[Help Line W1]:[RTA W1]])</f>
        <v>50.5</v>
      </c>
      <c r="B29" s="108" t="s">
        <v>232</v>
      </c>
      <c r="C29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44.5</v>
      </c>
      <c r="D29" s="93">
        <f>SUM(LSum_Sun1[[#This Row],[RTA]],LSum_Mon1[[#This Row],[RTA]],LSum_Tue1[[#This Row],[RTA]],LSum_Wed1[[#This Row],[RTA]],LSum_Thu1[[#This Row],[RTA]],LSum_Fri1[[#This Row],[RTA]],LSum_Sat1[[#This Row],[RTA]])</f>
        <v>6</v>
      </c>
      <c r="E29" s="93">
        <f>SUM(LSum_Sun1[[#This Row],[Admin]],LSum_Mon1[[#This Row],[Admin]],LSum_Tue1[[#This Row],[Admin]],LSum_Wed1[[#This Row],[Admin]],LSum_Thu1[[#This Row],[Admin]],LSum_Fri1[[#This Row],[Admin]],LSum_Sat1[[#This Row],[Admin]])</f>
        <v>23</v>
      </c>
      <c r="F29" s="93">
        <f>SUM(LSum_Sun1[[#This Row],[TM]],LSum_Mon1[[#This Row],[TM]],LSum_Tue1[[#This Row],[TM]],LSum_Wed1[[#This Row],[TM]],LSum_Thu1[[#This Row],[TM]],LSum_Fri1[[#This Row],[TM]],LSum_Sat1[[#This Row],[TM]])</f>
        <v>0</v>
      </c>
      <c r="G29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44.5</v>
      </c>
      <c r="H29" s="93">
        <f>SUM(LSum_Sun2[[#This Row],[RTA]],LSum_Mon2[[#This Row],[RTA]],LSum_Tue2[[#This Row],[RTA]],LSum_Wed2[[#This Row],[RTA]],LSum_Thu2[[#This Row],[RTA]],LSum_Fri2[[#This Row],[RTA]],LSum_Sat2[[#This Row],[RTA]])</f>
        <v>6</v>
      </c>
      <c r="I29" s="93">
        <f>SUM(LSum_Sun2[[#This Row],[Admin]],LSum_Mon2[[#This Row],[Admin]],LSum_Tue2[[#This Row],[Admin]],LSum_Wed2[[#This Row],[Admin]],LSum_Thu2[[#This Row],[Admin]],LSum_Fri2[[#This Row],[Admin]],LSum_Sat2[[#This Row],[Admin]])</f>
        <v>23</v>
      </c>
      <c r="J29" s="93">
        <f>SUM(LSum_Sun2[[#This Row],[TM]],LSum_Mon2[[#This Row],[TM]],LSum_Tue2[[#This Row],[TM]],LSum_Wed2[[#This Row],[TM]],LSum_Thu2[[#This Row],[TM]],LSum_Fri2[[#This Row],[TM]],LSum_Sat2[[#This Row],[TM]])</f>
        <v>0</v>
      </c>
      <c r="K29" s="93">
        <f>SUM(LeadSum[[#This Row],[Help Line W2]:[RTA W2]])</f>
        <v>50.5</v>
      </c>
      <c r="L29" s="93"/>
      <c r="M29" s="93">
        <f>IFERROR(VLOOKUP(LeadSum[[#This Row],[Lead]],Sun_W1[],MATCH("Help Line",Sun_W1[#Headers],0),0),"")</f>
        <v>9</v>
      </c>
      <c r="N29" s="93">
        <f>IFERROR(VLOOKUP(LeadSum[[#This Row],[Lead]],Sun_W1[],MATCH("RTA",Sun_W1[#Headers],0),0),"")</f>
        <v>2</v>
      </c>
      <c r="O29" s="93">
        <f>IFERROR(VLOOKUP(LeadSum[[#This Row],[Lead]],Sun_W1[],MATCH("Admin",Sun_W1[#Headers],0),0),"")</f>
        <v>4</v>
      </c>
      <c r="P29" s="93" t="str">
        <f>IFERROR(VLOOKUP(LeadSum[[#This Row],[Lead]],Sun_W1[],MATCH("Team MTG",Sun_W1[#Headers],0),0),"")</f>
        <v/>
      </c>
      <c r="R29" s="93">
        <f>IFERROR(VLOOKUP(LeadSum[[#This Row],[Lead]],Mon_W1[],MATCH("Help Line",Mon_W1[#Headers],0),0),"")</f>
        <v>9</v>
      </c>
      <c r="S29" s="93">
        <f>IFERROR(VLOOKUP(LeadSum[[#This Row],[Lead]],Mon_W1[],MATCH("RTA",Mon_W1[#Headers],0),0),"")</f>
        <v>0</v>
      </c>
      <c r="T29" s="93">
        <f>IFERROR(VLOOKUP(LeadSum[[#This Row],[Lead]],Mon_W1[],MATCH("Admin",Mon_W1[#Headers],0),0),"")</f>
        <v>4</v>
      </c>
      <c r="U29" s="93" t="str">
        <f>IFERROR(VLOOKUP(LeadSum[[#This Row],[Lead]],Mon_W1[],MATCH("Team MTG",Mon_W1[#Headers],0),0),"")</f>
        <v/>
      </c>
      <c r="W29" s="93">
        <f>IFERROR(VLOOKUP(LeadSum[[#This Row],[Lead]],Tue_W1[],MATCH("Help Line",Tue_W1[#Headers],0),0),"")</f>
        <v>11</v>
      </c>
      <c r="X29" s="93">
        <f>IFERROR(VLOOKUP(LeadSum[[#This Row],[Lead]],Tue_W1[],MATCH("RTA",Tue_W1[#Headers],0),0),"")</f>
        <v>0</v>
      </c>
      <c r="Y29" s="93">
        <f>IFERROR(VLOOKUP(LeadSum[[#This Row],[Lead]],Tue_W1[],MATCH("Admin",Tue_W1[#Headers],0),0),"")</f>
        <v>4</v>
      </c>
      <c r="Z29" s="93" t="str">
        <f>IFERROR(VLOOKUP(LeadSum[[#This Row],[Lead]],Tue_W1[],MATCH("Team MTG",Tue_W1[#Headers],0),0),"")</f>
        <v/>
      </c>
      <c r="AB29" s="93">
        <f>IFERROR(VLOOKUP(LeadSum[[#This Row],[Lead]],Wed_W1[],MATCH("Help Line",Wed_W1[#Headers],0),0),"")</f>
        <v>8.5</v>
      </c>
      <c r="AC29" s="93">
        <f>IFERROR(VLOOKUP(LeadSum[[#This Row],[Lead]],Wed_W1[],MATCH("RTA",Wed_W1[#Headers],0),0),"")</f>
        <v>2</v>
      </c>
      <c r="AD29" s="93">
        <f>IFERROR(VLOOKUP(LeadSum[[#This Row],[Lead]],Wed_W1[],MATCH("Admin",Wed_W1[#Headers],0),0),"")</f>
        <v>5</v>
      </c>
      <c r="AE29" s="93" t="str">
        <f>IFERROR(VLOOKUP(LeadSum[[#This Row],[Lead]],Wed_W1[],MATCH("Team MTG",Wed_W1[#Headers],0),0),"")</f>
        <v/>
      </c>
      <c r="AG29" s="93" t="str">
        <f>IFERROR(VLOOKUP(LeadSum[[#This Row],[Lead]],Thu_W1[],MATCH("Help Line",Thu_W1[#Headers],0),0),"")</f>
        <v/>
      </c>
      <c r="AH29" s="93" t="str">
        <f>IFERROR(VLOOKUP(LeadSum[[#This Row],[Lead]],Thu_W1[],MATCH("RTA",Thu_W1[#Headers],0),0),"")</f>
        <v/>
      </c>
      <c r="AI29" s="93" t="str">
        <f>IFERROR(VLOOKUP(LeadSum[[#This Row],[Lead]],Thu_W1[],MATCH("Admin",Thu_W1[#Headers],0),0),"")</f>
        <v/>
      </c>
      <c r="AJ29" s="93" t="str">
        <f>IFERROR(VLOOKUP(LeadSum[[#This Row],[Lead]],Thu_W1[],MATCH("Team MTG",Thu_W1[#Headers],0),0),"")</f>
        <v/>
      </c>
      <c r="AL29" s="93" t="str">
        <f>IFERROR(VLOOKUP(LeadSum[[#This Row],[Lead]],Fri_W1[],MATCH("Help Line",Fri_W1[#Headers],0),0),"")</f>
        <v/>
      </c>
      <c r="AM29" s="93" t="str">
        <f>IFERROR(VLOOKUP(LeadSum[[#This Row],[Lead]],Fri_W1[],MATCH("RTA",Fri_W1[#Headers],0),0),"")</f>
        <v/>
      </c>
      <c r="AN29" s="93" t="str">
        <f>IFERROR(VLOOKUP(LeadSum[[#This Row],[Lead]],Fri_W1[],MATCH("Admin",Fri_W1[#Headers],0),0),"")</f>
        <v/>
      </c>
      <c r="AO29" s="93" t="str">
        <f>IFERROR(VLOOKUP(LeadSum[[#This Row],[Lead]],Fri_W1[],MATCH("Team MTG",Fri_W1[#Headers],0),0),"")</f>
        <v/>
      </c>
      <c r="AQ29" s="93">
        <f>IFERROR(VLOOKUP(LeadSum[[#This Row],[Lead]],Sat_W1[],MATCH("Help Line",Sat_W1[#Headers],0),0),"")</f>
        <v>7</v>
      </c>
      <c r="AR29" s="93">
        <f>IFERROR(VLOOKUP(LeadSum[[#This Row],[Lead]],Sat_W1[],MATCH("RTA",Sat_W1[#Headers],0),0),"")</f>
        <v>2</v>
      </c>
      <c r="AS29" s="93">
        <f>IFERROR(VLOOKUP(LeadSum[[#This Row],[Lead]],Sat_W1[],MATCH("Admin",Sat_W1[#Headers],0),0),"")</f>
        <v>6</v>
      </c>
      <c r="AT29" s="93" t="str">
        <f>IFERROR(VLOOKUP(LeadSum[[#This Row],[Lead]],Sat_W1[],MATCH("Team MTG",Sat_W1[#Headers],0),0),"")</f>
        <v/>
      </c>
      <c r="AV29" s="93">
        <f>IFERROR(VLOOKUP(LeadSum[[#This Row],[Lead]],Sun_W2[],MATCH("Help Line",Sun_W2[#Headers],0),0),"")</f>
        <v>9</v>
      </c>
      <c r="AW29" s="93">
        <f>IFERROR(VLOOKUP(LeadSum[[#This Row],[Lead]],Sun_W2[],MATCH("RTA",Sun_W2[#Headers],0),0),"")</f>
        <v>2</v>
      </c>
      <c r="AX29" s="93">
        <f>IFERROR(VLOOKUP(LeadSum[[#This Row],[Lead]],Sun_W2[],MATCH("Admin",Sun_W2[#Headers],0),0),"")</f>
        <v>4</v>
      </c>
      <c r="AY29" s="93" t="str">
        <f>IFERROR(VLOOKUP(LeadSum[[#This Row],[Lead]],Sun_W2[],MATCH("Team MTG",Sun_W2[#Headers],0),0),"")</f>
        <v/>
      </c>
      <c r="BA29" s="93">
        <f>IFERROR(VLOOKUP(LeadSum[[#This Row],[Lead]],Mon_W2[],MATCH("Help Line",Mon_W2[#Headers],0),0),"")</f>
        <v>9</v>
      </c>
      <c r="BB29" s="93">
        <f>IFERROR(VLOOKUP(LeadSum[[#This Row],[Lead]],Mon_W2[],MATCH("RTA",Mon_W2[#Headers],0),0),"")</f>
        <v>0</v>
      </c>
      <c r="BC29" s="93">
        <f>IFERROR(VLOOKUP(LeadSum[[#This Row],[Lead]],Mon_W2[],MATCH("Admin",Mon_W2[#Headers],0),0),"")</f>
        <v>4</v>
      </c>
      <c r="BD29" s="93" t="str">
        <f>IFERROR(VLOOKUP(LeadSum[[#This Row],[Lead]],Mon_W2[],MATCH("Team MTG",Mon_W2[#Headers],0),0),"")</f>
        <v/>
      </c>
      <c r="BF29" s="93">
        <f>IFERROR(VLOOKUP(LeadSum[[#This Row],[Lead]],Tue_W2[],MATCH("Help Line",Tue_W2[#Headers],0),0),"")</f>
        <v>11</v>
      </c>
      <c r="BG29" s="93">
        <f>IFERROR(VLOOKUP(LeadSum[[#This Row],[Lead]],Tue_W2[],MATCH("RTA",Tue_W2[#Headers],0),0),"")</f>
        <v>0</v>
      </c>
      <c r="BH29" s="93">
        <f>IFERROR(VLOOKUP(LeadSum[[#This Row],[Lead]],Tue_W2[],MATCH("Admin",Tue_W2[#Headers],0),0),"")</f>
        <v>4</v>
      </c>
      <c r="BI29" s="93" t="str">
        <f>IFERROR(VLOOKUP(LeadSum[[#This Row],[Lead]],Tue_W2[],MATCH("Team MTG",Tue_W2[#Headers],0),0),"")</f>
        <v/>
      </c>
      <c r="BK29" s="93">
        <f>IFERROR(VLOOKUP(LeadSum[[#This Row],[Lead]],Wed_W2[],MATCH("Help Line",Wed_W2[#Headers],0),0),"")</f>
        <v>8.5</v>
      </c>
      <c r="BL29" s="93">
        <f>IFERROR(VLOOKUP(LeadSum[[#This Row],[Lead]],Wed_W2[],MATCH("RTA",Wed_W2[#Headers],0),0),"")</f>
        <v>2</v>
      </c>
      <c r="BM29" s="93">
        <f>IFERROR(VLOOKUP(LeadSum[[#This Row],[Lead]],Wed_W2[],MATCH("Admin",Wed_W2[#Headers],0),0),"")</f>
        <v>5</v>
      </c>
      <c r="BN29" s="93" t="str">
        <f>IFERROR(VLOOKUP(LeadSum[[#This Row],[Lead]],Wed_W2[],MATCH("Team MTG",Wed_W2[#Headers],0),0),"")</f>
        <v/>
      </c>
      <c r="BP29" s="93" t="str">
        <f>IFERROR(VLOOKUP(LeadSum[[#This Row],[Lead]],Thu_W2[],MATCH("Help Line",Thu_W2[#Headers],0),0),"")</f>
        <v/>
      </c>
      <c r="BQ29" s="93" t="str">
        <f>IFERROR(VLOOKUP(LeadSum[[#This Row],[Lead]],Thu_W2[],MATCH("RTA",Thu_W2[#Headers],0),0),"")</f>
        <v/>
      </c>
      <c r="BR29" s="93" t="str">
        <f>IFERROR(VLOOKUP(LeadSum[[#This Row],[Lead]],Thu_W2[],MATCH("Admin",Thu_W2[#Headers],0),0),"")</f>
        <v/>
      </c>
      <c r="BS29" s="93" t="str">
        <f>IFERROR(VLOOKUP(LeadSum[[#This Row],[Lead]],Thu_W2[],MATCH("Team MTG",Thu_W2[#Headers],0),0),"")</f>
        <v/>
      </c>
      <c r="BU29" s="93" t="str">
        <f>IFERROR(VLOOKUP(LeadSum[[#This Row],[Lead]],Fri_W2[],MATCH("Help Line",Fri_W2[#Headers],0),0),"")</f>
        <v/>
      </c>
      <c r="BV29" s="93" t="str">
        <f>IFERROR(VLOOKUP(LeadSum[[#This Row],[Lead]],Fri_W2[],MATCH("RTA",Fri_W2[#Headers],0),0),"")</f>
        <v/>
      </c>
      <c r="BW29" s="93" t="str">
        <f>IFERROR(VLOOKUP(LeadSum[[#This Row],[Lead]],Fri_W2[],MATCH("Admin",Fri_W2[#Headers],0),0),"")</f>
        <v/>
      </c>
      <c r="BX29" s="93" t="str">
        <f>IFERROR(VLOOKUP(LeadSum[[#This Row],[Lead]],Fri_W2[],MATCH("Team MTG",Fri_W2[#Headers],0),0),"")</f>
        <v/>
      </c>
      <c r="BZ29" s="93">
        <f>IFERROR(VLOOKUP(LeadSum[[#This Row],[Lead]],Sat_W2[],MATCH("Help Line",Sat_W2[#Headers],0),0),"")</f>
        <v>7</v>
      </c>
      <c r="CA29" s="93">
        <f>IFERROR(VLOOKUP(LeadSum[[#This Row],[Lead]],Sat_W2[],MATCH("RTA",Sat_W2[#Headers],0),0),"")</f>
        <v>2</v>
      </c>
      <c r="CB29" s="93">
        <f>IFERROR(VLOOKUP(LeadSum[[#This Row],[Lead]],Sat_W2[],MATCH("Admin",Sat_W2[#Headers],0),0),"")</f>
        <v>6</v>
      </c>
      <c r="CC29" s="93" t="str">
        <f>IFERROR(VLOOKUP(LeadSum[[#This Row],[Lead]],Sat_W2[],MATCH("Team MTG",Sat_W2[#Headers],0),0),"")</f>
        <v/>
      </c>
    </row>
    <row r="30" spans="1:81" x14ac:dyDescent="0.2">
      <c r="A30" s="93">
        <f>SUM(LeadSum[[#This Row],[Help Line W1]:[RTA W1]])</f>
        <v>0</v>
      </c>
      <c r="B30" s="108"/>
      <c r="C30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30" s="93">
        <f>SUM(LSum_Sun1[[#This Row],[RTA]],LSum_Mon1[[#This Row],[RTA]],LSum_Tue1[[#This Row],[RTA]],LSum_Wed1[[#This Row],[RTA]],LSum_Thu1[[#This Row],[RTA]],LSum_Fri1[[#This Row],[RTA]],LSum_Sat1[[#This Row],[RTA]])</f>
        <v>0</v>
      </c>
      <c r="E30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30" s="93">
        <f>SUM(LSum_Sun1[[#This Row],[TM]],LSum_Mon1[[#This Row],[TM]],LSum_Tue1[[#This Row],[TM]],LSum_Wed1[[#This Row],[TM]],LSum_Thu1[[#This Row],[TM]],LSum_Fri1[[#This Row],[TM]],LSum_Sat1[[#This Row],[TM]])</f>
        <v>0</v>
      </c>
      <c r="G30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30" s="93">
        <f>SUM(LSum_Sun2[[#This Row],[RTA]],LSum_Mon2[[#This Row],[RTA]],LSum_Tue2[[#This Row],[RTA]],LSum_Wed2[[#This Row],[RTA]],LSum_Thu2[[#This Row],[RTA]],LSum_Fri2[[#This Row],[RTA]],LSum_Sat2[[#This Row],[RTA]])</f>
        <v>0</v>
      </c>
      <c r="I30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30" s="93">
        <f>SUM(LSum_Sun2[[#This Row],[TM]],LSum_Mon2[[#This Row],[TM]],LSum_Tue2[[#This Row],[TM]],LSum_Wed2[[#This Row],[TM]],LSum_Thu2[[#This Row],[TM]],LSum_Fri2[[#This Row],[TM]],LSum_Sat2[[#This Row],[TM]])</f>
        <v>0</v>
      </c>
      <c r="K30" s="93">
        <f>SUM(LeadSum[[#This Row],[Help Line W2]:[RTA W2]])</f>
        <v>0</v>
      </c>
      <c r="L30" s="93"/>
      <c r="M30" s="93" t="str">
        <f>IFERROR(VLOOKUP(LeadSum[[#This Row],[Lead]],Sun_W1[],MATCH("Help Line",Sun_W1[#Headers],0),0),"")</f>
        <v/>
      </c>
      <c r="N30" s="93" t="str">
        <f>IFERROR(VLOOKUP(LeadSum[[#This Row],[Lead]],Sun_W1[],MATCH("RTA",Sun_W1[#Headers],0),0),"")</f>
        <v/>
      </c>
      <c r="O30" s="93" t="str">
        <f>IFERROR(VLOOKUP(LeadSum[[#This Row],[Lead]],Sun_W1[],MATCH("Admin",Sun_W1[#Headers],0),0),"")</f>
        <v/>
      </c>
      <c r="P30" s="93" t="str">
        <f>IFERROR(VLOOKUP(LeadSum[[#This Row],[Lead]],Sun_W1[],MATCH("Team MTG",Sun_W1[#Headers],0),0),"")</f>
        <v/>
      </c>
      <c r="R30" s="93" t="str">
        <f>IFERROR(VLOOKUP(LeadSum[[#This Row],[Lead]],Mon_W1[],MATCH("Help Line",Mon_W1[#Headers],0),0),"")</f>
        <v/>
      </c>
      <c r="S30" s="93" t="str">
        <f>IFERROR(VLOOKUP(LeadSum[[#This Row],[Lead]],Mon_W1[],MATCH("RTA",Mon_W1[#Headers],0),0),"")</f>
        <v/>
      </c>
      <c r="T30" s="93" t="str">
        <f>IFERROR(VLOOKUP(LeadSum[[#This Row],[Lead]],Mon_W1[],MATCH("Admin",Mon_W1[#Headers],0),0),"")</f>
        <v/>
      </c>
      <c r="U30" s="93" t="str">
        <f>IFERROR(VLOOKUP(LeadSum[[#This Row],[Lead]],Mon_W1[],MATCH("Team MTG",Mon_W1[#Headers],0),0),"")</f>
        <v/>
      </c>
      <c r="W30" s="93" t="str">
        <f>IFERROR(VLOOKUP(LeadSum[[#This Row],[Lead]],Tue_W1[],MATCH("Help Line",Tue_W1[#Headers],0),0),"")</f>
        <v/>
      </c>
      <c r="X30" s="93" t="str">
        <f>IFERROR(VLOOKUP(LeadSum[[#This Row],[Lead]],Tue_W1[],MATCH("RTA",Tue_W1[#Headers],0),0),"")</f>
        <v/>
      </c>
      <c r="Y30" s="93" t="str">
        <f>IFERROR(VLOOKUP(LeadSum[[#This Row],[Lead]],Tue_W1[],MATCH("Admin",Tue_W1[#Headers],0),0),"")</f>
        <v/>
      </c>
      <c r="Z30" s="93" t="str">
        <f>IFERROR(VLOOKUP(LeadSum[[#This Row],[Lead]],Tue_W1[],MATCH("Team MTG",Tue_W1[#Headers],0),0),"")</f>
        <v/>
      </c>
      <c r="AB30" s="93" t="str">
        <f>IFERROR(VLOOKUP(LeadSum[[#This Row],[Lead]],Wed_W1[],MATCH("Help Line",Wed_W1[#Headers],0),0),"")</f>
        <v/>
      </c>
      <c r="AC30" s="93" t="str">
        <f>IFERROR(VLOOKUP(LeadSum[[#This Row],[Lead]],Wed_W1[],MATCH("RTA",Wed_W1[#Headers],0),0),"")</f>
        <v/>
      </c>
      <c r="AD30" s="93" t="str">
        <f>IFERROR(VLOOKUP(LeadSum[[#This Row],[Lead]],Wed_W1[],MATCH("Admin",Wed_W1[#Headers],0),0),"")</f>
        <v/>
      </c>
      <c r="AE30" s="93" t="str">
        <f>IFERROR(VLOOKUP(LeadSum[[#This Row],[Lead]],Wed_W1[],MATCH("Team MTG",Wed_W1[#Headers],0),0),"")</f>
        <v/>
      </c>
      <c r="AG30" s="93" t="str">
        <f>IFERROR(VLOOKUP(LeadSum[[#This Row],[Lead]],Thu_W1[],MATCH("Help Line",Thu_W1[#Headers],0),0),"")</f>
        <v/>
      </c>
      <c r="AH30" s="93" t="str">
        <f>IFERROR(VLOOKUP(LeadSum[[#This Row],[Lead]],Thu_W1[],MATCH("RTA",Thu_W1[#Headers],0),0),"")</f>
        <v/>
      </c>
      <c r="AI30" s="93" t="str">
        <f>IFERROR(VLOOKUP(LeadSum[[#This Row],[Lead]],Thu_W1[],MATCH("Admin",Thu_W1[#Headers],0),0),"")</f>
        <v/>
      </c>
      <c r="AJ30" s="93" t="str">
        <f>IFERROR(VLOOKUP(LeadSum[[#This Row],[Lead]],Thu_W1[],MATCH("Team MTG",Thu_W1[#Headers],0),0),"")</f>
        <v/>
      </c>
      <c r="AL30" s="93" t="str">
        <f>IFERROR(VLOOKUP(LeadSum[[#This Row],[Lead]],Fri_W1[],MATCH("Help Line",Fri_W1[#Headers],0),0),"")</f>
        <v/>
      </c>
      <c r="AM30" s="93" t="str">
        <f>IFERROR(VLOOKUP(LeadSum[[#This Row],[Lead]],Fri_W1[],MATCH("RTA",Fri_W1[#Headers],0),0),"")</f>
        <v/>
      </c>
      <c r="AN30" s="93" t="str">
        <f>IFERROR(VLOOKUP(LeadSum[[#This Row],[Lead]],Fri_W1[],MATCH("Admin",Fri_W1[#Headers],0),0),"")</f>
        <v/>
      </c>
      <c r="AO30" s="93" t="str">
        <f>IFERROR(VLOOKUP(LeadSum[[#This Row],[Lead]],Fri_W1[],MATCH("Team MTG",Fri_W1[#Headers],0),0),"")</f>
        <v/>
      </c>
      <c r="AQ30" s="93" t="str">
        <f>IFERROR(VLOOKUP(LeadSum[[#This Row],[Lead]],Sat_W1[],MATCH("Help Line",Sat_W1[#Headers],0),0),"")</f>
        <v/>
      </c>
      <c r="AR30" s="93" t="str">
        <f>IFERROR(VLOOKUP(LeadSum[[#This Row],[Lead]],Sat_W1[],MATCH("RTA",Sat_W1[#Headers],0),0),"")</f>
        <v/>
      </c>
      <c r="AS30" s="93" t="str">
        <f>IFERROR(VLOOKUP(LeadSum[[#This Row],[Lead]],Sat_W1[],MATCH("Admin",Sat_W1[#Headers],0),0),"")</f>
        <v/>
      </c>
      <c r="AT30" s="93" t="str">
        <f>IFERROR(VLOOKUP(LeadSum[[#This Row],[Lead]],Sat_W1[],MATCH("Team MTG",Sat_W1[#Headers],0),0),"")</f>
        <v/>
      </c>
      <c r="AV30" s="93" t="str">
        <f>IFERROR(VLOOKUP(LeadSum[[#This Row],[Lead]],Sun_W2[],MATCH("Help Line",Sun_W2[#Headers],0),0),"")</f>
        <v/>
      </c>
      <c r="AW30" s="93" t="str">
        <f>IFERROR(VLOOKUP(LeadSum[[#This Row],[Lead]],Sun_W2[],MATCH("RTA",Sun_W2[#Headers],0),0),"")</f>
        <v/>
      </c>
      <c r="AX30" s="93" t="str">
        <f>IFERROR(VLOOKUP(LeadSum[[#This Row],[Lead]],Sun_W2[],MATCH("Admin",Sun_W2[#Headers],0),0),"")</f>
        <v/>
      </c>
      <c r="AY30" s="93" t="str">
        <f>IFERROR(VLOOKUP(LeadSum[[#This Row],[Lead]],Sun_W2[],MATCH("Team MTG",Sun_W2[#Headers],0),0),"")</f>
        <v/>
      </c>
      <c r="BA30" s="93" t="str">
        <f>IFERROR(VLOOKUP(LeadSum[[#This Row],[Lead]],Mon_W2[],MATCH("Help Line",Mon_W2[#Headers],0),0),"")</f>
        <v/>
      </c>
      <c r="BB30" s="93" t="str">
        <f>IFERROR(VLOOKUP(LeadSum[[#This Row],[Lead]],Mon_W2[],MATCH("RTA",Mon_W2[#Headers],0),0),"")</f>
        <v/>
      </c>
      <c r="BC30" s="93" t="str">
        <f>IFERROR(VLOOKUP(LeadSum[[#This Row],[Lead]],Mon_W2[],MATCH("Admin",Mon_W2[#Headers],0),0),"")</f>
        <v/>
      </c>
      <c r="BD30" s="93" t="str">
        <f>IFERROR(VLOOKUP(LeadSum[[#This Row],[Lead]],Mon_W2[],MATCH("Team MTG",Mon_W2[#Headers],0),0),"")</f>
        <v/>
      </c>
      <c r="BF30" s="93" t="str">
        <f>IFERROR(VLOOKUP(LeadSum[[#This Row],[Lead]],Tue_W2[],MATCH("Help Line",Tue_W2[#Headers],0),0),"")</f>
        <v/>
      </c>
      <c r="BG30" s="93" t="str">
        <f>IFERROR(VLOOKUP(LeadSum[[#This Row],[Lead]],Tue_W2[],MATCH("RTA",Tue_W2[#Headers],0),0),"")</f>
        <v/>
      </c>
      <c r="BH30" s="93" t="str">
        <f>IFERROR(VLOOKUP(LeadSum[[#This Row],[Lead]],Tue_W2[],MATCH("Admin",Tue_W2[#Headers],0),0),"")</f>
        <v/>
      </c>
      <c r="BI30" s="93" t="str">
        <f>IFERROR(VLOOKUP(LeadSum[[#This Row],[Lead]],Tue_W2[],MATCH("Team MTG",Tue_W2[#Headers],0),0),"")</f>
        <v/>
      </c>
      <c r="BK30" s="93" t="str">
        <f>IFERROR(VLOOKUP(LeadSum[[#This Row],[Lead]],Wed_W2[],MATCH("Help Line",Wed_W2[#Headers],0),0),"")</f>
        <v/>
      </c>
      <c r="BL30" s="93" t="str">
        <f>IFERROR(VLOOKUP(LeadSum[[#This Row],[Lead]],Wed_W2[],MATCH("RTA",Wed_W2[#Headers],0),0),"")</f>
        <v/>
      </c>
      <c r="BM30" s="93" t="str">
        <f>IFERROR(VLOOKUP(LeadSum[[#This Row],[Lead]],Wed_W2[],MATCH("Admin",Wed_W2[#Headers],0),0),"")</f>
        <v/>
      </c>
      <c r="BN30" s="93" t="str">
        <f>IFERROR(VLOOKUP(LeadSum[[#This Row],[Lead]],Wed_W2[],MATCH("Team MTG",Wed_W2[#Headers],0),0),"")</f>
        <v/>
      </c>
      <c r="BP30" s="93" t="str">
        <f>IFERROR(VLOOKUP(LeadSum[[#This Row],[Lead]],Thu_W2[],MATCH("Help Line",Thu_W2[#Headers],0),0),"")</f>
        <v/>
      </c>
      <c r="BQ30" s="93" t="str">
        <f>IFERROR(VLOOKUP(LeadSum[[#This Row],[Lead]],Thu_W2[],MATCH("RTA",Thu_W2[#Headers],0),0),"")</f>
        <v/>
      </c>
      <c r="BR30" s="93" t="str">
        <f>IFERROR(VLOOKUP(LeadSum[[#This Row],[Lead]],Thu_W2[],MATCH("Admin",Thu_W2[#Headers],0),0),"")</f>
        <v/>
      </c>
      <c r="BS30" s="93" t="str">
        <f>IFERROR(VLOOKUP(LeadSum[[#This Row],[Lead]],Thu_W2[],MATCH("Team MTG",Thu_W2[#Headers],0),0),"")</f>
        <v/>
      </c>
      <c r="BU30" s="93" t="str">
        <f>IFERROR(VLOOKUP(LeadSum[[#This Row],[Lead]],Fri_W2[],MATCH("Help Line",Fri_W2[#Headers],0),0),"")</f>
        <v/>
      </c>
      <c r="BV30" s="93" t="str">
        <f>IFERROR(VLOOKUP(LeadSum[[#This Row],[Lead]],Fri_W2[],MATCH("RTA",Fri_W2[#Headers],0),0),"")</f>
        <v/>
      </c>
      <c r="BW30" s="93" t="str">
        <f>IFERROR(VLOOKUP(LeadSum[[#This Row],[Lead]],Fri_W2[],MATCH("Admin",Fri_W2[#Headers],0),0),"")</f>
        <v/>
      </c>
      <c r="BX30" s="93" t="str">
        <f>IFERROR(VLOOKUP(LeadSum[[#This Row],[Lead]],Fri_W2[],MATCH("Team MTG",Fri_W2[#Headers],0),0),"")</f>
        <v/>
      </c>
      <c r="BZ30" s="93" t="str">
        <f>IFERROR(VLOOKUP(LeadSum[[#This Row],[Lead]],Sat_W2[],MATCH("Help Line",Sat_W2[#Headers],0),0),"")</f>
        <v/>
      </c>
      <c r="CA30" s="93" t="str">
        <f>IFERROR(VLOOKUP(LeadSum[[#This Row],[Lead]],Sat_W2[],MATCH("RTA",Sat_W2[#Headers],0),0),"")</f>
        <v/>
      </c>
      <c r="CB30" s="93" t="str">
        <f>IFERROR(VLOOKUP(LeadSum[[#This Row],[Lead]],Sat_W2[],MATCH("Admin",Sat_W2[#Headers],0),0),"")</f>
        <v/>
      </c>
      <c r="CC30" s="93" t="str">
        <f>IFERROR(VLOOKUP(LeadSum[[#This Row],[Lead]],Sat_W2[],MATCH("Team MTG",Sat_W2[#Headers],0),0),"")</f>
        <v/>
      </c>
    </row>
    <row r="31" spans="1:81" x14ac:dyDescent="0.2">
      <c r="A31" s="93">
        <f>SUM(LeadSum[[#This Row],[Help Line W1]:[RTA W1]])</f>
        <v>0</v>
      </c>
      <c r="B31" s="108"/>
      <c r="C31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31" s="93">
        <f>SUM(LSum_Sun1[[#This Row],[RTA]],LSum_Mon1[[#This Row],[RTA]],LSum_Tue1[[#This Row],[RTA]],LSum_Wed1[[#This Row],[RTA]],LSum_Thu1[[#This Row],[RTA]],LSum_Fri1[[#This Row],[RTA]],LSum_Sat1[[#This Row],[RTA]])</f>
        <v>0</v>
      </c>
      <c r="E31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31" s="93">
        <f>SUM(LSum_Sun1[[#This Row],[TM]],LSum_Mon1[[#This Row],[TM]],LSum_Tue1[[#This Row],[TM]],LSum_Wed1[[#This Row],[TM]],LSum_Thu1[[#This Row],[TM]],LSum_Fri1[[#This Row],[TM]],LSum_Sat1[[#This Row],[TM]])</f>
        <v>0</v>
      </c>
      <c r="G31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31" s="93">
        <f>SUM(LSum_Sun2[[#This Row],[RTA]],LSum_Mon2[[#This Row],[RTA]],LSum_Tue2[[#This Row],[RTA]],LSum_Wed2[[#This Row],[RTA]],LSum_Thu2[[#This Row],[RTA]],LSum_Fri2[[#This Row],[RTA]],LSum_Sat2[[#This Row],[RTA]])</f>
        <v>0</v>
      </c>
      <c r="I31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31" s="93">
        <f>SUM(LSum_Sun2[[#This Row],[TM]],LSum_Mon2[[#This Row],[TM]],LSum_Tue2[[#This Row],[TM]],LSum_Wed2[[#This Row],[TM]],LSum_Thu2[[#This Row],[TM]],LSum_Fri2[[#This Row],[TM]],LSum_Sat2[[#This Row],[TM]])</f>
        <v>0</v>
      </c>
      <c r="K31" s="93">
        <f>SUM(LeadSum[[#This Row],[Help Line W2]:[RTA W2]])</f>
        <v>0</v>
      </c>
      <c r="L31" s="93"/>
      <c r="M31" s="93" t="str">
        <f>IFERROR(VLOOKUP(LeadSum[[#This Row],[Lead]],Sun_W1[],MATCH("Help Line",Sun_W1[#Headers],0),0),"")</f>
        <v/>
      </c>
      <c r="N31" s="93" t="str">
        <f>IFERROR(VLOOKUP(LeadSum[[#This Row],[Lead]],Sun_W1[],MATCH("RTA",Sun_W1[#Headers],0),0),"")</f>
        <v/>
      </c>
      <c r="O31" s="93" t="str">
        <f>IFERROR(VLOOKUP(LeadSum[[#This Row],[Lead]],Sun_W1[],MATCH("Admin",Sun_W1[#Headers],0),0),"")</f>
        <v/>
      </c>
      <c r="P31" s="93" t="str">
        <f>IFERROR(VLOOKUP(LeadSum[[#This Row],[Lead]],Sun_W1[],MATCH("Team MTG",Sun_W1[#Headers],0),0),"")</f>
        <v/>
      </c>
      <c r="R31" s="93" t="str">
        <f>IFERROR(VLOOKUP(LeadSum[[#This Row],[Lead]],Mon_W1[],MATCH("Help Line",Mon_W1[#Headers],0),0),"")</f>
        <v/>
      </c>
      <c r="S31" s="93" t="str">
        <f>IFERROR(VLOOKUP(LeadSum[[#This Row],[Lead]],Mon_W1[],MATCH("RTA",Mon_W1[#Headers],0),0),"")</f>
        <v/>
      </c>
      <c r="T31" s="93" t="str">
        <f>IFERROR(VLOOKUP(LeadSum[[#This Row],[Lead]],Mon_W1[],MATCH("Admin",Mon_W1[#Headers],0),0),"")</f>
        <v/>
      </c>
      <c r="U31" s="93" t="str">
        <f>IFERROR(VLOOKUP(LeadSum[[#This Row],[Lead]],Mon_W1[],MATCH("Team MTG",Mon_W1[#Headers],0),0),"")</f>
        <v/>
      </c>
      <c r="W31" s="93" t="str">
        <f>IFERROR(VLOOKUP(LeadSum[[#This Row],[Lead]],Tue_W1[],MATCH("Help Line",Tue_W1[#Headers],0),0),"")</f>
        <v/>
      </c>
      <c r="X31" s="93" t="str">
        <f>IFERROR(VLOOKUP(LeadSum[[#This Row],[Lead]],Tue_W1[],MATCH("RTA",Tue_W1[#Headers],0),0),"")</f>
        <v/>
      </c>
      <c r="Y31" s="93" t="str">
        <f>IFERROR(VLOOKUP(LeadSum[[#This Row],[Lead]],Tue_W1[],MATCH("Admin",Tue_W1[#Headers],0),0),"")</f>
        <v/>
      </c>
      <c r="Z31" s="93" t="str">
        <f>IFERROR(VLOOKUP(LeadSum[[#This Row],[Lead]],Tue_W1[],MATCH("Team MTG",Tue_W1[#Headers],0),0),"")</f>
        <v/>
      </c>
      <c r="AB31" s="93" t="str">
        <f>IFERROR(VLOOKUP(LeadSum[[#This Row],[Lead]],Wed_W1[],MATCH("Help Line",Wed_W1[#Headers],0),0),"")</f>
        <v/>
      </c>
      <c r="AC31" s="93" t="str">
        <f>IFERROR(VLOOKUP(LeadSum[[#This Row],[Lead]],Wed_W1[],MATCH("RTA",Wed_W1[#Headers],0),0),"")</f>
        <v/>
      </c>
      <c r="AD31" s="93" t="str">
        <f>IFERROR(VLOOKUP(LeadSum[[#This Row],[Lead]],Wed_W1[],MATCH("Admin",Wed_W1[#Headers],0),0),"")</f>
        <v/>
      </c>
      <c r="AE31" s="93" t="str">
        <f>IFERROR(VLOOKUP(LeadSum[[#This Row],[Lead]],Wed_W1[],MATCH("Team MTG",Wed_W1[#Headers],0),0),"")</f>
        <v/>
      </c>
      <c r="AG31" s="93" t="str">
        <f>IFERROR(VLOOKUP(LeadSum[[#This Row],[Lead]],Thu_W1[],MATCH("Help Line",Thu_W1[#Headers],0),0),"")</f>
        <v/>
      </c>
      <c r="AH31" s="93" t="str">
        <f>IFERROR(VLOOKUP(LeadSum[[#This Row],[Lead]],Thu_W1[],MATCH("RTA",Thu_W1[#Headers],0),0),"")</f>
        <v/>
      </c>
      <c r="AI31" s="93" t="str">
        <f>IFERROR(VLOOKUP(LeadSum[[#This Row],[Lead]],Thu_W1[],MATCH("Admin",Thu_W1[#Headers],0),0),"")</f>
        <v/>
      </c>
      <c r="AJ31" s="93" t="str">
        <f>IFERROR(VLOOKUP(LeadSum[[#This Row],[Lead]],Thu_W1[],MATCH("Team MTG",Thu_W1[#Headers],0),0),"")</f>
        <v/>
      </c>
      <c r="AL31" s="93" t="str">
        <f>IFERROR(VLOOKUP(LeadSum[[#This Row],[Lead]],Fri_W1[],MATCH("Help Line",Fri_W1[#Headers],0),0),"")</f>
        <v/>
      </c>
      <c r="AM31" s="93" t="str">
        <f>IFERROR(VLOOKUP(LeadSum[[#This Row],[Lead]],Fri_W1[],MATCH("RTA",Fri_W1[#Headers],0),0),"")</f>
        <v/>
      </c>
      <c r="AN31" s="93" t="str">
        <f>IFERROR(VLOOKUP(LeadSum[[#This Row],[Lead]],Fri_W1[],MATCH("Admin",Fri_W1[#Headers],0),0),"")</f>
        <v/>
      </c>
      <c r="AO31" s="93" t="str">
        <f>IFERROR(VLOOKUP(LeadSum[[#This Row],[Lead]],Fri_W1[],MATCH("Team MTG",Fri_W1[#Headers],0),0),"")</f>
        <v/>
      </c>
      <c r="AQ31" s="93" t="str">
        <f>IFERROR(VLOOKUP(LeadSum[[#This Row],[Lead]],Sat_W1[],MATCH("Help Line",Sat_W1[#Headers],0),0),"")</f>
        <v/>
      </c>
      <c r="AR31" s="93" t="str">
        <f>IFERROR(VLOOKUP(LeadSum[[#This Row],[Lead]],Sat_W1[],MATCH("RTA",Sat_W1[#Headers],0),0),"")</f>
        <v/>
      </c>
      <c r="AS31" s="93" t="str">
        <f>IFERROR(VLOOKUP(LeadSum[[#This Row],[Lead]],Sat_W1[],MATCH("Admin",Sat_W1[#Headers],0),0),"")</f>
        <v/>
      </c>
      <c r="AT31" s="93" t="str">
        <f>IFERROR(VLOOKUP(LeadSum[[#This Row],[Lead]],Sat_W1[],MATCH("Team MTG",Sat_W1[#Headers],0),0),"")</f>
        <v/>
      </c>
      <c r="AV31" s="93" t="str">
        <f>IFERROR(VLOOKUP(LeadSum[[#This Row],[Lead]],Sun_W2[],MATCH("Help Line",Sun_W2[#Headers],0),0),"")</f>
        <v/>
      </c>
      <c r="AW31" s="93" t="str">
        <f>IFERROR(VLOOKUP(LeadSum[[#This Row],[Lead]],Sun_W2[],MATCH("RTA",Sun_W2[#Headers],0),0),"")</f>
        <v/>
      </c>
      <c r="AX31" s="93" t="str">
        <f>IFERROR(VLOOKUP(LeadSum[[#This Row],[Lead]],Sun_W2[],MATCH("Admin",Sun_W2[#Headers],0),0),"")</f>
        <v/>
      </c>
      <c r="AY31" s="93" t="str">
        <f>IFERROR(VLOOKUP(LeadSum[[#This Row],[Lead]],Sun_W2[],MATCH("Team MTG",Sun_W2[#Headers],0),0),"")</f>
        <v/>
      </c>
      <c r="BA31" s="93" t="str">
        <f>IFERROR(VLOOKUP(LeadSum[[#This Row],[Lead]],Mon_W2[],MATCH("Help Line",Mon_W2[#Headers],0),0),"")</f>
        <v/>
      </c>
      <c r="BB31" s="93" t="str">
        <f>IFERROR(VLOOKUP(LeadSum[[#This Row],[Lead]],Mon_W2[],MATCH("RTA",Mon_W2[#Headers],0),0),"")</f>
        <v/>
      </c>
      <c r="BC31" s="93" t="str">
        <f>IFERROR(VLOOKUP(LeadSum[[#This Row],[Lead]],Mon_W2[],MATCH("Admin",Mon_W2[#Headers],0),0),"")</f>
        <v/>
      </c>
      <c r="BD31" s="93" t="str">
        <f>IFERROR(VLOOKUP(LeadSum[[#This Row],[Lead]],Mon_W2[],MATCH("Team MTG",Mon_W2[#Headers],0),0),"")</f>
        <v/>
      </c>
      <c r="BF31" s="93" t="str">
        <f>IFERROR(VLOOKUP(LeadSum[[#This Row],[Lead]],Tue_W2[],MATCH("Help Line",Tue_W2[#Headers],0),0),"")</f>
        <v/>
      </c>
      <c r="BG31" s="93" t="str">
        <f>IFERROR(VLOOKUP(LeadSum[[#This Row],[Lead]],Tue_W2[],MATCH("RTA",Tue_W2[#Headers],0),0),"")</f>
        <v/>
      </c>
      <c r="BH31" s="93" t="str">
        <f>IFERROR(VLOOKUP(LeadSum[[#This Row],[Lead]],Tue_W2[],MATCH("Admin",Tue_W2[#Headers],0),0),"")</f>
        <v/>
      </c>
      <c r="BI31" s="93" t="str">
        <f>IFERROR(VLOOKUP(LeadSum[[#This Row],[Lead]],Tue_W2[],MATCH("Team MTG",Tue_W2[#Headers],0),0),"")</f>
        <v/>
      </c>
      <c r="BK31" s="93" t="str">
        <f>IFERROR(VLOOKUP(LeadSum[[#This Row],[Lead]],Wed_W2[],MATCH("Help Line",Wed_W2[#Headers],0),0),"")</f>
        <v/>
      </c>
      <c r="BL31" s="93" t="str">
        <f>IFERROR(VLOOKUP(LeadSum[[#This Row],[Lead]],Wed_W2[],MATCH("RTA",Wed_W2[#Headers],0),0),"")</f>
        <v/>
      </c>
      <c r="BM31" s="93" t="str">
        <f>IFERROR(VLOOKUP(LeadSum[[#This Row],[Lead]],Wed_W2[],MATCH("Admin",Wed_W2[#Headers],0),0),"")</f>
        <v/>
      </c>
      <c r="BN31" s="93" t="str">
        <f>IFERROR(VLOOKUP(LeadSum[[#This Row],[Lead]],Wed_W2[],MATCH("Team MTG",Wed_W2[#Headers],0),0),"")</f>
        <v/>
      </c>
      <c r="BP31" s="93" t="str">
        <f>IFERROR(VLOOKUP(LeadSum[[#This Row],[Lead]],Thu_W2[],MATCH("Help Line",Thu_W2[#Headers],0),0),"")</f>
        <v/>
      </c>
      <c r="BQ31" s="93" t="str">
        <f>IFERROR(VLOOKUP(LeadSum[[#This Row],[Lead]],Thu_W2[],MATCH("RTA",Thu_W2[#Headers],0),0),"")</f>
        <v/>
      </c>
      <c r="BR31" s="93" t="str">
        <f>IFERROR(VLOOKUP(LeadSum[[#This Row],[Lead]],Thu_W2[],MATCH("Admin",Thu_W2[#Headers],0),0),"")</f>
        <v/>
      </c>
      <c r="BS31" s="93" t="str">
        <f>IFERROR(VLOOKUP(LeadSum[[#This Row],[Lead]],Thu_W2[],MATCH("Team MTG",Thu_W2[#Headers],0),0),"")</f>
        <v/>
      </c>
      <c r="BU31" s="93" t="str">
        <f>IFERROR(VLOOKUP(LeadSum[[#This Row],[Lead]],Fri_W2[],MATCH("Help Line",Fri_W2[#Headers],0),0),"")</f>
        <v/>
      </c>
      <c r="BV31" s="93" t="str">
        <f>IFERROR(VLOOKUP(LeadSum[[#This Row],[Lead]],Fri_W2[],MATCH("RTA",Fri_W2[#Headers],0),0),"")</f>
        <v/>
      </c>
      <c r="BW31" s="93" t="str">
        <f>IFERROR(VLOOKUP(LeadSum[[#This Row],[Lead]],Fri_W2[],MATCH("Admin",Fri_W2[#Headers],0),0),"")</f>
        <v/>
      </c>
      <c r="BX31" s="93" t="str">
        <f>IFERROR(VLOOKUP(LeadSum[[#This Row],[Lead]],Fri_W2[],MATCH("Team MTG",Fri_W2[#Headers],0),0),"")</f>
        <v/>
      </c>
      <c r="BZ31" s="93" t="str">
        <f>IFERROR(VLOOKUP(LeadSum[[#This Row],[Lead]],Sat_W2[],MATCH("Help Line",Sat_W2[#Headers],0),0),"")</f>
        <v/>
      </c>
      <c r="CA31" s="93" t="str">
        <f>IFERROR(VLOOKUP(LeadSum[[#This Row],[Lead]],Sat_W2[],MATCH("RTA",Sat_W2[#Headers],0),0),"")</f>
        <v/>
      </c>
      <c r="CB31" s="93" t="str">
        <f>IFERROR(VLOOKUP(LeadSum[[#This Row],[Lead]],Sat_W2[],MATCH("Admin",Sat_W2[#Headers],0),0),"")</f>
        <v/>
      </c>
      <c r="CC31" s="93" t="str">
        <f>IFERROR(VLOOKUP(LeadSum[[#This Row],[Lead]],Sat_W2[],MATCH("Team MTG",Sat_W2[#Headers],0),0),"")</f>
        <v/>
      </c>
    </row>
    <row r="32" spans="1:81" x14ac:dyDescent="0.2">
      <c r="A32" s="93">
        <f>SUM(LeadSum[[#This Row],[Help Line W1]:[RTA W1]])</f>
        <v>0</v>
      </c>
      <c r="B32" s="108"/>
      <c r="C32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32" s="93">
        <f>SUM(LSum_Sun1[[#This Row],[RTA]],LSum_Mon1[[#This Row],[RTA]],LSum_Tue1[[#This Row],[RTA]],LSum_Wed1[[#This Row],[RTA]],LSum_Thu1[[#This Row],[RTA]],LSum_Fri1[[#This Row],[RTA]],LSum_Sat1[[#This Row],[RTA]])</f>
        <v>0</v>
      </c>
      <c r="E32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32" s="93">
        <f>SUM(LSum_Sun1[[#This Row],[TM]],LSum_Mon1[[#This Row],[TM]],LSum_Tue1[[#This Row],[TM]],LSum_Wed1[[#This Row],[TM]],LSum_Thu1[[#This Row],[TM]],LSum_Fri1[[#This Row],[TM]],LSum_Sat1[[#This Row],[TM]])</f>
        <v>0</v>
      </c>
      <c r="G32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32" s="93">
        <f>SUM(LSum_Sun2[[#This Row],[RTA]],LSum_Mon2[[#This Row],[RTA]],LSum_Tue2[[#This Row],[RTA]],LSum_Wed2[[#This Row],[RTA]],LSum_Thu2[[#This Row],[RTA]],LSum_Fri2[[#This Row],[RTA]],LSum_Sat2[[#This Row],[RTA]])</f>
        <v>0</v>
      </c>
      <c r="I32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32" s="93">
        <f>SUM(LSum_Sun2[[#This Row],[TM]],LSum_Mon2[[#This Row],[TM]],LSum_Tue2[[#This Row],[TM]],LSum_Wed2[[#This Row],[TM]],LSum_Thu2[[#This Row],[TM]],LSum_Fri2[[#This Row],[TM]],LSum_Sat2[[#This Row],[TM]])</f>
        <v>0</v>
      </c>
      <c r="K32" s="93">
        <f>SUM(LeadSum[[#This Row],[Help Line W2]:[RTA W2]])</f>
        <v>0</v>
      </c>
      <c r="L32" s="93"/>
      <c r="M32" s="93" t="str">
        <f>IFERROR(VLOOKUP(LeadSum[[#This Row],[Lead]],Sun_W1[],MATCH("Help Line",Sun_W1[#Headers],0),0),"")</f>
        <v/>
      </c>
      <c r="N32" s="93" t="str">
        <f>IFERROR(VLOOKUP(LeadSum[[#This Row],[Lead]],Sun_W1[],MATCH("RTA",Sun_W1[#Headers],0),0),"")</f>
        <v/>
      </c>
      <c r="O32" s="93" t="str">
        <f>IFERROR(VLOOKUP(LeadSum[[#This Row],[Lead]],Sun_W1[],MATCH("Admin",Sun_W1[#Headers],0),0),"")</f>
        <v/>
      </c>
      <c r="P32" s="93" t="str">
        <f>IFERROR(VLOOKUP(LeadSum[[#This Row],[Lead]],Sun_W1[],MATCH("Team MTG",Sun_W1[#Headers],0),0),"")</f>
        <v/>
      </c>
      <c r="R32" s="93" t="str">
        <f>IFERROR(VLOOKUP(LeadSum[[#This Row],[Lead]],Mon_W1[],MATCH("Help Line",Mon_W1[#Headers],0),0),"")</f>
        <v/>
      </c>
      <c r="S32" s="93" t="str">
        <f>IFERROR(VLOOKUP(LeadSum[[#This Row],[Lead]],Mon_W1[],MATCH("RTA",Mon_W1[#Headers],0),0),"")</f>
        <v/>
      </c>
      <c r="T32" s="93" t="str">
        <f>IFERROR(VLOOKUP(LeadSum[[#This Row],[Lead]],Mon_W1[],MATCH("Admin",Mon_W1[#Headers],0),0),"")</f>
        <v/>
      </c>
      <c r="U32" s="93" t="str">
        <f>IFERROR(VLOOKUP(LeadSum[[#This Row],[Lead]],Mon_W1[],MATCH("Team MTG",Mon_W1[#Headers],0),0),"")</f>
        <v/>
      </c>
      <c r="W32" s="93" t="str">
        <f>IFERROR(VLOOKUP(LeadSum[[#This Row],[Lead]],Tue_W1[],MATCH("Help Line",Tue_W1[#Headers],0),0),"")</f>
        <v/>
      </c>
      <c r="X32" s="93" t="str">
        <f>IFERROR(VLOOKUP(LeadSum[[#This Row],[Lead]],Tue_W1[],MATCH("RTA",Tue_W1[#Headers],0),0),"")</f>
        <v/>
      </c>
      <c r="Y32" s="93" t="str">
        <f>IFERROR(VLOOKUP(LeadSum[[#This Row],[Lead]],Tue_W1[],MATCH("Admin",Tue_W1[#Headers],0),0),"")</f>
        <v/>
      </c>
      <c r="Z32" s="93" t="str">
        <f>IFERROR(VLOOKUP(LeadSum[[#This Row],[Lead]],Tue_W1[],MATCH("Team MTG",Tue_W1[#Headers],0),0),"")</f>
        <v/>
      </c>
      <c r="AB32" s="93" t="str">
        <f>IFERROR(VLOOKUP(LeadSum[[#This Row],[Lead]],Wed_W1[],MATCH("Help Line",Wed_W1[#Headers],0),0),"")</f>
        <v/>
      </c>
      <c r="AC32" s="93" t="str">
        <f>IFERROR(VLOOKUP(LeadSum[[#This Row],[Lead]],Wed_W1[],MATCH("RTA",Wed_W1[#Headers],0),0),"")</f>
        <v/>
      </c>
      <c r="AD32" s="93" t="str">
        <f>IFERROR(VLOOKUP(LeadSum[[#This Row],[Lead]],Wed_W1[],MATCH("Admin",Wed_W1[#Headers],0),0),"")</f>
        <v/>
      </c>
      <c r="AE32" s="93" t="str">
        <f>IFERROR(VLOOKUP(LeadSum[[#This Row],[Lead]],Wed_W1[],MATCH("Team MTG",Wed_W1[#Headers],0),0),"")</f>
        <v/>
      </c>
      <c r="AG32" s="93" t="str">
        <f>IFERROR(VLOOKUP(LeadSum[[#This Row],[Lead]],Thu_W1[],MATCH("Help Line",Thu_W1[#Headers],0),0),"")</f>
        <v/>
      </c>
      <c r="AH32" s="93" t="str">
        <f>IFERROR(VLOOKUP(LeadSum[[#This Row],[Lead]],Thu_W1[],MATCH("RTA",Thu_W1[#Headers],0),0),"")</f>
        <v/>
      </c>
      <c r="AI32" s="93" t="str">
        <f>IFERROR(VLOOKUP(LeadSum[[#This Row],[Lead]],Thu_W1[],MATCH("Admin",Thu_W1[#Headers],0),0),"")</f>
        <v/>
      </c>
      <c r="AJ32" s="93" t="str">
        <f>IFERROR(VLOOKUP(LeadSum[[#This Row],[Lead]],Thu_W1[],MATCH("Team MTG",Thu_W1[#Headers],0),0),"")</f>
        <v/>
      </c>
      <c r="AL32" s="93" t="str">
        <f>IFERROR(VLOOKUP(LeadSum[[#This Row],[Lead]],Fri_W1[],MATCH("Help Line",Fri_W1[#Headers],0),0),"")</f>
        <v/>
      </c>
      <c r="AM32" s="93" t="str">
        <f>IFERROR(VLOOKUP(LeadSum[[#This Row],[Lead]],Fri_W1[],MATCH("RTA",Fri_W1[#Headers],0),0),"")</f>
        <v/>
      </c>
      <c r="AN32" s="93" t="str">
        <f>IFERROR(VLOOKUP(LeadSum[[#This Row],[Lead]],Fri_W1[],MATCH("Admin",Fri_W1[#Headers],0),0),"")</f>
        <v/>
      </c>
      <c r="AO32" s="93" t="str">
        <f>IFERROR(VLOOKUP(LeadSum[[#This Row],[Lead]],Fri_W1[],MATCH("Team MTG",Fri_W1[#Headers],0),0),"")</f>
        <v/>
      </c>
      <c r="AQ32" s="93" t="str">
        <f>IFERROR(VLOOKUP(LeadSum[[#This Row],[Lead]],Sat_W1[],MATCH("Help Line",Sat_W1[#Headers],0),0),"")</f>
        <v/>
      </c>
      <c r="AR32" s="93" t="str">
        <f>IFERROR(VLOOKUP(LeadSum[[#This Row],[Lead]],Sat_W1[],MATCH("RTA",Sat_W1[#Headers],0),0),"")</f>
        <v/>
      </c>
      <c r="AS32" s="93" t="str">
        <f>IFERROR(VLOOKUP(LeadSum[[#This Row],[Lead]],Sat_W1[],MATCH("Admin",Sat_W1[#Headers],0),0),"")</f>
        <v/>
      </c>
      <c r="AT32" s="93" t="str">
        <f>IFERROR(VLOOKUP(LeadSum[[#This Row],[Lead]],Sat_W1[],MATCH("Team MTG",Sat_W1[#Headers],0),0),"")</f>
        <v/>
      </c>
      <c r="AV32" s="93" t="str">
        <f>IFERROR(VLOOKUP(LeadSum[[#This Row],[Lead]],Sun_W2[],MATCH("Help Line",Sun_W2[#Headers],0),0),"")</f>
        <v/>
      </c>
      <c r="AW32" s="93" t="str">
        <f>IFERROR(VLOOKUP(LeadSum[[#This Row],[Lead]],Sun_W2[],MATCH("RTA",Sun_W2[#Headers],0),0),"")</f>
        <v/>
      </c>
      <c r="AX32" s="93" t="str">
        <f>IFERROR(VLOOKUP(LeadSum[[#This Row],[Lead]],Sun_W2[],MATCH("Admin",Sun_W2[#Headers],0),0),"")</f>
        <v/>
      </c>
      <c r="AY32" s="93" t="str">
        <f>IFERROR(VLOOKUP(LeadSum[[#This Row],[Lead]],Sun_W2[],MATCH("Team MTG",Sun_W2[#Headers],0),0),"")</f>
        <v/>
      </c>
      <c r="BA32" s="93" t="str">
        <f>IFERROR(VLOOKUP(LeadSum[[#This Row],[Lead]],Mon_W2[],MATCH("Help Line",Mon_W2[#Headers],0),0),"")</f>
        <v/>
      </c>
      <c r="BB32" s="93" t="str">
        <f>IFERROR(VLOOKUP(LeadSum[[#This Row],[Lead]],Mon_W2[],MATCH("RTA",Mon_W2[#Headers],0),0),"")</f>
        <v/>
      </c>
      <c r="BC32" s="93" t="str">
        <f>IFERROR(VLOOKUP(LeadSum[[#This Row],[Lead]],Mon_W2[],MATCH("Admin",Mon_W2[#Headers],0),0),"")</f>
        <v/>
      </c>
      <c r="BD32" s="93" t="str">
        <f>IFERROR(VLOOKUP(LeadSum[[#This Row],[Lead]],Mon_W2[],MATCH("Team MTG",Mon_W2[#Headers],0),0),"")</f>
        <v/>
      </c>
      <c r="BF32" s="93" t="str">
        <f>IFERROR(VLOOKUP(LeadSum[[#This Row],[Lead]],Tue_W2[],MATCH("Help Line",Tue_W2[#Headers],0),0),"")</f>
        <v/>
      </c>
      <c r="BG32" s="93" t="str">
        <f>IFERROR(VLOOKUP(LeadSum[[#This Row],[Lead]],Tue_W2[],MATCH("RTA",Tue_W2[#Headers],0),0),"")</f>
        <v/>
      </c>
      <c r="BH32" s="93" t="str">
        <f>IFERROR(VLOOKUP(LeadSum[[#This Row],[Lead]],Tue_W2[],MATCH("Admin",Tue_W2[#Headers],0),0),"")</f>
        <v/>
      </c>
      <c r="BI32" s="93" t="str">
        <f>IFERROR(VLOOKUP(LeadSum[[#This Row],[Lead]],Tue_W2[],MATCH("Team MTG",Tue_W2[#Headers],0),0),"")</f>
        <v/>
      </c>
      <c r="BK32" s="93" t="str">
        <f>IFERROR(VLOOKUP(LeadSum[[#This Row],[Lead]],Wed_W2[],MATCH("Help Line",Wed_W2[#Headers],0),0),"")</f>
        <v/>
      </c>
      <c r="BL32" s="93" t="str">
        <f>IFERROR(VLOOKUP(LeadSum[[#This Row],[Lead]],Wed_W2[],MATCH("RTA",Wed_W2[#Headers],0),0),"")</f>
        <v/>
      </c>
      <c r="BM32" s="93" t="str">
        <f>IFERROR(VLOOKUP(LeadSum[[#This Row],[Lead]],Wed_W2[],MATCH("Admin",Wed_W2[#Headers],0),0),"")</f>
        <v/>
      </c>
      <c r="BN32" s="93" t="str">
        <f>IFERROR(VLOOKUP(LeadSum[[#This Row],[Lead]],Wed_W2[],MATCH("Team MTG",Wed_W2[#Headers],0),0),"")</f>
        <v/>
      </c>
      <c r="BP32" s="93" t="str">
        <f>IFERROR(VLOOKUP(LeadSum[[#This Row],[Lead]],Thu_W2[],MATCH("Help Line",Thu_W2[#Headers],0),0),"")</f>
        <v/>
      </c>
      <c r="BQ32" s="93" t="str">
        <f>IFERROR(VLOOKUP(LeadSum[[#This Row],[Lead]],Thu_W2[],MATCH("RTA",Thu_W2[#Headers],0),0),"")</f>
        <v/>
      </c>
      <c r="BR32" s="93" t="str">
        <f>IFERROR(VLOOKUP(LeadSum[[#This Row],[Lead]],Thu_W2[],MATCH("Admin",Thu_W2[#Headers],0),0),"")</f>
        <v/>
      </c>
      <c r="BS32" s="93" t="str">
        <f>IFERROR(VLOOKUP(LeadSum[[#This Row],[Lead]],Thu_W2[],MATCH("Team MTG",Thu_W2[#Headers],0),0),"")</f>
        <v/>
      </c>
      <c r="BU32" s="93" t="str">
        <f>IFERROR(VLOOKUP(LeadSum[[#This Row],[Lead]],Fri_W2[],MATCH("Help Line",Fri_W2[#Headers],0),0),"")</f>
        <v/>
      </c>
      <c r="BV32" s="93" t="str">
        <f>IFERROR(VLOOKUP(LeadSum[[#This Row],[Lead]],Fri_W2[],MATCH("RTA",Fri_W2[#Headers],0),0),"")</f>
        <v/>
      </c>
      <c r="BW32" s="93" t="str">
        <f>IFERROR(VLOOKUP(LeadSum[[#This Row],[Lead]],Fri_W2[],MATCH("Admin",Fri_W2[#Headers],0),0),"")</f>
        <v/>
      </c>
      <c r="BX32" s="93" t="str">
        <f>IFERROR(VLOOKUP(LeadSum[[#This Row],[Lead]],Fri_W2[],MATCH("Team MTG",Fri_W2[#Headers],0),0),"")</f>
        <v/>
      </c>
      <c r="BZ32" s="93" t="str">
        <f>IFERROR(VLOOKUP(LeadSum[[#This Row],[Lead]],Sat_W2[],MATCH("Help Line",Sat_W2[#Headers],0),0),"")</f>
        <v/>
      </c>
      <c r="CA32" s="93" t="str">
        <f>IFERROR(VLOOKUP(LeadSum[[#This Row],[Lead]],Sat_W2[],MATCH("RTA",Sat_W2[#Headers],0),0),"")</f>
        <v/>
      </c>
      <c r="CB32" s="93" t="str">
        <f>IFERROR(VLOOKUP(LeadSum[[#This Row],[Lead]],Sat_W2[],MATCH("Admin",Sat_W2[#Headers],0),0),"")</f>
        <v/>
      </c>
      <c r="CC32" s="93" t="str">
        <f>IFERROR(VLOOKUP(LeadSum[[#This Row],[Lead]],Sat_W2[],MATCH("Team MTG",Sat_W2[#Headers],0),0),"")</f>
        <v/>
      </c>
    </row>
    <row r="33" spans="1:81" x14ac:dyDescent="0.2">
      <c r="A33" s="93">
        <f>SUM(LeadSum[[#This Row],[Help Line W1]:[RTA W1]])</f>
        <v>0</v>
      </c>
      <c r="B33" s="108"/>
      <c r="C33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33" s="93">
        <f>SUM(LSum_Sun1[[#This Row],[RTA]],LSum_Mon1[[#This Row],[RTA]],LSum_Tue1[[#This Row],[RTA]],LSum_Wed1[[#This Row],[RTA]],LSum_Thu1[[#This Row],[RTA]],LSum_Fri1[[#This Row],[RTA]],LSum_Sat1[[#This Row],[RTA]])</f>
        <v>0</v>
      </c>
      <c r="E33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33" s="93">
        <f>SUM(LSum_Sun1[[#This Row],[TM]],LSum_Mon1[[#This Row],[TM]],LSum_Tue1[[#This Row],[TM]],LSum_Wed1[[#This Row],[TM]],LSum_Thu1[[#This Row],[TM]],LSum_Fri1[[#This Row],[TM]],LSum_Sat1[[#This Row],[TM]])</f>
        <v>0</v>
      </c>
      <c r="G33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33" s="93">
        <f>SUM(LSum_Sun2[[#This Row],[RTA]],LSum_Mon2[[#This Row],[RTA]],LSum_Tue2[[#This Row],[RTA]],LSum_Wed2[[#This Row],[RTA]],LSum_Thu2[[#This Row],[RTA]],LSum_Fri2[[#This Row],[RTA]],LSum_Sat2[[#This Row],[RTA]])</f>
        <v>0</v>
      </c>
      <c r="I33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33" s="93">
        <f>SUM(LSum_Sun2[[#This Row],[TM]],LSum_Mon2[[#This Row],[TM]],LSum_Tue2[[#This Row],[TM]],LSum_Wed2[[#This Row],[TM]],LSum_Thu2[[#This Row],[TM]],LSum_Fri2[[#This Row],[TM]],LSum_Sat2[[#This Row],[TM]])</f>
        <v>0</v>
      </c>
      <c r="K33" s="93">
        <f>SUM(LeadSum[[#This Row],[Help Line W2]:[RTA W2]])</f>
        <v>0</v>
      </c>
      <c r="L33" s="93"/>
      <c r="M33" s="93" t="str">
        <f>IFERROR(VLOOKUP(LeadSum[[#This Row],[Lead]],Sun_W1[],MATCH("Help Line",Sun_W1[#Headers],0),0),"")</f>
        <v/>
      </c>
      <c r="N33" s="93" t="str">
        <f>IFERROR(VLOOKUP(LeadSum[[#This Row],[Lead]],Sun_W1[],MATCH("RTA",Sun_W1[#Headers],0),0),"")</f>
        <v/>
      </c>
      <c r="O33" s="93" t="str">
        <f>IFERROR(VLOOKUP(LeadSum[[#This Row],[Lead]],Sun_W1[],MATCH("Admin",Sun_W1[#Headers],0),0),"")</f>
        <v/>
      </c>
      <c r="P33" s="93" t="str">
        <f>IFERROR(VLOOKUP(LeadSum[[#This Row],[Lead]],Sun_W1[],MATCH("Team MTG",Sun_W1[#Headers],0),0),"")</f>
        <v/>
      </c>
      <c r="R33" s="93" t="str">
        <f>IFERROR(VLOOKUP(LeadSum[[#This Row],[Lead]],Mon_W1[],MATCH("Help Line",Mon_W1[#Headers],0),0),"")</f>
        <v/>
      </c>
      <c r="S33" s="93" t="str">
        <f>IFERROR(VLOOKUP(LeadSum[[#This Row],[Lead]],Mon_W1[],MATCH("RTA",Mon_W1[#Headers],0),0),"")</f>
        <v/>
      </c>
      <c r="T33" s="93" t="str">
        <f>IFERROR(VLOOKUP(LeadSum[[#This Row],[Lead]],Mon_W1[],MATCH("Admin",Mon_W1[#Headers],0),0),"")</f>
        <v/>
      </c>
      <c r="U33" s="93" t="str">
        <f>IFERROR(VLOOKUP(LeadSum[[#This Row],[Lead]],Mon_W1[],MATCH("Team MTG",Mon_W1[#Headers],0),0),"")</f>
        <v/>
      </c>
      <c r="W33" s="93" t="str">
        <f>IFERROR(VLOOKUP(LeadSum[[#This Row],[Lead]],Tue_W1[],MATCH("Help Line",Tue_W1[#Headers],0),0),"")</f>
        <v/>
      </c>
      <c r="X33" s="93" t="str">
        <f>IFERROR(VLOOKUP(LeadSum[[#This Row],[Lead]],Tue_W1[],MATCH("RTA",Tue_W1[#Headers],0),0),"")</f>
        <v/>
      </c>
      <c r="Y33" s="93" t="str">
        <f>IFERROR(VLOOKUP(LeadSum[[#This Row],[Lead]],Tue_W1[],MATCH("Admin",Tue_W1[#Headers],0),0),"")</f>
        <v/>
      </c>
      <c r="Z33" s="93" t="str">
        <f>IFERROR(VLOOKUP(LeadSum[[#This Row],[Lead]],Tue_W1[],MATCH("Team MTG",Tue_W1[#Headers],0),0),"")</f>
        <v/>
      </c>
      <c r="AB33" s="93" t="str">
        <f>IFERROR(VLOOKUP(LeadSum[[#This Row],[Lead]],Wed_W1[],MATCH("Help Line",Wed_W1[#Headers],0),0),"")</f>
        <v/>
      </c>
      <c r="AC33" s="93" t="str">
        <f>IFERROR(VLOOKUP(LeadSum[[#This Row],[Lead]],Wed_W1[],MATCH("RTA",Wed_W1[#Headers],0),0),"")</f>
        <v/>
      </c>
      <c r="AD33" s="93" t="str">
        <f>IFERROR(VLOOKUP(LeadSum[[#This Row],[Lead]],Wed_W1[],MATCH("Admin",Wed_W1[#Headers],0),0),"")</f>
        <v/>
      </c>
      <c r="AE33" s="93" t="str">
        <f>IFERROR(VLOOKUP(LeadSum[[#This Row],[Lead]],Wed_W1[],MATCH("Team MTG",Wed_W1[#Headers],0),0),"")</f>
        <v/>
      </c>
      <c r="AG33" s="93" t="str">
        <f>IFERROR(VLOOKUP(LeadSum[[#This Row],[Lead]],Thu_W1[],MATCH("Help Line",Thu_W1[#Headers],0),0),"")</f>
        <v/>
      </c>
      <c r="AH33" s="93" t="str">
        <f>IFERROR(VLOOKUP(LeadSum[[#This Row],[Lead]],Thu_W1[],MATCH("RTA",Thu_W1[#Headers],0),0),"")</f>
        <v/>
      </c>
      <c r="AI33" s="93" t="str">
        <f>IFERROR(VLOOKUP(LeadSum[[#This Row],[Lead]],Thu_W1[],MATCH("Admin",Thu_W1[#Headers],0),0),"")</f>
        <v/>
      </c>
      <c r="AJ33" s="93" t="str">
        <f>IFERROR(VLOOKUP(LeadSum[[#This Row],[Lead]],Thu_W1[],MATCH("Team MTG",Thu_W1[#Headers],0),0),"")</f>
        <v/>
      </c>
      <c r="AL33" s="93" t="str">
        <f>IFERROR(VLOOKUP(LeadSum[[#This Row],[Lead]],Fri_W1[],MATCH("Help Line",Fri_W1[#Headers],0),0),"")</f>
        <v/>
      </c>
      <c r="AM33" s="93" t="str">
        <f>IFERROR(VLOOKUP(LeadSum[[#This Row],[Lead]],Fri_W1[],MATCH("RTA",Fri_W1[#Headers],0),0),"")</f>
        <v/>
      </c>
      <c r="AN33" s="93" t="str">
        <f>IFERROR(VLOOKUP(LeadSum[[#This Row],[Lead]],Fri_W1[],MATCH("Admin",Fri_W1[#Headers],0),0),"")</f>
        <v/>
      </c>
      <c r="AO33" s="93" t="str">
        <f>IFERROR(VLOOKUP(LeadSum[[#This Row],[Lead]],Fri_W1[],MATCH("Team MTG",Fri_W1[#Headers],0),0),"")</f>
        <v/>
      </c>
      <c r="AQ33" s="93" t="str">
        <f>IFERROR(VLOOKUP(LeadSum[[#This Row],[Lead]],Sat_W1[],MATCH("Help Line",Sat_W1[#Headers],0),0),"")</f>
        <v/>
      </c>
      <c r="AR33" s="93" t="str">
        <f>IFERROR(VLOOKUP(LeadSum[[#This Row],[Lead]],Sat_W1[],MATCH("RTA",Sat_W1[#Headers],0),0),"")</f>
        <v/>
      </c>
      <c r="AS33" s="93" t="str">
        <f>IFERROR(VLOOKUP(LeadSum[[#This Row],[Lead]],Sat_W1[],MATCH("Admin",Sat_W1[#Headers],0),0),"")</f>
        <v/>
      </c>
      <c r="AT33" s="93" t="str">
        <f>IFERROR(VLOOKUP(LeadSum[[#This Row],[Lead]],Sat_W1[],MATCH("Team MTG",Sat_W1[#Headers],0),0),"")</f>
        <v/>
      </c>
      <c r="AV33" s="93" t="str">
        <f>IFERROR(VLOOKUP(LeadSum[[#This Row],[Lead]],Sun_W2[],MATCH("Help Line",Sun_W2[#Headers],0),0),"")</f>
        <v/>
      </c>
      <c r="AW33" s="93" t="str">
        <f>IFERROR(VLOOKUP(LeadSum[[#This Row],[Lead]],Sun_W2[],MATCH("RTA",Sun_W2[#Headers],0),0),"")</f>
        <v/>
      </c>
      <c r="AX33" s="93" t="str">
        <f>IFERROR(VLOOKUP(LeadSum[[#This Row],[Lead]],Sun_W2[],MATCH("Admin",Sun_W2[#Headers],0),0),"")</f>
        <v/>
      </c>
      <c r="AY33" s="93" t="str">
        <f>IFERROR(VLOOKUP(LeadSum[[#This Row],[Lead]],Sun_W2[],MATCH("Team MTG",Sun_W2[#Headers],0),0),"")</f>
        <v/>
      </c>
      <c r="BA33" s="93" t="str">
        <f>IFERROR(VLOOKUP(LeadSum[[#This Row],[Lead]],Mon_W2[],MATCH("Help Line",Mon_W2[#Headers],0),0),"")</f>
        <v/>
      </c>
      <c r="BB33" s="93" t="str">
        <f>IFERROR(VLOOKUP(LeadSum[[#This Row],[Lead]],Mon_W2[],MATCH("RTA",Mon_W2[#Headers],0),0),"")</f>
        <v/>
      </c>
      <c r="BC33" s="93" t="str">
        <f>IFERROR(VLOOKUP(LeadSum[[#This Row],[Lead]],Mon_W2[],MATCH("Admin",Mon_W2[#Headers],0),0),"")</f>
        <v/>
      </c>
      <c r="BD33" s="93" t="str">
        <f>IFERROR(VLOOKUP(LeadSum[[#This Row],[Lead]],Mon_W2[],MATCH("Team MTG",Mon_W2[#Headers],0),0),"")</f>
        <v/>
      </c>
      <c r="BF33" s="93" t="str">
        <f>IFERROR(VLOOKUP(LeadSum[[#This Row],[Lead]],Tue_W2[],MATCH("Help Line",Tue_W2[#Headers],0),0),"")</f>
        <v/>
      </c>
      <c r="BG33" s="93" t="str">
        <f>IFERROR(VLOOKUP(LeadSum[[#This Row],[Lead]],Tue_W2[],MATCH("RTA",Tue_W2[#Headers],0),0),"")</f>
        <v/>
      </c>
      <c r="BH33" s="93" t="str">
        <f>IFERROR(VLOOKUP(LeadSum[[#This Row],[Lead]],Tue_W2[],MATCH("Admin",Tue_W2[#Headers],0),0),"")</f>
        <v/>
      </c>
      <c r="BI33" s="93" t="str">
        <f>IFERROR(VLOOKUP(LeadSum[[#This Row],[Lead]],Tue_W2[],MATCH("Team MTG",Tue_W2[#Headers],0),0),"")</f>
        <v/>
      </c>
      <c r="BK33" s="93" t="str">
        <f>IFERROR(VLOOKUP(LeadSum[[#This Row],[Lead]],Wed_W2[],MATCH("Help Line",Wed_W2[#Headers],0),0),"")</f>
        <v/>
      </c>
      <c r="BL33" s="93" t="str">
        <f>IFERROR(VLOOKUP(LeadSum[[#This Row],[Lead]],Wed_W2[],MATCH("RTA",Wed_W2[#Headers],0),0),"")</f>
        <v/>
      </c>
      <c r="BM33" s="93" t="str">
        <f>IFERROR(VLOOKUP(LeadSum[[#This Row],[Lead]],Wed_W2[],MATCH("Admin",Wed_W2[#Headers],0),0),"")</f>
        <v/>
      </c>
      <c r="BN33" s="93" t="str">
        <f>IFERROR(VLOOKUP(LeadSum[[#This Row],[Lead]],Wed_W2[],MATCH("Team MTG",Wed_W2[#Headers],0),0),"")</f>
        <v/>
      </c>
      <c r="BP33" s="93" t="str">
        <f>IFERROR(VLOOKUP(LeadSum[[#This Row],[Lead]],Thu_W2[],MATCH("Help Line",Thu_W2[#Headers],0),0),"")</f>
        <v/>
      </c>
      <c r="BQ33" s="93" t="str">
        <f>IFERROR(VLOOKUP(LeadSum[[#This Row],[Lead]],Thu_W2[],MATCH("RTA",Thu_W2[#Headers],0),0),"")</f>
        <v/>
      </c>
      <c r="BR33" s="93" t="str">
        <f>IFERROR(VLOOKUP(LeadSum[[#This Row],[Lead]],Thu_W2[],MATCH("Admin",Thu_W2[#Headers],0),0),"")</f>
        <v/>
      </c>
      <c r="BS33" s="93" t="str">
        <f>IFERROR(VLOOKUP(LeadSum[[#This Row],[Lead]],Thu_W2[],MATCH("Team MTG",Thu_W2[#Headers],0),0),"")</f>
        <v/>
      </c>
      <c r="BU33" s="93" t="str">
        <f>IFERROR(VLOOKUP(LeadSum[[#This Row],[Lead]],Fri_W2[],MATCH("Help Line",Fri_W2[#Headers],0),0),"")</f>
        <v/>
      </c>
      <c r="BV33" s="93" t="str">
        <f>IFERROR(VLOOKUP(LeadSum[[#This Row],[Lead]],Fri_W2[],MATCH("RTA",Fri_W2[#Headers],0),0),"")</f>
        <v/>
      </c>
      <c r="BW33" s="93" t="str">
        <f>IFERROR(VLOOKUP(LeadSum[[#This Row],[Lead]],Fri_W2[],MATCH("Admin",Fri_W2[#Headers],0),0),"")</f>
        <v/>
      </c>
      <c r="BX33" s="93" t="str">
        <f>IFERROR(VLOOKUP(LeadSum[[#This Row],[Lead]],Fri_W2[],MATCH("Team MTG",Fri_W2[#Headers],0),0),"")</f>
        <v/>
      </c>
      <c r="BZ33" s="93" t="str">
        <f>IFERROR(VLOOKUP(LeadSum[[#This Row],[Lead]],Sat_W2[],MATCH("Help Line",Sat_W2[#Headers],0),0),"")</f>
        <v/>
      </c>
      <c r="CA33" s="93" t="str">
        <f>IFERROR(VLOOKUP(LeadSum[[#This Row],[Lead]],Sat_W2[],MATCH("RTA",Sat_W2[#Headers],0),0),"")</f>
        <v/>
      </c>
      <c r="CB33" s="93" t="str">
        <f>IFERROR(VLOOKUP(LeadSum[[#This Row],[Lead]],Sat_W2[],MATCH("Admin",Sat_W2[#Headers],0),0),"")</f>
        <v/>
      </c>
      <c r="CC33" s="93" t="str">
        <f>IFERROR(VLOOKUP(LeadSum[[#This Row],[Lead]],Sat_W2[],MATCH("Team MTG",Sat_W2[#Headers],0),0),"")</f>
        <v/>
      </c>
    </row>
    <row r="34" spans="1:81" x14ac:dyDescent="0.2">
      <c r="A34" s="93">
        <f>SUM(LeadSum[[#This Row],[Help Line W1]:[RTA W1]])</f>
        <v>0</v>
      </c>
      <c r="B34" s="108"/>
      <c r="C34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34" s="93">
        <f>SUM(LSum_Sun1[[#This Row],[RTA]],LSum_Mon1[[#This Row],[RTA]],LSum_Tue1[[#This Row],[RTA]],LSum_Wed1[[#This Row],[RTA]],LSum_Thu1[[#This Row],[RTA]],LSum_Fri1[[#This Row],[RTA]],LSum_Sat1[[#This Row],[RTA]])</f>
        <v>0</v>
      </c>
      <c r="E34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34" s="93">
        <f>SUM(LSum_Sun1[[#This Row],[TM]],LSum_Mon1[[#This Row],[TM]],LSum_Tue1[[#This Row],[TM]],LSum_Wed1[[#This Row],[TM]],LSum_Thu1[[#This Row],[TM]],LSum_Fri1[[#This Row],[TM]],LSum_Sat1[[#This Row],[TM]])</f>
        <v>0</v>
      </c>
      <c r="G34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34" s="93">
        <f>SUM(LSum_Sun2[[#This Row],[RTA]],LSum_Mon2[[#This Row],[RTA]],LSum_Tue2[[#This Row],[RTA]],LSum_Wed2[[#This Row],[RTA]],LSum_Thu2[[#This Row],[RTA]],LSum_Fri2[[#This Row],[RTA]],LSum_Sat2[[#This Row],[RTA]])</f>
        <v>0</v>
      </c>
      <c r="I34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34" s="93">
        <f>SUM(LSum_Sun2[[#This Row],[TM]],LSum_Mon2[[#This Row],[TM]],LSum_Tue2[[#This Row],[TM]],LSum_Wed2[[#This Row],[TM]],LSum_Thu2[[#This Row],[TM]],LSum_Fri2[[#This Row],[TM]],LSum_Sat2[[#This Row],[TM]])</f>
        <v>0</v>
      </c>
      <c r="K34" s="93">
        <f>SUM(LeadSum[[#This Row],[Help Line W2]:[RTA W2]])</f>
        <v>0</v>
      </c>
      <c r="L34" s="93"/>
      <c r="M34" s="93" t="str">
        <f>IFERROR(VLOOKUP(LeadSum[[#This Row],[Lead]],Sun_W1[],MATCH("Help Line",Sun_W1[#Headers],0),0),"")</f>
        <v/>
      </c>
      <c r="N34" s="93" t="str">
        <f>IFERROR(VLOOKUP(LeadSum[[#This Row],[Lead]],Sun_W1[],MATCH("RTA",Sun_W1[#Headers],0),0),"")</f>
        <v/>
      </c>
      <c r="O34" s="93" t="str">
        <f>IFERROR(VLOOKUP(LeadSum[[#This Row],[Lead]],Sun_W1[],MATCH("Admin",Sun_W1[#Headers],0),0),"")</f>
        <v/>
      </c>
      <c r="P34" s="93" t="str">
        <f>IFERROR(VLOOKUP(LeadSum[[#This Row],[Lead]],Sun_W1[],MATCH("Team MTG",Sun_W1[#Headers],0),0),"")</f>
        <v/>
      </c>
      <c r="R34" s="93" t="str">
        <f>IFERROR(VLOOKUP(LeadSum[[#This Row],[Lead]],Mon_W1[],MATCH("Help Line",Mon_W1[#Headers],0),0),"")</f>
        <v/>
      </c>
      <c r="S34" s="93" t="str">
        <f>IFERROR(VLOOKUP(LeadSum[[#This Row],[Lead]],Mon_W1[],MATCH("RTA",Mon_W1[#Headers],0),0),"")</f>
        <v/>
      </c>
      <c r="T34" s="93" t="str">
        <f>IFERROR(VLOOKUP(LeadSum[[#This Row],[Lead]],Mon_W1[],MATCH("Admin",Mon_W1[#Headers],0),0),"")</f>
        <v/>
      </c>
      <c r="U34" s="93" t="str">
        <f>IFERROR(VLOOKUP(LeadSum[[#This Row],[Lead]],Mon_W1[],MATCH("Team MTG",Mon_W1[#Headers],0),0),"")</f>
        <v/>
      </c>
      <c r="W34" s="93" t="str">
        <f>IFERROR(VLOOKUP(LeadSum[[#This Row],[Lead]],Tue_W1[],MATCH("Help Line",Tue_W1[#Headers],0),0),"")</f>
        <v/>
      </c>
      <c r="X34" s="93" t="str">
        <f>IFERROR(VLOOKUP(LeadSum[[#This Row],[Lead]],Tue_W1[],MATCH("RTA",Tue_W1[#Headers],0),0),"")</f>
        <v/>
      </c>
      <c r="Y34" s="93" t="str">
        <f>IFERROR(VLOOKUP(LeadSum[[#This Row],[Lead]],Tue_W1[],MATCH("Admin",Tue_W1[#Headers],0),0),"")</f>
        <v/>
      </c>
      <c r="Z34" s="93" t="str">
        <f>IFERROR(VLOOKUP(LeadSum[[#This Row],[Lead]],Tue_W1[],MATCH("Team MTG",Tue_W1[#Headers],0),0),"")</f>
        <v/>
      </c>
      <c r="AB34" s="93" t="str">
        <f>IFERROR(VLOOKUP(LeadSum[[#This Row],[Lead]],Wed_W1[],MATCH("Help Line",Wed_W1[#Headers],0),0),"")</f>
        <v/>
      </c>
      <c r="AC34" s="93" t="str">
        <f>IFERROR(VLOOKUP(LeadSum[[#This Row],[Lead]],Wed_W1[],MATCH("RTA",Wed_W1[#Headers],0),0),"")</f>
        <v/>
      </c>
      <c r="AD34" s="93" t="str">
        <f>IFERROR(VLOOKUP(LeadSum[[#This Row],[Lead]],Wed_W1[],MATCH("Admin",Wed_W1[#Headers],0),0),"")</f>
        <v/>
      </c>
      <c r="AE34" s="93" t="str">
        <f>IFERROR(VLOOKUP(LeadSum[[#This Row],[Lead]],Wed_W1[],MATCH("Team MTG",Wed_W1[#Headers],0),0),"")</f>
        <v/>
      </c>
      <c r="AG34" s="93" t="str">
        <f>IFERROR(VLOOKUP(LeadSum[[#This Row],[Lead]],Thu_W1[],MATCH("Help Line",Thu_W1[#Headers],0),0),"")</f>
        <v/>
      </c>
      <c r="AH34" s="93" t="str">
        <f>IFERROR(VLOOKUP(LeadSum[[#This Row],[Lead]],Thu_W1[],MATCH("RTA",Thu_W1[#Headers],0),0),"")</f>
        <v/>
      </c>
      <c r="AI34" s="93" t="str">
        <f>IFERROR(VLOOKUP(LeadSum[[#This Row],[Lead]],Thu_W1[],MATCH("Admin",Thu_W1[#Headers],0),0),"")</f>
        <v/>
      </c>
      <c r="AJ34" s="93" t="str">
        <f>IFERROR(VLOOKUP(LeadSum[[#This Row],[Lead]],Thu_W1[],MATCH("Team MTG",Thu_W1[#Headers],0),0),"")</f>
        <v/>
      </c>
      <c r="AL34" s="93" t="str">
        <f>IFERROR(VLOOKUP(LeadSum[[#This Row],[Lead]],Fri_W1[],MATCH("Help Line",Fri_W1[#Headers],0),0),"")</f>
        <v/>
      </c>
      <c r="AM34" s="93" t="str">
        <f>IFERROR(VLOOKUP(LeadSum[[#This Row],[Lead]],Fri_W1[],MATCH("RTA",Fri_W1[#Headers],0),0),"")</f>
        <v/>
      </c>
      <c r="AN34" s="93" t="str">
        <f>IFERROR(VLOOKUP(LeadSum[[#This Row],[Lead]],Fri_W1[],MATCH("Admin",Fri_W1[#Headers],0),0),"")</f>
        <v/>
      </c>
      <c r="AO34" s="93" t="str">
        <f>IFERROR(VLOOKUP(LeadSum[[#This Row],[Lead]],Fri_W1[],MATCH("Team MTG",Fri_W1[#Headers],0),0),"")</f>
        <v/>
      </c>
      <c r="AQ34" s="93" t="str">
        <f>IFERROR(VLOOKUP(LeadSum[[#This Row],[Lead]],Sat_W1[],MATCH("Help Line",Sat_W1[#Headers],0),0),"")</f>
        <v/>
      </c>
      <c r="AR34" s="93" t="str">
        <f>IFERROR(VLOOKUP(LeadSum[[#This Row],[Lead]],Sat_W1[],MATCH("RTA",Sat_W1[#Headers],0),0),"")</f>
        <v/>
      </c>
      <c r="AS34" s="93" t="str">
        <f>IFERROR(VLOOKUP(LeadSum[[#This Row],[Lead]],Sat_W1[],MATCH("Admin",Sat_W1[#Headers],0),0),"")</f>
        <v/>
      </c>
      <c r="AT34" s="93" t="str">
        <f>IFERROR(VLOOKUP(LeadSum[[#This Row],[Lead]],Sat_W1[],MATCH("Team MTG",Sat_W1[#Headers],0),0),"")</f>
        <v/>
      </c>
      <c r="AV34" s="93" t="str">
        <f>IFERROR(VLOOKUP(LeadSum[[#This Row],[Lead]],Sun_W2[],MATCH("Help Line",Sun_W2[#Headers],0),0),"")</f>
        <v/>
      </c>
      <c r="AW34" s="93" t="str">
        <f>IFERROR(VLOOKUP(LeadSum[[#This Row],[Lead]],Sun_W2[],MATCH("RTA",Sun_W2[#Headers],0),0),"")</f>
        <v/>
      </c>
      <c r="AX34" s="93" t="str">
        <f>IFERROR(VLOOKUP(LeadSum[[#This Row],[Lead]],Sun_W2[],MATCH("Admin",Sun_W2[#Headers],0),0),"")</f>
        <v/>
      </c>
      <c r="AY34" s="93" t="str">
        <f>IFERROR(VLOOKUP(LeadSum[[#This Row],[Lead]],Sun_W2[],MATCH("Team MTG",Sun_W2[#Headers],0),0),"")</f>
        <v/>
      </c>
      <c r="BA34" s="93" t="str">
        <f>IFERROR(VLOOKUP(LeadSum[[#This Row],[Lead]],Mon_W2[],MATCH("Help Line",Mon_W2[#Headers],0),0),"")</f>
        <v/>
      </c>
      <c r="BB34" s="93" t="str">
        <f>IFERROR(VLOOKUP(LeadSum[[#This Row],[Lead]],Mon_W2[],MATCH("RTA",Mon_W2[#Headers],0),0),"")</f>
        <v/>
      </c>
      <c r="BC34" s="93" t="str">
        <f>IFERROR(VLOOKUP(LeadSum[[#This Row],[Lead]],Mon_W2[],MATCH("Admin",Mon_W2[#Headers],0),0),"")</f>
        <v/>
      </c>
      <c r="BD34" s="93" t="str">
        <f>IFERROR(VLOOKUP(LeadSum[[#This Row],[Lead]],Mon_W2[],MATCH("Team MTG",Mon_W2[#Headers],0),0),"")</f>
        <v/>
      </c>
      <c r="BF34" s="93" t="str">
        <f>IFERROR(VLOOKUP(LeadSum[[#This Row],[Lead]],Tue_W2[],MATCH("Help Line",Tue_W2[#Headers],0),0),"")</f>
        <v/>
      </c>
      <c r="BG34" s="93" t="str">
        <f>IFERROR(VLOOKUP(LeadSum[[#This Row],[Lead]],Tue_W2[],MATCH("RTA",Tue_W2[#Headers],0),0),"")</f>
        <v/>
      </c>
      <c r="BH34" s="93" t="str">
        <f>IFERROR(VLOOKUP(LeadSum[[#This Row],[Lead]],Tue_W2[],MATCH("Admin",Tue_W2[#Headers],0),0),"")</f>
        <v/>
      </c>
      <c r="BI34" s="93" t="str">
        <f>IFERROR(VLOOKUP(LeadSum[[#This Row],[Lead]],Tue_W2[],MATCH("Team MTG",Tue_W2[#Headers],0),0),"")</f>
        <v/>
      </c>
      <c r="BK34" s="93" t="str">
        <f>IFERROR(VLOOKUP(LeadSum[[#This Row],[Lead]],Wed_W2[],MATCH("Help Line",Wed_W2[#Headers],0),0),"")</f>
        <v/>
      </c>
      <c r="BL34" s="93" t="str">
        <f>IFERROR(VLOOKUP(LeadSum[[#This Row],[Lead]],Wed_W2[],MATCH("RTA",Wed_W2[#Headers],0),0),"")</f>
        <v/>
      </c>
      <c r="BM34" s="93" t="str">
        <f>IFERROR(VLOOKUP(LeadSum[[#This Row],[Lead]],Wed_W2[],MATCH("Admin",Wed_W2[#Headers],0),0),"")</f>
        <v/>
      </c>
      <c r="BN34" s="93" t="str">
        <f>IFERROR(VLOOKUP(LeadSum[[#This Row],[Lead]],Wed_W2[],MATCH("Team MTG",Wed_W2[#Headers],0),0),"")</f>
        <v/>
      </c>
      <c r="BP34" s="93" t="str">
        <f>IFERROR(VLOOKUP(LeadSum[[#This Row],[Lead]],Thu_W2[],MATCH("Help Line",Thu_W2[#Headers],0),0),"")</f>
        <v/>
      </c>
      <c r="BQ34" s="93" t="str">
        <f>IFERROR(VLOOKUP(LeadSum[[#This Row],[Lead]],Thu_W2[],MATCH("RTA",Thu_W2[#Headers],0),0),"")</f>
        <v/>
      </c>
      <c r="BR34" s="93" t="str">
        <f>IFERROR(VLOOKUP(LeadSum[[#This Row],[Lead]],Thu_W2[],MATCH("Admin",Thu_W2[#Headers],0),0),"")</f>
        <v/>
      </c>
      <c r="BS34" s="93" t="str">
        <f>IFERROR(VLOOKUP(LeadSum[[#This Row],[Lead]],Thu_W2[],MATCH("Team MTG",Thu_W2[#Headers],0),0),"")</f>
        <v/>
      </c>
      <c r="BU34" s="93" t="str">
        <f>IFERROR(VLOOKUP(LeadSum[[#This Row],[Lead]],Fri_W2[],MATCH("Help Line",Fri_W2[#Headers],0),0),"")</f>
        <v/>
      </c>
      <c r="BV34" s="93" t="str">
        <f>IFERROR(VLOOKUP(LeadSum[[#This Row],[Lead]],Fri_W2[],MATCH("RTA",Fri_W2[#Headers],0),0),"")</f>
        <v/>
      </c>
      <c r="BW34" s="93" t="str">
        <f>IFERROR(VLOOKUP(LeadSum[[#This Row],[Lead]],Fri_W2[],MATCH("Admin",Fri_W2[#Headers],0),0),"")</f>
        <v/>
      </c>
      <c r="BX34" s="93" t="str">
        <f>IFERROR(VLOOKUP(LeadSum[[#This Row],[Lead]],Fri_W2[],MATCH("Team MTG",Fri_W2[#Headers],0),0),"")</f>
        <v/>
      </c>
      <c r="BZ34" s="93" t="str">
        <f>IFERROR(VLOOKUP(LeadSum[[#This Row],[Lead]],Sat_W2[],MATCH("Help Line",Sat_W2[#Headers],0),0),"")</f>
        <v/>
      </c>
      <c r="CA34" s="93" t="str">
        <f>IFERROR(VLOOKUP(LeadSum[[#This Row],[Lead]],Sat_W2[],MATCH("RTA",Sat_W2[#Headers],0),0),"")</f>
        <v/>
      </c>
      <c r="CB34" s="93" t="str">
        <f>IFERROR(VLOOKUP(LeadSum[[#This Row],[Lead]],Sat_W2[],MATCH("Admin",Sat_W2[#Headers],0),0),"")</f>
        <v/>
      </c>
      <c r="CC34" s="93" t="str">
        <f>IFERROR(VLOOKUP(LeadSum[[#This Row],[Lead]],Sat_W2[],MATCH("Team MTG",Sat_W2[#Headers],0),0),"")</f>
        <v/>
      </c>
    </row>
    <row r="35" spans="1:81" x14ac:dyDescent="0.2">
      <c r="A35" s="93">
        <f>SUM(LeadSum[[#This Row],[Help Line W1]:[RTA W1]])</f>
        <v>0</v>
      </c>
      <c r="B35" s="108"/>
      <c r="C35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35" s="93">
        <f>SUM(LSum_Sun1[[#This Row],[RTA]],LSum_Mon1[[#This Row],[RTA]],LSum_Tue1[[#This Row],[RTA]],LSum_Wed1[[#This Row],[RTA]],LSum_Thu1[[#This Row],[RTA]],LSum_Fri1[[#This Row],[RTA]],LSum_Sat1[[#This Row],[RTA]])</f>
        <v>0</v>
      </c>
      <c r="E35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35" s="93">
        <f>SUM(LSum_Sun1[[#This Row],[TM]],LSum_Mon1[[#This Row],[TM]],LSum_Tue1[[#This Row],[TM]],LSum_Wed1[[#This Row],[TM]],LSum_Thu1[[#This Row],[TM]],LSum_Fri1[[#This Row],[TM]],LSum_Sat1[[#This Row],[TM]])</f>
        <v>0</v>
      </c>
      <c r="G35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35" s="93">
        <f>SUM(LSum_Sun2[[#This Row],[RTA]],LSum_Mon2[[#This Row],[RTA]],LSum_Tue2[[#This Row],[RTA]],LSum_Wed2[[#This Row],[RTA]],LSum_Thu2[[#This Row],[RTA]],LSum_Fri2[[#This Row],[RTA]],LSum_Sat2[[#This Row],[RTA]])</f>
        <v>0</v>
      </c>
      <c r="I35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35" s="93">
        <f>SUM(LSum_Sun2[[#This Row],[TM]],LSum_Mon2[[#This Row],[TM]],LSum_Tue2[[#This Row],[TM]],LSum_Wed2[[#This Row],[TM]],LSum_Thu2[[#This Row],[TM]],LSum_Fri2[[#This Row],[TM]],LSum_Sat2[[#This Row],[TM]])</f>
        <v>0</v>
      </c>
      <c r="K35" s="93">
        <f>SUM(LeadSum[[#This Row],[Help Line W2]:[RTA W2]])</f>
        <v>0</v>
      </c>
      <c r="L35" s="93"/>
      <c r="M35" s="93" t="str">
        <f>IFERROR(VLOOKUP(LeadSum[[#This Row],[Lead]],Sun_W1[],MATCH("Help Line",Sun_W1[#Headers],0),0),"")</f>
        <v/>
      </c>
      <c r="N35" s="93" t="str">
        <f>IFERROR(VLOOKUP(LeadSum[[#This Row],[Lead]],Sun_W1[],MATCH("RTA",Sun_W1[#Headers],0),0),"")</f>
        <v/>
      </c>
      <c r="O35" s="93" t="str">
        <f>IFERROR(VLOOKUP(LeadSum[[#This Row],[Lead]],Sun_W1[],MATCH("Admin",Sun_W1[#Headers],0),0),"")</f>
        <v/>
      </c>
      <c r="P35" s="93" t="str">
        <f>IFERROR(VLOOKUP(LeadSum[[#This Row],[Lead]],Sun_W1[],MATCH("Team MTG",Sun_W1[#Headers],0),0),"")</f>
        <v/>
      </c>
      <c r="R35" s="93" t="str">
        <f>IFERROR(VLOOKUP(LeadSum[[#This Row],[Lead]],Mon_W1[],MATCH("Help Line",Mon_W1[#Headers],0),0),"")</f>
        <v/>
      </c>
      <c r="S35" s="93" t="str">
        <f>IFERROR(VLOOKUP(LeadSum[[#This Row],[Lead]],Mon_W1[],MATCH("RTA",Mon_W1[#Headers],0),0),"")</f>
        <v/>
      </c>
      <c r="T35" s="93" t="str">
        <f>IFERROR(VLOOKUP(LeadSum[[#This Row],[Lead]],Mon_W1[],MATCH("Admin",Mon_W1[#Headers],0),0),"")</f>
        <v/>
      </c>
      <c r="U35" s="93" t="str">
        <f>IFERROR(VLOOKUP(LeadSum[[#This Row],[Lead]],Mon_W1[],MATCH("Team MTG",Mon_W1[#Headers],0),0),"")</f>
        <v/>
      </c>
      <c r="W35" s="93" t="str">
        <f>IFERROR(VLOOKUP(LeadSum[[#This Row],[Lead]],Tue_W1[],MATCH("Help Line",Tue_W1[#Headers],0),0),"")</f>
        <v/>
      </c>
      <c r="X35" s="93" t="str">
        <f>IFERROR(VLOOKUP(LeadSum[[#This Row],[Lead]],Tue_W1[],MATCH("RTA",Tue_W1[#Headers],0),0),"")</f>
        <v/>
      </c>
      <c r="Y35" s="93" t="str">
        <f>IFERROR(VLOOKUP(LeadSum[[#This Row],[Lead]],Tue_W1[],MATCH("Admin",Tue_W1[#Headers],0),0),"")</f>
        <v/>
      </c>
      <c r="Z35" s="93" t="str">
        <f>IFERROR(VLOOKUP(LeadSum[[#This Row],[Lead]],Tue_W1[],MATCH("Team MTG",Tue_W1[#Headers],0),0),"")</f>
        <v/>
      </c>
      <c r="AB35" s="93" t="str">
        <f>IFERROR(VLOOKUP(LeadSum[[#This Row],[Lead]],Wed_W1[],MATCH("Help Line",Wed_W1[#Headers],0),0),"")</f>
        <v/>
      </c>
      <c r="AC35" s="93" t="str">
        <f>IFERROR(VLOOKUP(LeadSum[[#This Row],[Lead]],Wed_W1[],MATCH("RTA",Wed_W1[#Headers],0),0),"")</f>
        <v/>
      </c>
      <c r="AD35" s="93" t="str">
        <f>IFERROR(VLOOKUP(LeadSum[[#This Row],[Lead]],Wed_W1[],MATCH("Admin",Wed_W1[#Headers],0),0),"")</f>
        <v/>
      </c>
      <c r="AE35" s="93" t="str">
        <f>IFERROR(VLOOKUP(LeadSum[[#This Row],[Lead]],Wed_W1[],MATCH("Team MTG",Wed_W1[#Headers],0),0),"")</f>
        <v/>
      </c>
      <c r="AG35" s="93" t="str">
        <f>IFERROR(VLOOKUP(LeadSum[[#This Row],[Lead]],Thu_W1[],MATCH("Help Line",Thu_W1[#Headers],0),0),"")</f>
        <v/>
      </c>
      <c r="AH35" s="93" t="str">
        <f>IFERROR(VLOOKUP(LeadSum[[#This Row],[Lead]],Thu_W1[],MATCH("RTA",Thu_W1[#Headers],0),0),"")</f>
        <v/>
      </c>
      <c r="AI35" s="93" t="str">
        <f>IFERROR(VLOOKUP(LeadSum[[#This Row],[Lead]],Thu_W1[],MATCH("Admin",Thu_W1[#Headers],0),0),"")</f>
        <v/>
      </c>
      <c r="AJ35" s="93" t="str">
        <f>IFERROR(VLOOKUP(LeadSum[[#This Row],[Lead]],Thu_W1[],MATCH("Team MTG",Thu_W1[#Headers],0),0),"")</f>
        <v/>
      </c>
      <c r="AL35" s="93" t="str">
        <f>IFERROR(VLOOKUP(LeadSum[[#This Row],[Lead]],Fri_W1[],MATCH("Help Line",Fri_W1[#Headers],0),0),"")</f>
        <v/>
      </c>
      <c r="AM35" s="93" t="str">
        <f>IFERROR(VLOOKUP(LeadSum[[#This Row],[Lead]],Fri_W1[],MATCH("RTA",Fri_W1[#Headers],0),0),"")</f>
        <v/>
      </c>
      <c r="AN35" s="93" t="str">
        <f>IFERROR(VLOOKUP(LeadSum[[#This Row],[Lead]],Fri_W1[],MATCH("Admin",Fri_W1[#Headers],0),0),"")</f>
        <v/>
      </c>
      <c r="AO35" s="93" t="str">
        <f>IFERROR(VLOOKUP(LeadSum[[#This Row],[Lead]],Fri_W1[],MATCH("Team MTG",Fri_W1[#Headers],0),0),"")</f>
        <v/>
      </c>
      <c r="AQ35" s="93" t="str">
        <f>IFERROR(VLOOKUP(LeadSum[[#This Row],[Lead]],Sat_W1[],MATCH("Help Line",Sat_W1[#Headers],0),0),"")</f>
        <v/>
      </c>
      <c r="AR35" s="93" t="str">
        <f>IFERROR(VLOOKUP(LeadSum[[#This Row],[Lead]],Sat_W1[],MATCH("RTA",Sat_W1[#Headers],0),0),"")</f>
        <v/>
      </c>
      <c r="AS35" s="93" t="str">
        <f>IFERROR(VLOOKUP(LeadSum[[#This Row],[Lead]],Sat_W1[],MATCH("Admin",Sat_W1[#Headers],0),0),"")</f>
        <v/>
      </c>
      <c r="AT35" s="93" t="str">
        <f>IFERROR(VLOOKUP(LeadSum[[#This Row],[Lead]],Sat_W1[],MATCH("Team MTG",Sat_W1[#Headers],0),0),"")</f>
        <v/>
      </c>
      <c r="AV35" s="93" t="str">
        <f>IFERROR(VLOOKUP(LeadSum[[#This Row],[Lead]],Sun_W2[],MATCH("Help Line",Sun_W2[#Headers],0),0),"")</f>
        <v/>
      </c>
      <c r="AW35" s="93" t="str">
        <f>IFERROR(VLOOKUP(LeadSum[[#This Row],[Lead]],Sun_W2[],MATCH("RTA",Sun_W2[#Headers],0),0),"")</f>
        <v/>
      </c>
      <c r="AX35" s="93" t="str">
        <f>IFERROR(VLOOKUP(LeadSum[[#This Row],[Lead]],Sun_W2[],MATCH("Admin",Sun_W2[#Headers],0),0),"")</f>
        <v/>
      </c>
      <c r="AY35" s="93" t="str">
        <f>IFERROR(VLOOKUP(LeadSum[[#This Row],[Lead]],Sun_W2[],MATCH("Team MTG",Sun_W2[#Headers],0),0),"")</f>
        <v/>
      </c>
      <c r="BA35" s="93" t="str">
        <f>IFERROR(VLOOKUP(LeadSum[[#This Row],[Lead]],Mon_W2[],MATCH("Help Line",Mon_W2[#Headers],0),0),"")</f>
        <v/>
      </c>
      <c r="BB35" s="93" t="str">
        <f>IFERROR(VLOOKUP(LeadSum[[#This Row],[Lead]],Mon_W2[],MATCH("RTA",Mon_W2[#Headers],0),0),"")</f>
        <v/>
      </c>
      <c r="BC35" s="93" t="str">
        <f>IFERROR(VLOOKUP(LeadSum[[#This Row],[Lead]],Mon_W2[],MATCH("Admin",Mon_W2[#Headers],0),0),"")</f>
        <v/>
      </c>
      <c r="BD35" s="93" t="str">
        <f>IFERROR(VLOOKUP(LeadSum[[#This Row],[Lead]],Mon_W2[],MATCH("Team MTG",Mon_W2[#Headers],0),0),"")</f>
        <v/>
      </c>
      <c r="BF35" s="93" t="str">
        <f>IFERROR(VLOOKUP(LeadSum[[#This Row],[Lead]],Tue_W2[],MATCH("Help Line",Tue_W2[#Headers],0),0),"")</f>
        <v/>
      </c>
      <c r="BG35" s="93" t="str">
        <f>IFERROR(VLOOKUP(LeadSum[[#This Row],[Lead]],Tue_W2[],MATCH("RTA",Tue_W2[#Headers],0),0),"")</f>
        <v/>
      </c>
      <c r="BH35" s="93" t="str">
        <f>IFERROR(VLOOKUP(LeadSum[[#This Row],[Lead]],Tue_W2[],MATCH("Admin",Tue_W2[#Headers],0),0),"")</f>
        <v/>
      </c>
      <c r="BI35" s="93" t="str">
        <f>IFERROR(VLOOKUP(LeadSum[[#This Row],[Lead]],Tue_W2[],MATCH("Team MTG",Tue_W2[#Headers],0),0),"")</f>
        <v/>
      </c>
      <c r="BK35" s="93" t="str">
        <f>IFERROR(VLOOKUP(LeadSum[[#This Row],[Lead]],Wed_W2[],MATCH("Help Line",Wed_W2[#Headers],0),0),"")</f>
        <v/>
      </c>
      <c r="BL35" s="93" t="str">
        <f>IFERROR(VLOOKUP(LeadSum[[#This Row],[Lead]],Wed_W2[],MATCH("RTA",Wed_W2[#Headers],0),0),"")</f>
        <v/>
      </c>
      <c r="BM35" s="93" t="str">
        <f>IFERROR(VLOOKUP(LeadSum[[#This Row],[Lead]],Wed_W2[],MATCH("Admin",Wed_W2[#Headers],0),0),"")</f>
        <v/>
      </c>
      <c r="BN35" s="93" t="str">
        <f>IFERROR(VLOOKUP(LeadSum[[#This Row],[Lead]],Wed_W2[],MATCH("Team MTG",Wed_W2[#Headers],0),0),"")</f>
        <v/>
      </c>
      <c r="BP35" s="93" t="str">
        <f>IFERROR(VLOOKUP(LeadSum[[#This Row],[Lead]],Thu_W2[],MATCH("Help Line",Thu_W2[#Headers],0),0),"")</f>
        <v/>
      </c>
      <c r="BQ35" s="93" t="str">
        <f>IFERROR(VLOOKUP(LeadSum[[#This Row],[Lead]],Thu_W2[],MATCH("RTA",Thu_W2[#Headers],0),0),"")</f>
        <v/>
      </c>
      <c r="BR35" s="93" t="str">
        <f>IFERROR(VLOOKUP(LeadSum[[#This Row],[Lead]],Thu_W2[],MATCH("Admin",Thu_W2[#Headers],0),0),"")</f>
        <v/>
      </c>
      <c r="BS35" s="93" t="str">
        <f>IFERROR(VLOOKUP(LeadSum[[#This Row],[Lead]],Thu_W2[],MATCH("Team MTG",Thu_W2[#Headers],0),0),"")</f>
        <v/>
      </c>
      <c r="BU35" s="93" t="str">
        <f>IFERROR(VLOOKUP(LeadSum[[#This Row],[Lead]],Fri_W2[],MATCH("Help Line",Fri_W2[#Headers],0),0),"")</f>
        <v/>
      </c>
      <c r="BV35" s="93" t="str">
        <f>IFERROR(VLOOKUP(LeadSum[[#This Row],[Lead]],Fri_W2[],MATCH("RTA",Fri_W2[#Headers],0),0),"")</f>
        <v/>
      </c>
      <c r="BW35" s="93" t="str">
        <f>IFERROR(VLOOKUP(LeadSum[[#This Row],[Lead]],Fri_W2[],MATCH("Admin",Fri_W2[#Headers],0),0),"")</f>
        <v/>
      </c>
      <c r="BX35" s="93" t="str">
        <f>IFERROR(VLOOKUP(LeadSum[[#This Row],[Lead]],Fri_W2[],MATCH("Team MTG",Fri_W2[#Headers],0),0),"")</f>
        <v/>
      </c>
      <c r="BZ35" s="93" t="str">
        <f>IFERROR(VLOOKUP(LeadSum[[#This Row],[Lead]],Sat_W2[],MATCH("Help Line",Sat_W2[#Headers],0),0),"")</f>
        <v/>
      </c>
      <c r="CA35" s="93" t="str">
        <f>IFERROR(VLOOKUP(LeadSum[[#This Row],[Lead]],Sat_W2[],MATCH("RTA",Sat_W2[#Headers],0),0),"")</f>
        <v/>
      </c>
      <c r="CB35" s="93" t="str">
        <f>IFERROR(VLOOKUP(LeadSum[[#This Row],[Lead]],Sat_W2[],MATCH("Admin",Sat_W2[#Headers],0),0),"")</f>
        <v/>
      </c>
      <c r="CC35" s="93" t="str">
        <f>IFERROR(VLOOKUP(LeadSum[[#This Row],[Lead]],Sat_W2[],MATCH("Team MTG",Sat_W2[#Headers],0),0),"")</f>
        <v/>
      </c>
    </row>
    <row r="36" spans="1:81" x14ac:dyDescent="0.2">
      <c r="A36" s="93">
        <f>SUM(LeadSum[[#This Row],[Help Line W1]:[RTA W1]])</f>
        <v>0</v>
      </c>
      <c r="B36" s="108"/>
      <c r="C36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36" s="93">
        <f>SUM(LSum_Sun1[[#This Row],[RTA]],LSum_Mon1[[#This Row],[RTA]],LSum_Tue1[[#This Row],[RTA]],LSum_Wed1[[#This Row],[RTA]],LSum_Thu1[[#This Row],[RTA]],LSum_Fri1[[#This Row],[RTA]],LSum_Sat1[[#This Row],[RTA]])</f>
        <v>0</v>
      </c>
      <c r="E36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36" s="93">
        <f>SUM(LSum_Sun1[[#This Row],[TM]],LSum_Mon1[[#This Row],[TM]],LSum_Tue1[[#This Row],[TM]],LSum_Wed1[[#This Row],[TM]],LSum_Thu1[[#This Row],[TM]],LSum_Fri1[[#This Row],[TM]],LSum_Sat1[[#This Row],[TM]])</f>
        <v>0</v>
      </c>
      <c r="G36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36" s="93">
        <f>SUM(LSum_Sun2[[#This Row],[RTA]],LSum_Mon2[[#This Row],[RTA]],LSum_Tue2[[#This Row],[RTA]],LSum_Wed2[[#This Row],[RTA]],LSum_Thu2[[#This Row],[RTA]],LSum_Fri2[[#This Row],[RTA]],LSum_Sat2[[#This Row],[RTA]])</f>
        <v>0</v>
      </c>
      <c r="I36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36" s="93">
        <f>SUM(LSum_Sun2[[#This Row],[TM]],LSum_Mon2[[#This Row],[TM]],LSum_Tue2[[#This Row],[TM]],LSum_Wed2[[#This Row],[TM]],LSum_Thu2[[#This Row],[TM]],LSum_Fri2[[#This Row],[TM]],LSum_Sat2[[#This Row],[TM]])</f>
        <v>0</v>
      </c>
      <c r="K36" s="93">
        <f>SUM(LeadSum[[#This Row],[Help Line W2]:[RTA W2]])</f>
        <v>0</v>
      </c>
      <c r="L36" s="93"/>
      <c r="M36" s="93" t="str">
        <f>IFERROR(VLOOKUP(LeadSum[[#This Row],[Lead]],Sun_W1[],MATCH("Help Line",Sun_W1[#Headers],0),0),"")</f>
        <v/>
      </c>
      <c r="N36" s="93" t="str">
        <f>IFERROR(VLOOKUP(LeadSum[[#This Row],[Lead]],Sun_W1[],MATCH("RTA",Sun_W1[#Headers],0),0),"")</f>
        <v/>
      </c>
      <c r="O36" s="93" t="str">
        <f>IFERROR(VLOOKUP(LeadSum[[#This Row],[Lead]],Sun_W1[],MATCH("Admin",Sun_W1[#Headers],0),0),"")</f>
        <v/>
      </c>
      <c r="P36" s="93" t="str">
        <f>IFERROR(VLOOKUP(LeadSum[[#This Row],[Lead]],Sun_W1[],MATCH("Team MTG",Sun_W1[#Headers],0),0),"")</f>
        <v/>
      </c>
      <c r="R36" s="93" t="str">
        <f>IFERROR(VLOOKUP(LeadSum[[#This Row],[Lead]],Mon_W1[],MATCH("Help Line",Mon_W1[#Headers],0),0),"")</f>
        <v/>
      </c>
      <c r="S36" s="93" t="str">
        <f>IFERROR(VLOOKUP(LeadSum[[#This Row],[Lead]],Mon_W1[],MATCH("RTA",Mon_W1[#Headers],0),0),"")</f>
        <v/>
      </c>
      <c r="T36" s="93" t="str">
        <f>IFERROR(VLOOKUP(LeadSum[[#This Row],[Lead]],Mon_W1[],MATCH("Admin",Mon_W1[#Headers],0),0),"")</f>
        <v/>
      </c>
      <c r="U36" s="93" t="str">
        <f>IFERROR(VLOOKUP(LeadSum[[#This Row],[Lead]],Mon_W1[],MATCH("Team MTG",Mon_W1[#Headers],0),0),"")</f>
        <v/>
      </c>
      <c r="W36" s="93" t="str">
        <f>IFERROR(VLOOKUP(LeadSum[[#This Row],[Lead]],Tue_W1[],MATCH("Help Line",Tue_W1[#Headers],0),0),"")</f>
        <v/>
      </c>
      <c r="X36" s="93" t="str">
        <f>IFERROR(VLOOKUP(LeadSum[[#This Row],[Lead]],Tue_W1[],MATCH("RTA",Tue_W1[#Headers],0),0),"")</f>
        <v/>
      </c>
      <c r="Y36" s="93" t="str">
        <f>IFERROR(VLOOKUP(LeadSum[[#This Row],[Lead]],Tue_W1[],MATCH("Admin",Tue_W1[#Headers],0),0),"")</f>
        <v/>
      </c>
      <c r="Z36" s="93" t="str">
        <f>IFERROR(VLOOKUP(LeadSum[[#This Row],[Lead]],Tue_W1[],MATCH("Team MTG",Tue_W1[#Headers],0),0),"")</f>
        <v/>
      </c>
      <c r="AB36" s="93" t="str">
        <f>IFERROR(VLOOKUP(LeadSum[[#This Row],[Lead]],Wed_W1[],MATCH("Help Line",Wed_W1[#Headers],0),0),"")</f>
        <v/>
      </c>
      <c r="AC36" s="93" t="str">
        <f>IFERROR(VLOOKUP(LeadSum[[#This Row],[Lead]],Wed_W1[],MATCH("RTA",Wed_W1[#Headers],0),0),"")</f>
        <v/>
      </c>
      <c r="AD36" s="93" t="str">
        <f>IFERROR(VLOOKUP(LeadSum[[#This Row],[Lead]],Wed_W1[],MATCH("Admin",Wed_W1[#Headers],0),0),"")</f>
        <v/>
      </c>
      <c r="AE36" s="93" t="str">
        <f>IFERROR(VLOOKUP(LeadSum[[#This Row],[Lead]],Wed_W1[],MATCH("Team MTG",Wed_W1[#Headers],0),0),"")</f>
        <v/>
      </c>
      <c r="AG36" s="93" t="str">
        <f>IFERROR(VLOOKUP(LeadSum[[#This Row],[Lead]],Thu_W1[],MATCH("Help Line",Thu_W1[#Headers],0),0),"")</f>
        <v/>
      </c>
      <c r="AH36" s="93" t="str">
        <f>IFERROR(VLOOKUP(LeadSum[[#This Row],[Lead]],Thu_W1[],MATCH("RTA",Thu_W1[#Headers],0),0),"")</f>
        <v/>
      </c>
      <c r="AI36" s="93" t="str">
        <f>IFERROR(VLOOKUP(LeadSum[[#This Row],[Lead]],Thu_W1[],MATCH("Admin",Thu_W1[#Headers],0),0),"")</f>
        <v/>
      </c>
      <c r="AJ36" s="93" t="str">
        <f>IFERROR(VLOOKUP(LeadSum[[#This Row],[Lead]],Thu_W1[],MATCH("Team MTG",Thu_W1[#Headers],0),0),"")</f>
        <v/>
      </c>
      <c r="AL36" s="93" t="str">
        <f>IFERROR(VLOOKUP(LeadSum[[#This Row],[Lead]],Fri_W1[],MATCH("Help Line",Fri_W1[#Headers],0),0),"")</f>
        <v/>
      </c>
      <c r="AM36" s="93" t="str">
        <f>IFERROR(VLOOKUP(LeadSum[[#This Row],[Lead]],Fri_W1[],MATCH("RTA",Fri_W1[#Headers],0),0),"")</f>
        <v/>
      </c>
      <c r="AN36" s="93" t="str">
        <f>IFERROR(VLOOKUP(LeadSum[[#This Row],[Lead]],Fri_W1[],MATCH("Admin",Fri_W1[#Headers],0),0),"")</f>
        <v/>
      </c>
      <c r="AO36" s="93" t="str">
        <f>IFERROR(VLOOKUP(LeadSum[[#This Row],[Lead]],Fri_W1[],MATCH("Team MTG",Fri_W1[#Headers],0),0),"")</f>
        <v/>
      </c>
      <c r="AQ36" s="93" t="str">
        <f>IFERROR(VLOOKUP(LeadSum[[#This Row],[Lead]],Sat_W1[],MATCH("Help Line",Sat_W1[#Headers],0),0),"")</f>
        <v/>
      </c>
      <c r="AR36" s="93" t="str">
        <f>IFERROR(VLOOKUP(LeadSum[[#This Row],[Lead]],Sat_W1[],MATCH("RTA",Sat_W1[#Headers],0),0),"")</f>
        <v/>
      </c>
      <c r="AS36" s="93" t="str">
        <f>IFERROR(VLOOKUP(LeadSum[[#This Row],[Lead]],Sat_W1[],MATCH("Admin",Sat_W1[#Headers],0),0),"")</f>
        <v/>
      </c>
      <c r="AT36" s="93" t="str">
        <f>IFERROR(VLOOKUP(LeadSum[[#This Row],[Lead]],Sat_W1[],MATCH("Team MTG",Sat_W1[#Headers],0),0),"")</f>
        <v/>
      </c>
      <c r="AV36" s="93" t="str">
        <f>IFERROR(VLOOKUP(LeadSum[[#This Row],[Lead]],Sun_W2[],MATCH("Help Line",Sun_W2[#Headers],0),0),"")</f>
        <v/>
      </c>
      <c r="AW36" s="93" t="str">
        <f>IFERROR(VLOOKUP(LeadSum[[#This Row],[Lead]],Sun_W2[],MATCH("RTA",Sun_W2[#Headers],0),0),"")</f>
        <v/>
      </c>
      <c r="AX36" s="93" t="str">
        <f>IFERROR(VLOOKUP(LeadSum[[#This Row],[Lead]],Sun_W2[],MATCH("Admin",Sun_W2[#Headers],0),0),"")</f>
        <v/>
      </c>
      <c r="AY36" s="93" t="str">
        <f>IFERROR(VLOOKUP(LeadSum[[#This Row],[Lead]],Sun_W2[],MATCH("Team MTG",Sun_W2[#Headers],0),0),"")</f>
        <v/>
      </c>
      <c r="BA36" s="93" t="str">
        <f>IFERROR(VLOOKUP(LeadSum[[#This Row],[Lead]],Mon_W2[],MATCH("Help Line",Mon_W2[#Headers],0),0),"")</f>
        <v/>
      </c>
      <c r="BB36" s="93" t="str">
        <f>IFERROR(VLOOKUP(LeadSum[[#This Row],[Lead]],Mon_W2[],MATCH("RTA",Mon_W2[#Headers],0),0),"")</f>
        <v/>
      </c>
      <c r="BC36" s="93" t="str">
        <f>IFERROR(VLOOKUP(LeadSum[[#This Row],[Lead]],Mon_W2[],MATCH("Admin",Mon_W2[#Headers],0),0),"")</f>
        <v/>
      </c>
      <c r="BD36" s="93" t="str">
        <f>IFERROR(VLOOKUP(LeadSum[[#This Row],[Lead]],Mon_W2[],MATCH("Team MTG",Mon_W2[#Headers],0),0),"")</f>
        <v/>
      </c>
      <c r="BF36" s="93" t="str">
        <f>IFERROR(VLOOKUP(LeadSum[[#This Row],[Lead]],Tue_W2[],MATCH("Help Line",Tue_W2[#Headers],0),0),"")</f>
        <v/>
      </c>
      <c r="BG36" s="93" t="str">
        <f>IFERROR(VLOOKUP(LeadSum[[#This Row],[Lead]],Tue_W2[],MATCH("RTA",Tue_W2[#Headers],0),0),"")</f>
        <v/>
      </c>
      <c r="BH36" s="93" t="str">
        <f>IFERROR(VLOOKUP(LeadSum[[#This Row],[Lead]],Tue_W2[],MATCH("Admin",Tue_W2[#Headers],0),0),"")</f>
        <v/>
      </c>
      <c r="BI36" s="93" t="str">
        <f>IFERROR(VLOOKUP(LeadSum[[#This Row],[Lead]],Tue_W2[],MATCH("Team MTG",Tue_W2[#Headers],0),0),"")</f>
        <v/>
      </c>
      <c r="BK36" s="93" t="str">
        <f>IFERROR(VLOOKUP(LeadSum[[#This Row],[Lead]],Wed_W2[],MATCH("Help Line",Wed_W2[#Headers],0),0),"")</f>
        <v/>
      </c>
      <c r="BL36" s="93" t="str">
        <f>IFERROR(VLOOKUP(LeadSum[[#This Row],[Lead]],Wed_W2[],MATCH("RTA",Wed_W2[#Headers],0),0),"")</f>
        <v/>
      </c>
      <c r="BM36" s="93" t="str">
        <f>IFERROR(VLOOKUP(LeadSum[[#This Row],[Lead]],Wed_W2[],MATCH("Admin",Wed_W2[#Headers],0),0),"")</f>
        <v/>
      </c>
      <c r="BN36" s="93" t="str">
        <f>IFERROR(VLOOKUP(LeadSum[[#This Row],[Lead]],Wed_W2[],MATCH("Team MTG",Wed_W2[#Headers],0),0),"")</f>
        <v/>
      </c>
      <c r="BP36" s="93" t="str">
        <f>IFERROR(VLOOKUP(LeadSum[[#This Row],[Lead]],Thu_W2[],MATCH("Help Line",Thu_W2[#Headers],0),0),"")</f>
        <v/>
      </c>
      <c r="BQ36" s="93" t="str">
        <f>IFERROR(VLOOKUP(LeadSum[[#This Row],[Lead]],Thu_W2[],MATCH("RTA",Thu_W2[#Headers],0),0),"")</f>
        <v/>
      </c>
      <c r="BR36" s="93" t="str">
        <f>IFERROR(VLOOKUP(LeadSum[[#This Row],[Lead]],Thu_W2[],MATCH("Admin",Thu_W2[#Headers],0),0),"")</f>
        <v/>
      </c>
      <c r="BS36" s="93" t="str">
        <f>IFERROR(VLOOKUP(LeadSum[[#This Row],[Lead]],Thu_W2[],MATCH("Team MTG",Thu_W2[#Headers],0),0),"")</f>
        <v/>
      </c>
      <c r="BU36" s="93" t="str">
        <f>IFERROR(VLOOKUP(LeadSum[[#This Row],[Lead]],Fri_W2[],MATCH("Help Line",Fri_W2[#Headers],0),0),"")</f>
        <v/>
      </c>
      <c r="BV36" s="93" t="str">
        <f>IFERROR(VLOOKUP(LeadSum[[#This Row],[Lead]],Fri_W2[],MATCH("RTA",Fri_W2[#Headers],0),0),"")</f>
        <v/>
      </c>
      <c r="BW36" s="93" t="str">
        <f>IFERROR(VLOOKUP(LeadSum[[#This Row],[Lead]],Fri_W2[],MATCH("Admin",Fri_W2[#Headers],0),0),"")</f>
        <v/>
      </c>
      <c r="BX36" s="93" t="str">
        <f>IFERROR(VLOOKUP(LeadSum[[#This Row],[Lead]],Fri_W2[],MATCH("Team MTG",Fri_W2[#Headers],0),0),"")</f>
        <v/>
      </c>
      <c r="BZ36" s="93" t="str">
        <f>IFERROR(VLOOKUP(LeadSum[[#This Row],[Lead]],Sat_W2[],MATCH("Help Line",Sat_W2[#Headers],0),0),"")</f>
        <v/>
      </c>
      <c r="CA36" s="93" t="str">
        <f>IFERROR(VLOOKUP(LeadSum[[#This Row],[Lead]],Sat_W2[],MATCH("RTA",Sat_W2[#Headers],0),0),"")</f>
        <v/>
      </c>
      <c r="CB36" s="93" t="str">
        <f>IFERROR(VLOOKUP(LeadSum[[#This Row],[Lead]],Sat_W2[],MATCH("Admin",Sat_W2[#Headers],0),0),"")</f>
        <v/>
      </c>
      <c r="CC36" s="93" t="str">
        <f>IFERROR(VLOOKUP(LeadSum[[#This Row],[Lead]],Sat_W2[],MATCH("Team MTG",Sat_W2[#Headers],0),0),"")</f>
        <v/>
      </c>
    </row>
    <row r="37" spans="1:81" x14ac:dyDescent="0.2">
      <c r="A37" s="93">
        <f>SUM(LeadSum[[#This Row],[Help Line W1]:[RTA W1]])</f>
        <v>0</v>
      </c>
      <c r="B37" s="108"/>
      <c r="C37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37" s="93">
        <f>SUM(LSum_Sun1[[#This Row],[RTA]],LSum_Mon1[[#This Row],[RTA]],LSum_Tue1[[#This Row],[RTA]],LSum_Wed1[[#This Row],[RTA]],LSum_Thu1[[#This Row],[RTA]],LSum_Fri1[[#This Row],[RTA]],LSum_Sat1[[#This Row],[RTA]])</f>
        <v>0</v>
      </c>
      <c r="E37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37" s="93">
        <f>SUM(LSum_Sun1[[#This Row],[TM]],LSum_Mon1[[#This Row],[TM]],LSum_Tue1[[#This Row],[TM]],LSum_Wed1[[#This Row],[TM]],LSum_Thu1[[#This Row],[TM]],LSum_Fri1[[#This Row],[TM]],LSum_Sat1[[#This Row],[TM]])</f>
        <v>0</v>
      </c>
      <c r="G37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37" s="93">
        <f>SUM(LSum_Sun2[[#This Row],[RTA]],LSum_Mon2[[#This Row],[RTA]],LSum_Tue2[[#This Row],[RTA]],LSum_Wed2[[#This Row],[RTA]],LSum_Thu2[[#This Row],[RTA]],LSum_Fri2[[#This Row],[RTA]],LSum_Sat2[[#This Row],[RTA]])</f>
        <v>0</v>
      </c>
      <c r="I37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37" s="93">
        <f>SUM(LSum_Sun2[[#This Row],[TM]],LSum_Mon2[[#This Row],[TM]],LSum_Tue2[[#This Row],[TM]],LSum_Wed2[[#This Row],[TM]],LSum_Thu2[[#This Row],[TM]],LSum_Fri2[[#This Row],[TM]],LSum_Sat2[[#This Row],[TM]])</f>
        <v>0</v>
      </c>
      <c r="K37" s="93">
        <f>SUM(LeadSum[[#This Row],[Help Line W2]:[RTA W2]])</f>
        <v>0</v>
      </c>
      <c r="L37" s="93"/>
      <c r="M37" s="93" t="str">
        <f>IFERROR(VLOOKUP(LeadSum[[#This Row],[Lead]],Sun_W1[],MATCH("Help Line",Sun_W1[#Headers],0),0),"")</f>
        <v/>
      </c>
      <c r="N37" s="93" t="str">
        <f>IFERROR(VLOOKUP(LeadSum[[#This Row],[Lead]],Sun_W1[],MATCH("RTA",Sun_W1[#Headers],0),0),"")</f>
        <v/>
      </c>
      <c r="O37" s="93" t="str">
        <f>IFERROR(VLOOKUP(LeadSum[[#This Row],[Lead]],Sun_W1[],MATCH("Admin",Sun_W1[#Headers],0),0),"")</f>
        <v/>
      </c>
      <c r="P37" s="93" t="str">
        <f>IFERROR(VLOOKUP(LeadSum[[#This Row],[Lead]],Sun_W1[],MATCH("Team MTG",Sun_W1[#Headers],0),0),"")</f>
        <v/>
      </c>
      <c r="R37" s="93" t="str">
        <f>IFERROR(VLOOKUP(LeadSum[[#This Row],[Lead]],Mon_W1[],MATCH("Help Line",Mon_W1[#Headers],0),0),"")</f>
        <v/>
      </c>
      <c r="S37" s="93" t="str">
        <f>IFERROR(VLOOKUP(LeadSum[[#This Row],[Lead]],Mon_W1[],MATCH("RTA",Mon_W1[#Headers],0),0),"")</f>
        <v/>
      </c>
      <c r="T37" s="93" t="str">
        <f>IFERROR(VLOOKUP(LeadSum[[#This Row],[Lead]],Mon_W1[],MATCH("Admin",Mon_W1[#Headers],0),0),"")</f>
        <v/>
      </c>
      <c r="U37" s="93" t="str">
        <f>IFERROR(VLOOKUP(LeadSum[[#This Row],[Lead]],Mon_W1[],MATCH("Team MTG",Mon_W1[#Headers],0),0),"")</f>
        <v/>
      </c>
      <c r="W37" s="93" t="str">
        <f>IFERROR(VLOOKUP(LeadSum[[#This Row],[Lead]],Tue_W1[],MATCH("Help Line",Tue_W1[#Headers],0),0),"")</f>
        <v/>
      </c>
      <c r="X37" s="93" t="str">
        <f>IFERROR(VLOOKUP(LeadSum[[#This Row],[Lead]],Tue_W1[],MATCH("RTA",Tue_W1[#Headers],0),0),"")</f>
        <v/>
      </c>
      <c r="Y37" s="93" t="str">
        <f>IFERROR(VLOOKUP(LeadSum[[#This Row],[Lead]],Tue_W1[],MATCH("Admin",Tue_W1[#Headers],0),0),"")</f>
        <v/>
      </c>
      <c r="Z37" s="93" t="str">
        <f>IFERROR(VLOOKUP(LeadSum[[#This Row],[Lead]],Tue_W1[],MATCH("Team MTG",Tue_W1[#Headers],0),0),"")</f>
        <v/>
      </c>
      <c r="AB37" s="93" t="str">
        <f>IFERROR(VLOOKUP(LeadSum[[#This Row],[Lead]],Wed_W1[],MATCH("Help Line",Wed_W1[#Headers],0),0),"")</f>
        <v/>
      </c>
      <c r="AC37" s="93" t="str">
        <f>IFERROR(VLOOKUP(LeadSum[[#This Row],[Lead]],Wed_W1[],MATCH("RTA",Wed_W1[#Headers],0),0),"")</f>
        <v/>
      </c>
      <c r="AD37" s="93" t="str">
        <f>IFERROR(VLOOKUP(LeadSum[[#This Row],[Lead]],Wed_W1[],MATCH("Admin",Wed_W1[#Headers],0),0),"")</f>
        <v/>
      </c>
      <c r="AE37" s="93" t="str">
        <f>IFERROR(VLOOKUP(LeadSum[[#This Row],[Lead]],Wed_W1[],MATCH("Team MTG",Wed_W1[#Headers],0),0),"")</f>
        <v/>
      </c>
      <c r="AG37" s="93" t="str">
        <f>IFERROR(VLOOKUP(LeadSum[[#This Row],[Lead]],Thu_W1[],MATCH("Help Line",Thu_W1[#Headers],0),0),"")</f>
        <v/>
      </c>
      <c r="AH37" s="93" t="str">
        <f>IFERROR(VLOOKUP(LeadSum[[#This Row],[Lead]],Thu_W1[],MATCH("RTA",Thu_W1[#Headers],0),0),"")</f>
        <v/>
      </c>
      <c r="AI37" s="93" t="str">
        <f>IFERROR(VLOOKUP(LeadSum[[#This Row],[Lead]],Thu_W1[],MATCH("Admin",Thu_W1[#Headers],0),0),"")</f>
        <v/>
      </c>
      <c r="AJ37" s="93" t="str">
        <f>IFERROR(VLOOKUP(LeadSum[[#This Row],[Lead]],Thu_W1[],MATCH("Team MTG",Thu_W1[#Headers],0),0),"")</f>
        <v/>
      </c>
      <c r="AL37" s="93" t="str">
        <f>IFERROR(VLOOKUP(LeadSum[[#This Row],[Lead]],Fri_W1[],MATCH("Help Line",Fri_W1[#Headers],0),0),"")</f>
        <v/>
      </c>
      <c r="AM37" s="93" t="str">
        <f>IFERROR(VLOOKUP(LeadSum[[#This Row],[Lead]],Fri_W1[],MATCH("RTA",Fri_W1[#Headers],0),0),"")</f>
        <v/>
      </c>
      <c r="AN37" s="93" t="str">
        <f>IFERROR(VLOOKUP(LeadSum[[#This Row],[Lead]],Fri_W1[],MATCH("Admin",Fri_W1[#Headers],0),0),"")</f>
        <v/>
      </c>
      <c r="AO37" s="93" t="str">
        <f>IFERROR(VLOOKUP(LeadSum[[#This Row],[Lead]],Fri_W1[],MATCH("Team MTG",Fri_W1[#Headers],0),0),"")</f>
        <v/>
      </c>
      <c r="AQ37" s="93" t="str">
        <f>IFERROR(VLOOKUP(LeadSum[[#This Row],[Lead]],Sat_W1[],MATCH("Help Line",Sat_W1[#Headers],0),0),"")</f>
        <v/>
      </c>
      <c r="AR37" s="93" t="str">
        <f>IFERROR(VLOOKUP(LeadSum[[#This Row],[Lead]],Sat_W1[],MATCH("RTA",Sat_W1[#Headers],0),0),"")</f>
        <v/>
      </c>
      <c r="AS37" s="93" t="str">
        <f>IFERROR(VLOOKUP(LeadSum[[#This Row],[Lead]],Sat_W1[],MATCH("Admin",Sat_W1[#Headers],0),0),"")</f>
        <v/>
      </c>
      <c r="AT37" s="93" t="str">
        <f>IFERROR(VLOOKUP(LeadSum[[#This Row],[Lead]],Sat_W1[],MATCH("Team MTG",Sat_W1[#Headers],0),0),"")</f>
        <v/>
      </c>
      <c r="AV37" s="93" t="str">
        <f>IFERROR(VLOOKUP(LeadSum[[#This Row],[Lead]],Sun_W2[],MATCH("Help Line",Sun_W2[#Headers],0),0),"")</f>
        <v/>
      </c>
      <c r="AW37" s="93" t="str">
        <f>IFERROR(VLOOKUP(LeadSum[[#This Row],[Lead]],Sun_W2[],MATCH("RTA",Sun_W2[#Headers],0),0),"")</f>
        <v/>
      </c>
      <c r="AX37" s="93" t="str">
        <f>IFERROR(VLOOKUP(LeadSum[[#This Row],[Lead]],Sun_W2[],MATCH("Admin",Sun_W2[#Headers],0),0),"")</f>
        <v/>
      </c>
      <c r="AY37" s="93" t="str">
        <f>IFERROR(VLOOKUP(LeadSum[[#This Row],[Lead]],Sun_W2[],MATCH("Team MTG",Sun_W2[#Headers],0),0),"")</f>
        <v/>
      </c>
      <c r="BA37" s="93" t="str">
        <f>IFERROR(VLOOKUP(LeadSum[[#This Row],[Lead]],Mon_W2[],MATCH("Help Line",Mon_W2[#Headers],0),0),"")</f>
        <v/>
      </c>
      <c r="BB37" s="93" t="str">
        <f>IFERROR(VLOOKUP(LeadSum[[#This Row],[Lead]],Mon_W2[],MATCH("RTA",Mon_W2[#Headers],0),0),"")</f>
        <v/>
      </c>
      <c r="BC37" s="93" t="str">
        <f>IFERROR(VLOOKUP(LeadSum[[#This Row],[Lead]],Mon_W2[],MATCH("Admin",Mon_W2[#Headers],0),0),"")</f>
        <v/>
      </c>
      <c r="BD37" s="93" t="str">
        <f>IFERROR(VLOOKUP(LeadSum[[#This Row],[Lead]],Mon_W2[],MATCH("Team MTG",Mon_W2[#Headers],0),0),"")</f>
        <v/>
      </c>
      <c r="BF37" s="93" t="str">
        <f>IFERROR(VLOOKUP(LeadSum[[#This Row],[Lead]],Tue_W2[],MATCH("Help Line",Tue_W2[#Headers],0),0),"")</f>
        <v/>
      </c>
      <c r="BG37" s="93" t="str">
        <f>IFERROR(VLOOKUP(LeadSum[[#This Row],[Lead]],Tue_W2[],MATCH("RTA",Tue_W2[#Headers],0),0),"")</f>
        <v/>
      </c>
      <c r="BH37" s="93" t="str">
        <f>IFERROR(VLOOKUP(LeadSum[[#This Row],[Lead]],Tue_W2[],MATCH("Admin",Tue_W2[#Headers],0),0),"")</f>
        <v/>
      </c>
      <c r="BI37" s="93" t="str">
        <f>IFERROR(VLOOKUP(LeadSum[[#This Row],[Lead]],Tue_W2[],MATCH("Team MTG",Tue_W2[#Headers],0),0),"")</f>
        <v/>
      </c>
      <c r="BK37" s="93" t="str">
        <f>IFERROR(VLOOKUP(LeadSum[[#This Row],[Lead]],Wed_W2[],MATCH("Help Line",Wed_W2[#Headers],0),0),"")</f>
        <v/>
      </c>
      <c r="BL37" s="93" t="str">
        <f>IFERROR(VLOOKUP(LeadSum[[#This Row],[Lead]],Wed_W2[],MATCH("RTA",Wed_W2[#Headers],0),0),"")</f>
        <v/>
      </c>
      <c r="BM37" s="93" t="str">
        <f>IFERROR(VLOOKUP(LeadSum[[#This Row],[Lead]],Wed_W2[],MATCH("Admin",Wed_W2[#Headers],0),0),"")</f>
        <v/>
      </c>
      <c r="BN37" s="93" t="str">
        <f>IFERROR(VLOOKUP(LeadSum[[#This Row],[Lead]],Wed_W2[],MATCH("Team MTG",Wed_W2[#Headers],0),0),"")</f>
        <v/>
      </c>
      <c r="BP37" s="93" t="str">
        <f>IFERROR(VLOOKUP(LeadSum[[#This Row],[Lead]],Thu_W2[],MATCH("Help Line",Thu_W2[#Headers],0),0),"")</f>
        <v/>
      </c>
      <c r="BQ37" s="93" t="str">
        <f>IFERROR(VLOOKUP(LeadSum[[#This Row],[Lead]],Thu_W2[],MATCH("RTA",Thu_W2[#Headers],0),0),"")</f>
        <v/>
      </c>
      <c r="BR37" s="93" t="str">
        <f>IFERROR(VLOOKUP(LeadSum[[#This Row],[Lead]],Thu_W2[],MATCH("Admin",Thu_W2[#Headers],0),0),"")</f>
        <v/>
      </c>
      <c r="BS37" s="93" t="str">
        <f>IFERROR(VLOOKUP(LeadSum[[#This Row],[Lead]],Thu_W2[],MATCH("Team MTG",Thu_W2[#Headers],0),0),"")</f>
        <v/>
      </c>
      <c r="BU37" s="93" t="str">
        <f>IFERROR(VLOOKUP(LeadSum[[#This Row],[Lead]],Fri_W2[],MATCH("Help Line",Fri_W2[#Headers],0),0),"")</f>
        <v/>
      </c>
      <c r="BV37" s="93" t="str">
        <f>IFERROR(VLOOKUP(LeadSum[[#This Row],[Lead]],Fri_W2[],MATCH("RTA",Fri_W2[#Headers],0),0),"")</f>
        <v/>
      </c>
      <c r="BW37" s="93" t="str">
        <f>IFERROR(VLOOKUP(LeadSum[[#This Row],[Lead]],Fri_W2[],MATCH("Admin",Fri_W2[#Headers],0),0),"")</f>
        <v/>
      </c>
      <c r="BX37" s="93" t="str">
        <f>IFERROR(VLOOKUP(LeadSum[[#This Row],[Lead]],Fri_W2[],MATCH("Team MTG",Fri_W2[#Headers],0),0),"")</f>
        <v/>
      </c>
      <c r="BZ37" s="93" t="str">
        <f>IFERROR(VLOOKUP(LeadSum[[#This Row],[Lead]],Sat_W2[],MATCH("Help Line",Sat_W2[#Headers],0),0),"")</f>
        <v/>
      </c>
      <c r="CA37" s="93" t="str">
        <f>IFERROR(VLOOKUP(LeadSum[[#This Row],[Lead]],Sat_W2[],MATCH("RTA",Sat_W2[#Headers],0),0),"")</f>
        <v/>
      </c>
      <c r="CB37" s="93" t="str">
        <f>IFERROR(VLOOKUP(LeadSum[[#This Row],[Lead]],Sat_W2[],MATCH("Admin",Sat_W2[#Headers],0),0),"")</f>
        <v/>
      </c>
      <c r="CC37" s="93" t="str">
        <f>IFERROR(VLOOKUP(LeadSum[[#This Row],[Lead]],Sat_W2[],MATCH("Team MTG",Sat_W2[#Headers],0),0),"")</f>
        <v/>
      </c>
    </row>
    <row r="38" spans="1:81" x14ac:dyDescent="0.2">
      <c r="A38" s="93">
        <f>SUM(LeadSum[[#This Row],[Help Line W1]:[RTA W1]])</f>
        <v>0</v>
      </c>
      <c r="B38" s="108"/>
      <c r="C38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38" s="93">
        <f>SUM(LSum_Sun1[[#This Row],[RTA]],LSum_Mon1[[#This Row],[RTA]],LSum_Tue1[[#This Row],[RTA]],LSum_Wed1[[#This Row],[RTA]],LSum_Thu1[[#This Row],[RTA]],LSum_Fri1[[#This Row],[RTA]],LSum_Sat1[[#This Row],[RTA]])</f>
        <v>0</v>
      </c>
      <c r="E38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38" s="93">
        <f>SUM(LSum_Sun1[[#This Row],[TM]],LSum_Mon1[[#This Row],[TM]],LSum_Tue1[[#This Row],[TM]],LSum_Wed1[[#This Row],[TM]],LSum_Thu1[[#This Row],[TM]],LSum_Fri1[[#This Row],[TM]],LSum_Sat1[[#This Row],[TM]])</f>
        <v>0</v>
      </c>
      <c r="G38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38" s="93">
        <f>SUM(LSum_Sun2[[#This Row],[RTA]],LSum_Mon2[[#This Row],[RTA]],LSum_Tue2[[#This Row],[RTA]],LSum_Wed2[[#This Row],[RTA]],LSum_Thu2[[#This Row],[RTA]],LSum_Fri2[[#This Row],[RTA]],LSum_Sat2[[#This Row],[RTA]])</f>
        <v>0</v>
      </c>
      <c r="I38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38" s="93">
        <f>SUM(LSum_Sun2[[#This Row],[TM]],LSum_Mon2[[#This Row],[TM]],LSum_Tue2[[#This Row],[TM]],LSum_Wed2[[#This Row],[TM]],LSum_Thu2[[#This Row],[TM]],LSum_Fri2[[#This Row],[TM]],LSum_Sat2[[#This Row],[TM]])</f>
        <v>0</v>
      </c>
      <c r="K38" s="93">
        <f>SUM(LeadSum[[#This Row],[Help Line W2]:[RTA W2]])</f>
        <v>0</v>
      </c>
      <c r="L38" s="93"/>
      <c r="M38" s="93" t="str">
        <f>IFERROR(VLOOKUP(LeadSum[[#This Row],[Lead]],Sun_W1[],MATCH("Help Line",Sun_W1[#Headers],0),0),"")</f>
        <v/>
      </c>
      <c r="N38" s="93" t="str">
        <f>IFERROR(VLOOKUP(LeadSum[[#This Row],[Lead]],Sun_W1[],MATCH("RTA",Sun_W1[#Headers],0),0),"")</f>
        <v/>
      </c>
      <c r="O38" s="93" t="str">
        <f>IFERROR(VLOOKUP(LeadSum[[#This Row],[Lead]],Sun_W1[],MATCH("Admin",Sun_W1[#Headers],0),0),"")</f>
        <v/>
      </c>
      <c r="P38" s="93" t="str">
        <f>IFERROR(VLOOKUP(LeadSum[[#This Row],[Lead]],Sun_W1[],MATCH("Team MTG",Sun_W1[#Headers],0),0),"")</f>
        <v/>
      </c>
      <c r="R38" s="93" t="str">
        <f>IFERROR(VLOOKUP(LeadSum[[#This Row],[Lead]],Mon_W1[],MATCH("Help Line",Mon_W1[#Headers],0),0),"")</f>
        <v/>
      </c>
      <c r="S38" s="93" t="str">
        <f>IFERROR(VLOOKUP(LeadSum[[#This Row],[Lead]],Mon_W1[],MATCH("RTA",Mon_W1[#Headers],0),0),"")</f>
        <v/>
      </c>
      <c r="T38" s="93" t="str">
        <f>IFERROR(VLOOKUP(LeadSum[[#This Row],[Lead]],Mon_W1[],MATCH("Admin",Mon_W1[#Headers],0),0),"")</f>
        <v/>
      </c>
      <c r="U38" s="93" t="str">
        <f>IFERROR(VLOOKUP(LeadSum[[#This Row],[Lead]],Mon_W1[],MATCH("Team MTG",Mon_W1[#Headers],0),0),"")</f>
        <v/>
      </c>
      <c r="W38" s="93" t="str">
        <f>IFERROR(VLOOKUP(LeadSum[[#This Row],[Lead]],Tue_W1[],MATCH("Help Line",Tue_W1[#Headers],0),0),"")</f>
        <v/>
      </c>
      <c r="X38" s="93" t="str">
        <f>IFERROR(VLOOKUP(LeadSum[[#This Row],[Lead]],Tue_W1[],MATCH("RTA",Tue_W1[#Headers],0),0),"")</f>
        <v/>
      </c>
      <c r="Y38" s="93" t="str">
        <f>IFERROR(VLOOKUP(LeadSum[[#This Row],[Lead]],Tue_W1[],MATCH("Admin",Tue_W1[#Headers],0),0),"")</f>
        <v/>
      </c>
      <c r="Z38" s="93" t="str">
        <f>IFERROR(VLOOKUP(LeadSum[[#This Row],[Lead]],Tue_W1[],MATCH("Team MTG",Tue_W1[#Headers],0),0),"")</f>
        <v/>
      </c>
      <c r="AB38" s="93" t="str">
        <f>IFERROR(VLOOKUP(LeadSum[[#This Row],[Lead]],Wed_W1[],MATCH("Help Line",Wed_W1[#Headers],0),0),"")</f>
        <v/>
      </c>
      <c r="AC38" s="93" t="str">
        <f>IFERROR(VLOOKUP(LeadSum[[#This Row],[Lead]],Wed_W1[],MATCH("RTA",Wed_W1[#Headers],0),0),"")</f>
        <v/>
      </c>
      <c r="AD38" s="93" t="str">
        <f>IFERROR(VLOOKUP(LeadSum[[#This Row],[Lead]],Wed_W1[],MATCH("Admin",Wed_W1[#Headers],0),0),"")</f>
        <v/>
      </c>
      <c r="AE38" s="93" t="str">
        <f>IFERROR(VLOOKUP(LeadSum[[#This Row],[Lead]],Wed_W1[],MATCH("Team MTG",Wed_W1[#Headers],0),0),"")</f>
        <v/>
      </c>
      <c r="AG38" s="93" t="str">
        <f>IFERROR(VLOOKUP(LeadSum[[#This Row],[Lead]],Thu_W1[],MATCH("Help Line",Thu_W1[#Headers],0),0),"")</f>
        <v/>
      </c>
      <c r="AH38" s="93" t="str">
        <f>IFERROR(VLOOKUP(LeadSum[[#This Row],[Lead]],Thu_W1[],MATCH("RTA",Thu_W1[#Headers],0),0),"")</f>
        <v/>
      </c>
      <c r="AI38" s="93" t="str">
        <f>IFERROR(VLOOKUP(LeadSum[[#This Row],[Lead]],Thu_W1[],MATCH("Admin",Thu_W1[#Headers],0),0),"")</f>
        <v/>
      </c>
      <c r="AJ38" s="93" t="str">
        <f>IFERROR(VLOOKUP(LeadSum[[#This Row],[Lead]],Thu_W1[],MATCH("Team MTG",Thu_W1[#Headers],0),0),"")</f>
        <v/>
      </c>
      <c r="AL38" s="93" t="str">
        <f>IFERROR(VLOOKUP(LeadSum[[#This Row],[Lead]],Fri_W1[],MATCH("Help Line",Fri_W1[#Headers],0),0),"")</f>
        <v/>
      </c>
      <c r="AM38" s="93" t="str">
        <f>IFERROR(VLOOKUP(LeadSum[[#This Row],[Lead]],Fri_W1[],MATCH("RTA",Fri_W1[#Headers],0),0),"")</f>
        <v/>
      </c>
      <c r="AN38" s="93" t="str">
        <f>IFERROR(VLOOKUP(LeadSum[[#This Row],[Lead]],Fri_W1[],MATCH("Admin",Fri_W1[#Headers],0),0),"")</f>
        <v/>
      </c>
      <c r="AO38" s="93" t="str">
        <f>IFERROR(VLOOKUP(LeadSum[[#This Row],[Lead]],Fri_W1[],MATCH("Team MTG",Fri_W1[#Headers],0),0),"")</f>
        <v/>
      </c>
      <c r="AQ38" s="93" t="str">
        <f>IFERROR(VLOOKUP(LeadSum[[#This Row],[Lead]],Sat_W1[],MATCH("Help Line",Sat_W1[#Headers],0),0),"")</f>
        <v/>
      </c>
      <c r="AR38" s="93" t="str">
        <f>IFERROR(VLOOKUP(LeadSum[[#This Row],[Lead]],Sat_W1[],MATCH("RTA",Sat_W1[#Headers],0),0),"")</f>
        <v/>
      </c>
      <c r="AS38" s="93" t="str">
        <f>IFERROR(VLOOKUP(LeadSum[[#This Row],[Lead]],Sat_W1[],MATCH("Admin",Sat_W1[#Headers],0),0),"")</f>
        <v/>
      </c>
      <c r="AT38" s="93" t="str">
        <f>IFERROR(VLOOKUP(LeadSum[[#This Row],[Lead]],Sat_W1[],MATCH("Team MTG",Sat_W1[#Headers],0),0),"")</f>
        <v/>
      </c>
      <c r="AV38" s="93" t="str">
        <f>IFERROR(VLOOKUP(LeadSum[[#This Row],[Lead]],Sun_W2[],MATCH("Help Line",Sun_W2[#Headers],0),0),"")</f>
        <v/>
      </c>
      <c r="AW38" s="93" t="str">
        <f>IFERROR(VLOOKUP(LeadSum[[#This Row],[Lead]],Sun_W2[],MATCH("RTA",Sun_W2[#Headers],0),0),"")</f>
        <v/>
      </c>
      <c r="AX38" s="93" t="str">
        <f>IFERROR(VLOOKUP(LeadSum[[#This Row],[Lead]],Sun_W2[],MATCH("Admin",Sun_W2[#Headers],0),0),"")</f>
        <v/>
      </c>
      <c r="AY38" s="93" t="str">
        <f>IFERROR(VLOOKUP(LeadSum[[#This Row],[Lead]],Sun_W2[],MATCH("Team MTG",Sun_W2[#Headers],0),0),"")</f>
        <v/>
      </c>
      <c r="BA38" s="93" t="str">
        <f>IFERROR(VLOOKUP(LeadSum[[#This Row],[Lead]],Mon_W2[],MATCH("Help Line",Mon_W2[#Headers],0),0),"")</f>
        <v/>
      </c>
      <c r="BB38" s="93" t="str">
        <f>IFERROR(VLOOKUP(LeadSum[[#This Row],[Lead]],Mon_W2[],MATCH("RTA",Mon_W2[#Headers],0),0),"")</f>
        <v/>
      </c>
      <c r="BC38" s="93" t="str">
        <f>IFERROR(VLOOKUP(LeadSum[[#This Row],[Lead]],Mon_W2[],MATCH("Admin",Mon_W2[#Headers],0),0),"")</f>
        <v/>
      </c>
      <c r="BD38" s="93" t="str">
        <f>IFERROR(VLOOKUP(LeadSum[[#This Row],[Lead]],Mon_W2[],MATCH("Team MTG",Mon_W2[#Headers],0),0),"")</f>
        <v/>
      </c>
      <c r="BF38" s="93" t="str">
        <f>IFERROR(VLOOKUP(LeadSum[[#This Row],[Lead]],Tue_W2[],MATCH("Help Line",Tue_W2[#Headers],0),0),"")</f>
        <v/>
      </c>
      <c r="BG38" s="93" t="str">
        <f>IFERROR(VLOOKUP(LeadSum[[#This Row],[Lead]],Tue_W2[],MATCH("RTA",Tue_W2[#Headers],0),0),"")</f>
        <v/>
      </c>
      <c r="BH38" s="93" t="str">
        <f>IFERROR(VLOOKUP(LeadSum[[#This Row],[Lead]],Tue_W2[],MATCH("Admin",Tue_W2[#Headers],0),0),"")</f>
        <v/>
      </c>
      <c r="BI38" s="93" t="str">
        <f>IFERROR(VLOOKUP(LeadSum[[#This Row],[Lead]],Tue_W2[],MATCH("Team MTG",Tue_W2[#Headers],0),0),"")</f>
        <v/>
      </c>
      <c r="BK38" s="93" t="str">
        <f>IFERROR(VLOOKUP(LeadSum[[#This Row],[Lead]],Wed_W2[],MATCH("Help Line",Wed_W2[#Headers],0),0),"")</f>
        <v/>
      </c>
      <c r="BL38" s="93" t="str">
        <f>IFERROR(VLOOKUP(LeadSum[[#This Row],[Lead]],Wed_W2[],MATCH("RTA",Wed_W2[#Headers],0),0),"")</f>
        <v/>
      </c>
      <c r="BM38" s="93" t="str">
        <f>IFERROR(VLOOKUP(LeadSum[[#This Row],[Lead]],Wed_W2[],MATCH("Admin",Wed_W2[#Headers],0),0),"")</f>
        <v/>
      </c>
      <c r="BN38" s="93" t="str">
        <f>IFERROR(VLOOKUP(LeadSum[[#This Row],[Lead]],Wed_W2[],MATCH("Team MTG",Wed_W2[#Headers],0),0),"")</f>
        <v/>
      </c>
      <c r="BP38" s="93" t="str">
        <f>IFERROR(VLOOKUP(LeadSum[[#This Row],[Lead]],Thu_W2[],MATCH("Help Line",Thu_W2[#Headers],0),0),"")</f>
        <v/>
      </c>
      <c r="BQ38" s="93" t="str">
        <f>IFERROR(VLOOKUP(LeadSum[[#This Row],[Lead]],Thu_W2[],MATCH("RTA",Thu_W2[#Headers],0),0),"")</f>
        <v/>
      </c>
      <c r="BR38" s="93" t="str">
        <f>IFERROR(VLOOKUP(LeadSum[[#This Row],[Lead]],Thu_W2[],MATCH("Admin",Thu_W2[#Headers],0),0),"")</f>
        <v/>
      </c>
      <c r="BS38" s="93" t="str">
        <f>IFERROR(VLOOKUP(LeadSum[[#This Row],[Lead]],Thu_W2[],MATCH("Team MTG",Thu_W2[#Headers],0),0),"")</f>
        <v/>
      </c>
      <c r="BU38" s="93" t="str">
        <f>IFERROR(VLOOKUP(LeadSum[[#This Row],[Lead]],Fri_W2[],MATCH("Help Line",Fri_W2[#Headers],0),0),"")</f>
        <v/>
      </c>
      <c r="BV38" s="93" t="str">
        <f>IFERROR(VLOOKUP(LeadSum[[#This Row],[Lead]],Fri_W2[],MATCH("RTA",Fri_W2[#Headers],0),0),"")</f>
        <v/>
      </c>
      <c r="BW38" s="93" t="str">
        <f>IFERROR(VLOOKUP(LeadSum[[#This Row],[Lead]],Fri_W2[],MATCH("Admin",Fri_W2[#Headers],0),0),"")</f>
        <v/>
      </c>
      <c r="BX38" s="93" t="str">
        <f>IFERROR(VLOOKUP(LeadSum[[#This Row],[Lead]],Fri_W2[],MATCH("Team MTG",Fri_W2[#Headers],0),0),"")</f>
        <v/>
      </c>
      <c r="BZ38" s="93" t="str">
        <f>IFERROR(VLOOKUP(LeadSum[[#This Row],[Lead]],Sat_W2[],MATCH("Help Line",Sat_W2[#Headers],0),0),"")</f>
        <v/>
      </c>
      <c r="CA38" s="93" t="str">
        <f>IFERROR(VLOOKUP(LeadSum[[#This Row],[Lead]],Sat_W2[],MATCH("RTA",Sat_W2[#Headers],0),0),"")</f>
        <v/>
      </c>
      <c r="CB38" s="93" t="str">
        <f>IFERROR(VLOOKUP(LeadSum[[#This Row],[Lead]],Sat_W2[],MATCH("Admin",Sat_W2[#Headers],0),0),"")</f>
        <v/>
      </c>
      <c r="CC38" s="93" t="str">
        <f>IFERROR(VLOOKUP(LeadSum[[#This Row],[Lead]],Sat_W2[],MATCH("Team MTG",Sat_W2[#Headers],0),0),"")</f>
        <v/>
      </c>
    </row>
    <row r="39" spans="1:81" x14ac:dyDescent="0.2">
      <c r="A39" s="93">
        <f>SUM(LeadSum[[#This Row],[Help Line W1]:[RTA W1]])</f>
        <v>0</v>
      </c>
      <c r="B39" s="108"/>
      <c r="C39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39" s="93">
        <f>SUM(LSum_Sun1[[#This Row],[RTA]],LSum_Mon1[[#This Row],[RTA]],LSum_Tue1[[#This Row],[RTA]],LSum_Wed1[[#This Row],[RTA]],LSum_Thu1[[#This Row],[RTA]],LSum_Fri1[[#This Row],[RTA]],LSum_Sat1[[#This Row],[RTA]])</f>
        <v>0</v>
      </c>
      <c r="E39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39" s="93">
        <f>SUM(LSum_Sun1[[#This Row],[TM]],LSum_Mon1[[#This Row],[TM]],LSum_Tue1[[#This Row],[TM]],LSum_Wed1[[#This Row],[TM]],LSum_Thu1[[#This Row],[TM]],LSum_Fri1[[#This Row],[TM]],LSum_Sat1[[#This Row],[TM]])</f>
        <v>0</v>
      </c>
      <c r="G39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39" s="93">
        <f>SUM(LSum_Sun2[[#This Row],[RTA]],LSum_Mon2[[#This Row],[RTA]],LSum_Tue2[[#This Row],[RTA]],LSum_Wed2[[#This Row],[RTA]],LSum_Thu2[[#This Row],[RTA]],LSum_Fri2[[#This Row],[RTA]],LSum_Sat2[[#This Row],[RTA]])</f>
        <v>0</v>
      </c>
      <c r="I39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39" s="93">
        <f>SUM(LSum_Sun2[[#This Row],[TM]],LSum_Mon2[[#This Row],[TM]],LSum_Tue2[[#This Row],[TM]],LSum_Wed2[[#This Row],[TM]],LSum_Thu2[[#This Row],[TM]],LSum_Fri2[[#This Row],[TM]],LSum_Sat2[[#This Row],[TM]])</f>
        <v>0</v>
      </c>
      <c r="K39" s="93">
        <f>SUM(LeadSum[[#This Row],[Help Line W2]:[RTA W2]])</f>
        <v>0</v>
      </c>
      <c r="L39" s="93"/>
      <c r="M39" s="93" t="str">
        <f>IFERROR(VLOOKUP(LeadSum[[#This Row],[Lead]],Sun_W1[],MATCH("Help Line",Sun_W1[#Headers],0),0),"")</f>
        <v/>
      </c>
      <c r="N39" s="93" t="str">
        <f>IFERROR(VLOOKUP(LeadSum[[#This Row],[Lead]],Sun_W1[],MATCH("RTA",Sun_W1[#Headers],0),0),"")</f>
        <v/>
      </c>
      <c r="O39" s="93" t="str">
        <f>IFERROR(VLOOKUP(LeadSum[[#This Row],[Lead]],Sun_W1[],MATCH("Admin",Sun_W1[#Headers],0),0),"")</f>
        <v/>
      </c>
      <c r="P39" s="93" t="str">
        <f>IFERROR(VLOOKUP(LeadSum[[#This Row],[Lead]],Sun_W1[],MATCH("Team MTG",Sun_W1[#Headers],0),0),"")</f>
        <v/>
      </c>
      <c r="R39" s="93" t="str">
        <f>IFERROR(VLOOKUP(LeadSum[[#This Row],[Lead]],Mon_W1[],MATCH("Help Line",Mon_W1[#Headers],0),0),"")</f>
        <v/>
      </c>
      <c r="S39" s="93" t="str">
        <f>IFERROR(VLOOKUP(LeadSum[[#This Row],[Lead]],Mon_W1[],MATCH("RTA",Mon_W1[#Headers],0),0),"")</f>
        <v/>
      </c>
      <c r="T39" s="93" t="str">
        <f>IFERROR(VLOOKUP(LeadSum[[#This Row],[Lead]],Mon_W1[],MATCH("Admin",Mon_W1[#Headers],0),0),"")</f>
        <v/>
      </c>
      <c r="U39" s="93" t="str">
        <f>IFERROR(VLOOKUP(LeadSum[[#This Row],[Lead]],Mon_W1[],MATCH("Team MTG",Mon_W1[#Headers],0),0),"")</f>
        <v/>
      </c>
      <c r="W39" s="93" t="str">
        <f>IFERROR(VLOOKUP(LeadSum[[#This Row],[Lead]],Tue_W1[],MATCH("Help Line",Tue_W1[#Headers],0),0),"")</f>
        <v/>
      </c>
      <c r="X39" s="93" t="str">
        <f>IFERROR(VLOOKUP(LeadSum[[#This Row],[Lead]],Tue_W1[],MATCH("RTA",Tue_W1[#Headers],0),0),"")</f>
        <v/>
      </c>
      <c r="Y39" s="93" t="str">
        <f>IFERROR(VLOOKUP(LeadSum[[#This Row],[Lead]],Tue_W1[],MATCH("Admin",Tue_W1[#Headers],0),0),"")</f>
        <v/>
      </c>
      <c r="Z39" s="93" t="str">
        <f>IFERROR(VLOOKUP(LeadSum[[#This Row],[Lead]],Tue_W1[],MATCH("Team MTG",Tue_W1[#Headers],0),0),"")</f>
        <v/>
      </c>
      <c r="AB39" s="93" t="str">
        <f>IFERROR(VLOOKUP(LeadSum[[#This Row],[Lead]],Wed_W1[],MATCH("Help Line",Wed_W1[#Headers],0),0),"")</f>
        <v/>
      </c>
      <c r="AC39" s="93" t="str">
        <f>IFERROR(VLOOKUP(LeadSum[[#This Row],[Lead]],Wed_W1[],MATCH("RTA",Wed_W1[#Headers],0),0),"")</f>
        <v/>
      </c>
      <c r="AD39" s="93" t="str">
        <f>IFERROR(VLOOKUP(LeadSum[[#This Row],[Lead]],Wed_W1[],MATCH("Admin",Wed_W1[#Headers],0),0),"")</f>
        <v/>
      </c>
      <c r="AE39" s="93" t="str">
        <f>IFERROR(VLOOKUP(LeadSum[[#This Row],[Lead]],Wed_W1[],MATCH("Team MTG",Wed_W1[#Headers],0),0),"")</f>
        <v/>
      </c>
      <c r="AG39" s="93" t="str">
        <f>IFERROR(VLOOKUP(LeadSum[[#This Row],[Lead]],Thu_W1[],MATCH("Help Line",Thu_W1[#Headers],0),0),"")</f>
        <v/>
      </c>
      <c r="AH39" s="93" t="str">
        <f>IFERROR(VLOOKUP(LeadSum[[#This Row],[Lead]],Thu_W1[],MATCH("RTA",Thu_W1[#Headers],0),0),"")</f>
        <v/>
      </c>
      <c r="AI39" s="93" t="str">
        <f>IFERROR(VLOOKUP(LeadSum[[#This Row],[Lead]],Thu_W1[],MATCH("Admin",Thu_W1[#Headers],0),0),"")</f>
        <v/>
      </c>
      <c r="AJ39" s="93" t="str">
        <f>IFERROR(VLOOKUP(LeadSum[[#This Row],[Lead]],Thu_W1[],MATCH("Team MTG",Thu_W1[#Headers],0),0),"")</f>
        <v/>
      </c>
      <c r="AL39" s="93" t="str">
        <f>IFERROR(VLOOKUP(LeadSum[[#This Row],[Lead]],Fri_W1[],MATCH("Help Line",Fri_W1[#Headers],0),0),"")</f>
        <v/>
      </c>
      <c r="AM39" s="93" t="str">
        <f>IFERROR(VLOOKUP(LeadSum[[#This Row],[Lead]],Fri_W1[],MATCH("RTA",Fri_W1[#Headers],0),0),"")</f>
        <v/>
      </c>
      <c r="AN39" s="93" t="str">
        <f>IFERROR(VLOOKUP(LeadSum[[#This Row],[Lead]],Fri_W1[],MATCH("Admin",Fri_W1[#Headers],0),0),"")</f>
        <v/>
      </c>
      <c r="AO39" s="93" t="str">
        <f>IFERROR(VLOOKUP(LeadSum[[#This Row],[Lead]],Fri_W1[],MATCH("Team MTG",Fri_W1[#Headers],0),0),"")</f>
        <v/>
      </c>
      <c r="AQ39" s="93" t="str">
        <f>IFERROR(VLOOKUP(LeadSum[[#This Row],[Lead]],Sat_W1[],MATCH("Help Line",Sat_W1[#Headers],0),0),"")</f>
        <v/>
      </c>
      <c r="AR39" s="93" t="str">
        <f>IFERROR(VLOOKUP(LeadSum[[#This Row],[Lead]],Sat_W1[],MATCH("RTA",Sat_W1[#Headers],0),0),"")</f>
        <v/>
      </c>
      <c r="AS39" s="93" t="str">
        <f>IFERROR(VLOOKUP(LeadSum[[#This Row],[Lead]],Sat_W1[],MATCH("Admin",Sat_W1[#Headers],0),0),"")</f>
        <v/>
      </c>
      <c r="AT39" s="93" t="str">
        <f>IFERROR(VLOOKUP(LeadSum[[#This Row],[Lead]],Sat_W1[],MATCH("Team MTG",Sat_W1[#Headers],0),0),"")</f>
        <v/>
      </c>
      <c r="AV39" s="93" t="str">
        <f>IFERROR(VLOOKUP(LeadSum[[#This Row],[Lead]],Sun_W2[],MATCH("Help Line",Sun_W2[#Headers],0),0),"")</f>
        <v/>
      </c>
      <c r="AW39" s="93" t="str">
        <f>IFERROR(VLOOKUP(LeadSum[[#This Row],[Lead]],Sun_W2[],MATCH("RTA",Sun_W2[#Headers],0),0),"")</f>
        <v/>
      </c>
      <c r="AX39" s="93" t="str">
        <f>IFERROR(VLOOKUP(LeadSum[[#This Row],[Lead]],Sun_W2[],MATCH("Admin",Sun_W2[#Headers],0),0),"")</f>
        <v/>
      </c>
      <c r="AY39" s="93" t="str">
        <f>IFERROR(VLOOKUP(LeadSum[[#This Row],[Lead]],Sun_W2[],MATCH("Team MTG",Sun_W2[#Headers],0),0),"")</f>
        <v/>
      </c>
      <c r="BA39" s="93" t="str">
        <f>IFERROR(VLOOKUP(LeadSum[[#This Row],[Lead]],Mon_W2[],MATCH("Help Line",Mon_W2[#Headers],0),0),"")</f>
        <v/>
      </c>
      <c r="BB39" s="93" t="str">
        <f>IFERROR(VLOOKUP(LeadSum[[#This Row],[Lead]],Mon_W2[],MATCH("RTA",Mon_W2[#Headers],0),0),"")</f>
        <v/>
      </c>
      <c r="BC39" s="93" t="str">
        <f>IFERROR(VLOOKUP(LeadSum[[#This Row],[Lead]],Mon_W2[],MATCH("Admin",Mon_W2[#Headers],0),0),"")</f>
        <v/>
      </c>
      <c r="BD39" s="93" t="str">
        <f>IFERROR(VLOOKUP(LeadSum[[#This Row],[Lead]],Mon_W2[],MATCH("Team MTG",Mon_W2[#Headers],0),0),"")</f>
        <v/>
      </c>
      <c r="BF39" s="93" t="str">
        <f>IFERROR(VLOOKUP(LeadSum[[#This Row],[Lead]],Tue_W2[],MATCH("Help Line",Tue_W2[#Headers],0),0),"")</f>
        <v/>
      </c>
      <c r="BG39" s="93" t="str">
        <f>IFERROR(VLOOKUP(LeadSum[[#This Row],[Lead]],Tue_W2[],MATCH("RTA",Tue_W2[#Headers],0),0),"")</f>
        <v/>
      </c>
      <c r="BH39" s="93" t="str">
        <f>IFERROR(VLOOKUP(LeadSum[[#This Row],[Lead]],Tue_W2[],MATCH("Admin",Tue_W2[#Headers],0),0),"")</f>
        <v/>
      </c>
      <c r="BI39" s="93" t="str">
        <f>IFERROR(VLOOKUP(LeadSum[[#This Row],[Lead]],Tue_W2[],MATCH("Team MTG",Tue_W2[#Headers],0),0),"")</f>
        <v/>
      </c>
      <c r="BK39" s="93" t="str">
        <f>IFERROR(VLOOKUP(LeadSum[[#This Row],[Lead]],Wed_W2[],MATCH("Help Line",Wed_W2[#Headers],0),0),"")</f>
        <v/>
      </c>
      <c r="BL39" s="93" t="str">
        <f>IFERROR(VLOOKUP(LeadSum[[#This Row],[Lead]],Wed_W2[],MATCH("RTA",Wed_W2[#Headers],0),0),"")</f>
        <v/>
      </c>
      <c r="BM39" s="93" t="str">
        <f>IFERROR(VLOOKUP(LeadSum[[#This Row],[Lead]],Wed_W2[],MATCH("Admin",Wed_W2[#Headers],0),0),"")</f>
        <v/>
      </c>
      <c r="BN39" s="93" t="str">
        <f>IFERROR(VLOOKUP(LeadSum[[#This Row],[Lead]],Wed_W2[],MATCH("Team MTG",Wed_W2[#Headers],0),0),"")</f>
        <v/>
      </c>
      <c r="BP39" s="93" t="str">
        <f>IFERROR(VLOOKUP(LeadSum[[#This Row],[Lead]],Thu_W2[],MATCH("Help Line",Thu_W2[#Headers],0),0),"")</f>
        <v/>
      </c>
      <c r="BQ39" s="93" t="str">
        <f>IFERROR(VLOOKUP(LeadSum[[#This Row],[Lead]],Thu_W2[],MATCH("RTA",Thu_W2[#Headers],0),0),"")</f>
        <v/>
      </c>
      <c r="BR39" s="93" t="str">
        <f>IFERROR(VLOOKUP(LeadSum[[#This Row],[Lead]],Thu_W2[],MATCH("Admin",Thu_W2[#Headers],0),0),"")</f>
        <v/>
      </c>
      <c r="BS39" s="93" t="str">
        <f>IFERROR(VLOOKUP(LeadSum[[#This Row],[Lead]],Thu_W2[],MATCH("Team MTG",Thu_W2[#Headers],0),0),"")</f>
        <v/>
      </c>
      <c r="BU39" s="93" t="str">
        <f>IFERROR(VLOOKUP(LeadSum[[#This Row],[Lead]],Fri_W2[],MATCH("Help Line",Fri_W2[#Headers],0),0),"")</f>
        <v/>
      </c>
      <c r="BV39" s="93" t="str">
        <f>IFERROR(VLOOKUP(LeadSum[[#This Row],[Lead]],Fri_W2[],MATCH("RTA",Fri_W2[#Headers],0),0),"")</f>
        <v/>
      </c>
      <c r="BW39" s="93" t="str">
        <f>IFERROR(VLOOKUP(LeadSum[[#This Row],[Lead]],Fri_W2[],MATCH("Admin",Fri_W2[#Headers],0),0),"")</f>
        <v/>
      </c>
      <c r="BX39" s="93" t="str">
        <f>IFERROR(VLOOKUP(LeadSum[[#This Row],[Lead]],Fri_W2[],MATCH("Team MTG",Fri_W2[#Headers],0),0),"")</f>
        <v/>
      </c>
      <c r="BZ39" s="93" t="str">
        <f>IFERROR(VLOOKUP(LeadSum[[#This Row],[Lead]],Sat_W2[],MATCH("Help Line",Sat_W2[#Headers],0),0),"")</f>
        <v/>
      </c>
      <c r="CA39" s="93" t="str">
        <f>IFERROR(VLOOKUP(LeadSum[[#This Row],[Lead]],Sat_W2[],MATCH("RTA",Sat_W2[#Headers],0),0),"")</f>
        <v/>
      </c>
      <c r="CB39" s="93" t="str">
        <f>IFERROR(VLOOKUP(LeadSum[[#This Row],[Lead]],Sat_W2[],MATCH("Admin",Sat_W2[#Headers],0),0),"")</f>
        <v/>
      </c>
      <c r="CC39" s="93" t="str">
        <f>IFERROR(VLOOKUP(LeadSum[[#This Row],[Lead]],Sat_W2[],MATCH("Team MTG",Sat_W2[#Headers],0),0),"")</f>
        <v/>
      </c>
    </row>
    <row r="40" spans="1:81" x14ac:dyDescent="0.2">
      <c r="A40" s="93">
        <f>SUM(LeadSum[[#This Row],[Help Line W1]:[RTA W1]])</f>
        <v>0</v>
      </c>
      <c r="B40" s="108"/>
      <c r="C40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40" s="93">
        <f>SUM(LSum_Sun1[[#This Row],[RTA]],LSum_Mon1[[#This Row],[RTA]],LSum_Tue1[[#This Row],[RTA]],LSum_Wed1[[#This Row],[RTA]],LSum_Thu1[[#This Row],[RTA]],LSum_Fri1[[#This Row],[RTA]],LSum_Sat1[[#This Row],[RTA]])</f>
        <v>0</v>
      </c>
      <c r="E40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40" s="93">
        <f>SUM(LSum_Sun1[[#This Row],[TM]],LSum_Mon1[[#This Row],[TM]],LSum_Tue1[[#This Row],[TM]],LSum_Wed1[[#This Row],[TM]],LSum_Thu1[[#This Row],[TM]],LSum_Fri1[[#This Row],[TM]],LSum_Sat1[[#This Row],[TM]])</f>
        <v>0</v>
      </c>
      <c r="G40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40" s="93">
        <f>SUM(LSum_Sun2[[#This Row],[RTA]],LSum_Mon2[[#This Row],[RTA]],LSum_Tue2[[#This Row],[RTA]],LSum_Wed2[[#This Row],[RTA]],LSum_Thu2[[#This Row],[RTA]],LSum_Fri2[[#This Row],[RTA]],LSum_Sat2[[#This Row],[RTA]])</f>
        <v>0</v>
      </c>
      <c r="I40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40" s="93">
        <f>SUM(LSum_Sun2[[#This Row],[TM]],LSum_Mon2[[#This Row],[TM]],LSum_Tue2[[#This Row],[TM]],LSum_Wed2[[#This Row],[TM]],LSum_Thu2[[#This Row],[TM]],LSum_Fri2[[#This Row],[TM]],LSum_Sat2[[#This Row],[TM]])</f>
        <v>0</v>
      </c>
      <c r="K40" s="93">
        <f>SUM(LeadSum[[#This Row],[Help Line W2]:[RTA W2]])</f>
        <v>0</v>
      </c>
      <c r="L40" s="93"/>
      <c r="M40" s="93" t="str">
        <f>IFERROR(VLOOKUP(LeadSum[[#This Row],[Lead]],Sun_W1[],MATCH("Help Line",Sun_W1[#Headers],0),0),"")</f>
        <v/>
      </c>
      <c r="N40" s="93" t="str">
        <f>IFERROR(VLOOKUP(LeadSum[[#This Row],[Lead]],Sun_W1[],MATCH("RTA",Sun_W1[#Headers],0),0),"")</f>
        <v/>
      </c>
      <c r="O40" s="93" t="str">
        <f>IFERROR(VLOOKUP(LeadSum[[#This Row],[Lead]],Sun_W1[],MATCH("Admin",Sun_W1[#Headers],0),0),"")</f>
        <v/>
      </c>
      <c r="P40" s="93" t="str">
        <f>IFERROR(VLOOKUP(LeadSum[[#This Row],[Lead]],Sun_W1[],MATCH("Team MTG",Sun_W1[#Headers],0),0),"")</f>
        <v/>
      </c>
      <c r="R40" s="93" t="str">
        <f>IFERROR(VLOOKUP(LeadSum[[#This Row],[Lead]],Mon_W1[],MATCH("Help Line",Mon_W1[#Headers],0),0),"")</f>
        <v/>
      </c>
      <c r="S40" s="93" t="str">
        <f>IFERROR(VLOOKUP(LeadSum[[#This Row],[Lead]],Mon_W1[],MATCH("RTA",Mon_W1[#Headers],0),0),"")</f>
        <v/>
      </c>
      <c r="T40" s="93" t="str">
        <f>IFERROR(VLOOKUP(LeadSum[[#This Row],[Lead]],Mon_W1[],MATCH("Admin",Mon_W1[#Headers],0),0),"")</f>
        <v/>
      </c>
      <c r="U40" s="93" t="str">
        <f>IFERROR(VLOOKUP(LeadSum[[#This Row],[Lead]],Mon_W1[],MATCH("Team MTG",Mon_W1[#Headers],0),0),"")</f>
        <v/>
      </c>
      <c r="W40" s="93" t="str">
        <f>IFERROR(VLOOKUP(LeadSum[[#This Row],[Lead]],Tue_W1[],MATCH("Help Line",Tue_W1[#Headers],0),0),"")</f>
        <v/>
      </c>
      <c r="X40" s="93" t="str">
        <f>IFERROR(VLOOKUP(LeadSum[[#This Row],[Lead]],Tue_W1[],MATCH("RTA",Tue_W1[#Headers],0),0),"")</f>
        <v/>
      </c>
      <c r="Y40" s="93" t="str">
        <f>IFERROR(VLOOKUP(LeadSum[[#This Row],[Lead]],Tue_W1[],MATCH("Admin",Tue_W1[#Headers],0),0),"")</f>
        <v/>
      </c>
      <c r="Z40" s="93" t="str">
        <f>IFERROR(VLOOKUP(LeadSum[[#This Row],[Lead]],Tue_W1[],MATCH("Team MTG",Tue_W1[#Headers],0),0),"")</f>
        <v/>
      </c>
      <c r="AB40" s="93" t="str">
        <f>IFERROR(VLOOKUP(LeadSum[[#This Row],[Lead]],Wed_W1[],MATCH("Help Line",Wed_W1[#Headers],0),0),"")</f>
        <v/>
      </c>
      <c r="AC40" s="93" t="str">
        <f>IFERROR(VLOOKUP(LeadSum[[#This Row],[Lead]],Wed_W1[],MATCH("RTA",Wed_W1[#Headers],0),0),"")</f>
        <v/>
      </c>
      <c r="AD40" s="93" t="str">
        <f>IFERROR(VLOOKUP(LeadSum[[#This Row],[Lead]],Wed_W1[],MATCH("Admin",Wed_W1[#Headers],0),0),"")</f>
        <v/>
      </c>
      <c r="AE40" s="93" t="str">
        <f>IFERROR(VLOOKUP(LeadSum[[#This Row],[Lead]],Wed_W1[],MATCH("Team MTG",Wed_W1[#Headers],0),0),"")</f>
        <v/>
      </c>
      <c r="AG40" s="93" t="str">
        <f>IFERROR(VLOOKUP(LeadSum[[#This Row],[Lead]],Thu_W1[],MATCH("Help Line",Thu_W1[#Headers],0),0),"")</f>
        <v/>
      </c>
      <c r="AH40" s="93" t="str">
        <f>IFERROR(VLOOKUP(LeadSum[[#This Row],[Lead]],Thu_W1[],MATCH("RTA",Thu_W1[#Headers],0),0),"")</f>
        <v/>
      </c>
      <c r="AI40" s="93" t="str">
        <f>IFERROR(VLOOKUP(LeadSum[[#This Row],[Lead]],Thu_W1[],MATCH("Admin",Thu_W1[#Headers],0),0),"")</f>
        <v/>
      </c>
      <c r="AJ40" s="93" t="str">
        <f>IFERROR(VLOOKUP(LeadSum[[#This Row],[Lead]],Thu_W1[],MATCH("Team MTG",Thu_W1[#Headers],0),0),"")</f>
        <v/>
      </c>
      <c r="AL40" s="93" t="str">
        <f>IFERROR(VLOOKUP(LeadSum[[#This Row],[Lead]],Fri_W1[],MATCH("Help Line",Fri_W1[#Headers],0),0),"")</f>
        <v/>
      </c>
      <c r="AM40" s="93" t="str">
        <f>IFERROR(VLOOKUP(LeadSum[[#This Row],[Lead]],Fri_W1[],MATCH("RTA",Fri_W1[#Headers],0),0),"")</f>
        <v/>
      </c>
      <c r="AN40" s="93" t="str">
        <f>IFERROR(VLOOKUP(LeadSum[[#This Row],[Lead]],Fri_W1[],MATCH("Admin",Fri_W1[#Headers],0),0),"")</f>
        <v/>
      </c>
      <c r="AO40" s="93" t="str">
        <f>IFERROR(VLOOKUP(LeadSum[[#This Row],[Lead]],Fri_W1[],MATCH("Team MTG",Fri_W1[#Headers],0),0),"")</f>
        <v/>
      </c>
      <c r="AQ40" s="93" t="str">
        <f>IFERROR(VLOOKUP(LeadSum[[#This Row],[Lead]],Sat_W1[],MATCH("Help Line",Sat_W1[#Headers],0),0),"")</f>
        <v/>
      </c>
      <c r="AR40" s="93" t="str">
        <f>IFERROR(VLOOKUP(LeadSum[[#This Row],[Lead]],Sat_W1[],MATCH("RTA",Sat_W1[#Headers],0),0),"")</f>
        <v/>
      </c>
      <c r="AS40" s="93" t="str">
        <f>IFERROR(VLOOKUP(LeadSum[[#This Row],[Lead]],Sat_W1[],MATCH("Admin",Sat_W1[#Headers],0),0),"")</f>
        <v/>
      </c>
      <c r="AT40" s="93" t="str">
        <f>IFERROR(VLOOKUP(LeadSum[[#This Row],[Lead]],Sat_W1[],MATCH("Team MTG",Sat_W1[#Headers],0),0),"")</f>
        <v/>
      </c>
      <c r="AV40" s="93" t="str">
        <f>IFERROR(VLOOKUP(LeadSum[[#This Row],[Lead]],Sun_W2[],MATCH("Help Line",Sun_W2[#Headers],0),0),"")</f>
        <v/>
      </c>
      <c r="AW40" s="93" t="str">
        <f>IFERROR(VLOOKUP(LeadSum[[#This Row],[Lead]],Sun_W2[],MATCH("RTA",Sun_W2[#Headers],0),0),"")</f>
        <v/>
      </c>
      <c r="AX40" s="93" t="str">
        <f>IFERROR(VLOOKUP(LeadSum[[#This Row],[Lead]],Sun_W2[],MATCH("Admin",Sun_W2[#Headers],0),0),"")</f>
        <v/>
      </c>
      <c r="AY40" s="93" t="str">
        <f>IFERROR(VLOOKUP(LeadSum[[#This Row],[Lead]],Sun_W2[],MATCH("Team MTG",Sun_W2[#Headers],0),0),"")</f>
        <v/>
      </c>
      <c r="BA40" s="93" t="str">
        <f>IFERROR(VLOOKUP(LeadSum[[#This Row],[Lead]],Mon_W2[],MATCH("Help Line",Mon_W2[#Headers],0),0),"")</f>
        <v/>
      </c>
      <c r="BB40" s="93" t="str">
        <f>IFERROR(VLOOKUP(LeadSum[[#This Row],[Lead]],Mon_W2[],MATCH("RTA",Mon_W2[#Headers],0),0),"")</f>
        <v/>
      </c>
      <c r="BC40" s="93" t="str">
        <f>IFERROR(VLOOKUP(LeadSum[[#This Row],[Lead]],Mon_W2[],MATCH("Admin",Mon_W2[#Headers],0),0),"")</f>
        <v/>
      </c>
      <c r="BD40" s="93" t="str">
        <f>IFERROR(VLOOKUP(LeadSum[[#This Row],[Lead]],Mon_W2[],MATCH("Team MTG",Mon_W2[#Headers],0),0),"")</f>
        <v/>
      </c>
      <c r="BF40" s="93" t="str">
        <f>IFERROR(VLOOKUP(LeadSum[[#This Row],[Lead]],Tue_W2[],MATCH("Help Line",Tue_W2[#Headers],0),0),"")</f>
        <v/>
      </c>
      <c r="BG40" s="93" t="str">
        <f>IFERROR(VLOOKUP(LeadSum[[#This Row],[Lead]],Tue_W2[],MATCH("RTA",Tue_W2[#Headers],0),0),"")</f>
        <v/>
      </c>
      <c r="BH40" s="93" t="str">
        <f>IFERROR(VLOOKUP(LeadSum[[#This Row],[Lead]],Tue_W2[],MATCH("Admin",Tue_W2[#Headers],0),0),"")</f>
        <v/>
      </c>
      <c r="BI40" s="93" t="str">
        <f>IFERROR(VLOOKUP(LeadSum[[#This Row],[Lead]],Tue_W2[],MATCH("Team MTG",Tue_W2[#Headers],0),0),"")</f>
        <v/>
      </c>
      <c r="BK40" s="93" t="str">
        <f>IFERROR(VLOOKUP(LeadSum[[#This Row],[Lead]],Wed_W2[],MATCH("Help Line",Wed_W2[#Headers],0),0),"")</f>
        <v/>
      </c>
      <c r="BL40" s="93" t="str">
        <f>IFERROR(VLOOKUP(LeadSum[[#This Row],[Lead]],Wed_W2[],MATCH("RTA",Wed_W2[#Headers],0),0),"")</f>
        <v/>
      </c>
      <c r="BM40" s="93" t="str">
        <f>IFERROR(VLOOKUP(LeadSum[[#This Row],[Lead]],Wed_W2[],MATCH("Admin",Wed_W2[#Headers],0),0),"")</f>
        <v/>
      </c>
      <c r="BN40" s="93" t="str">
        <f>IFERROR(VLOOKUP(LeadSum[[#This Row],[Lead]],Wed_W2[],MATCH("Team MTG",Wed_W2[#Headers],0),0),"")</f>
        <v/>
      </c>
      <c r="BP40" s="93" t="str">
        <f>IFERROR(VLOOKUP(LeadSum[[#This Row],[Lead]],Thu_W2[],MATCH("Help Line",Thu_W2[#Headers],0),0),"")</f>
        <v/>
      </c>
      <c r="BQ40" s="93" t="str">
        <f>IFERROR(VLOOKUP(LeadSum[[#This Row],[Lead]],Thu_W2[],MATCH("RTA",Thu_W2[#Headers],0),0),"")</f>
        <v/>
      </c>
      <c r="BR40" s="93" t="str">
        <f>IFERROR(VLOOKUP(LeadSum[[#This Row],[Lead]],Thu_W2[],MATCH("Admin",Thu_W2[#Headers],0),0),"")</f>
        <v/>
      </c>
      <c r="BS40" s="93" t="str">
        <f>IFERROR(VLOOKUP(LeadSum[[#This Row],[Lead]],Thu_W2[],MATCH("Team MTG",Thu_W2[#Headers],0),0),"")</f>
        <v/>
      </c>
      <c r="BU40" s="93" t="str">
        <f>IFERROR(VLOOKUP(LeadSum[[#This Row],[Lead]],Fri_W2[],MATCH("Help Line",Fri_W2[#Headers],0),0),"")</f>
        <v/>
      </c>
      <c r="BV40" s="93" t="str">
        <f>IFERROR(VLOOKUP(LeadSum[[#This Row],[Lead]],Fri_W2[],MATCH("RTA",Fri_W2[#Headers],0),0),"")</f>
        <v/>
      </c>
      <c r="BW40" s="93" t="str">
        <f>IFERROR(VLOOKUP(LeadSum[[#This Row],[Lead]],Fri_W2[],MATCH("Admin",Fri_W2[#Headers],0),0),"")</f>
        <v/>
      </c>
      <c r="BX40" s="93" t="str">
        <f>IFERROR(VLOOKUP(LeadSum[[#This Row],[Lead]],Fri_W2[],MATCH("Team MTG",Fri_W2[#Headers],0),0),"")</f>
        <v/>
      </c>
      <c r="BZ40" s="93" t="str">
        <f>IFERROR(VLOOKUP(LeadSum[[#This Row],[Lead]],Sat_W2[],MATCH("Help Line",Sat_W2[#Headers],0),0),"")</f>
        <v/>
      </c>
      <c r="CA40" s="93" t="str">
        <f>IFERROR(VLOOKUP(LeadSum[[#This Row],[Lead]],Sat_W2[],MATCH("RTA",Sat_W2[#Headers],0),0),"")</f>
        <v/>
      </c>
      <c r="CB40" s="93" t="str">
        <f>IFERROR(VLOOKUP(LeadSum[[#This Row],[Lead]],Sat_W2[],MATCH("Admin",Sat_W2[#Headers],0),0),"")</f>
        <v/>
      </c>
      <c r="CC40" s="93" t="str">
        <f>IFERROR(VLOOKUP(LeadSum[[#This Row],[Lead]],Sat_W2[],MATCH("Team MTG",Sat_W2[#Headers],0),0),"")</f>
        <v/>
      </c>
    </row>
    <row r="41" spans="1:81" x14ac:dyDescent="0.2">
      <c r="A41" s="93">
        <f>SUM(LeadSum[[#This Row],[Help Line W1]:[RTA W1]])</f>
        <v>0</v>
      </c>
      <c r="B41" s="108"/>
      <c r="C41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41" s="93">
        <f>SUM(LSum_Sun1[[#This Row],[RTA]],LSum_Mon1[[#This Row],[RTA]],LSum_Tue1[[#This Row],[RTA]],LSum_Wed1[[#This Row],[RTA]],LSum_Thu1[[#This Row],[RTA]],LSum_Fri1[[#This Row],[RTA]],LSum_Sat1[[#This Row],[RTA]])</f>
        <v>0</v>
      </c>
      <c r="E41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41" s="93">
        <f>SUM(LSum_Sun1[[#This Row],[TM]],LSum_Mon1[[#This Row],[TM]],LSum_Tue1[[#This Row],[TM]],LSum_Wed1[[#This Row],[TM]],LSum_Thu1[[#This Row],[TM]],LSum_Fri1[[#This Row],[TM]],LSum_Sat1[[#This Row],[TM]])</f>
        <v>0</v>
      </c>
      <c r="G41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41" s="93">
        <f>SUM(LSum_Sun2[[#This Row],[RTA]],LSum_Mon2[[#This Row],[RTA]],LSum_Tue2[[#This Row],[RTA]],LSum_Wed2[[#This Row],[RTA]],LSum_Thu2[[#This Row],[RTA]],LSum_Fri2[[#This Row],[RTA]],LSum_Sat2[[#This Row],[RTA]])</f>
        <v>0</v>
      </c>
      <c r="I41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41" s="93">
        <f>SUM(LSum_Sun2[[#This Row],[TM]],LSum_Mon2[[#This Row],[TM]],LSum_Tue2[[#This Row],[TM]],LSum_Wed2[[#This Row],[TM]],LSum_Thu2[[#This Row],[TM]],LSum_Fri2[[#This Row],[TM]],LSum_Sat2[[#This Row],[TM]])</f>
        <v>0</v>
      </c>
      <c r="K41" s="93">
        <f>SUM(LeadSum[[#This Row],[Help Line W2]:[RTA W2]])</f>
        <v>0</v>
      </c>
      <c r="L41" s="93"/>
      <c r="M41" s="93" t="str">
        <f>IFERROR(VLOOKUP(LeadSum[[#This Row],[Lead]],Sun_W1[],MATCH("Help Line",Sun_W1[#Headers],0),0),"")</f>
        <v/>
      </c>
      <c r="N41" s="93" t="str">
        <f>IFERROR(VLOOKUP(LeadSum[[#This Row],[Lead]],Sun_W1[],MATCH("RTA",Sun_W1[#Headers],0),0),"")</f>
        <v/>
      </c>
      <c r="O41" s="93" t="str">
        <f>IFERROR(VLOOKUP(LeadSum[[#This Row],[Lead]],Sun_W1[],MATCH("Admin",Sun_W1[#Headers],0),0),"")</f>
        <v/>
      </c>
      <c r="P41" s="93" t="str">
        <f>IFERROR(VLOOKUP(LeadSum[[#This Row],[Lead]],Sun_W1[],MATCH("Team MTG",Sun_W1[#Headers],0),0),"")</f>
        <v/>
      </c>
      <c r="R41" s="93" t="str">
        <f>IFERROR(VLOOKUP(LeadSum[[#This Row],[Lead]],Mon_W1[],MATCH("Help Line",Mon_W1[#Headers],0),0),"")</f>
        <v/>
      </c>
      <c r="S41" s="93" t="str">
        <f>IFERROR(VLOOKUP(LeadSum[[#This Row],[Lead]],Mon_W1[],MATCH("RTA",Mon_W1[#Headers],0),0),"")</f>
        <v/>
      </c>
      <c r="T41" s="93" t="str">
        <f>IFERROR(VLOOKUP(LeadSum[[#This Row],[Lead]],Mon_W1[],MATCH("Admin",Mon_W1[#Headers],0),0),"")</f>
        <v/>
      </c>
      <c r="U41" s="93" t="str">
        <f>IFERROR(VLOOKUP(LeadSum[[#This Row],[Lead]],Mon_W1[],MATCH("Team MTG",Mon_W1[#Headers],0),0),"")</f>
        <v/>
      </c>
      <c r="W41" s="93" t="str">
        <f>IFERROR(VLOOKUP(LeadSum[[#This Row],[Lead]],Tue_W1[],MATCH("Help Line",Tue_W1[#Headers],0),0),"")</f>
        <v/>
      </c>
      <c r="X41" s="93" t="str">
        <f>IFERROR(VLOOKUP(LeadSum[[#This Row],[Lead]],Tue_W1[],MATCH("RTA",Tue_W1[#Headers],0),0),"")</f>
        <v/>
      </c>
      <c r="Y41" s="93" t="str">
        <f>IFERROR(VLOOKUP(LeadSum[[#This Row],[Lead]],Tue_W1[],MATCH("Admin",Tue_W1[#Headers],0),0),"")</f>
        <v/>
      </c>
      <c r="Z41" s="93" t="str">
        <f>IFERROR(VLOOKUP(LeadSum[[#This Row],[Lead]],Tue_W1[],MATCH("Team MTG",Tue_W1[#Headers],0),0),"")</f>
        <v/>
      </c>
      <c r="AB41" s="93" t="str">
        <f>IFERROR(VLOOKUP(LeadSum[[#This Row],[Lead]],Wed_W1[],MATCH("Help Line",Wed_W1[#Headers],0),0),"")</f>
        <v/>
      </c>
      <c r="AC41" s="93" t="str">
        <f>IFERROR(VLOOKUP(LeadSum[[#This Row],[Lead]],Wed_W1[],MATCH("RTA",Wed_W1[#Headers],0),0),"")</f>
        <v/>
      </c>
      <c r="AD41" s="93" t="str">
        <f>IFERROR(VLOOKUP(LeadSum[[#This Row],[Lead]],Wed_W1[],MATCH("Admin",Wed_W1[#Headers],0),0),"")</f>
        <v/>
      </c>
      <c r="AE41" s="93" t="str">
        <f>IFERROR(VLOOKUP(LeadSum[[#This Row],[Lead]],Wed_W1[],MATCH("Team MTG",Wed_W1[#Headers],0),0),"")</f>
        <v/>
      </c>
      <c r="AG41" s="93" t="str">
        <f>IFERROR(VLOOKUP(LeadSum[[#This Row],[Lead]],Thu_W1[],MATCH("Help Line",Thu_W1[#Headers],0),0),"")</f>
        <v/>
      </c>
      <c r="AH41" s="93" t="str">
        <f>IFERROR(VLOOKUP(LeadSum[[#This Row],[Lead]],Thu_W1[],MATCH("RTA",Thu_W1[#Headers],0),0),"")</f>
        <v/>
      </c>
      <c r="AI41" s="93" t="str">
        <f>IFERROR(VLOOKUP(LeadSum[[#This Row],[Lead]],Thu_W1[],MATCH("Admin",Thu_W1[#Headers],0),0),"")</f>
        <v/>
      </c>
      <c r="AJ41" s="93" t="str">
        <f>IFERROR(VLOOKUP(LeadSum[[#This Row],[Lead]],Thu_W1[],MATCH("Team MTG",Thu_W1[#Headers],0),0),"")</f>
        <v/>
      </c>
      <c r="AL41" s="93" t="str">
        <f>IFERROR(VLOOKUP(LeadSum[[#This Row],[Lead]],Fri_W1[],MATCH("Help Line",Fri_W1[#Headers],0),0),"")</f>
        <v/>
      </c>
      <c r="AM41" s="93" t="str">
        <f>IFERROR(VLOOKUP(LeadSum[[#This Row],[Lead]],Fri_W1[],MATCH("RTA",Fri_W1[#Headers],0),0),"")</f>
        <v/>
      </c>
      <c r="AN41" s="93" t="str">
        <f>IFERROR(VLOOKUP(LeadSum[[#This Row],[Lead]],Fri_W1[],MATCH("Admin",Fri_W1[#Headers],0),0),"")</f>
        <v/>
      </c>
      <c r="AO41" s="93" t="str">
        <f>IFERROR(VLOOKUP(LeadSum[[#This Row],[Lead]],Fri_W1[],MATCH("Team MTG",Fri_W1[#Headers],0),0),"")</f>
        <v/>
      </c>
      <c r="AQ41" s="93" t="str">
        <f>IFERROR(VLOOKUP(LeadSum[[#This Row],[Lead]],Sat_W1[],MATCH("Help Line",Sat_W1[#Headers],0),0),"")</f>
        <v/>
      </c>
      <c r="AR41" s="93" t="str">
        <f>IFERROR(VLOOKUP(LeadSum[[#This Row],[Lead]],Sat_W1[],MATCH("RTA",Sat_W1[#Headers],0),0),"")</f>
        <v/>
      </c>
      <c r="AS41" s="93" t="str">
        <f>IFERROR(VLOOKUP(LeadSum[[#This Row],[Lead]],Sat_W1[],MATCH("Admin",Sat_W1[#Headers],0),0),"")</f>
        <v/>
      </c>
      <c r="AT41" s="93" t="str">
        <f>IFERROR(VLOOKUP(LeadSum[[#This Row],[Lead]],Sat_W1[],MATCH("Team MTG",Sat_W1[#Headers],0),0),"")</f>
        <v/>
      </c>
      <c r="AV41" s="93" t="str">
        <f>IFERROR(VLOOKUP(LeadSum[[#This Row],[Lead]],Sun_W2[],MATCH("Help Line",Sun_W2[#Headers],0),0),"")</f>
        <v/>
      </c>
      <c r="AW41" s="93" t="str">
        <f>IFERROR(VLOOKUP(LeadSum[[#This Row],[Lead]],Sun_W2[],MATCH("RTA",Sun_W2[#Headers],0),0),"")</f>
        <v/>
      </c>
      <c r="AX41" s="93" t="str">
        <f>IFERROR(VLOOKUP(LeadSum[[#This Row],[Lead]],Sun_W2[],MATCH("Admin",Sun_W2[#Headers],0),0),"")</f>
        <v/>
      </c>
      <c r="AY41" s="93" t="str">
        <f>IFERROR(VLOOKUP(LeadSum[[#This Row],[Lead]],Sun_W2[],MATCH("Team MTG",Sun_W2[#Headers],0),0),"")</f>
        <v/>
      </c>
      <c r="BA41" s="93" t="str">
        <f>IFERROR(VLOOKUP(LeadSum[[#This Row],[Lead]],Mon_W2[],MATCH("Help Line",Mon_W2[#Headers],0),0),"")</f>
        <v/>
      </c>
      <c r="BB41" s="93" t="str">
        <f>IFERROR(VLOOKUP(LeadSum[[#This Row],[Lead]],Mon_W2[],MATCH("RTA",Mon_W2[#Headers],0),0),"")</f>
        <v/>
      </c>
      <c r="BC41" s="93" t="str">
        <f>IFERROR(VLOOKUP(LeadSum[[#This Row],[Lead]],Mon_W2[],MATCH("Admin",Mon_W2[#Headers],0),0),"")</f>
        <v/>
      </c>
      <c r="BD41" s="93" t="str">
        <f>IFERROR(VLOOKUP(LeadSum[[#This Row],[Lead]],Mon_W2[],MATCH("Team MTG",Mon_W2[#Headers],0),0),"")</f>
        <v/>
      </c>
      <c r="BF41" s="93" t="str">
        <f>IFERROR(VLOOKUP(LeadSum[[#This Row],[Lead]],Tue_W2[],MATCH("Help Line",Tue_W2[#Headers],0),0),"")</f>
        <v/>
      </c>
      <c r="BG41" s="93" t="str">
        <f>IFERROR(VLOOKUP(LeadSum[[#This Row],[Lead]],Tue_W2[],MATCH("RTA",Tue_W2[#Headers],0),0),"")</f>
        <v/>
      </c>
      <c r="BH41" s="93" t="str">
        <f>IFERROR(VLOOKUP(LeadSum[[#This Row],[Lead]],Tue_W2[],MATCH("Admin",Tue_W2[#Headers],0),0),"")</f>
        <v/>
      </c>
      <c r="BI41" s="93" t="str">
        <f>IFERROR(VLOOKUP(LeadSum[[#This Row],[Lead]],Tue_W2[],MATCH("Team MTG",Tue_W2[#Headers],0),0),"")</f>
        <v/>
      </c>
      <c r="BK41" s="93" t="str">
        <f>IFERROR(VLOOKUP(LeadSum[[#This Row],[Lead]],Wed_W2[],MATCH("Help Line",Wed_W2[#Headers],0),0),"")</f>
        <v/>
      </c>
      <c r="BL41" s="93" t="str">
        <f>IFERROR(VLOOKUP(LeadSum[[#This Row],[Lead]],Wed_W2[],MATCH("RTA",Wed_W2[#Headers],0),0),"")</f>
        <v/>
      </c>
      <c r="BM41" s="93" t="str">
        <f>IFERROR(VLOOKUP(LeadSum[[#This Row],[Lead]],Wed_W2[],MATCH("Admin",Wed_W2[#Headers],0),0),"")</f>
        <v/>
      </c>
      <c r="BN41" s="93" t="str">
        <f>IFERROR(VLOOKUP(LeadSum[[#This Row],[Lead]],Wed_W2[],MATCH("Team MTG",Wed_W2[#Headers],0),0),"")</f>
        <v/>
      </c>
      <c r="BP41" s="93" t="str">
        <f>IFERROR(VLOOKUP(LeadSum[[#This Row],[Lead]],Thu_W2[],MATCH("Help Line",Thu_W2[#Headers],0),0),"")</f>
        <v/>
      </c>
      <c r="BQ41" s="93" t="str">
        <f>IFERROR(VLOOKUP(LeadSum[[#This Row],[Lead]],Thu_W2[],MATCH("RTA",Thu_W2[#Headers],0),0),"")</f>
        <v/>
      </c>
      <c r="BR41" s="93" t="str">
        <f>IFERROR(VLOOKUP(LeadSum[[#This Row],[Lead]],Thu_W2[],MATCH("Admin",Thu_W2[#Headers],0),0),"")</f>
        <v/>
      </c>
      <c r="BS41" s="93" t="str">
        <f>IFERROR(VLOOKUP(LeadSum[[#This Row],[Lead]],Thu_W2[],MATCH("Team MTG",Thu_W2[#Headers],0),0),"")</f>
        <v/>
      </c>
      <c r="BU41" s="93" t="str">
        <f>IFERROR(VLOOKUP(LeadSum[[#This Row],[Lead]],Fri_W2[],MATCH("Help Line",Fri_W2[#Headers],0),0),"")</f>
        <v/>
      </c>
      <c r="BV41" s="93" t="str">
        <f>IFERROR(VLOOKUP(LeadSum[[#This Row],[Lead]],Fri_W2[],MATCH("RTA",Fri_W2[#Headers],0),0),"")</f>
        <v/>
      </c>
      <c r="BW41" s="93" t="str">
        <f>IFERROR(VLOOKUP(LeadSum[[#This Row],[Lead]],Fri_W2[],MATCH("Admin",Fri_W2[#Headers],0),0),"")</f>
        <v/>
      </c>
      <c r="BX41" s="93" t="str">
        <f>IFERROR(VLOOKUP(LeadSum[[#This Row],[Lead]],Fri_W2[],MATCH("Team MTG",Fri_W2[#Headers],0),0),"")</f>
        <v/>
      </c>
      <c r="BZ41" s="93" t="str">
        <f>IFERROR(VLOOKUP(LeadSum[[#This Row],[Lead]],Sat_W2[],MATCH("Help Line",Sat_W2[#Headers],0),0),"")</f>
        <v/>
      </c>
      <c r="CA41" s="93" t="str">
        <f>IFERROR(VLOOKUP(LeadSum[[#This Row],[Lead]],Sat_W2[],MATCH("RTA",Sat_W2[#Headers],0),0),"")</f>
        <v/>
      </c>
      <c r="CB41" s="93" t="str">
        <f>IFERROR(VLOOKUP(LeadSum[[#This Row],[Lead]],Sat_W2[],MATCH("Admin",Sat_W2[#Headers],0),0),"")</f>
        <v/>
      </c>
      <c r="CC41" s="93" t="str">
        <f>IFERROR(VLOOKUP(LeadSum[[#This Row],[Lead]],Sat_W2[],MATCH("Team MTG",Sat_W2[#Headers],0),0),"")</f>
        <v/>
      </c>
    </row>
    <row r="42" spans="1:81" x14ac:dyDescent="0.2">
      <c r="A42" s="93">
        <f>SUM(LeadSum[[#This Row],[Help Line W1]:[RTA W1]])</f>
        <v>0</v>
      </c>
      <c r="B42" s="108"/>
      <c r="C42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42" s="93">
        <f>SUM(LSum_Sun1[[#This Row],[RTA]],LSum_Mon1[[#This Row],[RTA]],LSum_Tue1[[#This Row],[RTA]],LSum_Wed1[[#This Row],[RTA]],LSum_Thu1[[#This Row],[RTA]],LSum_Fri1[[#This Row],[RTA]],LSum_Sat1[[#This Row],[RTA]])</f>
        <v>0</v>
      </c>
      <c r="E42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42" s="93">
        <f>SUM(LSum_Sun1[[#This Row],[TM]],LSum_Mon1[[#This Row],[TM]],LSum_Tue1[[#This Row],[TM]],LSum_Wed1[[#This Row],[TM]],LSum_Thu1[[#This Row],[TM]],LSum_Fri1[[#This Row],[TM]],LSum_Sat1[[#This Row],[TM]])</f>
        <v>0</v>
      </c>
      <c r="G42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42" s="93">
        <f>SUM(LSum_Sun2[[#This Row],[RTA]],LSum_Mon2[[#This Row],[RTA]],LSum_Tue2[[#This Row],[RTA]],LSum_Wed2[[#This Row],[RTA]],LSum_Thu2[[#This Row],[RTA]],LSum_Fri2[[#This Row],[RTA]],LSum_Sat2[[#This Row],[RTA]])</f>
        <v>0</v>
      </c>
      <c r="I42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42" s="93">
        <f>SUM(LSum_Sun2[[#This Row],[TM]],LSum_Mon2[[#This Row],[TM]],LSum_Tue2[[#This Row],[TM]],LSum_Wed2[[#This Row],[TM]],LSum_Thu2[[#This Row],[TM]],LSum_Fri2[[#This Row],[TM]],LSum_Sat2[[#This Row],[TM]])</f>
        <v>0</v>
      </c>
      <c r="K42" s="93">
        <f>SUM(LeadSum[[#This Row],[Help Line W2]:[RTA W2]])</f>
        <v>0</v>
      </c>
      <c r="L42" s="93"/>
      <c r="M42" s="93" t="str">
        <f>IFERROR(VLOOKUP(LeadSum[[#This Row],[Lead]],Sun_W1[],MATCH("Help Line",Sun_W1[#Headers],0),0),"")</f>
        <v/>
      </c>
      <c r="N42" s="93" t="str">
        <f>IFERROR(VLOOKUP(LeadSum[[#This Row],[Lead]],Sun_W1[],MATCH("RTA",Sun_W1[#Headers],0),0),"")</f>
        <v/>
      </c>
      <c r="O42" s="93" t="str">
        <f>IFERROR(VLOOKUP(LeadSum[[#This Row],[Lead]],Sun_W1[],MATCH("Admin",Sun_W1[#Headers],0),0),"")</f>
        <v/>
      </c>
      <c r="P42" s="93" t="str">
        <f>IFERROR(VLOOKUP(LeadSum[[#This Row],[Lead]],Sun_W1[],MATCH("Team MTG",Sun_W1[#Headers],0),0),"")</f>
        <v/>
      </c>
      <c r="R42" s="93" t="str">
        <f>IFERROR(VLOOKUP(LeadSum[[#This Row],[Lead]],Mon_W1[],MATCH("Help Line",Mon_W1[#Headers],0),0),"")</f>
        <v/>
      </c>
      <c r="S42" s="93" t="str">
        <f>IFERROR(VLOOKUP(LeadSum[[#This Row],[Lead]],Mon_W1[],MATCH("RTA",Mon_W1[#Headers],0),0),"")</f>
        <v/>
      </c>
      <c r="T42" s="93" t="str">
        <f>IFERROR(VLOOKUP(LeadSum[[#This Row],[Lead]],Mon_W1[],MATCH("Admin",Mon_W1[#Headers],0),0),"")</f>
        <v/>
      </c>
      <c r="U42" s="93" t="str">
        <f>IFERROR(VLOOKUP(LeadSum[[#This Row],[Lead]],Mon_W1[],MATCH("Team MTG",Mon_W1[#Headers],0),0),"")</f>
        <v/>
      </c>
      <c r="W42" s="93" t="str">
        <f>IFERROR(VLOOKUP(LeadSum[[#This Row],[Lead]],Tue_W1[],MATCH("Help Line",Tue_W1[#Headers],0),0),"")</f>
        <v/>
      </c>
      <c r="X42" s="93" t="str">
        <f>IFERROR(VLOOKUP(LeadSum[[#This Row],[Lead]],Tue_W1[],MATCH("RTA",Tue_W1[#Headers],0),0),"")</f>
        <v/>
      </c>
      <c r="Y42" s="93" t="str">
        <f>IFERROR(VLOOKUP(LeadSum[[#This Row],[Lead]],Tue_W1[],MATCH("Admin",Tue_W1[#Headers],0),0),"")</f>
        <v/>
      </c>
      <c r="Z42" s="93" t="str">
        <f>IFERROR(VLOOKUP(LeadSum[[#This Row],[Lead]],Tue_W1[],MATCH("Team MTG",Tue_W1[#Headers],0),0),"")</f>
        <v/>
      </c>
      <c r="AB42" s="93" t="str">
        <f>IFERROR(VLOOKUP(LeadSum[[#This Row],[Lead]],Wed_W1[],MATCH("Help Line",Wed_W1[#Headers],0),0),"")</f>
        <v/>
      </c>
      <c r="AC42" s="93" t="str">
        <f>IFERROR(VLOOKUP(LeadSum[[#This Row],[Lead]],Wed_W1[],MATCH("RTA",Wed_W1[#Headers],0),0),"")</f>
        <v/>
      </c>
      <c r="AD42" s="93" t="str">
        <f>IFERROR(VLOOKUP(LeadSum[[#This Row],[Lead]],Wed_W1[],MATCH("Admin",Wed_W1[#Headers],0),0),"")</f>
        <v/>
      </c>
      <c r="AE42" s="93" t="str">
        <f>IFERROR(VLOOKUP(LeadSum[[#This Row],[Lead]],Wed_W1[],MATCH("Team MTG",Wed_W1[#Headers],0),0),"")</f>
        <v/>
      </c>
      <c r="AG42" s="93" t="str">
        <f>IFERROR(VLOOKUP(LeadSum[[#This Row],[Lead]],Thu_W1[],MATCH("Help Line",Thu_W1[#Headers],0),0),"")</f>
        <v/>
      </c>
      <c r="AH42" s="93" t="str">
        <f>IFERROR(VLOOKUP(LeadSum[[#This Row],[Lead]],Thu_W1[],MATCH("RTA",Thu_W1[#Headers],0),0),"")</f>
        <v/>
      </c>
      <c r="AI42" s="93" t="str">
        <f>IFERROR(VLOOKUP(LeadSum[[#This Row],[Lead]],Thu_W1[],MATCH("Admin",Thu_W1[#Headers],0),0),"")</f>
        <v/>
      </c>
      <c r="AJ42" s="93" t="str">
        <f>IFERROR(VLOOKUP(LeadSum[[#This Row],[Lead]],Thu_W1[],MATCH("Team MTG",Thu_W1[#Headers],0),0),"")</f>
        <v/>
      </c>
      <c r="AL42" s="93" t="str">
        <f>IFERROR(VLOOKUP(LeadSum[[#This Row],[Lead]],Fri_W1[],MATCH("Help Line",Fri_W1[#Headers],0),0),"")</f>
        <v/>
      </c>
      <c r="AM42" s="93" t="str">
        <f>IFERROR(VLOOKUP(LeadSum[[#This Row],[Lead]],Fri_W1[],MATCH("RTA",Fri_W1[#Headers],0),0),"")</f>
        <v/>
      </c>
      <c r="AN42" s="93" t="str">
        <f>IFERROR(VLOOKUP(LeadSum[[#This Row],[Lead]],Fri_W1[],MATCH("Admin",Fri_W1[#Headers],0),0),"")</f>
        <v/>
      </c>
      <c r="AO42" s="93" t="str">
        <f>IFERROR(VLOOKUP(LeadSum[[#This Row],[Lead]],Fri_W1[],MATCH("Team MTG",Fri_W1[#Headers],0),0),"")</f>
        <v/>
      </c>
      <c r="AQ42" s="93" t="str">
        <f>IFERROR(VLOOKUP(LeadSum[[#This Row],[Lead]],Sat_W1[],MATCH("Help Line",Sat_W1[#Headers],0),0),"")</f>
        <v/>
      </c>
      <c r="AR42" s="93" t="str">
        <f>IFERROR(VLOOKUP(LeadSum[[#This Row],[Lead]],Sat_W1[],MATCH("RTA",Sat_W1[#Headers],0),0),"")</f>
        <v/>
      </c>
      <c r="AS42" s="93" t="str">
        <f>IFERROR(VLOOKUP(LeadSum[[#This Row],[Lead]],Sat_W1[],MATCH("Admin",Sat_W1[#Headers],0),0),"")</f>
        <v/>
      </c>
      <c r="AT42" s="93" t="str">
        <f>IFERROR(VLOOKUP(LeadSum[[#This Row],[Lead]],Sat_W1[],MATCH("Team MTG",Sat_W1[#Headers],0),0),"")</f>
        <v/>
      </c>
      <c r="AV42" s="93" t="str">
        <f>IFERROR(VLOOKUP(LeadSum[[#This Row],[Lead]],Sun_W2[],MATCH("Help Line",Sun_W2[#Headers],0),0),"")</f>
        <v/>
      </c>
      <c r="AW42" s="93" t="str">
        <f>IFERROR(VLOOKUP(LeadSum[[#This Row],[Lead]],Sun_W2[],MATCH("RTA",Sun_W2[#Headers],0),0),"")</f>
        <v/>
      </c>
      <c r="AX42" s="93" t="str">
        <f>IFERROR(VLOOKUP(LeadSum[[#This Row],[Lead]],Sun_W2[],MATCH("Admin",Sun_W2[#Headers],0),0),"")</f>
        <v/>
      </c>
      <c r="AY42" s="93" t="str">
        <f>IFERROR(VLOOKUP(LeadSum[[#This Row],[Lead]],Sun_W2[],MATCH("Team MTG",Sun_W2[#Headers],0),0),"")</f>
        <v/>
      </c>
      <c r="BA42" s="93" t="str">
        <f>IFERROR(VLOOKUP(LeadSum[[#This Row],[Lead]],Mon_W2[],MATCH("Help Line",Mon_W2[#Headers],0),0),"")</f>
        <v/>
      </c>
      <c r="BB42" s="93" t="str">
        <f>IFERROR(VLOOKUP(LeadSum[[#This Row],[Lead]],Mon_W2[],MATCH("RTA",Mon_W2[#Headers],0),0),"")</f>
        <v/>
      </c>
      <c r="BC42" s="93" t="str">
        <f>IFERROR(VLOOKUP(LeadSum[[#This Row],[Lead]],Mon_W2[],MATCH("Admin",Mon_W2[#Headers],0),0),"")</f>
        <v/>
      </c>
      <c r="BD42" s="93" t="str">
        <f>IFERROR(VLOOKUP(LeadSum[[#This Row],[Lead]],Mon_W2[],MATCH("Team MTG",Mon_W2[#Headers],0),0),"")</f>
        <v/>
      </c>
      <c r="BF42" s="93" t="str">
        <f>IFERROR(VLOOKUP(LeadSum[[#This Row],[Lead]],Tue_W2[],MATCH("Help Line",Tue_W2[#Headers],0),0),"")</f>
        <v/>
      </c>
      <c r="BG42" s="93" t="str">
        <f>IFERROR(VLOOKUP(LeadSum[[#This Row],[Lead]],Tue_W2[],MATCH("RTA",Tue_W2[#Headers],0),0),"")</f>
        <v/>
      </c>
      <c r="BH42" s="93" t="str">
        <f>IFERROR(VLOOKUP(LeadSum[[#This Row],[Lead]],Tue_W2[],MATCH("Admin",Tue_W2[#Headers],0),0),"")</f>
        <v/>
      </c>
      <c r="BI42" s="93" t="str">
        <f>IFERROR(VLOOKUP(LeadSum[[#This Row],[Lead]],Tue_W2[],MATCH("Team MTG",Tue_W2[#Headers],0),0),"")</f>
        <v/>
      </c>
      <c r="BK42" s="93" t="str">
        <f>IFERROR(VLOOKUP(LeadSum[[#This Row],[Lead]],Wed_W2[],MATCH("Help Line",Wed_W2[#Headers],0),0),"")</f>
        <v/>
      </c>
      <c r="BL42" s="93" t="str">
        <f>IFERROR(VLOOKUP(LeadSum[[#This Row],[Lead]],Wed_W2[],MATCH("RTA",Wed_W2[#Headers],0),0),"")</f>
        <v/>
      </c>
      <c r="BM42" s="93" t="str">
        <f>IFERROR(VLOOKUP(LeadSum[[#This Row],[Lead]],Wed_W2[],MATCH("Admin",Wed_W2[#Headers],0),0),"")</f>
        <v/>
      </c>
      <c r="BN42" s="93" t="str">
        <f>IFERROR(VLOOKUP(LeadSum[[#This Row],[Lead]],Wed_W2[],MATCH("Team MTG",Wed_W2[#Headers],0),0),"")</f>
        <v/>
      </c>
      <c r="BP42" s="93" t="str">
        <f>IFERROR(VLOOKUP(LeadSum[[#This Row],[Lead]],Thu_W2[],MATCH("Help Line",Thu_W2[#Headers],0),0),"")</f>
        <v/>
      </c>
      <c r="BQ42" s="93" t="str">
        <f>IFERROR(VLOOKUP(LeadSum[[#This Row],[Lead]],Thu_W2[],MATCH("RTA",Thu_W2[#Headers],0),0),"")</f>
        <v/>
      </c>
      <c r="BR42" s="93" t="str">
        <f>IFERROR(VLOOKUP(LeadSum[[#This Row],[Lead]],Thu_W2[],MATCH("Admin",Thu_W2[#Headers],0),0),"")</f>
        <v/>
      </c>
      <c r="BS42" s="93" t="str">
        <f>IFERROR(VLOOKUP(LeadSum[[#This Row],[Lead]],Thu_W2[],MATCH("Team MTG",Thu_W2[#Headers],0),0),"")</f>
        <v/>
      </c>
      <c r="BU42" s="93" t="str">
        <f>IFERROR(VLOOKUP(LeadSum[[#This Row],[Lead]],Fri_W2[],MATCH("Help Line",Fri_W2[#Headers],0),0),"")</f>
        <v/>
      </c>
      <c r="BV42" s="93" t="str">
        <f>IFERROR(VLOOKUP(LeadSum[[#This Row],[Lead]],Fri_W2[],MATCH("RTA",Fri_W2[#Headers],0),0),"")</f>
        <v/>
      </c>
      <c r="BW42" s="93" t="str">
        <f>IFERROR(VLOOKUP(LeadSum[[#This Row],[Lead]],Fri_W2[],MATCH("Admin",Fri_W2[#Headers],0),0),"")</f>
        <v/>
      </c>
      <c r="BX42" s="93" t="str">
        <f>IFERROR(VLOOKUP(LeadSum[[#This Row],[Lead]],Fri_W2[],MATCH("Team MTG",Fri_W2[#Headers],0),0),"")</f>
        <v/>
      </c>
      <c r="BZ42" s="93" t="str">
        <f>IFERROR(VLOOKUP(LeadSum[[#This Row],[Lead]],Sat_W2[],MATCH("Help Line",Sat_W2[#Headers],0),0),"")</f>
        <v/>
      </c>
      <c r="CA42" s="93" t="str">
        <f>IFERROR(VLOOKUP(LeadSum[[#This Row],[Lead]],Sat_W2[],MATCH("RTA",Sat_W2[#Headers],0),0),"")</f>
        <v/>
      </c>
      <c r="CB42" s="93" t="str">
        <f>IFERROR(VLOOKUP(LeadSum[[#This Row],[Lead]],Sat_W2[],MATCH("Admin",Sat_W2[#Headers],0),0),"")</f>
        <v/>
      </c>
      <c r="CC42" s="93" t="str">
        <f>IFERROR(VLOOKUP(LeadSum[[#This Row],[Lead]],Sat_W2[],MATCH("Team MTG",Sat_W2[#Headers],0),0),"")</f>
        <v/>
      </c>
    </row>
    <row r="43" spans="1:81" x14ac:dyDescent="0.2">
      <c r="A43" s="93">
        <f>SUM(LeadSum[[#This Row],[Help Line W1]:[RTA W1]])</f>
        <v>0</v>
      </c>
      <c r="B43" s="108"/>
      <c r="C43" s="93">
        <f>SUM(LSum_Sun1[[#This Row],[Help Line]],LSum_Mon1[[#This Row],[Help Line]],LSum_Tue1[[#This Row],[Help Line]],LSum_Wed1[[#This Row],[Help Line]],LSum_Thu1[[#This Row],[Help Line]],LSum_Fri1[[#This Row],[Help Line]],LSum_Sat1[[#This Row],[Help Line]])</f>
        <v>0</v>
      </c>
      <c r="D43" s="93">
        <f>SUM(LSum_Sun1[[#This Row],[RTA]],LSum_Mon1[[#This Row],[RTA]],LSum_Tue1[[#This Row],[RTA]],LSum_Wed1[[#This Row],[RTA]],LSum_Thu1[[#This Row],[RTA]],LSum_Fri1[[#This Row],[RTA]],LSum_Sat1[[#This Row],[RTA]])</f>
        <v>0</v>
      </c>
      <c r="E43" s="93">
        <f>SUM(LSum_Sun1[[#This Row],[Admin]],LSum_Mon1[[#This Row],[Admin]],LSum_Tue1[[#This Row],[Admin]],LSum_Wed1[[#This Row],[Admin]],LSum_Thu1[[#This Row],[Admin]],LSum_Fri1[[#This Row],[Admin]],LSum_Sat1[[#This Row],[Admin]])</f>
        <v>0</v>
      </c>
      <c r="F43" s="93">
        <f>SUM(LSum_Sun1[[#This Row],[TM]],LSum_Mon1[[#This Row],[TM]],LSum_Tue1[[#This Row],[TM]],LSum_Wed1[[#This Row],[TM]],LSum_Thu1[[#This Row],[TM]],LSum_Fri1[[#This Row],[TM]],LSum_Sat1[[#This Row],[TM]])</f>
        <v>0</v>
      </c>
      <c r="G43" s="93">
        <f>SUM(LSum_Sun2[[#This Row],[Help Line]],LSum_Mon2[[#This Row],[Help Line]],LSum_Tue2[[#This Row],[Help Line]],LSum_Wed2[[#This Row],[Help Line]],LSum_Thu2[[#This Row],[Help Line]],LSum_Fri2[[#This Row],[Help Line]],LSum_Sat2[[#This Row],[Help Line]])</f>
        <v>0</v>
      </c>
      <c r="H43" s="93">
        <f>SUM(LSum_Sun2[[#This Row],[RTA]],LSum_Mon2[[#This Row],[RTA]],LSum_Tue2[[#This Row],[RTA]],LSum_Wed2[[#This Row],[RTA]],LSum_Thu2[[#This Row],[RTA]],LSum_Fri2[[#This Row],[RTA]],LSum_Sat2[[#This Row],[RTA]])</f>
        <v>0</v>
      </c>
      <c r="I43" s="93">
        <f>SUM(LSum_Sun2[[#This Row],[Admin]],LSum_Mon2[[#This Row],[Admin]],LSum_Tue2[[#This Row],[Admin]],LSum_Wed2[[#This Row],[Admin]],LSum_Thu2[[#This Row],[Admin]],LSum_Fri2[[#This Row],[Admin]],LSum_Sat2[[#This Row],[Admin]])</f>
        <v>0</v>
      </c>
      <c r="J43" s="93">
        <f>SUM(LSum_Sun2[[#This Row],[TM]],LSum_Mon2[[#This Row],[TM]],LSum_Tue2[[#This Row],[TM]],LSum_Wed2[[#This Row],[TM]],LSum_Thu2[[#This Row],[TM]],LSum_Fri2[[#This Row],[TM]],LSum_Sat2[[#This Row],[TM]])</f>
        <v>0</v>
      </c>
      <c r="K43" s="93">
        <f>SUM(LeadSum[[#This Row],[Help Line W2]:[RTA W2]])</f>
        <v>0</v>
      </c>
      <c r="L43" s="93"/>
      <c r="M43" s="93" t="str">
        <f>IFERROR(VLOOKUP(LeadSum[[#This Row],[Lead]],Sun_W1[],MATCH("Help Line",Sun_W1[#Headers],0),0),"")</f>
        <v/>
      </c>
      <c r="N43" s="93" t="str">
        <f>IFERROR(VLOOKUP(LeadSum[[#This Row],[Lead]],Sun_W1[],MATCH("RTA",Sun_W1[#Headers],0),0),"")</f>
        <v/>
      </c>
      <c r="O43" s="93" t="str">
        <f>IFERROR(VLOOKUP(LeadSum[[#This Row],[Lead]],Sun_W1[],MATCH("Admin",Sun_W1[#Headers],0),0),"")</f>
        <v/>
      </c>
      <c r="P43" s="93" t="str">
        <f>IFERROR(VLOOKUP(LeadSum[[#This Row],[Lead]],Sun_W1[],MATCH("Team MTG",Sun_W1[#Headers],0),0),"")</f>
        <v/>
      </c>
      <c r="R43" s="93" t="str">
        <f>IFERROR(VLOOKUP(LeadSum[[#This Row],[Lead]],Mon_W1[],MATCH("Help Line",Mon_W1[#Headers],0),0),"")</f>
        <v/>
      </c>
      <c r="S43" s="93" t="str">
        <f>IFERROR(VLOOKUP(LeadSum[[#This Row],[Lead]],Mon_W1[],MATCH("RTA",Mon_W1[#Headers],0),0),"")</f>
        <v/>
      </c>
      <c r="T43" s="93" t="str">
        <f>IFERROR(VLOOKUP(LeadSum[[#This Row],[Lead]],Mon_W1[],MATCH("Admin",Mon_W1[#Headers],0),0),"")</f>
        <v/>
      </c>
      <c r="U43" s="93" t="str">
        <f>IFERROR(VLOOKUP(LeadSum[[#This Row],[Lead]],Mon_W1[],MATCH("Team MTG",Mon_W1[#Headers],0),0),"")</f>
        <v/>
      </c>
      <c r="W43" s="93" t="str">
        <f>IFERROR(VLOOKUP(LeadSum[[#This Row],[Lead]],Tue_W1[],MATCH("Help Line",Tue_W1[#Headers],0),0),"")</f>
        <v/>
      </c>
      <c r="X43" s="93" t="str">
        <f>IFERROR(VLOOKUP(LeadSum[[#This Row],[Lead]],Tue_W1[],MATCH("RTA",Tue_W1[#Headers],0),0),"")</f>
        <v/>
      </c>
      <c r="Y43" s="93" t="str">
        <f>IFERROR(VLOOKUP(LeadSum[[#This Row],[Lead]],Tue_W1[],MATCH("Admin",Tue_W1[#Headers],0),0),"")</f>
        <v/>
      </c>
      <c r="Z43" s="93" t="str">
        <f>IFERROR(VLOOKUP(LeadSum[[#This Row],[Lead]],Tue_W1[],MATCH("Team MTG",Tue_W1[#Headers],0),0),"")</f>
        <v/>
      </c>
      <c r="AB43" s="93" t="str">
        <f>IFERROR(VLOOKUP(LeadSum[[#This Row],[Lead]],Wed_W1[],MATCH("Help Line",Wed_W1[#Headers],0),0),"")</f>
        <v/>
      </c>
      <c r="AC43" s="93" t="str">
        <f>IFERROR(VLOOKUP(LeadSum[[#This Row],[Lead]],Wed_W1[],MATCH("RTA",Wed_W1[#Headers],0),0),"")</f>
        <v/>
      </c>
      <c r="AD43" s="93" t="str">
        <f>IFERROR(VLOOKUP(LeadSum[[#This Row],[Lead]],Wed_W1[],MATCH("Admin",Wed_W1[#Headers],0),0),"")</f>
        <v/>
      </c>
      <c r="AE43" s="93" t="str">
        <f>IFERROR(VLOOKUP(LeadSum[[#This Row],[Lead]],Wed_W1[],MATCH("Team MTG",Wed_W1[#Headers],0),0),"")</f>
        <v/>
      </c>
      <c r="AG43" s="93" t="str">
        <f>IFERROR(VLOOKUP(LeadSum[[#This Row],[Lead]],Thu_W1[],MATCH("Help Line",Thu_W1[#Headers],0),0),"")</f>
        <v/>
      </c>
      <c r="AH43" s="93" t="str">
        <f>IFERROR(VLOOKUP(LeadSum[[#This Row],[Lead]],Thu_W1[],MATCH("RTA",Thu_W1[#Headers],0),0),"")</f>
        <v/>
      </c>
      <c r="AI43" s="93" t="str">
        <f>IFERROR(VLOOKUP(LeadSum[[#This Row],[Lead]],Thu_W1[],MATCH("Admin",Thu_W1[#Headers],0),0),"")</f>
        <v/>
      </c>
      <c r="AJ43" s="93" t="str">
        <f>IFERROR(VLOOKUP(LeadSum[[#This Row],[Lead]],Thu_W1[],MATCH("Team MTG",Thu_W1[#Headers],0),0),"")</f>
        <v/>
      </c>
      <c r="AL43" s="93" t="str">
        <f>IFERROR(VLOOKUP(LeadSum[[#This Row],[Lead]],Fri_W1[],MATCH("Help Line",Fri_W1[#Headers],0),0),"")</f>
        <v/>
      </c>
      <c r="AM43" s="93" t="str">
        <f>IFERROR(VLOOKUP(LeadSum[[#This Row],[Lead]],Fri_W1[],MATCH("RTA",Fri_W1[#Headers],0),0),"")</f>
        <v/>
      </c>
      <c r="AN43" s="93" t="str">
        <f>IFERROR(VLOOKUP(LeadSum[[#This Row],[Lead]],Fri_W1[],MATCH("Admin",Fri_W1[#Headers],0),0),"")</f>
        <v/>
      </c>
      <c r="AO43" s="93" t="str">
        <f>IFERROR(VLOOKUP(LeadSum[[#This Row],[Lead]],Fri_W1[],MATCH("Team MTG",Fri_W1[#Headers],0),0),"")</f>
        <v/>
      </c>
      <c r="AQ43" s="93" t="str">
        <f>IFERROR(VLOOKUP(LeadSum[[#This Row],[Lead]],Sat_W1[],MATCH("Help Line",Sat_W1[#Headers],0),0),"")</f>
        <v/>
      </c>
      <c r="AR43" s="93" t="str">
        <f>IFERROR(VLOOKUP(LeadSum[[#This Row],[Lead]],Sat_W1[],MATCH("RTA",Sat_W1[#Headers],0),0),"")</f>
        <v/>
      </c>
      <c r="AS43" s="93" t="str">
        <f>IFERROR(VLOOKUP(LeadSum[[#This Row],[Lead]],Sat_W1[],MATCH("Admin",Sat_W1[#Headers],0),0),"")</f>
        <v/>
      </c>
      <c r="AT43" s="93" t="str">
        <f>IFERROR(VLOOKUP(LeadSum[[#This Row],[Lead]],Sat_W1[],MATCH("Team MTG",Sat_W1[#Headers],0),0),"")</f>
        <v/>
      </c>
      <c r="AV43" s="93" t="str">
        <f>IFERROR(VLOOKUP(LeadSum[[#This Row],[Lead]],Sun_W2[],MATCH("Help Line",Sun_W2[#Headers],0),0),"")</f>
        <v/>
      </c>
      <c r="AW43" s="93" t="str">
        <f>IFERROR(VLOOKUP(LeadSum[[#This Row],[Lead]],Sun_W2[],MATCH("RTA",Sun_W2[#Headers],0),0),"")</f>
        <v/>
      </c>
      <c r="AX43" s="93" t="str">
        <f>IFERROR(VLOOKUP(LeadSum[[#This Row],[Lead]],Sun_W2[],MATCH("Admin",Sun_W2[#Headers],0),0),"")</f>
        <v/>
      </c>
      <c r="AY43" s="93" t="str">
        <f>IFERROR(VLOOKUP(LeadSum[[#This Row],[Lead]],Sun_W2[],MATCH("Team MTG",Sun_W2[#Headers],0),0),"")</f>
        <v/>
      </c>
      <c r="BA43" s="93" t="str">
        <f>IFERROR(VLOOKUP(LeadSum[[#This Row],[Lead]],Mon_W2[],MATCH("Help Line",Mon_W2[#Headers],0),0),"")</f>
        <v/>
      </c>
      <c r="BB43" s="93" t="str">
        <f>IFERROR(VLOOKUP(LeadSum[[#This Row],[Lead]],Mon_W2[],MATCH("RTA",Mon_W2[#Headers],0),0),"")</f>
        <v/>
      </c>
      <c r="BC43" s="93" t="str">
        <f>IFERROR(VLOOKUP(LeadSum[[#This Row],[Lead]],Mon_W2[],MATCH("Admin",Mon_W2[#Headers],0),0),"")</f>
        <v/>
      </c>
      <c r="BD43" s="93" t="str">
        <f>IFERROR(VLOOKUP(LeadSum[[#This Row],[Lead]],Mon_W2[],MATCH("Team MTG",Mon_W2[#Headers],0),0),"")</f>
        <v/>
      </c>
      <c r="BF43" s="93" t="str">
        <f>IFERROR(VLOOKUP(LeadSum[[#This Row],[Lead]],Tue_W2[],MATCH("Help Line",Tue_W2[#Headers],0),0),"")</f>
        <v/>
      </c>
      <c r="BG43" s="93" t="str">
        <f>IFERROR(VLOOKUP(LeadSum[[#This Row],[Lead]],Tue_W2[],MATCH("RTA",Tue_W2[#Headers],0),0),"")</f>
        <v/>
      </c>
      <c r="BH43" s="93" t="str">
        <f>IFERROR(VLOOKUP(LeadSum[[#This Row],[Lead]],Tue_W2[],MATCH("Admin",Tue_W2[#Headers],0),0),"")</f>
        <v/>
      </c>
      <c r="BI43" s="93" t="str">
        <f>IFERROR(VLOOKUP(LeadSum[[#This Row],[Lead]],Tue_W2[],MATCH("Team MTG",Tue_W2[#Headers],0),0),"")</f>
        <v/>
      </c>
      <c r="BK43" s="93" t="str">
        <f>IFERROR(VLOOKUP(LeadSum[[#This Row],[Lead]],Wed_W2[],MATCH("Help Line",Wed_W2[#Headers],0),0),"")</f>
        <v/>
      </c>
      <c r="BL43" s="93" t="str">
        <f>IFERROR(VLOOKUP(LeadSum[[#This Row],[Lead]],Wed_W2[],MATCH("RTA",Wed_W2[#Headers],0),0),"")</f>
        <v/>
      </c>
      <c r="BM43" s="93" t="str">
        <f>IFERROR(VLOOKUP(LeadSum[[#This Row],[Lead]],Wed_W2[],MATCH("Admin",Wed_W2[#Headers],0),0),"")</f>
        <v/>
      </c>
      <c r="BN43" s="93" t="str">
        <f>IFERROR(VLOOKUP(LeadSum[[#This Row],[Lead]],Wed_W2[],MATCH("Team MTG",Wed_W2[#Headers],0),0),"")</f>
        <v/>
      </c>
      <c r="BP43" s="93" t="str">
        <f>IFERROR(VLOOKUP(LeadSum[[#This Row],[Lead]],Thu_W2[],MATCH("Help Line",Thu_W2[#Headers],0),0),"")</f>
        <v/>
      </c>
      <c r="BQ43" s="93" t="str">
        <f>IFERROR(VLOOKUP(LeadSum[[#This Row],[Lead]],Thu_W2[],MATCH("RTA",Thu_W2[#Headers],0),0),"")</f>
        <v/>
      </c>
      <c r="BR43" s="93" t="str">
        <f>IFERROR(VLOOKUP(LeadSum[[#This Row],[Lead]],Thu_W2[],MATCH("Admin",Thu_W2[#Headers],0),0),"")</f>
        <v/>
      </c>
      <c r="BS43" s="93" t="str">
        <f>IFERROR(VLOOKUP(LeadSum[[#This Row],[Lead]],Thu_W2[],MATCH("Team MTG",Thu_W2[#Headers],0),0),"")</f>
        <v/>
      </c>
      <c r="BU43" s="93" t="str">
        <f>IFERROR(VLOOKUP(LeadSum[[#This Row],[Lead]],Fri_W2[],MATCH("Help Line",Fri_W2[#Headers],0),0),"")</f>
        <v/>
      </c>
      <c r="BV43" s="93" t="str">
        <f>IFERROR(VLOOKUP(LeadSum[[#This Row],[Lead]],Fri_W2[],MATCH("RTA",Fri_W2[#Headers],0),0),"")</f>
        <v/>
      </c>
      <c r="BW43" s="93" t="str">
        <f>IFERROR(VLOOKUP(LeadSum[[#This Row],[Lead]],Fri_W2[],MATCH("Admin",Fri_W2[#Headers],0),0),"")</f>
        <v/>
      </c>
      <c r="BX43" s="93" t="str">
        <f>IFERROR(VLOOKUP(LeadSum[[#This Row],[Lead]],Fri_W2[],MATCH("Team MTG",Fri_W2[#Headers],0),0),"")</f>
        <v/>
      </c>
      <c r="BZ43" s="93" t="str">
        <f>IFERROR(VLOOKUP(LeadSum[[#This Row],[Lead]],Sat_W2[],MATCH("Help Line",Sat_W2[#Headers],0),0),"")</f>
        <v/>
      </c>
      <c r="CA43" s="93" t="str">
        <f>IFERROR(VLOOKUP(LeadSum[[#This Row],[Lead]],Sat_W2[],MATCH("RTA",Sat_W2[#Headers],0),0),"")</f>
        <v/>
      </c>
      <c r="CB43" s="93" t="str">
        <f>IFERROR(VLOOKUP(LeadSum[[#This Row],[Lead]],Sat_W2[],MATCH("Admin",Sat_W2[#Headers],0),0),"")</f>
        <v/>
      </c>
      <c r="CC43" s="93" t="str">
        <f>IFERROR(VLOOKUP(LeadSum[[#This Row],[Lead]],Sat_W2[],MATCH("Team MTG",Sat_W2[#Headers],0),0),"")</f>
        <v/>
      </c>
    </row>
    <row r="45" spans="1:81" x14ac:dyDescent="0.2">
      <c r="B45" s="470" t="str">
        <f>"Supervisor Summary: "&amp;TEXT(Day_1,"mm/dd")&amp;" - "&amp;TEXT(Day_14,"mm/dd")</f>
        <v>Supervisor Summary: 03/22 - 03/28</v>
      </c>
      <c r="C45" s="470"/>
      <c r="D45" s="470"/>
      <c r="E45" s="470"/>
      <c r="F45" s="470"/>
      <c r="G45" s="470"/>
      <c r="H45" s="470"/>
      <c r="I45" s="470"/>
      <c r="J45" s="470"/>
      <c r="K45" s="194"/>
      <c r="L45" s="194"/>
      <c r="M45" s="470" t="str">
        <f>"Supervisor - "&amp;TEXT(Day_1,"DDDD")&amp;" - "&amp;TEXT(Day_1,"mm/dd/yy")</f>
        <v>Supervisor - Sunday - 03/22/20</v>
      </c>
      <c r="N45" s="470"/>
      <c r="O45" s="470"/>
      <c r="P45" s="470"/>
      <c r="Q45" s="192"/>
      <c r="R45" s="470" t="str">
        <f>"Supervisor - "&amp;TEXT(Day_2,"DDDD")&amp;" - "&amp;TEXT(Day_2,"mm/dd/yy")</f>
        <v>Supervisor - Monday - 03/23/20</v>
      </c>
      <c r="S45" s="470"/>
      <c r="T45" s="470"/>
      <c r="U45" s="470"/>
      <c r="V45" s="192"/>
      <c r="W45" s="470" t="str">
        <f>"Supervisor - "&amp;TEXT(Day_3,"DDDD")&amp;" - "&amp;TEXT(Day_3,"mm/dd/yy")</f>
        <v>Supervisor - Tuesday - 03/24/20</v>
      </c>
      <c r="X45" s="470"/>
      <c r="Y45" s="470"/>
      <c r="Z45" s="470"/>
      <c r="AA45" s="192"/>
      <c r="AB45" s="470" t="str">
        <f>"Supervisor - "&amp;TEXT(Day_4,"DDDD")&amp;" - "&amp;TEXT(Day_4,"mm/dd/yy")</f>
        <v>Supervisor - Wednesday - 03/25/20</v>
      </c>
      <c r="AC45" s="470"/>
      <c r="AD45" s="470"/>
      <c r="AE45" s="470"/>
      <c r="AF45" s="192"/>
      <c r="AG45" s="470" t="str">
        <f>"Supervisor - "&amp;TEXT(Day_5,"DDDD")&amp;" - "&amp;TEXT(Day_5,"mm/dd/yy")</f>
        <v>Supervisor - Thursday - 03/26/20</v>
      </c>
      <c r="AH45" s="470"/>
      <c r="AI45" s="470"/>
      <c r="AJ45" s="470"/>
      <c r="AK45" s="192"/>
      <c r="AL45" s="470" t="str">
        <f>"Supervisor - "&amp;TEXT(Day_6,"DDDD")&amp;" - "&amp;TEXT(Day_6,"mm/dd/yy")</f>
        <v>Supervisor - Friday - 03/20/20</v>
      </c>
      <c r="AM45" s="470"/>
      <c r="AN45" s="470"/>
      <c r="AO45" s="470"/>
      <c r="AP45" s="192"/>
      <c r="AQ45" s="470" t="str">
        <f>"Supervisor - "&amp;TEXT(Day_7,"DDDD")&amp;" - "&amp;TEXT(Day_7,"mm/dd/yy")</f>
        <v>Supervisor - Saturday - 03/21/20</v>
      </c>
      <c r="AR45" s="470"/>
      <c r="AS45" s="470"/>
      <c r="AT45" s="470"/>
      <c r="AU45" s="192"/>
      <c r="AV45" s="470" t="str">
        <f>"Supervisor - "&amp;TEXT(Day_8,"DDDD")&amp;" - "&amp;TEXT(Day_8,"mm/dd/yy")</f>
        <v>Supervisor - Sunday - 03/29/20</v>
      </c>
      <c r="AW45" s="470"/>
      <c r="AX45" s="470"/>
      <c r="AY45" s="470"/>
      <c r="AZ45" s="192"/>
      <c r="BA45" s="470" t="str">
        <f>"Supervisor - "&amp;TEXT(Day_9,"DDDD")&amp;" - "&amp;TEXT(Day_9,"mm/dd/yy")</f>
        <v>Supervisor - Monday - 03/30/20</v>
      </c>
      <c r="BB45" s="470"/>
      <c r="BC45" s="470"/>
      <c r="BD45" s="470"/>
      <c r="BE45" s="192"/>
      <c r="BF45" s="470" t="str">
        <f>"Supervisor - "&amp;TEXT(Day_10,"DDDD")&amp;" - "&amp;TEXT(Day_10,"mm/dd/yy")</f>
        <v>Supervisor - Tuesday - 03/31/20</v>
      </c>
      <c r="BG45" s="470"/>
      <c r="BH45" s="470"/>
      <c r="BI45" s="470"/>
      <c r="BJ45" s="192"/>
      <c r="BK45" s="470" t="str">
        <f>"Supervisor - "&amp;TEXT(Day_11,"DDDD")&amp;" - "&amp;TEXT(Day_11,"mm/dd/yy")</f>
        <v>Supervisor - Wednesday - 04/01/20</v>
      </c>
      <c r="BL45" s="470"/>
      <c r="BM45" s="470"/>
      <c r="BN45" s="470"/>
      <c r="BO45" s="192"/>
      <c r="BP45" s="470" t="str">
        <f>"Supervisor - "&amp;TEXT(Day_12,"DDDD")&amp;" - "&amp;TEXT(Day_12,"mm/dd/yy")</f>
        <v>Supervisor - Thursday - 04/02/20</v>
      </c>
      <c r="BQ45" s="470"/>
      <c r="BR45" s="470"/>
      <c r="BS45" s="470"/>
      <c r="BT45" s="192"/>
      <c r="BU45" s="470" t="str">
        <f>"Supervisor - "&amp;TEXT(Day_13,"DDDD")&amp;" - "&amp;TEXT(Day_13,"mm/dd/yy")</f>
        <v>Supervisor - Friday - 03/27/20</v>
      </c>
      <c r="BV45" s="470"/>
      <c r="BW45" s="470"/>
      <c r="BX45" s="470"/>
      <c r="BY45" s="192"/>
      <c r="BZ45" s="470" t="str">
        <f>"Supervisor - "&amp;TEXT(Day_14,"DDDD")&amp;" - "&amp;TEXT(Day_14,"mm/dd/yy")</f>
        <v>Supervisor - Saturday - 03/28/20</v>
      </c>
      <c r="CA45" s="470"/>
      <c r="CB45" s="470"/>
      <c r="CC45" s="470"/>
    </row>
    <row r="46" spans="1:81" ht="6" customHeight="1" x14ac:dyDescent="0.2"/>
    <row r="47" spans="1:81" ht="39.950000000000003" customHeight="1" x14ac:dyDescent="0.2">
      <c r="B47" s="107" t="s">
        <v>13</v>
      </c>
      <c r="C47" s="107" t="s">
        <v>172</v>
      </c>
      <c r="D47" s="107" t="s">
        <v>173</v>
      </c>
      <c r="E47" s="107" t="s">
        <v>174</v>
      </c>
      <c r="F47" s="107" t="s">
        <v>175</v>
      </c>
      <c r="G47" s="109" t="s">
        <v>176</v>
      </c>
      <c r="H47" s="109" t="s">
        <v>177</v>
      </c>
      <c r="I47" s="109" t="s">
        <v>178</v>
      </c>
      <c r="J47" s="109" t="s">
        <v>179</v>
      </c>
      <c r="M47" s="107" t="s">
        <v>87</v>
      </c>
      <c r="N47" s="107" t="s">
        <v>90</v>
      </c>
      <c r="O47" s="107" t="s">
        <v>89</v>
      </c>
      <c r="P47" s="107" t="s">
        <v>127</v>
      </c>
      <c r="R47" s="107" t="s">
        <v>87</v>
      </c>
      <c r="S47" s="107" t="s">
        <v>90</v>
      </c>
      <c r="T47" s="107" t="s">
        <v>89</v>
      </c>
      <c r="U47" s="107" t="s">
        <v>127</v>
      </c>
      <c r="W47" s="107" t="s">
        <v>87</v>
      </c>
      <c r="X47" s="107" t="s">
        <v>90</v>
      </c>
      <c r="Y47" s="107" t="s">
        <v>89</v>
      </c>
      <c r="Z47" s="107" t="s">
        <v>127</v>
      </c>
      <c r="AB47" s="107" t="s">
        <v>87</v>
      </c>
      <c r="AC47" s="107" t="s">
        <v>90</v>
      </c>
      <c r="AD47" s="107" t="s">
        <v>89</v>
      </c>
      <c r="AE47" s="107" t="s">
        <v>127</v>
      </c>
      <c r="AG47" s="107" t="s">
        <v>87</v>
      </c>
      <c r="AH47" s="107" t="s">
        <v>90</v>
      </c>
      <c r="AI47" s="107" t="s">
        <v>89</v>
      </c>
      <c r="AJ47" s="107" t="s">
        <v>127</v>
      </c>
      <c r="AL47" s="107" t="s">
        <v>87</v>
      </c>
      <c r="AM47" s="107" t="s">
        <v>90</v>
      </c>
      <c r="AN47" s="107" t="s">
        <v>89</v>
      </c>
      <c r="AO47" s="107" t="s">
        <v>127</v>
      </c>
      <c r="AQ47" s="107" t="s">
        <v>87</v>
      </c>
      <c r="AR47" s="107" t="s">
        <v>90</v>
      </c>
      <c r="AS47" s="107" t="s">
        <v>89</v>
      </c>
      <c r="AT47" s="107" t="s">
        <v>127</v>
      </c>
      <c r="AV47" s="109" t="s">
        <v>87</v>
      </c>
      <c r="AW47" s="109" t="s">
        <v>90</v>
      </c>
      <c r="AX47" s="109" t="s">
        <v>89</v>
      </c>
      <c r="AY47" s="109" t="s">
        <v>127</v>
      </c>
      <c r="BA47" s="109" t="s">
        <v>87</v>
      </c>
      <c r="BB47" s="109" t="s">
        <v>90</v>
      </c>
      <c r="BC47" s="109" t="s">
        <v>89</v>
      </c>
      <c r="BD47" s="109" t="s">
        <v>127</v>
      </c>
      <c r="BF47" s="109" t="s">
        <v>87</v>
      </c>
      <c r="BG47" s="109" t="s">
        <v>90</v>
      </c>
      <c r="BH47" s="109" t="s">
        <v>89</v>
      </c>
      <c r="BI47" s="109" t="s">
        <v>127</v>
      </c>
      <c r="BK47" s="109" t="s">
        <v>87</v>
      </c>
      <c r="BL47" s="109" t="s">
        <v>90</v>
      </c>
      <c r="BM47" s="109" t="s">
        <v>89</v>
      </c>
      <c r="BN47" s="109" t="s">
        <v>127</v>
      </c>
      <c r="BP47" s="109" t="s">
        <v>87</v>
      </c>
      <c r="BQ47" s="109" t="s">
        <v>90</v>
      </c>
      <c r="BR47" s="109" t="s">
        <v>89</v>
      </c>
      <c r="BS47" s="109" t="s">
        <v>127</v>
      </c>
      <c r="BU47" s="109" t="s">
        <v>87</v>
      </c>
      <c r="BV47" s="109" t="s">
        <v>90</v>
      </c>
      <c r="BW47" s="109" t="s">
        <v>89</v>
      </c>
      <c r="BX47" s="109" t="s">
        <v>127</v>
      </c>
      <c r="BZ47" s="109" t="s">
        <v>87</v>
      </c>
      <c r="CA47" s="109" t="s">
        <v>90</v>
      </c>
      <c r="CB47" s="109" t="s">
        <v>89</v>
      </c>
      <c r="CC47" s="109" t="s">
        <v>127</v>
      </c>
    </row>
    <row r="48" spans="1:81" x14ac:dyDescent="0.2">
      <c r="B48" s="6" t="s">
        <v>66</v>
      </c>
      <c r="C48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48" s="93">
        <f>SUM(SSum_Sun1[[#This Row],[RTA]],SSum_Mon1[[#This Row],[RTA]],SSum_Tue1[[#This Row],[RTA]],SSum_Wed1[[#This Row],[RTA]],SSum_Thu1[[#This Row],[RTA]],SSum_Fri1[[#This Row],[RTA]],SSum_Sat1[[#This Row],[RTA]])</f>
        <v>0</v>
      </c>
      <c r="E48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48" s="93">
        <f>SUM(SSum_Sun1[[#This Row],[TM]],SSum_Mon1[[#This Row],[TM]],SSum_Tue1[[#This Row],[TM]],SSum_Wed1[[#This Row],[TM]],SSum_Thu1[[#This Row],[TM]],SSum_Fri1[[#This Row],[TM]],SSum_Sat1[[#This Row],[TM]])</f>
        <v>0</v>
      </c>
      <c r="G48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48" s="93">
        <f>SUM(SSum_Sun2[[#This Row],[RTA]],SSum_Mon2[[#This Row],[RTA]],SSum_Tue2[[#This Row],[RTA]],SSum_Wed2[[#This Row],[RTA]],SSum_Thu2[[#This Row],[RTA]],SSum_Fri2[[#This Row],[RTA]],SSum_Sat2[[#This Row],[RTA]])</f>
        <v>0</v>
      </c>
      <c r="I48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48" s="93">
        <f>SUM(SSum_Sun2[[#This Row],[TM]],SSum_Mon2[[#This Row],[TM]],SSum_Tue2[[#This Row],[TM]],SSum_Wed2[[#This Row],[TM]],SSum_Thu2[[#This Row],[TM]],SSum_Fri2[[#This Row],[TM]],SSum_Sat2[[#This Row],[TM]])</f>
        <v>0</v>
      </c>
      <c r="K48" s="208">
        <v>20</v>
      </c>
      <c r="M48" s="93" t="str">
        <f>IFERROR(VLOOKUP(SupSum[[#This Row],[Supervisor]],Sun_W1[],MATCH("Help Line",Sun_W1[#Headers],0),0),"")</f>
        <v/>
      </c>
      <c r="N48" s="93" t="str">
        <f>IFERROR(VLOOKUP(SupSum[[#This Row],[Supervisor]],Sun_W1[],MATCH("RTA",Sun_W1[#Headers],0),0),"")</f>
        <v/>
      </c>
      <c r="O48" s="93" t="str">
        <f>IFERROR(VLOOKUP(SupSum[[#This Row],[Supervisor]],Sun_W1[],MATCH("Admin",Sun_W1[#Headers],0),0),"")</f>
        <v/>
      </c>
      <c r="P48" s="93" t="str">
        <f>IFERROR(VLOOKUP(SupSum[[#This Row],[Supervisor]],Sun_W1[],MATCH("Team MTG",Sun_W1[#Headers],0),0),"")</f>
        <v/>
      </c>
      <c r="R48" s="93">
        <f>IFERROR(VLOOKUP(SupSum[[#This Row],[Supervisor]],Mon_W1[],MATCH("Help Line",Mon_W1[#Headers],0),0),"")</f>
        <v>0</v>
      </c>
      <c r="S48" s="93">
        <f>IFERROR(VLOOKUP(SupSum[[#This Row],[Supervisor]],Mon_W1[],MATCH("RTA",Mon_W1[#Headers],0),0),"")</f>
        <v>0</v>
      </c>
      <c r="T48" s="93">
        <f>IFERROR(VLOOKUP(SupSum[[#This Row],[Supervisor]],Mon_W1[],MATCH("Admin",Mon_W1[#Headers],0),0),"")</f>
        <v>0</v>
      </c>
      <c r="U48" s="93" t="str">
        <f>IFERROR(VLOOKUP(SupSum[[#This Row],[Supervisor]],Mon_W1[],MATCH("Team MTG",Mon_W1[#Headers],0),0),"")</f>
        <v/>
      </c>
      <c r="W48" s="93">
        <f>IFERROR(VLOOKUP(SupSum[[#This Row],[Supervisor]],Tue_W1[],MATCH("Help Line",Tue_W1[#Headers],0),0),"")</f>
        <v>0</v>
      </c>
      <c r="X48" s="93">
        <f>IFERROR(VLOOKUP(SupSum[[#This Row],[Supervisor]],Tue_W1[],MATCH("RTA",Tue_W1[#Headers],0),0),"")</f>
        <v>0</v>
      </c>
      <c r="Y48" s="93">
        <f>IFERROR(VLOOKUP(SupSum[[#This Row],[Supervisor]],Tue_W1[],MATCH("Admin",Tue_W1[#Headers],0),0),"")</f>
        <v>0</v>
      </c>
      <c r="Z48" s="93" t="str">
        <f>IFERROR(VLOOKUP(SupSum[[#This Row],[Supervisor]],Tue_W1[],MATCH("Team MTG",Tue_W1[#Headers],0),0),"")</f>
        <v/>
      </c>
      <c r="AB48" s="93">
        <f>IFERROR(VLOOKUP(SupSum[[#This Row],[Supervisor]],Wed_W1[],MATCH("Help Line",Wed_W1[#Headers],0),0),"")</f>
        <v>0</v>
      </c>
      <c r="AC48" s="93">
        <f>IFERROR(VLOOKUP(SupSum[[#This Row],[Supervisor]],Wed_W1[],MATCH("RTA",Wed_W1[#Headers],0),0),"")</f>
        <v>0</v>
      </c>
      <c r="AD48" s="93">
        <f>IFERROR(VLOOKUP(SupSum[[#This Row],[Supervisor]],Wed_W1[],MATCH("Admin",Wed_W1[#Headers],0),0),"")</f>
        <v>0</v>
      </c>
      <c r="AE48" s="93" t="str">
        <f>IFERROR(VLOOKUP(SupSum[[#This Row],[Supervisor]],Wed_W1[],MATCH("Team MTG",Wed_W1[#Headers],0),0),"")</f>
        <v/>
      </c>
      <c r="AG48" s="93">
        <f>IFERROR(VLOOKUP(SupSum[[#This Row],[Supervisor]],Thu_W1[],MATCH("Help Line",Thu_W1[#Headers],0),0),"")</f>
        <v>0</v>
      </c>
      <c r="AH48" s="93">
        <f>IFERROR(VLOOKUP(SupSum[[#This Row],[Supervisor]],Thu_W1[],MATCH("RTA",Thu_W1[#Headers],0),0),"")</f>
        <v>0</v>
      </c>
      <c r="AI48" s="93">
        <f>IFERROR(VLOOKUP(SupSum[[#This Row],[Supervisor]],Thu_W1[],MATCH("Admin",Thu_W1[#Headers],0),0),"")</f>
        <v>0</v>
      </c>
      <c r="AJ48" s="93" t="str">
        <f>IFERROR(VLOOKUP(SupSum[[#This Row],[Supervisor]],Thu_W1[],MATCH("Team MTG",Thu_W1[#Headers],0),0),"")</f>
        <v/>
      </c>
      <c r="AL48" s="93">
        <f>IFERROR(VLOOKUP(SupSum[[#This Row],[Supervisor]],Fri_W1[],MATCH("Help Line",Fri_W1[#Headers],0),0),"")</f>
        <v>0</v>
      </c>
      <c r="AM48" s="93">
        <f>IFERROR(VLOOKUP(SupSum[[#This Row],[Supervisor]],Fri_W1[],MATCH("RTA",Fri_W1[#Headers],0),0),"")</f>
        <v>0</v>
      </c>
      <c r="AN48" s="93">
        <f>IFERROR(VLOOKUP(SupSum[[#This Row],[Supervisor]],Fri_W1[],MATCH("Admin",Fri_W1[#Headers],0),0),"")</f>
        <v>0</v>
      </c>
      <c r="AO48" s="93" t="str">
        <f>IFERROR(VLOOKUP(SupSum[[#This Row],[Supervisor]],Fri_W1[],MATCH("Team MTG",Fri_W1[#Headers],0),0),"")</f>
        <v/>
      </c>
      <c r="AQ48" s="93" t="str">
        <f>IFERROR(VLOOKUP(SupSum[[#This Row],[Supervisor]],Sat_W1[],MATCH("Help Line",Sat_W1[#Headers],0),0),"")</f>
        <v/>
      </c>
      <c r="AR48" s="93" t="str">
        <f>IFERROR(VLOOKUP(SupSum[[#This Row],[Supervisor]],Sat_W1[],MATCH("RTA",Sat_W1[#Headers],0),0),"")</f>
        <v/>
      </c>
      <c r="AS48" s="93" t="str">
        <f>IFERROR(VLOOKUP(SupSum[[#This Row],[Supervisor]],Sat_W1[],MATCH("Admin",Sat_W1[#Headers],0),0),"")</f>
        <v/>
      </c>
      <c r="AT48" s="93" t="str">
        <f>IFERROR(VLOOKUP(SupSum[[#This Row],[Supervisor]],Sat_W1[],MATCH("Team MTG",Sat_W1[#Headers],0),0),"")</f>
        <v/>
      </c>
      <c r="AV48" s="93" t="str">
        <f>IFERROR(VLOOKUP(SupSum[[#This Row],[Supervisor]],Sun_W2[],MATCH("Help Line",Sun_W2[#Headers],0),0),"")</f>
        <v/>
      </c>
      <c r="AW48" s="93" t="str">
        <f>IFERROR(VLOOKUP(SupSum[[#This Row],[Supervisor]],Sun_W2[],MATCH("RTA",Sun_W2[#Headers],0),0),"")</f>
        <v/>
      </c>
      <c r="AX48" s="93" t="str">
        <f>IFERROR(VLOOKUP(SupSum[[#This Row],[Supervisor]],Sun_W2[],MATCH("Admin",Sun_W2[#Headers],0),0),"")</f>
        <v/>
      </c>
      <c r="AY48" s="93" t="str">
        <f>IFERROR(VLOOKUP(SupSum[[#This Row],[Supervisor]],Sun_W2[],MATCH("Team MTG",Sun_W2[#Headers],0),0),"")</f>
        <v/>
      </c>
      <c r="BA48" s="93">
        <f>IFERROR(VLOOKUP(SupSum[[#This Row],[Supervisor]],Mon_W2[],MATCH("Help Line",Mon_W2[#Headers],0),0),"")</f>
        <v>0</v>
      </c>
      <c r="BB48" s="93">
        <f>IFERROR(VLOOKUP(SupSum[[#This Row],[Supervisor]],Mon_W2[],MATCH("RTA",Mon_W2[#Headers],0),0),"")</f>
        <v>0</v>
      </c>
      <c r="BC48" s="93">
        <f>IFERROR(VLOOKUP(SupSum[[#This Row],[Supervisor]],Mon_W2[],MATCH("Admin",Mon_W2[#Headers],0),0),"")</f>
        <v>0</v>
      </c>
      <c r="BD48" s="93" t="str">
        <f>IFERROR(VLOOKUP(SupSum[[#This Row],[Supervisor]],Mon_W2[],MATCH("Team MTG",Mon_W2[#Headers],0),0),"")</f>
        <v/>
      </c>
      <c r="BF48" s="93">
        <f>IFERROR(VLOOKUP(SupSum[[#This Row],[Supervisor]],Tue_W2[],MATCH("Help Line",Tue_W2[#Headers],0),0),"")</f>
        <v>0</v>
      </c>
      <c r="BG48" s="93">
        <f>IFERROR(VLOOKUP(SupSum[[#This Row],[Supervisor]],Tue_W2[],MATCH("RTA",Tue_W2[#Headers],0),0),"")</f>
        <v>0</v>
      </c>
      <c r="BH48" s="93">
        <f>IFERROR(VLOOKUP(SupSum[[#This Row],[Supervisor]],Tue_W2[],MATCH("Admin",Tue_W2[#Headers],0),0),"")</f>
        <v>0</v>
      </c>
      <c r="BI48" s="93" t="str">
        <f>IFERROR(VLOOKUP(SupSum[[#This Row],[Supervisor]],Tue_W2[],MATCH("Team MTG",Tue_W2[#Headers],0),0),"")</f>
        <v/>
      </c>
      <c r="BK48" s="93">
        <f>IFERROR(VLOOKUP(SupSum[[#This Row],[Supervisor]],Wed_W2[],MATCH("Help Line",Wed_W2[#Headers],0),0),"")</f>
        <v>0</v>
      </c>
      <c r="BL48" s="93">
        <f>IFERROR(VLOOKUP(SupSum[[#This Row],[Supervisor]],Wed_W2[],MATCH("RTA",Wed_W2[#Headers],0),0),"")</f>
        <v>0</v>
      </c>
      <c r="BM48" s="93">
        <f>IFERROR(VLOOKUP(SupSum[[#This Row],[Supervisor]],Wed_W2[],MATCH("Admin",Wed_W2[#Headers],0),0),"")</f>
        <v>0</v>
      </c>
      <c r="BN48" s="93" t="str">
        <f>IFERROR(VLOOKUP(SupSum[[#This Row],[Supervisor]],Wed_W2[],MATCH("Team MTG",Wed_W2[#Headers],0),0),"")</f>
        <v/>
      </c>
      <c r="BP48" s="93">
        <f>IFERROR(VLOOKUP(SupSum[[#This Row],[Supervisor]],Thu_W2[],MATCH("Help Line",Thu_W2[#Headers],0),0),"")</f>
        <v>0</v>
      </c>
      <c r="BQ48" s="93">
        <f>IFERROR(VLOOKUP(SupSum[[#This Row],[Supervisor]],Thu_W2[],MATCH("RTA",Thu_W2[#Headers],0),0),"")</f>
        <v>0</v>
      </c>
      <c r="BR48" s="93">
        <f>IFERROR(VLOOKUP(SupSum[[#This Row],[Supervisor]],Thu_W2[],MATCH("Admin",Thu_W2[#Headers],0),0),"")</f>
        <v>0</v>
      </c>
      <c r="BS48" s="93" t="str">
        <f>IFERROR(VLOOKUP(SupSum[[#This Row],[Supervisor]],Thu_W2[],MATCH("Team MTG",Thu_W2[#Headers],0),0),"")</f>
        <v/>
      </c>
      <c r="BU48" s="93">
        <f>IFERROR(VLOOKUP(SupSum[[#This Row],[Supervisor]],Fri_W2[],MATCH("Help Line",Fri_W2[#Headers],0),0),"")</f>
        <v>0</v>
      </c>
      <c r="BV48" s="93">
        <f>IFERROR(VLOOKUP(SupSum[[#This Row],[Supervisor]],Fri_W2[],MATCH("RTA",Fri_W2[#Headers],0),0),"")</f>
        <v>0</v>
      </c>
      <c r="BW48" s="93">
        <f>IFERROR(VLOOKUP(SupSum[[#This Row],[Supervisor]],Fri_W2[],MATCH("Admin",Fri_W2[#Headers],0),0),"")</f>
        <v>0</v>
      </c>
      <c r="BX48" s="93" t="str">
        <f>IFERROR(VLOOKUP(SupSum[[#This Row],[Supervisor]],Fri_W2[],MATCH("Team MTG",Fri_W2[#Headers],0),0),"")</f>
        <v/>
      </c>
      <c r="BZ48" s="93" t="str">
        <f>IFERROR(VLOOKUP(SupSum[[#This Row],[Supervisor]],Sat_W2[],MATCH("Help Line",Sat_W2[#Headers],0),0),"")</f>
        <v/>
      </c>
      <c r="CA48" s="93" t="str">
        <f>IFERROR(VLOOKUP(SupSum[[#This Row],[Supervisor]],Sat_W2[],MATCH("RTA",Sat_W2[#Headers],0),0),"")</f>
        <v/>
      </c>
      <c r="CB48" s="93" t="str">
        <f>IFERROR(VLOOKUP(SupSum[[#This Row],[Supervisor]],Sat_W2[],MATCH("Admin",Sat_W2[#Headers],0),0),"")</f>
        <v/>
      </c>
      <c r="CC48" s="93" t="str">
        <f>IFERROR(VLOOKUP(SupSum[[#This Row],[Supervisor]],Sat_W2[],MATCH("Team MTG",Sat_W2[#Headers],0),0),"")</f>
        <v/>
      </c>
    </row>
    <row r="49" spans="2:81" x14ac:dyDescent="0.2">
      <c r="B49" s="6" t="s">
        <v>32</v>
      </c>
      <c r="C49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49" s="93">
        <f>SUM(SSum_Sun1[[#This Row],[RTA]],SSum_Mon1[[#This Row],[RTA]],SSum_Tue1[[#This Row],[RTA]],SSum_Wed1[[#This Row],[RTA]],SSum_Thu1[[#This Row],[RTA]],SSum_Fri1[[#This Row],[RTA]],SSum_Sat1[[#This Row],[RTA]])</f>
        <v>0</v>
      </c>
      <c r="E49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49" s="93">
        <f>SUM(SSum_Sun1[[#This Row],[TM]],SSum_Mon1[[#This Row],[TM]],SSum_Tue1[[#This Row],[TM]],SSum_Wed1[[#This Row],[TM]],SSum_Thu1[[#This Row],[TM]],SSum_Fri1[[#This Row],[TM]],SSum_Sat1[[#This Row],[TM]])</f>
        <v>0</v>
      </c>
      <c r="G49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49" s="93">
        <f>SUM(SSum_Sun2[[#This Row],[RTA]],SSum_Mon2[[#This Row],[RTA]],SSum_Tue2[[#This Row],[RTA]],SSum_Wed2[[#This Row],[RTA]],SSum_Thu2[[#This Row],[RTA]],SSum_Fri2[[#This Row],[RTA]],SSum_Sat2[[#This Row],[RTA]])</f>
        <v>0</v>
      </c>
      <c r="I49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49" s="93">
        <f>SUM(SSum_Sun2[[#This Row],[TM]],SSum_Mon2[[#This Row],[TM]],SSum_Tue2[[#This Row],[TM]],SSum_Wed2[[#This Row],[TM]],SSum_Thu2[[#This Row],[TM]],SSum_Fri2[[#This Row],[TM]],SSum_Sat2[[#This Row],[TM]])</f>
        <v>0</v>
      </c>
      <c r="K49" s="208">
        <v>15</v>
      </c>
      <c r="M49" s="93">
        <f>IFERROR(VLOOKUP(SupSum[[#This Row],[Supervisor]],Sun_W1[],MATCH("Help Line",Sun_W1[#Headers],0),0),"")</f>
        <v>0</v>
      </c>
      <c r="N49" s="93">
        <f>IFERROR(VLOOKUP(SupSum[[#This Row],[Supervisor]],Sun_W1[],MATCH("RTA",Sun_W1[#Headers],0),0),"")</f>
        <v>0</v>
      </c>
      <c r="O49" s="93">
        <f>IFERROR(VLOOKUP(SupSum[[#This Row],[Supervisor]],Sun_W1[],MATCH("Admin",Sun_W1[#Headers],0),0),"")</f>
        <v>0</v>
      </c>
      <c r="P49" s="93" t="str">
        <f>IFERROR(VLOOKUP(SupSum[[#This Row],[Supervisor]],Sun_W1[],MATCH("Team MTG",Sun_W1[#Headers],0),0),"")</f>
        <v/>
      </c>
      <c r="R49" s="93">
        <f>IFERROR(VLOOKUP(SupSum[[#This Row],[Supervisor]],Mon_W1[],MATCH("Help Line",Mon_W1[#Headers],0),0),"")</f>
        <v>0</v>
      </c>
      <c r="S49" s="93">
        <f>IFERROR(VLOOKUP(SupSum[[#This Row],[Supervisor]],Mon_W1[],MATCH("RTA",Mon_W1[#Headers],0),0),"")</f>
        <v>0</v>
      </c>
      <c r="T49" s="93">
        <f>IFERROR(VLOOKUP(SupSum[[#This Row],[Supervisor]],Mon_W1[],MATCH("Admin",Mon_W1[#Headers],0),0),"")</f>
        <v>0</v>
      </c>
      <c r="U49" s="93" t="str">
        <f>IFERROR(VLOOKUP(SupSum[[#This Row],[Supervisor]],Mon_W1[],MATCH("Team MTG",Mon_W1[#Headers],0),0),"")</f>
        <v/>
      </c>
      <c r="W49" s="93" t="str">
        <f>IFERROR(VLOOKUP(SupSum[[#This Row],[Supervisor]],Tue_W1[],MATCH("Help Line",Tue_W1[#Headers],0),0),"")</f>
        <v/>
      </c>
      <c r="X49" s="93" t="str">
        <f>IFERROR(VLOOKUP(SupSum[[#This Row],[Supervisor]],Tue_W1[],MATCH("RTA",Tue_W1[#Headers],0),0),"")</f>
        <v/>
      </c>
      <c r="Y49" s="93" t="str">
        <f>IFERROR(VLOOKUP(SupSum[[#This Row],[Supervisor]],Tue_W1[],MATCH("Admin",Tue_W1[#Headers],0),0),"")</f>
        <v/>
      </c>
      <c r="Z49" s="93" t="str">
        <f>IFERROR(VLOOKUP(SupSum[[#This Row],[Supervisor]],Tue_W1[],MATCH("Team MTG",Tue_W1[#Headers],0),0),"")</f>
        <v/>
      </c>
      <c r="AB49" s="93" t="str">
        <f>IFERROR(VLOOKUP(SupSum[[#This Row],[Supervisor]],Wed_W1[],MATCH("Help Line",Wed_W1[#Headers],0),0),"")</f>
        <v/>
      </c>
      <c r="AC49" s="93" t="str">
        <f>IFERROR(VLOOKUP(SupSum[[#This Row],[Supervisor]],Wed_W1[],MATCH("RTA",Wed_W1[#Headers],0),0),"")</f>
        <v/>
      </c>
      <c r="AD49" s="93" t="str">
        <f>IFERROR(VLOOKUP(SupSum[[#This Row],[Supervisor]],Wed_W1[],MATCH("Admin",Wed_W1[#Headers],0),0),"")</f>
        <v/>
      </c>
      <c r="AE49" s="93" t="str">
        <f>IFERROR(VLOOKUP(SupSum[[#This Row],[Supervisor]],Wed_W1[],MATCH("Team MTG",Wed_W1[#Headers],0),0),"")</f>
        <v/>
      </c>
      <c r="AG49" s="93">
        <f>IFERROR(VLOOKUP(SupSum[[#This Row],[Supervisor]],Thu_W1[],MATCH("Help Line",Thu_W1[#Headers],0),0),"")</f>
        <v>0</v>
      </c>
      <c r="AH49" s="93">
        <f>IFERROR(VLOOKUP(SupSum[[#This Row],[Supervisor]],Thu_W1[],MATCH("RTA",Thu_W1[#Headers],0),0),"")</f>
        <v>0</v>
      </c>
      <c r="AI49" s="93">
        <f>IFERROR(VLOOKUP(SupSum[[#This Row],[Supervisor]],Thu_W1[],MATCH("Admin",Thu_W1[#Headers],0),0),"")</f>
        <v>0</v>
      </c>
      <c r="AJ49" s="93" t="str">
        <f>IFERROR(VLOOKUP(SupSum[[#This Row],[Supervisor]],Thu_W1[],MATCH("Team MTG",Thu_W1[#Headers],0),0),"")</f>
        <v/>
      </c>
      <c r="AL49" s="93">
        <f>IFERROR(VLOOKUP(SupSum[[#This Row],[Supervisor]],Fri_W1[],MATCH("Help Line",Fri_W1[#Headers],0),0),"")</f>
        <v>0</v>
      </c>
      <c r="AM49" s="93">
        <f>IFERROR(VLOOKUP(SupSum[[#This Row],[Supervisor]],Fri_W1[],MATCH("RTA",Fri_W1[#Headers],0),0),"")</f>
        <v>0</v>
      </c>
      <c r="AN49" s="93">
        <f>IFERROR(VLOOKUP(SupSum[[#This Row],[Supervisor]],Fri_W1[],MATCH("Admin",Fri_W1[#Headers],0),0),"")</f>
        <v>0</v>
      </c>
      <c r="AO49" s="93" t="str">
        <f>IFERROR(VLOOKUP(SupSum[[#This Row],[Supervisor]],Fri_W1[],MATCH("Team MTG",Fri_W1[#Headers],0),0),"")</f>
        <v/>
      </c>
      <c r="AQ49" s="93">
        <f>IFERROR(VLOOKUP(SupSum[[#This Row],[Supervisor]],Sat_W1[],MATCH("Help Line",Sat_W1[#Headers],0),0),"")</f>
        <v>0</v>
      </c>
      <c r="AR49" s="93">
        <f>IFERROR(VLOOKUP(SupSum[[#This Row],[Supervisor]],Sat_W1[],MATCH("RTA",Sat_W1[#Headers],0),0),"")</f>
        <v>0</v>
      </c>
      <c r="AS49" s="93">
        <f>IFERROR(VLOOKUP(SupSum[[#This Row],[Supervisor]],Sat_W1[],MATCH("Admin",Sat_W1[#Headers],0),0),"")</f>
        <v>0</v>
      </c>
      <c r="AT49" s="93" t="str">
        <f>IFERROR(VLOOKUP(SupSum[[#This Row],[Supervisor]],Sat_W1[],MATCH("Team MTG",Sat_W1[#Headers],0),0),"")</f>
        <v/>
      </c>
      <c r="AV49" s="93">
        <f>IFERROR(VLOOKUP(SupSum[[#This Row],[Supervisor]],Sun_W2[],MATCH("Help Line",Sun_W2[#Headers],0),0),"")</f>
        <v>0</v>
      </c>
      <c r="AW49" s="93">
        <f>IFERROR(VLOOKUP(SupSum[[#This Row],[Supervisor]],Sun_W2[],MATCH("RTA",Sun_W2[#Headers],0),0),"")</f>
        <v>0</v>
      </c>
      <c r="AX49" s="93">
        <f>IFERROR(VLOOKUP(SupSum[[#This Row],[Supervisor]],Sun_W2[],MATCH("Admin",Sun_W2[#Headers],0),0),"")</f>
        <v>0</v>
      </c>
      <c r="AY49" s="93" t="str">
        <f>IFERROR(VLOOKUP(SupSum[[#This Row],[Supervisor]],Sun_W2[],MATCH("Team MTG",Sun_W2[#Headers],0),0),"")</f>
        <v/>
      </c>
      <c r="BA49" s="93">
        <f>IFERROR(VLOOKUP(SupSum[[#This Row],[Supervisor]],Mon_W2[],MATCH("Help Line",Mon_W2[#Headers],0),0),"")</f>
        <v>0</v>
      </c>
      <c r="BB49" s="93">
        <f>IFERROR(VLOOKUP(SupSum[[#This Row],[Supervisor]],Mon_W2[],MATCH("RTA",Mon_W2[#Headers],0),0),"")</f>
        <v>0</v>
      </c>
      <c r="BC49" s="93">
        <f>IFERROR(VLOOKUP(SupSum[[#This Row],[Supervisor]],Mon_W2[],MATCH("Admin",Mon_W2[#Headers],0),0),"")</f>
        <v>0</v>
      </c>
      <c r="BD49" s="93" t="str">
        <f>IFERROR(VLOOKUP(SupSum[[#This Row],[Supervisor]],Mon_W2[],MATCH("Team MTG",Mon_W2[#Headers],0),0),"")</f>
        <v/>
      </c>
      <c r="BF49" s="93" t="str">
        <f>IFERROR(VLOOKUP(SupSum[[#This Row],[Supervisor]],Tue_W2[],MATCH("Help Line",Tue_W2[#Headers],0),0),"")</f>
        <v/>
      </c>
      <c r="BG49" s="93" t="str">
        <f>IFERROR(VLOOKUP(SupSum[[#This Row],[Supervisor]],Tue_W2[],MATCH("RTA",Tue_W2[#Headers],0),0),"")</f>
        <v/>
      </c>
      <c r="BH49" s="93" t="str">
        <f>IFERROR(VLOOKUP(SupSum[[#This Row],[Supervisor]],Tue_W2[],MATCH("Admin",Tue_W2[#Headers],0),0),"")</f>
        <v/>
      </c>
      <c r="BI49" s="93" t="str">
        <f>IFERROR(VLOOKUP(SupSum[[#This Row],[Supervisor]],Tue_W2[],MATCH("Team MTG",Tue_W2[#Headers],0),0),"")</f>
        <v/>
      </c>
      <c r="BK49" s="93" t="str">
        <f>IFERROR(VLOOKUP(SupSum[[#This Row],[Supervisor]],Wed_W2[],MATCH("Help Line",Wed_W2[#Headers],0),0),"")</f>
        <v/>
      </c>
      <c r="BL49" s="93" t="str">
        <f>IFERROR(VLOOKUP(SupSum[[#This Row],[Supervisor]],Wed_W2[],MATCH("RTA",Wed_W2[#Headers],0),0),"")</f>
        <v/>
      </c>
      <c r="BM49" s="93" t="str">
        <f>IFERROR(VLOOKUP(SupSum[[#This Row],[Supervisor]],Wed_W2[],MATCH("Admin",Wed_W2[#Headers],0),0),"")</f>
        <v/>
      </c>
      <c r="BN49" s="93" t="str">
        <f>IFERROR(VLOOKUP(SupSum[[#This Row],[Supervisor]],Wed_W2[],MATCH("Team MTG",Wed_W2[#Headers],0),0),"")</f>
        <v/>
      </c>
      <c r="BP49" s="93">
        <f>IFERROR(VLOOKUP(SupSum[[#This Row],[Supervisor]],Thu_W2[],MATCH("Help Line",Thu_W2[#Headers],0),0),"")</f>
        <v>0</v>
      </c>
      <c r="BQ49" s="93">
        <f>IFERROR(VLOOKUP(SupSum[[#This Row],[Supervisor]],Thu_W2[],MATCH("RTA",Thu_W2[#Headers],0),0),"")</f>
        <v>0</v>
      </c>
      <c r="BR49" s="93">
        <f>IFERROR(VLOOKUP(SupSum[[#This Row],[Supervisor]],Thu_W2[],MATCH("Admin",Thu_W2[#Headers],0),0),"")</f>
        <v>0</v>
      </c>
      <c r="BS49" s="93" t="str">
        <f>IFERROR(VLOOKUP(SupSum[[#This Row],[Supervisor]],Thu_W2[],MATCH("Team MTG",Thu_W2[#Headers],0),0),"")</f>
        <v/>
      </c>
      <c r="BU49" s="93">
        <f>IFERROR(VLOOKUP(SupSum[[#This Row],[Supervisor]],Fri_W2[],MATCH("Help Line",Fri_W2[#Headers],0),0),"")</f>
        <v>0</v>
      </c>
      <c r="BV49" s="93">
        <f>IFERROR(VLOOKUP(SupSum[[#This Row],[Supervisor]],Fri_W2[],MATCH("RTA",Fri_W2[#Headers],0),0),"")</f>
        <v>0</v>
      </c>
      <c r="BW49" s="93">
        <f>IFERROR(VLOOKUP(SupSum[[#This Row],[Supervisor]],Fri_W2[],MATCH("Admin",Fri_W2[#Headers],0),0),"")</f>
        <v>0</v>
      </c>
      <c r="BX49" s="93" t="str">
        <f>IFERROR(VLOOKUP(SupSum[[#This Row],[Supervisor]],Fri_W2[],MATCH("Team MTG",Fri_W2[#Headers],0),0),"")</f>
        <v/>
      </c>
      <c r="BZ49" s="93">
        <f>IFERROR(VLOOKUP(SupSum[[#This Row],[Supervisor]],Sat_W2[],MATCH("Help Line",Sat_W2[#Headers],0),0),"")</f>
        <v>0</v>
      </c>
      <c r="CA49" s="93">
        <f>IFERROR(VLOOKUP(SupSum[[#This Row],[Supervisor]],Sat_W2[],MATCH("RTA",Sat_W2[#Headers],0),0),"")</f>
        <v>0</v>
      </c>
      <c r="CB49" s="93">
        <f>IFERROR(VLOOKUP(SupSum[[#This Row],[Supervisor]],Sat_W2[],MATCH("Admin",Sat_W2[#Headers],0),0),"")</f>
        <v>0</v>
      </c>
      <c r="CC49" s="93" t="str">
        <f>IFERROR(VLOOKUP(SupSum[[#This Row],[Supervisor]],Sat_W2[],MATCH("Team MTG",Sat_W2[#Headers],0),0),"")</f>
        <v/>
      </c>
    </row>
    <row r="50" spans="2:81" x14ac:dyDescent="0.2">
      <c r="B50" s="6" t="s">
        <v>59</v>
      </c>
      <c r="C50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50" s="93">
        <f>SUM(SSum_Sun1[[#This Row],[RTA]],SSum_Mon1[[#This Row],[RTA]],SSum_Tue1[[#This Row],[RTA]],SSum_Wed1[[#This Row],[RTA]],SSum_Thu1[[#This Row],[RTA]],SSum_Fri1[[#This Row],[RTA]],SSum_Sat1[[#This Row],[RTA]])</f>
        <v>0</v>
      </c>
      <c r="E50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50" s="93">
        <f>SUM(SSum_Sun1[[#This Row],[TM]],SSum_Mon1[[#This Row],[TM]],SSum_Tue1[[#This Row],[TM]],SSum_Wed1[[#This Row],[TM]],SSum_Thu1[[#This Row],[TM]],SSum_Fri1[[#This Row],[TM]],SSum_Sat1[[#This Row],[TM]])</f>
        <v>0</v>
      </c>
      <c r="G50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50" s="93">
        <f>SUM(SSum_Sun2[[#This Row],[RTA]],SSum_Mon2[[#This Row],[RTA]],SSum_Tue2[[#This Row],[RTA]],SSum_Wed2[[#This Row],[RTA]],SSum_Thu2[[#This Row],[RTA]],SSum_Fri2[[#This Row],[RTA]],SSum_Sat2[[#This Row],[RTA]])</f>
        <v>0</v>
      </c>
      <c r="I50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50" s="93">
        <f>SUM(SSum_Sun2[[#This Row],[TM]],SSum_Mon2[[#This Row],[TM]],SSum_Tue2[[#This Row],[TM]],SSum_Wed2[[#This Row],[TM]],SSum_Thu2[[#This Row],[TM]],SSum_Fri2[[#This Row],[TM]],SSum_Sat2[[#This Row],[TM]])</f>
        <v>0</v>
      </c>
      <c r="K50" s="208">
        <v>20</v>
      </c>
      <c r="M50" s="93" t="str">
        <f>IFERROR(VLOOKUP(SupSum[[#This Row],[Supervisor]],Sun_W1[],MATCH("Help Line",Sun_W1[#Headers],0),0),"")</f>
        <v/>
      </c>
      <c r="N50" s="93" t="str">
        <f>IFERROR(VLOOKUP(SupSum[[#This Row],[Supervisor]],Sun_W1[],MATCH("RTA",Sun_W1[#Headers],0),0),"")</f>
        <v/>
      </c>
      <c r="O50" s="93" t="str">
        <f>IFERROR(VLOOKUP(SupSum[[#This Row],[Supervisor]],Sun_W1[],MATCH("Admin",Sun_W1[#Headers],0),0),"")</f>
        <v/>
      </c>
      <c r="P50" s="93" t="str">
        <f>IFERROR(VLOOKUP(SupSum[[#This Row],[Supervisor]],Sun_W1[],MATCH("Team MTG",Sun_W1[#Headers],0),0),"")</f>
        <v/>
      </c>
      <c r="R50" s="93" t="str">
        <f>IFERROR(VLOOKUP(SupSum[[#This Row],[Supervisor]],Mon_W1[],MATCH("Help Line",Mon_W1[#Headers],0),0),"")</f>
        <v/>
      </c>
      <c r="S50" s="93" t="str">
        <f>IFERROR(VLOOKUP(SupSum[[#This Row],[Supervisor]],Mon_W1[],MATCH("RTA",Mon_W1[#Headers],0),0),"")</f>
        <v/>
      </c>
      <c r="T50" s="93" t="str">
        <f>IFERROR(VLOOKUP(SupSum[[#This Row],[Supervisor]],Mon_W1[],MATCH("Admin",Mon_W1[#Headers],0),0),"")</f>
        <v/>
      </c>
      <c r="U50" s="93" t="str">
        <f>IFERROR(VLOOKUP(SupSum[[#This Row],[Supervisor]],Mon_W1[],MATCH("Team MTG",Mon_W1[#Headers],0),0),"")</f>
        <v/>
      </c>
      <c r="W50" s="93">
        <f>IFERROR(VLOOKUP(SupSum[[#This Row],[Supervisor]],Tue_W1[],MATCH("Help Line",Tue_W1[#Headers],0),0),"")</f>
        <v>0</v>
      </c>
      <c r="X50" s="93">
        <f>IFERROR(VLOOKUP(SupSum[[#This Row],[Supervisor]],Tue_W1[],MATCH("RTA",Tue_W1[#Headers],0),0),"")</f>
        <v>0</v>
      </c>
      <c r="Y50" s="93">
        <f>IFERROR(VLOOKUP(SupSum[[#This Row],[Supervisor]],Tue_W1[],MATCH("Admin",Tue_W1[#Headers],0),0),"")</f>
        <v>0</v>
      </c>
      <c r="Z50" s="93" t="str">
        <f>IFERROR(VLOOKUP(SupSum[[#This Row],[Supervisor]],Tue_W1[],MATCH("Team MTG",Tue_W1[#Headers],0),0),"")</f>
        <v/>
      </c>
      <c r="AB50" s="93">
        <f>IFERROR(VLOOKUP(SupSum[[#This Row],[Supervisor]],Wed_W1[],MATCH("Help Line",Wed_W1[#Headers],0),0),"")</f>
        <v>0</v>
      </c>
      <c r="AC50" s="93">
        <f>IFERROR(VLOOKUP(SupSum[[#This Row],[Supervisor]],Wed_W1[],MATCH("RTA",Wed_W1[#Headers],0),0),"")</f>
        <v>0</v>
      </c>
      <c r="AD50" s="93">
        <f>IFERROR(VLOOKUP(SupSum[[#This Row],[Supervisor]],Wed_W1[],MATCH("Admin",Wed_W1[#Headers],0),0),"")</f>
        <v>0</v>
      </c>
      <c r="AE50" s="93" t="str">
        <f>IFERROR(VLOOKUP(SupSum[[#This Row],[Supervisor]],Wed_W1[],MATCH("Team MTG",Wed_W1[#Headers],0),0),"")</f>
        <v/>
      </c>
      <c r="AG50" s="93">
        <f>IFERROR(VLOOKUP(SupSum[[#This Row],[Supervisor]],Thu_W1[],MATCH("Help Line",Thu_W1[#Headers],0),0),"")</f>
        <v>0</v>
      </c>
      <c r="AH50" s="93">
        <f>IFERROR(VLOOKUP(SupSum[[#This Row],[Supervisor]],Thu_W1[],MATCH("RTA",Thu_W1[#Headers],0),0),"")</f>
        <v>0</v>
      </c>
      <c r="AI50" s="93">
        <f>IFERROR(VLOOKUP(SupSum[[#This Row],[Supervisor]],Thu_W1[],MATCH("Admin",Thu_W1[#Headers],0),0),"")</f>
        <v>0</v>
      </c>
      <c r="AJ50" s="93" t="str">
        <f>IFERROR(VLOOKUP(SupSum[[#This Row],[Supervisor]],Thu_W1[],MATCH("Team MTG",Thu_W1[#Headers],0),0),"")</f>
        <v/>
      </c>
      <c r="AL50" s="93">
        <f>IFERROR(VLOOKUP(SupSum[[#This Row],[Supervisor]],Fri_W1[],MATCH("Help Line",Fri_W1[#Headers],0),0),"")</f>
        <v>0</v>
      </c>
      <c r="AM50" s="93">
        <f>IFERROR(VLOOKUP(SupSum[[#This Row],[Supervisor]],Fri_W1[],MATCH("RTA",Fri_W1[#Headers],0),0),"")</f>
        <v>0</v>
      </c>
      <c r="AN50" s="93">
        <f>IFERROR(VLOOKUP(SupSum[[#This Row],[Supervisor]],Fri_W1[],MATCH("Admin",Fri_W1[#Headers],0),0),"")</f>
        <v>0</v>
      </c>
      <c r="AO50" s="93" t="str">
        <f>IFERROR(VLOOKUP(SupSum[[#This Row],[Supervisor]],Fri_W1[],MATCH("Team MTG",Fri_W1[#Headers],0),0),"")</f>
        <v/>
      </c>
      <c r="AQ50" s="93">
        <f>IFERROR(VLOOKUP(SupSum[[#This Row],[Supervisor]],Sat_W1[],MATCH("Help Line",Sat_W1[#Headers],0),0),"")</f>
        <v>0</v>
      </c>
      <c r="AR50" s="93">
        <f>IFERROR(VLOOKUP(SupSum[[#This Row],[Supervisor]],Sat_W1[],MATCH("RTA",Sat_W1[#Headers],0),0),"")</f>
        <v>0</v>
      </c>
      <c r="AS50" s="93">
        <f>IFERROR(VLOOKUP(SupSum[[#This Row],[Supervisor]],Sat_W1[],MATCH("Admin",Sat_W1[#Headers],0),0),"")</f>
        <v>0</v>
      </c>
      <c r="AT50" s="93" t="str">
        <f>IFERROR(VLOOKUP(SupSum[[#This Row],[Supervisor]],Sat_W1[],MATCH("Team MTG",Sat_W1[#Headers],0),0),"")</f>
        <v/>
      </c>
      <c r="AV50" s="93" t="str">
        <f>IFERROR(VLOOKUP(SupSum[[#This Row],[Supervisor]],Sun_W2[],MATCH("Help Line",Sun_W2[#Headers],0),0),"")</f>
        <v/>
      </c>
      <c r="AW50" s="93" t="str">
        <f>IFERROR(VLOOKUP(SupSum[[#This Row],[Supervisor]],Sun_W2[],MATCH("RTA",Sun_W2[#Headers],0),0),"")</f>
        <v/>
      </c>
      <c r="AX50" s="93" t="str">
        <f>IFERROR(VLOOKUP(SupSum[[#This Row],[Supervisor]],Sun_W2[],MATCH("Admin",Sun_W2[#Headers],0),0),"")</f>
        <v/>
      </c>
      <c r="AY50" s="93" t="str">
        <f>IFERROR(VLOOKUP(SupSum[[#This Row],[Supervisor]],Sun_W2[],MATCH("Team MTG",Sun_W2[#Headers],0),0),"")</f>
        <v/>
      </c>
      <c r="BA50" s="93" t="str">
        <f>IFERROR(VLOOKUP(SupSum[[#This Row],[Supervisor]],Mon_W2[],MATCH("Help Line",Mon_W2[#Headers],0),0),"")</f>
        <v/>
      </c>
      <c r="BB50" s="93" t="str">
        <f>IFERROR(VLOOKUP(SupSum[[#This Row],[Supervisor]],Mon_W2[],MATCH("RTA",Mon_W2[#Headers],0),0),"")</f>
        <v/>
      </c>
      <c r="BC50" s="93" t="str">
        <f>IFERROR(VLOOKUP(SupSum[[#This Row],[Supervisor]],Mon_W2[],MATCH("Admin",Mon_W2[#Headers],0),0),"")</f>
        <v/>
      </c>
      <c r="BD50" s="93" t="str">
        <f>IFERROR(VLOOKUP(SupSum[[#This Row],[Supervisor]],Mon_W2[],MATCH("Team MTG",Mon_W2[#Headers],0),0),"")</f>
        <v/>
      </c>
      <c r="BF50" s="93">
        <f>IFERROR(VLOOKUP(SupSum[[#This Row],[Supervisor]],Tue_W2[],MATCH("Help Line",Tue_W2[#Headers],0),0),"")</f>
        <v>0</v>
      </c>
      <c r="BG50" s="93">
        <f>IFERROR(VLOOKUP(SupSum[[#This Row],[Supervisor]],Tue_W2[],MATCH("RTA",Tue_W2[#Headers],0),0),"")</f>
        <v>0</v>
      </c>
      <c r="BH50" s="93">
        <f>IFERROR(VLOOKUP(SupSum[[#This Row],[Supervisor]],Tue_W2[],MATCH("Admin",Tue_W2[#Headers],0),0),"")</f>
        <v>0</v>
      </c>
      <c r="BI50" s="93" t="str">
        <f>IFERROR(VLOOKUP(SupSum[[#This Row],[Supervisor]],Tue_W2[],MATCH("Team MTG",Tue_W2[#Headers],0),0),"")</f>
        <v/>
      </c>
      <c r="BK50" s="93">
        <f>IFERROR(VLOOKUP(SupSum[[#This Row],[Supervisor]],Wed_W2[],MATCH("Help Line",Wed_W2[#Headers],0),0),"")</f>
        <v>0</v>
      </c>
      <c r="BL50" s="93">
        <f>IFERROR(VLOOKUP(SupSum[[#This Row],[Supervisor]],Wed_W2[],MATCH("RTA",Wed_W2[#Headers],0),0),"")</f>
        <v>0</v>
      </c>
      <c r="BM50" s="93">
        <f>IFERROR(VLOOKUP(SupSum[[#This Row],[Supervisor]],Wed_W2[],MATCH("Admin",Wed_W2[#Headers],0),0),"")</f>
        <v>0</v>
      </c>
      <c r="BN50" s="93" t="str">
        <f>IFERROR(VLOOKUP(SupSum[[#This Row],[Supervisor]],Wed_W2[],MATCH("Team MTG",Wed_W2[#Headers],0),0),"")</f>
        <v/>
      </c>
      <c r="BP50" s="93">
        <f>IFERROR(VLOOKUP(SupSum[[#This Row],[Supervisor]],Thu_W2[],MATCH("Help Line",Thu_W2[#Headers],0),0),"")</f>
        <v>0</v>
      </c>
      <c r="BQ50" s="93">
        <f>IFERROR(VLOOKUP(SupSum[[#This Row],[Supervisor]],Thu_W2[],MATCH("RTA",Thu_W2[#Headers],0),0),"")</f>
        <v>0</v>
      </c>
      <c r="BR50" s="93">
        <f>IFERROR(VLOOKUP(SupSum[[#This Row],[Supervisor]],Thu_W2[],MATCH("Admin",Thu_W2[#Headers],0),0),"")</f>
        <v>0</v>
      </c>
      <c r="BS50" s="93" t="str">
        <f>IFERROR(VLOOKUP(SupSum[[#This Row],[Supervisor]],Thu_W2[],MATCH("Team MTG",Thu_W2[#Headers],0),0),"")</f>
        <v/>
      </c>
      <c r="BU50" s="93">
        <f>IFERROR(VLOOKUP(SupSum[[#This Row],[Supervisor]],Fri_W2[],MATCH("Help Line",Fri_W2[#Headers],0),0),"")</f>
        <v>0</v>
      </c>
      <c r="BV50" s="93">
        <f>IFERROR(VLOOKUP(SupSum[[#This Row],[Supervisor]],Fri_W2[],MATCH("RTA",Fri_W2[#Headers],0),0),"")</f>
        <v>0</v>
      </c>
      <c r="BW50" s="93">
        <f>IFERROR(VLOOKUP(SupSum[[#This Row],[Supervisor]],Fri_W2[],MATCH("Admin",Fri_W2[#Headers],0),0),"")</f>
        <v>0</v>
      </c>
      <c r="BX50" s="93" t="str">
        <f>IFERROR(VLOOKUP(SupSum[[#This Row],[Supervisor]],Fri_W2[],MATCH("Team MTG",Fri_W2[#Headers],0),0),"")</f>
        <v/>
      </c>
      <c r="BZ50" s="93">
        <f>IFERROR(VLOOKUP(SupSum[[#This Row],[Supervisor]],Sat_W2[],MATCH("Help Line",Sat_W2[#Headers],0),0),"")</f>
        <v>0</v>
      </c>
      <c r="CA50" s="93">
        <f>IFERROR(VLOOKUP(SupSum[[#This Row],[Supervisor]],Sat_W2[],MATCH("RTA",Sat_W2[#Headers],0),0),"")</f>
        <v>0</v>
      </c>
      <c r="CB50" s="93">
        <f>IFERROR(VLOOKUP(SupSum[[#This Row],[Supervisor]],Sat_W2[],MATCH("Admin",Sat_W2[#Headers],0),0),"")</f>
        <v>0</v>
      </c>
      <c r="CC50" s="93" t="str">
        <f>IFERROR(VLOOKUP(SupSum[[#This Row],[Supervisor]],Sat_W2[],MATCH("Team MTG",Sat_W2[#Headers],0),0),"")</f>
        <v/>
      </c>
    </row>
    <row r="51" spans="2:81" x14ac:dyDescent="0.2">
      <c r="B51" s="6" t="s">
        <v>17</v>
      </c>
      <c r="C51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51" s="93">
        <f>SUM(SSum_Sun1[[#This Row],[RTA]],SSum_Mon1[[#This Row],[RTA]],SSum_Tue1[[#This Row],[RTA]],SSum_Wed1[[#This Row],[RTA]],SSum_Thu1[[#This Row],[RTA]],SSum_Fri1[[#This Row],[RTA]],SSum_Sat1[[#This Row],[RTA]])</f>
        <v>0</v>
      </c>
      <c r="E51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51" s="93">
        <f>SUM(SSum_Sun1[[#This Row],[TM]],SSum_Mon1[[#This Row],[TM]],SSum_Tue1[[#This Row],[TM]],SSum_Wed1[[#This Row],[TM]],SSum_Thu1[[#This Row],[TM]],SSum_Fri1[[#This Row],[TM]],SSum_Sat1[[#This Row],[TM]])</f>
        <v>0</v>
      </c>
      <c r="G51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51" s="93">
        <f>SUM(SSum_Sun2[[#This Row],[RTA]],SSum_Mon2[[#This Row],[RTA]],SSum_Tue2[[#This Row],[RTA]],SSum_Wed2[[#This Row],[RTA]],SSum_Thu2[[#This Row],[RTA]],SSum_Fri2[[#This Row],[RTA]],SSum_Sat2[[#This Row],[RTA]])</f>
        <v>0</v>
      </c>
      <c r="I51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51" s="93">
        <f>SUM(SSum_Sun2[[#This Row],[TM]],SSum_Mon2[[#This Row],[TM]],SSum_Tue2[[#This Row],[TM]],SSum_Wed2[[#This Row],[TM]],SSum_Thu2[[#This Row],[TM]],SSum_Fri2[[#This Row],[TM]],SSum_Sat2[[#This Row],[TM]])</f>
        <v>0</v>
      </c>
      <c r="K51" s="208">
        <v>16</v>
      </c>
      <c r="M51" s="93" t="str">
        <f>IFERROR(VLOOKUP(SupSum[[#This Row],[Supervisor]],Sun_W1[],MATCH("Help Line",Sun_W1[#Headers],0),0),"")</f>
        <v/>
      </c>
      <c r="N51" s="93" t="str">
        <f>IFERROR(VLOOKUP(SupSum[[#This Row],[Supervisor]],Sun_W1[],MATCH("RTA",Sun_W1[#Headers],0),0),"")</f>
        <v/>
      </c>
      <c r="O51" s="93" t="str">
        <f>IFERROR(VLOOKUP(SupSum[[#This Row],[Supervisor]],Sun_W1[],MATCH("Admin",Sun_W1[#Headers],0),0),"")</f>
        <v/>
      </c>
      <c r="P51" s="93" t="str">
        <f>IFERROR(VLOOKUP(SupSum[[#This Row],[Supervisor]],Sun_W1[],MATCH("Team MTG",Sun_W1[#Headers],0),0),"")</f>
        <v/>
      </c>
      <c r="R51" s="93">
        <f>IFERROR(VLOOKUP(SupSum[[#This Row],[Supervisor]],Mon_W1[],MATCH("Help Line",Mon_W1[#Headers],0),0),"")</f>
        <v>0</v>
      </c>
      <c r="S51" s="93">
        <f>IFERROR(VLOOKUP(SupSum[[#This Row],[Supervisor]],Mon_W1[],MATCH("RTA",Mon_W1[#Headers],0),0),"")</f>
        <v>0</v>
      </c>
      <c r="T51" s="93">
        <f>IFERROR(VLOOKUP(SupSum[[#This Row],[Supervisor]],Mon_W1[],MATCH("Admin",Mon_W1[#Headers],0),0),"")</f>
        <v>0</v>
      </c>
      <c r="U51" s="93" t="str">
        <f>IFERROR(VLOOKUP(SupSum[[#This Row],[Supervisor]],Mon_W1[],MATCH("Team MTG",Mon_W1[#Headers],0),0),"")</f>
        <v/>
      </c>
      <c r="W51" s="93">
        <f>IFERROR(VLOOKUP(SupSum[[#This Row],[Supervisor]],Tue_W1[],MATCH("Help Line",Tue_W1[#Headers],0),0),"")</f>
        <v>0</v>
      </c>
      <c r="X51" s="93">
        <f>IFERROR(VLOOKUP(SupSum[[#This Row],[Supervisor]],Tue_W1[],MATCH("RTA",Tue_W1[#Headers],0),0),"")</f>
        <v>0</v>
      </c>
      <c r="Y51" s="93">
        <f>IFERROR(VLOOKUP(SupSum[[#This Row],[Supervisor]],Tue_W1[],MATCH("Admin",Tue_W1[#Headers],0),0),"")</f>
        <v>0</v>
      </c>
      <c r="Z51" s="93" t="str">
        <f>IFERROR(VLOOKUP(SupSum[[#This Row],[Supervisor]],Tue_W1[],MATCH("Team MTG",Tue_W1[#Headers],0),0),"")</f>
        <v/>
      </c>
      <c r="AB51" s="93">
        <f>IFERROR(VLOOKUP(SupSum[[#This Row],[Supervisor]],Wed_W1[],MATCH("Help Line",Wed_W1[#Headers],0),0),"")</f>
        <v>0</v>
      </c>
      <c r="AC51" s="93">
        <f>IFERROR(VLOOKUP(SupSum[[#This Row],[Supervisor]],Wed_W1[],MATCH("RTA",Wed_W1[#Headers],0),0),"")</f>
        <v>0</v>
      </c>
      <c r="AD51" s="93">
        <f>IFERROR(VLOOKUP(SupSum[[#This Row],[Supervisor]],Wed_W1[],MATCH("Admin",Wed_W1[#Headers],0),0),"")</f>
        <v>0</v>
      </c>
      <c r="AE51" s="93" t="str">
        <f>IFERROR(VLOOKUP(SupSum[[#This Row],[Supervisor]],Wed_W1[],MATCH("Team MTG",Wed_W1[#Headers],0),0),"")</f>
        <v/>
      </c>
      <c r="AG51" s="93">
        <f>IFERROR(VLOOKUP(SupSum[[#This Row],[Supervisor]],Thu_W1[],MATCH("Help Line",Thu_W1[#Headers],0),0),"")</f>
        <v>0</v>
      </c>
      <c r="AH51" s="93">
        <f>IFERROR(VLOOKUP(SupSum[[#This Row],[Supervisor]],Thu_W1[],MATCH("RTA",Thu_W1[#Headers],0),0),"")</f>
        <v>0</v>
      </c>
      <c r="AI51" s="93">
        <f>IFERROR(VLOOKUP(SupSum[[#This Row],[Supervisor]],Thu_W1[],MATCH("Admin",Thu_W1[#Headers],0),0),"")</f>
        <v>0</v>
      </c>
      <c r="AJ51" s="93" t="str">
        <f>IFERROR(VLOOKUP(SupSum[[#This Row],[Supervisor]],Thu_W1[],MATCH("Team MTG",Thu_W1[#Headers],0),0),"")</f>
        <v/>
      </c>
      <c r="AL51" s="93">
        <f>IFERROR(VLOOKUP(SupSum[[#This Row],[Supervisor]],Fri_W1[],MATCH("Help Line",Fri_W1[#Headers],0),0),"")</f>
        <v>0</v>
      </c>
      <c r="AM51" s="93">
        <f>IFERROR(VLOOKUP(SupSum[[#This Row],[Supervisor]],Fri_W1[],MATCH("RTA",Fri_W1[#Headers],0),0),"")</f>
        <v>0</v>
      </c>
      <c r="AN51" s="93">
        <f>IFERROR(VLOOKUP(SupSum[[#This Row],[Supervisor]],Fri_W1[],MATCH("Admin",Fri_W1[#Headers],0),0),"")</f>
        <v>0</v>
      </c>
      <c r="AO51" s="93" t="str">
        <f>IFERROR(VLOOKUP(SupSum[[#This Row],[Supervisor]],Fri_W1[],MATCH("Team MTG",Fri_W1[#Headers],0),0),"")</f>
        <v/>
      </c>
      <c r="AQ51" s="93" t="str">
        <f>IFERROR(VLOOKUP(SupSum[[#This Row],[Supervisor]],Sat_W1[],MATCH("Help Line",Sat_W1[#Headers],0),0),"")</f>
        <v/>
      </c>
      <c r="AR51" s="93" t="str">
        <f>IFERROR(VLOOKUP(SupSum[[#This Row],[Supervisor]],Sat_W1[],MATCH("RTA",Sat_W1[#Headers],0),0),"")</f>
        <v/>
      </c>
      <c r="AS51" s="93" t="str">
        <f>IFERROR(VLOOKUP(SupSum[[#This Row],[Supervisor]],Sat_W1[],MATCH("Admin",Sat_W1[#Headers],0),0),"")</f>
        <v/>
      </c>
      <c r="AT51" s="93" t="str">
        <f>IFERROR(VLOOKUP(SupSum[[#This Row],[Supervisor]],Sat_W1[],MATCH("Team MTG",Sat_W1[#Headers],0),0),"")</f>
        <v/>
      </c>
      <c r="AV51" s="93" t="str">
        <f>IFERROR(VLOOKUP(SupSum[[#This Row],[Supervisor]],Sun_W2[],MATCH("Help Line",Sun_W2[#Headers],0),0),"")</f>
        <v/>
      </c>
      <c r="AW51" s="93" t="str">
        <f>IFERROR(VLOOKUP(SupSum[[#This Row],[Supervisor]],Sun_W2[],MATCH("RTA",Sun_W2[#Headers],0),0),"")</f>
        <v/>
      </c>
      <c r="AX51" s="93" t="str">
        <f>IFERROR(VLOOKUP(SupSum[[#This Row],[Supervisor]],Sun_W2[],MATCH("Admin",Sun_W2[#Headers],0),0),"")</f>
        <v/>
      </c>
      <c r="AY51" s="93" t="str">
        <f>IFERROR(VLOOKUP(SupSum[[#This Row],[Supervisor]],Sun_W2[],MATCH("Team MTG",Sun_W2[#Headers],0),0),"")</f>
        <v/>
      </c>
      <c r="BA51" s="93">
        <f>IFERROR(VLOOKUP(SupSum[[#This Row],[Supervisor]],Mon_W2[],MATCH("Help Line",Mon_W2[#Headers],0),0),"")</f>
        <v>0</v>
      </c>
      <c r="BB51" s="93">
        <f>IFERROR(VLOOKUP(SupSum[[#This Row],[Supervisor]],Mon_W2[],MATCH("RTA",Mon_W2[#Headers],0),0),"")</f>
        <v>0</v>
      </c>
      <c r="BC51" s="93">
        <f>IFERROR(VLOOKUP(SupSum[[#This Row],[Supervisor]],Mon_W2[],MATCH("Admin",Mon_W2[#Headers],0),0),"")</f>
        <v>0</v>
      </c>
      <c r="BD51" s="93" t="str">
        <f>IFERROR(VLOOKUP(SupSum[[#This Row],[Supervisor]],Mon_W2[],MATCH("Team MTG",Mon_W2[#Headers],0),0),"")</f>
        <v/>
      </c>
      <c r="BF51" s="93">
        <f>IFERROR(VLOOKUP(SupSum[[#This Row],[Supervisor]],Tue_W2[],MATCH("Help Line",Tue_W2[#Headers],0),0),"")</f>
        <v>0</v>
      </c>
      <c r="BG51" s="93">
        <f>IFERROR(VLOOKUP(SupSum[[#This Row],[Supervisor]],Tue_W2[],MATCH("RTA",Tue_W2[#Headers],0),0),"")</f>
        <v>0</v>
      </c>
      <c r="BH51" s="93">
        <f>IFERROR(VLOOKUP(SupSum[[#This Row],[Supervisor]],Tue_W2[],MATCH("Admin",Tue_W2[#Headers],0),0),"")</f>
        <v>0</v>
      </c>
      <c r="BI51" s="93" t="str">
        <f>IFERROR(VLOOKUP(SupSum[[#This Row],[Supervisor]],Tue_W2[],MATCH("Team MTG",Tue_W2[#Headers],0),0),"")</f>
        <v/>
      </c>
      <c r="BK51" s="93">
        <f>IFERROR(VLOOKUP(SupSum[[#This Row],[Supervisor]],Wed_W2[],MATCH("Help Line",Wed_W2[#Headers],0),0),"")</f>
        <v>0</v>
      </c>
      <c r="BL51" s="93">
        <f>IFERROR(VLOOKUP(SupSum[[#This Row],[Supervisor]],Wed_W2[],MATCH("RTA",Wed_W2[#Headers],0),0),"")</f>
        <v>0</v>
      </c>
      <c r="BM51" s="93">
        <f>IFERROR(VLOOKUP(SupSum[[#This Row],[Supervisor]],Wed_W2[],MATCH("Admin",Wed_W2[#Headers],0),0),"")</f>
        <v>0</v>
      </c>
      <c r="BN51" s="93" t="str">
        <f>IFERROR(VLOOKUP(SupSum[[#This Row],[Supervisor]],Wed_W2[],MATCH("Team MTG",Wed_W2[#Headers],0),0),"")</f>
        <v/>
      </c>
      <c r="BP51" s="93">
        <f>IFERROR(VLOOKUP(SupSum[[#This Row],[Supervisor]],Thu_W2[],MATCH("Help Line",Thu_W2[#Headers],0),0),"")</f>
        <v>0</v>
      </c>
      <c r="BQ51" s="93">
        <f>IFERROR(VLOOKUP(SupSum[[#This Row],[Supervisor]],Thu_W2[],MATCH("RTA",Thu_W2[#Headers],0),0),"")</f>
        <v>0</v>
      </c>
      <c r="BR51" s="93">
        <f>IFERROR(VLOOKUP(SupSum[[#This Row],[Supervisor]],Thu_W2[],MATCH("Admin",Thu_W2[#Headers],0),0),"")</f>
        <v>0</v>
      </c>
      <c r="BS51" s="93" t="str">
        <f>IFERROR(VLOOKUP(SupSum[[#This Row],[Supervisor]],Thu_W2[],MATCH("Team MTG",Thu_W2[#Headers],0),0),"")</f>
        <v/>
      </c>
      <c r="BU51" s="93">
        <f>IFERROR(VLOOKUP(SupSum[[#This Row],[Supervisor]],Fri_W2[],MATCH("Help Line",Fri_W2[#Headers],0),0),"")</f>
        <v>0</v>
      </c>
      <c r="BV51" s="93">
        <f>IFERROR(VLOOKUP(SupSum[[#This Row],[Supervisor]],Fri_W2[],MATCH("RTA",Fri_W2[#Headers],0),0),"")</f>
        <v>0</v>
      </c>
      <c r="BW51" s="93">
        <f>IFERROR(VLOOKUP(SupSum[[#This Row],[Supervisor]],Fri_W2[],MATCH("Admin",Fri_W2[#Headers],0),0),"")</f>
        <v>0</v>
      </c>
      <c r="BX51" s="93" t="str">
        <f>IFERROR(VLOOKUP(SupSum[[#This Row],[Supervisor]],Fri_W2[],MATCH("Team MTG",Fri_W2[#Headers],0),0),"")</f>
        <v/>
      </c>
      <c r="BZ51" s="93" t="str">
        <f>IFERROR(VLOOKUP(SupSum[[#This Row],[Supervisor]],Sat_W2[],MATCH("Help Line",Sat_W2[#Headers],0),0),"")</f>
        <v/>
      </c>
      <c r="CA51" s="93" t="str">
        <f>IFERROR(VLOOKUP(SupSum[[#This Row],[Supervisor]],Sat_W2[],MATCH("RTA",Sat_W2[#Headers],0),0),"")</f>
        <v/>
      </c>
      <c r="CB51" s="93" t="str">
        <f>IFERROR(VLOOKUP(SupSum[[#This Row],[Supervisor]],Sat_W2[],MATCH("Admin",Sat_W2[#Headers],0),0),"")</f>
        <v/>
      </c>
      <c r="CC51" s="93" t="str">
        <f>IFERROR(VLOOKUP(SupSum[[#This Row],[Supervisor]],Sat_W2[],MATCH("Team MTG",Sat_W2[#Headers],0),0),"")</f>
        <v/>
      </c>
    </row>
    <row r="52" spans="2:81" x14ac:dyDescent="0.2">
      <c r="B52" s="6" t="s">
        <v>63</v>
      </c>
      <c r="C52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52" s="93">
        <f>SUM(SSum_Sun1[[#This Row],[RTA]],SSum_Mon1[[#This Row],[RTA]],SSum_Tue1[[#This Row],[RTA]],SSum_Wed1[[#This Row],[RTA]],SSum_Thu1[[#This Row],[RTA]],SSum_Fri1[[#This Row],[RTA]],SSum_Sat1[[#This Row],[RTA]])</f>
        <v>0</v>
      </c>
      <c r="E52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52" s="93">
        <f>SUM(SSum_Sun1[[#This Row],[TM]],SSum_Mon1[[#This Row],[TM]],SSum_Tue1[[#This Row],[TM]],SSum_Wed1[[#This Row],[TM]],SSum_Thu1[[#This Row],[TM]],SSum_Fri1[[#This Row],[TM]],SSum_Sat1[[#This Row],[TM]])</f>
        <v>0</v>
      </c>
      <c r="G52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52" s="93">
        <f>SUM(SSum_Sun2[[#This Row],[RTA]],SSum_Mon2[[#This Row],[RTA]],SSum_Tue2[[#This Row],[RTA]],SSum_Wed2[[#This Row],[RTA]],SSum_Thu2[[#This Row],[RTA]],SSum_Fri2[[#This Row],[RTA]],SSum_Sat2[[#This Row],[RTA]])</f>
        <v>0</v>
      </c>
      <c r="I52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52" s="93">
        <f>SUM(SSum_Sun2[[#This Row],[TM]],SSum_Mon2[[#This Row],[TM]],SSum_Tue2[[#This Row],[TM]],SSum_Wed2[[#This Row],[TM]],SSum_Thu2[[#This Row],[TM]],SSum_Fri2[[#This Row],[TM]],SSum_Sat2[[#This Row],[TM]])</f>
        <v>0</v>
      </c>
      <c r="K52" s="208">
        <v>14</v>
      </c>
      <c r="M52" s="93" t="str">
        <f>IFERROR(VLOOKUP(SupSum[[#This Row],[Supervisor]],Sun_W1[],MATCH("Help Line",Sun_W1[#Headers],0),0),"")</f>
        <v/>
      </c>
      <c r="N52" s="93" t="str">
        <f>IFERROR(VLOOKUP(SupSum[[#This Row],[Supervisor]],Sun_W1[],MATCH("RTA",Sun_W1[#Headers],0),0),"")</f>
        <v/>
      </c>
      <c r="O52" s="93" t="str">
        <f>IFERROR(VLOOKUP(SupSum[[#This Row],[Supervisor]],Sun_W1[],MATCH("Admin",Sun_W1[#Headers],0),0),"")</f>
        <v/>
      </c>
      <c r="P52" s="93" t="str">
        <f>IFERROR(VLOOKUP(SupSum[[#This Row],[Supervisor]],Sun_W1[],MATCH("Team MTG",Sun_W1[#Headers],0),0),"")</f>
        <v/>
      </c>
      <c r="R52" s="93">
        <f>IFERROR(VLOOKUP(SupSum[[#This Row],[Supervisor]],Mon_W1[],MATCH("Help Line",Mon_W1[#Headers],0),0),"")</f>
        <v>0</v>
      </c>
      <c r="S52" s="93">
        <f>IFERROR(VLOOKUP(SupSum[[#This Row],[Supervisor]],Mon_W1[],MATCH("RTA",Mon_W1[#Headers],0),0),"")</f>
        <v>0</v>
      </c>
      <c r="T52" s="93">
        <f>IFERROR(VLOOKUP(SupSum[[#This Row],[Supervisor]],Mon_W1[],MATCH("Admin",Mon_W1[#Headers],0),0),"")</f>
        <v>0</v>
      </c>
      <c r="U52" s="93" t="str">
        <f>IFERROR(VLOOKUP(SupSum[[#This Row],[Supervisor]],Mon_W1[],MATCH("Team MTG",Mon_W1[#Headers],0),0),"")</f>
        <v/>
      </c>
      <c r="W52" s="93">
        <f>IFERROR(VLOOKUP(SupSum[[#This Row],[Supervisor]],Tue_W1[],MATCH("Help Line",Tue_W1[#Headers],0),0),"")</f>
        <v>0</v>
      </c>
      <c r="X52" s="93">
        <f>IFERROR(VLOOKUP(SupSum[[#This Row],[Supervisor]],Tue_W1[],MATCH("RTA",Tue_W1[#Headers],0),0),"")</f>
        <v>0</v>
      </c>
      <c r="Y52" s="93">
        <f>IFERROR(VLOOKUP(SupSum[[#This Row],[Supervisor]],Tue_W1[],MATCH("Admin",Tue_W1[#Headers],0),0),"")</f>
        <v>0</v>
      </c>
      <c r="Z52" s="93" t="str">
        <f>IFERROR(VLOOKUP(SupSum[[#This Row],[Supervisor]],Tue_W1[],MATCH("Team MTG",Tue_W1[#Headers],0),0),"")</f>
        <v/>
      </c>
      <c r="AB52" s="93">
        <f>IFERROR(VLOOKUP(SupSum[[#This Row],[Supervisor]],Wed_W1[],MATCH("Help Line",Wed_W1[#Headers],0),0),"")</f>
        <v>0</v>
      </c>
      <c r="AC52" s="93">
        <f>IFERROR(VLOOKUP(SupSum[[#This Row],[Supervisor]],Wed_W1[],MATCH("RTA",Wed_W1[#Headers],0),0),"")</f>
        <v>0</v>
      </c>
      <c r="AD52" s="93">
        <f>IFERROR(VLOOKUP(SupSum[[#This Row],[Supervisor]],Wed_W1[],MATCH("Admin",Wed_W1[#Headers],0),0),"")</f>
        <v>0</v>
      </c>
      <c r="AE52" s="93" t="str">
        <f>IFERROR(VLOOKUP(SupSum[[#This Row],[Supervisor]],Wed_W1[],MATCH("Team MTG",Wed_W1[#Headers],0),0),"")</f>
        <v/>
      </c>
      <c r="AG52" s="93">
        <f>IFERROR(VLOOKUP(SupSum[[#This Row],[Supervisor]],Thu_W1[],MATCH("Help Line",Thu_W1[#Headers],0),0),"")</f>
        <v>0</v>
      </c>
      <c r="AH52" s="93">
        <f>IFERROR(VLOOKUP(SupSum[[#This Row],[Supervisor]],Thu_W1[],MATCH("RTA",Thu_W1[#Headers],0),0),"")</f>
        <v>0</v>
      </c>
      <c r="AI52" s="93">
        <f>IFERROR(VLOOKUP(SupSum[[#This Row],[Supervisor]],Thu_W1[],MATCH("Admin",Thu_W1[#Headers],0),0),"")</f>
        <v>0</v>
      </c>
      <c r="AJ52" s="93" t="str">
        <f>IFERROR(VLOOKUP(SupSum[[#This Row],[Supervisor]],Thu_W1[],MATCH("Team MTG",Thu_W1[#Headers],0),0),"")</f>
        <v/>
      </c>
      <c r="AL52" s="93">
        <f>IFERROR(VLOOKUP(SupSum[[#This Row],[Supervisor]],Fri_W1[],MATCH("Help Line",Fri_W1[#Headers],0),0),"")</f>
        <v>0</v>
      </c>
      <c r="AM52" s="93">
        <f>IFERROR(VLOOKUP(SupSum[[#This Row],[Supervisor]],Fri_W1[],MATCH("RTA",Fri_W1[#Headers],0),0),"")</f>
        <v>0</v>
      </c>
      <c r="AN52" s="93">
        <f>IFERROR(VLOOKUP(SupSum[[#This Row],[Supervisor]],Fri_W1[],MATCH("Admin",Fri_W1[#Headers],0),0),"")</f>
        <v>0</v>
      </c>
      <c r="AO52" s="93" t="str">
        <f>IFERROR(VLOOKUP(SupSum[[#This Row],[Supervisor]],Fri_W1[],MATCH("Team MTG",Fri_W1[#Headers],0),0),"")</f>
        <v/>
      </c>
      <c r="AQ52" s="93" t="str">
        <f>IFERROR(VLOOKUP(SupSum[[#This Row],[Supervisor]],Sat_W1[],MATCH("Help Line",Sat_W1[#Headers],0),0),"")</f>
        <v/>
      </c>
      <c r="AR52" s="93" t="str">
        <f>IFERROR(VLOOKUP(SupSum[[#This Row],[Supervisor]],Sat_W1[],MATCH("RTA",Sat_W1[#Headers],0),0),"")</f>
        <v/>
      </c>
      <c r="AS52" s="93" t="str">
        <f>IFERROR(VLOOKUP(SupSum[[#This Row],[Supervisor]],Sat_W1[],MATCH("Admin",Sat_W1[#Headers],0),0),"")</f>
        <v/>
      </c>
      <c r="AT52" s="93" t="str">
        <f>IFERROR(VLOOKUP(SupSum[[#This Row],[Supervisor]],Sat_W1[],MATCH("Team MTG",Sat_W1[#Headers],0),0),"")</f>
        <v/>
      </c>
      <c r="AV52" s="93" t="str">
        <f>IFERROR(VLOOKUP(SupSum[[#This Row],[Supervisor]],Sun_W2[],MATCH("Help Line",Sun_W2[#Headers],0),0),"")</f>
        <v/>
      </c>
      <c r="AW52" s="93" t="str">
        <f>IFERROR(VLOOKUP(SupSum[[#This Row],[Supervisor]],Sun_W2[],MATCH("RTA",Sun_W2[#Headers],0),0),"")</f>
        <v/>
      </c>
      <c r="AX52" s="93" t="str">
        <f>IFERROR(VLOOKUP(SupSum[[#This Row],[Supervisor]],Sun_W2[],MATCH("Admin",Sun_W2[#Headers],0),0),"")</f>
        <v/>
      </c>
      <c r="AY52" s="93" t="str">
        <f>IFERROR(VLOOKUP(SupSum[[#This Row],[Supervisor]],Sun_W2[],MATCH("Team MTG",Sun_W2[#Headers],0),0),"")</f>
        <v/>
      </c>
      <c r="BA52" s="93">
        <f>IFERROR(VLOOKUP(SupSum[[#This Row],[Supervisor]],Mon_W2[],MATCH("Help Line",Mon_W2[#Headers],0),0),"")</f>
        <v>0</v>
      </c>
      <c r="BB52" s="93">
        <f>IFERROR(VLOOKUP(SupSum[[#This Row],[Supervisor]],Mon_W2[],MATCH("RTA",Mon_W2[#Headers],0),0),"")</f>
        <v>0</v>
      </c>
      <c r="BC52" s="93">
        <f>IFERROR(VLOOKUP(SupSum[[#This Row],[Supervisor]],Mon_W2[],MATCH("Admin",Mon_W2[#Headers],0),0),"")</f>
        <v>0</v>
      </c>
      <c r="BD52" s="93" t="str">
        <f>IFERROR(VLOOKUP(SupSum[[#This Row],[Supervisor]],Mon_W2[],MATCH("Team MTG",Mon_W2[#Headers],0),0),"")</f>
        <v/>
      </c>
      <c r="BF52" s="93">
        <f>IFERROR(VLOOKUP(SupSum[[#This Row],[Supervisor]],Tue_W2[],MATCH("Help Line",Tue_W2[#Headers],0),0),"")</f>
        <v>0</v>
      </c>
      <c r="BG52" s="93">
        <f>IFERROR(VLOOKUP(SupSum[[#This Row],[Supervisor]],Tue_W2[],MATCH("RTA",Tue_W2[#Headers],0),0),"")</f>
        <v>0</v>
      </c>
      <c r="BH52" s="93">
        <f>IFERROR(VLOOKUP(SupSum[[#This Row],[Supervisor]],Tue_W2[],MATCH("Admin",Tue_W2[#Headers],0),0),"")</f>
        <v>0</v>
      </c>
      <c r="BI52" s="93" t="str">
        <f>IFERROR(VLOOKUP(SupSum[[#This Row],[Supervisor]],Tue_W2[],MATCH("Team MTG",Tue_W2[#Headers],0),0),"")</f>
        <v/>
      </c>
      <c r="BK52" s="93">
        <f>IFERROR(VLOOKUP(SupSum[[#This Row],[Supervisor]],Wed_W2[],MATCH("Help Line",Wed_W2[#Headers],0),0),"")</f>
        <v>0</v>
      </c>
      <c r="BL52" s="93">
        <f>IFERROR(VLOOKUP(SupSum[[#This Row],[Supervisor]],Wed_W2[],MATCH("RTA",Wed_W2[#Headers],0),0),"")</f>
        <v>0</v>
      </c>
      <c r="BM52" s="93">
        <f>IFERROR(VLOOKUP(SupSum[[#This Row],[Supervisor]],Wed_W2[],MATCH("Admin",Wed_W2[#Headers],0),0),"")</f>
        <v>0</v>
      </c>
      <c r="BN52" s="93" t="str">
        <f>IFERROR(VLOOKUP(SupSum[[#This Row],[Supervisor]],Wed_W2[],MATCH("Team MTG",Wed_W2[#Headers],0),0),"")</f>
        <v/>
      </c>
      <c r="BP52" s="93">
        <f>IFERROR(VLOOKUP(SupSum[[#This Row],[Supervisor]],Thu_W2[],MATCH("Help Line",Thu_W2[#Headers],0),0),"")</f>
        <v>0</v>
      </c>
      <c r="BQ52" s="93">
        <f>IFERROR(VLOOKUP(SupSum[[#This Row],[Supervisor]],Thu_W2[],MATCH("RTA",Thu_W2[#Headers],0),0),"")</f>
        <v>0</v>
      </c>
      <c r="BR52" s="93">
        <f>IFERROR(VLOOKUP(SupSum[[#This Row],[Supervisor]],Thu_W2[],MATCH("Admin",Thu_W2[#Headers],0),0),"")</f>
        <v>0</v>
      </c>
      <c r="BS52" s="93" t="str">
        <f>IFERROR(VLOOKUP(SupSum[[#This Row],[Supervisor]],Thu_W2[],MATCH("Team MTG",Thu_W2[#Headers],0),0),"")</f>
        <v/>
      </c>
      <c r="BU52" s="93">
        <f>IFERROR(VLOOKUP(SupSum[[#This Row],[Supervisor]],Fri_W2[],MATCH("Help Line",Fri_W2[#Headers],0),0),"")</f>
        <v>0</v>
      </c>
      <c r="BV52" s="93">
        <f>IFERROR(VLOOKUP(SupSum[[#This Row],[Supervisor]],Fri_W2[],MATCH("RTA",Fri_W2[#Headers],0),0),"")</f>
        <v>0</v>
      </c>
      <c r="BW52" s="93">
        <f>IFERROR(VLOOKUP(SupSum[[#This Row],[Supervisor]],Fri_W2[],MATCH("Admin",Fri_W2[#Headers],0),0),"")</f>
        <v>0</v>
      </c>
      <c r="BX52" s="93" t="str">
        <f>IFERROR(VLOOKUP(SupSum[[#This Row],[Supervisor]],Fri_W2[],MATCH("Team MTG",Fri_W2[#Headers],0),0),"")</f>
        <v/>
      </c>
      <c r="BZ52" s="93" t="str">
        <f>IFERROR(VLOOKUP(SupSum[[#This Row],[Supervisor]],Sat_W2[],MATCH("Help Line",Sat_W2[#Headers],0),0),"")</f>
        <v/>
      </c>
      <c r="CA52" s="93" t="str">
        <f>IFERROR(VLOOKUP(SupSum[[#This Row],[Supervisor]],Sat_W2[],MATCH("RTA",Sat_W2[#Headers],0),0),"")</f>
        <v/>
      </c>
      <c r="CB52" s="93" t="str">
        <f>IFERROR(VLOOKUP(SupSum[[#This Row],[Supervisor]],Sat_W2[],MATCH("Admin",Sat_W2[#Headers],0),0),"")</f>
        <v/>
      </c>
      <c r="CC52" s="93" t="str">
        <f>IFERROR(VLOOKUP(SupSum[[#This Row],[Supervisor]],Sat_W2[],MATCH("Team MTG",Sat_W2[#Headers],0),0),"")</f>
        <v/>
      </c>
    </row>
    <row r="53" spans="2:81" x14ac:dyDescent="0.2">
      <c r="B53" s="6" t="s">
        <v>57</v>
      </c>
      <c r="C53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53" s="93">
        <f>SUM(SSum_Sun1[[#This Row],[RTA]],SSum_Mon1[[#This Row],[RTA]],SSum_Tue1[[#This Row],[RTA]],SSum_Wed1[[#This Row],[RTA]],SSum_Thu1[[#This Row],[RTA]],SSum_Fri1[[#This Row],[RTA]],SSum_Sat1[[#This Row],[RTA]])</f>
        <v>0</v>
      </c>
      <c r="E53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53" s="93">
        <f>SUM(SSum_Sun1[[#This Row],[TM]],SSum_Mon1[[#This Row],[TM]],SSum_Tue1[[#This Row],[TM]],SSum_Wed1[[#This Row],[TM]],SSum_Thu1[[#This Row],[TM]],SSum_Fri1[[#This Row],[TM]],SSum_Sat1[[#This Row],[TM]])</f>
        <v>0</v>
      </c>
      <c r="G53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53" s="93">
        <f>SUM(SSum_Sun2[[#This Row],[RTA]],SSum_Mon2[[#This Row],[RTA]],SSum_Tue2[[#This Row],[RTA]],SSum_Wed2[[#This Row],[RTA]],SSum_Thu2[[#This Row],[RTA]],SSum_Fri2[[#This Row],[RTA]],SSum_Sat2[[#This Row],[RTA]])</f>
        <v>0</v>
      </c>
      <c r="I53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53" s="93">
        <f>SUM(SSum_Sun2[[#This Row],[TM]],SSum_Mon2[[#This Row],[TM]],SSum_Tue2[[#This Row],[TM]],SSum_Wed2[[#This Row],[TM]],SSum_Thu2[[#This Row],[TM]],SSum_Fri2[[#This Row],[TM]],SSum_Sat2[[#This Row],[TM]])</f>
        <v>0</v>
      </c>
      <c r="K53" s="208">
        <v>19</v>
      </c>
      <c r="M53" s="93" t="str">
        <f>IFERROR(VLOOKUP(SupSum[[#This Row],[Supervisor]],Sun_W1[],MATCH("Help Line",Sun_W1[#Headers],0),0),"")</f>
        <v/>
      </c>
      <c r="N53" s="93" t="str">
        <f>IFERROR(VLOOKUP(SupSum[[#This Row],[Supervisor]],Sun_W1[],MATCH("RTA",Sun_W1[#Headers],0),0),"")</f>
        <v/>
      </c>
      <c r="O53" s="93" t="str">
        <f>IFERROR(VLOOKUP(SupSum[[#This Row],[Supervisor]],Sun_W1[],MATCH("Admin",Sun_W1[#Headers],0),0),"")</f>
        <v/>
      </c>
      <c r="P53" s="93" t="str">
        <f>IFERROR(VLOOKUP(SupSum[[#This Row],[Supervisor]],Sun_W1[],MATCH("Team MTG",Sun_W1[#Headers],0),0),"")</f>
        <v/>
      </c>
      <c r="R53" s="93">
        <f>IFERROR(VLOOKUP(SupSum[[#This Row],[Supervisor]],Mon_W1[],MATCH("Help Line",Mon_W1[#Headers],0),0),"")</f>
        <v>0</v>
      </c>
      <c r="S53" s="93">
        <f>IFERROR(VLOOKUP(SupSum[[#This Row],[Supervisor]],Mon_W1[],MATCH("RTA",Mon_W1[#Headers],0),0),"")</f>
        <v>0</v>
      </c>
      <c r="T53" s="93">
        <f>IFERROR(VLOOKUP(SupSum[[#This Row],[Supervisor]],Mon_W1[],MATCH("Admin",Mon_W1[#Headers],0),0),"")</f>
        <v>0</v>
      </c>
      <c r="U53" s="93" t="str">
        <f>IFERROR(VLOOKUP(SupSum[[#This Row],[Supervisor]],Mon_W1[],MATCH("Team MTG",Mon_W1[#Headers],0),0),"")</f>
        <v/>
      </c>
      <c r="W53" s="93">
        <f>IFERROR(VLOOKUP(SupSum[[#This Row],[Supervisor]],Tue_W1[],MATCH("Help Line",Tue_W1[#Headers],0),0),"")</f>
        <v>0</v>
      </c>
      <c r="X53" s="93">
        <f>IFERROR(VLOOKUP(SupSum[[#This Row],[Supervisor]],Tue_W1[],MATCH("RTA",Tue_W1[#Headers],0),0),"")</f>
        <v>0</v>
      </c>
      <c r="Y53" s="93">
        <f>IFERROR(VLOOKUP(SupSum[[#This Row],[Supervisor]],Tue_W1[],MATCH("Admin",Tue_W1[#Headers],0),0),"")</f>
        <v>0</v>
      </c>
      <c r="Z53" s="93" t="str">
        <f>IFERROR(VLOOKUP(SupSum[[#This Row],[Supervisor]],Tue_W1[],MATCH("Team MTG",Tue_W1[#Headers],0),0),"")</f>
        <v/>
      </c>
      <c r="AB53" s="93">
        <f>IFERROR(VLOOKUP(SupSum[[#This Row],[Supervisor]],Wed_W1[],MATCH("Help Line",Wed_W1[#Headers],0),0),"")</f>
        <v>0</v>
      </c>
      <c r="AC53" s="93">
        <f>IFERROR(VLOOKUP(SupSum[[#This Row],[Supervisor]],Wed_W1[],MATCH("RTA",Wed_W1[#Headers],0),0),"")</f>
        <v>0</v>
      </c>
      <c r="AD53" s="93">
        <f>IFERROR(VLOOKUP(SupSum[[#This Row],[Supervisor]],Wed_W1[],MATCH("Admin",Wed_W1[#Headers],0),0),"")</f>
        <v>0</v>
      </c>
      <c r="AE53" s="93" t="str">
        <f>IFERROR(VLOOKUP(SupSum[[#This Row],[Supervisor]],Wed_W1[],MATCH("Team MTG",Wed_W1[#Headers],0),0),"")</f>
        <v/>
      </c>
      <c r="AG53" s="93">
        <f>IFERROR(VLOOKUP(SupSum[[#This Row],[Supervisor]],Thu_W1[],MATCH("Help Line",Thu_W1[#Headers],0),0),"")</f>
        <v>0</v>
      </c>
      <c r="AH53" s="93">
        <f>IFERROR(VLOOKUP(SupSum[[#This Row],[Supervisor]],Thu_W1[],MATCH("RTA",Thu_W1[#Headers],0),0),"")</f>
        <v>0</v>
      </c>
      <c r="AI53" s="93">
        <f>IFERROR(VLOOKUP(SupSum[[#This Row],[Supervisor]],Thu_W1[],MATCH("Admin",Thu_W1[#Headers],0),0),"")</f>
        <v>0</v>
      </c>
      <c r="AJ53" s="93" t="str">
        <f>IFERROR(VLOOKUP(SupSum[[#This Row],[Supervisor]],Thu_W1[],MATCH("Team MTG",Thu_W1[#Headers],0),0),"")</f>
        <v/>
      </c>
      <c r="AL53" s="93" t="str">
        <f>IFERROR(VLOOKUP(SupSum[[#This Row],[Supervisor]],Fri_W1[],MATCH("Help Line",Fri_W1[#Headers],0),0),"")</f>
        <v/>
      </c>
      <c r="AM53" s="93" t="str">
        <f>IFERROR(VLOOKUP(SupSum[[#This Row],[Supervisor]],Fri_W1[],MATCH("RTA",Fri_W1[#Headers],0),0),"")</f>
        <v/>
      </c>
      <c r="AN53" s="93" t="str">
        <f>IFERROR(VLOOKUP(SupSum[[#This Row],[Supervisor]],Fri_W1[],MATCH("Admin",Fri_W1[#Headers],0),0),"")</f>
        <v/>
      </c>
      <c r="AO53" s="93" t="str">
        <f>IFERROR(VLOOKUP(SupSum[[#This Row],[Supervisor]],Fri_W1[],MATCH("Team MTG",Fri_W1[#Headers],0),0),"")</f>
        <v/>
      </c>
      <c r="AQ53" s="93">
        <f>IFERROR(VLOOKUP(SupSum[[#This Row],[Supervisor]],Sat_W1[],MATCH("Help Line",Sat_W1[#Headers],0),0),"")</f>
        <v>0</v>
      </c>
      <c r="AR53" s="93">
        <f>IFERROR(VLOOKUP(SupSum[[#This Row],[Supervisor]],Sat_W1[],MATCH("RTA",Sat_W1[#Headers],0),0),"")</f>
        <v>0</v>
      </c>
      <c r="AS53" s="93">
        <f>IFERROR(VLOOKUP(SupSum[[#This Row],[Supervisor]],Sat_W1[],MATCH("Admin",Sat_W1[#Headers],0),0),"")</f>
        <v>0</v>
      </c>
      <c r="AT53" s="93" t="str">
        <f>IFERROR(VLOOKUP(SupSum[[#This Row],[Supervisor]],Sat_W1[],MATCH("Team MTG",Sat_W1[#Headers],0),0),"")</f>
        <v/>
      </c>
      <c r="AV53" s="93" t="str">
        <f>IFERROR(VLOOKUP(SupSum[[#This Row],[Supervisor]],Sun_W2[],MATCH("Help Line",Sun_W2[#Headers],0),0),"")</f>
        <v/>
      </c>
      <c r="AW53" s="93" t="str">
        <f>IFERROR(VLOOKUP(SupSum[[#This Row],[Supervisor]],Sun_W2[],MATCH("RTA",Sun_W2[#Headers],0),0),"")</f>
        <v/>
      </c>
      <c r="AX53" s="93" t="str">
        <f>IFERROR(VLOOKUP(SupSum[[#This Row],[Supervisor]],Sun_W2[],MATCH("Admin",Sun_W2[#Headers],0),0),"")</f>
        <v/>
      </c>
      <c r="AY53" s="93" t="str">
        <f>IFERROR(VLOOKUP(SupSum[[#This Row],[Supervisor]],Sun_W2[],MATCH("Team MTG",Sun_W2[#Headers],0),0),"")</f>
        <v/>
      </c>
      <c r="BA53" s="93">
        <f>IFERROR(VLOOKUP(SupSum[[#This Row],[Supervisor]],Mon_W2[],MATCH("Help Line",Mon_W2[#Headers],0),0),"")</f>
        <v>0</v>
      </c>
      <c r="BB53" s="93">
        <f>IFERROR(VLOOKUP(SupSum[[#This Row],[Supervisor]],Mon_W2[],MATCH("RTA",Mon_W2[#Headers],0),0),"")</f>
        <v>0</v>
      </c>
      <c r="BC53" s="93">
        <f>IFERROR(VLOOKUP(SupSum[[#This Row],[Supervisor]],Mon_W2[],MATCH("Admin",Mon_W2[#Headers],0),0),"")</f>
        <v>0</v>
      </c>
      <c r="BD53" s="93" t="str">
        <f>IFERROR(VLOOKUP(SupSum[[#This Row],[Supervisor]],Mon_W2[],MATCH("Team MTG",Mon_W2[#Headers],0),0),"")</f>
        <v/>
      </c>
      <c r="BF53" s="93">
        <f>IFERROR(VLOOKUP(SupSum[[#This Row],[Supervisor]],Tue_W2[],MATCH("Help Line",Tue_W2[#Headers],0),0),"")</f>
        <v>0</v>
      </c>
      <c r="BG53" s="93">
        <f>IFERROR(VLOOKUP(SupSum[[#This Row],[Supervisor]],Tue_W2[],MATCH("RTA",Tue_W2[#Headers],0),0),"")</f>
        <v>0</v>
      </c>
      <c r="BH53" s="93">
        <f>IFERROR(VLOOKUP(SupSum[[#This Row],[Supervisor]],Tue_W2[],MATCH("Admin",Tue_W2[#Headers],0),0),"")</f>
        <v>0</v>
      </c>
      <c r="BI53" s="93" t="str">
        <f>IFERROR(VLOOKUP(SupSum[[#This Row],[Supervisor]],Tue_W2[],MATCH("Team MTG",Tue_W2[#Headers],0),0),"")</f>
        <v/>
      </c>
      <c r="BK53" s="93">
        <f>IFERROR(VLOOKUP(SupSum[[#This Row],[Supervisor]],Wed_W2[],MATCH("Help Line",Wed_W2[#Headers],0),0),"")</f>
        <v>0</v>
      </c>
      <c r="BL53" s="93">
        <f>IFERROR(VLOOKUP(SupSum[[#This Row],[Supervisor]],Wed_W2[],MATCH("RTA",Wed_W2[#Headers],0),0),"")</f>
        <v>0</v>
      </c>
      <c r="BM53" s="93">
        <f>IFERROR(VLOOKUP(SupSum[[#This Row],[Supervisor]],Wed_W2[],MATCH("Admin",Wed_W2[#Headers],0),0),"")</f>
        <v>0</v>
      </c>
      <c r="BN53" s="93" t="str">
        <f>IFERROR(VLOOKUP(SupSum[[#This Row],[Supervisor]],Wed_W2[],MATCH("Team MTG",Wed_W2[#Headers],0),0),"")</f>
        <v/>
      </c>
      <c r="BP53" s="93">
        <f>IFERROR(VLOOKUP(SupSum[[#This Row],[Supervisor]],Thu_W2[],MATCH("Help Line",Thu_W2[#Headers],0),0),"")</f>
        <v>0</v>
      </c>
      <c r="BQ53" s="93">
        <f>IFERROR(VLOOKUP(SupSum[[#This Row],[Supervisor]],Thu_W2[],MATCH("RTA",Thu_W2[#Headers],0),0),"")</f>
        <v>0</v>
      </c>
      <c r="BR53" s="93">
        <f>IFERROR(VLOOKUP(SupSum[[#This Row],[Supervisor]],Thu_W2[],MATCH("Admin",Thu_W2[#Headers],0),0),"")</f>
        <v>0</v>
      </c>
      <c r="BS53" s="93" t="str">
        <f>IFERROR(VLOOKUP(SupSum[[#This Row],[Supervisor]],Thu_W2[],MATCH("Team MTG",Thu_W2[#Headers],0),0),"")</f>
        <v/>
      </c>
      <c r="BU53" s="93" t="str">
        <f>IFERROR(VLOOKUP(SupSum[[#This Row],[Supervisor]],Fri_W2[],MATCH("Help Line",Fri_W2[#Headers],0),0),"")</f>
        <v/>
      </c>
      <c r="BV53" s="93" t="str">
        <f>IFERROR(VLOOKUP(SupSum[[#This Row],[Supervisor]],Fri_W2[],MATCH("RTA",Fri_W2[#Headers],0),0),"")</f>
        <v/>
      </c>
      <c r="BW53" s="93" t="str">
        <f>IFERROR(VLOOKUP(SupSum[[#This Row],[Supervisor]],Fri_W2[],MATCH("Admin",Fri_W2[#Headers],0),0),"")</f>
        <v/>
      </c>
      <c r="BX53" s="93" t="str">
        <f>IFERROR(VLOOKUP(SupSum[[#This Row],[Supervisor]],Fri_W2[],MATCH("Team MTG",Fri_W2[#Headers],0),0),"")</f>
        <v/>
      </c>
      <c r="BZ53" s="93">
        <f>IFERROR(VLOOKUP(SupSum[[#This Row],[Supervisor]],Sat_W2[],MATCH("Help Line",Sat_W2[#Headers],0),0),"")</f>
        <v>0</v>
      </c>
      <c r="CA53" s="93">
        <f>IFERROR(VLOOKUP(SupSum[[#This Row],[Supervisor]],Sat_W2[],MATCH("RTA",Sat_W2[#Headers],0),0),"")</f>
        <v>0</v>
      </c>
      <c r="CB53" s="93">
        <f>IFERROR(VLOOKUP(SupSum[[#This Row],[Supervisor]],Sat_W2[],MATCH("Admin",Sat_W2[#Headers],0),0),"")</f>
        <v>0</v>
      </c>
      <c r="CC53" s="93" t="str">
        <f>IFERROR(VLOOKUP(SupSum[[#This Row],[Supervisor]],Sat_W2[],MATCH("Team MTG",Sat_W2[#Headers],0),0),"")</f>
        <v/>
      </c>
    </row>
    <row r="54" spans="2:81" x14ac:dyDescent="0.2">
      <c r="B54" s="6" t="s">
        <v>245</v>
      </c>
      <c r="C54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54" s="93">
        <f>SUM(SSum_Sun1[[#This Row],[RTA]],SSum_Mon1[[#This Row],[RTA]],SSum_Tue1[[#This Row],[RTA]],SSum_Wed1[[#This Row],[RTA]],SSum_Thu1[[#This Row],[RTA]],SSum_Fri1[[#This Row],[RTA]],SSum_Sat1[[#This Row],[RTA]])</f>
        <v>0</v>
      </c>
      <c r="E54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54" s="93">
        <f>SUM(SSum_Sun1[[#This Row],[TM]],SSum_Mon1[[#This Row],[TM]],SSum_Tue1[[#This Row],[TM]],SSum_Wed1[[#This Row],[TM]],SSum_Thu1[[#This Row],[TM]],SSum_Fri1[[#This Row],[TM]],SSum_Sat1[[#This Row],[TM]])</f>
        <v>0</v>
      </c>
      <c r="G54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54" s="93">
        <f>SUM(SSum_Sun2[[#This Row],[RTA]],SSum_Mon2[[#This Row],[RTA]],SSum_Tue2[[#This Row],[RTA]],SSum_Wed2[[#This Row],[RTA]],SSum_Thu2[[#This Row],[RTA]],SSum_Fri2[[#This Row],[RTA]],SSum_Sat2[[#This Row],[RTA]])</f>
        <v>0</v>
      </c>
      <c r="I54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54" s="93">
        <f>SUM(SSum_Sun2[[#This Row],[TM]],SSum_Mon2[[#This Row],[TM]],SSum_Tue2[[#This Row],[TM]],SSum_Wed2[[#This Row],[TM]],SSum_Thu2[[#This Row],[TM]],SSum_Fri2[[#This Row],[TM]],SSum_Sat2[[#This Row],[TM]])</f>
        <v>0</v>
      </c>
      <c r="K54" s="208">
        <v>18</v>
      </c>
      <c r="M54" s="93" t="str">
        <f>IFERROR(VLOOKUP(SupSum[[#This Row],[Supervisor]],Sun_W1[],MATCH("Help Line",Sun_W1[#Headers],0),0),"")</f>
        <v/>
      </c>
      <c r="N54" s="93" t="str">
        <f>IFERROR(VLOOKUP(SupSum[[#This Row],[Supervisor]],Sun_W1[],MATCH("RTA",Sun_W1[#Headers],0),0),"")</f>
        <v/>
      </c>
      <c r="O54" s="93" t="str">
        <f>IFERROR(VLOOKUP(SupSum[[#This Row],[Supervisor]],Sun_W1[],MATCH("Admin",Sun_W1[#Headers],0),0),"")</f>
        <v/>
      </c>
      <c r="P54" s="93" t="str">
        <f>IFERROR(VLOOKUP(SupSum[[#This Row],[Supervisor]],Sun_W1[],MATCH("Team MTG",Sun_W1[#Headers],0),0),"")</f>
        <v/>
      </c>
      <c r="R54" s="93" t="str">
        <f>IFERROR(VLOOKUP(SupSum[[#This Row],[Supervisor]],Mon_W1[],MATCH("Help Line",Mon_W1[#Headers],0),0),"")</f>
        <v/>
      </c>
      <c r="S54" s="93" t="str">
        <f>IFERROR(VLOOKUP(SupSum[[#This Row],[Supervisor]],Mon_W1[],MATCH("RTA",Mon_W1[#Headers],0),0),"")</f>
        <v/>
      </c>
      <c r="T54" s="93" t="str">
        <f>IFERROR(VLOOKUP(SupSum[[#This Row],[Supervisor]],Mon_W1[],MATCH("Admin",Mon_W1[#Headers],0),0),"")</f>
        <v/>
      </c>
      <c r="U54" s="93" t="str">
        <f>IFERROR(VLOOKUP(SupSum[[#This Row],[Supervisor]],Mon_W1[],MATCH("Team MTG",Mon_W1[#Headers],0),0),"")</f>
        <v/>
      </c>
      <c r="W54" s="93">
        <f>IFERROR(VLOOKUP(SupSum[[#This Row],[Supervisor]],Tue_W1[],MATCH("Help Line",Tue_W1[#Headers],0),0),"")</f>
        <v>0</v>
      </c>
      <c r="X54" s="93">
        <f>IFERROR(VLOOKUP(SupSum[[#This Row],[Supervisor]],Tue_W1[],MATCH("RTA",Tue_W1[#Headers],0),0),"")</f>
        <v>0</v>
      </c>
      <c r="Y54" s="93">
        <f>IFERROR(VLOOKUP(SupSum[[#This Row],[Supervisor]],Tue_W1[],MATCH("Admin",Tue_W1[#Headers],0),0),"")</f>
        <v>0</v>
      </c>
      <c r="Z54" s="93" t="str">
        <f>IFERROR(VLOOKUP(SupSum[[#This Row],[Supervisor]],Tue_W1[],MATCH("Team MTG",Tue_W1[#Headers],0),0),"")</f>
        <v/>
      </c>
      <c r="AB54" s="93">
        <f>IFERROR(VLOOKUP(SupSum[[#This Row],[Supervisor]],Wed_W1[],MATCH("Help Line",Wed_W1[#Headers],0),0),"")</f>
        <v>0</v>
      </c>
      <c r="AC54" s="93">
        <f>IFERROR(VLOOKUP(SupSum[[#This Row],[Supervisor]],Wed_W1[],MATCH("RTA",Wed_W1[#Headers],0),0),"")</f>
        <v>0</v>
      </c>
      <c r="AD54" s="93">
        <f>IFERROR(VLOOKUP(SupSum[[#This Row],[Supervisor]],Wed_W1[],MATCH("Admin",Wed_W1[#Headers],0),0),"")</f>
        <v>0</v>
      </c>
      <c r="AE54" s="93" t="str">
        <f>IFERROR(VLOOKUP(SupSum[[#This Row],[Supervisor]],Wed_W1[],MATCH("Team MTG",Wed_W1[#Headers],0),0),"")</f>
        <v/>
      </c>
      <c r="AG54" s="93">
        <f>IFERROR(VLOOKUP(SupSum[[#This Row],[Supervisor]],Thu_W1[],MATCH("Help Line",Thu_W1[#Headers],0),0),"")</f>
        <v>0</v>
      </c>
      <c r="AH54" s="93">
        <f>IFERROR(VLOOKUP(SupSum[[#This Row],[Supervisor]],Thu_W1[],MATCH("RTA",Thu_W1[#Headers],0),0),"")</f>
        <v>0</v>
      </c>
      <c r="AI54" s="93">
        <f>IFERROR(VLOOKUP(SupSum[[#This Row],[Supervisor]],Thu_W1[],MATCH("Admin",Thu_W1[#Headers],0),0),"")</f>
        <v>0</v>
      </c>
      <c r="AJ54" s="93" t="str">
        <f>IFERROR(VLOOKUP(SupSum[[#This Row],[Supervisor]],Thu_W1[],MATCH("Team MTG",Thu_W1[#Headers],0),0),"")</f>
        <v/>
      </c>
      <c r="AL54" s="93">
        <f>IFERROR(VLOOKUP(SupSum[[#This Row],[Supervisor]],Fri_W1[],MATCH("Help Line",Fri_W1[#Headers],0),0),"")</f>
        <v>0</v>
      </c>
      <c r="AM54" s="93">
        <f>IFERROR(VLOOKUP(SupSum[[#This Row],[Supervisor]],Fri_W1[],MATCH("RTA",Fri_W1[#Headers],0),0),"")</f>
        <v>0</v>
      </c>
      <c r="AN54" s="93">
        <f>IFERROR(VLOOKUP(SupSum[[#This Row],[Supervisor]],Fri_W1[],MATCH("Admin",Fri_W1[#Headers],0),0),"")</f>
        <v>0</v>
      </c>
      <c r="AO54" s="93" t="str">
        <f>IFERROR(VLOOKUP(SupSum[[#This Row],[Supervisor]],Fri_W1[],MATCH("Team MTG",Fri_W1[#Headers],0),0),"")</f>
        <v/>
      </c>
      <c r="AQ54" s="93" t="str">
        <f>IFERROR(VLOOKUP(SupSum[[#This Row],[Supervisor]],Sat_W1[],MATCH("Help Line",Sat_W1[#Headers],0),0),"")</f>
        <v/>
      </c>
      <c r="AR54" s="93" t="str">
        <f>IFERROR(VLOOKUP(SupSum[[#This Row],[Supervisor]],Sat_W1[],MATCH("RTA",Sat_W1[#Headers],0),0),"")</f>
        <v/>
      </c>
      <c r="AS54" s="93" t="str">
        <f>IFERROR(VLOOKUP(SupSum[[#This Row],[Supervisor]],Sat_W1[],MATCH("Admin",Sat_W1[#Headers],0),0),"")</f>
        <v/>
      </c>
      <c r="AT54" s="93" t="str">
        <f>IFERROR(VLOOKUP(SupSum[[#This Row],[Supervisor]],Sat_W1[],MATCH("Team MTG",Sat_W1[#Headers],0),0),"")</f>
        <v/>
      </c>
      <c r="AV54" s="93" t="str">
        <f>IFERROR(VLOOKUP(SupSum[[#This Row],[Supervisor]],Sun_W2[],MATCH("Help Line",Sun_W2[#Headers],0),0),"")</f>
        <v/>
      </c>
      <c r="AW54" s="93" t="str">
        <f>IFERROR(VLOOKUP(SupSum[[#This Row],[Supervisor]],Sun_W2[],MATCH("RTA",Sun_W2[#Headers],0),0),"")</f>
        <v/>
      </c>
      <c r="AX54" s="93" t="str">
        <f>IFERROR(VLOOKUP(SupSum[[#This Row],[Supervisor]],Sun_W2[],MATCH("Admin",Sun_W2[#Headers],0),0),"")</f>
        <v/>
      </c>
      <c r="AY54" s="93" t="str">
        <f>IFERROR(VLOOKUP(SupSum[[#This Row],[Supervisor]],Sun_W2[],MATCH("Team MTG",Sun_W2[#Headers],0),0),"")</f>
        <v/>
      </c>
      <c r="BA54" s="93" t="str">
        <f>IFERROR(VLOOKUP(SupSum[[#This Row],[Supervisor]],Mon_W2[],MATCH("Help Line",Mon_W2[#Headers],0),0),"")</f>
        <v/>
      </c>
      <c r="BB54" s="93" t="str">
        <f>IFERROR(VLOOKUP(SupSum[[#This Row],[Supervisor]],Mon_W2[],MATCH("RTA",Mon_W2[#Headers],0),0),"")</f>
        <v/>
      </c>
      <c r="BC54" s="93" t="str">
        <f>IFERROR(VLOOKUP(SupSum[[#This Row],[Supervisor]],Mon_W2[],MATCH("Admin",Mon_W2[#Headers],0),0),"")</f>
        <v/>
      </c>
      <c r="BD54" s="93" t="str">
        <f>IFERROR(VLOOKUP(SupSum[[#This Row],[Supervisor]],Mon_W2[],MATCH("Team MTG",Mon_W2[#Headers],0),0),"")</f>
        <v/>
      </c>
      <c r="BF54" s="93">
        <f>IFERROR(VLOOKUP(SupSum[[#This Row],[Supervisor]],Tue_W2[],MATCH("Help Line",Tue_W2[#Headers],0),0),"")</f>
        <v>0</v>
      </c>
      <c r="BG54" s="93">
        <f>IFERROR(VLOOKUP(SupSum[[#This Row],[Supervisor]],Tue_W2[],MATCH("RTA",Tue_W2[#Headers],0),0),"")</f>
        <v>0</v>
      </c>
      <c r="BH54" s="93">
        <f>IFERROR(VLOOKUP(SupSum[[#This Row],[Supervisor]],Tue_W2[],MATCH("Admin",Tue_W2[#Headers],0),0),"")</f>
        <v>0</v>
      </c>
      <c r="BI54" s="93" t="str">
        <f>IFERROR(VLOOKUP(SupSum[[#This Row],[Supervisor]],Tue_W2[],MATCH("Team MTG",Tue_W2[#Headers],0),0),"")</f>
        <v/>
      </c>
      <c r="BK54" s="93">
        <f>IFERROR(VLOOKUP(SupSum[[#This Row],[Supervisor]],Wed_W2[],MATCH("Help Line",Wed_W2[#Headers],0),0),"")</f>
        <v>0</v>
      </c>
      <c r="BL54" s="93">
        <f>IFERROR(VLOOKUP(SupSum[[#This Row],[Supervisor]],Wed_W2[],MATCH("RTA",Wed_W2[#Headers],0),0),"")</f>
        <v>0</v>
      </c>
      <c r="BM54" s="93">
        <f>IFERROR(VLOOKUP(SupSum[[#This Row],[Supervisor]],Wed_W2[],MATCH("Admin",Wed_W2[#Headers],0),0),"")</f>
        <v>0</v>
      </c>
      <c r="BN54" s="93" t="str">
        <f>IFERROR(VLOOKUP(SupSum[[#This Row],[Supervisor]],Wed_W2[],MATCH("Team MTG",Wed_W2[#Headers],0),0),"")</f>
        <v/>
      </c>
      <c r="BP54" s="93">
        <f>IFERROR(VLOOKUP(SupSum[[#This Row],[Supervisor]],Thu_W2[],MATCH("Help Line",Thu_W2[#Headers],0),0),"")</f>
        <v>0</v>
      </c>
      <c r="BQ54" s="93">
        <f>IFERROR(VLOOKUP(SupSum[[#This Row],[Supervisor]],Thu_W2[],MATCH("RTA",Thu_W2[#Headers],0),0),"")</f>
        <v>0</v>
      </c>
      <c r="BR54" s="93">
        <f>IFERROR(VLOOKUP(SupSum[[#This Row],[Supervisor]],Thu_W2[],MATCH("Admin",Thu_W2[#Headers],0),0),"")</f>
        <v>0</v>
      </c>
      <c r="BS54" s="93" t="str">
        <f>IFERROR(VLOOKUP(SupSum[[#This Row],[Supervisor]],Thu_W2[],MATCH("Team MTG",Thu_W2[#Headers],0),0),"")</f>
        <v/>
      </c>
      <c r="BU54" s="93">
        <f>IFERROR(VLOOKUP(SupSum[[#This Row],[Supervisor]],Fri_W2[],MATCH("Help Line",Fri_W2[#Headers],0),0),"")</f>
        <v>0</v>
      </c>
      <c r="BV54" s="93">
        <f>IFERROR(VLOOKUP(SupSum[[#This Row],[Supervisor]],Fri_W2[],MATCH("RTA",Fri_W2[#Headers],0),0),"")</f>
        <v>0</v>
      </c>
      <c r="BW54" s="93">
        <f>IFERROR(VLOOKUP(SupSum[[#This Row],[Supervisor]],Fri_W2[],MATCH("Admin",Fri_W2[#Headers],0),0),"")</f>
        <v>0</v>
      </c>
      <c r="BX54" s="93" t="str">
        <f>IFERROR(VLOOKUP(SupSum[[#This Row],[Supervisor]],Fri_W2[],MATCH("Team MTG",Fri_W2[#Headers],0),0),"")</f>
        <v/>
      </c>
      <c r="BZ54" s="93" t="str">
        <f>IFERROR(VLOOKUP(SupSum[[#This Row],[Supervisor]],Sat_W2[],MATCH("Help Line",Sat_W2[#Headers],0),0),"")</f>
        <v/>
      </c>
      <c r="CA54" s="93" t="str">
        <f>IFERROR(VLOOKUP(SupSum[[#This Row],[Supervisor]],Sat_W2[],MATCH("RTA",Sat_W2[#Headers],0),0),"")</f>
        <v/>
      </c>
      <c r="CB54" s="93" t="str">
        <f>IFERROR(VLOOKUP(SupSum[[#This Row],[Supervisor]],Sat_W2[],MATCH("Admin",Sat_W2[#Headers],0),0),"")</f>
        <v/>
      </c>
      <c r="CC54" s="93" t="str">
        <f>IFERROR(VLOOKUP(SupSum[[#This Row],[Supervisor]],Sat_W2[],MATCH("Team MTG",Sat_W2[#Headers],0),0),"")</f>
        <v/>
      </c>
    </row>
    <row r="55" spans="2:81" x14ac:dyDescent="0.2">
      <c r="B55" s="6" t="s">
        <v>64</v>
      </c>
      <c r="C55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55" s="93">
        <f>SUM(SSum_Sun1[[#This Row],[RTA]],SSum_Mon1[[#This Row],[RTA]],SSum_Tue1[[#This Row],[RTA]],SSum_Wed1[[#This Row],[RTA]],SSum_Thu1[[#This Row],[RTA]],SSum_Fri1[[#This Row],[RTA]],SSum_Sat1[[#This Row],[RTA]])</f>
        <v>0</v>
      </c>
      <c r="E55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55" s="93">
        <f>SUM(SSum_Sun1[[#This Row],[TM]],SSum_Mon1[[#This Row],[TM]],SSum_Tue1[[#This Row],[TM]],SSum_Wed1[[#This Row],[TM]],SSum_Thu1[[#This Row],[TM]],SSum_Fri1[[#This Row],[TM]],SSum_Sat1[[#This Row],[TM]])</f>
        <v>0</v>
      </c>
      <c r="G55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55" s="93">
        <f>SUM(SSum_Sun2[[#This Row],[RTA]],SSum_Mon2[[#This Row],[RTA]],SSum_Tue2[[#This Row],[RTA]],SSum_Wed2[[#This Row],[RTA]],SSum_Thu2[[#This Row],[RTA]],SSum_Fri2[[#This Row],[RTA]],SSum_Sat2[[#This Row],[RTA]])</f>
        <v>0</v>
      </c>
      <c r="I55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55" s="93">
        <f>SUM(SSum_Sun2[[#This Row],[TM]],SSum_Mon2[[#This Row],[TM]],SSum_Tue2[[#This Row],[TM]],SSum_Wed2[[#This Row],[TM]],SSum_Thu2[[#This Row],[TM]],SSum_Fri2[[#This Row],[TM]],SSum_Sat2[[#This Row],[TM]])</f>
        <v>0</v>
      </c>
      <c r="K55" s="208"/>
      <c r="M55" s="93" t="str">
        <f>IFERROR(VLOOKUP(SupSum[[#This Row],[Supervisor]],Sun_W1[],MATCH("Help Line",Sun_W1[#Headers],0),0),"")</f>
        <v/>
      </c>
      <c r="N55" s="93" t="str">
        <f>IFERROR(VLOOKUP(SupSum[[#This Row],[Supervisor]],Sun_W1[],MATCH("RTA",Sun_W1[#Headers],0),0),"")</f>
        <v/>
      </c>
      <c r="O55" s="93" t="str">
        <f>IFERROR(VLOOKUP(SupSum[[#This Row],[Supervisor]],Sun_W1[],MATCH("Admin",Sun_W1[#Headers],0),0),"")</f>
        <v/>
      </c>
      <c r="P55" s="93" t="str">
        <f>IFERROR(VLOOKUP(SupSum[[#This Row],[Supervisor]],Sun_W1[],MATCH("Team MTG",Sun_W1[#Headers],0),0),"")</f>
        <v/>
      </c>
      <c r="R55" s="93" t="str">
        <f>IFERROR(VLOOKUP(SupSum[[#This Row],[Supervisor]],Mon_W1[],MATCH("Help Line",Mon_W1[#Headers],0),0),"")</f>
        <v/>
      </c>
      <c r="S55" s="93" t="str">
        <f>IFERROR(VLOOKUP(SupSum[[#This Row],[Supervisor]],Mon_W1[],MATCH("RTA",Mon_W1[#Headers],0),0),"")</f>
        <v/>
      </c>
      <c r="T55" s="93" t="str">
        <f>IFERROR(VLOOKUP(SupSum[[#This Row],[Supervisor]],Mon_W1[],MATCH("Admin",Mon_W1[#Headers],0),0),"")</f>
        <v/>
      </c>
      <c r="U55" s="93" t="str">
        <f>IFERROR(VLOOKUP(SupSum[[#This Row],[Supervisor]],Mon_W1[],MATCH("Team MTG",Mon_W1[#Headers],0),0),"")</f>
        <v/>
      </c>
      <c r="W55" s="93" t="str">
        <f>IFERROR(VLOOKUP(SupSum[[#This Row],[Supervisor]],Tue_W1[],MATCH("Help Line",Tue_W1[#Headers],0),0),"")</f>
        <v/>
      </c>
      <c r="X55" s="93" t="str">
        <f>IFERROR(VLOOKUP(SupSum[[#This Row],[Supervisor]],Tue_W1[],MATCH("RTA",Tue_W1[#Headers],0),0),"")</f>
        <v/>
      </c>
      <c r="Y55" s="93" t="str">
        <f>IFERROR(VLOOKUP(SupSum[[#This Row],[Supervisor]],Tue_W1[],MATCH("Admin",Tue_W1[#Headers],0),0),"")</f>
        <v/>
      </c>
      <c r="Z55" s="93" t="str">
        <f>IFERROR(VLOOKUP(SupSum[[#This Row],[Supervisor]],Tue_W1[],MATCH("Team MTG",Tue_W1[#Headers],0),0),"")</f>
        <v/>
      </c>
      <c r="AB55" s="93" t="str">
        <f>IFERROR(VLOOKUP(SupSum[[#This Row],[Supervisor]],Wed_W1[],MATCH("Help Line",Wed_W1[#Headers],0),0),"")</f>
        <v/>
      </c>
      <c r="AC55" s="93" t="str">
        <f>IFERROR(VLOOKUP(SupSum[[#This Row],[Supervisor]],Wed_W1[],MATCH("RTA",Wed_W1[#Headers],0),0),"")</f>
        <v/>
      </c>
      <c r="AD55" s="93" t="str">
        <f>IFERROR(VLOOKUP(SupSum[[#This Row],[Supervisor]],Wed_W1[],MATCH("Admin",Wed_W1[#Headers],0),0),"")</f>
        <v/>
      </c>
      <c r="AE55" s="93" t="str">
        <f>IFERROR(VLOOKUP(SupSum[[#This Row],[Supervisor]],Wed_W1[],MATCH("Team MTG",Wed_W1[#Headers],0),0),"")</f>
        <v/>
      </c>
      <c r="AG55" s="93" t="str">
        <f>IFERROR(VLOOKUP(SupSum[[#This Row],[Supervisor]],Thu_W1[],MATCH("Help Line",Thu_W1[#Headers],0),0),"")</f>
        <v/>
      </c>
      <c r="AH55" s="93" t="str">
        <f>IFERROR(VLOOKUP(SupSum[[#This Row],[Supervisor]],Thu_W1[],MATCH("RTA",Thu_W1[#Headers],0),0),"")</f>
        <v/>
      </c>
      <c r="AI55" s="93" t="str">
        <f>IFERROR(VLOOKUP(SupSum[[#This Row],[Supervisor]],Thu_W1[],MATCH("Admin",Thu_W1[#Headers],0),0),"")</f>
        <v/>
      </c>
      <c r="AJ55" s="93" t="str">
        <f>IFERROR(VLOOKUP(SupSum[[#This Row],[Supervisor]],Thu_W1[],MATCH("Team MTG",Thu_W1[#Headers],0),0),"")</f>
        <v/>
      </c>
      <c r="AL55" s="93" t="str">
        <f>IFERROR(VLOOKUP(SupSum[[#This Row],[Supervisor]],Fri_W1[],MATCH("Help Line",Fri_W1[#Headers],0),0),"")</f>
        <v/>
      </c>
      <c r="AM55" s="93" t="str">
        <f>IFERROR(VLOOKUP(SupSum[[#This Row],[Supervisor]],Fri_W1[],MATCH("RTA",Fri_W1[#Headers],0),0),"")</f>
        <v/>
      </c>
      <c r="AN55" s="93" t="str">
        <f>IFERROR(VLOOKUP(SupSum[[#This Row],[Supervisor]],Fri_W1[],MATCH("Admin",Fri_W1[#Headers],0),0),"")</f>
        <v/>
      </c>
      <c r="AO55" s="93" t="str">
        <f>IFERROR(VLOOKUP(SupSum[[#This Row],[Supervisor]],Fri_W1[],MATCH("Team MTG",Fri_W1[#Headers],0),0),"")</f>
        <v/>
      </c>
      <c r="AQ55" s="93" t="str">
        <f>IFERROR(VLOOKUP(SupSum[[#This Row],[Supervisor]],Sat_W1[],MATCH("Help Line",Sat_W1[#Headers],0),0),"")</f>
        <v/>
      </c>
      <c r="AR55" s="93" t="str">
        <f>IFERROR(VLOOKUP(SupSum[[#This Row],[Supervisor]],Sat_W1[],MATCH("RTA",Sat_W1[#Headers],0),0),"")</f>
        <v/>
      </c>
      <c r="AS55" s="93" t="str">
        <f>IFERROR(VLOOKUP(SupSum[[#This Row],[Supervisor]],Sat_W1[],MATCH("Admin",Sat_W1[#Headers],0),0),"")</f>
        <v/>
      </c>
      <c r="AT55" s="93" t="str">
        <f>IFERROR(VLOOKUP(SupSum[[#This Row],[Supervisor]],Sat_W1[],MATCH("Team MTG",Sat_W1[#Headers],0),0),"")</f>
        <v/>
      </c>
      <c r="AV55" s="93" t="str">
        <f>IFERROR(VLOOKUP(SupSum[[#This Row],[Supervisor]],Sun_W2[],MATCH("Help Line",Sun_W2[#Headers],0),0),"")</f>
        <v/>
      </c>
      <c r="AW55" s="93" t="str">
        <f>IFERROR(VLOOKUP(SupSum[[#This Row],[Supervisor]],Sun_W2[],MATCH("RTA",Sun_W2[#Headers],0),0),"")</f>
        <v/>
      </c>
      <c r="AX55" s="93" t="str">
        <f>IFERROR(VLOOKUP(SupSum[[#This Row],[Supervisor]],Sun_W2[],MATCH("Admin",Sun_W2[#Headers],0),0),"")</f>
        <v/>
      </c>
      <c r="AY55" s="93" t="str">
        <f>IFERROR(VLOOKUP(SupSum[[#This Row],[Supervisor]],Sun_W2[],MATCH("Team MTG",Sun_W2[#Headers],0),0),"")</f>
        <v/>
      </c>
      <c r="BA55" s="93" t="str">
        <f>IFERROR(VLOOKUP(SupSum[[#This Row],[Supervisor]],Mon_W2[],MATCH("Help Line",Mon_W2[#Headers],0),0),"")</f>
        <v/>
      </c>
      <c r="BB55" s="93" t="str">
        <f>IFERROR(VLOOKUP(SupSum[[#This Row],[Supervisor]],Mon_W2[],MATCH("RTA",Mon_W2[#Headers],0),0),"")</f>
        <v/>
      </c>
      <c r="BC55" s="93" t="str">
        <f>IFERROR(VLOOKUP(SupSum[[#This Row],[Supervisor]],Mon_W2[],MATCH("Admin",Mon_W2[#Headers],0),0),"")</f>
        <v/>
      </c>
      <c r="BD55" s="93" t="str">
        <f>IFERROR(VLOOKUP(SupSum[[#This Row],[Supervisor]],Mon_W2[],MATCH("Team MTG",Mon_W2[#Headers],0),0),"")</f>
        <v/>
      </c>
      <c r="BF55" s="93" t="str">
        <f>IFERROR(VLOOKUP(SupSum[[#This Row],[Supervisor]],Tue_W2[],MATCH("Help Line",Tue_W2[#Headers],0),0),"")</f>
        <v/>
      </c>
      <c r="BG55" s="93" t="str">
        <f>IFERROR(VLOOKUP(SupSum[[#This Row],[Supervisor]],Tue_W2[],MATCH("RTA",Tue_W2[#Headers],0),0),"")</f>
        <v/>
      </c>
      <c r="BH55" s="93" t="str">
        <f>IFERROR(VLOOKUP(SupSum[[#This Row],[Supervisor]],Tue_W2[],MATCH("Admin",Tue_W2[#Headers],0),0),"")</f>
        <v/>
      </c>
      <c r="BI55" s="93" t="str">
        <f>IFERROR(VLOOKUP(SupSum[[#This Row],[Supervisor]],Tue_W2[],MATCH("Team MTG",Tue_W2[#Headers],0),0),"")</f>
        <v/>
      </c>
      <c r="BK55" s="93" t="str">
        <f>IFERROR(VLOOKUP(SupSum[[#This Row],[Supervisor]],Wed_W2[],MATCH("Help Line",Wed_W2[#Headers],0),0),"")</f>
        <v/>
      </c>
      <c r="BL55" s="93" t="str">
        <f>IFERROR(VLOOKUP(SupSum[[#This Row],[Supervisor]],Wed_W2[],MATCH("RTA",Wed_W2[#Headers],0),0),"")</f>
        <v/>
      </c>
      <c r="BM55" s="93" t="str">
        <f>IFERROR(VLOOKUP(SupSum[[#This Row],[Supervisor]],Wed_W2[],MATCH("Admin",Wed_W2[#Headers],0),0),"")</f>
        <v/>
      </c>
      <c r="BN55" s="93" t="str">
        <f>IFERROR(VLOOKUP(SupSum[[#This Row],[Supervisor]],Wed_W2[],MATCH("Team MTG",Wed_W2[#Headers],0),0),"")</f>
        <v/>
      </c>
      <c r="BP55" s="93" t="str">
        <f>IFERROR(VLOOKUP(SupSum[[#This Row],[Supervisor]],Thu_W2[],MATCH("Help Line",Thu_W2[#Headers],0),0),"")</f>
        <v/>
      </c>
      <c r="BQ55" s="93" t="str">
        <f>IFERROR(VLOOKUP(SupSum[[#This Row],[Supervisor]],Thu_W2[],MATCH("RTA",Thu_W2[#Headers],0),0),"")</f>
        <v/>
      </c>
      <c r="BR55" s="93" t="str">
        <f>IFERROR(VLOOKUP(SupSum[[#This Row],[Supervisor]],Thu_W2[],MATCH("Admin",Thu_W2[#Headers],0),0),"")</f>
        <v/>
      </c>
      <c r="BS55" s="93" t="str">
        <f>IFERROR(VLOOKUP(SupSum[[#This Row],[Supervisor]],Thu_W2[],MATCH("Team MTG",Thu_W2[#Headers],0),0),"")</f>
        <v/>
      </c>
      <c r="BU55" s="93" t="str">
        <f>IFERROR(VLOOKUP(SupSum[[#This Row],[Supervisor]],Fri_W2[],MATCH("Help Line",Fri_W2[#Headers],0),0),"")</f>
        <v/>
      </c>
      <c r="BV55" s="93" t="str">
        <f>IFERROR(VLOOKUP(SupSum[[#This Row],[Supervisor]],Fri_W2[],MATCH("RTA",Fri_W2[#Headers],0),0),"")</f>
        <v/>
      </c>
      <c r="BW55" s="93" t="str">
        <f>IFERROR(VLOOKUP(SupSum[[#This Row],[Supervisor]],Fri_W2[],MATCH("Admin",Fri_W2[#Headers],0),0),"")</f>
        <v/>
      </c>
      <c r="BX55" s="93" t="str">
        <f>IFERROR(VLOOKUP(SupSum[[#This Row],[Supervisor]],Fri_W2[],MATCH("Team MTG",Fri_W2[#Headers],0),0),"")</f>
        <v/>
      </c>
      <c r="BZ55" s="93" t="str">
        <f>IFERROR(VLOOKUP(SupSum[[#This Row],[Supervisor]],Sat_W2[],MATCH("Help Line",Sat_W2[#Headers],0),0),"")</f>
        <v/>
      </c>
      <c r="CA55" s="93" t="str">
        <f>IFERROR(VLOOKUP(SupSum[[#This Row],[Supervisor]],Sat_W2[],MATCH("RTA",Sat_W2[#Headers],0),0),"")</f>
        <v/>
      </c>
      <c r="CB55" s="93" t="str">
        <f>IFERROR(VLOOKUP(SupSum[[#This Row],[Supervisor]],Sat_W2[],MATCH("Admin",Sat_W2[#Headers],0),0),"")</f>
        <v/>
      </c>
      <c r="CC55" s="93" t="str">
        <f>IFERROR(VLOOKUP(SupSum[[#This Row],[Supervisor]],Sat_W2[],MATCH("Team MTG",Sat_W2[#Headers],0),0),"")</f>
        <v/>
      </c>
    </row>
    <row r="56" spans="2:81" x14ac:dyDescent="0.2">
      <c r="B56" s="6" t="s">
        <v>31</v>
      </c>
      <c r="C56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56" s="93">
        <f>SUM(SSum_Sun1[[#This Row],[RTA]],SSum_Mon1[[#This Row],[RTA]],SSum_Tue1[[#This Row],[RTA]],SSum_Wed1[[#This Row],[RTA]],SSum_Thu1[[#This Row],[RTA]],SSum_Fri1[[#This Row],[RTA]],SSum_Sat1[[#This Row],[RTA]])</f>
        <v>0</v>
      </c>
      <c r="E56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56" s="136">
        <f>SUM(SSum_Sun1[[#This Row],[TM]],SSum_Mon1[[#This Row],[TM]],SSum_Tue1[[#This Row],[TM]],SSum_Wed1[[#This Row],[TM]],SSum_Thu1[[#This Row],[TM]],SSum_Fri1[[#This Row],[TM]],SSum_Sat1[[#This Row],[TM]])</f>
        <v>0</v>
      </c>
      <c r="G56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56" s="93">
        <f>SUM(SSum_Sun2[[#This Row],[RTA]],SSum_Mon2[[#This Row],[RTA]],SSum_Tue2[[#This Row],[RTA]],SSum_Wed2[[#This Row],[RTA]],SSum_Thu2[[#This Row],[RTA]],SSum_Fri2[[#This Row],[RTA]],SSum_Sat2[[#This Row],[RTA]])</f>
        <v>0</v>
      </c>
      <c r="I56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56" s="93">
        <f>SUM(SSum_Sun2[[#This Row],[TM]],SSum_Mon2[[#This Row],[TM]],SSum_Tue2[[#This Row],[TM]],SSum_Wed2[[#This Row],[TM]],SSum_Thu2[[#This Row],[TM]],SSum_Fri2[[#This Row],[TM]],SSum_Sat2[[#This Row],[TM]])</f>
        <v>0</v>
      </c>
      <c r="K56" s="208">
        <v>14</v>
      </c>
      <c r="M56" s="93" t="str">
        <f>IFERROR(VLOOKUP(SupSum[[#This Row],[Supervisor]],Sun_W1[],MATCH("Help Line",Sun_W1[#Headers],0),0),"")</f>
        <v/>
      </c>
      <c r="N56" s="93" t="str">
        <f>IFERROR(VLOOKUP(SupSum[[#This Row],[Supervisor]],Sun_W1[],MATCH("RTA",Sun_W1[#Headers],0),0),"")</f>
        <v/>
      </c>
      <c r="O56" s="93" t="str">
        <f>IFERROR(VLOOKUP(SupSum[[#This Row],[Supervisor]],Sun_W1[],MATCH("Admin",Sun_W1[#Headers],0),0),"")</f>
        <v/>
      </c>
      <c r="P56" s="93" t="str">
        <f>IFERROR(VLOOKUP(SupSum[[#This Row],[Supervisor]],Sun_W1[],MATCH("Team MTG",Sun_W1[#Headers],0),0),"")</f>
        <v/>
      </c>
      <c r="R56" s="93">
        <f>IFERROR(VLOOKUP(SupSum[[#This Row],[Supervisor]],Mon_W1[],MATCH("Help Line",Mon_W1[#Headers],0),0),"")</f>
        <v>0</v>
      </c>
      <c r="S56" s="93">
        <f>IFERROR(VLOOKUP(SupSum[[#This Row],[Supervisor]],Mon_W1[],MATCH("RTA",Mon_W1[#Headers],0),0),"")</f>
        <v>0</v>
      </c>
      <c r="T56" s="93">
        <f>IFERROR(VLOOKUP(SupSum[[#This Row],[Supervisor]],Mon_W1[],MATCH("Admin",Mon_W1[#Headers],0),0),"")</f>
        <v>0</v>
      </c>
      <c r="U56" s="93" t="str">
        <f>IFERROR(VLOOKUP(SupSum[[#This Row],[Supervisor]],Mon_W1[],MATCH("Team MTG",Mon_W1[#Headers],0),0),"")</f>
        <v/>
      </c>
      <c r="W56" s="93">
        <f>IFERROR(VLOOKUP(SupSum[[#This Row],[Supervisor]],Tue_W1[],MATCH("Help Line",Tue_W1[#Headers],0),0),"")</f>
        <v>0</v>
      </c>
      <c r="X56" s="93">
        <f>IFERROR(VLOOKUP(SupSum[[#This Row],[Supervisor]],Tue_W1[],MATCH("RTA",Tue_W1[#Headers],0),0),"")</f>
        <v>0</v>
      </c>
      <c r="Y56" s="93">
        <f>IFERROR(VLOOKUP(SupSum[[#This Row],[Supervisor]],Tue_W1[],MATCH("Admin",Tue_W1[#Headers],0),0),"")</f>
        <v>0</v>
      </c>
      <c r="Z56" s="93" t="str">
        <f>IFERROR(VLOOKUP(SupSum[[#This Row],[Supervisor]],Tue_W1[],MATCH("Team MTG",Tue_W1[#Headers],0),0),"")</f>
        <v/>
      </c>
      <c r="AB56" s="93">
        <f>IFERROR(VLOOKUP(SupSum[[#This Row],[Supervisor]],Wed_W1[],MATCH("Help Line",Wed_W1[#Headers],0),0),"")</f>
        <v>0</v>
      </c>
      <c r="AC56" s="93">
        <f>IFERROR(VLOOKUP(SupSum[[#This Row],[Supervisor]],Wed_W1[],MATCH("RTA",Wed_W1[#Headers],0),0),"")</f>
        <v>0</v>
      </c>
      <c r="AD56" s="93">
        <f>IFERROR(VLOOKUP(SupSum[[#This Row],[Supervisor]],Wed_W1[],MATCH("Admin",Wed_W1[#Headers],0),0),"")</f>
        <v>0</v>
      </c>
      <c r="AE56" s="93" t="str">
        <f>IFERROR(VLOOKUP(SupSum[[#This Row],[Supervisor]],Wed_W1[],MATCH("Team MTG",Wed_W1[#Headers],0),0),"")</f>
        <v/>
      </c>
      <c r="AG56" s="93" t="str">
        <f>IFERROR(VLOOKUP(SupSum[[#This Row],[Supervisor]],Thu_W1[],MATCH("Help Line",Thu_W1[#Headers],0),0),"")</f>
        <v/>
      </c>
      <c r="AH56" s="93" t="str">
        <f>IFERROR(VLOOKUP(SupSum[[#This Row],[Supervisor]],Thu_W1[],MATCH("RTA",Thu_W1[#Headers],0),0),"")</f>
        <v/>
      </c>
      <c r="AI56" s="93" t="str">
        <f>IFERROR(VLOOKUP(SupSum[[#This Row],[Supervisor]],Thu_W1[],MATCH("Admin",Thu_W1[#Headers],0),0),"")</f>
        <v/>
      </c>
      <c r="AJ56" s="93" t="str">
        <f>IFERROR(VLOOKUP(SupSum[[#This Row],[Supervisor]],Thu_W1[],MATCH("Team MTG",Thu_W1[#Headers],0),0),"")</f>
        <v/>
      </c>
      <c r="AL56" s="93">
        <f>IFERROR(VLOOKUP(SupSum[[#This Row],[Supervisor]],Fri_W1[],MATCH("Help Line",Fri_W1[#Headers],0),0),"")</f>
        <v>0</v>
      </c>
      <c r="AM56" s="93">
        <f>IFERROR(VLOOKUP(SupSum[[#This Row],[Supervisor]],Fri_W1[],MATCH("RTA",Fri_W1[#Headers],0),0),"")</f>
        <v>0</v>
      </c>
      <c r="AN56" s="93">
        <f>IFERROR(VLOOKUP(SupSum[[#This Row],[Supervisor]],Fri_W1[],MATCH("Admin",Fri_W1[#Headers],0),0),"")</f>
        <v>0</v>
      </c>
      <c r="AO56" s="93" t="str">
        <f>IFERROR(VLOOKUP(SupSum[[#This Row],[Supervisor]],Fri_W1[],MATCH("Team MTG",Fri_W1[#Headers],0),0),"")</f>
        <v/>
      </c>
      <c r="AQ56" s="93">
        <f>IFERROR(VLOOKUP(SupSum[[#This Row],[Supervisor]],Sat_W1[],MATCH("Help Line",Sat_W1[#Headers],0),0),"")</f>
        <v>0</v>
      </c>
      <c r="AR56" s="93">
        <f>IFERROR(VLOOKUP(SupSum[[#This Row],[Supervisor]],Sat_W1[],MATCH("RTA",Sat_W1[#Headers],0),0),"")</f>
        <v>0</v>
      </c>
      <c r="AS56" s="93">
        <f>IFERROR(VLOOKUP(SupSum[[#This Row],[Supervisor]],Sat_W1[],MATCH("Admin",Sat_W1[#Headers],0),0),"")</f>
        <v>0</v>
      </c>
      <c r="AT56" s="93" t="str">
        <f>IFERROR(VLOOKUP(SupSum[[#This Row],[Supervisor]],Sat_W1[],MATCH("Team MTG",Sat_W1[#Headers],0),0),"")</f>
        <v/>
      </c>
      <c r="AV56" s="93" t="str">
        <f>IFERROR(VLOOKUP(SupSum[[#This Row],[Supervisor]],Sun_W2[],MATCH("Help Line",Sun_W2[#Headers],0),0),"")</f>
        <v/>
      </c>
      <c r="AW56" s="93" t="str">
        <f>IFERROR(VLOOKUP(SupSum[[#This Row],[Supervisor]],Sun_W2[],MATCH("RTA",Sun_W2[#Headers],0),0),"")</f>
        <v/>
      </c>
      <c r="AX56" s="93" t="str">
        <f>IFERROR(VLOOKUP(SupSum[[#This Row],[Supervisor]],Sun_W2[],MATCH("Admin",Sun_W2[#Headers],0),0),"")</f>
        <v/>
      </c>
      <c r="AY56" s="93" t="str">
        <f>IFERROR(VLOOKUP(SupSum[[#This Row],[Supervisor]],Sun_W2[],MATCH("Team MTG",Sun_W2[#Headers],0),0),"")</f>
        <v/>
      </c>
      <c r="BA56" s="93">
        <f>IFERROR(VLOOKUP(SupSum[[#This Row],[Supervisor]],Mon_W2[],MATCH("Help Line",Mon_W2[#Headers],0),0),"")</f>
        <v>0</v>
      </c>
      <c r="BB56" s="93">
        <f>IFERROR(VLOOKUP(SupSum[[#This Row],[Supervisor]],Mon_W2[],MATCH("RTA",Mon_W2[#Headers],0),0),"")</f>
        <v>0</v>
      </c>
      <c r="BC56" s="93">
        <f>IFERROR(VLOOKUP(SupSum[[#This Row],[Supervisor]],Mon_W2[],MATCH("Admin",Mon_W2[#Headers],0),0),"")</f>
        <v>0</v>
      </c>
      <c r="BD56" s="93" t="str">
        <f>IFERROR(VLOOKUP(SupSum[[#This Row],[Supervisor]],Mon_W2[],MATCH("Team MTG",Mon_W2[#Headers],0),0),"")</f>
        <v/>
      </c>
      <c r="BF56" s="93">
        <f>IFERROR(VLOOKUP(SupSum[[#This Row],[Supervisor]],Tue_W2[],MATCH("Help Line",Tue_W2[#Headers],0),0),"")</f>
        <v>0</v>
      </c>
      <c r="BG56" s="93">
        <f>IFERROR(VLOOKUP(SupSum[[#This Row],[Supervisor]],Tue_W2[],MATCH("RTA",Tue_W2[#Headers],0),0),"")</f>
        <v>0</v>
      </c>
      <c r="BH56" s="93">
        <f>IFERROR(VLOOKUP(SupSum[[#This Row],[Supervisor]],Tue_W2[],MATCH("Admin",Tue_W2[#Headers],0),0),"")</f>
        <v>0</v>
      </c>
      <c r="BI56" s="93" t="str">
        <f>IFERROR(VLOOKUP(SupSum[[#This Row],[Supervisor]],Tue_W2[],MATCH("Team MTG",Tue_W2[#Headers],0),0),"")</f>
        <v/>
      </c>
      <c r="BK56" s="93">
        <f>IFERROR(VLOOKUP(SupSum[[#This Row],[Supervisor]],Wed_W2[],MATCH("Help Line",Wed_W2[#Headers],0),0),"")</f>
        <v>0</v>
      </c>
      <c r="BL56" s="93">
        <f>IFERROR(VLOOKUP(SupSum[[#This Row],[Supervisor]],Wed_W2[],MATCH("RTA",Wed_W2[#Headers],0),0),"")</f>
        <v>0</v>
      </c>
      <c r="BM56" s="93">
        <f>IFERROR(VLOOKUP(SupSum[[#This Row],[Supervisor]],Wed_W2[],MATCH("Admin",Wed_W2[#Headers],0),0),"")</f>
        <v>0</v>
      </c>
      <c r="BN56" s="93" t="str">
        <f>IFERROR(VLOOKUP(SupSum[[#This Row],[Supervisor]],Wed_W2[],MATCH("Team MTG",Wed_W2[#Headers],0),0),"")</f>
        <v/>
      </c>
      <c r="BP56" s="93" t="str">
        <f>IFERROR(VLOOKUP(SupSum[[#This Row],[Supervisor]],Thu_W2[],MATCH("Help Line",Thu_W2[#Headers],0),0),"")</f>
        <v/>
      </c>
      <c r="BQ56" s="93" t="str">
        <f>IFERROR(VLOOKUP(SupSum[[#This Row],[Supervisor]],Thu_W2[],MATCH("RTA",Thu_W2[#Headers],0),0),"")</f>
        <v/>
      </c>
      <c r="BR56" s="93" t="str">
        <f>IFERROR(VLOOKUP(SupSum[[#This Row],[Supervisor]],Thu_W2[],MATCH("Admin",Thu_W2[#Headers],0),0),"")</f>
        <v/>
      </c>
      <c r="BS56" s="93" t="str">
        <f>IFERROR(VLOOKUP(SupSum[[#This Row],[Supervisor]],Thu_W2[],MATCH("Team MTG",Thu_W2[#Headers],0),0),"")</f>
        <v/>
      </c>
      <c r="BU56" s="93">
        <f>IFERROR(VLOOKUP(SupSum[[#This Row],[Supervisor]],Fri_W2[],MATCH("Help Line",Fri_W2[#Headers],0),0),"")</f>
        <v>0</v>
      </c>
      <c r="BV56" s="93">
        <f>IFERROR(VLOOKUP(SupSum[[#This Row],[Supervisor]],Fri_W2[],MATCH("RTA",Fri_W2[#Headers],0),0),"")</f>
        <v>0</v>
      </c>
      <c r="BW56" s="93">
        <f>IFERROR(VLOOKUP(SupSum[[#This Row],[Supervisor]],Fri_W2[],MATCH("Admin",Fri_W2[#Headers],0),0),"")</f>
        <v>0</v>
      </c>
      <c r="BX56" s="93" t="str">
        <f>IFERROR(VLOOKUP(SupSum[[#This Row],[Supervisor]],Fri_W2[],MATCH("Team MTG",Fri_W2[#Headers],0),0),"")</f>
        <v/>
      </c>
      <c r="BZ56" s="93">
        <f>IFERROR(VLOOKUP(SupSum[[#This Row],[Supervisor]],Sat_W2[],MATCH("Help Line",Sat_W2[#Headers],0),0),"")</f>
        <v>0</v>
      </c>
      <c r="CA56" s="93">
        <f>IFERROR(VLOOKUP(SupSum[[#This Row],[Supervisor]],Sat_W2[],MATCH("RTA",Sat_W2[#Headers],0),0),"")</f>
        <v>0</v>
      </c>
      <c r="CB56" s="93">
        <f>IFERROR(VLOOKUP(SupSum[[#This Row],[Supervisor]],Sat_W2[],MATCH("Admin",Sat_W2[#Headers],0),0),"")</f>
        <v>0</v>
      </c>
      <c r="CC56" s="93" t="str">
        <f>IFERROR(VLOOKUP(SupSum[[#This Row],[Supervisor]],Sat_W2[],MATCH("Team MTG",Sat_W2[#Headers],0),0),"")</f>
        <v/>
      </c>
    </row>
    <row r="57" spans="2:81" x14ac:dyDescent="0.2">
      <c r="B57" s="205" t="s">
        <v>55</v>
      </c>
      <c r="C57" s="206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57" s="206">
        <f>SUM(SSum_Sun1[[#This Row],[RTA]],SSum_Mon1[[#This Row],[RTA]],SSum_Tue1[[#This Row],[RTA]],SSum_Wed1[[#This Row],[RTA]],SSum_Thu1[[#This Row],[RTA]],SSum_Fri1[[#This Row],[RTA]],SSum_Sat1[[#This Row],[RTA]])</f>
        <v>0</v>
      </c>
      <c r="E57" s="206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57" s="206">
        <f>SUM(SSum_Sun1[[#This Row],[TM]],SSum_Mon1[[#This Row],[TM]],SSum_Tue1[[#This Row],[TM]],SSum_Wed1[[#This Row],[TM]],SSum_Thu1[[#This Row],[TM]],SSum_Fri1[[#This Row],[TM]],SSum_Sat1[[#This Row],[TM]])</f>
        <v>0</v>
      </c>
      <c r="G57" s="206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57" s="206">
        <f>SUM(SSum_Sun2[[#This Row],[RTA]],SSum_Mon2[[#This Row],[RTA]],SSum_Tue2[[#This Row],[RTA]],SSum_Wed2[[#This Row],[RTA]],SSum_Thu2[[#This Row],[RTA]],SSum_Fri2[[#This Row],[RTA]],SSum_Sat2[[#This Row],[RTA]])</f>
        <v>0</v>
      </c>
      <c r="I57" s="206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57" s="206">
        <f>SUM(SSum_Sun2[[#This Row],[TM]],SSum_Mon2[[#This Row],[TM]],SSum_Tue2[[#This Row],[TM]],SSum_Wed2[[#This Row],[TM]],SSum_Thu2[[#This Row],[TM]],SSum_Fri2[[#This Row],[TM]],SSum_Sat2[[#This Row],[TM]])</f>
        <v>0</v>
      </c>
      <c r="K57" s="205">
        <v>18</v>
      </c>
      <c r="M57" s="93" t="str">
        <f>IFERROR(VLOOKUP(SupSum[[#This Row],[Supervisor]],Sun_W1[],MATCH("Help Line",Sun_W1[#Headers],0),0),"")</f>
        <v/>
      </c>
      <c r="N57" s="93" t="str">
        <f>IFERROR(VLOOKUP(SupSum[[#This Row],[Supervisor]],Sun_W1[],MATCH("RTA",Sun_W1[#Headers],0),0),"")</f>
        <v/>
      </c>
      <c r="O57" s="93" t="str">
        <f>IFERROR(VLOOKUP(SupSum[[#This Row],[Supervisor]],Sun_W1[],MATCH("Admin",Sun_W1[#Headers],0),0),"")</f>
        <v/>
      </c>
      <c r="P57" s="93" t="str">
        <f>IFERROR(VLOOKUP(SupSum[[#This Row],[Supervisor]],Sun_W1[],MATCH("Team MTG",Sun_W1[#Headers],0),0),"")</f>
        <v/>
      </c>
      <c r="R57" s="93" t="str">
        <f>IFERROR(VLOOKUP(SupSum[[#This Row],[Supervisor]],Mon_W1[],MATCH("Help Line",Mon_W1[#Headers],0),0),"")</f>
        <v/>
      </c>
      <c r="S57" s="93" t="str">
        <f>IFERROR(VLOOKUP(SupSum[[#This Row],[Supervisor]],Mon_W1[],MATCH("RTA",Mon_W1[#Headers],0),0),"")</f>
        <v/>
      </c>
      <c r="T57" s="93" t="str">
        <f>IFERROR(VLOOKUP(SupSum[[#This Row],[Supervisor]],Mon_W1[],MATCH("Admin",Mon_W1[#Headers],0),0),"")</f>
        <v/>
      </c>
      <c r="U57" s="93" t="str">
        <f>IFERROR(VLOOKUP(SupSum[[#This Row],[Supervisor]],Mon_W1[],MATCH("Team MTG",Mon_W1[#Headers],0),0),"")</f>
        <v/>
      </c>
      <c r="W57" s="93" t="str">
        <f>IFERROR(VLOOKUP(SupSum[[#This Row],[Supervisor]],Tue_W1[],MATCH("Help Line",Tue_W1[#Headers],0),0),"")</f>
        <v/>
      </c>
      <c r="X57" s="93" t="str">
        <f>IFERROR(VLOOKUP(SupSum[[#This Row],[Supervisor]],Tue_W1[],MATCH("RTA",Tue_W1[#Headers],0),0),"")</f>
        <v/>
      </c>
      <c r="Y57" s="93" t="str">
        <f>IFERROR(VLOOKUP(SupSum[[#This Row],[Supervisor]],Tue_W1[],MATCH("Admin",Tue_W1[#Headers],0),0),"")</f>
        <v/>
      </c>
      <c r="Z57" s="93" t="str">
        <f>IFERROR(VLOOKUP(SupSum[[#This Row],[Supervisor]],Tue_W1[],MATCH("Team MTG",Tue_W1[#Headers],0),0),"")</f>
        <v/>
      </c>
      <c r="AB57" s="93" t="str">
        <f>IFERROR(VLOOKUP(SupSum[[#This Row],[Supervisor]],Wed_W1[],MATCH("Help Line",Wed_W1[#Headers],0),0),"")</f>
        <v/>
      </c>
      <c r="AC57" s="93" t="str">
        <f>IFERROR(VLOOKUP(SupSum[[#This Row],[Supervisor]],Wed_W1[],MATCH("RTA",Wed_W1[#Headers],0),0),"")</f>
        <v/>
      </c>
      <c r="AD57" s="93" t="str">
        <f>IFERROR(VLOOKUP(SupSum[[#This Row],[Supervisor]],Wed_W1[],MATCH("Admin",Wed_W1[#Headers],0),0),"")</f>
        <v/>
      </c>
      <c r="AE57" s="93" t="str">
        <f>IFERROR(VLOOKUP(SupSum[[#This Row],[Supervisor]],Wed_W1[],MATCH("Team MTG",Wed_W1[#Headers],0),0),"")</f>
        <v/>
      </c>
      <c r="AG57" s="93" t="str">
        <f>IFERROR(VLOOKUP(SupSum[[#This Row],[Supervisor]],Thu_W1[],MATCH("Help Line",Thu_W1[#Headers],0),0),"")</f>
        <v/>
      </c>
      <c r="AH57" s="93" t="str">
        <f>IFERROR(VLOOKUP(SupSum[[#This Row],[Supervisor]],Thu_W1[],MATCH("RTA",Thu_W1[#Headers],0),0),"")</f>
        <v/>
      </c>
      <c r="AI57" s="93" t="str">
        <f>IFERROR(VLOOKUP(SupSum[[#This Row],[Supervisor]],Thu_W1[],MATCH("Admin",Thu_W1[#Headers],0),0),"")</f>
        <v/>
      </c>
      <c r="AJ57" s="93" t="str">
        <f>IFERROR(VLOOKUP(SupSum[[#This Row],[Supervisor]],Thu_W1[],MATCH("Team MTG",Thu_W1[#Headers],0),0),"")</f>
        <v/>
      </c>
      <c r="AL57" s="93" t="str">
        <f>IFERROR(VLOOKUP(SupSum[[#This Row],[Supervisor]],Fri_W1[],MATCH("Help Line",Fri_W1[#Headers],0),0),"")</f>
        <v/>
      </c>
      <c r="AM57" s="93" t="str">
        <f>IFERROR(VLOOKUP(SupSum[[#This Row],[Supervisor]],Fri_W1[],MATCH("RTA",Fri_W1[#Headers],0),0),"")</f>
        <v/>
      </c>
      <c r="AN57" s="93" t="str">
        <f>IFERROR(VLOOKUP(SupSum[[#This Row],[Supervisor]],Fri_W1[],MATCH("Admin",Fri_W1[#Headers],0),0),"")</f>
        <v/>
      </c>
      <c r="AO57" s="93" t="str">
        <f>IFERROR(VLOOKUP(SupSum[[#This Row],[Supervisor]],Fri_W1[],MATCH("Team MTG",Fri_W1[#Headers],0),0),"")</f>
        <v/>
      </c>
      <c r="AQ57" s="93" t="str">
        <f>IFERROR(VLOOKUP(SupSum[[#This Row],[Supervisor]],Sat_W1[],MATCH("Help Line",Sat_W1[#Headers],0),0),"")</f>
        <v/>
      </c>
      <c r="AR57" s="93" t="str">
        <f>IFERROR(VLOOKUP(SupSum[[#This Row],[Supervisor]],Sat_W1[],MATCH("RTA",Sat_W1[#Headers],0),0),"")</f>
        <v/>
      </c>
      <c r="AS57" s="93" t="str">
        <f>IFERROR(VLOOKUP(SupSum[[#This Row],[Supervisor]],Sat_W1[],MATCH("Admin",Sat_W1[#Headers],0),0),"")</f>
        <v/>
      </c>
      <c r="AT57" s="93" t="str">
        <f>IFERROR(VLOOKUP(SupSum[[#This Row],[Supervisor]],Sat_W1[],MATCH("Team MTG",Sat_W1[#Headers],0),0),"")</f>
        <v/>
      </c>
      <c r="AV57" s="93" t="str">
        <f>IFERROR(VLOOKUP(SupSum[[#This Row],[Supervisor]],Sun_W2[],MATCH("Help Line",Sun_W2[#Headers],0),0),"")</f>
        <v/>
      </c>
      <c r="AW57" s="93" t="str">
        <f>IFERROR(VLOOKUP(SupSum[[#This Row],[Supervisor]],Sun_W2[],MATCH("RTA",Sun_W2[#Headers],0),0),"")</f>
        <v/>
      </c>
      <c r="AX57" s="93" t="str">
        <f>IFERROR(VLOOKUP(SupSum[[#This Row],[Supervisor]],Sun_W2[],MATCH("Admin",Sun_W2[#Headers],0),0),"")</f>
        <v/>
      </c>
      <c r="AY57" s="93" t="str">
        <f>IFERROR(VLOOKUP(SupSum[[#This Row],[Supervisor]],Sun_W2[],MATCH("Team MTG",Sun_W2[#Headers],0),0),"")</f>
        <v/>
      </c>
      <c r="BA57" s="93" t="str">
        <f>IFERROR(VLOOKUP(SupSum[[#This Row],[Supervisor]],Mon_W2[],MATCH("Help Line",Mon_W2[#Headers],0),0),"")</f>
        <v/>
      </c>
      <c r="BB57" s="93" t="str">
        <f>IFERROR(VLOOKUP(SupSum[[#This Row],[Supervisor]],Mon_W2[],MATCH("RTA",Mon_W2[#Headers],0),0),"")</f>
        <v/>
      </c>
      <c r="BC57" s="93" t="str">
        <f>IFERROR(VLOOKUP(SupSum[[#This Row],[Supervisor]],Mon_W2[],MATCH("Admin",Mon_W2[#Headers],0),0),"")</f>
        <v/>
      </c>
      <c r="BD57" s="93" t="str">
        <f>IFERROR(VLOOKUP(SupSum[[#This Row],[Supervisor]],Mon_W2[],MATCH("Team MTG",Mon_W2[#Headers],0),0),"")</f>
        <v/>
      </c>
      <c r="BF57" s="93" t="str">
        <f>IFERROR(VLOOKUP(SupSum[[#This Row],[Supervisor]],Tue_W2[],MATCH("Help Line",Tue_W2[#Headers],0),0),"")</f>
        <v/>
      </c>
      <c r="BG57" s="93" t="str">
        <f>IFERROR(VLOOKUP(SupSum[[#This Row],[Supervisor]],Tue_W2[],MATCH("RTA",Tue_W2[#Headers],0),0),"")</f>
        <v/>
      </c>
      <c r="BH57" s="93" t="str">
        <f>IFERROR(VLOOKUP(SupSum[[#This Row],[Supervisor]],Tue_W2[],MATCH("Admin",Tue_W2[#Headers],0),0),"")</f>
        <v/>
      </c>
      <c r="BI57" s="93" t="str">
        <f>IFERROR(VLOOKUP(SupSum[[#This Row],[Supervisor]],Tue_W2[],MATCH("Team MTG",Tue_W2[#Headers],0),0),"")</f>
        <v/>
      </c>
      <c r="BK57" s="93" t="str">
        <f>IFERROR(VLOOKUP(SupSum[[#This Row],[Supervisor]],Wed_W2[],MATCH("Help Line",Wed_W2[#Headers],0),0),"")</f>
        <v/>
      </c>
      <c r="BL57" s="93" t="str">
        <f>IFERROR(VLOOKUP(SupSum[[#This Row],[Supervisor]],Wed_W2[],MATCH("RTA",Wed_W2[#Headers],0),0),"")</f>
        <v/>
      </c>
      <c r="BM57" s="93" t="str">
        <f>IFERROR(VLOOKUP(SupSum[[#This Row],[Supervisor]],Wed_W2[],MATCH("Admin",Wed_W2[#Headers],0),0),"")</f>
        <v/>
      </c>
      <c r="BN57" s="93" t="str">
        <f>IFERROR(VLOOKUP(SupSum[[#This Row],[Supervisor]],Wed_W2[],MATCH("Team MTG",Wed_W2[#Headers],0),0),"")</f>
        <v/>
      </c>
      <c r="BP57" s="93" t="str">
        <f>IFERROR(VLOOKUP(SupSum[[#This Row],[Supervisor]],Thu_W2[],MATCH("Help Line",Thu_W2[#Headers],0),0),"")</f>
        <v/>
      </c>
      <c r="BQ57" s="93" t="str">
        <f>IFERROR(VLOOKUP(SupSum[[#This Row],[Supervisor]],Thu_W2[],MATCH("RTA",Thu_W2[#Headers],0),0),"")</f>
        <v/>
      </c>
      <c r="BR57" s="93" t="str">
        <f>IFERROR(VLOOKUP(SupSum[[#This Row],[Supervisor]],Thu_W2[],MATCH("Admin",Thu_W2[#Headers],0),0),"")</f>
        <v/>
      </c>
      <c r="BS57" s="93" t="str">
        <f>IFERROR(VLOOKUP(SupSum[[#This Row],[Supervisor]],Thu_W2[],MATCH("Team MTG",Thu_W2[#Headers],0),0),"")</f>
        <v/>
      </c>
      <c r="BU57" s="93" t="str">
        <f>IFERROR(VLOOKUP(SupSum[[#This Row],[Supervisor]],Fri_W2[],MATCH("Help Line",Fri_W2[#Headers],0),0),"")</f>
        <v/>
      </c>
      <c r="BV57" s="93" t="str">
        <f>IFERROR(VLOOKUP(SupSum[[#This Row],[Supervisor]],Fri_W2[],MATCH("RTA",Fri_W2[#Headers],0),0),"")</f>
        <v/>
      </c>
      <c r="BW57" s="93" t="str">
        <f>IFERROR(VLOOKUP(SupSum[[#This Row],[Supervisor]],Fri_W2[],MATCH("Admin",Fri_W2[#Headers],0),0),"")</f>
        <v/>
      </c>
      <c r="BX57" s="93" t="str">
        <f>IFERROR(VLOOKUP(SupSum[[#This Row],[Supervisor]],Fri_W2[],MATCH("Team MTG",Fri_W2[#Headers],0),0),"")</f>
        <v/>
      </c>
      <c r="BZ57" s="93" t="str">
        <f>IFERROR(VLOOKUP(SupSum[[#This Row],[Supervisor]],Sat_W2[],MATCH("Help Line",Sat_W2[#Headers],0),0),"")</f>
        <v/>
      </c>
      <c r="CA57" s="93" t="str">
        <f>IFERROR(VLOOKUP(SupSum[[#This Row],[Supervisor]],Sat_W2[],MATCH("RTA",Sat_W2[#Headers],0),0),"")</f>
        <v/>
      </c>
      <c r="CB57" s="93" t="str">
        <f>IFERROR(VLOOKUP(SupSum[[#This Row],[Supervisor]],Sat_W2[],MATCH("Admin",Sat_W2[#Headers],0),0),"")</f>
        <v/>
      </c>
      <c r="CC57" s="93" t="str">
        <f>IFERROR(VLOOKUP(SupSum[[#This Row],[Supervisor]],Sat_W2[],MATCH("Team MTG",Sat_W2[#Headers],0),0),"")</f>
        <v/>
      </c>
    </row>
    <row r="58" spans="2:81" x14ac:dyDescent="0.2">
      <c r="B58" s="205" t="s">
        <v>62</v>
      </c>
      <c r="C58" s="206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58" s="206">
        <f>SUM(SSum_Sun1[[#This Row],[RTA]],SSum_Mon1[[#This Row],[RTA]],SSum_Tue1[[#This Row],[RTA]],SSum_Wed1[[#This Row],[RTA]],SSum_Thu1[[#This Row],[RTA]],SSum_Fri1[[#This Row],[RTA]],SSum_Sat1[[#This Row],[RTA]])</f>
        <v>0</v>
      </c>
      <c r="E58" s="206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58" s="206">
        <f>SUM(SSum_Sun1[[#This Row],[TM]],SSum_Mon1[[#This Row],[TM]],SSum_Tue1[[#This Row],[TM]],SSum_Wed1[[#This Row],[TM]],SSum_Thu1[[#This Row],[TM]],SSum_Fri1[[#This Row],[TM]],SSum_Sat1[[#This Row],[TM]])</f>
        <v>0</v>
      </c>
      <c r="G58" s="206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58" s="206">
        <f>SUM(SSum_Sun2[[#This Row],[RTA]],SSum_Mon2[[#This Row],[RTA]],SSum_Tue2[[#This Row],[RTA]],SSum_Wed2[[#This Row],[RTA]],SSum_Thu2[[#This Row],[RTA]],SSum_Fri2[[#This Row],[RTA]],SSum_Sat2[[#This Row],[RTA]])</f>
        <v>0</v>
      </c>
      <c r="I58" s="206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58" s="206">
        <f>SUM(SSum_Sun2[[#This Row],[TM]],SSum_Mon2[[#This Row],[TM]],SSum_Tue2[[#This Row],[TM]],SSum_Wed2[[#This Row],[TM]],SSum_Thu2[[#This Row],[TM]],SSum_Fri2[[#This Row],[TM]],SSum_Sat2[[#This Row],[TM]])</f>
        <v>0</v>
      </c>
      <c r="K58" s="205"/>
      <c r="M58" s="93" t="str">
        <f>IFERROR(VLOOKUP(SupSum[[#This Row],[Supervisor]],Sun_W1[],MATCH("Help Line",Sun_W1[#Headers],0),0),"")</f>
        <v/>
      </c>
      <c r="N58" s="93" t="str">
        <f>IFERROR(VLOOKUP(SupSum[[#This Row],[Supervisor]],Sun_W1[],MATCH("RTA",Sun_W1[#Headers],0),0),"")</f>
        <v/>
      </c>
      <c r="O58" s="93" t="str">
        <f>IFERROR(VLOOKUP(SupSum[[#This Row],[Supervisor]],Sun_W1[],MATCH("Admin",Sun_W1[#Headers],0),0),"")</f>
        <v/>
      </c>
      <c r="P58" s="93" t="str">
        <f>IFERROR(VLOOKUP(SupSum[[#This Row],[Supervisor]],Sun_W1[],MATCH("Team MTG",Sun_W1[#Headers],0),0),"")</f>
        <v/>
      </c>
      <c r="R58" s="93" t="str">
        <f>IFERROR(VLOOKUP(SupSum[[#This Row],[Supervisor]],Mon_W1[],MATCH("Help Line",Mon_W1[#Headers],0),0),"")</f>
        <v/>
      </c>
      <c r="S58" s="93" t="str">
        <f>IFERROR(VLOOKUP(SupSum[[#This Row],[Supervisor]],Mon_W1[],MATCH("RTA",Mon_W1[#Headers],0),0),"")</f>
        <v/>
      </c>
      <c r="T58" s="93" t="str">
        <f>IFERROR(VLOOKUP(SupSum[[#This Row],[Supervisor]],Mon_W1[],MATCH("Admin",Mon_W1[#Headers],0),0),"")</f>
        <v/>
      </c>
      <c r="U58" s="93" t="str">
        <f>IFERROR(VLOOKUP(SupSum[[#This Row],[Supervisor]],Mon_W1[],MATCH("Team MTG",Mon_W1[#Headers],0),0),"")</f>
        <v/>
      </c>
      <c r="W58" s="93" t="str">
        <f>IFERROR(VLOOKUP(SupSum[[#This Row],[Supervisor]],Tue_W1[],MATCH("Help Line",Tue_W1[#Headers],0),0),"")</f>
        <v/>
      </c>
      <c r="X58" s="93" t="str">
        <f>IFERROR(VLOOKUP(SupSum[[#This Row],[Supervisor]],Tue_W1[],MATCH("RTA",Tue_W1[#Headers],0),0),"")</f>
        <v/>
      </c>
      <c r="Y58" s="93" t="str">
        <f>IFERROR(VLOOKUP(SupSum[[#This Row],[Supervisor]],Tue_W1[],MATCH("Admin",Tue_W1[#Headers],0),0),"")</f>
        <v/>
      </c>
      <c r="Z58" s="93" t="str">
        <f>IFERROR(VLOOKUP(SupSum[[#This Row],[Supervisor]],Tue_W1[],MATCH("Team MTG",Tue_W1[#Headers],0),0),"")</f>
        <v/>
      </c>
      <c r="AB58" s="93" t="str">
        <f>IFERROR(VLOOKUP(SupSum[[#This Row],[Supervisor]],Wed_W1[],MATCH("Help Line",Wed_W1[#Headers],0),0),"")</f>
        <v/>
      </c>
      <c r="AC58" s="93" t="str">
        <f>IFERROR(VLOOKUP(SupSum[[#This Row],[Supervisor]],Wed_W1[],MATCH("RTA",Wed_W1[#Headers],0),0),"")</f>
        <v/>
      </c>
      <c r="AD58" s="93" t="str">
        <f>IFERROR(VLOOKUP(SupSum[[#This Row],[Supervisor]],Wed_W1[],MATCH("Admin",Wed_W1[#Headers],0),0),"")</f>
        <v/>
      </c>
      <c r="AE58" s="93" t="str">
        <f>IFERROR(VLOOKUP(SupSum[[#This Row],[Supervisor]],Wed_W1[],MATCH("Team MTG",Wed_W1[#Headers],0),0),"")</f>
        <v/>
      </c>
      <c r="AG58" s="93" t="str">
        <f>IFERROR(VLOOKUP(SupSum[[#This Row],[Supervisor]],Thu_W1[],MATCH("Help Line",Thu_W1[#Headers],0),0),"")</f>
        <v/>
      </c>
      <c r="AH58" s="93" t="str">
        <f>IFERROR(VLOOKUP(SupSum[[#This Row],[Supervisor]],Thu_W1[],MATCH("RTA",Thu_W1[#Headers],0),0),"")</f>
        <v/>
      </c>
      <c r="AI58" s="93" t="str">
        <f>IFERROR(VLOOKUP(SupSum[[#This Row],[Supervisor]],Thu_W1[],MATCH("Admin",Thu_W1[#Headers],0),0),"")</f>
        <v/>
      </c>
      <c r="AJ58" s="93" t="str">
        <f>IFERROR(VLOOKUP(SupSum[[#This Row],[Supervisor]],Thu_W1[],MATCH("Team MTG",Thu_W1[#Headers],0),0),"")</f>
        <v/>
      </c>
      <c r="AL58" s="93" t="str">
        <f>IFERROR(VLOOKUP(SupSum[[#This Row],[Supervisor]],Fri_W1[],MATCH("Help Line",Fri_W1[#Headers],0),0),"")</f>
        <v/>
      </c>
      <c r="AM58" s="93" t="str">
        <f>IFERROR(VLOOKUP(SupSum[[#This Row],[Supervisor]],Fri_W1[],MATCH("RTA",Fri_W1[#Headers],0),0),"")</f>
        <v/>
      </c>
      <c r="AN58" s="93" t="str">
        <f>IFERROR(VLOOKUP(SupSum[[#This Row],[Supervisor]],Fri_W1[],MATCH("Admin",Fri_W1[#Headers],0),0),"")</f>
        <v/>
      </c>
      <c r="AO58" s="93" t="str">
        <f>IFERROR(VLOOKUP(SupSum[[#This Row],[Supervisor]],Fri_W1[],MATCH("Team MTG",Fri_W1[#Headers],0),0),"")</f>
        <v/>
      </c>
      <c r="AQ58" s="93" t="str">
        <f>IFERROR(VLOOKUP(SupSum[[#This Row],[Supervisor]],Sat_W1[],MATCH("Help Line",Sat_W1[#Headers],0),0),"")</f>
        <v/>
      </c>
      <c r="AR58" s="93" t="str">
        <f>IFERROR(VLOOKUP(SupSum[[#This Row],[Supervisor]],Sat_W1[],MATCH("RTA",Sat_W1[#Headers],0),0),"")</f>
        <v/>
      </c>
      <c r="AS58" s="93" t="str">
        <f>IFERROR(VLOOKUP(SupSum[[#This Row],[Supervisor]],Sat_W1[],MATCH("Admin",Sat_W1[#Headers],0),0),"")</f>
        <v/>
      </c>
      <c r="AT58" s="93" t="str">
        <f>IFERROR(VLOOKUP(SupSum[[#This Row],[Supervisor]],Sat_W1[],MATCH("Team MTG",Sat_W1[#Headers],0),0),"")</f>
        <v/>
      </c>
      <c r="AV58" s="93" t="str">
        <f>IFERROR(VLOOKUP(SupSum[[#This Row],[Supervisor]],Sun_W2[],MATCH("Help Line",Sun_W2[#Headers],0),0),"")</f>
        <v/>
      </c>
      <c r="AW58" s="93" t="str">
        <f>IFERROR(VLOOKUP(SupSum[[#This Row],[Supervisor]],Sun_W2[],MATCH("RTA",Sun_W2[#Headers],0),0),"")</f>
        <v/>
      </c>
      <c r="AX58" s="93" t="str">
        <f>IFERROR(VLOOKUP(SupSum[[#This Row],[Supervisor]],Sun_W2[],MATCH("Admin",Sun_W2[#Headers],0),0),"")</f>
        <v/>
      </c>
      <c r="AY58" s="93" t="str">
        <f>IFERROR(VLOOKUP(SupSum[[#This Row],[Supervisor]],Sun_W2[],MATCH("Team MTG",Sun_W2[#Headers],0),0),"")</f>
        <v/>
      </c>
      <c r="BA58" s="93" t="str">
        <f>IFERROR(VLOOKUP(SupSum[[#This Row],[Supervisor]],Mon_W2[],MATCH("Help Line",Mon_W2[#Headers],0),0),"")</f>
        <v/>
      </c>
      <c r="BB58" s="93" t="str">
        <f>IFERROR(VLOOKUP(SupSum[[#This Row],[Supervisor]],Mon_W2[],MATCH("RTA",Mon_W2[#Headers],0),0),"")</f>
        <v/>
      </c>
      <c r="BC58" s="93" t="str">
        <f>IFERROR(VLOOKUP(SupSum[[#This Row],[Supervisor]],Mon_W2[],MATCH("Admin",Mon_W2[#Headers],0),0),"")</f>
        <v/>
      </c>
      <c r="BD58" s="93" t="str">
        <f>IFERROR(VLOOKUP(SupSum[[#This Row],[Supervisor]],Mon_W2[],MATCH("Team MTG",Mon_W2[#Headers],0),0),"")</f>
        <v/>
      </c>
      <c r="BF58" s="93" t="str">
        <f>IFERROR(VLOOKUP(SupSum[[#This Row],[Supervisor]],Tue_W2[],MATCH("Help Line",Tue_W2[#Headers],0),0),"")</f>
        <v/>
      </c>
      <c r="BG58" s="93" t="str">
        <f>IFERROR(VLOOKUP(SupSum[[#This Row],[Supervisor]],Tue_W2[],MATCH("RTA",Tue_W2[#Headers],0),0),"")</f>
        <v/>
      </c>
      <c r="BH58" s="93" t="str">
        <f>IFERROR(VLOOKUP(SupSum[[#This Row],[Supervisor]],Tue_W2[],MATCH("Admin",Tue_W2[#Headers],0),0),"")</f>
        <v/>
      </c>
      <c r="BI58" s="93" t="str">
        <f>IFERROR(VLOOKUP(SupSum[[#This Row],[Supervisor]],Tue_W2[],MATCH("Team MTG",Tue_W2[#Headers],0),0),"")</f>
        <v/>
      </c>
      <c r="BK58" s="93" t="str">
        <f>IFERROR(VLOOKUP(SupSum[[#This Row],[Supervisor]],Wed_W2[],MATCH("Help Line",Wed_W2[#Headers],0),0),"")</f>
        <v/>
      </c>
      <c r="BL58" s="93" t="str">
        <f>IFERROR(VLOOKUP(SupSum[[#This Row],[Supervisor]],Wed_W2[],MATCH("RTA",Wed_W2[#Headers],0),0),"")</f>
        <v/>
      </c>
      <c r="BM58" s="93" t="str">
        <f>IFERROR(VLOOKUP(SupSum[[#This Row],[Supervisor]],Wed_W2[],MATCH("Admin",Wed_W2[#Headers],0),0),"")</f>
        <v/>
      </c>
      <c r="BN58" s="93" t="str">
        <f>IFERROR(VLOOKUP(SupSum[[#This Row],[Supervisor]],Wed_W2[],MATCH("Team MTG",Wed_W2[#Headers],0),0),"")</f>
        <v/>
      </c>
      <c r="BP58" s="93" t="str">
        <f>IFERROR(VLOOKUP(SupSum[[#This Row],[Supervisor]],Thu_W2[],MATCH("Help Line",Thu_W2[#Headers],0),0),"")</f>
        <v/>
      </c>
      <c r="BQ58" s="93" t="str">
        <f>IFERROR(VLOOKUP(SupSum[[#This Row],[Supervisor]],Thu_W2[],MATCH("RTA",Thu_W2[#Headers],0),0),"")</f>
        <v/>
      </c>
      <c r="BR58" s="93" t="str">
        <f>IFERROR(VLOOKUP(SupSum[[#This Row],[Supervisor]],Thu_W2[],MATCH("Admin",Thu_W2[#Headers],0),0),"")</f>
        <v/>
      </c>
      <c r="BS58" s="93" t="str">
        <f>IFERROR(VLOOKUP(SupSum[[#This Row],[Supervisor]],Thu_W2[],MATCH("Team MTG",Thu_W2[#Headers],0),0),"")</f>
        <v/>
      </c>
      <c r="BU58" s="93" t="str">
        <f>IFERROR(VLOOKUP(SupSum[[#This Row],[Supervisor]],Fri_W2[],MATCH("Help Line",Fri_W2[#Headers],0),0),"")</f>
        <v/>
      </c>
      <c r="BV58" s="93" t="str">
        <f>IFERROR(VLOOKUP(SupSum[[#This Row],[Supervisor]],Fri_W2[],MATCH("RTA",Fri_W2[#Headers],0),0),"")</f>
        <v/>
      </c>
      <c r="BW58" s="93" t="str">
        <f>IFERROR(VLOOKUP(SupSum[[#This Row],[Supervisor]],Fri_W2[],MATCH("Admin",Fri_W2[#Headers],0),0),"")</f>
        <v/>
      </c>
      <c r="BX58" s="93" t="str">
        <f>IFERROR(VLOOKUP(SupSum[[#This Row],[Supervisor]],Fri_W2[],MATCH("Team MTG",Fri_W2[#Headers],0),0),"")</f>
        <v/>
      </c>
      <c r="BZ58" s="93" t="str">
        <f>IFERROR(VLOOKUP(SupSum[[#This Row],[Supervisor]],Sat_W2[],MATCH("Help Line",Sat_W2[#Headers],0),0),"")</f>
        <v/>
      </c>
      <c r="CA58" s="93" t="str">
        <f>IFERROR(VLOOKUP(SupSum[[#This Row],[Supervisor]],Sat_W2[],MATCH("RTA",Sat_W2[#Headers],0),0),"")</f>
        <v/>
      </c>
      <c r="CB58" s="93" t="str">
        <f>IFERROR(VLOOKUP(SupSum[[#This Row],[Supervisor]],Sat_W2[],MATCH("Admin",Sat_W2[#Headers],0),0),"")</f>
        <v/>
      </c>
      <c r="CC58" s="93" t="str">
        <f>IFERROR(VLOOKUP(SupSum[[#This Row],[Supervisor]],Sat_W2[],MATCH("Team MTG",Sat_W2[#Headers],0),0),"")</f>
        <v/>
      </c>
    </row>
    <row r="59" spans="2:81" x14ac:dyDescent="0.2">
      <c r="B59" s="143" t="s">
        <v>20</v>
      </c>
      <c r="C59" s="136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59" s="136">
        <f>SUM(SSum_Sun1[[#This Row],[RTA]],SSum_Mon1[[#This Row],[RTA]],SSum_Tue1[[#This Row],[RTA]],SSum_Wed1[[#This Row],[RTA]],SSum_Thu1[[#This Row],[RTA]],SSum_Fri1[[#This Row],[RTA]],SSum_Sat1[[#This Row],[RTA]])</f>
        <v>0</v>
      </c>
      <c r="E59" s="136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59" s="136">
        <f>SUM(SSum_Sun1[[#This Row],[TM]],SSum_Mon1[[#This Row],[TM]],SSum_Tue1[[#This Row],[TM]],SSum_Wed1[[#This Row],[TM]],SSum_Thu1[[#This Row],[TM]],SSum_Fri1[[#This Row],[TM]],SSum_Sat1[[#This Row],[TM]])</f>
        <v>0</v>
      </c>
      <c r="G59" s="136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59" s="136">
        <f>SUM(SSum_Sun2[[#This Row],[RTA]],SSum_Mon2[[#This Row],[RTA]],SSum_Tue2[[#This Row],[RTA]],SSum_Wed2[[#This Row],[RTA]],SSum_Thu2[[#This Row],[RTA]],SSum_Fri2[[#This Row],[RTA]],SSum_Sat2[[#This Row],[RTA]])</f>
        <v>0</v>
      </c>
      <c r="I59" s="136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59" s="136">
        <f>SUM(SSum_Sun2[[#This Row],[TM]],SSum_Mon2[[#This Row],[TM]],SSum_Tue2[[#This Row],[TM]],SSum_Wed2[[#This Row],[TM]],SSum_Thu2[[#This Row],[TM]],SSum_Fri2[[#This Row],[TM]],SSum_Sat2[[#This Row],[TM]])</f>
        <v>0</v>
      </c>
      <c r="K59" s="208">
        <v>13</v>
      </c>
      <c r="M59" s="93" t="str">
        <f>IFERROR(VLOOKUP(SupSum[[#This Row],[Supervisor]],Sun_W1[],MATCH("Help Line",Sun_W1[#Headers],0),0),"")</f>
        <v/>
      </c>
      <c r="N59" s="93" t="str">
        <f>IFERROR(VLOOKUP(SupSum[[#This Row],[Supervisor]],Sun_W1[],MATCH("RTA",Sun_W1[#Headers],0),0),"")</f>
        <v/>
      </c>
      <c r="O59" s="93" t="str">
        <f>IFERROR(VLOOKUP(SupSum[[#This Row],[Supervisor]],Sun_W1[],MATCH("Admin",Sun_W1[#Headers],0),0),"")</f>
        <v/>
      </c>
      <c r="P59" s="93" t="str">
        <f>IFERROR(VLOOKUP(SupSum[[#This Row],[Supervisor]],Sun_W1[],MATCH("Team MTG",Sun_W1[#Headers],0),0),"")</f>
        <v/>
      </c>
      <c r="R59" s="93">
        <f>IFERROR(VLOOKUP(SupSum[[#This Row],[Supervisor]],Mon_W1[],MATCH("Help Line",Mon_W1[#Headers],0),0),"")</f>
        <v>0</v>
      </c>
      <c r="S59" s="93">
        <f>IFERROR(VLOOKUP(SupSum[[#This Row],[Supervisor]],Mon_W1[],MATCH("RTA",Mon_W1[#Headers],0),0),"")</f>
        <v>0</v>
      </c>
      <c r="T59" s="93">
        <f>IFERROR(VLOOKUP(SupSum[[#This Row],[Supervisor]],Mon_W1[],MATCH("Admin",Mon_W1[#Headers],0),0),"")</f>
        <v>0</v>
      </c>
      <c r="U59" s="93" t="str">
        <f>IFERROR(VLOOKUP(SupSum[[#This Row],[Supervisor]],Mon_W1[],MATCH("Team MTG",Mon_W1[#Headers],0),0),"")</f>
        <v/>
      </c>
      <c r="W59" s="93">
        <f>IFERROR(VLOOKUP(SupSum[[#This Row],[Supervisor]],Tue_W1[],MATCH("Help Line",Tue_W1[#Headers],0),0),"")</f>
        <v>0</v>
      </c>
      <c r="X59" s="93">
        <f>IFERROR(VLOOKUP(SupSum[[#This Row],[Supervisor]],Tue_W1[],MATCH("RTA",Tue_W1[#Headers],0),0),"")</f>
        <v>0</v>
      </c>
      <c r="Y59" s="93">
        <f>IFERROR(VLOOKUP(SupSum[[#This Row],[Supervisor]],Tue_W1[],MATCH("Admin",Tue_W1[#Headers],0),0),"")</f>
        <v>0</v>
      </c>
      <c r="Z59" s="93" t="str">
        <f>IFERROR(VLOOKUP(SupSum[[#This Row],[Supervisor]],Tue_W1[],MATCH("Team MTG",Tue_W1[#Headers],0),0),"")</f>
        <v/>
      </c>
      <c r="AB59" s="93">
        <f>IFERROR(VLOOKUP(SupSum[[#This Row],[Supervisor]],Wed_W1[],MATCH("Help Line",Wed_W1[#Headers],0),0),"")</f>
        <v>0</v>
      </c>
      <c r="AC59" s="93">
        <f>IFERROR(VLOOKUP(SupSum[[#This Row],[Supervisor]],Wed_W1[],MATCH("RTA",Wed_W1[#Headers],0),0),"")</f>
        <v>0</v>
      </c>
      <c r="AD59" s="93">
        <f>IFERROR(VLOOKUP(SupSum[[#This Row],[Supervisor]],Wed_W1[],MATCH("Admin",Wed_W1[#Headers],0),0),"")</f>
        <v>0</v>
      </c>
      <c r="AE59" s="93" t="str">
        <f>IFERROR(VLOOKUP(SupSum[[#This Row],[Supervisor]],Wed_W1[],MATCH("Team MTG",Wed_W1[#Headers],0),0),"")</f>
        <v/>
      </c>
      <c r="AG59" s="93">
        <f>IFERROR(VLOOKUP(SupSum[[#This Row],[Supervisor]],Thu_W1[],MATCH("Help Line",Thu_W1[#Headers],0),0),"")</f>
        <v>0</v>
      </c>
      <c r="AH59" s="93">
        <f>IFERROR(VLOOKUP(SupSum[[#This Row],[Supervisor]],Thu_W1[],MATCH("RTA",Thu_W1[#Headers],0),0),"")</f>
        <v>0</v>
      </c>
      <c r="AI59" s="93">
        <f>IFERROR(VLOOKUP(SupSum[[#This Row],[Supervisor]],Thu_W1[],MATCH("Admin",Thu_W1[#Headers],0),0),"")</f>
        <v>0</v>
      </c>
      <c r="AJ59" s="93" t="str">
        <f>IFERROR(VLOOKUP(SupSum[[#This Row],[Supervisor]],Thu_W1[],MATCH("Team MTG",Thu_W1[#Headers],0),0),"")</f>
        <v/>
      </c>
      <c r="AL59" s="93">
        <f>IFERROR(VLOOKUP(SupSum[[#This Row],[Supervisor]],Fri_W1[],MATCH("Help Line",Fri_W1[#Headers],0),0),"")</f>
        <v>0</v>
      </c>
      <c r="AM59" s="93">
        <f>IFERROR(VLOOKUP(SupSum[[#This Row],[Supervisor]],Fri_W1[],MATCH("RTA",Fri_W1[#Headers],0),0),"")</f>
        <v>0</v>
      </c>
      <c r="AN59" s="93">
        <f>IFERROR(VLOOKUP(SupSum[[#This Row],[Supervisor]],Fri_W1[],MATCH("Admin",Fri_W1[#Headers],0),0),"")</f>
        <v>0</v>
      </c>
      <c r="AO59" s="93" t="str">
        <f>IFERROR(VLOOKUP(SupSum[[#This Row],[Supervisor]],Fri_W1[],MATCH("Team MTG",Fri_W1[#Headers],0),0),"")</f>
        <v/>
      </c>
      <c r="AQ59" s="93" t="str">
        <f>IFERROR(VLOOKUP(SupSum[[#This Row],[Supervisor]],Sat_W1[],MATCH("Help Line",Sat_W1[#Headers],0),0),"")</f>
        <v/>
      </c>
      <c r="AR59" s="93" t="str">
        <f>IFERROR(VLOOKUP(SupSum[[#This Row],[Supervisor]],Sat_W1[],MATCH("RTA",Sat_W1[#Headers],0),0),"")</f>
        <v/>
      </c>
      <c r="AS59" s="93" t="str">
        <f>IFERROR(VLOOKUP(SupSum[[#This Row],[Supervisor]],Sat_W1[],MATCH("Admin",Sat_W1[#Headers],0),0),"")</f>
        <v/>
      </c>
      <c r="AT59" s="93" t="str">
        <f>IFERROR(VLOOKUP(SupSum[[#This Row],[Supervisor]],Sat_W1[],MATCH("Team MTG",Sat_W1[#Headers],0),0),"")</f>
        <v/>
      </c>
      <c r="AV59" s="93" t="str">
        <f>IFERROR(VLOOKUP(SupSum[[#This Row],[Supervisor]],Sun_W2[],MATCH("Help Line",Sun_W2[#Headers],0),0),"")</f>
        <v/>
      </c>
      <c r="AW59" s="93" t="str">
        <f>IFERROR(VLOOKUP(SupSum[[#This Row],[Supervisor]],Sun_W2[],MATCH("RTA",Sun_W2[#Headers],0),0),"")</f>
        <v/>
      </c>
      <c r="AX59" s="93" t="str">
        <f>IFERROR(VLOOKUP(SupSum[[#This Row],[Supervisor]],Sun_W2[],MATCH("Admin",Sun_W2[#Headers],0),0),"")</f>
        <v/>
      </c>
      <c r="AY59" s="93" t="str">
        <f>IFERROR(VLOOKUP(SupSum[[#This Row],[Supervisor]],Sun_W2[],MATCH("Team MTG",Sun_W2[#Headers],0),0),"")</f>
        <v/>
      </c>
      <c r="BA59" s="93">
        <f>IFERROR(VLOOKUP(SupSum[[#This Row],[Supervisor]],Mon_W2[],MATCH("Help Line",Mon_W2[#Headers],0),0),"")</f>
        <v>0</v>
      </c>
      <c r="BB59" s="93">
        <f>IFERROR(VLOOKUP(SupSum[[#This Row],[Supervisor]],Mon_W2[],MATCH("RTA",Mon_W2[#Headers],0),0),"")</f>
        <v>0</v>
      </c>
      <c r="BC59" s="93">
        <f>IFERROR(VLOOKUP(SupSum[[#This Row],[Supervisor]],Mon_W2[],MATCH("Admin",Mon_W2[#Headers],0),0),"")</f>
        <v>0</v>
      </c>
      <c r="BD59" s="93" t="str">
        <f>IFERROR(VLOOKUP(SupSum[[#This Row],[Supervisor]],Mon_W2[],MATCH("Team MTG",Mon_W2[#Headers],0),0),"")</f>
        <v/>
      </c>
      <c r="BF59" s="93">
        <f>IFERROR(VLOOKUP(SupSum[[#This Row],[Supervisor]],Tue_W2[],MATCH("Help Line",Tue_W2[#Headers],0),0),"")</f>
        <v>0</v>
      </c>
      <c r="BG59" s="93">
        <f>IFERROR(VLOOKUP(SupSum[[#This Row],[Supervisor]],Tue_W2[],MATCH("RTA",Tue_W2[#Headers],0),0),"")</f>
        <v>0</v>
      </c>
      <c r="BH59" s="93">
        <f>IFERROR(VLOOKUP(SupSum[[#This Row],[Supervisor]],Tue_W2[],MATCH("Admin",Tue_W2[#Headers],0),0),"")</f>
        <v>0</v>
      </c>
      <c r="BI59" s="93" t="str">
        <f>IFERROR(VLOOKUP(SupSum[[#This Row],[Supervisor]],Tue_W2[],MATCH("Team MTG",Tue_W2[#Headers],0),0),"")</f>
        <v/>
      </c>
      <c r="BK59" s="93">
        <f>IFERROR(VLOOKUP(SupSum[[#This Row],[Supervisor]],Wed_W2[],MATCH("Help Line",Wed_W2[#Headers],0),0),"")</f>
        <v>0</v>
      </c>
      <c r="BL59" s="93">
        <f>IFERROR(VLOOKUP(SupSum[[#This Row],[Supervisor]],Wed_W2[],MATCH("RTA",Wed_W2[#Headers],0),0),"")</f>
        <v>0</v>
      </c>
      <c r="BM59" s="93">
        <f>IFERROR(VLOOKUP(SupSum[[#This Row],[Supervisor]],Wed_W2[],MATCH("Admin",Wed_W2[#Headers],0),0),"")</f>
        <v>0</v>
      </c>
      <c r="BN59" s="93" t="str">
        <f>IFERROR(VLOOKUP(SupSum[[#This Row],[Supervisor]],Wed_W2[],MATCH("Team MTG",Wed_W2[#Headers],0),0),"")</f>
        <v/>
      </c>
      <c r="BP59" s="93">
        <f>IFERROR(VLOOKUP(SupSum[[#This Row],[Supervisor]],Thu_W2[],MATCH("Help Line",Thu_W2[#Headers],0),0),"")</f>
        <v>0</v>
      </c>
      <c r="BQ59" s="93">
        <f>IFERROR(VLOOKUP(SupSum[[#This Row],[Supervisor]],Thu_W2[],MATCH("RTA",Thu_W2[#Headers],0),0),"")</f>
        <v>0</v>
      </c>
      <c r="BR59" s="93">
        <f>IFERROR(VLOOKUP(SupSum[[#This Row],[Supervisor]],Thu_W2[],MATCH("Admin",Thu_W2[#Headers],0),0),"")</f>
        <v>0</v>
      </c>
      <c r="BS59" s="93" t="str">
        <f>IFERROR(VLOOKUP(SupSum[[#This Row],[Supervisor]],Thu_W2[],MATCH("Team MTG",Thu_W2[#Headers],0),0),"")</f>
        <v/>
      </c>
      <c r="BU59" s="93">
        <f>IFERROR(VLOOKUP(SupSum[[#This Row],[Supervisor]],Fri_W2[],MATCH("Help Line",Fri_W2[#Headers],0),0),"")</f>
        <v>0</v>
      </c>
      <c r="BV59" s="93">
        <f>IFERROR(VLOOKUP(SupSum[[#This Row],[Supervisor]],Fri_W2[],MATCH("RTA",Fri_W2[#Headers],0),0),"")</f>
        <v>0</v>
      </c>
      <c r="BW59" s="93">
        <f>IFERROR(VLOOKUP(SupSum[[#This Row],[Supervisor]],Fri_W2[],MATCH("Admin",Fri_W2[#Headers],0),0),"")</f>
        <v>0</v>
      </c>
      <c r="BX59" s="93" t="str">
        <f>IFERROR(VLOOKUP(SupSum[[#This Row],[Supervisor]],Fri_W2[],MATCH("Team MTG",Fri_W2[#Headers],0),0),"")</f>
        <v/>
      </c>
      <c r="BZ59" s="93" t="str">
        <f>IFERROR(VLOOKUP(SupSum[[#This Row],[Supervisor]],Sat_W2[],MATCH("Help Line",Sat_W2[#Headers],0),0),"")</f>
        <v/>
      </c>
      <c r="CA59" s="93" t="str">
        <f>IFERROR(VLOOKUP(SupSum[[#This Row],[Supervisor]],Sat_W2[],MATCH("RTA",Sat_W2[#Headers],0),0),"")</f>
        <v/>
      </c>
      <c r="CB59" s="93" t="str">
        <f>IFERROR(VLOOKUP(SupSum[[#This Row],[Supervisor]],Sat_W2[],MATCH("Admin",Sat_W2[#Headers],0),0),"")</f>
        <v/>
      </c>
      <c r="CC59" s="93" t="str">
        <f>IFERROR(VLOOKUP(SupSum[[#This Row],[Supervisor]],Sat_W2[],MATCH("Team MTG",Sat_W2[#Headers],0),0),"")</f>
        <v/>
      </c>
    </row>
    <row r="60" spans="2:81" x14ac:dyDescent="0.2">
      <c r="B60" s="6" t="s">
        <v>239</v>
      </c>
      <c r="C60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60" s="93">
        <f>SUM(SSum_Sun1[[#This Row],[RTA]],SSum_Mon1[[#This Row],[RTA]],SSum_Tue1[[#This Row],[RTA]],SSum_Wed1[[#This Row],[RTA]],SSum_Thu1[[#This Row],[RTA]],SSum_Fri1[[#This Row],[RTA]],SSum_Sat1[[#This Row],[RTA]])</f>
        <v>0</v>
      </c>
      <c r="E60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60" s="93">
        <f>SUM(SSum_Sun1[[#This Row],[TM]],SSum_Mon1[[#This Row],[TM]],SSum_Tue1[[#This Row],[TM]],SSum_Wed1[[#This Row],[TM]],SSum_Thu1[[#This Row],[TM]],SSum_Fri1[[#This Row],[TM]],SSum_Sat1[[#This Row],[TM]])</f>
        <v>0</v>
      </c>
      <c r="G60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60" s="93">
        <f>SUM(SSum_Sun2[[#This Row],[RTA]],SSum_Mon2[[#This Row],[RTA]],SSum_Tue2[[#This Row],[RTA]],SSum_Wed2[[#This Row],[RTA]],SSum_Thu2[[#This Row],[RTA]],SSum_Fri2[[#This Row],[RTA]],SSum_Sat2[[#This Row],[RTA]])</f>
        <v>0</v>
      </c>
      <c r="I60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60" s="93">
        <f>SUM(SSum_Sun2[[#This Row],[TM]],SSum_Mon2[[#This Row],[TM]],SSum_Tue2[[#This Row],[TM]],SSum_Wed2[[#This Row],[TM]],SSum_Thu2[[#This Row],[TM]],SSum_Fri2[[#This Row],[TM]],SSum_Sat2[[#This Row],[TM]])</f>
        <v>0</v>
      </c>
      <c r="K60" s="208">
        <v>20</v>
      </c>
      <c r="M60" s="93" t="str">
        <f>IFERROR(VLOOKUP(SupSum[[#This Row],[Supervisor]],Sun_W1[],MATCH("Help Line",Sun_W1[#Headers],0),0),"")</f>
        <v/>
      </c>
      <c r="N60" s="93" t="str">
        <f>IFERROR(VLOOKUP(SupSum[[#This Row],[Supervisor]],Sun_W1[],MATCH("RTA",Sun_W1[#Headers],0),0),"")</f>
        <v/>
      </c>
      <c r="O60" s="93" t="str">
        <f>IFERROR(VLOOKUP(SupSum[[#This Row],[Supervisor]],Sun_W1[],MATCH("Admin",Sun_W1[#Headers],0),0),"")</f>
        <v/>
      </c>
      <c r="P60" s="93" t="str">
        <f>IFERROR(VLOOKUP(SupSum[[#This Row],[Supervisor]],Sun_W1[],MATCH("Team MTG",Sun_W1[#Headers],0),0),"")</f>
        <v/>
      </c>
      <c r="R60" s="93" t="str">
        <f>IFERROR(VLOOKUP(SupSum[[#This Row],[Supervisor]],Mon_W1[],MATCH("Help Line",Mon_W1[#Headers],0),0),"")</f>
        <v/>
      </c>
      <c r="S60" s="93" t="str">
        <f>IFERROR(VLOOKUP(SupSum[[#This Row],[Supervisor]],Mon_W1[],MATCH("RTA",Mon_W1[#Headers],0),0),"")</f>
        <v/>
      </c>
      <c r="T60" s="93" t="str">
        <f>IFERROR(VLOOKUP(SupSum[[#This Row],[Supervisor]],Mon_W1[],MATCH("Admin",Mon_W1[#Headers],0),0),"")</f>
        <v/>
      </c>
      <c r="U60" s="93" t="str">
        <f>IFERROR(VLOOKUP(SupSum[[#This Row],[Supervisor]],Mon_W1[],MATCH("Team MTG",Mon_W1[#Headers],0),0),"")</f>
        <v/>
      </c>
      <c r="W60" s="93" t="str">
        <f>IFERROR(VLOOKUP(SupSum[[#This Row],[Supervisor]],Tue_W1[],MATCH("Help Line",Tue_W1[#Headers],0),0),"")</f>
        <v/>
      </c>
      <c r="X60" s="93" t="str">
        <f>IFERROR(VLOOKUP(SupSum[[#This Row],[Supervisor]],Tue_W1[],MATCH("RTA",Tue_W1[#Headers],0),0),"")</f>
        <v/>
      </c>
      <c r="Y60" s="93" t="str">
        <f>IFERROR(VLOOKUP(SupSum[[#This Row],[Supervisor]],Tue_W1[],MATCH("Admin",Tue_W1[#Headers],0),0),"")</f>
        <v/>
      </c>
      <c r="Z60" s="93" t="str">
        <f>IFERROR(VLOOKUP(SupSum[[#This Row],[Supervisor]],Tue_W1[],MATCH("Team MTG",Tue_W1[#Headers],0),0),"")</f>
        <v/>
      </c>
      <c r="AB60" s="93" t="str">
        <f>IFERROR(VLOOKUP(SupSum[[#This Row],[Supervisor]],Wed_W1[],MATCH("Help Line",Wed_W1[#Headers],0),0),"")</f>
        <v/>
      </c>
      <c r="AC60" s="93" t="str">
        <f>IFERROR(VLOOKUP(SupSum[[#This Row],[Supervisor]],Wed_W1[],MATCH("RTA",Wed_W1[#Headers],0),0),"")</f>
        <v/>
      </c>
      <c r="AD60" s="93" t="str">
        <f>IFERROR(VLOOKUP(SupSum[[#This Row],[Supervisor]],Wed_W1[],MATCH("Admin",Wed_W1[#Headers],0),0),"")</f>
        <v/>
      </c>
      <c r="AE60" s="93" t="str">
        <f>IFERROR(VLOOKUP(SupSum[[#This Row],[Supervisor]],Wed_W1[],MATCH("Team MTG",Wed_W1[#Headers],0),0),"")</f>
        <v/>
      </c>
      <c r="AG60" s="93" t="str">
        <f>IFERROR(VLOOKUP(SupSum[[#This Row],[Supervisor]],Thu_W1[],MATCH("Help Line",Thu_W1[#Headers],0),0),"")</f>
        <v/>
      </c>
      <c r="AH60" s="93" t="str">
        <f>IFERROR(VLOOKUP(SupSum[[#This Row],[Supervisor]],Thu_W1[],MATCH("RTA",Thu_W1[#Headers],0),0),"")</f>
        <v/>
      </c>
      <c r="AI60" s="93" t="str">
        <f>IFERROR(VLOOKUP(SupSum[[#This Row],[Supervisor]],Thu_W1[],MATCH("Admin",Thu_W1[#Headers],0),0),"")</f>
        <v/>
      </c>
      <c r="AJ60" s="93" t="str">
        <f>IFERROR(VLOOKUP(SupSum[[#This Row],[Supervisor]],Thu_W1[],MATCH("Team MTG",Thu_W1[#Headers],0),0),"")</f>
        <v/>
      </c>
      <c r="AL60" s="93" t="str">
        <f>IFERROR(VLOOKUP(SupSum[[#This Row],[Supervisor]],Fri_W1[],MATCH("Help Line",Fri_W1[#Headers],0),0),"")</f>
        <v/>
      </c>
      <c r="AM60" s="93" t="str">
        <f>IFERROR(VLOOKUP(SupSum[[#This Row],[Supervisor]],Fri_W1[],MATCH("RTA",Fri_W1[#Headers],0),0),"")</f>
        <v/>
      </c>
      <c r="AN60" s="93" t="str">
        <f>IFERROR(VLOOKUP(SupSum[[#This Row],[Supervisor]],Fri_W1[],MATCH("Admin",Fri_W1[#Headers],0),0),"")</f>
        <v/>
      </c>
      <c r="AO60" s="93" t="str">
        <f>IFERROR(VLOOKUP(SupSum[[#This Row],[Supervisor]],Fri_W1[],MATCH("Team MTG",Fri_W1[#Headers],0),0),"")</f>
        <v/>
      </c>
      <c r="AQ60" s="93" t="str">
        <f>IFERROR(VLOOKUP(SupSum[[#This Row],[Supervisor]],Sat_W1[],MATCH("Help Line",Sat_W1[#Headers],0),0),"")</f>
        <v/>
      </c>
      <c r="AR60" s="93" t="str">
        <f>IFERROR(VLOOKUP(SupSum[[#This Row],[Supervisor]],Sat_W1[],MATCH("RTA",Sat_W1[#Headers],0),0),"")</f>
        <v/>
      </c>
      <c r="AS60" s="93" t="str">
        <f>IFERROR(VLOOKUP(SupSum[[#This Row],[Supervisor]],Sat_W1[],MATCH("Admin",Sat_W1[#Headers],0),0),"")</f>
        <v/>
      </c>
      <c r="AT60" s="93" t="str">
        <f>IFERROR(VLOOKUP(SupSum[[#This Row],[Supervisor]],Sat_W1[],MATCH("Team MTG",Sat_W1[#Headers],0),0),"")</f>
        <v/>
      </c>
      <c r="AV60" s="93" t="str">
        <f>IFERROR(VLOOKUP(SupSum[[#This Row],[Supervisor]],Sun_W2[],MATCH("Help Line",Sun_W2[#Headers],0),0),"")</f>
        <v/>
      </c>
      <c r="AW60" s="93" t="str">
        <f>IFERROR(VLOOKUP(SupSum[[#This Row],[Supervisor]],Sun_W2[],MATCH("RTA",Sun_W2[#Headers],0),0),"")</f>
        <v/>
      </c>
      <c r="AX60" s="93" t="str">
        <f>IFERROR(VLOOKUP(SupSum[[#This Row],[Supervisor]],Sun_W2[],MATCH("Admin",Sun_W2[#Headers],0),0),"")</f>
        <v/>
      </c>
      <c r="AY60" s="93" t="str">
        <f>IFERROR(VLOOKUP(SupSum[[#This Row],[Supervisor]],Sun_W2[],MATCH("Team MTG",Sun_W2[#Headers],0),0),"")</f>
        <v/>
      </c>
      <c r="BA60" s="93" t="str">
        <f>IFERROR(VLOOKUP(SupSum[[#This Row],[Supervisor]],Mon_W2[],MATCH("Help Line",Mon_W2[#Headers],0),0),"")</f>
        <v/>
      </c>
      <c r="BB60" s="93" t="str">
        <f>IFERROR(VLOOKUP(SupSum[[#This Row],[Supervisor]],Mon_W2[],MATCH("RTA",Mon_W2[#Headers],0),0),"")</f>
        <v/>
      </c>
      <c r="BC60" s="93" t="str">
        <f>IFERROR(VLOOKUP(SupSum[[#This Row],[Supervisor]],Mon_W2[],MATCH("Admin",Mon_W2[#Headers],0),0),"")</f>
        <v/>
      </c>
      <c r="BD60" s="93" t="str">
        <f>IFERROR(VLOOKUP(SupSum[[#This Row],[Supervisor]],Mon_W2[],MATCH("Team MTG",Mon_W2[#Headers],0),0),"")</f>
        <v/>
      </c>
      <c r="BF60" s="93" t="str">
        <f>IFERROR(VLOOKUP(SupSum[[#This Row],[Supervisor]],Tue_W2[],MATCH("Help Line",Tue_W2[#Headers],0),0),"")</f>
        <v/>
      </c>
      <c r="BG60" s="93" t="str">
        <f>IFERROR(VLOOKUP(SupSum[[#This Row],[Supervisor]],Tue_W2[],MATCH("RTA",Tue_W2[#Headers],0),0),"")</f>
        <v/>
      </c>
      <c r="BH60" s="93" t="str">
        <f>IFERROR(VLOOKUP(SupSum[[#This Row],[Supervisor]],Tue_W2[],MATCH("Admin",Tue_W2[#Headers],0),0),"")</f>
        <v/>
      </c>
      <c r="BI60" s="93" t="str">
        <f>IFERROR(VLOOKUP(SupSum[[#This Row],[Supervisor]],Tue_W2[],MATCH("Team MTG",Tue_W2[#Headers],0),0),"")</f>
        <v/>
      </c>
      <c r="BK60" s="93" t="str">
        <f>IFERROR(VLOOKUP(SupSum[[#This Row],[Supervisor]],Wed_W2[],MATCH("Help Line",Wed_W2[#Headers],0),0),"")</f>
        <v/>
      </c>
      <c r="BL60" s="93" t="str">
        <f>IFERROR(VLOOKUP(SupSum[[#This Row],[Supervisor]],Wed_W2[],MATCH("RTA",Wed_W2[#Headers],0),0),"")</f>
        <v/>
      </c>
      <c r="BM60" s="93" t="str">
        <f>IFERROR(VLOOKUP(SupSum[[#This Row],[Supervisor]],Wed_W2[],MATCH("Admin",Wed_W2[#Headers],0),0),"")</f>
        <v/>
      </c>
      <c r="BN60" s="93" t="str">
        <f>IFERROR(VLOOKUP(SupSum[[#This Row],[Supervisor]],Wed_W2[],MATCH("Team MTG",Wed_W2[#Headers],0),0),"")</f>
        <v/>
      </c>
      <c r="BP60" s="93" t="str">
        <f>IFERROR(VLOOKUP(SupSum[[#This Row],[Supervisor]],Thu_W2[],MATCH("Help Line",Thu_W2[#Headers],0),0),"")</f>
        <v/>
      </c>
      <c r="BQ60" s="93" t="str">
        <f>IFERROR(VLOOKUP(SupSum[[#This Row],[Supervisor]],Thu_W2[],MATCH("RTA",Thu_W2[#Headers],0),0),"")</f>
        <v/>
      </c>
      <c r="BR60" s="93" t="str">
        <f>IFERROR(VLOOKUP(SupSum[[#This Row],[Supervisor]],Thu_W2[],MATCH("Admin",Thu_W2[#Headers],0),0),"")</f>
        <v/>
      </c>
      <c r="BS60" s="93" t="str">
        <f>IFERROR(VLOOKUP(SupSum[[#This Row],[Supervisor]],Thu_W2[],MATCH("Team MTG",Thu_W2[#Headers],0),0),"")</f>
        <v/>
      </c>
      <c r="BU60" s="93" t="str">
        <f>IFERROR(VLOOKUP(SupSum[[#This Row],[Supervisor]],Fri_W2[],MATCH("Help Line",Fri_W2[#Headers],0),0),"")</f>
        <v/>
      </c>
      <c r="BV60" s="93" t="str">
        <f>IFERROR(VLOOKUP(SupSum[[#This Row],[Supervisor]],Fri_W2[],MATCH("RTA",Fri_W2[#Headers],0),0),"")</f>
        <v/>
      </c>
      <c r="BW60" s="93" t="str">
        <f>IFERROR(VLOOKUP(SupSum[[#This Row],[Supervisor]],Fri_W2[],MATCH("Admin",Fri_W2[#Headers],0),0),"")</f>
        <v/>
      </c>
      <c r="BX60" s="93" t="str">
        <f>IFERROR(VLOOKUP(SupSum[[#This Row],[Supervisor]],Fri_W2[],MATCH("Team MTG",Fri_W2[#Headers],0),0),"")</f>
        <v/>
      </c>
      <c r="BZ60" s="93" t="str">
        <f>IFERROR(VLOOKUP(SupSum[[#This Row],[Supervisor]],Sat_W2[],MATCH("Help Line",Sat_W2[#Headers],0),0),"")</f>
        <v/>
      </c>
      <c r="CA60" s="93" t="str">
        <f>IFERROR(VLOOKUP(SupSum[[#This Row],[Supervisor]],Sat_W2[],MATCH("RTA",Sat_W2[#Headers],0),0),"")</f>
        <v/>
      </c>
      <c r="CB60" s="93" t="str">
        <f>IFERROR(VLOOKUP(SupSum[[#This Row],[Supervisor]],Sat_W2[],MATCH("Admin",Sat_W2[#Headers],0),0),"")</f>
        <v/>
      </c>
      <c r="CC60" s="93" t="str">
        <f>IFERROR(VLOOKUP(SupSum[[#This Row],[Supervisor]],Sat_W2[],MATCH("Team MTG",Sat_W2[#Headers],0),0),"")</f>
        <v/>
      </c>
    </row>
    <row r="61" spans="2:81" x14ac:dyDescent="0.2">
      <c r="B61" s="205" t="s">
        <v>68</v>
      </c>
      <c r="C61" s="206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61" s="206">
        <f>SUM(SSum_Sun1[[#This Row],[RTA]],SSum_Mon1[[#This Row],[RTA]],SSum_Tue1[[#This Row],[RTA]],SSum_Wed1[[#This Row],[RTA]],SSum_Thu1[[#This Row],[RTA]],SSum_Fri1[[#This Row],[RTA]],SSum_Sat1[[#This Row],[RTA]])</f>
        <v>0</v>
      </c>
      <c r="E61" s="206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61" s="206">
        <f>SUM(SSum_Sun1[[#This Row],[TM]],SSum_Mon1[[#This Row],[TM]],SSum_Tue1[[#This Row],[TM]],SSum_Wed1[[#This Row],[TM]],SSum_Thu1[[#This Row],[TM]],SSum_Fri1[[#This Row],[TM]],SSum_Sat1[[#This Row],[TM]])</f>
        <v>0</v>
      </c>
      <c r="G61" s="206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61" s="206">
        <f>SUM(SSum_Sun2[[#This Row],[RTA]],SSum_Mon2[[#This Row],[RTA]],SSum_Tue2[[#This Row],[RTA]],SSum_Wed2[[#This Row],[RTA]],SSum_Thu2[[#This Row],[RTA]],SSum_Fri2[[#This Row],[RTA]],SSum_Sat2[[#This Row],[RTA]])</f>
        <v>0</v>
      </c>
      <c r="I61" s="206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61" s="206">
        <f>SUM(SSum_Sun2[[#This Row],[TM]],SSum_Mon2[[#This Row],[TM]],SSum_Tue2[[#This Row],[TM]],SSum_Wed2[[#This Row],[TM]],SSum_Thu2[[#This Row],[TM]],SSum_Fri2[[#This Row],[TM]],SSum_Sat2[[#This Row],[TM]])</f>
        <v>0</v>
      </c>
      <c r="K61" s="205"/>
      <c r="M61" s="93" t="str">
        <f>IFERROR(VLOOKUP(SupSum[[#This Row],[Supervisor]],Sun_W1[],MATCH("Help Line",Sun_W1[#Headers],0),0),"")</f>
        <v/>
      </c>
      <c r="N61" s="93" t="str">
        <f>IFERROR(VLOOKUP(SupSum[[#This Row],[Supervisor]],Sun_W1[],MATCH("RTA",Sun_W1[#Headers],0),0),"")</f>
        <v/>
      </c>
      <c r="O61" s="93" t="str">
        <f>IFERROR(VLOOKUP(SupSum[[#This Row],[Supervisor]],Sun_W1[],MATCH("Admin",Sun_W1[#Headers],0),0),"")</f>
        <v/>
      </c>
      <c r="P61" s="93" t="str">
        <f>IFERROR(VLOOKUP(SupSum[[#This Row],[Supervisor]],Sun_W1[],MATCH("Team MTG",Sun_W1[#Headers],0),0),"")</f>
        <v/>
      </c>
      <c r="R61" s="93" t="str">
        <f>IFERROR(VLOOKUP(SupSum[[#This Row],[Supervisor]],Mon_W1[],MATCH("Help Line",Mon_W1[#Headers],0),0),"")</f>
        <v/>
      </c>
      <c r="S61" s="93" t="str">
        <f>IFERROR(VLOOKUP(SupSum[[#This Row],[Supervisor]],Mon_W1[],MATCH("RTA",Mon_W1[#Headers],0),0),"")</f>
        <v/>
      </c>
      <c r="T61" s="93" t="str">
        <f>IFERROR(VLOOKUP(SupSum[[#This Row],[Supervisor]],Mon_W1[],MATCH("Admin",Mon_W1[#Headers],0),0),"")</f>
        <v/>
      </c>
      <c r="U61" s="93" t="str">
        <f>IFERROR(VLOOKUP(SupSum[[#This Row],[Supervisor]],Mon_W1[],MATCH("Team MTG",Mon_W1[#Headers],0),0),"")</f>
        <v/>
      </c>
      <c r="W61" s="93" t="str">
        <f>IFERROR(VLOOKUP(SupSum[[#This Row],[Supervisor]],Tue_W1[],MATCH("Help Line",Tue_W1[#Headers],0),0),"")</f>
        <v/>
      </c>
      <c r="X61" s="93" t="str">
        <f>IFERROR(VLOOKUP(SupSum[[#This Row],[Supervisor]],Tue_W1[],MATCH("RTA",Tue_W1[#Headers],0),0),"")</f>
        <v/>
      </c>
      <c r="Y61" s="93" t="str">
        <f>IFERROR(VLOOKUP(SupSum[[#This Row],[Supervisor]],Tue_W1[],MATCH("Admin",Tue_W1[#Headers],0),0),"")</f>
        <v/>
      </c>
      <c r="Z61" s="93" t="str">
        <f>IFERROR(VLOOKUP(SupSum[[#This Row],[Supervisor]],Tue_W1[],MATCH("Team MTG",Tue_W1[#Headers],0),0),"")</f>
        <v/>
      </c>
      <c r="AB61" s="93" t="str">
        <f>IFERROR(VLOOKUP(SupSum[[#This Row],[Supervisor]],Wed_W1[],MATCH("Help Line",Wed_W1[#Headers],0),0),"")</f>
        <v/>
      </c>
      <c r="AC61" s="93" t="str">
        <f>IFERROR(VLOOKUP(SupSum[[#This Row],[Supervisor]],Wed_W1[],MATCH("RTA",Wed_W1[#Headers],0),0),"")</f>
        <v/>
      </c>
      <c r="AD61" s="93" t="str">
        <f>IFERROR(VLOOKUP(SupSum[[#This Row],[Supervisor]],Wed_W1[],MATCH("Admin",Wed_W1[#Headers],0),0),"")</f>
        <v/>
      </c>
      <c r="AE61" s="93" t="str">
        <f>IFERROR(VLOOKUP(SupSum[[#This Row],[Supervisor]],Wed_W1[],MATCH("Team MTG",Wed_W1[#Headers],0),0),"")</f>
        <v/>
      </c>
      <c r="AG61" s="93" t="str">
        <f>IFERROR(VLOOKUP(SupSum[[#This Row],[Supervisor]],Thu_W1[],MATCH("Help Line",Thu_W1[#Headers],0),0),"")</f>
        <v/>
      </c>
      <c r="AH61" s="93" t="str">
        <f>IFERROR(VLOOKUP(SupSum[[#This Row],[Supervisor]],Thu_W1[],MATCH("RTA",Thu_W1[#Headers],0),0),"")</f>
        <v/>
      </c>
      <c r="AI61" s="93" t="str">
        <f>IFERROR(VLOOKUP(SupSum[[#This Row],[Supervisor]],Thu_W1[],MATCH("Admin",Thu_W1[#Headers],0),0),"")</f>
        <v/>
      </c>
      <c r="AJ61" s="93" t="str">
        <f>IFERROR(VLOOKUP(SupSum[[#This Row],[Supervisor]],Thu_W1[],MATCH("Team MTG",Thu_W1[#Headers],0),0),"")</f>
        <v/>
      </c>
      <c r="AL61" s="93" t="str">
        <f>IFERROR(VLOOKUP(SupSum[[#This Row],[Supervisor]],Fri_W1[],MATCH("Help Line",Fri_W1[#Headers],0),0),"")</f>
        <v/>
      </c>
      <c r="AM61" s="93" t="str">
        <f>IFERROR(VLOOKUP(SupSum[[#This Row],[Supervisor]],Fri_W1[],MATCH("RTA",Fri_W1[#Headers],0),0),"")</f>
        <v/>
      </c>
      <c r="AN61" s="93" t="str">
        <f>IFERROR(VLOOKUP(SupSum[[#This Row],[Supervisor]],Fri_W1[],MATCH("Admin",Fri_W1[#Headers],0),0),"")</f>
        <v/>
      </c>
      <c r="AO61" s="93" t="str">
        <f>IFERROR(VLOOKUP(SupSum[[#This Row],[Supervisor]],Fri_W1[],MATCH("Team MTG",Fri_W1[#Headers],0),0),"")</f>
        <v/>
      </c>
      <c r="AQ61" s="93" t="str">
        <f>IFERROR(VLOOKUP(SupSum[[#This Row],[Supervisor]],Sat_W1[],MATCH("Help Line",Sat_W1[#Headers],0),0),"")</f>
        <v/>
      </c>
      <c r="AR61" s="93" t="str">
        <f>IFERROR(VLOOKUP(SupSum[[#This Row],[Supervisor]],Sat_W1[],MATCH("RTA",Sat_W1[#Headers],0),0),"")</f>
        <v/>
      </c>
      <c r="AS61" s="93" t="str">
        <f>IFERROR(VLOOKUP(SupSum[[#This Row],[Supervisor]],Sat_W1[],MATCH("Admin",Sat_W1[#Headers],0),0),"")</f>
        <v/>
      </c>
      <c r="AT61" s="93" t="str">
        <f>IFERROR(VLOOKUP(SupSum[[#This Row],[Supervisor]],Sat_W1[],MATCH("Team MTG",Sat_W1[#Headers],0),0),"")</f>
        <v/>
      </c>
      <c r="AV61" s="93" t="str">
        <f>IFERROR(VLOOKUP(SupSum[[#This Row],[Supervisor]],Sun_W2[],MATCH("Help Line",Sun_W2[#Headers],0),0),"")</f>
        <v/>
      </c>
      <c r="AW61" s="93" t="str">
        <f>IFERROR(VLOOKUP(SupSum[[#This Row],[Supervisor]],Sun_W2[],MATCH("RTA",Sun_W2[#Headers],0),0),"")</f>
        <v/>
      </c>
      <c r="AX61" s="93" t="str">
        <f>IFERROR(VLOOKUP(SupSum[[#This Row],[Supervisor]],Sun_W2[],MATCH("Admin",Sun_W2[#Headers],0),0),"")</f>
        <v/>
      </c>
      <c r="AY61" s="93" t="str">
        <f>IFERROR(VLOOKUP(SupSum[[#This Row],[Supervisor]],Sun_W2[],MATCH("Team MTG",Sun_W2[#Headers],0),0),"")</f>
        <v/>
      </c>
      <c r="BA61" s="93" t="str">
        <f>IFERROR(VLOOKUP(SupSum[[#This Row],[Supervisor]],Mon_W2[],MATCH("Help Line",Mon_W2[#Headers],0),0),"")</f>
        <v/>
      </c>
      <c r="BB61" s="93" t="str">
        <f>IFERROR(VLOOKUP(SupSum[[#This Row],[Supervisor]],Mon_W2[],MATCH("RTA",Mon_W2[#Headers],0),0),"")</f>
        <v/>
      </c>
      <c r="BC61" s="93" t="str">
        <f>IFERROR(VLOOKUP(SupSum[[#This Row],[Supervisor]],Mon_W2[],MATCH("Admin",Mon_W2[#Headers],0),0),"")</f>
        <v/>
      </c>
      <c r="BD61" s="93" t="str">
        <f>IFERROR(VLOOKUP(SupSum[[#This Row],[Supervisor]],Mon_W2[],MATCH("Team MTG",Mon_W2[#Headers],0),0),"")</f>
        <v/>
      </c>
      <c r="BF61" s="93" t="str">
        <f>IFERROR(VLOOKUP(SupSum[[#This Row],[Supervisor]],Tue_W2[],MATCH("Help Line",Tue_W2[#Headers],0),0),"")</f>
        <v/>
      </c>
      <c r="BG61" s="93" t="str">
        <f>IFERROR(VLOOKUP(SupSum[[#This Row],[Supervisor]],Tue_W2[],MATCH("RTA",Tue_W2[#Headers],0),0),"")</f>
        <v/>
      </c>
      <c r="BH61" s="93" t="str">
        <f>IFERROR(VLOOKUP(SupSum[[#This Row],[Supervisor]],Tue_W2[],MATCH("Admin",Tue_W2[#Headers],0),0),"")</f>
        <v/>
      </c>
      <c r="BI61" s="93" t="str">
        <f>IFERROR(VLOOKUP(SupSum[[#This Row],[Supervisor]],Tue_W2[],MATCH("Team MTG",Tue_W2[#Headers],0),0),"")</f>
        <v/>
      </c>
      <c r="BK61" s="93" t="str">
        <f>IFERROR(VLOOKUP(SupSum[[#This Row],[Supervisor]],Wed_W2[],MATCH("Help Line",Wed_W2[#Headers],0),0),"")</f>
        <v/>
      </c>
      <c r="BL61" s="93" t="str">
        <f>IFERROR(VLOOKUP(SupSum[[#This Row],[Supervisor]],Wed_W2[],MATCH("RTA",Wed_W2[#Headers],0),0),"")</f>
        <v/>
      </c>
      <c r="BM61" s="93" t="str">
        <f>IFERROR(VLOOKUP(SupSum[[#This Row],[Supervisor]],Wed_W2[],MATCH("Admin",Wed_W2[#Headers],0),0),"")</f>
        <v/>
      </c>
      <c r="BN61" s="93" t="str">
        <f>IFERROR(VLOOKUP(SupSum[[#This Row],[Supervisor]],Wed_W2[],MATCH("Team MTG",Wed_W2[#Headers],0),0),"")</f>
        <v/>
      </c>
      <c r="BP61" s="93" t="str">
        <f>IFERROR(VLOOKUP(SupSum[[#This Row],[Supervisor]],Thu_W2[],MATCH("Help Line",Thu_W2[#Headers],0),0),"")</f>
        <v/>
      </c>
      <c r="BQ61" s="93" t="str">
        <f>IFERROR(VLOOKUP(SupSum[[#This Row],[Supervisor]],Thu_W2[],MATCH("RTA",Thu_W2[#Headers],0),0),"")</f>
        <v/>
      </c>
      <c r="BR61" s="93" t="str">
        <f>IFERROR(VLOOKUP(SupSum[[#This Row],[Supervisor]],Thu_W2[],MATCH("Admin",Thu_W2[#Headers],0),0),"")</f>
        <v/>
      </c>
      <c r="BS61" s="93" t="str">
        <f>IFERROR(VLOOKUP(SupSum[[#This Row],[Supervisor]],Thu_W2[],MATCH("Team MTG",Thu_W2[#Headers],0),0),"")</f>
        <v/>
      </c>
      <c r="BU61" s="93" t="str">
        <f>IFERROR(VLOOKUP(SupSum[[#This Row],[Supervisor]],Fri_W2[],MATCH("Help Line",Fri_W2[#Headers],0),0),"")</f>
        <v/>
      </c>
      <c r="BV61" s="93" t="str">
        <f>IFERROR(VLOOKUP(SupSum[[#This Row],[Supervisor]],Fri_W2[],MATCH("RTA",Fri_W2[#Headers],0),0),"")</f>
        <v/>
      </c>
      <c r="BW61" s="93" t="str">
        <f>IFERROR(VLOOKUP(SupSum[[#This Row],[Supervisor]],Fri_W2[],MATCH("Admin",Fri_W2[#Headers],0),0),"")</f>
        <v/>
      </c>
      <c r="BX61" s="93" t="str">
        <f>IFERROR(VLOOKUP(SupSum[[#This Row],[Supervisor]],Fri_W2[],MATCH("Team MTG",Fri_W2[#Headers],0),0),"")</f>
        <v/>
      </c>
      <c r="BZ61" s="93" t="str">
        <f>IFERROR(VLOOKUP(SupSum[[#This Row],[Supervisor]],Sat_W2[],MATCH("Help Line",Sat_W2[#Headers],0),0),"")</f>
        <v/>
      </c>
      <c r="CA61" s="93" t="str">
        <f>IFERROR(VLOOKUP(SupSum[[#This Row],[Supervisor]],Sat_W2[],MATCH("RTA",Sat_W2[#Headers],0),0),"")</f>
        <v/>
      </c>
      <c r="CB61" s="93" t="str">
        <f>IFERROR(VLOOKUP(SupSum[[#This Row],[Supervisor]],Sat_W2[],MATCH("Admin",Sat_W2[#Headers],0),0),"")</f>
        <v/>
      </c>
      <c r="CC61" s="93" t="str">
        <f>IFERROR(VLOOKUP(SupSum[[#This Row],[Supervisor]],Sat_W2[],MATCH("Team MTG",Sat_W2[#Headers],0),0),"")</f>
        <v/>
      </c>
    </row>
    <row r="62" spans="2:81" x14ac:dyDescent="0.2">
      <c r="B62" s="205" t="s">
        <v>40</v>
      </c>
      <c r="C62" s="206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62" s="206">
        <f>SUM(SSum_Sun1[[#This Row],[RTA]],SSum_Mon1[[#This Row],[RTA]],SSum_Tue1[[#This Row],[RTA]],SSum_Wed1[[#This Row],[RTA]],SSum_Thu1[[#This Row],[RTA]],SSum_Fri1[[#This Row],[RTA]],SSum_Sat1[[#This Row],[RTA]])</f>
        <v>0</v>
      </c>
      <c r="E62" s="206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62" s="206">
        <f>SUM(SSum_Sun1[[#This Row],[TM]],SSum_Mon1[[#This Row],[TM]],SSum_Tue1[[#This Row],[TM]],SSum_Wed1[[#This Row],[TM]],SSum_Thu1[[#This Row],[TM]],SSum_Fri1[[#This Row],[TM]],SSum_Sat1[[#This Row],[TM]])</f>
        <v>0</v>
      </c>
      <c r="G62" s="206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62" s="206">
        <f>SUM(SSum_Sun2[[#This Row],[RTA]],SSum_Mon2[[#This Row],[RTA]],SSum_Tue2[[#This Row],[RTA]],SSum_Wed2[[#This Row],[RTA]],SSum_Thu2[[#This Row],[RTA]],SSum_Fri2[[#This Row],[RTA]],SSum_Sat2[[#This Row],[RTA]])</f>
        <v>0</v>
      </c>
      <c r="I62" s="206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62" s="206">
        <f>SUM(SSum_Sun2[[#This Row],[TM]],SSum_Mon2[[#This Row],[TM]],SSum_Tue2[[#This Row],[TM]],SSum_Wed2[[#This Row],[TM]],SSum_Thu2[[#This Row],[TM]],SSum_Fri2[[#This Row],[TM]],SSum_Sat2[[#This Row],[TM]])</f>
        <v>0</v>
      </c>
      <c r="K62" s="205">
        <v>16</v>
      </c>
      <c r="M62" s="93" t="str">
        <f>IFERROR(VLOOKUP(SupSum[[#This Row],[Supervisor]],Sun_W1[],MATCH("Help Line",Sun_W1[#Headers],0),0),"")</f>
        <v/>
      </c>
      <c r="N62" s="93" t="str">
        <f>IFERROR(VLOOKUP(SupSum[[#This Row],[Supervisor]],Sun_W1[],MATCH("RTA",Sun_W1[#Headers],0),0),"")</f>
        <v/>
      </c>
      <c r="O62" s="93" t="str">
        <f>IFERROR(VLOOKUP(SupSum[[#This Row],[Supervisor]],Sun_W1[],MATCH("Admin",Sun_W1[#Headers],0),0),"")</f>
        <v/>
      </c>
      <c r="P62" s="93" t="str">
        <f>IFERROR(VLOOKUP(SupSum[[#This Row],[Supervisor]],Sun_W1[],MATCH("Team MTG",Sun_W1[#Headers],0),0),"")</f>
        <v/>
      </c>
      <c r="R62" s="93" t="str">
        <f>IFERROR(VLOOKUP(SupSum[[#This Row],[Supervisor]],Mon_W1[],MATCH("Help Line",Mon_W1[#Headers],0),0),"")</f>
        <v/>
      </c>
      <c r="S62" s="93" t="str">
        <f>IFERROR(VLOOKUP(SupSum[[#This Row],[Supervisor]],Mon_W1[],MATCH("RTA",Mon_W1[#Headers],0),0),"")</f>
        <v/>
      </c>
      <c r="T62" s="93" t="str">
        <f>IFERROR(VLOOKUP(SupSum[[#This Row],[Supervisor]],Mon_W1[],MATCH("Admin",Mon_W1[#Headers],0),0),"")</f>
        <v/>
      </c>
      <c r="U62" s="93" t="str">
        <f>IFERROR(VLOOKUP(SupSum[[#This Row],[Supervisor]],Mon_W1[],MATCH("Team MTG",Mon_W1[#Headers],0),0),"")</f>
        <v/>
      </c>
      <c r="W62" s="93" t="str">
        <f>IFERROR(VLOOKUP(SupSum[[#This Row],[Supervisor]],Tue_W1[],MATCH("Help Line",Tue_W1[#Headers],0),0),"")</f>
        <v/>
      </c>
      <c r="X62" s="93" t="str">
        <f>IFERROR(VLOOKUP(SupSum[[#This Row],[Supervisor]],Tue_W1[],MATCH("RTA",Tue_W1[#Headers],0),0),"")</f>
        <v/>
      </c>
      <c r="Y62" s="93" t="str">
        <f>IFERROR(VLOOKUP(SupSum[[#This Row],[Supervisor]],Tue_W1[],MATCH("Admin",Tue_W1[#Headers],0),0),"")</f>
        <v/>
      </c>
      <c r="Z62" s="93" t="str">
        <f>IFERROR(VLOOKUP(SupSum[[#This Row],[Supervisor]],Tue_W1[],MATCH("Team MTG",Tue_W1[#Headers],0),0),"")</f>
        <v/>
      </c>
      <c r="AB62" s="93" t="str">
        <f>IFERROR(VLOOKUP(SupSum[[#This Row],[Supervisor]],Wed_W1[],MATCH("Help Line",Wed_W1[#Headers],0),0),"")</f>
        <v/>
      </c>
      <c r="AC62" s="93" t="str">
        <f>IFERROR(VLOOKUP(SupSum[[#This Row],[Supervisor]],Wed_W1[],MATCH("RTA",Wed_W1[#Headers],0),0),"")</f>
        <v/>
      </c>
      <c r="AD62" s="93" t="str">
        <f>IFERROR(VLOOKUP(SupSum[[#This Row],[Supervisor]],Wed_W1[],MATCH("Admin",Wed_W1[#Headers],0),0),"")</f>
        <v/>
      </c>
      <c r="AE62" s="93" t="str">
        <f>IFERROR(VLOOKUP(SupSum[[#This Row],[Supervisor]],Wed_W1[],MATCH("Team MTG",Wed_W1[#Headers],0),0),"")</f>
        <v/>
      </c>
      <c r="AG62" s="93" t="str">
        <f>IFERROR(VLOOKUP(SupSum[[#This Row],[Supervisor]],Thu_W1[],MATCH("Help Line",Thu_W1[#Headers],0),0),"")</f>
        <v/>
      </c>
      <c r="AH62" s="93" t="str">
        <f>IFERROR(VLOOKUP(SupSum[[#This Row],[Supervisor]],Thu_W1[],MATCH("RTA",Thu_W1[#Headers],0),0),"")</f>
        <v/>
      </c>
      <c r="AI62" s="93" t="str">
        <f>IFERROR(VLOOKUP(SupSum[[#This Row],[Supervisor]],Thu_W1[],MATCH("Admin",Thu_W1[#Headers],0),0),"")</f>
        <v/>
      </c>
      <c r="AJ62" s="93" t="str">
        <f>IFERROR(VLOOKUP(SupSum[[#This Row],[Supervisor]],Thu_W1[],MATCH("Team MTG",Thu_W1[#Headers],0),0),"")</f>
        <v/>
      </c>
      <c r="AL62" s="93" t="str">
        <f>IFERROR(VLOOKUP(SupSum[[#This Row],[Supervisor]],Fri_W1[],MATCH("Help Line",Fri_W1[#Headers],0),0),"")</f>
        <v/>
      </c>
      <c r="AM62" s="93" t="str">
        <f>IFERROR(VLOOKUP(SupSum[[#This Row],[Supervisor]],Fri_W1[],MATCH("RTA",Fri_W1[#Headers],0),0),"")</f>
        <v/>
      </c>
      <c r="AN62" s="93" t="str">
        <f>IFERROR(VLOOKUP(SupSum[[#This Row],[Supervisor]],Fri_W1[],MATCH("Admin",Fri_W1[#Headers],0),0),"")</f>
        <v/>
      </c>
      <c r="AO62" s="93" t="str">
        <f>IFERROR(VLOOKUP(SupSum[[#This Row],[Supervisor]],Fri_W1[],MATCH("Team MTG",Fri_W1[#Headers],0),0),"")</f>
        <v/>
      </c>
      <c r="AQ62" s="93" t="str">
        <f>IFERROR(VLOOKUP(SupSum[[#This Row],[Supervisor]],Sat_W1[],MATCH("Help Line",Sat_W1[#Headers],0),0),"")</f>
        <v/>
      </c>
      <c r="AR62" s="93" t="str">
        <f>IFERROR(VLOOKUP(SupSum[[#This Row],[Supervisor]],Sat_W1[],MATCH("RTA",Sat_W1[#Headers],0),0),"")</f>
        <v/>
      </c>
      <c r="AS62" s="93" t="str">
        <f>IFERROR(VLOOKUP(SupSum[[#This Row],[Supervisor]],Sat_W1[],MATCH("Admin",Sat_W1[#Headers],0),0),"")</f>
        <v/>
      </c>
      <c r="AT62" s="93" t="str">
        <f>IFERROR(VLOOKUP(SupSum[[#This Row],[Supervisor]],Sat_W1[],MATCH("Team MTG",Sat_W1[#Headers],0),0),"")</f>
        <v/>
      </c>
      <c r="AV62" s="93" t="str">
        <f>IFERROR(VLOOKUP(SupSum[[#This Row],[Supervisor]],Sun_W2[],MATCH("Help Line",Sun_W2[#Headers],0),0),"")</f>
        <v/>
      </c>
      <c r="AW62" s="93" t="str">
        <f>IFERROR(VLOOKUP(SupSum[[#This Row],[Supervisor]],Sun_W2[],MATCH("RTA",Sun_W2[#Headers],0),0),"")</f>
        <v/>
      </c>
      <c r="AX62" s="93" t="str">
        <f>IFERROR(VLOOKUP(SupSum[[#This Row],[Supervisor]],Sun_W2[],MATCH("Admin",Sun_W2[#Headers],0),0),"")</f>
        <v/>
      </c>
      <c r="AY62" s="93" t="str">
        <f>IFERROR(VLOOKUP(SupSum[[#This Row],[Supervisor]],Sun_W2[],MATCH("Team MTG",Sun_W2[#Headers],0),0),"")</f>
        <v/>
      </c>
      <c r="BA62" s="93" t="str">
        <f>IFERROR(VLOOKUP(SupSum[[#This Row],[Supervisor]],Mon_W2[],MATCH("Help Line",Mon_W2[#Headers],0),0),"")</f>
        <v/>
      </c>
      <c r="BB62" s="93" t="str">
        <f>IFERROR(VLOOKUP(SupSum[[#This Row],[Supervisor]],Mon_W2[],MATCH("RTA",Mon_W2[#Headers],0),0),"")</f>
        <v/>
      </c>
      <c r="BC62" s="93" t="str">
        <f>IFERROR(VLOOKUP(SupSum[[#This Row],[Supervisor]],Mon_W2[],MATCH("Admin",Mon_W2[#Headers],0),0),"")</f>
        <v/>
      </c>
      <c r="BD62" s="93" t="str">
        <f>IFERROR(VLOOKUP(SupSum[[#This Row],[Supervisor]],Mon_W2[],MATCH("Team MTG",Mon_W2[#Headers],0),0),"")</f>
        <v/>
      </c>
      <c r="BF62" s="93" t="str">
        <f>IFERROR(VLOOKUP(SupSum[[#This Row],[Supervisor]],Tue_W2[],MATCH("Help Line",Tue_W2[#Headers],0),0),"")</f>
        <v/>
      </c>
      <c r="BG62" s="93" t="str">
        <f>IFERROR(VLOOKUP(SupSum[[#This Row],[Supervisor]],Tue_W2[],MATCH("RTA",Tue_W2[#Headers],0),0),"")</f>
        <v/>
      </c>
      <c r="BH62" s="93" t="str">
        <f>IFERROR(VLOOKUP(SupSum[[#This Row],[Supervisor]],Tue_W2[],MATCH("Admin",Tue_W2[#Headers],0),0),"")</f>
        <v/>
      </c>
      <c r="BI62" s="93" t="str">
        <f>IFERROR(VLOOKUP(SupSum[[#This Row],[Supervisor]],Tue_W2[],MATCH("Team MTG",Tue_W2[#Headers],0),0),"")</f>
        <v/>
      </c>
      <c r="BK62" s="93" t="str">
        <f>IFERROR(VLOOKUP(SupSum[[#This Row],[Supervisor]],Wed_W2[],MATCH("Help Line",Wed_W2[#Headers],0),0),"")</f>
        <v/>
      </c>
      <c r="BL62" s="93" t="str">
        <f>IFERROR(VLOOKUP(SupSum[[#This Row],[Supervisor]],Wed_W2[],MATCH("RTA",Wed_W2[#Headers],0),0),"")</f>
        <v/>
      </c>
      <c r="BM62" s="93" t="str">
        <f>IFERROR(VLOOKUP(SupSum[[#This Row],[Supervisor]],Wed_W2[],MATCH("Admin",Wed_W2[#Headers],0),0),"")</f>
        <v/>
      </c>
      <c r="BN62" s="93" t="str">
        <f>IFERROR(VLOOKUP(SupSum[[#This Row],[Supervisor]],Wed_W2[],MATCH("Team MTG",Wed_W2[#Headers],0),0),"")</f>
        <v/>
      </c>
      <c r="BP62" s="93" t="str">
        <f>IFERROR(VLOOKUP(SupSum[[#This Row],[Supervisor]],Thu_W2[],MATCH("Help Line",Thu_W2[#Headers],0),0),"")</f>
        <v/>
      </c>
      <c r="BQ62" s="93" t="str">
        <f>IFERROR(VLOOKUP(SupSum[[#This Row],[Supervisor]],Thu_W2[],MATCH("RTA",Thu_W2[#Headers],0),0),"")</f>
        <v/>
      </c>
      <c r="BR62" s="93" t="str">
        <f>IFERROR(VLOOKUP(SupSum[[#This Row],[Supervisor]],Thu_W2[],MATCH("Admin",Thu_W2[#Headers],0),0),"")</f>
        <v/>
      </c>
      <c r="BS62" s="93" t="str">
        <f>IFERROR(VLOOKUP(SupSum[[#This Row],[Supervisor]],Thu_W2[],MATCH("Team MTG",Thu_W2[#Headers],0),0),"")</f>
        <v/>
      </c>
      <c r="BU62" s="93" t="str">
        <f>IFERROR(VLOOKUP(SupSum[[#This Row],[Supervisor]],Fri_W2[],MATCH("Help Line",Fri_W2[#Headers],0),0),"")</f>
        <v/>
      </c>
      <c r="BV62" s="93" t="str">
        <f>IFERROR(VLOOKUP(SupSum[[#This Row],[Supervisor]],Fri_W2[],MATCH("RTA",Fri_W2[#Headers],0),0),"")</f>
        <v/>
      </c>
      <c r="BW62" s="93" t="str">
        <f>IFERROR(VLOOKUP(SupSum[[#This Row],[Supervisor]],Fri_W2[],MATCH("Admin",Fri_W2[#Headers],0),0),"")</f>
        <v/>
      </c>
      <c r="BX62" s="93" t="str">
        <f>IFERROR(VLOOKUP(SupSum[[#This Row],[Supervisor]],Fri_W2[],MATCH("Team MTG",Fri_W2[#Headers],0),0),"")</f>
        <v/>
      </c>
      <c r="BZ62" s="93" t="str">
        <f>IFERROR(VLOOKUP(SupSum[[#This Row],[Supervisor]],Sat_W2[],MATCH("Help Line",Sat_W2[#Headers],0),0),"")</f>
        <v/>
      </c>
      <c r="CA62" s="93" t="str">
        <f>IFERROR(VLOOKUP(SupSum[[#This Row],[Supervisor]],Sat_W2[],MATCH("RTA",Sat_W2[#Headers],0),0),"")</f>
        <v/>
      </c>
      <c r="CB62" s="93" t="str">
        <f>IFERROR(VLOOKUP(SupSum[[#This Row],[Supervisor]],Sat_W2[],MATCH("Admin",Sat_W2[#Headers],0),0),"")</f>
        <v/>
      </c>
      <c r="CC62" s="93" t="str">
        <f>IFERROR(VLOOKUP(SupSum[[#This Row],[Supervisor]],Sat_W2[],MATCH("Team MTG",Sat_W2[#Headers],0),0),"")</f>
        <v/>
      </c>
    </row>
    <row r="63" spans="2:81" x14ac:dyDescent="0.2">
      <c r="B63" s="6" t="s">
        <v>65</v>
      </c>
      <c r="C63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63" s="93">
        <f>SUM(SSum_Sun1[[#This Row],[RTA]],SSum_Mon1[[#This Row],[RTA]],SSum_Tue1[[#This Row],[RTA]],SSum_Wed1[[#This Row],[RTA]],SSum_Thu1[[#This Row],[RTA]],SSum_Fri1[[#This Row],[RTA]],SSum_Sat1[[#This Row],[RTA]])</f>
        <v>0</v>
      </c>
      <c r="E63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63" s="93">
        <f>SUM(SSum_Sun1[[#This Row],[TM]],SSum_Mon1[[#This Row],[TM]],SSum_Tue1[[#This Row],[TM]],SSum_Wed1[[#This Row],[TM]],SSum_Thu1[[#This Row],[TM]],SSum_Fri1[[#This Row],[TM]],SSum_Sat1[[#This Row],[TM]])</f>
        <v>0</v>
      </c>
      <c r="G63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63" s="93">
        <f>SUM(SSum_Sun2[[#This Row],[RTA]],SSum_Mon2[[#This Row],[RTA]],SSum_Tue2[[#This Row],[RTA]],SSum_Wed2[[#This Row],[RTA]],SSum_Thu2[[#This Row],[RTA]],SSum_Fri2[[#This Row],[RTA]],SSum_Sat2[[#This Row],[RTA]])</f>
        <v>0</v>
      </c>
      <c r="I63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63" s="93">
        <f>SUM(SSum_Sun2[[#This Row],[TM]],SSum_Mon2[[#This Row],[TM]],SSum_Tue2[[#This Row],[TM]],SSum_Wed2[[#This Row],[TM]],SSum_Thu2[[#This Row],[TM]],SSum_Fri2[[#This Row],[TM]],SSum_Sat2[[#This Row],[TM]])</f>
        <v>0</v>
      </c>
      <c r="K63" s="208">
        <v>20</v>
      </c>
      <c r="M63" s="93" t="str">
        <f>IFERROR(VLOOKUP(SupSum[[#This Row],[Supervisor]],Sun_W1[],MATCH("Help Line",Sun_W1[#Headers],0),0),"")</f>
        <v/>
      </c>
      <c r="N63" s="93" t="str">
        <f>IFERROR(VLOOKUP(SupSum[[#This Row],[Supervisor]],Sun_W1[],MATCH("RTA",Sun_W1[#Headers],0),0),"")</f>
        <v/>
      </c>
      <c r="O63" s="93" t="str">
        <f>IFERROR(VLOOKUP(SupSum[[#This Row],[Supervisor]],Sun_W1[],MATCH("Admin",Sun_W1[#Headers],0),0),"")</f>
        <v/>
      </c>
      <c r="P63" s="93" t="str">
        <f>IFERROR(VLOOKUP(SupSum[[#This Row],[Supervisor]],Sun_W1[],MATCH("Team MTG",Sun_W1[#Headers],0),0),"")</f>
        <v/>
      </c>
      <c r="R63" s="93" t="str">
        <f>IFERROR(VLOOKUP(SupSum[[#This Row],[Supervisor]],Mon_W1[],MATCH("Help Line",Mon_W1[#Headers],0),0),"")</f>
        <v/>
      </c>
      <c r="S63" s="93" t="str">
        <f>IFERROR(VLOOKUP(SupSum[[#This Row],[Supervisor]],Mon_W1[],MATCH("RTA",Mon_W1[#Headers],0),0),"")</f>
        <v/>
      </c>
      <c r="T63" s="93" t="str">
        <f>IFERROR(VLOOKUP(SupSum[[#This Row],[Supervisor]],Mon_W1[],MATCH("Admin",Mon_W1[#Headers],0),0),"")</f>
        <v/>
      </c>
      <c r="U63" s="93" t="str">
        <f>IFERROR(VLOOKUP(SupSum[[#This Row],[Supervisor]],Mon_W1[],MATCH("Team MTG",Mon_W1[#Headers],0),0),"")</f>
        <v/>
      </c>
      <c r="W63" s="93" t="str">
        <f>IFERROR(VLOOKUP(SupSum[[#This Row],[Supervisor]],Tue_W1[],MATCH("Help Line",Tue_W1[#Headers],0),0),"")</f>
        <v/>
      </c>
      <c r="X63" s="93" t="str">
        <f>IFERROR(VLOOKUP(SupSum[[#This Row],[Supervisor]],Tue_W1[],MATCH("RTA",Tue_W1[#Headers],0),0),"")</f>
        <v/>
      </c>
      <c r="Y63" s="93" t="str">
        <f>IFERROR(VLOOKUP(SupSum[[#This Row],[Supervisor]],Tue_W1[],MATCH("Admin",Tue_W1[#Headers],0),0),"")</f>
        <v/>
      </c>
      <c r="Z63" s="93" t="str">
        <f>IFERROR(VLOOKUP(SupSum[[#This Row],[Supervisor]],Tue_W1[],MATCH("Team MTG",Tue_W1[#Headers],0),0),"")</f>
        <v/>
      </c>
      <c r="AB63" s="93" t="str">
        <f>IFERROR(VLOOKUP(SupSum[[#This Row],[Supervisor]],Wed_W1[],MATCH("Help Line",Wed_W1[#Headers],0),0),"")</f>
        <v/>
      </c>
      <c r="AC63" s="93" t="str">
        <f>IFERROR(VLOOKUP(SupSum[[#This Row],[Supervisor]],Wed_W1[],MATCH("RTA",Wed_W1[#Headers],0),0),"")</f>
        <v/>
      </c>
      <c r="AD63" s="93" t="str">
        <f>IFERROR(VLOOKUP(SupSum[[#This Row],[Supervisor]],Wed_W1[],MATCH("Admin",Wed_W1[#Headers],0),0),"")</f>
        <v/>
      </c>
      <c r="AE63" s="93" t="str">
        <f>IFERROR(VLOOKUP(SupSum[[#This Row],[Supervisor]],Wed_W1[],MATCH("Team MTG",Wed_W1[#Headers],0),0),"")</f>
        <v/>
      </c>
      <c r="AG63" s="93" t="str">
        <f>IFERROR(VLOOKUP(SupSum[[#This Row],[Supervisor]],Thu_W1[],MATCH("Help Line",Thu_W1[#Headers],0),0),"")</f>
        <v/>
      </c>
      <c r="AH63" s="93" t="str">
        <f>IFERROR(VLOOKUP(SupSum[[#This Row],[Supervisor]],Thu_W1[],MATCH("RTA",Thu_W1[#Headers],0),0),"")</f>
        <v/>
      </c>
      <c r="AI63" s="93" t="str">
        <f>IFERROR(VLOOKUP(SupSum[[#This Row],[Supervisor]],Thu_W1[],MATCH("Admin",Thu_W1[#Headers],0),0),"")</f>
        <v/>
      </c>
      <c r="AJ63" s="93" t="str">
        <f>IFERROR(VLOOKUP(SupSum[[#This Row],[Supervisor]],Thu_W1[],MATCH("Team MTG",Thu_W1[#Headers],0),0),"")</f>
        <v/>
      </c>
      <c r="AL63" s="93" t="str">
        <f>IFERROR(VLOOKUP(SupSum[[#This Row],[Supervisor]],Fri_W1[],MATCH("Help Line",Fri_W1[#Headers],0),0),"")</f>
        <v/>
      </c>
      <c r="AM63" s="93" t="str">
        <f>IFERROR(VLOOKUP(SupSum[[#This Row],[Supervisor]],Fri_W1[],MATCH("RTA",Fri_W1[#Headers],0),0),"")</f>
        <v/>
      </c>
      <c r="AN63" s="93" t="str">
        <f>IFERROR(VLOOKUP(SupSum[[#This Row],[Supervisor]],Fri_W1[],MATCH("Admin",Fri_W1[#Headers],0),0),"")</f>
        <v/>
      </c>
      <c r="AO63" s="93" t="str">
        <f>IFERROR(VLOOKUP(SupSum[[#This Row],[Supervisor]],Fri_W1[],MATCH("Team MTG",Fri_W1[#Headers],0),0),"")</f>
        <v/>
      </c>
      <c r="AQ63" s="93" t="str">
        <f>IFERROR(VLOOKUP(SupSum[[#This Row],[Supervisor]],Sat_W1[],MATCH("Help Line",Sat_W1[#Headers],0),0),"")</f>
        <v/>
      </c>
      <c r="AR63" s="93" t="str">
        <f>IFERROR(VLOOKUP(SupSum[[#This Row],[Supervisor]],Sat_W1[],MATCH("RTA",Sat_W1[#Headers],0),0),"")</f>
        <v/>
      </c>
      <c r="AS63" s="93" t="str">
        <f>IFERROR(VLOOKUP(SupSum[[#This Row],[Supervisor]],Sat_W1[],MATCH("Admin",Sat_W1[#Headers],0),0),"")</f>
        <v/>
      </c>
      <c r="AT63" s="93" t="str">
        <f>IFERROR(VLOOKUP(SupSum[[#This Row],[Supervisor]],Sat_W1[],MATCH("Team MTG",Sat_W1[#Headers],0),0),"")</f>
        <v/>
      </c>
      <c r="AV63" s="93" t="str">
        <f>IFERROR(VLOOKUP(SupSum[[#This Row],[Supervisor]],Sun_W2[],MATCH("Help Line",Sun_W2[#Headers],0),0),"")</f>
        <v/>
      </c>
      <c r="AW63" s="93" t="str">
        <f>IFERROR(VLOOKUP(SupSum[[#This Row],[Supervisor]],Sun_W2[],MATCH("RTA",Sun_W2[#Headers],0),0),"")</f>
        <v/>
      </c>
      <c r="AX63" s="93" t="str">
        <f>IFERROR(VLOOKUP(SupSum[[#This Row],[Supervisor]],Sun_W2[],MATCH("Admin",Sun_W2[#Headers],0),0),"")</f>
        <v/>
      </c>
      <c r="AY63" s="93" t="str">
        <f>IFERROR(VLOOKUP(SupSum[[#This Row],[Supervisor]],Sun_W2[],MATCH("Team MTG",Sun_W2[#Headers],0),0),"")</f>
        <v/>
      </c>
      <c r="BA63" s="93" t="str">
        <f>IFERROR(VLOOKUP(SupSum[[#This Row],[Supervisor]],Mon_W2[],MATCH("Help Line",Mon_W2[#Headers],0),0),"")</f>
        <v/>
      </c>
      <c r="BB63" s="93" t="str">
        <f>IFERROR(VLOOKUP(SupSum[[#This Row],[Supervisor]],Mon_W2[],MATCH("RTA",Mon_W2[#Headers],0),0),"")</f>
        <v/>
      </c>
      <c r="BC63" s="93" t="str">
        <f>IFERROR(VLOOKUP(SupSum[[#This Row],[Supervisor]],Mon_W2[],MATCH("Admin",Mon_W2[#Headers],0),0),"")</f>
        <v/>
      </c>
      <c r="BD63" s="93" t="str">
        <f>IFERROR(VLOOKUP(SupSum[[#This Row],[Supervisor]],Mon_W2[],MATCH("Team MTG",Mon_W2[#Headers],0),0),"")</f>
        <v/>
      </c>
      <c r="BF63" s="93" t="str">
        <f>IFERROR(VLOOKUP(SupSum[[#This Row],[Supervisor]],Tue_W2[],MATCH("Help Line",Tue_W2[#Headers],0),0),"")</f>
        <v/>
      </c>
      <c r="BG63" s="93" t="str">
        <f>IFERROR(VLOOKUP(SupSum[[#This Row],[Supervisor]],Tue_W2[],MATCH("RTA",Tue_W2[#Headers],0),0),"")</f>
        <v/>
      </c>
      <c r="BH63" s="93" t="str">
        <f>IFERROR(VLOOKUP(SupSum[[#This Row],[Supervisor]],Tue_W2[],MATCH("Admin",Tue_W2[#Headers],0),0),"")</f>
        <v/>
      </c>
      <c r="BI63" s="93" t="str">
        <f>IFERROR(VLOOKUP(SupSum[[#This Row],[Supervisor]],Tue_W2[],MATCH("Team MTG",Tue_W2[#Headers],0),0),"")</f>
        <v/>
      </c>
      <c r="BK63" s="93" t="str">
        <f>IFERROR(VLOOKUP(SupSum[[#This Row],[Supervisor]],Wed_W2[],MATCH("Help Line",Wed_W2[#Headers],0),0),"")</f>
        <v/>
      </c>
      <c r="BL63" s="93" t="str">
        <f>IFERROR(VLOOKUP(SupSum[[#This Row],[Supervisor]],Wed_W2[],MATCH("RTA",Wed_W2[#Headers],0),0),"")</f>
        <v/>
      </c>
      <c r="BM63" s="93" t="str">
        <f>IFERROR(VLOOKUP(SupSum[[#This Row],[Supervisor]],Wed_W2[],MATCH("Admin",Wed_W2[#Headers],0),0),"")</f>
        <v/>
      </c>
      <c r="BN63" s="93" t="str">
        <f>IFERROR(VLOOKUP(SupSum[[#This Row],[Supervisor]],Wed_W2[],MATCH("Team MTG",Wed_W2[#Headers],0),0),"")</f>
        <v/>
      </c>
      <c r="BP63" s="93" t="str">
        <f>IFERROR(VLOOKUP(SupSum[[#This Row],[Supervisor]],Thu_W2[],MATCH("Help Line",Thu_W2[#Headers],0),0),"")</f>
        <v/>
      </c>
      <c r="BQ63" s="93" t="str">
        <f>IFERROR(VLOOKUP(SupSum[[#This Row],[Supervisor]],Thu_W2[],MATCH("RTA",Thu_W2[#Headers],0),0),"")</f>
        <v/>
      </c>
      <c r="BR63" s="93" t="str">
        <f>IFERROR(VLOOKUP(SupSum[[#This Row],[Supervisor]],Thu_W2[],MATCH("Admin",Thu_W2[#Headers],0),0),"")</f>
        <v/>
      </c>
      <c r="BS63" s="93" t="str">
        <f>IFERROR(VLOOKUP(SupSum[[#This Row],[Supervisor]],Thu_W2[],MATCH("Team MTG",Thu_W2[#Headers],0),0),"")</f>
        <v/>
      </c>
      <c r="BU63" s="93" t="str">
        <f>IFERROR(VLOOKUP(SupSum[[#This Row],[Supervisor]],Fri_W2[],MATCH("Help Line",Fri_W2[#Headers],0),0),"")</f>
        <v/>
      </c>
      <c r="BV63" s="93" t="str">
        <f>IFERROR(VLOOKUP(SupSum[[#This Row],[Supervisor]],Fri_W2[],MATCH("RTA",Fri_W2[#Headers],0),0),"")</f>
        <v/>
      </c>
      <c r="BW63" s="93" t="str">
        <f>IFERROR(VLOOKUP(SupSum[[#This Row],[Supervisor]],Fri_W2[],MATCH("Admin",Fri_W2[#Headers],0),0),"")</f>
        <v/>
      </c>
      <c r="BX63" s="93" t="str">
        <f>IFERROR(VLOOKUP(SupSum[[#This Row],[Supervisor]],Fri_W2[],MATCH("Team MTG",Fri_W2[#Headers],0),0),"")</f>
        <v/>
      </c>
      <c r="BZ63" s="93" t="str">
        <f>IFERROR(VLOOKUP(SupSum[[#This Row],[Supervisor]],Sat_W2[],MATCH("Help Line",Sat_W2[#Headers],0),0),"")</f>
        <v/>
      </c>
      <c r="CA63" s="93" t="str">
        <f>IFERROR(VLOOKUP(SupSum[[#This Row],[Supervisor]],Sat_W2[],MATCH("RTA",Sat_W2[#Headers],0),0),"")</f>
        <v/>
      </c>
      <c r="CB63" s="93" t="str">
        <f>IFERROR(VLOOKUP(SupSum[[#This Row],[Supervisor]],Sat_W2[],MATCH("Admin",Sat_W2[#Headers],0),0),"")</f>
        <v/>
      </c>
      <c r="CC63" s="93" t="str">
        <f>IFERROR(VLOOKUP(SupSum[[#This Row],[Supervisor]],Sat_W2[],MATCH("Team MTG",Sat_W2[#Headers],0),0),"")</f>
        <v/>
      </c>
    </row>
    <row r="64" spans="2:81" x14ac:dyDescent="0.2">
      <c r="B64" s="6" t="s">
        <v>48</v>
      </c>
      <c r="C64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64" s="93">
        <f>SUM(SSum_Sun1[[#This Row],[RTA]],SSum_Mon1[[#This Row],[RTA]],SSum_Tue1[[#This Row],[RTA]],SSum_Wed1[[#This Row],[RTA]],SSum_Thu1[[#This Row],[RTA]],SSum_Fri1[[#This Row],[RTA]],SSum_Sat1[[#This Row],[RTA]])</f>
        <v>0</v>
      </c>
      <c r="E64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64" s="93">
        <f>SUM(SSum_Sun1[[#This Row],[TM]],SSum_Mon1[[#This Row],[TM]],SSum_Tue1[[#This Row],[TM]],SSum_Wed1[[#This Row],[TM]],SSum_Thu1[[#This Row],[TM]],SSum_Fri1[[#This Row],[TM]],SSum_Sat1[[#This Row],[TM]])</f>
        <v>0</v>
      </c>
      <c r="G64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64" s="93">
        <f>SUM(SSum_Sun2[[#This Row],[RTA]],SSum_Mon2[[#This Row],[RTA]],SSum_Tue2[[#This Row],[RTA]],SSum_Wed2[[#This Row],[RTA]],SSum_Thu2[[#This Row],[RTA]],SSum_Fri2[[#This Row],[RTA]],SSum_Sat2[[#This Row],[RTA]])</f>
        <v>0</v>
      </c>
      <c r="I64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64" s="93">
        <f>SUM(SSum_Sun2[[#This Row],[TM]],SSum_Mon2[[#This Row],[TM]],SSum_Tue2[[#This Row],[TM]],SSum_Wed2[[#This Row],[TM]],SSum_Thu2[[#This Row],[TM]],SSum_Fri2[[#This Row],[TM]],SSum_Sat2[[#This Row],[TM]])</f>
        <v>0</v>
      </c>
      <c r="K64" s="208">
        <v>11</v>
      </c>
      <c r="M64" s="93" t="str">
        <f>IFERROR(VLOOKUP(SupSum[[#This Row],[Supervisor]],Sun_W1[],MATCH("Help Line",Sun_W1[#Headers],0),0),"")</f>
        <v/>
      </c>
      <c r="N64" s="93" t="str">
        <f>IFERROR(VLOOKUP(SupSum[[#This Row],[Supervisor]],Sun_W1[],MATCH("RTA",Sun_W1[#Headers],0),0),"")</f>
        <v/>
      </c>
      <c r="O64" s="93" t="str">
        <f>IFERROR(VLOOKUP(SupSum[[#This Row],[Supervisor]],Sun_W1[],MATCH("Admin",Sun_W1[#Headers],0),0),"")</f>
        <v/>
      </c>
      <c r="P64" s="93" t="str">
        <f>IFERROR(VLOOKUP(SupSum[[#This Row],[Supervisor]],Sun_W1[],MATCH("Team MTG",Sun_W1[#Headers],0),0),"")</f>
        <v/>
      </c>
      <c r="R64" s="93" t="str">
        <f>IFERROR(VLOOKUP(SupSum[[#This Row],[Supervisor]],Mon_W1[],MATCH("Help Line",Mon_W1[#Headers],0),0),"")</f>
        <v/>
      </c>
      <c r="S64" s="93" t="str">
        <f>IFERROR(VLOOKUP(SupSum[[#This Row],[Supervisor]],Mon_W1[],MATCH("RTA",Mon_W1[#Headers],0),0),"")</f>
        <v/>
      </c>
      <c r="T64" s="93" t="str">
        <f>IFERROR(VLOOKUP(SupSum[[#This Row],[Supervisor]],Mon_W1[],MATCH("Admin",Mon_W1[#Headers],0),0),"")</f>
        <v/>
      </c>
      <c r="U64" s="93" t="str">
        <f>IFERROR(VLOOKUP(SupSum[[#This Row],[Supervisor]],Mon_W1[],MATCH("Team MTG",Mon_W1[#Headers],0),0),"")</f>
        <v/>
      </c>
      <c r="W64" s="93" t="str">
        <f>IFERROR(VLOOKUP(SupSum[[#This Row],[Supervisor]],Tue_W1[],MATCH("Help Line",Tue_W1[#Headers],0),0),"")</f>
        <v/>
      </c>
      <c r="X64" s="93" t="str">
        <f>IFERROR(VLOOKUP(SupSum[[#This Row],[Supervisor]],Tue_W1[],MATCH("RTA",Tue_W1[#Headers],0),0),"")</f>
        <v/>
      </c>
      <c r="Y64" s="93" t="str">
        <f>IFERROR(VLOOKUP(SupSum[[#This Row],[Supervisor]],Tue_W1[],MATCH("Admin",Tue_W1[#Headers],0),0),"")</f>
        <v/>
      </c>
      <c r="Z64" s="93" t="str">
        <f>IFERROR(VLOOKUP(SupSum[[#This Row],[Supervisor]],Tue_W1[],MATCH("Team MTG",Tue_W1[#Headers],0),0),"")</f>
        <v/>
      </c>
      <c r="AB64" s="93" t="str">
        <f>IFERROR(VLOOKUP(SupSum[[#This Row],[Supervisor]],Wed_W1[],MATCH("Help Line",Wed_W1[#Headers],0),0),"")</f>
        <v/>
      </c>
      <c r="AC64" s="93" t="str">
        <f>IFERROR(VLOOKUP(SupSum[[#This Row],[Supervisor]],Wed_W1[],MATCH("RTA",Wed_W1[#Headers],0),0),"")</f>
        <v/>
      </c>
      <c r="AD64" s="93" t="str">
        <f>IFERROR(VLOOKUP(SupSum[[#This Row],[Supervisor]],Wed_W1[],MATCH("Admin",Wed_W1[#Headers],0),0),"")</f>
        <v/>
      </c>
      <c r="AE64" s="93" t="str">
        <f>IFERROR(VLOOKUP(SupSum[[#This Row],[Supervisor]],Wed_W1[],MATCH("Team MTG",Wed_W1[#Headers],0),0),"")</f>
        <v/>
      </c>
      <c r="AG64" s="93" t="str">
        <f>IFERROR(VLOOKUP(SupSum[[#This Row],[Supervisor]],Thu_W1[],MATCH("Help Line",Thu_W1[#Headers],0),0),"")</f>
        <v/>
      </c>
      <c r="AH64" s="93" t="str">
        <f>IFERROR(VLOOKUP(SupSum[[#This Row],[Supervisor]],Thu_W1[],MATCH("RTA",Thu_W1[#Headers],0),0),"")</f>
        <v/>
      </c>
      <c r="AI64" s="93" t="str">
        <f>IFERROR(VLOOKUP(SupSum[[#This Row],[Supervisor]],Thu_W1[],MATCH("Admin",Thu_W1[#Headers],0),0),"")</f>
        <v/>
      </c>
      <c r="AJ64" s="93" t="str">
        <f>IFERROR(VLOOKUP(SupSum[[#This Row],[Supervisor]],Thu_W1[],MATCH("Team MTG",Thu_W1[#Headers],0),0),"")</f>
        <v/>
      </c>
      <c r="AL64" s="93" t="str">
        <f>IFERROR(VLOOKUP(SupSum[[#This Row],[Supervisor]],Fri_W1[],MATCH("Help Line",Fri_W1[#Headers],0),0),"")</f>
        <v/>
      </c>
      <c r="AM64" s="93" t="str">
        <f>IFERROR(VLOOKUP(SupSum[[#This Row],[Supervisor]],Fri_W1[],MATCH("RTA",Fri_W1[#Headers],0),0),"")</f>
        <v/>
      </c>
      <c r="AN64" s="93" t="str">
        <f>IFERROR(VLOOKUP(SupSum[[#This Row],[Supervisor]],Fri_W1[],MATCH("Admin",Fri_W1[#Headers],0),0),"")</f>
        <v/>
      </c>
      <c r="AO64" s="93" t="str">
        <f>IFERROR(VLOOKUP(SupSum[[#This Row],[Supervisor]],Fri_W1[],MATCH("Team MTG",Fri_W1[#Headers],0),0),"")</f>
        <v/>
      </c>
      <c r="AQ64" s="93" t="str">
        <f>IFERROR(VLOOKUP(SupSum[[#This Row],[Supervisor]],Sat_W1[],MATCH("Help Line",Sat_W1[#Headers],0),0),"")</f>
        <v/>
      </c>
      <c r="AR64" s="93" t="str">
        <f>IFERROR(VLOOKUP(SupSum[[#This Row],[Supervisor]],Sat_W1[],MATCH("RTA",Sat_W1[#Headers],0),0),"")</f>
        <v/>
      </c>
      <c r="AS64" s="93" t="str">
        <f>IFERROR(VLOOKUP(SupSum[[#This Row],[Supervisor]],Sat_W1[],MATCH("Admin",Sat_W1[#Headers],0),0),"")</f>
        <v/>
      </c>
      <c r="AT64" s="93" t="str">
        <f>IFERROR(VLOOKUP(SupSum[[#This Row],[Supervisor]],Sat_W1[],MATCH("Team MTG",Sat_W1[#Headers],0),0),"")</f>
        <v/>
      </c>
      <c r="AV64" s="93" t="str">
        <f>IFERROR(VLOOKUP(SupSum[[#This Row],[Supervisor]],Sun_W2[],MATCH("Help Line",Sun_W2[#Headers],0),0),"")</f>
        <v/>
      </c>
      <c r="AW64" s="93" t="str">
        <f>IFERROR(VLOOKUP(SupSum[[#This Row],[Supervisor]],Sun_W2[],MATCH("RTA",Sun_W2[#Headers],0),0),"")</f>
        <v/>
      </c>
      <c r="AX64" s="93" t="str">
        <f>IFERROR(VLOOKUP(SupSum[[#This Row],[Supervisor]],Sun_W2[],MATCH("Admin",Sun_W2[#Headers],0),0),"")</f>
        <v/>
      </c>
      <c r="AY64" s="93" t="str">
        <f>IFERROR(VLOOKUP(SupSum[[#This Row],[Supervisor]],Sun_W2[],MATCH("Team MTG",Sun_W2[#Headers],0),0),"")</f>
        <v/>
      </c>
      <c r="BA64" s="93" t="str">
        <f>IFERROR(VLOOKUP(SupSum[[#This Row],[Supervisor]],Mon_W2[],MATCH("Help Line",Mon_W2[#Headers],0),0),"")</f>
        <v/>
      </c>
      <c r="BB64" s="93" t="str">
        <f>IFERROR(VLOOKUP(SupSum[[#This Row],[Supervisor]],Mon_W2[],MATCH("RTA",Mon_W2[#Headers],0),0),"")</f>
        <v/>
      </c>
      <c r="BC64" s="93" t="str">
        <f>IFERROR(VLOOKUP(SupSum[[#This Row],[Supervisor]],Mon_W2[],MATCH("Admin",Mon_W2[#Headers],0),0),"")</f>
        <v/>
      </c>
      <c r="BD64" s="93" t="str">
        <f>IFERROR(VLOOKUP(SupSum[[#This Row],[Supervisor]],Mon_W2[],MATCH("Team MTG",Mon_W2[#Headers],0),0),"")</f>
        <v/>
      </c>
      <c r="BF64" s="93" t="str">
        <f>IFERROR(VLOOKUP(SupSum[[#This Row],[Supervisor]],Tue_W2[],MATCH("Help Line",Tue_W2[#Headers],0),0),"")</f>
        <v/>
      </c>
      <c r="BG64" s="93" t="str">
        <f>IFERROR(VLOOKUP(SupSum[[#This Row],[Supervisor]],Tue_W2[],MATCH("RTA",Tue_W2[#Headers],0),0),"")</f>
        <v/>
      </c>
      <c r="BH64" s="93" t="str">
        <f>IFERROR(VLOOKUP(SupSum[[#This Row],[Supervisor]],Tue_W2[],MATCH("Admin",Tue_W2[#Headers],0),0),"")</f>
        <v/>
      </c>
      <c r="BI64" s="93" t="str">
        <f>IFERROR(VLOOKUP(SupSum[[#This Row],[Supervisor]],Tue_W2[],MATCH("Team MTG",Tue_W2[#Headers],0),0),"")</f>
        <v/>
      </c>
      <c r="BK64" s="93" t="str">
        <f>IFERROR(VLOOKUP(SupSum[[#This Row],[Supervisor]],Wed_W2[],MATCH("Help Line",Wed_W2[#Headers],0),0),"")</f>
        <v/>
      </c>
      <c r="BL64" s="93" t="str">
        <f>IFERROR(VLOOKUP(SupSum[[#This Row],[Supervisor]],Wed_W2[],MATCH("RTA",Wed_W2[#Headers],0),0),"")</f>
        <v/>
      </c>
      <c r="BM64" s="93" t="str">
        <f>IFERROR(VLOOKUP(SupSum[[#This Row],[Supervisor]],Wed_W2[],MATCH("Admin",Wed_W2[#Headers],0),0),"")</f>
        <v/>
      </c>
      <c r="BN64" s="93" t="str">
        <f>IFERROR(VLOOKUP(SupSum[[#This Row],[Supervisor]],Wed_W2[],MATCH("Team MTG",Wed_W2[#Headers],0),0),"")</f>
        <v/>
      </c>
      <c r="BP64" s="93" t="str">
        <f>IFERROR(VLOOKUP(SupSum[[#This Row],[Supervisor]],Thu_W2[],MATCH("Help Line",Thu_W2[#Headers],0),0),"")</f>
        <v/>
      </c>
      <c r="BQ64" s="93" t="str">
        <f>IFERROR(VLOOKUP(SupSum[[#This Row],[Supervisor]],Thu_W2[],MATCH("RTA",Thu_W2[#Headers],0),0),"")</f>
        <v/>
      </c>
      <c r="BR64" s="93" t="str">
        <f>IFERROR(VLOOKUP(SupSum[[#This Row],[Supervisor]],Thu_W2[],MATCH("Admin",Thu_W2[#Headers],0),0),"")</f>
        <v/>
      </c>
      <c r="BS64" s="93" t="str">
        <f>IFERROR(VLOOKUP(SupSum[[#This Row],[Supervisor]],Thu_W2[],MATCH("Team MTG",Thu_W2[#Headers],0),0),"")</f>
        <v/>
      </c>
      <c r="BU64" s="93" t="str">
        <f>IFERROR(VLOOKUP(SupSum[[#This Row],[Supervisor]],Fri_W2[],MATCH("Help Line",Fri_W2[#Headers],0),0),"")</f>
        <v/>
      </c>
      <c r="BV64" s="93" t="str">
        <f>IFERROR(VLOOKUP(SupSum[[#This Row],[Supervisor]],Fri_W2[],MATCH("RTA",Fri_W2[#Headers],0),0),"")</f>
        <v/>
      </c>
      <c r="BW64" s="93" t="str">
        <f>IFERROR(VLOOKUP(SupSum[[#This Row],[Supervisor]],Fri_W2[],MATCH("Admin",Fri_W2[#Headers],0),0),"")</f>
        <v/>
      </c>
      <c r="BX64" s="93" t="str">
        <f>IFERROR(VLOOKUP(SupSum[[#This Row],[Supervisor]],Fri_W2[],MATCH("Team MTG",Fri_W2[#Headers],0),0),"")</f>
        <v/>
      </c>
      <c r="BZ64" s="93" t="str">
        <f>IFERROR(VLOOKUP(SupSum[[#This Row],[Supervisor]],Sat_W2[],MATCH("Help Line",Sat_W2[#Headers],0),0),"")</f>
        <v/>
      </c>
      <c r="CA64" s="93" t="str">
        <f>IFERROR(VLOOKUP(SupSum[[#This Row],[Supervisor]],Sat_W2[],MATCH("RTA",Sat_W2[#Headers],0),0),"")</f>
        <v/>
      </c>
      <c r="CB64" s="93" t="str">
        <f>IFERROR(VLOOKUP(SupSum[[#This Row],[Supervisor]],Sat_W2[],MATCH("Admin",Sat_W2[#Headers],0),0),"")</f>
        <v/>
      </c>
      <c r="CC64" s="93" t="str">
        <f>IFERROR(VLOOKUP(SupSum[[#This Row],[Supervisor]],Sat_W2[],MATCH("Team MTG",Sat_W2[#Headers],0),0),"")</f>
        <v/>
      </c>
    </row>
    <row r="65" spans="2:81" x14ac:dyDescent="0.2">
      <c r="B65" s="6" t="s">
        <v>51</v>
      </c>
      <c r="C65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65" s="93">
        <f>SUM(SSum_Sun1[[#This Row],[RTA]],SSum_Mon1[[#This Row],[RTA]],SSum_Tue1[[#This Row],[RTA]],SSum_Wed1[[#This Row],[RTA]],SSum_Thu1[[#This Row],[RTA]],SSum_Fri1[[#This Row],[RTA]],SSum_Sat1[[#This Row],[RTA]])</f>
        <v>0</v>
      </c>
      <c r="E65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65" s="93">
        <f>SUM(SSum_Sun1[[#This Row],[TM]],SSum_Mon1[[#This Row],[TM]],SSum_Tue1[[#This Row],[TM]],SSum_Wed1[[#This Row],[TM]],SSum_Thu1[[#This Row],[TM]],SSum_Fri1[[#This Row],[TM]],SSum_Sat1[[#This Row],[TM]])</f>
        <v>0</v>
      </c>
      <c r="G65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65" s="93">
        <f>SUM(SSum_Sun2[[#This Row],[RTA]],SSum_Mon2[[#This Row],[RTA]],SSum_Tue2[[#This Row],[RTA]],SSum_Wed2[[#This Row],[RTA]],SSum_Thu2[[#This Row],[RTA]],SSum_Fri2[[#This Row],[RTA]],SSum_Sat2[[#This Row],[RTA]])</f>
        <v>0</v>
      </c>
      <c r="I65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65" s="93">
        <f>SUM(SSum_Sun2[[#This Row],[TM]],SSum_Mon2[[#This Row],[TM]],SSum_Tue2[[#This Row],[TM]],SSum_Wed2[[#This Row],[TM]],SSum_Thu2[[#This Row],[TM]],SSum_Fri2[[#This Row],[TM]],SSum_Sat2[[#This Row],[TM]])</f>
        <v>0</v>
      </c>
      <c r="K65" s="208">
        <v>14</v>
      </c>
      <c r="M65" s="93" t="str">
        <f>IFERROR(VLOOKUP(SupSum[[#This Row],[Supervisor]],Sun_W1[],MATCH("Help Line",Sun_W1[#Headers],0),0),"")</f>
        <v/>
      </c>
      <c r="N65" s="93" t="str">
        <f>IFERROR(VLOOKUP(SupSum[[#This Row],[Supervisor]],Sun_W1[],MATCH("RTA",Sun_W1[#Headers],0),0),"")</f>
        <v/>
      </c>
      <c r="O65" s="93" t="str">
        <f>IFERROR(VLOOKUP(SupSum[[#This Row],[Supervisor]],Sun_W1[],MATCH("Admin",Sun_W1[#Headers],0),0),"")</f>
        <v/>
      </c>
      <c r="P65" s="93" t="str">
        <f>IFERROR(VLOOKUP(SupSum[[#This Row],[Supervisor]],Sun_W1[],MATCH("Team MTG",Sun_W1[#Headers],0),0),"")</f>
        <v/>
      </c>
      <c r="R65" s="93">
        <f>IFERROR(VLOOKUP(SupSum[[#This Row],[Supervisor]],Mon_W1[],MATCH("Help Line",Mon_W1[#Headers],0),0),"")</f>
        <v>0</v>
      </c>
      <c r="S65" s="93">
        <f>IFERROR(VLOOKUP(SupSum[[#This Row],[Supervisor]],Mon_W1[],MATCH("RTA",Mon_W1[#Headers],0),0),"")</f>
        <v>0</v>
      </c>
      <c r="T65" s="93">
        <f>IFERROR(VLOOKUP(SupSum[[#This Row],[Supervisor]],Mon_W1[],MATCH("Admin",Mon_W1[#Headers],0),0),"")</f>
        <v>0</v>
      </c>
      <c r="U65" s="93" t="str">
        <f>IFERROR(VLOOKUP(SupSum[[#This Row],[Supervisor]],Mon_W1[],MATCH("Team MTG",Mon_W1[#Headers],0),0),"")</f>
        <v/>
      </c>
      <c r="W65" s="93">
        <f>IFERROR(VLOOKUP(SupSum[[#This Row],[Supervisor]],Tue_W1[],MATCH("Help Line",Tue_W1[#Headers],0),0),"")</f>
        <v>0</v>
      </c>
      <c r="X65" s="93">
        <f>IFERROR(VLOOKUP(SupSum[[#This Row],[Supervisor]],Tue_W1[],MATCH("RTA",Tue_W1[#Headers],0),0),"")</f>
        <v>0</v>
      </c>
      <c r="Y65" s="93">
        <f>IFERROR(VLOOKUP(SupSum[[#This Row],[Supervisor]],Tue_W1[],MATCH("Admin",Tue_W1[#Headers],0),0),"")</f>
        <v>0</v>
      </c>
      <c r="Z65" s="93" t="str">
        <f>IFERROR(VLOOKUP(SupSum[[#This Row],[Supervisor]],Tue_W1[],MATCH("Team MTG",Tue_W1[#Headers],0),0),"")</f>
        <v/>
      </c>
      <c r="AB65" s="93">
        <f>IFERROR(VLOOKUP(SupSum[[#This Row],[Supervisor]],Wed_W1[],MATCH("Help Line",Wed_W1[#Headers],0),0),"")</f>
        <v>0</v>
      </c>
      <c r="AC65" s="93">
        <f>IFERROR(VLOOKUP(SupSum[[#This Row],[Supervisor]],Wed_W1[],MATCH("RTA",Wed_W1[#Headers],0),0),"")</f>
        <v>0</v>
      </c>
      <c r="AD65" s="93">
        <f>IFERROR(VLOOKUP(SupSum[[#This Row],[Supervisor]],Wed_W1[],MATCH("Admin",Wed_W1[#Headers],0),0),"")</f>
        <v>0</v>
      </c>
      <c r="AE65" s="93" t="str">
        <f>IFERROR(VLOOKUP(SupSum[[#This Row],[Supervisor]],Wed_W1[],MATCH("Team MTG",Wed_W1[#Headers],0),0),"")</f>
        <v/>
      </c>
      <c r="AG65" s="93">
        <f>IFERROR(VLOOKUP(SupSum[[#This Row],[Supervisor]],Thu_W1[],MATCH("Help Line",Thu_W1[#Headers],0),0),"")</f>
        <v>0</v>
      </c>
      <c r="AH65" s="93">
        <f>IFERROR(VLOOKUP(SupSum[[#This Row],[Supervisor]],Thu_W1[],MATCH("RTA",Thu_W1[#Headers],0),0),"")</f>
        <v>0</v>
      </c>
      <c r="AI65" s="93">
        <f>IFERROR(VLOOKUP(SupSum[[#This Row],[Supervisor]],Thu_W1[],MATCH("Admin",Thu_W1[#Headers],0),0),"")</f>
        <v>0</v>
      </c>
      <c r="AJ65" s="93" t="str">
        <f>IFERROR(VLOOKUP(SupSum[[#This Row],[Supervisor]],Thu_W1[],MATCH("Team MTG",Thu_W1[#Headers],0),0),"")</f>
        <v/>
      </c>
      <c r="AL65" s="93">
        <f>IFERROR(VLOOKUP(SupSum[[#This Row],[Supervisor]],Fri_W1[],MATCH("Help Line",Fri_W1[#Headers],0),0),"")</f>
        <v>0</v>
      </c>
      <c r="AM65" s="93">
        <f>IFERROR(VLOOKUP(SupSum[[#This Row],[Supervisor]],Fri_W1[],MATCH("RTA",Fri_W1[#Headers],0),0),"")</f>
        <v>0</v>
      </c>
      <c r="AN65" s="93">
        <f>IFERROR(VLOOKUP(SupSum[[#This Row],[Supervisor]],Fri_W1[],MATCH("Admin",Fri_W1[#Headers],0),0),"")</f>
        <v>0</v>
      </c>
      <c r="AO65" s="93" t="str">
        <f>IFERROR(VLOOKUP(SupSum[[#This Row],[Supervisor]],Fri_W1[],MATCH("Team MTG",Fri_W1[#Headers],0),0),"")</f>
        <v/>
      </c>
      <c r="AQ65" s="93" t="str">
        <f>IFERROR(VLOOKUP(SupSum[[#This Row],[Supervisor]],Sat_W1[],MATCH("Help Line",Sat_W1[#Headers],0),0),"")</f>
        <v/>
      </c>
      <c r="AR65" s="93" t="str">
        <f>IFERROR(VLOOKUP(SupSum[[#This Row],[Supervisor]],Sat_W1[],MATCH("RTA",Sat_W1[#Headers],0),0),"")</f>
        <v/>
      </c>
      <c r="AS65" s="93" t="str">
        <f>IFERROR(VLOOKUP(SupSum[[#This Row],[Supervisor]],Sat_W1[],MATCH("Admin",Sat_W1[#Headers],0),0),"")</f>
        <v/>
      </c>
      <c r="AT65" s="93" t="str">
        <f>IFERROR(VLOOKUP(SupSum[[#This Row],[Supervisor]],Sat_W1[],MATCH("Team MTG",Sat_W1[#Headers],0),0),"")</f>
        <v/>
      </c>
      <c r="AV65" s="93" t="str">
        <f>IFERROR(VLOOKUP(SupSum[[#This Row],[Supervisor]],Sun_W2[],MATCH("Help Line",Sun_W2[#Headers],0),0),"")</f>
        <v/>
      </c>
      <c r="AW65" s="93" t="str">
        <f>IFERROR(VLOOKUP(SupSum[[#This Row],[Supervisor]],Sun_W2[],MATCH("RTA",Sun_W2[#Headers],0),0),"")</f>
        <v/>
      </c>
      <c r="AX65" s="93" t="str">
        <f>IFERROR(VLOOKUP(SupSum[[#This Row],[Supervisor]],Sun_W2[],MATCH("Admin",Sun_W2[#Headers],0),0),"")</f>
        <v/>
      </c>
      <c r="AY65" s="93" t="str">
        <f>IFERROR(VLOOKUP(SupSum[[#This Row],[Supervisor]],Sun_W2[],MATCH("Team MTG",Sun_W2[#Headers],0),0),"")</f>
        <v/>
      </c>
      <c r="BA65" s="93">
        <f>IFERROR(VLOOKUP(SupSum[[#This Row],[Supervisor]],Mon_W2[],MATCH("Help Line",Mon_W2[#Headers],0),0),"")</f>
        <v>0</v>
      </c>
      <c r="BB65" s="93">
        <f>IFERROR(VLOOKUP(SupSum[[#This Row],[Supervisor]],Mon_W2[],MATCH("RTA",Mon_W2[#Headers],0),0),"")</f>
        <v>0</v>
      </c>
      <c r="BC65" s="93">
        <f>IFERROR(VLOOKUP(SupSum[[#This Row],[Supervisor]],Mon_W2[],MATCH("Admin",Mon_W2[#Headers],0),0),"")</f>
        <v>0</v>
      </c>
      <c r="BD65" s="93" t="str">
        <f>IFERROR(VLOOKUP(SupSum[[#This Row],[Supervisor]],Mon_W2[],MATCH("Team MTG",Mon_W2[#Headers],0),0),"")</f>
        <v/>
      </c>
      <c r="BF65" s="93">
        <f>IFERROR(VLOOKUP(SupSum[[#This Row],[Supervisor]],Tue_W2[],MATCH("Help Line",Tue_W2[#Headers],0),0),"")</f>
        <v>0</v>
      </c>
      <c r="BG65" s="93">
        <f>IFERROR(VLOOKUP(SupSum[[#This Row],[Supervisor]],Tue_W2[],MATCH("RTA",Tue_W2[#Headers],0),0),"")</f>
        <v>0</v>
      </c>
      <c r="BH65" s="93">
        <f>IFERROR(VLOOKUP(SupSum[[#This Row],[Supervisor]],Tue_W2[],MATCH("Admin",Tue_W2[#Headers],0),0),"")</f>
        <v>0</v>
      </c>
      <c r="BI65" s="93" t="str">
        <f>IFERROR(VLOOKUP(SupSum[[#This Row],[Supervisor]],Tue_W2[],MATCH("Team MTG",Tue_W2[#Headers],0),0),"")</f>
        <v/>
      </c>
      <c r="BK65" s="93">
        <f>IFERROR(VLOOKUP(SupSum[[#This Row],[Supervisor]],Wed_W2[],MATCH("Help Line",Wed_W2[#Headers],0),0),"")</f>
        <v>0</v>
      </c>
      <c r="BL65" s="93">
        <f>IFERROR(VLOOKUP(SupSum[[#This Row],[Supervisor]],Wed_W2[],MATCH("RTA",Wed_W2[#Headers],0),0),"")</f>
        <v>0</v>
      </c>
      <c r="BM65" s="93">
        <f>IFERROR(VLOOKUP(SupSum[[#This Row],[Supervisor]],Wed_W2[],MATCH("Admin",Wed_W2[#Headers],0),0),"")</f>
        <v>0</v>
      </c>
      <c r="BN65" s="93" t="str">
        <f>IFERROR(VLOOKUP(SupSum[[#This Row],[Supervisor]],Wed_W2[],MATCH("Team MTG",Wed_W2[#Headers],0),0),"")</f>
        <v/>
      </c>
      <c r="BP65" s="93">
        <f>IFERROR(VLOOKUP(SupSum[[#This Row],[Supervisor]],Thu_W2[],MATCH("Help Line",Thu_W2[#Headers],0),0),"")</f>
        <v>0</v>
      </c>
      <c r="BQ65" s="93">
        <f>IFERROR(VLOOKUP(SupSum[[#This Row],[Supervisor]],Thu_W2[],MATCH("RTA",Thu_W2[#Headers],0),0),"")</f>
        <v>0</v>
      </c>
      <c r="BR65" s="93">
        <f>IFERROR(VLOOKUP(SupSum[[#This Row],[Supervisor]],Thu_W2[],MATCH("Admin",Thu_W2[#Headers],0),0),"")</f>
        <v>0</v>
      </c>
      <c r="BS65" s="93" t="str">
        <f>IFERROR(VLOOKUP(SupSum[[#This Row],[Supervisor]],Thu_W2[],MATCH("Team MTG",Thu_W2[#Headers],0),0),"")</f>
        <v/>
      </c>
      <c r="BU65" s="93">
        <f>IFERROR(VLOOKUP(SupSum[[#This Row],[Supervisor]],Fri_W2[],MATCH("Help Line",Fri_W2[#Headers],0),0),"")</f>
        <v>0</v>
      </c>
      <c r="BV65" s="93">
        <f>IFERROR(VLOOKUP(SupSum[[#This Row],[Supervisor]],Fri_W2[],MATCH("RTA",Fri_W2[#Headers],0),0),"")</f>
        <v>0</v>
      </c>
      <c r="BW65" s="93">
        <f>IFERROR(VLOOKUP(SupSum[[#This Row],[Supervisor]],Fri_W2[],MATCH("Admin",Fri_W2[#Headers],0),0),"")</f>
        <v>0</v>
      </c>
      <c r="BX65" s="93" t="str">
        <f>IFERROR(VLOOKUP(SupSum[[#This Row],[Supervisor]],Fri_W2[],MATCH("Team MTG",Fri_W2[#Headers],0),0),"")</f>
        <v/>
      </c>
      <c r="BZ65" s="93" t="str">
        <f>IFERROR(VLOOKUP(SupSum[[#This Row],[Supervisor]],Sat_W2[],MATCH("Help Line",Sat_W2[#Headers],0),0),"")</f>
        <v/>
      </c>
      <c r="CA65" s="93" t="str">
        <f>IFERROR(VLOOKUP(SupSum[[#This Row],[Supervisor]],Sat_W2[],MATCH("RTA",Sat_W2[#Headers],0),0),"")</f>
        <v/>
      </c>
      <c r="CB65" s="93" t="str">
        <f>IFERROR(VLOOKUP(SupSum[[#This Row],[Supervisor]],Sat_W2[],MATCH("Admin",Sat_W2[#Headers],0),0),"")</f>
        <v/>
      </c>
      <c r="CC65" s="93" t="str">
        <f>IFERROR(VLOOKUP(SupSum[[#This Row],[Supervisor]],Sat_W2[],MATCH("Team MTG",Sat_W2[#Headers],0),0),"")</f>
        <v/>
      </c>
    </row>
    <row r="66" spans="2:81" x14ac:dyDescent="0.2">
      <c r="B66" s="6" t="s">
        <v>23</v>
      </c>
      <c r="C66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66" s="93">
        <f>SUM(SSum_Sun1[[#This Row],[RTA]],SSum_Mon1[[#This Row],[RTA]],SSum_Tue1[[#This Row],[RTA]],SSum_Wed1[[#This Row],[RTA]],SSum_Thu1[[#This Row],[RTA]],SSum_Fri1[[#This Row],[RTA]],SSum_Sat1[[#This Row],[RTA]])</f>
        <v>0</v>
      </c>
      <c r="E66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66" s="93">
        <f>SUM(SSum_Sun1[[#This Row],[TM]],SSum_Mon1[[#This Row],[TM]],SSum_Tue1[[#This Row],[TM]],SSum_Wed1[[#This Row],[TM]],SSum_Thu1[[#This Row],[TM]],SSum_Fri1[[#This Row],[TM]],SSum_Sat1[[#This Row],[TM]])</f>
        <v>0</v>
      </c>
      <c r="G66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66" s="93">
        <f>SUM(SSum_Sun2[[#This Row],[RTA]],SSum_Mon2[[#This Row],[RTA]],SSum_Tue2[[#This Row],[RTA]],SSum_Wed2[[#This Row],[RTA]],SSum_Thu2[[#This Row],[RTA]],SSum_Fri2[[#This Row],[RTA]],SSum_Sat2[[#This Row],[RTA]])</f>
        <v>0</v>
      </c>
      <c r="I66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66" s="93">
        <f>SUM(SSum_Sun2[[#This Row],[TM]],SSum_Mon2[[#This Row],[TM]],SSum_Tue2[[#This Row],[TM]],SSum_Wed2[[#This Row],[TM]],SSum_Thu2[[#This Row],[TM]],SSum_Fri2[[#This Row],[TM]],SSum_Sat2[[#This Row],[TM]])</f>
        <v>0</v>
      </c>
      <c r="K66" s="208">
        <v>14</v>
      </c>
      <c r="M66" s="93">
        <f>IFERROR(VLOOKUP(SupSum[[#This Row],[Supervisor]],Sun_W1[],MATCH("Help Line",Sun_W1[#Headers],0),0),"")</f>
        <v>0</v>
      </c>
      <c r="N66" s="93">
        <f>IFERROR(VLOOKUP(SupSum[[#This Row],[Supervisor]],Sun_W1[],MATCH("RTA",Sun_W1[#Headers],0),0),"")</f>
        <v>0</v>
      </c>
      <c r="O66" s="93">
        <f>IFERROR(VLOOKUP(SupSum[[#This Row],[Supervisor]],Sun_W1[],MATCH("Admin",Sun_W1[#Headers],0),0),"")</f>
        <v>0</v>
      </c>
      <c r="P66" s="93" t="str">
        <f>IFERROR(VLOOKUP(SupSum[[#This Row],[Supervisor]],Sun_W1[],MATCH("Team MTG",Sun_W1[#Headers],0),0),"")</f>
        <v/>
      </c>
      <c r="R66" s="93">
        <f>IFERROR(VLOOKUP(SupSum[[#This Row],[Supervisor]],Mon_W1[],MATCH("Help Line",Mon_W1[#Headers],0),0),"")</f>
        <v>0</v>
      </c>
      <c r="S66" s="93">
        <f>IFERROR(VLOOKUP(SupSum[[#This Row],[Supervisor]],Mon_W1[],MATCH("RTA",Mon_W1[#Headers],0),0),"")</f>
        <v>0</v>
      </c>
      <c r="T66" s="93">
        <f>IFERROR(VLOOKUP(SupSum[[#This Row],[Supervisor]],Mon_W1[],MATCH("Admin",Mon_W1[#Headers],0),0),"")</f>
        <v>0</v>
      </c>
      <c r="U66" s="93" t="str">
        <f>IFERROR(VLOOKUP(SupSum[[#This Row],[Supervisor]],Mon_W1[],MATCH("Team MTG",Mon_W1[#Headers],0),0),"")</f>
        <v/>
      </c>
      <c r="W66" s="93">
        <f>IFERROR(VLOOKUP(SupSum[[#This Row],[Supervisor]],Tue_W1[],MATCH("Help Line",Tue_W1[#Headers],0),0),"")</f>
        <v>0</v>
      </c>
      <c r="X66" s="93">
        <f>IFERROR(VLOOKUP(SupSum[[#This Row],[Supervisor]],Tue_W1[],MATCH("RTA",Tue_W1[#Headers],0),0),"")</f>
        <v>0</v>
      </c>
      <c r="Y66" s="93">
        <f>IFERROR(VLOOKUP(SupSum[[#This Row],[Supervisor]],Tue_W1[],MATCH("Admin",Tue_W1[#Headers],0),0),"")</f>
        <v>0</v>
      </c>
      <c r="Z66" s="93" t="str">
        <f>IFERROR(VLOOKUP(SupSum[[#This Row],[Supervisor]],Tue_W1[],MATCH("Team MTG",Tue_W1[#Headers],0),0),"")</f>
        <v/>
      </c>
      <c r="AB66" s="93" t="str">
        <f>IFERROR(VLOOKUP(SupSum[[#This Row],[Supervisor]],Wed_W1[],MATCH("Help Line",Wed_W1[#Headers],0),0),"")</f>
        <v/>
      </c>
      <c r="AC66" s="93" t="str">
        <f>IFERROR(VLOOKUP(SupSum[[#This Row],[Supervisor]],Wed_W1[],MATCH("RTA",Wed_W1[#Headers],0),0),"")</f>
        <v/>
      </c>
      <c r="AD66" s="93" t="str">
        <f>IFERROR(VLOOKUP(SupSum[[#This Row],[Supervisor]],Wed_W1[],MATCH("Admin",Wed_W1[#Headers],0),0),"")</f>
        <v/>
      </c>
      <c r="AE66" s="93" t="str">
        <f>IFERROR(VLOOKUP(SupSum[[#This Row],[Supervisor]],Wed_W1[],MATCH("Team MTG",Wed_W1[#Headers],0),0),"")</f>
        <v/>
      </c>
      <c r="AG66" s="93" t="str">
        <f>IFERROR(VLOOKUP(SupSum[[#This Row],[Supervisor]],Thu_W1[],MATCH("Help Line",Thu_W1[#Headers],0),0),"")</f>
        <v/>
      </c>
      <c r="AH66" s="93" t="str">
        <f>IFERROR(VLOOKUP(SupSum[[#This Row],[Supervisor]],Thu_W1[],MATCH("RTA",Thu_W1[#Headers],0),0),"")</f>
        <v/>
      </c>
      <c r="AI66" s="93" t="str">
        <f>IFERROR(VLOOKUP(SupSum[[#This Row],[Supervisor]],Thu_W1[],MATCH("Admin",Thu_W1[#Headers],0),0),"")</f>
        <v/>
      </c>
      <c r="AJ66" s="93" t="str">
        <f>IFERROR(VLOOKUP(SupSum[[#This Row],[Supervisor]],Thu_W1[],MATCH("Team MTG",Thu_W1[#Headers],0),0),"")</f>
        <v/>
      </c>
      <c r="AL66" s="93">
        <f>IFERROR(VLOOKUP(SupSum[[#This Row],[Supervisor]],Fri_W1[],MATCH("Help Line",Fri_W1[#Headers],0),0),"")</f>
        <v>0</v>
      </c>
      <c r="AM66" s="93">
        <f>IFERROR(VLOOKUP(SupSum[[#This Row],[Supervisor]],Fri_W1[],MATCH("RTA",Fri_W1[#Headers],0),0),"")</f>
        <v>0</v>
      </c>
      <c r="AN66" s="93">
        <f>IFERROR(VLOOKUP(SupSum[[#This Row],[Supervisor]],Fri_W1[],MATCH("Admin",Fri_W1[#Headers],0),0),"")</f>
        <v>0</v>
      </c>
      <c r="AO66" s="93" t="str">
        <f>IFERROR(VLOOKUP(SupSum[[#This Row],[Supervisor]],Fri_W1[],MATCH("Team MTG",Fri_W1[#Headers],0),0),"")</f>
        <v/>
      </c>
      <c r="AQ66" s="93">
        <f>IFERROR(VLOOKUP(SupSum[[#This Row],[Supervisor]],Sat_W1[],MATCH("Help Line",Sat_W1[#Headers],0),0),"")</f>
        <v>0</v>
      </c>
      <c r="AR66" s="93">
        <f>IFERROR(VLOOKUP(SupSum[[#This Row],[Supervisor]],Sat_W1[],MATCH("RTA",Sat_W1[#Headers],0),0),"")</f>
        <v>0</v>
      </c>
      <c r="AS66" s="93">
        <f>IFERROR(VLOOKUP(SupSum[[#This Row],[Supervisor]],Sat_W1[],MATCH("Admin",Sat_W1[#Headers],0),0),"")</f>
        <v>0</v>
      </c>
      <c r="AT66" s="93" t="str">
        <f>IFERROR(VLOOKUP(SupSum[[#This Row],[Supervisor]],Sat_W1[],MATCH("Team MTG",Sat_W1[#Headers],0),0),"")</f>
        <v/>
      </c>
      <c r="AV66" s="93">
        <f>IFERROR(VLOOKUP(SupSum[[#This Row],[Supervisor]],Sun_W2[],MATCH("Help Line",Sun_W2[#Headers],0),0),"")</f>
        <v>0</v>
      </c>
      <c r="AW66" s="93">
        <f>IFERROR(VLOOKUP(SupSum[[#This Row],[Supervisor]],Sun_W2[],MATCH("RTA",Sun_W2[#Headers],0),0),"")</f>
        <v>0</v>
      </c>
      <c r="AX66" s="93">
        <f>IFERROR(VLOOKUP(SupSum[[#This Row],[Supervisor]],Sun_W2[],MATCH("Admin",Sun_W2[#Headers],0),0),"")</f>
        <v>0</v>
      </c>
      <c r="AY66" s="93" t="str">
        <f>IFERROR(VLOOKUP(SupSum[[#This Row],[Supervisor]],Sun_W2[],MATCH("Team MTG",Sun_W2[#Headers],0),0),"")</f>
        <v/>
      </c>
      <c r="BA66" s="93">
        <f>IFERROR(VLOOKUP(SupSum[[#This Row],[Supervisor]],Mon_W2[],MATCH("Help Line",Mon_W2[#Headers],0),0),"")</f>
        <v>0</v>
      </c>
      <c r="BB66" s="93">
        <f>IFERROR(VLOOKUP(SupSum[[#This Row],[Supervisor]],Mon_W2[],MATCH("RTA",Mon_W2[#Headers],0),0),"")</f>
        <v>0</v>
      </c>
      <c r="BC66" s="93">
        <f>IFERROR(VLOOKUP(SupSum[[#This Row],[Supervisor]],Mon_W2[],MATCH("Admin",Mon_W2[#Headers],0),0),"")</f>
        <v>0</v>
      </c>
      <c r="BD66" s="93" t="str">
        <f>IFERROR(VLOOKUP(SupSum[[#This Row],[Supervisor]],Mon_W2[],MATCH("Team MTG",Mon_W2[#Headers],0),0),"")</f>
        <v/>
      </c>
      <c r="BF66" s="93">
        <f>IFERROR(VLOOKUP(SupSum[[#This Row],[Supervisor]],Tue_W2[],MATCH("Help Line",Tue_W2[#Headers],0),0),"")</f>
        <v>0</v>
      </c>
      <c r="BG66" s="93">
        <f>IFERROR(VLOOKUP(SupSum[[#This Row],[Supervisor]],Tue_W2[],MATCH("RTA",Tue_W2[#Headers],0),0),"")</f>
        <v>0</v>
      </c>
      <c r="BH66" s="93">
        <f>IFERROR(VLOOKUP(SupSum[[#This Row],[Supervisor]],Tue_W2[],MATCH("Admin",Tue_W2[#Headers],0),0),"")</f>
        <v>0</v>
      </c>
      <c r="BI66" s="93" t="str">
        <f>IFERROR(VLOOKUP(SupSum[[#This Row],[Supervisor]],Tue_W2[],MATCH("Team MTG",Tue_W2[#Headers],0),0),"")</f>
        <v/>
      </c>
      <c r="BK66" s="93" t="str">
        <f>IFERROR(VLOOKUP(SupSum[[#This Row],[Supervisor]],Wed_W2[],MATCH("Help Line",Wed_W2[#Headers],0),0),"")</f>
        <v/>
      </c>
      <c r="BL66" s="93" t="str">
        <f>IFERROR(VLOOKUP(SupSum[[#This Row],[Supervisor]],Wed_W2[],MATCH("RTA",Wed_W2[#Headers],0),0),"")</f>
        <v/>
      </c>
      <c r="BM66" s="93" t="str">
        <f>IFERROR(VLOOKUP(SupSum[[#This Row],[Supervisor]],Wed_W2[],MATCH("Admin",Wed_W2[#Headers],0),0),"")</f>
        <v/>
      </c>
      <c r="BN66" s="93" t="str">
        <f>IFERROR(VLOOKUP(SupSum[[#This Row],[Supervisor]],Wed_W2[],MATCH("Team MTG",Wed_W2[#Headers],0),0),"")</f>
        <v/>
      </c>
      <c r="BP66" s="93" t="str">
        <f>IFERROR(VLOOKUP(SupSum[[#This Row],[Supervisor]],Thu_W2[],MATCH("Help Line",Thu_W2[#Headers],0),0),"")</f>
        <v/>
      </c>
      <c r="BQ66" s="93" t="str">
        <f>IFERROR(VLOOKUP(SupSum[[#This Row],[Supervisor]],Thu_W2[],MATCH("RTA",Thu_W2[#Headers],0),0),"")</f>
        <v/>
      </c>
      <c r="BR66" s="93" t="str">
        <f>IFERROR(VLOOKUP(SupSum[[#This Row],[Supervisor]],Thu_W2[],MATCH("Admin",Thu_W2[#Headers],0),0),"")</f>
        <v/>
      </c>
      <c r="BS66" s="93" t="str">
        <f>IFERROR(VLOOKUP(SupSum[[#This Row],[Supervisor]],Thu_W2[],MATCH("Team MTG",Thu_W2[#Headers],0),0),"")</f>
        <v/>
      </c>
      <c r="BU66" s="93">
        <f>IFERROR(VLOOKUP(SupSum[[#This Row],[Supervisor]],Fri_W2[],MATCH("Help Line",Fri_W2[#Headers],0),0),"")</f>
        <v>0</v>
      </c>
      <c r="BV66" s="93">
        <f>IFERROR(VLOOKUP(SupSum[[#This Row],[Supervisor]],Fri_W2[],MATCH("RTA",Fri_W2[#Headers],0),0),"")</f>
        <v>0</v>
      </c>
      <c r="BW66" s="93">
        <f>IFERROR(VLOOKUP(SupSum[[#This Row],[Supervisor]],Fri_W2[],MATCH("Admin",Fri_W2[#Headers],0),0),"")</f>
        <v>0</v>
      </c>
      <c r="BX66" s="93" t="str">
        <f>IFERROR(VLOOKUP(SupSum[[#This Row],[Supervisor]],Fri_W2[],MATCH("Team MTG",Fri_W2[#Headers],0),0),"")</f>
        <v/>
      </c>
      <c r="BZ66" s="93">
        <f>IFERROR(VLOOKUP(SupSum[[#This Row],[Supervisor]],Sat_W2[],MATCH("Help Line",Sat_W2[#Headers],0),0),"")</f>
        <v>0</v>
      </c>
      <c r="CA66" s="93">
        <f>IFERROR(VLOOKUP(SupSum[[#This Row],[Supervisor]],Sat_W2[],MATCH("RTA",Sat_W2[#Headers],0),0),"")</f>
        <v>0</v>
      </c>
      <c r="CB66" s="93">
        <f>IFERROR(VLOOKUP(SupSum[[#This Row],[Supervisor]],Sat_W2[],MATCH("Admin",Sat_W2[#Headers],0),0),"")</f>
        <v>0</v>
      </c>
      <c r="CC66" s="93" t="str">
        <f>IFERROR(VLOOKUP(SupSum[[#This Row],[Supervisor]],Sat_W2[],MATCH("Team MTG",Sat_W2[#Headers],0),0),"")</f>
        <v/>
      </c>
    </row>
    <row r="67" spans="2:81" x14ac:dyDescent="0.2">
      <c r="B67" s="6" t="s">
        <v>27</v>
      </c>
      <c r="C67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67" s="93">
        <f>SUM(SSum_Sun1[[#This Row],[RTA]],SSum_Mon1[[#This Row],[RTA]],SSum_Tue1[[#This Row],[RTA]],SSum_Wed1[[#This Row],[RTA]],SSum_Thu1[[#This Row],[RTA]],SSum_Fri1[[#This Row],[RTA]],SSum_Sat1[[#This Row],[RTA]])</f>
        <v>0</v>
      </c>
      <c r="E67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67" s="93">
        <f>SUM(SSum_Sun1[[#This Row],[TM]],SSum_Mon1[[#This Row],[TM]],SSum_Tue1[[#This Row],[TM]],SSum_Wed1[[#This Row],[TM]],SSum_Thu1[[#This Row],[TM]],SSum_Fri1[[#This Row],[TM]],SSum_Sat1[[#This Row],[TM]])</f>
        <v>0</v>
      </c>
      <c r="G67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67" s="93">
        <f>SUM(SSum_Sun2[[#This Row],[RTA]],SSum_Mon2[[#This Row],[RTA]],SSum_Tue2[[#This Row],[RTA]],SSum_Wed2[[#This Row],[RTA]],SSum_Thu2[[#This Row],[RTA]],SSum_Fri2[[#This Row],[RTA]],SSum_Sat2[[#This Row],[RTA]])</f>
        <v>0</v>
      </c>
      <c r="I67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67" s="93">
        <f>SUM(SSum_Sun2[[#This Row],[TM]],SSum_Mon2[[#This Row],[TM]],SSum_Tue2[[#This Row],[TM]],SSum_Wed2[[#This Row],[TM]],SSum_Thu2[[#This Row],[TM]],SSum_Fri2[[#This Row],[TM]],SSum_Sat2[[#This Row],[TM]])</f>
        <v>0</v>
      </c>
      <c r="K67" s="208">
        <v>13</v>
      </c>
      <c r="M67" s="93" t="str">
        <f>IFERROR(VLOOKUP(SupSum[[#This Row],[Supervisor]],Sun_W1[],MATCH("Help Line",Sun_W1[#Headers],0),0),"")</f>
        <v/>
      </c>
      <c r="N67" s="93" t="str">
        <f>IFERROR(VLOOKUP(SupSum[[#This Row],[Supervisor]],Sun_W1[],MATCH("RTA",Sun_W1[#Headers],0),0),"")</f>
        <v/>
      </c>
      <c r="O67" s="93" t="str">
        <f>IFERROR(VLOOKUP(SupSum[[#This Row],[Supervisor]],Sun_W1[],MATCH("Admin",Sun_W1[#Headers],0),0),"")</f>
        <v/>
      </c>
      <c r="P67" s="93" t="str">
        <f>IFERROR(VLOOKUP(SupSum[[#This Row],[Supervisor]],Sun_W1[],MATCH("Team MTG",Sun_W1[#Headers],0),0),"")</f>
        <v/>
      </c>
      <c r="R67" s="93">
        <f>IFERROR(VLOOKUP(SupSum[[#This Row],[Supervisor]],Mon_W1[],MATCH("Help Line",Mon_W1[#Headers],0),0),"")</f>
        <v>0</v>
      </c>
      <c r="S67" s="93">
        <f>IFERROR(VLOOKUP(SupSum[[#This Row],[Supervisor]],Mon_W1[],MATCH("RTA",Mon_W1[#Headers],0),0),"")</f>
        <v>0</v>
      </c>
      <c r="T67" s="93">
        <f>IFERROR(VLOOKUP(SupSum[[#This Row],[Supervisor]],Mon_W1[],MATCH("Admin",Mon_W1[#Headers],0),0),"")</f>
        <v>0</v>
      </c>
      <c r="U67" s="93" t="str">
        <f>IFERROR(VLOOKUP(SupSum[[#This Row],[Supervisor]],Mon_W1[],MATCH("Team MTG",Mon_W1[#Headers],0),0),"")</f>
        <v/>
      </c>
      <c r="W67" s="93">
        <f>IFERROR(VLOOKUP(SupSum[[#This Row],[Supervisor]],Tue_W1[],MATCH("Help Line",Tue_W1[#Headers],0),0),"")</f>
        <v>0</v>
      </c>
      <c r="X67" s="93">
        <f>IFERROR(VLOOKUP(SupSum[[#This Row],[Supervisor]],Tue_W1[],MATCH("RTA",Tue_W1[#Headers],0),0),"")</f>
        <v>0</v>
      </c>
      <c r="Y67" s="93">
        <f>IFERROR(VLOOKUP(SupSum[[#This Row],[Supervisor]],Tue_W1[],MATCH("Admin",Tue_W1[#Headers],0),0),"")</f>
        <v>0</v>
      </c>
      <c r="Z67" s="93" t="str">
        <f>IFERROR(VLOOKUP(SupSum[[#This Row],[Supervisor]],Tue_W1[],MATCH("Team MTG",Tue_W1[#Headers],0),0),"")</f>
        <v/>
      </c>
      <c r="AB67" s="93">
        <f>IFERROR(VLOOKUP(SupSum[[#This Row],[Supervisor]],Wed_W1[],MATCH("Help Line",Wed_W1[#Headers],0),0),"")</f>
        <v>0</v>
      </c>
      <c r="AC67" s="93">
        <f>IFERROR(VLOOKUP(SupSum[[#This Row],[Supervisor]],Wed_W1[],MATCH("RTA",Wed_W1[#Headers],0),0),"")</f>
        <v>0</v>
      </c>
      <c r="AD67" s="93">
        <f>IFERROR(VLOOKUP(SupSum[[#This Row],[Supervisor]],Wed_W1[],MATCH("Admin",Wed_W1[#Headers],0),0),"")</f>
        <v>0</v>
      </c>
      <c r="AE67" s="93" t="str">
        <f>IFERROR(VLOOKUP(SupSum[[#This Row],[Supervisor]],Wed_W1[],MATCH("Team MTG",Wed_W1[#Headers],0),0),"")</f>
        <v/>
      </c>
      <c r="AG67" s="93">
        <f>IFERROR(VLOOKUP(SupSum[[#This Row],[Supervisor]],Thu_W1[],MATCH("Help Line",Thu_W1[#Headers],0),0),"")</f>
        <v>0</v>
      </c>
      <c r="AH67" s="93">
        <f>IFERROR(VLOOKUP(SupSum[[#This Row],[Supervisor]],Thu_W1[],MATCH("RTA",Thu_W1[#Headers],0),0),"")</f>
        <v>0</v>
      </c>
      <c r="AI67" s="93">
        <f>IFERROR(VLOOKUP(SupSum[[#This Row],[Supervisor]],Thu_W1[],MATCH("Admin",Thu_W1[#Headers],0),0),"")</f>
        <v>0</v>
      </c>
      <c r="AJ67" s="93" t="str">
        <f>IFERROR(VLOOKUP(SupSum[[#This Row],[Supervisor]],Thu_W1[],MATCH("Team MTG",Thu_W1[#Headers],0),0),"")</f>
        <v/>
      </c>
      <c r="AL67" s="93">
        <f>IFERROR(VLOOKUP(SupSum[[#This Row],[Supervisor]],Fri_W1[],MATCH("Help Line",Fri_W1[#Headers],0),0),"")</f>
        <v>0</v>
      </c>
      <c r="AM67" s="93">
        <f>IFERROR(VLOOKUP(SupSum[[#This Row],[Supervisor]],Fri_W1[],MATCH("RTA",Fri_W1[#Headers],0),0),"")</f>
        <v>0</v>
      </c>
      <c r="AN67" s="93">
        <f>IFERROR(VLOOKUP(SupSum[[#This Row],[Supervisor]],Fri_W1[],MATCH("Admin",Fri_W1[#Headers],0),0),"")</f>
        <v>0</v>
      </c>
      <c r="AO67" s="93" t="str">
        <f>IFERROR(VLOOKUP(SupSum[[#This Row],[Supervisor]],Fri_W1[],MATCH("Team MTG",Fri_W1[#Headers],0),0),"")</f>
        <v/>
      </c>
      <c r="AQ67" s="93" t="str">
        <f>IFERROR(VLOOKUP(SupSum[[#This Row],[Supervisor]],Sat_W1[],MATCH("Help Line",Sat_W1[#Headers],0),0),"")</f>
        <v/>
      </c>
      <c r="AR67" s="93" t="str">
        <f>IFERROR(VLOOKUP(SupSum[[#This Row],[Supervisor]],Sat_W1[],MATCH("RTA",Sat_W1[#Headers],0),0),"")</f>
        <v/>
      </c>
      <c r="AS67" s="93" t="str">
        <f>IFERROR(VLOOKUP(SupSum[[#This Row],[Supervisor]],Sat_W1[],MATCH("Admin",Sat_W1[#Headers],0),0),"")</f>
        <v/>
      </c>
      <c r="AT67" s="93" t="str">
        <f>IFERROR(VLOOKUP(SupSum[[#This Row],[Supervisor]],Sat_W1[],MATCH("Team MTG",Sat_W1[#Headers],0),0),"")</f>
        <v/>
      </c>
      <c r="AV67" s="93" t="str">
        <f>IFERROR(VLOOKUP(SupSum[[#This Row],[Supervisor]],Sun_W2[],MATCH("Help Line",Sun_W2[#Headers],0),0),"")</f>
        <v/>
      </c>
      <c r="AW67" s="93" t="str">
        <f>IFERROR(VLOOKUP(SupSum[[#This Row],[Supervisor]],Sun_W2[],MATCH("RTA",Sun_W2[#Headers],0),0),"")</f>
        <v/>
      </c>
      <c r="AX67" s="93" t="str">
        <f>IFERROR(VLOOKUP(SupSum[[#This Row],[Supervisor]],Sun_W2[],MATCH("Admin",Sun_W2[#Headers],0),0),"")</f>
        <v/>
      </c>
      <c r="AY67" s="93" t="str">
        <f>IFERROR(VLOOKUP(SupSum[[#This Row],[Supervisor]],Sun_W2[],MATCH("Team MTG",Sun_W2[#Headers],0),0),"")</f>
        <v/>
      </c>
      <c r="BA67" s="93">
        <f>IFERROR(VLOOKUP(SupSum[[#This Row],[Supervisor]],Mon_W2[],MATCH("Help Line",Mon_W2[#Headers],0),0),"")</f>
        <v>0</v>
      </c>
      <c r="BB67" s="93">
        <f>IFERROR(VLOOKUP(SupSum[[#This Row],[Supervisor]],Mon_W2[],MATCH("RTA",Mon_W2[#Headers],0),0),"")</f>
        <v>0</v>
      </c>
      <c r="BC67" s="93">
        <f>IFERROR(VLOOKUP(SupSum[[#This Row],[Supervisor]],Mon_W2[],MATCH("Admin",Mon_W2[#Headers],0),0),"")</f>
        <v>0</v>
      </c>
      <c r="BD67" s="93" t="str">
        <f>IFERROR(VLOOKUP(SupSum[[#This Row],[Supervisor]],Mon_W2[],MATCH("Team MTG",Mon_W2[#Headers],0),0),"")</f>
        <v/>
      </c>
      <c r="BF67" s="93">
        <f>IFERROR(VLOOKUP(SupSum[[#This Row],[Supervisor]],Tue_W2[],MATCH("Help Line",Tue_W2[#Headers],0),0),"")</f>
        <v>0</v>
      </c>
      <c r="BG67" s="93">
        <f>IFERROR(VLOOKUP(SupSum[[#This Row],[Supervisor]],Tue_W2[],MATCH("RTA",Tue_W2[#Headers],0),0),"")</f>
        <v>0</v>
      </c>
      <c r="BH67" s="93">
        <f>IFERROR(VLOOKUP(SupSum[[#This Row],[Supervisor]],Tue_W2[],MATCH("Admin",Tue_W2[#Headers],0),0),"")</f>
        <v>0</v>
      </c>
      <c r="BI67" s="93" t="str">
        <f>IFERROR(VLOOKUP(SupSum[[#This Row],[Supervisor]],Tue_W2[],MATCH("Team MTG",Tue_W2[#Headers],0),0),"")</f>
        <v/>
      </c>
      <c r="BK67" s="93">
        <f>IFERROR(VLOOKUP(SupSum[[#This Row],[Supervisor]],Wed_W2[],MATCH("Help Line",Wed_W2[#Headers],0),0),"")</f>
        <v>0</v>
      </c>
      <c r="BL67" s="93">
        <f>IFERROR(VLOOKUP(SupSum[[#This Row],[Supervisor]],Wed_W2[],MATCH("RTA",Wed_W2[#Headers],0),0),"")</f>
        <v>0</v>
      </c>
      <c r="BM67" s="93">
        <f>IFERROR(VLOOKUP(SupSum[[#This Row],[Supervisor]],Wed_W2[],MATCH("Admin",Wed_W2[#Headers],0),0),"")</f>
        <v>0</v>
      </c>
      <c r="BN67" s="93" t="str">
        <f>IFERROR(VLOOKUP(SupSum[[#This Row],[Supervisor]],Wed_W2[],MATCH("Team MTG",Wed_W2[#Headers],0),0),"")</f>
        <v/>
      </c>
      <c r="BP67" s="93">
        <f>IFERROR(VLOOKUP(SupSum[[#This Row],[Supervisor]],Thu_W2[],MATCH("Help Line",Thu_W2[#Headers],0),0),"")</f>
        <v>0</v>
      </c>
      <c r="BQ67" s="93">
        <f>IFERROR(VLOOKUP(SupSum[[#This Row],[Supervisor]],Thu_W2[],MATCH("RTA",Thu_W2[#Headers],0),0),"")</f>
        <v>0</v>
      </c>
      <c r="BR67" s="93">
        <f>IFERROR(VLOOKUP(SupSum[[#This Row],[Supervisor]],Thu_W2[],MATCH("Admin",Thu_W2[#Headers],0),0),"")</f>
        <v>0</v>
      </c>
      <c r="BS67" s="93" t="str">
        <f>IFERROR(VLOOKUP(SupSum[[#This Row],[Supervisor]],Thu_W2[],MATCH("Team MTG",Thu_W2[#Headers],0),0),"")</f>
        <v/>
      </c>
      <c r="BU67" s="93">
        <f>IFERROR(VLOOKUP(SupSum[[#This Row],[Supervisor]],Fri_W2[],MATCH("Help Line",Fri_W2[#Headers],0),0),"")</f>
        <v>0</v>
      </c>
      <c r="BV67" s="93">
        <f>IFERROR(VLOOKUP(SupSum[[#This Row],[Supervisor]],Fri_W2[],MATCH("RTA",Fri_W2[#Headers],0),0),"")</f>
        <v>0</v>
      </c>
      <c r="BW67" s="93">
        <f>IFERROR(VLOOKUP(SupSum[[#This Row],[Supervisor]],Fri_W2[],MATCH("Admin",Fri_W2[#Headers],0),0),"")</f>
        <v>0</v>
      </c>
      <c r="BX67" s="93" t="str">
        <f>IFERROR(VLOOKUP(SupSum[[#This Row],[Supervisor]],Fri_W2[],MATCH("Team MTG",Fri_W2[#Headers],0),0),"")</f>
        <v/>
      </c>
      <c r="BZ67" s="93" t="str">
        <f>IFERROR(VLOOKUP(SupSum[[#This Row],[Supervisor]],Sat_W2[],MATCH("Help Line",Sat_W2[#Headers],0),0),"")</f>
        <v/>
      </c>
      <c r="CA67" s="93" t="str">
        <f>IFERROR(VLOOKUP(SupSum[[#This Row],[Supervisor]],Sat_W2[],MATCH("RTA",Sat_W2[#Headers],0),0),"")</f>
        <v/>
      </c>
      <c r="CB67" s="93" t="str">
        <f>IFERROR(VLOOKUP(SupSum[[#This Row],[Supervisor]],Sat_W2[],MATCH("Admin",Sat_W2[#Headers],0),0),"")</f>
        <v/>
      </c>
      <c r="CC67" s="93" t="str">
        <f>IFERROR(VLOOKUP(SupSum[[#This Row],[Supervisor]],Sat_W2[],MATCH("Team MTG",Sat_W2[#Headers],0),0),"")</f>
        <v/>
      </c>
    </row>
    <row r="68" spans="2:81" x14ac:dyDescent="0.2">
      <c r="B68" s="6" t="s">
        <v>45</v>
      </c>
      <c r="C68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68" s="93">
        <f>SUM(SSum_Sun1[[#This Row],[RTA]],SSum_Mon1[[#This Row],[RTA]],SSum_Tue1[[#This Row],[RTA]],SSum_Wed1[[#This Row],[RTA]],SSum_Thu1[[#This Row],[RTA]],SSum_Fri1[[#This Row],[RTA]],SSum_Sat1[[#This Row],[RTA]])</f>
        <v>0</v>
      </c>
      <c r="E68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68" s="93">
        <f>SUM(SSum_Sun1[[#This Row],[TM]],SSum_Mon1[[#This Row],[TM]],SSum_Tue1[[#This Row],[TM]],SSum_Wed1[[#This Row],[TM]],SSum_Thu1[[#This Row],[TM]],SSum_Fri1[[#This Row],[TM]],SSum_Sat1[[#This Row],[TM]])</f>
        <v>0</v>
      </c>
      <c r="G68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68" s="93">
        <f>SUM(SSum_Sun2[[#This Row],[RTA]],SSum_Mon2[[#This Row],[RTA]],SSum_Tue2[[#This Row],[RTA]],SSum_Wed2[[#This Row],[RTA]],SSum_Thu2[[#This Row],[RTA]],SSum_Fri2[[#This Row],[RTA]],SSum_Sat2[[#This Row],[RTA]])</f>
        <v>0</v>
      </c>
      <c r="I68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68" s="93">
        <f>SUM(SSum_Sun2[[#This Row],[TM]],SSum_Mon2[[#This Row],[TM]],SSum_Tue2[[#This Row],[TM]],SSum_Wed2[[#This Row],[TM]],SSum_Thu2[[#This Row],[TM]],SSum_Fri2[[#This Row],[TM]],SSum_Sat2[[#This Row],[TM]])</f>
        <v>0</v>
      </c>
      <c r="K68" s="208">
        <v>16</v>
      </c>
      <c r="M68" s="93">
        <f>IFERROR(VLOOKUP(SupSum[[#This Row],[Supervisor]],Sun_W1[],MATCH("Help Line",Sun_W1[#Headers],0),0),"")</f>
        <v>0</v>
      </c>
      <c r="N68" s="93">
        <f>IFERROR(VLOOKUP(SupSum[[#This Row],[Supervisor]],Sun_W1[],MATCH("RTA",Sun_W1[#Headers],0),0),"")</f>
        <v>0</v>
      </c>
      <c r="O68" s="93">
        <f>IFERROR(VLOOKUP(SupSum[[#This Row],[Supervisor]],Sun_W1[],MATCH("Admin",Sun_W1[#Headers],0),0),"")</f>
        <v>0</v>
      </c>
      <c r="P68" s="93" t="str">
        <f>IFERROR(VLOOKUP(SupSum[[#This Row],[Supervisor]],Sun_W1[],MATCH("Team MTG",Sun_W1[#Headers],0),0),"")</f>
        <v/>
      </c>
      <c r="R68" s="93">
        <f>IFERROR(VLOOKUP(SupSum[[#This Row],[Supervisor]],Mon_W1[],MATCH("Help Line",Mon_W1[#Headers],0),0),"")</f>
        <v>0</v>
      </c>
      <c r="S68" s="93">
        <f>IFERROR(VLOOKUP(SupSum[[#This Row],[Supervisor]],Mon_W1[],MATCH("RTA",Mon_W1[#Headers],0),0),"")</f>
        <v>0</v>
      </c>
      <c r="T68" s="93">
        <f>IFERROR(VLOOKUP(SupSum[[#This Row],[Supervisor]],Mon_W1[],MATCH("Admin",Mon_W1[#Headers],0),0),"")</f>
        <v>0</v>
      </c>
      <c r="U68" s="93" t="str">
        <f>IFERROR(VLOOKUP(SupSum[[#This Row],[Supervisor]],Mon_W1[],MATCH("Team MTG",Mon_W1[#Headers],0),0),"")</f>
        <v/>
      </c>
      <c r="W68" s="93">
        <f>IFERROR(VLOOKUP(SupSum[[#This Row],[Supervisor]],Tue_W1[],MATCH("Help Line",Tue_W1[#Headers],0),0),"")</f>
        <v>0</v>
      </c>
      <c r="X68" s="93">
        <f>IFERROR(VLOOKUP(SupSum[[#This Row],[Supervisor]],Tue_W1[],MATCH("RTA",Tue_W1[#Headers],0),0),"")</f>
        <v>0</v>
      </c>
      <c r="Y68" s="93">
        <f>IFERROR(VLOOKUP(SupSum[[#This Row],[Supervisor]],Tue_W1[],MATCH("Admin",Tue_W1[#Headers],0),0),"")</f>
        <v>0</v>
      </c>
      <c r="Z68" s="93" t="str">
        <f>IFERROR(VLOOKUP(SupSum[[#This Row],[Supervisor]],Tue_W1[],MATCH("Team MTG",Tue_W1[#Headers],0),0),"")</f>
        <v/>
      </c>
      <c r="AB68" s="93" t="str">
        <f>IFERROR(VLOOKUP(SupSum[[#This Row],[Supervisor]],Wed_W1[],MATCH("Help Line",Wed_W1[#Headers],0),0),"")</f>
        <v/>
      </c>
      <c r="AC68" s="93" t="str">
        <f>IFERROR(VLOOKUP(SupSum[[#This Row],[Supervisor]],Wed_W1[],MATCH("RTA",Wed_W1[#Headers],0),0),"")</f>
        <v/>
      </c>
      <c r="AD68" s="93" t="str">
        <f>IFERROR(VLOOKUP(SupSum[[#This Row],[Supervisor]],Wed_W1[],MATCH("Admin",Wed_W1[#Headers],0),0),"")</f>
        <v/>
      </c>
      <c r="AE68" s="93" t="str">
        <f>IFERROR(VLOOKUP(SupSum[[#This Row],[Supervisor]],Wed_W1[],MATCH("Team MTG",Wed_W1[#Headers],0),0),"")</f>
        <v/>
      </c>
      <c r="AG68" s="93" t="str">
        <f>IFERROR(VLOOKUP(SupSum[[#This Row],[Supervisor]],Thu_W1[],MATCH("Help Line",Thu_W1[#Headers],0),0),"")</f>
        <v/>
      </c>
      <c r="AH68" s="93" t="str">
        <f>IFERROR(VLOOKUP(SupSum[[#This Row],[Supervisor]],Thu_W1[],MATCH("RTA",Thu_W1[#Headers],0),0),"")</f>
        <v/>
      </c>
      <c r="AI68" s="93" t="str">
        <f>IFERROR(VLOOKUP(SupSum[[#This Row],[Supervisor]],Thu_W1[],MATCH("Admin",Thu_W1[#Headers],0),0),"")</f>
        <v/>
      </c>
      <c r="AJ68" s="93" t="str">
        <f>IFERROR(VLOOKUP(SupSum[[#This Row],[Supervisor]],Thu_W1[],MATCH("Team MTG",Thu_W1[#Headers],0),0),"")</f>
        <v/>
      </c>
      <c r="AL68" s="93" t="str">
        <f>IFERROR(VLOOKUP(SupSum[[#This Row],[Supervisor]],Fri_W1[],MATCH("Help Line",Fri_W1[#Headers],0),0),"")</f>
        <v/>
      </c>
      <c r="AM68" s="93" t="str">
        <f>IFERROR(VLOOKUP(SupSum[[#This Row],[Supervisor]],Fri_W1[],MATCH("RTA",Fri_W1[#Headers],0),0),"")</f>
        <v/>
      </c>
      <c r="AN68" s="93" t="str">
        <f>IFERROR(VLOOKUP(SupSum[[#This Row],[Supervisor]],Fri_W1[],MATCH("Admin",Fri_W1[#Headers],0),0),"")</f>
        <v/>
      </c>
      <c r="AO68" s="93" t="str">
        <f>IFERROR(VLOOKUP(SupSum[[#This Row],[Supervisor]],Fri_W1[],MATCH("Team MTG",Fri_W1[#Headers],0),0),"")</f>
        <v/>
      </c>
      <c r="AQ68" s="93">
        <f>IFERROR(VLOOKUP(SupSum[[#This Row],[Supervisor]],Sat_W1[],MATCH("Help Line",Sat_W1[#Headers],0),0),"")</f>
        <v>0</v>
      </c>
      <c r="AR68" s="93">
        <f>IFERROR(VLOOKUP(SupSum[[#This Row],[Supervisor]],Sat_W1[],MATCH("RTA",Sat_W1[#Headers],0),0),"")</f>
        <v>0</v>
      </c>
      <c r="AS68" s="93">
        <f>IFERROR(VLOOKUP(SupSum[[#This Row],[Supervisor]],Sat_W1[],MATCH("Admin",Sat_W1[#Headers],0),0),"")</f>
        <v>0</v>
      </c>
      <c r="AT68" s="93" t="str">
        <f>IFERROR(VLOOKUP(SupSum[[#This Row],[Supervisor]],Sat_W1[],MATCH("Team MTG",Sat_W1[#Headers],0),0),"")</f>
        <v/>
      </c>
      <c r="AV68" s="93">
        <f>IFERROR(VLOOKUP(SupSum[[#This Row],[Supervisor]],Sun_W2[],MATCH("Help Line",Sun_W2[#Headers],0),0),"")</f>
        <v>0</v>
      </c>
      <c r="AW68" s="93">
        <f>IFERROR(VLOOKUP(SupSum[[#This Row],[Supervisor]],Sun_W2[],MATCH("RTA",Sun_W2[#Headers],0),0),"")</f>
        <v>0</v>
      </c>
      <c r="AX68" s="93">
        <f>IFERROR(VLOOKUP(SupSum[[#This Row],[Supervisor]],Sun_W2[],MATCH("Admin",Sun_W2[#Headers],0),0),"")</f>
        <v>0</v>
      </c>
      <c r="AY68" s="93" t="str">
        <f>IFERROR(VLOOKUP(SupSum[[#This Row],[Supervisor]],Sun_W2[],MATCH("Team MTG",Sun_W2[#Headers],0),0),"")</f>
        <v/>
      </c>
      <c r="BA68" s="93">
        <f>IFERROR(VLOOKUP(SupSum[[#This Row],[Supervisor]],Mon_W2[],MATCH("Help Line",Mon_W2[#Headers],0),0),"")</f>
        <v>0</v>
      </c>
      <c r="BB68" s="93">
        <f>IFERROR(VLOOKUP(SupSum[[#This Row],[Supervisor]],Mon_W2[],MATCH("RTA",Mon_W2[#Headers],0),0),"")</f>
        <v>0</v>
      </c>
      <c r="BC68" s="93">
        <f>IFERROR(VLOOKUP(SupSum[[#This Row],[Supervisor]],Mon_W2[],MATCH("Admin",Mon_W2[#Headers],0),0),"")</f>
        <v>0</v>
      </c>
      <c r="BD68" s="93" t="str">
        <f>IFERROR(VLOOKUP(SupSum[[#This Row],[Supervisor]],Mon_W2[],MATCH("Team MTG",Mon_W2[#Headers],0),0),"")</f>
        <v/>
      </c>
      <c r="BF68" s="93">
        <f>IFERROR(VLOOKUP(SupSum[[#This Row],[Supervisor]],Tue_W2[],MATCH("Help Line",Tue_W2[#Headers],0),0),"")</f>
        <v>0</v>
      </c>
      <c r="BG68" s="93">
        <f>IFERROR(VLOOKUP(SupSum[[#This Row],[Supervisor]],Tue_W2[],MATCH("RTA",Tue_W2[#Headers],0),0),"")</f>
        <v>0</v>
      </c>
      <c r="BH68" s="93">
        <f>IFERROR(VLOOKUP(SupSum[[#This Row],[Supervisor]],Tue_W2[],MATCH("Admin",Tue_W2[#Headers],0),0),"")</f>
        <v>0</v>
      </c>
      <c r="BI68" s="93" t="str">
        <f>IFERROR(VLOOKUP(SupSum[[#This Row],[Supervisor]],Tue_W2[],MATCH("Team MTG",Tue_W2[#Headers],0),0),"")</f>
        <v/>
      </c>
      <c r="BK68" s="93" t="str">
        <f>IFERROR(VLOOKUP(SupSum[[#This Row],[Supervisor]],Wed_W2[],MATCH("Help Line",Wed_W2[#Headers],0),0),"")</f>
        <v/>
      </c>
      <c r="BL68" s="93" t="str">
        <f>IFERROR(VLOOKUP(SupSum[[#This Row],[Supervisor]],Wed_W2[],MATCH("RTA",Wed_W2[#Headers],0),0),"")</f>
        <v/>
      </c>
      <c r="BM68" s="93" t="str">
        <f>IFERROR(VLOOKUP(SupSum[[#This Row],[Supervisor]],Wed_W2[],MATCH("Admin",Wed_W2[#Headers],0),0),"")</f>
        <v/>
      </c>
      <c r="BN68" s="93" t="str">
        <f>IFERROR(VLOOKUP(SupSum[[#This Row],[Supervisor]],Wed_W2[],MATCH("Team MTG",Wed_W2[#Headers],0),0),"")</f>
        <v/>
      </c>
      <c r="BP68" s="93" t="str">
        <f>IFERROR(VLOOKUP(SupSum[[#This Row],[Supervisor]],Thu_W2[],MATCH("Help Line",Thu_W2[#Headers],0),0),"")</f>
        <v/>
      </c>
      <c r="BQ68" s="93" t="str">
        <f>IFERROR(VLOOKUP(SupSum[[#This Row],[Supervisor]],Thu_W2[],MATCH("RTA",Thu_W2[#Headers],0),0),"")</f>
        <v/>
      </c>
      <c r="BR68" s="93" t="str">
        <f>IFERROR(VLOOKUP(SupSum[[#This Row],[Supervisor]],Thu_W2[],MATCH("Admin",Thu_W2[#Headers],0),0),"")</f>
        <v/>
      </c>
      <c r="BS68" s="93" t="str">
        <f>IFERROR(VLOOKUP(SupSum[[#This Row],[Supervisor]],Thu_W2[],MATCH("Team MTG",Thu_W2[#Headers],0),0),"")</f>
        <v/>
      </c>
      <c r="BU68" s="93" t="str">
        <f>IFERROR(VLOOKUP(SupSum[[#This Row],[Supervisor]],Fri_W2[],MATCH("Help Line",Fri_W2[#Headers],0),0),"")</f>
        <v/>
      </c>
      <c r="BV68" s="93" t="str">
        <f>IFERROR(VLOOKUP(SupSum[[#This Row],[Supervisor]],Fri_W2[],MATCH("RTA",Fri_W2[#Headers],0),0),"")</f>
        <v/>
      </c>
      <c r="BW68" s="93" t="str">
        <f>IFERROR(VLOOKUP(SupSum[[#This Row],[Supervisor]],Fri_W2[],MATCH("Admin",Fri_W2[#Headers],0),0),"")</f>
        <v/>
      </c>
      <c r="BX68" s="93" t="str">
        <f>IFERROR(VLOOKUP(SupSum[[#This Row],[Supervisor]],Fri_W2[],MATCH("Team MTG",Fri_W2[#Headers],0),0),"")</f>
        <v/>
      </c>
      <c r="BZ68" s="93">
        <f>IFERROR(VLOOKUP(SupSum[[#This Row],[Supervisor]],Sat_W2[],MATCH("Help Line",Sat_W2[#Headers],0),0),"")</f>
        <v>0</v>
      </c>
      <c r="CA68" s="93">
        <f>IFERROR(VLOOKUP(SupSum[[#This Row],[Supervisor]],Sat_W2[],MATCH("RTA",Sat_W2[#Headers],0),0),"")</f>
        <v>0</v>
      </c>
      <c r="CB68" s="93">
        <f>IFERROR(VLOOKUP(SupSum[[#This Row],[Supervisor]],Sat_W2[],MATCH("Admin",Sat_W2[#Headers],0),0),"")</f>
        <v>0</v>
      </c>
      <c r="CC68" s="93" t="str">
        <f>IFERROR(VLOOKUP(SupSum[[#This Row],[Supervisor]],Sat_W2[],MATCH("Team MTG",Sat_W2[#Headers],0),0),"")</f>
        <v/>
      </c>
    </row>
    <row r="69" spans="2:81" x14ac:dyDescent="0.2">
      <c r="B69" s="6" t="s">
        <v>246</v>
      </c>
      <c r="C69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69" s="93">
        <f>SUM(SSum_Sun1[[#This Row],[RTA]],SSum_Mon1[[#This Row],[RTA]],SSum_Tue1[[#This Row],[RTA]],SSum_Wed1[[#This Row],[RTA]],SSum_Thu1[[#This Row],[RTA]],SSum_Fri1[[#This Row],[RTA]],SSum_Sat1[[#This Row],[RTA]])</f>
        <v>0</v>
      </c>
      <c r="E69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69" s="93">
        <f>SUM(SSum_Sun1[[#This Row],[TM]],SSum_Mon1[[#This Row],[TM]],SSum_Tue1[[#This Row],[TM]],SSum_Wed1[[#This Row],[TM]],SSum_Thu1[[#This Row],[TM]],SSum_Fri1[[#This Row],[TM]],SSum_Sat1[[#This Row],[TM]])</f>
        <v>0</v>
      </c>
      <c r="G69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69" s="93">
        <f>SUM(SSum_Sun2[[#This Row],[RTA]],SSum_Mon2[[#This Row],[RTA]],SSum_Tue2[[#This Row],[RTA]],SSum_Wed2[[#This Row],[RTA]],SSum_Thu2[[#This Row],[RTA]],SSum_Fri2[[#This Row],[RTA]],SSum_Sat2[[#This Row],[RTA]])</f>
        <v>0</v>
      </c>
      <c r="I69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69" s="93">
        <f>SUM(SSum_Sun2[[#This Row],[TM]],SSum_Mon2[[#This Row],[TM]],SSum_Tue2[[#This Row],[TM]],SSum_Wed2[[#This Row],[TM]],SSum_Thu2[[#This Row],[TM]],SSum_Fri2[[#This Row],[TM]],SSum_Sat2[[#This Row],[TM]])</f>
        <v>0</v>
      </c>
      <c r="K69" s="208"/>
      <c r="M69" s="93" t="str">
        <f>IFERROR(VLOOKUP(SupSum[[#This Row],[Supervisor]],Sun_W1[],MATCH("Help Line",Sun_W1[#Headers],0),0),"")</f>
        <v/>
      </c>
      <c r="N69" s="93" t="str">
        <f>IFERROR(VLOOKUP(SupSum[[#This Row],[Supervisor]],Sun_W1[],MATCH("RTA",Sun_W1[#Headers],0),0),"")</f>
        <v/>
      </c>
      <c r="O69" s="93" t="str">
        <f>IFERROR(VLOOKUP(SupSum[[#This Row],[Supervisor]],Sun_W1[],MATCH("Admin",Sun_W1[#Headers],0),0),"")</f>
        <v/>
      </c>
      <c r="P69" s="93" t="str">
        <f>IFERROR(VLOOKUP(SupSum[[#This Row],[Supervisor]],Sun_W1[],MATCH("Team MTG",Sun_W1[#Headers],0),0),"")</f>
        <v/>
      </c>
      <c r="R69" s="93" t="str">
        <f>IFERROR(VLOOKUP(SupSum[[#This Row],[Supervisor]],Mon_W1[],MATCH("Help Line",Mon_W1[#Headers],0),0),"")</f>
        <v/>
      </c>
      <c r="S69" s="93" t="str">
        <f>IFERROR(VLOOKUP(SupSum[[#This Row],[Supervisor]],Mon_W1[],MATCH("RTA",Mon_W1[#Headers],0),0),"")</f>
        <v/>
      </c>
      <c r="T69" s="93" t="str">
        <f>IFERROR(VLOOKUP(SupSum[[#This Row],[Supervisor]],Mon_W1[],MATCH("Admin",Mon_W1[#Headers],0),0),"")</f>
        <v/>
      </c>
      <c r="U69" s="93" t="str">
        <f>IFERROR(VLOOKUP(SupSum[[#This Row],[Supervisor]],Mon_W1[],MATCH("Team MTG",Mon_W1[#Headers],0),0),"")</f>
        <v/>
      </c>
      <c r="W69" s="93" t="str">
        <f>IFERROR(VLOOKUP(SupSum[[#This Row],[Supervisor]],Tue_W1[],MATCH("Help Line",Tue_W1[#Headers],0),0),"")</f>
        <v/>
      </c>
      <c r="X69" s="93" t="str">
        <f>IFERROR(VLOOKUP(SupSum[[#This Row],[Supervisor]],Tue_W1[],MATCH("RTA",Tue_W1[#Headers],0),0),"")</f>
        <v/>
      </c>
      <c r="Y69" s="93" t="str">
        <f>IFERROR(VLOOKUP(SupSum[[#This Row],[Supervisor]],Tue_W1[],MATCH("Admin",Tue_W1[#Headers],0),0),"")</f>
        <v/>
      </c>
      <c r="Z69" s="93" t="str">
        <f>IFERROR(VLOOKUP(SupSum[[#This Row],[Supervisor]],Tue_W1[],MATCH("Team MTG",Tue_W1[#Headers],0),0),"")</f>
        <v/>
      </c>
      <c r="AB69" s="93" t="str">
        <f>IFERROR(VLOOKUP(SupSum[[#This Row],[Supervisor]],Wed_W1[],MATCH("Help Line",Wed_W1[#Headers],0),0),"")</f>
        <v/>
      </c>
      <c r="AC69" s="93" t="str">
        <f>IFERROR(VLOOKUP(SupSum[[#This Row],[Supervisor]],Wed_W1[],MATCH("RTA",Wed_W1[#Headers],0),0),"")</f>
        <v/>
      </c>
      <c r="AD69" s="93" t="str">
        <f>IFERROR(VLOOKUP(SupSum[[#This Row],[Supervisor]],Wed_W1[],MATCH("Admin",Wed_W1[#Headers],0),0),"")</f>
        <v/>
      </c>
      <c r="AE69" s="93" t="str">
        <f>IFERROR(VLOOKUP(SupSum[[#This Row],[Supervisor]],Wed_W1[],MATCH("Team MTG",Wed_W1[#Headers],0),0),"")</f>
        <v/>
      </c>
      <c r="AG69" s="93" t="str">
        <f>IFERROR(VLOOKUP(SupSum[[#This Row],[Supervisor]],Thu_W1[],MATCH("Help Line",Thu_W1[#Headers],0),0),"")</f>
        <v/>
      </c>
      <c r="AH69" s="93" t="str">
        <f>IFERROR(VLOOKUP(SupSum[[#This Row],[Supervisor]],Thu_W1[],MATCH("RTA",Thu_W1[#Headers],0),0),"")</f>
        <v/>
      </c>
      <c r="AI69" s="93" t="str">
        <f>IFERROR(VLOOKUP(SupSum[[#This Row],[Supervisor]],Thu_W1[],MATCH("Admin",Thu_W1[#Headers],0),0),"")</f>
        <v/>
      </c>
      <c r="AJ69" s="93" t="str">
        <f>IFERROR(VLOOKUP(SupSum[[#This Row],[Supervisor]],Thu_W1[],MATCH("Team MTG",Thu_W1[#Headers],0),0),"")</f>
        <v/>
      </c>
      <c r="AL69" s="93" t="str">
        <f>IFERROR(VLOOKUP(SupSum[[#This Row],[Supervisor]],Fri_W1[],MATCH("Help Line",Fri_W1[#Headers],0),0),"")</f>
        <v/>
      </c>
      <c r="AM69" s="93" t="str">
        <f>IFERROR(VLOOKUP(SupSum[[#This Row],[Supervisor]],Fri_W1[],MATCH("RTA",Fri_W1[#Headers],0),0),"")</f>
        <v/>
      </c>
      <c r="AN69" s="93" t="str">
        <f>IFERROR(VLOOKUP(SupSum[[#This Row],[Supervisor]],Fri_W1[],MATCH("Admin",Fri_W1[#Headers],0),0),"")</f>
        <v/>
      </c>
      <c r="AO69" s="93" t="str">
        <f>IFERROR(VLOOKUP(SupSum[[#This Row],[Supervisor]],Fri_W1[],MATCH("Team MTG",Fri_W1[#Headers],0),0),"")</f>
        <v/>
      </c>
      <c r="AQ69" s="93" t="str">
        <f>IFERROR(VLOOKUP(SupSum[[#This Row],[Supervisor]],Sat_W1[],MATCH("Help Line",Sat_W1[#Headers],0),0),"")</f>
        <v/>
      </c>
      <c r="AR69" s="93" t="str">
        <f>IFERROR(VLOOKUP(SupSum[[#This Row],[Supervisor]],Sat_W1[],MATCH("RTA",Sat_W1[#Headers],0),0),"")</f>
        <v/>
      </c>
      <c r="AS69" s="93" t="str">
        <f>IFERROR(VLOOKUP(SupSum[[#This Row],[Supervisor]],Sat_W1[],MATCH("Admin",Sat_W1[#Headers],0),0),"")</f>
        <v/>
      </c>
      <c r="AT69" s="93" t="str">
        <f>IFERROR(VLOOKUP(SupSum[[#This Row],[Supervisor]],Sat_W1[],MATCH("Team MTG",Sat_W1[#Headers],0),0),"")</f>
        <v/>
      </c>
      <c r="AV69" s="93" t="str">
        <f>IFERROR(VLOOKUP(SupSum[[#This Row],[Supervisor]],Sun_W2[],MATCH("Help Line",Sun_W2[#Headers],0),0),"")</f>
        <v/>
      </c>
      <c r="AW69" s="93" t="str">
        <f>IFERROR(VLOOKUP(SupSum[[#This Row],[Supervisor]],Sun_W2[],MATCH("RTA",Sun_W2[#Headers],0),0),"")</f>
        <v/>
      </c>
      <c r="AX69" s="93" t="str">
        <f>IFERROR(VLOOKUP(SupSum[[#This Row],[Supervisor]],Sun_W2[],MATCH("Admin",Sun_W2[#Headers],0),0),"")</f>
        <v/>
      </c>
      <c r="AY69" s="93" t="str">
        <f>IFERROR(VLOOKUP(SupSum[[#This Row],[Supervisor]],Sun_W2[],MATCH("Team MTG",Sun_W2[#Headers],0),0),"")</f>
        <v/>
      </c>
      <c r="BA69" s="93" t="str">
        <f>IFERROR(VLOOKUP(SupSum[[#This Row],[Supervisor]],Mon_W2[],MATCH("Help Line",Mon_W2[#Headers],0),0),"")</f>
        <v/>
      </c>
      <c r="BB69" s="93" t="str">
        <f>IFERROR(VLOOKUP(SupSum[[#This Row],[Supervisor]],Mon_W2[],MATCH("RTA",Mon_W2[#Headers],0),0),"")</f>
        <v/>
      </c>
      <c r="BC69" s="93" t="str">
        <f>IFERROR(VLOOKUP(SupSum[[#This Row],[Supervisor]],Mon_W2[],MATCH("Admin",Mon_W2[#Headers],0),0),"")</f>
        <v/>
      </c>
      <c r="BD69" s="93" t="str">
        <f>IFERROR(VLOOKUP(SupSum[[#This Row],[Supervisor]],Mon_W2[],MATCH("Team MTG",Mon_W2[#Headers],0),0),"")</f>
        <v/>
      </c>
      <c r="BF69" s="93" t="str">
        <f>IFERROR(VLOOKUP(SupSum[[#This Row],[Supervisor]],Tue_W2[],MATCH("Help Line",Tue_W2[#Headers],0),0),"")</f>
        <v/>
      </c>
      <c r="BG69" s="93" t="str">
        <f>IFERROR(VLOOKUP(SupSum[[#This Row],[Supervisor]],Tue_W2[],MATCH("RTA",Tue_W2[#Headers],0),0),"")</f>
        <v/>
      </c>
      <c r="BH69" s="93" t="str">
        <f>IFERROR(VLOOKUP(SupSum[[#This Row],[Supervisor]],Tue_W2[],MATCH("Admin",Tue_W2[#Headers],0),0),"")</f>
        <v/>
      </c>
      <c r="BI69" s="93" t="str">
        <f>IFERROR(VLOOKUP(SupSum[[#This Row],[Supervisor]],Tue_W2[],MATCH("Team MTG",Tue_W2[#Headers],0),0),"")</f>
        <v/>
      </c>
      <c r="BK69" s="93" t="str">
        <f>IFERROR(VLOOKUP(SupSum[[#This Row],[Supervisor]],Wed_W2[],MATCH("Help Line",Wed_W2[#Headers],0),0),"")</f>
        <v/>
      </c>
      <c r="BL69" s="93" t="str">
        <f>IFERROR(VLOOKUP(SupSum[[#This Row],[Supervisor]],Wed_W2[],MATCH("RTA",Wed_W2[#Headers],0),0),"")</f>
        <v/>
      </c>
      <c r="BM69" s="93" t="str">
        <f>IFERROR(VLOOKUP(SupSum[[#This Row],[Supervisor]],Wed_W2[],MATCH("Admin",Wed_W2[#Headers],0),0),"")</f>
        <v/>
      </c>
      <c r="BN69" s="93" t="str">
        <f>IFERROR(VLOOKUP(SupSum[[#This Row],[Supervisor]],Wed_W2[],MATCH("Team MTG",Wed_W2[#Headers],0),0),"")</f>
        <v/>
      </c>
      <c r="BP69" s="93" t="str">
        <f>IFERROR(VLOOKUP(SupSum[[#This Row],[Supervisor]],Thu_W2[],MATCH("Help Line",Thu_W2[#Headers],0),0),"")</f>
        <v/>
      </c>
      <c r="BQ69" s="93" t="str">
        <f>IFERROR(VLOOKUP(SupSum[[#This Row],[Supervisor]],Thu_W2[],MATCH("RTA",Thu_W2[#Headers],0),0),"")</f>
        <v/>
      </c>
      <c r="BR69" s="93" t="str">
        <f>IFERROR(VLOOKUP(SupSum[[#This Row],[Supervisor]],Thu_W2[],MATCH("Admin",Thu_W2[#Headers],0),0),"")</f>
        <v/>
      </c>
      <c r="BS69" s="93" t="str">
        <f>IFERROR(VLOOKUP(SupSum[[#This Row],[Supervisor]],Thu_W2[],MATCH("Team MTG",Thu_W2[#Headers],0),0),"")</f>
        <v/>
      </c>
      <c r="BU69" s="93" t="str">
        <f>IFERROR(VLOOKUP(SupSum[[#This Row],[Supervisor]],Fri_W2[],MATCH("Help Line",Fri_W2[#Headers],0),0),"")</f>
        <v/>
      </c>
      <c r="BV69" s="93" t="str">
        <f>IFERROR(VLOOKUP(SupSum[[#This Row],[Supervisor]],Fri_W2[],MATCH("RTA",Fri_W2[#Headers],0),0),"")</f>
        <v/>
      </c>
      <c r="BW69" s="93" t="str">
        <f>IFERROR(VLOOKUP(SupSum[[#This Row],[Supervisor]],Fri_W2[],MATCH("Admin",Fri_W2[#Headers],0),0),"")</f>
        <v/>
      </c>
      <c r="BX69" s="93" t="str">
        <f>IFERROR(VLOOKUP(SupSum[[#This Row],[Supervisor]],Fri_W2[],MATCH("Team MTG",Fri_W2[#Headers],0),0),"")</f>
        <v/>
      </c>
      <c r="BZ69" s="93" t="str">
        <f>IFERROR(VLOOKUP(SupSum[[#This Row],[Supervisor]],Sat_W2[],MATCH("Help Line",Sat_W2[#Headers],0),0),"")</f>
        <v/>
      </c>
      <c r="CA69" s="93" t="str">
        <f>IFERROR(VLOOKUP(SupSum[[#This Row],[Supervisor]],Sat_W2[],MATCH("RTA",Sat_W2[#Headers],0),0),"")</f>
        <v/>
      </c>
      <c r="CB69" s="93" t="str">
        <f>IFERROR(VLOOKUP(SupSum[[#This Row],[Supervisor]],Sat_W2[],MATCH("Admin",Sat_W2[#Headers],0),0),"")</f>
        <v/>
      </c>
      <c r="CC69" s="93" t="str">
        <f>IFERROR(VLOOKUP(SupSum[[#This Row],[Supervisor]],Sat_W2[],MATCH("Team MTG",Sat_W2[#Headers],0),0),"")</f>
        <v/>
      </c>
    </row>
    <row r="70" spans="2:81" x14ac:dyDescent="0.2">
      <c r="B70" s="205" t="s">
        <v>60</v>
      </c>
      <c r="C70" s="206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70" s="206">
        <f>SUM(SSum_Sun1[[#This Row],[RTA]],SSum_Mon1[[#This Row],[RTA]],SSum_Tue1[[#This Row],[RTA]],SSum_Wed1[[#This Row],[RTA]],SSum_Thu1[[#This Row],[RTA]],SSum_Fri1[[#This Row],[RTA]],SSum_Sat1[[#This Row],[RTA]])</f>
        <v>0</v>
      </c>
      <c r="E70" s="206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70" s="206">
        <f>SUM(SSum_Sun1[[#This Row],[TM]],SSum_Mon1[[#This Row],[TM]],SSum_Tue1[[#This Row],[TM]],SSum_Wed1[[#This Row],[TM]],SSum_Thu1[[#This Row],[TM]],SSum_Fri1[[#This Row],[TM]],SSum_Sat1[[#This Row],[TM]])</f>
        <v>0</v>
      </c>
      <c r="G70" s="206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70" s="206">
        <f>SUM(SSum_Sun2[[#This Row],[RTA]],SSum_Mon2[[#This Row],[RTA]],SSum_Tue2[[#This Row],[RTA]],SSum_Wed2[[#This Row],[RTA]],SSum_Thu2[[#This Row],[RTA]],SSum_Fri2[[#This Row],[RTA]],SSum_Sat2[[#This Row],[RTA]])</f>
        <v>0</v>
      </c>
      <c r="I70" s="206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70" s="206">
        <f>SUM(SSum_Sun2[[#This Row],[TM]],SSum_Mon2[[#This Row],[TM]],SSum_Tue2[[#This Row],[TM]],SSum_Wed2[[#This Row],[TM]],SSum_Thu2[[#This Row],[TM]],SSum_Fri2[[#This Row],[TM]],SSum_Sat2[[#This Row],[TM]])</f>
        <v>0</v>
      </c>
      <c r="K70" s="205"/>
      <c r="M70" s="93" t="str">
        <f>IFERROR(VLOOKUP(SupSum[[#This Row],[Supervisor]],Sun_W1[],MATCH("Help Line",Sun_W1[#Headers],0),0),"")</f>
        <v/>
      </c>
      <c r="N70" s="93" t="str">
        <f>IFERROR(VLOOKUP(SupSum[[#This Row],[Supervisor]],Sun_W1[],MATCH("RTA",Sun_W1[#Headers],0),0),"")</f>
        <v/>
      </c>
      <c r="O70" s="93" t="str">
        <f>IFERROR(VLOOKUP(SupSum[[#This Row],[Supervisor]],Sun_W1[],MATCH("Admin",Sun_W1[#Headers],0),0),"")</f>
        <v/>
      </c>
      <c r="P70" s="93" t="str">
        <f>IFERROR(VLOOKUP(SupSum[[#This Row],[Supervisor]],Sun_W1[],MATCH("Team MTG",Sun_W1[#Headers],0),0),"")</f>
        <v/>
      </c>
      <c r="R70" s="93" t="str">
        <f>IFERROR(VLOOKUP(SupSum[[#This Row],[Supervisor]],Mon_W1[],MATCH("Help Line",Mon_W1[#Headers],0),0),"")</f>
        <v/>
      </c>
      <c r="S70" s="93" t="str">
        <f>IFERROR(VLOOKUP(SupSum[[#This Row],[Supervisor]],Mon_W1[],MATCH("RTA",Mon_W1[#Headers],0),0),"")</f>
        <v/>
      </c>
      <c r="T70" s="93" t="str">
        <f>IFERROR(VLOOKUP(SupSum[[#This Row],[Supervisor]],Mon_W1[],MATCH("Admin",Mon_W1[#Headers],0),0),"")</f>
        <v/>
      </c>
      <c r="U70" s="93" t="str">
        <f>IFERROR(VLOOKUP(SupSum[[#This Row],[Supervisor]],Mon_W1[],MATCH("Team MTG",Mon_W1[#Headers],0),0),"")</f>
        <v/>
      </c>
      <c r="W70" s="93" t="str">
        <f>IFERROR(VLOOKUP(SupSum[[#This Row],[Supervisor]],Tue_W1[],MATCH("Help Line",Tue_W1[#Headers],0),0),"")</f>
        <v/>
      </c>
      <c r="X70" s="93" t="str">
        <f>IFERROR(VLOOKUP(SupSum[[#This Row],[Supervisor]],Tue_W1[],MATCH("RTA",Tue_W1[#Headers],0),0),"")</f>
        <v/>
      </c>
      <c r="Y70" s="93" t="str">
        <f>IFERROR(VLOOKUP(SupSum[[#This Row],[Supervisor]],Tue_W1[],MATCH("Admin",Tue_W1[#Headers],0),0),"")</f>
        <v/>
      </c>
      <c r="Z70" s="93" t="str">
        <f>IFERROR(VLOOKUP(SupSum[[#This Row],[Supervisor]],Tue_W1[],MATCH("Team MTG",Tue_W1[#Headers],0),0),"")</f>
        <v/>
      </c>
      <c r="AB70" s="93" t="str">
        <f>IFERROR(VLOOKUP(SupSum[[#This Row],[Supervisor]],Wed_W1[],MATCH("Help Line",Wed_W1[#Headers],0),0),"")</f>
        <v/>
      </c>
      <c r="AC70" s="93" t="str">
        <f>IFERROR(VLOOKUP(SupSum[[#This Row],[Supervisor]],Wed_W1[],MATCH("RTA",Wed_W1[#Headers],0),0),"")</f>
        <v/>
      </c>
      <c r="AD70" s="93" t="str">
        <f>IFERROR(VLOOKUP(SupSum[[#This Row],[Supervisor]],Wed_W1[],MATCH("Admin",Wed_W1[#Headers],0),0),"")</f>
        <v/>
      </c>
      <c r="AE70" s="93" t="str">
        <f>IFERROR(VLOOKUP(SupSum[[#This Row],[Supervisor]],Wed_W1[],MATCH("Team MTG",Wed_W1[#Headers],0),0),"")</f>
        <v/>
      </c>
      <c r="AG70" s="93" t="str">
        <f>IFERROR(VLOOKUP(SupSum[[#This Row],[Supervisor]],Thu_W1[],MATCH("Help Line",Thu_W1[#Headers],0),0),"")</f>
        <v/>
      </c>
      <c r="AH70" s="93" t="str">
        <f>IFERROR(VLOOKUP(SupSum[[#This Row],[Supervisor]],Thu_W1[],MATCH("RTA",Thu_W1[#Headers],0),0),"")</f>
        <v/>
      </c>
      <c r="AI70" s="93" t="str">
        <f>IFERROR(VLOOKUP(SupSum[[#This Row],[Supervisor]],Thu_W1[],MATCH("Admin",Thu_W1[#Headers],0),0),"")</f>
        <v/>
      </c>
      <c r="AJ70" s="93" t="str">
        <f>IFERROR(VLOOKUP(SupSum[[#This Row],[Supervisor]],Thu_W1[],MATCH("Team MTG",Thu_W1[#Headers],0),0),"")</f>
        <v/>
      </c>
      <c r="AL70" s="93" t="str">
        <f>IFERROR(VLOOKUP(SupSum[[#This Row],[Supervisor]],Fri_W1[],MATCH("Help Line",Fri_W1[#Headers],0),0),"")</f>
        <v/>
      </c>
      <c r="AM70" s="93" t="str">
        <f>IFERROR(VLOOKUP(SupSum[[#This Row],[Supervisor]],Fri_W1[],MATCH("RTA",Fri_W1[#Headers],0),0),"")</f>
        <v/>
      </c>
      <c r="AN70" s="93" t="str">
        <f>IFERROR(VLOOKUP(SupSum[[#This Row],[Supervisor]],Fri_W1[],MATCH("Admin",Fri_W1[#Headers],0),0),"")</f>
        <v/>
      </c>
      <c r="AO70" s="93" t="str">
        <f>IFERROR(VLOOKUP(SupSum[[#This Row],[Supervisor]],Fri_W1[],MATCH("Team MTG",Fri_W1[#Headers],0),0),"")</f>
        <v/>
      </c>
      <c r="AQ70" s="93" t="str">
        <f>IFERROR(VLOOKUP(SupSum[[#This Row],[Supervisor]],Sat_W1[],MATCH("Help Line",Sat_W1[#Headers],0),0),"")</f>
        <v/>
      </c>
      <c r="AR70" s="93" t="str">
        <f>IFERROR(VLOOKUP(SupSum[[#This Row],[Supervisor]],Sat_W1[],MATCH("RTA",Sat_W1[#Headers],0),0),"")</f>
        <v/>
      </c>
      <c r="AS70" s="93" t="str">
        <f>IFERROR(VLOOKUP(SupSum[[#This Row],[Supervisor]],Sat_W1[],MATCH("Admin",Sat_W1[#Headers],0),0),"")</f>
        <v/>
      </c>
      <c r="AT70" s="93" t="str">
        <f>IFERROR(VLOOKUP(SupSum[[#This Row],[Supervisor]],Sat_W1[],MATCH("Team MTG",Sat_W1[#Headers],0),0),"")</f>
        <v/>
      </c>
      <c r="AV70" s="93" t="str">
        <f>IFERROR(VLOOKUP(SupSum[[#This Row],[Supervisor]],Sun_W2[],MATCH("Help Line",Sun_W2[#Headers],0),0),"")</f>
        <v/>
      </c>
      <c r="AW70" s="93" t="str">
        <f>IFERROR(VLOOKUP(SupSum[[#This Row],[Supervisor]],Sun_W2[],MATCH("RTA",Sun_W2[#Headers],0),0),"")</f>
        <v/>
      </c>
      <c r="AX70" s="93" t="str">
        <f>IFERROR(VLOOKUP(SupSum[[#This Row],[Supervisor]],Sun_W2[],MATCH("Admin",Sun_W2[#Headers],0),0),"")</f>
        <v/>
      </c>
      <c r="AY70" s="93" t="str">
        <f>IFERROR(VLOOKUP(SupSum[[#This Row],[Supervisor]],Sun_W2[],MATCH("Team MTG",Sun_W2[#Headers],0),0),"")</f>
        <v/>
      </c>
      <c r="BA70" s="93" t="str">
        <f>IFERROR(VLOOKUP(SupSum[[#This Row],[Supervisor]],Mon_W2[],MATCH("Help Line",Mon_W2[#Headers],0),0),"")</f>
        <v/>
      </c>
      <c r="BB70" s="93" t="str">
        <f>IFERROR(VLOOKUP(SupSum[[#This Row],[Supervisor]],Mon_W2[],MATCH("RTA",Mon_W2[#Headers],0),0),"")</f>
        <v/>
      </c>
      <c r="BC70" s="93" t="str">
        <f>IFERROR(VLOOKUP(SupSum[[#This Row],[Supervisor]],Mon_W2[],MATCH("Admin",Mon_W2[#Headers],0),0),"")</f>
        <v/>
      </c>
      <c r="BD70" s="93" t="str">
        <f>IFERROR(VLOOKUP(SupSum[[#This Row],[Supervisor]],Mon_W2[],MATCH("Team MTG",Mon_W2[#Headers],0),0),"")</f>
        <v/>
      </c>
      <c r="BF70" s="93" t="str">
        <f>IFERROR(VLOOKUP(SupSum[[#This Row],[Supervisor]],Tue_W2[],MATCH("Help Line",Tue_W2[#Headers],0),0),"")</f>
        <v/>
      </c>
      <c r="BG70" s="93" t="str">
        <f>IFERROR(VLOOKUP(SupSum[[#This Row],[Supervisor]],Tue_W2[],MATCH("RTA",Tue_W2[#Headers],0),0),"")</f>
        <v/>
      </c>
      <c r="BH70" s="93" t="str">
        <f>IFERROR(VLOOKUP(SupSum[[#This Row],[Supervisor]],Tue_W2[],MATCH("Admin",Tue_W2[#Headers],0),0),"")</f>
        <v/>
      </c>
      <c r="BI70" s="93" t="str">
        <f>IFERROR(VLOOKUP(SupSum[[#This Row],[Supervisor]],Tue_W2[],MATCH("Team MTG",Tue_W2[#Headers],0),0),"")</f>
        <v/>
      </c>
      <c r="BK70" s="93" t="str">
        <f>IFERROR(VLOOKUP(SupSum[[#This Row],[Supervisor]],Wed_W2[],MATCH("Help Line",Wed_W2[#Headers],0),0),"")</f>
        <v/>
      </c>
      <c r="BL70" s="93" t="str">
        <f>IFERROR(VLOOKUP(SupSum[[#This Row],[Supervisor]],Wed_W2[],MATCH("RTA",Wed_W2[#Headers],0),0),"")</f>
        <v/>
      </c>
      <c r="BM70" s="93" t="str">
        <f>IFERROR(VLOOKUP(SupSum[[#This Row],[Supervisor]],Wed_W2[],MATCH("Admin",Wed_W2[#Headers],0),0),"")</f>
        <v/>
      </c>
      <c r="BN70" s="93" t="str">
        <f>IFERROR(VLOOKUP(SupSum[[#This Row],[Supervisor]],Wed_W2[],MATCH("Team MTG",Wed_W2[#Headers],0),0),"")</f>
        <v/>
      </c>
      <c r="BP70" s="93" t="str">
        <f>IFERROR(VLOOKUP(SupSum[[#This Row],[Supervisor]],Thu_W2[],MATCH("Help Line",Thu_W2[#Headers],0),0),"")</f>
        <v/>
      </c>
      <c r="BQ70" s="93" t="str">
        <f>IFERROR(VLOOKUP(SupSum[[#This Row],[Supervisor]],Thu_W2[],MATCH("RTA",Thu_W2[#Headers],0),0),"")</f>
        <v/>
      </c>
      <c r="BR70" s="93" t="str">
        <f>IFERROR(VLOOKUP(SupSum[[#This Row],[Supervisor]],Thu_W2[],MATCH("Admin",Thu_W2[#Headers],0),0),"")</f>
        <v/>
      </c>
      <c r="BS70" s="93" t="str">
        <f>IFERROR(VLOOKUP(SupSum[[#This Row],[Supervisor]],Thu_W2[],MATCH("Team MTG",Thu_W2[#Headers],0),0),"")</f>
        <v/>
      </c>
      <c r="BU70" s="93" t="str">
        <f>IFERROR(VLOOKUP(SupSum[[#This Row],[Supervisor]],Fri_W2[],MATCH("Help Line",Fri_W2[#Headers],0),0),"")</f>
        <v/>
      </c>
      <c r="BV70" s="93" t="str">
        <f>IFERROR(VLOOKUP(SupSum[[#This Row],[Supervisor]],Fri_W2[],MATCH("RTA",Fri_W2[#Headers],0),0),"")</f>
        <v/>
      </c>
      <c r="BW70" s="93" t="str">
        <f>IFERROR(VLOOKUP(SupSum[[#This Row],[Supervisor]],Fri_W2[],MATCH("Admin",Fri_W2[#Headers],0),0),"")</f>
        <v/>
      </c>
      <c r="BX70" s="93" t="str">
        <f>IFERROR(VLOOKUP(SupSum[[#This Row],[Supervisor]],Fri_W2[],MATCH("Team MTG",Fri_W2[#Headers],0),0),"")</f>
        <v/>
      </c>
      <c r="BZ70" s="93" t="str">
        <f>IFERROR(VLOOKUP(SupSum[[#This Row],[Supervisor]],Sat_W2[],MATCH("Help Line",Sat_W2[#Headers],0),0),"")</f>
        <v/>
      </c>
      <c r="CA70" s="93" t="str">
        <f>IFERROR(VLOOKUP(SupSum[[#This Row],[Supervisor]],Sat_W2[],MATCH("RTA",Sat_W2[#Headers],0),0),"")</f>
        <v/>
      </c>
      <c r="CB70" s="93" t="str">
        <f>IFERROR(VLOOKUP(SupSum[[#This Row],[Supervisor]],Sat_W2[],MATCH("Admin",Sat_W2[#Headers],0),0),"")</f>
        <v/>
      </c>
      <c r="CC70" s="93" t="str">
        <f>IFERROR(VLOOKUP(SupSum[[#This Row],[Supervisor]],Sat_W2[],MATCH("Team MTG",Sat_W2[#Headers],0),0),"")</f>
        <v/>
      </c>
    </row>
    <row r="71" spans="2:81" x14ac:dyDescent="0.2">
      <c r="B71" s="6" t="s">
        <v>25</v>
      </c>
      <c r="C71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71" s="93">
        <f>SUM(SSum_Sun1[[#This Row],[RTA]],SSum_Mon1[[#This Row],[RTA]],SSum_Tue1[[#This Row],[RTA]],SSum_Wed1[[#This Row],[RTA]],SSum_Thu1[[#This Row],[RTA]],SSum_Fri1[[#This Row],[RTA]],SSum_Sat1[[#This Row],[RTA]])</f>
        <v>0</v>
      </c>
      <c r="E71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71" s="93">
        <f>SUM(SSum_Sun1[[#This Row],[TM]],SSum_Mon1[[#This Row],[TM]],SSum_Tue1[[#This Row],[TM]],SSum_Wed1[[#This Row],[TM]],SSum_Thu1[[#This Row],[TM]],SSum_Fri1[[#This Row],[TM]],SSum_Sat1[[#This Row],[TM]])</f>
        <v>0</v>
      </c>
      <c r="G71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71" s="93">
        <f>SUM(SSum_Sun2[[#This Row],[RTA]],SSum_Mon2[[#This Row],[RTA]],SSum_Tue2[[#This Row],[RTA]],SSum_Wed2[[#This Row],[RTA]],SSum_Thu2[[#This Row],[RTA]],SSum_Fri2[[#This Row],[RTA]],SSum_Sat2[[#This Row],[RTA]])</f>
        <v>0</v>
      </c>
      <c r="I71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71" s="93">
        <f>SUM(SSum_Sun2[[#This Row],[TM]],SSum_Mon2[[#This Row],[TM]],SSum_Tue2[[#This Row],[TM]],SSum_Wed2[[#This Row],[TM]],SSum_Thu2[[#This Row],[TM]],SSum_Fri2[[#This Row],[TM]],SSum_Sat2[[#This Row],[TM]])</f>
        <v>0</v>
      </c>
      <c r="K71" s="208">
        <v>17</v>
      </c>
      <c r="M71" s="93" t="str">
        <f>IFERROR(VLOOKUP(SupSum[[#This Row],[Supervisor]],Sun_W1[],MATCH("Help Line",Sun_W1[#Headers],0),0),"")</f>
        <v/>
      </c>
      <c r="N71" s="93" t="str">
        <f>IFERROR(VLOOKUP(SupSum[[#This Row],[Supervisor]],Sun_W1[],MATCH("RTA",Sun_W1[#Headers],0),0),"")</f>
        <v/>
      </c>
      <c r="O71" s="93" t="str">
        <f>IFERROR(VLOOKUP(SupSum[[#This Row],[Supervisor]],Sun_W1[],MATCH("Admin",Sun_W1[#Headers],0),0),"")</f>
        <v/>
      </c>
      <c r="P71" s="93" t="str">
        <f>IFERROR(VLOOKUP(SupSum[[#This Row],[Supervisor]],Sun_W1[],MATCH("Team MTG",Sun_W1[#Headers],0),0),"")</f>
        <v/>
      </c>
      <c r="R71" s="93" t="str">
        <f>IFERROR(VLOOKUP(SupSum[[#This Row],[Supervisor]],Mon_W1[],MATCH("Help Line",Mon_W1[#Headers],0),0),"")</f>
        <v/>
      </c>
      <c r="S71" s="93" t="str">
        <f>IFERROR(VLOOKUP(SupSum[[#This Row],[Supervisor]],Mon_W1[],MATCH("RTA",Mon_W1[#Headers],0),0),"")</f>
        <v/>
      </c>
      <c r="T71" s="93" t="str">
        <f>IFERROR(VLOOKUP(SupSum[[#This Row],[Supervisor]],Mon_W1[],MATCH("Admin",Mon_W1[#Headers],0),0),"")</f>
        <v/>
      </c>
      <c r="U71" s="93" t="str">
        <f>IFERROR(VLOOKUP(SupSum[[#This Row],[Supervisor]],Mon_W1[],MATCH("Team MTG",Mon_W1[#Headers],0),0),"")</f>
        <v/>
      </c>
      <c r="W71" s="93">
        <f>IFERROR(VLOOKUP(SupSum[[#This Row],[Supervisor]],Tue_W1[],MATCH("Help Line",Tue_W1[#Headers],0),0),"")</f>
        <v>0</v>
      </c>
      <c r="X71" s="93">
        <f>IFERROR(VLOOKUP(SupSum[[#This Row],[Supervisor]],Tue_W1[],MATCH("RTA",Tue_W1[#Headers],0),0),"")</f>
        <v>0</v>
      </c>
      <c r="Y71" s="93">
        <f>IFERROR(VLOOKUP(SupSum[[#This Row],[Supervisor]],Tue_W1[],MATCH("Admin",Tue_W1[#Headers],0),0),"")</f>
        <v>0</v>
      </c>
      <c r="Z71" s="93" t="str">
        <f>IFERROR(VLOOKUP(SupSum[[#This Row],[Supervisor]],Tue_W1[],MATCH("Team MTG",Tue_W1[#Headers],0),0),"")</f>
        <v/>
      </c>
      <c r="AB71" s="93">
        <f>IFERROR(VLOOKUP(SupSum[[#This Row],[Supervisor]],Wed_W1[],MATCH("Help Line",Wed_W1[#Headers],0),0),"")</f>
        <v>0</v>
      </c>
      <c r="AC71" s="93">
        <f>IFERROR(VLOOKUP(SupSum[[#This Row],[Supervisor]],Wed_W1[],MATCH("RTA",Wed_W1[#Headers],0),0),"")</f>
        <v>0</v>
      </c>
      <c r="AD71" s="93">
        <f>IFERROR(VLOOKUP(SupSum[[#This Row],[Supervisor]],Wed_W1[],MATCH("Admin",Wed_W1[#Headers],0),0),"")</f>
        <v>0</v>
      </c>
      <c r="AE71" s="93" t="str">
        <f>IFERROR(VLOOKUP(SupSum[[#This Row],[Supervisor]],Wed_W1[],MATCH("Team MTG",Wed_W1[#Headers],0),0),"")</f>
        <v/>
      </c>
      <c r="AG71" s="93">
        <f>IFERROR(VLOOKUP(SupSum[[#This Row],[Supervisor]],Thu_W1[],MATCH("Help Line",Thu_W1[#Headers],0),0),"")</f>
        <v>0</v>
      </c>
      <c r="AH71" s="93">
        <f>IFERROR(VLOOKUP(SupSum[[#This Row],[Supervisor]],Thu_W1[],MATCH("RTA",Thu_W1[#Headers],0),0),"")</f>
        <v>0</v>
      </c>
      <c r="AI71" s="93">
        <f>IFERROR(VLOOKUP(SupSum[[#This Row],[Supervisor]],Thu_W1[],MATCH("Admin",Thu_W1[#Headers],0),0),"")</f>
        <v>0</v>
      </c>
      <c r="AJ71" s="93" t="str">
        <f>IFERROR(VLOOKUP(SupSum[[#This Row],[Supervisor]],Thu_W1[],MATCH("Team MTG",Thu_W1[#Headers],0),0),"")</f>
        <v/>
      </c>
      <c r="AL71" s="93">
        <f>IFERROR(VLOOKUP(SupSum[[#This Row],[Supervisor]],Fri_W1[],MATCH("Help Line",Fri_W1[#Headers],0),0),"")</f>
        <v>0</v>
      </c>
      <c r="AM71" s="93">
        <f>IFERROR(VLOOKUP(SupSum[[#This Row],[Supervisor]],Fri_W1[],MATCH("RTA",Fri_W1[#Headers],0),0),"")</f>
        <v>0</v>
      </c>
      <c r="AN71" s="93">
        <f>IFERROR(VLOOKUP(SupSum[[#This Row],[Supervisor]],Fri_W1[],MATCH("Admin",Fri_W1[#Headers],0),0),"")</f>
        <v>0</v>
      </c>
      <c r="AO71" s="93" t="str">
        <f>IFERROR(VLOOKUP(SupSum[[#This Row],[Supervisor]],Fri_W1[],MATCH("Team MTG",Fri_W1[#Headers],0),0),"")</f>
        <v/>
      </c>
      <c r="AQ71" s="93">
        <f>IFERROR(VLOOKUP(SupSum[[#This Row],[Supervisor]],Sat_W1[],MATCH("Help Line",Sat_W1[#Headers],0),0),"")</f>
        <v>0</v>
      </c>
      <c r="AR71" s="93">
        <f>IFERROR(VLOOKUP(SupSum[[#This Row],[Supervisor]],Sat_W1[],MATCH("RTA",Sat_W1[#Headers],0),0),"")</f>
        <v>0</v>
      </c>
      <c r="AS71" s="93">
        <f>IFERROR(VLOOKUP(SupSum[[#This Row],[Supervisor]],Sat_W1[],MATCH("Admin",Sat_W1[#Headers],0),0),"")</f>
        <v>0</v>
      </c>
      <c r="AT71" s="93" t="str">
        <f>IFERROR(VLOOKUP(SupSum[[#This Row],[Supervisor]],Sat_W1[],MATCH("Team MTG",Sat_W1[#Headers],0),0),"")</f>
        <v/>
      </c>
      <c r="AV71" s="93" t="str">
        <f>IFERROR(VLOOKUP(SupSum[[#This Row],[Supervisor]],Sun_W2[],MATCH("Help Line",Sun_W2[#Headers],0),0),"")</f>
        <v/>
      </c>
      <c r="AW71" s="93" t="str">
        <f>IFERROR(VLOOKUP(SupSum[[#This Row],[Supervisor]],Sun_W2[],MATCH("RTA",Sun_W2[#Headers],0),0),"")</f>
        <v/>
      </c>
      <c r="AX71" s="93" t="str">
        <f>IFERROR(VLOOKUP(SupSum[[#This Row],[Supervisor]],Sun_W2[],MATCH("Admin",Sun_W2[#Headers],0),0),"")</f>
        <v/>
      </c>
      <c r="AY71" s="93" t="str">
        <f>IFERROR(VLOOKUP(SupSum[[#This Row],[Supervisor]],Sun_W2[],MATCH("Team MTG",Sun_W2[#Headers],0),0),"")</f>
        <v/>
      </c>
      <c r="BA71" s="93" t="str">
        <f>IFERROR(VLOOKUP(SupSum[[#This Row],[Supervisor]],Mon_W2[],MATCH("Help Line",Mon_W2[#Headers],0),0),"")</f>
        <v/>
      </c>
      <c r="BB71" s="93" t="str">
        <f>IFERROR(VLOOKUP(SupSum[[#This Row],[Supervisor]],Mon_W2[],MATCH("RTA",Mon_W2[#Headers],0),0),"")</f>
        <v/>
      </c>
      <c r="BC71" s="93" t="str">
        <f>IFERROR(VLOOKUP(SupSum[[#This Row],[Supervisor]],Mon_W2[],MATCH("Admin",Mon_W2[#Headers],0),0),"")</f>
        <v/>
      </c>
      <c r="BD71" s="93" t="str">
        <f>IFERROR(VLOOKUP(SupSum[[#This Row],[Supervisor]],Mon_W2[],MATCH("Team MTG",Mon_W2[#Headers],0),0),"")</f>
        <v/>
      </c>
      <c r="BF71" s="93">
        <f>IFERROR(VLOOKUP(SupSum[[#This Row],[Supervisor]],Tue_W2[],MATCH("Help Line",Tue_W2[#Headers],0),0),"")</f>
        <v>0</v>
      </c>
      <c r="BG71" s="93">
        <f>IFERROR(VLOOKUP(SupSum[[#This Row],[Supervisor]],Tue_W2[],MATCH("RTA",Tue_W2[#Headers],0),0),"")</f>
        <v>0</v>
      </c>
      <c r="BH71" s="93">
        <f>IFERROR(VLOOKUP(SupSum[[#This Row],[Supervisor]],Tue_W2[],MATCH("Admin",Tue_W2[#Headers],0),0),"")</f>
        <v>0</v>
      </c>
      <c r="BI71" s="93" t="str">
        <f>IFERROR(VLOOKUP(SupSum[[#This Row],[Supervisor]],Tue_W2[],MATCH("Team MTG",Tue_W2[#Headers],0),0),"")</f>
        <v/>
      </c>
      <c r="BK71" s="93">
        <f>IFERROR(VLOOKUP(SupSum[[#This Row],[Supervisor]],Wed_W2[],MATCH("Help Line",Wed_W2[#Headers],0),0),"")</f>
        <v>0</v>
      </c>
      <c r="BL71" s="93">
        <f>IFERROR(VLOOKUP(SupSum[[#This Row],[Supervisor]],Wed_W2[],MATCH("RTA",Wed_W2[#Headers],0),0),"")</f>
        <v>0</v>
      </c>
      <c r="BM71" s="93">
        <f>IFERROR(VLOOKUP(SupSum[[#This Row],[Supervisor]],Wed_W2[],MATCH("Admin",Wed_W2[#Headers],0),0),"")</f>
        <v>0</v>
      </c>
      <c r="BN71" s="93" t="str">
        <f>IFERROR(VLOOKUP(SupSum[[#This Row],[Supervisor]],Wed_W2[],MATCH("Team MTG",Wed_W2[#Headers],0),0),"")</f>
        <v/>
      </c>
      <c r="BP71" s="93">
        <f>IFERROR(VLOOKUP(SupSum[[#This Row],[Supervisor]],Thu_W2[],MATCH("Help Line",Thu_W2[#Headers],0),0),"")</f>
        <v>0</v>
      </c>
      <c r="BQ71" s="93">
        <f>IFERROR(VLOOKUP(SupSum[[#This Row],[Supervisor]],Thu_W2[],MATCH("RTA",Thu_W2[#Headers],0),0),"")</f>
        <v>0</v>
      </c>
      <c r="BR71" s="93">
        <f>IFERROR(VLOOKUP(SupSum[[#This Row],[Supervisor]],Thu_W2[],MATCH("Admin",Thu_W2[#Headers],0),0),"")</f>
        <v>0</v>
      </c>
      <c r="BS71" s="93" t="str">
        <f>IFERROR(VLOOKUP(SupSum[[#This Row],[Supervisor]],Thu_W2[],MATCH("Team MTG",Thu_W2[#Headers],0),0),"")</f>
        <v/>
      </c>
      <c r="BU71" s="93">
        <f>IFERROR(VLOOKUP(SupSum[[#This Row],[Supervisor]],Fri_W2[],MATCH("Help Line",Fri_W2[#Headers],0),0),"")</f>
        <v>0</v>
      </c>
      <c r="BV71" s="93">
        <f>IFERROR(VLOOKUP(SupSum[[#This Row],[Supervisor]],Fri_W2[],MATCH("RTA",Fri_W2[#Headers],0),0),"")</f>
        <v>0</v>
      </c>
      <c r="BW71" s="93">
        <f>IFERROR(VLOOKUP(SupSum[[#This Row],[Supervisor]],Fri_W2[],MATCH("Admin",Fri_W2[#Headers],0),0),"")</f>
        <v>0</v>
      </c>
      <c r="BX71" s="93" t="str">
        <f>IFERROR(VLOOKUP(SupSum[[#This Row],[Supervisor]],Fri_W2[],MATCH("Team MTG",Fri_W2[#Headers],0),0),"")</f>
        <v/>
      </c>
      <c r="BZ71" s="93">
        <f>IFERROR(VLOOKUP(SupSum[[#This Row],[Supervisor]],Sat_W2[],MATCH("Help Line",Sat_W2[#Headers],0),0),"")</f>
        <v>0</v>
      </c>
      <c r="CA71" s="93">
        <f>IFERROR(VLOOKUP(SupSum[[#This Row],[Supervisor]],Sat_W2[],MATCH("RTA",Sat_W2[#Headers],0),0),"")</f>
        <v>0</v>
      </c>
      <c r="CB71" s="93">
        <f>IFERROR(VLOOKUP(SupSum[[#This Row],[Supervisor]],Sat_W2[],MATCH("Admin",Sat_W2[#Headers],0),0),"")</f>
        <v>0</v>
      </c>
      <c r="CC71" s="93" t="str">
        <f>IFERROR(VLOOKUP(SupSum[[#This Row],[Supervisor]],Sat_W2[],MATCH("Team MTG",Sat_W2[#Headers],0),0),"")</f>
        <v/>
      </c>
    </row>
    <row r="72" spans="2:81" x14ac:dyDescent="0.2">
      <c r="B72" s="6" t="s">
        <v>49</v>
      </c>
      <c r="C72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72" s="93">
        <f>SUM(SSum_Sun1[[#This Row],[RTA]],SSum_Mon1[[#This Row],[RTA]],SSum_Tue1[[#This Row],[RTA]],SSum_Wed1[[#This Row],[RTA]],SSum_Thu1[[#This Row],[RTA]],SSum_Fri1[[#This Row],[RTA]],SSum_Sat1[[#This Row],[RTA]])</f>
        <v>0</v>
      </c>
      <c r="E72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72" s="136">
        <f>SUM(SSum_Sun1[[#This Row],[TM]],SSum_Mon1[[#This Row],[TM]],SSum_Tue1[[#This Row],[TM]],SSum_Wed1[[#This Row],[TM]],SSum_Thu1[[#This Row],[TM]],SSum_Fri1[[#This Row],[TM]],SSum_Sat1[[#This Row],[TM]])</f>
        <v>0</v>
      </c>
      <c r="G72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72" s="93">
        <f>SUM(SSum_Sun2[[#This Row],[RTA]],SSum_Mon2[[#This Row],[RTA]],SSum_Tue2[[#This Row],[RTA]],SSum_Wed2[[#This Row],[RTA]],SSum_Thu2[[#This Row],[RTA]],SSum_Fri2[[#This Row],[RTA]],SSum_Sat2[[#This Row],[RTA]])</f>
        <v>0</v>
      </c>
      <c r="I72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72" s="93">
        <f>SUM(SSum_Sun2[[#This Row],[TM]],SSum_Mon2[[#This Row],[TM]],SSum_Tue2[[#This Row],[TM]],SSum_Wed2[[#This Row],[TM]],SSum_Thu2[[#This Row],[TM]],SSum_Fri2[[#This Row],[TM]],SSum_Sat2[[#This Row],[TM]])</f>
        <v>0</v>
      </c>
      <c r="K72" s="208">
        <v>20</v>
      </c>
      <c r="M72" s="93">
        <f>IFERROR(VLOOKUP(SupSum[[#This Row],[Supervisor]],Sun_W1[],MATCH("Help Line",Sun_W1[#Headers],0),0),"")</f>
        <v>0</v>
      </c>
      <c r="N72" s="93">
        <f>IFERROR(VLOOKUP(SupSum[[#This Row],[Supervisor]],Sun_W1[],MATCH("RTA",Sun_W1[#Headers],0),0),"")</f>
        <v>0</v>
      </c>
      <c r="O72" s="93">
        <f>IFERROR(VLOOKUP(SupSum[[#This Row],[Supervisor]],Sun_W1[],MATCH("Admin",Sun_W1[#Headers],0),0),"")</f>
        <v>0</v>
      </c>
      <c r="P72" s="93" t="str">
        <f>IFERROR(VLOOKUP(SupSum[[#This Row],[Supervisor]],Sun_W1[],MATCH("Team MTG",Sun_W1[#Headers],0),0),"")</f>
        <v/>
      </c>
      <c r="R72" s="93">
        <f>IFERROR(VLOOKUP(SupSum[[#This Row],[Supervisor]],Mon_W1[],MATCH("Help Line",Mon_W1[#Headers],0),0),"")</f>
        <v>0</v>
      </c>
      <c r="S72" s="93">
        <f>IFERROR(VLOOKUP(SupSum[[#This Row],[Supervisor]],Mon_W1[],MATCH("RTA",Mon_W1[#Headers],0),0),"")</f>
        <v>0</v>
      </c>
      <c r="T72" s="93">
        <f>IFERROR(VLOOKUP(SupSum[[#This Row],[Supervisor]],Mon_W1[],MATCH("Admin",Mon_W1[#Headers],0),0),"")</f>
        <v>0</v>
      </c>
      <c r="U72" s="93" t="str">
        <f>IFERROR(VLOOKUP(SupSum[[#This Row],[Supervisor]],Mon_W1[],MATCH("Team MTG",Mon_W1[#Headers],0),0),"")</f>
        <v/>
      </c>
      <c r="W72" s="93" t="str">
        <f>IFERROR(VLOOKUP(SupSum[[#This Row],[Supervisor]],Tue_W1[],MATCH("Help Line",Tue_W1[#Headers],0),0),"")</f>
        <v/>
      </c>
      <c r="X72" s="93" t="str">
        <f>IFERROR(VLOOKUP(SupSum[[#This Row],[Supervisor]],Tue_W1[],MATCH("RTA",Tue_W1[#Headers],0),0),"")</f>
        <v/>
      </c>
      <c r="Y72" s="93" t="str">
        <f>IFERROR(VLOOKUP(SupSum[[#This Row],[Supervisor]],Tue_W1[],MATCH("Admin",Tue_W1[#Headers],0),0),"")</f>
        <v/>
      </c>
      <c r="Z72" s="93" t="str">
        <f>IFERROR(VLOOKUP(SupSum[[#This Row],[Supervisor]],Tue_W1[],MATCH("Team MTG",Tue_W1[#Headers],0),0),"")</f>
        <v/>
      </c>
      <c r="AB72" s="93" t="str">
        <f>IFERROR(VLOOKUP(SupSum[[#This Row],[Supervisor]],Wed_W1[],MATCH("Help Line",Wed_W1[#Headers],0),0),"")</f>
        <v/>
      </c>
      <c r="AC72" s="93" t="str">
        <f>IFERROR(VLOOKUP(SupSum[[#This Row],[Supervisor]],Wed_W1[],MATCH("RTA",Wed_W1[#Headers],0),0),"")</f>
        <v/>
      </c>
      <c r="AD72" s="93" t="str">
        <f>IFERROR(VLOOKUP(SupSum[[#This Row],[Supervisor]],Wed_W1[],MATCH("Admin",Wed_W1[#Headers],0),0),"")</f>
        <v/>
      </c>
      <c r="AE72" s="93" t="str">
        <f>IFERROR(VLOOKUP(SupSum[[#This Row],[Supervisor]],Wed_W1[],MATCH("Team MTG",Wed_W1[#Headers],0),0),"")</f>
        <v/>
      </c>
      <c r="AG72" s="93">
        <f>IFERROR(VLOOKUP(SupSum[[#This Row],[Supervisor]],Thu_W1[],MATCH("Help Line",Thu_W1[#Headers],0),0),"")</f>
        <v>0</v>
      </c>
      <c r="AH72" s="93">
        <f>IFERROR(VLOOKUP(SupSum[[#This Row],[Supervisor]],Thu_W1[],MATCH("RTA",Thu_W1[#Headers],0),0),"")</f>
        <v>0</v>
      </c>
      <c r="AI72" s="93">
        <f>IFERROR(VLOOKUP(SupSum[[#This Row],[Supervisor]],Thu_W1[],MATCH("Admin",Thu_W1[#Headers],0),0),"")</f>
        <v>0</v>
      </c>
      <c r="AJ72" s="93" t="str">
        <f>IFERROR(VLOOKUP(SupSum[[#This Row],[Supervisor]],Thu_W1[],MATCH("Team MTG",Thu_W1[#Headers],0),0),"")</f>
        <v/>
      </c>
      <c r="AL72" s="93">
        <f>IFERROR(VLOOKUP(SupSum[[#This Row],[Supervisor]],Fri_W1[],MATCH("Help Line",Fri_W1[#Headers],0),0),"")</f>
        <v>0</v>
      </c>
      <c r="AM72" s="93">
        <f>IFERROR(VLOOKUP(SupSum[[#This Row],[Supervisor]],Fri_W1[],MATCH("RTA",Fri_W1[#Headers],0),0),"")</f>
        <v>0</v>
      </c>
      <c r="AN72" s="93">
        <f>IFERROR(VLOOKUP(SupSum[[#This Row],[Supervisor]],Fri_W1[],MATCH("Admin",Fri_W1[#Headers],0),0),"")</f>
        <v>0</v>
      </c>
      <c r="AO72" s="93" t="str">
        <f>IFERROR(VLOOKUP(SupSum[[#This Row],[Supervisor]],Fri_W1[],MATCH("Team MTG",Fri_W1[#Headers],0),0),"")</f>
        <v/>
      </c>
      <c r="AQ72" s="93">
        <f>IFERROR(VLOOKUP(SupSum[[#This Row],[Supervisor]],Sat_W1[],MATCH("Help Line",Sat_W1[#Headers],0),0),"")</f>
        <v>0</v>
      </c>
      <c r="AR72" s="93">
        <f>IFERROR(VLOOKUP(SupSum[[#This Row],[Supervisor]],Sat_W1[],MATCH("RTA",Sat_W1[#Headers],0),0),"")</f>
        <v>0</v>
      </c>
      <c r="AS72" s="93">
        <f>IFERROR(VLOOKUP(SupSum[[#This Row],[Supervisor]],Sat_W1[],MATCH("Admin",Sat_W1[#Headers],0),0),"")</f>
        <v>0</v>
      </c>
      <c r="AT72" s="93" t="str">
        <f>IFERROR(VLOOKUP(SupSum[[#This Row],[Supervisor]],Sat_W1[],MATCH("Team MTG",Sat_W1[#Headers],0),0),"")</f>
        <v/>
      </c>
      <c r="AV72" s="93">
        <f>IFERROR(VLOOKUP(SupSum[[#This Row],[Supervisor]],Sun_W2[],MATCH("Help Line",Sun_W2[#Headers],0),0),"")</f>
        <v>0</v>
      </c>
      <c r="AW72" s="93">
        <f>IFERROR(VLOOKUP(SupSum[[#This Row],[Supervisor]],Sun_W2[],MATCH("RTA",Sun_W2[#Headers],0),0),"")</f>
        <v>0</v>
      </c>
      <c r="AX72" s="93">
        <f>IFERROR(VLOOKUP(SupSum[[#This Row],[Supervisor]],Sun_W2[],MATCH("Admin",Sun_W2[#Headers],0),0),"")</f>
        <v>0</v>
      </c>
      <c r="AY72" s="93" t="str">
        <f>IFERROR(VLOOKUP(SupSum[[#This Row],[Supervisor]],Sun_W2[],MATCH("Team MTG",Sun_W2[#Headers],0),0),"")</f>
        <v/>
      </c>
      <c r="BA72" s="93">
        <f>IFERROR(VLOOKUP(SupSum[[#This Row],[Supervisor]],Mon_W2[],MATCH("Help Line",Mon_W2[#Headers],0),0),"")</f>
        <v>0</v>
      </c>
      <c r="BB72" s="93">
        <f>IFERROR(VLOOKUP(SupSum[[#This Row],[Supervisor]],Mon_W2[],MATCH("RTA",Mon_W2[#Headers],0),0),"")</f>
        <v>0</v>
      </c>
      <c r="BC72" s="93">
        <f>IFERROR(VLOOKUP(SupSum[[#This Row],[Supervisor]],Mon_W2[],MATCH("Admin",Mon_W2[#Headers],0),0),"")</f>
        <v>0</v>
      </c>
      <c r="BD72" s="93" t="str">
        <f>IFERROR(VLOOKUP(SupSum[[#This Row],[Supervisor]],Mon_W2[],MATCH("Team MTG",Mon_W2[#Headers],0),0),"")</f>
        <v/>
      </c>
      <c r="BF72" s="93" t="str">
        <f>IFERROR(VLOOKUP(SupSum[[#This Row],[Supervisor]],Tue_W2[],MATCH("Help Line",Tue_W2[#Headers],0),0),"")</f>
        <v/>
      </c>
      <c r="BG72" s="93" t="str">
        <f>IFERROR(VLOOKUP(SupSum[[#This Row],[Supervisor]],Tue_W2[],MATCH("RTA",Tue_W2[#Headers],0),0),"")</f>
        <v/>
      </c>
      <c r="BH72" s="93" t="str">
        <f>IFERROR(VLOOKUP(SupSum[[#This Row],[Supervisor]],Tue_W2[],MATCH("Admin",Tue_W2[#Headers],0),0),"")</f>
        <v/>
      </c>
      <c r="BI72" s="93" t="str">
        <f>IFERROR(VLOOKUP(SupSum[[#This Row],[Supervisor]],Tue_W2[],MATCH("Team MTG",Tue_W2[#Headers],0),0),"")</f>
        <v/>
      </c>
      <c r="BK72" s="93" t="str">
        <f>IFERROR(VLOOKUP(SupSum[[#This Row],[Supervisor]],Wed_W2[],MATCH("Help Line",Wed_W2[#Headers],0),0),"")</f>
        <v/>
      </c>
      <c r="BL72" s="93" t="str">
        <f>IFERROR(VLOOKUP(SupSum[[#This Row],[Supervisor]],Wed_W2[],MATCH("RTA",Wed_W2[#Headers],0),0),"")</f>
        <v/>
      </c>
      <c r="BM72" s="93" t="str">
        <f>IFERROR(VLOOKUP(SupSum[[#This Row],[Supervisor]],Wed_W2[],MATCH("Admin",Wed_W2[#Headers],0),0),"")</f>
        <v/>
      </c>
      <c r="BN72" s="93" t="str">
        <f>IFERROR(VLOOKUP(SupSum[[#This Row],[Supervisor]],Wed_W2[],MATCH("Team MTG",Wed_W2[#Headers],0),0),"")</f>
        <v/>
      </c>
      <c r="BP72" s="93">
        <f>IFERROR(VLOOKUP(SupSum[[#This Row],[Supervisor]],Thu_W2[],MATCH("Help Line",Thu_W2[#Headers],0),0),"")</f>
        <v>0</v>
      </c>
      <c r="BQ72" s="93">
        <f>IFERROR(VLOOKUP(SupSum[[#This Row],[Supervisor]],Thu_W2[],MATCH("RTA",Thu_W2[#Headers],0),0),"")</f>
        <v>0</v>
      </c>
      <c r="BR72" s="93">
        <f>IFERROR(VLOOKUP(SupSum[[#This Row],[Supervisor]],Thu_W2[],MATCH("Admin",Thu_W2[#Headers],0),0),"")</f>
        <v>0</v>
      </c>
      <c r="BS72" s="93" t="str">
        <f>IFERROR(VLOOKUP(SupSum[[#This Row],[Supervisor]],Thu_W2[],MATCH("Team MTG",Thu_W2[#Headers],0),0),"")</f>
        <v/>
      </c>
      <c r="BU72" s="93">
        <f>IFERROR(VLOOKUP(SupSum[[#This Row],[Supervisor]],Fri_W2[],MATCH("Help Line",Fri_W2[#Headers],0),0),"")</f>
        <v>0</v>
      </c>
      <c r="BV72" s="93">
        <f>IFERROR(VLOOKUP(SupSum[[#This Row],[Supervisor]],Fri_W2[],MATCH("RTA",Fri_W2[#Headers],0),0),"")</f>
        <v>0</v>
      </c>
      <c r="BW72" s="93">
        <f>IFERROR(VLOOKUP(SupSum[[#This Row],[Supervisor]],Fri_W2[],MATCH("Admin",Fri_W2[#Headers],0),0),"")</f>
        <v>0</v>
      </c>
      <c r="BX72" s="93" t="str">
        <f>IFERROR(VLOOKUP(SupSum[[#This Row],[Supervisor]],Fri_W2[],MATCH("Team MTG",Fri_W2[#Headers],0),0),"")</f>
        <v/>
      </c>
      <c r="BZ72" s="93">
        <f>IFERROR(VLOOKUP(SupSum[[#This Row],[Supervisor]],Sat_W2[],MATCH("Help Line",Sat_W2[#Headers],0),0),"")</f>
        <v>0</v>
      </c>
      <c r="CA72" s="93">
        <f>IFERROR(VLOOKUP(SupSum[[#This Row],[Supervisor]],Sat_W2[],MATCH("RTA",Sat_W2[#Headers],0),0),"")</f>
        <v>0</v>
      </c>
      <c r="CB72" s="93">
        <f>IFERROR(VLOOKUP(SupSum[[#This Row],[Supervisor]],Sat_W2[],MATCH("Admin",Sat_W2[#Headers],0),0),"")</f>
        <v>0</v>
      </c>
      <c r="CC72" s="93" t="str">
        <f>IFERROR(VLOOKUP(SupSum[[#This Row],[Supervisor]],Sat_W2[],MATCH("Team MTG",Sat_W2[#Headers],0),0),"")</f>
        <v/>
      </c>
    </row>
    <row r="73" spans="2:81" x14ac:dyDescent="0.2">
      <c r="B73" s="205" t="s">
        <v>42</v>
      </c>
      <c r="C73" s="206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73" s="206">
        <f>SUM(SSum_Sun1[[#This Row],[RTA]],SSum_Mon1[[#This Row],[RTA]],SSum_Tue1[[#This Row],[RTA]],SSum_Wed1[[#This Row],[RTA]],SSum_Thu1[[#This Row],[RTA]],SSum_Fri1[[#This Row],[RTA]],SSum_Sat1[[#This Row],[RTA]])</f>
        <v>0</v>
      </c>
      <c r="E73" s="206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73" s="206">
        <f>SUM(SSum_Sun1[[#This Row],[TM]],SSum_Mon1[[#This Row],[TM]],SSum_Tue1[[#This Row],[TM]],SSum_Wed1[[#This Row],[TM]],SSum_Thu1[[#This Row],[TM]],SSum_Fri1[[#This Row],[TM]],SSum_Sat1[[#This Row],[TM]])</f>
        <v>0</v>
      </c>
      <c r="G73" s="206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73" s="206">
        <f>SUM(SSum_Sun2[[#This Row],[RTA]],SSum_Mon2[[#This Row],[RTA]],SSum_Tue2[[#This Row],[RTA]],SSum_Wed2[[#This Row],[RTA]],SSum_Thu2[[#This Row],[RTA]],SSum_Fri2[[#This Row],[RTA]],SSum_Sat2[[#This Row],[RTA]])</f>
        <v>0</v>
      </c>
      <c r="I73" s="206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73" s="206">
        <f>SUM(SSum_Sun2[[#This Row],[TM]],SSum_Mon2[[#This Row],[TM]],SSum_Tue2[[#This Row],[TM]],SSum_Wed2[[#This Row],[TM]],SSum_Thu2[[#This Row],[TM]],SSum_Fri2[[#This Row],[TM]],SSum_Sat2[[#This Row],[TM]])</f>
        <v>0</v>
      </c>
      <c r="K73" s="205"/>
      <c r="M73" s="93" t="str">
        <f>IFERROR(VLOOKUP(SupSum[[#This Row],[Supervisor]],Sun_W1[],MATCH("Help Line",Sun_W1[#Headers],0),0),"")</f>
        <v/>
      </c>
      <c r="N73" s="93" t="str">
        <f>IFERROR(VLOOKUP(SupSum[[#This Row],[Supervisor]],Sun_W1[],MATCH("RTA",Sun_W1[#Headers],0),0),"")</f>
        <v/>
      </c>
      <c r="O73" s="93" t="str">
        <f>IFERROR(VLOOKUP(SupSum[[#This Row],[Supervisor]],Sun_W1[],MATCH("Admin",Sun_W1[#Headers],0),0),"")</f>
        <v/>
      </c>
      <c r="P73" s="93" t="str">
        <f>IFERROR(VLOOKUP(SupSum[[#This Row],[Supervisor]],Sun_W1[],MATCH("Team MTG",Sun_W1[#Headers],0),0),"")</f>
        <v/>
      </c>
      <c r="R73" s="93" t="str">
        <f>IFERROR(VLOOKUP(SupSum[[#This Row],[Supervisor]],Mon_W1[],MATCH("Help Line",Mon_W1[#Headers],0),0),"")</f>
        <v/>
      </c>
      <c r="S73" s="93" t="str">
        <f>IFERROR(VLOOKUP(SupSum[[#This Row],[Supervisor]],Mon_W1[],MATCH("RTA",Mon_W1[#Headers],0),0),"")</f>
        <v/>
      </c>
      <c r="T73" s="93" t="str">
        <f>IFERROR(VLOOKUP(SupSum[[#This Row],[Supervisor]],Mon_W1[],MATCH("Admin",Mon_W1[#Headers],0),0),"")</f>
        <v/>
      </c>
      <c r="U73" s="93" t="str">
        <f>IFERROR(VLOOKUP(SupSum[[#This Row],[Supervisor]],Mon_W1[],MATCH("Team MTG",Mon_W1[#Headers],0),0),"")</f>
        <v/>
      </c>
      <c r="W73" s="93" t="str">
        <f>IFERROR(VLOOKUP(SupSum[[#This Row],[Supervisor]],Tue_W1[],MATCH("Help Line",Tue_W1[#Headers],0),0),"")</f>
        <v/>
      </c>
      <c r="X73" s="93" t="str">
        <f>IFERROR(VLOOKUP(SupSum[[#This Row],[Supervisor]],Tue_W1[],MATCH("RTA",Tue_W1[#Headers],0),0),"")</f>
        <v/>
      </c>
      <c r="Y73" s="93" t="str">
        <f>IFERROR(VLOOKUP(SupSum[[#This Row],[Supervisor]],Tue_W1[],MATCH("Admin",Tue_W1[#Headers],0),0),"")</f>
        <v/>
      </c>
      <c r="Z73" s="93" t="str">
        <f>IFERROR(VLOOKUP(SupSum[[#This Row],[Supervisor]],Tue_W1[],MATCH("Team MTG",Tue_W1[#Headers],0),0),"")</f>
        <v/>
      </c>
      <c r="AB73" s="93" t="str">
        <f>IFERROR(VLOOKUP(SupSum[[#This Row],[Supervisor]],Wed_W1[],MATCH("Help Line",Wed_W1[#Headers],0),0),"")</f>
        <v/>
      </c>
      <c r="AC73" s="93" t="str">
        <f>IFERROR(VLOOKUP(SupSum[[#This Row],[Supervisor]],Wed_W1[],MATCH("RTA",Wed_W1[#Headers],0),0),"")</f>
        <v/>
      </c>
      <c r="AD73" s="93" t="str">
        <f>IFERROR(VLOOKUP(SupSum[[#This Row],[Supervisor]],Wed_W1[],MATCH("Admin",Wed_W1[#Headers],0),0),"")</f>
        <v/>
      </c>
      <c r="AE73" s="93" t="str">
        <f>IFERROR(VLOOKUP(SupSum[[#This Row],[Supervisor]],Wed_W1[],MATCH("Team MTG",Wed_W1[#Headers],0),0),"")</f>
        <v/>
      </c>
      <c r="AG73" s="93" t="str">
        <f>IFERROR(VLOOKUP(SupSum[[#This Row],[Supervisor]],Thu_W1[],MATCH("Help Line",Thu_W1[#Headers],0),0),"")</f>
        <v/>
      </c>
      <c r="AH73" s="93" t="str">
        <f>IFERROR(VLOOKUP(SupSum[[#This Row],[Supervisor]],Thu_W1[],MATCH("RTA",Thu_W1[#Headers],0),0),"")</f>
        <v/>
      </c>
      <c r="AI73" s="93" t="str">
        <f>IFERROR(VLOOKUP(SupSum[[#This Row],[Supervisor]],Thu_W1[],MATCH("Admin",Thu_W1[#Headers],0),0),"")</f>
        <v/>
      </c>
      <c r="AJ73" s="93" t="str">
        <f>IFERROR(VLOOKUP(SupSum[[#This Row],[Supervisor]],Thu_W1[],MATCH("Team MTG",Thu_W1[#Headers],0),0),"")</f>
        <v/>
      </c>
      <c r="AL73" s="93" t="str">
        <f>IFERROR(VLOOKUP(SupSum[[#This Row],[Supervisor]],Fri_W1[],MATCH("Help Line",Fri_W1[#Headers],0),0),"")</f>
        <v/>
      </c>
      <c r="AM73" s="93" t="str">
        <f>IFERROR(VLOOKUP(SupSum[[#This Row],[Supervisor]],Fri_W1[],MATCH("RTA",Fri_W1[#Headers],0),0),"")</f>
        <v/>
      </c>
      <c r="AN73" s="93" t="str">
        <f>IFERROR(VLOOKUP(SupSum[[#This Row],[Supervisor]],Fri_W1[],MATCH("Admin",Fri_W1[#Headers],0),0),"")</f>
        <v/>
      </c>
      <c r="AO73" s="93" t="str">
        <f>IFERROR(VLOOKUP(SupSum[[#This Row],[Supervisor]],Fri_W1[],MATCH("Team MTG",Fri_W1[#Headers],0),0),"")</f>
        <v/>
      </c>
      <c r="AQ73" s="93" t="str">
        <f>IFERROR(VLOOKUP(SupSum[[#This Row],[Supervisor]],Sat_W1[],MATCH("Help Line",Sat_W1[#Headers],0),0),"")</f>
        <v/>
      </c>
      <c r="AR73" s="93" t="str">
        <f>IFERROR(VLOOKUP(SupSum[[#This Row],[Supervisor]],Sat_W1[],MATCH("RTA",Sat_W1[#Headers],0),0),"")</f>
        <v/>
      </c>
      <c r="AS73" s="93" t="str">
        <f>IFERROR(VLOOKUP(SupSum[[#This Row],[Supervisor]],Sat_W1[],MATCH("Admin",Sat_W1[#Headers],0),0),"")</f>
        <v/>
      </c>
      <c r="AT73" s="93" t="str">
        <f>IFERROR(VLOOKUP(SupSum[[#This Row],[Supervisor]],Sat_W1[],MATCH("Team MTG",Sat_W1[#Headers],0),0),"")</f>
        <v/>
      </c>
      <c r="AV73" s="93" t="str">
        <f>IFERROR(VLOOKUP(SupSum[[#This Row],[Supervisor]],Sun_W2[],MATCH("Help Line",Sun_W2[#Headers],0),0),"")</f>
        <v/>
      </c>
      <c r="AW73" s="93" t="str">
        <f>IFERROR(VLOOKUP(SupSum[[#This Row],[Supervisor]],Sun_W2[],MATCH("RTA",Sun_W2[#Headers],0),0),"")</f>
        <v/>
      </c>
      <c r="AX73" s="93" t="str">
        <f>IFERROR(VLOOKUP(SupSum[[#This Row],[Supervisor]],Sun_W2[],MATCH("Admin",Sun_W2[#Headers],0),0),"")</f>
        <v/>
      </c>
      <c r="AY73" s="93" t="str">
        <f>IFERROR(VLOOKUP(SupSum[[#This Row],[Supervisor]],Sun_W2[],MATCH("Team MTG",Sun_W2[#Headers],0),0),"")</f>
        <v/>
      </c>
      <c r="BA73" s="93" t="str">
        <f>IFERROR(VLOOKUP(SupSum[[#This Row],[Supervisor]],Mon_W2[],MATCH("Help Line",Mon_W2[#Headers],0),0),"")</f>
        <v/>
      </c>
      <c r="BB73" s="93" t="str">
        <f>IFERROR(VLOOKUP(SupSum[[#This Row],[Supervisor]],Mon_W2[],MATCH("RTA",Mon_W2[#Headers],0),0),"")</f>
        <v/>
      </c>
      <c r="BC73" s="93" t="str">
        <f>IFERROR(VLOOKUP(SupSum[[#This Row],[Supervisor]],Mon_W2[],MATCH("Admin",Mon_W2[#Headers],0),0),"")</f>
        <v/>
      </c>
      <c r="BD73" s="93" t="str">
        <f>IFERROR(VLOOKUP(SupSum[[#This Row],[Supervisor]],Mon_W2[],MATCH("Team MTG",Mon_W2[#Headers],0),0),"")</f>
        <v/>
      </c>
      <c r="BF73" s="93" t="str">
        <f>IFERROR(VLOOKUP(SupSum[[#This Row],[Supervisor]],Tue_W2[],MATCH("Help Line",Tue_W2[#Headers],0),0),"")</f>
        <v/>
      </c>
      <c r="BG73" s="93" t="str">
        <f>IFERROR(VLOOKUP(SupSum[[#This Row],[Supervisor]],Tue_W2[],MATCH("RTA",Tue_W2[#Headers],0),0),"")</f>
        <v/>
      </c>
      <c r="BH73" s="93" t="str">
        <f>IFERROR(VLOOKUP(SupSum[[#This Row],[Supervisor]],Tue_W2[],MATCH("Admin",Tue_W2[#Headers],0),0),"")</f>
        <v/>
      </c>
      <c r="BI73" s="93" t="str">
        <f>IFERROR(VLOOKUP(SupSum[[#This Row],[Supervisor]],Tue_W2[],MATCH("Team MTG",Tue_W2[#Headers],0),0),"")</f>
        <v/>
      </c>
      <c r="BK73" s="93" t="str">
        <f>IFERROR(VLOOKUP(SupSum[[#This Row],[Supervisor]],Wed_W2[],MATCH("Help Line",Wed_W2[#Headers],0),0),"")</f>
        <v/>
      </c>
      <c r="BL73" s="93" t="str">
        <f>IFERROR(VLOOKUP(SupSum[[#This Row],[Supervisor]],Wed_W2[],MATCH("RTA",Wed_W2[#Headers],0),0),"")</f>
        <v/>
      </c>
      <c r="BM73" s="93" t="str">
        <f>IFERROR(VLOOKUP(SupSum[[#This Row],[Supervisor]],Wed_W2[],MATCH("Admin",Wed_W2[#Headers],0),0),"")</f>
        <v/>
      </c>
      <c r="BN73" s="93" t="str">
        <f>IFERROR(VLOOKUP(SupSum[[#This Row],[Supervisor]],Wed_W2[],MATCH("Team MTG",Wed_W2[#Headers],0),0),"")</f>
        <v/>
      </c>
      <c r="BP73" s="93" t="str">
        <f>IFERROR(VLOOKUP(SupSum[[#This Row],[Supervisor]],Thu_W2[],MATCH("Help Line",Thu_W2[#Headers],0),0),"")</f>
        <v/>
      </c>
      <c r="BQ73" s="93" t="str">
        <f>IFERROR(VLOOKUP(SupSum[[#This Row],[Supervisor]],Thu_W2[],MATCH("RTA",Thu_W2[#Headers],0),0),"")</f>
        <v/>
      </c>
      <c r="BR73" s="93" t="str">
        <f>IFERROR(VLOOKUP(SupSum[[#This Row],[Supervisor]],Thu_W2[],MATCH("Admin",Thu_W2[#Headers],0),0),"")</f>
        <v/>
      </c>
      <c r="BS73" s="93" t="str">
        <f>IFERROR(VLOOKUP(SupSum[[#This Row],[Supervisor]],Thu_W2[],MATCH("Team MTG",Thu_W2[#Headers],0),0),"")</f>
        <v/>
      </c>
      <c r="BU73" s="93" t="str">
        <f>IFERROR(VLOOKUP(SupSum[[#This Row],[Supervisor]],Fri_W2[],MATCH("Help Line",Fri_W2[#Headers],0),0),"")</f>
        <v/>
      </c>
      <c r="BV73" s="93" t="str">
        <f>IFERROR(VLOOKUP(SupSum[[#This Row],[Supervisor]],Fri_W2[],MATCH("RTA",Fri_W2[#Headers],0),0),"")</f>
        <v/>
      </c>
      <c r="BW73" s="93" t="str">
        <f>IFERROR(VLOOKUP(SupSum[[#This Row],[Supervisor]],Fri_W2[],MATCH("Admin",Fri_W2[#Headers],0),0),"")</f>
        <v/>
      </c>
      <c r="BX73" s="93" t="str">
        <f>IFERROR(VLOOKUP(SupSum[[#This Row],[Supervisor]],Fri_W2[],MATCH("Team MTG",Fri_W2[#Headers],0),0),"")</f>
        <v/>
      </c>
      <c r="BZ73" s="93" t="str">
        <f>IFERROR(VLOOKUP(SupSum[[#This Row],[Supervisor]],Sat_W2[],MATCH("Help Line",Sat_W2[#Headers],0),0),"")</f>
        <v/>
      </c>
      <c r="CA73" s="93" t="str">
        <f>IFERROR(VLOOKUP(SupSum[[#This Row],[Supervisor]],Sat_W2[],MATCH("RTA",Sat_W2[#Headers],0),0),"")</f>
        <v/>
      </c>
      <c r="CB73" s="93" t="str">
        <f>IFERROR(VLOOKUP(SupSum[[#This Row],[Supervisor]],Sat_W2[],MATCH("Admin",Sat_W2[#Headers],0),0),"")</f>
        <v/>
      </c>
      <c r="CC73" s="93" t="str">
        <f>IFERROR(VLOOKUP(SupSum[[#This Row],[Supervisor]],Sat_W2[],MATCH("Team MTG",Sat_W2[#Headers],0),0),"")</f>
        <v/>
      </c>
    </row>
    <row r="74" spans="2:81" x14ac:dyDescent="0.2">
      <c r="B74" s="205" t="s">
        <v>28</v>
      </c>
      <c r="C74" s="206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74" s="206">
        <f>SUM(SSum_Sun1[[#This Row],[RTA]],SSum_Mon1[[#This Row],[RTA]],SSum_Tue1[[#This Row],[RTA]],SSum_Wed1[[#This Row],[RTA]],SSum_Thu1[[#This Row],[RTA]],SSum_Fri1[[#This Row],[RTA]],SSum_Sat1[[#This Row],[RTA]])</f>
        <v>0</v>
      </c>
      <c r="E74" s="206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74" s="206">
        <f>SUM(SSum_Sun1[[#This Row],[TM]],SSum_Mon1[[#This Row],[TM]],SSum_Tue1[[#This Row],[TM]],SSum_Wed1[[#This Row],[TM]],SSum_Thu1[[#This Row],[TM]],SSum_Fri1[[#This Row],[TM]],SSum_Sat1[[#This Row],[TM]])</f>
        <v>0</v>
      </c>
      <c r="G74" s="206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74" s="206">
        <f>SUM(SSum_Sun2[[#This Row],[RTA]],SSum_Mon2[[#This Row],[RTA]],SSum_Tue2[[#This Row],[RTA]],SSum_Wed2[[#This Row],[RTA]],SSum_Thu2[[#This Row],[RTA]],SSum_Fri2[[#This Row],[RTA]],SSum_Sat2[[#This Row],[RTA]])</f>
        <v>0</v>
      </c>
      <c r="I74" s="206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74" s="206">
        <f>SUM(SSum_Sun2[[#This Row],[TM]],SSum_Mon2[[#This Row],[TM]],SSum_Tue2[[#This Row],[TM]],SSum_Wed2[[#This Row],[TM]],SSum_Thu2[[#This Row],[TM]],SSum_Fri2[[#This Row],[TM]],SSum_Sat2[[#This Row],[TM]])</f>
        <v>0</v>
      </c>
      <c r="K74" s="205">
        <v>16</v>
      </c>
      <c r="M74" s="93" t="str">
        <f>IFERROR(VLOOKUP(SupSum[[#This Row],[Supervisor]],Sun_W1[],MATCH("Help Line",Sun_W1[#Headers],0),0),"")</f>
        <v/>
      </c>
      <c r="N74" s="93" t="str">
        <f>IFERROR(VLOOKUP(SupSum[[#This Row],[Supervisor]],Sun_W1[],MATCH("RTA",Sun_W1[#Headers],0),0),"")</f>
        <v/>
      </c>
      <c r="O74" s="93" t="str">
        <f>IFERROR(VLOOKUP(SupSum[[#This Row],[Supervisor]],Sun_W1[],MATCH("Admin",Sun_W1[#Headers],0),0),"")</f>
        <v/>
      </c>
      <c r="P74" s="93" t="str">
        <f>IFERROR(VLOOKUP(SupSum[[#This Row],[Supervisor]],Sun_W1[],MATCH("Team MTG",Sun_W1[#Headers],0),0),"")</f>
        <v/>
      </c>
      <c r="R74" s="93" t="str">
        <f>IFERROR(VLOOKUP(SupSum[[#This Row],[Supervisor]],Mon_W1[],MATCH("Help Line",Mon_W1[#Headers],0),0),"")</f>
        <v/>
      </c>
      <c r="S74" s="93" t="str">
        <f>IFERROR(VLOOKUP(SupSum[[#This Row],[Supervisor]],Mon_W1[],MATCH("RTA",Mon_W1[#Headers],0),0),"")</f>
        <v/>
      </c>
      <c r="T74" s="93" t="str">
        <f>IFERROR(VLOOKUP(SupSum[[#This Row],[Supervisor]],Mon_W1[],MATCH("Admin",Mon_W1[#Headers],0),0),"")</f>
        <v/>
      </c>
      <c r="U74" s="93" t="str">
        <f>IFERROR(VLOOKUP(SupSum[[#This Row],[Supervisor]],Mon_W1[],MATCH("Team MTG",Mon_W1[#Headers],0),0),"")</f>
        <v/>
      </c>
      <c r="W74" s="93" t="str">
        <f>IFERROR(VLOOKUP(SupSum[[#This Row],[Supervisor]],Tue_W1[],MATCH("Help Line",Tue_W1[#Headers],0),0),"")</f>
        <v/>
      </c>
      <c r="X74" s="93" t="str">
        <f>IFERROR(VLOOKUP(SupSum[[#This Row],[Supervisor]],Tue_W1[],MATCH("RTA",Tue_W1[#Headers],0),0),"")</f>
        <v/>
      </c>
      <c r="Y74" s="93" t="str">
        <f>IFERROR(VLOOKUP(SupSum[[#This Row],[Supervisor]],Tue_W1[],MATCH("Admin",Tue_W1[#Headers],0),0),"")</f>
        <v/>
      </c>
      <c r="Z74" s="93" t="str">
        <f>IFERROR(VLOOKUP(SupSum[[#This Row],[Supervisor]],Tue_W1[],MATCH("Team MTG",Tue_W1[#Headers],0),0),"")</f>
        <v/>
      </c>
      <c r="AB74" s="93" t="str">
        <f>IFERROR(VLOOKUP(SupSum[[#This Row],[Supervisor]],Wed_W1[],MATCH("Help Line",Wed_W1[#Headers],0),0),"")</f>
        <v/>
      </c>
      <c r="AC74" s="93" t="str">
        <f>IFERROR(VLOOKUP(SupSum[[#This Row],[Supervisor]],Wed_W1[],MATCH("RTA",Wed_W1[#Headers],0),0),"")</f>
        <v/>
      </c>
      <c r="AD74" s="93" t="str">
        <f>IFERROR(VLOOKUP(SupSum[[#This Row],[Supervisor]],Wed_W1[],MATCH("Admin",Wed_W1[#Headers],0),0),"")</f>
        <v/>
      </c>
      <c r="AE74" s="93" t="str">
        <f>IFERROR(VLOOKUP(SupSum[[#This Row],[Supervisor]],Wed_W1[],MATCH("Team MTG",Wed_W1[#Headers],0),0),"")</f>
        <v/>
      </c>
      <c r="AG74" s="93" t="str">
        <f>IFERROR(VLOOKUP(SupSum[[#This Row],[Supervisor]],Thu_W1[],MATCH("Help Line",Thu_W1[#Headers],0),0),"")</f>
        <v/>
      </c>
      <c r="AH74" s="93" t="str">
        <f>IFERROR(VLOOKUP(SupSum[[#This Row],[Supervisor]],Thu_W1[],MATCH("RTA",Thu_W1[#Headers],0),0),"")</f>
        <v/>
      </c>
      <c r="AI74" s="93" t="str">
        <f>IFERROR(VLOOKUP(SupSum[[#This Row],[Supervisor]],Thu_W1[],MATCH("Admin",Thu_W1[#Headers],0),0),"")</f>
        <v/>
      </c>
      <c r="AJ74" s="93" t="str">
        <f>IFERROR(VLOOKUP(SupSum[[#This Row],[Supervisor]],Thu_W1[],MATCH("Team MTG",Thu_W1[#Headers],0),0),"")</f>
        <v/>
      </c>
      <c r="AL74" s="93" t="str">
        <f>IFERROR(VLOOKUP(SupSum[[#This Row],[Supervisor]],Fri_W1[],MATCH("Help Line",Fri_W1[#Headers],0),0),"")</f>
        <v/>
      </c>
      <c r="AM74" s="93" t="str">
        <f>IFERROR(VLOOKUP(SupSum[[#This Row],[Supervisor]],Fri_W1[],MATCH("RTA",Fri_W1[#Headers],0),0),"")</f>
        <v/>
      </c>
      <c r="AN74" s="93" t="str">
        <f>IFERROR(VLOOKUP(SupSum[[#This Row],[Supervisor]],Fri_W1[],MATCH("Admin",Fri_W1[#Headers],0),0),"")</f>
        <v/>
      </c>
      <c r="AO74" s="93" t="str">
        <f>IFERROR(VLOOKUP(SupSum[[#This Row],[Supervisor]],Fri_W1[],MATCH("Team MTG",Fri_W1[#Headers],0),0),"")</f>
        <v/>
      </c>
      <c r="AQ74" s="93" t="str">
        <f>IFERROR(VLOOKUP(SupSum[[#This Row],[Supervisor]],Sat_W1[],MATCH("Help Line",Sat_W1[#Headers],0),0),"")</f>
        <v/>
      </c>
      <c r="AR74" s="93" t="str">
        <f>IFERROR(VLOOKUP(SupSum[[#This Row],[Supervisor]],Sat_W1[],MATCH("RTA",Sat_W1[#Headers],0),0),"")</f>
        <v/>
      </c>
      <c r="AS74" s="93" t="str">
        <f>IFERROR(VLOOKUP(SupSum[[#This Row],[Supervisor]],Sat_W1[],MATCH("Admin",Sat_W1[#Headers],0),0),"")</f>
        <v/>
      </c>
      <c r="AT74" s="93" t="str">
        <f>IFERROR(VLOOKUP(SupSum[[#This Row],[Supervisor]],Sat_W1[],MATCH("Team MTG",Sat_W1[#Headers],0),0),"")</f>
        <v/>
      </c>
      <c r="AV74" s="93" t="str">
        <f>IFERROR(VLOOKUP(SupSum[[#This Row],[Supervisor]],Sun_W2[],MATCH("Help Line",Sun_W2[#Headers],0),0),"")</f>
        <v/>
      </c>
      <c r="AW74" s="93" t="str">
        <f>IFERROR(VLOOKUP(SupSum[[#This Row],[Supervisor]],Sun_W2[],MATCH("RTA",Sun_W2[#Headers],0),0),"")</f>
        <v/>
      </c>
      <c r="AX74" s="93" t="str">
        <f>IFERROR(VLOOKUP(SupSum[[#This Row],[Supervisor]],Sun_W2[],MATCH("Admin",Sun_W2[#Headers],0),0),"")</f>
        <v/>
      </c>
      <c r="AY74" s="93" t="str">
        <f>IFERROR(VLOOKUP(SupSum[[#This Row],[Supervisor]],Sun_W2[],MATCH("Team MTG",Sun_W2[#Headers],0),0),"")</f>
        <v/>
      </c>
      <c r="BA74" s="93" t="str">
        <f>IFERROR(VLOOKUP(SupSum[[#This Row],[Supervisor]],Mon_W2[],MATCH("Help Line",Mon_W2[#Headers],0),0),"")</f>
        <v/>
      </c>
      <c r="BB74" s="93" t="str">
        <f>IFERROR(VLOOKUP(SupSum[[#This Row],[Supervisor]],Mon_W2[],MATCH("RTA",Mon_W2[#Headers],0),0),"")</f>
        <v/>
      </c>
      <c r="BC74" s="93" t="str">
        <f>IFERROR(VLOOKUP(SupSum[[#This Row],[Supervisor]],Mon_W2[],MATCH("Admin",Mon_W2[#Headers],0),0),"")</f>
        <v/>
      </c>
      <c r="BD74" s="93" t="str">
        <f>IFERROR(VLOOKUP(SupSum[[#This Row],[Supervisor]],Mon_W2[],MATCH("Team MTG",Mon_W2[#Headers],0),0),"")</f>
        <v/>
      </c>
      <c r="BF74" s="93" t="str">
        <f>IFERROR(VLOOKUP(SupSum[[#This Row],[Supervisor]],Tue_W2[],MATCH("Help Line",Tue_W2[#Headers],0),0),"")</f>
        <v/>
      </c>
      <c r="BG74" s="93" t="str">
        <f>IFERROR(VLOOKUP(SupSum[[#This Row],[Supervisor]],Tue_W2[],MATCH("RTA",Tue_W2[#Headers],0),0),"")</f>
        <v/>
      </c>
      <c r="BH74" s="93" t="str">
        <f>IFERROR(VLOOKUP(SupSum[[#This Row],[Supervisor]],Tue_W2[],MATCH("Admin",Tue_W2[#Headers],0),0),"")</f>
        <v/>
      </c>
      <c r="BI74" s="93" t="str">
        <f>IFERROR(VLOOKUP(SupSum[[#This Row],[Supervisor]],Tue_W2[],MATCH("Team MTG",Tue_W2[#Headers],0),0),"")</f>
        <v/>
      </c>
      <c r="BK74" s="93" t="str">
        <f>IFERROR(VLOOKUP(SupSum[[#This Row],[Supervisor]],Wed_W2[],MATCH("Help Line",Wed_W2[#Headers],0),0),"")</f>
        <v/>
      </c>
      <c r="BL74" s="93" t="str">
        <f>IFERROR(VLOOKUP(SupSum[[#This Row],[Supervisor]],Wed_W2[],MATCH("RTA",Wed_W2[#Headers],0),0),"")</f>
        <v/>
      </c>
      <c r="BM74" s="93" t="str">
        <f>IFERROR(VLOOKUP(SupSum[[#This Row],[Supervisor]],Wed_W2[],MATCH("Admin",Wed_W2[#Headers],0),0),"")</f>
        <v/>
      </c>
      <c r="BN74" s="93" t="str">
        <f>IFERROR(VLOOKUP(SupSum[[#This Row],[Supervisor]],Wed_W2[],MATCH("Team MTG",Wed_W2[#Headers],0),0),"")</f>
        <v/>
      </c>
      <c r="BP74" s="93" t="str">
        <f>IFERROR(VLOOKUP(SupSum[[#This Row],[Supervisor]],Thu_W2[],MATCH("Help Line",Thu_W2[#Headers],0),0),"")</f>
        <v/>
      </c>
      <c r="BQ74" s="93" t="str">
        <f>IFERROR(VLOOKUP(SupSum[[#This Row],[Supervisor]],Thu_W2[],MATCH("RTA",Thu_W2[#Headers],0),0),"")</f>
        <v/>
      </c>
      <c r="BR74" s="93" t="str">
        <f>IFERROR(VLOOKUP(SupSum[[#This Row],[Supervisor]],Thu_W2[],MATCH("Admin",Thu_W2[#Headers],0),0),"")</f>
        <v/>
      </c>
      <c r="BS74" s="93" t="str">
        <f>IFERROR(VLOOKUP(SupSum[[#This Row],[Supervisor]],Thu_W2[],MATCH("Team MTG",Thu_W2[#Headers],0),0),"")</f>
        <v/>
      </c>
      <c r="BU74" s="93" t="str">
        <f>IFERROR(VLOOKUP(SupSum[[#This Row],[Supervisor]],Fri_W2[],MATCH("Help Line",Fri_W2[#Headers],0),0),"")</f>
        <v/>
      </c>
      <c r="BV74" s="93" t="str">
        <f>IFERROR(VLOOKUP(SupSum[[#This Row],[Supervisor]],Fri_W2[],MATCH("RTA",Fri_W2[#Headers],0),0),"")</f>
        <v/>
      </c>
      <c r="BW74" s="93" t="str">
        <f>IFERROR(VLOOKUP(SupSum[[#This Row],[Supervisor]],Fri_W2[],MATCH("Admin",Fri_W2[#Headers],0),0),"")</f>
        <v/>
      </c>
      <c r="BX74" s="93" t="str">
        <f>IFERROR(VLOOKUP(SupSum[[#This Row],[Supervisor]],Fri_W2[],MATCH("Team MTG",Fri_W2[#Headers],0),0),"")</f>
        <v/>
      </c>
      <c r="BZ74" s="93" t="str">
        <f>IFERROR(VLOOKUP(SupSum[[#This Row],[Supervisor]],Sat_W2[],MATCH("Help Line",Sat_W2[#Headers],0),0),"")</f>
        <v/>
      </c>
      <c r="CA74" s="93" t="str">
        <f>IFERROR(VLOOKUP(SupSum[[#This Row],[Supervisor]],Sat_W2[],MATCH("RTA",Sat_W2[#Headers],0),0),"")</f>
        <v/>
      </c>
      <c r="CB74" s="93" t="str">
        <f>IFERROR(VLOOKUP(SupSum[[#This Row],[Supervisor]],Sat_W2[],MATCH("Admin",Sat_W2[#Headers],0),0),"")</f>
        <v/>
      </c>
      <c r="CC74" s="93" t="str">
        <f>IFERROR(VLOOKUP(SupSum[[#This Row],[Supervisor]],Sat_W2[],MATCH("Team MTG",Sat_W2[#Headers],0),0),"")</f>
        <v/>
      </c>
    </row>
    <row r="75" spans="2:81" x14ac:dyDescent="0.2">
      <c r="B75" s="6" t="s">
        <v>33</v>
      </c>
      <c r="C75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75" s="93">
        <f>SUM(SSum_Sun1[[#This Row],[RTA]],SSum_Mon1[[#This Row],[RTA]],SSum_Tue1[[#This Row],[RTA]],SSum_Wed1[[#This Row],[RTA]],SSum_Thu1[[#This Row],[RTA]],SSum_Fri1[[#This Row],[RTA]],SSum_Sat1[[#This Row],[RTA]])</f>
        <v>0</v>
      </c>
      <c r="E75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75" s="93">
        <f>SUM(SSum_Sun1[[#This Row],[TM]],SSum_Mon1[[#This Row],[TM]],SSum_Tue1[[#This Row],[TM]],SSum_Wed1[[#This Row],[TM]],SSum_Thu1[[#This Row],[TM]],SSum_Fri1[[#This Row],[TM]],SSum_Sat1[[#This Row],[TM]])</f>
        <v>0</v>
      </c>
      <c r="G75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75" s="93">
        <f>SUM(SSum_Sun2[[#This Row],[RTA]],SSum_Mon2[[#This Row],[RTA]],SSum_Tue2[[#This Row],[RTA]],SSum_Wed2[[#This Row],[RTA]],SSum_Thu2[[#This Row],[RTA]],SSum_Fri2[[#This Row],[RTA]],SSum_Sat2[[#This Row],[RTA]])</f>
        <v>0</v>
      </c>
      <c r="I75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75" s="93">
        <f>SUM(SSum_Sun2[[#This Row],[TM]],SSum_Mon2[[#This Row],[TM]],SSum_Tue2[[#This Row],[TM]],SSum_Wed2[[#This Row],[TM]],SSum_Thu2[[#This Row],[TM]],SSum_Fri2[[#This Row],[TM]],SSum_Sat2[[#This Row],[TM]])</f>
        <v>0</v>
      </c>
      <c r="K75" s="208">
        <v>14</v>
      </c>
      <c r="M75" s="93" t="str">
        <f>IFERROR(VLOOKUP(SupSum[[#This Row],[Supervisor]],Sun_W1[],MATCH("Help Line",Sun_W1[#Headers],0),0),"")</f>
        <v/>
      </c>
      <c r="N75" s="93" t="str">
        <f>IFERROR(VLOOKUP(SupSum[[#This Row],[Supervisor]],Sun_W1[],MATCH("RTA",Sun_W1[#Headers],0),0),"")</f>
        <v/>
      </c>
      <c r="O75" s="93" t="str">
        <f>IFERROR(VLOOKUP(SupSum[[#This Row],[Supervisor]],Sun_W1[],MATCH("Admin",Sun_W1[#Headers],0),0),"")</f>
        <v/>
      </c>
      <c r="P75" s="93" t="str">
        <f>IFERROR(VLOOKUP(SupSum[[#This Row],[Supervisor]],Sun_W1[],MATCH("Team MTG",Sun_W1[#Headers],0),0),"")</f>
        <v/>
      </c>
      <c r="R75" s="93">
        <f>IFERROR(VLOOKUP(SupSum[[#This Row],[Supervisor]],Mon_W1[],MATCH("Help Line",Mon_W1[#Headers],0),0),"")</f>
        <v>0</v>
      </c>
      <c r="S75" s="93">
        <f>IFERROR(VLOOKUP(SupSum[[#This Row],[Supervisor]],Mon_W1[],MATCH("RTA",Mon_W1[#Headers],0),0),"")</f>
        <v>0</v>
      </c>
      <c r="T75" s="93">
        <f>IFERROR(VLOOKUP(SupSum[[#This Row],[Supervisor]],Mon_W1[],MATCH("Admin",Mon_W1[#Headers],0),0),"")</f>
        <v>0</v>
      </c>
      <c r="U75" s="93" t="str">
        <f>IFERROR(VLOOKUP(SupSum[[#This Row],[Supervisor]],Mon_W1[],MATCH("Team MTG",Mon_W1[#Headers],0),0),"")</f>
        <v/>
      </c>
      <c r="W75" s="93">
        <f>IFERROR(VLOOKUP(SupSum[[#This Row],[Supervisor]],Tue_W1[],MATCH("Help Line",Tue_W1[#Headers],0),0),"")</f>
        <v>0</v>
      </c>
      <c r="X75" s="93">
        <f>IFERROR(VLOOKUP(SupSum[[#This Row],[Supervisor]],Tue_W1[],MATCH("RTA",Tue_W1[#Headers],0),0),"")</f>
        <v>0</v>
      </c>
      <c r="Y75" s="93">
        <f>IFERROR(VLOOKUP(SupSum[[#This Row],[Supervisor]],Tue_W1[],MATCH("Admin",Tue_W1[#Headers],0),0),"")</f>
        <v>0</v>
      </c>
      <c r="Z75" s="93" t="str">
        <f>IFERROR(VLOOKUP(SupSum[[#This Row],[Supervisor]],Tue_W1[],MATCH("Team MTG",Tue_W1[#Headers],0),0),"")</f>
        <v/>
      </c>
      <c r="AB75" s="93">
        <f>IFERROR(VLOOKUP(SupSum[[#This Row],[Supervisor]],Wed_W1[],MATCH("Help Line",Wed_W1[#Headers],0),0),"")</f>
        <v>0</v>
      </c>
      <c r="AC75" s="93">
        <f>IFERROR(VLOOKUP(SupSum[[#This Row],[Supervisor]],Wed_W1[],MATCH("RTA",Wed_W1[#Headers],0),0),"")</f>
        <v>0</v>
      </c>
      <c r="AD75" s="93">
        <f>IFERROR(VLOOKUP(SupSum[[#This Row],[Supervisor]],Wed_W1[],MATCH("Admin",Wed_W1[#Headers],0),0),"")</f>
        <v>0</v>
      </c>
      <c r="AE75" s="93" t="str">
        <f>IFERROR(VLOOKUP(SupSum[[#This Row],[Supervisor]],Wed_W1[],MATCH("Team MTG",Wed_W1[#Headers],0),0),"")</f>
        <v/>
      </c>
      <c r="AG75" s="93">
        <f>IFERROR(VLOOKUP(SupSum[[#This Row],[Supervisor]],Thu_W1[],MATCH("Help Line",Thu_W1[#Headers],0),0),"")</f>
        <v>0</v>
      </c>
      <c r="AH75" s="93">
        <f>IFERROR(VLOOKUP(SupSum[[#This Row],[Supervisor]],Thu_W1[],MATCH("RTA",Thu_W1[#Headers],0),0),"")</f>
        <v>0</v>
      </c>
      <c r="AI75" s="93">
        <f>IFERROR(VLOOKUP(SupSum[[#This Row],[Supervisor]],Thu_W1[],MATCH("Admin",Thu_W1[#Headers],0),0),"")</f>
        <v>0</v>
      </c>
      <c r="AJ75" s="93" t="str">
        <f>IFERROR(VLOOKUP(SupSum[[#This Row],[Supervisor]],Thu_W1[],MATCH("Team MTG",Thu_W1[#Headers],0),0),"")</f>
        <v/>
      </c>
      <c r="AL75" s="93">
        <f>IFERROR(VLOOKUP(SupSum[[#This Row],[Supervisor]],Fri_W1[],MATCH("Help Line",Fri_W1[#Headers],0),0),"")</f>
        <v>0</v>
      </c>
      <c r="AM75" s="93">
        <f>IFERROR(VLOOKUP(SupSum[[#This Row],[Supervisor]],Fri_W1[],MATCH("RTA",Fri_W1[#Headers],0),0),"")</f>
        <v>0</v>
      </c>
      <c r="AN75" s="93">
        <f>IFERROR(VLOOKUP(SupSum[[#This Row],[Supervisor]],Fri_W1[],MATCH("Admin",Fri_W1[#Headers],0),0),"")</f>
        <v>0</v>
      </c>
      <c r="AO75" s="93" t="str">
        <f>IFERROR(VLOOKUP(SupSum[[#This Row],[Supervisor]],Fri_W1[],MATCH("Team MTG",Fri_W1[#Headers],0),0),"")</f>
        <v/>
      </c>
      <c r="AQ75" s="93" t="str">
        <f>IFERROR(VLOOKUP(SupSum[[#This Row],[Supervisor]],Sat_W1[],MATCH("Help Line",Sat_W1[#Headers],0),0),"")</f>
        <v/>
      </c>
      <c r="AR75" s="93" t="str">
        <f>IFERROR(VLOOKUP(SupSum[[#This Row],[Supervisor]],Sat_W1[],MATCH("RTA",Sat_W1[#Headers],0),0),"")</f>
        <v/>
      </c>
      <c r="AS75" s="93" t="str">
        <f>IFERROR(VLOOKUP(SupSum[[#This Row],[Supervisor]],Sat_W1[],MATCH("Admin",Sat_W1[#Headers],0),0),"")</f>
        <v/>
      </c>
      <c r="AT75" s="93" t="str">
        <f>IFERROR(VLOOKUP(SupSum[[#This Row],[Supervisor]],Sat_W1[],MATCH("Team MTG",Sat_W1[#Headers],0),0),"")</f>
        <v/>
      </c>
      <c r="AV75" s="93" t="str">
        <f>IFERROR(VLOOKUP(SupSum[[#This Row],[Supervisor]],Sun_W2[],MATCH("Help Line",Sun_W2[#Headers],0),0),"")</f>
        <v/>
      </c>
      <c r="AW75" s="93" t="str">
        <f>IFERROR(VLOOKUP(SupSum[[#This Row],[Supervisor]],Sun_W2[],MATCH("RTA",Sun_W2[#Headers],0),0),"")</f>
        <v/>
      </c>
      <c r="AX75" s="93" t="str">
        <f>IFERROR(VLOOKUP(SupSum[[#This Row],[Supervisor]],Sun_W2[],MATCH("Admin",Sun_W2[#Headers],0),0),"")</f>
        <v/>
      </c>
      <c r="AY75" s="93" t="str">
        <f>IFERROR(VLOOKUP(SupSum[[#This Row],[Supervisor]],Sun_W2[],MATCH("Team MTG",Sun_W2[#Headers],0),0),"")</f>
        <v/>
      </c>
      <c r="BA75" s="93">
        <f>IFERROR(VLOOKUP(SupSum[[#This Row],[Supervisor]],Mon_W2[],MATCH("Help Line",Mon_W2[#Headers],0),0),"")</f>
        <v>0</v>
      </c>
      <c r="BB75" s="93">
        <f>IFERROR(VLOOKUP(SupSum[[#This Row],[Supervisor]],Mon_W2[],MATCH("RTA",Mon_W2[#Headers],0),0),"")</f>
        <v>0</v>
      </c>
      <c r="BC75" s="93">
        <f>IFERROR(VLOOKUP(SupSum[[#This Row],[Supervisor]],Mon_W2[],MATCH("Admin",Mon_W2[#Headers],0),0),"")</f>
        <v>0</v>
      </c>
      <c r="BD75" s="93" t="str">
        <f>IFERROR(VLOOKUP(SupSum[[#This Row],[Supervisor]],Mon_W2[],MATCH("Team MTG",Mon_W2[#Headers],0),0),"")</f>
        <v/>
      </c>
      <c r="BF75" s="93">
        <f>IFERROR(VLOOKUP(SupSum[[#This Row],[Supervisor]],Tue_W2[],MATCH("Help Line",Tue_W2[#Headers],0),0),"")</f>
        <v>0</v>
      </c>
      <c r="BG75" s="93">
        <f>IFERROR(VLOOKUP(SupSum[[#This Row],[Supervisor]],Tue_W2[],MATCH("RTA",Tue_W2[#Headers],0),0),"")</f>
        <v>0</v>
      </c>
      <c r="BH75" s="93">
        <f>IFERROR(VLOOKUP(SupSum[[#This Row],[Supervisor]],Tue_W2[],MATCH("Admin",Tue_W2[#Headers],0),0),"")</f>
        <v>0</v>
      </c>
      <c r="BI75" s="93" t="str">
        <f>IFERROR(VLOOKUP(SupSum[[#This Row],[Supervisor]],Tue_W2[],MATCH("Team MTG",Tue_W2[#Headers],0),0),"")</f>
        <v/>
      </c>
      <c r="BK75" s="93">
        <f>IFERROR(VLOOKUP(SupSum[[#This Row],[Supervisor]],Wed_W2[],MATCH("Help Line",Wed_W2[#Headers],0),0),"")</f>
        <v>0</v>
      </c>
      <c r="BL75" s="93">
        <f>IFERROR(VLOOKUP(SupSum[[#This Row],[Supervisor]],Wed_W2[],MATCH("RTA",Wed_W2[#Headers],0),0),"")</f>
        <v>0</v>
      </c>
      <c r="BM75" s="93">
        <f>IFERROR(VLOOKUP(SupSum[[#This Row],[Supervisor]],Wed_W2[],MATCH("Admin",Wed_W2[#Headers],0),0),"")</f>
        <v>0</v>
      </c>
      <c r="BN75" s="93" t="str">
        <f>IFERROR(VLOOKUP(SupSum[[#This Row],[Supervisor]],Wed_W2[],MATCH("Team MTG",Wed_W2[#Headers],0),0),"")</f>
        <v/>
      </c>
      <c r="BP75" s="93">
        <f>IFERROR(VLOOKUP(SupSum[[#This Row],[Supervisor]],Thu_W2[],MATCH("Help Line",Thu_W2[#Headers],0),0),"")</f>
        <v>0</v>
      </c>
      <c r="BQ75" s="93">
        <f>IFERROR(VLOOKUP(SupSum[[#This Row],[Supervisor]],Thu_W2[],MATCH("RTA",Thu_W2[#Headers],0),0),"")</f>
        <v>0</v>
      </c>
      <c r="BR75" s="93">
        <f>IFERROR(VLOOKUP(SupSum[[#This Row],[Supervisor]],Thu_W2[],MATCH("Admin",Thu_W2[#Headers],0),0),"")</f>
        <v>0</v>
      </c>
      <c r="BS75" s="93" t="str">
        <f>IFERROR(VLOOKUP(SupSum[[#This Row],[Supervisor]],Thu_W2[],MATCH("Team MTG",Thu_W2[#Headers],0),0),"")</f>
        <v/>
      </c>
      <c r="BU75" s="93">
        <f>IFERROR(VLOOKUP(SupSum[[#This Row],[Supervisor]],Fri_W2[],MATCH("Help Line",Fri_W2[#Headers],0),0),"")</f>
        <v>0</v>
      </c>
      <c r="BV75" s="93">
        <f>IFERROR(VLOOKUP(SupSum[[#This Row],[Supervisor]],Fri_W2[],MATCH("RTA",Fri_W2[#Headers],0),0),"")</f>
        <v>0</v>
      </c>
      <c r="BW75" s="93">
        <f>IFERROR(VLOOKUP(SupSum[[#This Row],[Supervisor]],Fri_W2[],MATCH("Admin",Fri_W2[#Headers],0),0),"")</f>
        <v>0</v>
      </c>
      <c r="BX75" s="93" t="str">
        <f>IFERROR(VLOOKUP(SupSum[[#This Row],[Supervisor]],Fri_W2[],MATCH("Team MTG",Fri_W2[#Headers],0),0),"")</f>
        <v/>
      </c>
      <c r="BZ75" s="93" t="str">
        <f>IFERROR(VLOOKUP(SupSum[[#This Row],[Supervisor]],Sat_W2[],MATCH("Help Line",Sat_W2[#Headers],0),0),"")</f>
        <v/>
      </c>
      <c r="CA75" s="93" t="str">
        <f>IFERROR(VLOOKUP(SupSum[[#This Row],[Supervisor]],Sat_W2[],MATCH("RTA",Sat_W2[#Headers],0),0),"")</f>
        <v/>
      </c>
      <c r="CB75" s="93" t="str">
        <f>IFERROR(VLOOKUP(SupSum[[#This Row],[Supervisor]],Sat_W2[],MATCH("Admin",Sat_W2[#Headers],0),0),"")</f>
        <v/>
      </c>
      <c r="CC75" s="93" t="str">
        <f>IFERROR(VLOOKUP(SupSum[[#This Row],[Supervisor]],Sat_W2[],MATCH("Team MTG",Sat_W2[#Headers],0),0),"")</f>
        <v/>
      </c>
    </row>
    <row r="76" spans="2:81" x14ac:dyDescent="0.2">
      <c r="B76" s="205" t="s">
        <v>35</v>
      </c>
      <c r="C76" s="206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76" s="206">
        <f>SUM(SSum_Sun1[[#This Row],[RTA]],SSum_Mon1[[#This Row],[RTA]],SSum_Tue1[[#This Row],[RTA]],SSum_Wed1[[#This Row],[RTA]],SSum_Thu1[[#This Row],[RTA]],SSum_Fri1[[#This Row],[RTA]],SSum_Sat1[[#This Row],[RTA]])</f>
        <v>0</v>
      </c>
      <c r="E76" s="206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76" s="206">
        <f>SUM(SSum_Sun1[[#This Row],[TM]],SSum_Mon1[[#This Row],[TM]],SSum_Tue1[[#This Row],[TM]],SSum_Wed1[[#This Row],[TM]],SSum_Thu1[[#This Row],[TM]],SSum_Fri1[[#This Row],[TM]],SSum_Sat1[[#This Row],[TM]])</f>
        <v>0</v>
      </c>
      <c r="G76" s="206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76" s="206">
        <f>SUM(SSum_Sun2[[#This Row],[RTA]],SSum_Mon2[[#This Row],[RTA]],SSum_Tue2[[#This Row],[RTA]],SSum_Wed2[[#This Row],[RTA]],SSum_Thu2[[#This Row],[RTA]],SSum_Fri2[[#This Row],[RTA]],SSum_Sat2[[#This Row],[RTA]])</f>
        <v>0</v>
      </c>
      <c r="I76" s="206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76" s="206">
        <f>SUM(SSum_Sun2[[#This Row],[TM]],SSum_Mon2[[#This Row],[TM]],SSum_Tue2[[#This Row],[TM]],SSum_Wed2[[#This Row],[TM]],SSum_Thu2[[#This Row],[TM]],SSum_Fri2[[#This Row],[TM]],SSum_Sat2[[#This Row],[TM]])</f>
        <v>0</v>
      </c>
      <c r="K76" s="205"/>
      <c r="M76" s="93" t="str">
        <f>IFERROR(VLOOKUP(SupSum[[#This Row],[Supervisor]],Sun_W1[],MATCH("Help Line",Sun_W1[#Headers],0),0),"")</f>
        <v/>
      </c>
      <c r="N76" s="93" t="str">
        <f>IFERROR(VLOOKUP(SupSum[[#This Row],[Supervisor]],Sun_W1[],MATCH("RTA",Sun_W1[#Headers],0),0),"")</f>
        <v/>
      </c>
      <c r="O76" s="93" t="str">
        <f>IFERROR(VLOOKUP(SupSum[[#This Row],[Supervisor]],Sun_W1[],MATCH("Admin",Sun_W1[#Headers],0),0),"")</f>
        <v/>
      </c>
      <c r="P76" s="93" t="str">
        <f>IFERROR(VLOOKUP(SupSum[[#This Row],[Supervisor]],Sun_W1[],MATCH("Team MTG",Sun_W1[#Headers],0),0),"")</f>
        <v/>
      </c>
      <c r="R76" s="93" t="str">
        <f>IFERROR(VLOOKUP(SupSum[[#This Row],[Supervisor]],Mon_W1[],MATCH("Help Line",Mon_W1[#Headers],0),0),"")</f>
        <v/>
      </c>
      <c r="S76" s="93" t="str">
        <f>IFERROR(VLOOKUP(SupSum[[#This Row],[Supervisor]],Mon_W1[],MATCH("RTA",Mon_W1[#Headers],0),0),"")</f>
        <v/>
      </c>
      <c r="T76" s="93" t="str">
        <f>IFERROR(VLOOKUP(SupSum[[#This Row],[Supervisor]],Mon_W1[],MATCH("Admin",Mon_W1[#Headers],0),0),"")</f>
        <v/>
      </c>
      <c r="U76" s="93" t="str">
        <f>IFERROR(VLOOKUP(SupSum[[#This Row],[Supervisor]],Mon_W1[],MATCH("Team MTG",Mon_W1[#Headers],0),0),"")</f>
        <v/>
      </c>
      <c r="W76" s="93" t="str">
        <f>IFERROR(VLOOKUP(SupSum[[#This Row],[Supervisor]],Tue_W1[],MATCH("Help Line",Tue_W1[#Headers],0),0),"")</f>
        <v/>
      </c>
      <c r="X76" s="93" t="str">
        <f>IFERROR(VLOOKUP(SupSum[[#This Row],[Supervisor]],Tue_W1[],MATCH("RTA",Tue_W1[#Headers],0),0),"")</f>
        <v/>
      </c>
      <c r="Y76" s="93" t="str">
        <f>IFERROR(VLOOKUP(SupSum[[#This Row],[Supervisor]],Tue_W1[],MATCH("Admin",Tue_W1[#Headers],0),0),"")</f>
        <v/>
      </c>
      <c r="Z76" s="93" t="str">
        <f>IFERROR(VLOOKUP(SupSum[[#This Row],[Supervisor]],Tue_W1[],MATCH("Team MTG",Tue_W1[#Headers],0),0),"")</f>
        <v/>
      </c>
      <c r="AB76" s="93" t="str">
        <f>IFERROR(VLOOKUP(SupSum[[#This Row],[Supervisor]],Wed_W1[],MATCH("Help Line",Wed_W1[#Headers],0),0),"")</f>
        <v/>
      </c>
      <c r="AC76" s="93" t="str">
        <f>IFERROR(VLOOKUP(SupSum[[#This Row],[Supervisor]],Wed_W1[],MATCH("RTA",Wed_W1[#Headers],0),0),"")</f>
        <v/>
      </c>
      <c r="AD76" s="93" t="str">
        <f>IFERROR(VLOOKUP(SupSum[[#This Row],[Supervisor]],Wed_W1[],MATCH("Admin",Wed_W1[#Headers],0),0),"")</f>
        <v/>
      </c>
      <c r="AE76" s="93" t="str">
        <f>IFERROR(VLOOKUP(SupSum[[#This Row],[Supervisor]],Wed_W1[],MATCH("Team MTG",Wed_W1[#Headers],0),0),"")</f>
        <v/>
      </c>
      <c r="AG76" s="93" t="str">
        <f>IFERROR(VLOOKUP(SupSum[[#This Row],[Supervisor]],Thu_W1[],MATCH("Help Line",Thu_W1[#Headers],0),0),"")</f>
        <v/>
      </c>
      <c r="AH76" s="93" t="str">
        <f>IFERROR(VLOOKUP(SupSum[[#This Row],[Supervisor]],Thu_W1[],MATCH("RTA",Thu_W1[#Headers],0),0),"")</f>
        <v/>
      </c>
      <c r="AI76" s="93" t="str">
        <f>IFERROR(VLOOKUP(SupSum[[#This Row],[Supervisor]],Thu_W1[],MATCH("Admin",Thu_W1[#Headers],0),0),"")</f>
        <v/>
      </c>
      <c r="AJ76" s="93" t="str">
        <f>IFERROR(VLOOKUP(SupSum[[#This Row],[Supervisor]],Thu_W1[],MATCH("Team MTG",Thu_W1[#Headers],0),0),"")</f>
        <v/>
      </c>
      <c r="AL76" s="93" t="str">
        <f>IFERROR(VLOOKUP(SupSum[[#This Row],[Supervisor]],Fri_W1[],MATCH("Help Line",Fri_W1[#Headers],0),0),"")</f>
        <v/>
      </c>
      <c r="AM76" s="93" t="str">
        <f>IFERROR(VLOOKUP(SupSum[[#This Row],[Supervisor]],Fri_W1[],MATCH("RTA",Fri_W1[#Headers],0),0),"")</f>
        <v/>
      </c>
      <c r="AN76" s="93" t="str">
        <f>IFERROR(VLOOKUP(SupSum[[#This Row],[Supervisor]],Fri_W1[],MATCH("Admin",Fri_W1[#Headers],0),0),"")</f>
        <v/>
      </c>
      <c r="AO76" s="93" t="str">
        <f>IFERROR(VLOOKUP(SupSum[[#This Row],[Supervisor]],Fri_W1[],MATCH("Team MTG",Fri_W1[#Headers],0),0),"")</f>
        <v/>
      </c>
      <c r="AQ76" s="93" t="str">
        <f>IFERROR(VLOOKUP(SupSum[[#This Row],[Supervisor]],Sat_W1[],MATCH("Help Line",Sat_W1[#Headers],0),0),"")</f>
        <v/>
      </c>
      <c r="AR76" s="93" t="str">
        <f>IFERROR(VLOOKUP(SupSum[[#This Row],[Supervisor]],Sat_W1[],MATCH("RTA",Sat_W1[#Headers],0),0),"")</f>
        <v/>
      </c>
      <c r="AS76" s="93" t="str">
        <f>IFERROR(VLOOKUP(SupSum[[#This Row],[Supervisor]],Sat_W1[],MATCH("Admin",Sat_W1[#Headers],0),0),"")</f>
        <v/>
      </c>
      <c r="AT76" s="93" t="str">
        <f>IFERROR(VLOOKUP(SupSum[[#This Row],[Supervisor]],Sat_W1[],MATCH("Team MTG",Sat_W1[#Headers],0),0),"")</f>
        <v/>
      </c>
      <c r="AV76" s="93" t="str">
        <f>IFERROR(VLOOKUP(SupSum[[#This Row],[Supervisor]],Sun_W2[],MATCH("Help Line",Sun_W2[#Headers],0),0),"")</f>
        <v/>
      </c>
      <c r="AW76" s="93" t="str">
        <f>IFERROR(VLOOKUP(SupSum[[#This Row],[Supervisor]],Sun_W2[],MATCH("RTA",Sun_W2[#Headers],0),0),"")</f>
        <v/>
      </c>
      <c r="AX76" s="93" t="str">
        <f>IFERROR(VLOOKUP(SupSum[[#This Row],[Supervisor]],Sun_W2[],MATCH("Admin",Sun_W2[#Headers],0),0),"")</f>
        <v/>
      </c>
      <c r="AY76" s="93" t="str">
        <f>IFERROR(VLOOKUP(SupSum[[#This Row],[Supervisor]],Sun_W2[],MATCH("Team MTG",Sun_W2[#Headers],0),0),"")</f>
        <v/>
      </c>
      <c r="BA76" s="93" t="str">
        <f>IFERROR(VLOOKUP(SupSum[[#This Row],[Supervisor]],Mon_W2[],MATCH("Help Line",Mon_W2[#Headers],0),0),"")</f>
        <v/>
      </c>
      <c r="BB76" s="93" t="str">
        <f>IFERROR(VLOOKUP(SupSum[[#This Row],[Supervisor]],Mon_W2[],MATCH("RTA",Mon_W2[#Headers],0),0),"")</f>
        <v/>
      </c>
      <c r="BC76" s="93" t="str">
        <f>IFERROR(VLOOKUP(SupSum[[#This Row],[Supervisor]],Mon_W2[],MATCH("Admin",Mon_W2[#Headers],0),0),"")</f>
        <v/>
      </c>
      <c r="BD76" s="93" t="str">
        <f>IFERROR(VLOOKUP(SupSum[[#This Row],[Supervisor]],Mon_W2[],MATCH("Team MTG",Mon_W2[#Headers],0),0),"")</f>
        <v/>
      </c>
      <c r="BF76" s="93" t="str">
        <f>IFERROR(VLOOKUP(SupSum[[#This Row],[Supervisor]],Tue_W2[],MATCH("Help Line",Tue_W2[#Headers],0),0),"")</f>
        <v/>
      </c>
      <c r="BG76" s="93" t="str">
        <f>IFERROR(VLOOKUP(SupSum[[#This Row],[Supervisor]],Tue_W2[],MATCH("RTA",Tue_W2[#Headers],0),0),"")</f>
        <v/>
      </c>
      <c r="BH76" s="93" t="str">
        <f>IFERROR(VLOOKUP(SupSum[[#This Row],[Supervisor]],Tue_W2[],MATCH("Admin",Tue_W2[#Headers],0),0),"")</f>
        <v/>
      </c>
      <c r="BI76" s="93" t="str">
        <f>IFERROR(VLOOKUP(SupSum[[#This Row],[Supervisor]],Tue_W2[],MATCH("Team MTG",Tue_W2[#Headers],0),0),"")</f>
        <v/>
      </c>
      <c r="BK76" s="93" t="str">
        <f>IFERROR(VLOOKUP(SupSum[[#This Row],[Supervisor]],Wed_W2[],MATCH("Help Line",Wed_W2[#Headers],0),0),"")</f>
        <v/>
      </c>
      <c r="BL76" s="93" t="str">
        <f>IFERROR(VLOOKUP(SupSum[[#This Row],[Supervisor]],Wed_W2[],MATCH("RTA",Wed_W2[#Headers],0),0),"")</f>
        <v/>
      </c>
      <c r="BM76" s="93" t="str">
        <f>IFERROR(VLOOKUP(SupSum[[#This Row],[Supervisor]],Wed_W2[],MATCH("Admin",Wed_W2[#Headers],0),0),"")</f>
        <v/>
      </c>
      <c r="BN76" s="93" t="str">
        <f>IFERROR(VLOOKUP(SupSum[[#This Row],[Supervisor]],Wed_W2[],MATCH("Team MTG",Wed_W2[#Headers],0),0),"")</f>
        <v/>
      </c>
      <c r="BP76" s="93" t="str">
        <f>IFERROR(VLOOKUP(SupSum[[#This Row],[Supervisor]],Thu_W2[],MATCH("Help Line",Thu_W2[#Headers],0),0),"")</f>
        <v/>
      </c>
      <c r="BQ76" s="93" t="str">
        <f>IFERROR(VLOOKUP(SupSum[[#This Row],[Supervisor]],Thu_W2[],MATCH("RTA",Thu_W2[#Headers],0),0),"")</f>
        <v/>
      </c>
      <c r="BR76" s="93" t="str">
        <f>IFERROR(VLOOKUP(SupSum[[#This Row],[Supervisor]],Thu_W2[],MATCH("Admin",Thu_W2[#Headers],0),0),"")</f>
        <v/>
      </c>
      <c r="BS76" s="93" t="str">
        <f>IFERROR(VLOOKUP(SupSum[[#This Row],[Supervisor]],Thu_W2[],MATCH("Team MTG",Thu_W2[#Headers],0),0),"")</f>
        <v/>
      </c>
      <c r="BU76" s="93" t="str">
        <f>IFERROR(VLOOKUP(SupSum[[#This Row],[Supervisor]],Fri_W2[],MATCH("Help Line",Fri_W2[#Headers],0),0),"")</f>
        <v/>
      </c>
      <c r="BV76" s="93" t="str">
        <f>IFERROR(VLOOKUP(SupSum[[#This Row],[Supervisor]],Fri_W2[],MATCH("RTA",Fri_W2[#Headers],0),0),"")</f>
        <v/>
      </c>
      <c r="BW76" s="93" t="str">
        <f>IFERROR(VLOOKUP(SupSum[[#This Row],[Supervisor]],Fri_W2[],MATCH("Admin",Fri_W2[#Headers],0),0),"")</f>
        <v/>
      </c>
      <c r="BX76" s="93" t="str">
        <f>IFERROR(VLOOKUP(SupSum[[#This Row],[Supervisor]],Fri_W2[],MATCH("Team MTG",Fri_W2[#Headers],0),0),"")</f>
        <v/>
      </c>
      <c r="BZ76" s="93" t="str">
        <f>IFERROR(VLOOKUP(SupSum[[#This Row],[Supervisor]],Sat_W2[],MATCH("Help Line",Sat_W2[#Headers],0),0),"")</f>
        <v/>
      </c>
      <c r="CA76" s="93" t="str">
        <f>IFERROR(VLOOKUP(SupSum[[#This Row],[Supervisor]],Sat_W2[],MATCH("RTA",Sat_W2[#Headers],0),0),"")</f>
        <v/>
      </c>
      <c r="CB76" s="93" t="str">
        <f>IFERROR(VLOOKUP(SupSum[[#This Row],[Supervisor]],Sat_W2[],MATCH("Admin",Sat_W2[#Headers],0),0),"")</f>
        <v/>
      </c>
      <c r="CC76" s="93" t="str">
        <f>IFERROR(VLOOKUP(SupSum[[#This Row],[Supervisor]],Sat_W2[],MATCH("Team MTG",Sat_W2[#Headers],0),0),"")</f>
        <v/>
      </c>
    </row>
    <row r="77" spans="2:81" x14ac:dyDescent="0.2">
      <c r="B77" s="6" t="s">
        <v>47</v>
      </c>
      <c r="C77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77" s="93">
        <f>SUM(SSum_Sun1[[#This Row],[RTA]],SSum_Mon1[[#This Row],[RTA]],SSum_Tue1[[#This Row],[RTA]],SSum_Wed1[[#This Row],[RTA]],SSum_Thu1[[#This Row],[RTA]],SSum_Fri1[[#This Row],[RTA]],SSum_Sat1[[#This Row],[RTA]])</f>
        <v>0</v>
      </c>
      <c r="E77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77" s="93">
        <f>SUM(SSum_Sun1[[#This Row],[TM]],SSum_Mon1[[#This Row],[TM]],SSum_Tue1[[#This Row],[TM]],SSum_Wed1[[#This Row],[TM]],SSum_Thu1[[#This Row],[TM]],SSum_Fri1[[#This Row],[TM]],SSum_Sat1[[#This Row],[TM]])</f>
        <v>0</v>
      </c>
      <c r="G77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77" s="93">
        <f>SUM(SSum_Sun2[[#This Row],[RTA]],SSum_Mon2[[#This Row],[RTA]],SSum_Tue2[[#This Row],[RTA]],SSum_Wed2[[#This Row],[RTA]],SSum_Thu2[[#This Row],[RTA]],SSum_Fri2[[#This Row],[RTA]],SSum_Sat2[[#This Row],[RTA]])</f>
        <v>0</v>
      </c>
      <c r="I77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77" s="93">
        <f>SUM(SSum_Sun2[[#This Row],[TM]],SSum_Mon2[[#This Row],[TM]],SSum_Tue2[[#This Row],[TM]],SSum_Wed2[[#This Row],[TM]],SSum_Thu2[[#This Row],[TM]],SSum_Fri2[[#This Row],[TM]],SSum_Sat2[[#This Row],[TM]])</f>
        <v>0</v>
      </c>
      <c r="K77" s="208">
        <v>14</v>
      </c>
      <c r="M77" s="93" t="str">
        <f>IFERROR(VLOOKUP(SupSum[[#This Row],[Supervisor]],Sun_W1[],MATCH("Help Line",Sun_W1[#Headers],0),0),"")</f>
        <v/>
      </c>
      <c r="N77" s="93" t="str">
        <f>IFERROR(VLOOKUP(SupSum[[#This Row],[Supervisor]],Sun_W1[],MATCH("RTA",Sun_W1[#Headers],0),0),"")</f>
        <v/>
      </c>
      <c r="O77" s="93" t="str">
        <f>IFERROR(VLOOKUP(SupSum[[#This Row],[Supervisor]],Sun_W1[],MATCH("Admin",Sun_W1[#Headers],0),0),"")</f>
        <v/>
      </c>
      <c r="P77" s="93" t="str">
        <f>IFERROR(VLOOKUP(SupSum[[#This Row],[Supervisor]],Sun_W1[],MATCH("Team MTG",Sun_W1[#Headers],0),0),"")</f>
        <v/>
      </c>
      <c r="R77" s="93" t="str">
        <f>IFERROR(VLOOKUP(SupSum[[#This Row],[Supervisor]],Mon_W1[],MATCH("Help Line",Mon_W1[#Headers],0),0),"")</f>
        <v/>
      </c>
      <c r="S77" s="93" t="str">
        <f>IFERROR(VLOOKUP(SupSum[[#This Row],[Supervisor]],Mon_W1[],MATCH("RTA",Mon_W1[#Headers],0),0),"")</f>
        <v/>
      </c>
      <c r="T77" s="93" t="str">
        <f>IFERROR(VLOOKUP(SupSum[[#This Row],[Supervisor]],Mon_W1[],MATCH("Admin",Mon_W1[#Headers],0),0),"")</f>
        <v/>
      </c>
      <c r="U77" s="93" t="str">
        <f>IFERROR(VLOOKUP(SupSum[[#This Row],[Supervisor]],Mon_W1[],MATCH("Team MTG",Mon_W1[#Headers],0),0),"")</f>
        <v/>
      </c>
      <c r="W77" s="93" t="str">
        <f>IFERROR(VLOOKUP(SupSum[[#This Row],[Supervisor]],Tue_W1[],MATCH("Help Line",Tue_W1[#Headers],0),0),"")</f>
        <v/>
      </c>
      <c r="X77" s="93" t="str">
        <f>IFERROR(VLOOKUP(SupSum[[#This Row],[Supervisor]],Tue_W1[],MATCH("RTA",Tue_W1[#Headers],0),0),"")</f>
        <v/>
      </c>
      <c r="Y77" s="93" t="str">
        <f>IFERROR(VLOOKUP(SupSum[[#This Row],[Supervisor]],Tue_W1[],MATCH("Admin",Tue_W1[#Headers],0),0),"")</f>
        <v/>
      </c>
      <c r="Z77" s="93" t="str">
        <f>IFERROR(VLOOKUP(SupSum[[#This Row],[Supervisor]],Tue_W1[],MATCH("Team MTG",Tue_W1[#Headers],0),0),"")</f>
        <v/>
      </c>
      <c r="AB77" s="93" t="str">
        <f>IFERROR(VLOOKUP(SupSum[[#This Row],[Supervisor]],Wed_W1[],MATCH("Help Line",Wed_W1[#Headers],0),0),"")</f>
        <v/>
      </c>
      <c r="AC77" s="93" t="str">
        <f>IFERROR(VLOOKUP(SupSum[[#This Row],[Supervisor]],Wed_W1[],MATCH("RTA",Wed_W1[#Headers],0),0),"")</f>
        <v/>
      </c>
      <c r="AD77" s="93" t="str">
        <f>IFERROR(VLOOKUP(SupSum[[#This Row],[Supervisor]],Wed_W1[],MATCH("Admin",Wed_W1[#Headers],0),0),"")</f>
        <v/>
      </c>
      <c r="AE77" s="93" t="str">
        <f>IFERROR(VLOOKUP(SupSum[[#This Row],[Supervisor]],Wed_W1[],MATCH("Team MTG",Wed_W1[#Headers],0),0),"")</f>
        <v/>
      </c>
      <c r="AG77" s="93" t="str">
        <f>IFERROR(VLOOKUP(SupSum[[#This Row],[Supervisor]],Thu_W1[],MATCH("Help Line",Thu_W1[#Headers],0),0),"")</f>
        <v/>
      </c>
      <c r="AH77" s="93" t="str">
        <f>IFERROR(VLOOKUP(SupSum[[#This Row],[Supervisor]],Thu_W1[],MATCH("RTA",Thu_W1[#Headers],0),0),"")</f>
        <v/>
      </c>
      <c r="AI77" s="93" t="str">
        <f>IFERROR(VLOOKUP(SupSum[[#This Row],[Supervisor]],Thu_W1[],MATCH("Admin",Thu_W1[#Headers],0),0),"")</f>
        <v/>
      </c>
      <c r="AJ77" s="93" t="str">
        <f>IFERROR(VLOOKUP(SupSum[[#This Row],[Supervisor]],Thu_W1[],MATCH("Team MTG",Thu_W1[#Headers],0),0),"")</f>
        <v/>
      </c>
      <c r="AL77" s="93" t="str">
        <f>IFERROR(VLOOKUP(SupSum[[#This Row],[Supervisor]],Fri_W1[],MATCH("Help Line",Fri_W1[#Headers],0),0),"")</f>
        <v/>
      </c>
      <c r="AM77" s="93" t="str">
        <f>IFERROR(VLOOKUP(SupSum[[#This Row],[Supervisor]],Fri_W1[],MATCH("RTA",Fri_W1[#Headers],0),0),"")</f>
        <v/>
      </c>
      <c r="AN77" s="93" t="str">
        <f>IFERROR(VLOOKUP(SupSum[[#This Row],[Supervisor]],Fri_W1[],MATCH("Admin",Fri_W1[#Headers],0),0),"")</f>
        <v/>
      </c>
      <c r="AO77" s="93" t="str">
        <f>IFERROR(VLOOKUP(SupSum[[#This Row],[Supervisor]],Fri_W1[],MATCH("Team MTG",Fri_W1[#Headers],0),0),"")</f>
        <v/>
      </c>
      <c r="AQ77" s="93" t="str">
        <f>IFERROR(VLOOKUP(SupSum[[#This Row],[Supervisor]],Sat_W1[],MATCH("Help Line",Sat_W1[#Headers],0),0),"")</f>
        <v/>
      </c>
      <c r="AR77" s="93" t="str">
        <f>IFERROR(VLOOKUP(SupSum[[#This Row],[Supervisor]],Sat_W1[],MATCH("RTA",Sat_W1[#Headers],0),0),"")</f>
        <v/>
      </c>
      <c r="AS77" s="93" t="str">
        <f>IFERROR(VLOOKUP(SupSum[[#This Row],[Supervisor]],Sat_W1[],MATCH("Admin",Sat_W1[#Headers],0),0),"")</f>
        <v/>
      </c>
      <c r="AT77" s="93" t="str">
        <f>IFERROR(VLOOKUP(SupSum[[#This Row],[Supervisor]],Sat_W1[],MATCH("Team MTG",Sat_W1[#Headers],0),0),"")</f>
        <v/>
      </c>
      <c r="AV77" s="93" t="str">
        <f>IFERROR(VLOOKUP(SupSum[[#This Row],[Supervisor]],Sun_W2[],MATCH("Help Line",Sun_W2[#Headers],0),0),"")</f>
        <v/>
      </c>
      <c r="AW77" s="93" t="str">
        <f>IFERROR(VLOOKUP(SupSum[[#This Row],[Supervisor]],Sun_W2[],MATCH("RTA",Sun_W2[#Headers],0),0),"")</f>
        <v/>
      </c>
      <c r="AX77" s="93" t="str">
        <f>IFERROR(VLOOKUP(SupSum[[#This Row],[Supervisor]],Sun_W2[],MATCH("Admin",Sun_W2[#Headers],0),0),"")</f>
        <v/>
      </c>
      <c r="AY77" s="93" t="str">
        <f>IFERROR(VLOOKUP(SupSum[[#This Row],[Supervisor]],Sun_W2[],MATCH("Team MTG",Sun_W2[#Headers],0),0),"")</f>
        <v/>
      </c>
      <c r="BA77" s="93" t="str">
        <f>IFERROR(VLOOKUP(SupSum[[#This Row],[Supervisor]],Mon_W2[],MATCH("Help Line",Mon_W2[#Headers],0),0),"")</f>
        <v/>
      </c>
      <c r="BB77" s="93" t="str">
        <f>IFERROR(VLOOKUP(SupSum[[#This Row],[Supervisor]],Mon_W2[],MATCH("RTA",Mon_W2[#Headers],0),0),"")</f>
        <v/>
      </c>
      <c r="BC77" s="93" t="str">
        <f>IFERROR(VLOOKUP(SupSum[[#This Row],[Supervisor]],Mon_W2[],MATCH("Admin",Mon_W2[#Headers],0),0),"")</f>
        <v/>
      </c>
      <c r="BD77" s="93" t="str">
        <f>IFERROR(VLOOKUP(SupSum[[#This Row],[Supervisor]],Mon_W2[],MATCH("Team MTG",Mon_W2[#Headers],0),0),"")</f>
        <v/>
      </c>
      <c r="BF77" s="93" t="str">
        <f>IFERROR(VLOOKUP(SupSum[[#This Row],[Supervisor]],Tue_W2[],MATCH("Help Line",Tue_W2[#Headers],0),0),"")</f>
        <v/>
      </c>
      <c r="BG77" s="93" t="str">
        <f>IFERROR(VLOOKUP(SupSum[[#This Row],[Supervisor]],Tue_W2[],MATCH("RTA",Tue_W2[#Headers],0),0),"")</f>
        <v/>
      </c>
      <c r="BH77" s="93" t="str">
        <f>IFERROR(VLOOKUP(SupSum[[#This Row],[Supervisor]],Tue_W2[],MATCH("Admin",Tue_W2[#Headers],0),0),"")</f>
        <v/>
      </c>
      <c r="BI77" s="93" t="str">
        <f>IFERROR(VLOOKUP(SupSum[[#This Row],[Supervisor]],Tue_W2[],MATCH("Team MTG",Tue_W2[#Headers],0),0),"")</f>
        <v/>
      </c>
      <c r="BK77" s="93" t="str">
        <f>IFERROR(VLOOKUP(SupSum[[#This Row],[Supervisor]],Wed_W2[],MATCH("Help Line",Wed_W2[#Headers],0),0),"")</f>
        <v/>
      </c>
      <c r="BL77" s="93" t="str">
        <f>IFERROR(VLOOKUP(SupSum[[#This Row],[Supervisor]],Wed_W2[],MATCH("RTA",Wed_W2[#Headers],0),0),"")</f>
        <v/>
      </c>
      <c r="BM77" s="93" t="str">
        <f>IFERROR(VLOOKUP(SupSum[[#This Row],[Supervisor]],Wed_W2[],MATCH("Admin",Wed_W2[#Headers],0),0),"")</f>
        <v/>
      </c>
      <c r="BN77" s="93" t="str">
        <f>IFERROR(VLOOKUP(SupSum[[#This Row],[Supervisor]],Wed_W2[],MATCH("Team MTG",Wed_W2[#Headers],0),0),"")</f>
        <v/>
      </c>
      <c r="BP77" s="93" t="str">
        <f>IFERROR(VLOOKUP(SupSum[[#This Row],[Supervisor]],Thu_W2[],MATCH("Help Line",Thu_W2[#Headers],0),0),"")</f>
        <v/>
      </c>
      <c r="BQ77" s="93" t="str">
        <f>IFERROR(VLOOKUP(SupSum[[#This Row],[Supervisor]],Thu_W2[],MATCH("RTA",Thu_W2[#Headers],0),0),"")</f>
        <v/>
      </c>
      <c r="BR77" s="93" t="str">
        <f>IFERROR(VLOOKUP(SupSum[[#This Row],[Supervisor]],Thu_W2[],MATCH("Admin",Thu_W2[#Headers],0),0),"")</f>
        <v/>
      </c>
      <c r="BS77" s="93" t="str">
        <f>IFERROR(VLOOKUP(SupSum[[#This Row],[Supervisor]],Thu_W2[],MATCH("Team MTG",Thu_W2[#Headers],0),0),"")</f>
        <v/>
      </c>
      <c r="BU77" s="93" t="str">
        <f>IFERROR(VLOOKUP(SupSum[[#This Row],[Supervisor]],Fri_W2[],MATCH("Help Line",Fri_W2[#Headers],0),0),"")</f>
        <v/>
      </c>
      <c r="BV77" s="93" t="str">
        <f>IFERROR(VLOOKUP(SupSum[[#This Row],[Supervisor]],Fri_W2[],MATCH("RTA",Fri_W2[#Headers],0),0),"")</f>
        <v/>
      </c>
      <c r="BW77" s="93" t="str">
        <f>IFERROR(VLOOKUP(SupSum[[#This Row],[Supervisor]],Fri_W2[],MATCH("Admin",Fri_W2[#Headers],0),0),"")</f>
        <v/>
      </c>
      <c r="BX77" s="93" t="str">
        <f>IFERROR(VLOOKUP(SupSum[[#This Row],[Supervisor]],Fri_W2[],MATCH("Team MTG",Fri_W2[#Headers],0),0),"")</f>
        <v/>
      </c>
      <c r="BZ77" s="93" t="str">
        <f>IFERROR(VLOOKUP(SupSum[[#This Row],[Supervisor]],Sat_W2[],MATCH("Help Line",Sat_W2[#Headers],0),0),"")</f>
        <v/>
      </c>
      <c r="CA77" s="93" t="str">
        <f>IFERROR(VLOOKUP(SupSum[[#This Row],[Supervisor]],Sat_W2[],MATCH("RTA",Sat_W2[#Headers],0),0),"")</f>
        <v/>
      </c>
      <c r="CB77" s="93" t="str">
        <f>IFERROR(VLOOKUP(SupSum[[#This Row],[Supervisor]],Sat_W2[],MATCH("Admin",Sat_W2[#Headers],0),0),"")</f>
        <v/>
      </c>
      <c r="CC77" s="93" t="str">
        <f>IFERROR(VLOOKUP(SupSum[[#This Row],[Supervisor]],Sat_W2[],MATCH("Team MTG",Sat_W2[#Headers],0),0),"")</f>
        <v/>
      </c>
    </row>
    <row r="78" spans="2:81" x14ac:dyDescent="0.2">
      <c r="B78" s="6" t="s">
        <v>46</v>
      </c>
      <c r="C78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78" s="93">
        <f>SUM(SSum_Sun1[[#This Row],[RTA]],SSum_Mon1[[#This Row],[RTA]],SSum_Tue1[[#This Row],[RTA]],SSum_Wed1[[#This Row],[RTA]],SSum_Thu1[[#This Row],[RTA]],SSum_Fri1[[#This Row],[RTA]],SSum_Sat1[[#This Row],[RTA]])</f>
        <v>0</v>
      </c>
      <c r="E78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78" s="93">
        <f>SUM(SSum_Sun1[[#This Row],[TM]],SSum_Mon1[[#This Row],[TM]],SSum_Tue1[[#This Row],[TM]],SSum_Wed1[[#This Row],[TM]],SSum_Thu1[[#This Row],[TM]],SSum_Fri1[[#This Row],[TM]],SSum_Sat1[[#This Row],[TM]])</f>
        <v>0</v>
      </c>
      <c r="G78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78" s="93">
        <f>SUM(SSum_Sun2[[#This Row],[RTA]],SSum_Mon2[[#This Row],[RTA]],SSum_Tue2[[#This Row],[RTA]],SSum_Wed2[[#This Row],[RTA]],SSum_Thu2[[#This Row],[RTA]],SSum_Fri2[[#This Row],[RTA]],SSum_Sat2[[#This Row],[RTA]])</f>
        <v>0</v>
      </c>
      <c r="I78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78" s="93">
        <f>SUM(SSum_Sun2[[#This Row],[TM]],SSum_Mon2[[#This Row],[TM]],SSum_Tue2[[#This Row],[TM]],SSum_Wed2[[#This Row],[TM]],SSum_Thu2[[#This Row],[TM]],SSum_Fri2[[#This Row],[TM]],SSum_Sat2[[#This Row],[TM]])</f>
        <v>0</v>
      </c>
      <c r="K78" s="208">
        <v>14</v>
      </c>
      <c r="M78" s="93">
        <f>IFERROR(VLOOKUP(SupSum[[#This Row],[Supervisor]],Sun_W1[],MATCH("Help Line",Sun_W1[#Headers],0),0),"")</f>
        <v>0</v>
      </c>
      <c r="N78" s="93">
        <f>IFERROR(VLOOKUP(SupSum[[#This Row],[Supervisor]],Sun_W1[],MATCH("RTA",Sun_W1[#Headers],0),0),"")</f>
        <v>0</v>
      </c>
      <c r="O78" s="93">
        <f>IFERROR(VLOOKUP(SupSum[[#This Row],[Supervisor]],Sun_W1[],MATCH("Admin",Sun_W1[#Headers],0),0),"")</f>
        <v>0</v>
      </c>
      <c r="P78" s="93" t="str">
        <f>IFERROR(VLOOKUP(SupSum[[#This Row],[Supervisor]],Sun_W1[],MATCH("Team MTG",Sun_W1[#Headers],0),0),"")</f>
        <v/>
      </c>
      <c r="R78" s="93">
        <f>IFERROR(VLOOKUP(SupSum[[#This Row],[Supervisor]],Mon_W1[],MATCH("Help Line",Mon_W1[#Headers],0),0),"")</f>
        <v>0</v>
      </c>
      <c r="S78" s="93">
        <f>IFERROR(VLOOKUP(SupSum[[#This Row],[Supervisor]],Mon_W1[],MATCH("RTA",Mon_W1[#Headers],0),0),"")</f>
        <v>0</v>
      </c>
      <c r="T78" s="93">
        <f>IFERROR(VLOOKUP(SupSum[[#This Row],[Supervisor]],Mon_W1[],MATCH("Admin",Mon_W1[#Headers],0),0),"")</f>
        <v>0</v>
      </c>
      <c r="U78" s="93" t="str">
        <f>IFERROR(VLOOKUP(SupSum[[#This Row],[Supervisor]],Mon_W1[],MATCH("Team MTG",Mon_W1[#Headers],0),0),"")</f>
        <v/>
      </c>
      <c r="W78" s="93">
        <f>IFERROR(VLOOKUP(SupSum[[#This Row],[Supervisor]],Tue_W1[],MATCH("Help Line",Tue_W1[#Headers],0),0),"")</f>
        <v>0</v>
      </c>
      <c r="X78" s="93">
        <f>IFERROR(VLOOKUP(SupSum[[#This Row],[Supervisor]],Tue_W1[],MATCH("RTA",Tue_W1[#Headers],0),0),"")</f>
        <v>0</v>
      </c>
      <c r="Y78" s="93">
        <f>IFERROR(VLOOKUP(SupSum[[#This Row],[Supervisor]],Tue_W1[],MATCH("Admin",Tue_W1[#Headers],0),0),"")</f>
        <v>0</v>
      </c>
      <c r="Z78" s="93" t="str">
        <f>IFERROR(VLOOKUP(SupSum[[#This Row],[Supervisor]],Tue_W1[],MATCH("Team MTG",Tue_W1[#Headers],0),0),"")</f>
        <v/>
      </c>
      <c r="AB78" s="93">
        <f>IFERROR(VLOOKUP(SupSum[[#This Row],[Supervisor]],Wed_W1[],MATCH("Help Line",Wed_W1[#Headers],0),0),"")</f>
        <v>0</v>
      </c>
      <c r="AC78" s="93">
        <f>IFERROR(VLOOKUP(SupSum[[#This Row],[Supervisor]],Wed_W1[],MATCH("RTA",Wed_W1[#Headers],0),0),"")</f>
        <v>0</v>
      </c>
      <c r="AD78" s="93">
        <f>IFERROR(VLOOKUP(SupSum[[#This Row],[Supervisor]],Wed_W1[],MATCH("Admin",Wed_W1[#Headers],0),0),"")</f>
        <v>0</v>
      </c>
      <c r="AE78" s="93" t="str">
        <f>IFERROR(VLOOKUP(SupSum[[#This Row],[Supervisor]],Wed_W1[],MATCH("Team MTG",Wed_W1[#Headers],0),0),"")</f>
        <v/>
      </c>
      <c r="AG78" s="93">
        <f>IFERROR(VLOOKUP(SupSum[[#This Row],[Supervisor]],Thu_W1[],MATCH("Help Line",Thu_W1[#Headers],0),0),"")</f>
        <v>0</v>
      </c>
      <c r="AH78" s="93">
        <f>IFERROR(VLOOKUP(SupSum[[#This Row],[Supervisor]],Thu_W1[],MATCH("RTA",Thu_W1[#Headers],0),0),"")</f>
        <v>0</v>
      </c>
      <c r="AI78" s="93">
        <f>IFERROR(VLOOKUP(SupSum[[#This Row],[Supervisor]],Thu_W1[],MATCH("Admin",Thu_W1[#Headers],0),0),"")</f>
        <v>0</v>
      </c>
      <c r="AJ78" s="93" t="str">
        <f>IFERROR(VLOOKUP(SupSum[[#This Row],[Supervisor]],Thu_W1[],MATCH("Team MTG",Thu_W1[#Headers],0),0),"")</f>
        <v/>
      </c>
      <c r="AL78" s="93" t="str">
        <f>IFERROR(VLOOKUP(SupSum[[#This Row],[Supervisor]],Fri_W1[],MATCH("Help Line",Fri_W1[#Headers],0),0),"")</f>
        <v/>
      </c>
      <c r="AM78" s="93" t="str">
        <f>IFERROR(VLOOKUP(SupSum[[#This Row],[Supervisor]],Fri_W1[],MATCH("RTA",Fri_W1[#Headers],0),0),"")</f>
        <v/>
      </c>
      <c r="AN78" s="93" t="str">
        <f>IFERROR(VLOOKUP(SupSum[[#This Row],[Supervisor]],Fri_W1[],MATCH("Admin",Fri_W1[#Headers],0),0),"")</f>
        <v/>
      </c>
      <c r="AO78" s="93" t="str">
        <f>IFERROR(VLOOKUP(SupSum[[#This Row],[Supervisor]],Fri_W1[],MATCH("Team MTG",Fri_W1[#Headers],0),0),"")</f>
        <v/>
      </c>
      <c r="AQ78" s="93" t="str">
        <f>IFERROR(VLOOKUP(SupSum[[#This Row],[Supervisor]],Sat_W1[],MATCH("Help Line",Sat_W1[#Headers],0),0),"")</f>
        <v/>
      </c>
      <c r="AR78" s="93" t="str">
        <f>IFERROR(VLOOKUP(SupSum[[#This Row],[Supervisor]],Sat_W1[],MATCH("RTA",Sat_W1[#Headers],0),0),"")</f>
        <v/>
      </c>
      <c r="AS78" s="93" t="str">
        <f>IFERROR(VLOOKUP(SupSum[[#This Row],[Supervisor]],Sat_W1[],MATCH("Admin",Sat_W1[#Headers],0),0),"")</f>
        <v/>
      </c>
      <c r="AT78" s="93" t="str">
        <f>IFERROR(VLOOKUP(SupSum[[#This Row],[Supervisor]],Sat_W1[],MATCH("Team MTG",Sat_W1[#Headers],0),0),"")</f>
        <v/>
      </c>
      <c r="AV78" s="93">
        <f>IFERROR(VLOOKUP(SupSum[[#This Row],[Supervisor]],Sun_W2[],MATCH("Help Line",Sun_W2[#Headers],0),0),"")</f>
        <v>0</v>
      </c>
      <c r="AW78" s="93">
        <f>IFERROR(VLOOKUP(SupSum[[#This Row],[Supervisor]],Sun_W2[],MATCH("RTA",Sun_W2[#Headers],0),0),"")</f>
        <v>0</v>
      </c>
      <c r="AX78" s="93">
        <f>IFERROR(VLOOKUP(SupSum[[#This Row],[Supervisor]],Sun_W2[],MATCH("Admin",Sun_W2[#Headers],0),0),"")</f>
        <v>0</v>
      </c>
      <c r="AY78" s="93" t="str">
        <f>IFERROR(VLOOKUP(SupSum[[#This Row],[Supervisor]],Sun_W2[],MATCH("Team MTG",Sun_W2[#Headers],0),0),"")</f>
        <v/>
      </c>
      <c r="BA78" s="93">
        <f>IFERROR(VLOOKUP(SupSum[[#This Row],[Supervisor]],Mon_W2[],MATCH("Help Line",Mon_W2[#Headers],0),0),"")</f>
        <v>0</v>
      </c>
      <c r="BB78" s="93">
        <f>IFERROR(VLOOKUP(SupSum[[#This Row],[Supervisor]],Mon_W2[],MATCH("RTA",Mon_W2[#Headers],0),0),"")</f>
        <v>0</v>
      </c>
      <c r="BC78" s="93">
        <f>IFERROR(VLOOKUP(SupSum[[#This Row],[Supervisor]],Mon_W2[],MATCH("Admin",Mon_W2[#Headers],0),0),"")</f>
        <v>0</v>
      </c>
      <c r="BD78" s="93" t="str">
        <f>IFERROR(VLOOKUP(SupSum[[#This Row],[Supervisor]],Mon_W2[],MATCH("Team MTG",Mon_W2[#Headers],0),0),"")</f>
        <v/>
      </c>
      <c r="BF78" s="93">
        <f>IFERROR(VLOOKUP(SupSum[[#This Row],[Supervisor]],Tue_W2[],MATCH("Help Line",Tue_W2[#Headers],0),0),"")</f>
        <v>0</v>
      </c>
      <c r="BG78" s="93">
        <f>IFERROR(VLOOKUP(SupSum[[#This Row],[Supervisor]],Tue_W2[],MATCH("RTA",Tue_W2[#Headers],0),0),"")</f>
        <v>0</v>
      </c>
      <c r="BH78" s="93">
        <f>IFERROR(VLOOKUP(SupSum[[#This Row],[Supervisor]],Tue_W2[],MATCH("Admin",Tue_W2[#Headers],0),0),"")</f>
        <v>0</v>
      </c>
      <c r="BI78" s="93" t="str">
        <f>IFERROR(VLOOKUP(SupSum[[#This Row],[Supervisor]],Tue_W2[],MATCH("Team MTG",Tue_W2[#Headers],0),0),"")</f>
        <v/>
      </c>
      <c r="BK78" s="93">
        <f>IFERROR(VLOOKUP(SupSum[[#This Row],[Supervisor]],Wed_W2[],MATCH("Help Line",Wed_W2[#Headers],0),0),"")</f>
        <v>0</v>
      </c>
      <c r="BL78" s="93">
        <f>IFERROR(VLOOKUP(SupSum[[#This Row],[Supervisor]],Wed_W2[],MATCH("RTA",Wed_W2[#Headers],0),0),"")</f>
        <v>0</v>
      </c>
      <c r="BM78" s="93">
        <f>IFERROR(VLOOKUP(SupSum[[#This Row],[Supervisor]],Wed_W2[],MATCH("Admin",Wed_W2[#Headers],0),0),"")</f>
        <v>0</v>
      </c>
      <c r="BN78" s="93" t="str">
        <f>IFERROR(VLOOKUP(SupSum[[#This Row],[Supervisor]],Wed_W2[],MATCH("Team MTG",Wed_W2[#Headers],0),0),"")</f>
        <v/>
      </c>
      <c r="BP78" s="93">
        <f>IFERROR(VLOOKUP(SupSum[[#This Row],[Supervisor]],Thu_W2[],MATCH("Help Line",Thu_W2[#Headers],0),0),"")</f>
        <v>0</v>
      </c>
      <c r="BQ78" s="93">
        <f>IFERROR(VLOOKUP(SupSum[[#This Row],[Supervisor]],Thu_W2[],MATCH("RTA",Thu_W2[#Headers],0),0),"")</f>
        <v>0</v>
      </c>
      <c r="BR78" s="93">
        <f>IFERROR(VLOOKUP(SupSum[[#This Row],[Supervisor]],Thu_W2[],MATCH("Admin",Thu_W2[#Headers],0),0),"")</f>
        <v>0</v>
      </c>
      <c r="BS78" s="93" t="str">
        <f>IFERROR(VLOOKUP(SupSum[[#This Row],[Supervisor]],Thu_W2[],MATCH("Team MTG",Thu_W2[#Headers],0),0),"")</f>
        <v/>
      </c>
      <c r="BU78" s="93" t="str">
        <f>IFERROR(VLOOKUP(SupSum[[#This Row],[Supervisor]],Fri_W2[],MATCH("Help Line",Fri_W2[#Headers],0),0),"")</f>
        <v/>
      </c>
      <c r="BV78" s="93" t="str">
        <f>IFERROR(VLOOKUP(SupSum[[#This Row],[Supervisor]],Fri_W2[],MATCH("RTA",Fri_W2[#Headers],0),0),"")</f>
        <v/>
      </c>
      <c r="BW78" s="93" t="str">
        <f>IFERROR(VLOOKUP(SupSum[[#This Row],[Supervisor]],Fri_W2[],MATCH("Admin",Fri_W2[#Headers],0),0),"")</f>
        <v/>
      </c>
      <c r="BX78" s="93" t="str">
        <f>IFERROR(VLOOKUP(SupSum[[#This Row],[Supervisor]],Fri_W2[],MATCH("Team MTG",Fri_W2[#Headers],0),0),"")</f>
        <v/>
      </c>
      <c r="BZ78" s="93" t="str">
        <f>IFERROR(VLOOKUP(SupSum[[#This Row],[Supervisor]],Sat_W2[],MATCH("Help Line",Sat_W2[#Headers],0),0),"")</f>
        <v/>
      </c>
      <c r="CA78" s="93" t="str">
        <f>IFERROR(VLOOKUP(SupSum[[#This Row],[Supervisor]],Sat_W2[],MATCH("RTA",Sat_W2[#Headers],0),0),"")</f>
        <v/>
      </c>
      <c r="CB78" s="93" t="str">
        <f>IFERROR(VLOOKUP(SupSum[[#This Row],[Supervisor]],Sat_W2[],MATCH("Admin",Sat_W2[#Headers],0),0),"")</f>
        <v/>
      </c>
      <c r="CC78" s="93" t="str">
        <f>IFERROR(VLOOKUP(SupSum[[#This Row],[Supervisor]],Sat_W2[],MATCH("Team MTG",Sat_W2[#Headers],0),0),"")</f>
        <v/>
      </c>
    </row>
    <row r="79" spans="2:81" x14ac:dyDescent="0.2">
      <c r="B79" s="205" t="s">
        <v>38</v>
      </c>
      <c r="C79" s="206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79" s="206">
        <f>SUM(SSum_Sun1[[#This Row],[RTA]],SSum_Mon1[[#This Row],[RTA]],SSum_Tue1[[#This Row],[RTA]],SSum_Wed1[[#This Row],[RTA]],SSum_Thu1[[#This Row],[RTA]],SSum_Fri1[[#This Row],[RTA]],SSum_Sat1[[#This Row],[RTA]])</f>
        <v>0</v>
      </c>
      <c r="E79" s="206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79" s="206">
        <f>SUM(SSum_Sun1[[#This Row],[TM]],SSum_Mon1[[#This Row],[TM]],SSum_Tue1[[#This Row],[TM]],SSum_Wed1[[#This Row],[TM]],SSum_Thu1[[#This Row],[TM]],SSum_Fri1[[#This Row],[TM]],SSum_Sat1[[#This Row],[TM]])</f>
        <v>0</v>
      </c>
      <c r="G79" s="206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79" s="206">
        <f>SUM(SSum_Sun2[[#This Row],[RTA]],SSum_Mon2[[#This Row],[RTA]],SSum_Tue2[[#This Row],[RTA]],SSum_Wed2[[#This Row],[RTA]],SSum_Thu2[[#This Row],[RTA]],SSum_Fri2[[#This Row],[RTA]],SSum_Sat2[[#This Row],[RTA]])</f>
        <v>0</v>
      </c>
      <c r="I79" s="206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79" s="206">
        <f>SUM(SSum_Sun2[[#This Row],[TM]],SSum_Mon2[[#This Row],[TM]],SSum_Tue2[[#This Row],[TM]],SSum_Wed2[[#This Row],[TM]],SSum_Thu2[[#This Row],[TM]],SSum_Fri2[[#This Row],[TM]],SSum_Sat2[[#This Row],[TM]])</f>
        <v>0</v>
      </c>
      <c r="K79" s="205"/>
      <c r="M79" s="93" t="str">
        <f>IFERROR(VLOOKUP(SupSum[[#This Row],[Supervisor]],Sun_W1[],MATCH("Help Line",Sun_W1[#Headers],0),0),"")</f>
        <v/>
      </c>
      <c r="N79" s="93" t="str">
        <f>IFERROR(VLOOKUP(SupSum[[#This Row],[Supervisor]],Sun_W1[],MATCH("RTA",Sun_W1[#Headers],0),0),"")</f>
        <v/>
      </c>
      <c r="O79" s="93" t="str">
        <f>IFERROR(VLOOKUP(SupSum[[#This Row],[Supervisor]],Sun_W1[],MATCH("Admin",Sun_W1[#Headers],0),0),"")</f>
        <v/>
      </c>
      <c r="P79" s="93" t="str">
        <f>IFERROR(VLOOKUP(SupSum[[#This Row],[Supervisor]],Sun_W1[],MATCH("Team MTG",Sun_W1[#Headers],0),0),"")</f>
        <v/>
      </c>
      <c r="R79" s="93" t="str">
        <f>IFERROR(VLOOKUP(SupSum[[#This Row],[Supervisor]],Mon_W1[],MATCH("Help Line",Mon_W1[#Headers],0),0),"")</f>
        <v/>
      </c>
      <c r="S79" s="93" t="str">
        <f>IFERROR(VLOOKUP(SupSum[[#This Row],[Supervisor]],Mon_W1[],MATCH("RTA",Mon_W1[#Headers],0),0),"")</f>
        <v/>
      </c>
      <c r="T79" s="93" t="str">
        <f>IFERROR(VLOOKUP(SupSum[[#This Row],[Supervisor]],Mon_W1[],MATCH("Admin",Mon_W1[#Headers],0),0),"")</f>
        <v/>
      </c>
      <c r="U79" s="93" t="str">
        <f>IFERROR(VLOOKUP(SupSum[[#This Row],[Supervisor]],Mon_W1[],MATCH("Team MTG",Mon_W1[#Headers],0),0),"")</f>
        <v/>
      </c>
      <c r="W79" s="93" t="str">
        <f>IFERROR(VLOOKUP(SupSum[[#This Row],[Supervisor]],Tue_W1[],MATCH("Help Line",Tue_W1[#Headers],0),0),"")</f>
        <v/>
      </c>
      <c r="X79" s="93" t="str">
        <f>IFERROR(VLOOKUP(SupSum[[#This Row],[Supervisor]],Tue_W1[],MATCH("RTA",Tue_W1[#Headers],0),0),"")</f>
        <v/>
      </c>
      <c r="Y79" s="93" t="str">
        <f>IFERROR(VLOOKUP(SupSum[[#This Row],[Supervisor]],Tue_W1[],MATCH("Admin",Tue_W1[#Headers],0),0),"")</f>
        <v/>
      </c>
      <c r="Z79" s="93" t="str">
        <f>IFERROR(VLOOKUP(SupSum[[#This Row],[Supervisor]],Tue_W1[],MATCH("Team MTG",Tue_W1[#Headers],0),0),"")</f>
        <v/>
      </c>
      <c r="AB79" s="93" t="str">
        <f>IFERROR(VLOOKUP(SupSum[[#This Row],[Supervisor]],Wed_W1[],MATCH("Help Line",Wed_W1[#Headers],0),0),"")</f>
        <v/>
      </c>
      <c r="AC79" s="93" t="str">
        <f>IFERROR(VLOOKUP(SupSum[[#This Row],[Supervisor]],Wed_W1[],MATCH("RTA",Wed_W1[#Headers],0),0),"")</f>
        <v/>
      </c>
      <c r="AD79" s="93" t="str">
        <f>IFERROR(VLOOKUP(SupSum[[#This Row],[Supervisor]],Wed_W1[],MATCH("Admin",Wed_W1[#Headers],0),0),"")</f>
        <v/>
      </c>
      <c r="AE79" s="93" t="str">
        <f>IFERROR(VLOOKUP(SupSum[[#This Row],[Supervisor]],Wed_W1[],MATCH("Team MTG",Wed_W1[#Headers],0),0),"")</f>
        <v/>
      </c>
      <c r="AG79" s="93" t="str">
        <f>IFERROR(VLOOKUP(SupSum[[#This Row],[Supervisor]],Thu_W1[],MATCH("Help Line",Thu_W1[#Headers],0),0),"")</f>
        <v/>
      </c>
      <c r="AH79" s="93" t="str">
        <f>IFERROR(VLOOKUP(SupSum[[#This Row],[Supervisor]],Thu_W1[],MATCH("RTA",Thu_W1[#Headers],0),0),"")</f>
        <v/>
      </c>
      <c r="AI79" s="93" t="str">
        <f>IFERROR(VLOOKUP(SupSum[[#This Row],[Supervisor]],Thu_W1[],MATCH("Admin",Thu_W1[#Headers],0),0),"")</f>
        <v/>
      </c>
      <c r="AJ79" s="93" t="str">
        <f>IFERROR(VLOOKUP(SupSum[[#This Row],[Supervisor]],Thu_W1[],MATCH("Team MTG",Thu_W1[#Headers],0),0),"")</f>
        <v/>
      </c>
      <c r="AL79" s="93" t="str">
        <f>IFERROR(VLOOKUP(SupSum[[#This Row],[Supervisor]],Fri_W1[],MATCH("Help Line",Fri_W1[#Headers],0),0),"")</f>
        <v/>
      </c>
      <c r="AM79" s="93" t="str">
        <f>IFERROR(VLOOKUP(SupSum[[#This Row],[Supervisor]],Fri_W1[],MATCH("RTA",Fri_W1[#Headers],0),0),"")</f>
        <v/>
      </c>
      <c r="AN79" s="93" t="str">
        <f>IFERROR(VLOOKUP(SupSum[[#This Row],[Supervisor]],Fri_W1[],MATCH("Admin",Fri_W1[#Headers],0),0),"")</f>
        <v/>
      </c>
      <c r="AO79" s="93" t="str">
        <f>IFERROR(VLOOKUP(SupSum[[#This Row],[Supervisor]],Fri_W1[],MATCH("Team MTG",Fri_W1[#Headers],0),0),"")</f>
        <v/>
      </c>
      <c r="AQ79" s="93" t="str">
        <f>IFERROR(VLOOKUP(SupSum[[#This Row],[Supervisor]],Sat_W1[],MATCH("Help Line",Sat_W1[#Headers],0),0),"")</f>
        <v/>
      </c>
      <c r="AR79" s="93" t="str">
        <f>IFERROR(VLOOKUP(SupSum[[#This Row],[Supervisor]],Sat_W1[],MATCH("RTA",Sat_W1[#Headers],0),0),"")</f>
        <v/>
      </c>
      <c r="AS79" s="93" t="str">
        <f>IFERROR(VLOOKUP(SupSum[[#This Row],[Supervisor]],Sat_W1[],MATCH("Admin",Sat_W1[#Headers],0),0),"")</f>
        <v/>
      </c>
      <c r="AT79" s="93" t="str">
        <f>IFERROR(VLOOKUP(SupSum[[#This Row],[Supervisor]],Sat_W1[],MATCH("Team MTG",Sat_W1[#Headers],0),0),"")</f>
        <v/>
      </c>
      <c r="AV79" s="93" t="str">
        <f>IFERROR(VLOOKUP(SupSum[[#This Row],[Supervisor]],Sun_W2[],MATCH("Help Line",Sun_W2[#Headers],0),0),"")</f>
        <v/>
      </c>
      <c r="AW79" s="93" t="str">
        <f>IFERROR(VLOOKUP(SupSum[[#This Row],[Supervisor]],Sun_W2[],MATCH("RTA",Sun_W2[#Headers],0),0),"")</f>
        <v/>
      </c>
      <c r="AX79" s="93" t="str">
        <f>IFERROR(VLOOKUP(SupSum[[#This Row],[Supervisor]],Sun_W2[],MATCH("Admin",Sun_W2[#Headers],0),0),"")</f>
        <v/>
      </c>
      <c r="AY79" s="93" t="str">
        <f>IFERROR(VLOOKUP(SupSum[[#This Row],[Supervisor]],Sun_W2[],MATCH("Team MTG",Sun_W2[#Headers],0),0),"")</f>
        <v/>
      </c>
      <c r="BA79" s="93" t="str">
        <f>IFERROR(VLOOKUP(SupSum[[#This Row],[Supervisor]],Mon_W2[],MATCH("Help Line",Mon_W2[#Headers],0),0),"")</f>
        <v/>
      </c>
      <c r="BB79" s="93" t="str">
        <f>IFERROR(VLOOKUP(SupSum[[#This Row],[Supervisor]],Mon_W2[],MATCH("RTA",Mon_W2[#Headers],0),0),"")</f>
        <v/>
      </c>
      <c r="BC79" s="93" t="str">
        <f>IFERROR(VLOOKUP(SupSum[[#This Row],[Supervisor]],Mon_W2[],MATCH("Admin",Mon_W2[#Headers],0),0),"")</f>
        <v/>
      </c>
      <c r="BD79" s="93" t="str">
        <f>IFERROR(VLOOKUP(SupSum[[#This Row],[Supervisor]],Mon_W2[],MATCH("Team MTG",Mon_W2[#Headers],0),0),"")</f>
        <v/>
      </c>
      <c r="BF79" s="93" t="str">
        <f>IFERROR(VLOOKUP(SupSum[[#This Row],[Supervisor]],Tue_W2[],MATCH("Help Line",Tue_W2[#Headers],0),0),"")</f>
        <v/>
      </c>
      <c r="BG79" s="93" t="str">
        <f>IFERROR(VLOOKUP(SupSum[[#This Row],[Supervisor]],Tue_W2[],MATCH("RTA",Tue_W2[#Headers],0),0),"")</f>
        <v/>
      </c>
      <c r="BH79" s="93" t="str">
        <f>IFERROR(VLOOKUP(SupSum[[#This Row],[Supervisor]],Tue_W2[],MATCH("Admin",Tue_W2[#Headers],0),0),"")</f>
        <v/>
      </c>
      <c r="BI79" s="93" t="str">
        <f>IFERROR(VLOOKUP(SupSum[[#This Row],[Supervisor]],Tue_W2[],MATCH("Team MTG",Tue_W2[#Headers],0),0),"")</f>
        <v/>
      </c>
      <c r="BK79" s="93" t="str">
        <f>IFERROR(VLOOKUP(SupSum[[#This Row],[Supervisor]],Wed_W2[],MATCH("Help Line",Wed_W2[#Headers],0),0),"")</f>
        <v/>
      </c>
      <c r="BL79" s="93" t="str">
        <f>IFERROR(VLOOKUP(SupSum[[#This Row],[Supervisor]],Wed_W2[],MATCH("RTA",Wed_W2[#Headers],0),0),"")</f>
        <v/>
      </c>
      <c r="BM79" s="93" t="str">
        <f>IFERROR(VLOOKUP(SupSum[[#This Row],[Supervisor]],Wed_W2[],MATCH("Admin",Wed_W2[#Headers],0),0),"")</f>
        <v/>
      </c>
      <c r="BN79" s="93" t="str">
        <f>IFERROR(VLOOKUP(SupSum[[#This Row],[Supervisor]],Wed_W2[],MATCH("Team MTG",Wed_W2[#Headers],0),0),"")</f>
        <v/>
      </c>
      <c r="BP79" s="93" t="str">
        <f>IFERROR(VLOOKUP(SupSum[[#This Row],[Supervisor]],Thu_W2[],MATCH("Help Line",Thu_W2[#Headers],0),0),"")</f>
        <v/>
      </c>
      <c r="BQ79" s="93" t="str">
        <f>IFERROR(VLOOKUP(SupSum[[#This Row],[Supervisor]],Thu_W2[],MATCH("RTA",Thu_W2[#Headers],0),0),"")</f>
        <v/>
      </c>
      <c r="BR79" s="93" t="str">
        <f>IFERROR(VLOOKUP(SupSum[[#This Row],[Supervisor]],Thu_W2[],MATCH("Admin",Thu_W2[#Headers],0),0),"")</f>
        <v/>
      </c>
      <c r="BS79" s="93" t="str">
        <f>IFERROR(VLOOKUP(SupSum[[#This Row],[Supervisor]],Thu_W2[],MATCH("Team MTG",Thu_W2[#Headers],0),0),"")</f>
        <v/>
      </c>
      <c r="BU79" s="93" t="str">
        <f>IFERROR(VLOOKUP(SupSum[[#This Row],[Supervisor]],Fri_W2[],MATCH("Help Line",Fri_W2[#Headers],0),0),"")</f>
        <v/>
      </c>
      <c r="BV79" s="93" t="str">
        <f>IFERROR(VLOOKUP(SupSum[[#This Row],[Supervisor]],Fri_W2[],MATCH("RTA",Fri_W2[#Headers],0),0),"")</f>
        <v/>
      </c>
      <c r="BW79" s="93" t="str">
        <f>IFERROR(VLOOKUP(SupSum[[#This Row],[Supervisor]],Fri_W2[],MATCH("Admin",Fri_W2[#Headers],0),0),"")</f>
        <v/>
      </c>
      <c r="BX79" s="93" t="str">
        <f>IFERROR(VLOOKUP(SupSum[[#This Row],[Supervisor]],Fri_W2[],MATCH("Team MTG",Fri_W2[#Headers],0),0),"")</f>
        <v/>
      </c>
      <c r="BZ79" s="93" t="str">
        <f>IFERROR(VLOOKUP(SupSum[[#This Row],[Supervisor]],Sat_W2[],MATCH("Help Line",Sat_W2[#Headers],0),0),"")</f>
        <v/>
      </c>
      <c r="CA79" s="93" t="str">
        <f>IFERROR(VLOOKUP(SupSum[[#This Row],[Supervisor]],Sat_W2[],MATCH("RTA",Sat_W2[#Headers],0),0),"")</f>
        <v/>
      </c>
      <c r="CB79" s="93" t="str">
        <f>IFERROR(VLOOKUP(SupSum[[#This Row],[Supervisor]],Sat_W2[],MATCH("Admin",Sat_W2[#Headers],0),0),"")</f>
        <v/>
      </c>
      <c r="CC79" s="93" t="str">
        <f>IFERROR(VLOOKUP(SupSum[[#This Row],[Supervisor]],Sat_W2[],MATCH("Team MTG",Sat_W2[#Headers],0),0),"")</f>
        <v/>
      </c>
    </row>
    <row r="80" spans="2:81" x14ac:dyDescent="0.2">
      <c r="B80" s="6" t="s">
        <v>53</v>
      </c>
      <c r="C80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80" s="93">
        <f>SUM(SSum_Sun1[[#This Row],[RTA]],SSum_Mon1[[#This Row],[RTA]],SSum_Tue1[[#This Row],[RTA]],SSum_Wed1[[#This Row],[RTA]],SSum_Thu1[[#This Row],[RTA]],SSum_Fri1[[#This Row],[RTA]],SSum_Sat1[[#This Row],[RTA]])</f>
        <v>0</v>
      </c>
      <c r="E80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80" s="93">
        <f>SUM(SSum_Sun1[[#This Row],[TM]],SSum_Mon1[[#This Row],[TM]],SSum_Tue1[[#This Row],[TM]],SSum_Wed1[[#This Row],[TM]],SSum_Thu1[[#This Row],[TM]],SSum_Fri1[[#This Row],[TM]],SSum_Sat1[[#This Row],[TM]])</f>
        <v>0</v>
      </c>
      <c r="G80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80" s="93">
        <f>SUM(SSum_Sun2[[#This Row],[RTA]],SSum_Mon2[[#This Row],[RTA]],SSum_Tue2[[#This Row],[RTA]],SSum_Wed2[[#This Row],[RTA]],SSum_Thu2[[#This Row],[RTA]],SSum_Fri2[[#This Row],[RTA]],SSum_Sat2[[#This Row],[RTA]])</f>
        <v>0</v>
      </c>
      <c r="I80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80" s="93">
        <f>SUM(SSum_Sun2[[#This Row],[TM]],SSum_Mon2[[#This Row],[TM]],SSum_Tue2[[#This Row],[TM]],SSum_Wed2[[#This Row],[TM]],SSum_Thu2[[#This Row],[TM]],SSum_Fri2[[#This Row],[TM]],SSum_Sat2[[#This Row],[TM]])</f>
        <v>0</v>
      </c>
      <c r="K80" s="208">
        <v>18</v>
      </c>
      <c r="M80" s="93" t="str">
        <f>IFERROR(VLOOKUP(SupSum[[#This Row],[Supervisor]],Sun_W1[],MATCH("Help Line",Sun_W1[#Headers],0),0),"")</f>
        <v/>
      </c>
      <c r="N80" s="93" t="str">
        <f>IFERROR(VLOOKUP(SupSum[[#This Row],[Supervisor]],Sun_W1[],MATCH("RTA",Sun_W1[#Headers],0),0),"")</f>
        <v/>
      </c>
      <c r="O80" s="93" t="str">
        <f>IFERROR(VLOOKUP(SupSum[[#This Row],[Supervisor]],Sun_W1[],MATCH("Admin",Sun_W1[#Headers],0),0),"")</f>
        <v/>
      </c>
      <c r="P80" s="93" t="str">
        <f>IFERROR(VLOOKUP(SupSum[[#This Row],[Supervisor]],Sun_W1[],MATCH("Team MTG",Sun_W1[#Headers],0),0),"")</f>
        <v/>
      </c>
      <c r="R80" s="93">
        <f>IFERROR(VLOOKUP(SupSum[[#This Row],[Supervisor]],Mon_W1[],MATCH("Help Line",Mon_W1[#Headers],0),0),"")</f>
        <v>0</v>
      </c>
      <c r="S80" s="93">
        <f>IFERROR(VLOOKUP(SupSum[[#This Row],[Supervisor]],Mon_W1[],MATCH("RTA",Mon_W1[#Headers],0),0),"")</f>
        <v>0</v>
      </c>
      <c r="T80" s="93">
        <f>IFERROR(VLOOKUP(SupSum[[#This Row],[Supervisor]],Mon_W1[],MATCH("Admin",Mon_W1[#Headers],0),0),"")</f>
        <v>0</v>
      </c>
      <c r="U80" s="93" t="str">
        <f>IFERROR(VLOOKUP(SupSum[[#This Row],[Supervisor]],Mon_W1[],MATCH("Team MTG",Mon_W1[#Headers],0),0),"")</f>
        <v/>
      </c>
      <c r="W80" s="93">
        <f>IFERROR(VLOOKUP(SupSum[[#This Row],[Supervisor]],Tue_W1[],MATCH("Help Line",Tue_W1[#Headers],0),0),"")</f>
        <v>0</v>
      </c>
      <c r="X80" s="93">
        <f>IFERROR(VLOOKUP(SupSum[[#This Row],[Supervisor]],Tue_W1[],MATCH("RTA",Tue_W1[#Headers],0),0),"")</f>
        <v>0</v>
      </c>
      <c r="Y80" s="93">
        <f>IFERROR(VLOOKUP(SupSum[[#This Row],[Supervisor]],Tue_W1[],MATCH("Admin",Tue_W1[#Headers],0),0),"")</f>
        <v>0</v>
      </c>
      <c r="Z80" s="93" t="str">
        <f>IFERROR(VLOOKUP(SupSum[[#This Row],[Supervisor]],Tue_W1[],MATCH("Team MTG",Tue_W1[#Headers],0),0),"")</f>
        <v/>
      </c>
      <c r="AB80" s="93">
        <f>IFERROR(VLOOKUP(SupSum[[#This Row],[Supervisor]],Wed_W1[],MATCH("Help Line",Wed_W1[#Headers],0),0),"")</f>
        <v>0</v>
      </c>
      <c r="AC80" s="93">
        <f>IFERROR(VLOOKUP(SupSum[[#This Row],[Supervisor]],Wed_W1[],MATCH("RTA",Wed_W1[#Headers],0),0),"")</f>
        <v>0</v>
      </c>
      <c r="AD80" s="93">
        <f>IFERROR(VLOOKUP(SupSum[[#This Row],[Supervisor]],Wed_W1[],MATCH("Admin",Wed_W1[#Headers],0),0),"")</f>
        <v>0</v>
      </c>
      <c r="AE80" s="93" t="str">
        <f>IFERROR(VLOOKUP(SupSum[[#This Row],[Supervisor]],Wed_W1[],MATCH("Team MTG",Wed_W1[#Headers],0),0),"")</f>
        <v/>
      </c>
      <c r="AG80" s="93" t="str">
        <f>IFERROR(VLOOKUP(SupSum[[#This Row],[Supervisor]],Thu_W1[],MATCH("Help Line",Thu_W1[#Headers],0),0),"")</f>
        <v/>
      </c>
      <c r="AH80" s="93" t="str">
        <f>IFERROR(VLOOKUP(SupSum[[#This Row],[Supervisor]],Thu_W1[],MATCH("RTA",Thu_W1[#Headers],0),0),"")</f>
        <v/>
      </c>
      <c r="AI80" s="93" t="str">
        <f>IFERROR(VLOOKUP(SupSum[[#This Row],[Supervisor]],Thu_W1[],MATCH("Admin",Thu_W1[#Headers],0),0),"")</f>
        <v/>
      </c>
      <c r="AJ80" s="93" t="str">
        <f>IFERROR(VLOOKUP(SupSum[[#This Row],[Supervisor]],Thu_W1[],MATCH("Team MTG",Thu_W1[#Headers],0),0),"")</f>
        <v/>
      </c>
      <c r="AL80" s="93">
        <f>IFERROR(VLOOKUP(SupSum[[#This Row],[Supervisor]],Fri_W1[],MATCH("Help Line",Fri_W1[#Headers],0),0),"")</f>
        <v>0</v>
      </c>
      <c r="AM80" s="93">
        <f>IFERROR(VLOOKUP(SupSum[[#This Row],[Supervisor]],Fri_W1[],MATCH("RTA",Fri_W1[#Headers],0),0),"")</f>
        <v>0</v>
      </c>
      <c r="AN80" s="93">
        <f>IFERROR(VLOOKUP(SupSum[[#This Row],[Supervisor]],Fri_W1[],MATCH("Admin",Fri_W1[#Headers],0),0),"")</f>
        <v>0</v>
      </c>
      <c r="AO80" s="93" t="str">
        <f>IFERROR(VLOOKUP(SupSum[[#This Row],[Supervisor]],Fri_W1[],MATCH("Team MTG",Fri_W1[#Headers],0),0),"")</f>
        <v/>
      </c>
      <c r="AQ80" s="93">
        <f>IFERROR(VLOOKUP(SupSum[[#This Row],[Supervisor]],Sat_W1[],MATCH("Help Line",Sat_W1[#Headers],0),0),"")</f>
        <v>0</v>
      </c>
      <c r="AR80" s="93">
        <f>IFERROR(VLOOKUP(SupSum[[#This Row],[Supervisor]],Sat_W1[],MATCH("RTA",Sat_W1[#Headers],0),0),"")</f>
        <v>0</v>
      </c>
      <c r="AS80" s="93">
        <f>IFERROR(VLOOKUP(SupSum[[#This Row],[Supervisor]],Sat_W1[],MATCH("Admin",Sat_W1[#Headers],0),0),"")</f>
        <v>0</v>
      </c>
      <c r="AT80" s="93" t="str">
        <f>IFERROR(VLOOKUP(SupSum[[#This Row],[Supervisor]],Sat_W1[],MATCH("Team MTG",Sat_W1[#Headers],0),0),"")</f>
        <v/>
      </c>
      <c r="AV80" s="93" t="str">
        <f>IFERROR(VLOOKUP(SupSum[[#This Row],[Supervisor]],Sun_W2[],MATCH("Help Line",Sun_W2[#Headers],0),0),"")</f>
        <v/>
      </c>
      <c r="AW80" s="93" t="str">
        <f>IFERROR(VLOOKUP(SupSum[[#This Row],[Supervisor]],Sun_W2[],MATCH("RTA",Sun_W2[#Headers],0),0),"")</f>
        <v/>
      </c>
      <c r="AX80" s="93" t="str">
        <f>IFERROR(VLOOKUP(SupSum[[#This Row],[Supervisor]],Sun_W2[],MATCH("Admin",Sun_W2[#Headers],0),0),"")</f>
        <v/>
      </c>
      <c r="AY80" s="93" t="str">
        <f>IFERROR(VLOOKUP(SupSum[[#This Row],[Supervisor]],Sun_W2[],MATCH("Team MTG",Sun_W2[#Headers],0),0),"")</f>
        <v/>
      </c>
      <c r="BA80" s="93">
        <f>IFERROR(VLOOKUP(SupSum[[#This Row],[Supervisor]],Mon_W2[],MATCH("Help Line",Mon_W2[#Headers],0),0),"")</f>
        <v>0</v>
      </c>
      <c r="BB80" s="93">
        <f>IFERROR(VLOOKUP(SupSum[[#This Row],[Supervisor]],Mon_W2[],MATCH("RTA",Mon_W2[#Headers],0),0),"")</f>
        <v>0</v>
      </c>
      <c r="BC80" s="93">
        <f>IFERROR(VLOOKUP(SupSum[[#This Row],[Supervisor]],Mon_W2[],MATCH("Admin",Mon_W2[#Headers],0),0),"")</f>
        <v>0</v>
      </c>
      <c r="BD80" s="93" t="str">
        <f>IFERROR(VLOOKUP(SupSum[[#This Row],[Supervisor]],Mon_W2[],MATCH("Team MTG",Mon_W2[#Headers],0),0),"")</f>
        <v/>
      </c>
      <c r="BF80" s="93">
        <f>IFERROR(VLOOKUP(SupSum[[#This Row],[Supervisor]],Tue_W2[],MATCH("Help Line",Tue_W2[#Headers],0),0),"")</f>
        <v>0</v>
      </c>
      <c r="BG80" s="93">
        <f>IFERROR(VLOOKUP(SupSum[[#This Row],[Supervisor]],Tue_W2[],MATCH("RTA",Tue_W2[#Headers],0),0),"")</f>
        <v>0</v>
      </c>
      <c r="BH80" s="93">
        <f>IFERROR(VLOOKUP(SupSum[[#This Row],[Supervisor]],Tue_W2[],MATCH("Admin",Tue_W2[#Headers],0),0),"")</f>
        <v>0</v>
      </c>
      <c r="BI80" s="93" t="str">
        <f>IFERROR(VLOOKUP(SupSum[[#This Row],[Supervisor]],Tue_W2[],MATCH("Team MTG",Tue_W2[#Headers],0),0),"")</f>
        <v/>
      </c>
      <c r="BK80" s="93">
        <f>IFERROR(VLOOKUP(SupSum[[#This Row],[Supervisor]],Wed_W2[],MATCH("Help Line",Wed_W2[#Headers],0),0),"")</f>
        <v>0</v>
      </c>
      <c r="BL80" s="93">
        <f>IFERROR(VLOOKUP(SupSum[[#This Row],[Supervisor]],Wed_W2[],MATCH("RTA",Wed_W2[#Headers],0),0),"")</f>
        <v>0</v>
      </c>
      <c r="BM80" s="93">
        <f>IFERROR(VLOOKUP(SupSum[[#This Row],[Supervisor]],Wed_W2[],MATCH("Admin",Wed_W2[#Headers],0),0),"")</f>
        <v>0</v>
      </c>
      <c r="BN80" s="93" t="str">
        <f>IFERROR(VLOOKUP(SupSum[[#This Row],[Supervisor]],Wed_W2[],MATCH("Team MTG",Wed_W2[#Headers],0),0),"")</f>
        <v/>
      </c>
      <c r="BP80" s="93" t="str">
        <f>IFERROR(VLOOKUP(SupSum[[#This Row],[Supervisor]],Thu_W2[],MATCH("Help Line",Thu_W2[#Headers],0),0),"")</f>
        <v/>
      </c>
      <c r="BQ80" s="93" t="str">
        <f>IFERROR(VLOOKUP(SupSum[[#This Row],[Supervisor]],Thu_W2[],MATCH("RTA",Thu_W2[#Headers],0),0),"")</f>
        <v/>
      </c>
      <c r="BR80" s="93" t="str">
        <f>IFERROR(VLOOKUP(SupSum[[#This Row],[Supervisor]],Thu_W2[],MATCH("Admin",Thu_W2[#Headers],0),0),"")</f>
        <v/>
      </c>
      <c r="BS80" s="93" t="str">
        <f>IFERROR(VLOOKUP(SupSum[[#This Row],[Supervisor]],Thu_W2[],MATCH("Team MTG",Thu_W2[#Headers],0),0),"")</f>
        <v/>
      </c>
      <c r="BU80" s="93">
        <f>IFERROR(VLOOKUP(SupSum[[#This Row],[Supervisor]],Fri_W2[],MATCH("Help Line",Fri_W2[#Headers],0),0),"")</f>
        <v>0</v>
      </c>
      <c r="BV80" s="93">
        <f>IFERROR(VLOOKUP(SupSum[[#This Row],[Supervisor]],Fri_W2[],MATCH("RTA",Fri_W2[#Headers],0),0),"")</f>
        <v>0</v>
      </c>
      <c r="BW80" s="93">
        <f>IFERROR(VLOOKUP(SupSum[[#This Row],[Supervisor]],Fri_W2[],MATCH("Admin",Fri_W2[#Headers],0),0),"")</f>
        <v>0</v>
      </c>
      <c r="BX80" s="93" t="str">
        <f>IFERROR(VLOOKUP(SupSum[[#This Row],[Supervisor]],Fri_W2[],MATCH("Team MTG",Fri_W2[#Headers],0),0),"")</f>
        <v/>
      </c>
      <c r="BZ80" s="93">
        <f>IFERROR(VLOOKUP(SupSum[[#This Row],[Supervisor]],Sat_W2[],MATCH("Help Line",Sat_W2[#Headers],0),0),"")</f>
        <v>0</v>
      </c>
      <c r="CA80" s="93">
        <f>IFERROR(VLOOKUP(SupSum[[#This Row],[Supervisor]],Sat_W2[],MATCH("RTA",Sat_W2[#Headers],0),0),"")</f>
        <v>0</v>
      </c>
      <c r="CB80" s="93">
        <f>IFERROR(VLOOKUP(SupSum[[#This Row],[Supervisor]],Sat_W2[],MATCH("Admin",Sat_W2[#Headers],0),0),"")</f>
        <v>0</v>
      </c>
      <c r="CC80" s="93" t="str">
        <f>IFERROR(VLOOKUP(SupSum[[#This Row],[Supervisor]],Sat_W2[],MATCH("Team MTG",Sat_W2[#Headers],0),0),"")</f>
        <v/>
      </c>
    </row>
    <row r="81" spans="2:81" x14ac:dyDescent="0.2">
      <c r="B81" s="6" t="s">
        <v>39</v>
      </c>
      <c r="C81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81" s="93">
        <f>SUM(SSum_Sun1[[#This Row],[RTA]],SSum_Mon1[[#This Row],[RTA]],SSum_Tue1[[#This Row],[RTA]],SSum_Wed1[[#This Row],[RTA]],SSum_Thu1[[#This Row],[RTA]],SSum_Fri1[[#This Row],[RTA]],SSum_Sat1[[#This Row],[RTA]])</f>
        <v>0</v>
      </c>
      <c r="E81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81" s="93">
        <f>SUM(SSum_Sun1[[#This Row],[TM]],SSum_Mon1[[#This Row],[TM]],SSum_Tue1[[#This Row],[TM]],SSum_Wed1[[#This Row],[TM]],SSum_Thu1[[#This Row],[TM]],SSum_Fri1[[#This Row],[TM]],SSum_Sat1[[#This Row],[TM]])</f>
        <v>0</v>
      </c>
      <c r="G81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81" s="93">
        <f>SUM(SSum_Sun2[[#This Row],[RTA]],SSum_Mon2[[#This Row],[RTA]],SSum_Tue2[[#This Row],[RTA]],SSum_Wed2[[#This Row],[RTA]],SSum_Thu2[[#This Row],[RTA]],SSum_Fri2[[#This Row],[RTA]],SSum_Sat2[[#This Row],[RTA]])</f>
        <v>0</v>
      </c>
      <c r="I81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81" s="93">
        <f>SUM(SSum_Sun2[[#This Row],[TM]],SSum_Mon2[[#This Row],[TM]],SSum_Tue2[[#This Row],[TM]],SSum_Wed2[[#This Row],[TM]],SSum_Thu2[[#This Row],[TM]],SSum_Fri2[[#This Row],[TM]],SSum_Sat2[[#This Row],[TM]])</f>
        <v>0</v>
      </c>
      <c r="K81" s="208">
        <v>15</v>
      </c>
      <c r="M81" s="93">
        <f>IFERROR(VLOOKUP(SupSum[[#This Row],[Supervisor]],Sun_W1[],MATCH("Help Line",Sun_W1[#Headers],0),0),"")</f>
        <v>0</v>
      </c>
      <c r="N81" s="93">
        <f>IFERROR(VLOOKUP(SupSum[[#This Row],[Supervisor]],Sun_W1[],MATCH("RTA",Sun_W1[#Headers],0),0),"")</f>
        <v>0</v>
      </c>
      <c r="O81" s="93">
        <f>IFERROR(VLOOKUP(SupSum[[#This Row],[Supervisor]],Sun_W1[],MATCH("Admin",Sun_W1[#Headers],0),0),"")</f>
        <v>0</v>
      </c>
      <c r="P81" s="93" t="str">
        <f>IFERROR(VLOOKUP(SupSum[[#This Row],[Supervisor]],Sun_W1[],MATCH("Team MTG",Sun_W1[#Headers],0),0),"")</f>
        <v/>
      </c>
      <c r="R81" s="93">
        <f>IFERROR(VLOOKUP(SupSum[[#This Row],[Supervisor]],Mon_W1[],MATCH("Help Line",Mon_W1[#Headers],0),0),"")</f>
        <v>0</v>
      </c>
      <c r="S81" s="93">
        <f>IFERROR(VLOOKUP(SupSum[[#This Row],[Supervisor]],Mon_W1[],MATCH("RTA",Mon_W1[#Headers],0),0),"")</f>
        <v>0</v>
      </c>
      <c r="T81" s="93">
        <f>IFERROR(VLOOKUP(SupSum[[#This Row],[Supervisor]],Mon_W1[],MATCH("Admin",Mon_W1[#Headers],0),0),"")</f>
        <v>0</v>
      </c>
      <c r="U81" s="93" t="str">
        <f>IFERROR(VLOOKUP(SupSum[[#This Row],[Supervisor]],Mon_W1[],MATCH("Team MTG",Mon_W1[#Headers],0),0),"")</f>
        <v/>
      </c>
      <c r="W81" s="93">
        <f>IFERROR(VLOOKUP(SupSum[[#This Row],[Supervisor]],Tue_W1[],MATCH("Help Line",Tue_W1[#Headers],0),0),"")</f>
        <v>0</v>
      </c>
      <c r="X81" s="93">
        <f>IFERROR(VLOOKUP(SupSum[[#This Row],[Supervisor]],Tue_W1[],MATCH("RTA",Tue_W1[#Headers],0),0),"")</f>
        <v>0</v>
      </c>
      <c r="Y81" s="93">
        <f>IFERROR(VLOOKUP(SupSum[[#This Row],[Supervisor]],Tue_W1[],MATCH("Admin",Tue_W1[#Headers],0),0),"")</f>
        <v>0</v>
      </c>
      <c r="Z81" s="93" t="str">
        <f>IFERROR(VLOOKUP(SupSum[[#This Row],[Supervisor]],Tue_W1[],MATCH("Team MTG",Tue_W1[#Headers],0),0),"")</f>
        <v/>
      </c>
      <c r="AB81" s="93" t="str">
        <f>IFERROR(VLOOKUP(SupSum[[#This Row],[Supervisor]],Wed_W1[],MATCH("Help Line",Wed_W1[#Headers],0),0),"")</f>
        <v/>
      </c>
      <c r="AC81" s="93" t="str">
        <f>IFERROR(VLOOKUP(SupSum[[#This Row],[Supervisor]],Wed_W1[],MATCH("RTA",Wed_W1[#Headers],0),0),"")</f>
        <v/>
      </c>
      <c r="AD81" s="93" t="str">
        <f>IFERROR(VLOOKUP(SupSum[[#This Row],[Supervisor]],Wed_W1[],MATCH("Admin",Wed_W1[#Headers],0),0),"")</f>
        <v/>
      </c>
      <c r="AE81" s="93" t="str">
        <f>IFERROR(VLOOKUP(SupSum[[#This Row],[Supervisor]],Wed_W1[],MATCH("Team MTG",Wed_W1[#Headers],0),0),"")</f>
        <v/>
      </c>
      <c r="AG81" s="93" t="str">
        <f>IFERROR(VLOOKUP(SupSum[[#This Row],[Supervisor]],Thu_W1[],MATCH("Help Line",Thu_W1[#Headers],0),0),"")</f>
        <v/>
      </c>
      <c r="AH81" s="93" t="str">
        <f>IFERROR(VLOOKUP(SupSum[[#This Row],[Supervisor]],Thu_W1[],MATCH("RTA",Thu_W1[#Headers],0),0),"")</f>
        <v/>
      </c>
      <c r="AI81" s="93" t="str">
        <f>IFERROR(VLOOKUP(SupSum[[#This Row],[Supervisor]],Thu_W1[],MATCH("Admin",Thu_W1[#Headers],0),0),"")</f>
        <v/>
      </c>
      <c r="AJ81" s="93" t="str">
        <f>IFERROR(VLOOKUP(SupSum[[#This Row],[Supervisor]],Thu_W1[],MATCH("Team MTG",Thu_W1[#Headers],0),0),"")</f>
        <v/>
      </c>
      <c r="AL81" s="93">
        <f>IFERROR(VLOOKUP(SupSum[[#This Row],[Supervisor]],Fri_W1[],MATCH("Help Line",Fri_W1[#Headers],0),0),"")</f>
        <v>0</v>
      </c>
      <c r="AM81" s="93">
        <f>IFERROR(VLOOKUP(SupSum[[#This Row],[Supervisor]],Fri_W1[],MATCH("RTA",Fri_W1[#Headers],0),0),"")</f>
        <v>0</v>
      </c>
      <c r="AN81" s="93">
        <f>IFERROR(VLOOKUP(SupSum[[#This Row],[Supervisor]],Fri_W1[],MATCH("Admin",Fri_W1[#Headers],0),0),"")</f>
        <v>0</v>
      </c>
      <c r="AO81" s="93" t="str">
        <f>IFERROR(VLOOKUP(SupSum[[#This Row],[Supervisor]],Fri_W1[],MATCH("Team MTG",Fri_W1[#Headers],0),0),"")</f>
        <v/>
      </c>
      <c r="AQ81" s="93">
        <f>IFERROR(VLOOKUP(SupSum[[#This Row],[Supervisor]],Sat_W1[],MATCH("Help Line",Sat_W1[#Headers],0),0),"")</f>
        <v>0</v>
      </c>
      <c r="AR81" s="93">
        <f>IFERROR(VLOOKUP(SupSum[[#This Row],[Supervisor]],Sat_W1[],MATCH("RTA",Sat_W1[#Headers],0),0),"")</f>
        <v>0</v>
      </c>
      <c r="AS81" s="93">
        <f>IFERROR(VLOOKUP(SupSum[[#This Row],[Supervisor]],Sat_W1[],MATCH("Admin",Sat_W1[#Headers],0),0),"")</f>
        <v>0</v>
      </c>
      <c r="AT81" s="93" t="str">
        <f>IFERROR(VLOOKUP(SupSum[[#This Row],[Supervisor]],Sat_W1[],MATCH("Team MTG",Sat_W1[#Headers],0),0),"")</f>
        <v/>
      </c>
      <c r="AV81" s="93">
        <f>IFERROR(VLOOKUP(SupSum[[#This Row],[Supervisor]],Sun_W2[],MATCH("Help Line",Sun_W2[#Headers],0),0),"")</f>
        <v>0</v>
      </c>
      <c r="AW81" s="93">
        <f>IFERROR(VLOOKUP(SupSum[[#This Row],[Supervisor]],Sun_W2[],MATCH("RTA",Sun_W2[#Headers],0),0),"")</f>
        <v>0</v>
      </c>
      <c r="AX81" s="93">
        <f>IFERROR(VLOOKUP(SupSum[[#This Row],[Supervisor]],Sun_W2[],MATCH("Admin",Sun_W2[#Headers],0),0),"")</f>
        <v>0</v>
      </c>
      <c r="AY81" s="93" t="str">
        <f>IFERROR(VLOOKUP(SupSum[[#This Row],[Supervisor]],Sun_W2[],MATCH("Team MTG",Sun_W2[#Headers],0),0),"")</f>
        <v/>
      </c>
      <c r="BA81" s="93">
        <f>IFERROR(VLOOKUP(SupSum[[#This Row],[Supervisor]],Mon_W2[],MATCH("Help Line",Mon_W2[#Headers],0),0),"")</f>
        <v>0</v>
      </c>
      <c r="BB81" s="93">
        <f>IFERROR(VLOOKUP(SupSum[[#This Row],[Supervisor]],Mon_W2[],MATCH("RTA",Mon_W2[#Headers],0),0),"")</f>
        <v>0</v>
      </c>
      <c r="BC81" s="93">
        <f>IFERROR(VLOOKUP(SupSum[[#This Row],[Supervisor]],Mon_W2[],MATCH("Admin",Mon_W2[#Headers],0),0),"")</f>
        <v>0</v>
      </c>
      <c r="BD81" s="93" t="str">
        <f>IFERROR(VLOOKUP(SupSum[[#This Row],[Supervisor]],Mon_W2[],MATCH("Team MTG",Mon_W2[#Headers],0),0),"")</f>
        <v/>
      </c>
      <c r="BF81" s="93">
        <f>IFERROR(VLOOKUP(SupSum[[#This Row],[Supervisor]],Tue_W2[],MATCH("Help Line",Tue_W2[#Headers],0),0),"")</f>
        <v>0</v>
      </c>
      <c r="BG81" s="93">
        <f>IFERROR(VLOOKUP(SupSum[[#This Row],[Supervisor]],Tue_W2[],MATCH("RTA",Tue_W2[#Headers],0),0),"")</f>
        <v>0</v>
      </c>
      <c r="BH81" s="93">
        <f>IFERROR(VLOOKUP(SupSum[[#This Row],[Supervisor]],Tue_W2[],MATCH("Admin",Tue_W2[#Headers],0),0),"")</f>
        <v>0</v>
      </c>
      <c r="BI81" s="93" t="str">
        <f>IFERROR(VLOOKUP(SupSum[[#This Row],[Supervisor]],Tue_W2[],MATCH("Team MTG",Tue_W2[#Headers],0),0),"")</f>
        <v/>
      </c>
      <c r="BK81" s="93" t="str">
        <f>IFERROR(VLOOKUP(SupSum[[#This Row],[Supervisor]],Wed_W2[],MATCH("Help Line",Wed_W2[#Headers],0),0),"")</f>
        <v/>
      </c>
      <c r="BL81" s="93" t="str">
        <f>IFERROR(VLOOKUP(SupSum[[#This Row],[Supervisor]],Wed_W2[],MATCH("RTA",Wed_W2[#Headers],0),0),"")</f>
        <v/>
      </c>
      <c r="BM81" s="93" t="str">
        <f>IFERROR(VLOOKUP(SupSum[[#This Row],[Supervisor]],Wed_W2[],MATCH("Admin",Wed_W2[#Headers],0),0),"")</f>
        <v/>
      </c>
      <c r="BN81" s="93" t="str">
        <f>IFERROR(VLOOKUP(SupSum[[#This Row],[Supervisor]],Wed_W2[],MATCH("Team MTG",Wed_W2[#Headers],0),0),"")</f>
        <v/>
      </c>
      <c r="BP81" s="93" t="str">
        <f>IFERROR(VLOOKUP(SupSum[[#This Row],[Supervisor]],Thu_W2[],MATCH("Help Line",Thu_W2[#Headers],0),0),"")</f>
        <v/>
      </c>
      <c r="BQ81" s="93" t="str">
        <f>IFERROR(VLOOKUP(SupSum[[#This Row],[Supervisor]],Thu_W2[],MATCH("RTA",Thu_W2[#Headers],0),0),"")</f>
        <v/>
      </c>
      <c r="BR81" s="93" t="str">
        <f>IFERROR(VLOOKUP(SupSum[[#This Row],[Supervisor]],Thu_W2[],MATCH("Admin",Thu_W2[#Headers],0),0),"")</f>
        <v/>
      </c>
      <c r="BS81" s="93" t="str">
        <f>IFERROR(VLOOKUP(SupSum[[#This Row],[Supervisor]],Thu_W2[],MATCH("Team MTG",Thu_W2[#Headers],0),0),"")</f>
        <v/>
      </c>
      <c r="BU81" s="93">
        <f>IFERROR(VLOOKUP(SupSum[[#This Row],[Supervisor]],Fri_W2[],MATCH("Help Line",Fri_W2[#Headers],0),0),"")</f>
        <v>0</v>
      </c>
      <c r="BV81" s="93">
        <f>IFERROR(VLOOKUP(SupSum[[#This Row],[Supervisor]],Fri_W2[],MATCH("RTA",Fri_W2[#Headers],0),0),"")</f>
        <v>0</v>
      </c>
      <c r="BW81" s="93">
        <f>IFERROR(VLOOKUP(SupSum[[#This Row],[Supervisor]],Fri_W2[],MATCH("Admin",Fri_W2[#Headers],0),0),"")</f>
        <v>0</v>
      </c>
      <c r="BX81" s="93" t="str">
        <f>IFERROR(VLOOKUP(SupSum[[#This Row],[Supervisor]],Fri_W2[],MATCH("Team MTG",Fri_W2[#Headers],0),0),"")</f>
        <v/>
      </c>
      <c r="BZ81" s="93">
        <f>IFERROR(VLOOKUP(SupSum[[#This Row],[Supervisor]],Sat_W2[],MATCH("Help Line",Sat_W2[#Headers],0),0),"")</f>
        <v>0</v>
      </c>
      <c r="CA81" s="93">
        <f>IFERROR(VLOOKUP(SupSum[[#This Row],[Supervisor]],Sat_W2[],MATCH("RTA",Sat_W2[#Headers],0),0),"")</f>
        <v>0</v>
      </c>
      <c r="CB81" s="93">
        <f>IFERROR(VLOOKUP(SupSum[[#This Row],[Supervisor]],Sat_W2[],MATCH("Admin",Sat_W2[#Headers],0),0),"")</f>
        <v>0</v>
      </c>
      <c r="CC81" s="93" t="str">
        <f>IFERROR(VLOOKUP(SupSum[[#This Row],[Supervisor]],Sat_W2[],MATCH("Team MTG",Sat_W2[#Headers],0),0),"")</f>
        <v/>
      </c>
    </row>
    <row r="82" spans="2:81" x14ac:dyDescent="0.2">
      <c r="B82" s="6" t="s">
        <v>70</v>
      </c>
      <c r="C82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82" s="93">
        <f>SUM(SSum_Sun1[[#This Row],[RTA]],SSum_Mon1[[#This Row],[RTA]],SSum_Tue1[[#This Row],[RTA]],SSum_Wed1[[#This Row],[RTA]],SSum_Thu1[[#This Row],[RTA]],SSum_Fri1[[#This Row],[RTA]],SSum_Sat1[[#This Row],[RTA]])</f>
        <v>0</v>
      </c>
      <c r="E82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82" s="93">
        <f>SUM(SSum_Sun1[[#This Row],[TM]],SSum_Mon1[[#This Row],[TM]],SSum_Tue1[[#This Row],[TM]],SSum_Wed1[[#This Row],[TM]],SSum_Thu1[[#This Row],[TM]],SSum_Fri1[[#This Row],[TM]],SSum_Sat1[[#This Row],[TM]])</f>
        <v>0</v>
      </c>
      <c r="G82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82" s="93">
        <f>SUM(SSum_Sun2[[#This Row],[RTA]],SSum_Mon2[[#This Row],[RTA]],SSum_Tue2[[#This Row],[RTA]],SSum_Wed2[[#This Row],[RTA]],SSum_Thu2[[#This Row],[RTA]],SSum_Fri2[[#This Row],[RTA]],SSum_Sat2[[#This Row],[RTA]])</f>
        <v>0</v>
      </c>
      <c r="I82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82" s="93">
        <f>SUM(SSum_Sun2[[#This Row],[TM]],SSum_Mon2[[#This Row],[TM]],SSum_Tue2[[#This Row],[TM]],SSum_Wed2[[#This Row],[TM]],SSum_Thu2[[#This Row],[TM]],SSum_Fri2[[#This Row],[TM]],SSum_Sat2[[#This Row],[TM]])</f>
        <v>0</v>
      </c>
      <c r="K82" s="208">
        <v>14</v>
      </c>
      <c r="M82" s="93">
        <f>IFERROR(VLOOKUP(SupSum[[#This Row],[Supervisor]],Sun_W1[],MATCH("Help Line",Sun_W1[#Headers],0),0),"")</f>
        <v>0</v>
      </c>
      <c r="N82" s="93">
        <f>IFERROR(VLOOKUP(SupSum[[#This Row],[Supervisor]],Sun_W1[],MATCH("RTA",Sun_W1[#Headers],0),0),"")</f>
        <v>0</v>
      </c>
      <c r="O82" s="93">
        <f>IFERROR(VLOOKUP(SupSum[[#This Row],[Supervisor]],Sun_W1[],MATCH("Admin",Sun_W1[#Headers],0),0),"")</f>
        <v>0</v>
      </c>
      <c r="P82" s="93" t="str">
        <f>IFERROR(VLOOKUP(SupSum[[#This Row],[Supervisor]],Sun_W1[],MATCH("Team MTG",Sun_W1[#Headers],0),0),"")</f>
        <v/>
      </c>
      <c r="R82" s="93">
        <f>IFERROR(VLOOKUP(SupSum[[#This Row],[Supervisor]],Mon_W1[],MATCH("Help Line",Mon_W1[#Headers],0),0),"")</f>
        <v>0</v>
      </c>
      <c r="S82" s="93">
        <f>IFERROR(VLOOKUP(SupSum[[#This Row],[Supervisor]],Mon_W1[],MATCH("RTA",Mon_W1[#Headers],0),0),"")</f>
        <v>0</v>
      </c>
      <c r="T82" s="93">
        <f>IFERROR(VLOOKUP(SupSum[[#This Row],[Supervisor]],Mon_W1[],MATCH("Admin",Mon_W1[#Headers],0),0),"")</f>
        <v>0</v>
      </c>
      <c r="U82" s="93" t="str">
        <f>IFERROR(VLOOKUP(SupSum[[#This Row],[Supervisor]],Mon_W1[],MATCH("Team MTG",Mon_W1[#Headers],0),0),"")</f>
        <v/>
      </c>
      <c r="W82" s="93">
        <f>IFERROR(VLOOKUP(SupSum[[#This Row],[Supervisor]],Tue_W1[],MATCH("Help Line",Tue_W1[#Headers],0),0),"")</f>
        <v>0</v>
      </c>
      <c r="X82" s="93">
        <f>IFERROR(VLOOKUP(SupSum[[#This Row],[Supervisor]],Tue_W1[],MATCH("RTA",Tue_W1[#Headers],0),0),"")</f>
        <v>0</v>
      </c>
      <c r="Y82" s="93">
        <f>IFERROR(VLOOKUP(SupSum[[#This Row],[Supervisor]],Tue_W1[],MATCH("Admin",Tue_W1[#Headers],0),0),"")</f>
        <v>0</v>
      </c>
      <c r="Z82" s="93" t="str">
        <f>IFERROR(VLOOKUP(SupSum[[#This Row],[Supervisor]],Tue_W1[],MATCH("Team MTG",Tue_W1[#Headers],0),0),"")</f>
        <v/>
      </c>
      <c r="AB82" s="93">
        <f>IFERROR(VLOOKUP(SupSum[[#This Row],[Supervisor]],Wed_W1[],MATCH("Help Line",Wed_W1[#Headers],0),0),"")</f>
        <v>0</v>
      </c>
      <c r="AC82" s="93">
        <f>IFERROR(VLOOKUP(SupSum[[#This Row],[Supervisor]],Wed_W1[],MATCH("RTA",Wed_W1[#Headers],0),0),"")</f>
        <v>0</v>
      </c>
      <c r="AD82" s="93">
        <f>IFERROR(VLOOKUP(SupSum[[#This Row],[Supervisor]],Wed_W1[],MATCH("Admin",Wed_W1[#Headers],0),0),"")</f>
        <v>0</v>
      </c>
      <c r="AE82" s="93" t="str">
        <f>IFERROR(VLOOKUP(SupSum[[#This Row],[Supervisor]],Wed_W1[],MATCH("Team MTG",Wed_W1[#Headers],0),0),"")</f>
        <v/>
      </c>
      <c r="AG82" s="93">
        <f>IFERROR(VLOOKUP(SupSum[[#This Row],[Supervisor]],Thu_W1[],MATCH("Help Line",Thu_W1[#Headers],0),0),"")</f>
        <v>0</v>
      </c>
      <c r="AH82" s="93">
        <f>IFERROR(VLOOKUP(SupSum[[#This Row],[Supervisor]],Thu_W1[],MATCH("RTA",Thu_W1[#Headers],0),0),"")</f>
        <v>0</v>
      </c>
      <c r="AI82" s="93">
        <f>IFERROR(VLOOKUP(SupSum[[#This Row],[Supervisor]],Thu_W1[],MATCH("Admin",Thu_W1[#Headers],0),0),"")</f>
        <v>0</v>
      </c>
      <c r="AJ82" s="93" t="str">
        <f>IFERROR(VLOOKUP(SupSum[[#This Row],[Supervisor]],Thu_W1[],MATCH("Team MTG",Thu_W1[#Headers],0),0),"")</f>
        <v/>
      </c>
      <c r="AL82" s="93" t="str">
        <f>IFERROR(VLOOKUP(SupSum[[#This Row],[Supervisor]],Fri_W1[],MATCH("Help Line",Fri_W1[#Headers],0),0),"")</f>
        <v/>
      </c>
      <c r="AM82" s="93" t="str">
        <f>IFERROR(VLOOKUP(SupSum[[#This Row],[Supervisor]],Fri_W1[],MATCH("RTA",Fri_W1[#Headers],0),0),"")</f>
        <v/>
      </c>
      <c r="AN82" s="93" t="str">
        <f>IFERROR(VLOOKUP(SupSum[[#This Row],[Supervisor]],Fri_W1[],MATCH("Admin",Fri_W1[#Headers],0),0),"")</f>
        <v/>
      </c>
      <c r="AO82" s="93" t="str">
        <f>IFERROR(VLOOKUP(SupSum[[#This Row],[Supervisor]],Fri_W1[],MATCH("Team MTG",Fri_W1[#Headers],0),0),"")</f>
        <v/>
      </c>
      <c r="AQ82" s="93" t="str">
        <f>IFERROR(VLOOKUP(SupSum[[#This Row],[Supervisor]],Sat_W1[],MATCH("Help Line",Sat_W1[#Headers],0),0),"")</f>
        <v/>
      </c>
      <c r="AR82" s="93" t="str">
        <f>IFERROR(VLOOKUP(SupSum[[#This Row],[Supervisor]],Sat_W1[],MATCH("RTA",Sat_W1[#Headers],0),0),"")</f>
        <v/>
      </c>
      <c r="AS82" s="93" t="str">
        <f>IFERROR(VLOOKUP(SupSum[[#This Row],[Supervisor]],Sat_W1[],MATCH("Admin",Sat_W1[#Headers],0),0),"")</f>
        <v/>
      </c>
      <c r="AT82" s="93" t="str">
        <f>IFERROR(VLOOKUP(SupSum[[#This Row],[Supervisor]],Sat_W1[],MATCH("Team MTG",Sat_W1[#Headers],0),0),"")</f>
        <v/>
      </c>
      <c r="AV82" s="93">
        <f>IFERROR(VLOOKUP(SupSum[[#This Row],[Supervisor]],Sun_W2[],MATCH("Help Line",Sun_W2[#Headers],0),0),"")</f>
        <v>0</v>
      </c>
      <c r="AW82" s="93">
        <f>IFERROR(VLOOKUP(SupSum[[#This Row],[Supervisor]],Sun_W2[],MATCH("RTA",Sun_W2[#Headers],0),0),"")</f>
        <v>0</v>
      </c>
      <c r="AX82" s="93">
        <f>IFERROR(VLOOKUP(SupSum[[#This Row],[Supervisor]],Sun_W2[],MATCH("Admin",Sun_W2[#Headers],0),0),"")</f>
        <v>0</v>
      </c>
      <c r="AY82" s="93" t="str">
        <f>IFERROR(VLOOKUP(SupSum[[#This Row],[Supervisor]],Sun_W2[],MATCH("Team MTG",Sun_W2[#Headers],0),0),"")</f>
        <v/>
      </c>
      <c r="BA82" s="93">
        <f>IFERROR(VLOOKUP(SupSum[[#This Row],[Supervisor]],Mon_W2[],MATCH("Help Line",Mon_W2[#Headers],0),0),"")</f>
        <v>0</v>
      </c>
      <c r="BB82" s="93">
        <f>IFERROR(VLOOKUP(SupSum[[#This Row],[Supervisor]],Mon_W2[],MATCH("RTA",Mon_W2[#Headers],0),0),"")</f>
        <v>0</v>
      </c>
      <c r="BC82" s="93">
        <f>IFERROR(VLOOKUP(SupSum[[#This Row],[Supervisor]],Mon_W2[],MATCH("Admin",Mon_W2[#Headers],0),0),"")</f>
        <v>0</v>
      </c>
      <c r="BD82" s="93" t="str">
        <f>IFERROR(VLOOKUP(SupSum[[#This Row],[Supervisor]],Mon_W2[],MATCH("Team MTG",Mon_W2[#Headers],0),0),"")</f>
        <v/>
      </c>
      <c r="BF82" s="93">
        <f>IFERROR(VLOOKUP(SupSum[[#This Row],[Supervisor]],Tue_W2[],MATCH("Help Line",Tue_W2[#Headers],0),0),"")</f>
        <v>0</v>
      </c>
      <c r="BG82" s="93">
        <f>IFERROR(VLOOKUP(SupSum[[#This Row],[Supervisor]],Tue_W2[],MATCH("RTA",Tue_W2[#Headers],0),0),"")</f>
        <v>0</v>
      </c>
      <c r="BH82" s="93">
        <f>IFERROR(VLOOKUP(SupSum[[#This Row],[Supervisor]],Tue_W2[],MATCH("Admin",Tue_W2[#Headers],0),0),"")</f>
        <v>0</v>
      </c>
      <c r="BI82" s="93" t="str">
        <f>IFERROR(VLOOKUP(SupSum[[#This Row],[Supervisor]],Tue_W2[],MATCH("Team MTG",Tue_W2[#Headers],0),0),"")</f>
        <v/>
      </c>
      <c r="BK82" s="93">
        <f>IFERROR(VLOOKUP(SupSum[[#This Row],[Supervisor]],Wed_W2[],MATCH("Help Line",Wed_W2[#Headers],0),0),"")</f>
        <v>0</v>
      </c>
      <c r="BL82" s="93">
        <f>IFERROR(VLOOKUP(SupSum[[#This Row],[Supervisor]],Wed_W2[],MATCH("RTA",Wed_W2[#Headers],0),0),"")</f>
        <v>0</v>
      </c>
      <c r="BM82" s="93">
        <f>IFERROR(VLOOKUP(SupSum[[#This Row],[Supervisor]],Wed_W2[],MATCH("Admin",Wed_W2[#Headers],0),0),"")</f>
        <v>0</v>
      </c>
      <c r="BN82" s="93" t="str">
        <f>IFERROR(VLOOKUP(SupSum[[#This Row],[Supervisor]],Wed_W2[],MATCH("Team MTG",Wed_W2[#Headers],0),0),"")</f>
        <v/>
      </c>
      <c r="BP82" s="93">
        <f>IFERROR(VLOOKUP(SupSum[[#This Row],[Supervisor]],Thu_W2[],MATCH("Help Line",Thu_W2[#Headers],0),0),"")</f>
        <v>0</v>
      </c>
      <c r="BQ82" s="93">
        <f>IFERROR(VLOOKUP(SupSum[[#This Row],[Supervisor]],Thu_W2[],MATCH("RTA",Thu_W2[#Headers],0),0),"")</f>
        <v>0</v>
      </c>
      <c r="BR82" s="93">
        <f>IFERROR(VLOOKUP(SupSum[[#This Row],[Supervisor]],Thu_W2[],MATCH("Admin",Thu_W2[#Headers],0),0),"")</f>
        <v>0</v>
      </c>
      <c r="BS82" s="93" t="str">
        <f>IFERROR(VLOOKUP(SupSum[[#This Row],[Supervisor]],Thu_W2[],MATCH("Team MTG",Thu_W2[#Headers],0),0),"")</f>
        <v/>
      </c>
      <c r="BU82" s="93" t="str">
        <f>IFERROR(VLOOKUP(SupSum[[#This Row],[Supervisor]],Fri_W2[],MATCH("Help Line",Fri_W2[#Headers],0),0),"")</f>
        <v/>
      </c>
      <c r="BV82" s="93" t="str">
        <f>IFERROR(VLOOKUP(SupSum[[#This Row],[Supervisor]],Fri_W2[],MATCH("RTA",Fri_W2[#Headers],0),0),"")</f>
        <v/>
      </c>
      <c r="BW82" s="93" t="str">
        <f>IFERROR(VLOOKUP(SupSum[[#This Row],[Supervisor]],Fri_W2[],MATCH("Admin",Fri_W2[#Headers],0),0),"")</f>
        <v/>
      </c>
      <c r="BX82" s="93" t="str">
        <f>IFERROR(VLOOKUP(SupSum[[#This Row],[Supervisor]],Fri_W2[],MATCH("Team MTG",Fri_W2[#Headers],0),0),"")</f>
        <v/>
      </c>
      <c r="BZ82" s="93" t="str">
        <f>IFERROR(VLOOKUP(SupSum[[#This Row],[Supervisor]],Sat_W2[],MATCH("Help Line",Sat_W2[#Headers],0),0),"")</f>
        <v/>
      </c>
      <c r="CA82" s="93" t="str">
        <f>IFERROR(VLOOKUP(SupSum[[#This Row],[Supervisor]],Sat_W2[],MATCH("RTA",Sat_W2[#Headers],0),0),"")</f>
        <v/>
      </c>
      <c r="CB82" s="93" t="str">
        <f>IFERROR(VLOOKUP(SupSum[[#This Row],[Supervisor]],Sat_W2[],MATCH("Admin",Sat_W2[#Headers],0),0),"")</f>
        <v/>
      </c>
      <c r="CC82" s="93" t="str">
        <f>IFERROR(VLOOKUP(SupSum[[#This Row],[Supervisor]],Sat_W2[],MATCH("Team MTG",Sat_W2[#Headers],0),0),"")</f>
        <v/>
      </c>
    </row>
    <row r="83" spans="2:81" x14ac:dyDescent="0.2">
      <c r="B83" s="205" t="s">
        <v>36</v>
      </c>
      <c r="C83" s="206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83" s="206">
        <f>SUM(SSum_Sun1[[#This Row],[RTA]],SSum_Mon1[[#This Row],[RTA]],SSum_Tue1[[#This Row],[RTA]],SSum_Wed1[[#This Row],[RTA]],SSum_Thu1[[#This Row],[RTA]],SSum_Fri1[[#This Row],[RTA]],SSum_Sat1[[#This Row],[RTA]])</f>
        <v>0</v>
      </c>
      <c r="E83" s="206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83" s="206">
        <f>SUM(SSum_Sun1[[#This Row],[TM]],SSum_Mon1[[#This Row],[TM]],SSum_Tue1[[#This Row],[TM]],SSum_Wed1[[#This Row],[TM]],SSum_Thu1[[#This Row],[TM]],SSum_Fri1[[#This Row],[TM]],SSum_Sat1[[#This Row],[TM]])</f>
        <v>0</v>
      </c>
      <c r="G83" s="206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83" s="206">
        <f>SUM(SSum_Sun2[[#This Row],[RTA]],SSum_Mon2[[#This Row],[RTA]],SSum_Tue2[[#This Row],[RTA]],SSum_Wed2[[#This Row],[RTA]],SSum_Thu2[[#This Row],[RTA]],SSum_Fri2[[#This Row],[RTA]],SSum_Sat2[[#This Row],[RTA]])</f>
        <v>0</v>
      </c>
      <c r="I83" s="206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83" s="206">
        <f>SUM(SSum_Sun2[[#This Row],[TM]],SSum_Mon2[[#This Row],[TM]],SSum_Tue2[[#This Row],[TM]],SSum_Wed2[[#This Row],[TM]],SSum_Thu2[[#This Row],[TM]],SSum_Fri2[[#This Row],[TM]],SSum_Sat2[[#This Row],[TM]])</f>
        <v>0</v>
      </c>
      <c r="K83" s="205"/>
      <c r="M83" s="93" t="str">
        <f>IFERROR(VLOOKUP(SupSum[[#This Row],[Supervisor]],Sun_W1[],MATCH("Help Line",Sun_W1[#Headers],0),0),"")</f>
        <v/>
      </c>
      <c r="N83" s="93" t="str">
        <f>IFERROR(VLOOKUP(SupSum[[#This Row],[Supervisor]],Sun_W1[],MATCH("RTA",Sun_W1[#Headers],0),0),"")</f>
        <v/>
      </c>
      <c r="O83" s="93" t="str">
        <f>IFERROR(VLOOKUP(SupSum[[#This Row],[Supervisor]],Sun_W1[],MATCH("Admin",Sun_W1[#Headers],0),0),"")</f>
        <v/>
      </c>
      <c r="P83" s="93" t="str">
        <f>IFERROR(VLOOKUP(SupSum[[#This Row],[Supervisor]],Sun_W1[],MATCH("Team MTG",Sun_W1[#Headers],0),0),"")</f>
        <v/>
      </c>
      <c r="R83" s="93" t="str">
        <f>IFERROR(VLOOKUP(SupSum[[#This Row],[Supervisor]],Mon_W1[],MATCH("Help Line",Mon_W1[#Headers],0),0),"")</f>
        <v/>
      </c>
      <c r="S83" s="93" t="str">
        <f>IFERROR(VLOOKUP(SupSum[[#This Row],[Supervisor]],Mon_W1[],MATCH("RTA",Mon_W1[#Headers],0),0),"")</f>
        <v/>
      </c>
      <c r="T83" s="93" t="str">
        <f>IFERROR(VLOOKUP(SupSum[[#This Row],[Supervisor]],Mon_W1[],MATCH("Admin",Mon_W1[#Headers],0),0),"")</f>
        <v/>
      </c>
      <c r="U83" s="93" t="str">
        <f>IFERROR(VLOOKUP(SupSum[[#This Row],[Supervisor]],Mon_W1[],MATCH("Team MTG",Mon_W1[#Headers],0),0),"")</f>
        <v/>
      </c>
      <c r="W83" s="93" t="str">
        <f>IFERROR(VLOOKUP(SupSum[[#This Row],[Supervisor]],Tue_W1[],MATCH("Help Line",Tue_W1[#Headers],0),0),"")</f>
        <v/>
      </c>
      <c r="X83" s="93" t="str">
        <f>IFERROR(VLOOKUP(SupSum[[#This Row],[Supervisor]],Tue_W1[],MATCH("RTA",Tue_W1[#Headers],0),0),"")</f>
        <v/>
      </c>
      <c r="Y83" s="93" t="str">
        <f>IFERROR(VLOOKUP(SupSum[[#This Row],[Supervisor]],Tue_W1[],MATCH("Admin",Tue_W1[#Headers],0),0),"")</f>
        <v/>
      </c>
      <c r="Z83" s="93" t="str">
        <f>IFERROR(VLOOKUP(SupSum[[#This Row],[Supervisor]],Tue_W1[],MATCH("Team MTG",Tue_W1[#Headers],0),0),"")</f>
        <v/>
      </c>
      <c r="AB83" s="93" t="str">
        <f>IFERROR(VLOOKUP(SupSum[[#This Row],[Supervisor]],Wed_W1[],MATCH("Help Line",Wed_W1[#Headers],0),0),"")</f>
        <v/>
      </c>
      <c r="AC83" s="93" t="str">
        <f>IFERROR(VLOOKUP(SupSum[[#This Row],[Supervisor]],Wed_W1[],MATCH("RTA",Wed_W1[#Headers],0),0),"")</f>
        <v/>
      </c>
      <c r="AD83" s="93" t="str">
        <f>IFERROR(VLOOKUP(SupSum[[#This Row],[Supervisor]],Wed_W1[],MATCH("Admin",Wed_W1[#Headers],0),0),"")</f>
        <v/>
      </c>
      <c r="AE83" s="93" t="str">
        <f>IFERROR(VLOOKUP(SupSum[[#This Row],[Supervisor]],Wed_W1[],MATCH("Team MTG",Wed_W1[#Headers],0),0),"")</f>
        <v/>
      </c>
      <c r="AG83" s="93" t="str">
        <f>IFERROR(VLOOKUP(SupSum[[#This Row],[Supervisor]],Thu_W1[],MATCH("Help Line",Thu_W1[#Headers],0),0),"")</f>
        <v/>
      </c>
      <c r="AH83" s="93" t="str">
        <f>IFERROR(VLOOKUP(SupSum[[#This Row],[Supervisor]],Thu_W1[],MATCH("RTA",Thu_W1[#Headers],0),0),"")</f>
        <v/>
      </c>
      <c r="AI83" s="93" t="str">
        <f>IFERROR(VLOOKUP(SupSum[[#This Row],[Supervisor]],Thu_W1[],MATCH("Admin",Thu_W1[#Headers],0),0),"")</f>
        <v/>
      </c>
      <c r="AJ83" s="93" t="str">
        <f>IFERROR(VLOOKUP(SupSum[[#This Row],[Supervisor]],Thu_W1[],MATCH("Team MTG",Thu_W1[#Headers],0),0),"")</f>
        <v/>
      </c>
      <c r="AL83" s="93" t="str">
        <f>IFERROR(VLOOKUP(SupSum[[#This Row],[Supervisor]],Fri_W1[],MATCH("Help Line",Fri_W1[#Headers],0),0),"")</f>
        <v/>
      </c>
      <c r="AM83" s="93" t="str">
        <f>IFERROR(VLOOKUP(SupSum[[#This Row],[Supervisor]],Fri_W1[],MATCH("RTA",Fri_W1[#Headers],0),0),"")</f>
        <v/>
      </c>
      <c r="AN83" s="93" t="str">
        <f>IFERROR(VLOOKUP(SupSum[[#This Row],[Supervisor]],Fri_W1[],MATCH("Admin",Fri_W1[#Headers],0),0),"")</f>
        <v/>
      </c>
      <c r="AO83" s="93" t="str">
        <f>IFERROR(VLOOKUP(SupSum[[#This Row],[Supervisor]],Fri_W1[],MATCH("Team MTG",Fri_W1[#Headers],0),0),"")</f>
        <v/>
      </c>
      <c r="AQ83" s="93" t="str">
        <f>IFERROR(VLOOKUP(SupSum[[#This Row],[Supervisor]],Sat_W1[],MATCH("Help Line",Sat_W1[#Headers],0),0),"")</f>
        <v/>
      </c>
      <c r="AR83" s="93" t="str">
        <f>IFERROR(VLOOKUP(SupSum[[#This Row],[Supervisor]],Sat_W1[],MATCH("RTA",Sat_W1[#Headers],0),0),"")</f>
        <v/>
      </c>
      <c r="AS83" s="93" t="str">
        <f>IFERROR(VLOOKUP(SupSum[[#This Row],[Supervisor]],Sat_W1[],MATCH("Admin",Sat_W1[#Headers],0),0),"")</f>
        <v/>
      </c>
      <c r="AT83" s="93" t="str">
        <f>IFERROR(VLOOKUP(SupSum[[#This Row],[Supervisor]],Sat_W1[],MATCH("Team MTG",Sat_W1[#Headers],0),0),"")</f>
        <v/>
      </c>
      <c r="AV83" s="93" t="str">
        <f>IFERROR(VLOOKUP(SupSum[[#This Row],[Supervisor]],Sun_W2[],MATCH("Help Line",Sun_W2[#Headers],0),0),"")</f>
        <v/>
      </c>
      <c r="AW83" s="93" t="str">
        <f>IFERROR(VLOOKUP(SupSum[[#This Row],[Supervisor]],Sun_W2[],MATCH("RTA",Sun_W2[#Headers],0),0),"")</f>
        <v/>
      </c>
      <c r="AX83" s="93" t="str">
        <f>IFERROR(VLOOKUP(SupSum[[#This Row],[Supervisor]],Sun_W2[],MATCH("Admin",Sun_W2[#Headers],0),0),"")</f>
        <v/>
      </c>
      <c r="AY83" s="93" t="str">
        <f>IFERROR(VLOOKUP(SupSum[[#This Row],[Supervisor]],Sun_W2[],MATCH("Team MTG",Sun_W2[#Headers],0),0),"")</f>
        <v/>
      </c>
      <c r="BA83" s="93" t="str">
        <f>IFERROR(VLOOKUP(SupSum[[#This Row],[Supervisor]],Mon_W2[],MATCH("Help Line",Mon_W2[#Headers],0),0),"")</f>
        <v/>
      </c>
      <c r="BB83" s="93" t="str">
        <f>IFERROR(VLOOKUP(SupSum[[#This Row],[Supervisor]],Mon_W2[],MATCH("RTA",Mon_W2[#Headers],0),0),"")</f>
        <v/>
      </c>
      <c r="BC83" s="93" t="str">
        <f>IFERROR(VLOOKUP(SupSum[[#This Row],[Supervisor]],Mon_W2[],MATCH("Admin",Mon_W2[#Headers],0),0),"")</f>
        <v/>
      </c>
      <c r="BD83" s="93" t="str">
        <f>IFERROR(VLOOKUP(SupSum[[#This Row],[Supervisor]],Mon_W2[],MATCH("Team MTG",Mon_W2[#Headers],0),0),"")</f>
        <v/>
      </c>
      <c r="BF83" s="93" t="str">
        <f>IFERROR(VLOOKUP(SupSum[[#This Row],[Supervisor]],Tue_W2[],MATCH("Help Line",Tue_W2[#Headers],0),0),"")</f>
        <v/>
      </c>
      <c r="BG83" s="93" t="str">
        <f>IFERROR(VLOOKUP(SupSum[[#This Row],[Supervisor]],Tue_W2[],MATCH("RTA",Tue_W2[#Headers],0),0),"")</f>
        <v/>
      </c>
      <c r="BH83" s="93" t="str">
        <f>IFERROR(VLOOKUP(SupSum[[#This Row],[Supervisor]],Tue_W2[],MATCH("Admin",Tue_W2[#Headers],0),0),"")</f>
        <v/>
      </c>
      <c r="BI83" s="93" t="str">
        <f>IFERROR(VLOOKUP(SupSum[[#This Row],[Supervisor]],Tue_W2[],MATCH("Team MTG",Tue_W2[#Headers],0),0),"")</f>
        <v/>
      </c>
      <c r="BK83" s="93" t="str">
        <f>IFERROR(VLOOKUP(SupSum[[#This Row],[Supervisor]],Wed_W2[],MATCH("Help Line",Wed_W2[#Headers],0),0),"")</f>
        <v/>
      </c>
      <c r="BL83" s="93" t="str">
        <f>IFERROR(VLOOKUP(SupSum[[#This Row],[Supervisor]],Wed_W2[],MATCH("RTA",Wed_W2[#Headers],0),0),"")</f>
        <v/>
      </c>
      <c r="BM83" s="93" t="str">
        <f>IFERROR(VLOOKUP(SupSum[[#This Row],[Supervisor]],Wed_W2[],MATCH("Admin",Wed_W2[#Headers],0),0),"")</f>
        <v/>
      </c>
      <c r="BN83" s="93" t="str">
        <f>IFERROR(VLOOKUP(SupSum[[#This Row],[Supervisor]],Wed_W2[],MATCH("Team MTG",Wed_W2[#Headers],0),0),"")</f>
        <v/>
      </c>
      <c r="BP83" s="93" t="str">
        <f>IFERROR(VLOOKUP(SupSum[[#This Row],[Supervisor]],Thu_W2[],MATCH("Help Line",Thu_W2[#Headers],0),0),"")</f>
        <v/>
      </c>
      <c r="BQ83" s="93" t="str">
        <f>IFERROR(VLOOKUP(SupSum[[#This Row],[Supervisor]],Thu_W2[],MATCH("RTA",Thu_W2[#Headers],0),0),"")</f>
        <v/>
      </c>
      <c r="BR83" s="93" t="str">
        <f>IFERROR(VLOOKUP(SupSum[[#This Row],[Supervisor]],Thu_W2[],MATCH("Admin",Thu_W2[#Headers],0),0),"")</f>
        <v/>
      </c>
      <c r="BS83" s="93" t="str">
        <f>IFERROR(VLOOKUP(SupSum[[#This Row],[Supervisor]],Thu_W2[],MATCH("Team MTG",Thu_W2[#Headers],0),0),"")</f>
        <v/>
      </c>
      <c r="BU83" s="93" t="str">
        <f>IFERROR(VLOOKUP(SupSum[[#This Row],[Supervisor]],Fri_W2[],MATCH("Help Line",Fri_W2[#Headers],0),0),"")</f>
        <v/>
      </c>
      <c r="BV83" s="93" t="str">
        <f>IFERROR(VLOOKUP(SupSum[[#This Row],[Supervisor]],Fri_W2[],MATCH("RTA",Fri_W2[#Headers],0),0),"")</f>
        <v/>
      </c>
      <c r="BW83" s="93" t="str">
        <f>IFERROR(VLOOKUP(SupSum[[#This Row],[Supervisor]],Fri_W2[],MATCH("Admin",Fri_W2[#Headers],0),0),"")</f>
        <v/>
      </c>
      <c r="BX83" s="93" t="str">
        <f>IFERROR(VLOOKUP(SupSum[[#This Row],[Supervisor]],Fri_W2[],MATCH("Team MTG",Fri_W2[#Headers],0),0),"")</f>
        <v/>
      </c>
      <c r="BZ83" s="93" t="str">
        <f>IFERROR(VLOOKUP(SupSum[[#This Row],[Supervisor]],Sat_W2[],MATCH("Help Line",Sat_W2[#Headers],0),0),"")</f>
        <v/>
      </c>
      <c r="CA83" s="93" t="str">
        <f>IFERROR(VLOOKUP(SupSum[[#This Row],[Supervisor]],Sat_W2[],MATCH("RTA",Sat_W2[#Headers],0),0),"")</f>
        <v/>
      </c>
      <c r="CB83" s="93" t="str">
        <f>IFERROR(VLOOKUP(SupSum[[#This Row],[Supervisor]],Sat_W2[],MATCH("Admin",Sat_W2[#Headers],0),0),"")</f>
        <v/>
      </c>
      <c r="CC83" s="93" t="str">
        <f>IFERROR(VLOOKUP(SupSum[[#This Row],[Supervisor]],Sat_W2[],MATCH("Team MTG",Sat_W2[#Headers],0),0),"")</f>
        <v/>
      </c>
    </row>
    <row r="84" spans="2:81" x14ac:dyDescent="0.2">
      <c r="B84" s="6" t="s">
        <v>71</v>
      </c>
      <c r="C84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84" s="93">
        <f>SUM(SSum_Sun1[[#This Row],[RTA]],SSum_Mon1[[#This Row],[RTA]],SSum_Tue1[[#This Row],[RTA]],SSum_Wed1[[#This Row],[RTA]],SSum_Thu1[[#This Row],[RTA]],SSum_Fri1[[#This Row],[RTA]],SSum_Sat1[[#This Row],[RTA]])</f>
        <v>0</v>
      </c>
      <c r="E84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84" s="93">
        <f>SUM(SSum_Sun1[[#This Row],[TM]],SSum_Mon1[[#This Row],[TM]],SSum_Tue1[[#This Row],[TM]],SSum_Wed1[[#This Row],[TM]],SSum_Thu1[[#This Row],[TM]],SSum_Fri1[[#This Row],[TM]],SSum_Sat1[[#This Row],[TM]])</f>
        <v>0</v>
      </c>
      <c r="G84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84" s="93">
        <f>SUM(SSum_Sun2[[#This Row],[RTA]],SSum_Mon2[[#This Row],[RTA]],SSum_Tue2[[#This Row],[RTA]],SSum_Wed2[[#This Row],[RTA]],SSum_Thu2[[#This Row],[RTA]],SSum_Fri2[[#This Row],[RTA]],SSum_Sat2[[#This Row],[RTA]])</f>
        <v>0</v>
      </c>
      <c r="I84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84" s="93">
        <f>SUM(SSum_Sun2[[#This Row],[TM]],SSum_Mon2[[#This Row],[TM]],SSum_Tue2[[#This Row],[TM]],SSum_Wed2[[#This Row],[TM]],SSum_Thu2[[#This Row],[TM]],SSum_Fri2[[#This Row],[TM]],SSum_Sat2[[#This Row],[TM]])</f>
        <v>0</v>
      </c>
      <c r="K84" s="208">
        <v>16</v>
      </c>
      <c r="M84" s="93" t="str">
        <f>IFERROR(VLOOKUP(SupSum[[#This Row],[Supervisor]],Sun_W1[],MATCH("Help Line",Sun_W1[#Headers],0),0),"")</f>
        <v/>
      </c>
      <c r="N84" s="93" t="str">
        <f>IFERROR(VLOOKUP(SupSum[[#This Row],[Supervisor]],Sun_W1[],MATCH("RTA",Sun_W1[#Headers],0),0),"")</f>
        <v/>
      </c>
      <c r="O84" s="93" t="str">
        <f>IFERROR(VLOOKUP(SupSum[[#This Row],[Supervisor]],Sun_W1[],MATCH("Admin",Sun_W1[#Headers],0),0),"")</f>
        <v/>
      </c>
      <c r="P84" s="93" t="str">
        <f>IFERROR(VLOOKUP(SupSum[[#This Row],[Supervisor]],Sun_W1[],MATCH("Team MTG",Sun_W1[#Headers],0),0),"")</f>
        <v/>
      </c>
      <c r="R84" s="93" t="str">
        <f>IFERROR(VLOOKUP(SupSum[[#This Row],[Supervisor]],Mon_W1[],MATCH("Help Line",Mon_W1[#Headers],0),0),"")</f>
        <v/>
      </c>
      <c r="S84" s="93" t="str">
        <f>IFERROR(VLOOKUP(SupSum[[#This Row],[Supervisor]],Mon_W1[],MATCH("RTA",Mon_W1[#Headers],0),0),"")</f>
        <v/>
      </c>
      <c r="T84" s="93" t="str">
        <f>IFERROR(VLOOKUP(SupSum[[#This Row],[Supervisor]],Mon_W1[],MATCH("Admin",Mon_W1[#Headers],0),0),"")</f>
        <v/>
      </c>
      <c r="U84" s="93" t="str">
        <f>IFERROR(VLOOKUP(SupSum[[#This Row],[Supervisor]],Mon_W1[],MATCH("Team MTG",Mon_W1[#Headers],0),0),"")</f>
        <v/>
      </c>
      <c r="W84" s="93" t="str">
        <f>IFERROR(VLOOKUP(SupSum[[#This Row],[Supervisor]],Tue_W1[],MATCH("Help Line",Tue_W1[#Headers],0),0),"")</f>
        <v/>
      </c>
      <c r="X84" s="93" t="str">
        <f>IFERROR(VLOOKUP(SupSum[[#This Row],[Supervisor]],Tue_W1[],MATCH("RTA",Tue_W1[#Headers],0),0),"")</f>
        <v/>
      </c>
      <c r="Y84" s="93" t="str">
        <f>IFERROR(VLOOKUP(SupSum[[#This Row],[Supervisor]],Tue_W1[],MATCH("Admin",Tue_W1[#Headers],0),0),"")</f>
        <v/>
      </c>
      <c r="Z84" s="93" t="str">
        <f>IFERROR(VLOOKUP(SupSum[[#This Row],[Supervisor]],Tue_W1[],MATCH("Team MTG",Tue_W1[#Headers],0),0),"")</f>
        <v/>
      </c>
      <c r="AB84" s="93" t="str">
        <f>IFERROR(VLOOKUP(SupSum[[#This Row],[Supervisor]],Wed_W1[],MATCH("Help Line",Wed_W1[#Headers],0),0),"")</f>
        <v/>
      </c>
      <c r="AC84" s="93" t="str">
        <f>IFERROR(VLOOKUP(SupSum[[#This Row],[Supervisor]],Wed_W1[],MATCH("RTA",Wed_W1[#Headers],0),0),"")</f>
        <v/>
      </c>
      <c r="AD84" s="93" t="str">
        <f>IFERROR(VLOOKUP(SupSum[[#This Row],[Supervisor]],Wed_W1[],MATCH("Admin",Wed_W1[#Headers],0),0),"")</f>
        <v/>
      </c>
      <c r="AE84" s="93" t="str">
        <f>IFERROR(VLOOKUP(SupSum[[#This Row],[Supervisor]],Wed_W1[],MATCH("Team MTG",Wed_W1[#Headers],0),0),"")</f>
        <v/>
      </c>
      <c r="AG84" s="93" t="str">
        <f>IFERROR(VLOOKUP(SupSum[[#This Row],[Supervisor]],Thu_W1[],MATCH("Help Line",Thu_W1[#Headers],0),0),"")</f>
        <v/>
      </c>
      <c r="AH84" s="93" t="str">
        <f>IFERROR(VLOOKUP(SupSum[[#This Row],[Supervisor]],Thu_W1[],MATCH("RTA",Thu_W1[#Headers],0),0),"")</f>
        <v/>
      </c>
      <c r="AI84" s="93" t="str">
        <f>IFERROR(VLOOKUP(SupSum[[#This Row],[Supervisor]],Thu_W1[],MATCH("Admin",Thu_W1[#Headers],0),0),"")</f>
        <v/>
      </c>
      <c r="AJ84" s="93" t="str">
        <f>IFERROR(VLOOKUP(SupSum[[#This Row],[Supervisor]],Thu_W1[],MATCH("Team MTG",Thu_W1[#Headers],0),0),"")</f>
        <v/>
      </c>
      <c r="AL84" s="93" t="str">
        <f>IFERROR(VLOOKUP(SupSum[[#This Row],[Supervisor]],Fri_W1[],MATCH("Help Line",Fri_W1[#Headers],0),0),"")</f>
        <v/>
      </c>
      <c r="AM84" s="93" t="str">
        <f>IFERROR(VLOOKUP(SupSum[[#This Row],[Supervisor]],Fri_W1[],MATCH("RTA",Fri_W1[#Headers],0),0),"")</f>
        <v/>
      </c>
      <c r="AN84" s="93" t="str">
        <f>IFERROR(VLOOKUP(SupSum[[#This Row],[Supervisor]],Fri_W1[],MATCH("Admin",Fri_W1[#Headers],0),0),"")</f>
        <v/>
      </c>
      <c r="AO84" s="93" t="str">
        <f>IFERROR(VLOOKUP(SupSum[[#This Row],[Supervisor]],Fri_W1[],MATCH("Team MTG",Fri_W1[#Headers],0),0),"")</f>
        <v/>
      </c>
      <c r="AQ84" s="93" t="str">
        <f>IFERROR(VLOOKUP(SupSum[[#This Row],[Supervisor]],Sat_W1[],MATCH("Help Line",Sat_W1[#Headers],0),0),"")</f>
        <v/>
      </c>
      <c r="AR84" s="93" t="str">
        <f>IFERROR(VLOOKUP(SupSum[[#This Row],[Supervisor]],Sat_W1[],MATCH("RTA",Sat_W1[#Headers],0),0),"")</f>
        <v/>
      </c>
      <c r="AS84" s="93" t="str">
        <f>IFERROR(VLOOKUP(SupSum[[#This Row],[Supervisor]],Sat_W1[],MATCH("Admin",Sat_W1[#Headers],0),0),"")</f>
        <v/>
      </c>
      <c r="AT84" s="93" t="str">
        <f>IFERROR(VLOOKUP(SupSum[[#This Row],[Supervisor]],Sat_W1[],MATCH("Team MTG",Sat_W1[#Headers],0),0),"")</f>
        <v/>
      </c>
      <c r="AV84" s="93" t="str">
        <f>IFERROR(VLOOKUP(SupSum[[#This Row],[Supervisor]],Sun_W2[],MATCH("Help Line",Sun_W2[#Headers],0),0),"")</f>
        <v/>
      </c>
      <c r="AW84" s="93" t="str">
        <f>IFERROR(VLOOKUP(SupSum[[#This Row],[Supervisor]],Sun_W2[],MATCH("RTA",Sun_W2[#Headers],0),0),"")</f>
        <v/>
      </c>
      <c r="AX84" s="93" t="str">
        <f>IFERROR(VLOOKUP(SupSum[[#This Row],[Supervisor]],Sun_W2[],MATCH("Admin",Sun_W2[#Headers],0),0),"")</f>
        <v/>
      </c>
      <c r="AY84" s="93" t="str">
        <f>IFERROR(VLOOKUP(SupSum[[#This Row],[Supervisor]],Sun_W2[],MATCH("Team MTG",Sun_W2[#Headers],0),0),"")</f>
        <v/>
      </c>
      <c r="BA84" s="93" t="str">
        <f>IFERROR(VLOOKUP(SupSum[[#This Row],[Supervisor]],Mon_W2[],MATCH("Help Line",Mon_W2[#Headers],0),0),"")</f>
        <v/>
      </c>
      <c r="BB84" s="93" t="str">
        <f>IFERROR(VLOOKUP(SupSum[[#This Row],[Supervisor]],Mon_W2[],MATCH("RTA",Mon_W2[#Headers],0),0),"")</f>
        <v/>
      </c>
      <c r="BC84" s="93" t="str">
        <f>IFERROR(VLOOKUP(SupSum[[#This Row],[Supervisor]],Mon_W2[],MATCH("Admin",Mon_W2[#Headers],0),0),"")</f>
        <v/>
      </c>
      <c r="BD84" s="93" t="str">
        <f>IFERROR(VLOOKUP(SupSum[[#This Row],[Supervisor]],Mon_W2[],MATCH("Team MTG",Mon_W2[#Headers],0),0),"")</f>
        <v/>
      </c>
      <c r="BF84" s="93" t="str">
        <f>IFERROR(VLOOKUP(SupSum[[#This Row],[Supervisor]],Tue_W2[],MATCH("Help Line",Tue_W2[#Headers],0),0),"")</f>
        <v/>
      </c>
      <c r="BG84" s="93" t="str">
        <f>IFERROR(VLOOKUP(SupSum[[#This Row],[Supervisor]],Tue_W2[],MATCH("RTA",Tue_W2[#Headers],0),0),"")</f>
        <v/>
      </c>
      <c r="BH84" s="93" t="str">
        <f>IFERROR(VLOOKUP(SupSum[[#This Row],[Supervisor]],Tue_W2[],MATCH("Admin",Tue_W2[#Headers],0),0),"")</f>
        <v/>
      </c>
      <c r="BI84" s="93" t="str">
        <f>IFERROR(VLOOKUP(SupSum[[#This Row],[Supervisor]],Tue_W2[],MATCH("Team MTG",Tue_W2[#Headers],0),0),"")</f>
        <v/>
      </c>
      <c r="BK84" s="93" t="str">
        <f>IFERROR(VLOOKUP(SupSum[[#This Row],[Supervisor]],Wed_W2[],MATCH("Help Line",Wed_W2[#Headers],0),0),"")</f>
        <v/>
      </c>
      <c r="BL84" s="93" t="str">
        <f>IFERROR(VLOOKUP(SupSum[[#This Row],[Supervisor]],Wed_W2[],MATCH("RTA",Wed_W2[#Headers],0),0),"")</f>
        <v/>
      </c>
      <c r="BM84" s="93" t="str">
        <f>IFERROR(VLOOKUP(SupSum[[#This Row],[Supervisor]],Wed_W2[],MATCH("Admin",Wed_W2[#Headers],0),0),"")</f>
        <v/>
      </c>
      <c r="BN84" s="93" t="str">
        <f>IFERROR(VLOOKUP(SupSum[[#This Row],[Supervisor]],Wed_W2[],MATCH("Team MTG",Wed_W2[#Headers],0),0),"")</f>
        <v/>
      </c>
      <c r="BP84" s="93" t="str">
        <f>IFERROR(VLOOKUP(SupSum[[#This Row],[Supervisor]],Thu_W2[],MATCH("Help Line",Thu_W2[#Headers],0),0),"")</f>
        <v/>
      </c>
      <c r="BQ84" s="93" t="str">
        <f>IFERROR(VLOOKUP(SupSum[[#This Row],[Supervisor]],Thu_W2[],MATCH("RTA",Thu_W2[#Headers],0),0),"")</f>
        <v/>
      </c>
      <c r="BR84" s="93" t="str">
        <f>IFERROR(VLOOKUP(SupSum[[#This Row],[Supervisor]],Thu_W2[],MATCH("Admin",Thu_W2[#Headers],0),0),"")</f>
        <v/>
      </c>
      <c r="BS84" s="93" t="str">
        <f>IFERROR(VLOOKUP(SupSum[[#This Row],[Supervisor]],Thu_W2[],MATCH("Team MTG",Thu_W2[#Headers],0),0),"")</f>
        <v/>
      </c>
      <c r="BU84" s="93" t="str">
        <f>IFERROR(VLOOKUP(SupSum[[#This Row],[Supervisor]],Fri_W2[],MATCH("Help Line",Fri_W2[#Headers],0),0),"")</f>
        <v/>
      </c>
      <c r="BV84" s="93" t="str">
        <f>IFERROR(VLOOKUP(SupSum[[#This Row],[Supervisor]],Fri_W2[],MATCH("RTA",Fri_W2[#Headers],0),0),"")</f>
        <v/>
      </c>
      <c r="BW84" s="93" t="str">
        <f>IFERROR(VLOOKUP(SupSum[[#This Row],[Supervisor]],Fri_W2[],MATCH("Admin",Fri_W2[#Headers],0),0),"")</f>
        <v/>
      </c>
      <c r="BX84" s="93" t="str">
        <f>IFERROR(VLOOKUP(SupSum[[#This Row],[Supervisor]],Fri_W2[],MATCH("Team MTG",Fri_W2[#Headers],0),0),"")</f>
        <v/>
      </c>
      <c r="BZ84" s="93" t="str">
        <f>IFERROR(VLOOKUP(SupSum[[#This Row],[Supervisor]],Sat_W2[],MATCH("Help Line",Sat_W2[#Headers],0),0),"")</f>
        <v/>
      </c>
      <c r="CA84" s="93" t="str">
        <f>IFERROR(VLOOKUP(SupSum[[#This Row],[Supervisor]],Sat_W2[],MATCH("RTA",Sat_W2[#Headers],0),0),"")</f>
        <v/>
      </c>
      <c r="CB84" s="93" t="str">
        <f>IFERROR(VLOOKUP(SupSum[[#This Row],[Supervisor]],Sat_W2[],MATCH("Admin",Sat_W2[#Headers],0),0),"")</f>
        <v/>
      </c>
      <c r="CC84" s="93" t="str">
        <f>IFERROR(VLOOKUP(SupSum[[#This Row],[Supervisor]],Sat_W2[],MATCH("Team MTG",Sat_W2[#Headers],0),0),"")</f>
        <v/>
      </c>
    </row>
    <row r="85" spans="2:81" x14ac:dyDescent="0.2">
      <c r="B85" s="6" t="s">
        <v>52</v>
      </c>
      <c r="C85" s="93">
        <f>SUM(SSum_Sun1[[#This Row],[Help Line]],SSum_Mon1[[#This Row],[Help Line]],SSum_Tue1[[#This Row],[Help Line]],SSum_Wed1[[#This Row],[Help Line]],SSum_Thu1[[#This Row],[Help Line]],SSum_Fri1[[#This Row],[Help Line]],SSum_Sat1[[#This Row],[Help Line]])</f>
        <v>0</v>
      </c>
      <c r="D85" s="93">
        <f>SUM(SSum_Sun1[[#This Row],[RTA]],SSum_Mon1[[#This Row],[RTA]],SSum_Tue1[[#This Row],[RTA]],SSum_Wed1[[#This Row],[RTA]],SSum_Thu1[[#This Row],[RTA]],SSum_Fri1[[#This Row],[RTA]],SSum_Sat1[[#This Row],[RTA]])</f>
        <v>0</v>
      </c>
      <c r="E85" s="93">
        <f>SUM(SSum_Sun1[[#This Row],[Admin]],SSum_Mon1[[#This Row],[Admin]],SSum_Tue1[[#This Row],[Admin]],SSum_Wed1[[#This Row],[Admin]],SSum_Thu1[[#This Row],[Admin]],SSum_Fri1[[#This Row],[Admin]],SSum_Sat1[[#This Row],[Admin]])</f>
        <v>0</v>
      </c>
      <c r="F85" s="93">
        <f>SUM(SSum_Sun1[[#This Row],[TM]],SSum_Mon1[[#This Row],[TM]],SSum_Tue1[[#This Row],[TM]],SSum_Wed1[[#This Row],[TM]],SSum_Thu1[[#This Row],[TM]],SSum_Fri1[[#This Row],[TM]],SSum_Sat1[[#This Row],[TM]])</f>
        <v>0</v>
      </c>
      <c r="G85" s="93">
        <f>SUM(SSum_Sun2[[#This Row],[Help Line]],SSum_Mon2[[#This Row],[Help Line]],SSum_Tue2[[#This Row],[Help Line]],SSum_Wed2[[#This Row],[Help Line]],SSum_Thu2[[#This Row],[Help Line]],SSum_Fri2[[#This Row],[Help Line]],SSum_Sat2[[#This Row],[Help Line]])</f>
        <v>0</v>
      </c>
      <c r="H85" s="93">
        <f>SUM(SSum_Sun2[[#This Row],[RTA]],SSum_Mon2[[#This Row],[RTA]],SSum_Tue2[[#This Row],[RTA]],SSum_Wed2[[#This Row],[RTA]],SSum_Thu2[[#This Row],[RTA]],SSum_Fri2[[#This Row],[RTA]],SSum_Sat2[[#This Row],[RTA]])</f>
        <v>0</v>
      </c>
      <c r="I85" s="93">
        <f>SUM(SSum_Sun2[[#This Row],[Admin]],SSum_Mon2[[#This Row],[Admin]],SSum_Tue2[[#This Row],[Admin]],SSum_Wed2[[#This Row],[Admin]],SSum_Thu2[[#This Row],[Admin]],SSum_Fri2[[#This Row],[Admin]],SSum_Sat2[[#This Row],[Admin]])</f>
        <v>0</v>
      </c>
      <c r="J85" s="93">
        <f>SUM(SSum_Sun2[[#This Row],[TM]],SSum_Mon2[[#This Row],[TM]],SSum_Tue2[[#This Row],[TM]],SSum_Wed2[[#This Row],[TM]],SSum_Thu2[[#This Row],[TM]],SSum_Fri2[[#This Row],[TM]],SSum_Sat2[[#This Row],[TM]])</f>
        <v>0</v>
      </c>
      <c r="K85" s="208">
        <v>14</v>
      </c>
      <c r="M85" s="93">
        <f>IFERROR(VLOOKUP(SupSum[[#This Row],[Supervisor]],Sun_W1[],MATCH("Help Line",Sun_W1[#Headers],0),0),"")</f>
        <v>0</v>
      </c>
      <c r="N85" s="93">
        <f>IFERROR(VLOOKUP(SupSum[[#This Row],[Supervisor]],Sun_W1[],MATCH("RTA",Sun_W1[#Headers],0),0),"")</f>
        <v>0</v>
      </c>
      <c r="O85" s="93">
        <f>IFERROR(VLOOKUP(SupSum[[#This Row],[Supervisor]],Sun_W1[],MATCH("Admin",Sun_W1[#Headers],0),0),"")</f>
        <v>0</v>
      </c>
      <c r="P85" s="93" t="str">
        <f>IFERROR(VLOOKUP(SupSum[[#This Row],[Supervisor]],Sun_W1[],MATCH("Team MTG",Sun_W1[#Headers],0),0),"")</f>
        <v/>
      </c>
      <c r="R85" s="93">
        <f>IFERROR(VLOOKUP(SupSum[[#This Row],[Supervisor]],Mon_W1[],MATCH("Help Line",Mon_W1[#Headers],0),0),"")</f>
        <v>0</v>
      </c>
      <c r="S85" s="93">
        <f>IFERROR(VLOOKUP(SupSum[[#This Row],[Supervisor]],Mon_W1[],MATCH("RTA",Mon_W1[#Headers],0),0),"")</f>
        <v>0</v>
      </c>
      <c r="T85" s="93">
        <f>IFERROR(VLOOKUP(SupSum[[#This Row],[Supervisor]],Mon_W1[],MATCH("Admin",Mon_W1[#Headers],0),0),"")</f>
        <v>0</v>
      </c>
      <c r="U85" s="93" t="str">
        <f>IFERROR(VLOOKUP(SupSum[[#This Row],[Supervisor]],Mon_W1[],MATCH("Team MTG",Mon_W1[#Headers],0),0),"")</f>
        <v/>
      </c>
      <c r="W85" s="93">
        <f>IFERROR(VLOOKUP(SupSum[[#This Row],[Supervisor]],Tue_W1[],MATCH("Help Line",Tue_W1[#Headers],0),0),"")</f>
        <v>0</v>
      </c>
      <c r="X85" s="93">
        <f>IFERROR(VLOOKUP(SupSum[[#This Row],[Supervisor]],Tue_W1[],MATCH("RTA",Tue_W1[#Headers],0),0),"")</f>
        <v>0</v>
      </c>
      <c r="Y85" s="93">
        <f>IFERROR(VLOOKUP(SupSum[[#This Row],[Supervisor]],Tue_W1[],MATCH("Admin",Tue_W1[#Headers],0),0),"")</f>
        <v>0</v>
      </c>
      <c r="Z85" s="93" t="str">
        <f>IFERROR(VLOOKUP(SupSum[[#This Row],[Supervisor]],Tue_W1[],MATCH("Team MTG",Tue_W1[#Headers],0),0),"")</f>
        <v/>
      </c>
      <c r="AB85" s="93">
        <f>IFERROR(VLOOKUP(SupSum[[#This Row],[Supervisor]],Wed_W1[],MATCH("Help Line",Wed_W1[#Headers],0),0),"")</f>
        <v>0</v>
      </c>
      <c r="AC85" s="93">
        <f>IFERROR(VLOOKUP(SupSum[[#This Row],[Supervisor]],Wed_W1[],MATCH("RTA",Wed_W1[#Headers],0),0),"")</f>
        <v>0</v>
      </c>
      <c r="AD85" s="93">
        <f>IFERROR(VLOOKUP(SupSum[[#This Row],[Supervisor]],Wed_W1[],MATCH("Admin",Wed_W1[#Headers],0),0),"")</f>
        <v>0</v>
      </c>
      <c r="AE85" s="93" t="str">
        <f>IFERROR(VLOOKUP(SupSum[[#This Row],[Supervisor]],Wed_W1[],MATCH("Team MTG",Wed_W1[#Headers],0),0),"")</f>
        <v/>
      </c>
      <c r="AG85" s="93">
        <f>IFERROR(VLOOKUP(SupSum[[#This Row],[Supervisor]],Thu_W1[],MATCH("Help Line",Thu_W1[#Headers],0),0),"")</f>
        <v>0</v>
      </c>
      <c r="AH85" s="93">
        <f>IFERROR(VLOOKUP(SupSum[[#This Row],[Supervisor]],Thu_W1[],MATCH("RTA",Thu_W1[#Headers],0),0),"")</f>
        <v>0</v>
      </c>
      <c r="AI85" s="93">
        <f>IFERROR(VLOOKUP(SupSum[[#This Row],[Supervisor]],Thu_W1[],MATCH("Admin",Thu_W1[#Headers],0),0),"")</f>
        <v>0</v>
      </c>
      <c r="AJ85" s="93" t="str">
        <f>IFERROR(VLOOKUP(SupSum[[#This Row],[Supervisor]],Thu_W1[],MATCH("Team MTG",Thu_W1[#Headers],0),0),"")</f>
        <v/>
      </c>
      <c r="AL85" s="93" t="str">
        <f>IFERROR(VLOOKUP(SupSum[[#This Row],[Supervisor]],Fri_W1[],MATCH("Help Line",Fri_W1[#Headers],0),0),"")</f>
        <v/>
      </c>
      <c r="AM85" s="93" t="str">
        <f>IFERROR(VLOOKUP(SupSum[[#This Row],[Supervisor]],Fri_W1[],MATCH("RTA",Fri_W1[#Headers],0),0),"")</f>
        <v/>
      </c>
      <c r="AN85" s="93" t="str">
        <f>IFERROR(VLOOKUP(SupSum[[#This Row],[Supervisor]],Fri_W1[],MATCH("Admin",Fri_W1[#Headers],0),0),"")</f>
        <v/>
      </c>
      <c r="AO85" s="93" t="str">
        <f>IFERROR(VLOOKUP(SupSum[[#This Row],[Supervisor]],Fri_W1[],MATCH("Team MTG",Fri_W1[#Headers],0),0),"")</f>
        <v/>
      </c>
      <c r="AQ85" s="93" t="str">
        <f>IFERROR(VLOOKUP(SupSum[[#This Row],[Supervisor]],Sat_W1[],MATCH("Help Line",Sat_W1[#Headers],0),0),"")</f>
        <v/>
      </c>
      <c r="AR85" s="93" t="str">
        <f>IFERROR(VLOOKUP(SupSum[[#This Row],[Supervisor]],Sat_W1[],MATCH("RTA",Sat_W1[#Headers],0),0),"")</f>
        <v/>
      </c>
      <c r="AS85" s="93" t="str">
        <f>IFERROR(VLOOKUP(SupSum[[#This Row],[Supervisor]],Sat_W1[],MATCH("Admin",Sat_W1[#Headers],0),0),"")</f>
        <v/>
      </c>
      <c r="AT85" s="93" t="str">
        <f>IFERROR(VLOOKUP(SupSum[[#This Row],[Supervisor]],Sat_W1[],MATCH("Team MTG",Sat_W1[#Headers],0),0),"")</f>
        <v/>
      </c>
      <c r="AV85" s="93">
        <f>IFERROR(VLOOKUP(SupSum[[#This Row],[Supervisor]],Sun_W2[],MATCH("Help Line",Sun_W2[#Headers],0),0),"")</f>
        <v>0</v>
      </c>
      <c r="AW85" s="93">
        <f>IFERROR(VLOOKUP(SupSum[[#This Row],[Supervisor]],Sun_W2[],MATCH("RTA",Sun_W2[#Headers],0),0),"")</f>
        <v>0</v>
      </c>
      <c r="AX85" s="93">
        <f>IFERROR(VLOOKUP(SupSum[[#This Row],[Supervisor]],Sun_W2[],MATCH("Admin",Sun_W2[#Headers],0),0),"")</f>
        <v>0</v>
      </c>
      <c r="AY85" s="93" t="str">
        <f>IFERROR(VLOOKUP(SupSum[[#This Row],[Supervisor]],Sun_W2[],MATCH("Team MTG",Sun_W2[#Headers],0),0),"")</f>
        <v/>
      </c>
      <c r="BA85" s="93">
        <f>IFERROR(VLOOKUP(SupSum[[#This Row],[Supervisor]],Mon_W2[],MATCH("Help Line",Mon_W2[#Headers],0),0),"")</f>
        <v>0</v>
      </c>
      <c r="BB85" s="93">
        <f>IFERROR(VLOOKUP(SupSum[[#This Row],[Supervisor]],Mon_W2[],MATCH("RTA",Mon_W2[#Headers],0),0),"")</f>
        <v>0</v>
      </c>
      <c r="BC85" s="93">
        <f>IFERROR(VLOOKUP(SupSum[[#This Row],[Supervisor]],Mon_W2[],MATCH("Admin",Mon_W2[#Headers],0),0),"")</f>
        <v>0</v>
      </c>
      <c r="BD85" s="93" t="str">
        <f>IFERROR(VLOOKUP(SupSum[[#This Row],[Supervisor]],Mon_W2[],MATCH("Team MTG",Mon_W2[#Headers],0),0),"")</f>
        <v/>
      </c>
      <c r="BF85" s="93">
        <f>IFERROR(VLOOKUP(SupSum[[#This Row],[Supervisor]],Tue_W2[],MATCH("Help Line",Tue_W2[#Headers],0),0),"")</f>
        <v>0</v>
      </c>
      <c r="BG85" s="93">
        <f>IFERROR(VLOOKUP(SupSum[[#This Row],[Supervisor]],Tue_W2[],MATCH("RTA",Tue_W2[#Headers],0),0),"")</f>
        <v>0</v>
      </c>
      <c r="BH85" s="93">
        <f>IFERROR(VLOOKUP(SupSum[[#This Row],[Supervisor]],Tue_W2[],MATCH("Admin",Tue_W2[#Headers],0),0),"")</f>
        <v>0</v>
      </c>
      <c r="BI85" s="93" t="str">
        <f>IFERROR(VLOOKUP(SupSum[[#This Row],[Supervisor]],Tue_W2[],MATCH("Team MTG",Tue_W2[#Headers],0),0),"")</f>
        <v/>
      </c>
      <c r="BK85" s="93">
        <f>IFERROR(VLOOKUP(SupSum[[#This Row],[Supervisor]],Wed_W2[],MATCH("Help Line",Wed_W2[#Headers],0),0),"")</f>
        <v>0</v>
      </c>
      <c r="BL85" s="93">
        <f>IFERROR(VLOOKUP(SupSum[[#This Row],[Supervisor]],Wed_W2[],MATCH("RTA",Wed_W2[#Headers],0),0),"")</f>
        <v>0</v>
      </c>
      <c r="BM85" s="93">
        <f>IFERROR(VLOOKUP(SupSum[[#This Row],[Supervisor]],Wed_W2[],MATCH("Admin",Wed_W2[#Headers],0),0),"")</f>
        <v>0</v>
      </c>
      <c r="BN85" s="93" t="str">
        <f>IFERROR(VLOOKUP(SupSum[[#This Row],[Supervisor]],Wed_W2[],MATCH("Team MTG",Wed_W2[#Headers],0),0),"")</f>
        <v/>
      </c>
      <c r="BP85" s="93">
        <f>IFERROR(VLOOKUP(SupSum[[#This Row],[Supervisor]],Thu_W2[],MATCH("Help Line",Thu_W2[#Headers],0),0),"")</f>
        <v>0</v>
      </c>
      <c r="BQ85" s="93">
        <f>IFERROR(VLOOKUP(SupSum[[#This Row],[Supervisor]],Thu_W2[],MATCH("RTA",Thu_W2[#Headers],0),0),"")</f>
        <v>0</v>
      </c>
      <c r="BR85" s="93">
        <f>IFERROR(VLOOKUP(SupSum[[#This Row],[Supervisor]],Thu_W2[],MATCH("Admin",Thu_W2[#Headers],0),0),"")</f>
        <v>0</v>
      </c>
      <c r="BS85" s="93" t="str">
        <f>IFERROR(VLOOKUP(SupSum[[#This Row],[Supervisor]],Thu_W2[],MATCH("Team MTG",Thu_W2[#Headers],0),0),"")</f>
        <v/>
      </c>
      <c r="BU85" s="93" t="str">
        <f>IFERROR(VLOOKUP(SupSum[[#This Row],[Supervisor]],Fri_W2[],MATCH("Help Line",Fri_W2[#Headers],0),0),"")</f>
        <v/>
      </c>
      <c r="BV85" s="93" t="str">
        <f>IFERROR(VLOOKUP(SupSum[[#This Row],[Supervisor]],Fri_W2[],MATCH("RTA",Fri_W2[#Headers],0),0),"")</f>
        <v/>
      </c>
      <c r="BW85" s="93" t="str">
        <f>IFERROR(VLOOKUP(SupSum[[#This Row],[Supervisor]],Fri_W2[],MATCH("Admin",Fri_W2[#Headers],0),0),"")</f>
        <v/>
      </c>
      <c r="BX85" s="93" t="str">
        <f>IFERROR(VLOOKUP(SupSum[[#This Row],[Supervisor]],Fri_W2[],MATCH("Team MTG",Fri_W2[#Headers],0),0),"")</f>
        <v/>
      </c>
      <c r="BZ85" s="93" t="str">
        <f>IFERROR(VLOOKUP(SupSum[[#This Row],[Supervisor]],Sat_W2[],MATCH("Help Line",Sat_W2[#Headers],0),0),"")</f>
        <v/>
      </c>
      <c r="CA85" s="93" t="str">
        <f>IFERROR(VLOOKUP(SupSum[[#This Row],[Supervisor]],Sat_W2[],MATCH("RTA",Sat_W2[#Headers],0),0),"")</f>
        <v/>
      </c>
      <c r="CB85" s="93" t="str">
        <f>IFERROR(VLOOKUP(SupSum[[#This Row],[Supervisor]],Sat_W2[],MATCH("Admin",Sat_W2[#Headers],0),0),"")</f>
        <v/>
      </c>
      <c r="CC85" s="93" t="str">
        <f>IFERROR(VLOOKUP(SupSum[[#This Row],[Supervisor]],Sat_W2[],MATCH("Team MTG",Sat_W2[#Headers],0),0),"")</f>
        <v/>
      </c>
    </row>
  </sheetData>
  <sheetProtection autoFilter="0"/>
  <mergeCells count="30">
    <mergeCell ref="BZ2:CC2"/>
    <mergeCell ref="BU2:BX2"/>
    <mergeCell ref="BP2:BS2"/>
    <mergeCell ref="BK2:BN2"/>
    <mergeCell ref="BF2:BI2"/>
    <mergeCell ref="W45:Z45"/>
    <mergeCell ref="BA2:BD2"/>
    <mergeCell ref="AL2:AO2"/>
    <mergeCell ref="AG2:AJ2"/>
    <mergeCell ref="AB2:AE2"/>
    <mergeCell ref="W2:Z2"/>
    <mergeCell ref="BA45:BD45"/>
    <mergeCell ref="AB45:AE45"/>
    <mergeCell ref="AG45:AJ45"/>
    <mergeCell ref="AL45:AO45"/>
    <mergeCell ref="AV2:AY2"/>
    <mergeCell ref="AQ2:AT2"/>
    <mergeCell ref="AV45:AY45"/>
    <mergeCell ref="AQ45:AT45"/>
    <mergeCell ref="R2:U2"/>
    <mergeCell ref="M2:P2"/>
    <mergeCell ref="B45:J45"/>
    <mergeCell ref="M45:P45"/>
    <mergeCell ref="R45:U45"/>
    <mergeCell ref="B2:J2"/>
    <mergeCell ref="BZ45:CC45"/>
    <mergeCell ref="BU45:BX45"/>
    <mergeCell ref="BP45:BS45"/>
    <mergeCell ref="BK45:BN45"/>
    <mergeCell ref="BF45:BI45"/>
  </mergeCells>
  <conditionalFormatting sqref="A5:A43">
    <cfRule type="cellIs" dxfId="737" priority="56" operator="lessThan">
      <formula>60</formula>
    </cfRule>
    <cfRule type="cellIs" dxfId="736" priority="57" operator="equal">
      <formula>60</formula>
    </cfRule>
    <cfRule type="cellIs" dxfId="735" priority="58" operator="greaterThan">
      <formula>60</formula>
    </cfRule>
  </conditionalFormatting>
  <conditionalFormatting sqref="K5:K43">
    <cfRule type="cellIs" dxfId="734" priority="53" operator="lessThan">
      <formula>60</formula>
    </cfRule>
    <cfRule type="cellIs" dxfId="733" priority="54" operator="equal">
      <formula>60</formula>
    </cfRule>
    <cfRule type="cellIs" dxfId="732" priority="55" operator="greaterThan">
      <formula>60</formula>
    </cfRule>
  </conditionalFormatting>
  <conditionalFormatting sqref="G48:G72 G74:G85">
    <cfRule type="cellIs" dxfId="731" priority="35" operator="greaterThan">
      <formula>16</formula>
    </cfRule>
    <cfRule type="cellIs" dxfId="730" priority="36" operator="equal">
      <formula>16</formula>
    </cfRule>
    <cfRule type="cellIs" dxfId="729" priority="50" operator="lessThan">
      <formula>20</formula>
    </cfRule>
    <cfRule type="cellIs" dxfId="728" priority="51" operator="equal">
      <formula>20</formula>
    </cfRule>
    <cfRule type="cellIs" dxfId="727" priority="52" operator="greaterThan">
      <formula>20</formula>
    </cfRule>
  </conditionalFormatting>
  <conditionalFormatting sqref="H48:H85">
    <cfRule type="cellIs" dxfId="726" priority="46" operator="equal">
      <formula>6</formula>
    </cfRule>
    <cfRule type="cellIs" dxfId="725" priority="47" operator="greaterThan">
      <formula>6</formula>
    </cfRule>
  </conditionalFormatting>
  <conditionalFormatting sqref="D48:D85">
    <cfRule type="cellIs" dxfId="724" priority="33" operator="greaterThan">
      <formula>7.5</formula>
    </cfRule>
    <cfRule type="cellIs" dxfId="723" priority="34" operator="equal">
      <formula>7</formula>
    </cfRule>
  </conditionalFormatting>
  <conditionalFormatting sqref="E48:E85">
    <cfRule type="cellIs" dxfId="722" priority="31" operator="greaterThan">
      <formula>4.5</formula>
    </cfRule>
    <cfRule type="cellIs" dxfId="721" priority="32" operator="equal">
      <formula>4</formula>
    </cfRule>
  </conditionalFormatting>
  <conditionalFormatting sqref="C48">
    <cfRule type="expression" dxfId="720" priority="29">
      <formula>$C$48&gt;$K$48</formula>
    </cfRule>
  </conditionalFormatting>
  <conditionalFormatting sqref="C49">
    <cfRule type="expression" dxfId="719" priority="28">
      <formula>$C$49&gt;$K$49</formula>
    </cfRule>
  </conditionalFormatting>
  <conditionalFormatting sqref="C50">
    <cfRule type="expression" dxfId="718" priority="26">
      <formula>$C$50&gt;$K$50</formula>
    </cfRule>
  </conditionalFormatting>
  <conditionalFormatting sqref="C51">
    <cfRule type="expression" dxfId="717" priority="25">
      <formula>$C$51&gt;$K$51</formula>
    </cfRule>
  </conditionalFormatting>
  <conditionalFormatting sqref="C52">
    <cfRule type="expression" dxfId="716" priority="24">
      <formula>$C$52&gt;$K$52</formula>
    </cfRule>
  </conditionalFormatting>
  <conditionalFormatting sqref="C53">
    <cfRule type="expression" dxfId="715" priority="23">
      <formula>$C$53&gt;$K$53</formula>
    </cfRule>
  </conditionalFormatting>
  <conditionalFormatting sqref="C54">
    <cfRule type="expression" dxfId="714" priority="22">
      <formula>$C$54&gt;$K$54</formula>
    </cfRule>
  </conditionalFormatting>
  <conditionalFormatting sqref="C56">
    <cfRule type="expression" dxfId="713" priority="21">
      <formula>$C$56&gt;$K$56</formula>
    </cfRule>
  </conditionalFormatting>
  <conditionalFormatting sqref="C57">
    <cfRule type="expression" dxfId="712" priority="20">
      <formula>$C$57&gt;$K$57</formula>
    </cfRule>
  </conditionalFormatting>
  <conditionalFormatting sqref="C59">
    <cfRule type="expression" dxfId="711" priority="19">
      <formula>$C$59&gt;$K$59</formula>
    </cfRule>
  </conditionalFormatting>
  <conditionalFormatting sqref="C60">
    <cfRule type="expression" dxfId="710" priority="18">
      <formula>$C$60&gt;$K$60</formula>
    </cfRule>
  </conditionalFormatting>
  <conditionalFormatting sqref="C63">
    <cfRule type="expression" dxfId="709" priority="17">
      <formula>$C$63&gt;$K$63</formula>
    </cfRule>
  </conditionalFormatting>
  <conditionalFormatting sqref="C64">
    <cfRule type="expression" dxfId="708" priority="16">
      <formula>$C$64&gt;$K$64</formula>
    </cfRule>
  </conditionalFormatting>
  <conditionalFormatting sqref="C65">
    <cfRule type="expression" dxfId="707" priority="15">
      <formula>$C$65&gt;$K$65</formula>
    </cfRule>
  </conditionalFormatting>
  <conditionalFormatting sqref="C66">
    <cfRule type="expression" dxfId="706" priority="14">
      <formula>$C$66&gt;$K$66</formula>
    </cfRule>
  </conditionalFormatting>
  <conditionalFormatting sqref="C67">
    <cfRule type="expression" dxfId="705" priority="13">
      <formula>$C$67&gt;$K$67</formula>
    </cfRule>
  </conditionalFormatting>
  <conditionalFormatting sqref="C68">
    <cfRule type="expression" dxfId="704" priority="12">
      <formula>$C$68&gt;$K$68</formula>
    </cfRule>
  </conditionalFormatting>
  <conditionalFormatting sqref="C71">
    <cfRule type="expression" dxfId="703" priority="11">
      <formula>$C$71&gt;$K$71</formula>
    </cfRule>
  </conditionalFormatting>
  <conditionalFormatting sqref="C72">
    <cfRule type="expression" dxfId="702" priority="10">
      <formula>$C$72&gt;$K$72</formula>
    </cfRule>
  </conditionalFormatting>
  <conditionalFormatting sqref="C74">
    <cfRule type="expression" dxfId="701" priority="9">
      <formula>$C$74&gt;$K$74</formula>
    </cfRule>
  </conditionalFormatting>
  <conditionalFormatting sqref="C75">
    <cfRule type="expression" dxfId="700" priority="8">
      <formula>$C$75&gt;$K$75</formula>
    </cfRule>
  </conditionalFormatting>
  <conditionalFormatting sqref="C77">
    <cfRule type="expression" dxfId="699" priority="7">
      <formula>$C$77&gt;$K$77</formula>
    </cfRule>
  </conditionalFormatting>
  <conditionalFormatting sqref="C78">
    <cfRule type="expression" dxfId="698" priority="6">
      <formula>$C$78&gt;$K$78</formula>
    </cfRule>
  </conditionalFormatting>
  <conditionalFormatting sqref="C80">
    <cfRule type="expression" dxfId="697" priority="5">
      <formula>$C$80&gt;$K$80</formula>
    </cfRule>
  </conditionalFormatting>
  <conditionalFormatting sqref="C81">
    <cfRule type="expression" dxfId="696" priority="4">
      <formula>$C$81&gt;$K$81</formula>
    </cfRule>
  </conditionalFormatting>
  <conditionalFormatting sqref="C82">
    <cfRule type="expression" dxfId="695" priority="3">
      <formula>$C$82&gt;$K$82</formula>
    </cfRule>
  </conditionalFormatting>
  <conditionalFormatting sqref="C84">
    <cfRule type="expression" dxfId="694" priority="2">
      <formula>$C$84&gt;$K$84</formula>
    </cfRule>
  </conditionalFormatting>
  <conditionalFormatting sqref="C85">
    <cfRule type="expression" dxfId="693" priority="1">
      <formula>$C$85&gt;$K$85</formula>
    </cfRule>
  </conditionalFormatting>
  <pageMargins left="0.7" right="0.7" top="0.75" bottom="0.75" header="0.3" footer="0.3"/>
  <pageSetup orientation="portrait" r:id="rId1"/>
  <tableParts count="3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  <outlinePr summaryBelow="0" summaryRight="0"/>
  </sheetPr>
  <dimension ref="A1:AY90"/>
  <sheetViews>
    <sheetView workbookViewId="0">
      <selection activeCell="B3" sqref="B3:C3"/>
    </sheetView>
  </sheetViews>
  <sheetFormatPr defaultColWidth="9.140625" defaultRowHeight="12.75" outlineLevelCol="1" x14ac:dyDescent="0.2"/>
  <cols>
    <col min="1" max="1" width="1.7109375" style="6" customWidth="1"/>
    <col min="2" max="2" width="20.28515625" style="6" bestFit="1" customWidth="1"/>
    <col min="3" max="3" width="10.7109375" style="6" customWidth="1"/>
    <col min="4" max="4" width="11.85546875" style="6" customWidth="1" outlineLevel="1"/>
    <col min="5" max="5" width="11.42578125" style="6" customWidth="1" outlineLevel="1"/>
    <col min="6" max="6" width="11.28515625" style="6" customWidth="1"/>
    <col min="7" max="7" width="12.28515625" style="6" customWidth="1"/>
    <col min="8" max="9" width="10.7109375" style="6" customWidth="1"/>
    <col min="10" max="10" width="0.42578125" style="6" customWidth="1"/>
    <col min="11" max="49" width="9.28515625" style="6" customWidth="1"/>
    <col min="50" max="50" width="0.42578125" style="6" customWidth="1"/>
    <col min="51" max="51" width="23.5703125" style="6" customWidth="1"/>
    <col min="52" max="52" width="1.7109375" style="6" customWidth="1"/>
    <col min="53" max="16384" width="9.140625" style="6"/>
  </cols>
  <sheetData>
    <row r="1" spans="1:51" ht="6" customHeight="1" x14ac:dyDescent="0.2">
      <c r="D1" s="5"/>
    </row>
    <row r="3" spans="1:51" ht="24.95" customHeight="1" x14ac:dyDescent="0.2">
      <c r="B3" s="480" t="str">
        <f>TEXT(Day_1,"DDDD")&amp;" - "&amp;TEXT(Day_1,"mm/dd/yy")</f>
        <v>Sunday - 03/22/20</v>
      </c>
      <c r="C3" s="480"/>
      <c r="D3" s="106"/>
      <c r="F3" s="8" t="s">
        <v>14</v>
      </c>
      <c r="G3" s="9" t="s">
        <v>37</v>
      </c>
      <c r="H3" s="13" t="s">
        <v>26</v>
      </c>
      <c r="I3" s="17" t="s">
        <v>18</v>
      </c>
      <c r="J3" s="18"/>
      <c r="L3" s="94" t="s">
        <v>124</v>
      </c>
      <c r="M3" s="71" t="s">
        <v>126</v>
      </c>
      <c r="N3" s="72" t="s">
        <v>130</v>
      </c>
      <c r="O3" s="73" t="s">
        <v>90</v>
      </c>
      <c r="P3" s="74" t="s">
        <v>127</v>
      </c>
      <c r="Q3" s="68" t="s">
        <v>139</v>
      </c>
      <c r="R3" s="69" t="s">
        <v>129</v>
      </c>
      <c r="S3" s="97" t="s">
        <v>146</v>
      </c>
    </row>
    <row r="4" spans="1:51" ht="24.95" customHeight="1" x14ac:dyDescent="0.2">
      <c r="B4" s="7"/>
      <c r="F4" s="10" t="s">
        <v>56</v>
      </c>
      <c r="G4" s="14" t="s">
        <v>43</v>
      </c>
      <c r="H4" s="12" t="s">
        <v>21</v>
      </c>
      <c r="I4" s="16" t="s">
        <v>61</v>
      </c>
      <c r="J4" s="18"/>
      <c r="K4" s="18"/>
      <c r="L4" s="94" t="s">
        <v>125</v>
      </c>
      <c r="M4" s="70" t="s">
        <v>87</v>
      </c>
      <c r="N4" s="67" t="s">
        <v>89</v>
      </c>
      <c r="O4" s="67" t="s">
        <v>131</v>
      </c>
      <c r="P4" s="67" t="s">
        <v>128</v>
      </c>
      <c r="Q4" s="67" t="s">
        <v>138</v>
      </c>
      <c r="R4" s="67" t="s">
        <v>129</v>
      </c>
      <c r="S4" s="98" t="s">
        <v>145</v>
      </c>
    </row>
    <row r="5" spans="1:51" ht="6" customHeight="1" x14ac:dyDescent="0.2"/>
    <row r="6" spans="1:51" ht="17.25" customHeight="1" x14ac:dyDescent="0.2">
      <c r="F6" s="477" t="s">
        <v>132</v>
      </c>
      <c r="G6" s="478"/>
      <c r="H6" s="478"/>
      <c r="I6" s="479"/>
      <c r="J6" s="26"/>
      <c r="K6" s="19"/>
      <c r="L6" s="19"/>
    </row>
    <row r="7" spans="1:51" ht="6" customHeight="1" x14ac:dyDescent="0.2">
      <c r="K7" s="104" t="s">
        <v>93</v>
      </c>
      <c r="L7" s="104" t="s">
        <v>95</v>
      </c>
      <c r="M7" s="104" t="s">
        <v>97</v>
      </c>
      <c r="N7" s="104" t="s">
        <v>140</v>
      </c>
      <c r="O7" s="104" t="s">
        <v>109</v>
      </c>
      <c r="P7" s="104" t="s">
        <v>103</v>
      </c>
      <c r="Q7" s="104" t="s">
        <v>121</v>
      </c>
      <c r="R7" s="104" t="s">
        <v>113</v>
      </c>
      <c r="S7" s="104" t="s">
        <v>105</v>
      </c>
      <c r="T7" s="104" t="s">
        <v>107</v>
      </c>
      <c r="U7" s="104" t="s">
        <v>141</v>
      </c>
      <c r="V7" s="104" t="s">
        <v>101</v>
      </c>
      <c r="W7" s="104" t="s">
        <v>122</v>
      </c>
      <c r="X7" s="104" t="s">
        <v>116</v>
      </c>
      <c r="Y7" s="104" t="s">
        <v>148</v>
      </c>
      <c r="Z7" s="104" t="s">
        <v>149</v>
      </c>
      <c r="AA7" s="104" t="s">
        <v>111</v>
      </c>
      <c r="AB7" s="104" t="s">
        <v>94</v>
      </c>
      <c r="AC7" s="104" t="s">
        <v>96</v>
      </c>
      <c r="AD7" s="104" t="s">
        <v>98</v>
      </c>
      <c r="AE7" s="104" t="s">
        <v>118</v>
      </c>
      <c r="AF7" s="104" t="s">
        <v>99</v>
      </c>
      <c r="AG7" s="104" t="s">
        <v>104</v>
      </c>
      <c r="AH7" s="104" t="s">
        <v>150</v>
      </c>
      <c r="AI7" s="104" t="s">
        <v>114</v>
      </c>
      <c r="AJ7" s="104" t="s">
        <v>106</v>
      </c>
      <c r="AK7" s="104" t="s">
        <v>108</v>
      </c>
      <c r="AL7" s="104" t="s">
        <v>142</v>
      </c>
      <c r="AM7" s="104" t="s">
        <v>102</v>
      </c>
      <c r="AN7" s="104" t="s">
        <v>143</v>
      </c>
      <c r="AO7" s="104" t="s">
        <v>123</v>
      </c>
      <c r="AP7" s="104" t="s">
        <v>117</v>
      </c>
      <c r="AQ7" s="104" t="s">
        <v>151</v>
      </c>
      <c r="AR7" s="104" t="s">
        <v>112</v>
      </c>
      <c r="AS7" s="104" t="s">
        <v>110</v>
      </c>
      <c r="AT7" s="104" t="s">
        <v>119</v>
      </c>
      <c r="AU7" s="104" t="s">
        <v>115</v>
      </c>
      <c r="AV7" s="104" t="s">
        <v>120</v>
      </c>
      <c r="AW7" s="105">
        <v>0</v>
      </c>
    </row>
    <row r="8" spans="1:51" ht="13.5" thickBot="1" x14ac:dyDescent="0.25">
      <c r="A8" s="15" t="s">
        <v>14</v>
      </c>
      <c r="B8" s="84" t="s">
        <v>2</v>
      </c>
      <c r="C8" s="85" t="s">
        <v>5</v>
      </c>
      <c r="D8" s="85" t="s">
        <v>84</v>
      </c>
      <c r="E8" s="85" t="s">
        <v>86</v>
      </c>
      <c r="F8" s="85" t="s">
        <v>87</v>
      </c>
      <c r="G8" s="85" t="s">
        <v>88</v>
      </c>
      <c r="H8" s="85" t="s">
        <v>89</v>
      </c>
      <c r="I8" s="85" t="s">
        <v>90</v>
      </c>
      <c r="J8" s="86" t="s">
        <v>152</v>
      </c>
      <c r="K8" s="87" t="s">
        <v>93</v>
      </c>
      <c r="L8" s="87" t="s">
        <v>95</v>
      </c>
      <c r="M8" s="87" t="s">
        <v>97</v>
      </c>
      <c r="N8" s="87" t="s">
        <v>140</v>
      </c>
      <c r="O8" s="87" t="s">
        <v>109</v>
      </c>
      <c r="P8" s="87" t="s">
        <v>103</v>
      </c>
      <c r="Q8" s="87" t="s">
        <v>121</v>
      </c>
      <c r="R8" s="87" t="s">
        <v>113</v>
      </c>
      <c r="S8" s="87" t="s">
        <v>105</v>
      </c>
      <c r="T8" s="87" t="s">
        <v>107</v>
      </c>
      <c r="U8" s="87" t="s">
        <v>141</v>
      </c>
      <c r="V8" s="87" t="s">
        <v>101</v>
      </c>
      <c r="W8" s="87" t="s">
        <v>122</v>
      </c>
      <c r="X8" s="87" t="s">
        <v>116</v>
      </c>
      <c r="Y8" s="87" t="s">
        <v>148</v>
      </c>
      <c r="Z8" s="87" t="s">
        <v>149</v>
      </c>
      <c r="AA8" s="87" t="s">
        <v>111</v>
      </c>
      <c r="AB8" s="87" t="s">
        <v>94</v>
      </c>
      <c r="AC8" s="87" t="s">
        <v>96</v>
      </c>
      <c r="AD8" s="87" t="s">
        <v>98</v>
      </c>
      <c r="AE8" s="87" t="s">
        <v>118</v>
      </c>
      <c r="AF8" s="87" t="s">
        <v>99</v>
      </c>
      <c r="AG8" s="87" t="s">
        <v>104</v>
      </c>
      <c r="AH8" s="87" t="s">
        <v>150</v>
      </c>
      <c r="AI8" s="87" t="s">
        <v>114</v>
      </c>
      <c r="AJ8" s="87" t="s">
        <v>106</v>
      </c>
      <c r="AK8" s="87" t="s">
        <v>108</v>
      </c>
      <c r="AL8" s="87" t="s">
        <v>142</v>
      </c>
      <c r="AM8" s="87" t="s">
        <v>102</v>
      </c>
      <c r="AN8" s="87" t="s">
        <v>143</v>
      </c>
      <c r="AO8" s="87" t="s">
        <v>123</v>
      </c>
      <c r="AP8" s="87" t="s">
        <v>117</v>
      </c>
      <c r="AQ8" s="87" t="s">
        <v>151</v>
      </c>
      <c r="AR8" s="87" t="s">
        <v>112</v>
      </c>
      <c r="AS8" s="87" t="s">
        <v>110</v>
      </c>
      <c r="AT8" s="87" t="s">
        <v>119</v>
      </c>
      <c r="AU8" s="87" t="s">
        <v>115</v>
      </c>
      <c r="AV8" s="87" t="s">
        <v>120</v>
      </c>
      <c r="AW8" s="87" t="s">
        <v>100</v>
      </c>
      <c r="AX8" s="87" t="s">
        <v>153</v>
      </c>
      <c r="AY8" s="88" t="s">
        <v>147</v>
      </c>
    </row>
    <row r="9" spans="1:51" s="44" customFormat="1" ht="3" customHeight="1" x14ac:dyDescent="0.2">
      <c r="A9" s="39"/>
      <c r="B9" s="41"/>
      <c r="C9" s="41"/>
      <c r="D9" s="41"/>
      <c r="E9" s="43"/>
      <c r="F9" s="41"/>
      <c r="G9" s="41"/>
      <c r="H9" s="41"/>
      <c r="I9" s="42"/>
      <c r="J9" s="41"/>
      <c r="K9" s="43" t="str">
        <f>IF(AND($D9="",$E9=""),"",IF(Table5[[#This Row],[Shift Start]]=Table5[[#Headers],[0500]],"s",IF(Table5[[#This Row],[Shift Stop]]=Table5[[#Headers],[0500]],"f",IF(AND(Table5[[#This Row],[Shift Start]]&gt;Table5[[#Headers],[0500]],Table5[[#This Row],[Shift Stop]]&lt;Table5[[#Headers],[0500]]),"m",""))))</f>
        <v/>
      </c>
      <c r="L9" s="43" t="str">
        <f>IF(AND(Table5[[#This Row],[Shift Start]:[Shift Start]]="",Table5[[#This Row],[Shift Stop]:[Shift Stop]]=""),"",IF(Table5[[#This Row],[Shift Start]:[Shift Start]]=L$7,"s",IF(Table5[[#This Row],[Shift Stop]:[Shift Stop]]=L$7,"f",IF(AND(Table5[[#This Row],[Shift Start]:[Shift Start]]&lt;L$7,Table5[[#This Row],[Shift Stop]:[Shift Stop]]&gt;L$7),"m",""))))</f>
        <v/>
      </c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0"/>
    </row>
    <row r="10" spans="1:51" s="44" customFormat="1" ht="12" x14ac:dyDescent="0.2">
      <c r="A10" s="39" t="str">
        <f>IF(B10="","",INDEX(TeamList[],MATCH($B10,TeamList[[Employee Name]:[Employee Name]],0),MATCH("Manager",TeamList[#Headers],0)))</f>
        <v/>
      </c>
      <c r="B10" s="79"/>
      <c r="C10" s="45"/>
      <c r="D10" s="46"/>
      <c r="E10" s="89"/>
      <c r="F10" s="47" t="str">
        <f t="shared" ref="F10:F41" si="0">IF(B10="","",COUNTIFS($K10:$AV10,"*HL*"))</f>
        <v/>
      </c>
      <c r="G10" s="47" t="str">
        <f t="shared" ref="G10:G41" si="1">IF(B10="","",COUNTIFS($K10:$AV10,"*TM*"))</f>
        <v/>
      </c>
      <c r="H10" s="47" t="str">
        <f t="shared" ref="H10:H41" si="2">IF(B10="","",COUNTIFS($K10:$AV10,"*ADM*"))</f>
        <v/>
      </c>
      <c r="I10" s="48" t="str">
        <f t="shared" ref="I10:I41" si="3">IF(B10="","",COUNTIFS($K10:$AV10,"*RTA*"))</f>
        <v/>
      </c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50"/>
      <c r="AY10" s="82" t="str">
        <f t="shared" ref="AY10:AY41" si="4">IF(B10="","",B10)</f>
        <v/>
      </c>
    </row>
    <row r="11" spans="1:51" s="44" customFormat="1" ht="12" x14ac:dyDescent="0.2">
      <c r="A11" s="39" t="str">
        <f>IF(B11="","",INDEX(TeamList[],MATCH($B11,TeamList[[Employee Name]:[Employee Name]],0),MATCH("Manager",TeamList[#Headers],0)))</f>
        <v/>
      </c>
      <c r="B11" s="80"/>
      <c r="C11" s="51"/>
      <c r="D11" s="52"/>
      <c r="E11" s="90"/>
      <c r="F11" s="53" t="str">
        <f t="shared" si="0"/>
        <v/>
      </c>
      <c r="G11" s="53" t="str">
        <f t="shared" si="1"/>
        <v/>
      </c>
      <c r="H11" s="53" t="str">
        <f t="shared" si="2"/>
        <v/>
      </c>
      <c r="I11" s="54" t="str">
        <f t="shared" si="3"/>
        <v/>
      </c>
      <c r="J11" s="49"/>
      <c r="K11" s="49"/>
      <c r="L11" s="95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50"/>
      <c r="AY11" s="82" t="str">
        <f t="shared" si="4"/>
        <v/>
      </c>
    </row>
    <row r="12" spans="1:51" s="44" customFormat="1" ht="12" x14ac:dyDescent="0.2">
      <c r="A12" s="39" t="str">
        <f>IF(B12="","",INDEX(TeamList[],MATCH($B12,TeamList[[Employee Name]:[Employee Name]],0),MATCH("Manager",TeamList[#Headers],0)))</f>
        <v/>
      </c>
      <c r="B12" s="80"/>
      <c r="C12" s="51"/>
      <c r="D12" s="52"/>
      <c r="E12" s="90"/>
      <c r="F12" s="53" t="str">
        <f t="shared" si="0"/>
        <v/>
      </c>
      <c r="G12" s="53" t="str">
        <f t="shared" si="1"/>
        <v/>
      </c>
      <c r="H12" s="53" t="str">
        <f t="shared" si="2"/>
        <v/>
      </c>
      <c r="I12" s="54" t="str">
        <f t="shared" si="3"/>
        <v/>
      </c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50"/>
      <c r="AY12" s="82" t="str">
        <f t="shared" si="4"/>
        <v/>
      </c>
    </row>
    <row r="13" spans="1:51" s="44" customFormat="1" ht="12" x14ac:dyDescent="0.2">
      <c r="A13" s="39" t="str">
        <f>IF(B13="","",INDEX(TeamList[],MATCH($B13,TeamList[[Employee Name]:[Employee Name]],0),MATCH("Manager",TeamList[#Headers],0)))</f>
        <v/>
      </c>
      <c r="B13" s="80"/>
      <c r="C13" s="51"/>
      <c r="D13" s="52"/>
      <c r="E13" s="90"/>
      <c r="F13" s="53" t="str">
        <f t="shared" si="0"/>
        <v/>
      </c>
      <c r="G13" s="53" t="str">
        <f t="shared" si="1"/>
        <v/>
      </c>
      <c r="H13" s="53" t="str">
        <f t="shared" si="2"/>
        <v/>
      </c>
      <c r="I13" s="54" t="str">
        <f t="shared" si="3"/>
        <v/>
      </c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50"/>
      <c r="AY13" s="82" t="str">
        <f t="shared" si="4"/>
        <v/>
      </c>
    </row>
    <row r="14" spans="1:51" s="44" customFormat="1" ht="12" x14ac:dyDescent="0.2">
      <c r="A14" s="39" t="str">
        <f>IF(B14="","",INDEX(TeamList[],MATCH($B14,TeamList[[Employee Name]:[Employee Name]],0),MATCH("Manager",TeamList[#Headers],0)))</f>
        <v/>
      </c>
      <c r="B14" s="80"/>
      <c r="C14" s="51"/>
      <c r="D14" s="52"/>
      <c r="E14" s="90"/>
      <c r="F14" s="53" t="str">
        <f t="shared" si="0"/>
        <v/>
      </c>
      <c r="G14" s="53" t="str">
        <f t="shared" si="1"/>
        <v/>
      </c>
      <c r="H14" s="53" t="str">
        <f t="shared" si="2"/>
        <v/>
      </c>
      <c r="I14" s="54" t="str">
        <f t="shared" si="3"/>
        <v/>
      </c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50"/>
      <c r="AY14" s="82" t="str">
        <f t="shared" si="4"/>
        <v/>
      </c>
    </row>
    <row r="15" spans="1:51" s="44" customFormat="1" ht="12" x14ac:dyDescent="0.2">
      <c r="A15" s="39" t="str">
        <f>IF(B15="","",INDEX(TeamList[],MATCH($B15,TeamList[[Employee Name]:[Employee Name]],0),MATCH("Manager",TeamList[#Headers],0)))</f>
        <v/>
      </c>
      <c r="B15" s="80"/>
      <c r="C15" s="51"/>
      <c r="D15" s="52"/>
      <c r="E15" s="90"/>
      <c r="F15" s="53" t="str">
        <f t="shared" si="0"/>
        <v/>
      </c>
      <c r="G15" s="53" t="str">
        <f t="shared" si="1"/>
        <v/>
      </c>
      <c r="H15" s="53" t="str">
        <f t="shared" si="2"/>
        <v/>
      </c>
      <c r="I15" s="54" t="str">
        <f t="shared" si="3"/>
        <v/>
      </c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50"/>
      <c r="AY15" s="82" t="str">
        <f t="shared" si="4"/>
        <v/>
      </c>
    </row>
    <row r="16" spans="1:51" s="44" customFormat="1" ht="12" x14ac:dyDescent="0.2">
      <c r="A16" s="39" t="str">
        <f>IF(B16="","",INDEX(TeamList[],MATCH($B16,TeamList[[Employee Name]:[Employee Name]],0),MATCH("Manager",TeamList[#Headers],0)))</f>
        <v/>
      </c>
      <c r="B16" s="80"/>
      <c r="C16" s="51"/>
      <c r="D16" s="52"/>
      <c r="E16" s="90"/>
      <c r="F16" s="53" t="str">
        <f t="shared" si="0"/>
        <v/>
      </c>
      <c r="G16" s="53" t="str">
        <f t="shared" si="1"/>
        <v/>
      </c>
      <c r="H16" s="53" t="str">
        <f t="shared" si="2"/>
        <v/>
      </c>
      <c r="I16" s="54" t="str">
        <f t="shared" si="3"/>
        <v/>
      </c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/>
      <c r="AW16" s="49"/>
      <c r="AX16" s="50"/>
      <c r="AY16" s="82" t="str">
        <f t="shared" si="4"/>
        <v/>
      </c>
    </row>
    <row r="17" spans="1:51" s="44" customFormat="1" ht="12" x14ac:dyDescent="0.2">
      <c r="A17" s="39" t="str">
        <f>IF(B17="","",INDEX(TeamList[],MATCH($B17,TeamList[[Employee Name]:[Employee Name]],0),MATCH("Manager",TeamList[#Headers],0)))</f>
        <v/>
      </c>
      <c r="B17" s="80"/>
      <c r="C17" s="51"/>
      <c r="D17" s="52"/>
      <c r="E17" s="90"/>
      <c r="F17" s="53" t="str">
        <f t="shared" si="0"/>
        <v/>
      </c>
      <c r="G17" s="53" t="str">
        <f t="shared" si="1"/>
        <v/>
      </c>
      <c r="H17" s="53" t="str">
        <f t="shared" si="2"/>
        <v/>
      </c>
      <c r="I17" s="54" t="str">
        <f t="shared" si="3"/>
        <v/>
      </c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/>
      <c r="AW17" s="49"/>
      <c r="AX17" s="50"/>
      <c r="AY17" s="82" t="str">
        <f t="shared" si="4"/>
        <v/>
      </c>
    </row>
    <row r="18" spans="1:51" s="44" customFormat="1" ht="12" x14ac:dyDescent="0.2">
      <c r="A18" s="39" t="str">
        <f>IF(B18="","",INDEX(TeamList[],MATCH($B18,TeamList[[Employee Name]:[Employee Name]],0),MATCH("Manager",TeamList[#Headers],0)))</f>
        <v/>
      </c>
      <c r="B18" s="80"/>
      <c r="C18" s="51"/>
      <c r="D18" s="52"/>
      <c r="E18" s="90"/>
      <c r="F18" s="53" t="str">
        <f t="shared" si="0"/>
        <v/>
      </c>
      <c r="G18" s="53" t="str">
        <f t="shared" si="1"/>
        <v/>
      </c>
      <c r="H18" s="53" t="str">
        <f t="shared" si="2"/>
        <v/>
      </c>
      <c r="I18" s="54" t="str">
        <f t="shared" si="3"/>
        <v/>
      </c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50"/>
      <c r="AY18" s="82" t="str">
        <f t="shared" si="4"/>
        <v/>
      </c>
    </row>
    <row r="19" spans="1:51" s="44" customFormat="1" ht="12" x14ac:dyDescent="0.2">
      <c r="A19" s="39" t="str">
        <f>IF(B19="","",INDEX(TeamList[],MATCH($B19,TeamList[[Employee Name]:[Employee Name]],0),MATCH("Manager",TeamList[#Headers],0)))</f>
        <v/>
      </c>
      <c r="B19" s="80"/>
      <c r="C19" s="51"/>
      <c r="D19" s="52"/>
      <c r="E19" s="90"/>
      <c r="F19" s="53" t="str">
        <f t="shared" si="0"/>
        <v/>
      </c>
      <c r="G19" s="53" t="str">
        <f t="shared" si="1"/>
        <v/>
      </c>
      <c r="H19" s="53" t="str">
        <f t="shared" si="2"/>
        <v/>
      </c>
      <c r="I19" s="54" t="str">
        <f t="shared" si="3"/>
        <v/>
      </c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50"/>
      <c r="AY19" s="82" t="str">
        <f t="shared" si="4"/>
        <v/>
      </c>
    </row>
    <row r="20" spans="1:51" s="44" customFormat="1" ht="12" x14ac:dyDescent="0.2">
      <c r="A20" s="39" t="str">
        <f>IF(B20="","",INDEX(TeamList[],MATCH($B20,TeamList[[Employee Name]:[Employee Name]],0),MATCH("Manager",TeamList[#Headers],0)))</f>
        <v/>
      </c>
      <c r="B20" s="80"/>
      <c r="C20" s="51"/>
      <c r="D20" s="52"/>
      <c r="E20" s="90"/>
      <c r="F20" s="53" t="str">
        <f t="shared" si="0"/>
        <v/>
      </c>
      <c r="G20" s="53" t="str">
        <f t="shared" si="1"/>
        <v/>
      </c>
      <c r="H20" s="53" t="str">
        <f t="shared" si="2"/>
        <v/>
      </c>
      <c r="I20" s="54" t="str">
        <f t="shared" si="3"/>
        <v/>
      </c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  <c r="AO20" s="49"/>
      <c r="AP20" s="49"/>
      <c r="AQ20" s="49"/>
      <c r="AR20" s="49"/>
      <c r="AS20" s="49"/>
      <c r="AT20" s="49"/>
      <c r="AU20" s="49"/>
      <c r="AV20" s="49"/>
      <c r="AW20" s="49"/>
      <c r="AX20" s="50"/>
      <c r="AY20" s="82" t="str">
        <f t="shared" si="4"/>
        <v/>
      </c>
    </row>
    <row r="21" spans="1:51" s="44" customFormat="1" ht="12" x14ac:dyDescent="0.2">
      <c r="A21" s="39" t="str">
        <f>IF(B21="","",INDEX(TeamList[],MATCH($B21,TeamList[[Employee Name]:[Employee Name]],0),MATCH("Manager",TeamList[#Headers],0)))</f>
        <v/>
      </c>
      <c r="B21" s="80"/>
      <c r="C21" s="51"/>
      <c r="D21" s="52"/>
      <c r="E21" s="90"/>
      <c r="F21" s="53" t="str">
        <f t="shared" si="0"/>
        <v/>
      </c>
      <c r="G21" s="53" t="str">
        <f t="shared" si="1"/>
        <v/>
      </c>
      <c r="H21" s="53" t="str">
        <f t="shared" si="2"/>
        <v/>
      </c>
      <c r="I21" s="54" t="str">
        <f t="shared" si="3"/>
        <v/>
      </c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  <c r="AX21" s="50"/>
      <c r="AY21" s="82" t="str">
        <f t="shared" si="4"/>
        <v/>
      </c>
    </row>
    <row r="22" spans="1:51" s="44" customFormat="1" ht="12" x14ac:dyDescent="0.2">
      <c r="A22" s="39" t="str">
        <f>IF(B22="","",INDEX(TeamList[],MATCH($B22,TeamList[[Employee Name]:[Employee Name]],0),MATCH("Manager",TeamList[#Headers],0)))</f>
        <v/>
      </c>
      <c r="B22" s="80"/>
      <c r="C22" s="51"/>
      <c r="D22" s="52"/>
      <c r="E22" s="90"/>
      <c r="F22" s="53" t="str">
        <f t="shared" si="0"/>
        <v/>
      </c>
      <c r="G22" s="53" t="str">
        <f t="shared" si="1"/>
        <v/>
      </c>
      <c r="H22" s="53" t="str">
        <f t="shared" si="2"/>
        <v/>
      </c>
      <c r="I22" s="54" t="str">
        <f t="shared" si="3"/>
        <v/>
      </c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  <c r="AV22" s="49"/>
      <c r="AW22" s="49"/>
      <c r="AX22" s="50"/>
      <c r="AY22" s="82" t="str">
        <f t="shared" si="4"/>
        <v/>
      </c>
    </row>
    <row r="23" spans="1:51" s="44" customFormat="1" ht="12" x14ac:dyDescent="0.2">
      <c r="A23" s="39" t="str">
        <f>IF(B23="","",INDEX(TeamList[],MATCH($B23,TeamList[[Employee Name]:[Employee Name]],0),MATCH("Manager",TeamList[#Headers],0)))</f>
        <v/>
      </c>
      <c r="B23" s="80"/>
      <c r="C23" s="51"/>
      <c r="D23" s="52"/>
      <c r="E23" s="90"/>
      <c r="F23" s="53" t="str">
        <f t="shared" si="0"/>
        <v/>
      </c>
      <c r="G23" s="53" t="str">
        <f t="shared" si="1"/>
        <v/>
      </c>
      <c r="H23" s="53" t="str">
        <f t="shared" si="2"/>
        <v/>
      </c>
      <c r="I23" s="54" t="str">
        <f t="shared" si="3"/>
        <v/>
      </c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  <c r="AX23" s="50"/>
      <c r="AY23" s="82" t="str">
        <f t="shared" si="4"/>
        <v/>
      </c>
    </row>
    <row r="24" spans="1:51" s="44" customFormat="1" ht="12" x14ac:dyDescent="0.2">
      <c r="A24" s="39" t="str">
        <f>IF(B24="","",INDEX(TeamList[],MATCH($B24,TeamList[[Employee Name]:[Employee Name]],0),MATCH("Manager",TeamList[#Headers],0)))</f>
        <v/>
      </c>
      <c r="B24" s="80"/>
      <c r="C24" s="51"/>
      <c r="D24" s="52"/>
      <c r="E24" s="90"/>
      <c r="F24" s="53" t="str">
        <f t="shared" si="0"/>
        <v/>
      </c>
      <c r="G24" s="53" t="str">
        <f t="shared" si="1"/>
        <v/>
      </c>
      <c r="H24" s="53" t="str">
        <f t="shared" si="2"/>
        <v/>
      </c>
      <c r="I24" s="54" t="str">
        <f t="shared" si="3"/>
        <v/>
      </c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  <c r="AX24" s="50"/>
      <c r="AY24" s="82" t="str">
        <f t="shared" si="4"/>
        <v/>
      </c>
    </row>
    <row r="25" spans="1:51" s="44" customFormat="1" ht="12" x14ac:dyDescent="0.2">
      <c r="A25" s="39" t="str">
        <f>IF(B25="","",INDEX(TeamList[],MATCH($B25,TeamList[[Employee Name]:[Employee Name]],0),MATCH("Manager",TeamList[#Headers],0)))</f>
        <v/>
      </c>
      <c r="B25" s="80"/>
      <c r="C25" s="51"/>
      <c r="D25" s="52"/>
      <c r="E25" s="90"/>
      <c r="F25" s="53" t="str">
        <f t="shared" si="0"/>
        <v/>
      </c>
      <c r="G25" s="53" t="str">
        <f t="shared" si="1"/>
        <v/>
      </c>
      <c r="H25" s="53" t="str">
        <f t="shared" si="2"/>
        <v/>
      </c>
      <c r="I25" s="54" t="str">
        <f t="shared" si="3"/>
        <v/>
      </c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  <c r="AV25" s="49"/>
      <c r="AW25" s="49"/>
      <c r="AX25" s="50"/>
      <c r="AY25" s="82" t="str">
        <f t="shared" si="4"/>
        <v/>
      </c>
    </row>
    <row r="26" spans="1:51" s="44" customFormat="1" ht="12" x14ac:dyDescent="0.2">
      <c r="A26" s="39" t="str">
        <f>IF(B26="","",INDEX(TeamList[],MATCH($B26,TeamList[[Employee Name]:[Employee Name]],0),MATCH("Manager",TeamList[#Headers],0)))</f>
        <v/>
      </c>
      <c r="B26" s="80"/>
      <c r="C26" s="51"/>
      <c r="D26" s="52"/>
      <c r="E26" s="90"/>
      <c r="F26" s="53" t="str">
        <f t="shared" si="0"/>
        <v/>
      </c>
      <c r="G26" s="53" t="str">
        <f t="shared" si="1"/>
        <v/>
      </c>
      <c r="H26" s="53" t="str">
        <f t="shared" si="2"/>
        <v/>
      </c>
      <c r="I26" s="54" t="str">
        <f t="shared" si="3"/>
        <v/>
      </c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  <c r="AO26" s="49"/>
      <c r="AP26" s="49"/>
      <c r="AQ26" s="49"/>
      <c r="AR26" s="49"/>
      <c r="AS26" s="49"/>
      <c r="AT26" s="49"/>
      <c r="AU26" s="49"/>
      <c r="AV26" s="49"/>
      <c r="AW26" s="49"/>
      <c r="AX26" s="50"/>
      <c r="AY26" s="82" t="str">
        <f t="shared" si="4"/>
        <v/>
      </c>
    </row>
    <row r="27" spans="1:51" s="44" customFormat="1" ht="12" x14ac:dyDescent="0.2">
      <c r="A27" s="39" t="str">
        <f>IF(B27="","",INDEX(TeamList[],MATCH($B27,TeamList[[Employee Name]:[Employee Name]],0),MATCH("Manager",TeamList[#Headers],0)))</f>
        <v/>
      </c>
      <c r="B27" s="80"/>
      <c r="C27" s="51"/>
      <c r="D27" s="52"/>
      <c r="E27" s="90"/>
      <c r="F27" s="53" t="str">
        <f t="shared" si="0"/>
        <v/>
      </c>
      <c r="G27" s="53" t="str">
        <f t="shared" si="1"/>
        <v/>
      </c>
      <c r="H27" s="53" t="str">
        <f t="shared" si="2"/>
        <v/>
      </c>
      <c r="I27" s="54" t="str">
        <f t="shared" si="3"/>
        <v/>
      </c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49"/>
      <c r="AV27" s="49"/>
      <c r="AW27" s="49"/>
      <c r="AX27" s="50"/>
      <c r="AY27" s="82" t="str">
        <f t="shared" si="4"/>
        <v/>
      </c>
    </row>
    <row r="28" spans="1:51" s="44" customFormat="1" ht="12" x14ac:dyDescent="0.2">
      <c r="A28" s="39" t="str">
        <f>IF(B28="","",INDEX(TeamList[],MATCH($B28,TeamList[[Employee Name]:[Employee Name]],0),MATCH("Manager",TeamList[#Headers],0)))</f>
        <v/>
      </c>
      <c r="B28" s="80"/>
      <c r="C28" s="51"/>
      <c r="D28" s="52"/>
      <c r="E28" s="90"/>
      <c r="F28" s="53" t="str">
        <f t="shared" si="0"/>
        <v/>
      </c>
      <c r="G28" s="53" t="str">
        <f t="shared" si="1"/>
        <v/>
      </c>
      <c r="H28" s="53" t="str">
        <f t="shared" si="2"/>
        <v/>
      </c>
      <c r="I28" s="54" t="str">
        <f t="shared" si="3"/>
        <v/>
      </c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49"/>
      <c r="AW28" s="49"/>
      <c r="AX28" s="50"/>
      <c r="AY28" s="82" t="str">
        <f t="shared" si="4"/>
        <v/>
      </c>
    </row>
    <row r="29" spans="1:51" s="44" customFormat="1" ht="12" x14ac:dyDescent="0.2">
      <c r="A29" s="39" t="str">
        <f>IF(B29="","",INDEX(TeamList[],MATCH($B29,TeamList[[Employee Name]:[Employee Name]],0),MATCH("Manager",TeamList[#Headers],0)))</f>
        <v/>
      </c>
      <c r="B29" s="80"/>
      <c r="C29" s="51"/>
      <c r="D29" s="52"/>
      <c r="E29" s="90"/>
      <c r="F29" s="53" t="str">
        <f t="shared" si="0"/>
        <v/>
      </c>
      <c r="G29" s="53" t="str">
        <f t="shared" si="1"/>
        <v/>
      </c>
      <c r="H29" s="53" t="str">
        <f t="shared" si="2"/>
        <v/>
      </c>
      <c r="I29" s="54" t="str">
        <f t="shared" si="3"/>
        <v/>
      </c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  <c r="AO29" s="49"/>
      <c r="AP29" s="49"/>
      <c r="AQ29" s="49"/>
      <c r="AR29" s="49"/>
      <c r="AS29" s="49"/>
      <c r="AT29" s="49"/>
      <c r="AU29" s="49"/>
      <c r="AV29" s="49"/>
      <c r="AW29" s="49"/>
      <c r="AX29" s="50"/>
      <c r="AY29" s="82" t="str">
        <f t="shared" si="4"/>
        <v/>
      </c>
    </row>
    <row r="30" spans="1:51" s="44" customFormat="1" ht="12" x14ac:dyDescent="0.2">
      <c r="A30" s="39" t="str">
        <f>IF(B30="","",INDEX(TeamList[],MATCH($B30,TeamList[[Employee Name]:[Employee Name]],0),MATCH("Manager",TeamList[#Headers],0)))</f>
        <v/>
      </c>
      <c r="B30" s="80"/>
      <c r="C30" s="51"/>
      <c r="D30" s="52"/>
      <c r="E30" s="90"/>
      <c r="F30" s="53" t="str">
        <f t="shared" si="0"/>
        <v/>
      </c>
      <c r="G30" s="53" t="str">
        <f t="shared" si="1"/>
        <v/>
      </c>
      <c r="H30" s="53" t="str">
        <f t="shared" si="2"/>
        <v/>
      </c>
      <c r="I30" s="54" t="str">
        <f t="shared" si="3"/>
        <v/>
      </c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49"/>
      <c r="AN30" s="49"/>
      <c r="AO30" s="49"/>
      <c r="AP30" s="49"/>
      <c r="AQ30" s="49"/>
      <c r="AR30" s="49"/>
      <c r="AS30" s="49"/>
      <c r="AT30" s="49"/>
      <c r="AU30" s="49"/>
      <c r="AV30" s="49"/>
      <c r="AW30" s="49"/>
      <c r="AX30" s="50"/>
      <c r="AY30" s="82" t="str">
        <f t="shared" si="4"/>
        <v/>
      </c>
    </row>
    <row r="31" spans="1:51" s="44" customFormat="1" ht="12" x14ac:dyDescent="0.2">
      <c r="A31" s="39" t="str">
        <f>IF(B31="","",INDEX(TeamList[],MATCH($B31,TeamList[[Employee Name]:[Employee Name]],0),MATCH("Manager",TeamList[#Headers],0)))</f>
        <v/>
      </c>
      <c r="B31" s="80"/>
      <c r="C31" s="51"/>
      <c r="D31" s="52"/>
      <c r="E31" s="90"/>
      <c r="F31" s="53" t="str">
        <f t="shared" si="0"/>
        <v/>
      </c>
      <c r="G31" s="53" t="str">
        <f t="shared" si="1"/>
        <v/>
      </c>
      <c r="H31" s="53" t="str">
        <f t="shared" si="2"/>
        <v/>
      </c>
      <c r="I31" s="54" t="str">
        <f t="shared" si="3"/>
        <v/>
      </c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  <c r="AV31" s="49"/>
      <c r="AW31" s="49"/>
      <c r="AX31" s="50"/>
      <c r="AY31" s="82" t="str">
        <f t="shared" si="4"/>
        <v/>
      </c>
    </row>
    <row r="32" spans="1:51" s="44" customFormat="1" ht="12" x14ac:dyDescent="0.2">
      <c r="A32" s="39" t="str">
        <f>IF(B32="","",INDEX(TeamList[],MATCH($B32,TeamList[[Employee Name]:[Employee Name]],0),MATCH("Manager",TeamList[#Headers],0)))</f>
        <v/>
      </c>
      <c r="B32" s="80"/>
      <c r="C32" s="51"/>
      <c r="D32" s="52"/>
      <c r="E32" s="90"/>
      <c r="F32" s="53" t="str">
        <f t="shared" si="0"/>
        <v/>
      </c>
      <c r="G32" s="53" t="str">
        <f t="shared" si="1"/>
        <v/>
      </c>
      <c r="H32" s="53" t="str">
        <f t="shared" si="2"/>
        <v/>
      </c>
      <c r="I32" s="54" t="str">
        <f t="shared" si="3"/>
        <v/>
      </c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  <c r="AX32" s="50"/>
      <c r="AY32" s="82" t="str">
        <f t="shared" si="4"/>
        <v/>
      </c>
    </row>
    <row r="33" spans="1:51" s="44" customFormat="1" ht="12" x14ac:dyDescent="0.2">
      <c r="A33" s="39" t="str">
        <f>IF(B33="","",INDEX(TeamList[],MATCH($B33,TeamList[[Employee Name]:[Employee Name]],0),MATCH("Manager",TeamList[#Headers],0)))</f>
        <v/>
      </c>
      <c r="B33" s="80"/>
      <c r="C33" s="51"/>
      <c r="D33" s="52"/>
      <c r="E33" s="90"/>
      <c r="F33" s="53" t="str">
        <f t="shared" si="0"/>
        <v/>
      </c>
      <c r="G33" s="53" t="str">
        <f t="shared" si="1"/>
        <v/>
      </c>
      <c r="H33" s="53" t="str">
        <f t="shared" si="2"/>
        <v/>
      </c>
      <c r="I33" s="54" t="str">
        <f t="shared" si="3"/>
        <v/>
      </c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49"/>
      <c r="AP33" s="49"/>
      <c r="AQ33" s="49"/>
      <c r="AR33" s="49"/>
      <c r="AS33" s="49"/>
      <c r="AT33" s="49"/>
      <c r="AU33" s="49"/>
      <c r="AV33" s="49"/>
      <c r="AW33" s="49"/>
      <c r="AX33" s="50"/>
      <c r="AY33" s="82" t="str">
        <f t="shared" si="4"/>
        <v/>
      </c>
    </row>
    <row r="34" spans="1:51" s="44" customFormat="1" ht="12" x14ac:dyDescent="0.2">
      <c r="A34" s="39" t="str">
        <f>IF(B34="","",INDEX(TeamList[],MATCH($B34,TeamList[[Employee Name]:[Employee Name]],0),MATCH("Manager",TeamList[#Headers],0)))</f>
        <v/>
      </c>
      <c r="B34" s="80"/>
      <c r="C34" s="51"/>
      <c r="D34" s="52"/>
      <c r="E34" s="90"/>
      <c r="F34" s="53" t="str">
        <f t="shared" si="0"/>
        <v/>
      </c>
      <c r="G34" s="53" t="str">
        <f t="shared" si="1"/>
        <v/>
      </c>
      <c r="H34" s="53" t="str">
        <f t="shared" si="2"/>
        <v/>
      </c>
      <c r="I34" s="54" t="str">
        <f t="shared" si="3"/>
        <v/>
      </c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  <c r="AX34" s="50"/>
      <c r="AY34" s="82" t="str">
        <f t="shared" si="4"/>
        <v/>
      </c>
    </row>
    <row r="35" spans="1:51" s="44" customFormat="1" ht="12" x14ac:dyDescent="0.2">
      <c r="A35" s="39" t="str">
        <f>IF(B35="","",INDEX(TeamList[],MATCH($B35,TeamList[[Employee Name]:[Employee Name]],0),MATCH("Manager",TeamList[#Headers],0)))</f>
        <v/>
      </c>
      <c r="B35" s="80"/>
      <c r="C35" s="51"/>
      <c r="D35" s="52"/>
      <c r="E35" s="90"/>
      <c r="F35" s="53" t="str">
        <f t="shared" si="0"/>
        <v/>
      </c>
      <c r="G35" s="53" t="str">
        <f t="shared" si="1"/>
        <v/>
      </c>
      <c r="H35" s="53" t="str">
        <f t="shared" si="2"/>
        <v/>
      </c>
      <c r="I35" s="54" t="str">
        <f t="shared" si="3"/>
        <v/>
      </c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  <c r="AO35" s="49"/>
      <c r="AP35" s="49"/>
      <c r="AQ35" s="49"/>
      <c r="AR35" s="49"/>
      <c r="AS35" s="49"/>
      <c r="AT35" s="49"/>
      <c r="AU35" s="49"/>
      <c r="AV35" s="49"/>
      <c r="AW35" s="49"/>
      <c r="AX35" s="50"/>
      <c r="AY35" s="82" t="str">
        <f t="shared" si="4"/>
        <v/>
      </c>
    </row>
    <row r="36" spans="1:51" s="44" customFormat="1" ht="12" x14ac:dyDescent="0.2">
      <c r="A36" s="39" t="str">
        <f>IF(B36="","",INDEX(TeamList[],MATCH($B36,TeamList[[Employee Name]:[Employee Name]],0),MATCH("Manager",TeamList[#Headers],0)))</f>
        <v/>
      </c>
      <c r="B36" s="80"/>
      <c r="C36" s="51"/>
      <c r="D36" s="52"/>
      <c r="E36" s="90"/>
      <c r="F36" s="53" t="str">
        <f t="shared" si="0"/>
        <v/>
      </c>
      <c r="G36" s="53" t="str">
        <f t="shared" si="1"/>
        <v/>
      </c>
      <c r="H36" s="53" t="str">
        <f t="shared" si="2"/>
        <v/>
      </c>
      <c r="I36" s="54" t="str">
        <f t="shared" si="3"/>
        <v/>
      </c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49"/>
      <c r="AU36" s="49"/>
      <c r="AV36" s="49"/>
      <c r="AW36" s="49"/>
      <c r="AX36" s="50"/>
      <c r="AY36" s="82" t="str">
        <f t="shared" si="4"/>
        <v/>
      </c>
    </row>
    <row r="37" spans="1:51" s="44" customFormat="1" ht="12" x14ac:dyDescent="0.2">
      <c r="A37" s="39" t="str">
        <f>IF(B37="","",INDEX(TeamList[],MATCH($B37,TeamList[[Employee Name]:[Employee Name]],0),MATCH("Manager",TeamList[#Headers],0)))</f>
        <v/>
      </c>
      <c r="B37" s="80"/>
      <c r="C37" s="51"/>
      <c r="D37" s="52"/>
      <c r="E37" s="90"/>
      <c r="F37" s="53" t="str">
        <f t="shared" si="0"/>
        <v/>
      </c>
      <c r="G37" s="53" t="str">
        <f t="shared" si="1"/>
        <v/>
      </c>
      <c r="H37" s="53" t="str">
        <f t="shared" si="2"/>
        <v/>
      </c>
      <c r="I37" s="54" t="str">
        <f t="shared" si="3"/>
        <v/>
      </c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55"/>
      <c r="AY37" s="82" t="str">
        <f t="shared" si="4"/>
        <v/>
      </c>
    </row>
    <row r="38" spans="1:51" s="44" customFormat="1" ht="12" x14ac:dyDescent="0.2">
      <c r="A38" s="39" t="str">
        <f>IF(B38="","",INDEX(TeamList[],MATCH($B38,TeamList[[Employee Name]:[Employee Name]],0),MATCH("Manager",TeamList[#Headers],0)))</f>
        <v/>
      </c>
      <c r="B38" s="80"/>
      <c r="C38" s="51"/>
      <c r="D38" s="52"/>
      <c r="E38" s="90"/>
      <c r="F38" s="53" t="str">
        <f t="shared" si="0"/>
        <v/>
      </c>
      <c r="G38" s="53" t="str">
        <f t="shared" si="1"/>
        <v/>
      </c>
      <c r="H38" s="53" t="str">
        <f t="shared" si="2"/>
        <v/>
      </c>
      <c r="I38" s="54" t="str">
        <f t="shared" si="3"/>
        <v/>
      </c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49"/>
      <c r="AP38" s="49"/>
      <c r="AQ38" s="49"/>
      <c r="AR38" s="49"/>
      <c r="AS38" s="49"/>
      <c r="AT38" s="49"/>
      <c r="AU38" s="49"/>
      <c r="AV38" s="49"/>
      <c r="AW38" s="49"/>
      <c r="AX38" s="55"/>
      <c r="AY38" s="82" t="str">
        <f t="shared" si="4"/>
        <v/>
      </c>
    </row>
    <row r="39" spans="1:51" s="44" customFormat="1" ht="12" x14ac:dyDescent="0.2">
      <c r="A39" s="39" t="str">
        <f>IF(B39="","",INDEX(TeamList[],MATCH($B39,TeamList[[Employee Name]:[Employee Name]],0),MATCH("Manager",TeamList[#Headers],0)))</f>
        <v/>
      </c>
      <c r="B39" s="80"/>
      <c r="C39" s="51"/>
      <c r="D39" s="52"/>
      <c r="E39" s="90"/>
      <c r="F39" s="53" t="str">
        <f t="shared" si="0"/>
        <v/>
      </c>
      <c r="G39" s="53" t="str">
        <f t="shared" si="1"/>
        <v/>
      </c>
      <c r="H39" s="53" t="str">
        <f t="shared" si="2"/>
        <v/>
      </c>
      <c r="I39" s="54" t="str">
        <f t="shared" si="3"/>
        <v/>
      </c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9"/>
      <c r="AW39" s="49"/>
      <c r="AX39" s="55"/>
      <c r="AY39" s="82" t="str">
        <f t="shared" si="4"/>
        <v/>
      </c>
    </row>
    <row r="40" spans="1:51" s="44" customFormat="1" ht="12" x14ac:dyDescent="0.2">
      <c r="A40" s="39" t="str">
        <f>IF(B40="","",INDEX(TeamList[],MATCH($B40,TeamList[[Employee Name]:[Employee Name]],0),MATCH("Manager",TeamList[#Headers],0)))</f>
        <v/>
      </c>
      <c r="B40" s="80"/>
      <c r="C40" s="51"/>
      <c r="D40" s="52"/>
      <c r="E40" s="90"/>
      <c r="F40" s="53" t="str">
        <f t="shared" si="0"/>
        <v/>
      </c>
      <c r="G40" s="53" t="str">
        <f t="shared" si="1"/>
        <v/>
      </c>
      <c r="H40" s="53" t="str">
        <f t="shared" si="2"/>
        <v/>
      </c>
      <c r="I40" s="54" t="str">
        <f t="shared" si="3"/>
        <v/>
      </c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  <c r="AO40" s="49"/>
      <c r="AP40" s="49"/>
      <c r="AQ40" s="49"/>
      <c r="AR40" s="49"/>
      <c r="AS40" s="49"/>
      <c r="AT40" s="49"/>
      <c r="AU40" s="49"/>
      <c r="AV40" s="49"/>
      <c r="AW40" s="49"/>
      <c r="AX40" s="50"/>
      <c r="AY40" s="82" t="str">
        <f t="shared" si="4"/>
        <v/>
      </c>
    </row>
    <row r="41" spans="1:51" s="44" customFormat="1" ht="12" x14ac:dyDescent="0.2">
      <c r="A41" s="39" t="str">
        <f>IF(B41="","",INDEX(TeamList[],MATCH($B41,TeamList[[Employee Name]:[Employee Name]],0),MATCH("Manager",TeamList[#Headers],0)))</f>
        <v/>
      </c>
      <c r="B41" s="80"/>
      <c r="C41" s="51"/>
      <c r="D41" s="52"/>
      <c r="E41" s="90"/>
      <c r="F41" s="53" t="str">
        <f t="shared" si="0"/>
        <v/>
      </c>
      <c r="G41" s="53" t="str">
        <f t="shared" si="1"/>
        <v/>
      </c>
      <c r="H41" s="53" t="str">
        <f t="shared" si="2"/>
        <v/>
      </c>
      <c r="I41" s="54" t="str">
        <f t="shared" si="3"/>
        <v/>
      </c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50"/>
      <c r="AY41" s="82" t="str">
        <f t="shared" si="4"/>
        <v/>
      </c>
    </row>
    <row r="42" spans="1:51" s="44" customFormat="1" ht="12" x14ac:dyDescent="0.2">
      <c r="A42" s="39" t="str">
        <f>IF(B42="","",INDEX(TeamList[],MATCH($B42,TeamList[[Employee Name]:[Employee Name]],0),MATCH("Manager",TeamList[#Headers],0)))</f>
        <v/>
      </c>
      <c r="B42" s="80"/>
      <c r="C42" s="51"/>
      <c r="D42" s="52"/>
      <c r="E42" s="90"/>
      <c r="F42" s="53" t="str">
        <f t="shared" ref="F42:F73" si="5">IF(B42="","",COUNTIFS($K42:$AV42,"*HL*"))</f>
        <v/>
      </c>
      <c r="G42" s="53" t="str">
        <f t="shared" ref="G42:G73" si="6">IF(B42="","",COUNTIFS($K42:$AV42,"*TM*"))</f>
        <v/>
      </c>
      <c r="H42" s="53" t="str">
        <f t="shared" ref="H42:H73" si="7">IF(B42="","",COUNTIFS($K42:$AV42,"*ADM*"))</f>
        <v/>
      </c>
      <c r="I42" s="54" t="str">
        <f t="shared" ref="I42:I73" si="8">IF(B42="","",COUNTIFS($K42:$AV42,"*RTA*"))</f>
        <v/>
      </c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  <c r="AX42" s="50"/>
      <c r="AY42" s="82" t="str">
        <f t="shared" ref="AY42:AY73" si="9">IF(B42="","",B42)</f>
        <v/>
      </c>
    </row>
    <row r="43" spans="1:51" s="44" customFormat="1" ht="12" x14ac:dyDescent="0.2">
      <c r="A43" s="39" t="str">
        <f>IF(B43="","",INDEX(TeamList[],MATCH($B43,TeamList[[Employee Name]:[Employee Name]],0),MATCH("Manager",TeamList[#Headers],0)))</f>
        <v/>
      </c>
      <c r="B43" s="80"/>
      <c r="C43" s="51"/>
      <c r="D43" s="52"/>
      <c r="E43" s="90"/>
      <c r="F43" s="53" t="str">
        <f t="shared" si="5"/>
        <v/>
      </c>
      <c r="G43" s="53" t="str">
        <f t="shared" si="6"/>
        <v/>
      </c>
      <c r="H43" s="53" t="str">
        <f t="shared" si="7"/>
        <v/>
      </c>
      <c r="I43" s="54" t="str">
        <f t="shared" si="8"/>
        <v/>
      </c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50"/>
      <c r="AY43" s="82" t="str">
        <f t="shared" si="9"/>
        <v/>
      </c>
    </row>
    <row r="44" spans="1:51" s="44" customFormat="1" ht="12" x14ac:dyDescent="0.2">
      <c r="A44" s="39" t="str">
        <f>IF(B44="","",INDEX(TeamList[],MATCH($B44,TeamList[[Employee Name]:[Employee Name]],0),MATCH("Manager",TeamList[#Headers],0)))</f>
        <v/>
      </c>
      <c r="B44" s="80"/>
      <c r="C44" s="51"/>
      <c r="D44" s="52"/>
      <c r="E44" s="90"/>
      <c r="F44" s="53" t="str">
        <f t="shared" si="5"/>
        <v/>
      </c>
      <c r="G44" s="53" t="str">
        <f t="shared" si="6"/>
        <v/>
      </c>
      <c r="H44" s="53" t="str">
        <f t="shared" si="7"/>
        <v/>
      </c>
      <c r="I44" s="54" t="str">
        <f t="shared" si="8"/>
        <v/>
      </c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49"/>
      <c r="AX44" s="50"/>
      <c r="AY44" s="82" t="str">
        <f t="shared" si="9"/>
        <v/>
      </c>
    </row>
    <row r="45" spans="1:51" s="44" customFormat="1" ht="12" x14ac:dyDescent="0.2">
      <c r="A45" s="39" t="str">
        <f>IF(B45="","",INDEX(TeamList[],MATCH($B45,TeamList[[Employee Name]:[Employee Name]],0),MATCH("Manager",TeamList[#Headers],0)))</f>
        <v/>
      </c>
      <c r="B45" s="80"/>
      <c r="C45" s="51"/>
      <c r="D45" s="52"/>
      <c r="E45" s="90"/>
      <c r="F45" s="53" t="str">
        <f t="shared" si="5"/>
        <v/>
      </c>
      <c r="G45" s="53" t="str">
        <f t="shared" si="6"/>
        <v/>
      </c>
      <c r="H45" s="53" t="str">
        <f t="shared" si="7"/>
        <v/>
      </c>
      <c r="I45" s="54" t="str">
        <f t="shared" si="8"/>
        <v/>
      </c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50"/>
      <c r="AY45" s="82" t="str">
        <f t="shared" si="9"/>
        <v/>
      </c>
    </row>
    <row r="46" spans="1:51" s="44" customFormat="1" ht="12" x14ac:dyDescent="0.2">
      <c r="A46" s="39" t="str">
        <f>IF(B46="","",INDEX(TeamList[],MATCH($B46,TeamList[[Employee Name]:[Employee Name]],0),MATCH("Manager",TeamList[#Headers],0)))</f>
        <v/>
      </c>
      <c r="B46" s="80"/>
      <c r="C46" s="51"/>
      <c r="D46" s="52"/>
      <c r="E46" s="90"/>
      <c r="F46" s="53" t="str">
        <f t="shared" si="5"/>
        <v/>
      </c>
      <c r="G46" s="53" t="str">
        <f t="shared" si="6"/>
        <v/>
      </c>
      <c r="H46" s="53" t="str">
        <f t="shared" si="7"/>
        <v/>
      </c>
      <c r="I46" s="54" t="str">
        <f t="shared" si="8"/>
        <v/>
      </c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50"/>
      <c r="AY46" s="82" t="str">
        <f t="shared" si="9"/>
        <v/>
      </c>
    </row>
    <row r="47" spans="1:51" s="44" customFormat="1" ht="12" x14ac:dyDescent="0.2">
      <c r="A47" s="39" t="str">
        <f>IF(B47="","",INDEX(TeamList[],MATCH($B47,TeamList[[Employee Name]:[Employee Name]],0),MATCH("Manager",TeamList[#Headers],0)))</f>
        <v/>
      </c>
      <c r="B47" s="80"/>
      <c r="C47" s="51"/>
      <c r="D47" s="52"/>
      <c r="E47" s="90"/>
      <c r="F47" s="53" t="str">
        <f t="shared" si="5"/>
        <v/>
      </c>
      <c r="G47" s="53" t="str">
        <f t="shared" si="6"/>
        <v/>
      </c>
      <c r="H47" s="53" t="str">
        <f t="shared" si="7"/>
        <v/>
      </c>
      <c r="I47" s="54" t="str">
        <f t="shared" si="8"/>
        <v/>
      </c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50"/>
      <c r="AY47" s="82" t="str">
        <f t="shared" si="9"/>
        <v/>
      </c>
    </row>
    <row r="48" spans="1:51" s="44" customFormat="1" ht="12" x14ac:dyDescent="0.2">
      <c r="A48" s="39" t="str">
        <f>IF(B48="","",INDEX(TeamList[],MATCH($B48,TeamList[[Employee Name]:[Employee Name]],0),MATCH("Manager",TeamList[#Headers],0)))</f>
        <v/>
      </c>
      <c r="B48" s="80"/>
      <c r="C48" s="51"/>
      <c r="D48" s="52"/>
      <c r="E48" s="90"/>
      <c r="F48" s="53" t="str">
        <f t="shared" si="5"/>
        <v/>
      </c>
      <c r="G48" s="53" t="str">
        <f t="shared" si="6"/>
        <v/>
      </c>
      <c r="H48" s="53" t="str">
        <f t="shared" si="7"/>
        <v/>
      </c>
      <c r="I48" s="54" t="str">
        <f t="shared" si="8"/>
        <v/>
      </c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50"/>
      <c r="AY48" s="82" t="str">
        <f t="shared" si="9"/>
        <v/>
      </c>
    </row>
    <row r="49" spans="1:51" s="44" customFormat="1" ht="12" x14ac:dyDescent="0.2">
      <c r="A49" s="39" t="str">
        <f>IF(B49="","",INDEX(TeamList[],MATCH($B49,TeamList[[Employee Name]:[Employee Name]],0),MATCH("Manager",TeamList[#Headers],0)))</f>
        <v/>
      </c>
      <c r="B49" s="80"/>
      <c r="C49" s="51"/>
      <c r="D49" s="52"/>
      <c r="E49" s="90"/>
      <c r="F49" s="53" t="str">
        <f t="shared" si="5"/>
        <v/>
      </c>
      <c r="G49" s="53" t="str">
        <f t="shared" si="6"/>
        <v/>
      </c>
      <c r="H49" s="53" t="str">
        <f t="shared" si="7"/>
        <v/>
      </c>
      <c r="I49" s="54" t="str">
        <f t="shared" si="8"/>
        <v/>
      </c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50"/>
      <c r="AY49" s="82" t="str">
        <f t="shared" si="9"/>
        <v/>
      </c>
    </row>
    <row r="50" spans="1:51" s="44" customFormat="1" ht="12" x14ac:dyDescent="0.2">
      <c r="A50" s="39" t="str">
        <f>IF(B50="","",INDEX(TeamList[],MATCH($B50,TeamList[[Employee Name]:[Employee Name]],0),MATCH("Manager",TeamList[#Headers],0)))</f>
        <v/>
      </c>
      <c r="B50" s="80"/>
      <c r="C50" s="51"/>
      <c r="D50" s="52"/>
      <c r="E50" s="90"/>
      <c r="F50" s="53" t="str">
        <f t="shared" si="5"/>
        <v/>
      </c>
      <c r="G50" s="53" t="str">
        <f t="shared" si="6"/>
        <v/>
      </c>
      <c r="H50" s="53" t="str">
        <f t="shared" si="7"/>
        <v/>
      </c>
      <c r="I50" s="54" t="str">
        <f t="shared" si="8"/>
        <v/>
      </c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50"/>
      <c r="AY50" s="82" t="str">
        <f t="shared" si="9"/>
        <v/>
      </c>
    </row>
    <row r="51" spans="1:51" s="44" customFormat="1" ht="12" x14ac:dyDescent="0.2">
      <c r="A51" s="39" t="str">
        <f>IF(B51="","",INDEX(TeamList[],MATCH($B51,TeamList[[Employee Name]:[Employee Name]],0),MATCH("Manager",TeamList[#Headers],0)))</f>
        <v/>
      </c>
      <c r="B51" s="80"/>
      <c r="C51" s="51"/>
      <c r="D51" s="52"/>
      <c r="E51" s="90"/>
      <c r="F51" s="53" t="str">
        <f t="shared" si="5"/>
        <v/>
      </c>
      <c r="G51" s="53" t="str">
        <f t="shared" si="6"/>
        <v/>
      </c>
      <c r="H51" s="53" t="str">
        <f t="shared" si="7"/>
        <v/>
      </c>
      <c r="I51" s="54" t="str">
        <f t="shared" si="8"/>
        <v/>
      </c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50"/>
      <c r="AY51" s="82" t="str">
        <f t="shared" si="9"/>
        <v/>
      </c>
    </row>
    <row r="52" spans="1:51" s="44" customFormat="1" ht="12" x14ac:dyDescent="0.2">
      <c r="A52" s="39" t="str">
        <f>IF(B52="","",INDEX(TeamList[],MATCH($B52,TeamList[[Employee Name]:[Employee Name]],0),MATCH("Manager",TeamList[#Headers],0)))</f>
        <v/>
      </c>
      <c r="B52" s="80"/>
      <c r="C52" s="51"/>
      <c r="D52" s="52"/>
      <c r="E52" s="90"/>
      <c r="F52" s="53" t="str">
        <f t="shared" si="5"/>
        <v/>
      </c>
      <c r="G52" s="53" t="str">
        <f t="shared" si="6"/>
        <v/>
      </c>
      <c r="H52" s="53" t="str">
        <f t="shared" si="7"/>
        <v/>
      </c>
      <c r="I52" s="54" t="str">
        <f t="shared" si="8"/>
        <v/>
      </c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50"/>
      <c r="AY52" s="82" t="str">
        <f t="shared" si="9"/>
        <v/>
      </c>
    </row>
    <row r="53" spans="1:51" s="44" customFormat="1" ht="12" x14ac:dyDescent="0.2">
      <c r="A53" s="39" t="str">
        <f>IF(B53="","",INDEX(TeamList[],MATCH($B53,TeamList[[Employee Name]:[Employee Name]],0),MATCH("Manager",TeamList[#Headers],0)))</f>
        <v/>
      </c>
      <c r="B53" s="80"/>
      <c r="C53" s="51"/>
      <c r="D53" s="52"/>
      <c r="E53" s="90"/>
      <c r="F53" s="53" t="str">
        <f t="shared" si="5"/>
        <v/>
      </c>
      <c r="G53" s="53" t="str">
        <f t="shared" si="6"/>
        <v/>
      </c>
      <c r="H53" s="53" t="str">
        <f t="shared" si="7"/>
        <v/>
      </c>
      <c r="I53" s="54" t="str">
        <f t="shared" si="8"/>
        <v/>
      </c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50"/>
      <c r="AY53" s="82" t="str">
        <f t="shared" si="9"/>
        <v/>
      </c>
    </row>
    <row r="54" spans="1:51" s="44" customFormat="1" ht="12" x14ac:dyDescent="0.2">
      <c r="A54" s="39" t="str">
        <f>IF(B54="","",INDEX(TeamList[],MATCH($B54,TeamList[[Employee Name]:[Employee Name]],0),MATCH("Manager",TeamList[#Headers],0)))</f>
        <v/>
      </c>
      <c r="B54" s="80"/>
      <c r="C54" s="51"/>
      <c r="D54" s="52"/>
      <c r="E54" s="90"/>
      <c r="F54" s="53" t="str">
        <f t="shared" si="5"/>
        <v/>
      </c>
      <c r="G54" s="53" t="str">
        <f t="shared" si="6"/>
        <v/>
      </c>
      <c r="H54" s="53" t="str">
        <f t="shared" si="7"/>
        <v/>
      </c>
      <c r="I54" s="54" t="str">
        <f t="shared" si="8"/>
        <v/>
      </c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50"/>
      <c r="AY54" s="82" t="str">
        <f t="shared" si="9"/>
        <v/>
      </c>
    </row>
    <row r="55" spans="1:51" s="44" customFormat="1" ht="12" x14ac:dyDescent="0.2">
      <c r="A55" s="39" t="str">
        <f>IF(B55="","",INDEX(TeamList[],MATCH($B55,TeamList[[Employee Name]:[Employee Name]],0),MATCH("Manager",TeamList[#Headers],0)))</f>
        <v/>
      </c>
      <c r="B55" s="80"/>
      <c r="C55" s="51"/>
      <c r="D55" s="52"/>
      <c r="E55" s="90"/>
      <c r="F55" s="53" t="str">
        <f t="shared" si="5"/>
        <v/>
      </c>
      <c r="G55" s="53" t="str">
        <f t="shared" si="6"/>
        <v/>
      </c>
      <c r="H55" s="53" t="str">
        <f t="shared" si="7"/>
        <v/>
      </c>
      <c r="I55" s="54" t="str">
        <f t="shared" si="8"/>
        <v/>
      </c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50"/>
      <c r="AY55" s="82" t="str">
        <f t="shared" si="9"/>
        <v/>
      </c>
    </row>
    <row r="56" spans="1:51" s="44" customFormat="1" ht="12" x14ac:dyDescent="0.2">
      <c r="A56" s="39" t="str">
        <f>IF(B56="","",INDEX(TeamList[],MATCH($B56,TeamList[[Employee Name]:[Employee Name]],0),MATCH("Manager",TeamList[#Headers],0)))</f>
        <v/>
      </c>
      <c r="B56" s="80"/>
      <c r="C56" s="51"/>
      <c r="D56" s="52"/>
      <c r="E56" s="90"/>
      <c r="F56" s="53" t="str">
        <f t="shared" si="5"/>
        <v/>
      </c>
      <c r="G56" s="53" t="str">
        <f t="shared" si="6"/>
        <v/>
      </c>
      <c r="H56" s="53" t="str">
        <f t="shared" si="7"/>
        <v/>
      </c>
      <c r="I56" s="54" t="str">
        <f t="shared" si="8"/>
        <v/>
      </c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50"/>
      <c r="AY56" s="82" t="str">
        <f t="shared" si="9"/>
        <v/>
      </c>
    </row>
    <row r="57" spans="1:51" s="44" customFormat="1" ht="12" x14ac:dyDescent="0.2">
      <c r="A57" s="39" t="str">
        <f>IF(B57="","",INDEX(TeamList[],MATCH($B57,TeamList[[Employee Name]:[Employee Name]],0),MATCH("Manager",TeamList[#Headers],0)))</f>
        <v/>
      </c>
      <c r="B57" s="80"/>
      <c r="C57" s="51"/>
      <c r="D57" s="52"/>
      <c r="E57" s="90"/>
      <c r="F57" s="53" t="str">
        <f t="shared" si="5"/>
        <v/>
      </c>
      <c r="G57" s="53" t="str">
        <f t="shared" si="6"/>
        <v/>
      </c>
      <c r="H57" s="53" t="str">
        <f t="shared" si="7"/>
        <v/>
      </c>
      <c r="I57" s="54" t="str">
        <f t="shared" si="8"/>
        <v/>
      </c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50"/>
      <c r="AY57" s="82" t="str">
        <f t="shared" si="9"/>
        <v/>
      </c>
    </row>
    <row r="58" spans="1:51" s="44" customFormat="1" ht="12" x14ac:dyDescent="0.2">
      <c r="A58" s="39" t="str">
        <f>IF(B58="","",INDEX(TeamList[],MATCH($B58,TeamList[[Employee Name]:[Employee Name]],0),MATCH("Manager",TeamList[#Headers],0)))</f>
        <v/>
      </c>
      <c r="B58" s="80"/>
      <c r="C58" s="51"/>
      <c r="D58" s="52"/>
      <c r="E58" s="90"/>
      <c r="F58" s="53" t="str">
        <f t="shared" si="5"/>
        <v/>
      </c>
      <c r="G58" s="53" t="str">
        <f t="shared" si="6"/>
        <v/>
      </c>
      <c r="H58" s="53" t="str">
        <f t="shared" si="7"/>
        <v/>
      </c>
      <c r="I58" s="54" t="str">
        <f t="shared" si="8"/>
        <v/>
      </c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  <c r="AO58" s="49"/>
      <c r="AP58" s="49"/>
      <c r="AQ58" s="49"/>
      <c r="AR58" s="49"/>
      <c r="AS58" s="49"/>
      <c r="AT58" s="49"/>
      <c r="AU58" s="49"/>
      <c r="AV58" s="49"/>
      <c r="AW58" s="49"/>
      <c r="AX58" s="50"/>
      <c r="AY58" s="82" t="str">
        <f t="shared" si="9"/>
        <v/>
      </c>
    </row>
    <row r="59" spans="1:51" s="44" customFormat="1" ht="12" x14ac:dyDescent="0.2">
      <c r="A59" s="39" t="str">
        <f>IF(B59="","",INDEX(TeamList[],MATCH($B59,TeamList[[Employee Name]:[Employee Name]],0),MATCH("Manager",TeamList[#Headers],0)))</f>
        <v/>
      </c>
      <c r="B59" s="80"/>
      <c r="C59" s="51"/>
      <c r="D59" s="52"/>
      <c r="E59" s="90"/>
      <c r="F59" s="53" t="str">
        <f t="shared" si="5"/>
        <v/>
      </c>
      <c r="G59" s="53" t="str">
        <f t="shared" si="6"/>
        <v/>
      </c>
      <c r="H59" s="53" t="str">
        <f t="shared" si="7"/>
        <v/>
      </c>
      <c r="I59" s="54" t="str">
        <f t="shared" si="8"/>
        <v/>
      </c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  <c r="AO59" s="49"/>
      <c r="AP59" s="49"/>
      <c r="AQ59" s="49"/>
      <c r="AR59" s="49"/>
      <c r="AS59" s="49"/>
      <c r="AT59" s="49"/>
      <c r="AU59" s="49"/>
      <c r="AV59" s="49"/>
      <c r="AW59" s="49"/>
      <c r="AX59" s="50"/>
      <c r="AY59" s="82" t="str">
        <f t="shared" si="9"/>
        <v/>
      </c>
    </row>
    <row r="60" spans="1:51" s="44" customFormat="1" ht="12" x14ac:dyDescent="0.2">
      <c r="A60" s="39" t="str">
        <f>IF(B60="","",INDEX(TeamList[],MATCH($B60,TeamList[[Employee Name]:[Employee Name]],0),MATCH("Manager",TeamList[#Headers],0)))</f>
        <v/>
      </c>
      <c r="B60" s="80"/>
      <c r="C60" s="51"/>
      <c r="D60" s="52"/>
      <c r="E60" s="90"/>
      <c r="F60" s="53" t="str">
        <f t="shared" si="5"/>
        <v/>
      </c>
      <c r="G60" s="53" t="str">
        <f t="shared" si="6"/>
        <v/>
      </c>
      <c r="H60" s="53" t="str">
        <f t="shared" si="7"/>
        <v/>
      </c>
      <c r="I60" s="54" t="str">
        <f t="shared" si="8"/>
        <v/>
      </c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50"/>
      <c r="AY60" s="82" t="str">
        <f t="shared" si="9"/>
        <v/>
      </c>
    </row>
    <row r="61" spans="1:51" s="44" customFormat="1" ht="12" x14ac:dyDescent="0.2">
      <c r="A61" s="39" t="str">
        <f>IF(B61="","",INDEX(TeamList[],MATCH($B61,TeamList[[Employee Name]:[Employee Name]],0),MATCH("Manager",TeamList[#Headers],0)))</f>
        <v/>
      </c>
      <c r="B61" s="80"/>
      <c r="C61" s="51"/>
      <c r="D61" s="52"/>
      <c r="E61" s="90"/>
      <c r="F61" s="53" t="str">
        <f t="shared" si="5"/>
        <v/>
      </c>
      <c r="G61" s="53" t="str">
        <f t="shared" si="6"/>
        <v/>
      </c>
      <c r="H61" s="53" t="str">
        <f t="shared" si="7"/>
        <v/>
      </c>
      <c r="I61" s="54" t="str">
        <f t="shared" si="8"/>
        <v/>
      </c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50"/>
      <c r="AY61" s="82" t="str">
        <f t="shared" si="9"/>
        <v/>
      </c>
    </row>
    <row r="62" spans="1:51" s="44" customFormat="1" ht="12" x14ac:dyDescent="0.2">
      <c r="A62" s="39" t="str">
        <f>IF(B62="","",INDEX(TeamList[],MATCH($B62,TeamList[[Employee Name]:[Employee Name]],0),MATCH("Manager",TeamList[#Headers],0)))</f>
        <v/>
      </c>
      <c r="B62" s="80"/>
      <c r="C62" s="51"/>
      <c r="D62" s="52"/>
      <c r="E62" s="90"/>
      <c r="F62" s="53" t="str">
        <f t="shared" si="5"/>
        <v/>
      </c>
      <c r="G62" s="53" t="str">
        <f t="shared" si="6"/>
        <v/>
      </c>
      <c r="H62" s="53" t="str">
        <f t="shared" si="7"/>
        <v/>
      </c>
      <c r="I62" s="54" t="str">
        <f t="shared" si="8"/>
        <v/>
      </c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50"/>
      <c r="AY62" s="82" t="str">
        <f t="shared" si="9"/>
        <v/>
      </c>
    </row>
    <row r="63" spans="1:51" s="44" customFormat="1" ht="12" x14ac:dyDescent="0.2">
      <c r="A63" s="39" t="str">
        <f>IF(B63="","",INDEX(TeamList[],MATCH($B63,TeamList[[Employee Name]:[Employee Name]],0),MATCH("Manager",TeamList[#Headers],0)))</f>
        <v/>
      </c>
      <c r="B63" s="80"/>
      <c r="C63" s="51"/>
      <c r="D63" s="52"/>
      <c r="E63" s="90"/>
      <c r="F63" s="53" t="str">
        <f t="shared" si="5"/>
        <v/>
      </c>
      <c r="G63" s="53" t="str">
        <f t="shared" si="6"/>
        <v/>
      </c>
      <c r="H63" s="53" t="str">
        <f t="shared" si="7"/>
        <v/>
      </c>
      <c r="I63" s="54" t="str">
        <f t="shared" si="8"/>
        <v/>
      </c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49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50"/>
      <c r="AY63" s="82" t="str">
        <f t="shared" si="9"/>
        <v/>
      </c>
    </row>
    <row r="64" spans="1:51" s="44" customFormat="1" ht="12" x14ac:dyDescent="0.2">
      <c r="A64" s="39" t="str">
        <f>IF(B64="","",INDEX(TeamList[],MATCH($B64,TeamList[[Employee Name]:[Employee Name]],0),MATCH("Manager",TeamList[#Headers],0)))</f>
        <v/>
      </c>
      <c r="B64" s="80"/>
      <c r="C64" s="51"/>
      <c r="D64" s="52"/>
      <c r="E64" s="90"/>
      <c r="F64" s="53" t="str">
        <f t="shared" si="5"/>
        <v/>
      </c>
      <c r="G64" s="53" t="str">
        <f t="shared" si="6"/>
        <v/>
      </c>
      <c r="H64" s="53" t="str">
        <f t="shared" si="7"/>
        <v/>
      </c>
      <c r="I64" s="54" t="str">
        <f t="shared" si="8"/>
        <v/>
      </c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50"/>
      <c r="AY64" s="82" t="str">
        <f t="shared" si="9"/>
        <v/>
      </c>
    </row>
    <row r="65" spans="1:51" s="44" customFormat="1" ht="12" x14ac:dyDescent="0.2">
      <c r="A65" s="39" t="str">
        <f>IF(B65="","",INDEX(TeamList[],MATCH($B65,TeamList[[Employee Name]:[Employee Name]],0),MATCH("Manager",TeamList[#Headers],0)))</f>
        <v/>
      </c>
      <c r="B65" s="80"/>
      <c r="C65" s="51"/>
      <c r="D65" s="52"/>
      <c r="E65" s="90"/>
      <c r="F65" s="53" t="str">
        <f t="shared" si="5"/>
        <v/>
      </c>
      <c r="G65" s="53" t="str">
        <f t="shared" si="6"/>
        <v/>
      </c>
      <c r="H65" s="53" t="str">
        <f t="shared" si="7"/>
        <v/>
      </c>
      <c r="I65" s="54" t="str">
        <f t="shared" si="8"/>
        <v/>
      </c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50"/>
      <c r="AY65" s="82" t="str">
        <f t="shared" si="9"/>
        <v/>
      </c>
    </row>
    <row r="66" spans="1:51" s="44" customFormat="1" ht="12" x14ac:dyDescent="0.2">
      <c r="A66" s="39" t="str">
        <f>IF(B66="","",INDEX(TeamList[],MATCH($B66,TeamList[[Employee Name]:[Employee Name]],0),MATCH("Manager",TeamList[#Headers],0)))</f>
        <v/>
      </c>
      <c r="B66" s="80"/>
      <c r="C66" s="51"/>
      <c r="D66" s="52"/>
      <c r="E66" s="90"/>
      <c r="F66" s="53" t="str">
        <f t="shared" si="5"/>
        <v/>
      </c>
      <c r="G66" s="53" t="str">
        <f t="shared" si="6"/>
        <v/>
      </c>
      <c r="H66" s="53" t="str">
        <f t="shared" si="7"/>
        <v/>
      </c>
      <c r="I66" s="54" t="str">
        <f t="shared" si="8"/>
        <v/>
      </c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50"/>
      <c r="AY66" s="82" t="str">
        <f t="shared" si="9"/>
        <v/>
      </c>
    </row>
    <row r="67" spans="1:51" s="44" customFormat="1" ht="12" x14ac:dyDescent="0.2">
      <c r="A67" s="39" t="str">
        <f>IF(B67="","",INDEX(TeamList[],MATCH($B67,TeamList[[Employee Name]:[Employee Name]],0),MATCH("Manager",TeamList[#Headers],0)))</f>
        <v/>
      </c>
      <c r="B67" s="80"/>
      <c r="C67" s="51"/>
      <c r="D67" s="52"/>
      <c r="E67" s="90"/>
      <c r="F67" s="53" t="str">
        <f t="shared" si="5"/>
        <v/>
      </c>
      <c r="G67" s="53" t="str">
        <f t="shared" si="6"/>
        <v/>
      </c>
      <c r="H67" s="53" t="str">
        <f t="shared" si="7"/>
        <v/>
      </c>
      <c r="I67" s="54" t="str">
        <f t="shared" si="8"/>
        <v/>
      </c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50"/>
      <c r="AY67" s="82" t="str">
        <f t="shared" si="9"/>
        <v/>
      </c>
    </row>
    <row r="68" spans="1:51" s="44" customFormat="1" ht="12" x14ac:dyDescent="0.2">
      <c r="A68" s="39" t="str">
        <f>IF(B68="","",INDEX(TeamList[],MATCH($B68,TeamList[[Employee Name]:[Employee Name]],0),MATCH("Manager",TeamList[#Headers],0)))</f>
        <v/>
      </c>
      <c r="B68" s="80"/>
      <c r="C68" s="51"/>
      <c r="D68" s="52"/>
      <c r="E68" s="90"/>
      <c r="F68" s="53" t="str">
        <f t="shared" si="5"/>
        <v/>
      </c>
      <c r="G68" s="53" t="str">
        <f t="shared" si="6"/>
        <v/>
      </c>
      <c r="H68" s="53" t="str">
        <f t="shared" si="7"/>
        <v/>
      </c>
      <c r="I68" s="54" t="str">
        <f t="shared" si="8"/>
        <v/>
      </c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50"/>
      <c r="AY68" s="82" t="str">
        <f t="shared" si="9"/>
        <v/>
      </c>
    </row>
    <row r="69" spans="1:51" s="44" customFormat="1" ht="12" x14ac:dyDescent="0.2">
      <c r="A69" s="39" t="str">
        <f>IF(B69="","",INDEX(TeamList[],MATCH($B69,TeamList[[Employee Name]:[Employee Name]],0),MATCH("Manager",TeamList[#Headers],0)))</f>
        <v/>
      </c>
      <c r="B69" s="80"/>
      <c r="C69" s="51"/>
      <c r="D69" s="52"/>
      <c r="E69" s="90"/>
      <c r="F69" s="53" t="str">
        <f t="shared" si="5"/>
        <v/>
      </c>
      <c r="G69" s="53" t="str">
        <f t="shared" si="6"/>
        <v/>
      </c>
      <c r="H69" s="53" t="str">
        <f t="shared" si="7"/>
        <v/>
      </c>
      <c r="I69" s="54" t="str">
        <f t="shared" si="8"/>
        <v/>
      </c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50"/>
      <c r="AY69" s="82" t="str">
        <f t="shared" si="9"/>
        <v/>
      </c>
    </row>
    <row r="70" spans="1:51" s="44" customFormat="1" ht="12" x14ac:dyDescent="0.2">
      <c r="A70" s="39" t="str">
        <f>IF(B70="","",INDEX(TeamList[],MATCH($B70,TeamList[[Employee Name]:[Employee Name]],0),MATCH("Manager",TeamList[#Headers],0)))</f>
        <v/>
      </c>
      <c r="B70" s="80"/>
      <c r="C70" s="51"/>
      <c r="D70" s="52"/>
      <c r="E70" s="90"/>
      <c r="F70" s="53" t="str">
        <f t="shared" si="5"/>
        <v/>
      </c>
      <c r="G70" s="53" t="str">
        <f t="shared" si="6"/>
        <v/>
      </c>
      <c r="H70" s="53" t="str">
        <f t="shared" si="7"/>
        <v/>
      </c>
      <c r="I70" s="54" t="str">
        <f t="shared" si="8"/>
        <v/>
      </c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  <c r="AO70" s="49"/>
      <c r="AP70" s="49"/>
      <c r="AQ70" s="49"/>
      <c r="AR70" s="49"/>
      <c r="AS70" s="49"/>
      <c r="AT70" s="49"/>
      <c r="AU70" s="49"/>
      <c r="AV70" s="49"/>
      <c r="AW70" s="49"/>
      <c r="AX70" s="50"/>
      <c r="AY70" s="82" t="str">
        <f t="shared" si="9"/>
        <v/>
      </c>
    </row>
    <row r="71" spans="1:51" s="44" customFormat="1" ht="12" x14ac:dyDescent="0.2">
      <c r="A71" s="39" t="str">
        <f>IF(B71="","",INDEX(TeamList[],MATCH($B71,TeamList[[Employee Name]:[Employee Name]],0),MATCH("Manager",TeamList[#Headers],0)))</f>
        <v/>
      </c>
      <c r="B71" s="80"/>
      <c r="C71" s="51"/>
      <c r="D71" s="52"/>
      <c r="E71" s="90"/>
      <c r="F71" s="53" t="str">
        <f t="shared" si="5"/>
        <v/>
      </c>
      <c r="G71" s="53" t="str">
        <f t="shared" si="6"/>
        <v/>
      </c>
      <c r="H71" s="53" t="str">
        <f t="shared" si="7"/>
        <v/>
      </c>
      <c r="I71" s="54" t="str">
        <f t="shared" si="8"/>
        <v/>
      </c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49"/>
      <c r="AT71" s="49"/>
      <c r="AU71" s="49"/>
      <c r="AV71" s="49"/>
      <c r="AW71" s="49"/>
      <c r="AX71" s="50"/>
      <c r="AY71" s="82" t="str">
        <f t="shared" si="9"/>
        <v/>
      </c>
    </row>
    <row r="72" spans="1:51" s="44" customFormat="1" ht="12" x14ac:dyDescent="0.2">
      <c r="A72" s="39" t="str">
        <f>IF(B72="","",INDEX(TeamList[],MATCH($B72,TeamList[[Employee Name]:[Employee Name]],0),MATCH("Manager",TeamList[#Headers],0)))</f>
        <v/>
      </c>
      <c r="B72" s="80"/>
      <c r="C72" s="51"/>
      <c r="D72" s="52"/>
      <c r="E72" s="90"/>
      <c r="F72" s="53" t="str">
        <f t="shared" si="5"/>
        <v/>
      </c>
      <c r="G72" s="53" t="str">
        <f t="shared" si="6"/>
        <v/>
      </c>
      <c r="H72" s="53" t="str">
        <f t="shared" si="7"/>
        <v/>
      </c>
      <c r="I72" s="54" t="str">
        <f t="shared" si="8"/>
        <v/>
      </c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  <c r="AO72" s="49"/>
      <c r="AP72" s="49"/>
      <c r="AQ72" s="49"/>
      <c r="AR72" s="49"/>
      <c r="AS72" s="49"/>
      <c r="AT72" s="49"/>
      <c r="AU72" s="49"/>
      <c r="AV72" s="49"/>
      <c r="AW72" s="49"/>
      <c r="AX72" s="50"/>
      <c r="AY72" s="82" t="str">
        <f t="shared" si="9"/>
        <v/>
      </c>
    </row>
    <row r="73" spans="1:51" s="44" customFormat="1" ht="12" x14ac:dyDescent="0.2">
      <c r="A73" s="39" t="str">
        <f>IF(B73="","",INDEX(TeamList[],MATCH($B73,TeamList[[Employee Name]:[Employee Name]],0),MATCH("Manager",TeamList[#Headers],0)))</f>
        <v/>
      </c>
      <c r="B73" s="80"/>
      <c r="C73" s="51"/>
      <c r="D73" s="52"/>
      <c r="E73" s="90"/>
      <c r="F73" s="53" t="str">
        <f t="shared" si="5"/>
        <v/>
      </c>
      <c r="G73" s="53" t="str">
        <f t="shared" si="6"/>
        <v/>
      </c>
      <c r="H73" s="53" t="str">
        <f t="shared" si="7"/>
        <v/>
      </c>
      <c r="I73" s="54" t="str">
        <f t="shared" si="8"/>
        <v/>
      </c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50"/>
      <c r="AY73" s="82" t="str">
        <f t="shared" si="9"/>
        <v/>
      </c>
    </row>
    <row r="74" spans="1:51" s="44" customFormat="1" ht="12" x14ac:dyDescent="0.2">
      <c r="A74" s="39" t="str">
        <f>IF(B74="","",INDEX(TeamList[],MATCH($B74,TeamList[[Employee Name]:[Employee Name]],0),MATCH("Manager",TeamList[#Headers],0)))</f>
        <v/>
      </c>
      <c r="B74" s="80"/>
      <c r="C74" s="51"/>
      <c r="D74" s="52"/>
      <c r="E74" s="90"/>
      <c r="F74" s="53" t="str">
        <f t="shared" ref="F74:F79" si="10">IF(B74="","",COUNTIFS($K74:$AV74,"*HL*"))</f>
        <v/>
      </c>
      <c r="G74" s="53" t="str">
        <f t="shared" ref="G74:G79" si="11">IF(B74="","",COUNTIFS($K74:$AV74,"*TM*"))</f>
        <v/>
      </c>
      <c r="H74" s="53" t="str">
        <f t="shared" ref="H74:H79" si="12">IF(B74="","",COUNTIFS($K74:$AV74,"*ADM*"))</f>
        <v/>
      </c>
      <c r="I74" s="54" t="str">
        <f t="shared" ref="I74:I79" si="13">IF(B74="","",COUNTIFS($K74:$AV74,"*RTA*"))</f>
        <v/>
      </c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  <c r="AO74" s="49"/>
      <c r="AP74" s="49"/>
      <c r="AQ74" s="49"/>
      <c r="AR74" s="49"/>
      <c r="AS74" s="49"/>
      <c r="AT74" s="49"/>
      <c r="AU74" s="49"/>
      <c r="AV74" s="49"/>
      <c r="AW74" s="49"/>
      <c r="AX74" s="50"/>
      <c r="AY74" s="82" t="str">
        <f t="shared" ref="AY74:AY79" si="14">IF(B74="","",B74)</f>
        <v/>
      </c>
    </row>
    <row r="75" spans="1:51" s="44" customFormat="1" ht="12" x14ac:dyDescent="0.2">
      <c r="A75" s="39" t="str">
        <f>IF(B75="","",INDEX(TeamList[],MATCH($B75,TeamList[[Employee Name]:[Employee Name]],0),MATCH("Manager",TeamList[#Headers],0)))</f>
        <v/>
      </c>
      <c r="B75" s="80"/>
      <c r="C75" s="51"/>
      <c r="D75" s="52"/>
      <c r="E75" s="90"/>
      <c r="F75" s="53" t="str">
        <f t="shared" si="10"/>
        <v/>
      </c>
      <c r="G75" s="53" t="str">
        <f t="shared" si="11"/>
        <v/>
      </c>
      <c r="H75" s="53" t="str">
        <f t="shared" si="12"/>
        <v/>
      </c>
      <c r="I75" s="54" t="str">
        <f t="shared" si="13"/>
        <v/>
      </c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50"/>
      <c r="AY75" s="82" t="str">
        <f t="shared" si="14"/>
        <v/>
      </c>
    </row>
    <row r="76" spans="1:51" s="44" customFormat="1" ht="12" x14ac:dyDescent="0.2">
      <c r="A76" s="39" t="str">
        <f>IF(B76="","",INDEX(TeamList[],MATCH($B76,TeamList[[Employee Name]:[Employee Name]],0),MATCH("Manager",TeamList[#Headers],0)))</f>
        <v/>
      </c>
      <c r="B76" s="80"/>
      <c r="C76" s="51"/>
      <c r="D76" s="52"/>
      <c r="E76" s="90"/>
      <c r="F76" s="53" t="str">
        <f t="shared" si="10"/>
        <v/>
      </c>
      <c r="G76" s="53" t="str">
        <f t="shared" si="11"/>
        <v/>
      </c>
      <c r="H76" s="53" t="str">
        <f t="shared" si="12"/>
        <v/>
      </c>
      <c r="I76" s="54" t="str">
        <f t="shared" si="13"/>
        <v/>
      </c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  <c r="AO76" s="49"/>
      <c r="AP76" s="49"/>
      <c r="AQ76" s="49"/>
      <c r="AR76" s="49"/>
      <c r="AS76" s="49"/>
      <c r="AT76" s="49"/>
      <c r="AU76" s="49"/>
      <c r="AV76" s="49"/>
      <c r="AW76" s="49"/>
      <c r="AX76" s="50"/>
      <c r="AY76" s="82" t="str">
        <f t="shared" si="14"/>
        <v/>
      </c>
    </row>
    <row r="77" spans="1:51" s="44" customFormat="1" ht="12" x14ac:dyDescent="0.2">
      <c r="A77" s="39" t="str">
        <f>IF(B77="","",INDEX(TeamList[],MATCH($B77,TeamList[[Employee Name]:[Employee Name]],0),MATCH("Manager",TeamList[#Headers],0)))</f>
        <v/>
      </c>
      <c r="B77" s="80"/>
      <c r="C77" s="51"/>
      <c r="D77" s="52"/>
      <c r="E77" s="90"/>
      <c r="F77" s="53" t="str">
        <f t="shared" si="10"/>
        <v/>
      </c>
      <c r="G77" s="53" t="str">
        <f t="shared" si="11"/>
        <v/>
      </c>
      <c r="H77" s="53" t="str">
        <f t="shared" si="12"/>
        <v/>
      </c>
      <c r="I77" s="54" t="str">
        <f t="shared" si="13"/>
        <v/>
      </c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  <c r="AO77" s="49"/>
      <c r="AP77" s="49"/>
      <c r="AQ77" s="49"/>
      <c r="AR77" s="49"/>
      <c r="AS77" s="49"/>
      <c r="AT77" s="49"/>
      <c r="AU77" s="49"/>
      <c r="AV77" s="49"/>
      <c r="AW77" s="49"/>
      <c r="AX77" s="50"/>
      <c r="AY77" s="82" t="str">
        <f t="shared" si="14"/>
        <v/>
      </c>
    </row>
    <row r="78" spans="1:51" s="44" customFormat="1" ht="12" x14ac:dyDescent="0.2">
      <c r="A78" s="39" t="str">
        <f>IF(B78="","",INDEX(TeamList[],MATCH($B78,TeamList[[Employee Name]:[Employee Name]],0),MATCH("Manager",TeamList[#Headers],0)))</f>
        <v/>
      </c>
      <c r="B78" s="80"/>
      <c r="C78" s="51"/>
      <c r="D78" s="52"/>
      <c r="E78" s="90"/>
      <c r="F78" s="53" t="str">
        <f t="shared" si="10"/>
        <v/>
      </c>
      <c r="G78" s="53" t="str">
        <f t="shared" si="11"/>
        <v/>
      </c>
      <c r="H78" s="53" t="str">
        <f t="shared" si="12"/>
        <v/>
      </c>
      <c r="I78" s="54" t="str">
        <f t="shared" si="13"/>
        <v/>
      </c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  <c r="AO78" s="49"/>
      <c r="AP78" s="49"/>
      <c r="AQ78" s="49"/>
      <c r="AR78" s="49"/>
      <c r="AS78" s="49"/>
      <c r="AT78" s="49"/>
      <c r="AU78" s="49"/>
      <c r="AV78" s="49"/>
      <c r="AW78" s="49"/>
      <c r="AX78" s="50"/>
      <c r="AY78" s="82" t="str">
        <f t="shared" si="14"/>
        <v/>
      </c>
    </row>
    <row r="79" spans="1:51" s="44" customFormat="1" ht="12" x14ac:dyDescent="0.2">
      <c r="A79" s="39" t="str">
        <f>IF(B79="","",INDEX(TeamList[],MATCH($B79,TeamList[[Employee Name]:[Employee Name]],0),MATCH("Manager",TeamList[#Headers],0)))</f>
        <v/>
      </c>
      <c r="B79" s="81"/>
      <c r="C79" s="56"/>
      <c r="D79" s="57"/>
      <c r="E79" s="91"/>
      <c r="F79" s="58" t="str">
        <f t="shared" si="10"/>
        <v/>
      </c>
      <c r="G79" s="58" t="str">
        <f t="shared" si="11"/>
        <v/>
      </c>
      <c r="H79" s="58" t="str">
        <f t="shared" si="12"/>
        <v/>
      </c>
      <c r="I79" s="59" t="str">
        <f t="shared" si="13"/>
        <v/>
      </c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  <c r="AO79" s="49"/>
      <c r="AP79" s="49"/>
      <c r="AQ79" s="49"/>
      <c r="AR79" s="49"/>
      <c r="AS79" s="49"/>
      <c r="AT79" s="49"/>
      <c r="AU79" s="49"/>
      <c r="AV79" s="49"/>
      <c r="AW79" s="49"/>
      <c r="AX79" s="50"/>
      <c r="AY79" s="83" t="str">
        <f t="shared" si="14"/>
        <v/>
      </c>
    </row>
    <row r="80" spans="1:51" s="44" customFormat="1" ht="3" customHeight="1" thickBot="1" x14ac:dyDescent="0.25">
      <c r="A80" s="39"/>
      <c r="B80" s="61"/>
      <c r="C80" s="61"/>
      <c r="D80" s="62"/>
      <c r="E80" s="92"/>
      <c r="F80" s="63"/>
      <c r="G80" s="63"/>
      <c r="H80" s="63"/>
      <c r="I80" s="64"/>
      <c r="J80" s="49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  <c r="AB80" s="50"/>
      <c r="AC80" s="50"/>
      <c r="AD80" s="50"/>
      <c r="AE80" s="50"/>
      <c r="AF80" s="50"/>
      <c r="AG80" s="50"/>
      <c r="AH80" s="50"/>
      <c r="AI80" s="50"/>
      <c r="AJ80" s="50"/>
      <c r="AK80" s="50"/>
      <c r="AL80" s="50"/>
      <c r="AM80" s="50"/>
      <c r="AN80" s="50"/>
      <c r="AO80" s="50"/>
      <c r="AP80" s="50"/>
      <c r="AQ80" s="50"/>
      <c r="AR80" s="50"/>
      <c r="AS80" s="50"/>
      <c r="AT80" s="50"/>
      <c r="AU80" s="50"/>
      <c r="AV80" s="50"/>
      <c r="AW80" s="50"/>
      <c r="AX80" s="50"/>
      <c r="AY80" s="60"/>
    </row>
    <row r="81" spans="1:51" ht="5.0999999999999996" customHeight="1" thickBot="1" x14ac:dyDescent="0.25">
      <c r="A81" s="15"/>
      <c r="B81" s="28"/>
      <c r="C81" s="28"/>
      <c r="D81" s="29"/>
      <c r="E81" s="29"/>
      <c r="F81" s="30"/>
      <c r="G81" s="30"/>
      <c r="H81" s="30"/>
      <c r="I81" s="30"/>
      <c r="J81" s="25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3"/>
    </row>
    <row r="82" spans="1:51" ht="15.75" customHeight="1" thickBot="1" x14ac:dyDescent="0.25">
      <c r="B82" s="20"/>
      <c r="C82" s="21"/>
      <c r="D82" s="21"/>
      <c r="E82" s="21" t="s">
        <v>92</v>
      </c>
      <c r="F82" s="21">
        <f>SUM(F10:F79)</f>
        <v>0</v>
      </c>
      <c r="G82" s="21">
        <f>SUM(G10:G79)</f>
        <v>0</v>
      </c>
      <c r="H82" s="21">
        <f>SUM(H10:H79)</f>
        <v>0</v>
      </c>
      <c r="I82" s="21">
        <f>SUM(I10:I79)</f>
        <v>0</v>
      </c>
      <c r="J82" s="21"/>
      <c r="K82" s="27">
        <v>500</v>
      </c>
      <c r="L82" s="27">
        <v>530</v>
      </c>
      <c r="M82" s="27">
        <v>600</v>
      </c>
      <c r="N82" s="27">
        <v>630</v>
      </c>
      <c r="O82" s="27">
        <v>700</v>
      </c>
      <c r="P82" s="27">
        <v>730</v>
      </c>
      <c r="Q82" s="27">
        <v>800</v>
      </c>
      <c r="R82" s="27">
        <v>830</v>
      </c>
      <c r="S82" s="27">
        <v>900</v>
      </c>
      <c r="T82" s="27">
        <v>930</v>
      </c>
      <c r="U82" s="27">
        <v>1000</v>
      </c>
      <c r="V82" s="27">
        <v>1030</v>
      </c>
      <c r="W82" s="27">
        <v>1100</v>
      </c>
      <c r="X82" s="27">
        <v>1130</v>
      </c>
      <c r="Y82" s="27">
        <v>1200</v>
      </c>
      <c r="Z82" s="27">
        <v>1230</v>
      </c>
      <c r="AA82" s="27">
        <v>1300</v>
      </c>
      <c r="AB82" s="27">
        <v>1330</v>
      </c>
      <c r="AC82" s="27">
        <v>1400</v>
      </c>
      <c r="AD82" s="27">
        <v>1430</v>
      </c>
      <c r="AE82" s="27">
        <v>1500</v>
      </c>
      <c r="AF82" s="27">
        <v>1530</v>
      </c>
      <c r="AG82" s="27">
        <v>1600</v>
      </c>
      <c r="AH82" s="27">
        <v>1630</v>
      </c>
      <c r="AI82" s="27">
        <v>1700</v>
      </c>
      <c r="AJ82" s="27">
        <v>1730</v>
      </c>
      <c r="AK82" s="27">
        <v>1800</v>
      </c>
      <c r="AL82" s="27">
        <v>1830</v>
      </c>
      <c r="AM82" s="27">
        <v>1900</v>
      </c>
      <c r="AN82" s="27">
        <v>1930</v>
      </c>
      <c r="AO82" s="27">
        <v>2000</v>
      </c>
      <c r="AP82" s="27">
        <v>2030</v>
      </c>
      <c r="AQ82" s="27">
        <v>2100</v>
      </c>
      <c r="AR82" s="27">
        <v>2130</v>
      </c>
      <c r="AS82" s="27">
        <v>2200</v>
      </c>
      <c r="AT82" s="27">
        <v>2230</v>
      </c>
      <c r="AU82" s="27">
        <v>2300</v>
      </c>
      <c r="AV82" s="27">
        <v>2330</v>
      </c>
      <c r="AW82" s="27">
        <v>0</v>
      </c>
      <c r="AX82" s="27"/>
      <c r="AY82" s="22" t="s">
        <v>2</v>
      </c>
    </row>
    <row r="83" spans="1:51" ht="6" customHeight="1" thickBot="1" x14ac:dyDescent="0.25"/>
    <row r="84" spans="1:51" ht="15" customHeight="1" x14ac:dyDescent="0.2">
      <c r="G84" s="481" t="s">
        <v>133</v>
      </c>
      <c r="H84" s="482"/>
      <c r="I84" s="482"/>
      <c r="J84" s="483"/>
      <c r="K84" s="75">
        <v>0</v>
      </c>
      <c r="L84" s="75">
        <v>3</v>
      </c>
      <c r="M84" s="75">
        <v>4</v>
      </c>
      <c r="N84" s="75">
        <v>5</v>
      </c>
      <c r="O84" s="75">
        <v>3</v>
      </c>
      <c r="P84" s="75">
        <v>8</v>
      </c>
      <c r="Q84" s="75">
        <v>4</v>
      </c>
      <c r="R84" s="75">
        <v>8</v>
      </c>
      <c r="S84" s="75">
        <v>7</v>
      </c>
      <c r="T84" s="75">
        <v>5</v>
      </c>
      <c r="U84" s="75">
        <v>5</v>
      </c>
      <c r="V84" s="75">
        <v>9</v>
      </c>
      <c r="W84" s="75">
        <v>11</v>
      </c>
      <c r="X84" s="75">
        <v>7</v>
      </c>
      <c r="Y84" s="75">
        <v>8</v>
      </c>
      <c r="Z84" s="75">
        <v>8</v>
      </c>
      <c r="AA84" s="75">
        <v>13</v>
      </c>
      <c r="AB84" s="75">
        <v>7</v>
      </c>
      <c r="AC84" s="75">
        <v>5</v>
      </c>
      <c r="AD84" s="75">
        <v>13</v>
      </c>
      <c r="AE84" s="75">
        <v>8</v>
      </c>
      <c r="AF84" s="75">
        <v>12</v>
      </c>
      <c r="AG84" s="75">
        <v>5</v>
      </c>
      <c r="AH84" s="75">
        <v>11</v>
      </c>
      <c r="AI84" s="75">
        <v>8</v>
      </c>
      <c r="AJ84" s="75">
        <v>1</v>
      </c>
      <c r="AK84" s="75">
        <v>3</v>
      </c>
      <c r="AL84" s="75">
        <v>10</v>
      </c>
      <c r="AM84" s="75">
        <v>4</v>
      </c>
      <c r="AN84" s="75">
        <v>2</v>
      </c>
      <c r="AO84" s="75">
        <v>2</v>
      </c>
      <c r="AP84" s="75">
        <v>0</v>
      </c>
      <c r="AQ84" s="75">
        <v>2</v>
      </c>
      <c r="AR84" s="75">
        <v>2</v>
      </c>
      <c r="AS84" s="75">
        <v>1</v>
      </c>
      <c r="AT84" s="75">
        <v>1</v>
      </c>
      <c r="AU84" s="75">
        <v>2</v>
      </c>
      <c r="AV84" s="75">
        <v>0</v>
      </c>
      <c r="AW84" s="100"/>
      <c r="AX84" s="32"/>
      <c r="AY84" s="35" t="str">
        <f>G84</f>
        <v>Help Line Calls / Interval</v>
      </c>
    </row>
    <row r="85" spans="1:51" x14ac:dyDescent="0.2">
      <c r="G85" s="471" t="s">
        <v>134</v>
      </c>
      <c r="H85" s="472"/>
      <c r="I85" s="472"/>
      <c r="J85" s="473"/>
      <c r="K85" s="76">
        <f>IF(ROUNDUP(K84/4,0)&lt;2,2,ROUNDUP(K84/4,0))</f>
        <v>2</v>
      </c>
      <c r="L85" s="76">
        <f t="shared" ref="L85:AV85" si="15">IF(ROUNDUP(L84/4,0)&lt;2,2,ROUNDUP(L84/4,0))</f>
        <v>2</v>
      </c>
      <c r="M85" s="76">
        <f t="shared" si="15"/>
        <v>2</v>
      </c>
      <c r="N85" s="76">
        <f t="shared" si="15"/>
        <v>2</v>
      </c>
      <c r="O85" s="76">
        <f t="shared" si="15"/>
        <v>2</v>
      </c>
      <c r="P85" s="76">
        <f t="shared" si="15"/>
        <v>2</v>
      </c>
      <c r="Q85" s="76">
        <f t="shared" si="15"/>
        <v>2</v>
      </c>
      <c r="R85" s="76">
        <f t="shared" si="15"/>
        <v>2</v>
      </c>
      <c r="S85" s="76">
        <f t="shared" si="15"/>
        <v>2</v>
      </c>
      <c r="T85" s="76">
        <f t="shared" si="15"/>
        <v>2</v>
      </c>
      <c r="U85" s="76">
        <f t="shared" si="15"/>
        <v>2</v>
      </c>
      <c r="V85" s="76">
        <f t="shared" si="15"/>
        <v>3</v>
      </c>
      <c r="W85" s="76">
        <f t="shared" si="15"/>
        <v>3</v>
      </c>
      <c r="X85" s="76">
        <f t="shared" si="15"/>
        <v>2</v>
      </c>
      <c r="Y85" s="76">
        <f t="shared" si="15"/>
        <v>2</v>
      </c>
      <c r="Z85" s="76">
        <f t="shared" si="15"/>
        <v>2</v>
      </c>
      <c r="AA85" s="76">
        <f t="shared" si="15"/>
        <v>4</v>
      </c>
      <c r="AB85" s="76">
        <f t="shared" si="15"/>
        <v>2</v>
      </c>
      <c r="AC85" s="76">
        <f t="shared" si="15"/>
        <v>2</v>
      </c>
      <c r="AD85" s="76">
        <f t="shared" si="15"/>
        <v>4</v>
      </c>
      <c r="AE85" s="76">
        <f t="shared" si="15"/>
        <v>2</v>
      </c>
      <c r="AF85" s="76">
        <f t="shared" si="15"/>
        <v>3</v>
      </c>
      <c r="AG85" s="76">
        <f t="shared" si="15"/>
        <v>2</v>
      </c>
      <c r="AH85" s="76">
        <f t="shared" si="15"/>
        <v>3</v>
      </c>
      <c r="AI85" s="76">
        <f t="shared" si="15"/>
        <v>2</v>
      </c>
      <c r="AJ85" s="76">
        <f t="shared" si="15"/>
        <v>2</v>
      </c>
      <c r="AK85" s="76">
        <f t="shared" si="15"/>
        <v>2</v>
      </c>
      <c r="AL85" s="76">
        <f t="shared" si="15"/>
        <v>3</v>
      </c>
      <c r="AM85" s="76">
        <f t="shared" si="15"/>
        <v>2</v>
      </c>
      <c r="AN85" s="76">
        <f t="shared" si="15"/>
        <v>2</v>
      </c>
      <c r="AO85" s="76">
        <f t="shared" si="15"/>
        <v>2</v>
      </c>
      <c r="AP85" s="76">
        <f t="shared" si="15"/>
        <v>2</v>
      </c>
      <c r="AQ85" s="76">
        <f t="shared" si="15"/>
        <v>2</v>
      </c>
      <c r="AR85" s="76">
        <f t="shared" si="15"/>
        <v>2</v>
      </c>
      <c r="AS85" s="76">
        <f t="shared" si="15"/>
        <v>2</v>
      </c>
      <c r="AT85" s="76">
        <f t="shared" si="15"/>
        <v>2</v>
      </c>
      <c r="AU85" s="76">
        <f t="shared" si="15"/>
        <v>2</v>
      </c>
      <c r="AV85" s="76">
        <f t="shared" si="15"/>
        <v>2</v>
      </c>
      <c r="AW85" s="101"/>
      <c r="AX85" s="31"/>
      <c r="AY85" s="36" t="str">
        <f>G85</f>
        <v>Help Line Support Needed</v>
      </c>
    </row>
    <row r="86" spans="1:51" ht="6" customHeight="1" x14ac:dyDescent="0.2">
      <c r="G86" s="471"/>
      <c r="H86" s="472"/>
      <c r="I86" s="472"/>
      <c r="J86" s="472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34"/>
      <c r="AY86" s="37"/>
    </row>
    <row r="87" spans="1:51" x14ac:dyDescent="0.2">
      <c r="G87" s="471" t="s">
        <v>135</v>
      </c>
      <c r="H87" s="472"/>
      <c r="I87" s="472"/>
      <c r="J87" s="473"/>
      <c r="K87" s="77">
        <f t="shared" ref="K87:AV87" si="16">COUNTIFS(K$10:K$79,"*HL*")</f>
        <v>0</v>
      </c>
      <c r="L87" s="77">
        <f t="shared" si="16"/>
        <v>0</v>
      </c>
      <c r="M87" s="77">
        <f t="shared" si="16"/>
        <v>0</v>
      </c>
      <c r="N87" s="77">
        <f t="shared" si="16"/>
        <v>0</v>
      </c>
      <c r="O87" s="77">
        <f t="shared" si="16"/>
        <v>0</v>
      </c>
      <c r="P87" s="77">
        <f t="shared" si="16"/>
        <v>0</v>
      </c>
      <c r="Q87" s="77">
        <f t="shared" si="16"/>
        <v>0</v>
      </c>
      <c r="R87" s="77">
        <f t="shared" si="16"/>
        <v>0</v>
      </c>
      <c r="S87" s="77">
        <f t="shared" si="16"/>
        <v>0</v>
      </c>
      <c r="T87" s="77">
        <f t="shared" si="16"/>
        <v>0</v>
      </c>
      <c r="U87" s="77">
        <f t="shared" si="16"/>
        <v>0</v>
      </c>
      <c r="V87" s="77">
        <f t="shared" si="16"/>
        <v>0</v>
      </c>
      <c r="W87" s="77">
        <f t="shared" si="16"/>
        <v>0</v>
      </c>
      <c r="X87" s="77">
        <f t="shared" si="16"/>
        <v>0</v>
      </c>
      <c r="Y87" s="77">
        <f t="shared" si="16"/>
        <v>0</v>
      </c>
      <c r="Z87" s="77">
        <f t="shared" si="16"/>
        <v>0</v>
      </c>
      <c r="AA87" s="77">
        <f t="shared" si="16"/>
        <v>0</v>
      </c>
      <c r="AB87" s="77">
        <f t="shared" si="16"/>
        <v>0</v>
      </c>
      <c r="AC87" s="77">
        <f t="shared" si="16"/>
        <v>0</v>
      </c>
      <c r="AD87" s="77">
        <f t="shared" si="16"/>
        <v>0</v>
      </c>
      <c r="AE87" s="77">
        <f t="shared" si="16"/>
        <v>0</v>
      </c>
      <c r="AF87" s="77">
        <f t="shared" si="16"/>
        <v>0</v>
      </c>
      <c r="AG87" s="77">
        <f t="shared" si="16"/>
        <v>0</v>
      </c>
      <c r="AH87" s="77">
        <f t="shared" si="16"/>
        <v>0</v>
      </c>
      <c r="AI87" s="77">
        <f t="shared" si="16"/>
        <v>0</v>
      </c>
      <c r="AJ87" s="77">
        <f t="shared" si="16"/>
        <v>0</v>
      </c>
      <c r="AK87" s="77">
        <f t="shared" si="16"/>
        <v>0</v>
      </c>
      <c r="AL87" s="77">
        <f t="shared" si="16"/>
        <v>0</v>
      </c>
      <c r="AM87" s="77">
        <f t="shared" si="16"/>
        <v>0</v>
      </c>
      <c r="AN87" s="77">
        <f t="shared" si="16"/>
        <v>0</v>
      </c>
      <c r="AO87" s="77">
        <f t="shared" si="16"/>
        <v>0</v>
      </c>
      <c r="AP87" s="77">
        <f t="shared" si="16"/>
        <v>0</v>
      </c>
      <c r="AQ87" s="77">
        <f t="shared" si="16"/>
        <v>0</v>
      </c>
      <c r="AR87" s="77">
        <f t="shared" si="16"/>
        <v>0</v>
      </c>
      <c r="AS87" s="77">
        <f t="shared" si="16"/>
        <v>0</v>
      </c>
      <c r="AT87" s="77">
        <f t="shared" si="16"/>
        <v>0</v>
      </c>
      <c r="AU87" s="77">
        <f t="shared" si="16"/>
        <v>0</v>
      </c>
      <c r="AV87" s="77">
        <f t="shared" si="16"/>
        <v>0</v>
      </c>
      <c r="AW87" s="102"/>
      <c r="AX87" s="31"/>
      <c r="AY87" s="36" t="str">
        <f>G87</f>
        <v>Support in Help Line</v>
      </c>
    </row>
    <row r="88" spans="1:51" x14ac:dyDescent="0.2">
      <c r="G88" s="471" t="s">
        <v>144</v>
      </c>
      <c r="H88" s="472"/>
      <c r="I88" s="472"/>
      <c r="J88" s="473"/>
      <c r="K88" s="77">
        <f>COUNTIFS(K$10:K$79,"*HL*",$C$10:$C$79,"Supervisor")</f>
        <v>0</v>
      </c>
      <c r="L88" s="77">
        <f t="shared" ref="L88:AV88" si="17">COUNTIFS(L$10:L$79,"*HL*",$C$10:$C$79,"Supervisor")</f>
        <v>0</v>
      </c>
      <c r="M88" s="77">
        <f t="shared" si="17"/>
        <v>0</v>
      </c>
      <c r="N88" s="77">
        <f t="shared" si="17"/>
        <v>0</v>
      </c>
      <c r="O88" s="77">
        <f t="shared" si="17"/>
        <v>0</v>
      </c>
      <c r="P88" s="77">
        <f t="shared" si="17"/>
        <v>0</v>
      </c>
      <c r="Q88" s="77">
        <f t="shared" si="17"/>
        <v>0</v>
      </c>
      <c r="R88" s="77">
        <f t="shared" si="17"/>
        <v>0</v>
      </c>
      <c r="S88" s="77">
        <f t="shared" si="17"/>
        <v>0</v>
      </c>
      <c r="T88" s="77">
        <f t="shared" si="17"/>
        <v>0</v>
      </c>
      <c r="U88" s="77">
        <f t="shared" si="17"/>
        <v>0</v>
      </c>
      <c r="V88" s="77">
        <f t="shared" si="17"/>
        <v>0</v>
      </c>
      <c r="W88" s="77">
        <f t="shared" si="17"/>
        <v>0</v>
      </c>
      <c r="X88" s="77">
        <f t="shared" si="17"/>
        <v>0</v>
      </c>
      <c r="Y88" s="77">
        <f t="shared" si="17"/>
        <v>0</v>
      </c>
      <c r="Z88" s="77">
        <f t="shared" si="17"/>
        <v>0</v>
      </c>
      <c r="AA88" s="77">
        <f t="shared" si="17"/>
        <v>0</v>
      </c>
      <c r="AB88" s="77">
        <f t="shared" si="17"/>
        <v>0</v>
      </c>
      <c r="AC88" s="77">
        <f t="shared" si="17"/>
        <v>0</v>
      </c>
      <c r="AD88" s="77">
        <f t="shared" si="17"/>
        <v>0</v>
      </c>
      <c r="AE88" s="77">
        <f t="shared" si="17"/>
        <v>0</v>
      </c>
      <c r="AF88" s="77">
        <f t="shared" si="17"/>
        <v>0</v>
      </c>
      <c r="AG88" s="77">
        <f t="shared" si="17"/>
        <v>0</v>
      </c>
      <c r="AH88" s="77">
        <f t="shared" si="17"/>
        <v>0</v>
      </c>
      <c r="AI88" s="77">
        <f t="shared" si="17"/>
        <v>0</v>
      </c>
      <c r="AJ88" s="77">
        <f t="shared" si="17"/>
        <v>0</v>
      </c>
      <c r="AK88" s="77">
        <f t="shared" si="17"/>
        <v>0</v>
      </c>
      <c r="AL88" s="77">
        <f t="shared" si="17"/>
        <v>0</v>
      </c>
      <c r="AM88" s="77">
        <f t="shared" si="17"/>
        <v>0</v>
      </c>
      <c r="AN88" s="77">
        <f t="shared" si="17"/>
        <v>0</v>
      </c>
      <c r="AO88" s="77">
        <f t="shared" si="17"/>
        <v>0</v>
      </c>
      <c r="AP88" s="77">
        <f t="shared" si="17"/>
        <v>0</v>
      </c>
      <c r="AQ88" s="77">
        <f t="shared" si="17"/>
        <v>0</v>
      </c>
      <c r="AR88" s="77">
        <f t="shared" si="17"/>
        <v>0</v>
      </c>
      <c r="AS88" s="77">
        <f t="shared" si="17"/>
        <v>0</v>
      </c>
      <c r="AT88" s="77">
        <f t="shared" si="17"/>
        <v>0</v>
      </c>
      <c r="AU88" s="77">
        <f t="shared" si="17"/>
        <v>0</v>
      </c>
      <c r="AV88" s="77">
        <f t="shared" si="17"/>
        <v>0</v>
      </c>
      <c r="AW88" s="102"/>
      <c r="AX88" s="31"/>
      <c r="AY88" s="36"/>
    </row>
    <row r="89" spans="1:51" x14ac:dyDescent="0.2">
      <c r="G89" s="471" t="s">
        <v>136</v>
      </c>
      <c r="H89" s="472"/>
      <c r="I89" s="472"/>
      <c r="J89" s="473"/>
      <c r="K89" s="77">
        <f t="shared" ref="K89:AV89" si="18">COUNTIFS(K$10:K$79,"*ADM*")</f>
        <v>0</v>
      </c>
      <c r="L89" s="77">
        <f t="shared" si="18"/>
        <v>0</v>
      </c>
      <c r="M89" s="77">
        <f t="shared" si="18"/>
        <v>0</v>
      </c>
      <c r="N89" s="77">
        <f t="shared" si="18"/>
        <v>0</v>
      </c>
      <c r="O89" s="77">
        <f t="shared" si="18"/>
        <v>0</v>
      </c>
      <c r="P89" s="77">
        <f t="shared" si="18"/>
        <v>0</v>
      </c>
      <c r="Q89" s="77">
        <f t="shared" si="18"/>
        <v>0</v>
      </c>
      <c r="R89" s="77">
        <f t="shared" si="18"/>
        <v>0</v>
      </c>
      <c r="S89" s="77">
        <f t="shared" si="18"/>
        <v>0</v>
      </c>
      <c r="T89" s="77">
        <f t="shared" si="18"/>
        <v>0</v>
      </c>
      <c r="U89" s="77">
        <f t="shared" si="18"/>
        <v>0</v>
      </c>
      <c r="V89" s="77">
        <f t="shared" si="18"/>
        <v>0</v>
      </c>
      <c r="W89" s="77">
        <f t="shared" si="18"/>
        <v>0</v>
      </c>
      <c r="X89" s="77">
        <f t="shared" si="18"/>
        <v>0</v>
      </c>
      <c r="Y89" s="77">
        <f t="shared" si="18"/>
        <v>0</v>
      </c>
      <c r="Z89" s="77">
        <f t="shared" si="18"/>
        <v>0</v>
      </c>
      <c r="AA89" s="77">
        <f t="shared" si="18"/>
        <v>0</v>
      </c>
      <c r="AB89" s="77">
        <f t="shared" si="18"/>
        <v>0</v>
      </c>
      <c r="AC89" s="77">
        <f t="shared" si="18"/>
        <v>0</v>
      </c>
      <c r="AD89" s="77">
        <f t="shared" si="18"/>
        <v>0</v>
      </c>
      <c r="AE89" s="77">
        <f t="shared" si="18"/>
        <v>0</v>
      </c>
      <c r="AF89" s="77">
        <f t="shared" si="18"/>
        <v>0</v>
      </c>
      <c r="AG89" s="77">
        <f t="shared" si="18"/>
        <v>0</v>
      </c>
      <c r="AH89" s="77">
        <f t="shared" si="18"/>
        <v>0</v>
      </c>
      <c r="AI89" s="77">
        <f t="shared" si="18"/>
        <v>0</v>
      </c>
      <c r="AJ89" s="77">
        <f t="shared" si="18"/>
        <v>0</v>
      </c>
      <c r="AK89" s="77">
        <f t="shared" si="18"/>
        <v>0</v>
      </c>
      <c r="AL89" s="77">
        <f t="shared" si="18"/>
        <v>0</v>
      </c>
      <c r="AM89" s="77">
        <f t="shared" si="18"/>
        <v>0</v>
      </c>
      <c r="AN89" s="77">
        <f t="shared" si="18"/>
        <v>0</v>
      </c>
      <c r="AO89" s="77">
        <f t="shared" si="18"/>
        <v>0</v>
      </c>
      <c r="AP89" s="77">
        <f t="shared" si="18"/>
        <v>0</v>
      </c>
      <c r="AQ89" s="77">
        <f t="shared" si="18"/>
        <v>0</v>
      </c>
      <c r="AR89" s="77">
        <f t="shared" si="18"/>
        <v>0</v>
      </c>
      <c r="AS89" s="77">
        <f t="shared" si="18"/>
        <v>0</v>
      </c>
      <c r="AT89" s="77">
        <f t="shared" si="18"/>
        <v>0</v>
      </c>
      <c r="AU89" s="77">
        <f t="shared" si="18"/>
        <v>0</v>
      </c>
      <c r="AV89" s="77">
        <f t="shared" si="18"/>
        <v>0</v>
      </c>
      <c r="AW89" s="102"/>
      <c r="AX89" s="31"/>
      <c r="AY89" s="36" t="str">
        <f>G89</f>
        <v>Support in Admin</v>
      </c>
    </row>
    <row r="90" spans="1:51" ht="15.75" customHeight="1" thickBot="1" x14ac:dyDescent="0.25">
      <c r="G90" s="474" t="s">
        <v>137</v>
      </c>
      <c r="H90" s="475"/>
      <c r="I90" s="475"/>
      <c r="J90" s="476"/>
      <c r="K90" s="78">
        <f t="shared" ref="K90:AV90" si="19">COUNTIFS(K$10:K$79,"*RTA*")</f>
        <v>0</v>
      </c>
      <c r="L90" s="78">
        <f t="shared" si="19"/>
        <v>0</v>
      </c>
      <c r="M90" s="78">
        <f t="shared" si="19"/>
        <v>0</v>
      </c>
      <c r="N90" s="78">
        <f t="shared" si="19"/>
        <v>0</v>
      </c>
      <c r="O90" s="78">
        <f t="shared" si="19"/>
        <v>0</v>
      </c>
      <c r="P90" s="78">
        <f t="shared" si="19"/>
        <v>0</v>
      </c>
      <c r="Q90" s="78">
        <f t="shared" si="19"/>
        <v>0</v>
      </c>
      <c r="R90" s="78">
        <f t="shared" si="19"/>
        <v>0</v>
      </c>
      <c r="S90" s="78">
        <f t="shared" si="19"/>
        <v>0</v>
      </c>
      <c r="T90" s="78">
        <f t="shared" si="19"/>
        <v>0</v>
      </c>
      <c r="U90" s="78">
        <f t="shared" si="19"/>
        <v>0</v>
      </c>
      <c r="V90" s="78">
        <f t="shared" si="19"/>
        <v>0</v>
      </c>
      <c r="W90" s="78">
        <f t="shared" si="19"/>
        <v>0</v>
      </c>
      <c r="X90" s="78">
        <f t="shared" si="19"/>
        <v>0</v>
      </c>
      <c r="Y90" s="78">
        <f t="shared" si="19"/>
        <v>0</v>
      </c>
      <c r="Z90" s="78">
        <f t="shared" si="19"/>
        <v>0</v>
      </c>
      <c r="AA90" s="78">
        <f t="shared" si="19"/>
        <v>0</v>
      </c>
      <c r="AB90" s="78">
        <f t="shared" si="19"/>
        <v>0</v>
      </c>
      <c r="AC90" s="78">
        <f t="shared" si="19"/>
        <v>0</v>
      </c>
      <c r="AD90" s="78">
        <f t="shared" si="19"/>
        <v>0</v>
      </c>
      <c r="AE90" s="78">
        <f t="shared" si="19"/>
        <v>0</v>
      </c>
      <c r="AF90" s="78">
        <f t="shared" si="19"/>
        <v>0</v>
      </c>
      <c r="AG90" s="78">
        <f t="shared" si="19"/>
        <v>0</v>
      </c>
      <c r="AH90" s="78">
        <f t="shared" si="19"/>
        <v>0</v>
      </c>
      <c r="AI90" s="78">
        <f t="shared" si="19"/>
        <v>0</v>
      </c>
      <c r="AJ90" s="78">
        <f t="shared" si="19"/>
        <v>0</v>
      </c>
      <c r="AK90" s="78">
        <f t="shared" si="19"/>
        <v>0</v>
      </c>
      <c r="AL90" s="78">
        <f t="shared" si="19"/>
        <v>0</v>
      </c>
      <c r="AM90" s="78">
        <f t="shared" si="19"/>
        <v>0</v>
      </c>
      <c r="AN90" s="78">
        <f t="shared" si="19"/>
        <v>0</v>
      </c>
      <c r="AO90" s="78">
        <f t="shared" si="19"/>
        <v>0</v>
      </c>
      <c r="AP90" s="78">
        <f t="shared" si="19"/>
        <v>0</v>
      </c>
      <c r="AQ90" s="78">
        <f t="shared" si="19"/>
        <v>0</v>
      </c>
      <c r="AR90" s="78">
        <f t="shared" si="19"/>
        <v>0</v>
      </c>
      <c r="AS90" s="78">
        <f t="shared" si="19"/>
        <v>0</v>
      </c>
      <c r="AT90" s="78">
        <f t="shared" si="19"/>
        <v>0</v>
      </c>
      <c r="AU90" s="78">
        <f t="shared" si="19"/>
        <v>0</v>
      </c>
      <c r="AV90" s="78">
        <f t="shared" si="19"/>
        <v>0</v>
      </c>
      <c r="AW90" s="103"/>
      <c r="AX90" s="33"/>
      <c r="AY90" s="38" t="str">
        <f>G90</f>
        <v>Suport in RTA</v>
      </c>
    </row>
  </sheetData>
  <sheetProtection autoFilter="0"/>
  <mergeCells count="9">
    <mergeCell ref="G88:J88"/>
    <mergeCell ref="G89:J89"/>
    <mergeCell ref="G90:J90"/>
    <mergeCell ref="F6:I6"/>
    <mergeCell ref="B3:C3"/>
    <mergeCell ref="G84:J84"/>
    <mergeCell ref="G85:J85"/>
    <mergeCell ref="G86:J86"/>
    <mergeCell ref="G87:J87"/>
  </mergeCells>
  <conditionalFormatting sqref="AY10:AY81">
    <cfRule type="expression" dxfId="692" priority="18">
      <formula>$A10="Ward, Barbara"</formula>
    </cfRule>
    <cfRule type="expression" dxfId="691" priority="19">
      <formula>$A10="Waggoner, Lori"</formula>
    </cfRule>
    <cfRule type="expression" dxfId="690" priority="20">
      <formula>$A10="Thompson, Danielle"</formula>
    </cfRule>
    <cfRule type="expression" dxfId="689" priority="21">
      <formula>$A10="Roberts, Melinda"</formula>
    </cfRule>
    <cfRule type="expression" dxfId="688" priority="22">
      <formula>$A10="Patterson, Alvin"</formula>
    </cfRule>
    <cfRule type="expression" dxfId="687" priority="23">
      <formula>$A10="Culley, Brad"</formula>
    </cfRule>
    <cfRule type="expression" dxfId="686" priority="24">
      <formula>$A10="Bozovich, Lola"</formula>
    </cfRule>
  </conditionalFormatting>
  <conditionalFormatting sqref="B10:B81 AY10:AY81">
    <cfRule type="expression" dxfId="685" priority="25">
      <formula>$A10="Ward, Barbara"</formula>
    </cfRule>
    <cfRule type="expression" dxfId="684" priority="26">
      <formula>$A10="Waggoner, Lori"</formula>
    </cfRule>
    <cfRule type="expression" dxfId="683" priority="27">
      <formula>$A10="Thompson, Danielle"</formula>
    </cfRule>
    <cfRule type="expression" dxfId="682" priority="28">
      <formula>$A10="Roberts, Melinda"</formula>
    </cfRule>
    <cfRule type="expression" dxfId="681" priority="29">
      <formula>$A10="Patterson, Alvin"</formula>
    </cfRule>
    <cfRule type="expression" dxfId="680" priority="30">
      <formula>$A10="Culley, Brad"</formula>
    </cfRule>
    <cfRule type="expression" dxfId="679" priority="31">
      <formula>$A10="Bozovich, Lola"</formula>
    </cfRule>
  </conditionalFormatting>
  <conditionalFormatting sqref="K88:AV88">
    <cfRule type="cellIs" dxfId="678" priority="16" operator="lessThan">
      <formula>1</formula>
    </cfRule>
  </conditionalFormatting>
  <conditionalFormatting sqref="K87:AV87">
    <cfRule type="expression" dxfId="677" priority="1">
      <formula>K$87&gt;=K$85+2</formula>
    </cfRule>
    <cfRule type="expression" dxfId="676" priority="15">
      <formula>K$87&lt;K$85</formula>
    </cfRule>
  </conditionalFormatting>
  <conditionalFormatting sqref="K84:AV84 AX84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0:AW79">
    <cfRule type="containsText" dxfId="675" priority="3" stopIfTrue="1" operator="containsText" text="B">
      <formula>NOT(ISERROR(SEARCH("B",K10)))</formula>
    </cfRule>
    <cfRule type="containsText" dxfId="674" priority="4" operator="containsText" text="Lunch">
      <formula>NOT(ISERROR(SEARCH("Lunch",K10)))</formula>
    </cfRule>
    <cfRule type="containsText" dxfId="673" priority="5" operator="containsText" text="Misc">
      <formula>NOT(ISERROR(SEARCH("Misc",K10)))</formula>
    </cfRule>
    <cfRule type="containsText" dxfId="672" priority="6" operator="containsText" text="TM">
      <formula>NOT(ISERROR(SEARCH("TM",K10)))</formula>
    </cfRule>
    <cfRule type="containsText" dxfId="671" priority="7" operator="containsText" text="RTA">
      <formula>NOT(ISERROR(SEARCH("RTA",K10)))</formula>
    </cfRule>
    <cfRule type="containsText" dxfId="670" priority="8" operator="containsText" text="ADM">
      <formula>NOT(ISERROR(SEARCH("ADM",K10)))</formula>
    </cfRule>
    <cfRule type="containsText" dxfId="669" priority="12" operator="containsText" text="HL">
      <formula>NOT(ISERROR(SEARCH("HL",K10)))</formula>
    </cfRule>
    <cfRule type="beginsWith" dxfId="668" priority="13" operator="beginsWith" text="f">
      <formula>LEFT(K10,LEN("f"))="f"</formula>
    </cfRule>
    <cfRule type="beginsWith" dxfId="667" priority="14" operator="beginsWith" text="s">
      <formula>LEFT(K10,LEN("s"))="s"</formula>
    </cfRule>
  </conditionalFormatting>
  <conditionalFormatting sqref="K90:AV90">
    <cfRule type="cellIs" dxfId="666" priority="2" operator="equal">
      <formula>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/>
    <outlinePr summaryBelow="0" summaryRight="0"/>
  </sheetPr>
  <dimension ref="A1:BA99"/>
  <sheetViews>
    <sheetView zoomScaleNormal="100" workbookViewId="0">
      <pane xSplit="9" ySplit="8" topLeftCell="J18" activePane="bottomRight" state="frozen"/>
      <selection activeCell="BB1" sqref="BB1:XFD1048576"/>
      <selection pane="topRight" activeCell="BB1" sqref="BB1:XFD1048576"/>
      <selection pane="bottomLeft" activeCell="BB1" sqref="BB1:XFD1048576"/>
      <selection pane="bottomRight" activeCell="B3" sqref="B3:C3"/>
    </sheetView>
  </sheetViews>
  <sheetFormatPr defaultColWidth="0" defaultRowHeight="12.75" zeroHeight="1" x14ac:dyDescent="0.2"/>
  <cols>
    <col min="1" max="1" width="0.7109375" style="6" customWidth="1"/>
    <col min="2" max="2" width="20.28515625" style="6" bestFit="1" customWidth="1"/>
    <col min="3" max="3" width="10.7109375" style="6" customWidth="1"/>
    <col min="4" max="4" width="11.85546875" style="6" customWidth="1"/>
    <col min="5" max="5" width="11.42578125" style="6" customWidth="1"/>
    <col min="6" max="6" width="11.28515625" style="6" customWidth="1"/>
    <col min="7" max="7" width="12.28515625" style="6" customWidth="1"/>
    <col min="8" max="9" width="10.7109375" style="6" customWidth="1"/>
    <col min="10" max="49" width="9.28515625" style="6" customWidth="1"/>
    <col min="50" max="50" width="9.140625" style="6" customWidth="1"/>
    <col min="51" max="51" width="23.5703125" style="6" customWidth="1"/>
    <col min="52" max="52" width="1.7109375" style="6" customWidth="1"/>
    <col min="53" max="53" width="9.140625" style="6" customWidth="1"/>
    <col min="54" max="16384" width="9.140625" style="6" hidden="1"/>
  </cols>
  <sheetData>
    <row r="1" spans="1:51" ht="6" customHeight="1" x14ac:dyDescent="0.2">
      <c r="D1" s="5"/>
    </row>
    <row r="2" spans="1:51" x14ac:dyDescent="0.2"/>
    <row r="3" spans="1:51" ht="24.95" customHeight="1" x14ac:dyDescent="0.2">
      <c r="B3" s="480" t="str">
        <f>TEXT(Day_6,"DDDD")&amp;" - "&amp;TEXT(Day_6,"mm/dd/yy")</f>
        <v>Friday - 03/20/20</v>
      </c>
      <c r="C3" s="480"/>
      <c r="D3" s="106"/>
      <c r="K3" s="94" t="s">
        <v>124</v>
      </c>
      <c r="L3" s="152" t="s">
        <v>218</v>
      </c>
      <c r="M3" s="153" t="s">
        <v>220</v>
      </c>
      <c r="N3" s="71" t="s">
        <v>126</v>
      </c>
      <c r="O3" s="72" t="s">
        <v>130</v>
      </c>
      <c r="P3" s="73" t="s">
        <v>90</v>
      </c>
      <c r="Q3" s="139" t="s">
        <v>215</v>
      </c>
      <c r="R3" s="138" t="s">
        <v>211</v>
      </c>
      <c r="S3" s="137" t="s">
        <v>127</v>
      </c>
      <c r="T3" s="151" t="s">
        <v>139</v>
      </c>
      <c r="U3" s="69" t="s">
        <v>129</v>
      </c>
      <c r="V3" s="155" t="s">
        <v>146</v>
      </c>
      <c r="W3" s="157" t="s">
        <v>222</v>
      </c>
      <c r="X3" s="228" t="s">
        <v>366</v>
      </c>
      <c r="Y3" s="211"/>
      <c r="Z3" s="212"/>
      <c r="AA3" s="213"/>
      <c r="AB3" s="214"/>
      <c r="AD3" s="94" t="s">
        <v>124</v>
      </c>
      <c r="AE3" s="152" t="s">
        <v>218</v>
      </c>
      <c r="AF3" s="153" t="s">
        <v>220</v>
      </c>
      <c r="AG3" s="71" t="s">
        <v>126</v>
      </c>
      <c r="AH3" s="72" t="s">
        <v>130</v>
      </c>
      <c r="AI3" s="73" t="s">
        <v>90</v>
      </c>
      <c r="AJ3" s="139" t="s">
        <v>215</v>
      </c>
      <c r="AK3" s="138" t="s">
        <v>211</v>
      </c>
      <c r="AL3" s="137" t="s">
        <v>127</v>
      </c>
      <c r="AM3" s="151" t="s">
        <v>139</v>
      </c>
      <c r="AN3" s="69" t="s">
        <v>129</v>
      </c>
      <c r="AO3" s="155" t="s">
        <v>146</v>
      </c>
      <c r="AP3" s="157" t="s">
        <v>222</v>
      </c>
      <c r="AQ3" s="228" t="s">
        <v>366</v>
      </c>
    </row>
    <row r="4" spans="1:51" ht="24.95" customHeight="1" x14ac:dyDescent="0.2">
      <c r="B4" s="7"/>
      <c r="J4" s="18"/>
      <c r="K4" s="94" t="s">
        <v>125</v>
      </c>
      <c r="L4" s="154" t="s">
        <v>217</v>
      </c>
      <c r="M4" s="154" t="s">
        <v>221</v>
      </c>
      <c r="N4" s="70" t="s">
        <v>87</v>
      </c>
      <c r="O4" s="67" t="s">
        <v>89</v>
      </c>
      <c r="P4" s="67" t="s">
        <v>213</v>
      </c>
      <c r="Q4" s="67" t="s">
        <v>214</v>
      </c>
      <c r="R4" s="67" t="s">
        <v>212</v>
      </c>
      <c r="S4" s="67" t="s">
        <v>128</v>
      </c>
      <c r="T4" s="67" t="s">
        <v>138</v>
      </c>
      <c r="U4" s="67" t="s">
        <v>129</v>
      </c>
      <c r="V4" s="156" t="s">
        <v>145</v>
      </c>
      <c r="W4" s="98" t="s">
        <v>223</v>
      </c>
      <c r="X4" s="98" t="s">
        <v>367</v>
      </c>
      <c r="Y4" s="214"/>
      <c r="Z4" s="215"/>
      <c r="AA4" s="216"/>
      <c r="AB4" s="217"/>
      <c r="AD4" s="94" t="s">
        <v>125</v>
      </c>
      <c r="AE4" s="154" t="s">
        <v>217</v>
      </c>
      <c r="AF4" s="154" t="s">
        <v>221</v>
      </c>
      <c r="AG4" s="70" t="s">
        <v>87</v>
      </c>
      <c r="AH4" s="67" t="s">
        <v>89</v>
      </c>
      <c r="AI4" s="67" t="s">
        <v>213</v>
      </c>
      <c r="AJ4" s="67" t="s">
        <v>214</v>
      </c>
      <c r="AK4" s="67" t="s">
        <v>212</v>
      </c>
      <c r="AL4" s="67" t="s">
        <v>128</v>
      </c>
      <c r="AM4" s="67" t="s">
        <v>138</v>
      </c>
      <c r="AN4" s="67" t="s">
        <v>129</v>
      </c>
      <c r="AO4" s="156" t="s">
        <v>145</v>
      </c>
      <c r="AP4" s="98" t="s">
        <v>223</v>
      </c>
      <c r="AQ4" s="98" t="s">
        <v>367</v>
      </c>
    </row>
    <row r="5" spans="1:51" ht="6" customHeight="1" x14ac:dyDescent="0.2"/>
    <row r="6" spans="1:51" ht="17.25" customHeight="1" x14ac:dyDescent="0.2">
      <c r="F6" s="477" t="s">
        <v>132</v>
      </c>
      <c r="G6" s="478"/>
      <c r="H6" s="478"/>
      <c r="I6" s="479"/>
      <c r="J6" s="19"/>
      <c r="K6" s="19"/>
    </row>
    <row r="7" spans="1:51" ht="6" customHeight="1" thickBot="1" x14ac:dyDescent="0.25">
      <c r="J7" s="104" t="s">
        <v>93</v>
      </c>
      <c r="K7" s="104" t="s">
        <v>95</v>
      </c>
      <c r="L7" s="104" t="s">
        <v>97</v>
      </c>
      <c r="M7" s="104" t="s">
        <v>140</v>
      </c>
      <c r="N7" s="104" t="s">
        <v>109</v>
      </c>
      <c r="O7" s="104" t="s">
        <v>103</v>
      </c>
      <c r="P7" s="104" t="s">
        <v>121</v>
      </c>
      <c r="Q7" s="104" t="s">
        <v>113</v>
      </c>
      <c r="R7" s="104" t="s">
        <v>105</v>
      </c>
      <c r="S7" s="104" t="s">
        <v>107</v>
      </c>
      <c r="T7" s="104" t="s">
        <v>141</v>
      </c>
      <c r="U7" s="104" t="s">
        <v>101</v>
      </c>
      <c r="V7" s="104" t="s">
        <v>122</v>
      </c>
      <c r="W7" s="104" t="s">
        <v>116</v>
      </c>
      <c r="X7" s="104" t="s">
        <v>148</v>
      </c>
      <c r="Y7" s="104" t="s">
        <v>149</v>
      </c>
      <c r="Z7" s="104" t="s">
        <v>111</v>
      </c>
      <c r="AA7" s="104" t="s">
        <v>94</v>
      </c>
      <c r="AB7" s="104" t="s">
        <v>96</v>
      </c>
      <c r="AC7" s="104" t="s">
        <v>98</v>
      </c>
      <c r="AD7" s="104" t="s">
        <v>118</v>
      </c>
      <c r="AE7" s="104" t="s">
        <v>99</v>
      </c>
      <c r="AF7" s="104" t="s">
        <v>104</v>
      </c>
      <c r="AG7" s="104" t="s">
        <v>150</v>
      </c>
      <c r="AH7" s="104" t="s">
        <v>114</v>
      </c>
      <c r="AI7" s="104" t="s">
        <v>106</v>
      </c>
      <c r="AJ7" s="104" t="s">
        <v>108</v>
      </c>
      <c r="AK7" s="104" t="s">
        <v>142</v>
      </c>
      <c r="AL7" s="104" t="s">
        <v>102</v>
      </c>
      <c r="AM7" s="104" t="s">
        <v>143</v>
      </c>
      <c r="AN7" s="104" t="s">
        <v>123</v>
      </c>
      <c r="AO7" s="104" t="s">
        <v>117</v>
      </c>
      <c r="AP7" s="104" t="s">
        <v>151</v>
      </c>
      <c r="AQ7" s="104" t="s">
        <v>112</v>
      </c>
      <c r="AR7" s="104" t="s">
        <v>110</v>
      </c>
      <c r="AS7" s="104" t="s">
        <v>119</v>
      </c>
      <c r="AT7" s="104" t="s">
        <v>115</v>
      </c>
      <c r="AU7" s="104" t="s">
        <v>120</v>
      </c>
      <c r="AV7" s="104"/>
      <c r="AW7" s="104"/>
      <c r="AX7" s="105">
        <v>0</v>
      </c>
    </row>
    <row r="8" spans="1:51" ht="13.5" thickBot="1" x14ac:dyDescent="0.25">
      <c r="A8" s="15" t="s">
        <v>14</v>
      </c>
      <c r="B8" s="168" t="s">
        <v>2</v>
      </c>
      <c r="C8" s="169" t="s">
        <v>5</v>
      </c>
      <c r="D8" s="169" t="s">
        <v>84</v>
      </c>
      <c r="E8" s="169" t="s">
        <v>86</v>
      </c>
      <c r="F8" s="169" t="s">
        <v>87</v>
      </c>
      <c r="G8" s="169" t="s">
        <v>223</v>
      </c>
      <c r="H8" s="169" t="s">
        <v>89</v>
      </c>
      <c r="I8" s="169" t="s">
        <v>90</v>
      </c>
      <c r="J8" s="170" t="s">
        <v>93</v>
      </c>
      <c r="K8" s="170" t="s">
        <v>95</v>
      </c>
      <c r="L8" s="170" t="s">
        <v>97</v>
      </c>
      <c r="M8" s="170" t="s">
        <v>140</v>
      </c>
      <c r="N8" s="170" t="s">
        <v>109</v>
      </c>
      <c r="O8" s="170" t="s">
        <v>103</v>
      </c>
      <c r="P8" s="170" t="s">
        <v>121</v>
      </c>
      <c r="Q8" s="170" t="s">
        <v>113</v>
      </c>
      <c r="R8" s="170" t="s">
        <v>105</v>
      </c>
      <c r="S8" s="170" t="s">
        <v>107</v>
      </c>
      <c r="T8" s="170" t="s">
        <v>141</v>
      </c>
      <c r="U8" s="170" t="s">
        <v>101</v>
      </c>
      <c r="V8" s="170" t="s">
        <v>122</v>
      </c>
      <c r="W8" s="170" t="s">
        <v>116</v>
      </c>
      <c r="X8" s="170" t="s">
        <v>148</v>
      </c>
      <c r="Y8" s="170" t="s">
        <v>149</v>
      </c>
      <c r="Z8" s="170" t="s">
        <v>111</v>
      </c>
      <c r="AA8" s="170" t="s">
        <v>94</v>
      </c>
      <c r="AB8" s="170" t="s">
        <v>96</v>
      </c>
      <c r="AC8" s="170" t="s">
        <v>98</v>
      </c>
      <c r="AD8" s="170" t="s">
        <v>118</v>
      </c>
      <c r="AE8" s="170" t="s">
        <v>99</v>
      </c>
      <c r="AF8" s="170" t="s">
        <v>104</v>
      </c>
      <c r="AG8" s="170" t="s">
        <v>150</v>
      </c>
      <c r="AH8" s="170" t="s">
        <v>114</v>
      </c>
      <c r="AI8" s="170" t="s">
        <v>106</v>
      </c>
      <c r="AJ8" s="170" t="s">
        <v>108</v>
      </c>
      <c r="AK8" s="170" t="s">
        <v>142</v>
      </c>
      <c r="AL8" s="170" t="s">
        <v>102</v>
      </c>
      <c r="AM8" s="170" t="s">
        <v>143</v>
      </c>
      <c r="AN8" s="170" t="s">
        <v>123</v>
      </c>
      <c r="AO8" s="170" t="s">
        <v>117</v>
      </c>
      <c r="AP8" s="170" t="s">
        <v>151</v>
      </c>
      <c r="AQ8" s="170" t="s">
        <v>112</v>
      </c>
      <c r="AR8" s="170" t="s">
        <v>110</v>
      </c>
      <c r="AS8" s="170" t="s">
        <v>119</v>
      </c>
      <c r="AT8" s="170" t="s">
        <v>115</v>
      </c>
      <c r="AU8" s="170" t="s">
        <v>120</v>
      </c>
      <c r="AV8" s="199" t="s">
        <v>100</v>
      </c>
      <c r="AW8" s="199" t="s">
        <v>243</v>
      </c>
      <c r="AX8" s="199" t="s">
        <v>244</v>
      </c>
      <c r="AY8" s="171" t="s">
        <v>147</v>
      </c>
    </row>
    <row r="9" spans="1:51" s="44" customFormat="1" ht="11.25" customHeight="1" x14ac:dyDescent="0.2">
      <c r="A9" s="39" t="str">
        <f>IF(B9="","",INDEX(TeamList[],MATCH($B9,TeamList[[Employee Name]:[Employee Name]],0),MATCH("Manager",TeamList[#Headers],0)))</f>
        <v>Olson, Katherine</v>
      </c>
      <c r="B9" s="201" t="s">
        <v>24</v>
      </c>
      <c r="C9" s="257" t="str">
        <f>_xlfn.IFNA(VLOOKUP(Fri_W1[[#This Row],[Employee Name]],'Base Schedules'!A:B,2,FALSE),"")</f>
        <v>Lead</v>
      </c>
      <c r="D9" s="274">
        <f>_xlfn.IFNA(VLOOKUP(Fri_W1[[#This Row],[Employee Name]],'Base Schedules'!A:C,3,FALSE),"")</f>
        <v>500</v>
      </c>
      <c r="E9" s="274">
        <f>_xlfn.IFNA(VLOOKUP(Fri_W1[[#This Row],[Employee Name]],'Base Schedules'!A:D,4,FALSE),"")</f>
        <v>1330</v>
      </c>
      <c r="F9" s="142">
        <f>IF(Fri_W1[[#This Row],[Employee Name]]="","",IF(Fri_W1[[#This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f>
        <v>8.5</v>
      </c>
      <c r="G9" s="142">
        <f t="shared" ref="G9:G32" si="0">IF(B9="","",COUNTIFS($J9:$AX9,"*Coaching*",$J9:$AX9,"&lt;&gt;"&amp;"pTM",$J9:$AX9,"&lt;&gt;"&amp;"uTM"))</f>
        <v>0</v>
      </c>
      <c r="H9" s="142">
        <f t="shared" ref="H9:H48" si="1">IF(B9="","",COUNTIFS($J9:$AX9,"*ADM*",$J9:$AX9,"&lt;&gt;"&amp;"pADM",$J9:$AX9,"&lt;&gt;"&amp;"uADM"))</f>
        <v>5</v>
      </c>
      <c r="I9" s="142">
        <f>IF(Fri_W1[[#This Row],[Employee Name]]="","",IF(Fri_W1[[#This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f>
        <v>2</v>
      </c>
      <c r="J9" s="184" t="str">
        <f>IFERROR(IF(VLOOKUP(Fri_W1[[#This Row],[Employee Name]],'Base Schedules'!$A$1:$AW$44,9,FALSE)="","",VLOOKUP(Fri_W1[[#This Row],[Employee Name]],'Base Schedules'!$A$1:$AW$44,9,FALSE)),"")</f>
        <v>HL</v>
      </c>
      <c r="K9" s="184" t="str">
        <f>IFERROR(IF(VLOOKUP(Fri_W1[[#This Row],[Employee Name]],'Base Schedules'!$A$1:$AW$44,10,FALSE)="","",VLOOKUP(Fri_W1[[#This Row],[Employee Name]],'Base Schedules'!$A$1:$AW$44,10,FALSE)),"")</f>
        <v>HL</v>
      </c>
      <c r="L9" s="184" t="str">
        <f>IFERROR(IF(VLOOKUP(Fri_W1[[#This Row],[Employee Name]],'Base Schedules'!$A$1:$AW$44,11,FALSE)="","",VLOOKUP(Fri_W1[[#This Row],[Employee Name]],'Base Schedules'!$A$1:$AW$44,11,FALSE)),"")</f>
        <v>HL</v>
      </c>
      <c r="M9" s="184" t="str">
        <f>IFERROR(IF(VLOOKUP(Fri_W1[[#This Row],[Employee Name]],'Base Schedules'!$A$1:$AW$44,12,FALSE)="","",VLOOKUP(Fri_W1[[#This Row],[Employee Name]],'Base Schedules'!$A$1:$AW$44,12,FALSE)),"")</f>
        <v>HL</v>
      </c>
      <c r="N9" s="184" t="str">
        <f>IFERROR(IF(VLOOKUP(Fri_W1[[#This Row],[Employee Name]],'Base Schedules'!$A$1:$AW$44,13,FALSE)="","",VLOOKUP(Fri_W1[[#This Row],[Employee Name]],'Base Schedules'!$A$1:$AW$44,13,FALSE)),"")</f>
        <v>HL B1</v>
      </c>
      <c r="O9" s="184" t="str">
        <f>IFERROR(IF(VLOOKUP(Fri_W1[[#This Row],[Employee Name]],'Base Schedules'!$A$1:$AW$44,14,FALSE)="","",VLOOKUP(Fri_W1[[#This Row],[Employee Name]],'Base Schedules'!$A$1:$AW$44,14,FALSE)),"")</f>
        <v>ADM</v>
      </c>
      <c r="P9" s="184" t="str">
        <f>IFERROR(IF(VLOOKUP(Fri_W1[[#This Row],[Employee Name]],'Base Schedules'!$A$1:$AW$44,15,FALSE)="","",VLOOKUP(Fri_W1[[#This Row],[Employee Name]],'Base Schedules'!$A$1:$AW$44,15,FALSE)),"")</f>
        <v>RNNR</v>
      </c>
      <c r="Q9" s="184" t="str">
        <f>IFERROR(IF(VLOOKUP(Fri_W1[[#This Row],[Employee Name]],'Base Schedules'!$A$1:$AW$44,16,FALSE)="","",VLOOKUP(Fri_W1[[#This Row],[Employee Name]],'Base Schedules'!$A$1:$AW$44,16,FALSE)),"")</f>
        <v>RNNR</v>
      </c>
      <c r="R9" s="184" t="str">
        <f>IFERROR(IF(VLOOKUP(Fri_W1[[#This Row],[Employee Name]],'Base Schedules'!$A$1:$AW$44,17,FALSE)="","",VLOOKUP(Fri_W1[[#This Row],[Employee Name]],'Base Schedules'!$A$1:$AW$44,17,FALSE)),"")</f>
        <v>LUNCH</v>
      </c>
      <c r="S9" s="184" t="str">
        <f>IFERROR(IF(VLOOKUP(Fri_W1[[#This Row],[Employee Name]],'Base Schedules'!$A$1:$AW$44,18,FALSE)="","",VLOOKUP(Fri_W1[[#This Row],[Employee Name]],'Base Schedules'!$A$1:$AW$44,18,FALSE)),"")</f>
        <v>ADM</v>
      </c>
      <c r="T9" s="184" t="str">
        <f>IFERROR(IF(VLOOKUP(Fri_W1[[#This Row],[Employee Name]],'Base Schedules'!$A$1:$AW$44,19,FALSE)="","",VLOOKUP(Fri_W1[[#This Row],[Employee Name]],'Base Schedules'!$A$1:$AW$44,19,FALSE)),"")</f>
        <v>ADM</v>
      </c>
      <c r="U9" s="184" t="str">
        <f>IFERROR(IF(VLOOKUP(Fri_W1[[#This Row],[Employee Name]],'Base Schedules'!$A$1:$AW$44,20,FALSE)="","",VLOOKUP(Fri_W1[[#This Row],[Employee Name]],'Base Schedules'!$A$1:$AW$44,20,FALSE)),"")</f>
        <v>ADM</v>
      </c>
      <c r="V9" s="184" t="str">
        <f>IFERROR(IF(VLOOKUP(Fri_W1[[#This Row],[Employee Name]],'Base Schedules'!$A$1:$AW$44,21,FALSE)="","",VLOOKUP(Fri_W1[[#This Row],[Employee Name]],'Base Schedules'!$A$1:$AW$44,21,FALSE)),"")</f>
        <v>ADM B2</v>
      </c>
      <c r="W9" s="184" t="str">
        <f>IFERROR(IF(VLOOKUP(Fri_W1[[#This Row],[Employee Name]],'Base Schedules'!$A$1:$AW$44,22,FALSE)="","",VLOOKUP(Fri_W1[[#This Row],[Employee Name]],'Base Schedules'!$A$1:$AW$44,22,FALSE)),"")</f>
        <v>HL</v>
      </c>
      <c r="X9" s="184" t="str">
        <f>IFERROR(IF(VLOOKUP(Fri_W1[[#This Row],[Employee Name]],'Base Schedules'!$A$1:$AW$44,23,FALSE)="","",VLOOKUP(Fri_W1[[#This Row],[Employee Name]],'Base Schedules'!$A$1:$AW$44,23,FALSE)),"")</f>
        <v>HL</v>
      </c>
      <c r="Y9" s="184" t="str">
        <f>IFERROR(IF(VLOOKUP(Fri_W1[[#This Row],[Employee Name]],'Base Schedules'!$A$1:$AW$44,24,FALSE)="","",VLOOKUP(Fri_W1[[#This Row],[Employee Name]],'Base Schedules'!$A$1:$AW$44,24,FALSE)),"")</f>
        <v>HL</v>
      </c>
      <c r="Z9" s="184" t="str">
        <f>IFERROR(IF(VLOOKUP(Fri_W1[[#This Row],[Employee Name]],'Base Schedules'!$A$1:$AW$44,25,FALSE)="","",VLOOKUP(Fri_W1[[#This Row],[Employee Name]],'Base Schedules'!$A$1:$AW$44,25,FALSE)),"")</f>
        <v>HL</v>
      </c>
      <c r="AA9" s="184" t="str">
        <f>IFERROR(IF(VLOOKUP(Fri_W1[[#This Row],[Employee Name]],'Base Schedules'!$A$1:$AW$44,26,FALSE)="","",VLOOKUP(Fri_W1[[#This Row],[Employee Name]],'Base Schedules'!$A$1:$AW$44,26,FALSE)),"")</f>
        <v/>
      </c>
      <c r="AB9" s="184" t="str">
        <f>IFERROR(IF(VLOOKUP(Fri_W1[[#This Row],[Employee Name]],'Base Schedules'!$A$1:$AW$44,27,FALSE)="","",VLOOKUP(Fri_W1[[#This Row],[Employee Name]],'Base Schedules'!$A$1:$AW$44,27,FALSE)),"")</f>
        <v/>
      </c>
      <c r="AC9" s="184" t="str">
        <f>IFERROR(IF(VLOOKUP(Fri_W1[[#This Row],[Employee Name]],'Base Schedules'!$A$1:$AW$44,28,FALSE)="","",VLOOKUP(Fri_W1[[#This Row],[Employee Name]],'Base Schedules'!$A$1:$AW$44,28,FALSE)),"")</f>
        <v/>
      </c>
      <c r="AD9" s="184" t="str">
        <f>IFERROR(IF(VLOOKUP(Fri_W1[[#This Row],[Employee Name]],'Base Schedules'!$A$1:$AW$44,29,FALSE)="","",VLOOKUP(Fri_W1[[#This Row],[Employee Name]],'Base Schedules'!$A$1:$AW$44,29,FALSE)),"")</f>
        <v/>
      </c>
      <c r="AE9" s="184" t="str">
        <f>IFERROR(IF(VLOOKUP(Fri_W1[[#This Row],[Employee Name]],'Base Schedules'!$A$1:$AW$44,30,FALSE)="","",VLOOKUP(Fri_W1[[#This Row],[Employee Name]],'Base Schedules'!$A$1:$AW$44,30,FALSE)),"")</f>
        <v/>
      </c>
      <c r="AF9" s="184" t="str">
        <f>IFERROR(IF(VLOOKUP(Fri_W1[[#This Row],[Employee Name]],'Base Schedules'!$A$1:$AW$44,31,FALSE)="","",VLOOKUP(Fri_W1[[#This Row],[Employee Name]],'Base Schedules'!$A$1:$AW$44,31,FALSE)),"")</f>
        <v/>
      </c>
      <c r="AG9" s="184" t="str">
        <f>IFERROR(IF(VLOOKUP(Fri_W1[[#This Row],[Employee Name]],'Base Schedules'!$A$1:$AW$44,32,FALSE)="","",VLOOKUP(Fri_W1[[#This Row],[Employee Name]],'Base Schedules'!$A$1:$AW$44,32,FALSE)),"")</f>
        <v/>
      </c>
      <c r="AH9" s="184" t="str">
        <f>IFERROR(IF(VLOOKUP(Fri_W1[[#This Row],[Employee Name]],'Base Schedules'!$A$1:$AW$44,33,FALSE)="","",VLOOKUP(Fri_W1[[#This Row],[Employee Name]],'Base Schedules'!$A$1:$AW$44,33,FALSE)),"")</f>
        <v/>
      </c>
      <c r="AI9" s="184" t="str">
        <f>IFERROR(IF(VLOOKUP(Fri_W1[[#This Row],[Employee Name]],'Base Schedules'!$A$1:$AW$44,34,FALSE)="","",VLOOKUP(Fri_W1[[#This Row],[Employee Name]],'Base Schedules'!$A$1:$AW$44,34,FALSE)),"")</f>
        <v/>
      </c>
      <c r="AJ9" s="184" t="str">
        <f>IFERROR(IF(VLOOKUP(Fri_W1[[#This Row],[Employee Name]],'Base Schedules'!$A$1:$AW$44,35,FALSE)="","",VLOOKUP(Fri_W1[[#This Row],[Employee Name]],'Base Schedules'!$A$1:$AW$44,35,FALSE)),"")</f>
        <v/>
      </c>
      <c r="AK9" s="184" t="str">
        <f>IFERROR(IF(VLOOKUP(Fri_W1[[#This Row],[Employee Name]],'Base Schedules'!$A$1:$AW$44,36,FALSE)="","",VLOOKUP(Fri_W1[[#This Row],[Employee Name]],'Base Schedules'!$A$1:$AW$44,36,FALSE)),"")</f>
        <v/>
      </c>
      <c r="AL9" s="184" t="str">
        <f>IFERROR(IF(VLOOKUP(Fri_W1[[#This Row],[Employee Name]],'Base Schedules'!$A$1:$AW$44,37,FALSE)="","",VLOOKUP(Fri_W1[[#This Row],[Employee Name]],'Base Schedules'!$A$1:$AW$44,37,FALSE)),"")</f>
        <v/>
      </c>
      <c r="AM9" s="184" t="str">
        <f>IFERROR(IF(VLOOKUP(Fri_W1[[#This Row],[Employee Name]],'Base Schedules'!$A$1:$AW$44,38,FALSE)="","",VLOOKUP(Fri_W1[[#This Row],[Employee Name]],'Base Schedules'!$A$1:$AW$44,38,FALSE)),"")</f>
        <v/>
      </c>
      <c r="AN9" s="184" t="str">
        <f>IFERROR(IF(VLOOKUP(Fri_W1[[#This Row],[Employee Name]],'Base Schedules'!$A$1:$AW$44,39,FALSE)="","",VLOOKUP(Fri_W1[[#This Row],[Employee Name]],'Base Schedules'!$A$1:$AW$44,39,FALSE)),"")</f>
        <v/>
      </c>
      <c r="AO9" s="184" t="str">
        <f>IFERROR(IF(VLOOKUP(Fri_W1[[#This Row],[Employee Name]],'Base Schedules'!$A$1:$AW$44,40,FALSE)="","",VLOOKUP(Fri_W1[[#This Row],[Employee Name]],'Base Schedules'!$A$1:$AW$44,40,FALSE)),"")</f>
        <v/>
      </c>
      <c r="AP9" s="184" t="str">
        <f>IFERROR(IF(VLOOKUP(Fri_W1[[#This Row],[Employee Name]],'Base Schedules'!$A$1:$AW$44,41,FALSE)="","",VLOOKUP(Fri_W1[[#This Row],[Employee Name]],'Base Schedules'!$A$1:$AW$44,41,FALSE)),"")</f>
        <v/>
      </c>
      <c r="AQ9" s="184" t="str">
        <f>IFERROR(IF(VLOOKUP(Fri_W1[[#This Row],[Employee Name]],'Base Schedules'!$A$1:$AW$44,42,FALSE)="","",VLOOKUP(Fri_W1[[#This Row],[Employee Name]],'Base Schedules'!$A$1:$AW$44,42,FALSE)),"")</f>
        <v/>
      </c>
      <c r="AR9" s="184" t="str">
        <f>IFERROR(IF(VLOOKUP(Fri_W1[[#This Row],[Employee Name]],'Base Schedules'!$A$1:$AW$44,43,FALSE)="","",VLOOKUP(Fri_W1[[#This Row],[Employee Name]],'Base Schedules'!$A$1:$AW$44,43,FALSE)),"")</f>
        <v/>
      </c>
      <c r="AS9" s="184" t="str">
        <f>IFERROR(IF(VLOOKUP(Fri_W1[[#This Row],[Employee Name]],'Base Schedules'!$A$1:$AW$44,44,FALSE)="","",VLOOKUP(Fri_W1[[#This Row],[Employee Name]],'Base Schedules'!$A$1:$AW$44,44,FALSE)),"")</f>
        <v/>
      </c>
      <c r="AT9" s="184" t="str">
        <f>IFERROR(IF(VLOOKUP(Fri_W1[[#This Row],[Employee Name]],'Base Schedules'!$A$1:$AW$44,45,FALSE)="","",VLOOKUP(Fri_W1[[#This Row],[Employee Name]],'Base Schedules'!$A$1:$AW$44,45,FALSE)),"")</f>
        <v/>
      </c>
      <c r="AU9" s="184" t="str">
        <f>IFERROR(IF(VLOOKUP(Fri_W1[[#This Row],[Employee Name]],'Base Schedules'!$A$1:$AW$44,46,FALSE)="","",VLOOKUP(Fri_W1[[#This Row],[Employee Name]],'Base Schedules'!$A$1:$AW$44,46,FALSE)),"")</f>
        <v/>
      </c>
      <c r="AV9" s="184" t="str">
        <f>IFERROR(IF(VLOOKUP(Fri_W1[[#This Row],[Employee Name]],'Base Schedules'!$A$1:$AW$44,47,FALSE)="","",VLOOKUP(Fri_W1[[#This Row],[Employee Name]],'Base Schedules'!$A$1:$AW$44,47,FALSE)),"")</f>
        <v/>
      </c>
      <c r="AW9" s="184" t="str">
        <f>IFERROR(IF(VLOOKUP(Fri_W1[[#This Row],[Employee Name]],'Base Schedules'!$A$1:$AW$44,48,FALSE)="","",VLOOKUP(Fri_W1[[#This Row],[Employee Name]],'Base Schedules'!$A$1:$AW$44,48,FALSE)),"")</f>
        <v/>
      </c>
      <c r="AX9" s="184" t="str">
        <f>IFERROR(IF(VLOOKUP(Fri_W1[[#This Row],[Employee Name]],'Base Schedules'!$A$1:$AW$44,49,FALSE)="","",VLOOKUP(Fri_W1[[#This Row],[Employee Name]],'Base Schedules'!$A$1:$AW$44,49,FALSE)),"")</f>
        <v/>
      </c>
      <c r="AY9" s="247" t="str">
        <f t="shared" ref="AY9:AY51" si="2">IF(B9="","",B9)</f>
        <v>Birrueta Arellano, Neftali</v>
      </c>
    </row>
    <row r="10" spans="1:51" s="44" customFormat="1" ht="11.25" customHeight="1" x14ac:dyDescent="0.2">
      <c r="A10" s="39" t="str">
        <f>IF(B10="","",INDEX(TeamList[],MATCH($B10,TeamList[[Employee Name]:[Employee Name]],0),MATCH("Manager",TeamList[#Headers],0)))</f>
        <v>Olson, Katherine</v>
      </c>
      <c r="B10" s="201" t="s">
        <v>233</v>
      </c>
      <c r="C10" s="257" t="str">
        <f>_xlfn.IFNA(VLOOKUP(Fri_W1[[#This Row],[Employee Name]],'Base Schedules'!A:B,2,FALSE),"")</f>
        <v>Lead</v>
      </c>
      <c r="D10" s="274">
        <f>_xlfn.IFNA(VLOOKUP(Fri_W1[[#This Row],[Employee Name]],'Base Schedules'!A:C,3,FALSE),"")</f>
        <v>500</v>
      </c>
      <c r="E10" s="274">
        <f>_xlfn.IFNA(VLOOKUP(Fri_W1[[#This Row],[Employee Name]],'Base Schedules'!A:D,4,FALSE),"")</f>
        <v>1330</v>
      </c>
      <c r="F10" s="142">
        <f>IF(Fri_W1[[#This Row],[Employee Name]]="","",IF(Fri_W1[[#This Row],[Dept]]="Supervisor",COUNTIFS($J10:$AX10,"*HL*",$J10:$AX10,"&lt;&gt;"&amp;"pHL"),COUNTIFS($J10:$AX10,"*HL*",$J10:$AX10,"&lt;&gt;"&amp;"*pHL*",$J10:$AX10,"&lt;&gt;"&amp;"pB1 HL",$J10:$AX10,"&lt;&gt;"&amp;"pB2 HL")-SUM(COUNTIFS($J10:$AX10,"*HL B1*",$J10:$AX10,"&lt;&gt;"&amp;"pHL B1")*0.5,COUNTIFS($J10:$AX10,"*HL B2*",$J10:$AX10,"&lt;&gt;"&amp;"pHL B2")*0.5,COUNTIFS($J10:$AX10,"*B1 HL*",$J10:$AX10,"&lt;&gt;"&amp;"pB1 HL")*0.5,COUNTIFS($J10:$AX10,"*B2 HL*",$J10:$AX10,"&lt;&gt;"&amp;"pB2 HL")*0.5)))</f>
        <v>7</v>
      </c>
      <c r="G10" s="142">
        <f t="shared" si="0"/>
        <v>0</v>
      </c>
      <c r="H10" s="142">
        <f t="shared" si="1"/>
        <v>4</v>
      </c>
      <c r="I10" s="142">
        <f>IF(Fri_W1[[#This Row],[Employee Name]]="","",IF(Fri_W1[[#This Row],[Dept]]="Supervisor",SUM(COUNTIFS($J10:$AX10,"RTA*",$J10:$AX10,"&lt;&gt;"&amp;"pRTA"),COUNTIFS($J10:$AX10,"*CRTA*",$J10:$AX10,"&lt;&gt;"&amp;"pCRTA")),COUNTIFS($J10:$AX10,"*RNNR*",$J10:$AX10,"&lt;&gt;"&amp;"*pRNNR*",$J10:$AX10,"&lt;&gt;"&amp;"pB1 RNNR",$J10:$AX10,"&lt;&gt;"&amp;"pB2 RNNR")-SUM(COUNTIFS($J10:$AX10,"*RNNR B1*",$J10:$AX10,"&lt;&gt;"&amp;"pRNNR B1")*0.5,COUNTIFS($J10:$AX10,"*RNNR B2*",$J10:$AX10,"&lt;&gt;"&amp;"pRNNR B2")*0.5,COUNTIFS($J10:$AX10,"*B1 RNNR*",$J10:$AX10,"&lt;&gt;"&amp;"pB1 RNNR")*0.5,COUNTIFS($J10:$AX10,"*B2 RNNR*",$J10:$AX10,"&lt;&gt;"&amp;"pB2 RNNR")*0.5)))</f>
        <v>2</v>
      </c>
      <c r="J10" s="184" t="str">
        <f>IFERROR(IF(VLOOKUP(Fri_W1[[#This Row],[Employee Name]],'Base Schedules'!$A$1:$AW$44,9,FALSE)="","",VLOOKUP(Fri_W1[[#This Row],[Employee Name]],'Base Schedules'!$A$1:$AW$44,9,FALSE)),"")</f>
        <v>HL</v>
      </c>
      <c r="K10" s="184" t="str">
        <f>IFERROR(IF(VLOOKUP(Fri_W1[[#This Row],[Employee Name]],'Base Schedules'!$A$1:$AW$44,10,FALSE)="","",VLOOKUP(Fri_W1[[#This Row],[Employee Name]],'Base Schedules'!$A$1:$AW$44,10,FALSE)),"")</f>
        <v>HL</v>
      </c>
      <c r="L10" s="184" t="str">
        <f>IFERROR(IF(VLOOKUP(Fri_W1[[#This Row],[Employee Name]],'Base Schedules'!$A$1:$AW$44,11,FALSE)="","",VLOOKUP(Fri_W1[[#This Row],[Employee Name]],'Base Schedules'!$A$1:$AW$44,11,FALSE)),"")</f>
        <v>HL</v>
      </c>
      <c r="M10" s="184" t="str">
        <f>IFERROR(IF(VLOOKUP(Fri_W1[[#This Row],[Employee Name]],'Base Schedules'!$A$1:$AW$44,12,FALSE)="","",VLOOKUP(Fri_W1[[#This Row],[Employee Name]],'Base Schedules'!$A$1:$AW$44,12,FALSE)),"")</f>
        <v>HL</v>
      </c>
      <c r="N10" s="184" t="str">
        <f>IFERROR(IF(VLOOKUP(Fri_W1[[#This Row],[Employee Name]],'Base Schedules'!$A$1:$AW$44,13,FALSE)="","",VLOOKUP(Fri_W1[[#This Row],[Employee Name]],'Base Schedules'!$A$1:$AW$44,13,FALSE)),"")</f>
        <v>B1 HL</v>
      </c>
      <c r="O10" s="184" t="str">
        <f>IFERROR(IF(VLOOKUP(Fri_W1[[#This Row],[Employee Name]],'Base Schedules'!$A$1:$AW$44,14,FALSE)="","",VLOOKUP(Fri_W1[[#This Row],[Employee Name]],'Base Schedules'!$A$1:$AW$44,14,FALSE)),"")</f>
        <v>ADM</v>
      </c>
      <c r="P10" s="184" t="str">
        <f>IFERROR(IF(VLOOKUP(Fri_W1[[#This Row],[Employee Name]],'Base Schedules'!$A$1:$AW$44,15,FALSE)="","",VLOOKUP(Fri_W1[[#This Row],[Employee Name]],'Base Schedules'!$A$1:$AW$44,15,FALSE)),"")</f>
        <v>ADM</v>
      </c>
      <c r="Q10" s="184" t="str">
        <f>IFERROR(IF(VLOOKUP(Fri_W1[[#This Row],[Employee Name]],'Base Schedules'!$A$1:$AW$44,16,FALSE)="","",VLOOKUP(Fri_W1[[#This Row],[Employee Name]],'Base Schedules'!$A$1:$AW$44,16,FALSE)),"")</f>
        <v>ADM</v>
      </c>
      <c r="R10" s="184" t="str">
        <f>IFERROR(IF(VLOOKUP(Fri_W1[[#This Row],[Employee Name]],'Base Schedules'!$A$1:$AW$44,17,FALSE)="","",VLOOKUP(Fri_W1[[#This Row],[Employee Name]],'Base Schedules'!$A$1:$AW$44,17,FALSE)),"")</f>
        <v>ADM</v>
      </c>
      <c r="S10" s="184" t="str">
        <f>IFERROR(IF(VLOOKUP(Fri_W1[[#This Row],[Employee Name]],'Base Schedules'!$A$1:$AW$44,18,FALSE)="","",VLOOKUP(Fri_W1[[#This Row],[Employee Name]],'Base Schedules'!$A$1:$AW$44,18,FALSE)),"")</f>
        <v>LUNCH</v>
      </c>
      <c r="T10" s="184" t="str">
        <f>IFERROR(IF(VLOOKUP(Fri_W1[[#This Row],[Employee Name]],'Base Schedules'!$A$1:$AW$44,19,FALSE)="","",VLOOKUP(Fri_W1[[#This Row],[Employee Name]],'Base Schedules'!$A$1:$AW$44,19,FALSE)),"")</f>
        <v>RNNR</v>
      </c>
      <c r="U10" s="184" t="str">
        <f>IFERROR(IF(VLOOKUP(Fri_W1[[#This Row],[Employee Name]],'Base Schedules'!$A$1:$AW$44,20,FALSE)="","",VLOOKUP(Fri_W1[[#This Row],[Employee Name]],'Base Schedules'!$A$1:$AW$44,20,FALSE)),"")</f>
        <v>RNNR</v>
      </c>
      <c r="V10" s="184" t="str">
        <f>IFERROR(IF(VLOOKUP(Fri_W1[[#This Row],[Employee Name]],'Base Schedules'!$A$1:$AW$44,21,FALSE)="","",VLOOKUP(Fri_W1[[#This Row],[Employee Name]],'Base Schedules'!$A$1:$AW$44,21,FALSE)),"")</f>
        <v>HL</v>
      </c>
      <c r="W10" s="184" t="str">
        <f>IFERROR(IF(VLOOKUP(Fri_W1[[#This Row],[Employee Name]],'Base Schedules'!$A$1:$AW$44,22,FALSE)="","",VLOOKUP(Fri_W1[[#This Row],[Employee Name]],'Base Schedules'!$A$1:$AW$44,22,FALSE)),"")</f>
        <v>B2 HL</v>
      </c>
      <c r="X10" s="184" t="str">
        <f>IFERROR(IF(VLOOKUP(Fri_W1[[#This Row],[Employee Name]],'Base Schedules'!$A$1:$AW$44,23,FALSE)="","",VLOOKUP(Fri_W1[[#This Row],[Employee Name]],'Base Schedules'!$A$1:$AW$44,23,FALSE)),"")</f>
        <v>HL</v>
      </c>
      <c r="Y10" s="184" t="str">
        <f>IFERROR(IF(VLOOKUP(Fri_W1[[#This Row],[Employee Name]],'Base Schedules'!$A$1:$AW$44,24,FALSE)="","",VLOOKUP(Fri_W1[[#This Row],[Employee Name]],'Base Schedules'!$A$1:$AW$44,24,FALSE)),"")</f>
        <v>PROJECT</v>
      </c>
      <c r="Z10" s="184" t="str">
        <f>IFERROR(IF(VLOOKUP(Fri_W1[[#This Row],[Employee Name]],'Base Schedules'!$A$1:$AW$44,25,FALSE)="","",VLOOKUP(Fri_W1[[#This Row],[Employee Name]],'Base Schedules'!$A$1:$AW$44,25,FALSE)),"")</f>
        <v>PROJECT</v>
      </c>
      <c r="AA10" s="184" t="str">
        <f>IFERROR(IF(VLOOKUP(Fri_W1[[#This Row],[Employee Name]],'Base Schedules'!$A$1:$AW$44,26,FALSE)="","",VLOOKUP(Fri_W1[[#This Row],[Employee Name]],'Base Schedules'!$A$1:$AW$44,26,FALSE)),"")</f>
        <v/>
      </c>
      <c r="AB10" s="184" t="str">
        <f>IFERROR(IF(VLOOKUP(Fri_W1[[#This Row],[Employee Name]],'Base Schedules'!$A$1:$AW$44,27,FALSE)="","",VLOOKUP(Fri_W1[[#This Row],[Employee Name]],'Base Schedules'!$A$1:$AW$44,27,FALSE)),"")</f>
        <v/>
      </c>
      <c r="AC10" s="184" t="str">
        <f>IFERROR(IF(VLOOKUP(Fri_W1[[#This Row],[Employee Name]],'Base Schedules'!$A$1:$AW$44,28,FALSE)="","",VLOOKUP(Fri_W1[[#This Row],[Employee Name]],'Base Schedules'!$A$1:$AW$44,28,FALSE)),"")</f>
        <v/>
      </c>
      <c r="AD10" s="184" t="str">
        <f>IFERROR(IF(VLOOKUP(Fri_W1[[#This Row],[Employee Name]],'Base Schedules'!$A$1:$AW$44,29,FALSE)="","",VLOOKUP(Fri_W1[[#This Row],[Employee Name]],'Base Schedules'!$A$1:$AW$44,29,FALSE)),"")</f>
        <v/>
      </c>
      <c r="AE10" s="184" t="str">
        <f>IFERROR(IF(VLOOKUP(Fri_W1[[#This Row],[Employee Name]],'Base Schedules'!$A$1:$AW$44,30,FALSE)="","",VLOOKUP(Fri_W1[[#This Row],[Employee Name]],'Base Schedules'!$A$1:$AW$44,30,FALSE)),"")</f>
        <v/>
      </c>
      <c r="AF10" s="184" t="str">
        <f>IFERROR(IF(VLOOKUP(Fri_W1[[#This Row],[Employee Name]],'Base Schedules'!$A$1:$AW$44,31,FALSE)="","",VLOOKUP(Fri_W1[[#This Row],[Employee Name]],'Base Schedules'!$A$1:$AW$44,31,FALSE)),"")</f>
        <v/>
      </c>
      <c r="AG10" s="184" t="str">
        <f>IFERROR(IF(VLOOKUP(Fri_W1[[#This Row],[Employee Name]],'Base Schedules'!$A$1:$AW$44,32,FALSE)="","",VLOOKUP(Fri_W1[[#This Row],[Employee Name]],'Base Schedules'!$A$1:$AW$44,32,FALSE)),"")</f>
        <v/>
      </c>
      <c r="AH10" s="184" t="str">
        <f>IFERROR(IF(VLOOKUP(Fri_W1[[#This Row],[Employee Name]],'Base Schedules'!$A$1:$AW$44,33,FALSE)="","",VLOOKUP(Fri_W1[[#This Row],[Employee Name]],'Base Schedules'!$A$1:$AW$44,33,FALSE)),"")</f>
        <v/>
      </c>
      <c r="AI10" s="184" t="str">
        <f>IFERROR(IF(VLOOKUP(Fri_W1[[#This Row],[Employee Name]],'Base Schedules'!$A$1:$AW$44,34,FALSE)="","",VLOOKUP(Fri_W1[[#This Row],[Employee Name]],'Base Schedules'!$A$1:$AW$44,34,FALSE)),"")</f>
        <v/>
      </c>
      <c r="AJ10" s="184" t="str">
        <f>IFERROR(IF(VLOOKUP(Fri_W1[[#This Row],[Employee Name]],'Base Schedules'!$A$1:$AW$44,35,FALSE)="","",VLOOKUP(Fri_W1[[#This Row],[Employee Name]],'Base Schedules'!$A$1:$AW$44,35,FALSE)),"")</f>
        <v/>
      </c>
      <c r="AK10" s="184" t="str">
        <f>IFERROR(IF(VLOOKUP(Fri_W1[[#This Row],[Employee Name]],'Base Schedules'!$A$1:$AW$44,36,FALSE)="","",VLOOKUP(Fri_W1[[#This Row],[Employee Name]],'Base Schedules'!$A$1:$AW$44,36,FALSE)),"")</f>
        <v/>
      </c>
      <c r="AL10" s="184" t="str">
        <f>IFERROR(IF(VLOOKUP(Fri_W1[[#This Row],[Employee Name]],'Base Schedules'!$A$1:$AW$44,37,FALSE)="","",VLOOKUP(Fri_W1[[#This Row],[Employee Name]],'Base Schedules'!$A$1:$AW$44,37,FALSE)),"")</f>
        <v/>
      </c>
      <c r="AM10" s="184" t="str">
        <f>IFERROR(IF(VLOOKUP(Fri_W1[[#This Row],[Employee Name]],'Base Schedules'!$A$1:$AW$44,38,FALSE)="","",VLOOKUP(Fri_W1[[#This Row],[Employee Name]],'Base Schedules'!$A$1:$AW$44,38,FALSE)),"")</f>
        <v/>
      </c>
      <c r="AN10" s="184" t="str">
        <f>IFERROR(IF(VLOOKUP(Fri_W1[[#This Row],[Employee Name]],'Base Schedules'!$A$1:$AW$44,39,FALSE)="","",VLOOKUP(Fri_W1[[#This Row],[Employee Name]],'Base Schedules'!$A$1:$AW$44,39,FALSE)),"")</f>
        <v/>
      </c>
      <c r="AO10" s="184" t="str">
        <f>IFERROR(IF(VLOOKUP(Fri_W1[[#This Row],[Employee Name]],'Base Schedules'!$A$1:$AW$44,40,FALSE)="","",VLOOKUP(Fri_W1[[#This Row],[Employee Name]],'Base Schedules'!$A$1:$AW$44,40,FALSE)),"")</f>
        <v/>
      </c>
      <c r="AP10" s="184" t="str">
        <f>IFERROR(IF(VLOOKUP(Fri_W1[[#This Row],[Employee Name]],'Base Schedules'!$A$1:$AW$44,41,FALSE)="","",VLOOKUP(Fri_W1[[#This Row],[Employee Name]],'Base Schedules'!$A$1:$AW$44,41,FALSE)),"")</f>
        <v/>
      </c>
      <c r="AQ10" s="184" t="str">
        <f>IFERROR(IF(VLOOKUP(Fri_W1[[#This Row],[Employee Name]],'Base Schedules'!$A$1:$AW$44,42,FALSE)="","",VLOOKUP(Fri_W1[[#This Row],[Employee Name]],'Base Schedules'!$A$1:$AW$44,42,FALSE)),"")</f>
        <v/>
      </c>
      <c r="AR10" s="184" t="str">
        <f>IFERROR(IF(VLOOKUP(Fri_W1[[#This Row],[Employee Name]],'Base Schedules'!$A$1:$AW$44,43,FALSE)="","",VLOOKUP(Fri_W1[[#This Row],[Employee Name]],'Base Schedules'!$A$1:$AW$44,43,FALSE)),"")</f>
        <v/>
      </c>
      <c r="AS10" s="184" t="str">
        <f>IFERROR(IF(VLOOKUP(Fri_W1[[#This Row],[Employee Name]],'Base Schedules'!$A$1:$AW$44,44,FALSE)="","",VLOOKUP(Fri_W1[[#This Row],[Employee Name]],'Base Schedules'!$A$1:$AW$44,44,FALSE)),"")</f>
        <v/>
      </c>
      <c r="AT10" s="184" t="str">
        <f>IFERROR(IF(VLOOKUP(Fri_W1[[#This Row],[Employee Name]],'Base Schedules'!$A$1:$AW$44,45,FALSE)="","",VLOOKUP(Fri_W1[[#This Row],[Employee Name]],'Base Schedules'!$A$1:$AW$44,45,FALSE)),"")</f>
        <v/>
      </c>
      <c r="AU10" s="184" t="str">
        <f>IFERROR(IF(VLOOKUP(Fri_W1[[#This Row],[Employee Name]],'Base Schedules'!$A$1:$AW$44,46,FALSE)="","",VLOOKUP(Fri_W1[[#This Row],[Employee Name]],'Base Schedules'!$A$1:$AW$44,46,FALSE)),"")</f>
        <v/>
      </c>
      <c r="AV10" s="184" t="str">
        <f>IFERROR(IF(VLOOKUP(Fri_W1[[#This Row],[Employee Name]],'Base Schedules'!$A$1:$AW$44,47,FALSE)="","",VLOOKUP(Fri_W1[[#This Row],[Employee Name]],'Base Schedules'!$A$1:$AW$44,47,FALSE)),"")</f>
        <v/>
      </c>
      <c r="AW10" s="184" t="str">
        <f>IFERROR(IF(VLOOKUP(Fri_W1[[#This Row],[Employee Name]],'Base Schedules'!$A$1:$AW$44,48,FALSE)="","",VLOOKUP(Fri_W1[[#This Row],[Employee Name]],'Base Schedules'!$A$1:$AW$44,48,FALSE)),"")</f>
        <v/>
      </c>
      <c r="AX10" s="184" t="str">
        <f>IFERROR(IF(VLOOKUP(Fri_W1[[#This Row],[Employee Name]],'Base Schedules'!$A$1:$AW$44,49,FALSE)="","",VLOOKUP(Fri_W1[[#This Row],[Employee Name]],'Base Schedules'!$A$1:$AW$44,49,FALSE)),"")</f>
        <v/>
      </c>
      <c r="AY10" s="245" t="str">
        <f t="shared" si="2"/>
        <v>Shiraki, Suzy</v>
      </c>
    </row>
    <row r="11" spans="1:51" s="44" customFormat="1" ht="11.25" customHeight="1" x14ac:dyDescent="0.2">
      <c r="A11" s="39" t="str">
        <f>IF(B11="","",INDEX(TeamList[],MATCH($B11,TeamList[[Employee Name]:[Employee Name]],0),MATCH("Manager",TeamList[#Headers],0)))</f>
        <v>Olson, Katherine</v>
      </c>
      <c r="B11" s="201" t="s">
        <v>32</v>
      </c>
      <c r="C11" s="257" t="str">
        <f>_xlfn.IFNA(VLOOKUP(Fri_W1[[#This Row],[Employee Name]],'Base Schedules'!A:B,2,FALSE),"")</f>
        <v>Supervisor</v>
      </c>
      <c r="D11" s="274">
        <f>_xlfn.IFNA(VLOOKUP(Fri_W1[[#This Row],[Employee Name]],'Base Schedules'!A:C,3,FALSE),"")</f>
        <v>500</v>
      </c>
      <c r="E11" s="274">
        <f>_xlfn.IFNA(VLOOKUP(Fri_W1[[#This Row],[Employee Name]],'Base Schedules'!A:D,4,FALSE),"")</f>
        <v>1400</v>
      </c>
      <c r="F11" s="142">
        <f>IF(Fri_W1[[#This Row],[Employee Name]]="","",IF(Fri_W1[[#This Row],[Dept]]="Supervisor",COUNTIFS($J11:$AX11,"*HL*",$J11:$AX11,"&lt;&gt;"&amp;"pHL"),COUNTIFS($J11:$AX11,"*HL*",$J11:$AX11,"&lt;&gt;"&amp;"*pHL*",$J11:$AX11,"&lt;&gt;"&amp;"pB1 HL",$J11:$AX11,"&lt;&gt;"&amp;"pB2 HL")-SUM(COUNTIFS($J11:$AX11,"*HL B1*",$J11:$AX11,"&lt;&gt;"&amp;"pHL B1")*0.5,COUNTIFS($J11:$AX11,"*HL B2*",$J11:$AX11,"&lt;&gt;"&amp;"pHL B2")*0.5,COUNTIFS($J11:$AX11,"*B1 HL*",$J11:$AX11,"&lt;&gt;"&amp;"pB1 HL")*0.5,COUNTIFS($J11:$AX11,"*B2 HL*",$J11:$AX11,"&lt;&gt;"&amp;"pB2 HL")*0.5)))</f>
        <v>0</v>
      </c>
      <c r="G11" s="142">
        <f t="shared" si="0"/>
        <v>4</v>
      </c>
      <c r="H11" s="142">
        <f t="shared" si="1"/>
        <v>0</v>
      </c>
      <c r="I11" s="142">
        <f>IF(Fri_W1[[#This Row],[Employee Name]]="","",IF(Fri_W1[[#This Row],[Dept]]="Supervisor",SUM(COUNTIFS($J11:$AX11,"RTA*",$J11:$AX11,"&lt;&gt;"&amp;"pRTA"),COUNTIFS($J11:$AX11,"*CRTA*",$J11:$AX11,"&lt;&gt;"&amp;"pCRTA")),COUNTIFS($J11:$AX11,"*RNNR*",$J11:$AX11,"&lt;&gt;"&amp;"*pRNNR*",$J11:$AX11,"&lt;&gt;"&amp;"pB1 RNNR",$J11:$AX11,"&lt;&gt;"&amp;"pB2 RNNR")-SUM(COUNTIFS($J11:$AX11,"*RNNR B1*",$J11:$AX11,"&lt;&gt;"&amp;"pRNNR B1")*0.5,COUNTIFS($J11:$AX11,"*RNNR B2*",$J11:$AX11,"&lt;&gt;"&amp;"pRNNR B2")*0.5,COUNTIFS($J11:$AX11,"*B1 RNNR*",$J11:$AX11,"&lt;&gt;"&amp;"pB1 RNNR")*0.5,COUNTIFS($J11:$AX11,"*B2 RNNR*",$J11:$AX11,"&lt;&gt;"&amp;"pB2 RNNR")*0.5)))</f>
        <v>0</v>
      </c>
      <c r="J11" s="184" t="str">
        <f>IFERROR(IF(VLOOKUP(Fri_W1[[#This Row],[Employee Name]],'Base Schedules'!$A$1:$AW$44,9,FALSE)="","",VLOOKUP(Fri_W1[[#This Row],[Employee Name]],'Base Schedules'!$A$1:$AW$44,9,FALSE)),"")</f>
        <v>-</v>
      </c>
      <c r="K11" s="184" t="str">
        <f>IFERROR(IF(VLOOKUP(Fri_W1[[#This Row],[Employee Name]],'Base Schedules'!$A$1:$AW$44,10,FALSE)="","",VLOOKUP(Fri_W1[[#This Row],[Employee Name]],'Base Schedules'!$A$1:$AW$44,10,FALSE)),"")</f>
        <v>-</v>
      </c>
      <c r="L11" s="184" t="str">
        <f>IFERROR(IF(VLOOKUP(Fri_W1[[#This Row],[Employee Name]],'Base Schedules'!$A$1:$AW$44,11,FALSE)="","",VLOOKUP(Fri_W1[[#This Row],[Employee Name]],'Base Schedules'!$A$1:$AW$44,11,FALSE)),"")</f>
        <v>-</v>
      </c>
      <c r="M11" s="184" t="str">
        <f>IFERROR(IF(VLOOKUP(Fri_W1[[#This Row],[Employee Name]],'Base Schedules'!$A$1:$AW$44,12,FALSE)="","",VLOOKUP(Fri_W1[[#This Row],[Employee Name]],'Base Schedules'!$A$1:$AW$44,12,FALSE)),"")</f>
        <v>-</v>
      </c>
      <c r="N11" s="184" t="str">
        <f>IFERROR(IF(VLOOKUP(Fri_W1[[#This Row],[Employee Name]],'Base Schedules'!$A$1:$AW$44,13,FALSE)="","",VLOOKUP(Fri_W1[[#This Row],[Employee Name]],'Base Schedules'!$A$1:$AW$44,13,FALSE)),"")</f>
        <v>-</v>
      </c>
      <c r="O11" s="184" t="str">
        <f>IFERROR(IF(VLOOKUP(Fri_W1[[#This Row],[Employee Name]],'Base Schedules'!$A$1:$AW$44,14,FALSE)="","",VLOOKUP(Fri_W1[[#This Row],[Employee Name]],'Base Schedules'!$A$1:$AW$44,14,FALSE)),"")</f>
        <v>-</v>
      </c>
      <c r="P11" s="184" t="str">
        <f>IFERROR(IF(VLOOKUP(Fri_W1[[#This Row],[Employee Name]],'Base Schedules'!$A$1:$AW$44,15,FALSE)="","",VLOOKUP(Fri_W1[[#This Row],[Employee Name]],'Base Schedules'!$A$1:$AW$44,15,FALSE)),"")</f>
        <v>Interview</v>
      </c>
      <c r="Q11" s="184" t="str">
        <f>IFERROR(IF(VLOOKUP(Fri_W1[[#This Row],[Employee Name]],'Base Schedules'!$A$1:$AW$44,16,FALSE)="","",VLOOKUP(Fri_W1[[#This Row],[Employee Name]],'Base Schedules'!$A$1:$AW$44,16,FALSE)),"")</f>
        <v>Interview</v>
      </c>
      <c r="R11" s="184" t="str">
        <f>IFERROR(IF(VLOOKUP(Fri_W1[[#This Row],[Employee Name]],'Base Schedules'!$A$1:$AW$44,17,FALSE)="","",VLOOKUP(Fri_W1[[#This Row],[Employee Name]],'Base Schedules'!$A$1:$AW$44,17,FALSE)),"")</f>
        <v>-</v>
      </c>
      <c r="S11" s="184" t="str">
        <f>IFERROR(IF(VLOOKUP(Fri_W1[[#This Row],[Employee Name]],'Base Schedules'!$A$1:$AW$44,18,FALSE)="","",VLOOKUP(Fri_W1[[#This Row],[Employee Name]],'Base Schedules'!$A$1:$AW$44,18,FALSE)),"")</f>
        <v>-</v>
      </c>
      <c r="T11" s="184" t="str">
        <f>IFERROR(IF(VLOOKUP(Fri_W1[[#This Row],[Employee Name]],'Base Schedules'!$A$1:$AW$44,19,FALSE)="","",VLOOKUP(Fri_W1[[#This Row],[Employee Name]],'Base Schedules'!$A$1:$AW$44,19,FALSE)),"")</f>
        <v>Coaching</v>
      </c>
      <c r="U11" s="184" t="str">
        <f>IFERROR(IF(VLOOKUP(Fri_W1[[#This Row],[Employee Name]],'Base Schedules'!$A$1:$AW$44,20,FALSE)="","",VLOOKUP(Fri_W1[[#This Row],[Employee Name]],'Base Schedules'!$A$1:$AW$44,20,FALSE)),"")</f>
        <v>Coaching</v>
      </c>
      <c r="V11" s="184" t="str">
        <f>IFERROR(IF(VLOOKUP(Fri_W1[[#This Row],[Employee Name]],'Base Schedules'!$A$1:$AW$44,21,FALSE)="","",VLOOKUP(Fri_W1[[#This Row],[Employee Name]],'Base Schedules'!$A$1:$AW$44,21,FALSE)),"")</f>
        <v>Coaching</v>
      </c>
      <c r="W11" s="184" t="str">
        <f>IFERROR(IF(VLOOKUP(Fri_W1[[#This Row],[Employee Name]],'Base Schedules'!$A$1:$AW$44,22,FALSE)="","",VLOOKUP(Fri_W1[[#This Row],[Employee Name]],'Base Schedules'!$A$1:$AW$44,22,FALSE)),"")</f>
        <v>Coaching</v>
      </c>
      <c r="X11" s="184" t="str">
        <f>IFERROR(IF(VLOOKUP(Fri_W1[[#This Row],[Employee Name]],'Base Schedules'!$A$1:$AW$44,23,FALSE)="","",VLOOKUP(Fri_W1[[#This Row],[Employee Name]],'Base Schedules'!$A$1:$AW$44,23,FALSE)),"")</f>
        <v>-</v>
      </c>
      <c r="Y11" s="184" t="str">
        <f>IFERROR(IF(VLOOKUP(Fri_W1[[#This Row],[Employee Name]],'Base Schedules'!$A$1:$AW$44,24,FALSE)="","",VLOOKUP(Fri_W1[[#This Row],[Employee Name]],'Base Schedules'!$A$1:$AW$44,24,FALSE)),"")</f>
        <v>TM PREP</v>
      </c>
      <c r="Z11" s="184" t="str">
        <f>IFERROR(IF(VLOOKUP(Fri_W1[[#This Row],[Employee Name]],'Base Schedules'!$A$1:$AW$44,25,FALSE)="","",VLOOKUP(Fri_W1[[#This Row],[Employee Name]],'Base Schedules'!$A$1:$AW$44,25,FALSE)),"")</f>
        <v>ALVAREZ TM</v>
      </c>
      <c r="AA11" s="184" t="str">
        <f>IFERROR(IF(VLOOKUP(Fri_W1[[#This Row],[Employee Name]],'Base Schedules'!$A$1:$AW$44,26,FALSE)="","",VLOOKUP(Fri_W1[[#This Row],[Employee Name]],'Base Schedules'!$A$1:$AW$44,26,FALSE)),"")</f>
        <v>ALVAREZ TM</v>
      </c>
      <c r="AB11" s="184" t="str">
        <f>IFERROR(IF(VLOOKUP(Fri_W1[[#This Row],[Employee Name]],'Base Schedules'!$A$1:$AW$44,27,FALSE)="","",VLOOKUP(Fri_W1[[#This Row],[Employee Name]],'Base Schedules'!$A$1:$AW$44,27,FALSE)),"")</f>
        <v/>
      </c>
      <c r="AC11" s="184" t="str">
        <f>IFERROR(IF(VLOOKUP(Fri_W1[[#This Row],[Employee Name]],'Base Schedules'!$A$1:$AW$44,28,FALSE)="","",VLOOKUP(Fri_W1[[#This Row],[Employee Name]],'Base Schedules'!$A$1:$AW$44,28,FALSE)),"")</f>
        <v/>
      </c>
      <c r="AD11" s="184" t="str">
        <f>IFERROR(IF(VLOOKUP(Fri_W1[[#This Row],[Employee Name]],'Base Schedules'!$A$1:$AW$44,29,FALSE)="","",VLOOKUP(Fri_W1[[#This Row],[Employee Name]],'Base Schedules'!$A$1:$AW$44,29,FALSE)),"")</f>
        <v/>
      </c>
      <c r="AE11" s="184" t="str">
        <f>IFERROR(IF(VLOOKUP(Fri_W1[[#This Row],[Employee Name]],'Base Schedules'!$A$1:$AW$44,30,FALSE)="","",VLOOKUP(Fri_W1[[#This Row],[Employee Name]],'Base Schedules'!$A$1:$AW$44,30,FALSE)),"")</f>
        <v/>
      </c>
      <c r="AF11" s="184" t="str">
        <f>IFERROR(IF(VLOOKUP(Fri_W1[[#This Row],[Employee Name]],'Base Schedules'!$A$1:$AW$44,31,FALSE)="","",VLOOKUP(Fri_W1[[#This Row],[Employee Name]],'Base Schedules'!$A$1:$AW$44,31,FALSE)),"")</f>
        <v/>
      </c>
      <c r="AG11" s="184" t="str">
        <f>IFERROR(IF(VLOOKUP(Fri_W1[[#This Row],[Employee Name]],'Base Schedules'!$A$1:$AW$44,32,FALSE)="","",VLOOKUP(Fri_W1[[#This Row],[Employee Name]],'Base Schedules'!$A$1:$AW$44,32,FALSE)),"")</f>
        <v/>
      </c>
      <c r="AH11" s="184" t="str">
        <f>IFERROR(IF(VLOOKUP(Fri_W1[[#This Row],[Employee Name]],'Base Schedules'!$A$1:$AW$44,33,FALSE)="","",VLOOKUP(Fri_W1[[#This Row],[Employee Name]],'Base Schedules'!$A$1:$AW$44,33,FALSE)),"")</f>
        <v/>
      </c>
      <c r="AI11" s="184" t="str">
        <f>IFERROR(IF(VLOOKUP(Fri_W1[[#This Row],[Employee Name]],'Base Schedules'!$A$1:$AW$44,34,FALSE)="","",VLOOKUP(Fri_W1[[#This Row],[Employee Name]],'Base Schedules'!$A$1:$AW$44,34,FALSE)),"")</f>
        <v/>
      </c>
      <c r="AJ11" s="184" t="str">
        <f>IFERROR(IF(VLOOKUP(Fri_W1[[#This Row],[Employee Name]],'Base Schedules'!$A$1:$AW$44,35,FALSE)="","",VLOOKUP(Fri_W1[[#This Row],[Employee Name]],'Base Schedules'!$A$1:$AW$44,35,FALSE)),"")</f>
        <v/>
      </c>
      <c r="AK11" s="184" t="str">
        <f>IFERROR(IF(VLOOKUP(Fri_W1[[#This Row],[Employee Name]],'Base Schedules'!$A$1:$AW$44,36,FALSE)="","",VLOOKUP(Fri_W1[[#This Row],[Employee Name]],'Base Schedules'!$A$1:$AW$44,36,FALSE)),"")</f>
        <v/>
      </c>
      <c r="AL11" s="184" t="str">
        <f>IFERROR(IF(VLOOKUP(Fri_W1[[#This Row],[Employee Name]],'Base Schedules'!$A$1:$AW$44,37,FALSE)="","",VLOOKUP(Fri_W1[[#This Row],[Employee Name]],'Base Schedules'!$A$1:$AW$44,37,FALSE)),"")</f>
        <v/>
      </c>
      <c r="AM11" s="184" t="str">
        <f>IFERROR(IF(VLOOKUP(Fri_W1[[#This Row],[Employee Name]],'Base Schedules'!$A$1:$AW$44,38,FALSE)="","",VLOOKUP(Fri_W1[[#This Row],[Employee Name]],'Base Schedules'!$A$1:$AW$44,38,FALSE)),"")</f>
        <v/>
      </c>
      <c r="AN11" s="184" t="str">
        <f>IFERROR(IF(VLOOKUP(Fri_W1[[#This Row],[Employee Name]],'Base Schedules'!$A$1:$AW$44,39,FALSE)="","",VLOOKUP(Fri_W1[[#This Row],[Employee Name]],'Base Schedules'!$A$1:$AW$44,39,FALSE)),"")</f>
        <v/>
      </c>
      <c r="AO11" s="184" t="str">
        <f>IFERROR(IF(VLOOKUP(Fri_W1[[#This Row],[Employee Name]],'Base Schedules'!$A$1:$AW$44,40,FALSE)="","",VLOOKUP(Fri_W1[[#This Row],[Employee Name]],'Base Schedules'!$A$1:$AW$44,40,FALSE)),"")</f>
        <v/>
      </c>
      <c r="AP11" s="184" t="str">
        <f>IFERROR(IF(VLOOKUP(Fri_W1[[#This Row],[Employee Name]],'Base Schedules'!$A$1:$AW$44,41,FALSE)="","",VLOOKUP(Fri_W1[[#This Row],[Employee Name]],'Base Schedules'!$A$1:$AW$44,41,FALSE)),"")</f>
        <v/>
      </c>
      <c r="AQ11" s="184" t="str">
        <f>IFERROR(IF(VLOOKUP(Fri_W1[[#This Row],[Employee Name]],'Base Schedules'!$A$1:$AW$44,42,FALSE)="","",VLOOKUP(Fri_W1[[#This Row],[Employee Name]],'Base Schedules'!$A$1:$AW$44,42,FALSE)),"")</f>
        <v/>
      </c>
      <c r="AR11" s="184" t="str">
        <f>IFERROR(IF(VLOOKUP(Fri_W1[[#This Row],[Employee Name]],'Base Schedules'!$A$1:$AW$44,43,FALSE)="","",VLOOKUP(Fri_W1[[#This Row],[Employee Name]],'Base Schedules'!$A$1:$AW$44,43,FALSE)),"")</f>
        <v/>
      </c>
      <c r="AS11" s="184" t="str">
        <f>IFERROR(IF(VLOOKUP(Fri_W1[[#This Row],[Employee Name]],'Base Schedules'!$A$1:$AW$44,44,FALSE)="","",VLOOKUP(Fri_W1[[#This Row],[Employee Name]],'Base Schedules'!$A$1:$AW$44,44,FALSE)),"")</f>
        <v/>
      </c>
      <c r="AT11" s="184" t="str">
        <f>IFERROR(IF(VLOOKUP(Fri_W1[[#This Row],[Employee Name]],'Base Schedules'!$A$1:$AW$44,45,FALSE)="","",VLOOKUP(Fri_W1[[#This Row],[Employee Name]],'Base Schedules'!$A$1:$AW$44,45,FALSE)),"")</f>
        <v/>
      </c>
      <c r="AU11" s="184" t="str">
        <f>IFERROR(IF(VLOOKUP(Fri_W1[[#This Row],[Employee Name]],'Base Schedules'!$A$1:$AW$44,46,FALSE)="","",VLOOKUP(Fri_W1[[#This Row],[Employee Name]],'Base Schedules'!$A$1:$AW$44,46,FALSE)),"")</f>
        <v/>
      </c>
      <c r="AV11" s="184" t="str">
        <f>IFERROR(IF(VLOOKUP(Fri_W1[[#This Row],[Employee Name]],'Base Schedules'!$A$1:$AW$44,47,FALSE)="","",VLOOKUP(Fri_W1[[#This Row],[Employee Name]],'Base Schedules'!$A$1:$AW$44,47,FALSE)),"")</f>
        <v/>
      </c>
      <c r="AW11" s="184" t="str">
        <f>IFERROR(IF(VLOOKUP(Fri_W1[[#This Row],[Employee Name]],'Base Schedules'!$A$1:$AW$44,48,FALSE)="","",VLOOKUP(Fri_W1[[#This Row],[Employee Name]],'Base Schedules'!$A$1:$AW$44,48,FALSE)),"")</f>
        <v/>
      </c>
      <c r="AX11" s="184" t="str">
        <f>IFERROR(IF(VLOOKUP(Fri_W1[[#This Row],[Employee Name]],'Base Schedules'!$A$1:$AW$44,49,FALSE)="","",VLOOKUP(Fri_W1[[#This Row],[Employee Name]],'Base Schedules'!$A$1:$AW$44,49,FALSE)),"")</f>
        <v/>
      </c>
      <c r="AY11" s="245" t="str">
        <f t="shared" si="2"/>
        <v>Alvarez, Carlos</v>
      </c>
    </row>
    <row r="12" spans="1:51" s="44" customFormat="1" ht="11.25" customHeight="1" x14ac:dyDescent="0.2">
      <c r="A12" s="39" t="str">
        <f>IF(B12="","",INDEX(TeamList[],MATCH($B12,TeamList[[Employee Name]:[Employee Name]],0),MATCH("Manager",TeamList[#Headers],0)))</f>
        <v>Ahmed Hassan, Zahra</v>
      </c>
      <c r="B12" s="201" t="s">
        <v>25</v>
      </c>
      <c r="C12" s="257" t="str">
        <f>_xlfn.IFNA(VLOOKUP(Fri_W1[[#This Row],[Employee Name]],'Base Schedules'!A:B,2,FALSE),"")</f>
        <v>Supervisor</v>
      </c>
      <c r="D12" s="274">
        <f>_xlfn.IFNA(VLOOKUP(Fri_W1[[#This Row],[Employee Name]],'Base Schedules'!A:C,3,FALSE),"")</f>
        <v>500</v>
      </c>
      <c r="E12" s="274">
        <f>_xlfn.IFNA(VLOOKUP(Fri_W1[[#This Row],[Employee Name]],'Base Schedules'!A:D,4,FALSE),"")</f>
        <v>1400</v>
      </c>
      <c r="F12" s="142">
        <f>IF(Fri_W1[[#This Row],[Employee Name]]="","",IF(Fri_W1[[#This Row],[Dept]]="Supervisor",COUNTIFS($J12:$AX12,"*HL*",$J12:$AX12,"&lt;&gt;"&amp;"pHL"),COUNTIFS($J12:$AX12,"*HL*",$J12:$AX12,"&lt;&gt;"&amp;"*pHL*",$J12:$AX12,"&lt;&gt;"&amp;"pB1 HL",$J12:$AX12,"&lt;&gt;"&amp;"pB2 HL")-SUM(COUNTIFS($J12:$AX12,"*HL B1*",$J12:$AX12,"&lt;&gt;"&amp;"pHL B1")*0.5,COUNTIFS($J12:$AX12,"*HL B2*",$J12:$AX12,"&lt;&gt;"&amp;"pHL B2")*0.5,COUNTIFS($J12:$AX12,"*B1 HL*",$J12:$AX12,"&lt;&gt;"&amp;"pB1 HL")*0.5,COUNTIFS($J12:$AX12,"*B2 HL*",$J12:$AX12,"&lt;&gt;"&amp;"pB2 HL")*0.5)))</f>
        <v>0</v>
      </c>
      <c r="G12" s="142">
        <f t="shared" si="0"/>
        <v>3</v>
      </c>
      <c r="H12" s="142">
        <f t="shared" si="1"/>
        <v>0</v>
      </c>
      <c r="I12" s="142">
        <f>IF(Fri_W1[[#This Row],[Employee Name]]="","",IF(Fri_W1[[#This Row],[Dept]]="Supervisor",SUM(COUNTIFS($J12:$AX12,"RTA*",$J12:$AX12,"&lt;&gt;"&amp;"pRTA"),COUNTIFS($J12:$AX12,"*CRTA*",$J12:$AX12,"&lt;&gt;"&amp;"pCRTA")),COUNTIFS($J12:$AX12,"*RNNR*",$J12:$AX12,"&lt;&gt;"&amp;"*pRNNR*",$J12:$AX12,"&lt;&gt;"&amp;"pB1 RNNR",$J12:$AX12,"&lt;&gt;"&amp;"pB2 RNNR")-SUM(COUNTIFS($J12:$AX12,"*RNNR B1*",$J12:$AX12,"&lt;&gt;"&amp;"pRNNR B1")*0.5,COUNTIFS($J12:$AX12,"*RNNR B2*",$J12:$AX12,"&lt;&gt;"&amp;"pRNNR B2")*0.5,COUNTIFS($J12:$AX12,"*B1 RNNR*",$J12:$AX12,"&lt;&gt;"&amp;"pB1 RNNR")*0.5,COUNTIFS($J12:$AX12,"*B2 RNNR*",$J12:$AX12,"&lt;&gt;"&amp;"pB2 RNNR")*0.5)))</f>
        <v>0</v>
      </c>
      <c r="J12" s="184" t="str">
        <f>IFERROR(IF(VLOOKUP(Fri_W1[[#This Row],[Employee Name]],'Base Schedules'!$A$1:$AW$44,9,FALSE)="","",VLOOKUP(Fri_W1[[#This Row],[Employee Name]],'Base Schedules'!$A$1:$AW$44,9,FALSE)),"")</f>
        <v>-</v>
      </c>
      <c r="K12" s="184" t="str">
        <f>IFERROR(IF(VLOOKUP(Fri_W1[[#This Row],[Employee Name]],'Base Schedules'!$A$1:$AW$44,10,FALSE)="","",VLOOKUP(Fri_W1[[#This Row],[Employee Name]],'Base Schedules'!$A$1:$AW$44,10,FALSE)),"")</f>
        <v>-</v>
      </c>
      <c r="L12" s="184" t="str">
        <f>IFERROR(IF(VLOOKUP(Fri_W1[[#This Row],[Employee Name]],'Base Schedules'!$A$1:$AW$44,11,FALSE)="","",VLOOKUP(Fri_W1[[#This Row],[Employee Name]],'Base Schedules'!$A$1:$AW$44,11,FALSE)),"")</f>
        <v>-</v>
      </c>
      <c r="M12" s="184" t="str">
        <f>IFERROR(IF(VLOOKUP(Fri_W1[[#This Row],[Employee Name]],'Base Schedules'!$A$1:$AW$44,12,FALSE)="","",VLOOKUP(Fri_W1[[#This Row],[Employee Name]],'Base Schedules'!$A$1:$AW$44,12,FALSE)),"")</f>
        <v>-</v>
      </c>
      <c r="N12" s="184" t="str">
        <f>IFERROR(IF(VLOOKUP(Fri_W1[[#This Row],[Employee Name]],'Base Schedules'!$A$1:$AW$44,13,FALSE)="","",VLOOKUP(Fri_W1[[#This Row],[Employee Name]],'Base Schedules'!$A$1:$AW$44,13,FALSE)),"")</f>
        <v>-</v>
      </c>
      <c r="O12" s="184" t="str">
        <f>IFERROR(IF(VLOOKUP(Fri_W1[[#This Row],[Employee Name]],'Base Schedules'!$A$1:$AW$44,14,FALSE)="","",VLOOKUP(Fri_W1[[#This Row],[Employee Name]],'Base Schedules'!$A$1:$AW$44,14,FALSE)),"")</f>
        <v>-</v>
      </c>
      <c r="P12" s="184" t="str">
        <f>IFERROR(IF(VLOOKUP(Fri_W1[[#This Row],[Employee Name]],'Base Schedules'!$A$1:$AW$44,15,FALSE)="","",VLOOKUP(Fri_W1[[#This Row],[Employee Name]],'Base Schedules'!$A$1:$AW$44,15,FALSE)),"")</f>
        <v>Interview</v>
      </c>
      <c r="Q12" s="184" t="str">
        <f>IFERROR(IF(VLOOKUP(Fri_W1[[#This Row],[Employee Name]],'Base Schedules'!$A$1:$AW$44,16,FALSE)="","",VLOOKUP(Fri_W1[[#This Row],[Employee Name]],'Base Schedules'!$A$1:$AW$44,16,FALSE)),"")</f>
        <v>Interview</v>
      </c>
      <c r="R12" s="184" t="str">
        <f>IFERROR(IF(VLOOKUP(Fri_W1[[#This Row],[Employee Name]],'Base Schedules'!$A$1:$AW$44,17,FALSE)="","",VLOOKUP(Fri_W1[[#This Row],[Employee Name]],'Base Schedules'!$A$1:$AW$44,17,FALSE)),"")</f>
        <v>-</v>
      </c>
      <c r="S12" s="184" t="str">
        <f>IFERROR(IF(VLOOKUP(Fri_W1[[#This Row],[Employee Name]],'Base Schedules'!$A$1:$AW$44,18,FALSE)="","",VLOOKUP(Fri_W1[[#This Row],[Employee Name]],'Base Schedules'!$A$1:$AW$44,18,FALSE)),"")</f>
        <v>Coaching</v>
      </c>
      <c r="T12" s="184" t="str">
        <f>IFERROR(IF(VLOOKUP(Fri_W1[[#This Row],[Employee Name]],'Base Schedules'!$A$1:$AW$44,19,FALSE)="","",VLOOKUP(Fri_W1[[#This Row],[Employee Name]],'Base Schedules'!$A$1:$AW$44,19,FALSE)),"")</f>
        <v>Coaching</v>
      </c>
      <c r="U12" s="184" t="str">
        <f>IFERROR(IF(VLOOKUP(Fri_W1[[#This Row],[Employee Name]],'Base Schedules'!$A$1:$AW$44,20,FALSE)="","",VLOOKUP(Fri_W1[[#This Row],[Employee Name]],'Base Schedules'!$A$1:$AW$44,20,FALSE)),"")</f>
        <v>Coaching</v>
      </c>
      <c r="V12" s="184" t="str">
        <f>IFERROR(IF(VLOOKUP(Fri_W1[[#This Row],[Employee Name]],'Base Schedules'!$A$1:$AW$44,21,FALSE)="","",VLOOKUP(Fri_W1[[#This Row],[Employee Name]],'Base Schedules'!$A$1:$AW$44,21,FALSE)),"")</f>
        <v>-</v>
      </c>
      <c r="W12" s="184" t="str">
        <f>IFERROR(IF(VLOOKUP(Fri_W1[[#This Row],[Employee Name]],'Base Schedules'!$A$1:$AW$44,22,FALSE)="","",VLOOKUP(Fri_W1[[#This Row],[Employee Name]],'Base Schedules'!$A$1:$AW$44,22,FALSE)),"")</f>
        <v>TM PREP</v>
      </c>
      <c r="X12" s="184" t="str">
        <f>IFERROR(IF(VLOOKUP(Fri_W1[[#This Row],[Employee Name]],'Base Schedules'!$A$1:$AW$44,23,FALSE)="","",VLOOKUP(Fri_W1[[#This Row],[Employee Name]],'Base Schedules'!$A$1:$AW$44,23,FALSE)),"")</f>
        <v>OATES TM</v>
      </c>
      <c r="Y12" s="184" t="str">
        <f>IFERROR(IF(VLOOKUP(Fri_W1[[#This Row],[Employee Name]],'Base Schedules'!$A$1:$AW$44,24,FALSE)="","",VLOOKUP(Fri_W1[[#This Row],[Employee Name]],'Base Schedules'!$A$1:$AW$44,24,FALSE)),"")</f>
        <v>OATES TM</v>
      </c>
      <c r="Z12" s="184" t="str">
        <f>IFERROR(IF(VLOOKUP(Fri_W1[[#This Row],[Employee Name]],'Base Schedules'!$A$1:$AW$44,25,FALSE)="","",VLOOKUP(Fri_W1[[#This Row],[Employee Name]],'Base Schedules'!$A$1:$AW$44,25,FALSE)),"")</f>
        <v>-</v>
      </c>
      <c r="AA12" s="184" t="str">
        <f>IFERROR(IF(VLOOKUP(Fri_W1[[#This Row],[Employee Name]],'Base Schedules'!$A$1:$AW$44,26,FALSE)="","",VLOOKUP(Fri_W1[[#This Row],[Employee Name]],'Base Schedules'!$A$1:$AW$44,26,FALSE)),"")</f>
        <v>-</v>
      </c>
      <c r="AB12" s="184" t="str">
        <f>IFERROR(IF(VLOOKUP(Fri_W1[[#This Row],[Employee Name]],'Base Schedules'!$A$1:$AW$44,27,FALSE)="","",VLOOKUP(Fri_W1[[#This Row],[Employee Name]],'Base Schedules'!$A$1:$AW$44,27,FALSE)),"")</f>
        <v/>
      </c>
      <c r="AC12" s="184" t="str">
        <f>IFERROR(IF(VLOOKUP(Fri_W1[[#This Row],[Employee Name]],'Base Schedules'!$A$1:$AW$44,28,FALSE)="","",VLOOKUP(Fri_W1[[#This Row],[Employee Name]],'Base Schedules'!$A$1:$AW$44,28,FALSE)),"")</f>
        <v/>
      </c>
      <c r="AD12" s="184" t="str">
        <f>IFERROR(IF(VLOOKUP(Fri_W1[[#This Row],[Employee Name]],'Base Schedules'!$A$1:$AW$44,29,FALSE)="","",VLOOKUP(Fri_W1[[#This Row],[Employee Name]],'Base Schedules'!$A$1:$AW$44,29,FALSE)),"")</f>
        <v/>
      </c>
      <c r="AE12" s="184" t="str">
        <f>IFERROR(IF(VLOOKUP(Fri_W1[[#This Row],[Employee Name]],'Base Schedules'!$A$1:$AW$44,30,FALSE)="","",VLOOKUP(Fri_W1[[#This Row],[Employee Name]],'Base Schedules'!$A$1:$AW$44,30,FALSE)),"")</f>
        <v/>
      </c>
      <c r="AF12" s="184" t="str">
        <f>IFERROR(IF(VLOOKUP(Fri_W1[[#This Row],[Employee Name]],'Base Schedules'!$A$1:$AW$44,31,FALSE)="","",VLOOKUP(Fri_W1[[#This Row],[Employee Name]],'Base Schedules'!$A$1:$AW$44,31,FALSE)),"")</f>
        <v/>
      </c>
      <c r="AG12" s="184" t="str">
        <f>IFERROR(IF(VLOOKUP(Fri_W1[[#This Row],[Employee Name]],'Base Schedules'!$A$1:$AW$44,32,FALSE)="","",VLOOKUP(Fri_W1[[#This Row],[Employee Name]],'Base Schedules'!$A$1:$AW$44,32,FALSE)),"")</f>
        <v/>
      </c>
      <c r="AH12" s="184" t="str">
        <f>IFERROR(IF(VLOOKUP(Fri_W1[[#This Row],[Employee Name]],'Base Schedules'!$A$1:$AW$44,33,FALSE)="","",VLOOKUP(Fri_W1[[#This Row],[Employee Name]],'Base Schedules'!$A$1:$AW$44,33,FALSE)),"")</f>
        <v/>
      </c>
      <c r="AI12" s="184" t="str">
        <f>IFERROR(IF(VLOOKUP(Fri_W1[[#This Row],[Employee Name]],'Base Schedules'!$A$1:$AW$44,34,FALSE)="","",VLOOKUP(Fri_W1[[#This Row],[Employee Name]],'Base Schedules'!$A$1:$AW$44,34,FALSE)),"")</f>
        <v/>
      </c>
      <c r="AJ12" s="184" t="str">
        <f>IFERROR(IF(VLOOKUP(Fri_W1[[#This Row],[Employee Name]],'Base Schedules'!$A$1:$AW$44,35,FALSE)="","",VLOOKUP(Fri_W1[[#This Row],[Employee Name]],'Base Schedules'!$A$1:$AW$44,35,FALSE)),"")</f>
        <v/>
      </c>
      <c r="AK12" s="184" t="str">
        <f>IFERROR(IF(VLOOKUP(Fri_W1[[#This Row],[Employee Name]],'Base Schedules'!$A$1:$AW$44,36,FALSE)="","",VLOOKUP(Fri_W1[[#This Row],[Employee Name]],'Base Schedules'!$A$1:$AW$44,36,FALSE)),"")</f>
        <v/>
      </c>
      <c r="AL12" s="184" t="str">
        <f>IFERROR(IF(VLOOKUP(Fri_W1[[#This Row],[Employee Name]],'Base Schedules'!$A$1:$AW$44,37,FALSE)="","",VLOOKUP(Fri_W1[[#This Row],[Employee Name]],'Base Schedules'!$A$1:$AW$44,37,FALSE)),"")</f>
        <v/>
      </c>
      <c r="AM12" s="184" t="str">
        <f>IFERROR(IF(VLOOKUP(Fri_W1[[#This Row],[Employee Name]],'Base Schedules'!$A$1:$AW$44,38,FALSE)="","",VLOOKUP(Fri_W1[[#This Row],[Employee Name]],'Base Schedules'!$A$1:$AW$44,38,FALSE)),"")</f>
        <v/>
      </c>
      <c r="AN12" s="184" t="str">
        <f>IFERROR(IF(VLOOKUP(Fri_W1[[#This Row],[Employee Name]],'Base Schedules'!$A$1:$AW$44,39,FALSE)="","",VLOOKUP(Fri_W1[[#This Row],[Employee Name]],'Base Schedules'!$A$1:$AW$44,39,FALSE)),"")</f>
        <v/>
      </c>
      <c r="AO12" s="184" t="str">
        <f>IFERROR(IF(VLOOKUP(Fri_W1[[#This Row],[Employee Name]],'Base Schedules'!$A$1:$AW$44,40,FALSE)="","",VLOOKUP(Fri_W1[[#This Row],[Employee Name]],'Base Schedules'!$A$1:$AW$44,40,FALSE)),"")</f>
        <v/>
      </c>
      <c r="AP12" s="184" t="str">
        <f>IFERROR(IF(VLOOKUP(Fri_W1[[#This Row],[Employee Name]],'Base Schedules'!$A$1:$AW$44,41,FALSE)="","",VLOOKUP(Fri_W1[[#This Row],[Employee Name]],'Base Schedules'!$A$1:$AW$44,41,FALSE)),"")</f>
        <v/>
      </c>
      <c r="AQ12" s="184" t="str">
        <f>IFERROR(IF(VLOOKUP(Fri_W1[[#This Row],[Employee Name]],'Base Schedules'!$A$1:$AW$44,42,FALSE)="","",VLOOKUP(Fri_W1[[#This Row],[Employee Name]],'Base Schedules'!$A$1:$AW$44,42,FALSE)),"")</f>
        <v/>
      </c>
      <c r="AR12" s="184" t="str">
        <f>IFERROR(IF(VLOOKUP(Fri_W1[[#This Row],[Employee Name]],'Base Schedules'!$A$1:$AW$44,43,FALSE)="","",VLOOKUP(Fri_W1[[#This Row],[Employee Name]],'Base Schedules'!$A$1:$AW$44,43,FALSE)),"")</f>
        <v/>
      </c>
      <c r="AS12" s="184" t="str">
        <f>IFERROR(IF(VLOOKUP(Fri_W1[[#This Row],[Employee Name]],'Base Schedules'!$A$1:$AW$44,44,FALSE)="","",VLOOKUP(Fri_W1[[#This Row],[Employee Name]],'Base Schedules'!$A$1:$AW$44,44,FALSE)),"")</f>
        <v/>
      </c>
      <c r="AT12" s="184" t="str">
        <f>IFERROR(IF(VLOOKUP(Fri_W1[[#This Row],[Employee Name]],'Base Schedules'!$A$1:$AW$44,45,FALSE)="","",VLOOKUP(Fri_W1[[#This Row],[Employee Name]],'Base Schedules'!$A$1:$AW$44,45,FALSE)),"")</f>
        <v/>
      </c>
      <c r="AU12" s="184" t="str">
        <f>IFERROR(IF(VLOOKUP(Fri_W1[[#This Row],[Employee Name]],'Base Schedules'!$A$1:$AW$44,46,FALSE)="","",VLOOKUP(Fri_W1[[#This Row],[Employee Name]],'Base Schedules'!$A$1:$AW$44,46,FALSE)),"")</f>
        <v/>
      </c>
      <c r="AV12" s="184" t="str">
        <f>IFERROR(IF(VLOOKUP(Fri_W1[[#This Row],[Employee Name]],'Base Schedules'!$A$1:$AW$44,47,FALSE)="","",VLOOKUP(Fri_W1[[#This Row],[Employee Name]],'Base Schedules'!$A$1:$AW$44,47,FALSE)),"")</f>
        <v/>
      </c>
      <c r="AW12" s="184" t="str">
        <f>IFERROR(IF(VLOOKUP(Fri_W1[[#This Row],[Employee Name]],'Base Schedules'!$A$1:$AW$44,48,FALSE)="","",VLOOKUP(Fri_W1[[#This Row],[Employee Name]],'Base Schedules'!$A$1:$AW$44,48,FALSE)),"")</f>
        <v/>
      </c>
      <c r="AX12" s="184" t="str">
        <f>IFERROR(IF(VLOOKUP(Fri_W1[[#This Row],[Employee Name]],'Base Schedules'!$A$1:$AW$44,49,FALSE)="","",VLOOKUP(Fri_W1[[#This Row],[Employee Name]],'Base Schedules'!$A$1:$AW$44,49,FALSE)),"")</f>
        <v/>
      </c>
      <c r="AY12" s="246" t="str">
        <f t="shared" si="2"/>
        <v>Oates, Eleanor</v>
      </c>
    </row>
    <row r="13" spans="1:51" s="44" customFormat="1" ht="11.25" customHeight="1" x14ac:dyDescent="0.2">
      <c r="A13" s="39" t="str">
        <f>IF(B13="","",INDEX(TeamList[],MATCH($B13,TeamList[[Employee Name]:[Employee Name]],0),MATCH("Manager",TeamList[#Headers],0)))</f>
        <v>Olson, Katherine</v>
      </c>
      <c r="B13" s="201" t="s">
        <v>44</v>
      </c>
      <c r="C13" s="257" t="str">
        <f>_xlfn.IFNA(VLOOKUP(Fri_W1[[#This Row],[Employee Name]],'Base Schedules'!A:B,2,FALSE),"")</f>
        <v>Lead</v>
      </c>
      <c r="D13" s="274">
        <f>_xlfn.IFNA(VLOOKUP(Fri_W1[[#This Row],[Employee Name]],'Base Schedules'!A:C,3,FALSE),"")</f>
        <v>530</v>
      </c>
      <c r="E13" s="274">
        <f>_xlfn.IFNA(VLOOKUP(Fri_W1[[#This Row],[Employee Name]],'Base Schedules'!A:D,4,FALSE),"")</f>
        <v>1400</v>
      </c>
      <c r="F13" s="142">
        <f>IF(Fri_W1[[#This Row],[Employee Name]]="","",IF(Fri_W1[[#This Row],[Dept]]="Supervisor",COUNTIFS($J13:$AX13,"*HL*",$J13:$AX13,"&lt;&gt;"&amp;"pHL"),COUNTIFS($J13:$AX13,"*HL*",$J13:$AX13,"&lt;&gt;"&amp;"*pHL*",$J13:$AX13,"&lt;&gt;"&amp;"pB1 HL",$J13:$AX13,"&lt;&gt;"&amp;"pB2 HL")-SUM(COUNTIFS($J13:$AX13,"*HL B1*",$J13:$AX13,"&lt;&gt;"&amp;"pHL B1")*0.5,COUNTIFS($J13:$AX13,"*HL B2*",$J13:$AX13,"&lt;&gt;"&amp;"pHL B2")*0.5,COUNTIFS($J13:$AX13,"*B1 HL*",$J13:$AX13,"&lt;&gt;"&amp;"pB1 HL")*0.5,COUNTIFS($J13:$AX13,"*B2 HL*",$J13:$AX13,"&lt;&gt;"&amp;"pB2 HL")*0.5)))</f>
        <v>4.5</v>
      </c>
      <c r="G13" s="142">
        <f t="shared" si="0"/>
        <v>0</v>
      </c>
      <c r="H13" s="142">
        <f t="shared" si="1"/>
        <v>7</v>
      </c>
      <c r="I13" s="142">
        <f>IF(Fri_W1[[#This Row],[Employee Name]]="","",IF(Fri_W1[[#This Row],[Dept]]="Supervisor",SUM(COUNTIFS($J13:$AX13,"RTA*",$J13:$AX13,"&lt;&gt;"&amp;"pRTA"),COUNTIFS($J13:$AX13,"*CRTA*",$J13:$AX13,"&lt;&gt;"&amp;"pCRTA")),COUNTIFS($J13:$AX13,"*RNNR*",$J13:$AX13,"&lt;&gt;"&amp;"*pRNNR*",$J13:$AX13,"&lt;&gt;"&amp;"pB1 RNNR",$J13:$AX13,"&lt;&gt;"&amp;"pB2 RNNR")-SUM(COUNTIFS($J13:$AX13,"*RNNR B1*",$J13:$AX13,"&lt;&gt;"&amp;"pRNNR B1")*0.5,COUNTIFS($J13:$AX13,"*RNNR B2*",$J13:$AX13,"&lt;&gt;"&amp;"pRNNR B2")*0.5,COUNTIFS($J13:$AX13,"*B1 RNNR*",$J13:$AX13,"&lt;&gt;"&amp;"pB1 RNNR")*0.5,COUNTIFS($J13:$AX13,"*B2 RNNR*",$J13:$AX13,"&lt;&gt;"&amp;"pB2 RNNR")*0.5)))</f>
        <v>2</v>
      </c>
      <c r="J13" s="184" t="str">
        <f>IFERROR(IF(VLOOKUP(Fri_W1[[#This Row],[Employee Name]],'Base Schedules'!$A$1:$AW$44,9,FALSE)="","",VLOOKUP(Fri_W1[[#This Row],[Employee Name]],'Base Schedules'!$A$1:$AW$44,9,FALSE)),"")</f>
        <v/>
      </c>
      <c r="K13" s="184" t="str">
        <f>IFERROR(IF(VLOOKUP(Fri_W1[[#This Row],[Employee Name]],'Base Schedules'!$A$1:$AW$44,10,FALSE)="","",VLOOKUP(Fri_W1[[#This Row],[Employee Name]],'Base Schedules'!$A$1:$AW$44,10,FALSE)),"")</f>
        <v>ADM</v>
      </c>
      <c r="L13" s="184" t="str">
        <f>IFERROR(IF(VLOOKUP(Fri_W1[[#This Row],[Employee Name]],'Base Schedules'!$A$1:$AW$44,11,FALSE)="","",VLOOKUP(Fri_W1[[#This Row],[Employee Name]],'Base Schedules'!$A$1:$AW$44,11,FALSE)),"")</f>
        <v>ADM</v>
      </c>
      <c r="M13" s="184" t="str">
        <f>IFERROR(IF(VLOOKUP(Fri_W1[[#This Row],[Employee Name]],'Base Schedules'!$A$1:$AW$44,12,FALSE)="","",VLOOKUP(Fri_W1[[#This Row],[Employee Name]],'Base Schedules'!$A$1:$AW$44,12,FALSE)),"")</f>
        <v>ADM</v>
      </c>
      <c r="N13" s="184" t="str">
        <f>IFERROR(IF(VLOOKUP(Fri_W1[[#This Row],[Employee Name]],'Base Schedules'!$A$1:$AW$44,13,FALSE)="","",VLOOKUP(Fri_W1[[#This Row],[Employee Name]],'Base Schedules'!$A$1:$AW$44,13,FALSE)),"")</f>
        <v>ADM</v>
      </c>
      <c r="O13" s="184" t="str">
        <f>IFERROR(IF(VLOOKUP(Fri_W1[[#This Row],[Employee Name]],'Base Schedules'!$A$1:$AW$44,14,FALSE)="","",VLOOKUP(Fri_W1[[#This Row],[Employee Name]],'Base Schedules'!$A$1:$AW$44,14,FALSE)),"")</f>
        <v>B1 HL</v>
      </c>
      <c r="P13" s="184" t="str">
        <f>IFERROR(IF(VLOOKUP(Fri_W1[[#This Row],[Employee Name]],'Base Schedules'!$A$1:$AW$44,15,FALSE)="","",VLOOKUP(Fri_W1[[#This Row],[Employee Name]],'Base Schedules'!$A$1:$AW$44,15,FALSE)),"")</f>
        <v>HL</v>
      </c>
      <c r="Q13" s="184" t="str">
        <f>IFERROR(IF(VLOOKUP(Fri_W1[[#This Row],[Employee Name]],'Base Schedules'!$A$1:$AW$44,16,FALSE)="","",VLOOKUP(Fri_W1[[#This Row],[Employee Name]],'Base Schedules'!$A$1:$AW$44,16,FALSE)),"")</f>
        <v>HL</v>
      </c>
      <c r="R13" s="184" t="str">
        <f>IFERROR(IF(VLOOKUP(Fri_W1[[#This Row],[Employee Name]],'Base Schedules'!$A$1:$AW$44,17,FALSE)="","",VLOOKUP(Fri_W1[[#This Row],[Employee Name]],'Base Schedules'!$A$1:$AW$44,17,FALSE)),"")</f>
        <v>HL</v>
      </c>
      <c r="S13" s="184" t="str">
        <f>IFERROR(IF(VLOOKUP(Fri_W1[[#This Row],[Employee Name]],'Base Schedules'!$A$1:$AW$44,18,FALSE)="","",VLOOKUP(Fri_W1[[#This Row],[Employee Name]],'Base Schedules'!$A$1:$AW$44,18,FALSE)),"")</f>
        <v>HL</v>
      </c>
      <c r="T13" s="184" t="str">
        <f>IFERROR(IF(VLOOKUP(Fri_W1[[#This Row],[Employee Name]],'Base Schedules'!$A$1:$AW$44,19,FALSE)="","",VLOOKUP(Fri_W1[[#This Row],[Employee Name]],'Base Schedules'!$A$1:$AW$44,19,FALSE)),"")</f>
        <v>LUNCH</v>
      </c>
      <c r="U13" s="184" t="str">
        <f>IFERROR(IF(VLOOKUP(Fri_W1[[#This Row],[Employee Name]],'Base Schedules'!$A$1:$AW$44,20,FALSE)="","",VLOOKUP(Fri_W1[[#This Row],[Employee Name]],'Base Schedules'!$A$1:$AW$44,20,FALSE)),"")</f>
        <v>ADM</v>
      </c>
      <c r="V13" s="184" t="str">
        <f>IFERROR(IF(VLOOKUP(Fri_W1[[#This Row],[Employee Name]],'Base Schedules'!$A$1:$AW$44,21,FALSE)="","",VLOOKUP(Fri_W1[[#This Row],[Employee Name]],'Base Schedules'!$A$1:$AW$44,21,FALSE)),"")</f>
        <v>ADM</v>
      </c>
      <c r="W13" s="184" t="str">
        <f>IFERROR(IF(VLOOKUP(Fri_W1[[#This Row],[Employee Name]],'Base Schedules'!$A$1:$AW$44,22,FALSE)="","",VLOOKUP(Fri_W1[[#This Row],[Employee Name]],'Base Schedules'!$A$1:$AW$44,22,FALSE)),"")</f>
        <v>ADM B2</v>
      </c>
      <c r="X13" s="184" t="str">
        <f>IFERROR(IF(VLOOKUP(Fri_W1[[#This Row],[Employee Name]],'Base Schedules'!$A$1:$AW$44,23,FALSE)="","",VLOOKUP(Fri_W1[[#This Row],[Employee Name]],'Base Schedules'!$A$1:$AW$44,23,FALSE)),"")</f>
        <v>RNNR</v>
      </c>
      <c r="Y13" s="184" t="str">
        <f>IFERROR(IF(VLOOKUP(Fri_W1[[#This Row],[Employee Name]],'Base Schedules'!$A$1:$AW$44,24,FALSE)="","",VLOOKUP(Fri_W1[[#This Row],[Employee Name]],'Base Schedules'!$A$1:$AW$44,24,FALSE)),"")</f>
        <v>RNNR</v>
      </c>
      <c r="Z13" s="184" t="str">
        <f>IFERROR(IF(VLOOKUP(Fri_W1[[#This Row],[Employee Name]],'Base Schedules'!$A$1:$AW$44,25,FALSE)="","",VLOOKUP(Fri_W1[[#This Row],[Employee Name]],'Base Schedules'!$A$1:$AW$44,25,FALSE)),"")</f>
        <v>PROJECT</v>
      </c>
      <c r="AA13" s="184" t="str">
        <f>IFERROR(IF(VLOOKUP(Fri_W1[[#This Row],[Employee Name]],'Base Schedules'!$A$1:$AW$44,26,FALSE)="","",VLOOKUP(Fri_W1[[#This Row],[Employee Name]],'Base Schedules'!$A$1:$AW$44,26,FALSE)),"")</f>
        <v>PROJECT</v>
      </c>
      <c r="AB13" s="184" t="str">
        <f>IFERROR(IF(VLOOKUP(Fri_W1[[#This Row],[Employee Name]],'Base Schedules'!$A$1:$AW$44,27,FALSE)="","",VLOOKUP(Fri_W1[[#This Row],[Employee Name]],'Base Schedules'!$A$1:$AW$44,27,FALSE)),"")</f>
        <v/>
      </c>
      <c r="AC13" s="184" t="str">
        <f>IFERROR(IF(VLOOKUP(Fri_W1[[#This Row],[Employee Name]],'Base Schedules'!$A$1:$AW$44,28,FALSE)="","",VLOOKUP(Fri_W1[[#This Row],[Employee Name]],'Base Schedules'!$A$1:$AW$44,28,FALSE)),"")</f>
        <v/>
      </c>
      <c r="AD13" s="184" t="str">
        <f>IFERROR(IF(VLOOKUP(Fri_W1[[#This Row],[Employee Name]],'Base Schedules'!$A$1:$AW$44,29,FALSE)="","",VLOOKUP(Fri_W1[[#This Row],[Employee Name]],'Base Schedules'!$A$1:$AW$44,29,FALSE)),"")</f>
        <v/>
      </c>
      <c r="AE13" s="184" t="str">
        <f>IFERROR(IF(VLOOKUP(Fri_W1[[#This Row],[Employee Name]],'Base Schedules'!$A$1:$AW$44,30,FALSE)="","",VLOOKUP(Fri_W1[[#This Row],[Employee Name]],'Base Schedules'!$A$1:$AW$44,30,FALSE)),"")</f>
        <v/>
      </c>
      <c r="AF13" s="184" t="str">
        <f>IFERROR(IF(VLOOKUP(Fri_W1[[#This Row],[Employee Name]],'Base Schedules'!$A$1:$AW$44,31,FALSE)="","",VLOOKUP(Fri_W1[[#This Row],[Employee Name]],'Base Schedules'!$A$1:$AW$44,31,FALSE)),"")</f>
        <v/>
      </c>
      <c r="AG13" s="184" t="str">
        <f>IFERROR(IF(VLOOKUP(Fri_W1[[#This Row],[Employee Name]],'Base Schedules'!$A$1:$AW$44,32,FALSE)="","",VLOOKUP(Fri_W1[[#This Row],[Employee Name]],'Base Schedules'!$A$1:$AW$44,32,FALSE)),"")</f>
        <v/>
      </c>
      <c r="AH13" s="184" t="str">
        <f>IFERROR(IF(VLOOKUP(Fri_W1[[#This Row],[Employee Name]],'Base Schedules'!$A$1:$AW$44,33,FALSE)="","",VLOOKUP(Fri_W1[[#This Row],[Employee Name]],'Base Schedules'!$A$1:$AW$44,33,FALSE)),"")</f>
        <v/>
      </c>
      <c r="AI13" s="184" t="str">
        <f>IFERROR(IF(VLOOKUP(Fri_W1[[#This Row],[Employee Name]],'Base Schedules'!$A$1:$AW$44,34,FALSE)="","",VLOOKUP(Fri_W1[[#This Row],[Employee Name]],'Base Schedules'!$A$1:$AW$44,34,FALSE)),"")</f>
        <v/>
      </c>
      <c r="AJ13" s="184" t="str">
        <f>IFERROR(IF(VLOOKUP(Fri_W1[[#This Row],[Employee Name]],'Base Schedules'!$A$1:$AW$44,35,FALSE)="","",VLOOKUP(Fri_W1[[#This Row],[Employee Name]],'Base Schedules'!$A$1:$AW$44,35,FALSE)),"")</f>
        <v/>
      </c>
      <c r="AK13" s="184" t="str">
        <f>IFERROR(IF(VLOOKUP(Fri_W1[[#This Row],[Employee Name]],'Base Schedules'!$A$1:$AW$44,36,FALSE)="","",VLOOKUP(Fri_W1[[#This Row],[Employee Name]],'Base Schedules'!$A$1:$AW$44,36,FALSE)),"")</f>
        <v/>
      </c>
      <c r="AL13" s="184" t="str">
        <f>IFERROR(IF(VLOOKUP(Fri_W1[[#This Row],[Employee Name]],'Base Schedules'!$A$1:$AW$44,37,FALSE)="","",VLOOKUP(Fri_W1[[#This Row],[Employee Name]],'Base Schedules'!$A$1:$AW$44,37,FALSE)),"")</f>
        <v/>
      </c>
      <c r="AM13" s="184" t="str">
        <f>IFERROR(IF(VLOOKUP(Fri_W1[[#This Row],[Employee Name]],'Base Schedules'!$A$1:$AW$44,38,FALSE)="","",VLOOKUP(Fri_W1[[#This Row],[Employee Name]],'Base Schedules'!$A$1:$AW$44,38,FALSE)),"")</f>
        <v/>
      </c>
      <c r="AN13" s="184" t="str">
        <f>IFERROR(IF(VLOOKUP(Fri_W1[[#This Row],[Employee Name]],'Base Schedules'!$A$1:$AW$44,39,FALSE)="","",VLOOKUP(Fri_W1[[#This Row],[Employee Name]],'Base Schedules'!$A$1:$AW$44,39,FALSE)),"")</f>
        <v/>
      </c>
      <c r="AO13" s="184" t="str">
        <f>IFERROR(IF(VLOOKUP(Fri_W1[[#This Row],[Employee Name]],'Base Schedules'!$A$1:$AW$44,40,FALSE)="","",VLOOKUP(Fri_W1[[#This Row],[Employee Name]],'Base Schedules'!$A$1:$AW$44,40,FALSE)),"")</f>
        <v/>
      </c>
      <c r="AP13" s="184" t="str">
        <f>IFERROR(IF(VLOOKUP(Fri_W1[[#This Row],[Employee Name]],'Base Schedules'!$A$1:$AW$44,41,FALSE)="","",VLOOKUP(Fri_W1[[#This Row],[Employee Name]],'Base Schedules'!$A$1:$AW$44,41,FALSE)),"")</f>
        <v/>
      </c>
      <c r="AQ13" s="184" t="str">
        <f>IFERROR(IF(VLOOKUP(Fri_W1[[#This Row],[Employee Name]],'Base Schedules'!$A$1:$AW$44,42,FALSE)="","",VLOOKUP(Fri_W1[[#This Row],[Employee Name]],'Base Schedules'!$A$1:$AW$44,42,FALSE)),"")</f>
        <v/>
      </c>
      <c r="AR13" s="184" t="str">
        <f>IFERROR(IF(VLOOKUP(Fri_W1[[#This Row],[Employee Name]],'Base Schedules'!$A$1:$AW$44,43,FALSE)="","",VLOOKUP(Fri_W1[[#This Row],[Employee Name]],'Base Schedules'!$A$1:$AW$44,43,FALSE)),"")</f>
        <v/>
      </c>
      <c r="AS13" s="184" t="str">
        <f>IFERROR(IF(VLOOKUP(Fri_W1[[#This Row],[Employee Name]],'Base Schedules'!$A$1:$AW$44,44,FALSE)="","",VLOOKUP(Fri_W1[[#This Row],[Employee Name]],'Base Schedules'!$A$1:$AW$44,44,FALSE)),"")</f>
        <v/>
      </c>
      <c r="AT13" s="184" t="str">
        <f>IFERROR(IF(VLOOKUP(Fri_W1[[#This Row],[Employee Name]],'Base Schedules'!$A$1:$AW$44,45,FALSE)="","",VLOOKUP(Fri_W1[[#This Row],[Employee Name]],'Base Schedules'!$A$1:$AW$44,45,FALSE)),"")</f>
        <v/>
      </c>
      <c r="AU13" s="184" t="str">
        <f>IFERROR(IF(VLOOKUP(Fri_W1[[#This Row],[Employee Name]],'Base Schedules'!$A$1:$AW$44,46,FALSE)="","",VLOOKUP(Fri_W1[[#This Row],[Employee Name]],'Base Schedules'!$A$1:$AW$44,46,FALSE)),"")</f>
        <v/>
      </c>
      <c r="AV13" s="184" t="str">
        <f>IFERROR(IF(VLOOKUP(Fri_W1[[#This Row],[Employee Name]],'Base Schedules'!$A$1:$AW$44,47,FALSE)="","",VLOOKUP(Fri_W1[[#This Row],[Employee Name]],'Base Schedules'!$A$1:$AW$44,47,FALSE)),"")</f>
        <v/>
      </c>
      <c r="AW13" s="184" t="str">
        <f>IFERROR(IF(VLOOKUP(Fri_W1[[#This Row],[Employee Name]],'Base Schedules'!$A$1:$AW$44,48,FALSE)="","",VLOOKUP(Fri_W1[[#This Row],[Employee Name]],'Base Schedules'!$A$1:$AW$44,48,FALSE)),"")</f>
        <v/>
      </c>
      <c r="AX13" s="184" t="str">
        <f>IFERROR(IF(VLOOKUP(Fri_W1[[#This Row],[Employee Name]],'Base Schedules'!$A$1:$AW$44,49,FALSE)="","",VLOOKUP(Fri_W1[[#This Row],[Employee Name]],'Base Schedules'!$A$1:$AW$44,49,FALSE)),"")</f>
        <v/>
      </c>
      <c r="AY13" s="245" t="str">
        <f t="shared" si="2"/>
        <v>Albritton, Ahmed</v>
      </c>
    </row>
    <row r="14" spans="1:51" s="44" customFormat="1" ht="11.25" customHeight="1" x14ac:dyDescent="0.2">
      <c r="A14" s="39" t="str">
        <f>IF(B14="","",INDEX(TeamList[],MATCH($B14,TeamList[[Employee Name]:[Employee Name]],0),MATCH("Manager",TeamList[#Headers],0)))</f>
        <v>Olson, Katherine</v>
      </c>
      <c r="B14" s="201" t="s">
        <v>230</v>
      </c>
      <c r="C14" s="257" t="str">
        <f>_xlfn.IFNA(VLOOKUP(Fri_W1[[#This Row],[Employee Name]],'Base Schedules'!A:B,2,FALSE),"")</f>
        <v>Lead</v>
      </c>
      <c r="D14" s="274">
        <f>_xlfn.IFNA(VLOOKUP(Fri_W1[[#This Row],[Employee Name]],'Base Schedules'!A:C,3,FALSE),"")</f>
        <v>530</v>
      </c>
      <c r="E14" s="274">
        <f>_xlfn.IFNA(VLOOKUP(Fri_W1[[#This Row],[Employee Name]],'Base Schedules'!A:D,4,FALSE),"")</f>
        <v>1430</v>
      </c>
      <c r="F14" s="142">
        <f>IF(Fri_W1[[#This Row],[Employee Name]]="","",IF(Fri_W1[[#This Row],[Dept]]="Supervisor",COUNTIFS($J14:$AX14,"*HL*",$J14:$AX14,"&lt;&gt;"&amp;"pHL"),COUNTIFS($J14:$AX14,"*HL*",$J14:$AX14,"&lt;&gt;"&amp;"*pHL*",$J14:$AX14,"&lt;&gt;"&amp;"pB1 HL",$J14:$AX14,"&lt;&gt;"&amp;"pB2 HL")-SUM(COUNTIFS($J14:$AX14,"*HL B1*",$J14:$AX14,"&lt;&gt;"&amp;"pHL B1")*0.5,COUNTIFS($J14:$AX14,"*HL B2*",$J14:$AX14,"&lt;&gt;"&amp;"pHL B2")*0.5,COUNTIFS($J14:$AX14,"*B1 HL*",$J14:$AX14,"&lt;&gt;"&amp;"pB1 HL")*0.5,COUNTIFS($J14:$AX14,"*B2 HL*",$J14:$AX14,"&lt;&gt;"&amp;"pB2 HL")*0.5)))</f>
        <v>8</v>
      </c>
      <c r="G14" s="142">
        <f t="shared" si="0"/>
        <v>0</v>
      </c>
      <c r="H14" s="142">
        <f t="shared" si="1"/>
        <v>5</v>
      </c>
      <c r="I14" s="142">
        <f>IF(Fri_W1[[#This Row],[Employee Name]]="","",IF(Fri_W1[[#This Row],[Dept]]="Supervisor",SUM(COUNTIFS($J14:$AX14,"RTA*",$J14:$AX14,"&lt;&gt;"&amp;"pRTA"),COUNTIFS($J14:$AX14,"*CRTA*",$J14:$AX14,"&lt;&gt;"&amp;"pCRTA")),COUNTIFS($J14:$AX14,"*RNNR*",$J14:$AX14,"&lt;&gt;"&amp;"*pRNNR*",$J14:$AX14,"&lt;&gt;"&amp;"pB1 RNNR",$J14:$AX14,"&lt;&gt;"&amp;"pB2 RNNR")-SUM(COUNTIFS($J14:$AX14,"*RNNR B1*",$J14:$AX14,"&lt;&gt;"&amp;"pRNNR B1")*0.5,COUNTIFS($J14:$AX14,"*RNNR B2*",$J14:$AX14,"&lt;&gt;"&amp;"pRNNR B2")*0.5,COUNTIFS($J14:$AX14,"*B1 RNNR*",$J14:$AX14,"&lt;&gt;"&amp;"pB1 RNNR")*0.5,COUNTIFS($J14:$AX14,"*B2 RNNR*",$J14:$AX14,"&lt;&gt;"&amp;"pB2 RNNR")*0.5)))</f>
        <v>2</v>
      </c>
      <c r="J14" s="184" t="str">
        <f>IFERROR(IF(VLOOKUP(Fri_W1[[#This Row],[Employee Name]],'Base Schedules'!$A$1:$AW$44,9,FALSE)="","",VLOOKUP(Fri_W1[[#This Row],[Employee Name]],'Base Schedules'!$A$1:$AW$44,9,FALSE)),"")</f>
        <v/>
      </c>
      <c r="K14" s="184" t="str">
        <f>IFERROR(IF(VLOOKUP(Fri_W1[[#This Row],[Employee Name]],'Base Schedules'!$A$1:$AW$44,10,FALSE)="","",VLOOKUP(Fri_W1[[#This Row],[Employee Name]],'Base Schedules'!$A$1:$AW$44,10,FALSE)),"")</f>
        <v>HL</v>
      </c>
      <c r="L14" s="184" t="str">
        <f>IFERROR(IF(VLOOKUP(Fri_W1[[#This Row],[Employee Name]],'Base Schedules'!$A$1:$AW$44,11,FALSE)="","",VLOOKUP(Fri_W1[[#This Row],[Employee Name]],'Base Schedules'!$A$1:$AW$44,11,FALSE)),"")</f>
        <v>HL</v>
      </c>
      <c r="M14" s="184" t="str">
        <f>IFERROR(IF(VLOOKUP(Fri_W1[[#This Row],[Employee Name]],'Base Schedules'!$A$1:$AW$44,12,FALSE)="","",VLOOKUP(Fri_W1[[#This Row],[Employee Name]],'Base Schedules'!$A$1:$AW$44,12,FALSE)),"")</f>
        <v>HL</v>
      </c>
      <c r="N14" s="184" t="str">
        <f>IFERROR(IF(VLOOKUP(Fri_W1[[#This Row],[Employee Name]],'Base Schedules'!$A$1:$AW$44,13,FALSE)="","",VLOOKUP(Fri_W1[[#This Row],[Employee Name]],'Base Schedules'!$A$1:$AW$44,13,FALSE)),"")</f>
        <v>HL</v>
      </c>
      <c r="O14" s="184" t="str">
        <f>IFERROR(IF(VLOOKUP(Fri_W1[[#This Row],[Employee Name]],'Base Schedules'!$A$1:$AW$44,14,FALSE)="","",VLOOKUP(Fri_W1[[#This Row],[Employee Name]],'Base Schedules'!$A$1:$AW$44,14,FALSE)),"")</f>
        <v>HL B1</v>
      </c>
      <c r="P14" s="184" t="str">
        <f>IFERROR(IF(VLOOKUP(Fri_W1[[#This Row],[Employee Name]],'Base Schedules'!$A$1:$AW$44,15,FALSE)="","",VLOOKUP(Fri_W1[[#This Row],[Employee Name]],'Base Schedules'!$A$1:$AW$44,15,FALSE)),"")</f>
        <v>ADM</v>
      </c>
      <c r="Q14" s="184" t="str">
        <f>IFERROR(IF(VLOOKUP(Fri_W1[[#This Row],[Employee Name]],'Base Schedules'!$A$1:$AW$44,16,FALSE)="","",VLOOKUP(Fri_W1[[#This Row],[Employee Name]],'Base Schedules'!$A$1:$AW$44,16,FALSE)),"")</f>
        <v>ADM</v>
      </c>
      <c r="R14" s="184" t="str">
        <f>IFERROR(IF(VLOOKUP(Fri_W1[[#This Row],[Employee Name]],'Base Schedules'!$A$1:$AW$44,17,FALSE)="","",VLOOKUP(Fri_W1[[#This Row],[Employee Name]],'Base Schedules'!$A$1:$AW$44,17,FALSE)),"")</f>
        <v>ADM</v>
      </c>
      <c r="S14" s="184" t="str">
        <f>IFERROR(IF(VLOOKUP(Fri_W1[[#This Row],[Employee Name]],'Base Schedules'!$A$1:$AW$44,18,FALSE)="","",VLOOKUP(Fri_W1[[#This Row],[Employee Name]],'Base Schedules'!$A$1:$AW$44,18,FALSE)),"")</f>
        <v>ADM</v>
      </c>
      <c r="T14" s="184" t="str">
        <f>IFERROR(IF(VLOOKUP(Fri_W1[[#This Row],[Employee Name]],'Base Schedules'!$A$1:$AW$44,19,FALSE)="","",VLOOKUP(Fri_W1[[#This Row],[Employee Name]],'Base Schedules'!$A$1:$AW$44,19,FALSE)),"")</f>
        <v>ADM</v>
      </c>
      <c r="U14" s="184" t="str">
        <f>IFERROR(IF(VLOOKUP(Fri_W1[[#This Row],[Employee Name]],'Base Schedules'!$A$1:$AW$44,20,FALSE)="","",VLOOKUP(Fri_W1[[#This Row],[Employee Name]],'Base Schedules'!$A$1:$AW$44,20,FALSE)),"")</f>
        <v>LUNCH</v>
      </c>
      <c r="V14" s="184" t="str">
        <f>IFERROR(IF(VLOOKUP(Fri_W1[[#This Row],[Employee Name]],'Base Schedules'!$A$1:$AW$44,21,FALSE)="","",VLOOKUP(Fri_W1[[#This Row],[Employee Name]],'Base Schedules'!$A$1:$AW$44,21,FALSE)),"")</f>
        <v>LUNCH</v>
      </c>
      <c r="W14" s="184" t="str">
        <f>IFERROR(IF(VLOOKUP(Fri_W1[[#This Row],[Employee Name]],'Base Schedules'!$A$1:$AW$44,22,FALSE)="","",VLOOKUP(Fri_W1[[#This Row],[Employee Name]],'Base Schedules'!$A$1:$AW$44,22,FALSE)),"")</f>
        <v>HL</v>
      </c>
      <c r="X14" s="184" t="str">
        <f>IFERROR(IF(VLOOKUP(Fri_W1[[#This Row],[Employee Name]],'Base Schedules'!$A$1:$AW$44,23,FALSE)="","",VLOOKUP(Fri_W1[[#This Row],[Employee Name]],'Base Schedules'!$A$1:$AW$44,23,FALSE)),"")</f>
        <v>HL</v>
      </c>
      <c r="Y14" s="184" t="str">
        <f>IFERROR(IF(VLOOKUP(Fri_W1[[#This Row],[Employee Name]],'Base Schedules'!$A$1:$AW$44,24,FALSE)="","",VLOOKUP(Fri_W1[[#This Row],[Employee Name]],'Base Schedules'!$A$1:$AW$44,24,FALSE)),"")</f>
        <v>HL B2</v>
      </c>
      <c r="Z14" s="184" t="str">
        <f>IFERROR(IF(VLOOKUP(Fri_W1[[#This Row],[Employee Name]],'Base Schedules'!$A$1:$AW$44,25,FALSE)="","",VLOOKUP(Fri_W1[[#This Row],[Employee Name]],'Base Schedules'!$A$1:$AW$44,25,FALSE)),"")</f>
        <v>RNNR</v>
      </c>
      <c r="AA14" s="184" t="str">
        <f>IFERROR(IF(VLOOKUP(Fri_W1[[#This Row],[Employee Name]],'Base Schedules'!$A$1:$AW$44,26,FALSE)="","",VLOOKUP(Fri_W1[[#This Row],[Employee Name]],'Base Schedules'!$A$1:$AW$44,26,FALSE)),"")</f>
        <v>RNNR</v>
      </c>
      <c r="AB14" s="184" t="str">
        <f>IFERROR(IF(VLOOKUP(Fri_W1[[#This Row],[Employee Name]],'Base Schedules'!$A$1:$AW$44,27,FALSE)="","",VLOOKUP(Fri_W1[[#This Row],[Employee Name]],'Base Schedules'!$A$1:$AW$44,27,FALSE)),"")</f>
        <v>HL</v>
      </c>
      <c r="AC14" s="184" t="str">
        <f>IFERROR(IF(VLOOKUP(Fri_W1[[#This Row],[Employee Name]],'Base Schedules'!$A$1:$AW$44,28,FALSE)="","",VLOOKUP(Fri_W1[[#This Row],[Employee Name]],'Base Schedules'!$A$1:$AW$44,28,FALSE)),"")</f>
        <v/>
      </c>
      <c r="AD14" s="184" t="str">
        <f>IFERROR(IF(VLOOKUP(Fri_W1[[#This Row],[Employee Name]],'Base Schedules'!$A$1:$AW$44,29,FALSE)="","",VLOOKUP(Fri_W1[[#This Row],[Employee Name]],'Base Schedules'!$A$1:$AW$44,29,FALSE)),"")</f>
        <v/>
      </c>
      <c r="AE14" s="184" t="str">
        <f>IFERROR(IF(VLOOKUP(Fri_W1[[#This Row],[Employee Name]],'Base Schedules'!$A$1:$AW$44,30,FALSE)="","",VLOOKUP(Fri_W1[[#This Row],[Employee Name]],'Base Schedules'!$A$1:$AW$44,30,FALSE)),"")</f>
        <v/>
      </c>
      <c r="AF14" s="184" t="str">
        <f>IFERROR(IF(VLOOKUP(Fri_W1[[#This Row],[Employee Name]],'Base Schedules'!$A$1:$AW$44,31,FALSE)="","",VLOOKUP(Fri_W1[[#This Row],[Employee Name]],'Base Schedules'!$A$1:$AW$44,31,FALSE)),"")</f>
        <v/>
      </c>
      <c r="AG14" s="184" t="str">
        <f>IFERROR(IF(VLOOKUP(Fri_W1[[#This Row],[Employee Name]],'Base Schedules'!$A$1:$AW$44,32,FALSE)="","",VLOOKUP(Fri_W1[[#This Row],[Employee Name]],'Base Schedules'!$A$1:$AW$44,32,FALSE)),"")</f>
        <v/>
      </c>
      <c r="AH14" s="184" t="str">
        <f>IFERROR(IF(VLOOKUP(Fri_W1[[#This Row],[Employee Name]],'Base Schedules'!$A$1:$AW$44,33,FALSE)="","",VLOOKUP(Fri_W1[[#This Row],[Employee Name]],'Base Schedules'!$A$1:$AW$44,33,FALSE)),"")</f>
        <v/>
      </c>
      <c r="AI14" s="184" t="str">
        <f>IFERROR(IF(VLOOKUP(Fri_W1[[#This Row],[Employee Name]],'Base Schedules'!$A$1:$AW$44,34,FALSE)="","",VLOOKUP(Fri_W1[[#This Row],[Employee Name]],'Base Schedules'!$A$1:$AW$44,34,FALSE)),"")</f>
        <v/>
      </c>
      <c r="AJ14" s="184" t="str">
        <f>IFERROR(IF(VLOOKUP(Fri_W1[[#This Row],[Employee Name]],'Base Schedules'!$A$1:$AW$44,35,FALSE)="","",VLOOKUP(Fri_W1[[#This Row],[Employee Name]],'Base Schedules'!$A$1:$AW$44,35,FALSE)),"")</f>
        <v/>
      </c>
      <c r="AK14" s="184" t="str">
        <f>IFERROR(IF(VLOOKUP(Fri_W1[[#This Row],[Employee Name]],'Base Schedules'!$A$1:$AW$44,36,FALSE)="","",VLOOKUP(Fri_W1[[#This Row],[Employee Name]],'Base Schedules'!$A$1:$AW$44,36,FALSE)),"")</f>
        <v/>
      </c>
      <c r="AL14" s="184" t="str">
        <f>IFERROR(IF(VLOOKUP(Fri_W1[[#This Row],[Employee Name]],'Base Schedules'!$A$1:$AW$44,37,FALSE)="","",VLOOKUP(Fri_W1[[#This Row],[Employee Name]],'Base Schedules'!$A$1:$AW$44,37,FALSE)),"")</f>
        <v/>
      </c>
      <c r="AM14" s="184" t="str">
        <f>IFERROR(IF(VLOOKUP(Fri_W1[[#This Row],[Employee Name]],'Base Schedules'!$A$1:$AW$44,38,FALSE)="","",VLOOKUP(Fri_W1[[#This Row],[Employee Name]],'Base Schedules'!$A$1:$AW$44,38,FALSE)),"")</f>
        <v/>
      </c>
      <c r="AN14" s="184" t="str">
        <f>IFERROR(IF(VLOOKUP(Fri_W1[[#This Row],[Employee Name]],'Base Schedules'!$A$1:$AW$44,39,FALSE)="","",VLOOKUP(Fri_W1[[#This Row],[Employee Name]],'Base Schedules'!$A$1:$AW$44,39,FALSE)),"")</f>
        <v/>
      </c>
      <c r="AO14" s="184" t="str">
        <f>IFERROR(IF(VLOOKUP(Fri_W1[[#This Row],[Employee Name]],'Base Schedules'!$A$1:$AW$44,40,FALSE)="","",VLOOKUP(Fri_W1[[#This Row],[Employee Name]],'Base Schedules'!$A$1:$AW$44,40,FALSE)),"")</f>
        <v/>
      </c>
      <c r="AP14" s="184" t="str">
        <f>IFERROR(IF(VLOOKUP(Fri_W1[[#This Row],[Employee Name]],'Base Schedules'!$A$1:$AW$44,41,FALSE)="","",VLOOKUP(Fri_W1[[#This Row],[Employee Name]],'Base Schedules'!$A$1:$AW$44,41,FALSE)),"")</f>
        <v/>
      </c>
      <c r="AQ14" s="184" t="str">
        <f>IFERROR(IF(VLOOKUP(Fri_W1[[#This Row],[Employee Name]],'Base Schedules'!$A$1:$AW$44,42,FALSE)="","",VLOOKUP(Fri_W1[[#This Row],[Employee Name]],'Base Schedules'!$A$1:$AW$44,42,FALSE)),"")</f>
        <v/>
      </c>
      <c r="AR14" s="184" t="str">
        <f>IFERROR(IF(VLOOKUP(Fri_W1[[#This Row],[Employee Name]],'Base Schedules'!$A$1:$AW$44,43,FALSE)="","",VLOOKUP(Fri_W1[[#This Row],[Employee Name]],'Base Schedules'!$A$1:$AW$44,43,FALSE)),"")</f>
        <v/>
      </c>
      <c r="AS14" s="184" t="str">
        <f>IFERROR(IF(VLOOKUP(Fri_W1[[#This Row],[Employee Name]],'Base Schedules'!$A$1:$AW$44,44,FALSE)="","",VLOOKUP(Fri_W1[[#This Row],[Employee Name]],'Base Schedules'!$A$1:$AW$44,44,FALSE)),"")</f>
        <v/>
      </c>
      <c r="AT14" s="184" t="str">
        <f>IFERROR(IF(VLOOKUP(Fri_W1[[#This Row],[Employee Name]],'Base Schedules'!$A$1:$AW$44,45,FALSE)="","",VLOOKUP(Fri_W1[[#This Row],[Employee Name]],'Base Schedules'!$A$1:$AW$44,45,FALSE)),"")</f>
        <v/>
      </c>
      <c r="AU14" s="184" t="str">
        <f>IFERROR(IF(VLOOKUP(Fri_W1[[#This Row],[Employee Name]],'Base Schedules'!$A$1:$AW$44,46,FALSE)="","",VLOOKUP(Fri_W1[[#This Row],[Employee Name]],'Base Schedules'!$A$1:$AW$44,46,FALSE)),"")</f>
        <v/>
      </c>
      <c r="AV14" s="184" t="str">
        <f>IFERROR(IF(VLOOKUP(Fri_W1[[#This Row],[Employee Name]],'Base Schedules'!$A$1:$AW$44,47,FALSE)="","",VLOOKUP(Fri_W1[[#This Row],[Employee Name]],'Base Schedules'!$A$1:$AW$44,47,FALSE)),"")</f>
        <v/>
      </c>
      <c r="AW14" s="184" t="str">
        <f>IFERROR(IF(VLOOKUP(Fri_W1[[#This Row],[Employee Name]],'Base Schedules'!$A$1:$AW$44,48,FALSE)="","",VLOOKUP(Fri_W1[[#This Row],[Employee Name]],'Base Schedules'!$A$1:$AW$44,48,FALSE)),"")</f>
        <v/>
      </c>
      <c r="AX14" s="184" t="str">
        <f>IFERROR(IF(VLOOKUP(Fri_W1[[#This Row],[Employee Name]],'Base Schedules'!$A$1:$AW$44,49,FALSE)="","",VLOOKUP(Fri_W1[[#This Row],[Employee Name]],'Base Schedules'!$A$1:$AW$44,49,FALSE)),"")</f>
        <v/>
      </c>
      <c r="AY14" s="245" t="str">
        <f t="shared" si="2"/>
        <v>Suarez, Alyssa</v>
      </c>
    </row>
    <row r="15" spans="1:51" s="44" customFormat="1" ht="11.25" customHeight="1" x14ac:dyDescent="0.2">
      <c r="A15" s="39" t="str">
        <f>IF(B15="","",INDEX(TeamList[],MATCH($B15,TeamList[[Employee Name]:[Employee Name]],0),MATCH("Manager",TeamList[#Headers],0)))</f>
        <v>Paulson, Matthew</v>
      </c>
      <c r="B15" s="201" t="s">
        <v>17</v>
      </c>
      <c r="C15" s="257" t="str">
        <f>_xlfn.IFNA(VLOOKUP(Fri_W1[[#This Row],[Employee Name]],'Base Schedules'!A:B,2,FALSE),"")</f>
        <v>Supervisor</v>
      </c>
      <c r="D15" s="274">
        <f>_xlfn.IFNA(VLOOKUP(Fri_W1[[#This Row],[Employee Name]],'Base Schedules'!A:C,3,FALSE),"")</f>
        <v>530</v>
      </c>
      <c r="E15" s="274">
        <f>_xlfn.IFNA(VLOOKUP(Fri_W1[[#This Row],[Employee Name]],'Base Schedules'!A:D,4,FALSE),"")</f>
        <v>1430</v>
      </c>
      <c r="F15" s="142">
        <f>IF(Fri_W1[[#This Row],[Employee Name]]="","",IF(Fri_W1[[#This Row],[Dept]]="Supervisor",COUNTIFS($J15:$AX15,"*HL*",$J15:$AX15,"&lt;&gt;"&amp;"pHL"),COUNTIFS($J15:$AX15,"*HL*",$J15:$AX15,"&lt;&gt;"&amp;"*pHL*",$J15:$AX15,"&lt;&gt;"&amp;"pB1 HL",$J15:$AX15,"&lt;&gt;"&amp;"pB2 HL")-SUM(COUNTIFS($J15:$AX15,"*HL B1*",$J15:$AX15,"&lt;&gt;"&amp;"pHL B1")*0.5,COUNTIFS($J15:$AX15,"*HL B2*",$J15:$AX15,"&lt;&gt;"&amp;"pHL B2")*0.5,COUNTIFS($J15:$AX15,"*B1 HL*",$J15:$AX15,"&lt;&gt;"&amp;"pB1 HL")*0.5,COUNTIFS($J15:$AX15,"*B2 HL*",$J15:$AX15,"&lt;&gt;"&amp;"pB2 HL")*0.5)))</f>
        <v>0</v>
      </c>
      <c r="G15" s="142">
        <f t="shared" si="0"/>
        <v>0</v>
      </c>
      <c r="H15" s="142">
        <f t="shared" si="1"/>
        <v>0</v>
      </c>
      <c r="I15" s="142">
        <f>IF(Fri_W1[[#This Row],[Employee Name]]="","",IF(Fri_W1[[#This Row],[Dept]]="Supervisor",SUM(COUNTIFS($J15:$AX15,"RTA*",$J15:$AX15,"&lt;&gt;"&amp;"pRTA"),COUNTIFS($J15:$AX15,"*CRTA*",$J15:$AX15,"&lt;&gt;"&amp;"pCRTA")),COUNTIFS($J15:$AX15,"*RNNR*",$J15:$AX15,"&lt;&gt;"&amp;"*pRNNR*",$J15:$AX15,"&lt;&gt;"&amp;"pB1 RNNR",$J15:$AX15,"&lt;&gt;"&amp;"pB2 RNNR")-SUM(COUNTIFS($J15:$AX15,"*RNNR B1*",$J15:$AX15,"&lt;&gt;"&amp;"pRNNR B1")*0.5,COUNTIFS($J15:$AX15,"*RNNR B2*",$J15:$AX15,"&lt;&gt;"&amp;"pRNNR B2")*0.5,COUNTIFS($J15:$AX15,"*B1 RNNR*",$J15:$AX15,"&lt;&gt;"&amp;"pB1 RNNR")*0.5,COUNTIFS($J15:$AX15,"*B2 RNNR*",$J15:$AX15,"&lt;&gt;"&amp;"pB2 RNNR")*0.5)))</f>
        <v>0</v>
      </c>
      <c r="J15" s="184" t="str">
        <f>IFERROR(IF(VLOOKUP(Fri_W1[[#This Row],[Employee Name]],'Base Schedules'!$A$1:$AW$44,9,FALSE)="","",VLOOKUP(Fri_W1[[#This Row],[Employee Name]],'Base Schedules'!$A$1:$AW$44,9,FALSE)),"")</f>
        <v/>
      </c>
      <c r="K15" s="184" t="str">
        <f>IFERROR(IF(VLOOKUP(Fri_W1[[#This Row],[Employee Name]],'Base Schedules'!$A$1:$AW$44,10,FALSE)="","",VLOOKUP(Fri_W1[[#This Row],[Employee Name]],'Base Schedules'!$A$1:$AW$44,10,FALSE)),"")</f>
        <v/>
      </c>
      <c r="L15" s="184" t="str">
        <f>IFERROR(IF(VLOOKUP(Fri_W1[[#This Row],[Employee Name]],'Base Schedules'!$A$1:$AW$44,11,FALSE)="","",VLOOKUP(Fri_W1[[#This Row],[Employee Name]],'Base Schedules'!$A$1:$AW$44,11,FALSE)),"")</f>
        <v/>
      </c>
      <c r="M15" s="184" t="str">
        <f>IFERROR(IF(VLOOKUP(Fri_W1[[#This Row],[Employee Name]],'Base Schedules'!$A$1:$AW$44,12,FALSE)="","",VLOOKUP(Fri_W1[[#This Row],[Employee Name]],'Base Schedules'!$A$1:$AW$44,12,FALSE)),"")</f>
        <v/>
      </c>
      <c r="N15" s="184" t="str">
        <f>IFERROR(IF(VLOOKUP(Fri_W1[[#This Row],[Employee Name]],'Base Schedules'!$A$1:$AW$44,13,FALSE)="","",VLOOKUP(Fri_W1[[#This Row],[Employee Name]],'Base Schedules'!$A$1:$AW$44,13,FALSE)),"")</f>
        <v/>
      </c>
      <c r="O15" s="184" t="str">
        <f>IFERROR(IF(VLOOKUP(Fri_W1[[#This Row],[Employee Name]],'Base Schedules'!$A$1:$AW$44,14,FALSE)="","",VLOOKUP(Fri_W1[[#This Row],[Employee Name]],'Base Schedules'!$A$1:$AW$44,14,FALSE)),"")</f>
        <v/>
      </c>
      <c r="P15" s="184" t="str">
        <f>IFERROR(IF(VLOOKUP(Fri_W1[[#This Row],[Employee Name]],'Base Schedules'!$A$1:$AW$44,15,FALSE)="","",VLOOKUP(Fri_W1[[#This Row],[Employee Name]],'Base Schedules'!$A$1:$AW$44,15,FALSE)),"")</f>
        <v/>
      </c>
      <c r="Q15" s="184" t="str">
        <f>IFERROR(IF(VLOOKUP(Fri_W1[[#This Row],[Employee Name]],'Base Schedules'!$A$1:$AW$44,16,FALSE)="","",VLOOKUP(Fri_W1[[#This Row],[Employee Name]],'Base Schedules'!$A$1:$AW$44,16,FALSE)),"")</f>
        <v/>
      </c>
      <c r="R15" s="184" t="str">
        <f>IFERROR(IF(VLOOKUP(Fri_W1[[#This Row],[Employee Name]],'Base Schedules'!$A$1:$AW$44,17,FALSE)="","",VLOOKUP(Fri_W1[[#This Row],[Employee Name]],'Base Schedules'!$A$1:$AW$44,17,FALSE)),"")</f>
        <v/>
      </c>
      <c r="S15" s="184" t="str">
        <f>IFERROR(IF(VLOOKUP(Fri_W1[[#This Row],[Employee Name]],'Base Schedules'!$A$1:$AW$44,18,FALSE)="","",VLOOKUP(Fri_W1[[#This Row],[Employee Name]],'Base Schedules'!$A$1:$AW$44,18,FALSE)),"")</f>
        <v/>
      </c>
      <c r="T15" s="184" t="str">
        <f>IFERROR(IF(VLOOKUP(Fri_W1[[#This Row],[Employee Name]],'Base Schedules'!$A$1:$AW$44,19,FALSE)="","",VLOOKUP(Fri_W1[[#This Row],[Employee Name]],'Base Schedules'!$A$1:$AW$44,19,FALSE)),"")</f>
        <v/>
      </c>
      <c r="U15" s="184" t="str">
        <f>IFERROR(IF(VLOOKUP(Fri_W1[[#This Row],[Employee Name]],'Base Schedules'!$A$1:$AW$44,20,FALSE)="","",VLOOKUP(Fri_W1[[#This Row],[Employee Name]],'Base Schedules'!$A$1:$AW$44,20,FALSE)),"")</f>
        <v/>
      </c>
      <c r="V15" s="184" t="str">
        <f>IFERROR(IF(VLOOKUP(Fri_W1[[#This Row],[Employee Name]],'Base Schedules'!$A$1:$AW$44,21,FALSE)="","",VLOOKUP(Fri_W1[[#This Row],[Employee Name]],'Base Schedules'!$A$1:$AW$44,21,FALSE)),"")</f>
        <v/>
      </c>
      <c r="W15" s="184" t="str">
        <f>IFERROR(IF(VLOOKUP(Fri_W1[[#This Row],[Employee Name]],'Base Schedules'!$A$1:$AW$44,22,FALSE)="","",VLOOKUP(Fri_W1[[#This Row],[Employee Name]],'Base Schedules'!$A$1:$AW$44,22,FALSE)),"")</f>
        <v/>
      </c>
      <c r="X15" s="184" t="str">
        <f>IFERROR(IF(VLOOKUP(Fri_W1[[#This Row],[Employee Name]],'Base Schedules'!$A$1:$AW$44,23,FALSE)="","",VLOOKUP(Fri_W1[[#This Row],[Employee Name]],'Base Schedules'!$A$1:$AW$44,23,FALSE)),"")</f>
        <v/>
      </c>
      <c r="Y15" s="184" t="str">
        <f>IFERROR(IF(VLOOKUP(Fri_W1[[#This Row],[Employee Name]],'Base Schedules'!$A$1:$AW$44,24,FALSE)="","",VLOOKUP(Fri_W1[[#This Row],[Employee Name]],'Base Schedules'!$A$1:$AW$44,24,FALSE)),"")</f>
        <v/>
      </c>
      <c r="Z15" s="184" t="str">
        <f>IFERROR(IF(VLOOKUP(Fri_W1[[#This Row],[Employee Name]],'Base Schedules'!$A$1:$AW$44,25,FALSE)="","",VLOOKUP(Fri_W1[[#This Row],[Employee Name]],'Base Schedules'!$A$1:$AW$44,25,FALSE)),"")</f>
        <v/>
      </c>
      <c r="AA15" s="184" t="str">
        <f>IFERROR(IF(VLOOKUP(Fri_W1[[#This Row],[Employee Name]],'Base Schedules'!$A$1:$AW$44,26,FALSE)="","",VLOOKUP(Fri_W1[[#This Row],[Employee Name]],'Base Schedules'!$A$1:$AW$44,26,FALSE)),"")</f>
        <v/>
      </c>
      <c r="AB15" s="184" t="str">
        <f>IFERROR(IF(VLOOKUP(Fri_W1[[#This Row],[Employee Name]],'Base Schedules'!$A$1:$AW$44,27,FALSE)="","",VLOOKUP(Fri_W1[[#This Row],[Employee Name]],'Base Schedules'!$A$1:$AW$44,27,FALSE)),"")</f>
        <v/>
      </c>
      <c r="AC15" s="184" t="str">
        <f>IFERROR(IF(VLOOKUP(Fri_W1[[#This Row],[Employee Name]],'Base Schedules'!$A$1:$AW$44,28,FALSE)="","",VLOOKUP(Fri_W1[[#This Row],[Employee Name]],'Base Schedules'!$A$1:$AW$44,28,FALSE)),"")</f>
        <v/>
      </c>
      <c r="AD15" s="184" t="str">
        <f>IFERROR(IF(VLOOKUP(Fri_W1[[#This Row],[Employee Name]],'Base Schedules'!$A$1:$AW$44,29,FALSE)="","",VLOOKUP(Fri_W1[[#This Row],[Employee Name]],'Base Schedules'!$A$1:$AW$44,29,FALSE)),"")</f>
        <v/>
      </c>
      <c r="AE15" s="184" t="str">
        <f>IFERROR(IF(VLOOKUP(Fri_W1[[#This Row],[Employee Name]],'Base Schedules'!$A$1:$AW$44,30,FALSE)="","",VLOOKUP(Fri_W1[[#This Row],[Employee Name]],'Base Schedules'!$A$1:$AW$44,30,FALSE)),"")</f>
        <v/>
      </c>
      <c r="AF15" s="184" t="str">
        <f>IFERROR(IF(VLOOKUP(Fri_W1[[#This Row],[Employee Name]],'Base Schedules'!$A$1:$AW$44,31,FALSE)="","",VLOOKUP(Fri_W1[[#This Row],[Employee Name]],'Base Schedules'!$A$1:$AW$44,31,FALSE)),"")</f>
        <v/>
      </c>
      <c r="AG15" s="184" t="str">
        <f>IFERROR(IF(VLOOKUP(Fri_W1[[#This Row],[Employee Name]],'Base Schedules'!$A$1:$AW$44,32,FALSE)="","",VLOOKUP(Fri_W1[[#This Row],[Employee Name]],'Base Schedules'!$A$1:$AW$44,32,FALSE)),"")</f>
        <v/>
      </c>
      <c r="AH15" s="184" t="str">
        <f>IFERROR(IF(VLOOKUP(Fri_W1[[#This Row],[Employee Name]],'Base Schedules'!$A$1:$AW$44,33,FALSE)="","",VLOOKUP(Fri_W1[[#This Row],[Employee Name]],'Base Schedules'!$A$1:$AW$44,33,FALSE)),"")</f>
        <v/>
      </c>
      <c r="AI15" s="184" t="str">
        <f>IFERROR(IF(VLOOKUP(Fri_W1[[#This Row],[Employee Name]],'Base Schedules'!$A$1:$AW$44,34,FALSE)="","",VLOOKUP(Fri_W1[[#This Row],[Employee Name]],'Base Schedules'!$A$1:$AW$44,34,FALSE)),"")</f>
        <v/>
      </c>
      <c r="AJ15" s="184" t="str">
        <f>IFERROR(IF(VLOOKUP(Fri_W1[[#This Row],[Employee Name]],'Base Schedules'!$A$1:$AW$44,35,FALSE)="","",VLOOKUP(Fri_W1[[#This Row],[Employee Name]],'Base Schedules'!$A$1:$AW$44,35,FALSE)),"")</f>
        <v/>
      </c>
      <c r="AK15" s="184" t="str">
        <f>IFERROR(IF(VLOOKUP(Fri_W1[[#This Row],[Employee Name]],'Base Schedules'!$A$1:$AW$44,36,FALSE)="","",VLOOKUP(Fri_W1[[#This Row],[Employee Name]],'Base Schedules'!$A$1:$AW$44,36,FALSE)),"")</f>
        <v/>
      </c>
      <c r="AL15" s="184" t="str">
        <f>IFERROR(IF(VLOOKUP(Fri_W1[[#This Row],[Employee Name]],'Base Schedules'!$A$1:$AW$44,37,FALSE)="","",VLOOKUP(Fri_W1[[#This Row],[Employee Name]],'Base Schedules'!$A$1:$AW$44,37,FALSE)),"")</f>
        <v/>
      </c>
      <c r="AM15" s="184" t="str">
        <f>IFERROR(IF(VLOOKUP(Fri_W1[[#This Row],[Employee Name]],'Base Schedules'!$A$1:$AW$44,38,FALSE)="","",VLOOKUP(Fri_W1[[#This Row],[Employee Name]],'Base Schedules'!$A$1:$AW$44,38,FALSE)),"")</f>
        <v/>
      </c>
      <c r="AN15" s="184" t="str">
        <f>IFERROR(IF(VLOOKUP(Fri_W1[[#This Row],[Employee Name]],'Base Schedules'!$A$1:$AW$44,39,FALSE)="","",VLOOKUP(Fri_W1[[#This Row],[Employee Name]],'Base Schedules'!$A$1:$AW$44,39,FALSE)),"")</f>
        <v/>
      </c>
      <c r="AO15" s="184" t="str">
        <f>IFERROR(IF(VLOOKUP(Fri_W1[[#This Row],[Employee Name]],'Base Schedules'!$A$1:$AW$44,40,FALSE)="","",VLOOKUP(Fri_W1[[#This Row],[Employee Name]],'Base Schedules'!$A$1:$AW$44,40,FALSE)),"")</f>
        <v/>
      </c>
      <c r="AP15" s="184" t="str">
        <f>IFERROR(IF(VLOOKUP(Fri_W1[[#This Row],[Employee Name]],'Base Schedules'!$A$1:$AW$44,41,FALSE)="","",VLOOKUP(Fri_W1[[#This Row],[Employee Name]],'Base Schedules'!$A$1:$AW$44,41,FALSE)),"")</f>
        <v/>
      </c>
      <c r="AQ15" s="184" t="str">
        <f>IFERROR(IF(VLOOKUP(Fri_W1[[#This Row],[Employee Name]],'Base Schedules'!$A$1:$AW$44,42,FALSE)="","",VLOOKUP(Fri_W1[[#This Row],[Employee Name]],'Base Schedules'!$A$1:$AW$44,42,FALSE)),"")</f>
        <v/>
      </c>
      <c r="AR15" s="184" t="str">
        <f>IFERROR(IF(VLOOKUP(Fri_W1[[#This Row],[Employee Name]],'Base Schedules'!$A$1:$AW$44,43,FALSE)="","",VLOOKUP(Fri_W1[[#This Row],[Employee Name]],'Base Schedules'!$A$1:$AW$44,43,FALSE)),"")</f>
        <v/>
      </c>
      <c r="AS15" s="184" t="str">
        <f>IFERROR(IF(VLOOKUP(Fri_W1[[#This Row],[Employee Name]],'Base Schedules'!$A$1:$AW$44,44,FALSE)="","",VLOOKUP(Fri_W1[[#This Row],[Employee Name]],'Base Schedules'!$A$1:$AW$44,44,FALSE)),"")</f>
        <v/>
      </c>
      <c r="AT15" s="184" t="str">
        <f>IFERROR(IF(VLOOKUP(Fri_W1[[#This Row],[Employee Name]],'Base Schedules'!$A$1:$AW$44,45,FALSE)="","",VLOOKUP(Fri_W1[[#This Row],[Employee Name]],'Base Schedules'!$A$1:$AW$44,45,FALSE)),"")</f>
        <v/>
      </c>
      <c r="AU15" s="184" t="str">
        <f>IFERROR(IF(VLOOKUP(Fri_W1[[#This Row],[Employee Name]],'Base Schedules'!$A$1:$AW$44,46,FALSE)="","",VLOOKUP(Fri_W1[[#This Row],[Employee Name]],'Base Schedules'!$A$1:$AW$44,46,FALSE)),"")</f>
        <v/>
      </c>
      <c r="AV15" s="184" t="str">
        <f>IFERROR(IF(VLOOKUP(Fri_W1[[#This Row],[Employee Name]],'Base Schedules'!$A$1:$AW$44,47,FALSE)="","",VLOOKUP(Fri_W1[[#This Row],[Employee Name]],'Base Schedules'!$A$1:$AW$44,47,FALSE)),"")</f>
        <v/>
      </c>
      <c r="AW15" s="184" t="str">
        <f>IFERROR(IF(VLOOKUP(Fri_W1[[#This Row],[Employee Name]],'Base Schedules'!$A$1:$AW$44,48,FALSE)="","",VLOOKUP(Fri_W1[[#This Row],[Employee Name]],'Base Schedules'!$A$1:$AW$44,48,FALSE)),"")</f>
        <v/>
      </c>
      <c r="AX15" s="184" t="str">
        <f>IFERROR(IF(VLOOKUP(Fri_W1[[#This Row],[Employee Name]],'Base Schedules'!$A$1:$AW$44,49,FALSE)="","",VLOOKUP(Fri_W1[[#This Row],[Employee Name]],'Base Schedules'!$A$1:$AW$44,49,FALSE)),"")</f>
        <v/>
      </c>
      <c r="AY15" s="245" t="str">
        <f t="shared" si="2"/>
        <v>Breen, Mark</v>
      </c>
    </row>
    <row r="16" spans="1:51" s="44" customFormat="1" ht="11.25" customHeight="1" x14ac:dyDescent="0.2">
      <c r="A16" s="39" t="str">
        <f>IF(B16="","",INDEX(TeamList[],MATCH($B16,TeamList[[Employee Name]:[Employee Name]],0),MATCH("Manager",TeamList[#Headers],0)))</f>
        <v>Olson, Katherine</v>
      </c>
      <c r="B16" s="201" t="s">
        <v>19</v>
      </c>
      <c r="C16" s="257" t="str">
        <f>_xlfn.IFNA(VLOOKUP(Fri_W1[[#This Row],[Employee Name]],'Base Schedules'!A:B,2,FALSE),"")</f>
        <v>Lead</v>
      </c>
      <c r="D16" s="274">
        <f>_xlfn.IFNA(VLOOKUP(Fri_W1[[#This Row],[Employee Name]],'Base Schedules'!A:C,3,FALSE),"")</f>
        <v>600</v>
      </c>
      <c r="E16" s="274">
        <f>_xlfn.IFNA(VLOOKUP(Fri_W1[[#This Row],[Employee Name]],'Base Schedules'!A:D,4,FALSE),"")</f>
        <v>1430</v>
      </c>
      <c r="F16" s="142">
        <f>IF(Fri_W1[[#This Row],[Employee Name]]="","",IF(Fri_W1[[#This Row],[Dept]]="Supervisor",COUNTIFS($J16:$AX16,"*HL*",$J16:$AX16,"&lt;&gt;"&amp;"pHL"),COUNTIFS($J16:$AX16,"*HL*",$J16:$AX16,"&lt;&gt;"&amp;"*pHL*",$J16:$AX16,"&lt;&gt;"&amp;"pB1 HL",$J16:$AX16,"&lt;&gt;"&amp;"pB2 HL")-SUM(COUNTIFS($J16:$AX16,"*HL B1*",$J16:$AX16,"&lt;&gt;"&amp;"pHL B1")*0.5,COUNTIFS($J16:$AX16,"*HL B2*",$J16:$AX16,"&lt;&gt;"&amp;"pHL B2")*0.5,COUNTIFS($J16:$AX16,"*B1 HL*",$J16:$AX16,"&lt;&gt;"&amp;"pB1 HL")*0.5,COUNTIFS($J16:$AX16,"*B2 HL*",$J16:$AX16,"&lt;&gt;"&amp;"pB2 HL")*0.5)))</f>
        <v>7.5</v>
      </c>
      <c r="G16" s="142">
        <f t="shared" si="0"/>
        <v>0</v>
      </c>
      <c r="H16" s="142">
        <f t="shared" si="1"/>
        <v>6</v>
      </c>
      <c r="I16" s="142">
        <f>IF(Fri_W1[[#This Row],[Employee Name]]="","",IF(Fri_W1[[#This Row],[Dept]]="Supervisor",SUM(COUNTIFS($J16:$AX16,"RTA*",$J16:$AX16,"&lt;&gt;"&amp;"pRTA"),COUNTIFS($J16:$AX16,"*CRTA*",$J16:$AX16,"&lt;&gt;"&amp;"pCRTA")),COUNTIFS($J16:$AX16,"*RNNR*",$J16:$AX16,"&lt;&gt;"&amp;"*pRNNR*",$J16:$AX16,"&lt;&gt;"&amp;"pB1 RNNR",$J16:$AX16,"&lt;&gt;"&amp;"pB2 RNNR")-SUM(COUNTIFS($J16:$AX16,"*RNNR B1*",$J16:$AX16,"&lt;&gt;"&amp;"pRNNR B1")*0.5,COUNTIFS($J16:$AX16,"*RNNR B2*",$J16:$AX16,"&lt;&gt;"&amp;"pRNNR B2")*0.5,COUNTIFS($J16:$AX16,"*B1 RNNR*",$J16:$AX16,"&lt;&gt;"&amp;"pB1 RNNR")*0.5,COUNTIFS($J16:$AX16,"*B2 RNNR*",$J16:$AX16,"&lt;&gt;"&amp;"pB2 RNNR")*0.5)))</f>
        <v>2</v>
      </c>
      <c r="J16" s="184" t="str">
        <f>IFERROR(IF(VLOOKUP(Fri_W1[[#This Row],[Employee Name]],'Base Schedules'!$A$1:$AW$44,9,FALSE)="","",VLOOKUP(Fri_W1[[#This Row],[Employee Name]],'Base Schedules'!$A$1:$AW$44,9,FALSE)),"")</f>
        <v/>
      </c>
      <c r="K16" s="184" t="str">
        <f>IFERROR(IF(VLOOKUP(Fri_W1[[#This Row],[Employee Name]],'Base Schedules'!$A$1:$AW$44,10,FALSE)="","",VLOOKUP(Fri_W1[[#This Row],[Employee Name]],'Base Schedules'!$A$1:$AW$44,10,FALSE)),"")</f>
        <v/>
      </c>
      <c r="L16" s="184" t="str">
        <f>IFERROR(IF(VLOOKUP(Fri_W1[[#This Row],[Employee Name]],'Base Schedules'!$A$1:$AW$44,11,FALSE)="","",VLOOKUP(Fri_W1[[#This Row],[Employee Name]],'Base Schedules'!$A$1:$AW$44,11,FALSE)),"")</f>
        <v>ADM</v>
      </c>
      <c r="M16" s="184" t="str">
        <f>IFERROR(IF(VLOOKUP(Fri_W1[[#This Row],[Employee Name]],'Base Schedules'!$A$1:$AW$44,12,FALSE)="","",VLOOKUP(Fri_W1[[#This Row],[Employee Name]],'Base Schedules'!$A$1:$AW$44,12,FALSE)),"")</f>
        <v>ADM</v>
      </c>
      <c r="N16" s="184" t="str">
        <f>IFERROR(IF(VLOOKUP(Fri_W1[[#This Row],[Employee Name]],'Base Schedules'!$A$1:$AW$44,13,FALSE)="","",VLOOKUP(Fri_W1[[#This Row],[Employee Name]],'Base Schedules'!$A$1:$AW$44,13,FALSE)),"")</f>
        <v>ADM</v>
      </c>
      <c r="O16" s="184" t="str">
        <f>IFERROR(IF(VLOOKUP(Fri_W1[[#This Row],[Employee Name]],'Base Schedules'!$A$1:$AW$44,14,FALSE)="","",VLOOKUP(Fri_W1[[#This Row],[Employee Name]],'Base Schedules'!$A$1:$AW$44,14,FALSE)),"")</f>
        <v>ADM</v>
      </c>
      <c r="P16" s="184" t="str">
        <f>IFERROR(IF(VLOOKUP(Fri_W1[[#This Row],[Employee Name]],'Base Schedules'!$A$1:$AW$44,15,FALSE)="","",VLOOKUP(Fri_W1[[#This Row],[Employee Name]],'Base Schedules'!$A$1:$AW$44,15,FALSE)),"")</f>
        <v>ADM B1</v>
      </c>
      <c r="Q16" s="184" t="str">
        <f>IFERROR(IF(VLOOKUP(Fri_W1[[#This Row],[Employee Name]],'Base Schedules'!$A$1:$AW$44,16,FALSE)="","",VLOOKUP(Fri_W1[[#This Row],[Employee Name]],'Base Schedules'!$A$1:$AW$44,16,FALSE)),"")</f>
        <v>HL</v>
      </c>
      <c r="R16" s="184" t="str">
        <f>IFERROR(IF(VLOOKUP(Fri_W1[[#This Row],[Employee Name]],'Base Schedules'!$A$1:$AW$44,17,FALSE)="","",VLOOKUP(Fri_W1[[#This Row],[Employee Name]],'Base Schedules'!$A$1:$AW$44,17,FALSE)),"")</f>
        <v>HL</v>
      </c>
      <c r="S16" s="184" t="str">
        <f>IFERROR(IF(VLOOKUP(Fri_W1[[#This Row],[Employee Name]],'Base Schedules'!$A$1:$AW$44,18,FALSE)="","",VLOOKUP(Fri_W1[[#This Row],[Employee Name]],'Base Schedules'!$A$1:$AW$44,18,FALSE)),"")</f>
        <v>HL</v>
      </c>
      <c r="T16" s="184" t="str">
        <f>IFERROR(IF(VLOOKUP(Fri_W1[[#This Row],[Employee Name]],'Base Schedules'!$A$1:$AW$44,19,FALSE)="","",VLOOKUP(Fri_W1[[#This Row],[Employee Name]],'Base Schedules'!$A$1:$AW$44,19,FALSE)),"")</f>
        <v>HL</v>
      </c>
      <c r="U16" s="184" t="str">
        <f>IFERROR(IF(VLOOKUP(Fri_W1[[#This Row],[Employee Name]],'Base Schedules'!$A$1:$AW$44,20,FALSE)="","",VLOOKUP(Fri_W1[[#This Row],[Employee Name]],'Base Schedules'!$A$1:$AW$44,20,FALSE)),"")</f>
        <v>LUNCH</v>
      </c>
      <c r="V16" s="184" t="str">
        <f>IFERROR(IF(VLOOKUP(Fri_W1[[#This Row],[Employee Name]],'Base Schedules'!$A$1:$AW$44,21,FALSE)="","",VLOOKUP(Fri_W1[[#This Row],[Employee Name]],'Base Schedules'!$A$1:$AW$44,21,FALSE)),"")</f>
        <v>RNNR</v>
      </c>
      <c r="W16" s="184" t="str">
        <f>IFERROR(IF(VLOOKUP(Fri_W1[[#This Row],[Employee Name]],'Base Schedules'!$A$1:$AW$44,22,FALSE)="","",VLOOKUP(Fri_W1[[#This Row],[Employee Name]],'Base Schedules'!$A$1:$AW$44,22,FALSE)),"")</f>
        <v>RNNR</v>
      </c>
      <c r="X16" s="184" t="str">
        <f>IFERROR(IF(VLOOKUP(Fri_W1[[#This Row],[Employee Name]],'Base Schedules'!$A$1:$AW$44,23,FALSE)="","",VLOOKUP(Fri_W1[[#This Row],[Employee Name]],'Base Schedules'!$A$1:$AW$44,23,FALSE)),"")</f>
        <v>ADM</v>
      </c>
      <c r="Y16" s="184" t="str">
        <f>IFERROR(IF(VLOOKUP(Fri_W1[[#This Row],[Employee Name]],'Base Schedules'!$A$1:$AW$44,24,FALSE)="","",VLOOKUP(Fri_W1[[#This Row],[Employee Name]],'Base Schedules'!$A$1:$AW$44,24,FALSE)),"")</f>
        <v>B2 HL</v>
      </c>
      <c r="Z16" s="184" t="str">
        <f>IFERROR(IF(VLOOKUP(Fri_W1[[#This Row],[Employee Name]],'Base Schedules'!$A$1:$AW$44,25,FALSE)="","",VLOOKUP(Fri_W1[[#This Row],[Employee Name]],'Base Schedules'!$A$1:$AW$44,25,FALSE)),"")</f>
        <v>HL</v>
      </c>
      <c r="AA16" s="184" t="str">
        <f>IFERROR(IF(VLOOKUP(Fri_W1[[#This Row],[Employee Name]],'Base Schedules'!$A$1:$AW$44,26,FALSE)="","",VLOOKUP(Fri_W1[[#This Row],[Employee Name]],'Base Schedules'!$A$1:$AW$44,26,FALSE)),"")</f>
        <v>HL</v>
      </c>
      <c r="AB16" s="184" t="str">
        <f>IFERROR(IF(VLOOKUP(Fri_W1[[#This Row],[Employee Name]],'Base Schedules'!$A$1:$AW$44,27,FALSE)="","",VLOOKUP(Fri_W1[[#This Row],[Employee Name]],'Base Schedules'!$A$1:$AW$44,27,FALSE)),"")</f>
        <v>HL</v>
      </c>
      <c r="AC16" s="184" t="str">
        <f>IFERROR(IF(VLOOKUP(Fri_W1[[#This Row],[Employee Name]],'Base Schedules'!$A$1:$AW$44,28,FALSE)="","",VLOOKUP(Fri_W1[[#This Row],[Employee Name]],'Base Schedules'!$A$1:$AW$44,28,FALSE)),"")</f>
        <v/>
      </c>
      <c r="AD16" s="184" t="str">
        <f>IFERROR(IF(VLOOKUP(Fri_W1[[#This Row],[Employee Name]],'Base Schedules'!$A$1:$AW$44,29,FALSE)="","",VLOOKUP(Fri_W1[[#This Row],[Employee Name]],'Base Schedules'!$A$1:$AW$44,29,FALSE)),"")</f>
        <v/>
      </c>
      <c r="AE16" s="184" t="str">
        <f>IFERROR(IF(VLOOKUP(Fri_W1[[#This Row],[Employee Name]],'Base Schedules'!$A$1:$AW$44,30,FALSE)="","",VLOOKUP(Fri_W1[[#This Row],[Employee Name]],'Base Schedules'!$A$1:$AW$44,30,FALSE)),"")</f>
        <v/>
      </c>
      <c r="AF16" s="184" t="str">
        <f>IFERROR(IF(VLOOKUP(Fri_W1[[#This Row],[Employee Name]],'Base Schedules'!$A$1:$AW$44,31,FALSE)="","",VLOOKUP(Fri_W1[[#This Row],[Employee Name]],'Base Schedules'!$A$1:$AW$44,31,FALSE)),"")</f>
        <v/>
      </c>
      <c r="AG16" s="184" t="str">
        <f>IFERROR(IF(VLOOKUP(Fri_W1[[#This Row],[Employee Name]],'Base Schedules'!$A$1:$AW$44,32,FALSE)="","",VLOOKUP(Fri_W1[[#This Row],[Employee Name]],'Base Schedules'!$A$1:$AW$44,32,FALSE)),"")</f>
        <v/>
      </c>
      <c r="AH16" s="184" t="str">
        <f>IFERROR(IF(VLOOKUP(Fri_W1[[#This Row],[Employee Name]],'Base Schedules'!$A$1:$AW$44,33,FALSE)="","",VLOOKUP(Fri_W1[[#This Row],[Employee Name]],'Base Schedules'!$A$1:$AW$44,33,FALSE)),"")</f>
        <v/>
      </c>
      <c r="AI16" s="184" t="str">
        <f>IFERROR(IF(VLOOKUP(Fri_W1[[#This Row],[Employee Name]],'Base Schedules'!$A$1:$AW$44,34,FALSE)="","",VLOOKUP(Fri_W1[[#This Row],[Employee Name]],'Base Schedules'!$A$1:$AW$44,34,FALSE)),"")</f>
        <v/>
      </c>
      <c r="AJ16" s="184" t="str">
        <f>IFERROR(IF(VLOOKUP(Fri_W1[[#This Row],[Employee Name]],'Base Schedules'!$A$1:$AW$44,35,FALSE)="","",VLOOKUP(Fri_W1[[#This Row],[Employee Name]],'Base Schedules'!$A$1:$AW$44,35,FALSE)),"")</f>
        <v/>
      </c>
      <c r="AK16" s="184" t="str">
        <f>IFERROR(IF(VLOOKUP(Fri_W1[[#This Row],[Employee Name]],'Base Schedules'!$A$1:$AW$44,36,FALSE)="","",VLOOKUP(Fri_W1[[#This Row],[Employee Name]],'Base Schedules'!$A$1:$AW$44,36,FALSE)),"")</f>
        <v/>
      </c>
      <c r="AL16" s="184" t="str">
        <f>IFERROR(IF(VLOOKUP(Fri_W1[[#This Row],[Employee Name]],'Base Schedules'!$A$1:$AW$44,37,FALSE)="","",VLOOKUP(Fri_W1[[#This Row],[Employee Name]],'Base Schedules'!$A$1:$AW$44,37,FALSE)),"")</f>
        <v/>
      </c>
      <c r="AM16" s="184" t="str">
        <f>IFERROR(IF(VLOOKUP(Fri_W1[[#This Row],[Employee Name]],'Base Schedules'!$A$1:$AW$44,38,FALSE)="","",VLOOKUP(Fri_W1[[#This Row],[Employee Name]],'Base Schedules'!$A$1:$AW$44,38,FALSE)),"")</f>
        <v/>
      </c>
      <c r="AN16" s="184" t="str">
        <f>IFERROR(IF(VLOOKUP(Fri_W1[[#This Row],[Employee Name]],'Base Schedules'!$A$1:$AW$44,39,FALSE)="","",VLOOKUP(Fri_W1[[#This Row],[Employee Name]],'Base Schedules'!$A$1:$AW$44,39,FALSE)),"")</f>
        <v/>
      </c>
      <c r="AO16" s="184" t="str">
        <f>IFERROR(IF(VLOOKUP(Fri_W1[[#This Row],[Employee Name]],'Base Schedules'!$A$1:$AW$44,40,FALSE)="","",VLOOKUP(Fri_W1[[#This Row],[Employee Name]],'Base Schedules'!$A$1:$AW$44,40,FALSE)),"")</f>
        <v/>
      </c>
      <c r="AP16" s="184" t="str">
        <f>IFERROR(IF(VLOOKUP(Fri_W1[[#This Row],[Employee Name]],'Base Schedules'!$A$1:$AW$44,41,FALSE)="","",VLOOKUP(Fri_W1[[#This Row],[Employee Name]],'Base Schedules'!$A$1:$AW$44,41,FALSE)),"")</f>
        <v/>
      </c>
      <c r="AQ16" s="184" t="str">
        <f>IFERROR(IF(VLOOKUP(Fri_W1[[#This Row],[Employee Name]],'Base Schedules'!$A$1:$AW$44,42,FALSE)="","",VLOOKUP(Fri_W1[[#This Row],[Employee Name]],'Base Schedules'!$A$1:$AW$44,42,FALSE)),"")</f>
        <v/>
      </c>
      <c r="AR16" s="184" t="str">
        <f>IFERROR(IF(VLOOKUP(Fri_W1[[#This Row],[Employee Name]],'Base Schedules'!$A$1:$AW$44,43,FALSE)="","",VLOOKUP(Fri_W1[[#This Row],[Employee Name]],'Base Schedules'!$A$1:$AW$44,43,FALSE)),"")</f>
        <v/>
      </c>
      <c r="AS16" s="184" t="str">
        <f>IFERROR(IF(VLOOKUP(Fri_W1[[#This Row],[Employee Name]],'Base Schedules'!$A$1:$AW$44,44,FALSE)="","",VLOOKUP(Fri_W1[[#This Row],[Employee Name]],'Base Schedules'!$A$1:$AW$44,44,FALSE)),"")</f>
        <v/>
      </c>
      <c r="AT16" s="184" t="str">
        <f>IFERROR(IF(VLOOKUP(Fri_W1[[#This Row],[Employee Name]],'Base Schedules'!$A$1:$AW$44,45,FALSE)="","",VLOOKUP(Fri_W1[[#This Row],[Employee Name]],'Base Schedules'!$A$1:$AW$44,45,FALSE)),"")</f>
        <v/>
      </c>
      <c r="AU16" s="184" t="str">
        <f>IFERROR(IF(VLOOKUP(Fri_W1[[#This Row],[Employee Name]],'Base Schedules'!$A$1:$AW$44,46,FALSE)="","",VLOOKUP(Fri_W1[[#This Row],[Employee Name]],'Base Schedules'!$A$1:$AW$44,46,FALSE)),"")</f>
        <v/>
      </c>
      <c r="AV16" s="184" t="str">
        <f>IFERROR(IF(VLOOKUP(Fri_W1[[#This Row],[Employee Name]],'Base Schedules'!$A$1:$AW$44,47,FALSE)="","",VLOOKUP(Fri_W1[[#This Row],[Employee Name]],'Base Schedules'!$A$1:$AW$44,47,FALSE)),"")</f>
        <v/>
      </c>
      <c r="AW16" s="184" t="str">
        <f>IFERROR(IF(VLOOKUP(Fri_W1[[#This Row],[Employee Name]],'Base Schedules'!$A$1:$AW$44,48,FALSE)="","",VLOOKUP(Fri_W1[[#This Row],[Employee Name]],'Base Schedules'!$A$1:$AW$44,48,FALSE)),"")</f>
        <v/>
      </c>
      <c r="AX16" s="184" t="str">
        <f>IFERROR(IF(VLOOKUP(Fri_W1[[#This Row],[Employee Name]],'Base Schedules'!$A$1:$AW$44,49,FALSE)="","",VLOOKUP(Fri_W1[[#This Row],[Employee Name]],'Base Schedules'!$A$1:$AW$44,49,FALSE)),"")</f>
        <v/>
      </c>
      <c r="AY16" s="245" t="str">
        <f t="shared" si="2"/>
        <v>Albert, Christina</v>
      </c>
    </row>
    <row r="17" spans="1:51" s="44" customFormat="1" ht="11.25" customHeight="1" x14ac:dyDescent="0.2">
      <c r="A17" s="39" t="str">
        <f>IF(B17="","",INDEX(TeamList[],MATCH($B17,TeamList[[Employee Name]:[Employee Name]],0),MATCH("Manager",TeamList[#Headers],0)))</f>
        <v>Paulson, Matthew</v>
      </c>
      <c r="B17" s="201" t="s">
        <v>20</v>
      </c>
      <c r="C17" s="257" t="str">
        <f>_xlfn.IFNA(VLOOKUP(Fri_W1[[#This Row],[Employee Name]],'Base Schedules'!A:B,2,FALSE),"")</f>
        <v>Supervisor</v>
      </c>
      <c r="D17" s="274">
        <f>_xlfn.IFNA(VLOOKUP(Fri_W1[[#This Row],[Employee Name]],'Base Schedules'!A:C,3,FALSE),"")</f>
        <v>600</v>
      </c>
      <c r="E17" s="274">
        <f>_xlfn.IFNA(VLOOKUP(Fri_W1[[#This Row],[Employee Name]],'Base Schedules'!A:D,4,FALSE),"")</f>
        <v>1500</v>
      </c>
      <c r="F17" s="142">
        <f>IF(Fri_W1[[#This Row],[Employee Name]]="","",IF(Fri_W1[[#This Row],[Dept]]="Supervisor",COUNTIFS($J17:$AX17,"*HL*",$J17:$AX17,"&lt;&gt;"&amp;"pHL"),COUNTIFS($J17:$AX17,"*HL*",$J17:$AX17,"&lt;&gt;"&amp;"*pHL*",$J17:$AX17,"&lt;&gt;"&amp;"pB1 HL",$J17:$AX17,"&lt;&gt;"&amp;"pB2 HL")-SUM(COUNTIFS($J17:$AX17,"*HL B1*",$J17:$AX17,"&lt;&gt;"&amp;"pHL B1")*0.5,COUNTIFS($J17:$AX17,"*HL B2*",$J17:$AX17,"&lt;&gt;"&amp;"pHL B2")*0.5,COUNTIFS($J17:$AX17,"*B1 HL*",$J17:$AX17,"&lt;&gt;"&amp;"pB1 HL")*0.5,COUNTIFS($J17:$AX17,"*B2 HL*",$J17:$AX17,"&lt;&gt;"&amp;"pB2 HL")*0.5)))</f>
        <v>0</v>
      </c>
      <c r="G17" s="142">
        <f t="shared" si="0"/>
        <v>4</v>
      </c>
      <c r="H17" s="142">
        <f t="shared" si="1"/>
        <v>0</v>
      </c>
      <c r="I17" s="142">
        <f>IF(Fri_W1[[#This Row],[Employee Name]]="","",IF(Fri_W1[[#This Row],[Dept]]="Supervisor",SUM(COUNTIFS($J17:$AX17,"RTA*",$J17:$AX17,"&lt;&gt;"&amp;"pRTA"),COUNTIFS($J17:$AX17,"*CRTA*",$J17:$AX17,"&lt;&gt;"&amp;"pCRTA")),COUNTIFS($J17:$AX17,"*RNNR*",$J17:$AX17,"&lt;&gt;"&amp;"*pRNNR*",$J17:$AX17,"&lt;&gt;"&amp;"pB1 RNNR",$J17:$AX17,"&lt;&gt;"&amp;"pB2 RNNR")-SUM(COUNTIFS($J17:$AX17,"*RNNR B1*",$J17:$AX17,"&lt;&gt;"&amp;"pRNNR B1")*0.5,COUNTIFS($J17:$AX17,"*RNNR B2*",$J17:$AX17,"&lt;&gt;"&amp;"pRNNR B2")*0.5,COUNTIFS($J17:$AX17,"*B1 RNNR*",$J17:$AX17,"&lt;&gt;"&amp;"pB1 RNNR")*0.5,COUNTIFS($J17:$AX17,"*B2 RNNR*",$J17:$AX17,"&lt;&gt;"&amp;"pB2 RNNR")*0.5)))</f>
        <v>0</v>
      </c>
      <c r="J17" s="184" t="str">
        <f>IFERROR(IF(VLOOKUP(Fri_W1[[#This Row],[Employee Name]],'Base Schedules'!$A$1:$AW$44,9,FALSE)="","",VLOOKUP(Fri_W1[[#This Row],[Employee Name]],'Base Schedules'!$A$1:$AW$44,9,FALSE)),"")</f>
        <v/>
      </c>
      <c r="K17" s="184" t="str">
        <f>IFERROR(IF(VLOOKUP(Fri_W1[[#This Row],[Employee Name]],'Base Schedules'!$A$1:$AW$44,10,FALSE)="","",VLOOKUP(Fri_W1[[#This Row],[Employee Name]],'Base Schedules'!$A$1:$AW$44,10,FALSE)),"")</f>
        <v/>
      </c>
      <c r="L17" s="184" t="str">
        <f>IFERROR(IF(VLOOKUP(Fri_W1[[#This Row],[Employee Name]],'Base Schedules'!$A$1:$AW$44,11,FALSE)="","",VLOOKUP(Fri_W1[[#This Row],[Employee Name]],'Base Schedules'!$A$1:$AW$44,11,FALSE)),"")</f>
        <v>-</v>
      </c>
      <c r="M17" s="184" t="str">
        <f>IFERROR(IF(VLOOKUP(Fri_W1[[#This Row],[Employee Name]],'Base Schedules'!$A$1:$AW$44,12,FALSE)="","",VLOOKUP(Fri_W1[[#This Row],[Employee Name]],'Base Schedules'!$A$1:$AW$44,12,FALSE)),"")</f>
        <v>-</v>
      </c>
      <c r="N17" s="184" t="str">
        <f>IFERROR(IF(VLOOKUP(Fri_W1[[#This Row],[Employee Name]],'Base Schedules'!$A$1:$AW$44,13,FALSE)="","",VLOOKUP(Fri_W1[[#This Row],[Employee Name]],'Base Schedules'!$A$1:$AW$44,13,FALSE)),"")</f>
        <v>-</v>
      </c>
      <c r="O17" s="184" t="str">
        <f>IFERROR(IF(VLOOKUP(Fri_W1[[#This Row],[Employee Name]],'Base Schedules'!$A$1:$AW$44,14,FALSE)="","",VLOOKUP(Fri_W1[[#This Row],[Employee Name]],'Base Schedules'!$A$1:$AW$44,14,FALSE)),"")</f>
        <v>-</v>
      </c>
      <c r="P17" s="184" t="str">
        <f>IFERROR(IF(VLOOKUP(Fri_W1[[#This Row],[Employee Name]],'Base Schedules'!$A$1:$AW$44,15,FALSE)="","",VLOOKUP(Fri_W1[[#This Row],[Employee Name]],'Base Schedules'!$A$1:$AW$44,15,FALSE)),"")</f>
        <v>-</v>
      </c>
      <c r="Q17" s="184" t="str">
        <f>IFERROR(IF(VLOOKUP(Fri_W1[[#This Row],[Employee Name]],'Base Schedules'!$A$1:$AW$44,16,FALSE)="","",VLOOKUP(Fri_W1[[#This Row],[Employee Name]],'Base Schedules'!$A$1:$AW$44,16,FALSE)),"")</f>
        <v>-</v>
      </c>
      <c r="R17" s="184" t="str">
        <f>IFERROR(IF(VLOOKUP(Fri_W1[[#This Row],[Employee Name]],'Base Schedules'!$A$1:$AW$44,17,FALSE)="","",VLOOKUP(Fri_W1[[#This Row],[Employee Name]],'Base Schedules'!$A$1:$AW$44,17,FALSE)),"")</f>
        <v>-</v>
      </c>
      <c r="S17" s="184" t="str">
        <f>IFERROR(IF(VLOOKUP(Fri_W1[[#This Row],[Employee Name]],'Base Schedules'!$A$1:$AW$44,18,FALSE)="","",VLOOKUP(Fri_W1[[#This Row],[Employee Name]],'Base Schedules'!$A$1:$AW$44,18,FALSE)),"")</f>
        <v>-</v>
      </c>
      <c r="T17" s="184" t="str">
        <f>IFERROR(IF(VLOOKUP(Fri_W1[[#This Row],[Employee Name]],'Base Schedules'!$A$1:$AW$44,19,FALSE)="","",VLOOKUP(Fri_W1[[#This Row],[Employee Name]],'Base Schedules'!$A$1:$AW$44,19,FALSE)),"")</f>
        <v>Interview</v>
      </c>
      <c r="U17" s="184" t="str">
        <f>IFERROR(IF(VLOOKUP(Fri_W1[[#This Row],[Employee Name]],'Base Schedules'!$A$1:$AW$44,20,FALSE)="","",VLOOKUP(Fri_W1[[#This Row],[Employee Name]],'Base Schedules'!$A$1:$AW$44,20,FALSE)),"")</f>
        <v>Interview</v>
      </c>
      <c r="V17" s="184" t="str">
        <f>IFERROR(IF(VLOOKUP(Fri_W1[[#This Row],[Employee Name]],'Base Schedules'!$A$1:$AW$44,21,FALSE)="","",VLOOKUP(Fri_W1[[#This Row],[Employee Name]],'Base Schedules'!$A$1:$AW$44,21,FALSE)),"")</f>
        <v>-</v>
      </c>
      <c r="W17" s="184" t="str">
        <f>IFERROR(IF(VLOOKUP(Fri_W1[[#This Row],[Employee Name]],'Base Schedules'!$A$1:$AW$44,22,FALSE)="","",VLOOKUP(Fri_W1[[#This Row],[Employee Name]],'Base Schedules'!$A$1:$AW$44,22,FALSE)),"")</f>
        <v>-</v>
      </c>
      <c r="X17" s="184" t="str">
        <f>IFERROR(IF(VLOOKUP(Fri_W1[[#This Row],[Employee Name]],'Base Schedules'!$A$1:$AW$44,23,FALSE)="","",VLOOKUP(Fri_W1[[#This Row],[Employee Name]],'Base Schedules'!$A$1:$AW$44,23,FALSE)),"")</f>
        <v>-</v>
      </c>
      <c r="Y17" s="184" t="str">
        <f>IFERROR(IF(VLOOKUP(Fri_W1[[#This Row],[Employee Name]],'Base Schedules'!$A$1:$AW$44,24,FALSE)="","",VLOOKUP(Fri_W1[[#This Row],[Employee Name]],'Base Schedules'!$A$1:$AW$44,24,FALSE)),"")</f>
        <v>Coaching</v>
      </c>
      <c r="Z17" s="184" t="str">
        <f>IFERROR(IF(VLOOKUP(Fri_W1[[#This Row],[Employee Name]],'Base Schedules'!$A$1:$AW$44,25,FALSE)="","",VLOOKUP(Fri_W1[[#This Row],[Employee Name]],'Base Schedules'!$A$1:$AW$44,25,FALSE)),"")</f>
        <v>Coaching</v>
      </c>
      <c r="AA17" s="184" t="str">
        <f>IFERROR(IF(VLOOKUP(Fri_W1[[#This Row],[Employee Name]],'Base Schedules'!$A$1:$AW$44,26,FALSE)="","",VLOOKUP(Fri_W1[[#This Row],[Employee Name]],'Base Schedules'!$A$1:$AW$44,26,FALSE)),"")</f>
        <v>Coaching</v>
      </c>
      <c r="AB17" s="184" t="str">
        <f>IFERROR(IF(VLOOKUP(Fri_W1[[#This Row],[Employee Name]],'Base Schedules'!$A$1:$AW$44,27,FALSE)="","",VLOOKUP(Fri_W1[[#This Row],[Employee Name]],'Base Schedules'!$A$1:$AW$44,27,FALSE)),"")</f>
        <v>Coaching</v>
      </c>
      <c r="AC17" s="184" t="str">
        <f>IFERROR(IF(VLOOKUP(Fri_W1[[#This Row],[Employee Name]],'Base Schedules'!$A$1:$AW$44,28,FALSE)="","",VLOOKUP(Fri_W1[[#This Row],[Employee Name]],'Base Schedules'!$A$1:$AW$44,28,FALSE)),"")</f>
        <v>-</v>
      </c>
      <c r="AD17" s="184" t="str">
        <f>IFERROR(IF(VLOOKUP(Fri_W1[[#This Row],[Employee Name]],'Base Schedules'!$A$1:$AW$44,29,FALSE)="","",VLOOKUP(Fri_W1[[#This Row],[Employee Name]],'Base Schedules'!$A$1:$AW$44,29,FALSE)),"")</f>
        <v/>
      </c>
      <c r="AE17" s="184" t="str">
        <f>IFERROR(IF(VLOOKUP(Fri_W1[[#This Row],[Employee Name]],'Base Schedules'!$A$1:$AW$44,30,FALSE)="","",VLOOKUP(Fri_W1[[#This Row],[Employee Name]],'Base Schedules'!$A$1:$AW$44,30,FALSE)),"")</f>
        <v/>
      </c>
      <c r="AF17" s="184" t="str">
        <f>IFERROR(IF(VLOOKUP(Fri_W1[[#This Row],[Employee Name]],'Base Schedules'!$A$1:$AW$44,31,FALSE)="","",VLOOKUP(Fri_W1[[#This Row],[Employee Name]],'Base Schedules'!$A$1:$AW$44,31,FALSE)),"")</f>
        <v/>
      </c>
      <c r="AG17" s="184" t="str">
        <f>IFERROR(IF(VLOOKUP(Fri_W1[[#This Row],[Employee Name]],'Base Schedules'!$A$1:$AW$44,32,FALSE)="","",VLOOKUP(Fri_W1[[#This Row],[Employee Name]],'Base Schedules'!$A$1:$AW$44,32,FALSE)),"")</f>
        <v/>
      </c>
      <c r="AH17" s="184" t="str">
        <f>IFERROR(IF(VLOOKUP(Fri_W1[[#This Row],[Employee Name]],'Base Schedules'!$A$1:$AW$44,33,FALSE)="","",VLOOKUP(Fri_W1[[#This Row],[Employee Name]],'Base Schedules'!$A$1:$AW$44,33,FALSE)),"")</f>
        <v/>
      </c>
      <c r="AI17" s="184" t="str">
        <f>IFERROR(IF(VLOOKUP(Fri_W1[[#This Row],[Employee Name]],'Base Schedules'!$A$1:$AW$44,34,FALSE)="","",VLOOKUP(Fri_W1[[#This Row],[Employee Name]],'Base Schedules'!$A$1:$AW$44,34,FALSE)),"")</f>
        <v/>
      </c>
      <c r="AJ17" s="184" t="str">
        <f>IFERROR(IF(VLOOKUP(Fri_W1[[#This Row],[Employee Name]],'Base Schedules'!$A$1:$AW$44,35,FALSE)="","",VLOOKUP(Fri_W1[[#This Row],[Employee Name]],'Base Schedules'!$A$1:$AW$44,35,FALSE)),"")</f>
        <v/>
      </c>
      <c r="AK17" s="184" t="str">
        <f>IFERROR(IF(VLOOKUP(Fri_W1[[#This Row],[Employee Name]],'Base Schedules'!$A$1:$AW$44,36,FALSE)="","",VLOOKUP(Fri_W1[[#This Row],[Employee Name]],'Base Schedules'!$A$1:$AW$44,36,FALSE)),"")</f>
        <v/>
      </c>
      <c r="AL17" s="184" t="str">
        <f>IFERROR(IF(VLOOKUP(Fri_W1[[#This Row],[Employee Name]],'Base Schedules'!$A$1:$AW$44,37,FALSE)="","",VLOOKUP(Fri_W1[[#This Row],[Employee Name]],'Base Schedules'!$A$1:$AW$44,37,FALSE)),"")</f>
        <v/>
      </c>
      <c r="AM17" s="184" t="str">
        <f>IFERROR(IF(VLOOKUP(Fri_W1[[#This Row],[Employee Name]],'Base Schedules'!$A$1:$AW$44,38,FALSE)="","",VLOOKUP(Fri_W1[[#This Row],[Employee Name]],'Base Schedules'!$A$1:$AW$44,38,FALSE)),"")</f>
        <v/>
      </c>
      <c r="AN17" s="184" t="str">
        <f>IFERROR(IF(VLOOKUP(Fri_W1[[#This Row],[Employee Name]],'Base Schedules'!$A$1:$AW$44,39,FALSE)="","",VLOOKUP(Fri_W1[[#This Row],[Employee Name]],'Base Schedules'!$A$1:$AW$44,39,FALSE)),"")</f>
        <v/>
      </c>
      <c r="AO17" s="184" t="str">
        <f>IFERROR(IF(VLOOKUP(Fri_W1[[#This Row],[Employee Name]],'Base Schedules'!$A$1:$AW$44,40,FALSE)="","",VLOOKUP(Fri_W1[[#This Row],[Employee Name]],'Base Schedules'!$A$1:$AW$44,40,FALSE)),"")</f>
        <v/>
      </c>
      <c r="AP17" s="184" t="str">
        <f>IFERROR(IF(VLOOKUP(Fri_W1[[#This Row],[Employee Name]],'Base Schedules'!$A$1:$AW$44,41,FALSE)="","",VLOOKUP(Fri_W1[[#This Row],[Employee Name]],'Base Schedules'!$A$1:$AW$44,41,FALSE)),"")</f>
        <v/>
      </c>
      <c r="AQ17" s="184" t="str">
        <f>IFERROR(IF(VLOOKUP(Fri_W1[[#This Row],[Employee Name]],'Base Schedules'!$A$1:$AW$44,42,FALSE)="","",VLOOKUP(Fri_W1[[#This Row],[Employee Name]],'Base Schedules'!$A$1:$AW$44,42,FALSE)),"")</f>
        <v/>
      </c>
      <c r="AR17" s="184" t="str">
        <f>IFERROR(IF(VLOOKUP(Fri_W1[[#This Row],[Employee Name]],'Base Schedules'!$A$1:$AW$44,43,FALSE)="","",VLOOKUP(Fri_W1[[#This Row],[Employee Name]],'Base Schedules'!$A$1:$AW$44,43,FALSE)),"")</f>
        <v/>
      </c>
      <c r="AS17" s="184" t="str">
        <f>IFERROR(IF(VLOOKUP(Fri_W1[[#This Row],[Employee Name]],'Base Schedules'!$A$1:$AW$44,44,FALSE)="","",VLOOKUP(Fri_W1[[#This Row],[Employee Name]],'Base Schedules'!$A$1:$AW$44,44,FALSE)),"")</f>
        <v/>
      </c>
      <c r="AT17" s="184" t="str">
        <f>IFERROR(IF(VLOOKUP(Fri_W1[[#This Row],[Employee Name]],'Base Schedules'!$A$1:$AW$44,45,FALSE)="","",VLOOKUP(Fri_W1[[#This Row],[Employee Name]],'Base Schedules'!$A$1:$AW$44,45,FALSE)),"")</f>
        <v/>
      </c>
      <c r="AU17" s="184" t="str">
        <f>IFERROR(IF(VLOOKUP(Fri_W1[[#This Row],[Employee Name]],'Base Schedules'!$A$1:$AW$44,46,FALSE)="","",VLOOKUP(Fri_W1[[#This Row],[Employee Name]],'Base Schedules'!$A$1:$AW$44,46,FALSE)),"")</f>
        <v/>
      </c>
      <c r="AV17" s="184" t="str">
        <f>IFERROR(IF(VLOOKUP(Fri_W1[[#This Row],[Employee Name]],'Base Schedules'!$A$1:$AW$44,47,FALSE)="","",VLOOKUP(Fri_W1[[#This Row],[Employee Name]],'Base Schedules'!$A$1:$AW$44,47,FALSE)),"")</f>
        <v/>
      </c>
      <c r="AW17" s="184" t="str">
        <f>IFERROR(IF(VLOOKUP(Fri_W1[[#This Row],[Employee Name]],'Base Schedules'!$A$1:$AW$44,48,FALSE)="","",VLOOKUP(Fri_W1[[#This Row],[Employee Name]],'Base Schedules'!$A$1:$AW$44,48,FALSE)),"")</f>
        <v/>
      </c>
      <c r="AX17" s="184" t="str">
        <f>IFERROR(IF(VLOOKUP(Fri_W1[[#This Row],[Employee Name]],'Base Schedules'!$A$1:$AW$44,49,FALSE)="","",VLOOKUP(Fri_W1[[#This Row],[Employee Name]],'Base Schedules'!$A$1:$AW$44,49,FALSE)),"")</f>
        <v/>
      </c>
      <c r="AY17" s="245" t="str">
        <f t="shared" si="2"/>
        <v>Germony, June</v>
      </c>
    </row>
    <row r="18" spans="1:51" s="44" customFormat="1" ht="11.25" customHeight="1" x14ac:dyDescent="0.2">
      <c r="A18" s="39" t="e">
        <f>IF(B18="","",INDEX(TeamList[],MATCH($B18,TeamList[[Employee Name]:[Employee Name]],0),MATCH("Manager",TeamList[#Headers],0)))</f>
        <v>#N/A</v>
      </c>
      <c r="B18" s="201" t="s">
        <v>369</v>
      </c>
      <c r="C18" s="257" t="str">
        <f>_xlfn.IFNA(VLOOKUP(Fri_W1[[#This Row],[Employee Name]],'Base Schedules'!A:B,2,FALSE),"")</f>
        <v>Supervisor</v>
      </c>
      <c r="D18" s="274">
        <f>_xlfn.IFNA(VLOOKUP(Fri_W1[[#This Row],[Employee Name]],'Base Schedules'!A:C,3,FALSE),"")</f>
        <v>600</v>
      </c>
      <c r="E18" s="274">
        <f>_xlfn.IFNA(VLOOKUP(Fri_W1[[#This Row],[Employee Name]],'Base Schedules'!A:D,4,FALSE),"")</f>
        <v>1500</v>
      </c>
      <c r="F18" s="142">
        <f>IF(Fri_W1[[#This Row],[Employee Name]]="","",IF(Fri_W1[[#This Row],[Dept]]="Supervisor",COUNTIFS($J18:$AX18,"*HL*",$J18:$AX18,"&lt;&gt;"&amp;"pHL"),COUNTIFS($J18:$AX18,"*HL*",$J18:$AX18,"&lt;&gt;"&amp;"*pHL*",$J18:$AX18,"&lt;&gt;"&amp;"pB1 HL",$J18:$AX18,"&lt;&gt;"&amp;"pB2 HL")-SUM(COUNTIFS($J18:$AX18,"*HL B1*",$J18:$AX18,"&lt;&gt;"&amp;"pHL B1")*0.5,COUNTIFS($J18:$AX18,"*HL B2*",$J18:$AX18,"&lt;&gt;"&amp;"pHL B2")*0.5,COUNTIFS($J18:$AX18,"*B1 HL*",$J18:$AX18,"&lt;&gt;"&amp;"pB1 HL")*0.5,COUNTIFS($J18:$AX18,"*B2 HL*",$J18:$AX18,"&lt;&gt;"&amp;"pB2 HL")*0.5)))</f>
        <v>0</v>
      </c>
      <c r="G18" s="142">
        <f t="shared" si="0"/>
        <v>4</v>
      </c>
      <c r="H18" s="142">
        <f t="shared" si="1"/>
        <v>0</v>
      </c>
      <c r="I18" s="142">
        <f>IF(Fri_W1[[#This Row],[Employee Name]]="","",IF(Fri_W1[[#This Row],[Dept]]="Supervisor",SUM(COUNTIFS($J18:$AX18,"RTA*",$J18:$AX18,"&lt;&gt;"&amp;"pRTA"),COUNTIFS($J18:$AX18,"*CRTA*",$J18:$AX18,"&lt;&gt;"&amp;"pCRTA")),COUNTIFS($J18:$AX18,"*RNNR*",$J18:$AX18,"&lt;&gt;"&amp;"*pRNNR*",$J18:$AX18,"&lt;&gt;"&amp;"pB1 RNNR",$J18:$AX18,"&lt;&gt;"&amp;"pB2 RNNR")-SUM(COUNTIFS($J18:$AX18,"*RNNR B1*",$J18:$AX18,"&lt;&gt;"&amp;"pRNNR B1")*0.5,COUNTIFS($J18:$AX18,"*RNNR B2*",$J18:$AX18,"&lt;&gt;"&amp;"pRNNR B2")*0.5,COUNTIFS($J18:$AX18,"*B1 RNNR*",$J18:$AX18,"&lt;&gt;"&amp;"pB1 RNNR")*0.5,COUNTIFS($J18:$AX18,"*B2 RNNR*",$J18:$AX18,"&lt;&gt;"&amp;"pB2 RNNR")*0.5)))</f>
        <v>0</v>
      </c>
      <c r="J18" s="184" t="str">
        <f>IFERROR(IF(VLOOKUP(Fri_W1[[#This Row],[Employee Name]],'Base Schedules'!$A$1:$AW$44,9,FALSE)="","",VLOOKUP(Fri_W1[[#This Row],[Employee Name]],'Base Schedules'!$A$1:$AW$44,9,FALSE)),"")</f>
        <v/>
      </c>
      <c r="K18" s="184" t="str">
        <f>IFERROR(IF(VLOOKUP(Fri_W1[[#This Row],[Employee Name]],'Base Schedules'!$A$1:$AW$44,10,FALSE)="","",VLOOKUP(Fri_W1[[#This Row],[Employee Name]],'Base Schedules'!$A$1:$AW$44,10,FALSE)),"")</f>
        <v/>
      </c>
      <c r="L18" s="184" t="str">
        <f>IFERROR(IF(VLOOKUP(Fri_W1[[#This Row],[Employee Name]],'Base Schedules'!$A$1:$AW$44,11,FALSE)="","",VLOOKUP(Fri_W1[[#This Row],[Employee Name]],'Base Schedules'!$A$1:$AW$44,11,FALSE)),"")</f>
        <v>-</v>
      </c>
      <c r="M18" s="184" t="str">
        <f>IFERROR(IF(VLOOKUP(Fri_W1[[#This Row],[Employee Name]],'Base Schedules'!$A$1:$AW$44,12,FALSE)="","",VLOOKUP(Fri_W1[[#This Row],[Employee Name]],'Base Schedules'!$A$1:$AW$44,12,FALSE)),"")</f>
        <v>-</v>
      </c>
      <c r="N18" s="184" t="str">
        <f>IFERROR(IF(VLOOKUP(Fri_W1[[#This Row],[Employee Name]],'Base Schedules'!$A$1:$AW$44,13,FALSE)="","",VLOOKUP(Fri_W1[[#This Row],[Employee Name]],'Base Schedules'!$A$1:$AW$44,13,FALSE)),"")</f>
        <v>-</v>
      </c>
      <c r="O18" s="184" t="str">
        <f>IFERROR(IF(VLOOKUP(Fri_W1[[#This Row],[Employee Name]],'Base Schedules'!$A$1:$AW$44,14,FALSE)="","",VLOOKUP(Fri_W1[[#This Row],[Employee Name]],'Base Schedules'!$A$1:$AW$44,14,FALSE)),"")</f>
        <v>-</v>
      </c>
      <c r="P18" s="184" t="str">
        <f>IFERROR(IF(VLOOKUP(Fri_W1[[#This Row],[Employee Name]],'Base Schedules'!$A$1:$AW$44,15,FALSE)="","",VLOOKUP(Fri_W1[[#This Row],[Employee Name]],'Base Schedules'!$A$1:$AW$44,15,FALSE)),"")</f>
        <v>-</v>
      </c>
      <c r="Q18" s="184" t="str">
        <f>IFERROR(IF(VLOOKUP(Fri_W1[[#This Row],[Employee Name]],'Base Schedules'!$A$1:$AW$44,16,FALSE)="","",VLOOKUP(Fri_W1[[#This Row],[Employee Name]],'Base Schedules'!$A$1:$AW$44,16,FALSE)),"")</f>
        <v>-</v>
      </c>
      <c r="R18" s="184" t="str">
        <f>IFERROR(IF(VLOOKUP(Fri_W1[[#This Row],[Employee Name]],'Base Schedules'!$A$1:$AW$44,17,FALSE)="","",VLOOKUP(Fri_W1[[#This Row],[Employee Name]],'Base Schedules'!$A$1:$AW$44,17,FALSE)),"")</f>
        <v>Interview</v>
      </c>
      <c r="S18" s="184" t="str">
        <f>IFERROR(IF(VLOOKUP(Fri_W1[[#This Row],[Employee Name]],'Base Schedules'!$A$1:$AW$44,18,FALSE)="","",VLOOKUP(Fri_W1[[#This Row],[Employee Name]],'Base Schedules'!$A$1:$AW$44,18,FALSE)),"")</f>
        <v>Interview</v>
      </c>
      <c r="T18" s="184" t="str">
        <f>IFERROR(IF(VLOOKUP(Fri_W1[[#This Row],[Employee Name]],'Base Schedules'!$A$1:$AW$44,19,FALSE)="","",VLOOKUP(Fri_W1[[#This Row],[Employee Name]],'Base Schedules'!$A$1:$AW$44,19,FALSE)),"")</f>
        <v>-</v>
      </c>
      <c r="U18" s="184" t="str">
        <f>IFERROR(IF(VLOOKUP(Fri_W1[[#This Row],[Employee Name]],'Base Schedules'!$A$1:$AW$44,20,FALSE)="","",VLOOKUP(Fri_W1[[#This Row],[Employee Name]],'Base Schedules'!$A$1:$AW$44,20,FALSE)),"")</f>
        <v>-</v>
      </c>
      <c r="V18" s="184" t="str">
        <f>IFERROR(IF(VLOOKUP(Fri_W1[[#This Row],[Employee Name]],'Base Schedules'!$A$1:$AW$44,21,FALSE)="","",VLOOKUP(Fri_W1[[#This Row],[Employee Name]],'Base Schedules'!$A$1:$AW$44,21,FALSE)),"")</f>
        <v>-</v>
      </c>
      <c r="W18" s="184" t="str">
        <f>IFERROR(IF(VLOOKUP(Fri_W1[[#This Row],[Employee Name]],'Base Schedules'!$A$1:$AW$44,22,FALSE)="","",VLOOKUP(Fri_W1[[#This Row],[Employee Name]],'Base Schedules'!$A$1:$AW$44,22,FALSE)),"")</f>
        <v>-</v>
      </c>
      <c r="X18" s="184" t="str">
        <f>IFERROR(IF(VLOOKUP(Fri_W1[[#This Row],[Employee Name]],'Base Schedules'!$A$1:$AW$44,23,FALSE)="","",VLOOKUP(Fri_W1[[#This Row],[Employee Name]],'Base Schedules'!$A$1:$AW$44,23,FALSE)),"")</f>
        <v>Coaching</v>
      </c>
      <c r="Y18" s="184" t="str">
        <f>IFERROR(IF(VLOOKUP(Fri_W1[[#This Row],[Employee Name]],'Base Schedules'!$A$1:$AW$44,24,FALSE)="","",VLOOKUP(Fri_W1[[#This Row],[Employee Name]],'Base Schedules'!$A$1:$AW$44,24,FALSE)),"")</f>
        <v>Coaching</v>
      </c>
      <c r="Z18" s="184" t="str">
        <f>IFERROR(IF(VLOOKUP(Fri_W1[[#This Row],[Employee Name]],'Base Schedules'!$A$1:$AW$44,25,FALSE)="","",VLOOKUP(Fri_W1[[#This Row],[Employee Name]],'Base Schedules'!$A$1:$AW$44,25,FALSE)),"")</f>
        <v>Coaching</v>
      </c>
      <c r="AA18" s="184" t="str">
        <f>IFERROR(IF(VLOOKUP(Fri_W1[[#This Row],[Employee Name]],'Base Schedules'!$A$1:$AW$44,26,FALSE)="","",VLOOKUP(Fri_W1[[#This Row],[Employee Name]],'Base Schedules'!$A$1:$AW$44,26,FALSE)),"")</f>
        <v>Coaching</v>
      </c>
      <c r="AB18" s="184" t="str">
        <f>IFERROR(IF(VLOOKUP(Fri_W1[[#This Row],[Employee Name]],'Base Schedules'!$A$1:$AW$44,27,FALSE)="","",VLOOKUP(Fri_W1[[#This Row],[Employee Name]],'Base Schedules'!$A$1:$AW$44,27,FALSE)),"")</f>
        <v>-</v>
      </c>
      <c r="AC18" s="184" t="str">
        <f>IFERROR(IF(VLOOKUP(Fri_W1[[#This Row],[Employee Name]],'Base Schedules'!$A$1:$AW$44,28,FALSE)="","",VLOOKUP(Fri_W1[[#This Row],[Employee Name]],'Base Schedules'!$A$1:$AW$44,28,FALSE)),"")</f>
        <v>-</v>
      </c>
      <c r="AD18" s="184" t="str">
        <f>IFERROR(IF(VLOOKUP(Fri_W1[[#This Row],[Employee Name]],'Base Schedules'!$A$1:$AW$44,29,FALSE)="","",VLOOKUP(Fri_W1[[#This Row],[Employee Name]],'Base Schedules'!$A$1:$AW$44,29,FALSE)),"")</f>
        <v/>
      </c>
      <c r="AE18" s="184" t="str">
        <f>IFERROR(IF(VLOOKUP(Fri_W1[[#This Row],[Employee Name]],'Base Schedules'!$A$1:$AW$44,30,FALSE)="","",VLOOKUP(Fri_W1[[#This Row],[Employee Name]],'Base Schedules'!$A$1:$AW$44,30,FALSE)),"")</f>
        <v/>
      </c>
      <c r="AF18" s="184" t="str">
        <f>IFERROR(IF(VLOOKUP(Fri_W1[[#This Row],[Employee Name]],'Base Schedules'!$A$1:$AW$44,31,FALSE)="","",VLOOKUP(Fri_W1[[#This Row],[Employee Name]],'Base Schedules'!$A$1:$AW$44,31,FALSE)),"")</f>
        <v/>
      </c>
      <c r="AG18" s="184" t="str">
        <f>IFERROR(IF(VLOOKUP(Fri_W1[[#This Row],[Employee Name]],'Base Schedules'!$A$1:$AW$44,32,FALSE)="","",VLOOKUP(Fri_W1[[#This Row],[Employee Name]],'Base Schedules'!$A$1:$AW$44,32,FALSE)),"")</f>
        <v/>
      </c>
      <c r="AH18" s="184" t="str">
        <f>IFERROR(IF(VLOOKUP(Fri_W1[[#This Row],[Employee Name]],'Base Schedules'!$A$1:$AW$44,33,FALSE)="","",VLOOKUP(Fri_W1[[#This Row],[Employee Name]],'Base Schedules'!$A$1:$AW$44,33,FALSE)),"")</f>
        <v/>
      </c>
      <c r="AI18" s="184" t="str">
        <f>IFERROR(IF(VLOOKUP(Fri_W1[[#This Row],[Employee Name]],'Base Schedules'!$A$1:$AW$44,34,FALSE)="","",VLOOKUP(Fri_W1[[#This Row],[Employee Name]],'Base Schedules'!$A$1:$AW$44,34,FALSE)),"")</f>
        <v/>
      </c>
      <c r="AJ18" s="184" t="str">
        <f>IFERROR(IF(VLOOKUP(Fri_W1[[#This Row],[Employee Name]],'Base Schedules'!$A$1:$AW$44,35,FALSE)="","",VLOOKUP(Fri_W1[[#This Row],[Employee Name]],'Base Schedules'!$A$1:$AW$44,35,FALSE)),"")</f>
        <v/>
      </c>
      <c r="AK18" s="184" t="str">
        <f>IFERROR(IF(VLOOKUP(Fri_W1[[#This Row],[Employee Name]],'Base Schedules'!$A$1:$AW$44,36,FALSE)="","",VLOOKUP(Fri_W1[[#This Row],[Employee Name]],'Base Schedules'!$A$1:$AW$44,36,FALSE)),"")</f>
        <v/>
      </c>
      <c r="AL18" s="184" t="str">
        <f>IFERROR(IF(VLOOKUP(Fri_W1[[#This Row],[Employee Name]],'Base Schedules'!$A$1:$AW$44,37,FALSE)="","",VLOOKUP(Fri_W1[[#This Row],[Employee Name]],'Base Schedules'!$A$1:$AW$44,37,FALSE)),"")</f>
        <v/>
      </c>
      <c r="AM18" s="184" t="str">
        <f>IFERROR(IF(VLOOKUP(Fri_W1[[#This Row],[Employee Name]],'Base Schedules'!$A$1:$AW$44,38,FALSE)="","",VLOOKUP(Fri_W1[[#This Row],[Employee Name]],'Base Schedules'!$A$1:$AW$44,38,FALSE)),"")</f>
        <v/>
      </c>
      <c r="AN18" s="184" t="str">
        <f>IFERROR(IF(VLOOKUP(Fri_W1[[#This Row],[Employee Name]],'Base Schedules'!$A$1:$AW$44,39,FALSE)="","",VLOOKUP(Fri_W1[[#This Row],[Employee Name]],'Base Schedules'!$A$1:$AW$44,39,FALSE)),"")</f>
        <v/>
      </c>
      <c r="AO18" s="184" t="str">
        <f>IFERROR(IF(VLOOKUP(Fri_W1[[#This Row],[Employee Name]],'Base Schedules'!$A$1:$AW$44,40,FALSE)="","",VLOOKUP(Fri_W1[[#This Row],[Employee Name]],'Base Schedules'!$A$1:$AW$44,40,FALSE)),"")</f>
        <v/>
      </c>
      <c r="AP18" s="184" t="str">
        <f>IFERROR(IF(VLOOKUP(Fri_W1[[#This Row],[Employee Name]],'Base Schedules'!$A$1:$AW$44,41,FALSE)="","",VLOOKUP(Fri_W1[[#This Row],[Employee Name]],'Base Schedules'!$A$1:$AW$44,41,FALSE)),"")</f>
        <v/>
      </c>
      <c r="AQ18" s="184" t="str">
        <f>IFERROR(IF(VLOOKUP(Fri_W1[[#This Row],[Employee Name]],'Base Schedules'!$A$1:$AW$44,42,FALSE)="","",VLOOKUP(Fri_W1[[#This Row],[Employee Name]],'Base Schedules'!$A$1:$AW$44,42,FALSE)),"")</f>
        <v/>
      </c>
      <c r="AR18" s="184" t="str">
        <f>IFERROR(IF(VLOOKUP(Fri_W1[[#This Row],[Employee Name]],'Base Schedules'!$A$1:$AW$44,43,FALSE)="","",VLOOKUP(Fri_W1[[#This Row],[Employee Name]],'Base Schedules'!$A$1:$AW$44,43,FALSE)),"")</f>
        <v/>
      </c>
      <c r="AS18" s="184" t="str">
        <f>IFERROR(IF(VLOOKUP(Fri_W1[[#This Row],[Employee Name]],'Base Schedules'!$A$1:$AW$44,44,FALSE)="","",VLOOKUP(Fri_W1[[#This Row],[Employee Name]],'Base Schedules'!$A$1:$AW$44,44,FALSE)),"")</f>
        <v/>
      </c>
      <c r="AT18" s="184" t="str">
        <f>IFERROR(IF(VLOOKUP(Fri_W1[[#This Row],[Employee Name]],'Base Schedules'!$A$1:$AW$44,45,FALSE)="","",VLOOKUP(Fri_W1[[#This Row],[Employee Name]],'Base Schedules'!$A$1:$AW$44,45,FALSE)),"")</f>
        <v/>
      </c>
      <c r="AU18" s="184" t="str">
        <f>IFERROR(IF(VLOOKUP(Fri_W1[[#This Row],[Employee Name]],'Base Schedules'!$A$1:$AW$44,46,FALSE)="","",VLOOKUP(Fri_W1[[#This Row],[Employee Name]],'Base Schedules'!$A$1:$AW$44,46,FALSE)),"")</f>
        <v/>
      </c>
      <c r="AV18" s="184" t="str">
        <f>IFERROR(IF(VLOOKUP(Fri_W1[[#This Row],[Employee Name]],'Base Schedules'!$A$1:$AW$44,47,FALSE)="","",VLOOKUP(Fri_W1[[#This Row],[Employee Name]],'Base Schedules'!$A$1:$AW$44,47,FALSE)),"")</f>
        <v/>
      </c>
      <c r="AW18" s="184" t="str">
        <f>IFERROR(IF(VLOOKUP(Fri_W1[[#This Row],[Employee Name]],'Base Schedules'!$A$1:$AW$44,48,FALSE)="","",VLOOKUP(Fri_W1[[#This Row],[Employee Name]],'Base Schedules'!$A$1:$AW$44,48,FALSE)),"")</f>
        <v/>
      </c>
      <c r="AX18" s="184" t="str">
        <f>IFERROR(IF(VLOOKUP(Fri_W1[[#This Row],[Employee Name]],'Base Schedules'!$A$1:$AW$44,49,FALSE)="","",VLOOKUP(Fri_W1[[#This Row],[Employee Name]],'Base Schedules'!$A$1:$AW$44,49,FALSE)),"")</f>
        <v/>
      </c>
      <c r="AY18" s="245" t="str">
        <f t="shared" si="2"/>
        <v>Madamba, Rocky</v>
      </c>
    </row>
    <row r="19" spans="1:51" s="44" customFormat="1" ht="11.25" customHeight="1" x14ac:dyDescent="0.2">
      <c r="A19" s="39" t="str">
        <f>IF(B19="","",INDEX(TeamList[],MATCH($B19,TeamList[[Employee Name]:[Employee Name]],0),MATCH("Manager",TeamList[#Headers],0)))</f>
        <v>Olson, Katherine</v>
      </c>
      <c r="B19" s="201" t="s">
        <v>34</v>
      </c>
      <c r="C19" s="257" t="str">
        <f>_xlfn.IFNA(VLOOKUP(Fri_W1[[#This Row],[Employee Name]],'Base Schedules'!A:B,2,FALSE),"")</f>
        <v>Lead</v>
      </c>
      <c r="D19" s="274">
        <f>_xlfn.IFNA(VLOOKUP(Fri_W1[[#This Row],[Employee Name]],'Base Schedules'!A:C,3,FALSE),"")</f>
        <v>630</v>
      </c>
      <c r="E19" s="274">
        <f>_xlfn.IFNA(VLOOKUP(Fri_W1[[#This Row],[Employee Name]],'Base Schedules'!A:D,4,FALSE),"")</f>
        <v>1500</v>
      </c>
      <c r="F19" s="142">
        <f>IF(Fri_W1[[#This Row],[Employee Name]]="","",IF(Fri_W1[[#This Row],[Dept]]="Supervisor",COUNTIFS($J19:$AX19,"*HL*",$J19:$AX19,"&lt;&gt;"&amp;"pHL"),COUNTIFS($J19:$AX19,"*HL*",$J19:$AX19,"&lt;&gt;"&amp;"*pHL*",$J19:$AX19,"&lt;&gt;"&amp;"pB1 HL",$J19:$AX19,"&lt;&gt;"&amp;"pB2 HL")-SUM(COUNTIFS($J19:$AX19,"*HL B1*",$J19:$AX19,"&lt;&gt;"&amp;"pHL B1")*0.5,COUNTIFS($J19:$AX19,"*HL B2*",$J19:$AX19,"&lt;&gt;"&amp;"pHL B2")*0.5,COUNTIFS($J19:$AX19,"*B1 HL*",$J19:$AX19,"&lt;&gt;"&amp;"pB1 HL")*0.5,COUNTIFS($J19:$AX19,"*B2 HL*",$J19:$AX19,"&lt;&gt;"&amp;"pB2 HL")*0.5)))</f>
        <v>4.5</v>
      </c>
      <c r="G19" s="142">
        <f t="shared" si="0"/>
        <v>0</v>
      </c>
      <c r="H19" s="142">
        <f t="shared" si="1"/>
        <v>7</v>
      </c>
      <c r="I19" s="142">
        <f>IF(Fri_W1[[#This Row],[Employee Name]]="","",IF(Fri_W1[[#This Row],[Dept]]="Supervisor",SUM(COUNTIFS($J19:$AX19,"RTA*",$J19:$AX19,"&lt;&gt;"&amp;"pRTA"),COUNTIFS($J19:$AX19,"*CRTA*",$J19:$AX19,"&lt;&gt;"&amp;"pCRTA")),COUNTIFS($J19:$AX19,"*RNNR*",$J19:$AX19,"&lt;&gt;"&amp;"*pRNNR*",$J19:$AX19,"&lt;&gt;"&amp;"pB1 RNNR",$J19:$AX19,"&lt;&gt;"&amp;"pB2 RNNR")-SUM(COUNTIFS($J19:$AX19,"*RNNR B1*",$J19:$AX19,"&lt;&gt;"&amp;"pRNNR B1")*0.5,COUNTIFS($J19:$AX19,"*RNNR B2*",$J19:$AX19,"&lt;&gt;"&amp;"pRNNR B2")*0.5,COUNTIFS($J19:$AX19,"*B1 RNNR*",$J19:$AX19,"&lt;&gt;"&amp;"pB1 RNNR")*0.5,COUNTIFS($J19:$AX19,"*B2 RNNR*",$J19:$AX19,"&lt;&gt;"&amp;"pB2 RNNR")*0.5)))</f>
        <v>2</v>
      </c>
      <c r="J19" s="184" t="str">
        <f>IFERROR(IF(VLOOKUP(Fri_W1[[#This Row],[Employee Name]],'Base Schedules'!$A$1:$AW$44,9,FALSE)="","",VLOOKUP(Fri_W1[[#This Row],[Employee Name]],'Base Schedules'!$A$1:$AW$44,9,FALSE)),"")</f>
        <v/>
      </c>
      <c r="K19" s="184" t="str">
        <f>IFERROR(IF(VLOOKUP(Fri_W1[[#This Row],[Employee Name]],'Base Schedules'!$A$1:$AW$44,10,FALSE)="","",VLOOKUP(Fri_W1[[#This Row],[Employee Name]],'Base Schedules'!$A$1:$AW$44,10,FALSE)),"")</f>
        <v/>
      </c>
      <c r="L19" s="184" t="str">
        <f>IFERROR(IF(VLOOKUP(Fri_W1[[#This Row],[Employee Name]],'Base Schedules'!$A$1:$AW$44,11,FALSE)="","",VLOOKUP(Fri_W1[[#This Row],[Employee Name]],'Base Schedules'!$A$1:$AW$44,11,FALSE)),"")</f>
        <v/>
      </c>
      <c r="M19" s="184" t="str">
        <f>IFERROR(IF(VLOOKUP(Fri_W1[[#This Row],[Employee Name]],'Base Schedules'!$A$1:$AW$44,12,FALSE)="","",VLOOKUP(Fri_W1[[#This Row],[Employee Name]],'Base Schedules'!$A$1:$AW$44,12,FALSE)),"")</f>
        <v>HL</v>
      </c>
      <c r="N19" s="184" t="str">
        <f>IFERROR(IF(VLOOKUP(Fri_W1[[#This Row],[Employee Name]],'Base Schedules'!$A$1:$AW$44,13,FALSE)="","",VLOOKUP(Fri_W1[[#This Row],[Employee Name]],'Base Schedules'!$A$1:$AW$44,13,FALSE)),"")</f>
        <v>HL</v>
      </c>
      <c r="O19" s="184" t="str">
        <f>IFERROR(IF(VLOOKUP(Fri_W1[[#This Row],[Employee Name]],'Base Schedules'!$A$1:$AW$44,14,FALSE)="","",VLOOKUP(Fri_W1[[#This Row],[Employee Name]],'Base Schedules'!$A$1:$AW$44,14,FALSE)),"")</f>
        <v>HL</v>
      </c>
      <c r="P19" s="184" t="str">
        <f>IFERROR(IF(VLOOKUP(Fri_W1[[#This Row],[Employee Name]],'Base Schedules'!$A$1:$AW$44,15,FALSE)="","",VLOOKUP(Fri_W1[[#This Row],[Employee Name]],'Base Schedules'!$A$1:$AW$44,15,FALSE)),"")</f>
        <v>HL</v>
      </c>
      <c r="Q19" s="184" t="str">
        <f>IFERROR(IF(VLOOKUP(Fri_W1[[#This Row],[Employee Name]],'Base Schedules'!$A$1:$AW$44,16,FALSE)="","",VLOOKUP(Fri_W1[[#This Row],[Employee Name]],'Base Schedules'!$A$1:$AW$44,16,FALSE)),"")</f>
        <v>HL B1</v>
      </c>
      <c r="R19" s="184" t="str">
        <f>IFERROR(IF(VLOOKUP(Fri_W1[[#This Row],[Employee Name]],'Base Schedules'!$A$1:$AW$44,17,FALSE)="","",VLOOKUP(Fri_W1[[#This Row],[Employee Name]],'Base Schedules'!$A$1:$AW$44,17,FALSE)),"")</f>
        <v>RNNR</v>
      </c>
      <c r="S19" s="184" t="str">
        <f>IFERROR(IF(VLOOKUP(Fri_W1[[#This Row],[Employee Name]],'Base Schedules'!$A$1:$AW$44,18,FALSE)="","",VLOOKUP(Fri_W1[[#This Row],[Employee Name]],'Base Schedules'!$A$1:$AW$44,18,FALSE)),"")</f>
        <v>RNNR</v>
      </c>
      <c r="T19" s="184" t="str">
        <f>IFERROR(IF(VLOOKUP(Fri_W1[[#This Row],[Employee Name]],'Base Schedules'!$A$1:$AW$44,19,FALSE)="","",VLOOKUP(Fri_W1[[#This Row],[Employee Name]],'Base Schedules'!$A$1:$AW$44,19,FALSE)),"")</f>
        <v>ADM</v>
      </c>
      <c r="U19" s="184" t="str">
        <f>IFERROR(IF(VLOOKUP(Fri_W1[[#This Row],[Employee Name]],'Base Schedules'!$A$1:$AW$44,20,FALSE)="","",VLOOKUP(Fri_W1[[#This Row],[Employee Name]],'Base Schedules'!$A$1:$AW$44,20,FALSE)),"")</f>
        <v>ADM</v>
      </c>
      <c r="V19" s="184" t="str">
        <f>IFERROR(IF(VLOOKUP(Fri_W1[[#This Row],[Employee Name]],'Base Schedules'!$A$1:$AW$44,21,FALSE)="","",VLOOKUP(Fri_W1[[#This Row],[Employee Name]],'Base Schedules'!$A$1:$AW$44,21,FALSE)),"")</f>
        <v>LUNCH</v>
      </c>
      <c r="W19" s="184" t="str">
        <f>IFERROR(IF(VLOOKUP(Fri_W1[[#This Row],[Employee Name]],'Base Schedules'!$A$1:$AW$44,22,FALSE)="","",VLOOKUP(Fri_W1[[#This Row],[Employee Name]],'Base Schedules'!$A$1:$AW$44,22,FALSE)),"")</f>
        <v>ADM</v>
      </c>
      <c r="X19" s="184" t="str">
        <f>IFERROR(IF(VLOOKUP(Fri_W1[[#This Row],[Employee Name]],'Base Schedules'!$A$1:$AW$44,23,FALSE)="","",VLOOKUP(Fri_W1[[#This Row],[Employee Name]],'Base Schedules'!$A$1:$AW$44,23,FALSE)),"")</f>
        <v>ADM</v>
      </c>
      <c r="Y19" s="184" t="str">
        <f>IFERROR(IF(VLOOKUP(Fri_W1[[#This Row],[Employee Name]],'Base Schedules'!$A$1:$AW$44,24,FALSE)="","",VLOOKUP(Fri_W1[[#This Row],[Employee Name]],'Base Schedules'!$A$1:$AW$44,24,FALSE)),"")</f>
        <v>ADM</v>
      </c>
      <c r="Z19" s="184" t="str">
        <f>IFERROR(IF(VLOOKUP(Fri_W1[[#This Row],[Employee Name]],'Base Schedules'!$A$1:$AW$44,25,FALSE)="","",VLOOKUP(Fri_W1[[#This Row],[Employee Name]],'Base Schedules'!$A$1:$AW$44,25,FALSE)),"")</f>
        <v>ADM B2</v>
      </c>
      <c r="AA19" s="184" t="str">
        <f>IFERROR(IF(VLOOKUP(Fri_W1[[#This Row],[Employee Name]],'Base Schedules'!$A$1:$AW$44,26,FALSE)="","",VLOOKUP(Fri_W1[[#This Row],[Employee Name]],'Base Schedules'!$A$1:$AW$44,26,FALSE)),"")</f>
        <v>PROJECT</v>
      </c>
      <c r="AB19" s="184" t="str">
        <f>IFERROR(IF(VLOOKUP(Fri_W1[[#This Row],[Employee Name]],'Base Schedules'!$A$1:$AW$44,27,FALSE)="","",VLOOKUP(Fri_W1[[#This Row],[Employee Name]],'Base Schedules'!$A$1:$AW$44,27,FALSE)),"")</f>
        <v>PROJECT</v>
      </c>
      <c r="AC19" s="184" t="str">
        <f>IFERROR(IF(VLOOKUP(Fri_W1[[#This Row],[Employee Name]],'Base Schedules'!$A$1:$AW$44,28,FALSE)="","",VLOOKUP(Fri_W1[[#This Row],[Employee Name]],'Base Schedules'!$A$1:$AW$44,28,FALSE)),"")</f>
        <v>ADM</v>
      </c>
      <c r="AD19" s="184" t="str">
        <f>IFERROR(IF(VLOOKUP(Fri_W1[[#This Row],[Employee Name]],'Base Schedules'!$A$1:$AW$44,29,FALSE)="","",VLOOKUP(Fri_W1[[#This Row],[Employee Name]],'Base Schedules'!$A$1:$AW$44,29,FALSE)),"")</f>
        <v/>
      </c>
      <c r="AE19" s="184" t="str">
        <f>IFERROR(IF(VLOOKUP(Fri_W1[[#This Row],[Employee Name]],'Base Schedules'!$A$1:$AW$44,30,FALSE)="","",VLOOKUP(Fri_W1[[#This Row],[Employee Name]],'Base Schedules'!$A$1:$AW$44,30,FALSE)),"")</f>
        <v/>
      </c>
      <c r="AF19" s="184" t="str">
        <f>IFERROR(IF(VLOOKUP(Fri_W1[[#This Row],[Employee Name]],'Base Schedules'!$A$1:$AW$44,31,FALSE)="","",VLOOKUP(Fri_W1[[#This Row],[Employee Name]],'Base Schedules'!$A$1:$AW$44,31,FALSE)),"")</f>
        <v/>
      </c>
      <c r="AG19" s="184" t="str">
        <f>IFERROR(IF(VLOOKUP(Fri_W1[[#This Row],[Employee Name]],'Base Schedules'!$A$1:$AW$44,32,FALSE)="","",VLOOKUP(Fri_W1[[#This Row],[Employee Name]],'Base Schedules'!$A$1:$AW$44,32,FALSE)),"")</f>
        <v/>
      </c>
      <c r="AH19" s="184" t="str">
        <f>IFERROR(IF(VLOOKUP(Fri_W1[[#This Row],[Employee Name]],'Base Schedules'!$A$1:$AW$44,33,FALSE)="","",VLOOKUP(Fri_W1[[#This Row],[Employee Name]],'Base Schedules'!$A$1:$AW$44,33,FALSE)),"")</f>
        <v/>
      </c>
      <c r="AI19" s="184" t="str">
        <f>IFERROR(IF(VLOOKUP(Fri_W1[[#This Row],[Employee Name]],'Base Schedules'!$A$1:$AW$44,34,FALSE)="","",VLOOKUP(Fri_W1[[#This Row],[Employee Name]],'Base Schedules'!$A$1:$AW$44,34,FALSE)),"")</f>
        <v/>
      </c>
      <c r="AJ19" s="184" t="str">
        <f>IFERROR(IF(VLOOKUP(Fri_W1[[#This Row],[Employee Name]],'Base Schedules'!$A$1:$AW$44,35,FALSE)="","",VLOOKUP(Fri_W1[[#This Row],[Employee Name]],'Base Schedules'!$A$1:$AW$44,35,FALSE)),"")</f>
        <v/>
      </c>
      <c r="AK19" s="184" t="str">
        <f>IFERROR(IF(VLOOKUP(Fri_W1[[#This Row],[Employee Name]],'Base Schedules'!$A$1:$AW$44,36,FALSE)="","",VLOOKUP(Fri_W1[[#This Row],[Employee Name]],'Base Schedules'!$A$1:$AW$44,36,FALSE)),"")</f>
        <v/>
      </c>
      <c r="AL19" s="184" t="str">
        <f>IFERROR(IF(VLOOKUP(Fri_W1[[#This Row],[Employee Name]],'Base Schedules'!$A$1:$AW$44,37,FALSE)="","",VLOOKUP(Fri_W1[[#This Row],[Employee Name]],'Base Schedules'!$A$1:$AW$44,37,FALSE)),"")</f>
        <v/>
      </c>
      <c r="AM19" s="184" t="str">
        <f>IFERROR(IF(VLOOKUP(Fri_W1[[#This Row],[Employee Name]],'Base Schedules'!$A$1:$AW$44,38,FALSE)="","",VLOOKUP(Fri_W1[[#This Row],[Employee Name]],'Base Schedules'!$A$1:$AW$44,38,FALSE)),"")</f>
        <v/>
      </c>
      <c r="AN19" s="184" t="str">
        <f>IFERROR(IF(VLOOKUP(Fri_W1[[#This Row],[Employee Name]],'Base Schedules'!$A$1:$AW$44,39,FALSE)="","",VLOOKUP(Fri_W1[[#This Row],[Employee Name]],'Base Schedules'!$A$1:$AW$44,39,FALSE)),"")</f>
        <v/>
      </c>
      <c r="AO19" s="184" t="str">
        <f>IFERROR(IF(VLOOKUP(Fri_W1[[#This Row],[Employee Name]],'Base Schedules'!$A$1:$AW$44,40,FALSE)="","",VLOOKUP(Fri_W1[[#This Row],[Employee Name]],'Base Schedules'!$A$1:$AW$44,40,FALSE)),"")</f>
        <v/>
      </c>
      <c r="AP19" s="184" t="str">
        <f>IFERROR(IF(VLOOKUP(Fri_W1[[#This Row],[Employee Name]],'Base Schedules'!$A$1:$AW$44,41,FALSE)="","",VLOOKUP(Fri_W1[[#This Row],[Employee Name]],'Base Schedules'!$A$1:$AW$44,41,FALSE)),"")</f>
        <v/>
      </c>
      <c r="AQ19" s="184" t="str">
        <f>IFERROR(IF(VLOOKUP(Fri_W1[[#This Row],[Employee Name]],'Base Schedules'!$A$1:$AW$44,42,FALSE)="","",VLOOKUP(Fri_W1[[#This Row],[Employee Name]],'Base Schedules'!$A$1:$AW$44,42,FALSE)),"")</f>
        <v/>
      </c>
      <c r="AR19" s="184" t="str">
        <f>IFERROR(IF(VLOOKUP(Fri_W1[[#This Row],[Employee Name]],'Base Schedules'!$A$1:$AW$44,43,FALSE)="","",VLOOKUP(Fri_W1[[#This Row],[Employee Name]],'Base Schedules'!$A$1:$AW$44,43,FALSE)),"")</f>
        <v/>
      </c>
      <c r="AS19" s="184" t="str">
        <f>IFERROR(IF(VLOOKUP(Fri_W1[[#This Row],[Employee Name]],'Base Schedules'!$A$1:$AW$44,44,FALSE)="","",VLOOKUP(Fri_W1[[#This Row],[Employee Name]],'Base Schedules'!$A$1:$AW$44,44,FALSE)),"")</f>
        <v/>
      </c>
      <c r="AT19" s="184" t="str">
        <f>IFERROR(IF(VLOOKUP(Fri_W1[[#This Row],[Employee Name]],'Base Schedules'!$A$1:$AW$44,45,FALSE)="","",VLOOKUP(Fri_W1[[#This Row],[Employee Name]],'Base Schedules'!$A$1:$AW$44,45,FALSE)),"")</f>
        <v/>
      </c>
      <c r="AU19" s="184" t="str">
        <f>IFERROR(IF(VLOOKUP(Fri_W1[[#This Row],[Employee Name]],'Base Schedules'!$A$1:$AW$44,46,FALSE)="","",VLOOKUP(Fri_W1[[#This Row],[Employee Name]],'Base Schedules'!$A$1:$AW$44,46,FALSE)),"")</f>
        <v/>
      </c>
      <c r="AV19" s="184" t="str">
        <f>IFERROR(IF(VLOOKUP(Fri_W1[[#This Row],[Employee Name]],'Base Schedules'!$A$1:$AW$44,47,FALSE)="","",VLOOKUP(Fri_W1[[#This Row],[Employee Name]],'Base Schedules'!$A$1:$AW$44,47,FALSE)),"")</f>
        <v/>
      </c>
      <c r="AW19" s="184" t="str">
        <f>IFERROR(IF(VLOOKUP(Fri_W1[[#This Row],[Employee Name]],'Base Schedules'!$A$1:$AW$44,48,FALSE)="","",VLOOKUP(Fri_W1[[#This Row],[Employee Name]],'Base Schedules'!$A$1:$AW$44,48,FALSE)),"")</f>
        <v/>
      </c>
      <c r="AX19" s="184" t="str">
        <f>IFERROR(IF(VLOOKUP(Fri_W1[[#This Row],[Employee Name]],'Base Schedules'!$A$1:$AW$44,49,FALSE)="","",VLOOKUP(Fri_W1[[#This Row],[Employee Name]],'Base Schedules'!$A$1:$AW$44,49,FALSE)),"")</f>
        <v/>
      </c>
      <c r="AY19" s="245" t="str">
        <f t="shared" si="2"/>
        <v>Greene, Alicia</v>
      </c>
    </row>
    <row r="20" spans="1:51" s="44" customFormat="1" ht="11.25" customHeight="1" x14ac:dyDescent="0.2">
      <c r="A20" s="39" t="str">
        <f>IF(B20="","",INDEX(TeamList[],MATCH($B20,TeamList[[Employee Name]:[Employee Name]],0),MATCH("Manager",TeamList[#Headers],0)))</f>
        <v>Paulson, Matthew</v>
      </c>
      <c r="B20" s="201" t="s">
        <v>39</v>
      </c>
      <c r="C20" s="257" t="str">
        <f>_xlfn.IFNA(VLOOKUP(Fri_W1[[#This Row],[Employee Name]],'Base Schedules'!A:B,2,FALSE),"")</f>
        <v>Supervisor</v>
      </c>
      <c r="D20" s="274">
        <f>_xlfn.IFNA(VLOOKUP(Fri_W1[[#This Row],[Employee Name]],'Base Schedules'!A:C,3,FALSE),"")</f>
        <v>630</v>
      </c>
      <c r="E20" s="274">
        <f>_xlfn.IFNA(VLOOKUP(Fri_W1[[#This Row],[Employee Name]],'Base Schedules'!A:D,4,FALSE),"")</f>
        <v>1530</v>
      </c>
      <c r="F20" s="142">
        <f>IF(Fri_W1[[#This Row],[Employee Name]]="","",IF(Fri_W1[[#This Row],[Dept]]="Supervisor",COUNTIFS($J20:$AX20,"*HL*",$J20:$AX20,"&lt;&gt;"&amp;"pHL"),COUNTIFS($J20:$AX20,"*HL*",$J20:$AX20,"&lt;&gt;"&amp;"*pHL*",$J20:$AX20,"&lt;&gt;"&amp;"pB1 HL",$J20:$AX20,"&lt;&gt;"&amp;"pB2 HL")-SUM(COUNTIFS($J20:$AX20,"*HL B1*",$J20:$AX20,"&lt;&gt;"&amp;"pHL B1")*0.5,COUNTIFS($J20:$AX20,"*HL B2*",$J20:$AX20,"&lt;&gt;"&amp;"pHL B2")*0.5,COUNTIFS($J20:$AX20,"*B1 HL*",$J20:$AX20,"&lt;&gt;"&amp;"pB1 HL")*0.5,COUNTIFS($J20:$AX20,"*B2 HL*",$J20:$AX20,"&lt;&gt;"&amp;"pB2 HL")*0.5)))</f>
        <v>0</v>
      </c>
      <c r="G20" s="142">
        <f t="shared" si="0"/>
        <v>3</v>
      </c>
      <c r="H20" s="142">
        <f t="shared" si="1"/>
        <v>0</v>
      </c>
      <c r="I20" s="142">
        <f>IF(Fri_W1[[#This Row],[Employee Name]]="","",IF(Fri_W1[[#This Row],[Dept]]="Supervisor",SUM(COUNTIFS($J20:$AX20,"RTA*",$J20:$AX20,"&lt;&gt;"&amp;"pRTA"),COUNTIFS($J20:$AX20,"*CRTA*",$J20:$AX20,"&lt;&gt;"&amp;"pCRTA")),COUNTIFS($J20:$AX20,"*RNNR*",$J20:$AX20,"&lt;&gt;"&amp;"*pRNNR*",$J20:$AX20,"&lt;&gt;"&amp;"pB1 RNNR",$J20:$AX20,"&lt;&gt;"&amp;"pB2 RNNR")-SUM(COUNTIFS($J20:$AX20,"*RNNR B1*",$J20:$AX20,"&lt;&gt;"&amp;"pRNNR B1")*0.5,COUNTIFS($J20:$AX20,"*RNNR B2*",$J20:$AX20,"&lt;&gt;"&amp;"pRNNR B2")*0.5,COUNTIFS($J20:$AX20,"*B1 RNNR*",$J20:$AX20,"&lt;&gt;"&amp;"pB1 RNNR")*0.5,COUNTIFS($J20:$AX20,"*B2 RNNR*",$J20:$AX20,"&lt;&gt;"&amp;"pB2 RNNR")*0.5)))</f>
        <v>0</v>
      </c>
      <c r="J20" s="184" t="str">
        <f>IFERROR(IF(VLOOKUP(Fri_W1[[#This Row],[Employee Name]],'Base Schedules'!$A$1:$AW$44,9,FALSE)="","",VLOOKUP(Fri_W1[[#This Row],[Employee Name]],'Base Schedules'!$A$1:$AW$44,9,FALSE)),"")</f>
        <v/>
      </c>
      <c r="K20" s="184" t="str">
        <f>IFERROR(IF(VLOOKUP(Fri_W1[[#This Row],[Employee Name]],'Base Schedules'!$A$1:$AW$44,10,FALSE)="","",VLOOKUP(Fri_W1[[#This Row],[Employee Name]],'Base Schedules'!$A$1:$AW$44,10,FALSE)),"")</f>
        <v/>
      </c>
      <c r="L20" s="184" t="str">
        <f>IFERROR(IF(VLOOKUP(Fri_W1[[#This Row],[Employee Name]],'Base Schedules'!$A$1:$AW$44,11,FALSE)="","",VLOOKUP(Fri_W1[[#This Row],[Employee Name]],'Base Schedules'!$A$1:$AW$44,11,FALSE)),"")</f>
        <v/>
      </c>
      <c r="M20" s="184" t="str">
        <f>IFERROR(IF(VLOOKUP(Fri_W1[[#This Row],[Employee Name]],'Base Schedules'!$A$1:$AW$44,12,FALSE)="","",VLOOKUP(Fri_W1[[#This Row],[Employee Name]],'Base Schedules'!$A$1:$AW$44,12,FALSE)),"")</f>
        <v>-</v>
      </c>
      <c r="N20" s="184" t="str">
        <f>IFERROR(IF(VLOOKUP(Fri_W1[[#This Row],[Employee Name]],'Base Schedules'!$A$1:$AW$44,13,FALSE)="","",VLOOKUP(Fri_W1[[#This Row],[Employee Name]],'Base Schedules'!$A$1:$AW$44,13,FALSE)),"")</f>
        <v>-</v>
      </c>
      <c r="O20" s="184" t="str">
        <f>IFERROR(IF(VLOOKUP(Fri_W1[[#This Row],[Employee Name]],'Base Schedules'!$A$1:$AW$44,14,FALSE)="","",VLOOKUP(Fri_W1[[#This Row],[Employee Name]],'Base Schedules'!$A$1:$AW$44,14,FALSE)),"")</f>
        <v>-</v>
      </c>
      <c r="P20" s="184" t="str">
        <f>IFERROR(IF(VLOOKUP(Fri_W1[[#This Row],[Employee Name]],'Base Schedules'!$A$1:$AW$44,15,FALSE)="","",VLOOKUP(Fri_W1[[#This Row],[Employee Name]],'Base Schedules'!$A$1:$AW$44,15,FALSE)),"")</f>
        <v>-</v>
      </c>
      <c r="Q20" s="184" t="str">
        <f>IFERROR(IF(VLOOKUP(Fri_W1[[#This Row],[Employee Name]],'Base Schedules'!$A$1:$AW$44,16,FALSE)="","",VLOOKUP(Fri_W1[[#This Row],[Employee Name]],'Base Schedules'!$A$1:$AW$44,16,FALSE)),"")</f>
        <v>-</v>
      </c>
      <c r="R20" s="184" t="str">
        <f>IFERROR(IF(VLOOKUP(Fri_W1[[#This Row],[Employee Name]],'Base Schedules'!$A$1:$AW$44,17,FALSE)="","",VLOOKUP(Fri_W1[[#This Row],[Employee Name]],'Base Schedules'!$A$1:$AW$44,17,FALSE)),"")</f>
        <v>-</v>
      </c>
      <c r="S20" s="184" t="str">
        <f>IFERROR(IF(VLOOKUP(Fri_W1[[#This Row],[Employee Name]],'Base Schedules'!$A$1:$AW$44,18,FALSE)="","",VLOOKUP(Fri_W1[[#This Row],[Employee Name]],'Base Schedules'!$A$1:$AW$44,18,FALSE)),"")</f>
        <v>-</v>
      </c>
      <c r="T20" s="184" t="str">
        <f>IFERROR(IF(VLOOKUP(Fri_W1[[#This Row],[Employee Name]],'Base Schedules'!$A$1:$AW$44,19,FALSE)="","",VLOOKUP(Fri_W1[[#This Row],[Employee Name]],'Base Schedules'!$A$1:$AW$44,19,FALSE)),"")</f>
        <v>Interview</v>
      </c>
      <c r="U20" s="184" t="str">
        <f>IFERROR(IF(VLOOKUP(Fri_W1[[#This Row],[Employee Name]],'Base Schedules'!$A$1:$AW$44,20,FALSE)="","",VLOOKUP(Fri_W1[[#This Row],[Employee Name]],'Base Schedules'!$A$1:$AW$44,20,FALSE)),"")</f>
        <v>Interview</v>
      </c>
      <c r="V20" s="184" t="str">
        <f>IFERROR(IF(VLOOKUP(Fri_W1[[#This Row],[Employee Name]],'Base Schedules'!$A$1:$AW$44,21,FALSE)="","",VLOOKUP(Fri_W1[[#This Row],[Employee Name]],'Base Schedules'!$A$1:$AW$44,21,FALSE)),"")</f>
        <v>-</v>
      </c>
      <c r="W20" s="184" t="str">
        <f>IFERROR(IF(VLOOKUP(Fri_W1[[#This Row],[Employee Name]],'Base Schedules'!$A$1:$AW$44,22,FALSE)="","",VLOOKUP(Fri_W1[[#This Row],[Employee Name]],'Base Schedules'!$A$1:$AW$44,22,FALSE)),"")</f>
        <v>-</v>
      </c>
      <c r="X20" s="184" t="str">
        <f>IFERROR(IF(VLOOKUP(Fri_W1[[#This Row],[Employee Name]],'Base Schedules'!$A$1:$AW$44,23,FALSE)="","",VLOOKUP(Fri_W1[[#This Row],[Employee Name]],'Base Schedules'!$A$1:$AW$44,23,FALSE)),"")</f>
        <v>-</v>
      </c>
      <c r="Y20" s="184" t="str">
        <f>IFERROR(IF(VLOOKUP(Fri_W1[[#This Row],[Employee Name]],'Base Schedules'!$A$1:$AW$44,24,FALSE)="","",VLOOKUP(Fri_W1[[#This Row],[Employee Name]],'Base Schedules'!$A$1:$AW$44,24,FALSE)),"")</f>
        <v>-</v>
      </c>
      <c r="Z20" s="184" t="str">
        <f>IFERROR(IF(VLOOKUP(Fri_W1[[#This Row],[Employee Name]],'Base Schedules'!$A$1:$AW$44,25,FALSE)="","",VLOOKUP(Fri_W1[[#This Row],[Employee Name]],'Base Schedules'!$A$1:$AW$44,25,FALSE)),"")</f>
        <v>Coaching</v>
      </c>
      <c r="AA20" s="184" t="str">
        <f>IFERROR(IF(VLOOKUP(Fri_W1[[#This Row],[Employee Name]],'Base Schedules'!$A$1:$AW$44,26,FALSE)="","",VLOOKUP(Fri_W1[[#This Row],[Employee Name]],'Base Schedules'!$A$1:$AW$44,26,FALSE)),"")</f>
        <v>Coaching</v>
      </c>
      <c r="AB20" s="184" t="str">
        <f>IFERROR(IF(VLOOKUP(Fri_W1[[#This Row],[Employee Name]],'Base Schedules'!$A$1:$AW$44,27,FALSE)="","",VLOOKUP(Fri_W1[[#This Row],[Employee Name]],'Base Schedules'!$A$1:$AW$44,27,FALSE)),"")</f>
        <v>Coaching</v>
      </c>
      <c r="AC20" s="184" t="str">
        <f>IFERROR(IF(VLOOKUP(Fri_W1[[#This Row],[Employee Name]],'Base Schedules'!$A$1:$AW$44,28,FALSE)="","",VLOOKUP(Fri_W1[[#This Row],[Employee Name]],'Base Schedules'!$A$1:$AW$44,28,FALSE)),"")</f>
        <v>-</v>
      </c>
      <c r="AD20" s="184" t="str">
        <f>IFERROR(IF(VLOOKUP(Fri_W1[[#This Row],[Employee Name]],'Base Schedules'!$A$1:$AW$44,29,FALSE)="","",VLOOKUP(Fri_W1[[#This Row],[Employee Name]],'Base Schedules'!$A$1:$AW$44,29,FALSE)),"")</f>
        <v>-</v>
      </c>
      <c r="AE20" s="184" t="str">
        <f>IFERROR(IF(VLOOKUP(Fri_W1[[#This Row],[Employee Name]],'Base Schedules'!$A$1:$AW$44,30,FALSE)="","",VLOOKUP(Fri_W1[[#This Row],[Employee Name]],'Base Schedules'!$A$1:$AW$44,30,FALSE)),"")</f>
        <v/>
      </c>
      <c r="AF20" s="184" t="str">
        <f>IFERROR(IF(VLOOKUP(Fri_W1[[#This Row],[Employee Name]],'Base Schedules'!$A$1:$AW$44,31,FALSE)="","",VLOOKUP(Fri_W1[[#This Row],[Employee Name]],'Base Schedules'!$A$1:$AW$44,31,FALSE)),"")</f>
        <v/>
      </c>
      <c r="AG20" s="184" t="str">
        <f>IFERROR(IF(VLOOKUP(Fri_W1[[#This Row],[Employee Name]],'Base Schedules'!$A$1:$AW$44,32,FALSE)="","",VLOOKUP(Fri_W1[[#This Row],[Employee Name]],'Base Schedules'!$A$1:$AW$44,32,FALSE)),"")</f>
        <v/>
      </c>
      <c r="AH20" s="184" t="str">
        <f>IFERROR(IF(VLOOKUP(Fri_W1[[#This Row],[Employee Name]],'Base Schedules'!$A$1:$AW$44,33,FALSE)="","",VLOOKUP(Fri_W1[[#This Row],[Employee Name]],'Base Schedules'!$A$1:$AW$44,33,FALSE)),"")</f>
        <v/>
      </c>
      <c r="AI20" s="184" t="str">
        <f>IFERROR(IF(VLOOKUP(Fri_W1[[#This Row],[Employee Name]],'Base Schedules'!$A$1:$AW$44,34,FALSE)="","",VLOOKUP(Fri_W1[[#This Row],[Employee Name]],'Base Schedules'!$A$1:$AW$44,34,FALSE)),"")</f>
        <v/>
      </c>
      <c r="AJ20" s="184" t="str">
        <f>IFERROR(IF(VLOOKUP(Fri_W1[[#This Row],[Employee Name]],'Base Schedules'!$A$1:$AW$44,35,FALSE)="","",VLOOKUP(Fri_W1[[#This Row],[Employee Name]],'Base Schedules'!$A$1:$AW$44,35,FALSE)),"")</f>
        <v/>
      </c>
      <c r="AK20" s="184" t="str">
        <f>IFERROR(IF(VLOOKUP(Fri_W1[[#This Row],[Employee Name]],'Base Schedules'!$A$1:$AW$44,36,FALSE)="","",VLOOKUP(Fri_W1[[#This Row],[Employee Name]],'Base Schedules'!$A$1:$AW$44,36,FALSE)),"")</f>
        <v/>
      </c>
      <c r="AL20" s="184" t="str">
        <f>IFERROR(IF(VLOOKUP(Fri_W1[[#This Row],[Employee Name]],'Base Schedules'!$A$1:$AW$44,37,FALSE)="","",VLOOKUP(Fri_W1[[#This Row],[Employee Name]],'Base Schedules'!$A$1:$AW$44,37,FALSE)),"")</f>
        <v/>
      </c>
      <c r="AM20" s="184" t="str">
        <f>IFERROR(IF(VLOOKUP(Fri_W1[[#This Row],[Employee Name]],'Base Schedules'!$A$1:$AW$44,38,FALSE)="","",VLOOKUP(Fri_W1[[#This Row],[Employee Name]],'Base Schedules'!$A$1:$AW$44,38,FALSE)),"")</f>
        <v/>
      </c>
      <c r="AN20" s="184" t="str">
        <f>IFERROR(IF(VLOOKUP(Fri_W1[[#This Row],[Employee Name]],'Base Schedules'!$A$1:$AW$44,39,FALSE)="","",VLOOKUP(Fri_W1[[#This Row],[Employee Name]],'Base Schedules'!$A$1:$AW$44,39,FALSE)),"")</f>
        <v/>
      </c>
      <c r="AO20" s="184" t="str">
        <f>IFERROR(IF(VLOOKUP(Fri_W1[[#This Row],[Employee Name]],'Base Schedules'!$A$1:$AW$44,40,FALSE)="","",VLOOKUP(Fri_W1[[#This Row],[Employee Name]],'Base Schedules'!$A$1:$AW$44,40,FALSE)),"")</f>
        <v/>
      </c>
      <c r="AP20" s="184" t="str">
        <f>IFERROR(IF(VLOOKUP(Fri_W1[[#This Row],[Employee Name]],'Base Schedules'!$A$1:$AW$44,41,FALSE)="","",VLOOKUP(Fri_W1[[#This Row],[Employee Name]],'Base Schedules'!$A$1:$AW$44,41,FALSE)),"")</f>
        <v/>
      </c>
      <c r="AQ20" s="184" t="str">
        <f>IFERROR(IF(VLOOKUP(Fri_W1[[#This Row],[Employee Name]],'Base Schedules'!$A$1:$AW$44,42,FALSE)="","",VLOOKUP(Fri_W1[[#This Row],[Employee Name]],'Base Schedules'!$A$1:$AW$44,42,FALSE)),"")</f>
        <v/>
      </c>
      <c r="AR20" s="184" t="str">
        <f>IFERROR(IF(VLOOKUP(Fri_W1[[#This Row],[Employee Name]],'Base Schedules'!$A$1:$AW$44,43,FALSE)="","",VLOOKUP(Fri_W1[[#This Row],[Employee Name]],'Base Schedules'!$A$1:$AW$44,43,FALSE)),"")</f>
        <v/>
      </c>
      <c r="AS20" s="184" t="str">
        <f>IFERROR(IF(VLOOKUP(Fri_W1[[#This Row],[Employee Name]],'Base Schedules'!$A$1:$AW$44,44,FALSE)="","",VLOOKUP(Fri_W1[[#This Row],[Employee Name]],'Base Schedules'!$A$1:$AW$44,44,FALSE)),"")</f>
        <v/>
      </c>
      <c r="AT20" s="184" t="str">
        <f>IFERROR(IF(VLOOKUP(Fri_W1[[#This Row],[Employee Name]],'Base Schedules'!$A$1:$AW$44,45,FALSE)="","",VLOOKUP(Fri_W1[[#This Row],[Employee Name]],'Base Schedules'!$A$1:$AW$44,45,FALSE)),"")</f>
        <v/>
      </c>
      <c r="AU20" s="184" t="str">
        <f>IFERROR(IF(VLOOKUP(Fri_W1[[#This Row],[Employee Name]],'Base Schedules'!$A$1:$AW$44,46,FALSE)="","",VLOOKUP(Fri_W1[[#This Row],[Employee Name]],'Base Schedules'!$A$1:$AW$44,46,FALSE)),"")</f>
        <v/>
      </c>
      <c r="AV20" s="184" t="str">
        <f>IFERROR(IF(VLOOKUP(Fri_W1[[#This Row],[Employee Name]],'Base Schedules'!$A$1:$AW$44,47,FALSE)="","",VLOOKUP(Fri_W1[[#This Row],[Employee Name]],'Base Schedules'!$A$1:$AW$44,47,FALSE)),"")</f>
        <v/>
      </c>
      <c r="AW20" s="184" t="str">
        <f>IFERROR(IF(VLOOKUP(Fri_W1[[#This Row],[Employee Name]],'Base Schedules'!$A$1:$AW$44,48,FALSE)="","",VLOOKUP(Fri_W1[[#This Row],[Employee Name]],'Base Schedules'!$A$1:$AW$44,48,FALSE)),"")</f>
        <v/>
      </c>
      <c r="AX20" s="184" t="str">
        <f>IFERROR(IF(VLOOKUP(Fri_W1[[#This Row],[Employee Name]],'Base Schedules'!$A$1:$AW$44,49,FALSE)="","",VLOOKUP(Fri_W1[[#This Row],[Employee Name]],'Base Schedules'!$A$1:$AW$44,49,FALSE)),"")</f>
        <v/>
      </c>
      <c r="AY20" s="245" t="str">
        <f t="shared" si="2"/>
        <v>Ulrich, Michael</v>
      </c>
    </row>
    <row r="21" spans="1:51" s="44" customFormat="1" ht="11.25" customHeight="1" x14ac:dyDescent="0.2">
      <c r="A21" s="39" t="str">
        <f>IF(B21="","",INDEX(TeamList[],MATCH($B21,TeamList[[Employee Name]:[Employee Name]],0),MATCH("Manager",TeamList[#Headers],0)))</f>
        <v>Olson, Katherine</v>
      </c>
      <c r="B21" s="201" t="s">
        <v>22</v>
      </c>
      <c r="C21" s="257" t="str">
        <f>_xlfn.IFNA(VLOOKUP(Fri_W1[[#This Row],[Employee Name]],'Base Schedules'!A:B,2,FALSE),"")</f>
        <v>Lead</v>
      </c>
      <c r="D21" s="274">
        <f>_xlfn.IFNA(VLOOKUP(Fri_W1[[#This Row],[Employee Name]],'Base Schedules'!A:C,3,FALSE),"")</f>
        <v>700</v>
      </c>
      <c r="E21" s="274">
        <f>_xlfn.IFNA(VLOOKUP(Fri_W1[[#This Row],[Employee Name]],'Base Schedules'!A:D,4,FALSE),"")</f>
        <v>1600</v>
      </c>
      <c r="F21" s="142">
        <f>IF(Fri_W1[[#This Row],[Employee Name]]="","",IF(Fri_W1[[#This Row],[Dept]]="Supervisor",COUNTIFS($J21:$AX21,"*HL*",$J21:$AX21,"&lt;&gt;"&amp;"pHL"),COUNTIFS($J21:$AX21,"*HL*",$J21:$AX21,"&lt;&gt;"&amp;"*pHL*",$J21:$AX21,"&lt;&gt;"&amp;"pB1 HL",$J21:$AX21,"&lt;&gt;"&amp;"pB2 HL")-SUM(COUNTIFS($J21:$AX21,"*HL B1*",$J21:$AX21,"&lt;&gt;"&amp;"pHL B1")*0.5,COUNTIFS($J21:$AX21,"*HL B2*",$J21:$AX21,"&lt;&gt;"&amp;"pHL B2")*0.5,COUNTIFS($J21:$AX21,"*B1 HL*",$J21:$AX21,"&lt;&gt;"&amp;"pB1 HL")*0.5,COUNTIFS($J21:$AX21,"*B2 HL*",$J21:$AX21,"&lt;&gt;"&amp;"pB2 HL")*0.5)))</f>
        <v>6.5</v>
      </c>
      <c r="G21" s="142">
        <f t="shared" si="0"/>
        <v>0</v>
      </c>
      <c r="H21" s="142">
        <f t="shared" si="1"/>
        <v>7</v>
      </c>
      <c r="I21" s="142">
        <f>IF(Fri_W1[[#This Row],[Employee Name]]="","",IF(Fri_W1[[#This Row],[Dept]]="Supervisor",SUM(COUNTIFS($J21:$AX21,"RTA*",$J21:$AX21,"&lt;&gt;"&amp;"pRTA"),COUNTIFS($J21:$AX21,"*CRTA*",$J21:$AX21,"&lt;&gt;"&amp;"pCRTA")),COUNTIFS($J21:$AX21,"*RNNR*",$J21:$AX21,"&lt;&gt;"&amp;"*pRNNR*",$J21:$AX21,"&lt;&gt;"&amp;"pB1 RNNR",$J21:$AX21,"&lt;&gt;"&amp;"pB2 RNNR")-SUM(COUNTIFS($J21:$AX21,"*RNNR B1*",$J21:$AX21,"&lt;&gt;"&amp;"pRNNR B1")*0.5,COUNTIFS($J21:$AX21,"*RNNR B2*",$J21:$AX21,"&lt;&gt;"&amp;"pRNNR B2")*0.5,COUNTIFS($J21:$AX21,"*B1 RNNR*",$J21:$AX21,"&lt;&gt;"&amp;"pB1 RNNR")*0.5,COUNTIFS($J21:$AX21,"*B2 RNNR*",$J21:$AX21,"&lt;&gt;"&amp;"pB2 RNNR")*0.5)))</f>
        <v>0</v>
      </c>
      <c r="J21" s="184" t="str">
        <f>IFERROR(IF(VLOOKUP(Fri_W1[[#This Row],[Employee Name]],'Base Schedules'!$A$1:$AW$44,9,FALSE)="","",VLOOKUP(Fri_W1[[#This Row],[Employee Name]],'Base Schedules'!$A$1:$AW$44,9,FALSE)),"")</f>
        <v/>
      </c>
      <c r="K21" s="184" t="str">
        <f>IFERROR(IF(VLOOKUP(Fri_W1[[#This Row],[Employee Name]],'Base Schedules'!$A$1:$AW$44,10,FALSE)="","",VLOOKUP(Fri_W1[[#This Row],[Employee Name]],'Base Schedules'!$A$1:$AW$44,10,FALSE)),"")</f>
        <v/>
      </c>
      <c r="L21" s="184" t="str">
        <f>IFERROR(IF(VLOOKUP(Fri_W1[[#This Row],[Employee Name]],'Base Schedules'!$A$1:$AW$44,11,FALSE)="","",VLOOKUP(Fri_W1[[#This Row],[Employee Name]],'Base Schedules'!$A$1:$AW$44,11,FALSE)),"")</f>
        <v/>
      </c>
      <c r="M21" s="184" t="str">
        <f>IFERROR(IF(VLOOKUP(Fri_W1[[#This Row],[Employee Name]],'Base Schedules'!$A$1:$AW$44,12,FALSE)="","",VLOOKUP(Fri_W1[[#This Row],[Employee Name]],'Base Schedules'!$A$1:$AW$44,12,FALSE)),"")</f>
        <v/>
      </c>
      <c r="N21" s="184" t="str">
        <f>IFERROR(IF(VLOOKUP(Fri_W1[[#This Row],[Employee Name]],'Base Schedules'!$A$1:$AW$44,13,FALSE)="","",VLOOKUP(Fri_W1[[#This Row],[Employee Name]],'Base Schedules'!$A$1:$AW$44,13,FALSE)),"")</f>
        <v>HL</v>
      </c>
      <c r="O21" s="184" t="str">
        <f>IFERROR(IF(VLOOKUP(Fri_W1[[#This Row],[Employee Name]],'Base Schedules'!$A$1:$AW$44,14,FALSE)="","",VLOOKUP(Fri_W1[[#This Row],[Employee Name]],'Base Schedules'!$A$1:$AW$44,14,FALSE)),"")</f>
        <v>HL</v>
      </c>
      <c r="P21" s="184" t="str">
        <f>IFERROR(IF(VLOOKUP(Fri_W1[[#This Row],[Employee Name]],'Base Schedules'!$A$1:$AW$44,15,FALSE)="","",VLOOKUP(Fri_W1[[#This Row],[Employee Name]],'Base Schedules'!$A$1:$AW$44,15,FALSE)),"")</f>
        <v>HL</v>
      </c>
      <c r="Q21" s="184" t="str">
        <f>IFERROR(IF(VLOOKUP(Fri_W1[[#This Row],[Employee Name]],'Base Schedules'!$A$1:$AW$44,16,FALSE)="","",VLOOKUP(Fri_W1[[#This Row],[Employee Name]],'Base Schedules'!$A$1:$AW$44,16,FALSE)),"")</f>
        <v>HL</v>
      </c>
      <c r="R21" s="184" t="str">
        <f>IFERROR(IF(VLOOKUP(Fri_W1[[#This Row],[Employee Name]],'Base Schedules'!$A$1:$AW$44,17,FALSE)="","",VLOOKUP(Fri_W1[[#This Row],[Employee Name]],'Base Schedules'!$A$1:$AW$44,17,FALSE)),"")</f>
        <v>ADM B1</v>
      </c>
      <c r="S21" s="184" t="str">
        <f>IFERROR(IF(VLOOKUP(Fri_W1[[#This Row],[Employee Name]],'Base Schedules'!$A$1:$AW$44,18,FALSE)="","",VLOOKUP(Fri_W1[[#This Row],[Employee Name]],'Base Schedules'!$A$1:$AW$44,18,FALSE)),"")</f>
        <v>ADM</v>
      </c>
      <c r="T21" s="184" t="str">
        <f>IFERROR(IF(VLOOKUP(Fri_W1[[#This Row],[Employee Name]],'Base Schedules'!$A$1:$AW$44,19,FALSE)="","",VLOOKUP(Fri_W1[[#This Row],[Employee Name]],'Base Schedules'!$A$1:$AW$44,19,FALSE)),"")</f>
        <v>ADM</v>
      </c>
      <c r="U21" s="184" t="str">
        <f>IFERROR(IF(VLOOKUP(Fri_W1[[#This Row],[Employee Name]],'Base Schedules'!$A$1:$AW$44,20,FALSE)="","",VLOOKUP(Fri_W1[[#This Row],[Employee Name]],'Base Schedules'!$A$1:$AW$44,20,FALSE)),"")</f>
        <v>ADM</v>
      </c>
      <c r="V21" s="184" t="str">
        <f>IFERROR(IF(VLOOKUP(Fri_W1[[#This Row],[Employee Name]],'Base Schedules'!$A$1:$AW$44,21,FALSE)="","",VLOOKUP(Fri_W1[[#This Row],[Employee Name]],'Base Schedules'!$A$1:$AW$44,21,FALSE)),"")</f>
        <v>ADM</v>
      </c>
      <c r="W21" s="184" t="str">
        <f>IFERROR(IF(VLOOKUP(Fri_W1[[#This Row],[Employee Name]],'Base Schedules'!$A$1:$AW$44,22,FALSE)="","",VLOOKUP(Fri_W1[[#This Row],[Employee Name]],'Base Schedules'!$A$1:$AW$44,22,FALSE)),"")</f>
        <v>LUNCH</v>
      </c>
      <c r="X21" s="184" t="str">
        <f>IFERROR(IF(VLOOKUP(Fri_W1[[#This Row],[Employee Name]],'Base Schedules'!$A$1:$AW$44,23,FALSE)="","",VLOOKUP(Fri_W1[[#This Row],[Employee Name]],'Base Schedules'!$A$1:$AW$44,23,FALSE)),"")</f>
        <v>LUNCH</v>
      </c>
      <c r="Y21" s="184" t="str">
        <f>IFERROR(IF(VLOOKUP(Fri_W1[[#This Row],[Employee Name]],'Base Schedules'!$A$1:$AW$44,24,FALSE)="","",VLOOKUP(Fri_W1[[#This Row],[Employee Name]],'Base Schedules'!$A$1:$AW$44,24,FALSE)),"")</f>
        <v>PROJECT</v>
      </c>
      <c r="Z21" s="184" t="str">
        <f>IFERROR(IF(VLOOKUP(Fri_W1[[#This Row],[Employee Name]],'Base Schedules'!$A$1:$AW$44,25,FALSE)="","",VLOOKUP(Fri_W1[[#This Row],[Employee Name]],'Base Schedules'!$A$1:$AW$44,25,FALSE)),"")</f>
        <v>PROJECT</v>
      </c>
      <c r="AA21" s="184" t="str">
        <f>IFERROR(IF(VLOOKUP(Fri_W1[[#This Row],[Employee Name]],'Base Schedules'!$A$1:$AW$44,26,FALSE)="","",VLOOKUP(Fri_W1[[#This Row],[Employee Name]],'Base Schedules'!$A$1:$AW$44,26,FALSE)),"")</f>
        <v>HL</v>
      </c>
      <c r="AB21" s="184" t="str">
        <f>IFERROR(IF(VLOOKUP(Fri_W1[[#This Row],[Employee Name]],'Base Schedules'!$A$1:$AW$44,27,FALSE)="","",VLOOKUP(Fri_W1[[#This Row],[Employee Name]],'Base Schedules'!$A$1:$AW$44,27,FALSE)),"")</f>
        <v>B2 HL</v>
      </c>
      <c r="AC21" s="184" t="str">
        <f>IFERROR(IF(VLOOKUP(Fri_W1[[#This Row],[Employee Name]],'Base Schedules'!$A$1:$AW$44,28,FALSE)="","",VLOOKUP(Fri_W1[[#This Row],[Employee Name]],'Base Schedules'!$A$1:$AW$44,28,FALSE)),"")</f>
        <v>HL</v>
      </c>
      <c r="AD21" s="184" t="str">
        <f>IFERROR(IF(VLOOKUP(Fri_W1[[#This Row],[Employee Name]],'Base Schedules'!$A$1:$AW$44,29,FALSE)="","",VLOOKUP(Fri_W1[[#This Row],[Employee Name]],'Base Schedules'!$A$1:$AW$44,29,FALSE)),"")</f>
        <v>ADM</v>
      </c>
      <c r="AE21" s="184" t="str">
        <f>IFERROR(IF(VLOOKUP(Fri_W1[[#This Row],[Employee Name]],'Base Schedules'!$A$1:$AW$44,30,FALSE)="","",VLOOKUP(Fri_W1[[#This Row],[Employee Name]],'Base Schedules'!$A$1:$AW$44,30,FALSE)),"")</f>
        <v>ADM</v>
      </c>
      <c r="AF21" s="184" t="str">
        <f>IFERROR(IF(VLOOKUP(Fri_W1[[#This Row],[Employee Name]],'Base Schedules'!$A$1:$AW$44,31,FALSE)="","",VLOOKUP(Fri_W1[[#This Row],[Employee Name]],'Base Schedules'!$A$1:$AW$44,31,FALSE)),"")</f>
        <v/>
      </c>
      <c r="AG21" s="184" t="str">
        <f>IFERROR(IF(VLOOKUP(Fri_W1[[#This Row],[Employee Name]],'Base Schedules'!$A$1:$AW$44,32,FALSE)="","",VLOOKUP(Fri_W1[[#This Row],[Employee Name]],'Base Schedules'!$A$1:$AW$44,32,FALSE)),"")</f>
        <v/>
      </c>
      <c r="AH21" s="184" t="str">
        <f>IFERROR(IF(VLOOKUP(Fri_W1[[#This Row],[Employee Name]],'Base Schedules'!$A$1:$AW$44,33,FALSE)="","",VLOOKUP(Fri_W1[[#This Row],[Employee Name]],'Base Schedules'!$A$1:$AW$44,33,FALSE)),"")</f>
        <v/>
      </c>
      <c r="AI21" s="184" t="str">
        <f>IFERROR(IF(VLOOKUP(Fri_W1[[#This Row],[Employee Name]],'Base Schedules'!$A$1:$AW$44,34,FALSE)="","",VLOOKUP(Fri_W1[[#This Row],[Employee Name]],'Base Schedules'!$A$1:$AW$44,34,FALSE)),"")</f>
        <v/>
      </c>
      <c r="AJ21" s="184" t="str">
        <f>IFERROR(IF(VLOOKUP(Fri_W1[[#This Row],[Employee Name]],'Base Schedules'!$A$1:$AW$44,35,FALSE)="","",VLOOKUP(Fri_W1[[#This Row],[Employee Name]],'Base Schedules'!$A$1:$AW$44,35,FALSE)),"")</f>
        <v/>
      </c>
      <c r="AK21" s="184" t="str">
        <f>IFERROR(IF(VLOOKUP(Fri_W1[[#This Row],[Employee Name]],'Base Schedules'!$A$1:$AW$44,36,FALSE)="","",VLOOKUP(Fri_W1[[#This Row],[Employee Name]],'Base Schedules'!$A$1:$AW$44,36,FALSE)),"")</f>
        <v/>
      </c>
      <c r="AL21" s="184" t="str">
        <f>IFERROR(IF(VLOOKUP(Fri_W1[[#This Row],[Employee Name]],'Base Schedules'!$A$1:$AW$44,37,FALSE)="","",VLOOKUP(Fri_W1[[#This Row],[Employee Name]],'Base Schedules'!$A$1:$AW$44,37,FALSE)),"")</f>
        <v/>
      </c>
      <c r="AM21" s="184" t="str">
        <f>IFERROR(IF(VLOOKUP(Fri_W1[[#This Row],[Employee Name]],'Base Schedules'!$A$1:$AW$44,38,FALSE)="","",VLOOKUP(Fri_W1[[#This Row],[Employee Name]],'Base Schedules'!$A$1:$AW$44,38,FALSE)),"")</f>
        <v/>
      </c>
      <c r="AN21" s="184" t="str">
        <f>IFERROR(IF(VLOOKUP(Fri_W1[[#This Row],[Employee Name]],'Base Schedules'!$A$1:$AW$44,39,FALSE)="","",VLOOKUP(Fri_W1[[#This Row],[Employee Name]],'Base Schedules'!$A$1:$AW$44,39,FALSE)),"")</f>
        <v/>
      </c>
      <c r="AO21" s="184" t="str">
        <f>IFERROR(IF(VLOOKUP(Fri_W1[[#This Row],[Employee Name]],'Base Schedules'!$A$1:$AW$44,40,FALSE)="","",VLOOKUP(Fri_W1[[#This Row],[Employee Name]],'Base Schedules'!$A$1:$AW$44,40,FALSE)),"")</f>
        <v/>
      </c>
      <c r="AP21" s="184" t="str">
        <f>IFERROR(IF(VLOOKUP(Fri_W1[[#This Row],[Employee Name]],'Base Schedules'!$A$1:$AW$44,41,FALSE)="","",VLOOKUP(Fri_W1[[#This Row],[Employee Name]],'Base Schedules'!$A$1:$AW$44,41,FALSE)),"")</f>
        <v/>
      </c>
      <c r="AQ21" s="184" t="str">
        <f>IFERROR(IF(VLOOKUP(Fri_W1[[#This Row],[Employee Name]],'Base Schedules'!$A$1:$AW$44,42,FALSE)="","",VLOOKUP(Fri_W1[[#This Row],[Employee Name]],'Base Schedules'!$A$1:$AW$44,42,FALSE)),"")</f>
        <v/>
      </c>
      <c r="AR21" s="184" t="str">
        <f>IFERROR(IF(VLOOKUP(Fri_W1[[#This Row],[Employee Name]],'Base Schedules'!$A$1:$AW$44,43,FALSE)="","",VLOOKUP(Fri_W1[[#This Row],[Employee Name]],'Base Schedules'!$A$1:$AW$44,43,FALSE)),"")</f>
        <v/>
      </c>
      <c r="AS21" s="184" t="str">
        <f>IFERROR(IF(VLOOKUP(Fri_W1[[#This Row],[Employee Name]],'Base Schedules'!$A$1:$AW$44,44,FALSE)="","",VLOOKUP(Fri_W1[[#This Row],[Employee Name]],'Base Schedules'!$A$1:$AW$44,44,FALSE)),"")</f>
        <v/>
      </c>
      <c r="AT21" s="184" t="str">
        <f>IFERROR(IF(VLOOKUP(Fri_W1[[#This Row],[Employee Name]],'Base Schedules'!$A$1:$AW$44,45,FALSE)="","",VLOOKUP(Fri_W1[[#This Row],[Employee Name]],'Base Schedules'!$A$1:$AW$44,45,FALSE)),"")</f>
        <v/>
      </c>
      <c r="AU21" s="184" t="str">
        <f>IFERROR(IF(VLOOKUP(Fri_W1[[#This Row],[Employee Name]],'Base Schedules'!$A$1:$AW$44,46,FALSE)="","",VLOOKUP(Fri_W1[[#This Row],[Employee Name]],'Base Schedules'!$A$1:$AW$44,46,FALSE)),"")</f>
        <v/>
      </c>
      <c r="AV21" s="184" t="str">
        <f>IFERROR(IF(VLOOKUP(Fri_W1[[#This Row],[Employee Name]],'Base Schedules'!$A$1:$AW$44,47,FALSE)="","",VLOOKUP(Fri_W1[[#This Row],[Employee Name]],'Base Schedules'!$A$1:$AW$44,47,FALSE)),"")</f>
        <v/>
      </c>
      <c r="AW21" s="184" t="str">
        <f>IFERROR(IF(VLOOKUP(Fri_W1[[#This Row],[Employee Name]],'Base Schedules'!$A$1:$AW$44,48,FALSE)="","",VLOOKUP(Fri_W1[[#This Row],[Employee Name]],'Base Schedules'!$A$1:$AW$44,48,FALSE)),"")</f>
        <v/>
      </c>
      <c r="AX21" s="184" t="str">
        <f>IFERROR(IF(VLOOKUP(Fri_W1[[#This Row],[Employee Name]],'Base Schedules'!$A$1:$AW$44,49,FALSE)="","",VLOOKUP(Fri_W1[[#This Row],[Employee Name]],'Base Schedules'!$A$1:$AW$44,49,FALSE)),"")</f>
        <v/>
      </c>
      <c r="AY21" s="246" t="str">
        <f t="shared" si="2"/>
        <v>Benish, Elisha</v>
      </c>
    </row>
    <row r="22" spans="1:51" s="44" customFormat="1" ht="11.25" customHeight="1" x14ac:dyDescent="0.2">
      <c r="A22" s="39" t="str">
        <f>IF(B22="","",INDEX(TeamList[],MATCH($B22,TeamList[[Employee Name]:[Employee Name]],0),MATCH("Manager",TeamList[#Headers],0)))</f>
        <v>Ahmed Hassan, Zahra</v>
      </c>
      <c r="B22" s="201" t="s">
        <v>51</v>
      </c>
      <c r="C22" s="257" t="str">
        <f>_xlfn.IFNA(VLOOKUP(Fri_W1[[#This Row],[Employee Name]],'Base Schedules'!A:B,2,FALSE),"")</f>
        <v>Supervisor</v>
      </c>
      <c r="D22" s="274">
        <f>_xlfn.IFNA(VLOOKUP(Fri_W1[[#This Row],[Employee Name]],'Base Schedules'!A:C,3,FALSE),"")</f>
        <v>700</v>
      </c>
      <c r="E22" s="274">
        <f>_xlfn.IFNA(VLOOKUP(Fri_W1[[#This Row],[Employee Name]],'Base Schedules'!A:D,4,FALSE),"")</f>
        <v>1600</v>
      </c>
      <c r="F22" s="142">
        <f>IF(Fri_W1[[#This Row],[Employee Name]]="","",IF(Fri_W1[[#This Row],[Dept]]="Supervisor",COUNTIFS($J22:$AX22,"*HL*",$J22:$AX22,"&lt;&gt;"&amp;"pHL"),COUNTIFS($J22:$AX22,"*HL*",$J22:$AX22,"&lt;&gt;"&amp;"*pHL*",$J22:$AX22,"&lt;&gt;"&amp;"pB1 HL",$J22:$AX22,"&lt;&gt;"&amp;"pB2 HL")-SUM(COUNTIFS($J22:$AX22,"*HL B1*",$J22:$AX22,"&lt;&gt;"&amp;"pHL B1")*0.5,COUNTIFS($J22:$AX22,"*HL B2*",$J22:$AX22,"&lt;&gt;"&amp;"pHL B2")*0.5,COUNTIFS($J22:$AX22,"*B1 HL*",$J22:$AX22,"&lt;&gt;"&amp;"pB1 HL")*0.5,COUNTIFS($J22:$AX22,"*B2 HL*",$J22:$AX22,"&lt;&gt;"&amp;"pB2 HL")*0.5)))</f>
        <v>0</v>
      </c>
      <c r="G22" s="142">
        <f t="shared" si="0"/>
        <v>4</v>
      </c>
      <c r="H22" s="142">
        <f t="shared" si="1"/>
        <v>0</v>
      </c>
      <c r="I22" s="142">
        <f>IF(Fri_W1[[#This Row],[Employee Name]]="","",IF(Fri_W1[[#This Row],[Dept]]="Supervisor",SUM(COUNTIFS($J22:$AX22,"RTA*",$J22:$AX22,"&lt;&gt;"&amp;"pRTA"),COUNTIFS($J22:$AX22,"*CRTA*",$J22:$AX22,"&lt;&gt;"&amp;"pCRTA")),COUNTIFS($J22:$AX22,"*RNNR*",$J22:$AX22,"&lt;&gt;"&amp;"*pRNNR*",$J22:$AX22,"&lt;&gt;"&amp;"pB1 RNNR",$J22:$AX22,"&lt;&gt;"&amp;"pB2 RNNR")-SUM(COUNTIFS($J22:$AX22,"*RNNR B1*",$J22:$AX22,"&lt;&gt;"&amp;"pRNNR B1")*0.5,COUNTIFS($J22:$AX22,"*RNNR B2*",$J22:$AX22,"&lt;&gt;"&amp;"pRNNR B2")*0.5,COUNTIFS($J22:$AX22,"*B1 RNNR*",$J22:$AX22,"&lt;&gt;"&amp;"pB1 RNNR")*0.5,COUNTIFS($J22:$AX22,"*B2 RNNR*",$J22:$AX22,"&lt;&gt;"&amp;"pB2 RNNR")*0.5)))</f>
        <v>0</v>
      </c>
      <c r="J22" s="184" t="str">
        <f>IFERROR(IF(VLOOKUP(Fri_W1[[#This Row],[Employee Name]],'Base Schedules'!$A$1:$AW$44,9,FALSE)="","",VLOOKUP(Fri_W1[[#This Row],[Employee Name]],'Base Schedules'!$A$1:$AW$44,9,FALSE)),"")</f>
        <v/>
      </c>
      <c r="K22" s="184" t="str">
        <f>IFERROR(IF(VLOOKUP(Fri_W1[[#This Row],[Employee Name]],'Base Schedules'!$A$1:$AW$44,10,FALSE)="","",VLOOKUP(Fri_W1[[#This Row],[Employee Name]],'Base Schedules'!$A$1:$AW$44,10,FALSE)),"")</f>
        <v/>
      </c>
      <c r="L22" s="184" t="str">
        <f>IFERROR(IF(VLOOKUP(Fri_W1[[#This Row],[Employee Name]],'Base Schedules'!$A$1:$AW$44,11,FALSE)="","",VLOOKUP(Fri_W1[[#This Row],[Employee Name]],'Base Schedules'!$A$1:$AW$44,11,FALSE)),"")</f>
        <v/>
      </c>
      <c r="M22" s="184" t="str">
        <f>IFERROR(IF(VLOOKUP(Fri_W1[[#This Row],[Employee Name]],'Base Schedules'!$A$1:$AW$44,12,FALSE)="","",VLOOKUP(Fri_W1[[#This Row],[Employee Name]],'Base Schedules'!$A$1:$AW$44,12,FALSE)),"")</f>
        <v/>
      </c>
      <c r="N22" s="184" t="str">
        <f>IFERROR(IF(VLOOKUP(Fri_W1[[#This Row],[Employee Name]],'Base Schedules'!$A$1:$AW$44,13,FALSE)="","",VLOOKUP(Fri_W1[[#This Row],[Employee Name]],'Base Schedules'!$A$1:$AW$44,13,FALSE)),"")</f>
        <v>-</v>
      </c>
      <c r="O22" s="184" t="str">
        <f>IFERROR(IF(VLOOKUP(Fri_W1[[#This Row],[Employee Name]],'Base Schedules'!$A$1:$AW$44,14,FALSE)="","",VLOOKUP(Fri_W1[[#This Row],[Employee Name]],'Base Schedules'!$A$1:$AW$44,14,FALSE)),"")</f>
        <v>-</v>
      </c>
      <c r="P22" s="184" t="str">
        <f>IFERROR(IF(VLOOKUP(Fri_W1[[#This Row],[Employee Name]],'Base Schedules'!$A$1:$AW$44,15,FALSE)="","",VLOOKUP(Fri_W1[[#This Row],[Employee Name]],'Base Schedules'!$A$1:$AW$44,15,FALSE)),"")</f>
        <v>-</v>
      </c>
      <c r="Q22" s="184" t="str">
        <f>IFERROR(IF(VLOOKUP(Fri_W1[[#This Row],[Employee Name]],'Base Schedules'!$A$1:$AW$44,16,FALSE)="","",VLOOKUP(Fri_W1[[#This Row],[Employee Name]],'Base Schedules'!$A$1:$AW$44,16,FALSE)),"")</f>
        <v>-</v>
      </c>
      <c r="R22" s="184" t="str">
        <f>IFERROR(IF(VLOOKUP(Fri_W1[[#This Row],[Employee Name]],'Base Schedules'!$A$1:$AW$44,17,FALSE)="","",VLOOKUP(Fri_W1[[#This Row],[Employee Name]],'Base Schedules'!$A$1:$AW$44,17,FALSE)),"")</f>
        <v>-</v>
      </c>
      <c r="S22" s="184" t="str">
        <f>IFERROR(IF(VLOOKUP(Fri_W1[[#This Row],[Employee Name]],'Base Schedules'!$A$1:$AW$44,18,FALSE)="","",VLOOKUP(Fri_W1[[#This Row],[Employee Name]],'Base Schedules'!$A$1:$AW$44,18,FALSE)),"")</f>
        <v>-</v>
      </c>
      <c r="T22" s="184" t="str">
        <f>IFERROR(IF(VLOOKUP(Fri_W1[[#This Row],[Employee Name]],'Base Schedules'!$A$1:$AW$44,19,FALSE)="","",VLOOKUP(Fri_W1[[#This Row],[Employee Name]],'Base Schedules'!$A$1:$AW$44,19,FALSE)),"")</f>
        <v>-</v>
      </c>
      <c r="U22" s="184" t="str">
        <f>IFERROR(IF(VLOOKUP(Fri_W1[[#This Row],[Employee Name]],'Base Schedules'!$A$1:$AW$44,20,FALSE)="","",VLOOKUP(Fri_W1[[#This Row],[Employee Name]],'Base Schedules'!$A$1:$AW$44,20,FALSE)),"")</f>
        <v>-</v>
      </c>
      <c r="V22" s="184" t="str">
        <f>IFERROR(IF(VLOOKUP(Fri_W1[[#This Row],[Employee Name]],'Base Schedules'!$A$1:$AW$44,21,FALSE)="","",VLOOKUP(Fri_W1[[#This Row],[Employee Name]],'Base Schedules'!$A$1:$AW$44,21,FALSE)),"")</f>
        <v>Interview</v>
      </c>
      <c r="W22" s="184" t="str">
        <f>IFERROR(IF(VLOOKUP(Fri_W1[[#This Row],[Employee Name]],'Base Schedules'!$A$1:$AW$44,22,FALSE)="","",VLOOKUP(Fri_W1[[#This Row],[Employee Name]],'Base Schedules'!$A$1:$AW$44,22,FALSE)),"")</f>
        <v>Interview</v>
      </c>
      <c r="X22" s="184" t="str">
        <f>IFERROR(IF(VLOOKUP(Fri_W1[[#This Row],[Employee Name]],'Base Schedules'!$A$1:$AW$44,23,FALSE)="","",VLOOKUP(Fri_W1[[#This Row],[Employee Name]],'Base Schedules'!$A$1:$AW$44,23,FALSE)),"")</f>
        <v>-</v>
      </c>
      <c r="Y22" s="184" t="str">
        <f>IFERROR(IF(VLOOKUP(Fri_W1[[#This Row],[Employee Name]],'Base Schedules'!$A$1:$AW$44,24,FALSE)="","",VLOOKUP(Fri_W1[[#This Row],[Employee Name]],'Base Schedules'!$A$1:$AW$44,24,FALSE)),"")</f>
        <v>-</v>
      </c>
      <c r="Z22" s="184" t="str">
        <f>IFERROR(IF(VLOOKUP(Fri_W1[[#This Row],[Employee Name]],'Base Schedules'!$A$1:$AW$44,25,FALSE)="","",VLOOKUP(Fri_W1[[#This Row],[Employee Name]],'Base Schedules'!$A$1:$AW$44,25,FALSE)),"")</f>
        <v>-</v>
      </c>
      <c r="AA22" s="184" t="str">
        <f>IFERROR(IF(VLOOKUP(Fri_W1[[#This Row],[Employee Name]],'Base Schedules'!$A$1:$AW$44,26,FALSE)="","",VLOOKUP(Fri_W1[[#This Row],[Employee Name]],'Base Schedules'!$A$1:$AW$44,26,FALSE)),"")</f>
        <v>Coaching</v>
      </c>
      <c r="AB22" s="184" t="str">
        <f>IFERROR(IF(VLOOKUP(Fri_W1[[#This Row],[Employee Name]],'Base Schedules'!$A$1:$AW$44,27,FALSE)="","",VLOOKUP(Fri_W1[[#This Row],[Employee Name]],'Base Schedules'!$A$1:$AW$44,27,FALSE)),"")</f>
        <v>Coaching</v>
      </c>
      <c r="AC22" s="184" t="str">
        <f>IFERROR(IF(VLOOKUP(Fri_W1[[#This Row],[Employee Name]],'Base Schedules'!$A$1:$AW$44,28,FALSE)="","",VLOOKUP(Fri_W1[[#This Row],[Employee Name]],'Base Schedules'!$A$1:$AW$44,28,FALSE)),"")</f>
        <v>Coaching</v>
      </c>
      <c r="AD22" s="184" t="str">
        <f>IFERROR(IF(VLOOKUP(Fri_W1[[#This Row],[Employee Name]],'Base Schedules'!$A$1:$AW$44,29,FALSE)="","",VLOOKUP(Fri_W1[[#This Row],[Employee Name]],'Base Schedules'!$A$1:$AW$44,29,FALSE)),"")</f>
        <v>Coaching</v>
      </c>
      <c r="AE22" s="184" t="str">
        <f>IFERROR(IF(VLOOKUP(Fri_W1[[#This Row],[Employee Name]],'Base Schedules'!$A$1:$AW$44,30,FALSE)="","",VLOOKUP(Fri_W1[[#This Row],[Employee Name]],'Base Schedules'!$A$1:$AW$44,30,FALSE)),"")</f>
        <v>-</v>
      </c>
      <c r="AF22" s="184" t="str">
        <f>IFERROR(IF(VLOOKUP(Fri_W1[[#This Row],[Employee Name]],'Base Schedules'!$A$1:$AW$44,31,FALSE)="","",VLOOKUP(Fri_W1[[#This Row],[Employee Name]],'Base Schedules'!$A$1:$AW$44,31,FALSE)),"")</f>
        <v/>
      </c>
      <c r="AG22" s="184" t="str">
        <f>IFERROR(IF(VLOOKUP(Fri_W1[[#This Row],[Employee Name]],'Base Schedules'!$A$1:$AW$44,32,FALSE)="","",VLOOKUP(Fri_W1[[#This Row],[Employee Name]],'Base Schedules'!$A$1:$AW$44,32,FALSE)),"")</f>
        <v/>
      </c>
      <c r="AH22" s="184" t="str">
        <f>IFERROR(IF(VLOOKUP(Fri_W1[[#This Row],[Employee Name]],'Base Schedules'!$A$1:$AW$44,33,FALSE)="","",VLOOKUP(Fri_W1[[#This Row],[Employee Name]],'Base Schedules'!$A$1:$AW$44,33,FALSE)),"")</f>
        <v/>
      </c>
      <c r="AI22" s="184" t="str">
        <f>IFERROR(IF(VLOOKUP(Fri_W1[[#This Row],[Employee Name]],'Base Schedules'!$A$1:$AW$44,34,FALSE)="","",VLOOKUP(Fri_W1[[#This Row],[Employee Name]],'Base Schedules'!$A$1:$AW$44,34,FALSE)),"")</f>
        <v/>
      </c>
      <c r="AJ22" s="184" t="str">
        <f>IFERROR(IF(VLOOKUP(Fri_W1[[#This Row],[Employee Name]],'Base Schedules'!$A$1:$AW$44,35,FALSE)="","",VLOOKUP(Fri_W1[[#This Row],[Employee Name]],'Base Schedules'!$A$1:$AW$44,35,FALSE)),"")</f>
        <v/>
      </c>
      <c r="AK22" s="184" t="str">
        <f>IFERROR(IF(VLOOKUP(Fri_W1[[#This Row],[Employee Name]],'Base Schedules'!$A$1:$AW$44,36,FALSE)="","",VLOOKUP(Fri_W1[[#This Row],[Employee Name]],'Base Schedules'!$A$1:$AW$44,36,FALSE)),"")</f>
        <v/>
      </c>
      <c r="AL22" s="184" t="str">
        <f>IFERROR(IF(VLOOKUP(Fri_W1[[#This Row],[Employee Name]],'Base Schedules'!$A$1:$AW$44,37,FALSE)="","",VLOOKUP(Fri_W1[[#This Row],[Employee Name]],'Base Schedules'!$A$1:$AW$44,37,FALSE)),"")</f>
        <v/>
      </c>
      <c r="AM22" s="184" t="str">
        <f>IFERROR(IF(VLOOKUP(Fri_W1[[#This Row],[Employee Name]],'Base Schedules'!$A$1:$AW$44,38,FALSE)="","",VLOOKUP(Fri_W1[[#This Row],[Employee Name]],'Base Schedules'!$A$1:$AW$44,38,FALSE)),"")</f>
        <v/>
      </c>
      <c r="AN22" s="184" t="str">
        <f>IFERROR(IF(VLOOKUP(Fri_W1[[#This Row],[Employee Name]],'Base Schedules'!$A$1:$AW$44,39,FALSE)="","",VLOOKUP(Fri_W1[[#This Row],[Employee Name]],'Base Schedules'!$A$1:$AW$44,39,FALSE)),"")</f>
        <v/>
      </c>
      <c r="AO22" s="184" t="str">
        <f>IFERROR(IF(VLOOKUP(Fri_W1[[#This Row],[Employee Name]],'Base Schedules'!$A$1:$AW$44,40,FALSE)="","",VLOOKUP(Fri_W1[[#This Row],[Employee Name]],'Base Schedules'!$A$1:$AW$44,40,FALSE)),"")</f>
        <v/>
      </c>
      <c r="AP22" s="184" t="str">
        <f>IFERROR(IF(VLOOKUP(Fri_W1[[#This Row],[Employee Name]],'Base Schedules'!$A$1:$AW$44,41,FALSE)="","",VLOOKUP(Fri_W1[[#This Row],[Employee Name]],'Base Schedules'!$A$1:$AW$44,41,FALSE)),"")</f>
        <v/>
      </c>
      <c r="AQ22" s="184" t="str">
        <f>IFERROR(IF(VLOOKUP(Fri_W1[[#This Row],[Employee Name]],'Base Schedules'!$A$1:$AW$44,42,FALSE)="","",VLOOKUP(Fri_W1[[#This Row],[Employee Name]],'Base Schedules'!$A$1:$AW$44,42,FALSE)),"")</f>
        <v/>
      </c>
      <c r="AR22" s="184" t="str">
        <f>IFERROR(IF(VLOOKUP(Fri_W1[[#This Row],[Employee Name]],'Base Schedules'!$A$1:$AW$44,43,FALSE)="","",VLOOKUP(Fri_W1[[#This Row],[Employee Name]],'Base Schedules'!$A$1:$AW$44,43,FALSE)),"")</f>
        <v/>
      </c>
      <c r="AS22" s="184" t="str">
        <f>IFERROR(IF(VLOOKUP(Fri_W1[[#This Row],[Employee Name]],'Base Schedules'!$A$1:$AW$44,44,FALSE)="","",VLOOKUP(Fri_W1[[#This Row],[Employee Name]],'Base Schedules'!$A$1:$AW$44,44,FALSE)),"")</f>
        <v/>
      </c>
      <c r="AT22" s="184" t="str">
        <f>IFERROR(IF(VLOOKUP(Fri_W1[[#This Row],[Employee Name]],'Base Schedules'!$A$1:$AW$44,45,FALSE)="","",VLOOKUP(Fri_W1[[#This Row],[Employee Name]],'Base Schedules'!$A$1:$AW$44,45,FALSE)),"")</f>
        <v/>
      </c>
      <c r="AU22" s="184" t="str">
        <f>IFERROR(IF(VLOOKUP(Fri_W1[[#This Row],[Employee Name]],'Base Schedules'!$A$1:$AW$44,46,FALSE)="","",VLOOKUP(Fri_W1[[#This Row],[Employee Name]],'Base Schedules'!$A$1:$AW$44,46,FALSE)),"")</f>
        <v/>
      </c>
      <c r="AV22" s="184" t="str">
        <f>IFERROR(IF(VLOOKUP(Fri_W1[[#This Row],[Employee Name]],'Base Schedules'!$A$1:$AW$44,47,FALSE)="","",VLOOKUP(Fri_W1[[#This Row],[Employee Name]],'Base Schedules'!$A$1:$AW$44,47,FALSE)),"")</f>
        <v/>
      </c>
      <c r="AW22" s="184" t="str">
        <f>IFERROR(IF(VLOOKUP(Fri_W1[[#This Row],[Employee Name]],'Base Schedules'!$A$1:$AW$44,48,FALSE)="","",VLOOKUP(Fri_W1[[#This Row],[Employee Name]],'Base Schedules'!$A$1:$AW$44,48,FALSE)),"")</f>
        <v/>
      </c>
      <c r="AX22" s="184" t="str">
        <f>IFERROR(IF(VLOOKUP(Fri_W1[[#This Row],[Employee Name]],'Base Schedules'!$A$1:$AW$44,49,FALSE)="","",VLOOKUP(Fri_W1[[#This Row],[Employee Name]],'Base Schedules'!$A$1:$AW$44,49,FALSE)),"")</f>
        <v/>
      </c>
      <c r="AY22" s="245" t="str">
        <f t="shared" si="2"/>
        <v>Martin, Gary</v>
      </c>
    </row>
    <row r="23" spans="1:51" s="44" customFormat="1" ht="11.25" customHeight="1" x14ac:dyDescent="0.2">
      <c r="A23" s="39" t="str">
        <f>IF(B23="","",INDEX(TeamList[],MATCH($B23,TeamList[[Employee Name]:[Employee Name]],0),MATCH("Manager",TeamList[#Headers],0)))</f>
        <v>Paulson, Matthew</v>
      </c>
      <c r="B23" s="201" t="s">
        <v>31</v>
      </c>
      <c r="C23" s="257" t="str">
        <f>_xlfn.IFNA(VLOOKUP(Fri_W1[[#This Row],[Employee Name]],'Base Schedules'!A:B,2,FALSE),"")</f>
        <v>Supervisor</v>
      </c>
      <c r="D23" s="274">
        <f>_xlfn.IFNA(VLOOKUP(Fri_W1[[#This Row],[Employee Name]],'Base Schedules'!A:C,3,FALSE),"")</f>
        <v>730</v>
      </c>
      <c r="E23" s="274">
        <f>_xlfn.IFNA(VLOOKUP(Fri_W1[[#This Row],[Employee Name]],'Base Schedules'!A:D,4,FALSE),"")</f>
        <v>1630</v>
      </c>
      <c r="F23" s="142">
        <f>IF(Fri_W1[[#This Row],[Employee Name]]="","",IF(Fri_W1[[#This Row],[Dept]]="Supervisor",COUNTIFS($J23:$AX23,"*HL*",$J23:$AX23,"&lt;&gt;"&amp;"pHL"),COUNTIFS($J23:$AX23,"*HL*",$J23:$AX23,"&lt;&gt;"&amp;"*pHL*",$J23:$AX23,"&lt;&gt;"&amp;"pB1 HL",$J23:$AX23,"&lt;&gt;"&amp;"pB2 HL")-SUM(COUNTIFS($J23:$AX23,"*HL B1*",$J23:$AX23,"&lt;&gt;"&amp;"pHL B1")*0.5,COUNTIFS($J23:$AX23,"*HL B2*",$J23:$AX23,"&lt;&gt;"&amp;"pHL B2")*0.5,COUNTIFS($J23:$AX23,"*B1 HL*",$J23:$AX23,"&lt;&gt;"&amp;"pB1 HL")*0.5,COUNTIFS($J23:$AX23,"*B2 HL*",$J23:$AX23,"&lt;&gt;"&amp;"pB2 HL")*0.5)))</f>
        <v>0</v>
      </c>
      <c r="G23" s="142">
        <f t="shared" si="0"/>
        <v>4</v>
      </c>
      <c r="H23" s="142">
        <f t="shared" si="1"/>
        <v>0</v>
      </c>
      <c r="I23" s="142">
        <f>IF(Fri_W1[[#This Row],[Employee Name]]="","",IF(Fri_W1[[#This Row],[Dept]]="Supervisor",SUM(COUNTIFS($J23:$AX23,"RTA*",$J23:$AX23,"&lt;&gt;"&amp;"pRTA"),COUNTIFS($J23:$AX23,"*CRTA*",$J23:$AX23,"&lt;&gt;"&amp;"pCRTA")),COUNTIFS($J23:$AX23,"*RNNR*",$J23:$AX23,"&lt;&gt;"&amp;"*pRNNR*",$J23:$AX23,"&lt;&gt;"&amp;"pB1 RNNR",$J23:$AX23,"&lt;&gt;"&amp;"pB2 RNNR")-SUM(COUNTIFS($J23:$AX23,"*RNNR B1*",$J23:$AX23,"&lt;&gt;"&amp;"pRNNR B1")*0.5,COUNTIFS($J23:$AX23,"*RNNR B2*",$J23:$AX23,"&lt;&gt;"&amp;"pRNNR B2")*0.5,COUNTIFS($J23:$AX23,"*B1 RNNR*",$J23:$AX23,"&lt;&gt;"&amp;"pB1 RNNR")*0.5,COUNTIFS($J23:$AX23,"*B2 RNNR*",$J23:$AX23,"&lt;&gt;"&amp;"pB2 RNNR")*0.5)))</f>
        <v>0</v>
      </c>
      <c r="J23" s="184" t="str">
        <f>IFERROR(IF(VLOOKUP(Fri_W1[[#This Row],[Employee Name]],'Base Schedules'!$A$1:$AW$44,9,FALSE)="","",VLOOKUP(Fri_W1[[#This Row],[Employee Name]],'Base Schedules'!$A$1:$AW$44,9,FALSE)),"")</f>
        <v/>
      </c>
      <c r="K23" s="184" t="str">
        <f>IFERROR(IF(VLOOKUP(Fri_W1[[#This Row],[Employee Name]],'Base Schedules'!$A$1:$AW$44,10,FALSE)="","",VLOOKUP(Fri_W1[[#This Row],[Employee Name]],'Base Schedules'!$A$1:$AW$44,10,FALSE)),"")</f>
        <v/>
      </c>
      <c r="L23" s="184" t="str">
        <f>IFERROR(IF(VLOOKUP(Fri_W1[[#This Row],[Employee Name]],'Base Schedules'!$A$1:$AW$44,11,FALSE)="","",VLOOKUP(Fri_W1[[#This Row],[Employee Name]],'Base Schedules'!$A$1:$AW$44,11,FALSE)),"")</f>
        <v/>
      </c>
      <c r="M23" s="184" t="str">
        <f>IFERROR(IF(VLOOKUP(Fri_W1[[#This Row],[Employee Name]],'Base Schedules'!$A$1:$AW$44,12,FALSE)="","",VLOOKUP(Fri_W1[[#This Row],[Employee Name]],'Base Schedules'!$A$1:$AW$44,12,FALSE)),"")</f>
        <v/>
      </c>
      <c r="N23" s="184" t="str">
        <f>IFERROR(IF(VLOOKUP(Fri_W1[[#This Row],[Employee Name]],'Base Schedules'!$A$1:$AW$44,13,FALSE)="","",VLOOKUP(Fri_W1[[#This Row],[Employee Name]],'Base Schedules'!$A$1:$AW$44,13,FALSE)),"")</f>
        <v/>
      </c>
      <c r="O23" s="184" t="str">
        <f>IFERROR(IF(VLOOKUP(Fri_W1[[#This Row],[Employee Name]],'Base Schedules'!$A$1:$AW$44,14,FALSE)="","",VLOOKUP(Fri_W1[[#This Row],[Employee Name]],'Base Schedules'!$A$1:$AW$44,14,FALSE)),"")</f>
        <v>-</v>
      </c>
      <c r="P23" s="184" t="str">
        <f>IFERROR(IF(VLOOKUP(Fri_W1[[#This Row],[Employee Name]],'Base Schedules'!$A$1:$AW$44,15,FALSE)="","",VLOOKUP(Fri_W1[[#This Row],[Employee Name]],'Base Schedules'!$A$1:$AW$44,15,FALSE)),"")</f>
        <v>-</v>
      </c>
      <c r="Q23" s="184" t="str">
        <f>IFERROR(IF(VLOOKUP(Fri_W1[[#This Row],[Employee Name]],'Base Schedules'!$A$1:$AW$44,16,FALSE)="","",VLOOKUP(Fri_W1[[#This Row],[Employee Name]],'Base Schedules'!$A$1:$AW$44,16,FALSE)),"")</f>
        <v>-</v>
      </c>
      <c r="R23" s="184" t="str">
        <f>IFERROR(IF(VLOOKUP(Fri_W1[[#This Row],[Employee Name]],'Base Schedules'!$A$1:$AW$44,17,FALSE)="","",VLOOKUP(Fri_W1[[#This Row],[Employee Name]],'Base Schedules'!$A$1:$AW$44,17,FALSE)),"")</f>
        <v>-</v>
      </c>
      <c r="S23" s="184" t="str">
        <f>IFERROR(IF(VLOOKUP(Fri_W1[[#This Row],[Employee Name]],'Base Schedules'!$A$1:$AW$44,18,FALSE)="","",VLOOKUP(Fri_W1[[#This Row],[Employee Name]],'Base Schedules'!$A$1:$AW$44,18,FALSE)),"")</f>
        <v>-</v>
      </c>
      <c r="T23" s="184" t="str">
        <f>IFERROR(IF(VLOOKUP(Fri_W1[[#This Row],[Employee Name]],'Base Schedules'!$A$1:$AW$44,19,FALSE)="","",VLOOKUP(Fri_W1[[#This Row],[Employee Name]],'Base Schedules'!$A$1:$AW$44,19,FALSE)),"")</f>
        <v>-</v>
      </c>
      <c r="U23" s="184" t="str">
        <f>IFERROR(IF(VLOOKUP(Fri_W1[[#This Row],[Employee Name]],'Base Schedules'!$A$1:$AW$44,20,FALSE)="","",VLOOKUP(Fri_W1[[#This Row],[Employee Name]],'Base Schedules'!$A$1:$AW$44,20,FALSE)),"")</f>
        <v>-</v>
      </c>
      <c r="V23" s="184" t="str">
        <f>IFERROR(IF(VLOOKUP(Fri_W1[[#This Row],[Employee Name]],'Base Schedules'!$A$1:$AW$44,21,FALSE)="","",VLOOKUP(Fri_W1[[#This Row],[Employee Name]],'Base Schedules'!$A$1:$AW$44,21,FALSE)),"")</f>
        <v>Interview</v>
      </c>
      <c r="W23" s="184" t="str">
        <f>IFERROR(IF(VLOOKUP(Fri_W1[[#This Row],[Employee Name]],'Base Schedules'!$A$1:$AW$44,22,FALSE)="","",VLOOKUP(Fri_W1[[#This Row],[Employee Name]],'Base Schedules'!$A$1:$AW$44,22,FALSE)),"")</f>
        <v>Interview</v>
      </c>
      <c r="X23" s="184" t="str">
        <f>IFERROR(IF(VLOOKUP(Fri_W1[[#This Row],[Employee Name]],'Base Schedules'!$A$1:$AW$44,23,FALSE)="","",VLOOKUP(Fri_W1[[#This Row],[Employee Name]],'Base Schedules'!$A$1:$AW$44,23,FALSE)),"")</f>
        <v>-</v>
      </c>
      <c r="Y23" s="184" t="str">
        <f>IFERROR(IF(VLOOKUP(Fri_W1[[#This Row],[Employee Name]],'Base Schedules'!$A$1:$AW$44,24,FALSE)="","",VLOOKUP(Fri_W1[[#This Row],[Employee Name]],'Base Schedules'!$A$1:$AW$44,24,FALSE)),"")</f>
        <v>-</v>
      </c>
      <c r="Z23" s="184" t="str">
        <f>IFERROR(IF(VLOOKUP(Fri_W1[[#This Row],[Employee Name]],'Base Schedules'!$A$1:$AW$44,25,FALSE)="","",VLOOKUP(Fri_W1[[#This Row],[Employee Name]],'Base Schedules'!$A$1:$AW$44,25,FALSE)),"")</f>
        <v>-</v>
      </c>
      <c r="AA23" s="184" t="str">
        <f>IFERROR(IF(VLOOKUP(Fri_W1[[#This Row],[Employee Name]],'Base Schedules'!$A$1:$AW$44,26,FALSE)="","",VLOOKUP(Fri_W1[[#This Row],[Employee Name]],'Base Schedules'!$A$1:$AW$44,26,FALSE)),"")</f>
        <v>-</v>
      </c>
      <c r="AB23" s="184" t="str">
        <f>IFERROR(IF(VLOOKUP(Fri_W1[[#This Row],[Employee Name]],'Base Schedules'!$A$1:$AW$44,27,FALSE)="","",VLOOKUP(Fri_W1[[#This Row],[Employee Name]],'Base Schedules'!$A$1:$AW$44,27,FALSE)),"")</f>
        <v>Coaching</v>
      </c>
      <c r="AC23" s="184" t="str">
        <f>IFERROR(IF(VLOOKUP(Fri_W1[[#This Row],[Employee Name]],'Base Schedules'!$A$1:$AW$44,28,FALSE)="","",VLOOKUP(Fri_W1[[#This Row],[Employee Name]],'Base Schedules'!$A$1:$AW$44,28,FALSE)),"")</f>
        <v>Coaching</v>
      </c>
      <c r="AD23" s="184" t="str">
        <f>IFERROR(IF(VLOOKUP(Fri_W1[[#This Row],[Employee Name]],'Base Schedules'!$A$1:$AW$44,29,FALSE)="","",VLOOKUP(Fri_W1[[#This Row],[Employee Name]],'Base Schedules'!$A$1:$AW$44,29,FALSE)),"")</f>
        <v>Coaching</v>
      </c>
      <c r="AE23" s="184" t="str">
        <f>IFERROR(IF(VLOOKUP(Fri_W1[[#This Row],[Employee Name]],'Base Schedules'!$A$1:$AW$44,30,FALSE)="","",VLOOKUP(Fri_W1[[#This Row],[Employee Name]],'Base Schedules'!$A$1:$AW$44,30,FALSE)),"")</f>
        <v>Coaching</v>
      </c>
      <c r="AF23" s="184" t="str">
        <f>IFERROR(IF(VLOOKUP(Fri_W1[[#This Row],[Employee Name]],'Base Schedules'!$A$1:$AW$44,31,FALSE)="","",VLOOKUP(Fri_W1[[#This Row],[Employee Name]],'Base Schedules'!$A$1:$AW$44,31,FALSE)),"")</f>
        <v>-</v>
      </c>
      <c r="AG23" s="184" t="str">
        <f>IFERROR(IF(VLOOKUP(Fri_W1[[#This Row],[Employee Name]],'Base Schedules'!$A$1:$AW$44,32,FALSE)="","",VLOOKUP(Fri_W1[[#This Row],[Employee Name]],'Base Schedules'!$A$1:$AW$44,32,FALSE)),"")</f>
        <v/>
      </c>
      <c r="AH23" s="184" t="str">
        <f>IFERROR(IF(VLOOKUP(Fri_W1[[#This Row],[Employee Name]],'Base Schedules'!$A$1:$AW$44,33,FALSE)="","",VLOOKUP(Fri_W1[[#This Row],[Employee Name]],'Base Schedules'!$A$1:$AW$44,33,FALSE)),"")</f>
        <v/>
      </c>
      <c r="AI23" s="184" t="str">
        <f>IFERROR(IF(VLOOKUP(Fri_W1[[#This Row],[Employee Name]],'Base Schedules'!$A$1:$AW$44,34,FALSE)="","",VLOOKUP(Fri_W1[[#This Row],[Employee Name]],'Base Schedules'!$A$1:$AW$44,34,FALSE)),"")</f>
        <v/>
      </c>
      <c r="AJ23" s="184" t="str">
        <f>IFERROR(IF(VLOOKUP(Fri_W1[[#This Row],[Employee Name]],'Base Schedules'!$A$1:$AW$44,35,FALSE)="","",VLOOKUP(Fri_W1[[#This Row],[Employee Name]],'Base Schedules'!$A$1:$AW$44,35,FALSE)),"")</f>
        <v/>
      </c>
      <c r="AK23" s="184" t="str">
        <f>IFERROR(IF(VLOOKUP(Fri_W1[[#This Row],[Employee Name]],'Base Schedules'!$A$1:$AW$44,36,FALSE)="","",VLOOKUP(Fri_W1[[#This Row],[Employee Name]],'Base Schedules'!$A$1:$AW$44,36,FALSE)),"")</f>
        <v/>
      </c>
      <c r="AL23" s="184" t="str">
        <f>IFERROR(IF(VLOOKUP(Fri_W1[[#This Row],[Employee Name]],'Base Schedules'!$A$1:$AW$44,37,FALSE)="","",VLOOKUP(Fri_W1[[#This Row],[Employee Name]],'Base Schedules'!$A$1:$AW$44,37,FALSE)),"")</f>
        <v/>
      </c>
      <c r="AM23" s="184" t="str">
        <f>IFERROR(IF(VLOOKUP(Fri_W1[[#This Row],[Employee Name]],'Base Schedules'!$A$1:$AW$44,38,FALSE)="","",VLOOKUP(Fri_W1[[#This Row],[Employee Name]],'Base Schedules'!$A$1:$AW$44,38,FALSE)),"")</f>
        <v/>
      </c>
      <c r="AN23" s="184" t="str">
        <f>IFERROR(IF(VLOOKUP(Fri_W1[[#This Row],[Employee Name]],'Base Schedules'!$A$1:$AW$44,39,FALSE)="","",VLOOKUP(Fri_W1[[#This Row],[Employee Name]],'Base Schedules'!$A$1:$AW$44,39,FALSE)),"")</f>
        <v/>
      </c>
      <c r="AO23" s="184" t="str">
        <f>IFERROR(IF(VLOOKUP(Fri_W1[[#This Row],[Employee Name]],'Base Schedules'!$A$1:$AW$44,40,FALSE)="","",VLOOKUP(Fri_W1[[#This Row],[Employee Name]],'Base Schedules'!$A$1:$AW$44,40,FALSE)),"")</f>
        <v/>
      </c>
      <c r="AP23" s="184" t="str">
        <f>IFERROR(IF(VLOOKUP(Fri_W1[[#This Row],[Employee Name]],'Base Schedules'!$A$1:$AW$44,41,FALSE)="","",VLOOKUP(Fri_W1[[#This Row],[Employee Name]],'Base Schedules'!$A$1:$AW$44,41,FALSE)),"")</f>
        <v/>
      </c>
      <c r="AQ23" s="184" t="str">
        <f>IFERROR(IF(VLOOKUP(Fri_W1[[#This Row],[Employee Name]],'Base Schedules'!$A$1:$AW$44,42,FALSE)="","",VLOOKUP(Fri_W1[[#This Row],[Employee Name]],'Base Schedules'!$A$1:$AW$44,42,FALSE)),"")</f>
        <v/>
      </c>
      <c r="AR23" s="184" t="str">
        <f>IFERROR(IF(VLOOKUP(Fri_W1[[#This Row],[Employee Name]],'Base Schedules'!$A$1:$AW$44,43,FALSE)="","",VLOOKUP(Fri_W1[[#This Row],[Employee Name]],'Base Schedules'!$A$1:$AW$44,43,FALSE)),"")</f>
        <v/>
      </c>
      <c r="AS23" s="184" t="str">
        <f>IFERROR(IF(VLOOKUP(Fri_W1[[#This Row],[Employee Name]],'Base Schedules'!$A$1:$AW$44,44,FALSE)="","",VLOOKUP(Fri_W1[[#This Row],[Employee Name]],'Base Schedules'!$A$1:$AW$44,44,FALSE)),"")</f>
        <v/>
      </c>
      <c r="AT23" s="184" t="str">
        <f>IFERROR(IF(VLOOKUP(Fri_W1[[#This Row],[Employee Name]],'Base Schedules'!$A$1:$AW$44,45,FALSE)="","",VLOOKUP(Fri_W1[[#This Row],[Employee Name]],'Base Schedules'!$A$1:$AW$44,45,FALSE)),"")</f>
        <v/>
      </c>
      <c r="AU23" s="184" t="str">
        <f>IFERROR(IF(VLOOKUP(Fri_W1[[#This Row],[Employee Name]],'Base Schedules'!$A$1:$AW$44,46,FALSE)="","",VLOOKUP(Fri_W1[[#This Row],[Employee Name]],'Base Schedules'!$A$1:$AW$44,46,FALSE)),"")</f>
        <v/>
      </c>
      <c r="AV23" s="184" t="str">
        <f>IFERROR(IF(VLOOKUP(Fri_W1[[#This Row],[Employee Name]],'Base Schedules'!$A$1:$AW$44,47,FALSE)="","",VLOOKUP(Fri_W1[[#This Row],[Employee Name]],'Base Schedules'!$A$1:$AW$44,47,FALSE)),"")</f>
        <v/>
      </c>
      <c r="AW23" s="184" t="str">
        <f>IFERROR(IF(VLOOKUP(Fri_W1[[#This Row],[Employee Name]],'Base Schedules'!$A$1:$AW$44,48,FALSE)="","",VLOOKUP(Fri_W1[[#This Row],[Employee Name]],'Base Schedules'!$A$1:$AW$44,48,FALSE)),"")</f>
        <v/>
      </c>
      <c r="AX23" s="184" t="str">
        <f>IFERROR(IF(VLOOKUP(Fri_W1[[#This Row],[Employee Name]],'Base Schedules'!$A$1:$AW$44,49,FALSE)="","",VLOOKUP(Fri_W1[[#This Row],[Employee Name]],'Base Schedules'!$A$1:$AW$44,49,FALSE)),"")</f>
        <v/>
      </c>
      <c r="AY23" s="245" t="str">
        <f t="shared" si="2"/>
        <v>Garcia, Valentin</v>
      </c>
    </row>
    <row r="24" spans="1:51" s="44" customFormat="1" ht="11.25" customHeight="1" x14ac:dyDescent="0.2">
      <c r="A24" s="39" t="str">
        <f>IF(B24="","",INDEX(TeamList[],MATCH($B24,TeamList[[Employee Name]:[Employee Name]],0),MATCH("Manager",TeamList[#Headers],0)))</f>
        <v>Paulson, Matthew</v>
      </c>
      <c r="B24" s="201" t="s">
        <v>33</v>
      </c>
      <c r="C24" s="257" t="str">
        <f>_xlfn.IFNA(VLOOKUP(Fri_W1[[#This Row],[Employee Name]],'Base Schedules'!A:B,2,FALSE),"")</f>
        <v>Supervisor</v>
      </c>
      <c r="D24" s="274">
        <f>_xlfn.IFNA(VLOOKUP(Fri_W1[[#This Row],[Employee Name]],'Base Schedules'!A:C,3,FALSE),"")</f>
        <v>730</v>
      </c>
      <c r="E24" s="274">
        <f>_xlfn.IFNA(VLOOKUP(Fri_W1[[#This Row],[Employee Name]],'Base Schedules'!A:D,4,FALSE),"")</f>
        <v>1630</v>
      </c>
      <c r="F24" s="142">
        <f>IF(Fri_W1[[#This Row],[Employee Name]]="","",IF(Fri_W1[[#This Row],[Dept]]="Supervisor",COUNTIFS($J24:$AX24,"*HL*",$J24:$AX24,"&lt;&gt;"&amp;"pHL"),COUNTIFS($J24:$AX24,"*HL*",$J24:$AX24,"&lt;&gt;"&amp;"*pHL*",$J24:$AX24,"&lt;&gt;"&amp;"pB1 HL",$J24:$AX24,"&lt;&gt;"&amp;"pB2 HL")-SUM(COUNTIFS($J24:$AX24,"*HL B1*",$J24:$AX24,"&lt;&gt;"&amp;"pHL B1")*0.5,COUNTIFS($J24:$AX24,"*HL B2*",$J24:$AX24,"&lt;&gt;"&amp;"pHL B2")*0.5,COUNTIFS($J24:$AX24,"*B1 HL*",$J24:$AX24,"&lt;&gt;"&amp;"pB1 HL")*0.5,COUNTIFS($J24:$AX24,"*B2 HL*",$J24:$AX24,"&lt;&gt;"&amp;"pB2 HL")*0.5)))</f>
        <v>0</v>
      </c>
      <c r="G24" s="142">
        <f t="shared" si="0"/>
        <v>4</v>
      </c>
      <c r="H24" s="142">
        <f t="shared" si="1"/>
        <v>0</v>
      </c>
      <c r="I24" s="142">
        <f>IF(Fri_W1[[#This Row],[Employee Name]]="","",IF(Fri_W1[[#This Row],[Dept]]="Supervisor",SUM(COUNTIFS($J24:$AX24,"RTA*",$J24:$AX24,"&lt;&gt;"&amp;"pRTA"),COUNTIFS($J24:$AX24,"*CRTA*",$J24:$AX24,"&lt;&gt;"&amp;"pCRTA")),COUNTIFS($J24:$AX24,"*RNNR*",$J24:$AX24,"&lt;&gt;"&amp;"*pRNNR*",$J24:$AX24,"&lt;&gt;"&amp;"pB1 RNNR",$J24:$AX24,"&lt;&gt;"&amp;"pB2 RNNR")-SUM(COUNTIFS($J24:$AX24,"*RNNR B1*",$J24:$AX24,"&lt;&gt;"&amp;"pRNNR B1")*0.5,COUNTIFS($J24:$AX24,"*RNNR B2*",$J24:$AX24,"&lt;&gt;"&amp;"pRNNR B2")*0.5,COUNTIFS($J24:$AX24,"*B1 RNNR*",$J24:$AX24,"&lt;&gt;"&amp;"pB1 RNNR")*0.5,COUNTIFS($J24:$AX24,"*B2 RNNR*",$J24:$AX24,"&lt;&gt;"&amp;"pB2 RNNR")*0.5)))</f>
        <v>0</v>
      </c>
      <c r="J24" s="184" t="str">
        <f>IFERROR(IF(VLOOKUP(Fri_W1[[#This Row],[Employee Name]],'Base Schedules'!$A$1:$AW$44,9,FALSE)="","",VLOOKUP(Fri_W1[[#This Row],[Employee Name]],'Base Schedules'!$A$1:$AW$44,9,FALSE)),"")</f>
        <v/>
      </c>
      <c r="K24" s="184" t="str">
        <f>IFERROR(IF(VLOOKUP(Fri_W1[[#This Row],[Employee Name]],'Base Schedules'!$A$1:$AW$44,10,FALSE)="","",VLOOKUP(Fri_W1[[#This Row],[Employee Name]],'Base Schedules'!$A$1:$AW$44,10,FALSE)),"")</f>
        <v/>
      </c>
      <c r="L24" s="184" t="str">
        <f>IFERROR(IF(VLOOKUP(Fri_W1[[#This Row],[Employee Name]],'Base Schedules'!$A$1:$AW$44,11,FALSE)="","",VLOOKUP(Fri_W1[[#This Row],[Employee Name]],'Base Schedules'!$A$1:$AW$44,11,FALSE)),"")</f>
        <v/>
      </c>
      <c r="M24" s="184" t="str">
        <f>IFERROR(IF(VLOOKUP(Fri_W1[[#This Row],[Employee Name]],'Base Schedules'!$A$1:$AW$44,12,FALSE)="","",VLOOKUP(Fri_W1[[#This Row],[Employee Name]],'Base Schedules'!$A$1:$AW$44,12,FALSE)),"")</f>
        <v/>
      </c>
      <c r="N24" s="184" t="str">
        <f>IFERROR(IF(VLOOKUP(Fri_W1[[#This Row],[Employee Name]],'Base Schedules'!$A$1:$AW$44,13,FALSE)="","",VLOOKUP(Fri_W1[[#This Row],[Employee Name]],'Base Schedules'!$A$1:$AW$44,13,FALSE)),"")</f>
        <v/>
      </c>
      <c r="O24" s="184" t="str">
        <f>IFERROR(IF(VLOOKUP(Fri_W1[[#This Row],[Employee Name]],'Base Schedules'!$A$1:$AW$44,14,FALSE)="","",VLOOKUP(Fri_W1[[#This Row],[Employee Name]],'Base Schedules'!$A$1:$AW$44,14,FALSE)),"")</f>
        <v>-</v>
      </c>
      <c r="P24" s="184" t="str">
        <f>IFERROR(IF(VLOOKUP(Fri_W1[[#This Row],[Employee Name]],'Base Schedules'!$A$1:$AW$44,15,FALSE)="","",VLOOKUP(Fri_W1[[#This Row],[Employee Name]],'Base Schedules'!$A$1:$AW$44,15,FALSE)),"")</f>
        <v>-</v>
      </c>
      <c r="Q24" s="184" t="str">
        <f>IFERROR(IF(VLOOKUP(Fri_W1[[#This Row],[Employee Name]],'Base Schedules'!$A$1:$AW$44,16,FALSE)="","",VLOOKUP(Fri_W1[[#This Row],[Employee Name]],'Base Schedules'!$A$1:$AW$44,16,FALSE)),"")</f>
        <v>-</v>
      </c>
      <c r="R24" s="184" t="str">
        <f>IFERROR(IF(VLOOKUP(Fri_W1[[#This Row],[Employee Name]],'Base Schedules'!$A$1:$AW$44,17,FALSE)="","",VLOOKUP(Fri_W1[[#This Row],[Employee Name]],'Base Schedules'!$A$1:$AW$44,17,FALSE)),"")</f>
        <v>-</v>
      </c>
      <c r="S24" s="184" t="str">
        <f>IFERROR(IF(VLOOKUP(Fri_W1[[#This Row],[Employee Name]],'Base Schedules'!$A$1:$AW$44,18,FALSE)="","",VLOOKUP(Fri_W1[[#This Row],[Employee Name]],'Base Schedules'!$A$1:$AW$44,18,FALSE)),"")</f>
        <v>-</v>
      </c>
      <c r="T24" s="184" t="str">
        <f>IFERROR(IF(VLOOKUP(Fri_W1[[#This Row],[Employee Name]],'Base Schedules'!$A$1:$AW$44,19,FALSE)="","",VLOOKUP(Fri_W1[[#This Row],[Employee Name]],'Base Schedules'!$A$1:$AW$44,19,FALSE)),"")</f>
        <v>-</v>
      </c>
      <c r="U24" s="184" t="str">
        <f>IFERROR(IF(VLOOKUP(Fri_W1[[#This Row],[Employee Name]],'Base Schedules'!$A$1:$AW$44,20,FALSE)="","",VLOOKUP(Fri_W1[[#This Row],[Employee Name]],'Base Schedules'!$A$1:$AW$44,20,FALSE)),"")</f>
        <v>-</v>
      </c>
      <c r="V24" s="184" t="str">
        <f>IFERROR(IF(VLOOKUP(Fri_W1[[#This Row],[Employee Name]],'Base Schedules'!$A$1:$AW$44,21,FALSE)="","",VLOOKUP(Fri_W1[[#This Row],[Employee Name]],'Base Schedules'!$A$1:$AW$44,21,FALSE)),"")</f>
        <v>-</v>
      </c>
      <c r="W24" s="184" t="str">
        <f>IFERROR(IF(VLOOKUP(Fri_W1[[#This Row],[Employee Name]],'Base Schedules'!$A$1:$AW$44,22,FALSE)="","",VLOOKUP(Fri_W1[[#This Row],[Employee Name]],'Base Schedules'!$A$1:$AW$44,22,FALSE)),"")</f>
        <v>-</v>
      </c>
      <c r="X24" s="184" t="str">
        <f>IFERROR(IF(VLOOKUP(Fri_W1[[#This Row],[Employee Name]],'Base Schedules'!$A$1:$AW$44,23,FALSE)="","",VLOOKUP(Fri_W1[[#This Row],[Employee Name]],'Base Schedules'!$A$1:$AW$44,23,FALSE)),"")</f>
        <v>Interview</v>
      </c>
      <c r="Y24" s="184" t="str">
        <f>IFERROR(IF(VLOOKUP(Fri_W1[[#This Row],[Employee Name]],'Base Schedules'!$A$1:$AW$44,24,FALSE)="","",VLOOKUP(Fri_W1[[#This Row],[Employee Name]],'Base Schedules'!$A$1:$AW$44,24,FALSE)),"")</f>
        <v>Interview</v>
      </c>
      <c r="Z24" s="184" t="str">
        <f>IFERROR(IF(VLOOKUP(Fri_W1[[#This Row],[Employee Name]],'Base Schedules'!$A$1:$AW$44,25,FALSE)="","",VLOOKUP(Fri_W1[[#This Row],[Employee Name]],'Base Schedules'!$A$1:$AW$44,25,FALSE)),"")</f>
        <v>-</v>
      </c>
      <c r="AA24" s="184" t="str">
        <f>IFERROR(IF(VLOOKUP(Fri_W1[[#This Row],[Employee Name]],'Base Schedules'!$A$1:$AW$44,26,FALSE)="","",VLOOKUP(Fri_W1[[#This Row],[Employee Name]],'Base Schedules'!$A$1:$AW$44,26,FALSE)),"")</f>
        <v>-</v>
      </c>
      <c r="AB24" s="184" t="str">
        <f>IFERROR(IF(VLOOKUP(Fri_W1[[#This Row],[Employee Name]],'Base Schedules'!$A$1:$AW$44,27,FALSE)="","",VLOOKUP(Fri_W1[[#This Row],[Employee Name]],'Base Schedules'!$A$1:$AW$44,27,FALSE)),"")</f>
        <v>-</v>
      </c>
      <c r="AC24" s="184" t="str">
        <f>IFERROR(IF(VLOOKUP(Fri_W1[[#This Row],[Employee Name]],'Base Schedules'!$A$1:$AW$44,28,FALSE)="","",VLOOKUP(Fri_W1[[#This Row],[Employee Name]],'Base Schedules'!$A$1:$AW$44,28,FALSE)),"")</f>
        <v>Coaching</v>
      </c>
      <c r="AD24" s="184" t="str">
        <f>IFERROR(IF(VLOOKUP(Fri_W1[[#This Row],[Employee Name]],'Base Schedules'!$A$1:$AW$44,29,FALSE)="","",VLOOKUP(Fri_W1[[#This Row],[Employee Name]],'Base Schedules'!$A$1:$AW$44,29,FALSE)),"")</f>
        <v>Coaching</v>
      </c>
      <c r="AE24" s="184" t="str">
        <f>IFERROR(IF(VLOOKUP(Fri_W1[[#This Row],[Employee Name]],'Base Schedules'!$A$1:$AW$44,30,FALSE)="","",VLOOKUP(Fri_W1[[#This Row],[Employee Name]],'Base Schedules'!$A$1:$AW$44,30,FALSE)),"")</f>
        <v>Coaching</v>
      </c>
      <c r="AF24" s="184" t="str">
        <f>IFERROR(IF(VLOOKUP(Fri_W1[[#This Row],[Employee Name]],'Base Schedules'!$A$1:$AW$44,31,FALSE)="","",VLOOKUP(Fri_W1[[#This Row],[Employee Name]],'Base Schedules'!$A$1:$AW$44,31,FALSE)),"")</f>
        <v>Coaching</v>
      </c>
      <c r="AG24" s="184" t="str">
        <f>IFERROR(IF(VLOOKUP(Fri_W1[[#This Row],[Employee Name]],'Base Schedules'!$A$1:$AW$44,32,FALSE)="","",VLOOKUP(Fri_W1[[#This Row],[Employee Name]],'Base Schedules'!$A$1:$AW$44,32,FALSE)),"")</f>
        <v/>
      </c>
      <c r="AH24" s="184" t="str">
        <f>IFERROR(IF(VLOOKUP(Fri_W1[[#This Row],[Employee Name]],'Base Schedules'!$A$1:$AW$44,33,FALSE)="","",VLOOKUP(Fri_W1[[#This Row],[Employee Name]],'Base Schedules'!$A$1:$AW$44,33,FALSE)),"")</f>
        <v/>
      </c>
      <c r="AI24" s="184" t="str">
        <f>IFERROR(IF(VLOOKUP(Fri_W1[[#This Row],[Employee Name]],'Base Schedules'!$A$1:$AW$44,34,FALSE)="","",VLOOKUP(Fri_W1[[#This Row],[Employee Name]],'Base Schedules'!$A$1:$AW$44,34,FALSE)),"")</f>
        <v/>
      </c>
      <c r="AJ24" s="184" t="str">
        <f>IFERROR(IF(VLOOKUP(Fri_W1[[#This Row],[Employee Name]],'Base Schedules'!$A$1:$AW$44,35,FALSE)="","",VLOOKUP(Fri_W1[[#This Row],[Employee Name]],'Base Schedules'!$A$1:$AW$44,35,FALSE)),"")</f>
        <v/>
      </c>
      <c r="AK24" s="184" t="str">
        <f>IFERROR(IF(VLOOKUP(Fri_W1[[#This Row],[Employee Name]],'Base Schedules'!$A$1:$AW$44,36,FALSE)="","",VLOOKUP(Fri_W1[[#This Row],[Employee Name]],'Base Schedules'!$A$1:$AW$44,36,FALSE)),"")</f>
        <v/>
      </c>
      <c r="AL24" s="184" t="str">
        <f>IFERROR(IF(VLOOKUP(Fri_W1[[#This Row],[Employee Name]],'Base Schedules'!$A$1:$AW$44,37,FALSE)="","",VLOOKUP(Fri_W1[[#This Row],[Employee Name]],'Base Schedules'!$A$1:$AW$44,37,FALSE)),"")</f>
        <v/>
      </c>
      <c r="AM24" s="184" t="str">
        <f>IFERROR(IF(VLOOKUP(Fri_W1[[#This Row],[Employee Name]],'Base Schedules'!$A$1:$AW$44,38,FALSE)="","",VLOOKUP(Fri_W1[[#This Row],[Employee Name]],'Base Schedules'!$A$1:$AW$44,38,FALSE)),"")</f>
        <v/>
      </c>
      <c r="AN24" s="184" t="str">
        <f>IFERROR(IF(VLOOKUP(Fri_W1[[#This Row],[Employee Name]],'Base Schedules'!$A$1:$AW$44,39,FALSE)="","",VLOOKUP(Fri_W1[[#This Row],[Employee Name]],'Base Schedules'!$A$1:$AW$44,39,FALSE)),"")</f>
        <v/>
      </c>
      <c r="AO24" s="184" t="str">
        <f>IFERROR(IF(VLOOKUP(Fri_W1[[#This Row],[Employee Name]],'Base Schedules'!$A$1:$AW$44,40,FALSE)="","",VLOOKUP(Fri_W1[[#This Row],[Employee Name]],'Base Schedules'!$A$1:$AW$44,40,FALSE)),"")</f>
        <v/>
      </c>
      <c r="AP24" s="184" t="str">
        <f>IFERROR(IF(VLOOKUP(Fri_W1[[#This Row],[Employee Name]],'Base Schedules'!$A$1:$AW$44,41,FALSE)="","",VLOOKUP(Fri_W1[[#This Row],[Employee Name]],'Base Schedules'!$A$1:$AW$44,41,FALSE)),"")</f>
        <v/>
      </c>
      <c r="AQ24" s="184" t="str">
        <f>IFERROR(IF(VLOOKUP(Fri_W1[[#This Row],[Employee Name]],'Base Schedules'!$A$1:$AW$44,42,FALSE)="","",VLOOKUP(Fri_W1[[#This Row],[Employee Name]],'Base Schedules'!$A$1:$AW$44,42,FALSE)),"")</f>
        <v/>
      </c>
      <c r="AR24" s="184" t="str">
        <f>IFERROR(IF(VLOOKUP(Fri_W1[[#This Row],[Employee Name]],'Base Schedules'!$A$1:$AW$44,43,FALSE)="","",VLOOKUP(Fri_W1[[#This Row],[Employee Name]],'Base Schedules'!$A$1:$AW$44,43,FALSE)),"")</f>
        <v/>
      </c>
      <c r="AS24" s="184" t="str">
        <f>IFERROR(IF(VLOOKUP(Fri_W1[[#This Row],[Employee Name]],'Base Schedules'!$A$1:$AW$44,44,FALSE)="","",VLOOKUP(Fri_W1[[#This Row],[Employee Name]],'Base Schedules'!$A$1:$AW$44,44,FALSE)),"")</f>
        <v/>
      </c>
      <c r="AT24" s="184" t="str">
        <f>IFERROR(IF(VLOOKUP(Fri_W1[[#This Row],[Employee Name]],'Base Schedules'!$A$1:$AW$44,45,FALSE)="","",VLOOKUP(Fri_W1[[#This Row],[Employee Name]],'Base Schedules'!$A$1:$AW$44,45,FALSE)),"")</f>
        <v/>
      </c>
      <c r="AU24" s="184" t="str">
        <f>IFERROR(IF(VLOOKUP(Fri_W1[[#This Row],[Employee Name]],'Base Schedules'!$A$1:$AW$44,46,FALSE)="","",VLOOKUP(Fri_W1[[#This Row],[Employee Name]],'Base Schedules'!$A$1:$AW$44,46,FALSE)),"")</f>
        <v/>
      </c>
      <c r="AV24" s="184" t="str">
        <f>IFERROR(IF(VLOOKUP(Fri_W1[[#This Row],[Employee Name]],'Base Schedules'!$A$1:$AW$44,47,FALSE)="","",VLOOKUP(Fri_W1[[#This Row],[Employee Name]],'Base Schedules'!$A$1:$AW$44,47,FALSE)),"")</f>
        <v/>
      </c>
      <c r="AW24" s="184" t="str">
        <f>IFERROR(IF(VLOOKUP(Fri_W1[[#This Row],[Employee Name]],'Base Schedules'!$A$1:$AW$44,48,FALSE)="","",VLOOKUP(Fri_W1[[#This Row],[Employee Name]],'Base Schedules'!$A$1:$AW$44,48,FALSE)),"")</f>
        <v/>
      </c>
      <c r="AX24" s="184" t="str">
        <f>IFERROR(IF(VLOOKUP(Fri_W1[[#This Row],[Employee Name]],'Base Schedules'!$A$1:$AW$44,49,FALSE)="","",VLOOKUP(Fri_W1[[#This Row],[Employee Name]],'Base Schedules'!$A$1:$AW$44,49,FALSE)),"")</f>
        <v/>
      </c>
      <c r="AY24" s="245" t="str">
        <f t="shared" si="2"/>
        <v>Parkin-Rego, Kimberlee</v>
      </c>
    </row>
    <row r="25" spans="1:51" s="44" customFormat="1" ht="11.25" customHeight="1" x14ac:dyDescent="0.2">
      <c r="A25" s="39" t="str">
        <f>IF(B25="","",INDEX(TeamList[],MATCH($B25,TeamList[[Employee Name]:[Employee Name]],0),MATCH("Manager",TeamList[#Headers],0)))</f>
        <v>Olson, Katherine</v>
      </c>
      <c r="B25" s="201" t="s">
        <v>49</v>
      </c>
      <c r="C25" s="257" t="str">
        <f>_xlfn.IFNA(VLOOKUP(Fri_W1[[#This Row],[Employee Name]],'Base Schedules'!A:B,2,FALSE),"")</f>
        <v>Supervisor</v>
      </c>
      <c r="D25" s="274">
        <f>_xlfn.IFNA(VLOOKUP(Fri_W1[[#This Row],[Employee Name]],'Base Schedules'!A:C,3,FALSE),"")</f>
        <v>800</v>
      </c>
      <c r="E25" s="274">
        <f>_xlfn.IFNA(VLOOKUP(Fri_W1[[#This Row],[Employee Name]],'Base Schedules'!A:D,4,FALSE),"")</f>
        <v>1700</v>
      </c>
      <c r="F25" s="142">
        <f>IF(Fri_W1[[#This Row],[Employee Name]]="","",IF(Fri_W1[[#This Row],[Dept]]="Supervisor",COUNTIFS($J25:$AX25,"*HL*",$J25:$AX25,"&lt;&gt;"&amp;"pHL"),COUNTIFS($J25:$AX25,"*HL*",$J25:$AX25,"&lt;&gt;"&amp;"*pHL*",$J25:$AX25,"&lt;&gt;"&amp;"pB1 HL",$J25:$AX25,"&lt;&gt;"&amp;"pB2 HL")-SUM(COUNTIFS($J25:$AX25,"*HL B1*",$J25:$AX25,"&lt;&gt;"&amp;"pHL B1")*0.5,COUNTIFS($J25:$AX25,"*HL B2*",$J25:$AX25,"&lt;&gt;"&amp;"pHL B2")*0.5,COUNTIFS($J25:$AX25,"*B1 HL*",$J25:$AX25,"&lt;&gt;"&amp;"pB1 HL")*0.5,COUNTIFS($J25:$AX25,"*B2 HL*",$J25:$AX25,"&lt;&gt;"&amp;"pB2 HL")*0.5)))</f>
        <v>0</v>
      </c>
      <c r="G25" s="142">
        <f t="shared" si="0"/>
        <v>4</v>
      </c>
      <c r="H25" s="142">
        <f t="shared" si="1"/>
        <v>0</v>
      </c>
      <c r="I25" s="142">
        <f>IF(Fri_W1[[#This Row],[Employee Name]]="","",IF(Fri_W1[[#This Row],[Dept]]="Supervisor",SUM(COUNTIFS($J25:$AX25,"RTA*",$J25:$AX25,"&lt;&gt;"&amp;"pRTA"),COUNTIFS($J25:$AX25,"*CRTA*",$J25:$AX25,"&lt;&gt;"&amp;"pCRTA")),COUNTIFS($J25:$AX25,"*RNNR*",$J25:$AX25,"&lt;&gt;"&amp;"*pRNNR*",$J25:$AX25,"&lt;&gt;"&amp;"pB1 RNNR",$J25:$AX25,"&lt;&gt;"&amp;"pB2 RNNR")-SUM(COUNTIFS($J25:$AX25,"*RNNR B1*",$J25:$AX25,"&lt;&gt;"&amp;"pRNNR B1")*0.5,COUNTIFS($J25:$AX25,"*RNNR B2*",$J25:$AX25,"&lt;&gt;"&amp;"pRNNR B2")*0.5,COUNTIFS($J25:$AX25,"*B1 RNNR*",$J25:$AX25,"&lt;&gt;"&amp;"pB1 RNNR")*0.5,COUNTIFS($J25:$AX25,"*B2 RNNR*",$J25:$AX25,"&lt;&gt;"&amp;"pB2 RNNR")*0.5)))</f>
        <v>0</v>
      </c>
      <c r="J25" s="184" t="str">
        <f>IFERROR(IF(VLOOKUP(Fri_W1[[#This Row],[Employee Name]],'Base Schedules'!$A$1:$AW$44,9,FALSE)="","",VLOOKUP(Fri_W1[[#This Row],[Employee Name]],'Base Schedules'!$A$1:$AW$44,9,FALSE)),"")</f>
        <v/>
      </c>
      <c r="K25" s="184" t="str">
        <f>IFERROR(IF(VLOOKUP(Fri_W1[[#This Row],[Employee Name]],'Base Schedules'!$A$1:$AW$44,10,FALSE)="","",VLOOKUP(Fri_W1[[#This Row],[Employee Name]],'Base Schedules'!$A$1:$AW$44,10,FALSE)),"")</f>
        <v/>
      </c>
      <c r="L25" s="184" t="str">
        <f>IFERROR(IF(VLOOKUP(Fri_W1[[#This Row],[Employee Name]],'Base Schedules'!$A$1:$AW$44,11,FALSE)="","",VLOOKUP(Fri_W1[[#This Row],[Employee Name]],'Base Schedules'!$A$1:$AW$44,11,FALSE)),"")</f>
        <v/>
      </c>
      <c r="M25" s="184" t="str">
        <f>IFERROR(IF(VLOOKUP(Fri_W1[[#This Row],[Employee Name]],'Base Schedules'!$A$1:$AW$44,12,FALSE)="","",VLOOKUP(Fri_W1[[#This Row],[Employee Name]],'Base Schedules'!$A$1:$AW$44,12,FALSE)),"")</f>
        <v/>
      </c>
      <c r="N25" s="184" t="str">
        <f>IFERROR(IF(VLOOKUP(Fri_W1[[#This Row],[Employee Name]],'Base Schedules'!$A$1:$AW$44,13,FALSE)="","",VLOOKUP(Fri_W1[[#This Row],[Employee Name]],'Base Schedules'!$A$1:$AW$44,13,FALSE)),"")</f>
        <v/>
      </c>
      <c r="O25" s="184" t="str">
        <f>IFERROR(IF(VLOOKUP(Fri_W1[[#This Row],[Employee Name]],'Base Schedules'!$A$1:$AW$44,14,FALSE)="","",VLOOKUP(Fri_W1[[#This Row],[Employee Name]],'Base Schedules'!$A$1:$AW$44,14,FALSE)),"")</f>
        <v/>
      </c>
      <c r="P25" s="184" t="str">
        <f>IFERROR(IF(VLOOKUP(Fri_W1[[#This Row],[Employee Name]],'Base Schedules'!$A$1:$AW$44,15,FALSE)="","",VLOOKUP(Fri_W1[[#This Row],[Employee Name]],'Base Schedules'!$A$1:$AW$44,15,FALSE)),"")</f>
        <v>-</v>
      </c>
      <c r="Q25" s="184" t="str">
        <f>IFERROR(IF(VLOOKUP(Fri_W1[[#This Row],[Employee Name]],'Base Schedules'!$A$1:$AW$44,16,FALSE)="","",VLOOKUP(Fri_W1[[#This Row],[Employee Name]],'Base Schedules'!$A$1:$AW$44,16,FALSE)),"")</f>
        <v>-</v>
      </c>
      <c r="R25" s="184" t="str">
        <f>IFERROR(IF(VLOOKUP(Fri_W1[[#This Row],[Employee Name]],'Base Schedules'!$A$1:$AW$44,17,FALSE)="","",VLOOKUP(Fri_W1[[#This Row],[Employee Name]],'Base Schedules'!$A$1:$AW$44,17,FALSE)),"")</f>
        <v>-</v>
      </c>
      <c r="S25" s="184" t="str">
        <f>IFERROR(IF(VLOOKUP(Fri_W1[[#This Row],[Employee Name]],'Base Schedules'!$A$1:$AW$44,18,FALSE)="","",VLOOKUP(Fri_W1[[#This Row],[Employee Name]],'Base Schedules'!$A$1:$AW$44,18,FALSE)),"")</f>
        <v>-</v>
      </c>
      <c r="T25" s="184" t="str">
        <f>IFERROR(IF(VLOOKUP(Fri_W1[[#This Row],[Employee Name]],'Base Schedules'!$A$1:$AW$44,19,FALSE)="","",VLOOKUP(Fri_W1[[#This Row],[Employee Name]],'Base Schedules'!$A$1:$AW$44,19,FALSE)),"")</f>
        <v>-</v>
      </c>
      <c r="U25" s="184" t="str">
        <f>IFERROR(IF(VLOOKUP(Fri_W1[[#This Row],[Employee Name]],'Base Schedules'!$A$1:$AW$44,20,FALSE)="","",VLOOKUP(Fri_W1[[#This Row],[Employee Name]],'Base Schedules'!$A$1:$AW$44,20,FALSE)),"")</f>
        <v>-</v>
      </c>
      <c r="V25" s="184" t="str">
        <f>IFERROR(IF(VLOOKUP(Fri_W1[[#This Row],[Employee Name]],'Base Schedules'!$A$1:$AW$44,21,FALSE)="","",VLOOKUP(Fri_W1[[#This Row],[Employee Name]],'Base Schedules'!$A$1:$AW$44,21,FALSE)),"")</f>
        <v>-</v>
      </c>
      <c r="W25" s="184" t="str">
        <f>IFERROR(IF(VLOOKUP(Fri_W1[[#This Row],[Employee Name]],'Base Schedules'!$A$1:$AW$44,22,FALSE)="","",VLOOKUP(Fri_W1[[#This Row],[Employee Name]],'Base Schedules'!$A$1:$AW$44,22,FALSE)),"")</f>
        <v>-</v>
      </c>
      <c r="X25" s="184" t="str">
        <f>IFERROR(IF(VLOOKUP(Fri_W1[[#This Row],[Employee Name]],'Base Schedules'!$A$1:$AW$44,23,FALSE)="","",VLOOKUP(Fri_W1[[#This Row],[Employee Name]],'Base Schedules'!$A$1:$AW$44,23,FALSE)),"")</f>
        <v>-</v>
      </c>
      <c r="Y25" s="184" t="str">
        <f>IFERROR(IF(VLOOKUP(Fri_W1[[#This Row],[Employee Name]],'Base Schedules'!$A$1:$AW$44,24,FALSE)="","",VLOOKUP(Fri_W1[[#This Row],[Employee Name]],'Base Schedules'!$A$1:$AW$44,24,FALSE)),"")</f>
        <v>-</v>
      </c>
      <c r="Z25" s="184" t="str">
        <f>IFERROR(IF(VLOOKUP(Fri_W1[[#This Row],[Employee Name]],'Base Schedules'!$A$1:$AW$44,25,FALSE)="","",VLOOKUP(Fri_W1[[#This Row],[Employee Name]],'Base Schedules'!$A$1:$AW$44,25,FALSE)),"")</f>
        <v>Coaching</v>
      </c>
      <c r="AA25" s="184" t="str">
        <f>IFERROR(IF(VLOOKUP(Fri_W1[[#This Row],[Employee Name]],'Base Schedules'!$A$1:$AW$44,26,FALSE)="","",VLOOKUP(Fri_W1[[#This Row],[Employee Name]],'Base Schedules'!$A$1:$AW$44,26,FALSE)),"")</f>
        <v>Coaching</v>
      </c>
      <c r="AB25" s="184" t="str">
        <f>IFERROR(IF(VLOOKUP(Fri_W1[[#This Row],[Employee Name]],'Base Schedules'!$A$1:$AW$44,27,FALSE)="","",VLOOKUP(Fri_W1[[#This Row],[Employee Name]],'Base Schedules'!$A$1:$AW$44,27,FALSE)),"")</f>
        <v>Coaching</v>
      </c>
      <c r="AC25" s="184" t="str">
        <f>IFERROR(IF(VLOOKUP(Fri_W1[[#This Row],[Employee Name]],'Base Schedules'!$A$1:$AW$44,28,FALSE)="","",VLOOKUP(Fri_W1[[#This Row],[Employee Name]],'Base Schedules'!$A$1:$AW$44,28,FALSE)),"")</f>
        <v>Coaching</v>
      </c>
      <c r="AD25" s="184" t="str">
        <f>IFERROR(IF(VLOOKUP(Fri_W1[[#This Row],[Employee Name]],'Base Schedules'!$A$1:$AW$44,29,FALSE)="","",VLOOKUP(Fri_W1[[#This Row],[Employee Name]],'Base Schedules'!$A$1:$AW$44,29,FALSE)),"")</f>
        <v>-</v>
      </c>
      <c r="AE25" s="184" t="str">
        <f>IFERROR(IF(VLOOKUP(Fri_W1[[#This Row],[Employee Name]],'Base Schedules'!$A$1:$AW$44,30,FALSE)="","",VLOOKUP(Fri_W1[[#This Row],[Employee Name]],'Base Schedules'!$A$1:$AW$44,30,FALSE)),"")</f>
        <v>-</v>
      </c>
      <c r="AF25" s="184" t="str">
        <f>IFERROR(IF(VLOOKUP(Fri_W1[[#This Row],[Employee Name]],'Base Schedules'!$A$1:$AW$44,31,FALSE)="","",VLOOKUP(Fri_W1[[#This Row],[Employee Name]],'Base Schedules'!$A$1:$AW$44,31,FALSE)),"")</f>
        <v>-</v>
      </c>
      <c r="AG25" s="184" t="str">
        <f>IFERROR(IF(VLOOKUP(Fri_W1[[#This Row],[Employee Name]],'Base Schedules'!$A$1:$AW$44,32,FALSE)="","",VLOOKUP(Fri_W1[[#This Row],[Employee Name]],'Base Schedules'!$A$1:$AW$44,32,FALSE)),"")</f>
        <v>-</v>
      </c>
      <c r="AH25" s="184" t="str">
        <f>IFERROR(IF(VLOOKUP(Fri_W1[[#This Row],[Employee Name]],'Base Schedules'!$A$1:$AW$44,33,FALSE)="","",VLOOKUP(Fri_W1[[#This Row],[Employee Name]],'Base Schedules'!$A$1:$AW$44,33,FALSE)),"")</f>
        <v/>
      </c>
      <c r="AI25" s="184" t="str">
        <f>IFERROR(IF(VLOOKUP(Fri_W1[[#This Row],[Employee Name]],'Base Schedules'!$A$1:$AW$44,34,FALSE)="","",VLOOKUP(Fri_W1[[#This Row],[Employee Name]],'Base Schedules'!$A$1:$AW$44,34,FALSE)),"")</f>
        <v/>
      </c>
      <c r="AJ25" s="184" t="str">
        <f>IFERROR(IF(VLOOKUP(Fri_W1[[#This Row],[Employee Name]],'Base Schedules'!$A$1:$AW$44,35,FALSE)="","",VLOOKUP(Fri_W1[[#This Row],[Employee Name]],'Base Schedules'!$A$1:$AW$44,35,FALSE)),"")</f>
        <v/>
      </c>
      <c r="AK25" s="184" t="str">
        <f>IFERROR(IF(VLOOKUP(Fri_W1[[#This Row],[Employee Name]],'Base Schedules'!$A$1:$AW$44,36,FALSE)="","",VLOOKUP(Fri_W1[[#This Row],[Employee Name]],'Base Schedules'!$A$1:$AW$44,36,FALSE)),"")</f>
        <v/>
      </c>
      <c r="AL25" s="184" t="str">
        <f>IFERROR(IF(VLOOKUP(Fri_W1[[#This Row],[Employee Name]],'Base Schedules'!$A$1:$AW$44,37,FALSE)="","",VLOOKUP(Fri_W1[[#This Row],[Employee Name]],'Base Schedules'!$A$1:$AW$44,37,FALSE)),"")</f>
        <v/>
      </c>
      <c r="AM25" s="184" t="str">
        <f>IFERROR(IF(VLOOKUP(Fri_W1[[#This Row],[Employee Name]],'Base Schedules'!$A$1:$AW$44,38,FALSE)="","",VLOOKUP(Fri_W1[[#This Row],[Employee Name]],'Base Schedules'!$A$1:$AW$44,38,FALSE)),"")</f>
        <v/>
      </c>
      <c r="AN25" s="184" t="str">
        <f>IFERROR(IF(VLOOKUP(Fri_W1[[#This Row],[Employee Name]],'Base Schedules'!$A$1:$AW$44,39,FALSE)="","",VLOOKUP(Fri_W1[[#This Row],[Employee Name]],'Base Schedules'!$A$1:$AW$44,39,FALSE)),"")</f>
        <v/>
      </c>
      <c r="AO25" s="184" t="str">
        <f>IFERROR(IF(VLOOKUP(Fri_W1[[#This Row],[Employee Name]],'Base Schedules'!$A$1:$AW$44,40,FALSE)="","",VLOOKUP(Fri_W1[[#This Row],[Employee Name]],'Base Schedules'!$A$1:$AW$44,40,FALSE)),"")</f>
        <v/>
      </c>
      <c r="AP25" s="184" t="str">
        <f>IFERROR(IF(VLOOKUP(Fri_W1[[#This Row],[Employee Name]],'Base Schedules'!$A$1:$AW$44,41,FALSE)="","",VLOOKUP(Fri_W1[[#This Row],[Employee Name]],'Base Schedules'!$A$1:$AW$44,41,FALSE)),"")</f>
        <v/>
      </c>
      <c r="AQ25" s="184" t="str">
        <f>IFERROR(IF(VLOOKUP(Fri_W1[[#This Row],[Employee Name]],'Base Schedules'!$A$1:$AW$44,42,FALSE)="","",VLOOKUP(Fri_W1[[#This Row],[Employee Name]],'Base Schedules'!$A$1:$AW$44,42,FALSE)),"")</f>
        <v/>
      </c>
      <c r="AR25" s="184" t="str">
        <f>IFERROR(IF(VLOOKUP(Fri_W1[[#This Row],[Employee Name]],'Base Schedules'!$A$1:$AW$44,43,FALSE)="","",VLOOKUP(Fri_W1[[#This Row],[Employee Name]],'Base Schedules'!$A$1:$AW$44,43,FALSE)),"")</f>
        <v/>
      </c>
      <c r="AS25" s="184" t="str">
        <f>IFERROR(IF(VLOOKUP(Fri_W1[[#This Row],[Employee Name]],'Base Schedules'!$A$1:$AW$44,44,FALSE)="","",VLOOKUP(Fri_W1[[#This Row],[Employee Name]],'Base Schedules'!$A$1:$AW$44,44,FALSE)),"")</f>
        <v/>
      </c>
      <c r="AT25" s="184" t="str">
        <f>IFERROR(IF(VLOOKUP(Fri_W1[[#This Row],[Employee Name]],'Base Schedules'!$A$1:$AW$44,45,FALSE)="","",VLOOKUP(Fri_W1[[#This Row],[Employee Name]],'Base Schedules'!$A$1:$AW$44,45,FALSE)),"")</f>
        <v/>
      </c>
      <c r="AU25" s="184" t="str">
        <f>IFERROR(IF(VLOOKUP(Fri_W1[[#This Row],[Employee Name]],'Base Schedules'!$A$1:$AW$44,46,FALSE)="","",VLOOKUP(Fri_W1[[#This Row],[Employee Name]],'Base Schedules'!$A$1:$AW$44,46,FALSE)),"")</f>
        <v/>
      </c>
      <c r="AV25" s="184" t="str">
        <f>IFERROR(IF(VLOOKUP(Fri_W1[[#This Row],[Employee Name]],'Base Schedules'!$A$1:$AW$44,47,FALSE)="","",VLOOKUP(Fri_W1[[#This Row],[Employee Name]],'Base Schedules'!$A$1:$AW$44,47,FALSE)),"")</f>
        <v/>
      </c>
      <c r="AW25" s="184" t="str">
        <f>IFERROR(IF(VLOOKUP(Fri_W1[[#This Row],[Employee Name]],'Base Schedules'!$A$1:$AW$44,48,FALSE)="","",VLOOKUP(Fri_W1[[#This Row],[Employee Name]],'Base Schedules'!$A$1:$AW$44,48,FALSE)),"")</f>
        <v/>
      </c>
      <c r="AX25" s="184" t="str">
        <f>IFERROR(IF(VLOOKUP(Fri_W1[[#This Row],[Employee Name]],'Base Schedules'!$A$1:$AW$44,49,FALSE)="","",VLOOKUP(Fri_W1[[#This Row],[Employee Name]],'Base Schedules'!$A$1:$AW$44,49,FALSE)),"")</f>
        <v/>
      </c>
      <c r="AY25" s="245" t="str">
        <f t="shared" si="2"/>
        <v>Olson, Dan</v>
      </c>
    </row>
    <row r="26" spans="1:51" s="44" customFormat="1" ht="11.25" customHeight="1" x14ac:dyDescent="0.2">
      <c r="A26" s="39" t="str">
        <f>IF(B26="","",INDEX(TeamList[],MATCH($B26,TeamList[[Employee Name]:[Employee Name]],0),MATCH("Manager",TeamList[#Headers],0)))</f>
        <v>Ahmed Hassan, Zahra</v>
      </c>
      <c r="B26" s="201" t="s">
        <v>53</v>
      </c>
      <c r="C26" s="257" t="str">
        <f>_xlfn.IFNA(VLOOKUP(Fri_W1[[#This Row],[Employee Name]],'Base Schedules'!A:B,2,FALSE),"")</f>
        <v>Supervisor</v>
      </c>
      <c r="D26" s="274">
        <f>_xlfn.IFNA(VLOOKUP(Fri_W1[[#This Row],[Employee Name]],'Base Schedules'!A:C,3,FALSE),"")</f>
        <v>830</v>
      </c>
      <c r="E26" s="274">
        <f>_xlfn.IFNA(VLOOKUP(Fri_W1[[#This Row],[Employee Name]],'Base Schedules'!A:D,4,FALSE),"")</f>
        <v>1730</v>
      </c>
      <c r="F26" s="142">
        <f>IF(Fri_W1[[#This Row],[Employee Name]]="","",IF(Fri_W1[[#This Row],[Dept]]="Supervisor",COUNTIFS($J26:$AX26,"*HL*",$J26:$AX26,"&lt;&gt;"&amp;"pHL"),COUNTIFS($J26:$AX26,"*HL*",$J26:$AX26,"&lt;&gt;"&amp;"*pHL*",$J26:$AX26,"&lt;&gt;"&amp;"pB1 HL",$J26:$AX26,"&lt;&gt;"&amp;"pB2 HL")-SUM(COUNTIFS($J26:$AX26,"*HL B1*",$J26:$AX26,"&lt;&gt;"&amp;"pHL B1")*0.5,COUNTIFS($J26:$AX26,"*HL B2*",$J26:$AX26,"&lt;&gt;"&amp;"pHL B2")*0.5,COUNTIFS($J26:$AX26,"*B1 HL*",$J26:$AX26,"&lt;&gt;"&amp;"pB1 HL")*0.5,COUNTIFS($J26:$AX26,"*B2 HL*",$J26:$AX26,"&lt;&gt;"&amp;"pB2 HL")*0.5)))</f>
        <v>0</v>
      </c>
      <c r="G26" s="142">
        <f t="shared" si="0"/>
        <v>4</v>
      </c>
      <c r="H26" s="142">
        <f t="shared" si="1"/>
        <v>0</v>
      </c>
      <c r="I26" s="142">
        <f>IF(Fri_W1[[#This Row],[Employee Name]]="","",IF(Fri_W1[[#This Row],[Dept]]="Supervisor",SUM(COUNTIFS($J26:$AX26,"RTA*",$J26:$AX26,"&lt;&gt;"&amp;"pRTA"),COUNTIFS($J26:$AX26,"*CRTA*",$J26:$AX26,"&lt;&gt;"&amp;"pCRTA")),COUNTIFS($J26:$AX26,"*RNNR*",$J26:$AX26,"&lt;&gt;"&amp;"*pRNNR*",$J26:$AX26,"&lt;&gt;"&amp;"pB1 RNNR",$J26:$AX26,"&lt;&gt;"&amp;"pB2 RNNR")-SUM(COUNTIFS($J26:$AX26,"*RNNR B1*",$J26:$AX26,"&lt;&gt;"&amp;"pRNNR B1")*0.5,COUNTIFS($J26:$AX26,"*RNNR B2*",$J26:$AX26,"&lt;&gt;"&amp;"pRNNR B2")*0.5,COUNTIFS($J26:$AX26,"*B1 RNNR*",$J26:$AX26,"&lt;&gt;"&amp;"pB1 RNNR")*0.5,COUNTIFS($J26:$AX26,"*B2 RNNR*",$J26:$AX26,"&lt;&gt;"&amp;"pB2 RNNR")*0.5)))</f>
        <v>0</v>
      </c>
      <c r="J26" s="184" t="str">
        <f>IFERROR(IF(VLOOKUP(Fri_W1[[#This Row],[Employee Name]],'Base Schedules'!$A$1:$AW$44,9,FALSE)="","",VLOOKUP(Fri_W1[[#This Row],[Employee Name]],'Base Schedules'!$A$1:$AW$44,9,FALSE)),"")</f>
        <v/>
      </c>
      <c r="K26" s="184" t="str">
        <f>IFERROR(IF(VLOOKUP(Fri_W1[[#This Row],[Employee Name]],'Base Schedules'!$A$1:$AW$44,10,FALSE)="","",VLOOKUP(Fri_W1[[#This Row],[Employee Name]],'Base Schedules'!$A$1:$AW$44,10,FALSE)),"")</f>
        <v/>
      </c>
      <c r="L26" s="184" t="str">
        <f>IFERROR(IF(VLOOKUP(Fri_W1[[#This Row],[Employee Name]],'Base Schedules'!$A$1:$AW$44,11,FALSE)="","",VLOOKUP(Fri_W1[[#This Row],[Employee Name]],'Base Schedules'!$A$1:$AW$44,11,FALSE)),"")</f>
        <v/>
      </c>
      <c r="M26" s="184" t="str">
        <f>IFERROR(IF(VLOOKUP(Fri_W1[[#This Row],[Employee Name]],'Base Schedules'!$A$1:$AW$44,12,FALSE)="","",VLOOKUP(Fri_W1[[#This Row],[Employee Name]],'Base Schedules'!$A$1:$AW$44,12,FALSE)),"")</f>
        <v/>
      </c>
      <c r="N26" s="184" t="str">
        <f>IFERROR(IF(VLOOKUP(Fri_W1[[#This Row],[Employee Name]],'Base Schedules'!$A$1:$AW$44,13,FALSE)="","",VLOOKUP(Fri_W1[[#This Row],[Employee Name]],'Base Schedules'!$A$1:$AW$44,13,FALSE)),"")</f>
        <v/>
      </c>
      <c r="O26" s="184" t="str">
        <f>IFERROR(IF(VLOOKUP(Fri_W1[[#This Row],[Employee Name]],'Base Schedules'!$A$1:$AW$44,14,FALSE)="","",VLOOKUP(Fri_W1[[#This Row],[Employee Name]],'Base Schedules'!$A$1:$AW$44,14,FALSE)),"")</f>
        <v/>
      </c>
      <c r="P26" s="184" t="str">
        <f>IFERROR(IF(VLOOKUP(Fri_W1[[#This Row],[Employee Name]],'Base Schedules'!$A$1:$AW$44,15,FALSE)="","",VLOOKUP(Fri_W1[[#This Row],[Employee Name]],'Base Schedules'!$A$1:$AW$44,15,FALSE)),"")</f>
        <v/>
      </c>
      <c r="Q26" s="184" t="str">
        <f>IFERROR(IF(VLOOKUP(Fri_W1[[#This Row],[Employee Name]],'Base Schedules'!$A$1:$AW$44,16,FALSE)="","",VLOOKUP(Fri_W1[[#This Row],[Employee Name]],'Base Schedules'!$A$1:$AW$44,16,FALSE)),"")</f>
        <v>-</v>
      </c>
      <c r="R26" s="184" t="str">
        <f>IFERROR(IF(VLOOKUP(Fri_W1[[#This Row],[Employee Name]],'Base Schedules'!$A$1:$AW$44,17,FALSE)="","",VLOOKUP(Fri_W1[[#This Row],[Employee Name]],'Base Schedules'!$A$1:$AW$44,17,FALSE)),"")</f>
        <v>-</v>
      </c>
      <c r="S26" s="184" t="str">
        <f>IFERROR(IF(VLOOKUP(Fri_W1[[#This Row],[Employee Name]],'Base Schedules'!$A$1:$AW$44,18,FALSE)="","",VLOOKUP(Fri_W1[[#This Row],[Employee Name]],'Base Schedules'!$A$1:$AW$44,18,FALSE)),"")</f>
        <v>-</v>
      </c>
      <c r="T26" s="184" t="str">
        <f>IFERROR(IF(VLOOKUP(Fri_W1[[#This Row],[Employee Name]],'Base Schedules'!$A$1:$AW$44,19,FALSE)="","",VLOOKUP(Fri_W1[[#This Row],[Employee Name]],'Base Schedules'!$A$1:$AW$44,19,FALSE)),"")</f>
        <v>-</v>
      </c>
      <c r="U26" s="184" t="str">
        <f>IFERROR(IF(VLOOKUP(Fri_W1[[#This Row],[Employee Name]],'Base Schedules'!$A$1:$AW$44,20,FALSE)="","",VLOOKUP(Fri_W1[[#This Row],[Employee Name]],'Base Schedules'!$A$1:$AW$44,20,FALSE)),"")</f>
        <v>TM PREP</v>
      </c>
      <c r="V26" s="184" t="str">
        <f>IFERROR(IF(VLOOKUP(Fri_W1[[#This Row],[Employee Name]],'Base Schedules'!$A$1:$AW$44,21,FALSE)="","",VLOOKUP(Fri_W1[[#This Row],[Employee Name]],'Base Schedules'!$A$1:$AW$44,21,FALSE)),"")</f>
        <v>STEVENS TM</v>
      </c>
      <c r="W26" s="184" t="str">
        <f>IFERROR(IF(VLOOKUP(Fri_W1[[#This Row],[Employee Name]],'Base Schedules'!$A$1:$AW$44,22,FALSE)="","",VLOOKUP(Fri_W1[[#This Row],[Employee Name]],'Base Schedules'!$A$1:$AW$44,22,FALSE)),"")</f>
        <v>STEVENS TM</v>
      </c>
      <c r="X26" s="184" t="str">
        <f>IFERROR(IF(VLOOKUP(Fri_W1[[#This Row],[Employee Name]],'Base Schedules'!$A$1:$AW$44,23,FALSE)="","",VLOOKUP(Fri_W1[[#This Row],[Employee Name]],'Base Schedules'!$A$1:$AW$44,23,FALSE)),"")</f>
        <v>Interview</v>
      </c>
      <c r="Y26" s="184" t="str">
        <f>IFERROR(IF(VLOOKUP(Fri_W1[[#This Row],[Employee Name]],'Base Schedules'!$A$1:$AW$44,24,FALSE)="","",VLOOKUP(Fri_W1[[#This Row],[Employee Name]],'Base Schedules'!$A$1:$AW$44,24,FALSE)),"")</f>
        <v>Interview</v>
      </c>
      <c r="Z26" s="184" t="str">
        <f>IFERROR(IF(VLOOKUP(Fri_W1[[#This Row],[Employee Name]],'Base Schedules'!$A$1:$AW$44,25,FALSE)="","",VLOOKUP(Fri_W1[[#This Row],[Employee Name]],'Base Schedules'!$A$1:$AW$44,25,FALSE)),"")</f>
        <v>-</v>
      </c>
      <c r="AA26" s="184" t="str">
        <f>IFERROR(IF(VLOOKUP(Fri_W1[[#This Row],[Employee Name]],'Base Schedules'!$A$1:$AW$44,26,FALSE)="","",VLOOKUP(Fri_W1[[#This Row],[Employee Name]],'Base Schedules'!$A$1:$AW$44,26,FALSE)),"")</f>
        <v>-</v>
      </c>
      <c r="AB26" s="184" t="str">
        <f>IFERROR(IF(VLOOKUP(Fri_W1[[#This Row],[Employee Name]],'Base Schedules'!$A$1:$AW$44,27,FALSE)="","",VLOOKUP(Fri_W1[[#This Row],[Employee Name]],'Base Schedules'!$A$1:$AW$44,27,FALSE)),"")</f>
        <v>-</v>
      </c>
      <c r="AC26" s="184" t="str">
        <f>IFERROR(IF(VLOOKUP(Fri_W1[[#This Row],[Employee Name]],'Base Schedules'!$A$1:$AW$44,28,FALSE)="","",VLOOKUP(Fri_W1[[#This Row],[Employee Name]],'Base Schedules'!$A$1:$AW$44,28,FALSE)),"")</f>
        <v>-</v>
      </c>
      <c r="AD26" s="184" t="str">
        <f>IFERROR(IF(VLOOKUP(Fri_W1[[#This Row],[Employee Name]],'Base Schedules'!$A$1:$AW$44,29,FALSE)="","",VLOOKUP(Fri_W1[[#This Row],[Employee Name]],'Base Schedules'!$A$1:$AW$44,29,FALSE)),"")</f>
        <v>Coaching</v>
      </c>
      <c r="AE26" s="184" t="str">
        <f>IFERROR(IF(VLOOKUP(Fri_W1[[#This Row],[Employee Name]],'Base Schedules'!$A$1:$AW$44,30,FALSE)="","",VLOOKUP(Fri_W1[[#This Row],[Employee Name]],'Base Schedules'!$A$1:$AW$44,30,FALSE)),"")</f>
        <v>Coaching</v>
      </c>
      <c r="AF26" s="184" t="str">
        <f>IFERROR(IF(VLOOKUP(Fri_W1[[#This Row],[Employee Name]],'Base Schedules'!$A$1:$AW$44,31,FALSE)="","",VLOOKUP(Fri_W1[[#This Row],[Employee Name]],'Base Schedules'!$A$1:$AW$44,31,FALSE)),"")</f>
        <v>Coaching</v>
      </c>
      <c r="AG26" s="184" t="str">
        <f>IFERROR(IF(VLOOKUP(Fri_W1[[#This Row],[Employee Name]],'Base Schedules'!$A$1:$AW$44,32,FALSE)="","",VLOOKUP(Fri_W1[[#This Row],[Employee Name]],'Base Schedules'!$A$1:$AW$44,32,FALSE)),"")</f>
        <v>Coaching</v>
      </c>
      <c r="AH26" s="184" t="str">
        <f>IFERROR(IF(VLOOKUP(Fri_W1[[#This Row],[Employee Name]],'Base Schedules'!$A$1:$AW$44,33,FALSE)="","",VLOOKUP(Fri_W1[[#This Row],[Employee Name]],'Base Schedules'!$A$1:$AW$44,33,FALSE)),"")</f>
        <v>-</v>
      </c>
      <c r="AI26" s="184" t="str">
        <f>IFERROR(IF(VLOOKUP(Fri_W1[[#This Row],[Employee Name]],'Base Schedules'!$A$1:$AW$44,34,FALSE)="","",VLOOKUP(Fri_W1[[#This Row],[Employee Name]],'Base Schedules'!$A$1:$AW$44,34,FALSE)),"")</f>
        <v/>
      </c>
      <c r="AJ26" s="184" t="str">
        <f>IFERROR(IF(VLOOKUP(Fri_W1[[#This Row],[Employee Name]],'Base Schedules'!$A$1:$AW$44,35,FALSE)="","",VLOOKUP(Fri_W1[[#This Row],[Employee Name]],'Base Schedules'!$A$1:$AW$44,35,FALSE)),"")</f>
        <v/>
      </c>
      <c r="AK26" s="184" t="str">
        <f>IFERROR(IF(VLOOKUP(Fri_W1[[#This Row],[Employee Name]],'Base Schedules'!$A$1:$AW$44,36,FALSE)="","",VLOOKUP(Fri_W1[[#This Row],[Employee Name]],'Base Schedules'!$A$1:$AW$44,36,FALSE)),"")</f>
        <v/>
      </c>
      <c r="AL26" s="184" t="str">
        <f>IFERROR(IF(VLOOKUP(Fri_W1[[#This Row],[Employee Name]],'Base Schedules'!$A$1:$AW$44,37,FALSE)="","",VLOOKUP(Fri_W1[[#This Row],[Employee Name]],'Base Schedules'!$A$1:$AW$44,37,FALSE)),"")</f>
        <v/>
      </c>
      <c r="AM26" s="184" t="str">
        <f>IFERROR(IF(VLOOKUP(Fri_W1[[#This Row],[Employee Name]],'Base Schedules'!$A$1:$AW$44,38,FALSE)="","",VLOOKUP(Fri_W1[[#This Row],[Employee Name]],'Base Schedules'!$A$1:$AW$44,38,FALSE)),"")</f>
        <v/>
      </c>
      <c r="AN26" s="184" t="str">
        <f>IFERROR(IF(VLOOKUP(Fri_W1[[#This Row],[Employee Name]],'Base Schedules'!$A$1:$AW$44,39,FALSE)="","",VLOOKUP(Fri_W1[[#This Row],[Employee Name]],'Base Schedules'!$A$1:$AW$44,39,FALSE)),"")</f>
        <v/>
      </c>
      <c r="AO26" s="184" t="str">
        <f>IFERROR(IF(VLOOKUP(Fri_W1[[#This Row],[Employee Name]],'Base Schedules'!$A$1:$AW$44,40,FALSE)="","",VLOOKUP(Fri_W1[[#This Row],[Employee Name]],'Base Schedules'!$A$1:$AW$44,40,FALSE)),"")</f>
        <v/>
      </c>
      <c r="AP26" s="184" t="str">
        <f>IFERROR(IF(VLOOKUP(Fri_W1[[#This Row],[Employee Name]],'Base Schedules'!$A$1:$AW$44,41,FALSE)="","",VLOOKUP(Fri_W1[[#This Row],[Employee Name]],'Base Schedules'!$A$1:$AW$44,41,FALSE)),"")</f>
        <v/>
      </c>
      <c r="AQ26" s="184" t="str">
        <f>IFERROR(IF(VLOOKUP(Fri_W1[[#This Row],[Employee Name]],'Base Schedules'!$A$1:$AW$44,42,FALSE)="","",VLOOKUP(Fri_W1[[#This Row],[Employee Name]],'Base Schedules'!$A$1:$AW$44,42,FALSE)),"")</f>
        <v/>
      </c>
      <c r="AR26" s="184" t="str">
        <f>IFERROR(IF(VLOOKUP(Fri_W1[[#This Row],[Employee Name]],'Base Schedules'!$A$1:$AW$44,43,FALSE)="","",VLOOKUP(Fri_W1[[#This Row],[Employee Name]],'Base Schedules'!$A$1:$AW$44,43,FALSE)),"")</f>
        <v/>
      </c>
      <c r="AS26" s="184" t="str">
        <f>IFERROR(IF(VLOOKUP(Fri_W1[[#This Row],[Employee Name]],'Base Schedules'!$A$1:$AW$44,44,FALSE)="","",VLOOKUP(Fri_W1[[#This Row],[Employee Name]],'Base Schedules'!$A$1:$AW$44,44,FALSE)),"")</f>
        <v/>
      </c>
      <c r="AT26" s="184" t="str">
        <f>IFERROR(IF(VLOOKUP(Fri_W1[[#This Row],[Employee Name]],'Base Schedules'!$A$1:$AW$44,45,FALSE)="","",VLOOKUP(Fri_W1[[#This Row],[Employee Name]],'Base Schedules'!$A$1:$AW$44,45,FALSE)),"")</f>
        <v/>
      </c>
      <c r="AU26" s="184" t="str">
        <f>IFERROR(IF(VLOOKUP(Fri_W1[[#This Row],[Employee Name]],'Base Schedules'!$A$1:$AW$44,46,FALSE)="","",VLOOKUP(Fri_W1[[#This Row],[Employee Name]],'Base Schedules'!$A$1:$AW$44,46,FALSE)),"")</f>
        <v/>
      </c>
      <c r="AV26" s="184" t="str">
        <f>IFERROR(IF(VLOOKUP(Fri_W1[[#This Row],[Employee Name]],'Base Schedules'!$A$1:$AW$44,47,FALSE)="","",VLOOKUP(Fri_W1[[#This Row],[Employee Name]],'Base Schedules'!$A$1:$AW$44,47,FALSE)),"")</f>
        <v/>
      </c>
      <c r="AW26" s="184" t="str">
        <f>IFERROR(IF(VLOOKUP(Fri_W1[[#This Row],[Employee Name]],'Base Schedules'!$A$1:$AW$44,48,FALSE)="","",VLOOKUP(Fri_W1[[#This Row],[Employee Name]],'Base Schedules'!$A$1:$AW$44,48,FALSE)),"")</f>
        <v/>
      </c>
      <c r="AX26" s="184" t="str">
        <f>IFERROR(IF(VLOOKUP(Fri_W1[[#This Row],[Employee Name]],'Base Schedules'!$A$1:$AW$44,49,FALSE)="","",VLOOKUP(Fri_W1[[#This Row],[Employee Name]],'Base Schedules'!$A$1:$AW$44,49,FALSE)),"")</f>
        <v/>
      </c>
      <c r="AY26" s="245" t="str">
        <f t="shared" si="2"/>
        <v>Stevens, Amanda</v>
      </c>
    </row>
    <row r="27" spans="1:51" s="44" customFormat="1" ht="11.25" customHeight="1" x14ac:dyDescent="0.2">
      <c r="A27" s="39" t="str">
        <f>IF(B27="","",INDEX(TeamList[],MATCH($B27,TeamList[[Employee Name]:[Employee Name]],0),MATCH("Manager",TeamList[#Headers],0)))</f>
        <v>Olson, Katherine</v>
      </c>
      <c r="B27" s="201" t="s">
        <v>231</v>
      </c>
      <c r="C27" s="257" t="str">
        <f>_xlfn.IFNA(VLOOKUP(Fri_W1[[#This Row],[Employee Name]],'Base Schedules'!A:B,2,FALSE),"")</f>
        <v>Lead</v>
      </c>
      <c r="D27" s="274">
        <f>_xlfn.IFNA(VLOOKUP(Fri_W1[[#This Row],[Employee Name]],'Base Schedules'!A:C,3,FALSE),"")</f>
        <v>900</v>
      </c>
      <c r="E27" s="274">
        <f>_xlfn.IFNA(VLOOKUP(Fri_W1[[#This Row],[Employee Name]],'Base Schedules'!A:D,4,FALSE),"")</f>
        <v>1730</v>
      </c>
      <c r="F27" s="142">
        <f>IF(Fri_W1[[#This Row],[Employee Name]]="","",IF(Fri_W1[[#This Row],[Dept]]="Supervisor",COUNTIFS($J27:$AX27,"*HL*",$J27:$AX27,"&lt;&gt;"&amp;"pHL"),COUNTIFS($J27:$AX27,"*HL*",$J27:$AX27,"&lt;&gt;"&amp;"*pHL*",$J27:$AX27,"&lt;&gt;"&amp;"pB1 HL",$J27:$AX27,"&lt;&gt;"&amp;"pB2 HL")-SUM(COUNTIFS($J27:$AX27,"*HL B1*",$J27:$AX27,"&lt;&gt;"&amp;"pHL B1")*0.5,COUNTIFS($J27:$AX27,"*HL B2*",$J27:$AX27,"&lt;&gt;"&amp;"pHL B2")*0.5,COUNTIFS($J27:$AX27,"*B1 HL*",$J27:$AX27,"&lt;&gt;"&amp;"pB1 HL")*0.5,COUNTIFS($J27:$AX27,"*B2 HL*",$J27:$AX27,"&lt;&gt;"&amp;"pB2 HL")*0.5)))</f>
        <v>7.5</v>
      </c>
      <c r="G27" s="142">
        <f t="shared" si="0"/>
        <v>0</v>
      </c>
      <c r="H27" s="142">
        <f t="shared" si="1"/>
        <v>4</v>
      </c>
      <c r="I27" s="142">
        <f>IF(Fri_W1[[#This Row],[Employee Name]]="","",IF(Fri_W1[[#This Row],[Dept]]="Supervisor",SUM(COUNTIFS($J27:$AX27,"RTA*",$J27:$AX27,"&lt;&gt;"&amp;"pRTA"),COUNTIFS($J27:$AX27,"*CRTA*",$J27:$AX27,"&lt;&gt;"&amp;"pCRTA")),COUNTIFS($J27:$AX27,"*RNNR*",$J27:$AX27,"&lt;&gt;"&amp;"*pRNNR*",$J27:$AX27,"&lt;&gt;"&amp;"pB1 RNNR",$J27:$AX27,"&lt;&gt;"&amp;"pB2 RNNR")-SUM(COUNTIFS($J27:$AX27,"*RNNR B1*",$J27:$AX27,"&lt;&gt;"&amp;"pRNNR B1")*0.5,COUNTIFS($J27:$AX27,"*RNNR B2*",$J27:$AX27,"&lt;&gt;"&amp;"pRNNR B2")*0.5,COUNTIFS($J27:$AX27,"*B1 RNNR*",$J27:$AX27,"&lt;&gt;"&amp;"pB1 RNNR")*0.5,COUNTIFS($J27:$AX27,"*B2 RNNR*",$J27:$AX27,"&lt;&gt;"&amp;"pB2 RNNR")*0.5)))</f>
        <v>2</v>
      </c>
      <c r="J27" s="184" t="str">
        <f>IFERROR(IF(VLOOKUP(Fri_W1[[#This Row],[Employee Name]],'Base Schedules'!$A$1:$AW$44,9,FALSE)="","",VLOOKUP(Fri_W1[[#This Row],[Employee Name]],'Base Schedules'!$A$1:$AW$44,9,FALSE)),"")</f>
        <v/>
      </c>
      <c r="K27" s="184" t="str">
        <f>IFERROR(IF(VLOOKUP(Fri_W1[[#This Row],[Employee Name]],'Base Schedules'!$A$1:$AW$44,10,FALSE)="","",VLOOKUP(Fri_W1[[#This Row],[Employee Name]],'Base Schedules'!$A$1:$AW$44,10,FALSE)),"")</f>
        <v/>
      </c>
      <c r="L27" s="184" t="str">
        <f>IFERROR(IF(VLOOKUP(Fri_W1[[#This Row],[Employee Name]],'Base Schedules'!$A$1:$AW$44,11,FALSE)="","",VLOOKUP(Fri_W1[[#This Row],[Employee Name]],'Base Schedules'!$A$1:$AW$44,11,FALSE)),"")</f>
        <v/>
      </c>
      <c r="M27" s="184" t="str">
        <f>IFERROR(IF(VLOOKUP(Fri_W1[[#This Row],[Employee Name]],'Base Schedules'!$A$1:$AW$44,12,FALSE)="","",VLOOKUP(Fri_W1[[#This Row],[Employee Name]],'Base Schedules'!$A$1:$AW$44,12,FALSE)),"")</f>
        <v/>
      </c>
      <c r="N27" s="184" t="str">
        <f>IFERROR(IF(VLOOKUP(Fri_W1[[#This Row],[Employee Name]],'Base Schedules'!$A$1:$AW$44,13,FALSE)="","",VLOOKUP(Fri_W1[[#This Row],[Employee Name]],'Base Schedules'!$A$1:$AW$44,13,FALSE)),"")</f>
        <v/>
      </c>
      <c r="O27" s="184" t="str">
        <f>IFERROR(IF(VLOOKUP(Fri_W1[[#This Row],[Employee Name]],'Base Schedules'!$A$1:$AW$44,14,FALSE)="","",VLOOKUP(Fri_W1[[#This Row],[Employee Name]],'Base Schedules'!$A$1:$AW$44,14,FALSE)),"")</f>
        <v/>
      </c>
      <c r="P27" s="184" t="str">
        <f>IFERROR(IF(VLOOKUP(Fri_W1[[#This Row],[Employee Name]],'Base Schedules'!$A$1:$AW$44,15,FALSE)="","",VLOOKUP(Fri_W1[[#This Row],[Employee Name]],'Base Schedules'!$A$1:$AW$44,15,FALSE)),"")</f>
        <v/>
      </c>
      <c r="Q27" s="184" t="str">
        <f>IFERROR(IF(VLOOKUP(Fri_W1[[#This Row],[Employee Name]],'Base Schedules'!$A$1:$AW$44,16,FALSE)="","",VLOOKUP(Fri_W1[[#This Row],[Employee Name]],'Base Schedules'!$A$1:$AW$44,16,FALSE)),"")</f>
        <v/>
      </c>
      <c r="R27" s="184" t="str">
        <f>IFERROR(IF(VLOOKUP(Fri_W1[[#This Row],[Employee Name]],'Base Schedules'!$A$1:$AW$44,17,FALSE)="","",VLOOKUP(Fri_W1[[#This Row],[Employee Name]],'Base Schedules'!$A$1:$AW$44,17,FALSE)),"")</f>
        <v>HL</v>
      </c>
      <c r="S27" s="184" t="str">
        <f>IFERROR(IF(VLOOKUP(Fri_W1[[#This Row],[Employee Name]],'Base Schedules'!$A$1:$AW$44,18,FALSE)="","",VLOOKUP(Fri_W1[[#This Row],[Employee Name]],'Base Schedules'!$A$1:$AW$44,18,FALSE)),"")</f>
        <v>HL</v>
      </c>
      <c r="T27" s="184" t="str">
        <f>IFERROR(IF(VLOOKUP(Fri_W1[[#This Row],[Employee Name]],'Base Schedules'!$A$1:$AW$44,19,FALSE)="","",VLOOKUP(Fri_W1[[#This Row],[Employee Name]],'Base Schedules'!$A$1:$AW$44,19,FALSE)),"")</f>
        <v>HL</v>
      </c>
      <c r="U27" s="184" t="str">
        <f>IFERROR(IF(VLOOKUP(Fri_W1[[#This Row],[Employee Name]],'Base Schedules'!$A$1:$AW$44,20,FALSE)="","",VLOOKUP(Fri_W1[[#This Row],[Employee Name]],'Base Schedules'!$A$1:$AW$44,20,FALSE)),"")</f>
        <v>HL B1</v>
      </c>
      <c r="V27" s="184" t="str">
        <f>IFERROR(IF(VLOOKUP(Fri_W1[[#This Row],[Employee Name]],'Base Schedules'!$A$1:$AW$44,21,FALSE)="","",VLOOKUP(Fri_W1[[#This Row],[Employee Name]],'Base Schedules'!$A$1:$AW$44,21,FALSE)),"")</f>
        <v>ADM</v>
      </c>
      <c r="W27" s="184" t="str">
        <f>IFERROR(IF(VLOOKUP(Fri_W1[[#This Row],[Employee Name]],'Base Schedules'!$A$1:$AW$44,22,FALSE)="","",VLOOKUP(Fri_W1[[#This Row],[Employee Name]],'Base Schedules'!$A$1:$AW$44,22,FALSE)),"")</f>
        <v>ADM</v>
      </c>
      <c r="X27" s="184" t="str">
        <f>IFERROR(IF(VLOOKUP(Fri_W1[[#This Row],[Employee Name]],'Base Schedules'!$A$1:$AW$44,23,FALSE)="","",VLOOKUP(Fri_W1[[#This Row],[Employee Name]],'Base Schedules'!$A$1:$AW$44,23,FALSE)),"")</f>
        <v>PROJECT</v>
      </c>
      <c r="Y27" s="184" t="str">
        <f>IFERROR(IF(VLOOKUP(Fri_W1[[#This Row],[Employee Name]],'Base Schedules'!$A$1:$AW$44,24,FALSE)="","",VLOOKUP(Fri_W1[[#This Row],[Employee Name]],'Base Schedules'!$A$1:$AW$44,24,FALSE)),"")</f>
        <v>PROJECT</v>
      </c>
      <c r="Z27" s="184" t="str">
        <f>IFERROR(IF(VLOOKUP(Fri_W1[[#This Row],[Employee Name]],'Base Schedules'!$A$1:$AW$44,25,FALSE)="","",VLOOKUP(Fri_W1[[#This Row],[Employee Name]],'Base Schedules'!$A$1:$AW$44,25,FALSE)),"")</f>
        <v>LUNCH</v>
      </c>
      <c r="AA27" s="184" t="str">
        <f>IFERROR(IF(VLOOKUP(Fri_W1[[#This Row],[Employee Name]],'Base Schedules'!$A$1:$AW$44,26,FALSE)="","",VLOOKUP(Fri_W1[[#This Row],[Employee Name]],'Base Schedules'!$A$1:$AW$44,26,FALSE)),"")</f>
        <v>HL</v>
      </c>
      <c r="AB27" s="184" t="str">
        <f>IFERROR(IF(VLOOKUP(Fri_W1[[#This Row],[Employee Name]],'Base Schedules'!$A$1:$AW$44,27,FALSE)="","",VLOOKUP(Fri_W1[[#This Row],[Employee Name]],'Base Schedules'!$A$1:$AW$44,27,FALSE)),"")</f>
        <v>HL</v>
      </c>
      <c r="AC27" s="184" t="str">
        <f>IFERROR(IF(VLOOKUP(Fri_W1[[#This Row],[Employee Name]],'Base Schedules'!$A$1:$AW$44,28,FALSE)="","",VLOOKUP(Fri_W1[[#This Row],[Employee Name]],'Base Schedules'!$A$1:$AW$44,28,FALSE)),"")</f>
        <v>HL</v>
      </c>
      <c r="AD27" s="184" t="str">
        <f>IFERROR(IF(VLOOKUP(Fri_W1[[#This Row],[Employee Name]],'Base Schedules'!$A$1:$AW$44,29,FALSE)="","",VLOOKUP(Fri_W1[[#This Row],[Employee Name]],'Base Schedules'!$A$1:$AW$44,29,FALSE)),"")</f>
        <v>HL</v>
      </c>
      <c r="AE27" s="184" t="str">
        <f>IFERROR(IF(VLOOKUP(Fri_W1[[#This Row],[Employee Name]],'Base Schedules'!$A$1:$AW$44,30,FALSE)="","",VLOOKUP(Fri_W1[[#This Row],[Employee Name]],'Base Schedules'!$A$1:$AW$44,30,FALSE)),"")</f>
        <v>B2 ADM</v>
      </c>
      <c r="AF27" s="184" t="str">
        <f>IFERROR(IF(VLOOKUP(Fri_W1[[#This Row],[Employee Name]],'Base Schedules'!$A$1:$AW$44,31,FALSE)="","",VLOOKUP(Fri_W1[[#This Row],[Employee Name]],'Base Schedules'!$A$1:$AW$44,31,FALSE)),"")</f>
        <v>RNNR</v>
      </c>
      <c r="AG27" s="184" t="str">
        <f>IFERROR(IF(VLOOKUP(Fri_W1[[#This Row],[Employee Name]],'Base Schedules'!$A$1:$AW$44,32,FALSE)="","",VLOOKUP(Fri_W1[[#This Row],[Employee Name]],'Base Schedules'!$A$1:$AW$44,32,FALSE)),"")</f>
        <v>RNNR</v>
      </c>
      <c r="AH27" s="184" t="str">
        <f>IFERROR(IF(VLOOKUP(Fri_W1[[#This Row],[Employee Name]],'Base Schedules'!$A$1:$AW$44,33,FALSE)="","",VLOOKUP(Fri_W1[[#This Row],[Employee Name]],'Base Schedules'!$A$1:$AW$44,33,FALSE)),"")</f>
        <v>ADM</v>
      </c>
      <c r="AI27" s="184" t="str">
        <f>IFERROR(IF(VLOOKUP(Fri_W1[[#This Row],[Employee Name]],'Base Schedules'!$A$1:$AW$44,34,FALSE)="","",VLOOKUP(Fri_W1[[#This Row],[Employee Name]],'Base Schedules'!$A$1:$AW$44,34,FALSE)),"")</f>
        <v/>
      </c>
      <c r="AJ27" s="184" t="str">
        <f>IFERROR(IF(VLOOKUP(Fri_W1[[#This Row],[Employee Name]],'Base Schedules'!$A$1:$AW$44,35,FALSE)="","",VLOOKUP(Fri_W1[[#This Row],[Employee Name]],'Base Schedules'!$A$1:$AW$44,35,FALSE)),"")</f>
        <v/>
      </c>
      <c r="AK27" s="184" t="str">
        <f>IFERROR(IF(VLOOKUP(Fri_W1[[#This Row],[Employee Name]],'Base Schedules'!$A$1:$AW$44,36,FALSE)="","",VLOOKUP(Fri_W1[[#This Row],[Employee Name]],'Base Schedules'!$A$1:$AW$44,36,FALSE)),"")</f>
        <v/>
      </c>
      <c r="AL27" s="184" t="str">
        <f>IFERROR(IF(VLOOKUP(Fri_W1[[#This Row],[Employee Name]],'Base Schedules'!$A$1:$AW$44,37,FALSE)="","",VLOOKUP(Fri_W1[[#This Row],[Employee Name]],'Base Schedules'!$A$1:$AW$44,37,FALSE)),"")</f>
        <v/>
      </c>
      <c r="AM27" s="184" t="str">
        <f>IFERROR(IF(VLOOKUP(Fri_W1[[#This Row],[Employee Name]],'Base Schedules'!$A$1:$AW$44,38,FALSE)="","",VLOOKUP(Fri_W1[[#This Row],[Employee Name]],'Base Schedules'!$A$1:$AW$44,38,FALSE)),"")</f>
        <v/>
      </c>
      <c r="AN27" s="184" t="str">
        <f>IFERROR(IF(VLOOKUP(Fri_W1[[#This Row],[Employee Name]],'Base Schedules'!$A$1:$AW$44,39,FALSE)="","",VLOOKUP(Fri_W1[[#This Row],[Employee Name]],'Base Schedules'!$A$1:$AW$44,39,FALSE)),"")</f>
        <v/>
      </c>
      <c r="AO27" s="184" t="str">
        <f>IFERROR(IF(VLOOKUP(Fri_W1[[#This Row],[Employee Name]],'Base Schedules'!$A$1:$AW$44,40,FALSE)="","",VLOOKUP(Fri_W1[[#This Row],[Employee Name]],'Base Schedules'!$A$1:$AW$44,40,FALSE)),"")</f>
        <v/>
      </c>
      <c r="AP27" s="184" t="str">
        <f>IFERROR(IF(VLOOKUP(Fri_W1[[#This Row],[Employee Name]],'Base Schedules'!$A$1:$AW$44,41,FALSE)="","",VLOOKUP(Fri_W1[[#This Row],[Employee Name]],'Base Schedules'!$A$1:$AW$44,41,FALSE)),"")</f>
        <v/>
      </c>
      <c r="AQ27" s="184" t="str">
        <f>IFERROR(IF(VLOOKUP(Fri_W1[[#This Row],[Employee Name]],'Base Schedules'!$A$1:$AW$44,42,FALSE)="","",VLOOKUP(Fri_W1[[#This Row],[Employee Name]],'Base Schedules'!$A$1:$AW$44,42,FALSE)),"")</f>
        <v/>
      </c>
      <c r="AR27" s="184" t="str">
        <f>IFERROR(IF(VLOOKUP(Fri_W1[[#This Row],[Employee Name]],'Base Schedules'!$A$1:$AW$44,43,FALSE)="","",VLOOKUP(Fri_W1[[#This Row],[Employee Name]],'Base Schedules'!$A$1:$AW$44,43,FALSE)),"")</f>
        <v/>
      </c>
      <c r="AS27" s="184" t="str">
        <f>IFERROR(IF(VLOOKUP(Fri_W1[[#This Row],[Employee Name]],'Base Schedules'!$A$1:$AW$44,44,FALSE)="","",VLOOKUP(Fri_W1[[#This Row],[Employee Name]],'Base Schedules'!$A$1:$AW$44,44,FALSE)),"")</f>
        <v/>
      </c>
      <c r="AT27" s="184" t="str">
        <f>IFERROR(IF(VLOOKUP(Fri_W1[[#This Row],[Employee Name]],'Base Schedules'!$A$1:$AW$44,45,FALSE)="","",VLOOKUP(Fri_W1[[#This Row],[Employee Name]],'Base Schedules'!$A$1:$AW$44,45,FALSE)),"")</f>
        <v/>
      </c>
      <c r="AU27" s="184" t="str">
        <f>IFERROR(IF(VLOOKUP(Fri_W1[[#This Row],[Employee Name]],'Base Schedules'!$A$1:$AW$44,46,FALSE)="","",VLOOKUP(Fri_W1[[#This Row],[Employee Name]],'Base Schedules'!$A$1:$AW$44,46,FALSE)),"")</f>
        <v/>
      </c>
      <c r="AV27" s="184" t="str">
        <f>IFERROR(IF(VLOOKUP(Fri_W1[[#This Row],[Employee Name]],'Base Schedules'!$A$1:$AW$44,47,FALSE)="","",VLOOKUP(Fri_W1[[#This Row],[Employee Name]],'Base Schedules'!$A$1:$AW$44,47,FALSE)),"")</f>
        <v/>
      </c>
      <c r="AW27" s="184" t="str">
        <f>IFERROR(IF(VLOOKUP(Fri_W1[[#This Row],[Employee Name]],'Base Schedules'!$A$1:$AW$44,48,FALSE)="","",VLOOKUP(Fri_W1[[#This Row],[Employee Name]],'Base Schedules'!$A$1:$AW$44,48,FALSE)),"")</f>
        <v/>
      </c>
      <c r="AX27" s="184" t="str">
        <f>IFERROR(IF(VLOOKUP(Fri_W1[[#This Row],[Employee Name]],'Base Schedules'!$A$1:$AW$44,49,FALSE)="","",VLOOKUP(Fri_W1[[#This Row],[Employee Name]],'Base Schedules'!$A$1:$AW$44,49,FALSE)),"")</f>
        <v/>
      </c>
      <c r="AY27" s="299" t="str">
        <f t="shared" si="2"/>
        <v>Fiskvik, Christopher</v>
      </c>
    </row>
    <row r="28" spans="1:51" s="44" customFormat="1" ht="11.25" customHeight="1" x14ac:dyDescent="0.2">
      <c r="A28" s="39" t="str">
        <f>IF(B28="","",INDEX(TeamList[],MATCH($B28,TeamList[[Employee Name]:[Employee Name]],0),MATCH("Manager",TeamList[#Headers],0)))</f>
        <v>Ahmed Hassan, Zahra</v>
      </c>
      <c r="B28" s="201" t="s">
        <v>27</v>
      </c>
      <c r="C28" s="257" t="str">
        <f>_xlfn.IFNA(VLOOKUP(Fri_W1[[#This Row],[Employee Name]],'Base Schedules'!A:B,2,FALSE),"")</f>
        <v>Supervisor</v>
      </c>
      <c r="D28" s="274">
        <f>_xlfn.IFNA(VLOOKUP(Fri_W1[[#This Row],[Employee Name]],'Base Schedules'!A:C,3,FALSE),"")</f>
        <v>930</v>
      </c>
      <c r="E28" s="274">
        <f>_xlfn.IFNA(VLOOKUP(Fri_W1[[#This Row],[Employee Name]],'Base Schedules'!A:D,4,FALSE),"")</f>
        <v>1830</v>
      </c>
      <c r="F28" s="142">
        <f>IF(Fri_W1[[#This Row],[Employee Name]]="","",IF(Fri_W1[[#This Row],[Dept]]="Supervisor",COUNTIFS($J28:$AX28,"*HL*",$J28:$AX28,"&lt;&gt;"&amp;"pHL"),COUNTIFS($J28:$AX28,"*HL*",$J28:$AX28,"&lt;&gt;"&amp;"*pHL*",$J28:$AX28,"&lt;&gt;"&amp;"pB1 HL",$J28:$AX28,"&lt;&gt;"&amp;"pB2 HL")-SUM(COUNTIFS($J28:$AX28,"*HL B1*",$J28:$AX28,"&lt;&gt;"&amp;"pHL B1")*0.5,COUNTIFS($J28:$AX28,"*HL B2*",$J28:$AX28,"&lt;&gt;"&amp;"pHL B2")*0.5,COUNTIFS($J28:$AX28,"*B1 HL*",$J28:$AX28,"&lt;&gt;"&amp;"pB1 HL")*0.5,COUNTIFS($J28:$AX28,"*B2 HL*",$J28:$AX28,"&lt;&gt;"&amp;"pB2 HL")*0.5)))</f>
        <v>0</v>
      </c>
      <c r="G28" s="142">
        <f t="shared" si="0"/>
        <v>4</v>
      </c>
      <c r="H28" s="142">
        <f t="shared" si="1"/>
        <v>0</v>
      </c>
      <c r="I28" s="142">
        <f>IF(Fri_W1[[#This Row],[Employee Name]]="","",IF(Fri_W1[[#This Row],[Dept]]="Supervisor",SUM(COUNTIFS($J28:$AX28,"RTA*",$J28:$AX28,"&lt;&gt;"&amp;"pRTA"),COUNTIFS($J28:$AX28,"*CRTA*",$J28:$AX28,"&lt;&gt;"&amp;"pCRTA")),COUNTIFS($J28:$AX28,"*RNNR*",$J28:$AX28,"&lt;&gt;"&amp;"*pRNNR*",$J28:$AX28,"&lt;&gt;"&amp;"pB1 RNNR",$J28:$AX28,"&lt;&gt;"&amp;"pB2 RNNR")-SUM(COUNTIFS($J28:$AX28,"*RNNR B1*",$J28:$AX28,"&lt;&gt;"&amp;"pRNNR B1")*0.5,COUNTIFS($J28:$AX28,"*RNNR B2*",$J28:$AX28,"&lt;&gt;"&amp;"pRNNR B2")*0.5,COUNTIFS($J28:$AX28,"*B1 RNNR*",$J28:$AX28,"&lt;&gt;"&amp;"pB1 RNNR")*0.5,COUNTIFS($J28:$AX28,"*B2 RNNR*",$J28:$AX28,"&lt;&gt;"&amp;"pB2 RNNR")*0.5)))</f>
        <v>0</v>
      </c>
      <c r="J28" s="184" t="str">
        <f>IFERROR(IF(VLOOKUP(Fri_W1[[#This Row],[Employee Name]],'Base Schedules'!$A$1:$AW$44,9,FALSE)="","",VLOOKUP(Fri_W1[[#This Row],[Employee Name]],'Base Schedules'!$A$1:$AW$44,9,FALSE)),"")</f>
        <v/>
      </c>
      <c r="K28" s="184" t="str">
        <f>IFERROR(IF(VLOOKUP(Fri_W1[[#This Row],[Employee Name]],'Base Schedules'!$A$1:$AW$44,10,FALSE)="","",VLOOKUP(Fri_W1[[#This Row],[Employee Name]],'Base Schedules'!$A$1:$AW$44,10,FALSE)),"")</f>
        <v/>
      </c>
      <c r="L28" s="184" t="str">
        <f>IFERROR(IF(VLOOKUP(Fri_W1[[#This Row],[Employee Name]],'Base Schedules'!$A$1:$AW$44,11,FALSE)="","",VLOOKUP(Fri_W1[[#This Row],[Employee Name]],'Base Schedules'!$A$1:$AW$44,11,FALSE)),"")</f>
        <v/>
      </c>
      <c r="M28" s="184" t="str">
        <f>IFERROR(IF(VLOOKUP(Fri_W1[[#This Row],[Employee Name]],'Base Schedules'!$A$1:$AW$44,12,FALSE)="","",VLOOKUP(Fri_W1[[#This Row],[Employee Name]],'Base Schedules'!$A$1:$AW$44,12,FALSE)),"")</f>
        <v/>
      </c>
      <c r="N28" s="184" t="str">
        <f>IFERROR(IF(VLOOKUP(Fri_W1[[#This Row],[Employee Name]],'Base Schedules'!$A$1:$AW$44,13,FALSE)="","",VLOOKUP(Fri_W1[[#This Row],[Employee Name]],'Base Schedules'!$A$1:$AW$44,13,FALSE)),"")</f>
        <v/>
      </c>
      <c r="O28" s="184" t="str">
        <f>IFERROR(IF(VLOOKUP(Fri_W1[[#This Row],[Employee Name]],'Base Schedules'!$A$1:$AW$44,14,FALSE)="","",VLOOKUP(Fri_W1[[#This Row],[Employee Name]],'Base Schedules'!$A$1:$AW$44,14,FALSE)),"")</f>
        <v/>
      </c>
      <c r="P28" s="184" t="str">
        <f>IFERROR(IF(VLOOKUP(Fri_W1[[#This Row],[Employee Name]],'Base Schedules'!$A$1:$AW$44,15,FALSE)="","",VLOOKUP(Fri_W1[[#This Row],[Employee Name]],'Base Schedules'!$A$1:$AW$44,15,FALSE)),"")</f>
        <v/>
      </c>
      <c r="Q28" s="184" t="str">
        <f>IFERROR(IF(VLOOKUP(Fri_W1[[#This Row],[Employee Name]],'Base Schedules'!$A$1:$AW$44,16,FALSE)="","",VLOOKUP(Fri_W1[[#This Row],[Employee Name]],'Base Schedules'!$A$1:$AW$44,16,FALSE)),"")</f>
        <v/>
      </c>
      <c r="R28" s="184" t="str">
        <f>IFERROR(IF(VLOOKUP(Fri_W1[[#This Row],[Employee Name]],'Base Schedules'!$A$1:$AW$44,17,FALSE)="","",VLOOKUP(Fri_W1[[#This Row],[Employee Name]],'Base Schedules'!$A$1:$AW$44,17,FALSE)),"")</f>
        <v/>
      </c>
      <c r="S28" s="184" t="str">
        <f>IFERROR(IF(VLOOKUP(Fri_W1[[#This Row],[Employee Name]],'Base Schedules'!$A$1:$AW$44,18,FALSE)="","",VLOOKUP(Fri_W1[[#This Row],[Employee Name]],'Base Schedules'!$A$1:$AW$44,18,FALSE)),"")</f>
        <v>-</v>
      </c>
      <c r="T28" s="184" t="str">
        <f>IFERROR(IF(VLOOKUP(Fri_W1[[#This Row],[Employee Name]],'Base Schedules'!$A$1:$AW$44,19,FALSE)="","",VLOOKUP(Fri_W1[[#This Row],[Employee Name]],'Base Schedules'!$A$1:$AW$44,19,FALSE)),"")</f>
        <v>-</v>
      </c>
      <c r="U28" s="184" t="str">
        <f>IFERROR(IF(VLOOKUP(Fri_W1[[#This Row],[Employee Name]],'Base Schedules'!$A$1:$AW$44,20,FALSE)="","",VLOOKUP(Fri_W1[[#This Row],[Employee Name]],'Base Schedules'!$A$1:$AW$44,20,FALSE)),"")</f>
        <v>-</v>
      </c>
      <c r="V28" s="184" t="str">
        <f>IFERROR(IF(VLOOKUP(Fri_W1[[#This Row],[Employee Name]],'Base Schedules'!$A$1:$AW$44,21,FALSE)="","",VLOOKUP(Fri_W1[[#This Row],[Employee Name]],'Base Schedules'!$A$1:$AW$44,21,FALSE)),"")</f>
        <v>-</v>
      </c>
      <c r="W28" s="184" t="str">
        <f>IFERROR(IF(VLOOKUP(Fri_W1[[#This Row],[Employee Name]],'Base Schedules'!$A$1:$AW$44,22,FALSE)="","",VLOOKUP(Fri_W1[[#This Row],[Employee Name]],'Base Schedules'!$A$1:$AW$44,22,FALSE)),"")</f>
        <v>-</v>
      </c>
      <c r="X28" s="184" t="str">
        <f>IFERROR(IF(VLOOKUP(Fri_W1[[#This Row],[Employee Name]],'Base Schedules'!$A$1:$AW$44,23,FALSE)="","",VLOOKUP(Fri_W1[[#This Row],[Employee Name]],'Base Schedules'!$A$1:$AW$44,23,FALSE)),"")</f>
        <v>-</v>
      </c>
      <c r="Y28" s="184" t="str">
        <f>IFERROR(IF(VLOOKUP(Fri_W1[[#This Row],[Employee Name]],'Base Schedules'!$A$1:$AW$44,24,FALSE)="","",VLOOKUP(Fri_W1[[#This Row],[Employee Name]],'Base Schedules'!$A$1:$AW$44,24,FALSE)),"")</f>
        <v>-</v>
      </c>
      <c r="Z28" s="184" t="str">
        <f>IFERROR(IF(VLOOKUP(Fri_W1[[#This Row],[Employee Name]],'Base Schedules'!$A$1:$AW$44,25,FALSE)="","",VLOOKUP(Fri_W1[[#This Row],[Employee Name]],'Base Schedules'!$A$1:$AW$44,25,FALSE)),"")</f>
        <v>-</v>
      </c>
      <c r="AA28" s="184" t="str">
        <f>IFERROR(IF(VLOOKUP(Fri_W1[[#This Row],[Employee Name]],'Base Schedules'!$A$1:$AW$44,26,FALSE)="","",VLOOKUP(Fri_W1[[#This Row],[Employee Name]],'Base Schedules'!$A$1:$AW$44,26,FALSE)),"")</f>
        <v>-</v>
      </c>
      <c r="AB28" s="184" t="str">
        <f>IFERROR(IF(VLOOKUP(Fri_W1[[#This Row],[Employee Name]],'Base Schedules'!$A$1:$AW$44,27,FALSE)="","",VLOOKUP(Fri_W1[[#This Row],[Employee Name]],'Base Schedules'!$A$1:$AW$44,27,FALSE)),"")</f>
        <v>Interview</v>
      </c>
      <c r="AC28" s="184" t="str">
        <f>IFERROR(IF(VLOOKUP(Fri_W1[[#This Row],[Employee Name]],'Base Schedules'!$A$1:$AW$44,28,FALSE)="","",VLOOKUP(Fri_W1[[#This Row],[Employee Name]],'Base Schedules'!$A$1:$AW$44,28,FALSE)),"")</f>
        <v>Interview</v>
      </c>
      <c r="AD28" s="184" t="str">
        <f>IFERROR(IF(VLOOKUP(Fri_W1[[#This Row],[Employee Name]],'Base Schedules'!$A$1:$AW$44,29,FALSE)="","",VLOOKUP(Fri_W1[[#This Row],[Employee Name]],'Base Schedules'!$A$1:$AW$44,29,FALSE)),"")</f>
        <v>-</v>
      </c>
      <c r="AE28" s="184" t="str">
        <f>IFERROR(IF(VLOOKUP(Fri_W1[[#This Row],[Employee Name]],'Base Schedules'!$A$1:$AW$44,30,FALSE)="","",VLOOKUP(Fri_W1[[#This Row],[Employee Name]],'Base Schedules'!$A$1:$AW$44,30,FALSE)),"")</f>
        <v>-</v>
      </c>
      <c r="AF28" s="184" t="str">
        <f>IFERROR(IF(VLOOKUP(Fri_W1[[#This Row],[Employee Name]],'Base Schedules'!$A$1:$AW$44,31,FALSE)="","",VLOOKUP(Fri_W1[[#This Row],[Employee Name]],'Base Schedules'!$A$1:$AW$44,31,FALSE)),"")</f>
        <v>Coaching</v>
      </c>
      <c r="AG28" s="184" t="str">
        <f>IFERROR(IF(VLOOKUP(Fri_W1[[#This Row],[Employee Name]],'Base Schedules'!$A$1:$AW$44,32,FALSE)="","",VLOOKUP(Fri_W1[[#This Row],[Employee Name]],'Base Schedules'!$A$1:$AW$44,32,FALSE)),"")</f>
        <v>Coaching</v>
      </c>
      <c r="AH28" s="184" t="str">
        <f>IFERROR(IF(VLOOKUP(Fri_W1[[#This Row],[Employee Name]],'Base Schedules'!$A$1:$AW$44,33,FALSE)="","",VLOOKUP(Fri_W1[[#This Row],[Employee Name]],'Base Schedules'!$A$1:$AW$44,33,FALSE)),"")</f>
        <v>Coaching</v>
      </c>
      <c r="AI28" s="184" t="str">
        <f>IFERROR(IF(VLOOKUP(Fri_W1[[#This Row],[Employee Name]],'Base Schedules'!$A$1:$AW$44,34,FALSE)="","",VLOOKUP(Fri_W1[[#This Row],[Employee Name]],'Base Schedules'!$A$1:$AW$44,34,FALSE)),"")</f>
        <v>Coaching</v>
      </c>
      <c r="AJ28" s="184" t="str">
        <f>IFERROR(IF(VLOOKUP(Fri_W1[[#This Row],[Employee Name]],'Base Schedules'!$A$1:$AW$44,35,FALSE)="","",VLOOKUP(Fri_W1[[#This Row],[Employee Name]],'Base Schedules'!$A$1:$AW$44,35,FALSE)),"")</f>
        <v>-</v>
      </c>
      <c r="AK28" s="184" t="str">
        <f>IFERROR(IF(VLOOKUP(Fri_W1[[#This Row],[Employee Name]],'Base Schedules'!$A$1:$AW$44,36,FALSE)="","",VLOOKUP(Fri_W1[[#This Row],[Employee Name]],'Base Schedules'!$A$1:$AW$44,36,FALSE)),"")</f>
        <v/>
      </c>
      <c r="AL28" s="184" t="str">
        <f>IFERROR(IF(VLOOKUP(Fri_W1[[#This Row],[Employee Name]],'Base Schedules'!$A$1:$AW$44,37,FALSE)="","",VLOOKUP(Fri_W1[[#This Row],[Employee Name]],'Base Schedules'!$A$1:$AW$44,37,FALSE)),"")</f>
        <v/>
      </c>
      <c r="AM28" s="184" t="str">
        <f>IFERROR(IF(VLOOKUP(Fri_W1[[#This Row],[Employee Name]],'Base Schedules'!$A$1:$AW$44,38,FALSE)="","",VLOOKUP(Fri_W1[[#This Row],[Employee Name]],'Base Schedules'!$A$1:$AW$44,38,FALSE)),"")</f>
        <v/>
      </c>
      <c r="AN28" s="184" t="str">
        <f>IFERROR(IF(VLOOKUP(Fri_W1[[#This Row],[Employee Name]],'Base Schedules'!$A$1:$AW$44,39,FALSE)="","",VLOOKUP(Fri_W1[[#This Row],[Employee Name]],'Base Schedules'!$A$1:$AW$44,39,FALSE)),"")</f>
        <v/>
      </c>
      <c r="AO28" s="184" t="str">
        <f>IFERROR(IF(VLOOKUP(Fri_W1[[#This Row],[Employee Name]],'Base Schedules'!$A$1:$AW$44,40,FALSE)="","",VLOOKUP(Fri_W1[[#This Row],[Employee Name]],'Base Schedules'!$A$1:$AW$44,40,FALSE)),"")</f>
        <v/>
      </c>
      <c r="AP28" s="184" t="str">
        <f>IFERROR(IF(VLOOKUP(Fri_W1[[#This Row],[Employee Name]],'Base Schedules'!$A$1:$AW$44,41,FALSE)="","",VLOOKUP(Fri_W1[[#This Row],[Employee Name]],'Base Schedules'!$A$1:$AW$44,41,FALSE)),"")</f>
        <v/>
      </c>
      <c r="AQ28" s="184" t="str">
        <f>IFERROR(IF(VLOOKUP(Fri_W1[[#This Row],[Employee Name]],'Base Schedules'!$A$1:$AW$44,42,FALSE)="","",VLOOKUP(Fri_W1[[#This Row],[Employee Name]],'Base Schedules'!$A$1:$AW$44,42,FALSE)),"")</f>
        <v/>
      </c>
      <c r="AR28" s="184" t="str">
        <f>IFERROR(IF(VLOOKUP(Fri_W1[[#This Row],[Employee Name]],'Base Schedules'!$A$1:$AW$44,43,FALSE)="","",VLOOKUP(Fri_W1[[#This Row],[Employee Name]],'Base Schedules'!$A$1:$AW$44,43,FALSE)),"")</f>
        <v/>
      </c>
      <c r="AS28" s="184" t="str">
        <f>IFERROR(IF(VLOOKUP(Fri_W1[[#This Row],[Employee Name]],'Base Schedules'!$A$1:$AW$44,44,FALSE)="","",VLOOKUP(Fri_W1[[#This Row],[Employee Name]],'Base Schedules'!$A$1:$AW$44,44,FALSE)),"")</f>
        <v/>
      </c>
      <c r="AT28" s="184" t="str">
        <f>IFERROR(IF(VLOOKUP(Fri_W1[[#This Row],[Employee Name]],'Base Schedules'!$A$1:$AW$44,45,FALSE)="","",VLOOKUP(Fri_W1[[#This Row],[Employee Name]],'Base Schedules'!$A$1:$AW$44,45,FALSE)),"")</f>
        <v/>
      </c>
      <c r="AU28" s="184" t="str">
        <f>IFERROR(IF(VLOOKUP(Fri_W1[[#This Row],[Employee Name]],'Base Schedules'!$A$1:$AW$44,46,FALSE)="","",VLOOKUP(Fri_W1[[#This Row],[Employee Name]],'Base Schedules'!$A$1:$AW$44,46,FALSE)),"")</f>
        <v/>
      </c>
      <c r="AV28" s="184" t="str">
        <f>IFERROR(IF(VLOOKUP(Fri_W1[[#This Row],[Employee Name]],'Base Schedules'!$A$1:$AW$44,47,FALSE)="","",VLOOKUP(Fri_W1[[#This Row],[Employee Name]],'Base Schedules'!$A$1:$AW$44,47,FALSE)),"")</f>
        <v/>
      </c>
      <c r="AW28" s="184" t="str">
        <f>IFERROR(IF(VLOOKUP(Fri_W1[[#This Row],[Employee Name]],'Base Schedules'!$A$1:$AW$44,48,FALSE)="","",VLOOKUP(Fri_W1[[#This Row],[Employee Name]],'Base Schedules'!$A$1:$AW$44,48,FALSE)),"")</f>
        <v/>
      </c>
      <c r="AX28" s="184" t="str">
        <f>IFERROR(IF(VLOOKUP(Fri_W1[[#This Row],[Employee Name]],'Base Schedules'!$A$1:$AW$44,49,FALSE)="","",VLOOKUP(Fri_W1[[#This Row],[Employee Name]],'Base Schedules'!$A$1:$AW$44,49,FALSE)),"")</f>
        <v/>
      </c>
      <c r="AY28" s="245" t="str">
        <f t="shared" si="2"/>
        <v>McLean, Michael</v>
      </c>
    </row>
    <row r="29" spans="1:51" s="44" customFormat="1" ht="11.25" customHeight="1" x14ac:dyDescent="0.2">
      <c r="A29" s="39" t="str">
        <f>IF(B29="","",INDEX(TeamList[],MATCH($B29,TeamList[[Employee Name]:[Employee Name]],0),MATCH("Manager",TeamList[#Headers],0)))</f>
        <v>Olson, Katherine</v>
      </c>
      <c r="B29" s="201" t="s">
        <v>69</v>
      </c>
      <c r="C29" s="257" t="str">
        <f>_xlfn.IFNA(VLOOKUP(Fri_W1[[#This Row],[Employee Name]],'Base Schedules'!A:B,2,FALSE),"")</f>
        <v>Lead</v>
      </c>
      <c r="D29" s="274">
        <f>_xlfn.IFNA(VLOOKUP(Fri_W1[[#This Row],[Employee Name]],'Base Schedules'!A:C,3,FALSE),"")</f>
        <v>1000</v>
      </c>
      <c r="E29" s="274">
        <f>_xlfn.IFNA(VLOOKUP(Fri_W1[[#This Row],[Employee Name]],'Base Schedules'!A:D,4,FALSE),"")</f>
        <v>1900</v>
      </c>
      <c r="F29" s="142">
        <f>IF(Fri_W1[[#This Row],[Employee Name]]="","",IF(Fri_W1[[#This Row],[Dept]]="Supervisor",COUNTIFS($J29:$AX29,"*HL*",$J29:$AX29,"&lt;&gt;"&amp;"pHL"),COUNTIFS($J29:$AX29,"*HL*",$J29:$AX29,"&lt;&gt;"&amp;"*pHL*",$J29:$AX29,"&lt;&gt;"&amp;"pB1 HL",$J29:$AX29,"&lt;&gt;"&amp;"pB2 HL")-SUM(COUNTIFS($J29:$AX29,"*HL B1*",$J29:$AX29,"&lt;&gt;"&amp;"pHL B1")*0.5,COUNTIFS($J29:$AX29,"*HL B2*",$J29:$AX29,"&lt;&gt;"&amp;"pHL B2")*0.5,COUNTIFS($J29:$AX29,"*B1 HL*",$J29:$AX29,"&lt;&gt;"&amp;"pB1 HL")*0.5,COUNTIFS($J29:$AX29,"*B2 HL*",$J29:$AX29,"&lt;&gt;"&amp;"pB2 HL")*0.5)))</f>
        <v>8</v>
      </c>
      <c r="G29" s="142">
        <f t="shared" si="0"/>
        <v>0</v>
      </c>
      <c r="H29" s="142">
        <f t="shared" si="1"/>
        <v>5</v>
      </c>
      <c r="I29" s="142">
        <f>IF(Fri_W1[[#This Row],[Employee Name]]="","",IF(Fri_W1[[#This Row],[Dept]]="Supervisor",SUM(COUNTIFS($J29:$AX29,"RTA*",$J29:$AX29,"&lt;&gt;"&amp;"pRTA"),COUNTIFS($J29:$AX29,"*CRTA*",$J29:$AX29,"&lt;&gt;"&amp;"pCRTA")),COUNTIFS($J29:$AX29,"*RNNR*",$J29:$AX29,"&lt;&gt;"&amp;"*pRNNR*",$J29:$AX29,"&lt;&gt;"&amp;"pB1 RNNR",$J29:$AX29,"&lt;&gt;"&amp;"pB2 RNNR")-SUM(COUNTIFS($J29:$AX29,"*RNNR B1*",$J29:$AX29,"&lt;&gt;"&amp;"pRNNR B1")*0.5,COUNTIFS($J29:$AX29,"*RNNR B2*",$J29:$AX29,"&lt;&gt;"&amp;"pRNNR B2")*0.5,COUNTIFS($J29:$AX29,"*B1 RNNR*",$J29:$AX29,"&lt;&gt;"&amp;"pB1 RNNR")*0.5,COUNTIFS($J29:$AX29,"*B2 RNNR*",$J29:$AX29,"&lt;&gt;"&amp;"pB2 RNNR")*0.5)))</f>
        <v>2</v>
      </c>
      <c r="J29" s="184" t="str">
        <f>IFERROR(IF(VLOOKUP(Fri_W1[[#This Row],[Employee Name]],'Base Schedules'!$A$1:$AW$44,9,FALSE)="","",VLOOKUP(Fri_W1[[#This Row],[Employee Name]],'Base Schedules'!$A$1:$AW$44,9,FALSE)),"")</f>
        <v/>
      </c>
      <c r="K29" s="184" t="str">
        <f>IFERROR(IF(VLOOKUP(Fri_W1[[#This Row],[Employee Name]],'Base Schedules'!$A$1:$AW$44,10,FALSE)="","",VLOOKUP(Fri_W1[[#This Row],[Employee Name]],'Base Schedules'!$A$1:$AW$44,10,FALSE)),"")</f>
        <v/>
      </c>
      <c r="L29" s="184" t="str">
        <f>IFERROR(IF(VLOOKUP(Fri_W1[[#This Row],[Employee Name]],'Base Schedules'!$A$1:$AW$44,11,FALSE)="","",VLOOKUP(Fri_W1[[#This Row],[Employee Name]],'Base Schedules'!$A$1:$AW$44,11,FALSE)),"")</f>
        <v/>
      </c>
      <c r="M29" s="184" t="str">
        <f>IFERROR(IF(VLOOKUP(Fri_W1[[#This Row],[Employee Name]],'Base Schedules'!$A$1:$AW$44,12,FALSE)="","",VLOOKUP(Fri_W1[[#This Row],[Employee Name]],'Base Schedules'!$A$1:$AW$44,12,FALSE)),"")</f>
        <v/>
      </c>
      <c r="N29" s="184" t="str">
        <f>IFERROR(IF(VLOOKUP(Fri_W1[[#This Row],[Employee Name]],'Base Schedules'!$A$1:$AW$44,13,FALSE)="","",VLOOKUP(Fri_W1[[#This Row],[Employee Name]],'Base Schedules'!$A$1:$AW$44,13,FALSE)),"")</f>
        <v/>
      </c>
      <c r="O29" s="184" t="str">
        <f>IFERROR(IF(VLOOKUP(Fri_W1[[#This Row],[Employee Name]],'Base Schedules'!$A$1:$AW$44,14,FALSE)="","",VLOOKUP(Fri_W1[[#This Row],[Employee Name]],'Base Schedules'!$A$1:$AW$44,14,FALSE)),"")</f>
        <v/>
      </c>
      <c r="P29" s="184" t="str">
        <f>IFERROR(IF(VLOOKUP(Fri_W1[[#This Row],[Employee Name]],'Base Schedules'!$A$1:$AW$44,15,FALSE)="","",VLOOKUP(Fri_W1[[#This Row],[Employee Name]],'Base Schedules'!$A$1:$AW$44,15,FALSE)),"")</f>
        <v/>
      </c>
      <c r="Q29" s="184" t="str">
        <f>IFERROR(IF(VLOOKUP(Fri_W1[[#This Row],[Employee Name]],'Base Schedules'!$A$1:$AW$44,16,FALSE)="","",VLOOKUP(Fri_W1[[#This Row],[Employee Name]],'Base Schedules'!$A$1:$AW$44,16,FALSE)),"")</f>
        <v/>
      </c>
      <c r="R29" s="184" t="str">
        <f>IFERROR(IF(VLOOKUP(Fri_W1[[#This Row],[Employee Name]],'Base Schedules'!$A$1:$AW$44,17,FALSE)="","",VLOOKUP(Fri_W1[[#This Row],[Employee Name]],'Base Schedules'!$A$1:$AW$44,17,FALSE)),"")</f>
        <v/>
      </c>
      <c r="S29" s="184" t="str">
        <f>IFERROR(IF(VLOOKUP(Fri_W1[[#This Row],[Employee Name]],'Base Schedules'!$A$1:$AW$44,18,FALSE)="","",VLOOKUP(Fri_W1[[#This Row],[Employee Name]],'Base Schedules'!$A$1:$AW$44,18,FALSE)),"")</f>
        <v/>
      </c>
      <c r="T29" s="184" t="str">
        <f>IFERROR(IF(VLOOKUP(Fri_W1[[#This Row],[Employee Name]],'Base Schedules'!$A$1:$AW$44,19,FALSE)="","",VLOOKUP(Fri_W1[[#This Row],[Employee Name]],'Base Schedules'!$A$1:$AW$44,19,FALSE)),"")</f>
        <v>HL</v>
      </c>
      <c r="U29" s="184" t="str">
        <f>IFERROR(IF(VLOOKUP(Fri_W1[[#This Row],[Employee Name]],'Base Schedules'!$A$1:$AW$44,20,FALSE)="","",VLOOKUP(Fri_W1[[#This Row],[Employee Name]],'Base Schedules'!$A$1:$AW$44,20,FALSE)),"")</f>
        <v>HL</v>
      </c>
      <c r="V29" s="184" t="str">
        <f>IFERROR(IF(VLOOKUP(Fri_W1[[#This Row],[Employee Name]],'Base Schedules'!$A$1:$AW$44,21,FALSE)="","",VLOOKUP(Fri_W1[[#This Row],[Employee Name]],'Base Schedules'!$A$1:$AW$44,21,FALSE)),"")</f>
        <v>HL</v>
      </c>
      <c r="W29" s="184" t="str">
        <f>IFERROR(IF(VLOOKUP(Fri_W1[[#This Row],[Employee Name]],'Base Schedules'!$A$1:$AW$44,22,FALSE)="","",VLOOKUP(Fri_W1[[#This Row],[Employee Name]],'Base Schedules'!$A$1:$AW$44,22,FALSE)),"")</f>
        <v>HL</v>
      </c>
      <c r="X29" s="184" t="str">
        <f>IFERROR(IF(VLOOKUP(Fri_W1[[#This Row],[Employee Name]],'Base Schedules'!$A$1:$AW$44,23,FALSE)="","",VLOOKUP(Fri_W1[[#This Row],[Employee Name]],'Base Schedules'!$A$1:$AW$44,23,FALSE)),"")</f>
        <v>HL B1</v>
      </c>
      <c r="Y29" s="184" t="str">
        <f>IFERROR(IF(VLOOKUP(Fri_W1[[#This Row],[Employee Name]],'Base Schedules'!$A$1:$AW$44,24,FALSE)="","",VLOOKUP(Fri_W1[[#This Row],[Employee Name]],'Base Schedules'!$A$1:$AW$44,24,FALSE)),"")</f>
        <v>ADM</v>
      </c>
      <c r="Z29" s="184" t="str">
        <f>IFERROR(IF(VLOOKUP(Fri_W1[[#This Row],[Employee Name]],'Base Schedules'!$A$1:$AW$44,25,FALSE)="","",VLOOKUP(Fri_W1[[#This Row],[Employee Name]],'Base Schedules'!$A$1:$AW$44,25,FALSE)),"")</f>
        <v>ADM</v>
      </c>
      <c r="AA29" s="184" t="str">
        <f>IFERROR(IF(VLOOKUP(Fri_W1[[#This Row],[Employee Name]],'Base Schedules'!$A$1:$AW$44,26,FALSE)="","",VLOOKUP(Fri_W1[[#This Row],[Employee Name]],'Base Schedules'!$A$1:$AW$44,26,FALSE)),"")</f>
        <v>ADM</v>
      </c>
      <c r="AB29" s="184" t="str">
        <f>IFERROR(IF(VLOOKUP(Fri_W1[[#This Row],[Employee Name]],'Base Schedules'!$A$1:$AW$44,27,FALSE)="","",VLOOKUP(Fri_W1[[#This Row],[Employee Name]],'Base Schedules'!$A$1:$AW$44,27,FALSE)),"")</f>
        <v>ADM</v>
      </c>
      <c r="AC29" s="184" t="str">
        <f>IFERROR(IF(VLOOKUP(Fri_W1[[#This Row],[Employee Name]],'Base Schedules'!$A$1:$AW$44,28,FALSE)="","",VLOOKUP(Fri_W1[[#This Row],[Employee Name]],'Base Schedules'!$A$1:$AW$44,28,FALSE)),"")</f>
        <v>LUNCH</v>
      </c>
      <c r="AD29" s="184" t="str">
        <f>IFERROR(IF(VLOOKUP(Fri_W1[[#This Row],[Employee Name]],'Base Schedules'!$A$1:$AW$44,29,FALSE)="","",VLOOKUP(Fri_W1[[#This Row],[Employee Name]],'Base Schedules'!$A$1:$AW$44,29,FALSE)),"")</f>
        <v>LUNCH</v>
      </c>
      <c r="AE29" s="184" t="str">
        <f>IFERROR(IF(VLOOKUP(Fri_W1[[#This Row],[Employee Name]],'Base Schedules'!$A$1:$AW$44,30,FALSE)="","",VLOOKUP(Fri_W1[[#This Row],[Employee Name]],'Base Schedules'!$A$1:$AW$44,30,FALSE)),"")</f>
        <v>ADM</v>
      </c>
      <c r="AF29" s="184" t="str">
        <f>IFERROR(IF(VLOOKUP(Fri_W1[[#This Row],[Employee Name]],'Base Schedules'!$A$1:$AW$44,31,FALSE)="","",VLOOKUP(Fri_W1[[#This Row],[Employee Name]],'Base Schedules'!$A$1:$AW$44,31,FALSE)),"")</f>
        <v>HL</v>
      </c>
      <c r="AG29" s="184" t="str">
        <f>IFERROR(IF(VLOOKUP(Fri_W1[[#This Row],[Employee Name]],'Base Schedules'!$A$1:$AW$44,32,FALSE)="","",VLOOKUP(Fri_W1[[#This Row],[Employee Name]],'Base Schedules'!$A$1:$AW$44,32,FALSE)),"")</f>
        <v>HL</v>
      </c>
      <c r="AH29" s="184" t="str">
        <f>IFERROR(IF(VLOOKUP(Fri_W1[[#This Row],[Employee Name]],'Base Schedules'!$A$1:$AW$44,33,FALSE)="","",VLOOKUP(Fri_W1[[#This Row],[Employee Name]],'Base Schedules'!$A$1:$AW$44,33,FALSE)),"")</f>
        <v>B2 HL</v>
      </c>
      <c r="AI29" s="184" t="str">
        <f>IFERROR(IF(VLOOKUP(Fri_W1[[#This Row],[Employee Name]],'Base Schedules'!$A$1:$AW$44,34,FALSE)="","",VLOOKUP(Fri_W1[[#This Row],[Employee Name]],'Base Schedules'!$A$1:$AW$44,34,FALSE)),"")</f>
        <v>HL</v>
      </c>
      <c r="AJ29" s="184" t="str">
        <f>IFERROR(IF(VLOOKUP(Fri_W1[[#This Row],[Employee Name]],'Base Schedules'!$A$1:$AW$44,35,FALSE)="","",VLOOKUP(Fri_W1[[#This Row],[Employee Name]],'Base Schedules'!$A$1:$AW$44,35,FALSE)),"")</f>
        <v>RNNR</v>
      </c>
      <c r="AK29" s="184" t="str">
        <f>IFERROR(IF(VLOOKUP(Fri_W1[[#This Row],[Employee Name]],'Base Schedules'!$A$1:$AW$44,36,FALSE)="","",VLOOKUP(Fri_W1[[#This Row],[Employee Name]],'Base Schedules'!$A$1:$AW$44,36,FALSE)),"")</f>
        <v>RNNR</v>
      </c>
      <c r="AL29" s="184" t="str">
        <f>IFERROR(IF(VLOOKUP(Fri_W1[[#This Row],[Employee Name]],'Base Schedules'!$A$1:$AW$44,37,FALSE)="","",VLOOKUP(Fri_W1[[#This Row],[Employee Name]],'Base Schedules'!$A$1:$AW$44,37,FALSE)),"")</f>
        <v/>
      </c>
      <c r="AM29" s="184" t="str">
        <f>IFERROR(IF(VLOOKUP(Fri_W1[[#This Row],[Employee Name]],'Base Schedules'!$A$1:$AW$44,38,FALSE)="","",VLOOKUP(Fri_W1[[#This Row],[Employee Name]],'Base Schedules'!$A$1:$AW$44,38,FALSE)),"")</f>
        <v/>
      </c>
      <c r="AN29" s="184" t="str">
        <f>IFERROR(IF(VLOOKUP(Fri_W1[[#This Row],[Employee Name]],'Base Schedules'!$A$1:$AW$44,39,FALSE)="","",VLOOKUP(Fri_W1[[#This Row],[Employee Name]],'Base Schedules'!$A$1:$AW$44,39,FALSE)),"")</f>
        <v/>
      </c>
      <c r="AO29" s="184" t="str">
        <f>IFERROR(IF(VLOOKUP(Fri_W1[[#This Row],[Employee Name]],'Base Schedules'!$A$1:$AW$44,40,FALSE)="","",VLOOKUP(Fri_W1[[#This Row],[Employee Name]],'Base Schedules'!$A$1:$AW$44,40,FALSE)),"")</f>
        <v/>
      </c>
      <c r="AP29" s="184" t="str">
        <f>IFERROR(IF(VLOOKUP(Fri_W1[[#This Row],[Employee Name]],'Base Schedules'!$A$1:$AW$44,41,FALSE)="","",VLOOKUP(Fri_W1[[#This Row],[Employee Name]],'Base Schedules'!$A$1:$AW$44,41,FALSE)),"")</f>
        <v/>
      </c>
      <c r="AQ29" s="184" t="str">
        <f>IFERROR(IF(VLOOKUP(Fri_W1[[#This Row],[Employee Name]],'Base Schedules'!$A$1:$AW$44,42,FALSE)="","",VLOOKUP(Fri_W1[[#This Row],[Employee Name]],'Base Schedules'!$A$1:$AW$44,42,FALSE)),"")</f>
        <v/>
      </c>
      <c r="AR29" s="184" t="str">
        <f>IFERROR(IF(VLOOKUP(Fri_W1[[#This Row],[Employee Name]],'Base Schedules'!$A$1:$AW$44,43,FALSE)="","",VLOOKUP(Fri_W1[[#This Row],[Employee Name]],'Base Schedules'!$A$1:$AW$44,43,FALSE)),"")</f>
        <v/>
      </c>
      <c r="AS29" s="184" t="str">
        <f>IFERROR(IF(VLOOKUP(Fri_W1[[#This Row],[Employee Name]],'Base Schedules'!$A$1:$AW$44,44,FALSE)="","",VLOOKUP(Fri_W1[[#This Row],[Employee Name]],'Base Schedules'!$A$1:$AW$44,44,FALSE)),"")</f>
        <v/>
      </c>
      <c r="AT29" s="184" t="str">
        <f>IFERROR(IF(VLOOKUP(Fri_W1[[#This Row],[Employee Name]],'Base Schedules'!$A$1:$AW$44,45,FALSE)="","",VLOOKUP(Fri_W1[[#This Row],[Employee Name]],'Base Schedules'!$A$1:$AW$44,45,FALSE)),"")</f>
        <v/>
      </c>
      <c r="AU29" s="184" t="str">
        <f>IFERROR(IF(VLOOKUP(Fri_W1[[#This Row],[Employee Name]],'Base Schedules'!$A$1:$AW$44,46,FALSE)="","",VLOOKUP(Fri_W1[[#This Row],[Employee Name]],'Base Schedules'!$A$1:$AW$44,46,FALSE)),"")</f>
        <v/>
      </c>
      <c r="AV29" s="184" t="str">
        <f>IFERROR(IF(VLOOKUP(Fri_W1[[#This Row],[Employee Name]],'Base Schedules'!$A$1:$AW$44,47,FALSE)="","",VLOOKUP(Fri_W1[[#This Row],[Employee Name]],'Base Schedules'!$A$1:$AW$44,47,FALSE)),"")</f>
        <v/>
      </c>
      <c r="AW29" s="184" t="str">
        <f>IFERROR(IF(VLOOKUP(Fri_W1[[#This Row],[Employee Name]],'Base Schedules'!$A$1:$AW$44,48,FALSE)="","",VLOOKUP(Fri_W1[[#This Row],[Employee Name]],'Base Schedules'!$A$1:$AW$44,48,FALSE)),"")</f>
        <v/>
      </c>
      <c r="AX29" s="184" t="str">
        <f>IFERROR(IF(VLOOKUP(Fri_W1[[#This Row],[Employee Name]],'Base Schedules'!$A$1:$AW$44,49,FALSE)="","",VLOOKUP(Fri_W1[[#This Row],[Employee Name]],'Base Schedules'!$A$1:$AW$44,49,FALSE)),"")</f>
        <v/>
      </c>
      <c r="AY29" s="245" t="str">
        <f t="shared" si="2"/>
        <v>Slagle, Natasha</v>
      </c>
    </row>
    <row r="30" spans="1:51" s="44" customFormat="1" ht="11.25" customHeight="1" x14ac:dyDescent="0.2">
      <c r="A30" s="39" t="str">
        <f>IF(B30="","",INDEX(TeamList[],MATCH($B30,TeamList[[Employee Name]:[Employee Name]],0),MATCH("Manager",TeamList[#Headers],0)))</f>
        <v>Olson, Katherine</v>
      </c>
      <c r="B30" s="201" t="s">
        <v>67</v>
      </c>
      <c r="C30" s="257" t="str">
        <f>_xlfn.IFNA(VLOOKUP(Fri_W1[[#This Row],[Employee Name]],'Base Schedules'!A:B,2,FALSE),"")</f>
        <v>Lead</v>
      </c>
      <c r="D30" s="274">
        <f>_xlfn.IFNA(VLOOKUP(Fri_W1[[#This Row],[Employee Name]],'Base Schedules'!A:C,3,FALSE),"")</f>
        <v>1030</v>
      </c>
      <c r="E30" s="274">
        <f>_xlfn.IFNA(VLOOKUP(Fri_W1[[#This Row],[Employee Name]],'Base Schedules'!A:D,4,FALSE),"")</f>
        <v>1900</v>
      </c>
      <c r="F30" s="142">
        <f>IF(Fri_W1[[#This Row],[Employee Name]]="","",IF(Fri_W1[[#This Row],[Dept]]="Supervisor",COUNTIFS($J30:$AX30,"*HL*",$J30:$AX30,"&lt;&gt;"&amp;"pHL"),COUNTIFS($J30:$AX30,"*HL*",$J30:$AX30,"&lt;&gt;"&amp;"*pHL*",$J30:$AX30,"&lt;&gt;"&amp;"pB1 HL",$J30:$AX30,"&lt;&gt;"&amp;"pB2 HL")-SUM(COUNTIFS($J30:$AX30,"*HL B1*",$J30:$AX30,"&lt;&gt;"&amp;"pHL B1")*0.5,COUNTIFS($J30:$AX30,"*HL B2*",$J30:$AX30,"&lt;&gt;"&amp;"pHL B2")*0.5,COUNTIFS($J30:$AX30,"*B1 HL*",$J30:$AX30,"&lt;&gt;"&amp;"pB1 HL")*0.5,COUNTIFS($J30:$AX30,"*B2 HL*",$J30:$AX30,"&lt;&gt;"&amp;"pB2 HL")*0.5)))</f>
        <v>9</v>
      </c>
      <c r="G30" s="142">
        <f t="shared" si="0"/>
        <v>0</v>
      </c>
      <c r="H30" s="142">
        <f t="shared" si="1"/>
        <v>6</v>
      </c>
      <c r="I30" s="142">
        <f>IF(Fri_W1[[#This Row],[Employee Name]]="","",IF(Fri_W1[[#This Row],[Dept]]="Supervisor",SUM(COUNTIFS($J30:$AX30,"RTA*",$J30:$AX30,"&lt;&gt;"&amp;"pRTA"),COUNTIFS($J30:$AX30,"*CRTA*",$J30:$AX30,"&lt;&gt;"&amp;"pCRTA")),COUNTIFS($J30:$AX30,"*RNNR*",$J30:$AX30,"&lt;&gt;"&amp;"*pRNNR*",$J30:$AX30,"&lt;&gt;"&amp;"pB1 RNNR",$J30:$AX30,"&lt;&gt;"&amp;"pB2 RNNR")-SUM(COUNTIFS($J30:$AX30,"*RNNR B1*",$J30:$AX30,"&lt;&gt;"&amp;"pRNNR B1")*0.5,COUNTIFS($J30:$AX30,"*RNNR B2*",$J30:$AX30,"&lt;&gt;"&amp;"pRNNR B2")*0.5,COUNTIFS($J30:$AX30,"*B1 RNNR*",$J30:$AX30,"&lt;&gt;"&amp;"pB1 RNNR")*0.5,COUNTIFS($J30:$AX30,"*B2 RNNR*",$J30:$AX30,"&lt;&gt;"&amp;"pB2 RNNR")*0.5)))</f>
        <v>0</v>
      </c>
      <c r="J30" s="184" t="str">
        <f>IFERROR(IF(VLOOKUP(Fri_W1[[#This Row],[Employee Name]],'Base Schedules'!$A$1:$AW$44,9,FALSE)="","",VLOOKUP(Fri_W1[[#This Row],[Employee Name]],'Base Schedules'!$A$1:$AW$44,9,FALSE)),"")</f>
        <v/>
      </c>
      <c r="K30" s="184" t="str">
        <f>IFERROR(IF(VLOOKUP(Fri_W1[[#This Row],[Employee Name]],'Base Schedules'!$A$1:$AW$44,10,FALSE)="","",VLOOKUP(Fri_W1[[#This Row],[Employee Name]],'Base Schedules'!$A$1:$AW$44,10,FALSE)),"")</f>
        <v/>
      </c>
      <c r="L30" s="184" t="str">
        <f>IFERROR(IF(VLOOKUP(Fri_W1[[#This Row],[Employee Name]],'Base Schedules'!$A$1:$AW$44,11,FALSE)="","",VLOOKUP(Fri_W1[[#This Row],[Employee Name]],'Base Schedules'!$A$1:$AW$44,11,FALSE)),"")</f>
        <v/>
      </c>
      <c r="M30" s="184" t="str">
        <f>IFERROR(IF(VLOOKUP(Fri_W1[[#This Row],[Employee Name]],'Base Schedules'!$A$1:$AW$44,12,FALSE)="","",VLOOKUP(Fri_W1[[#This Row],[Employee Name]],'Base Schedules'!$A$1:$AW$44,12,FALSE)),"")</f>
        <v/>
      </c>
      <c r="N30" s="184" t="str">
        <f>IFERROR(IF(VLOOKUP(Fri_W1[[#This Row],[Employee Name]],'Base Schedules'!$A$1:$AW$44,13,FALSE)="","",VLOOKUP(Fri_W1[[#This Row],[Employee Name]],'Base Schedules'!$A$1:$AW$44,13,FALSE)),"")</f>
        <v/>
      </c>
      <c r="O30" s="184" t="str">
        <f>IFERROR(IF(VLOOKUP(Fri_W1[[#This Row],[Employee Name]],'Base Schedules'!$A$1:$AW$44,14,FALSE)="","",VLOOKUP(Fri_W1[[#This Row],[Employee Name]],'Base Schedules'!$A$1:$AW$44,14,FALSE)),"")</f>
        <v/>
      </c>
      <c r="P30" s="184" t="str">
        <f>IFERROR(IF(VLOOKUP(Fri_W1[[#This Row],[Employee Name]],'Base Schedules'!$A$1:$AW$44,15,FALSE)="","",VLOOKUP(Fri_W1[[#This Row],[Employee Name]],'Base Schedules'!$A$1:$AW$44,15,FALSE)),"")</f>
        <v/>
      </c>
      <c r="Q30" s="184" t="str">
        <f>IFERROR(IF(VLOOKUP(Fri_W1[[#This Row],[Employee Name]],'Base Schedules'!$A$1:$AW$44,16,FALSE)="","",VLOOKUP(Fri_W1[[#This Row],[Employee Name]],'Base Schedules'!$A$1:$AW$44,16,FALSE)),"")</f>
        <v/>
      </c>
      <c r="R30" s="184" t="str">
        <f>IFERROR(IF(VLOOKUP(Fri_W1[[#This Row],[Employee Name]],'Base Schedules'!$A$1:$AW$44,17,FALSE)="","",VLOOKUP(Fri_W1[[#This Row],[Employee Name]],'Base Schedules'!$A$1:$AW$44,17,FALSE)),"")</f>
        <v/>
      </c>
      <c r="S30" s="184" t="str">
        <f>IFERROR(IF(VLOOKUP(Fri_W1[[#This Row],[Employee Name]],'Base Schedules'!$A$1:$AW$44,18,FALSE)="","",VLOOKUP(Fri_W1[[#This Row],[Employee Name]],'Base Schedules'!$A$1:$AW$44,18,FALSE)),"")</f>
        <v/>
      </c>
      <c r="T30" s="184" t="str">
        <f>IFERROR(IF(VLOOKUP(Fri_W1[[#This Row],[Employee Name]],'Base Schedules'!$A$1:$AW$44,19,FALSE)="","",VLOOKUP(Fri_W1[[#This Row],[Employee Name]],'Base Schedules'!$A$1:$AW$44,19,FALSE)),"")</f>
        <v/>
      </c>
      <c r="U30" s="184" t="str">
        <f>IFERROR(IF(VLOOKUP(Fri_W1[[#This Row],[Employee Name]],'Base Schedules'!$A$1:$AW$44,20,FALSE)="","",VLOOKUP(Fri_W1[[#This Row],[Employee Name]],'Base Schedules'!$A$1:$AW$44,20,FALSE)),"")</f>
        <v>HL</v>
      </c>
      <c r="V30" s="184" t="str">
        <f>IFERROR(IF(VLOOKUP(Fri_W1[[#This Row],[Employee Name]],'Base Schedules'!$A$1:$AW$44,21,FALSE)="","",VLOOKUP(Fri_W1[[#This Row],[Employee Name]],'Base Schedules'!$A$1:$AW$44,21,FALSE)),"")</f>
        <v>HL</v>
      </c>
      <c r="W30" s="184" t="str">
        <f>IFERROR(IF(VLOOKUP(Fri_W1[[#This Row],[Employee Name]],'Base Schedules'!$A$1:$AW$44,22,FALSE)="","",VLOOKUP(Fri_W1[[#This Row],[Employee Name]],'Base Schedules'!$A$1:$AW$44,22,FALSE)),"")</f>
        <v>HL</v>
      </c>
      <c r="X30" s="184" t="str">
        <f>IFERROR(IF(VLOOKUP(Fri_W1[[#This Row],[Employee Name]],'Base Schedules'!$A$1:$AW$44,23,FALSE)="","",VLOOKUP(Fri_W1[[#This Row],[Employee Name]],'Base Schedules'!$A$1:$AW$44,23,FALSE)),"")</f>
        <v>HL</v>
      </c>
      <c r="Y30" s="184" t="str">
        <f>IFERROR(IF(VLOOKUP(Fri_W1[[#This Row],[Employee Name]],'Base Schedules'!$A$1:$AW$44,24,FALSE)="","",VLOOKUP(Fri_W1[[#This Row],[Employee Name]],'Base Schedules'!$A$1:$AW$44,24,FALSE)),"")</f>
        <v>HL B1</v>
      </c>
      <c r="Z30" s="184" t="str">
        <f>IFERROR(IF(VLOOKUP(Fri_W1[[#This Row],[Employee Name]],'Base Schedules'!$A$1:$AW$44,25,FALSE)="","",VLOOKUP(Fri_W1[[#This Row],[Employee Name]],'Base Schedules'!$A$1:$AW$44,25,FALSE)),"")</f>
        <v>ADM</v>
      </c>
      <c r="AA30" s="184" t="str">
        <f>IFERROR(IF(VLOOKUP(Fri_W1[[#This Row],[Employee Name]],'Base Schedules'!$A$1:$AW$44,26,FALSE)="","",VLOOKUP(Fri_W1[[#This Row],[Employee Name]],'Base Schedules'!$A$1:$AW$44,26,FALSE)),"")</f>
        <v>ADM</v>
      </c>
      <c r="AB30" s="184" t="str">
        <f>IFERROR(IF(VLOOKUP(Fri_W1[[#This Row],[Employee Name]],'Base Schedules'!$A$1:$AW$44,27,FALSE)="","",VLOOKUP(Fri_W1[[#This Row],[Employee Name]],'Base Schedules'!$A$1:$AW$44,27,FALSE)),"")</f>
        <v>ADM</v>
      </c>
      <c r="AC30" s="184" t="str">
        <f>IFERROR(IF(VLOOKUP(Fri_W1[[#This Row],[Employee Name]],'Base Schedules'!$A$1:$AW$44,28,FALSE)="","",VLOOKUP(Fri_W1[[#This Row],[Employee Name]],'Base Schedules'!$A$1:$AW$44,28,FALSE)),"")</f>
        <v>ADM</v>
      </c>
      <c r="AD30" s="184" t="str">
        <f>IFERROR(IF(VLOOKUP(Fri_W1[[#This Row],[Employee Name]],'Base Schedules'!$A$1:$AW$44,29,FALSE)="","",VLOOKUP(Fri_W1[[#This Row],[Employee Name]],'Base Schedules'!$A$1:$AW$44,29,FALSE)),"")</f>
        <v>LUNCH</v>
      </c>
      <c r="AE30" s="184" t="str">
        <f>IFERROR(IF(VLOOKUP(Fri_W1[[#This Row],[Employee Name]],'Base Schedules'!$A$1:$AW$44,30,FALSE)="","",VLOOKUP(Fri_W1[[#This Row],[Employee Name]],'Base Schedules'!$A$1:$AW$44,30,FALSE)),"")</f>
        <v>ADM</v>
      </c>
      <c r="AF30" s="184" t="str">
        <f>IFERROR(IF(VLOOKUP(Fri_W1[[#This Row],[Employee Name]],'Base Schedules'!$A$1:$AW$44,31,FALSE)="","",VLOOKUP(Fri_W1[[#This Row],[Employee Name]],'Base Schedules'!$A$1:$AW$44,31,FALSE)),"")</f>
        <v>ADM</v>
      </c>
      <c r="AG30" s="184" t="str">
        <f>IFERROR(IF(VLOOKUP(Fri_W1[[#This Row],[Employee Name]],'Base Schedules'!$A$1:$AW$44,32,FALSE)="","",VLOOKUP(Fri_W1[[#This Row],[Employee Name]],'Base Schedules'!$A$1:$AW$44,32,FALSE)),"")</f>
        <v>B2 HL</v>
      </c>
      <c r="AH30" s="184" t="str">
        <f>IFERROR(IF(VLOOKUP(Fri_W1[[#This Row],[Employee Name]],'Base Schedules'!$A$1:$AW$44,33,FALSE)="","",VLOOKUP(Fri_W1[[#This Row],[Employee Name]],'Base Schedules'!$A$1:$AW$44,33,FALSE)),"")</f>
        <v>HL</v>
      </c>
      <c r="AI30" s="184" t="str">
        <f>IFERROR(IF(VLOOKUP(Fri_W1[[#This Row],[Employee Name]],'Base Schedules'!$A$1:$AW$44,34,FALSE)="","",VLOOKUP(Fri_W1[[#This Row],[Employee Name]],'Base Schedules'!$A$1:$AW$44,34,FALSE)),"")</f>
        <v>HL</v>
      </c>
      <c r="AJ30" s="184" t="str">
        <f>IFERROR(IF(VLOOKUP(Fri_W1[[#This Row],[Employee Name]],'Base Schedules'!$A$1:$AW$44,35,FALSE)="","",VLOOKUP(Fri_W1[[#This Row],[Employee Name]],'Base Schedules'!$A$1:$AW$44,35,FALSE)),"")</f>
        <v>HL</v>
      </c>
      <c r="AK30" s="184" t="str">
        <f>IFERROR(IF(VLOOKUP(Fri_W1[[#This Row],[Employee Name]],'Base Schedules'!$A$1:$AW$44,36,FALSE)="","",VLOOKUP(Fri_W1[[#This Row],[Employee Name]],'Base Schedules'!$A$1:$AW$44,36,FALSE)),"")</f>
        <v>HL</v>
      </c>
      <c r="AL30" s="184" t="str">
        <f>IFERROR(IF(VLOOKUP(Fri_W1[[#This Row],[Employee Name]],'Base Schedules'!$A$1:$AW$44,37,FALSE)="","",VLOOKUP(Fri_W1[[#This Row],[Employee Name]],'Base Schedules'!$A$1:$AW$44,37,FALSE)),"")</f>
        <v/>
      </c>
      <c r="AM30" s="184" t="str">
        <f>IFERROR(IF(VLOOKUP(Fri_W1[[#This Row],[Employee Name]],'Base Schedules'!$A$1:$AW$44,38,FALSE)="","",VLOOKUP(Fri_W1[[#This Row],[Employee Name]],'Base Schedules'!$A$1:$AW$44,38,FALSE)),"")</f>
        <v/>
      </c>
      <c r="AN30" s="184" t="str">
        <f>IFERROR(IF(VLOOKUP(Fri_W1[[#This Row],[Employee Name]],'Base Schedules'!$A$1:$AW$44,39,FALSE)="","",VLOOKUP(Fri_W1[[#This Row],[Employee Name]],'Base Schedules'!$A$1:$AW$44,39,FALSE)),"")</f>
        <v/>
      </c>
      <c r="AO30" s="184" t="str">
        <f>IFERROR(IF(VLOOKUP(Fri_W1[[#This Row],[Employee Name]],'Base Schedules'!$A$1:$AW$44,40,FALSE)="","",VLOOKUP(Fri_W1[[#This Row],[Employee Name]],'Base Schedules'!$A$1:$AW$44,40,FALSE)),"")</f>
        <v/>
      </c>
      <c r="AP30" s="184" t="str">
        <f>IFERROR(IF(VLOOKUP(Fri_W1[[#This Row],[Employee Name]],'Base Schedules'!$A$1:$AW$44,41,FALSE)="","",VLOOKUP(Fri_W1[[#This Row],[Employee Name]],'Base Schedules'!$A$1:$AW$44,41,FALSE)),"")</f>
        <v/>
      </c>
      <c r="AQ30" s="184" t="str">
        <f>IFERROR(IF(VLOOKUP(Fri_W1[[#This Row],[Employee Name]],'Base Schedules'!$A$1:$AW$44,42,FALSE)="","",VLOOKUP(Fri_W1[[#This Row],[Employee Name]],'Base Schedules'!$A$1:$AW$44,42,FALSE)),"")</f>
        <v/>
      </c>
      <c r="AR30" s="184" t="str">
        <f>IFERROR(IF(VLOOKUP(Fri_W1[[#This Row],[Employee Name]],'Base Schedules'!$A$1:$AW$44,43,FALSE)="","",VLOOKUP(Fri_W1[[#This Row],[Employee Name]],'Base Schedules'!$A$1:$AW$44,43,FALSE)),"")</f>
        <v/>
      </c>
      <c r="AS30" s="184" t="str">
        <f>IFERROR(IF(VLOOKUP(Fri_W1[[#This Row],[Employee Name]],'Base Schedules'!$A$1:$AW$44,44,FALSE)="","",VLOOKUP(Fri_W1[[#This Row],[Employee Name]],'Base Schedules'!$A$1:$AW$44,44,FALSE)),"")</f>
        <v/>
      </c>
      <c r="AT30" s="184" t="str">
        <f>IFERROR(IF(VLOOKUP(Fri_W1[[#This Row],[Employee Name]],'Base Schedules'!$A$1:$AW$44,45,FALSE)="","",VLOOKUP(Fri_W1[[#This Row],[Employee Name]],'Base Schedules'!$A$1:$AW$44,45,FALSE)),"")</f>
        <v/>
      </c>
      <c r="AU30" s="184" t="str">
        <f>IFERROR(IF(VLOOKUP(Fri_W1[[#This Row],[Employee Name]],'Base Schedules'!$A$1:$AW$44,46,FALSE)="","",VLOOKUP(Fri_W1[[#This Row],[Employee Name]],'Base Schedules'!$A$1:$AW$44,46,FALSE)),"")</f>
        <v/>
      </c>
      <c r="AV30" s="184" t="str">
        <f>IFERROR(IF(VLOOKUP(Fri_W1[[#This Row],[Employee Name]],'Base Schedules'!$A$1:$AW$44,47,FALSE)="","",VLOOKUP(Fri_W1[[#This Row],[Employee Name]],'Base Schedules'!$A$1:$AW$44,47,FALSE)),"")</f>
        <v/>
      </c>
      <c r="AW30" s="184" t="str">
        <f>IFERROR(IF(VLOOKUP(Fri_W1[[#This Row],[Employee Name]],'Base Schedules'!$A$1:$AW$44,48,FALSE)="","",VLOOKUP(Fri_W1[[#This Row],[Employee Name]],'Base Schedules'!$A$1:$AW$44,48,FALSE)),"")</f>
        <v/>
      </c>
      <c r="AX30" s="184" t="str">
        <f>IFERROR(IF(VLOOKUP(Fri_W1[[#This Row],[Employee Name]],'Base Schedules'!$A$1:$AW$44,49,FALSE)="","",VLOOKUP(Fri_W1[[#This Row],[Employee Name]],'Base Schedules'!$A$1:$AW$44,49,FALSE)),"")</f>
        <v/>
      </c>
      <c r="AY30" s="245" t="str">
        <f t="shared" si="2"/>
        <v>Qualman, Sophy</v>
      </c>
    </row>
    <row r="31" spans="1:51" s="44" customFormat="1" ht="11.25" customHeight="1" x14ac:dyDescent="0.2">
      <c r="A31" s="39" t="str">
        <f>IF(B31="","",INDEX(TeamList[],MATCH($B31,TeamList[[Employee Name]:[Employee Name]],0),MATCH("Manager",TeamList[#Headers],0)))</f>
        <v>Olson, Katherine</v>
      </c>
      <c r="B31" s="201" t="s">
        <v>30</v>
      </c>
      <c r="C31" s="257" t="str">
        <f>_xlfn.IFNA(VLOOKUP(Fri_W1[[#This Row],[Employee Name]],'Base Schedules'!A:B,2,FALSE),"")</f>
        <v>Lead</v>
      </c>
      <c r="D31" s="274">
        <f>_xlfn.IFNA(VLOOKUP(Fri_W1[[#This Row],[Employee Name]],'Base Schedules'!A:C,3,FALSE),"")</f>
        <v>1100</v>
      </c>
      <c r="E31" s="274">
        <f>_xlfn.IFNA(VLOOKUP(Fri_W1[[#This Row],[Employee Name]],'Base Schedules'!A:D,4,FALSE),"")</f>
        <v>2000</v>
      </c>
      <c r="F31" s="142">
        <f>IF(Fri_W1[[#This Row],[Employee Name]]="","",IF(Fri_W1[[#This Row],[Dept]]="Supervisor",COUNTIFS($J31:$AX31,"*HL*",$J31:$AX31,"&lt;&gt;"&amp;"pHL"),COUNTIFS($J31:$AX31,"*HL*",$J31:$AX31,"&lt;&gt;"&amp;"*pHL*",$J31:$AX31,"&lt;&gt;"&amp;"pB1 HL",$J31:$AX31,"&lt;&gt;"&amp;"pB2 HL")-SUM(COUNTIFS($J31:$AX31,"*HL B1*",$J31:$AX31,"&lt;&gt;"&amp;"pHL B1")*0.5,COUNTIFS($J31:$AX31,"*HL B2*",$J31:$AX31,"&lt;&gt;"&amp;"pHL B2")*0.5,COUNTIFS($J31:$AX31,"*B1 HL*",$J31:$AX31,"&lt;&gt;"&amp;"pB1 HL")*0.5,COUNTIFS($J31:$AX31,"*B2 HL*",$J31:$AX31,"&lt;&gt;"&amp;"pB2 HL")*0.5)))</f>
        <v>7.5</v>
      </c>
      <c r="G31" s="142">
        <f t="shared" si="0"/>
        <v>0</v>
      </c>
      <c r="H31" s="142">
        <f t="shared" si="1"/>
        <v>8</v>
      </c>
      <c r="I31" s="142">
        <f>IF(Fri_W1[[#This Row],[Employee Name]]="","",IF(Fri_W1[[#This Row],[Dept]]="Supervisor",SUM(COUNTIFS($J31:$AX31,"RTA*",$J31:$AX31,"&lt;&gt;"&amp;"pRTA"),COUNTIFS($J31:$AX31,"*CRTA*",$J31:$AX31,"&lt;&gt;"&amp;"pCRTA")),COUNTIFS($J31:$AX31,"*RNNR*",$J31:$AX31,"&lt;&gt;"&amp;"*pRNNR*",$J31:$AX31,"&lt;&gt;"&amp;"pB1 RNNR",$J31:$AX31,"&lt;&gt;"&amp;"pB2 RNNR")-SUM(COUNTIFS($J31:$AX31,"*RNNR B1*",$J31:$AX31,"&lt;&gt;"&amp;"pRNNR B1")*0.5,COUNTIFS($J31:$AX31,"*RNNR B2*",$J31:$AX31,"&lt;&gt;"&amp;"pRNNR B2")*0.5,COUNTIFS($J31:$AX31,"*B1 RNNR*",$J31:$AX31,"&lt;&gt;"&amp;"pB1 RNNR")*0.5,COUNTIFS($J31:$AX31,"*B2 RNNR*",$J31:$AX31,"&lt;&gt;"&amp;"pB2 RNNR")*0.5)))</f>
        <v>0</v>
      </c>
      <c r="J31" s="184" t="str">
        <f>IFERROR(IF(VLOOKUP(Fri_W1[[#This Row],[Employee Name]],'Base Schedules'!$A$1:$AW$44,9,FALSE)="","",VLOOKUP(Fri_W1[[#This Row],[Employee Name]],'Base Schedules'!$A$1:$AW$44,9,FALSE)),"")</f>
        <v/>
      </c>
      <c r="K31" s="184" t="str">
        <f>IFERROR(IF(VLOOKUP(Fri_W1[[#This Row],[Employee Name]],'Base Schedules'!$A$1:$AW$44,10,FALSE)="","",VLOOKUP(Fri_W1[[#This Row],[Employee Name]],'Base Schedules'!$A$1:$AW$44,10,FALSE)),"")</f>
        <v/>
      </c>
      <c r="L31" s="184" t="str">
        <f>IFERROR(IF(VLOOKUP(Fri_W1[[#This Row],[Employee Name]],'Base Schedules'!$A$1:$AW$44,11,FALSE)="","",VLOOKUP(Fri_W1[[#This Row],[Employee Name]],'Base Schedules'!$A$1:$AW$44,11,FALSE)),"")</f>
        <v/>
      </c>
      <c r="M31" s="184" t="str">
        <f>IFERROR(IF(VLOOKUP(Fri_W1[[#This Row],[Employee Name]],'Base Schedules'!$A$1:$AW$44,12,FALSE)="","",VLOOKUP(Fri_W1[[#This Row],[Employee Name]],'Base Schedules'!$A$1:$AW$44,12,FALSE)),"")</f>
        <v/>
      </c>
      <c r="N31" s="184" t="str">
        <f>IFERROR(IF(VLOOKUP(Fri_W1[[#This Row],[Employee Name]],'Base Schedules'!$A$1:$AW$44,13,FALSE)="","",VLOOKUP(Fri_W1[[#This Row],[Employee Name]],'Base Schedules'!$A$1:$AW$44,13,FALSE)),"")</f>
        <v/>
      </c>
      <c r="O31" s="184" t="str">
        <f>IFERROR(IF(VLOOKUP(Fri_W1[[#This Row],[Employee Name]],'Base Schedules'!$A$1:$AW$44,14,FALSE)="","",VLOOKUP(Fri_W1[[#This Row],[Employee Name]],'Base Schedules'!$A$1:$AW$44,14,FALSE)),"")</f>
        <v/>
      </c>
      <c r="P31" s="184" t="str">
        <f>IFERROR(IF(VLOOKUP(Fri_W1[[#This Row],[Employee Name]],'Base Schedules'!$A$1:$AW$44,15,FALSE)="","",VLOOKUP(Fri_W1[[#This Row],[Employee Name]],'Base Schedules'!$A$1:$AW$44,15,FALSE)),"")</f>
        <v/>
      </c>
      <c r="Q31" s="184" t="str">
        <f>IFERROR(IF(VLOOKUP(Fri_W1[[#This Row],[Employee Name]],'Base Schedules'!$A$1:$AW$44,16,FALSE)="","",VLOOKUP(Fri_W1[[#This Row],[Employee Name]],'Base Schedules'!$A$1:$AW$44,16,FALSE)),"")</f>
        <v/>
      </c>
      <c r="R31" s="184" t="str">
        <f>IFERROR(IF(VLOOKUP(Fri_W1[[#This Row],[Employee Name]],'Base Schedules'!$A$1:$AW$44,17,FALSE)="","",VLOOKUP(Fri_W1[[#This Row],[Employee Name]],'Base Schedules'!$A$1:$AW$44,17,FALSE)),"")</f>
        <v/>
      </c>
      <c r="S31" s="184" t="str">
        <f>IFERROR(IF(VLOOKUP(Fri_W1[[#This Row],[Employee Name]],'Base Schedules'!$A$1:$AW$44,18,FALSE)="","",VLOOKUP(Fri_W1[[#This Row],[Employee Name]],'Base Schedules'!$A$1:$AW$44,18,FALSE)),"")</f>
        <v/>
      </c>
      <c r="T31" s="184" t="str">
        <f>IFERROR(IF(VLOOKUP(Fri_W1[[#This Row],[Employee Name]],'Base Schedules'!$A$1:$AW$44,19,FALSE)="","",VLOOKUP(Fri_W1[[#This Row],[Employee Name]],'Base Schedules'!$A$1:$AW$44,19,FALSE)),"")</f>
        <v/>
      </c>
      <c r="U31" s="184" t="str">
        <f>IFERROR(IF(VLOOKUP(Fri_W1[[#This Row],[Employee Name]],'Base Schedules'!$A$1:$AW$44,20,FALSE)="","",VLOOKUP(Fri_W1[[#This Row],[Employee Name]],'Base Schedules'!$A$1:$AW$44,20,FALSE)),"")</f>
        <v/>
      </c>
      <c r="V31" s="184" t="str">
        <f>IFERROR(IF(VLOOKUP(Fri_W1[[#This Row],[Employee Name]],'Base Schedules'!$A$1:$AW$44,21,FALSE)="","",VLOOKUP(Fri_W1[[#This Row],[Employee Name]],'Base Schedules'!$A$1:$AW$44,21,FALSE)),"")</f>
        <v>HL</v>
      </c>
      <c r="W31" s="184" t="str">
        <f>IFERROR(IF(VLOOKUP(Fri_W1[[#This Row],[Employee Name]],'Base Schedules'!$A$1:$AW$44,22,FALSE)="","",VLOOKUP(Fri_W1[[#This Row],[Employee Name]],'Base Schedules'!$A$1:$AW$44,22,FALSE)),"")</f>
        <v>HL</v>
      </c>
      <c r="X31" s="184" t="str">
        <f>IFERROR(IF(VLOOKUP(Fri_W1[[#This Row],[Employee Name]],'Base Schedules'!$A$1:$AW$44,23,FALSE)="","",VLOOKUP(Fri_W1[[#This Row],[Employee Name]],'Base Schedules'!$A$1:$AW$44,23,FALSE)),"")</f>
        <v>HL</v>
      </c>
      <c r="Y31" s="184" t="str">
        <f>IFERROR(IF(VLOOKUP(Fri_W1[[#This Row],[Employee Name]],'Base Schedules'!$A$1:$AW$44,24,FALSE)="","",VLOOKUP(Fri_W1[[#This Row],[Employee Name]],'Base Schedules'!$A$1:$AW$44,24,FALSE)),"")</f>
        <v>HL</v>
      </c>
      <c r="Z31" s="184" t="str">
        <f>IFERROR(IF(VLOOKUP(Fri_W1[[#This Row],[Employee Name]],'Base Schedules'!$A$1:$AW$44,25,FALSE)="","",VLOOKUP(Fri_W1[[#This Row],[Employee Name]],'Base Schedules'!$A$1:$AW$44,25,FALSE)),"")</f>
        <v>B1 ADM</v>
      </c>
      <c r="AA31" s="184" t="str">
        <f>IFERROR(IF(VLOOKUP(Fri_W1[[#This Row],[Employee Name]],'Base Schedules'!$A$1:$AW$44,26,FALSE)="","",VLOOKUP(Fri_W1[[#This Row],[Employee Name]],'Base Schedules'!$A$1:$AW$44,26,FALSE)),"")</f>
        <v>ADM</v>
      </c>
      <c r="AB31" s="184" t="str">
        <f>IFERROR(IF(VLOOKUP(Fri_W1[[#This Row],[Employee Name]],'Base Schedules'!$A$1:$AW$44,27,FALSE)="","",VLOOKUP(Fri_W1[[#This Row],[Employee Name]],'Base Schedules'!$A$1:$AW$44,27,FALSE)),"")</f>
        <v>ADM</v>
      </c>
      <c r="AC31" s="184" t="str">
        <f>IFERROR(IF(VLOOKUP(Fri_W1[[#This Row],[Employee Name]],'Base Schedules'!$A$1:$AW$44,28,FALSE)="","",VLOOKUP(Fri_W1[[#This Row],[Employee Name]],'Base Schedules'!$A$1:$AW$44,28,FALSE)),"")</f>
        <v>ADM</v>
      </c>
      <c r="AD31" s="184" t="str">
        <f>IFERROR(IF(VLOOKUP(Fri_W1[[#This Row],[Employee Name]],'Base Schedules'!$A$1:$AW$44,29,FALSE)="","",VLOOKUP(Fri_W1[[#This Row],[Employee Name]],'Base Schedules'!$A$1:$AW$44,29,FALSE)),"")</f>
        <v>ADM</v>
      </c>
      <c r="AE31" s="184" t="str">
        <f>IFERROR(IF(VLOOKUP(Fri_W1[[#This Row],[Employee Name]],'Base Schedules'!$A$1:$AW$44,30,FALSE)="","",VLOOKUP(Fri_W1[[#This Row],[Employee Name]],'Base Schedules'!$A$1:$AW$44,30,FALSE)),"")</f>
        <v>LUNCH</v>
      </c>
      <c r="AF31" s="184" t="str">
        <f>IFERROR(IF(VLOOKUP(Fri_W1[[#This Row],[Employee Name]],'Base Schedules'!$A$1:$AW$44,31,FALSE)="","",VLOOKUP(Fri_W1[[#This Row],[Employee Name]],'Base Schedules'!$A$1:$AW$44,31,FALSE)),"")</f>
        <v>HL</v>
      </c>
      <c r="AG31" s="184" t="str">
        <f>IFERROR(IF(VLOOKUP(Fri_W1[[#This Row],[Employee Name]],'Base Schedules'!$A$1:$AW$44,32,FALSE)="","",VLOOKUP(Fri_W1[[#This Row],[Employee Name]],'Base Schedules'!$A$1:$AW$44,32,FALSE)),"")</f>
        <v>HL</v>
      </c>
      <c r="AH31" s="184" t="str">
        <f>IFERROR(IF(VLOOKUP(Fri_W1[[#This Row],[Employee Name]],'Base Schedules'!$A$1:$AW$44,33,FALSE)="","",VLOOKUP(Fri_W1[[#This Row],[Employee Name]],'Base Schedules'!$A$1:$AW$44,33,FALSE)),"")</f>
        <v>HL</v>
      </c>
      <c r="AI31" s="184" t="str">
        <f>IFERROR(IF(VLOOKUP(Fri_W1[[#This Row],[Employee Name]],'Base Schedules'!$A$1:$AW$44,34,FALSE)="","",VLOOKUP(Fri_W1[[#This Row],[Employee Name]],'Base Schedules'!$A$1:$AW$44,34,FALSE)),"")</f>
        <v>HL B2</v>
      </c>
      <c r="AJ31" s="184" t="str">
        <f>IFERROR(IF(VLOOKUP(Fri_W1[[#This Row],[Employee Name]],'Base Schedules'!$A$1:$AW$44,35,FALSE)="","",VLOOKUP(Fri_W1[[#This Row],[Employee Name]],'Base Schedules'!$A$1:$AW$44,35,FALSE)),"")</f>
        <v>ADM</v>
      </c>
      <c r="AK31" s="184" t="str">
        <f>IFERROR(IF(VLOOKUP(Fri_W1[[#This Row],[Employee Name]],'Base Schedules'!$A$1:$AW$44,36,FALSE)="","",VLOOKUP(Fri_W1[[#This Row],[Employee Name]],'Base Schedules'!$A$1:$AW$44,36,FALSE)),"")</f>
        <v>ADM</v>
      </c>
      <c r="AL31" s="184" t="str">
        <f>IFERROR(IF(VLOOKUP(Fri_W1[[#This Row],[Employee Name]],'Base Schedules'!$A$1:$AW$44,37,FALSE)="","",VLOOKUP(Fri_W1[[#This Row],[Employee Name]],'Base Schedules'!$A$1:$AW$44,37,FALSE)),"")</f>
        <v>ADM</v>
      </c>
      <c r="AM31" s="184" t="str">
        <f>IFERROR(IF(VLOOKUP(Fri_W1[[#This Row],[Employee Name]],'Base Schedules'!$A$1:$AW$44,38,FALSE)="","",VLOOKUP(Fri_W1[[#This Row],[Employee Name]],'Base Schedules'!$A$1:$AW$44,38,FALSE)),"")</f>
        <v/>
      </c>
      <c r="AN31" s="184" t="str">
        <f>IFERROR(IF(VLOOKUP(Fri_W1[[#This Row],[Employee Name]],'Base Schedules'!$A$1:$AW$44,39,FALSE)="","",VLOOKUP(Fri_W1[[#This Row],[Employee Name]],'Base Schedules'!$A$1:$AW$44,39,FALSE)),"")</f>
        <v/>
      </c>
      <c r="AO31" s="184" t="str">
        <f>IFERROR(IF(VLOOKUP(Fri_W1[[#This Row],[Employee Name]],'Base Schedules'!$A$1:$AW$44,40,FALSE)="","",VLOOKUP(Fri_W1[[#This Row],[Employee Name]],'Base Schedules'!$A$1:$AW$44,40,FALSE)),"")</f>
        <v/>
      </c>
      <c r="AP31" s="184" t="str">
        <f>IFERROR(IF(VLOOKUP(Fri_W1[[#This Row],[Employee Name]],'Base Schedules'!$A$1:$AW$44,41,FALSE)="","",VLOOKUP(Fri_W1[[#This Row],[Employee Name]],'Base Schedules'!$A$1:$AW$44,41,FALSE)),"")</f>
        <v/>
      </c>
      <c r="AQ31" s="184" t="str">
        <f>IFERROR(IF(VLOOKUP(Fri_W1[[#This Row],[Employee Name]],'Base Schedules'!$A$1:$AW$44,42,FALSE)="","",VLOOKUP(Fri_W1[[#This Row],[Employee Name]],'Base Schedules'!$A$1:$AW$44,42,FALSE)),"")</f>
        <v/>
      </c>
      <c r="AR31" s="184" t="str">
        <f>IFERROR(IF(VLOOKUP(Fri_W1[[#This Row],[Employee Name]],'Base Schedules'!$A$1:$AW$44,43,FALSE)="","",VLOOKUP(Fri_W1[[#This Row],[Employee Name]],'Base Schedules'!$A$1:$AW$44,43,FALSE)),"")</f>
        <v/>
      </c>
      <c r="AS31" s="184" t="str">
        <f>IFERROR(IF(VLOOKUP(Fri_W1[[#This Row],[Employee Name]],'Base Schedules'!$A$1:$AW$44,44,FALSE)="","",VLOOKUP(Fri_W1[[#This Row],[Employee Name]],'Base Schedules'!$A$1:$AW$44,44,FALSE)),"")</f>
        <v/>
      </c>
      <c r="AT31" s="184" t="str">
        <f>IFERROR(IF(VLOOKUP(Fri_W1[[#This Row],[Employee Name]],'Base Schedules'!$A$1:$AW$44,45,FALSE)="","",VLOOKUP(Fri_W1[[#This Row],[Employee Name]],'Base Schedules'!$A$1:$AW$44,45,FALSE)),"")</f>
        <v/>
      </c>
      <c r="AU31" s="184" t="str">
        <f>IFERROR(IF(VLOOKUP(Fri_W1[[#This Row],[Employee Name]],'Base Schedules'!$A$1:$AW$44,46,FALSE)="","",VLOOKUP(Fri_W1[[#This Row],[Employee Name]],'Base Schedules'!$A$1:$AW$44,46,FALSE)),"")</f>
        <v/>
      </c>
      <c r="AV31" s="184" t="str">
        <f>IFERROR(IF(VLOOKUP(Fri_W1[[#This Row],[Employee Name]],'Base Schedules'!$A$1:$AW$44,47,FALSE)="","",VLOOKUP(Fri_W1[[#This Row],[Employee Name]],'Base Schedules'!$A$1:$AW$44,47,FALSE)),"")</f>
        <v/>
      </c>
      <c r="AW31" s="184" t="str">
        <f>IFERROR(IF(VLOOKUP(Fri_W1[[#This Row],[Employee Name]],'Base Schedules'!$A$1:$AW$44,48,FALSE)="","",VLOOKUP(Fri_W1[[#This Row],[Employee Name]],'Base Schedules'!$A$1:$AW$44,48,FALSE)),"")</f>
        <v/>
      </c>
      <c r="AX31" s="184" t="str">
        <f>IFERROR(IF(VLOOKUP(Fri_W1[[#This Row],[Employee Name]],'Base Schedules'!$A$1:$AW$44,49,FALSE)="","",VLOOKUP(Fri_W1[[#This Row],[Employee Name]],'Base Schedules'!$A$1:$AW$44,49,FALSE)),"")</f>
        <v/>
      </c>
      <c r="AY31" s="245" t="str">
        <f t="shared" si="2"/>
        <v>Koistinen, Shaun</v>
      </c>
    </row>
    <row r="32" spans="1:51" s="44" customFormat="1" ht="11.25" customHeight="1" x14ac:dyDescent="0.2">
      <c r="A32" s="39" t="str">
        <f>IF(B32="","",INDEX(TeamList[],MATCH($B32,TeamList[[Employee Name]:[Employee Name]],0),MATCH("Manager",TeamList[#Headers],0)))</f>
        <v>Olson, Katherine</v>
      </c>
      <c r="B32" s="201" t="s">
        <v>236</v>
      </c>
      <c r="C32" s="257" t="str">
        <f>_xlfn.IFNA(VLOOKUP(Fri_W1[[#This Row],[Employee Name]],'Base Schedules'!A:B,2,FALSE),"")</f>
        <v>Lead</v>
      </c>
      <c r="D32" s="274">
        <f>_xlfn.IFNA(VLOOKUP(Fri_W1[[#This Row],[Employee Name]],'Base Schedules'!A:C,3,FALSE),"")</f>
        <v>1130</v>
      </c>
      <c r="E32" s="274">
        <f>_xlfn.IFNA(VLOOKUP(Fri_W1[[#This Row],[Employee Name]],'Base Schedules'!A:D,4,FALSE),"")</f>
        <v>2000</v>
      </c>
      <c r="F32" s="142">
        <f>IF(Fri_W1[[#This Row],[Employee Name]]="","",IF(Fri_W1[[#This Row],[Dept]]="Supervisor",COUNTIFS($J32:$AX32,"*HL*",$J32:$AX32,"&lt;&gt;"&amp;"pHL"),COUNTIFS($J32:$AX32,"*HL*",$J32:$AX32,"&lt;&gt;"&amp;"*pHL*",$J32:$AX32,"&lt;&gt;"&amp;"pB1 HL",$J32:$AX32,"&lt;&gt;"&amp;"pB2 HL")-SUM(COUNTIFS($J32:$AX32,"*HL B1*",$J32:$AX32,"&lt;&gt;"&amp;"pHL B1")*0.5,COUNTIFS($J32:$AX32,"*HL B2*",$J32:$AX32,"&lt;&gt;"&amp;"pHL B2")*0.5,COUNTIFS($J32:$AX32,"*B1 HL*",$J32:$AX32,"&lt;&gt;"&amp;"pB1 HL")*0.5,COUNTIFS($J32:$AX32,"*B2 HL*",$J32:$AX32,"&lt;&gt;"&amp;"pB2 HL")*0.5)))</f>
        <v>6</v>
      </c>
      <c r="G32" s="142">
        <f t="shared" si="0"/>
        <v>0</v>
      </c>
      <c r="H32" s="142">
        <f t="shared" si="1"/>
        <v>8</v>
      </c>
      <c r="I32" s="142">
        <f>IF(Fri_W1[[#This Row],[Employee Name]]="","",IF(Fri_W1[[#This Row],[Dept]]="Supervisor",SUM(COUNTIFS($J32:$AX32,"RTA*",$J32:$AX32,"&lt;&gt;"&amp;"pRTA"),COUNTIFS($J32:$AX32,"*CRTA*",$J32:$AX32,"&lt;&gt;"&amp;"pCRTA")),COUNTIFS($J32:$AX32,"*RNNR*",$J32:$AX32,"&lt;&gt;"&amp;"*pRNNR*",$J32:$AX32,"&lt;&gt;"&amp;"pB1 RNNR",$J32:$AX32,"&lt;&gt;"&amp;"pB2 RNNR")-SUM(COUNTIFS($J32:$AX32,"*RNNR B1*",$J32:$AX32,"&lt;&gt;"&amp;"pRNNR B1")*0.5,COUNTIFS($J32:$AX32,"*RNNR B2*",$J32:$AX32,"&lt;&gt;"&amp;"pRNNR B2")*0.5,COUNTIFS($J32:$AX32,"*B1 RNNR*",$J32:$AX32,"&lt;&gt;"&amp;"pB1 RNNR")*0.5,COUNTIFS($J32:$AX32,"*B2 RNNR*",$J32:$AX32,"&lt;&gt;"&amp;"pB2 RNNR")*0.5)))</f>
        <v>2</v>
      </c>
      <c r="J32" s="184" t="str">
        <f>IFERROR(IF(VLOOKUP(Fri_W1[[#This Row],[Employee Name]],'Base Schedules'!$A$1:$AW$44,9,FALSE)="","",VLOOKUP(Fri_W1[[#This Row],[Employee Name]],'Base Schedules'!$A$1:$AW$44,9,FALSE)),"")</f>
        <v/>
      </c>
      <c r="K32" s="184" t="str">
        <f>IFERROR(IF(VLOOKUP(Fri_W1[[#This Row],[Employee Name]],'Base Schedules'!$A$1:$AW$44,10,FALSE)="","",VLOOKUP(Fri_W1[[#This Row],[Employee Name]],'Base Schedules'!$A$1:$AW$44,10,FALSE)),"")</f>
        <v/>
      </c>
      <c r="L32" s="184" t="str">
        <f>IFERROR(IF(VLOOKUP(Fri_W1[[#This Row],[Employee Name]],'Base Schedules'!$A$1:$AW$44,11,FALSE)="","",VLOOKUP(Fri_W1[[#This Row],[Employee Name]],'Base Schedules'!$A$1:$AW$44,11,FALSE)),"")</f>
        <v/>
      </c>
      <c r="M32" s="184" t="str">
        <f>IFERROR(IF(VLOOKUP(Fri_W1[[#This Row],[Employee Name]],'Base Schedules'!$A$1:$AW$44,12,FALSE)="","",VLOOKUP(Fri_W1[[#This Row],[Employee Name]],'Base Schedules'!$A$1:$AW$44,12,FALSE)),"")</f>
        <v/>
      </c>
      <c r="N32" s="184" t="str">
        <f>IFERROR(IF(VLOOKUP(Fri_W1[[#This Row],[Employee Name]],'Base Schedules'!$A$1:$AW$44,13,FALSE)="","",VLOOKUP(Fri_W1[[#This Row],[Employee Name]],'Base Schedules'!$A$1:$AW$44,13,FALSE)),"")</f>
        <v/>
      </c>
      <c r="O32" s="184" t="str">
        <f>IFERROR(IF(VLOOKUP(Fri_W1[[#This Row],[Employee Name]],'Base Schedules'!$A$1:$AW$44,14,FALSE)="","",VLOOKUP(Fri_W1[[#This Row],[Employee Name]],'Base Schedules'!$A$1:$AW$44,14,FALSE)),"")</f>
        <v/>
      </c>
      <c r="P32" s="184" t="str">
        <f>IFERROR(IF(VLOOKUP(Fri_W1[[#This Row],[Employee Name]],'Base Schedules'!$A$1:$AW$44,15,FALSE)="","",VLOOKUP(Fri_W1[[#This Row],[Employee Name]],'Base Schedules'!$A$1:$AW$44,15,FALSE)),"")</f>
        <v/>
      </c>
      <c r="Q32" s="184" t="str">
        <f>IFERROR(IF(VLOOKUP(Fri_W1[[#This Row],[Employee Name]],'Base Schedules'!$A$1:$AW$44,16,FALSE)="","",VLOOKUP(Fri_W1[[#This Row],[Employee Name]],'Base Schedules'!$A$1:$AW$44,16,FALSE)),"")</f>
        <v/>
      </c>
      <c r="R32" s="184" t="str">
        <f>IFERROR(IF(VLOOKUP(Fri_W1[[#This Row],[Employee Name]],'Base Schedules'!$A$1:$AW$44,17,FALSE)="","",VLOOKUP(Fri_W1[[#This Row],[Employee Name]],'Base Schedules'!$A$1:$AW$44,17,FALSE)),"")</f>
        <v/>
      </c>
      <c r="S32" s="184" t="str">
        <f>IFERROR(IF(VLOOKUP(Fri_W1[[#This Row],[Employee Name]],'Base Schedules'!$A$1:$AW$44,18,FALSE)="","",VLOOKUP(Fri_W1[[#This Row],[Employee Name]],'Base Schedules'!$A$1:$AW$44,18,FALSE)),"")</f>
        <v/>
      </c>
      <c r="T32" s="184" t="str">
        <f>IFERROR(IF(VLOOKUP(Fri_W1[[#This Row],[Employee Name]],'Base Schedules'!$A$1:$AW$44,19,FALSE)="","",VLOOKUP(Fri_W1[[#This Row],[Employee Name]],'Base Schedules'!$A$1:$AW$44,19,FALSE)),"")</f>
        <v/>
      </c>
      <c r="U32" s="184" t="str">
        <f>IFERROR(IF(VLOOKUP(Fri_W1[[#This Row],[Employee Name]],'Base Schedules'!$A$1:$AW$44,20,FALSE)="","",VLOOKUP(Fri_W1[[#This Row],[Employee Name]],'Base Schedules'!$A$1:$AW$44,20,FALSE)),"")</f>
        <v/>
      </c>
      <c r="V32" s="184" t="str">
        <f>IFERROR(IF(VLOOKUP(Fri_W1[[#This Row],[Employee Name]],'Base Schedules'!$A$1:$AW$44,21,FALSE)="","",VLOOKUP(Fri_W1[[#This Row],[Employee Name]],'Base Schedules'!$A$1:$AW$44,21,FALSE)),"")</f>
        <v/>
      </c>
      <c r="W32" s="184" t="str">
        <f>IFERROR(IF(VLOOKUP(Fri_W1[[#This Row],[Employee Name]],'Base Schedules'!$A$1:$AW$44,22,FALSE)="","",VLOOKUP(Fri_W1[[#This Row],[Employee Name]],'Base Schedules'!$A$1:$AW$44,22,FALSE)),"")</f>
        <v>ADM</v>
      </c>
      <c r="X32" s="184" t="str">
        <f>IFERROR(IF(VLOOKUP(Fri_W1[[#This Row],[Employee Name]],'Base Schedules'!$A$1:$AW$44,23,FALSE)="","",VLOOKUP(Fri_W1[[#This Row],[Employee Name]],'Base Schedules'!$A$1:$AW$44,23,FALSE)),"")</f>
        <v>ADM</v>
      </c>
      <c r="Y32" s="184" t="str">
        <f>IFERROR(IF(VLOOKUP(Fri_W1[[#This Row],[Employee Name]],'Base Schedules'!$A$1:$AW$44,24,FALSE)="","",VLOOKUP(Fri_W1[[#This Row],[Employee Name]],'Base Schedules'!$A$1:$AW$44,24,FALSE)),"")</f>
        <v>ADM</v>
      </c>
      <c r="Z32" s="184" t="str">
        <f>IFERROR(IF(VLOOKUP(Fri_W1[[#This Row],[Employee Name]],'Base Schedules'!$A$1:$AW$44,25,FALSE)="","",VLOOKUP(Fri_W1[[#This Row],[Employee Name]],'Base Schedules'!$A$1:$AW$44,25,FALSE)),"")</f>
        <v>ADM</v>
      </c>
      <c r="AA32" s="184" t="str">
        <f>IFERROR(IF(VLOOKUP(Fri_W1[[#This Row],[Employee Name]],'Base Schedules'!$A$1:$AW$44,26,FALSE)="","",VLOOKUP(Fri_W1[[#This Row],[Employee Name]],'Base Schedules'!$A$1:$AW$44,26,FALSE)),"")</f>
        <v>ADM B1</v>
      </c>
      <c r="AB32" s="184" t="str">
        <f>IFERROR(IF(VLOOKUP(Fri_W1[[#This Row],[Employee Name]],'Base Schedules'!$A$1:$AW$44,27,FALSE)="","",VLOOKUP(Fri_W1[[#This Row],[Employee Name]],'Base Schedules'!$A$1:$AW$44,27,FALSE)),"")</f>
        <v>RNNR</v>
      </c>
      <c r="AC32" s="184" t="str">
        <f>IFERROR(IF(VLOOKUP(Fri_W1[[#This Row],[Employee Name]],'Base Schedules'!$A$1:$AW$44,28,FALSE)="","",VLOOKUP(Fri_W1[[#This Row],[Employee Name]],'Base Schedules'!$A$1:$AW$44,28,FALSE)),"")</f>
        <v>RNNR</v>
      </c>
      <c r="AD32" s="184" t="str">
        <f>IFERROR(IF(VLOOKUP(Fri_W1[[#This Row],[Employee Name]],'Base Schedules'!$A$1:$AW$44,29,FALSE)="","",VLOOKUP(Fri_W1[[#This Row],[Employee Name]],'Base Schedules'!$A$1:$AW$44,29,FALSE)),"")</f>
        <v>HL</v>
      </c>
      <c r="AE32" s="184" t="str">
        <f>IFERROR(IF(VLOOKUP(Fri_W1[[#This Row],[Employee Name]],'Base Schedules'!$A$1:$AW$44,30,FALSE)="","",VLOOKUP(Fri_W1[[#This Row],[Employee Name]],'Base Schedules'!$A$1:$AW$44,30,FALSE)),"")</f>
        <v>HL</v>
      </c>
      <c r="AF32" s="184" t="str">
        <f>IFERROR(IF(VLOOKUP(Fri_W1[[#This Row],[Employee Name]],'Base Schedules'!$A$1:$AW$44,31,FALSE)="","",VLOOKUP(Fri_W1[[#This Row],[Employee Name]],'Base Schedules'!$A$1:$AW$44,31,FALSE)),"")</f>
        <v>LUNCH</v>
      </c>
      <c r="AG32" s="184" t="str">
        <f>IFERROR(IF(VLOOKUP(Fri_W1[[#This Row],[Employee Name]],'Base Schedules'!$A$1:$AW$44,32,FALSE)="","",VLOOKUP(Fri_W1[[#This Row],[Employee Name]],'Base Schedules'!$A$1:$AW$44,32,FALSE)),"")</f>
        <v>HL</v>
      </c>
      <c r="AH32" s="184" t="str">
        <f>IFERROR(IF(VLOOKUP(Fri_W1[[#This Row],[Employee Name]],'Base Schedules'!$A$1:$AW$44,33,FALSE)="","",VLOOKUP(Fri_W1[[#This Row],[Employee Name]],'Base Schedules'!$A$1:$AW$44,33,FALSE)),"")</f>
        <v>HL</v>
      </c>
      <c r="AI32" s="184" t="str">
        <f>IFERROR(IF(VLOOKUP(Fri_W1[[#This Row],[Employee Name]],'Base Schedules'!$A$1:$AW$44,34,FALSE)="","",VLOOKUP(Fri_W1[[#This Row],[Employee Name]],'Base Schedules'!$A$1:$AW$44,34,FALSE)),"")</f>
        <v>HL</v>
      </c>
      <c r="AJ32" s="184" t="str">
        <f>IFERROR(IF(VLOOKUP(Fri_W1[[#This Row],[Employee Name]],'Base Schedules'!$A$1:$AW$44,35,FALSE)="","",VLOOKUP(Fri_W1[[#This Row],[Employee Name]],'Base Schedules'!$A$1:$AW$44,35,FALSE)),"")</f>
        <v>B2 ADM</v>
      </c>
      <c r="AK32" s="184" t="str">
        <f>IFERROR(IF(VLOOKUP(Fri_W1[[#This Row],[Employee Name]],'Base Schedules'!$A$1:$AW$44,36,FALSE)="","",VLOOKUP(Fri_W1[[#This Row],[Employee Name]],'Base Schedules'!$A$1:$AW$44,36,FALSE)),"")</f>
        <v>ADM</v>
      </c>
      <c r="AL32" s="184" t="str">
        <f>IFERROR(IF(VLOOKUP(Fri_W1[[#This Row],[Employee Name]],'Base Schedules'!$A$1:$AW$44,37,FALSE)="","",VLOOKUP(Fri_W1[[#This Row],[Employee Name]],'Base Schedules'!$A$1:$AW$44,37,FALSE)),"")</f>
        <v>ADM</v>
      </c>
      <c r="AM32" s="184" t="str">
        <f>IFERROR(IF(VLOOKUP(Fri_W1[[#This Row],[Employee Name]],'Base Schedules'!$A$1:$AW$44,38,FALSE)="","",VLOOKUP(Fri_W1[[#This Row],[Employee Name]],'Base Schedules'!$A$1:$AW$44,38,FALSE)),"")</f>
        <v>HL</v>
      </c>
      <c r="AN32" s="184" t="str">
        <f>IFERROR(IF(VLOOKUP(Fri_W1[[#This Row],[Employee Name]],'Base Schedules'!$A$1:$AW$44,39,FALSE)="","",VLOOKUP(Fri_W1[[#This Row],[Employee Name]],'Base Schedules'!$A$1:$AW$44,39,FALSE)),"")</f>
        <v/>
      </c>
      <c r="AO32" s="184" t="str">
        <f>IFERROR(IF(VLOOKUP(Fri_W1[[#This Row],[Employee Name]],'Base Schedules'!$A$1:$AW$44,40,FALSE)="","",VLOOKUP(Fri_W1[[#This Row],[Employee Name]],'Base Schedules'!$A$1:$AW$44,40,FALSE)),"")</f>
        <v/>
      </c>
      <c r="AP32" s="184" t="str">
        <f>IFERROR(IF(VLOOKUP(Fri_W1[[#This Row],[Employee Name]],'Base Schedules'!$A$1:$AW$44,41,FALSE)="","",VLOOKUP(Fri_W1[[#This Row],[Employee Name]],'Base Schedules'!$A$1:$AW$44,41,FALSE)),"")</f>
        <v/>
      </c>
      <c r="AQ32" s="184" t="str">
        <f>IFERROR(IF(VLOOKUP(Fri_W1[[#This Row],[Employee Name]],'Base Schedules'!$A$1:$AW$44,42,FALSE)="","",VLOOKUP(Fri_W1[[#This Row],[Employee Name]],'Base Schedules'!$A$1:$AW$44,42,FALSE)),"")</f>
        <v/>
      </c>
      <c r="AR32" s="184" t="str">
        <f>IFERROR(IF(VLOOKUP(Fri_W1[[#This Row],[Employee Name]],'Base Schedules'!$A$1:$AW$44,43,FALSE)="","",VLOOKUP(Fri_W1[[#This Row],[Employee Name]],'Base Schedules'!$A$1:$AW$44,43,FALSE)),"")</f>
        <v/>
      </c>
      <c r="AS32" s="184" t="str">
        <f>IFERROR(IF(VLOOKUP(Fri_W1[[#This Row],[Employee Name]],'Base Schedules'!$A$1:$AW$44,44,FALSE)="","",VLOOKUP(Fri_W1[[#This Row],[Employee Name]],'Base Schedules'!$A$1:$AW$44,44,FALSE)),"")</f>
        <v/>
      </c>
      <c r="AT32" s="184" t="str">
        <f>IFERROR(IF(VLOOKUP(Fri_W1[[#This Row],[Employee Name]],'Base Schedules'!$A$1:$AW$44,45,FALSE)="","",VLOOKUP(Fri_W1[[#This Row],[Employee Name]],'Base Schedules'!$A$1:$AW$44,45,FALSE)),"")</f>
        <v/>
      </c>
      <c r="AU32" s="184" t="str">
        <f>IFERROR(IF(VLOOKUP(Fri_W1[[#This Row],[Employee Name]],'Base Schedules'!$A$1:$AW$44,46,FALSE)="","",VLOOKUP(Fri_W1[[#This Row],[Employee Name]],'Base Schedules'!$A$1:$AW$44,46,FALSE)),"")</f>
        <v/>
      </c>
      <c r="AV32" s="184" t="str">
        <f>IFERROR(IF(VLOOKUP(Fri_W1[[#This Row],[Employee Name]],'Base Schedules'!$A$1:$AW$44,47,FALSE)="","",VLOOKUP(Fri_W1[[#This Row],[Employee Name]],'Base Schedules'!$A$1:$AW$44,47,FALSE)),"")</f>
        <v/>
      </c>
      <c r="AW32" s="184" t="str">
        <f>IFERROR(IF(VLOOKUP(Fri_W1[[#This Row],[Employee Name]],'Base Schedules'!$A$1:$AW$44,48,FALSE)="","",VLOOKUP(Fri_W1[[#This Row],[Employee Name]],'Base Schedules'!$A$1:$AW$44,48,FALSE)),"")</f>
        <v/>
      </c>
      <c r="AX32" s="184" t="str">
        <f>IFERROR(IF(VLOOKUP(Fri_W1[[#This Row],[Employee Name]],'Base Schedules'!$A$1:$AW$44,49,FALSE)="","",VLOOKUP(Fri_W1[[#This Row],[Employee Name]],'Base Schedules'!$A$1:$AW$44,49,FALSE)),"")</f>
        <v/>
      </c>
      <c r="AY32" s="245" t="str">
        <f t="shared" si="2"/>
        <v>Goss, Ian</v>
      </c>
    </row>
    <row r="33" spans="1:51" s="44" customFormat="1" ht="11.25" customHeight="1" x14ac:dyDescent="0.2">
      <c r="A33" s="39" t="e">
        <f>IF(B33="","",INDEX(TeamList[],MATCH($B33,TeamList[[Employee Name]:[Employee Name]],0),MATCH("Manager",TeamList[#Headers],0)))</f>
        <v>#N/A</v>
      </c>
      <c r="B33" s="201" t="s">
        <v>414</v>
      </c>
      <c r="C33" s="257" t="str">
        <f>_xlfn.IFNA(VLOOKUP(Fri_W1[[#This Row],[Employee Name]],'Base Schedules'!A:B,2,FALSE),"")</f>
        <v>Lead</v>
      </c>
      <c r="D33" s="274">
        <f>_xlfn.IFNA(VLOOKUP(Fri_W1[[#This Row],[Employee Name]],'Base Schedules'!A:C,3,FALSE),"")</f>
        <v>1130</v>
      </c>
      <c r="E33" s="274">
        <f>_xlfn.IFNA(VLOOKUP(Fri_W1[[#This Row],[Employee Name]],'Base Schedules'!A:D,4,FALSE),"")</f>
        <v>1930</v>
      </c>
      <c r="F33" s="142">
        <f>IF(Fri_W1[[#This Row],[Employee Name]]="","",IF(Fri_W1[[#This Row],[Dept]]="Supervisor",COUNTIFS($J33:$AX33,"*HL*",$J33:$AX33,"&lt;&gt;"&amp;"pHL"),COUNTIFS($J33:$AX33,"*HL*",$J33:$AX33,"&lt;&gt;"&amp;"*pHL*",$J33:$AX33,"&lt;&gt;"&amp;"pB1 HL",$J33:$AX33,"&lt;&gt;"&amp;"pB2 HL")-SUM(COUNTIFS($J33:$AX33,"*HL B1*",$J33:$AX33,"&lt;&gt;"&amp;"pHL B1")*0.5,COUNTIFS($J33:$AX33,"*HL B2*",$J33:$AX33,"&lt;&gt;"&amp;"pHL B2")*0.5,COUNTIFS($J33:$AX33,"*B1 HL*",$J33:$AX33,"&lt;&gt;"&amp;"pB1 HL")*0.5,COUNTIFS($J33:$AX33,"*B2 HL*",$J33:$AX33,"&lt;&gt;"&amp;"pB2 HL")*0.5)))</f>
        <v>6.5</v>
      </c>
      <c r="G33" s="142">
        <f>IF(B33="","",COUNTIFS($J33:$AX33,"*TM*",$J33:$AX33,"&lt;&gt;"&amp;"pTM",$J33:$AX33,"&lt;&gt;"&amp;"uTM"))</f>
        <v>0</v>
      </c>
      <c r="H33" s="142">
        <f t="shared" si="1"/>
        <v>9</v>
      </c>
      <c r="I33" s="142">
        <f>IF(Fri_W1[[#This Row],[Employee Name]]="","",IF(Fri_W1[[#This Row],[Dept]]="Supervisor",SUM(COUNTIFS($J33:$AX33,"RTA*",$J33:$AX33,"&lt;&gt;"&amp;"pRTA"),COUNTIFS($J33:$AX33,"*CRTA*",$J33:$AX33,"&lt;&gt;"&amp;"pCRTA")),COUNTIFS($J33:$AX33,"*RNNR*",$J33:$AX33,"&lt;&gt;"&amp;"*pRNNR*",$J33:$AX33,"&lt;&gt;"&amp;"pB1 RNNR",$J33:$AX33,"&lt;&gt;"&amp;"pB2 RNNR")-SUM(COUNTIFS($J33:$AX33,"*RNNR B1*",$J33:$AX33,"&lt;&gt;"&amp;"pRNNR B1")*0.5,COUNTIFS($J33:$AX33,"*RNNR B2*",$J33:$AX33,"&lt;&gt;"&amp;"pRNNR B2")*0.5,COUNTIFS($J33:$AX33,"*B1 RNNR*",$J33:$AX33,"&lt;&gt;"&amp;"pB1 RNNR")*0.5,COUNTIFS($J33:$AX33,"*B2 RNNR*",$J33:$AX33,"&lt;&gt;"&amp;"pB2 RNNR")*0.5)))</f>
        <v>0</v>
      </c>
      <c r="J33" s="184" t="str">
        <f>IFERROR(IF(VLOOKUP(Fri_W1[[#This Row],[Employee Name]],'Base Schedules'!$A$1:$AW$44,9,FALSE)="","",VLOOKUP(Fri_W1[[#This Row],[Employee Name]],'Base Schedules'!$A$1:$AW$44,9,FALSE)),"")</f>
        <v/>
      </c>
      <c r="K33" s="184" t="str">
        <f>IFERROR(IF(VLOOKUP(Fri_W1[[#This Row],[Employee Name]],'Base Schedules'!$A$1:$AW$44,10,FALSE)="","",VLOOKUP(Fri_W1[[#This Row],[Employee Name]],'Base Schedules'!$A$1:$AW$44,10,FALSE)),"")</f>
        <v/>
      </c>
      <c r="L33" s="184" t="str">
        <f>IFERROR(IF(VLOOKUP(Fri_W1[[#This Row],[Employee Name]],'Base Schedules'!$A$1:$AW$44,11,FALSE)="","",VLOOKUP(Fri_W1[[#This Row],[Employee Name]],'Base Schedules'!$A$1:$AW$44,11,FALSE)),"")</f>
        <v/>
      </c>
      <c r="M33" s="184" t="str">
        <f>IFERROR(IF(VLOOKUP(Fri_W1[[#This Row],[Employee Name]],'Base Schedules'!$A$1:$AW$44,12,FALSE)="","",VLOOKUP(Fri_W1[[#This Row],[Employee Name]],'Base Schedules'!$A$1:$AW$44,12,FALSE)),"")</f>
        <v/>
      </c>
      <c r="N33" s="184" t="str">
        <f>IFERROR(IF(VLOOKUP(Fri_W1[[#This Row],[Employee Name]],'Base Schedules'!$A$1:$AW$44,13,FALSE)="","",VLOOKUP(Fri_W1[[#This Row],[Employee Name]],'Base Schedules'!$A$1:$AW$44,13,FALSE)),"")</f>
        <v/>
      </c>
      <c r="O33" s="184" t="str">
        <f>IFERROR(IF(VLOOKUP(Fri_W1[[#This Row],[Employee Name]],'Base Schedules'!$A$1:$AW$44,14,FALSE)="","",VLOOKUP(Fri_W1[[#This Row],[Employee Name]],'Base Schedules'!$A$1:$AW$44,14,FALSE)),"")</f>
        <v/>
      </c>
      <c r="P33" s="184" t="str">
        <f>IFERROR(IF(VLOOKUP(Fri_W1[[#This Row],[Employee Name]],'Base Schedules'!$A$1:$AW$44,15,FALSE)="","",VLOOKUP(Fri_W1[[#This Row],[Employee Name]],'Base Schedules'!$A$1:$AW$44,15,FALSE)),"")</f>
        <v/>
      </c>
      <c r="Q33" s="184" t="str">
        <f>IFERROR(IF(VLOOKUP(Fri_W1[[#This Row],[Employee Name]],'Base Schedules'!$A$1:$AW$44,16,FALSE)="","",VLOOKUP(Fri_W1[[#This Row],[Employee Name]],'Base Schedules'!$A$1:$AW$44,16,FALSE)),"")</f>
        <v/>
      </c>
      <c r="R33" s="184" t="str">
        <f>IFERROR(IF(VLOOKUP(Fri_W1[[#This Row],[Employee Name]],'Base Schedules'!$A$1:$AW$44,17,FALSE)="","",VLOOKUP(Fri_W1[[#This Row],[Employee Name]],'Base Schedules'!$A$1:$AW$44,17,FALSE)),"")</f>
        <v/>
      </c>
      <c r="S33" s="184" t="str">
        <f>IFERROR(IF(VLOOKUP(Fri_W1[[#This Row],[Employee Name]],'Base Schedules'!$A$1:$AW$44,18,FALSE)="","",VLOOKUP(Fri_W1[[#This Row],[Employee Name]],'Base Schedules'!$A$1:$AW$44,18,FALSE)),"")</f>
        <v/>
      </c>
      <c r="T33" s="184" t="str">
        <f>IFERROR(IF(VLOOKUP(Fri_W1[[#This Row],[Employee Name]],'Base Schedules'!$A$1:$AW$44,19,FALSE)="","",VLOOKUP(Fri_W1[[#This Row],[Employee Name]],'Base Schedules'!$A$1:$AW$44,19,FALSE)),"")</f>
        <v/>
      </c>
      <c r="U33" s="184" t="str">
        <f>IFERROR(IF(VLOOKUP(Fri_W1[[#This Row],[Employee Name]],'Base Schedules'!$A$1:$AW$44,20,FALSE)="","",VLOOKUP(Fri_W1[[#This Row],[Employee Name]],'Base Schedules'!$A$1:$AW$44,20,FALSE)),"")</f>
        <v/>
      </c>
      <c r="V33" s="184" t="str">
        <f>IFERROR(IF(VLOOKUP(Fri_W1[[#This Row],[Employee Name]],'Base Schedules'!$A$1:$AW$44,21,FALSE)="","",VLOOKUP(Fri_W1[[#This Row],[Employee Name]],'Base Schedules'!$A$1:$AW$44,21,FALSE)),"")</f>
        <v/>
      </c>
      <c r="W33" s="184" t="str">
        <f>IFERROR(IF(VLOOKUP(Fri_W1[[#This Row],[Employee Name]],'Base Schedules'!$A$1:$AW$44,22,FALSE)="","",VLOOKUP(Fri_W1[[#This Row],[Employee Name]],'Base Schedules'!$A$1:$AW$44,22,FALSE)),"")</f>
        <v>ADM</v>
      </c>
      <c r="X33" s="184" t="str">
        <f>IFERROR(IF(VLOOKUP(Fri_W1[[#This Row],[Employee Name]],'Base Schedules'!$A$1:$AW$44,23,FALSE)="","",VLOOKUP(Fri_W1[[#This Row],[Employee Name]],'Base Schedules'!$A$1:$AW$44,23,FALSE)),"")</f>
        <v>ADM</v>
      </c>
      <c r="Y33" s="184" t="str">
        <f>IFERROR(IF(VLOOKUP(Fri_W1[[#This Row],[Employee Name]],'Base Schedules'!$A$1:$AW$44,24,FALSE)="","",VLOOKUP(Fri_W1[[#This Row],[Employee Name]],'Base Schedules'!$A$1:$AW$44,24,FALSE)),"")</f>
        <v>ADM</v>
      </c>
      <c r="Z33" s="184" t="str">
        <f>IFERROR(IF(VLOOKUP(Fri_W1[[#This Row],[Employee Name]],'Base Schedules'!$A$1:$AW$44,25,FALSE)="","",VLOOKUP(Fri_W1[[#This Row],[Employee Name]],'Base Schedules'!$A$1:$AW$44,25,FALSE)),"")</f>
        <v>ADM</v>
      </c>
      <c r="AA33" s="184" t="str">
        <f>IFERROR(IF(VLOOKUP(Fri_W1[[#This Row],[Employee Name]],'Base Schedules'!$A$1:$AW$44,26,FALSE)="","",VLOOKUP(Fri_W1[[#This Row],[Employee Name]],'Base Schedules'!$A$1:$AW$44,26,FALSE)),"")</f>
        <v>ADM B1</v>
      </c>
      <c r="AB33" s="184" t="str">
        <f>IFERROR(IF(VLOOKUP(Fri_W1[[#This Row],[Employee Name]],'Base Schedules'!$A$1:$AW$44,27,FALSE)="","",VLOOKUP(Fri_W1[[#This Row],[Employee Name]],'Base Schedules'!$A$1:$AW$44,27,FALSE)),"")</f>
        <v>HL</v>
      </c>
      <c r="AC33" s="184" t="str">
        <f>IFERROR(IF(VLOOKUP(Fri_W1[[#This Row],[Employee Name]],'Base Schedules'!$A$1:$AW$44,28,FALSE)="","",VLOOKUP(Fri_W1[[#This Row],[Employee Name]],'Base Schedules'!$A$1:$AW$44,28,FALSE)),"")</f>
        <v>HL</v>
      </c>
      <c r="AD33" s="184" t="str">
        <f>IFERROR(IF(VLOOKUP(Fri_W1[[#This Row],[Employee Name]],'Base Schedules'!$A$1:$AW$44,29,FALSE)="","",VLOOKUP(Fri_W1[[#This Row],[Employee Name]],'Base Schedules'!$A$1:$AW$44,29,FALSE)),"")</f>
        <v>HL</v>
      </c>
      <c r="AE33" s="184" t="str">
        <f>IFERROR(IF(VLOOKUP(Fri_W1[[#This Row],[Employee Name]],'Base Schedules'!$A$1:$AW$44,30,FALSE)="","",VLOOKUP(Fri_W1[[#This Row],[Employee Name]],'Base Schedules'!$A$1:$AW$44,30,FALSE)),"")</f>
        <v>ADM</v>
      </c>
      <c r="AF33" s="184" t="str">
        <f>IFERROR(IF(VLOOKUP(Fri_W1[[#This Row],[Employee Name]],'Base Schedules'!$A$1:$AW$44,31,FALSE)="","",VLOOKUP(Fri_W1[[#This Row],[Employee Name]],'Base Schedules'!$A$1:$AW$44,31,FALSE)),"")</f>
        <v>ADM</v>
      </c>
      <c r="AG33" s="184" t="str">
        <f>IFERROR(IF(VLOOKUP(Fri_W1[[#This Row],[Employee Name]],'Base Schedules'!$A$1:$AW$44,32,FALSE)="","",VLOOKUP(Fri_W1[[#This Row],[Employee Name]],'Base Schedules'!$A$1:$AW$44,32,FALSE)),"")</f>
        <v>LUNCH</v>
      </c>
      <c r="AH33" s="184" t="str">
        <f>IFERROR(IF(VLOOKUP(Fri_W1[[#This Row],[Employee Name]],'Base Schedules'!$A$1:$AW$44,33,FALSE)="","",VLOOKUP(Fri_W1[[#This Row],[Employee Name]],'Base Schedules'!$A$1:$AW$44,33,FALSE)),"")</f>
        <v>ADM</v>
      </c>
      <c r="AI33" s="184" t="str">
        <f>IFERROR(IF(VLOOKUP(Fri_W1[[#This Row],[Employee Name]],'Base Schedules'!$A$1:$AW$44,34,FALSE)="","",VLOOKUP(Fri_W1[[#This Row],[Employee Name]],'Base Schedules'!$A$1:$AW$44,34,FALSE)),"")</f>
        <v>ADM</v>
      </c>
      <c r="AJ33" s="184" t="str">
        <f>IFERROR(IF(VLOOKUP(Fri_W1[[#This Row],[Employee Name]],'Base Schedules'!$A$1:$AW$44,35,FALSE)="","",VLOOKUP(Fri_W1[[#This Row],[Employee Name]],'Base Schedules'!$A$1:$AW$44,35,FALSE)),"")</f>
        <v>HL</v>
      </c>
      <c r="AK33" s="184" t="str">
        <f>IFERROR(IF(VLOOKUP(Fri_W1[[#This Row],[Employee Name]],'Base Schedules'!$A$1:$AW$44,36,FALSE)="","",VLOOKUP(Fri_W1[[#This Row],[Employee Name]],'Base Schedules'!$A$1:$AW$44,36,FALSE)),"")</f>
        <v>B2 HL</v>
      </c>
      <c r="AL33" s="184" t="str">
        <f>IFERROR(IF(VLOOKUP(Fri_W1[[#This Row],[Employee Name]],'Base Schedules'!$A$1:$AW$44,37,FALSE)="","",VLOOKUP(Fri_W1[[#This Row],[Employee Name]],'Base Schedules'!$A$1:$AW$44,37,FALSE)),"")</f>
        <v>HL</v>
      </c>
      <c r="AM33" s="184" t="str">
        <f>IFERROR(IF(VLOOKUP(Fri_W1[[#This Row],[Employee Name]],'Base Schedules'!$A$1:$AW$44,38,FALSE)="","",VLOOKUP(Fri_W1[[#This Row],[Employee Name]],'Base Schedules'!$A$1:$AW$44,38,FALSE)),"")</f>
        <v>HL</v>
      </c>
      <c r="AN33" s="184" t="str">
        <f>IFERROR(IF(VLOOKUP(Fri_W1[[#This Row],[Employee Name]],'Base Schedules'!$A$1:$AW$44,39,FALSE)="","",VLOOKUP(Fri_W1[[#This Row],[Employee Name]],'Base Schedules'!$A$1:$AW$44,39,FALSE)),"")</f>
        <v/>
      </c>
      <c r="AO33" s="184" t="str">
        <f>IFERROR(IF(VLOOKUP(Fri_W1[[#This Row],[Employee Name]],'Base Schedules'!$A$1:$AW$44,40,FALSE)="","",VLOOKUP(Fri_W1[[#This Row],[Employee Name]],'Base Schedules'!$A$1:$AW$44,40,FALSE)),"")</f>
        <v/>
      </c>
      <c r="AP33" s="184" t="str">
        <f>IFERROR(IF(VLOOKUP(Fri_W1[[#This Row],[Employee Name]],'Base Schedules'!$A$1:$AW$44,41,FALSE)="","",VLOOKUP(Fri_W1[[#This Row],[Employee Name]],'Base Schedules'!$A$1:$AW$44,41,FALSE)),"")</f>
        <v/>
      </c>
      <c r="AQ33" s="184" t="str">
        <f>IFERROR(IF(VLOOKUP(Fri_W1[[#This Row],[Employee Name]],'Base Schedules'!$A$1:$AW$44,42,FALSE)="","",VLOOKUP(Fri_W1[[#This Row],[Employee Name]],'Base Schedules'!$A$1:$AW$44,42,FALSE)),"")</f>
        <v/>
      </c>
      <c r="AR33" s="184" t="str">
        <f>IFERROR(IF(VLOOKUP(Fri_W1[[#This Row],[Employee Name]],'Base Schedules'!$A$1:$AW$44,43,FALSE)="","",VLOOKUP(Fri_W1[[#This Row],[Employee Name]],'Base Schedules'!$A$1:$AW$44,43,FALSE)),"")</f>
        <v/>
      </c>
      <c r="AS33" s="184" t="str">
        <f>IFERROR(IF(VLOOKUP(Fri_W1[[#This Row],[Employee Name]],'Base Schedules'!$A$1:$AW$44,44,FALSE)="","",VLOOKUP(Fri_W1[[#This Row],[Employee Name]],'Base Schedules'!$A$1:$AW$44,44,FALSE)),"")</f>
        <v/>
      </c>
      <c r="AT33" s="184" t="str">
        <f>IFERROR(IF(VLOOKUP(Fri_W1[[#This Row],[Employee Name]],'Base Schedules'!$A$1:$AW$44,45,FALSE)="","",VLOOKUP(Fri_W1[[#This Row],[Employee Name]],'Base Schedules'!$A$1:$AW$44,45,FALSE)),"")</f>
        <v/>
      </c>
      <c r="AU33" s="184" t="str">
        <f>IFERROR(IF(VLOOKUP(Fri_W1[[#This Row],[Employee Name]],'Base Schedules'!$A$1:$AW$44,46,FALSE)="","",VLOOKUP(Fri_W1[[#This Row],[Employee Name]],'Base Schedules'!$A$1:$AW$44,46,FALSE)),"")</f>
        <v/>
      </c>
      <c r="AV33" s="184" t="str">
        <f>IFERROR(IF(VLOOKUP(Fri_W1[[#This Row],[Employee Name]],'Base Schedules'!$A$1:$AW$44,47,FALSE)="","",VLOOKUP(Fri_W1[[#This Row],[Employee Name]],'Base Schedules'!$A$1:$AW$44,47,FALSE)),"")</f>
        <v/>
      </c>
      <c r="AW33" s="184" t="str">
        <f>IFERROR(IF(VLOOKUP(Fri_W1[[#This Row],[Employee Name]],'Base Schedules'!$A$1:$AW$44,48,FALSE)="","",VLOOKUP(Fri_W1[[#This Row],[Employee Name]],'Base Schedules'!$A$1:$AW$44,48,FALSE)),"")</f>
        <v/>
      </c>
      <c r="AX33" s="184" t="str">
        <f>IFERROR(IF(VLOOKUP(Fri_W1[[#This Row],[Employee Name]],'Base Schedules'!$A$1:$AW$44,49,FALSE)="","",VLOOKUP(Fri_W1[[#This Row],[Employee Name]],'Base Schedules'!$A$1:$AW$44,49,FALSE)),"")</f>
        <v/>
      </c>
      <c r="AY33" s="245" t="str">
        <f t="shared" si="2"/>
        <v>Condon, Heather</v>
      </c>
    </row>
    <row r="34" spans="1:51" s="44" customFormat="1" ht="11.25" customHeight="1" x14ac:dyDescent="0.2">
      <c r="A34" s="39" t="str">
        <f>IF(B34="","",INDEX(TeamList[],MATCH($B34,TeamList[[Employee Name]:[Employee Name]],0),MATCH("Manager",TeamList[#Headers],0)))</f>
        <v>Olson, Katherine</v>
      </c>
      <c r="B34" s="201" t="s">
        <v>50</v>
      </c>
      <c r="C34" s="257" t="str">
        <f>_xlfn.IFNA(VLOOKUP(Fri_W1[[#This Row],[Employee Name]],'Base Schedules'!A:B,2,FALSE),"")</f>
        <v>Lead</v>
      </c>
      <c r="D34" s="274">
        <f>_xlfn.IFNA(VLOOKUP(Fri_W1[[#This Row],[Employee Name]],'Base Schedules'!A:C,3,FALSE),"")</f>
        <v>1200</v>
      </c>
      <c r="E34" s="274">
        <f>_xlfn.IFNA(VLOOKUP(Fri_W1[[#This Row],[Employee Name]],'Base Schedules'!A:D,4,FALSE),"")</f>
        <v>2230</v>
      </c>
      <c r="F34" s="142">
        <f>IF(Fri_W1[[#This Row],[Employee Name]]="","",IF(Fri_W1[[#This Row],[Dept]]="Supervisor",COUNTIFS($J34:$AX34,"*HL*",$J34:$AX34,"&lt;&gt;"&amp;"pHL"),COUNTIFS($J34:$AX34,"*HL*",$J34:$AX34,"&lt;&gt;"&amp;"*pHL*",$J34:$AX34,"&lt;&gt;"&amp;"pB1 HL",$J34:$AX34,"&lt;&gt;"&amp;"pB2 HL")-SUM(COUNTIFS($J34:$AX34,"*HL B1*",$J34:$AX34,"&lt;&gt;"&amp;"pHL B1")*0.5,COUNTIFS($J34:$AX34,"*HL B2*",$J34:$AX34,"&lt;&gt;"&amp;"pHL B2")*0.5,COUNTIFS($J34:$AX34,"*B1 HL*",$J34:$AX34,"&lt;&gt;"&amp;"pB1 HL")*0.5,COUNTIFS($J34:$AX34,"*B2 HL*",$J34:$AX34,"&lt;&gt;"&amp;"pB2 HL")*0.5)))</f>
        <v>10</v>
      </c>
      <c r="G34" s="142">
        <f t="shared" ref="G34:G39" si="3">IF(B34="","",COUNTIFS($J34:$AX34,"*Coaching*",$J34:$AX34,"&lt;&gt;"&amp;"pTM",$J34:$AX34,"&lt;&gt;"&amp;"uTM"))</f>
        <v>0</v>
      </c>
      <c r="H34" s="142">
        <f t="shared" si="1"/>
        <v>9</v>
      </c>
      <c r="I34" s="142">
        <f>IF(Fri_W1[[#This Row],[Employee Name]]="","",IF(Fri_W1[[#This Row],[Dept]]="Supervisor",SUM(COUNTIFS($J34:$AX34,"RTA*",$J34:$AX34,"&lt;&gt;"&amp;"pRTA"),COUNTIFS($J34:$AX34,"*CRTA*",$J34:$AX34,"&lt;&gt;"&amp;"pCRTA")),COUNTIFS($J34:$AX34,"*RNNR*",$J34:$AX34,"&lt;&gt;"&amp;"*pRNNR*",$J34:$AX34,"&lt;&gt;"&amp;"pB1 RNNR",$J34:$AX34,"&lt;&gt;"&amp;"pB2 RNNR")-SUM(COUNTIFS($J34:$AX34,"*RNNR B1*",$J34:$AX34,"&lt;&gt;"&amp;"pRNNR B1")*0.5,COUNTIFS($J34:$AX34,"*RNNR B2*",$J34:$AX34,"&lt;&gt;"&amp;"pRNNR B2")*0.5,COUNTIFS($J34:$AX34,"*B1 RNNR*",$J34:$AX34,"&lt;&gt;"&amp;"pB1 RNNR")*0.5,COUNTIFS($J34:$AX34,"*B2 RNNR*",$J34:$AX34,"&lt;&gt;"&amp;"pB2 RNNR")*0.5)))</f>
        <v>0</v>
      </c>
      <c r="J34" s="184" t="str">
        <f>IFERROR(IF(VLOOKUP(Fri_W1[[#This Row],[Employee Name]],'Base Schedules'!$A$1:$AW$44,9,FALSE)="","",VLOOKUP(Fri_W1[[#This Row],[Employee Name]],'Base Schedules'!$A$1:$AW$44,9,FALSE)),"")</f>
        <v/>
      </c>
      <c r="K34" s="184" t="str">
        <f>IFERROR(IF(VLOOKUP(Fri_W1[[#This Row],[Employee Name]],'Base Schedules'!$A$1:$AW$44,10,FALSE)="","",VLOOKUP(Fri_W1[[#This Row],[Employee Name]],'Base Schedules'!$A$1:$AW$44,10,FALSE)),"")</f>
        <v/>
      </c>
      <c r="L34" s="184" t="str">
        <f>IFERROR(IF(VLOOKUP(Fri_W1[[#This Row],[Employee Name]],'Base Schedules'!$A$1:$AW$44,11,FALSE)="","",VLOOKUP(Fri_W1[[#This Row],[Employee Name]],'Base Schedules'!$A$1:$AW$44,11,FALSE)),"")</f>
        <v/>
      </c>
      <c r="M34" s="184" t="str">
        <f>IFERROR(IF(VLOOKUP(Fri_W1[[#This Row],[Employee Name]],'Base Schedules'!$A$1:$AW$44,12,FALSE)="","",VLOOKUP(Fri_W1[[#This Row],[Employee Name]],'Base Schedules'!$A$1:$AW$44,12,FALSE)),"")</f>
        <v/>
      </c>
      <c r="N34" s="184" t="str">
        <f>IFERROR(IF(VLOOKUP(Fri_W1[[#This Row],[Employee Name]],'Base Schedules'!$A$1:$AW$44,13,FALSE)="","",VLOOKUP(Fri_W1[[#This Row],[Employee Name]],'Base Schedules'!$A$1:$AW$44,13,FALSE)),"")</f>
        <v/>
      </c>
      <c r="O34" s="184" t="str">
        <f>IFERROR(IF(VLOOKUP(Fri_W1[[#This Row],[Employee Name]],'Base Schedules'!$A$1:$AW$44,14,FALSE)="","",VLOOKUP(Fri_W1[[#This Row],[Employee Name]],'Base Schedules'!$A$1:$AW$44,14,FALSE)),"")</f>
        <v/>
      </c>
      <c r="P34" s="184" t="str">
        <f>IFERROR(IF(VLOOKUP(Fri_W1[[#This Row],[Employee Name]],'Base Schedules'!$A$1:$AW$44,15,FALSE)="","",VLOOKUP(Fri_W1[[#This Row],[Employee Name]],'Base Schedules'!$A$1:$AW$44,15,FALSE)),"")</f>
        <v/>
      </c>
      <c r="Q34" s="184" t="str">
        <f>IFERROR(IF(VLOOKUP(Fri_W1[[#This Row],[Employee Name]],'Base Schedules'!$A$1:$AW$44,16,FALSE)="","",VLOOKUP(Fri_W1[[#This Row],[Employee Name]],'Base Schedules'!$A$1:$AW$44,16,FALSE)),"")</f>
        <v/>
      </c>
      <c r="R34" s="184" t="str">
        <f>IFERROR(IF(VLOOKUP(Fri_W1[[#This Row],[Employee Name]],'Base Schedules'!$A$1:$AW$44,17,FALSE)="","",VLOOKUP(Fri_W1[[#This Row],[Employee Name]],'Base Schedules'!$A$1:$AW$44,17,FALSE)),"")</f>
        <v/>
      </c>
      <c r="S34" s="184" t="str">
        <f>IFERROR(IF(VLOOKUP(Fri_W1[[#This Row],[Employee Name]],'Base Schedules'!$A$1:$AW$44,18,FALSE)="","",VLOOKUP(Fri_W1[[#This Row],[Employee Name]],'Base Schedules'!$A$1:$AW$44,18,FALSE)),"")</f>
        <v/>
      </c>
      <c r="T34" s="184" t="str">
        <f>IFERROR(IF(VLOOKUP(Fri_W1[[#This Row],[Employee Name]],'Base Schedules'!$A$1:$AW$44,19,FALSE)="","",VLOOKUP(Fri_W1[[#This Row],[Employee Name]],'Base Schedules'!$A$1:$AW$44,19,FALSE)),"")</f>
        <v/>
      </c>
      <c r="U34" s="184" t="str">
        <f>IFERROR(IF(VLOOKUP(Fri_W1[[#This Row],[Employee Name]],'Base Schedules'!$A$1:$AW$44,20,FALSE)="","",VLOOKUP(Fri_W1[[#This Row],[Employee Name]],'Base Schedules'!$A$1:$AW$44,20,FALSE)),"")</f>
        <v/>
      </c>
      <c r="V34" s="184" t="str">
        <f>IFERROR(IF(VLOOKUP(Fri_W1[[#This Row],[Employee Name]],'Base Schedules'!$A$1:$AW$44,21,FALSE)="","",VLOOKUP(Fri_W1[[#This Row],[Employee Name]],'Base Schedules'!$A$1:$AW$44,21,FALSE)),"")</f>
        <v/>
      </c>
      <c r="W34" s="184" t="str">
        <f>IFERROR(IF(VLOOKUP(Fri_W1[[#This Row],[Employee Name]],'Base Schedules'!$A$1:$AW$44,22,FALSE)="","",VLOOKUP(Fri_W1[[#This Row],[Employee Name]],'Base Schedules'!$A$1:$AW$44,22,FALSE)),"")</f>
        <v/>
      </c>
      <c r="X34" s="184" t="str">
        <f>IFERROR(IF(VLOOKUP(Fri_W1[[#This Row],[Employee Name]],'Base Schedules'!$A$1:$AW$44,23,FALSE)="","",VLOOKUP(Fri_W1[[#This Row],[Employee Name]],'Base Schedules'!$A$1:$AW$44,23,FALSE)),"")</f>
        <v>HL</v>
      </c>
      <c r="Y34" s="184" t="str">
        <f>IFERROR(IF(VLOOKUP(Fri_W1[[#This Row],[Employee Name]],'Base Schedules'!$A$1:$AW$44,24,FALSE)="","",VLOOKUP(Fri_W1[[#This Row],[Employee Name]],'Base Schedules'!$A$1:$AW$44,24,FALSE)),"")</f>
        <v>ADM</v>
      </c>
      <c r="Z34" s="184" t="str">
        <f>IFERROR(IF(VLOOKUP(Fri_W1[[#This Row],[Employee Name]],'Base Schedules'!$A$1:$AW$44,25,FALSE)="","",VLOOKUP(Fri_W1[[#This Row],[Employee Name]],'Base Schedules'!$A$1:$AW$44,25,FALSE)),"")</f>
        <v>ADM</v>
      </c>
      <c r="AA34" s="184" t="str">
        <f>IFERROR(IF(VLOOKUP(Fri_W1[[#This Row],[Employee Name]],'Base Schedules'!$A$1:$AW$44,26,FALSE)="","",VLOOKUP(Fri_W1[[#This Row],[Employee Name]],'Base Schedules'!$A$1:$AW$44,26,FALSE)),"")</f>
        <v>ADM</v>
      </c>
      <c r="AB34" s="184" t="str">
        <f>IFERROR(IF(VLOOKUP(Fri_W1[[#This Row],[Employee Name]],'Base Schedules'!$A$1:$AW$44,27,FALSE)="","",VLOOKUP(Fri_W1[[#This Row],[Employee Name]],'Base Schedules'!$A$1:$AW$44,27,FALSE)),"")</f>
        <v>ADM</v>
      </c>
      <c r="AC34" s="184" t="str">
        <f>IFERROR(IF(VLOOKUP(Fri_W1[[#This Row],[Employee Name]],'Base Schedules'!$A$1:$AW$44,28,FALSE)="","",VLOOKUP(Fri_W1[[#This Row],[Employee Name]],'Base Schedules'!$A$1:$AW$44,28,FALSE)),"")</f>
        <v>B1 HL</v>
      </c>
      <c r="AD34" s="184" t="str">
        <f>IFERROR(IF(VLOOKUP(Fri_W1[[#This Row],[Employee Name]],'Base Schedules'!$A$1:$AW$44,29,FALSE)="","",VLOOKUP(Fri_W1[[#This Row],[Employee Name]],'Base Schedules'!$A$1:$AW$44,29,FALSE)),"")</f>
        <v>HL</v>
      </c>
      <c r="AE34" s="184" t="str">
        <f>IFERROR(IF(VLOOKUP(Fri_W1[[#This Row],[Employee Name]],'Base Schedules'!$A$1:$AW$44,30,FALSE)="","",VLOOKUP(Fri_W1[[#This Row],[Employee Name]],'Base Schedules'!$A$1:$AW$44,30,FALSE)),"")</f>
        <v>HL</v>
      </c>
      <c r="AF34" s="184" t="str">
        <f>IFERROR(IF(VLOOKUP(Fri_W1[[#This Row],[Employee Name]],'Base Schedules'!$A$1:$AW$44,31,FALSE)="","",VLOOKUP(Fri_W1[[#This Row],[Employee Name]],'Base Schedules'!$A$1:$AW$44,31,FALSE)),"")</f>
        <v>HL</v>
      </c>
      <c r="AG34" s="184" t="str">
        <f>IFERROR(IF(VLOOKUP(Fri_W1[[#This Row],[Employee Name]],'Base Schedules'!$A$1:$AW$44,32,FALSE)="","",VLOOKUP(Fri_W1[[#This Row],[Employee Name]],'Base Schedules'!$A$1:$AW$44,32,FALSE)),"")</f>
        <v>HL</v>
      </c>
      <c r="AH34" s="184" t="str">
        <f>IFERROR(IF(VLOOKUP(Fri_W1[[#This Row],[Employee Name]],'Base Schedules'!$A$1:$AW$44,33,FALSE)="","",VLOOKUP(Fri_W1[[#This Row],[Employee Name]],'Base Schedules'!$A$1:$AW$44,33,FALSE)),"")</f>
        <v>LUNCH</v>
      </c>
      <c r="AI34" s="184" t="str">
        <f>IFERROR(IF(VLOOKUP(Fri_W1[[#This Row],[Employee Name]],'Base Schedules'!$A$1:$AW$44,34,FALSE)="","",VLOOKUP(Fri_W1[[#This Row],[Employee Name]],'Base Schedules'!$A$1:$AW$44,34,FALSE)),"")</f>
        <v>LUNCH</v>
      </c>
      <c r="AJ34" s="184" t="str">
        <f>IFERROR(IF(VLOOKUP(Fri_W1[[#This Row],[Employee Name]],'Base Schedules'!$A$1:$AW$44,35,FALSE)="","",VLOOKUP(Fri_W1[[#This Row],[Employee Name]],'Base Schedules'!$A$1:$AW$44,35,FALSE)),"")</f>
        <v>ADM</v>
      </c>
      <c r="AK34" s="184" t="str">
        <f>IFERROR(IF(VLOOKUP(Fri_W1[[#This Row],[Employee Name]],'Base Schedules'!$A$1:$AW$44,36,FALSE)="","",VLOOKUP(Fri_W1[[#This Row],[Employee Name]],'Base Schedules'!$A$1:$AW$44,36,FALSE)),"")</f>
        <v>ADM</v>
      </c>
      <c r="AL34" s="184" t="str">
        <f>IFERROR(IF(VLOOKUP(Fri_W1[[#This Row],[Employee Name]],'Base Schedules'!$A$1:$AW$44,37,FALSE)="","",VLOOKUP(Fri_W1[[#This Row],[Employee Name]],'Base Schedules'!$A$1:$AW$44,37,FALSE)),"")</f>
        <v>ADM</v>
      </c>
      <c r="AM34" s="184" t="str">
        <f>IFERROR(IF(VLOOKUP(Fri_W1[[#This Row],[Employee Name]],'Base Schedules'!$A$1:$AW$44,38,FALSE)="","",VLOOKUP(Fri_W1[[#This Row],[Employee Name]],'Base Schedules'!$A$1:$AW$44,38,FALSE)),"")</f>
        <v>ADM</v>
      </c>
      <c r="AN34" s="184" t="str">
        <f>IFERROR(IF(VLOOKUP(Fri_W1[[#This Row],[Employee Name]],'Base Schedules'!$A$1:$AW$44,39,FALSE)="","",VLOOKUP(Fri_W1[[#This Row],[Employee Name]],'Base Schedules'!$A$1:$AW$44,39,FALSE)),"")</f>
        <v>ADM</v>
      </c>
      <c r="AO34" s="184" t="str">
        <f>IFERROR(IF(VLOOKUP(Fri_W1[[#This Row],[Employee Name]],'Base Schedules'!$A$1:$AW$44,40,FALSE)="","",VLOOKUP(Fri_W1[[#This Row],[Employee Name]],'Base Schedules'!$A$1:$AW$44,40,FALSE)),"")</f>
        <v>B2 HL</v>
      </c>
      <c r="AP34" s="184" t="str">
        <f>IFERROR(IF(VLOOKUP(Fri_W1[[#This Row],[Employee Name]],'Base Schedules'!$A$1:$AW$44,41,FALSE)="","",VLOOKUP(Fri_W1[[#This Row],[Employee Name]],'Base Schedules'!$A$1:$AW$44,41,FALSE)),"")</f>
        <v>HL</v>
      </c>
      <c r="AQ34" s="184" t="str">
        <f>IFERROR(IF(VLOOKUP(Fri_W1[[#This Row],[Employee Name]],'Base Schedules'!$A$1:$AW$44,42,FALSE)="","",VLOOKUP(Fri_W1[[#This Row],[Employee Name]],'Base Schedules'!$A$1:$AW$44,42,FALSE)),"")</f>
        <v>HL</v>
      </c>
      <c r="AR34" s="184" t="str">
        <f>IFERROR(IF(VLOOKUP(Fri_W1[[#This Row],[Employee Name]],'Base Schedules'!$A$1:$AW$44,43,FALSE)="","",VLOOKUP(Fri_W1[[#This Row],[Employee Name]],'Base Schedules'!$A$1:$AW$44,43,FALSE)),"")</f>
        <v>HL</v>
      </c>
      <c r="AS34" s="184" t="str">
        <f>IFERROR(IF(VLOOKUP(Fri_W1[[#This Row],[Employee Name]],'Base Schedules'!$A$1:$AW$44,44,FALSE)="","",VLOOKUP(Fri_W1[[#This Row],[Employee Name]],'Base Schedules'!$A$1:$AW$44,44,FALSE)),"")</f>
        <v>HL</v>
      </c>
      <c r="AT34" s="184" t="str">
        <f>IFERROR(IF(VLOOKUP(Fri_W1[[#This Row],[Employee Name]],'Base Schedules'!$A$1:$AW$44,45,FALSE)="","",VLOOKUP(Fri_W1[[#This Row],[Employee Name]],'Base Schedules'!$A$1:$AW$44,45,FALSE)),"")</f>
        <v/>
      </c>
      <c r="AU34" s="184" t="str">
        <f>IFERROR(IF(VLOOKUP(Fri_W1[[#This Row],[Employee Name]],'Base Schedules'!$A$1:$AW$44,46,FALSE)="","",VLOOKUP(Fri_W1[[#This Row],[Employee Name]],'Base Schedules'!$A$1:$AW$44,46,FALSE)),"")</f>
        <v/>
      </c>
      <c r="AV34" s="184" t="str">
        <f>IFERROR(IF(VLOOKUP(Fri_W1[[#This Row],[Employee Name]],'Base Schedules'!$A$1:$AW$44,47,FALSE)="","",VLOOKUP(Fri_W1[[#This Row],[Employee Name]],'Base Schedules'!$A$1:$AW$44,47,FALSE)),"")</f>
        <v/>
      </c>
      <c r="AW34" s="184" t="str">
        <f>IFERROR(IF(VLOOKUP(Fri_W1[[#This Row],[Employee Name]],'Base Schedules'!$A$1:$AW$44,48,FALSE)="","",VLOOKUP(Fri_W1[[#This Row],[Employee Name]],'Base Schedules'!$A$1:$AW$44,48,FALSE)),"")</f>
        <v/>
      </c>
      <c r="AX34" s="184" t="str">
        <f>IFERROR(IF(VLOOKUP(Fri_W1[[#This Row],[Employee Name]],'Base Schedules'!$A$1:$AW$44,49,FALSE)="","",VLOOKUP(Fri_W1[[#This Row],[Employee Name]],'Base Schedules'!$A$1:$AW$44,49,FALSE)),"")</f>
        <v/>
      </c>
      <c r="AY34" s="245" t="str">
        <f t="shared" si="2"/>
        <v>Floirendo, Nicholas</v>
      </c>
    </row>
    <row r="35" spans="1:51" s="44" customFormat="1" ht="11.25" customHeight="1" x14ac:dyDescent="0.2">
      <c r="A35" s="39" t="str">
        <f>IF(B35="","",INDEX(TeamList[],MATCH($B35,TeamList[[Employee Name]:[Employee Name]],0),MATCH("Manager",TeamList[#Headers],0)))</f>
        <v>Olson, Katherine</v>
      </c>
      <c r="B35" s="201" t="s">
        <v>226</v>
      </c>
      <c r="C35" s="257" t="str">
        <f>_xlfn.IFNA(VLOOKUP(Fri_W1[[#This Row],[Employee Name]],'Base Schedules'!A:B,2,FALSE),"")</f>
        <v>Lead</v>
      </c>
      <c r="D35" s="274">
        <f>_xlfn.IFNA(VLOOKUP(Fri_W1[[#This Row],[Employee Name]],'Base Schedules'!A:C,3,FALSE),"")</f>
        <v>1200</v>
      </c>
      <c r="E35" s="274">
        <f>_xlfn.IFNA(VLOOKUP(Fri_W1[[#This Row],[Employee Name]],'Base Schedules'!A:D,4,FALSE),"")</f>
        <v>2030</v>
      </c>
      <c r="F35" s="142">
        <f>IF(Fri_W1[[#This Row],[Employee Name]]="","",IF(Fri_W1[[#This Row],[Dept]]="Supervisor",COUNTIFS($J35:$AX35,"*HL*",$J35:$AX35,"&lt;&gt;"&amp;"pHL"),COUNTIFS($J35:$AX35,"*HL*",$J35:$AX35,"&lt;&gt;"&amp;"*pHL*",$J35:$AX35,"&lt;&gt;"&amp;"pB1 HL",$J35:$AX35,"&lt;&gt;"&amp;"pB2 HL")-SUM(COUNTIFS($J35:$AX35,"*HL B1*",$J35:$AX35,"&lt;&gt;"&amp;"pHL B1")*0.5,COUNTIFS($J35:$AX35,"*HL B2*",$J35:$AX35,"&lt;&gt;"&amp;"pHL B2")*0.5,COUNTIFS($J35:$AX35,"*B1 HL*",$J35:$AX35,"&lt;&gt;"&amp;"pB1 HL")*0.5,COUNTIFS($J35:$AX35,"*B2 HL*",$J35:$AX35,"&lt;&gt;"&amp;"pB2 HL")*0.5)))</f>
        <v>8.5</v>
      </c>
      <c r="G35" s="142">
        <f t="shared" si="3"/>
        <v>0</v>
      </c>
      <c r="H35" s="142">
        <f t="shared" si="1"/>
        <v>7</v>
      </c>
      <c r="I35" s="142">
        <f>IF(Fri_W1[[#This Row],[Employee Name]]="","",IF(Fri_W1[[#This Row],[Dept]]="Supervisor",SUM(COUNTIFS($J35:$AX35,"RTA*",$J35:$AX35,"&lt;&gt;"&amp;"pRTA"),COUNTIFS($J35:$AX35,"*CRTA*",$J35:$AX35,"&lt;&gt;"&amp;"pCRTA")),COUNTIFS($J35:$AX35,"*RNNR*",$J35:$AX35,"&lt;&gt;"&amp;"*pRNNR*",$J35:$AX35,"&lt;&gt;"&amp;"pB1 RNNR",$J35:$AX35,"&lt;&gt;"&amp;"pB2 RNNR")-SUM(COUNTIFS($J35:$AX35,"*RNNR B1*",$J35:$AX35,"&lt;&gt;"&amp;"pRNNR B1")*0.5,COUNTIFS($J35:$AX35,"*RNNR B2*",$J35:$AX35,"&lt;&gt;"&amp;"pRNNR B2")*0.5,COUNTIFS($J35:$AX35,"*B1 RNNR*",$J35:$AX35,"&lt;&gt;"&amp;"pB1 RNNR")*0.5,COUNTIFS($J35:$AX35,"*B2 RNNR*",$J35:$AX35,"&lt;&gt;"&amp;"pB2 RNNR")*0.5)))</f>
        <v>0</v>
      </c>
      <c r="J35" s="184" t="str">
        <f>IFERROR(IF(VLOOKUP(Fri_W1[[#This Row],[Employee Name]],'Base Schedules'!$A$1:$AW$44,9,FALSE)="","",VLOOKUP(Fri_W1[[#This Row],[Employee Name]],'Base Schedules'!$A$1:$AW$44,9,FALSE)),"")</f>
        <v/>
      </c>
      <c r="K35" s="184" t="str">
        <f>IFERROR(IF(VLOOKUP(Fri_W1[[#This Row],[Employee Name]],'Base Schedules'!$A$1:$AW$44,10,FALSE)="","",VLOOKUP(Fri_W1[[#This Row],[Employee Name]],'Base Schedules'!$A$1:$AW$44,10,FALSE)),"")</f>
        <v/>
      </c>
      <c r="L35" s="184" t="str">
        <f>IFERROR(IF(VLOOKUP(Fri_W1[[#This Row],[Employee Name]],'Base Schedules'!$A$1:$AW$44,11,FALSE)="","",VLOOKUP(Fri_W1[[#This Row],[Employee Name]],'Base Schedules'!$A$1:$AW$44,11,FALSE)),"")</f>
        <v/>
      </c>
      <c r="M35" s="184" t="str">
        <f>IFERROR(IF(VLOOKUP(Fri_W1[[#This Row],[Employee Name]],'Base Schedules'!$A$1:$AW$44,12,FALSE)="","",VLOOKUP(Fri_W1[[#This Row],[Employee Name]],'Base Schedules'!$A$1:$AW$44,12,FALSE)),"")</f>
        <v/>
      </c>
      <c r="N35" s="184" t="str">
        <f>IFERROR(IF(VLOOKUP(Fri_W1[[#This Row],[Employee Name]],'Base Schedules'!$A$1:$AW$44,13,FALSE)="","",VLOOKUP(Fri_W1[[#This Row],[Employee Name]],'Base Schedules'!$A$1:$AW$44,13,FALSE)),"")</f>
        <v/>
      </c>
      <c r="O35" s="184" t="str">
        <f>IFERROR(IF(VLOOKUP(Fri_W1[[#This Row],[Employee Name]],'Base Schedules'!$A$1:$AW$44,14,FALSE)="","",VLOOKUP(Fri_W1[[#This Row],[Employee Name]],'Base Schedules'!$A$1:$AW$44,14,FALSE)),"")</f>
        <v/>
      </c>
      <c r="P35" s="184" t="str">
        <f>IFERROR(IF(VLOOKUP(Fri_W1[[#This Row],[Employee Name]],'Base Schedules'!$A$1:$AW$44,15,FALSE)="","",VLOOKUP(Fri_W1[[#This Row],[Employee Name]],'Base Schedules'!$A$1:$AW$44,15,FALSE)),"")</f>
        <v/>
      </c>
      <c r="Q35" s="184" t="str">
        <f>IFERROR(IF(VLOOKUP(Fri_W1[[#This Row],[Employee Name]],'Base Schedules'!$A$1:$AW$44,16,FALSE)="","",VLOOKUP(Fri_W1[[#This Row],[Employee Name]],'Base Schedules'!$A$1:$AW$44,16,FALSE)),"")</f>
        <v/>
      </c>
      <c r="R35" s="184" t="str">
        <f>IFERROR(IF(VLOOKUP(Fri_W1[[#This Row],[Employee Name]],'Base Schedules'!$A$1:$AW$44,17,FALSE)="","",VLOOKUP(Fri_W1[[#This Row],[Employee Name]],'Base Schedules'!$A$1:$AW$44,17,FALSE)),"")</f>
        <v/>
      </c>
      <c r="S35" s="184" t="str">
        <f>IFERROR(IF(VLOOKUP(Fri_W1[[#This Row],[Employee Name]],'Base Schedules'!$A$1:$AW$44,18,FALSE)="","",VLOOKUP(Fri_W1[[#This Row],[Employee Name]],'Base Schedules'!$A$1:$AW$44,18,FALSE)),"")</f>
        <v/>
      </c>
      <c r="T35" s="184" t="str">
        <f>IFERROR(IF(VLOOKUP(Fri_W1[[#This Row],[Employee Name]],'Base Schedules'!$A$1:$AW$44,19,FALSE)="","",VLOOKUP(Fri_W1[[#This Row],[Employee Name]],'Base Schedules'!$A$1:$AW$44,19,FALSE)),"")</f>
        <v/>
      </c>
      <c r="U35" s="184" t="str">
        <f>IFERROR(IF(VLOOKUP(Fri_W1[[#This Row],[Employee Name]],'Base Schedules'!$A$1:$AW$44,20,FALSE)="","",VLOOKUP(Fri_W1[[#This Row],[Employee Name]],'Base Schedules'!$A$1:$AW$44,20,FALSE)),"")</f>
        <v/>
      </c>
      <c r="V35" s="184" t="str">
        <f>IFERROR(IF(VLOOKUP(Fri_W1[[#This Row],[Employee Name]],'Base Schedules'!$A$1:$AW$44,21,FALSE)="","",VLOOKUP(Fri_W1[[#This Row],[Employee Name]],'Base Schedules'!$A$1:$AW$44,21,FALSE)),"")</f>
        <v/>
      </c>
      <c r="W35" s="184" t="str">
        <f>IFERROR(IF(VLOOKUP(Fri_W1[[#This Row],[Employee Name]],'Base Schedules'!$A$1:$AW$44,22,FALSE)="","",VLOOKUP(Fri_W1[[#This Row],[Employee Name]],'Base Schedules'!$A$1:$AW$44,22,FALSE)),"")</f>
        <v/>
      </c>
      <c r="X35" s="184" t="str">
        <f>IFERROR(IF(VLOOKUP(Fri_W1[[#This Row],[Employee Name]],'Base Schedules'!$A$1:$AW$44,23,FALSE)="","",VLOOKUP(Fri_W1[[#This Row],[Employee Name]],'Base Schedules'!$A$1:$AW$44,23,FALSE)),"")</f>
        <v>HL</v>
      </c>
      <c r="Y35" s="184" t="str">
        <f>IFERROR(IF(VLOOKUP(Fri_W1[[#This Row],[Employee Name]],'Base Schedules'!$A$1:$AW$44,24,FALSE)="","",VLOOKUP(Fri_W1[[#This Row],[Employee Name]],'Base Schedules'!$A$1:$AW$44,24,FALSE)),"")</f>
        <v>HL</v>
      </c>
      <c r="Z35" s="184" t="str">
        <f>IFERROR(IF(VLOOKUP(Fri_W1[[#This Row],[Employee Name]],'Base Schedules'!$A$1:$AW$44,25,FALSE)="","",VLOOKUP(Fri_W1[[#This Row],[Employee Name]],'Base Schedules'!$A$1:$AW$44,25,FALSE)),"")</f>
        <v>HL</v>
      </c>
      <c r="AA35" s="184" t="str">
        <f>IFERROR(IF(VLOOKUP(Fri_W1[[#This Row],[Employee Name]],'Base Schedules'!$A$1:$AW$44,26,FALSE)="","",VLOOKUP(Fri_W1[[#This Row],[Employee Name]],'Base Schedules'!$A$1:$AW$44,26,FALSE)),"")</f>
        <v>HL</v>
      </c>
      <c r="AB35" s="184" t="str">
        <f>IFERROR(IF(VLOOKUP(Fri_W1[[#This Row],[Employee Name]],'Base Schedules'!$A$1:$AW$44,27,FALSE)="","",VLOOKUP(Fri_W1[[#This Row],[Employee Name]],'Base Schedules'!$A$1:$AW$44,27,FALSE)),"")</f>
        <v>ADM B1</v>
      </c>
      <c r="AC35" s="184" t="str">
        <f>IFERROR(IF(VLOOKUP(Fri_W1[[#This Row],[Employee Name]],'Base Schedules'!$A$1:$AW$44,28,FALSE)="","",VLOOKUP(Fri_W1[[#This Row],[Employee Name]],'Base Schedules'!$A$1:$AW$44,28,FALSE)),"")</f>
        <v>ADM</v>
      </c>
      <c r="AD35" s="184" t="str">
        <f>IFERROR(IF(VLOOKUP(Fri_W1[[#This Row],[Employee Name]],'Base Schedules'!$A$1:$AW$44,29,FALSE)="","",VLOOKUP(Fri_W1[[#This Row],[Employee Name]],'Base Schedules'!$A$1:$AW$44,29,FALSE)),"")</f>
        <v>ADM</v>
      </c>
      <c r="AE35" s="184" t="str">
        <f>IFERROR(IF(VLOOKUP(Fri_W1[[#This Row],[Employee Name]],'Base Schedules'!$A$1:$AW$44,30,FALSE)="","",VLOOKUP(Fri_W1[[#This Row],[Employee Name]],'Base Schedules'!$A$1:$AW$44,30,FALSE)),"")</f>
        <v>ADM</v>
      </c>
      <c r="AF35" s="184" t="str">
        <f>IFERROR(IF(VLOOKUP(Fri_W1[[#This Row],[Employee Name]],'Base Schedules'!$A$1:$AW$44,31,FALSE)="","",VLOOKUP(Fri_W1[[#This Row],[Employee Name]],'Base Schedules'!$A$1:$AW$44,31,FALSE)),"")</f>
        <v>LUNCH</v>
      </c>
      <c r="AG35" s="184" t="str">
        <f>IFERROR(IF(VLOOKUP(Fri_W1[[#This Row],[Employee Name]],'Base Schedules'!$A$1:$AW$44,32,FALSE)="","",VLOOKUP(Fri_W1[[#This Row],[Employee Name]],'Base Schedules'!$A$1:$AW$44,32,FALSE)),"")</f>
        <v>ADM</v>
      </c>
      <c r="AH35" s="184" t="str">
        <f>IFERROR(IF(VLOOKUP(Fri_W1[[#This Row],[Employee Name]],'Base Schedules'!$A$1:$AW$44,33,FALSE)="","",VLOOKUP(Fri_W1[[#This Row],[Employee Name]],'Base Schedules'!$A$1:$AW$44,33,FALSE)),"")</f>
        <v>ADM</v>
      </c>
      <c r="AI35" s="184" t="str">
        <f>IFERROR(IF(VLOOKUP(Fri_W1[[#This Row],[Employee Name]],'Base Schedules'!$A$1:$AW$44,34,FALSE)="","",VLOOKUP(Fri_W1[[#This Row],[Employee Name]],'Base Schedules'!$A$1:$AW$44,34,FALSE)),"")</f>
        <v>ADM</v>
      </c>
      <c r="AJ35" s="184" t="str">
        <f>IFERROR(IF(VLOOKUP(Fri_W1[[#This Row],[Employee Name]],'Base Schedules'!$A$1:$AW$44,35,FALSE)="","",VLOOKUP(Fri_W1[[#This Row],[Employee Name]],'Base Schedules'!$A$1:$AW$44,35,FALSE)),"")</f>
        <v>B2 HL</v>
      </c>
      <c r="AK35" s="184" t="str">
        <f>IFERROR(IF(VLOOKUP(Fri_W1[[#This Row],[Employee Name]],'Base Schedules'!$A$1:$AW$44,36,FALSE)="","",VLOOKUP(Fri_W1[[#This Row],[Employee Name]],'Base Schedules'!$A$1:$AW$44,36,FALSE)),"")</f>
        <v>HL</v>
      </c>
      <c r="AL35" s="184" t="str">
        <f>IFERROR(IF(VLOOKUP(Fri_W1[[#This Row],[Employee Name]],'Base Schedules'!$A$1:$AW$44,37,FALSE)="","",VLOOKUP(Fri_W1[[#This Row],[Employee Name]],'Base Schedules'!$A$1:$AW$44,37,FALSE)),"")</f>
        <v>HL</v>
      </c>
      <c r="AM35" s="184" t="str">
        <f>IFERROR(IF(VLOOKUP(Fri_W1[[#This Row],[Employee Name]],'Base Schedules'!$A$1:$AW$44,38,FALSE)="","",VLOOKUP(Fri_W1[[#This Row],[Employee Name]],'Base Schedules'!$A$1:$AW$44,38,FALSE)),"")</f>
        <v>HL</v>
      </c>
      <c r="AN35" s="184" t="str">
        <f>IFERROR(IF(VLOOKUP(Fri_W1[[#This Row],[Employee Name]],'Base Schedules'!$A$1:$AW$44,39,FALSE)="","",VLOOKUP(Fri_W1[[#This Row],[Employee Name]],'Base Schedules'!$A$1:$AW$44,39,FALSE)),"")</f>
        <v>HL</v>
      </c>
      <c r="AO35" s="184" t="str">
        <f>IFERROR(IF(VLOOKUP(Fri_W1[[#This Row],[Employee Name]],'Base Schedules'!$A$1:$AW$44,40,FALSE)="","",VLOOKUP(Fri_W1[[#This Row],[Employee Name]],'Base Schedules'!$A$1:$AW$44,40,FALSE)),"")</f>
        <v/>
      </c>
      <c r="AP35" s="184" t="str">
        <f>IFERROR(IF(VLOOKUP(Fri_W1[[#This Row],[Employee Name]],'Base Schedules'!$A$1:$AW$44,41,FALSE)="","",VLOOKUP(Fri_W1[[#This Row],[Employee Name]],'Base Schedules'!$A$1:$AW$44,41,FALSE)),"")</f>
        <v/>
      </c>
      <c r="AQ35" s="184" t="str">
        <f>IFERROR(IF(VLOOKUP(Fri_W1[[#This Row],[Employee Name]],'Base Schedules'!$A$1:$AW$44,42,FALSE)="","",VLOOKUP(Fri_W1[[#This Row],[Employee Name]],'Base Schedules'!$A$1:$AW$44,42,FALSE)),"")</f>
        <v/>
      </c>
      <c r="AR35" s="184" t="str">
        <f>IFERROR(IF(VLOOKUP(Fri_W1[[#This Row],[Employee Name]],'Base Schedules'!$A$1:$AW$44,43,FALSE)="","",VLOOKUP(Fri_W1[[#This Row],[Employee Name]],'Base Schedules'!$A$1:$AW$44,43,FALSE)),"")</f>
        <v/>
      </c>
      <c r="AS35" s="184" t="str">
        <f>IFERROR(IF(VLOOKUP(Fri_W1[[#This Row],[Employee Name]],'Base Schedules'!$A$1:$AW$44,44,FALSE)="","",VLOOKUP(Fri_W1[[#This Row],[Employee Name]],'Base Schedules'!$A$1:$AW$44,44,FALSE)),"")</f>
        <v/>
      </c>
      <c r="AT35" s="184" t="str">
        <f>IFERROR(IF(VLOOKUP(Fri_W1[[#This Row],[Employee Name]],'Base Schedules'!$A$1:$AW$44,45,FALSE)="","",VLOOKUP(Fri_W1[[#This Row],[Employee Name]],'Base Schedules'!$A$1:$AW$44,45,FALSE)),"")</f>
        <v/>
      </c>
      <c r="AU35" s="184" t="str">
        <f>IFERROR(IF(VLOOKUP(Fri_W1[[#This Row],[Employee Name]],'Base Schedules'!$A$1:$AW$44,46,FALSE)="","",VLOOKUP(Fri_W1[[#This Row],[Employee Name]],'Base Schedules'!$A$1:$AW$44,46,FALSE)),"")</f>
        <v/>
      </c>
      <c r="AV35" s="184" t="str">
        <f>IFERROR(IF(VLOOKUP(Fri_W1[[#This Row],[Employee Name]],'Base Schedules'!$A$1:$AW$44,47,FALSE)="","",VLOOKUP(Fri_W1[[#This Row],[Employee Name]],'Base Schedules'!$A$1:$AW$44,47,FALSE)),"")</f>
        <v/>
      </c>
      <c r="AW35" s="184" t="str">
        <f>IFERROR(IF(VLOOKUP(Fri_W1[[#This Row],[Employee Name]],'Base Schedules'!$A$1:$AW$44,48,FALSE)="","",VLOOKUP(Fri_W1[[#This Row],[Employee Name]],'Base Schedules'!$A$1:$AW$44,48,FALSE)),"")</f>
        <v/>
      </c>
      <c r="AX35" s="184" t="str">
        <f>IFERROR(IF(VLOOKUP(Fri_W1[[#This Row],[Employee Name]],'Base Schedules'!$A$1:$AW$44,49,FALSE)="","",VLOOKUP(Fri_W1[[#This Row],[Employee Name]],'Base Schedules'!$A$1:$AW$44,49,FALSE)),"")</f>
        <v/>
      </c>
      <c r="AY35" s="245" t="str">
        <f t="shared" si="2"/>
        <v>Harding, Mickeya</v>
      </c>
    </row>
    <row r="36" spans="1:51" s="44" customFormat="1" ht="11.25" customHeight="1" x14ac:dyDescent="0.2">
      <c r="A36" s="39" t="str">
        <f>IF(B36="","",INDEX(TeamList[],MATCH($B36,TeamList[[Employee Name]:[Employee Name]],0),MATCH("Manager",TeamList[#Headers],0)))</f>
        <v>Ahmed Hassan, Zahra</v>
      </c>
      <c r="B36" s="201" t="s">
        <v>63</v>
      </c>
      <c r="C36" s="257" t="str">
        <f>_xlfn.IFNA(VLOOKUP(Fri_W1[[#This Row],[Employee Name]],'Base Schedules'!A:B,2,FALSE),"")</f>
        <v>Supervisor</v>
      </c>
      <c r="D36" s="274">
        <f>_xlfn.IFNA(VLOOKUP(Fri_W1[[#This Row],[Employee Name]],'Base Schedules'!A:C,3,FALSE),"")</f>
        <v>1200</v>
      </c>
      <c r="E36" s="274">
        <f>_xlfn.IFNA(VLOOKUP(Fri_W1[[#This Row],[Employee Name]],'Base Schedules'!A:D,4,FALSE),"")</f>
        <v>2100</v>
      </c>
      <c r="F36" s="142">
        <f>IF(Fri_W1[[#This Row],[Employee Name]]="","",IF(Fri_W1[[#This Row],[Dept]]="Supervisor",COUNTIFS($J36:$AX36,"*HL*",$J36:$AX36,"&lt;&gt;"&amp;"pHL"),COUNTIFS($J36:$AX36,"*HL*",$J36:$AX36,"&lt;&gt;"&amp;"*pHL*",$J36:$AX36,"&lt;&gt;"&amp;"pB1 HL",$J36:$AX36,"&lt;&gt;"&amp;"pB2 HL")-SUM(COUNTIFS($J36:$AX36,"*HL B1*",$J36:$AX36,"&lt;&gt;"&amp;"pHL B1")*0.5,COUNTIFS($J36:$AX36,"*HL B2*",$J36:$AX36,"&lt;&gt;"&amp;"pHL B2")*0.5,COUNTIFS($J36:$AX36,"*B1 HL*",$J36:$AX36,"&lt;&gt;"&amp;"pB1 HL")*0.5,COUNTIFS($J36:$AX36,"*B2 HL*",$J36:$AX36,"&lt;&gt;"&amp;"pB2 HL")*0.5)))</f>
        <v>0</v>
      </c>
      <c r="G36" s="142">
        <f t="shared" si="3"/>
        <v>4</v>
      </c>
      <c r="H36" s="142">
        <f t="shared" si="1"/>
        <v>0</v>
      </c>
      <c r="I36" s="142">
        <f>IF(Fri_W1[[#This Row],[Employee Name]]="","",IF(Fri_W1[[#This Row],[Dept]]="Supervisor",SUM(COUNTIFS($J36:$AX36,"RTA*",$J36:$AX36,"&lt;&gt;"&amp;"pRTA"),COUNTIFS($J36:$AX36,"*CRTA*",$J36:$AX36,"&lt;&gt;"&amp;"pCRTA")),COUNTIFS($J36:$AX36,"*RNNR*",$J36:$AX36,"&lt;&gt;"&amp;"*pRNNR*",$J36:$AX36,"&lt;&gt;"&amp;"pB1 RNNR",$J36:$AX36,"&lt;&gt;"&amp;"pB2 RNNR")-SUM(COUNTIFS($J36:$AX36,"*RNNR B1*",$J36:$AX36,"&lt;&gt;"&amp;"pRNNR B1")*0.5,COUNTIFS($J36:$AX36,"*RNNR B2*",$J36:$AX36,"&lt;&gt;"&amp;"pRNNR B2")*0.5,COUNTIFS($J36:$AX36,"*B1 RNNR*",$J36:$AX36,"&lt;&gt;"&amp;"pB1 RNNR")*0.5,COUNTIFS($J36:$AX36,"*B2 RNNR*",$J36:$AX36,"&lt;&gt;"&amp;"pB2 RNNR")*0.5)))</f>
        <v>0</v>
      </c>
      <c r="J36" s="184" t="str">
        <f>IFERROR(IF(VLOOKUP(Fri_W1[[#This Row],[Employee Name]],'Base Schedules'!$A$1:$AW$44,9,FALSE)="","",VLOOKUP(Fri_W1[[#This Row],[Employee Name]],'Base Schedules'!$A$1:$AW$44,9,FALSE)),"")</f>
        <v/>
      </c>
      <c r="K36" s="184" t="str">
        <f>IFERROR(IF(VLOOKUP(Fri_W1[[#This Row],[Employee Name]],'Base Schedules'!$A$1:$AW$44,10,FALSE)="","",VLOOKUP(Fri_W1[[#This Row],[Employee Name]],'Base Schedules'!$A$1:$AW$44,10,FALSE)),"")</f>
        <v/>
      </c>
      <c r="L36" s="184" t="str">
        <f>IFERROR(IF(VLOOKUP(Fri_W1[[#This Row],[Employee Name]],'Base Schedules'!$A$1:$AW$44,11,FALSE)="","",VLOOKUP(Fri_W1[[#This Row],[Employee Name]],'Base Schedules'!$A$1:$AW$44,11,FALSE)),"")</f>
        <v/>
      </c>
      <c r="M36" s="184" t="str">
        <f>IFERROR(IF(VLOOKUP(Fri_W1[[#This Row],[Employee Name]],'Base Schedules'!$A$1:$AW$44,12,FALSE)="","",VLOOKUP(Fri_W1[[#This Row],[Employee Name]],'Base Schedules'!$A$1:$AW$44,12,FALSE)),"")</f>
        <v/>
      </c>
      <c r="N36" s="184" t="str">
        <f>IFERROR(IF(VLOOKUP(Fri_W1[[#This Row],[Employee Name]],'Base Schedules'!$A$1:$AW$44,13,FALSE)="","",VLOOKUP(Fri_W1[[#This Row],[Employee Name]],'Base Schedules'!$A$1:$AW$44,13,FALSE)),"")</f>
        <v/>
      </c>
      <c r="O36" s="184" t="str">
        <f>IFERROR(IF(VLOOKUP(Fri_W1[[#This Row],[Employee Name]],'Base Schedules'!$A$1:$AW$44,14,FALSE)="","",VLOOKUP(Fri_W1[[#This Row],[Employee Name]],'Base Schedules'!$A$1:$AW$44,14,FALSE)),"")</f>
        <v/>
      </c>
      <c r="P36" s="184" t="str">
        <f>IFERROR(IF(VLOOKUP(Fri_W1[[#This Row],[Employee Name]],'Base Schedules'!$A$1:$AW$44,15,FALSE)="","",VLOOKUP(Fri_W1[[#This Row],[Employee Name]],'Base Schedules'!$A$1:$AW$44,15,FALSE)),"")</f>
        <v/>
      </c>
      <c r="Q36" s="184" t="str">
        <f>IFERROR(IF(VLOOKUP(Fri_W1[[#This Row],[Employee Name]],'Base Schedules'!$A$1:$AW$44,16,FALSE)="","",VLOOKUP(Fri_W1[[#This Row],[Employee Name]],'Base Schedules'!$A$1:$AW$44,16,FALSE)),"")</f>
        <v/>
      </c>
      <c r="R36" s="184" t="str">
        <f>IFERROR(IF(VLOOKUP(Fri_W1[[#This Row],[Employee Name]],'Base Schedules'!$A$1:$AW$44,17,FALSE)="","",VLOOKUP(Fri_W1[[#This Row],[Employee Name]],'Base Schedules'!$A$1:$AW$44,17,FALSE)),"")</f>
        <v/>
      </c>
      <c r="S36" s="184" t="str">
        <f>IFERROR(IF(VLOOKUP(Fri_W1[[#This Row],[Employee Name]],'Base Schedules'!$A$1:$AW$44,18,FALSE)="","",VLOOKUP(Fri_W1[[#This Row],[Employee Name]],'Base Schedules'!$A$1:$AW$44,18,FALSE)),"")</f>
        <v/>
      </c>
      <c r="T36" s="184" t="str">
        <f>IFERROR(IF(VLOOKUP(Fri_W1[[#This Row],[Employee Name]],'Base Schedules'!$A$1:$AW$44,19,FALSE)="","",VLOOKUP(Fri_W1[[#This Row],[Employee Name]],'Base Schedules'!$A$1:$AW$44,19,FALSE)),"")</f>
        <v/>
      </c>
      <c r="U36" s="184" t="str">
        <f>IFERROR(IF(VLOOKUP(Fri_W1[[#This Row],[Employee Name]],'Base Schedules'!$A$1:$AW$44,20,FALSE)="","",VLOOKUP(Fri_W1[[#This Row],[Employee Name]],'Base Schedules'!$A$1:$AW$44,20,FALSE)),"")</f>
        <v/>
      </c>
      <c r="V36" s="184" t="str">
        <f>IFERROR(IF(VLOOKUP(Fri_W1[[#This Row],[Employee Name]],'Base Schedules'!$A$1:$AW$44,21,FALSE)="","",VLOOKUP(Fri_W1[[#This Row],[Employee Name]],'Base Schedules'!$A$1:$AW$44,21,FALSE)),"")</f>
        <v/>
      </c>
      <c r="W36" s="184" t="str">
        <f>IFERROR(IF(VLOOKUP(Fri_W1[[#This Row],[Employee Name]],'Base Schedules'!$A$1:$AW$44,22,FALSE)="","",VLOOKUP(Fri_W1[[#This Row],[Employee Name]],'Base Schedules'!$A$1:$AW$44,22,FALSE)),"")</f>
        <v/>
      </c>
      <c r="X36" s="184" t="str">
        <f>IFERROR(IF(VLOOKUP(Fri_W1[[#This Row],[Employee Name]],'Base Schedules'!$A$1:$AW$44,23,FALSE)="","",VLOOKUP(Fri_W1[[#This Row],[Employee Name]],'Base Schedules'!$A$1:$AW$44,23,FALSE)),"")</f>
        <v>-</v>
      </c>
      <c r="Y36" s="184" t="str">
        <f>IFERROR(IF(VLOOKUP(Fri_W1[[#This Row],[Employee Name]],'Base Schedules'!$A$1:$AW$44,24,FALSE)="","",VLOOKUP(Fri_W1[[#This Row],[Employee Name]],'Base Schedules'!$A$1:$AW$44,24,FALSE)),"")</f>
        <v>-</v>
      </c>
      <c r="Z36" s="184" t="str">
        <f>IFERROR(IF(VLOOKUP(Fri_W1[[#This Row],[Employee Name]],'Base Schedules'!$A$1:$AW$44,25,FALSE)="","",VLOOKUP(Fri_W1[[#This Row],[Employee Name]],'Base Schedules'!$A$1:$AW$44,25,FALSE)),"")</f>
        <v>-</v>
      </c>
      <c r="AA36" s="184" t="str">
        <f>IFERROR(IF(VLOOKUP(Fri_W1[[#This Row],[Employee Name]],'Base Schedules'!$A$1:$AW$44,26,FALSE)="","",VLOOKUP(Fri_W1[[#This Row],[Employee Name]],'Base Schedules'!$A$1:$AW$44,26,FALSE)),"")</f>
        <v>-</v>
      </c>
      <c r="AB36" s="184" t="str">
        <f>IFERROR(IF(VLOOKUP(Fri_W1[[#This Row],[Employee Name]],'Base Schedules'!$A$1:$AW$44,27,FALSE)="","",VLOOKUP(Fri_W1[[#This Row],[Employee Name]],'Base Schedules'!$A$1:$AW$44,27,FALSE)),"")</f>
        <v>Interview</v>
      </c>
      <c r="AC36" s="184" t="str">
        <f>IFERROR(IF(VLOOKUP(Fri_W1[[#This Row],[Employee Name]],'Base Schedules'!$A$1:$AW$44,28,FALSE)="","",VLOOKUP(Fri_W1[[#This Row],[Employee Name]],'Base Schedules'!$A$1:$AW$44,28,FALSE)),"")</f>
        <v>Interview</v>
      </c>
      <c r="AD36" s="184" t="str">
        <f>IFERROR(IF(VLOOKUP(Fri_W1[[#This Row],[Employee Name]],'Base Schedules'!$A$1:$AW$44,29,FALSE)="","",VLOOKUP(Fri_W1[[#This Row],[Employee Name]],'Base Schedules'!$A$1:$AW$44,29,FALSE)),"")</f>
        <v>-</v>
      </c>
      <c r="AE36" s="184" t="str">
        <f>IFERROR(IF(VLOOKUP(Fri_W1[[#This Row],[Employee Name]],'Base Schedules'!$A$1:$AW$44,30,FALSE)="","",VLOOKUP(Fri_W1[[#This Row],[Employee Name]],'Base Schedules'!$A$1:$AW$44,30,FALSE)),"")</f>
        <v>-</v>
      </c>
      <c r="AF36" s="184" t="str">
        <f>IFERROR(IF(VLOOKUP(Fri_W1[[#This Row],[Employee Name]],'Base Schedules'!$A$1:$AW$44,31,FALSE)="","",VLOOKUP(Fri_W1[[#This Row],[Employee Name]],'Base Schedules'!$A$1:$AW$44,31,FALSE)),"")</f>
        <v>-</v>
      </c>
      <c r="AG36" s="184" t="str">
        <f>IFERROR(IF(VLOOKUP(Fri_W1[[#This Row],[Employee Name]],'Base Schedules'!$A$1:$AW$44,32,FALSE)="","",VLOOKUP(Fri_W1[[#This Row],[Employee Name]],'Base Schedules'!$A$1:$AW$44,32,FALSE)),"")</f>
        <v>Coaching</v>
      </c>
      <c r="AH36" s="184" t="str">
        <f>IFERROR(IF(VLOOKUP(Fri_W1[[#This Row],[Employee Name]],'Base Schedules'!$A$1:$AW$44,33,FALSE)="","",VLOOKUP(Fri_W1[[#This Row],[Employee Name]],'Base Schedules'!$A$1:$AW$44,33,FALSE)),"")</f>
        <v>Coaching</v>
      </c>
      <c r="AI36" s="184" t="str">
        <f>IFERROR(IF(VLOOKUP(Fri_W1[[#This Row],[Employee Name]],'Base Schedules'!$A$1:$AW$44,34,FALSE)="","",VLOOKUP(Fri_W1[[#This Row],[Employee Name]],'Base Schedules'!$A$1:$AW$44,34,FALSE)),"")</f>
        <v>Coaching</v>
      </c>
      <c r="AJ36" s="184" t="str">
        <f>IFERROR(IF(VLOOKUP(Fri_W1[[#This Row],[Employee Name]],'Base Schedules'!$A$1:$AW$44,35,FALSE)="","",VLOOKUP(Fri_W1[[#This Row],[Employee Name]],'Base Schedules'!$A$1:$AW$44,35,FALSE)),"")</f>
        <v>Coaching</v>
      </c>
      <c r="AK36" s="184" t="str">
        <f>IFERROR(IF(VLOOKUP(Fri_W1[[#This Row],[Employee Name]],'Base Schedules'!$A$1:$AW$44,36,FALSE)="","",VLOOKUP(Fri_W1[[#This Row],[Employee Name]],'Base Schedules'!$A$1:$AW$44,36,FALSE)),"")</f>
        <v>-</v>
      </c>
      <c r="AL36" s="184" t="str">
        <f>IFERROR(IF(VLOOKUP(Fri_W1[[#This Row],[Employee Name]],'Base Schedules'!$A$1:$AW$44,37,FALSE)="","",VLOOKUP(Fri_W1[[#This Row],[Employee Name]],'Base Schedules'!$A$1:$AW$44,37,FALSE)),"")</f>
        <v>-</v>
      </c>
      <c r="AM36" s="184" t="str">
        <f>IFERROR(IF(VLOOKUP(Fri_W1[[#This Row],[Employee Name]],'Base Schedules'!$A$1:$AW$44,38,FALSE)="","",VLOOKUP(Fri_W1[[#This Row],[Employee Name]],'Base Schedules'!$A$1:$AW$44,38,FALSE)),"")</f>
        <v>-</v>
      </c>
      <c r="AN36" s="184" t="str">
        <f>IFERROR(IF(VLOOKUP(Fri_W1[[#This Row],[Employee Name]],'Base Schedules'!$A$1:$AW$44,39,FALSE)="","",VLOOKUP(Fri_W1[[#This Row],[Employee Name]],'Base Schedules'!$A$1:$AW$44,39,FALSE)),"")</f>
        <v>-</v>
      </c>
      <c r="AO36" s="184" t="str">
        <f>IFERROR(IF(VLOOKUP(Fri_W1[[#This Row],[Employee Name]],'Base Schedules'!$A$1:$AW$44,40,FALSE)="","",VLOOKUP(Fri_W1[[#This Row],[Employee Name]],'Base Schedules'!$A$1:$AW$44,40,FALSE)),"")</f>
        <v>-</v>
      </c>
      <c r="AP36" s="184" t="str">
        <f>IFERROR(IF(VLOOKUP(Fri_W1[[#This Row],[Employee Name]],'Base Schedules'!$A$1:$AW$44,41,FALSE)="","",VLOOKUP(Fri_W1[[#This Row],[Employee Name]],'Base Schedules'!$A$1:$AW$44,41,FALSE)),"")</f>
        <v/>
      </c>
      <c r="AQ36" s="184" t="str">
        <f>IFERROR(IF(VLOOKUP(Fri_W1[[#This Row],[Employee Name]],'Base Schedules'!$A$1:$AW$44,42,FALSE)="","",VLOOKUP(Fri_W1[[#This Row],[Employee Name]],'Base Schedules'!$A$1:$AW$44,42,FALSE)),"")</f>
        <v/>
      </c>
      <c r="AR36" s="184" t="str">
        <f>IFERROR(IF(VLOOKUP(Fri_W1[[#This Row],[Employee Name]],'Base Schedules'!$A$1:$AW$44,43,FALSE)="","",VLOOKUP(Fri_W1[[#This Row],[Employee Name]],'Base Schedules'!$A$1:$AW$44,43,FALSE)),"")</f>
        <v/>
      </c>
      <c r="AS36" s="184" t="str">
        <f>IFERROR(IF(VLOOKUP(Fri_W1[[#This Row],[Employee Name]],'Base Schedules'!$A$1:$AW$44,44,FALSE)="","",VLOOKUP(Fri_W1[[#This Row],[Employee Name]],'Base Schedules'!$A$1:$AW$44,44,FALSE)),"")</f>
        <v/>
      </c>
      <c r="AT36" s="184" t="str">
        <f>IFERROR(IF(VLOOKUP(Fri_W1[[#This Row],[Employee Name]],'Base Schedules'!$A$1:$AW$44,45,FALSE)="","",VLOOKUP(Fri_W1[[#This Row],[Employee Name]],'Base Schedules'!$A$1:$AW$44,45,FALSE)),"")</f>
        <v/>
      </c>
      <c r="AU36" s="184" t="str">
        <f>IFERROR(IF(VLOOKUP(Fri_W1[[#This Row],[Employee Name]],'Base Schedules'!$A$1:$AW$44,46,FALSE)="","",VLOOKUP(Fri_W1[[#This Row],[Employee Name]],'Base Schedules'!$A$1:$AW$44,46,FALSE)),"")</f>
        <v/>
      </c>
      <c r="AV36" s="184" t="str">
        <f>IFERROR(IF(VLOOKUP(Fri_W1[[#This Row],[Employee Name]],'Base Schedules'!$A$1:$AW$44,47,FALSE)="","",VLOOKUP(Fri_W1[[#This Row],[Employee Name]],'Base Schedules'!$A$1:$AW$44,47,FALSE)),"")</f>
        <v/>
      </c>
      <c r="AW36" s="184" t="str">
        <f>IFERROR(IF(VLOOKUP(Fri_W1[[#This Row],[Employee Name]],'Base Schedules'!$A$1:$AW$44,48,FALSE)="","",VLOOKUP(Fri_W1[[#This Row],[Employee Name]],'Base Schedules'!$A$1:$AW$44,48,FALSE)),"")</f>
        <v/>
      </c>
      <c r="AX36" s="184" t="str">
        <f>IFERROR(IF(VLOOKUP(Fri_W1[[#This Row],[Employee Name]],'Base Schedules'!$A$1:$AW$44,49,FALSE)="","",VLOOKUP(Fri_W1[[#This Row],[Employee Name]],'Base Schedules'!$A$1:$AW$44,49,FALSE)),"")</f>
        <v/>
      </c>
      <c r="AY36" s="245" t="str">
        <f t="shared" si="2"/>
        <v>Conner, Mark</v>
      </c>
    </row>
    <row r="37" spans="1:51" s="44" customFormat="1" ht="11.25" customHeight="1" x14ac:dyDescent="0.2">
      <c r="A37" s="39" t="str">
        <f>IF(B37="","",INDEX(TeamList[],MATCH($B37,TeamList[[Employee Name]:[Employee Name]],0),MATCH("Manager",TeamList[#Headers],0)))</f>
        <v>Olson, Katherine</v>
      </c>
      <c r="B37" s="201" t="s">
        <v>238</v>
      </c>
      <c r="C37" s="257" t="str">
        <f>_xlfn.IFNA(VLOOKUP(Fri_W1[[#This Row],[Employee Name]],'Base Schedules'!A:B,2,FALSE),"")</f>
        <v>Lead</v>
      </c>
      <c r="D37" s="274">
        <f>_xlfn.IFNA(VLOOKUP(Fri_W1[[#This Row],[Employee Name]],'Base Schedules'!A:C,3,FALSE),"")</f>
        <v>1230</v>
      </c>
      <c r="E37" s="274">
        <f>_xlfn.IFNA(VLOOKUP(Fri_W1[[#This Row],[Employee Name]],'Base Schedules'!A:D,4,FALSE),"")</f>
        <v>2100</v>
      </c>
      <c r="F37" s="142">
        <f>IF(Fri_W1[[#This Row],[Employee Name]]="","",IF(Fri_W1[[#This Row],[Dept]]="Supervisor",COUNTIFS($J37:$AX37,"*HL*",$J37:$AX37,"&lt;&gt;"&amp;"pHL"),COUNTIFS($J37:$AX37,"*HL*",$J37:$AX37,"&lt;&gt;"&amp;"*pHL*",$J37:$AX37,"&lt;&gt;"&amp;"pB1 HL",$J37:$AX37,"&lt;&gt;"&amp;"pB2 HL")-SUM(COUNTIFS($J37:$AX37,"*HL B1*",$J37:$AX37,"&lt;&gt;"&amp;"pHL B1")*0.5,COUNTIFS($J37:$AX37,"*HL B2*",$J37:$AX37,"&lt;&gt;"&amp;"pHL B2")*0.5,COUNTIFS($J37:$AX37,"*B1 HL*",$J37:$AX37,"&lt;&gt;"&amp;"pB1 HL")*0.5,COUNTIFS($J37:$AX37,"*B2 HL*",$J37:$AX37,"&lt;&gt;"&amp;"pB2 HL")*0.5)))</f>
        <v>8</v>
      </c>
      <c r="G37" s="142">
        <f t="shared" si="3"/>
        <v>0</v>
      </c>
      <c r="H37" s="142">
        <f t="shared" si="1"/>
        <v>6</v>
      </c>
      <c r="I37" s="142">
        <f>IF(Fri_W1[[#This Row],[Employee Name]]="","",IF(Fri_W1[[#This Row],[Dept]]="Supervisor",SUM(COUNTIFS($J37:$AX37,"RTA*",$J37:$AX37,"&lt;&gt;"&amp;"pRTA"),COUNTIFS($J37:$AX37,"*CRTA*",$J37:$AX37,"&lt;&gt;"&amp;"pCRTA")),COUNTIFS($J37:$AX37,"*RNNR*",$J37:$AX37,"&lt;&gt;"&amp;"*pRNNR*",$J37:$AX37,"&lt;&gt;"&amp;"pB1 RNNR",$J37:$AX37,"&lt;&gt;"&amp;"pB2 RNNR")-SUM(COUNTIFS($J37:$AX37,"*RNNR B1*",$J37:$AX37,"&lt;&gt;"&amp;"pRNNR B1")*0.5,COUNTIFS($J37:$AX37,"*RNNR B2*",$J37:$AX37,"&lt;&gt;"&amp;"pRNNR B2")*0.5,COUNTIFS($J37:$AX37,"*B1 RNNR*",$J37:$AX37,"&lt;&gt;"&amp;"pB1 RNNR")*0.5,COUNTIFS($J37:$AX37,"*B2 RNNR*",$J37:$AX37,"&lt;&gt;"&amp;"pB2 RNNR")*0.5)))</f>
        <v>2</v>
      </c>
      <c r="J37" s="184" t="str">
        <f>IFERROR(IF(VLOOKUP(Fri_W1[[#This Row],[Employee Name]],'Base Schedules'!$A$1:$AW$44,9,FALSE)="","",VLOOKUP(Fri_W1[[#This Row],[Employee Name]],'Base Schedules'!$A$1:$AW$44,9,FALSE)),"")</f>
        <v/>
      </c>
      <c r="K37" s="184" t="str">
        <f>IFERROR(IF(VLOOKUP(Fri_W1[[#This Row],[Employee Name]],'Base Schedules'!$A$1:$AW$44,10,FALSE)="","",VLOOKUP(Fri_W1[[#This Row],[Employee Name]],'Base Schedules'!$A$1:$AW$44,10,FALSE)),"")</f>
        <v/>
      </c>
      <c r="L37" s="184" t="str">
        <f>IFERROR(IF(VLOOKUP(Fri_W1[[#This Row],[Employee Name]],'Base Schedules'!$A$1:$AW$44,11,FALSE)="","",VLOOKUP(Fri_W1[[#This Row],[Employee Name]],'Base Schedules'!$A$1:$AW$44,11,FALSE)),"")</f>
        <v/>
      </c>
      <c r="M37" s="184" t="str">
        <f>IFERROR(IF(VLOOKUP(Fri_W1[[#This Row],[Employee Name]],'Base Schedules'!$A$1:$AW$44,12,FALSE)="","",VLOOKUP(Fri_W1[[#This Row],[Employee Name]],'Base Schedules'!$A$1:$AW$44,12,FALSE)),"")</f>
        <v/>
      </c>
      <c r="N37" s="184" t="str">
        <f>IFERROR(IF(VLOOKUP(Fri_W1[[#This Row],[Employee Name]],'Base Schedules'!$A$1:$AW$44,13,FALSE)="","",VLOOKUP(Fri_W1[[#This Row],[Employee Name]],'Base Schedules'!$A$1:$AW$44,13,FALSE)),"")</f>
        <v/>
      </c>
      <c r="O37" s="184" t="str">
        <f>IFERROR(IF(VLOOKUP(Fri_W1[[#This Row],[Employee Name]],'Base Schedules'!$A$1:$AW$44,14,FALSE)="","",VLOOKUP(Fri_W1[[#This Row],[Employee Name]],'Base Schedules'!$A$1:$AW$44,14,FALSE)),"")</f>
        <v/>
      </c>
      <c r="P37" s="184" t="str">
        <f>IFERROR(IF(VLOOKUP(Fri_W1[[#This Row],[Employee Name]],'Base Schedules'!$A$1:$AW$44,15,FALSE)="","",VLOOKUP(Fri_W1[[#This Row],[Employee Name]],'Base Schedules'!$A$1:$AW$44,15,FALSE)),"")</f>
        <v/>
      </c>
      <c r="Q37" s="184" t="str">
        <f>IFERROR(IF(VLOOKUP(Fri_W1[[#This Row],[Employee Name]],'Base Schedules'!$A$1:$AW$44,16,FALSE)="","",VLOOKUP(Fri_W1[[#This Row],[Employee Name]],'Base Schedules'!$A$1:$AW$44,16,FALSE)),"")</f>
        <v/>
      </c>
      <c r="R37" s="184" t="str">
        <f>IFERROR(IF(VLOOKUP(Fri_W1[[#This Row],[Employee Name]],'Base Schedules'!$A$1:$AW$44,17,FALSE)="","",VLOOKUP(Fri_W1[[#This Row],[Employee Name]],'Base Schedules'!$A$1:$AW$44,17,FALSE)),"")</f>
        <v/>
      </c>
      <c r="S37" s="184" t="str">
        <f>IFERROR(IF(VLOOKUP(Fri_W1[[#This Row],[Employee Name]],'Base Schedules'!$A$1:$AW$44,18,FALSE)="","",VLOOKUP(Fri_W1[[#This Row],[Employee Name]],'Base Schedules'!$A$1:$AW$44,18,FALSE)),"")</f>
        <v/>
      </c>
      <c r="T37" s="184" t="str">
        <f>IFERROR(IF(VLOOKUP(Fri_W1[[#This Row],[Employee Name]],'Base Schedules'!$A$1:$AW$44,19,FALSE)="","",VLOOKUP(Fri_W1[[#This Row],[Employee Name]],'Base Schedules'!$A$1:$AW$44,19,FALSE)),"")</f>
        <v/>
      </c>
      <c r="U37" s="184" t="str">
        <f>IFERROR(IF(VLOOKUP(Fri_W1[[#This Row],[Employee Name]],'Base Schedules'!$A$1:$AW$44,20,FALSE)="","",VLOOKUP(Fri_W1[[#This Row],[Employee Name]],'Base Schedules'!$A$1:$AW$44,20,FALSE)),"")</f>
        <v/>
      </c>
      <c r="V37" s="184" t="str">
        <f>IFERROR(IF(VLOOKUP(Fri_W1[[#This Row],[Employee Name]],'Base Schedules'!$A$1:$AW$44,21,FALSE)="","",VLOOKUP(Fri_W1[[#This Row],[Employee Name]],'Base Schedules'!$A$1:$AW$44,21,FALSE)),"")</f>
        <v/>
      </c>
      <c r="W37" s="184" t="str">
        <f>IFERROR(IF(VLOOKUP(Fri_W1[[#This Row],[Employee Name]],'Base Schedules'!$A$1:$AW$44,22,FALSE)="","",VLOOKUP(Fri_W1[[#This Row],[Employee Name]],'Base Schedules'!$A$1:$AW$44,22,FALSE)),"")</f>
        <v/>
      </c>
      <c r="X37" s="184" t="str">
        <f>IFERROR(IF(VLOOKUP(Fri_W1[[#This Row],[Employee Name]],'Base Schedules'!$A$1:$AW$44,23,FALSE)="","",VLOOKUP(Fri_W1[[#This Row],[Employee Name]],'Base Schedules'!$A$1:$AW$44,23,FALSE)),"")</f>
        <v/>
      </c>
      <c r="Y37" s="184" t="str">
        <f>IFERROR(IF(VLOOKUP(Fri_W1[[#This Row],[Employee Name]],'Base Schedules'!$A$1:$AW$44,24,FALSE)="","",VLOOKUP(Fri_W1[[#This Row],[Employee Name]],'Base Schedules'!$A$1:$AW$44,24,FALSE)),"")</f>
        <v>ADM</v>
      </c>
      <c r="Z37" s="184" t="str">
        <f>IFERROR(IF(VLOOKUP(Fri_W1[[#This Row],[Employee Name]],'Base Schedules'!$A$1:$AW$44,25,FALSE)="","",VLOOKUP(Fri_W1[[#This Row],[Employee Name]],'Base Schedules'!$A$1:$AW$44,25,FALSE)),"")</f>
        <v>ADM</v>
      </c>
      <c r="AA37" s="184" t="str">
        <f>IFERROR(IF(VLOOKUP(Fri_W1[[#This Row],[Employee Name]],'Base Schedules'!$A$1:$AW$44,26,FALSE)="","",VLOOKUP(Fri_W1[[#This Row],[Employee Name]],'Base Schedules'!$A$1:$AW$44,26,FALSE)),"")</f>
        <v>ADM</v>
      </c>
      <c r="AB37" s="184" t="str">
        <f>IFERROR(IF(VLOOKUP(Fri_W1[[#This Row],[Employee Name]],'Base Schedules'!$A$1:$AW$44,27,FALSE)="","",VLOOKUP(Fri_W1[[#This Row],[Employee Name]],'Base Schedules'!$A$1:$AW$44,27,FALSE)),"")</f>
        <v>ADM B1</v>
      </c>
      <c r="AC37" s="184" t="str">
        <f>IFERROR(IF(VLOOKUP(Fri_W1[[#This Row],[Employee Name]],'Base Schedules'!$A$1:$AW$44,28,FALSE)="","",VLOOKUP(Fri_W1[[#This Row],[Employee Name]],'Base Schedules'!$A$1:$AW$44,28,FALSE)),"")</f>
        <v>HL</v>
      </c>
      <c r="AD37" s="184" t="str">
        <f>IFERROR(IF(VLOOKUP(Fri_W1[[#This Row],[Employee Name]],'Base Schedules'!$A$1:$AW$44,29,FALSE)="","",VLOOKUP(Fri_W1[[#This Row],[Employee Name]],'Base Schedules'!$A$1:$AW$44,29,FALSE)),"")</f>
        <v>HL</v>
      </c>
      <c r="AE37" s="184" t="str">
        <f>IFERROR(IF(VLOOKUP(Fri_W1[[#This Row],[Employee Name]],'Base Schedules'!$A$1:$AW$44,30,FALSE)="","",VLOOKUP(Fri_W1[[#This Row],[Employee Name]],'Base Schedules'!$A$1:$AW$44,30,FALSE)),"")</f>
        <v>HL</v>
      </c>
      <c r="AF37" s="184" t="str">
        <f>IFERROR(IF(VLOOKUP(Fri_W1[[#This Row],[Employee Name]],'Base Schedules'!$A$1:$AW$44,31,FALSE)="","",VLOOKUP(Fri_W1[[#This Row],[Employee Name]],'Base Schedules'!$A$1:$AW$44,31,FALSE)),"")</f>
        <v>HL</v>
      </c>
      <c r="AG37" s="184" t="str">
        <f>IFERROR(IF(VLOOKUP(Fri_W1[[#This Row],[Employee Name]],'Base Schedules'!$A$1:$AW$44,32,FALSE)="","",VLOOKUP(Fri_W1[[#This Row],[Employee Name]],'Base Schedules'!$A$1:$AW$44,32,FALSE)),"")</f>
        <v>LUNCH</v>
      </c>
      <c r="AH37" s="184" t="str">
        <f>IFERROR(IF(VLOOKUP(Fri_W1[[#This Row],[Employee Name]],'Base Schedules'!$A$1:$AW$44,33,FALSE)="","",VLOOKUP(Fri_W1[[#This Row],[Employee Name]],'Base Schedules'!$A$1:$AW$44,33,FALSE)),"")</f>
        <v>RNNR</v>
      </c>
      <c r="AI37" s="184" t="str">
        <f>IFERROR(IF(VLOOKUP(Fri_W1[[#This Row],[Employee Name]],'Base Schedules'!$A$1:$AW$44,34,FALSE)="","",VLOOKUP(Fri_W1[[#This Row],[Employee Name]],'Base Schedules'!$A$1:$AW$44,34,FALSE)),"")</f>
        <v>RNNR</v>
      </c>
      <c r="AJ37" s="184" t="str">
        <f>IFERROR(IF(VLOOKUP(Fri_W1[[#This Row],[Employee Name]],'Base Schedules'!$A$1:$AW$44,35,FALSE)="","",VLOOKUP(Fri_W1[[#This Row],[Employee Name]],'Base Schedules'!$A$1:$AW$44,35,FALSE)),"")</f>
        <v>ADM</v>
      </c>
      <c r="AK37" s="184" t="str">
        <f>IFERROR(IF(VLOOKUP(Fri_W1[[#This Row],[Employee Name]],'Base Schedules'!$A$1:$AW$44,36,FALSE)="","",VLOOKUP(Fri_W1[[#This Row],[Employee Name]],'Base Schedules'!$A$1:$AW$44,36,FALSE)),"")</f>
        <v>ADM B2</v>
      </c>
      <c r="AL37" s="184" t="str">
        <f>IFERROR(IF(VLOOKUP(Fri_W1[[#This Row],[Employee Name]],'Base Schedules'!$A$1:$AW$44,37,FALSE)="","",VLOOKUP(Fri_W1[[#This Row],[Employee Name]],'Base Schedules'!$A$1:$AW$44,37,FALSE)),"")</f>
        <v>HL</v>
      </c>
      <c r="AM37" s="184" t="str">
        <f>IFERROR(IF(VLOOKUP(Fri_W1[[#This Row],[Employee Name]],'Base Schedules'!$A$1:$AW$44,38,FALSE)="","",VLOOKUP(Fri_W1[[#This Row],[Employee Name]],'Base Schedules'!$A$1:$AW$44,38,FALSE)),"")</f>
        <v>HL</v>
      </c>
      <c r="AN37" s="184" t="str">
        <f>IFERROR(IF(VLOOKUP(Fri_W1[[#This Row],[Employee Name]],'Base Schedules'!$A$1:$AW$44,39,FALSE)="","",VLOOKUP(Fri_W1[[#This Row],[Employee Name]],'Base Schedules'!$A$1:$AW$44,39,FALSE)),"")</f>
        <v>HL</v>
      </c>
      <c r="AO37" s="184" t="str">
        <f>IFERROR(IF(VLOOKUP(Fri_W1[[#This Row],[Employee Name]],'Base Schedules'!$A$1:$AW$44,40,FALSE)="","",VLOOKUP(Fri_W1[[#This Row],[Employee Name]],'Base Schedules'!$A$1:$AW$44,40,FALSE)),"")</f>
        <v>HL</v>
      </c>
      <c r="AP37" s="184" t="str">
        <f>IFERROR(IF(VLOOKUP(Fri_W1[[#This Row],[Employee Name]],'Base Schedules'!$A$1:$AW$44,41,FALSE)="","",VLOOKUP(Fri_W1[[#This Row],[Employee Name]],'Base Schedules'!$A$1:$AW$44,41,FALSE)),"")</f>
        <v/>
      </c>
      <c r="AQ37" s="184" t="str">
        <f>IFERROR(IF(VLOOKUP(Fri_W1[[#This Row],[Employee Name]],'Base Schedules'!$A$1:$AW$44,42,FALSE)="","",VLOOKUP(Fri_W1[[#This Row],[Employee Name]],'Base Schedules'!$A$1:$AW$44,42,FALSE)),"")</f>
        <v/>
      </c>
      <c r="AR37" s="184" t="str">
        <f>IFERROR(IF(VLOOKUP(Fri_W1[[#This Row],[Employee Name]],'Base Schedules'!$A$1:$AW$44,43,FALSE)="","",VLOOKUP(Fri_W1[[#This Row],[Employee Name]],'Base Schedules'!$A$1:$AW$44,43,FALSE)),"")</f>
        <v/>
      </c>
      <c r="AS37" s="184" t="str">
        <f>IFERROR(IF(VLOOKUP(Fri_W1[[#This Row],[Employee Name]],'Base Schedules'!$A$1:$AW$44,44,FALSE)="","",VLOOKUP(Fri_W1[[#This Row],[Employee Name]],'Base Schedules'!$A$1:$AW$44,44,FALSE)),"")</f>
        <v/>
      </c>
      <c r="AT37" s="184" t="str">
        <f>IFERROR(IF(VLOOKUP(Fri_W1[[#This Row],[Employee Name]],'Base Schedules'!$A$1:$AW$44,45,FALSE)="","",VLOOKUP(Fri_W1[[#This Row],[Employee Name]],'Base Schedules'!$A$1:$AW$44,45,FALSE)),"")</f>
        <v/>
      </c>
      <c r="AU37" s="184" t="str">
        <f>IFERROR(IF(VLOOKUP(Fri_W1[[#This Row],[Employee Name]],'Base Schedules'!$A$1:$AW$44,46,FALSE)="","",VLOOKUP(Fri_W1[[#This Row],[Employee Name]],'Base Schedules'!$A$1:$AW$44,46,FALSE)),"")</f>
        <v/>
      </c>
      <c r="AV37" s="184" t="str">
        <f>IFERROR(IF(VLOOKUP(Fri_W1[[#This Row],[Employee Name]],'Base Schedules'!$A$1:$AW$44,47,FALSE)="","",VLOOKUP(Fri_W1[[#This Row],[Employee Name]],'Base Schedules'!$A$1:$AW$44,47,FALSE)),"")</f>
        <v/>
      </c>
      <c r="AW37" s="184" t="str">
        <f>IFERROR(IF(VLOOKUP(Fri_W1[[#This Row],[Employee Name]],'Base Schedules'!$A$1:$AW$44,48,FALSE)="","",VLOOKUP(Fri_W1[[#This Row],[Employee Name]],'Base Schedules'!$A$1:$AW$44,48,FALSE)),"")</f>
        <v/>
      </c>
      <c r="AX37" s="184" t="str">
        <f>IFERROR(IF(VLOOKUP(Fri_W1[[#This Row],[Employee Name]],'Base Schedules'!$A$1:$AW$44,49,FALSE)="","",VLOOKUP(Fri_W1[[#This Row],[Employee Name]],'Base Schedules'!$A$1:$AW$44,49,FALSE)),"")</f>
        <v/>
      </c>
      <c r="AY37" s="245" t="str">
        <f t="shared" si="2"/>
        <v>Suhama, Ryan</v>
      </c>
    </row>
    <row r="38" spans="1:51" s="44" customFormat="1" ht="11.25" customHeight="1" x14ac:dyDescent="0.2">
      <c r="A38" s="39" t="str">
        <f>IF(B38="","",INDEX(TeamList[],MATCH($B38,TeamList[[Employee Name]:[Employee Name]],0),MATCH("Manager",TeamList[#Headers],0)))</f>
        <v>Paulson, Matthew</v>
      </c>
      <c r="B38" s="201" t="s">
        <v>66</v>
      </c>
      <c r="C38" s="257" t="str">
        <f>_xlfn.IFNA(VLOOKUP(Fri_W1[[#This Row],[Employee Name]],'Base Schedules'!A:B,2,FALSE),"")</f>
        <v>Supervisor</v>
      </c>
      <c r="D38" s="274">
        <f>_xlfn.IFNA(VLOOKUP(Fri_W1[[#This Row],[Employee Name]],'Base Schedules'!A:C,3,FALSE),"")</f>
        <v>1230</v>
      </c>
      <c r="E38" s="274">
        <f>_xlfn.IFNA(VLOOKUP(Fri_W1[[#This Row],[Employee Name]],'Base Schedules'!A:D,4,FALSE),"")</f>
        <v>2130</v>
      </c>
      <c r="F38" s="142">
        <f>IF(Fri_W1[[#This Row],[Employee Name]]="","",IF(Fri_W1[[#This Row],[Dept]]="Supervisor",COUNTIFS($J38:$AX38,"*HL*",$J38:$AX38,"&lt;&gt;"&amp;"pHL"),COUNTIFS($J38:$AX38,"*HL*",$J38:$AX38,"&lt;&gt;"&amp;"*pHL*",$J38:$AX38,"&lt;&gt;"&amp;"pB1 HL",$J38:$AX38,"&lt;&gt;"&amp;"pB2 HL")-SUM(COUNTIFS($J38:$AX38,"*HL B1*",$J38:$AX38,"&lt;&gt;"&amp;"pHL B1")*0.5,COUNTIFS($J38:$AX38,"*HL B2*",$J38:$AX38,"&lt;&gt;"&amp;"pHL B2")*0.5,COUNTIFS($J38:$AX38,"*B1 HL*",$J38:$AX38,"&lt;&gt;"&amp;"pB1 HL")*0.5,COUNTIFS($J38:$AX38,"*B2 HL*",$J38:$AX38,"&lt;&gt;"&amp;"pB2 HL")*0.5)))</f>
        <v>0</v>
      </c>
      <c r="G38" s="142">
        <f t="shared" si="3"/>
        <v>4</v>
      </c>
      <c r="H38" s="142">
        <f t="shared" si="1"/>
        <v>0</v>
      </c>
      <c r="I38" s="142">
        <f>IF(Fri_W1[[#This Row],[Employee Name]]="","",IF(Fri_W1[[#This Row],[Dept]]="Supervisor",SUM(COUNTIFS($J38:$AX38,"RTA*",$J38:$AX38,"&lt;&gt;"&amp;"pRTA"),COUNTIFS($J38:$AX38,"*CRTA*",$J38:$AX38,"&lt;&gt;"&amp;"pCRTA")),COUNTIFS($J38:$AX38,"*RNNR*",$J38:$AX38,"&lt;&gt;"&amp;"*pRNNR*",$J38:$AX38,"&lt;&gt;"&amp;"pB1 RNNR",$J38:$AX38,"&lt;&gt;"&amp;"pB2 RNNR")-SUM(COUNTIFS($J38:$AX38,"*RNNR B1*",$J38:$AX38,"&lt;&gt;"&amp;"pRNNR B1")*0.5,COUNTIFS($J38:$AX38,"*RNNR B2*",$J38:$AX38,"&lt;&gt;"&amp;"pRNNR B2")*0.5,COUNTIFS($J38:$AX38,"*B1 RNNR*",$J38:$AX38,"&lt;&gt;"&amp;"pB1 RNNR")*0.5,COUNTIFS($J38:$AX38,"*B2 RNNR*",$J38:$AX38,"&lt;&gt;"&amp;"pB2 RNNR")*0.5)))</f>
        <v>0</v>
      </c>
      <c r="J38" s="184" t="str">
        <f>IFERROR(IF(VLOOKUP(Fri_W1[[#This Row],[Employee Name]],'Base Schedules'!$A$1:$AW$44,9,FALSE)="","",VLOOKUP(Fri_W1[[#This Row],[Employee Name]],'Base Schedules'!$A$1:$AW$44,9,FALSE)),"")</f>
        <v/>
      </c>
      <c r="K38" s="184" t="str">
        <f>IFERROR(IF(VLOOKUP(Fri_W1[[#This Row],[Employee Name]],'Base Schedules'!$A$1:$AW$44,10,FALSE)="","",VLOOKUP(Fri_W1[[#This Row],[Employee Name]],'Base Schedules'!$A$1:$AW$44,10,FALSE)),"")</f>
        <v/>
      </c>
      <c r="L38" s="184" t="str">
        <f>IFERROR(IF(VLOOKUP(Fri_W1[[#This Row],[Employee Name]],'Base Schedules'!$A$1:$AW$44,11,FALSE)="","",VLOOKUP(Fri_W1[[#This Row],[Employee Name]],'Base Schedules'!$A$1:$AW$44,11,FALSE)),"")</f>
        <v/>
      </c>
      <c r="M38" s="184" t="str">
        <f>IFERROR(IF(VLOOKUP(Fri_W1[[#This Row],[Employee Name]],'Base Schedules'!$A$1:$AW$44,12,FALSE)="","",VLOOKUP(Fri_W1[[#This Row],[Employee Name]],'Base Schedules'!$A$1:$AW$44,12,FALSE)),"")</f>
        <v/>
      </c>
      <c r="N38" s="184" t="str">
        <f>IFERROR(IF(VLOOKUP(Fri_W1[[#This Row],[Employee Name]],'Base Schedules'!$A$1:$AW$44,13,FALSE)="","",VLOOKUP(Fri_W1[[#This Row],[Employee Name]],'Base Schedules'!$A$1:$AW$44,13,FALSE)),"")</f>
        <v/>
      </c>
      <c r="O38" s="184" t="str">
        <f>IFERROR(IF(VLOOKUP(Fri_W1[[#This Row],[Employee Name]],'Base Schedules'!$A$1:$AW$44,14,FALSE)="","",VLOOKUP(Fri_W1[[#This Row],[Employee Name]],'Base Schedules'!$A$1:$AW$44,14,FALSE)),"")</f>
        <v/>
      </c>
      <c r="P38" s="184" t="str">
        <f>IFERROR(IF(VLOOKUP(Fri_W1[[#This Row],[Employee Name]],'Base Schedules'!$A$1:$AW$44,15,FALSE)="","",VLOOKUP(Fri_W1[[#This Row],[Employee Name]],'Base Schedules'!$A$1:$AW$44,15,FALSE)),"")</f>
        <v/>
      </c>
      <c r="Q38" s="184" t="str">
        <f>IFERROR(IF(VLOOKUP(Fri_W1[[#This Row],[Employee Name]],'Base Schedules'!$A$1:$AW$44,16,FALSE)="","",VLOOKUP(Fri_W1[[#This Row],[Employee Name]],'Base Schedules'!$A$1:$AW$44,16,FALSE)),"")</f>
        <v/>
      </c>
      <c r="R38" s="184" t="str">
        <f>IFERROR(IF(VLOOKUP(Fri_W1[[#This Row],[Employee Name]],'Base Schedules'!$A$1:$AW$44,17,FALSE)="","",VLOOKUP(Fri_W1[[#This Row],[Employee Name]],'Base Schedules'!$A$1:$AW$44,17,FALSE)),"")</f>
        <v/>
      </c>
      <c r="S38" s="184" t="str">
        <f>IFERROR(IF(VLOOKUP(Fri_W1[[#This Row],[Employee Name]],'Base Schedules'!$A$1:$AW$44,18,FALSE)="","",VLOOKUP(Fri_W1[[#This Row],[Employee Name]],'Base Schedules'!$A$1:$AW$44,18,FALSE)),"")</f>
        <v/>
      </c>
      <c r="T38" s="184" t="str">
        <f>IFERROR(IF(VLOOKUP(Fri_W1[[#This Row],[Employee Name]],'Base Schedules'!$A$1:$AW$44,19,FALSE)="","",VLOOKUP(Fri_W1[[#This Row],[Employee Name]],'Base Schedules'!$A$1:$AW$44,19,FALSE)),"")</f>
        <v/>
      </c>
      <c r="U38" s="184" t="str">
        <f>IFERROR(IF(VLOOKUP(Fri_W1[[#This Row],[Employee Name]],'Base Schedules'!$A$1:$AW$44,20,FALSE)="","",VLOOKUP(Fri_W1[[#This Row],[Employee Name]],'Base Schedules'!$A$1:$AW$44,20,FALSE)),"")</f>
        <v/>
      </c>
      <c r="V38" s="184" t="str">
        <f>IFERROR(IF(VLOOKUP(Fri_W1[[#This Row],[Employee Name]],'Base Schedules'!$A$1:$AW$44,21,FALSE)="","",VLOOKUP(Fri_W1[[#This Row],[Employee Name]],'Base Schedules'!$A$1:$AW$44,21,FALSE)),"")</f>
        <v/>
      </c>
      <c r="W38" s="184" t="str">
        <f>IFERROR(IF(VLOOKUP(Fri_W1[[#This Row],[Employee Name]],'Base Schedules'!$A$1:$AW$44,22,FALSE)="","",VLOOKUP(Fri_W1[[#This Row],[Employee Name]],'Base Schedules'!$A$1:$AW$44,22,FALSE)),"")</f>
        <v/>
      </c>
      <c r="X38" s="184" t="str">
        <f>IFERROR(IF(VLOOKUP(Fri_W1[[#This Row],[Employee Name]],'Base Schedules'!$A$1:$AW$44,23,FALSE)="","",VLOOKUP(Fri_W1[[#This Row],[Employee Name]],'Base Schedules'!$A$1:$AW$44,23,FALSE)),"")</f>
        <v/>
      </c>
      <c r="Y38" s="184" t="str">
        <f>IFERROR(IF(VLOOKUP(Fri_W1[[#This Row],[Employee Name]],'Base Schedules'!$A$1:$AW$44,24,FALSE)="","",VLOOKUP(Fri_W1[[#This Row],[Employee Name]],'Base Schedules'!$A$1:$AW$44,24,FALSE)),"")</f>
        <v>-</v>
      </c>
      <c r="Z38" s="184" t="str">
        <f>IFERROR(IF(VLOOKUP(Fri_W1[[#This Row],[Employee Name]],'Base Schedules'!$A$1:$AW$44,25,FALSE)="","",VLOOKUP(Fri_W1[[#This Row],[Employee Name]],'Base Schedules'!$A$1:$AW$44,25,FALSE)),"")</f>
        <v>-</v>
      </c>
      <c r="AA38" s="184" t="str">
        <f>IFERROR(IF(VLOOKUP(Fri_W1[[#This Row],[Employee Name]],'Base Schedules'!$A$1:$AW$44,26,FALSE)="","",VLOOKUP(Fri_W1[[#This Row],[Employee Name]],'Base Schedules'!$A$1:$AW$44,26,FALSE)),"")</f>
        <v>-</v>
      </c>
      <c r="AB38" s="184" t="str">
        <f>IFERROR(IF(VLOOKUP(Fri_W1[[#This Row],[Employee Name]],'Base Schedules'!$A$1:$AW$44,27,FALSE)="","",VLOOKUP(Fri_W1[[#This Row],[Employee Name]],'Base Schedules'!$A$1:$AW$44,27,FALSE)),"")</f>
        <v>-</v>
      </c>
      <c r="AC38" s="184" t="str">
        <f>IFERROR(IF(VLOOKUP(Fri_W1[[#This Row],[Employee Name]],'Base Schedules'!$A$1:$AW$44,28,FALSE)="","",VLOOKUP(Fri_W1[[#This Row],[Employee Name]],'Base Schedules'!$A$1:$AW$44,28,FALSE)),"")</f>
        <v>-</v>
      </c>
      <c r="AD38" s="184" t="str">
        <f>IFERROR(IF(VLOOKUP(Fri_W1[[#This Row],[Employee Name]],'Base Schedules'!$A$1:$AW$44,29,FALSE)="","",VLOOKUP(Fri_W1[[#This Row],[Employee Name]],'Base Schedules'!$A$1:$AW$44,29,FALSE)),"")</f>
        <v>Interview</v>
      </c>
      <c r="AE38" s="184" t="str">
        <f>IFERROR(IF(VLOOKUP(Fri_W1[[#This Row],[Employee Name]],'Base Schedules'!$A$1:$AW$44,30,FALSE)="","",VLOOKUP(Fri_W1[[#This Row],[Employee Name]],'Base Schedules'!$A$1:$AW$44,30,FALSE)),"")</f>
        <v>Interview</v>
      </c>
      <c r="AF38" s="184" t="str">
        <f>IFERROR(IF(VLOOKUP(Fri_W1[[#This Row],[Employee Name]],'Base Schedules'!$A$1:$AW$44,31,FALSE)="","",VLOOKUP(Fri_W1[[#This Row],[Employee Name]],'Base Schedules'!$A$1:$AW$44,31,FALSE)),"")</f>
        <v>-</v>
      </c>
      <c r="AG38" s="184" t="str">
        <f>IFERROR(IF(VLOOKUP(Fri_W1[[#This Row],[Employee Name]],'Base Schedules'!$A$1:$AW$44,32,FALSE)="","",VLOOKUP(Fri_W1[[#This Row],[Employee Name]],'Base Schedules'!$A$1:$AW$44,32,FALSE)),"")</f>
        <v>-</v>
      </c>
      <c r="AH38" s="184" t="str">
        <f>IFERROR(IF(VLOOKUP(Fri_W1[[#This Row],[Employee Name]],'Base Schedules'!$A$1:$AW$44,33,FALSE)="","",VLOOKUP(Fri_W1[[#This Row],[Employee Name]],'Base Schedules'!$A$1:$AW$44,33,FALSE)),"")</f>
        <v>-</v>
      </c>
      <c r="AI38" s="184" t="str">
        <f>IFERROR(IF(VLOOKUP(Fri_W1[[#This Row],[Employee Name]],'Base Schedules'!$A$1:$AW$44,34,FALSE)="","",VLOOKUP(Fri_W1[[#This Row],[Employee Name]],'Base Schedules'!$A$1:$AW$44,34,FALSE)),"")</f>
        <v>-</v>
      </c>
      <c r="AJ38" s="184" t="str">
        <f>IFERROR(IF(VLOOKUP(Fri_W1[[#This Row],[Employee Name]],'Base Schedules'!$A$1:$AW$44,35,FALSE)="","",VLOOKUP(Fri_W1[[#This Row],[Employee Name]],'Base Schedules'!$A$1:$AW$44,35,FALSE)),"")</f>
        <v>-</v>
      </c>
      <c r="AK38" s="184" t="str">
        <f>IFERROR(IF(VLOOKUP(Fri_W1[[#This Row],[Employee Name]],'Base Schedules'!$A$1:$AW$44,36,FALSE)="","",VLOOKUP(Fri_W1[[#This Row],[Employee Name]],'Base Schedules'!$A$1:$AW$44,36,FALSE)),"")</f>
        <v>Coaching</v>
      </c>
      <c r="AL38" s="184" t="str">
        <f>IFERROR(IF(VLOOKUP(Fri_W1[[#This Row],[Employee Name]],'Base Schedules'!$A$1:$AW$44,37,FALSE)="","",VLOOKUP(Fri_W1[[#This Row],[Employee Name]],'Base Schedules'!$A$1:$AW$44,37,FALSE)),"")</f>
        <v>Coaching</v>
      </c>
      <c r="AM38" s="184" t="str">
        <f>IFERROR(IF(VLOOKUP(Fri_W1[[#This Row],[Employee Name]],'Base Schedules'!$A$1:$AW$44,38,FALSE)="","",VLOOKUP(Fri_W1[[#This Row],[Employee Name]],'Base Schedules'!$A$1:$AW$44,38,FALSE)),"")</f>
        <v>Coaching</v>
      </c>
      <c r="AN38" s="184" t="str">
        <f>IFERROR(IF(VLOOKUP(Fri_W1[[#This Row],[Employee Name]],'Base Schedules'!$A$1:$AW$44,39,FALSE)="","",VLOOKUP(Fri_W1[[#This Row],[Employee Name]],'Base Schedules'!$A$1:$AW$44,39,FALSE)),"")</f>
        <v>Coaching</v>
      </c>
      <c r="AO38" s="184" t="str">
        <f>IFERROR(IF(VLOOKUP(Fri_W1[[#This Row],[Employee Name]],'Base Schedules'!$A$1:$AW$44,40,FALSE)="","",VLOOKUP(Fri_W1[[#This Row],[Employee Name]],'Base Schedules'!$A$1:$AW$44,40,FALSE)),"")</f>
        <v>-</v>
      </c>
      <c r="AP38" s="184" t="str">
        <f>IFERROR(IF(VLOOKUP(Fri_W1[[#This Row],[Employee Name]],'Base Schedules'!$A$1:$AW$44,41,FALSE)="","",VLOOKUP(Fri_W1[[#This Row],[Employee Name]],'Base Schedules'!$A$1:$AW$44,41,FALSE)),"")</f>
        <v>-</v>
      </c>
      <c r="AQ38" s="184" t="str">
        <f>IFERROR(IF(VLOOKUP(Fri_W1[[#This Row],[Employee Name]],'Base Schedules'!$A$1:$AW$44,42,FALSE)="","",VLOOKUP(Fri_W1[[#This Row],[Employee Name]],'Base Schedules'!$A$1:$AW$44,42,FALSE)),"")</f>
        <v>-</v>
      </c>
      <c r="AR38" s="184" t="str">
        <f>IFERROR(IF(VLOOKUP(Fri_W1[[#This Row],[Employee Name]],'Base Schedules'!$A$1:$AW$44,43,FALSE)="","",VLOOKUP(Fri_W1[[#This Row],[Employee Name]],'Base Schedules'!$A$1:$AW$44,43,FALSE)),"")</f>
        <v/>
      </c>
      <c r="AS38" s="184" t="str">
        <f>IFERROR(IF(VLOOKUP(Fri_W1[[#This Row],[Employee Name]],'Base Schedules'!$A$1:$AW$44,44,FALSE)="","",VLOOKUP(Fri_W1[[#This Row],[Employee Name]],'Base Schedules'!$A$1:$AW$44,44,FALSE)),"")</f>
        <v/>
      </c>
      <c r="AT38" s="184" t="str">
        <f>IFERROR(IF(VLOOKUP(Fri_W1[[#This Row],[Employee Name]],'Base Schedules'!$A$1:$AW$44,45,FALSE)="","",VLOOKUP(Fri_W1[[#This Row],[Employee Name]],'Base Schedules'!$A$1:$AW$44,45,FALSE)),"")</f>
        <v/>
      </c>
      <c r="AU38" s="184" t="str">
        <f>IFERROR(IF(VLOOKUP(Fri_W1[[#This Row],[Employee Name]],'Base Schedules'!$A$1:$AW$44,46,FALSE)="","",VLOOKUP(Fri_W1[[#This Row],[Employee Name]],'Base Schedules'!$A$1:$AW$44,46,FALSE)),"")</f>
        <v/>
      </c>
      <c r="AV38" s="184" t="str">
        <f>IFERROR(IF(VLOOKUP(Fri_W1[[#This Row],[Employee Name]],'Base Schedules'!$A$1:$AW$44,47,FALSE)="","",VLOOKUP(Fri_W1[[#This Row],[Employee Name]],'Base Schedules'!$A$1:$AW$44,47,FALSE)),"")</f>
        <v/>
      </c>
      <c r="AW38" s="184" t="str">
        <f>IFERROR(IF(VLOOKUP(Fri_W1[[#This Row],[Employee Name]],'Base Schedules'!$A$1:$AW$44,48,FALSE)="","",VLOOKUP(Fri_W1[[#This Row],[Employee Name]],'Base Schedules'!$A$1:$AW$44,48,FALSE)),"")</f>
        <v/>
      </c>
      <c r="AX38" s="184" t="str">
        <f>IFERROR(IF(VLOOKUP(Fri_W1[[#This Row],[Employee Name]],'Base Schedules'!$A$1:$AW$44,49,FALSE)="","",VLOOKUP(Fri_W1[[#This Row],[Employee Name]],'Base Schedules'!$A$1:$AW$44,49,FALSE)),"")</f>
        <v/>
      </c>
      <c r="AY38" s="245" t="str">
        <f t="shared" si="2"/>
        <v>Aguilar, Angelica</v>
      </c>
    </row>
    <row r="39" spans="1:51" s="44" customFormat="1" ht="11.25" customHeight="1" x14ac:dyDescent="0.2">
      <c r="A39" s="39" t="str">
        <f>IF(B39="","",INDEX(TeamList[],MATCH($B39,TeamList[[Employee Name]:[Employee Name]],0),MATCH("Manager",TeamList[#Headers],0)))</f>
        <v>Ahmed Hassan, Zahra</v>
      </c>
      <c r="B39" s="202" t="s">
        <v>23</v>
      </c>
      <c r="C39" s="257" t="str">
        <f>_xlfn.IFNA(VLOOKUP(Fri_W1[[#This Row],[Employee Name]],'Base Schedules'!A:B,2,FALSE),"")</f>
        <v>Supervisor</v>
      </c>
      <c r="D39" s="274">
        <f>_xlfn.IFNA(VLOOKUP(Fri_W1[[#This Row],[Employee Name]],'Base Schedules'!A:C,3,FALSE),"")</f>
        <v>1230</v>
      </c>
      <c r="E39" s="274">
        <f>_xlfn.IFNA(VLOOKUP(Fri_W1[[#This Row],[Employee Name]],'Base Schedules'!A:D,4,FALSE),"")</f>
        <v>2130</v>
      </c>
      <c r="F39" s="142">
        <f>IF(Fri_W1[[#This Row],[Employee Name]]="","",IF(Fri_W1[[#This Row],[Dept]]="Supervisor",COUNTIFS($J39:$AX39,"*HL*",$J39:$AX39,"&lt;&gt;"&amp;"pHL"),COUNTIFS($J39:$AX39,"*HL*",$J39:$AX39,"&lt;&gt;"&amp;"*pHL*",$J39:$AX39,"&lt;&gt;"&amp;"pB1 HL",$J39:$AX39,"&lt;&gt;"&amp;"pB2 HL")-SUM(COUNTIFS($J39:$AX39,"*HL B1*",$J39:$AX39,"&lt;&gt;"&amp;"pHL B1")*0.5,COUNTIFS($J39:$AX39,"*HL B2*",$J39:$AX39,"&lt;&gt;"&amp;"pHL B2")*0.5,COUNTIFS($J39:$AX39,"*B1 HL*",$J39:$AX39,"&lt;&gt;"&amp;"pB1 HL")*0.5,COUNTIFS($J39:$AX39,"*B2 HL*",$J39:$AX39,"&lt;&gt;"&amp;"pB2 HL")*0.5)))</f>
        <v>0</v>
      </c>
      <c r="G39" s="142">
        <f t="shared" si="3"/>
        <v>4</v>
      </c>
      <c r="H39" s="142">
        <f t="shared" si="1"/>
        <v>0</v>
      </c>
      <c r="I39" s="142">
        <f>IF(Fri_W1[[#This Row],[Employee Name]]="","",IF(Fri_W1[[#This Row],[Dept]]="Supervisor",SUM(COUNTIFS($J39:$AX39,"RTA*",$J39:$AX39,"&lt;&gt;"&amp;"pRTA"),COUNTIFS($J39:$AX39,"*CRTA*",$J39:$AX39,"&lt;&gt;"&amp;"pCRTA")),COUNTIFS($J39:$AX39,"*RNNR*",$J39:$AX39,"&lt;&gt;"&amp;"*pRNNR*",$J39:$AX39,"&lt;&gt;"&amp;"pB1 RNNR",$J39:$AX39,"&lt;&gt;"&amp;"pB2 RNNR")-SUM(COUNTIFS($J39:$AX39,"*RNNR B1*",$J39:$AX39,"&lt;&gt;"&amp;"pRNNR B1")*0.5,COUNTIFS($J39:$AX39,"*RNNR B2*",$J39:$AX39,"&lt;&gt;"&amp;"pRNNR B2")*0.5,COUNTIFS($J39:$AX39,"*B1 RNNR*",$J39:$AX39,"&lt;&gt;"&amp;"pB1 RNNR")*0.5,COUNTIFS($J39:$AX39,"*B2 RNNR*",$J39:$AX39,"&lt;&gt;"&amp;"pB2 RNNR")*0.5)))</f>
        <v>0</v>
      </c>
      <c r="J39" s="184" t="str">
        <f>IFERROR(IF(VLOOKUP(Fri_W1[[#This Row],[Employee Name]],'Base Schedules'!$A$1:$AW$44,9,FALSE)="","",VLOOKUP(Fri_W1[[#This Row],[Employee Name]],'Base Schedules'!$A$1:$AW$44,9,FALSE)),"")</f>
        <v/>
      </c>
      <c r="K39" s="184" t="str">
        <f>IFERROR(IF(VLOOKUP(Fri_W1[[#This Row],[Employee Name]],'Base Schedules'!$A$1:$AW$44,10,FALSE)="","",VLOOKUP(Fri_W1[[#This Row],[Employee Name]],'Base Schedules'!$A$1:$AW$44,10,FALSE)),"")</f>
        <v/>
      </c>
      <c r="L39" s="184" t="str">
        <f>IFERROR(IF(VLOOKUP(Fri_W1[[#This Row],[Employee Name]],'Base Schedules'!$A$1:$AW$44,11,FALSE)="","",VLOOKUP(Fri_W1[[#This Row],[Employee Name]],'Base Schedules'!$A$1:$AW$44,11,FALSE)),"")</f>
        <v/>
      </c>
      <c r="M39" s="184" t="str">
        <f>IFERROR(IF(VLOOKUP(Fri_W1[[#This Row],[Employee Name]],'Base Schedules'!$A$1:$AW$44,12,FALSE)="","",VLOOKUP(Fri_W1[[#This Row],[Employee Name]],'Base Schedules'!$A$1:$AW$44,12,FALSE)),"")</f>
        <v/>
      </c>
      <c r="N39" s="184" t="str">
        <f>IFERROR(IF(VLOOKUP(Fri_W1[[#This Row],[Employee Name]],'Base Schedules'!$A$1:$AW$44,13,FALSE)="","",VLOOKUP(Fri_W1[[#This Row],[Employee Name]],'Base Schedules'!$A$1:$AW$44,13,FALSE)),"")</f>
        <v/>
      </c>
      <c r="O39" s="184" t="str">
        <f>IFERROR(IF(VLOOKUP(Fri_W1[[#This Row],[Employee Name]],'Base Schedules'!$A$1:$AW$44,14,FALSE)="","",VLOOKUP(Fri_W1[[#This Row],[Employee Name]],'Base Schedules'!$A$1:$AW$44,14,FALSE)),"")</f>
        <v/>
      </c>
      <c r="P39" s="184" t="str">
        <f>IFERROR(IF(VLOOKUP(Fri_W1[[#This Row],[Employee Name]],'Base Schedules'!$A$1:$AW$44,15,FALSE)="","",VLOOKUP(Fri_W1[[#This Row],[Employee Name]],'Base Schedules'!$A$1:$AW$44,15,FALSE)),"")</f>
        <v/>
      </c>
      <c r="Q39" s="184" t="str">
        <f>IFERROR(IF(VLOOKUP(Fri_W1[[#This Row],[Employee Name]],'Base Schedules'!$A$1:$AW$44,16,FALSE)="","",VLOOKUP(Fri_W1[[#This Row],[Employee Name]],'Base Schedules'!$A$1:$AW$44,16,FALSE)),"")</f>
        <v/>
      </c>
      <c r="R39" s="184" t="str">
        <f>IFERROR(IF(VLOOKUP(Fri_W1[[#This Row],[Employee Name]],'Base Schedules'!$A$1:$AW$44,17,FALSE)="","",VLOOKUP(Fri_W1[[#This Row],[Employee Name]],'Base Schedules'!$A$1:$AW$44,17,FALSE)),"")</f>
        <v/>
      </c>
      <c r="S39" s="184" t="str">
        <f>IFERROR(IF(VLOOKUP(Fri_W1[[#This Row],[Employee Name]],'Base Schedules'!$A$1:$AW$44,18,FALSE)="","",VLOOKUP(Fri_W1[[#This Row],[Employee Name]],'Base Schedules'!$A$1:$AW$44,18,FALSE)),"")</f>
        <v/>
      </c>
      <c r="T39" s="184" t="str">
        <f>IFERROR(IF(VLOOKUP(Fri_W1[[#This Row],[Employee Name]],'Base Schedules'!$A$1:$AW$44,19,FALSE)="","",VLOOKUP(Fri_W1[[#This Row],[Employee Name]],'Base Schedules'!$A$1:$AW$44,19,FALSE)),"")</f>
        <v/>
      </c>
      <c r="U39" s="184" t="str">
        <f>IFERROR(IF(VLOOKUP(Fri_W1[[#This Row],[Employee Name]],'Base Schedules'!$A$1:$AW$44,20,FALSE)="","",VLOOKUP(Fri_W1[[#This Row],[Employee Name]],'Base Schedules'!$A$1:$AW$44,20,FALSE)),"")</f>
        <v/>
      </c>
      <c r="V39" s="184" t="str">
        <f>IFERROR(IF(VLOOKUP(Fri_W1[[#This Row],[Employee Name]],'Base Schedules'!$A$1:$AW$44,21,FALSE)="","",VLOOKUP(Fri_W1[[#This Row],[Employee Name]],'Base Schedules'!$A$1:$AW$44,21,FALSE)),"")</f>
        <v/>
      </c>
      <c r="W39" s="184" t="str">
        <f>IFERROR(IF(VLOOKUP(Fri_W1[[#This Row],[Employee Name]],'Base Schedules'!$A$1:$AW$44,22,FALSE)="","",VLOOKUP(Fri_W1[[#This Row],[Employee Name]],'Base Schedules'!$A$1:$AW$44,22,FALSE)),"")</f>
        <v/>
      </c>
      <c r="X39" s="184" t="str">
        <f>IFERROR(IF(VLOOKUP(Fri_W1[[#This Row],[Employee Name]],'Base Schedules'!$A$1:$AW$44,23,FALSE)="","",VLOOKUP(Fri_W1[[#This Row],[Employee Name]],'Base Schedules'!$A$1:$AW$44,23,FALSE)),"")</f>
        <v/>
      </c>
      <c r="Y39" s="184" t="str">
        <f>IFERROR(IF(VLOOKUP(Fri_W1[[#This Row],[Employee Name]],'Base Schedules'!$A$1:$AW$44,24,FALSE)="","",VLOOKUP(Fri_W1[[#This Row],[Employee Name]],'Base Schedules'!$A$1:$AW$44,24,FALSE)),"")</f>
        <v>-</v>
      </c>
      <c r="Z39" s="184" t="str">
        <f>IFERROR(IF(VLOOKUP(Fri_W1[[#This Row],[Employee Name]],'Base Schedules'!$A$1:$AW$44,25,FALSE)="","",VLOOKUP(Fri_W1[[#This Row],[Employee Name]],'Base Schedules'!$A$1:$AW$44,25,FALSE)),"")</f>
        <v>Coaching</v>
      </c>
      <c r="AA39" s="184" t="str">
        <f>IFERROR(IF(VLOOKUP(Fri_W1[[#This Row],[Employee Name]],'Base Schedules'!$A$1:$AW$44,26,FALSE)="","",VLOOKUP(Fri_W1[[#This Row],[Employee Name]],'Base Schedules'!$A$1:$AW$44,26,FALSE)),"")</f>
        <v>Coaching</v>
      </c>
      <c r="AB39" s="184" t="str">
        <f>IFERROR(IF(VLOOKUP(Fri_W1[[#This Row],[Employee Name]],'Base Schedules'!$A$1:$AW$44,27,FALSE)="","",VLOOKUP(Fri_W1[[#This Row],[Employee Name]],'Base Schedules'!$A$1:$AW$44,27,FALSE)),"")</f>
        <v>Coaching</v>
      </c>
      <c r="AC39" s="184" t="str">
        <f>IFERROR(IF(VLOOKUP(Fri_W1[[#This Row],[Employee Name]],'Base Schedules'!$A$1:$AW$44,28,FALSE)="","",VLOOKUP(Fri_W1[[#This Row],[Employee Name]],'Base Schedules'!$A$1:$AW$44,28,FALSE)),"")</f>
        <v>Coaching</v>
      </c>
      <c r="AD39" s="184" t="str">
        <f>IFERROR(IF(VLOOKUP(Fri_W1[[#This Row],[Employee Name]],'Base Schedules'!$A$1:$AW$44,29,FALSE)="","",VLOOKUP(Fri_W1[[#This Row],[Employee Name]],'Base Schedules'!$A$1:$AW$44,29,FALSE)),"")</f>
        <v>-</v>
      </c>
      <c r="AE39" s="184" t="str">
        <f>IFERROR(IF(VLOOKUP(Fri_W1[[#This Row],[Employee Name]],'Base Schedules'!$A$1:$AW$44,30,FALSE)="","",VLOOKUP(Fri_W1[[#This Row],[Employee Name]],'Base Schedules'!$A$1:$AW$44,30,FALSE)),"")</f>
        <v>-</v>
      </c>
      <c r="AF39" s="184" t="str">
        <f>IFERROR(IF(VLOOKUP(Fri_W1[[#This Row],[Employee Name]],'Base Schedules'!$A$1:$AW$44,31,FALSE)="","",VLOOKUP(Fri_W1[[#This Row],[Employee Name]],'Base Schedules'!$A$1:$AW$44,31,FALSE)),"")</f>
        <v>Interview</v>
      </c>
      <c r="AG39" s="184" t="str">
        <f>IFERROR(IF(VLOOKUP(Fri_W1[[#This Row],[Employee Name]],'Base Schedules'!$A$1:$AW$44,32,FALSE)="","",VLOOKUP(Fri_W1[[#This Row],[Employee Name]],'Base Schedules'!$A$1:$AW$44,32,FALSE)),"")</f>
        <v>Interview</v>
      </c>
      <c r="AH39" s="184" t="str">
        <f>IFERROR(IF(VLOOKUP(Fri_W1[[#This Row],[Employee Name]],'Base Schedules'!$A$1:$AW$44,33,FALSE)="","",VLOOKUP(Fri_W1[[#This Row],[Employee Name]],'Base Schedules'!$A$1:$AW$44,33,FALSE)),"")</f>
        <v>-</v>
      </c>
      <c r="AI39" s="184" t="str">
        <f>IFERROR(IF(VLOOKUP(Fri_W1[[#This Row],[Employee Name]],'Base Schedules'!$A$1:$AW$44,34,FALSE)="","",VLOOKUP(Fri_W1[[#This Row],[Employee Name]],'Base Schedules'!$A$1:$AW$44,34,FALSE)),"")</f>
        <v>-</v>
      </c>
      <c r="AJ39" s="184" t="str">
        <f>IFERROR(IF(VLOOKUP(Fri_W1[[#This Row],[Employee Name]],'Base Schedules'!$A$1:$AW$44,35,FALSE)="","",VLOOKUP(Fri_W1[[#This Row],[Employee Name]],'Base Schedules'!$A$1:$AW$44,35,FALSE)),"")</f>
        <v>-</v>
      </c>
      <c r="AK39" s="184" t="str">
        <f>IFERROR(IF(VLOOKUP(Fri_W1[[#This Row],[Employee Name]],'Base Schedules'!$A$1:$AW$44,36,FALSE)="","",VLOOKUP(Fri_W1[[#This Row],[Employee Name]],'Base Schedules'!$A$1:$AW$44,36,FALSE)),"")</f>
        <v>-</v>
      </c>
      <c r="AL39" s="184" t="str">
        <f>IFERROR(IF(VLOOKUP(Fri_W1[[#This Row],[Employee Name]],'Base Schedules'!$A$1:$AW$44,37,FALSE)="","",VLOOKUP(Fri_W1[[#This Row],[Employee Name]],'Base Schedules'!$A$1:$AW$44,37,FALSE)),"")</f>
        <v>-</v>
      </c>
      <c r="AM39" s="184" t="str">
        <f>IFERROR(IF(VLOOKUP(Fri_W1[[#This Row],[Employee Name]],'Base Schedules'!$A$1:$AW$44,38,FALSE)="","",VLOOKUP(Fri_W1[[#This Row],[Employee Name]],'Base Schedules'!$A$1:$AW$44,38,FALSE)),"")</f>
        <v>-</v>
      </c>
      <c r="AN39" s="184" t="str">
        <f>IFERROR(IF(VLOOKUP(Fri_W1[[#This Row],[Employee Name]],'Base Schedules'!$A$1:$AW$44,39,FALSE)="","",VLOOKUP(Fri_W1[[#This Row],[Employee Name]],'Base Schedules'!$A$1:$AW$44,39,FALSE)),"")</f>
        <v>-</v>
      </c>
      <c r="AO39" s="184" t="str">
        <f>IFERROR(IF(VLOOKUP(Fri_W1[[#This Row],[Employee Name]],'Base Schedules'!$A$1:$AW$44,40,FALSE)="","",VLOOKUP(Fri_W1[[#This Row],[Employee Name]],'Base Schedules'!$A$1:$AW$44,40,FALSE)),"")</f>
        <v>-</v>
      </c>
      <c r="AP39" s="184" t="str">
        <f>IFERROR(IF(VLOOKUP(Fri_W1[[#This Row],[Employee Name]],'Base Schedules'!$A$1:$AW$44,41,FALSE)="","",VLOOKUP(Fri_W1[[#This Row],[Employee Name]],'Base Schedules'!$A$1:$AW$44,41,FALSE)),"")</f>
        <v>-</v>
      </c>
      <c r="AQ39" s="184" t="str">
        <f>IFERROR(IF(VLOOKUP(Fri_W1[[#This Row],[Employee Name]],'Base Schedules'!$A$1:$AW$44,42,FALSE)="","",VLOOKUP(Fri_W1[[#This Row],[Employee Name]],'Base Schedules'!$A$1:$AW$44,42,FALSE)),"")</f>
        <v/>
      </c>
      <c r="AR39" s="184" t="str">
        <f>IFERROR(IF(VLOOKUP(Fri_W1[[#This Row],[Employee Name]],'Base Schedules'!$A$1:$AW$44,43,FALSE)="","",VLOOKUP(Fri_W1[[#This Row],[Employee Name]],'Base Schedules'!$A$1:$AW$44,43,FALSE)),"")</f>
        <v/>
      </c>
      <c r="AS39" s="184" t="str">
        <f>IFERROR(IF(VLOOKUP(Fri_W1[[#This Row],[Employee Name]],'Base Schedules'!$A$1:$AW$44,44,FALSE)="","",VLOOKUP(Fri_W1[[#This Row],[Employee Name]],'Base Schedules'!$A$1:$AW$44,44,FALSE)),"")</f>
        <v/>
      </c>
      <c r="AT39" s="184" t="str">
        <f>IFERROR(IF(VLOOKUP(Fri_W1[[#This Row],[Employee Name]],'Base Schedules'!$A$1:$AW$44,45,FALSE)="","",VLOOKUP(Fri_W1[[#This Row],[Employee Name]],'Base Schedules'!$A$1:$AW$44,45,FALSE)),"")</f>
        <v/>
      </c>
      <c r="AU39" s="184" t="str">
        <f>IFERROR(IF(VLOOKUP(Fri_W1[[#This Row],[Employee Name]],'Base Schedules'!$A$1:$AW$44,46,FALSE)="","",VLOOKUP(Fri_W1[[#This Row],[Employee Name]],'Base Schedules'!$A$1:$AW$44,46,FALSE)),"")</f>
        <v/>
      </c>
      <c r="AV39" s="184" t="str">
        <f>IFERROR(IF(VLOOKUP(Fri_W1[[#This Row],[Employee Name]],'Base Schedules'!$A$1:$AW$44,47,FALSE)="","",VLOOKUP(Fri_W1[[#This Row],[Employee Name]],'Base Schedules'!$A$1:$AW$44,47,FALSE)),"")</f>
        <v/>
      </c>
      <c r="AW39" s="184" t="str">
        <f>IFERROR(IF(VLOOKUP(Fri_W1[[#This Row],[Employee Name]],'Base Schedules'!$A$1:$AW$44,48,FALSE)="","",VLOOKUP(Fri_W1[[#This Row],[Employee Name]],'Base Schedules'!$A$1:$AW$44,48,FALSE)),"")</f>
        <v/>
      </c>
      <c r="AX39" s="184" t="str">
        <f>IFERROR(IF(VLOOKUP(Fri_W1[[#This Row],[Employee Name]],'Base Schedules'!$A$1:$AW$44,49,FALSE)="","",VLOOKUP(Fri_W1[[#This Row],[Employee Name]],'Base Schedules'!$A$1:$AW$44,49,FALSE)),"")</f>
        <v/>
      </c>
      <c r="AY39" s="245" t="str">
        <f t="shared" si="2"/>
        <v>McFall, Erin</v>
      </c>
    </row>
    <row r="40" spans="1:51" s="44" customFormat="1" ht="11.25" customHeight="1" x14ac:dyDescent="0.2">
      <c r="A40" s="39" t="e">
        <f>IF(B40="","",INDEX(TeamList[],MATCH($B40,TeamList[[Employee Name]:[Employee Name]],0),MATCH("Manager",TeamList[#Headers],0)))</f>
        <v>#N/A</v>
      </c>
      <c r="B40" s="201" t="s">
        <v>587</v>
      </c>
      <c r="C40" s="257" t="str">
        <f>_xlfn.IFNA(VLOOKUP(Fri_W1[[#This Row],[Employee Name]],'Base Schedules'!A:B,2,FALSE),"")</f>
        <v>Lead</v>
      </c>
      <c r="D40" s="274">
        <f>_xlfn.IFNA(VLOOKUP(Fri_W1[[#This Row],[Employee Name]],'Base Schedules'!A:C,3,FALSE),"")</f>
        <v>1230</v>
      </c>
      <c r="E40" s="274">
        <f>_xlfn.IFNA(VLOOKUP(Fri_W1[[#This Row],[Employee Name]],'Base Schedules'!A:D,4,FALSE),"")</f>
        <v>2100</v>
      </c>
      <c r="F40" s="142">
        <f>IF(Fri_W1[[#This Row],[Employee Name]]="","",IF(Fri_W1[[#This Row],[Dept]]="Supervisor",COUNTIFS($J40:$AX40,"*HL*",$J40:$AX40,"&lt;&gt;"&amp;"pHL"),COUNTIFS($J40:$AX40,"*HL*",$J40:$AX40,"&lt;&gt;"&amp;"*pHL*",$J40:$AX40,"&lt;&gt;"&amp;"pB1 HL",$J40:$AX40,"&lt;&gt;"&amp;"pB2 HL")-SUM(COUNTIFS($J40:$AX40,"*HL B1*",$J40:$AX40,"&lt;&gt;"&amp;"pHL B1")*0.5,COUNTIFS($J40:$AX40,"*HL B2*",$J40:$AX40,"&lt;&gt;"&amp;"pHL B2")*0.5,COUNTIFS($J40:$AX40,"*B1 HL*",$J40:$AX40,"&lt;&gt;"&amp;"pB1 HL")*0.5,COUNTIFS($J40:$AX40,"*B2 HL*",$J40:$AX40,"&lt;&gt;"&amp;"pB2 HL")*0.5)))</f>
        <v>8.5</v>
      </c>
      <c r="G40" s="142">
        <f>IF(B40="","",COUNTIFS($J40:$AX40,"*TM*",$J40:$AX40,"&lt;&gt;"&amp;"pTM",$J40:$AX40,"&lt;&gt;"&amp;"uTM"))</f>
        <v>0</v>
      </c>
      <c r="H40" s="142">
        <f t="shared" si="1"/>
        <v>5</v>
      </c>
      <c r="I40" s="142">
        <f>IF(Fri_W1[[#This Row],[Employee Name]]="","",IF(Fri_W1[[#This Row],[Dept]]="Supervisor",SUM(COUNTIFS($J40:$AX40,"RTA*",$J40:$AX40,"&lt;&gt;"&amp;"pRTA"),COUNTIFS($J40:$AX40,"*CRTA*",$J40:$AX40,"&lt;&gt;"&amp;"pCRTA")),COUNTIFS($J40:$AX40,"*RNNR*",$J40:$AX40,"&lt;&gt;"&amp;"*pRNNR*",$J40:$AX40,"&lt;&gt;"&amp;"pB1 RNNR",$J40:$AX40,"&lt;&gt;"&amp;"pB2 RNNR")-SUM(COUNTIFS($J40:$AX40,"*RNNR B1*",$J40:$AX40,"&lt;&gt;"&amp;"pRNNR B1")*0.5,COUNTIFS($J40:$AX40,"*RNNR B2*",$J40:$AX40,"&lt;&gt;"&amp;"pRNNR B2")*0.5,COUNTIFS($J40:$AX40,"*B1 RNNR*",$J40:$AX40,"&lt;&gt;"&amp;"pB1 RNNR")*0.5,COUNTIFS($J40:$AX40,"*B2 RNNR*",$J40:$AX40,"&lt;&gt;"&amp;"pB2 RNNR")*0.5)))</f>
        <v>2</v>
      </c>
      <c r="J40" s="184" t="str">
        <f>IFERROR(IF(VLOOKUP(Fri_W1[[#This Row],[Employee Name]],'Base Schedules'!$A$1:$AW$44,9,FALSE)="","",VLOOKUP(Fri_W1[[#This Row],[Employee Name]],'Base Schedules'!$A$1:$AW$44,9,FALSE)),"")</f>
        <v/>
      </c>
      <c r="K40" s="184" t="str">
        <f>IFERROR(IF(VLOOKUP(Fri_W1[[#This Row],[Employee Name]],'Base Schedules'!$A$1:$AW$44,10,FALSE)="","",VLOOKUP(Fri_W1[[#This Row],[Employee Name]],'Base Schedules'!$A$1:$AW$44,10,FALSE)),"")</f>
        <v/>
      </c>
      <c r="L40" s="184" t="str">
        <f>IFERROR(IF(VLOOKUP(Fri_W1[[#This Row],[Employee Name]],'Base Schedules'!$A$1:$AW$44,11,FALSE)="","",VLOOKUP(Fri_W1[[#This Row],[Employee Name]],'Base Schedules'!$A$1:$AW$44,11,FALSE)),"")</f>
        <v/>
      </c>
      <c r="M40" s="184" t="str">
        <f>IFERROR(IF(VLOOKUP(Fri_W1[[#This Row],[Employee Name]],'Base Schedules'!$A$1:$AW$44,12,FALSE)="","",VLOOKUP(Fri_W1[[#This Row],[Employee Name]],'Base Schedules'!$A$1:$AW$44,12,FALSE)),"")</f>
        <v/>
      </c>
      <c r="N40" s="184" t="str">
        <f>IFERROR(IF(VLOOKUP(Fri_W1[[#This Row],[Employee Name]],'Base Schedules'!$A$1:$AW$44,13,FALSE)="","",VLOOKUP(Fri_W1[[#This Row],[Employee Name]],'Base Schedules'!$A$1:$AW$44,13,FALSE)),"")</f>
        <v/>
      </c>
      <c r="O40" s="184" t="str">
        <f>IFERROR(IF(VLOOKUP(Fri_W1[[#This Row],[Employee Name]],'Base Schedules'!$A$1:$AW$44,14,FALSE)="","",VLOOKUP(Fri_W1[[#This Row],[Employee Name]],'Base Schedules'!$A$1:$AW$44,14,FALSE)),"")</f>
        <v/>
      </c>
      <c r="P40" s="184" t="str">
        <f>IFERROR(IF(VLOOKUP(Fri_W1[[#This Row],[Employee Name]],'Base Schedules'!$A$1:$AW$44,15,FALSE)="","",VLOOKUP(Fri_W1[[#This Row],[Employee Name]],'Base Schedules'!$A$1:$AW$44,15,FALSE)),"")</f>
        <v/>
      </c>
      <c r="Q40" s="184" t="str">
        <f>IFERROR(IF(VLOOKUP(Fri_W1[[#This Row],[Employee Name]],'Base Schedules'!$A$1:$AW$44,16,FALSE)="","",VLOOKUP(Fri_W1[[#This Row],[Employee Name]],'Base Schedules'!$A$1:$AW$44,16,FALSE)),"")</f>
        <v/>
      </c>
      <c r="R40" s="184" t="str">
        <f>IFERROR(IF(VLOOKUP(Fri_W1[[#This Row],[Employee Name]],'Base Schedules'!$A$1:$AW$44,17,FALSE)="","",VLOOKUP(Fri_W1[[#This Row],[Employee Name]],'Base Schedules'!$A$1:$AW$44,17,FALSE)),"")</f>
        <v/>
      </c>
      <c r="S40" s="184" t="str">
        <f>IFERROR(IF(VLOOKUP(Fri_W1[[#This Row],[Employee Name]],'Base Schedules'!$A$1:$AW$44,18,FALSE)="","",VLOOKUP(Fri_W1[[#This Row],[Employee Name]],'Base Schedules'!$A$1:$AW$44,18,FALSE)),"")</f>
        <v/>
      </c>
      <c r="T40" s="184" t="str">
        <f>IFERROR(IF(VLOOKUP(Fri_W1[[#This Row],[Employee Name]],'Base Schedules'!$A$1:$AW$44,19,FALSE)="","",VLOOKUP(Fri_W1[[#This Row],[Employee Name]],'Base Schedules'!$A$1:$AW$44,19,FALSE)),"")</f>
        <v/>
      </c>
      <c r="U40" s="184" t="str">
        <f>IFERROR(IF(VLOOKUP(Fri_W1[[#This Row],[Employee Name]],'Base Schedules'!$A$1:$AW$44,20,FALSE)="","",VLOOKUP(Fri_W1[[#This Row],[Employee Name]],'Base Schedules'!$A$1:$AW$44,20,FALSE)),"")</f>
        <v/>
      </c>
      <c r="V40" s="184" t="str">
        <f>IFERROR(IF(VLOOKUP(Fri_W1[[#This Row],[Employee Name]],'Base Schedules'!$A$1:$AW$44,21,FALSE)="","",VLOOKUP(Fri_W1[[#This Row],[Employee Name]],'Base Schedules'!$A$1:$AW$44,21,FALSE)),"")</f>
        <v/>
      </c>
      <c r="W40" s="184" t="str">
        <f>IFERROR(IF(VLOOKUP(Fri_W1[[#This Row],[Employee Name]],'Base Schedules'!$A$1:$AW$44,22,FALSE)="","",VLOOKUP(Fri_W1[[#This Row],[Employee Name]],'Base Schedules'!$A$1:$AW$44,22,FALSE)),"")</f>
        <v/>
      </c>
      <c r="X40" s="184" t="str">
        <f>IFERROR(IF(VLOOKUP(Fri_W1[[#This Row],[Employee Name]],'Base Schedules'!$A$1:$AW$44,23,FALSE)="","",VLOOKUP(Fri_W1[[#This Row],[Employee Name]],'Base Schedules'!$A$1:$AW$44,23,FALSE)),"")</f>
        <v/>
      </c>
      <c r="Y40" s="184" t="str">
        <f>IFERROR(IF(VLOOKUP(Fri_W1[[#This Row],[Employee Name]],'Base Schedules'!$A$1:$AW$44,24,FALSE)="","",VLOOKUP(Fri_W1[[#This Row],[Employee Name]],'Base Schedules'!$A$1:$AW$44,24,FALSE)),"")</f>
        <v>HL</v>
      </c>
      <c r="Z40" s="184" t="str">
        <f>IFERROR(IF(VLOOKUP(Fri_W1[[#This Row],[Employee Name]],'Base Schedules'!$A$1:$AW$44,25,FALSE)="","",VLOOKUP(Fri_W1[[#This Row],[Employee Name]],'Base Schedules'!$A$1:$AW$44,25,FALSE)),"")</f>
        <v>HL</v>
      </c>
      <c r="AA40" s="184" t="str">
        <f>IFERROR(IF(VLOOKUP(Fri_W1[[#This Row],[Employee Name]],'Base Schedules'!$A$1:$AW$44,26,FALSE)="","",VLOOKUP(Fri_W1[[#This Row],[Employee Name]],'Base Schedules'!$A$1:$AW$44,26,FALSE)),"")</f>
        <v>HL B1</v>
      </c>
      <c r="AB40" s="184" t="str">
        <f>IFERROR(IF(VLOOKUP(Fri_W1[[#This Row],[Employee Name]],'Base Schedules'!$A$1:$AW$44,27,FALSE)="","",VLOOKUP(Fri_W1[[#This Row],[Employee Name]],'Base Schedules'!$A$1:$AW$44,27,FALSE)),"")</f>
        <v>HL</v>
      </c>
      <c r="AC40" s="184" t="str">
        <f>IFERROR(IF(VLOOKUP(Fri_W1[[#This Row],[Employee Name]],'Base Schedules'!$A$1:$AW$44,28,FALSE)="","",VLOOKUP(Fri_W1[[#This Row],[Employee Name]],'Base Schedules'!$A$1:$AW$44,28,FALSE)),"")</f>
        <v>HL</v>
      </c>
      <c r="AD40" s="184" t="str">
        <f>IFERROR(IF(VLOOKUP(Fri_W1[[#This Row],[Employee Name]],'Base Schedules'!$A$1:$AW$44,29,FALSE)="","",VLOOKUP(Fri_W1[[#This Row],[Employee Name]],'Base Schedules'!$A$1:$AW$44,29,FALSE)),"")</f>
        <v>RNNR</v>
      </c>
      <c r="AE40" s="184" t="str">
        <f>IFERROR(IF(VLOOKUP(Fri_W1[[#This Row],[Employee Name]],'Base Schedules'!$A$1:$AW$44,30,FALSE)="","",VLOOKUP(Fri_W1[[#This Row],[Employee Name]],'Base Schedules'!$A$1:$AW$44,30,FALSE)),"")</f>
        <v>RNNR</v>
      </c>
      <c r="AF40" s="184" t="str">
        <f>IFERROR(IF(VLOOKUP(Fri_W1[[#This Row],[Employee Name]],'Base Schedules'!$A$1:$AW$44,31,FALSE)="","",VLOOKUP(Fri_W1[[#This Row],[Employee Name]],'Base Schedules'!$A$1:$AW$44,31,FALSE)),"")</f>
        <v>LUNCH</v>
      </c>
      <c r="AG40" s="184" t="str">
        <f>IFERROR(IF(VLOOKUP(Fri_W1[[#This Row],[Employee Name]],'Base Schedules'!$A$1:$AW$44,32,FALSE)="","",VLOOKUP(Fri_W1[[#This Row],[Employee Name]],'Base Schedules'!$A$1:$AW$44,32,FALSE)),"")</f>
        <v>ADM</v>
      </c>
      <c r="AH40" s="184" t="str">
        <f>IFERROR(IF(VLOOKUP(Fri_W1[[#This Row],[Employee Name]],'Base Schedules'!$A$1:$AW$44,33,FALSE)="","",VLOOKUP(Fri_W1[[#This Row],[Employee Name]],'Base Schedules'!$A$1:$AW$44,33,FALSE)),"")</f>
        <v>HL</v>
      </c>
      <c r="AI40" s="184" t="str">
        <f>IFERROR(IF(VLOOKUP(Fri_W1[[#This Row],[Employee Name]],'Base Schedules'!$A$1:$AW$44,34,FALSE)="","",VLOOKUP(Fri_W1[[#This Row],[Employee Name]],'Base Schedules'!$A$1:$AW$44,34,FALSE)),"")</f>
        <v>HL</v>
      </c>
      <c r="AJ40" s="184" t="str">
        <f>IFERROR(IF(VLOOKUP(Fri_W1[[#This Row],[Employee Name]],'Base Schedules'!$A$1:$AW$44,35,FALSE)="","",VLOOKUP(Fri_W1[[#This Row],[Employee Name]],'Base Schedules'!$A$1:$AW$44,35,FALSE)),"")</f>
        <v>HL</v>
      </c>
      <c r="AK40" s="184" t="str">
        <f>IFERROR(IF(VLOOKUP(Fri_W1[[#This Row],[Employee Name]],'Base Schedules'!$A$1:$AW$44,36,FALSE)="","",VLOOKUP(Fri_W1[[#This Row],[Employee Name]],'Base Schedules'!$A$1:$AW$44,36,FALSE)),"")</f>
        <v>ADM</v>
      </c>
      <c r="AL40" s="184" t="str">
        <f>IFERROR(IF(VLOOKUP(Fri_W1[[#This Row],[Employee Name]],'Base Schedules'!$A$1:$AW$44,37,FALSE)="","",VLOOKUP(Fri_W1[[#This Row],[Employee Name]],'Base Schedules'!$A$1:$AW$44,37,FALSE)),"")</f>
        <v>B1 ADM</v>
      </c>
      <c r="AM40" s="184" t="str">
        <f>IFERROR(IF(VLOOKUP(Fri_W1[[#This Row],[Employee Name]],'Base Schedules'!$A$1:$AW$44,38,FALSE)="","",VLOOKUP(Fri_W1[[#This Row],[Employee Name]],'Base Schedules'!$A$1:$AW$44,38,FALSE)),"")</f>
        <v>ADM</v>
      </c>
      <c r="AN40" s="184" t="str">
        <f>IFERROR(IF(VLOOKUP(Fri_W1[[#This Row],[Employee Name]],'Base Schedules'!$A$1:$AW$44,39,FALSE)="","",VLOOKUP(Fri_W1[[#This Row],[Employee Name]],'Base Schedules'!$A$1:$AW$44,39,FALSE)),"")</f>
        <v>ADM</v>
      </c>
      <c r="AO40" s="184" t="str">
        <f>IFERROR(IF(VLOOKUP(Fri_W1[[#This Row],[Employee Name]],'Base Schedules'!$A$1:$AW$44,40,FALSE)="","",VLOOKUP(Fri_W1[[#This Row],[Employee Name]],'Base Schedules'!$A$1:$AW$44,40,FALSE)),"")</f>
        <v>HL</v>
      </c>
      <c r="AP40" s="184" t="str">
        <f>IFERROR(IF(VLOOKUP(Fri_W1[[#This Row],[Employee Name]],'Base Schedules'!$A$1:$AW$44,41,FALSE)="","",VLOOKUP(Fri_W1[[#This Row],[Employee Name]],'Base Schedules'!$A$1:$AW$44,41,FALSE)),"")</f>
        <v/>
      </c>
      <c r="AQ40" s="184" t="str">
        <f>IFERROR(IF(VLOOKUP(Fri_W1[[#This Row],[Employee Name]],'Base Schedules'!$A$1:$AW$44,42,FALSE)="","",VLOOKUP(Fri_W1[[#This Row],[Employee Name]],'Base Schedules'!$A$1:$AW$44,42,FALSE)),"")</f>
        <v/>
      </c>
      <c r="AR40" s="184" t="str">
        <f>IFERROR(IF(VLOOKUP(Fri_W1[[#This Row],[Employee Name]],'Base Schedules'!$A$1:$AW$44,43,FALSE)="","",VLOOKUP(Fri_W1[[#This Row],[Employee Name]],'Base Schedules'!$A$1:$AW$44,43,FALSE)),"")</f>
        <v/>
      </c>
      <c r="AS40" s="184" t="str">
        <f>IFERROR(IF(VLOOKUP(Fri_W1[[#This Row],[Employee Name]],'Base Schedules'!$A$1:$AW$44,44,FALSE)="","",VLOOKUP(Fri_W1[[#This Row],[Employee Name]],'Base Schedules'!$A$1:$AW$44,44,FALSE)),"")</f>
        <v/>
      </c>
      <c r="AT40" s="184" t="str">
        <f>IFERROR(IF(VLOOKUP(Fri_W1[[#This Row],[Employee Name]],'Base Schedules'!$A$1:$AW$44,45,FALSE)="","",VLOOKUP(Fri_W1[[#This Row],[Employee Name]],'Base Schedules'!$A$1:$AW$44,45,FALSE)),"")</f>
        <v/>
      </c>
      <c r="AU40" s="184" t="str">
        <f>IFERROR(IF(VLOOKUP(Fri_W1[[#This Row],[Employee Name]],'Base Schedules'!$A$1:$AW$44,46,FALSE)="","",VLOOKUP(Fri_W1[[#This Row],[Employee Name]],'Base Schedules'!$A$1:$AW$44,46,FALSE)),"")</f>
        <v/>
      </c>
      <c r="AV40" s="184" t="str">
        <f>IFERROR(IF(VLOOKUP(Fri_W1[[#This Row],[Employee Name]],'Base Schedules'!$A$1:$AW$44,47,FALSE)="","",VLOOKUP(Fri_W1[[#This Row],[Employee Name]],'Base Schedules'!$A$1:$AW$44,47,FALSE)),"")</f>
        <v/>
      </c>
      <c r="AW40" s="184" t="str">
        <f>IFERROR(IF(VLOOKUP(Fri_W1[[#This Row],[Employee Name]],'Base Schedules'!$A$1:$AW$44,48,FALSE)="","",VLOOKUP(Fri_W1[[#This Row],[Employee Name]],'Base Schedules'!$A$1:$AW$44,48,FALSE)),"")</f>
        <v/>
      </c>
      <c r="AX40" s="184" t="str">
        <f>IFERROR(IF(VLOOKUP(Fri_W1[[#This Row],[Employee Name]],'Base Schedules'!$A$1:$AW$44,49,FALSE)="","",VLOOKUP(Fri_W1[[#This Row],[Employee Name]],'Base Schedules'!$A$1:$AW$44,49,FALSE)),"")</f>
        <v/>
      </c>
      <c r="AY40" s="245" t="str">
        <f t="shared" si="2"/>
        <v>Mason, April</v>
      </c>
    </row>
    <row r="41" spans="1:51" s="44" customFormat="1" ht="11.25" customHeight="1" x14ac:dyDescent="0.2">
      <c r="A41" s="39" t="str">
        <f>IF(B41="","",INDEX(TeamList[],MATCH($B41,TeamList[[Employee Name]:[Employee Name]],0),MATCH("Manager",TeamList[#Headers],0)))</f>
        <v>Paulson, Matthew</v>
      </c>
      <c r="B41" s="201" t="s">
        <v>59</v>
      </c>
      <c r="C41" s="257" t="str">
        <f>_xlfn.IFNA(VLOOKUP(Fri_W1[[#This Row],[Employee Name]],'Base Schedules'!A:B,2,FALSE),"")</f>
        <v>Supervisor</v>
      </c>
      <c r="D41" s="274">
        <f>_xlfn.IFNA(VLOOKUP(Fri_W1[[#This Row],[Employee Name]],'Base Schedules'!A:C,3,FALSE),"")</f>
        <v>1300</v>
      </c>
      <c r="E41" s="274">
        <f>_xlfn.IFNA(VLOOKUP(Fri_W1[[#This Row],[Employee Name]],'Base Schedules'!A:D,4,FALSE),"")</f>
        <v>2200</v>
      </c>
      <c r="F41" s="142">
        <f>IF(Fri_W1[[#This Row],[Employee Name]]="","",IF(Fri_W1[[#This Row],[Dept]]="Supervisor",COUNTIFS($J41:$AX41,"*HL*",$J41:$AX41,"&lt;&gt;"&amp;"pHL"),COUNTIFS($J41:$AX41,"*HL*",$J41:$AX41,"&lt;&gt;"&amp;"*pHL*",$J41:$AX41,"&lt;&gt;"&amp;"pB1 HL",$J41:$AX41,"&lt;&gt;"&amp;"pB2 HL")-SUM(COUNTIFS($J41:$AX41,"*HL B1*",$J41:$AX41,"&lt;&gt;"&amp;"pHL B1")*0.5,COUNTIFS($J41:$AX41,"*HL B2*",$J41:$AX41,"&lt;&gt;"&amp;"pHL B2")*0.5,COUNTIFS($J41:$AX41,"*B1 HL*",$J41:$AX41,"&lt;&gt;"&amp;"pB1 HL")*0.5,COUNTIFS($J41:$AX41,"*B2 HL*",$J41:$AX41,"&lt;&gt;"&amp;"pB2 HL")*0.5)))</f>
        <v>0</v>
      </c>
      <c r="G41" s="142">
        <f>IF(B41="","",COUNTIFS($J41:$AX41,"*Coaching*",$J41:$AX41,"&lt;&gt;"&amp;"pTM",$J41:$AX41,"&lt;&gt;"&amp;"uTM"))</f>
        <v>4</v>
      </c>
      <c r="H41" s="142">
        <f t="shared" si="1"/>
        <v>0</v>
      </c>
      <c r="I41" s="142">
        <f>IF(Fri_W1[[#This Row],[Employee Name]]="","",IF(Fri_W1[[#This Row],[Dept]]="Supervisor",SUM(COUNTIFS($J41:$AX41,"RTA*",$J41:$AX41,"&lt;&gt;"&amp;"pRTA"),COUNTIFS($J41:$AX41,"*CRTA*",$J41:$AX41,"&lt;&gt;"&amp;"pCRTA")),COUNTIFS($J41:$AX41,"*RNNR*",$J41:$AX41,"&lt;&gt;"&amp;"*pRNNR*",$J41:$AX41,"&lt;&gt;"&amp;"pB1 RNNR",$J41:$AX41,"&lt;&gt;"&amp;"pB2 RNNR")-SUM(COUNTIFS($J41:$AX41,"*RNNR B1*",$J41:$AX41,"&lt;&gt;"&amp;"pRNNR B1")*0.5,COUNTIFS($J41:$AX41,"*RNNR B2*",$J41:$AX41,"&lt;&gt;"&amp;"pRNNR B2")*0.5,COUNTIFS($J41:$AX41,"*B1 RNNR*",$J41:$AX41,"&lt;&gt;"&amp;"pB1 RNNR")*0.5,COUNTIFS($J41:$AX41,"*B2 RNNR*",$J41:$AX41,"&lt;&gt;"&amp;"pB2 RNNR")*0.5)))</f>
        <v>0</v>
      </c>
      <c r="J41" s="184" t="str">
        <f>IFERROR(IF(VLOOKUP(Fri_W1[[#This Row],[Employee Name]],'Base Schedules'!$A$1:$AW$44,9,FALSE)="","",VLOOKUP(Fri_W1[[#This Row],[Employee Name]],'Base Schedules'!$A$1:$AW$44,9,FALSE)),"")</f>
        <v/>
      </c>
      <c r="K41" s="184" t="str">
        <f>IFERROR(IF(VLOOKUP(Fri_W1[[#This Row],[Employee Name]],'Base Schedules'!$A$1:$AW$44,10,FALSE)="","",VLOOKUP(Fri_W1[[#This Row],[Employee Name]],'Base Schedules'!$A$1:$AW$44,10,FALSE)),"")</f>
        <v/>
      </c>
      <c r="L41" s="184" t="str">
        <f>IFERROR(IF(VLOOKUP(Fri_W1[[#This Row],[Employee Name]],'Base Schedules'!$A$1:$AW$44,11,FALSE)="","",VLOOKUP(Fri_W1[[#This Row],[Employee Name]],'Base Schedules'!$A$1:$AW$44,11,FALSE)),"")</f>
        <v/>
      </c>
      <c r="M41" s="184" t="str">
        <f>IFERROR(IF(VLOOKUP(Fri_W1[[#This Row],[Employee Name]],'Base Schedules'!$A$1:$AW$44,12,FALSE)="","",VLOOKUP(Fri_W1[[#This Row],[Employee Name]],'Base Schedules'!$A$1:$AW$44,12,FALSE)),"")</f>
        <v/>
      </c>
      <c r="N41" s="184" t="str">
        <f>IFERROR(IF(VLOOKUP(Fri_W1[[#This Row],[Employee Name]],'Base Schedules'!$A$1:$AW$44,13,FALSE)="","",VLOOKUP(Fri_W1[[#This Row],[Employee Name]],'Base Schedules'!$A$1:$AW$44,13,FALSE)),"")</f>
        <v/>
      </c>
      <c r="O41" s="184" t="str">
        <f>IFERROR(IF(VLOOKUP(Fri_W1[[#This Row],[Employee Name]],'Base Schedules'!$A$1:$AW$44,14,FALSE)="","",VLOOKUP(Fri_W1[[#This Row],[Employee Name]],'Base Schedules'!$A$1:$AW$44,14,FALSE)),"")</f>
        <v/>
      </c>
      <c r="P41" s="184" t="str">
        <f>IFERROR(IF(VLOOKUP(Fri_W1[[#This Row],[Employee Name]],'Base Schedules'!$A$1:$AW$44,15,FALSE)="","",VLOOKUP(Fri_W1[[#This Row],[Employee Name]],'Base Schedules'!$A$1:$AW$44,15,FALSE)),"")</f>
        <v/>
      </c>
      <c r="Q41" s="184" t="str">
        <f>IFERROR(IF(VLOOKUP(Fri_W1[[#This Row],[Employee Name]],'Base Schedules'!$A$1:$AW$44,16,FALSE)="","",VLOOKUP(Fri_W1[[#This Row],[Employee Name]],'Base Schedules'!$A$1:$AW$44,16,FALSE)),"")</f>
        <v/>
      </c>
      <c r="R41" s="184" t="str">
        <f>IFERROR(IF(VLOOKUP(Fri_W1[[#This Row],[Employee Name]],'Base Schedules'!$A$1:$AW$44,17,FALSE)="","",VLOOKUP(Fri_W1[[#This Row],[Employee Name]],'Base Schedules'!$A$1:$AW$44,17,FALSE)),"")</f>
        <v/>
      </c>
      <c r="S41" s="184" t="str">
        <f>IFERROR(IF(VLOOKUP(Fri_W1[[#This Row],[Employee Name]],'Base Schedules'!$A$1:$AW$44,18,FALSE)="","",VLOOKUP(Fri_W1[[#This Row],[Employee Name]],'Base Schedules'!$A$1:$AW$44,18,FALSE)),"")</f>
        <v/>
      </c>
      <c r="T41" s="184" t="str">
        <f>IFERROR(IF(VLOOKUP(Fri_W1[[#This Row],[Employee Name]],'Base Schedules'!$A$1:$AW$44,19,FALSE)="","",VLOOKUP(Fri_W1[[#This Row],[Employee Name]],'Base Schedules'!$A$1:$AW$44,19,FALSE)),"")</f>
        <v/>
      </c>
      <c r="U41" s="184" t="str">
        <f>IFERROR(IF(VLOOKUP(Fri_W1[[#This Row],[Employee Name]],'Base Schedules'!$A$1:$AW$44,20,FALSE)="","",VLOOKUP(Fri_W1[[#This Row],[Employee Name]],'Base Schedules'!$A$1:$AW$44,20,FALSE)),"")</f>
        <v/>
      </c>
      <c r="V41" s="184" t="str">
        <f>IFERROR(IF(VLOOKUP(Fri_W1[[#This Row],[Employee Name]],'Base Schedules'!$A$1:$AW$44,21,FALSE)="","",VLOOKUP(Fri_W1[[#This Row],[Employee Name]],'Base Schedules'!$A$1:$AW$44,21,FALSE)),"")</f>
        <v/>
      </c>
      <c r="W41" s="184" t="str">
        <f>IFERROR(IF(VLOOKUP(Fri_W1[[#This Row],[Employee Name]],'Base Schedules'!$A$1:$AW$44,22,FALSE)="","",VLOOKUP(Fri_W1[[#This Row],[Employee Name]],'Base Schedules'!$A$1:$AW$44,22,FALSE)),"")</f>
        <v/>
      </c>
      <c r="X41" s="184" t="str">
        <f>IFERROR(IF(VLOOKUP(Fri_W1[[#This Row],[Employee Name]],'Base Schedules'!$A$1:$AW$44,23,FALSE)="","",VLOOKUP(Fri_W1[[#This Row],[Employee Name]],'Base Schedules'!$A$1:$AW$44,23,FALSE)),"")</f>
        <v/>
      </c>
      <c r="Y41" s="184" t="str">
        <f>IFERROR(IF(VLOOKUP(Fri_W1[[#This Row],[Employee Name]],'Base Schedules'!$A$1:$AW$44,24,FALSE)="","",VLOOKUP(Fri_W1[[#This Row],[Employee Name]],'Base Schedules'!$A$1:$AW$44,24,FALSE)),"")</f>
        <v/>
      </c>
      <c r="Z41" s="184" t="str">
        <f>IFERROR(IF(VLOOKUP(Fri_W1[[#This Row],[Employee Name]],'Base Schedules'!$A$1:$AW$44,25,FALSE)="","",VLOOKUP(Fri_W1[[#This Row],[Employee Name]],'Base Schedules'!$A$1:$AW$44,25,FALSE)),"")</f>
        <v>-</v>
      </c>
      <c r="AA41" s="184" t="str">
        <f>IFERROR(IF(VLOOKUP(Fri_W1[[#This Row],[Employee Name]],'Base Schedules'!$A$1:$AW$44,26,FALSE)="","",VLOOKUP(Fri_W1[[#This Row],[Employee Name]],'Base Schedules'!$A$1:$AW$44,26,FALSE)),"")</f>
        <v>-</v>
      </c>
      <c r="AB41" s="184" t="str">
        <f>IFERROR(IF(VLOOKUP(Fri_W1[[#This Row],[Employee Name]],'Base Schedules'!$A$1:$AW$44,27,FALSE)="","",VLOOKUP(Fri_W1[[#This Row],[Employee Name]],'Base Schedules'!$A$1:$AW$44,27,FALSE)),"")</f>
        <v>-</v>
      </c>
      <c r="AC41" s="184" t="str">
        <f>IFERROR(IF(VLOOKUP(Fri_W1[[#This Row],[Employee Name]],'Base Schedules'!$A$1:$AW$44,28,FALSE)="","",VLOOKUP(Fri_W1[[#This Row],[Employee Name]],'Base Schedules'!$A$1:$AW$44,28,FALSE)),"")</f>
        <v>-</v>
      </c>
      <c r="AD41" s="184" t="str">
        <f>IFERROR(IF(VLOOKUP(Fri_W1[[#This Row],[Employee Name]],'Base Schedules'!$A$1:$AW$44,29,FALSE)="","",VLOOKUP(Fri_W1[[#This Row],[Employee Name]],'Base Schedules'!$A$1:$AW$44,29,FALSE)),"")</f>
        <v>-</v>
      </c>
      <c r="AE41" s="184" t="str">
        <f>IFERROR(IF(VLOOKUP(Fri_W1[[#This Row],[Employee Name]],'Base Schedules'!$A$1:$AW$44,30,FALSE)="","",VLOOKUP(Fri_W1[[#This Row],[Employee Name]],'Base Schedules'!$A$1:$AW$44,30,FALSE)),"")</f>
        <v>-</v>
      </c>
      <c r="AF41" s="184" t="str">
        <f>IFERROR(IF(VLOOKUP(Fri_W1[[#This Row],[Employee Name]],'Base Schedules'!$A$1:$AW$44,31,FALSE)="","",VLOOKUP(Fri_W1[[#This Row],[Employee Name]],'Base Schedules'!$A$1:$AW$44,31,FALSE)),"")</f>
        <v>Interview</v>
      </c>
      <c r="AG41" s="184" t="str">
        <f>IFERROR(IF(VLOOKUP(Fri_W1[[#This Row],[Employee Name]],'Base Schedules'!$A$1:$AW$44,32,FALSE)="","",VLOOKUP(Fri_W1[[#This Row],[Employee Name]],'Base Schedules'!$A$1:$AW$44,32,FALSE)),"")</f>
        <v>Interview</v>
      </c>
      <c r="AH41" s="184" t="str">
        <f>IFERROR(IF(VLOOKUP(Fri_W1[[#This Row],[Employee Name]],'Base Schedules'!$A$1:$AW$44,33,FALSE)="","",VLOOKUP(Fri_W1[[#This Row],[Employee Name]],'Base Schedules'!$A$1:$AW$44,33,FALSE)),"")</f>
        <v>-</v>
      </c>
      <c r="AI41" s="184" t="str">
        <f>IFERROR(IF(VLOOKUP(Fri_W1[[#This Row],[Employee Name]],'Base Schedules'!$A$1:$AW$44,34,FALSE)="","",VLOOKUP(Fri_W1[[#This Row],[Employee Name]],'Base Schedules'!$A$1:$AW$44,34,FALSE)),"")</f>
        <v>-</v>
      </c>
      <c r="AJ41" s="184" t="str">
        <f>IFERROR(IF(VLOOKUP(Fri_W1[[#This Row],[Employee Name]],'Base Schedules'!$A$1:$AW$44,35,FALSE)="","",VLOOKUP(Fri_W1[[#This Row],[Employee Name]],'Base Schedules'!$A$1:$AW$44,35,FALSE)),"")</f>
        <v>-</v>
      </c>
      <c r="AK41" s="184" t="str">
        <f>IFERROR(IF(VLOOKUP(Fri_W1[[#This Row],[Employee Name]],'Base Schedules'!$A$1:$AW$44,36,FALSE)="","",VLOOKUP(Fri_W1[[#This Row],[Employee Name]],'Base Schedules'!$A$1:$AW$44,36,FALSE)),"")</f>
        <v>-</v>
      </c>
      <c r="AL41" s="184" t="str">
        <f>IFERROR(IF(VLOOKUP(Fri_W1[[#This Row],[Employee Name]],'Base Schedules'!$A$1:$AW$44,37,FALSE)="","",VLOOKUP(Fri_W1[[#This Row],[Employee Name]],'Base Schedules'!$A$1:$AW$44,37,FALSE)),"")</f>
        <v>Coaching</v>
      </c>
      <c r="AM41" s="184" t="str">
        <f>IFERROR(IF(VLOOKUP(Fri_W1[[#This Row],[Employee Name]],'Base Schedules'!$A$1:$AW$44,38,FALSE)="","",VLOOKUP(Fri_W1[[#This Row],[Employee Name]],'Base Schedules'!$A$1:$AW$44,38,FALSE)),"")</f>
        <v>Coaching</v>
      </c>
      <c r="AN41" s="184" t="str">
        <f>IFERROR(IF(VLOOKUP(Fri_W1[[#This Row],[Employee Name]],'Base Schedules'!$A$1:$AW$44,39,FALSE)="","",VLOOKUP(Fri_W1[[#This Row],[Employee Name]],'Base Schedules'!$A$1:$AW$44,39,FALSE)),"")</f>
        <v>Coaching</v>
      </c>
      <c r="AO41" s="184" t="str">
        <f>IFERROR(IF(VLOOKUP(Fri_W1[[#This Row],[Employee Name]],'Base Schedules'!$A$1:$AW$44,40,FALSE)="","",VLOOKUP(Fri_W1[[#This Row],[Employee Name]],'Base Schedules'!$A$1:$AW$44,40,FALSE)),"")</f>
        <v>Coaching</v>
      </c>
      <c r="AP41" s="184" t="str">
        <f>IFERROR(IF(VLOOKUP(Fri_W1[[#This Row],[Employee Name]],'Base Schedules'!$A$1:$AW$44,41,FALSE)="","",VLOOKUP(Fri_W1[[#This Row],[Employee Name]],'Base Schedules'!$A$1:$AW$44,41,FALSE)),"")</f>
        <v>-</v>
      </c>
      <c r="AQ41" s="184" t="str">
        <f>IFERROR(IF(VLOOKUP(Fri_W1[[#This Row],[Employee Name]],'Base Schedules'!$A$1:$AW$44,42,FALSE)="","",VLOOKUP(Fri_W1[[#This Row],[Employee Name]],'Base Schedules'!$A$1:$AW$44,42,FALSE)),"")</f>
        <v>-</v>
      </c>
      <c r="AR41" s="184" t="str">
        <f>IFERROR(IF(VLOOKUP(Fri_W1[[#This Row],[Employee Name]],'Base Schedules'!$A$1:$AW$44,43,FALSE)="","",VLOOKUP(Fri_W1[[#This Row],[Employee Name]],'Base Schedules'!$A$1:$AW$44,43,FALSE)),"")</f>
        <v/>
      </c>
      <c r="AS41" s="184" t="str">
        <f>IFERROR(IF(VLOOKUP(Fri_W1[[#This Row],[Employee Name]],'Base Schedules'!$A$1:$AW$44,44,FALSE)="","",VLOOKUP(Fri_W1[[#This Row],[Employee Name]],'Base Schedules'!$A$1:$AW$44,44,FALSE)),"")</f>
        <v/>
      </c>
      <c r="AT41" s="184" t="str">
        <f>IFERROR(IF(VLOOKUP(Fri_W1[[#This Row],[Employee Name]],'Base Schedules'!$A$1:$AW$44,45,FALSE)="","",VLOOKUP(Fri_W1[[#This Row],[Employee Name]],'Base Schedules'!$A$1:$AW$44,45,FALSE)),"")</f>
        <v/>
      </c>
      <c r="AU41" s="184" t="str">
        <f>IFERROR(IF(VLOOKUP(Fri_W1[[#This Row],[Employee Name]],'Base Schedules'!$A$1:$AW$44,46,FALSE)="","",VLOOKUP(Fri_W1[[#This Row],[Employee Name]],'Base Schedules'!$A$1:$AW$44,46,FALSE)),"")</f>
        <v/>
      </c>
      <c r="AV41" s="184" t="str">
        <f>IFERROR(IF(VLOOKUP(Fri_W1[[#This Row],[Employee Name]],'Base Schedules'!$A$1:$AW$44,47,FALSE)="","",VLOOKUP(Fri_W1[[#This Row],[Employee Name]],'Base Schedules'!$A$1:$AW$44,47,FALSE)),"")</f>
        <v/>
      </c>
      <c r="AW41" s="184" t="str">
        <f>IFERROR(IF(VLOOKUP(Fri_W1[[#This Row],[Employee Name]],'Base Schedules'!$A$1:$AW$44,48,FALSE)="","",VLOOKUP(Fri_W1[[#This Row],[Employee Name]],'Base Schedules'!$A$1:$AW$44,48,FALSE)),"")</f>
        <v/>
      </c>
      <c r="AX41" s="184" t="str">
        <f>IFERROR(IF(VLOOKUP(Fri_W1[[#This Row],[Employee Name]],'Base Schedules'!$A$1:$AW$44,49,FALSE)="","",VLOOKUP(Fri_W1[[#This Row],[Employee Name]],'Base Schedules'!$A$1:$AW$44,49,FALSE)),"")</f>
        <v/>
      </c>
      <c r="AY41" s="245" t="str">
        <f t="shared" si="2"/>
        <v>Banuelos, Lincoln</v>
      </c>
    </row>
    <row r="42" spans="1:51" s="44" customFormat="1" ht="11.25" customHeight="1" x14ac:dyDescent="0.2">
      <c r="A42" s="39" t="e">
        <f>IF(B42="","",INDEX(TeamList[],MATCH($B42,TeamList[[Employee Name]:[Employee Name]],0),MATCH("Manager",TeamList[#Headers],0)))</f>
        <v>#N/A</v>
      </c>
      <c r="B42" s="201" t="s">
        <v>586</v>
      </c>
      <c r="C42" s="257" t="str">
        <f>_xlfn.IFNA(VLOOKUP(Fri_W1[[#This Row],[Employee Name]],'Base Schedules'!A:B,2,FALSE),"")</f>
        <v>Lead</v>
      </c>
      <c r="D42" s="274">
        <f>_xlfn.IFNA(VLOOKUP(Fri_W1[[#This Row],[Employee Name]],'Base Schedules'!A:C,3,FALSE),"")</f>
        <v>1330</v>
      </c>
      <c r="E42" s="274">
        <f>_xlfn.IFNA(VLOOKUP(Fri_W1[[#This Row],[Employee Name]],'Base Schedules'!A:D,4,FALSE),"")</f>
        <v>2200</v>
      </c>
      <c r="F42" s="142">
        <f>IF(Fri_W1[[#This Row],[Employee Name]]="","",IF(Fri_W1[[#This Row],[Dept]]="Supervisor",COUNTIFS($J42:$AX42,"*HL*",$J42:$AX42,"&lt;&gt;"&amp;"pHL"),COUNTIFS($J42:$AX42,"*HL*",$J42:$AX42,"&lt;&gt;"&amp;"*pHL*",$J42:$AX42,"&lt;&gt;"&amp;"pB1 HL",$J42:$AX42,"&lt;&gt;"&amp;"pB2 HL")-SUM(COUNTIFS($J42:$AX42,"*HL B1*",$J42:$AX42,"&lt;&gt;"&amp;"pHL B1")*0.5,COUNTIFS($J42:$AX42,"*HL B2*",$J42:$AX42,"&lt;&gt;"&amp;"pHL B2")*0.5,COUNTIFS($J42:$AX42,"*B1 HL*",$J42:$AX42,"&lt;&gt;"&amp;"pB1 HL")*0.5,COUNTIFS($J42:$AX42,"*B2 HL*",$J42:$AX42,"&lt;&gt;"&amp;"pB2 HL")*0.5)))</f>
        <v>5</v>
      </c>
      <c r="G42" s="142">
        <f>IF(B42="","",COUNTIFS($J42:$AX42,"*Coaching*",$J42:$AX42,"&lt;&gt;"&amp;"pTM",$J42:$AX42,"&lt;&gt;"&amp;"uTM"))</f>
        <v>0</v>
      </c>
      <c r="H42" s="142">
        <f t="shared" si="1"/>
        <v>9</v>
      </c>
      <c r="I42" s="142">
        <f>IF(Fri_W1[[#This Row],[Employee Name]]="","",IF(Fri_W1[[#This Row],[Dept]]="Supervisor",SUM(COUNTIFS($J42:$AX42,"RTA*",$J42:$AX42,"&lt;&gt;"&amp;"pRTA"),COUNTIFS($J42:$AX42,"*CRTA*",$J42:$AX42,"&lt;&gt;"&amp;"pCRTA")),COUNTIFS($J42:$AX42,"*RNNR*",$J42:$AX42,"&lt;&gt;"&amp;"*pRNNR*",$J42:$AX42,"&lt;&gt;"&amp;"pB1 RNNR",$J42:$AX42,"&lt;&gt;"&amp;"pB2 RNNR")-SUM(COUNTIFS($J42:$AX42,"*RNNR B1*",$J42:$AX42,"&lt;&gt;"&amp;"pRNNR B1")*0.5,COUNTIFS($J42:$AX42,"*RNNR B2*",$J42:$AX42,"&lt;&gt;"&amp;"pRNNR B2")*0.5,COUNTIFS($J42:$AX42,"*B1 RNNR*",$J42:$AX42,"&lt;&gt;"&amp;"pB1 RNNR")*0.5,COUNTIFS($J42:$AX42,"*B2 RNNR*",$J42:$AX42,"&lt;&gt;"&amp;"pB2 RNNR")*0.5)))</f>
        <v>2</v>
      </c>
      <c r="J42" s="184" t="str">
        <f>IFERROR(IF(VLOOKUP(Fri_W1[[#This Row],[Employee Name]],'Base Schedules'!$A$1:$AW$44,9,FALSE)="","",VLOOKUP(Fri_W1[[#This Row],[Employee Name]],'Base Schedules'!$A$1:$AW$44,9,FALSE)),"")</f>
        <v/>
      </c>
      <c r="K42" s="184" t="str">
        <f>IFERROR(IF(VLOOKUP(Fri_W1[[#This Row],[Employee Name]],'Base Schedules'!$A$1:$AW$44,10,FALSE)="","",VLOOKUP(Fri_W1[[#This Row],[Employee Name]],'Base Schedules'!$A$1:$AW$44,10,FALSE)),"")</f>
        <v/>
      </c>
      <c r="L42" s="184" t="str">
        <f>IFERROR(IF(VLOOKUP(Fri_W1[[#This Row],[Employee Name]],'Base Schedules'!$A$1:$AW$44,11,FALSE)="","",VLOOKUP(Fri_W1[[#This Row],[Employee Name]],'Base Schedules'!$A$1:$AW$44,11,FALSE)),"")</f>
        <v/>
      </c>
      <c r="M42" s="184" t="str">
        <f>IFERROR(IF(VLOOKUP(Fri_W1[[#This Row],[Employee Name]],'Base Schedules'!$A$1:$AW$44,12,FALSE)="","",VLOOKUP(Fri_W1[[#This Row],[Employee Name]],'Base Schedules'!$A$1:$AW$44,12,FALSE)),"")</f>
        <v/>
      </c>
      <c r="N42" s="184" t="str">
        <f>IFERROR(IF(VLOOKUP(Fri_W1[[#This Row],[Employee Name]],'Base Schedules'!$A$1:$AW$44,13,FALSE)="","",VLOOKUP(Fri_W1[[#This Row],[Employee Name]],'Base Schedules'!$A$1:$AW$44,13,FALSE)),"")</f>
        <v/>
      </c>
      <c r="O42" s="184" t="str">
        <f>IFERROR(IF(VLOOKUP(Fri_W1[[#This Row],[Employee Name]],'Base Schedules'!$A$1:$AW$44,14,FALSE)="","",VLOOKUP(Fri_W1[[#This Row],[Employee Name]],'Base Schedules'!$A$1:$AW$44,14,FALSE)),"")</f>
        <v/>
      </c>
      <c r="P42" s="184" t="str">
        <f>IFERROR(IF(VLOOKUP(Fri_W1[[#This Row],[Employee Name]],'Base Schedules'!$A$1:$AW$44,15,FALSE)="","",VLOOKUP(Fri_W1[[#This Row],[Employee Name]],'Base Schedules'!$A$1:$AW$44,15,FALSE)),"")</f>
        <v/>
      </c>
      <c r="Q42" s="184" t="str">
        <f>IFERROR(IF(VLOOKUP(Fri_W1[[#This Row],[Employee Name]],'Base Schedules'!$A$1:$AW$44,16,FALSE)="","",VLOOKUP(Fri_W1[[#This Row],[Employee Name]],'Base Schedules'!$A$1:$AW$44,16,FALSE)),"")</f>
        <v/>
      </c>
      <c r="R42" s="184" t="str">
        <f>IFERROR(IF(VLOOKUP(Fri_W1[[#This Row],[Employee Name]],'Base Schedules'!$A$1:$AW$44,17,FALSE)="","",VLOOKUP(Fri_W1[[#This Row],[Employee Name]],'Base Schedules'!$A$1:$AW$44,17,FALSE)),"")</f>
        <v/>
      </c>
      <c r="S42" s="184" t="str">
        <f>IFERROR(IF(VLOOKUP(Fri_W1[[#This Row],[Employee Name]],'Base Schedules'!$A$1:$AW$44,18,FALSE)="","",VLOOKUP(Fri_W1[[#This Row],[Employee Name]],'Base Schedules'!$A$1:$AW$44,18,FALSE)),"")</f>
        <v/>
      </c>
      <c r="T42" s="184" t="str">
        <f>IFERROR(IF(VLOOKUP(Fri_W1[[#This Row],[Employee Name]],'Base Schedules'!$A$1:$AW$44,19,FALSE)="","",VLOOKUP(Fri_W1[[#This Row],[Employee Name]],'Base Schedules'!$A$1:$AW$44,19,FALSE)),"")</f>
        <v/>
      </c>
      <c r="U42" s="184" t="str">
        <f>IFERROR(IF(VLOOKUP(Fri_W1[[#This Row],[Employee Name]],'Base Schedules'!$A$1:$AW$44,20,FALSE)="","",VLOOKUP(Fri_W1[[#This Row],[Employee Name]],'Base Schedules'!$A$1:$AW$44,20,FALSE)),"")</f>
        <v/>
      </c>
      <c r="V42" s="184" t="str">
        <f>IFERROR(IF(VLOOKUP(Fri_W1[[#This Row],[Employee Name]],'Base Schedules'!$A$1:$AW$44,21,FALSE)="","",VLOOKUP(Fri_W1[[#This Row],[Employee Name]],'Base Schedules'!$A$1:$AW$44,21,FALSE)),"")</f>
        <v/>
      </c>
      <c r="W42" s="184" t="str">
        <f>IFERROR(IF(VLOOKUP(Fri_W1[[#This Row],[Employee Name]],'Base Schedules'!$A$1:$AW$44,22,FALSE)="","",VLOOKUP(Fri_W1[[#This Row],[Employee Name]],'Base Schedules'!$A$1:$AW$44,22,FALSE)),"")</f>
        <v/>
      </c>
      <c r="X42" s="184" t="str">
        <f>IFERROR(IF(VLOOKUP(Fri_W1[[#This Row],[Employee Name]],'Base Schedules'!$A$1:$AW$44,23,FALSE)="","",VLOOKUP(Fri_W1[[#This Row],[Employee Name]],'Base Schedules'!$A$1:$AW$44,23,FALSE)),"")</f>
        <v/>
      </c>
      <c r="Y42" s="184" t="str">
        <f>IFERROR(IF(VLOOKUP(Fri_W1[[#This Row],[Employee Name]],'Base Schedules'!$A$1:$AW$44,24,FALSE)="","",VLOOKUP(Fri_W1[[#This Row],[Employee Name]],'Base Schedules'!$A$1:$AW$44,24,FALSE)),"")</f>
        <v/>
      </c>
      <c r="Z42" s="184" t="str">
        <f>IFERROR(IF(VLOOKUP(Fri_W1[[#This Row],[Employee Name]],'Base Schedules'!$A$1:$AW$44,25,FALSE)="","",VLOOKUP(Fri_W1[[#This Row],[Employee Name]],'Base Schedules'!$A$1:$AW$44,25,FALSE)),"")</f>
        <v/>
      </c>
      <c r="AA42" s="184" t="str">
        <f>IFERROR(IF(VLOOKUP(Fri_W1[[#This Row],[Employee Name]],'Base Schedules'!$A$1:$AW$44,26,FALSE)="","",VLOOKUP(Fri_W1[[#This Row],[Employee Name]],'Base Schedules'!$A$1:$AW$44,26,FALSE)),"")</f>
        <v>HL</v>
      </c>
      <c r="AB42" s="184" t="str">
        <f>IFERROR(IF(VLOOKUP(Fri_W1[[#This Row],[Employee Name]],'Base Schedules'!$A$1:$AW$44,27,FALSE)="","",VLOOKUP(Fri_W1[[#This Row],[Employee Name]],'Base Schedules'!$A$1:$AW$44,27,FALSE)),"")</f>
        <v>HL</v>
      </c>
      <c r="AC42" s="184" t="str">
        <f>IFERROR(IF(VLOOKUP(Fri_W1[[#This Row],[Employee Name]],'Base Schedules'!$A$1:$AW$44,28,FALSE)="","",VLOOKUP(Fri_W1[[#This Row],[Employee Name]],'Base Schedules'!$A$1:$AW$44,28,FALSE)),"")</f>
        <v>HL</v>
      </c>
      <c r="AD42" s="184" t="str">
        <f>IFERROR(IF(VLOOKUP(Fri_W1[[#This Row],[Employee Name]],'Base Schedules'!$A$1:$AW$44,29,FALSE)="","",VLOOKUP(Fri_W1[[#This Row],[Employee Name]],'Base Schedules'!$A$1:$AW$44,29,FALSE)),"")</f>
        <v>HL</v>
      </c>
      <c r="AE42" s="184" t="str">
        <f>IFERROR(IF(VLOOKUP(Fri_W1[[#This Row],[Employee Name]],'Base Schedules'!$A$1:$AW$44,30,FALSE)="","",VLOOKUP(Fri_W1[[#This Row],[Employee Name]],'Base Schedules'!$A$1:$AW$44,30,FALSE)),"")</f>
        <v>B1 ADM</v>
      </c>
      <c r="AF42" s="184" t="str">
        <f>IFERROR(IF(VLOOKUP(Fri_W1[[#This Row],[Employee Name]],'Base Schedules'!$A$1:$AW$44,31,FALSE)="","",VLOOKUP(Fri_W1[[#This Row],[Employee Name]],'Base Schedules'!$A$1:$AW$44,31,FALSE)),"")</f>
        <v>ADM</v>
      </c>
      <c r="AG42" s="184" t="str">
        <f>IFERROR(IF(VLOOKUP(Fri_W1[[#This Row],[Employee Name]],'Base Schedules'!$A$1:$AW$44,32,FALSE)="","",VLOOKUP(Fri_W1[[#This Row],[Employee Name]],'Base Schedules'!$A$1:$AW$44,32,FALSE)),"")</f>
        <v>ADM</v>
      </c>
      <c r="AH42" s="184" t="str">
        <f>IFERROR(IF(VLOOKUP(Fri_W1[[#This Row],[Employee Name]],'Base Schedules'!$A$1:$AW$44,33,FALSE)="","",VLOOKUP(Fri_W1[[#This Row],[Employee Name]],'Base Schedules'!$A$1:$AW$44,33,FALSE)),"")</f>
        <v>ADM</v>
      </c>
      <c r="AI42" s="184" t="str">
        <f>IFERROR(IF(VLOOKUP(Fri_W1[[#This Row],[Employee Name]],'Base Schedules'!$A$1:$AW$44,34,FALSE)="","",VLOOKUP(Fri_W1[[#This Row],[Employee Name]],'Base Schedules'!$A$1:$AW$44,34,FALSE)),"")</f>
        <v>ADM</v>
      </c>
      <c r="AJ42" s="184" t="str">
        <f>IFERROR(IF(VLOOKUP(Fri_W1[[#This Row],[Employee Name]],'Base Schedules'!$A$1:$AW$44,35,FALSE)="","",VLOOKUP(Fri_W1[[#This Row],[Employee Name]],'Base Schedules'!$A$1:$AW$44,35,FALSE)),"")</f>
        <v>LUNCH</v>
      </c>
      <c r="AK42" s="184" t="str">
        <f>IFERROR(IF(VLOOKUP(Fri_W1[[#This Row],[Employee Name]],'Base Schedules'!$A$1:$AW$44,36,FALSE)="","",VLOOKUP(Fri_W1[[#This Row],[Employee Name]],'Base Schedules'!$A$1:$AW$44,36,FALSE)),"")</f>
        <v>HL</v>
      </c>
      <c r="AL42" s="184" t="str">
        <f>IFERROR(IF(VLOOKUP(Fri_W1[[#This Row],[Employee Name]],'Base Schedules'!$A$1:$AW$44,37,FALSE)="","",VLOOKUP(Fri_W1[[#This Row],[Employee Name]],'Base Schedules'!$A$1:$AW$44,37,FALSE)),"")</f>
        <v>RNNR</v>
      </c>
      <c r="AM42" s="184" t="str">
        <f>IFERROR(IF(VLOOKUP(Fri_W1[[#This Row],[Employee Name]],'Base Schedules'!$A$1:$AW$44,38,FALSE)="","",VLOOKUP(Fri_W1[[#This Row],[Employee Name]],'Base Schedules'!$A$1:$AW$44,38,FALSE)),"")</f>
        <v>RNNR</v>
      </c>
      <c r="AN42" s="184" t="str">
        <f>IFERROR(IF(VLOOKUP(Fri_W1[[#This Row],[Employee Name]],'Base Schedules'!$A$1:$AW$44,39,FALSE)="","",VLOOKUP(Fri_W1[[#This Row],[Employee Name]],'Base Schedules'!$A$1:$AW$44,39,FALSE)),"")</f>
        <v>B2 ADM</v>
      </c>
      <c r="AO42" s="184" t="str">
        <f>IFERROR(IF(VLOOKUP(Fri_W1[[#This Row],[Employee Name]],'Base Schedules'!$A$1:$AW$44,40,FALSE)="","",VLOOKUP(Fri_W1[[#This Row],[Employee Name]],'Base Schedules'!$A$1:$AW$44,40,FALSE)),"")</f>
        <v>ADM</v>
      </c>
      <c r="AP42" s="184" t="str">
        <f>IFERROR(IF(VLOOKUP(Fri_W1[[#This Row],[Employee Name]],'Base Schedules'!$A$1:$AW$44,41,FALSE)="","",VLOOKUP(Fri_W1[[#This Row],[Employee Name]],'Base Schedules'!$A$1:$AW$44,41,FALSE)),"")</f>
        <v>ADM</v>
      </c>
      <c r="AQ42" s="184" t="str">
        <f>IFERROR(IF(VLOOKUP(Fri_W1[[#This Row],[Employee Name]],'Base Schedules'!$A$1:$AW$44,42,FALSE)="","",VLOOKUP(Fri_W1[[#This Row],[Employee Name]],'Base Schedules'!$A$1:$AW$44,42,FALSE)),"")</f>
        <v>ADM</v>
      </c>
      <c r="AR42" s="184" t="str">
        <f>IFERROR(IF(VLOOKUP(Fri_W1[[#This Row],[Employee Name]],'Base Schedules'!$A$1:$AW$44,43,FALSE)="","",VLOOKUP(Fri_W1[[#This Row],[Employee Name]],'Base Schedules'!$A$1:$AW$44,43,FALSE)),"")</f>
        <v/>
      </c>
      <c r="AS42" s="184" t="str">
        <f>IFERROR(IF(VLOOKUP(Fri_W1[[#This Row],[Employee Name]],'Base Schedules'!$A$1:$AW$44,44,FALSE)="","",VLOOKUP(Fri_W1[[#This Row],[Employee Name]],'Base Schedules'!$A$1:$AW$44,44,FALSE)),"")</f>
        <v/>
      </c>
      <c r="AT42" s="184" t="str">
        <f>IFERROR(IF(VLOOKUP(Fri_W1[[#This Row],[Employee Name]],'Base Schedules'!$A$1:$AW$44,45,FALSE)="","",VLOOKUP(Fri_W1[[#This Row],[Employee Name]],'Base Schedules'!$A$1:$AW$44,45,FALSE)),"")</f>
        <v/>
      </c>
      <c r="AU42" s="184" t="str">
        <f>IFERROR(IF(VLOOKUP(Fri_W1[[#This Row],[Employee Name]],'Base Schedules'!$A$1:$AW$44,46,FALSE)="","",VLOOKUP(Fri_W1[[#This Row],[Employee Name]],'Base Schedules'!$A$1:$AW$44,46,FALSE)),"")</f>
        <v/>
      </c>
      <c r="AV42" s="184" t="str">
        <f>IFERROR(IF(VLOOKUP(Fri_W1[[#This Row],[Employee Name]],'Base Schedules'!$A$1:$AW$44,47,FALSE)="","",VLOOKUP(Fri_W1[[#This Row],[Employee Name]],'Base Schedules'!$A$1:$AW$44,47,FALSE)),"")</f>
        <v/>
      </c>
      <c r="AW42" s="184" t="str">
        <f>IFERROR(IF(VLOOKUP(Fri_W1[[#This Row],[Employee Name]],'Base Schedules'!$A$1:$AW$44,48,FALSE)="","",VLOOKUP(Fri_W1[[#This Row],[Employee Name]],'Base Schedules'!$A$1:$AW$44,48,FALSE)),"")</f>
        <v/>
      </c>
      <c r="AX42" s="184" t="str">
        <f>IFERROR(IF(VLOOKUP(Fri_W1[[#This Row],[Employee Name]],'Base Schedules'!$A$1:$AW$44,49,FALSE)="","",VLOOKUP(Fri_W1[[#This Row],[Employee Name]],'Base Schedules'!$A$1:$AW$44,49,FALSE)),"")</f>
        <v/>
      </c>
      <c r="AY42" s="245" t="str">
        <f t="shared" si="2"/>
        <v>Harris, Austin</v>
      </c>
    </row>
    <row r="43" spans="1:51" s="44" customFormat="1" ht="11.25" customHeight="1" x14ac:dyDescent="0.2">
      <c r="A43" s="39" t="str">
        <f>IF(B43="","",INDEX(TeamList[],MATCH($B43,TeamList[[Employee Name]:[Employee Name]],0),MATCH("Manager",TeamList[#Headers],0)))</f>
        <v>Ahmed Hassan, Zahra</v>
      </c>
      <c r="B43" s="201" t="s">
        <v>245</v>
      </c>
      <c r="C43" s="257" t="str">
        <f>_xlfn.IFNA(VLOOKUP(Fri_W1[[#This Row],[Employee Name]],'Base Schedules'!A:B,2,FALSE),"")</f>
        <v>Supervisor</v>
      </c>
      <c r="D43" s="274">
        <f>_xlfn.IFNA(VLOOKUP(Fri_W1[[#This Row],[Employee Name]],'Base Schedules'!A:C,3,FALSE),"")</f>
        <v>1400</v>
      </c>
      <c r="E43" s="274">
        <f>_xlfn.IFNA(VLOOKUP(Fri_W1[[#This Row],[Employee Name]],'Base Schedules'!A:D,4,FALSE),"")</f>
        <v>100</v>
      </c>
      <c r="F43" s="142">
        <f>IF(Fri_W1[[#This Row],[Employee Name]]="","",IF(Fri_W1[[#This Row],[Dept]]="Supervisor",COUNTIFS($J43:$AX43,"*HL*",$J43:$AX43,"&lt;&gt;"&amp;"pHL"),COUNTIFS($J43:$AX43,"*HL*",$J43:$AX43,"&lt;&gt;"&amp;"*pHL*",$J43:$AX43,"&lt;&gt;"&amp;"pB1 HL",$J43:$AX43,"&lt;&gt;"&amp;"pB2 HL")-SUM(COUNTIFS($J43:$AX43,"*HL B1*",$J43:$AX43,"&lt;&gt;"&amp;"pHL B1")*0.5,COUNTIFS($J43:$AX43,"*HL B2*",$J43:$AX43,"&lt;&gt;"&amp;"pHL B2")*0.5,COUNTIFS($J43:$AX43,"*B1 HL*",$J43:$AX43,"&lt;&gt;"&amp;"pB1 HL")*0.5,COUNTIFS($J43:$AX43,"*B2 HL*",$J43:$AX43,"&lt;&gt;"&amp;"pB2 HL")*0.5)))</f>
        <v>0</v>
      </c>
      <c r="G43" s="142">
        <f>IF(B43="","",COUNTIFS($J43:$AX43,"*Coaching*",$J43:$AX43,"&lt;&gt;"&amp;"pTM",$J43:$AX43,"&lt;&gt;"&amp;"uTM"))</f>
        <v>4</v>
      </c>
      <c r="H43" s="142">
        <f t="shared" si="1"/>
        <v>0</v>
      </c>
      <c r="I43" s="142">
        <f>IF(Fri_W1[[#This Row],[Employee Name]]="","",IF(Fri_W1[[#This Row],[Dept]]="Supervisor",SUM(COUNTIFS($J43:$AX43,"RTA*",$J43:$AX43,"&lt;&gt;"&amp;"pRTA"),COUNTIFS($J43:$AX43,"*CRTA*",$J43:$AX43,"&lt;&gt;"&amp;"pCRTA")),COUNTIFS($J43:$AX43,"*RNNR*",$J43:$AX43,"&lt;&gt;"&amp;"*pRNNR*",$J43:$AX43,"&lt;&gt;"&amp;"pB1 RNNR",$J43:$AX43,"&lt;&gt;"&amp;"pB2 RNNR")-SUM(COUNTIFS($J43:$AX43,"*RNNR B1*",$J43:$AX43,"&lt;&gt;"&amp;"pRNNR B1")*0.5,COUNTIFS($J43:$AX43,"*RNNR B2*",$J43:$AX43,"&lt;&gt;"&amp;"pRNNR B2")*0.5,COUNTIFS($J43:$AX43,"*B1 RNNR*",$J43:$AX43,"&lt;&gt;"&amp;"pB1 RNNR")*0.5,COUNTIFS($J43:$AX43,"*B2 RNNR*",$J43:$AX43,"&lt;&gt;"&amp;"pB2 RNNR")*0.5)))</f>
        <v>0</v>
      </c>
      <c r="J43" s="184" t="str">
        <f>IFERROR(IF(VLOOKUP(Fri_W1[[#This Row],[Employee Name]],'Base Schedules'!$A$1:$AW$44,9,FALSE)="","",VLOOKUP(Fri_W1[[#This Row],[Employee Name]],'Base Schedules'!$A$1:$AW$44,9,FALSE)),"")</f>
        <v/>
      </c>
      <c r="K43" s="184" t="str">
        <f>IFERROR(IF(VLOOKUP(Fri_W1[[#This Row],[Employee Name]],'Base Schedules'!$A$1:$AW$44,10,FALSE)="","",VLOOKUP(Fri_W1[[#This Row],[Employee Name]],'Base Schedules'!$A$1:$AW$44,10,FALSE)),"")</f>
        <v/>
      </c>
      <c r="L43" s="184" t="str">
        <f>IFERROR(IF(VLOOKUP(Fri_W1[[#This Row],[Employee Name]],'Base Schedules'!$A$1:$AW$44,11,FALSE)="","",VLOOKUP(Fri_W1[[#This Row],[Employee Name]],'Base Schedules'!$A$1:$AW$44,11,FALSE)),"")</f>
        <v/>
      </c>
      <c r="M43" s="184" t="str">
        <f>IFERROR(IF(VLOOKUP(Fri_W1[[#This Row],[Employee Name]],'Base Schedules'!$A$1:$AW$44,12,FALSE)="","",VLOOKUP(Fri_W1[[#This Row],[Employee Name]],'Base Schedules'!$A$1:$AW$44,12,FALSE)),"")</f>
        <v/>
      </c>
      <c r="N43" s="184" t="str">
        <f>IFERROR(IF(VLOOKUP(Fri_W1[[#This Row],[Employee Name]],'Base Schedules'!$A$1:$AW$44,13,FALSE)="","",VLOOKUP(Fri_W1[[#This Row],[Employee Name]],'Base Schedules'!$A$1:$AW$44,13,FALSE)),"")</f>
        <v/>
      </c>
      <c r="O43" s="184" t="str">
        <f>IFERROR(IF(VLOOKUP(Fri_W1[[#This Row],[Employee Name]],'Base Schedules'!$A$1:$AW$44,14,FALSE)="","",VLOOKUP(Fri_W1[[#This Row],[Employee Name]],'Base Schedules'!$A$1:$AW$44,14,FALSE)),"")</f>
        <v/>
      </c>
      <c r="P43" s="184" t="str">
        <f>IFERROR(IF(VLOOKUP(Fri_W1[[#This Row],[Employee Name]],'Base Schedules'!$A$1:$AW$44,15,FALSE)="","",VLOOKUP(Fri_W1[[#This Row],[Employee Name]],'Base Schedules'!$A$1:$AW$44,15,FALSE)),"")</f>
        <v/>
      </c>
      <c r="Q43" s="184" t="str">
        <f>IFERROR(IF(VLOOKUP(Fri_W1[[#This Row],[Employee Name]],'Base Schedules'!$A$1:$AW$44,16,FALSE)="","",VLOOKUP(Fri_W1[[#This Row],[Employee Name]],'Base Schedules'!$A$1:$AW$44,16,FALSE)),"")</f>
        <v/>
      </c>
      <c r="R43" s="184" t="str">
        <f>IFERROR(IF(VLOOKUP(Fri_W1[[#This Row],[Employee Name]],'Base Schedules'!$A$1:$AW$44,17,FALSE)="","",VLOOKUP(Fri_W1[[#This Row],[Employee Name]],'Base Schedules'!$A$1:$AW$44,17,FALSE)),"")</f>
        <v/>
      </c>
      <c r="S43" s="184" t="str">
        <f>IFERROR(IF(VLOOKUP(Fri_W1[[#This Row],[Employee Name]],'Base Schedules'!$A$1:$AW$44,18,FALSE)="","",VLOOKUP(Fri_W1[[#This Row],[Employee Name]],'Base Schedules'!$A$1:$AW$44,18,FALSE)),"")</f>
        <v/>
      </c>
      <c r="T43" s="184" t="str">
        <f>IFERROR(IF(VLOOKUP(Fri_W1[[#This Row],[Employee Name]],'Base Schedules'!$A$1:$AW$44,19,FALSE)="","",VLOOKUP(Fri_W1[[#This Row],[Employee Name]],'Base Schedules'!$A$1:$AW$44,19,FALSE)),"")</f>
        <v/>
      </c>
      <c r="U43" s="184" t="str">
        <f>IFERROR(IF(VLOOKUP(Fri_W1[[#This Row],[Employee Name]],'Base Schedules'!$A$1:$AW$44,20,FALSE)="","",VLOOKUP(Fri_W1[[#This Row],[Employee Name]],'Base Schedules'!$A$1:$AW$44,20,FALSE)),"")</f>
        <v/>
      </c>
      <c r="V43" s="184" t="str">
        <f>IFERROR(IF(VLOOKUP(Fri_W1[[#This Row],[Employee Name]],'Base Schedules'!$A$1:$AW$44,21,FALSE)="","",VLOOKUP(Fri_W1[[#This Row],[Employee Name]],'Base Schedules'!$A$1:$AW$44,21,FALSE)),"")</f>
        <v/>
      </c>
      <c r="W43" s="184" t="str">
        <f>IFERROR(IF(VLOOKUP(Fri_W1[[#This Row],[Employee Name]],'Base Schedules'!$A$1:$AW$44,22,FALSE)="","",VLOOKUP(Fri_W1[[#This Row],[Employee Name]],'Base Schedules'!$A$1:$AW$44,22,FALSE)),"")</f>
        <v/>
      </c>
      <c r="X43" s="184" t="str">
        <f>IFERROR(IF(VLOOKUP(Fri_W1[[#This Row],[Employee Name]],'Base Schedules'!$A$1:$AW$44,23,FALSE)="","",VLOOKUP(Fri_W1[[#This Row],[Employee Name]],'Base Schedules'!$A$1:$AW$44,23,FALSE)),"")</f>
        <v/>
      </c>
      <c r="Y43" s="184" t="str">
        <f>IFERROR(IF(VLOOKUP(Fri_W1[[#This Row],[Employee Name]],'Base Schedules'!$A$1:$AW$44,24,FALSE)="","",VLOOKUP(Fri_W1[[#This Row],[Employee Name]],'Base Schedules'!$A$1:$AW$44,24,FALSE)),"")</f>
        <v/>
      </c>
      <c r="Z43" s="184" t="str">
        <f>IFERROR(IF(VLOOKUP(Fri_W1[[#This Row],[Employee Name]],'Base Schedules'!$A$1:$AW$44,25,FALSE)="","",VLOOKUP(Fri_W1[[#This Row],[Employee Name]],'Base Schedules'!$A$1:$AW$44,25,FALSE)),"")</f>
        <v/>
      </c>
      <c r="AA43" s="184" t="str">
        <f>IFERROR(IF(VLOOKUP(Fri_W1[[#This Row],[Employee Name]],'Base Schedules'!$A$1:$AW$44,26,FALSE)="","",VLOOKUP(Fri_W1[[#This Row],[Employee Name]],'Base Schedules'!$A$1:$AW$44,26,FALSE)),"")</f>
        <v/>
      </c>
      <c r="AB43" s="184" t="str">
        <f>IFERROR(IF(VLOOKUP(Fri_W1[[#This Row],[Employee Name]],'Base Schedules'!$A$1:$AW$44,27,FALSE)="","",VLOOKUP(Fri_W1[[#This Row],[Employee Name]],'Base Schedules'!$A$1:$AW$44,27,FALSE)),"")</f>
        <v>-</v>
      </c>
      <c r="AC43" s="184" t="str">
        <f>IFERROR(IF(VLOOKUP(Fri_W1[[#This Row],[Employee Name]],'Base Schedules'!$A$1:$AW$44,28,FALSE)="","",VLOOKUP(Fri_W1[[#This Row],[Employee Name]],'Base Schedules'!$A$1:$AW$44,28,FALSE)),"")</f>
        <v>-</v>
      </c>
      <c r="AD43" s="184" t="str">
        <f>IFERROR(IF(VLOOKUP(Fri_W1[[#This Row],[Employee Name]],'Base Schedules'!$A$1:$AW$44,29,FALSE)="","",VLOOKUP(Fri_W1[[#This Row],[Employee Name]],'Base Schedules'!$A$1:$AW$44,29,FALSE)),"")</f>
        <v>-</v>
      </c>
      <c r="AE43" s="184" t="str">
        <f>IFERROR(IF(VLOOKUP(Fri_W1[[#This Row],[Employee Name]],'Base Schedules'!$A$1:$AW$44,30,FALSE)="","",VLOOKUP(Fri_W1[[#This Row],[Employee Name]],'Base Schedules'!$A$1:$AW$44,30,FALSE)),"")</f>
        <v>-</v>
      </c>
      <c r="AF43" s="184" t="str">
        <f>IFERROR(IF(VLOOKUP(Fri_W1[[#This Row],[Employee Name]],'Base Schedules'!$A$1:$AW$44,31,FALSE)="","",VLOOKUP(Fri_W1[[#This Row],[Employee Name]],'Base Schedules'!$A$1:$AW$44,31,FALSE)),"")</f>
        <v>-</v>
      </c>
      <c r="AG43" s="184" t="str">
        <f>IFERROR(IF(VLOOKUP(Fri_W1[[#This Row],[Employee Name]],'Base Schedules'!$A$1:$AW$44,32,FALSE)="","",VLOOKUP(Fri_W1[[#This Row],[Employee Name]],'Base Schedules'!$A$1:$AW$44,32,FALSE)),"")</f>
        <v>-</v>
      </c>
      <c r="AH43" s="184" t="str">
        <f>IFERROR(IF(VLOOKUP(Fri_W1[[#This Row],[Employee Name]],'Base Schedules'!$A$1:$AW$44,33,FALSE)="","",VLOOKUP(Fri_W1[[#This Row],[Employee Name]],'Base Schedules'!$A$1:$AW$44,33,FALSE)),"")</f>
        <v>-</v>
      </c>
      <c r="AI43" s="184" t="str">
        <f>IFERROR(IF(VLOOKUP(Fri_W1[[#This Row],[Employee Name]],'Base Schedules'!$A$1:$AW$44,34,FALSE)="","",VLOOKUP(Fri_W1[[#This Row],[Employee Name]],'Base Schedules'!$A$1:$AW$44,34,FALSE)),"")</f>
        <v>-</v>
      </c>
      <c r="AJ43" s="184" t="str">
        <f>IFERROR(IF(VLOOKUP(Fri_W1[[#This Row],[Employee Name]],'Base Schedules'!$A$1:$AW$44,35,FALSE)="","",VLOOKUP(Fri_W1[[#This Row],[Employee Name]],'Base Schedules'!$A$1:$AW$44,35,FALSE)),"")</f>
        <v>-</v>
      </c>
      <c r="AK43" s="184" t="str">
        <f>IFERROR(IF(VLOOKUP(Fri_W1[[#This Row],[Employee Name]],'Base Schedules'!$A$1:$AW$44,36,FALSE)="","",VLOOKUP(Fri_W1[[#This Row],[Employee Name]],'Base Schedules'!$A$1:$AW$44,36,FALSE)),"")</f>
        <v>-</v>
      </c>
      <c r="AL43" s="184" t="str">
        <f>IFERROR(IF(VLOOKUP(Fri_W1[[#This Row],[Employee Name]],'Base Schedules'!$A$1:$AW$44,37,FALSE)="","",VLOOKUP(Fri_W1[[#This Row],[Employee Name]],'Base Schedules'!$A$1:$AW$44,37,FALSE)),"")</f>
        <v>-</v>
      </c>
      <c r="AM43" s="184" t="str">
        <f>IFERROR(IF(VLOOKUP(Fri_W1[[#This Row],[Employee Name]],'Base Schedules'!$A$1:$AW$44,38,FALSE)="","",VLOOKUP(Fri_W1[[#This Row],[Employee Name]],'Base Schedules'!$A$1:$AW$44,38,FALSE)),"")</f>
        <v>-</v>
      </c>
      <c r="AN43" s="184" t="str">
        <f>IFERROR(IF(VLOOKUP(Fri_W1[[#This Row],[Employee Name]],'Base Schedules'!$A$1:$AW$44,39,FALSE)="","",VLOOKUP(Fri_W1[[#This Row],[Employee Name]],'Base Schedules'!$A$1:$AW$44,39,FALSE)),"")</f>
        <v>Coaching</v>
      </c>
      <c r="AO43" s="184" t="str">
        <f>IFERROR(IF(VLOOKUP(Fri_W1[[#This Row],[Employee Name]],'Base Schedules'!$A$1:$AW$44,40,FALSE)="","",VLOOKUP(Fri_W1[[#This Row],[Employee Name]],'Base Schedules'!$A$1:$AW$44,40,FALSE)),"")</f>
        <v>Coaching</v>
      </c>
      <c r="AP43" s="184" t="str">
        <f>IFERROR(IF(VLOOKUP(Fri_W1[[#This Row],[Employee Name]],'Base Schedules'!$A$1:$AW$44,41,FALSE)="","",VLOOKUP(Fri_W1[[#This Row],[Employee Name]],'Base Schedules'!$A$1:$AW$44,41,FALSE)),"")</f>
        <v>Coaching</v>
      </c>
      <c r="AQ43" s="184" t="str">
        <f>IFERROR(IF(VLOOKUP(Fri_W1[[#This Row],[Employee Name]],'Base Schedules'!$A$1:$AW$44,42,FALSE)="","",VLOOKUP(Fri_W1[[#This Row],[Employee Name]],'Base Schedules'!$A$1:$AW$44,42,FALSE)),"")</f>
        <v>Coaching</v>
      </c>
      <c r="AR43" s="184" t="str">
        <f>IFERROR(IF(VLOOKUP(Fri_W1[[#This Row],[Employee Name]],'Base Schedules'!$A$1:$AW$44,43,FALSE)="","",VLOOKUP(Fri_W1[[#This Row],[Employee Name]],'Base Schedules'!$A$1:$AW$44,43,FALSE)),"")</f>
        <v>-</v>
      </c>
      <c r="AS43" s="184" t="str">
        <f>IFERROR(IF(VLOOKUP(Fri_W1[[#This Row],[Employee Name]],'Base Schedules'!$A$1:$AW$44,44,FALSE)="","",VLOOKUP(Fri_W1[[#This Row],[Employee Name]],'Base Schedules'!$A$1:$AW$44,44,FALSE)),"")</f>
        <v>-</v>
      </c>
      <c r="AT43" s="184" t="str">
        <f>IFERROR(IF(VLOOKUP(Fri_W1[[#This Row],[Employee Name]],'Base Schedules'!$A$1:$AW$44,45,FALSE)="","",VLOOKUP(Fri_W1[[#This Row],[Employee Name]],'Base Schedules'!$A$1:$AW$44,45,FALSE)),"")</f>
        <v>-</v>
      </c>
      <c r="AU43" s="184" t="str">
        <f>IFERROR(IF(VLOOKUP(Fri_W1[[#This Row],[Employee Name]],'Base Schedules'!$A$1:$AW$44,46,FALSE)="","",VLOOKUP(Fri_W1[[#This Row],[Employee Name]],'Base Schedules'!$A$1:$AW$44,46,FALSE)),"")</f>
        <v>-</v>
      </c>
      <c r="AV43" s="184" t="str">
        <f>IFERROR(IF(VLOOKUP(Fri_W1[[#This Row],[Employee Name]],'Base Schedules'!$A$1:$AW$44,47,FALSE)="","",VLOOKUP(Fri_W1[[#This Row],[Employee Name]],'Base Schedules'!$A$1:$AW$44,47,FALSE)),"")</f>
        <v>-</v>
      </c>
      <c r="AW43" s="184" t="str">
        <f>IFERROR(IF(VLOOKUP(Fri_W1[[#This Row],[Employee Name]],'Base Schedules'!$A$1:$AW$44,48,FALSE)="","",VLOOKUP(Fri_W1[[#This Row],[Employee Name]],'Base Schedules'!$A$1:$AW$44,48,FALSE)),"")</f>
        <v>-</v>
      </c>
      <c r="AX43" s="184" t="str">
        <f>IFERROR(IF(VLOOKUP(Fri_W1[[#This Row],[Employee Name]],'Base Schedules'!$A$1:$AW$44,49,FALSE)="","",VLOOKUP(Fri_W1[[#This Row],[Employee Name]],'Base Schedules'!$A$1:$AW$44,49,FALSE)),"")</f>
        <v/>
      </c>
      <c r="AY43" s="245" t="str">
        <f t="shared" si="2"/>
        <v>Donaca, Jeff</v>
      </c>
    </row>
    <row r="44" spans="1:51" s="44" customFormat="1" ht="11.25" customHeight="1" x14ac:dyDescent="0.2">
      <c r="A44" s="39" t="str">
        <f>IF(B44="","",INDEX(TeamList[],MATCH($B44,TeamList[[Employee Name]:[Employee Name]],0),MATCH("Manager",TeamList[#Headers],0)))</f>
        <v>Olson, Katherine</v>
      </c>
      <c r="B44" s="201" t="s">
        <v>235</v>
      </c>
      <c r="C44" s="257" t="str">
        <f>_xlfn.IFNA(VLOOKUP(Fri_W1[[#This Row],[Employee Name]],'Base Schedules'!A:B,2,FALSE),"")</f>
        <v>Lead</v>
      </c>
      <c r="D44" s="274">
        <f>_xlfn.IFNA(VLOOKUP(Fri_W1[[#This Row],[Employee Name]],'Base Schedules'!A:C,3,FALSE),"")</f>
        <v>1530</v>
      </c>
      <c r="E44" s="274">
        <f>_xlfn.IFNA(VLOOKUP(Fri_W1[[#This Row],[Employee Name]],'Base Schedules'!A:D,4,FALSE),"")</f>
        <v>0</v>
      </c>
      <c r="F44" s="142">
        <f>IF(Fri_W1[[#This Row],[Employee Name]]="","",IF(Fri_W1[[#This Row],[Dept]]="Supervisor",COUNTIFS($J44:$AX44,"*HL*",$J44:$AX44,"&lt;&gt;"&amp;"pHL"),COUNTIFS($J44:$AX44,"*HL*",$J44:$AX44,"&lt;&gt;"&amp;"*pHL*",$J44:$AX44,"&lt;&gt;"&amp;"pB1 HL",$J44:$AX44,"&lt;&gt;"&amp;"pB2 HL")-SUM(COUNTIFS($J44:$AX44,"*HL B1*",$J44:$AX44,"&lt;&gt;"&amp;"pHL B1")*0.5,COUNTIFS($J44:$AX44,"*HL B2*",$J44:$AX44,"&lt;&gt;"&amp;"pHL B2")*0.5,COUNTIFS($J44:$AX44,"*B1 HL*",$J44:$AX44,"&lt;&gt;"&amp;"pB1 HL")*0.5,COUNTIFS($J44:$AX44,"*B2 HL*",$J44:$AX44,"&lt;&gt;"&amp;"pB2 HL")*0.5)))</f>
        <v>7.5</v>
      </c>
      <c r="G44" s="142">
        <f>IF(B44="","",COUNTIFS($J44:$AX44,"*Coaching*",$J44:$AX44,"&lt;&gt;"&amp;"pTM",$J44:$AX44,"&lt;&gt;"&amp;"uTM"))</f>
        <v>0</v>
      </c>
      <c r="H44" s="142">
        <f t="shared" si="1"/>
        <v>8</v>
      </c>
      <c r="I44" s="142">
        <f>IF(Fri_W1[[#This Row],[Employee Name]]="","",IF(Fri_W1[[#This Row],[Dept]]="Supervisor",SUM(COUNTIFS($J44:$AX44,"RTA*",$J44:$AX44,"&lt;&gt;"&amp;"pRTA"),COUNTIFS($J44:$AX44,"*CRTA*",$J44:$AX44,"&lt;&gt;"&amp;"pCRTA")),COUNTIFS($J44:$AX44,"*RNNR*",$J44:$AX44,"&lt;&gt;"&amp;"*pRNNR*",$J44:$AX44,"&lt;&gt;"&amp;"pB1 RNNR",$J44:$AX44,"&lt;&gt;"&amp;"pB2 RNNR")-SUM(COUNTIFS($J44:$AX44,"*RNNR B1*",$J44:$AX44,"&lt;&gt;"&amp;"pRNNR B1")*0.5,COUNTIFS($J44:$AX44,"*RNNR B2*",$J44:$AX44,"&lt;&gt;"&amp;"pRNNR B2")*0.5,COUNTIFS($J44:$AX44,"*B1 RNNR*",$J44:$AX44,"&lt;&gt;"&amp;"pB1 RNNR")*0.5,COUNTIFS($J44:$AX44,"*B2 RNNR*",$J44:$AX44,"&lt;&gt;"&amp;"pB2 RNNR")*0.5)))</f>
        <v>0</v>
      </c>
      <c r="J44" s="184" t="str">
        <f>IFERROR(IF(VLOOKUP(Fri_W1[[#This Row],[Employee Name]],'Base Schedules'!$A$1:$AW$44,9,FALSE)="","",VLOOKUP(Fri_W1[[#This Row],[Employee Name]],'Base Schedules'!$A$1:$AW$44,9,FALSE)),"")</f>
        <v/>
      </c>
      <c r="K44" s="184" t="str">
        <f>IFERROR(IF(VLOOKUP(Fri_W1[[#This Row],[Employee Name]],'Base Schedules'!$A$1:$AW$44,10,FALSE)="","",VLOOKUP(Fri_W1[[#This Row],[Employee Name]],'Base Schedules'!$A$1:$AW$44,10,FALSE)),"")</f>
        <v/>
      </c>
      <c r="L44" s="184" t="str">
        <f>IFERROR(IF(VLOOKUP(Fri_W1[[#This Row],[Employee Name]],'Base Schedules'!$A$1:$AW$44,11,FALSE)="","",VLOOKUP(Fri_W1[[#This Row],[Employee Name]],'Base Schedules'!$A$1:$AW$44,11,FALSE)),"")</f>
        <v/>
      </c>
      <c r="M44" s="184" t="str">
        <f>IFERROR(IF(VLOOKUP(Fri_W1[[#This Row],[Employee Name]],'Base Schedules'!$A$1:$AW$44,12,FALSE)="","",VLOOKUP(Fri_W1[[#This Row],[Employee Name]],'Base Schedules'!$A$1:$AW$44,12,FALSE)),"")</f>
        <v/>
      </c>
      <c r="N44" s="184" t="str">
        <f>IFERROR(IF(VLOOKUP(Fri_W1[[#This Row],[Employee Name]],'Base Schedules'!$A$1:$AW$44,13,FALSE)="","",VLOOKUP(Fri_W1[[#This Row],[Employee Name]],'Base Schedules'!$A$1:$AW$44,13,FALSE)),"")</f>
        <v/>
      </c>
      <c r="O44" s="184" t="str">
        <f>IFERROR(IF(VLOOKUP(Fri_W1[[#This Row],[Employee Name]],'Base Schedules'!$A$1:$AW$44,14,FALSE)="","",VLOOKUP(Fri_W1[[#This Row],[Employee Name]],'Base Schedules'!$A$1:$AW$44,14,FALSE)),"")</f>
        <v/>
      </c>
      <c r="P44" s="184" t="str">
        <f>IFERROR(IF(VLOOKUP(Fri_W1[[#This Row],[Employee Name]],'Base Schedules'!$A$1:$AW$44,15,FALSE)="","",VLOOKUP(Fri_W1[[#This Row],[Employee Name]],'Base Schedules'!$A$1:$AW$44,15,FALSE)),"")</f>
        <v/>
      </c>
      <c r="Q44" s="184" t="str">
        <f>IFERROR(IF(VLOOKUP(Fri_W1[[#This Row],[Employee Name]],'Base Schedules'!$A$1:$AW$44,16,FALSE)="","",VLOOKUP(Fri_W1[[#This Row],[Employee Name]],'Base Schedules'!$A$1:$AW$44,16,FALSE)),"")</f>
        <v/>
      </c>
      <c r="R44" s="184" t="str">
        <f>IFERROR(IF(VLOOKUP(Fri_W1[[#This Row],[Employee Name]],'Base Schedules'!$A$1:$AW$44,17,FALSE)="","",VLOOKUP(Fri_W1[[#This Row],[Employee Name]],'Base Schedules'!$A$1:$AW$44,17,FALSE)),"")</f>
        <v/>
      </c>
      <c r="S44" s="184" t="str">
        <f>IFERROR(IF(VLOOKUP(Fri_W1[[#This Row],[Employee Name]],'Base Schedules'!$A$1:$AW$44,18,FALSE)="","",VLOOKUP(Fri_W1[[#This Row],[Employee Name]],'Base Schedules'!$A$1:$AW$44,18,FALSE)),"")</f>
        <v/>
      </c>
      <c r="T44" s="184" t="str">
        <f>IFERROR(IF(VLOOKUP(Fri_W1[[#This Row],[Employee Name]],'Base Schedules'!$A$1:$AW$44,19,FALSE)="","",VLOOKUP(Fri_W1[[#This Row],[Employee Name]],'Base Schedules'!$A$1:$AW$44,19,FALSE)),"")</f>
        <v/>
      </c>
      <c r="U44" s="184" t="str">
        <f>IFERROR(IF(VLOOKUP(Fri_W1[[#This Row],[Employee Name]],'Base Schedules'!$A$1:$AW$44,20,FALSE)="","",VLOOKUP(Fri_W1[[#This Row],[Employee Name]],'Base Schedules'!$A$1:$AW$44,20,FALSE)),"")</f>
        <v/>
      </c>
      <c r="V44" s="184" t="str">
        <f>IFERROR(IF(VLOOKUP(Fri_W1[[#This Row],[Employee Name]],'Base Schedules'!$A$1:$AW$44,21,FALSE)="","",VLOOKUP(Fri_W1[[#This Row],[Employee Name]],'Base Schedules'!$A$1:$AW$44,21,FALSE)),"")</f>
        <v/>
      </c>
      <c r="W44" s="184" t="str">
        <f>IFERROR(IF(VLOOKUP(Fri_W1[[#This Row],[Employee Name]],'Base Schedules'!$A$1:$AW$44,22,FALSE)="","",VLOOKUP(Fri_W1[[#This Row],[Employee Name]],'Base Schedules'!$A$1:$AW$44,22,FALSE)),"")</f>
        <v/>
      </c>
      <c r="X44" s="184" t="str">
        <f>IFERROR(IF(VLOOKUP(Fri_W1[[#This Row],[Employee Name]],'Base Schedules'!$A$1:$AW$44,23,FALSE)="","",VLOOKUP(Fri_W1[[#This Row],[Employee Name]],'Base Schedules'!$A$1:$AW$44,23,FALSE)),"")</f>
        <v/>
      </c>
      <c r="Y44" s="184" t="str">
        <f>IFERROR(IF(VLOOKUP(Fri_W1[[#This Row],[Employee Name]],'Base Schedules'!$A$1:$AW$44,24,FALSE)="","",VLOOKUP(Fri_W1[[#This Row],[Employee Name]],'Base Schedules'!$A$1:$AW$44,24,FALSE)),"")</f>
        <v/>
      </c>
      <c r="Z44" s="184" t="str">
        <f>IFERROR(IF(VLOOKUP(Fri_W1[[#This Row],[Employee Name]],'Base Schedules'!$A$1:$AW$44,25,FALSE)="","",VLOOKUP(Fri_W1[[#This Row],[Employee Name]],'Base Schedules'!$A$1:$AW$44,25,FALSE)),"")</f>
        <v/>
      </c>
      <c r="AA44" s="184" t="str">
        <f>IFERROR(IF(VLOOKUP(Fri_W1[[#This Row],[Employee Name]],'Base Schedules'!$A$1:$AW$44,26,FALSE)="","",VLOOKUP(Fri_W1[[#This Row],[Employee Name]],'Base Schedules'!$A$1:$AW$44,26,FALSE)),"")</f>
        <v/>
      </c>
      <c r="AB44" s="184" t="str">
        <f>IFERROR(IF(VLOOKUP(Fri_W1[[#This Row],[Employee Name]],'Base Schedules'!$A$1:$AW$44,27,FALSE)="","",VLOOKUP(Fri_W1[[#This Row],[Employee Name]],'Base Schedules'!$A$1:$AW$44,27,FALSE)),"")</f>
        <v/>
      </c>
      <c r="AC44" s="184" t="str">
        <f>IFERROR(IF(VLOOKUP(Fri_W1[[#This Row],[Employee Name]],'Base Schedules'!$A$1:$AW$44,28,FALSE)="","",VLOOKUP(Fri_W1[[#This Row],[Employee Name]],'Base Schedules'!$A$1:$AW$44,28,FALSE)),"")</f>
        <v/>
      </c>
      <c r="AD44" s="184" t="str">
        <f>IFERROR(IF(VLOOKUP(Fri_W1[[#This Row],[Employee Name]],'Base Schedules'!$A$1:$AW$44,29,FALSE)="","",VLOOKUP(Fri_W1[[#This Row],[Employee Name]],'Base Schedules'!$A$1:$AW$44,29,FALSE)),"")</f>
        <v/>
      </c>
      <c r="AE44" s="184" t="str">
        <f>IFERROR(IF(VLOOKUP(Fri_W1[[#This Row],[Employee Name]],'Base Schedules'!$A$1:$AW$44,30,FALSE)="","",VLOOKUP(Fri_W1[[#This Row],[Employee Name]],'Base Schedules'!$A$1:$AW$44,30,FALSE)),"")</f>
        <v>ADM</v>
      </c>
      <c r="AF44" s="184" t="str">
        <f>IFERROR(IF(VLOOKUP(Fri_W1[[#This Row],[Employee Name]],'Base Schedules'!$A$1:$AW$44,31,FALSE)="","",VLOOKUP(Fri_W1[[#This Row],[Employee Name]],'Base Schedules'!$A$1:$AW$44,31,FALSE)),"")</f>
        <v>ADM</v>
      </c>
      <c r="AG44" s="184" t="str">
        <f>IFERROR(IF(VLOOKUP(Fri_W1[[#This Row],[Employee Name]],'Base Schedules'!$A$1:$AW$44,32,FALSE)="","",VLOOKUP(Fri_W1[[#This Row],[Employee Name]],'Base Schedules'!$A$1:$AW$44,32,FALSE)),"")</f>
        <v>ADM</v>
      </c>
      <c r="AH44" s="184" t="str">
        <f>IFERROR(IF(VLOOKUP(Fri_W1[[#This Row],[Employee Name]],'Base Schedules'!$A$1:$AW$44,33,FALSE)="","",VLOOKUP(Fri_W1[[#This Row],[Employee Name]],'Base Schedules'!$A$1:$AW$44,33,FALSE)),"")</f>
        <v>ADM</v>
      </c>
      <c r="AI44" s="184" t="str">
        <f>IFERROR(IF(VLOOKUP(Fri_W1[[#This Row],[Employee Name]],'Base Schedules'!$A$1:$AW$44,34,FALSE)="","",VLOOKUP(Fri_W1[[#This Row],[Employee Name]],'Base Schedules'!$A$1:$AW$44,34,FALSE)),"")</f>
        <v>B1 ADM</v>
      </c>
      <c r="AJ44" s="184" t="str">
        <f>IFERROR(IF(VLOOKUP(Fri_W1[[#This Row],[Employee Name]],'Base Schedules'!$A$1:$AW$44,35,FALSE)="","",VLOOKUP(Fri_W1[[#This Row],[Employee Name]],'Base Schedules'!$A$1:$AW$44,35,FALSE)),"")</f>
        <v>ADM</v>
      </c>
      <c r="AK44" s="184" t="str">
        <f>IFERROR(IF(VLOOKUP(Fri_W1[[#This Row],[Employee Name]],'Base Schedules'!$A$1:$AW$44,36,FALSE)="","",VLOOKUP(Fri_W1[[#This Row],[Employee Name]],'Base Schedules'!$A$1:$AW$44,36,FALSE)),"")</f>
        <v>ADM</v>
      </c>
      <c r="AL44" s="184" t="str">
        <f>IFERROR(IF(VLOOKUP(Fri_W1[[#This Row],[Employee Name]],'Base Schedules'!$A$1:$AW$44,37,FALSE)="","",VLOOKUP(Fri_W1[[#This Row],[Employee Name]],'Base Schedules'!$A$1:$AW$44,37,FALSE)),"")</f>
        <v>ADM</v>
      </c>
      <c r="AM44" s="184" t="str">
        <f>IFERROR(IF(VLOOKUP(Fri_W1[[#This Row],[Employee Name]],'Base Schedules'!$A$1:$AW$44,38,FALSE)="","",VLOOKUP(Fri_W1[[#This Row],[Employee Name]],'Base Schedules'!$A$1:$AW$44,38,FALSE)),"")</f>
        <v>LUNCH</v>
      </c>
      <c r="AN44" s="184" t="str">
        <f>IFERROR(IF(VLOOKUP(Fri_W1[[#This Row],[Employee Name]],'Base Schedules'!$A$1:$AW$44,39,FALSE)="","",VLOOKUP(Fri_W1[[#This Row],[Employee Name]],'Base Schedules'!$A$1:$AW$44,39,FALSE)),"")</f>
        <v>HL</v>
      </c>
      <c r="AO44" s="184" t="str">
        <f>IFERROR(IF(VLOOKUP(Fri_W1[[#This Row],[Employee Name]],'Base Schedules'!$A$1:$AW$44,40,FALSE)="","",VLOOKUP(Fri_W1[[#This Row],[Employee Name]],'Base Schedules'!$A$1:$AW$44,40,FALSE)),"")</f>
        <v>HL</v>
      </c>
      <c r="AP44" s="184" t="str">
        <f>IFERROR(IF(VLOOKUP(Fri_W1[[#This Row],[Employee Name]],'Base Schedules'!$A$1:$AW$44,41,FALSE)="","",VLOOKUP(Fri_W1[[#This Row],[Employee Name]],'Base Schedules'!$A$1:$AW$44,41,FALSE)),"")</f>
        <v>HL</v>
      </c>
      <c r="AQ44" s="184" t="str">
        <f>IFERROR(IF(VLOOKUP(Fri_W1[[#This Row],[Employee Name]],'Base Schedules'!$A$1:$AW$44,42,FALSE)="","",VLOOKUP(Fri_W1[[#This Row],[Employee Name]],'Base Schedules'!$A$1:$AW$44,42,FALSE)),"")</f>
        <v>HL</v>
      </c>
      <c r="AR44" s="184" t="str">
        <f>IFERROR(IF(VLOOKUP(Fri_W1[[#This Row],[Employee Name]],'Base Schedules'!$A$1:$AW$44,43,FALSE)="","",VLOOKUP(Fri_W1[[#This Row],[Employee Name]],'Base Schedules'!$A$1:$AW$44,43,FALSE)),"")</f>
        <v>HL B2</v>
      </c>
      <c r="AS44" s="184" t="str">
        <f>IFERROR(IF(VLOOKUP(Fri_W1[[#This Row],[Employee Name]],'Base Schedules'!$A$1:$AW$44,44,FALSE)="","",VLOOKUP(Fri_W1[[#This Row],[Employee Name]],'Base Schedules'!$A$1:$AW$44,44,FALSE)),"")</f>
        <v>HL</v>
      </c>
      <c r="AT44" s="184" t="str">
        <f>IFERROR(IF(VLOOKUP(Fri_W1[[#This Row],[Employee Name]],'Base Schedules'!$A$1:$AW$44,45,FALSE)="","",VLOOKUP(Fri_W1[[#This Row],[Employee Name]],'Base Schedules'!$A$1:$AW$44,45,FALSE)),"")</f>
        <v>HL</v>
      </c>
      <c r="AU44" s="184" t="str">
        <f>IFERROR(IF(VLOOKUP(Fri_W1[[#This Row],[Employee Name]],'Base Schedules'!$A$1:$AW$44,46,FALSE)="","",VLOOKUP(Fri_W1[[#This Row],[Employee Name]],'Base Schedules'!$A$1:$AW$44,46,FALSE)),"")</f>
        <v>HL</v>
      </c>
      <c r="AV44" s="184" t="str">
        <f>IFERROR(IF(VLOOKUP(Fri_W1[[#This Row],[Employee Name]],'Base Schedules'!$A$1:$AW$44,47,FALSE)="","",VLOOKUP(Fri_W1[[#This Row],[Employee Name]],'Base Schedules'!$A$1:$AW$44,47,FALSE)),"")</f>
        <v/>
      </c>
      <c r="AW44" s="184" t="str">
        <f>IFERROR(IF(VLOOKUP(Fri_W1[[#This Row],[Employee Name]],'Base Schedules'!$A$1:$AW$44,48,FALSE)="","",VLOOKUP(Fri_W1[[#This Row],[Employee Name]],'Base Schedules'!$A$1:$AW$44,48,FALSE)),"")</f>
        <v/>
      </c>
      <c r="AX44" s="184" t="str">
        <f>IFERROR(IF(VLOOKUP(Fri_W1[[#This Row],[Employee Name]],'Base Schedules'!$A$1:$AW$44,49,FALSE)="","",VLOOKUP(Fri_W1[[#This Row],[Employee Name]],'Base Schedules'!$A$1:$AW$44,49,FALSE)),"")</f>
        <v/>
      </c>
      <c r="AY44" s="245" t="str">
        <f t="shared" si="2"/>
        <v>Britton, Michael</v>
      </c>
    </row>
    <row r="45" spans="1:51" s="44" customFormat="1" ht="11.25" customHeight="1" thickBot="1" x14ac:dyDescent="0.25">
      <c r="A45" s="39" t="str">
        <f>IF(B45="","",INDEX(TeamList[],MATCH($B45,TeamList[[Employee Name]:[Employee Name]],0),MATCH("Manager",TeamList[#Headers],0)))</f>
        <v>Olson, Katherine</v>
      </c>
      <c r="B45" s="201" t="s">
        <v>229</v>
      </c>
      <c r="C45" s="257" t="str">
        <f>_xlfn.IFNA(VLOOKUP(Fri_W1[[#This Row],[Employee Name]],'Base Schedules'!A:B,2,FALSE),"")</f>
        <v>Lead</v>
      </c>
      <c r="D45" s="274">
        <f>_xlfn.IFNA(VLOOKUP(Fri_W1[[#This Row],[Employee Name]],'Base Schedules'!A:C,3,FALSE),"")</f>
        <v>1630</v>
      </c>
      <c r="E45" s="274">
        <f>_xlfn.IFNA(VLOOKUP(Fri_W1[[#This Row],[Employee Name]],'Base Schedules'!A:D,4,FALSE),"")</f>
        <v>100</v>
      </c>
      <c r="F45" s="142">
        <f>IF(Fri_W1[[#This Row],[Employee Name]]="","",IF(Fri_W1[[#This Row],[Dept]]="Supervisor",COUNTIFS($J45:$AX45,"*HL*",$J45:$AX45,"&lt;&gt;"&amp;"pHL"),COUNTIFS($J45:$AX45,"*HL*",$J45:$AX45,"&lt;&gt;"&amp;"*pHL*",$J45:$AX45,"&lt;&gt;"&amp;"pB1 HL",$J45:$AX45,"&lt;&gt;"&amp;"pB2 HL")-SUM(COUNTIFS($J45:$AX45,"*HL B1*",$J45:$AX45,"&lt;&gt;"&amp;"pHL B1")*0.5,COUNTIFS($J45:$AX45,"*HL B2*",$J45:$AX45,"&lt;&gt;"&amp;"pHL B2")*0.5,COUNTIFS($J45:$AX45,"*B1 HL*",$J45:$AX45,"&lt;&gt;"&amp;"pB1 HL")*0.5,COUNTIFS($J45:$AX45,"*B2 HL*",$J45:$AX45,"&lt;&gt;"&amp;"pB2 HL")*0.5)))</f>
        <v>7.5</v>
      </c>
      <c r="G45" s="142">
        <f>IF(B45="","",COUNTIFS($J45:$AX45,"*Coaching*",$J45:$AX45,"&lt;&gt;"&amp;"pTM",$J45:$AX45,"&lt;&gt;"&amp;"uTM"))</f>
        <v>0</v>
      </c>
      <c r="H45" s="142">
        <f t="shared" si="1"/>
        <v>8</v>
      </c>
      <c r="I45" s="142">
        <f>IF(Fri_W1[[#This Row],[Employee Name]]="","",IF(Fri_W1[[#This Row],[Dept]]="Supervisor",SUM(COUNTIFS($J45:$AX45,"RTA*",$J45:$AX45,"&lt;&gt;"&amp;"pRTA"),COUNTIFS($J45:$AX45,"*CRTA*",$J45:$AX45,"&lt;&gt;"&amp;"pCRTA")),COUNTIFS($J45:$AX45,"*RNNR*",$J45:$AX45,"&lt;&gt;"&amp;"*pRNNR*",$J45:$AX45,"&lt;&gt;"&amp;"pB1 RNNR",$J45:$AX45,"&lt;&gt;"&amp;"pB2 RNNR")-SUM(COUNTIFS($J45:$AX45,"*RNNR B1*",$J45:$AX45,"&lt;&gt;"&amp;"pRNNR B1")*0.5,COUNTIFS($J45:$AX45,"*RNNR B2*",$J45:$AX45,"&lt;&gt;"&amp;"pRNNR B2")*0.5,COUNTIFS($J45:$AX45,"*B1 RNNR*",$J45:$AX45,"&lt;&gt;"&amp;"pB1 RNNR")*0.5,COUNTIFS($J45:$AX45,"*B2 RNNR*",$J45:$AX45,"&lt;&gt;"&amp;"pB2 RNNR")*0.5)))</f>
        <v>0</v>
      </c>
      <c r="J45" s="184" t="str">
        <f>IFERROR(IF(VLOOKUP(Fri_W1[[#This Row],[Employee Name]],'Base Schedules'!$A$1:$AW$44,9,FALSE)="","",VLOOKUP(Fri_W1[[#This Row],[Employee Name]],'Base Schedules'!$A$1:$AW$44,9,FALSE)),"")</f>
        <v/>
      </c>
      <c r="K45" s="184" t="str">
        <f>IFERROR(IF(VLOOKUP(Fri_W1[[#This Row],[Employee Name]],'Base Schedules'!$A$1:$AW$44,10,FALSE)="","",VLOOKUP(Fri_W1[[#This Row],[Employee Name]],'Base Schedules'!$A$1:$AW$44,10,FALSE)),"")</f>
        <v/>
      </c>
      <c r="L45" s="184" t="str">
        <f>IFERROR(IF(VLOOKUP(Fri_W1[[#This Row],[Employee Name]],'Base Schedules'!$A$1:$AW$44,11,FALSE)="","",VLOOKUP(Fri_W1[[#This Row],[Employee Name]],'Base Schedules'!$A$1:$AW$44,11,FALSE)),"")</f>
        <v/>
      </c>
      <c r="M45" s="184" t="str">
        <f>IFERROR(IF(VLOOKUP(Fri_W1[[#This Row],[Employee Name]],'Base Schedules'!$A$1:$AW$44,12,FALSE)="","",VLOOKUP(Fri_W1[[#This Row],[Employee Name]],'Base Schedules'!$A$1:$AW$44,12,FALSE)),"")</f>
        <v/>
      </c>
      <c r="N45" s="184" t="str">
        <f>IFERROR(IF(VLOOKUP(Fri_W1[[#This Row],[Employee Name]],'Base Schedules'!$A$1:$AW$44,13,FALSE)="","",VLOOKUP(Fri_W1[[#This Row],[Employee Name]],'Base Schedules'!$A$1:$AW$44,13,FALSE)),"")</f>
        <v/>
      </c>
      <c r="O45" s="184" t="str">
        <f>IFERROR(IF(VLOOKUP(Fri_W1[[#This Row],[Employee Name]],'Base Schedules'!$A$1:$AW$44,14,FALSE)="","",VLOOKUP(Fri_W1[[#This Row],[Employee Name]],'Base Schedules'!$A$1:$AW$44,14,FALSE)),"")</f>
        <v/>
      </c>
      <c r="P45" s="184" t="str">
        <f>IFERROR(IF(VLOOKUP(Fri_W1[[#This Row],[Employee Name]],'Base Schedules'!$A$1:$AW$44,15,FALSE)="","",VLOOKUP(Fri_W1[[#This Row],[Employee Name]],'Base Schedules'!$A$1:$AW$44,15,FALSE)),"")</f>
        <v/>
      </c>
      <c r="Q45" s="184" t="str">
        <f>IFERROR(IF(VLOOKUP(Fri_W1[[#This Row],[Employee Name]],'Base Schedules'!$A$1:$AW$44,16,FALSE)="","",VLOOKUP(Fri_W1[[#This Row],[Employee Name]],'Base Schedules'!$A$1:$AW$44,16,FALSE)),"")</f>
        <v/>
      </c>
      <c r="R45" s="184" t="str">
        <f>IFERROR(IF(VLOOKUP(Fri_W1[[#This Row],[Employee Name]],'Base Schedules'!$A$1:$AW$44,17,FALSE)="","",VLOOKUP(Fri_W1[[#This Row],[Employee Name]],'Base Schedules'!$A$1:$AW$44,17,FALSE)),"")</f>
        <v/>
      </c>
      <c r="S45" s="184" t="str">
        <f>IFERROR(IF(VLOOKUP(Fri_W1[[#This Row],[Employee Name]],'Base Schedules'!$A$1:$AW$44,18,FALSE)="","",VLOOKUP(Fri_W1[[#This Row],[Employee Name]],'Base Schedules'!$A$1:$AW$44,18,FALSE)),"")</f>
        <v/>
      </c>
      <c r="T45" s="184" t="str">
        <f>IFERROR(IF(VLOOKUP(Fri_W1[[#This Row],[Employee Name]],'Base Schedules'!$A$1:$AW$44,19,FALSE)="","",VLOOKUP(Fri_W1[[#This Row],[Employee Name]],'Base Schedules'!$A$1:$AW$44,19,FALSE)),"")</f>
        <v/>
      </c>
      <c r="U45" s="184" t="str">
        <f>IFERROR(IF(VLOOKUP(Fri_W1[[#This Row],[Employee Name]],'Base Schedules'!$A$1:$AW$44,20,FALSE)="","",VLOOKUP(Fri_W1[[#This Row],[Employee Name]],'Base Schedules'!$A$1:$AW$44,20,FALSE)),"")</f>
        <v/>
      </c>
      <c r="V45" s="184" t="str">
        <f>IFERROR(IF(VLOOKUP(Fri_W1[[#This Row],[Employee Name]],'Base Schedules'!$A$1:$AW$44,21,FALSE)="","",VLOOKUP(Fri_W1[[#This Row],[Employee Name]],'Base Schedules'!$A$1:$AW$44,21,FALSE)),"")</f>
        <v/>
      </c>
      <c r="W45" s="184" t="str">
        <f>IFERROR(IF(VLOOKUP(Fri_W1[[#This Row],[Employee Name]],'Base Schedules'!$A$1:$AW$44,22,FALSE)="","",VLOOKUP(Fri_W1[[#This Row],[Employee Name]],'Base Schedules'!$A$1:$AW$44,22,FALSE)),"")</f>
        <v/>
      </c>
      <c r="X45" s="184" t="str">
        <f>IFERROR(IF(VLOOKUP(Fri_W1[[#This Row],[Employee Name]],'Base Schedules'!$A$1:$AW$44,23,FALSE)="","",VLOOKUP(Fri_W1[[#This Row],[Employee Name]],'Base Schedules'!$A$1:$AW$44,23,FALSE)),"")</f>
        <v/>
      </c>
      <c r="Y45" s="184" t="str">
        <f>IFERROR(IF(VLOOKUP(Fri_W1[[#This Row],[Employee Name]],'Base Schedules'!$A$1:$AW$44,24,FALSE)="","",VLOOKUP(Fri_W1[[#This Row],[Employee Name]],'Base Schedules'!$A$1:$AW$44,24,FALSE)),"")</f>
        <v/>
      </c>
      <c r="Z45" s="184" t="str">
        <f>IFERROR(IF(VLOOKUP(Fri_W1[[#This Row],[Employee Name]],'Base Schedules'!$A$1:$AW$44,25,FALSE)="","",VLOOKUP(Fri_W1[[#This Row],[Employee Name]],'Base Schedules'!$A$1:$AW$44,25,FALSE)),"")</f>
        <v/>
      </c>
      <c r="AA45" s="184" t="str">
        <f>IFERROR(IF(VLOOKUP(Fri_W1[[#This Row],[Employee Name]],'Base Schedules'!$A$1:$AW$44,26,FALSE)="","",VLOOKUP(Fri_W1[[#This Row],[Employee Name]],'Base Schedules'!$A$1:$AW$44,26,FALSE)),"")</f>
        <v/>
      </c>
      <c r="AB45" s="184" t="str">
        <f>IFERROR(IF(VLOOKUP(Fri_W1[[#This Row],[Employee Name]],'Base Schedules'!$A$1:$AW$44,27,FALSE)="","",VLOOKUP(Fri_W1[[#This Row],[Employee Name]],'Base Schedules'!$A$1:$AW$44,27,FALSE)),"")</f>
        <v/>
      </c>
      <c r="AC45" s="184" t="str">
        <f>IFERROR(IF(VLOOKUP(Fri_W1[[#This Row],[Employee Name]],'Base Schedules'!$A$1:$AW$44,28,FALSE)="","",VLOOKUP(Fri_W1[[#This Row],[Employee Name]],'Base Schedules'!$A$1:$AW$44,28,FALSE)),"")</f>
        <v/>
      </c>
      <c r="AD45" s="184" t="str">
        <f>IFERROR(IF(VLOOKUP(Fri_W1[[#This Row],[Employee Name]],'Base Schedules'!$A$1:$AW$44,29,FALSE)="","",VLOOKUP(Fri_W1[[#This Row],[Employee Name]],'Base Schedules'!$A$1:$AW$44,29,FALSE)),"")</f>
        <v/>
      </c>
      <c r="AE45" s="184" t="str">
        <f>IFERROR(IF(VLOOKUP(Fri_W1[[#This Row],[Employee Name]],'Base Schedules'!$A$1:$AW$44,30,FALSE)="","",VLOOKUP(Fri_W1[[#This Row],[Employee Name]],'Base Schedules'!$A$1:$AW$44,30,FALSE)),"")</f>
        <v/>
      </c>
      <c r="AF45" s="184" t="str">
        <f>IFERROR(IF(VLOOKUP(Fri_W1[[#This Row],[Employee Name]],'Base Schedules'!$A$1:$AW$44,31,FALSE)="","",VLOOKUP(Fri_W1[[#This Row],[Employee Name]],'Base Schedules'!$A$1:$AW$44,31,FALSE)),"")</f>
        <v/>
      </c>
      <c r="AG45" s="184" t="str">
        <f>IFERROR(IF(VLOOKUP(Fri_W1[[#This Row],[Employee Name]],'Base Schedules'!$A$1:$AW$44,32,FALSE)="","",VLOOKUP(Fri_W1[[#This Row],[Employee Name]],'Base Schedules'!$A$1:$AW$44,32,FALSE)),"")</f>
        <v>ADM</v>
      </c>
      <c r="AH45" s="184" t="str">
        <f>IFERROR(IF(VLOOKUP(Fri_W1[[#This Row],[Employee Name]],'Base Schedules'!$A$1:$AW$44,33,FALSE)="","",VLOOKUP(Fri_W1[[#This Row],[Employee Name]],'Base Schedules'!$A$1:$AW$44,33,FALSE)),"")</f>
        <v>ADM</v>
      </c>
      <c r="AI45" s="184" t="str">
        <f>IFERROR(IF(VLOOKUP(Fri_W1[[#This Row],[Employee Name]],'Base Schedules'!$A$1:$AW$44,34,FALSE)="","",VLOOKUP(Fri_W1[[#This Row],[Employee Name]],'Base Schedules'!$A$1:$AW$44,34,FALSE)),"")</f>
        <v>ADM</v>
      </c>
      <c r="AJ45" s="184" t="str">
        <f>IFERROR(IF(VLOOKUP(Fri_W1[[#This Row],[Employee Name]],'Base Schedules'!$A$1:$AW$44,35,FALSE)="","",VLOOKUP(Fri_W1[[#This Row],[Employee Name]],'Base Schedules'!$A$1:$AW$44,35,FALSE)),"")</f>
        <v>ADM B1</v>
      </c>
      <c r="AK45" s="184" t="str">
        <f>IFERROR(IF(VLOOKUP(Fri_W1[[#This Row],[Employee Name]],'Base Schedules'!$A$1:$AW$44,36,FALSE)="","",VLOOKUP(Fri_W1[[#This Row],[Employee Name]],'Base Schedules'!$A$1:$AW$44,36,FALSE)),"")</f>
        <v>ADM</v>
      </c>
      <c r="AL45" s="184" t="str">
        <f>IFERROR(IF(VLOOKUP(Fri_W1[[#This Row],[Employee Name]],'Base Schedules'!$A$1:$AW$44,37,FALSE)="","",VLOOKUP(Fri_W1[[#This Row],[Employee Name]],'Base Schedules'!$A$1:$AW$44,37,FALSE)),"")</f>
        <v>ADM</v>
      </c>
      <c r="AM45" s="184" t="str">
        <f>IFERROR(IF(VLOOKUP(Fri_W1[[#This Row],[Employee Name]],'Base Schedules'!$A$1:$AW$44,38,FALSE)="","",VLOOKUP(Fri_W1[[#This Row],[Employee Name]],'Base Schedules'!$A$1:$AW$44,38,FALSE)),"")</f>
        <v>ADM</v>
      </c>
      <c r="AN45" s="184" t="str">
        <f>IFERROR(IF(VLOOKUP(Fri_W1[[#This Row],[Employee Name]],'Base Schedules'!$A$1:$AW$44,39,FALSE)="","",VLOOKUP(Fri_W1[[#This Row],[Employee Name]],'Base Schedules'!$A$1:$AW$44,39,FALSE)),"")</f>
        <v>LUNCH</v>
      </c>
      <c r="AO45" s="184" t="str">
        <f>IFERROR(IF(VLOOKUP(Fri_W1[[#This Row],[Employee Name]],'Base Schedules'!$A$1:$AW$44,40,FALSE)="","",VLOOKUP(Fri_W1[[#This Row],[Employee Name]],'Base Schedules'!$A$1:$AW$44,40,FALSE)),"")</f>
        <v>ADM</v>
      </c>
      <c r="AP45" s="184" t="str">
        <f>IFERROR(IF(VLOOKUP(Fri_W1[[#This Row],[Employee Name]],'Base Schedules'!$A$1:$AW$44,41,FALSE)="","",VLOOKUP(Fri_W1[[#This Row],[Employee Name]],'Base Schedules'!$A$1:$AW$44,41,FALSE)),"")</f>
        <v>HL</v>
      </c>
      <c r="AQ45" s="184" t="str">
        <f>IFERROR(IF(VLOOKUP(Fri_W1[[#This Row],[Employee Name]],'Base Schedules'!$A$1:$AW$44,42,FALSE)="","",VLOOKUP(Fri_W1[[#This Row],[Employee Name]],'Base Schedules'!$A$1:$AW$44,42,FALSE)),"")</f>
        <v>HL</v>
      </c>
      <c r="AR45" s="184" t="str">
        <f>IFERROR(IF(VLOOKUP(Fri_W1[[#This Row],[Employee Name]],'Base Schedules'!$A$1:$AW$44,43,FALSE)="","",VLOOKUP(Fri_W1[[#This Row],[Employee Name]],'Base Schedules'!$A$1:$AW$44,43,FALSE)),"")</f>
        <v>HL</v>
      </c>
      <c r="AS45" s="184" t="str">
        <f>IFERROR(IF(VLOOKUP(Fri_W1[[#This Row],[Employee Name]],'Base Schedules'!$A$1:$AW$44,44,FALSE)="","",VLOOKUP(Fri_W1[[#This Row],[Employee Name]],'Base Schedules'!$A$1:$AW$44,44,FALSE)),"")</f>
        <v>B2 HL</v>
      </c>
      <c r="AT45" s="184" t="str">
        <f>IFERROR(IF(VLOOKUP(Fri_W1[[#This Row],[Employee Name]],'Base Schedules'!$A$1:$AW$44,45,FALSE)="","",VLOOKUP(Fri_W1[[#This Row],[Employee Name]],'Base Schedules'!$A$1:$AW$44,45,FALSE)),"")</f>
        <v>HL</v>
      </c>
      <c r="AU45" s="184" t="str">
        <f>IFERROR(IF(VLOOKUP(Fri_W1[[#This Row],[Employee Name]],'Base Schedules'!$A$1:$AW$44,46,FALSE)="","",VLOOKUP(Fri_W1[[#This Row],[Employee Name]],'Base Schedules'!$A$1:$AW$44,46,FALSE)),"")</f>
        <v>HL</v>
      </c>
      <c r="AV45" s="184" t="str">
        <f>IFERROR(IF(VLOOKUP(Fri_W1[[#This Row],[Employee Name]],'Base Schedules'!$A$1:$AW$44,47,FALSE)="","",VLOOKUP(Fri_W1[[#This Row],[Employee Name]],'Base Schedules'!$A$1:$AW$44,47,FALSE)),"")</f>
        <v>HL</v>
      </c>
      <c r="AW45" s="184" t="str">
        <f>IFERROR(IF(VLOOKUP(Fri_W1[[#This Row],[Employee Name]],'Base Schedules'!$A$1:$AW$44,48,FALSE)="","",VLOOKUP(Fri_W1[[#This Row],[Employee Name]],'Base Schedules'!$A$1:$AW$44,48,FALSE)),"")</f>
        <v>HL</v>
      </c>
      <c r="AX45" s="184" t="str">
        <f>IFERROR(IF(VLOOKUP(Fri_W1[[#This Row],[Employee Name]],'Base Schedules'!$A$1:$AW$44,49,FALSE)="","",VLOOKUP(Fri_W1[[#This Row],[Employee Name]],'Base Schedules'!$A$1:$AW$44,49,FALSE)),"")</f>
        <v/>
      </c>
      <c r="AY45" s="245" t="str">
        <f t="shared" si="2"/>
        <v>Fairbrother, Amy</v>
      </c>
    </row>
    <row r="46" spans="1:51" s="44" customFormat="1" ht="11.25" hidden="1" customHeight="1" x14ac:dyDescent="0.2">
      <c r="A46" s="39" t="str">
        <f>IF(B46="","",INDEX(TeamList[],MATCH($B46,TeamList[[Employee Name]:[Employee Name]],0),MATCH("Manager",TeamList[#Headers],0)))</f>
        <v/>
      </c>
      <c r="B46" s="201"/>
      <c r="C46" s="257" t="str">
        <f>_xlfn.IFNA(VLOOKUP(Fri_W1[[#This Row],[Employee Name]],'Base Schedules'!A:B,2,FALSE),"")</f>
        <v/>
      </c>
      <c r="D46" s="274" t="str">
        <f>_xlfn.IFNA(VLOOKUP(Fri_W1[[#This Row],[Employee Name]],'Base Schedules'!A:C,3,FALSE),"")</f>
        <v/>
      </c>
      <c r="E46" s="274" t="str">
        <f>_xlfn.IFNA(VLOOKUP(Fri_W1[[#This Row],[Employee Name]],'Base Schedules'!A:D,4,FALSE),"")</f>
        <v/>
      </c>
      <c r="F46" s="142" t="str">
        <f>IF(Fri_W1[[#This Row],[Employee Name]]="","",IF(Fri_W1[[#This Row],[Dept]]="Supervisor",COUNTIFS($J46:$AX46,"*HL*",$J46:$AX46,"&lt;&gt;"&amp;"pHL"),COUNTIFS($J46:$AX46,"*HL*",$J46:$AX46,"&lt;&gt;"&amp;"*pHL*",$J46:$AX46,"&lt;&gt;"&amp;"pB1 HL",$J46:$AX46,"&lt;&gt;"&amp;"pB2 HL")-SUM(COUNTIFS($J46:$AX46,"*HL B1*",$J46:$AX46,"&lt;&gt;"&amp;"pHL B1")*0.5,COUNTIFS($J46:$AX46,"*HL B2*",$J46:$AX46,"&lt;&gt;"&amp;"pHL B2")*0.5,COUNTIFS($J46:$AX46,"*B1 HL*",$J46:$AX46,"&lt;&gt;"&amp;"pB1 HL")*0.5,COUNTIFS($J46:$AX46,"*B2 HL*",$J46:$AX46,"&lt;&gt;"&amp;"pB2 HL")*0.5)))</f>
        <v/>
      </c>
      <c r="G46" s="142" t="str">
        <f>IF(B46="","",COUNTIFS($J46:$AX46,"*TM*",$J46:$AX46,"&lt;&gt;"&amp;"pTM",$J46:$AX46,"&lt;&gt;"&amp;"uTM"))</f>
        <v/>
      </c>
      <c r="H46" s="142" t="str">
        <f t="shared" si="1"/>
        <v/>
      </c>
      <c r="I46" s="142" t="str">
        <f>IF(Fri_W1[[#This Row],[Employee Name]]="","",IF(Fri_W1[[#This Row],[Dept]]="Supervisor",SUM(COUNTIFS($J46:$AX46,"RTA*",$J46:$AX46,"&lt;&gt;"&amp;"pRTA"),COUNTIFS($J46:$AX46,"*CRTA*",$J46:$AX46,"&lt;&gt;"&amp;"pCRTA")),COUNTIFS($J46:$AX46,"*RNNR*",$J46:$AX46,"&lt;&gt;"&amp;"*pRNNR*",$J46:$AX46,"&lt;&gt;"&amp;"pB1 RNNR",$J46:$AX46,"&lt;&gt;"&amp;"pB2 RNNR")-SUM(COUNTIFS($J46:$AX46,"*RNNR B1*",$J46:$AX46,"&lt;&gt;"&amp;"pRNNR B1")*0.5,COUNTIFS($J46:$AX46,"*RNNR B2*",$J46:$AX46,"&lt;&gt;"&amp;"pRNNR B2")*0.5,COUNTIFS($J46:$AX46,"*B1 RNNR*",$J46:$AX46,"&lt;&gt;"&amp;"pB1 RNNR")*0.5,COUNTIFS($J46:$AX46,"*B2 RNNR*",$J46:$AX46,"&lt;&gt;"&amp;"pB2 RNNR")*0.5)))</f>
        <v/>
      </c>
      <c r="J46" s="184" t="str">
        <f>IFERROR(IF(VLOOKUP(Fri_W1[[#This Row],[Employee Name]],'Base Schedules'!$A$1:$AW$44,9,FALSE)="","",VLOOKUP(Fri_W1[[#This Row],[Employee Name]],'Base Schedules'!$A$1:$AW$44,9,FALSE)),"")</f>
        <v/>
      </c>
      <c r="K46" s="184" t="str">
        <f>IFERROR(IF(VLOOKUP(Fri_W1[[#This Row],[Employee Name]],'Base Schedules'!$A$1:$AW$44,10,FALSE)="","",VLOOKUP(Fri_W1[[#This Row],[Employee Name]],'Base Schedules'!$A$1:$AW$44,10,FALSE)),"")</f>
        <v/>
      </c>
      <c r="L46" s="184" t="str">
        <f>IFERROR(IF(VLOOKUP(Fri_W1[[#This Row],[Employee Name]],'Base Schedules'!$A$1:$AW$44,11,FALSE)="","",VLOOKUP(Fri_W1[[#This Row],[Employee Name]],'Base Schedules'!$A$1:$AW$44,11,FALSE)),"")</f>
        <v/>
      </c>
      <c r="M46" s="184" t="str">
        <f>IFERROR(IF(VLOOKUP(Fri_W1[[#This Row],[Employee Name]],'Base Schedules'!$A$1:$AW$44,12,FALSE)="","",VLOOKUP(Fri_W1[[#This Row],[Employee Name]],'Base Schedules'!$A$1:$AW$44,12,FALSE)),"")</f>
        <v/>
      </c>
      <c r="N46" s="184" t="str">
        <f>IFERROR(IF(VLOOKUP(Fri_W1[[#This Row],[Employee Name]],'Base Schedules'!$A$1:$AW$44,13,FALSE)="","",VLOOKUP(Fri_W1[[#This Row],[Employee Name]],'Base Schedules'!$A$1:$AW$44,13,FALSE)),"")</f>
        <v/>
      </c>
      <c r="O46" s="184" t="str">
        <f>IFERROR(IF(VLOOKUP(Fri_W1[[#This Row],[Employee Name]],'Base Schedules'!$A$1:$AW$44,14,FALSE)="","",VLOOKUP(Fri_W1[[#This Row],[Employee Name]],'Base Schedules'!$A$1:$AW$44,14,FALSE)),"")</f>
        <v/>
      </c>
      <c r="P46" s="184" t="str">
        <f>IFERROR(IF(VLOOKUP(Fri_W1[[#This Row],[Employee Name]],'Base Schedules'!$A$1:$AW$44,15,FALSE)="","",VLOOKUP(Fri_W1[[#This Row],[Employee Name]],'Base Schedules'!$A$1:$AW$44,15,FALSE)),"")</f>
        <v/>
      </c>
      <c r="Q46" s="184" t="str">
        <f>IFERROR(IF(VLOOKUP(Fri_W1[[#This Row],[Employee Name]],'Base Schedules'!$A$1:$AW$44,16,FALSE)="","",VLOOKUP(Fri_W1[[#This Row],[Employee Name]],'Base Schedules'!$A$1:$AW$44,16,FALSE)),"")</f>
        <v/>
      </c>
      <c r="R46" s="184" t="str">
        <f>IFERROR(IF(VLOOKUP(Fri_W1[[#This Row],[Employee Name]],'Base Schedules'!$A$1:$AW$44,17,FALSE)="","",VLOOKUP(Fri_W1[[#This Row],[Employee Name]],'Base Schedules'!$A$1:$AW$44,17,FALSE)),"")</f>
        <v/>
      </c>
      <c r="S46" s="184" t="str">
        <f>IFERROR(IF(VLOOKUP(Fri_W1[[#This Row],[Employee Name]],'Base Schedules'!$A$1:$AW$44,18,FALSE)="","",VLOOKUP(Fri_W1[[#This Row],[Employee Name]],'Base Schedules'!$A$1:$AW$44,18,FALSE)),"")</f>
        <v/>
      </c>
      <c r="T46" s="184" t="str">
        <f>IFERROR(IF(VLOOKUP(Fri_W1[[#This Row],[Employee Name]],'Base Schedules'!$A$1:$AW$44,19,FALSE)="","",VLOOKUP(Fri_W1[[#This Row],[Employee Name]],'Base Schedules'!$A$1:$AW$44,19,FALSE)),"")</f>
        <v/>
      </c>
      <c r="U46" s="184" t="str">
        <f>IFERROR(IF(VLOOKUP(Fri_W1[[#This Row],[Employee Name]],'Base Schedules'!$A$1:$AW$44,20,FALSE)="","",VLOOKUP(Fri_W1[[#This Row],[Employee Name]],'Base Schedules'!$A$1:$AW$44,20,FALSE)),"")</f>
        <v/>
      </c>
      <c r="V46" s="184" t="str">
        <f>IFERROR(IF(VLOOKUP(Fri_W1[[#This Row],[Employee Name]],'Base Schedules'!$A$1:$AW$44,21,FALSE)="","",VLOOKUP(Fri_W1[[#This Row],[Employee Name]],'Base Schedules'!$A$1:$AW$44,21,FALSE)),"")</f>
        <v/>
      </c>
      <c r="W46" s="184" t="str">
        <f>IFERROR(IF(VLOOKUP(Fri_W1[[#This Row],[Employee Name]],'Base Schedules'!$A$1:$AW$44,22,FALSE)="","",VLOOKUP(Fri_W1[[#This Row],[Employee Name]],'Base Schedules'!$A$1:$AW$44,22,FALSE)),"")</f>
        <v/>
      </c>
      <c r="X46" s="184" t="str">
        <f>IFERROR(IF(VLOOKUP(Fri_W1[[#This Row],[Employee Name]],'Base Schedules'!$A$1:$AW$44,23,FALSE)="","",VLOOKUP(Fri_W1[[#This Row],[Employee Name]],'Base Schedules'!$A$1:$AW$44,23,FALSE)),"")</f>
        <v/>
      </c>
      <c r="Y46" s="184" t="str">
        <f>IFERROR(IF(VLOOKUP(Fri_W1[[#This Row],[Employee Name]],'Base Schedules'!$A$1:$AW$44,24,FALSE)="","",VLOOKUP(Fri_W1[[#This Row],[Employee Name]],'Base Schedules'!$A$1:$AW$44,24,FALSE)),"")</f>
        <v/>
      </c>
      <c r="Z46" s="184" t="str">
        <f>IFERROR(IF(VLOOKUP(Fri_W1[[#This Row],[Employee Name]],'Base Schedules'!$A$1:$AW$44,25,FALSE)="","",VLOOKUP(Fri_W1[[#This Row],[Employee Name]],'Base Schedules'!$A$1:$AW$44,25,FALSE)),"")</f>
        <v/>
      </c>
      <c r="AA46" s="184" t="str">
        <f>IFERROR(IF(VLOOKUP(Fri_W1[[#This Row],[Employee Name]],'Base Schedules'!$A$1:$AW$44,26,FALSE)="","",VLOOKUP(Fri_W1[[#This Row],[Employee Name]],'Base Schedules'!$A$1:$AW$44,26,FALSE)),"")</f>
        <v/>
      </c>
      <c r="AB46" s="184" t="str">
        <f>IFERROR(IF(VLOOKUP(Fri_W1[[#This Row],[Employee Name]],'Base Schedules'!$A:$AA,27,FALSE)="","",VLOOKUP(Fri_W1[[#This Row],[Employee Name]],'Base Schedules'!$A:$AA,27,FALSE)),"")</f>
        <v/>
      </c>
      <c r="AC46" s="184" t="str">
        <f>IFERROR(IF(VLOOKUP(Fri_W1[[#This Row],[Employee Name]],'Base Schedules'!$A:$AB,28,FALSE)="","",VLOOKUP(Fri_W1[[#This Row],[Employee Name]],'Base Schedules'!$A:$AB,28,FALSE)),"")</f>
        <v/>
      </c>
      <c r="AD46" s="184" t="str">
        <f>IFERROR(IF(VLOOKUP(Fri_W1[[#This Row],[Employee Name]],'Base Schedules'!$A:$AC,229,FALSE)="","",VLOOKUP(Fri_W1[[#This Row],[Employee Name]],'Base Schedules'!$A:$AC,229,FALSE)),"")</f>
        <v/>
      </c>
      <c r="AE46" s="184" t="str">
        <f>IFERROR(IF(VLOOKUP(Fri_W1[[#This Row],[Employee Name]],'Base Schedules'!$A:$AD,30,FALSE)="","",VLOOKUP(Fri_W1[[#This Row],[Employee Name]],'Base Schedules'!$A:$AD,30,FALSE)),"")</f>
        <v/>
      </c>
      <c r="AF46" s="184" t="str">
        <f>IFERROR(IF(VLOOKUP(Fri_W1[[#This Row],[Employee Name]],'Base Schedules'!$A:$AE,31,FALSE)="","",VLOOKUP(Fri_W1[[#This Row],[Employee Name]],'Base Schedules'!$A:$AE,31,FALSE)),"")</f>
        <v/>
      </c>
      <c r="AG46" s="184" t="str">
        <f>IFERROR(IF(VLOOKUP(Fri_W1[[#This Row],[Employee Name]],'Base Schedules'!$A:$AF,32,FALSE)="","",VLOOKUP(Fri_W1[[#This Row],[Employee Name]],'Base Schedules'!$A:$AF,32,FALSE)),"")</f>
        <v/>
      </c>
      <c r="AH46" s="184" t="str">
        <f>IFERROR(IF(VLOOKUP(Fri_W1[[#This Row],[Employee Name]],'Base Schedules'!$A:$AG,33,FALSE)="","",VLOOKUP(Fri_W1[[#This Row],[Employee Name]],'Base Schedules'!$A:$AG,33,FALSE)),"")</f>
        <v/>
      </c>
      <c r="AI46" s="184" t="str">
        <f>IFERROR(IF(VLOOKUP(Fri_W1[[#This Row],[Employee Name]],'Base Schedules'!$A:$AH,34,FALSE)="","",VLOOKUP(Fri_W1[[#This Row],[Employee Name]],'Base Schedules'!$A:$AH,34,FALSE)),"")</f>
        <v/>
      </c>
      <c r="AJ46" s="184" t="str">
        <f>IFERROR(IF(VLOOKUP(Fri_W1[[#This Row],[Employee Name]],'Base Schedules'!$A:$AI,35,FALSE)="","",VLOOKUP(Fri_W1[[#This Row],[Employee Name]],'Base Schedules'!$A:$AI,35,FALSE)),"")</f>
        <v/>
      </c>
      <c r="AK46" s="184" t="str">
        <f>IFERROR(IF(VLOOKUP(Fri_W1[[#This Row],[Employee Name]],'Base Schedules'!$A:$AJ,36,FALSE)="","",VLOOKUP(Fri_W1[[#This Row],[Employee Name]],'Base Schedules'!$A:$AJ,36,FALSE)),"")</f>
        <v/>
      </c>
      <c r="AL46" s="184" t="str">
        <f>IFERROR(IF(VLOOKUP(Fri_W1[[#This Row],[Employee Name]],'Base Schedules'!$A:$AK,37,FALSE)="","",VLOOKUP(Fri_W1[[#This Row],[Employee Name]],'Base Schedules'!$A:$AK,37,FALSE)),"")</f>
        <v/>
      </c>
      <c r="AM46" s="184" t="str">
        <f>IFERROR(IF(VLOOKUP(Fri_W1[[#This Row],[Employee Name]],'Base Schedules'!$A:$AL,38,FALSE)="","",VLOOKUP(Fri_W1[[#This Row],[Employee Name]],'Base Schedules'!$A:$AL,38,FALSE)),"")</f>
        <v/>
      </c>
      <c r="AN46" s="184" t="str">
        <f>IFERROR(IF(VLOOKUP(Fri_W1[[#This Row],[Employee Name]],'Base Schedules'!$A:$AM,339,FALSE)="","",VLOOKUP(Fri_W1[[#This Row],[Employee Name]],'Base Schedules'!$A:$AM,339,FALSE)),"")</f>
        <v/>
      </c>
      <c r="AO46" s="184" t="str">
        <f>IFERROR(IF(VLOOKUP(Fri_W1[[#This Row],[Employee Name]],'Base Schedules'!$A:$AN,40,FALSE)="","",VLOOKUP(Fri_W1[[#This Row],[Employee Name]],'Base Schedules'!$A:$AN,40,FALSE)),"")</f>
        <v/>
      </c>
      <c r="AP46" s="184" t="str">
        <f>IFERROR(IF(VLOOKUP(Fri_W1[[#This Row],[Employee Name]],'Base Schedules'!$A:$AO,41,FALSE)="","",VLOOKUP(Fri_W1[[#This Row],[Employee Name]],'Base Schedules'!$A:$AO,41,FALSE)),"")</f>
        <v/>
      </c>
      <c r="AQ46" s="184" t="str">
        <f>IFERROR(IF(VLOOKUP(Fri_W1[[#This Row],[Employee Name]],'Base Schedules'!$A:$AP,42,FALSE)="","",VLOOKUP(Fri_W1[[#This Row],[Employee Name]],'Base Schedules'!$A:$AP,42,FALSE)),"")</f>
        <v/>
      </c>
      <c r="AR46" s="184" t="str">
        <f>IFERROR(IF(VLOOKUP(Fri_W1[[#This Row],[Employee Name]],'Base Schedules'!$A:$AQ,43,FALSE)="","",VLOOKUP(Fri_W1[[#This Row],[Employee Name]],'Base Schedules'!$A:$AQ,43,FALSE)),"")</f>
        <v/>
      </c>
      <c r="AS46" s="184" t="str">
        <f>IFERROR(IF(VLOOKUP(Fri_W1[[#This Row],[Employee Name]],'Base Schedules'!$A:$AR,44,FALSE)="","",VLOOKUP(Fri_W1[[#This Row],[Employee Name]],'Base Schedules'!$A:$AR,44,FALSE)),"")</f>
        <v/>
      </c>
      <c r="AT46" s="184" t="str">
        <f>IFERROR(IF(VLOOKUP(Fri_W1[[#This Row],[Employee Name]],'Base Schedules'!$A:$AS,45,FALSE)="","",VLOOKUP(Fri_W1[[#This Row],[Employee Name]],'Base Schedules'!$A:$AS,45,FALSE)),"")</f>
        <v/>
      </c>
      <c r="AU46" s="184" t="str">
        <f>IFERROR(IF(VLOOKUP(Fri_W1[[#This Row],[Employee Name]],'Base Schedules'!$A:$AT,46,FALSE)="","",VLOOKUP(Fri_W1[[#This Row],[Employee Name]],'Base Schedules'!$A:$AT,46,FALSE)),"")</f>
        <v/>
      </c>
      <c r="AV46" s="184" t="str">
        <f>IFERROR(IF(VLOOKUP(Fri_W1[[#This Row],[Employee Name]],'Base Schedules'!$A:$AU,47,FALSE)="","",VLOOKUP(Fri_W1[[#This Row],[Employee Name]],'Base Schedules'!$A:$AU,47,FALSE)),"")</f>
        <v/>
      </c>
      <c r="AW46" s="184" t="str">
        <f>IFERROR(IF(VLOOKUP(Fri_W1[[#This Row],[Employee Name]],'Base Schedules'!$A:$AV,48,FALSE)="","",VLOOKUP(Fri_W1[[#This Row],[Employee Name]],'Base Schedules'!$A:$AV,48,FALSE)),"")</f>
        <v/>
      </c>
      <c r="AX46" s="184" t="str">
        <f>IFERROR(IF(VLOOKUP(Fri_W1[[#This Row],[Employee Name]],'Base Schedules'!$A$1:$AW$44,49,FALSE)="","",VLOOKUP(Fri_W1[[#This Row],[Employee Name]],'Base Schedules'!$A$1:$AW$44,49,FALSE)),"")</f>
        <v/>
      </c>
      <c r="AY46" s="245" t="str">
        <f t="shared" si="2"/>
        <v/>
      </c>
    </row>
    <row r="47" spans="1:51" s="44" customFormat="1" ht="12.75" hidden="1" customHeight="1" x14ac:dyDescent="0.2">
      <c r="A47" s="39" t="str">
        <f>IF(B47="","",INDEX(TeamList[],MATCH($B47,TeamList[[Employee Name]:[Employee Name]],0),MATCH("Manager",TeamList[#Headers],0)))</f>
        <v/>
      </c>
      <c r="B47" s="201"/>
      <c r="C47" s="257" t="str">
        <f>_xlfn.IFNA(VLOOKUP(Fri_W1[[#This Row],[Employee Name]],'Base Schedules'!A:B,2,FALSE),"")</f>
        <v/>
      </c>
      <c r="D47" s="274" t="str">
        <f>_xlfn.IFNA(VLOOKUP(Fri_W1[[#This Row],[Employee Name]],'Base Schedules'!A:C,3,FALSE),"")</f>
        <v/>
      </c>
      <c r="E47" s="274" t="str">
        <f>_xlfn.IFNA(VLOOKUP(Fri_W1[[#This Row],[Employee Name]],'Base Schedules'!A:D,4,FALSE),"")</f>
        <v/>
      </c>
      <c r="F47" s="142" t="str">
        <f>IF(Fri_W1[[#This Row],[Employee Name]]="","",IF(Fri_W1[[#This Row],[Dept]]="Supervisor",COUNTIFS($J47:$AX47,"*HL*",$J47:$AX47,"&lt;&gt;"&amp;"pHL"),COUNTIFS($J47:$AX47,"*HL*",$J47:$AX47,"&lt;&gt;"&amp;"*pHL*",$J47:$AX47,"&lt;&gt;"&amp;"pB1 HL",$J47:$AX47,"&lt;&gt;"&amp;"pB2 HL")-SUM(COUNTIFS($J47:$AX47,"*HL B1*",$J47:$AX47,"&lt;&gt;"&amp;"pHL B1")*0.5,COUNTIFS($J47:$AX47,"*HL B2*",$J47:$AX47,"&lt;&gt;"&amp;"pHL B2")*0.5,COUNTIFS($J47:$AX47,"*B1 HL*",$J47:$AX47,"&lt;&gt;"&amp;"pB1 HL")*0.5,COUNTIFS($J47:$AX47,"*B2 HL*",$J47:$AX47,"&lt;&gt;"&amp;"pB2 HL")*0.5)))</f>
        <v/>
      </c>
      <c r="G47" s="142" t="str">
        <f>IF(B47="","",COUNTIFS($J47:$AX47,"*TM*",$J47:$AX47,"&lt;&gt;"&amp;"pTM",$J47:$AX47,"&lt;&gt;"&amp;"uTM"))</f>
        <v/>
      </c>
      <c r="H47" s="142" t="str">
        <f t="shared" si="1"/>
        <v/>
      </c>
      <c r="I47" s="142" t="str">
        <f>IF(Fri_W1[[#This Row],[Employee Name]]="","",IF(Fri_W1[[#This Row],[Dept]]="Supervisor",SUM(COUNTIFS($J47:$AX47,"RTA*",$J47:$AX47,"&lt;&gt;"&amp;"pRTA"),COUNTIFS($J47:$AX47,"*CRTA*",$J47:$AX47,"&lt;&gt;"&amp;"pCRTA")),COUNTIFS($J47:$AX47,"*RNNR*",$J47:$AX47,"&lt;&gt;"&amp;"*pRNNR*",$J47:$AX47,"&lt;&gt;"&amp;"pB1 RNNR",$J47:$AX47,"&lt;&gt;"&amp;"pB2 RNNR")-SUM(COUNTIFS($J47:$AX47,"*RNNR B1*",$J47:$AX47,"&lt;&gt;"&amp;"pRNNR B1")*0.5,COUNTIFS($J47:$AX47,"*RNNR B2*",$J47:$AX47,"&lt;&gt;"&amp;"pRNNR B2")*0.5,COUNTIFS($J47:$AX47,"*B1 RNNR*",$J47:$AX47,"&lt;&gt;"&amp;"pB1 RNNR")*0.5,COUNTIFS($J47:$AX47,"*B2 RNNR*",$J47:$AX47,"&lt;&gt;"&amp;"pB2 RNNR")*0.5)))</f>
        <v/>
      </c>
      <c r="J47" s="184" t="str">
        <f>IFERROR(IF(VLOOKUP(Fri_W1[[#This Row],[Employee Name]],'Base Schedules'!$A$1:$AW$44,9,FALSE)="","",VLOOKUP(Fri_W1[[#This Row],[Employee Name]],'Base Schedules'!$A$1:$AW$44,9,FALSE)),"")</f>
        <v/>
      </c>
      <c r="K47" s="184" t="str">
        <f>IFERROR(IF(VLOOKUP(Fri_W1[[#This Row],[Employee Name]],'Base Schedules'!$A$1:$AW$44,10,FALSE)="","",VLOOKUP(Fri_W1[[#This Row],[Employee Name]],'Base Schedules'!$A$1:$AW$44,10,FALSE)),"")</f>
        <v/>
      </c>
      <c r="L47" s="184" t="str">
        <f>IFERROR(IF(VLOOKUP(Fri_W1[[#This Row],[Employee Name]],'Base Schedules'!$A$1:$AW$44,11,FALSE)="","",VLOOKUP(Fri_W1[[#This Row],[Employee Name]],'Base Schedules'!$A$1:$AW$44,11,FALSE)),"")</f>
        <v/>
      </c>
      <c r="M47" s="184" t="str">
        <f>IFERROR(IF(VLOOKUP(Fri_W1[[#This Row],[Employee Name]],'Base Schedules'!$A$1:$AW$44,12,FALSE)="","",VLOOKUP(Fri_W1[[#This Row],[Employee Name]],'Base Schedules'!$A$1:$AW$44,12,FALSE)),"")</f>
        <v/>
      </c>
      <c r="N47" s="184" t="str">
        <f>IFERROR(IF(VLOOKUP(Fri_W1[[#This Row],[Employee Name]],'Base Schedules'!$A$1:$AW$44,13,FALSE)="","",VLOOKUP(Fri_W1[[#This Row],[Employee Name]],'Base Schedules'!$A$1:$AW$44,13,FALSE)),"")</f>
        <v/>
      </c>
      <c r="O47" s="184" t="str">
        <f>IFERROR(IF(VLOOKUP(Fri_W1[[#This Row],[Employee Name]],'Base Schedules'!$A$1:$AW$44,14,FALSE)="","",VLOOKUP(Fri_W1[[#This Row],[Employee Name]],'Base Schedules'!$A$1:$AW$44,14,FALSE)),"")</f>
        <v/>
      </c>
      <c r="P47" s="184" t="str">
        <f>IFERROR(IF(VLOOKUP(Fri_W1[[#This Row],[Employee Name]],'Base Schedules'!$A$1:$AW$44,15,FALSE)="","",VLOOKUP(Fri_W1[[#This Row],[Employee Name]],'Base Schedules'!$A$1:$AW$44,15,FALSE)),"")</f>
        <v/>
      </c>
      <c r="Q47" s="184" t="str">
        <f>IFERROR(IF(VLOOKUP(Fri_W1[[#This Row],[Employee Name]],'Base Schedules'!$A$1:$AW$44,16,FALSE)="","",VLOOKUP(Fri_W1[[#This Row],[Employee Name]],'Base Schedules'!$A$1:$AW$44,16,FALSE)),"")</f>
        <v/>
      </c>
      <c r="R47" s="184" t="str">
        <f>IFERROR(IF(VLOOKUP(Fri_W1[[#This Row],[Employee Name]],'Base Schedules'!$A$1:$AW$44,17,FALSE)="","",VLOOKUP(Fri_W1[[#This Row],[Employee Name]],'Base Schedules'!$A$1:$AW$44,17,FALSE)),"")</f>
        <v/>
      </c>
      <c r="S47" s="184" t="str">
        <f>IFERROR(IF(VLOOKUP(Fri_W1[[#This Row],[Employee Name]],'Base Schedules'!$A$1:$AW$44,18,FALSE)="","",VLOOKUP(Fri_W1[[#This Row],[Employee Name]],'Base Schedules'!$A$1:$AW$44,18,FALSE)),"")</f>
        <v/>
      </c>
      <c r="T47" s="184" t="str">
        <f>IFERROR(IF(VLOOKUP(Fri_W1[[#This Row],[Employee Name]],'Base Schedules'!$A$1:$AW$44,19,FALSE)="","",VLOOKUP(Fri_W1[[#This Row],[Employee Name]],'Base Schedules'!$A$1:$AW$44,19,FALSE)),"")</f>
        <v/>
      </c>
      <c r="U47" s="184" t="str">
        <f>IFERROR(IF(VLOOKUP(Fri_W1[[#This Row],[Employee Name]],'Base Schedules'!$A$1:$AW$44,20,FALSE)="","",VLOOKUP(Fri_W1[[#This Row],[Employee Name]],'Base Schedules'!$A$1:$AW$44,20,FALSE)),"")</f>
        <v/>
      </c>
      <c r="V47" s="184" t="str">
        <f>IFERROR(IF(VLOOKUP(Fri_W1[[#This Row],[Employee Name]],'Base Schedules'!$A$1:$AW$44,21,FALSE)="","",VLOOKUP(Fri_W1[[#This Row],[Employee Name]],'Base Schedules'!$A$1:$AW$44,21,FALSE)),"")</f>
        <v/>
      </c>
      <c r="W47" s="184" t="str">
        <f>IFERROR(IF(VLOOKUP(Fri_W1[[#This Row],[Employee Name]],'Base Schedules'!$A$1:$AW$44,22,FALSE)="","",VLOOKUP(Fri_W1[[#This Row],[Employee Name]],'Base Schedules'!$A$1:$AW$44,22,FALSE)),"")</f>
        <v/>
      </c>
      <c r="X47" s="184" t="str">
        <f>IFERROR(IF(VLOOKUP(Fri_W1[[#This Row],[Employee Name]],'Base Schedules'!$A$1:$AW$44,23,FALSE)="","",VLOOKUP(Fri_W1[[#This Row],[Employee Name]],'Base Schedules'!$A$1:$AW$44,23,FALSE)),"")</f>
        <v/>
      </c>
      <c r="Y47" s="184" t="str">
        <f>IFERROR(IF(VLOOKUP(Fri_W1[[#This Row],[Employee Name]],'Base Schedules'!$A$1:$AW$44,24,FALSE)="","",VLOOKUP(Fri_W1[[#This Row],[Employee Name]],'Base Schedules'!$A$1:$AW$44,24,FALSE)),"")</f>
        <v/>
      </c>
      <c r="Z47" s="184" t="str">
        <f>IFERROR(IF(VLOOKUP(Fri_W1[[#This Row],[Employee Name]],'Base Schedules'!$A$1:$AW$44,25,FALSE)="","",VLOOKUP(Fri_W1[[#This Row],[Employee Name]],'Base Schedules'!$A$1:$AW$44,25,FALSE)),"")</f>
        <v/>
      </c>
      <c r="AA47" s="184" t="str">
        <f>IFERROR(IF(VLOOKUP(Fri_W1[[#This Row],[Employee Name]],'Base Schedules'!$A$1:$AW$44,26,FALSE)="","",VLOOKUP(Fri_W1[[#This Row],[Employee Name]],'Base Schedules'!$A$1:$AW$44,26,FALSE)),"")</f>
        <v/>
      </c>
      <c r="AB47" s="184" t="str">
        <f>IFERROR(IF(VLOOKUP(Fri_W1[[#This Row],[Employee Name]],'Base Schedules'!$A:$AA,27,FALSE)="","",VLOOKUP(Fri_W1[[#This Row],[Employee Name]],'Base Schedules'!$A:$AA,27,FALSE)),"")</f>
        <v/>
      </c>
      <c r="AC47" s="184" t="str">
        <f>IFERROR(IF(VLOOKUP(Fri_W1[[#This Row],[Employee Name]],'Base Schedules'!$A:$AB,28,FALSE)="","",VLOOKUP(Fri_W1[[#This Row],[Employee Name]],'Base Schedules'!$A:$AB,28,FALSE)),"")</f>
        <v/>
      </c>
      <c r="AD47" s="184" t="str">
        <f>IFERROR(IF(VLOOKUP(Fri_W1[[#This Row],[Employee Name]],'Base Schedules'!$A:$AC,229,FALSE)="","",VLOOKUP(Fri_W1[[#This Row],[Employee Name]],'Base Schedules'!$A:$AC,229,FALSE)),"")</f>
        <v/>
      </c>
      <c r="AE47" s="184" t="str">
        <f>IFERROR(IF(VLOOKUP(Fri_W1[[#This Row],[Employee Name]],'Base Schedules'!$A:$AD,30,FALSE)="","",VLOOKUP(Fri_W1[[#This Row],[Employee Name]],'Base Schedules'!$A:$AD,30,FALSE)),"")</f>
        <v/>
      </c>
      <c r="AF47" s="184" t="str">
        <f>IFERROR(IF(VLOOKUP(Fri_W1[[#This Row],[Employee Name]],'Base Schedules'!$A:$AE,31,FALSE)="","",VLOOKUP(Fri_W1[[#This Row],[Employee Name]],'Base Schedules'!$A:$AE,31,FALSE)),"")</f>
        <v/>
      </c>
      <c r="AG47" s="184" t="str">
        <f>IFERROR(IF(VLOOKUP(Fri_W1[[#This Row],[Employee Name]],'Base Schedules'!$A:$AF,32,FALSE)="","",VLOOKUP(Fri_W1[[#This Row],[Employee Name]],'Base Schedules'!$A:$AF,32,FALSE)),"")</f>
        <v/>
      </c>
      <c r="AH47" s="184" t="str">
        <f>IFERROR(IF(VLOOKUP(Fri_W1[[#This Row],[Employee Name]],'Base Schedules'!$A:$AG,33,FALSE)="","",VLOOKUP(Fri_W1[[#This Row],[Employee Name]],'Base Schedules'!$A:$AG,33,FALSE)),"")</f>
        <v/>
      </c>
      <c r="AI47" s="184" t="str">
        <f>IFERROR(IF(VLOOKUP(Fri_W1[[#This Row],[Employee Name]],'Base Schedules'!$A:$AH,34,FALSE)="","",VLOOKUP(Fri_W1[[#This Row],[Employee Name]],'Base Schedules'!$A:$AH,34,FALSE)),"")</f>
        <v/>
      </c>
      <c r="AJ47" s="184" t="str">
        <f>IFERROR(IF(VLOOKUP(Fri_W1[[#This Row],[Employee Name]],'Base Schedules'!$A:$AI,35,FALSE)="","",VLOOKUP(Fri_W1[[#This Row],[Employee Name]],'Base Schedules'!$A:$AI,35,FALSE)),"")</f>
        <v/>
      </c>
      <c r="AK47" s="184" t="str">
        <f>IFERROR(IF(VLOOKUP(Fri_W1[[#This Row],[Employee Name]],'Base Schedules'!$A:$AJ,36,FALSE)="","",VLOOKUP(Fri_W1[[#This Row],[Employee Name]],'Base Schedules'!$A:$AJ,36,FALSE)),"")</f>
        <v/>
      </c>
      <c r="AL47" s="184" t="str">
        <f>IFERROR(IF(VLOOKUP(Fri_W1[[#This Row],[Employee Name]],'Base Schedules'!$A:$AK,37,FALSE)="","",VLOOKUP(Fri_W1[[#This Row],[Employee Name]],'Base Schedules'!$A:$AK,37,FALSE)),"")</f>
        <v/>
      </c>
      <c r="AM47" s="184" t="str">
        <f>IFERROR(IF(VLOOKUP(Fri_W1[[#This Row],[Employee Name]],'Base Schedules'!$A:$AL,38,FALSE)="","",VLOOKUP(Fri_W1[[#This Row],[Employee Name]],'Base Schedules'!$A:$AL,38,FALSE)),"")</f>
        <v/>
      </c>
      <c r="AN47" s="184" t="str">
        <f>IFERROR(IF(VLOOKUP(Fri_W1[[#This Row],[Employee Name]],'Base Schedules'!$A:$AM,339,FALSE)="","",VLOOKUP(Fri_W1[[#This Row],[Employee Name]],'Base Schedules'!$A:$AM,339,FALSE)),"")</f>
        <v/>
      </c>
      <c r="AO47" s="184" t="str">
        <f>IFERROR(IF(VLOOKUP(Fri_W1[[#This Row],[Employee Name]],'Base Schedules'!$A:$AN,40,FALSE)="","",VLOOKUP(Fri_W1[[#This Row],[Employee Name]],'Base Schedules'!$A:$AN,40,FALSE)),"")</f>
        <v/>
      </c>
      <c r="AP47" s="184" t="str">
        <f>IFERROR(IF(VLOOKUP(Fri_W1[[#This Row],[Employee Name]],'Base Schedules'!$A:$AO,41,FALSE)="","",VLOOKUP(Fri_W1[[#This Row],[Employee Name]],'Base Schedules'!$A:$AO,41,FALSE)),"")</f>
        <v/>
      </c>
      <c r="AQ47" s="184" t="str">
        <f>IFERROR(IF(VLOOKUP(Fri_W1[[#This Row],[Employee Name]],'Base Schedules'!$A:$AP,42,FALSE)="","",VLOOKUP(Fri_W1[[#This Row],[Employee Name]],'Base Schedules'!$A:$AP,42,FALSE)),"")</f>
        <v/>
      </c>
      <c r="AR47" s="184" t="str">
        <f>IFERROR(IF(VLOOKUP(Fri_W1[[#This Row],[Employee Name]],'Base Schedules'!$A:$AQ,43,FALSE)="","",VLOOKUP(Fri_W1[[#This Row],[Employee Name]],'Base Schedules'!$A:$AQ,43,FALSE)),"")</f>
        <v/>
      </c>
      <c r="AS47" s="184" t="str">
        <f>IFERROR(IF(VLOOKUP(Fri_W1[[#This Row],[Employee Name]],'Base Schedules'!$A:$AR,44,FALSE)="","",VLOOKUP(Fri_W1[[#This Row],[Employee Name]],'Base Schedules'!$A:$AR,44,FALSE)),"")</f>
        <v/>
      </c>
      <c r="AT47" s="184" t="str">
        <f>IFERROR(IF(VLOOKUP(Fri_W1[[#This Row],[Employee Name]],'Base Schedules'!$A:$AS,45,FALSE)="","",VLOOKUP(Fri_W1[[#This Row],[Employee Name]],'Base Schedules'!$A:$AS,45,FALSE)),"")</f>
        <v/>
      </c>
      <c r="AU47" s="184" t="str">
        <f>IFERROR(IF(VLOOKUP(Fri_W1[[#This Row],[Employee Name]],'Base Schedules'!$A:$AT,46,FALSE)="","",VLOOKUP(Fri_W1[[#This Row],[Employee Name]],'Base Schedules'!$A:$AT,46,FALSE)),"")</f>
        <v/>
      </c>
      <c r="AV47" s="184" t="str">
        <f>IFERROR(IF(VLOOKUP(Fri_W1[[#This Row],[Employee Name]],'Base Schedules'!$A:$AU,47,FALSE)="","",VLOOKUP(Fri_W1[[#This Row],[Employee Name]],'Base Schedules'!$A:$AU,47,FALSE)),"")</f>
        <v/>
      </c>
      <c r="AW47" s="184" t="str">
        <f>IFERROR(IF(VLOOKUP(Fri_W1[[#This Row],[Employee Name]],'Base Schedules'!$A:$AV,48,FALSE)="","",VLOOKUP(Fri_W1[[#This Row],[Employee Name]],'Base Schedules'!$A:$AV,48,FALSE)),"")</f>
        <v/>
      </c>
      <c r="AX47" s="184" t="str">
        <f>IFERROR(IF(VLOOKUP(Fri_W1[[#This Row],[Employee Name]],'Base Schedules'!$A$1:$AW$44,49,FALSE)="","",VLOOKUP(Fri_W1[[#This Row],[Employee Name]],'Base Schedules'!$A$1:$AW$44,49,FALSE)),"")</f>
        <v/>
      </c>
      <c r="AY47" s="245" t="str">
        <f t="shared" si="2"/>
        <v/>
      </c>
    </row>
    <row r="48" spans="1:51" s="44" customFormat="1" ht="12" hidden="1" customHeight="1" x14ac:dyDescent="0.2">
      <c r="A48" s="39" t="str">
        <f>IF(B48="","",INDEX(TeamList[],MATCH($B48,TeamList[[Employee Name]:[Employee Name]],0),MATCH("Manager",TeamList[#Headers],0)))</f>
        <v/>
      </c>
      <c r="B48" s="201"/>
      <c r="C48" s="257" t="str">
        <f>_xlfn.IFNA(VLOOKUP(Fri_W1[[#This Row],[Employee Name]],'Base Schedules'!A:B,2,FALSE),"")</f>
        <v/>
      </c>
      <c r="D48" s="274" t="str">
        <f>_xlfn.IFNA(VLOOKUP(Fri_W1[[#This Row],[Employee Name]],'Base Schedules'!A:C,3,FALSE),"")</f>
        <v/>
      </c>
      <c r="E48" s="274" t="str">
        <f>_xlfn.IFNA(VLOOKUP(Fri_W1[[#This Row],[Employee Name]],'Base Schedules'!A:D,4,FALSE),"")</f>
        <v/>
      </c>
      <c r="F48" s="142" t="str">
        <f>IF(Fri_W1[[#This Row],[Employee Name]]="","",IF(Fri_W1[[#This Row],[Dept]]="Supervisor",COUNTIFS($J48:$AX48,"*HL*",$J48:$AX48,"&lt;&gt;"&amp;"pHL"),COUNTIFS($J48:$AX48,"*HL*",$J48:$AX48,"&lt;&gt;"&amp;"*pHL*",$J48:$AX48,"&lt;&gt;"&amp;"pB1 HL",$J48:$AX48,"&lt;&gt;"&amp;"pB2 HL")-SUM(COUNTIFS($J48:$AX48,"*HL B1*",$J48:$AX48,"&lt;&gt;"&amp;"pHL B1")*0.5,COUNTIFS($J48:$AX48,"*HL B2*",$J48:$AX48,"&lt;&gt;"&amp;"pHL B2")*0.5,COUNTIFS($J48:$AX48,"*B1 HL*",$J48:$AX48,"&lt;&gt;"&amp;"pB1 HL")*0.5,COUNTIFS($J48:$AX48,"*B2 HL*",$J48:$AX48,"&lt;&gt;"&amp;"pB2 HL")*0.5)))</f>
        <v/>
      </c>
      <c r="G48" s="142" t="str">
        <f>IF(B48="","",COUNTIFS($J48:$AX48,"*TM*",$J48:$AX48,"&lt;&gt;"&amp;"pTM",$J48:$AX48,"&lt;&gt;"&amp;"uTM"))</f>
        <v/>
      </c>
      <c r="H48" s="142" t="str">
        <f t="shared" si="1"/>
        <v/>
      </c>
      <c r="I48" s="142" t="str">
        <f>IF(Fri_W1[[#This Row],[Employee Name]]="","",IF(Fri_W1[[#This Row],[Dept]]="Supervisor",SUM(COUNTIFS($J48:$AX48,"RTA*",$J48:$AX48,"&lt;&gt;"&amp;"pRTA"),COUNTIFS($J48:$AX48,"*CRTA*",$J48:$AX48,"&lt;&gt;"&amp;"pCRTA")),COUNTIFS($J48:$AX48,"*RNNR*",$J48:$AX48,"&lt;&gt;"&amp;"*pRNNR*",$J48:$AX48,"&lt;&gt;"&amp;"pB1 RNNR",$J48:$AX48,"&lt;&gt;"&amp;"pB2 RNNR")-SUM(COUNTIFS($J48:$AX48,"*RNNR B1*",$J48:$AX48,"&lt;&gt;"&amp;"pRNNR B1")*0.5,COUNTIFS($J48:$AX48,"*RNNR B2*",$J48:$AX48,"&lt;&gt;"&amp;"pRNNR B2")*0.5,COUNTIFS($J48:$AX48,"*B1 RNNR*",$J48:$AX48,"&lt;&gt;"&amp;"pB1 RNNR")*0.5,COUNTIFS($J48:$AX48,"*B2 RNNR*",$J48:$AX48,"&lt;&gt;"&amp;"pB2 RNNR")*0.5)))</f>
        <v/>
      </c>
      <c r="J48" s="184" t="str">
        <f>IFERROR(IF(VLOOKUP(Fri_W1[[#This Row],[Employee Name]],'Base Schedules'!$A$1:$AW$44,9,FALSE)="","",VLOOKUP(Fri_W1[[#This Row],[Employee Name]],'Base Schedules'!$A$1:$AW$44,9,FALSE)),"")</f>
        <v/>
      </c>
      <c r="K48" s="184" t="str">
        <f>IFERROR(IF(VLOOKUP(Fri_W1[[#This Row],[Employee Name]],'Base Schedules'!$A$1:$AW$44,10,FALSE)="","",VLOOKUP(Fri_W1[[#This Row],[Employee Name]],'Base Schedules'!$A$1:$AW$44,10,FALSE)),"")</f>
        <v/>
      </c>
      <c r="L48" s="184" t="str">
        <f>IFERROR(IF(VLOOKUP(Fri_W1[[#This Row],[Employee Name]],'Base Schedules'!$A$1:$AW$44,11,FALSE)="","",VLOOKUP(Fri_W1[[#This Row],[Employee Name]],'Base Schedules'!$A$1:$AW$44,11,FALSE)),"")</f>
        <v/>
      </c>
      <c r="M48" s="184" t="str">
        <f>IFERROR(IF(VLOOKUP(Fri_W1[[#This Row],[Employee Name]],'Base Schedules'!$A$1:$AW$44,12,FALSE)="","",VLOOKUP(Fri_W1[[#This Row],[Employee Name]],'Base Schedules'!$A$1:$AW$44,12,FALSE)),"")</f>
        <v/>
      </c>
      <c r="N48" s="184" t="str">
        <f>IFERROR(IF(VLOOKUP(Fri_W1[[#This Row],[Employee Name]],'Base Schedules'!$A$1:$AW$44,13,FALSE)="","",VLOOKUP(Fri_W1[[#This Row],[Employee Name]],'Base Schedules'!$A$1:$AW$44,13,FALSE)),"")</f>
        <v/>
      </c>
      <c r="O48" s="184" t="str">
        <f>IFERROR(IF(VLOOKUP(Fri_W1[[#This Row],[Employee Name]],'Base Schedules'!$A$1:$AW$44,14,FALSE)="","",VLOOKUP(Fri_W1[[#This Row],[Employee Name]],'Base Schedules'!$A$1:$AW$44,14,FALSE)),"")</f>
        <v/>
      </c>
      <c r="P48" s="184" t="str">
        <f>IFERROR(IF(VLOOKUP(Fri_W1[[#This Row],[Employee Name]],'Base Schedules'!$A$1:$AW$44,15,FALSE)="","",VLOOKUP(Fri_W1[[#This Row],[Employee Name]],'Base Schedules'!$A$1:$AW$44,15,FALSE)),"")</f>
        <v/>
      </c>
      <c r="Q48" s="184" t="str">
        <f>IFERROR(IF(VLOOKUP(Fri_W1[[#This Row],[Employee Name]],'Base Schedules'!$A$1:$AW$44,16,FALSE)="","",VLOOKUP(Fri_W1[[#This Row],[Employee Name]],'Base Schedules'!$A$1:$AW$44,16,FALSE)),"")</f>
        <v/>
      </c>
      <c r="R48" s="184" t="str">
        <f>IFERROR(IF(VLOOKUP(Fri_W1[[#This Row],[Employee Name]],'Base Schedules'!$A$1:$AW$44,17,FALSE)="","",VLOOKUP(Fri_W1[[#This Row],[Employee Name]],'Base Schedules'!$A$1:$AW$44,17,FALSE)),"")</f>
        <v/>
      </c>
      <c r="S48" s="184" t="str">
        <f>IFERROR(IF(VLOOKUP(Fri_W1[[#This Row],[Employee Name]],'Base Schedules'!$A$1:$AW$44,18,FALSE)="","",VLOOKUP(Fri_W1[[#This Row],[Employee Name]],'Base Schedules'!$A$1:$AW$44,18,FALSE)),"")</f>
        <v/>
      </c>
      <c r="T48" s="184" t="str">
        <f>IFERROR(IF(VLOOKUP(Fri_W1[[#This Row],[Employee Name]],'Base Schedules'!$A$1:$AW$44,19,FALSE)="","",VLOOKUP(Fri_W1[[#This Row],[Employee Name]],'Base Schedules'!$A$1:$AW$44,19,FALSE)),"")</f>
        <v/>
      </c>
      <c r="U48" s="184" t="str">
        <f>IFERROR(IF(VLOOKUP(Fri_W1[[#This Row],[Employee Name]],'Base Schedules'!$A$1:$AW$44,20,FALSE)="","",VLOOKUP(Fri_W1[[#This Row],[Employee Name]],'Base Schedules'!$A$1:$AW$44,20,FALSE)),"")</f>
        <v/>
      </c>
      <c r="V48" s="184" t="str">
        <f>IFERROR(IF(VLOOKUP(Fri_W1[[#This Row],[Employee Name]],'Base Schedules'!$A$1:$AW$44,21,FALSE)="","",VLOOKUP(Fri_W1[[#This Row],[Employee Name]],'Base Schedules'!$A$1:$AW$44,21,FALSE)),"")</f>
        <v/>
      </c>
      <c r="W48" s="184" t="str">
        <f>IFERROR(IF(VLOOKUP(Fri_W1[[#This Row],[Employee Name]],'Base Schedules'!$A$1:$AW$44,22,FALSE)="","",VLOOKUP(Fri_W1[[#This Row],[Employee Name]],'Base Schedules'!$A$1:$AW$44,22,FALSE)),"")</f>
        <v/>
      </c>
      <c r="X48" s="184" t="str">
        <f>IFERROR(IF(VLOOKUP(Fri_W1[[#This Row],[Employee Name]],'Base Schedules'!$A$1:$AW$44,23,FALSE)="","",VLOOKUP(Fri_W1[[#This Row],[Employee Name]],'Base Schedules'!$A$1:$AW$44,23,FALSE)),"")</f>
        <v/>
      </c>
      <c r="Y48" s="184" t="str">
        <f>IFERROR(IF(VLOOKUP(Fri_W1[[#This Row],[Employee Name]],'Base Schedules'!$A$1:$AW$44,24,FALSE)="","",VLOOKUP(Fri_W1[[#This Row],[Employee Name]],'Base Schedules'!$A$1:$AW$44,24,FALSE)),"")</f>
        <v/>
      </c>
      <c r="Z48" s="184" t="str">
        <f>IFERROR(IF(VLOOKUP(Fri_W1[[#This Row],[Employee Name]],'Base Schedules'!$A$1:$AW$44,25,FALSE)="","",VLOOKUP(Fri_W1[[#This Row],[Employee Name]],'Base Schedules'!$A$1:$AW$44,25,FALSE)),"")</f>
        <v/>
      </c>
      <c r="AA48" s="184" t="str">
        <f>IFERROR(IF(VLOOKUP(Fri_W1[[#This Row],[Employee Name]],'Base Schedules'!$A$1:$AW$44,26,FALSE)="","",VLOOKUP(Fri_W1[[#This Row],[Employee Name]],'Base Schedules'!$A$1:$AW$44,26,FALSE)),"")</f>
        <v/>
      </c>
      <c r="AB48" s="184" t="str">
        <f>IFERROR(IF(VLOOKUP(Fri_W1[[#This Row],[Employee Name]],'Base Schedules'!$A:$AA,27,FALSE)="","",VLOOKUP(Fri_W1[[#This Row],[Employee Name]],'Base Schedules'!$A:$AA,27,FALSE)),"")</f>
        <v/>
      </c>
      <c r="AC48" s="184" t="str">
        <f>IFERROR(IF(VLOOKUP(Fri_W1[[#This Row],[Employee Name]],'Base Schedules'!$A:$AB,28,FALSE)="","",VLOOKUP(Fri_W1[[#This Row],[Employee Name]],'Base Schedules'!$A:$AB,28,FALSE)),"")</f>
        <v/>
      </c>
      <c r="AD48" s="184" t="str">
        <f>IFERROR(IF(VLOOKUP(Fri_W1[[#This Row],[Employee Name]],'Base Schedules'!$A:$AC,229,FALSE)="","",VLOOKUP(Fri_W1[[#This Row],[Employee Name]],'Base Schedules'!$A:$AC,229,FALSE)),"")</f>
        <v/>
      </c>
      <c r="AE48" s="184" t="str">
        <f>IFERROR(IF(VLOOKUP(Fri_W1[[#This Row],[Employee Name]],'Base Schedules'!$A:$AD,30,FALSE)="","",VLOOKUP(Fri_W1[[#This Row],[Employee Name]],'Base Schedules'!$A:$AD,30,FALSE)),"")</f>
        <v/>
      </c>
      <c r="AF48" s="184" t="str">
        <f>IFERROR(IF(VLOOKUP(Fri_W1[[#This Row],[Employee Name]],'Base Schedules'!$A:$AE,31,FALSE)="","",VLOOKUP(Fri_W1[[#This Row],[Employee Name]],'Base Schedules'!$A:$AE,31,FALSE)),"")</f>
        <v/>
      </c>
      <c r="AG48" s="184" t="str">
        <f>IFERROR(IF(VLOOKUP(Fri_W1[[#This Row],[Employee Name]],'Base Schedules'!$A:$AF,32,FALSE)="","",VLOOKUP(Fri_W1[[#This Row],[Employee Name]],'Base Schedules'!$A:$AF,32,FALSE)),"")</f>
        <v/>
      </c>
      <c r="AH48" s="184" t="str">
        <f>IFERROR(IF(VLOOKUP(Fri_W1[[#This Row],[Employee Name]],'Base Schedules'!$A:$AG,33,FALSE)="","",VLOOKUP(Fri_W1[[#This Row],[Employee Name]],'Base Schedules'!$A:$AG,33,FALSE)),"")</f>
        <v/>
      </c>
      <c r="AI48" s="184" t="str">
        <f>IFERROR(IF(VLOOKUP(Fri_W1[[#This Row],[Employee Name]],'Base Schedules'!$A:$AH,34,FALSE)="","",VLOOKUP(Fri_W1[[#This Row],[Employee Name]],'Base Schedules'!$A:$AH,34,FALSE)),"")</f>
        <v/>
      </c>
      <c r="AJ48" s="184" t="str">
        <f>IFERROR(IF(VLOOKUP(Fri_W1[[#This Row],[Employee Name]],'Base Schedules'!$A:$AI,35,FALSE)="","",VLOOKUP(Fri_W1[[#This Row],[Employee Name]],'Base Schedules'!$A:$AI,35,FALSE)),"")</f>
        <v/>
      </c>
      <c r="AK48" s="184" t="str">
        <f>IFERROR(IF(VLOOKUP(Fri_W1[[#This Row],[Employee Name]],'Base Schedules'!$A:$AJ,36,FALSE)="","",VLOOKUP(Fri_W1[[#This Row],[Employee Name]],'Base Schedules'!$A:$AJ,36,FALSE)),"")</f>
        <v/>
      </c>
      <c r="AL48" s="184" t="str">
        <f>IFERROR(IF(VLOOKUP(Fri_W1[[#This Row],[Employee Name]],'Base Schedules'!$A:$AK,37,FALSE)="","",VLOOKUP(Fri_W1[[#This Row],[Employee Name]],'Base Schedules'!$A:$AK,37,FALSE)),"")</f>
        <v/>
      </c>
      <c r="AM48" s="184" t="str">
        <f>IFERROR(IF(VLOOKUP(Fri_W1[[#This Row],[Employee Name]],'Base Schedules'!$A:$AL,38,FALSE)="","",VLOOKUP(Fri_W1[[#This Row],[Employee Name]],'Base Schedules'!$A:$AL,38,FALSE)),"")</f>
        <v/>
      </c>
      <c r="AN48" s="184" t="str">
        <f>IFERROR(IF(VLOOKUP(Fri_W1[[#This Row],[Employee Name]],'Base Schedules'!$A:$AM,339,FALSE)="","",VLOOKUP(Fri_W1[[#This Row],[Employee Name]],'Base Schedules'!$A:$AM,339,FALSE)),"")</f>
        <v/>
      </c>
      <c r="AO48" s="184" t="str">
        <f>IFERROR(IF(VLOOKUP(Fri_W1[[#This Row],[Employee Name]],'Base Schedules'!$A:$AN,40,FALSE)="","",VLOOKUP(Fri_W1[[#This Row],[Employee Name]],'Base Schedules'!$A:$AN,40,FALSE)),"")</f>
        <v/>
      </c>
      <c r="AP48" s="184" t="str">
        <f>IFERROR(IF(VLOOKUP(Fri_W1[[#This Row],[Employee Name]],'Base Schedules'!$A:$AO,41,FALSE)="","",VLOOKUP(Fri_W1[[#This Row],[Employee Name]],'Base Schedules'!$A:$AO,41,FALSE)),"")</f>
        <v/>
      </c>
      <c r="AQ48" s="184" t="str">
        <f>IFERROR(IF(VLOOKUP(Fri_W1[[#This Row],[Employee Name]],'Base Schedules'!$A:$AP,42,FALSE)="","",VLOOKUP(Fri_W1[[#This Row],[Employee Name]],'Base Schedules'!$A:$AP,42,FALSE)),"")</f>
        <v/>
      </c>
      <c r="AR48" s="184" t="str">
        <f>IFERROR(IF(VLOOKUP(Fri_W1[[#This Row],[Employee Name]],'Base Schedules'!$A:$AQ,43,FALSE)="","",VLOOKUP(Fri_W1[[#This Row],[Employee Name]],'Base Schedules'!$A:$AQ,43,FALSE)),"")</f>
        <v/>
      </c>
      <c r="AS48" s="184" t="str">
        <f>IFERROR(IF(VLOOKUP(Fri_W1[[#This Row],[Employee Name]],'Base Schedules'!$A:$AR,44,FALSE)="","",VLOOKUP(Fri_W1[[#This Row],[Employee Name]],'Base Schedules'!$A:$AR,44,FALSE)),"")</f>
        <v/>
      </c>
      <c r="AT48" s="184" t="str">
        <f>IFERROR(IF(VLOOKUP(Fri_W1[[#This Row],[Employee Name]],'Base Schedules'!$A:$AS,45,FALSE)="","",VLOOKUP(Fri_W1[[#This Row],[Employee Name]],'Base Schedules'!$A:$AS,45,FALSE)),"")</f>
        <v/>
      </c>
      <c r="AU48" s="184" t="str">
        <f>IFERROR(IF(VLOOKUP(Fri_W1[[#This Row],[Employee Name]],'Base Schedules'!$A:$AT,46,FALSE)="","",VLOOKUP(Fri_W1[[#This Row],[Employee Name]],'Base Schedules'!$A:$AT,46,FALSE)),"")</f>
        <v/>
      </c>
      <c r="AV48" s="184" t="str">
        <f>IFERROR(IF(VLOOKUP(Fri_W1[[#This Row],[Employee Name]],'Base Schedules'!$A:$AU,47,FALSE)="","",VLOOKUP(Fri_W1[[#This Row],[Employee Name]],'Base Schedules'!$A:$AU,47,FALSE)),"")</f>
        <v/>
      </c>
      <c r="AW48" s="184" t="str">
        <f>IFERROR(IF(VLOOKUP(Fri_W1[[#This Row],[Employee Name]],'Base Schedules'!$A:$AV,48,FALSE)="","",VLOOKUP(Fri_W1[[#This Row],[Employee Name]],'Base Schedules'!$A:$AV,48,FALSE)),"")</f>
        <v/>
      </c>
      <c r="AX48" s="184" t="str">
        <f>IFERROR(IF(VLOOKUP(Fri_W1[[#This Row],[Employee Name]],'Base Schedules'!$A$1:$AW$44,49,FALSE)="","",VLOOKUP(Fri_W1[[#This Row],[Employee Name]],'Base Schedules'!$A$1:$AW$44,49,FALSE)),"")</f>
        <v/>
      </c>
      <c r="AY48" s="245" t="str">
        <f t="shared" si="2"/>
        <v/>
      </c>
    </row>
    <row r="49" spans="1:52" s="44" customFormat="1" ht="12" hidden="1" customHeight="1" x14ac:dyDescent="0.2">
      <c r="A49" s="39"/>
      <c r="B49" s="342"/>
      <c r="C49" s="344" t="str">
        <f>IFERROR(VLOOKUP(Fri_W1[[#This Row],[Employee Name]],Schedules[[#All],[Employee Name]:[Dept]],2,0),"")</f>
        <v/>
      </c>
      <c r="D49" s="345" t="str">
        <f>IFERROR(INDEX(Schedules[],MATCH(Fri_W1[[#This Row],[Employee Name]]&amp;"fri",Schedules[Column1],0),MATCH("START",Schedules[#Headers],0)),"")</f>
        <v/>
      </c>
      <c r="E49" s="346" t="str">
        <f>IFERROR(INDEX(Schedules[],MATCH(Fri_W1[[#This Row],[Employee Name]]&amp;"fri",Schedules[Column1],0),MATCH("STOP",Schedules[#Headers],0)),"")</f>
        <v/>
      </c>
      <c r="F49" s="347" t="str">
        <f>IF(Fri_W1[[#This Row],[Employee Name]]="","",IF(Fri_W1[[#This Row],[Dept]]="Supervisor",COUNTIFS($J49:$AU49,"*HL*",$J49:$AU49,"&lt;&gt;"&amp;"pHL"),COUNTIFS($J49:$AU49,"*HL*",$J49:$AU49,"&lt;&gt;"&amp;"*pHL*",$J49:$AU49,"&lt;&gt;"&amp;"pB1 HL",$J49:$AU49,"&lt;&gt;"&amp;"pB2 HL")-SUM(COUNTIFS($J49:$AU49,"*HL B1*",$J49:$AU49,"&lt;&gt;"&amp;"pHL B1")*0.5,COUNTIFS($J49:$AU49,"*HL B2*",$J49:$AU49,"&lt;&gt;"&amp;"pHL B2")*0.5,COUNTIFS($J49:$AU49,"*B1 HL*",$J49:$AU49,"&lt;&gt;"&amp;"pB1 HL")*0.5,COUNTIFS($J49:$AU49,"*B2 HL*",$J49:$AU49,"&lt;&gt;"&amp;"pB2 HL")*0.5)))</f>
        <v/>
      </c>
      <c r="G49" s="347" t="str">
        <f>IF(B49="","",COUNTIFS($J49:$AU49,"*TM*",$J49:$AU49,"&lt;&gt;"&amp;"pTM",$J49:$AU49,"&lt;&gt;"&amp;"uTM"))</f>
        <v/>
      </c>
      <c r="H49" s="347" t="str">
        <f>IF(B49="","",COUNTIFS($J49:$AU49,"*ADM*",$J49:$AU49,"&lt;&gt;"&amp;"pADM",$J49:$AU49,"&lt;&gt;"&amp;"uADM"))</f>
        <v/>
      </c>
      <c r="I49" s="347" t="str">
        <f>IF(Fri_W1[[#This Row],[Employee Name]]="","",IF(Fri_W1[[#This Row],[Dept]]="Supervisor",SUM(COUNTIFS($J49:$AU49,"RTA*",$J49:$AU49,"&lt;&gt;"&amp;"pRTA"),COUNTIFS($J49:$AU49,"*CRTA*",$J49:$AU49,"&lt;&gt;"&amp;"pCRTA")),COUNTIFS($J49:$AU49,"*RNNR*",$J49:$AU49,"&lt;&gt;"&amp;"*pRNNR*",$J49:$AU49,"&lt;&gt;"&amp;"pB1 RNNR",$J49:$AU49,"&lt;&gt;"&amp;"pB2 RNNR")-SUM(COUNTIFS($J49:$AU49,"*RNNR B1*",$J49:$AU49,"&lt;&gt;"&amp;"pRNNR B1")*0.5,COUNTIFS($J49:$AU49,"*RNNR B2*",$J49:$AU49,"&lt;&gt;"&amp;"pRNNR B2")*0.5,COUNTIFS($J49:$AU49,"*B1 RNNR*",$J49:$AU49,"&lt;&gt;"&amp;"pB1 RNNR")*0.5,COUNTIFS($J49:$AU49,"*B2 RNNR*",$J49:$AU49,"&lt;&gt;"&amp;"pB2 RNNR")*0.5)))</f>
        <v/>
      </c>
      <c r="J49" s="184" t="str">
        <f>IFERROR(IF(VLOOKUP(Fri_W1[[#This Row],[Employee Name]],'Base Schedules'!$A$1:$AW$44,9,FALSE)="","",VLOOKUP(Fri_W1[[#This Row],[Employee Name]],'Base Schedules'!$A$1:$AW$44,9,FALSE)),"")</f>
        <v/>
      </c>
      <c r="K49" s="184" t="str">
        <f>IFERROR(IF(VLOOKUP(Fri_W1[[#This Row],[Employee Name]],'Base Schedules'!$A$1:$AW$44,10,FALSE)="","",VLOOKUP(Fri_W1[[#This Row],[Employee Name]],'Base Schedules'!$A$1:$AW$44,10,FALSE)),"")</f>
        <v/>
      </c>
      <c r="L49" s="184" t="str">
        <f>IFERROR(IF(VLOOKUP(Fri_W1[[#This Row],[Employee Name]],'Base Schedules'!$A$1:$AW$44,11,FALSE)="","",VLOOKUP(Fri_W1[[#This Row],[Employee Name]],'Base Schedules'!$A$1:$AW$44,11,FALSE)),"")</f>
        <v/>
      </c>
      <c r="M49" s="184" t="str">
        <f>IFERROR(IF(VLOOKUP(Fri_W1[[#This Row],[Employee Name]],'Base Schedules'!$A$1:$AW$44,12,FALSE)="","",VLOOKUP(Fri_W1[[#This Row],[Employee Name]],'Base Schedules'!$A$1:$AW$44,12,FALSE)),"")</f>
        <v/>
      </c>
      <c r="N49" s="184" t="str">
        <f>IFERROR(IF(VLOOKUP(Fri_W1[[#This Row],[Employee Name]],'Base Schedules'!$A$1:$AW$44,13,FALSE)="","",VLOOKUP(Fri_W1[[#This Row],[Employee Name]],'Base Schedules'!$A$1:$AW$44,13,FALSE)),"")</f>
        <v/>
      </c>
      <c r="O49" s="184" t="str">
        <f>IFERROR(IF(VLOOKUP(Fri_W1[[#This Row],[Employee Name]],'Base Schedules'!$A$1:$AW$44,14,FALSE)="","",VLOOKUP(Fri_W1[[#This Row],[Employee Name]],'Base Schedules'!$A$1:$AW$44,14,FALSE)),"")</f>
        <v/>
      </c>
      <c r="P49" s="184" t="str">
        <f>IFERROR(IF(VLOOKUP(Fri_W1[[#This Row],[Employee Name]],'Base Schedules'!$A$1:$AW$44,15,FALSE)="","",VLOOKUP(Fri_W1[[#This Row],[Employee Name]],'Base Schedules'!$A$1:$AW$44,15,FALSE)),"")</f>
        <v/>
      </c>
      <c r="Q49" s="184" t="str">
        <f>IFERROR(IF(VLOOKUP(Fri_W1[[#This Row],[Employee Name]],'Base Schedules'!$A$1:$AW$44,16,FALSE)="","",VLOOKUP(Fri_W1[[#This Row],[Employee Name]],'Base Schedules'!$A$1:$AW$44,16,FALSE)),"")</f>
        <v/>
      </c>
      <c r="R49" s="184" t="str">
        <f>IFERROR(IF(VLOOKUP(Fri_W1[[#This Row],[Employee Name]],'Base Schedules'!$A$1:$AW$44,17,FALSE)="","",VLOOKUP(Fri_W1[[#This Row],[Employee Name]],'Base Schedules'!$A$1:$AW$44,17,FALSE)),"")</f>
        <v/>
      </c>
      <c r="S49" s="184" t="str">
        <f>IFERROR(IF(VLOOKUP(Fri_W1[[#This Row],[Employee Name]],'Base Schedules'!$A$1:$AW$44,18,FALSE)="","",VLOOKUP(Fri_W1[[#This Row],[Employee Name]],'Base Schedules'!$A$1:$AW$44,18,FALSE)),"")</f>
        <v/>
      </c>
      <c r="T49" s="184" t="str">
        <f>IFERROR(IF(VLOOKUP(Fri_W1[[#This Row],[Employee Name]],'Base Schedules'!$A$1:$AW$44,19,FALSE)="","",VLOOKUP(Fri_W1[[#This Row],[Employee Name]],'Base Schedules'!$A$1:$AW$44,19,FALSE)),"")</f>
        <v/>
      </c>
      <c r="U49" s="184" t="str">
        <f>IFERROR(IF(VLOOKUP(Fri_W1[[#This Row],[Employee Name]],'Base Schedules'!$A$1:$AW$44,20,FALSE)="","",VLOOKUP(Fri_W1[[#This Row],[Employee Name]],'Base Schedules'!$A$1:$AW$44,20,FALSE)),"")</f>
        <v/>
      </c>
      <c r="V49" s="184" t="str">
        <f>IFERROR(IF(VLOOKUP(Fri_W1[[#This Row],[Employee Name]],'Base Schedules'!$A$1:$AW$44,21,FALSE)="","",VLOOKUP(Fri_W1[[#This Row],[Employee Name]],'Base Schedules'!$A$1:$AW$44,21,FALSE)),"")</f>
        <v/>
      </c>
      <c r="W49" s="184" t="str">
        <f>IFERROR(IF(VLOOKUP(Fri_W1[[#This Row],[Employee Name]],'Base Schedules'!$A$1:$AW$44,22,FALSE)="","",VLOOKUP(Fri_W1[[#This Row],[Employee Name]],'Base Schedules'!$A$1:$AW$44,22,FALSE)),"")</f>
        <v/>
      </c>
      <c r="X49" s="184" t="str">
        <f>IFERROR(IF(VLOOKUP(Fri_W1[[#This Row],[Employee Name]],'Base Schedules'!$A$1:$AW$44,23,FALSE)="","",VLOOKUP(Fri_W1[[#This Row],[Employee Name]],'Base Schedules'!$A$1:$AW$44,23,FALSE)),"")</f>
        <v/>
      </c>
      <c r="Y49" s="184" t="str">
        <f>IFERROR(IF(VLOOKUP(Fri_W1[[#This Row],[Employee Name]],'Base Schedules'!$A$1:$AW$44,24,FALSE)="","",VLOOKUP(Fri_W1[[#This Row],[Employee Name]],'Base Schedules'!$A$1:$AW$44,24,FALSE)),"")</f>
        <v/>
      </c>
      <c r="Z49" s="184" t="str">
        <f>IFERROR(IF(VLOOKUP(Fri_W1[[#This Row],[Employee Name]],'Base Schedules'!$A$1:$AW$44,25,FALSE)="","",VLOOKUP(Fri_W1[[#This Row],[Employee Name]],'Base Schedules'!$A$1:$AW$44,25,FALSE)),"")</f>
        <v/>
      </c>
      <c r="AA49" s="184" t="str">
        <f>IFERROR(IF(VLOOKUP(Fri_W1[[#This Row],[Employee Name]],'Base Schedules'!$A$1:$AW$44,26,FALSE)="","",VLOOKUP(Fri_W1[[#This Row],[Employee Name]],'Base Schedules'!$A$1:$AW$44,26,FALSE)),"")</f>
        <v/>
      </c>
      <c r="AB49" s="184" t="str">
        <f>IFERROR(IF(VLOOKUP(Fri_W1[[#This Row],[Employee Name]],'Base Schedules'!$A:$AA,27,FALSE)="","",VLOOKUP(Fri_W1[[#This Row],[Employee Name]],'Base Schedules'!$A:$AA,27,FALSE)),"")</f>
        <v/>
      </c>
      <c r="AC49" s="184" t="str">
        <f>IFERROR(IF(VLOOKUP(Fri_W1[[#This Row],[Employee Name]],'Base Schedules'!$A:$AB,28,FALSE)="","",VLOOKUP(Fri_W1[[#This Row],[Employee Name]],'Base Schedules'!$A:$AB,28,FALSE)),"")</f>
        <v/>
      </c>
      <c r="AD49" s="184" t="str">
        <f>IFERROR(IF(VLOOKUP(Fri_W1[[#This Row],[Employee Name]],'Base Schedules'!$A:$AC,229,FALSE)="","",VLOOKUP(Fri_W1[[#This Row],[Employee Name]],'Base Schedules'!$A:$AC,229,FALSE)),"")</f>
        <v/>
      </c>
      <c r="AE49" s="184" t="str">
        <f>IFERROR(IF(VLOOKUP(Fri_W1[[#This Row],[Employee Name]],'Base Schedules'!$A:$AD,30,FALSE)="","",VLOOKUP(Fri_W1[[#This Row],[Employee Name]],'Base Schedules'!$A:$AD,30,FALSE)),"")</f>
        <v/>
      </c>
      <c r="AF49" s="184" t="str">
        <f>IFERROR(IF(VLOOKUP(Fri_W1[[#This Row],[Employee Name]],'Base Schedules'!$A:$AE,31,FALSE)="","",VLOOKUP(Fri_W1[[#This Row],[Employee Name]],'Base Schedules'!$A:$AE,31,FALSE)),"")</f>
        <v/>
      </c>
      <c r="AG49" s="184" t="str">
        <f>IFERROR(IF(VLOOKUP(Fri_W1[[#This Row],[Employee Name]],'Base Schedules'!$A:$AF,32,FALSE)="","",VLOOKUP(Fri_W1[[#This Row],[Employee Name]],'Base Schedules'!$A:$AF,32,FALSE)),"")</f>
        <v/>
      </c>
      <c r="AH49" s="184" t="str">
        <f>IFERROR(IF(VLOOKUP(Fri_W1[[#This Row],[Employee Name]],'Base Schedules'!$A:$AG,33,FALSE)="","",VLOOKUP(Fri_W1[[#This Row],[Employee Name]],'Base Schedules'!$A:$AG,33,FALSE)),"")</f>
        <v/>
      </c>
      <c r="AI49" s="184" t="str">
        <f>IFERROR(IF(VLOOKUP(Fri_W1[[#This Row],[Employee Name]],'Base Schedules'!$A:$AH,34,FALSE)="","",VLOOKUP(Fri_W1[[#This Row],[Employee Name]],'Base Schedules'!$A:$AH,34,FALSE)),"")</f>
        <v/>
      </c>
      <c r="AJ49" s="184" t="str">
        <f>IFERROR(IF(VLOOKUP(Fri_W1[[#This Row],[Employee Name]],'Base Schedules'!$A:$AI,35,FALSE)="","",VLOOKUP(Fri_W1[[#This Row],[Employee Name]],'Base Schedules'!$A:$AI,35,FALSE)),"")</f>
        <v/>
      </c>
      <c r="AK49" s="184" t="str">
        <f>IFERROR(IF(VLOOKUP(Fri_W1[[#This Row],[Employee Name]],'Base Schedules'!$A:$AJ,36,FALSE)="","",VLOOKUP(Fri_W1[[#This Row],[Employee Name]],'Base Schedules'!$A:$AJ,36,FALSE)),"")</f>
        <v/>
      </c>
      <c r="AL49" s="184" t="str">
        <f>IFERROR(IF(VLOOKUP(Fri_W1[[#This Row],[Employee Name]],'Base Schedules'!$A:$AK,37,FALSE)="","",VLOOKUP(Fri_W1[[#This Row],[Employee Name]],'Base Schedules'!$A:$AK,37,FALSE)),"")</f>
        <v/>
      </c>
      <c r="AM49" s="184" t="str">
        <f>IFERROR(IF(VLOOKUP(Fri_W1[[#This Row],[Employee Name]],'Base Schedules'!$A:$AL,38,FALSE)="","",VLOOKUP(Fri_W1[[#This Row],[Employee Name]],'Base Schedules'!$A:$AL,38,FALSE)),"")</f>
        <v/>
      </c>
      <c r="AN49" s="184" t="str">
        <f>IFERROR(IF(VLOOKUP(Fri_W1[[#This Row],[Employee Name]],'Base Schedules'!$A:$AM,339,FALSE)="","",VLOOKUP(Fri_W1[[#This Row],[Employee Name]],'Base Schedules'!$A:$AM,339,FALSE)),"")</f>
        <v/>
      </c>
      <c r="AO49" s="184" t="str">
        <f>IFERROR(IF(VLOOKUP(Fri_W1[[#This Row],[Employee Name]],'Base Schedules'!$A:$AN,40,FALSE)="","",VLOOKUP(Fri_W1[[#This Row],[Employee Name]],'Base Schedules'!$A:$AN,40,FALSE)),"")</f>
        <v/>
      </c>
      <c r="AP49" s="184" t="str">
        <f>IFERROR(IF(VLOOKUP(Fri_W1[[#This Row],[Employee Name]],'Base Schedules'!$A:$AO,41,FALSE)="","",VLOOKUP(Fri_W1[[#This Row],[Employee Name]],'Base Schedules'!$A:$AO,41,FALSE)),"")</f>
        <v/>
      </c>
      <c r="AQ49" s="184" t="str">
        <f>IFERROR(IF(VLOOKUP(Fri_W1[[#This Row],[Employee Name]],'Base Schedules'!$A:$AP,42,FALSE)="","",VLOOKUP(Fri_W1[[#This Row],[Employee Name]],'Base Schedules'!$A:$AP,42,FALSE)),"")</f>
        <v/>
      </c>
      <c r="AR49" s="184" t="str">
        <f>IFERROR(IF(VLOOKUP(Fri_W1[[#This Row],[Employee Name]],'Base Schedules'!$A:$AQ,43,FALSE)="","",VLOOKUP(Fri_W1[[#This Row],[Employee Name]],'Base Schedules'!$A:$AQ,43,FALSE)),"")</f>
        <v/>
      </c>
      <c r="AS49" s="184" t="str">
        <f>IFERROR(IF(VLOOKUP(Fri_W1[[#This Row],[Employee Name]],'Base Schedules'!$A:$AR,44,FALSE)="","",VLOOKUP(Fri_W1[[#This Row],[Employee Name]],'Base Schedules'!$A:$AR,44,FALSE)),"")</f>
        <v/>
      </c>
      <c r="AT49" s="184" t="str">
        <f>IFERROR(IF(VLOOKUP(Fri_W1[[#This Row],[Employee Name]],'Base Schedules'!$A:$AS,45,FALSE)="","",VLOOKUP(Fri_W1[[#This Row],[Employee Name]],'Base Schedules'!$A:$AS,45,FALSE)),"")</f>
        <v/>
      </c>
      <c r="AU49" s="184" t="str">
        <f>IFERROR(IF(VLOOKUP(Fri_W1[[#This Row],[Employee Name]],'Base Schedules'!$A:$AT,46,FALSE)="","",VLOOKUP(Fri_W1[[#This Row],[Employee Name]],'Base Schedules'!$A:$AT,46,FALSE)),"")</f>
        <v/>
      </c>
      <c r="AV49" s="184" t="str">
        <f>IFERROR(IF(VLOOKUP(Fri_W1[[#This Row],[Employee Name]],'Base Schedules'!$A:$AU,47,FALSE)="","",VLOOKUP(Fri_W1[[#This Row],[Employee Name]],'Base Schedules'!$A:$AU,47,FALSE)),"")</f>
        <v/>
      </c>
      <c r="AW49" s="184" t="str">
        <f>IFERROR(IF(VLOOKUP(Fri_W1[[#This Row],[Employee Name]],'Base Schedules'!$A:$AV,48,FALSE)="","",VLOOKUP(Fri_W1[[#This Row],[Employee Name]],'Base Schedules'!$A:$AV,48,FALSE)),"")</f>
        <v/>
      </c>
      <c r="AX49" s="184" t="str">
        <f>IFERROR(IF(VLOOKUP(Fri_W1[[#This Row],[Employee Name]],'Base Schedules'!$A$1:$AW$44,49,FALSE)="","",VLOOKUP(Fri_W1[[#This Row],[Employee Name]],'Base Schedules'!$A$1:$AW$44,49,FALSE)),"")</f>
        <v/>
      </c>
      <c r="AY49" s="343" t="str">
        <f t="shared" si="2"/>
        <v/>
      </c>
    </row>
    <row r="50" spans="1:52" s="44" customFormat="1" ht="12" hidden="1" customHeight="1" x14ac:dyDescent="0.2">
      <c r="A50" s="39"/>
      <c r="B50" s="342"/>
      <c r="C50" s="344" t="str">
        <f>IFERROR(VLOOKUP(Fri_W1[[#This Row],[Employee Name]],Schedules[[#All],[Employee Name]:[Dept]],2,0),"")</f>
        <v/>
      </c>
      <c r="D50" s="345" t="str">
        <f>IFERROR(INDEX(Schedules[],MATCH(Fri_W1[[#This Row],[Employee Name]]&amp;"fri",Schedules[Column1],0),MATCH("START",Schedules[#Headers],0)),"")</f>
        <v/>
      </c>
      <c r="E50" s="346" t="str">
        <f>IFERROR(INDEX(Schedules[],MATCH(Fri_W1[[#This Row],[Employee Name]]&amp;"fri",Schedules[Column1],0),MATCH("STOP",Schedules[#Headers],0)),"")</f>
        <v/>
      </c>
      <c r="F50" s="347" t="str">
        <f>IF(Fri_W1[[#This Row],[Employee Name]]="","",IF(Fri_W1[[#This Row],[Dept]]="Supervisor",COUNTIFS($J50:$AU50,"*HL*",$J50:$AU50,"&lt;&gt;"&amp;"pHL"),COUNTIFS($J50:$AU50,"*HL*",$J50:$AU50,"&lt;&gt;"&amp;"*pHL*",$J50:$AU50,"&lt;&gt;"&amp;"pB1 HL",$J50:$AU50,"&lt;&gt;"&amp;"pB2 HL")-SUM(COUNTIFS($J50:$AU50,"*HL B1*",$J50:$AU50,"&lt;&gt;"&amp;"pHL B1")*0.5,COUNTIFS($J50:$AU50,"*HL B2*",$J50:$AU50,"&lt;&gt;"&amp;"pHL B2")*0.5,COUNTIFS($J50:$AU50,"*B1 HL*",$J50:$AU50,"&lt;&gt;"&amp;"pB1 HL")*0.5,COUNTIFS($J50:$AU50,"*B2 HL*",$J50:$AU50,"&lt;&gt;"&amp;"pB2 HL")*0.5)))</f>
        <v/>
      </c>
      <c r="G50" s="347" t="str">
        <f>IF(B50="","",COUNTIFS($J50:$AU50,"*TM*",$J50:$AU50,"&lt;&gt;"&amp;"pTM",$J50:$AU50,"&lt;&gt;"&amp;"uTM"))</f>
        <v/>
      </c>
      <c r="H50" s="347" t="str">
        <f>IF(B50="","",COUNTIFS($J50:$AU50,"*ADM*",$J50:$AU50,"&lt;&gt;"&amp;"pADM",$J50:$AU50,"&lt;&gt;"&amp;"uADM"))</f>
        <v/>
      </c>
      <c r="I50" s="347" t="str">
        <f>IF(Fri_W1[[#This Row],[Employee Name]]="","",IF(Fri_W1[[#This Row],[Dept]]="Supervisor",SUM(COUNTIFS($J50:$AU50,"RTA*",$J50:$AU50,"&lt;&gt;"&amp;"pRTA"),COUNTIFS($J50:$AU50,"*CRTA*",$J50:$AU50,"&lt;&gt;"&amp;"pCRTA")),COUNTIFS($J50:$AU50,"*RNNR*",$J50:$AU50,"&lt;&gt;"&amp;"*pRNNR*",$J50:$AU50,"&lt;&gt;"&amp;"pB1 RNNR",$J50:$AU50,"&lt;&gt;"&amp;"pB2 RNNR")-SUM(COUNTIFS($J50:$AU50,"*RNNR B1*",$J50:$AU50,"&lt;&gt;"&amp;"pRNNR B1")*0.5,COUNTIFS($J50:$AU50,"*RNNR B2*",$J50:$AU50,"&lt;&gt;"&amp;"pRNNR B2")*0.5,COUNTIFS($J50:$AU50,"*B1 RNNR*",$J50:$AU50,"&lt;&gt;"&amp;"pB1 RNNR")*0.5,COUNTIFS($J50:$AU50,"*B2 RNNR*",$J50:$AU50,"&lt;&gt;"&amp;"pB2 RNNR")*0.5)))</f>
        <v/>
      </c>
      <c r="J50" s="184" t="str">
        <f>IFERROR(IF(VLOOKUP(Fri_W1[[#This Row],[Employee Name]],'Base Schedules'!$A$1:$AW$44,9,FALSE)="","",VLOOKUP(Fri_W1[[#This Row],[Employee Name]],'Base Schedules'!$A$1:$AW$44,9,FALSE)),"")</f>
        <v/>
      </c>
      <c r="K50" s="184" t="str">
        <f>IFERROR(IF(VLOOKUP(Fri_W1[[#This Row],[Employee Name]],'Base Schedules'!$A$1:$AW$44,10,FALSE)="","",VLOOKUP(Fri_W1[[#This Row],[Employee Name]],'Base Schedules'!$A$1:$AW$44,10,FALSE)),"")</f>
        <v/>
      </c>
      <c r="L50" s="184" t="str">
        <f>IFERROR(IF(VLOOKUP(Fri_W1[[#This Row],[Employee Name]],'Base Schedules'!$A$1:$AW$44,11,FALSE)="","",VLOOKUP(Fri_W1[[#This Row],[Employee Name]],'Base Schedules'!$A$1:$AW$44,11,FALSE)),"")</f>
        <v/>
      </c>
      <c r="M50" s="184" t="str">
        <f>IFERROR(IF(VLOOKUP(Fri_W1[[#This Row],[Employee Name]],'Base Schedules'!$A$1:$AW$44,12,FALSE)="","",VLOOKUP(Fri_W1[[#This Row],[Employee Name]],'Base Schedules'!$A$1:$AW$44,12,FALSE)),"")</f>
        <v/>
      </c>
      <c r="N50" s="184" t="str">
        <f>IFERROR(IF(VLOOKUP(Fri_W1[[#This Row],[Employee Name]],'Base Schedules'!$A$1:$AW$44,13,FALSE)="","",VLOOKUP(Fri_W1[[#This Row],[Employee Name]],'Base Schedules'!$A$1:$AW$44,13,FALSE)),"")</f>
        <v/>
      </c>
      <c r="O50" s="184" t="str">
        <f>IFERROR(IF(VLOOKUP(Fri_W1[[#This Row],[Employee Name]],'Base Schedules'!$A$1:$AW$44,14,FALSE)="","",VLOOKUP(Fri_W1[[#This Row],[Employee Name]],'Base Schedules'!$A$1:$AW$44,14,FALSE)),"")</f>
        <v/>
      </c>
      <c r="P50" s="184" t="str">
        <f>IFERROR(IF(VLOOKUP(Fri_W1[[#This Row],[Employee Name]],'Base Schedules'!$A$1:$AW$44,15,FALSE)="","",VLOOKUP(Fri_W1[[#This Row],[Employee Name]],'Base Schedules'!$A$1:$AW$44,15,FALSE)),"")</f>
        <v/>
      </c>
      <c r="Q50" s="184" t="str">
        <f>IFERROR(IF(VLOOKUP(Fri_W1[[#This Row],[Employee Name]],'Base Schedules'!$A$1:$AW$44,16,FALSE)="","",VLOOKUP(Fri_W1[[#This Row],[Employee Name]],'Base Schedules'!$A$1:$AW$44,16,FALSE)),"")</f>
        <v/>
      </c>
      <c r="R50" s="184" t="str">
        <f>IFERROR(IF(VLOOKUP(Fri_W1[[#This Row],[Employee Name]],'Base Schedules'!$A$1:$AW$44,17,FALSE)="","",VLOOKUP(Fri_W1[[#This Row],[Employee Name]],'Base Schedules'!$A$1:$AW$44,17,FALSE)),"")</f>
        <v/>
      </c>
      <c r="S50" s="184" t="str">
        <f>IFERROR(IF(VLOOKUP(Fri_W1[[#This Row],[Employee Name]],'Base Schedules'!$A$1:$AW$44,18,FALSE)="","",VLOOKUP(Fri_W1[[#This Row],[Employee Name]],'Base Schedules'!$A$1:$AW$44,18,FALSE)),"")</f>
        <v/>
      </c>
      <c r="T50" s="184" t="str">
        <f>IFERROR(IF(VLOOKUP(Fri_W1[[#This Row],[Employee Name]],'Base Schedules'!$A$1:$AW$44,19,FALSE)="","",VLOOKUP(Fri_W1[[#This Row],[Employee Name]],'Base Schedules'!$A$1:$AW$44,19,FALSE)),"")</f>
        <v/>
      </c>
      <c r="U50" s="184" t="str">
        <f>IFERROR(IF(VLOOKUP(Fri_W1[[#This Row],[Employee Name]],'Base Schedules'!$A$1:$AW$44,20,FALSE)="","",VLOOKUP(Fri_W1[[#This Row],[Employee Name]],'Base Schedules'!$A$1:$AW$44,20,FALSE)),"")</f>
        <v/>
      </c>
      <c r="V50" s="184" t="str">
        <f>IFERROR(IF(VLOOKUP(Fri_W1[[#This Row],[Employee Name]],'Base Schedules'!$A$1:$AW$44,21,FALSE)="","",VLOOKUP(Fri_W1[[#This Row],[Employee Name]],'Base Schedules'!$A$1:$AW$44,21,FALSE)),"")</f>
        <v/>
      </c>
      <c r="W50" s="184" t="str">
        <f>IFERROR(IF(VLOOKUP(Fri_W1[[#This Row],[Employee Name]],'Base Schedules'!$A$1:$AW$44,22,FALSE)="","",VLOOKUP(Fri_W1[[#This Row],[Employee Name]],'Base Schedules'!$A$1:$AW$44,22,FALSE)),"")</f>
        <v/>
      </c>
      <c r="X50" s="184" t="str">
        <f>IFERROR(IF(VLOOKUP(Fri_W1[[#This Row],[Employee Name]],'Base Schedules'!$A$1:$AW$44,23,FALSE)="","",VLOOKUP(Fri_W1[[#This Row],[Employee Name]],'Base Schedules'!$A$1:$AW$44,23,FALSE)),"")</f>
        <v/>
      </c>
      <c r="Y50" s="184" t="str">
        <f>IFERROR(IF(VLOOKUP(Fri_W1[[#This Row],[Employee Name]],'Base Schedules'!$A$1:$AW$44,24,FALSE)="","",VLOOKUP(Fri_W1[[#This Row],[Employee Name]],'Base Schedules'!$A$1:$AW$44,24,FALSE)),"")</f>
        <v/>
      </c>
      <c r="Z50" s="184" t="str">
        <f>IFERROR(IF(VLOOKUP(Fri_W1[[#This Row],[Employee Name]],'Base Schedules'!$A$1:$AW$44,25,FALSE)="","",VLOOKUP(Fri_W1[[#This Row],[Employee Name]],'Base Schedules'!$A$1:$AW$44,25,FALSE)),"")</f>
        <v/>
      </c>
      <c r="AA50" s="184" t="str">
        <f>IFERROR(IF(VLOOKUP(Fri_W1[[#This Row],[Employee Name]],'Base Schedules'!$A$1:$AW$44,26,FALSE)="","",VLOOKUP(Fri_W1[[#This Row],[Employee Name]],'Base Schedules'!$A$1:$AW$44,26,FALSE)),"")</f>
        <v/>
      </c>
      <c r="AB50" s="184" t="str">
        <f>IFERROR(IF(VLOOKUP(Fri_W1[[#This Row],[Employee Name]],'Base Schedules'!$A:$AA,27,FALSE)="","",VLOOKUP(Fri_W1[[#This Row],[Employee Name]],'Base Schedules'!$A:$AA,27,FALSE)),"")</f>
        <v/>
      </c>
      <c r="AC50" s="184" t="str">
        <f>IFERROR(IF(VLOOKUP(Fri_W1[[#This Row],[Employee Name]],'Base Schedules'!$A:$AB,28,FALSE)="","",VLOOKUP(Fri_W1[[#This Row],[Employee Name]],'Base Schedules'!$A:$AB,28,FALSE)),"")</f>
        <v/>
      </c>
      <c r="AD50" s="184" t="str">
        <f>IFERROR(IF(VLOOKUP(Fri_W1[[#This Row],[Employee Name]],'Base Schedules'!$A:$AC,229,FALSE)="","",VLOOKUP(Fri_W1[[#This Row],[Employee Name]],'Base Schedules'!$A:$AC,229,FALSE)),"")</f>
        <v/>
      </c>
      <c r="AE50" s="184" t="str">
        <f>IFERROR(IF(VLOOKUP(Fri_W1[[#This Row],[Employee Name]],'Base Schedules'!$A:$AD,30,FALSE)="","",VLOOKUP(Fri_W1[[#This Row],[Employee Name]],'Base Schedules'!$A:$AD,30,FALSE)),"")</f>
        <v/>
      </c>
      <c r="AF50" s="184" t="str">
        <f>IFERROR(IF(VLOOKUP(Fri_W1[[#This Row],[Employee Name]],'Base Schedules'!$A:$AE,31,FALSE)="","",VLOOKUP(Fri_W1[[#This Row],[Employee Name]],'Base Schedules'!$A:$AE,31,FALSE)),"")</f>
        <v/>
      </c>
      <c r="AG50" s="184" t="str">
        <f>IFERROR(IF(VLOOKUP(Fri_W1[[#This Row],[Employee Name]],'Base Schedules'!$A:$AF,32,FALSE)="","",VLOOKUP(Fri_W1[[#This Row],[Employee Name]],'Base Schedules'!$A:$AF,32,FALSE)),"")</f>
        <v/>
      </c>
      <c r="AH50" s="184" t="str">
        <f>IFERROR(IF(VLOOKUP(Fri_W1[[#This Row],[Employee Name]],'Base Schedules'!$A:$AG,33,FALSE)="","",VLOOKUP(Fri_W1[[#This Row],[Employee Name]],'Base Schedules'!$A:$AG,33,FALSE)),"")</f>
        <v/>
      </c>
      <c r="AI50" s="184" t="str">
        <f>IFERROR(IF(VLOOKUP(Fri_W1[[#This Row],[Employee Name]],'Base Schedules'!$A:$AH,34,FALSE)="","",VLOOKUP(Fri_W1[[#This Row],[Employee Name]],'Base Schedules'!$A:$AH,34,FALSE)),"")</f>
        <v/>
      </c>
      <c r="AJ50" s="184" t="str">
        <f>IFERROR(IF(VLOOKUP(Fri_W1[[#This Row],[Employee Name]],'Base Schedules'!$A:$AI,35,FALSE)="","",VLOOKUP(Fri_W1[[#This Row],[Employee Name]],'Base Schedules'!$A:$AI,35,FALSE)),"")</f>
        <v/>
      </c>
      <c r="AK50" s="184" t="str">
        <f>IFERROR(IF(VLOOKUP(Fri_W1[[#This Row],[Employee Name]],'Base Schedules'!$A:$AJ,36,FALSE)="","",VLOOKUP(Fri_W1[[#This Row],[Employee Name]],'Base Schedules'!$A:$AJ,36,FALSE)),"")</f>
        <v/>
      </c>
      <c r="AL50" s="184" t="str">
        <f>IFERROR(IF(VLOOKUP(Fri_W1[[#This Row],[Employee Name]],'Base Schedules'!$A:$AK,37,FALSE)="","",VLOOKUP(Fri_W1[[#This Row],[Employee Name]],'Base Schedules'!$A:$AK,37,FALSE)),"")</f>
        <v/>
      </c>
      <c r="AM50" s="184" t="str">
        <f>IFERROR(IF(VLOOKUP(Fri_W1[[#This Row],[Employee Name]],'Base Schedules'!$A:$AL,38,FALSE)="","",VLOOKUP(Fri_W1[[#This Row],[Employee Name]],'Base Schedules'!$A:$AL,38,FALSE)),"")</f>
        <v/>
      </c>
      <c r="AN50" s="184" t="str">
        <f>IFERROR(IF(VLOOKUP(Fri_W1[[#This Row],[Employee Name]],'Base Schedules'!$A:$AM,339,FALSE)="","",VLOOKUP(Fri_W1[[#This Row],[Employee Name]],'Base Schedules'!$A:$AM,339,FALSE)),"")</f>
        <v/>
      </c>
      <c r="AO50" s="184" t="str">
        <f>IFERROR(IF(VLOOKUP(Fri_W1[[#This Row],[Employee Name]],'Base Schedules'!$A:$AN,40,FALSE)="","",VLOOKUP(Fri_W1[[#This Row],[Employee Name]],'Base Schedules'!$A:$AN,40,FALSE)),"")</f>
        <v/>
      </c>
      <c r="AP50" s="184" t="str">
        <f>IFERROR(IF(VLOOKUP(Fri_W1[[#This Row],[Employee Name]],'Base Schedules'!$A:$AO,41,FALSE)="","",VLOOKUP(Fri_W1[[#This Row],[Employee Name]],'Base Schedules'!$A:$AO,41,FALSE)),"")</f>
        <v/>
      </c>
      <c r="AQ50" s="184" t="str">
        <f>IFERROR(IF(VLOOKUP(Fri_W1[[#This Row],[Employee Name]],'Base Schedules'!$A:$AP,42,FALSE)="","",VLOOKUP(Fri_W1[[#This Row],[Employee Name]],'Base Schedules'!$A:$AP,42,FALSE)),"")</f>
        <v/>
      </c>
      <c r="AR50" s="184" t="str">
        <f>IFERROR(IF(VLOOKUP(Fri_W1[[#This Row],[Employee Name]],'Base Schedules'!$A:$AQ,43,FALSE)="","",VLOOKUP(Fri_W1[[#This Row],[Employee Name]],'Base Schedules'!$A:$AQ,43,FALSE)),"")</f>
        <v/>
      </c>
      <c r="AS50" s="184" t="str">
        <f>IFERROR(IF(VLOOKUP(Fri_W1[[#This Row],[Employee Name]],'Base Schedules'!$A:$AR,44,FALSE)="","",VLOOKUP(Fri_W1[[#This Row],[Employee Name]],'Base Schedules'!$A:$AR,44,FALSE)),"")</f>
        <v/>
      </c>
      <c r="AT50" s="184" t="str">
        <f>IFERROR(IF(VLOOKUP(Fri_W1[[#This Row],[Employee Name]],'Base Schedules'!$A:$AS,45,FALSE)="","",VLOOKUP(Fri_W1[[#This Row],[Employee Name]],'Base Schedules'!$A:$AS,45,FALSE)),"")</f>
        <v/>
      </c>
      <c r="AU50" s="184" t="str">
        <f>IFERROR(IF(VLOOKUP(Fri_W1[[#This Row],[Employee Name]],'Base Schedules'!$A:$AT,46,FALSE)="","",VLOOKUP(Fri_W1[[#This Row],[Employee Name]],'Base Schedules'!$A:$AT,46,FALSE)),"")</f>
        <v/>
      </c>
      <c r="AV50" s="184" t="str">
        <f>IFERROR(IF(VLOOKUP(Fri_W1[[#This Row],[Employee Name]],'Base Schedules'!$A:$AU,47,FALSE)="","",VLOOKUP(Fri_W1[[#This Row],[Employee Name]],'Base Schedules'!$A:$AU,47,FALSE)),"")</f>
        <v/>
      </c>
      <c r="AW50" s="184" t="str">
        <f>IFERROR(IF(VLOOKUP(Fri_W1[[#This Row],[Employee Name]],'Base Schedules'!$A:$AV,48,FALSE)="","",VLOOKUP(Fri_W1[[#This Row],[Employee Name]],'Base Schedules'!$A:$AV,48,FALSE)),"")</f>
        <v/>
      </c>
      <c r="AX50" s="184" t="str">
        <f>IFERROR(IF(VLOOKUP(Fri_W1[[#This Row],[Employee Name]],'Base Schedules'!$A$1:$AW$44,49,FALSE)="","",VLOOKUP(Fri_W1[[#This Row],[Employee Name]],'Base Schedules'!$A$1:$AW$44,49,FALSE)),"")</f>
        <v/>
      </c>
      <c r="AY50" s="343" t="str">
        <f t="shared" si="2"/>
        <v/>
      </c>
    </row>
    <row r="51" spans="1:52" ht="13.5" hidden="1" customHeight="1" thickBot="1" x14ac:dyDescent="0.25">
      <c r="A51" s="39" t="str">
        <f>IF(B51="","",INDEX(TeamList[],MATCH($B51,TeamList[[Employee Name]:[Employee Name]],0),MATCH("Manager",TeamList[#Headers],0)))</f>
        <v/>
      </c>
      <c r="B51" s="203"/>
      <c r="C51" s="189"/>
      <c r="D51" s="62"/>
      <c r="E51" s="92"/>
      <c r="F51" s="63" t="str">
        <f>IF(Fri_W1[[#This Row],[Employee Name]]="","",IF(Fri_W1[[#This Row],[Dept]]="Supervisor",COUNTIFS($J51:$AX51,"*HL*",$J51:$AX51,"&lt;&gt;"&amp;"pHL"),COUNTIFS($J51:$AX51,"*HL*",$J51:$AX51,"&lt;&gt;"&amp;"*pHL*",$J51:$AX51,"&lt;&gt;"&amp;"pB1 HL",$J51:$AX51,"&lt;&gt;"&amp;"pB2 HL")-SUM(COUNTIFS($J51:$AX51,"*HL B1*",$J51:$AX51,"&lt;&gt;"&amp;"pHL B1")*0.5,COUNTIFS($J51:$AX51,"*HL B2*",$J51:$AX51,"&lt;&gt;"&amp;"pHL B2")*0.5,COUNTIFS($J51:$AX51,"*B1 HL*",$J51:$AX51,"&lt;&gt;"&amp;"pB1 HL")*0.5,COUNTIFS($J51:$AX51,"*B2 HL*",$J51:$AX51,"&lt;&gt;"&amp;"pB2 HL")*0.5)))</f>
        <v/>
      </c>
      <c r="G51" s="63" t="str">
        <f>IF(B51="","",COUNTIFS($J51:$AX51,"*TM*",$J51:$AX51,"&lt;&gt;"&amp;"pTM",$J51:$AX51,"&lt;&gt;"&amp;"uTM"))</f>
        <v/>
      </c>
      <c r="H51" s="63" t="str">
        <f>IF(B51="","",COUNTIFS($J51:$AX51,"*ADM*",$J51:$AX51,"&lt;&gt;"&amp;"pADM",$J51:$AX51,"&lt;&gt;"&amp;"uADM"))</f>
        <v/>
      </c>
      <c r="I51" s="63" t="str">
        <f>IF(Fri_W1[[#This Row],[Employee Name]]="","",IF(Fri_W1[[#This Row],[Dept]]="Supervisor",SUM(COUNTIFS($J51:$AX51,"RTA*",$J51:$AX51,"&lt;&gt;"&amp;"pRTA"),COUNTIFS($J51:$AX51,"*CRTA*",$J51:$AX51,"&lt;&gt;"&amp;"pCRTA")),COUNTIFS($J51:$AX51,"*RNNR*",$J51:$AX51,"&lt;&gt;"&amp;"*pRNNR*",$J51:$AX51,"&lt;&gt;"&amp;"pB1 RNNR",$J51:$AX51,"&lt;&gt;"&amp;"pB2 RNNR")-SUM(COUNTIFS($J51:$AX51,"*RNNR B1*",$J51:$AX51,"&lt;&gt;"&amp;"pRNNR B1")*0.5,COUNTIFS($J51:$AX51,"*RNNR B2*",$J51:$AX51,"&lt;&gt;"&amp;"pRNNR B2")*0.5,COUNTIFS($J51:$AX51,"*B1 RNNR*",$J51:$AX51,"&lt;&gt;"&amp;"pB1 RNNR")*0.5,COUNTIFS($J51:$AX51,"*B2 RNNR*",$J51:$AX51,"&lt;&gt;"&amp;"pB2 RNNR")*0.5)))</f>
        <v/>
      </c>
      <c r="J51" s="184" t="str">
        <f>IFERROR(IF(VLOOKUP(Fri_W1[[#This Row],[Employee Name]],'Base Schedules'!$A$1:$AW$44,9,FALSE)="","",VLOOKUP(Fri_W1[[#This Row],[Employee Name]],'Base Schedules'!$A$1:$AW$44,9,FALSE)),"")</f>
        <v/>
      </c>
      <c r="K51" s="184" t="str">
        <f>IFERROR(IF(VLOOKUP(Fri_W1[[#This Row],[Employee Name]],'Base Schedules'!$A$1:$AW$44,10,FALSE)="","",VLOOKUP(Fri_W1[[#This Row],[Employee Name]],'Base Schedules'!$A$1:$AW$44,10,FALSE)),"")</f>
        <v/>
      </c>
      <c r="L51" s="184" t="str">
        <f>IFERROR(IF(VLOOKUP(Fri_W1[[#This Row],[Employee Name]],'Base Schedules'!$A$1:$AW$44,11,FALSE)="","",VLOOKUP(Fri_W1[[#This Row],[Employee Name]],'Base Schedules'!$A$1:$AW$44,11,FALSE)),"")</f>
        <v/>
      </c>
      <c r="M51" s="184" t="str">
        <f>IFERROR(IF(VLOOKUP(Fri_W1[[#This Row],[Employee Name]],'Base Schedules'!$A$1:$AW$44,12,FALSE)="","",VLOOKUP(Fri_W1[[#This Row],[Employee Name]],'Base Schedules'!$A$1:$AW$44,12,FALSE)),"")</f>
        <v/>
      </c>
      <c r="N51" s="184" t="str">
        <f>IFERROR(IF(VLOOKUP(Fri_W1[[#This Row],[Employee Name]],'Base Schedules'!$A$1:$AW$44,13,FALSE)="","",VLOOKUP(Fri_W1[[#This Row],[Employee Name]],'Base Schedules'!$A$1:$AW$44,13,FALSE)),"")</f>
        <v/>
      </c>
      <c r="O51" s="184" t="str">
        <f>IFERROR(IF(VLOOKUP(Fri_W1[[#This Row],[Employee Name]],'Base Schedules'!$A$1:$AW$44,14,FALSE)="","",VLOOKUP(Fri_W1[[#This Row],[Employee Name]],'Base Schedules'!$A$1:$AW$44,14,FALSE)),"")</f>
        <v/>
      </c>
      <c r="P51" s="184" t="str">
        <f>IFERROR(IF(VLOOKUP(Fri_W1[[#This Row],[Employee Name]],'Base Schedules'!$A$1:$AW$44,15,FALSE)="","",VLOOKUP(Fri_W1[[#This Row],[Employee Name]],'Base Schedules'!$A$1:$AW$44,15,FALSE)),"")</f>
        <v/>
      </c>
      <c r="Q51" s="184" t="str">
        <f>IFERROR(IF(VLOOKUP(Fri_W1[[#This Row],[Employee Name]],'Base Schedules'!$A$1:$AW$44,16,FALSE)="","",VLOOKUP(Fri_W1[[#This Row],[Employee Name]],'Base Schedules'!$A$1:$AW$44,16,FALSE)),"")</f>
        <v/>
      </c>
      <c r="R51" s="184" t="str">
        <f>IFERROR(IF(VLOOKUP(Fri_W1[[#This Row],[Employee Name]],'Base Schedules'!$A$1:$AW$44,17,FALSE)="","",VLOOKUP(Fri_W1[[#This Row],[Employee Name]],'Base Schedules'!$A$1:$AW$44,17,FALSE)),"")</f>
        <v/>
      </c>
      <c r="S51" s="184" t="str">
        <f>IFERROR(IF(VLOOKUP(Fri_W1[[#This Row],[Employee Name]],'Base Schedules'!$A$1:$AW$44,18,FALSE)="","",VLOOKUP(Fri_W1[[#This Row],[Employee Name]],'Base Schedules'!$A$1:$AW$44,18,FALSE)),"")</f>
        <v/>
      </c>
      <c r="T51" s="184" t="str">
        <f>IFERROR(IF(VLOOKUP(Fri_W1[[#This Row],[Employee Name]],'Base Schedules'!$A$1:$AW$44,19,FALSE)="","",VLOOKUP(Fri_W1[[#This Row],[Employee Name]],'Base Schedules'!$A$1:$AW$44,19,FALSE)),"")</f>
        <v/>
      </c>
      <c r="U51" s="184" t="str">
        <f>IFERROR(IF(VLOOKUP(Fri_W1[[#This Row],[Employee Name]],'Base Schedules'!$A$1:$AW$44,20,FALSE)="","",VLOOKUP(Fri_W1[[#This Row],[Employee Name]],'Base Schedules'!$A$1:$AW$44,20,FALSE)),"")</f>
        <v/>
      </c>
      <c r="V51" s="184" t="str">
        <f>IFERROR(IF(VLOOKUP(Fri_W1[[#This Row],[Employee Name]],'Base Schedules'!$A$1:$AW$44,21,FALSE)="","",VLOOKUP(Fri_W1[[#This Row],[Employee Name]],'Base Schedules'!$A$1:$AW$44,21,FALSE)),"")</f>
        <v/>
      </c>
      <c r="W51" s="184" t="str">
        <f>IFERROR(IF(VLOOKUP(Fri_W1[[#This Row],[Employee Name]],'Base Schedules'!$A$1:$AW$44,22,FALSE)="","",VLOOKUP(Fri_W1[[#This Row],[Employee Name]],'Base Schedules'!$A$1:$AW$44,22,FALSE)),"")</f>
        <v/>
      </c>
      <c r="X51" s="184" t="str">
        <f>IFERROR(IF(VLOOKUP(Fri_W1[[#This Row],[Employee Name]],'Base Schedules'!$A$1:$AW$44,23,FALSE)="","",VLOOKUP(Fri_W1[[#This Row],[Employee Name]],'Base Schedules'!$A$1:$AW$44,23,FALSE)),"")</f>
        <v/>
      </c>
      <c r="Y51" s="184" t="str">
        <f>IFERROR(IF(VLOOKUP(Fri_W1[[#This Row],[Employee Name]],'Base Schedules'!$A$1:$AW$44,24,FALSE)="","",VLOOKUP(Fri_W1[[#This Row],[Employee Name]],'Base Schedules'!$A$1:$AW$44,24,FALSE)),"")</f>
        <v/>
      </c>
      <c r="Z51" s="184" t="str">
        <f>IFERROR(IF(VLOOKUP(Fri_W1[[#This Row],[Employee Name]],'Base Schedules'!$A$1:$AW$44,25,FALSE)="","",VLOOKUP(Fri_W1[[#This Row],[Employee Name]],'Base Schedules'!$A$1:$AW$44,25,FALSE)),"")</f>
        <v/>
      </c>
      <c r="AA51" s="184" t="str">
        <f>IFERROR(IF(VLOOKUP(Fri_W1[[#This Row],[Employee Name]],'Base Schedules'!$A$1:$AW$44,26,FALSE)="","",VLOOKUP(Fri_W1[[#This Row],[Employee Name]],'Base Schedules'!$A$1:$AW$44,26,FALSE)),"")</f>
        <v/>
      </c>
      <c r="AB51" s="184" t="str">
        <f>IFERROR(IF(VLOOKUP(Fri_W1[[#This Row],[Employee Name]],'Base Schedules'!$A:$AA,27,FALSE)="","",VLOOKUP(Fri_W1[[#This Row],[Employee Name]],'Base Schedules'!$A:$AA,27,FALSE)),"")</f>
        <v/>
      </c>
      <c r="AC51" s="184" t="str">
        <f>IFERROR(IF(VLOOKUP(Fri_W1[[#This Row],[Employee Name]],'Base Schedules'!$A:$AB,28,FALSE)="","",VLOOKUP(Fri_W1[[#This Row],[Employee Name]],'Base Schedules'!$A:$AB,28,FALSE)),"")</f>
        <v/>
      </c>
      <c r="AD51" s="184" t="str">
        <f>IFERROR(IF(VLOOKUP(Fri_W1[[#This Row],[Employee Name]],'Base Schedules'!$A:$AC,229,FALSE)="","",VLOOKUP(Fri_W1[[#This Row],[Employee Name]],'Base Schedules'!$A:$AC,229,FALSE)),"")</f>
        <v/>
      </c>
      <c r="AE51" s="184" t="str">
        <f>IFERROR(IF(VLOOKUP(Fri_W1[[#This Row],[Employee Name]],'Base Schedules'!$A:$AD,30,FALSE)="","",VLOOKUP(Fri_W1[[#This Row],[Employee Name]],'Base Schedules'!$A:$AD,30,FALSE)),"")</f>
        <v/>
      </c>
      <c r="AF51" s="184" t="str">
        <f>IFERROR(IF(VLOOKUP(Fri_W1[[#This Row],[Employee Name]],'Base Schedules'!$A:$AE,31,FALSE)="","",VLOOKUP(Fri_W1[[#This Row],[Employee Name]],'Base Schedules'!$A:$AE,31,FALSE)),"")</f>
        <v/>
      </c>
      <c r="AG51" s="184" t="str">
        <f>IFERROR(IF(VLOOKUP(Fri_W1[[#This Row],[Employee Name]],'Base Schedules'!$A:$AF,32,FALSE)="","",VLOOKUP(Fri_W1[[#This Row],[Employee Name]],'Base Schedules'!$A:$AF,32,FALSE)),"")</f>
        <v/>
      </c>
      <c r="AH51" s="184" t="str">
        <f>IFERROR(IF(VLOOKUP(Fri_W1[[#This Row],[Employee Name]],'Base Schedules'!$A:$AG,33,FALSE)="","",VLOOKUP(Fri_W1[[#This Row],[Employee Name]],'Base Schedules'!$A:$AG,33,FALSE)),"")</f>
        <v/>
      </c>
      <c r="AI51" s="184" t="str">
        <f>IFERROR(IF(VLOOKUP(Fri_W1[[#This Row],[Employee Name]],'Base Schedules'!$A:$AH,34,FALSE)="","",VLOOKUP(Fri_W1[[#This Row],[Employee Name]],'Base Schedules'!$A:$AH,34,FALSE)),"")</f>
        <v/>
      </c>
      <c r="AJ51" s="184" t="str">
        <f>IFERROR(IF(VLOOKUP(Fri_W1[[#This Row],[Employee Name]],'Base Schedules'!$A:$AI,35,FALSE)="","",VLOOKUP(Fri_W1[[#This Row],[Employee Name]],'Base Schedules'!$A:$AI,35,FALSE)),"")</f>
        <v/>
      </c>
      <c r="AK51" s="184" t="str">
        <f>IFERROR(IF(VLOOKUP(Fri_W1[[#This Row],[Employee Name]],'Base Schedules'!$A:$AJ,36,FALSE)="","",VLOOKUP(Fri_W1[[#This Row],[Employee Name]],'Base Schedules'!$A:$AJ,36,FALSE)),"")</f>
        <v/>
      </c>
      <c r="AL51" s="184" t="str">
        <f>IFERROR(IF(VLOOKUP(Fri_W1[[#This Row],[Employee Name]],'Base Schedules'!$A:$AK,37,FALSE)="","",VLOOKUP(Fri_W1[[#This Row],[Employee Name]],'Base Schedules'!$A:$AK,37,FALSE)),"")</f>
        <v/>
      </c>
      <c r="AM51" s="184" t="str">
        <f>IFERROR(IF(VLOOKUP(Fri_W1[[#This Row],[Employee Name]],'Base Schedules'!$A:$AL,38,FALSE)="","",VLOOKUP(Fri_W1[[#This Row],[Employee Name]],'Base Schedules'!$A:$AL,38,FALSE)),"")</f>
        <v/>
      </c>
      <c r="AN51" s="184" t="str">
        <f>IFERROR(IF(VLOOKUP(Fri_W1[[#This Row],[Employee Name]],'Base Schedules'!$A:$AM,339,FALSE)="","",VLOOKUP(Fri_W1[[#This Row],[Employee Name]],'Base Schedules'!$A:$AM,339,FALSE)),"")</f>
        <v/>
      </c>
      <c r="AO51" s="184" t="str">
        <f>IFERROR(IF(VLOOKUP(Fri_W1[[#This Row],[Employee Name]],'Base Schedules'!$A:$AN,40,FALSE)="","",VLOOKUP(Fri_W1[[#This Row],[Employee Name]],'Base Schedules'!$A:$AN,40,FALSE)),"")</f>
        <v/>
      </c>
      <c r="AP51" s="184" t="str">
        <f>IFERROR(IF(VLOOKUP(Fri_W1[[#This Row],[Employee Name]],'Base Schedules'!$A:$AO,41,FALSE)="","",VLOOKUP(Fri_W1[[#This Row],[Employee Name]],'Base Schedules'!$A:$AO,41,FALSE)),"")</f>
        <v/>
      </c>
      <c r="AQ51" s="184" t="str">
        <f>IFERROR(IF(VLOOKUP(Fri_W1[[#This Row],[Employee Name]],'Base Schedules'!$A:$AP,42,FALSE)="","",VLOOKUP(Fri_W1[[#This Row],[Employee Name]],'Base Schedules'!$A:$AP,42,FALSE)),"")</f>
        <v/>
      </c>
      <c r="AR51" s="184" t="str">
        <f>IFERROR(IF(VLOOKUP(Fri_W1[[#This Row],[Employee Name]],'Base Schedules'!$A:$AQ,43,FALSE)="","",VLOOKUP(Fri_W1[[#This Row],[Employee Name]],'Base Schedules'!$A:$AQ,43,FALSE)),"")</f>
        <v/>
      </c>
      <c r="AS51" s="184" t="str">
        <f>IFERROR(IF(VLOOKUP(Fri_W1[[#This Row],[Employee Name]],'Base Schedules'!$A:$AR,44,FALSE)="","",VLOOKUP(Fri_W1[[#This Row],[Employee Name]],'Base Schedules'!$A:$AR,44,FALSE)),"")</f>
        <v/>
      </c>
      <c r="AT51" s="184" t="str">
        <f>IFERROR(IF(VLOOKUP(Fri_W1[[#This Row],[Employee Name]],'Base Schedules'!$A:$AS,45,FALSE)="","",VLOOKUP(Fri_W1[[#This Row],[Employee Name]],'Base Schedules'!$A:$AS,45,FALSE)),"")</f>
        <v/>
      </c>
      <c r="AU51" s="184" t="str">
        <f>IFERROR(IF(VLOOKUP(Fri_W1[[#This Row],[Employee Name]],'Base Schedules'!$A:$AT,46,FALSE)="","",VLOOKUP(Fri_W1[[#This Row],[Employee Name]],'Base Schedules'!$A:$AT,46,FALSE)),"")</f>
        <v/>
      </c>
      <c r="AV51" s="184" t="str">
        <f>IFERROR(IF(VLOOKUP(Fri_W1[[#This Row],[Employee Name]],'Base Schedules'!$A:$AU,47,FALSE)="","",VLOOKUP(Fri_W1[[#This Row],[Employee Name]],'Base Schedules'!$A:$AU,47,FALSE)),"")</f>
        <v/>
      </c>
      <c r="AW51" s="184" t="str">
        <f>IFERROR(IF(VLOOKUP(Fri_W1[[#This Row],[Employee Name]],'Base Schedules'!$A:$AV,48,FALSE)="","",VLOOKUP(Fri_W1[[#This Row],[Employee Name]],'Base Schedules'!$A:$AV,48,FALSE)),"")</f>
        <v/>
      </c>
      <c r="AX51" s="184" t="str">
        <f>IFERROR(IF(VLOOKUP(Fri_W1[[#This Row],[Employee Name]],'Base Schedules'!$A$1:$AW$44,49,FALSE)="","",VLOOKUP(Fri_W1[[#This Row],[Employee Name]],'Base Schedules'!$A$1:$AW$44,49,FALSE)),"")</f>
        <v/>
      </c>
      <c r="AY51" s="300" t="str">
        <f t="shared" si="2"/>
        <v/>
      </c>
    </row>
    <row r="52" spans="1:52" ht="6" customHeight="1" thickBot="1" x14ac:dyDescent="0.25">
      <c r="B52" s="28"/>
      <c r="C52" s="28"/>
      <c r="D52" s="29"/>
      <c r="E52" s="29"/>
      <c r="F52" s="30"/>
      <c r="G52" s="30"/>
      <c r="H52" s="30"/>
      <c r="I52" s="30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84"/>
      <c r="AP52" s="184"/>
      <c r="AQ52" s="184"/>
      <c r="AR52" s="184"/>
      <c r="AS52" s="184"/>
      <c r="AT52" s="184"/>
      <c r="AU52" s="184"/>
      <c r="AV52" s="184"/>
      <c r="AW52" s="184"/>
      <c r="AX52" s="184"/>
      <c r="AY52" s="23"/>
    </row>
    <row r="53" spans="1:52" ht="13.5" thickBot="1" x14ac:dyDescent="0.25">
      <c r="B53" s="20"/>
      <c r="C53" s="21"/>
      <c r="D53" s="21"/>
      <c r="E53" s="21" t="s">
        <v>92</v>
      </c>
      <c r="F53" s="21">
        <f>SUM(F9:F51)</f>
        <v>146</v>
      </c>
      <c r="G53" s="21">
        <f>SUM(G9:G51)</f>
        <v>62</v>
      </c>
      <c r="H53" s="21">
        <f>SUM(H9:H51)</f>
        <v>133</v>
      </c>
      <c r="I53" s="21">
        <f>SUM(I9:I51)</f>
        <v>24</v>
      </c>
      <c r="J53" s="27">
        <v>500</v>
      </c>
      <c r="K53" s="27">
        <v>530</v>
      </c>
      <c r="L53" s="27">
        <v>600</v>
      </c>
      <c r="M53" s="27">
        <v>630</v>
      </c>
      <c r="N53" s="27">
        <v>700</v>
      </c>
      <c r="O53" s="27">
        <v>730</v>
      </c>
      <c r="P53" s="27">
        <v>800</v>
      </c>
      <c r="Q53" s="27">
        <v>830</v>
      </c>
      <c r="R53" s="27">
        <v>900</v>
      </c>
      <c r="S53" s="27">
        <v>930</v>
      </c>
      <c r="T53" s="27">
        <v>1000</v>
      </c>
      <c r="U53" s="27">
        <v>1030</v>
      </c>
      <c r="V53" s="27">
        <v>1100</v>
      </c>
      <c r="W53" s="27">
        <v>1130</v>
      </c>
      <c r="X53" s="27">
        <v>1200</v>
      </c>
      <c r="Y53" s="27">
        <v>1230</v>
      </c>
      <c r="Z53" s="27">
        <v>1300</v>
      </c>
      <c r="AA53" s="27">
        <v>1330</v>
      </c>
      <c r="AB53" s="27">
        <v>1400</v>
      </c>
      <c r="AC53" s="27">
        <v>1430</v>
      </c>
      <c r="AD53" s="27">
        <v>1500</v>
      </c>
      <c r="AE53" s="27">
        <v>1530</v>
      </c>
      <c r="AF53" s="27">
        <v>1600</v>
      </c>
      <c r="AG53" s="27">
        <v>1630</v>
      </c>
      <c r="AH53" s="27">
        <v>1700</v>
      </c>
      <c r="AI53" s="27">
        <v>1730</v>
      </c>
      <c r="AJ53" s="27">
        <v>1800</v>
      </c>
      <c r="AK53" s="27">
        <v>1830</v>
      </c>
      <c r="AL53" s="27">
        <v>1900</v>
      </c>
      <c r="AM53" s="27">
        <v>1930</v>
      </c>
      <c r="AN53" s="27">
        <v>2000</v>
      </c>
      <c r="AO53" s="27">
        <v>2030</v>
      </c>
      <c r="AP53" s="27">
        <v>2100</v>
      </c>
      <c r="AQ53" s="27">
        <v>2130</v>
      </c>
      <c r="AR53" s="27">
        <v>2200</v>
      </c>
      <c r="AS53" s="27">
        <v>2230</v>
      </c>
      <c r="AT53" s="27">
        <v>2300</v>
      </c>
      <c r="AU53" s="27">
        <v>2330</v>
      </c>
      <c r="AV53" s="27">
        <v>0</v>
      </c>
      <c r="AW53" s="27">
        <v>30</v>
      </c>
      <c r="AX53" s="27">
        <v>100</v>
      </c>
      <c r="AY53" s="22" t="s">
        <v>2</v>
      </c>
    </row>
    <row r="54" spans="1:52" ht="8.25" customHeight="1" thickBot="1" x14ac:dyDescent="0.25">
      <c r="AX54" s="220" t="s">
        <v>365</v>
      </c>
    </row>
    <row r="55" spans="1:52" ht="18.75" x14ac:dyDescent="0.3">
      <c r="B55" s="484" t="s">
        <v>368</v>
      </c>
      <c r="C55" s="484"/>
      <c r="D55" s="453"/>
      <c r="E55" s="453"/>
      <c r="F55" s="453"/>
      <c r="G55" s="484" t="s">
        <v>368</v>
      </c>
      <c r="H55" s="484"/>
      <c r="I55" s="484"/>
      <c r="J55" s="455">
        <f t="shared" ref="J55:AW55" si="4">COUNTIF(J8:J51,"RNNR")</f>
        <v>0</v>
      </c>
      <c r="K55" s="456">
        <f t="shared" si="4"/>
        <v>0</v>
      </c>
      <c r="L55" s="456">
        <f t="shared" si="4"/>
        <v>0</v>
      </c>
      <c r="M55" s="456">
        <f t="shared" si="4"/>
        <v>0</v>
      </c>
      <c r="N55" s="456">
        <f t="shared" si="4"/>
        <v>0</v>
      </c>
      <c r="O55" s="456">
        <f t="shared" si="4"/>
        <v>0</v>
      </c>
      <c r="P55" s="456">
        <f t="shared" si="4"/>
        <v>1</v>
      </c>
      <c r="Q55" s="456">
        <f t="shared" si="4"/>
        <v>1</v>
      </c>
      <c r="R55" s="456">
        <f t="shared" si="4"/>
        <v>1</v>
      </c>
      <c r="S55" s="456">
        <f t="shared" si="4"/>
        <v>1</v>
      </c>
      <c r="T55" s="456">
        <f t="shared" si="4"/>
        <v>1</v>
      </c>
      <c r="U55" s="456">
        <f t="shared" si="4"/>
        <v>1</v>
      </c>
      <c r="V55" s="456">
        <f t="shared" si="4"/>
        <v>1</v>
      </c>
      <c r="W55" s="456">
        <f t="shared" si="4"/>
        <v>1</v>
      </c>
      <c r="X55" s="456">
        <f t="shared" si="4"/>
        <v>1</v>
      </c>
      <c r="Y55" s="456">
        <f t="shared" si="4"/>
        <v>1</v>
      </c>
      <c r="Z55" s="456">
        <f t="shared" si="4"/>
        <v>1</v>
      </c>
      <c r="AA55" s="456">
        <f t="shared" si="4"/>
        <v>1</v>
      </c>
      <c r="AB55" s="456">
        <f t="shared" si="4"/>
        <v>1</v>
      </c>
      <c r="AC55" s="456">
        <f t="shared" si="4"/>
        <v>1</v>
      </c>
      <c r="AD55" s="456">
        <f t="shared" si="4"/>
        <v>1</v>
      </c>
      <c r="AE55" s="456">
        <f t="shared" si="4"/>
        <v>1</v>
      </c>
      <c r="AF55" s="456">
        <f t="shared" si="4"/>
        <v>1</v>
      </c>
      <c r="AG55" s="456">
        <f t="shared" si="4"/>
        <v>1</v>
      </c>
      <c r="AH55" s="456">
        <f t="shared" si="4"/>
        <v>1</v>
      </c>
      <c r="AI55" s="456">
        <f t="shared" si="4"/>
        <v>1</v>
      </c>
      <c r="AJ55" s="456">
        <f t="shared" si="4"/>
        <v>1</v>
      </c>
      <c r="AK55" s="456">
        <f t="shared" si="4"/>
        <v>1</v>
      </c>
      <c r="AL55" s="456">
        <f t="shared" si="4"/>
        <v>1</v>
      </c>
      <c r="AM55" s="456">
        <f t="shared" si="4"/>
        <v>1</v>
      </c>
      <c r="AN55" s="456">
        <f t="shared" si="4"/>
        <v>0</v>
      </c>
      <c r="AO55" s="456">
        <f t="shared" si="4"/>
        <v>0</v>
      </c>
      <c r="AP55" s="456">
        <f t="shared" si="4"/>
        <v>0</v>
      </c>
      <c r="AQ55" s="456">
        <f t="shared" si="4"/>
        <v>0</v>
      </c>
      <c r="AR55" s="456">
        <f t="shared" si="4"/>
        <v>0</v>
      </c>
      <c r="AS55" s="456">
        <f t="shared" si="4"/>
        <v>0</v>
      </c>
      <c r="AT55" s="456">
        <f t="shared" si="4"/>
        <v>0</v>
      </c>
      <c r="AU55" s="456">
        <f t="shared" si="4"/>
        <v>0</v>
      </c>
      <c r="AV55" s="456">
        <f t="shared" si="4"/>
        <v>0</v>
      </c>
      <c r="AW55" s="457">
        <f t="shared" si="4"/>
        <v>0</v>
      </c>
      <c r="AX55" s="451">
        <f>AVERAGE(J55:AW55)</f>
        <v>0.6</v>
      </c>
      <c r="AY55" s="485" t="s">
        <v>368</v>
      </c>
      <c r="AZ55" s="485"/>
    </row>
    <row r="56" spans="1:52" ht="18.75" x14ac:dyDescent="0.3">
      <c r="B56" s="484" t="s">
        <v>581</v>
      </c>
      <c r="C56" s="484"/>
      <c r="D56" s="453"/>
      <c r="E56" s="453"/>
      <c r="F56" s="453"/>
      <c r="G56" s="484" t="s">
        <v>581</v>
      </c>
      <c r="H56" s="484"/>
      <c r="I56" s="484"/>
      <c r="J56" s="458">
        <f>COUNTIF(J8:J51,"HL")</f>
        <v>2</v>
      </c>
      <c r="K56" s="459">
        <f>COUNTIF(K8:K51,"HL")</f>
        <v>3</v>
      </c>
      <c r="L56" s="459">
        <f t="shared" ref="L56:AV56" si="5">COUNTIF(L8:L51,"HL")</f>
        <v>3</v>
      </c>
      <c r="M56" s="459">
        <f t="shared" si="5"/>
        <v>4</v>
      </c>
      <c r="N56" s="459">
        <f t="shared" si="5"/>
        <v>3</v>
      </c>
      <c r="O56" s="459">
        <f t="shared" si="5"/>
        <v>2</v>
      </c>
      <c r="P56" s="459">
        <f t="shared" si="5"/>
        <v>3</v>
      </c>
      <c r="Q56" s="459">
        <f t="shared" si="5"/>
        <v>3</v>
      </c>
      <c r="R56" s="459">
        <f t="shared" si="5"/>
        <v>3</v>
      </c>
      <c r="S56" s="459">
        <f t="shared" si="5"/>
        <v>3</v>
      </c>
      <c r="T56" s="459">
        <f t="shared" si="5"/>
        <v>3</v>
      </c>
      <c r="U56" s="459">
        <f t="shared" si="5"/>
        <v>2</v>
      </c>
      <c r="V56" s="459">
        <f t="shared" si="5"/>
        <v>4</v>
      </c>
      <c r="W56" s="459">
        <f t="shared" si="5"/>
        <v>5</v>
      </c>
      <c r="X56" s="459">
        <f t="shared" si="5"/>
        <v>7</v>
      </c>
      <c r="Y56" s="459">
        <f t="shared" si="5"/>
        <v>4</v>
      </c>
      <c r="Z56" s="459">
        <f t="shared" si="5"/>
        <v>4</v>
      </c>
      <c r="AA56" s="459">
        <f t="shared" si="5"/>
        <v>5</v>
      </c>
      <c r="AB56" s="459">
        <f t="shared" si="5"/>
        <v>6</v>
      </c>
      <c r="AC56" s="459">
        <f t="shared" si="5"/>
        <v>6</v>
      </c>
      <c r="AD56" s="459">
        <f t="shared" si="5"/>
        <v>6</v>
      </c>
      <c r="AE56" s="459">
        <f t="shared" si="5"/>
        <v>3</v>
      </c>
      <c r="AF56" s="459">
        <f t="shared" si="5"/>
        <v>4</v>
      </c>
      <c r="AG56" s="459">
        <f t="shared" si="5"/>
        <v>4</v>
      </c>
      <c r="AH56" s="459">
        <f t="shared" si="5"/>
        <v>4</v>
      </c>
      <c r="AI56" s="459">
        <f t="shared" si="5"/>
        <v>4</v>
      </c>
      <c r="AJ56" s="459">
        <f t="shared" si="5"/>
        <v>3</v>
      </c>
      <c r="AK56" s="459">
        <f t="shared" si="5"/>
        <v>3</v>
      </c>
      <c r="AL56" s="459">
        <f t="shared" si="5"/>
        <v>3</v>
      </c>
      <c r="AM56" s="459">
        <f t="shared" si="5"/>
        <v>4</v>
      </c>
      <c r="AN56" s="459">
        <f t="shared" si="5"/>
        <v>3</v>
      </c>
      <c r="AO56" s="459">
        <f t="shared" si="5"/>
        <v>3</v>
      </c>
      <c r="AP56" s="459">
        <f t="shared" si="5"/>
        <v>3</v>
      </c>
      <c r="AQ56" s="459">
        <f t="shared" si="5"/>
        <v>3</v>
      </c>
      <c r="AR56" s="459">
        <f t="shared" si="5"/>
        <v>2</v>
      </c>
      <c r="AS56" s="459">
        <f t="shared" si="5"/>
        <v>2</v>
      </c>
      <c r="AT56" s="459">
        <f t="shared" si="5"/>
        <v>2</v>
      </c>
      <c r="AU56" s="459">
        <f t="shared" si="5"/>
        <v>2</v>
      </c>
      <c r="AV56" s="459">
        <f t="shared" si="5"/>
        <v>1</v>
      </c>
      <c r="AW56" s="459">
        <f>COUNTIF(AW8:AW51,"HL")</f>
        <v>1</v>
      </c>
      <c r="AX56" s="452">
        <f>SUM(J56:AW56)</f>
        <v>135</v>
      </c>
      <c r="AY56" s="485" t="s">
        <v>581</v>
      </c>
      <c r="AZ56" s="485"/>
    </row>
    <row r="57" spans="1:52" ht="18.75" x14ac:dyDescent="0.3">
      <c r="B57" s="484" t="s">
        <v>588</v>
      </c>
      <c r="C57" s="484"/>
      <c r="D57" s="453"/>
      <c r="E57" s="453"/>
      <c r="F57" s="453"/>
      <c r="G57" s="484" t="s">
        <v>589</v>
      </c>
      <c r="H57" s="484"/>
      <c r="I57" s="484"/>
      <c r="J57" s="460">
        <f>[1]Weighted!B$2</f>
        <v>1.05</v>
      </c>
      <c r="K57" s="460">
        <f>[1]Weighted!C$2</f>
        <v>1.05</v>
      </c>
      <c r="L57" s="460">
        <f>[1]Weighted!D$2</f>
        <v>1.05</v>
      </c>
      <c r="M57" s="460">
        <f>[1]Weighted!E$2</f>
        <v>2.1</v>
      </c>
      <c r="N57" s="460">
        <f>[1]Weighted!F$2</f>
        <v>1.05</v>
      </c>
      <c r="O57" s="460">
        <f>[1]Weighted!G$2</f>
        <v>1.05</v>
      </c>
      <c r="P57" s="460">
        <f>[1]Weighted!H$2</f>
        <v>2.1</v>
      </c>
      <c r="Q57" s="460">
        <f>[1]Weighted!I$2</f>
        <v>2.1</v>
      </c>
      <c r="R57" s="460">
        <f>[1]Weighted!J$2</f>
        <v>2.1</v>
      </c>
      <c r="S57" s="460">
        <f>[1]Weighted!K$2</f>
        <v>2.1</v>
      </c>
      <c r="T57" s="460">
        <f>[1]Weighted!L$2</f>
        <v>3.1500000000000004</v>
      </c>
      <c r="U57" s="460">
        <f>[1]Weighted!M$2</f>
        <v>2.1</v>
      </c>
      <c r="V57" s="460">
        <f>[1]Weighted!N$2</f>
        <v>2.1</v>
      </c>
      <c r="W57" s="460">
        <f>[1]Weighted!O$2</f>
        <v>4.2</v>
      </c>
      <c r="X57" s="460">
        <f>[1]Weighted!P$2</f>
        <v>3.1500000000000004</v>
      </c>
      <c r="Y57" s="460">
        <f>[1]Weighted!Q$2</f>
        <v>3.1500000000000004</v>
      </c>
      <c r="Z57" s="460">
        <f>[1]Weighted!R$2</f>
        <v>2.1</v>
      </c>
      <c r="AA57" s="460">
        <f>[1]Weighted!S$2</f>
        <v>2.1</v>
      </c>
      <c r="AB57" s="460">
        <f>[1]Weighted!T$2</f>
        <v>6.3000000000000007</v>
      </c>
      <c r="AC57" s="460">
        <f>[1]Weighted!U$2</f>
        <v>2.1</v>
      </c>
      <c r="AD57" s="460">
        <f>[1]Weighted!V$2</f>
        <v>3.1500000000000004</v>
      </c>
      <c r="AE57" s="460">
        <f>[1]Weighted!W$2</f>
        <v>2.1</v>
      </c>
      <c r="AF57" s="460">
        <f>[1]Weighted!X$2</f>
        <v>3.1500000000000004</v>
      </c>
      <c r="AG57" s="460">
        <f>[1]Weighted!Y$2</f>
        <v>2.1</v>
      </c>
      <c r="AH57" s="460">
        <f>[1]Weighted!Z$2</f>
        <v>1.05</v>
      </c>
      <c r="AI57" s="460">
        <f>[1]Weighted!AA$2</f>
        <v>2.1</v>
      </c>
      <c r="AJ57" s="460">
        <f>[1]Weighted!AB$2</f>
        <v>3.1500000000000004</v>
      </c>
      <c r="AK57" s="460">
        <f>[1]Weighted!AC$2</f>
        <v>2.1</v>
      </c>
      <c r="AL57" s="460">
        <f>[1]Weighted!AD$2</f>
        <v>1.05</v>
      </c>
      <c r="AM57" s="460">
        <f>[1]Weighted!AE$2</f>
        <v>2.1</v>
      </c>
      <c r="AN57" s="460">
        <f>[1]Weighted!AF$2</f>
        <v>2.1</v>
      </c>
      <c r="AO57" s="460">
        <f>[1]Weighted!AG$2</f>
        <v>2.1</v>
      </c>
      <c r="AP57" s="460">
        <f>[1]Weighted!AH$2</f>
        <v>1.05</v>
      </c>
      <c r="AQ57" s="460">
        <f>[1]Weighted!AI$2</f>
        <v>1.05</v>
      </c>
      <c r="AR57" s="460">
        <f>[1]Weighted!AJ$2</f>
        <v>1.05</v>
      </c>
      <c r="AS57" s="460">
        <f>[1]Weighted!AK$2</f>
        <v>1.05</v>
      </c>
      <c r="AT57" s="460">
        <f>[1]Weighted!AL$2</f>
        <v>1.05</v>
      </c>
      <c r="AU57" s="460">
        <f>[1]Weighted!AM$2</f>
        <v>1.05</v>
      </c>
      <c r="AV57" s="460">
        <f>[1]Weighted!AN$2</f>
        <v>1.05</v>
      </c>
      <c r="AW57" s="460">
        <f>[1]Weighted!AO$2</f>
        <v>1.05</v>
      </c>
      <c r="AX57" s="452">
        <f>SUM(J57:AW57)</f>
        <v>80.849999999999966</v>
      </c>
      <c r="AY57" s="485" t="s">
        <v>588</v>
      </c>
      <c r="AZ57" s="485"/>
    </row>
    <row r="58" spans="1:52" ht="18.75" x14ac:dyDescent="0.3">
      <c r="B58" s="484" t="s">
        <v>590</v>
      </c>
      <c r="C58" s="484"/>
      <c r="D58" s="453"/>
      <c r="E58" s="453"/>
      <c r="F58" s="453"/>
      <c r="G58" s="484" t="s">
        <v>590</v>
      </c>
      <c r="H58" s="484"/>
      <c r="I58" s="484"/>
      <c r="J58" s="460">
        <f>ROUNDUP(J57/2,0)</f>
        <v>1</v>
      </c>
      <c r="K58" s="460">
        <f>ROUNDUP(K57/2,0)</f>
        <v>1</v>
      </c>
      <c r="L58" s="460">
        <f t="shared" ref="L58:AW58" si="6">ROUNDUP(L57/2,0)</f>
        <v>1</v>
      </c>
      <c r="M58" s="460">
        <f t="shared" si="6"/>
        <v>2</v>
      </c>
      <c r="N58" s="460">
        <f t="shared" si="6"/>
        <v>1</v>
      </c>
      <c r="O58" s="460">
        <f t="shared" si="6"/>
        <v>1</v>
      </c>
      <c r="P58" s="460">
        <f t="shared" si="6"/>
        <v>2</v>
      </c>
      <c r="Q58" s="460">
        <f t="shared" si="6"/>
        <v>2</v>
      </c>
      <c r="R58" s="460">
        <f t="shared" si="6"/>
        <v>2</v>
      </c>
      <c r="S58" s="460">
        <f t="shared" si="6"/>
        <v>2</v>
      </c>
      <c r="T58" s="460">
        <f t="shared" si="6"/>
        <v>2</v>
      </c>
      <c r="U58" s="460">
        <f t="shared" si="6"/>
        <v>2</v>
      </c>
      <c r="V58" s="460">
        <f t="shared" si="6"/>
        <v>2</v>
      </c>
      <c r="W58" s="460">
        <f t="shared" si="6"/>
        <v>3</v>
      </c>
      <c r="X58" s="460">
        <f t="shared" si="6"/>
        <v>2</v>
      </c>
      <c r="Y58" s="460">
        <f t="shared" si="6"/>
        <v>2</v>
      </c>
      <c r="Z58" s="460">
        <f t="shared" si="6"/>
        <v>2</v>
      </c>
      <c r="AA58" s="460">
        <f t="shared" si="6"/>
        <v>2</v>
      </c>
      <c r="AB58" s="460">
        <f t="shared" si="6"/>
        <v>4</v>
      </c>
      <c r="AC58" s="460">
        <f t="shared" si="6"/>
        <v>2</v>
      </c>
      <c r="AD58" s="460">
        <f t="shared" si="6"/>
        <v>2</v>
      </c>
      <c r="AE58" s="460">
        <f t="shared" si="6"/>
        <v>2</v>
      </c>
      <c r="AF58" s="460">
        <f t="shared" si="6"/>
        <v>2</v>
      </c>
      <c r="AG58" s="460">
        <f t="shared" si="6"/>
        <v>2</v>
      </c>
      <c r="AH58" s="460">
        <f t="shared" si="6"/>
        <v>1</v>
      </c>
      <c r="AI58" s="460">
        <f t="shared" si="6"/>
        <v>2</v>
      </c>
      <c r="AJ58" s="460">
        <f t="shared" si="6"/>
        <v>2</v>
      </c>
      <c r="AK58" s="460">
        <f t="shared" si="6"/>
        <v>2</v>
      </c>
      <c r="AL58" s="460">
        <f t="shared" si="6"/>
        <v>1</v>
      </c>
      <c r="AM58" s="460">
        <f t="shared" si="6"/>
        <v>2</v>
      </c>
      <c r="AN58" s="460">
        <f t="shared" si="6"/>
        <v>2</v>
      </c>
      <c r="AO58" s="460">
        <f t="shared" si="6"/>
        <v>2</v>
      </c>
      <c r="AP58" s="460">
        <f t="shared" si="6"/>
        <v>1</v>
      </c>
      <c r="AQ58" s="460">
        <f t="shared" si="6"/>
        <v>1</v>
      </c>
      <c r="AR58" s="460">
        <f t="shared" si="6"/>
        <v>1</v>
      </c>
      <c r="AS58" s="460">
        <f t="shared" si="6"/>
        <v>1</v>
      </c>
      <c r="AT58" s="460">
        <f t="shared" si="6"/>
        <v>1</v>
      </c>
      <c r="AU58" s="460">
        <f t="shared" si="6"/>
        <v>1</v>
      </c>
      <c r="AV58" s="460">
        <f t="shared" si="6"/>
        <v>1</v>
      </c>
      <c r="AW58" s="460">
        <f t="shared" si="6"/>
        <v>1</v>
      </c>
      <c r="AX58" s="452">
        <f>SUM(J58:AW58)</f>
        <v>68</v>
      </c>
      <c r="AY58" s="485" t="s">
        <v>590</v>
      </c>
      <c r="AZ58" s="485"/>
    </row>
    <row r="59" spans="1:52" ht="18.75" x14ac:dyDescent="0.3">
      <c r="B59" s="484" t="s">
        <v>591</v>
      </c>
      <c r="C59" s="484"/>
      <c r="D59" s="453"/>
      <c r="E59" s="453"/>
      <c r="F59" s="453"/>
      <c r="G59" s="484" t="s">
        <v>591</v>
      </c>
      <c r="H59" s="484"/>
      <c r="I59" s="484"/>
      <c r="J59" s="461">
        <f>J56-J58</f>
        <v>1</v>
      </c>
      <c r="K59" s="461">
        <f t="shared" ref="K59:AW59" si="7">K56-K58</f>
        <v>2</v>
      </c>
      <c r="L59" s="461">
        <f t="shared" si="7"/>
        <v>2</v>
      </c>
      <c r="M59" s="461">
        <f t="shared" si="7"/>
        <v>2</v>
      </c>
      <c r="N59" s="461">
        <f t="shared" si="7"/>
        <v>2</v>
      </c>
      <c r="O59" s="461">
        <f t="shared" si="7"/>
        <v>1</v>
      </c>
      <c r="P59" s="461">
        <f t="shared" si="7"/>
        <v>1</v>
      </c>
      <c r="Q59" s="461">
        <f t="shared" si="7"/>
        <v>1</v>
      </c>
      <c r="R59" s="461">
        <f t="shared" si="7"/>
        <v>1</v>
      </c>
      <c r="S59" s="461">
        <f t="shared" si="7"/>
        <v>1</v>
      </c>
      <c r="T59" s="461">
        <f t="shared" si="7"/>
        <v>1</v>
      </c>
      <c r="U59" s="461">
        <f t="shared" si="7"/>
        <v>0</v>
      </c>
      <c r="V59" s="461">
        <f t="shared" si="7"/>
        <v>2</v>
      </c>
      <c r="W59" s="461">
        <f t="shared" si="7"/>
        <v>2</v>
      </c>
      <c r="X59" s="461">
        <f t="shared" si="7"/>
        <v>5</v>
      </c>
      <c r="Y59" s="461">
        <f t="shared" si="7"/>
        <v>2</v>
      </c>
      <c r="Z59" s="461">
        <f t="shared" si="7"/>
        <v>2</v>
      </c>
      <c r="AA59" s="461">
        <f t="shared" si="7"/>
        <v>3</v>
      </c>
      <c r="AB59" s="461">
        <f t="shared" si="7"/>
        <v>2</v>
      </c>
      <c r="AC59" s="461">
        <f t="shared" si="7"/>
        <v>4</v>
      </c>
      <c r="AD59" s="461">
        <f t="shared" si="7"/>
        <v>4</v>
      </c>
      <c r="AE59" s="461">
        <f t="shared" si="7"/>
        <v>1</v>
      </c>
      <c r="AF59" s="461">
        <f t="shared" si="7"/>
        <v>2</v>
      </c>
      <c r="AG59" s="461">
        <f t="shared" si="7"/>
        <v>2</v>
      </c>
      <c r="AH59" s="461">
        <f t="shared" si="7"/>
        <v>3</v>
      </c>
      <c r="AI59" s="461">
        <f t="shared" si="7"/>
        <v>2</v>
      </c>
      <c r="AJ59" s="461">
        <f t="shared" si="7"/>
        <v>1</v>
      </c>
      <c r="AK59" s="461">
        <f t="shared" si="7"/>
        <v>1</v>
      </c>
      <c r="AL59" s="461">
        <f t="shared" si="7"/>
        <v>2</v>
      </c>
      <c r="AM59" s="461">
        <f t="shared" si="7"/>
        <v>2</v>
      </c>
      <c r="AN59" s="461">
        <f t="shared" si="7"/>
        <v>1</v>
      </c>
      <c r="AO59" s="461">
        <f t="shared" si="7"/>
        <v>1</v>
      </c>
      <c r="AP59" s="461">
        <f t="shared" si="7"/>
        <v>2</v>
      </c>
      <c r="AQ59" s="461">
        <f t="shared" si="7"/>
        <v>2</v>
      </c>
      <c r="AR59" s="461">
        <f t="shared" si="7"/>
        <v>1</v>
      </c>
      <c r="AS59" s="461">
        <f t="shared" si="7"/>
        <v>1</v>
      </c>
      <c r="AT59" s="461">
        <f t="shared" si="7"/>
        <v>1</v>
      </c>
      <c r="AU59" s="461">
        <f t="shared" si="7"/>
        <v>1</v>
      </c>
      <c r="AV59" s="461">
        <f t="shared" si="7"/>
        <v>0</v>
      </c>
      <c r="AW59" s="461">
        <f t="shared" si="7"/>
        <v>0</v>
      </c>
      <c r="AX59" s="454">
        <f>AVERAGE(J59:AW59)</f>
        <v>1.675</v>
      </c>
      <c r="AY59" s="486" t="s">
        <v>591</v>
      </c>
      <c r="AZ59" s="486"/>
    </row>
    <row r="60" spans="1:52" x14ac:dyDescent="0.2"/>
    <row r="61" spans="1:52" x14ac:dyDescent="0.2"/>
    <row r="62" spans="1:52" x14ac:dyDescent="0.2"/>
    <row r="63" spans="1:52" x14ac:dyDescent="0.2"/>
    <row r="64" spans="1:52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</sheetData>
  <sheetProtection autoFilter="0"/>
  <mergeCells count="17">
    <mergeCell ref="AY55:AZ55"/>
    <mergeCell ref="AY56:AZ56"/>
    <mergeCell ref="AY57:AZ57"/>
    <mergeCell ref="AY58:AZ58"/>
    <mergeCell ref="AY59:AZ59"/>
    <mergeCell ref="B57:C57"/>
    <mergeCell ref="G57:I57"/>
    <mergeCell ref="B58:C58"/>
    <mergeCell ref="B59:C59"/>
    <mergeCell ref="G58:I58"/>
    <mergeCell ref="G59:I59"/>
    <mergeCell ref="B3:C3"/>
    <mergeCell ref="F6:I6"/>
    <mergeCell ref="G56:I56"/>
    <mergeCell ref="B56:C56"/>
    <mergeCell ref="B55:C55"/>
    <mergeCell ref="G55:I55"/>
  </mergeCells>
  <conditionalFormatting sqref="J55:AW55">
    <cfRule type="cellIs" dxfId="665" priority="5043" operator="greaterThanOrEqual">
      <formula>2</formula>
    </cfRule>
    <cfRule type="containsText" dxfId="664" priority="5044" operator="containsText" text="1">
      <formula>NOT(ISERROR(SEARCH("1",J55)))</formula>
    </cfRule>
    <cfRule type="containsText" dxfId="663" priority="5045" operator="containsText" text="0">
      <formula>NOT(ISERROR(SEARCH("0",J55)))</formula>
    </cfRule>
  </conditionalFormatting>
  <conditionalFormatting sqref="B20">
    <cfRule type="duplicateValues" dxfId="662" priority="1131"/>
  </conditionalFormatting>
  <conditionalFormatting sqref="J9:AX51">
    <cfRule type="containsBlanks" dxfId="661" priority="11" stopIfTrue="1">
      <formula>LEN(TRIM(J9))=0</formula>
    </cfRule>
    <cfRule type="beginsWith" dxfId="660" priority="13" stopIfTrue="1" operator="beginsWith" text="u">
      <formula>LEFT(J9,LEN("u"))="u"</formula>
    </cfRule>
    <cfRule type="beginsWith" dxfId="659" priority="14" stopIfTrue="1" operator="beginsWith" text="p">
      <formula>LEFT(J9,LEN("p"))="p"</formula>
    </cfRule>
    <cfRule type="containsText" dxfId="658" priority="15" stopIfTrue="1" operator="containsText" text="B1">
      <formula>NOT(ISERROR(SEARCH("B1",J9)))</formula>
    </cfRule>
    <cfRule type="containsText" dxfId="657" priority="16" stopIfTrue="1" operator="containsText" text="B2">
      <formula>NOT(ISERROR(SEARCH("B2",J9)))</formula>
    </cfRule>
    <cfRule type="containsText" dxfId="656" priority="17" stopIfTrue="1" operator="containsText" text="Lunch">
      <formula>NOT(ISERROR(SEARCH("Lunch",J9)))</formula>
    </cfRule>
    <cfRule type="containsText" dxfId="655" priority="18" stopIfTrue="1" operator="containsText" text="Interview">
      <formula>NOT(ISERROR(SEARCH("Interview",J9)))</formula>
    </cfRule>
    <cfRule type="containsText" dxfId="654" priority="19" stopIfTrue="1" operator="containsText" text="Side by Side">
      <formula>NOT(ISERROR(SEARCH("Side by Side",J9)))</formula>
    </cfRule>
    <cfRule type="containsText" dxfId="653" priority="20" stopIfTrue="1" operator="containsText" text="COACHING">
      <formula>NOT(ISERROR(SEARCH("COACHING",J9)))</formula>
    </cfRule>
    <cfRule type="containsText" dxfId="652" priority="21" stopIfTrue="1" operator="containsText" text="TM">
      <formula>NOT(ISERROR(SEARCH("TM",J9)))</formula>
    </cfRule>
    <cfRule type="containsText" dxfId="651" priority="22" stopIfTrue="1" operator="containsText" text="RNNR">
      <formula>NOT(ISERROR(SEARCH("RNNR",J9)))</formula>
    </cfRule>
    <cfRule type="containsText" dxfId="650" priority="23" stopIfTrue="1" operator="containsText" text="ADM">
      <formula>NOT(ISERROR(SEARCH("ADM",J9)))</formula>
    </cfRule>
    <cfRule type="containsText" dxfId="649" priority="24" stopIfTrue="1" operator="containsText" text="HL">
      <formula>NOT(ISERROR(SEARCH("HL",J9)))</formula>
    </cfRule>
    <cfRule type="notContainsBlanks" dxfId="648" priority="25" stopIfTrue="1">
      <formula>LEN(TRIM(J9))&gt;0</formula>
    </cfRule>
  </conditionalFormatting>
  <conditionalFormatting sqref="J56:AW56">
    <cfRule type="cellIs" dxfId="647" priority="5" operator="greaterThanOrEqual">
      <formula>2</formula>
    </cfRule>
    <cfRule type="containsText" dxfId="646" priority="6" operator="containsText" text="1">
      <formula>NOT(ISERROR(SEARCH("1",J56)))</formula>
    </cfRule>
    <cfRule type="containsText" dxfId="645" priority="7" operator="containsText" text="0">
      <formula>NOT(ISERROR(SEARCH("0",J56)))</formula>
    </cfRule>
  </conditionalFormatting>
  <conditionalFormatting sqref="J59:AW59">
    <cfRule type="colorScale" priority="1">
      <colorScale>
        <cfvo type="num" val="-0.05"/>
        <cfvo type="num" val="0"/>
        <cfvo type="num" val="0.05"/>
        <color rgb="FFF8696B"/>
        <color rgb="FFCDF3CD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" stopIfTrue="1" operator="containsText" id="{D19B367C-166F-4874-934C-02446D87AFAC}">
            <xm:f>NOT(ISERROR(SEARCH("-",J9)))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J9:AX51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6"/>
    <outlinePr summaryBelow="0" summaryRight="0"/>
  </sheetPr>
  <dimension ref="A1:BA99"/>
  <sheetViews>
    <sheetView zoomScaleNormal="100" workbookViewId="0">
      <pane xSplit="9" ySplit="8" topLeftCell="M9" activePane="bottomRight" state="frozen"/>
      <selection activeCell="B55" sqref="B55:AY63"/>
      <selection pane="topRight" activeCell="B55" sqref="B55:AY63"/>
      <selection pane="bottomLeft" activeCell="B55" sqref="B55:AY63"/>
      <selection pane="bottomRight" activeCell="S48" sqref="S48"/>
    </sheetView>
  </sheetViews>
  <sheetFormatPr defaultColWidth="0" defaultRowHeight="12.75" zeroHeight="1" x14ac:dyDescent="0.2"/>
  <cols>
    <col min="1" max="1" width="0.7109375" style="6" customWidth="1"/>
    <col min="2" max="2" width="22.42578125" style="6" bestFit="1" customWidth="1"/>
    <col min="3" max="3" width="10.7109375" style="6" customWidth="1"/>
    <col min="4" max="4" width="11.85546875" style="6" customWidth="1"/>
    <col min="5" max="5" width="11.42578125" style="6" customWidth="1"/>
    <col min="6" max="6" width="11.28515625" style="6" customWidth="1"/>
    <col min="7" max="7" width="12.28515625" style="6" customWidth="1"/>
    <col min="8" max="49" width="10.7109375" style="6" customWidth="1"/>
    <col min="50" max="50" width="9.42578125" style="6" customWidth="1"/>
    <col min="51" max="51" width="23.5703125" style="6" customWidth="1"/>
    <col min="52" max="52" width="15.7109375" style="6" customWidth="1"/>
    <col min="53" max="53" width="9.140625" style="6" customWidth="1"/>
    <col min="54" max="16384" width="9.140625" style="6" hidden="1"/>
  </cols>
  <sheetData>
    <row r="1" spans="1:51" ht="6" customHeight="1" x14ac:dyDescent="0.2">
      <c r="D1" s="5"/>
    </row>
    <row r="2" spans="1:51" x14ac:dyDescent="0.2"/>
    <row r="3" spans="1:51" ht="24.95" customHeight="1" x14ac:dyDescent="0.2">
      <c r="B3" s="480" t="str">
        <f>TEXT(Day_7,"DDDD")&amp;" - "&amp;TEXT(Day_7,"mm/dd/yy")</f>
        <v>Saturday - 03/21/20</v>
      </c>
      <c r="C3" s="480"/>
      <c r="D3" s="106"/>
      <c r="K3" s="94" t="s">
        <v>124</v>
      </c>
      <c r="L3" s="152" t="s">
        <v>218</v>
      </c>
      <c r="M3" s="153" t="s">
        <v>220</v>
      </c>
      <c r="N3" s="71" t="s">
        <v>126</v>
      </c>
      <c r="O3" s="72" t="s">
        <v>130</v>
      </c>
      <c r="P3" s="73" t="s">
        <v>90</v>
      </c>
      <c r="Q3" s="139" t="s">
        <v>215</v>
      </c>
      <c r="R3" s="138" t="s">
        <v>211</v>
      </c>
      <c r="S3" s="137" t="s">
        <v>127</v>
      </c>
      <c r="T3" s="151" t="s">
        <v>139</v>
      </c>
      <c r="U3" s="69" t="s">
        <v>129</v>
      </c>
      <c r="V3" s="155" t="s">
        <v>146</v>
      </c>
      <c r="W3" s="157" t="s">
        <v>222</v>
      </c>
      <c r="Y3" s="211"/>
      <c r="Z3" s="212"/>
      <c r="AA3" s="213"/>
      <c r="AB3" s="214"/>
      <c r="AD3" s="94" t="s">
        <v>124</v>
      </c>
      <c r="AE3" s="152" t="s">
        <v>218</v>
      </c>
      <c r="AF3" s="153" t="s">
        <v>220</v>
      </c>
      <c r="AG3" s="71" t="s">
        <v>126</v>
      </c>
      <c r="AH3" s="72" t="s">
        <v>130</v>
      </c>
      <c r="AI3" s="73" t="s">
        <v>90</v>
      </c>
      <c r="AJ3" s="139" t="s">
        <v>215</v>
      </c>
      <c r="AK3" s="138" t="s">
        <v>211</v>
      </c>
      <c r="AL3" s="137" t="s">
        <v>127</v>
      </c>
      <c r="AM3" s="151" t="s">
        <v>139</v>
      </c>
      <c r="AN3" s="69" t="s">
        <v>129</v>
      </c>
      <c r="AO3" s="155" t="s">
        <v>146</v>
      </c>
      <c r="AP3" s="157" t="s">
        <v>224</v>
      </c>
      <c r="AQ3" s="228" t="s">
        <v>366</v>
      </c>
    </row>
    <row r="4" spans="1:51" ht="24.95" customHeight="1" x14ac:dyDescent="0.2">
      <c r="B4" s="7"/>
      <c r="J4" s="18"/>
      <c r="K4" s="94" t="s">
        <v>125</v>
      </c>
      <c r="L4" s="154" t="s">
        <v>217</v>
      </c>
      <c r="M4" s="154" t="s">
        <v>221</v>
      </c>
      <c r="N4" s="70" t="s">
        <v>87</v>
      </c>
      <c r="O4" s="67" t="s">
        <v>89</v>
      </c>
      <c r="P4" s="67" t="s">
        <v>213</v>
      </c>
      <c r="Q4" s="67" t="s">
        <v>214</v>
      </c>
      <c r="R4" s="67" t="s">
        <v>212</v>
      </c>
      <c r="S4" s="67" t="s">
        <v>128</v>
      </c>
      <c r="T4" s="67" t="s">
        <v>138</v>
      </c>
      <c r="U4" s="67" t="s">
        <v>129</v>
      </c>
      <c r="V4" s="156" t="s">
        <v>145</v>
      </c>
      <c r="W4" s="98" t="s">
        <v>223</v>
      </c>
      <c r="Y4" s="214"/>
      <c r="Z4" s="215"/>
      <c r="AA4" s="216"/>
      <c r="AB4" s="217"/>
      <c r="AD4" s="94" t="s">
        <v>125</v>
      </c>
      <c r="AE4" s="154" t="s">
        <v>217</v>
      </c>
      <c r="AF4" s="154" t="s">
        <v>221</v>
      </c>
      <c r="AG4" s="70" t="s">
        <v>87</v>
      </c>
      <c r="AH4" s="67" t="s">
        <v>89</v>
      </c>
      <c r="AI4" s="67" t="s">
        <v>213</v>
      </c>
      <c r="AJ4" s="67" t="s">
        <v>214</v>
      </c>
      <c r="AK4" s="67" t="s">
        <v>212</v>
      </c>
      <c r="AL4" s="67" t="s">
        <v>128</v>
      </c>
      <c r="AM4" s="67" t="s">
        <v>138</v>
      </c>
      <c r="AN4" s="67" t="s">
        <v>129</v>
      </c>
      <c r="AO4" s="156" t="s">
        <v>145</v>
      </c>
      <c r="AP4" s="98" t="s">
        <v>224</v>
      </c>
      <c r="AQ4" s="98" t="s">
        <v>367</v>
      </c>
    </row>
    <row r="5" spans="1:51" ht="6" customHeight="1" x14ac:dyDescent="0.2"/>
    <row r="6" spans="1:51" ht="17.25" customHeight="1" x14ac:dyDescent="0.2">
      <c r="F6" s="477" t="s">
        <v>132</v>
      </c>
      <c r="G6" s="478"/>
      <c r="H6" s="478"/>
      <c r="I6" s="479"/>
      <c r="J6" s="19"/>
      <c r="K6" s="19"/>
    </row>
    <row r="7" spans="1:51" ht="6" customHeight="1" thickBot="1" x14ac:dyDescent="0.25">
      <c r="J7" s="104" t="s">
        <v>93</v>
      </c>
      <c r="K7" s="104" t="s">
        <v>95</v>
      </c>
      <c r="L7" s="104" t="s">
        <v>97</v>
      </c>
      <c r="M7" s="104" t="s">
        <v>140</v>
      </c>
      <c r="N7" s="104" t="s">
        <v>109</v>
      </c>
      <c r="O7" s="104" t="s">
        <v>103</v>
      </c>
      <c r="P7" s="104" t="s">
        <v>121</v>
      </c>
      <c r="Q7" s="104" t="s">
        <v>113</v>
      </c>
      <c r="R7" s="104" t="s">
        <v>105</v>
      </c>
      <c r="S7" s="104" t="s">
        <v>107</v>
      </c>
      <c r="T7" s="104" t="s">
        <v>141</v>
      </c>
      <c r="U7" s="104" t="s">
        <v>101</v>
      </c>
      <c r="V7" s="104" t="s">
        <v>122</v>
      </c>
      <c r="W7" s="104" t="s">
        <v>116</v>
      </c>
      <c r="X7" s="104" t="s">
        <v>148</v>
      </c>
      <c r="Y7" s="104" t="s">
        <v>149</v>
      </c>
      <c r="Z7" s="104" t="s">
        <v>111</v>
      </c>
      <c r="AA7" s="104" t="s">
        <v>94</v>
      </c>
      <c r="AB7" s="104" t="s">
        <v>96</v>
      </c>
      <c r="AC7" s="104" t="s">
        <v>98</v>
      </c>
      <c r="AD7" s="104" t="s">
        <v>118</v>
      </c>
      <c r="AE7" s="104" t="s">
        <v>99</v>
      </c>
      <c r="AF7" s="104" t="s">
        <v>104</v>
      </c>
      <c r="AG7" s="104" t="s">
        <v>150</v>
      </c>
      <c r="AH7" s="104" t="s">
        <v>114</v>
      </c>
      <c r="AI7" s="104" t="s">
        <v>106</v>
      </c>
      <c r="AJ7" s="104" t="s">
        <v>108</v>
      </c>
      <c r="AK7" s="104" t="s">
        <v>142</v>
      </c>
      <c r="AL7" s="104" t="s">
        <v>102</v>
      </c>
      <c r="AM7" s="104" t="s">
        <v>143</v>
      </c>
      <c r="AN7" s="104" t="s">
        <v>123</v>
      </c>
      <c r="AO7" s="104" t="s">
        <v>117</v>
      </c>
      <c r="AP7" s="104" t="s">
        <v>151</v>
      </c>
      <c r="AQ7" s="104" t="s">
        <v>112</v>
      </c>
      <c r="AR7" s="104" t="s">
        <v>110</v>
      </c>
      <c r="AS7" s="104" t="s">
        <v>119</v>
      </c>
      <c r="AT7" s="104" t="s">
        <v>115</v>
      </c>
      <c r="AU7" s="104" t="s">
        <v>120</v>
      </c>
      <c r="AV7" s="104"/>
      <c r="AW7" s="104"/>
      <c r="AX7" s="105">
        <v>0</v>
      </c>
    </row>
    <row r="8" spans="1:51" ht="13.5" thickBot="1" x14ac:dyDescent="0.25">
      <c r="A8" s="15" t="s">
        <v>14</v>
      </c>
      <c r="B8" s="168" t="s">
        <v>2</v>
      </c>
      <c r="C8" s="169" t="s">
        <v>5</v>
      </c>
      <c r="D8" s="169" t="s">
        <v>84</v>
      </c>
      <c r="E8" s="169" t="s">
        <v>86</v>
      </c>
      <c r="F8" s="169" t="s">
        <v>87</v>
      </c>
      <c r="G8" s="169" t="s">
        <v>223</v>
      </c>
      <c r="H8" s="169" t="s">
        <v>89</v>
      </c>
      <c r="I8" s="169" t="s">
        <v>90</v>
      </c>
      <c r="J8" s="170" t="s">
        <v>93</v>
      </c>
      <c r="K8" s="170" t="s">
        <v>95</v>
      </c>
      <c r="L8" s="170" t="s">
        <v>97</v>
      </c>
      <c r="M8" s="170" t="s">
        <v>140</v>
      </c>
      <c r="N8" s="170" t="s">
        <v>109</v>
      </c>
      <c r="O8" s="170" t="s">
        <v>103</v>
      </c>
      <c r="P8" s="170" t="s">
        <v>121</v>
      </c>
      <c r="Q8" s="170" t="s">
        <v>113</v>
      </c>
      <c r="R8" s="170" t="s">
        <v>105</v>
      </c>
      <c r="S8" s="170" t="s">
        <v>107</v>
      </c>
      <c r="T8" s="170" t="s">
        <v>141</v>
      </c>
      <c r="U8" s="170" t="s">
        <v>101</v>
      </c>
      <c r="V8" s="170" t="s">
        <v>122</v>
      </c>
      <c r="W8" s="170" t="s">
        <v>116</v>
      </c>
      <c r="X8" s="170" t="s">
        <v>148</v>
      </c>
      <c r="Y8" s="170" t="s">
        <v>149</v>
      </c>
      <c r="Z8" s="170" t="s">
        <v>111</v>
      </c>
      <c r="AA8" s="170" t="s">
        <v>94</v>
      </c>
      <c r="AB8" s="170" t="s">
        <v>96</v>
      </c>
      <c r="AC8" s="170" t="s">
        <v>98</v>
      </c>
      <c r="AD8" s="170" t="s">
        <v>118</v>
      </c>
      <c r="AE8" s="170" t="s">
        <v>99</v>
      </c>
      <c r="AF8" s="170" t="s">
        <v>104</v>
      </c>
      <c r="AG8" s="170" t="s">
        <v>150</v>
      </c>
      <c r="AH8" s="170" t="s">
        <v>114</v>
      </c>
      <c r="AI8" s="170" t="s">
        <v>106</v>
      </c>
      <c r="AJ8" s="170" t="s">
        <v>108</v>
      </c>
      <c r="AK8" s="170" t="s">
        <v>142</v>
      </c>
      <c r="AL8" s="170" t="s">
        <v>102</v>
      </c>
      <c r="AM8" s="170" t="s">
        <v>143</v>
      </c>
      <c r="AN8" s="170" t="s">
        <v>123</v>
      </c>
      <c r="AO8" s="170" t="s">
        <v>117</v>
      </c>
      <c r="AP8" s="170" t="s">
        <v>151</v>
      </c>
      <c r="AQ8" s="170" t="s">
        <v>112</v>
      </c>
      <c r="AR8" s="170" t="s">
        <v>110</v>
      </c>
      <c r="AS8" s="170" t="s">
        <v>119</v>
      </c>
      <c r="AT8" s="170" t="s">
        <v>115</v>
      </c>
      <c r="AU8" s="170" t="s">
        <v>120</v>
      </c>
      <c r="AV8" s="199" t="s">
        <v>100</v>
      </c>
      <c r="AW8" s="199" t="s">
        <v>243</v>
      </c>
      <c r="AX8" s="199" t="s">
        <v>244</v>
      </c>
      <c r="AY8" s="171" t="s">
        <v>147</v>
      </c>
    </row>
    <row r="9" spans="1:51" s="44" customFormat="1" ht="12" customHeight="1" x14ac:dyDescent="0.2">
      <c r="A9" s="39" t="str">
        <f>IF(B9="","",INDEX(TeamList[],MATCH($B9,TeamList[[Employee Name]:[Employee Name]],0),MATCH("Manager",TeamList[#Headers],0)))</f>
        <v>Olson, Katherine</v>
      </c>
      <c r="B9" s="201" t="s">
        <v>233</v>
      </c>
      <c r="C9" s="257" t="str">
        <f>_xlfn.IFNA(VLOOKUP(Sat_W1[[#This Row],[Employee Name]],'Base Schedules'!A:B,2,FALSE),"")</f>
        <v>Lead</v>
      </c>
      <c r="D9" s="274">
        <f>_xlfn.IFNA(VLOOKUP(Sat_W1[[#This Row],[Employee Name]],'Base Schedules'!A:C,3,FALSE),"")</f>
        <v>500</v>
      </c>
      <c r="E9" s="274">
        <f>_xlfn.IFNA(VLOOKUP(Sat_W1[[#This Row],[Employee Name]],'Base Schedules'!A:D,4,FALSE),"")</f>
        <v>1330</v>
      </c>
      <c r="F9" s="142">
        <f>IF(Sat_W1[[#This Row],[Employee Name]]="","",IF(Sat_W1[[#This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f>
        <v>7</v>
      </c>
      <c r="G9" s="142">
        <f t="shared" ref="G9:G23" si="0">IF(B9="","",COUNTIFS($J9:$AX9,"*Coaching*",$J9:$AX9,"&lt;&gt;"&amp;"pTM",$J9:$AX9,"&lt;&gt;"&amp;"uTM"))</f>
        <v>0</v>
      </c>
      <c r="H9" s="142">
        <f t="shared" ref="H9:H46" si="1">IF(B9="","",COUNTIFS($J9:$AX9,"*ADM*",$J9:$AX9,"&lt;&gt;"&amp;"pADM",$J9:$AX9,"&lt;&gt;"&amp;"uADM"))</f>
        <v>6</v>
      </c>
      <c r="I9" s="142">
        <f>IF(Sat_W1[[#This Row],[Employee Name]]="","",IF(Sat_W1[[#This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f>
        <v>2</v>
      </c>
      <c r="J9" s="184" t="str">
        <f>IFERROR(IF(VLOOKUP(Sat_W1[[#This Row],[Employee Name]],'Base Schedules'!$A$46:$AW$77,9,FALSE)="","",VLOOKUP(Sat_W1[[#This Row],[Employee Name]],'Base Schedules'!$A$46:$AW$77,9,FALSE)),"")</f>
        <v>HL</v>
      </c>
      <c r="K9" s="184" t="str">
        <f>IFERROR(IF(VLOOKUP(Sat_W1[[#This Row],[Employee Name]],'Base Schedules'!$A$46:$AW$77,10,FALSE)="","",VLOOKUP(Sat_W1[[#This Row],[Employee Name]],'Base Schedules'!$A$46:$AW$77,10,FALSE)),"")</f>
        <v>HL</v>
      </c>
      <c r="L9" s="184" t="str">
        <f>IFERROR(IF(VLOOKUP(Sat_W1[[#This Row],[Employee Name]],'Base Schedules'!$A$46:$AW$77,11,FALSE)="","",VLOOKUP(Sat_W1[[#This Row],[Employee Name]],'Base Schedules'!$A$46:$AW$77,11,FALSE)),"")</f>
        <v>HL</v>
      </c>
      <c r="M9" s="184" t="str">
        <f>IFERROR(IF(VLOOKUP(Sat_W1[[#This Row],[Employee Name]],'Base Schedules'!$A$46:$AW$77,12,FALSE)="","",VLOOKUP(Sat_W1[[#This Row],[Employee Name]],'Base Schedules'!$A$46:$AW$77,12,FALSE)),"")</f>
        <v>HL</v>
      </c>
      <c r="N9" s="184" t="str">
        <f>IFERROR(IF(VLOOKUP(Sat_W1[[#This Row],[Employee Name]],'Base Schedules'!$A$46:$AW$77,13,FALSE)="","",VLOOKUP(Sat_W1[[#This Row],[Employee Name]],'Base Schedules'!$A$46:$AW$77,13,FALSE)),"")</f>
        <v>B1 HL</v>
      </c>
      <c r="O9" s="184" t="str">
        <f>IFERROR(IF(VLOOKUP(Sat_W1[[#This Row],[Employee Name]],'Base Schedules'!$A$46:$AW$77,14,FALSE)="","",VLOOKUP(Sat_W1[[#This Row],[Employee Name]],'Base Schedules'!$A$46:$AW$77,14,FALSE)),"")</f>
        <v>ADM</v>
      </c>
      <c r="P9" s="184" t="str">
        <f>IFERROR(IF(VLOOKUP(Sat_W1[[#This Row],[Employee Name]],'Base Schedules'!$A$46:$AW$77,15,FALSE)="","",VLOOKUP(Sat_W1[[#This Row],[Employee Name]],'Base Schedules'!$A$46:$AW$77,15,FALSE)),"")</f>
        <v>ADM</v>
      </c>
      <c r="Q9" s="184" t="str">
        <f>IFERROR(IF(VLOOKUP(Sat_W1[[#This Row],[Employee Name]],'Base Schedules'!$A$46:$AW$77,16,FALSE)="","",VLOOKUP(Sat_W1[[#This Row],[Employee Name]],'Base Schedules'!$A$46:$AW$77,16,FALSE)),"")</f>
        <v>ADM</v>
      </c>
      <c r="R9" s="184" t="str">
        <f>IFERROR(IF(VLOOKUP(Sat_W1[[#This Row],[Employee Name]],'Base Schedules'!$A$46:$AW$77,17,FALSE)="","",VLOOKUP(Sat_W1[[#This Row],[Employee Name]],'Base Schedules'!$A$46:$AW$77,17,FALSE)),"")</f>
        <v>LUNCH</v>
      </c>
      <c r="S9" s="184" t="str">
        <f>IFERROR(IF(VLOOKUP(Sat_W1[[#This Row],[Employee Name]],'Base Schedules'!$A$46:$AW$77,18,FALSE)="","",VLOOKUP(Sat_W1[[#This Row],[Employee Name]],'Base Schedules'!$A$46:$AW$77,18,FALSE)),"")</f>
        <v>ADM</v>
      </c>
      <c r="T9" s="184" t="str">
        <f>IFERROR(IF(VLOOKUP(Sat_W1[[#This Row],[Employee Name]],'Base Schedules'!$A$46:$AW$77,19,FALSE)="","",VLOOKUP(Sat_W1[[#This Row],[Employee Name]],'Base Schedules'!$A$46:$AW$77,19,FALSE)),"")</f>
        <v>ADM</v>
      </c>
      <c r="U9" s="184" t="str">
        <f>IFERROR(IF(VLOOKUP(Sat_W1[[#This Row],[Employee Name]],'Base Schedules'!$A$46:$AW$77,20,FALSE)="","",VLOOKUP(Sat_W1[[#This Row],[Employee Name]],'Base Schedules'!$A$46:$AW$77,20,FALSE)),"")</f>
        <v>ADM</v>
      </c>
      <c r="V9" s="184" t="str">
        <f>IFERROR(IF(VLOOKUP(Sat_W1[[#This Row],[Employee Name]],'Base Schedules'!$A$46:$AW$77,21,FALSE)="","",VLOOKUP(Sat_W1[[#This Row],[Employee Name]],'Base Schedules'!$A$46:$AW$77,21,FALSE)),"")</f>
        <v>HL</v>
      </c>
      <c r="W9" s="184" t="str">
        <f>IFERROR(IF(VLOOKUP(Sat_W1[[#This Row],[Employee Name]],'Base Schedules'!$A$46:$AW$77,22,FALSE)="","",VLOOKUP(Sat_W1[[#This Row],[Employee Name]],'Base Schedules'!$A$46:$AW$77,22,FALSE)),"")</f>
        <v>B2 HL</v>
      </c>
      <c r="X9" s="184" t="str">
        <f>IFERROR(IF(VLOOKUP(Sat_W1[[#This Row],[Employee Name]],'Base Schedules'!$A$46:$AW$77,23,FALSE)="","",VLOOKUP(Sat_W1[[#This Row],[Employee Name]],'Base Schedules'!$A$46:$AW$77,23,FALSE)),"")</f>
        <v>RNNR</v>
      </c>
      <c r="Y9" s="184" t="str">
        <f>IFERROR(IF(VLOOKUP(Sat_W1[[#This Row],[Employee Name]],'Base Schedules'!$A$46:$AW$77,24,FALSE)="","",VLOOKUP(Sat_W1[[#This Row],[Employee Name]],'Base Schedules'!$A$46:$AW$77,24,FALSE)),"")</f>
        <v>RNNR</v>
      </c>
      <c r="Z9" s="184" t="str">
        <f>IFERROR(IF(VLOOKUP(Sat_W1[[#This Row],[Employee Name]],'Base Schedules'!$A$46:$AW$77,25,FALSE)="","",VLOOKUP(Sat_W1[[#This Row],[Employee Name]],'Base Schedules'!$A$46:$AW$77,25,FALSE)),"")</f>
        <v>HL</v>
      </c>
      <c r="AA9" s="184" t="str">
        <f>IFERROR(IF(VLOOKUP(Sat_W1[[#This Row],[Employee Name]],'Base Schedules'!$A$46:$AW$77,26,FALSE)="","",VLOOKUP(Sat_W1[[#This Row],[Employee Name]],'Base Schedules'!$A$46:$AW$77,26,FALSE)),"")</f>
        <v/>
      </c>
      <c r="AB9" s="184" t="str">
        <f>IFERROR(IF(VLOOKUP(Sat_W1[[#This Row],[Employee Name]],'Base Schedules'!$A$46:$AW$77,27,FALSE)="","",VLOOKUP(Sat_W1[[#This Row],[Employee Name]],'Base Schedules'!$A$46:$AW$77,27,FALSE)),"")</f>
        <v/>
      </c>
      <c r="AC9" s="184" t="str">
        <f>IFERROR(IF(VLOOKUP(Sat_W1[[#This Row],[Employee Name]],'Base Schedules'!$A$46:$AW$77,28,FALSE)="","",VLOOKUP(Sat_W1[[#This Row],[Employee Name]],'Base Schedules'!$A$46:$AW$77,28,FALSE)),"")</f>
        <v/>
      </c>
      <c r="AD9" s="184" t="str">
        <f>IFERROR(IF(VLOOKUP(Sat_W1[[#This Row],[Employee Name]],'Base Schedules'!$A$46:$AW$77,29,FALSE)="","",VLOOKUP(Sat_W1[[#This Row],[Employee Name]],'Base Schedules'!$A$46:$AW$77,29,FALSE)),"")</f>
        <v/>
      </c>
      <c r="AE9" s="184" t="str">
        <f>IFERROR(IF(VLOOKUP(Sat_W1[[#This Row],[Employee Name]],'Base Schedules'!$A$46:$AW$77,30,FALSE)="","",VLOOKUP(Sat_W1[[#This Row],[Employee Name]],'Base Schedules'!$A$46:$AW$77,30,FALSE)),"")</f>
        <v/>
      </c>
      <c r="AF9" s="184" t="str">
        <f>IFERROR(IF(VLOOKUP(Sat_W1[[#This Row],[Employee Name]],'Base Schedules'!$A$46:$AW$77,31,FALSE)="","",VLOOKUP(Sat_W1[[#This Row],[Employee Name]],'Base Schedules'!$A$46:$AW$77,31,FALSE)),"")</f>
        <v/>
      </c>
      <c r="AG9" s="184" t="str">
        <f>IFERROR(IF(VLOOKUP(Sat_W1[[#This Row],[Employee Name]],'Base Schedules'!$A$46:$AW$77,32,FALSE)="","",VLOOKUP(Sat_W1[[#This Row],[Employee Name]],'Base Schedules'!$A$46:$AW$77,32,FALSE)),"")</f>
        <v/>
      </c>
      <c r="AH9" s="184" t="str">
        <f>IFERROR(IF(VLOOKUP(Sat_W1[[#This Row],[Employee Name]],'Base Schedules'!$A$46:$AW$77,33,FALSE)="","",VLOOKUP(Sat_W1[[#This Row],[Employee Name]],'Base Schedules'!$A$46:$AW$77,33,FALSE)),"")</f>
        <v/>
      </c>
      <c r="AI9" s="184" t="str">
        <f>IFERROR(IF(VLOOKUP(Sat_W1[[#This Row],[Employee Name]],'Base Schedules'!$A$46:$AW$77,34,FALSE)="","",VLOOKUP(Sat_W1[[#This Row],[Employee Name]],'Base Schedules'!$A$46:$AW$77,34,FALSE)),"")</f>
        <v/>
      </c>
      <c r="AJ9" s="184" t="str">
        <f>IFERROR(IF(VLOOKUP(Sat_W1[[#This Row],[Employee Name]],'Base Schedules'!$A$46:$AW$77,35,FALSE)="","",VLOOKUP(Sat_W1[[#This Row],[Employee Name]],'Base Schedules'!$A$46:$AW$77,35,FALSE)),"")</f>
        <v/>
      </c>
      <c r="AK9" s="184" t="str">
        <f>IFERROR(IF(VLOOKUP(Sat_W1[[#This Row],[Employee Name]],'Base Schedules'!$A$46:$AW$77,36,FALSE)="","",VLOOKUP(Sat_W1[[#This Row],[Employee Name]],'Base Schedules'!$A$46:$AW$77,36,FALSE)),"")</f>
        <v/>
      </c>
      <c r="AL9" s="184" t="str">
        <f>IFERROR(IF(VLOOKUP(Sat_W1[[#This Row],[Employee Name]],'Base Schedules'!$A$46:$AW$77,37,FALSE)="","",VLOOKUP(Sat_W1[[#This Row],[Employee Name]],'Base Schedules'!$A$46:$AW$77,37,FALSE)),"")</f>
        <v/>
      </c>
      <c r="AM9" s="184" t="str">
        <f>IFERROR(IF(VLOOKUP(Sat_W1[[#This Row],[Employee Name]],'Base Schedules'!$A$46:$AW$77,38,FALSE)="","",VLOOKUP(Sat_W1[[#This Row],[Employee Name]],'Base Schedules'!$A$46:$AW$77,38,FALSE)),"")</f>
        <v/>
      </c>
      <c r="AN9" s="184" t="str">
        <f>IFERROR(IF(VLOOKUP(Sat_W1[[#This Row],[Employee Name]],'Base Schedules'!$A$46:$AW$77,39,FALSE)="","",VLOOKUP(Sat_W1[[#This Row],[Employee Name]],'Base Schedules'!$A$46:$AW$77,39,FALSE)),"")</f>
        <v/>
      </c>
      <c r="AO9" s="184" t="str">
        <f>IFERROR(IF(VLOOKUP(Sat_W1[[#This Row],[Employee Name]],'Base Schedules'!$A$46:$AW$77,40,FALSE)="","",VLOOKUP(Sat_W1[[#This Row],[Employee Name]],'Base Schedules'!$A$46:$AW$77,40,FALSE)),"")</f>
        <v/>
      </c>
      <c r="AP9" s="184" t="str">
        <f>IFERROR(IF(VLOOKUP(Sat_W1[[#This Row],[Employee Name]],'Base Schedules'!$A$46:$AW$77,41,FALSE)="","",VLOOKUP(Sat_W1[[#This Row],[Employee Name]],'Base Schedules'!$A$46:$AW$77,41,FALSE)),"")</f>
        <v/>
      </c>
      <c r="AQ9" s="184" t="str">
        <f>IFERROR(IF(VLOOKUP(Sat_W1[[#This Row],[Employee Name]],'Base Schedules'!$A$46:$AW$77,42,FALSE)="","",VLOOKUP(Sat_W1[[#This Row],[Employee Name]],'Base Schedules'!$A$46:$AW$77,42,FALSE)),"")</f>
        <v/>
      </c>
      <c r="AR9" s="184" t="str">
        <f>IFERROR(IF(VLOOKUP(Sat_W1[[#This Row],[Employee Name]],'Base Schedules'!$A$46:$AW$77,43,FALSE)="","",VLOOKUP(Sat_W1[[#This Row],[Employee Name]],'Base Schedules'!$A$46:$AW$77,43,FALSE)),"")</f>
        <v/>
      </c>
      <c r="AS9" s="184" t="str">
        <f>IFERROR(IF(VLOOKUP(Sat_W1[[#This Row],[Employee Name]],'Base Schedules'!$A$46:$AW$77,44,FALSE)="","",VLOOKUP(Sat_W1[[#This Row],[Employee Name]],'Base Schedules'!$A$46:$AW$77,44,FALSE)),"")</f>
        <v/>
      </c>
      <c r="AT9" s="184" t="str">
        <f>IFERROR(IF(VLOOKUP(Sat_W1[[#This Row],[Employee Name]],'Base Schedules'!$A$46:$AW$77,45,FALSE)="","",VLOOKUP(Sat_W1[[#This Row],[Employee Name]],'Base Schedules'!$A$46:$AW$77,45,FALSE)),"")</f>
        <v/>
      </c>
      <c r="AU9" s="184" t="str">
        <f>IFERROR(IF(VLOOKUP(Sat_W1[[#This Row],[Employee Name]],'Base Schedules'!$A$46:$AW$77,46,FALSE)="","",VLOOKUP(Sat_W1[[#This Row],[Employee Name]],'Base Schedules'!$A$46:$AW$77,46,FALSE)),"")</f>
        <v/>
      </c>
      <c r="AV9" s="184" t="str">
        <f>IFERROR(IF(VLOOKUP(Sat_W1[[#This Row],[Employee Name]],'Base Schedules'!$A$46:$AW$77,47,FALSE)="","",VLOOKUP(Sat_W1[[#This Row],[Employee Name]],'Base Schedules'!$A$46:$AW$77,47,FALSE)),"")</f>
        <v/>
      </c>
      <c r="AW9" s="184" t="str">
        <f>IFERROR(IF(VLOOKUP(Sat_W1[[#This Row],[Employee Name]],'Base Schedules'!$A$46:$AW$77,48,FALSE)="","",VLOOKUP(Sat_W1[[#This Row],[Employee Name]],'Base Schedules'!$A$46:$AW$77,48,FALSE)),"")</f>
        <v/>
      </c>
      <c r="AX9" s="184" t="str">
        <f>IFERROR(IF(VLOOKUP(Sat_W1[[#This Row],[Employee Name]],'Base Schedules'!$A$46:$AW$77,49,FALSE)="","",VLOOKUP(Sat_W1[[#This Row],[Employee Name]],'Base Schedules'!$A$46:$AW$77,49,FALSE)),"")</f>
        <v/>
      </c>
      <c r="AY9" s="196" t="str">
        <f t="shared" ref="AY9:AY46" si="2">IF(B9="","",B9)</f>
        <v>Shiraki, Suzy</v>
      </c>
    </row>
    <row r="10" spans="1:51" s="44" customFormat="1" ht="12" customHeight="1" x14ac:dyDescent="0.2">
      <c r="A10" s="39" t="str">
        <f>IF(B10="","",INDEX(TeamList[],MATCH($B10,TeamList[[Employee Name]:[Employee Name]],0),MATCH("Manager",TeamList[#Headers],0)))</f>
        <v>Olson, Katherine</v>
      </c>
      <c r="B10" s="201" t="s">
        <v>32</v>
      </c>
      <c r="C10" s="257" t="str">
        <f>_xlfn.IFNA(VLOOKUP(Sat_W1[[#This Row],[Employee Name]],'Base Schedules'!A:B,2,FALSE),"")</f>
        <v>Supervisor</v>
      </c>
      <c r="D10" s="274">
        <f>_xlfn.IFNA(VLOOKUP(Sat_W1[[#This Row],[Employee Name]],'Base Schedules'!A:C,3,FALSE),"")</f>
        <v>500</v>
      </c>
      <c r="E10" s="274">
        <f>_xlfn.IFNA(VLOOKUP(Sat_W1[[#This Row],[Employee Name]],'Base Schedules'!A:D,4,FALSE),"")</f>
        <v>1400</v>
      </c>
      <c r="F10" s="142">
        <f>IF(Sat_W1[[#This Row],[Employee Name]]="","",IF(Sat_W1[[#This Row],[Dept]]="Supervisor",COUNTIFS($J10:$AX10,"*HL*",$J10:$AX10,"&lt;&gt;"&amp;"pHL"),COUNTIFS($J10:$AX10,"*HL*",$J10:$AX10,"&lt;&gt;"&amp;"*pHL*",$J10:$AX10,"&lt;&gt;"&amp;"pB1 HL",$J10:$AX10,"&lt;&gt;"&amp;"pB2 HL")-SUM(COUNTIFS($J10:$AX10,"*HL B1*",$J10:$AX10,"&lt;&gt;"&amp;"pHL B1")*0.5,COUNTIFS($J10:$AX10,"*HL B2*",$J10:$AX10,"&lt;&gt;"&amp;"pHL B2")*0.5,COUNTIFS($J10:$AX10,"*B1 HL*",$J10:$AX10,"&lt;&gt;"&amp;"pB1 HL")*0.5,COUNTIFS($J10:$AX10,"*B2 HL*",$J10:$AX10,"&lt;&gt;"&amp;"pB2 HL")*0.5)))</f>
        <v>0</v>
      </c>
      <c r="G10" s="142">
        <f t="shared" si="0"/>
        <v>4</v>
      </c>
      <c r="H10" s="142">
        <f t="shared" si="1"/>
        <v>0</v>
      </c>
      <c r="I10" s="142">
        <f>IF(Sat_W1[[#This Row],[Employee Name]]="","",IF(Sat_W1[[#This Row],[Dept]]="Supervisor",SUM(COUNTIFS($J10:$AX10,"RTA*",$J10:$AX10,"&lt;&gt;"&amp;"pRTA"),COUNTIFS($J10:$AX10,"*CRTA*",$J10:$AX10,"&lt;&gt;"&amp;"pCRTA")),COUNTIFS($J10:$AX10,"*RNNR*",$J10:$AX10,"&lt;&gt;"&amp;"*pRNNR*",$J10:$AX10,"&lt;&gt;"&amp;"pB1 RNNR",$J10:$AX10,"&lt;&gt;"&amp;"pB2 RNNR")-SUM(COUNTIFS($J10:$AX10,"*RNNR B1*",$J10:$AX10,"&lt;&gt;"&amp;"pRNNR B1")*0.5,COUNTIFS($J10:$AX10,"*RNNR B2*",$J10:$AX10,"&lt;&gt;"&amp;"pRNNR B2")*0.5,COUNTIFS($J10:$AX10,"*B1 RNNR*",$J10:$AX10,"&lt;&gt;"&amp;"pB1 RNNR")*0.5,COUNTIFS($J10:$AX10,"*B2 RNNR*",$J10:$AX10,"&lt;&gt;"&amp;"pB2 RNNR")*0.5)))</f>
        <v>0</v>
      </c>
      <c r="J10" s="184" t="str">
        <f>IFERROR(IF(VLOOKUP(Sat_W1[[#This Row],[Employee Name]],'Base Schedules'!$A$46:$AW$77,9,FALSE)="","",VLOOKUP(Sat_W1[[#This Row],[Employee Name]],'Base Schedules'!$A$46:$AW$77,9,FALSE)),"")</f>
        <v>-</v>
      </c>
      <c r="K10" s="184" t="str">
        <f>IFERROR(IF(VLOOKUP(Sat_W1[[#This Row],[Employee Name]],'Base Schedules'!$A$46:$AW$77,10,FALSE)="","",VLOOKUP(Sat_W1[[#This Row],[Employee Name]],'Base Schedules'!$A$46:$AW$77,10,FALSE)),"")</f>
        <v>-</v>
      </c>
      <c r="L10" s="184" t="str">
        <f>IFERROR(IF(VLOOKUP(Sat_W1[[#This Row],[Employee Name]],'Base Schedules'!$A$46:$AW$77,11,FALSE)="","",VLOOKUP(Sat_W1[[#This Row],[Employee Name]],'Base Schedules'!$A$46:$AW$77,11,FALSE)),"")</f>
        <v>-</v>
      </c>
      <c r="M10" s="184" t="str">
        <f>IFERROR(IF(VLOOKUP(Sat_W1[[#This Row],[Employee Name]],'Base Schedules'!$A$46:$AW$77,12,FALSE)="","",VLOOKUP(Sat_W1[[#This Row],[Employee Name]],'Base Schedules'!$A$46:$AW$77,12,FALSE)),"")</f>
        <v>-</v>
      </c>
      <c r="N10" s="184" t="str">
        <f>IFERROR(IF(VLOOKUP(Sat_W1[[#This Row],[Employee Name]],'Base Schedules'!$A$46:$AW$77,13,FALSE)="","",VLOOKUP(Sat_W1[[#This Row],[Employee Name]],'Base Schedules'!$A$46:$AW$77,13,FALSE)),"")</f>
        <v>-</v>
      </c>
      <c r="O10" s="184" t="str">
        <f>IFERROR(IF(VLOOKUP(Sat_W1[[#This Row],[Employee Name]],'Base Schedules'!$A$46:$AW$77,14,FALSE)="","",VLOOKUP(Sat_W1[[#This Row],[Employee Name]],'Base Schedules'!$A$46:$AW$77,14,FALSE)),"")</f>
        <v>-</v>
      </c>
      <c r="P10" s="184" t="str">
        <f>IFERROR(IF(VLOOKUP(Sat_W1[[#This Row],[Employee Name]],'Base Schedules'!$A$46:$AW$77,15,FALSE)="","",VLOOKUP(Sat_W1[[#This Row],[Employee Name]],'Base Schedules'!$A$46:$AW$77,15,FALSE)),"")</f>
        <v>Interview</v>
      </c>
      <c r="Q10" s="184" t="str">
        <f>IFERROR(IF(VLOOKUP(Sat_W1[[#This Row],[Employee Name]],'Base Schedules'!$A$46:$AW$77,16,FALSE)="","",VLOOKUP(Sat_W1[[#This Row],[Employee Name]],'Base Schedules'!$A$46:$AW$77,16,FALSE)),"")</f>
        <v>Interview</v>
      </c>
      <c r="R10" s="184" t="str">
        <f>IFERROR(IF(VLOOKUP(Sat_W1[[#This Row],[Employee Name]],'Base Schedules'!$A$46:$AW$77,17,FALSE)="","",VLOOKUP(Sat_W1[[#This Row],[Employee Name]],'Base Schedules'!$A$46:$AW$77,17,FALSE)),"")</f>
        <v>-</v>
      </c>
      <c r="S10" s="184" t="str">
        <f>IFERROR(IF(VLOOKUP(Sat_W1[[#This Row],[Employee Name]],'Base Schedules'!$A$46:$AW$77,18,FALSE)="","",VLOOKUP(Sat_W1[[#This Row],[Employee Name]],'Base Schedules'!$A$46:$AW$77,18,FALSE)),"")</f>
        <v>-</v>
      </c>
      <c r="T10" s="184" t="str">
        <f>IFERROR(IF(VLOOKUP(Sat_W1[[#This Row],[Employee Name]],'Base Schedules'!$A$46:$AW$77,19,FALSE)="","",VLOOKUP(Sat_W1[[#This Row],[Employee Name]],'Base Schedules'!$A$46:$AW$77,19,FALSE)),"")</f>
        <v>-</v>
      </c>
      <c r="U10" s="184" t="str">
        <f>IFERROR(IF(VLOOKUP(Sat_W1[[#This Row],[Employee Name]],'Base Schedules'!$A$46:$AW$77,20,FALSE)="","",VLOOKUP(Sat_W1[[#This Row],[Employee Name]],'Base Schedules'!$A$46:$AW$77,20,FALSE)),"")</f>
        <v>-</v>
      </c>
      <c r="V10" s="184" t="str">
        <f>IFERROR(IF(VLOOKUP(Sat_W1[[#This Row],[Employee Name]],'Base Schedules'!$A$46:$AW$77,21,FALSE)="","",VLOOKUP(Sat_W1[[#This Row],[Employee Name]],'Base Schedules'!$A$46:$AW$77,21,FALSE)),"")</f>
        <v>Coaching</v>
      </c>
      <c r="W10" s="184" t="str">
        <f>IFERROR(IF(VLOOKUP(Sat_W1[[#This Row],[Employee Name]],'Base Schedules'!$A$46:$AW$77,22,FALSE)="","",VLOOKUP(Sat_W1[[#This Row],[Employee Name]],'Base Schedules'!$A$46:$AW$77,22,FALSE)),"")</f>
        <v>Coaching</v>
      </c>
      <c r="X10" s="184" t="str">
        <f>IFERROR(IF(VLOOKUP(Sat_W1[[#This Row],[Employee Name]],'Base Schedules'!$A$46:$AW$77,23,FALSE)="","",VLOOKUP(Sat_W1[[#This Row],[Employee Name]],'Base Schedules'!$A$46:$AW$77,23,FALSE)),"")</f>
        <v>Coaching</v>
      </c>
      <c r="Y10" s="184" t="str">
        <f>IFERROR(IF(VLOOKUP(Sat_W1[[#This Row],[Employee Name]],'Base Schedules'!$A$46:$AW$77,24,FALSE)="","",VLOOKUP(Sat_W1[[#This Row],[Employee Name]],'Base Schedules'!$A$46:$AW$77,24,FALSE)),"")</f>
        <v>Coaching</v>
      </c>
      <c r="Z10" s="184" t="str">
        <f>IFERROR(IF(VLOOKUP(Sat_W1[[#This Row],[Employee Name]],'Base Schedules'!$A$46:$AW$77,25,FALSE)="","",VLOOKUP(Sat_W1[[#This Row],[Employee Name]],'Base Schedules'!$A$46:$AW$77,25,FALSE)),"")</f>
        <v>-</v>
      </c>
      <c r="AA10" s="184" t="str">
        <f>IFERROR(IF(VLOOKUP(Sat_W1[[#This Row],[Employee Name]],'Base Schedules'!$A$46:$AW$77,26,FALSE)="","",VLOOKUP(Sat_W1[[#This Row],[Employee Name]],'Base Schedules'!$A$46:$AW$77,26,FALSE)),"")</f>
        <v>-</v>
      </c>
      <c r="AB10" s="184" t="str">
        <f>IFERROR(IF(VLOOKUP(Sat_W1[[#This Row],[Employee Name]],'Base Schedules'!$A$46:$AW$77,27,FALSE)="","",VLOOKUP(Sat_W1[[#This Row],[Employee Name]],'Base Schedules'!$A$46:$AW$77,27,FALSE)),"")</f>
        <v/>
      </c>
      <c r="AC10" s="184" t="str">
        <f>IFERROR(IF(VLOOKUP(Sat_W1[[#This Row],[Employee Name]],'Base Schedules'!$A$46:$AW$77,28,FALSE)="","",VLOOKUP(Sat_W1[[#This Row],[Employee Name]],'Base Schedules'!$A$46:$AW$77,28,FALSE)),"")</f>
        <v/>
      </c>
      <c r="AD10" s="184" t="str">
        <f>IFERROR(IF(VLOOKUP(Sat_W1[[#This Row],[Employee Name]],'Base Schedules'!$A$46:$AW$77,29,FALSE)="","",VLOOKUP(Sat_W1[[#This Row],[Employee Name]],'Base Schedules'!$A$46:$AW$77,29,FALSE)),"")</f>
        <v/>
      </c>
      <c r="AE10" s="184" t="str">
        <f>IFERROR(IF(VLOOKUP(Sat_W1[[#This Row],[Employee Name]],'Base Schedules'!$A$46:$AW$77,30,FALSE)="","",VLOOKUP(Sat_W1[[#This Row],[Employee Name]],'Base Schedules'!$A$46:$AW$77,30,FALSE)),"")</f>
        <v/>
      </c>
      <c r="AF10" s="184" t="str">
        <f>IFERROR(IF(VLOOKUP(Sat_W1[[#This Row],[Employee Name]],'Base Schedules'!$A$46:$AW$77,31,FALSE)="","",VLOOKUP(Sat_W1[[#This Row],[Employee Name]],'Base Schedules'!$A$46:$AW$77,31,FALSE)),"")</f>
        <v/>
      </c>
      <c r="AG10" s="184" t="str">
        <f>IFERROR(IF(VLOOKUP(Sat_W1[[#This Row],[Employee Name]],'Base Schedules'!$A$46:$AW$77,32,FALSE)="","",VLOOKUP(Sat_W1[[#This Row],[Employee Name]],'Base Schedules'!$A$46:$AW$77,32,FALSE)),"")</f>
        <v/>
      </c>
      <c r="AH10" s="184" t="str">
        <f>IFERROR(IF(VLOOKUP(Sat_W1[[#This Row],[Employee Name]],'Base Schedules'!$A$46:$AW$77,33,FALSE)="","",VLOOKUP(Sat_W1[[#This Row],[Employee Name]],'Base Schedules'!$A$46:$AW$77,33,FALSE)),"")</f>
        <v/>
      </c>
      <c r="AI10" s="184" t="str">
        <f>IFERROR(IF(VLOOKUP(Sat_W1[[#This Row],[Employee Name]],'Base Schedules'!$A$46:$AW$77,34,FALSE)="","",VLOOKUP(Sat_W1[[#This Row],[Employee Name]],'Base Schedules'!$A$46:$AW$77,34,FALSE)),"")</f>
        <v/>
      </c>
      <c r="AJ10" s="184" t="str">
        <f>IFERROR(IF(VLOOKUP(Sat_W1[[#This Row],[Employee Name]],'Base Schedules'!$A$46:$AW$77,35,FALSE)="","",VLOOKUP(Sat_W1[[#This Row],[Employee Name]],'Base Schedules'!$A$46:$AW$77,35,FALSE)),"")</f>
        <v/>
      </c>
      <c r="AK10" s="184" t="str">
        <f>IFERROR(IF(VLOOKUP(Sat_W1[[#This Row],[Employee Name]],'Base Schedules'!$A$46:$AW$77,36,FALSE)="","",VLOOKUP(Sat_W1[[#This Row],[Employee Name]],'Base Schedules'!$A$46:$AW$77,36,FALSE)),"")</f>
        <v/>
      </c>
      <c r="AL10" s="184" t="str">
        <f>IFERROR(IF(VLOOKUP(Sat_W1[[#This Row],[Employee Name]],'Base Schedules'!$A$46:$AW$77,37,FALSE)="","",VLOOKUP(Sat_W1[[#This Row],[Employee Name]],'Base Schedules'!$A$46:$AW$77,37,FALSE)),"")</f>
        <v/>
      </c>
      <c r="AM10" s="184" t="str">
        <f>IFERROR(IF(VLOOKUP(Sat_W1[[#This Row],[Employee Name]],'Base Schedules'!$A$46:$AW$77,38,FALSE)="","",VLOOKUP(Sat_W1[[#This Row],[Employee Name]],'Base Schedules'!$A$46:$AW$77,38,FALSE)),"")</f>
        <v/>
      </c>
      <c r="AN10" s="184" t="str">
        <f>IFERROR(IF(VLOOKUP(Sat_W1[[#This Row],[Employee Name]],'Base Schedules'!$A$46:$AW$77,39,FALSE)="","",VLOOKUP(Sat_W1[[#This Row],[Employee Name]],'Base Schedules'!$A$46:$AW$77,39,FALSE)),"")</f>
        <v/>
      </c>
      <c r="AO10" s="184" t="str">
        <f>IFERROR(IF(VLOOKUP(Sat_W1[[#This Row],[Employee Name]],'Base Schedules'!$A$46:$AW$77,40,FALSE)="","",VLOOKUP(Sat_W1[[#This Row],[Employee Name]],'Base Schedules'!$A$46:$AW$77,40,FALSE)),"")</f>
        <v/>
      </c>
      <c r="AP10" s="184" t="str">
        <f>IFERROR(IF(VLOOKUP(Sat_W1[[#This Row],[Employee Name]],'Base Schedules'!$A$46:$AW$77,41,FALSE)="","",VLOOKUP(Sat_W1[[#This Row],[Employee Name]],'Base Schedules'!$A$46:$AW$77,41,FALSE)),"")</f>
        <v/>
      </c>
      <c r="AQ10" s="184" t="str">
        <f>IFERROR(IF(VLOOKUP(Sat_W1[[#This Row],[Employee Name]],'Base Schedules'!$A$46:$AW$77,42,FALSE)="","",VLOOKUP(Sat_W1[[#This Row],[Employee Name]],'Base Schedules'!$A$46:$AW$77,42,FALSE)),"")</f>
        <v/>
      </c>
      <c r="AR10" s="184" t="str">
        <f>IFERROR(IF(VLOOKUP(Sat_W1[[#This Row],[Employee Name]],'Base Schedules'!$A$46:$AW$77,43,FALSE)="","",VLOOKUP(Sat_W1[[#This Row],[Employee Name]],'Base Schedules'!$A$46:$AW$77,43,FALSE)),"")</f>
        <v/>
      </c>
      <c r="AS10" s="184" t="str">
        <f>IFERROR(IF(VLOOKUP(Sat_W1[[#This Row],[Employee Name]],'Base Schedules'!$A$46:$AW$77,44,FALSE)="","",VLOOKUP(Sat_W1[[#This Row],[Employee Name]],'Base Schedules'!$A$46:$AW$77,44,FALSE)),"")</f>
        <v/>
      </c>
      <c r="AT10" s="184" t="str">
        <f>IFERROR(IF(VLOOKUP(Sat_W1[[#This Row],[Employee Name]],'Base Schedules'!$A$46:$AW$77,45,FALSE)="","",VLOOKUP(Sat_W1[[#This Row],[Employee Name]],'Base Schedules'!$A$46:$AW$77,45,FALSE)),"")</f>
        <v/>
      </c>
      <c r="AU10" s="184" t="str">
        <f>IFERROR(IF(VLOOKUP(Sat_W1[[#This Row],[Employee Name]],'Base Schedules'!$A$46:$AW$77,46,FALSE)="","",VLOOKUP(Sat_W1[[#This Row],[Employee Name]],'Base Schedules'!$A$46:$AW$77,46,FALSE)),"")</f>
        <v/>
      </c>
      <c r="AV10" s="184" t="str">
        <f>IFERROR(IF(VLOOKUP(Sat_W1[[#This Row],[Employee Name]],'Base Schedules'!$A$46:$AW$77,47,FALSE)="","",VLOOKUP(Sat_W1[[#This Row],[Employee Name]],'Base Schedules'!$A$46:$AW$77,47,FALSE)),"")</f>
        <v/>
      </c>
      <c r="AW10" s="184" t="str">
        <f>IFERROR(IF(VLOOKUP(Sat_W1[[#This Row],[Employee Name]],'Base Schedules'!$A$46:$AW$77,48,FALSE)="","",VLOOKUP(Sat_W1[[#This Row],[Employee Name]],'Base Schedules'!$A$46:$AW$77,48,FALSE)),"")</f>
        <v/>
      </c>
      <c r="AX10" s="184" t="str">
        <f>IFERROR(IF(VLOOKUP(Sat_W1[[#This Row],[Employee Name]],'Base Schedules'!$A$46:$AW$77,49,FALSE)="","",VLOOKUP(Sat_W1[[#This Row],[Employee Name]],'Base Schedules'!$A$46:$AW$77,49,FALSE)),"")</f>
        <v/>
      </c>
      <c r="AY10" s="159" t="str">
        <f t="shared" si="2"/>
        <v>Alvarez, Carlos</v>
      </c>
    </row>
    <row r="11" spans="1:51" s="44" customFormat="1" ht="12" customHeight="1" x14ac:dyDescent="0.2">
      <c r="A11" s="39" t="str">
        <f>IF(B11="","",INDEX(TeamList[],MATCH($B11,TeamList[[Employee Name]:[Employee Name]],0),MATCH("Manager",TeamList[#Headers],0)))</f>
        <v>Ahmed Hassan, Zahra</v>
      </c>
      <c r="B11" s="201" t="s">
        <v>25</v>
      </c>
      <c r="C11" s="257" t="str">
        <f>_xlfn.IFNA(VLOOKUP(Sat_W1[[#This Row],[Employee Name]],'Base Schedules'!A:B,2,FALSE),"")</f>
        <v>Supervisor</v>
      </c>
      <c r="D11" s="274">
        <f>_xlfn.IFNA(VLOOKUP(Sat_W1[[#This Row],[Employee Name]],'Base Schedules'!A:C,3,FALSE),"")</f>
        <v>500</v>
      </c>
      <c r="E11" s="274">
        <f>_xlfn.IFNA(VLOOKUP(Sat_W1[[#This Row],[Employee Name]],'Base Schedules'!A:D,4,FALSE),"")</f>
        <v>1400</v>
      </c>
      <c r="F11" s="142">
        <f>IF(Sat_W1[[#This Row],[Employee Name]]="","",IF(Sat_W1[[#This Row],[Dept]]="Supervisor",COUNTIFS($J11:$AX11,"*HL*",$J11:$AX11,"&lt;&gt;"&amp;"pHL"),COUNTIFS($J11:$AX11,"*HL*",$J11:$AX11,"&lt;&gt;"&amp;"*pHL*",$J11:$AX11,"&lt;&gt;"&amp;"pB1 HL",$J11:$AX11,"&lt;&gt;"&amp;"pB2 HL")-SUM(COUNTIFS($J11:$AX11,"*HL B1*",$J11:$AX11,"&lt;&gt;"&amp;"pHL B1")*0.5,COUNTIFS($J11:$AX11,"*HL B2*",$J11:$AX11,"&lt;&gt;"&amp;"pHL B2")*0.5,COUNTIFS($J11:$AX11,"*B1 HL*",$J11:$AX11,"&lt;&gt;"&amp;"pB1 HL")*0.5,COUNTIFS($J11:$AX11,"*B2 HL*",$J11:$AX11,"&lt;&gt;"&amp;"pB2 HL")*0.5)))</f>
        <v>0</v>
      </c>
      <c r="G11" s="142">
        <f t="shared" si="0"/>
        <v>4</v>
      </c>
      <c r="H11" s="142">
        <f t="shared" si="1"/>
        <v>0</v>
      </c>
      <c r="I11" s="142">
        <f>IF(Sat_W1[[#This Row],[Employee Name]]="","",IF(Sat_W1[[#This Row],[Dept]]="Supervisor",SUM(COUNTIFS($J11:$AX11,"RTA*",$J11:$AX11,"&lt;&gt;"&amp;"pRTA"),COUNTIFS($J11:$AX11,"*CRTA*",$J11:$AX11,"&lt;&gt;"&amp;"pCRTA")),COUNTIFS($J11:$AX11,"*RNNR*",$J11:$AX11,"&lt;&gt;"&amp;"*pRNNR*",$J11:$AX11,"&lt;&gt;"&amp;"pB1 RNNR",$J11:$AX11,"&lt;&gt;"&amp;"pB2 RNNR")-SUM(COUNTIFS($J11:$AX11,"*RNNR B1*",$J11:$AX11,"&lt;&gt;"&amp;"pRNNR B1")*0.5,COUNTIFS($J11:$AX11,"*RNNR B2*",$J11:$AX11,"&lt;&gt;"&amp;"pRNNR B2")*0.5,COUNTIFS($J11:$AX11,"*B1 RNNR*",$J11:$AX11,"&lt;&gt;"&amp;"pB1 RNNR")*0.5,COUNTIFS($J11:$AX11,"*B2 RNNR*",$J11:$AX11,"&lt;&gt;"&amp;"pB2 RNNR")*0.5)))</f>
        <v>0</v>
      </c>
      <c r="J11" s="184" t="str">
        <f>IFERROR(IF(VLOOKUP(Sat_W1[[#This Row],[Employee Name]],'Base Schedules'!$A$46:$AW$77,9,FALSE)="","",VLOOKUP(Sat_W1[[#This Row],[Employee Name]],'Base Schedules'!$A$46:$AW$77,9,FALSE)),"")</f>
        <v>-</v>
      </c>
      <c r="K11" s="184" t="str">
        <f>IFERROR(IF(VLOOKUP(Sat_W1[[#This Row],[Employee Name]],'Base Schedules'!$A$46:$AW$77,10,FALSE)="","",VLOOKUP(Sat_W1[[#This Row],[Employee Name]],'Base Schedules'!$A$46:$AW$77,10,FALSE)),"")</f>
        <v>-</v>
      </c>
      <c r="L11" s="184" t="str">
        <f>IFERROR(IF(VLOOKUP(Sat_W1[[#This Row],[Employee Name]],'Base Schedules'!$A$46:$AW$77,11,FALSE)="","",VLOOKUP(Sat_W1[[#This Row],[Employee Name]],'Base Schedules'!$A$46:$AW$77,11,FALSE)),"")</f>
        <v>-</v>
      </c>
      <c r="M11" s="184" t="str">
        <f>IFERROR(IF(VLOOKUP(Sat_W1[[#This Row],[Employee Name]],'Base Schedules'!$A$46:$AW$77,12,FALSE)="","",VLOOKUP(Sat_W1[[#This Row],[Employee Name]],'Base Schedules'!$A$46:$AW$77,12,FALSE)),"")</f>
        <v>-</v>
      </c>
      <c r="N11" s="184" t="str">
        <f>IFERROR(IF(VLOOKUP(Sat_W1[[#This Row],[Employee Name]],'Base Schedules'!$A$46:$AW$77,13,FALSE)="","",VLOOKUP(Sat_W1[[#This Row],[Employee Name]],'Base Schedules'!$A$46:$AW$77,13,FALSE)),"")</f>
        <v>-</v>
      </c>
      <c r="O11" s="184" t="str">
        <f>IFERROR(IF(VLOOKUP(Sat_W1[[#This Row],[Employee Name]],'Base Schedules'!$A$46:$AW$77,14,FALSE)="","",VLOOKUP(Sat_W1[[#This Row],[Employee Name]],'Base Schedules'!$A$46:$AW$77,14,FALSE)),"")</f>
        <v>-</v>
      </c>
      <c r="P11" s="184" t="str">
        <f>IFERROR(IF(VLOOKUP(Sat_W1[[#This Row],[Employee Name]],'Base Schedules'!$A$46:$AW$77,15,FALSE)="","",VLOOKUP(Sat_W1[[#This Row],[Employee Name]],'Base Schedules'!$A$46:$AW$77,15,FALSE)),"")</f>
        <v>Interview</v>
      </c>
      <c r="Q11" s="184" t="str">
        <f>IFERROR(IF(VLOOKUP(Sat_W1[[#This Row],[Employee Name]],'Base Schedules'!$A$46:$AW$77,16,FALSE)="","",VLOOKUP(Sat_W1[[#This Row],[Employee Name]],'Base Schedules'!$A$46:$AW$77,16,FALSE)),"")</f>
        <v>Interview</v>
      </c>
      <c r="R11" s="184" t="str">
        <f>IFERROR(IF(VLOOKUP(Sat_W1[[#This Row],[Employee Name]],'Base Schedules'!$A$46:$AW$77,17,FALSE)="","",VLOOKUP(Sat_W1[[#This Row],[Employee Name]],'Base Schedules'!$A$46:$AW$77,17,FALSE)),"")</f>
        <v>-</v>
      </c>
      <c r="S11" s="184" t="str">
        <f>IFERROR(IF(VLOOKUP(Sat_W1[[#This Row],[Employee Name]],'Base Schedules'!$A$46:$AW$77,18,FALSE)="","",VLOOKUP(Sat_W1[[#This Row],[Employee Name]],'Base Schedules'!$A$46:$AW$77,18,FALSE)),"")</f>
        <v>-</v>
      </c>
      <c r="T11" s="184" t="str">
        <f>IFERROR(IF(VLOOKUP(Sat_W1[[#This Row],[Employee Name]],'Base Schedules'!$A$46:$AW$77,19,FALSE)="","",VLOOKUP(Sat_W1[[#This Row],[Employee Name]],'Base Schedules'!$A$46:$AW$77,19,FALSE)),"")</f>
        <v>-</v>
      </c>
      <c r="U11" s="184" t="str">
        <f>IFERROR(IF(VLOOKUP(Sat_W1[[#This Row],[Employee Name]],'Base Schedules'!$A$46:$AW$77,20,FALSE)="","",VLOOKUP(Sat_W1[[#This Row],[Employee Name]],'Base Schedules'!$A$46:$AW$77,20,FALSE)),"")</f>
        <v>-</v>
      </c>
      <c r="V11" s="184" t="str">
        <f>IFERROR(IF(VLOOKUP(Sat_W1[[#This Row],[Employee Name]],'Base Schedules'!$A$46:$AW$77,21,FALSE)="","",VLOOKUP(Sat_W1[[#This Row],[Employee Name]],'Base Schedules'!$A$46:$AW$77,21,FALSE)),"")</f>
        <v>Coaching</v>
      </c>
      <c r="W11" s="184" t="str">
        <f>IFERROR(IF(VLOOKUP(Sat_W1[[#This Row],[Employee Name]],'Base Schedules'!$A$46:$AW$77,22,FALSE)="","",VLOOKUP(Sat_W1[[#This Row],[Employee Name]],'Base Schedules'!$A$46:$AW$77,22,FALSE)),"")</f>
        <v>Coaching</v>
      </c>
      <c r="X11" s="184" t="str">
        <f>IFERROR(IF(VLOOKUP(Sat_W1[[#This Row],[Employee Name]],'Base Schedules'!$A$46:$AW$77,23,FALSE)="","",VLOOKUP(Sat_W1[[#This Row],[Employee Name]],'Base Schedules'!$A$46:$AW$77,23,FALSE)),"")</f>
        <v>Coaching</v>
      </c>
      <c r="Y11" s="184" t="str">
        <f>IFERROR(IF(VLOOKUP(Sat_W1[[#This Row],[Employee Name]],'Base Schedules'!$A$46:$AW$77,24,FALSE)="","",VLOOKUP(Sat_W1[[#This Row],[Employee Name]],'Base Schedules'!$A$46:$AW$77,24,FALSE)),"")</f>
        <v>Coaching</v>
      </c>
      <c r="Z11" s="184" t="str">
        <f>IFERROR(IF(VLOOKUP(Sat_W1[[#This Row],[Employee Name]],'Base Schedules'!$A$46:$AW$77,25,FALSE)="","",VLOOKUP(Sat_W1[[#This Row],[Employee Name]],'Base Schedules'!$A$46:$AW$77,25,FALSE)),"")</f>
        <v>-</v>
      </c>
      <c r="AA11" s="184" t="str">
        <f>IFERROR(IF(VLOOKUP(Sat_W1[[#This Row],[Employee Name]],'Base Schedules'!$A$46:$AW$77,26,FALSE)="","",VLOOKUP(Sat_W1[[#This Row],[Employee Name]],'Base Schedules'!$A$46:$AW$77,26,FALSE)),"")</f>
        <v>-</v>
      </c>
      <c r="AB11" s="184" t="str">
        <f>IFERROR(IF(VLOOKUP(Sat_W1[[#This Row],[Employee Name]],'Base Schedules'!$A$46:$AW$77,27,FALSE)="","",VLOOKUP(Sat_W1[[#This Row],[Employee Name]],'Base Schedules'!$A$46:$AW$77,27,FALSE)),"")</f>
        <v/>
      </c>
      <c r="AC11" s="184" t="str">
        <f>IFERROR(IF(VLOOKUP(Sat_W1[[#This Row],[Employee Name]],'Base Schedules'!$A$46:$AW$77,28,FALSE)="","",VLOOKUP(Sat_W1[[#This Row],[Employee Name]],'Base Schedules'!$A$46:$AW$77,28,FALSE)),"")</f>
        <v/>
      </c>
      <c r="AD11" s="184" t="str">
        <f>IFERROR(IF(VLOOKUP(Sat_W1[[#This Row],[Employee Name]],'Base Schedules'!$A$46:$AW$77,29,FALSE)="","",VLOOKUP(Sat_W1[[#This Row],[Employee Name]],'Base Schedules'!$A$46:$AW$77,29,FALSE)),"")</f>
        <v/>
      </c>
      <c r="AE11" s="184" t="str">
        <f>IFERROR(IF(VLOOKUP(Sat_W1[[#This Row],[Employee Name]],'Base Schedules'!$A$46:$AW$77,30,FALSE)="","",VLOOKUP(Sat_W1[[#This Row],[Employee Name]],'Base Schedules'!$A$46:$AW$77,30,FALSE)),"")</f>
        <v/>
      </c>
      <c r="AF11" s="184" t="str">
        <f>IFERROR(IF(VLOOKUP(Sat_W1[[#This Row],[Employee Name]],'Base Schedules'!$A$46:$AW$77,31,FALSE)="","",VLOOKUP(Sat_W1[[#This Row],[Employee Name]],'Base Schedules'!$A$46:$AW$77,31,FALSE)),"")</f>
        <v/>
      </c>
      <c r="AG11" s="184" t="str">
        <f>IFERROR(IF(VLOOKUP(Sat_W1[[#This Row],[Employee Name]],'Base Schedules'!$A$46:$AW$77,32,FALSE)="","",VLOOKUP(Sat_W1[[#This Row],[Employee Name]],'Base Schedules'!$A$46:$AW$77,32,FALSE)),"")</f>
        <v/>
      </c>
      <c r="AH11" s="184" t="str">
        <f>IFERROR(IF(VLOOKUP(Sat_W1[[#This Row],[Employee Name]],'Base Schedules'!$A$46:$AW$77,33,FALSE)="","",VLOOKUP(Sat_W1[[#This Row],[Employee Name]],'Base Schedules'!$A$46:$AW$77,33,FALSE)),"")</f>
        <v/>
      </c>
      <c r="AI11" s="184" t="str">
        <f>IFERROR(IF(VLOOKUP(Sat_W1[[#This Row],[Employee Name]],'Base Schedules'!$A$46:$AW$77,34,FALSE)="","",VLOOKUP(Sat_W1[[#This Row],[Employee Name]],'Base Schedules'!$A$46:$AW$77,34,FALSE)),"")</f>
        <v/>
      </c>
      <c r="AJ11" s="184" t="str">
        <f>IFERROR(IF(VLOOKUP(Sat_W1[[#This Row],[Employee Name]],'Base Schedules'!$A$46:$AW$77,35,FALSE)="","",VLOOKUP(Sat_W1[[#This Row],[Employee Name]],'Base Schedules'!$A$46:$AW$77,35,FALSE)),"")</f>
        <v/>
      </c>
      <c r="AK11" s="184" t="str">
        <f>IFERROR(IF(VLOOKUP(Sat_W1[[#This Row],[Employee Name]],'Base Schedules'!$A$46:$AW$77,36,FALSE)="","",VLOOKUP(Sat_W1[[#This Row],[Employee Name]],'Base Schedules'!$A$46:$AW$77,36,FALSE)),"")</f>
        <v/>
      </c>
      <c r="AL11" s="184" t="str">
        <f>IFERROR(IF(VLOOKUP(Sat_W1[[#This Row],[Employee Name]],'Base Schedules'!$A$46:$AW$77,37,FALSE)="","",VLOOKUP(Sat_W1[[#This Row],[Employee Name]],'Base Schedules'!$A$46:$AW$77,37,FALSE)),"")</f>
        <v/>
      </c>
      <c r="AM11" s="184" t="str">
        <f>IFERROR(IF(VLOOKUP(Sat_W1[[#This Row],[Employee Name]],'Base Schedules'!$A$46:$AW$77,38,FALSE)="","",VLOOKUP(Sat_W1[[#This Row],[Employee Name]],'Base Schedules'!$A$46:$AW$77,38,FALSE)),"")</f>
        <v/>
      </c>
      <c r="AN11" s="184" t="str">
        <f>IFERROR(IF(VLOOKUP(Sat_W1[[#This Row],[Employee Name]],'Base Schedules'!$A$46:$AW$77,39,FALSE)="","",VLOOKUP(Sat_W1[[#This Row],[Employee Name]],'Base Schedules'!$A$46:$AW$77,39,FALSE)),"")</f>
        <v/>
      </c>
      <c r="AO11" s="184" t="str">
        <f>IFERROR(IF(VLOOKUP(Sat_W1[[#This Row],[Employee Name]],'Base Schedules'!$A$46:$AW$77,40,FALSE)="","",VLOOKUP(Sat_W1[[#This Row],[Employee Name]],'Base Schedules'!$A$46:$AW$77,40,FALSE)),"")</f>
        <v/>
      </c>
      <c r="AP11" s="184" t="str">
        <f>IFERROR(IF(VLOOKUP(Sat_W1[[#This Row],[Employee Name]],'Base Schedules'!$A$46:$AW$77,41,FALSE)="","",VLOOKUP(Sat_W1[[#This Row],[Employee Name]],'Base Schedules'!$A$46:$AW$77,41,FALSE)),"")</f>
        <v/>
      </c>
      <c r="AQ11" s="184" t="str">
        <f>IFERROR(IF(VLOOKUP(Sat_W1[[#This Row],[Employee Name]],'Base Schedules'!$A$46:$AW$77,42,FALSE)="","",VLOOKUP(Sat_W1[[#This Row],[Employee Name]],'Base Schedules'!$A$46:$AW$77,42,FALSE)),"")</f>
        <v/>
      </c>
      <c r="AR11" s="184" t="str">
        <f>IFERROR(IF(VLOOKUP(Sat_W1[[#This Row],[Employee Name]],'Base Schedules'!$A$46:$AW$77,43,FALSE)="","",VLOOKUP(Sat_W1[[#This Row],[Employee Name]],'Base Schedules'!$A$46:$AW$77,43,FALSE)),"")</f>
        <v/>
      </c>
      <c r="AS11" s="184" t="str">
        <f>IFERROR(IF(VLOOKUP(Sat_W1[[#This Row],[Employee Name]],'Base Schedules'!$A$46:$AW$77,44,FALSE)="","",VLOOKUP(Sat_W1[[#This Row],[Employee Name]],'Base Schedules'!$A$46:$AW$77,44,FALSE)),"")</f>
        <v/>
      </c>
      <c r="AT11" s="184" t="str">
        <f>IFERROR(IF(VLOOKUP(Sat_W1[[#This Row],[Employee Name]],'Base Schedules'!$A$46:$AW$77,45,FALSE)="","",VLOOKUP(Sat_W1[[#This Row],[Employee Name]],'Base Schedules'!$A$46:$AW$77,45,FALSE)),"")</f>
        <v/>
      </c>
      <c r="AU11" s="184" t="str">
        <f>IFERROR(IF(VLOOKUP(Sat_W1[[#This Row],[Employee Name]],'Base Schedules'!$A$46:$AW$77,46,FALSE)="","",VLOOKUP(Sat_W1[[#This Row],[Employee Name]],'Base Schedules'!$A$46:$AW$77,46,FALSE)),"")</f>
        <v/>
      </c>
      <c r="AV11" s="184" t="str">
        <f>IFERROR(IF(VLOOKUP(Sat_W1[[#This Row],[Employee Name]],'Base Schedules'!$A$46:$AW$77,47,FALSE)="","",VLOOKUP(Sat_W1[[#This Row],[Employee Name]],'Base Schedules'!$A$46:$AW$77,47,FALSE)),"")</f>
        <v/>
      </c>
      <c r="AW11" s="184" t="str">
        <f>IFERROR(IF(VLOOKUP(Sat_W1[[#This Row],[Employee Name]],'Base Schedules'!$A$46:$AW$77,48,FALSE)="","",VLOOKUP(Sat_W1[[#This Row],[Employee Name]],'Base Schedules'!$A$46:$AW$77,48,FALSE)),"")</f>
        <v/>
      </c>
      <c r="AX11" s="184" t="str">
        <f>IFERROR(IF(VLOOKUP(Sat_W1[[#This Row],[Employee Name]],'Base Schedules'!$A$46:$AW$77,49,FALSE)="","",VLOOKUP(Sat_W1[[#This Row],[Employee Name]],'Base Schedules'!$A$46:$AW$77,49,FALSE)),"")</f>
        <v/>
      </c>
      <c r="AY11" s="262" t="str">
        <f t="shared" si="2"/>
        <v>Oates, Eleanor</v>
      </c>
    </row>
    <row r="12" spans="1:51" s="44" customFormat="1" ht="12" customHeight="1" x14ac:dyDescent="0.2">
      <c r="A12" s="39" t="str">
        <f>IF(B12="","",INDEX(TeamList[],MATCH($B12,TeamList[[Employee Name]:[Employee Name]],0),MATCH("Manager",TeamList[#Headers],0)))</f>
        <v>Olson, Katherine</v>
      </c>
      <c r="B12" s="201" t="s">
        <v>230</v>
      </c>
      <c r="C12" s="257" t="str">
        <f>_xlfn.IFNA(VLOOKUP(Sat_W1[[#This Row],[Employee Name]],'Base Schedules'!A:B,2,FALSE),"")</f>
        <v>Lead</v>
      </c>
      <c r="D12" s="274">
        <f>_xlfn.IFNA(VLOOKUP(Sat_W1[[#This Row],[Employee Name]],'Base Schedules'!A:C,3,FALSE),"")</f>
        <v>530</v>
      </c>
      <c r="E12" s="274">
        <f>_xlfn.IFNA(VLOOKUP(Sat_W1[[#This Row],[Employee Name]],'Base Schedules'!A:D,4,FALSE),"")</f>
        <v>1430</v>
      </c>
      <c r="F12" s="142">
        <f>IF(Sat_W1[[#This Row],[Employee Name]]="","",IF(Sat_W1[[#This Row],[Dept]]="Supervisor",COUNTIFS($J12:$AX12,"*HL*",$J12:$AX12,"&lt;&gt;"&amp;"pHL"),COUNTIFS($J12:$AX12,"*HL*",$J12:$AX12,"&lt;&gt;"&amp;"*pHL*",$J12:$AX12,"&lt;&gt;"&amp;"pB1 HL",$J12:$AX12,"&lt;&gt;"&amp;"pB2 HL")-SUM(COUNTIFS($J12:$AX12,"*HL B1*",$J12:$AX12,"&lt;&gt;"&amp;"pHL B1")*0.5,COUNTIFS($J12:$AX12,"*HL B2*",$J12:$AX12,"&lt;&gt;"&amp;"pHL B2")*0.5,COUNTIFS($J12:$AX12,"*B1 HL*",$J12:$AX12,"&lt;&gt;"&amp;"pB1 HL")*0.5,COUNTIFS($J12:$AX12,"*B2 HL*",$J12:$AX12,"&lt;&gt;"&amp;"pB2 HL")*0.5)))</f>
        <v>6.5</v>
      </c>
      <c r="G12" s="142">
        <f t="shared" si="0"/>
        <v>0</v>
      </c>
      <c r="H12" s="142">
        <f t="shared" si="1"/>
        <v>7</v>
      </c>
      <c r="I12" s="142">
        <f>IF(Sat_W1[[#This Row],[Employee Name]]="","",IF(Sat_W1[[#This Row],[Dept]]="Supervisor",SUM(COUNTIFS($J12:$AX12,"RTA*",$J12:$AX12,"&lt;&gt;"&amp;"pRTA"),COUNTIFS($J12:$AX12,"*CRTA*",$J12:$AX12,"&lt;&gt;"&amp;"pCRTA")),COUNTIFS($J12:$AX12,"*RNNR*",$J12:$AX12,"&lt;&gt;"&amp;"*pRNNR*",$J12:$AX12,"&lt;&gt;"&amp;"pB1 RNNR",$J12:$AX12,"&lt;&gt;"&amp;"pB2 RNNR")-SUM(COUNTIFS($J12:$AX12,"*RNNR B1*",$J12:$AX12,"&lt;&gt;"&amp;"pRNNR B1")*0.5,COUNTIFS($J12:$AX12,"*RNNR B2*",$J12:$AX12,"&lt;&gt;"&amp;"pRNNR B2")*0.5,COUNTIFS($J12:$AX12,"*B1 RNNR*",$J12:$AX12,"&lt;&gt;"&amp;"pB1 RNNR")*0.5,COUNTIFS($J12:$AX12,"*B2 RNNR*",$J12:$AX12,"&lt;&gt;"&amp;"pB2 RNNR")*0.5)))</f>
        <v>2</v>
      </c>
      <c r="J12" s="184" t="str">
        <f>IFERROR(IF(VLOOKUP(Sat_W1[[#This Row],[Employee Name]],'Base Schedules'!$A$46:$AW$77,9,FALSE)="","",VLOOKUP(Sat_W1[[#This Row],[Employee Name]],'Base Schedules'!$A$46:$AW$77,9,FALSE)),"")</f>
        <v/>
      </c>
      <c r="K12" s="184" t="str">
        <f>IFERROR(IF(VLOOKUP(Sat_W1[[#This Row],[Employee Name]],'Base Schedules'!$A$46:$AW$77,10,FALSE)="","",VLOOKUP(Sat_W1[[#This Row],[Employee Name]],'Base Schedules'!$A$46:$AW$77,10,FALSE)),"")</f>
        <v>HL</v>
      </c>
      <c r="L12" s="184" t="str">
        <f>IFERROR(IF(VLOOKUP(Sat_W1[[#This Row],[Employee Name]],'Base Schedules'!$A$46:$AW$77,11,FALSE)="","",VLOOKUP(Sat_W1[[#This Row],[Employee Name]],'Base Schedules'!$A$46:$AW$77,11,FALSE)),"")</f>
        <v>HL</v>
      </c>
      <c r="M12" s="184" t="str">
        <f>IFERROR(IF(VLOOKUP(Sat_W1[[#This Row],[Employee Name]],'Base Schedules'!$A$46:$AW$77,12,FALSE)="","",VLOOKUP(Sat_W1[[#This Row],[Employee Name]],'Base Schedules'!$A$46:$AW$77,12,FALSE)),"")</f>
        <v>ADM</v>
      </c>
      <c r="N12" s="184" t="str">
        <f>IFERROR(IF(VLOOKUP(Sat_W1[[#This Row],[Employee Name]],'Base Schedules'!$A$46:$AW$77,13,FALSE)="","",VLOOKUP(Sat_W1[[#This Row],[Employee Name]],'Base Schedules'!$A$46:$AW$77,13,FALSE)),"")</f>
        <v>ADM</v>
      </c>
      <c r="O12" s="184" t="str">
        <f>IFERROR(IF(VLOOKUP(Sat_W1[[#This Row],[Employee Name]],'Base Schedules'!$A$46:$AW$77,14,FALSE)="","",VLOOKUP(Sat_W1[[#This Row],[Employee Name]],'Base Schedules'!$A$46:$AW$77,14,FALSE)),"")</f>
        <v>ADM B1</v>
      </c>
      <c r="P12" s="184" t="str">
        <f>IFERROR(IF(VLOOKUP(Sat_W1[[#This Row],[Employee Name]],'Base Schedules'!$A$46:$AW$77,15,FALSE)="","",VLOOKUP(Sat_W1[[#This Row],[Employee Name]],'Base Schedules'!$A$46:$AW$77,15,FALSE)),"")</f>
        <v>RNNR</v>
      </c>
      <c r="Q12" s="184" t="str">
        <f>IFERROR(IF(VLOOKUP(Sat_W1[[#This Row],[Employee Name]],'Base Schedules'!$A$46:$AW$77,16,FALSE)="","",VLOOKUP(Sat_W1[[#This Row],[Employee Name]],'Base Schedules'!$A$46:$AW$77,16,FALSE)),"")</f>
        <v>RNNR</v>
      </c>
      <c r="R12" s="184" t="str">
        <f>IFERROR(IF(VLOOKUP(Sat_W1[[#This Row],[Employee Name]],'Base Schedules'!$A$46:$AW$77,17,FALSE)="","",VLOOKUP(Sat_W1[[#This Row],[Employee Name]],'Base Schedules'!$A$46:$AW$77,17,FALSE)),"")</f>
        <v>HL</v>
      </c>
      <c r="S12" s="184" t="str">
        <f>IFERROR(IF(VLOOKUP(Sat_W1[[#This Row],[Employee Name]],'Base Schedules'!$A$46:$AW$77,18,FALSE)="","",VLOOKUP(Sat_W1[[#This Row],[Employee Name]],'Base Schedules'!$A$46:$AW$77,18,FALSE)),"")</f>
        <v>LUNCH</v>
      </c>
      <c r="T12" s="184" t="str">
        <f>IFERROR(IF(VLOOKUP(Sat_W1[[#This Row],[Employee Name]],'Base Schedules'!$A$46:$AW$77,19,FALSE)="","",VLOOKUP(Sat_W1[[#This Row],[Employee Name]],'Base Schedules'!$A$46:$AW$77,19,FALSE)),"")</f>
        <v>LUNCH</v>
      </c>
      <c r="U12" s="184" t="str">
        <f>IFERROR(IF(VLOOKUP(Sat_W1[[#This Row],[Employee Name]],'Base Schedules'!$A$46:$AW$77,20,FALSE)="","",VLOOKUP(Sat_W1[[#This Row],[Employee Name]],'Base Schedules'!$A$46:$AW$77,20,FALSE)),"")</f>
        <v>ADM</v>
      </c>
      <c r="V12" s="184" t="str">
        <f>IFERROR(IF(VLOOKUP(Sat_W1[[#This Row],[Employee Name]],'Base Schedules'!$A$46:$AW$77,21,FALSE)="","",VLOOKUP(Sat_W1[[#This Row],[Employee Name]],'Base Schedules'!$A$46:$AW$77,21,FALSE)),"")</f>
        <v>ADM</v>
      </c>
      <c r="W12" s="184" t="str">
        <f>IFERROR(IF(VLOOKUP(Sat_W1[[#This Row],[Employee Name]],'Base Schedules'!$A$46:$AW$77,22,FALSE)="","",VLOOKUP(Sat_W1[[#This Row],[Employee Name]],'Base Schedules'!$A$46:$AW$77,22,FALSE)),"")</f>
        <v>HL</v>
      </c>
      <c r="X12" s="184" t="str">
        <f>IFERROR(IF(VLOOKUP(Sat_W1[[#This Row],[Employee Name]],'Base Schedules'!$A$46:$AW$77,23,FALSE)="","",VLOOKUP(Sat_W1[[#This Row],[Employee Name]],'Base Schedules'!$A$46:$AW$77,23,FALSE)),"")</f>
        <v>HL</v>
      </c>
      <c r="Y12" s="184" t="str">
        <f>IFERROR(IF(VLOOKUP(Sat_W1[[#This Row],[Employee Name]],'Base Schedules'!$A$46:$AW$77,24,FALSE)="","",VLOOKUP(Sat_W1[[#This Row],[Employee Name]],'Base Schedules'!$A$46:$AW$77,24,FALSE)),"")</f>
        <v>HL B2</v>
      </c>
      <c r="Z12" s="184" t="str">
        <f>IFERROR(IF(VLOOKUP(Sat_W1[[#This Row],[Employee Name]],'Base Schedules'!$A$46:$AW$77,25,FALSE)="","",VLOOKUP(Sat_W1[[#This Row],[Employee Name]],'Base Schedules'!$A$46:$AW$77,25,FALSE)),"")</f>
        <v>HL</v>
      </c>
      <c r="AA12" s="184" t="str">
        <f>IFERROR(IF(VLOOKUP(Sat_W1[[#This Row],[Employee Name]],'Base Schedules'!$A$46:$AW$77,26,FALSE)="","",VLOOKUP(Sat_W1[[#This Row],[Employee Name]],'Base Schedules'!$A$46:$AW$77,26,FALSE)),"")</f>
        <v>ADM</v>
      </c>
      <c r="AB12" s="184" t="str">
        <f>IFERROR(IF(VLOOKUP(Sat_W1[[#This Row],[Employee Name]],'Base Schedules'!$A$46:$AW$77,27,FALSE)="","",VLOOKUP(Sat_W1[[#This Row],[Employee Name]],'Base Schedules'!$A$46:$AW$77,27,FALSE)),"")</f>
        <v>ADM</v>
      </c>
      <c r="AC12" s="184" t="str">
        <f>IFERROR(IF(VLOOKUP(Sat_W1[[#This Row],[Employee Name]],'Base Schedules'!$A$46:$AW$77,28,FALSE)="","",VLOOKUP(Sat_W1[[#This Row],[Employee Name]],'Base Schedules'!$A$46:$AW$77,28,FALSE)),"")</f>
        <v/>
      </c>
      <c r="AD12" s="184" t="str">
        <f>IFERROR(IF(VLOOKUP(Sat_W1[[#This Row],[Employee Name]],'Base Schedules'!$A$46:$AW$77,29,FALSE)="","",VLOOKUP(Sat_W1[[#This Row],[Employee Name]],'Base Schedules'!$A$46:$AW$77,29,FALSE)),"")</f>
        <v/>
      </c>
      <c r="AE12" s="184" t="str">
        <f>IFERROR(IF(VLOOKUP(Sat_W1[[#This Row],[Employee Name]],'Base Schedules'!$A$46:$AW$77,30,FALSE)="","",VLOOKUP(Sat_W1[[#This Row],[Employee Name]],'Base Schedules'!$A$46:$AW$77,30,FALSE)),"")</f>
        <v/>
      </c>
      <c r="AF12" s="184" t="str">
        <f>IFERROR(IF(VLOOKUP(Sat_W1[[#This Row],[Employee Name]],'Base Schedules'!$A$46:$AW$77,31,FALSE)="","",VLOOKUP(Sat_W1[[#This Row],[Employee Name]],'Base Schedules'!$A$46:$AW$77,31,FALSE)),"")</f>
        <v/>
      </c>
      <c r="AG12" s="184" t="str">
        <f>IFERROR(IF(VLOOKUP(Sat_W1[[#This Row],[Employee Name]],'Base Schedules'!$A$46:$AW$77,32,FALSE)="","",VLOOKUP(Sat_W1[[#This Row],[Employee Name]],'Base Schedules'!$A$46:$AW$77,32,FALSE)),"")</f>
        <v/>
      </c>
      <c r="AH12" s="184" t="str">
        <f>IFERROR(IF(VLOOKUP(Sat_W1[[#This Row],[Employee Name]],'Base Schedules'!$A$46:$AW$77,33,FALSE)="","",VLOOKUP(Sat_W1[[#This Row],[Employee Name]],'Base Schedules'!$A$46:$AW$77,33,FALSE)),"")</f>
        <v/>
      </c>
      <c r="AI12" s="184" t="str">
        <f>IFERROR(IF(VLOOKUP(Sat_W1[[#This Row],[Employee Name]],'Base Schedules'!$A$46:$AW$77,34,FALSE)="","",VLOOKUP(Sat_W1[[#This Row],[Employee Name]],'Base Schedules'!$A$46:$AW$77,34,FALSE)),"")</f>
        <v/>
      </c>
      <c r="AJ12" s="184" t="str">
        <f>IFERROR(IF(VLOOKUP(Sat_W1[[#This Row],[Employee Name]],'Base Schedules'!$A$46:$AW$77,35,FALSE)="","",VLOOKUP(Sat_W1[[#This Row],[Employee Name]],'Base Schedules'!$A$46:$AW$77,35,FALSE)),"")</f>
        <v/>
      </c>
      <c r="AK12" s="184" t="str">
        <f>IFERROR(IF(VLOOKUP(Sat_W1[[#This Row],[Employee Name]],'Base Schedules'!$A$46:$AW$77,36,FALSE)="","",VLOOKUP(Sat_W1[[#This Row],[Employee Name]],'Base Schedules'!$A$46:$AW$77,36,FALSE)),"")</f>
        <v/>
      </c>
      <c r="AL12" s="184" t="str">
        <f>IFERROR(IF(VLOOKUP(Sat_W1[[#This Row],[Employee Name]],'Base Schedules'!$A$46:$AW$77,37,FALSE)="","",VLOOKUP(Sat_W1[[#This Row],[Employee Name]],'Base Schedules'!$A$46:$AW$77,37,FALSE)),"")</f>
        <v/>
      </c>
      <c r="AM12" s="184" t="str">
        <f>IFERROR(IF(VLOOKUP(Sat_W1[[#This Row],[Employee Name]],'Base Schedules'!$A$46:$AW$77,38,FALSE)="","",VLOOKUP(Sat_W1[[#This Row],[Employee Name]],'Base Schedules'!$A$46:$AW$77,38,FALSE)),"")</f>
        <v/>
      </c>
      <c r="AN12" s="184" t="str">
        <f>IFERROR(IF(VLOOKUP(Sat_W1[[#This Row],[Employee Name]],'Base Schedules'!$A$46:$AW$77,39,FALSE)="","",VLOOKUP(Sat_W1[[#This Row],[Employee Name]],'Base Schedules'!$A$46:$AW$77,39,FALSE)),"")</f>
        <v/>
      </c>
      <c r="AO12" s="184" t="str">
        <f>IFERROR(IF(VLOOKUP(Sat_W1[[#This Row],[Employee Name]],'Base Schedules'!$A$46:$AW$77,40,FALSE)="","",VLOOKUP(Sat_W1[[#This Row],[Employee Name]],'Base Schedules'!$A$46:$AW$77,40,FALSE)),"")</f>
        <v/>
      </c>
      <c r="AP12" s="184" t="str">
        <f>IFERROR(IF(VLOOKUP(Sat_W1[[#This Row],[Employee Name]],'Base Schedules'!$A$46:$AW$77,41,FALSE)="","",VLOOKUP(Sat_W1[[#This Row],[Employee Name]],'Base Schedules'!$A$46:$AW$77,41,FALSE)),"")</f>
        <v/>
      </c>
      <c r="AQ12" s="184" t="str">
        <f>IFERROR(IF(VLOOKUP(Sat_W1[[#This Row],[Employee Name]],'Base Schedules'!$A$46:$AW$77,42,FALSE)="","",VLOOKUP(Sat_W1[[#This Row],[Employee Name]],'Base Schedules'!$A$46:$AW$77,42,FALSE)),"")</f>
        <v/>
      </c>
      <c r="AR12" s="184" t="str">
        <f>IFERROR(IF(VLOOKUP(Sat_W1[[#This Row],[Employee Name]],'Base Schedules'!$A$46:$AW$77,43,FALSE)="","",VLOOKUP(Sat_W1[[#This Row],[Employee Name]],'Base Schedules'!$A$46:$AW$77,43,FALSE)),"")</f>
        <v/>
      </c>
      <c r="AS12" s="184" t="str">
        <f>IFERROR(IF(VLOOKUP(Sat_W1[[#This Row],[Employee Name]],'Base Schedules'!$A$46:$AW$77,44,FALSE)="","",VLOOKUP(Sat_W1[[#This Row],[Employee Name]],'Base Schedules'!$A$46:$AW$77,44,FALSE)),"")</f>
        <v/>
      </c>
      <c r="AT12" s="184" t="str">
        <f>IFERROR(IF(VLOOKUP(Sat_W1[[#This Row],[Employee Name]],'Base Schedules'!$A$46:$AW$77,45,FALSE)="","",VLOOKUP(Sat_W1[[#This Row],[Employee Name]],'Base Schedules'!$A$46:$AW$77,45,FALSE)),"")</f>
        <v/>
      </c>
      <c r="AU12" s="184" t="str">
        <f>IFERROR(IF(VLOOKUP(Sat_W1[[#This Row],[Employee Name]],'Base Schedules'!$A$46:$AW$77,46,FALSE)="","",VLOOKUP(Sat_W1[[#This Row],[Employee Name]],'Base Schedules'!$A$46:$AW$77,46,FALSE)),"")</f>
        <v/>
      </c>
      <c r="AV12" s="184" t="str">
        <f>IFERROR(IF(VLOOKUP(Sat_W1[[#This Row],[Employee Name]],'Base Schedules'!$A$46:$AW$77,47,FALSE)="","",VLOOKUP(Sat_W1[[#This Row],[Employee Name]],'Base Schedules'!$A$46:$AW$77,47,FALSE)),"")</f>
        <v/>
      </c>
      <c r="AW12" s="184" t="str">
        <f>IFERROR(IF(VLOOKUP(Sat_W1[[#This Row],[Employee Name]],'Base Schedules'!$A$46:$AW$77,48,FALSE)="","",VLOOKUP(Sat_W1[[#This Row],[Employee Name]],'Base Schedules'!$A$46:$AW$77,48,FALSE)),"")</f>
        <v/>
      </c>
      <c r="AX12" s="184" t="str">
        <f>IFERROR(IF(VLOOKUP(Sat_W1[[#This Row],[Employee Name]],'Base Schedules'!$A$46:$AW$77,49,FALSE)="","",VLOOKUP(Sat_W1[[#This Row],[Employee Name]],'Base Schedules'!$A$46:$AW$77,49,FALSE)),"")</f>
        <v/>
      </c>
      <c r="AY12" s="159" t="str">
        <f t="shared" si="2"/>
        <v>Suarez, Alyssa</v>
      </c>
    </row>
    <row r="13" spans="1:51" s="44" customFormat="1" ht="12" customHeight="1" x14ac:dyDescent="0.2">
      <c r="A13" s="39" t="e">
        <f>IF(B13="","",INDEX(TeamList[],MATCH($B13,TeamList[[Employee Name]:[Employee Name]],0),MATCH("Manager",TeamList[#Headers],0)))</f>
        <v>#N/A</v>
      </c>
      <c r="B13" s="201" t="s">
        <v>369</v>
      </c>
      <c r="C13" s="257" t="str">
        <f>_xlfn.IFNA(VLOOKUP(Sat_W1[[#This Row],[Employee Name]],'Base Schedules'!A:B,2,FALSE),"")</f>
        <v>Supervisor</v>
      </c>
      <c r="D13" s="274">
        <f>_xlfn.IFNA(VLOOKUP(Sat_W1[[#This Row],[Employee Name]],'Base Schedules'!A:C,3,FALSE),"")</f>
        <v>600</v>
      </c>
      <c r="E13" s="274">
        <f>_xlfn.IFNA(VLOOKUP(Sat_W1[[#This Row],[Employee Name]],'Base Schedules'!A:D,4,FALSE),"")</f>
        <v>1500</v>
      </c>
      <c r="F13" s="142">
        <f>IF(Sat_W1[[#This Row],[Employee Name]]="","",IF(Sat_W1[[#This Row],[Dept]]="Supervisor",COUNTIFS($J13:$AX13,"*HL*",$J13:$AX13,"&lt;&gt;"&amp;"pHL"),COUNTIFS($J13:$AX13,"*HL*",$J13:$AX13,"&lt;&gt;"&amp;"*pHL*",$J13:$AX13,"&lt;&gt;"&amp;"pB1 HL",$J13:$AX13,"&lt;&gt;"&amp;"pB2 HL")-SUM(COUNTIFS($J13:$AX13,"*HL B1*",$J13:$AX13,"&lt;&gt;"&amp;"pHL B1")*0.5,COUNTIFS($J13:$AX13,"*HL B2*",$J13:$AX13,"&lt;&gt;"&amp;"pHL B2")*0.5,COUNTIFS($J13:$AX13,"*B1 HL*",$J13:$AX13,"&lt;&gt;"&amp;"pB1 HL")*0.5,COUNTIFS($J13:$AX13,"*B2 HL*",$J13:$AX13,"&lt;&gt;"&amp;"pB2 HL")*0.5)))</f>
        <v>0</v>
      </c>
      <c r="G13" s="142">
        <f t="shared" si="0"/>
        <v>4</v>
      </c>
      <c r="H13" s="142">
        <f t="shared" si="1"/>
        <v>0</v>
      </c>
      <c r="I13" s="142">
        <f>IF(Sat_W1[[#This Row],[Employee Name]]="","",IF(Sat_W1[[#This Row],[Dept]]="Supervisor",SUM(COUNTIFS($J13:$AX13,"RTA*",$J13:$AX13,"&lt;&gt;"&amp;"pRTA"),COUNTIFS($J13:$AX13,"*CRTA*",$J13:$AX13,"&lt;&gt;"&amp;"pCRTA")),COUNTIFS($J13:$AX13,"*RNNR*",$J13:$AX13,"&lt;&gt;"&amp;"*pRNNR*",$J13:$AX13,"&lt;&gt;"&amp;"pB1 RNNR",$J13:$AX13,"&lt;&gt;"&amp;"pB2 RNNR")-SUM(COUNTIFS($J13:$AX13,"*RNNR B1*",$J13:$AX13,"&lt;&gt;"&amp;"pRNNR B1")*0.5,COUNTIFS($J13:$AX13,"*RNNR B2*",$J13:$AX13,"&lt;&gt;"&amp;"pRNNR B2")*0.5,COUNTIFS($J13:$AX13,"*B1 RNNR*",$J13:$AX13,"&lt;&gt;"&amp;"pB1 RNNR")*0.5,COUNTIFS($J13:$AX13,"*B2 RNNR*",$J13:$AX13,"&lt;&gt;"&amp;"pB2 RNNR")*0.5)))</f>
        <v>0</v>
      </c>
      <c r="J13" s="184" t="str">
        <f>IFERROR(IF(VLOOKUP(Sat_W1[[#This Row],[Employee Name]],'Base Schedules'!$A$46:$AW$77,9,FALSE)="","",VLOOKUP(Sat_W1[[#This Row],[Employee Name]],'Base Schedules'!$A$46:$AW$77,9,FALSE)),"")</f>
        <v/>
      </c>
      <c r="K13" s="184" t="str">
        <f>IFERROR(IF(VLOOKUP(Sat_W1[[#This Row],[Employee Name]],'Base Schedules'!$A$46:$AW$77,10,FALSE)="","",VLOOKUP(Sat_W1[[#This Row],[Employee Name]],'Base Schedules'!$A$46:$AW$77,10,FALSE)),"")</f>
        <v/>
      </c>
      <c r="L13" s="184" t="str">
        <f>IFERROR(IF(VLOOKUP(Sat_W1[[#This Row],[Employee Name]],'Base Schedules'!$A$46:$AW$77,11,FALSE)="","",VLOOKUP(Sat_W1[[#This Row],[Employee Name]],'Base Schedules'!$A$46:$AW$77,11,FALSE)),"")</f>
        <v>-</v>
      </c>
      <c r="M13" s="184" t="str">
        <f>IFERROR(IF(VLOOKUP(Sat_W1[[#This Row],[Employee Name]],'Base Schedules'!$A$46:$AW$77,12,FALSE)="","",VLOOKUP(Sat_W1[[#This Row],[Employee Name]],'Base Schedules'!$A$46:$AW$77,12,FALSE)),"")</f>
        <v>-</v>
      </c>
      <c r="N13" s="184" t="str">
        <f>IFERROR(IF(VLOOKUP(Sat_W1[[#This Row],[Employee Name]],'Base Schedules'!$A$46:$AW$77,13,FALSE)="","",VLOOKUP(Sat_W1[[#This Row],[Employee Name]],'Base Schedules'!$A$46:$AW$77,13,FALSE)),"")</f>
        <v>-</v>
      </c>
      <c r="O13" s="184" t="str">
        <f>IFERROR(IF(VLOOKUP(Sat_W1[[#This Row],[Employee Name]],'Base Schedules'!$A$46:$AW$77,14,FALSE)="","",VLOOKUP(Sat_W1[[#This Row],[Employee Name]],'Base Schedules'!$A$46:$AW$77,14,FALSE)),"")</f>
        <v>-</v>
      </c>
      <c r="P13" s="184" t="str">
        <f>IFERROR(IF(VLOOKUP(Sat_W1[[#This Row],[Employee Name]],'Base Schedules'!$A$46:$AW$77,15,FALSE)="","",VLOOKUP(Sat_W1[[#This Row],[Employee Name]],'Base Schedules'!$A$46:$AW$77,15,FALSE)),"")</f>
        <v>-</v>
      </c>
      <c r="Q13" s="184" t="str">
        <f>IFERROR(IF(VLOOKUP(Sat_W1[[#This Row],[Employee Name]],'Base Schedules'!$A$46:$AW$77,16,FALSE)="","",VLOOKUP(Sat_W1[[#This Row],[Employee Name]],'Base Schedules'!$A$46:$AW$77,16,FALSE)),"")</f>
        <v>-</v>
      </c>
      <c r="R13" s="184" t="str">
        <f>IFERROR(IF(VLOOKUP(Sat_W1[[#This Row],[Employee Name]],'Base Schedules'!$A$46:$AW$77,17,FALSE)="","",VLOOKUP(Sat_W1[[#This Row],[Employee Name]],'Base Schedules'!$A$46:$AW$77,17,FALSE)),"")</f>
        <v>Interview</v>
      </c>
      <c r="S13" s="184" t="str">
        <f>IFERROR(IF(VLOOKUP(Sat_W1[[#This Row],[Employee Name]],'Base Schedules'!$A$46:$AW$77,18,FALSE)="","",VLOOKUP(Sat_W1[[#This Row],[Employee Name]],'Base Schedules'!$A$46:$AW$77,18,FALSE)),"")</f>
        <v>Interview</v>
      </c>
      <c r="T13" s="184" t="str">
        <f>IFERROR(IF(VLOOKUP(Sat_W1[[#This Row],[Employee Name]],'Base Schedules'!$A$46:$AW$77,19,FALSE)="","",VLOOKUP(Sat_W1[[#This Row],[Employee Name]],'Base Schedules'!$A$46:$AW$77,19,FALSE)),"")</f>
        <v>-</v>
      </c>
      <c r="U13" s="184" t="str">
        <f>IFERROR(IF(VLOOKUP(Sat_W1[[#This Row],[Employee Name]],'Base Schedules'!$A$46:$AW$77,20,FALSE)="","",VLOOKUP(Sat_W1[[#This Row],[Employee Name]],'Base Schedules'!$A$46:$AW$77,20,FALSE)),"")</f>
        <v>-</v>
      </c>
      <c r="V13" s="184" t="str">
        <f>IFERROR(IF(VLOOKUP(Sat_W1[[#This Row],[Employee Name]],'Base Schedules'!$A$46:$AW$77,21,FALSE)="","",VLOOKUP(Sat_W1[[#This Row],[Employee Name]],'Base Schedules'!$A$46:$AW$77,21,FALSE)),"")</f>
        <v>-</v>
      </c>
      <c r="W13" s="184" t="str">
        <f>IFERROR(IF(VLOOKUP(Sat_W1[[#This Row],[Employee Name]],'Base Schedules'!$A$46:$AW$77,22,FALSE)="","",VLOOKUP(Sat_W1[[#This Row],[Employee Name]],'Base Schedules'!$A$46:$AW$77,22,FALSE)),"")</f>
        <v>Coaching</v>
      </c>
      <c r="X13" s="184" t="str">
        <f>IFERROR(IF(VLOOKUP(Sat_W1[[#This Row],[Employee Name]],'Base Schedules'!$A$46:$AW$77,23,FALSE)="","",VLOOKUP(Sat_W1[[#This Row],[Employee Name]],'Base Schedules'!$A$46:$AW$77,23,FALSE)),"")</f>
        <v>Coaching</v>
      </c>
      <c r="Y13" s="184" t="str">
        <f>IFERROR(IF(VLOOKUP(Sat_W1[[#This Row],[Employee Name]],'Base Schedules'!$A$46:$AW$77,24,FALSE)="","",VLOOKUP(Sat_W1[[#This Row],[Employee Name]],'Base Schedules'!$A$46:$AW$77,24,FALSE)),"")</f>
        <v>Coaching</v>
      </c>
      <c r="Z13" s="184" t="str">
        <f>IFERROR(IF(VLOOKUP(Sat_W1[[#This Row],[Employee Name]],'Base Schedules'!$A$46:$AW$77,25,FALSE)="","",VLOOKUP(Sat_W1[[#This Row],[Employee Name]],'Base Schedules'!$A$46:$AW$77,25,FALSE)),"")</f>
        <v>Coaching</v>
      </c>
      <c r="AA13" s="184" t="str">
        <f>IFERROR(IF(VLOOKUP(Sat_W1[[#This Row],[Employee Name]],'Base Schedules'!$A$46:$AW$77,26,FALSE)="","",VLOOKUP(Sat_W1[[#This Row],[Employee Name]],'Base Schedules'!$A$46:$AW$77,26,FALSE)),"")</f>
        <v>-</v>
      </c>
      <c r="AB13" s="184" t="str">
        <f>IFERROR(IF(VLOOKUP(Sat_W1[[#This Row],[Employee Name]],'Base Schedules'!$A$46:$AW$77,27,FALSE)="","",VLOOKUP(Sat_W1[[#This Row],[Employee Name]],'Base Schedules'!$A$46:$AW$77,27,FALSE)),"")</f>
        <v>-</v>
      </c>
      <c r="AC13" s="184" t="str">
        <f>IFERROR(IF(VLOOKUP(Sat_W1[[#This Row],[Employee Name]],'Base Schedules'!$A$46:$AW$77,28,FALSE)="","",VLOOKUP(Sat_W1[[#This Row],[Employee Name]],'Base Schedules'!$A$46:$AW$77,28,FALSE)),"")</f>
        <v>-</v>
      </c>
      <c r="AD13" s="184" t="str">
        <f>IFERROR(IF(VLOOKUP(Sat_W1[[#This Row],[Employee Name]],'Base Schedules'!$A$46:$AW$77,29,FALSE)="","",VLOOKUP(Sat_W1[[#This Row],[Employee Name]],'Base Schedules'!$A$46:$AW$77,29,FALSE)),"")</f>
        <v/>
      </c>
      <c r="AE13" s="184" t="str">
        <f>IFERROR(IF(VLOOKUP(Sat_W1[[#This Row],[Employee Name]],'Base Schedules'!$A$46:$AW$77,30,FALSE)="","",VLOOKUP(Sat_W1[[#This Row],[Employee Name]],'Base Schedules'!$A$46:$AW$77,30,FALSE)),"")</f>
        <v/>
      </c>
      <c r="AF13" s="184" t="str">
        <f>IFERROR(IF(VLOOKUP(Sat_W1[[#This Row],[Employee Name]],'Base Schedules'!$A$46:$AW$77,31,FALSE)="","",VLOOKUP(Sat_W1[[#This Row],[Employee Name]],'Base Schedules'!$A$46:$AW$77,31,FALSE)),"")</f>
        <v/>
      </c>
      <c r="AG13" s="184" t="str">
        <f>IFERROR(IF(VLOOKUP(Sat_W1[[#This Row],[Employee Name]],'Base Schedules'!$A$46:$AW$77,32,FALSE)="","",VLOOKUP(Sat_W1[[#This Row],[Employee Name]],'Base Schedules'!$A$46:$AW$77,32,FALSE)),"")</f>
        <v/>
      </c>
      <c r="AH13" s="184" t="str">
        <f>IFERROR(IF(VLOOKUP(Sat_W1[[#This Row],[Employee Name]],'Base Schedules'!$A$46:$AW$77,33,FALSE)="","",VLOOKUP(Sat_W1[[#This Row],[Employee Name]],'Base Schedules'!$A$46:$AW$77,33,FALSE)),"")</f>
        <v/>
      </c>
      <c r="AI13" s="184" t="str">
        <f>IFERROR(IF(VLOOKUP(Sat_W1[[#This Row],[Employee Name]],'Base Schedules'!$A$46:$AW$77,34,FALSE)="","",VLOOKUP(Sat_W1[[#This Row],[Employee Name]],'Base Schedules'!$A$46:$AW$77,34,FALSE)),"")</f>
        <v/>
      </c>
      <c r="AJ13" s="184" t="str">
        <f>IFERROR(IF(VLOOKUP(Sat_W1[[#This Row],[Employee Name]],'Base Schedules'!$A$46:$AW$77,35,FALSE)="","",VLOOKUP(Sat_W1[[#This Row],[Employee Name]],'Base Schedules'!$A$46:$AW$77,35,FALSE)),"")</f>
        <v/>
      </c>
      <c r="AK13" s="184" t="str">
        <f>IFERROR(IF(VLOOKUP(Sat_W1[[#This Row],[Employee Name]],'Base Schedules'!$A$46:$AW$77,36,FALSE)="","",VLOOKUP(Sat_W1[[#This Row],[Employee Name]],'Base Schedules'!$A$46:$AW$77,36,FALSE)),"")</f>
        <v/>
      </c>
      <c r="AL13" s="184" t="str">
        <f>IFERROR(IF(VLOOKUP(Sat_W1[[#This Row],[Employee Name]],'Base Schedules'!$A$46:$AW$77,37,FALSE)="","",VLOOKUP(Sat_W1[[#This Row],[Employee Name]],'Base Schedules'!$A$46:$AW$77,37,FALSE)),"")</f>
        <v/>
      </c>
      <c r="AM13" s="184" t="str">
        <f>IFERROR(IF(VLOOKUP(Sat_W1[[#This Row],[Employee Name]],'Base Schedules'!$A$46:$AW$77,38,FALSE)="","",VLOOKUP(Sat_W1[[#This Row],[Employee Name]],'Base Schedules'!$A$46:$AW$77,38,FALSE)),"")</f>
        <v/>
      </c>
      <c r="AN13" s="184" t="str">
        <f>IFERROR(IF(VLOOKUP(Sat_W1[[#This Row],[Employee Name]],'Base Schedules'!$A$46:$AW$77,39,FALSE)="","",VLOOKUP(Sat_W1[[#This Row],[Employee Name]],'Base Schedules'!$A$46:$AW$77,39,FALSE)),"")</f>
        <v/>
      </c>
      <c r="AO13" s="184" t="str">
        <f>IFERROR(IF(VLOOKUP(Sat_W1[[#This Row],[Employee Name]],'Base Schedules'!$A$46:$AW$77,40,FALSE)="","",VLOOKUP(Sat_W1[[#This Row],[Employee Name]],'Base Schedules'!$A$46:$AW$77,40,FALSE)),"")</f>
        <v/>
      </c>
      <c r="AP13" s="184" t="str">
        <f>IFERROR(IF(VLOOKUP(Sat_W1[[#This Row],[Employee Name]],'Base Schedules'!$A$46:$AW$77,41,FALSE)="","",VLOOKUP(Sat_W1[[#This Row],[Employee Name]],'Base Schedules'!$A$46:$AW$77,41,FALSE)),"")</f>
        <v/>
      </c>
      <c r="AQ13" s="184" t="str">
        <f>IFERROR(IF(VLOOKUP(Sat_W1[[#This Row],[Employee Name]],'Base Schedules'!$A$46:$AW$77,42,FALSE)="","",VLOOKUP(Sat_W1[[#This Row],[Employee Name]],'Base Schedules'!$A$46:$AW$77,42,FALSE)),"")</f>
        <v/>
      </c>
      <c r="AR13" s="184" t="str">
        <f>IFERROR(IF(VLOOKUP(Sat_W1[[#This Row],[Employee Name]],'Base Schedules'!$A$46:$AW$77,43,FALSE)="","",VLOOKUP(Sat_W1[[#This Row],[Employee Name]],'Base Schedules'!$A$46:$AW$77,43,FALSE)),"")</f>
        <v/>
      </c>
      <c r="AS13" s="184" t="str">
        <f>IFERROR(IF(VLOOKUP(Sat_W1[[#This Row],[Employee Name]],'Base Schedules'!$A$46:$AW$77,44,FALSE)="","",VLOOKUP(Sat_W1[[#This Row],[Employee Name]],'Base Schedules'!$A$46:$AW$77,44,FALSE)),"")</f>
        <v/>
      </c>
      <c r="AT13" s="184" t="str">
        <f>IFERROR(IF(VLOOKUP(Sat_W1[[#This Row],[Employee Name]],'Base Schedules'!$A$46:$AW$77,45,FALSE)="","",VLOOKUP(Sat_W1[[#This Row],[Employee Name]],'Base Schedules'!$A$46:$AW$77,45,FALSE)),"")</f>
        <v/>
      </c>
      <c r="AU13" s="184" t="str">
        <f>IFERROR(IF(VLOOKUP(Sat_W1[[#This Row],[Employee Name]],'Base Schedules'!$A$46:$AW$77,46,FALSE)="","",VLOOKUP(Sat_W1[[#This Row],[Employee Name]],'Base Schedules'!$A$46:$AW$77,46,FALSE)),"")</f>
        <v/>
      </c>
      <c r="AV13" s="184" t="str">
        <f>IFERROR(IF(VLOOKUP(Sat_W1[[#This Row],[Employee Name]],'Base Schedules'!$A$46:$AW$77,47,FALSE)="","",VLOOKUP(Sat_W1[[#This Row],[Employee Name]],'Base Schedules'!$A$46:$AW$77,47,FALSE)),"")</f>
        <v/>
      </c>
      <c r="AW13" s="184" t="str">
        <f>IFERROR(IF(VLOOKUP(Sat_W1[[#This Row],[Employee Name]],'Base Schedules'!$A$46:$AW$77,48,FALSE)="","",VLOOKUP(Sat_W1[[#This Row],[Employee Name]],'Base Schedules'!$A$46:$AW$77,48,FALSE)),"")</f>
        <v/>
      </c>
      <c r="AX13" s="184" t="str">
        <f>IFERROR(IF(VLOOKUP(Sat_W1[[#This Row],[Employee Name]],'Base Schedules'!$A$46:$AW$77,49,FALSE)="","",VLOOKUP(Sat_W1[[#This Row],[Employee Name]],'Base Schedules'!$A$46:$AW$77,49,FALSE)),"")</f>
        <v/>
      </c>
      <c r="AY13" s="160" t="str">
        <f t="shared" si="2"/>
        <v>Madamba, Rocky</v>
      </c>
    </row>
    <row r="14" spans="1:51" s="44" customFormat="1" ht="12" customHeight="1" x14ac:dyDescent="0.2">
      <c r="A14" s="39" t="str">
        <f>IF(B14="","",INDEX(TeamList[],MATCH($B14,TeamList[[Employee Name]:[Employee Name]],0),MATCH("Manager",TeamList[#Headers],0)))</f>
        <v>Olson, Katherine</v>
      </c>
      <c r="B14" s="201" t="s">
        <v>34</v>
      </c>
      <c r="C14" s="257" t="str">
        <f>_xlfn.IFNA(VLOOKUP(Sat_W1[[#This Row],[Employee Name]],'Base Schedules'!A:B,2,FALSE),"")</f>
        <v>Lead</v>
      </c>
      <c r="D14" s="274">
        <f>_xlfn.IFNA(VLOOKUP(Sat_W1[[#This Row],[Employee Name]],'Base Schedules'!A:C,3,FALSE),"")</f>
        <v>630</v>
      </c>
      <c r="E14" s="274">
        <f>_xlfn.IFNA(VLOOKUP(Sat_W1[[#This Row],[Employee Name]],'Base Schedules'!A:D,4,FALSE),"")</f>
        <v>1500</v>
      </c>
      <c r="F14" s="142">
        <f>IF(Sat_W1[[#This Row],[Employee Name]]="","",IF(Sat_W1[[#This Row],[Dept]]="Supervisor",COUNTIFS($J14:$AX14,"*HL*",$J14:$AX14,"&lt;&gt;"&amp;"pHL"),COUNTIFS($J14:$AX14,"*HL*",$J14:$AX14,"&lt;&gt;"&amp;"*pHL*",$J14:$AX14,"&lt;&gt;"&amp;"pB1 HL",$J14:$AX14,"&lt;&gt;"&amp;"pB2 HL")-SUM(COUNTIFS($J14:$AX14,"*HL B1*",$J14:$AX14,"&lt;&gt;"&amp;"pHL B1")*0.5,COUNTIFS($J14:$AX14,"*HL B2*",$J14:$AX14,"&lt;&gt;"&amp;"pHL B2")*0.5,COUNTIFS($J14:$AX14,"*B1 HL*",$J14:$AX14,"&lt;&gt;"&amp;"pB1 HL")*0.5,COUNTIFS($J14:$AX14,"*B2 HL*",$J14:$AX14,"&lt;&gt;"&amp;"pB2 HL")*0.5)))</f>
        <v>8.5</v>
      </c>
      <c r="G14" s="142">
        <f t="shared" si="0"/>
        <v>0</v>
      </c>
      <c r="H14" s="142">
        <f t="shared" si="1"/>
        <v>7</v>
      </c>
      <c r="I14" s="142">
        <f>IF(Sat_W1[[#This Row],[Employee Name]]="","",IF(Sat_W1[[#This Row],[Dept]]="Supervisor",SUM(COUNTIFS($J14:$AX14,"RTA*",$J14:$AX14,"&lt;&gt;"&amp;"pRTA"),COUNTIFS($J14:$AX14,"*CRTA*",$J14:$AX14,"&lt;&gt;"&amp;"pCRTA")),COUNTIFS($J14:$AX14,"*RNNR*",$J14:$AX14,"&lt;&gt;"&amp;"*pRNNR*",$J14:$AX14,"&lt;&gt;"&amp;"pB1 RNNR",$J14:$AX14,"&lt;&gt;"&amp;"pB2 RNNR")-SUM(COUNTIFS($J14:$AX14,"*RNNR B1*",$J14:$AX14,"&lt;&gt;"&amp;"pRNNR B1")*0.5,COUNTIFS($J14:$AX14,"*RNNR B2*",$J14:$AX14,"&lt;&gt;"&amp;"pRNNR B2")*0.5,COUNTIFS($J14:$AX14,"*B1 RNNR*",$J14:$AX14,"&lt;&gt;"&amp;"pB1 RNNR")*0.5,COUNTIFS($J14:$AX14,"*B2 RNNR*",$J14:$AX14,"&lt;&gt;"&amp;"pB2 RNNR")*0.5)))</f>
        <v>0</v>
      </c>
      <c r="J14" s="184" t="str">
        <f>IFERROR(IF(VLOOKUP(Sat_W1[[#This Row],[Employee Name]],'Base Schedules'!$A$46:$AW$77,9,FALSE)="","",VLOOKUP(Sat_W1[[#This Row],[Employee Name]],'Base Schedules'!$A$46:$AW$77,9,FALSE)),"")</f>
        <v/>
      </c>
      <c r="K14" s="184" t="str">
        <f>IFERROR(IF(VLOOKUP(Sat_W1[[#This Row],[Employee Name]],'Base Schedules'!$A$46:$AW$77,10,FALSE)="","",VLOOKUP(Sat_W1[[#This Row],[Employee Name]],'Base Schedules'!$A$46:$AW$77,10,FALSE)),"")</f>
        <v/>
      </c>
      <c r="L14" s="184" t="str">
        <f>IFERROR(IF(VLOOKUP(Sat_W1[[#This Row],[Employee Name]],'Base Schedules'!$A$46:$AW$77,11,FALSE)="","",VLOOKUP(Sat_W1[[#This Row],[Employee Name]],'Base Schedules'!$A$46:$AW$77,11,FALSE)),"")</f>
        <v/>
      </c>
      <c r="M14" s="184" t="str">
        <f>IFERROR(IF(VLOOKUP(Sat_W1[[#This Row],[Employee Name]],'Base Schedules'!$A$46:$AW$77,12,FALSE)="","",VLOOKUP(Sat_W1[[#This Row],[Employee Name]],'Base Schedules'!$A$46:$AW$77,12,FALSE)),"")</f>
        <v>HL</v>
      </c>
      <c r="N14" s="184" t="str">
        <f>IFERROR(IF(VLOOKUP(Sat_W1[[#This Row],[Employee Name]],'Base Schedules'!$A$46:$AW$77,13,FALSE)="","",VLOOKUP(Sat_W1[[#This Row],[Employee Name]],'Base Schedules'!$A$46:$AW$77,13,FALSE)),"")</f>
        <v>HL</v>
      </c>
      <c r="O14" s="184" t="str">
        <f>IFERROR(IF(VLOOKUP(Sat_W1[[#This Row],[Employee Name]],'Base Schedules'!$A$46:$AW$77,14,FALSE)="","",VLOOKUP(Sat_W1[[#This Row],[Employee Name]],'Base Schedules'!$A$46:$AW$77,14,FALSE)),"")</f>
        <v>HL</v>
      </c>
      <c r="P14" s="184" t="str">
        <f>IFERROR(IF(VLOOKUP(Sat_W1[[#This Row],[Employee Name]],'Base Schedules'!$A$46:$AW$77,15,FALSE)="","",VLOOKUP(Sat_W1[[#This Row],[Employee Name]],'Base Schedules'!$A$46:$AW$77,15,FALSE)),"")</f>
        <v>HL</v>
      </c>
      <c r="Q14" s="184" t="str">
        <f>IFERROR(IF(VLOOKUP(Sat_W1[[#This Row],[Employee Name]],'Base Schedules'!$A$46:$AW$77,16,FALSE)="","",VLOOKUP(Sat_W1[[#This Row],[Employee Name]],'Base Schedules'!$A$46:$AW$77,16,FALSE)),"")</f>
        <v>HL B1</v>
      </c>
      <c r="R14" s="184" t="str">
        <f>IFERROR(IF(VLOOKUP(Sat_W1[[#This Row],[Employee Name]],'Base Schedules'!$A$46:$AW$77,17,FALSE)="","",VLOOKUP(Sat_W1[[#This Row],[Employee Name]],'Base Schedules'!$A$46:$AW$77,17,FALSE)),"")</f>
        <v>HL</v>
      </c>
      <c r="S14" s="184" t="str">
        <f>IFERROR(IF(VLOOKUP(Sat_W1[[#This Row],[Employee Name]],'Base Schedules'!$A$46:$AW$77,18,FALSE)="","",VLOOKUP(Sat_W1[[#This Row],[Employee Name]],'Base Schedules'!$A$46:$AW$77,18,FALSE)),"")</f>
        <v>HL</v>
      </c>
      <c r="T14" s="184" t="str">
        <f>IFERROR(IF(VLOOKUP(Sat_W1[[#This Row],[Employee Name]],'Base Schedules'!$A$46:$AW$77,19,FALSE)="","",VLOOKUP(Sat_W1[[#This Row],[Employee Name]],'Base Schedules'!$A$46:$AW$77,19,FALSE)),"")</f>
        <v>HL</v>
      </c>
      <c r="U14" s="184" t="str">
        <f>IFERROR(IF(VLOOKUP(Sat_W1[[#This Row],[Employee Name]],'Base Schedules'!$A$46:$AW$77,20,FALSE)="","",VLOOKUP(Sat_W1[[#This Row],[Employee Name]],'Base Schedules'!$A$46:$AW$77,20,FALSE)),"")</f>
        <v>HL</v>
      </c>
      <c r="V14" s="184" t="str">
        <f>IFERROR(IF(VLOOKUP(Sat_W1[[#This Row],[Employee Name]],'Base Schedules'!$A$46:$AW$77,21,FALSE)="","",VLOOKUP(Sat_W1[[#This Row],[Employee Name]],'Base Schedules'!$A$46:$AW$77,21,FALSE)),"")</f>
        <v>LUNCH</v>
      </c>
      <c r="W14" s="184" t="str">
        <f>IFERROR(IF(VLOOKUP(Sat_W1[[#This Row],[Employee Name]],'Base Schedules'!$A$46:$AW$77,22,FALSE)="","",VLOOKUP(Sat_W1[[#This Row],[Employee Name]],'Base Schedules'!$A$46:$AW$77,22,FALSE)),"")</f>
        <v>ADM</v>
      </c>
      <c r="X14" s="184" t="str">
        <f>IFERROR(IF(VLOOKUP(Sat_W1[[#This Row],[Employee Name]],'Base Schedules'!$A$46:$AW$77,23,FALSE)="","",VLOOKUP(Sat_W1[[#This Row],[Employee Name]],'Base Schedules'!$A$46:$AW$77,23,FALSE)),"")</f>
        <v>ADM</v>
      </c>
      <c r="Y14" s="184" t="str">
        <f>IFERROR(IF(VLOOKUP(Sat_W1[[#This Row],[Employee Name]],'Base Schedules'!$A$46:$AW$77,24,FALSE)="","",VLOOKUP(Sat_W1[[#This Row],[Employee Name]],'Base Schedules'!$A$46:$AW$77,24,FALSE)),"")</f>
        <v>ADM B2</v>
      </c>
      <c r="Z14" s="184" t="str">
        <f>IFERROR(IF(VLOOKUP(Sat_W1[[#This Row],[Employee Name]],'Base Schedules'!$A$46:$AW$77,25,FALSE)="","",VLOOKUP(Sat_W1[[#This Row],[Employee Name]],'Base Schedules'!$A$46:$AW$77,25,FALSE)),"")</f>
        <v>ADM</v>
      </c>
      <c r="AA14" s="184" t="str">
        <f>IFERROR(IF(VLOOKUP(Sat_W1[[#This Row],[Employee Name]],'Base Schedules'!$A$46:$AW$77,26,FALSE)="","",VLOOKUP(Sat_W1[[#This Row],[Employee Name]],'Base Schedules'!$A$46:$AW$77,26,FALSE)),"")</f>
        <v>ADM</v>
      </c>
      <c r="AB14" s="184" t="str">
        <f>IFERROR(IF(VLOOKUP(Sat_W1[[#This Row],[Employee Name]],'Base Schedules'!$A$46:$AW$77,27,FALSE)="","",VLOOKUP(Sat_W1[[#This Row],[Employee Name]],'Base Schedules'!$A$46:$AW$77,27,FALSE)),"")</f>
        <v>ADM</v>
      </c>
      <c r="AC14" s="184" t="str">
        <f>IFERROR(IF(VLOOKUP(Sat_W1[[#This Row],[Employee Name]],'Base Schedules'!$A$46:$AW$77,28,FALSE)="","",VLOOKUP(Sat_W1[[#This Row],[Employee Name]],'Base Schedules'!$A$46:$AW$77,28,FALSE)),"")</f>
        <v>ADM</v>
      </c>
      <c r="AD14" s="184" t="str">
        <f>IFERROR(IF(VLOOKUP(Sat_W1[[#This Row],[Employee Name]],'Base Schedules'!$A$46:$AW$77,29,FALSE)="","",VLOOKUP(Sat_W1[[#This Row],[Employee Name]],'Base Schedules'!$A$46:$AW$77,29,FALSE)),"")</f>
        <v/>
      </c>
      <c r="AE14" s="184" t="str">
        <f>IFERROR(IF(VLOOKUP(Sat_W1[[#This Row],[Employee Name]],'Base Schedules'!$A$46:$AW$77,30,FALSE)="","",VLOOKUP(Sat_W1[[#This Row],[Employee Name]],'Base Schedules'!$A$46:$AW$77,30,FALSE)),"")</f>
        <v/>
      </c>
      <c r="AF14" s="184" t="str">
        <f>IFERROR(IF(VLOOKUP(Sat_W1[[#This Row],[Employee Name]],'Base Schedules'!$A$46:$AW$77,31,FALSE)="","",VLOOKUP(Sat_W1[[#This Row],[Employee Name]],'Base Schedules'!$A$46:$AW$77,31,FALSE)),"")</f>
        <v/>
      </c>
      <c r="AG14" s="184" t="str">
        <f>IFERROR(IF(VLOOKUP(Sat_W1[[#This Row],[Employee Name]],'Base Schedules'!$A$46:$AW$77,32,FALSE)="","",VLOOKUP(Sat_W1[[#This Row],[Employee Name]],'Base Schedules'!$A$46:$AW$77,32,FALSE)),"")</f>
        <v/>
      </c>
      <c r="AH14" s="184" t="str">
        <f>IFERROR(IF(VLOOKUP(Sat_W1[[#This Row],[Employee Name]],'Base Schedules'!$A$46:$AW$77,33,FALSE)="","",VLOOKUP(Sat_W1[[#This Row],[Employee Name]],'Base Schedules'!$A$46:$AW$77,33,FALSE)),"")</f>
        <v/>
      </c>
      <c r="AI14" s="184" t="str">
        <f>IFERROR(IF(VLOOKUP(Sat_W1[[#This Row],[Employee Name]],'Base Schedules'!$A$46:$AW$77,34,FALSE)="","",VLOOKUP(Sat_W1[[#This Row],[Employee Name]],'Base Schedules'!$A$46:$AW$77,34,FALSE)),"")</f>
        <v/>
      </c>
      <c r="AJ14" s="184" t="str">
        <f>IFERROR(IF(VLOOKUP(Sat_W1[[#This Row],[Employee Name]],'Base Schedules'!$A$46:$AW$77,35,FALSE)="","",VLOOKUP(Sat_W1[[#This Row],[Employee Name]],'Base Schedules'!$A$46:$AW$77,35,FALSE)),"")</f>
        <v/>
      </c>
      <c r="AK14" s="184" t="str">
        <f>IFERROR(IF(VLOOKUP(Sat_W1[[#This Row],[Employee Name]],'Base Schedules'!$A$46:$AW$77,36,FALSE)="","",VLOOKUP(Sat_W1[[#This Row],[Employee Name]],'Base Schedules'!$A$46:$AW$77,36,FALSE)),"")</f>
        <v/>
      </c>
      <c r="AL14" s="184" t="str">
        <f>IFERROR(IF(VLOOKUP(Sat_W1[[#This Row],[Employee Name]],'Base Schedules'!$A$46:$AW$77,37,FALSE)="","",VLOOKUP(Sat_W1[[#This Row],[Employee Name]],'Base Schedules'!$A$46:$AW$77,37,FALSE)),"")</f>
        <v/>
      </c>
      <c r="AM14" s="184" t="str">
        <f>IFERROR(IF(VLOOKUP(Sat_W1[[#This Row],[Employee Name]],'Base Schedules'!$A$46:$AW$77,38,FALSE)="","",VLOOKUP(Sat_W1[[#This Row],[Employee Name]],'Base Schedules'!$A$46:$AW$77,38,FALSE)),"")</f>
        <v/>
      </c>
      <c r="AN14" s="184" t="str">
        <f>IFERROR(IF(VLOOKUP(Sat_W1[[#This Row],[Employee Name]],'Base Schedules'!$A$46:$AW$77,39,FALSE)="","",VLOOKUP(Sat_W1[[#This Row],[Employee Name]],'Base Schedules'!$A$46:$AW$77,39,FALSE)),"")</f>
        <v/>
      </c>
      <c r="AO14" s="184" t="str">
        <f>IFERROR(IF(VLOOKUP(Sat_W1[[#This Row],[Employee Name]],'Base Schedules'!$A$46:$AW$77,40,FALSE)="","",VLOOKUP(Sat_W1[[#This Row],[Employee Name]],'Base Schedules'!$A$46:$AW$77,40,FALSE)),"")</f>
        <v/>
      </c>
      <c r="AP14" s="184" t="str">
        <f>IFERROR(IF(VLOOKUP(Sat_W1[[#This Row],[Employee Name]],'Base Schedules'!$A$46:$AW$77,41,FALSE)="","",VLOOKUP(Sat_W1[[#This Row],[Employee Name]],'Base Schedules'!$A$46:$AW$77,41,FALSE)),"")</f>
        <v/>
      </c>
      <c r="AQ14" s="184" t="str">
        <f>IFERROR(IF(VLOOKUP(Sat_W1[[#This Row],[Employee Name]],'Base Schedules'!$A$46:$AW$77,42,FALSE)="","",VLOOKUP(Sat_W1[[#This Row],[Employee Name]],'Base Schedules'!$A$46:$AW$77,42,FALSE)),"")</f>
        <v/>
      </c>
      <c r="AR14" s="184" t="str">
        <f>IFERROR(IF(VLOOKUP(Sat_W1[[#This Row],[Employee Name]],'Base Schedules'!$A$46:$AW$77,43,FALSE)="","",VLOOKUP(Sat_W1[[#This Row],[Employee Name]],'Base Schedules'!$A$46:$AW$77,43,FALSE)),"")</f>
        <v/>
      </c>
      <c r="AS14" s="184" t="str">
        <f>IFERROR(IF(VLOOKUP(Sat_W1[[#This Row],[Employee Name]],'Base Schedules'!$A$46:$AW$77,44,FALSE)="","",VLOOKUP(Sat_W1[[#This Row],[Employee Name]],'Base Schedules'!$A$46:$AW$77,44,FALSE)),"")</f>
        <v/>
      </c>
      <c r="AT14" s="184" t="str">
        <f>IFERROR(IF(VLOOKUP(Sat_W1[[#This Row],[Employee Name]],'Base Schedules'!$A$46:$AW$77,45,FALSE)="","",VLOOKUP(Sat_W1[[#This Row],[Employee Name]],'Base Schedules'!$A$46:$AW$77,45,FALSE)),"")</f>
        <v/>
      </c>
      <c r="AU14" s="184" t="str">
        <f>IFERROR(IF(VLOOKUP(Sat_W1[[#This Row],[Employee Name]],'Base Schedules'!$A$46:$AW$77,46,FALSE)="","",VLOOKUP(Sat_W1[[#This Row],[Employee Name]],'Base Schedules'!$A$46:$AW$77,46,FALSE)),"")</f>
        <v/>
      </c>
      <c r="AV14" s="184" t="str">
        <f>IFERROR(IF(VLOOKUP(Sat_W1[[#This Row],[Employee Name]],'Base Schedules'!$A$46:$AW$77,47,FALSE)="","",VLOOKUP(Sat_W1[[#This Row],[Employee Name]],'Base Schedules'!$A$46:$AW$77,47,FALSE)),"")</f>
        <v/>
      </c>
      <c r="AW14" s="184" t="str">
        <f>IFERROR(IF(VLOOKUP(Sat_W1[[#This Row],[Employee Name]],'Base Schedules'!$A$46:$AW$77,48,FALSE)="","",VLOOKUP(Sat_W1[[#This Row],[Employee Name]],'Base Schedules'!$A$46:$AW$77,48,FALSE)),"")</f>
        <v/>
      </c>
      <c r="AX14" s="184" t="str">
        <f>IFERROR(IF(VLOOKUP(Sat_W1[[#This Row],[Employee Name]],'Base Schedules'!$A$46:$AW$77,49,FALSE)="","",VLOOKUP(Sat_W1[[#This Row],[Employee Name]],'Base Schedules'!$A$46:$AW$77,49,FALSE)),"")</f>
        <v/>
      </c>
      <c r="AY14" s="160" t="str">
        <f t="shared" si="2"/>
        <v>Greene, Alicia</v>
      </c>
    </row>
    <row r="15" spans="1:51" s="44" customFormat="1" ht="12" customHeight="1" x14ac:dyDescent="0.2">
      <c r="A15" s="39" t="str">
        <f>IF(B15="","",INDEX(TeamList[],MATCH($B15,TeamList[[Employee Name]:[Employee Name]],0),MATCH("Manager",TeamList[#Headers],0)))</f>
        <v>Paulson, Matthew</v>
      </c>
      <c r="B15" s="201" t="s">
        <v>39</v>
      </c>
      <c r="C15" s="257" t="str">
        <f>_xlfn.IFNA(VLOOKUP(Sat_W1[[#This Row],[Employee Name]],'Base Schedules'!A:B,2,FALSE),"")</f>
        <v>Supervisor</v>
      </c>
      <c r="D15" s="274">
        <f>_xlfn.IFNA(VLOOKUP(Sat_W1[[#This Row],[Employee Name]],'Base Schedules'!A:C,3,FALSE),"")</f>
        <v>630</v>
      </c>
      <c r="E15" s="274">
        <f>_xlfn.IFNA(VLOOKUP(Sat_W1[[#This Row],[Employee Name]],'Base Schedules'!A:D,4,FALSE),"")</f>
        <v>1530</v>
      </c>
      <c r="F15" s="142">
        <f>IF(Sat_W1[[#This Row],[Employee Name]]="","",IF(Sat_W1[[#This Row],[Dept]]="Supervisor",COUNTIFS($J15:$AX15,"*HL*",$J15:$AX15,"&lt;&gt;"&amp;"pHL"),COUNTIFS($J15:$AX15,"*HL*",$J15:$AX15,"&lt;&gt;"&amp;"*pHL*",$J15:$AX15,"&lt;&gt;"&amp;"pB1 HL",$J15:$AX15,"&lt;&gt;"&amp;"pB2 HL")-SUM(COUNTIFS($J15:$AX15,"*HL B1*",$J15:$AX15,"&lt;&gt;"&amp;"pHL B1")*0.5,COUNTIFS($J15:$AX15,"*HL B2*",$J15:$AX15,"&lt;&gt;"&amp;"pHL B2")*0.5,COUNTIFS($J15:$AX15,"*B1 HL*",$J15:$AX15,"&lt;&gt;"&amp;"pB1 HL")*0.5,COUNTIFS($J15:$AX15,"*B2 HL*",$J15:$AX15,"&lt;&gt;"&amp;"pB2 HL")*0.5)))</f>
        <v>0</v>
      </c>
      <c r="G15" s="142">
        <f t="shared" si="0"/>
        <v>4</v>
      </c>
      <c r="H15" s="142">
        <f t="shared" si="1"/>
        <v>0</v>
      </c>
      <c r="I15" s="142">
        <f>IF(Sat_W1[[#This Row],[Employee Name]]="","",IF(Sat_W1[[#This Row],[Dept]]="Supervisor",SUM(COUNTIFS($J15:$AX15,"RTA*",$J15:$AX15,"&lt;&gt;"&amp;"pRTA"),COUNTIFS($J15:$AX15,"*CRTA*",$J15:$AX15,"&lt;&gt;"&amp;"pCRTA")),COUNTIFS($J15:$AX15,"*RNNR*",$J15:$AX15,"&lt;&gt;"&amp;"*pRNNR*",$J15:$AX15,"&lt;&gt;"&amp;"pB1 RNNR",$J15:$AX15,"&lt;&gt;"&amp;"pB2 RNNR")-SUM(COUNTIFS($J15:$AX15,"*RNNR B1*",$J15:$AX15,"&lt;&gt;"&amp;"pRNNR B1")*0.5,COUNTIFS($J15:$AX15,"*RNNR B2*",$J15:$AX15,"&lt;&gt;"&amp;"pRNNR B2")*0.5,COUNTIFS($J15:$AX15,"*B1 RNNR*",$J15:$AX15,"&lt;&gt;"&amp;"pB1 RNNR")*0.5,COUNTIFS($J15:$AX15,"*B2 RNNR*",$J15:$AX15,"&lt;&gt;"&amp;"pB2 RNNR")*0.5)))</f>
        <v>0</v>
      </c>
      <c r="J15" s="184" t="str">
        <f>IFERROR(IF(VLOOKUP(Sat_W1[[#This Row],[Employee Name]],'Base Schedules'!$A$46:$AW$77,9,FALSE)="","",VLOOKUP(Sat_W1[[#This Row],[Employee Name]],'Base Schedules'!$A$46:$AW$77,9,FALSE)),"")</f>
        <v/>
      </c>
      <c r="K15" s="184" t="str">
        <f>IFERROR(IF(VLOOKUP(Sat_W1[[#This Row],[Employee Name]],'Base Schedules'!$A$46:$AW$77,10,FALSE)="","",VLOOKUP(Sat_W1[[#This Row],[Employee Name]],'Base Schedules'!$A$46:$AW$77,10,FALSE)),"")</f>
        <v/>
      </c>
      <c r="L15" s="184" t="str">
        <f>IFERROR(IF(VLOOKUP(Sat_W1[[#This Row],[Employee Name]],'Base Schedules'!$A$46:$AW$77,11,FALSE)="","",VLOOKUP(Sat_W1[[#This Row],[Employee Name]],'Base Schedules'!$A$46:$AW$77,11,FALSE)),"")</f>
        <v/>
      </c>
      <c r="M15" s="184" t="str">
        <f>IFERROR(IF(VLOOKUP(Sat_W1[[#This Row],[Employee Name]],'Base Schedules'!$A$46:$AW$77,12,FALSE)="","",VLOOKUP(Sat_W1[[#This Row],[Employee Name]],'Base Schedules'!$A$46:$AW$77,12,FALSE)),"")</f>
        <v>-</v>
      </c>
      <c r="N15" s="184" t="str">
        <f>IFERROR(IF(VLOOKUP(Sat_W1[[#This Row],[Employee Name]],'Base Schedules'!$A$46:$AW$77,13,FALSE)="","",VLOOKUP(Sat_W1[[#This Row],[Employee Name]],'Base Schedules'!$A$46:$AW$77,13,FALSE)),"")</f>
        <v>-</v>
      </c>
      <c r="O15" s="184" t="str">
        <f>IFERROR(IF(VLOOKUP(Sat_W1[[#This Row],[Employee Name]],'Base Schedules'!$A$46:$AW$77,14,FALSE)="","",VLOOKUP(Sat_W1[[#This Row],[Employee Name]],'Base Schedules'!$A$46:$AW$77,14,FALSE)),"")</f>
        <v>-</v>
      </c>
      <c r="P15" s="184" t="str">
        <f>IFERROR(IF(VLOOKUP(Sat_W1[[#This Row],[Employee Name]],'Base Schedules'!$A$46:$AW$77,15,FALSE)="","",VLOOKUP(Sat_W1[[#This Row],[Employee Name]],'Base Schedules'!$A$46:$AW$77,15,FALSE)),"")</f>
        <v>-</v>
      </c>
      <c r="Q15" s="184" t="str">
        <f>IFERROR(IF(VLOOKUP(Sat_W1[[#This Row],[Employee Name]],'Base Schedules'!$A$46:$AW$77,16,FALSE)="","",VLOOKUP(Sat_W1[[#This Row],[Employee Name]],'Base Schedules'!$A$46:$AW$77,16,FALSE)),"")</f>
        <v>-</v>
      </c>
      <c r="R15" s="184" t="str">
        <f>IFERROR(IF(VLOOKUP(Sat_W1[[#This Row],[Employee Name]],'Base Schedules'!$A$46:$AW$77,17,FALSE)="","",VLOOKUP(Sat_W1[[#This Row],[Employee Name]],'Base Schedules'!$A$46:$AW$77,17,FALSE)),"")</f>
        <v>Interview</v>
      </c>
      <c r="S15" s="184" t="str">
        <f>IFERROR(IF(VLOOKUP(Sat_W1[[#This Row],[Employee Name]],'Base Schedules'!$A$46:$AW$77,18,FALSE)="","",VLOOKUP(Sat_W1[[#This Row],[Employee Name]],'Base Schedules'!$A$46:$AW$77,18,FALSE)),"")</f>
        <v>Interview</v>
      </c>
      <c r="T15" s="184" t="str">
        <f>IFERROR(IF(VLOOKUP(Sat_W1[[#This Row],[Employee Name]],'Base Schedules'!$A$46:$AW$77,19,FALSE)="","",VLOOKUP(Sat_W1[[#This Row],[Employee Name]],'Base Schedules'!$A$46:$AW$77,19,FALSE)),"")</f>
        <v>-</v>
      </c>
      <c r="U15" s="184" t="str">
        <f>IFERROR(IF(VLOOKUP(Sat_W1[[#This Row],[Employee Name]],'Base Schedules'!$A$46:$AW$77,20,FALSE)="","",VLOOKUP(Sat_W1[[#This Row],[Employee Name]],'Base Schedules'!$A$46:$AW$77,20,FALSE)),"")</f>
        <v>TM PREP</v>
      </c>
      <c r="V15" s="184" t="str">
        <f>IFERROR(IF(VLOOKUP(Sat_W1[[#This Row],[Employee Name]],'Base Schedules'!$A$46:$AW$77,21,FALSE)="","",VLOOKUP(Sat_W1[[#This Row],[Employee Name]],'Base Schedules'!$A$46:$AW$77,21,FALSE)),"")</f>
        <v>TM ULRICH</v>
      </c>
      <c r="W15" s="184" t="str">
        <f>IFERROR(IF(VLOOKUP(Sat_W1[[#This Row],[Employee Name]],'Base Schedules'!$A$46:$AW$77,22,FALSE)="","",VLOOKUP(Sat_W1[[#This Row],[Employee Name]],'Base Schedules'!$A$46:$AW$77,22,FALSE)),"")</f>
        <v>TM ULRICH</v>
      </c>
      <c r="X15" s="184" t="str">
        <f>IFERROR(IF(VLOOKUP(Sat_W1[[#This Row],[Employee Name]],'Base Schedules'!$A$46:$AW$77,23,FALSE)="","",VLOOKUP(Sat_W1[[#This Row],[Employee Name]],'Base Schedules'!$A$46:$AW$77,23,FALSE)),"")</f>
        <v>-</v>
      </c>
      <c r="Y15" s="184" t="str">
        <f>IFERROR(IF(VLOOKUP(Sat_W1[[#This Row],[Employee Name]],'Base Schedules'!$A$46:$AW$77,24,FALSE)="","",VLOOKUP(Sat_W1[[#This Row],[Employee Name]],'Base Schedules'!$A$46:$AW$77,24,FALSE)),"")</f>
        <v>-</v>
      </c>
      <c r="Z15" s="184" t="str">
        <f>IFERROR(IF(VLOOKUP(Sat_W1[[#This Row],[Employee Name]],'Base Schedules'!$A$46:$AW$77,25,FALSE)="","",VLOOKUP(Sat_W1[[#This Row],[Employee Name]],'Base Schedules'!$A$46:$AW$77,25,FALSE)),"")</f>
        <v>Coaching</v>
      </c>
      <c r="AA15" s="184" t="str">
        <f>IFERROR(IF(VLOOKUP(Sat_W1[[#This Row],[Employee Name]],'Base Schedules'!$A$46:$AW$77,26,FALSE)="","",VLOOKUP(Sat_W1[[#This Row],[Employee Name]],'Base Schedules'!$A$46:$AW$77,26,FALSE)),"")</f>
        <v>Coaching</v>
      </c>
      <c r="AB15" s="184" t="str">
        <f>IFERROR(IF(VLOOKUP(Sat_W1[[#This Row],[Employee Name]],'Base Schedules'!$A$46:$AW$77,27,FALSE)="","",VLOOKUP(Sat_W1[[#This Row],[Employee Name]],'Base Schedules'!$A$46:$AW$77,27,FALSE)),"")</f>
        <v>Coaching</v>
      </c>
      <c r="AC15" s="184" t="str">
        <f>IFERROR(IF(VLOOKUP(Sat_W1[[#This Row],[Employee Name]],'Base Schedules'!$A$46:$AW$77,28,FALSE)="","",VLOOKUP(Sat_W1[[#This Row],[Employee Name]],'Base Schedules'!$A$46:$AW$77,28,FALSE)),"")</f>
        <v>Coaching</v>
      </c>
      <c r="AD15" s="184" t="str">
        <f>IFERROR(IF(VLOOKUP(Sat_W1[[#This Row],[Employee Name]],'Base Schedules'!$A$46:$AW$77,29,FALSE)="","",VLOOKUP(Sat_W1[[#This Row],[Employee Name]],'Base Schedules'!$A$46:$AW$77,29,FALSE)),"")</f>
        <v>-</v>
      </c>
      <c r="AE15" s="184" t="str">
        <f>IFERROR(IF(VLOOKUP(Sat_W1[[#This Row],[Employee Name]],'Base Schedules'!$A$46:$AW$77,30,FALSE)="","",VLOOKUP(Sat_W1[[#This Row],[Employee Name]],'Base Schedules'!$A$46:$AW$77,30,FALSE)),"")</f>
        <v/>
      </c>
      <c r="AF15" s="184" t="str">
        <f>IFERROR(IF(VLOOKUP(Sat_W1[[#This Row],[Employee Name]],'Base Schedules'!$A$46:$AW$77,31,FALSE)="","",VLOOKUP(Sat_W1[[#This Row],[Employee Name]],'Base Schedules'!$A$46:$AW$77,31,FALSE)),"")</f>
        <v/>
      </c>
      <c r="AG15" s="184" t="str">
        <f>IFERROR(IF(VLOOKUP(Sat_W1[[#This Row],[Employee Name]],'Base Schedules'!$A$46:$AW$77,32,FALSE)="","",VLOOKUP(Sat_W1[[#This Row],[Employee Name]],'Base Schedules'!$A$46:$AW$77,32,FALSE)),"")</f>
        <v/>
      </c>
      <c r="AH15" s="184" t="str">
        <f>IFERROR(IF(VLOOKUP(Sat_W1[[#This Row],[Employee Name]],'Base Schedules'!$A$46:$AW$77,33,FALSE)="","",VLOOKUP(Sat_W1[[#This Row],[Employee Name]],'Base Schedules'!$A$46:$AW$77,33,FALSE)),"")</f>
        <v/>
      </c>
      <c r="AI15" s="184" t="str">
        <f>IFERROR(IF(VLOOKUP(Sat_W1[[#This Row],[Employee Name]],'Base Schedules'!$A$46:$AW$77,34,FALSE)="","",VLOOKUP(Sat_W1[[#This Row],[Employee Name]],'Base Schedules'!$A$46:$AW$77,34,FALSE)),"")</f>
        <v/>
      </c>
      <c r="AJ15" s="184" t="str">
        <f>IFERROR(IF(VLOOKUP(Sat_W1[[#This Row],[Employee Name]],'Base Schedules'!$A$46:$AW$77,35,FALSE)="","",VLOOKUP(Sat_W1[[#This Row],[Employee Name]],'Base Schedules'!$A$46:$AW$77,35,FALSE)),"")</f>
        <v/>
      </c>
      <c r="AK15" s="184" t="str">
        <f>IFERROR(IF(VLOOKUP(Sat_W1[[#This Row],[Employee Name]],'Base Schedules'!$A$46:$AW$77,36,FALSE)="","",VLOOKUP(Sat_W1[[#This Row],[Employee Name]],'Base Schedules'!$A$46:$AW$77,36,FALSE)),"")</f>
        <v/>
      </c>
      <c r="AL15" s="184" t="str">
        <f>IFERROR(IF(VLOOKUP(Sat_W1[[#This Row],[Employee Name]],'Base Schedules'!$A$46:$AW$77,37,FALSE)="","",VLOOKUP(Sat_W1[[#This Row],[Employee Name]],'Base Schedules'!$A$46:$AW$77,37,FALSE)),"")</f>
        <v/>
      </c>
      <c r="AM15" s="184" t="str">
        <f>IFERROR(IF(VLOOKUP(Sat_W1[[#This Row],[Employee Name]],'Base Schedules'!$A$46:$AW$77,38,FALSE)="","",VLOOKUP(Sat_W1[[#This Row],[Employee Name]],'Base Schedules'!$A$46:$AW$77,38,FALSE)),"")</f>
        <v/>
      </c>
      <c r="AN15" s="184" t="str">
        <f>IFERROR(IF(VLOOKUP(Sat_W1[[#This Row],[Employee Name]],'Base Schedules'!$A$46:$AW$77,39,FALSE)="","",VLOOKUP(Sat_W1[[#This Row],[Employee Name]],'Base Schedules'!$A$46:$AW$77,39,FALSE)),"")</f>
        <v/>
      </c>
      <c r="AO15" s="184" t="str">
        <f>IFERROR(IF(VLOOKUP(Sat_W1[[#This Row],[Employee Name]],'Base Schedules'!$A$46:$AW$77,40,FALSE)="","",VLOOKUP(Sat_W1[[#This Row],[Employee Name]],'Base Schedules'!$A$46:$AW$77,40,FALSE)),"")</f>
        <v/>
      </c>
      <c r="AP15" s="184" t="str">
        <f>IFERROR(IF(VLOOKUP(Sat_W1[[#This Row],[Employee Name]],'Base Schedules'!$A$46:$AW$77,41,FALSE)="","",VLOOKUP(Sat_W1[[#This Row],[Employee Name]],'Base Schedules'!$A$46:$AW$77,41,FALSE)),"")</f>
        <v/>
      </c>
      <c r="AQ15" s="184" t="str">
        <f>IFERROR(IF(VLOOKUP(Sat_W1[[#This Row],[Employee Name]],'Base Schedules'!$A$46:$AW$77,42,FALSE)="","",VLOOKUP(Sat_W1[[#This Row],[Employee Name]],'Base Schedules'!$A$46:$AW$77,42,FALSE)),"")</f>
        <v/>
      </c>
      <c r="AR15" s="184" t="str">
        <f>IFERROR(IF(VLOOKUP(Sat_W1[[#This Row],[Employee Name]],'Base Schedules'!$A$46:$AW$77,43,FALSE)="","",VLOOKUP(Sat_W1[[#This Row],[Employee Name]],'Base Schedules'!$A$46:$AW$77,43,FALSE)),"")</f>
        <v/>
      </c>
      <c r="AS15" s="184" t="str">
        <f>IFERROR(IF(VLOOKUP(Sat_W1[[#This Row],[Employee Name]],'Base Schedules'!$A$46:$AW$77,44,FALSE)="","",VLOOKUP(Sat_W1[[#This Row],[Employee Name]],'Base Schedules'!$A$46:$AW$77,44,FALSE)),"")</f>
        <v/>
      </c>
      <c r="AT15" s="184" t="str">
        <f>IFERROR(IF(VLOOKUP(Sat_W1[[#This Row],[Employee Name]],'Base Schedules'!$A$46:$AW$77,45,FALSE)="","",VLOOKUP(Sat_W1[[#This Row],[Employee Name]],'Base Schedules'!$A$46:$AW$77,45,FALSE)),"")</f>
        <v/>
      </c>
      <c r="AU15" s="184" t="str">
        <f>IFERROR(IF(VLOOKUP(Sat_W1[[#This Row],[Employee Name]],'Base Schedules'!$A$46:$AW$77,46,FALSE)="","",VLOOKUP(Sat_W1[[#This Row],[Employee Name]],'Base Schedules'!$A$46:$AW$77,46,FALSE)),"")</f>
        <v/>
      </c>
      <c r="AV15" s="184" t="str">
        <f>IFERROR(IF(VLOOKUP(Sat_W1[[#This Row],[Employee Name]],'Base Schedules'!$A$46:$AW$77,47,FALSE)="","",VLOOKUP(Sat_W1[[#This Row],[Employee Name]],'Base Schedules'!$A$46:$AW$77,47,FALSE)),"")</f>
        <v/>
      </c>
      <c r="AW15" s="184" t="str">
        <f>IFERROR(IF(VLOOKUP(Sat_W1[[#This Row],[Employee Name]],'Base Schedules'!$A$46:$AW$77,48,FALSE)="","",VLOOKUP(Sat_W1[[#This Row],[Employee Name]],'Base Schedules'!$A$46:$AW$77,48,FALSE)),"")</f>
        <v/>
      </c>
      <c r="AX15" s="184" t="str">
        <f>IFERROR(IF(VLOOKUP(Sat_W1[[#This Row],[Employee Name]],'Base Schedules'!$A$46:$AW$77,49,FALSE)="","",VLOOKUP(Sat_W1[[#This Row],[Employee Name]],'Base Schedules'!$A$46:$AW$77,49,FALSE)),"")</f>
        <v/>
      </c>
      <c r="AY15" s="159" t="str">
        <f t="shared" si="2"/>
        <v>Ulrich, Michael</v>
      </c>
    </row>
    <row r="16" spans="1:51" s="44" customFormat="1" ht="12" customHeight="1" x14ac:dyDescent="0.2">
      <c r="A16" s="39" t="str">
        <f>IF(B16="","",INDEX(TeamList[],MATCH($B16,TeamList[[Employee Name]:[Employee Name]],0),MATCH("Manager",TeamList[#Headers],0)))</f>
        <v>Olson, Katherine</v>
      </c>
      <c r="B16" s="201" t="s">
        <v>22</v>
      </c>
      <c r="C16" s="257" t="str">
        <f>_xlfn.IFNA(VLOOKUP(Sat_W1[[#This Row],[Employee Name]],'Base Schedules'!A:B,2,FALSE),"")</f>
        <v>Lead</v>
      </c>
      <c r="D16" s="274">
        <f>_xlfn.IFNA(VLOOKUP(Sat_W1[[#This Row],[Employee Name]],'Base Schedules'!A:C,3,FALSE),"")</f>
        <v>700</v>
      </c>
      <c r="E16" s="274">
        <f>_xlfn.IFNA(VLOOKUP(Sat_W1[[#This Row],[Employee Name]],'Base Schedules'!A:D,4,FALSE),"")</f>
        <v>1600</v>
      </c>
      <c r="F16" s="142">
        <f>IF(Sat_W1[[#This Row],[Employee Name]]="","",IF(Sat_W1[[#This Row],[Dept]]="Supervisor",COUNTIFS($J16:$AX16,"*HL*",$J16:$AX16,"&lt;&gt;"&amp;"pHL"),COUNTIFS($J16:$AX16,"*HL*",$J16:$AX16,"&lt;&gt;"&amp;"*pHL*",$J16:$AX16,"&lt;&gt;"&amp;"pB1 HL",$J16:$AX16,"&lt;&gt;"&amp;"pB2 HL")-SUM(COUNTIFS($J16:$AX16,"*HL B1*",$J16:$AX16,"&lt;&gt;"&amp;"pHL B1")*0.5,COUNTIFS($J16:$AX16,"*HL B2*",$J16:$AX16,"&lt;&gt;"&amp;"pHL B2")*0.5,COUNTIFS($J16:$AX16,"*B1 HL*",$J16:$AX16,"&lt;&gt;"&amp;"pB1 HL")*0.5,COUNTIFS($J16:$AX16,"*B2 HL*",$J16:$AX16,"&lt;&gt;"&amp;"pB2 HL")*0.5)))</f>
        <v>6.5</v>
      </c>
      <c r="G16" s="142">
        <f t="shared" si="0"/>
        <v>0</v>
      </c>
      <c r="H16" s="142">
        <f t="shared" si="1"/>
        <v>7</v>
      </c>
      <c r="I16" s="142">
        <f>IF(Sat_W1[[#This Row],[Employee Name]]="","",IF(Sat_W1[[#This Row],[Dept]]="Supervisor",SUM(COUNTIFS($J16:$AX16,"RTA*",$J16:$AX16,"&lt;&gt;"&amp;"pRTA"),COUNTIFS($J16:$AX16,"*CRTA*",$J16:$AX16,"&lt;&gt;"&amp;"pCRTA")),COUNTIFS($J16:$AX16,"*RNNR*",$J16:$AX16,"&lt;&gt;"&amp;"*pRNNR*",$J16:$AX16,"&lt;&gt;"&amp;"pB1 RNNR",$J16:$AX16,"&lt;&gt;"&amp;"pB2 RNNR")-SUM(COUNTIFS($J16:$AX16,"*RNNR B1*",$J16:$AX16,"&lt;&gt;"&amp;"pRNNR B1")*0.5,COUNTIFS($J16:$AX16,"*RNNR B2*",$J16:$AX16,"&lt;&gt;"&amp;"pRNNR B2")*0.5,COUNTIFS($J16:$AX16,"*B1 RNNR*",$J16:$AX16,"&lt;&gt;"&amp;"pB1 RNNR")*0.5,COUNTIFS($J16:$AX16,"*B2 RNNR*",$J16:$AX16,"&lt;&gt;"&amp;"pB2 RNNR")*0.5)))</f>
        <v>2</v>
      </c>
      <c r="J16" s="184" t="str">
        <f>IFERROR(IF(VLOOKUP(Sat_W1[[#This Row],[Employee Name]],'Base Schedules'!$A$46:$AW$77,9,FALSE)="","",VLOOKUP(Sat_W1[[#This Row],[Employee Name]],'Base Schedules'!$A$46:$AW$77,9,FALSE)),"")</f>
        <v/>
      </c>
      <c r="K16" s="184" t="str">
        <f>IFERROR(IF(VLOOKUP(Sat_W1[[#This Row],[Employee Name]],'Base Schedules'!$A$46:$AW$77,10,FALSE)="","",VLOOKUP(Sat_W1[[#This Row],[Employee Name]],'Base Schedules'!$A$46:$AW$77,10,FALSE)),"")</f>
        <v/>
      </c>
      <c r="L16" s="184" t="str">
        <f>IFERROR(IF(VLOOKUP(Sat_W1[[#This Row],[Employee Name]],'Base Schedules'!$A$46:$AW$77,11,FALSE)="","",VLOOKUP(Sat_W1[[#This Row],[Employee Name]],'Base Schedules'!$A$46:$AW$77,11,FALSE)),"")</f>
        <v/>
      </c>
      <c r="M16" s="184" t="str">
        <f>IFERROR(IF(VLOOKUP(Sat_W1[[#This Row],[Employee Name]],'Base Schedules'!$A$46:$AW$77,12,FALSE)="","",VLOOKUP(Sat_W1[[#This Row],[Employee Name]],'Base Schedules'!$A$46:$AW$77,12,FALSE)),"")</f>
        <v/>
      </c>
      <c r="N16" s="184" t="str">
        <f>IFERROR(IF(VLOOKUP(Sat_W1[[#This Row],[Employee Name]],'Base Schedules'!$A$46:$AW$77,13,FALSE)="","",VLOOKUP(Sat_W1[[#This Row],[Employee Name]],'Base Schedules'!$A$46:$AW$77,13,FALSE)),"")</f>
        <v>HL</v>
      </c>
      <c r="O16" s="184" t="str">
        <f>IFERROR(IF(VLOOKUP(Sat_W1[[#This Row],[Employee Name]],'Base Schedules'!$A$46:$AW$77,14,FALSE)="","",VLOOKUP(Sat_W1[[#This Row],[Employee Name]],'Base Schedules'!$A$46:$AW$77,14,FALSE)),"")</f>
        <v>HL</v>
      </c>
      <c r="P16" s="184" t="str">
        <f>IFERROR(IF(VLOOKUP(Sat_W1[[#This Row],[Employee Name]],'Base Schedules'!$A$46:$AW$77,15,FALSE)="","",VLOOKUP(Sat_W1[[#This Row],[Employee Name]],'Base Schedules'!$A$46:$AW$77,15,FALSE)),"")</f>
        <v>HL</v>
      </c>
      <c r="Q16" s="184" t="str">
        <f>IFERROR(IF(VLOOKUP(Sat_W1[[#This Row],[Employee Name]],'Base Schedules'!$A$46:$AW$77,16,FALSE)="","",VLOOKUP(Sat_W1[[#This Row],[Employee Name]],'Base Schedules'!$A$46:$AW$77,16,FALSE)),"")</f>
        <v>HL</v>
      </c>
      <c r="R16" s="184" t="str">
        <f>IFERROR(IF(VLOOKUP(Sat_W1[[#This Row],[Employee Name]],'Base Schedules'!$A$46:$AW$77,17,FALSE)="","",VLOOKUP(Sat_W1[[#This Row],[Employee Name]],'Base Schedules'!$A$46:$AW$77,17,FALSE)),"")</f>
        <v>HL B1</v>
      </c>
      <c r="S16" s="184" t="str">
        <f>IFERROR(IF(VLOOKUP(Sat_W1[[#This Row],[Employee Name]],'Base Schedules'!$A$46:$AW$77,18,FALSE)="","",VLOOKUP(Sat_W1[[#This Row],[Employee Name]],'Base Schedules'!$A$46:$AW$77,18,FALSE)),"")</f>
        <v>ADM</v>
      </c>
      <c r="T16" s="184" t="str">
        <f>IFERROR(IF(VLOOKUP(Sat_W1[[#This Row],[Employee Name]],'Base Schedules'!$A$46:$AW$77,19,FALSE)="","",VLOOKUP(Sat_W1[[#This Row],[Employee Name]],'Base Schedules'!$A$46:$AW$77,19,FALSE)),"")</f>
        <v>RNNR</v>
      </c>
      <c r="U16" s="184" t="str">
        <f>IFERROR(IF(VLOOKUP(Sat_W1[[#This Row],[Employee Name]],'Base Schedules'!$A$46:$AW$77,20,FALSE)="","",VLOOKUP(Sat_W1[[#This Row],[Employee Name]],'Base Schedules'!$A$46:$AW$77,20,FALSE)),"")</f>
        <v>RNNR</v>
      </c>
      <c r="V16" s="184" t="str">
        <f>IFERROR(IF(VLOOKUP(Sat_W1[[#This Row],[Employee Name]],'Base Schedules'!$A$46:$AW$77,21,FALSE)="","",VLOOKUP(Sat_W1[[#This Row],[Employee Name]],'Base Schedules'!$A$46:$AW$77,21,FALSE)),"")</f>
        <v>ADM</v>
      </c>
      <c r="W16" s="184" t="str">
        <f>IFERROR(IF(VLOOKUP(Sat_W1[[#This Row],[Employee Name]],'Base Schedules'!$A$46:$AW$77,22,FALSE)="","",VLOOKUP(Sat_W1[[#This Row],[Employee Name]],'Base Schedules'!$A$46:$AW$77,22,FALSE)),"")</f>
        <v>LUNCH</v>
      </c>
      <c r="X16" s="184" t="str">
        <f>IFERROR(IF(VLOOKUP(Sat_W1[[#This Row],[Employee Name]],'Base Schedules'!$A$46:$AW$77,23,FALSE)="","",VLOOKUP(Sat_W1[[#This Row],[Employee Name]],'Base Schedules'!$A$46:$AW$77,23,FALSE)),"")</f>
        <v>LUNCH</v>
      </c>
      <c r="Y16" s="184" t="str">
        <f>IFERROR(IF(VLOOKUP(Sat_W1[[#This Row],[Employee Name]],'Base Schedules'!$A$46:$AW$77,24,FALSE)="","",VLOOKUP(Sat_W1[[#This Row],[Employee Name]],'Base Schedules'!$A$46:$AW$77,24,FALSE)),"")</f>
        <v>HL</v>
      </c>
      <c r="Z16" s="184" t="str">
        <f>IFERROR(IF(VLOOKUP(Sat_W1[[#This Row],[Employee Name]],'Base Schedules'!$A$46:$AW$77,25,FALSE)="","",VLOOKUP(Sat_W1[[#This Row],[Employee Name]],'Base Schedules'!$A$46:$AW$77,25,FALSE)),"")</f>
        <v>HL</v>
      </c>
      <c r="AA16" s="184" t="str">
        <f>IFERROR(IF(VLOOKUP(Sat_W1[[#This Row],[Employee Name]],'Base Schedules'!$A$46:$AW$77,26,FALSE)="","",VLOOKUP(Sat_W1[[#This Row],[Employee Name]],'Base Schedules'!$A$46:$AW$77,26,FALSE)),"")</f>
        <v>ADM</v>
      </c>
      <c r="AB16" s="184" t="str">
        <f>IFERROR(IF(VLOOKUP(Sat_W1[[#This Row],[Employee Name]],'Base Schedules'!$A$46:$AW$77,27,FALSE)="","",VLOOKUP(Sat_W1[[#This Row],[Employee Name]],'Base Schedules'!$A$46:$AW$77,27,FALSE)),"")</f>
        <v>ADM</v>
      </c>
      <c r="AC16" s="184" t="str">
        <f>IFERROR(IF(VLOOKUP(Sat_W1[[#This Row],[Employee Name]],'Base Schedules'!$A$46:$AW$77,28,FALSE)="","",VLOOKUP(Sat_W1[[#This Row],[Employee Name]],'Base Schedules'!$A$46:$AW$77,28,FALSE)),"")</f>
        <v>ADM B2</v>
      </c>
      <c r="AD16" s="184" t="str">
        <f>IFERROR(IF(VLOOKUP(Sat_W1[[#This Row],[Employee Name]],'Base Schedules'!$A$46:$AW$77,29,FALSE)="","",VLOOKUP(Sat_W1[[#This Row],[Employee Name]],'Base Schedules'!$A$46:$AW$77,29,FALSE)),"")</f>
        <v>ADM</v>
      </c>
      <c r="AE16" s="184" t="str">
        <f>IFERROR(IF(VLOOKUP(Sat_W1[[#This Row],[Employee Name]],'Base Schedules'!$A$46:$AW$77,30,FALSE)="","",VLOOKUP(Sat_W1[[#This Row],[Employee Name]],'Base Schedules'!$A$46:$AW$77,30,FALSE)),"")</f>
        <v>ADM</v>
      </c>
      <c r="AF16" s="184" t="str">
        <f>IFERROR(IF(VLOOKUP(Sat_W1[[#This Row],[Employee Name]],'Base Schedules'!$A$46:$AW$77,31,FALSE)="","",VLOOKUP(Sat_W1[[#This Row],[Employee Name]],'Base Schedules'!$A$46:$AW$77,31,FALSE)),"")</f>
        <v/>
      </c>
      <c r="AG16" s="184" t="str">
        <f>IFERROR(IF(VLOOKUP(Sat_W1[[#This Row],[Employee Name]],'Base Schedules'!$A$46:$AW$77,32,FALSE)="","",VLOOKUP(Sat_W1[[#This Row],[Employee Name]],'Base Schedules'!$A$46:$AW$77,32,FALSE)),"")</f>
        <v/>
      </c>
      <c r="AH16" s="184" t="str">
        <f>IFERROR(IF(VLOOKUP(Sat_W1[[#This Row],[Employee Name]],'Base Schedules'!$A$46:$AW$77,33,FALSE)="","",VLOOKUP(Sat_W1[[#This Row],[Employee Name]],'Base Schedules'!$A$46:$AW$77,33,FALSE)),"")</f>
        <v/>
      </c>
      <c r="AI16" s="184" t="str">
        <f>IFERROR(IF(VLOOKUP(Sat_W1[[#This Row],[Employee Name]],'Base Schedules'!$A$46:$AW$77,34,FALSE)="","",VLOOKUP(Sat_W1[[#This Row],[Employee Name]],'Base Schedules'!$A$46:$AW$77,34,FALSE)),"")</f>
        <v/>
      </c>
      <c r="AJ16" s="184" t="str">
        <f>IFERROR(IF(VLOOKUP(Sat_W1[[#This Row],[Employee Name]],'Base Schedules'!$A$46:$AW$77,35,FALSE)="","",VLOOKUP(Sat_W1[[#This Row],[Employee Name]],'Base Schedules'!$A$46:$AW$77,35,FALSE)),"")</f>
        <v/>
      </c>
      <c r="AK16" s="184" t="str">
        <f>IFERROR(IF(VLOOKUP(Sat_W1[[#This Row],[Employee Name]],'Base Schedules'!$A$46:$AW$77,36,FALSE)="","",VLOOKUP(Sat_W1[[#This Row],[Employee Name]],'Base Schedules'!$A$46:$AW$77,36,FALSE)),"")</f>
        <v/>
      </c>
      <c r="AL16" s="184" t="str">
        <f>IFERROR(IF(VLOOKUP(Sat_W1[[#This Row],[Employee Name]],'Base Schedules'!$A$46:$AW$77,37,FALSE)="","",VLOOKUP(Sat_W1[[#This Row],[Employee Name]],'Base Schedules'!$A$46:$AW$77,37,FALSE)),"")</f>
        <v/>
      </c>
      <c r="AM16" s="184" t="str">
        <f>IFERROR(IF(VLOOKUP(Sat_W1[[#This Row],[Employee Name]],'Base Schedules'!$A$46:$AW$77,38,FALSE)="","",VLOOKUP(Sat_W1[[#This Row],[Employee Name]],'Base Schedules'!$A$46:$AW$77,38,FALSE)),"")</f>
        <v/>
      </c>
      <c r="AN16" s="184" t="str">
        <f>IFERROR(IF(VLOOKUP(Sat_W1[[#This Row],[Employee Name]],'Base Schedules'!$A$46:$AW$77,39,FALSE)="","",VLOOKUP(Sat_W1[[#This Row],[Employee Name]],'Base Schedules'!$A$46:$AW$77,39,FALSE)),"")</f>
        <v/>
      </c>
      <c r="AO16" s="184" t="str">
        <f>IFERROR(IF(VLOOKUP(Sat_W1[[#This Row],[Employee Name]],'Base Schedules'!$A$46:$AW$77,40,FALSE)="","",VLOOKUP(Sat_W1[[#This Row],[Employee Name]],'Base Schedules'!$A$46:$AW$77,40,FALSE)),"")</f>
        <v/>
      </c>
      <c r="AP16" s="184" t="str">
        <f>IFERROR(IF(VLOOKUP(Sat_W1[[#This Row],[Employee Name]],'Base Schedules'!$A$46:$AW$77,41,FALSE)="","",VLOOKUP(Sat_W1[[#This Row],[Employee Name]],'Base Schedules'!$A$46:$AW$77,41,FALSE)),"")</f>
        <v/>
      </c>
      <c r="AQ16" s="184" t="str">
        <f>IFERROR(IF(VLOOKUP(Sat_W1[[#This Row],[Employee Name]],'Base Schedules'!$A$46:$AW$77,42,FALSE)="","",VLOOKUP(Sat_W1[[#This Row],[Employee Name]],'Base Schedules'!$A$46:$AW$77,42,FALSE)),"")</f>
        <v/>
      </c>
      <c r="AR16" s="184" t="str">
        <f>IFERROR(IF(VLOOKUP(Sat_W1[[#This Row],[Employee Name]],'Base Schedules'!$A$46:$AW$77,43,FALSE)="","",VLOOKUP(Sat_W1[[#This Row],[Employee Name]],'Base Schedules'!$A$46:$AW$77,43,FALSE)),"")</f>
        <v/>
      </c>
      <c r="AS16" s="184" t="str">
        <f>IFERROR(IF(VLOOKUP(Sat_W1[[#This Row],[Employee Name]],'Base Schedules'!$A$46:$AW$77,44,FALSE)="","",VLOOKUP(Sat_W1[[#This Row],[Employee Name]],'Base Schedules'!$A$46:$AW$77,44,FALSE)),"")</f>
        <v/>
      </c>
      <c r="AT16" s="184" t="str">
        <f>IFERROR(IF(VLOOKUP(Sat_W1[[#This Row],[Employee Name]],'Base Schedules'!$A$46:$AW$77,45,FALSE)="","",VLOOKUP(Sat_W1[[#This Row],[Employee Name]],'Base Schedules'!$A$46:$AW$77,45,FALSE)),"")</f>
        <v/>
      </c>
      <c r="AU16" s="184" t="str">
        <f>IFERROR(IF(VLOOKUP(Sat_W1[[#This Row],[Employee Name]],'Base Schedules'!$A$46:$AW$77,46,FALSE)="","",VLOOKUP(Sat_W1[[#This Row],[Employee Name]],'Base Schedules'!$A$46:$AW$77,46,FALSE)),"")</f>
        <v/>
      </c>
      <c r="AV16" s="184" t="str">
        <f>IFERROR(IF(VLOOKUP(Sat_W1[[#This Row],[Employee Name]],'Base Schedules'!$A$46:$AW$77,47,FALSE)="","",VLOOKUP(Sat_W1[[#This Row],[Employee Name]],'Base Schedules'!$A$46:$AW$77,47,FALSE)),"")</f>
        <v/>
      </c>
      <c r="AW16" s="184" t="str">
        <f>IFERROR(IF(VLOOKUP(Sat_W1[[#This Row],[Employee Name]],'Base Schedules'!$A$46:$AW$77,48,FALSE)="","",VLOOKUP(Sat_W1[[#This Row],[Employee Name]],'Base Schedules'!$A$46:$AW$77,48,FALSE)),"")</f>
        <v/>
      </c>
      <c r="AX16" s="184" t="str">
        <f>IFERROR(IF(VLOOKUP(Sat_W1[[#This Row],[Employee Name]],'Base Schedules'!$A$46:$AW$77,49,FALSE)="","",VLOOKUP(Sat_W1[[#This Row],[Employee Name]],'Base Schedules'!$A$46:$AW$77,49,FALSE)),"")</f>
        <v/>
      </c>
      <c r="AY16" s="161" t="str">
        <f t="shared" si="2"/>
        <v>Benish, Elisha</v>
      </c>
    </row>
    <row r="17" spans="1:51" s="44" customFormat="1" ht="12" customHeight="1" x14ac:dyDescent="0.2">
      <c r="A17" s="39" t="str">
        <f>IF(B17="","",INDEX(TeamList[],MATCH($B17,TeamList[[Employee Name]:[Employee Name]],0),MATCH("Manager",TeamList[#Headers],0)))</f>
        <v>Paulson, Matthew</v>
      </c>
      <c r="B17" s="201" t="s">
        <v>31</v>
      </c>
      <c r="C17" s="257" t="str">
        <f>_xlfn.IFNA(VLOOKUP(Sat_W1[[#This Row],[Employee Name]],'Base Schedules'!A:B,2,FALSE),"")</f>
        <v>Supervisor</v>
      </c>
      <c r="D17" s="274">
        <f>_xlfn.IFNA(VLOOKUP(Sat_W1[[#This Row],[Employee Name]],'Base Schedules'!A:C,3,FALSE),"")</f>
        <v>730</v>
      </c>
      <c r="E17" s="274">
        <f>_xlfn.IFNA(VLOOKUP(Sat_W1[[#This Row],[Employee Name]],'Base Schedules'!A:D,4,FALSE),"")</f>
        <v>1630</v>
      </c>
      <c r="F17" s="142">
        <f>IF(Sat_W1[[#This Row],[Employee Name]]="","",IF(Sat_W1[[#This Row],[Dept]]="Supervisor",COUNTIFS($J17:$AX17,"*HL*",$J17:$AX17,"&lt;&gt;"&amp;"pHL"),COUNTIFS($J17:$AX17,"*HL*",$J17:$AX17,"&lt;&gt;"&amp;"*pHL*",$J17:$AX17,"&lt;&gt;"&amp;"pB1 HL",$J17:$AX17,"&lt;&gt;"&amp;"pB2 HL")-SUM(COUNTIFS($J17:$AX17,"*HL B1*",$J17:$AX17,"&lt;&gt;"&amp;"pHL B1")*0.5,COUNTIFS($J17:$AX17,"*HL B2*",$J17:$AX17,"&lt;&gt;"&amp;"pHL B2")*0.5,COUNTIFS($J17:$AX17,"*B1 HL*",$J17:$AX17,"&lt;&gt;"&amp;"pB1 HL")*0.5,COUNTIFS($J17:$AX17,"*B2 HL*",$J17:$AX17,"&lt;&gt;"&amp;"pB2 HL")*0.5)))</f>
        <v>0</v>
      </c>
      <c r="G17" s="142">
        <f t="shared" si="0"/>
        <v>4</v>
      </c>
      <c r="H17" s="142">
        <f t="shared" si="1"/>
        <v>0</v>
      </c>
      <c r="I17" s="142">
        <f>IF(Sat_W1[[#This Row],[Employee Name]]="","",IF(Sat_W1[[#This Row],[Dept]]="Supervisor",SUM(COUNTIFS($J17:$AX17,"RTA*",$J17:$AX17,"&lt;&gt;"&amp;"pRTA"),COUNTIFS($J17:$AX17,"*CRTA*",$J17:$AX17,"&lt;&gt;"&amp;"pCRTA")),COUNTIFS($J17:$AX17,"*RNNR*",$J17:$AX17,"&lt;&gt;"&amp;"*pRNNR*",$J17:$AX17,"&lt;&gt;"&amp;"pB1 RNNR",$J17:$AX17,"&lt;&gt;"&amp;"pB2 RNNR")-SUM(COUNTIFS($J17:$AX17,"*RNNR B1*",$J17:$AX17,"&lt;&gt;"&amp;"pRNNR B1")*0.5,COUNTIFS($J17:$AX17,"*RNNR B2*",$J17:$AX17,"&lt;&gt;"&amp;"pRNNR B2")*0.5,COUNTIFS($J17:$AX17,"*B1 RNNR*",$J17:$AX17,"&lt;&gt;"&amp;"pB1 RNNR")*0.5,COUNTIFS($J17:$AX17,"*B2 RNNR*",$J17:$AX17,"&lt;&gt;"&amp;"pB2 RNNR")*0.5)))</f>
        <v>0</v>
      </c>
      <c r="J17" s="184" t="str">
        <f>IFERROR(IF(VLOOKUP(Sat_W1[[#This Row],[Employee Name]],'Base Schedules'!$A$46:$AW$77,9,FALSE)="","",VLOOKUP(Sat_W1[[#This Row],[Employee Name]],'Base Schedules'!$A$46:$AW$77,9,FALSE)),"")</f>
        <v/>
      </c>
      <c r="K17" s="184" t="str">
        <f>IFERROR(IF(VLOOKUP(Sat_W1[[#This Row],[Employee Name]],'Base Schedules'!$A$46:$AW$77,10,FALSE)="","",VLOOKUP(Sat_W1[[#This Row],[Employee Name]],'Base Schedules'!$A$46:$AW$77,10,FALSE)),"")</f>
        <v/>
      </c>
      <c r="L17" s="184" t="str">
        <f>IFERROR(IF(VLOOKUP(Sat_W1[[#This Row],[Employee Name]],'Base Schedules'!$A$46:$AW$77,11,FALSE)="","",VLOOKUP(Sat_W1[[#This Row],[Employee Name]],'Base Schedules'!$A$46:$AW$77,11,FALSE)),"")</f>
        <v/>
      </c>
      <c r="M17" s="184" t="str">
        <f>IFERROR(IF(VLOOKUP(Sat_W1[[#This Row],[Employee Name]],'Base Schedules'!$A$46:$AW$77,12,FALSE)="","",VLOOKUP(Sat_W1[[#This Row],[Employee Name]],'Base Schedules'!$A$46:$AW$77,12,FALSE)),"")</f>
        <v/>
      </c>
      <c r="N17" s="184" t="str">
        <f>IFERROR(IF(VLOOKUP(Sat_W1[[#This Row],[Employee Name]],'Base Schedules'!$A$46:$AW$77,13,FALSE)="","",VLOOKUP(Sat_W1[[#This Row],[Employee Name]],'Base Schedules'!$A$46:$AW$77,13,FALSE)),"")</f>
        <v/>
      </c>
      <c r="O17" s="184" t="str">
        <f>IFERROR(IF(VLOOKUP(Sat_W1[[#This Row],[Employee Name]],'Base Schedules'!$A$46:$AW$77,14,FALSE)="","",VLOOKUP(Sat_W1[[#This Row],[Employee Name]],'Base Schedules'!$A$46:$AW$77,14,FALSE)),"")</f>
        <v>-</v>
      </c>
      <c r="P17" s="184" t="str">
        <f>IFERROR(IF(VLOOKUP(Sat_W1[[#This Row],[Employee Name]],'Base Schedules'!$A$46:$AW$77,15,FALSE)="","",VLOOKUP(Sat_W1[[#This Row],[Employee Name]],'Base Schedules'!$A$46:$AW$77,15,FALSE)),"")</f>
        <v>-</v>
      </c>
      <c r="Q17" s="184" t="str">
        <f>IFERROR(IF(VLOOKUP(Sat_W1[[#This Row],[Employee Name]],'Base Schedules'!$A$46:$AW$77,16,FALSE)="","",VLOOKUP(Sat_W1[[#This Row],[Employee Name]],'Base Schedules'!$A$46:$AW$77,16,FALSE)),"")</f>
        <v>-</v>
      </c>
      <c r="R17" s="184" t="str">
        <f>IFERROR(IF(VLOOKUP(Sat_W1[[#This Row],[Employee Name]],'Base Schedules'!$A$46:$AW$77,17,FALSE)="","",VLOOKUP(Sat_W1[[#This Row],[Employee Name]],'Base Schedules'!$A$46:$AW$77,17,FALSE)),"")</f>
        <v>-</v>
      </c>
      <c r="S17" s="184" t="str">
        <f>IFERROR(IF(VLOOKUP(Sat_W1[[#This Row],[Employee Name]],'Base Schedules'!$A$46:$AW$77,18,FALSE)="","",VLOOKUP(Sat_W1[[#This Row],[Employee Name]],'Base Schedules'!$A$46:$AW$77,18,FALSE)),"")</f>
        <v>-</v>
      </c>
      <c r="T17" s="184" t="str">
        <f>IFERROR(IF(VLOOKUP(Sat_W1[[#This Row],[Employee Name]],'Base Schedules'!$A$46:$AW$77,19,FALSE)="","",VLOOKUP(Sat_W1[[#This Row],[Employee Name]],'Base Schedules'!$A$46:$AW$77,19,FALSE)),"")</f>
        <v>Interview</v>
      </c>
      <c r="U17" s="184" t="str">
        <f>IFERROR(IF(VLOOKUP(Sat_W1[[#This Row],[Employee Name]],'Base Schedules'!$A$46:$AW$77,20,FALSE)="","",VLOOKUP(Sat_W1[[#This Row],[Employee Name]],'Base Schedules'!$A$46:$AW$77,20,FALSE)),"")</f>
        <v>Interview</v>
      </c>
      <c r="V17" s="184" t="str">
        <f>IFERROR(IF(VLOOKUP(Sat_W1[[#This Row],[Employee Name]],'Base Schedules'!$A$46:$AW$77,21,FALSE)="","",VLOOKUP(Sat_W1[[#This Row],[Employee Name]],'Base Schedules'!$A$46:$AW$77,21,FALSE)),"")</f>
        <v>-</v>
      </c>
      <c r="W17" s="184" t="str">
        <f>IFERROR(IF(VLOOKUP(Sat_W1[[#This Row],[Employee Name]],'Base Schedules'!$A$46:$AW$77,22,FALSE)="","",VLOOKUP(Sat_W1[[#This Row],[Employee Name]],'Base Schedules'!$A$46:$AW$77,22,FALSE)),"")</f>
        <v>-</v>
      </c>
      <c r="X17" s="184" t="str">
        <f>IFERROR(IF(VLOOKUP(Sat_W1[[#This Row],[Employee Name]],'Base Schedules'!$A$46:$AW$77,23,FALSE)="","",VLOOKUP(Sat_W1[[#This Row],[Employee Name]],'Base Schedules'!$A$46:$AW$77,23,FALSE)),"")</f>
        <v>-</v>
      </c>
      <c r="Y17" s="184" t="str">
        <f>IFERROR(IF(VLOOKUP(Sat_W1[[#This Row],[Employee Name]],'Base Schedules'!$A$46:$AW$77,24,FALSE)="","",VLOOKUP(Sat_W1[[#This Row],[Employee Name]],'Base Schedules'!$A$46:$AW$77,24,FALSE)),"")</f>
        <v>-</v>
      </c>
      <c r="Z17" s="184" t="str">
        <f>IFERROR(IF(VLOOKUP(Sat_W1[[#This Row],[Employee Name]],'Base Schedules'!$A$46:$AW$77,25,FALSE)="","",VLOOKUP(Sat_W1[[#This Row],[Employee Name]],'Base Schedules'!$A$46:$AW$77,25,FALSE)),"")</f>
        <v>Coaching</v>
      </c>
      <c r="AA17" s="184" t="str">
        <f>IFERROR(IF(VLOOKUP(Sat_W1[[#This Row],[Employee Name]],'Base Schedules'!$A$46:$AW$77,26,FALSE)="","",VLOOKUP(Sat_W1[[#This Row],[Employee Name]],'Base Schedules'!$A$46:$AW$77,26,FALSE)),"")</f>
        <v>Coaching</v>
      </c>
      <c r="AB17" s="184" t="str">
        <f>IFERROR(IF(VLOOKUP(Sat_W1[[#This Row],[Employee Name]],'Base Schedules'!$A$46:$AW$77,27,FALSE)="","",VLOOKUP(Sat_W1[[#This Row],[Employee Name]],'Base Schedules'!$A$46:$AW$77,27,FALSE)),"")</f>
        <v>Coaching</v>
      </c>
      <c r="AC17" s="184" t="str">
        <f>IFERROR(IF(VLOOKUP(Sat_W1[[#This Row],[Employee Name]],'Base Schedules'!$A$46:$AW$77,28,FALSE)="","",VLOOKUP(Sat_W1[[#This Row],[Employee Name]],'Base Schedules'!$A$46:$AW$77,28,FALSE)),"")</f>
        <v>Coaching</v>
      </c>
      <c r="AD17" s="184" t="str">
        <f>IFERROR(IF(VLOOKUP(Sat_W1[[#This Row],[Employee Name]],'Base Schedules'!$A$46:$AW$77,29,FALSE)="","",VLOOKUP(Sat_W1[[#This Row],[Employee Name]],'Base Schedules'!$A$46:$AW$77,29,FALSE)),"")</f>
        <v>-</v>
      </c>
      <c r="AE17" s="184" t="str">
        <f>IFERROR(IF(VLOOKUP(Sat_W1[[#This Row],[Employee Name]],'Base Schedules'!$A$46:$AW$77,30,FALSE)="","",VLOOKUP(Sat_W1[[#This Row],[Employee Name]],'Base Schedules'!$A$46:$AW$77,30,FALSE)),"")</f>
        <v>-</v>
      </c>
      <c r="AF17" s="184" t="str">
        <f>IFERROR(IF(VLOOKUP(Sat_W1[[#This Row],[Employee Name]],'Base Schedules'!$A$46:$AW$77,31,FALSE)="","",VLOOKUP(Sat_W1[[#This Row],[Employee Name]],'Base Schedules'!$A$46:$AW$77,31,FALSE)),"")</f>
        <v>-</v>
      </c>
      <c r="AG17" s="184" t="str">
        <f>IFERROR(IF(VLOOKUP(Sat_W1[[#This Row],[Employee Name]],'Base Schedules'!$A$46:$AW$77,32,FALSE)="","",VLOOKUP(Sat_W1[[#This Row],[Employee Name]],'Base Schedules'!$A$46:$AW$77,32,FALSE)),"")</f>
        <v/>
      </c>
      <c r="AH17" s="184" t="str">
        <f>IFERROR(IF(VLOOKUP(Sat_W1[[#This Row],[Employee Name]],'Base Schedules'!$A$46:$AW$77,33,FALSE)="","",VLOOKUP(Sat_W1[[#This Row],[Employee Name]],'Base Schedules'!$A$46:$AW$77,33,FALSE)),"")</f>
        <v/>
      </c>
      <c r="AI17" s="184" t="str">
        <f>IFERROR(IF(VLOOKUP(Sat_W1[[#This Row],[Employee Name]],'Base Schedules'!$A$46:$AW$77,34,FALSE)="","",VLOOKUP(Sat_W1[[#This Row],[Employee Name]],'Base Schedules'!$A$46:$AW$77,34,FALSE)),"")</f>
        <v/>
      </c>
      <c r="AJ17" s="184" t="str">
        <f>IFERROR(IF(VLOOKUP(Sat_W1[[#This Row],[Employee Name]],'Base Schedules'!$A$46:$AW$77,35,FALSE)="","",VLOOKUP(Sat_W1[[#This Row],[Employee Name]],'Base Schedules'!$A$46:$AW$77,35,FALSE)),"")</f>
        <v/>
      </c>
      <c r="AK17" s="184" t="str">
        <f>IFERROR(IF(VLOOKUP(Sat_W1[[#This Row],[Employee Name]],'Base Schedules'!$A$46:$AW$77,36,FALSE)="","",VLOOKUP(Sat_W1[[#This Row],[Employee Name]],'Base Schedules'!$A$46:$AW$77,36,FALSE)),"")</f>
        <v/>
      </c>
      <c r="AL17" s="184" t="str">
        <f>IFERROR(IF(VLOOKUP(Sat_W1[[#This Row],[Employee Name]],'Base Schedules'!$A$46:$AW$77,37,FALSE)="","",VLOOKUP(Sat_W1[[#This Row],[Employee Name]],'Base Schedules'!$A$46:$AW$77,37,FALSE)),"")</f>
        <v/>
      </c>
      <c r="AM17" s="184" t="str">
        <f>IFERROR(IF(VLOOKUP(Sat_W1[[#This Row],[Employee Name]],'Base Schedules'!$A$46:$AW$77,38,FALSE)="","",VLOOKUP(Sat_W1[[#This Row],[Employee Name]],'Base Schedules'!$A$46:$AW$77,38,FALSE)),"")</f>
        <v/>
      </c>
      <c r="AN17" s="184" t="str">
        <f>IFERROR(IF(VLOOKUP(Sat_W1[[#This Row],[Employee Name]],'Base Schedules'!$A$46:$AW$77,39,FALSE)="","",VLOOKUP(Sat_W1[[#This Row],[Employee Name]],'Base Schedules'!$A$46:$AW$77,39,FALSE)),"")</f>
        <v/>
      </c>
      <c r="AO17" s="184" t="str">
        <f>IFERROR(IF(VLOOKUP(Sat_W1[[#This Row],[Employee Name]],'Base Schedules'!$A$46:$AW$77,40,FALSE)="","",VLOOKUP(Sat_W1[[#This Row],[Employee Name]],'Base Schedules'!$A$46:$AW$77,40,FALSE)),"")</f>
        <v/>
      </c>
      <c r="AP17" s="184" t="str">
        <f>IFERROR(IF(VLOOKUP(Sat_W1[[#This Row],[Employee Name]],'Base Schedules'!$A$46:$AW$77,41,FALSE)="","",VLOOKUP(Sat_W1[[#This Row],[Employee Name]],'Base Schedules'!$A$46:$AW$77,41,FALSE)),"")</f>
        <v/>
      </c>
      <c r="AQ17" s="184" t="str">
        <f>IFERROR(IF(VLOOKUP(Sat_W1[[#This Row],[Employee Name]],'Base Schedules'!$A$46:$AW$77,42,FALSE)="","",VLOOKUP(Sat_W1[[#This Row],[Employee Name]],'Base Schedules'!$A$46:$AW$77,42,FALSE)),"")</f>
        <v/>
      </c>
      <c r="AR17" s="184" t="str">
        <f>IFERROR(IF(VLOOKUP(Sat_W1[[#This Row],[Employee Name]],'Base Schedules'!$A$46:$AW$77,43,FALSE)="","",VLOOKUP(Sat_W1[[#This Row],[Employee Name]],'Base Schedules'!$A$46:$AW$77,43,FALSE)),"")</f>
        <v/>
      </c>
      <c r="AS17" s="184" t="str">
        <f>IFERROR(IF(VLOOKUP(Sat_W1[[#This Row],[Employee Name]],'Base Schedules'!$A$46:$AW$77,44,FALSE)="","",VLOOKUP(Sat_W1[[#This Row],[Employee Name]],'Base Schedules'!$A$46:$AW$77,44,FALSE)),"")</f>
        <v/>
      </c>
      <c r="AT17" s="184" t="str">
        <f>IFERROR(IF(VLOOKUP(Sat_W1[[#This Row],[Employee Name]],'Base Schedules'!$A$46:$AW$77,45,FALSE)="","",VLOOKUP(Sat_W1[[#This Row],[Employee Name]],'Base Schedules'!$A$46:$AW$77,45,FALSE)),"")</f>
        <v/>
      </c>
      <c r="AU17" s="184" t="str">
        <f>IFERROR(IF(VLOOKUP(Sat_W1[[#This Row],[Employee Name]],'Base Schedules'!$A$46:$AW$77,46,FALSE)="","",VLOOKUP(Sat_W1[[#This Row],[Employee Name]],'Base Schedules'!$A$46:$AW$77,46,FALSE)),"")</f>
        <v/>
      </c>
      <c r="AV17" s="184" t="str">
        <f>IFERROR(IF(VLOOKUP(Sat_W1[[#This Row],[Employee Name]],'Base Schedules'!$A$46:$AW$77,47,FALSE)="","",VLOOKUP(Sat_W1[[#This Row],[Employee Name]],'Base Schedules'!$A$46:$AW$77,47,FALSE)),"")</f>
        <v/>
      </c>
      <c r="AW17" s="184" t="str">
        <f>IFERROR(IF(VLOOKUP(Sat_W1[[#This Row],[Employee Name]],'Base Schedules'!$A$46:$AW$77,48,FALSE)="","",VLOOKUP(Sat_W1[[#This Row],[Employee Name]],'Base Schedules'!$A$46:$AW$77,48,FALSE)),"")</f>
        <v/>
      </c>
      <c r="AX17" s="184" t="str">
        <f>IFERROR(IF(VLOOKUP(Sat_W1[[#This Row],[Employee Name]],'Base Schedules'!$A$46:$AW$77,49,FALSE)="","",VLOOKUP(Sat_W1[[#This Row],[Employee Name]],'Base Schedules'!$A$46:$AW$77,49,FALSE)),"")</f>
        <v/>
      </c>
      <c r="AY17" s="159" t="str">
        <f t="shared" si="2"/>
        <v>Garcia, Valentin</v>
      </c>
    </row>
    <row r="18" spans="1:51" s="44" customFormat="1" ht="12" customHeight="1" x14ac:dyDescent="0.2">
      <c r="A18" s="39" t="str">
        <f>IF(B18="","",INDEX(TeamList[],MATCH($B18,TeamList[[Employee Name]:[Employee Name]],0),MATCH("Manager",TeamList[#Headers],0)))</f>
        <v>Olson, Katherine</v>
      </c>
      <c r="B18" s="201" t="s">
        <v>41</v>
      </c>
      <c r="C18" s="257" t="str">
        <f>_xlfn.IFNA(VLOOKUP(Sat_W1[[#This Row],[Employee Name]],'Base Schedules'!A:B,2,FALSE),"")</f>
        <v>Lead</v>
      </c>
      <c r="D18" s="274">
        <f>_xlfn.IFNA(VLOOKUP(Sat_W1[[#This Row],[Employee Name]],'Base Schedules'!A:C,3,FALSE),"")</f>
        <v>800</v>
      </c>
      <c r="E18" s="274">
        <f>_xlfn.IFNA(VLOOKUP(Sat_W1[[#This Row],[Employee Name]],'Base Schedules'!A:D,4,FALSE),"")</f>
        <v>1630</v>
      </c>
      <c r="F18" s="142">
        <f>IF(Sat_W1[[#This Row],[Employee Name]]="","",IF(Sat_W1[[#This Row],[Dept]]="Supervisor",COUNTIFS($J18:$AX18,"*HL*",$J18:$AX18,"&lt;&gt;"&amp;"pHL"),COUNTIFS($J18:$AX18,"*HL*",$J18:$AX18,"&lt;&gt;"&amp;"*pHL*",$J18:$AX18,"&lt;&gt;"&amp;"pB1 HL",$J18:$AX18,"&lt;&gt;"&amp;"pB2 HL")-SUM(COUNTIFS($J18:$AX18,"*HL B1*",$J18:$AX18,"&lt;&gt;"&amp;"pHL B1")*0.5,COUNTIFS($J18:$AX18,"*HL B2*",$J18:$AX18,"&lt;&gt;"&amp;"pHL B2")*0.5,COUNTIFS($J18:$AX18,"*B1 HL*",$J18:$AX18,"&lt;&gt;"&amp;"pB1 HL")*0.5,COUNTIFS($J18:$AX18,"*B2 HL*",$J18:$AX18,"&lt;&gt;"&amp;"pB2 HL")*0.5)))</f>
        <v>6.5</v>
      </c>
      <c r="G18" s="142">
        <f t="shared" si="0"/>
        <v>0</v>
      </c>
      <c r="H18" s="142">
        <f t="shared" si="1"/>
        <v>7</v>
      </c>
      <c r="I18" s="142">
        <f>IF(Sat_W1[[#This Row],[Employee Name]]="","",IF(Sat_W1[[#This Row],[Dept]]="Supervisor",SUM(COUNTIFS($J18:$AX18,"RTA*",$J18:$AX18,"&lt;&gt;"&amp;"pRTA"),COUNTIFS($J18:$AX18,"*CRTA*",$J18:$AX18,"&lt;&gt;"&amp;"pCRTA")),COUNTIFS($J18:$AX18,"*RNNR*",$J18:$AX18,"&lt;&gt;"&amp;"*pRNNR*",$J18:$AX18,"&lt;&gt;"&amp;"pB1 RNNR",$J18:$AX18,"&lt;&gt;"&amp;"pB2 RNNR")-SUM(COUNTIFS($J18:$AX18,"*RNNR B1*",$J18:$AX18,"&lt;&gt;"&amp;"pRNNR B1")*0.5,COUNTIFS($J18:$AX18,"*RNNR B2*",$J18:$AX18,"&lt;&gt;"&amp;"pRNNR B2")*0.5,COUNTIFS($J18:$AX18,"*B1 RNNR*",$J18:$AX18,"&lt;&gt;"&amp;"pB1 RNNR")*0.5,COUNTIFS($J18:$AX18,"*B2 RNNR*",$J18:$AX18,"&lt;&gt;"&amp;"pB2 RNNR")*0.5)))</f>
        <v>2</v>
      </c>
      <c r="J18" s="184" t="str">
        <f>IFERROR(IF(VLOOKUP(Sat_W1[[#This Row],[Employee Name]],'Base Schedules'!$A$46:$AW$77,9,FALSE)="","",VLOOKUP(Sat_W1[[#This Row],[Employee Name]],'Base Schedules'!$A$46:$AW$77,9,FALSE)),"")</f>
        <v/>
      </c>
      <c r="K18" s="184" t="str">
        <f>IFERROR(IF(VLOOKUP(Sat_W1[[#This Row],[Employee Name]],'Base Schedules'!$A$46:$AW$77,10,FALSE)="","",VLOOKUP(Sat_W1[[#This Row],[Employee Name]],'Base Schedules'!$A$46:$AW$77,10,FALSE)),"")</f>
        <v/>
      </c>
      <c r="L18" s="184" t="str">
        <f>IFERROR(IF(VLOOKUP(Sat_W1[[#This Row],[Employee Name]],'Base Schedules'!$A$46:$AW$77,11,FALSE)="","",VLOOKUP(Sat_W1[[#This Row],[Employee Name]],'Base Schedules'!$A$46:$AW$77,11,FALSE)),"")</f>
        <v/>
      </c>
      <c r="M18" s="184" t="str">
        <f>IFERROR(IF(VLOOKUP(Sat_W1[[#This Row],[Employee Name]],'Base Schedules'!$A$46:$AW$77,12,FALSE)="","",VLOOKUP(Sat_W1[[#This Row],[Employee Name]],'Base Schedules'!$A$46:$AW$77,12,FALSE)),"")</f>
        <v/>
      </c>
      <c r="N18" s="184" t="str">
        <f>IFERROR(IF(VLOOKUP(Sat_W1[[#This Row],[Employee Name]],'Base Schedules'!$A$46:$AW$77,13,FALSE)="","",VLOOKUP(Sat_W1[[#This Row],[Employee Name]],'Base Schedules'!$A$46:$AW$77,13,FALSE)),"")</f>
        <v/>
      </c>
      <c r="O18" s="184" t="str">
        <f>IFERROR(IF(VLOOKUP(Sat_W1[[#This Row],[Employee Name]],'Base Schedules'!$A$46:$AW$77,14,FALSE)="","",VLOOKUP(Sat_W1[[#This Row],[Employee Name]],'Base Schedules'!$A$46:$AW$77,14,FALSE)),"")</f>
        <v/>
      </c>
      <c r="P18" s="184" t="str">
        <f>IFERROR(IF(VLOOKUP(Sat_W1[[#This Row],[Employee Name]],'Base Schedules'!$A$46:$AW$77,15,FALSE)="","",VLOOKUP(Sat_W1[[#This Row],[Employee Name]],'Base Schedules'!$A$46:$AW$77,15,FALSE)),"")</f>
        <v>HL</v>
      </c>
      <c r="Q18" s="184" t="str">
        <f>IFERROR(IF(VLOOKUP(Sat_W1[[#This Row],[Employee Name]],'Base Schedules'!$A$46:$AW$77,16,FALSE)="","",VLOOKUP(Sat_W1[[#This Row],[Employee Name]],'Base Schedules'!$A$46:$AW$77,16,FALSE)),"")</f>
        <v>HL</v>
      </c>
      <c r="R18" s="184" t="str">
        <f>IFERROR(IF(VLOOKUP(Sat_W1[[#This Row],[Employee Name]],'Base Schedules'!$A$46:$AW$77,17,FALSE)="","",VLOOKUP(Sat_W1[[#This Row],[Employee Name]],'Base Schedules'!$A$46:$AW$77,17,FALSE)),"")</f>
        <v>ADM</v>
      </c>
      <c r="S18" s="184" t="str">
        <f>IFERROR(IF(VLOOKUP(Sat_W1[[#This Row],[Employee Name]],'Base Schedules'!$A$46:$AW$77,18,FALSE)="","",VLOOKUP(Sat_W1[[#This Row],[Employee Name]],'Base Schedules'!$A$46:$AW$77,18,FALSE)),"")</f>
        <v>ADM</v>
      </c>
      <c r="T18" s="184" t="str">
        <f>IFERROR(IF(VLOOKUP(Sat_W1[[#This Row],[Employee Name]],'Base Schedules'!$A$46:$AW$77,19,FALSE)="","",VLOOKUP(Sat_W1[[#This Row],[Employee Name]],'Base Schedules'!$A$46:$AW$77,19,FALSE)),"")</f>
        <v>B1 HL</v>
      </c>
      <c r="U18" s="184" t="str">
        <f>IFERROR(IF(VLOOKUP(Sat_W1[[#This Row],[Employee Name]],'Base Schedules'!$A$46:$AW$77,20,FALSE)="","",VLOOKUP(Sat_W1[[#This Row],[Employee Name]],'Base Schedules'!$A$46:$AW$77,20,FALSE)),"")</f>
        <v>HL</v>
      </c>
      <c r="V18" s="184" t="str">
        <f>IFERROR(IF(VLOOKUP(Sat_W1[[#This Row],[Employee Name]],'Base Schedules'!$A$46:$AW$77,21,FALSE)="","",VLOOKUP(Sat_W1[[#This Row],[Employee Name]],'Base Schedules'!$A$46:$AW$77,21,FALSE)),"")</f>
        <v>HL</v>
      </c>
      <c r="W18" s="184" t="str">
        <f>IFERROR(IF(VLOOKUP(Sat_W1[[#This Row],[Employee Name]],'Base Schedules'!$A$46:$AW$77,22,FALSE)="","",VLOOKUP(Sat_W1[[#This Row],[Employee Name]],'Base Schedules'!$A$46:$AW$77,22,FALSE)),"")</f>
        <v>HL</v>
      </c>
      <c r="X18" s="184" t="str">
        <f>IFERROR(IF(VLOOKUP(Sat_W1[[#This Row],[Employee Name]],'Base Schedules'!$A$46:$AW$77,23,FALSE)="","",VLOOKUP(Sat_W1[[#This Row],[Employee Name]],'Base Schedules'!$A$46:$AW$77,23,FALSE)),"")</f>
        <v>ADM</v>
      </c>
      <c r="Y18" s="184" t="str">
        <f>IFERROR(IF(VLOOKUP(Sat_W1[[#This Row],[Employee Name]],'Base Schedules'!$A$46:$AW$77,24,FALSE)="","",VLOOKUP(Sat_W1[[#This Row],[Employee Name]],'Base Schedules'!$A$46:$AW$77,24,FALSE)),"")</f>
        <v>LUNCH</v>
      </c>
      <c r="Z18" s="184" t="str">
        <f>IFERROR(IF(VLOOKUP(Sat_W1[[#This Row],[Employee Name]],'Base Schedules'!$A$46:$AW$77,25,FALSE)="","",VLOOKUP(Sat_W1[[#This Row],[Employee Name]],'Base Schedules'!$A$46:$AW$77,25,FALSE)),"")</f>
        <v>RNNR</v>
      </c>
      <c r="AA18" s="184" t="str">
        <f>IFERROR(IF(VLOOKUP(Sat_W1[[#This Row],[Employee Name]],'Base Schedules'!$A$46:$AW$77,26,FALSE)="","",VLOOKUP(Sat_W1[[#This Row],[Employee Name]],'Base Schedules'!$A$46:$AW$77,26,FALSE)),"")</f>
        <v>RNNR</v>
      </c>
      <c r="AB18" s="184" t="str">
        <f>IFERROR(IF(VLOOKUP(Sat_W1[[#This Row],[Employee Name]],'Base Schedules'!$A$46:$AW$77,27,FALSE)="","",VLOOKUP(Sat_W1[[#This Row],[Employee Name]],'Base Schedules'!$A$46:$AW$77,27,FALSE)),"")</f>
        <v>HL</v>
      </c>
      <c r="AC18" s="184" t="str">
        <f>IFERROR(IF(VLOOKUP(Sat_W1[[#This Row],[Employee Name]],'Base Schedules'!$A$46:$AW$77,28,FALSE)="","",VLOOKUP(Sat_W1[[#This Row],[Employee Name]],'Base Schedules'!$A$46:$AW$77,28,FALSE)),"")</f>
        <v>ADM B2</v>
      </c>
      <c r="AD18" s="184" t="str">
        <f>IFERROR(IF(VLOOKUP(Sat_W1[[#This Row],[Employee Name]],'Base Schedules'!$A$46:$AW$77,29,FALSE)="","",VLOOKUP(Sat_W1[[#This Row],[Employee Name]],'Base Schedules'!$A$46:$AW$77,29,FALSE)),"")</f>
        <v>ADM</v>
      </c>
      <c r="AE18" s="184" t="str">
        <f>IFERROR(IF(VLOOKUP(Sat_W1[[#This Row],[Employee Name]],'Base Schedules'!$A$46:$AW$77,30,FALSE)="","",VLOOKUP(Sat_W1[[#This Row],[Employee Name]],'Base Schedules'!$A$46:$AW$77,30,FALSE)),"")</f>
        <v>ADM</v>
      </c>
      <c r="AF18" s="184" t="str">
        <f>IFERROR(IF(VLOOKUP(Sat_W1[[#This Row],[Employee Name]],'Base Schedules'!$A$46:$AW$77,31,FALSE)="","",VLOOKUP(Sat_W1[[#This Row],[Employee Name]],'Base Schedules'!$A$46:$AW$77,31,FALSE)),"")</f>
        <v>ADM</v>
      </c>
      <c r="AG18" s="184" t="str">
        <f>IFERROR(IF(VLOOKUP(Sat_W1[[#This Row],[Employee Name]],'Base Schedules'!$A$46:$AW$77,32,FALSE)="","",VLOOKUP(Sat_W1[[#This Row],[Employee Name]],'Base Schedules'!$A$46:$AW$77,32,FALSE)),"")</f>
        <v/>
      </c>
      <c r="AH18" s="184" t="str">
        <f>IFERROR(IF(VLOOKUP(Sat_W1[[#This Row],[Employee Name]],'Base Schedules'!$A$46:$AW$77,33,FALSE)="","",VLOOKUP(Sat_W1[[#This Row],[Employee Name]],'Base Schedules'!$A$46:$AW$77,33,FALSE)),"")</f>
        <v/>
      </c>
      <c r="AI18" s="184" t="str">
        <f>IFERROR(IF(VLOOKUP(Sat_W1[[#This Row],[Employee Name]],'Base Schedules'!$A$46:$AW$77,34,FALSE)="","",VLOOKUP(Sat_W1[[#This Row],[Employee Name]],'Base Schedules'!$A$46:$AW$77,34,FALSE)),"")</f>
        <v/>
      </c>
      <c r="AJ18" s="184" t="str">
        <f>IFERROR(IF(VLOOKUP(Sat_W1[[#This Row],[Employee Name]],'Base Schedules'!$A$46:$AW$77,35,FALSE)="","",VLOOKUP(Sat_W1[[#This Row],[Employee Name]],'Base Schedules'!$A$46:$AW$77,35,FALSE)),"")</f>
        <v/>
      </c>
      <c r="AK18" s="184" t="str">
        <f>IFERROR(IF(VLOOKUP(Sat_W1[[#This Row],[Employee Name]],'Base Schedules'!$A$46:$AW$77,36,FALSE)="","",VLOOKUP(Sat_W1[[#This Row],[Employee Name]],'Base Schedules'!$A$46:$AW$77,36,FALSE)),"")</f>
        <v/>
      </c>
      <c r="AL18" s="184" t="str">
        <f>IFERROR(IF(VLOOKUP(Sat_W1[[#This Row],[Employee Name]],'Base Schedules'!$A$46:$AW$77,37,FALSE)="","",VLOOKUP(Sat_W1[[#This Row],[Employee Name]],'Base Schedules'!$A$46:$AW$77,37,FALSE)),"")</f>
        <v/>
      </c>
      <c r="AM18" s="184" t="str">
        <f>IFERROR(IF(VLOOKUP(Sat_W1[[#This Row],[Employee Name]],'Base Schedules'!$A$46:$AW$77,38,FALSE)="","",VLOOKUP(Sat_W1[[#This Row],[Employee Name]],'Base Schedules'!$A$46:$AW$77,38,FALSE)),"")</f>
        <v/>
      </c>
      <c r="AN18" s="184" t="str">
        <f>IFERROR(IF(VLOOKUP(Sat_W1[[#This Row],[Employee Name]],'Base Schedules'!$A$46:$AW$77,39,FALSE)="","",VLOOKUP(Sat_W1[[#This Row],[Employee Name]],'Base Schedules'!$A$46:$AW$77,39,FALSE)),"")</f>
        <v/>
      </c>
      <c r="AO18" s="184" t="str">
        <f>IFERROR(IF(VLOOKUP(Sat_W1[[#This Row],[Employee Name]],'Base Schedules'!$A$46:$AW$77,40,FALSE)="","",VLOOKUP(Sat_W1[[#This Row],[Employee Name]],'Base Schedules'!$A$46:$AW$77,40,FALSE)),"")</f>
        <v/>
      </c>
      <c r="AP18" s="184" t="str">
        <f>IFERROR(IF(VLOOKUP(Sat_W1[[#This Row],[Employee Name]],'Base Schedules'!$A$46:$AW$77,41,FALSE)="","",VLOOKUP(Sat_W1[[#This Row],[Employee Name]],'Base Schedules'!$A$46:$AW$77,41,FALSE)),"")</f>
        <v/>
      </c>
      <c r="AQ18" s="184" t="str">
        <f>IFERROR(IF(VLOOKUP(Sat_W1[[#This Row],[Employee Name]],'Base Schedules'!$A$46:$AW$77,42,FALSE)="","",VLOOKUP(Sat_W1[[#This Row],[Employee Name]],'Base Schedules'!$A$46:$AW$77,42,FALSE)),"")</f>
        <v/>
      </c>
      <c r="AR18" s="184" t="str">
        <f>IFERROR(IF(VLOOKUP(Sat_W1[[#This Row],[Employee Name]],'Base Schedules'!$A$46:$AW$77,43,FALSE)="","",VLOOKUP(Sat_W1[[#This Row],[Employee Name]],'Base Schedules'!$A$46:$AW$77,43,FALSE)),"")</f>
        <v/>
      </c>
      <c r="AS18" s="184" t="str">
        <f>IFERROR(IF(VLOOKUP(Sat_W1[[#This Row],[Employee Name]],'Base Schedules'!$A$46:$AW$77,44,FALSE)="","",VLOOKUP(Sat_W1[[#This Row],[Employee Name]],'Base Schedules'!$A$46:$AW$77,44,FALSE)),"")</f>
        <v/>
      </c>
      <c r="AT18" s="184" t="str">
        <f>IFERROR(IF(VLOOKUP(Sat_W1[[#This Row],[Employee Name]],'Base Schedules'!$A$46:$AW$77,45,FALSE)="","",VLOOKUP(Sat_W1[[#This Row],[Employee Name]],'Base Schedules'!$A$46:$AW$77,45,FALSE)),"")</f>
        <v/>
      </c>
      <c r="AU18" s="184" t="str">
        <f>IFERROR(IF(VLOOKUP(Sat_W1[[#This Row],[Employee Name]],'Base Schedules'!$A$46:$AW$77,46,FALSE)="","",VLOOKUP(Sat_W1[[#This Row],[Employee Name]],'Base Schedules'!$A$46:$AW$77,46,FALSE)),"")</f>
        <v/>
      </c>
      <c r="AV18" s="184" t="str">
        <f>IFERROR(IF(VLOOKUP(Sat_W1[[#This Row],[Employee Name]],'Base Schedules'!$A$46:$AW$77,47,FALSE)="","",VLOOKUP(Sat_W1[[#This Row],[Employee Name]],'Base Schedules'!$A$46:$AW$77,47,FALSE)),"")</f>
        <v/>
      </c>
      <c r="AW18" s="184" t="str">
        <f>IFERROR(IF(VLOOKUP(Sat_W1[[#This Row],[Employee Name]],'Base Schedules'!$A$46:$AW$77,48,FALSE)="","",VLOOKUP(Sat_W1[[#This Row],[Employee Name]],'Base Schedules'!$A$46:$AW$77,48,FALSE)),"")</f>
        <v/>
      </c>
      <c r="AX18" s="184" t="str">
        <f>IFERROR(IF(VLOOKUP(Sat_W1[[#This Row],[Employee Name]],'Base Schedules'!$A$46:$AW$77,49,FALSE)="","",VLOOKUP(Sat_W1[[#This Row],[Employee Name]],'Base Schedules'!$A$46:$AW$77,49,FALSE)),"")</f>
        <v/>
      </c>
      <c r="AY18" s="159" t="str">
        <f t="shared" si="2"/>
        <v>Harley, Timothy</v>
      </c>
    </row>
    <row r="19" spans="1:51" s="44" customFormat="1" ht="12" customHeight="1" x14ac:dyDescent="0.2">
      <c r="A19" s="39" t="str">
        <f>IF(B19="","",INDEX(TeamList[],MATCH($B19,TeamList[[Employee Name]:[Employee Name]],0),MATCH("Manager",TeamList[#Headers],0)))</f>
        <v>Olson, Katherine</v>
      </c>
      <c r="B19" s="201" t="s">
        <v>49</v>
      </c>
      <c r="C19" s="257" t="str">
        <f>_xlfn.IFNA(VLOOKUP(Sat_W1[[#This Row],[Employee Name]],'Base Schedules'!A:B,2,FALSE),"")</f>
        <v>Supervisor</v>
      </c>
      <c r="D19" s="274">
        <f>_xlfn.IFNA(VLOOKUP(Sat_W1[[#This Row],[Employee Name]],'Base Schedules'!A:C,3,FALSE),"")</f>
        <v>800</v>
      </c>
      <c r="E19" s="274">
        <f>_xlfn.IFNA(VLOOKUP(Sat_W1[[#This Row],[Employee Name]],'Base Schedules'!A:D,4,FALSE),"")</f>
        <v>1700</v>
      </c>
      <c r="F19" s="142">
        <f>IF(Sat_W1[[#This Row],[Employee Name]]="","",IF(Sat_W1[[#This Row],[Dept]]="Supervisor",COUNTIFS($J19:$AX19,"*HL*",$J19:$AX19,"&lt;&gt;"&amp;"pHL"),COUNTIFS($J19:$AX19,"*HL*",$J19:$AX19,"&lt;&gt;"&amp;"*pHL*",$J19:$AX19,"&lt;&gt;"&amp;"pB1 HL",$J19:$AX19,"&lt;&gt;"&amp;"pB2 HL")-SUM(COUNTIFS($J19:$AX19,"*HL B1*",$J19:$AX19,"&lt;&gt;"&amp;"pHL B1")*0.5,COUNTIFS($J19:$AX19,"*HL B2*",$J19:$AX19,"&lt;&gt;"&amp;"pHL B2")*0.5,COUNTIFS($J19:$AX19,"*B1 HL*",$J19:$AX19,"&lt;&gt;"&amp;"pB1 HL")*0.5,COUNTIFS($J19:$AX19,"*B2 HL*",$J19:$AX19,"&lt;&gt;"&amp;"pB2 HL")*0.5)))</f>
        <v>0</v>
      </c>
      <c r="G19" s="142">
        <f t="shared" si="0"/>
        <v>3</v>
      </c>
      <c r="H19" s="142">
        <f t="shared" si="1"/>
        <v>0</v>
      </c>
      <c r="I19" s="142">
        <f>IF(Sat_W1[[#This Row],[Employee Name]]="","",IF(Sat_W1[[#This Row],[Dept]]="Supervisor",SUM(COUNTIFS($J19:$AX19,"RTA*",$J19:$AX19,"&lt;&gt;"&amp;"pRTA"),COUNTIFS($J19:$AX19,"*CRTA*",$J19:$AX19,"&lt;&gt;"&amp;"pCRTA")),COUNTIFS($J19:$AX19,"*RNNR*",$J19:$AX19,"&lt;&gt;"&amp;"*pRNNR*",$J19:$AX19,"&lt;&gt;"&amp;"pB1 RNNR",$J19:$AX19,"&lt;&gt;"&amp;"pB2 RNNR")-SUM(COUNTIFS($J19:$AX19,"*RNNR B1*",$J19:$AX19,"&lt;&gt;"&amp;"pRNNR B1")*0.5,COUNTIFS($J19:$AX19,"*RNNR B2*",$J19:$AX19,"&lt;&gt;"&amp;"pRNNR B2")*0.5,COUNTIFS($J19:$AX19,"*B1 RNNR*",$J19:$AX19,"&lt;&gt;"&amp;"pB1 RNNR")*0.5,COUNTIFS($J19:$AX19,"*B2 RNNR*",$J19:$AX19,"&lt;&gt;"&amp;"pB2 RNNR")*0.5)))</f>
        <v>0</v>
      </c>
      <c r="J19" s="184" t="str">
        <f>IFERROR(IF(VLOOKUP(Sat_W1[[#This Row],[Employee Name]],'Base Schedules'!$A$46:$AW$77,9,FALSE)="","",VLOOKUP(Sat_W1[[#This Row],[Employee Name]],'Base Schedules'!$A$46:$AW$77,9,FALSE)),"")</f>
        <v/>
      </c>
      <c r="K19" s="184" t="str">
        <f>IFERROR(IF(VLOOKUP(Sat_W1[[#This Row],[Employee Name]],'Base Schedules'!$A$46:$AW$77,10,FALSE)="","",VLOOKUP(Sat_W1[[#This Row],[Employee Name]],'Base Schedules'!$A$46:$AW$77,10,FALSE)),"")</f>
        <v/>
      </c>
      <c r="L19" s="184" t="str">
        <f>IFERROR(IF(VLOOKUP(Sat_W1[[#This Row],[Employee Name]],'Base Schedules'!$A$46:$AW$77,11,FALSE)="","",VLOOKUP(Sat_W1[[#This Row],[Employee Name]],'Base Schedules'!$A$46:$AW$77,11,FALSE)),"")</f>
        <v/>
      </c>
      <c r="M19" s="184" t="str">
        <f>IFERROR(IF(VLOOKUP(Sat_W1[[#This Row],[Employee Name]],'Base Schedules'!$A$46:$AW$77,12,FALSE)="","",VLOOKUP(Sat_W1[[#This Row],[Employee Name]],'Base Schedules'!$A$46:$AW$77,12,FALSE)),"")</f>
        <v/>
      </c>
      <c r="N19" s="184" t="str">
        <f>IFERROR(IF(VLOOKUP(Sat_W1[[#This Row],[Employee Name]],'Base Schedules'!$A$46:$AW$77,13,FALSE)="","",VLOOKUP(Sat_W1[[#This Row],[Employee Name]],'Base Schedules'!$A$46:$AW$77,13,FALSE)),"")</f>
        <v/>
      </c>
      <c r="O19" s="184" t="str">
        <f>IFERROR(IF(VLOOKUP(Sat_W1[[#This Row],[Employee Name]],'Base Schedules'!$A$46:$AW$77,14,FALSE)="","",VLOOKUP(Sat_W1[[#This Row],[Employee Name]],'Base Schedules'!$A$46:$AW$77,14,FALSE)),"")</f>
        <v/>
      </c>
      <c r="P19" s="184" t="str">
        <f>IFERROR(IF(VLOOKUP(Sat_W1[[#This Row],[Employee Name]],'Base Schedules'!$A$46:$AW$77,15,FALSE)="","",VLOOKUP(Sat_W1[[#This Row],[Employee Name]],'Base Schedules'!$A$46:$AW$77,15,FALSE)),"")</f>
        <v>-</v>
      </c>
      <c r="Q19" s="184" t="str">
        <f>IFERROR(IF(VLOOKUP(Sat_W1[[#This Row],[Employee Name]],'Base Schedules'!$A$46:$AW$77,16,FALSE)="","",VLOOKUP(Sat_W1[[#This Row],[Employee Name]],'Base Schedules'!$A$46:$AW$77,16,FALSE)),"")</f>
        <v>-</v>
      </c>
      <c r="R19" s="184" t="str">
        <f>IFERROR(IF(VLOOKUP(Sat_W1[[#This Row],[Employee Name]],'Base Schedules'!$A$46:$AW$77,17,FALSE)="","",VLOOKUP(Sat_W1[[#This Row],[Employee Name]],'Base Schedules'!$A$46:$AW$77,17,FALSE)),"")</f>
        <v>-</v>
      </c>
      <c r="S19" s="184" t="str">
        <f>IFERROR(IF(VLOOKUP(Sat_W1[[#This Row],[Employee Name]],'Base Schedules'!$A$46:$AW$77,18,FALSE)="","",VLOOKUP(Sat_W1[[#This Row],[Employee Name]],'Base Schedules'!$A$46:$AW$77,18,FALSE)),"")</f>
        <v>-</v>
      </c>
      <c r="T19" s="184" t="str">
        <f>IFERROR(IF(VLOOKUP(Sat_W1[[#This Row],[Employee Name]],'Base Schedules'!$A$46:$AW$77,19,FALSE)="","",VLOOKUP(Sat_W1[[#This Row],[Employee Name]],'Base Schedules'!$A$46:$AW$77,19,FALSE)),"")</f>
        <v>-</v>
      </c>
      <c r="U19" s="184" t="str">
        <f>IFERROR(IF(VLOOKUP(Sat_W1[[#This Row],[Employee Name]],'Base Schedules'!$A$46:$AW$77,20,FALSE)="","",VLOOKUP(Sat_W1[[#This Row],[Employee Name]],'Base Schedules'!$A$46:$AW$77,20,FALSE)),"")</f>
        <v>-</v>
      </c>
      <c r="V19" s="184" t="str">
        <f>IFERROR(IF(VLOOKUP(Sat_W1[[#This Row],[Employee Name]],'Base Schedules'!$A$46:$AW$77,21,FALSE)="","",VLOOKUP(Sat_W1[[#This Row],[Employee Name]],'Base Schedules'!$A$46:$AW$77,21,FALSE)),"")</f>
        <v>-</v>
      </c>
      <c r="W19" s="184" t="str">
        <f>IFERROR(IF(VLOOKUP(Sat_W1[[#This Row],[Employee Name]],'Base Schedules'!$A$46:$AW$77,22,FALSE)="","",VLOOKUP(Sat_W1[[#This Row],[Employee Name]],'Base Schedules'!$A$46:$AW$77,22,FALSE)),"")</f>
        <v>-</v>
      </c>
      <c r="X19" s="184" t="str">
        <f>IFERROR(IF(VLOOKUP(Sat_W1[[#This Row],[Employee Name]],'Base Schedules'!$A$46:$AW$77,23,FALSE)="","",VLOOKUP(Sat_W1[[#This Row],[Employee Name]],'Base Schedules'!$A$46:$AW$77,23,FALSE)),"")</f>
        <v>-</v>
      </c>
      <c r="Y19" s="184" t="str">
        <f>IFERROR(IF(VLOOKUP(Sat_W1[[#This Row],[Employee Name]],'Base Schedules'!$A$46:$AW$77,24,FALSE)="","",VLOOKUP(Sat_W1[[#This Row],[Employee Name]],'Base Schedules'!$A$46:$AW$77,24,FALSE)),"")</f>
        <v>-</v>
      </c>
      <c r="Z19" s="184" t="str">
        <f>IFERROR(IF(VLOOKUP(Sat_W1[[#This Row],[Employee Name]],'Base Schedules'!$A$46:$AW$77,25,FALSE)="","",VLOOKUP(Sat_W1[[#This Row],[Employee Name]],'Base Schedules'!$A$46:$AW$77,25,FALSE)),"")</f>
        <v>-</v>
      </c>
      <c r="AA19" s="184" t="str">
        <f>IFERROR(IF(VLOOKUP(Sat_W1[[#This Row],[Employee Name]],'Base Schedules'!$A$46:$AW$77,26,FALSE)="","",VLOOKUP(Sat_W1[[#This Row],[Employee Name]],'Base Schedules'!$A$46:$AW$77,26,FALSE)),"")</f>
        <v>Interview</v>
      </c>
      <c r="AB19" s="184" t="str">
        <f>IFERROR(IF(VLOOKUP(Sat_W1[[#This Row],[Employee Name]],'Base Schedules'!$A$46:$AW$77,27,FALSE)="","",VLOOKUP(Sat_W1[[#This Row],[Employee Name]],'Base Schedules'!$A$46:$AW$77,27,FALSE)),"")</f>
        <v>Interview</v>
      </c>
      <c r="AC19" s="184" t="str">
        <f>IFERROR(IF(VLOOKUP(Sat_W1[[#This Row],[Employee Name]],'Base Schedules'!$A$46:$AW$77,28,FALSE)="","",VLOOKUP(Sat_W1[[#This Row],[Employee Name]],'Base Schedules'!$A$46:$AW$77,28,FALSE)),"")</f>
        <v>-</v>
      </c>
      <c r="AD19" s="184" t="str">
        <f>IFERROR(IF(VLOOKUP(Sat_W1[[#This Row],[Employee Name]],'Base Schedules'!$A$46:$AW$77,29,FALSE)="","",VLOOKUP(Sat_W1[[#This Row],[Employee Name]],'Base Schedules'!$A$46:$AW$77,29,FALSE)),"")</f>
        <v>-</v>
      </c>
      <c r="AE19" s="184" t="str">
        <f>IFERROR(IF(VLOOKUP(Sat_W1[[#This Row],[Employee Name]],'Base Schedules'!$A$46:$AW$77,30,FALSE)="","",VLOOKUP(Sat_W1[[#This Row],[Employee Name]],'Base Schedules'!$A$46:$AW$77,30,FALSE)),"")</f>
        <v>Coaching</v>
      </c>
      <c r="AF19" s="184" t="str">
        <f>IFERROR(IF(VLOOKUP(Sat_W1[[#This Row],[Employee Name]],'Base Schedules'!$A$46:$AW$77,31,FALSE)="","",VLOOKUP(Sat_W1[[#This Row],[Employee Name]],'Base Schedules'!$A$46:$AW$77,31,FALSE)),"")</f>
        <v>Coaching</v>
      </c>
      <c r="AG19" s="184" t="str">
        <f>IFERROR(IF(VLOOKUP(Sat_W1[[#This Row],[Employee Name]],'Base Schedules'!$A$46:$AW$77,32,FALSE)="","",VLOOKUP(Sat_W1[[#This Row],[Employee Name]],'Base Schedules'!$A$46:$AW$77,32,FALSE)),"")</f>
        <v>Coaching</v>
      </c>
      <c r="AH19" s="184" t="str">
        <f>IFERROR(IF(VLOOKUP(Sat_W1[[#This Row],[Employee Name]],'Base Schedules'!$A$46:$AW$77,33,FALSE)="","",VLOOKUP(Sat_W1[[#This Row],[Employee Name]],'Base Schedules'!$A$46:$AW$77,33,FALSE)),"")</f>
        <v/>
      </c>
      <c r="AI19" s="184" t="str">
        <f>IFERROR(IF(VLOOKUP(Sat_W1[[#This Row],[Employee Name]],'Base Schedules'!$A$46:$AW$77,34,FALSE)="","",VLOOKUP(Sat_W1[[#This Row],[Employee Name]],'Base Schedules'!$A$46:$AW$77,34,FALSE)),"")</f>
        <v/>
      </c>
      <c r="AJ19" s="184" t="str">
        <f>IFERROR(IF(VLOOKUP(Sat_W1[[#This Row],[Employee Name]],'Base Schedules'!$A$46:$AW$77,35,FALSE)="","",VLOOKUP(Sat_W1[[#This Row],[Employee Name]],'Base Schedules'!$A$46:$AW$77,35,FALSE)),"")</f>
        <v/>
      </c>
      <c r="AK19" s="184" t="str">
        <f>IFERROR(IF(VLOOKUP(Sat_W1[[#This Row],[Employee Name]],'Base Schedules'!$A$46:$AW$77,36,FALSE)="","",VLOOKUP(Sat_W1[[#This Row],[Employee Name]],'Base Schedules'!$A$46:$AW$77,36,FALSE)),"")</f>
        <v/>
      </c>
      <c r="AL19" s="184" t="str">
        <f>IFERROR(IF(VLOOKUP(Sat_W1[[#This Row],[Employee Name]],'Base Schedules'!$A$46:$AW$77,37,FALSE)="","",VLOOKUP(Sat_W1[[#This Row],[Employee Name]],'Base Schedules'!$A$46:$AW$77,37,FALSE)),"")</f>
        <v/>
      </c>
      <c r="AM19" s="184" t="str">
        <f>IFERROR(IF(VLOOKUP(Sat_W1[[#This Row],[Employee Name]],'Base Schedules'!$A$46:$AW$77,38,FALSE)="","",VLOOKUP(Sat_W1[[#This Row],[Employee Name]],'Base Schedules'!$A$46:$AW$77,38,FALSE)),"")</f>
        <v/>
      </c>
      <c r="AN19" s="184" t="str">
        <f>IFERROR(IF(VLOOKUP(Sat_W1[[#This Row],[Employee Name]],'Base Schedules'!$A$46:$AW$77,39,FALSE)="","",VLOOKUP(Sat_W1[[#This Row],[Employee Name]],'Base Schedules'!$A$46:$AW$77,39,FALSE)),"")</f>
        <v/>
      </c>
      <c r="AO19" s="184" t="str">
        <f>IFERROR(IF(VLOOKUP(Sat_W1[[#This Row],[Employee Name]],'Base Schedules'!$A$46:$AW$77,40,FALSE)="","",VLOOKUP(Sat_W1[[#This Row],[Employee Name]],'Base Schedules'!$A$46:$AW$77,40,FALSE)),"")</f>
        <v/>
      </c>
      <c r="AP19" s="184" t="str">
        <f>IFERROR(IF(VLOOKUP(Sat_W1[[#This Row],[Employee Name]],'Base Schedules'!$A$46:$AW$77,41,FALSE)="","",VLOOKUP(Sat_W1[[#This Row],[Employee Name]],'Base Schedules'!$A$46:$AW$77,41,FALSE)),"")</f>
        <v/>
      </c>
      <c r="AQ19" s="184" t="str">
        <f>IFERROR(IF(VLOOKUP(Sat_W1[[#This Row],[Employee Name]],'Base Schedules'!$A$46:$AW$77,42,FALSE)="","",VLOOKUP(Sat_W1[[#This Row],[Employee Name]],'Base Schedules'!$A$46:$AW$77,42,FALSE)),"")</f>
        <v/>
      </c>
      <c r="AR19" s="184" t="str">
        <f>IFERROR(IF(VLOOKUP(Sat_W1[[#This Row],[Employee Name]],'Base Schedules'!$A$46:$AW$77,43,FALSE)="","",VLOOKUP(Sat_W1[[#This Row],[Employee Name]],'Base Schedules'!$A$46:$AW$77,43,FALSE)),"")</f>
        <v/>
      </c>
      <c r="AS19" s="184" t="str">
        <f>IFERROR(IF(VLOOKUP(Sat_W1[[#This Row],[Employee Name]],'Base Schedules'!$A$46:$AW$77,44,FALSE)="","",VLOOKUP(Sat_W1[[#This Row],[Employee Name]],'Base Schedules'!$A$46:$AW$77,44,FALSE)),"")</f>
        <v/>
      </c>
      <c r="AT19" s="184" t="str">
        <f>IFERROR(IF(VLOOKUP(Sat_W1[[#This Row],[Employee Name]],'Base Schedules'!$A$46:$AW$77,45,FALSE)="","",VLOOKUP(Sat_W1[[#This Row],[Employee Name]],'Base Schedules'!$A$46:$AW$77,45,FALSE)),"")</f>
        <v/>
      </c>
      <c r="AU19" s="184" t="str">
        <f>IFERROR(IF(VLOOKUP(Sat_W1[[#This Row],[Employee Name]],'Base Schedules'!$A$46:$AW$77,46,FALSE)="","",VLOOKUP(Sat_W1[[#This Row],[Employee Name]],'Base Schedules'!$A$46:$AW$77,46,FALSE)),"")</f>
        <v/>
      </c>
      <c r="AV19" s="184" t="str">
        <f>IFERROR(IF(VLOOKUP(Sat_W1[[#This Row],[Employee Name]],'Base Schedules'!$A$46:$AW$77,47,FALSE)="","",VLOOKUP(Sat_W1[[#This Row],[Employee Name]],'Base Schedules'!$A$46:$AW$77,47,FALSE)),"")</f>
        <v/>
      </c>
      <c r="AW19" s="184" t="str">
        <f>IFERROR(IF(VLOOKUP(Sat_W1[[#This Row],[Employee Name]],'Base Schedules'!$A$46:$AW$77,48,FALSE)="","",VLOOKUP(Sat_W1[[#This Row],[Employee Name]],'Base Schedules'!$A$46:$AW$77,48,FALSE)),"")</f>
        <v/>
      </c>
      <c r="AX19" s="184" t="str">
        <f>IFERROR(IF(VLOOKUP(Sat_W1[[#This Row],[Employee Name]],'Base Schedules'!$A$46:$AW$77,49,FALSE)="","",VLOOKUP(Sat_W1[[#This Row],[Employee Name]],'Base Schedules'!$A$46:$AW$77,49,FALSE)),"")</f>
        <v/>
      </c>
      <c r="AY19" s="159" t="str">
        <f t="shared" si="2"/>
        <v>Olson, Dan</v>
      </c>
    </row>
    <row r="20" spans="1:51" s="44" customFormat="1" ht="12" customHeight="1" x14ac:dyDescent="0.2">
      <c r="A20" s="39" t="str">
        <f>IF(B20="","",INDEX(TeamList[],MATCH($B20,TeamList[[Employee Name]:[Employee Name]],0),MATCH("Manager",TeamList[#Headers],0)))</f>
        <v>Ahmed Hassan, Zahra</v>
      </c>
      <c r="B20" s="201" t="s">
        <v>53</v>
      </c>
      <c r="C20" s="257" t="str">
        <f>_xlfn.IFNA(VLOOKUP(Sat_W1[[#This Row],[Employee Name]],'Base Schedules'!A:B,2,FALSE),"")</f>
        <v>Supervisor</v>
      </c>
      <c r="D20" s="274">
        <f>_xlfn.IFNA(VLOOKUP(Sat_W1[[#This Row],[Employee Name]],'Base Schedules'!A:C,3,FALSE),"")</f>
        <v>830</v>
      </c>
      <c r="E20" s="274">
        <f>_xlfn.IFNA(VLOOKUP(Sat_W1[[#This Row],[Employee Name]],'Base Schedules'!A:D,4,FALSE),"")</f>
        <v>1730</v>
      </c>
      <c r="F20" s="142">
        <f>IF(Sat_W1[[#This Row],[Employee Name]]="","",IF(Sat_W1[[#This Row],[Dept]]="Supervisor",COUNTIFS($J20:$AX20,"*HL*",$J20:$AX20,"&lt;&gt;"&amp;"pHL"),COUNTIFS($J20:$AX20,"*HL*",$J20:$AX20,"&lt;&gt;"&amp;"*pHL*",$J20:$AX20,"&lt;&gt;"&amp;"pB1 HL",$J20:$AX20,"&lt;&gt;"&amp;"pB2 HL")-SUM(COUNTIFS($J20:$AX20,"*HL B1*",$J20:$AX20,"&lt;&gt;"&amp;"pHL B1")*0.5,COUNTIFS($J20:$AX20,"*HL B2*",$J20:$AX20,"&lt;&gt;"&amp;"pHL B2")*0.5,COUNTIFS($J20:$AX20,"*B1 HL*",$J20:$AX20,"&lt;&gt;"&amp;"pB1 HL")*0.5,COUNTIFS($J20:$AX20,"*B2 HL*",$J20:$AX20,"&lt;&gt;"&amp;"pB2 HL")*0.5)))</f>
        <v>0</v>
      </c>
      <c r="G20" s="142">
        <f t="shared" si="0"/>
        <v>4</v>
      </c>
      <c r="H20" s="142">
        <f t="shared" si="1"/>
        <v>0</v>
      </c>
      <c r="I20" s="142">
        <f>IF(Sat_W1[[#This Row],[Employee Name]]="","",IF(Sat_W1[[#This Row],[Dept]]="Supervisor",SUM(COUNTIFS($J20:$AX20,"RTA*",$J20:$AX20,"&lt;&gt;"&amp;"pRTA"),COUNTIFS($J20:$AX20,"*CRTA*",$J20:$AX20,"&lt;&gt;"&amp;"pCRTA")),COUNTIFS($J20:$AX20,"*RNNR*",$J20:$AX20,"&lt;&gt;"&amp;"*pRNNR*",$J20:$AX20,"&lt;&gt;"&amp;"pB1 RNNR",$J20:$AX20,"&lt;&gt;"&amp;"pB2 RNNR")-SUM(COUNTIFS($J20:$AX20,"*RNNR B1*",$J20:$AX20,"&lt;&gt;"&amp;"pRNNR B1")*0.5,COUNTIFS($J20:$AX20,"*RNNR B2*",$J20:$AX20,"&lt;&gt;"&amp;"pRNNR B2")*0.5,COUNTIFS($J20:$AX20,"*B1 RNNR*",$J20:$AX20,"&lt;&gt;"&amp;"pB1 RNNR")*0.5,COUNTIFS($J20:$AX20,"*B2 RNNR*",$J20:$AX20,"&lt;&gt;"&amp;"pB2 RNNR")*0.5)))</f>
        <v>0</v>
      </c>
      <c r="J20" s="184" t="str">
        <f>IFERROR(IF(VLOOKUP(Sat_W1[[#This Row],[Employee Name]],'Base Schedules'!$A$46:$AW$77,9,FALSE)="","",VLOOKUP(Sat_W1[[#This Row],[Employee Name]],'Base Schedules'!$A$46:$AW$77,9,FALSE)),"")</f>
        <v/>
      </c>
      <c r="K20" s="184" t="str">
        <f>IFERROR(IF(VLOOKUP(Sat_W1[[#This Row],[Employee Name]],'Base Schedules'!$A$46:$AW$77,10,FALSE)="","",VLOOKUP(Sat_W1[[#This Row],[Employee Name]],'Base Schedules'!$A$46:$AW$77,10,FALSE)),"")</f>
        <v/>
      </c>
      <c r="L20" s="184" t="str">
        <f>IFERROR(IF(VLOOKUP(Sat_W1[[#This Row],[Employee Name]],'Base Schedules'!$A$46:$AW$77,11,FALSE)="","",VLOOKUP(Sat_W1[[#This Row],[Employee Name]],'Base Schedules'!$A$46:$AW$77,11,FALSE)),"")</f>
        <v/>
      </c>
      <c r="M20" s="184" t="str">
        <f>IFERROR(IF(VLOOKUP(Sat_W1[[#This Row],[Employee Name]],'Base Schedules'!$A$46:$AW$77,12,FALSE)="","",VLOOKUP(Sat_W1[[#This Row],[Employee Name]],'Base Schedules'!$A$46:$AW$77,12,FALSE)),"")</f>
        <v/>
      </c>
      <c r="N20" s="184" t="str">
        <f>IFERROR(IF(VLOOKUP(Sat_W1[[#This Row],[Employee Name]],'Base Schedules'!$A$46:$AW$77,13,FALSE)="","",VLOOKUP(Sat_W1[[#This Row],[Employee Name]],'Base Schedules'!$A$46:$AW$77,13,FALSE)),"")</f>
        <v/>
      </c>
      <c r="O20" s="184" t="str">
        <f>IFERROR(IF(VLOOKUP(Sat_W1[[#This Row],[Employee Name]],'Base Schedules'!$A$46:$AW$77,14,FALSE)="","",VLOOKUP(Sat_W1[[#This Row],[Employee Name]],'Base Schedules'!$A$46:$AW$77,14,FALSE)),"")</f>
        <v/>
      </c>
      <c r="P20" s="184" t="str">
        <f>IFERROR(IF(VLOOKUP(Sat_W1[[#This Row],[Employee Name]],'Base Schedules'!$A$46:$AW$77,15,FALSE)="","",VLOOKUP(Sat_W1[[#This Row],[Employee Name]],'Base Schedules'!$A$46:$AW$77,15,FALSE)),"")</f>
        <v/>
      </c>
      <c r="Q20" s="184" t="str">
        <f>IFERROR(IF(VLOOKUP(Sat_W1[[#This Row],[Employee Name]],'Base Schedules'!$A$46:$AW$77,16,FALSE)="","",VLOOKUP(Sat_W1[[#This Row],[Employee Name]],'Base Schedules'!$A$46:$AW$77,16,FALSE)),"")</f>
        <v>-</v>
      </c>
      <c r="R20" s="184" t="str">
        <f>IFERROR(IF(VLOOKUP(Sat_W1[[#This Row],[Employee Name]],'Base Schedules'!$A$46:$AW$77,17,FALSE)="","",VLOOKUP(Sat_W1[[#This Row],[Employee Name]],'Base Schedules'!$A$46:$AW$77,17,FALSE)),"")</f>
        <v>-</v>
      </c>
      <c r="S20" s="184" t="str">
        <f>IFERROR(IF(VLOOKUP(Sat_W1[[#This Row],[Employee Name]],'Base Schedules'!$A$46:$AW$77,18,FALSE)="","",VLOOKUP(Sat_W1[[#This Row],[Employee Name]],'Base Schedules'!$A$46:$AW$77,18,FALSE)),"")</f>
        <v>-</v>
      </c>
      <c r="T20" s="184" t="str">
        <f>IFERROR(IF(VLOOKUP(Sat_W1[[#This Row],[Employee Name]],'Base Schedules'!$A$46:$AW$77,19,FALSE)="","",VLOOKUP(Sat_W1[[#This Row],[Employee Name]],'Base Schedules'!$A$46:$AW$77,19,FALSE)),"")</f>
        <v>Interview</v>
      </c>
      <c r="U20" s="184" t="str">
        <f>IFERROR(IF(VLOOKUP(Sat_W1[[#This Row],[Employee Name]],'Base Schedules'!$A$46:$AW$77,20,FALSE)="","",VLOOKUP(Sat_W1[[#This Row],[Employee Name]],'Base Schedules'!$A$46:$AW$77,20,FALSE)),"")</f>
        <v>Interview</v>
      </c>
      <c r="V20" s="184" t="str">
        <f>IFERROR(IF(VLOOKUP(Sat_W1[[#This Row],[Employee Name]],'Base Schedules'!$A$46:$AW$77,21,FALSE)="","",VLOOKUP(Sat_W1[[#This Row],[Employee Name]],'Base Schedules'!$A$46:$AW$77,21,FALSE)),"")</f>
        <v>-</v>
      </c>
      <c r="W20" s="184" t="str">
        <f>IFERROR(IF(VLOOKUP(Sat_W1[[#This Row],[Employee Name]],'Base Schedules'!$A$46:$AW$77,22,FALSE)="","",VLOOKUP(Sat_W1[[#This Row],[Employee Name]],'Base Schedules'!$A$46:$AW$77,22,FALSE)),"")</f>
        <v>-</v>
      </c>
      <c r="X20" s="184" t="str">
        <f>IFERROR(IF(VLOOKUP(Sat_W1[[#This Row],[Employee Name]],'Base Schedules'!$A$46:$AW$77,23,FALSE)="","",VLOOKUP(Sat_W1[[#This Row],[Employee Name]],'Base Schedules'!$A$46:$AW$77,23,FALSE)),"")</f>
        <v>-</v>
      </c>
      <c r="Y20" s="184" t="str">
        <f>IFERROR(IF(VLOOKUP(Sat_W1[[#This Row],[Employee Name]],'Base Schedules'!$A$46:$AW$77,24,FALSE)="","",VLOOKUP(Sat_W1[[#This Row],[Employee Name]],'Base Schedules'!$A$46:$AW$77,24,FALSE)),"")</f>
        <v>-</v>
      </c>
      <c r="Z20" s="184" t="str">
        <f>IFERROR(IF(VLOOKUP(Sat_W1[[#This Row],[Employee Name]],'Base Schedules'!$A$46:$AW$77,25,FALSE)="","",VLOOKUP(Sat_W1[[#This Row],[Employee Name]],'Base Schedules'!$A$46:$AW$77,25,FALSE)),"")</f>
        <v>-</v>
      </c>
      <c r="AA20" s="184" t="str">
        <f>IFERROR(IF(VLOOKUP(Sat_W1[[#This Row],[Employee Name]],'Base Schedules'!$A$46:$AW$77,26,FALSE)="","",VLOOKUP(Sat_W1[[#This Row],[Employee Name]],'Base Schedules'!$A$46:$AW$77,26,FALSE)),"")</f>
        <v>-</v>
      </c>
      <c r="AB20" s="184" t="str">
        <f>IFERROR(IF(VLOOKUP(Sat_W1[[#This Row],[Employee Name]],'Base Schedules'!$A$46:$AW$77,27,FALSE)="","",VLOOKUP(Sat_W1[[#This Row],[Employee Name]],'Base Schedules'!$A$46:$AW$77,27,FALSE)),"")</f>
        <v>Coaching</v>
      </c>
      <c r="AC20" s="184" t="str">
        <f>IFERROR(IF(VLOOKUP(Sat_W1[[#This Row],[Employee Name]],'Base Schedules'!$A$46:$AW$77,28,FALSE)="","",VLOOKUP(Sat_W1[[#This Row],[Employee Name]],'Base Schedules'!$A$46:$AW$77,28,FALSE)),"")</f>
        <v>Coaching</v>
      </c>
      <c r="AD20" s="184" t="str">
        <f>IFERROR(IF(VLOOKUP(Sat_W1[[#This Row],[Employee Name]],'Base Schedules'!$A$46:$AW$77,29,FALSE)="","",VLOOKUP(Sat_W1[[#This Row],[Employee Name]],'Base Schedules'!$A$46:$AW$77,29,FALSE)),"")</f>
        <v>Coaching</v>
      </c>
      <c r="AE20" s="184" t="str">
        <f>IFERROR(IF(VLOOKUP(Sat_W1[[#This Row],[Employee Name]],'Base Schedules'!$A$46:$AW$77,30,FALSE)="","",VLOOKUP(Sat_W1[[#This Row],[Employee Name]],'Base Schedules'!$A$46:$AW$77,30,FALSE)),"")</f>
        <v>Coaching</v>
      </c>
      <c r="AF20" s="184" t="str">
        <f>IFERROR(IF(VLOOKUP(Sat_W1[[#This Row],[Employee Name]],'Base Schedules'!$A$46:$AW$77,31,FALSE)="","",VLOOKUP(Sat_W1[[#This Row],[Employee Name]],'Base Schedules'!$A$46:$AW$77,31,FALSE)),"")</f>
        <v>-</v>
      </c>
      <c r="AG20" s="184" t="str">
        <f>IFERROR(IF(VLOOKUP(Sat_W1[[#This Row],[Employee Name]],'Base Schedules'!$A$46:$AW$77,32,FALSE)="","",VLOOKUP(Sat_W1[[#This Row],[Employee Name]],'Base Schedules'!$A$46:$AW$77,32,FALSE)),"")</f>
        <v>-</v>
      </c>
      <c r="AH20" s="184" t="str">
        <f>IFERROR(IF(VLOOKUP(Sat_W1[[#This Row],[Employee Name]],'Base Schedules'!$A$46:$AW$77,33,FALSE)="","",VLOOKUP(Sat_W1[[#This Row],[Employee Name]],'Base Schedules'!$A$46:$AW$77,33,FALSE)),"")</f>
        <v>-</v>
      </c>
      <c r="AI20" s="184" t="str">
        <f>IFERROR(IF(VLOOKUP(Sat_W1[[#This Row],[Employee Name]],'Base Schedules'!$A$46:$AW$77,34,FALSE)="","",VLOOKUP(Sat_W1[[#This Row],[Employee Name]],'Base Schedules'!$A$46:$AW$77,34,FALSE)),"")</f>
        <v/>
      </c>
      <c r="AJ20" s="184" t="str">
        <f>IFERROR(IF(VLOOKUP(Sat_W1[[#This Row],[Employee Name]],'Base Schedules'!$A$46:$AW$77,35,FALSE)="","",VLOOKUP(Sat_W1[[#This Row],[Employee Name]],'Base Schedules'!$A$46:$AW$77,35,FALSE)),"")</f>
        <v/>
      </c>
      <c r="AK20" s="184" t="str">
        <f>IFERROR(IF(VLOOKUP(Sat_W1[[#This Row],[Employee Name]],'Base Schedules'!$A$46:$AW$77,36,FALSE)="","",VLOOKUP(Sat_W1[[#This Row],[Employee Name]],'Base Schedules'!$A$46:$AW$77,36,FALSE)),"")</f>
        <v/>
      </c>
      <c r="AL20" s="184" t="str">
        <f>IFERROR(IF(VLOOKUP(Sat_W1[[#This Row],[Employee Name]],'Base Schedules'!$A$46:$AW$77,37,FALSE)="","",VLOOKUP(Sat_W1[[#This Row],[Employee Name]],'Base Schedules'!$A$46:$AW$77,37,FALSE)),"")</f>
        <v/>
      </c>
      <c r="AM20" s="184" t="str">
        <f>IFERROR(IF(VLOOKUP(Sat_W1[[#This Row],[Employee Name]],'Base Schedules'!$A$46:$AW$77,38,FALSE)="","",VLOOKUP(Sat_W1[[#This Row],[Employee Name]],'Base Schedules'!$A$46:$AW$77,38,FALSE)),"")</f>
        <v/>
      </c>
      <c r="AN20" s="184" t="str">
        <f>IFERROR(IF(VLOOKUP(Sat_W1[[#This Row],[Employee Name]],'Base Schedules'!$A$46:$AW$77,39,FALSE)="","",VLOOKUP(Sat_W1[[#This Row],[Employee Name]],'Base Schedules'!$A$46:$AW$77,39,FALSE)),"")</f>
        <v/>
      </c>
      <c r="AO20" s="184" t="str">
        <f>IFERROR(IF(VLOOKUP(Sat_W1[[#This Row],[Employee Name]],'Base Schedules'!$A$46:$AW$77,40,FALSE)="","",VLOOKUP(Sat_W1[[#This Row],[Employee Name]],'Base Schedules'!$A$46:$AW$77,40,FALSE)),"")</f>
        <v/>
      </c>
      <c r="AP20" s="184" t="str">
        <f>IFERROR(IF(VLOOKUP(Sat_W1[[#This Row],[Employee Name]],'Base Schedules'!$A$46:$AW$77,41,FALSE)="","",VLOOKUP(Sat_W1[[#This Row],[Employee Name]],'Base Schedules'!$A$46:$AW$77,41,FALSE)),"")</f>
        <v/>
      </c>
      <c r="AQ20" s="184" t="str">
        <f>IFERROR(IF(VLOOKUP(Sat_W1[[#This Row],[Employee Name]],'Base Schedules'!$A$46:$AW$77,42,FALSE)="","",VLOOKUP(Sat_W1[[#This Row],[Employee Name]],'Base Schedules'!$A$46:$AW$77,42,FALSE)),"")</f>
        <v/>
      </c>
      <c r="AR20" s="184" t="str">
        <f>IFERROR(IF(VLOOKUP(Sat_W1[[#This Row],[Employee Name]],'Base Schedules'!$A$46:$AW$77,43,FALSE)="","",VLOOKUP(Sat_W1[[#This Row],[Employee Name]],'Base Schedules'!$A$46:$AW$77,43,FALSE)),"")</f>
        <v/>
      </c>
      <c r="AS20" s="184" t="str">
        <f>IFERROR(IF(VLOOKUP(Sat_W1[[#This Row],[Employee Name]],'Base Schedules'!$A$46:$AW$77,44,FALSE)="","",VLOOKUP(Sat_W1[[#This Row],[Employee Name]],'Base Schedules'!$A$46:$AW$77,44,FALSE)),"")</f>
        <v/>
      </c>
      <c r="AT20" s="184" t="str">
        <f>IFERROR(IF(VLOOKUP(Sat_W1[[#This Row],[Employee Name]],'Base Schedules'!$A$46:$AW$77,45,FALSE)="","",VLOOKUP(Sat_W1[[#This Row],[Employee Name]],'Base Schedules'!$A$46:$AW$77,45,FALSE)),"")</f>
        <v/>
      </c>
      <c r="AU20" s="184" t="str">
        <f>IFERROR(IF(VLOOKUP(Sat_W1[[#This Row],[Employee Name]],'Base Schedules'!$A$46:$AW$77,46,FALSE)="","",VLOOKUP(Sat_W1[[#This Row],[Employee Name]],'Base Schedules'!$A$46:$AW$77,46,FALSE)),"")</f>
        <v/>
      </c>
      <c r="AV20" s="184" t="str">
        <f>IFERROR(IF(VLOOKUP(Sat_W1[[#This Row],[Employee Name]],'Base Schedules'!$A$46:$AW$77,47,FALSE)="","",VLOOKUP(Sat_W1[[#This Row],[Employee Name]],'Base Schedules'!$A$46:$AW$77,47,FALSE)),"")</f>
        <v/>
      </c>
      <c r="AW20" s="184" t="str">
        <f>IFERROR(IF(VLOOKUP(Sat_W1[[#This Row],[Employee Name]],'Base Schedules'!$A$46:$AW$77,48,FALSE)="","",VLOOKUP(Sat_W1[[#This Row],[Employee Name]],'Base Schedules'!$A$46:$AW$77,48,FALSE)),"")</f>
        <v/>
      </c>
      <c r="AX20" s="184" t="str">
        <f>IFERROR(IF(VLOOKUP(Sat_W1[[#This Row],[Employee Name]],'Base Schedules'!$A$46:$AW$77,49,FALSE)="","",VLOOKUP(Sat_W1[[#This Row],[Employee Name]],'Base Schedules'!$A$46:$AW$77,49,FALSE)),"")</f>
        <v/>
      </c>
      <c r="AY20" s="159" t="str">
        <f t="shared" si="2"/>
        <v>Stevens, Amanda</v>
      </c>
    </row>
    <row r="21" spans="1:51" s="44" customFormat="1" ht="12" customHeight="1" x14ac:dyDescent="0.2">
      <c r="A21" s="39" t="str">
        <f>IF(B21="","",INDEX(TeamList[],MATCH($B21,TeamList[[Employee Name]:[Employee Name]],0),MATCH("Manager",TeamList[#Headers],0)))</f>
        <v>Olson, Katherine</v>
      </c>
      <c r="B21" s="201" t="s">
        <v>231</v>
      </c>
      <c r="C21" s="257" t="str">
        <f>_xlfn.IFNA(VLOOKUP(Sat_W1[[#This Row],[Employee Name]],'Base Schedules'!A:B,2,FALSE),"")</f>
        <v>Lead</v>
      </c>
      <c r="D21" s="274">
        <f>_xlfn.IFNA(VLOOKUP(Sat_W1[[#This Row],[Employee Name]],'Base Schedules'!A:C,3,FALSE),"")</f>
        <v>900</v>
      </c>
      <c r="E21" s="274">
        <f>_xlfn.IFNA(VLOOKUP(Sat_W1[[#This Row],[Employee Name]],'Base Schedules'!A:D,4,FALSE),"")</f>
        <v>1730</v>
      </c>
      <c r="F21" s="142">
        <f>IF(Sat_W1[[#This Row],[Employee Name]]="","",IF(Sat_W1[[#This Row],[Dept]]="Supervisor",COUNTIFS($J21:$AX21,"*HL*",$J21:$AX21,"&lt;&gt;"&amp;"pHL"),COUNTIFS($J21:$AX21,"*HL*",$J21:$AX21,"&lt;&gt;"&amp;"*pHL*",$J21:$AX21,"&lt;&gt;"&amp;"pB1 HL",$J21:$AX21,"&lt;&gt;"&amp;"pB2 HL")-SUM(COUNTIFS($J21:$AX21,"*HL B1*",$J21:$AX21,"&lt;&gt;"&amp;"pHL B1")*0.5,COUNTIFS($J21:$AX21,"*HL B2*",$J21:$AX21,"&lt;&gt;"&amp;"pHL B2")*0.5,COUNTIFS($J21:$AX21,"*B1 HL*",$J21:$AX21,"&lt;&gt;"&amp;"pB1 HL")*0.5,COUNTIFS($J21:$AX21,"*B2 HL*",$J21:$AX21,"&lt;&gt;"&amp;"pB2 HL")*0.5)))</f>
        <v>6.5</v>
      </c>
      <c r="G21" s="142">
        <f t="shared" si="0"/>
        <v>0</v>
      </c>
      <c r="H21" s="142">
        <f t="shared" si="1"/>
        <v>7</v>
      </c>
      <c r="I21" s="142">
        <f>IF(Sat_W1[[#This Row],[Employee Name]]="","",IF(Sat_W1[[#This Row],[Dept]]="Supervisor",SUM(COUNTIFS($J21:$AX21,"RTA*",$J21:$AX21,"&lt;&gt;"&amp;"pRTA"),COUNTIFS($J21:$AX21,"*CRTA*",$J21:$AX21,"&lt;&gt;"&amp;"pCRTA")),COUNTIFS($J21:$AX21,"*RNNR*",$J21:$AX21,"&lt;&gt;"&amp;"*pRNNR*",$J21:$AX21,"&lt;&gt;"&amp;"pB1 RNNR",$J21:$AX21,"&lt;&gt;"&amp;"pB2 RNNR")-SUM(COUNTIFS($J21:$AX21,"*RNNR B1*",$J21:$AX21,"&lt;&gt;"&amp;"pRNNR B1")*0.5,COUNTIFS($J21:$AX21,"*RNNR B2*",$J21:$AX21,"&lt;&gt;"&amp;"pRNNR B2")*0.5,COUNTIFS($J21:$AX21,"*B1 RNNR*",$J21:$AX21,"&lt;&gt;"&amp;"pB1 RNNR")*0.5,COUNTIFS($J21:$AX21,"*B2 RNNR*",$J21:$AX21,"&lt;&gt;"&amp;"pB2 RNNR")*0.5)))</f>
        <v>2</v>
      </c>
      <c r="J21" s="184" t="str">
        <f>IFERROR(IF(VLOOKUP(Sat_W1[[#This Row],[Employee Name]],'Base Schedules'!$A$46:$AW$77,9,FALSE)="","",VLOOKUP(Sat_W1[[#This Row],[Employee Name]],'Base Schedules'!$A$46:$AW$77,9,FALSE)),"")</f>
        <v/>
      </c>
      <c r="K21" s="184" t="str">
        <f>IFERROR(IF(VLOOKUP(Sat_W1[[#This Row],[Employee Name]],'Base Schedules'!$A$46:$AW$77,10,FALSE)="","",VLOOKUP(Sat_W1[[#This Row],[Employee Name]],'Base Schedules'!$A$46:$AW$77,10,FALSE)),"")</f>
        <v/>
      </c>
      <c r="L21" s="184" t="str">
        <f>IFERROR(IF(VLOOKUP(Sat_W1[[#This Row],[Employee Name]],'Base Schedules'!$A$46:$AW$77,11,FALSE)="","",VLOOKUP(Sat_W1[[#This Row],[Employee Name]],'Base Schedules'!$A$46:$AW$77,11,FALSE)),"")</f>
        <v/>
      </c>
      <c r="M21" s="184" t="str">
        <f>IFERROR(IF(VLOOKUP(Sat_W1[[#This Row],[Employee Name]],'Base Schedules'!$A$46:$AW$77,12,FALSE)="","",VLOOKUP(Sat_W1[[#This Row],[Employee Name]],'Base Schedules'!$A$46:$AW$77,12,FALSE)),"")</f>
        <v/>
      </c>
      <c r="N21" s="184" t="str">
        <f>IFERROR(IF(VLOOKUP(Sat_W1[[#This Row],[Employee Name]],'Base Schedules'!$A$46:$AW$77,13,FALSE)="","",VLOOKUP(Sat_W1[[#This Row],[Employee Name]],'Base Schedules'!$A$46:$AW$77,13,FALSE)),"")</f>
        <v/>
      </c>
      <c r="O21" s="184" t="str">
        <f>IFERROR(IF(VLOOKUP(Sat_W1[[#This Row],[Employee Name]],'Base Schedules'!$A$46:$AW$77,14,FALSE)="","",VLOOKUP(Sat_W1[[#This Row],[Employee Name]],'Base Schedules'!$A$46:$AW$77,14,FALSE)),"")</f>
        <v/>
      </c>
      <c r="P21" s="184" t="str">
        <f>IFERROR(IF(VLOOKUP(Sat_W1[[#This Row],[Employee Name]],'Base Schedules'!$A$46:$AW$77,15,FALSE)="","",VLOOKUP(Sat_W1[[#This Row],[Employee Name]],'Base Schedules'!$A$46:$AW$77,15,FALSE)),"")</f>
        <v/>
      </c>
      <c r="Q21" s="184" t="str">
        <f>IFERROR(IF(VLOOKUP(Sat_W1[[#This Row],[Employee Name]],'Base Schedules'!$A$46:$AW$77,16,FALSE)="","",VLOOKUP(Sat_W1[[#This Row],[Employee Name]],'Base Schedules'!$A$46:$AW$77,16,FALSE)),"")</f>
        <v/>
      </c>
      <c r="R21" s="184" t="str">
        <f>IFERROR(IF(VLOOKUP(Sat_W1[[#This Row],[Employee Name]],'Base Schedules'!$A$46:$AW$77,17,FALSE)="","",VLOOKUP(Sat_W1[[#This Row],[Employee Name]],'Base Schedules'!$A$46:$AW$77,17,FALSE)),"")</f>
        <v>HL</v>
      </c>
      <c r="S21" s="184" t="str">
        <f>IFERROR(IF(VLOOKUP(Sat_W1[[#This Row],[Employee Name]],'Base Schedules'!$A$46:$AW$77,18,FALSE)="","",VLOOKUP(Sat_W1[[#This Row],[Employee Name]],'Base Schedules'!$A$46:$AW$77,18,FALSE)),"")</f>
        <v>HL</v>
      </c>
      <c r="T21" s="184" t="str">
        <f>IFERROR(IF(VLOOKUP(Sat_W1[[#This Row],[Employee Name]],'Base Schedules'!$A$46:$AW$77,19,FALSE)="","",VLOOKUP(Sat_W1[[#This Row],[Employee Name]],'Base Schedules'!$A$46:$AW$77,19,FALSE)),"")</f>
        <v>HL</v>
      </c>
      <c r="U21" s="184" t="str">
        <f>IFERROR(IF(VLOOKUP(Sat_W1[[#This Row],[Employee Name]],'Base Schedules'!$A$46:$AW$77,20,FALSE)="","",VLOOKUP(Sat_W1[[#This Row],[Employee Name]],'Base Schedules'!$A$46:$AW$77,20,FALSE)),"")</f>
        <v>HL B1</v>
      </c>
      <c r="V21" s="184" t="str">
        <f>IFERROR(IF(VLOOKUP(Sat_W1[[#This Row],[Employee Name]],'Base Schedules'!$A$46:$AW$77,21,FALSE)="","",VLOOKUP(Sat_W1[[#This Row],[Employee Name]],'Base Schedules'!$A$46:$AW$77,21,FALSE)),"")</f>
        <v>HL</v>
      </c>
      <c r="W21" s="184" t="str">
        <f>IFERROR(IF(VLOOKUP(Sat_W1[[#This Row],[Employee Name]],'Base Schedules'!$A$46:$AW$77,22,FALSE)="","",VLOOKUP(Sat_W1[[#This Row],[Employee Name]],'Base Schedules'!$A$46:$AW$77,22,FALSE)),"")</f>
        <v>HL</v>
      </c>
      <c r="X21" s="184" t="str">
        <f>IFERROR(IF(VLOOKUP(Sat_W1[[#This Row],[Employee Name]],'Base Schedules'!$A$46:$AW$77,23,FALSE)="","",VLOOKUP(Sat_W1[[#This Row],[Employee Name]],'Base Schedules'!$A$46:$AW$77,23,FALSE)),"")</f>
        <v>ADM</v>
      </c>
      <c r="Y21" s="184" t="str">
        <f>IFERROR(IF(VLOOKUP(Sat_W1[[#This Row],[Employee Name]],'Base Schedules'!$A$46:$AW$77,24,FALSE)="","",VLOOKUP(Sat_W1[[#This Row],[Employee Name]],'Base Schedules'!$A$46:$AW$77,24,FALSE)),"")</f>
        <v>ADM</v>
      </c>
      <c r="Z21" s="184" t="str">
        <f>IFERROR(IF(VLOOKUP(Sat_W1[[#This Row],[Employee Name]],'Base Schedules'!$A$46:$AW$77,25,FALSE)="","",VLOOKUP(Sat_W1[[#This Row],[Employee Name]],'Base Schedules'!$A$46:$AW$77,25,FALSE)),"")</f>
        <v>LUNCH</v>
      </c>
      <c r="AA21" s="184" t="str">
        <f>IFERROR(IF(VLOOKUP(Sat_W1[[#This Row],[Employee Name]],'Base Schedules'!$A$46:$AW$77,26,FALSE)="","",VLOOKUP(Sat_W1[[#This Row],[Employee Name]],'Base Schedules'!$A$46:$AW$77,26,FALSE)),"")</f>
        <v>ADM</v>
      </c>
      <c r="AB21" s="184" t="str">
        <f>IFERROR(IF(VLOOKUP(Sat_W1[[#This Row],[Employee Name]],'Base Schedules'!$A$46:$AW$77,27,FALSE)="","",VLOOKUP(Sat_W1[[#This Row],[Employee Name]],'Base Schedules'!$A$46:$AW$77,27,FALSE)),"")</f>
        <v>ADM</v>
      </c>
      <c r="AC21" s="184" t="str">
        <f>IFERROR(IF(VLOOKUP(Sat_W1[[#This Row],[Employee Name]],'Base Schedules'!$A$46:$AW$77,28,FALSE)="","",VLOOKUP(Sat_W1[[#This Row],[Employee Name]],'Base Schedules'!$A$46:$AW$77,28,FALSE)),"")</f>
        <v>HL</v>
      </c>
      <c r="AD21" s="184" t="str">
        <f>IFERROR(IF(VLOOKUP(Sat_W1[[#This Row],[Employee Name]],'Base Schedules'!$A$46:$AW$77,29,FALSE)="","",VLOOKUP(Sat_W1[[#This Row],[Employee Name]],'Base Schedules'!$A$46:$AW$77,29,FALSE)),"")</f>
        <v>ADM</v>
      </c>
      <c r="AE21" s="184" t="str">
        <f>IFERROR(IF(VLOOKUP(Sat_W1[[#This Row],[Employee Name]],'Base Schedules'!$A$46:$AW$77,30,FALSE)="","",VLOOKUP(Sat_W1[[#This Row],[Employee Name]],'Base Schedules'!$A$46:$AW$77,30,FALSE)),"")</f>
        <v>ADM B2</v>
      </c>
      <c r="AF21" s="184" t="str">
        <f>IFERROR(IF(VLOOKUP(Sat_W1[[#This Row],[Employee Name]],'Base Schedules'!$A$46:$AW$77,31,FALSE)="","",VLOOKUP(Sat_W1[[#This Row],[Employee Name]],'Base Schedules'!$A$46:$AW$77,31,FALSE)),"")</f>
        <v>RNNR</v>
      </c>
      <c r="AG21" s="184" t="str">
        <f>IFERROR(IF(VLOOKUP(Sat_W1[[#This Row],[Employee Name]],'Base Schedules'!$A$46:$AW$77,32,FALSE)="","",VLOOKUP(Sat_W1[[#This Row],[Employee Name]],'Base Schedules'!$A$46:$AW$77,32,FALSE)),"")</f>
        <v>RNNR</v>
      </c>
      <c r="AH21" s="184" t="str">
        <f>IFERROR(IF(VLOOKUP(Sat_W1[[#This Row],[Employee Name]],'Base Schedules'!$A$46:$AW$77,33,FALSE)="","",VLOOKUP(Sat_W1[[#This Row],[Employee Name]],'Base Schedules'!$A$46:$AW$77,33,FALSE)),"")</f>
        <v>ADM</v>
      </c>
      <c r="AI21" s="184" t="str">
        <f>IFERROR(IF(VLOOKUP(Sat_W1[[#This Row],[Employee Name]],'Base Schedules'!$A$46:$AW$77,34,FALSE)="","",VLOOKUP(Sat_W1[[#This Row],[Employee Name]],'Base Schedules'!$A$46:$AW$77,34,FALSE)),"")</f>
        <v/>
      </c>
      <c r="AJ21" s="184" t="str">
        <f>IFERROR(IF(VLOOKUP(Sat_W1[[#This Row],[Employee Name]],'Base Schedules'!$A$46:$AW$77,35,FALSE)="","",VLOOKUP(Sat_W1[[#This Row],[Employee Name]],'Base Schedules'!$A$46:$AW$77,35,FALSE)),"")</f>
        <v/>
      </c>
      <c r="AK21" s="184" t="str">
        <f>IFERROR(IF(VLOOKUP(Sat_W1[[#This Row],[Employee Name]],'Base Schedules'!$A$46:$AW$77,36,FALSE)="","",VLOOKUP(Sat_W1[[#This Row],[Employee Name]],'Base Schedules'!$A$46:$AW$77,36,FALSE)),"")</f>
        <v/>
      </c>
      <c r="AL21" s="184" t="str">
        <f>IFERROR(IF(VLOOKUP(Sat_W1[[#This Row],[Employee Name]],'Base Schedules'!$A$46:$AW$77,37,FALSE)="","",VLOOKUP(Sat_W1[[#This Row],[Employee Name]],'Base Schedules'!$A$46:$AW$77,37,FALSE)),"")</f>
        <v/>
      </c>
      <c r="AM21" s="184" t="str">
        <f>IFERROR(IF(VLOOKUP(Sat_W1[[#This Row],[Employee Name]],'Base Schedules'!$A$46:$AW$77,38,FALSE)="","",VLOOKUP(Sat_W1[[#This Row],[Employee Name]],'Base Schedules'!$A$46:$AW$77,38,FALSE)),"")</f>
        <v/>
      </c>
      <c r="AN21" s="184" t="str">
        <f>IFERROR(IF(VLOOKUP(Sat_W1[[#This Row],[Employee Name]],'Base Schedules'!$A$46:$AW$77,39,FALSE)="","",VLOOKUP(Sat_W1[[#This Row],[Employee Name]],'Base Schedules'!$A$46:$AW$77,39,FALSE)),"")</f>
        <v/>
      </c>
      <c r="AO21" s="184" t="str">
        <f>IFERROR(IF(VLOOKUP(Sat_W1[[#This Row],[Employee Name]],'Base Schedules'!$A$46:$AW$77,40,FALSE)="","",VLOOKUP(Sat_W1[[#This Row],[Employee Name]],'Base Schedules'!$A$46:$AW$77,40,FALSE)),"")</f>
        <v/>
      </c>
      <c r="AP21" s="184" t="str">
        <f>IFERROR(IF(VLOOKUP(Sat_W1[[#This Row],[Employee Name]],'Base Schedules'!$A$46:$AW$77,41,FALSE)="","",VLOOKUP(Sat_W1[[#This Row],[Employee Name]],'Base Schedules'!$A$46:$AW$77,41,FALSE)),"")</f>
        <v/>
      </c>
      <c r="AQ21" s="184" t="str">
        <f>IFERROR(IF(VLOOKUP(Sat_W1[[#This Row],[Employee Name]],'Base Schedules'!$A$46:$AW$77,42,FALSE)="","",VLOOKUP(Sat_W1[[#This Row],[Employee Name]],'Base Schedules'!$A$46:$AW$77,42,FALSE)),"")</f>
        <v/>
      </c>
      <c r="AR21" s="184" t="str">
        <f>IFERROR(IF(VLOOKUP(Sat_W1[[#This Row],[Employee Name]],'Base Schedules'!$A$46:$AW$77,43,FALSE)="","",VLOOKUP(Sat_W1[[#This Row],[Employee Name]],'Base Schedules'!$A$46:$AW$77,43,FALSE)),"")</f>
        <v/>
      </c>
      <c r="AS21" s="184" t="str">
        <f>IFERROR(IF(VLOOKUP(Sat_W1[[#This Row],[Employee Name]],'Base Schedules'!$A$46:$AW$77,44,FALSE)="","",VLOOKUP(Sat_W1[[#This Row],[Employee Name]],'Base Schedules'!$A$46:$AW$77,44,FALSE)),"")</f>
        <v/>
      </c>
      <c r="AT21" s="184" t="str">
        <f>IFERROR(IF(VLOOKUP(Sat_W1[[#This Row],[Employee Name]],'Base Schedules'!$A$46:$AW$77,45,FALSE)="","",VLOOKUP(Sat_W1[[#This Row],[Employee Name]],'Base Schedules'!$A$46:$AW$77,45,FALSE)),"")</f>
        <v/>
      </c>
      <c r="AU21" s="184" t="str">
        <f>IFERROR(IF(VLOOKUP(Sat_W1[[#This Row],[Employee Name]],'Base Schedules'!$A$46:$AW$77,46,FALSE)="","",VLOOKUP(Sat_W1[[#This Row],[Employee Name]],'Base Schedules'!$A$46:$AW$77,46,FALSE)),"")</f>
        <v/>
      </c>
      <c r="AV21" s="184" t="str">
        <f>IFERROR(IF(VLOOKUP(Sat_W1[[#This Row],[Employee Name]],'Base Schedules'!$A$46:$AW$77,47,FALSE)="","",VLOOKUP(Sat_W1[[#This Row],[Employee Name]],'Base Schedules'!$A$46:$AW$77,47,FALSE)),"")</f>
        <v/>
      </c>
      <c r="AW21" s="184" t="str">
        <f>IFERROR(IF(VLOOKUP(Sat_W1[[#This Row],[Employee Name]],'Base Schedules'!$A$46:$AW$77,48,FALSE)="","",VLOOKUP(Sat_W1[[#This Row],[Employee Name]],'Base Schedules'!$A$46:$AW$77,48,FALSE)),"")</f>
        <v/>
      </c>
      <c r="AX21" s="184" t="str">
        <f>IFERROR(IF(VLOOKUP(Sat_W1[[#This Row],[Employee Name]],'Base Schedules'!$A$46:$AW$77,49,FALSE)="","",VLOOKUP(Sat_W1[[#This Row],[Employee Name]],'Base Schedules'!$A$46:$AW$77,49,FALSE)),"")</f>
        <v/>
      </c>
      <c r="AY21" s="262" t="str">
        <f t="shared" si="2"/>
        <v>Fiskvik, Christopher</v>
      </c>
    </row>
    <row r="22" spans="1:51" s="44" customFormat="1" ht="12" customHeight="1" x14ac:dyDescent="0.2">
      <c r="A22" s="39" t="str">
        <f>IF(B22="","",INDEX(TeamList[],MATCH($B22,TeamList[[Employee Name]:[Employee Name]],0),MATCH("Manager",TeamList[#Headers],0)))</f>
        <v>Olson, Katherine</v>
      </c>
      <c r="B22" s="201" t="s">
        <v>69</v>
      </c>
      <c r="C22" s="257" t="str">
        <f>_xlfn.IFNA(VLOOKUP(Sat_W1[[#This Row],[Employee Name]],'Base Schedules'!A:B,2,FALSE),"")</f>
        <v>Lead</v>
      </c>
      <c r="D22" s="274">
        <f>_xlfn.IFNA(VLOOKUP(Sat_W1[[#This Row],[Employee Name]],'Base Schedules'!A:C,3,FALSE),"")</f>
        <v>1000</v>
      </c>
      <c r="E22" s="274">
        <f>_xlfn.IFNA(VLOOKUP(Sat_W1[[#This Row],[Employee Name]],'Base Schedules'!A:D,4,FALSE),"")</f>
        <v>1900</v>
      </c>
      <c r="F22" s="142">
        <f>IF(Sat_W1[[#This Row],[Employee Name]]="","",IF(Sat_W1[[#This Row],[Dept]]="Supervisor",COUNTIFS($J22:$AX22,"*HL*",$J22:$AX22,"&lt;&gt;"&amp;"pHL"),COUNTIFS($J22:$AX22,"*HL*",$J22:$AX22,"&lt;&gt;"&amp;"*pHL*",$J22:$AX22,"&lt;&gt;"&amp;"pB1 HL",$J22:$AX22,"&lt;&gt;"&amp;"pB2 HL")-SUM(COUNTIFS($J22:$AX22,"*HL B1*",$J22:$AX22,"&lt;&gt;"&amp;"pHL B1")*0.5,COUNTIFS($J22:$AX22,"*HL B2*",$J22:$AX22,"&lt;&gt;"&amp;"pHL B2")*0.5,COUNTIFS($J22:$AX22,"*B1 HL*",$J22:$AX22,"&lt;&gt;"&amp;"pB1 HL")*0.5,COUNTIFS($J22:$AX22,"*B2 HL*",$J22:$AX22,"&lt;&gt;"&amp;"pB2 HL")*0.5)))</f>
        <v>5.5</v>
      </c>
      <c r="G22" s="142">
        <f t="shared" si="0"/>
        <v>0</v>
      </c>
      <c r="H22" s="142">
        <f t="shared" si="1"/>
        <v>6</v>
      </c>
      <c r="I22" s="142">
        <f>IF(Sat_W1[[#This Row],[Employee Name]]="","",IF(Sat_W1[[#This Row],[Dept]]="Supervisor",SUM(COUNTIFS($J22:$AX22,"RTA*",$J22:$AX22,"&lt;&gt;"&amp;"pRTA"),COUNTIFS($J22:$AX22,"*CRTA*",$J22:$AX22,"&lt;&gt;"&amp;"pCRTA")),COUNTIFS($J22:$AX22,"*RNNR*",$J22:$AX22,"&lt;&gt;"&amp;"*pRNNR*",$J22:$AX22,"&lt;&gt;"&amp;"pB1 RNNR",$J22:$AX22,"&lt;&gt;"&amp;"pB2 RNNR")-SUM(COUNTIFS($J22:$AX22,"*RNNR B1*",$J22:$AX22,"&lt;&gt;"&amp;"pRNNR B1")*0.5,COUNTIFS($J22:$AX22,"*RNNR B2*",$J22:$AX22,"&lt;&gt;"&amp;"pRNNR B2")*0.5,COUNTIFS($J22:$AX22,"*B1 RNNR*",$J22:$AX22,"&lt;&gt;"&amp;"pB1 RNNR")*0.5,COUNTIFS($J22:$AX22,"*B2 RNNR*",$J22:$AX22,"&lt;&gt;"&amp;"pB2 RNNR")*0.5)))</f>
        <v>2</v>
      </c>
      <c r="J22" s="184" t="str">
        <f>IFERROR(IF(VLOOKUP(Sat_W1[[#This Row],[Employee Name]],'Base Schedules'!$A$46:$AW$77,9,FALSE)="","",VLOOKUP(Sat_W1[[#This Row],[Employee Name]],'Base Schedules'!$A$46:$AW$77,9,FALSE)),"")</f>
        <v/>
      </c>
      <c r="K22" s="184" t="str">
        <f>IFERROR(IF(VLOOKUP(Sat_W1[[#This Row],[Employee Name]],'Base Schedules'!$A$46:$AW$77,10,FALSE)="","",VLOOKUP(Sat_W1[[#This Row],[Employee Name]],'Base Schedules'!$A$46:$AW$77,10,FALSE)),"")</f>
        <v/>
      </c>
      <c r="L22" s="184" t="str">
        <f>IFERROR(IF(VLOOKUP(Sat_W1[[#This Row],[Employee Name]],'Base Schedules'!$A$46:$AW$77,11,FALSE)="","",VLOOKUP(Sat_W1[[#This Row],[Employee Name]],'Base Schedules'!$A$46:$AW$77,11,FALSE)),"")</f>
        <v/>
      </c>
      <c r="M22" s="184" t="str">
        <f>IFERROR(IF(VLOOKUP(Sat_W1[[#This Row],[Employee Name]],'Base Schedules'!$A$46:$AW$77,12,FALSE)="","",VLOOKUP(Sat_W1[[#This Row],[Employee Name]],'Base Schedules'!$A$46:$AW$77,12,FALSE)),"")</f>
        <v/>
      </c>
      <c r="N22" s="184" t="str">
        <f>IFERROR(IF(VLOOKUP(Sat_W1[[#This Row],[Employee Name]],'Base Schedules'!$A$46:$AW$77,13,FALSE)="","",VLOOKUP(Sat_W1[[#This Row],[Employee Name]],'Base Schedules'!$A$46:$AW$77,13,FALSE)),"")</f>
        <v/>
      </c>
      <c r="O22" s="184" t="str">
        <f>IFERROR(IF(VLOOKUP(Sat_W1[[#This Row],[Employee Name]],'Base Schedules'!$A$46:$AW$77,14,FALSE)="","",VLOOKUP(Sat_W1[[#This Row],[Employee Name]],'Base Schedules'!$A$46:$AW$77,14,FALSE)),"")</f>
        <v/>
      </c>
      <c r="P22" s="184" t="str">
        <f>IFERROR(IF(VLOOKUP(Sat_W1[[#This Row],[Employee Name]],'Base Schedules'!$A$46:$AW$77,15,FALSE)="","",VLOOKUP(Sat_W1[[#This Row],[Employee Name]],'Base Schedules'!$A$46:$AW$77,15,FALSE)),"")</f>
        <v/>
      </c>
      <c r="Q22" s="184" t="str">
        <f>IFERROR(IF(VLOOKUP(Sat_W1[[#This Row],[Employee Name]],'Base Schedules'!$A$46:$AW$77,16,FALSE)="","",VLOOKUP(Sat_W1[[#This Row],[Employee Name]],'Base Schedules'!$A$46:$AW$77,16,FALSE)),"")</f>
        <v/>
      </c>
      <c r="R22" s="184" t="str">
        <f>IFERROR(IF(VLOOKUP(Sat_W1[[#This Row],[Employee Name]],'Base Schedules'!$A$46:$AW$77,17,FALSE)="","",VLOOKUP(Sat_W1[[#This Row],[Employee Name]],'Base Schedules'!$A$46:$AW$77,17,FALSE)),"")</f>
        <v/>
      </c>
      <c r="S22" s="184" t="str">
        <f>IFERROR(IF(VLOOKUP(Sat_W1[[#This Row],[Employee Name]],'Base Schedules'!$A$46:$AW$77,18,FALSE)="","",VLOOKUP(Sat_W1[[#This Row],[Employee Name]],'Base Schedules'!$A$46:$AW$77,18,FALSE)),"")</f>
        <v/>
      </c>
      <c r="T22" s="184" t="str">
        <f>IFERROR(IF(VLOOKUP(Sat_W1[[#This Row],[Employee Name]],'Base Schedules'!$A$46:$AW$77,19,FALSE)="","",VLOOKUP(Sat_W1[[#This Row],[Employee Name]],'Base Schedules'!$A$46:$AW$77,19,FALSE)),"")</f>
        <v>ADM</v>
      </c>
      <c r="U22" s="184" t="str">
        <f>IFERROR(IF(VLOOKUP(Sat_W1[[#This Row],[Employee Name]],'Base Schedules'!$A$46:$AW$77,20,FALSE)="","",VLOOKUP(Sat_W1[[#This Row],[Employee Name]],'Base Schedules'!$A$46:$AW$77,20,FALSE)),"")</f>
        <v>ADM</v>
      </c>
      <c r="V22" s="184" t="str">
        <f>IFERROR(IF(VLOOKUP(Sat_W1[[#This Row],[Employee Name]],'Base Schedules'!$A$46:$AW$77,21,FALSE)="","",VLOOKUP(Sat_W1[[#This Row],[Employee Name]],'Base Schedules'!$A$46:$AW$77,21,FALSE)),"")</f>
        <v>RNNR</v>
      </c>
      <c r="W22" s="184" t="str">
        <f>IFERROR(IF(VLOOKUP(Sat_W1[[#This Row],[Employee Name]],'Base Schedules'!$A$46:$AW$77,22,FALSE)="","",VLOOKUP(Sat_W1[[#This Row],[Employee Name]],'Base Schedules'!$A$46:$AW$77,22,FALSE)),"")</f>
        <v>RNNR</v>
      </c>
      <c r="X22" s="184" t="str">
        <f>IFERROR(IF(VLOOKUP(Sat_W1[[#This Row],[Employee Name]],'Base Schedules'!$A$46:$AW$77,23,FALSE)="","",VLOOKUP(Sat_W1[[#This Row],[Employee Name]],'Base Schedules'!$A$46:$AW$77,23,FALSE)),"")</f>
        <v>HL B1</v>
      </c>
      <c r="Y22" s="184" t="str">
        <f>IFERROR(IF(VLOOKUP(Sat_W1[[#This Row],[Employee Name]],'Base Schedules'!$A$46:$AW$77,24,FALSE)="","",VLOOKUP(Sat_W1[[#This Row],[Employee Name]],'Base Schedules'!$A$46:$AW$77,24,FALSE)),"")</f>
        <v>ADM</v>
      </c>
      <c r="Z22" s="184" t="str">
        <f>IFERROR(IF(VLOOKUP(Sat_W1[[#This Row],[Employee Name]],'Base Schedules'!$A$46:$AW$77,25,FALSE)="","",VLOOKUP(Sat_W1[[#This Row],[Employee Name]],'Base Schedules'!$A$46:$AW$77,25,FALSE)),"")</f>
        <v>HL</v>
      </c>
      <c r="AA22" s="184" t="str">
        <f>IFERROR(IF(VLOOKUP(Sat_W1[[#This Row],[Employee Name]],'Base Schedules'!$A$46:$AW$77,26,FALSE)="","",VLOOKUP(Sat_W1[[#This Row],[Employee Name]],'Base Schedules'!$A$46:$AW$77,26,FALSE)),"")</f>
        <v>PROJECT</v>
      </c>
      <c r="AB22" s="184" t="str">
        <f>IFERROR(IF(VLOOKUP(Sat_W1[[#This Row],[Employee Name]],'Base Schedules'!$A$46:$AW$77,27,FALSE)="","",VLOOKUP(Sat_W1[[#This Row],[Employee Name]],'Base Schedules'!$A$46:$AW$77,27,FALSE)),"")</f>
        <v>PROJECT</v>
      </c>
      <c r="AC22" s="184" t="str">
        <f>IFERROR(IF(VLOOKUP(Sat_W1[[#This Row],[Employee Name]],'Base Schedules'!$A$46:$AW$77,28,FALSE)="","",VLOOKUP(Sat_W1[[#This Row],[Employee Name]],'Base Schedules'!$A$46:$AW$77,28,FALSE)),"")</f>
        <v>LUNCH</v>
      </c>
      <c r="AD22" s="184" t="str">
        <f>IFERROR(IF(VLOOKUP(Sat_W1[[#This Row],[Employee Name]],'Base Schedules'!$A$46:$AW$77,29,FALSE)="","",VLOOKUP(Sat_W1[[#This Row],[Employee Name]],'Base Schedules'!$A$46:$AW$77,29,FALSE)),"")</f>
        <v>LUNCH</v>
      </c>
      <c r="AE22" s="184" t="str">
        <f>IFERROR(IF(VLOOKUP(Sat_W1[[#This Row],[Employee Name]],'Base Schedules'!$A$46:$AW$77,30,FALSE)="","",VLOOKUP(Sat_W1[[#This Row],[Employee Name]],'Base Schedules'!$A$46:$AW$77,30,FALSE)),"")</f>
        <v>HL</v>
      </c>
      <c r="AF22" s="184" t="str">
        <f>IFERROR(IF(VLOOKUP(Sat_W1[[#This Row],[Employee Name]],'Base Schedules'!$A$46:$AW$77,31,FALSE)="","",VLOOKUP(Sat_W1[[#This Row],[Employee Name]],'Base Schedules'!$A$46:$AW$77,31,FALSE)),"")</f>
        <v>HL</v>
      </c>
      <c r="AG22" s="184" t="str">
        <f>IFERROR(IF(VLOOKUP(Sat_W1[[#This Row],[Employee Name]],'Base Schedules'!$A$46:$AW$77,32,FALSE)="","",VLOOKUP(Sat_W1[[#This Row],[Employee Name]],'Base Schedules'!$A$46:$AW$77,32,FALSE)),"")</f>
        <v>HL</v>
      </c>
      <c r="AH22" s="184" t="str">
        <f>IFERROR(IF(VLOOKUP(Sat_W1[[#This Row],[Employee Name]],'Base Schedules'!$A$46:$AW$77,33,FALSE)="","",VLOOKUP(Sat_W1[[#This Row],[Employee Name]],'Base Schedules'!$A$46:$AW$77,33,FALSE)),"")</f>
        <v>B2 ADM</v>
      </c>
      <c r="AI22" s="184" t="str">
        <f>IFERROR(IF(VLOOKUP(Sat_W1[[#This Row],[Employee Name]],'Base Schedules'!$A$46:$AW$77,34,FALSE)="","",VLOOKUP(Sat_W1[[#This Row],[Employee Name]],'Base Schedules'!$A$46:$AW$77,34,FALSE)),"")</f>
        <v>ADM</v>
      </c>
      <c r="AJ22" s="184" t="str">
        <f>IFERROR(IF(VLOOKUP(Sat_W1[[#This Row],[Employee Name]],'Base Schedules'!$A$46:$AW$77,35,FALSE)="","",VLOOKUP(Sat_W1[[#This Row],[Employee Name]],'Base Schedules'!$A$46:$AW$77,35,FALSE)),"")</f>
        <v>HL</v>
      </c>
      <c r="AK22" s="184" t="str">
        <f>IFERROR(IF(VLOOKUP(Sat_W1[[#This Row],[Employee Name]],'Base Schedules'!$A$46:$AW$77,36,FALSE)="","",VLOOKUP(Sat_W1[[#This Row],[Employee Name]],'Base Schedules'!$A$46:$AW$77,36,FALSE)),"")</f>
        <v>ADM</v>
      </c>
      <c r="AL22" s="184" t="str">
        <f>IFERROR(IF(VLOOKUP(Sat_W1[[#This Row],[Employee Name]],'Base Schedules'!$A$46:$AW$77,37,FALSE)="","",VLOOKUP(Sat_W1[[#This Row],[Employee Name]],'Base Schedules'!$A$46:$AW$77,37,FALSE)),"")</f>
        <v/>
      </c>
      <c r="AM22" s="184" t="str">
        <f>IFERROR(IF(VLOOKUP(Sat_W1[[#This Row],[Employee Name]],'Base Schedules'!$A$46:$AW$77,38,FALSE)="","",VLOOKUP(Sat_W1[[#This Row],[Employee Name]],'Base Schedules'!$A$46:$AW$77,38,FALSE)),"")</f>
        <v/>
      </c>
      <c r="AN22" s="184" t="str">
        <f>IFERROR(IF(VLOOKUP(Sat_W1[[#This Row],[Employee Name]],'Base Schedules'!$A$46:$AW$77,39,FALSE)="","",VLOOKUP(Sat_W1[[#This Row],[Employee Name]],'Base Schedules'!$A$46:$AW$77,39,FALSE)),"")</f>
        <v/>
      </c>
      <c r="AO22" s="184" t="str">
        <f>IFERROR(IF(VLOOKUP(Sat_W1[[#This Row],[Employee Name]],'Base Schedules'!$A$46:$AW$77,40,FALSE)="","",VLOOKUP(Sat_W1[[#This Row],[Employee Name]],'Base Schedules'!$A$46:$AW$77,40,FALSE)),"")</f>
        <v/>
      </c>
      <c r="AP22" s="184" t="str">
        <f>IFERROR(IF(VLOOKUP(Sat_W1[[#This Row],[Employee Name]],'Base Schedules'!$A$46:$AW$77,41,FALSE)="","",VLOOKUP(Sat_W1[[#This Row],[Employee Name]],'Base Schedules'!$A$46:$AW$77,41,FALSE)),"")</f>
        <v/>
      </c>
      <c r="AQ22" s="184" t="str">
        <f>IFERROR(IF(VLOOKUP(Sat_W1[[#This Row],[Employee Name]],'Base Schedules'!$A$46:$AW$77,42,FALSE)="","",VLOOKUP(Sat_W1[[#This Row],[Employee Name]],'Base Schedules'!$A$46:$AW$77,42,FALSE)),"")</f>
        <v/>
      </c>
      <c r="AR22" s="184" t="str">
        <f>IFERROR(IF(VLOOKUP(Sat_W1[[#This Row],[Employee Name]],'Base Schedules'!$A$46:$AW$77,43,FALSE)="","",VLOOKUP(Sat_W1[[#This Row],[Employee Name]],'Base Schedules'!$A$46:$AW$77,43,FALSE)),"")</f>
        <v/>
      </c>
      <c r="AS22" s="184" t="str">
        <f>IFERROR(IF(VLOOKUP(Sat_W1[[#This Row],[Employee Name]],'Base Schedules'!$A$46:$AW$77,44,FALSE)="","",VLOOKUP(Sat_W1[[#This Row],[Employee Name]],'Base Schedules'!$A$46:$AW$77,44,FALSE)),"")</f>
        <v/>
      </c>
      <c r="AT22" s="184" t="str">
        <f>IFERROR(IF(VLOOKUP(Sat_W1[[#This Row],[Employee Name]],'Base Schedules'!$A$46:$AW$77,45,FALSE)="","",VLOOKUP(Sat_W1[[#This Row],[Employee Name]],'Base Schedules'!$A$46:$AW$77,45,FALSE)),"")</f>
        <v/>
      </c>
      <c r="AU22" s="184" t="str">
        <f>IFERROR(IF(VLOOKUP(Sat_W1[[#This Row],[Employee Name]],'Base Schedules'!$A$46:$AW$77,46,FALSE)="","",VLOOKUP(Sat_W1[[#This Row],[Employee Name]],'Base Schedules'!$A$46:$AW$77,46,FALSE)),"")</f>
        <v/>
      </c>
      <c r="AV22" s="184" t="str">
        <f>IFERROR(IF(VLOOKUP(Sat_W1[[#This Row],[Employee Name]],'Base Schedules'!$A$46:$AW$77,47,FALSE)="","",VLOOKUP(Sat_W1[[#This Row],[Employee Name]],'Base Schedules'!$A$46:$AW$77,47,FALSE)),"")</f>
        <v/>
      </c>
      <c r="AW22" s="184" t="str">
        <f>IFERROR(IF(VLOOKUP(Sat_W1[[#This Row],[Employee Name]],'Base Schedules'!$A$46:$AW$77,48,FALSE)="","",VLOOKUP(Sat_W1[[#This Row],[Employee Name]],'Base Schedules'!$A$46:$AW$77,48,FALSE)),"")</f>
        <v/>
      </c>
      <c r="AX22" s="184" t="str">
        <f>IFERROR(IF(VLOOKUP(Sat_W1[[#This Row],[Employee Name]],'Base Schedules'!$A$46:$AW$77,49,FALSE)="","",VLOOKUP(Sat_W1[[#This Row],[Employee Name]],'Base Schedules'!$A$46:$AW$77,49,FALSE)),"")</f>
        <v/>
      </c>
      <c r="AY22" s="159" t="str">
        <f t="shared" si="2"/>
        <v>Slagle, Natasha</v>
      </c>
    </row>
    <row r="23" spans="1:51" s="44" customFormat="1" ht="12" customHeight="1" x14ac:dyDescent="0.2">
      <c r="A23" s="39" t="str">
        <f>IF(B23="","",INDEX(TeamList[],MATCH($B23,TeamList[[Employee Name]:[Employee Name]],0),MATCH("Manager",TeamList[#Headers],0)))</f>
        <v>Olson, Katherine</v>
      </c>
      <c r="B23" s="201" t="s">
        <v>236</v>
      </c>
      <c r="C23" s="257" t="str">
        <f>_xlfn.IFNA(VLOOKUP(Sat_W1[[#This Row],[Employee Name]],'Base Schedules'!A:B,2,FALSE),"")</f>
        <v>Lead</v>
      </c>
      <c r="D23" s="274">
        <f>_xlfn.IFNA(VLOOKUP(Sat_W1[[#This Row],[Employee Name]],'Base Schedules'!A:C,3,FALSE),"")</f>
        <v>1130</v>
      </c>
      <c r="E23" s="274">
        <f>_xlfn.IFNA(VLOOKUP(Sat_W1[[#This Row],[Employee Name]],'Base Schedules'!A:D,4,FALSE),"")</f>
        <v>2000</v>
      </c>
      <c r="F23" s="142">
        <f>IF(Sat_W1[[#This Row],[Employee Name]]="","",IF(Sat_W1[[#This Row],[Dept]]="Supervisor",COUNTIFS($J23:$AX23,"*HL*",$J23:$AX23,"&lt;&gt;"&amp;"pHL"),COUNTIFS($J23:$AX23,"*HL*",$J23:$AX23,"&lt;&gt;"&amp;"*pHL*",$J23:$AX23,"&lt;&gt;"&amp;"pB1 HL",$J23:$AX23,"&lt;&gt;"&amp;"pB2 HL")-SUM(COUNTIFS($J23:$AX23,"*HL B1*",$J23:$AX23,"&lt;&gt;"&amp;"pHL B1")*0.5,COUNTIFS($J23:$AX23,"*HL B2*",$J23:$AX23,"&lt;&gt;"&amp;"pHL B2")*0.5,COUNTIFS($J23:$AX23,"*B1 HL*",$J23:$AX23,"&lt;&gt;"&amp;"pB1 HL")*0.5,COUNTIFS($J23:$AX23,"*B2 HL*",$J23:$AX23,"&lt;&gt;"&amp;"pB2 HL")*0.5)))</f>
        <v>5.5</v>
      </c>
      <c r="G23" s="142">
        <f t="shared" si="0"/>
        <v>0</v>
      </c>
      <c r="H23" s="142">
        <f t="shared" si="1"/>
        <v>6</v>
      </c>
      <c r="I23" s="142">
        <f>IF(Sat_W1[[#This Row],[Employee Name]]="","",IF(Sat_W1[[#This Row],[Dept]]="Supervisor",SUM(COUNTIFS($J23:$AX23,"RTA*",$J23:$AX23,"&lt;&gt;"&amp;"pRTA"),COUNTIFS($J23:$AX23,"*CRTA*",$J23:$AX23,"&lt;&gt;"&amp;"pCRTA")),COUNTIFS($J23:$AX23,"*RNNR*",$J23:$AX23,"&lt;&gt;"&amp;"*pRNNR*",$J23:$AX23,"&lt;&gt;"&amp;"pB1 RNNR",$J23:$AX23,"&lt;&gt;"&amp;"pB2 RNNR")-SUM(COUNTIFS($J23:$AX23,"*RNNR B1*",$J23:$AX23,"&lt;&gt;"&amp;"pRNNR B1")*0.5,COUNTIFS($J23:$AX23,"*RNNR B2*",$J23:$AX23,"&lt;&gt;"&amp;"pRNNR B2")*0.5,COUNTIFS($J23:$AX23,"*B1 RNNR*",$J23:$AX23,"&lt;&gt;"&amp;"pB1 RNNR")*0.5,COUNTIFS($J23:$AX23,"*B2 RNNR*",$J23:$AX23,"&lt;&gt;"&amp;"pB2 RNNR")*0.5)))</f>
        <v>2</v>
      </c>
      <c r="J23" s="184" t="str">
        <f>IFERROR(IF(VLOOKUP(Sat_W1[[#This Row],[Employee Name]],'Base Schedules'!$A$46:$AW$77,9,FALSE)="","",VLOOKUP(Sat_W1[[#This Row],[Employee Name]],'Base Schedules'!$A$46:$AW$77,9,FALSE)),"")</f>
        <v/>
      </c>
      <c r="K23" s="184" t="str">
        <f>IFERROR(IF(VLOOKUP(Sat_W1[[#This Row],[Employee Name]],'Base Schedules'!$A$46:$AW$77,10,FALSE)="","",VLOOKUP(Sat_W1[[#This Row],[Employee Name]],'Base Schedules'!$A$46:$AW$77,10,FALSE)),"")</f>
        <v/>
      </c>
      <c r="L23" s="184" t="str">
        <f>IFERROR(IF(VLOOKUP(Sat_W1[[#This Row],[Employee Name]],'Base Schedules'!$A$46:$AW$77,11,FALSE)="","",VLOOKUP(Sat_W1[[#This Row],[Employee Name]],'Base Schedules'!$A$46:$AW$77,11,FALSE)),"")</f>
        <v/>
      </c>
      <c r="M23" s="184" t="str">
        <f>IFERROR(IF(VLOOKUP(Sat_W1[[#This Row],[Employee Name]],'Base Schedules'!$A$46:$AW$77,12,FALSE)="","",VLOOKUP(Sat_W1[[#This Row],[Employee Name]],'Base Schedules'!$A$46:$AW$77,12,FALSE)),"")</f>
        <v/>
      </c>
      <c r="N23" s="184" t="str">
        <f>IFERROR(IF(VLOOKUP(Sat_W1[[#This Row],[Employee Name]],'Base Schedules'!$A$46:$AW$77,13,FALSE)="","",VLOOKUP(Sat_W1[[#This Row],[Employee Name]],'Base Schedules'!$A$46:$AW$77,13,FALSE)),"")</f>
        <v/>
      </c>
      <c r="O23" s="184" t="str">
        <f>IFERROR(IF(VLOOKUP(Sat_W1[[#This Row],[Employee Name]],'Base Schedules'!$A$46:$AW$77,14,FALSE)="","",VLOOKUP(Sat_W1[[#This Row],[Employee Name]],'Base Schedules'!$A$46:$AW$77,14,FALSE)),"")</f>
        <v/>
      </c>
      <c r="P23" s="184" t="str">
        <f>IFERROR(IF(VLOOKUP(Sat_W1[[#This Row],[Employee Name]],'Base Schedules'!$A$46:$AW$77,15,FALSE)="","",VLOOKUP(Sat_W1[[#This Row],[Employee Name]],'Base Schedules'!$A$46:$AW$77,15,FALSE)),"")</f>
        <v/>
      </c>
      <c r="Q23" s="184" t="str">
        <f>IFERROR(IF(VLOOKUP(Sat_W1[[#This Row],[Employee Name]],'Base Schedules'!$A$46:$AW$77,16,FALSE)="","",VLOOKUP(Sat_W1[[#This Row],[Employee Name]],'Base Schedules'!$A$46:$AW$77,16,FALSE)),"")</f>
        <v/>
      </c>
      <c r="R23" s="184" t="str">
        <f>IFERROR(IF(VLOOKUP(Sat_W1[[#This Row],[Employee Name]],'Base Schedules'!$A$46:$AW$77,17,FALSE)="","",VLOOKUP(Sat_W1[[#This Row],[Employee Name]],'Base Schedules'!$A$46:$AW$77,17,FALSE)),"")</f>
        <v/>
      </c>
      <c r="S23" s="184" t="str">
        <f>IFERROR(IF(VLOOKUP(Sat_W1[[#This Row],[Employee Name]],'Base Schedules'!$A$46:$AW$77,18,FALSE)="","",VLOOKUP(Sat_W1[[#This Row],[Employee Name]],'Base Schedules'!$A$46:$AW$77,18,FALSE)),"")</f>
        <v/>
      </c>
      <c r="T23" s="184" t="str">
        <f>IFERROR(IF(VLOOKUP(Sat_W1[[#This Row],[Employee Name]],'Base Schedules'!$A$46:$AW$77,19,FALSE)="","",VLOOKUP(Sat_W1[[#This Row],[Employee Name]],'Base Schedules'!$A$46:$AW$77,19,FALSE)),"")</f>
        <v/>
      </c>
      <c r="U23" s="184" t="str">
        <f>IFERROR(IF(VLOOKUP(Sat_W1[[#This Row],[Employee Name]],'Base Schedules'!$A$46:$AW$77,20,FALSE)="","",VLOOKUP(Sat_W1[[#This Row],[Employee Name]],'Base Schedules'!$A$46:$AW$77,20,FALSE)),"")</f>
        <v/>
      </c>
      <c r="V23" s="184" t="str">
        <f>IFERROR(IF(VLOOKUP(Sat_W1[[#This Row],[Employee Name]],'Base Schedules'!$A$46:$AW$77,21,FALSE)="","",VLOOKUP(Sat_W1[[#This Row],[Employee Name]],'Base Schedules'!$A$46:$AW$77,21,FALSE)),"")</f>
        <v/>
      </c>
      <c r="W23" s="184" t="str">
        <f>IFERROR(IF(VLOOKUP(Sat_W1[[#This Row],[Employee Name]],'Base Schedules'!$A$46:$AW$77,22,FALSE)="","",VLOOKUP(Sat_W1[[#This Row],[Employee Name]],'Base Schedules'!$A$46:$AW$77,22,FALSE)),"")</f>
        <v>ADM</v>
      </c>
      <c r="X23" s="184" t="str">
        <f>IFERROR(IF(VLOOKUP(Sat_W1[[#This Row],[Employee Name]],'Base Schedules'!$A$46:$AW$77,23,FALSE)="","",VLOOKUP(Sat_W1[[#This Row],[Employee Name]],'Base Schedules'!$A$46:$AW$77,23,FALSE)),"")</f>
        <v>PROJECT</v>
      </c>
      <c r="Y23" s="184" t="str">
        <f>IFERROR(IF(VLOOKUP(Sat_W1[[#This Row],[Employee Name]],'Base Schedules'!$A$46:$AW$77,24,FALSE)="","",VLOOKUP(Sat_W1[[#This Row],[Employee Name]],'Base Schedules'!$A$46:$AW$77,24,FALSE)),"")</f>
        <v>PROJECT</v>
      </c>
      <c r="Z23" s="184" t="str">
        <f>IFERROR(IF(VLOOKUP(Sat_W1[[#This Row],[Employee Name]],'Base Schedules'!$A$46:$AW$77,25,FALSE)="","",VLOOKUP(Sat_W1[[#This Row],[Employee Name]],'Base Schedules'!$A$46:$AW$77,25,FALSE)),"")</f>
        <v>HL B1</v>
      </c>
      <c r="AA23" s="184" t="str">
        <f>IFERROR(IF(VLOOKUP(Sat_W1[[#This Row],[Employee Name]],'Base Schedules'!$A$46:$AW$77,26,FALSE)="","",VLOOKUP(Sat_W1[[#This Row],[Employee Name]],'Base Schedules'!$A$46:$AW$77,26,FALSE)),"")</f>
        <v>ADM</v>
      </c>
      <c r="AB23" s="184" t="str">
        <f>IFERROR(IF(VLOOKUP(Sat_W1[[#This Row],[Employee Name]],'Base Schedules'!$A$46:$AW$77,27,FALSE)="","",VLOOKUP(Sat_W1[[#This Row],[Employee Name]],'Base Schedules'!$A$46:$AW$77,27,FALSE)),"")</f>
        <v>RNNR</v>
      </c>
      <c r="AC23" s="184" t="str">
        <f>IFERROR(IF(VLOOKUP(Sat_W1[[#This Row],[Employee Name]],'Base Schedules'!$A$46:$AW$77,28,FALSE)="","",VLOOKUP(Sat_W1[[#This Row],[Employee Name]],'Base Schedules'!$A$46:$AW$77,28,FALSE)),"")</f>
        <v>RNNR</v>
      </c>
      <c r="AD23" s="184" t="str">
        <f>IFERROR(IF(VLOOKUP(Sat_W1[[#This Row],[Employee Name]],'Base Schedules'!$A$46:$AW$77,29,FALSE)="","",VLOOKUP(Sat_W1[[#This Row],[Employee Name]],'Base Schedules'!$A$46:$AW$77,29,FALSE)),"")</f>
        <v>ADM</v>
      </c>
      <c r="AE23" s="184" t="str">
        <f>IFERROR(IF(VLOOKUP(Sat_W1[[#This Row],[Employee Name]],'Base Schedules'!$A$46:$AW$77,30,FALSE)="","",VLOOKUP(Sat_W1[[#This Row],[Employee Name]],'Base Schedules'!$A$46:$AW$77,30,FALSE)),"")</f>
        <v>LUNCH</v>
      </c>
      <c r="AF23" s="184" t="str">
        <f>IFERROR(IF(VLOOKUP(Sat_W1[[#This Row],[Employee Name]],'Base Schedules'!$A$46:$AW$77,31,FALSE)="","",VLOOKUP(Sat_W1[[#This Row],[Employee Name]],'Base Schedules'!$A$46:$AW$77,31,FALSE)),"")</f>
        <v>HL</v>
      </c>
      <c r="AG23" s="184" t="str">
        <f>IFERROR(IF(VLOOKUP(Sat_W1[[#This Row],[Employee Name]],'Base Schedules'!$A$46:$AW$77,32,FALSE)="","",VLOOKUP(Sat_W1[[#This Row],[Employee Name]],'Base Schedules'!$A$46:$AW$77,32,FALSE)),"")</f>
        <v>HL</v>
      </c>
      <c r="AH23" s="184" t="str">
        <f>IFERROR(IF(VLOOKUP(Sat_W1[[#This Row],[Employee Name]],'Base Schedules'!$A$46:$AW$77,33,FALSE)="","",VLOOKUP(Sat_W1[[#This Row],[Employee Name]],'Base Schedules'!$A$46:$AW$77,33,FALSE)),"")</f>
        <v>HL</v>
      </c>
      <c r="AI23" s="184" t="str">
        <f>IFERROR(IF(VLOOKUP(Sat_W1[[#This Row],[Employee Name]],'Base Schedules'!$A$46:$AW$77,34,FALSE)="","",VLOOKUP(Sat_W1[[#This Row],[Employee Name]],'Base Schedules'!$A$46:$AW$77,34,FALSE)),"")</f>
        <v>HL</v>
      </c>
      <c r="AJ23" s="184" t="str">
        <f>IFERROR(IF(VLOOKUP(Sat_W1[[#This Row],[Employee Name]],'Base Schedules'!$A$46:$AW$77,35,FALSE)="","",VLOOKUP(Sat_W1[[#This Row],[Employee Name]],'Base Schedules'!$A$46:$AW$77,35,FALSE)),"")</f>
        <v>B2 ADM</v>
      </c>
      <c r="AK23" s="184" t="str">
        <f>IFERROR(IF(VLOOKUP(Sat_W1[[#This Row],[Employee Name]],'Base Schedules'!$A$46:$AW$77,36,FALSE)="","",VLOOKUP(Sat_W1[[#This Row],[Employee Name]],'Base Schedules'!$A$46:$AW$77,36,FALSE)),"")</f>
        <v>ADM</v>
      </c>
      <c r="AL23" s="184" t="str">
        <f>IFERROR(IF(VLOOKUP(Sat_W1[[#This Row],[Employee Name]],'Base Schedules'!$A$46:$AW$77,37,FALSE)="","",VLOOKUP(Sat_W1[[#This Row],[Employee Name]],'Base Schedules'!$A$46:$AW$77,37,FALSE)),"")</f>
        <v>ADM</v>
      </c>
      <c r="AM23" s="184" t="str">
        <f>IFERROR(IF(VLOOKUP(Sat_W1[[#This Row],[Employee Name]],'Base Schedules'!$A$46:$AW$77,38,FALSE)="","",VLOOKUP(Sat_W1[[#This Row],[Employee Name]],'Base Schedules'!$A$46:$AW$77,38,FALSE)),"")</f>
        <v>HL</v>
      </c>
      <c r="AN23" s="184" t="str">
        <f>IFERROR(IF(VLOOKUP(Sat_W1[[#This Row],[Employee Name]],'Base Schedules'!$A$46:$AW$77,39,FALSE)="","",VLOOKUP(Sat_W1[[#This Row],[Employee Name]],'Base Schedules'!$A$46:$AW$77,39,FALSE)),"")</f>
        <v/>
      </c>
      <c r="AO23" s="184" t="str">
        <f>IFERROR(IF(VLOOKUP(Sat_W1[[#This Row],[Employee Name]],'Base Schedules'!$A$46:$AW$77,40,FALSE)="","",VLOOKUP(Sat_W1[[#This Row],[Employee Name]],'Base Schedules'!$A$46:$AW$77,40,FALSE)),"")</f>
        <v/>
      </c>
      <c r="AP23" s="184" t="str">
        <f>IFERROR(IF(VLOOKUP(Sat_W1[[#This Row],[Employee Name]],'Base Schedules'!$A$46:$AW$77,41,FALSE)="","",VLOOKUP(Sat_W1[[#This Row],[Employee Name]],'Base Schedules'!$A$46:$AW$77,41,FALSE)),"")</f>
        <v/>
      </c>
      <c r="AQ23" s="184" t="str">
        <f>IFERROR(IF(VLOOKUP(Sat_W1[[#This Row],[Employee Name]],'Base Schedules'!$A$46:$AW$77,42,FALSE)="","",VLOOKUP(Sat_W1[[#This Row],[Employee Name]],'Base Schedules'!$A$46:$AW$77,42,FALSE)),"")</f>
        <v/>
      </c>
      <c r="AR23" s="184" t="str">
        <f>IFERROR(IF(VLOOKUP(Sat_W1[[#This Row],[Employee Name]],'Base Schedules'!$A$46:$AW$77,43,FALSE)="","",VLOOKUP(Sat_W1[[#This Row],[Employee Name]],'Base Schedules'!$A$46:$AW$77,43,FALSE)),"")</f>
        <v/>
      </c>
      <c r="AS23" s="184" t="str">
        <f>IFERROR(IF(VLOOKUP(Sat_W1[[#This Row],[Employee Name]],'Base Schedules'!$A$46:$AW$77,44,FALSE)="","",VLOOKUP(Sat_W1[[#This Row],[Employee Name]],'Base Schedules'!$A$46:$AW$77,44,FALSE)),"")</f>
        <v/>
      </c>
      <c r="AT23" s="184" t="str">
        <f>IFERROR(IF(VLOOKUP(Sat_W1[[#This Row],[Employee Name]],'Base Schedules'!$A$46:$AW$77,45,FALSE)="","",VLOOKUP(Sat_W1[[#This Row],[Employee Name]],'Base Schedules'!$A$46:$AW$77,45,FALSE)),"")</f>
        <v/>
      </c>
      <c r="AU23" s="184" t="str">
        <f>IFERROR(IF(VLOOKUP(Sat_W1[[#This Row],[Employee Name]],'Base Schedules'!$A$46:$AW$77,46,FALSE)="","",VLOOKUP(Sat_W1[[#This Row],[Employee Name]],'Base Schedules'!$A$46:$AW$77,46,FALSE)),"")</f>
        <v/>
      </c>
      <c r="AV23" s="184" t="str">
        <f>IFERROR(IF(VLOOKUP(Sat_W1[[#This Row],[Employee Name]],'Base Schedules'!$A$46:$AW$77,47,FALSE)="","",VLOOKUP(Sat_W1[[#This Row],[Employee Name]],'Base Schedules'!$A$46:$AW$77,47,FALSE)),"")</f>
        <v/>
      </c>
      <c r="AW23" s="184" t="str">
        <f>IFERROR(IF(VLOOKUP(Sat_W1[[#This Row],[Employee Name]],'Base Schedules'!$A$46:$AW$77,48,FALSE)="","",VLOOKUP(Sat_W1[[#This Row],[Employee Name]],'Base Schedules'!$A$46:$AW$77,48,FALSE)),"")</f>
        <v/>
      </c>
      <c r="AX23" s="184" t="str">
        <f>IFERROR(IF(VLOOKUP(Sat_W1[[#This Row],[Employee Name]],'Base Schedules'!$A$46:$AW$77,49,FALSE)="","",VLOOKUP(Sat_W1[[#This Row],[Employee Name]],'Base Schedules'!$A$46:$AW$77,49,FALSE)),"")</f>
        <v/>
      </c>
      <c r="AY23" s="159" t="str">
        <f t="shared" si="2"/>
        <v>Goss, Ian</v>
      </c>
    </row>
    <row r="24" spans="1:51" s="44" customFormat="1" ht="12" customHeight="1" x14ac:dyDescent="0.2">
      <c r="A24" s="39" t="e">
        <f>IF(B24="","",INDEX(TeamList[],MATCH($B24,TeamList[[Employee Name]:[Employee Name]],0),MATCH("Manager",TeamList[#Headers],0)))</f>
        <v>#N/A</v>
      </c>
      <c r="B24" s="202" t="s">
        <v>414</v>
      </c>
      <c r="C24" s="257" t="str">
        <f>_xlfn.IFNA(VLOOKUP(Sat_W1[[#This Row],[Employee Name]],'Base Schedules'!A:B,2,FALSE),"")</f>
        <v>Lead</v>
      </c>
      <c r="D24" s="274">
        <f>_xlfn.IFNA(VLOOKUP(Sat_W1[[#This Row],[Employee Name]],'Base Schedules'!A:C,3,FALSE),"")</f>
        <v>1130</v>
      </c>
      <c r="E24" s="274">
        <f>_xlfn.IFNA(VLOOKUP(Sat_W1[[#This Row],[Employee Name]],'Base Schedules'!A:D,4,FALSE),"")</f>
        <v>1930</v>
      </c>
      <c r="F24" s="142">
        <f>IF(Sat_W1[[#This Row],[Employee Name]]="","",IF(Sat_W1[[#This Row],[Dept]]="Supervisor",COUNTIFS($J24:$AX24,"*HL*",$J24:$AX24,"&lt;&gt;"&amp;"pHL"),COUNTIFS($J24:$AX24,"*HL*",$J24:$AX24,"&lt;&gt;"&amp;"*pHL*",$J24:$AX24,"&lt;&gt;"&amp;"pB1 HL",$J24:$AX24,"&lt;&gt;"&amp;"pB2 HL")-SUM(COUNTIFS($J24:$AX24,"*HL B1*",$J24:$AX24,"&lt;&gt;"&amp;"pHL B1")*0.5,COUNTIFS($J24:$AX24,"*HL B2*",$J24:$AX24,"&lt;&gt;"&amp;"pHL B2")*0.5,COUNTIFS($J24:$AX24,"*B1 HL*",$J24:$AX24,"&lt;&gt;"&amp;"pB1 HL")*0.5,COUNTIFS($J24:$AX24,"*B2 HL*",$J24:$AX24,"&lt;&gt;"&amp;"pB2 HL")*0.5)))</f>
        <v>7</v>
      </c>
      <c r="G24" s="142">
        <f>IF(B24="","",COUNTIFS($J24:$AX24,"*TM*",$J24:$AX24,"&lt;&gt;"&amp;"pTM",$J24:$AX24,"&lt;&gt;"&amp;"uTM"))</f>
        <v>0</v>
      </c>
      <c r="H24" s="142">
        <f t="shared" si="1"/>
        <v>9</v>
      </c>
      <c r="I24" s="142">
        <f>IF(Sat_W1[[#This Row],[Employee Name]]="","",IF(Sat_W1[[#This Row],[Dept]]="Supervisor",SUM(COUNTIFS($J24:$AX24,"RTA*",$J24:$AX24,"&lt;&gt;"&amp;"pRTA"),COUNTIFS($J24:$AX24,"*CRTA*",$J24:$AX24,"&lt;&gt;"&amp;"pCRTA")),COUNTIFS($J24:$AX24,"*RNNR*",$J24:$AX24,"&lt;&gt;"&amp;"*pRNNR*",$J24:$AX24,"&lt;&gt;"&amp;"pB1 RNNR",$J24:$AX24,"&lt;&gt;"&amp;"pB2 RNNR")-SUM(COUNTIFS($J24:$AX24,"*RNNR B1*",$J24:$AX24,"&lt;&gt;"&amp;"pRNNR B1")*0.5,COUNTIFS($J24:$AX24,"*RNNR B2*",$J24:$AX24,"&lt;&gt;"&amp;"pRNNR B2")*0.5,COUNTIFS($J24:$AX24,"*B1 RNNR*",$J24:$AX24,"&lt;&gt;"&amp;"pB1 RNNR")*0.5,COUNTIFS($J24:$AX24,"*B2 RNNR*",$J24:$AX24,"&lt;&gt;"&amp;"pB2 RNNR")*0.5)))</f>
        <v>0</v>
      </c>
      <c r="J24" s="184" t="str">
        <f>IFERROR(IF(VLOOKUP(Sat_W1[[#This Row],[Employee Name]],'Base Schedules'!$A$46:$AW$77,9,FALSE)="","",VLOOKUP(Sat_W1[[#This Row],[Employee Name]],'Base Schedules'!$A$46:$AW$77,9,FALSE)),"")</f>
        <v/>
      </c>
      <c r="K24" s="184" t="str">
        <f>IFERROR(IF(VLOOKUP(Sat_W1[[#This Row],[Employee Name]],'Base Schedules'!$A$46:$AW$77,10,FALSE)="","",VLOOKUP(Sat_W1[[#This Row],[Employee Name]],'Base Schedules'!$A$46:$AW$77,10,FALSE)),"")</f>
        <v/>
      </c>
      <c r="L24" s="184" t="str">
        <f>IFERROR(IF(VLOOKUP(Sat_W1[[#This Row],[Employee Name]],'Base Schedules'!$A$46:$AW$77,11,FALSE)="","",VLOOKUP(Sat_W1[[#This Row],[Employee Name]],'Base Schedules'!$A$46:$AW$77,11,FALSE)),"")</f>
        <v/>
      </c>
      <c r="M24" s="184" t="str">
        <f>IFERROR(IF(VLOOKUP(Sat_W1[[#This Row],[Employee Name]],'Base Schedules'!$A$46:$AW$77,12,FALSE)="","",VLOOKUP(Sat_W1[[#This Row],[Employee Name]],'Base Schedules'!$A$46:$AW$77,12,FALSE)),"")</f>
        <v/>
      </c>
      <c r="N24" s="184" t="str">
        <f>IFERROR(IF(VLOOKUP(Sat_W1[[#This Row],[Employee Name]],'Base Schedules'!$A$46:$AW$77,13,FALSE)="","",VLOOKUP(Sat_W1[[#This Row],[Employee Name]],'Base Schedules'!$A$46:$AW$77,13,FALSE)),"")</f>
        <v/>
      </c>
      <c r="O24" s="184" t="str">
        <f>IFERROR(IF(VLOOKUP(Sat_W1[[#This Row],[Employee Name]],'Base Schedules'!$A$46:$AW$77,14,FALSE)="","",VLOOKUP(Sat_W1[[#This Row],[Employee Name]],'Base Schedules'!$A$46:$AW$77,14,FALSE)),"")</f>
        <v/>
      </c>
      <c r="P24" s="184" t="str">
        <f>IFERROR(IF(VLOOKUP(Sat_W1[[#This Row],[Employee Name]],'Base Schedules'!$A$46:$AW$77,15,FALSE)="","",VLOOKUP(Sat_W1[[#This Row],[Employee Name]],'Base Schedules'!$A$46:$AW$77,15,FALSE)),"")</f>
        <v/>
      </c>
      <c r="Q24" s="184" t="str">
        <f>IFERROR(IF(VLOOKUP(Sat_W1[[#This Row],[Employee Name]],'Base Schedules'!$A$46:$AW$77,16,FALSE)="","",VLOOKUP(Sat_W1[[#This Row],[Employee Name]],'Base Schedules'!$A$46:$AW$77,16,FALSE)),"")</f>
        <v/>
      </c>
      <c r="R24" s="184" t="str">
        <f>IFERROR(IF(VLOOKUP(Sat_W1[[#This Row],[Employee Name]],'Base Schedules'!$A$46:$AW$77,17,FALSE)="","",VLOOKUP(Sat_W1[[#This Row],[Employee Name]],'Base Schedules'!$A$46:$AW$77,17,FALSE)),"")</f>
        <v/>
      </c>
      <c r="S24" s="184" t="str">
        <f>IFERROR(IF(VLOOKUP(Sat_W1[[#This Row],[Employee Name]],'Base Schedules'!$A$46:$AW$77,18,FALSE)="","",VLOOKUP(Sat_W1[[#This Row],[Employee Name]],'Base Schedules'!$A$46:$AW$77,18,FALSE)),"")</f>
        <v/>
      </c>
      <c r="T24" s="184" t="str">
        <f>IFERROR(IF(VLOOKUP(Sat_W1[[#This Row],[Employee Name]],'Base Schedules'!$A$46:$AW$77,19,FALSE)="","",VLOOKUP(Sat_W1[[#This Row],[Employee Name]],'Base Schedules'!$A$46:$AW$77,19,FALSE)),"")</f>
        <v/>
      </c>
      <c r="U24" s="184" t="str">
        <f>IFERROR(IF(VLOOKUP(Sat_W1[[#This Row],[Employee Name]],'Base Schedules'!$A$46:$AW$77,20,FALSE)="","",VLOOKUP(Sat_W1[[#This Row],[Employee Name]],'Base Schedules'!$A$46:$AW$77,20,FALSE)),"")</f>
        <v/>
      </c>
      <c r="V24" s="184" t="str">
        <f>IFERROR(IF(VLOOKUP(Sat_W1[[#This Row],[Employee Name]],'Base Schedules'!$A$46:$AW$77,21,FALSE)="","",VLOOKUP(Sat_W1[[#This Row],[Employee Name]],'Base Schedules'!$A$46:$AW$77,21,FALSE)),"")</f>
        <v/>
      </c>
      <c r="W24" s="184" t="str">
        <f>IFERROR(IF(VLOOKUP(Sat_W1[[#This Row],[Employee Name]],'Base Schedules'!$A$46:$AW$77,22,FALSE)="","",VLOOKUP(Sat_W1[[#This Row],[Employee Name]],'Base Schedules'!$A$46:$AW$77,22,FALSE)),"")</f>
        <v>ADM</v>
      </c>
      <c r="X24" s="184" t="str">
        <f>IFERROR(IF(VLOOKUP(Sat_W1[[#This Row],[Employee Name]],'Base Schedules'!$A$46:$AW$77,23,FALSE)="","",VLOOKUP(Sat_W1[[#This Row],[Employee Name]],'Base Schedules'!$A$46:$AW$77,23,FALSE)),"")</f>
        <v>ADM</v>
      </c>
      <c r="Y24" s="184" t="str">
        <f>IFERROR(IF(VLOOKUP(Sat_W1[[#This Row],[Employee Name]],'Base Schedules'!$A$46:$AW$77,24,FALSE)="","",VLOOKUP(Sat_W1[[#This Row],[Employee Name]],'Base Schedules'!$A$46:$AW$77,24,FALSE)),"")</f>
        <v>ADM</v>
      </c>
      <c r="Z24" s="184" t="str">
        <f>IFERROR(IF(VLOOKUP(Sat_W1[[#This Row],[Employee Name]],'Base Schedules'!$A$46:$AW$77,25,FALSE)="","",VLOOKUP(Sat_W1[[#This Row],[Employee Name]],'Base Schedules'!$A$46:$AW$77,25,FALSE)),"")</f>
        <v>ADM</v>
      </c>
      <c r="AA24" s="184" t="str">
        <f>IFERROR(IF(VLOOKUP(Sat_W1[[#This Row],[Employee Name]],'Base Schedules'!$A$46:$AW$77,26,FALSE)="","",VLOOKUP(Sat_W1[[#This Row],[Employee Name]],'Base Schedules'!$A$46:$AW$77,26,FALSE)),"")</f>
        <v>ADM B1</v>
      </c>
      <c r="AB24" s="184" t="str">
        <f>IFERROR(IF(VLOOKUP(Sat_W1[[#This Row],[Employee Name]],'Base Schedules'!$A$46:$AW$77,27,FALSE)="","",VLOOKUP(Sat_W1[[#This Row],[Employee Name]],'Base Schedules'!$A$46:$AW$77,27,FALSE)),"")</f>
        <v>HL</v>
      </c>
      <c r="AC24" s="184" t="str">
        <f>IFERROR(IF(VLOOKUP(Sat_W1[[#This Row],[Employee Name]],'Base Schedules'!$A$46:$AW$77,28,FALSE)="","",VLOOKUP(Sat_W1[[#This Row],[Employee Name]],'Base Schedules'!$A$46:$AW$77,28,FALSE)),"")</f>
        <v>HL</v>
      </c>
      <c r="AD24" s="184" t="str">
        <f>IFERROR(IF(VLOOKUP(Sat_W1[[#This Row],[Employee Name]],'Base Schedules'!$A$46:$AW$77,29,FALSE)="","",VLOOKUP(Sat_W1[[#This Row],[Employee Name]],'Base Schedules'!$A$46:$AW$77,29,FALSE)),"")</f>
        <v>HL</v>
      </c>
      <c r="AE24" s="184" t="str">
        <f>IFERROR(IF(VLOOKUP(Sat_W1[[#This Row],[Employee Name]],'Base Schedules'!$A$46:$AW$77,30,FALSE)="","",VLOOKUP(Sat_W1[[#This Row],[Employee Name]],'Base Schedules'!$A$46:$AW$77,30,FALSE)),"")</f>
        <v>HL</v>
      </c>
      <c r="AF24" s="184" t="str">
        <f>IFERROR(IF(VLOOKUP(Sat_W1[[#This Row],[Employee Name]],'Base Schedules'!$A$46:$AW$77,31,FALSE)="","",VLOOKUP(Sat_W1[[#This Row],[Employee Name]],'Base Schedules'!$A$46:$AW$77,31,FALSE)),"")</f>
        <v>LUNCH</v>
      </c>
      <c r="AG24" s="184" t="str">
        <f>IFERROR(IF(VLOOKUP(Sat_W1[[#This Row],[Employee Name]],'Base Schedules'!$A$46:$AW$77,32,FALSE)="","",VLOOKUP(Sat_W1[[#This Row],[Employee Name]],'Base Schedules'!$A$46:$AW$77,32,FALSE)),"")</f>
        <v>HL</v>
      </c>
      <c r="AH24" s="184" t="str">
        <f>IFERROR(IF(VLOOKUP(Sat_W1[[#This Row],[Employee Name]],'Base Schedules'!$A$46:$AW$77,33,FALSE)="","",VLOOKUP(Sat_W1[[#This Row],[Employee Name]],'Base Schedules'!$A$46:$AW$77,33,FALSE)),"")</f>
        <v>ADM</v>
      </c>
      <c r="AI24" s="184" t="str">
        <f>IFERROR(IF(VLOOKUP(Sat_W1[[#This Row],[Employee Name]],'Base Schedules'!$A$46:$AW$77,34,FALSE)="","",VLOOKUP(Sat_W1[[#This Row],[Employee Name]],'Base Schedules'!$A$46:$AW$77,34,FALSE)),"")</f>
        <v>ADM B2</v>
      </c>
      <c r="AJ24" s="184" t="str">
        <f>IFERROR(IF(VLOOKUP(Sat_W1[[#This Row],[Employee Name]],'Base Schedules'!$A$46:$AW$77,35,FALSE)="","",VLOOKUP(Sat_W1[[#This Row],[Employee Name]],'Base Schedules'!$A$46:$AW$77,35,FALSE)),"")</f>
        <v>ADM</v>
      </c>
      <c r="AK24" s="184" t="str">
        <f>IFERROR(IF(VLOOKUP(Sat_W1[[#This Row],[Employee Name]],'Base Schedules'!$A$46:$AW$77,36,FALSE)="","",VLOOKUP(Sat_W1[[#This Row],[Employee Name]],'Base Schedules'!$A$46:$AW$77,36,FALSE)),"")</f>
        <v>HL</v>
      </c>
      <c r="AL24" s="184" t="str">
        <f>IFERROR(IF(VLOOKUP(Sat_W1[[#This Row],[Employee Name]],'Base Schedules'!$A$46:$AW$77,37,FALSE)="","",VLOOKUP(Sat_W1[[#This Row],[Employee Name]],'Base Schedules'!$A$46:$AW$77,37,FALSE)),"")</f>
        <v>HL</v>
      </c>
      <c r="AM24" s="184" t="str">
        <f>IFERROR(IF(VLOOKUP(Sat_W1[[#This Row],[Employee Name]],'Base Schedules'!$A$46:$AW$77,38,FALSE)="","",VLOOKUP(Sat_W1[[#This Row],[Employee Name]],'Base Schedules'!$A$46:$AW$77,38,FALSE)),"")</f>
        <v>ADM</v>
      </c>
      <c r="AN24" s="184" t="str">
        <f>IFERROR(IF(VLOOKUP(Sat_W1[[#This Row],[Employee Name]],'Base Schedules'!$A$46:$AW$77,39,FALSE)="","",VLOOKUP(Sat_W1[[#This Row],[Employee Name]],'Base Schedules'!$A$46:$AW$77,39,FALSE)),"")</f>
        <v/>
      </c>
      <c r="AO24" s="184" t="str">
        <f>IFERROR(IF(VLOOKUP(Sat_W1[[#This Row],[Employee Name]],'Base Schedules'!$A$46:$AW$77,40,FALSE)="","",VLOOKUP(Sat_W1[[#This Row],[Employee Name]],'Base Schedules'!$A$46:$AW$77,40,FALSE)),"")</f>
        <v/>
      </c>
      <c r="AP24" s="184" t="str">
        <f>IFERROR(IF(VLOOKUP(Sat_W1[[#This Row],[Employee Name]],'Base Schedules'!$A$46:$AW$77,41,FALSE)="","",VLOOKUP(Sat_W1[[#This Row],[Employee Name]],'Base Schedules'!$A$46:$AW$77,41,FALSE)),"")</f>
        <v/>
      </c>
      <c r="AQ24" s="184" t="str">
        <f>IFERROR(IF(VLOOKUP(Sat_W1[[#This Row],[Employee Name]],'Base Schedules'!$A$46:$AW$77,42,FALSE)="","",VLOOKUP(Sat_W1[[#This Row],[Employee Name]],'Base Schedules'!$A$46:$AW$77,42,FALSE)),"")</f>
        <v/>
      </c>
      <c r="AR24" s="184" t="str">
        <f>IFERROR(IF(VLOOKUP(Sat_W1[[#This Row],[Employee Name]],'Base Schedules'!$A$46:$AW$77,43,FALSE)="","",VLOOKUP(Sat_W1[[#This Row],[Employee Name]],'Base Schedules'!$A$46:$AW$77,43,FALSE)),"")</f>
        <v/>
      </c>
      <c r="AS24" s="184" t="str">
        <f>IFERROR(IF(VLOOKUP(Sat_W1[[#This Row],[Employee Name]],'Base Schedules'!$A$46:$AW$77,44,FALSE)="","",VLOOKUP(Sat_W1[[#This Row],[Employee Name]],'Base Schedules'!$A$46:$AW$77,44,FALSE)),"")</f>
        <v/>
      </c>
      <c r="AT24" s="184" t="str">
        <f>IFERROR(IF(VLOOKUP(Sat_W1[[#This Row],[Employee Name]],'Base Schedules'!$A$46:$AW$77,45,FALSE)="","",VLOOKUP(Sat_W1[[#This Row],[Employee Name]],'Base Schedules'!$A$46:$AW$77,45,FALSE)),"")</f>
        <v/>
      </c>
      <c r="AU24" s="184" t="str">
        <f>IFERROR(IF(VLOOKUP(Sat_W1[[#This Row],[Employee Name]],'Base Schedules'!$A$46:$AW$77,46,FALSE)="","",VLOOKUP(Sat_W1[[#This Row],[Employee Name]],'Base Schedules'!$A$46:$AW$77,46,FALSE)),"")</f>
        <v/>
      </c>
      <c r="AV24" s="184" t="str">
        <f>IFERROR(IF(VLOOKUP(Sat_W1[[#This Row],[Employee Name]],'Base Schedules'!$A$46:$AW$77,47,FALSE)="","",VLOOKUP(Sat_W1[[#This Row],[Employee Name]],'Base Schedules'!$A$46:$AW$77,47,FALSE)),"")</f>
        <v/>
      </c>
      <c r="AW24" s="184" t="str">
        <f>IFERROR(IF(VLOOKUP(Sat_W1[[#This Row],[Employee Name]],'Base Schedules'!$A$46:$AW$77,48,FALSE)="","",VLOOKUP(Sat_W1[[#This Row],[Employee Name]],'Base Schedules'!$A$46:$AW$77,48,FALSE)),"")</f>
        <v/>
      </c>
      <c r="AX24" s="184" t="str">
        <f>IFERROR(IF(VLOOKUP(Sat_W1[[#This Row],[Employee Name]],'Base Schedules'!$A$46:$AW$77,49,FALSE)="","",VLOOKUP(Sat_W1[[#This Row],[Employee Name]],'Base Schedules'!$A$46:$AW$77,49,FALSE)),"")</f>
        <v/>
      </c>
      <c r="AY24" s="159" t="str">
        <f t="shared" si="2"/>
        <v>Condon, Heather</v>
      </c>
    </row>
    <row r="25" spans="1:51" s="44" customFormat="1" ht="12" customHeight="1" x14ac:dyDescent="0.2">
      <c r="A25" s="39" t="str">
        <f>IF(B25="","",INDEX(TeamList[],MATCH($B25,TeamList[[Employee Name]:[Employee Name]],0),MATCH("Manager",TeamList[#Headers],0)))</f>
        <v>Olson, Katherine</v>
      </c>
      <c r="B25" s="201" t="s">
        <v>226</v>
      </c>
      <c r="C25" s="257" t="str">
        <f>_xlfn.IFNA(VLOOKUP(Sat_W1[[#This Row],[Employee Name]],'Base Schedules'!A:B,2,FALSE),"")</f>
        <v>Lead</v>
      </c>
      <c r="D25" s="274">
        <f>_xlfn.IFNA(VLOOKUP(Sat_W1[[#This Row],[Employee Name]],'Base Schedules'!A:C,3,FALSE),"")</f>
        <v>1200</v>
      </c>
      <c r="E25" s="274">
        <f>_xlfn.IFNA(VLOOKUP(Sat_W1[[#This Row],[Employee Name]],'Base Schedules'!A:D,4,FALSE),"")</f>
        <v>2030</v>
      </c>
      <c r="F25" s="142">
        <f>IF(Sat_W1[[#This Row],[Employee Name]]="","",IF(Sat_W1[[#This Row],[Dept]]="Supervisor",COUNTIFS($J25:$AX25,"*HL*",$J25:$AX25,"&lt;&gt;"&amp;"pHL"),COUNTIFS($J25:$AX25,"*HL*",$J25:$AX25,"&lt;&gt;"&amp;"*pHL*",$J25:$AX25,"&lt;&gt;"&amp;"pB1 HL",$J25:$AX25,"&lt;&gt;"&amp;"pB2 HL")-SUM(COUNTIFS($J25:$AX25,"*HL B1*",$J25:$AX25,"&lt;&gt;"&amp;"pHL B1")*0.5,COUNTIFS($J25:$AX25,"*HL B2*",$J25:$AX25,"&lt;&gt;"&amp;"pHL B2")*0.5,COUNTIFS($J25:$AX25,"*B1 HL*",$J25:$AX25,"&lt;&gt;"&amp;"pB1 HL")*0.5,COUNTIFS($J25:$AX25,"*B2 HL*",$J25:$AX25,"&lt;&gt;"&amp;"pB2 HL")*0.5)))</f>
        <v>6.5</v>
      </c>
      <c r="G25" s="142">
        <f t="shared" ref="G25:G36" si="3">IF(B25="","",COUNTIFS($J25:$AX25,"*Coaching*",$J25:$AX25,"&lt;&gt;"&amp;"pTM",$J25:$AX25,"&lt;&gt;"&amp;"uTM"))</f>
        <v>0</v>
      </c>
      <c r="H25" s="142">
        <f t="shared" si="1"/>
        <v>7</v>
      </c>
      <c r="I25" s="142">
        <f>IF(Sat_W1[[#This Row],[Employee Name]]="","",IF(Sat_W1[[#This Row],[Dept]]="Supervisor",SUM(COUNTIFS($J25:$AX25,"RTA*",$J25:$AX25,"&lt;&gt;"&amp;"pRTA"),COUNTIFS($J25:$AX25,"*CRTA*",$J25:$AX25,"&lt;&gt;"&amp;"pCRTA")),COUNTIFS($J25:$AX25,"*RNNR*",$J25:$AX25,"&lt;&gt;"&amp;"*pRNNR*",$J25:$AX25,"&lt;&gt;"&amp;"pB1 RNNR",$J25:$AX25,"&lt;&gt;"&amp;"pB2 RNNR")-SUM(COUNTIFS($J25:$AX25,"*RNNR B1*",$J25:$AX25,"&lt;&gt;"&amp;"pRNNR B1")*0.5,COUNTIFS($J25:$AX25,"*RNNR B2*",$J25:$AX25,"&lt;&gt;"&amp;"pRNNR B2")*0.5,COUNTIFS($J25:$AX25,"*B1 RNNR*",$J25:$AX25,"&lt;&gt;"&amp;"pB1 RNNR")*0.5,COUNTIFS($J25:$AX25,"*B2 RNNR*",$J25:$AX25,"&lt;&gt;"&amp;"pB2 RNNR")*0.5)))</f>
        <v>0</v>
      </c>
      <c r="J25" s="184" t="str">
        <f>IFERROR(IF(VLOOKUP(Sat_W1[[#This Row],[Employee Name]],'Base Schedules'!$A$46:$AW$77,9,FALSE)="","",VLOOKUP(Sat_W1[[#This Row],[Employee Name]],'Base Schedules'!$A$46:$AW$77,9,FALSE)),"")</f>
        <v/>
      </c>
      <c r="K25" s="184" t="str">
        <f>IFERROR(IF(VLOOKUP(Sat_W1[[#This Row],[Employee Name]],'Base Schedules'!$A$46:$AW$77,10,FALSE)="","",VLOOKUP(Sat_W1[[#This Row],[Employee Name]],'Base Schedules'!$A$46:$AW$77,10,FALSE)),"")</f>
        <v/>
      </c>
      <c r="L25" s="184" t="str">
        <f>IFERROR(IF(VLOOKUP(Sat_W1[[#This Row],[Employee Name]],'Base Schedules'!$A$46:$AW$77,11,FALSE)="","",VLOOKUP(Sat_W1[[#This Row],[Employee Name]],'Base Schedules'!$A$46:$AW$77,11,FALSE)),"")</f>
        <v/>
      </c>
      <c r="M25" s="184" t="str">
        <f>IFERROR(IF(VLOOKUP(Sat_W1[[#This Row],[Employee Name]],'Base Schedules'!$A$46:$AW$77,12,FALSE)="","",VLOOKUP(Sat_W1[[#This Row],[Employee Name]],'Base Schedules'!$A$46:$AW$77,12,FALSE)),"")</f>
        <v/>
      </c>
      <c r="N25" s="184" t="str">
        <f>IFERROR(IF(VLOOKUP(Sat_W1[[#This Row],[Employee Name]],'Base Schedules'!$A$46:$AW$77,13,FALSE)="","",VLOOKUP(Sat_W1[[#This Row],[Employee Name]],'Base Schedules'!$A$46:$AW$77,13,FALSE)),"")</f>
        <v/>
      </c>
      <c r="O25" s="184" t="str">
        <f>IFERROR(IF(VLOOKUP(Sat_W1[[#This Row],[Employee Name]],'Base Schedules'!$A$46:$AW$77,14,FALSE)="","",VLOOKUP(Sat_W1[[#This Row],[Employee Name]],'Base Schedules'!$A$46:$AW$77,14,FALSE)),"")</f>
        <v/>
      </c>
      <c r="P25" s="184" t="str">
        <f>IFERROR(IF(VLOOKUP(Sat_W1[[#This Row],[Employee Name]],'Base Schedules'!$A$46:$AW$77,15,FALSE)="","",VLOOKUP(Sat_W1[[#This Row],[Employee Name]],'Base Schedules'!$A$46:$AW$77,15,FALSE)),"")</f>
        <v/>
      </c>
      <c r="Q25" s="184" t="str">
        <f>IFERROR(IF(VLOOKUP(Sat_W1[[#This Row],[Employee Name]],'Base Schedules'!$A$46:$AW$77,16,FALSE)="","",VLOOKUP(Sat_W1[[#This Row],[Employee Name]],'Base Schedules'!$A$46:$AW$77,16,FALSE)),"")</f>
        <v/>
      </c>
      <c r="R25" s="184" t="str">
        <f>IFERROR(IF(VLOOKUP(Sat_W1[[#This Row],[Employee Name]],'Base Schedules'!$A$46:$AW$77,17,FALSE)="","",VLOOKUP(Sat_W1[[#This Row],[Employee Name]],'Base Schedules'!$A$46:$AW$77,17,FALSE)),"")</f>
        <v/>
      </c>
      <c r="S25" s="184" t="str">
        <f>IFERROR(IF(VLOOKUP(Sat_W1[[#This Row],[Employee Name]],'Base Schedules'!$A$46:$AW$77,18,FALSE)="","",VLOOKUP(Sat_W1[[#This Row],[Employee Name]],'Base Schedules'!$A$46:$AW$77,18,FALSE)),"")</f>
        <v/>
      </c>
      <c r="T25" s="184" t="str">
        <f>IFERROR(IF(VLOOKUP(Sat_W1[[#This Row],[Employee Name]],'Base Schedules'!$A$46:$AW$77,19,FALSE)="","",VLOOKUP(Sat_W1[[#This Row],[Employee Name]],'Base Schedules'!$A$46:$AW$77,19,FALSE)),"")</f>
        <v/>
      </c>
      <c r="U25" s="184" t="str">
        <f>IFERROR(IF(VLOOKUP(Sat_W1[[#This Row],[Employee Name]],'Base Schedules'!$A$46:$AW$77,20,FALSE)="","",VLOOKUP(Sat_W1[[#This Row],[Employee Name]],'Base Schedules'!$A$46:$AW$77,20,FALSE)),"")</f>
        <v/>
      </c>
      <c r="V25" s="184" t="str">
        <f>IFERROR(IF(VLOOKUP(Sat_W1[[#This Row],[Employee Name]],'Base Schedules'!$A$46:$AW$77,21,FALSE)="","",VLOOKUP(Sat_W1[[#This Row],[Employee Name]],'Base Schedules'!$A$46:$AW$77,21,FALSE)),"")</f>
        <v/>
      </c>
      <c r="W25" s="184" t="str">
        <f>IFERROR(IF(VLOOKUP(Sat_W1[[#This Row],[Employee Name]],'Base Schedules'!$A$46:$AW$77,22,FALSE)="","",VLOOKUP(Sat_W1[[#This Row],[Employee Name]],'Base Schedules'!$A$46:$AW$77,22,FALSE)),"")</f>
        <v/>
      </c>
      <c r="X25" s="184" t="str">
        <f>IFERROR(IF(VLOOKUP(Sat_W1[[#This Row],[Employee Name]],'Base Schedules'!$A$46:$AW$77,23,FALSE)="","",VLOOKUP(Sat_W1[[#This Row],[Employee Name]],'Base Schedules'!$A$46:$AW$77,23,FALSE)),"")</f>
        <v>HL</v>
      </c>
      <c r="Y25" s="184" t="str">
        <f>IFERROR(IF(VLOOKUP(Sat_W1[[#This Row],[Employee Name]],'Base Schedules'!$A$46:$AW$77,24,FALSE)="","",VLOOKUP(Sat_W1[[#This Row],[Employee Name]],'Base Schedules'!$A$46:$AW$77,24,FALSE)),"")</f>
        <v>HL</v>
      </c>
      <c r="Z25" s="184" t="str">
        <f>IFERROR(IF(VLOOKUP(Sat_W1[[#This Row],[Employee Name]],'Base Schedules'!$A$46:$AW$77,25,FALSE)="","",VLOOKUP(Sat_W1[[#This Row],[Employee Name]],'Base Schedules'!$A$46:$AW$77,25,FALSE)),"")</f>
        <v>ADM</v>
      </c>
      <c r="AA25" s="184" t="str">
        <f>IFERROR(IF(VLOOKUP(Sat_W1[[#This Row],[Employee Name]],'Base Schedules'!$A$46:$AW$77,26,FALSE)="","",VLOOKUP(Sat_W1[[#This Row],[Employee Name]],'Base Schedules'!$A$46:$AW$77,26,FALSE)),"")</f>
        <v>ADM</v>
      </c>
      <c r="AB25" s="184" t="str">
        <f>IFERROR(IF(VLOOKUP(Sat_W1[[#This Row],[Employee Name]],'Base Schedules'!$A$46:$AW$77,27,FALSE)="","",VLOOKUP(Sat_W1[[#This Row],[Employee Name]],'Base Schedules'!$A$46:$AW$77,27,FALSE)),"")</f>
        <v>ADM B1</v>
      </c>
      <c r="AC25" s="184" t="str">
        <f>IFERROR(IF(VLOOKUP(Sat_W1[[#This Row],[Employee Name]],'Base Schedules'!$A$46:$AW$77,28,FALSE)="","",VLOOKUP(Sat_W1[[#This Row],[Employee Name]],'Base Schedules'!$A$46:$AW$77,28,FALSE)),"")</f>
        <v>HL</v>
      </c>
      <c r="AD25" s="184" t="str">
        <f>IFERROR(IF(VLOOKUP(Sat_W1[[#This Row],[Employee Name]],'Base Schedules'!$A$46:$AW$77,29,FALSE)="","",VLOOKUP(Sat_W1[[#This Row],[Employee Name]],'Base Schedules'!$A$46:$AW$77,29,FALSE)),"")</f>
        <v>PROJECT</v>
      </c>
      <c r="AE25" s="184" t="str">
        <f>IFERROR(IF(VLOOKUP(Sat_W1[[#This Row],[Employee Name]],'Base Schedules'!$A$46:$AW$77,30,FALSE)="","",VLOOKUP(Sat_W1[[#This Row],[Employee Name]],'Base Schedules'!$A$46:$AW$77,30,FALSE)),"")</f>
        <v>PROJECT</v>
      </c>
      <c r="AF25" s="184" t="str">
        <f>IFERROR(IF(VLOOKUP(Sat_W1[[#This Row],[Employee Name]],'Base Schedules'!$A$46:$AW$77,31,FALSE)="","",VLOOKUP(Sat_W1[[#This Row],[Employee Name]],'Base Schedules'!$A$46:$AW$77,31,FALSE)),"")</f>
        <v>LUNCH</v>
      </c>
      <c r="AG25" s="184" t="str">
        <f>IFERROR(IF(VLOOKUP(Sat_W1[[#This Row],[Employee Name]],'Base Schedules'!$A$46:$AW$77,32,FALSE)="","",VLOOKUP(Sat_W1[[#This Row],[Employee Name]],'Base Schedules'!$A$46:$AW$77,32,FALSE)),"")</f>
        <v>ADM</v>
      </c>
      <c r="AH25" s="184" t="str">
        <f>IFERROR(IF(VLOOKUP(Sat_W1[[#This Row],[Employee Name]],'Base Schedules'!$A$46:$AW$77,33,FALSE)="","",VLOOKUP(Sat_W1[[#This Row],[Employee Name]],'Base Schedules'!$A$46:$AW$77,33,FALSE)),"")</f>
        <v>ADM</v>
      </c>
      <c r="AI25" s="184" t="str">
        <f>IFERROR(IF(VLOOKUP(Sat_W1[[#This Row],[Employee Name]],'Base Schedules'!$A$46:$AW$77,34,FALSE)="","",VLOOKUP(Sat_W1[[#This Row],[Employee Name]],'Base Schedules'!$A$46:$AW$77,34,FALSE)),"")</f>
        <v>ADM</v>
      </c>
      <c r="AJ25" s="184" t="str">
        <f>IFERROR(IF(VLOOKUP(Sat_W1[[#This Row],[Employee Name]],'Base Schedules'!$A$46:$AW$77,35,FALSE)="","",VLOOKUP(Sat_W1[[#This Row],[Employee Name]],'Base Schedules'!$A$46:$AW$77,35,FALSE)),"")</f>
        <v>HL B2</v>
      </c>
      <c r="AK25" s="184" t="str">
        <f>IFERROR(IF(VLOOKUP(Sat_W1[[#This Row],[Employee Name]],'Base Schedules'!$A$46:$AW$77,36,FALSE)="","",VLOOKUP(Sat_W1[[#This Row],[Employee Name]],'Base Schedules'!$A$46:$AW$77,36,FALSE)),"")</f>
        <v>HL</v>
      </c>
      <c r="AL25" s="184" t="str">
        <f>IFERROR(IF(VLOOKUP(Sat_W1[[#This Row],[Employee Name]],'Base Schedules'!$A$46:$AW$77,37,FALSE)="","",VLOOKUP(Sat_W1[[#This Row],[Employee Name]],'Base Schedules'!$A$46:$AW$77,37,FALSE)),"")</f>
        <v>HL</v>
      </c>
      <c r="AM25" s="184" t="str">
        <f>IFERROR(IF(VLOOKUP(Sat_W1[[#This Row],[Employee Name]],'Base Schedules'!$A$46:$AW$77,38,FALSE)="","",VLOOKUP(Sat_W1[[#This Row],[Employee Name]],'Base Schedules'!$A$46:$AW$77,38,FALSE)),"")</f>
        <v>ADM</v>
      </c>
      <c r="AN25" s="184" t="str">
        <f>IFERROR(IF(VLOOKUP(Sat_W1[[#This Row],[Employee Name]],'Base Schedules'!$A$46:$AW$77,39,FALSE)="","",VLOOKUP(Sat_W1[[#This Row],[Employee Name]],'Base Schedules'!$A$46:$AW$77,39,FALSE)),"")</f>
        <v>HL</v>
      </c>
      <c r="AO25" s="184" t="str">
        <f>IFERROR(IF(VLOOKUP(Sat_W1[[#This Row],[Employee Name]],'Base Schedules'!$A$46:$AW$77,40,FALSE)="","",VLOOKUP(Sat_W1[[#This Row],[Employee Name]],'Base Schedules'!$A$46:$AW$77,40,FALSE)),"")</f>
        <v/>
      </c>
      <c r="AP25" s="184" t="str">
        <f>IFERROR(IF(VLOOKUP(Sat_W1[[#This Row],[Employee Name]],'Base Schedules'!$A$46:$AW$77,41,FALSE)="","",VLOOKUP(Sat_W1[[#This Row],[Employee Name]],'Base Schedules'!$A$46:$AW$77,41,FALSE)),"")</f>
        <v/>
      </c>
      <c r="AQ25" s="184" t="str">
        <f>IFERROR(IF(VLOOKUP(Sat_W1[[#This Row],[Employee Name]],'Base Schedules'!$A$46:$AW$77,42,FALSE)="","",VLOOKUP(Sat_W1[[#This Row],[Employee Name]],'Base Schedules'!$A$46:$AW$77,42,FALSE)),"")</f>
        <v/>
      </c>
      <c r="AR25" s="184" t="str">
        <f>IFERROR(IF(VLOOKUP(Sat_W1[[#This Row],[Employee Name]],'Base Schedules'!$A$46:$AW$77,43,FALSE)="","",VLOOKUP(Sat_W1[[#This Row],[Employee Name]],'Base Schedules'!$A$46:$AW$77,43,FALSE)),"")</f>
        <v/>
      </c>
      <c r="AS25" s="184" t="str">
        <f>IFERROR(IF(VLOOKUP(Sat_W1[[#This Row],[Employee Name]],'Base Schedules'!$A$46:$AW$77,44,FALSE)="","",VLOOKUP(Sat_W1[[#This Row],[Employee Name]],'Base Schedules'!$A$46:$AW$77,44,FALSE)),"")</f>
        <v/>
      </c>
      <c r="AT25" s="184" t="str">
        <f>IFERROR(IF(VLOOKUP(Sat_W1[[#This Row],[Employee Name]],'Base Schedules'!$A$46:$AW$77,45,FALSE)="","",VLOOKUP(Sat_W1[[#This Row],[Employee Name]],'Base Schedules'!$A$46:$AW$77,45,FALSE)),"")</f>
        <v/>
      </c>
      <c r="AU25" s="184" t="str">
        <f>IFERROR(IF(VLOOKUP(Sat_W1[[#This Row],[Employee Name]],'Base Schedules'!$A$46:$AW$77,46,FALSE)="","",VLOOKUP(Sat_W1[[#This Row],[Employee Name]],'Base Schedules'!$A$46:$AW$77,46,FALSE)),"")</f>
        <v/>
      </c>
      <c r="AV25" s="184" t="str">
        <f>IFERROR(IF(VLOOKUP(Sat_W1[[#This Row],[Employee Name]],'Base Schedules'!$A$46:$AW$77,47,FALSE)="","",VLOOKUP(Sat_W1[[#This Row],[Employee Name]],'Base Schedules'!$A$46:$AW$77,47,FALSE)),"")</f>
        <v/>
      </c>
      <c r="AW25" s="184" t="str">
        <f>IFERROR(IF(VLOOKUP(Sat_W1[[#This Row],[Employee Name]],'Base Schedules'!$A$46:$AW$77,48,FALSE)="","",VLOOKUP(Sat_W1[[#This Row],[Employee Name]],'Base Schedules'!$A$46:$AW$77,48,FALSE)),"")</f>
        <v/>
      </c>
      <c r="AX25" s="184" t="str">
        <f>IFERROR(IF(VLOOKUP(Sat_W1[[#This Row],[Employee Name]],'Base Schedules'!$A$46:$AW$77,49,FALSE)="","",VLOOKUP(Sat_W1[[#This Row],[Employee Name]],'Base Schedules'!$A$46:$AW$77,49,FALSE)),"")</f>
        <v/>
      </c>
      <c r="AY25" s="160" t="str">
        <f t="shared" si="2"/>
        <v>Harding, Mickeya</v>
      </c>
    </row>
    <row r="26" spans="1:51" s="44" customFormat="1" ht="12" customHeight="1" x14ac:dyDescent="0.2">
      <c r="A26" s="39" t="str">
        <f>IF(B26="","",INDEX(TeamList[],MATCH($B26,TeamList[[Employee Name]:[Employee Name]],0),MATCH("Manager",TeamList[#Headers],0)))</f>
        <v>Olson, Katherine</v>
      </c>
      <c r="B26" s="201" t="s">
        <v>50</v>
      </c>
      <c r="C26" s="257" t="str">
        <f>_xlfn.IFNA(VLOOKUP(Sat_W1[[#This Row],[Employee Name]],'Base Schedules'!A:B,2,FALSE),"")</f>
        <v>Lead</v>
      </c>
      <c r="D26" s="274">
        <f>_xlfn.IFNA(VLOOKUP(Sat_W1[[#This Row],[Employee Name]],'Base Schedules'!A:C,3,FALSE),"")</f>
        <v>1200</v>
      </c>
      <c r="E26" s="274">
        <f>_xlfn.IFNA(VLOOKUP(Sat_W1[[#This Row],[Employee Name]],'Base Schedules'!A:D,4,FALSE),"")</f>
        <v>2230</v>
      </c>
      <c r="F26" s="142">
        <f>IF(Sat_W1[[#This Row],[Employee Name]]="","",IF(Sat_W1[[#This Row],[Dept]]="Supervisor",COUNTIFS($J26:$AX26,"*HL*",$J26:$AX26,"&lt;&gt;"&amp;"pHL"),COUNTIFS($J26:$AX26,"*HL*",$J26:$AX26,"&lt;&gt;"&amp;"*pHL*",$J26:$AX26,"&lt;&gt;"&amp;"pB1 HL",$J26:$AX26,"&lt;&gt;"&amp;"pB2 HL")-SUM(COUNTIFS($J26:$AX26,"*HL B1*",$J26:$AX26,"&lt;&gt;"&amp;"pHL B1")*0.5,COUNTIFS($J26:$AX26,"*HL B2*",$J26:$AX26,"&lt;&gt;"&amp;"pHL B2")*0.5,COUNTIFS($J26:$AX26,"*B1 HL*",$J26:$AX26,"&lt;&gt;"&amp;"pB1 HL")*0.5,COUNTIFS($J26:$AX26,"*B2 HL*",$J26:$AX26,"&lt;&gt;"&amp;"pB2 HL")*0.5)))</f>
        <v>8.5</v>
      </c>
      <c r="G26" s="142">
        <f t="shared" si="3"/>
        <v>0</v>
      </c>
      <c r="H26" s="142">
        <f t="shared" si="1"/>
        <v>9</v>
      </c>
      <c r="I26" s="142">
        <f>IF(Sat_W1[[#This Row],[Employee Name]]="","",IF(Sat_W1[[#This Row],[Dept]]="Supervisor",SUM(COUNTIFS($J26:$AX26,"RTA*",$J26:$AX26,"&lt;&gt;"&amp;"pRTA"),COUNTIFS($J26:$AX26,"*CRTA*",$J26:$AX26,"&lt;&gt;"&amp;"pCRTA")),COUNTIFS($J26:$AX26,"*RNNR*",$J26:$AX26,"&lt;&gt;"&amp;"*pRNNR*",$J26:$AX26,"&lt;&gt;"&amp;"pB1 RNNR",$J26:$AX26,"&lt;&gt;"&amp;"pB2 RNNR")-SUM(COUNTIFS($J26:$AX26,"*RNNR B1*",$J26:$AX26,"&lt;&gt;"&amp;"pRNNR B1")*0.5,COUNTIFS($J26:$AX26,"*RNNR B2*",$J26:$AX26,"&lt;&gt;"&amp;"pRNNR B2")*0.5,COUNTIFS($J26:$AX26,"*B1 RNNR*",$J26:$AX26,"&lt;&gt;"&amp;"pB1 RNNR")*0.5,COUNTIFS($J26:$AX26,"*B2 RNNR*",$J26:$AX26,"&lt;&gt;"&amp;"pB2 RNNR")*0.5)))</f>
        <v>2</v>
      </c>
      <c r="J26" s="184" t="str">
        <f>IFERROR(IF(VLOOKUP(Sat_W1[[#This Row],[Employee Name]],'Base Schedules'!$A$46:$AW$77,9,FALSE)="","",VLOOKUP(Sat_W1[[#This Row],[Employee Name]],'Base Schedules'!$A$46:$AW$77,9,FALSE)),"")</f>
        <v/>
      </c>
      <c r="K26" s="184" t="str">
        <f>IFERROR(IF(VLOOKUP(Sat_W1[[#This Row],[Employee Name]],'Base Schedules'!$A$46:$AW$77,10,FALSE)="","",VLOOKUP(Sat_W1[[#This Row],[Employee Name]],'Base Schedules'!$A$46:$AW$77,10,FALSE)),"")</f>
        <v/>
      </c>
      <c r="L26" s="184" t="str">
        <f>IFERROR(IF(VLOOKUP(Sat_W1[[#This Row],[Employee Name]],'Base Schedules'!$A$46:$AW$77,11,FALSE)="","",VLOOKUP(Sat_W1[[#This Row],[Employee Name]],'Base Schedules'!$A$46:$AW$77,11,FALSE)),"")</f>
        <v/>
      </c>
      <c r="M26" s="184" t="str">
        <f>IFERROR(IF(VLOOKUP(Sat_W1[[#This Row],[Employee Name]],'Base Schedules'!$A$46:$AW$77,12,FALSE)="","",VLOOKUP(Sat_W1[[#This Row],[Employee Name]],'Base Schedules'!$A$46:$AW$77,12,FALSE)),"")</f>
        <v/>
      </c>
      <c r="N26" s="184" t="str">
        <f>IFERROR(IF(VLOOKUP(Sat_W1[[#This Row],[Employee Name]],'Base Schedules'!$A$46:$AW$77,13,FALSE)="","",VLOOKUP(Sat_W1[[#This Row],[Employee Name]],'Base Schedules'!$A$46:$AW$77,13,FALSE)),"")</f>
        <v/>
      </c>
      <c r="O26" s="184" t="str">
        <f>IFERROR(IF(VLOOKUP(Sat_W1[[#This Row],[Employee Name]],'Base Schedules'!$A$46:$AW$77,14,FALSE)="","",VLOOKUP(Sat_W1[[#This Row],[Employee Name]],'Base Schedules'!$A$46:$AW$77,14,FALSE)),"")</f>
        <v/>
      </c>
      <c r="P26" s="184" t="str">
        <f>IFERROR(IF(VLOOKUP(Sat_W1[[#This Row],[Employee Name]],'Base Schedules'!$A$46:$AW$77,15,FALSE)="","",VLOOKUP(Sat_W1[[#This Row],[Employee Name]],'Base Schedules'!$A$46:$AW$77,15,FALSE)),"")</f>
        <v/>
      </c>
      <c r="Q26" s="184" t="str">
        <f>IFERROR(IF(VLOOKUP(Sat_W1[[#This Row],[Employee Name]],'Base Schedules'!$A$46:$AW$77,16,FALSE)="","",VLOOKUP(Sat_W1[[#This Row],[Employee Name]],'Base Schedules'!$A$46:$AW$77,16,FALSE)),"")</f>
        <v/>
      </c>
      <c r="R26" s="184" t="str">
        <f>IFERROR(IF(VLOOKUP(Sat_W1[[#This Row],[Employee Name]],'Base Schedules'!$A$46:$AW$77,17,FALSE)="","",VLOOKUP(Sat_W1[[#This Row],[Employee Name]],'Base Schedules'!$A$46:$AW$77,17,FALSE)),"")</f>
        <v/>
      </c>
      <c r="S26" s="184" t="str">
        <f>IFERROR(IF(VLOOKUP(Sat_W1[[#This Row],[Employee Name]],'Base Schedules'!$A$46:$AW$77,18,FALSE)="","",VLOOKUP(Sat_W1[[#This Row],[Employee Name]],'Base Schedules'!$A$46:$AW$77,18,FALSE)),"")</f>
        <v/>
      </c>
      <c r="T26" s="184" t="str">
        <f>IFERROR(IF(VLOOKUP(Sat_W1[[#This Row],[Employee Name]],'Base Schedules'!$A$46:$AW$77,19,FALSE)="","",VLOOKUP(Sat_W1[[#This Row],[Employee Name]],'Base Schedules'!$A$46:$AW$77,19,FALSE)),"")</f>
        <v/>
      </c>
      <c r="U26" s="184" t="str">
        <f>IFERROR(IF(VLOOKUP(Sat_W1[[#This Row],[Employee Name]],'Base Schedules'!$A$46:$AW$77,20,FALSE)="","",VLOOKUP(Sat_W1[[#This Row],[Employee Name]],'Base Schedules'!$A$46:$AW$77,20,FALSE)),"")</f>
        <v/>
      </c>
      <c r="V26" s="184" t="str">
        <f>IFERROR(IF(VLOOKUP(Sat_W1[[#This Row],[Employee Name]],'Base Schedules'!$A$46:$AW$77,21,FALSE)="","",VLOOKUP(Sat_W1[[#This Row],[Employee Name]],'Base Schedules'!$A$46:$AW$77,21,FALSE)),"")</f>
        <v/>
      </c>
      <c r="W26" s="184" t="str">
        <f>IFERROR(IF(VLOOKUP(Sat_W1[[#This Row],[Employee Name]],'Base Schedules'!$A$46:$AW$77,22,FALSE)="","",VLOOKUP(Sat_W1[[#This Row],[Employee Name]],'Base Schedules'!$A$46:$AW$77,22,FALSE)),"")</f>
        <v/>
      </c>
      <c r="X26" s="184" t="str">
        <f>IFERROR(IF(VLOOKUP(Sat_W1[[#This Row],[Employee Name]],'Base Schedules'!$A$46:$AW$77,23,FALSE)="","",VLOOKUP(Sat_W1[[#This Row],[Employee Name]],'Base Schedules'!$A$46:$AW$77,23,FALSE)),"")</f>
        <v>ADM</v>
      </c>
      <c r="Y26" s="184" t="str">
        <f>IFERROR(IF(VLOOKUP(Sat_W1[[#This Row],[Employee Name]],'Base Schedules'!$A$46:$AW$77,24,FALSE)="","",VLOOKUP(Sat_W1[[#This Row],[Employee Name]],'Base Schedules'!$A$46:$AW$77,24,FALSE)),"")</f>
        <v>ADM</v>
      </c>
      <c r="Z26" s="184" t="str">
        <f>IFERROR(IF(VLOOKUP(Sat_W1[[#This Row],[Employee Name]],'Base Schedules'!$A$46:$AW$77,25,FALSE)="","",VLOOKUP(Sat_W1[[#This Row],[Employee Name]],'Base Schedules'!$A$46:$AW$77,25,FALSE)),"")</f>
        <v>ADM</v>
      </c>
      <c r="AA26" s="184" t="str">
        <f>IFERROR(IF(VLOOKUP(Sat_W1[[#This Row],[Employee Name]],'Base Schedules'!$A$46:$AW$77,26,FALSE)="","",VLOOKUP(Sat_W1[[#This Row],[Employee Name]],'Base Schedules'!$A$46:$AW$77,26,FALSE)),"")</f>
        <v>ADM</v>
      </c>
      <c r="AB26" s="184" t="str">
        <f>IFERROR(IF(VLOOKUP(Sat_W1[[#This Row],[Employee Name]],'Base Schedules'!$A$46:$AW$77,27,FALSE)="","",VLOOKUP(Sat_W1[[#This Row],[Employee Name]],'Base Schedules'!$A$46:$AW$77,27,FALSE)),"")</f>
        <v>ADM</v>
      </c>
      <c r="AC26" s="184" t="str">
        <f>IFERROR(IF(VLOOKUP(Sat_W1[[#This Row],[Employee Name]],'Base Schedules'!$A$46:$AW$77,28,FALSE)="","",VLOOKUP(Sat_W1[[#This Row],[Employee Name]],'Base Schedules'!$A$46:$AW$77,28,FALSE)),"")</f>
        <v>B1 HL</v>
      </c>
      <c r="AD26" s="184" t="str">
        <f>IFERROR(IF(VLOOKUP(Sat_W1[[#This Row],[Employee Name]],'Base Schedules'!$A$46:$AW$77,29,FALSE)="","",VLOOKUP(Sat_W1[[#This Row],[Employee Name]],'Base Schedules'!$A$46:$AW$77,29,FALSE)),"")</f>
        <v>HL</v>
      </c>
      <c r="AE26" s="184" t="str">
        <f>IFERROR(IF(VLOOKUP(Sat_W1[[#This Row],[Employee Name]],'Base Schedules'!$A$46:$AW$77,30,FALSE)="","",VLOOKUP(Sat_W1[[#This Row],[Employee Name]],'Base Schedules'!$A$46:$AW$77,30,FALSE)),"")</f>
        <v>HL</v>
      </c>
      <c r="AF26" s="184" t="str">
        <f>IFERROR(IF(VLOOKUP(Sat_W1[[#This Row],[Employee Name]],'Base Schedules'!$A$46:$AW$77,31,FALSE)="","",VLOOKUP(Sat_W1[[#This Row],[Employee Name]],'Base Schedules'!$A$46:$AW$77,31,FALSE)),"")</f>
        <v>HL</v>
      </c>
      <c r="AG26" s="184" t="str">
        <f>IFERROR(IF(VLOOKUP(Sat_W1[[#This Row],[Employee Name]],'Base Schedules'!$A$46:$AW$77,32,FALSE)="","",VLOOKUP(Sat_W1[[#This Row],[Employee Name]],'Base Schedules'!$A$46:$AW$77,32,FALSE)),"")</f>
        <v>HL</v>
      </c>
      <c r="AH26" s="184" t="str">
        <f>IFERROR(IF(VLOOKUP(Sat_W1[[#This Row],[Employee Name]],'Base Schedules'!$A$46:$AW$77,33,FALSE)="","",VLOOKUP(Sat_W1[[#This Row],[Employee Name]],'Base Schedules'!$A$46:$AW$77,33,FALSE)),"")</f>
        <v>LUNCH</v>
      </c>
      <c r="AI26" s="184" t="str">
        <f>IFERROR(IF(VLOOKUP(Sat_W1[[#This Row],[Employee Name]],'Base Schedules'!$A$46:$AW$77,34,FALSE)="","",VLOOKUP(Sat_W1[[#This Row],[Employee Name]],'Base Schedules'!$A$46:$AW$77,34,FALSE)),"")</f>
        <v>LUNCH</v>
      </c>
      <c r="AJ26" s="184" t="str">
        <f>IFERROR(IF(VLOOKUP(Sat_W1[[#This Row],[Employee Name]],'Base Schedules'!$A$46:$AW$77,35,FALSE)="","",VLOOKUP(Sat_W1[[#This Row],[Employee Name]],'Base Schedules'!$A$46:$AW$77,35,FALSE)),"")</f>
        <v>HL</v>
      </c>
      <c r="AK26" s="184" t="str">
        <f>IFERROR(IF(VLOOKUP(Sat_W1[[#This Row],[Employee Name]],'Base Schedules'!$A$46:$AW$77,36,FALSE)="","",VLOOKUP(Sat_W1[[#This Row],[Employee Name]],'Base Schedules'!$A$46:$AW$77,36,FALSE)),"")</f>
        <v>ADM</v>
      </c>
      <c r="AL26" s="184" t="str">
        <f>IFERROR(IF(VLOOKUP(Sat_W1[[#This Row],[Employee Name]],'Base Schedules'!$A$46:$AW$77,37,FALSE)="","",VLOOKUP(Sat_W1[[#This Row],[Employee Name]],'Base Schedules'!$A$46:$AW$77,37,FALSE)),"")</f>
        <v>RNNR</v>
      </c>
      <c r="AM26" s="184" t="str">
        <f>IFERROR(IF(VLOOKUP(Sat_W1[[#This Row],[Employee Name]],'Base Schedules'!$A$46:$AW$77,38,FALSE)="","",VLOOKUP(Sat_W1[[#This Row],[Employee Name]],'Base Schedules'!$A$46:$AW$77,38,FALSE)),"")</f>
        <v>RNNR</v>
      </c>
      <c r="AN26" s="184" t="str">
        <f>IFERROR(IF(VLOOKUP(Sat_W1[[#This Row],[Employee Name]],'Base Schedules'!$A$46:$AW$77,39,FALSE)="","",VLOOKUP(Sat_W1[[#This Row],[Employee Name]],'Base Schedules'!$A$46:$AW$77,39,FALSE)),"")</f>
        <v>ADM B2</v>
      </c>
      <c r="AO26" s="184" t="str">
        <f>IFERROR(IF(VLOOKUP(Sat_W1[[#This Row],[Employee Name]],'Base Schedules'!$A$46:$AW$77,40,FALSE)="","",VLOOKUP(Sat_W1[[#This Row],[Employee Name]],'Base Schedules'!$A$46:$AW$77,40,FALSE)),"")</f>
        <v>ADM</v>
      </c>
      <c r="AP26" s="184" t="str">
        <f>IFERROR(IF(VLOOKUP(Sat_W1[[#This Row],[Employee Name]],'Base Schedules'!$A$46:$AW$77,41,FALSE)="","",VLOOKUP(Sat_W1[[#This Row],[Employee Name]],'Base Schedules'!$A$46:$AW$77,41,FALSE)),"")</f>
        <v>HL</v>
      </c>
      <c r="AQ26" s="184" t="str">
        <f>IFERROR(IF(VLOOKUP(Sat_W1[[#This Row],[Employee Name]],'Base Schedules'!$A$46:$AW$77,42,FALSE)="","",VLOOKUP(Sat_W1[[#This Row],[Employee Name]],'Base Schedules'!$A$46:$AW$77,42,FALSE)),"")</f>
        <v>HL</v>
      </c>
      <c r="AR26" s="184" t="str">
        <f>IFERROR(IF(VLOOKUP(Sat_W1[[#This Row],[Employee Name]],'Base Schedules'!$A$46:$AW$77,43,FALSE)="","",VLOOKUP(Sat_W1[[#This Row],[Employee Name]],'Base Schedules'!$A$46:$AW$77,43,FALSE)),"")</f>
        <v>HL</v>
      </c>
      <c r="AS26" s="184" t="str">
        <f>IFERROR(IF(VLOOKUP(Sat_W1[[#This Row],[Employee Name]],'Base Schedules'!$A$46:$AW$77,44,FALSE)="","",VLOOKUP(Sat_W1[[#This Row],[Employee Name]],'Base Schedules'!$A$46:$AW$77,44,FALSE)),"")</f>
        <v>ADM</v>
      </c>
      <c r="AT26" s="184" t="str">
        <f>IFERROR(IF(VLOOKUP(Sat_W1[[#This Row],[Employee Name]],'Base Schedules'!$A$46:$AW$77,45,FALSE)="","",VLOOKUP(Sat_W1[[#This Row],[Employee Name]],'Base Schedules'!$A$46:$AW$77,45,FALSE)),"")</f>
        <v/>
      </c>
      <c r="AU26" s="184" t="str">
        <f>IFERROR(IF(VLOOKUP(Sat_W1[[#This Row],[Employee Name]],'Base Schedules'!$A$46:$AW$77,46,FALSE)="","",VLOOKUP(Sat_W1[[#This Row],[Employee Name]],'Base Schedules'!$A$46:$AW$77,46,FALSE)),"")</f>
        <v/>
      </c>
      <c r="AV26" s="184" t="str">
        <f>IFERROR(IF(VLOOKUP(Sat_W1[[#This Row],[Employee Name]],'Base Schedules'!$A$46:$AW$77,47,FALSE)="","",VLOOKUP(Sat_W1[[#This Row],[Employee Name]],'Base Schedules'!$A$46:$AW$77,47,FALSE)),"")</f>
        <v/>
      </c>
      <c r="AW26" s="184" t="str">
        <f>IFERROR(IF(VLOOKUP(Sat_W1[[#This Row],[Employee Name]],'Base Schedules'!$A$46:$AW$77,48,FALSE)="","",VLOOKUP(Sat_W1[[#This Row],[Employee Name]],'Base Schedules'!$A$46:$AW$77,48,FALSE)),"")</f>
        <v/>
      </c>
      <c r="AX26" s="184" t="str">
        <f>IFERROR(IF(VLOOKUP(Sat_W1[[#This Row],[Employee Name]],'Base Schedules'!$A$46:$AW$77,49,FALSE)="","",VLOOKUP(Sat_W1[[#This Row],[Employee Name]],'Base Schedules'!$A$46:$AW$77,49,FALSE)),"")</f>
        <v/>
      </c>
      <c r="AY26" s="161" t="str">
        <f t="shared" si="2"/>
        <v>Floirendo, Nicholas</v>
      </c>
    </row>
    <row r="27" spans="1:51" s="44" customFormat="1" ht="12" customHeight="1" x14ac:dyDescent="0.2">
      <c r="A27" s="39" t="str">
        <f>IF(B27="","",INDEX(TeamList[],MATCH($B27,TeamList[[Employee Name]:[Employee Name]],0),MATCH("Manager",TeamList[#Headers],0)))</f>
        <v>Olson, Katherine</v>
      </c>
      <c r="B27" s="201" t="s">
        <v>227</v>
      </c>
      <c r="C27" s="257" t="str">
        <f>_xlfn.IFNA(VLOOKUP(Sat_W1[[#This Row],[Employee Name]],'Base Schedules'!A:B,2,FALSE),"")</f>
        <v>Supervisor</v>
      </c>
      <c r="D27" s="274">
        <f>_xlfn.IFNA(VLOOKUP(Sat_W1[[#This Row],[Employee Name]],'Base Schedules'!A:C,3,FALSE),"")</f>
        <v>1230</v>
      </c>
      <c r="E27" s="274">
        <f>_xlfn.IFNA(VLOOKUP(Sat_W1[[#This Row],[Employee Name]],'Base Schedules'!A:D,4,FALSE),"")</f>
        <v>2130</v>
      </c>
      <c r="F27" s="142">
        <f>IF(Sat_W1[[#This Row],[Employee Name]]="","",IF(Sat_W1[[#This Row],[Dept]]="Supervisor",COUNTIFS($J27:$AX27,"*HL*",$J27:$AX27,"&lt;&gt;"&amp;"pHL"),COUNTIFS($J27:$AX27,"*HL*",$J27:$AX27,"&lt;&gt;"&amp;"*pHL*",$J27:$AX27,"&lt;&gt;"&amp;"pB1 HL",$J27:$AX27,"&lt;&gt;"&amp;"pB2 HL")-SUM(COUNTIFS($J27:$AX27,"*HL B1*",$J27:$AX27,"&lt;&gt;"&amp;"pHL B1")*0.5,COUNTIFS($J27:$AX27,"*HL B2*",$J27:$AX27,"&lt;&gt;"&amp;"pHL B2")*0.5,COUNTIFS($J27:$AX27,"*B1 HL*",$J27:$AX27,"&lt;&gt;"&amp;"pB1 HL")*0.5,COUNTIFS($J27:$AX27,"*B2 HL*",$J27:$AX27,"&lt;&gt;"&amp;"pB2 HL")*0.5)))</f>
        <v>0</v>
      </c>
      <c r="G27" s="142">
        <f t="shared" si="3"/>
        <v>0</v>
      </c>
      <c r="H27" s="142">
        <f t="shared" si="1"/>
        <v>0</v>
      </c>
      <c r="I27" s="142">
        <f>IF(Sat_W1[[#This Row],[Employee Name]]="","",IF(Sat_W1[[#This Row],[Dept]]="Supervisor",SUM(COUNTIFS($J27:$AX27,"RTA*",$J27:$AX27,"&lt;&gt;"&amp;"pRTA"),COUNTIFS($J27:$AX27,"*CRTA*",$J27:$AX27,"&lt;&gt;"&amp;"pCRTA")),COUNTIFS($J27:$AX27,"*RNNR*",$J27:$AX27,"&lt;&gt;"&amp;"*pRNNR*",$J27:$AX27,"&lt;&gt;"&amp;"pB1 RNNR",$J27:$AX27,"&lt;&gt;"&amp;"pB2 RNNR")-SUM(COUNTIFS($J27:$AX27,"*RNNR B1*",$J27:$AX27,"&lt;&gt;"&amp;"pRNNR B1")*0.5,COUNTIFS($J27:$AX27,"*RNNR B2*",$J27:$AX27,"&lt;&gt;"&amp;"pRNNR B2")*0.5,COUNTIFS($J27:$AX27,"*B1 RNNR*",$J27:$AX27,"&lt;&gt;"&amp;"pB1 RNNR")*0.5,COUNTIFS($J27:$AX27,"*B2 RNNR*",$J27:$AX27,"&lt;&gt;"&amp;"pB2 RNNR")*0.5)))</f>
        <v>0</v>
      </c>
      <c r="J27" s="184" t="str">
        <f>IFERROR(IF(VLOOKUP(Sat_W1[[#This Row],[Employee Name]],'Base Schedules'!$A$46:$AW$77,9,FALSE)="","",VLOOKUP(Sat_W1[[#This Row],[Employee Name]],'Base Schedules'!$A$46:$AW$77,9,FALSE)),"")</f>
        <v/>
      </c>
      <c r="K27" s="184" t="str">
        <f>IFERROR(IF(VLOOKUP(Sat_W1[[#This Row],[Employee Name]],'Base Schedules'!$A$46:$AW$77,10,FALSE)="","",VLOOKUP(Sat_W1[[#This Row],[Employee Name]],'Base Schedules'!$A$46:$AW$77,10,FALSE)),"")</f>
        <v/>
      </c>
      <c r="L27" s="184" t="str">
        <f>IFERROR(IF(VLOOKUP(Sat_W1[[#This Row],[Employee Name]],'Base Schedules'!$A$46:$AW$77,11,FALSE)="","",VLOOKUP(Sat_W1[[#This Row],[Employee Name]],'Base Schedules'!$A$46:$AW$77,11,FALSE)),"")</f>
        <v/>
      </c>
      <c r="M27" s="184" t="str">
        <f>IFERROR(IF(VLOOKUP(Sat_W1[[#This Row],[Employee Name]],'Base Schedules'!$A$46:$AW$77,12,FALSE)="","",VLOOKUP(Sat_W1[[#This Row],[Employee Name]],'Base Schedules'!$A$46:$AW$77,12,FALSE)),"")</f>
        <v/>
      </c>
      <c r="N27" s="184" t="str">
        <f>IFERROR(IF(VLOOKUP(Sat_W1[[#This Row],[Employee Name]],'Base Schedules'!$A$46:$AW$77,13,FALSE)="","",VLOOKUP(Sat_W1[[#This Row],[Employee Name]],'Base Schedules'!$A$46:$AW$77,13,FALSE)),"")</f>
        <v/>
      </c>
      <c r="O27" s="184" t="str">
        <f>IFERROR(IF(VLOOKUP(Sat_W1[[#This Row],[Employee Name]],'Base Schedules'!$A$46:$AW$77,14,FALSE)="","",VLOOKUP(Sat_W1[[#This Row],[Employee Name]],'Base Schedules'!$A$46:$AW$77,14,FALSE)),"")</f>
        <v/>
      </c>
      <c r="P27" s="184" t="str">
        <f>IFERROR(IF(VLOOKUP(Sat_W1[[#This Row],[Employee Name]],'Base Schedules'!$A$46:$AW$77,15,FALSE)="","",VLOOKUP(Sat_W1[[#This Row],[Employee Name]],'Base Schedules'!$A$46:$AW$77,15,FALSE)),"")</f>
        <v/>
      </c>
      <c r="Q27" s="184" t="str">
        <f>IFERROR(IF(VLOOKUP(Sat_W1[[#This Row],[Employee Name]],'Base Schedules'!$A$46:$AW$77,16,FALSE)="","",VLOOKUP(Sat_W1[[#This Row],[Employee Name]],'Base Schedules'!$A$46:$AW$77,16,FALSE)),"")</f>
        <v/>
      </c>
      <c r="R27" s="184" t="str">
        <f>IFERROR(IF(VLOOKUP(Sat_W1[[#This Row],[Employee Name]],'Base Schedules'!$A$46:$AW$77,17,FALSE)="","",VLOOKUP(Sat_W1[[#This Row],[Employee Name]],'Base Schedules'!$A$46:$AW$77,17,FALSE)),"")</f>
        <v/>
      </c>
      <c r="S27" s="184" t="str">
        <f>IFERROR(IF(VLOOKUP(Sat_W1[[#This Row],[Employee Name]],'Base Schedules'!$A$46:$AW$77,18,FALSE)="","",VLOOKUP(Sat_W1[[#This Row],[Employee Name]],'Base Schedules'!$A$46:$AW$77,18,FALSE)),"")</f>
        <v/>
      </c>
      <c r="T27" s="184" t="str">
        <f>IFERROR(IF(VLOOKUP(Sat_W1[[#This Row],[Employee Name]],'Base Schedules'!$A$46:$AW$77,19,FALSE)="","",VLOOKUP(Sat_W1[[#This Row],[Employee Name]],'Base Schedules'!$A$46:$AW$77,19,FALSE)),"")</f>
        <v/>
      </c>
      <c r="U27" s="184" t="str">
        <f>IFERROR(IF(VLOOKUP(Sat_W1[[#This Row],[Employee Name]],'Base Schedules'!$A$46:$AW$77,20,FALSE)="","",VLOOKUP(Sat_W1[[#This Row],[Employee Name]],'Base Schedules'!$A$46:$AW$77,20,FALSE)),"")</f>
        <v/>
      </c>
      <c r="V27" s="184" t="str">
        <f>IFERROR(IF(VLOOKUP(Sat_W1[[#This Row],[Employee Name]],'Base Schedules'!$A$46:$AW$77,21,FALSE)="","",VLOOKUP(Sat_W1[[#This Row],[Employee Name]],'Base Schedules'!$A$46:$AW$77,21,FALSE)),"")</f>
        <v/>
      </c>
      <c r="W27" s="184" t="str">
        <f>IFERROR(IF(VLOOKUP(Sat_W1[[#This Row],[Employee Name]],'Base Schedules'!$A$46:$AW$77,22,FALSE)="","",VLOOKUP(Sat_W1[[#This Row],[Employee Name]],'Base Schedules'!$A$46:$AW$77,22,FALSE)),"")</f>
        <v/>
      </c>
      <c r="X27" s="184" t="str">
        <f>IFERROR(IF(VLOOKUP(Sat_W1[[#This Row],[Employee Name]],'Base Schedules'!$A$46:$AW$77,23,FALSE)="","",VLOOKUP(Sat_W1[[#This Row],[Employee Name]],'Base Schedules'!$A$46:$AW$77,23,FALSE)),"")</f>
        <v/>
      </c>
      <c r="Y27" s="184" t="str">
        <f>IFERROR(IF(VLOOKUP(Sat_W1[[#This Row],[Employee Name]],'Base Schedules'!$A$46:$AW$77,24,FALSE)="","",VLOOKUP(Sat_W1[[#This Row],[Employee Name]],'Base Schedules'!$A$46:$AW$77,24,FALSE)),"")</f>
        <v/>
      </c>
      <c r="Z27" s="184" t="str">
        <f>IFERROR(IF(VLOOKUP(Sat_W1[[#This Row],[Employee Name]],'Base Schedules'!$A$46:$AW$77,25,FALSE)="","",VLOOKUP(Sat_W1[[#This Row],[Employee Name]],'Base Schedules'!$A$46:$AW$77,25,FALSE)),"")</f>
        <v/>
      </c>
      <c r="AA27" s="184" t="str">
        <f>IFERROR(IF(VLOOKUP(Sat_W1[[#This Row],[Employee Name]],'Base Schedules'!$A$46:$AW$77,26,FALSE)="","",VLOOKUP(Sat_W1[[#This Row],[Employee Name]],'Base Schedules'!$A$46:$AW$77,26,FALSE)),"")</f>
        <v/>
      </c>
      <c r="AB27" s="184" t="str">
        <f>IFERROR(IF(VLOOKUP(Sat_W1[[#This Row],[Employee Name]],'Base Schedules'!$A$46:$AW$77,27,FALSE)="","",VLOOKUP(Sat_W1[[#This Row],[Employee Name]],'Base Schedules'!$A$46:$AW$77,27,FALSE)),"")</f>
        <v/>
      </c>
      <c r="AC27" s="184" t="str">
        <f>IFERROR(IF(VLOOKUP(Sat_W1[[#This Row],[Employee Name]],'Base Schedules'!$A$46:$AW$77,28,FALSE)="","",VLOOKUP(Sat_W1[[#This Row],[Employee Name]],'Base Schedules'!$A$46:$AW$77,28,FALSE)),"")</f>
        <v/>
      </c>
      <c r="AD27" s="184" t="str">
        <f>IFERROR(IF(VLOOKUP(Sat_W1[[#This Row],[Employee Name]],'Base Schedules'!$A$46:$AW$77,29,FALSE)="","",VLOOKUP(Sat_W1[[#This Row],[Employee Name]],'Base Schedules'!$A$46:$AW$77,29,FALSE)),"")</f>
        <v/>
      </c>
      <c r="AE27" s="184" t="str">
        <f>IFERROR(IF(VLOOKUP(Sat_W1[[#This Row],[Employee Name]],'Base Schedules'!$A$46:$AW$77,30,FALSE)="","",VLOOKUP(Sat_W1[[#This Row],[Employee Name]],'Base Schedules'!$A$46:$AW$77,30,FALSE)),"")</f>
        <v/>
      </c>
      <c r="AF27" s="184" t="str">
        <f>IFERROR(IF(VLOOKUP(Sat_W1[[#This Row],[Employee Name]],'Base Schedules'!$A$46:$AW$77,31,FALSE)="","",VLOOKUP(Sat_W1[[#This Row],[Employee Name]],'Base Schedules'!$A$46:$AW$77,31,FALSE)),"")</f>
        <v/>
      </c>
      <c r="AG27" s="184" t="str">
        <f>IFERROR(IF(VLOOKUP(Sat_W1[[#This Row],[Employee Name]],'Base Schedules'!$A$46:$AW$77,32,FALSE)="","",VLOOKUP(Sat_W1[[#This Row],[Employee Name]],'Base Schedules'!$A$46:$AW$77,32,FALSE)),"")</f>
        <v/>
      </c>
      <c r="AH27" s="184" t="str">
        <f>IFERROR(IF(VLOOKUP(Sat_W1[[#This Row],[Employee Name]],'Base Schedules'!$A$46:$AW$77,33,FALSE)="","",VLOOKUP(Sat_W1[[#This Row],[Employee Name]],'Base Schedules'!$A$46:$AW$77,33,FALSE)),"")</f>
        <v/>
      </c>
      <c r="AI27" s="184" t="str">
        <f>IFERROR(IF(VLOOKUP(Sat_W1[[#This Row],[Employee Name]],'Base Schedules'!$A$46:$AW$77,34,FALSE)="","",VLOOKUP(Sat_W1[[#This Row],[Employee Name]],'Base Schedules'!$A$46:$AW$77,34,FALSE)),"")</f>
        <v/>
      </c>
      <c r="AJ27" s="184" t="str">
        <f>IFERROR(IF(VLOOKUP(Sat_W1[[#This Row],[Employee Name]],'Base Schedules'!$A$46:$AW$77,35,FALSE)="","",VLOOKUP(Sat_W1[[#This Row],[Employee Name]],'Base Schedules'!$A$46:$AW$77,35,FALSE)),"")</f>
        <v/>
      </c>
      <c r="AK27" s="184" t="str">
        <f>IFERROR(IF(VLOOKUP(Sat_W1[[#This Row],[Employee Name]],'Base Schedules'!$A$46:$AW$77,36,FALSE)="","",VLOOKUP(Sat_W1[[#This Row],[Employee Name]],'Base Schedules'!$A$46:$AW$77,36,FALSE)),"")</f>
        <v/>
      </c>
      <c r="AL27" s="184" t="str">
        <f>IFERROR(IF(VLOOKUP(Sat_W1[[#This Row],[Employee Name]],'Base Schedules'!$A$46:$AW$77,37,FALSE)="","",VLOOKUP(Sat_W1[[#This Row],[Employee Name]],'Base Schedules'!$A$46:$AW$77,37,FALSE)),"")</f>
        <v/>
      </c>
      <c r="AM27" s="184" t="str">
        <f>IFERROR(IF(VLOOKUP(Sat_W1[[#This Row],[Employee Name]],'Base Schedules'!$A$46:$AW$77,38,FALSE)="","",VLOOKUP(Sat_W1[[#This Row],[Employee Name]],'Base Schedules'!$A$46:$AW$77,38,FALSE)),"")</f>
        <v/>
      </c>
      <c r="AN27" s="184" t="str">
        <f>IFERROR(IF(VLOOKUP(Sat_W1[[#This Row],[Employee Name]],'Base Schedules'!$A$46:$AW$77,39,FALSE)="","",VLOOKUP(Sat_W1[[#This Row],[Employee Name]],'Base Schedules'!$A$46:$AW$77,39,FALSE)),"")</f>
        <v/>
      </c>
      <c r="AO27" s="184" t="str">
        <f>IFERROR(IF(VLOOKUP(Sat_W1[[#This Row],[Employee Name]],'Base Schedules'!$A$46:$AW$77,40,FALSE)="","",VLOOKUP(Sat_W1[[#This Row],[Employee Name]],'Base Schedules'!$A$46:$AW$77,40,FALSE)),"")</f>
        <v/>
      </c>
      <c r="AP27" s="184" t="str">
        <f>IFERROR(IF(VLOOKUP(Sat_W1[[#This Row],[Employee Name]],'Base Schedules'!$A$46:$AW$77,41,FALSE)="","",VLOOKUP(Sat_W1[[#This Row],[Employee Name]],'Base Schedules'!$A$46:$AW$77,41,FALSE)),"")</f>
        <v/>
      </c>
      <c r="AQ27" s="184" t="str">
        <f>IFERROR(IF(VLOOKUP(Sat_W1[[#This Row],[Employee Name]],'Base Schedules'!$A$46:$AW$77,42,FALSE)="","",VLOOKUP(Sat_W1[[#This Row],[Employee Name]],'Base Schedules'!$A$46:$AW$77,42,FALSE)),"")</f>
        <v/>
      </c>
      <c r="AR27" s="184" t="str">
        <f>IFERROR(IF(VLOOKUP(Sat_W1[[#This Row],[Employee Name]],'Base Schedules'!$A$46:$AW$77,43,FALSE)="","",VLOOKUP(Sat_W1[[#This Row],[Employee Name]],'Base Schedules'!$A$46:$AW$77,43,FALSE)),"")</f>
        <v/>
      </c>
      <c r="AS27" s="184" t="str">
        <f>IFERROR(IF(VLOOKUP(Sat_W1[[#This Row],[Employee Name]],'Base Schedules'!$A$46:$AW$77,44,FALSE)="","",VLOOKUP(Sat_W1[[#This Row],[Employee Name]],'Base Schedules'!$A$46:$AW$77,44,FALSE)),"")</f>
        <v/>
      </c>
      <c r="AT27" s="184" t="str">
        <f>IFERROR(IF(VLOOKUP(Sat_W1[[#This Row],[Employee Name]],'Base Schedules'!$A$46:$AW$77,45,FALSE)="","",VLOOKUP(Sat_W1[[#This Row],[Employee Name]],'Base Schedules'!$A$46:$AW$77,45,FALSE)),"")</f>
        <v/>
      </c>
      <c r="AU27" s="184" t="str">
        <f>IFERROR(IF(VLOOKUP(Sat_W1[[#This Row],[Employee Name]],'Base Schedules'!$A$46:$AW$77,46,FALSE)="","",VLOOKUP(Sat_W1[[#This Row],[Employee Name]],'Base Schedules'!$A$46:$AW$77,46,FALSE)),"")</f>
        <v/>
      </c>
      <c r="AV27" s="184" t="str">
        <f>IFERROR(IF(VLOOKUP(Sat_W1[[#This Row],[Employee Name]],'Base Schedules'!$A$46:$AW$77,47,FALSE)="","",VLOOKUP(Sat_W1[[#This Row],[Employee Name]],'Base Schedules'!$A$46:$AW$77,47,FALSE)),"")</f>
        <v/>
      </c>
      <c r="AW27" s="184" t="str">
        <f>IFERROR(IF(VLOOKUP(Sat_W1[[#This Row],[Employee Name]],'Base Schedules'!$A$46:$AW$77,48,FALSE)="","",VLOOKUP(Sat_W1[[#This Row],[Employee Name]],'Base Schedules'!$A$46:$AW$77,48,FALSE)),"")</f>
        <v/>
      </c>
      <c r="AX27" s="184" t="str">
        <f>IFERROR(IF(VLOOKUP(Sat_W1[[#This Row],[Employee Name]],'Base Schedules'!$A$46:$AW$77,49,FALSE)="","",VLOOKUP(Sat_W1[[#This Row],[Employee Name]],'Base Schedules'!$A$46:$AW$77,49,FALSE)),"")</f>
        <v/>
      </c>
      <c r="AY27" s="160" t="str">
        <f t="shared" si="2"/>
        <v>Ostby, Paige</v>
      </c>
    </row>
    <row r="28" spans="1:51" s="44" customFormat="1" ht="12" customHeight="1" x14ac:dyDescent="0.2">
      <c r="A28" s="39" t="str">
        <f>IF(B28="","",INDEX(TeamList[],MATCH($B28,TeamList[[Employee Name]:[Employee Name]],0),MATCH("Manager",TeamList[#Headers],0)))</f>
        <v>Olson, Katherine</v>
      </c>
      <c r="B28" s="201" t="s">
        <v>238</v>
      </c>
      <c r="C28" s="257" t="str">
        <f>_xlfn.IFNA(VLOOKUP(Sat_W1[[#This Row],[Employee Name]],'Base Schedules'!A:B,2,FALSE),"")</f>
        <v>Lead</v>
      </c>
      <c r="D28" s="274">
        <f>_xlfn.IFNA(VLOOKUP(Sat_W1[[#This Row],[Employee Name]],'Base Schedules'!A:C,3,FALSE),"")</f>
        <v>1230</v>
      </c>
      <c r="E28" s="274">
        <f>_xlfn.IFNA(VLOOKUP(Sat_W1[[#This Row],[Employee Name]],'Base Schedules'!A:D,4,FALSE),"")</f>
        <v>2100</v>
      </c>
      <c r="F28" s="142">
        <f>IF(Sat_W1[[#This Row],[Employee Name]]="","",IF(Sat_W1[[#This Row],[Dept]]="Supervisor",COUNTIFS($J28:$AX28,"*HL*",$J28:$AX28,"&lt;&gt;"&amp;"pHL"),COUNTIFS($J28:$AX28,"*HL*",$J28:$AX28,"&lt;&gt;"&amp;"*pHL*",$J28:$AX28,"&lt;&gt;"&amp;"pB1 HL",$J28:$AX28,"&lt;&gt;"&amp;"pB2 HL")-SUM(COUNTIFS($J28:$AX28,"*HL B1*",$J28:$AX28,"&lt;&gt;"&amp;"pHL B1")*0.5,COUNTIFS($J28:$AX28,"*HL B2*",$J28:$AX28,"&lt;&gt;"&amp;"pHL B2")*0.5,COUNTIFS($J28:$AX28,"*B1 HL*",$J28:$AX28,"&lt;&gt;"&amp;"pB1 HL")*0.5,COUNTIFS($J28:$AX28,"*B2 HL*",$J28:$AX28,"&lt;&gt;"&amp;"pB2 HL")*0.5)))</f>
        <v>6</v>
      </c>
      <c r="G28" s="142">
        <f t="shared" si="3"/>
        <v>0</v>
      </c>
      <c r="H28" s="142">
        <f t="shared" si="1"/>
        <v>8</v>
      </c>
      <c r="I28" s="142">
        <f>IF(Sat_W1[[#This Row],[Employee Name]]="","",IF(Sat_W1[[#This Row],[Dept]]="Supervisor",SUM(COUNTIFS($J28:$AX28,"RTA*",$J28:$AX28,"&lt;&gt;"&amp;"pRTA"),COUNTIFS($J28:$AX28,"*CRTA*",$J28:$AX28,"&lt;&gt;"&amp;"pCRTA")),COUNTIFS($J28:$AX28,"*RNNR*",$J28:$AX28,"&lt;&gt;"&amp;"*pRNNR*",$J28:$AX28,"&lt;&gt;"&amp;"pB1 RNNR",$J28:$AX28,"&lt;&gt;"&amp;"pB2 RNNR")-SUM(COUNTIFS($J28:$AX28,"*RNNR B1*",$J28:$AX28,"&lt;&gt;"&amp;"pRNNR B1")*0.5,COUNTIFS($J28:$AX28,"*RNNR B2*",$J28:$AX28,"&lt;&gt;"&amp;"pRNNR B2")*0.5,COUNTIFS($J28:$AX28,"*B1 RNNR*",$J28:$AX28,"&lt;&gt;"&amp;"pB1 RNNR")*0.5,COUNTIFS($J28:$AX28,"*B2 RNNR*",$J28:$AX28,"&lt;&gt;"&amp;"pB2 RNNR")*0.5)))</f>
        <v>2</v>
      </c>
      <c r="J28" s="184" t="str">
        <f>IFERROR(IF(VLOOKUP(Sat_W1[[#This Row],[Employee Name]],'Base Schedules'!$A$46:$AW$77,9,FALSE)="","",VLOOKUP(Sat_W1[[#This Row],[Employee Name]],'Base Schedules'!$A$46:$AW$77,9,FALSE)),"")</f>
        <v/>
      </c>
      <c r="K28" s="184" t="str">
        <f>IFERROR(IF(VLOOKUP(Sat_W1[[#This Row],[Employee Name]],'Base Schedules'!$A$46:$AW$77,10,FALSE)="","",VLOOKUP(Sat_W1[[#This Row],[Employee Name]],'Base Schedules'!$A$46:$AW$77,10,FALSE)),"")</f>
        <v/>
      </c>
      <c r="L28" s="184" t="str">
        <f>IFERROR(IF(VLOOKUP(Sat_W1[[#This Row],[Employee Name]],'Base Schedules'!$A$46:$AW$77,11,FALSE)="","",VLOOKUP(Sat_W1[[#This Row],[Employee Name]],'Base Schedules'!$A$46:$AW$77,11,FALSE)),"")</f>
        <v/>
      </c>
      <c r="M28" s="184" t="str">
        <f>IFERROR(IF(VLOOKUP(Sat_W1[[#This Row],[Employee Name]],'Base Schedules'!$A$46:$AW$77,12,FALSE)="","",VLOOKUP(Sat_W1[[#This Row],[Employee Name]],'Base Schedules'!$A$46:$AW$77,12,FALSE)),"")</f>
        <v/>
      </c>
      <c r="N28" s="184" t="str">
        <f>IFERROR(IF(VLOOKUP(Sat_W1[[#This Row],[Employee Name]],'Base Schedules'!$A$46:$AW$77,13,FALSE)="","",VLOOKUP(Sat_W1[[#This Row],[Employee Name]],'Base Schedules'!$A$46:$AW$77,13,FALSE)),"")</f>
        <v/>
      </c>
      <c r="O28" s="184" t="str">
        <f>IFERROR(IF(VLOOKUP(Sat_W1[[#This Row],[Employee Name]],'Base Schedules'!$A$46:$AW$77,14,FALSE)="","",VLOOKUP(Sat_W1[[#This Row],[Employee Name]],'Base Schedules'!$A$46:$AW$77,14,FALSE)),"")</f>
        <v/>
      </c>
      <c r="P28" s="184" t="str">
        <f>IFERROR(IF(VLOOKUP(Sat_W1[[#This Row],[Employee Name]],'Base Schedules'!$A$46:$AW$77,15,FALSE)="","",VLOOKUP(Sat_W1[[#This Row],[Employee Name]],'Base Schedules'!$A$46:$AW$77,15,FALSE)),"")</f>
        <v/>
      </c>
      <c r="Q28" s="184" t="str">
        <f>IFERROR(IF(VLOOKUP(Sat_W1[[#This Row],[Employee Name]],'Base Schedules'!$A$46:$AW$77,16,FALSE)="","",VLOOKUP(Sat_W1[[#This Row],[Employee Name]],'Base Schedules'!$A$46:$AW$77,16,FALSE)),"")</f>
        <v/>
      </c>
      <c r="R28" s="184" t="str">
        <f>IFERROR(IF(VLOOKUP(Sat_W1[[#This Row],[Employee Name]],'Base Schedules'!$A$46:$AW$77,17,FALSE)="","",VLOOKUP(Sat_W1[[#This Row],[Employee Name]],'Base Schedules'!$A$46:$AW$77,17,FALSE)),"")</f>
        <v/>
      </c>
      <c r="S28" s="184" t="str">
        <f>IFERROR(IF(VLOOKUP(Sat_W1[[#This Row],[Employee Name]],'Base Schedules'!$A$46:$AW$77,18,FALSE)="","",VLOOKUP(Sat_W1[[#This Row],[Employee Name]],'Base Schedules'!$A$46:$AW$77,18,FALSE)),"")</f>
        <v/>
      </c>
      <c r="T28" s="184" t="str">
        <f>IFERROR(IF(VLOOKUP(Sat_W1[[#This Row],[Employee Name]],'Base Schedules'!$A$46:$AW$77,19,FALSE)="","",VLOOKUP(Sat_W1[[#This Row],[Employee Name]],'Base Schedules'!$A$46:$AW$77,19,FALSE)),"")</f>
        <v/>
      </c>
      <c r="U28" s="184" t="str">
        <f>IFERROR(IF(VLOOKUP(Sat_W1[[#This Row],[Employee Name]],'Base Schedules'!$A$46:$AW$77,20,FALSE)="","",VLOOKUP(Sat_W1[[#This Row],[Employee Name]],'Base Schedules'!$A$46:$AW$77,20,FALSE)),"")</f>
        <v/>
      </c>
      <c r="V28" s="184" t="str">
        <f>IFERROR(IF(VLOOKUP(Sat_W1[[#This Row],[Employee Name]],'Base Schedules'!$A$46:$AW$77,21,FALSE)="","",VLOOKUP(Sat_W1[[#This Row],[Employee Name]],'Base Schedules'!$A$46:$AW$77,21,FALSE)),"")</f>
        <v/>
      </c>
      <c r="W28" s="184" t="str">
        <f>IFERROR(IF(VLOOKUP(Sat_W1[[#This Row],[Employee Name]],'Base Schedules'!$A$46:$AW$77,22,FALSE)="","",VLOOKUP(Sat_W1[[#This Row],[Employee Name]],'Base Schedules'!$A$46:$AW$77,22,FALSE)),"")</f>
        <v/>
      </c>
      <c r="X28" s="184" t="str">
        <f>IFERROR(IF(VLOOKUP(Sat_W1[[#This Row],[Employee Name]],'Base Schedules'!$A$46:$AW$77,23,FALSE)="","",VLOOKUP(Sat_W1[[#This Row],[Employee Name]],'Base Schedules'!$A$46:$AW$77,23,FALSE)),"")</f>
        <v/>
      </c>
      <c r="Y28" s="184" t="str">
        <f>IFERROR(IF(VLOOKUP(Sat_W1[[#This Row],[Employee Name]],'Base Schedules'!$A$46:$AW$77,24,FALSE)="","",VLOOKUP(Sat_W1[[#This Row],[Employee Name]],'Base Schedules'!$A$46:$AW$77,24,FALSE)),"")</f>
        <v>HL</v>
      </c>
      <c r="Z28" s="184" t="str">
        <f>IFERROR(IF(VLOOKUP(Sat_W1[[#This Row],[Employee Name]],'Base Schedules'!$A$46:$AW$77,25,FALSE)="","",VLOOKUP(Sat_W1[[#This Row],[Employee Name]],'Base Schedules'!$A$46:$AW$77,25,FALSE)),"")</f>
        <v>HL</v>
      </c>
      <c r="AA28" s="184" t="str">
        <f>IFERROR(IF(VLOOKUP(Sat_W1[[#This Row],[Employee Name]],'Base Schedules'!$A$46:$AW$77,26,FALSE)="","",VLOOKUP(Sat_W1[[#This Row],[Employee Name]],'Base Schedules'!$A$46:$AW$77,26,FALSE)),"")</f>
        <v>HL</v>
      </c>
      <c r="AB28" s="184" t="str">
        <f>IFERROR(IF(VLOOKUP(Sat_W1[[#This Row],[Employee Name]],'Base Schedules'!$A$46:$AW$77,27,FALSE)="","",VLOOKUP(Sat_W1[[#This Row],[Employee Name]],'Base Schedules'!$A$46:$AW$77,27,FALSE)),"")</f>
        <v>B1 ADM</v>
      </c>
      <c r="AC28" s="184" t="str">
        <f>IFERROR(IF(VLOOKUP(Sat_W1[[#This Row],[Employee Name]],'Base Schedules'!$A$46:$AW$77,28,FALSE)="","",VLOOKUP(Sat_W1[[#This Row],[Employee Name]],'Base Schedules'!$A$46:$AW$77,28,FALSE)),"")</f>
        <v>ADM</v>
      </c>
      <c r="AD28" s="184" t="str">
        <f>IFERROR(IF(VLOOKUP(Sat_W1[[#This Row],[Employee Name]],'Base Schedules'!$A$46:$AW$77,29,FALSE)="","",VLOOKUP(Sat_W1[[#This Row],[Employee Name]],'Base Schedules'!$A$46:$AW$77,29,FALSE)),"")</f>
        <v>ADM</v>
      </c>
      <c r="AE28" s="184" t="str">
        <f>IFERROR(IF(VLOOKUP(Sat_W1[[#This Row],[Employee Name]],'Base Schedules'!$A$46:$AW$77,30,FALSE)="","",VLOOKUP(Sat_W1[[#This Row],[Employee Name]],'Base Schedules'!$A$46:$AW$77,30,FALSE)),"")</f>
        <v>ADM</v>
      </c>
      <c r="AF28" s="184" t="str">
        <f>IFERROR(IF(VLOOKUP(Sat_W1[[#This Row],[Employee Name]],'Base Schedules'!$A$46:$AW$77,31,FALSE)="","",VLOOKUP(Sat_W1[[#This Row],[Employee Name]],'Base Schedules'!$A$46:$AW$77,31,FALSE)),"")</f>
        <v>ADM</v>
      </c>
      <c r="AG28" s="184" t="str">
        <f>IFERROR(IF(VLOOKUP(Sat_W1[[#This Row],[Employee Name]],'Base Schedules'!$A$46:$AW$77,32,FALSE)="","",VLOOKUP(Sat_W1[[#This Row],[Employee Name]],'Base Schedules'!$A$46:$AW$77,32,FALSE)),"")</f>
        <v>LUNCH</v>
      </c>
      <c r="AH28" s="184" t="str">
        <f>IFERROR(IF(VLOOKUP(Sat_W1[[#This Row],[Employee Name]],'Base Schedules'!$A$46:$AW$77,33,FALSE)="","",VLOOKUP(Sat_W1[[#This Row],[Employee Name]],'Base Schedules'!$A$46:$AW$77,33,FALSE)),"")</f>
        <v>RNNR</v>
      </c>
      <c r="AI28" s="184" t="str">
        <f>IFERROR(IF(VLOOKUP(Sat_W1[[#This Row],[Employee Name]],'Base Schedules'!$A$46:$AW$77,34,FALSE)="","",VLOOKUP(Sat_W1[[#This Row],[Employee Name]],'Base Schedules'!$A$46:$AW$77,34,FALSE)),"")</f>
        <v>RNNR</v>
      </c>
      <c r="AJ28" s="184" t="str">
        <f>IFERROR(IF(VLOOKUP(Sat_W1[[#This Row],[Employee Name]],'Base Schedules'!$A$46:$AW$77,35,FALSE)="","",VLOOKUP(Sat_W1[[#This Row],[Employee Name]],'Base Schedules'!$A$46:$AW$77,35,FALSE)),"")</f>
        <v>ADM</v>
      </c>
      <c r="AK28" s="184" t="str">
        <f>IFERROR(IF(VLOOKUP(Sat_W1[[#This Row],[Employee Name]],'Base Schedules'!$A$46:$AW$77,36,FALSE)="","",VLOOKUP(Sat_W1[[#This Row],[Employee Name]],'Base Schedules'!$A$46:$AW$77,36,FALSE)),"")</f>
        <v>ADM B2</v>
      </c>
      <c r="AL28" s="184" t="str">
        <f>IFERROR(IF(VLOOKUP(Sat_W1[[#This Row],[Employee Name]],'Base Schedules'!$A$46:$AW$77,37,FALSE)="","",VLOOKUP(Sat_W1[[#This Row],[Employee Name]],'Base Schedules'!$A$46:$AW$77,37,FALSE)),"")</f>
        <v>ADM</v>
      </c>
      <c r="AM28" s="184" t="str">
        <f>IFERROR(IF(VLOOKUP(Sat_W1[[#This Row],[Employee Name]],'Base Schedules'!$A$46:$AW$77,38,FALSE)="","",VLOOKUP(Sat_W1[[#This Row],[Employee Name]],'Base Schedules'!$A$46:$AW$77,38,FALSE)),"")</f>
        <v>HL</v>
      </c>
      <c r="AN28" s="184" t="str">
        <f>IFERROR(IF(VLOOKUP(Sat_W1[[#This Row],[Employee Name]],'Base Schedules'!$A$46:$AW$77,39,FALSE)="","",VLOOKUP(Sat_W1[[#This Row],[Employee Name]],'Base Schedules'!$A$46:$AW$77,39,FALSE)),"")</f>
        <v>HL</v>
      </c>
      <c r="AO28" s="184" t="str">
        <f>IFERROR(IF(VLOOKUP(Sat_W1[[#This Row],[Employee Name]],'Base Schedules'!$A$46:$AW$77,40,FALSE)="","",VLOOKUP(Sat_W1[[#This Row],[Employee Name]],'Base Schedules'!$A$46:$AW$77,40,FALSE)),"")</f>
        <v>HL</v>
      </c>
      <c r="AP28" s="184" t="str">
        <f>IFERROR(IF(VLOOKUP(Sat_W1[[#This Row],[Employee Name]],'Base Schedules'!$A$46:$AW$77,41,FALSE)="","",VLOOKUP(Sat_W1[[#This Row],[Employee Name]],'Base Schedules'!$A$46:$AW$77,41,FALSE)),"")</f>
        <v/>
      </c>
      <c r="AQ28" s="184" t="str">
        <f>IFERROR(IF(VLOOKUP(Sat_W1[[#This Row],[Employee Name]],'Base Schedules'!$A$46:$AW$77,42,FALSE)="","",VLOOKUP(Sat_W1[[#This Row],[Employee Name]],'Base Schedules'!$A$46:$AW$77,42,FALSE)),"")</f>
        <v/>
      </c>
      <c r="AR28" s="184" t="str">
        <f>IFERROR(IF(VLOOKUP(Sat_W1[[#This Row],[Employee Name]],'Base Schedules'!$A$46:$AW$77,43,FALSE)="","",VLOOKUP(Sat_W1[[#This Row],[Employee Name]],'Base Schedules'!$A$46:$AW$77,43,FALSE)),"")</f>
        <v/>
      </c>
      <c r="AS28" s="184" t="str">
        <f>IFERROR(IF(VLOOKUP(Sat_W1[[#This Row],[Employee Name]],'Base Schedules'!$A$46:$AW$77,44,FALSE)="","",VLOOKUP(Sat_W1[[#This Row],[Employee Name]],'Base Schedules'!$A$46:$AW$77,44,FALSE)),"")</f>
        <v/>
      </c>
      <c r="AT28" s="184" t="str">
        <f>IFERROR(IF(VLOOKUP(Sat_W1[[#This Row],[Employee Name]],'Base Schedules'!$A$46:$AW$77,45,FALSE)="","",VLOOKUP(Sat_W1[[#This Row],[Employee Name]],'Base Schedules'!$A$46:$AW$77,45,FALSE)),"")</f>
        <v/>
      </c>
      <c r="AU28" s="184" t="str">
        <f>IFERROR(IF(VLOOKUP(Sat_W1[[#This Row],[Employee Name]],'Base Schedules'!$A$46:$AW$77,46,FALSE)="","",VLOOKUP(Sat_W1[[#This Row],[Employee Name]],'Base Schedules'!$A$46:$AW$77,46,FALSE)),"")</f>
        <v/>
      </c>
      <c r="AV28" s="184" t="str">
        <f>IFERROR(IF(VLOOKUP(Sat_W1[[#This Row],[Employee Name]],'Base Schedules'!$A$46:$AW$77,47,FALSE)="","",VLOOKUP(Sat_W1[[#This Row],[Employee Name]],'Base Schedules'!$A$46:$AW$77,47,FALSE)),"")</f>
        <v/>
      </c>
      <c r="AW28" s="184" t="str">
        <f>IFERROR(IF(VLOOKUP(Sat_W1[[#This Row],[Employee Name]],'Base Schedules'!$A$46:$AW$77,48,FALSE)="","",VLOOKUP(Sat_W1[[#This Row],[Employee Name]],'Base Schedules'!$A$46:$AW$77,48,FALSE)),"")</f>
        <v/>
      </c>
      <c r="AX28" s="184" t="str">
        <f>IFERROR(IF(VLOOKUP(Sat_W1[[#This Row],[Employee Name]],'Base Schedules'!$A$46:$AW$77,49,FALSE)="","",VLOOKUP(Sat_W1[[#This Row],[Employee Name]],'Base Schedules'!$A$46:$AW$77,49,FALSE)),"")</f>
        <v/>
      </c>
      <c r="AY28" s="160" t="str">
        <f t="shared" si="2"/>
        <v>Suhama, Ryan</v>
      </c>
    </row>
    <row r="29" spans="1:51" s="44" customFormat="1" ht="12" customHeight="1" x14ac:dyDescent="0.2">
      <c r="A29" s="39" t="str">
        <f>IF(B29="","",INDEX(TeamList[],MATCH($B29,TeamList[[Employee Name]:[Employee Name]],0),MATCH("Manager",TeamList[#Headers],0)))</f>
        <v>Ahmed Hassan, Zahra</v>
      </c>
      <c r="B29" s="201" t="s">
        <v>23</v>
      </c>
      <c r="C29" s="257" t="str">
        <f>_xlfn.IFNA(VLOOKUP(Sat_W1[[#This Row],[Employee Name]],'Base Schedules'!A:B,2,FALSE),"")</f>
        <v>Supervisor</v>
      </c>
      <c r="D29" s="274">
        <f>_xlfn.IFNA(VLOOKUP(Sat_W1[[#This Row],[Employee Name]],'Base Schedules'!A:C,3,FALSE),"")</f>
        <v>1230</v>
      </c>
      <c r="E29" s="274">
        <f>_xlfn.IFNA(VLOOKUP(Sat_W1[[#This Row],[Employee Name]],'Base Schedules'!A:D,4,FALSE),"")</f>
        <v>2130</v>
      </c>
      <c r="F29" s="142">
        <f>IF(Sat_W1[[#This Row],[Employee Name]]="","",IF(Sat_W1[[#This Row],[Dept]]="Supervisor",COUNTIFS($J29:$AX29,"*HL*",$J29:$AX29,"&lt;&gt;"&amp;"pHL"),COUNTIFS($J29:$AX29,"*HL*",$J29:$AX29,"&lt;&gt;"&amp;"*pHL*",$J29:$AX29,"&lt;&gt;"&amp;"pB1 HL",$J29:$AX29,"&lt;&gt;"&amp;"pB2 HL")-SUM(COUNTIFS($J29:$AX29,"*HL B1*",$J29:$AX29,"&lt;&gt;"&amp;"pHL B1")*0.5,COUNTIFS($J29:$AX29,"*HL B2*",$J29:$AX29,"&lt;&gt;"&amp;"pHL B2")*0.5,COUNTIFS($J29:$AX29,"*B1 HL*",$J29:$AX29,"&lt;&gt;"&amp;"pB1 HL")*0.5,COUNTIFS($J29:$AX29,"*B2 HL*",$J29:$AX29,"&lt;&gt;"&amp;"pB2 HL")*0.5)))</f>
        <v>0</v>
      </c>
      <c r="G29" s="142">
        <f t="shared" si="3"/>
        <v>4</v>
      </c>
      <c r="H29" s="142">
        <f t="shared" si="1"/>
        <v>0</v>
      </c>
      <c r="I29" s="142">
        <f>IF(Sat_W1[[#This Row],[Employee Name]]="","",IF(Sat_W1[[#This Row],[Dept]]="Supervisor",SUM(COUNTIFS($J29:$AX29,"RTA*",$J29:$AX29,"&lt;&gt;"&amp;"pRTA"),COUNTIFS($J29:$AX29,"*CRTA*",$J29:$AX29,"&lt;&gt;"&amp;"pCRTA")),COUNTIFS($J29:$AX29,"*RNNR*",$J29:$AX29,"&lt;&gt;"&amp;"*pRNNR*",$J29:$AX29,"&lt;&gt;"&amp;"pB1 RNNR",$J29:$AX29,"&lt;&gt;"&amp;"pB2 RNNR")-SUM(COUNTIFS($J29:$AX29,"*RNNR B1*",$J29:$AX29,"&lt;&gt;"&amp;"pRNNR B1")*0.5,COUNTIFS($J29:$AX29,"*RNNR B2*",$J29:$AX29,"&lt;&gt;"&amp;"pRNNR B2")*0.5,COUNTIFS($J29:$AX29,"*B1 RNNR*",$J29:$AX29,"&lt;&gt;"&amp;"pB1 RNNR")*0.5,COUNTIFS($J29:$AX29,"*B2 RNNR*",$J29:$AX29,"&lt;&gt;"&amp;"pB2 RNNR")*0.5)))</f>
        <v>0</v>
      </c>
      <c r="J29" s="184" t="str">
        <f>IFERROR(IF(VLOOKUP(Sat_W1[[#This Row],[Employee Name]],'Base Schedules'!$A$46:$AW$77,9,FALSE)="","",VLOOKUP(Sat_W1[[#This Row],[Employee Name]],'Base Schedules'!$A$46:$AW$77,9,FALSE)),"")</f>
        <v/>
      </c>
      <c r="K29" s="184" t="str">
        <f>IFERROR(IF(VLOOKUP(Sat_W1[[#This Row],[Employee Name]],'Base Schedules'!$A$46:$AW$77,10,FALSE)="","",VLOOKUP(Sat_W1[[#This Row],[Employee Name]],'Base Schedules'!$A$46:$AW$77,10,FALSE)),"")</f>
        <v/>
      </c>
      <c r="L29" s="184" t="str">
        <f>IFERROR(IF(VLOOKUP(Sat_W1[[#This Row],[Employee Name]],'Base Schedules'!$A$46:$AW$77,11,FALSE)="","",VLOOKUP(Sat_W1[[#This Row],[Employee Name]],'Base Schedules'!$A$46:$AW$77,11,FALSE)),"")</f>
        <v/>
      </c>
      <c r="M29" s="184" t="str">
        <f>IFERROR(IF(VLOOKUP(Sat_W1[[#This Row],[Employee Name]],'Base Schedules'!$A$46:$AW$77,12,FALSE)="","",VLOOKUP(Sat_W1[[#This Row],[Employee Name]],'Base Schedules'!$A$46:$AW$77,12,FALSE)),"")</f>
        <v/>
      </c>
      <c r="N29" s="184" t="str">
        <f>IFERROR(IF(VLOOKUP(Sat_W1[[#This Row],[Employee Name]],'Base Schedules'!$A$46:$AW$77,13,FALSE)="","",VLOOKUP(Sat_W1[[#This Row],[Employee Name]],'Base Schedules'!$A$46:$AW$77,13,FALSE)),"")</f>
        <v/>
      </c>
      <c r="O29" s="184" t="str">
        <f>IFERROR(IF(VLOOKUP(Sat_W1[[#This Row],[Employee Name]],'Base Schedules'!$A$46:$AW$77,14,FALSE)="","",VLOOKUP(Sat_W1[[#This Row],[Employee Name]],'Base Schedules'!$A$46:$AW$77,14,FALSE)),"")</f>
        <v/>
      </c>
      <c r="P29" s="184" t="str">
        <f>IFERROR(IF(VLOOKUP(Sat_W1[[#This Row],[Employee Name]],'Base Schedules'!$A$46:$AW$77,15,FALSE)="","",VLOOKUP(Sat_W1[[#This Row],[Employee Name]],'Base Schedules'!$A$46:$AW$77,15,FALSE)),"")</f>
        <v/>
      </c>
      <c r="Q29" s="184" t="str">
        <f>IFERROR(IF(VLOOKUP(Sat_W1[[#This Row],[Employee Name]],'Base Schedules'!$A$46:$AW$77,16,FALSE)="","",VLOOKUP(Sat_W1[[#This Row],[Employee Name]],'Base Schedules'!$A$46:$AW$77,16,FALSE)),"")</f>
        <v/>
      </c>
      <c r="R29" s="184" t="str">
        <f>IFERROR(IF(VLOOKUP(Sat_W1[[#This Row],[Employee Name]],'Base Schedules'!$A$46:$AW$77,17,FALSE)="","",VLOOKUP(Sat_W1[[#This Row],[Employee Name]],'Base Schedules'!$A$46:$AW$77,17,FALSE)),"")</f>
        <v/>
      </c>
      <c r="S29" s="184" t="str">
        <f>IFERROR(IF(VLOOKUP(Sat_W1[[#This Row],[Employee Name]],'Base Schedules'!$A$46:$AW$77,18,FALSE)="","",VLOOKUP(Sat_W1[[#This Row],[Employee Name]],'Base Schedules'!$A$46:$AW$77,18,FALSE)),"")</f>
        <v/>
      </c>
      <c r="T29" s="184" t="str">
        <f>IFERROR(IF(VLOOKUP(Sat_W1[[#This Row],[Employee Name]],'Base Schedules'!$A$46:$AW$77,19,FALSE)="","",VLOOKUP(Sat_W1[[#This Row],[Employee Name]],'Base Schedules'!$A$46:$AW$77,19,FALSE)),"")</f>
        <v/>
      </c>
      <c r="U29" s="184" t="str">
        <f>IFERROR(IF(VLOOKUP(Sat_W1[[#This Row],[Employee Name]],'Base Schedules'!$A$46:$AW$77,20,FALSE)="","",VLOOKUP(Sat_W1[[#This Row],[Employee Name]],'Base Schedules'!$A$46:$AW$77,20,FALSE)),"")</f>
        <v/>
      </c>
      <c r="V29" s="184" t="str">
        <f>IFERROR(IF(VLOOKUP(Sat_W1[[#This Row],[Employee Name]],'Base Schedules'!$A$46:$AW$77,21,FALSE)="","",VLOOKUP(Sat_W1[[#This Row],[Employee Name]],'Base Schedules'!$A$46:$AW$77,21,FALSE)),"")</f>
        <v/>
      </c>
      <c r="W29" s="184" t="str">
        <f>IFERROR(IF(VLOOKUP(Sat_W1[[#This Row],[Employee Name]],'Base Schedules'!$A$46:$AW$77,22,FALSE)="","",VLOOKUP(Sat_W1[[#This Row],[Employee Name]],'Base Schedules'!$A$46:$AW$77,22,FALSE)),"")</f>
        <v/>
      </c>
      <c r="X29" s="184" t="str">
        <f>IFERROR(IF(VLOOKUP(Sat_W1[[#This Row],[Employee Name]],'Base Schedules'!$A$46:$AW$77,23,FALSE)="","",VLOOKUP(Sat_W1[[#This Row],[Employee Name]],'Base Schedules'!$A$46:$AW$77,23,FALSE)),"")</f>
        <v/>
      </c>
      <c r="Y29" s="184" t="str">
        <f>IFERROR(IF(VLOOKUP(Sat_W1[[#This Row],[Employee Name]],'Base Schedules'!$A$46:$AW$77,24,FALSE)="","",VLOOKUP(Sat_W1[[#This Row],[Employee Name]],'Base Schedules'!$A$46:$AW$77,24,FALSE)),"")</f>
        <v>-</v>
      </c>
      <c r="Z29" s="184" t="str">
        <f>IFERROR(IF(VLOOKUP(Sat_W1[[#This Row],[Employee Name]],'Base Schedules'!$A$46:$AW$77,25,FALSE)="","",VLOOKUP(Sat_W1[[#This Row],[Employee Name]],'Base Schedules'!$A$46:$AW$77,25,FALSE)),"")</f>
        <v>-</v>
      </c>
      <c r="AA29" s="184" t="str">
        <f>IFERROR(IF(VLOOKUP(Sat_W1[[#This Row],[Employee Name]],'Base Schedules'!$A$46:$AW$77,26,FALSE)="","",VLOOKUP(Sat_W1[[#This Row],[Employee Name]],'Base Schedules'!$A$46:$AW$77,26,FALSE)),"")</f>
        <v>-</v>
      </c>
      <c r="AB29" s="184" t="str">
        <f>IFERROR(IF(VLOOKUP(Sat_W1[[#This Row],[Employee Name]],'Base Schedules'!$A$46:$AW$77,27,FALSE)="","",VLOOKUP(Sat_W1[[#This Row],[Employee Name]],'Base Schedules'!$A$46:$AW$77,27,FALSE)),"")</f>
        <v>-</v>
      </c>
      <c r="AC29" s="184" t="str">
        <f>IFERROR(IF(VLOOKUP(Sat_W1[[#This Row],[Employee Name]],'Base Schedules'!$A$46:$AW$77,28,FALSE)="","",VLOOKUP(Sat_W1[[#This Row],[Employee Name]],'Base Schedules'!$A$46:$AW$77,28,FALSE)),"")</f>
        <v>TM PREP</v>
      </c>
      <c r="AD29" s="184" t="str">
        <f>IFERROR(IF(VLOOKUP(Sat_W1[[#This Row],[Employee Name]],'Base Schedules'!$A$46:$AW$77,29,FALSE)="","",VLOOKUP(Sat_W1[[#This Row],[Employee Name]],'Base Schedules'!$A$46:$AW$77,29,FALSE)),"")</f>
        <v>MCFALL TM</v>
      </c>
      <c r="AE29" s="184" t="str">
        <f>IFERROR(IF(VLOOKUP(Sat_W1[[#This Row],[Employee Name]],'Base Schedules'!$A$46:$AW$77,30,FALSE)="","",VLOOKUP(Sat_W1[[#This Row],[Employee Name]],'Base Schedules'!$A$46:$AW$77,30,FALSE)),"")</f>
        <v>MCFALL TM</v>
      </c>
      <c r="AF29" s="184" t="str">
        <f>IFERROR(IF(VLOOKUP(Sat_W1[[#This Row],[Employee Name]],'Base Schedules'!$A$46:$AW$77,31,FALSE)="","",VLOOKUP(Sat_W1[[#This Row],[Employee Name]],'Base Schedules'!$A$46:$AW$77,31,FALSE)),"")</f>
        <v>-</v>
      </c>
      <c r="AG29" s="184" t="str">
        <f>IFERROR(IF(VLOOKUP(Sat_W1[[#This Row],[Employee Name]],'Base Schedules'!$A$46:$AW$77,32,FALSE)="","",VLOOKUP(Sat_W1[[#This Row],[Employee Name]],'Base Schedules'!$A$46:$AW$77,32,FALSE)),"")</f>
        <v>-</v>
      </c>
      <c r="AH29" s="184" t="str">
        <f>IFERROR(IF(VLOOKUP(Sat_W1[[#This Row],[Employee Name]],'Base Schedules'!$A$46:$AW$77,33,FALSE)="","",VLOOKUP(Sat_W1[[#This Row],[Employee Name]],'Base Schedules'!$A$46:$AW$77,33,FALSE)),"")</f>
        <v>Coaching</v>
      </c>
      <c r="AI29" s="184" t="str">
        <f>IFERROR(IF(VLOOKUP(Sat_W1[[#This Row],[Employee Name]],'Base Schedules'!$A$46:$AW$77,34,FALSE)="","",VLOOKUP(Sat_W1[[#This Row],[Employee Name]],'Base Schedules'!$A$46:$AW$77,34,FALSE)),"")</f>
        <v>Coaching</v>
      </c>
      <c r="AJ29" s="184" t="str">
        <f>IFERROR(IF(VLOOKUP(Sat_W1[[#This Row],[Employee Name]],'Base Schedules'!$A$46:$AW$77,35,FALSE)="","",VLOOKUP(Sat_W1[[#This Row],[Employee Name]],'Base Schedules'!$A$46:$AW$77,35,FALSE)),"")</f>
        <v>Coaching</v>
      </c>
      <c r="AK29" s="184" t="str">
        <f>IFERROR(IF(VLOOKUP(Sat_W1[[#This Row],[Employee Name]],'Base Schedules'!$A$46:$AW$77,36,FALSE)="","",VLOOKUP(Sat_W1[[#This Row],[Employee Name]],'Base Schedules'!$A$46:$AW$77,36,FALSE)),"")</f>
        <v>Coaching</v>
      </c>
      <c r="AL29" s="184" t="str">
        <f>IFERROR(IF(VLOOKUP(Sat_W1[[#This Row],[Employee Name]],'Base Schedules'!$A$46:$AW$77,37,FALSE)="","",VLOOKUP(Sat_W1[[#This Row],[Employee Name]],'Base Schedules'!$A$46:$AW$77,37,FALSE)),"")</f>
        <v>-</v>
      </c>
      <c r="AM29" s="184" t="str">
        <f>IFERROR(IF(VLOOKUP(Sat_W1[[#This Row],[Employee Name]],'Base Schedules'!$A$46:$AW$77,38,FALSE)="","",VLOOKUP(Sat_W1[[#This Row],[Employee Name]],'Base Schedules'!$A$46:$AW$77,38,FALSE)),"")</f>
        <v>-</v>
      </c>
      <c r="AN29" s="184" t="str">
        <f>IFERROR(IF(VLOOKUP(Sat_W1[[#This Row],[Employee Name]],'Base Schedules'!$A$46:$AW$77,39,FALSE)="","",VLOOKUP(Sat_W1[[#This Row],[Employee Name]],'Base Schedules'!$A$46:$AW$77,39,FALSE)),"")</f>
        <v>-</v>
      </c>
      <c r="AO29" s="184" t="str">
        <f>IFERROR(IF(VLOOKUP(Sat_W1[[#This Row],[Employee Name]],'Base Schedules'!$A$46:$AW$77,40,FALSE)="","",VLOOKUP(Sat_W1[[#This Row],[Employee Name]],'Base Schedules'!$A$46:$AW$77,40,FALSE)),"")</f>
        <v>-</v>
      </c>
      <c r="AP29" s="184" t="str">
        <f>IFERROR(IF(VLOOKUP(Sat_W1[[#This Row],[Employee Name]],'Base Schedules'!$A$46:$AW$77,41,FALSE)="","",VLOOKUP(Sat_W1[[#This Row],[Employee Name]],'Base Schedules'!$A$46:$AW$77,41,FALSE)),"")</f>
        <v>-</v>
      </c>
      <c r="AQ29" s="184" t="str">
        <f>IFERROR(IF(VLOOKUP(Sat_W1[[#This Row],[Employee Name]],'Base Schedules'!$A$46:$AW$77,42,FALSE)="","",VLOOKUP(Sat_W1[[#This Row],[Employee Name]],'Base Schedules'!$A$46:$AW$77,42,FALSE)),"")</f>
        <v/>
      </c>
      <c r="AR29" s="184" t="str">
        <f>IFERROR(IF(VLOOKUP(Sat_W1[[#This Row],[Employee Name]],'Base Schedules'!$A$46:$AW$77,43,FALSE)="","",VLOOKUP(Sat_W1[[#This Row],[Employee Name]],'Base Schedules'!$A$46:$AW$77,43,FALSE)),"")</f>
        <v/>
      </c>
      <c r="AS29" s="184" t="str">
        <f>IFERROR(IF(VLOOKUP(Sat_W1[[#This Row],[Employee Name]],'Base Schedules'!$A$46:$AW$77,44,FALSE)="","",VLOOKUP(Sat_W1[[#This Row],[Employee Name]],'Base Schedules'!$A$46:$AW$77,44,FALSE)),"")</f>
        <v/>
      </c>
      <c r="AT29" s="184" t="str">
        <f>IFERROR(IF(VLOOKUP(Sat_W1[[#This Row],[Employee Name]],'Base Schedules'!$A$46:$AW$77,45,FALSE)="","",VLOOKUP(Sat_W1[[#This Row],[Employee Name]],'Base Schedules'!$A$46:$AW$77,45,FALSE)),"")</f>
        <v/>
      </c>
      <c r="AU29" s="184" t="str">
        <f>IFERROR(IF(VLOOKUP(Sat_W1[[#This Row],[Employee Name]],'Base Schedules'!$A$46:$AW$77,46,FALSE)="","",VLOOKUP(Sat_W1[[#This Row],[Employee Name]],'Base Schedules'!$A$46:$AW$77,46,FALSE)),"")</f>
        <v/>
      </c>
      <c r="AV29" s="184" t="str">
        <f>IFERROR(IF(VLOOKUP(Sat_W1[[#This Row],[Employee Name]],'Base Schedules'!$A$46:$AW$77,47,FALSE)="","",VLOOKUP(Sat_W1[[#This Row],[Employee Name]],'Base Schedules'!$A$46:$AW$77,47,FALSE)),"")</f>
        <v/>
      </c>
      <c r="AW29" s="184" t="str">
        <f>IFERROR(IF(VLOOKUP(Sat_W1[[#This Row],[Employee Name]],'Base Schedules'!$A$46:$AW$77,48,FALSE)="","",VLOOKUP(Sat_W1[[#This Row],[Employee Name]],'Base Schedules'!$A$46:$AW$77,48,FALSE)),"")</f>
        <v/>
      </c>
      <c r="AX29" s="184" t="str">
        <f>IFERROR(IF(VLOOKUP(Sat_W1[[#This Row],[Employee Name]],'Base Schedules'!$A$46:$AW$77,49,FALSE)="","",VLOOKUP(Sat_W1[[#This Row],[Employee Name]],'Base Schedules'!$A$46:$AW$77,49,FALSE)),"")</f>
        <v/>
      </c>
      <c r="AY29" s="160" t="str">
        <f t="shared" si="2"/>
        <v>McFall, Erin</v>
      </c>
    </row>
    <row r="30" spans="1:51" s="44" customFormat="1" ht="12" customHeight="1" x14ac:dyDescent="0.2">
      <c r="A30" s="39" t="e">
        <f>IF(B30="","",INDEX(TeamList[],MATCH($B30,TeamList[[Employee Name]:[Employee Name]],0),MATCH("Manager",TeamList[#Headers],0)))</f>
        <v>#N/A</v>
      </c>
      <c r="B30" s="201" t="s">
        <v>587</v>
      </c>
      <c r="C30" s="257" t="str">
        <f>_xlfn.IFNA(VLOOKUP(Sat_W1[[#This Row],[Employee Name]],'Base Schedules'!A:B,2,FALSE),"")</f>
        <v>Lead</v>
      </c>
      <c r="D30" s="274">
        <f>_xlfn.IFNA(VLOOKUP(Sat_W1[[#This Row],[Employee Name]],'Base Schedules'!A:C,3,FALSE),"")</f>
        <v>1230</v>
      </c>
      <c r="E30" s="274">
        <f>_xlfn.IFNA(VLOOKUP(Sat_W1[[#This Row],[Employee Name]],'Base Schedules'!A:D,4,FALSE),"")</f>
        <v>2100</v>
      </c>
      <c r="F30" s="142">
        <f>IF(Sat_W1[[#This Row],[Employee Name]]="","",IF(Sat_W1[[#This Row],[Dept]]="Supervisor",COUNTIFS($J30:$AX30,"*HL*",$J30:$AX30,"&lt;&gt;"&amp;"pHL"),COUNTIFS($J30:$AX30,"*HL*",$J30:$AX30,"&lt;&gt;"&amp;"*pHL*",$J30:$AX30,"&lt;&gt;"&amp;"pB1 HL",$J30:$AX30,"&lt;&gt;"&amp;"pB2 HL")-SUM(COUNTIFS($J30:$AX30,"*HL B1*",$J30:$AX30,"&lt;&gt;"&amp;"pHL B1")*0.5,COUNTIFS($J30:$AX30,"*HL B2*",$J30:$AX30,"&lt;&gt;"&amp;"pHL B2")*0.5,COUNTIFS($J30:$AX30,"*B1 HL*",$J30:$AX30,"&lt;&gt;"&amp;"pB1 HL")*0.5,COUNTIFS($J30:$AX30,"*B2 HL*",$J30:$AX30,"&lt;&gt;"&amp;"pB2 HL")*0.5)))</f>
        <v>7.5</v>
      </c>
      <c r="G30" s="142">
        <f t="shared" si="3"/>
        <v>0</v>
      </c>
      <c r="H30" s="142">
        <f t="shared" si="1"/>
        <v>6</v>
      </c>
      <c r="I30" s="142">
        <f>IF(Sat_W1[[#This Row],[Employee Name]]="","",IF(Sat_W1[[#This Row],[Dept]]="Supervisor",SUM(COUNTIFS($J30:$AX30,"RTA*",$J30:$AX30,"&lt;&gt;"&amp;"pRTA"),COUNTIFS($J30:$AX30,"*CRTA*",$J30:$AX30,"&lt;&gt;"&amp;"pCRTA")),COUNTIFS($J30:$AX30,"*RNNR*",$J30:$AX30,"&lt;&gt;"&amp;"*pRNNR*",$J30:$AX30,"&lt;&gt;"&amp;"pB1 RNNR",$J30:$AX30,"&lt;&gt;"&amp;"pB2 RNNR")-SUM(COUNTIFS($J30:$AX30,"*RNNR B1*",$J30:$AX30,"&lt;&gt;"&amp;"pRNNR B1")*0.5,COUNTIFS($J30:$AX30,"*RNNR B2*",$J30:$AX30,"&lt;&gt;"&amp;"pRNNR B2")*0.5,COUNTIFS($J30:$AX30,"*B1 RNNR*",$J30:$AX30,"&lt;&gt;"&amp;"pB1 RNNR")*0.5,COUNTIFS($J30:$AX30,"*B2 RNNR*",$J30:$AX30,"&lt;&gt;"&amp;"pB2 RNNR")*0.5)))</f>
        <v>2</v>
      </c>
      <c r="J30" s="184" t="str">
        <f>IFERROR(IF(VLOOKUP(Sat_W1[[#This Row],[Employee Name]],'Base Schedules'!$A$46:$AW$77,9,FALSE)="","",VLOOKUP(Sat_W1[[#This Row],[Employee Name]],'Base Schedules'!$A$46:$AW$77,9,FALSE)),"")</f>
        <v/>
      </c>
      <c r="K30" s="184" t="str">
        <f>IFERROR(IF(VLOOKUP(Sat_W1[[#This Row],[Employee Name]],'Base Schedules'!$A$46:$AW$77,10,FALSE)="","",VLOOKUP(Sat_W1[[#This Row],[Employee Name]],'Base Schedules'!$A$46:$AW$77,10,FALSE)),"")</f>
        <v/>
      </c>
      <c r="L30" s="184" t="str">
        <f>IFERROR(IF(VLOOKUP(Sat_W1[[#This Row],[Employee Name]],'Base Schedules'!$A$46:$AW$77,11,FALSE)="","",VLOOKUP(Sat_W1[[#This Row],[Employee Name]],'Base Schedules'!$A$46:$AW$77,11,FALSE)),"")</f>
        <v/>
      </c>
      <c r="M30" s="184" t="str">
        <f>IFERROR(IF(VLOOKUP(Sat_W1[[#This Row],[Employee Name]],'Base Schedules'!$A$46:$AW$77,12,FALSE)="","",VLOOKUP(Sat_W1[[#This Row],[Employee Name]],'Base Schedules'!$A$46:$AW$77,12,FALSE)),"")</f>
        <v/>
      </c>
      <c r="N30" s="184" t="str">
        <f>IFERROR(IF(VLOOKUP(Sat_W1[[#This Row],[Employee Name]],'Base Schedules'!$A$46:$AW$77,13,FALSE)="","",VLOOKUP(Sat_W1[[#This Row],[Employee Name]],'Base Schedules'!$A$46:$AW$77,13,FALSE)),"")</f>
        <v/>
      </c>
      <c r="O30" s="184" t="str">
        <f>IFERROR(IF(VLOOKUP(Sat_W1[[#This Row],[Employee Name]],'Base Schedules'!$A$46:$AW$77,14,FALSE)="","",VLOOKUP(Sat_W1[[#This Row],[Employee Name]],'Base Schedules'!$A$46:$AW$77,14,FALSE)),"")</f>
        <v/>
      </c>
      <c r="P30" s="184" t="str">
        <f>IFERROR(IF(VLOOKUP(Sat_W1[[#This Row],[Employee Name]],'Base Schedules'!$A$46:$AW$77,15,FALSE)="","",VLOOKUP(Sat_W1[[#This Row],[Employee Name]],'Base Schedules'!$A$46:$AW$77,15,FALSE)),"")</f>
        <v/>
      </c>
      <c r="Q30" s="184" t="str">
        <f>IFERROR(IF(VLOOKUP(Sat_W1[[#This Row],[Employee Name]],'Base Schedules'!$A$46:$AW$77,16,FALSE)="","",VLOOKUP(Sat_W1[[#This Row],[Employee Name]],'Base Schedules'!$A$46:$AW$77,16,FALSE)),"")</f>
        <v/>
      </c>
      <c r="R30" s="184" t="str">
        <f>IFERROR(IF(VLOOKUP(Sat_W1[[#This Row],[Employee Name]],'Base Schedules'!$A$46:$AW$77,17,FALSE)="","",VLOOKUP(Sat_W1[[#This Row],[Employee Name]],'Base Schedules'!$A$46:$AW$77,17,FALSE)),"")</f>
        <v/>
      </c>
      <c r="S30" s="184" t="str">
        <f>IFERROR(IF(VLOOKUP(Sat_W1[[#This Row],[Employee Name]],'Base Schedules'!$A$46:$AW$77,18,FALSE)="","",VLOOKUP(Sat_W1[[#This Row],[Employee Name]],'Base Schedules'!$A$46:$AW$77,18,FALSE)),"")</f>
        <v/>
      </c>
      <c r="T30" s="184" t="str">
        <f>IFERROR(IF(VLOOKUP(Sat_W1[[#This Row],[Employee Name]],'Base Schedules'!$A$46:$AW$77,19,FALSE)="","",VLOOKUP(Sat_W1[[#This Row],[Employee Name]],'Base Schedules'!$A$46:$AW$77,19,FALSE)),"")</f>
        <v/>
      </c>
      <c r="U30" s="184" t="str">
        <f>IFERROR(IF(VLOOKUP(Sat_W1[[#This Row],[Employee Name]],'Base Schedules'!$A$46:$AW$77,20,FALSE)="","",VLOOKUP(Sat_W1[[#This Row],[Employee Name]],'Base Schedules'!$A$46:$AW$77,20,FALSE)),"")</f>
        <v/>
      </c>
      <c r="V30" s="184" t="str">
        <f>IFERROR(IF(VLOOKUP(Sat_W1[[#This Row],[Employee Name]],'Base Schedules'!$A$46:$AW$77,21,FALSE)="","",VLOOKUP(Sat_W1[[#This Row],[Employee Name]],'Base Schedules'!$A$46:$AW$77,21,FALSE)),"")</f>
        <v/>
      </c>
      <c r="W30" s="184" t="str">
        <f>IFERROR(IF(VLOOKUP(Sat_W1[[#This Row],[Employee Name]],'Base Schedules'!$A$46:$AW$77,22,FALSE)="","",VLOOKUP(Sat_W1[[#This Row],[Employee Name]],'Base Schedules'!$A$46:$AW$77,22,FALSE)),"")</f>
        <v/>
      </c>
      <c r="X30" s="184" t="str">
        <f>IFERROR(IF(VLOOKUP(Sat_W1[[#This Row],[Employee Name]],'Base Schedules'!$A$46:$AW$77,23,FALSE)="","",VLOOKUP(Sat_W1[[#This Row],[Employee Name]],'Base Schedules'!$A$46:$AW$77,23,FALSE)),"")</f>
        <v/>
      </c>
      <c r="Y30" s="184" t="str">
        <f>IFERROR(IF(VLOOKUP(Sat_W1[[#This Row],[Employee Name]],'Base Schedules'!$A$46:$AW$77,24,FALSE)="","",VLOOKUP(Sat_W1[[#This Row],[Employee Name]],'Base Schedules'!$A$46:$AW$77,24,FALSE)),"")</f>
        <v>HL</v>
      </c>
      <c r="Z30" s="184" t="str">
        <f>IFERROR(IF(VLOOKUP(Sat_W1[[#This Row],[Employee Name]],'Base Schedules'!$A$46:$AW$77,25,FALSE)="","",VLOOKUP(Sat_W1[[#This Row],[Employee Name]],'Base Schedules'!$A$46:$AW$77,25,FALSE)),"")</f>
        <v>HL</v>
      </c>
      <c r="AA30" s="184" t="str">
        <f>IFERROR(IF(VLOOKUP(Sat_W1[[#This Row],[Employee Name]],'Base Schedules'!$A$46:$AW$77,26,FALSE)="","",VLOOKUP(Sat_W1[[#This Row],[Employee Name]],'Base Schedules'!$A$46:$AW$77,26,FALSE)),"")</f>
        <v>HL B1</v>
      </c>
      <c r="AB30" s="184" t="str">
        <f>IFERROR(IF(VLOOKUP(Sat_W1[[#This Row],[Employee Name]],'Base Schedules'!$A$46:$AW$77,27,FALSE)="","",VLOOKUP(Sat_W1[[#This Row],[Employee Name]],'Base Schedules'!$A$46:$AW$77,27,FALSE)),"")</f>
        <v>HL</v>
      </c>
      <c r="AC30" s="184" t="str">
        <f>IFERROR(IF(VLOOKUP(Sat_W1[[#This Row],[Employee Name]],'Base Schedules'!$A$46:$AW$77,28,FALSE)="","",VLOOKUP(Sat_W1[[#This Row],[Employee Name]],'Base Schedules'!$A$46:$AW$77,28,FALSE)),"")</f>
        <v>ADM</v>
      </c>
      <c r="AD30" s="184" t="str">
        <f>IFERROR(IF(VLOOKUP(Sat_W1[[#This Row],[Employee Name]],'Base Schedules'!$A$46:$AW$77,29,FALSE)="","",VLOOKUP(Sat_W1[[#This Row],[Employee Name]],'Base Schedules'!$A$46:$AW$77,29,FALSE)),"")</f>
        <v>RNNR</v>
      </c>
      <c r="AE30" s="184" t="str">
        <f>IFERROR(IF(VLOOKUP(Sat_W1[[#This Row],[Employee Name]],'Base Schedules'!$A$46:$AW$77,30,FALSE)="","",VLOOKUP(Sat_W1[[#This Row],[Employee Name]],'Base Schedules'!$A$46:$AW$77,30,FALSE)),"")</f>
        <v>RNNR</v>
      </c>
      <c r="AF30" s="184" t="str">
        <f>IFERROR(IF(VLOOKUP(Sat_W1[[#This Row],[Employee Name]],'Base Schedules'!$A$46:$AW$77,31,FALSE)="","",VLOOKUP(Sat_W1[[#This Row],[Employee Name]],'Base Schedules'!$A$46:$AW$77,31,FALSE)),"")</f>
        <v>LUNCH</v>
      </c>
      <c r="AG30" s="184" t="str">
        <f>IFERROR(IF(VLOOKUP(Sat_W1[[#This Row],[Employee Name]],'Base Schedules'!$A$46:$AW$77,32,FALSE)="","",VLOOKUP(Sat_W1[[#This Row],[Employee Name]],'Base Schedules'!$A$46:$AW$77,32,FALSE)),"")</f>
        <v>ADM</v>
      </c>
      <c r="AH30" s="184" t="str">
        <f>IFERROR(IF(VLOOKUP(Sat_W1[[#This Row],[Employee Name]],'Base Schedules'!$A$46:$AW$77,33,FALSE)="","",VLOOKUP(Sat_W1[[#This Row],[Employee Name]],'Base Schedules'!$A$46:$AW$77,33,FALSE)),"")</f>
        <v>HL</v>
      </c>
      <c r="AI30" s="184" t="str">
        <f>IFERROR(IF(VLOOKUP(Sat_W1[[#This Row],[Employee Name]],'Base Schedules'!$A$46:$AW$77,34,FALSE)="","",VLOOKUP(Sat_W1[[#This Row],[Employee Name]],'Base Schedules'!$A$46:$AW$77,34,FALSE)),"")</f>
        <v>HL</v>
      </c>
      <c r="AJ30" s="184" t="str">
        <f>IFERROR(IF(VLOOKUP(Sat_W1[[#This Row],[Employee Name]],'Base Schedules'!$A$46:$AW$77,35,FALSE)="","",VLOOKUP(Sat_W1[[#This Row],[Employee Name]],'Base Schedules'!$A$46:$AW$77,35,FALSE)),"")</f>
        <v>HL</v>
      </c>
      <c r="AK30" s="184" t="str">
        <f>IFERROR(IF(VLOOKUP(Sat_W1[[#This Row],[Employee Name]],'Base Schedules'!$A$46:$AW$77,36,FALSE)="","",VLOOKUP(Sat_W1[[#This Row],[Employee Name]],'Base Schedules'!$A$46:$AW$77,36,FALSE)),"")</f>
        <v>ADM</v>
      </c>
      <c r="AL30" s="184" t="str">
        <f>IFERROR(IF(VLOOKUP(Sat_W1[[#This Row],[Employee Name]],'Base Schedules'!$A$46:$AW$77,37,FALSE)="","",VLOOKUP(Sat_W1[[#This Row],[Employee Name]],'Base Schedules'!$A$46:$AW$77,37,FALSE)),"")</f>
        <v>B2 ADM</v>
      </c>
      <c r="AM30" s="184" t="str">
        <f>IFERROR(IF(VLOOKUP(Sat_W1[[#This Row],[Employee Name]],'Base Schedules'!$A$46:$AW$77,38,FALSE)="","",VLOOKUP(Sat_W1[[#This Row],[Employee Name]],'Base Schedules'!$A$46:$AW$77,38,FALSE)),"")</f>
        <v>ADM</v>
      </c>
      <c r="AN30" s="184" t="str">
        <f>IFERROR(IF(VLOOKUP(Sat_W1[[#This Row],[Employee Name]],'Base Schedules'!$A$46:$AW$77,39,FALSE)="","",VLOOKUP(Sat_W1[[#This Row],[Employee Name]],'Base Schedules'!$A$46:$AW$77,39,FALSE)),"")</f>
        <v>ADM</v>
      </c>
      <c r="AO30" s="184" t="str">
        <f>IFERROR(IF(VLOOKUP(Sat_W1[[#This Row],[Employee Name]],'Base Schedules'!$A$46:$AW$77,40,FALSE)="","",VLOOKUP(Sat_W1[[#This Row],[Employee Name]],'Base Schedules'!$A$46:$AW$77,40,FALSE)),"")</f>
        <v>HL</v>
      </c>
      <c r="AP30" s="184" t="str">
        <f>IFERROR(IF(VLOOKUP(Sat_W1[[#This Row],[Employee Name]],'Base Schedules'!$A$46:$AW$77,41,FALSE)="","",VLOOKUP(Sat_W1[[#This Row],[Employee Name]],'Base Schedules'!$A$46:$AW$77,41,FALSE)),"")</f>
        <v/>
      </c>
      <c r="AQ30" s="184" t="str">
        <f>IFERROR(IF(VLOOKUP(Sat_W1[[#This Row],[Employee Name]],'Base Schedules'!$A$46:$AW$77,42,FALSE)="","",VLOOKUP(Sat_W1[[#This Row],[Employee Name]],'Base Schedules'!$A$46:$AW$77,42,FALSE)),"")</f>
        <v/>
      </c>
      <c r="AR30" s="184" t="str">
        <f>IFERROR(IF(VLOOKUP(Sat_W1[[#This Row],[Employee Name]],'Base Schedules'!$A$46:$AW$77,43,FALSE)="","",VLOOKUP(Sat_W1[[#This Row],[Employee Name]],'Base Schedules'!$A$46:$AW$77,43,FALSE)),"")</f>
        <v/>
      </c>
      <c r="AS30" s="184" t="str">
        <f>IFERROR(IF(VLOOKUP(Sat_W1[[#This Row],[Employee Name]],'Base Schedules'!$A$46:$AW$77,44,FALSE)="","",VLOOKUP(Sat_W1[[#This Row],[Employee Name]],'Base Schedules'!$A$46:$AW$77,44,FALSE)),"")</f>
        <v/>
      </c>
      <c r="AT30" s="184" t="str">
        <f>IFERROR(IF(VLOOKUP(Sat_W1[[#This Row],[Employee Name]],'Base Schedules'!$A$46:$AW$77,45,FALSE)="","",VLOOKUP(Sat_W1[[#This Row],[Employee Name]],'Base Schedules'!$A$46:$AW$77,45,FALSE)),"")</f>
        <v/>
      </c>
      <c r="AU30" s="184" t="str">
        <f>IFERROR(IF(VLOOKUP(Sat_W1[[#This Row],[Employee Name]],'Base Schedules'!$A$46:$AW$77,46,FALSE)="","",VLOOKUP(Sat_W1[[#This Row],[Employee Name]],'Base Schedules'!$A$46:$AW$77,46,FALSE)),"")</f>
        <v/>
      </c>
      <c r="AV30" s="184" t="str">
        <f>IFERROR(IF(VLOOKUP(Sat_W1[[#This Row],[Employee Name]],'Base Schedules'!$A$46:$AW$77,47,FALSE)="","",VLOOKUP(Sat_W1[[#This Row],[Employee Name]],'Base Schedules'!$A$46:$AW$77,47,FALSE)),"")</f>
        <v/>
      </c>
      <c r="AW30" s="184" t="str">
        <f>IFERROR(IF(VLOOKUP(Sat_W1[[#This Row],[Employee Name]],'Base Schedules'!$A$46:$AW$77,48,FALSE)="","",VLOOKUP(Sat_W1[[#This Row],[Employee Name]],'Base Schedules'!$A$46:$AW$77,48,FALSE)),"")</f>
        <v/>
      </c>
      <c r="AX30" s="184" t="str">
        <f>IFERROR(IF(VLOOKUP(Sat_W1[[#This Row],[Employee Name]],'Base Schedules'!$A$46:$AW$77,49,FALSE)="","",VLOOKUP(Sat_W1[[#This Row],[Employee Name]],'Base Schedules'!$A$46:$AW$77,49,FALSE)),"")</f>
        <v/>
      </c>
      <c r="AY30" s="159" t="str">
        <f t="shared" si="2"/>
        <v>Mason, April</v>
      </c>
    </row>
    <row r="31" spans="1:51" s="44" customFormat="1" ht="12" customHeight="1" x14ac:dyDescent="0.2">
      <c r="A31" s="39" t="str">
        <f>IF(B31="","",INDEX(TeamList[],MATCH($B31,TeamList[[Employee Name]:[Employee Name]],0),MATCH("Manager",TeamList[#Headers],0)))</f>
        <v>Olson, Katherine</v>
      </c>
      <c r="B31" s="201" t="s">
        <v>57</v>
      </c>
      <c r="C31" s="257" t="str">
        <f>_xlfn.IFNA(VLOOKUP(Sat_W1[[#This Row],[Employee Name]],'Base Schedules'!A:B,2,FALSE),"")</f>
        <v>Supervisor</v>
      </c>
      <c r="D31" s="274">
        <f>_xlfn.IFNA(VLOOKUP(Sat_W1[[#This Row],[Employee Name]],'Base Schedules'!A:C,3,FALSE),"")</f>
        <v>1300</v>
      </c>
      <c r="E31" s="274">
        <f>_xlfn.IFNA(VLOOKUP(Sat_W1[[#This Row],[Employee Name]],'Base Schedules'!A:D,4,FALSE),"")</f>
        <v>2200</v>
      </c>
      <c r="F31" s="142">
        <f>IF(Sat_W1[[#This Row],[Employee Name]]="","",IF(Sat_W1[[#This Row],[Dept]]="Supervisor",COUNTIFS($J31:$AX31,"*HL*",$J31:$AX31,"&lt;&gt;"&amp;"pHL"),COUNTIFS($J31:$AX31,"*HL*",$J31:$AX31,"&lt;&gt;"&amp;"*pHL*",$J31:$AX31,"&lt;&gt;"&amp;"pB1 HL",$J31:$AX31,"&lt;&gt;"&amp;"pB2 HL")-SUM(COUNTIFS($J31:$AX31,"*HL B1*",$J31:$AX31,"&lt;&gt;"&amp;"pHL B1")*0.5,COUNTIFS($J31:$AX31,"*HL B2*",$J31:$AX31,"&lt;&gt;"&amp;"pHL B2")*0.5,COUNTIFS($J31:$AX31,"*B1 HL*",$J31:$AX31,"&lt;&gt;"&amp;"pB1 HL")*0.5,COUNTIFS($J31:$AX31,"*B2 HL*",$J31:$AX31,"&lt;&gt;"&amp;"pB2 HL")*0.5)))</f>
        <v>0</v>
      </c>
      <c r="G31" s="142">
        <f t="shared" si="3"/>
        <v>5</v>
      </c>
      <c r="H31" s="142">
        <f t="shared" si="1"/>
        <v>0</v>
      </c>
      <c r="I31" s="142">
        <f>IF(Sat_W1[[#This Row],[Employee Name]]="","",IF(Sat_W1[[#This Row],[Dept]]="Supervisor",SUM(COUNTIFS($J31:$AX31,"RTA*",$J31:$AX31,"&lt;&gt;"&amp;"pRTA"),COUNTIFS($J31:$AX31,"*CRTA*",$J31:$AX31,"&lt;&gt;"&amp;"pCRTA")),COUNTIFS($J31:$AX31,"*RNNR*",$J31:$AX31,"&lt;&gt;"&amp;"*pRNNR*",$J31:$AX31,"&lt;&gt;"&amp;"pB1 RNNR",$J31:$AX31,"&lt;&gt;"&amp;"pB2 RNNR")-SUM(COUNTIFS($J31:$AX31,"*RNNR B1*",$J31:$AX31,"&lt;&gt;"&amp;"pRNNR B1")*0.5,COUNTIFS($J31:$AX31,"*RNNR B2*",$J31:$AX31,"&lt;&gt;"&amp;"pRNNR B2")*0.5,COUNTIFS($J31:$AX31,"*B1 RNNR*",$J31:$AX31,"&lt;&gt;"&amp;"pB1 RNNR")*0.5,COUNTIFS($J31:$AX31,"*B2 RNNR*",$J31:$AX31,"&lt;&gt;"&amp;"pB2 RNNR")*0.5)))</f>
        <v>0</v>
      </c>
      <c r="J31" s="184" t="str">
        <f>IFERROR(IF(VLOOKUP(Sat_W1[[#This Row],[Employee Name]],'Base Schedules'!$A$46:$AW$77,9,FALSE)="","",VLOOKUP(Sat_W1[[#This Row],[Employee Name]],'Base Schedules'!$A$46:$AW$77,9,FALSE)),"")</f>
        <v/>
      </c>
      <c r="K31" s="184" t="str">
        <f>IFERROR(IF(VLOOKUP(Sat_W1[[#This Row],[Employee Name]],'Base Schedules'!$A$46:$AW$77,10,FALSE)="","",VLOOKUP(Sat_W1[[#This Row],[Employee Name]],'Base Schedules'!$A$46:$AW$77,10,FALSE)),"")</f>
        <v/>
      </c>
      <c r="L31" s="184" t="str">
        <f>IFERROR(IF(VLOOKUP(Sat_W1[[#This Row],[Employee Name]],'Base Schedules'!$A$46:$AW$77,11,FALSE)="","",VLOOKUP(Sat_W1[[#This Row],[Employee Name]],'Base Schedules'!$A$46:$AW$77,11,FALSE)),"")</f>
        <v/>
      </c>
      <c r="M31" s="184" t="str">
        <f>IFERROR(IF(VLOOKUP(Sat_W1[[#This Row],[Employee Name]],'Base Schedules'!$A$46:$AW$77,12,FALSE)="","",VLOOKUP(Sat_W1[[#This Row],[Employee Name]],'Base Schedules'!$A$46:$AW$77,12,FALSE)),"")</f>
        <v/>
      </c>
      <c r="N31" s="184" t="str">
        <f>IFERROR(IF(VLOOKUP(Sat_W1[[#This Row],[Employee Name]],'Base Schedules'!$A$46:$AW$77,13,FALSE)="","",VLOOKUP(Sat_W1[[#This Row],[Employee Name]],'Base Schedules'!$A$46:$AW$77,13,FALSE)),"")</f>
        <v/>
      </c>
      <c r="O31" s="184" t="str">
        <f>IFERROR(IF(VLOOKUP(Sat_W1[[#This Row],[Employee Name]],'Base Schedules'!$A$46:$AW$77,14,FALSE)="","",VLOOKUP(Sat_W1[[#This Row],[Employee Name]],'Base Schedules'!$A$46:$AW$77,14,FALSE)),"")</f>
        <v/>
      </c>
      <c r="P31" s="184" t="str">
        <f>IFERROR(IF(VLOOKUP(Sat_W1[[#This Row],[Employee Name]],'Base Schedules'!$A$46:$AW$77,15,FALSE)="","",VLOOKUP(Sat_W1[[#This Row],[Employee Name]],'Base Schedules'!$A$46:$AW$77,15,FALSE)),"")</f>
        <v/>
      </c>
      <c r="Q31" s="184" t="str">
        <f>IFERROR(IF(VLOOKUP(Sat_W1[[#This Row],[Employee Name]],'Base Schedules'!$A$46:$AW$77,16,FALSE)="","",VLOOKUP(Sat_W1[[#This Row],[Employee Name]],'Base Schedules'!$A$46:$AW$77,16,FALSE)),"")</f>
        <v/>
      </c>
      <c r="R31" s="184" t="str">
        <f>IFERROR(IF(VLOOKUP(Sat_W1[[#This Row],[Employee Name]],'Base Schedules'!$A$46:$AW$77,17,FALSE)="","",VLOOKUP(Sat_W1[[#This Row],[Employee Name]],'Base Schedules'!$A$46:$AW$77,17,FALSE)),"")</f>
        <v/>
      </c>
      <c r="S31" s="184" t="str">
        <f>IFERROR(IF(VLOOKUP(Sat_W1[[#This Row],[Employee Name]],'Base Schedules'!$A$46:$AW$77,18,FALSE)="","",VLOOKUP(Sat_W1[[#This Row],[Employee Name]],'Base Schedules'!$A$46:$AW$77,18,FALSE)),"")</f>
        <v/>
      </c>
      <c r="T31" s="184" t="str">
        <f>IFERROR(IF(VLOOKUP(Sat_W1[[#This Row],[Employee Name]],'Base Schedules'!$A$46:$AW$77,19,FALSE)="","",VLOOKUP(Sat_W1[[#This Row],[Employee Name]],'Base Schedules'!$A$46:$AW$77,19,FALSE)),"")</f>
        <v/>
      </c>
      <c r="U31" s="184" t="str">
        <f>IFERROR(IF(VLOOKUP(Sat_W1[[#This Row],[Employee Name]],'Base Schedules'!$A$46:$AW$77,20,FALSE)="","",VLOOKUP(Sat_W1[[#This Row],[Employee Name]],'Base Schedules'!$A$46:$AW$77,20,FALSE)),"")</f>
        <v/>
      </c>
      <c r="V31" s="184" t="str">
        <f>IFERROR(IF(VLOOKUP(Sat_W1[[#This Row],[Employee Name]],'Base Schedules'!$A$46:$AW$77,21,FALSE)="","",VLOOKUP(Sat_W1[[#This Row],[Employee Name]],'Base Schedules'!$A$46:$AW$77,21,FALSE)),"")</f>
        <v/>
      </c>
      <c r="W31" s="184" t="str">
        <f>IFERROR(IF(VLOOKUP(Sat_W1[[#This Row],[Employee Name]],'Base Schedules'!$A$46:$AW$77,22,FALSE)="","",VLOOKUP(Sat_W1[[#This Row],[Employee Name]],'Base Schedules'!$A$46:$AW$77,22,FALSE)),"")</f>
        <v/>
      </c>
      <c r="X31" s="184" t="str">
        <f>IFERROR(IF(VLOOKUP(Sat_W1[[#This Row],[Employee Name]],'Base Schedules'!$A$46:$AW$77,23,FALSE)="","",VLOOKUP(Sat_W1[[#This Row],[Employee Name]],'Base Schedules'!$A$46:$AW$77,23,FALSE)),"")</f>
        <v/>
      </c>
      <c r="Y31" s="184" t="str">
        <f>IFERROR(IF(VLOOKUP(Sat_W1[[#This Row],[Employee Name]],'Base Schedules'!$A$46:$AW$77,24,FALSE)="","",VLOOKUP(Sat_W1[[#This Row],[Employee Name]],'Base Schedules'!$A$46:$AW$77,24,FALSE)),"")</f>
        <v/>
      </c>
      <c r="Z31" s="184" t="str">
        <f>IFERROR(IF(VLOOKUP(Sat_W1[[#This Row],[Employee Name]],'Base Schedules'!$A$46:$AW$77,25,FALSE)="","",VLOOKUP(Sat_W1[[#This Row],[Employee Name]],'Base Schedules'!$A$46:$AW$77,25,FALSE)),"")</f>
        <v>-</v>
      </c>
      <c r="AA31" s="184" t="str">
        <f>IFERROR(IF(VLOOKUP(Sat_W1[[#This Row],[Employee Name]],'Base Schedules'!$A$46:$AW$77,26,FALSE)="","",VLOOKUP(Sat_W1[[#This Row],[Employee Name]],'Base Schedules'!$A$46:$AW$77,26,FALSE)),"")</f>
        <v>Interview</v>
      </c>
      <c r="AB31" s="184" t="str">
        <f>IFERROR(IF(VLOOKUP(Sat_W1[[#This Row],[Employee Name]],'Base Schedules'!$A$46:$AW$77,27,FALSE)="","",VLOOKUP(Sat_W1[[#This Row],[Employee Name]],'Base Schedules'!$A$46:$AW$77,27,FALSE)),"")</f>
        <v>Interview</v>
      </c>
      <c r="AC31" s="184" t="str">
        <f>IFERROR(IF(VLOOKUP(Sat_W1[[#This Row],[Employee Name]],'Base Schedules'!$A$46:$AW$77,28,FALSE)="","",VLOOKUP(Sat_W1[[#This Row],[Employee Name]],'Base Schedules'!$A$46:$AW$77,28,FALSE)),"")</f>
        <v>-</v>
      </c>
      <c r="AD31" s="184" t="str">
        <f>IFERROR(IF(VLOOKUP(Sat_W1[[#This Row],[Employee Name]],'Base Schedules'!$A$46:$AW$77,29,FALSE)="","",VLOOKUP(Sat_W1[[#This Row],[Employee Name]],'Base Schedules'!$A$46:$AW$77,29,FALSE)),"")</f>
        <v>-</v>
      </c>
      <c r="AE31" s="184" t="str">
        <f>IFERROR(IF(VLOOKUP(Sat_W1[[#This Row],[Employee Name]],'Base Schedules'!$A$46:$AW$77,30,FALSE)="","",VLOOKUP(Sat_W1[[#This Row],[Employee Name]],'Base Schedules'!$A$46:$AW$77,30,FALSE)),"")</f>
        <v>-</v>
      </c>
      <c r="AF31" s="184" t="str">
        <f>IFERROR(IF(VLOOKUP(Sat_W1[[#This Row],[Employee Name]],'Base Schedules'!$A$46:$AW$77,31,FALSE)="","",VLOOKUP(Sat_W1[[#This Row],[Employee Name]],'Base Schedules'!$A$46:$AW$77,31,FALSE)),"")</f>
        <v>-</v>
      </c>
      <c r="AG31" s="184" t="str">
        <f>IFERROR(IF(VLOOKUP(Sat_W1[[#This Row],[Employee Name]],'Base Schedules'!$A$46:$AW$77,32,FALSE)="","",VLOOKUP(Sat_W1[[#This Row],[Employee Name]],'Base Schedules'!$A$46:$AW$77,32,FALSE)),"")</f>
        <v>-</v>
      </c>
      <c r="AH31" s="184" t="str">
        <f>IFERROR(IF(VLOOKUP(Sat_W1[[#This Row],[Employee Name]],'Base Schedules'!$A$46:$AW$77,33,FALSE)="","",VLOOKUP(Sat_W1[[#This Row],[Employee Name]],'Base Schedules'!$A$46:$AW$77,33,FALSE)),"")</f>
        <v>-</v>
      </c>
      <c r="AI31" s="184" t="str">
        <f>IFERROR(IF(VLOOKUP(Sat_W1[[#This Row],[Employee Name]],'Base Schedules'!$A$46:$AW$77,34,FALSE)="","",VLOOKUP(Sat_W1[[#This Row],[Employee Name]],'Base Schedules'!$A$46:$AW$77,34,FALSE)),"")</f>
        <v>-</v>
      </c>
      <c r="AJ31" s="184" t="str">
        <f>IFERROR(IF(VLOOKUP(Sat_W1[[#This Row],[Employee Name]],'Base Schedules'!$A$46:$AW$77,35,FALSE)="","",VLOOKUP(Sat_W1[[#This Row],[Employee Name]],'Base Schedules'!$A$46:$AW$77,35,FALSE)),"")</f>
        <v>Coaching</v>
      </c>
      <c r="AK31" s="184" t="str">
        <f>IFERROR(IF(VLOOKUP(Sat_W1[[#This Row],[Employee Name]],'Base Schedules'!$A$46:$AW$77,36,FALSE)="","",VLOOKUP(Sat_W1[[#This Row],[Employee Name]],'Base Schedules'!$A$46:$AW$77,36,FALSE)),"")</f>
        <v>Coaching</v>
      </c>
      <c r="AL31" s="184" t="str">
        <f>IFERROR(IF(VLOOKUP(Sat_W1[[#This Row],[Employee Name]],'Base Schedules'!$A$46:$AW$77,37,FALSE)="","",VLOOKUP(Sat_W1[[#This Row],[Employee Name]],'Base Schedules'!$A$46:$AW$77,37,FALSE)),"")</f>
        <v>Coaching</v>
      </c>
      <c r="AM31" s="184" t="str">
        <f>IFERROR(IF(VLOOKUP(Sat_W1[[#This Row],[Employee Name]],'Base Schedules'!$A$46:$AW$77,38,FALSE)="","",VLOOKUP(Sat_W1[[#This Row],[Employee Name]],'Base Schedules'!$A$46:$AW$77,38,FALSE)),"")</f>
        <v>Coaching</v>
      </c>
      <c r="AN31" s="184" t="str">
        <f>IFERROR(IF(VLOOKUP(Sat_W1[[#This Row],[Employee Name]],'Base Schedules'!$A$46:$AW$77,39,FALSE)="","",VLOOKUP(Sat_W1[[#This Row],[Employee Name]],'Base Schedules'!$A$46:$AW$77,39,FALSE)),"")</f>
        <v>Coaching</v>
      </c>
      <c r="AO31" s="184" t="str">
        <f>IFERROR(IF(VLOOKUP(Sat_W1[[#This Row],[Employee Name]],'Base Schedules'!$A$46:$AW$77,40,FALSE)="","",VLOOKUP(Sat_W1[[#This Row],[Employee Name]],'Base Schedules'!$A$46:$AW$77,40,FALSE)),"")</f>
        <v>-</v>
      </c>
      <c r="AP31" s="184" t="str">
        <f>IFERROR(IF(VLOOKUP(Sat_W1[[#This Row],[Employee Name]],'Base Schedules'!$A$46:$AW$77,41,FALSE)="","",VLOOKUP(Sat_W1[[#This Row],[Employee Name]],'Base Schedules'!$A$46:$AW$77,41,FALSE)),"")</f>
        <v>-</v>
      </c>
      <c r="AQ31" s="184" t="str">
        <f>IFERROR(IF(VLOOKUP(Sat_W1[[#This Row],[Employee Name]],'Base Schedules'!$A$46:$AW$77,42,FALSE)="","",VLOOKUP(Sat_W1[[#This Row],[Employee Name]],'Base Schedules'!$A$46:$AW$77,42,FALSE)),"")</f>
        <v>-</v>
      </c>
      <c r="AR31" s="184" t="str">
        <f>IFERROR(IF(VLOOKUP(Sat_W1[[#This Row],[Employee Name]],'Base Schedules'!$A$46:$AW$77,43,FALSE)="","",VLOOKUP(Sat_W1[[#This Row],[Employee Name]],'Base Schedules'!$A$46:$AW$77,43,FALSE)),"")</f>
        <v/>
      </c>
      <c r="AS31" s="184" t="str">
        <f>IFERROR(IF(VLOOKUP(Sat_W1[[#This Row],[Employee Name]],'Base Schedules'!$A$46:$AW$77,44,FALSE)="","",VLOOKUP(Sat_W1[[#This Row],[Employee Name]],'Base Schedules'!$A$46:$AW$77,44,FALSE)),"")</f>
        <v/>
      </c>
      <c r="AT31" s="184" t="str">
        <f>IFERROR(IF(VLOOKUP(Sat_W1[[#This Row],[Employee Name]],'Base Schedules'!$A$46:$AW$77,45,FALSE)="","",VLOOKUP(Sat_W1[[#This Row],[Employee Name]],'Base Schedules'!$A$46:$AW$77,45,FALSE)),"")</f>
        <v/>
      </c>
      <c r="AU31" s="184" t="str">
        <f>IFERROR(IF(VLOOKUP(Sat_W1[[#This Row],[Employee Name]],'Base Schedules'!$A$46:$AW$77,46,FALSE)="","",VLOOKUP(Sat_W1[[#This Row],[Employee Name]],'Base Schedules'!$A$46:$AW$77,46,FALSE)),"")</f>
        <v/>
      </c>
      <c r="AV31" s="184" t="str">
        <f>IFERROR(IF(VLOOKUP(Sat_W1[[#This Row],[Employee Name]],'Base Schedules'!$A$46:$AW$77,47,FALSE)="","",VLOOKUP(Sat_W1[[#This Row],[Employee Name]],'Base Schedules'!$A$46:$AW$77,47,FALSE)),"")</f>
        <v/>
      </c>
      <c r="AW31" s="184" t="str">
        <f>IFERROR(IF(VLOOKUP(Sat_W1[[#This Row],[Employee Name]],'Base Schedules'!$A$46:$AW$77,48,FALSE)="","",VLOOKUP(Sat_W1[[#This Row],[Employee Name]],'Base Schedules'!$A$46:$AW$77,48,FALSE)),"")</f>
        <v/>
      </c>
      <c r="AX31" s="184" t="str">
        <f>IFERROR(IF(VLOOKUP(Sat_W1[[#This Row],[Employee Name]],'Base Schedules'!$A$46:$AW$77,49,FALSE)="","",VLOOKUP(Sat_W1[[#This Row],[Employee Name]],'Base Schedules'!$A$46:$AW$77,49,FALSE)),"")</f>
        <v/>
      </c>
      <c r="AY31" s="159" t="str">
        <f t="shared" si="2"/>
        <v>Cultice, Diana</v>
      </c>
    </row>
    <row r="32" spans="1:51" s="44" customFormat="1" ht="12" customHeight="1" x14ac:dyDescent="0.2">
      <c r="A32" s="39" t="str">
        <f>IF(B32="","",INDEX(TeamList[],MATCH($B32,TeamList[[Employee Name]:[Employee Name]],0),MATCH("Manager",TeamList[#Headers],0)))</f>
        <v>Paulson, Matthew</v>
      </c>
      <c r="B32" s="201" t="s">
        <v>59</v>
      </c>
      <c r="C32" s="257" t="str">
        <f>_xlfn.IFNA(VLOOKUP(Sat_W1[[#This Row],[Employee Name]],'Base Schedules'!A:B,2,FALSE),"")</f>
        <v>Supervisor</v>
      </c>
      <c r="D32" s="274">
        <f>_xlfn.IFNA(VLOOKUP(Sat_W1[[#This Row],[Employee Name]],'Base Schedules'!A:C,3,FALSE),"")</f>
        <v>1300</v>
      </c>
      <c r="E32" s="274">
        <f>_xlfn.IFNA(VLOOKUP(Sat_W1[[#This Row],[Employee Name]],'Base Schedules'!A:D,4,FALSE),"")</f>
        <v>2200</v>
      </c>
      <c r="F32" s="142">
        <f>IF(Sat_W1[[#This Row],[Employee Name]]="","",IF(Sat_W1[[#This Row],[Dept]]="Supervisor",COUNTIFS($J32:$AX32,"*HL*",$J32:$AX32,"&lt;&gt;"&amp;"pHL"),COUNTIFS($J32:$AX32,"*HL*",$J32:$AX32,"&lt;&gt;"&amp;"*pHL*",$J32:$AX32,"&lt;&gt;"&amp;"pB1 HL",$J32:$AX32,"&lt;&gt;"&amp;"pB2 HL")-SUM(COUNTIFS($J32:$AX32,"*HL B1*",$J32:$AX32,"&lt;&gt;"&amp;"pHL B1")*0.5,COUNTIFS($J32:$AX32,"*HL B2*",$J32:$AX32,"&lt;&gt;"&amp;"pHL B2")*0.5,COUNTIFS($J32:$AX32,"*B1 HL*",$J32:$AX32,"&lt;&gt;"&amp;"pB1 HL")*0.5,COUNTIFS($J32:$AX32,"*B2 HL*",$J32:$AX32,"&lt;&gt;"&amp;"pB2 HL")*0.5)))</f>
        <v>0</v>
      </c>
      <c r="G32" s="142">
        <f t="shared" si="3"/>
        <v>5</v>
      </c>
      <c r="H32" s="142">
        <f t="shared" si="1"/>
        <v>0</v>
      </c>
      <c r="I32" s="142">
        <f>IF(Sat_W1[[#This Row],[Employee Name]]="","",IF(Sat_W1[[#This Row],[Dept]]="Supervisor",SUM(COUNTIFS($J32:$AX32,"RTA*",$J32:$AX32,"&lt;&gt;"&amp;"pRTA"),COUNTIFS($J32:$AX32,"*CRTA*",$J32:$AX32,"&lt;&gt;"&amp;"pCRTA")),COUNTIFS($J32:$AX32,"*RNNR*",$J32:$AX32,"&lt;&gt;"&amp;"*pRNNR*",$J32:$AX32,"&lt;&gt;"&amp;"pB1 RNNR",$J32:$AX32,"&lt;&gt;"&amp;"pB2 RNNR")-SUM(COUNTIFS($J32:$AX32,"*RNNR B1*",$J32:$AX32,"&lt;&gt;"&amp;"pRNNR B1")*0.5,COUNTIFS($J32:$AX32,"*RNNR B2*",$J32:$AX32,"&lt;&gt;"&amp;"pRNNR B2")*0.5,COUNTIFS($J32:$AX32,"*B1 RNNR*",$J32:$AX32,"&lt;&gt;"&amp;"pB1 RNNR")*0.5,COUNTIFS($J32:$AX32,"*B2 RNNR*",$J32:$AX32,"&lt;&gt;"&amp;"pB2 RNNR")*0.5)))</f>
        <v>0</v>
      </c>
      <c r="J32" s="184" t="str">
        <f>IFERROR(IF(VLOOKUP(Sat_W1[[#This Row],[Employee Name]],'Base Schedules'!$A$46:$AW$77,9,FALSE)="","",VLOOKUP(Sat_W1[[#This Row],[Employee Name]],'Base Schedules'!$A$46:$AW$77,9,FALSE)),"")</f>
        <v/>
      </c>
      <c r="K32" s="184" t="str">
        <f>IFERROR(IF(VLOOKUP(Sat_W1[[#This Row],[Employee Name]],'Base Schedules'!$A$46:$AW$77,10,FALSE)="","",VLOOKUP(Sat_W1[[#This Row],[Employee Name]],'Base Schedules'!$A$46:$AW$77,10,FALSE)),"")</f>
        <v/>
      </c>
      <c r="L32" s="184" t="str">
        <f>IFERROR(IF(VLOOKUP(Sat_W1[[#This Row],[Employee Name]],'Base Schedules'!$A$46:$AW$77,11,FALSE)="","",VLOOKUP(Sat_W1[[#This Row],[Employee Name]],'Base Schedules'!$A$46:$AW$77,11,FALSE)),"")</f>
        <v/>
      </c>
      <c r="M32" s="184" t="str">
        <f>IFERROR(IF(VLOOKUP(Sat_W1[[#This Row],[Employee Name]],'Base Schedules'!$A$46:$AW$77,12,FALSE)="","",VLOOKUP(Sat_W1[[#This Row],[Employee Name]],'Base Schedules'!$A$46:$AW$77,12,FALSE)),"")</f>
        <v/>
      </c>
      <c r="N32" s="184" t="str">
        <f>IFERROR(IF(VLOOKUP(Sat_W1[[#This Row],[Employee Name]],'Base Schedules'!$A$46:$AW$77,13,FALSE)="","",VLOOKUP(Sat_W1[[#This Row],[Employee Name]],'Base Schedules'!$A$46:$AW$77,13,FALSE)),"")</f>
        <v/>
      </c>
      <c r="O32" s="184" t="str">
        <f>IFERROR(IF(VLOOKUP(Sat_W1[[#This Row],[Employee Name]],'Base Schedules'!$A$46:$AW$77,14,FALSE)="","",VLOOKUP(Sat_W1[[#This Row],[Employee Name]],'Base Schedules'!$A$46:$AW$77,14,FALSE)),"")</f>
        <v/>
      </c>
      <c r="P32" s="184" t="str">
        <f>IFERROR(IF(VLOOKUP(Sat_W1[[#This Row],[Employee Name]],'Base Schedules'!$A$46:$AW$77,15,FALSE)="","",VLOOKUP(Sat_W1[[#This Row],[Employee Name]],'Base Schedules'!$A$46:$AW$77,15,FALSE)),"")</f>
        <v/>
      </c>
      <c r="Q32" s="184" t="str">
        <f>IFERROR(IF(VLOOKUP(Sat_W1[[#This Row],[Employee Name]],'Base Schedules'!$A$46:$AW$77,16,FALSE)="","",VLOOKUP(Sat_W1[[#This Row],[Employee Name]],'Base Schedules'!$A$46:$AW$77,16,FALSE)),"")</f>
        <v/>
      </c>
      <c r="R32" s="184" t="str">
        <f>IFERROR(IF(VLOOKUP(Sat_W1[[#This Row],[Employee Name]],'Base Schedules'!$A$46:$AW$77,17,FALSE)="","",VLOOKUP(Sat_W1[[#This Row],[Employee Name]],'Base Schedules'!$A$46:$AW$77,17,FALSE)),"")</f>
        <v/>
      </c>
      <c r="S32" s="184" t="str">
        <f>IFERROR(IF(VLOOKUP(Sat_W1[[#This Row],[Employee Name]],'Base Schedules'!$A$46:$AW$77,18,FALSE)="","",VLOOKUP(Sat_W1[[#This Row],[Employee Name]],'Base Schedules'!$A$46:$AW$77,18,FALSE)),"")</f>
        <v/>
      </c>
      <c r="T32" s="184" t="str">
        <f>IFERROR(IF(VLOOKUP(Sat_W1[[#This Row],[Employee Name]],'Base Schedules'!$A$46:$AW$77,19,FALSE)="","",VLOOKUP(Sat_W1[[#This Row],[Employee Name]],'Base Schedules'!$A$46:$AW$77,19,FALSE)),"")</f>
        <v/>
      </c>
      <c r="U32" s="184" t="str">
        <f>IFERROR(IF(VLOOKUP(Sat_W1[[#This Row],[Employee Name]],'Base Schedules'!$A$46:$AW$77,20,FALSE)="","",VLOOKUP(Sat_W1[[#This Row],[Employee Name]],'Base Schedules'!$A$46:$AW$77,20,FALSE)),"")</f>
        <v/>
      </c>
      <c r="V32" s="184" t="str">
        <f>IFERROR(IF(VLOOKUP(Sat_W1[[#This Row],[Employee Name]],'Base Schedules'!$A$46:$AW$77,21,FALSE)="","",VLOOKUP(Sat_W1[[#This Row],[Employee Name]],'Base Schedules'!$A$46:$AW$77,21,FALSE)),"")</f>
        <v/>
      </c>
      <c r="W32" s="184" t="str">
        <f>IFERROR(IF(VLOOKUP(Sat_W1[[#This Row],[Employee Name]],'Base Schedules'!$A$46:$AW$77,22,FALSE)="","",VLOOKUP(Sat_W1[[#This Row],[Employee Name]],'Base Schedules'!$A$46:$AW$77,22,FALSE)),"")</f>
        <v/>
      </c>
      <c r="X32" s="184" t="str">
        <f>IFERROR(IF(VLOOKUP(Sat_W1[[#This Row],[Employee Name]],'Base Schedules'!$A$46:$AW$77,23,FALSE)="","",VLOOKUP(Sat_W1[[#This Row],[Employee Name]],'Base Schedules'!$A$46:$AW$77,23,FALSE)),"")</f>
        <v/>
      </c>
      <c r="Y32" s="184" t="str">
        <f>IFERROR(IF(VLOOKUP(Sat_W1[[#This Row],[Employee Name]],'Base Schedules'!$A$46:$AW$77,24,FALSE)="","",VLOOKUP(Sat_W1[[#This Row],[Employee Name]],'Base Schedules'!$A$46:$AW$77,24,FALSE)),"")</f>
        <v/>
      </c>
      <c r="Z32" s="184" t="str">
        <f>IFERROR(IF(VLOOKUP(Sat_W1[[#This Row],[Employee Name]],'Base Schedules'!$A$46:$AW$77,25,FALSE)="","",VLOOKUP(Sat_W1[[#This Row],[Employee Name]],'Base Schedules'!$A$46:$AW$77,25,FALSE)),"")</f>
        <v>-</v>
      </c>
      <c r="AA32" s="184" t="str">
        <f>IFERROR(IF(VLOOKUP(Sat_W1[[#This Row],[Employee Name]],'Base Schedules'!$A$46:$AW$77,26,FALSE)="","",VLOOKUP(Sat_W1[[#This Row],[Employee Name]],'Base Schedules'!$A$46:$AW$77,26,FALSE)),"")</f>
        <v>-</v>
      </c>
      <c r="AB32" s="184" t="str">
        <f>IFERROR(IF(VLOOKUP(Sat_W1[[#This Row],[Employee Name]],'Base Schedules'!$A$46:$AW$77,27,FALSE)="","",VLOOKUP(Sat_W1[[#This Row],[Employee Name]],'Base Schedules'!$A$46:$AW$77,27,FALSE)),"")</f>
        <v>-</v>
      </c>
      <c r="AC32" s="184" t="str">
        <f>IFERROR(IF(VLOOKUP(Sat_W1[[#This Row],[Employee Name]],'Base Schedules'!$A$46:$AW$77,28,FALSE)="","",VLOOKUP(Sat_W1[[#This Row],[Employee Name]],'Base Schedules'!$A$46:$AW$77,28,FALSE)),"")</f>
        <v>Coaching</v>
      </c>
      <c r="AD32" s="184" t="str">
        <f>IFERROR(IF(VLOOKUP(Sat_W1[[#This Row],[Employee Name]],'Base Schedules'!$A$46:$AW$77,29,FALSE)="","",VLOOKUP(Sat_W1[[#This Row],[Employee Name]],'Base Schedules'!$A$46:$AW$77,29,FALSE)),"")</f>
        <v>Coaching</v>
      </c>
      <c r="AE32" s="184" t="str">
        <f>IFERROR(IF(VLOOKUP(Sat_W1[[#This Row],[Employee Name]],'Base Schedules'!$A$46:$AW$77,30,FALSE)="","",VLOOKUP(Sat_W1[[#This Row],[Employee Name]],'Base Schedules'!$A$46:$AW$77,30,FALSE)),"")</f>
        <v>-</v>
      </c>
      <c r="AF32" s="184" t="str">
        <f>IFERROR(IF(VLOOKUP(Sat_W1[[#This Row],[Employee Name]],'Base Schedules'!$A$46:$AW$77,31,FALSE)="","",VLOOKUP(Sat_W1[[#This Row],[Employee Name]],'Base Schedules'!$A$46:$AW$77,31,FALSE)),"")</f>
        <v>Interview</v>
      </c>
      <c r="AG32" s="184" t="str">
        <f>IFERROR(IF(VLOOKUP(Sat_W1[[#This Row],[Employee Name]],'Base Schedules'!$A$46:$AW$77,32,FALSE)="","",VLOOKUP(Sat_W1[[#This Row],[Employee Name]],'Base Schedules'!$A$46:$AW$77,32,FALSE)),"")</f>
        <v>Interview</v>
      </c>
      <c r="AH32" s="184" t="str">
        <f>IFERROR(IF(VLOOKUP(Sat_W1[[#This Row],[Employee Name]],'Base Schedules'!$A$46:$AW$77,33,FALSE)="","",VLOOKUP(Sat_W1[[#This Row],[Employee Name]],'Base Schedules'!$A$46:$AW$77,33,FALSE)),"")</f>
        <v>-</v>
      </c>
      <c r="AI32" s="184" t="str">
        <f>IFERROR(IF(VLOOKUP(Sat_W1[[#This Row],[Employee Name]],'Base Schedules'!$A$46:$AW$77,34,FALSE)="","",VLOOKUP(Sat_W1[[#This Row],[Employee Name]],'Base Schedules'!$A$46:$AW$77,34,FALSE)),"")</f>
        <v>-</v>
      </c>
      <c r="AJ32" s="184" t="str">
        <f>IFERROR(IF(VLOOKUP(Sat_W1[[#This Row],[Employee Name]],'Base Schedules'!$A$46:$AW$77,35,FALSE)="","",VLOOKUP(Sat_W1[[#This Row],[Employee Name]],'Base Schedules'!$A$46:$AW$77,35,FALSE)),"")</f>
        <v>-</v>
      </c>
      <c r="AK32" s="184" t="str">
        <f>IFERROR(IF(VLOOKUP(Sat_W1[[#This Row],[Employee Name]],'Base Schedules'!$A$46:$AW$77,36,FALSE)="","",VLOOKUP(Sat_W1[[#This Row],[Employee Name]],'Base Schedules'!$A$46:$AW$77,36,FALSE)),"")</f>
        <v>-</v>
      </c>
      <c r="AL32" s="184" t="str">
        <f>IFERROR(IF(VLOOKUP(Sat_W1[[#This Row],[Employee Name]],'Base Schedules'!$A$46:$AW$77,37,FALSE)="","",VLOOKUP(Sat_W1[[#This Row],[Employee Name]],'Base Schedules'!$A$46:$AW$77,37,FALSE)),"")</f>
        <v>-</v>
      </c>
      <c r="AM32" s="184" t="str">
        <f>IFERROR(IF(VLOOKUP(Sat_W1[[#This Row],[Employee Name]],'Base Schedules'!$A$46:$AW$77,38,FALSE)="","",VLOOKUP(Sat_W1[[#This Row],[Employee Name]],'Base Schedules'!$A$46:$AW$77,38,FALSE)),"")</f>
        <v>Coaching</v>
      </c>
      <c r="AN32" s="184" t="str">
        <f>IFERROR(IF(VLOOKUP(Sat_W1[[#This Row],[Employee Name]],'Base Schedules'!$A$46:$AW$77,39,FALSE)="","",VLOOKUP(Sat_W1[[#This Row],[Employee Name]],'Base Schedules'!$A$46:$AW$77,39,FALSE)),"")</f>
        <v>Coaching</v>
      </c>
      <c r="AO32" s="184" t="str">
        <f>IFERROR(IF(VLOOKUP(Sat_W1[[#This Row],[Employee Name]],'Base Schedules'!$A$46:$AW$77,40,FALSE)="","",VLOOKUP(Sat_W1[[#This Row],[Employee Name]],'Base Schedules'!$A$46:$AW$77,40,FALSE)),"")</f>
        <v>Coaching</v>
      </c>
      <c r="AP32" s="184" t="str">
        <f>IFERROR(IF(VLOOKUP(Sat_W1[[#This Row],[Employee Name]],'Base Schedules'!$A$46:$AW$77,41,FALSE)="","",VLOOKUP(Sat_W1[[#This Row],[Employee Name]],'Base Schedules'!$A$46:$AW$77,41,FALSE)),"")</f>
        <v>-</v>
      </c>
      <c r="AQ32" s="184" t="str">
        <f>IFERROR(IF(VLOOKUP(Sat_W1[[#This Row],[Employee Name]],'Base Schedules'!$A$46:$AW$77,42,FALSE)="","",VLOOKUP(Sat_W1[[#This Row],[Employee Name]],'Base Schedules'!$A$46:$AW$77,42,FALSE)),"")</f>
        <v>-</v>
      </c>
      <c r="AR32" s="184" t="str">
        <f>IFERROR(IF(VLOOKUP(Sat_W1[[#This Row],[Employee Name]],'Base Schedules'!$A$46:$AW$77,43,FALSE)="","",VLOOKUP(Sat_W1[[#This Row],[Employee Name]],'Base Schedules'!$A$46:$AW$77,43,FALSE)),"")</f>
        <v/>
      </c>
      <c r="AS32" s="184" t="str">
        <f>IFERROR(IF(VLOOKUP(Sat_W1[[#This Row],[Employee Name]],'Base Schedules'!$A$46:$AW$77,44,FALSE)="","",VLOOKUP(Sat_W1[[#This Row],[Employee Name]],'Base Schedules'!$A$46:$AW$77,44,FALSE)),"")</f>
        <v/>
      </c>
      <c r="AT32" s="184" t="str">
        <f>IFERROR(IF(VLOOKUP(Sat_W1[[#This Row],[Employee Name]],'Base Schedules'!$A$46:$AW$77,45,FALSE)="","",VLOOKUP(Sat_W1[[#This Row],[Employee Name]],'Base Schedules'!$A$46:$AW$77,45,FALSE)),"")</f>
        <v/>
      </c>
      <c r="AU32" s="184" t="str">
        <f>IFERROR(IF(VLOOKUP(Sat_W1[[#This Row],[Employee Name]],'Base Schedules'!$A$46:$AW$77,46,FALSE)="","",VLOOKUP(Sat_W1[[#This Row],[Employee Name]],'Base Schedules'!$A$46:$AW$77,46,FALSE)),"")</f>
        <v/>
      </c>
      <c r="AV32" s="184" t="str">
        <f>IFERROR(IF(VLOOKUP(Sat_W1[[#This Row],[Employee Name]],'Base Schedules'!$A$46:$AW$77,47,FALSE)="","",VLOOKUP(Sat_W1[[#This Row],[Employee Name]],'Base Schedules'!$A$46:$AW$77,47,FALSE)),"")</f>
        <v/>
      </c>
      <c r="AW32" s="184" t="str">
        <f>IFERROR(IF(VLOOKUP(Sat_W1[[#This Row],[Employee Name]],'Base Schedules'!$A$46:$AW$77,48,FALSE)="","",VLOOKUP(Sat_W1[[#This Row],[Employee Name]],'Base Schedules'!$A$46:$AW$77,48,FALSE)),"")</f>
        <v/>
      </c>
      <c r="AX32" s="184" t="str">
        <f>IFERROR(IF(VLOOKUP(Sat_W1[[#This Row],[Employee Name]],'Base Schedules'!$A$46:$AW$77,49,FALSE)="","",VLOOKUP(Sat_W1[[#This Row],[Employee Name]],'Base Schedules'!$A$46:$AW$77,49,FALSE)),"")</f>
        <v/>
      </c>
      <c r="AY32" s="160" t="str">
        <f t="shared" si="2"/>
        <v>Banuelos, Lincoln</v>
      </c>
    </row>
    <row r="33" spans="1:51" s="44" customFormat="1" ht="12" customHeight="1" x14ac:dyDescent="0.2">
      <c r="A33" s="39" t="e">
        <f>IF(B33="","",INDEX(TeamList[],MATCH($B33,TeamList[[Employee Name]:[Employee Name]],0),MATCH("Manager",TeamList[#Headers],0)))</f>
        <v>#N/A</v>
      </c>
      <c r="B33" s="201" t="s">
        <v>586</v>
      </c>
      <c r="C33" s="257" t="str">
        <f>_xlfn.IFNA(VLOOKUP(Sat_W1[[#This Row],[Employee Name]],'Base Schedules'!A:B,2,FALSE),"")</f>
        <v>Lead</v>
      </c>
      <c r="D33" s="274">
        <f>_xlfn.IFNA(VLOOKUP(Sat_W1[[#This Row],[Employee Name]],'Base Schedules'!A:C,3,FALSE),"")</f>
        <v>1330</v>
      </c>
      <c r="E33" s="274">
        <f>_xlfn.IFNA(VLOOKUP(Sat_W1[[#This Row],[Employee Name]],'Base Schedules'!A:D,4,FALSE),"")</f>
        <v>2200</v>
      </c>
      <c r="F33" s="142">
        <f>IF(Sat_W1[[#This Row],[Employee Name]]="","",IF(Sat_W1[[#This Row],[Dept]]="Supervisor",COUNTIFS($J33:$AX33,"*HL*",$J33:$AX33,"&lt;&gt;"&amp;"pHL"),COUNTIFS($J33:$AX33,"*HL*",$J33:$AX33,"&lt;&gt;"&amp;"*pHL*",$J33:$AX33,"&lt;&gt;"&amp;"pB1 HL",$J33:$AX33,"&lt;&gt;"&amp;"pB2 HL")-SUM(COUNTIFS($J33:$AX33,"*HL B1*",$J33:$AX33,"&lt;&gt;"&amp;"pHL B1")*0.5,COUNTIFS($J33:$AX33,"*HL B2*",$J33:$AX33,"&lt;&gt;"&amp;"pHL B2")*0.5,COUNTIFS($J33:$AX33,"*B1 HL*",$J33:$AX33,"&lt;&gt;"&amp;"pB1 HL")*0.5,COUNTIFS($J33:$AX33,"*B2 HL*",$J33:$AX33,"&lt;&gt;"&amp;"pB2 HL")*0.5)))</f>
        <v>8.5</v>
      </c>
      <c r="G33" s="142">
        <f t="shared" si="3"/>
        <v>0</v>
      </c>
      <c r="H33" s="142">
        <f t="shared" si="1"/>
        <v>7</v>
      </c>
      <c r="I33" s="142">
        <f>IF(Sat_W1[[#This Row],[Employee Name]]="","",IF(Sat_W1[[#This Row],[Dept]]="Supervisor",SUM(COUNTIFS($J33:$AX33,"RTA*",$J33:$AX33,"&lt;&gt;"&amp;"pRTA"),COUNTIFS($J33:$AX33,"*CRTA*",$J33:$AX33,"&lt;&gt;"&amp;"pCRTA")),COUNTIFS($J33:$AX33,"*RNNR*",$J33:$AX33,"&lt;&gt;"&amp;"*pRNNR*",$J33:$AX33,"&lt;&gt;"&amp;"pB1 RNNR",$J33:$AX33,"&lt;&gt;"&amp;"pB2 RNNR")-SUM(COUNTIFS($J33:$AX33,"*RNNR B1*",$J33:$AX33,"&lt;&gt;"&amp;"pRNNR B1")*0.5,COUNTIFS($J33:$AX33,"*RNNR B2*",$J33:$AX33,"&lt;&gt;"&amp;"pRNNR B2")*0.5,COUNTIFS($J33:$AX33,"*B1 RNNR*",$J33:$AX33,"&lt;&gt;"&amp;"pB1 RNNR")*0.5,COUNTIFS($J33:$AX33,"*B2 RNNR*",$J33:$AX33,"&lt;&gt;"&amp;"pB2 RNNR")*0.5)))</f>
        <v>0</v>
      </c>
      <c r="J33" s="184" t="str">
        <f>IFERROR(IF(VLOOKUP(Sat_W1[[#This Row],[Employee Name]],'Base Schedules'!$A$46:$AW$77,9,FALSE)="","",VLOOKUP(Sat_W1[[#This Row],[Employee Name]],'Base Schedules'!$A$46:$AW$77,9,FALSE)),"")</f>
        <v/>
      </c>
      <c r="K33" s="184" t="str">
        <f>IFERROR(IF(VLOOKUP(Sat_W1[[#This Row],[Employee Name]],'Base Schedules'!$A$46:$AW$77,10,FALSE)="","",VLOOKUP(Sat_W1[[#This Row],[Employee Name]],'Base Schedules'!$A$46:$AW$77,10,FALSE)),"")</f>
        <v/>
      </c>
      <c r="L33" s="184" t="str">
        <f>IFERROR(IF(VLOOKUP(Sat_W1[[#This Row],[Employee Name]],'Base Schedules'!$A$46:$AW$77,11,FALSE)="","",VLOOKUP(Sat_W1[[#This Row],[Employee Name]],'Base Schedules'!$A$46:$AW$77,11,FALSE)),"")</f>
        <v/>
      </c>
      <c r="M33" s="184" t="str">
        <f>IFERROR(IF(VLOOKUP(Sat_W1[[#This Row],[Employee Name]],'Base Schedules'!$A$46:$AW$77,12,FALSE)="","",VLOOKUP(Sat_W1[[#This Row],[Employee Name]],'Base Schedules'!$A$46:$AW$77,12,FALSE)),"")</f>
        <v/>
      </c>
      <c r="N33" s="184" t="str">
        <f>IFERROR(IF(VLOOKUP(Sat_W1[[#This Row],[Employee Name]],'Base Schedules'!$A$46:$AW$77,13,FALSE)="","",VLOOKUP(Sat_W1[[#This Row],[Employee Name]],'Base Schedules'!$A$46:$AW$77,13,FALSE)),"")</f>
        <v/>
      </c>
      <c r="O33" s="184" t="str">
        <f>IFERROR(IF(VLOOKUP(Sat_W1[[#This Row],[Employee Name]],'Base Schedules'!$A$46:$AW$77,14,FALSE)="","",VLOOKUP(Sat_W1[[#This Row],[Employee Name]],'Base Schedules'!$A$46:$AW$77,14,FALSE)),"")</f>
        <v/>
      </c>
      <c r="P33" s="184" t="str">
        <f>IFERROR(IF(VLOOKUP(Sat_W1[[#This Row],[Employee Name]],'Base Schedules'!$A$46:$AW$77,15,FALSE)="","",VLOOKUP(Sat_W1[[#This Row],[Employee Name]],'Base Schedules'!$A$46:$AW$77,15,FALSE)),"")</f>
        <v/>
      </c>
      <c r="Q33" s="184" t="str">
        <f>IFERROR(IF(VLOOKUP(Sat_W1[[#This Row],[Employee Name]],'Base Schedules'!$A$46:$AW$77,16,FALSE)="","",VLOOKUP(Sat_W1[[#This Row],[Employee Name]],'Base Schedules'!$A$46:$AW$77,16,FALSE)),"")</f>
        <v/>
      </c>
      <c r="R33" s="184" t="str">
        <f>IFERROR(IF(VLOOKUP(Sat_W1[[#This Row],[Employee Name]],'Base Schedules'!$A$46:$AW$77,17,FALSE)="","",VLOOKUP(Sat_W1[[#This Row],[Employee Name]],'Base Schedules'!$A$46:$AW$77,17,FALSE)),"")</f>
        <v/>
      </c>
      <c r="S33" s="184" t="str">
        <f>IFERROR(IF(VLOOKUP(Sat_W1[[#This Row],[Employee Name]],'Base Schedules'!$A$46:$AW$77,18,FALSE)="","",VLOOKUP(Sat_W1[[#This Row],[Employee Name]],'Base Schedules'!$A$46:$AW$77,18,FALSE)),"")</f>
        <v/>
      </c>
      <c r="T33" s="184" t="str">
        <f>IFERROR(IF(VLOOKUP(Sat_W1[[#This Row],[Employee Name]],'Base Schedules'!$A$46:$AW$77,19,FALSE)="","",VLOOKUP(Sat_W1[[#This Row],[Employee Name]],'Base Schedules'!$A$46:$AW$77,19,FALSE)),"")</f>
        <v/>
      </c>
      <c r="U33" s="184" t="str">
        <f>IFERROR(IF(VLOOKUP(Sat_W1[[#This Row],[Employee Name]],'Base Schedules'!$A$46:$AW$77,20,FALSE)="","",VLOOKUP(Sat_W1[[#This Row],[Employee Name]],'Base Schedules'!$A$46:$AW$77,20,FALSE)),"")</f>
        <v/>
      </c>
      <c r="V33" s="184" t="str">
        <f>IFERROR(IF(VLOOKUP(Sat_W1[[#This Row],[Employee Name]],'Base Schedules'!$A$46:$AW$77,21,FALSE)="","",VLOOKUP(Sat_W1[[#This Row],[Employee Name]],'Base Schedules'!$A$46:$AW$77,21,FALSE)),"")</f>
        <v/>
      </c>
      <c r="W33" s="184" t="str">
        <f>IFERROR(IF(VLOOKUP(Sat_W1[[#This Row],[Employee Name]],'Base Schedules'!$A$46:$AW$77,22,FALSE)="","",VLOOKUP(Sat_W1[[#This Row],[Employee Name]],'Base Schedules'!$A$46:$AW$77,22,FALSE)),"")</f>
        <v/>
      </c>
      <c r="X33" s="184" t="str">
        <f>IFERROR(IF(VLOOKUP(Sat_W1[[#This Row],[Employee Name]],'Base Schedules'!$A$46:$AW$77,23,FALSE)="","",VLOOKUP(Sat_W1[[#This Row],[Employee Name]],'Base Schedules'!$A$46:$AW$77,23,FALSE)),"")</f>
        <v/>
      </c>
      <c r="Y33" s="184" t="str">
        <f>IFERROR(IF(VLOOKUP(Sat_W1[[#This Row],[Employee Name]],'Base Schedules'!$A$46:$AW$77,24,FALSE)="","",VLOOKUP(Sat_W1[[#This Row],[Employee Name]],'Base Schedules'!$A$46:$AW$77,24,FALSE)),"")</f>
        <v/>
      </c>
      <c r="Z33" s="184" t="str">
        <f>IFERROR(IF(VLOOKUP(Sat_W1[[#This Row],[Employee Name]],'Base Schedules'!$A$46:$AW$77,25,FALSE)="","",VLOOKUP(Sat_W1[[#This Row],[Employee Name]],'Base Schedules'!$A$46:$AW$77,25,FALSE)),"")</f>
        <v/>
      </c>
      <c r="AA33" s="184" t="str">
        <f>IFERROR(IF(VLOOKUP(Sat_W1[[#This Row],[Employee Name]],'Base Schedules'!$A$46:$AW$77,26,FALSE)="","",VLOOKUP(Sat_W1[[#This Row],[Employee Name]],'Base Schedules'!$A$46:$AW$77,26,FALSE)),"")</f>
        <v>HL</v>
      </c>
      <c r="AB33" s="184" t="str">
        <f>IFERROR(IF(VLOOKUP(Sat_W1[[#This Row],[Employee Name]],'Base Schedules'!$A$46:$AW$77,27,FALSE)="","",VLOOKUP(Sat_W1[[#This Row],[Employee Name]],'Base Schedules'!$A$46:$AW$77,27,FALSE)),"")</f>
        <v>HL</v>
      </c>
      <c r="AC33" s="184" t="str">
        <f>IFERROR(IF(VLOOKUP(Sat_W1[[#This Row],[Employee Name]],'Base Schedules'!$A$46:$AW$77,28,FALSE)="","",VLOOKUP(Sat_W1[[#This Row],[Employee Name]],'Base Schedules'!$A$46:$AW$77,28,FALSE)),"")</f>
        <v>HL</v>
      </c>
      <c r="AD33" s="184" t="str">
        <f>IFERROR(IF(VLOOKUP(Sat_W1[[#This Row],[Employee Name]],'Base Schedules'!$A$46:$AW$77,29,FALSE)="","",VLOOKUP(Sat_W1[[#This Row],[Employee Name]],'Base Schedules'!$A$46:$AW$77,29,FALSE)),"")</f>
        <v>HL</v>
      </c>
      <c r="AE33" s="184" t="str">
        <f>IFERROR(IF(VLOOKUP(Sat_W1[[#This Row],[Employee Name]],'Base Schedules'!$A$46:$AW$77,30,FALSE)="","",VLOOKUP(Sat_W1[[#This Row],[Employee Name]],'Base Schedules'!$A$46:$AW$77,30,FALSE)),"")</f>
        <v>B1 ADM</v>
      </c>
      <c r="AF33" s="184" t="str">
        <f>IFERROR(IF(VLOOKUP(Sat_W1[[#This Row],[Employee Name]],'Base Schedules'!$A$46:$AW$77,31,FALSE)="","",VLOOKUP(Sat_W1[[#This Row],[Employee Name]],'Base Schedules'!$A$46:$AW$77,31,FALSE)),"")</f>
        <v>ADM</v>
      </c>
      <c r="AG33" s="184" t="str">
        <f>IFERROR(IF(VLOOKUP(Sat_W1[[#This Row],[Employee Name]],'Base Schedules'!$A$46:$AW$77,32,FALSE)="","",VLOOKUP(Sat_W1[[#This Row],[Employee Name]],'Base Schedules'!$A$46:$AW$77,32,FALSE)),"")</f>
        <v>ADM</v>
      </c>
      <c r="AH33" s="184" t="str">
        <f>IFERROR(IF(VLOOKUP(Sat_W1[[#This Row],[Employee Name]],'Base Schedules'!$A$46:$AW$77,33,FALSE)="","",VLOOKUP(Sat_W1[[#This Row],[Employee Name]],'Base Schedules'!$A$46:$AW$77,33,FALSE)),"")</f>
        <v>ADM</v>
      </c>
      <c r="AI33" s="184" t="str">
        <f>IFERROR(IF(VLOOKUP(Sat_W1[[#This Row],[Employee Name]],'Base Schedules'!$A$46:$AW$77,34,FALSE)="","",VLOOKUP(Sat_W1[[#This Row],[Employee Name]],'Base Schedules'!$A$46:$AW$77,34,FALSE)),"")</f>
        <v>HL</v>
      </c>
      <c r="AJ33" s="184" t="str">
        <f>IFERROR(IF(VLOOKUP(Sat_W1[[#This Row],[Employee Name]],'Base Schedules'!$A$46:$AW$77,35,FALSE)="","",VLOOKUP(Sat_W1[[#This Row],[Employee Name]],'Base Schedules'!$A$46:$AW$77,35,FALSE)),"")</f>
        <v>LUNCH</v>
      </c>
      <c r="AK33" s="184" t="str">
        <f>IFERROR(IF(VLOOKUP(Sat_W1[[#This Row],[Employee Name]],'Base Schedules'!$A$46:$AW$77,36,FALSE)="","",VLOOKUP(Sat_W1[[#This Row],[Employee Name]],'Base Schedules'!$A$46:$AW$77,36,FALSE)),"")</f>
        <v>HL</v>
      </c>
      <c r="AL33" s="184" t="str">
        <f>IFERROR(IF(VLOOKUP(Sat_W1[[#This Row],[Employee Name]],'Base Schedules'!$A$46:$AW$77,37,FALSE)="","",VLOOKUP(Sat_W1[[#This Row],[Employee Name]],'Base Schedules'!$A$46:$AW$77,37,FALSE)),"")</f>
        <v>HL</v>
      </c>
      <c r="AM33" s="184" t="str">
        <f>IFERROR(IF(VLOOKUP(Sat_W1[[#This Row],[Employee Name]],'Base Schedules'!$A$46:$AW$77,38,FALSE)="","",VLOOKUP(Sat_W1[[#This Row],[Employee Name]],'Base Schedules'!$A$46:$AW$77,38,FALSE)),"")</f>
        <v>HL</v>
      </c>
      <c r="AN33" s="184" t="str">
        <f>IFERROR(IF(VLOOKUP(Sat_W1[[#This Row],[Employee Name]],'Base Schedules'!$A$46:$AW$77,39,FALSE)="","",VLOOKUP(Sat_W1[[#This Row],[Employee Name]],'Base Schedules'!$A$46:$AW$77,39,FALSE)),"")</f>
        <v>HL B2</v>
      </c>
      <c r="AO33" s="184" t="str">
        <f>IFERROR(IF(VLOOKUP(Sat_W1[[#This Row],[Employee Name]],'Base Schedules'!$A$46:$AW$77,40,FALSE)="","",VLOOKUP(Sat_W1[[#This Row],[Employee Name]],'Base Schedules'!$A$46:$AW$77,40,FALSE)),"")</f>
        <v>ADM</v>
      </c>
      <c r="AP33" s="184" t="str">
        <f>IFERROR(IF(VLOOKUP(Sat_W1[[#This Row],[Employee Name]],'Base Schedules'!$A$46:$AW$77,41,FALSE)="","",VLOOKUP(Sat_W1[[#This Row],[Employee Name]],'Base Schedules'!$A$46:$AW$77,41,FALSE)),"")</f>
        <v>ADM</v>
      </c>
      <c r="AQ33" s="184" t="str">
        <f>IFERROR(IF(VLOOKUP(Sat_W1[[#This Row],[Employee Name]],'Base Schedules'!$A$46:$AW$77,42,FALSE)="","",VLOOKUP(Sat_W1[[#This Row],[Employee Name]],'Base Schedules'!$A$46:$AW$77,42,FALSE)),"")</f>
        <v>ADM</v>
      </c>
      <c r="AR33" s="184" t="str">
        <f>IFERROR(IF(VLOOKUP(Sat_W1[[#This Row],[Employee Name]],'Base Schedules'!$A$46:$AW$77,43,FALSE)="","",VLOOKUP(Sat_W1[[#This Row],[Employee Name]],'Base Schedules'!$A$46:$AW$77,43,FALSE)),"")</f>
        <v/>
      </c>
      <c r="AS33" s="184" t="str">
        <f>IFERROR(IF(VLOOKUP(Sat_W1[[#This Row],[Employee Name]],'Base Schedules'!$A$46:$AW$77,44,FALSE)="","",VLOOKUP(Sat_W1[[#This Row],[Employee Name]],'Base Schedules'!$A$46:$AW$77,44,FALSE)),"")</f>
        <v/>
      </c>
      <c r="AT33" s="184" t="str">
        <f>IFERROR(IF(VLOOKUP(Sat_W1[[#This Row],[Employee Name]],'Base Schedules'!$A$46:$AW$77,45,FALSE)="","",VLOOKUP(Sat_W1[[#This Row],[Employee Name]],'Base Schedules'!$A$46:$AW$77,45,FALSE)),"")</f>
        <v/>
      </c>
      <c r="AU33" s="184" t="str">
        <f>IFERROR(IF(VLOOKUP(Sat_W1[[#This Row],[Employee Name]],'Base Schedules'!$A$46:$AW$77,46,FALSE)="","",VLOOKUP(Sat_W1[[#This Row],[Employee Name]],'Base Schedules'!$A$46:$AW$77,46,FALSE)),"")</f>
        <v/>
      </c>
      <c r="AV33" s="184" t="str">
        <f>IFERROR(IF(VLOOKUP(Sat_W1[[#This Row],[Employee Name]],'Base Schedules'!$A$46:$AW$77,47,FALSE)="","",VLOOKUP(Sat_W1[[#This Row],[Employee Name]],'Base Schedules'!$A$46:$AW$77,47,FALSE)),"")</f>
        <v/>
      </c>
      <c r="AW33" s="184" t="str">
        <f>IFERROR(IF(VLOOKUP(Sat_W1[[#This Row],[Employee Name]],'Base Schedules'!$A$46:$AW$77,48,FALSE)="","",VLOOKUP(Sat_W1[[#This Row],[Employee Name]],'Base Schedules'!$A$46:$AW$77,48,FALSE)),"")</f>
        <v/>
      </c>
      <c r="AX33" s="184" t="str">
        <f>IFERROR(IF(VLOOKUP(Sat_W1[[#This Row],[Employee Name]],'Base Schedules'!$A$46:$AW$77,49,FALSE)="","",VLOOKUP(Sat_W1[[#This Row],[Employee Name]],'Base Schedules'!$A$46:$AW$77,49,FALSE)),"")</f>
        <v/>
      </c>
      <c r="AY33" s="159" t="str">
        <f t="shared" si="2"/>
        <v>Harris, Austin</v>
      </c>
    </row>
    <row r="34" spans="1:51" s="44" customFormat="1" ht="12" customHeight="1" x14ac:dyDescent="0.2">
      <c r="A34" s="39" t="str">
        <f>IF(B34="","",INDEX(TeamList[],MATCH($B34,TeamList[[Employee Name]:[Employee Name]],0),MATCH("Manager",TeamList[#Headers],0)))</f>
        <v>Olson, Katherine</v>
      </c>
      <c r="B34" s="201" t="s">
        <v>45</v>
      </c>
      <c r="C34" s="257" t="str">
        <f>_xlfn.IFNA(VLOOKUP(Sat_W1[[#This Row],[Employee Name]],'Base Schedules'!A:B,2,FALSE),"")</f>
        <v>Supervisor</v>
      </c>
      <c r="D34" s="274">
        <f>_xlfn.IFNA(VLOOKUP(Sat_W1[[#This Row],[Employee Name]],'Base Schedules'!A:C,3,FALSE),"")</f>
        <v>1400</v>
      </c>
      <c r="E34" s="274">
        <f>_xlfn.IFNA(VLOOKUP(Sat_W1[[#This Row],[Employee Name]],'Base Schedules'!A:D,4,FALSE),"")</f>
        <v>100</v>
      </c>
      <c r="F34" s="142">
        <f>IF(Sat_W1[[#This Row],[Employee Name]]="","",IF(Sat_W1[[#This Row],[Dept]]="Supervisor",COUNTIFS($J34:$AX34,"*HL*",$J34:$AX34,"&lt;&gt;"&amp;"pHL"),COUNTIFS($J34:$AX34,"*HL*",$J34:$AX34,"&lt;&gt;"&amp;"*pHL*",$J34:$AX34,"&lt;&gt;"&amp;"pB1 HL",$J34:$AX34,"&lt;&gt;"&amp;"pB2 HL")-SUM(COUNTIFS($J34:$AX34,"*HL B1*",$J34:$AX34,"&lt;&gt;"&amp;"pHL B1")*0.5,COUNTIFS($J34:$AX34,"*HL B2*",$J34:$AX34,"&lt;&gt;"&amp;"pHL B2")*0.5,COUNTIFS($J34:$AX34,"*B1 HL*",$J34:$AX34,"&lt;&gt;"&amp;"pB1 HL")*0.5,COUNTIFS($J34:$AX34,"*B2 HL*",$J34:$AX34,"&lt;&gt;"&amp;"pB2 HL")*0.5)))</f>
        <v>0</v>
      </c>
      <c r="G34" s="142">
        <f t="shared" si="3"/>
        <v>5</v>
      </c>
      <c r="H34" s="142">
        <f t="shared" si="1"/>
        <v>0</v>
      </c>
      <c r="I34" s="142">
        <f>IF(Sat_W1[[#This Row],[Employee Name]]="","",IF(Sat_W1[[#This Row],[Dept]]="Supervisor",SUM(COUNTIFS($J34:$AX34,"RTA*",$J34:$AX34,"&lt;&gt;"&amp;"pRTA"),COUNTIFS($J34:$AX34,"*CRTA*",$J34:$AX34,"&lt;&gt;"&amp;"pCRTA")),COUNTIFS($J34:$AX34,"*RNNR*",$J34:$AX34,"&lt;&gt;"&amp;"*pRNNR*",$J34:$AX34,"&lt;&gt;"&amp;"pB1 RNNR",$J34:$AX34,"&lt;&gt;"&amp;"pB2 RNNR")-SUM(COUNTIFS($J34:$AX34,"*RNNR B1*",$J34:$AX34,"&lt;&gt;"&amp;"pRNNR B1")*0.5,COUNTIFS($J34:$AX34,"*RNNR B2*",$J34:$AX34,"&lt;&gt;"&amp;"pRNNR B2")*0.5,COUNTIFS($J34:$AX34,"*B1 RNNR*",$J34:$AX34,"&lt;&gt;"&amp;"pB1 RNNR")*0.5,COUNTIFS($J34:$AX34,"*B2 RNNR*",$J34:$AX34,"&lt;&gt;"&amp;"pB2 RNNR")*0.5)))</f>
        <v>0</v>
      </c>
      <c r="J34" s="184" t="str">
        <f>IFERROR(IF(VLOOKUP(Sat_W1[[#This Row],[Employee Name]],'Base Schedules'!$A$46:$AW$77,9,FALSE)="","",VLOOKUP(Sat_W1[[#This Row],[Employee Name]],'Base Schedules'!$A$46:$AW$77,9,FALSE)),"")</f>
        <v/>
      </c>
      <c r="K34" s="184" t="str">
        <f>IFERROR(IF(VLOOKUP(Sat_W1[[#This Row],[Employee Name]],'Base Schedules'!$A$46:$AW$77,10,FALSE)="","",VLOOKUP(Sat_W1[[#This Row],[Employee Name]],'Base Schedules'!$A$46:$AW$77,10,FALSE)),"")</f>
        <v/>
      </c>
      <c r="L34" s="184" t="str">
        <f>IFERROR(IF(VLOOKUP(Sat_W1[[#This Row],[Employee Name]],'Base Schedules'!$A$46:$AW$77,11,FALSE)="","",VLOOKUP(Sat_W1[[#This Row],[Employee Name]],'Base Schedules'!$A$46:$AW$77,11,FALSE)),"")</f>
        <v/>
      </c>
      <c r="M34" s="184" t="str">
        <f>IFERROR(IF(VLOOKUP(Sat_W1[[#This Row],[Employee Name]],'Base Schedules'!$A$46:$AW$77,12,FALSE)="","",VLOOKUP(Sat_W1[[#This Row],[Employee Name]],'Base Schedules'!$A$46:$AW$77,12,FALSE)),"")</f>
        <v/>
      </c>
      <c r="N34" s="184" t="str">
        <f>IFERROR(IF(VLOOKUP(Sat_W1[[#This Row],[Employee Name]],'Base Schedules'!$A$46:$AW$77,13,FALSE)="","",VLOOKUP(Sat_W1[[#This Row],[Employee Name]],'Base Schedules'!$A$46:$AW$77,13,FALSE)),"")</f>
        <v/>
      </c>
      <c r="O34" s="184" t="str">
        <f>IFERROR(IF(VLOOKUP(Sat_W1[[#This Row],[Employee Name]],'Base Schedules'!$A$46:$AW$77,14,FALSE)="","",VLOOKUP(Sat_W1[[#This Row],[Employee Name]],'Base Schedules'!$A$46:$AW$77,14,FALSE)),"")</f>
        <v/>
      </c>
      <c r="P34" s="184" t="str">
        <f>IFERROR(IF(VLOOKUP(Sat_W1[[#This Row],[Employee Name]],'Base Schedules'!$A$46:$AW$77,15,FALSE)="","",VLOOKUP(Sat_W1[[#This Row],[Employee Name]],'Base Schedules'!$A$46:$AW$77,15,FALSE)),"")</f>
        <v/>
      </c>
      <c r="Q34" s="184" t="str">
        <f>IFERROR(IF(VLOOKUP(Sat_W1[[#This Row],[Employee Name]],'Base Schedules'!$A$46:$AW$77,16,FALSE)="","",VLOOKUP(Sat_W1[[#This Row],[Employee Name]],'Base Schedules'!$A$46:$AW$77,16,FALSE)),"")</f>
        <v/>
      </c>
      <c r="R34" s="184" t="str">
        <f>IFERROR(IF(VLOOKUP(Sat_W1[[#This Row],[Employee Name]],'Base Schedules'!$A$46:$AW$77,17,FALSE)="","",VLOOKUP(Sat_W1[[#This Row],[Employee Name]],'Base Schedules'!$A$46:$AW$77,17,FALSE)),"")</f>
        <v/>
      </c>
      <c r="S34" s="184" t="str">
        <f>IFERROR(IF(VLOOKUP(Sat_W1[[#This Row],[Employee Name]],'Base Schedules'!$A$46:$AW$77,18,FALSE)="","",VLOOKUP(Sat_W1[[#This Row],[Employee Name]],'Base Schedules'!$A$46:$AW$77,18,FALSE)),"")</f>
        <v/>
      </c>
      <c r="T34" s="184" t="str">
        <f>IFERROR(IF(VLOOKUP(Sat_W1[[#This Row],[Employee Name]],'Base Schedules'!$A$46:$AW$77,19,FALSE)="","",VLOOKUP(Sat_W1[[#This Row],[Employee Name]],'Base Schedules'!$A$46:$AW$77,19,FALSE)),"")</f>
        <v/>
      </c>
      <c r="U34" s="184" t="str">
        <f>IFERROR(IF(VLOOKUP(Sat_W1[[#This Row],[Employee Name]],'Base Schedules'!$A$46:$AW$77,20,FALSE)="","",VLOOKUP(Sat_W1[[#This Row],[Employee Name]],'Base Schedules'!$A$46:$AW$77,20,FALSE)),"")</f>
        <v/>
      </c>
      <c r="V34" s="184" t="str">
        <f>IFERROR(IF(VLOOKUP(Sat_W1[[#This Row],[Employee Name]],'Base Schedules'!$A$46:$AW$77,21,FALSE)="","",VLOOKUP(Sat_W1[[#This Row],[Employee Name]],'Base Schedules'!$A$46:$AW$77,21,FALSE)),"")</f>
        <v/>
      </c>
      <c r="W34" s="184" t="str">
        <f>IFERROR(IF(VLOOKUP(Sat_W1[[#This Row],[Employee Name]],'Base Schedules'!$A$46:$AW$77,22,FALSE)="","",VLOOKUP(Sat_W1[[#This Row],[Employee Name]],'Base Schedules'!$A$46:$AW$77,22,FALSE)),"")</f>
        <v/>
      </c>
      <c r="X34" s="184" t="str">
        <f>IFERROR(IF(VLOOKUP(Sat_W1[[#This Row],[Employee Name]],'Base Schedules'!$A$46:$AW$77,23,FALSE)="","",VLOOKUP(Sat_W1[[#This Row],[Employee Name]],'Base Schedules'!$A$46:$AW$77,23,FALSE)),"")</f>
        <v/>
      </c>
      <c r="Y34" s="184" t="str">
        <f>IFERROR(IF(VLOOKUP(Sat_W1[[#This Row],[Employee Name]],'Base Schedules'!$A$46:$AW$77,24,FALSE)="","",VLOOKUP(Sat_W1[[#This Row],[Employee Name]],'Base Schedules'!$A$46:$AW$77,24,FALSE)),"")</f>
        <v/>
      </c>
      <c r="Z34" s="184" t="str">
        <f>IFERROR(IF(VLOOKUP(Sat_W1[[#This Row],[Employee Name]],'Base Schedules'!$A$46:$AW$77,25,FALSE)="","",VLOOKUP(Sat_W1[[#This Row],[Employee Name]],'Base Schedules'!$A$46:$AW$77,25,FALSE)),"")</f>
        <v/>
      </c>
      <c r="AA34" s="184" t="str">
        <f>IFERROR(IF(VLOOKUP(Sat_W1[[#This Row],[Employee Name]],'Base Schedules'!$A$46:$AW$77,26,FALSE)="","",VLOOKUP(Sat_W1[[#This Row],[Employee Name]],'Base Schedules'!$A$46:$AW$77,26,FALSE)),"")</f>
        <v/>
      </c>
      <c r="AB34" s="184" t="str">
        <f>IFERROR(IF(VLOOKUP(Sat_W1[[#This Row],[Employee Name]],'Base Schedules'!$A$46:$AW$77,27,FALSE)="","",VLOOKUP(Sat_W1[[#This Row],[Employee Name]],'Base Schedules'!$A$46:$AW$77,27,FALSE)),"")</f>
        <v>-</v>
      </c>
      <c r="AC34" s="184" t="str">
        <f>IFERROR(IF(VLOOKUP(Sat_W1[[#This Row],[Employee Name]],'Base Schedules'!$A$46:$AW$77,28,FALSE)="","",VLOOKUP(Sat_W1[[#This Row],[Employee Name]],'Base Schedules'!$A$46:$AW$77,28,FALSE)),"")</f>
        <v>-</v>
      </c>
      <c r="AD34" s="184" t="str">
        <f>IFERROR(IF(VLOOKUP(Sat_W1[[#This Row],[Employee Name]],'Base Schedules'!$A$46:$AW$77,29,FALSE)="","",VLOOKUP(Sat_W1[[#This Row],[Employee Name]],'Base Schedules'!$A$46:$AW$77,29,FALSE)),"")</f>
        <v>Coaching</v>
      </c>
      <c r="AE34" s="184" t="str">
        <f>IFERROR(IF(VLOOKUP(Sat_W1[[#This Row],[Employee Name]],'Base Schedules'!$A$46:$AW$77,30,FALSE)="","",VLOOKUP(Sat_W1[[#This Row],[Employee Name]],'Base Schedules'!$A$46:$AW$77,30,FALSE)),"")</f>
        <v>Coaching</v>
      </c>
      <c r="AF34" s="184" t="str">
        <f>IFERROR(IF(VLOOKUP(Sat_W1[[#This Row],[Employee Name]],'Base Schedules'!$A$46:$AW$77,31,FALSE)="","",VLOOKUP(Sat_W1[[#This Row],[Employee Name]],'Base Schedules'!$A$46:$AW$77,31,FALSE)),"")</f>
        <v>Interview</v>
      </c>
      <c r="AG34" s="184" t="str">
        <f>IFERROR(IF(VLOOKUP(Sat_W1[[#This Row],[Employee Name]],'Base Schedules'!$A$46:$AW$77,32,FALSE)="","",VLOOKUP(Sat_W1[[#This Row],[Employee Name]],'Base Schedules'!$A$46:$AW$77,32,FALSE)),"")</f>
        <v>Interview</v>
      </c>
      <c r="AH34" s="184" t="str">
        <f>IFERROR(IF(VLOOKUP(Sat_W1[[#This Row],[Employee Name]],'Base Schedules'!$A$46:$AW$77,33,FALSE)="","",VLOOKUP(Sat_W1[[#This Row],[Employee Name]],'Base Schedules'!$A$46:$AW$77,33,FALSE)),"")</f>
        <v>-</v>
      </c>
      <c r="AI34" s="184" t="str">
        <f>IFERROR(IF(VLOOKUP(Sat_W1[[#This Row],[Employee Name]],'Base Schedules'!$A$46:$AW$77,34,FALSE)="","",VLOOKUP(Sat_W1[[#This Row],[Employee Name]],'Base Schedules'!$A$46:$AW$77,34,FALSE)),"")</f>
        <v>TM PREP</v>
      </c>
      <c r="AJ34" s="184" t="str">
        <f>IFERROR(IF(VLOOKUP(Sat_W1[[#This Row],[Employee Name]],'Base Schedules'!$A$46:$AW$77,35,FALSE)="","",VLOOKUP(Sat_W1[[#This Row],[Employee Name]],'Base Schedules'!$A$46:$AW$77,35,FALSE)),"")</f>
        <v>N MCLEAN TM</v>
      </c>
      <c r="AK34" s="184" t="str">
        <f>IFERROR(IF(VLOOKUP(Sat_W1[[#This Row],[Employee Name]],'Base Schedules'!$A$46:$AW$77,36,FALSE)="","",VLOOKUP(Sat_W1[[#This Row],[Employee Name]],'Base Schedules'!$A$46:$AW$77,36,FALSE)),"")</f>
        <v>N MCLEAN TM</v>
      </c>
      <c r="AL34" s="184" t="str">
        <f>IFERROR(IF(VLOOKUP(Sat_W1[[#This Row],[Employee Name]],'Base Schedules'!$A$46:$AW$77,37,FALSE)="","",VLOOKUP(Sat_W1[[#This Row],[Employee Name]],'Base Schedules'!$A$46:$AW$77,37,FALSE)),"")</f>
        <v>-</v>
      </c>
      <c r="AM34" s="184" t="str">
        <f>IFERROR(IF(VLOOKUP(Sat_W1[[#This Row],[Employee Name]],'Base Schedules'!$A$46:$AW$77,38,FALSE)="","",VLOOKUP(Sat_W1[[#This Row],[Employee Name]],'Base Schedules'!$A$46:$AW$77,38,FALSE)),"")</f>
        <v>-</v>
      </c>
      <c r="AN34" s="184" t="str">
        <f>IFERROR(IF(VLOOKUP(Sat_W1[[#This Row],[Employee Name]],'Base Schedules'!$A$46:$AW$77,39,FALSE)="","",VLOOKUP(Sat_W1[[#This Row],[Employee Name]],'Base Schedules'!$A$46:$AW$77,39,FALSE)),"")</f>
        <v>Coaching</v>
      </c>
      <c r="AO34" s="184" t="str">
        <f>IFERROR(IF(VLOOKUP(Sat_W1[[#This Row],[Employee Name]],'Base Schedules'!$A$46:$AW$77,40,FALSE)="","",VLOOKUP(Sat_W1[[#This Row],[Employee Name]],'Base Schedules'!$A$46:$AW$77,40,FALSE)),"")</f>
        <v>Coaching</v>
      </c>
      <c r="AP34" s="184" t="str">
        <f>IFERROR(IF(VLOOKUP(Sat_W1[[#This Row],[Employee Name]],'Base Schedules'!$A$46:$AW$77,41,FALSE)="","",VLOOKUP(Sat_W1[[#This Row],[Employee Name]],'Base Schedules'!$A$46:$AW$77,41,FALSE)),"")</f>
        <v>Coaching</v>
      </c>
      <c r="AQ34" s="184" t="str">
        <f>IFERROR(IF(VLOOKUP(Sat_W1[[#This Row],[Employee Name]],'Base Schedules'!$A$46:$AW$77,42,FALSE)="","",VLOOKUP(Sat_W1[[#This Row],[Employee Name]],'Base Schedules'!$A$46:$AW$77,42,FALSE)),"")</f>
        <v>-</v>
      </c>
      <c r="AR34" s="184" t="str">
        <f>IFERROR(IF(VLOOKUP(Sat_W1[[#This Row],[Employee Name]],'Base Schedules'!$A$46:$AW$77,43,FALSE)="","",VLOOKUP(Sat_W1[[#This Row],[Employee Name]],'Base Schedules'!$A$46:$AW$77,43,FALSE)),"")</f>
        <v>-</v>
      </c>
      <c r="AS34" s="184" t="str">
        <f>IFERROR(IF(VLOOKUP(Sat_W1[[#This Row],[Employee Name]],'Base Schedules'!$A$46:$AW$77,44,FALSE)="","",VLOOKUP(Sat_W1[[#This Row],[Employee Name]],'Base Schedules'!$A$46:$AW$77,44,FALSE)),"")</f>
        <v>-</v>
      </c>
      <c r="AT34" s="184" t="str">
        <f>IFERROR(IF(VLOOKUP(Sat_W1[[#This Row],[Employee Name]],'Base Schedules'!$A$46:$AW$77,45,FALSE)="","",VLOOKUP(Sat_W1[[#This Row],[Employee Name]],'Base Schedules'!$A$46:$AW$77,45,FALSE)),"")</f>
        <v>-</v>
      </c>
      <c r="AU34" s="184" t="str">
        <f>IFERROR(IF(VLOOKUP(Sat_W1[[#This Row],[Employee Name]],'Base Schedules'!$A$46:$AW$77,46,FALSE)="","",VLOOKUP(Sat_W1[[#This Row],[Employee Name]],'Base Schedules'!$A$46:$AW$77,46,FALSE)),"")</f>
        <v>-</v>
      </c>
      <c r="AV34" s="184" t="str">
        <f>IFERROR(IF(VLOOKUP(Sat_W1[[#This Row],[Employee Name]],'Base Schedules'!$A$46:$AW$77,47,FALSE)="","",VLOOKUP(Sat_W1[[#This Row],[Employee Name]],'Base Schedules'!$A$46:$AW$77,47,FALSE)),"")</f>
        <v>-</v>
      </c>
      <c r="AW34" s="184" t="str">
        <f>IFERROR(IF(VLOOKUP(Sat_W1[[#This Row],[Employee Name]],'Base Schedules'!$A$46:$AW$77,48,FALSE)="","",VLOOKUP(Sat_W1[[#This Row],[Employee Name]],'Base Schedules'!$A$46:$AW$77,48,FALSE)),"")</f>
        <v>-</v>
      </c>
      <c r="AX34" s="184" t="str">
        <f>IFERROR(IF(VLOOKUP(Sat_W1[[#This Row],[Employee Name]],'Base Schedules'!$A$46:$AW$77,49,FALSE)="","",VLOOKUP(Sat_W1[[#This Row],[Employee Name]],'Base Schedules'!$A$46:$AW$77,49,FALSE)),"")</f>
        <v/>
      </c>
      <c r="AY34" s="160" t="str">
        <f t="shared" si="2"/>
        <v>McLean, Neva</v>
      </c>
    </row>
    <row r="35" spans="1:51" s="44" customFormat="1" ht="12" customHeight="1" x14ac:dyDescent="0.2">
      <c r="A35" s="39" t="str">
        <f>IF(B35="","",INDEX(TeamList[],MATCH($B35,TeamList[[Employee Name]:[Employee Name]],0),MATCH("Manager",TeamList[#Headers],0)))</f>
        <v>Olson, Katherine</v>
      </c>
      <c r="B35" s="201" t="s">
        <v>235</v>
      </c>
      <c r="C35" s="257" t="str">
        <f>_xlfn.IFNA(VLOOKUP(Sat_W1[[#This Row],[Employee Name]],'Base Schedules'!A:B,2,FALSE),"")</f>
        <v>Lead</v>
      </c>
      <c r="D35" s="274">
        <f>_xlfn.IFNA(VLOOKUP(Sat_W1[[#This Row],[Employee Name]],'Base Schedules'!A:C,3,FALSE),"")</f>
        <v>1530</v>
      </c>
      <c r="E35" s="274">
        <f>_xlfn.IFNA(VLOOKUP(Sat_W1[[#This Row],[Employee Name]],'Base Schedules'!A:D,4,FALSE),"")</f>
        <v>0</v>
      </c>
      <c r="F35" s="142">
        <f>IF(Sat_W1[[#This Row],[Employee Name]]="","",IF(Sat_W1[[#This Row],[Dept]]="Supervisor",COUNTIFS($J35:$AX35,"*HL*",$J35:$AX35,"&lt;&gt;"&amp;"pHL"),COUNTIFS($J35:$AX35,"*HL*",$J35:$AX35,"&lt;&gt;"&amp;"*pHL*",$J35:$AX35,"&lt;&gt;"&amp;"pB1 HL",$J35:$AX35,"&lt;&gt;"&amp;"pB2 HL")-SUM(COUNTIFS($J35:$AX35,"*HL B1*",$J35:$AX35,"&lt;&gt;"&amp;"pHL B1")*0.5,COUNTIFS($J35:$AX35,"*HL B2*",$J35:$AX35,"&lt;&gt;"&amp;"pHL B2")*0.5,COUNTIFS($J35:$AX35,"*B1 HL*",$J35:$AX35,"&lt;&gt;"&amp;"pB1 HL")*0.5,COUNTIFS($J35:$AX35,"*B2 HL*",$J35:$AX35,"&lt;&gt;"&amp;"pB2 HL")*0.5)))</f>
        <v>7.5</v>
      </c>
      <c r="G35" s="142">
        <f t="shared" si="3"/>
        <v>0</v>
      </c>
      <c r="H35" s="142">
        <f t="shared" si="1"/>
        <v>8</v>
      </c>
      <c r="I35" s="142">
        <f>IF(Sat_W1[[#This Row],[Employee Name]]="","",IF(Sat_W1[[#This Row],[Dept]]="Supervisor",SUM(COUNTIFS($J35:$AX35,"RTA*",$J35:$AX35,"&lt;&gt;"&amp;"pRTA"),COUNTIFS($J35:$AX35,"*CRTA*",$J35:$AX35,"&lt;&gt;"&amp;"pCRTA")),COUNTIFS($J35:$AX35,"*RNNR*",$J35:$AX35,"&lt;&gt;"&amp;"*pRNNR*",$J35:$AX35,"&lt;&gt;"&amp;"pB1 RNNR",$J35:$AX35,"&lt;&gt;"&amp;"pB2 RNNR")-SUM(COUNTIFS($J35:$AX35,"*RNNR B1*",$J35:$AX35,"&lt;&gt;"&amp;"pRNNR B1")*0.5,COUNTIFS($J35:$AX35,"*RNNR B2*",$J35:$AX35,"&lt;&gt;"&amp;"pRNNR B2")*0.5,COUNTIFS($J35:$AX35,"*B1 RNNR*",$J35:$AX35,"&lt;&gt;"&amp;"pB1 RNNR")*0.5,COUNTIFS($J35:$AX35,"*B2 RNNR*",$J35:$AX35,"&lt;&gt;"&amp;"pB2 RNNR")*0.5)))</f>
        <v>0</v>
      </c>
      <c r="J35" s="184" t="str">
        <f>IFERROR(IF(VLOOKUP(Sat_W1[[#This Row],[Employee Name]],'Base Schedules'!$A$46:$AW$77,9,FALSE)="","",VLOOKUP(Sat_W1[[#This Row],[Employee Name]],'Base Schedules'!$A$46:$AW$77,9,FALSE)),"")</f>
        <v/>
      </c>
      <c r="K35" s="184" t="str">
        <f>IFERROR(IF(VLOOKUP(Sat_W1[[#This Row],[Employee Name]],'Base Schedules'!$A$46:$AW$77,10,FALSE)="","",VLOOKUP(Sat_W1[[#This Row],[Employee Name]],'Base Schedules'!$A$46:$AW$77,10,FALSE)),"")</f>
        <v/>
      </c>
      <c r="L35" s="184" t="str">
        <f>IFERROR(IF(VLOOKUP(Sat_W1[[#This Row],[Employee Name]],'Base Schedules'!$A$46:$AW$77,11,FALSE)="","",VLOOKUP(Sat_W1[[#This Row],[Employee Name]],'Base Schedules'!$A$46:$AW$77,11,FALSE)),"")</f>
        <v/>
      </c>
      <c r="M35" s="184" t="str">
        <f>IFERROR(IF(VLOOKUP(Sat_W1[[#This Row],[Employee Name]],'Base Schedules'!$A$46:$AW$77,12,FALSE)="","",VLOOKUP(Sat_W1[[#This Row],[Employee Name]],'Base Schedules'!$A$46:$AW$77,12,FALSE)),"")</f>
        <v/>
      </c>
      <c r="N35" s="184" t="str">
        <f>IFERROR(IF(VLOOKUP(Sat_W1[[#This Row],[Employee Name]],'Base Schedules'!$A$46:$AW$77,13,FALSE)="","",VLOOKUP(Sat_W1[[#This Row],[Employee Name]],'Base Schedules'!$A$46:$AW$77,13,FALSE)),"")</f>
        <v/>
      </c>
      <c r="O35" s="184" t="str">
        <f>IFERROR(IF(VLOOKUP(Sat_W1[[#This Row],[Employee Name]],'Base Schedules'!$A$46:$AW$77,14,FALSE)="","",VLOOKUP(Sat_W1[[#This Row],[Employee Name]],'Base Schedules'!$A$46:$AW$77,14,FALSE)),"")</f>
        <v/>
      </c>
      <c r="P35" s="184" t="str">
        <f>IFERROR(IF(VLOOKUP(Sat_W1[[#This Row],[Employee Name]],'Base Schedules'!$A$46:$AW$77,15,FALSE)="","",VLOOKUP(Sat_W1[[#This Row],[Employee Name]],'Base Schedules'!$A$46:$AW$77,15,FALSE)),"")</f>
        <v/>
      </c>
      <c r="Q35" s="184" t="str">
        <f>IFERROR(IF(VLOOKUP(Sat_W1[[#This Row],[Employee Name]],'Base Schedules'!$A$46:$AW$77,16,FALSE)="","",VLOOKUP(Sat_W1[[#This Row],[Employee Name]],'Base Schedules'!$A$46:$AW$77,16,FALSE)),"")</f>
        <v/>
      </c>
      <c r="R35" s="184" t="str">
        <f>IFERROR(IF(VLOOKUP(Sat_W1[[#This Row],[Employee Name]],'Base Schedules'!$A$46:$AW$77,17,FALSE)="","",VLOOKUP(Sat_W1[[#This Row],[Employee Name]],'Base Schedules'!$A$46:$AW$77,17,FALSE)),"")</f>
        <v/>
      </c>
      <c r="S35" s="184" t="str">
        <f>IFERROR(IF(VLOOKUP(Sat_W1[[#This Row],[Employee Name]],'Base Schedules'!$A$46:$AW$77,18,FALSE)="","",VLOOKUP(Sat_W1[[#This Row],[Employee Name]],'Base Schedules'!$A$46:$AW$77,18,FALSE)),"")</f>
        <v/>
      </c>
      <c r="T35" s="184" t="str">
        <f>IFERROR(IF(VLOOKUP(Sat_W1[[#This Row],[Employee Name]],'Base Schedules'!$A$46:$AW$77,19,FALSE)="","",VLOOKUP(Sat_W1[[#This Row],[Employee Name]],'Base Schedules'!$A$46:$AW$77,19,FALSE)),"")</f>
        <v/>
      </c>
      <c r="U35" s="184" t="str">
        <f>IFERROR(IF(VLOOKUP(Sat_W1[[#This Row],[Employee Name]],'Base Schedules'!$A$46:$AW$77,20,FALSE)="","",VLOOKUP(Sat_W1[[#This Row],[Employee Name]],'Base Schedules'!$A$46:$AW$77,20,FALSE)),"")</f>
        <v/>
      </c>
      <c r="V35" s="184" t="str">
        <f>IFERROR(IF(VLOOKUP(Sat_W1[[#This Row],[Employee Name]],'Base Schedules'!$A$46:$AW$77,21,FALSE)="","",VLOOKUP(Sat_W1[[#This Row],[Employee Name]],'Base Schedules'!$A$46:$AW$77,21,FALSE)),"")</f>
        <v/>
      </c>
      <c r="W35" s="184" t="str">
        <f>IFERROR(IF(VLOOKUP(Sat_W1[[#This Row],[Employee Name]],'Base Schedules'!$A$46:$AW$77,22,FALSE)="","",VLOOKUP(Sat_W1[[#This Row],[Employee Name]],'Base Schedules'!$A$46:$AW$77,22,FALSE)),"")</f>
        <v/>
      </c>
      <c r="X35" s="184" t="str">
        <f>IFERROR(IF(VLOOKUP(Sat_W1[[#This Row],[Employee Name]],'Base Schedules'!$A$46:$AW$77,23,FALSE)="","",VLOOKUP(Sat_W1[[#This Row],[Employee Name]],'Base Schedules'!$A$46:$AW$77,23,FALSE)),"")</f>
        <v/>
      </c>
      <c r="Y35" s="184" t="str">
        <f>IFERROR(IF(VLOOKUP(Sat_W1[[#This Row],[Employee Name]],'Base Schedules'!$A$46:$AW$77,24,FALSE)="","",VLOOKUP(Sat_W1[[#This Row],[Employee Name]],'Base Schedules'!$A$46:$AW$77,24,FALSE)),"")</f>
        <v/>
      </c>
      <c r="Z35" s="184" t="str">
        <f>IFERROR(IF(VLOOKUP(Sat_W1[[#This Row],[Employee Name]],'Base Schedules'!$A$46:$AW$77,25,FALSE)="","",VLOOKUP(Sat_W1[[#This Row],[Employee Name]],'Base Schedules'!$A$46:$AW$77,25,FALSE)),"")</f>
        <v/>
      </c>
      <c r="AA35" s="184" t="str">
        <f>IFERROR(IF(VLOOKUP(Sat_W1[[#This Row],[Employee Name]],'Base Schedules'!$A$46:$AW$77,26,FALSE)="","",VLOOKUP(Sat_W1[[#This Row],[Employee Name]],'Base Schedules'!$A$46:$AW$77,26,FALSE)),"")</f>
        <v/>
      </c>
      <c r="AB35" s="184" t="str">
        <f>IFERROR(IF(VLOOKUP(Sat_W1[[#This Row],[Employee Name]],'Base Schedules'!$A$46:$AW$77,27,FALSE)="","",VLOOKUP(Sat_W1[[#This Row],[Employee Name]],'Base Schedules'!$A$46:$AW$77,27,FALSE)),"")</f>
        <v/>
      </c>
      <c r="AC35" s="184" t="str">
        <f>IFERROR(IF(VLOOKUP(Sat_W1[[#This Row],[Employee Name]],'Base Schedules'!$A$46:$AW$77,28,FALSE)="","",VLOOKUP(Sat_W1[[#This Row],[Employee Name]],'Base Schedules'!$A$46:$AW$77,28,FALSE)),"")</f>
        <v/>
      </c>
      <c r="AD35" s="184" t="str">
        <f>IFERROR(IF(VLOOKUP(Sat_W1[[#This Row],[Employee Name]],'Base Schedules'!$A$46:$AW$77,29,FALSE)="","",VLOOKUP(Sat_W1[[#This Row],[Employee Name]],'Base Schedules'!$A$46:$AW$77,29,FALSE)),"")</f>
        <v/>
      </c>
      <c r="AE35" s="184" t="str">
        <f>IFERROR(IF(VLOOKUP(Sat_W1[[#This Row],[Employee Name]],'Base Schedules'!$A$46:$AW$77,30,FALSE)="","",VLOOKUP(Sat_W1[[#This Row],[Employee Name]],'Base Schedules'!$A$46:$AW$77,30,FALSE)),"")</f>
        <v>ADM</v>
      </c>
      <c r="AF35" s="184" t="str">
        <f>IFERROR(IF(VLOOKUP(Sat_W1[[#This Row],[Employee Name]],'Base Schedules'!$A$46:$AW$77,31,FALSE)="","",VLOOKUP(Sat_W1[[#This Row],[Employee Name]],'Base Schedules'!$A$46:$AW$77,31,FALSE)),"")</f>
        <v>ADM</v>
      </c>
      <c r="AG35" s="184" t="str">
        <f>IFERROR(IF(VLOOKUP(Sat_W1[[#This Row],[Employee Name]],'Base Schedules'!$A$46:$AW$77,32,FALSE)="","",VLOOKUP(Sat_W1[[#This Row],[Employee Name]],'Base Schedules'!$A$46:$AW$77,32,FALSE)),"")</f>
        <v>ADM</v>
      </c>
      <c r="AH35" s="184" t="str">
        <f>IFERROR(IF(VLOOKUP(Sat_W1[[#This Row],[Employee Name]],'Base Schedules'!$A$46:$AW$77,33,FALSE)="","",VLOOKUP(Sat_W1[[#This Row],[Employee Name]],'Base Schedules'!$A$46:$AW$77,33,FALSE)),"")</f>
        <v>ADM</v>
      </c>
      <c r="AI35" s="184" t="str">
        <f>IFERROR(IF(VLOOKUP(Sat_W1[[#This Row],[Employee Name]],'Base Schedules'!$A$46:$AW$77,34,FALSE)="","",VLOOKUP(Sat_W1[[#This Row],[Employee Name]],'Base Schedules'!$A$46:$AW$77,34,FALSE)),"")</f>
        <v>B1 ADM</v>
      </c>
      <c r="AJ35" s="184" t="str">
        <f>IFERROR(IF(VLOOKUP(Sat_W1[[#This Row],[Employee Name]],'Base Schedules'!$A$46:$AW$77,35,FALSE)="","",VLOOKUP(Sat_W1[[#This Row],[Employee Name]],'Base Schedules'!$A$46:$AW$77,35,FALSE)),"")</f>
        <v>ADM</v>
      </c>
      <c r="AK35" s="184" t="str">
        <f>IFERROR(IF(VLOOKUP(Sat_W1[[#This Row],[Employee Name]],'Base Schedules'!$A$46:$AW$77,36,FALSE)="","",VLOOKUP(Sat_W1[[#This Row],[Employee Name]],'Base Schedules'!$A$46:$AW$77,36,FALSE)),"")</f>
        <v>HL</v>
      </c>
      <c r="AL35" s="184" t="str">
        <f>IFERROR(IF(VLOOKUP(Sat_W1[[#This Row],[Employee Name]],'Base Schedules'!$A$46:$AW$77,37,FALSE)="","",VLOOKUP(Sat_W1[[#This Row],[Employee Name]],'Base Schedules'!$A$46:$AW$77,37,FALSE)),"")</f>
        <v>HL</v>
      </c>
      <c r="AM35" s="184" t="str">
        <f>IFERROR(IF(VLOOKUP(Sat_W1[[#This Row],[Employee Name]],'Base Schedules'!$A$46:$AW$77,38,FALSE)="","",VLOOKUP(Sat_W1[[#This Row],[Employee Name]],'Base Schedules'!$A$46:$AW$77,38,FALSE)),"")</f>
        <v>LUNCH</v>
      </c>
      <c r="AN35" s="184" t="str">
        <f>IFERROR(IF(VLOOKUP(Sat_W1[[#This Row],[Employee Name]],'Base Schedules'!$A$46:$AW$77,39,FALSE)="","",VLOOKUP(Sat_W1[[#This Row],[Employee Name]],'Base Schedules'!$A$46:$AW$77,39,FALSE)),"")</f>
        <v>ADM</v>
      </c>
      <c r="AO35" s="184" t="str">
        <f>IFERROR(IF(VLOOKUP(Sat_W1[[#This Row],[Employee Name]],'Base Schedules'!$A$46:$AW$77,40,FALSE)="","",VLOOKUP(Sat_W1[[#This Row],[Employee Name]],'Base Schedules'!$A$46:$AW$77,40,FALSE)),"")</f>
        <v>ADM</v>
      </c>
      <c r="AP35" s="184" t="str">
        <f>IFERROR(IF(VLOOKUP(Sat_W1[[#This Row],[Employee Name]],'Base Schedules'!$A$46:$AW$77,41,FALSE)="","",VLOOKUP(Sat_W1[[#This Row],[Employee Name]],'Base Schedules'!$A$46:$AW$77,41,FALSE)),"")</f>
        <v>HL</v>
      </c>
      <c r="AQ35" s="184" t="str">
        <f>IFERROR(IF(VLOOKUP(Sat_W1[[#This Row],[Employee Name]],'Base Schedules'!$A$46:$AW$77,42,FALSE)="","",VLOOKUP(Sat_W1[[#This Row],[Employee Name]],'Base Schedules'!$A$46:$AW$77,42,FALSE)),"")</f>
        <v>HL</v>
      </c>
      <c r="AR35" s="184" t="str">
        <f>IFERROR(IF(VLOOKUP(Sat_W1[[#This Row],[Employee Name]],'Base Schedules'!$A$46:$AW$77,43,FALSE)="","",VLOOKUP(Sat_W1[[#This Row],[Employee Name]],'Base Schedules'!$A$46:$AW$77,43,FALSE)),"")</f>
        <v>HL B2</v>
      </c>
      <c r="AS35" s="184" t="str">
        <f>IFERROR(IF(VLOOKUP(Sat_W1[[#This Row],[Employee Name]],'Base Schedules'!$A$46:$AW$77,44,FALSE)="","",VLOOKUP(Sat_W1[[#This Row],[Employee Name]],'Base Schedules'!$A$46:$AW$77,44,FALSE)),"")</f>
        <v>HL</v>
      </c>
      <c r="AT35" s="184" t="str">
        <f>IFERROR(IF(VLOOKUP(Sat_W1[[#This Row],[Employee Name]],'Base Schedules'!$A$46:$AW$77,45,FALSE)="","",VLOOKUP(Sat_W1[[#This Row],[Employee Name]],'Base Schedules'!$A$46:$AW$77,45,FALSE)),"")</f>
        <v>HL</v>
      </c>
      <c r="AU35" s="184" t="str">
        <f>IFERROR(IF(VLOOKUP(Sat_W1[[#This Row],[Employee Name]],'Base Schedules'!$A$46:$AW$77,46,FALSE)="","",VLOOKUP(Sat_W1[[#This Row],[Employee Name]],'Base Schedules'!$A$46:$AW$77,46,FALSE)),"")</f>
        <v>HL</v>
      </c>
      <c r="AV35" s="184" t="str">
        <f>IFERROR(IF(VLOOKUP(Sat_W1[[#This Row],[Employee Name]],'Base Schedules'!$A$46:$AW$77,47,FALSE)="","",VLOOKUP(Sat_W1[[#This Row],[Employee Name]],'Base Schedules'!$A$46:$AW$77,47,FALSE)),"")</f>
        <v/>
      </c>
      <c r="AW35" s="184" t="str">
        <f>IFERROR(IF(VLOOKUP(Sat_W1[[#This Row],[Employee Name]],'Base Schedules'!$A$46:$AW$77,48,FALSE)="","",VLOOKUP(Sat_W1[[#This Row],[Employee Name]],'Base Schedules'!$A$46:$AW$77,48,FALSE)),"")</f>
        <v/>
      </c>
      <c r="AX35" s="184" t="str">
        <f>IFERROR(IF(VLOOKUP(Sat_W1[[#This Row],[Employee Name]],'Base Schedules'!$A$46:$AW$77,49,FALSE)="","",VLOOKUP(Sat_W1[[#This Row],[Employee Name]],'Base Schedules'!$A$46:$AW$77,49,FALSE)),"")</f>
        <v/>
      </c>
      <c r="AY35" s="262" t="str">
        <f t="shared" si="2"/>
        <v>Britton, Michael</v>
      </c>
    </row>
    <row r="36" spans="1:51" s="44" customFormat="1" ht="12" customHeight="1" thickBot="1" x14ac:dyDescent="0.25">
      <c r="A36" s="39" t="str">
        <f>IF(B36="","",INDEX(TeamList[],MATCH($B36,TeamList[[Employee Name]:[Employee Name]],0),MATCH("Manager",TeamList[#Headers],0)))</f>
        <v>Olson, Katherine</v>
      </c>
      <c r="B36" s="201" t="s">
        <v>232</v>
      </c>
      <c r="C36" s="257" t="str">
        <f>_xlfn.IFNA(VLOOKUP(Sat_W1[[#This Row],[Employee Name]],'Base Schedules'!A:B,2,FALSE),"")</f>
        <v>Lead</v>
      </c>
      <c r="D36" s="274">
        <f>_xlfn.IFNA(VLOOKUP(Sat_W1[[#This Row],[Employee Name]],'Base Schedules'!A:C,3,FALSE),"")</f>
        <v>1600</v>
      </c>
      <c r="E36" s="274">
        <f>_xlfn.IFNA(VLOOKUP(Sat_W1[[#This Row],[Employee Name]],'Base Schedules'!A:D,4,FALSE),"")</f>
        <v>100</v>
      </c>
      <c r="F36" s="142">
        <f>IF(Sat_W1[[#This Row],[Employee Name]]="","",IF(Sat_W1[[#This Row],[Dept]]="Supervisor",COUNTIFS($J36:$AX36,"*HL*",$J36:$AX36,"&lt;&gt;"&amp;"pHL"),COUNTIFS($J36:$AX36,"*HL*",$J36:$AX36,"&lt;&gt;"&amp;"*pHL*",$J36:$AX36,"&lt;&gt;"&amp;"pB1 HL",$J36:$AX36,"&lt;&gt;"&amp;"pB2 HL")-SUM(COUNTIFS($J36:$AX36,"*HL B1*",$J36:$AX36,"&lt;&gt;"&amp;"pHL B1")*0.5,COUNTIFS($J36:$AX36,"*HL B2*",$J36:$AX36,"&lt;&gt;"&amp;"pHL B2")*0.5,COUNTIFS($J36:$AX36,"*B1 HL*",$J36:$AX36,"&lt;&gt;"&amp;"pB1 HL")*0.5,COUNTIFS($J36:$AX36,"*B2 HL*",$J36:$AX36,"&lt;&gt;"&amp;"pB2 HL")*0.5)))</f>
        <v>7</v>
      </c>
      <c r="G36" s="142">
        <f t="shared" si="3"/>
        <v>0</v>
      </c>
      <c r="H36" s="142">
        <f t="shared" si="1"/>
        <v>6</v>
      </c>
      <c r="I36" s="142">
        <f>IF(Sat_W1[[#This Row],[Employee Name]]="","",IF(Sat_W1[[#This Row],[Dept]]="Supervisor",SUM(COUNTIFS($J36:$AX36,"RTA*",$J36:$AX36,"&lt;&gt;"&amp;"pRTA"),COUNTIFS($J36:$AX36,"*CRTA*",$J36:$AX36,"&lt;&gt;"&amp;"pCRTA")),COUNTIFS($J36:$AX36,"*RNNR*",$J36:$AX36,"&lt;&gt;"&amp;"*pRNNR*",$J36:$AX36,"&lt;&gt;"&amp;"pB1 RNNR",$J36:$AX36,"&lt;&gt;"&amp;"pB2 RNNR")-SUM(COUNTIFS($J36:$AX36,"*RNNR B1*",$J36:$AX36,"&lt;&gt;"&amp;"pRNNR B1")*0.5,COUNTIFS($J36:$AX36,"*RNNR B2*",$J36:$AX36,"&lt;&gt;"&amp;"pRNNR B2")*0.5,COUNTIFS($J36:$AX36,"*B1 RNNR*",$J36:$AX36,"&lt;&gt;"&amp;"pB1 RNNR")*0.5,COUNTIFS($J36:$AX36,"*B2 RNNR*",$J36:$AX36,"&lt;&gt;"&amp;"pB2 RNNR")*0.5)))</f>
        <v>2</v>
      </c>
      <c r="J36" s="184" t="str">
        <f>IFERROR(IF(VLOOKUP(Sat_W1[[#This Row],[Employee Name]],'Base Schedules'!$A$46:$AW$77,9,FALSE)="","",VLOOKUP(Sat_W1[[#This Row],[Employee Name]],'Base Schedules'!$A$46:$AW$77,9,FALSE)),"")</f>
        <v/>
      </c>
      <c r="K36" s="184" t="str">
        <f>IFERROR(IF(VLOOKUP(Sat_W1[[#This Row],[Employee Name]],'Base Schedules'!$A$46:$AW$77,10,FALSE)="","",VLOOKUP(Sat_W1[[#This Row],[Employee Name]],'Base Schedules'!$A$46:$AW$77,10,FALSE)),"")</f>
        <v/>
      </c>
      <c r="L36" s="184" t="str">
        <f>IFERROR(IF(VLOOKUP(Sat_W1[[#This Row],[Employee Name]],'Base Schedules'!$A$46:$AW$77,11,FALSE)="","",VLOOKUP(Sat_W1[[#This Row],[Employee Name]],'Base Schedules'!$A$46:$AW$77,11,FALSE)),"")</f>
        <v/>
      </c>
      <c r="M36" s="184" t="str">
        <f>IFERROR(IF(VLOOKUP(Sat_W1[[#This Row],[Employee Name]],'Base Schedules'!$A$46:$AW$77,12,FALSE)="","",VLOOKUP(Sat_W1[[#This Row],[Employee Name]],'Base Schedules'!$A$46:$AW$77,12,FALSE)),"")</f>
        <v/>
      </c>
      <c r="N36" s="184" t="str">
        <f>IFERROR(IF(VLOOKUP(Sat_W1[[#This Row],[Employee Name]],'Base Schedules'!$A$46:$AW$77,13,FALSE)="","",VLOOKUP(Sat_W1[[#This Row],[Employee Name]],'Base Schedules'!$A$46:$AW$77,13,FALSE)),"")</f>
        <v/>
      </c>
      <c r="O36" s="184" t="str">
        <f>IFERROR(IF(VLOOKUP(Sat_W1[[#This Row],[Employee Name]],'Base Schedules'!$A$46:$AW$77,14,FALSE)="","",VLOOKUP(Sat_W1[[#This Row],[Employee Name]],'Base Schedules'!$A$46:$AW$77,14,FALSE)),"")</f>
        <v/>
      </c>
      <c r="P36" s="184" t="str">
        <f>IFERROR(IF(VLOOKUP(Sat_W1[[#This Row],[Employee Name]],'Base Schedules'!$A$46:$AW$77,15,FALSE)="","",VLOOKUP(Sat_W1[[#This Row],[Employee Name]],'Base Schedules'!$A$46:$AW$77,15,FALSE)),"")</f>
        <v/>
      </c>
      <c r="Q36" s="184" t="str">
        <f>IFERROR(IF(VLOOKUP(Sat_W1[[#This Row],[Employee Name]],'Base Schedules'!$A$46:$AW$77,16,FALSE)="","",VLOOKUP(Sat_W1[[#This Row],[Employee Name]],'Base Schedules'!$A$46:$AW$77,16,FALSE)),"")</f>
        <v/>
      </c>
      <c r="R36" s="184" t="str">
        <f>IFERROR(IF(VLOOKUP(Sat_W1[[#This Row],[Employee Name]],'Base Schedules'!$A$46:$AW$77,17,FALSE)="","",VLOOKUP(Sat_W1[[#This Row],[Employee Name]],'Base Schedules'!$A$46:$AW$77,17,FALSE)),"")</f>
        <v/>
      </c>
      <c r="S36" s="184" t="str">
        <f>IFERROR(IF(VLOOKUP(Sat_W1[[#This Row],[Employee Name]],'Base Schedules'!$A$46:$AW$77,18,FALSE)="","",VLOOKUP(Sat_W1[[#This Row],[Employee Name]],'Base Schedules'!$A$46:$AW$77,18,FALSE)),"")</f>
        <v/>
      </c>
      <c r="T36" s="184" t="str">
        <f>IFERROR(IF(VLOOKUP(Sat_W1[[#This Row],[Employee Name]],'Base Schedules'!$A$46:$AW$77,19,FALSE)="","",VLOOKUP(Sat_W1[[#This Row],[Employee Name]],'Base Schedules'!$A$46:$AW$77,19,FALSE)),"")</f>
        <v/>
      </c>
      <c r="U36" s="184" t="str">
        <f>IFERROR(IF(VLOOKUP(Sat_W1[[#This Row],[Employee Name]],'Base Schedules'!$A$46:$AW$77,20,FALSE)="","",VLOOKUP(Sat_W1[[#This Row],[Employee Name]],'Base Schedules'!$A$46:$AW$77,20,FALSE)),"")</f>
        <v/>
      </c>
      <c r="V36" s="184" t="str">
        <f>IFERROR(IF(VLOOKUP(Sat_W1[[#This Row],[Employee Name]],'Base Schedules'!$A$46:$AW$77,21,FALSE)="","",VLOOKUP(Sat_W1[[#This Row],[Employee Name]],'Base Schedules'!$A$46:$AW$77,21,FALSE)),"")</f>
        <v/>
      </c>
      <c r="W36" s="184" t="str">
        <f>IFERROR(IF(VLOOKUP(Sat_W1[[#This Row],[Employee Name]],'Base Schedules'!$A$46:$AW$77,22,FALSE)="","",VLOOKUP(Sat_W1[[#This Row],[Employee Name]],'Base Schedules'!$A$46:$AW$77,22,FALSE)),"")</f>
        <v/>
      </c>
      <c r="X36" s="184" t="str">
        <f>IFERROR(IF(VLOOKUP(Sat_W1[[#This Row],[Employee Name]],'Base Schedules'!$A$46:$AW$77,23,FALSE)="","",VLOOKUP(Sat_W1[[#This Row],[Employee Name]],'Base Schedules'!$A$46:$AW$77,23,FALSE)),"")</f>
        <v/>
      </c>
      <c r="Y36" s="184" t="str">
        <f>IFERROR(IF(VLOOKUP(Sat_W1[[#This Row],[Employee Name]],'Base Schedules'!$A$46:$AW$77,24,FALSE)="","",VLOOKUP(Sat_W1[[#This Row],[Employee Name]],'Base Schedules'!$A$46:$AW$77,24,FALSE)),"")</f>
        <v/>
      </c>
      <c r="Z36" s="184" t="str">
        <f>IFERROR(IF(VLOOKUP(Sat_W1[[#This Row],[Employee Name]],'Base Schedules'!$A$46:$AW$77,25,FALSE)="","",VLOOKUP(Sat_W1[[#This Row],[Employee Name]],'Base Schedules'!$A$46:$AW$77,25,FALSE)),"")</f>
        <v/>
      </c>
      <c r="AA36" s="184" t="str">
        <f>IFERROR(IF(VLOOKUP(Sat_W1[[#This Row],[Employee Name]],'Base Schedules'!$A$46:$AW$77,26,FALSE)="","",VLOOKUP(Sat_W1[[#This Row],[Employee Name]],'Base Schedules'!$A$46:$AW$77,26,FALSE)),"")</f>
        <v/>
      </c>
      <c r="AB36" s="184" t="str">
        <f>IFERROR(IF(VLOOKUP(Sat_W1[[#This Row],[Employee Name]],'Base Schedules'!$A$46:$AW$77,27,FALSE)="","",VLOOKUP(Sat_W1[[#This Row],[Employee Name]],'Base Schedules'!$A$46:$AW$77,27,FALSE)),"")</f>
        <v/>
      </c>
      <c r="AC36" s="184" t="str">
        <f>IFERROR(IF(VLOOKUP(Sat_W1[[#This Row],[Employee Name]],'Base Schedules'!$A$46:$AW$77,28,FALSE)="","",VLOOKUP(Sat_W1[[#This Row],[Employee Name]],'Base Schedules'!$A$46:$AW$77,28,FALSE)),"")</f>
        <v/>
      </c>
      <c r="AD36" s="184" t="str">
        <f>IFERROR(IF(VLOOKUP(Sat_W1[[#This Row],[Employee Name]],'Base Schedules'!$A$46:$AW$77,29,FALSE)="","",VLOOKUP(Sat_W1[[#This Row],[Employee Name]],'Base Schedules'!$A$46:$AW$77,29,FALSE)),"")</f>
        <v/>
      </c>
      <c r="AE36" s="184" t="str">
        <f>IFERROR(IF(VLOOKUP(Sat_W1[[#This Row],[Employee Name]],'Base Schedules'!$A$46:$AW$77,30,FALSE)="","",VLOOKUP(Sat_W1[[#This Row],[Employee Name]],'Base Schedules'!$A$46:$AW$77,30,FALSE)),"")</f>
        <v/>
      </c>
      <c r="AF36" s="184" t="str">
        <f>IFERROR(IF(VLOOKUP(Sat_W1[[#This Row],[Employee Name]],'Base Schedules'!$A$46:$AW$77,31,FALSE)="","",VLOOKUP(Sat_W1[[#This Row],[Employee Name]],'Base Schedules'!$A$46:$AW$77,31,FALSE)),"")</f>
        <v>ADM</v>
      </c>
      <c r="AG36" s="184" t="str">
        <f>IFERROR(IF(VLOOKUP(Sat_W1[[#This Row],[Employee Name]],'Base Schedules'!$A$46:$AW$77,32,FALSE)="","",VLOOKUP(Sat_W1[[#This Row],[Employee Name]],'Base Schedules'!$A$46:$AW$77,32,FALSE)),"")</f>
        <v>ADM</v>
      </c>
      <c r="AH36" s="184" t="str">
        <f>IFERROR(IF(VLOOKUP(Sat_W1[[#This Row],[Employee Name]],'Base Schedules'!$A$46:$AW$77,33,FALSE)="","",VLOOKUP(Sat_W1[[#This Row],[Employee Name]],'Base Schedules'!$A$46:$AW$77,33,FALSE)),"")</f>
        <v>ADM</v>
      </c>
      <c r="AI36" s="184" t="str">
        <f>IFERROR(IF(VLOOKUP(Sat_W1[[#This Row],[Employee Name]],'Base Schedules'!$A$46:$AW$77,34,FALSE)="","",VLOOKUP(Sat_W1[[#This Row],[Employee Name]],'Base Schedules'!$A$46:$AW$77,34,FALSE)),"")</f>
        <v>HL B1</v>
      </c>
      <c r="AJ36" s="184" t="str">
        <f>IFERROR(IF(VLOOKUP(Sat_W1[[#This Row],[Employee Name]],'Base Schedules'!$A$46:$AW$77,35,FALSE)="","",VLOOKUP(Sat_W1[[#This Row],[Employee Name]],'Base Schedules'!$A$46:$AW$77,35,FALSE)),"")</f>
        <v>RNNR</v>
      </c>
      <c r="AK36" s="184" t="str">
        <f>IFERROR(IF(VLOOKUP(Sat_W1[[#This Row],[Employee Name]],'Base Schedules'!$A$46:$AW$77,36,FALSE)="","",VLOOKUP(Sat_W1[[#This Row],[Employee Name]],'Base Schedules'!$A$46:$AW$77,36,FALSE)),"")</f>
        <v>RNNR</v>
      </c>
      <c r="AL36" s="184" t="str">
        <f>IFERROR(IF(VLOOKUP(Sat_W1[[#This Row],[Employee Name]],'Base Schedules'!$A$46:$AW$77,37,FALSE)="","",VLOOKUP(Sat_W1[[#This Row],[Employee Name]],'Base Schedules'!$A$46:$AW$77,37,FALSE)),"")</f>
        <v>ADM</v>
      </c>
      <c r="AM36" s="184" t="str">
        <f>IFERROR(IF(VLOOKUP(Sat_W1[[#This Row],[Employee Name]],'Base Schedules'!$A$46:$AW$77,38,FALSE)="","",VLOOKUP(Sat_W1[[#This Row],[Employee Name]],'Base Schedules'!$A$46:$AW$77,38,FALSE)),"")</f>
        <v>LUNCH</v>
      </c>
      <c r="AN36" s="184" t="str">
        <f>IFERROR(IF(VLOOKUP(Sat_W1[[#This Row],[Employee Name]],'Base Schedules'!$A$46:$AW$77,39,FALSE)="","",VLOOKUP(Sat_W1[[#This Row],[Employee Name]],'Base Schedules'!$A$46:$AW$77,39,FALSE)),"")</f>
        <v>LUNCH</v>
      </c>
      <c r="AO36" s="184" t="str">
        <f>IFERROR(IF(VLOOKUP(Sat_W1[[#This Row],[Employee Name]],'Base Schedules'!$A$46:$AW$77,40,FALSE)="","",VLOOKUP(Sat_W1[[#This Row],[Employee Name]],'Base Schedules'!$A$46:$AW$77,40,FALSE)),"")</f>
        <v>HL</v>
      </c>
      <c r="AP36" s="184" t="str">
        <f>IFERROR(IF(VLOOKUP(Sat_W1[[#This Row],[Employee Name]],'Base Schedules'!$A$46:$AW$77,41,FALSE)="","",VLOOKUP(Sat_W1[[#This Row],[Employee Name]],'Base Schedules'!$A$46:$AW$77,41,FALSE)),"")</f>
        <v>ADM</v>
      </c>
      <c r="AQ36" s="184" t="str">
        <f>IFERROR(IF(VLOOKUP(Sat_W1[[#This Row],[Employee Name]],'Base Schedules'!$A$46:$AW$77,42,FALSE)="","",VLOOKUP(Sat_W1[[#This Row],[Employee Name]],'Base Schedules'!$A$46:$AW$77,42,FALSE)),"")</f>
        <v>ADM</v>
      </c>
      <c r="AR36" s="184" t="str">
        <f>IFERROR(IF(VLOOKUP(Sat_W1[[#This Row],[Employee Name]],'Base Schedules'!$A$46:$AW$77,43,FALSE)="","",VLOOKUP(Sat_W1[[#This Row],[Employee Name]],'Base Schedules'!$A$46:$AW$77,43,FALSE)),"")</f>
        <v>HL</v>
      </c>
      <c r="AS36" s="184" t="str">
        <f>IFERROR(IF(VLOOKUP(Sat_W1[[#This Row],[Employee Name]],'Base Schedules'!$A$46:$AW$77,44,FALSE)="","",VLOOKUP(Sat_W1[[#This Row],[Employee Name]],'Base Schedules'!$A$46:$AW$77,44,FALSE)),"")</f>
        <v>HL</v>
      </c>
      <c r="AT36" s="184" t="str">
        <f>IFERROR(IF(VLOOKUP(Sat_W1[[#This Row],[Employee Name]],'Base Schedules'!$A$46:$AW$77,45,FALSE)="","",VLOOKUP(Sat_W1[[#This Row],[Employee Name]],'Base Schedules'!$A$46:$AW$77,45,FALSE)),"")</f>
        <v>B2 HL</v>
      </c>
      <c r="AU36" s="184" t="str">
        <f>IFERROR(IF(VLOOKUP(Sat_W1[[#This Row],[Employee Name]],'Base Schedules'!$A$46:$AW$77,46,FALSE)="","",VLOOKUP(Sat_W1[[#This Row],[Employee Name]],'Base Schedules'!$A$46:$AW$77,46,FALSE)),"")</f>
        <v>HL</v>
      </c>
      <c r="AV36" s="184" t="str">
        <f>IFERROR(IF(VLOOKUP(Sat_W1[[#This Row],[Employee Name]],'Base Schedules'!$A$46:$AW$77,47,FALSE)="","",VLOOKUP(Sat_W1[[#This Row],[Employee Name]],'Base Schedules'!$A$46:$AW$77,47,FALSE)),"")</f>
        <v>HL</v>
      </c>
      <c r="AW36" s="184" t="str">
        <f>IFERROR(IF(VLOOKUP(Sat_W1[[#This Row],[Employee Name]],'Base Schedules'!$A$46:$AW$77,48,FALSE)="","",VLOOKUP(Sat_W1[[#This Row],[Employee Name]],'Base Schedules'!$A$46:$AW$77,48,FALSE)),"")</f>
        <v>HL</v>
      </c>
      <c r="AX36" s="184" t="str">
        <f>IFERROR(IF(VLOOKUP(Sat_W1[[#This Row],[Employee Name]],'Base Schedules'!$A$46:$AW$77,49,FALSE)="","",VLOOKUP(Sat_W1[[#This Row],[Employee Name]],'Base Schedules'!$A$46:$AW$77,49,FALSE)),"")</f>
        <v/>
      </c>
      <c r="AY36" s="159" t="str">
        <f t="shared" si="2"/>
        <v>Wonser, Shannon</v>
      </c>
    </row>
    <row r="37" spans="1:51" s="44" customFormat="1" ht="12" hidden="1" customHeight="1" x14ac:dyDescent="0.2">
      <c r="A37" s="39" t="str">
        <f>IF(B37="","",INDEX(TeamList[],MATCH($B37,TeamList[[Employee Name]:[Employee Name]],0),MATCH("Manager",TeamList[#Headers],0)))</f>
        <v/>
      </c>
      <c r="B37" s="201"/>
      <c r="C37" s="257" t="str">
        <f>_xlfn.IFNA(VLOOKUP(Sat_W1[[#This Row],[Employee Name]],'Base Schedules'!A:B,2,FALSE),"")</f>
        <v/>
      </c>
      <c r="D37" s="274" t="str">
        <f>_xlfn.IFNA(VLOOKUP(Sat_W1[[#This Row],[Employee Name]],'Base Schedules'!A:C,3,FALSE),"")</f>
        <v/>
      </c>
      <c r="E37" s="274" t="str">
        <f>_xlfn.IFNA(VLOOKUP(Sat_W1[[#This Row],[Employee Name]],'Base Schedules'!A:D,4,FALSE),"")</f>
        <v/>
      </c>
      <c r="F37" s="142" t="str">
        <f>IF(Sat_W1[[#This Row],[Employee Name]]="","",IF(Sat_W1[[#This Row],[Dept]]="Supervisor",COUNTIFS($J37:$AX37,"*HL*",$J37:$AX37,"&lt;&gt;"&amp;"pHL"),COUNTIFS($J37:$AX37,"*HL*",$J37:$AX37,"&lt;&gt;"&amp;"*pHL*",$J37:$AX37,"&lt;&gt;"&amp;"pB1 HL",$J37:$AX37,"&lt;&gt;"&amp;"pB2 HL")-SUM(COUNTIFS($J37:$AX37,"*HL B1*",$J37:$AX37,"&lt;&gt;"&amp;"pHL B1")*0.5,COUNTIFS($J37:$AX37,"*HL B2*",$J37:$AX37,"&lt;&gt;"&amp;"pHL B2")*0.5,COUNTIFS($J37:$AX37,"*B1 HL*",$J37:$AX37,"&lt;&gt;"&amp;"pB1 HL")*0.5,COUNTIFS($J37:$AX37,"*B2 HL*",$J37:$AX37,"&lt;&gt;"&amp;"pB2 HL")*0.5)))</f>
        <v/>
      </c>
      <c r="G37" s="142" t="str">
        <f t="shared" ref="G37:G46" si="4">IF(B37="","",COUNTIFS($J37:$AX37,"*TM*",$J37:$AX37,"&lt;&gt;"&amp;"pTM",$J37:$AX37,"&lt;&gt;"&amp;"uTM"))</f>
        <v/>
      </c>
      <c r="H37" s="142" t="str">
        <f t="shared" si="1"/>
        <v/>
      </c>
      <c r="I37" s="142" t="str">
        <f>IF(Sat_W1[[#This Row],[Employee Name]]="","",IF(Sat_W1[[#This Row],[Dept]]="Supervisor",SUM(COUNTIFS($J37:$AX37,"RTA*",$J37:$AX37,"&lt;&gt;"&amp;"pRTA"),COUNTIFS($J37:$AX37,"*CRTA*",$J37:$AX37,"&lt;&gt;"&amp;"pCRTA")),COUNTIFS($J37:$AX37,"*RNNR*",$J37:$AX37,"&lt;&gt;"&amp;"*pRNNR*",$J37:$AX37,"&lt;&gt;"&amp;"pB1 RNNR",$J37:$AX37,"&lt;&gt;"&amp;"pB2 RNNR")-SUM(COUNTIFS($J37:$AX37,"*RNNR B1*",$J37:$AX37,"&lt;&gt;"&amp;"pRNNR B1")*0.5,COUNTIFS($J37:$AX37,"*RNNR B2*",$J37:$AX37,"&lt;&gt;"&amp;"pRNNR B2")*0.5,COUNTIFS($J37:$AX37,"*B1 RNNR*",$J37:$AX37,"&lt;&gt;"&amp;"pB1 RNNR")*0.5,COUNTIFS($J37:$AX37,"*B2 RNNR*",$J37:$AX37,"&lt;&gt;"&amp;"pB2 RNNR")*0.5)))</f>
        <v/>
      </c>
      <c r="J37" s="184" t="str">
        <f>IFERROR(IF(VLOOKUP(Sat_W1[[#This Row],[Employee Name]],'Base Schedules'!$A$46:$AW$77,9,FALSE)="","",VLOOKUP(Sat_W1[[#This Row],[Employee Name]],'Base Schedules'!$A$46:$AW$77,9,FALSE)),"")</f>
        <v/>
      </c>
      <c r="K37" s="184" t="str">
        <f>IFERROR(IF(VLOOKUP(Sat_W1[[#This Row],[Employee Name]],'Base Schedules'!$A$46:$AW$77,10,FALSE)="","",VLOOKUP(Sat_W1[[#This Row],[Employee Name]],'Base Schedules'!$A$46:$AW$77,10,FALSE)),"")</f>
        <v/>
      </c>
      <c r="L37" s="184" t="str">
        <f>IFERROR(IF(VLOOKUP(Sat_W1[[#This Row],[Employee Name]],'Base Schedules'!$A$46:$AW$77,11,FALSE)="","",VLOOKUP(Sat_W1[[#This Row],[Employee Name]],'Base Schedules'!$A$46:$AW$77,11,FALSE)),"")</f>
        <v/>
      </c>
      <c r="M37" s="184" t="str">
        <f>IFERROR(IF(VLOOKUP(Sat_W1[[#This Row],[Employee Name]],'Base Schedules'!$A$46:$AW$77,12,FALSE)="","",VLOOKUP(Sat_W1[[#This Row],[Employee Name]],'Base Schedules'!$A$46:$AW$77,12,FALSE)),"")</f>
        <v/>
      </c>
      <c r="N37" s="184" t="str">
        <f>IFERROR(IF(VLOOKUP(Sat_W1[[#This Row],[Employee Name]],'Base Schedules'!$A$46:$AW$77,13,FALSE)="","",VLOOKUP(Sat_W1[[#This Row],[Employee Name]],'Base Schedules'!$A$46:$AW$77,13,FALSE)),"")</f>
        <v/>
      </c>
      <c r="O37" s="184" t="str">
        <f>IFERROR(IF(VLOOKUP(Sat_W1[[#This Row],[Employee Name]],'Base Schedules'!$A$46:$AW$77,14,FALSE)="","",VLOOKUP(Sat_W1[[#This Row],[Employee Name]],'Base Schedules'!$A$46:$AW$77,14,FALSE)),"")</f>
        <v/>
      </c>
      <c r="P37" s="184" t="str">
        <f>IFERROR(IF(VLOOKUP(Sat_W1[[#This Row],[Employee Name]],'Base Schedules'!$A$46:$AW$77,15,FALSE)="","",VLOOKUP(Sat_W1[[#This Row],[Employee Name]],'Base Schedules'!$A$46:$AW$77,15,FALSE)),"")</f>
        <v/>
      </c>
      <c r="Q37" s="184" t="str">
        <f>IFERROR(IF(VLOOKUP(Sat_W1[[#This Row],[Employee Name]],'Base Schedules'!$A$46:$AW$77,16,FALSE)="","",VLOOKUP(Sat_W1[[#This Row],[Employee Name]],'Base Schedules'!$A$46:$AW$77,16,FALSE)),"")</f>
        <v/>
      </c>
      <c r="R37" s="184" t="str">
        <f>IFERROR(IF(VLOOKUP(Sat_W1[[#This Row],[Employee Name]],'Base Schedules'!$A$46:$AW$77,17,FALSE)="","",VLOOKUP(Sat_W1[[#This Row],[Employee Name]],'Base Schedules'!$A$46:$AW$77,17,FALSE)),"")</f>
        <v/>
      </c>
      <c r="S37" s="184" t="str">
        <f>IFERROR(IF(VLOOKUP(Sat_W1[[#This Row],[Employee Name]],'Base Schedules'!$A$46:$AW$77,18,FALSE)="","",VLOOKUP(Sat_W1[[#This Row],[Employee Name]],'Base Schedules'!$A$46:$AW$77,18,FALSE)),"")</f>
        <v/>
      </c>
      <c r="T37" s="184" t="str">
        <f>IFERROR(IF(VLOOKUP(Sat_W1[[#This Row],[Employee Name]],'Base Schedules'!$A$46:$AW$77,19,FALSE)="","",VLOOKUP(Sat_W1[[#This Row],[Employee Name]],'Base Schedules'!$A$46:$AW$77,19,FALSE)),"")</f>
        <v/>
      </c>
      <c r="U37" s="184" t="str">
        <f>IFERROR(IF(VLOOKUP(Sat_W1[[#This Row],[Employee Name]],'Base Schedules'!$A$46:$AW$77,20,FALSE)="","",VLOOKUP(Sat_W1[[#This Row],[Employee Name]],'Base Schedules'!$A$46:$AW$77,20,FALSE)),"")</f>
        <v/>
      </c>
      <c r="V37" s="184" t="str">
        <f>IFERROR(IF(VLOOKUP(Sat_W1[[#This Row],[Employee Name]],'Base Schedules'!$A$46:$AW$77,21,FALSE)="","",VLOOKUP(Sat_W1[[#This Row],[Employee Name]],'Base Schedules'!$A$46:$AW$77,21,FALSE)),"")</f>
        <v/>
      </c>
      <c r="W37" s="184" t="str">
        <f>IFERROR(IF(VLOOKUP(Sat_W1[[#This Row],[Employee Name]],'Base Schedules'!$A$46:$AW$77,22,FALSE)="","",VLOOKUP(Sat_W1[[#This Row],[Employee Name]],'Base Schedules'!$A$46:$AW$77,22,FALSE)),"")</f>
        <v/>
      </c>
      <c r="X37" s="184" t="str">
        <f>IFERROR(IF(VLOOKUP(Sat_W1[[#This Row],[Employee Name]],'Base Schedules'!$A$46:$AW$77,23,FALSE)="","",VLOOKUP(Sat_W1[[#This Row],[Employee Name]],'Base Schedules'!$A$46:$AW$77,23,FALSE)),"")</f>
        <v/>
      </c>
      <c r="Y37" s="184" t="str">
        <f>IFERROR(IF(VLOOKUP(Sat_W1[[#This Row],[Employee Name]],'Base Schedules'!$A$46:$AW$77,24,FALSE)="","",VLOOKUP(Sat_W1[[#This Row],[Employee Name]],'Base Schedules'!$A$46:$AW$77,24,FALSE)),"")</f>
        <v/>
      </c>
      <c r="Z37" s="184" t="str">
        <f>IFERROR(IF(VLOOKUP(Sat_W1[[#This Row],[Employee Name]],'Base Schedules'!$A$46:$AW$77,25,FALSE)="","",VLOOKUP(Sat_W1[[#This Row],[Employee Name]],'Base Schedules'!$A$46:$AW$77,25,FALSE)),"")</f>
        <v/>
      </c>
      <c r="AA37" s="184" t="str">
        <f>IFERROR(IF(VLOOKUP(Sat_W1[[#This Row],[Employee Name]],'Base Schedules'!$A$46:$AW$77,26,FALSE)="","",VLOOKUP(Sat_W1[[#This Row],[Employee Name]],'Base Schedules'!$A$46:$AW$77,26,FALSE)),"")</f>
        <v/>
      </c>
      <c r="AB37" s="184" t="str">
        <f>IFERROR(IF(VLOOKUP(Sat_W1[[#This Row],[Employee Name]],'Base Schedules'!$A$46:$AW$77,27,FALSE)="","",VLOOKUP(Sat_W1[[#This Row],[Employee Name]],'Base Schedules'!$A$46:$AW$77,27,FALSE)),"")</f>
        <v/>
      </c>
      <c r="AC37" s="184" t="str">
        <f>IFERROR(IF(VLOOKUP(Sat_W1[[#This Row],[Employee Name]],'Base Schedules'!$A$46:$AW$77,28,FALSE)="","",VLOOKUP(Sat_W1[[#This Row],[Employee Name]],'Base Schedules'!$A$46:$AW$77,28,FALSE)),"")</f>
        <v/>
      </c>
      <c r="AD37" s="184" t="str">
        <f>IFERROR(IF(VLOOKUP(Sat_W1[[#This Row],[Employee Name]],'Base Schedules'!$A$46:$AW$77,29,FALSE)="","",VLOOKUP(Sat_W1[[#This Row],[Employee Name]],'Base Schedules'!$A$46:$AW$77,29,FALSE)),"")</f>
        <v/>
      </c>
      <c r="AE37" s="184" t="str">
        <f>IFERROR(IF(VLOOKUP(Sat_W1[[#This Row],[Employee Name]],'Base Schedules'!$A$46:$AW$77,30,FALSE)="","",VLOOKUP(Sat_W1[[#This Row],[Employee Name]],'Base Schedules'!$A$46:$AW$77,30,FALSE)),"")</f>
        <v/>
      </c>
      <c r="AF37" s="184" t="str">
        <f>IFERROR(IF(VLOOKUP(Sat_W1[[#This Row],[Employee Name]],'Base Schedules'!$A$46:$AW$77,31,FALSE)="","",VLOOKUP(Sat_W1[[#This Row],[Employee Name]],'Base Schedules'!$A$46:$AW$77,31,FALSE)),"")</f>
        <v/>
      </c>
      <c r="AG37" s="184" t="str">
        <f>IFERROR(IF(VLOOKUP(Sat_W1[[#This Row],[Employee Name]],'Base Schedules'!$A$46:$AW$77,32,FALSE)="","",VLOOKUP(Sat_W1[[#This Row],[Employee Name]],'Base Schedules'!$A$46:$AW$77,32,FALSE)),"")</f>
        <v/>
      </c>
      <c r="AH37" s="184" t="str">
        <f>IFERROR(IF(VLOOKUP(Sat_W1[[#This Row],[Employee Name]],'Base Schedules'!$A$46:$AW$77,33,FALSE)="","",VLOOKUP(Sat_W1[[#This Row],[Employee Name]],'Base Schedules'!$A$46:$AW$77,33,FALSE)),"")</f>
        <v/>
      </c>
      <c r="AI37" s="184" t="str">
        <f>IFERROR(IF(VLOOKUP(Sat_W1[[#This Row],[Employee Name]],'Base Schedules'!$A$46:$AW$77,34,FALSE)="","",VLOOKUP(Sat_W1[[#This Row],[Employee Name]],'Base Schedules'!$A$46:$AW$77,34,FALSE)),"")</f>
        <v/>
      </c>
      <c r="AJ37" s="184" t="str">
        <f>IFERROR(IF(VLOOKUP(Sat_W1[[#This Row],[Employee Name]],'Base Schedules'!$A$46:$AW$77,35,FALSE)="","",VLOOKUP(Sat_W1[[#This Row],[Employee Name]],'Base Schedules'!$A$46:$AW$77,35,FALSE)),"")</f>
        <v/>
      </c>
      <c r="AK37" s="184" t="str">
        <f>IFERROR(IF(VLOOKUP(Sat_W1[[#This Row],[Employee Name]],'Base Schedules'!$A$46:$AW$77,36,FALSE)="","",VLOOKUP(Sat_W1[[#This Row],[Employee Name]],'Base Schedules'!$A$46:$AW$77,36,FALSE)),"")</f>
        <v/>
      </c>
      <c r="AL37" s="184" t="str">
        <f>IFERROR(IF(VLOOKUP(Sat_W1[[#This Row],[Employee Name]],'Base Schedules'!$A$46:$AW$77,37,FALSE)="","",VLOOKUP(Sat_W1[[#This Row],[Employee Name]],'Base Schedules'!$A$46:$AW$77,37,FALSE)),"")</f>
        <v/>
      </c>
      <c r="AM37" s="184" t="str">
        <f>IFERROR(IF(VLOOKUP(Sat_W1[[#This Row],[Employee Name]],'Base Schedules'!$A$46:$AW$77,38,FALSE)="","",VLOOKUP(Sat_W1[[#This Row],[Employee Name]],'Base Schedules'!$A$46:$AW$77,38,FALSE)),"")</f>
        <v/>
      </c>
      <c r="AN37" s="184" t="str">
        <f>IFERROR(IF(VLOOKUP(Sat_W1[[#This Row],[Employee Name]],'Base Schedules'!$A$46:$AW$77,39,FALSE)="","",VLOOKUP(Sat_W1[[#This Row],[Employee Name]],'Base Schedules'!$A$46:$AW$77,39,FALSE)),"")</f>
        <v/>
      </c>
      <c r="AO37" s="184" t="str">
        <f>IFERROR(IF(VLOOKUP(Sat_W1[[#This Row],[Employee Name]],'Base Schedules'!$A$46:$AW$77,40,FALSE)="","",VLOOKUP(Sat_W1[[#This Row],[Employee Name]],'Base Schedules'!$A$46:$AW$77,40,FALSE)),"")</f>
        <v/>
      </c>
      <c r="AP37" s="184" t="str">
        <f>IFERROR(IF(VLOOKUP(Sat_W1[[#This Row],[Employee Name]],'Base Schedules'!$A$46:$AW$77,41,FALSE)="","",VLOOKUP(Sat_W1[[#This Row],[Employee Name]],'Base Schedules'!$A$46:$AW$77,41,FALSE)),"")</f>
        <v/>
      </c>
      <c r="AQ37" s="184" t="str">
        <f>IFERROR(IF(VLOOKUP(Sat_W1[[#This Row],[Employee Name]],'Base Schedules'!$A$46:$AW$77,42,FALSE)="","",VLOOKUP(Sat_W1[[#This Row],[Employee Name]],'Base Schedules'!$A$46:$AW$77,42,FALSE)),"")</f>
        <v/>
      </c>
      <c r="AR37" s="184" t="str">
        <f>IFERROR(IF(VLOOKUP(Sat_W1[[#This Row],[Employee Name]],'Base Schedules'!$A$46:$AW$77,43,FALSE)="","",VLOOKUP(Sat_W1[[#This Row],[Employee Name]],'Base Schedules'!$A$46:$AW$77,43,FALSE)),"")</f>
        <v/>
      </c>
      <c r="AS37" s="184" t="str">
        <f>IFERROR(IF(VLOOKUP(Sat_W1[[#This Row],[Employee Name]],'Base Schedules'!$A$46:$AW$77,44,FALSE)="","",VLOOKUP(Sat_W1[[#This Row],[Employee Name]],'Base Schedules'!$A$46:$AW$77,44,FALSE)),"")</f>
        <v/>
      </c>
      <c r="AT37" s="184" t="str">
        <f>IFERROR(IF(VLOOKUP(Sat_W1[[#This Row],[Employee Name]],'Base Schedules'!$A$46:$AW$77,45,FALSE)="","",VLOOKUP(Sat_W1[[#This Row],[Employee Name]],'Base Schedules'!$A$46:$AW$77,45,FALSE)),"")</f>
        <v/>
      </c>
      <c r="AU37" s="184" t="str">
        <f>IFERROR(IF(VLOOKUP(Sat_W1[[#This Row],[Employee Name]],'Base Schedules'!$A$46:$AW$77,46,FALSE)="","",VLOOKUP(Sat_W1[[#This Row],[Employee Name]],'Base Schedules'!$A$46:$AW$77,46,FALSE)),"")</f>
        <v/>
      </c>
      <c r="AV37" s="184" t="str">
        <f>IFERROR(IF(VLOOKUP(Sat_W1[[#This Row],[Employee Name]],'Base Schedules'!$A$46:$AW$77,47,FALSE)="","",VLOOKUP(Sat_W1[[#This Row],[Employee Name]],'Base Schedules'!$A$46:$AW$77,47,FALSE)),"")</f>
        <v/>
      </c>
      <c r="AW37" s="184" t="str">
        <f>IFERROR(IF(VLOOKUP(Sat_W1[[#This Row],[Employee Name]],'Base Schedules'!$A$46:$AW$77,48,FALSE)="","",VLOOKUP(Sat_W1[[#This Row],[Employee Name]],'Base Schedules'!$A$46:$AW$77,48,FALSE)),"")</f>
        <v/>
      </c>
      <c r="AX37" s="184" t="str">
        <f>IFERROR(IF(VLOOKUP(Sat_W1[[#This Row],[Employee Name]],'Base Schedules'!$A$46:$AW$77,49,FALSE)="","",VLOOKUP(Sat_W1[[#This Row],[Employee Name]],'Base Schedules'!$A$46:$AW$77,49,FALSE)),"")</f>
        <v/>
      </c>
      <c r="AY37" s="160" t="str">
        <f t="shared" si="2"/>
        <v/>
      </c>
    </row>
    <row r="38" spans="1:51" s="44" customFormat="1" ht="12" hidden="1" customHeight="1" x14ac:dyDescent="0.2">
      <c r="A38" s="39" t="str">
        <f>IF(B38="","",INDEX(TeamList[],MATCH($B38,TeamList[[Employee Name]:[Employee Name]],0),MATCH("Manager",TeamList[#Headers],0)))</f>
        <v/>
      </c>
      <c r="B38" s="201"/>
      <c r="C38" s="257" t="str">
        <f>_xlfn.IFNA(VLOOKUP(Sat_W1[[#This Row],[Employee Name]],'Base Schedules'!A:B,2,FALSE),"")</f>
        <v/>
      </c>
      <c r="D38" s="274" t="str">
        <f>_xlfn.IFNA(VLOOKUP(Sat_W1[[#This Row],[Employee Name]],'Base Schedules'!A:C,3,FALSE),"")</f>
        <v/>
      </c>
      <c r="E38" s="274" t="str">
        <f>_xlfn.IFNA(VLOOKUP(Sat_W1[[#This Row],[Employee Name]],'Base Schedules'!A:D,4,FALSE),"")</f>
        <v/>
      </c>
      <c r="F38" s="142" t="str">
        <f>IF(Sat_W1[[#This Row],[Employee Name]]="","",IF(Sat_W1[[#This Row],[Dept]]="Supervisor",COUNTIFS($J38:$AX38,"*HL*",$J38:$AX38,"&lt;&gt;"&amp;"pHL"),COUNTIFS($J38:$AX38,"*HL*",$J38:$AX38,"&lt;&gt;"&amp;"*pHL*",$J38:$AX38,"&lt;&gt;"&amp;"pB1 HL",$J38:$AX38,"&lt;&gt;"&amp;"pB2 HL")-SUM(COUNTIFS($J38:$AX38,"*HL B1*",$J38:$AX38,"&lt;&gt;"&amp;"pHL B1")*0.5,COUNTIFS($J38:$AX38,"*HL B2*",$J38:$AX38,"&lt;&gt;"&amp;"pHL B2")*0.5,COUNTIFS($J38:$AX38,"*B1 HL*",$J38:$AX38,"&lt;&gt;"&amp;"pB1 HL")*0.5,COUNTIFS($J38:$AX38,"*B2 HL*",$J38:$AX38,"&lt;&gt;"&amp;"pB2 HL")*0.5)))</f>
        <v/>
      </c>
      <c r="G38" s="142" t="str">
        <f t="shared" si="4"/>
        <v/>
      </c>
      <c r="H38" s="142" t="str">
        <f t="shared" si="1"/>
        <v/>
      </c>
      <c r="I38" s="142" t="str">
        <f>IF(Sat_W1[[#This Row],[Employee Name]]="","",IF(Sat_W1[[#This Row],[Dept]]="Supervisor",SUM(COUNTIFS($J38:$AX38,"RTA*",$J38:$AX38,"&lt;&gt;"&amp;"pRTA"),COUNTIFS($J38:$AX38,"*CRTA*",$J38:$AX38,"&lt;&gt;"&amp;"pCRTA")),COUNTIFS($J38:$AX38,"*RNNR*",$J38:$AX38,"&lt;&gt;"&amp;"*pRNNR*",$J38:$AX38,"&lt;&gt;"&amp;"pB1 RNNR",$J38:$AX38,"&lt;&gt;"&amp;"pB2 RNNR")-SUM(COUNTIFS($J38:$AX38,"*RNNR B1*",$J38:$AX38,"&lt;&gt;"&amp;"pRNNR B1")*0.5,COUNTIFS($J38:$AX38,"*RNNR B2*",$J38:$AX38,"&lt;&gt;"&amp;"pRNNR B2")*0.5,COUNTIFS($J38:$AX38,"*B1 RNNR*",$J38:$AX38,"&lt;&gt;"&amp;"pB1 RNNR")*0.5,COUNTIFS($J38:$AX38,"*B2 RNNR*",$J38:$AX38,"&lt;&gt;"&amp;"pB2 RNNR")*0.5)))</f>
        <v/>
      </c>
      <c r="J38" s="184" t="str">
        <f>IFERROR(IF(VLOOKUP(Sat_W1[[#This Row],[Employee Name]],'Base Schedules'!$A$46:$AW$77,9,FALSE)="","",VLOOKUP(Sat_W1[[#This Row],[Employee Name]],'Base Schedules'!$A$46:$AW$77,9,FALSE)),"")</f>
        <v/>
      </c>
      <c r="K38" s="184" t="str">
        <f>IFERROR(IF(VLOOKUP(Sat_W1[[#This Row],[Employee Name]],'Base Schedules'!$A$46:$AW$77,10,FALSE)="","",VLOOKUP(Sat_W1[[#This Row],[Employee Name]],'Base Schedules'!$A$46:$AW$77,10,FALSE)),"")</f>
        <v/>
      </c>
      <c r="L38" s="184" t="str">
        <f>IFERROR(IF(VLOOKUP(Sat_W1[[#This Row],[Employee Name]],'Base Schedules'!$A$46:$AW$77,11,FALSE)="","",VLOOKUP(Sat_W1[[#This Row],[Employee Name]],'Base Schedules'!$A$46:$AW$77,11,FALSE)),"")</f>
        <v/>
      </c>
      <c r="M38" s="184" t="str">
        <f>IFERROR(IF(VLOOKUP(Sat_W1[[#This Row],[Employee Name]],'Base Schedules'!$A$46:$AW$77,12,FALSE)="","",VLOOKUP(Sat_W1[[#This Row],[Employee Name]],'Base Schedules'!$A$46:$AW$77,12,FALSE)),"")</f>
        <v/>
      </c>
      <c r="N38" s="184" t="str">
        <f>IFERROR(IF(VLOOKUP(Sat_W1[[#This Row],[Employee Name]],'Base Schedules'!$A$46:$AW$77,13,FALSE)="","",VLOOKUP(Sat_W1[[#This Row],[Employee Name]],'Base Schedules'!$A$46:$AW$77,13,FALSE)),"")</f>
        <v/>
      </c>
      <c r="O38" s="184" t="str">
        <f>IFERROR(IF(VLOOKUP(Sat_W1[[#This Row],[Employee Name]],'Base Schedules'!$A$46:$AW$77,14,FALSE)="","",VLOOKUP(Sat_W1[[#This Row],[Employee Name]],'Base Schedules'!$A$46:$AW$77,14,FALSE)),"")</f>
        <v/>
      </c>
      <c r="P38" s="184" t="str">
        <f>IFERROR(IF(VLOOKUP(Sat_W1[[#This Row],[Employee Name]],'Base Schedules'!$A$46:$AW$77,15,FALSE)="","",VLOOKUP(Sat_W1[[#This Row],[Employee Name]],'Base Schedules'!$A$46:$AW$77,15,FALSE)),"")</f>
        <v/>
      </c>
      <c r="Q38" s="184" t="str">
        <f>IFERROR(IF(VLOOKUP(Sat_W1[[#This Row],[Employee Name]],'Base Schedules'!$A$46:$AW$77,16,FALSE)="","",VLOOKUP(Sat_W1[[#This Row],[Employee Name]],'Base Schedules'!$A$46:$AW$77,16,FALSE)),"")</f>
        <v/>
      </c>
      <c r="R38" s="184" t="str">
        <f>IFERROR(IF(VLOOKUP(Sat_W1[[#This Row],[Employee Name]],'Base Schedules'!$A$46:$AW$77,17,FALSE)="","",VLOOKUP(Sat_W1[[#This Row],[Employee Name]],'Base Schedules'!$A$46:$AW$77,17,FALSE)),"")</f>
        <v/>
      </c>
      <c r="S38" s="184" t="str">
        <f>IFERROR(IF(VLOOKUP(Sat_W1[[#This Row],[Employee Name]],'Base Schedules'!$A$46:$AW$77,18,FALSE)="","",VLOOKUP(Sat_W1[[#This Row],[Employee Name]],'Base Schedules'!$A$46:$AW$77,18,FALSE)),"")</f>
        <v/>
      </c>
      <c r="T38" s="184" t="str">
        <f>IFERROR(IF(VLOOKUP(Sat_W1[[#This Row],[Employee Name]],'Base Schedules'!$A$46:$AW$77,19,FALSE)="","",VLOOKUP(Sat_W1[[#This Row],[Employee Name]],'Base Schedules'!$A$46:$AW$77,19,FALSE)),"")</f>
        <v/>
      </c>
      <c r="U38" s="184" t="str">
        <f>IFERROR(IF(VLOOKUP(Sat_W1[[#This Row],[Employee Name]],'Base Schedules'!$A$46:$AW$77,20,FALSE)="","",VLOOKUP(Sat_W1[[#This Row],[Employee Name]],'Base Schedules'!$A$46:$AW$77,20,FALSE)),"")</f>
        <v/>
      </c>
      <c r="V38" s="184" t="str">
        <f>IFERROR(IF(VLOOKUP(Sat_W1[[#This Row],[Employee Name]],'Base Schedules'!$A$46:$AW$77,21,FALSE)="","",VLOOKUP(Sat_W1[[#This Row],[Employee Name]],'Base Schedules'!$A$46:$AW$77,21,FALSE)),"")</f>
        <v/>
      </c>
      <c r="W38" s="184" t="str">
        <f>IFERROR(IF(VLOOKUP(Sat_W1[[#This Row],[Employee Name]],'Base Schedules'!$A$46:$AW$77,22,FALSE)="","",VLOOKUP(Sat_W1[[#This Row],[Employee Name]],'Base Schedules'!$A$46:$AW$77,22,FALSE)),"")</f>
        <v/>
      </c>
      <c r="X38" s="184" t="str">
        <f>IFERROR(IF(VLOOKUP(Sat_W1[[#This Row],[Employee Name]],'Base Schedules'!$A$46:$AW$77,23,FALSE)="","",VLOOKUP(Sat_W1[[#This Row],[Employee Name]],'Base Schedules'!$A$46:$AW$77,23,FALSE)),"")</f>
        <v/>
      </c>
      <c r="Y38" s="184" t="str">
        <f>IFERROR(IF(VLOOKUP(Sat_W1[[#This Row],[Employee Name]],'Base Schedules'!$A$46:$AW$77,24,FALSE)="","",VLOOKUP(Sat_W1[[#This Row],[Employee Name]],'Base Schedules'!$A$46:$AW$77,24,FALSE)),"")</f>
        <v/>
      </c>
      <c r="Z38" s="184" t="str">
        <f>IFERROR(IF(VLOOKUP(Sat_W1[[#This Row],[Employee Name]],'Base Schedules'!$A$46:$AW$77,25,FALSE)="","",VLOOKUP(Sat_W1[[#This Row],[Employee Name]],'Base Schedules'!$A$46:$AW$77,25,FALSE)),"")</f>
        <v/>
      </c>
      <c r="AA38" s="184" t="str">
        <f>IFERROR(IF(VLOOKUP(Sat_W1[[#This Row],[Employee Name]],'Base Schedules'!$A$46:$AW$77,26,FALSE)="","",VLOOKUP(Sat_W1[[#This Row],[Employee Name]],'Base Schedules'!$A$46:$AW$77,26,FALSE)),"")</f>
        <v/>
      </c>
      <c r="AB38" s="184" t="str">
        <f>IFERROR(IF(VLOOKUP(Sat_W1[[#This Row],[Employee Name]],'Base Schedules'!$A$46:$AW$77,27,FALSE)="","",VLOOKUP(Sat_W1[[#This Row],[Employee Name]],'Base Schedules'!$A$46:$AW$77,27,FALSE)),"")</f>
        <v/>
      </c>
      <c r="AC38" s="184" t="str">
        <f>IFERROR(IF(VLOOKUP(Sat_W1[[#This Row],[Employee Name]],'Base Schedules'!$A$46:$AW$77,28,FALSE)="","",VLOOKUP(Sat_W1[[#This Row],[Employee Name]],'Base Schedules'!$A$46:$AW$77,28,FALSE)),"")</f>
        <v/>
      </c>
      <c r="AD38" s="184" t="str">
        <f>IFERROR(IF(VLOOKUP(Sat_W1[[#This Row],[Employee Name]],'Base Schedules'!$A$46:$AW$77,29,FALSE)="","",VLOOKUP(Sat_W1[[#This Row],[Employee Name]],'Base Schedules'!$A$46:$AW$77,29,FALSE)),"")</f>
        <v/>
      </c>
      <c r="AE38" s="184" t="str">
        <f>IFERROR(IF(VLOOKUP(Sat_W1[[#This Row],[Employee Name]],'Base Schedules'!$A$46:$AW$77,30,FALSE)="","",VLOOKUP(Sat_W1[[#This Row],[Employee Name]],'Base Schedules'!$A$46:$AW$77,30,FALSE)),"")</f>
        <v/>
      </c>
      <c r="AF38" s="184" t="str">
        <f>IFERROR(IF(VLOOKUP(Sat_W1[[#This Row],[Employee Name]],'Base Schedules'!$A$46:$AW$77,31,FALSE)="","",VLOOKUP(Sat_W1[[#This Row],[Employee Name]],'Base Schedules'!$A$46:$AW$77,31,FALSE)),"")</f>
        <v/>
      </c>
      <c r="AG38" s="184" t="str">
        <f>IFERROR(IF(VLOOKUP(Sat_W1[[#This Row],[Employee Name]],'Base Schedules'!$A$46:$AW$77,32,FALSE)="","",VLOOKUP(Sat_W1[[#This Row],[Employee Name]],'Base Schedules'!$A$46:$AW$77,32,FALSE)),"")</f>
        <v/>
      </c>
      <c r="AH38" s="184" t="str">
        <f>IFERROR(IF(VLOOKUP(Sat_W1[[#This Row],[Employee Name]],'Base Schedules'!$A$46:$AW$77,33,FALSE)="","",VLOOKUP(Sat_W1[[#This Row],[Employee Name]],'Base Schedules'!$A$46:$AW$77,33,FALSE)),"")</f>
        <v/>
      </c>
      <c r="AI38" s="184" t="str">
        <f>IFERROR(IF(VLOOKUP(Sat_W1[[#This Row],[Employee Name]],'Base Schedules'!$A$46:$AW$77,34,FALSE)="","",VLOOKUP(Sat_W1[[#This Row],[Employee Name]],'Base Schedules'!$A$46:$AW$77,34,FALSE)),"")</f>
        <v/>
      </c>
      <c r="AJ38" s="184" t="str">
        <f>IFERROR(IF(VLOOKUP(Sat_W1[[#This Row],[Employee Name]],'Base Schedules'!$A$46:$AW$77,35,FALSE)="","",VLOOKUP(Sat_W1[[#This Row],[Employee Name]],'Base Schedules'!$A$46:$AW$77,35,FALSE)),"")</f>
        <v/>
      </c>
      <c r="AK38" s="184" t="str">
        <f>IFERROR(IF(VLOOKUP(Sat_W1[[#This Row],[Employee Name]],'Base Schedules'!$A$46:$AW$77,36,FALSE)="","",VLOOKUP(Sat_W1[[#This Row],[Employee Name]],'Base Schedules'!$A$46:$AW$77,36,FALSE)),"")</f>
        <v/>
      </c>
      <c r="AL38" s="184" t="str">
        <f>IFERROR(IF(VLOOKUP(Sat_W1[[#This Row],[Employee Name]],'Base Schedules'!$A$46:$AW$77,37,FALSE)="","",VLOOKUP(Sat_W1[[#This Row],[Employee Name]],'Base Schedules'!$A$46:$AW$77,37,FALSE)),"")</f>
        <v/>
      </c>
      <c r="AM38" s="184" t="str">
        <f>IFERROR(IF(VLOOKUP(Sat_W1[[#This Row],[Employee Name]],'Base Schedules'!$A$46:$AW$77,38,FALSE)="","",VLOOKUP(Sat_W1[[#This Row],[Employee Name]],'Base Schedules'!$A$46:$AW$77,38,FALSE)),"")</f>
        <v/>
      </c>
      <c r="AN38" s="184" t="str">
        <f>IFERROR(IF(VLOOKUP(Sat_W1[[#This Row],[Employee Name]],'Base Schedules'!$A$46:$AW$77,39,FALSE)="","",VLOOKUP(Sat_W1[[#This Row],[Employee Name]],'Base Schedules'!$A$46:$AW$77,39,FALSE)),"")</f>
        <v/>
      </c>
      <c r="AO38" s="184" t="str">
        <f>IFERROR(IF(VLOOKUP(Sat_W1[[#This Row],[Employee Name]],'Base Schedules'!$A$46:$AW$77,40,FALSE)="","",VLOOKUP(Sat_W1[[#This Row],[Employee Name]],'Base Schedules'!$A$46:$AW$77,40,FALSE)),"")</f>
        <v/>
      </c>
      <c r="AP38" s="184" t="str">
        <f>IFERROR(IF(VLOOKUP(Sat_W1[[#This Row],[Employee Name]],'Base Schedules'!$A$46:$AW$77,41,FALSE)="","",VLOOKUP(Sat_W1[[#This Row],[Employee Name]],'Base Schedules'!$A$46:$AW$77,41,FALSE)),"")</f>
        <v/>
      </c>
      <c r="AQ38" s="184" t="str">
        <f>IFERROR(IF(VLOOKUP(Sat_W1[[#This Row],[Employee Name]],'Base Schedules'!$A$46:$AW$77,42,FALSE)="","",VLOOKUP(Sat_W1[[#This Row],[Employee Name]],'Base Schedules'!$A$46:$AW$77,42,FALSE)),"")</f>
        <v/>
      </c>
      <c r="AR38" s="184" t="str">
        <f>IFERROR(IF(VLOOKUP(Sat_W1[[#This Row],[Employee Name]],'Base Schedules'!$A$46:$AW$77,43,FALSE)="","",VLOOKUP(Sat_W1[[#This Row],[Employee Name]],'Base Schedules'!$A$46:$AW$77,43,FALSE)),"")</f>
        <v/>
      </c>
      <c r="AS38" s="184" t="str">
        <f>IFERROR(IF(VLOOKUP(Sat_W1[[#This Row],[Employee Name]],'Base Schedules'!$A$46:$AW$77,44,FALSE)="","",VLOOKUP(Sat_W1[[#This Row],[Employee Name]],'Base Schedules'!$A$46:$AW$77,44,FALSE)),"")</f>
        <v/>
      </c>
      <c r="AT38" s="184" t="str">
        <f>IFERROR(IF(VLOOKUP(Sat_W1[[#This Row],[Employee Name]],'Base Schedules'!$A$46:$AW$77,45,FALSE)="","",VLOOKUP(Sat_W1[[#This Row],[Employee Name]],'Base Schedules'!$A$46:$AW$77,45,FALSE)),"")</f>
        <v/>
      </c>
      <c r="AU38" s="184" t="str">
        <f>IFERROR(IF(VLOOKUP(Sat_W1[[#This Row],[Employee Name]],'Base Schedules'!$A$46:$AW$77,46,FALSE)="","",VLOOKUP(Sat_W1[[#This Row],[Employee Name]],'Base Schedules'!$A$46:$AW$77,46,FALSE)),"")</f>
        <v/>
      </c>
      <c r="AV38" s="184" t="str">
        <f>IFERROR(IF(VLOOKUP(Sat_W1[[#This Row],[Employee Name]],'Base Schedules'!$A$46:$AW$77,47,FALSE)="","",VLOOKUP(Sat_W1[[#This Row],[Employee Name]],'Base Schedules'!$A$46:$AW$77,47,FALSE)),"")</f>
        <v/>
      </c>
      <c r="AW38" s="184" t="str">
        <f>IFERROR(IF(VLOOKUP(Sat_W1[[#This Row],[Employee Name]],'Base Schedules'!$A$46:$AW$77,48,FALSE)="","",VLOOKUP(Sat_W1[[#This Row],[Employee Name]],'Base Schedules'!$A$46:$AW$77,48,FALSE)),"")</f>
        <v/>
      </c>
      <c r="AX38" s="184" t="str">
        <f>IFERROR(IF(VLOOKUP(Sat_W1[[#This Row],[Employee Name]],'Base Schedules'!$A$46:$AW$77,49,FALSE)="","",VLOOKUP(Sat_W1[[#This Row],[Employee Name]],'Base Schedules'!$A$46:$AW$77,49,FALSE)),"")</f>
        <v/>
      </c>
      <c r="AY38" s="159" t="str">
        <f t="shared" si="2"/>
        <v/>
      </c>
    </row>
    <row r="39" spans="1:51" s="44" customFormat="1" ht="12" hidden="1" customHeight="1" x14ac:dyDescent="0.2">
      <c r="A39" s="39" t="str">
        <f>IF(B39="","",INDEX(TeamList[],MATCH($B39,TeamList[[Employee Name]:[Employee Name]],0),MATCH("Manager",TeamList[#Headers],0)))</f>
        <v/>
      </c>
      <c r="B39" s="201"/>
      <c r="C39" s="257" t="str">
        <f>_xlfn.IFNA(VLOOKUP(Sat_W1[[#This Row],[Employee Name]],'Base Schedules'!A:B,2,FALSE),"")</f>
        <v/>
      </c>
      <c r="D39" s="274" t="str">
        <f>_xlfn.IFNA(VLOOKUP(Sat_W1[[#This Row],[Employee Name]],'Base Schedules'!A:C,3,FALSE),"")</f>
        <v/>
      </c>
      <c r="E39" s="274" t="str">
        <f>_xlfn.IFNA(VLOOKUP(Sat_W1[[#This Row],[Employee Name]],'Base Schedules'!A:D,4,FALSE),"")</f>
        <v/>
      </c>
      <c r="F39" s="142" t="str">
        <f>IF(Sat_W1[[#This Row],[Employee Name]]="","",IF(Sat_W1[[#This Row],[Dept]]="Supervisor",COUNTIFS($J39:$AX39,"*HL*",$J39:$AX39,"&lt;&gt;"&amp;"pHL"),COUNTIFS($J39:$AX39,"*HL*",$J39:$AX39,"&lt;&gt;"&amp;"*pHL*",$J39:$AX39,"&lt;&gt;"&amp;"pB1 HL",$J39:$AX39,"&lt;&gt;"&amp;"pB2 HL")-SUM(COUNTIFS($J39:$AX39,"*HL B1*",$J39:$AX39,"&lt;&gt;"&amp;"pHL B1")*0.5,COUNTIFS($J39:$AX39,"*HL B2*",$J39:$AX39,"&lt;&gt;"&amp;"pHL B2")*0.5,COUNTIFS($J39:$AX39,"*B1 HL*",$J39:$AX39,"&lt;&gt;"&amp;"pB1 HL")*0.5,COUNTIFS($J39:$AX39,"*B2 HL*",$J39:$AX39,"&lt;&gt;"&amp;"pB2 HL")*0.5)))</f>
        <v/>
      </c>
      <c r="G39" s="142" t="str">
        <f t="shared" si="4"/>
        <v/>
      </c>
      <c r="H39" s="142" t="str">
        <f t="shared" si="1"/>
        <v/>
      </c>
      <c r="I39" s="142" t="str">
        <f>IF(Sat_W1[[#This Row],[Employee Name]]="","",IF(Sat_W1[[#This Row],[Dept]]="Supervisor",SUM(COUNTIFS($J39:$AX39,"RTA*",$J39:$AX39,"&lt;&gt;"&amp;"pRTA"),COUNTIFS($J39:$AX39,"*CRTA*",$J39:$AX39,"&lt;&gt;"&amp;"pCRTA")),COUNTIFS($J39:$AX39,"*RNNR*",$J39:$AX39,"&lt;&gt;"&amp;"*pRNNR*",$J39:$AX39,"&lt;&gt;"&amp;"pB1 RNNR",$J39:$AX39,"&lt;&gt;"&amp;"pB2 RNNR")-SUM(COUNTIFS($J39:$AX39,"*RNNR B1*",$J39:$AX39,"&lt;&gt;"&amp;"pRNNR B1")*0.5,COUNTIFS($J39:$AX39,"*RNNR B2*",$J39:$AX39,"&lt;&gt;"&amp;"pRNNR B2")*0.5,COUNTIFS($J39:$AX39,"*B1 RNNR*",$J39:$AX39,"&lt;&gt;"&amp;"pB1 RNNR")*0.5,COUNTIFS($J39:$AX39,"*B2 RNNR*",$J39:$AX39,"&lt;&gt;"&amp;"pB2 RNNR")*0.5)))</f>
        <v/>
      </c>
      <c r="J39" s="184" t="str">
        <f>IFERROR(IF(VLOOKUP(Sat_W1[[#This Row],[Employee Name]],'Base Schedules'!$A$46:$AW$77,9,FALSE)="","",VLOOKUP(Sat_W1[[#This Row],[Employee Name]],'Base Schedules'!$A$46:$AW$77,9,FALSE)),"")</f>
        <v/>
      </c>
      <c r="K39" s="184" t="str">
        <f>IFERROR(IF(VLOOKUP(Sat_W1[[#This Row],[Employee Name]],'Base Schedules'!$A$46:$AW$77,10,FALSE)="","",VLOOKUP(Sat_W1[[#This Row],[Employee Name]],'Base Schedules'!$A$46:$AW$77,10,FALSE)),"")</f>
        <v/>
      </c>
      <c r="L39" s="184" t="str">
        <f>IFERROR(IF(VLOOKUP(Sat_W1[[#This Row],[Employee Name]],'Base Schedules'!$A$46:$AW$77,11,FALSE)="","",VLOOKUP(Sat_W1[[#This Row],[Employee Name]],'Base Schedules'!$A$46:$AW$77,11,FALSE)),"")</f>
        <v/>
      </c>
      <c r="M39" s="184" t="str">
        <f>IFERROR(IF(VLOOKUP(Sat_W1[[#This Row],[Employee Name]],'Base Schedules'!$A$46:$AW$77,12,FALSE)="","",VLOOKUP(Sat_W1[[#This Row],[Employee Name]],'Base Schedules'!$A$46:$AW$77,12,FALSE)),"")</f>
        <v/>
      </c>
      <c r="N39" s="184" t="str">
        <f>IFERROR(IF(VLOOKUP(Sat_W1[[#This Row],[Employee Name]],'Base Schedules'!$A$46:$AW$77,13,FALSE)="","",VLOOKUP(Sat_W1[[#This Row],[Employee Name]],'Base Schedules'!$A$46:$AW$77,13,FALSE)),"")</f>
        <v/>
      </c>
      <c r="O39" s="184" t="str">
        <f>IFERROR(IF(VLOOKUP(Sat_W1[[#This Row],[Employee Name]],'Base Schedules'!$A$46:$AW$77,14,FALSE)="","",VLOOKUP(Sat_W1[[#This Row],[Employee Name]],'Base Schedules'!$A$46:$AW$77,14,FALSE)),"")</f>
        <v/>
      </c>
      <c r="P39" s="184" t="str">
        <f>IFERROR(IF(VLOOKUP(Sat_W1[[#This Row],[Employee Name]],'Base Schedules'!$A$46:$AW$77,15,FALSE)="","",VLOOKUP(Sat_W1[[#This Row],[Employee Name]],'Base Schedules'!$A$46:$AW$77,15,FALSE)),"")</f>
        <v/>
      </c>
      <c r="Q39" s="184" t="str">
        <f>IFERROR(IF(VLOOKUP(Sat_W1[[#This Row],[Employee Name]],'Base Schedules'!$A$46:$AW$77,16,FALSE)="","",VLOOKUP(Sat_W1[[#This Row],[Employee Name]],'Base Schedules'!$A$46:$AW$77,16,FALSE)),"")</f>
        <v/>
      </c>
      <c r="R39" s="184" t="str">
        <f>IFERROR(IF(VLOOKUP(Sat_W1[[#This Row],[Employee Name]],'Base Schedules'!$A$46:$AW$77,17,FALSE)="","",VLOOKUP(Sat_W1[[#This Row],[Employee Name]],'Base Schedules'!$A$46:$AW$77,17,FALSE)),"")</f>
        <v/>
      </c>
      <c r="S39" s="184" t="str">
        <f>IFERROR(IF(VLOOKUP(Sat_W1[[#This Row],[Employee Name]],'Base Schedules'!$A$46:$AW$77,18,FALSE)="","",VLOOKUP(Sat_W1[[#This Row],[Employee Name]],'Base Schedules'!$A$46:$AW$77,18,FALSE)),"")</f>
        <v/>
      </c>
      <c r="T39" s="184" t="str">
        <f>IFERROR(IF(VLOOKUP(Sat_W1[[#This Row],[Employee Name]],'Base Schedules'!$A$46:$AW$77,19,FALSE)="","",VLOOKUP(Sat_W1[[#This Row],[Employee Name]],'Base Schedules'!$A$46:$AW$77,19,FALSE)),"")</f>
        <v/>
      </c>
      <c r="U39" s="184" t="str">
        <f>IFERROR(IF(VLOOKUP(Sat_W1[[#This Row],[Employee Name]],'Base Schedules'!$A$46:$AW$77,20,FALSE)="","",VLOOKUP(Sat_W1[[#This Row],[Employee Name]],'Base Schedules'!$A$46:$AW$77,20,FALSE)),"")</f>
        <v/>
      </c>
      <c r="V39" s="184" t="str">
        <f>IFERROR(IF(VLOOKUP(Sat_W1[[#This Row],[Employee Name]],'Base Schedules'!$A$46:$AW$77,21,FALSE)="","",VLOOKUP(Sat_W1[[#This Row],[Employee Name]],'Base Schedules'!$A$46:$AW$77,21,FALSE)),"")</f>
        <v/>
      </c>
      <c r="W39" s="184" t="str">
        <f>IFERROR(IF(VLOOKUP(Sat_W1[[#This Row],[Employee Name]],'Base Schedules'!$A$46:$AW$77,22,FALSE)="","",VLOOKUP(Sat_W1[[#This Row],[Employee Name]],'Base Schedules'!$A$46:$AW$77,22,FALSE)),"")</f>
        <v/>
      </c>
      <c r="X39" s="184" t="str">
        <f>IFERROR(IF(VLOOKUP(Sat_W1[[#This Row],[Employee Name]],'Base Schedules'!$A$46:$AW$77,23,FALSE)="","",VLOOKUP(Sat_W1[[#This Row],[Employee Name]],'Base Schedules'!$A$46:$AW$77,23,FALSE)),"")</f>
        <v/>
      </c>
      <c r="Y39" s="184" t="str">
        <f>IFERROR(IF(VLOOKUP(Sat_W1[[#This Row],[Employee Name]],'Base Schedules'!$A$46:$AW$77,24,FALSE)="","",VLOOKUP(Sat_W1[[#This Row],[Employee Name]],'Base Schedules'!$A$46:$AW$77,24,FALSE)),"")</f>
        <v/>
      </c>
      <c r="Z39" s="184" t="str">
        <f>IFERROR(IF(VLOOKUP(Sat_W1[[#This Row],[Employee Name]],'Base Schedules'!$A$46:$AW$77,25,FALSE)="","",VLOOKUP(Sat_W1[[#This Row],[Employee Name]],'Base Schedules'!$A$46:$AW$77,25,FALSE)),"")</f>
        <v/>
      </c>
      <c r="AA39" s="184" t="str">
        <f>IFERROR(IF(VLOOKUP(Sat_W1[[#This Row],[Employee Name]],'Base Schedules'!$A$46:$AW$77,26,FALSE)="","",VLOOKUP(Sat_W1[[#This Row],[Employee Name]],'Base Schedules'!$A$46:$AW$77,26,FALSE)),"")</f>
        <v/>
      </c>
      <c r="AB39" s="184" t="str">
        <f>IFERROR(IF(VLOOKUP(Sat_W1[[#This Row],[Employee Name]],'Base Schedules'!$A$46:$AW$77,27,FALSE)="","",VLOOKUP(Sat_W1[[#This Row],[Employee Name]],'Base Schedules'!$A$46:$AW$77,27,FALSE)),"")</f>
        <v/>
      </c>
      <c r="AC39" s="184" t="str">
        <f>IFERROR(IF(VLOOKUP(Sat_W1[[#This Row],[Employee Name]],'Base Schedules'!$A$46:$AW$77,28,FALSE)="","",VLOOKUP(Sat_W1[[#This Row],[Employee Name]],'Base Schedules'!$A$46:$AW$77,28,FALSE)),"")</f>
        <v/>
      </c>
      <c r="AD39" s="184" t="str">
        <f>IFERROR(IF(VLOOKUP(Sat_W1[[#This Row],[Employee Name]],'Base Schedules'!$A$46:$AW$77,29,FALSE)="","",VLOOKUP(Sat_W1[[#This Row],[Employee Name]],'Base Schedules'!$A$46:$AW$77,29,FALSE)),"")</f>
        <v/>
      </c>
      <c r="AE39" s="184" t="str">
        <f>IFERROR(IF(VLOOKUP(Sat_W1[[#This Row],[Employee Name]],'Base Schedules'!$A$46:$AW$77,30,FALSE)="","",VLOOKUP(Sat_W1[[#This Row],[Employee Name]],'Base Schedules'!$A$46:$AW$77,30,FALSE)),"")</f>
        <v/>
      </c>
      <c r="AF39" s="184" t="str">
        <f>IFERROR(IF(VLOOKUP(Sat_W1[[#This Row],[Employee Name]],'Base Schedules'!$A$46:$AW$77,31,FALSE)="","",VLOOKUP(Sat_W1[[#This Row],[Employee Name]],'Base Schedules'!$A$46:$AW$77,31,FALSE)),"")</f>
        <v/>
      </c>
      <c r="AG39" s="184" t="str">
        <f>IFERROR(IF(VLOOKUP(Sat_W1[[#This Row],[Employee Name]],'Base Schedules'!$A$46:$AW$77,32,FALSE)="","",VLOOKUP(Sat_W1[[#This Row],[Employee Name]],'Base Schedules'!$A$46:$AW$77,32,FALSE)),"")</f>
        <v/>
      </c>
      <c r="AH39" s="184" t="str">
        <f>IFERROR(IF(VLOOKUP(Sat_W1[[#This Row],[Employee Name]],'Base Schedules'!$A$46:$AW$77,33,FALSE)="","",VLOOKUP(Sat_W1[[#This Row],[Employee Name]],'Base Schedules'!$A$46:$AW$77,33,FALSE)),"")</f>
        <v/>
      </c>
      <c r="AI39" s="184" t="str">
        <f>IFERROR(IF(VLOOKUP(Sat_W1[[#This Row],[Employee Name]],'Base Schedules'!$A$46:$AW$77,34,FALSE)="","",VLOOKUP(Sat_W1[[#This Row],[Employee Name]],'Base Schedules'!$A$46:$AW$77,34,FALSE)),"")</f>
        <v/>
      </c>
      <c r="AJ39" s="184" t="str">
        <f>IFERROR(IF(VLOOKUP(Sat_W1[[#This Row],[Employee Name]],'Base Schedules'!$A$46:$AW$77,35,FALSE)="","",VLOOKUP(Sat_W1[[#This Row],[Employee Name]],'Base Schedules'!$A$46:$AW$77,35,FALSE)),"")</f>
        <v/>
      </c>
      <c r="AK39" s="184" t="str">
        <f>IFERROR(IF(VLOOKUP(Sat_W1[[#This Row],[Employee Name]],'Base Schedules'!$A$46:$AW$77,36,FALSE)="","",VLOOKUP(Sat_W1[[#This Row],[Employee Name]],'Base Schedules'!$A$46:$AW$77,36,FALSE)),"")</f>
        <v/>
      </c>
      <c r="AL39" s="184" t="str">
        <f>IFERROR(IF(VLOOKUP(Sat_W1[[#This Row],[Employee Name]],'Base Schedules'!$A$46:$AW$77,37,FALSE)="","",VLOOKUP(Sat_W1[[#This Row],[Employee Name]],'Base Schedules'!$A$46:$AW$77,37,FALSE)),"")</f>
        <v/>
      </c>
      <c r="AM39" s="184" t="str">
        <f>IFERROR(IF(VLOOKUP(Sat_W1[[#This Row],[Employee Name]],'Base Schedules'!$A$46:$AW$77,38,FALSE)="","",VLOOKUP(Sat_W1[[#This Row],[Employee Name]],'Base Schedules'!$A$46:$AW$77,38,FALSE)),"")</f>
        <v/>
      </c>
      <c r="AN39" s="184" t="str">
        <f>IFERROR(IF(VLOOKUP(Sat_W1[[#This Row],[Employee Name]],'Base Schedules'!$A$46:$AW$77,39,FALSE)="","",VLOOKUP(Sat_W1[[#This Row],[Employee Name]],'Base Schedules'!$A$46:$AW$77,39,FALSE)),"")</f>
        <v/>
      </c>
      <c r="AO39" s="184" t="str">
        <f>IFERROR(IF(VLOOKUP(Sat_W1[[#This Row],[Employee Name]],'Base Schedules'!$A$46:$AW$77,40,FALSE)="","",VLOOKUP(Sat_W1[[#This Row],[Employee Name]],'Base Schedules'!$A$46:$AW$77,40,FALSE)),"")</f>
        <v/>
      </c>
      <c r="AP39" s="184" t="str">
        <f>IFERROR(IF(VLOOKUP(Sat_W1[[#This Row],[Employee Name]],'Base Schedules'!$A$46:$AW$77,41,FALSE)="","",VLOOKUP(Sat_W1[[#This Row],[Employee Name]],'Base Schedules'!$A$46:$AW$77,41,FALSE)),"")</f>
        <v/>
      </c>
      <c r="AQ39" s="184" t="str">
        <f>IFERROR(IF(VLOOKUP(Sat_W1[[#This Row],[Employee Name]],'Base Schedules'!$A$46:$AW$77,42,FALSE)="","",VLOOKUP(Sat_W1[[#This Row],[Employee Name]],'Base Schedules'!$A$46:$AW$77,42,FALSE)),"")</f>
        <v/>
      </c>
      <c r="AR39" s="184" t="str">
        <f>IFERROR(IF(VLOOKUP(Sat_W1[[#This Row],[Employee Name]],'Base Schedules'!$A$46:$AW$77,43,FALSE)="","",VLOOKUP(Sat_W1[[#This Row],[Employee Name]],'Base Schedules'!$A$46:$AW$77,43,FALSE)),"")</f>
        <v/>
      </c>
      <c r="AS39" s="184" t="str">
        <f>IFERROR(IF(VLOOKUP(Sat_W1[[#This Row],[Employee Name]],'Base Schedules'!$A$46:$AW$77,44,FALSE)="","",VLOOKUP(Sat_W1[[#This Row],[Employee Name]],'Base Schedules'!$A$46:$AW$77,44,FALSE)),"")</f>
        <v/>
      </c>
      <c r="AT39" s="184" t="str">
        <f>IFERROR(IF(VLOOKUP(Sat_W1[[#This Row],[Employee Name]],'Base Schedules'!$A$46:$AW$77,45,FALSE)="","",VLOOKUP(Sat_W1[[#This Row],[Employee Name]],'Base Schedules'!$A$46:$AW$77,45,FALSE)),"")</f>
        <v/>
      </c>
      <c r="AU39" s="184" t="str">
        <f>IFERROR(IF(VLOOKUP(Sat_W1[[#This Row],[Employee Name]],'Base Schedules'!$A$46:$AW$77,46,FALSE)="","",VLOOKUP(Sat_W1[[#This Row],[Employee Name]],'Base Schedules'!$A$46:$AW$77,46,FALSE)),"")</f>
        <v/>
      </c>
      <c r="AV39" s="184" t="str">
        <f>IFERROR(IF(VLOOKUP(Sat_W1[[#This Row],[Employee Name]],'Base Schedules'!$A$46:$AW$77,47,FALSE)="","",VLOOKUP(Sat_W1[[#This Row],[Employee Name]],'Base Schedules'!$A$46:$AW$77,47,FALSE)),"")</f>
        <v/>
      </c>
      <c r="AW39" s="184" t="str">
        <f>IFERROR(IF(VLOOKUP(Sat_W1[[#This Row],[Employee Name]],'Base Schedules'!$A$46:$AW$77,48,FALSE)="","",VLOOKUP(Sat_W1[[#This Row],[Employee Name]],'Base Schedules'!$A$46:$AW$77,48,FALSE)),"")</f>
        <v/>
      </c>
      <c r="AX39" s="184" t="str">
        <f>IFERROR(IF(VLOOKUP(Sat_W1[[#This Row],[Employee Name]],'Base Schedules'!$A$46:$AW$77,49,FALSE)="","",VLOOKUP(Sat_W1[[#This Row],[Employee Name]],'Base Schedules'!$A$46:$AW$77,49,FALSE)),"")</f>
        <v/>
      </c>
      <c r="AY39" s="159" t="str">
        <f t="shared" si="2"/>
        <v/>
      </c>
    </row>
    <row r="40" spans="1:51" s="44" customFormat="1" ht="12" hidden="1" customHeight="1" x14ac:dyDescent="0.2">
      <c r="A40" s="39" t="str">
        <f>IF(B40="","",INDEX(TeamList[],MATCH($B40,TeamList[[Employee Name]:[Employee Name]],0),MATCH("Manager",TeamList[#Headers],0)))</f>
        <v/>
      </c>
      <c r="B40" s="201"/>
      <c r="C40" s="257" t="str">
        <f>_xlfn.IFNA(VLOOKUP(Sat_W1[[#This Row],[Employee Name]],'Base Schedules'!A:B,2,FALSE),"")</f>
        <v/>
      </c>
      <c r="D40" s="274" t="str">
        <f>_xlfn.IFNA(VLOOKUP(Sat_W1[[#This Row],[Employee Name]],'Base Schedules'!A:C,3,FALSE),"")</f>
        <v/>
      </c>
      <c r="E40" s="274" t="str">
        <f>_xlfn.IFNA(VLOOKUP(Sat_W1[[#This Row],[Employee Name]],'Base Schedules'!A:D,4,FALSE),"")</f>
        <v/>
      </c>
      <c r="F40" s="142" t="str">
        <f>IF(Sat_W1[[#This Row],[Employee Name]]="","",IF(Sat_W1[[#This Row],[Dept]]="Supervisor",COUNTIFS($J40:$AX40,"*HL*",$J40:$AX40,"&lt;&gt;"&amp;"pHL"),COUNTIFS($J40:$AX40,"*HL*",$J40:$AX40,"&lt;&gt;"&amp;"*pHL*",$J40:$AX40,"&lt;&gt;"&amp;"pB1 HL",$J40:$AX40,"&lt;&gt;"&amp;"pB2 HL")-SUM(COUNTIFS($J40:$AX40,"*HL B1*",$J40:$AX40,"&lt;&gt;"&amp;"pHL B1")*0.5,COUNTIFS($J40:$AX40,"*HL B2*",$J40:$AX40,"&lt;&gt;"&amp;"pHL B2")*0.5,COUNTIFS($J40:$AX40,"*B1 HL*",$J40:$AX40,"&lt;&gt;"&amp;"pB1 HL")*0.5,COUNTIFS($J40:$AX40,"*B2 HL*",$J40:$AX40,"&lt;&gt;"&amp;"pB2 HL")*0.5)))</f>
        <v/>
      </c>
      <c r="G40" s="142" t="str">
        <f t="shared" si="4"/>
        <v/>
      </c>
      <c r="H40" s="142" t="str">
        <f t="shared" si="1"/>
        <v/>
      </c>
      <c r="I40" s="142" t="str">
        <f>IF(Sat_W1[[#This Row],[Employee Name]]="","",IF(Sat_W1[[#This Row],[Dept]]="Supervisor",SUM(COUNTIFS($J40:$AX40,"RTA*",$J40:$AX40,"&lt;&gt;"&amp;"pRTA"),COUNTIFS($J40:$AX40,"*CRTA*",$J40:$AX40,"&lt;&gt;"&amp;"pCRTA")),COUNTIFS($J40:$AX40,"*RNNR*",$J40:$AX40,"&lt;&gt;"&amp;"*pRNNR*",$J40:$AX40,"&lt;&gt;"&amp;"pB1 RNNR",$J40:$AX40,"&lt;&gt;"&amp;"pB2 RNNR")-SUM(COUNTIFS($J40:$AX40,"*RNNR B1*",$J40:$AX40,"&lt;&gt;"&amp;"pRNNR B1")*0.5,COUNTIFS($J40:$AX40,"*RNNR B2*",$J40:$AX40,"&lt;&gt;"&amp;"pRNNR B2")*0.5,COUNTIFS($J40:$AX40,"*B1 RNNR*",$J40:$AX40,"&lt;&gt;"&amp;"pB1 RNNR")*0.5,COUNTIFS($J40:$AX40,"*B2 RNNR*",$J40:$AX40,"&lt;&gt;"&amp;"pB2 RNNR")*0.5)))</f>
        <v/>
      </c>
      <c r="J40" s="184" t="str">
        <f>IFERROR(IF(VLOOKUP(Sat_W1[[#This Row],[Employee Name]],'Base Schedules'!$A$46:$AW$77,9,FALSE)="","",VLOOKUP(Sat_W1[[#This Row],[Employee Name]],'Base Schedules'!$A$46:$AW$77,9,FALSE)),"")</f>
        <v/>
      </c>
      <c r="K40" s="184" t="str">
        <f>IFERROR(IF(VLOOKUP(Sat_W1[[#This Row],[Employee Name]],'Base Schedules'!$A$46:$AW$77,10,FALSE)="","",VLOOKUP(Sat_W1[[#This Row],[Employee Name]],'Base Schedules'!$A$46:$AW$77,10,FALSE)),"")</f>
        <v/>
      </c>
      <c r="L40" s="184" t="str">
        <f>IFERROR(IF(VLOOKUP(Sat_W1[[#This Row],[Employee Name]],'Base Schedules'!$A$46:$AW$77,11,FALSE)="","",VLOOKUP(Sat_W1[[#This Row],[Employee Name]],'Base Schedules'!$A$46:$AW$77,11,FALSE)),"")</f>
        <v/>
      </c>
      <c r="M40" s="184" t="str">
        <f>IFERROR(IF(VLOOKUP(Sat_W1[[#This Row],[Employee Name]],'Base Schedules'!$A$46:$AW$77,12,FALSE)="","",VLOOKUP(Sat_W1[[#This Row],[Employee Name]],'Base Schedules'!$A$46:$AW$77,12,FALSE)),"")</f>
        <v/>
      </c>
      <c r="N40" s="184" t="str">
        <f>IFERROR(IF(VLOOKUP(Sat_W1[[#This Row],[Employee Name]],'Base Schedules'!$A$46:$AW$77,13,FALSE)="","",VLOOKUP(Sat_W1[[#This Row],[Employee Name]],'Base Schedules'!$A$46:$AW$77,13,FALSE)),"")</f>
        <v/>
      </c>
      <c r="O40" s="184" t="str">
        <f>IFERROR(IF(VLOOKUP(Sat_W1[[#This Row],[Employee Name]],'Base Schedules'!$A$46:$AW$77,14,FALSE)="","",VLOOKUP(Sat_W1[[#This Row],[Employee Name]],'Base Schedules'!$A$46:$AW$77,14,FALSE)),"")</f>
        <v/>
      </c>
      <c r="P40" s="184" t="str">
        <f>IFERROR(IF(VLOOKUP(Sat_W1[[#This Row],[Employee Name]],'Base Schedules'!$A$46:$AW$77,15,FALSE)="","",VLOOKUP(Sat_W1[[#This Row],[Employee Name]],'Base Schedules'!$A$46:$AW$77,15,FALSE)),"")</f>
        <v/>
      </c>
      <c r="Q40" s="184" t="str">
        <f>IFERROR(IF(VLOOKUP(Sat_W1[[#This Row],[Employee Name]],'Base Schedules'!$A$46:$AW$77,16,FALSE)="","",VLOOKUP(Sat_W1[[#This Row],[Employee Name]],'Base Schedules'!$A$46:$AW$77,16,FALSE)),"")</f>
        <v/>
      </c>
      <c r="R40" s="184" t="str">
        <f>IFERROR(IF(VLOOKUP(Sat_W1[[#This Row],[Employee Name]],'Base Schedules'!$A$46:$AW$77,17,FALSE)="","",VLOOKUP(Sat_W1[[#This Row],[Employee Name]],'Base Schedules'!$A$46:$AW$77,17,FALSE)),"")</f>
        <v/>
      </c>
      <c r="S40" s="184" t="str">
        <f>IFERROR(IF(VLOOKUP(Sat_W1[[#This Row],[Employee Name]],'Base Schedules'!$A$46:$AW$77,18,FALSE)="","",VLOOKUP(Sat_W1[[#This Row],[Employee Name]],'Base Schedules'!$A$46:$AW$77,18,FALSE)),"")</f>
        <v/>
      </c>
      <c r="T40" s="184" t="str">
        <f>IFERROR(IF(VLOOKUP(Sat_W1[[#This Row],[Employee Name]],'Base Schedules'!$A$46:$AW$77,19,FALSE)="","",VLOOKUP(Sat_W1[[#This Row],[Employee Name]],'Base Schedules'!$A$46:$AW$77,19,FALSE)),"")</f>
        <v/>
      </c>
      <c r="U40" s="184" t="str">
        <f>IFERROR(IF(VLOOKUP(Sat_W1[[#This Row],[Employee Name]],'Base Schedules'!$A$46:$AW$77,20,FALSE)="","",VLOOKUP(Sat_W1[[#This Row],[Employee Name]],'Base Schedules'!$A$46:$AW$77,20,FALSE)),"")</f>
        <v/>
      </c>
      <c r="V40" s="184" t="str">
        <f>IFERROR(IF(VLOOKUP(Sat_W1[[#This Row],[Employee Name]],'Base Schedules'!$A$46:$AW$77,21,FALSE)="","",VLOOKUP(Sat_W1[[#This Row],[Employee Name]],'Base Schedules'!$A$46:$AW$77,21,FALSE)),"")</f>
        <v/>
      </c>
      <c r="W40" s="184" t="str">
        <f>IFERROR(IF(VLOOKUP(Sat_W1[[#This Row],[Employee Name]],'Base Schedules'!$A$46:$AW$77,22,FALSE)="","",VLOOKUP(Sat_W1[[#This Row],[Employee Name]],'Base Schedules'!$A$46:$AW$77,22,FALSE)),"")</f>
        <v/>
      </c>
      <c r="X40" s="184" t="str">
        <f>IFERROR(IF(VLOOKUP(Sat_W1[[#This Row],[Employee Name]],'Base Schedules'!$A$46:$AW$77,23,FALSE)="","",VLOOKUP(Sat_W1[[#This Row],[Employee Name]],'Base Schedules'!$A$46:$AW$77,23,FALSE)),"")</f>
        <v/>
      </c>
      <c r="Y40" s="184" t="str">
        <f>IFERROR(IF(VLOOKUP(Sat_W1[[#This Row],[Employee Name]],'Base Schedules'!$A$46:$AW$77,24,FALSE)="","",VLOOKUP(Sat_W1[[#This Row],[Employee Name]],'Base Schedules'!$A$46:$AW$77,24,FALSE)),"")</f>
        <v/>
      </c>
      <c r="Z40" s="184" t="str">
        <f>IFERROR(IF(VLOOKUP(Sat_W1[[#This Row],[Employee Name]],'Base Schedules'!$A$46:$AW$77,25,FALSE)="","",VLOOKUP(Sat_W1[[#This Row],[Employee Name]],'Base Schedules'!$A$46:$AW$77,25,FALSE)),"")</f>
        <v/>
      </c>
      <c r="AA40" s="184" t="str">
        <f>IFERROR(IF(VLOOKUP(Sat_W1[[#This Row],[Employee Name]],'Base Schedules'!$A$46:$AW$77,26,FALSE)="","",VLOOKUP(Sat_W1[[#This Row],[Employee Name]],'Base Schedules'!$A$46:$AW$77,26,FALSE)),"")</f>
        <v/>
      </c>
      <c r="AB40" s="184" t="str">
        <f>IFERROR(IF(VLOOKUP(Sat_W1[[#This Row],[Employee Name]],'Base Schedules'!$A$46:$AW$77,27,FALSE)="","",VLOOKUP(Sat_W1[[#This Row],[Employee Name]],'Base Schedules'!$A$46:$AW$77,27,FALSE)),"")</f>
        <v/>
      </c>
      <c r="AC40" s="184" t="str">
        <f>IFERROR(IF(VLOOKUP(Sat_W1[[#This Row],[Employee Name]],'Base Schedules'!$A$46:$AW$77,28,FALSE)="","",VLOOKUP(Sat_W1[[#This Row],[Employee Name]],'Base Schedules'!$A$46:$AW$77,28,FALSE)),"")</f>
        <v/>
      </c>
      <c r="AD40" s="184" t="str">
        <f>IFERROR(IF(VLOOKUP(Sat_W1[[#This Row],[Employee Name]],'Base Schedules'!$A$46:$AW$77,29,FALSE)="","",VLOOKUP(Sat_W1[[#This Row],[Employee Name]],'Base Schedules'!$A$46:$AW$77,29,FALSE)),"")</f>
        <v/>
      </c>
      <c r="AE40" s="184" t="str">
        <f>IFERROR(IF(VLOOKUP(Sat_W1[[#This Row],[Employee Name]],'Base Schedules'!$A$46:$AW$77,30,FALSE)="","",VLOOKUP(Sat_W1[[#This Row],[Employee Name]],'Base Schedules'!$A$46:$AW$77,30,FALSE)),"")</f>
        <v/>
      </c>
      <c r="AF40" s="184" t="str">
        <f>IFERROR(IF(VLOOKUP(Sat_W1[[#This Row],[Employee Name]],'Base Schedules'!$A$46:$AW$77,31,FALSE)="","",VLOOKUP(Sat_W1[[#This Row],[Employee Name]],'Base Schedules'!$A$46:$AW$77,31,FALSE)),"")</f>
        <v/>
      </c>
      <c r="AG40" s="184" t="str">
        <f>IFERROR(IF(VLOOKUP(Sat_W1[[#This Row],[Employee Name]],'Base Schedules'!$A$46:$AW$77,32,FALSE)="","",VLOOKUP(Sat_W1[[#This Row],[Employee Name]],'Base Schedules'!$A$46:$AW$77,32,FALSE)),"")</f>
        <v/>
      </c>
      <c r="AH40" s="184" t="str">
        <f>IFERROR(IF(VLOOKUP(Sat_W1[[#This Row],[Employee Name]],'Base Schedules'!$A$46:$AW$77,33,FALSE)="","",VLOOKUP(Sat_W1[[#This Row],[Employee Name]],'Base Schedules'!$A$46:$AW$77,33,FALSE)),"")</f>
        <v/>
      </c>
      <c r="AI40" s="184" t="str">
        <f>IFERROR(IF(VLOOKUP(Sat_W1[[#This Row],[Employee Name]],'Base Schedules'!$A$46:$AW$77,34,FALSE)="","",VLOOKUP(Sat_W1[[#This Row],[Employee Name]],'Base Schedules'!$A$46:$AW$77,34,FALSE)),"")</f>
        <v/>
      </c>
      <c r="AJ40" s="184" t="str">
        <f>IFERROR(IF(VLOOKUP(Sat_W1[[#This Row],[Employee Name]],'Base Schedules'!$A$46:$AW$77,35,FALSE)="","",VLOOKUP(Sat_W1[[#This Row],[Employee Name]],'Base Schedules'!$A$46:$AW$77,35,FALSE)),"")</f>
        <v/>
      </c>
      <c r="AK40" s="184" t="str">
        <f>IFERROR(IF(VLOOKUP(Sat_W1[[#This Row],[Employee Name]],'Base Schedules'!$A$46:$AW$77,36,FALSE)="","",VLOOKUP(Sat_W1[[#This Row],[Employee Name]],'Base Schedules'!$A$46:$AW$77,36,FALSE)),"")</f>
        <v/>
      </c>
      <c r="AL40" s="184" t="str">
        <f>IFERROR(IF(VLOOKUP(Sat_W1[[#This Row],[Employee Name]],'Base Schedules'!$A$46:$AW$77,37,FALSE)="","",VLOOKUP(Sat_W1[[#This Row],[Employee Name]],'Base Schedules'!$A$46:$AW$77,37,FALSE)),"")</f>
        <v/>
      </c>
      <c r="AM40" s="184" t="str">
        <f>IFERROR(IF(VLOOKUP(Sat_W1[[#This Row],[Employee Name]],'Base Schedules'!$A$46:$AW$77,38,FALSE)="","",VLOOKUP(Sat_W1[[#This Row],[Employee Name]],'Base Schedules'!$A$46:$AW$77,38,FALSE)),"")</f>
        <v/>
      </c>
      <c r="AN40" s="184" t="str">
        <f>IFERROR(IF(VLOOKUP(Sat_W1[[#This Row],[Employee Name]],'Base Schedules'!$A$46:$AW$77,39,FALSE)="","",VLOOKUP(Sat_W1[[#This Row],[Employee Name]],'Base Schedules'!$A$46:$AW$77,39,FALSE)),"")</f>
        <v/>
      </c>
      <c r="AO40" s="184" t="str">
        <f>IFERROR(IF(VLOOKUP(Sat_W1[[#This Row],[Employee Name]],'Base Schedules'!$A$46:$AW$77,40,FALSE)="","",VLOOKUP(Sat_W1[[#This Row],[Employee Name]],'Base Schedules'!$A$46:$AW$77,40,FALSE)),"")</f>
        <v/>
      </c>
      <c r="AP40" s="184" t="str">
        <f>IFERROR(IF(VLOOKUP(Sat_W1[[#This Row],[Employee Name]],'Base Schedules'!$A$46:$AW$77,41,FALSE)="","",VLOOKUP(Sat_W1[[#This Row],[Employee Name]],'Base Schedules'!$A$46:$AW$77,41,FALSE)),"")</f>
        <v/>
      </c>
      <c r="AQ40" s="184" t="str">
        <f>IFERROR(IF(VLOOKUP(Sat_W1[[#This Row],[Employee Name]],'Base Schedules'!$A$46:$AW$77,42,FALSE)="","",VLOOKUP(Sat_W1[[#This Row],[Employee Name]],'Base Schedules'!$A$46:$AW$77,42,FALSE)),"")</f>
        <v/>
      </c>
      <c r="AR40" s="184" t="str">
        <f>IFERROR(IF(VLOOKUP(Sat_W1[[#This Row],[Employee Name]],'Base Schedules'!$A$46:$AW$77,43,FALSE)="","",VLOOKUP(Sat_W1[[#This Row],[Employee Name]],'Base Schedules'!$A$46:$AW$77,43,FALSE)),"")</f>
        <v/>
      </c>
      <c r="AS40" s="184" t="str">
        <f>IFERROR(IF(VLOOKUP(Sat_W1[[#This Row],[Employee Name]],'Base Schedules'!$A$46:$AW$77,44,FALSE)="","",VLOOKUP(Sat_W1[[#This Row],[Employee Name]],'Base Schedules'!$A$46:$AW$77,44,FALSE)),"")</f>
        <v/>
      </c>
      <c r="AT40" s="184" t="str">
        <f>IFERROR(IF(VLOOKUP(Sat_W1[[#This Row],[Employee Name]],'Base Schedules'!$A$46:$AW$77,45,FALSE)="","",VLOOKUP(Sat_W1[[#This Row],[Employee Name]],'Base Schedules'!$A$46:$AW$77,45,FALSE)),"")</f>
        <v/>
      </c>
      <c r="AU40" s="184" t="str">
        <f>IFERROR(IF(VLOOKUP(Sat_W1[[#This Row],[Employee Name]],'Base Schedules'!$A$46:$AW$77,46,FALSE)="","",VLOOKUP(Sat_W1[[#This Row],[Employee Name]],'Base Schedules'!$A$46:$AW$77,46,FALSE)),"")</f>
        <v/>
      </c>
      <c r="AV40" s="184" t="str">
        <f>IFERROR(IF(VLOOKUP(Sat_W1[[#This Row],[Employee Name]],'Base Schedules'!$A$46:$AW$77,47,FALSE)="","",VLOOKUP(Sat_W1[[#This Row],[Employee Name]],'Base Schedules'!$A$46:$AW$77,47,FALSE)),"")</f>
        <v/>
      </c>
      <c r="AW40" s="184" t="str">
        <f>IFERROR(IF(VLOOKUP(Sat_W1[[#This Row],[Employee Name]],'Base Schedules'!$A$46:$AW$77,48,FALSE)="","",VLOOKUP(Sat_W1[[#This Row],[Employee Name]],'Base Schedules'!$A$46:$AW$77,48,FALSE)),"")</f>
        <v/>
      </c>
      <c r="AX40" s="184" t="str">
        <f>IFERROR(IF(VLOOKUP(Sat_W1[[#This Row],[Employee Name]],'Base Schedules'!$A$46:$AW$77,49,FALSE)="","",VLOOKUP(Sat_W1[[#This Row],[Employee Name]],'Base Schedules'!$A$46:$AW$77,49,FALSE)),"")</f>
        <v/>
      </c>
      <c r="AY40" s="161" t="str">
        <f t="shared" si="2"/>
        <v/>
      </c>
    </row>
    <row r="41" spans="1:51" s="44" customFormat="1" ht="12" hidden="1" customHeight="1" x14ac:dyDescent="0.2">
      <c r="A41" s="39" t="str">
        <f>IF(B41="","",INDEX(TeamList[],MATCH($B41,TeamList[[Employee Name]:[Employee Name]],0),MATCH("Manager",TeamList[#Headers],0)))</f>
        <v/>
      </c>
      <c r="B41" s="201"/>
      <c r="C41" s="257" t="str">
        <f>_xlfn.IFNA(VLOOKUP(Sat_W1[[#This Row],[Employee Name]],'Base Schedules'!A:B,2,FALSE),"")</f>
        <v/>
      </c>
      <c r="D41" s="274" t="str">
        <f>_xlfn.IFNA(VLOOKUP(Sat_W1[[#This Row],[Employee Name]],'Base Schedules'!A:C,3,FALSE),"")</f>
        <v/>
      </c>
      <c r="E41" s="274" t="str">
        <f>_xlfn.IFNA(VLOOKUP(Sat_W1[[#This Row],[Employee Name]],'Base Schedules'!A:D,4,FALSE),"")</f>
        <v/>
      </c>
      <c r="F41" s="142" t="str">
        <f>IF(Sat_W1[[#This Row],[Employee Name]]="","",IF(Sat_W1[[#This Row],[Dept]]="Supervisor",COUNTIFS($J41:$AX41,"*HL*",$J41:$AX41,"&lt;&gt;"&amp;"pHL"),COUNTIFS($J41:$AX41,"*HL*",$J41:$AX41,"&lt;&gt;"&amp;"*pHL*",$J41:$AX41,"&lt;&gt;"&amp;"pB1 HL",$J41:$AX41,"&lt;&gt;"&amp;"pB2 HL")-SUM(COUNTIFS($J41:$AX41,"*HL B1*",$J41:$AX41,"&lt;&gt;"&amp;"pHL B1")*0.5,COUNTIFS($J41:$AX41,"*HL B2*",$J41:$AX41,"&lt;&gt;"&amp;"pHL B2")*0.5,COUNTIFS($J41:$AX41,"*B1 HL*",$J41:$AX41,"&lt;&gt;"&amp;"pB1 HL")*0.5,COUNTIFS($J41:$AX41,"*B2 HL*",$J41:$AX41,"&lt;&gt;"&amp;"pB2 HL")*0.5)))</f>
        <v/>
      </c>
      <c r="G41" s="142" t="str">
        <f t="shared" si="4"/>
        <v/>
      </c>
      <c r="H41" s="142" t="str">
        <f t="shared" si="1"/>
        <v/>
      </c>
      <c r="I41" s="142" t="str">
        <f>IF(Sat_W1[[#This Row],[Employee Name]]="","",IF(Sat_W1[[#This Row],[Dept]]="Supervisor",SUM(COUNTIFS($J41:$AX41,"RTA*",$J41:$AX41,"&lt;&gt;"&amp;"pRTA"),COUNTIFS($J41:$AX41,"*CRTA*",$J41:$AX41,"&lt;&gt;"&amp;"pCRTA")),COUNTIFS($J41:$AX41,"*RNNR*",$J41:$AX41,"&lt;&gt;"&amp;"*pRNNR*",$J41:$AX41,"&lt;&gt;"&amp;"pB1 RNNR",$J41:$AX41,"&lt;&gt;"&amp;"pB2 RNNR")-SUM(COUNTIFS($J41:$AX41,"*RNNR B1*",$J41:$AX41,"&lt;&gt;"&amp;"pRNNR B1")*0.5,COUNTIFS($J41:$AX41,"*RNNR B2*",$J41:$AX41,"&lt;&gt;"&amp;"pRNNR B2")*0.5,COUNTIFS($J41:$AX41,"*B1 RNNR*",$J41:$AX41,"&lt;&gt;"&amp;"pB1 RNNR")*0.5,COUNTIFS($J41:$AX41,"*B2 RNNR*",$J41:$AX41,"&lt;&gt;"&amp;"pB2 RNNR")*0.5)))</f>
        <v/>
      </c>
      <c r="J41" s="184" t="str">
        <f>IFERROR(IF(VLOOKUP(Sat_W1[[#This Row],[Employee Name]],'Base Schedules'!$A$46:$AW$77,9,FALSE)="","",VLOOKUP(Sat_W1[[#This Row],[Employee Name]],'Base Schedules'!$A$46:$AW$77,9,FALSE)),"")</f>
        <v/>
      </c>
      <c r="K41" s="184" t="str">
        <f>IFERROR(IF(VLOOKUP(Sat_W1[[#This Row],[Employee Name]],'Base Schedules'!$A$46:$AW$77,10,FALSE)="","",VLOOKUP(Sat_W1[[#This Row],[Employee Name]],'Base Schedules'!$A$46:$AW$77,10,FALSE)),"")</f>
        <v/>
      </c>
      <c r="L41" s="184" t="str">
        <f>IFERROR(IF(VLOOKUP(Sat_W1[[#This Row],[Employee Name]],'Base Schedules'!$A$46:$AW$77,11,FALSE)="","",VLOOKUP(Sat_W1[[#This Row],[Employee Name]],'Base Schedules'!$A$46:$AW$77,11,FALSE)),"")</f>
        <v/>
      </c>
      <c r="M41" s="184" t="str">
        <f>IFERROR(IF(VLOOKUP(Sat_W1[[#This Row],[Employee Name]],'Base Schedules'!$A$46:$AW$77,12,FALSE)="","",VLOOKUP(Sat_W1[[#This Row],[Employee Name]],'Base Schedules'!$A$46:$AW$77,12,FALSE)),"")</f>
        <v/>
      </c>
      <c r="N41" s="184" t="str">
        <f>IFERROR(IF(VLOOKUP(Sat_W1[[#This Row],[Employee Name]],'Base Schedules'!$A$46:$AW$77,13,FALSE)="","",VLOOKUP(Sat_W1[[#This Row],[Employee Name]],'Base Schedules'!$A$46:$AW$77,13,FALSE)),"")</f>
        <v/>
      </c>
      <c r="O41" s="184" t="str">
        <f>IFERROR(IF(VLOOKUP(Sat_W1[[#This Row],[Employee Name]],'Base Schedules'!$A$46:$AW$77,14,FALSE)="","",VLOOKUP(Sat_W1[[#This Row],[Employee Name]],'Base Schedules'!$A$46:$AW$77,14,FALSE)),"")</f>
        <v/>
      </c>
      <c r="P41" s="184" t="str">
        <f>IFERROR(IF(VLOOKUP(Sat_W1[[#This Row],[Employee Name]],'Base Schedules'!$A$46:$AW$77,15,FALSE)="","",VLOOKUP(Sat_W1[[#This Row],[Employee Name]],'Base Schedules'!$A$46:$AW$77,15,FALSE)),"")</f>
        <v/>
      </c>
      <c r="Q41" s="184" t="str">
        <f>IFERROR(IF(VLOOKUP(Sat_W1[[#This Row],[Employee Name]],'Base Schedules'!$A$46:$AW$77,16,FALSE)="","",VLOOKUP(Sat_W1[[#This Row],[Employee Name]],'Base Schedules'!$A$46:$AW$77,16,FALSE)),"")</f>
        <v/>
      </c>
      <c r="R41" s="184" t="str">
        <f>IFERROR(IF(VLOOKUP(Sat_W1[[#This Row],[Employee Name]],'Base Schedules'!$A$46:$AW$77,17,FALSE)="","",VLOOKUP(Sat_W1[[#This Row],[Employee Name]],'Base Schedules'!$A$46:$AW$77,17,FALSE)),"")</f>
        <v/>
      </c>
      <c r="S41" s="184" t="str">
        <f>IFERROR(IF(VLOOKUP(Sat_W1[[#This Row],[Employee Name]],'Base Schedules'!$A$46:$AW$77,18,FALSE)="","",VLOOKUP(Sat_W1[[#This Row],[Employee Name]],'Base Schedules'!$A$46:$AW$77,18,FALSE)),"")</f>
        <v/>
      </c>
      <c r="T41" s="184" t="str">
        <f>IFERROR(IF(VLOOKUP(Sat_W1[[#This Row],[Employee Name]],'Base Schedules'!$A$46:$AW$77,19,FALSE)="","",VLOOKUP(Sat_W1[[#This Row],[Employee Name]],'Base Schedules'!$A$46:$AW$77,19,FALSE)),"")</f>
        <v/>
      </c>
      <c r="U41" s="184" t="str">
        <f>IFERROR(IF(VLOOKUP(Sat_W1[[#This Row],[Employee Name]],'Base Schedules'!$A$46:$AW$77,20,FALSE)="","",VLOOKUP(Sat_W1[[#This Row],[Employee Name]],'Base Schedules'!$A$46:$AW$77,20,FALSE)),"")</f>
        <v/>
      </c>
      <c r="V41" s="184" t="str">
        <f>IFERROR(IF(VLOOKUP(Sat_W1[[#This Row],[Employee Name]],'Base Schedules'!$A$46:$AW$77,21,FALSE)="","",VLOOKUP(Sat_W1[[#This Row],[Employee Name]],'Base Schedules'!$A$46:$AW$77,21,FALSE)),"")</f>
        <v/>
      </c>
      <c r="W41" s="184" t="str">
        <f>IFERROR(IF(VLOOKUP(Sat_W1[[#This Row],[Employee Name]],'Base Schedules'!$A$46:$AW$77,22,FALSE)="","",VLOOKUP(Sat_W1[[#This Row],[Employee Name]],'Base Schedules'!$A$46:$AW$77,22,FALSE)),"")</f>
        <v/>
      </c>
      <c r="X41" s="184" t="str">
        <f>IFERROR(IF(VLOOKUP(Sat_W1[[#This Row],[Employee Name]],'Base Schedules'!$A$46:$AW$77,23,FALSE)="","",VLOOKUP(Sat_W1[[#This Row],[Employee Name]],'Base Schedules'!$A$46:$AW$77,23,FALSE)),"")</f>
        <v/>
      </c>
      <c r="Y41" s="184" t="str">
        <f>IFERROR(IF(VLOOKUP(Sat_W1[[#This Row],[Employee Name]],'Base Schedules'!$A$46:$AW$77,24,FALSE)="","",VLOOKUP(Sat_W1[[#This Row],[Employee Name]],'Base Schedules'!$A$46:$AW$77,24,FALSE)),"")</f>
        <v/>
      </c>
      <c r="Z41" s="184" t="str">
        <f>IFERROR(IF(VLOOKUP(Sat_W1[[#This Row],[Employee Name]],'Base Schedules'!$A$46:$AW$77,25,FALSE)="","",VLOOKUP(Sat_W1[[#This Row],[Employee Name]],'Base Schedules'!$A$46:$AW$77,25,FALSE)),"")</f>
        <v/>
      </c>
      <c r="AA41" s="184" t="str">
        <f>IFERROR(IF(VLOOKUP(Sat_W1[[#This Row],[Employee Name]],'Base Schedules'!$A$46:$AW$77,26,FALSE)="","",VLOOKUP(Sat_W1[[#This Row],[Employee Name]],'Base Schedules'!$A$46:$AW$77,26,FALSE)),"")</f>
        <v/>
      </c>
      <c r="AB41" s="184" t="str">
        <f>IFERROR(IF(VLOOKUP(Sat_W1[[#This Row],[Employee Name]],'Base Schedules'!$A$46:$AW$77,27,FALSE)="","",VLOOKUP(Sat_W1[[#This Row],[Employee Name]],'Base Schedules'!$A$46:$AW$77,27,FALSE)),"")</f>
        <v/>
      </c>
      <c r="AC41" s="184" t="str">
        <f>IFERROR(IF(VLOOKUP(Sat_W1[[#This Row],[Employee Name]],'Base Schedules'!$A$46:$AW$77,28,FALSE)="","",VLOOKUP(Sat_W1[[#This Row],[Employee Name]],'Base Schedules'!$A$46:$AW$77,28,FALSE)),"")</f>
        <v/>
      </c>
      <c r="AD41" s="184" t="str">
        <f>IFERROR(IF(VLOOKUP(Sat_W1[[#This Row],[Employee Name]],'Base Schedules'!$A$46:$AW$77,29,FALSE)="","",VLOOKUP(Sat_W1[[#This Row],[Employee Name]],'Base Schedules'!$A$46:$AW$77,29,FALSE)),"")</f>
        <v/>
      </c>
      <c r="AE41" s="184" t="str">
        <f>IFERROR(IF(VLOOKUP(Sat_W1[[#This Row],[Employee Name]],'Base Schedules'!$A$46:$AW$77,30,FALSE)="","",VLOOKUP(Sat_W1[[#This Row],[Employee Name]],'Base Schedules'!$A$46:$AW$77,30,FALSE)),"")</f>
        <v/>
      </c>
      <c r="AF41" s="184" t="str">
        <f>IFERROR(IF(VLOOKUP(Sat_W1[[#This Row],[Employee Name]],'Base Schedules'!$A$46:$AW$77,31,FALSE)="","",VLOOKUP(Sat_W1[[#This Row],[Employee Name]],'Base Schedules'!$A$46:$AW$77,31,FALSE)),"")</f>
        <v/>
      </c>
      <c r="AG41" s="184" t="str">
        <f>IFERROR(IF(VLOOKUP(Sat_W1[[#This Row],[Employee Name]],'Base Schedules'!$A$46:$AW$77,32,FALSE)="","",VLOOKUP(Sat_W1[[#This Row],[Employee Name]],'Base Schedules'!$A$46:$AW$77,32,FALSE)),"")</f>
        <v/>
      </c>
      <c r="AH41" s="184" t="str">
        <f>IFERROR(IF(VLOOKUP(Sat_W1[[#This Row],[Employee Name]],'Base Schedules'!$A$46:$AW$77,33,FALSE)="","",VLOOKUP(Sat_W1[[#This Row],[Employee Name]],'Base Schedules'!$A$46:$AW$77,33,FALSE)),"")</f>
        <v/>
      </c>
      <c r="AI41" s="184" t="str">
        <f>IFERROR(IF(VLOOKUP(Sat_W1[[#This Row],[Employee Name]],'Base Schedules'!$A$46:$AW$77,34,FALSE)="","",VLOOKUP(Sat_W1[[#This Row],[Employee Name]],'Base Schedules'!$A$46:$AW$77,34,FALSE)),"")</f>
        <v/>
      </c>
      <c r="AJ41" s="184" t="str">
        <f>IFERROR(IF(VLOOKUP(Sat_W1[[#This Row],[Employee Name]],'Base Schedules'!$A$46:$AW$77,35,FALSE)="","",VLOOKUP(Sat_W1[[#This Row],[Employee Name]],'Base Schedules'!$A$46:$AW$77,35,FALSE)),"")</f>
        <v/>
      </c>
      <c r="AK41" s="184" t="str">
        <f>IFERROR(IF(VLOOKUP(Sat_W1[[#This Row],[Employee Name]],'Base Schedules'!$A$46:$AW$77,36,FALSE)="","",VLOOKUP(Sat_W1[[#This Row],[Employee Name]],'Base Schedules'!$A$46:$AW$77,36,FALSE)),"")</f>
        <v/>
      </c>
      <c r="AL41" s="184" t="str">
        <f>IFERROR(IF(VLOOKUP(Sat_W1[[#This Row],[Employee Name]],'Base Schedules'!$A$46:$AW$77,37,FALSE)="","",VLOOKUP(Sat_W1[[#This Row],[Employee Name]],'Base Schedules'!$A$46:$AW$77,37,FALSE)),"")</f>
        <v/>
      </c>
      <c r="AM41" s="184" t="str">
        <f>IFERROR(IF(VLOOKUP(Sat_W1[[#This Row],[Employee Name]],'Base Schedules'!$A$46:$AW$77,38,FALSE)="","",VLOOKUP(Sat_W1[[#This Row],[Employee Name]],'Base Schedules'!$A$46:$AW$77,38,FALSE)),"")</f>
        <v/>
      </c>
      <c r="AN41" s="184" t="str">
        <f>IFERROR(IF(VLOOKUP(Sat_W1[[#This Row],[Employee Name]],'Base Schedules'!$A$46:$AW$77,39,FALSE)="","",VLOOKUP(Sat_W1[[#This Row],[Employee Name]],'Base Schedules'!$A$46:$AW$77,39,FALSE)),"")</f>
        <v/>
      </c>
      <c r="AO41" s="184" t="str">
        <f>IFERROR(IF(VLOOKUP(Sat_W1[[#This Row],[Employee Name]],'Base Schedules'!$A$46:$AW$77,40,FALSE)="","",VLOOKUP(Sat_W1[[#This Row],[Employee Name]],'Base Schedules'!$A$46:$AW$77,40,FALSE)),"")</f>
        <v/>
      </c>
      <c r="AP41" s="184" t="str">
        <f>IFERROR(IF(VLOOKUP(Sat_W1[[#This Row],[Employee Name]],'Base Schedules'!$A$46:$AW$77,41,FALSE)="","",VLOOKUP(Sat_W1[[#This Row],[Employee Name]],'Base Schedules'!$A$46:$AW$77,41,FALSE)),"")</f>
        <v/>
      </c>
      <c r="AQ41" s="184" t="str">
        <f>IFERROR(IF(VLOOKUP(Sat_W1[[#This Row],[Employee Name]],'Base Schedules'!$A$46:$AW$77,42,FALSE)="","",VLOOKUP(Sat_W1[[#This Row],[Employee Name]],'Base Schedules'!$A$46:$AW$77,42,FALSE)),"")</f>
        <v/>
      </c>
      <c r="AR41" s="184" t="str">
        <f>IFERROR(IF(VLOOKUP(Sat_W1[[#This Row],[Employee Name]],'Base Schedules'!$A$46:$AW$77,43,FALSE)="","",VLOOKUP(Sat_W1[[#This Row],[Employee Name]],'Base Schedules'!$A$46:$AW$77,43,FALSE)),"")</f>
        <v/>
      </c>
      <c r="AS41" s="184" t="str">
        <f>IFERROR(IF(VLOOKUP(Sat_W1[[#This Row],[Employee Name]],'Base Schedules'!$A$46:$AW$77,44,FALSE)="","",VLOOKUP(Sat_W1[[#This Row],[Employee Name]],'Base Schedules'!$A$46:$AW$77,44,FALSE)),"")</f>
        <v/>
      </c>
      <c r="AT41" s="184" t="str">
        <f>IFERROR(IF(VLOOKUP(Sat_W1[[#This Row],[Employee Name]],'Base Schedules'!$A$46:$AW$77,45,FALSE)="","",VLOOKUP(Sat_W1[[#This Row],[Employee Name]],'Base Schedules'!$A$46:$AW$77,45,FALSE)),"")</f>
        <v/>
      </c>
      <c r="AU41" s="184" t="str">
        <f>IFERROR(IF(VLOOKUP(Sat_W1[[#This Row],[Employee Name]],'Base Schedules'!$A$46:$AW$77,46,FALSE)="","",VLOOKUP(Sat_W1[[#This Row],[Employee Name]],'Base Schedules'!$A$46:$AW$77,46,FALSE)),"")</f>
        <v/>
      </c>
      <c r="AV41" s="184" t="str">
        <f>IFERROR(IF(VLOOKUP(Sat_W1[[#This Row],[Employee Name]],'Base Schedules'!$A$46:$AW$77,47,FALSE)="","",VLOOKUP(Sat_W1[[#This Row],[Employee Name]],'Base Schedules'!$A$46:$AW$77,47,FALSE)),"")</f>
        <v/>
      </c>
      <c r="AW41" s="184" t="str">
        <f>IFERROR(IF(VLOOKUP(Sat_W1[[#This Row],[Employee Name]],'Base Schedules'!$A$46:$AW$77,48,FALSE)="","",VLOOKUP(Sat_W1[[#This Row],[Employee Name]],'Base Schedules'!$A$46:$AW$77,48,FALSE)),"")</f>
        <v/>
      </c>
      <c r="AX41" s="184" t="str">
        <f>IFERROR(IF(VLOOKUP(Sat_W1[[#This Row],[Employee Name]],'Base Schedules'!$A$46:$AW$77,49,FALSE)="","",VLOOKUP(Sat_W1[[#This Row],[Employee Name]],'Base Schedules'!$A$46:$AW$77,49,FALSE)),"")</f>
        <v/>
      </c>
      <c r="AY41" s="160" t="str">
        <f t="shared" si="2"/>
        <v/>
      </c>
    </row>
    <row r="42" spans="1:51" s="44" customFormat="1" ht="12" hidden="1" customHeight="1" x14ac:dyDescent="0.2">
      <c r="A42" s="39" t="str">
        <f>IF(B42="","",INDEX(TeamList[],MATCH($B42,TeamList[[Employee Name]:[Employee Name]],0),MATCH("Manager",TeamList[#Headers],0)))</f>
        <v/>
      </c>
      <c r="B42" s="201"/>
      <c r="C42" s="257" t="str">
        <f>_xlfn.IFNA(VLOOKUP(Sat_W1[[#This Row],[Employee Name]],'Base Schedules'!A:B,2,FALSE),"")</f>
        <v/>
      </c>
      <c r="D42" s="274" t="str">
        <f>_xlfn.IFNA(VLOOKUP(Sat_W1[[#This Row],[Employee Name]],'Base Schedules'!A:C,3,FALSE),"")</f>
        <v/>
      </c>
      <c r="E42" s="274" t="str">
        <f>_xlfn.IFNA(VLOOKUP(Sat_W1[[#This Row],[Employee Name]],'Base Schedules'!A:D,4,FALSE),"")</f>
        <v/>
      </c>
      <c r="F42" s="142" t="str">
        <f>IF(Sat_W1[[#This Row],[Employee Name]]="","",IF(Sat_W1[[#This Row],[Dept]]="Supervisor",COUNTIFS($J42:$AX42,"*HL*",$J42:$AX42,"&lt;&gt;"&amp;"pHL"),COUNTIFS($J42:$AX42,"*HL*",$J42:$AX42,"&lt;&gt;"&amp;"*pHL*",$J42:$AX42,"&lt;&gt;"&amp;"pB1 HL",$J42:$AX42,"&lt;&gt;"&amp;"pB2 HL")-SUM(COUNTIFS($J42:$AX42,"*HL B1*",$J42:$AX42,"&lt;&gt;"&amp;"pHL B1")*0.5,COUNTIFS($J42:$AX42,"*HL B2*",$J42:$AX42,"&lt;&gt;"&amp;"pHL B2")*0.5,COUNTIFS($J42:$AX42,"*B1 HL*",$J42:$AX42,"&lt;&gt;"&amp;"pB1 HL")*0.5,COUNTIFS($J42:$AX42,"*B2 HL*",$J42:$AX42,"&lt;&gt;"&amp;"pB2 HL")*0.5)))</f>
        <v/>
      </c>
      <c r="G42" s="142" t="str">
        <f t="shared" si="4"/>
        <v/>
      </c>
      <c r="H42" s="142" t="str">
        <f t="shared" si="1"/>
        <v/>
      </c>
      <c r="I42" s="142" t="str">
        <f>IF(Sat_W1[[#This Row],[Employee Name]]="","",IF(Sat_W1[[#This Row],[Dept]]="Supervisor",SUM(COUNTIFS($J42:$AX42,"RTA*",$J42:$AX42,"&lt;&gt;"&amp;"pRTA"),COUNTIFS($J42:$AX42,"*CRTA*",$J42:$AX42,"&lt;&gt;"&amp;"pCRTA")),COUNTIFS($J42:$AX42,"*RNNR*",$J42:$AX42,"&lt;&gt;"&amp;"*pRNNR*",$J42:$AX42,"&lt;&gt;"&amp;"pB1 RNNR",$J42:$AX42,"&lt;&gt;"&amp;"pB2 RNNR")-SUM(COUNTIFS($J42:$AX42,"*RNNR B1*",$J42:$AX42,"&lt;&gt;"&amp;"pRNNR B1")*0.5,COUNTIFS($J42:$AX42,"*RNNR B2*",$J42:$AX42,"&lt;&gt;"&amp;"pRNNR B2")*0.5,COUNTIFS($J42:$AX42,"*B1 RNNR*",$J42:$AX42,"&lt;&gt;"&amp;"pB1 RNNR")*0.5,COUNTIFS($J42:$AX42,"*B2 RNNR*",$J42:$AX42,"&lt;&gt;"&amp;"pB2 RNNR")*0.5)))</f>
        <v/>
      </c>
      <c r="J42" s="184" t="str">
        <f>IFERROR(IF(VLOOKUP(Sat_W1[[#This Row],[Employee Name]],'Base Schedules'!$A$46:$AW$77,9,FALSE)="","",VLOOKUP(Sat_W1[[#This Row],[Employee Name]],'Base Schedules'!$A$46:$AW$77,9,FALSE)),"")</f>
        <v/>
      </c>
      <c r="K42" s="184" t="str">
        <f>IFERROR(IF(VLOOKUP(Sat_W1[[#This Row],[Employee Name]],'Base Schedules'!$A$46:$AW$77,10,FALSE)="","",VLOOKUP(Sat_W1[[#This Row],[Employee Name]],'Base Schedules'!$A$46:$AW$77,10,FALSE)),"")</f>
        <v/>
      </c>
      <c r="L42" s="184" t="str">
        <f>IFERROR(IF(VLOOKUP(Sat_W1[[#This Row],[Employee Name]],'Base Schedules'!$A$46:$AW$77,11,FALSE)="","",VLOOKUP(Sat_W1[[#This Row],[Employee Name]],'Base Schedules'!$A$46:$AW$77,11,FALSE)),"")</f>
        <v/>
      </c>
      <c r="M42" s="184" t="str">
        <f>IFERROR(IF(VLOOKUP(Sat_W1[[#This Row],[Employee Name]],'Base Schedules'!$A$46:$AW$77,12,FALSE)="","",VLOOKUP(Sat_W1[[#This Row],[Employee Name]],'Base Schedules'!$A$46:$AW$77,12,FALSE)),"")</f>
        <v/>
      </c>
      <c r="N42" s="184" t="str">
        <f>IFERROR(IF(VLOOKUP(Sat_W1[[#This Row],[Employee Name]],'Base Schedules'!$A$46:$AW$77,13,FALSE)="","",VLOOKUP(Sat_W1[[#This Row],[Employee Name]],'Base Schedules'!$A$46:$AW$77,13,FALSE)),"")</f>
        <v/>
      </c>
      <c r="O42" s="184" t="str">
        <f>IFERROR(IF(VLOOKUP(Sat_W1[[#This Row],[Employee Name]],'Base Schedules'!$A$46:$AW$77,14,FALSE)="","",VLOOKUP(Sat_W1[[#This Row],[Employee Name]],'Base Schedules'!$A$46:$AW$77,14,FALSE)),"")</f>
        <v/>
      </c>
      <c r="P42" s="184" t="str">
        <f>IFERROR(IF(VLOOKUP(Sat_W1[[#This Row],[Employee Name]],'Base Schedules'!$A$46:$AW$77,15,FALSE)="","",VLOOKUP(Sat_W1[[#This Row],[Employee Name]],'Base Schedules'!$A$46:$AW$77,15,FALSE)),"")</f>
        <v/>
      </c>
      <c r="Q42" s="184" t="str">
        <f>IFERROR(IF(VLOOKUP(Sat_W1[[#This Row],[Employee Name]],'Base Schedules'!$A$46:$AW$77,16,FALSE)="","",VLOOKUP(Sat_W1[[#This Row],[Employee Name]],'Base Schedules'!$A$46:$AW$77,16,FALSE)),"")</f>
        <v/>
      </c>
      <c r="R42" s="184" t="str">
        <f>IFERROR(IF(VLOOKUP(Sat_W1[[#This Row],[Employee Name]],'Base Schedules'!$A$46:$AW$77,17,FALSE)="","",VLOOKUP(Sat_W1[[#This Row],[Employee Name]],'Base Schedules'!$A$46:$AW$77,17,FALSE)),"")</f>
        <v/>
      </c>
      <c r="S42" s="184" t="str">
        <f>IFERROR(IF(VLOOKUP(Sat_W1[[#This Row],[Employee Name]],'Base Schedules'!$A$46:$AW$77,18,FALSE)="","",VLOOKUP(Sat_W1[[#This Row],[Employee Name]],'Base Schedules'!$A$46:$AW$77,18,FALSE)),"")</f>
        <v/>
      </c>
      <c r="T42" s="184" t="str">
        <f>IFERROR(IF(VLOOKUP(Sat_W1[[#This Row],[Employee Name]],'Base Schedules'!$A$46:$AW$77,19,FALSE)="","",VLOOKUP(Sat_W1[[#This Row],[Employee Name]],'Base Schedules'!$A$46:$AW$77,19,FALSE)),"")</f>
        <v/>
      </c>
      <c r="U42" s="184" t="str">
        <f>IFERROR(IF(VLOOKUP(Sat_W1[[#This Row],[Employee Name]],'Base Schedules'!$A$46:$AW$77,20,FALSE)="","",VLOOKUP(Sat_W1[[#This Row],[Employee Name]],'Base Schedules'!$A$46:$AW$77,20,FALSE)),"")</f>
        <v/>
      </c>
      <c r="V42" s="184" t="str">
        <f>IFERROR(IF(VLOOKUP(Sat_W1[[#This Row],[Employee Name]],'Base Schedules'!$A$46:$AW$77,21,FALSE)="","",VLOOKUP(Sat_W1[[#This Row],[Employee Name]],'Base Schedules'!$A$46:$AW$77,21,FALSE)),"")</f>
        <v/>
      </c>
      <c r="W42" s="184" t="str">
        <f>IFERROR(IF(VLOOKUP(Sat_W1[[#This Row],[Employee Name]],'Base Schedules'!$A$46:$AW$77,22,FALSE)="","",VLOOKUP(Sat_W1[[#This Row],[Employee Name]],'Base Schedules'!$A$46:$AW$77,22,FALSE)),"")</f>
        <v/>
      </c>
      <c r="X42" s="184" t="str">
        <f>IFERROR(IF(VLOOKUP(Sat_W1[[#This Row],[Employee Name]],'Base Schedules'!$A$46:$AW$77,23,FALSE)="","",VLOOKUP(Sat_W1[[#This Row],[Employee Name]],'Base Schedules'!$A$46:$AW$77,23,FALSE)),"")</f>
        <v/>
      </c>
      <c r="Y42" s="184" t="str">
        <f>IFERROR(IF(VLOOKUP(Sat_W1[[#This Row],[Employee Name]],'Base Schedules'!$A$46:$AW$77,24,FALSE)="","",VLOOKUP(Sat_W1[[#This Row],[Employee Name]],'Base Schedules'!$A$46:$AW$77,24,FALSE)),"")</f>
        <v/>
      </c>
      <c r="Z42" s="184" t="str">
        <f>IFERROR(IF(VLOOKUP(Sat_W1[[#This Row],[Employee Name]],'Base Schedules'!$A$46:$AW$77,25,FALSE)="","",VLOOKUP(Sat_W1[[#This Row],[Employee Name]],'Base Schedules'!$A$46:$AW$77,25,FALSE)),"")</f>
        <v/>
      </c>
      <c r="AA42" s="184" t="str">
        <f>IFERROR(IF(VLOOKUP(Sat_W1[[#This Row],[Employee Name]],'Base Schedules'!$A$46:$AW$77,26,FALSE)="","",VLOOKUP(Sat_W1[[#This Row],[Employee Name]],'Base Schedules'!$A$46:$AW$77,26,FALSE)),"")</f>
        <v/>
      </c>
      <c r="AB42" s="184" t="str">
        <f>IFERROR(IF(VLOOKUP(Sat_W1[[#This Row],[Employee Name]],'Base Schedules'!$A$46:$AW$77,27,FALSE)="","",VLOOKUP(Sat_W1[[#This Row],[Employee Name]],'Base Schedules'!$A$46:$AW$77,27,FALSE)),"")</f>
        <v/>
      </c>
      <c r="AC42" s="184" t="str">
        <f>IFERROR(IF(VLOOKUP(Sat_W1[[#This Row],[Employee Name]],'Base Schedules'!$A$46:$AW$77,28,FALSE)="","",VLOOKUP(Sat_W1[[#This Row],[Employee Name]],'Base Schedules'!$A$46:$AW$77,28,FALSE)),"")</f>
        <v/>
      </c>
      <c r="AD42" s="184" t="str">
        <f>IFERROR(IF(VLOOKUP(Sat_W1[[#This Row],[Employee Name]],'Base Schedules'!$A$46:$AW$77,29,FALSE)="","",VLOOKUP(Sat_W1[[#This Row],[Employee Name]],'Base Schedules'!$A$46:$AW$77,29,FALSE)),"")</f>
        <v/>
      </c>
      <c r="AE42" s="184" t="str">
        <f>IFERROR(IF(VLOOKUP(Sat_W1[[#This Row],[Employee Name]],'Base Schedules'!$A$46:$AW$77,30,FALSE)="","",VLOOKUP(Sat_W1[[#This Row],[Employee Name]],'Base Schedules'!$A$46:$AW$77,30,FALSE)),"")</f>
        <v/>
      </c>
      <c r="AF42" s="184" t="str">
        <f>IFERROR(IF(VLOOKUP(Sat_W1[[#This Row],[Employee Name]],'Base Schedules'!$A$46:$AW$77,31,FALSE)="","",VLOOKUP(Sat_W1[[#This Row],[Employee Name]],'Base Schedules'!$A$46:$AW$77,31,FALSE)),"")</f>
        <v/>
      </c>
      <c r="AG42" s="184" t="str">
        <f>IFERROR(IF(VLOOKUP(Sat_W1[[#This Row],[Employee Name]],'Base Schedules'!$A$46:$AW$77,32,FALSE)="","",VLOOKUP(Sat_W1[[#This Row],[Employee Name]],'Base Schedules'!$A$46:$AW$77,32,FALSE)),"")</f>
        <v/>
      </c>
      <c r="AH42" s="184" t="str">
        <f>IFERROR(IF(VLOOKUP(Sat_W1[[#This Row],[Employee Name]],'Base Schedules'!$A$46:$AW$77,33,FALSE)="","",VLOOKUP(Sat_W1[[#This Row],[Employee Name]],'Base Schedules'!$A$46:$AW$77,33,FALSE)),"")</f>
        <v/>
      </c>
      <c r="AI42" s="184" t="str">
        <f>IFERROR(IF(VLOOKUP(Sat_W1[[#This Row],[Employee Name]],'Base Schedules'!$A$46:$AW$77,34,FALSE)="","",VLOOKUP(Sat_W1[[#This Row],[Employee Name]],'Base Schedules'!$A$46:$AW$77,34,FALSE)),"")</f>
        <v/>
      </c>
      <c r="AJ42" s="184" t="str">
        <f>IFERROR(IF(VLOOKUP(Sat_W1[[#This Row],[Employee Name]],'Base Schedules'!$A$46:$AW$77,35,FALSE)="","",VLOOKUP(Sat_W1[[#This Row],[Employee Name]],'Base Schedules'!$A$46:$AW$77,35,FALSE)),"")</f>
        <v/>
      </c>
      <c r="AK42" s="184" t="str">
        <f>IFERROR(IF(VLOOKUP(Sat_W1[[#This Row],[Employee Name]],'Base Schedules'!$A$46:$AW$77,36,FALSE)="","",VLOOKUP(Sat_W1[[#This Row],[Employee Name]],'Base Schedules'!$A$46:$AW$77,36,FALSE)),"")</f>
        <v/>
      </c>
      <c r="AL42" s="184" t="str">
        <f>IFERROR(IF(VLOOKUP(Sat_W1[[#This Row],[Employee Name]],'Base Schedules'!$A$46:$AW$77,37,FALSE)="","",VLOOKUP(Sat_W1[[#This Row],[Employee Name]],'Base Schedules'!$A$46:$AW$77,37,FALSE)),"")</f>
        <v/>
      </c>
      <c r="AM42" s="184" t="str">
        <f>IFERROR(IF(VLOOKUP(Sat_W1[[#This Row],[Employee Name]],'Base Schedules'!$A$46:$AW$77,38,FALSE)="","",VLOOKUP(Sat_W1[[#This Row],[Employee Name]],'Base Schedules'!$A$46:$AW$77,38,FALSE)),"")</f>
        <v/>
      </c>
      <c r="AN42" s="184" t="str">
        <f>IFERROR(IF(VLOOKUP(Sat_W1[[#This Row],[Employee Name]],'Base Schedules'!$A$46:$AW$77,39,FALSE)="","",VLOOKUP(Sat_W1[[#This Row],[Employee Name]],'Base Schedules'!$A$46:$AW$77,39,FALSE)),"")</f>
        <v/>
      </c>
      <c r="AO42" s="184" t="str">
        <f>IFERROR(IF(VLOOKUP(Sat_W1[[#This Row],[Employee Name]],'Base Schedules'!$A$46:$AW$77,40,FALSE)="","",VLOOKUP(Sat_W1[[#This Row],[Employee Name]],'Base Schedules'!$A$46:$AW$77,40,FALSE)),"")</f>
        <v/>
      </c>
      <c r="AP42" s="184" t="str">
        <f>IFERROR(IF(VLOOKUP(Sat_W1[[#This Row],[Employee Name]],'Base Schedules'!$A$46:$AW$77,41,FALSE)="","",VLOOKUP(Sat_W1[[#This Row],[Employee Name]],'Base Schedules'!$A$46:$AW$77,41,FALSE)),"")</f>
        <v/>
      </c>
      <c r="AQ42" s="184" t="str">
        <f>IFERROR(IF(VLOOKUP(Sat_W1[[#This Row],[Employee Name]],'Base Schedules'!$A$46:$AW$77,42,FALSE)="","",VLOOKUP(Sat_W1[[#This Row],[Employee Name]],'Base Schedules'!$A$46:$AW$77,42,FALSE)),"")</f>
        <v/>
      </c>
      <c r="AR42" s="184" t="str">
        <f>IFERROR(IF(VLOOKUP(Sat_W1[[#This Row],[Employee Name]],'Base Schedules'!$A$46:$AW$77,43,FALSE)="","",VLOOKUP(Sat_W1[[#This Row],[Employee Name]],'Base Schedules'!$A$46:$AW$77,43,FALSE)),"")</f>
        <v/>
      </c>
      <c r="AS42" s="184" t="str">
        <f>IFERROR(IF(VLOOKUP(Sat_W1[[#This Row],[Employee Name]],'Base Schedules'!$A$46:$AW$77,44,FALSE)="","",VLOOKUP(Sat_W1[[#This Row],[Employee Name]],'Base Schedules'!$A$46:$AW$77,44,FALSE)),"")</f>
        <v/>
      </c>
      <c r="AT42" s="184" t="str">
        <f>IFERROR(IF(VLOOKUP(Sat_W1[[#This Row],[Employee Name]],'Base Schedules'!$A$46:$AW$77,45,FALSE)="","",VLOOKUP(Sat_W1[[#This Row],[Employee Name]],'Base Schedules'!$A$46:$AW$77,45,FALSE)),"")</f>
        <v/>
      </c>
      <c r="AU42" s="184" t="str">
        <f>IFERROR(IF(VLOOKUP(Sat_W1[[#This Row],[Employee Name]],'Base Schedules'!$A$46:$AW$77,46,FALSE)="","",VLOOKUP(Sat_W1[[#This Row],[Employee Name]],'Base Schedules'!$A$46:$AW$77,46,FALSE)),"")</f>
        <v/>
      </c>
      <c r="AV42" s="184" t="str">
        <f>IFERROR(IF(VLOOKUP(Sat_W1[[#This Row],[Employee Name]],'Base Schedules'!$A$46:$AW$77,47,FALSE)="","",VLOOKUP(Sat_W1[[#This Row],[Employee Name]],'Base Schedules'!$A$46:$AW$77,47,FALSE)),"")</f>
        <v/>
      </c>
      <c r="AW42" s="184" t="str">
        <f>IFERROR(IF(VLOOKUP(Sat_W1[[#This Row],[Employee Name]],'Base Schedules'!$A$46:$AW$77,48,FALSE)="","",VLOOKUP(Sat_W1[[#This Row],[Employee Name]],'Base Schedules'!$A$46:$AW$77,48,FALSE)),"")</f>
        <v/>
      </c>
      <c r="AX42" s="184" t="str">
        <f>IFERROR(IF(VLOOKUP(Sat_W1[[#This Row],[Employee Name]],'Base Schedules'!$A$46:$AW$77,49,FALSE)="","",VLOOKUP(Sat_W1[[#This Row],[Employee Name]],'Base Schedules'!$A$46:$AW$77,49,FALSE)),"")</f>
        <v/>
      </c>
      <c r="AY42" s="348" t="str">
        <f t="shared" si="2"/>
        <v/>
      </c>
    </row>
    <row r="43" spans="1:51" s="44" customFormat="1" ht="12" hidden="1" customHeight="1" x14ac:dyDescent="0.2">
      <c r="A43" s="39" t="str">
        <f>IF(B43="","",INDEX(TeamList[],MATCH($B43,TeamList[[Employee Name]:[Employee Name]],0),MATCH("Manager",TeamList[#Headers],0)))</f>
        <v/>
      </c>
      <c r="B43" s="201"/>
      <c r="C43" s="257" t="str">
        <f>_xlfn.IFNA(VLOOKUP(Sat_W1[[#This Row],[Employee Name]],'Base Schedules'!A:B,2,FALSE),"")</f>
        <v/>
      </c>
      <c r="D43" s="274" t="str">
        <f>_xlfn.IFNA(VLOOKUP(Sat_W1[[#This Row],[Employee Name]],'Base Schedules'!A:C,3,FALSE),"")</f>
        <v/>
      </c>
      <c r="E43" s="274" t="str">
        <f>_xlfn.IFNA(VLOOKUP(Sat_W1[[#This Row],[Employee Name]],'Base Schedules'!A:D,4,FALSE),"")</f>
        <v/>
      </c>
      <c r="F43" s="142" t="str">
        <f>IF(Sat_W1[[#This Row],[Employee Name]]="","",IF(Sat_W1[[#This Row],[Dept]]="Supervisor",COUNTIFS($J43:$AX43,"*HL*",$J43:$AX43,"&lt;&gt;"&amp;"pHL"),COUNTIFS($J43:$AX43,"*HL*",$J43:$AX43,"&lt;&gt;"&amp;"*pHL*",$J43:$AX43,"&lt;&gt;"&amp;"pB1 HL",$J43:$AX43,"&lt;&gt;"&amp;"pB2 HL")-SUM(COUNTIFS($J43:$AX43,"*HL B1*",$J43:$AX43,"&lt;&gt;"&amp;"pHL B1")*0.5,COUNTIFS($J43:$AX43,"*HL B2*",$J43:$AX43,"&lt;&gt;"&amp;"pHL B2")*0.5,COUNTIFS($J43:$AX43,"*B1 HL*",$J43:$AX43,"&lt;&gt;"&amp;"pB1 HL")*0.5,COUNTIFS($J43:$AX43,"*B2 HL*",$J43:$AX43,"&lt;&gt;"&amp;"pB2 HL")*0.5)))</f>
        <v/>
      </c>
      <c r="G43" s="142" t="str">
        <f t="shared" si="4"/>
        <v/>
      </c>
      <c r="H43" s="142" t="str">
        <f t="shared" si="1"/>
        <v/>
      </c>
      <c r="I43" s="142" t="str">
        <f>IF(Sat_W1[[#This Row],[Employee Name]]="","",IF(Sat_W1[[#This Row],[Dept]]="Supervisor",SUM(COUNTIFS($J43:$AX43,"RTA*",$J43:$AX43,"&lt;&gt;"&amp;"pRTA"),COUNTIFS($J43:$AX43,"*CRTA*",$J43:$AX43,"&lt;&gt;"&amp;"pCRTA")),COUNTIFS($J43:$AX43,"*RNNR*",$J43:$AX43,"&lt;&gt;"&amp;"*pRNNR*",$J43:$AX43,"&lt;&gt;"&amp;"pB1 RNNR",$J43:$AX43,"&lt;&gt;"&amp;"pB2 RNNR")-SUM(COUNTIFS($J43:$AX43,"*RNNR B1*",$J43:$AX43,"&lt;&gt;"&amp;"pRNNR B1")*0.5,COUNTIFS($J43:$AX43,"*RNNR B2*",$J43:$AX43,"&lt;&gt;"&amp;"pRNNR B2")*0.5,COUNTIFS($J43:$AX43,"*B1 RNNR*",$J43:$AX43,"&lt;&gt;"&amp;"pB1 RNNR")*0.5,COUNTIFS($J43:$AX43,"*B2 RNNR*",$J43:$AX43,"&lt;&gt;"&amp;"pB2 RNNR")*0.5)))</f>
        <v/>
      </c>
      <c r="J43" s="184" t="str">
        <f>IFERROR(IF(VLOOKUP(Sat_W1[[#This Row],[Employee Name]],'Base Schedules'!$A$46:$AW$77,9,FALSE)="","",VLOOKUP(Sat_W1[[#This Row],[Employee Name]],'Base Schedules'!$A$46:$AW$77,9,FALSE)),"")</f>
        <v/>
      </c>
      <c r="K43" s="184" t="str">
        <f>IFERROR(IF(VLOOKUP(Sat_W1[[#This Row],[Employee Name]],'Base Schedules'!$A$46:$AW$77,10,FALSE)="","",VLOOKUP(Sat_W1[[#This Row],[Employee Name]],'Base Schedules'!$A$46:$AW$77,10,FALSE)),"")</f>
        <v/>
      </c>
      <c r="L43" s="184" t="str">
        <f>IFERROR(IF(VLOOKUP(Sat_W1[[#This Row],[Employee Name]],'Base Schedules'!$A$46:$AW$77,11,FALSE)="","",VLOOKUP(Sat_W1[[#This Row],[Employee Name]],'Base Schedules'!$A$46:$AW$77,11,FALSE)),"")</f>
        <v/>
      </c>
      <c r="M43" s="184" t="str">
        <f>IFERROR(IF(VLOOKUP(Sat_W1[[#This Row],[Employee Name]],'Base Schedules'!$A$46:$AW$77,12,FALSE)="","",VLOOKUP(Sat_W1[[#This Row],[Employee Name]],'Base Schedules'!$A$46:$AW$77,12,FALSE)),"")</f>
        <v/>
      </c>
      <c r="N43" s="184" t="str">
        <f>IFERROR(IF(VLOOKUP(Sat_W1[[#This Row],[Employee Name]],'Base Schedules'!$A$46:$AW$77,13,FALSE)="","",VLOOKUP(Sat_W1[[#This Row],[Employee Name]],'Base Schedules'!$A$46:$AW$77,13,FALSE)),"")</f>
        <v/>
      </c>
      <c r="O43" s="184" t="str">
        <f>IFERROR(IF(VLOOKUP(Sat_W1[[#This Row],[Employee Name]],'Base Schedules'!$A$46:$AW$77,14,FALSE)="","",VLOOKUP(Sat_W1[[#This Row],[Employee Name]],'Base Schedules'!$A$46:$AW$77,14,FALSE)),"")</f>
        <v/>
      </c>
      <c r="P43" s="184" t="str">
        <f>IFERROR(IF(VLOOKUP(Sat_W1[[#This Row],[Employee Name]],'Base Schedules'!$A$46:$AW$77,15,FALSE)="","",VLOOKUP(Sat_W1[[#This Row],[Employee Name]],'Base Schedules'!$A$46:$AW$77,15,FALSE)),"")</f>
        <v/>
      </c>
      <c r="Q43" s="184" t="str">
        <f>IFERROR(IF(VLOOKUP(Sat_W1[[#This Row],[Employee Name]],'Base Schedules'!$A$46:$AW$77,16,FALSE)="","",VLOOKUP(Sat_W1[[#This Row],[Employee Name]],'Base Schedules'!$A$46:$AW$77,16,FALSE)),"")</f>
        <v/>
      </c>
      <c r="R43" s="184" t="str">
        <f>IFERROR(IF(VLOOKUP(Sat_W1[[#This Row],[Employee Name]],'Base Schedules'!$A$46:$AW$77,17,FALSE)="","",VLOOKUP(Sat_W1[[#This Row],[Employee Name]],'Base Schedules'!$A$46:$AW$77,17,FALSE)),"")</f>
        <v/>
      </c>
      <c r="S43" s="184" t="str">
        <f>IFERROR(IF(VLOOKUP(Sat_W1[[#This Row],[Employee Name]],'Base Schedules'!$A$46:$AW$77,18,FALSE)="","",VLOOKUP(Sat_W1[[#This Row],[Employee Name]],'Base Schedules'!$A$46:$AW$77,18,FALSE)),"")</f>
        <v/>
      </c>
      <c r="T43" s="184" t="str">
        <f>IFERROR(IF(VLOOKUP(Sat_W1[[#This Row],[Employee Name]],'Base Schedules'!$A$46:$AW$77,19,FALSE)="","",VLOOKUP(Sat_W1[[#This Row],[Employee Name]],'Base Schedules'!$A$46:$AW$77,19,FALSE)),"")</f>
        <v/>
      </c>
      <c r="U43" s="184" t="str">
        <f>IFERROR(IF(VLOOKUP(Sat_W1[[#This Row],[Employee Name]],'Base Schedules'!$A$46:$AW$77,20,FALSE)="","",VLOOKUP(Sat_W1[[#This Row],[Employee Name]],'Base Schedules'!$A$46:$AW$77,20,FALSE)),"")</f>
        <v/>
      </c>
      <c r="V43" s="184" t="str">
        <f>IFERROR(IF(VLOOKUP(Sat_W1[[#This Row],[Employee Name]],'Base Schedules'!$A$46:$AW$77,21,FALSE)="","",VLOOKUP(Sat_W1[[#This Row],[Employee Name]],'Base Schedules'!$A$46:$AW$77,21,FALSE)),"")</f>
        <v/>
      </c>
      <c r="W43" s="184" t="str">
        <f>IFERROR(IF(VLOOKUP(Sat_W1[[#This Row],[Employee Name]],'Base Schedules'!$A$46:$AW$77,22,FALSE)="","",VLOOKUP(Sat_W1[[#This Row],[Employee Name]],'Base Schedules'!$A$46:$AW$77,22,FALSE)),"")</f>
        <v/>
      </c>
      <c r="X43" s="184" t="str">
        <f>IFERROR(IF(VLOOKUP(Sat_W1[[#This Row],[Employee Name]],'Base Schedules'!$A$46:$AW$77,23,FALSE)="","",VLOOKUP(Sat_W1[[#This Row],[Employee Name]],'Base Schedules'!$A$46:$AW$77,23,FALSE)),"")</f>
        <v/>
      </c>
      <c r="Y43" s="184" t="str">
        <f>IFERROR(IF(VLOOKUP(Sat_W1[[#This Row],[Employee Name]],'Base Schedules'!$A$46:$AW$77,24,FALSE)="","",VLOOKUP(Sat_W1[[#This Row],[Employee Name]],'Base Schedules'!$A$46:$AW$77,24,FALSE)),"")</f>
        <v/>
      </c>
      <c r="Z43" s="184" t="str">
        <f>IFERROR(IF(VLOOKUP(Sat_W1[[#This Row],[Employee Name]],'Base Schedules'!$A$46:$AW$77,25,FALSE)="","",VLOOKUP(Sat_W1[[#This Row],[Employee Name]],'Base Schedules'!$A$46:$AW$77,25,FALSE)),"")</f>
        <v/>
      </c>
      <c r="AA43" s="184" t="str">
        <f>IFERROR(IF(VLOOKUP(Sat_W1[[#This Row],[Employee Name]],'Base Schedules'!$A$46:$AW$77,26,FALSE)="","",VLOOKUP(Sat_W1[[#This Row],[Employee Name]],'Base Schedules'!$A$46:$AW$77,26,FALSE)),"")</f>
        <v/>
      </c>
      <c r="AB43" s="184" t="str">
        <f>IFERROR(IF(VLOOKUP(Sat_W1[[#This Row],[Employee Name]],'Base Schedules'!$A$46:$AW$77,27,FALSE)="","",VLOOKUP(Sat_W1[[#This Row],[Employee Name]],'Base Schedules'!$A$46:$AW$77,27,FALSE)),"")</f>
        <v/>
      </c>
      <c r="AC43" s="184" t="str">
        <f>IFERROR(IF(VLOOKUP(Sat_W1[[#This Row],[Employee Name]],'Base Schedules'!$A$46:$AW$77,28,FALSE)="","",VLOOKUP(Sat_W1[[#This Row],[Employee Name]],'Base Schedules'!$A$46:$AW$77,28,FALSE)),"")</f>
        <v/>
      </c>
      <c r="AD43" s="184" t="str">
        <f>IFERROR(IF(VLOOKUP(Sat_W1[[#This Row],[Employee Name]],'Base Schedules'!$A$46:$AW$77,29,FALSE)="","",VLOOKUP(Sat_W1[[#This Row],[Employee Name]],'Base Schedules'!$A$46:$AW$77,29,FALSE)),"")</f>
        <v/>
      </c>
      <c r="AE43" s="184" t="str">
        <f>IFERROR(IF(VLOOKUP(Sat_W1[[#This Row],[Employee Name]],'Base Schedules'!$A$46:$AW$77,30,FALSE)="","",VLOOKUP(Sat_W1[[#This Row],[Employee Name]],'Base Schedules'!$A$46:$AW$77,30,FALSE)),"")</f>
        <v/>
      </c>
      <c r="AF43" s="184" t="str">
        <f>IFERROR(IF(VLOOKUP(Sat_W1[[#This Row],[Employee Name]],'Base Schedules'!$A$46:$AW$77,31,FALSE)="","",VLOOKUP(Sat_W1[[#This Row],[Employee Name]],'Base Schedules'!$A$46:$AW$77,31,FALSE)),"")</f>
        <v/>
      </c>
      <c r="AG43" s="184" t="str">
        <f>IFERROR(IF(VLOOKUP(Sat_W1[[#This Row],[Employee Name]],'Base Schedules'!$A$46:$AW$77,32,FALSE)="","",VLOOKUP(Sat_W1[[#This Row],[Employee Name]],'Base Schedules'!$A$46:$AW$77,32,FALSE)),"")</f>
        <v/>
      </c>
      <c r="AH43" s="184" t="str">
        <f>IFERROR(IF(VLOOKUP(Sat_W1[[#This Row],[Employee Name]],'Base Schedules'!$A$46:$AW$77,33,FALSE)="","",VLOOKUP(Sat_W1[[#This Row],[Employee Name]],'Base Schedules'!$A$46:$AW$77,33,FALSE)),"")</f>
        <v/>
      </c>
      <c r="AI43" s="184" t="str">
        <f>IFERROR(IF(VLOOKUP(Sat_W1[[#This Row],[Employee Name]],'Base Schedules'!$A$46:$AW$77,34,FALSE)="","",VLOOKUP(Sat_W1[[#This Row],[Employee Name]],'Base Schedules'!$A$46:$AW$77,34,FALSE)),"")</f>
        <v/>
      </c>
      <c r="AJ43" s="184" t="str">
        <f>IFERROR(IF(VLOOKUP(Sat_W1[[#This Row],[Employee Name]],'Base Schedules'!$A$46:$AW$77,35,FALSE)="","",VLOOKUP(Sat_W1[[#This Row],[Employee Name]],'Base Schedules'!$A$46:$AW$77,35,FALSE)),"")</f>
        <v/>
      </c>
      <c r="AK43" s="184" t="str">
        <f>IFERROR(IF(VLOOKUP(Sat_W1[[#This Row],[Employee Name]],'Base Schedules'!$A$46:$AW$77,36,FALSE)="","",VLOOKUP(Sat_W1[[#This Row],[Employee Name]],'Base Schedules'!$A$46:$AW$77,36,FALSE)),"")</f>
        <v/>
      </c>
      <c r="AL43" s="184" t="str">
        <f>IFERROR(IF(VLOOKUP(Sat_W1[[#This Row],[Employee Name]],'Base Schedules'!$A$46:$AW$77,37,FALSE)="","",VLOOKUP(Sat_W1[[#This Row],[Employee Name]],'Base Schedules'!$A$46:$AW$77,37,FALSE)),"")</f>
        <v/>
      </c>
      <c r="AM43" s="184" t="str">
        <f>IFERROR(IF(VLOOKUP(Sat_W1[[#This Row],[Employee Name]],'Base Schedules'!$A$46:$AW$77,38,FALSE)="","",VLOOKUP(Sat_W1[[#This Row],[Employee Name]],'Base Schedules'!$A$46:$AW$77,38,FALSE)),"")</f>
        <v/>
      </c>
      <c r="AN43" s="184" t="str">
        <f>IFERROR(IF(VLOOKUP(Sat_W1[[#This Row],[Employee Name]],'Base Schedules'!$A$46:$AW$77,39,FALSE)="","",VLOOKUP(Sat_W1[[#This Row],[Employee Name]],'Base Schedules'!$A$46:$AW$77,39,FALSE)),"")</f>
        <v/>
      </c>
      <c r="AO43" s="184" t="str">
        <f>IFERROR(IF(VLOOKUP(Sat_W1[[#This Row],[Employee Name]],'Base Schedules'!$A$46:$AW$77,40,FALSE)="","",VLOOKUP(Sat_W1[[#This Row],[Employee Name]],'Base Schedules'!$A$46:$AW$77,40,FALSE)),"")</f>
        <v/>
      </c>
      <c r="AP43" s="184" t="str">
        <f>IFERROR(IF(VLOOKUP(Sat_W1[[#This Row],[Employee Name]],'Base Schedules'!$A$46:$AW$77,41,FALSE)="","",VLOOKUP(Sat_W1[[#This Row],[Employee Name]],'Base Schedules'!$A$46:$AW$77,41,FALSE)),"")</f>
        <v/>
      </c>
      <c r="AQ43" s="184" t="str">
        <f>IFERROR(IF(VLOOKUP(Sat_W1[[#This Row],[Employee Name]],'Base Schedules'!$A$46:$AW$77,42,FALSE)="","",VLOOKUP(Sat_W1[[#This Row],[Employee Name]],'Base Schedules'!$A$46:$AW$77,42,FALSE)),"")</f>
        <v/>
      </c>
      <c r="AR43" s="184" t="str">
        <f>IFERROR(IF(VLOOKUP(Sat_W1[[#This Row],[Employee Name]],'Base Schedules'!$A$46:$AW$77,43,FALSE)="","",VLOOKUP(Sat_W1[[#This Row],[Employee Name]],'Base Schedules'!$A$46:$AW$77,43,FALSE)),"")</f>
        <v/>
      </c>
      <c r="AS43" s="184" t="str">
        <f>IFERROR(IF(VLOOKUP(Sat_W1[[#This Row],[Employee Name]],'Base Schedules'!$A$46:$AW$77,44,FALSE)="","",VLOOKUP(Sat_W1[[#This Row],[Employee Name]],'Base Schedules'!$A$46:$AW$77,44,FALSE)),"")</f>
        <v/>
      </c>
      <c r="AT43" s="184" t="str">
        <f>IFERROR(IF(VLOOKUP(Sat_W1[[#This Row],[Employee Name]],'Base Schedules'!$A$46:$AW$77,45,FALSE)="","",VLOOKUP(Sat_W1[[#This Row],[Employee Name]],'Base Schedules'!$A$46:$AW$77,45,FALSE)),"")</f>
        <v/>
      </c>
      <c r="AU43" s="184" t="str">
        <f>IFERROR(IF(VLOOKUP(Sat_W1[[#This Row],[Employee Name]],'Base Schedules'!$A$46:$AW$77,46,FALSE)="","",VLOOKUP(Sat_W1[[#This Row],[Employee Name]],'Base Schedules'!$A$46:$AW$77,46,FALSE)),"")</f>
        <v/>
      </c>
      <c r="AV43" s="184" t="str">
        <f>IFERROR(IF(VLOOKUP(Sat_W1[[#This Row],[Employee Name]],'Base Schedules'!$A$46:$AW$77,47,FALSE)="","",VLOOKUP(Sat_W1[[#This Row],[Employee Name]],'Base Schedules'!$A$46:$AW$77,47,FALSE)),"")</f>
        <v/>
      </c>
      <c r="AW43" s="184" t="str">
        <f>IFERROR(IF(VLOOKUP(Sat_W1[[#This Row],[Employee Name]],'Base Schedules'!$A$46:$AW$77,48,FALSE)="","",VLOOKUP(Sat_W1[[#This Row],[Employee Name]],'Base Schedules'!$A$46:$AW$77,48,FALSE)),"")</f>
        <v/>
      </c>
      <c r="AX43" s="184" t="str">
        <f>IFERROR(IF(VLOOKUP(Sat_W1[[#This Row],[Employee Name]],'Base Schedules'!$A$46:$AW$77,49,FALSE)="","",VLOOKUP(Sat_W1[[#This Row],[Employee Name]],'Base Schedules'!$A$46:$AW$77,49,FALSE)),"")</f>
        <v/>
      </c>
      <c r="AY43" s="348" t="str">
        <f t="shared" si="2"/>
        <v/>
      </c>
    </row>
    <row r="44" spans="1:51" s="44" customFormat="1" ht="12" hidden="1" customHeight="1" x14ac:dyDescent="0.2">
      <c r="A44" s="39" t="str">
        <f>IF(B44="","",INDEX(TeamList[],MATCH($B44,TeamList[[Employee Name]:[Employee Name]],0),MATCH("Manager",TeamList[#Headers],0)))</f>
        <v/>
      </c>
      <c r="B44" s="201"/>
      <c r="C44" s="257" t="str">
        <f>_xlfn.IFNA(VLOOKUP(Sat_W1[[#This Row],[Employee Name]],'Base Schedules'!A:B,2,FALSE),"")</f>
        <v/>
      </c>
      <c r="D44" s="274" t="str">
        <f>_xlfn.IFNA(VLOOKUP(Sat_W1[[#This Row],[Employee Name]],'Base Schedules'!A:C,3,FALSE),"")</f>
        <v/>
      </c>
      <c r="E44" s="274" t="str">
        <f>_xlfn.IFNA(VLOOKUP(Sat_W1[[#This Row],[Employee Name]],'Base Schedules'!A:D,4,FALSE),"")</f>
        <v/>
      </c>
      <c r="F44" s="142" t="str">
        <f>IF(Sat_W1[[#This Row],[Employee Name]]="","",IF(Sat_W1[[#This Row],[Dept]]="Supervisor",COUNTIFS($J44:$AX44,"*HL*",$J44:$AX44,"&lt;&gt;"&amp;"pHL"),COUNTIFS($J44:$AX44,"*HL*",$J44:$AX44,"&lt;&gt;"&amp;"*pHL*",$J44:$AX44,"&lt;&gt;"&amp;"pB1 HL",$J44:$AX44,"&lt;&gt;"&amp;"pB2 HL")-SUM(COUNTIFS($J44:$AX44,"*HL B1*",$J44:$AX44,"&lt;&gt;"&amp;"pHL B1")*0.5,COUNTIFS($J44:$AX44,"*HL B2*",$J44:$AX44,"&lt;&gt;"&amp;"pHL B2")*0.5,COUNTIFS($J44:$AX44,"*B1 HL*",$J44:$AX44,"&lt;&gt;"&amp;"pB1 HL")*0.5,COUNTIFS($J44:$AX44,"*B2 HL*",$J44:$AX44,"&lt;&gt;"&amp;"pB2 HL")*0.5)))</f>
        <v/>
      </c>
      <c r="G44" s="142" t="str">
        <f t="shared" si="4"/>
        <v/>
      </c>
      <c r="H44" s="142" t="str">
        <f t="shared" si="1"/>
        <v/>
      </c>
      <c r="I44" s="142" t="str">
        <f>IF(Sat_W1[[#This Row],[Employee Name]]="","",IF(Sat_W1[[#This Row],[Dept]]="Supervisor",SUM(COUNTIFS($J44:$AX44,"RTA*",$J44:$AX44,"&lt;&gt;"&amp;"pRTA"),COUNTIFS($J44:$AX44,"*CRTA*",$J44:$AX44,"&lt;&gt;"&amp;"pCRTA")),COUNTIFS($J44:$AX44,"*RNNR*",$J44:$AX44,"&lt;&gt;"&amp;"*pRNNR*",$J44:$AX44,"&lt;&gt;"&amp;"pB1 RNNR",$J44:$AX44,"&lt;&gt;"&amp;"pB2 RNNR")-SUM(COUNTIFS($J44:$AX44,"*RNNR B1*",$J44:$AX44,"&lt;&gt;"&amp;"pRNNR B1")*0.5,COUNTIFS($J44:$AX44,"*RNNR B2*",$J44:$AX44,"&lt;&gt;"&amp;"pRNNR B2")*0.5,COUNTIFS($J44:$AX44,"*B1 RNNR*",$J44:$AX44,"&lt;&gt;"&amp;"pB1 RNNR")*0.5,COUNTIFS($J44:$AX44,"*B2 RNNR*",$J44:$AX44,"&lt;&gt;"&amp;"pB2 RNNR")*0.5)))</f>
        <v/>
      </c>
      <c r="J44" s="184" t="str">
        <f>IFERROR(IF(VLOOKUP(Sat_W1[[#This Row],[Employee Name]],'Base Schedules'!$A$46:$AW$77,9,FALSE)="","",VLOOKUP(Sat_W1[[#This Row],[Employee Name]],'Base Schedules'!$A$46:$AW$77,9,FALSE)),"")</f>
        <v/>
      </c>
      <c r="K44" s="184" t="str">
        <f>IFERROR(IF(VLOOKUP(Sat_W1[[#This Row],[Employee Name]],'Base Schedules'!$A$46:$AW$77,10,FALSE)="","",VLOOKUP(Sat_W1[[#This Row],[Employee Name]],'Base Schedules'!$A$46:$AW$77,10,FALSE)),"")</f>
        <v/>
      </c>
      <c r="L44" s="184" t="str">
        <f>IFERROR(IF(VLOOKUP(Sat_W1[[#This Row],[Employee Name]],'Base Schedules'!$A$46:$AW$77,11,FALSE)="","",VLOOKUP(Sat_W1[[#This Row],[Employee Name]],'Base Schedules'!$A$46:$AW$77,11,FALSE)),"")</f>
        <v/>
      </c>
      <c r="M44" s="184" t="str">
        <f>IFERROR(IF(VLOOKUP(Sat_W1[[#This Row],[Employee Name]],'Base Schedules'!$A$46:$AW$77,12,FALSE)="","",VLOOKUP(Sat_W1[[#This Row],[Employee Name]],'Base Schedules'!$A$46:$AW$77,12,FALSE)),"")</f>
        <v/>
      </c>
      <c r="N44" s="184" t="str">
        <f>IFERROR(IF(VLOOKUP(Sat_W1[[#This Row],[Employee Name]],'Base Schedules'!$A$46:$AW$77,13,FALSE)="","",VLOOKUP(Sat_W1[[#This Row],[Employee Name]],'Base Schedules'!$A$46:$AW$77,13,FALSE)),"")</f>
        <v/>
      </c>
      <c r="O44" s="184" t="str">
        <f>IFERROR(IF(VLOOKUP(Sat_W1[[#This Row],[Employee Name]],'Base Schedules'!$A$46:$AW$77,14,FALSE)="","",VLOOKUP(Sat_W1[[#This Row],[Employee Name]],'Base Schedules'!$A$46:$AW$77,14,FALSE)),"")</f>
        <v/>
      </c>
      <c r="P44" s="184" t="str">
        <f>IFERROR(IF(VLOOKUP(Sat_W1[[#This Row],[Employee Name]],'Base Schedules'!$A$46:$AW$77,15,FALSE)="","",VLOOKUP(Sat_W1[[#This Row],[Employee Name]],'Base Schedules'!$A$46:$AW$77,15,FALSE)),"")</f>
        <v/>
      </c>
      <c r="Q44" s="184" t="str">
        <f>IFERROR(IF(VLOOKUP(Sat_W1[[#This Row],[Employee Name]],'Base Schedules'!$A$46:$AW$77,16,FALSE)="","",VLOOKUP(Sat_W1[[#This Row],[Employee Name]],'Base Schedules'!$A$46:$AW$77,16,FALSE)),"")</f>
        <v/>
      </c>
      <c r="R44" s="184" t="str">
        <f>IFERROR(IF(VLOOKUP(Sat_W1[[#This Row],[Employee Name]],'Base Schedules'!$A$46:$AW$77,17,FALSE)="","",VLOOKUP(Sat_W1[[#This Row],[Employee Name]],'Base Schedules'!$A$46:$AW$77,17,FALSE)),"")</f>
        <v/>
      </c>
      <c r="S44" s="184" t="str">
        <f>IFERROR(IF(VLOOKUP(Sat_W1[[#This Row],[Employee Name]],'Base Schedules'!$A$46:$AW$77,18,FALSE)="","",VLOOKUP(Sat_W1[[#This Row],[Employee Name]],'Base Schedules'!$A$46:$AW$77,18,FALSE)),"")</f>
        <v/>
      </c>
      <c r="T44" s="184" t="str">
        <f>IFERROR(IF(VLOOKUP(Sat_W1[[#This Row],[Employee Name]],'Base Schedules'!$A$46:$AW$77,19,FALSE)="","",VLOOKUP(Sat_W1[[#This Row],[Employee Name]],'Base Schedules'!$A$46:$AW$77,19,FALSE)),"")</f>
        <v/>
      </c>
      <c r="U44" s="184" t="str">
        <f>IFERROR(IF(VLOOKUP(Sat_W1[[#This Row],[Employee Name]],'Base Schedules'!$A$46:$AW$77,20,FALSE)="","",VLOOKUP(Sat_W1[[#This Row],[Employee Name]],'Base Schedules'!$A$46:$AW$77,20,FALSE)),"")</f>
        <v/>
      </c>
      <c r="V44" s="184" t="str">
        <f>IFERROR(IF(VLOOKUP(Sat_W1[[#This Row],[Employee Name]],'Base Schedules'!$A$46:$AW$77,21,FALSE)="","",VLOOKUP(Sat_W1[[#This Row],[Employee Name]],'Base Schedules'!$A$46:$AW$77,21,FALSE)),"")</f>
        <v/>
      </c>
      <c r="W44" s="184" t="str">
        <f>IFERROR(IF(VLOOKUP(Sat_W1[[#This Row],[Employee Name]],'Base Schedules'!$A$46:$AW$77,22,FALSE)="","",VLOOKUP(Sat_W1[[#This Row],[Employee Name]],'Base Schedules'!$A$46:$AW$77,22,FALSE)),"")</f>
        <v/>
      </c>
      <c r="X44" s="184" t="str">
        <f>IFERROR(IF(VLOOKUP(Sat_W1[[#This Row],[Employee Name]],'Base Schedules'!$A$46:$AW$77,23,FALSE)="","",VLOOKUP(Sat_W1[[#This Row],[Employee Name]],'Base Schedules'!$A$46:$AW$77,23,FALSE)),"")</f>
        <v/>
      </c>
      <c r="Y44" s="184" t="str">
        <f>IFERROR(IF(VLOOKUP(Sat_W1[[#This Row],[Employee Name]],'Base Schedules'!$A$46:$AW$77,24,FALSE)="","",VLOOKUP(Sat_W1[[#This Row],[Employee Name]],'Base Schedules'!$A$46:$AW$77,24,FALSE)),"")</f>
        <v/>
      </c>
      <c r="Z44" s="184" t="str">
        <f>IFERROR(IF(VLOOKUP(Sat_W1[[#This Row],[Employee Name]],'Base Schedules'!$A$46:$AW$77,25,FALSE)="","",VLOOKUP(Sat_W1[[#This Row],[Employee Name]],'Base Schedules'!$A$46:$AW$77,25,FALSE)),"")</f>
        <v/>
      </c>
      <c r="AA44" s="184" t="str">
        <f>IFERROR(IF(VLOOKUP(Sat_W1[[#This Row],[Employee Name]],'Base Schedules'!$A$46:$AW$77,26,FALSE)="","",VLOOKUP(Sat_W1[[#This Row],[Employee Name]],'Base Schedules'!$A$46:$AW$77,26,FALSE)),"")</f>
        <v/>
      </c>
      <c r="AB44" s="184" t="str">
        <f>IFERROR(IF(VLOOKUP(Sat_W1[[#This Row],[Employee Name]],'Base Schedules'!$A$46:$AW$77,27,FALSE)="","",VLOOKUP(Sat_W1[[#This Row],[Employee Name]],'Base Schedules'!$A$46:$AW$77,27,FALSE)),"")</f>
        <v/>
      </c>
      <c r="AC44" s="184" t="str">
        <f>IFERROR(IF(VLOOKUP(Sat_W1[[#This Row],[Employee Name]],'Base Schedules'!$A$46:$AW$77,28,FALSE)="","",VLOOKUP(Sat_W1[[#This Row],[Employee Name]],'Base Schedules'!$A$46:$AW$77,28,FALSE)),"")</f>
        <v/>
      </c>
      <c r="AD44" s="184" t="str">
        <f>IFERROR(IF(VLOOKUP(Sat_W1[[#This Row],[Employee Name]],'Base Schedules'!$A$46:$AW$77,29,FALSE)="","",VLOOKUP(Sat_W1[[#This Row],[Employee Name]],'Base Schedules'!$A$46:$AW$77,29,FALSE)),"")</f>
        <v/>
      </c>
      <c r="AE44" s="184" t="str">
        <f>IFERROR(IF(VLOOKUP(Sat_W1[[#This Row],[Employee Name]],'Base Schedules'!$A$46:$AW$77,30,FALSE)="","",VLOOKUP(Sat_W1[[#This Row],[Employee Name]],'Base Schedules'!$A$46:$AW$77,30,FALSE)),"")</f>
        <v/>
      </c>
      <c r="AF44" s="184" t="str">
        <f>IFERROR(IF(VLOOKUP(Sat_W1[[#This Row],[Employee Name]],'Base Schedules'!$A$46:$AW$77,31,FALSE)="","",VLOOKUP(Sat_W1[[#This Row],[Employee Name]],'Base Schedules'!$A$46:$AW$77,31,FALSE)),"")</f>
        <v/>
      </c>
      <c r="AG44" s="184" t="str">
        <f>IFERROR(IF(VLOOKUP(Sat_W1[[#This Row],[Employee Name]],'Base Schedules'!$A$46:$AW$77,32,FALSE)="","",VLOOKUP(Sat_W1[[#This Row],[Employee Name]],'Base Schedules'!$A$46:$AW$77,32,FALSE)),"")</f>
        <v/>
      </c>
      <c r="AH44" s="184" t="str">
        <f>IFERROR(IF(VLOOKUP(Sat_W1[[#This Row],[Employee Name]],'Base Schedules'!$A$46:$AW$77,33,FALSE)="","",VLOOKUP(Sat_W1[[#This Row],[Employee Name]],'Base Schedules'!$A$46:$AW$77,33,FALSE)),"")</f>
        <v/>
      </c>
      <c r="AI44" s="184" t="str">
        <f>IFERROR(IF(VLOOKUP(Sat_W1[[#This Row],[Employee Name]],'Base Schedules'!$A$46:$AW$77,34,FALSE)="","",VLOOKUP(Sat_W1[[#This Row],[Employee Name]],'Base Schedules'!$A$46:$AW$77,34,FALSE)),"")</f>
        <v/>
      </c>
      <c r="AJ44" s="184" t="str">
        <f>IFERROR(IF(VLOOKUP(Sat_W1[[#This Row],[Employee Name]],'Base Schedules'!$A$46:$AW$77,35,FALSE)="","",VLOOKUP(Sat_W1[[#This Row],[Employee Name]],'Base Schedules'!$A$46:$AW$77,35,FALSE)),"")</f>
        <v/>
      </c>
      <c r="AK44" s="184" t="str">
        <f>IFERROR(IF(VLOOKUP(Sat_W1[[#This Row],[Employee Name]],'Base Schedules'!$A$46:$AW$77,36,FALSE)="","",VLOOKUP(Sat_W1[[#This Row],[Employee Name]],'Base Schedules'!$A$46:$AW$77,36,FALSE)),"")</f>
        <v/>
      </c>
      <c r="AL44" s="184" t="str">
        <f>IFERROR(IF(VLOOKUP(Sat_W1[[#This Row],[Employee Name]],'Base Schedules'!$A$46:$AW$77,37,FALSE)="","",VLOOKUP(Sat_W1[[#This Row],[Employee Name]],'Base Schedules'!$A$46:$AW$77,37,FALSE)),"")</f>
        <v/>
      </c>
      <c r="AM44" s="184" t="str">
        <f>IFERROR(IF(VLOOKUP(Sat_W1[[#This Row],[Employee Name]],'Base Schedules'!$A$46:$AW$77,38,FALSE)="","",VLOOKUP(Sat_W1[[#This Row],[Employee Name]],'Base Schedules'!$A$46:$AW$77,38,FALSE)),"")</f>
        <v/>
      </c>
      <c r="AN44" s="184" t="str">
        <f>IFERROR(IF(VLOOKUP(Sat_W1[[#This Row],[Employee Name]],'Base Schedules'!$A$46:$AW$77,39,FALSE)="","",VLOOKUP(Sat_W1[[#This Row],[Employee Name]],'Base Schedules'!$A$46:$AW$77,39,FALSE)),"")</f>
        <v/>
      </c>
      <c r="AO44" s="184" t="str">
        <f>IFERROR(IF(VLOOKUP(Sat_W1[[#This Row],[Employee Name]],'Base Schedules'!$A$46:$AW$77,40,FALSE)="","",VLOOKUP(Sat_W1[[#This Row],[Employee Name]],'Base Schedules'!$A$46:$AW$77,40,FALSE)),"")</f>
        <v/>
      </c>
      <c r="AP44" s="184" t="str">
        <f>IFERROR(IF(VLOOKUP(Sat_W1[[#This Row],[Employee Name]],'Base Schedules'!$A$46:$AW$77,41,FALSE)="","",VLOOKUP(Sat_W1[[#This Row],[Employee Name]],'Base Schedules'!$A$46:$AW$77,41,FALSE)),"")</f>
        <v/>
      </c>
      <c r="AQ44" s="184" t="str">
        <f>IFERROR(IF(VLOOKUP(Sat_W1[[#This Row],[Employee Name]],'Base Schedules'!$A$46:$AW$77,42,FALSE)="","",VLOOKUP(Sat_W1[[#This Row],[Employee Name]],'Base Schedules'!$A$46:$AW$77,42,FALSE)),"")</f>
        <v/>
      </c>
      <c r="AR44" s="184" t="str">
        <f>IFERROR(IF(VLOOKUP(Sat_W1[[#This Row],[Employee Name]],'Base Schedules'!$A$46:$AW$77,43,FALSE)="","",VLOOKUP(Sat_W1[[#This Row],[Employee Name]],'Base Schedules'!$A$46:$AW$77,43,FALSE)),"")</f>
        <v/>
      </c>
      <c r="AS44" s="184" t="str">
        <f>IFERROR(IF(VLOOKUP(Sat_W1[[#This Row],[Employee Name]],'Base Schedules'!$A$46:$AW$77,44,FALSE)="","",VLOOKUP(Sat_W1[[#This Row],[Employee Name]],'Base Schedules'!$A$46:$AW$77,44,FALSE)),"")</f>
        <v/>
      </c>
      <c r="AT44" s="184" t="str">
        <f>IFERROR(IF(VLOOKUP(Sat_W1[[#This Row],[Employee Name]],'Base Schedules'!$A$46:$AW$77,45,FALSE)="","",VLOOKUP(Sat_W1[[#This Row],[Employee Name]],'Base Schedules'!$A$46:$AW$77,45,FALSE)),"")</f>
        <v/>
      </c>
      <c r="AU44" s="184" t="str">
        <f>IFERROR(IF(VLOOKUP(Sat_W1[[#This Row],[Employee Name]],'Base Schedules'!$A$46:$AW$77,46,FALSE)="","",VLOOKUP(Sat_W1[[#This Row],[Employee Name]],'Base Schedules'!$A$46:$AW$77,46,FALSE)),"")</f>
        <v/>
      </c>
      <c r="AV44" s="184" t="str">
        <f>IFERROR(IF(VLOOKUP(Sat_W1[[#This Row],[Employee Name]],'Base Schedules'!$A$46:$AW$77,47,FALSE)="","",VLOOKUP(Sat_W1[[#This Row],[Employee Name]],'Base Schedules'!$A$46:$AW$77,47,FALSE)),"")</f>
        <v/>
      </c>
      <c r="AW44" s="184" t="str">
        <f>IFERROR(IF(VLOOKUP(Sat_W1[[#This Row],[Employee Name]],'Base Schedules'!$A$46:$AW$77,48,FALSE)="","",VLOOKUP(Sat_W1[[#This Row],[Employee Name]],'Base Schedules'!$A$46:$AW$77,48,FALSE)),"")</f>
        <v/>
      </c>
      <c r="AX44" s="184" t="str">
        <f>IFERROR(IF(VLOOKUP(Sat_W1[[#This Row],[Employee Name]],'Base Schedules'!$A$46:$AW$77,49,FALSE)="","",VLOOKUP(Sat_W1[[#This Row],[Employee Name]],'Base Schedules'!$A$46:$AW$77,49,FALSE)),"")</f>
        <v/>
      </c>
      <c r="AY44" s="348" t="str">
        <f t="shared" si="2"/>
        <v/>
      </c>
    </row>
    <row r="45" spans="1:51" s="44" customFormat="1" ht="12" hidden="1" customHeight="1" x14ac:dyDescent="0.2">
      <c r="A45" s="39" t="str">
        <f>IF(B45="","",INDEX(TeamList[],MATCH($B45,TeamList[[Employee Name]:[Employee Name]],0),MATCH("Manager",TeamList[#Headers],0)))</f>
        <v/>
      </c>
      <c r="B45" s="201"/>
      <c r="C45" s="257" t="str">
        <f>_xlfn.IFNA(VLOOKUP(Sat_W1[[#This Row],[Employee Name]],'Base Schedules'!A:B,2,FALSE),"")</f>
        <v/>
      </c>
      <c r="D45" s="274" t="str">
        <f>_xlfn.IFNA(VLOOKUP(Sat_W1[[#This Row],[Employee Name]],'Base Schedules'!A:C,3,FALSE),"")</f>
        <v/>
      </c>
      <c r="E45" s="274" t="str">
        <f>_xlfn.IFNA(VLOOKUP(Sat_W1[[#This Row],[Employee Name]],'Base Schedules'!A:D,4,FALSE),"")</f>
        <v/>
      </c>
      <c r="F45" s="142" t="str">
        <f>IF(Sat_W1[[#This Row],[Employee Name]]="","",IF(Sat_W1[[#This Row],[Dept]]="Supervisor",COUNTIFS($J45:$AX45,"*HL*",$J45:$AX45,"&lt;&gt;"&amp;"pHL"),COUNTIFS($J45:$AX45,"*HL*",$J45:$AX45,"&lt;&gt;"&amp;"*pHL*",$J45:$AX45,"&lt;&gt;"&amp;"pB1 HL",$J45:$AX45,"&lt;&gt;"&amp;"pB2 HL")-SUM(COUNTIFS($J45:$AX45,"*HL B1*",$J45:$AX45,"&lt;&gt;"&amp;"pHL B1")*0.5,COUNTIFS($J45:$AX45,"*HL B2*",$J45:$AX45,"&lt;&gt;"&amp;"pHL B2")*0.5,COUNTIFS($J45:$AX45,"*B1 HL*",$J45:$AX45,"&lt;&gt;"&amp;"pB1 HL")*0.5,COUNTIFS($J45:$AX45,"*B2 HL*",$J45:$AX45,"&lt;&gt;"&amp;"pB2 HL")*0.5)))</f>
        <v/>
      </c>
      <c r="G45" s="142" t="str">
        <f t="shared" si="4"/>
        <v/>
      </c>
      <c r="H45" s="142" t="str">
        <f t="shared" si="1"/>
        <v/>
      </c>
      <c r="I45" s="142" t="str">
        <f>IF(Sat_W1[[#This Row],[Employee Name]]="","",IF(Sat_W1[[#This Row],[Dept]]="Supervisor",SUM(COUNTIFS($J45:$AX45,"RTA*",$J45:$AX45,"&lt;&gt;"&amp;"pRTA"),COUNTIFS($J45:$AX45,"*CRTA*",$J45:$AX45,"&lt;&gt;"&amp;"pCRTA")),COUNTIFS($J45:$AX45,"*RNNR*",$J45:$AX45,"&lt;&gt;"&amp;"*pRNNR*",$J45:$AX45,"&lt;&gt;"&amp;"pB1 RNNR",$J45:$AX45,"&lt;&gt;"&amp;"pB2 RNNR")-SUM(COUNTIFS($J45:$AX45,"*RNNR B1*",$J45:$AX45,"&lt;&gt;"&amp;"pRNNR B1")*0.5,COUNTIFS($J45:$AX45,"*RNNR B2*",$J45:$AX45,"&lt;&gt;"&amp;"pRNNR B2")*0.5,COUNTIFS($J45:$AX45,"*B1 RNNR*",$J45:$AX45,"&lt;&gt;"&amp;"pB1 RNNR")*0.5,COUNTIFS($J45:$AX45,"*B2 RNNR*",$J45:$AX45,"&lt;&gt;"&amp;"pB2 RNNR")*0.5)))</f>
        <v/>
      </c>
      <c r="J45" s="184" t="str">
        <f>IFERROR(IF(VLOOKUP(Sat_W1[[#This Row],[Employee Name]],'Base Schedules'!$A$46:$AW$77,9,FALSE)="","",VLOOKUP(Sat_W1[[#This Row],[Employee Name]],'Base Schedules'!$A$46:$AW$77,9,FALSE)),"")</f>
        <v/>
      </c>
      <c r="K45" s="184" t="str">
        <f>IFERROR(IF(VLOOKUP(Sat_W1[[#This Row],[Employee Name]],'Base Schedules'!$A$46:$AW$77,10,FALSE)="","",VLOOKUP(Sat_W1[[#This Row],[Employee Name]],'Base Schedules'!$A$46:$AW$77,10,FALSE)),"")</f>
        <v/>
      </c>
      <c r="L45" s="184" t="str">
        <f>IFERROR(IF(VLOOKUP(Sat_W1[[#This Row],[Employee Name]],'Base Schedules'!$A$46:$AW$77,11,FALSE)="","",VLOOKUP(Sat_W1[[#This Row],[Employee Name]],'Base Schedules'!$A$46:$AW$77,11,FALSE)),"")</f>
        <v/>
      </c>
      <c r="M45" s="184" t="str">
        <f>IFERROR(IF(VLOOKUP(Sat_W1[[#This Row],[Employee Name]],'Base Schedules'!$A$46:$AW$77,12,FALSE)="","",VLOOKUP(Sat_W1[[#This Row],[Employee Name]],'Base Schedules'!$A$46:$AW$77,12,FALSE)),"")</f>
        <v/>
      </c>
      <c r="N45" s="184" t="str">
        <f>IFERROR(IF(VLOOKUP(Sat_W1[[#This Row],[Employee Name]],'Base Schedules'!$A$46:$AW$77,13,FALSE)="","",VLOOKUP(Sat_W1[[#This Row],[Employee Name]],'Base Schedules'!$A$46:$AW$77,13,FALSE)),"")</f>
        <v/>
      </c>
      <c r="O45" s="184" t="str">
        <f>IFERROR(IF(VLOOKUP(Sat_W1[[#This Row],[Employee Name]],'Base Schedules'!$A$46:$AW$77,14,FALSE)="","",VLOOKUP(Sat_W1[[#This Row],[Employee Name]],'Base Schedules'!$A$46:$AW$77,14,FALSE)),"")</f>
        <v/>
      </c>
      <c r="P45" s="184" t="str">
        <f>IFERROR(IF(VLOOKUP(Sat_W1[[#This Row],[Employee Name]],'Base Schedules'!$A$46:$AW$77,15,FALSE)="","",VLOOKUP(Sat_W1[[#This Row],[Employee Name]],'Base Schedules'!$A$46:$AW$77,15,FALSE)),"")</f>
        <v/>
      </c>
      <c r="Q45" s="184" t="str">
        <f>IFERROR(IF(VLOOKUP(Sat_W1[[#This Row],[Employee Name]],'Base Schedules'!$A$46:$AW$77,16,FALSE)="","",VLOOKUP(Sat_W1[[#This Row],[Employee Name]],'Base Schedules'!$A$46:$AW$77,16,FALSE)),"")</f>
        <v/>
      </c>
      <c r="R45" s="184" t="str">
        <f>IFERROR(IF(VLOOKUP(Sat_W1[[#This Row],[Employee Name]],'Base Schedules'!$A$46:$AW$77,17,FALSE)="","",VLOOKUP(Sat_W1[[#This Row],[Employee Name]],'Base Schedules'!$A$46:$AW$77,17,FALSE)),"")</f>
        <v/>
      </c>
      <c r="S45" s="184" t="str">
        <f>IFERROR(IF(VLOOKUP(Sat_W1[[#This Row],[Employee Name]],'Base Schedules'!$A$46:$AW$77,18,FALSE)="","",VLOOKUP(Sat_W1[[#This Row],[Employee Name]],'Base Schedules'!$A$46:$AW$77,18,FALSE)),"")</f>
        <v/>
      </c>
      <c r="T45" s="184" t="str">
        <f>IFERROR(IF(VLOOKUP(Sat_W1[[#This Row],[Employee Name]],'Base Schedules'!$A$46:$AW$77,19,FALSE)="","",VLOOKUP(Sat_W1[[#This Row],[Employee Name]],'Base Schedules'!$A$46:$AW$77,19,FALSE)),"")</f>
        <v/>
      </c>
      <c r="U45" s="184" t="str">
        <f>IFERROR(IF(VLOOKUP(Sat_W1[[#This Row],[Employee Name]],'Base Schedules'!$A$46:$AW$77,20,FALSE)="","",VLOOKUP(Sat_W1[[#This Row],[Employee Name]],'Base Schedules'!$A$46:$AW$77,20,FALSE)),"")</f>
        <v/>
      </c>
      <c r="V45" s="184" t="str">
        <f>IFERROR(IF(VLOOKUP(Sat_W1[[#This Row],[Employee Name]],'Base Schedules'!$A$46:$AW$77,21,FALSE)="","",VLOOKUP(Sat_W1[[#This Row],[Employee Name]],'Base Schedules'!$A$46:$AW$77,21,FALSE)),"")</f>
        <v/>
      </c>
      <c r="W45" s="184" t="str">
        <f>IFERROR(IF(VLOOKUP(Sat_W1[[#This Row],[Employee Name]],'Base Schedules'!$A$46:$AW$77,22,FALSE)="","",VLOOKUP(Sat_W1[[#This Row],[Employee Name]],'Base Schedules'!$A$46:$AW$77,22,FALSE)),"")</f>
        <v/>
      </c>
      <c r="X45" s="184" t="str">
        <f>IFERROR(IF(VLOOKUP(Sat_W1[[#This Row],[Employee Name]],'Base Schedules'!$A$46:$AW$77,23,FALSE)="","",VLOOKUP(Sat_W1[[#This Row],[Employee Name]],'Base Schedules'!$A$46:$AW$77,23,FALSE)),"")</f>
        <v/>
      </c>
      <c r="Y45" s="184" t="str">
        <f>IFERROR(IF(VLOOKUP(Sat_W1[[#This Row],[Employee Name]],'Base Schedules'!$A$46:$AW$77,24,FALSE)="","",VLOOKUP(Sat_W1[[#This Row],[Employee Name]],'Base Schedules'!$A$46:$AW$77,24,FALSE)),"")</f>
        <v/>
      </c>
      <c r="Z45" s="184" t="str">
        <f>IFERROR(IF(VLOOKUP(Sat_W1[[#This Row],[Employee Name]],'Base Schedules'!$A$46:$AW$77,25,FALSE)="","",VLOOKUP(Sat_W1[[#This Row],[Employee Name]],'Base Schedules'!$A$46:$AW$77,25,FALSE)),"")</f>
        <v/>
      </c>
      <c r="AA45" s="184" t="str">
        <f>IFERROR(IF(VLOOKUP(Sat_W1[[#This Row],[Employee Name]],'Base Schedules'!$A$46:$AW$77,26,FALSE)="","",VLOOKUP(Sat_W1[[#This Row],[Employee Name]],'Base Schedules'!$A$46:$AW$77,26,FALSE)),"")</f>
        <v/>
      </c>
      <c r="AB45" s="184" t="str">
        <f>IFERROR(IF(VLOOKUP(Sat_W1[[#This Row],[Employee Name]],'Base Schedules'!$A$46:$AW$77,27,FALSE)="","",VLOOKUP(Sat_W1[[#This Row],[Employee Name]],'Base Schedules'!$A$46:$AW$77,27,FALSE)),"")</f>
        <v/>
      </c>
      <c r="AC45" s="184" t="str">
        <f>IFERROR(IF(VLOOKUP(Sat_W1[[#This Row],[Employee Name]],'Base Schedules'!$A$46:$AW$77,28,FALSE)="","",VLOOKUP(Sat_W1[[#This Row],[Employee Name]],'Base Schedules'!$A$46:$AW$77,28,FALSE)),"")</f>
        <v/>
      </c>
      <c r="AD45" s="184" t="str">
        <f>IFERROR(IF(VLOOKUP(Sat_W1[[#This Row],[Employee Name]],'Base Schedules'!$A$46:$AW$77,29,FALSE)="","",VLOOKUP(Sat_W1[[#This Row],[Employee Name]],'Base Schedules'!$A$46:$AW$77,29,FALSE)),"")</f>
        <v/>
      </c>
      <c r="AE45" s="184" t="str">
        <f>IFERROR(IF(VLOOKUP(Sat_W1[[#This Row],[Employee Name]],'Base Schedules'!$A$46:$AW$77,30,FALSE)="","",VLOOKUP(Sat_W1[[#This Row],[Employee Name]],'Base Schedules'!$A$46:$AW$77,30,FALSE)),"")</f>
        <v/>
      </c>
      <c r="AF45" s="184" t="str">
        <f>IFERROR(IF(VLOOKUP(Sat_W1[[#This Row],[Employee Name]],'Base Schedules'!$A$46:$AW$77,31,FALSE)="","",VLOOKUP(Sat_W1[[#This Row],[Employee Name]],'Base Schedules'!$A$46:$AW$77,31,FALSE)),"")</f>
        <v/>
      </c>
      <c r="AG45" s="184" t="str">
        <f>IFERROR(IF(VLOOKUP(Sat_W1[[#This Row],[Employee Name]],'Base Schedules'!$A$46:$AW$77,32,FALSE)="","",VLOOKUP(Sat_W1[[#This Row],[Employee Name]],'Base Schedules'!$A$46:$AW$77,32,FALSE)),"")</f>
        <v/>
      </c>
      <c r="AH45" s="184" t="str">
        <f>IFERROR(IF(VLOOKUP(Sat_W1[[#This Row],[Employee Name]],'Base Schedules'!$A$46:$AW$77,33,FALSE)="","",VLOOKUP(Sat_W1[[#This Row],[Employee Name]],'Base Schedules'!$A$46:$AW$77,33,FALSE)),"")</f>
        <v/>
      </c>
      <c r="AI45" s="184" t="str">
        <f>IFERROR(IF(VLOOKUP(Sat_W1[[#This Row],[Employee Name]],'Base Schedules'!$A$46:$AW$77,34,FALSE)="","",VLOOKUP(Sat_W1[[#This Row],[Employee Name]],'Base Schedules'!$A$46:$AW$77,34,FALSE)),"")</f>
        <v/>
      </c>
      <c r="AJ45" s="184" t="str">
        <f>IFERROR(IF(VLOOKUP(Sat_W1[[#This Row],[Employee Name]],'Base Schedules'!$A$46:$AW$77,35,FALSE)="","",VLOOKUP(Sat_W1[[#This Row],[Employee Name]],'Base Schedules'!$A$46:$AW$77,35,FALSE)),"")</f>
        <v/>
      </c>
      <c r="AK45" s="184" t="str">
        <f>IFERROR(IF(VLOOKUP(Sat_W1[[#This Row],[Employee Name]],'Base Schedules'!$A$46:$AW$77,36,FALSE)="","",VLOOKUP(Sat_W1[[#This Row],[Employee Name]],'Base Schedules'!$A$46:$AW$77,36,FALSE)),"")</f>
        <v/>
      </c>
      <c r="AL45" s="184" t="str">
        <f>IFERROR(IF(VLOOKUP(Sat_W1[[#This Row],[Employee Name]],'Base Schedules'!$A$46:$AW$77,37,FALSE)="","",VLOOKUP(Sat_W1[[#This Row],[Employee Name]],'Base Schedules'!$A$46:$AW$77,37,FALSE)),"")</f>
        <v/>
      </c>
      <c r="AM45" s="184" t="str">
        <f>IFERROR(IF(VLOOKUP(Sat_W1[[#This Row],[Employee Name]],'Base Schedules'!$A$46:$AW$77,38,FALSE)="","",VLOOKUP(Sat_W1[[#This Row],[Employee Name]],'Base Schedules'!$A$46:$AW$77,38,FALSE)),"")</f>
        <v/>
      </c>
      <c r="AN45" s="184" t="str">
        <f>IFERROR(IF(VLOOKUP(Sat_W1[[#This Row],[Employee Name]],'Base Schedules'!$A$46:$AW$77,39,FALSE)="","",VLOOKUP(Sat_W1[[#This Row],[Employee Name]],'Base Schedules'!$A$46:$AW$77,39,FALSE)),"")</f>
        <v/>
      </c>
      <c r="AO45" s="184" t="str">
        <f>IFERROR(IF(VLOOKUP(Sat_W1[[#This Row],[Employee Name]],'Base Schedules'!$A$46:$AW$77,40,FALSE)="","",VLOOKUP(Sat_W1[[#This Row],[Employee Name]],'Base Schedules'!$A$46:$AW$77,40,FALSE)),"")</f>
        <v/>
      </c>
      <c r="AP45" s="184" t="str">
        <f>IFERROR(IF(VLOOKUP(Sat_W1[[#This Row],[Employee Name]],'Base Schedules'!$A$46:$AW$77,41,FALSE)="","",VLOOKUP(Sat_W1[[#This Row],[Employee Name]],'Base Schedules'!$A$46:$AW$77,41,FALSE)),"")</f>
        <v/>
      </c>
      <c r="AQ45" s="184" t="str">
        <f>IFERROR(IF(VLOOKUP(Sat_W1[[#This Row],[Employee Name]],'Base Schedules'!$A$46:$AW$77,42,FALSE)="","",VLOOKUP(Sat_W1[[#This Row],[Employee Name]],'Base Schedules'!$A$46:$AW$77,42,FALSE)),"")</f>
        <v/>
      </c>
      <c r="AR45" s="184" t="str">
        <f>IFERROR(IF(VLOOKUP(Sat_W1[[#This Row],[Employee Name]],'Base Schedules'!$A$46:$AW$77,43,FALSE)="","",VLOOKUP(Sat_W1[[#This Row],[Employee Name]],'Base Schedules'!$A$46:$AW$77,43,FALSE)),"")</f>
        <v/>
      </c>
      <c r="AS45" s="184" t="str">
        <f>IFERROR(IF(VLOOKUP(Sat_W1[[#This Row],[Employee Name]],'Base Schedules'!$A$46:$AW$77,44,FALSE)="","",VLOOKUP(Sat_W1[[#This Row],[Employee Name]],'Base Schedules'!$A$46:$AW$77,44,FALSE)),"")</f>
        <v/>
      </c>
      <c r="AT45" s="184" t="str">
        <f>IFERROR(IF(VLOOKUP(Sat_W1[[#This Row],[Employee Name]],'Base Schedules'!$A$46:$AW$77,45,FALSE)="","",VLOOKUP(Sat_W1[[#This Row],[Employee Name]],'Base Schedules'!$A$46:$AW$77,45,FALSE)),"")</f>
        <v/>
      </c>
      <c r="AU45" s="184" t="str">
        <f>IFERROR(IF(VLOOKUP(Sat_W1[[#This Row],[Employee Name]],'Base Schedules'!$A$46:$AW$77,46,FALSE)="","",VLOOKUP(Sat_W1[[#This Row],[Employee Name]],'Base Schedules'!$A$46:$AW$77,46,FALSE)),"")</f>
        <v/>
      </c>
      <c r="AV45" s="184" t="str">
        <f>IFERROR(IF(VLOOKUP(Sat_W1[[#This Row],[Employee Name]],'Base Schedules'!$A$46:$AW$77,47,FALSE)="","",VLOOKUP(Sat_W1[[#This Row],[Employee Name]],'Base Schedules'!$A$46:$AW$77,47,FALSE)),"")</f>
        <v/>
      </c>
      <c r="AW45" s="184" t="str">
        <f>IFERROR(IF(VLOOKUP(Sat_W1[[#This Row],[Employee Name]],'Base Schedules'!$A$46:$AW$77,48,FALSE)="","",VLOOKUP(Sat_W1[[#This Row],[Employee Name]],'Base Schedules'!$A$46:$AW$77,48,FALSE)),"")</f>
        <v/>
      </c>
      <c r="AX45" s="184" t="str">
        <f>IFERROR(IF(VLOOKUP(Sat_W1[[#This Row],[Employee Name]],'Base Schedules'!$A$46:$AW$77,49,FALSE)="","",VLOOKUP(Sat_W1[[#This Row],[Employee Name]],'Base Schedules'!$A$46:$AW$77,49,FALSE)),"")</f>
        <v/>
      </c>
      <c r="AY45" s="348" t="str">
        <f t="shared" si="2"/>
        <v/>
      </c>
    </row>
    <row r="46" spans="1:51" s="44" customFormat="1" ht="12" hidden="1" customHeight="1" thickBot="1" x14ac:dyDescent="0.25">
      <c r="A46" s="39" t="str">
        <f>IF(B46="","",INDEX(TeamList[],MATCH($B46,TeamList[[Employee Name]:[Employee Name]],0),MATCH("Manager",TeamList[#Headers],0)))</f>
        <v/>
      </c>
      <c r="B46" s="201"/>
      <c r="C46" s="257" t="str">
        <f>_xlfn.IFNA(VLOOKUP(Sat_W1[[#This Row],[Employee Name]],'Base Schedules'!A:B,2,FALSE),"")</f>
        <v/>
      </c>
      <c r="D46" s="274" t="str">
        <f>_xlfn.IFNA(VLOOKUP(Sat_W1[[#This Row],[Employee Name]],'Base Schedules'!A:C,3,FALSE),"")</f>
        <v/>
      </c>
      <c r="E46" s="274" t="str">
        <f>_xlfn.IFNA(VLOOKUP(Sat_W1[[#This Row],[Employee Name]],'Base Schedules'!A:D,4,FALSE),"")</f>
        <v/>
      </c>
      <c r="F46" s="142" t="str">
        <f>IF(Sat_W1[[#This Row],[Employee Name]]="","",IF(Sat_W1[[#This Row],[Dept]]="Supervisor",COUNTIFS($J46:$AX46,"*HL*",$J46:$AX46,"&lt;&gt;"&amp;"pHL"),COUNTIFS($J46:$AX46,"*HL*",$J46:$AX46,"&lt;&gt;"&amp;"*pHL*",$J46:$AX46,"&lt;&gt;"&amp;"pB1 HL",$J46:$AX46,"&lt;&gt;"&amp;"pB2 HL")-SUM(COUNTIFS($J46:$AX46,"*HL B1*",$J46:$AX46,"&lt;&gt;"&amp;"pHL B1")*0.5,COUNTIFS($J46:$AX46,"*HL B2*",$J46:$AX46,"&lt;&gt;"&amp;"pHL B2")*0.5,COUNTIFS($J46:$AX46,"*B1 HL*",$J46:$AX46,"&lt;&gt;"&amp;"pB1 HL")*0.5,COUNTIFS($J46:$AX46,"*B2 HL*",$J46:$AX46,"&lt;&gt;"&amp;"pB2 HL")*0.5)))</f>
        <v/>
      </c>
      <c r="G46" s="142" t="str">
        <f t="shared" si="4"/>
        <v/>
      </c>
      <c r="H46" s="142" t="str">
        <f t="shared" si="1"/>
        <v/>
      </c>
      <c r="I46" s="142" t="str">
        <f>IF(Sat_W1[[#This Row],[Employee Name]]="","",IF(Sat_W1[[#This Row],[Dept]]="Supervisor",SUM(COUNTIFS($J46:$AX46,"RTA*",$J46:$AX46,"&lt;&gt;"&amp;"pRTA"),COUNTIFS($J46:$AX46,"*CRTA*",$J46:$AX46,"&lt;&gt;"&amp;"pCRTA")),COUNTIFS($J46:$AX46,"*RNNR*",$J46:$AX46,"&lt;&gt;"&amp;"*pRNNR*",$J46:$AX46,"&lt;&gt;"&amp;"pB1 RNNR",$J46:$AX46,"&lt;&gt;"&amp;"pB2 RNNR")-SUM(COUNTIFS($J46:$AX46,"*RNNR B1*",$J46:$AX46,"&lt;&gt;"&amp;"pRNNR B1")*0.5,COUNTIFS($J46:$AX46,"*RNNR B2*",$J46:$AX46,"&lt;&gt;"&amp;"pRNNR B2")*0.5,COUNTIFS($J46:$AX46,"*B1 RNNR*",$J46:$AX46,"&lt;&gt;"&amp;"pB1 RNNR")*0.5,COUNTIFS($J46:$AX46,"*B2 RNNR*",$J46:$AX46,"&lt;&gt;"&amp;"pB2 RNNR")*0.5)))</f>
        <v/>
      </c>
      <c r="J46" s="184" t="str">
        <f>IFERROR(IF(VLOOKUP(Sat_W1[[#This Row],[Employee Name]],'Base Schedules'!$A$46:$AW$77,9,FALSE)="","",VLOOKUP(Sat_W1[[#This Row],[Employee Name]],'Base Schedules'!$A$46:$AW$77,9,FALSE)),"")</f>
        <v/>
      </c>
      <c r="K46" s="184" t="str">
        <f>IFERROR(IF(VLOOKUP(Sat_W1[[#This Row],[Employee Name]],'Base Schedules'!$A$46:$AW$77,10,FALSE)="","",VLOOKUP(Sat_W1[[#This Row],[Employee Name]],'Base Schedules'!$A$46:$AW$77,10,FALSE)),"")</f>
        <v/>
      </c>
      <c r="L46" s="184" t="str">
        <f>IFERROR(IF(VLOOKUP(Sat_W1[[#This Row],[Employee Name]],'Base Schedules'!$A$46:$AW$77,11,FALSE)="","",VLOOKUP(Sat_W1[[#This Row],[Employee Name]],'Base Schedules'!$A$46:$AW$77,11,FALSE)),"")</f>
        <v/>
      </c>
      <c r="M46" s="184" t="str">
        <f>IFERROR(IF(VLOOKUP(Sat_W1[[#This Row],[Employee Name]],'Base Schedules'!$A$46:$AW$77,12,FALSE)="","",VLOOKUP(Sat_W1[[#This Row],[Employee Name]],'Base Schedules'!$A$46:$AW$77,12,FALSE)),"")</f>
        <v/>
      </c>
      <c r="N46" s="184" t="str">
        <f>IFERROR(IF(VLOOKUP(Sat_W1[[#This Row],[Employee Name]],'Base Schedules'!$A$46:$AW$77,13,FALSE)="","",VLOOKUP(Sat_W1[[#This Row],[Employee Name]],'Base Schedules'!$A$46:$AW$77,13,FALSE)),"")</f>
        <v/>
      </c>
      <c r="O46" s="184" t="str">
        <f>IFERROR(IF(VLOOKUP(Sat_W1[[#This Row],[Employee Name]],'Base Schedules'!$A$46:$AW$77,14,FALSE)="","",VLOOKUP(Sat_W1[[#This Row],[Employee Name]],'Base Schedules'!$A$46:$AW$77,14,FALSE)),"")</f>
        <v/>
      </c>
      <c r="P46" s="184" t="str">
        <f>IFERROR(IF(VLOOKUP(Sat_W1[[#This Row],[Employee Name]],'Base Schedules'!$A$46:$AW$77,15,FALSE)="","",VLOOKUP(Sat_W1[[#This Row],[Employee Name]],'Base Schedules'!$A$46:$AW$77,15,FALSE)),"")</f>
        <v/>
      </c>
      <c r="Q46" s="184" t="str">
        <f>IFERROR(IF(VLOOKUP(Sat_W1[[#This Row],[Employee Name]],'Base Schedules'!$A$46:$AW$77,16,FALSE)="","",VLOOKUP(Sat_W1[[#This Row],[Employee Name]],'Base Schedules'!$A$46:$AW$77,16,FALSE)),"")</f>
        <v/>
      </c>
      <c r="R46" s="184" t="str">
        <f>IFERROR(IF(VLOOKUP(Sat_W1[[#This Row],[Employee Name]],'Base Schedules'!$A$46:$AW$77,17,FALSE)="","",VLOOKUP(Sat_W1[[#This Row],[Employee Name]],'Base Schedules'!$A$46:$AW$77,17,FALSE)),"")</f>
        <v/>
      </c>
      <c r="S46" s="184" t="str">
        <f>IFERROR(IF(VLOOKUP(Sat_W1[[#This Row],[Employee Name]],'Base Schedules'!$A$46:$AW$77,18,FALSE)="","",VLOOKUP(Sat_W1[[#This Row],[Employee Name]],'Base Schedules'!$A$46:$AW$77,18,FALSE)),"")</f>
        <v/>
      </c>
      <c r="T46" s="184" t="str">
        <f>IFERROR(IF(VLOOKUP(Sat_W1[[#This Row],[Employee Name]],'Base Schedules'!$A$46:$AW$77,19,FALSE)="","",VLOOKUP(Sat_W1[[#This Row],[Employee Name]],'Base Schedules'!$A$46:$AW$77,19,FALSE)),"")</f>
        <v/>
      </c>
      <c r="U46" s="184" t="str">
        <f>IFERROR(IF(VLOOKUP(Sat_W1[[#This Row],[Employee Name]],'Base Schedules'!$A$46:$AW$77,20,FALSE)="","",VLOOKUP(Sat_W1[[#This Row],[Employee Name]],'Base Schedules'!$A$46:$AW$77,20,FALSE)),"")</f>
        <v/>
      </c>
      <c r="V46" s="184" t="str">
        <f>IFERROR(IF(VLOOKUP(Sat_W1[[#This Row],[Employee Name]],'Base Schedules'!$A$46:$AW$77,21,FALSE)="","",VLOOKUP(Sat_W1[[#This Row],[Employee Name]],'Base Schedules'!$A$46:$AW$77,21,FALSE)),"")</f>
        <v/>
      </c>
      <c r="W46" s="184" t="str">
        <f>IFERROR(IF(VLOOKUP(Sat_W1[[#This Row],[Employee Name]],'Base Schedules'!$A$46:$AW$77,22,FALSE)="","",VLOOKUP(Sat_W1[[#This Row],[Employee Name]],'Base Schedules'!$A$46:$AW$77,22,FALSE)),"")</f>
        <v/>
      </c>
      <c r="X46" s="184" t="str">
        <f>IFERROR(IF(VLOOKUP(Sat_W1[[#This Row],[Employee Name]],'Base Schedules'!$A$46:$AW$77,23,FALSE)="","",VLOOKUP(Sat_W1[[#This Row],[Employee Name]],'Base Schedules'!$A$46:$AW$77,23,FALSE)),"")</f>
        <v/>
      </c>
      <c r="Y46" s="184" t="str">
        <f>IFERROR(IF(VLOOKUP(Sat_W1[[#This Row],[Employee Name]],'Base Schedules'!$A$46:$AW$77,24,FALSE)="","",VLOOKUP(Sat_W1[[#This Row],[Employee Name]],'Base Schedules'!$A$46:$AW$77,24,FALSE)),"")</f>
        <v/>
      </c>
      <c r="Z46" s="184" t="str">
        <f>IFERROR(IF(VLOOKUP(Sat_W1[[#This Row],[Employee Name]],'Base Schedules'!$A$46:$AW$77,25,FALSE)="","",VLOOKUP(Sat_W1[[#This Row],[Employee Name]],'Base Schedules'!$A$46:$AW$77,25,FALSE)),"")</f>
        <v/>
      </c>
      <c r="AA46" s="184" t="str">
        <f>IFERROR(IF(VLOOKUP(Sat_W1[[#This Row],[Employee Name]],'Base Schedules'!$A$46:$AW$77,26,FALSE)="","",VLOOKUP(Sat_W1[[#This Row],[Employee Name]],'Base Schedules'!$A$46:$AW$77,26,FALSE)),"")</f>
        <v/>
      </c>
      <c r="AB46" s="184" t="str">
        <f>IFERROR(IF(VLOOKUP(Sat_W1[[#This Row],[Employee Name]],'Base Schedules'!$A$46:$AW$77,27,FALSE)="","",VLOOKUP(Sat_W1[[#This Row],[Employee Name]],'Base Schedules'!$A$46:$AW$77,27,FALSE)),"")</f>
        <v/>
      </c>
      <c r="AC46" s="184" t="str">
        <f>IFERROR(IF(VLOOKUP(Sat_W1[[#This Row],[Employee Name]],'Base Schedules'!$A$46:$AW$77,28,FALSE)="","",VLOOKUP(Sat_W1[[#This Row],[Employee Name]],'Base Schedules'!$A$46:$AW$77,28,FALSE)),"")</f>
        <v/>
      </c>
      <c r="AD46" s="184" t="str">
        <f>IFERROR(IF(VLOOKUP(Sat_W1[[#This Row],[Employee Name]],'Base Schedules'!$A$46:$AW$77,29,FALSE)="","",VLOOKUP(Sat_W1[[#This Row],[Employee Name]],'Base Schedules'!$A$46:$AW$77,29,FALSE)),"")</f>
        <v/>
      </c>
      <c r="AE46" s="184" t="str">
        <f>IFERROR(IF(VLOOKUP(Sat_W1[[#This Row],[Employee Name]],'Base Schedules'!$A$46:$AW$77,30,FALSE)="","",VLOOKUP(Sat_W1[[#This Row],[Employee Name]],'Base Schedules'!$A$46:$AW$77,30,FALSE)),"")</f>
        <v/>
      </c>
      <c r="AF46" s="184" t="str">
        <f>IFERROR(IF(VLOOKUP(Sat_W1[[#This Row],[Employee Name]],'Base Schedules'!$A$46:$AW$77,31,FALSE)="","",VLOOKUP(Sat_W1[[#This Row],[Employee Name]],'Base Schedules'!$A$46:$AW$77,31,FALSE)),"")</f>
        <v/>
      </c>
      <c r="AG46" s="184" t="str">
        <f>IFERROR(IF(VLOOKUP(Sat_W1[[#This Row],[Employee Name]],'Base Schedules'!$A$46:$AW$77,32,FALSE)="","",VLOOKUP(Sat_W1[[#This Row],[Employee Name]],'Base Schedules'!$A$46:$AW$77,32,FALSE)),"")</f>
        <v/>
      </c>
      <c r="AH46" s="184" t="str">
        <f>IFERROR(IF(VLOOKUP(Sat_W1[[#This Row],[Employee Name]],'Base Schedules'!$A$46:$AW$77,33,FALSE)="","",VLOOKUP(Sat_W1[[#This Row],[Employee Name]],'Base Schedules'!$A$46:$AW$77,33,FALSE)),"")</f>
        <v/>
      </c>
      <c r="AI46" s="184" t="str">
        <f>IFERROR(IF(VLOOKUP(Sat_W1[[#This Row],[Employee Name]],'Base Schedules'!$A$46:$AW$77,34,FALSE)="","",VLOOKUP(Sat_W1[[#This Row],[Employee Name]],'Base Schedules'!$A$46:$AW$77,34,FALSE)),"")</f>
        <v/>
      </c>
      <c r="AJ46" s="184" t="str">
        <f>IFERROR(IF(VLOOKUP(Sat_W1[[#This Row],[Employee Name]],'Base Schedules'!$A$46:$AW$77,35,FALSE)="","",VLOOKUP(Sat_W1[[#This Row],[Employee Name]],'Base Schedules'!$A$46:$AW$77,35,FALSE)),"")</f>
        <v/>
      </c>
      <c r="AK46" s="184" t="str">
        <f>IFERROR(IF(VLOOKUP(Sat_W1[[#This Row],[Employee Name]],'Base Schedules'!$A$46:$AW$77,36,FALSE)="","",VLOOKUP(Sat_W1[[#This Row],[Employee Name]],'Base Schedules'!$A$46:$AW$77,36,FALSE)),"")</f>
        <v/>
      </c>
      <c r="AL46" s="184" t="str">
        <f>IFERROR(IF(VLOOKUP(Sat_W1[[#This Row],[Employee Name]],'Base Schedules'!$A$46:$AW$77,37,FALSE)="","",VLOOKUP(Sat_W1[[#This Row],[Employee Name]],'Base Schedules'!$A$46:$AW$77,37,FALSE)),"")</f>
        <v/>
      </c>
      <c r="AM46" s="184" t="str">
        <f>IFERROR(IF(VLOOKUP(Sat_W1[[#This Row],[Employee Name]],'Base Schedules'!$A$46:$AW$77,38,FALSE)="","",VLOOKUP(Sat_W1[[#This Row],[Employee Name]],'Base Schedules'!$A$46:$AW$77,38,FALSE)),"")</f>
        <v/>
      </c>
      <c r="AN46" s="184" t="str">
        <f>IFERROR(IF(VLOOKUP(Sat_W1[[#This Row],[Employee Name]],'Base Schedules'!$A$46:$AW$77,39,FALSE)="","",VLOOKUP(Sat_W1[[#This Row],[Employee Name]],'Base Schedules'!$A$46:$AW$77,39,FALSE)),"")</f>
        <v/>
      </c>
      <c r="AO46" s="184" t="str">
        <f>IFERROR(IF(VLOOKUP(Sat_W1[[#This Row],[Employee Name]],'Base Schedules'!$A$46:$AW$77,40,FALSE)="","",VLOOKUP(Sat_W1[[#This Row],[Employee Name]],'Base Schedules'!$A$46:$AW$77,40,FALSE)),"")</f>
        <v/>
      </c>
      <c r="AP46" s="184" t="str">
        <f>IFERROR(IF(VLOOKUP(Sat_W1[[#This Row],[Employee Name]],'Base Schedules'!$A$46:$AW$77,41,FALSE)="","",VLOOKUP(Sat_W1[[#This Row],[Employee Name]],'Base Schedules'!$A$46:$AW$77,41,FALSE)),"")</f>
        <v/>
      </c>
      <c r="AQ46" s="184" t="str">
        <f>IFERROR(IF(VLOOKUP(Sat_W1[[#This Row],[Employee Name]],'Base Schedules'!$A$46:$AW$77,42,FALSE)="","",VLOOKUP(Sat_W1[[#This Row],[Employee Name]],'Base Schedules'!$A$46:$AW$77,42,FALSE)),"")</f>
        <v/>
      </c>
      <c r="AR46" s="184" t="str">
        <f>IFERROR(IF(VLOOKUP(Sat_W1[[#This Row],[Employee Name]],'Base Schedules'!$A$46:$AW$77,43,FALSE)="","",VLOOKUP(Sat_W1[[#This Row],[Employee Name]],'Base Schedules'!$A$46:$AW$77,43,FALSE)),"")</f>
        <v/>
      </c>
      <c r="AS46" s="184" t="str">
        <f>IFERROR(IF(VLOOKUP(Sat_W1[[#This Row],[Employee Name]],'Base Schedules'!$A$46:$AW$77,44,FALSE)="","",VLOOKUP(Sat_W1[[#This Row],[Employee Name]],'Base Schedules'!$A$46:$AW$77,44,FALSE)),"")</f>
        <v/>
      </c>
      <c r="AT46" s="184" t="str">
        <f>IFERROR(IF(VLOOKUP(Sat_W1[[#This Row],[Employee Name]],'Base Schedules'!$A$46:$AW$77,45,FALSE)="","",VLOOKUP(Sat_W1[[#This Row],[Employee Name]],'Base Schedules'!$A$46:$AW$77,45,FALSE)),"")</f>
        <v/>
      </c>
      <c r="AU46" s="184" t="str">
        <f>IFERROR(IF(VLOOKUP(Sat_W1[[#This Row],[Employee Name]],'Base Schedules'!$A$46:$AW$77,46,FALSE)="","",VLOOKUP(Sat_W1[[#This Row],[Employee Name]],'Base Schedules'!$A$46:$AW$77,46,FALSE)),"")</f>
        <v/>
      </c>
      <c r="AV46" s="184" t="str">
        <f>IFERROR(IF(VLOOKUP(Sat_W1[[#This Row],[Employee Name]],'Base Schedules'!$A$46:$AW$77,47,FALSE)="","",VLOOKUP(Sat_W1[[#This Row],[Employee Name]],'Base Schedules'!$A$46:$AW$77,47,FALSE)),"")</f>
        <v/>
      </c>
      <c r="AW46" s="184" t="str">
        <f>IFERROR(IF(VLOOKUP(Sat_W1[[#This Row],[Employee Name]],'Base Schedules'!$A$46:$AW$77,48,FALSE)="","",VLOOKUP(Sat_W1[[#This Row],[Employee Name]],'Base Schedules'!$A$46:$AW$77,48,FALSE)),"")</f>
        <v/>
      </c>
      <c r="AX46" s="184" t="str">
        <f>IFERROR(IF(VLOOKUP(Sat_W1[[#This Row],[Employee Name]],'Base Schedules'!$A$46:$AW$77,49,FALSE)="","",VLOOKUP(Sat_W1[[#This Row],[Employee Name]],'Base Schedules'!$A$46:$AW$77,49,FALSE)),"")</f>
        <v/>
      </c>
      <c r="AY46" s="348" t="str">
        <f t="shared" si="2"/>
        <v/>
      </c>
    </row>
    <row r="47" spans="1:51" ht="9" customHeight="1" thickBot="1" x14ac:dyDescent="0.25">
      <c r="A47" s="39" t="e">
        <f>IF(#REF!="","",INDEX(TeamList[],MATCH(#REF!,TeamList[[Employee Name]:[Employee Name]],0),MATCH("Manager",TeamList[#Headers],0)))</f>
        <v>#REF!</v>
      </c>
      <c r="B47" s="28"/>
      <c r="C47" s="28"/>
      <c r="D47" s="29"/>
      <c r="E47" s="280"/>
      <c r="F47" s="30"/>
      <c r="G47" s="30"/>
      <c r="H47" s="30"/>
      <c r="I47" s="30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3"/>
    </row>
    <row r="48" spans="1:51" ht="12.75" customHeight="1" thickBot="1" x14ac:dyDescent="0.25">
      <c r="B48" s="20"/>
      <c r="C48" s="21"/>
      <c r="D48" s="21"/>
      <c r="E48" s="21" t="s">
        <v>92</v>
      </c>
      <c r="F48" s="21">
        <f>SUM(F9:F46)</f>
        <v>111</v>
      </c>
      <c r="G48" s="21">
        <f>SUM(G9:G46)</f>
        <v>46</v>
      </c>
      <c r="H48" s="21">
        <f>SUM(H9:H46)</f>
        <v>113</v>
      </c>
      <c r="I48" s="21">
        <f>SUM(I9:I46)</f>
        <v>22</v>
      </c>
      <c r="J48" s="27">
        <v>500</v>
      </c>
      <c r="K48" s="27">
        <v>530</v>
      </c>
      <c r="L48" s="27">
        <v>600</v>
      </c>
      <c r="M48" s="27">
        <v>630</v>
      </c>
      <c r="N48" s="27">
        <v>700</v>
      </c>
      <c r="O48" s="27">
        <v>730</v>
      </c>
      <c r="P48" s="27">
        <v>800</v>
      </c>
      <c r="Q48" s="27">
        <v>830</v>
      </c>
      <c r="R48" s="27">
        <v>900</v>
      </c>
      <c r="S48" s="27">
        <v>930</v>
      </c>
      <c r="T48" s="27">
        <v>1000</v>
      </c>
      <c r="U48" s="27">
        <v>1030</v>
      </c>
      <c r="V48" s="27">
        <v>1100</v>
      </c>
      <c r="W48" s="27">
        <v>1130</v>
      </c>
      <c r="X48" s="27">
        <v>1200</v>
      </c>
      <c r="Y48" s="27">
        <v>1230</v>
      </c>
      <c r="Z48" s="27">
        <v>1300</v>
      </c>
      <c r="AA48" s="27">
        <v>1330</v>
      </c>
      <c r="AB48" s="27">
        <v>1400</v>
      </c>
      <c r="AC48" s="27">
        <v>1430</v>
      </c>
      <c r="AD48" s="27">
        <v>1500</v>
      </c>
      <c r="AE48" s="27">
        <v>1530</v>
      </c>
      <c r="AF48" s="27">
        <v>1600</v>
      </c>
      <c r="AG48" s="27">
        <v>1630</v>
      </c>
      <c r="AH48" s="27">
        <v>1700</v>
      </c>
      <c r="AI48" s="27">
        <v>1730</v>
      </c>
      <c r="AJ48" s="27">
        <v>1800</v>
      </c>
      <c r="AK48" s="27">
        <v>1830</v>
      </c>
      <c r="AL48" s="27">
        <v>1900</v>
      </c>
      <c r="AM48" s="27">
        <v>1930</v>
      </c>
      <c r="AN48" s="27">
        <v>2000</v>
      </c>
      <c r="AO48" s="27">
        <v>2030</v>
      </c>
      <c r="AP48" s="27">
        <v>2100</v>
      </c>
      <c r="AQ48" s="27">
        <v>2130</v>
      </c>
      <c r="AR48" s="27">
        <v>2200</v>
      </c>
      <c r="AS48" s="27">
        <v>2230</v>
      </c>
      <c r="AT48" s="27">
        <v>2300</v>
      </c>
      <c r="AU48" s="27">
        <v>2330</v>
      </c>
      <c r="AV48" s="27">
        <v>0</v>
      </c>
      <c r="AW48" s="27">
        <v>30</v>
      </c>
      <c r="AX48" s="27">
        <v>100</v>
      </c>
      <c r="AY48" s="22" t="s">
        <v>2</v>
      </c>
    </row>
    <row r="49" spans="2:52" ht="8.25" customHeight="1" thickBot="1" x14ac:dyDescent="0.25">
      <c r="AX49" s="220"/>
    </row>
    <row r="50" spans="2:52" ht="18.75" x14ac:dyDescent="0.3">
      <c r="B50" s="484" t="s">
        <v>368</v>
      </c>
      <c r="C50" s="484"/>
      <c r="D50" s="453"/>
      <c r="E50" s="453"/>
      <c r="F50" s="453"/>
      <c r="G50" s="484" t="s">
        <v>368</v>
      </c>
      <c r="H50" s="484"/>
      <c r="I50" s="484"/>
      <c r="J50" s="455">
        <f>COUNTIF(J9:J46,"RNNR")</f>
        <v>0</v>
      </c>
      <c r="K50" s="455">
        <f t="shared" ref="K50:AW50" si="5">COUNTIF(K9:K46,"RNNR")</f>
        <v>0</v>
      </c>
      <c r="L50" s="455">
        <f t="shared" si="5"/>
        <v>0</v>
      </c>
      <c r="M50" s="455">
        <f t="shared" si="5"/>
        <v>0</v>
      </c>
      <c r="N50" s="455">
        <f t="shared" si="5"/>
        <v>0</v>
      </c>
      <c r="O50" s="455">
        <f t="shared" si="5"/>
        <v>0</v>
      </c>
      <c r="P50" s="455">
        <f t="shared" si="5"/>
        <v>1</v>
      </c>
      <c r="Q50" s="455">
        <f t="shared" si="5"/>
        <v>1</v>
      </c>
      <c r="R50" s="455">
        <f t="shared" si="5"/>
        <v>0</v>
      </c>
      <c r="S50" s="455">
        <f t="shared" si="5"/>
        <v>0</v>
      </c>
      <c r="T50" s="455">
        <f t="shared" si="5"/>
        <v>1</v>
      </c>
      <c r="U50" s="455">
        <f t="shared" si="5"/>
        <v>1</v>
      </c>
      <c r="V50" s="455">
        <f t="shared" si="5"/>
        <v>1</v>
      </c>
      <c r="W50" s="455">
        <f t="shared" si="5"/>
        <v>1</v>
      </c>
      <c r="X50" s="455">
        <f t="shared" si="5"/>
        <v>1</v>
      </c>
      <c r="Y50" s="455">
        <f t="shared" si="5"/>
        <v>1</v>
      </c>
      <c r="Z50" s="455">
        <f t="shared" si="5"/>
        <v>1</v>
      </c>
      <c r="AA50" s="455">
        <f t="shared" si="5"/>
        <v>1</v>
      </c>
      <c r="AB50" s="455">
        <f t="shared" si="5"/>
        <v>1</v>
      </c>
      <c r="AC50" s="455">
        <f t="shared" si="5"/>
        <v>1</v>
      </c>
      <c r="AD50" s="455">
        <f t="shared" si="5"/>
        <v>1</v>
      </c>
      <c r="AE50" s="455">
        <f t="shared" si="5"/>
        <v>1</v>
      </c>
      <c r="AF50" s="455">
        <f t="shared" si="5"/>
        <v>1</v>
      </c>
      <c r="AG50" s="455">
        <f t="shared" si="5"/>
        <v>1</v>
      </c>
      <c r="AH50" s="455">
        <f t="shared" si="5"/>
        <v>1</v>
      </c>
      <c r="AI50" s="455">
        <f t="shared" si="5"/>
        <v>1</v>
      </c>
      <c r="AJ50" s="455">
        <f t="shared" si="5"/>
        <v>1</v>
      </c>
      <c r="AK50" s="455">
        <f t="shared" si="5"/>
        <v>1</v>
      </c>
      <c r="AL50" s="455">
        <f t="shared" si="5"/>
        <v>1</v>
      </c>
      <c r="AM50" s="455">
        <f t="shared" si="5"/>
        <v>1</v>
      </c>
      <c r="AN50" s="455">
        <f t="shared" si="5"/>
        <v>0</v>
      </c>
      <c r="AO50" s="455">
        <f t="shared" si="5"/>
        <v>0</v>
      </c>
      <c r="AP50" s="455">
        <f t="shared" si="5"/>
        <v>0</v>
      </c>
      <c r="AQ50" s="455">
        <f t="shared" si="5"/>
        <v>0</v>
      </c>
      <c r="AR50" s="455">
        <f t="shared" si="5"/>
        <v>0</v>
      </c>
      <c r="AS50" s="455">
        <f t="shared" si="5"/>
        <v>0</v>
      </c>
      <c r="AT50" s="455">
        <f t="shared" si="5"/>
        <v>0</v>
      </c>
      <c r="AU50" s="455">
        <f t="shared" si="5"/>
        <v>0</v>
      </c>
      <c r="AV50" s="455">
        <f t="shared" si="5"/>
        <v>0</v>
      </c>
      <c r="AW50" s="455">
        <f t="shared" si="5"/>
        <v>0</v>
      </c>
      <c r="AX50" s="451">
        <f>AVERAGE(J50:AW50)</f>
        <v>0.55000000000000004</v>
      </c>
      <c r="AY50" s="485" t="s">
        <v>368</v>
      </c>
      <c r="AZ50" s="485"/>
    </row>
    <row r="51" spans="2:52" ht="18.75" x14ac:dyDescent="0.3">
      <c r="B51" s="484" t="s">
        <v>581</v>
      </c>
      <c r="C51" s="484"/>
      <c r="D51" s="453"/>
      <c r="E51" s="453"/>
      <c r="F51" s="453"/>
      <c r="G51" s="484" t="s">
        <v>581</v>
      </c>
      <c r="H51" s="484"/>
      <c r="I51" s="484"/>
      <c r="J51" s="458">
        <f>COUNTIF(J9:J46,"HL")</f>
        <v>1</v>
      </c>
      <c r="K51" s="458">
        <f t="shared" ref="K51:AW51" si="6">COUNTIF(K9:K46,"HL")</f>
        <v>2</v>
      </c>
      <c r="L51" s="458">
        <f t="shared" si="6"/>
        <v>2</v>
      </c>
      <c r="M51" s="458">
        <f t="shared" si="6"/>
        <v>2</v>
      </c>
      <c r="N51" s="458">
        <f t="shared" si="6"/>
        <v>2</v>
      </c>
      <c r="O51" s="458">
        <f t="shared" si="6"/>
        <v>2</v>
      </c>
      <c r="P51" s="458">
        <f t="shared" si="6"/>
        <v>3</v>
      </c>
      <c r="Q51" s="458">
        <f t="shared" si="6"/>
        <v>2</v>
      </c>
      <c r="R51" s="458">
        <f t="shared" si="6"/>
        <v>3</v>
      </c>
      <c r="S51" s="458">
        <f t="shared" si="6"/>
        <v>2</v>
      </c>
      <c r="T51" s="458">
        <f t="shared" si="6"/>
        <v>2</v>
      </c>
      <c r="U51" s="458">
        <f t="shared" si="6"/>
        <v>2</v>
      </c>
      <c r="V51" s="458">
        <f t="shared" si="6"/>
        <v>3</v>
      </c>
      <c r="W51" s="458">
        <f t="shared" si="6"/>
        <v>3</v>
      </c>
      <c r="X51" s="458">
        <f t="shared" si="6"/>
        <v>2</v>
      </c>
      <c r="Y51" s="458">
        <f t="shared" si="6"/>
        <v>4</v>
      </c>
      <c r="Z51" s="458">
        <f t="shared" si="6"/>
        <v>6</v>
      </c>
      <c r="AA51" s="458">
        <f t="shared" si="6"/>
        <v>2</v>
      </c>
      <c r="AB51" s="458">
        <f t="shared" si="6"/>
        <v>4</v>
      </c>
      <c r="AC51" s="458">
        <f t="shared" si="6"/>
        <v>4</v>
      </c>
      <c r="AD51" s="458">
        <f t="shared" si="6"/>
        <v>3</v>
      </c>
      <c r="AE51" s="458">
        <f t="shared" si="6"/>
        <v>3</v>
      </c>
      <c r="AF51" s="458">
        <f t="shared" si="6"/>
        <v>3</v>
      </c>
      <c r="AG51" s="458">
        <f t="shared" si="6"/>
        <v>4</v>
      </c>
      <c r="AH51" s="458">
        <f t="shared" si="6"/>
        <v>2</v>
      </c>
      <c r="AI51" s="458">
        <f t="shared" si="6"/>
        <v>3</v>
      </c>
      <c r="AJ51" s="458">
        <f t="shared" si="6"/>
        <v>3</v>
      </c>
      <c r="AK51" s="458">
        <f t="shared" si="6"/>
        <v>4</v>
      </c>
      <c r="AL51" s="458">
        <f t="shared" si="6"/>
        <v>4</v>
      </c>
      <c r="AM51" s="458">
        <f t="shared" si="6"/>
        <v>3</v>
      </c>
      <c r="AN51" s="458">
        <f t="shared" si="6"/>
        <v>2</v>
      </c>
      <c r="AO51" s="458">
        <f t="shared" si="6"/>
        <v>3</v>
      </c>
      <c r="AP51" s="458">
        <f t="shared" si="6"/>
        <v>2</v>
      </c>
      <c r="AQ51" s="458">
        <f t="shared" si="6"/>
        <v>2</v>
      </c>
      <c r="AR51" s="458">
        <f t="shared" si="6"/>
        <v>2</v>
      </c>
      <c r="AS51" s="458">
        <f t="shared" si="6"/>
        <v>2</v>
      </c>
      <c r="AT51" s="458">
        <f t="shared" si="6"/>
        <v>1</v>
      </c>
      <c r="AU51" s="458">
        <f t="shared" si="6"/>
        <v>2</v>
      </c>
      <c r="AV51" s="458">
        <f t="shared" si="6"/>
        <v>1</v>
      </c>
      <c r="AW51" s="458">
        <f t="shared" si="6"/>
        <v>1</v>
      </c>
      <c r="AX51" s="452">
        <f>SUM(J51:AW51)</f>
        <v>103</v>
      </c>
      <c r="AY51" s="485" t="s">
        <v>581</v>
      </c>
      <c r="AZ51" s="485"/>
    </row>
    <row r="52" spans="2:52" ht="18.75" x14ac:dyDescent="0.3">
      <c r="B52" s="484" t="s">
        <v>588</v>
      </c>
      <c r="C52" s="484"/>
      <c r="D52" s="453"/>
      <c r="E52" s="453"/>
      <c r="F52" s="453"/>
      <c r="G52" s="484" t="s">
        <v>589</v>
      </c>
      <c r="H52" s="484"/>
      <c r="I52" s="484"/>
      <c r="J52" s="460">
        <f>[1]Weighted!B$5</f>
        <v>1.05</v>
      </c>
      <c r="K52" s="460">
        <f>[1]Weighted!C$5</f>
        <v>1.05</v>
      </c>
      <c r="L52" s="460">
        <f>[1]Weighted!D$5</f>
        <v>1.05</v>
      </c>
      <c r="M52" s="460">
        <f>[1]Weighted!E$5</f>
        <v>1.05</v>
      </c>
      <c r="N52" s="460">
        <f>[1]Weighted!F$5</f>
        <v>1.05</v>
      </c>
      <c r="O52" s="460">
        <f>[1]Weighted!G$5</f>
        <v>1.05</v>
      </c>
      <c r="P52" s="460">
        <f>[1]Weighted!H$5</f>
        <v>2.1</v>
      </c>
      <c r="Q52" s="460">
        <f>[1]Weighted!I$5</f>
        <v>1.05</v>
      </c>
      <c r="R52" s="460">
        <f>[1]Weighted!J$5</f>
        <v>2.1</v>
      </c>
      <c r="S52" s="460">
        <f>[1]Weighted!K$5</f>
        <v>2.1</v>
      </c>
      <c r="T52" s="460">
        <f>[1]Weighted!L$5</f>
        <v>2.1</v>
      </c>
      <c r="U52" s="460">
        <f>[1]Weighted!M$5</f>
        <v>1.05</v>
      </c>
      <c r="V52" s="460">
        <f>[1]Weighted!N$5</f>
        <v>1.05</v>
      </c>
      <c r="W52" s="460">
        <f>[1]Weighted!O$5</f>
        <v>2.1</v>
      </c>
      <c r="X52" s="460">
        <f>[1]Weighted!P$5</f>
        <v>2.1</v>
      </c>
      <c r="Y52" s="460">
        <f>[1]Weighted!Q$5</f>
        <v>3.1500000000000004</v>
      </c>
      <c r="Z52" s="460">
        <f>[1]Weighted!R$5</f>
        <v>3.1500000000000004</v>
      </c>
      <c r="AA52" s="460">
        <f>[1]Weighted!S$5</f>
        <v>2.1</v>
      </c>
      <c r="AB52" s="460">
        <f>[1]Weighted!T$5</f>
        <v>2.1</v>
      </c>
      <c r="AC52" s="460">
        <f>[1]Weighted!U$5</f>
        <v>2.1</v>
      </c>
      <c r="AD52" s="460">
        <f>[1]Weighted!V$5</f>
        <v>3.1500000000000004</v>
      </c>
      <c r="AE52" s="460">
        <f>[1]Weighted!W$5</f>
        <v>1.05</v>
      </c>
      <c r="AF52" s="460">
        <f>[1]Weighted!X$5</f>
        <v>1.05</v>
      </c>
      <c r="AG52" s="460">
        <f>[1]Weighted!Y$5</f>
        <v>2.1</v>
      </c>
      <c r="AH52" s="460">
        <f>[1]Weighted!Z$5</f>
        <v>1.05</v>
      </c>
      <c r="AI52" s="460">
        <f>[1]Weighted!AA$5</f>
        <v>2.1</v>
      </c>
      <c r="AJ52" s="460">
        <f>[1]Weighted!AB$5</f>
        <v>2.1</v>
      </c>
      <c r="AK52" s="460">
        <f>[1]Weighted!AC$5</f>
        <v>2.1</v>
      </c>
      <c r="AL52" s="460">
        <f>[1]Weighted!AD$5</f>
        <v>1.05</v>
      </c>
      <c r="AM52" s="460">
        <f>[1]Weighted!AE$5</f>
        <v>1.05</v>
      </c>
      <c r="AN52" s="460">
        <f>[1]Weighted!AF$5</f>
        <v>1.05</v>
      </c>
      <c r="AO52" s="460">
        <f>[1]Weighted!AG$5</f>
        <v>2.1</v>
      </c>
      <c r="AP52" s="460">
        <f>[1]Weighted!AH$5</f>
        <v>1.05</v>
      </c>
      <c r="AQ52" s="460">
        <f>[1]Weighted!AI$5</f>
        <v>1.05</v>
      </c>
      <c r="AR52" s="460">
        <f>[1]Weighted!AJ$5</f>
        <v>1.05</v>
      </c>
      <c r="AS52" s="460">
        <f>[1]Weighted!AK$5</f>
        <v>1.05</v>
      </c>
      <c r="AT52" s="460">
        <f>[1]Weighted!AL$5</f>
        <v>1.05</v>
      </c>
      <c r="AU52" s="460">
        <f>[1]Weighted!AM$5</f>
        <v>1.05</v>
      </c>
      <c r="AV52" s="460">
        <f>[1]Weighted!AN$5</f>
        <v>1.05</v>
      </c>
      <c r="AW52" s="460">
        <f>[1]Weighted!AO$5</f>
        <v>1.05</v>
      </c>
      <c r="AX52" s="452">
        <f>SUM(J52:AW52)</f>
        <v>62.999999999999972</v>
      </c>
      <c r="AY52" s="485" t="s">
        <v>588</v>
      </c>
      <c r="AZ52" s="485"/>
    </row>
    <row r="53" spans="2:52" ht="18.75" x14ac:dyDescent="0.3">
      <c r="B53" s="484" t="s">
        <v>590</v>
      </c>
      <c r="C53" s="484"/>
      <c r="D53" s="453"/>
      <c r="E53" s="453"/>
      <c r="F53" s="453"/>
      <c r="G53" s="484" t="s">
        <v>590</v>
      </c>
      <c r="H53" s="484"/>
      <c r="I53" s="484"/>
      <c r="J53" s="460">
        <f>ROUNDUP(J52/2,0)</f>
        <v>1</v>
      </c>
      <c r="K53" s="460">
        <f t="shared" ref="K53:AW53" si="7">ROUNDUP(K52/2,0)</f>
        <v>1</v>
      </c>
      <c r="L53" s="460">
        <f t="shared" si="7"/>
        <v>1</v>
      </c>
      <c r="M53" s="460">
        <f t="shared" si="7"/>
        <v>1</v>
      </c>
      <c r="N53" s="460">
        <f t="shared" si="7"/>
        <v>1</v>
      </c>
      <c r="O53" s="460">
        <f t="shared" si="7"/>
        <v>1</v>
      </c>
      <c r="P53" s="460">
        <f t="shared" si="7"/>
        <v>2</v>
      </c>
      <c r="Q53" s="460">
        <f t="shared" si="7"/>
        <v>1</v>
      </c>
      <c r="R53" s="460">
        <f t="shared" si="7"/>
        <v>2</v>
      </c>
      <c r="S53" s="460">
        <f t="shared" si="7"/>
        <v>2</v>
      </c>
      <c r="T53" s="460">
        <f t="shared" si="7"/>
        <v>2</v>
      </c>
      <c r="U53" s="460">
        <f t="shared" si="7"/>
        <v>1</v>
      </c>
      <c r="V53" s="460">
        <f t="shared" si="7"/>
        <v>1</v>
      </c>
      <c r="W53" s="460">
        <f t="shared" si="7"/>
        <v>2</v>
      </c>
      <c r="X53" s="460">
        <f t="shared" si="7"/>
        <v>2</v>
      </c>
      <c r="Y53" s="460">
        <f t="shared" si="7"/>
        <v>2</v>
      </c>
      <c r="Z53" s="460">
        <f t="shared" si="7"/>
        <v>2</v>
      </c>
      <c r="AA53" s="460">
        <f t="shared" si="7"/>
        <v>2</v>
      </c>
      <c r="AB53" s="460">
        <f t="shared" si="7"/>
        <v>2</v>
      </c>
      <c r="AC53" s="460">
        <f t="shared" si="7"/>
        <v>2</v>
      </c>
      <c r="AD53" s="460">
        <f t="shared" si="7"/>
        <v>2</v>
      </c>
      <c r="AE53" s="460">
        <f t="shared" si="7"/>
        <v>1</v>
      </c>
      <c r="AF53" s="460">
        <f t="shared" si="7"/>
        <v>1</v>
      </c>
      <c r="AG53" s="460">
        <f t="shared" si="7"/>
        <v>2</v>
      </c>
      <c r="AH53" s="460">
        <f t="shared" si="7"/>
        <v>1</v>
      </c>
      <c r="AI53" s="460">
        <f t="shared" si="7"/>
        <v>2</v>
      </c>
      <c r="AJ53" s="460">
        <f t="shared" si="7"/>
        <v>2</v>
      </c>
      <c r="AK53" s="460">
        <f t="shared" si="7"/>
        <v>2</v>
      </c>
      <c r="AL53" s="460">
        <f t="shared" si="7"/>
        <v>1</v>
      </c>
      <c r="AM53" s="460">
        <f t="shared" si="7"/>
        <v>1</v>
      </c>
      <c r="AN53" s="460">
        <f t="shared" si="7"/>
        <v>1</v>
      </c>
      <c r="AO53" s="460">
        <f t="shared" si="7"/>
        <v>2</v>
      </c>
      <c r="AP53" s="460">
        <f t="shared" si="7"/>
        <v>1</v>
      </c>
      <c r="AQ53" s="460">
        <f t="shared" si="7"/>
        <v>1</v>
      </c>
      <c r="AR53" s="460">
        <f t="shared" si="7"/>
        <v>1</v>
      </c>
      <c r="AS53" s="460">
        <f t="shared" si="7"/>
        <v>1</v>
      </c>
      <c r="AT53" s="460">
        <f t="shared" si="7"/>
        <v>1</v>
      </c>
      <c r="AU53" s="460">
        <f t="shared" si="7"/>
        <v>1</v>
      </c>
      <c r="AV53" s="460">
        <f t="shared" si="7"/>
        <v>1</v>
      </c>
      <c r="AW53" s="460">
        <f t="shared" si="7"/>
        <v>1</v>
      </c>
      <c r="AX53" s="452">
        <f>SUM(J53:AW53)</f>
        <v>57</v>
      </c>
      <c r="AY53" s="485" t="s">
        <v>590</v>
      </c>
      <c r="AZ53" s="485"/>
    </row>
    <row r="54" spans="2:52" ht="15.75" customHeight="1" x14ac:dyDescent="0.3">
      <c r="B54" s="484" t="s">
        <v>591</v>
      </c>
      <c r="C54" s="484"/>
      <c r="D54" s="453"/>
      <c r="E54" s="453"/>
      <c r="F54" s="453"/>
      <c r="G54" s="484" t="s">
        <v>591</v>
      </c>
      <c r="H54" s="484"/>
      <c r="I54" s="484"/>
      <c r="J54" s="461">
        <f>J51-J53</f>
        <v>0</v>
      </c>
      <c r="K54" s="461">
        <f t="shared" ref="K54:AW54" si="8">K51-K53</f>
        <v>1</v>
      </c>
      <c r="L54" s="461">
        <f t="shared" si="8"/>
        <v>1</v>
      </c>
      <c r="M54" s="461">
        <f t="shared" si="8"/>
        <v>1</v>
      </c>
      <c r="N54" s="461">
        <f t="shared" si="8"/>
        <v>1</v>
      </c>
      <c r="O54" s="461">
        <f t="shared" si="8"/>
        <v>1</v>
      </c>
      <c r="P54" s="461">
        <f t="shared" si="8"/>
        <v>1</v>
      </c>
      <c r="Q54" s="461">
        <f t="shared" si="8"/>
        <v>1</v>
      </c>
      <c r="R54" s="461">
        <f t="shared" si="8"/>
        <v>1</v>
      </c>
      <c r="S54" s="461">
        <f t="shared" si="8"/>
        <v>0</v>
      </c>
      <c r="T54" s="461">
        <f t="shared" si="8"/>
        <v>0</v>
      </c>
      <c r="U54" s="461">
        <f t="shared" si="8"/>
        <v>1</v>
      </c>
      <c r="V54" s="461">
        <f t="shared" si="8"/>
        <v>2</v>
      </c>
      <c r="W54" s="461">
        <f t="shared" si="8"/>
        <v>1</v>
      </c>
      <c r="X54" s="461">
        <f t="shared" si="8"/>
        <v>0</v>
      </c>
      <c r="Y54" s="461">
        <f t="shared" si="8"/>
        <v>2</v>
      </c>
      <c r="Z54" s="461">
        <f t="shared" si="8"/>
        <v>4</v>
      </c>
      <c r="AA54" s="461">
        <f t="shared" si="8"/>
        <v>0</v>
      </c>
      <c r="AB54" s="461">
        <f t="shared" si="8"/>
        <v>2</v>
      </c>
      <c r="AC54" s="461">
        <f t="shared" si="8"/>
        <v>2</v>
      </c>
      <c r="AD54" s="461">
        <f t="shared" si="8"/>
        <v>1</v>
      </c>
      <c r="AE54" s="461">
        <f t="shared" si="8"/>
        <v>2</v>
      </c>
      <c r="AF54" s="461">
        <f t="shared" si="8"/>
        <v>2</v>
      </c>
      <c r="AG54" s="461">
        <f t="shared" si="8"/>
        <v>2</v>
      </c>
      <c r="AH54" s="461">
        <f t="shared" si="8"/>
        <v>1</v>
      </c>
      <c r="AI54" s="461">
        <f t="shared" si="8"/>
        <v>1</v>
      </c>
      <c r="AJ54" s="461">
        <f t="shared" si="8"/>
        <v>1</v>
      </c>
      <c r="AK54" s="461">
        <f t="shared" si="8"/>
        <v>2</v>
      </c>
      <c r="AL54" s="461">
        <f t="shared" si="8"/>
        <v>3</v>
      </c>
      <c r="AM54" s="461">
        <f t="shared" si="8"/>
        <v>2</v>
      </c>
      <c r="AN54" s="461">
        <f t="shared" si="8"/>
        <v>1</v>
      </c>
      <c r="AO54" s="461">
        <f t="shared" si="8"/>
        <v>1</v>
      </c>
      <c r="AP54" s="461">
        <f t="shared" si="8"/>
        <v>1</v>
      </c>
      <c r="AQ54" s="461">
        <f t="shared" si="8"/>
        <v>1</v>
      </c>
      <c r="AR54" s="461">
        <f t="shared" si="8"/>
        <v>1</v>
      </c>
      <c r="AS54" s="461">
        <f t="shared" si="8"/>
        <v>1</v>
      </c>
      <c r="AT54" s="461">
        <f t="shared" si="8"/>
        <v>0</v>
      </c>
      <c r="AU54" s="461">
        <f t="shared" si="8"/>
        <v>1</v>
      </c>
      <c r="AV54" s="461">
        <f t="shared" si="8"/>
        <v>0</v>
      </c>
      <c r="AW54" s="461">
        <f t="shared" si="8"/>
        <v>0</v>
      </c>
      <c r="AX54" s="454">
        <f>AVERAGE(J54:AW54)</f>
        <v>1.1499999999999999</v>
      </c>
      <c r="AY54" s="486" t="s">
        <v>591</v>
      </c>
      <c r="AZ54" s="486"/>
    </row>
    <row r="55" spans="2:52" ht="15.75" customHeight="1" x14ac:dyDescent="0.2"/>
    <row r="56" spans="2:52" ht="15.75" customHeight="1" x14ac:dyDescent="0.2"/>
    <row r="57" spans="2:52" x14ac:dyDescent="0.2"/>
    <row r="58" spans="2:52" x14ac:dyDescent="0.2"/>
    <row r="59" spans="2:52" x14ac:dyDescent="0.2"/>
    <row r="60" spans="2:52" x14ac:dyDescent="0.2"/>
    <row r="61" spans="2:52" x14ac:dyDescent="0.2"/>
    <row r="62" spans="2:52" x14ac:dyDescent="0.2"/>
    <row r="63" spans="2:52" x14ac:dyDescent="0.2"/>
    <row r="64" spans="2:52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</sheetData>
  <sheetProtection autoFilter="0"/>
  <mergeCells count="17">
    <mergeCell ref="B53:C53"/>
    <mergeCell ref="G53:I53"/>
    <mergeCell ref="AY53:AZ53"/>
    <mergeCell ref="B54:C54"/>
    <mergeCell ref="G54:I54"/>
    <mergeCell ref="AY54:AZ54"/>
    <mergeCell ref="AY50:AZ50"/>
    <mergeCell ref="AY51:AZ51"/>
    <mergeCell ref="B52:C52"/>
    <mergeCell ref="G52:I52"/>
    <mergeCell ref="AY52:AZ52"/>
    <mergeCell ref="B3:C3"/>
    <mergeCell ref="G50:I50"/>
    <mergeCell ref="F6:I6"/>
    <mergeCell ref="G51:I51"/>
    <mergeCell ref="B50:C50"/>
    <mergeCell ref="B51:C51"/>
  </mergeCells>
  <conditionalFormatting sqref="J47:AX47">
    <cfRule type="containsText" dxfId="643" priority="4591" operator="containsText" text="COACHING">
      <formula>NOT(ISERROR(SEARCH("COACHING",J47)))</formula>
    </cfRule>
  </conditionalFormatting>
  <conditionalFormatting sqref="J9:AX46">
    <cfRule type="containsBlanks" dxfId="642" priority="18" stopIfTrue="1">
      <formula>LEN(TRIM(J9))=0</formula>
    </cfRule>
    <cfRule type="beginsWith" dxfId="641" priority="20" stopIfTrue="1" operator="beginsWith" text="u">
      <formula>LEFT(J9,LEN("u"))="u"</formula>
    </cfRule>
    <cfRule type="beginsWith" dxfId="640" priority="21" stopIfTrue="1" operator="beginsWith" text="p">
      <formula>LEFT(J9,LEN("p"))="p"</formula>
    </cfRule>
    <cfRule type="containsText" dxfId="639" priority="22" stopIfTrue="1" operator="containsText" text="B1">
      <formula>NOT(ISERROR(SEARCH("B1",J9)))</formula>
    </cfRule>
    <cfRule type="containsText" dxfId="638" priority="23" stopIfTrue="1" operator="containsText" text="B2">
      <formula>NOT(ISERROR(SEARCH("B2",J9)))</formula>
    </cfRule>
    <cfRule type="containsText" dxfId="637" priority="24" stopIfTrue="1" operator="containsText" text="Lunch">
      <formula>NOT(ISERROR(SEARCH("Lunch",J9)))</formula>
    </cfRule>
    <cfRule type="containsText" dxfId="636" priority="25" stopIfTrue="1" operator="containsText" text="Interview">
      <formula>NOT(ISERROR(SEARCH("Interview",J9)))</formula>
    </cfRule>
    <cfRule type="containsText" dxfId="635" priority="26" stopIfTrue="1" operator="containsText" text="Side by Side">
      <formula>NOT(ISERROR(SEARCH("Side by Side",J9)))</formula>
    </cfRule>
    <cfRule type="containsText" dxfId="634" priority="27" stopIfTrue="1" operator="containsText" text="COACHING">
      <formula>NOT(ISERROR(SEARCH("COACHING",J9)))</formula>
    </cfRule>
    <cfRule type="containsText" dxfId="633" priority="28" stopIfTrue="1" operator="containsText" text="TM">
      <formula>NOT(ISERROR(SEARCH("TM",J9)))</formula>
    </cfRule>
    <cfRule type="containsText" dxfId="632" priority="29" stopIfTrue="1" operator="containsText" text="RNNR">
      <formula>NOT(ISERROR(SEARCH("RNNR",J9)))</formula>
    </cfRule>
    <cfRule type="containsText" dxfId="631" priority="30" stopIfTrue="1" operator="containsText" text="ADM">
      <formula>NOT(ISERROR(SEARCH("ADM",J9)))</formula>
    </cfRule>
    <cfRule type="containsText" dxfId="630" priority="31" stopIfTrue="1" operator="containsText" text="HL">
      <formula>NOT(ISERROR(SEARCH("HL",J9)))</formula>
    </cfRule>
    <cfRule type="notContainsBlanks" dxfId="629" priority="32" stopIfTrue="1">
      <formula>LEN(TRIM(J9))&gt;0</formula>
    </cfRule>
  </conditionalFormatting>
  <conditionalFormatting sqref="J50:AW50">
    <cfRule type="cellIs" dxfId="628" priority="6" operator="greaterThanOrEqual">
      <formula>2</formula>
    </cfRule>
    <cfRule type="containsText" dxfId="627" priority="7" operator="containsText" text="1">
      <formula>NOT(ISERROR(SEARCH("1",J50)))</formula>
    </cfRule>
    <cfRule type="containsText" dxfId="626" priority="8" operator="containsText" text="0">
      <formula>NOT(ISERROR(SEARCH("0",J50)))</formula>
    </cfRule>
  </conditionalFormatting>
  <conditionalFormatting sqref="J51:AW51">
    <cfRule type="cellIs" dxfId="625" priority="3" operator="greaterThanOrEqual">
      <formula>2</formula>
    </cfRule>
    <cfRule type="containsText" dxfId="624" priority="4" operator="containsText" text="1">
      <formula>NOT(ISERROR(SEARCH("1",J51)))</formula>
    </cfRule>
    <cfRule type="containsText" dxfId="623" priority="5" operator="containsText" text="0">
      <formula>NOT(ISERROR(SEARCH("0",J51)))</formula>
    </cfRule>
  </conditionalFormatting>
  <conditionalFormatting sqref="J54:AW54">
    <cfRule type="colorScale" priority="1">
      <colorScale>
        <cfvo type="num" val="-0.05"/>
        <cfvo type="num" val="0"/>
        <cfvo type="num" val="0.05"/>
        <color rgb="FFF8696B"/>
        <color rgb="FFCDF3CD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" stopIfTrue="1" operator="containsText" id="{73F8AD2F-7753-401E-99D2-31D44B011320}">
            <xm:f>NOT(ISERROR(SEARCH("-",J9)))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J9:AX46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/>
    <outlinePr summaryBelow="0" summaryRight="0"/>
  </sheetPr>
  <dimension ref="A1:BA99"/>
  <sheetViews>
    <sheetView workbookViewId="0">
      <pane xSplit="9" ySplit="8" topLeftCell="J9" activePane="bottomRight" state="frozen"/>
      <selection activeCell="B55" sqref="B55:AY63"/>
      <selection pane="topRight" activeCell="B55" sqref="B55:AY63"/>
      <selection pane="bottomLeft" activeCell="B55" sqref="B55:AY63"/>
      <selection pane="bottomRight" activeCell="B3" sqref="B3:C3"/>
    </sheetView>
  </sheetViews>
  <sheetFormatPr defaultColWidth="0" defaultRowHeight="12.75" zeroHeight="1" x14ac:dyDescent="0.2"/>
  <cols>
    <col min="1" max="1" width="0.7109375" style="6" customWidth="1"/>
    <col min="2" max="2" width="22.42578125" style="6" customWidth="1"/>
    <col min="3" max="3" width="10.7109375" style="6" customWidth="1" collapsed="1"/>
    <col min="4" max="4" width="11.85546875" style="6" customWidth="1"/>
    <col min="5" max="5" width="11.42578125" style="6" customWidth="1"/>
    <col min="6" max="6" width="11.28515625" style="6" customWidth="1"/>
    <col min="7" max="7" width="12.28515625" style="6" customWidth="1"/>
    <col min="8" max="50" width="10.7109375" style="6" customWidth="1"/>
    <col min="51" max="51" width="22.42578125" style="6" customWidth="1"/>
    <col min="52" max="52" width="1.7109375" style="6" customWidth="1"/>
    <col min="53" max="53" width="9.140625" style="6" customWidth="1"/>
    <col min="54" max="16384" width="9.140625" style="6" hidden="1"/>
  </cols>
  <sheetData>
    <row r="1" spans="1:51" ht="6" customHeight="1" x14ac:dyDescent="0.2">
      <c r="D1" s="5"/>
    </row>
    <row r="2" spans="1:51" x14ac:dyDescent="0.2"/>
    <row r="3" spans="1:51" ht="24.95" customHeight="1" x14ac:dyDescent="0.2">
      <c r="B3" s="480" t="str">
        <f>TEXT(Day_1,"DDDD")&amp;" - "&amp;TEXT(Day_1,"mm/dd/yy")</f>
        <v>Sunday - 03/22/20</v>
      </c>
      <c r="C3" s="480"/>
      <c r="D3" s="106"/>
      <c r="K3" s="94" t="s">
        <v>124</v>
      </c>
      <c r="L3" s="152" t="s">
        <v>218</v>
      </c>
      <c r="M3" s="153" t="s">
        <v>220</v>
      </c>
      <c r="N3" s="71" t="s">
        <v>126</v>
      </c>
      <c r="O3" s="72" t="s">
        <v>130</v>
      </c>
      <c r="P3" s="73" t="s">
        <v>90</v>
      </c>
      <c r="Q3" s="139" t="s">
        <v>215</v>
      </c>
      <c r="R3" s="138" t="s">
        <v>211</v>
      </c>
      <c r="S3" s="137" t="s">
        <v>127</v>
      </c>
      <c r="T3" s="151" t="s">
        <v>139</v>
      </c>
      <c r="U3" s="69" t="s">
        <v>129</v>
      </c>
      <c r="V3" s="155" t="s">
        <v>146</v>
      </c>
      <c r="W3" s="157" t="s">
        <v>222</v>
      </c>
      <c r="X3" s="228" t="s">
        <v>366</v>
      </c>
      <c r="Y3" s="211"/>
      <c r="Z3" s="212"/>
      <c r="AA3" s="213"/>
      <c r="AB3" s="214"/>
      <c r="AD3" s="94" t="s">
        <v>124</v>
      </c>
      <c r="AE3" s="152" t="s">
        <v>218</v>
      </c>
      <c r="AF3" s="153" t="s">
        <v>220</v>
      </c>
      <c r="AG3" s="71" t="s">
        <v>126</v>
      </c>
      <c r="AH3" s="72" t="s">
        <v>130</v>
      </c>
      <c r="AI3" s="73" t="s">
        <v>90</v>
      </c>
      <c r="AJ3" s="139" t="s">
        <v>215</v>
      </c>
      <c r="AK3" s="138" t="s">
        <v>211</v>
      </c>
      <c r="AL3" s="137" t="s">
        <v>127</v>
      </c>
      <c r="AM3" s="151" t="s">
        <v>139</v>
      </c>
      <c r="AN3" s="69" t="s">
        <v>129</v>
      </c>
      <c r="AO3" s="155" t="s">
        <v>146</v>
      </c>
      <c r="AP3" s="157" t="s">
        <v>222</v>
      </c>
      <c r="AQ3" s="228" t="s">
        <v>366</v>
      </c>
    </row>
    <row r="4" spans="1:51" ht="24.95" customHeight="1" x14ac:dyDescent="0.2">
      <c r="B4" s="7"/>
      <c r="J4" s="18"/>
      <c r="K4" s="94" t="s">
        <v>125</v>
      </c>
      <c r="L4" s="154" t="s">
        <v>217</v>
      </c>
      <c r="M4" s="154" t="s">
        <v>221</v>
      </c>
      <c r="N4" s="70" t="s">
        <v>87</v>
      </c>
      <c r="O4" s="67" t="s">
        <v>89</v>
      </c>
      <c r="P4" s="67" t="s">
        <v>213</v>
      </c>
      <c r="Q4" s="67" t="s">
        <v>214</v>
      </c>
      <c r="R4" s="67" t="s">
        <v>212</v>
      </c>
      <c r="S4" s="67" t="s">
        <v>128</v>
      </c>
      <c r="T4" s="67" t="s">
        <v>138</v>
      </c>
      <c r="U4" s="67" t="s">
        <v>129</v>
      </c>
      <c r="V4" s="156" t="s">
        <v>145</v>
      </c>
      <c r="W4" s="98" t="s">
        <v>223</v>
      </c>
      <c r="X4" s="98" t="s">
        <v>367</v>
      </c>
      <c r="Y4" s="214"/>
      <c r="Z4" s="215"/>
      <c r="AA4" s="216"/>
      <c r="AB4" s="217"/>
      <c r="AD4" s="94" t="s">
        <v>125</v>
      </c>
      <c r="AE4" s="154" t="s">
        <v>217</v>
      </c>
      <c r="AF4" s="154" t="s">
        <v>221</v>
      </c>
      <c r="AG4" s="70" t="s">
        <v>87</v>
      </c>
      <c r="AH4" s="67" t="s">
        <v>89</v>
      </c>
      <c r="AI4" s="67" t="s">
        <v>213</v>
      </c>
      <c r="AJ4" s="67" t="s">
        <v>214</v>
      </c>
      <c r="AK4" s="67" t="s">
        <v>212</v>
      </c>
      <c r="AL4" s="67" t="s">
        <v>128</v>
      </c>
      <c r="AM4" s="67" t="s">
        <v>138</v>
      </c>
      <c r="AN4" s="67" t="s">
        <v>129</v>
      </c>
      <c r="AO4" s="156" t="s">
        <v>145</v>
      </c>
      <c r="AP4" s="98" t="s">
        <v>223</v>
      </c>
      <c r="AQ4" s="98" t="s">
        <v>367</v>
      </c>
    </row>
    <row r="5" spans="1:51" ht="6" customHeight="1" x14ac:dyDescent="0.2"/>
    <row r="6" spans="1:51" ht="17.25" customHeight="1" x14ac:dyDescent="0.2">
      <c r="F6" s="477" t="s">
        <v>132</v>
      </c>
      <c r="G6" s="478"/>
      <c r="H6" s="478"/>
      <c r="I6" s="479"/>
      <c r="J6" s="19"/>
      <c r="K6" s="19"/>
    </row>
    <row r="7" spans="1:51" ht="6" customHeight="1" thickBot="1" x14ac:dyDescent="0.25">
      <c r="J7" s="104" t="s">
        <v>93</v>
      </c>
      <c r="K7" s="104" t="s">
        <v>95</v>
      </c>
      <c r="L7" s="104" t="s">
        <v>97</v>
      </c>
      <c r="M7" s="104" t="s">
        <v>140</v>
      </c>
      <c r="N7" s="104" t="s">
        <v>109</v>
      </c>
      <c r="O7" s="104" t="s">
        <v>103</v>
      </c>
      <c r="P7" s="104" t="s">
        <v>121</v>
      </c>
      <c r="Q7" s="104" t="s">
        <v>113</v>
      </c>
      <c r="R7" s="104" t="s">
        <v>105</v>
      </c>
      <c r="S7" s="104" t="s">
        <v>107</v>
      </c>
      <c r="T7" s="104" t="s">
        <v>141</v>
      </c>
      <c r="U7" s="104" t="s">
        <v>101</v>
      </c>
      <c r="V7" s="104" t="s">
        <v>122</v>
      </c>
      <c r="W7" s="104" t="s">
        <v>116</v>
      </c>
      <c r="X7" s="104" t="s">
        <v>148</v>
      </c>
      <c r="Y7" s="104" t="s">
        <v>149</v>
      </c>
      <c r="Z7" s="104" t="s">
        <v>111</v>
      </c>
      <c r="AA7" s="104" t="s">
        <v>94</v>
      </c>
      <c r="AB7" s="104" t="s">
        <v>96</v>
      </c>
      <c r="AC7" s="104" t="s">
        <v>98</v>
      </c>
      <c r="AD7" s="104" t="s">
        <v>118</v>
      </c>
      <c r="AE7" s="104" t="s">
        <v>99</v>
      </c>
      <c r="AF7" s="104" t="s">
        <v>104</v>
      </c>
      <c r="AG7" s="104" t="s">
        <v>150</v>
      </c>
      <c r="AH7" s="104" t="s">
        <v>114</v>
      </c>
      <c r="AI7" s="104" t="s">
        <v>106</v>
      </c>
      <c r="AJ7" s="104" t="s">
        <v>108</v>
      </c>
      <c r="AK7" s="104" t="s">
        <v>142</v>
      </c>
      <c r="AL7" s="104" t="s">
        <v>102</v>
      </c>
      <c r="AM7" s="104" t="s">
        <v>143</v>
      </c>
      <c r="AN7" s="104" t="s">
        <v>123</v>
      </c>
      <c r="AO7" s="104" t="s">
        <v>117</v>
      </c>
      <c r="AP7" s="104" t="s">
        <v>151</v>
      </c>
      <c r="AQ7" s="104" t="s">
        <v>112</v>
      </c>
      <c r="AR7" s="104" t="s">
        <v>110</v>
      </c>
      <c r="AS7" s="104" t="s">
        <v>119</v>
      </c>
      <c r="AT7" s="104" t="s">
        <v>115</v>
      </c>
      <c r="AU7" s="104" t="s">
        <v>120</v>
      </c>
      <c r="AV7" s="104"/>
      <c r="AW7" s="104"/>
      <c r="AX7" s="105">
        <v>0</v>
      </c>
    </row>
    <row r="8" spans="1:51" ht="13.5" thickBot="1" x14ac:dyDescent="0.25">
      <c r="A8" s="15" t="s">
        <v>14</v>
      </c>
      <c r="B8" s="168" t="s">
        <v>2</v>
      </c>
      <c r="C8" s="169" t="s">
        <v>5</v>
      </c>
      <c r="D8" s="284" t="s">
        <v>84</v>
      </c>
      <c r="E8" s="169" t="s">
        <v>86</v>
      </c>
      <c r="F8" s="169" t="s">
        <v>87</v>
      </c>
      <c r="G8" s="169" t="s">
        <v>223</v>
      </c>
      <c r="H8" s="169" t="s">
        <v>89</v>
      </c>
      <c r="I8" s="169" t="s">
        <v>90</v>
      </c>
      <c r="J8" s="170" t="s">
        <v>93</v>
      </c>
      <c r="K8" s="170" t="s">
        <v>95</v>
      </c>
      <c r="L8" s="170" t="s">
        <v>97</v>
      </c>
      <c r="M8" s="170" t="s">
        <v>140</v>
      </c>
      <c r="N8" s="170" t="s">
        <v>109</v>
      </c>
      <c r="O8" s="170" t="s">
        <v>103</v>
      </c>
      <c r="P8" s="170" t="s">
        <v>121</v>
      </c>
      <c r="Q8" s="170" t="s">
        <v>113</v>
      </c>
      <c r="R8" s="170" t="s">
        <v>105</v>
      </c>
      <c r="S8" s="170" t="s">
        <v>107</v>
      </c>
      <c r="T8" s="170" t="s">
        <v>141</v>
      </c>
      <c r="U8" s="170" t="s">
        <v>101</v>
      </c>
      <c r="V8" s="170" t="s">
        <v>122</v>
      </c>
      <c r="W8" s="170" t="s">
        <v>116</v>
      </c>
      <c r="X8" s="170" t="s">
        <v>148</v>
      </c>
      <c r="Y8" s="170" t="s">
        <v>149</v>
      </c>
      <c r="Z8" s="170" t="s">
        <v>111</v>
      </c>
      <c r="AA8" s="170" t="s">
        <v>94</v>
      </c>
      <c r="AB8" s="170" t="s">
        <v>96</v>
      </c>
      <c r="AC8" s="170" t="s">
        <v>98</v>
      </c>
      <c r="AD8" s="170" t="s">
        <v>118</v>
      </c>
      <c r="AE8" s="170" t="s">
        <v>99</v>
      </c>
      <c r="AF8" s="170" t="s">
        <v>104</v>
      </c>
      <c r="AG8" s="170" t="s">
        <v>150</v>
      </c>
      <c r="AH8" s="170" t="s">
        <v>114</v>
      </c>
      <c r="AI8" s="170" t="s">
        <v>106</v>
      </c>
      <c r="AJ8" s="170" t="s">
        <v>108</v>
      </c>
      <c r="AK8" s="170" t="s">
        <v>142</v>
      </c>
      <c r="AL8" s="170" t="s">
        <v>102</v>
      </c>
      <c r="AM8" s="170" t="s">
        <v>143</v>
      </c>
      <c r="AN8" s="170" t="s">
        <v>123</v>
      </c>
      <c r="AO8" s="170" t="s">
        <v>117</v>
      </c>
      <c r="AP8" s="170" t="s">
        <v>151</v>
      </c>
      <c r="AQ8" s="170" t="s">
        <v>112</v>
      </c>
      <c r="AR8" s="170" t="s">
        <v>110</v>
      </c>
      <c r="AS8" s="170" t="s">
        <v>119</v>
      </c>
      <c r="AT8" s="170" t="s">
        <v>115</v>
      </c>
      <c r="AU8" s="170" t="s">
        <v>120</v>
      </c>
      <c r="AV8" s="199" t="s">
        <v>100</v>
      </c>
      <c r="AW8" s="199" t="s">
        <v>243</v>
      </c>
      <c r="AX8" s="199" t="s">
        <v>244</v>
      </c>
      <c r="AY8" s="171" t="s">
        <v>147</v>
      </c>
    </row>
    <row r="9" spans="1:51" s="44" customFormat="1" ht="12" x14ac:dyDescent="0.2">
      <c r="A9" s="201"/>
      <c r="B9" s="201" t="s">
        <v>32</v>
      </c>
      <c r="C9" s="257" t="str">
        <f>_xlfn.IFNA(VLOOKUP(Sun_W1[[#This Row],[Employee Name]],'Base Schedules'!A:B,2,FALSE),"")</f>
        <v>Supervisor</v>
      </c>
      <c r="D9" s="274">
        <f>_xlfn.IFNA(VLOOKUP(Sun_W1[[#This Row],[Employee Name]],'Base Schedules'!A:C,3,FALSE),"")</f>
        <v>500</v>
      </c>
      <c r="E9" s="274">
        <f>_xlfn.IFNA(VLOOKUP(Sun_W1[[#This Row],[Employee Name]],'Base Schedules'!A:D,4,FALSE),"")</f>
        <v>1400</v>
      </c>
      <c r="F9" s="142">
        <f>IF(Sun_W1[[#This Row],[Employee Name]]="","",IF(Sun_W1[[#This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f>
        <v>0</v>
      </c>
      <c r="G9" s="142">
        <f t="shared" ref="G9:G47" si="0">IF(B9="","",COUNTIFS($J9:$AX9,"*Coaching*",$J9:$AX9,"&lt;&gt;"&amp;"pTM",$J9:$AX9,"&lt;&gt;"&amp;"uTM"))</f>
        <v>3</v>
      </c>
      <c r="H9" s="142">
        <f t="shared" ref="H9:H47" si="1">IF(B9="","",COUNTIFS($J9:$AX9,"*ADM*",$J9:$AX9,"&lt;&gt;"&amp;"pADM",$J9:$AX9,"&lt;&gt;"&amp;"uADM"))</f>
        <v>0</v>
      </c>
      <c r="I9" s="142">
        <f>IF(Sun_W1[[#This Row],[Employee Name]]="","",IF(Sun_W1[[#This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f>
        <v>0</v>
      </c>
      <c r="J9" s="184" t="str">
        <f>IFERROR(IF(VLOOKUP(Sun_W1[[#This Row],[Employee Name]],'Base Schedules'!$A$79:$AW$111,9,FALSE)="","",VLOOKUP(Sun_W1[[#This Row],[Employee Name]],'Base Schedules'!$A$79:$AW$111,9,FALSE)),"")</f>
        <v>-</v>
      </c>
      <c r="K9" s="184" t="str">
        <f>IFERROR(IF(VLOOKUP(Sun_W1[[#This Row],[Employee Name]],'Base Schedules'!$A$79:$AW$111,10,FALSE)="","",VLOOKUP(Sun_W1[[#This Row],[Employee Name]],'Base Schedules'!$A$79:$AW$111,10,FALSE)),"")</f>
        <v>-</v>
      </c>
      <c r="L9" s="184" t="str">
        <f>IFERROR(IF(VLOOKUP(Sun_W1[[#This Row],[Employee Name]],'Base Schedules'!$A$79:$AW$111,11,FALSE)="","",VLOOKUP(Sun_W1[[#This Row],[Employee Name]],'Base Schedules'!$A$79:$AW$111,11,FALSE)),"")</f>
        <v>-</v>
      </c>
      <c r="M9" s="184" t="str">
        <f>IFERROR(IF(VLOOKUP(Sun_W1[[#This Row],[Employee Name]],'Base Schedules'!$A$79:$AW$111,12,FALSE)="","",VLOOKUP(Sun_W1[[#This Row],[Employee Name]],'Base Schedules'!$A$79:$AW$111,12,FALSE)),"")</f>
        <v>-</v>
      </c>
      <c r="N9" s="184" t="str">
        <f>IFERROR(IF(VLOOKUP(Sun_W1[[#This Row],[Employee Name]],'Base Schedules'!$A$79:$AW$111,13,FALSE)="","",VLOOKUP(Sun_W1[[#This Row],[Employee Name]],'Base Schedules'!$A$79:$AW$111,13,FALSE)),"")</f>
        <v>-</v>
      </c>
      <c r="O9" s="184" t="str">
        <f>IFERROR(IF(VLOOKUP(Sun_W1[[#This Row],[Employee Name]],'Base Schedules'!$A$79:$AW$111,14,FALSE)="","",VLOOKUP(Sun_W1[[#This Row],[Employee Name]],'Base Schedules'!$A$79:$AW$111,14,FALSE)),"")</f>
        <v>-</v>
      </c>
      <c r="P9" s="184" t="str">
        <f>IFERROR(IF(VLOOKUP(Sun_W1[[#This Row],[Employee Name]],'Base Schedules'!$A$79:$AW$111,15,FALSE)="","",VLOOKUP(Sun_W1[[#This Row],[Employee Name]],'Base Schedules'!$A$79:$AW$111,15,FALSE)),"")</f>
        <v>-</v>
      </c>
      <c r="Q9" s="184" t="str">
        <f>IFERROR(IF(VLOOKUP(Sun_W1[[#This Row],[Employee Name]],'Base Schedules'!$A$79:$AW$111,16,FALSE)="","",VLOOKUP(Sun_W1[[#This Row],[Employee Name]],'Base Schedules'!$A$79:$AW$111,16,FALSE)),"")</f>
        <v>-</v>
      </c>
      <c r="R9" s="184" t="str">
        <f>IFERROR(IF(VLOOKUP(Sun_W1[[#This Row],[Employee Name]],'Base Schedules'!$A$79:$AW$111,17,FALSE)="","",VLOOKUP(Sun_W1[[#This Row],[Employee Name]],'Base Schedules'!$A$79:$AW$111,17,FALSE)),"")</f>
        <v>-</v>
      </c>
      <c r="S9" s="184" t="str">
        <f>IFERROR(IF(VLOOKUP(Sun_W1[[#This Row],[Employee Name]],'Base Schedules'!$A$79:$AW$111,18,FALSE)="","",VLOOKUP(Sun_W1[[#This Row],[Employee Name]],'Base Schedules'!$A$79:$AW$111,18,FALSE)),"")</f>
        <v>-</v>
      </c>
      <c r="T9" s="184" t="str">
        <f>IFERROR(IF(VLOOKUP(Sun_W1[[#This Row],[Employee Name]],'Base Schedules'!$A$79:$AW$111,19,FALSE)="","",VLOOKUP(Sun_W1[[#This Row],[Employee Name]],'Base Schedules'!$A$79:$AW$111,19,FALSE)),"")</f>
        <v>-</v>
      </c>
      <c r="U9" s="184" t="str">
        <f>IFERROR(IF(VLOOKUP(Sun_W1[[#This Row],[Employee Name]],'Base Schedules'!$A$79:$AW$111,20,FALSE)="","",VLOOKUP(Sun_W1[[#This Row],[Employee Name]],'Base Schedules'!$A$79:$AW$111,20,FALSE)),"")</f>
        <v>-</v>
      </c>
      <c r="V9" s="184" t="str">
        <f>IFERROR(IF(VLOOKUP(Sun_W1[[#This Row],[Employee Name]],'Base Schedules'!$A$79:$AW$111,21,FALSE)="","",VLOOKUP(Sun_W1[[#This Row],[Employee Name]],'Base Schedules'!$A$79:$AW$111,21,FALSE)),"")</f>
        <v>Coaching</v>
      </c>
      <c r="W9" s="184" t="str">
        <f>IFERROR(IF(VLOOKUP(Sun_W1[[#This Row],[Employee Name]],'Base Schedules'!$A$79:$AW$111,22,FALSE)="","",VLOOKUP(Sun_W1[[#This Row],[Employee Name]],'Base Schedules'!$A$79:$AW$111,22,FALSE)),"")</f>
        <v>Coaching</v>
      </c>
      <c r="X9" s="184" t="str">
        <f>IFERROR(IF(VLOOKUP(Sun_W1[[#This Row],[Employee Name]],'Base Schedules'!$A$79:$AW$111,23,FALSE)="","",VLOOKUP(Sun_W1[[#This Row],[Employee Name]],'Base Schedules'!$A$79:$AW$111,23,FALSE)),"")</f>
        <v>Coaching</v>
      </c>
      <c r="Y9" s="184" t="s">
        <v>224</v>
      </c>
      <c r="Z9" s="184" t="str">
        <f>IFERROR(IF(VLOOKUP(Sun_W1[[#This Row],[Employee Name]],'Base Schedules'!$A$79:$AW$111,25,FALSE)="","",VLOOKUP(Sun_W1[[#This Row],[Employee Name]],'Base Schedules'!$A$79:$AW$111,25,FALSE)),"")</f>
        <v/>
      </c>
      <c r="AA9" s="184" t="str">
        <f>IFERROR(IF(VLOOKUP(Sun_W1[[#This Row],[Employee Name]],'Base Schedules'!$A$79:$AW$111,26,FALSE)="","",VLOOKUP(Sun_W1[[#This Row],[Employee Name]],'Base Schedules'!$A$79:$AW$111,26,FALSE)),"")</f>
        <v/>
      </c>
      <c r="AB9" s="184" t="str">
        <f>IFERROR(IF(VLOOKUP(Sun_W1[[#This Row],[Employee Name]],'Base Schedules'!$A$79:$AW$111,27,FALSE)="","",VLOOKUP(Sun_W1[[#This Row],[Employee Name]],'Base Schedules'!$A$79:$AW$111,27,FALSE)),"")</f>
        <v/>
      </c>
      <c r="AC9" s="184" t="str">
        <f>IFERROR(IF(VLOOKUP(Sun_W1[[#This Row],[Employee Name]],'Base Schedules'!$A$79:$AW$111,28,FALSE)="","",VLOOKUP(Sun_W1[[#This Row],[Employee Name]],'Base Schedules'!$A$79:$AW$111,28,FALSE)),"")</f>
        <v>-</v>
      </c>
      <c r="AD9" s="184" t="str">
        <f>IFERROR(IF(VLOOKUP(Sun_W1[[#This Row],[Employee Name]],'Base Schedules'!$A$79:$AW$111,29,FALSE)="","",VLOOKUP(Sun_W1[[#This Row],[Employee Name]],'Base Schedules'!$A$79:$AW$111,29,FALSE)),"")</f>
        <v>-</v>
      </c>
      <c r="AE9" s="184" t="s">
        <v>224</v>
      </c>
      <c r="AF9" s="184" t="str">
        <f>IFERROR(IF(VLOOKUP(Sun_W1[[#This Row],[Employee Name]],'Base Schedules'!$A$79:$AW$111,31,FALSE)="","",VLOOKUP(Sun_W1[[#This Row],[Employee Name]],'Base Schedules'!$A$79:$AW$111,31,FALSE)),"")</f>
        <v/>
      </c>
      <c r="AG9" s="184" t="str">
        <f>IFERROR(IF(VLOOKUP(Sun_W1[[#This Row],[Employee Name]],'Base Schedules'!$A$79:$AW$111,32,FALSE)="","",VLOOKUP(Sun_W1[[#This Row],[Employee Name]],'Base Schedules'!$A$79:$AW$111,32,FALSE)),"")</f>
        <v/>
      </c>
      <c r="AH9" s="184" t="str">
        <f>IFERROR(IF(VLOOKUP(Sun_W1[[#This Row],[Employee Name]],'Base Schedules'!$A$79:$AW$111,33,FALSE)="","",VLOOKUP(Sun_W1[[#This Row],[Employee Name]],'Base Schedules'!$A$79:$AW$111,33,FALSE)),"")</f>
        <v/>
      </c>
      <c r="AI9" s="184" t="str">
        <f>IFERROR(IF(VLOOKUP(Sun_W1[[#This Row],[Employee Name]],'Base Schedules'!$A$79:$AW$111,34,FALSE)="","",VLOOKUP(Sun_W1[[#This Row],[Employee Name]],'Base Schedules'!$A$79:$AW$111,34,FALSE)),"")</f>
        <v/>
      </c>
      <c r="AJ9" s="184" t="str">
        <f>IFERROR(IF(VLOOKUP(Sun_W1[[#This Row],[Employee Name]],'Base Schedules'!$A$79:$AW$111,35,FALSE)="","",VLOOKUP(Sun_W1[[#This Row],[Employee Name]],'Base Schedules'!$A$79:$AW$111,35,FALSE)),"")</f>
        <v/>
      </c>
      <c r="AK9" s="184" t="str">
        <f>IFERROR(IF(VLOOKUP(Sun_W1[[#This Row],[Employee Name]],'Base Schedules'!$A$79:$AW$111,36,FALSE)="","",VLOOKUP(Sun_W1[[#This Row],[Employee Name]],'Base Schedules'!$A$79:$AW$111,36,FALSE)),"")</f>
        <v/>
      </c>
      <c r="AL9" s="184" t="str">
        <f>IFERROR(IF(VLOOKUP(Sun_W1[[#This Row],[Employee Name]],'Base Schedules'!$A$79:$AW$111,37,FALSE)="","",VLOOKUP(Sun_W1[[#This Row],[Employee Name]],'Base Schedules'!$A$79:$AW$111,37,FALSE)),"")</f>
        <v/>
      </c>
      <c r="AM9" s="184" t="str">
        <f>IFERROR(IF(VLOOKUP(Sun_W1[[#This Row],[Employee Name]],'Base Schedules'!$A$79:$AW$111,38,FALSE)="","",VLOOKUP(Sun_W1[[#This Row],[Employee Name]],'Base Schedules'!$A$79:$AW$111,38,FALSE)),"")</f>
        <v/>
      </c>
      <c r="AN9" s="184" t="str">
        <f>IFERROR(IF(VLOOKUP(Sun_W1[[#This Row],[Employee Name]],'Base Schedules'!$A$79:$AW$111,39,FALSE)="","",VLOOKUP(Sun_W1[[#This Row],[Employee Name]],'Base Schedules'!$A$79:$AW$111,39,FALSE)),"")</f>
        <v/>
      </c>
      <c r="AO9" s="184" t="str">
        <f>IFERROR(IF(VLOOKUP(Sun_W1[[#This Row],[Employee Name]],'Base Schedules'!$A$79:$AW$111,40,FALSE)="","",VLOOKUP(Sun_W1[[#This Row],[Employee Name]],'Base Schedules'!$A$79:$AW$111,40,FALSE)),"")</f>
        <v/>
      </c>
      <c r="AP9" s="184" t="str">
        <f>IFERROR(IF(VLOOKUP(Sun_W1[[#This Row],[Employee Name]],'Base Schedules'!$A$79:$AW$111,41,FALSE)="","",VLOOKUP(Sun_W1[[#This Row],[Employee Name]],'Base Schedules'!$A$79:$AW$111,41,FALSE)),"")</f>
        <v/>
      </c>
      <c r="AQ9" s="184" t="str">
        <f>IFERROR(IF(VLOOKUP(Sun_W1[[#This Row],[Employee Name]],'Base Schedules'!$A$79:$AW$111,42,FALSE)="","",VLOOKUP(Sun_W1[[#This Row],[Employee Name]],'Base Schedules'!$A$79:$AW$111,42,FALSE)),"")</f>
        <v/>
      </c>
      <c r="AR9" s="184" t="str">
        <f>IFERROR(IF(VLOOKUP(Sun_W1[[#This Row],[Employee Name]],'Base Schedules'!$A$79:$AW$111,43,FALSE)="","",VLOOKUP(Sun_W1[[#This Row],[Employee Name]],'Base Schedules'!$A$79:$AW$111,43,FALSE)),"")</f>
        <v/>
      </c>
      <c r="AS9" s="184" t="str">
        <f>IFERROR(IF(VLOOKUP(Sun_W1[[#This Row],[Employee Name]],'Base Schedules'!$A$79:$AW$111,44,FALSE)="","",VLOOKUP(Sun_W1[[#This Row],[Employee Name]],'Base Schedules'!$A$79:$AW$111,44,FALSE)),"")</f>
        <v/>
      </c>
      <c r="AT9" s="184" t="str">
        <f>IFERROR(IF(VLOOKUP(Sun_W1[[#This Row],[Employee Name]],'Base Schedules'!$A$79:$AW$111,45,FALSE)="","",VLOOKUP(Sun_W1[[#This Row],[Employee Name]],'Base Schedules'!$A$79:$AW$111,45,FALSE)),"")</f>
        <v/>
      </c>
      <c r="AU9" s="184" t="str">
        <f>IFERROR(IF(VLOOKUP(Sun_W1[[#This Row],[Employee Name]],'Base Schedules'!$A$79:$AW$111,46,FALSE)="","",VLOOKUP(Sun_W1[[#This Row],[Employee Name]],'Base Schedules'!$A$79:$AW$111,46,FALSE)),"")</f>
        <v/>
      </c>
      <c r="AV9" s="184" t="str">
        <f>IFERROR(IF(VLOOKUP(Sun_W1[[#This Row],[Employee Name]],'Base Schedules'!$A$79:$AW$111,47,FALSE)="","",VLOOKUP(Sun_W1[[#This Row],[Employee Name]],'Base Schedules'!$A$79:$AW$111,47,FALSE)),"")</f>
        <v/>
      </c>
      <c r="AW9" s="184" t="str">
        <f>IFERROR(IF(VLOOKUP(Sun_W1[[#This Row],[Employee Name]],'Base Schedules'!$A$79:$AW$111,48,FALSE)="","",VLOOKUP(Sun_W1[[#This Row],[Employee Name]],'Base Schedules'!$A$79:$AW$111,48,FALSE)),"")</f>
        <v/>
      </c>
      <c r="AX9" s="184" t="str">
        <f>IFERROR(IF(VLOOKUP(Sun_W1[[#This Row],[Employee Name]],'Base Schedules'!$A$79:$AW$111,49,FALSE)="","",VLOOKUP(Sun_W1[[#This Row],[Employee Name]],'Base Schedules'!$A$79:$AW$111,49,FALSE)),"")</f>
        <v/>
      </c>
      <c r="AY9" s="159" t="str">
        <f t="shared" ref="AY9:AY47" si="2">IF(B9="","",B9)</f>
        <v>Alvarez, Carlos</v>
      </c>
    </row>
    <row r="10" spans="1:51" s="44" customFormat="1" ht="12" x14ac:dyDescent="0.2">
      <c r="A10" s="201"/>
      <c r="B10" s="201" t="s">
        <v>46</v>
      </c>
      <c r="C10" s="257" t="str">
        <f>_xlfn.IFNA(VLOOKUP(Sun_W1[[#This Row],[Employee Name]],'Base Schedules'!A:B,2,FALSE),"")</f>
        <v>Supervisor</v>
      </c>
      <c r="D10" s="274">
        <f>_xlfn.IFNA(VLOOKUP(Sun_W1[[#This Row],[Employee Name]],'Base Schedules'!A:C,3,FALSE),"")</f>
        <v>500</v>
      </c>
      <c r="E10" s="274">
        <f>_xlfn.IFNA(VLOOKUP(Sun_W1[[#This Row],[Employee Name]],'Base Schedules'!A:D,4,FALSE),"")</f>
        <v>1400</v>
      </c>
      <c r="F10" s="142">
        <f>IF(Sun_W1[[#This Row],[Employee Name]]="","",IF(Sun_W1[[#This Row],[Dept]]="Supervisor",COUNTIFS($J10:$AX10,"*HL*",$J10:$AX10,"&lt;&gt;"&amp;"pHL"),COUNTIFS($J10:$AX10,"*HL*",$J10:$AX10,"&lt;&gt;"&amp;"*pHL*",$J10:$AX10,"&lt;&gt;"&amp;"pB1 HL",$J10:$AX10,"&lt;&gt;"&amp;"pB2 HL")-SUM(COUNTIFS($J10:$AX10,"*HL B1*",$J10:$AX10,"&lt;&gt;"&amp;"pHL B1")*0.5,COUNTIFS($J10:$AX10,"*HL B2*",$J10:$AX10,"&lt;&gt;"&amp;"pHL B2")*0.5,COUNTIFS($J10:$AX10,"*B1 HL*",$J10:$AX10,"&lt;&gt;"&amp;"pB1 HL")*0.5,COUNTIFS($J10:$AX10,"*B2 HL*",$J10:$AX10,"&lt;&gt;"&amp;"pB2 HL")*0.5)))</f>
        <v>0</v>
      </c>
      <c r="G10" s="142">
        <f t="shared" si="0"/>
        <v>4</v>
      </c>
      <c r="H10" s="142">
        <f t="shared" si="1"/>
        <v>0</v>
      </c>
      <c r="I10" s="142">
        <f>IF(Sun_W1[[#This Row],[Employee Name]]="","",IF(Sun_W1[[#This Row],[Dept]]="Supervisor",SUM(COUNTIFS($J10:$AX10,"RTA*",$J10:$AX10,"&lt;&gt;"&amp;"pRTA"),COUNTIFS($J10:$AX10,"*CRTA*",$J10:$AX10,"&lt;&gt;"&amp;"pCRTA")),COUNTIFS($J10:$AX10,"*RNNR*",$J10:$AX10,"&lt;&gt;"&amp;"*pRNNR*",$J10:$AX10,"&lt;&gt;"&amp;"pB1 RNNR",$J10:$AX10,"&lt;&gt;"&amp;"pB2 RNNR")-SUM(COUNTIFS($J10:$AX10,"*RNNR B1*",$J10:$AX10,"&lt;&gt;"&amp;"pRNNR B1")*0.5,COUNTIFS($J10:$AX10,"*RNNR B2*",$J10:$AX10,"&lt;&gt;"&amp;"pRNNR B2")*0.5,COUNTIFS($J10:$AX10,"*B1 RNNR*",$J10:$AX10,"&lt;&gt;"&amp;"pB1 RNNR")*0.5,COUNTIFS($J10:$AX10,"*B2 RNNR*",$J10:$AX10,"&lt;&gt;"&amp;"pB2 RNNR")*0.5)))</f>
        <v>0</v>
      </c>
      <c r="J10" s="184" t="str">
        <f>IFERROR(IF(VLOOKUP(Sun_W1[[#This Row],[Employee Name]],'Base Schedules'!$A$79:$AW$111,9,FALSE)="","",VLOOKUP(Sun_W1[[#This Row],[Employee Name]],'Base Schedules'!$A$79:$AW$111,9,FALSE)),"")</f>
        <v>-</v>
      </c>
      <c r="K10" s="184" t="str">
        <f>IFERROR(IF(VLOOKUP(Sun_W1[[#This Row],[Employee Name]],'Base Schedules'!$A$79:$AW$111,10,FALSE)="","",VLOOKUP(Sun_W1[[#This Row],[Employee Name]],'Base Schedules'!$A$79:$AW$111,10,FALSE)),"")</f>
        <v>-</v>
      </c>
      <c r="L10" s="184" t="str">
        <f>IFERROR(IF(VLOOKUP(Sun_W1[[#This Row],[Employee Name]],'Base Schedules'!$A$79:$AW$111,11,FALSE)="","",VLOOKUP(Sun_W1[[#This Row],[Employee Name]],'Base Schedules'!$A$79:$AW$111,11,FALSE)),"")</f>
        <v>-</v>
      </c>
      <c r="M10" s="184" t="str">
        <f>IFERROR(IF(VLOOKUP(Sun_W1[[#This Row],[Employee Name]],'Base Schedules'!$A$79:$AW$111,12,FALSE)="","",VLOOKUP(Sun_W1[[#This Row],[Employee Name]],'Base Schedules'!$A$79:$AW$111,12,FALSE)),"")</f>
        <v>-</v>
      </c>
      <c r="N10" s="184" t="str">
        <f>IFERROR(IF(VLOOKUP(Sun_W1[[#This Row],[Employee Name]],'Base Schedules'!$A$79:$AW$111,13,FALSE)="","",VLOOKUP(Sun_W1[[#This Row],[Employee Name]],'Base Schedules'!$A$79:$AW$111,13,FALSE)),"")</f>
        <v>-</v>
      </c>
      <c r="O10" s="184" t="str">
        <f>IFERROR(IF(VLOOKUP(Sun_W1[[#This Row],[Employee Name]],'Base Schedules'!$A$79:$AW$111,14,FALSE)="","",VLOOKUP(Sun_W1[[#This Row],[Employee Name]],'Base Schedules'!$A$79:$AW$111,14,FALSE)),"")</f>
        <v>-</v>
      </c>
      <c r="P10" s="184" t="str">
        <f>IFERROR(IF(VLOOKUP(Sun_W1[[#This Row],[Employee Name]],'Base Schedules'!$A$79:$AW$111,15,FALSE)="","",VLOOKUP(Sun_W1[[#This Row],[Employee Name]],'Base Schedules'!$A$79:$AW$111,15,FALSE)),"")</f>
        <v>-</v>
      </c>
      <c r="Q10" s="184" t="str">
        <f>IFERROR(IF(VLOOKUP(Sun_W1[[#This Row],[Employee Name]],'Base Schedules'!$A$79:$AW$111,16,FALSE)="","",VLOOKUP(Sun_W1[[#This Row],[Employee Name]],'Base Schedules'!$A$79:$AW$111,16,FALSE)),"")</f>
        <v>-</v>
      </c>
      <c r="R10" s="184" t="str">
        <f>IFERROR(IF(VLOOKUP(Sun_W1[[#This Row],[Employee Name]],'Base Schedules'!$A$79:$AW$111,17,FALSE)="","",VLOOKUP(Sun_W1[[#This Row],[Employee Name]],'Base Schedules'!$A$79:$AW$111,17,FALSE)),"")</f>
        <v>-</v>
      </c>
      <c r="S10" s="184" t="str">
        <f>IFERROR(IF(VLOOKUP(Sun_W1[[#This Row],[Employee Name]],'Base Schedules'!$A$79:$AW$111,18,FALSE)="","",VLOOKUP(Sun_W1[[#This Row],[Employee Name]],'Base Schedules'!$A$79:$AW$111,18,FALSE)),"")</f>
        <v>-</v>
      </c>
      <c r="T10" s="184" t="str">
        <f>IFERROR(IF(VLOOKUP(Sun_W1[[#This Row],[Employee Name]],'Base Schedules'!$A$79:$AW$111,19,FALSE)="","",VLOOKUP(Sun_W1[[#This Row],[Employee Name]],'Base Schedules'!$A$79:$AW$111,19,FALSE)),"")</f>
        <v>-</v>
      </c>
      <c r="U10" s="184" t="str">
        <f>IFERROR(IF(VLOOKUP(Sun_W1[[#This Row],[Employee Name]],'Base Schedules'!$A$79:$AW$111,20,FALSE)="","",VLOOKUP(Sun_W1[[#This Row],[Employee Name]],'Base Schedules'!$A$79:$AW$111,20,FALSE)),"")</f>
        <v>-</v>
      </c>
      <c r="V10" s="184" t="str">
        <f>IFERROR(IF(VLOOKUP(Sun_W1[[#This Row],[Employee Name]],'Base Schedules'!$A$79:$AW$111,21,FALSE)="","",VLOOKUP(Sun_W1[[#This Row],[Employee Name]],'Base Schedules'!$A$79:$AW$111,21,FALSE)),"")</f>
        <v>-</v>
      </c>
      <c r="W10" s="184" t="str">
        <f>IFERROR(IF(VLOOKUP(Sun_W1[[#This Row],[Employee Name]],'Base Schedules'!$A$79:$AW$111,22,FALSE)="","",VLOOKUP(Sun_W1[[#This Row],[Employee Name]],'Base Schedules'!$A$79:$AW$111,22,FALSE)),"")</f>
        <v>Coaching</v>
      </c>
      <c r="X10" s="184" t="str">
        <f>IFERROR(IF(VLOOKUP(Sun_W1[[#This Row],[Employee Name]],'Base Schedules'!$A$79:$AW$111,23,FALSE)="","",VLOOKUP(Sun_W1[[#This Row],[Employee Name]],'Base Schedules'!$A$79:$AW$111,23,FALSE)),"")</f>
        <v>Coaching</v>
      </c>
      <c r="Y10" s="184" t="str">
        <f>IFERROR(IF(VLOOKUP(Sun_W1[[#This Row],[Employee Name]],'Base Schedules'!$A$79:$AW$111,24,FALSE)="","",VLOOKUP(Sun_W1[[#This Row],[Employee Name]],'Base Schedules'!$A$79:$AW$111,24,FALSE)),"")</f>
        <v>Coaching</v>
      </c>
      <c r="Z10" s="184" t="str">
        <f>IFERROR(IF(VLOOKUP(Sun_W1[[#This Row],[Employee Name]],'Base Schedules'!$A$79:$AW$111,25,FALSE)="","",VLOOKUP(Sun_W1[[#This Row],[Employee Name]],'Base Schedules'!$A$79:$AW$111,25,FALSE)),"")</f>
        <v>Coaching</v>
      </c>
      <c r="AA10" s="184" t="str">
        <f>IFERROR(IF(VLOOKUP(Sun_W1[[#This Row],[Employee Name]],'Base Schedules'!$A$79:$AW$111,26,FALSE)="","",VLOOKUP(Sun_W1[[#This Row],[Employee Name]],'Base Schedules'!$A$79:$AW$111,26,FALSE)),"")</f>
        <v>-</v>
      </c>
      <c r="AB10" s="184" t="str">
        <f>IFERROR(IF(VLOOKUP(Sun_W1[[#This Row],[Employee Name]],'Base Schedules'!$A$79:$AW$111,27,FALSE)="","",VLOOKUP(Sun_W1[[#This Row],[Employee Name]],'Base Schedules'!$A$79:$AW$111,27,FALSE)),"")</f>
        <v/>
      </c>
      <c r="AC10" s="184" t="str">
        <f>IFERROR(IF(VLOOKUP(Sun_W1[[#This Row],[Employee Name]],'Base Schedules'!$A$79:$AW$111,28,FALSE)="","",VLOOKUP(Sun_W1[[#This Row],[Employee Name]],'Base Schedules'!$A$79:$AW$111,28,FALSE)),"")</f>
        <v/>
      </c>
      <c r="AD10" s="184" t="str">
        <f>IFERROR(IF(VLOOKUP(Sun_W1[[#This Row],[Employee Name]],'Base Schedules'!$A$79:$AW$111,29,FALSE)="","",VLOOKUP(Sun_W1[[#This Row],[Employee Name]],'Base Schedules'!$A$79:$AW$111,29,FALSE)),"")</f>
        <v/>
      </c>
      <c r="AE10" s="184" t="str">
        <f>IFERROR(IF(VLOOKUP(Sun_W1[[#This Row],[Employee Name]],'Base Schedules'!$A$79:$AW$111,30,FALSE)="","",VLOOKUP(Sun_W1[[#This Row],[Employee Name]],'Base Schedules'!$A$79:$AW$111,30,FALSE)),"")</f>
        <v/>
      </c>
      <c r="AF10" s="184" t="str">
        <f>IFERROR(IF(VLOOKUP(Sun_W1[[#This Row],[Employee Name]],'Base Schedules'!$A$79:$AW$111,31,FALSE)="","",VLOOKUP(Sun_W1[[#This Row],[Employee Name]],'Base Schedules'!$A$79:$AW$111,31,FALSE)),"")</f>
        <v/>
      </c>
      <c r="AG10" s="184" t="str">
        <f>IFERROR(IF(VLOOKUP(Sun_W1[[#This Row],[Employee Name]],'Base Schedules'!$A$79:$AW$111,32,FALSE)="","",VLOOKUP(Sun_W1[[#This Row],[Employee Name]],'Base Schedules'!$A$79:$AW$111,32,FALSE)),"")</f>
        <v/>
      </c>
      <c r="AH10" s="184" t="str">
        <f>IFERROR(IF(VLOOKUP(Sun_W1[[#This Row],[Employee Name]],'Base Schedules'!$A$79:$AW$111,33,FALSE)="","",VLOOKUP(Sun_W1[[#This Row],[Employee Name]],'Base Schedules'!$A$79:$AW$111,33,FALSE)),"")</f>
        <v/>
      </c>
      <c r="AI10" s="184" t="str">
        <f>IFERROR(IF(VLOOKUP(Sun_W1[[#This Row],[Employee Name]],'Base Schedules'!$A$79:$AW$111,34,FALSE)="","",VLOOKUP(Sun_W1[[#This Row],[Employee Name]],'Base Schedules'!$A$79:$AW$111,34,FALSE)),"")</f>
        <v/>
      </c>
      <c r="AJ10" s="184" t="str">
        <f>IFERROR(IF(VLOOKUP(Sun_W1[[#This Row],[Employee Name]],'Base Schedules'!$A$79:$AW$111,35,FALSE)="","",VLOOKUP(Sun_W1[[#This Row],[Employee Name]],'Base Schedules'!$A$79:$AW$111,35,FALSE)),"")</f>
        <v/>
      </c>
      <c r="AK10" s="184" t="str">
        <f>IFERROR(IF(VLOOKUP(Sun_W1[[#This Row],[Employee Name]],'Base Schedules'!$A$79:$AW$111,36,FALSE)="","",VLOOKUP(Sun_W1[[#This Row],[Employee Name]],'Base Schedules'!$A$79:$AW$111,36,FALSE)),"")</f>
        <v/>
      </c>
      <c r="AL10" s="184" t="str">
        <f>IFERROR(IF(VLOOKUP(Sun_W1[[#This Row],[Employee Name]],'Base Schedules'!$A$79:$AW$111,37,FALSE)="","",VLOOKUP(Sun_W1[[#This Row],[Employee Name]],'Base Schedules'!$A$79:$AW$111,37,FALSE)),"")</f>
        <v/>
      </c>
      <c r="AM10" s="184" t="str">
        <f>IFERROR(IF(VLOOKUP(Sun_W1[[#This Row],[Employee Name]],'Base Schedules'!$A$79:$AW$111,38,FALSE)="","",VLOOKUP(Sun_W1[[#This Row],[Employee Name]],'Base Schedules'!$A$79:$AW$111,38,FALSE)),"")</f>
        <v/>
      </c>
      <c r="AN10" s="184" t="str">
        <f>IFERROR(IF(VLOOKUP(Sun_W1[[#This Row],[Employee Name]],'Base Schedules'!$A$79:$AW$111,39,FALSE)="","",VLOOKUP(Sun_W1[[#This Row],[Employee Name]],'Base Schedules'!$A$79:$AW$111,39,FALSE)),"")</f>
        <v/>
      </c>
      <c r="AO10" s="184" t="str">
        <f>IFERROR(IF(VLOOKUP(Sun_W1[[#This Row],[Employee Name]],'Base Schedules'!$A$79:$AW$111,40,FALSE)="","",VLOOKUP(Sun_W1[[#This Row],[Employee Name]],'Base Schedules'!$A$79:$AW$111,40,FALSE)),"")</f>
        <v/>
      </c>
      <c r="AP10" s="184" t="str">
        <f>IFERROR(IF(VLOOKUP(Sun_W1[[#This Row],[Employee Name]],'Base Schedules'!$A$79:$AW$111,41,FALSE)="","",VLOOKUP(Sun_W1[[#This Row],[Employee Name]],'Base Schedules'!$A$79:$AW$111,41,FALSE)),"")</f>
        <v/>
      </c>
      <c r="AQ10" s="184" t="str">
        <f>IFERROR(IF(VLOOKUP(Sun_W1[[#This Row],[Employee Name]],'Base Schedules'!$A$79:$AW$111,42,FALSE)="","",VLOOKUP(Sun_W1[[#This Row],[Employee Name]],'Base Schedules'!$A$79:$AW$111,42,FALSE)),"")</f>
        <v/>
      </c>
      <c r="AR10" s="184" t="str">
        <f>IFERROR(IF(VLOOKUP(Sun_W1[[#This Row],[Employee Name]],'Base Schedules'!$A$79:$AW$111,43,FALSE)="","",VLOOKUP(Sun_W1[[#This Row],[Employee Name]],'Base Schedules'!$A$79:$AW$111,43,FALSE)),"")</f>
        <v/>
      </c>
      <c r="AS10" s="184" t="str">
        <f>IFERROR(IF(VLOOKUP(Sun_W1[[#This Row],[Employee Name]],'Base Schedules'!$A$79:$AW$111,44,FALSE)="","",VLOOKUP(Sun_W1[[#This Row],[Employee Name]],'Base Schedules'!$A$79:$AW$111,44,FALSE)),"")</f>
        <v/>
      </c>
      <c r="AT10" s="184" t="str">
        <f>IFERROR(IF(VLOOKUP(Sun_W1[[#This Row],[Employee Name]],'Base Schedules'!$A$79:$AW$111,45,FALSE)="","",VLOOKUP(Sun_W1[[#This Row],[Employee Name]],'Base Schedules'!$A$79:$AW$111,45,FALSE)),"")</f>
        <v/>
      </c>
      <c r="AU10" s="184" t="str">
        <f>IFERROR(IF(VLOOKUP(Sun_W1[[#This Row],[Employee Name]],'Base Schedules'!$A$79:$AW$111,46,FALSE)="","",VLOOKUP(Sun_W1[[#This Row],[Employee Name]],'Base Schedules'!$A$79:$AW$111,46,FALSE)),"")</f>
        <v/>
      </c>
      <c r="AV10" s="184" t="str">
        <f>IFERROR(IF(VLOOKUP(Sun_W1[[#This Row],[Employee Name]],'Base Schedules'!$A$79:$AW$111,47,FALSE)="","",VLOOKUP(Sun_W1[[#This Row],[Employee Name]],'Base Schedules'!$A$79:$AW$111,47,FALSE)),"")</f>
        <v/>
      </c>
      <c r="AW10" s="184" t="str">
        <f>IFERROR(IF(VLOOKUP(Sun_W1[[#This Row],[Employee Name]],'Base Schedules'!$A$79:$AW$111,48,FALSE)="","",VLOOKUP(Sun_W1[[#This Row],[Employee Name]],'Base Schedules'!$A$79:$AW$111,48,FALSE)),"")</f>
        <v/>
      </c>
      <c r="AX10" s="184" t="str">
        <f>IFERROR(IF(VLOOKUP(Sun_W1[[#This Row],[Employee Name]],'Base Schedules'!$A$79:$AW$111,49,FALSE)="","",VLOOKUP(Sun_W1[[#This Row],[Employee Name]],'Base Schedules'!$A$79:$AW$111,49,FALSE)),"")</f>
        <v/>
      </c>
      <c r="AY10" s="159" t="str">
        <f t="shared" si="2"/>
        <v>Senft, Thomas</v>
      </c>
    </row>
    <row r="11" spans="1:51" s="44" customFormat="1" ht="12" x14ac:dyDescent="0.2">
      <c r="A11" s="201"/>
      <c r="B11" s="201" t="s">
        <v>233</v>
      </c>
      <c r="C11" s="257" t="str">
        <f>_xlfn.IFNA(VLOOKUP(Sun_W1[[#This Row],[Employee Name]],'Base Schedules'!A:B,2,FALSE),"")</f>
        <v>Lead</v>
      </c>
      <c r="D11" s="274">
        <f>_xlfn.IFNA(VLOOKUP(Sun_W1[[#This Row],[Employee Name]],'Base Schedules'!A:C,3,FALSE),"")</f>
        <v>500</v>
      </c>
      <c r="E11" s="274">
        <f>_xlfn.IFNA(VLOOKUP(Sun_W1[[#This Row],[Employee Name]],'Base Schedules'!A:D,4,FALSE),"")</f>
        <v>1330</v>
      </c>
      <c r="F11" s="142">
        <f>IF(Sun_W1[[#This Row],[Employee Name]]="","",IF(Sun_W1[[#This Row],[Dept]]="Supervisor",COUNTIFS($J11:$AX11,"*HL*",$J11:$AX11,"&lt;&gt;"&amp;"pHL"),COUNTIFS($J11:$AX11,"*HL*",$J11:$AX11,"&lt;&gt;"&amp;"*pHL*",$J11:$AX11,"&lt;&gt;"&amp;"pB1 HL",$J11:$AX11,"&lt;&gt;"&amp;"pB2 HL")-SUM(COUNTIFS($J11:$AX11,"*HL B1*",$J11:$AX11,"&lt;&gt;"&amp;"pHL B1")*0.5,COUNTIFS($J11:$AX11,"*HL B2*",$J11:$AX11,"&lt;&gt;"&amp;"pHL B2")*0.5,COUNTIFS($J11:$AX11,"*B1 HL*",$J11:$AX11,"&lt;&gt;"&amp;"pB1 HL")*0.5,COUNTIFS($J11:$AX11,"*B2 HL*",$J11:$AX11,"&lt;&gt;"&amp;"pB2 HL")*0.5)))</f>
        <v>8</v>
      </c>
      <c r="G11" s="142">
        <f t="shared" si="0"/>
        <v>0</v>
      </c>
      <c r="H11" s="142">
        <f t="shared" si="1"/>
        <v>5</v>
      </c>
      <c r="I11" s="142">
        <f>IF(Sun_W1[[#This Row],[Employee Name]]="","",IF(Sun_W1[[#This Row],[Dept]]="Supervisor",SUM(COUNTIFS($J11:$AX11,"RTA*",$J11:$AX11,"&lt;&gt;"&amp;"pRTA"),COUNTIFS($J11:$AX11,"*CRTA*",$J11:$AX11,"&lt;&gt;"&amp;"pCRTA")),COUNTIFS($J11:$AX11,"*RNNR*",$J11:$AX11,"&lt;&gt;"&amp;"*pRNNR*",$J11:$AX11,"&lt;&gt;"&amp;"pB1 RNNR",$J11:$AX11,"&lt;&gt;"&amp;"pB2 RNNR")-SUM(COUNTIFS($J11:$AX11,"*RNNR B1*",$J11:$AX11,"&lt;&gt;"&amp;"pRNNR B1")*0.5,COUNTIFS($J11:$AX11,"*RNNR B2*",$J11:$AX11,"&lt;&gt;"&amp;"pRNNR B2")*0.5,COUNTIFS($J11:$AX11,"*B1 RNNR*",$J11:$AX11,"&lt;&gt;"&amp;"pB1 RNNR")*0.5,COUNTIFS($J11:$AX11,"*B2 RNNR*",$J11:$AX11,"&lt;&gt;"&amp;"pB2 RNNR")*0.5)))</f>
        <v>2</v>
      </c>
      <c r="J11" s="184" t="str">
        <f>IFERROR(IF(VLOOKUP(Sun_W1[[#This Row],[Employee Name]],'Base Schedules'!$A$79:$AW$111,9,FALSE)="","",VLOOKUP(Sun_W1[[#This Row],[Employee Name]],'Base Schedules'!$A$79:$AW$111,9,FALSE)),"")</f>
        <v>HL</v>
      </c>
      <c r="K11" s="184" t="str">
        <f>IFERROR(IF(VLOOKUP(Sun_W1[[#This Row],[Employee Name]],'Base Schedules'!$A$79:$AW$111,10,FALSE)="","",VLOOKUP(Sun_W1[[#This Row],[Employee Name]],'Base Schedules'!$A$79:$AW$111,10,FALSE)),"")</f>
        <v>HL</v>
      </c>
      <c r="L11" s="184" t="str">
        <f>IFERROR(IF(VLOOKUP(Sun_W1[[#This Row],[Employee Name]],'Base Schedules'!$A$79:$AW$111,11,FALSE)="","",VLOOKUP(Sun_W1[[#This Row],[Employee Name]],'Base Schedules'!$A$79:$AW$111,11,FALSE)),"")</f>
        <v>HL</v>
      </c>
      <c r="M11" s="184" t="str">
        <f>IFERROR(IF(VLOOKUP(Sun_W1[[#This Row],[Employee Name]],'Base Schedules'!$A$79:$AW$111,12,FALSE)="","",VLOOKUP(Sun_W1[[#This Row],[Employee Name]],'Base Schedules'!$A$79:$AW$111,12,FALSE)),"")</f>
        <v>HL</v>
      </c>
      <c r="N11" s="184" t="str">
        <f>IFERROR(IF(VLOOKUP(Sun_W1[[#This Row],[Employee Name]],'Base Schedules'!$A$79:$AW$111,13,FALSE)="","",VLOOKUP(Sun_W1[[#This Row],[Employee Name]],'Base Schedules'!$A$79:$AW$111,13,FALSE)),"")</f>
        <v>B1 HL</v>
      </c>
      <c r="O11" s="184" t="str">
        <f>IFERROR(IF(VLOOKUP(Sun_W1[[#This Row],[Employee Name]],'Base Schedules'!$A$79:$AW$111,14,FALSE)="","",VLOOKUP(Sun_W1[[#This Row],[Employee Name]],'Base Schedules'!$A$79:$AW$111,14,FALSE)),"")</f>
        <v>ADM</v>
      </c>
      <c r="P11" s="184" t="str">
        <f>IFERROR(IF(VLOOKUP(Sun_W1[[#This Row],[Employee Name]],'Base Schedules'!$A$79:$AW$111,15,FALSE)="","",VLOOKUP(Sun_W1[[#This Row],[Employee Name]],'Base Schedules'!$A$79:$AW$111,15,FALSE)),"")</f>
        <v>ADM</v>
      </c>
      <c r="Q11" s="184" t="str">
        <f>IFERROR(IF(VLOOKUP(Sun_W1[[#This Row],[Employee Name]],'Base Schedules'!$A$79:$AW$111,16,FALSE)="","",VLOOKUP(Sun_W1[[#This Row],[Employee Name]],'Base Schedules'!$A$79:$AW$111,16,FALSE)),"")</f>
        <v>ADM</v>
      </c>
      <c r="R11" s="184" t="str">
        <f>IFERROR(IF(VLOOKUP(Sun_W1[[#This Row],[Employee Name]],'Base Schedules'!$A$79:$AW$111,17,FALSE)="","",VLOOKUP(Sun_W1[[#This Row],[Employee Name]],'Base Schedules'!$A$79:$AW$111,17,FALSE)),"")</f>
        <v>HL</v>
      </c>
      <c r="S11" s="184" t="str">
        <f>IFERROR(IF(VLOOKUP(Sun_W1[[#This Row],[Employee Name]],'Base Schedules'!$A$79:$AW$111,18,FALSE)="","",VLOOKUP(Sun_W1[[#This Row],[Employee Name]],'Base Schedules'!$A$79:$AW$111,18,FALSE)),"")</f>
        <v>LUNCH</v>
      </c>
      <c r="T11" s="184" t="str">
        <f>IFERROR(IF(VLOOKUP(Sun_W1[[#This Row],[Employee Name]],'Base Schedules'!$A$79:$AW$111,19,FALSE)="","",VLOOKUP(Sun_W1[[#This Row],[Employee Name]],'Base Schedules'!$A$79:$AW$111,19,FALSE)),"")</f>
        <v>ADM</v>
      </c>
      <c r="U11" s="184" t="str">
        <f>IFERROR(IF(VLOOKUP(Sun_W1[[#This Row],[Employee Name]],'Base Schedules'!$A$79:$AW$111,20,FALSE)="","",VLOOKUP(Sun_W1[[#This Row],[Employee Name]],'Base Schedules'!$A$79:$AW$111,20,FALSE)),"")</f>
        <v>ADM</v>
      </c>
      <c r="V11" s="184" t="str">
        <f>IFERROR(IF(VLOOKUP(Sun_W1[[#This Row],[Employee Name]],'Base Schedules'!$A$79:$AW$111,21,FALSE)="","",VLOOKUP(Sun_W1[[#This Row],[Employee Name]],'Base Schedules'!$A$79:$AW$111,21,FALSE)),"")</f>
        <v>HL</v>
      </c>
      <c r="W11" s="184" t="str">
        <f>IFERROR(IF(VLOOKUP(Sun_W1[[#This Row],[Employee Name]],'Base Schedules'!$A$79:$AW$111,22,FALSE)="","",VLOOKUP(Sun_W1[[#This Row],[Employee Name]],'Base Schedules'!$A$79:$AW$111,22,FALSE)),"")</f>
        <v>B2 HL</v>
      </c>
      <c r="X11" s="184" t="str">
        <f>IFERROR(IF(VLOOKUP(Sun_W1[[#This Row],[Employee Name]],'Base Schedules'!$A$79:$AW$111,23,FALSE)="","",VLOOKUP(Sun_W1[[#This Row],[Employee Name]],'Base Schedules'!$A$79:$AW$111,23,FALSE)),"")</f>
        <v>RNNR</v>
      </c>
      <c r="Y11" s="184" t="str">
        <f>IFERROR(IF(VLOOKUP(Sun_W1[[#This Row],[Employee Name]],'Base Schedules'!$A$79:$AW$111,24,FALSE)="","",VLOOKUP(Sun_W1[[#This Row],[Employee Name]],'Base Schedules'!$A$79:$AW$111,24,FALSE)),"")</f>
        <v>RNNR</v>
      </c>
      <c r="Z11" s="184" t="str">
        <f>IFERROR(IF(VLOOKUP(Sun_W1[[#This Row],[Employee Name]],'Base Schedules'!$A$79:$AW$111,25,FALSE)="","",VLOOKUP(Sun_W1[[#This Row],[Employee Name]],'Base Schedules'!$A$79:$AW$111,25,FALSE)),"")</f>
        <v>HL</v>
      </c>
      <c r="AA11" s="184" t="str">
        <f>IFERROR(IF(VLOOKUP(Sun_W1[[#This Row],[Employee Name]],'Base Schedules'!$A$79:$AW$111,26,FALSE)="","",VLOOKUP(Sun_W1[[#This Row],[Employee Name]],'Base Schedules'!$A$79:$AW$111,26,FALSE)),"")</f>
        <v/>
      </c>
      <c r="AB11" s="184" t="str">
        <f>IFERROR(IF(VLOOKUP(Sun_W1[[#This Row],[Employee Name]],'Base Schedules'!$A$79:$AW$111,27,FALSE)="","",VLOOKUP(Sun_W1[[#This Row],[Employee Name]],'Base Schedules'!$A$79:$AW$111,27,FALSE)),"")</f>
        <v/>
      </c>
      <c r="AC11" s="184" t="str">
        <f>IFERROR(IF(VLOOKUP(Sun_W1[[#This Row],[Employee Name]],'Base Schedules'!$A$79:$AW$111,28,FALSE)="","",VLOOKUP(Sun_W1[[#This Row],[Employee Name]],'Base Schedules'!$A$79:$AW$111,28,FALSE)),"")</f>
        <v/>
      </c>
      <c r="AD11" s="184" t="str">
        <f>IFERROR(IF(VLOOKUP(Sun_W1[[#This Row],[Employee Name]],'Base Schedules'!$A$79:$AW$111,29,FALSE)="","",VLOOKUP(Sun_W1[[#This Row],[Employee Name]],'Base Schedules'!$A$79:$AW$111,29,FALSE)),"")</f>
        <v/>
      </c>
      <c r="AE11" s="184" t="str">
        <f>IFERROR(IF(VLOOKUP(Sun_W1[[#This Row],[Employee Name]],'Base Schedules'!$A$79:$AW$111,30,FALSE)="","",VLOOKUP(Sun_W1[[#This Row],[Employee Name]],'Base Schedules'!$A$79:$AW$111,30,FALSE)),"")</f>
        <v/>
      </c>
      <c r="AF11" s="184" t="str">
        <f>IFERROR(IF(VLOOKUP(Sun_W1[[#This Row],[Employee Name]],'Base Schedules'!$A$79:$AW$111,31,FALSE)="","",VLOOKUP(Sun_W1[[#This Row],[Employee Name]],'Base Schedules'!$A$79:$AW$111,31,FALSE)),"")</f>
        <v/>
      </c>
      <c r="AG11" s="184" t="str">
        <f>IFERROR(IF(VLOOKUP(Sun_W1[[#This Row],[Employee Name]],'Base Schedules'!$A$79:$AW$111,32,FALSE)="","",VLOOKUP(Sun_W1[[#This Row],[Employee Name]],'Base Schedules'!$A$79:$AW$111,32,FALSE)),"")</f>
        <v/>
      </c>
      <c r="AH11" s="184" t="str">
        <f>IFERROR(IF(VLOOKUP(Sun_W1[[#This Row],[Employee Name]],'Base Schedules'!$A$79:$AW$111,33,FALSE)="","",VLOOKUP(Sun_W1[[#This Row],[Employee Name]],'Base Schedules'!$A$79:$AW$111,33,FALSE)),"")</f>
        <v/>
      </c>
      <c r="AI11" s="184" t="str">
        <f>IFERROR(IF(VLOOKUP(Sun_W1[[#This Row],[Employee Name]],'Base Schedules'!$A$79:$AW$111,34,FALSE)="","",VLOOKUP(Sun_W1[[#This Row],[Employee Name]],'Base Schedules'!$A$79:$AW$111,34,FALSE)),"")</f>
        <v/>
      </c>
      <c r="AJ11" s="184" t="str">
        <f>IFERROR(IF(VLOOKUP(Sun_W1[[#This Row],[Employee Name]],'Base Schedules'!$A$79:$AW$111,35,FALSE)="","",VLOOKUP(Sun_W1[[#This Row],[Employee Name]],'Base Schedules'!$A$79:$AW$111,35,FALSE)),"")</f>
        <v/>
      </c>
      <c r="AK11" s="184" t="str">
        <f>IFERROR(IF(VLOOKUP(Sun_W1[[#This Row],[Employee Name]],'Base Schedules'!$A$79:$AW$111,36,FALSE)="","",VLOOKUP(Sun_W1[[#This Row],[Employee Name]],'Base Schedules'!$A$79:$AW$111,36,FALSE)),"")</f>
        <v/>
      </c>
      <c r="AL11" s="184" t="str">
        <f>IFERROR(IF(VLOOKUP(Sun_W1[[#This Row],[Employee Name]],'Base Schedules'!$A$79:$AW$111,37,FALSE)="","",VLOOKUP(Sun_W1[[#This Row],[Employee Name]],'Base Schedules'!$A$79:$AW$111,37,FALSE)),"")</f>
        <v/>
      </c>
      <c r="AM11" s="184" t="str">
        <f>IFERROR(IF(VLOOKUP(Sun_W1[[#This Row],[Employee Name]],'Base Schedules'!$A$79:$AW$111,38,FALSE)="","",VLOOKUP(Sun_W1[[#This Row],[Employee Name]],'Base Schedules'!$A$79:$AW$111,38,FALSE)),"")</f>
        <v/>
      </c>
      <c r="AN11" s="184" t="str">
        <f>IFERROR(IF(VLOOKUP(Sun_W1[[#This Row],[Employee Name]],'Base Schedules'!$A$79:$AW$111,39,FALSE)="","",VLOOKUP(Sun_W1[[#This Row],[Employee Name]],'Base Schedules'!$A$79:$AW$111,39,FALSE)),"")</f>
        <v/>
      </c>
      <c r="AO11" s="184" t="str">
        <f>IFERROR(IF(VLOOKUP(Sun_W1[[#This Row],[Employee Name]],'Base Schedules'!$A$79:$AW$111,40,FALSE)="","",VLOOKUP(Sun_W1[[#This Row],[Employee Name]],'Base Schedules'!$A$79:$AW$111,40,FALSE)),"")</f>
        <v/>
      </c>
      <c r="AP11" s="184" t="str">
        <f>IFERROR(IF(VLOOKUP(Sun_W1[[#This Row],[Employee Name]],'Base Schedules'!$A$79:$AW$111,41,FALSE)="","",VLOOKUP(Sun_W1[[#This Row],[Employee Name]],'Base Schedules'!$A$79:$AW$111,41,FALSE)),"")</f>
        <v/>
      </c>
      <c r="AQ11" s="184" t="str">
        <f>IFERROR(IF(VLOOKUP(Sun_W1[[#This Row],[Employee Name]],'Base Schedules'!$A$79:$AW$111,42,FALSE)="","",VLOOKUP(Sun_W1[[#This Row],[Employee Name]],'Base Schedules'!$A$79:$AW$111,42,FALSE)),"")</f>
        <v/>
      </c>
      <c r="AR11" s="184" t="str">
        <f>IFERROR(IF(VLOOKUP(Sun_W1[[#This Row],[Employee Name]],'Base Schedules'!$A$79:$AW$111,43,FALSE)="","",VLOOKUP(Sun_W1[[#This Row],[Employee Name]],'Base Schedules'!$A$79:$AW$111,43,FALSE)),"")</f>
        <v/>
      </c>
      <c r="AS11" s="184" t="str">
        <f>IFERROR(IF(VLOOKUP(Sun_W1[[#This Row],[Employee Name]],'Base Schedules'!$A$79:$AW$111,44,FALSE)="","",VLOOKUP(Sun_W1[[#This Row],[Employee Name]],'Base Schedules'!$A$79:$AW$111,44,FALSE)),"")</f>
        <v/>
      </c>
      <c r="AT11" s="184" t="str">
        <f>IFERROR(IF(VLOOKUP(Sun_W1[[#This Row],[Employee Name]],'Base Schedules'!$A$79:$AW$111,45,FALSE)="","",VLOOKUP(Sun_W1[[#This Row],[Employee Name]],'Base Schedules'!$A$79:$AW$111,45,FALSE)),"")</f>
        <v/>
      </c>
      <c r="AU11" s="184" t="str">
        <f>IFERROR(IF(VLOOKUP(Sun_W1[[#This Row],[Employee Name]],'Base Schedules'!$A$79:$AW$111,46,FALSE)="","",VLOOKUP(Sun_W1[[#This Row],[Employee Name]],'Base Schedules'!$A$79:$AW$111,46,FALSE)),"")</f>
        <v/>
      </c>
      <c r="AV11" s="184" t="str">
        <f>IFERROR(IF(VLOOKUP(Sun_W1[[#This Row],[Employee Name]],'Base Schedules'!$A$79:$AW$111,47,FALSE)="","",VLOOKUP(Sun_W1[[#This Row],[Employee Name]],'Base Schedules'!$A$79:$AW$111,47,FALSE)),"")</f>
        <v/>
      </c>
      <c r="AW11" s="184" t="str">
        <f>IFERROR(IF(VLOOKUP(Sun_W1[[#This Row],[Employee Name]],'Base Schedules'!$A$79:$AW$111,48,FALSE)="","",VLOOKUP(Sun_W1[[#This Row],[Employee Name]],'Base Schedules'!$A$79:$AW$111,48,FALSE)),"")</f>
        <v/>
      </c>
      <c r="AX11" s="184" t="str">
        <f>IFERROR(IF(VLOOKUP(Sun_W1[[#This Row],[Employee Name]],'Base Schedules'!$A$79:$AW$111,49,FALSE)="","",VLOOKUP(Sun_W1[[#This Row],[Employee Name]],'Base Schedules'!$A$79:$AW$111,49,FALSE)),"")</f>
        <v/>
      </c>
      <c r="AY11" s="159" t="str">
        <f t="shared" si="2"/>
        <v>Shiraki, Suzy</v>
      </c>
    </row>
    <row r="12" spans="1:51" s="44" customFormat="1" ht="12" x14ac:dyDescent="0.2">
      <c r="A12" s="201"/>
      <c r="B12" s="201" t="s">
        <v>230</v>
      </c>
      <c r="C12" s="257" t="str">
        <f>_xlfn.IFNA(VLOOKUP(Sun_W1[[#This Row],[Employee Name]],'Base Schedules'!A:B,2,FALSE),"")</f>
        <v>Lead</v>
      </c>
      <c r="D12" s="274">
        <f>_xlfn.IFNA(VLOOKUP(Sun_W1[[#This Row],[Employee Name]],'Base Schedules'!A:C,3,FALSE),"")</f>
        <v>530</v>
      </c>
      <c r="E12" s="274">
        <f>_xlfn.IFNA(VLOOKUP(Sun_W1[[#This Row],[Employee Name]],'Base Schedules'!A:D,4,FALSE),"")</f>
        <v>1430</v>
      </c>
      <c r="F12" s="142">
        <f>IF(Sun_W1[[#This Row],[Employee Name]]="","",IF(Sun_W1[[#This Row],[Dept]]="Supervisor",COUNTIFS($J12:$AX12,"*HL*",$J12:$AX12,"&lt;&gt;"&amp;"pHL"),COUNTIFS($J12:$AX12,"*HL*",$J12:$AX12,"&lt;&gt;"&amp;"*pHL*",$J12:$AX12,"&lt;&gt;"&amp;"pB1 HL",$J12:$AX12,"&lt;&gt;"&amp;"pB2 HL")-SUM(COUNTIFS($J12:$AX12,"*HL B1*",$J12:$AX12,"&lt;&gt;"&amp;"pHL B1")*0.5,COUNTIFS($J12:$AX12,"*HL B2*",$J12:$AX12,"&lt;&gt;"&amp;"pHL B2")*0.5,COUNTIFS($J12:$AX12,"*B1 HL*",$J12:$AX12,"&lt;&gt;"&amp;"pB1 HL")*0.5,COUNTIFS($J12:$AX12,"*B2 HL*",$J12:$AX12,"&lt;&gt;"&amp;"pB2 HL")*0.5)))</f>
        <v>11</v>
      </c>
      <c r="G12" s="142">
        <f t="shared" si="0"/>
        <v>0</v>
      </c>
      <c r="H12" s="142">
        <f t="shared" si="1"/>
        <v>2</v>
      </c>
      <c r="I12" s="142">
        <f>IF(Sun_W1[[#This Row],[Employee Name]]="","",IF(Sun_W1[[#This Row],[Dept]]="Supervisor",SUM(COUNTIFS($J12:$AX12,"RTA*",$J12:$AX12,"&lt;&gt;"&amp;"pRTA"),COUNTIFS($J12:$AX12,"*CRTA*",$J12:$AX12,"&lt;&gt;"&amp;"pCRTA")),COUNTIFS($J12:$AX12,"*RNNR*",$J12:$AX12,"&lt;&gt;"&amp;"*pRNNR*",$J12:$AX12,"&lt;&gt;"&amp;"pB1 RNNR",$J12:$AX12,"&lt;&gt;"&amp;"pB2 RNNR")-SUM(COUNTIFS($J12:$AX12,"*RNNR B1*",$J12:$AX12,"&lt;&gt;"&amp;"pRNNR B1")*0.5,COUNTIFS($J12:$AX12,"*RNNR B2*",$J12:$AX12,"&lt;&gt;"&amp;"pRNNR B2")*0.5,COUNTIFS($J12:$AX12,"*B1 RNNR*",$J12:$AX12,"&lt;&gt;"&amp;"pB1 RNNR")*0.5,COUNTIFS($J12:$AX12,"*B2 RNNR*",$J12:$AX12,"&lt;&gt;"&amp;"pB2 RNNR")*0.5)))</f>
        <v>2</v>
      </c>
      <c r="J12" s="184" t="str">
        <f>IFERROR(IF(VLOOKUP(Sun_W1[[#This Row],[Employee Name]],'Base Schedules'!$A$79:$AW$111,9,FALSE)="","",VLOOKUP(Sun_W1[[#This Row],[Employee Name]],'Base Schedules'!$A$79:$AW$111,9,FALSE)),"")</f>
        <v/>
      </c>
      <c r="K12" s="184" t="str">
        <f>IFERROR(IF(VLOOKUP(Sun_W1[[#This Row],[Employee Name]],'Base Schedules'!$A$79:$AW$111,10,FALSE)="","",VLOOKUP(Sun_W1[[#This Row],[Employee Name]],'Base Schedules'!$A$79:$AW$111,10,FALSE)),"")</f>
        <v>HL</v>
      </c>
      <c r="L12" s="184" t="str">
        <f>IFERROR(IF(VLOOKUP(Sun_W1[[#This Row],[Employee Name]],'Base Schedules'!$A$79:$AW$111,11,FALSE)="","",VLOOKUP(Sun_W1[[#This Row],[Employee Name]],'Base Schedules'!$A$79:$AW$111,11,FALSE)),"")</f>
        <v>HL</v>
      </c>
      <c r="M12" s="184" t="str">
        <f>IFERROR(IF(VLOOKUP(Sun_W1[[#This Row],[Employee Name]],'Base Schedules'!$A$79:$AW$111,12,FALSE)="","",VLOOKUP(Sun_W1[[#This Row],[Employee Name]],'Base Schedules'!$A$79:$AW$111,12,FALSE)),"")</f>
        <v>HL</v>
      </c>
      <c r="N12" s="184" t="str">
        <f>IFERROR(IF(VLOOKUP(Sun_W1[[#This Row],[Employee Name]],'Base Schedules'!$A$79:$AW$111,13,FALSE)="","",VLOOKUP(Sun_W1[[#This Row],[Employee Name]],'Base Schedules'!$A$79:$AW$111,13,FALSE)),"")</f>
        <v>HL</v>
      </c>
      <c r="O12" s="184" t="str">
        <f>IFERROR(IF(VLOOKUP(Sun_W1[[#This Row],[Employee Name]],'Base Schedules'!$A$79:$AW$111,14,FALSE)="","",VLOOKUP(Sun_W1[[#This Row],[Employee Name]],'Base Schedules'!$A$79:$AW$111,14,FALSE)),"")</f>
        <v>HL B1</v>
      </c>
      <c r="P12" s="184" t="str">
        <f>IFERROR(IF(VLOOKUP(Sun_W1[[#This Row],[Employee Name]],'Base Schedules'!$A$79:$AW$111,15,FALSE)="","",VLOOKUP(Sun_W1[[#This Row],[Employee Name]],'Base Schedules'!$A$79:$AW$111,15,FALSE)),"")</f>
        <v>ADM</v>
      </c>
      <c r="Q12" s="184" t="str">
        <f>IFERROR(IF(VLOOKUP(Sun_W1[[#This Row],[Employee Name]],'Base Schedules'!$A$79:$AW$111,16,FALSE)="","",VLOOKUP(Sun_W1[[#This Row],[Employee Name]],'Base Schedules'!$A$79:$AW$111,16,FALSE)),"")</f>
        <v>ADM</v>
      </c>
      <c r="R12" s="184" t="str">
        <f>IFERROR(IF(VLOOKUP(Sun_W1[[#This Row],[Employee Name]],'Base Schedules'!$A$79:$AW$111,17,FALSE)="","",VLOOKUP(Sun_W1[[#This Row],[Employee Name]],'Base Schedules'!$A$79:$AW$111,17,FALSE)),"")</f>
        <v>RNNR</v>
      </c>
      <c r="S12" s="184" t="str">
        <f>IFERROR(IF(VLOOKUP(Sun_W1[[#This Row],[Employee Name]],'Base Schedules'!$A$79:$AW$111,18,FALSE)="","",VLOOKUP(Sun_W1[[#This Row],[Employee Name]],'Base Schedules'!$A$79:$AW$111,18,FALSE)),"")</f>
        <v>RNNR</v>
      </c>
      <c r="T12" s="184" t="str">
        <f>IFERROR(IF(VLOOKUP(Sun_W1[[#This Row],[Employee Name]],'Base Schedules'!$A$79:$AW$111,19,FALSE)="","",VLOOKUP(Sun_W1[[#This Row],[Employee Name]],'Base Schedules'!$A$79:$AW$111,19,FALSE)),"")</f>
        <v>HL</v>
      </c>
      <c r="U12" s="184" t="str">
        <f>IFERROR(IF(VLOOKUP(Sun_W1[[#This Row],[Employee Name]],'Base Schedules'!$A$79:$AW$111,20,FALSE)="","",VLOOKUP(Sun_W1[[#This Row],[Employee Name]],'Base Schedules'!$A$79:$AW$111,20,FALSE)),"")</f>
        <v>LUNCH</v>
      </c>
      <c r="V12" s="184" t="str">
        <f>IFERROR(IF(VLOOKUP(Sun_W1[[#This Row],[Employee Name]],'Base Schedules'!$A$79:$AW$111,21,FALSE)="","",VLOOKUP(Sun_W1[[#This Row],[Employee Name]],'Base Schedules'!$A$79:$AW$111,21,FALSE)),"")</f>
        <v>LUNCH</v>
      </c>
      <c r="W12" s="184" t="str">
        <f>IFERROR(IF(VLOOKUP(Sun_W1[[#This Row],[Employee Name]],'Base Schedules'!$A$79:$AW$111,22,FALSE)="","",VLOOKUP(Sun_W1[[#This Row],[Employee Name]],'Base Schedules'!$A$79:$AW$111,22,FALSE)),"")</f>
        <v>HL</v>
      </c>
      <c r="X12" s="184" t="str">
        <f>IFERROR(IF(VLOOKUP(Sun_W1[[#This Row],[Employee Name]],'Base Schedules'!$A$79:$AW$111,23,FALSE)="","",VLOOKUP(Sun_W1[[#This Row],[Employee Name]],'Base Schedules'!$A$79:$AW$111,23,FALSE)),"")</f>
        <v>HL</v>
      </c>
      <c r="Y12" s="184" t="str">
        <f>IFERROR(IF(VLOOKUP(Sun_W1[[#This Row],[Employee Name]],'Base Schedules'!$A$79:$AW$111,24,FALSE)="","",VLOOKUP(Sun_W1[[#This Row],[Employee Name]],'Base Schedules'!$A$79:$AW$111,24,FALSE)),"")</f>
        <v>HL B2</v>
      </c>
      <c r="Z12" s="184" t="str">
        <f>IFERROR(IF(VLOOKUP(Sun_W1[[#This Row],[Employee Name]],'Base Schedules'!$A$79:$AW$111,25,FALSE)="","",VLOOKUP(Sun_W1[[#This Row],[Employee Name]],'Base Schedules'!$A$79:$AW$111,25,FALSE)),"")</f>
        <v>HL</v>
      </c>
      <c r="AA12" s="184" t="str">
        <f>IFERROR(IF(VLOOKUP(Sun_W1[[#This Row],[Employee Name]],'Base Schedules'!$A$79:$AW$111,26,FALSE)="","",VLOOKUP(Sun_W1[[#This Row],[Employee Name]],'Base Schedules'!$A$79:$AW$111,26,FALSE)),"")</f>
        <v>HL</v>
      </c>
      <c r="AB12" s="184" t="str">
        <f>IFERROR(IF(VLOOKUP(Sun_W1[[#This Row],[Employee Name]],'Base Schedules'!$A$79:$AW$111,27,FALSE)="","",VLOOKUP(Sun_W1[[#This Row],[Employee Name]],'Base Schedules'!$A$79:$AW$111,27,FALSE)),"")</f>
        <v>HL</v>
      </c>
      <c r="AC12" s="184" t="str">
        <f>IFERROR(IF(VLOOKUP(Sun_W1[[#This Row],[Employee Name]],'Base Schedules'!$A$79:$AW$111,28,FALSE)="","",VLOOKUP(Sun_W1[[#This Row],[Employee Name]],'Base Schedules'!$A$79:$AW$111,28,FALSE)),"")</f>
        <v/>
      </c>
      <c r="AD12" s="184" t="str">
        <f>IFERROR(IF(VLOOKUP(Sun_W1[[#This Row],[Employee Name]],'Base Schedules'!$A$79:$AW$111,29,FALSE)="","",VLOOKUP(Sun_W1[[#This Row],[Employee Name]],'Base Schedules'!$A$79:$AW$111,29,FALSE)),"")</f>
        <v/>
      </c>
      <c r="AE12" s="184" t="str">
        <f>IFERROR(IF(VLOOKUP(Sun_W1[[#This Row],[Employee Name]],'Base Schedules'!$A$79:$AW$111,30,FALSE)="","",VLOOKUP(Sun_W1[[#This Row],[Employee Name]],'Base Schedules'!$A$79:$AW$111,30,FALSE)),"")</f>
        <v/>
      </c>
      <c r="AF12" s="184" t="str">
        <f>IFERROR(IF(VLOOKUP(Sun_W1[[#This Row],[Employee Name]],'Base Schedules'!$A$79:$AW$111,31,FALSE)="","",VLOOKUP(Sun_W1[[#This Row],[Employee Name]],'Base Schedules'!$A$79:$AW$111,31,FALSE)),"")</f>
        <v/>
      </c>
      <c r="AG12" s="184" t="str">
        <f>IFERROR(IF(VLOOKUP(Sun_W1[[#This Row],[Employee Name]],'Base Schedules'!$A$79:$AW$111,32,FALSE)="","",VLOOKUP(Sun_W1[[#This Row],[Employee Name]],'Base Schedules'!$A$79:$AW$111,32,FALSE)),"")</f>
        <v/>
      </c>
      <c r="AH12" s="184" t="str">
        <f>IFERROR(IF(VLOOKUP(Sun_W1[[#This Row],[Employee Name]],'Base Schedules'!$A$79:$AW$111,33,FALSE)="","",VLOOKUP(Sun_W1[[#This Row],[Employee Name]],'Base Schedules'!$A$79:$AW$111,33,FALSE)),"")</f>
        <v/>
      </c>
      <c r="AI12" s="184" t="str">
        <f>IFERROR(IF(VLOOKUP(Sun_W1[[#This Row],[Employee Name]],'Base Schedules'!$A$79:$AW$111,34,FALSE)="","",VLOOKUP(Sun_W1[[#This Row],[Employee Name]],'Base Schedules'!$A$79:$AW$111,34,FALSE)),"")</f>
        <v/>
      </c>
      <c r="AJ12" s="184" t="str">
        <f>IFERROR(IF(VLOOKUP(Sun_W1[[#This Row],[Employee Name]],'Base Schedules'!$A$79:$AW$111,35,FALSE)="","",VLOOKUP(Sun_W1[[#This Row],[Employee Name]],'Base Schedules'!$A$79:$AW$111,35,FALSE)),"")</f>
        <v/>
      </c>
      <c r="AK12" s="184" t="str">
        <f>IFERROR(IF(VLOOKUP(Sun_W1[[#This Row],[Employee Name]],'Base Schedules'!$A$79:$AW$111,36,FALSE)="","",VLOOKUP(Sun_W1[[#This Row],[Employee Name]],'Base Schedules'!$A$79:$AW$111,36,FALSE)),"")</f>
        <v/>
      </c>
      <c r="AL12" s="184" t="str">
        <f>IFERROR(IF(VLOOKUP(Sun_W1[[#This Row],[Employee Name]],'Base Schedules'!$A$79:$AW$111,37,FALSE)="","",VLOOKUP(Sun_W1[[#This Row],[Employee Name]],'Base Schedules'!$A$79:$AW$111,37,FALSE)),"")</f>
        <v/>
      </c>
      <c r="AM12" s="184" t="str">
        <f>IFERROR(IF(VLOOKUP(Sun_W1[[#This Row],[Employee Name]],'Base Schedules'!$A$79:$AW$111,38,FALSE)="","",VLOOKUP(Sun_W1[[#This Row],[Employee Name]],'Base Schedules'!$A$79:$AW$111,38,FALSE)),"")</f>
        <v/>
      </c>
      <c r="AN12" s="184" t="str">
        <f>IFERROR(IF(VLOOKUP(Sun_W1[[#This Row],[Employee Name]],'Base Schedules'!$A$79:$AW$111,39,FALSE)="","",VLOOKUP(Sun_W1[[#This Row],[Employee Name]],'Base Schedules'!$A$79:$AW$111,39,FALSE)),"")</f>
        <v/>
      </c>
      <c r="AO12" s="184" t="str">
        <f>IFERROR(IF(VLOOKUP(Sun_W1[[#This Row],[Employee Name]],'Base Schedules'!$A$79:$AW$111,40,FALSE)="","",VLOOKUP(Sun_W1[[#This Row],[Employee Name]],'Base Schedules'!$A$79:$AW$111,40,FALSE)),"")</f>
        <v/>
      </c>
      <c r="AP12" s="184" t="str">
        <f>IFERROR(IF(VLOOKUP(Sun_W1[[#This Row],[Employee Name]],'Base Schedules'!$A$79:$AW$111,41,FALSE)="","",VLOOKUP(Sun_W1[[#This Row],[Employee Name]],'Base Schedules'!$A$79:$AW$111,41,FALSE)),"")</f>
        <v/>
      </c>
      <c r="AQ12" s="184" t="str">
        <f>IFERROR(IF(VLOOKUP(Sun_W1[[#This Row],[Employee Name]],'Base Schedules'!$A$79:$AW$111,42,FALSE)="","",VLOOKUP(Sun_W1[[#This Row],[Employee Name]],'Base Schedules'!$A$79:$AW$111,42,FALSE)),"")</f>
        <v/>
      </c>
      <c r="AR12" s="184" t="str">
        <f>IFERROR(IF(VLOOKUP(Sun_W1[[#This Row],[Employee Name]],'Base Schedules'!$A$79:$AW$111,43,FALSE)="","",VLOOKUP(Sun_W1[[#This Row],[Employee Name]],'Base Schedules'!$A$79:$AW$111,43,FALSE)),"")</f>
        <v/>
      </c>
      <c r="AS12" s="184" t="str">
        <f>IFERROR(IF(VLOOKUP(Sun_W1[[#This Row],[Employee Name]],'Base Schedules'!$A$79:$AW$111,44,FALSE)="","",VLOOKUP(Sun_W1[[#This Row],[Employee Name]],'Base Schedules'!$A$79:$AW$111,44,FALSE)),"")</f>
        <v/>
      </c>
      <c r="AT12" s="184" t="str">
        <f>IFERROR(IF(VLOOKUP(Sun_W1[[#This Row],[Employee Name]],'Base Schedules'!$A$79:$AW$111,45,FALSE)="","",VLOOKUP(Sun_W1[[#This Row],[Employee Name]],'Base Schedules'!$A$79:$AW$111,45,FALSE)),"")</f>
        <v/>
      </c>
      <c r="AU12" s="184" t="str">
        <f>IFERROR(IF(VLOOKUP(Sun_W1[[#This Row],[Employee Name]],'Base Schedules'!$A$79:$AW$111,46,FALSE)="","",VLOOKUP(Sun_W1[[#This Row],[Employee Name]],'Base Schedules'!$A$79:$AW$111,46,FALSE)),"")</f>
        <v/>
      </c>
      <c r="AV12" s="184" t="str">
        <f>IFERROR(IF(VLOOKUP(Sun_W1[[#This Row],[Employee Name]],'Base Schedules'!$A$79:$AW$111,47,FALSE)="","",VLOOKUP(Sun_W1[[#This Row],[Employee Name]],'Base Schedules'!$A$79:$AW$111,47,FALSE)),"")</f>
        <v/>
      </c>
      <c r="AW12" s="184" t="str">
        <f>IFERROR(IF(VLOOKUP(Sun_W1[[#This Row],[Employee Name]],'Base Schedules'!$A$79:$AW$111,48,FALSE)="","",VLOOKUP(Sun_W1[[#This Row],[Employee Name]],'Base Schedules'!$A$79:$AW$111,48,FALSE)),"")</f>
        <v/>
      </c>
      <c r="AX12" s="184" t="str">
        <f>IFERROR(IF(VLOOKUP(Sun_W1[[#This Row],[Employee Name]],'Base Schedules'!$A$79:$AW$111,49,FALSE)="","",VLOOKUP(Sun_W1[[#This Row],[Employee Name]],'Base Schedules'!$A$79:$AW$111,49,FALSE)),"")</f>
        <v/>
      </c>
      <c r="AY12" s="159" t="str">
        <f t="shared" si="2"/>
        <v>Suarez, Alyssa</v>
      </c>
    </row>
    <row r="13" spans="1:51" s="44" customFormat="1" ht="12" x14ac:dyDescent="0.2">
      <c r="A13" s="201"/>
      <c r="B13" s="201" t="s">
        <v>369</v>
      </c>
      <c r="C13" s="257" t="str">
        <f>_xlfn.IFNA(VLOOKUP(Sun_W1[[#This Row],[Employee Name]],'Base Schedules'!A:B,2,FALSE),"")</f>
        <v>Supervisor</v>
      </c>
      <c r="D13" s="274">
        <f>_xlfn.IFNA(VLOOKUP(Sun_W1[[#This Row],[Employee Name]],'Base Schedules'!A:C,3,FALSE),"")</f>
        <v>600</v>
      </c>
      <c r="E13" s="274">
        <f>_xlfn.IFNA(VLOOKUP(Sun_W1[[#This Row],[Employee Name]],'Base Schedules'!A:D,4,FALSE),"")</f>
        <v>1500</v>
      </c>
      <c r="F13" s="142">
        <f>IF(Sun_W1[[#This Row],[Employee Name]]="","",IF(Sun_W1[[#This Row],[Dept]]="Supervisor",COUNTIFS($J13:$AX13,"*HL*",$J13:$AX13,"&lt;&gt;"&amp;"pHL"),COUNTIFS($J13:$AX13,"*HL*",$J13:$AX13,"&lt;&gt;"&amp;"*pHL*",$J13:$AX13,"&lt;&gt;"&amp;"pB1 HL",$J13:$AX13,"&lt;&gt;"&amp;"pB2 HL")-SUM(COUNTIFS($J13:$AX13,"*HL B1*",$J13:$AX13,"&lt;&gt;"&amp;"pHL B1")*0.5,COUNTIFS($J13:$AX13,"*HL B2*",$J13:$AX13,"&lt;&gt;"&amp;"pHL B2")*0.5,COUNTIFS($J13:$AX13,"*B1 HL*",$J13:$AX13,"&lt;&gt;"&amp;"pB1 HL")*0.5,COUNTIFS($J13:$AX13,"*B2 HL*",$J13:$AX13,"&lt;&gt;"&amp;"pB2 HL")*0.5)))</f>
        <v>0</v>
      </c>
      <c r="G13" s="142">
        <f t="shared" si="0"/>
        <v>4</v>
      </c>
      <c r="H13" s="142">
        <f t="shared" si="1"/>
        <v>0</v>
      </c>
      <c r="I13" s="142">
        <f>IF(Sun_W1[[#This Row],[Employee Name]]="","",IF(Sun_W1[[#This Row],[Dept]]="Supervisor",SUM(COUNTIFS($J13:$AX13,"RTA*",$J13:$AX13,"&lt;&gt;"&amp;"pRTA"),COUNTIFS($J13:$AX13,"*CRTA*",$J13:$AX13,"&lt;&gt;"&amp;"pCRTA")),COUNTIFS($J13:$AX13,"*RNNR*",$J13:$AX13,"&lt;&gt;"&amp;"*pRNNR*",$J13:$AX13,"&lt;&gt;"&amp;"pB1 RNNR",$J13:$AX13,"&lt;&gt;"&amp;"pB2 RNNR")-SUM(COUNTIFS($J13:$AX13,"*RNNR B1*",$J13:$AX13,"&lt;&gt;"&amp;"pRNNR B1")*0.5,COUNTIFS($J13:$AX13,"*RNNR B2*",$J13:$AX13,"&lt;&gt;"&amp;"pRNNR B2")*0.5,COUNTIFS($J13:$AX13,"*B1 RNNR*",$J13:$AX13,"&lt;&gt;"&amp;"pB1 RNNR")*0.5,COUNTIFS($J13:$AX13,"*B2 RNNR*",$J13:$AX13,"&lt;&gt;"&amp;"pB2 RNNR")*0.5)))</f>
        <v>0</v>
      </c>
      <c r="J13" s="184" t="str">
        <f>IFERROR(IF(VLOOKUP(Sun_W1[[#This Row],[Employee Name]],'Base Schedules'!$A$79:$AW$111,9,FALSE)="","",VLOOKUP(Sun_W1[[#This Row],[Employee Name]],'Base Schedules'!$A$79:$AW$111,9,FALSE)),"")</f>
        <v/>
      </c>
      <c r="K13" s="184" t="str">
        <f>IFERROR(IF(VLOOKUP(Sun_W1[[#This Row],[Employee Name]],'Base Schedules'!$A$79:$AW$111,10,FALSE)="","",VLOOKUP(Sun_W1[[#This Row],[Employee Name]],'Base Schedules'!$A$79:$AW$111,10,FALSE)),"")</f>
        <v/>
      </c>
      <c r="L13" s="184" t="str">
        <f>IFERROR(IF(VLOOKUP(Sun_W1[[#This Row],[Employee Name]],'Base Schedules'!$A$79:$AW$111,11,FALSE)="","",VLOOKUP(Sun_W1[[#This Row],[Employee Name]],'Base Schedules'!$A$79:$AW$111,11,FALSE)),"")</f>
        <v>-</v>
      </c>
      <c r="M13" s="184" t="str">
        <f>IFERROR(IF(VLOOKUP(Sun_W1[[#This Row],[Employee Name]],'Base Schedules'!$A$79:$AW$111,12,FALSE)="","",VLOOKUP(Sun_W1[[#This Row],[Employee Name]],'Base Schedules'!$A$79:$AW$111,12,FALSE)),"")</f>
        <v>-</v>
      </c>
      <c r="N13" s="184" t="str">
        <f>IFERROR(IF(VLOOKUP(Sun_W1[[#This Row],[Employee Name]],'Base Schedules'!$A$79:$AW$111,13,FALSE)="","",VLOOKUP(Sun_W1[[#This Row],[Employee Name]],'Base Schedules'!$A$79:$AW$111,13,FALSE)),"")</f>
        <v>-</v>
      </c>
      <c r="O13" s="184" t="str">
        <f>IFERROR(IF(VLOOKUP(Sun_W1[[#This Row],[Employee Name]],'Base Schedules'!$A$79:$AW$111,14,FALSE)="","",VLOOKUP(Sun_W1[[#This Row],[Employee Name]],'Base Schedules'!$A$79:$AW$111,14,FALSE)),"")</f>
        <v>-</v>
      </c>
      <c r="P13" s="184" t="str">
        <f>IFERROR(IF(VLOOKUP(Sun_W1[[#This Row],[Employee Name]],'Base Schedules'!$A$79:$AW$111,15,FALSE)="","",VLOOKUP(Sun_W1[[#This Row],[Employee Name]],'Base Schedules'!$A$79:$AW$111,15,FALSE)),"")</f>
        <v>-</v>
      </c>
      <c r="Q13" s="184" t="str">
        <f>IFERROR(IF(VLOOKUP(Sun_W1[[#This Row],[Employee Name]],'Base Schedules'!$A$79:$AW$111,16,FALSE)="","",VLOOKUP(Sun_W1[[#This Row],[Employee Name]],'Base Schedules'!$A$79:$AW$111,16,FALSE)),"")</f>
        <v>-</v>
      </c>
      <c r="R13" s="184" t="str">
        <f>IFERROR(IF(VLOOKUP(Sun_W1[[#This Row],[Employee Name]],'Base Schedules'!$A$79:$AW$111,17,FALSE)="","",VLOOKUP(Sun_W1[[#This Row],[Employee Name]],'Base Schedules'!$A$79:$AW$111,17,FALSE)),"")</f>
        <v>-</v>
      </c>
      <c r="S13" s="184" t="str">
        <f>IFERROR(IF(VLOOKUP(Sun_W1[[#This Row],[Employee Name]],'Base Schedules'!$A$79:$AW$111,18,FALSE)="","",VLOOKUP(Sun_W1[[#This Row],[Employee Name]],'Base Schedules'!$A$79:$AW$111,18,FALSE)),"")</f>
        <v>-</v>
      </c>
      <c r="T13" s="184" t="str">
        <f>IFERROR(IF(VLOOKUP(Sun_W1[[#This Row],[Employee Name]],'Base Schedules'!$A$79:$AW$111,19,FALSE)="","",VLOOKUP(Sun_W1[[#This Row],[Employee Name]],'Base Schedules'!$A$79:$AW$111,19,FALSE)),"")</f>
        <v>-</v>
      </c>
      <c r="U13" s="184" t="str">
        <f>IFERROR(IF(VLOOKUP(Sun_W1[[#This Row],[Employee Name]],'Base Schedules'!$A$79:$AW$111,20,FALSE)="","",VLOOKUP(Sun_W1[[#This Row],[Employee Name]],'Base Schedules'!$A$79:$AW$111,20,FALSE)),"")</f>
        <v>TM PREP</v>
      </c>
      <c r="V13" s="184" t="str">
        <f>IFERROR(IF(VLOOKUP(Sun_W1[[#This Row],[Employee Name]],'Base Schedules'!$A$79:$AW$111,21,FALSE)="","",VLOOKUP(Sun_W1[[#This Row],[Employee Name]],'Base Schedules'!$A$79:$AW$111,21,FALSE)),"")</f>
        <v>MADAMBA TM</v>
      </c>
      <c r="W13" s="184" t="str">
        <f>IFERROR(IF(VLOOKUP(Sun_W1[[#This Row],[Employee Name]],'Base Schedules'!$A$79:$AW$111,22,FALSE)="","",VLOOKUP(Sun_W1[[#This Row],[Employee Name]],'Base Schedules'!$A$79:$AW$111,22,FALSE)),"")</f>
        <v>MADAMBA TM</v>
      </c>
      <c r="X13" s="184" t="str">
        <f>IFERROR(IF(VLOOKUP(Sun_W1[[#This Row],[Employee Name]],'Base Schedules'!$A$79:$AW$111,23,FALSE)="","",VLOOKUP(Sun_W1[[#This Row],[Employee Name]],'Base Schedules'!$A$79:$AW$111,23,FALSE)),"")</f>
        <v>-</v>
      </c>
      <c r="Y13" s="184" t="str">
        <f>IFERROR(IF(VLOOKUP(Sun_W1[[#This Row],[Employee Name]],'Base Schedules'!$A$79:$AW$111,24,FALSE)="","",VLOOKUP(Sun_W1[[#This Row],[Employee Name]],'Base Schedules'!$A$79:$AW$111,24,FALSE)),"")</f>
        <v>-</v>
      </c>
      <c r="Z13" s="184" t="str">
        <f>IFERROR(IF(VLOOKUP(Sun_W1[[#This Row],[Employee Name]],'Base Schedules'!$A$79:$AW$111,25,FALSE)="","",VLOOKUP(Sun_W1[[#This Row],[Employee Name]],'Base Schedules'!$A$79:$AW$111,25,FALSE)),"")</f>
        <v>Coaching</v>
      </c>
      <c r="AA13" s="184" t="str">
        <f>IFERROR(IF(VLOOKUP(Sun_W1[[#This Row],[Employee Name]],'Base Schedules'!$A$79:$AW$111,26,FALSE)="","",VLOOKUP(Sun_W1[[#This Row],[Employee Name]],'Base Schedules'!$A$79:$AW$111,26,FALSE)),"")</f>
        <v>Coaching</v>
      </c>
      <c r="AB13" s="184" t="str">
        <f>IFERROR(IF(VLOOKUP(Sun_W1[[#This Row],[Employee Name]],'Base Schedules'!$A$79:$AW$111,27,FALSE)="","",VLOOKUP(Sun_W1[[#This Row],[Employee Name]],'Base Schedules'!$A$79:$AW$111,27,FALSE)),"")</f>
        <v>Coaching</v>
      </c>
      <c r="AC13" s="184" t="str">
        <f>IFERROR(IF(VLOOKUP(Sun_W1[[#This Row],[Employee Name]],'Base Schedules'!$A$79:$AW$111,28,FALSE)="","",VLOOKUP(Sun_W1[[#This Row],[Employee Name]],'Base Schedules'!$A$79:$AW$111,28,FALSE)),"")</f>
        <v>Coaching</v>
      </c>
      <c r="AD13" s="184" t="str">
        <f>IFERROR(IF(VLOOKUP(Sun_W1[[#This Row],[Employee Name]],'Base Schedules'!$A$79:$AW$111,29,FALSE)="","",VLOOKUP(Sun_W1[[#This Row],[Employee Name]],'Base Schedules'!$A$79:$AW$111,29,FALSE)),"")</f>
        <v/>
      </c>
      <c r="AE13" s="184" t="str">
        <f>IFERROR(IF(VLOOKUP(Sun_W1[[#This Row],[Employee Name]],'Base Schedules'!$A$79:$AW$111,30,FALSE)="","",VLOOKUP(Sun_W1[[#This Row],[Employee Name]],'Base Schedules'!$A$79:$AW$111,30,FALSE)),"")</f>
        <v/>
      </c>
      <c r="AF13" s="184" t="str">
        <f>IFERROR(IF(VLOOKUP(Sun_W1[[#This Row],[Employee Name]],'Base Schedules'!$A$79:$AW$111,31,FALSE)="","",VLOOKUP(Sun_W1[[#This Row],[Employee Name]],'Base Schedules'!$A$79:$AW$111,31,FALSE)),"")</f>
        <v/>
      </c>
      <c r="AG13" s="184" t="str">
        <f>IFERROR(IF(VLOOKUP(Sun_W1[[#This Row],[Employee Name]],'Base Schedules'!$A$79:$AW$111,32,FALSE)="","",VLOOKUP(Sun_W1[[#This Row],[Employee Name]],'Base Schedules'!$A$79:$AW$111,32,FALSE)),"")</f>
        <v/>
      </c>
      <c r="AH13" s="184" t="str">
        <f>IFERROR(IF(VLOOKUP(Sun_W1[[#This Row],[Employee Name]],'Base Schedules'!$A$79:$AW$111,33,FALSE)="","",VLOOKUP(Sun_W1[[#This Row],[Employee Name]],'Base Schedules'!$A$79:$AW$111,33,FALSE)),"")</f>
        <v/>
      </c>
      <c r="AI13" s="184" t="str">
        <f>IFERROR(IF(VLOOKUP(Sun_W1[[#This Row],[Employee Name]],'Base Schedules'!$A$79:$AW$111,34,FALSE)="","",VLOOKUP(Sun_W1[[#This Row],[Employee Name]],'Base Schedules'!$A$79:$AW$111,34,FALSE)),"")</f>
        <v/>
      </c>
      <c r="AJ13" s="184" t="str">
        <f>IFERROR(IF(VLOOKUP(Sun_W1[[#This Row],[Employee Name]],'Base Schedules'!$A$79:$AW$111,35,FALSE)="","",VLOOKUP(Sun_W1[[#This Row],[Employee Name]],'Base Schedules'!$A$79:$AW$111,35,FALSE)),"")</f>
        <v/>
      </c>
      <c r="AK13" s="184" t="str">
        <f>IFERROR(IF(VLOOKUP(Sun_W1[[#This Row],[Employee Name]],'Base Schedules'!$A$79:$AW$111,36,FALSE)="","",VLOOKUP(Sun_W1[[#This Row],[Employee Name]],'Base Schedules'!$A$79:$AW$111,36,FALSE)),"")</f>
        <v/>
      </c>
      <c r="AL13" s="184" t="str">
        <f>IFERROR(IF(VLOOKUP(Sun_W1[[#This Row],[Employee Name]],'Base Schedules'!$A$79:$AW$111,37,FALSE)="","",VLOOKUP(Sun_W1[[#This Row],[Employee Name]],'Base Schedules'!$A$79:$AW$111,37,FALSE)),"")</f>
        <v/>
      </c>
      <c r="AM13" s="184" t="str">
        <f>IFERROR(IF(VLOOKUP(Sun_W1[[#This Row],[Employee Name]],'Base Schedules'!$A$79:$AW$111,38,FALSE)="","",VLOOKUP(Sun_W1[[#This Row],[Employee Name]],'Base Schedules'!$A$79:$AW$111,38,FALSE)),"")</f>
        <v/>
      </c>
      <c r="AN13" s="184" t="str">
        <f>IFERROR(IF(VLOOKUP(Sun_W1[[#This Row],[Employee Name]],'Base Schedules'!$A$79:$AW$111,39,FALSE)="","",VLOOKUP(Sun_W1[[#This Row],[Employee Name]],'Base Schedules'!$A$79:$AW$111,39,FALSE)),"")</f>
        <v/>
      </c>
      <c r="AO13" s="184" t="str">
        <f>IFERROR(IF(VLOOKUP(Sun_W1[[#This Row],[Employee Name]],'Base Schedules'!$A$79:$AW$111,40,FALSE)="","",VLOOKUP(Sun_W1[[#This Row],[Employee Name]],'Base Schedules'!$A$79:$AW$111,40,FALSE)),"")</f>
        <v/>
      </c>
      <c r="AP13" s="184" t="str">
        <f>IFERROR(IF(VLOOKUP(Sun_W1[[#This Row],[Employee Name]],'Base Schedules'!$A$79:$AW$111,41,FALSE)="","",VLOOKUP(Sun_W1[[#This Row],[Employee Name]],'Base Schedules'!$A$79:$AW$111,41,FALSE)),"")</f>
        <v/>
      </c>
      <c r="AQ13" s="184" t="str">
        <f>IFERROR(IF(VLOOKUP(Sun_W1[[#This Row],[Employee Name]],'Base Schedules'!$A$79:$AW$111,42,FALSE)="","",VLOOKUP(Sun_W1[[#This Row],[Employee Name]],'Base Schedules'!$A$79:$AW$111,42,FALSE)),"")</f>
        <v/>
      </c>
      <c r="AR13" s="184" t="str">
        <f>IFERROR(IF(VLOOKUP(Sun_W1[[#This Row],[Employee Name]],'Base Schedules'!$A$79:$AW$111,43,FALSE)="","",VLOOKUP(Sun_W1[[#This Row],[Employee Name]],'Base Schedules'!$A$79:$AW$111,43,FALSE)),"")</f>
        <v/>
      </c>
      <c r="AS13" s="184" t="str">
        <f>IFERROR(IF(VLOOKUP(Sun_W1[[#This Row],[Employee Name]],'Base Schedules'!$A$79:$AW$111,44,FALSE)="","",VLOOKUP(Sun_W1[[#This Row],[Employee Name]],'Base Schedules'!$A$79:$AW$111,44,FALSE)),"")</f>
        <v/>
      </c>
      <c r="AT13" s="184" t="str">
        <f>IFERROR(IF(VLOOKUP(Sun_W1[[#This Row],[Employee Name]],'Base Schedules'!$A$79:$AW$111,45,FALSE)="","",VLOOKUP(Sun_W1[[#This Row],[Employee Name]],'Base Schedules'!$A$79:$AW$111,45,FALSE)),"")</f>
        <v/>
      </c>
      <c r="AU13" s="184" t="str">
        <f>IFERROR(IF(VLOOKUP(Sun_W1[[#This Row],[Employee Name]],'Base Schedules'!$A$79:$AW$111,46,FALSE)="","",VLOOKUP(Sun_W1[[#This Row],[Employee Name]],'Base Schedules'!$A$79:$AW$111,46,FALSE)),"")</f>
        <v/>
      </c>
      <c r="AV13" s="184" t="str">
        <f>IFERROR(IF(VLOOKUP(Sun_W1[[#This Row],[Employee Name]],'Base Schedules'!$A$79:$AW$111,47,FALSE)="","",VLOOKUP(Sun_W1[[#This Row],[Employee Name]],'Base Schedules'!$A$79:$AW$111,47,FALSE)),"")</f>
        <v/>
      </c>
      <c r="AW13" s="184" t="str">
        <f>IFERROR(IF(VLOOKUP(Sun_W1[[#This Row],[Employee Name]],'Base Schedules'!$A$79:$AW$111,48,FALSE)="","",VLOOKUP(Sun_W1[[#This Row],[Employee Name]],'Base Schedules'!$A$79:$AW$111,48,FALSE)),"")</f>
        <v/>
      </c>
      <c r="AX13" s="184" t="str">
        <f>IFERROR(IF(VLOOKUP(Sun_W1[[#This Row],[Employee Name]],'Base Schedules'!$A$79:$AW$111,49,FALSE)="","",VLOOKUP(Sun_W1[[#This Row],[Employee Name]],'Base Schedules'!$A$79:$AW$111,49,FALSE)),"")</f>
        <v/>
      </c>
      <c r="AY13" s="159" t="str">
        <f t="shared" si="2"/>
        <v>Madamba, Rocky</v>
      </c>
    </row>
    <row r="14" spans="1:51" s="44" customFormat="1" ht="12" x14ac:dyDescent="0.2">
      <c r="A14" s="201"/>
      <c r="B14" s="201" t="s">
        <v>34</v>
      </c>
      <c r="C14" s="257" t="str">
        <f>_xlfn.IFNA(VLOOKUP(Sun_W1[[#This Row],[Employee Name]],'Base Schedules'!A:B,2,FALSE),"")</f>
        <v>Lead</v>
      </c>
      <c r="D14" s="274">
        <f>_xlfn.IFNA(VLOOKUP(Sun_W1[[#This Row],[Employee Name]],'Base Schedules'!A:C,3,FALSE),"")</f>
        <v>630</v>
      </c>
      <c r="E14" s="274">
        <f>_xlfn.IFNA(VLOOKUP(Sun_W1[[#This Row],[Employee Name]],'Base Schedules'!A:D,4,FALSE),"")</f>
        <v>1500</v>
      </c>
      <c r="F14" s="142">
        <f>IF(Sun_W1[[#This Row],[Employee Name]]="","",IF(Sun_W1[[#This Row],[Dept]]="Supervisor",COUNTIFS($J14:$AX14,"*HL*",$J14:$AX14,"&lt;&gt;"&amp;"pHL"),COUNTIFS($J14:$AX14,"*HL*",$J14:$AX14,"&lt;&gt;"&amp;"*pHL*",$J14:$AX14,"&lt;&gt;"&amp;"pB1 HL",$J14:$AX14,"&lt;&gt;"&amp;"pB2 HL")-SUM(COUNTIFS($J14:$AX14,"*HL B1*",$J14:$AX14,"&lt;&gt;"&amp;"pHL B1")*0.5,COUNTIFS($J14:$AX14,"*HL B2*",$J14:$AX14,"&lt;&gt;"&amp;"pHL B2")*0.5,COUNTIFS($J14:$AX14,"*B1 HL*",$J14:$AX14,"&lt;&gt;"&amp;"pB1 HL")*0.5,COUNTIFS($J14:$AX14,"*B2 HL*",$J14:$AX14,"&lt;&gt;"&amp;"pB2 HL")*0.5)))</f>
        <v>7.5</v>
      </c>
      <c r="G14" s="142">
        <f t="shared" si="0"/>
        <v>0</v>
      </c>
      <c r="H14" s="142">
        <f t="shared" si="1"/>
        <v>6</v>
      </c>
      <c r="I14" s="142">
        <f>IF(Sun_W1[[#This Row],[Employee Name]]="","",IF(Sun_W1[[#This Row],[Dept]]="Supervisor",SUM(COUNTIFS($J14:$AX14,"RTA*",$J14:$AX14,"&lt;&gt;"&amp;"pRTA"),COUNTIFS($J14:$AX14,"*CRTA*",$J14:$AX14,"&lt;&gt;"&amp;"pCRTA")),COUNTIFS($J14:$AX14,"*RNNR*",$J14:$AX14,"&lt;&gt;"&amp;"*pRNNR*",$J14:$AX14,"&lt;&gt;"&amp;"pB1 RNNR",$J14:$AX14,"&lt;&gt;"&amp;"pB2 RNNR")-SUM(COUNTIFS($J14:$AX14,"*RNNR B1*",$J14:$AX14,"&lt;&gt;"&amp;"pRNNR B1")*0.5,COUNTIFS($J14:$AX14,"*RNNR B2*",$J14:$AX14,"&lt;&gt;"&amp;"pRNNR B2")*0.5,COUNTIFS($J14:$AX14,"*B1 RNNR*",$J14:$AX14,"&lt;&gt;"&amp;"pB1 RNNR")*0.5,COUNTIFS($J14:$AX14,"*B2 RNNR*",$J14:$AX14,"&lt;&gt;"&amp;"pB2 RNNR")*0.5)))</f>
        <v>2</v>
      </c>
      <c r="J14" s="184" t="str">
        <f>IFERROR(IF(VLOOKUP(Sun_W1[[#This Row],[Employee Name]],'Base Schedules'!$A$79:$AW$111,9,FALSE)="","",VLOOKUP(Sun_W1[[#This Row],[Employee Name]],'Base Schedules'!$A$79:$AW$111,9,FALSE)),"")</f>
        <v/>
      </c>
      <c r="K14" s="184" t="str">
        <f>IFERROR(IF(VLOOKUP(Sun_W1[[#This Row],[Employee Name]],'Base Schedules'!$A$79:$AW$111,10,FALSE)="","",VLOOKUP(Sun_W1[[#This Row],[Employee Name]],'Base Schedules'!$A$79:$AW$111,10,FALSE)),"")</f>
        <v/>
      </c>
      <c r="L14" s="184" t="str">
        <f>IFERROR(IF(VLOOKUP(Sun_W1[[#This Row],[Employee Name]],'Base Schedules'!$A$79:$AW$111,11,FALSE)="","",VLOOKUP(Sun_W1[[#This Row],[Employee Name]],'Base Schedules'!$A$79:$AW$111,11,FALSE)),"")</f>
        <v/>
      </c>
      <c r="M14" s="184" t="str">
        <f>IFERROR(IF(VLOOKUP(Sun_W1[[#This Row],[Employee Name]],'Base Schedules'!$A$79:$AW$111,12,FALSE)="","",VLOOKUP(Sun_W1[[#This Row],[Employee Name]],'Base Schedules'!$A$79:$AW$111,12,FALSE)),"")</f>
        <v>HL</v>
      </c>
      <c r="N14" s="184" t="str">
        <f>IFERROR(IF(VLOOKUP(Sun_W1[[#This Row],[Employee Name]],'Base Schedules'!$A$79:$AW$111,13,FALSE)="","",VLOOKUP(Sun_W1[[#This Row],[Employee Name]],'Base Schedules'!$A$79:$AW$111,13,FALSE)),"")</f>
        <v>HL</v>
      </c>
      <c r="O14" s="184" t="str">
        <f>IFERROR(IF(VLOOKUP(Sun_W1[[#This Row],[Employee Name]],'Base Schedules'!$A$79:$AW$111,14,FALSE)="","",VLOOKUP(Sun_W1[[#This Row],[Employee Name]],'Base Schedules'!$A$79:$AW$111,14,FALSE)),"")</f>
        <v>ADM</v>
      </c>
      <c r="P14" s="184" t="str">
        <f>IFERROR(IF(VLOOKUP(Sun_W1[[#This Row],[Employee Name]],'Base Schedules'!$A$79:$AW$111,15,FALSE)="","",VLOOKUP(Sun_W1[[#This Row],[Employee Name]],'Base Schedules'!$A$79:$AW$111,15,FALSE)),"")</f>
        <v>ADM</v>
      </c>
      <c r="Q14" s="184" t="str">
        <f>IFERROR(IF(VLOOKUP(Sun_W1[[#This Row],[Employee Name]],'Base Schedules'!$A$79:$AW$111,16,FALSE)="","",VLOOKUP(Sun_W1[[#This Row],[Employee Name]],'Base Schedules'!$A$79:$AW$111,16,FALSE)),"")</f>
        <v>HL B1</v>
      </c>
      <c r="R14" s="184" t="str">
        <f>IFERROR(IF(VLOOKUP(Sun_W1[[#This Row],[Employee Name]],'Base Schedules'!$A$79:$AW$111,17,FALSE)="","",VLOOKUP(Sun_W1[[#This Row],[Employee Name]],'Base Schedules'!$A$79:$AW$111,17,FALSE)),"")</f>
        <v>HL</v>
      </c>
      <c r="S14" s="184" t="str">
        <f>IFERROR(IF(VLOOKUP(Sun_W1[[#This Row],[Employee Name]],'Base Schedules'!$A$79:$AW$111,18,FALSE)="","",VLOOKUP(Sun_W1[[#This Row],[Employee Name]],'Base Schedules'!$A$79:$AW$111,18,FALSE)),"")</f>
        <v>HL</v>
      </c>
      <c r="T14" s="184" t="str">
        <f>IFERROR(IF(VLOOKUP(Sun_W1[[#This Row],[Employee Name]],'Base Schedules'!$A$79:$AW$111,19,FALSE)="","",VLOOKUP(Sun_W1[[#This Row],[Employee Name]],'Base Schedules'!$A$79:$AW$111,19,FALSE)),"")</f>
        <v>RNNR</v>
      </c>
      <c r="U14" s="184" t="str">
        <f>IFERROR(IF(VLOOKUP(Sun_W1[[#This Row],[Employee Name]],'Base Schedules'!$A$79:$AW$111,20,FALSE)="","",VLOOKUP(Sun_W1[[#This Row],[Employee Name]],'Base Schedules'!$A$79:$AW$111,20,FALSE)),"")</f>
        <v>RNNR</v>
      </c>
      <c r="V14" s="184" t="str">
        <f>IFERROR(IF(VLOOKUP(Sun_W1[[#This Row],[Employee Name]],'Base Schedules'!$A$79:$AW$111,21,FALSE)="","",VLOOKUP(Sun_W1[[#This Row],[Employee Name]],'Base Schedules'!$A$79:$AW$111,21,FALSE)),"")</f>
        <v>LUNCH</v>
      </c>
      <c r="W14" s="184" t="str">
        <f>IFERROR(IF(VLOOKUP(Sun_W1[[#This Row],[Employee Name]],'Base Schedules'!$A$79:$AW$111,22,FALSE)="","",VLOOKUP(Sun_W1[[#This Row],[Employee Name]],'Base Schedules'!$A$79:$AW$111,22,FALSE)),"")</f>
        <v>ADM</v>
      </c>
      <c r="X14" s="184" t="str">
        <f>IFERROR(IF(VLOOKUP(Sun_W1[[#This Row],[Employee Name]],'Base Schedules'!$A$79:$AW$111,23,FALSE)="","",VLOOKUP(Sun_W1[[#This Row],[Employee Name]],'Base Schedules'!$A$79:$AW$111,23,FALSE)),"")</f>
        <v>ADM</v>
      </c>
      <c r="Y14" s="184" t="str">
        <f>IFERROR(IF(VLOOKUP(Sun_W1[[#This Row],[Employee Name]],'Base Schedules'!$A$79:$AW$111,24,FALSE)="","",VLOOKUP(Sun_W1[[#This Row],[Employee Name]],'Base Schedules'!$A$79:$AW$111,24,FALSE)),"")</f>
        <v>ADM B2</v>
      </c>
      <c r="Z14" s="184" t="str">
        <f>IFERROR(IF(VLOOKUP(Sun_W1[[#This Row],[Employee Name]],'Base Schedules'!$A$79:$AW$111,25,FALSE)="","",VLOOKUP(Sun_W1[[#This Row],[Employee Name]],'Base Schedules'!$A$79:$AW$111,25,FALSE)),"")</f>
        <v>ADM</v>
      </c>
      <c r="AA14" s="184" t="str">
        <f>IFERROR(IF(VLOOKUP(Sun_W1[[#This Row],[Employee Name]],'Base Schedules'!$A$79:$AW$111,26,FALSE)="","",VLOOKUP(Sun_W1[[#This Row],[Employee Name]],'Base Schedules'!$A$79:$AW$111,26,FALSE)),"")</f>
        <v>HL</v>
      </c>
      <c r="AB14" s="184" t="str">
        <f>IFERROR(IF(VLOOKUP(Sun_W1[[#This Row],[Employee Name]],'Base Schedules'!$A$79:$AW$111,27,FALSE)="","",VLOOKUP(Sun_W1[[#This Row],[Employee Name]],'Base Schedules'!$A$79:$AW$111,27,FALSE)),"")</f>
        <v>HL</v>
      </c>
      <c r="AC14" s="184" t="str">
        <f>IFERROR(IF(VLOOKUP(Sun_W1[[#This Row],[Employee Name]],'Base Schedules'!$A$79:$AW$111,28,FALSE)="","",VLOOKUP(Sun_W1[[#This Row],[Employee Name]],'Base Schedules'!$A$79:$AW$111,28,FALSE)),"")</f>
        <v>HL</v>
      </c>
      <c r="AD14" s="184" t="str">
        <f>IFERROR(IF(VLOOKUP(Sun_W1[[#This Row],[Employee Name]],'Base Schedules'!$A$79:$AW$111,29,FALSE)="","",VLOOKUP(Sun_W1[[#This Row],[Employee Name]],'Base Schedules'!$A$79:$AW$111,29,FALSE)),"")</f>
        <v/>
      </c>
      <c r="AE14" s="184" t="str">
        <f>IFERROR(IF(VLOOKUP(Sun_W1[[#This Row],[Employee Name]],'Base Schedules'!$A$79:$AW$111,30,FALSE)="","",VLOOKUP(Sun_W1[[#This Row],[Employee Name]],'Base Schedules'!$A$79:$AW$111,30,FALSE)),"")</f>
        <v/>
      </c>
      <c r="AF14" s="184" t="str">
        <f>IFERROR(IF(VLOOKUP(Sun_W1[[#This Row],[Employee Name]],'Base Schedules'!$A$79:$AW$111,31,FALSE)="","",VLOOKUP(Sun_W1[[#This Row],[Employee Name]],'Base Schedules'!$A$79:$AW$111,31,FALSE)),"")</f>
        <v/>
      </c>
      <c r="AG14" s="184" t="str">
        <f>IFERROR(IF(VLOOKUP(Sun_W1[[#This Row],[Employee Name]],'Base Schedules'!$A$79:$AW$111,32,FALSE)="","",VLOOKUP(Sun_W1[[#This Row],[Employee Name]],'Base Schedules'!$A$79:$AW$111,32,FALSE)),"")</f>
        <v/>
      </c>
      <c r="AH14" s="184" t="str">
        <f>IFERROR(IF(VLOOKUP(Sun_W1[[#This Row],[Employee Name]],'Base Schedules'!$A$79:$AW$111,33,FALSE)="","",VLOOKUP(Sun_W1[[#This Row],[Employee Name]],'Base Schedules'!$A$79:$AW$111,33,FALSE)),"")</f>
        <v/>
      </c>
      <c r="AI14" s="184" t="str">
        <f>IFERROR(IF(VLOOKUP(Sun_W1[[#This Row],[Employee Name]],'Base Schedules'!$A$79:$AW$111,34,FALSE)="","",VLOOKUP(Sun_W1[[#This Row],[Employee Name]],'Base Schedules'!$A$79:$AW$111,34,FALSE)),"")</f>
        <v/>
      </c>
      <c r="AJ14" s="184" t="str">
        <f>IFERROR(IF(VLOOKUP(Sun_W1[[#This Row],[Employee Name]],'Base Schedules'!$A$79:$AW$111,35,FALSE)="","",VLOOKUP(Sun_W1[[#This Row],[Employee Name]],'Base Schedules'!$A$79:$AW$111,35,FALSE)),"")</f>
        <v/>
      </c>
      <c r="AK14" s="184" t="str">
        <f>IFERROR(IF(VLOOKUP(Sun_W1[[#This Row],[Employee Name]],'Base Schedules'!$A$79:$AW$111,36,FALSE)="","",VLOOKUP(Sun_W1[[#This Row],[Employee Name]],'Base Schedules'!$A$79:$AW$111,36,FALSE)),"")</f>
        <v/>
      </c>
      <c r="AL14" s="184" t="str">
        <f>IFERROR(IF(VLOOKUP(Sun_W1[[#This Row],[Employee Name]],'Base Schedules'!$A$79:$AW$111,37,FALSE)="","",VLOOKUP(Sun_W1[[#This Row],[Employee Name]],'Base Schedules'!$A$79:$AW$111,37,FALSE)),"")</f>
        <v/>
      </c>
      <c r="AM14" s="184" t="str">
        <f>IFERROR(IF(VLOOKUP(Sun_W1[[#This Row],[Employee Name]],'Base Schedules'!$A$79:$AW$111,38,FALSE)="","",VLOOKUP(Sun_W1[[#This Row],[Employee Name]],'Base Schedules'!$A$79:$AW$111,38,FALSE)),"")</f>
        <v/>
      </c>
      <c r="AN14" s="184" t="str">
        <f>IFERROR(IF(VLOOKUP(Sun_W1[[#This Row],[Employee Name]],'Base Schedules'!$A$79:$AW$111,39,FALSE)="","",VLOOKUP(Sun_W1[[#This Row],[Employee Name]],'Base Schedules'!$A$79:$AW$111,39,FALSE)),"")</f>
        <v/>
      </c>
      <c r="AO14" s="184" t="str">
        <f>IFERROR(IF(VLOOKUP(Sun_W1[[#This Row],[Employee Name]],'Base Schedules'!$A$79:$AW$111,40,FALSE)="","",VLOOKUP(Sun_W1[[#This Row],[Employee Name]],'Base Schedules'!$A$79:$AW$111,40,FALSE)),"")</f>
        <v/>
      </c>
      <c r="AP14" s="184" t="str">
        <f>IFERROR(IF(VLOOKUP(Sun_W1[[#This Row],[Employee Name]],'Base Schedules'!$A$79:$AW$111,41,FALSE)="","",VLOOKUP(Sun_W1[[#This Row],[Employee Name]],'Base Schedules'!$A$79:$AW$111,41,FALSE)),"")</f>
        <v/>
      </c>
      <c r="AQ14" s="184" t="str">
        <f>IFERROR(IF(VLOOKUP(Sun_W1[[#This Row],[Employee Name]],'Base Schedules'!$A$79:$AW$111,42,FALSE)="","",VLOOKUP(Sun_W1[[#This Row],[Employee Name]],'Base Schedules'!$A$79:$AW$111,42,FALSE)),"")</f>
        <v/>
      </c>
      <c r="AR14" s="184" t="str">
        <f>IFERROR(IF(VLOOKUP(Sun_W1[[#This Row],[Employee Name]],'Base Schedules'!$A$79:$AW$111,43,FALSE)="","",VLOOKUP(Sun_W1[[#This Row],[Employee Name]],'Base Schedules'!$A$79:$AW$111,43,FALSE)),"")</f>
        <v/>
      </c>
      <c r="AS14" s="184" t="str">
        <f>IFERROR(IF(VLOOKUP(Sun_W1[[#This Row],[Employee Name]],'Base Schedules'!$A$79:$AW$111,44,FALSE)="","",VLOOKUP(Sun_W1[[#This Row],[Employee Name]],'Base Schedules'!$A$79:$AW$111,44,FALSE)),"")</f>
        <v/>
      </c>
      <c r="AT14" s="184" t="str">
        <f>IFERROR(IF(VLOOKUP(Sun_W1[[#This Row],[Employee Name]],'Base Schedules'!$A$79:$AW$111,45,FALSE)="","",VLOOKUP(Sun_W1[[#This Row],[Employee Name]],'Base Schedules'!$A$79:$AW$111,45,FALSE)),"")</f>
        <v/>
      </c>
      <c r="AU14" s="184" t="str">
        <f>IFERROR(IF(VLOOKUP(Sun_W1[[#This Row],[Employee Name]],'Base Schedules'!$A$79:$AW$111,46,FALSE)="","",VLOOKUP(Sun_W1[[#This Row],[Employee Name]],'Base Schedules'!$A$79:$AW$111,46,FALSE)),"")</f>
        <v/>
      </c>
      <c r="AV14" s="184" t="str">
        <f>IFERROR(IF(VLOOKUP(Sun_W1[[#This Row],[Employee Name]],'Base Schedules'!$A$79:$AW$111,47,FALSE)="","",VLOOKUP(Sun_W1[[#This Row],[Employee Name]],'Base Schedules'!$A$79:$AW$111,47,FALSE)),"")</f>
        <v/>
      </c>
      <c r="AW14" s="184" t="str">
        <f>IFERROR(IF(VLOOKUP(Sun_W1[[#This Row],[Employee Name]],'Base Schedules'!$A$79:$AW$111,48,FALSE)="","",VLOOKUP(Sun_W1[[#This Row],[Employee Name]],'Base Schedules'!$A$79:$AW$111,48,FALSE)),"")</f>
        <v/>
      </c>
      <c r="AX14" s="184" t="str">
        <f>IFERROR(IF(VLOOKUP(Sun_W1[[#This Row],[Employee Name]],'Base Schedules'!$A$79:$AW$111,49,FALSE)="","",VLOOKUP(Sun_W1[[#This Row],[Employee Name]],'Base Schedules'!$A$79:$AW$111,49,FALSE)),"")</f>
        <v/>
      </c>
      <c r="AY14" s="159" t="str">
        <f t="shared" si="2"/>
        <v>Greene, Alicia</v>
      </c>
    </row>
    <row r="15" spans="1:51" s="44" customFormat="1" ht="12" x14ac:dyDescent="0.2">
      <c r="A15" s="201"/>
      <c r="B15" s="201" t="s">
        <v>39</v>
      </c>
      <c r="C15" s="257" t="str">
        <f>_xlfn.IFNA(VLOOKUP(Sun_W1[[#This Row],[Employee Name]],'Base Schedules'!A:B,2,FALSE),"")</f>
        <v>Supervisor</v>
      </c>
      <c r="D15" s="274">
        <f>_xlfn.IFNA(VLOOKUP(Sun_W1[[#This Row],[Employee Name]],'Base Schedules'!A:C,3,FALSE),"")</f>
        <v>630</v>
      </c>
      <c r="E15" s="274">
        <f>_xlfn.IFNA(VLOOKUP(Sun_W1[[#This Row],[Employee Name]],'Base Schedules'!A:D,4,FALSE),"")</f>
        <v>1530</v>
      </c>
      <c r="F15" s="142">
        <f>IF(Sun_W1[[#This Row],[Employee Name]]="","",IF(Sun_W1[[#This Row],[Dept]]="Supervisor",COUNTIFS($J15:$AX15,"*HL*",$J15:$AX15,"&lt;&gt;"&amp;"pHL"),COUNTIFS($J15:$AX15,"*HL*",$J15:$AX15,"&lt;&gt;"&amp;"*pHL*",$J15:$AX15,"&lt;&gt;"&amp;"pB1 HL",$J15:$AX15,"&lt;&gt;"&amp;"pB2 HL")-SUM(COUNTIFS($J15:$AX15,"*HL B1*",$J15:$AX15,"&lt;&gt;"&amp;"pHL B1")*0.5,COUNTIFS($J15:$AX15,"*HL B2*",$J15:$AX15,"&lt;&gt;"&amp;"pHL B2")*0.5,COUNTIFS($J15:$AX15,"*B1 HL*",$J15:$AX15,"&lt;&gt;"&amp;"pB1 HL")*0.5,COUNTIFS($J15:$AX15,"*B2 HL*",$J15:$AX15,"&lt;&gt;"&amp;"pB2 HL")*0.5)))</f>
        <v>0</v>
      </c>
      <c r="G15" s="142">
        <f t="shared" si="0"/>
        <v>4</v>
      </c>
      <c r="H15" s="142">
        <f t="shared" si="1"/>
        <v>0</v>
      </c>
      <c r="I15" s="142">
        <f>IF(Sun_W1[[#This Row],[Employee Name]]="","",IF(Sun_W1[[#This Row],[Dept]]="Supervisor",SUM(COUNTIFS($J15:$AX15,"RTA*",$J15:$AX15,"&lt;&gt;"&amp;"pRTA"),COUNTIFS($J15:$AX15,"*CRTA*",$J15:$AX15,"&lt;&gt;"&amp;"pCRTA")),COUNTIFS($J15:$AX15,"*RNNR*",$J15:$AX15,"&lt;&gt;"&amp;"*pRNNR*",$J15:$AX15,"&lt;&gt;"&amp;"pB1 RNNR",$J15:$AX15,"&lt;&gt;"&amp;"pB2 RNNR")-SUM(COUNTIFS($J15:$AX15,"*RNNR B1*",$J15:$AX15,"&lt;&gt;"&amp;"pRNNR B1")*0.5,COUNTIFS($J15:$AX15,"*RNNR B2*",$J15:$AX15,"&lt;&gt;"&amp;"pRNNR B2")*0.5,COUNTIFS($J15:$AX15,"*B1 RNNR*",$J15:$AX15,"&lt;&gt;"&amp;"pB1 RNNR")*0.5,COUNTIFS($J15:$AX15,"*B2 RNNR*",$J15:$AX15,"&lt;&gt;"&amp;"pB2 RNNR")*0.5)))</f>
        <v>0</v>
      </c>
      <c r="J15" s="184" t="str">
        <f>IFERROR(IF(VLOOKUP(Sun_W1[[#This Row],[Employee Name]],'Base Schedules'!$A$79:$AW$111,9,FALSE)="","",VLOOKUP(Sun_W1[[#This Row],[Employee Name]],'Base Schedules'!$A$79:$AW$111,9,FALSE)),"")</f>
        <v/>
      </c>
      <c r="K15" s="184" t="str">
        <f>IFERROR(IF(VLOOKUP(Sun_W1[[#This Row],[Employee Name]],'Base Schedules'!$A$79:$AW$111,10,FALSE)="","",VLOOKUP(Sun_W1[[#This Row],[Employee Name]],'Base Schedules'!$A$79:$AW$111,10,FALSE)),"")</f>
        <v/>
      </c>
      <c r="L15" s="184" t="str">
        <f>IFERROR(IF(VLOOKUP(Sun_W1[[#This Row],[Employee Name]],'Base Schedules'!$A$79:$AW$111,11,FALSE)="","",VLOOKUP(Sun_W1[[#This Row],[Employee Name]],'Base Schedules'!$A$79:$AW$111,11,FALSE)),"")</f>
        <v/>
      </c>
      <c r="M15" s="184" t="str">
        <f>IFERROR(IF(VLOOKUP(Sun_W1[[#This Row],[Employee Name]],'Base Schedules'!$A$79:$AW$111,12,FALSE)="","",VLOOKUP(Sun_W1[[#This Row],[Employee Name]],'Base Schedules'!$A$79:$AW$111,12,FALSE)),"")</f>
        <v>-</v>
      </c>
      <c r="N15" s="184" t="str">
        <f>IFERROR(IF(VLOOKUP(Sun_W1[[#This Row],[Employee Name]],'Base Schedules'!$A$79:$AW$111,13,FALSE)="","",VLOOKUP(Sun_W1[[#This Row],[Employee Name]],'Base Schedules'!$A$79:$AW$111,13,FALSE)),"")</f>
        <v>-</v>
      </c>
      <c r="O15" s="184" t="str">
        <f>IFERROR(IF(VLOOKUP(Sun_W1[[#This Row],[Employee Name]],'Base Schedules'!$A$79:$AW$111,14,FALSE)="","",VLOOKUP(Sun_W1[[#This Row],[Employee Name]],'Base Schedules'!$A$79:$AW$111,14,FALSE)),"")</f>
        <v>-</v>
      </c>
      <c r="P15" s="184" t="str">
        <f>IFERROR(IF(VLOOKUP(Sun_W1[[#This Row],[Employee Name]],'Base Schedules'!$A$79:$AW$111,15,FALSE)="","",VLOOKUP(Sun_W1[[#This Row],[Employee Name]],'Base Schedules'!$A$79:$AW$111,15,FALSE)),"")</f>
        <v>-</v>
      </c>
      <c r="Q15" s="184" t="str">
        <f>IFERROR(IF(VLOOKUP(Sun_W1[[#This Row],[Employee Name]],'Base Schedules'!$A$79:$AW$111,16,FALSE)="","",VLOOKUP(Sun_W1[[#This Row],[Employee Name]],'Base Schedules'!$A$79:$AW$111,16,FALSE)),"")</f>
        <v>-</v>
      </c>
      <c r="R15" s="184" t="str">
        <f>IFERROR(IF(VLOOKUP(Sun_W1[[#This Row],[Employee Name]],'Base Schedules'!$A$79:$AW$111,17,FALSE)="","",VLOOKUP(Sun_W1[[#This Row],[Employee Name]],'Base Schedules'!$A$79:$AW$111,17,FALSE)),"")</f>
        <v>-</v>
      </c>
      <c r="S15" s="184" t="str">
        <f>IFERROR(IF(VLOOKUP(Sun_W1[[#This Row],[Employee Name]],'Base Schedules'!$A$79:$AW$111,18,FALSE)="","",VLOOKUP(Sun_W1[[#This Row],[Employee Name]],'Base Schedules'!$A$79:$AW$111,18,FALSE)),"")</f>
        <v>-</v>
      </c>
      <c r="T15" s="184" t="str">
        <f>IFERROR(IF(VLOOKUP(Sun_W1[[#This Row],[Employee Name]],'Base Schedules'!$A$79:$AW$111,19,FALSE)="","",VLOOKUP(Sun_W1[[#This Row],[Employee Name]],'Base Schedules'!$A$79:$AW$111,19,FALSE)),"")</f>
        <v>-</v>
      </c>
      <c r="U15" s="184" t="str">
        <f>IFERROR(IF(VLOOKUP(Sun_W1[[#This Row],[Employee Name]],'Base Schedules'!$A$79:$AW$111,20,FALSE)="","",VLOOKUP(Sun_W1[[#This Row],[Employee Name]],'Base Schedules'!$A$79:$AW$111,20,FALSE)),"")</f>
        <v>-</v>
      </c>
      <c r="V15" s="184" t="str">
        <f>IFERROR(IF(VLOOKUP(Sun_W1[[#This Row],[Employee Name]],'Base Schedules'!$A$79:$AW$111,21,FALSE)="","",VLOOKUP(Sun_W1[[#This Row],[Employee Name]],'Base Schedules'!$A$79:$AW$111,21,FALSE)),"")</f>
        <v>-</v>
      </c>
      <c r="W15" s="184" t="str">
        <f>IFERROR(IF(VLOOKUP(Sun_W1[[#This Row],[Employee Name]],'Base Schedules'!$A$79:$AW$111,22,FALSE)="","",VLOOKUP(Sun_W1[[#This Row],[Employee Name]],'Base Schedules'!$A$79:$AW$111,22,FALSE)),"")</f>
        <v>-</v>
      </c>
      <c r="X15" s="184" t="str">
        <f>IFERROR(IF(VLOOKUP(Sun_W1[[#This Row],[Employee Name]],'Base Schedules'!$A$79:$AW$111,23,FALSE)="","",VLOOKUP(Sun_W1[[#This Row],[Employee Name]],'Base Schedules'!$A$79:$AW$111,23,FALSE)),"")</f>
        <v>-</v>
      </c>
      <c r="Y15" s="184" t="str">
        <f>IFERROR(IF(VLOOKUP(Sun_W1[[#This Row],[Employee Name]],'Base Schedules'!$A$79:$AW$111,24,FALSE)="","",VLOOKUP(Sun_W1[[#This Row],[Employee Name]],'Base Schedules'!$A$79:$AW$111,24,FALSE)),"")</f>
        <v>Coaching</v>
      </c>
      <c r="Z15" s="184" t="str">
        <f>IFERROR(IF(VLOOKUP(Sun_W1[[#This Row],[Employee Name]],'Base Schedules'!$A$79:$AW$111,25,FALSE)="","",VLOOKUP(Sun_W1[[#This Row],[Employee Name]],'Base Schedules'!$A$79:$AW$111,25,FALSE)),"")</f>
        <v>Coaching</v>
      </c>
      <c r="AA15" s="184" t="str">
        <f>IFERROR(IF(VLOOKUP(Sun_W1[[#This Row],[Employee Name]],'Base Schedules'!$A$79:$AW$111,26,FALSE)="","",VLOOKUP(Sun_W1[[#This Row],[Employee Name]],'Base Schedules'!$A$79:$AW$111,26,FALSE)),"")</f>
        <v>Coaching</v>
      </c>
      <c r="AB15" s="184" t="str">
        <f>IFERROR(IF(VLOOKUP(Sun_W1[[#This Row],[Employee Name]],'Base Schedules'!$A$79:$AW$111,27,FALSE)="","",VLOOKUP(Sun_W1[[#This Row],[Employee Name]],'Base Schedules'!$A$79:$AW$111,27,FALSE)),"")</f>
        <v>Coaching</v>
      </c>
      <c r="AC15" s="184" t="str">
        <f>IFERROR(IF(VLOOKUP(Sun_W1[[#This Row],[Employee Name]],'Base Schedules'!$A$79:$AW$111,28,FALSE)="","",VLOOKUP(Sun_W1[[#This Row],[Employee Name]],'Base Schedules'!$A$79:$AW$111,28,FALSE)),"")</f>
        <v>-</v>
      </c>
      <c r="AD15" s="184" t="str">
        <f>IFERROR(IF(VLOOKUP(Sun_W1[[#This Row],[Employee Name]],'Base Schedules'!$A$79:$AW$111,29,FALSE)="","",VLOOKUP(Sun_W1[[#This Row],[Employee Name]],'Base Schedules'!$A$79:$AW$111,29,FALSE)),"")</f>
        <v>-</v>
      </c>
      <c r="AE15" s="184" t="str">
        <f>IFERROR(IF(VLOOKUP(Sun_W1[[#This Row],[Employee Name]],'Base Schedules'!$A$79:$AW$111,30,FALSE)="","",VLOOKUP(Sun_W1[[#This Row],[Employee Name]],'Base Schedules'!$A$79:$AW$111,30,FALSE)),"")</f>
        <v/>
      </c>
      <c r="AF15" s="184" t="str">
        <f>IFERROR(IF(VLOOKUP(Sun_W1[[#This Row],[Employee Name]],'Base Schedules'!$A$79:$AW$111,31,FALSE)="","",VLOOKUP(Sun_W1[[#This Row],[Employee Name]],'Base Schedules'!$A$79:$AW$111,31,FALSE)),"")</f>
        <v/>
      </c>
      <c r="AG15" s="184" t="str">
        <f>IFERROR(IF(VLOOKUP(Sun_W1[[#This Row],[Employee Name]],'Base Schedules'!$A$79:$AW$111,32,FALSE)="","",VLOOKUP(Sun_W1[[#This Row],[Employee Name]],'Base Schedules'!$A$79:$AW$111,32,FALSE)),"")</f>
        <v/>
      </c>
      <c r="AH15" s="184" t="str">
        <f>IFERROR(IF(VLOOKUP(Sun_W1[[#This Row],[Employee Name]],'Base Schedules'!$A$79:$AW$111,33,FALSE)="","",VLOOKUP(Sun_W1[[#This Row],[Employee Name]],'Base Schedules'!$A$79:$AW$111,33,FALSE)),"")</f>
        <v/>
      </c>
      <c r="AI15" s="184" t="str">
        <f>IFERROR(IF(VLOOKUP(Sun_W1[[#This Row],[Employee Name]],'Base Schedules'!$A$79:$AW$111,34,FALSE)="","",VLOOKUP(Sun_W1[[#This Row],[Employee Name]],'Base Schedules'!$A$79:$AW$111,34,FALSE)),"")</f>
        <v/>
      </c>
      <c r="AJ15" s="184" t="str">
        <f>IFERROR(IF(VLOOKUP(Sun_W1[[#This Row],[Employee Name]],'Base Schedules'!$A$79:$AW$111,35,FALSE)="","",VLOOKUP(Sun_W1[[#This Row],[Employee Name]],'Base Schedules'!$A$79:$AW$111,35,FALSE)),"")</f>
        <v/>
      </c>
      <c r="AK15" s="184" t="str">
        <f>IFERROR(IF(VLOOKUP(Sun_W1[[#This Row],[Employee Name]],'Base Schedules'!$A$79:$AW$111,36,FALSE)="","",VLOOKUP(Sun_W1[[#This Row],[Employee Name]],'Base Schedules'!$A$79:$AW$111,36,FALSE)),"")</f>
        <v/>
      </c>
      <c r="AL15" s="184" t="str">
        <f>IFERROR(IF(VLOOKUP(Sun_W1[[#This Row],[Employee Name]],'Base Schedules'!$A$79:$AW$111,37,FALSE)="","",VLOOKUP(Sun_W1[[#This Row],[Employee Name]],'Base Schedules'!$A$79:$AW$111,37,FALSE)),"")</f>
        <v/>
      </c>
      <c r="AM15" s="184" t="str">
        <f>IFERROR(IF(VLOOKUP(Sun_W1[[#This Row],[Employee Name]],'Base Schedules'!$A$79:$AW$111,38,FALSE)="","",VLOOKUP(Sun_W1[[#This Row],[Employee Name]],'Base Schedules'!$A$79:$AW$111,38,FALSE)),"")</f>
        <v/>
      </c>
      <c r="AN15" s="184" t="str">
        <f>IFERROR(IF(VLOOKUP(Sun_W1[[#This Row],[Employee Name]],'Base Schedules'!$A$79:$AW$111,39,FALSE)="","",VLOOKUP(Sun_W1[[#This Row],[Employee Name]],'Base Schedules'!$A$79:$AW$111,39,FALSE)),"")</f>
        <v/>
      </c>
      <c r="AO15" s="184" t="str">
        <f>IFERROR(IF(VLOOKUP(Sun_W1[[#This Row],[Employee Name]],'Base Schedules'!$A$79:$AW$111,40,FALSE)="","",VLOOKUP(Sun_W1[[#This Row],[Employee Name]],'Base Schedules'!$A$79:$AW$111,40,FALSE)),"")</f>
        <v/>
      </c>
      <c r="AP15" s="184" t="str">
        <f>IFERROR(IF(VLOOKUP(Sun_W1[[#This Row],[Employee Name]],'Base Schedules'!$A$79:$AW$111,41,FALSE)="","",VLOOKUP(Sun_W1[[#This Row],[Employee Name]],'Base Schedules'!$A$79:$AW$111,41,FALSE)),"")</f>
        <v/>
      </c>
      <c r="AQ15" s="184" t="str">
        <f>IFERROR(IF(VLOOKUP(Sun_W1[[#This Row],[Employee Name]],'Base Schedules'!$A$79:$AW$111,42,FALSE)="","",VLOOKUP(Sun_W1[[#This Row],[Employee Name]],'Base Schedules'!$A$79:$AW$111,42,FALSE)),"")</f>
        <v/>
      </c>
      <c r="AR15" s="184" t="str">
        <f>IFERROR(IF(VLOOKUP(Sun_W1[[#This Row],[Employee Name]],'Base Schedules'!$A$79:$AW$111,43,FALSE)="","",VLOOKUP(Sun_W1[[#This Row],[Employee Name]],'Base Schedules'!$A$79:$AW$111,43,FALSE)),"")</f>
        <v/>
      </c>
      <c r="AS15" s="184" t="str">
        <f>IFERROR(IF(VLOOKUP(Sun_W1[[#This Row],[Employee Name]],'Base Schedules'!$A$79:$AW$111,44,FALSE)="","",VLOOKUP(Sun_W1[[#This Row],[Employee Name]],'Base Schedules'!$A$79:$AW$111,44,FALSE)),"")</f>
        <v/>
      </c>
      <c r="AT15" s="184" t="str">
        <f>IFERROR(IF(VLOOKUP(Sun_W1[[#This Row],[Employee Name]],'Base Schedules'!$A$79:$AW$111,45,FALSE)="","",VLOOKUP(Sun_W1[[#This Row],[Employee Name]],'Base Schedules'!$A$79:$AW$111,45,FALSE)),"")</f>
        <v/>
      </c>
      <c r="AU15" s="184" t="str">
        <f>IFERROR(IF(VLOOKUP(Sun_W1[[#This Row],[Employee Name]],'Base Schedules'!$A$79:$AW$111,46,FALSE)="","",VLOOKUP(Sun_W1[[#This Row],[Employee Name]],'Base Schedules'!$A$79:$AW$111,46,FALSE)),"")</f>
        <v/>
      </c>
      <c r="AV15" s="184" t="str">
        <f>IFERROR(IF(VLOOKUP(Sun_W1[[#This Row],[Employee Name]],'Base Schedules'!$A$79:$AW$111,47,FALSE)="","",VLOOKUP(Sun_W1[[#This Row],[Employee Name]],'Base Schedules'!$A$79:$AW$111,47,FALSE)),"")</f>
        <v/>
      </c>
      <c r="AW15" s="184" t="str">
        <f>IFERROR(IF(VLOOKUP(Sun_W1[[#This Row],[Employee Name]],'Base Schedules'!$A$79:$AW$111,48,FALSE)="","",VLOOKUP(Sun_W1[[#This Row],[Employee Name]],'Base Schedules'!$A$79:$AW$111,48,FALSE)),"")</f>
        <v/>
      </c>
      <c r="AX15" s="184" t="str">
        <f>IFERROR(IF(VLOOKUP(Sun_W1[[#This Row],[Employee Name]],'Base Schedules'!$A$79:$AW$111,49,FALSE)="","",VLOOKUP(Sun_W1[[#This Row],[Employee Name]],'Base Schedules'!$A$79:$AW$111,49,FALSE)),"")</f>
        <v/>
      </c>
      <c r="AY15" s="159" t="str">
        <f t="shared" si="2"/>
        <v>Ulrich, Michael</v>
      </c>
    </row>
    <row r="16" spans="1:51" s="44" customFormat="1" ht="12" x14ac:dyDescent="0.2">
      <c r="A16" s="201"/>
      <c r="B16" s="201" t="s">
        <v>22</v>
      </c>
      <c r="C16" s="257" t="str">
        <f>_xlfn.IFNA(VLOOKUP(Sun_W1[[#This Row],[Employee Name]],'Base Schedules'!A:B,2,FALSE),"")</f>
        <v>Lead</v>
      </c>
      <c r="D16" s="274">
        <f>_xlfn.IFNA(VLOOKUP(Sun_W1[[#This Row],[Employee Name]],'Base Schedules'!A:C,3,FALSE),"")</f>
        <v>700</v>
      </c>
      <c r="E16" s="274">
        <f>_xlfn.IFNA(VLOOKUP(Sun_W1[[#This Row],[Employee Name]],'Base Schedules'!A:D,4,FALSE),"")</f>
        <v>1600</v>
      </c>
      <c r="F16" s="142">
        <f>IF(Sun_W1[[#This Row],[Employee Name]]="","",IF(Sun_W1[[#This Row],[Dept]]="Supervisor",COUNTIFS($J16:$AX16,"*HL*",$J16:$AX16,"&lt;&gt;"&amp;"pHL"),COUNTIFS($J16:$AX16,"*HL*",$J16:$AX16,"&lt;&gt;"&amp;"*pHL*",$J16:$AX16,"&lt;&gt;"&amp;"pB1 HL",$J16:$AX16,"&lt;&gt;"&amp;"pB2 HL")-SUM(COUNTIFS($J16:$AX16,"*HL B1*",$J16:$AX16,"&lt;&gt;"&amp;"pHL B1")*0.5,COUNTIFS($J16:$AX16,"*HL B2*",$J16:$AX16,"&lt;&gt;"&amp;"pHL B2")*0.5,COUNTIFS($J16:$AX16,"*B1 HL*",$J16:$AX16,"&lt;&gt;"&amp;"pB1 HL")*0.5,COUNTIFS($J16:$AX16,"*B2 HL*",$J16:$AX16,"&lt;&gt;"&amp;"pB2 HL")*0.5)))</f>
        <v>6.5</v>
      </c>
      <c r="G16" s="142">
        <f t="shared" si="0"/>
        <v>0</v>
      </c>
      <c r="H16" s="142">
        <f t="shared" si="1"/>
        <v>7</v>
      </c>
      <c r="I16" s="142">
        <f>IF(Sun_W1[[#This Row],[Employee Name]]="","",IF(Sun_W1[[#This Row],[Dept]]="Supervisor",SUM(COUNTIFS($J16:$AX16,"RTA*",$J16:$AX16,"&lt;&gt;"&amp;"pRTA"),COUNTIFS($J16:$AX16,"*CRTA*",$J16:$AX16,"&lt;&gt;"&amp;"pCRTA")),COUNTIFS($J16:$AX16,"*RNNR*",$J16:$AX16,"&lt;&gt;"&amp;"*pRNNR*",$J16:$AX16,"&lt;&gt;"&amp;"pB1 RNNR",$J16:$AX16,"&lt;&gt;"&amp;"pB2 RNNR")-SUM(COUNTIFS($J16:$AX16,"*RNNR B1*",$J16:$AX16,"&lt;&gt;"&amp;"pRNNR B1")*0.5,COUNTIFS($J16:$AX16,"*RNNR B2*",$J16:$AX16,"&lt;&gt;"&amp;"pRNNR B2")*0.5,COUNTIFS($J16:$AX16,"*B1 RNNR*",$J16:$AX16,"&lt;&gt;"&amp;"pB1 RNNR")*0.5,COUNTIFS($J16:$AX16,"*B2 RNNR*",$J16:$AX16,"&lt;&gt;"&amp;"pB2 RNNR")*0.5)))</f>
        <v>2</v>
      </c>
      <c r="J16" s="184" t="str">
        <f>IFERROR(IF(VLOOKUP(Sun_W1[[#This Row],[Employee Name]],'Base Schedules'!$A$79:$AW$111,9,FALSE)="","",VLOOKUP(Sun_W1[[#This Row],[Employee Name]],'Base Schedules'!$A$79:$AW$111,9,FALSE)),"")</f>
        <v/>
      </c>
      <c r="K16" s="184" t="str">
        <f>IFERROR(IF(VLOOKUP(Sun_W1[[#This Row],[Employee Name]],'Base Schedules'!$A$79:$AW$111,10,FALSE)="","",VLOOKUP(Sun_W1[[#This Row],[Employee Name]],'Base Schedules'!$A$79:$AW$111,10,FALSE)),"")</f>
        <v/>
      </c>
      <c r="L16" s="184" t="str">
        <f>IFERROR(IF(VLOOKUP(Sun_W1[[#This Row],[Employee Name]],'Base Schedules'!$A$79:$AW$111,11,FALSE)="","",VLOOKUP(Sun_W1[[#This Row],[Employee Name]],'Base Schedules'!$A$79:$AW$111,11,FALSE)),"")</f>
        <v/>
      </c>
      <c r="M16" s="184" t="str">
        <f>IFERROR(IF(VLOOKUP(Sun_W1[[#This Row],[Employee Name]],'Base Schedules'!$A$79:$AW$111,12,FALSE)="","",VLOOKUP(Sun_W1[[#This Row],[Employee Name]],'Base Schedules'!$A$79:$AW$111,12,FALSE)),"")</f>
        <v/>
      </c>
      <c r="N16" s="184" t="str">
        <f>IFERROR(IF(VLOOKUP(Sun_W1[[#This Row],[Employee Name]],'Base Schedules'!$A$79:$AW$111,13,FALSE)="","",VLOOKUP(Sun_W1[[#This Row],[Employee Name]],'Base Schedules'!$A$79:$AW$111,13,FALSE)),"")</f>
        <v>ADM</v>
      </c>
      <c r="O16" s="184" t="str">
        <f>IFERROR(IF(VLOOKUP(Sun_W1[[#This Row],[Employee Name]],'Base Schedules'!$A$79:$AW$111,14,FALSE)="","",VLOOKUP(Sun_W1[[#This Row],[Employee Name]],'Base Schedules'!$A$79:$AW$111,14,FALSE)),"")</f>
        <v>HL</v>
      </c>
      <c r="P16" s="184" t="str">
        <f>IFERROR(IF(VLOOKUP(Sun_W1[[#This Row],[Employee Name]],'Base Schedules'!$A$79:$AW$111,15,FALSE)="","",VLOOKUP(Sun_W1[[#This Row],[Employee Name]],'Base Schedules'!$A$79:$AW$111,15,FALSE)),"")</f>
        <v>HL</v>
      </c>
      <c r="Q16" s="184" t="str">
        <f>IFERROR(IF(VLOOKUP(Sun_W1[[#This Row],[Employee Name]],'Base Schedules'!$A$79:$AW$111,16,FALSE)="","",VLOOKUP(Sun_W1[[#This Row],[Employee Name]],'Base Schedules'!$A$79:$AW$111,16,FALSE)),"")</f>
        <v>HL</v>
      </c>
      <c r="R16" s="184" t="str">
        <f>IFERROR(IF(VLOOKUP(Sun_W1[[#This Row],[Employee Name]],'Base Schedules'!$A$79:$AW$111,17,FALSE)="","",VLOOKUP(Sun_W1[[#This Row],[Employee Name]],'Base Schedules'!$A$79:$AW$111,17,FALSE)),"")</f>
        <v>B1 HL</v>
      </c>
      <c r="S16" s="184" t="str">
        <f>IFERROR(IF(VLOOKUP(Sun_W1[[#This Row],[Employee Name]],'Base Schedules'!$A$79:$AW$111,18,FALSE)="","",VLOOKUP(Sun_W1[[#This Row],[Employee Name]],'Base Schedules'!$A$79:$AW$111,18,FALSE)),"")</f>
        <v>HL</v>
      </c>
      <c r="T16" s="184" t="str">
        <f>IFERROR(IF(VLOOKUP(Sun_W1[[#This Row],[Employee Name]],'Base Schedules'!$A$79:$AW$111,19,FALSE)="","",VLOOKUP(Sun_W1[[#This Row],[Employee Name]],'Base Schedules'!$A$79:$AW$111,19,FALSE)),"")</f>
        <v>ADM</v>
      </c>
      <c r="U16" s="184" t="str">
        <f>IFERROR(IF(VLOOKUP(Sun_W1[[#This Row],[Employee Name]],'Base Schedules'!$A$79:$AW$111,20,FALSE)="","",VLOOKUP(Sun_W1[[#This Row],[Employee Name]],'Base Schedules'!$A$79:$AW$111,20,FALSE)),"")</f>
        <v>ADM</v>
      </c>
      <c r="V16" s="184" t="str">
        <f>IFERROR(IF(VLOOKUP(Sun_W1[[#This Row],[Employee Name]],'Base Schedules'!$A$79:$AW$111,21,FALSE)="","",VLOOKUP(Sun_W1[[#This Row],[Employee Name]],'Base Schedules'!$A$79:$AW$111,21,FALSE)),"")</f>
        <v>HL</v>
      </c>
      <c r="W16" s="184" t="str">
        <f>IFERROR(IF(VLOOKUP(Sun_W1[[#This Row],[Employee Name]],'Base Schedules'!$A$79:$AW$111,22,FALSE)="","",VLOOKUP(Sun_W1[[#This Row],[Employee Name]],'Base Schedules'!$A$79:$AW$111,22,FALSE)),"")</f>
        <v>LUNCH</v>
      </c>
      <c r="X16" s="184" t="str">
        <f>IFERROR(IF(VLOOKUP(Sun_W1[[#This Row],[Employee Name]],'Base Schedules'!$A$79:$AW$111,23,FALSE)="","",VLOOKUP(Sun_W1[[#This Row],[Employee Name]],'Base Schedules'!$A$79:$AW$111,23,FALSE)),"")</f>
        <v>LUNCH</v>
      </c>
      <c r="Y16" s="184" t="str">
        <f>IFERROR(IF(VLOOKUP(Sun_W1[[#This Row],[Employee Name]],'Base Schedules'!$A$79:$AW$111,24,FALSE)="","",VLOOKUP(Sun_W1[[#This Row],[Employee Name]],'Base Schedules'!$A$79:$AW$111,24,FALSE)),"")</f>
        <v>ADM</v>
      </c>
      <c r="Z16" s="184" t="str">
        <f>IFERROR(IF(VLOOKUP(Sun_W1[[#This Row],[Employee Name]],'Base Schedules'!$A$79:$AW$111,25,FALSE)="","",VLOOKUP(Sun_W1[[#This Row],[Employee Name]],'Base Schedules'!$A$79:$AW$111,25,FALSE)),"")</f>
        <v>RNNR</v>
      </c>
      <c r="AA16" s="184" t="str">
        <f>IFERROR(IF(VLOOKUP(Sun_W1[[#This Row],[Employee Name]],'Base Schedules'!$A$79:$AW$111,26,FALSE)="","",VLOOKUP(Sun_W1[[#This Row],[Employee Name]],'Base Schedules'!$A$79:$AW$111,26,FALSE)),"")</f>
        <v>RNNR</v>
      </c>
      <c r="AB16" s="184" t="str">
        <f>IFERROR(IF(VLOOKUP(Sun_W1[[#This Row],[Employee Name]],'Base Schedules'!$A$79:$AW$111,27,FALSE)="","",VLOOKUP(Sun_W1[[#This Row],[Employee Name]],'Base Schedules'!$A$79:$AW$111,27,FALSE)),"")</f>
        <v>B2 ADM</v>
      </c>
      <c r="AC16" s="184" t="str">
        <f>IFERROR(IF(VLOOKUP(Sun_W1[[#This Row],[Employee Name]],'Base Schedules'!$A$79:$AW$111,28,FALSE)="","",VLOOKUP(Sun_W1[[#This Row],[Employee Name]],'Base Schedules'!$A$79:$AW$111,28,FALSE)),"")</f>
        <v>ADM</v>
      </c>
      <c r="AD16" s="184" t="str">
        <f>IFERROR(IF(VLOOKUP(Sun_W1[[#This Row],[Employee Name]],'Base Schedules'!$A$79:$AW$111,29,FALSE)="","",VLOOKUP(Sun_W1[[#This Row],[Employee Name]],'Base Schedules'!$A$79:$AW$111,29,FALSE)),"")</f>
        <v>ADM</v>
      </c>
      <c r="AE16" s="184" t="str">
        <f>IFERROR(IF(VLOOKUP(Sun_W1[[#This Row],[Employee Name]],'Base Schedules'!$A$79:$AW$111,30,FALSE)="","",VLOOKUP(Sun_W1[[#This Row],[Employee Name]],'Base Schedules'!$A$79:$AW$111,30,FALSE)),"")</f>
        <v>HL</v>
      </c>
      <c r="AF16" s="184" t="str">
        <f>IFERROR(IF(VLOOKUP(Sun_W1[[#This Row],[Employee Name]],'Base Schedules'!$A$79:$AW$111,31,FALSE)="","",VLOOKUP(Sun_W1[[#This Row],[Employee Name]],'Base Schedules'!$A$79:$AW$111,31,FALSE)),"")</f>
        <v/>
      </c>
      <c r="AG16" s="184" t="str">
        <f>IFERROR(IF(VLOOKUP(Sun_W1[[#This Row],[Employee Name]],'Base Schedules'!$A$79:$AW$111,32,FALSE)="","",VLOOKUP(Sun_W1[[#This Row],[Employee Name]],'Base Schedules'!$A$79:$AW$111,32,FALSE)),"")</f>
        <v/>
      </c>
      <c r="AH16" s="184" t="str">
        <f>IFERROR(IF(VLOOKUP(Sun_W1[[#This Row],[Employee Name]],'Base Schedules'!$A$79:$AW$111,33,FALSE)="","",VLOOKUP(Sun_W1[[#This Row],[Employee Name]],'Base Schedules'!$A$79:$AW$111,33,FALSE)),"")</f>
        <v/>
      </c>
      <c r="AI16" s="184" t="str">
        <f>IFERROR(IF(VLOOKUP(Sun_W1[[#This Row],[Employee Name]],'Base Schedules'!$A$79:$AW$111,34,FALSE)="","",VLOOKUP(Sun_W1[[#This Row],[Employee Name]],'Base Schedules'!$A$79:$AW$111,34,FALSE)),"")</f>
        <v/>
      </c>
      <c r="AJ16" s="184" t="str">
        <f>IFERROR(IF(VLOOKUP(Sun_W1[[#This Row],[Employee Name]],'Base Schedules'!$A$79:$AW$111,35,FALSE)="","",VLOOKUP(Sun_W1[[#This Row],[Employee Name]],'Base Schedules'!$A$79:$AW$111,35,FALSE)),"")</f>
        <v/>
      </c>
      <c r="AK16" s="184" t="str">
        <f>IFERROR(IF(VLOOKUP(Sun_W1[[#This Row],[Employee Name]],'Base Schedules'!$A$79:$AW$111,36,FALSE)="","",VLOOKUP(Sun_W1[[#This Row],[Employee Name]],'Base Schedules'!$A$79:$AW$111,36,FALSE)),"")</f>
        <v/>
      </c>
      <c r="AL16" s="184" t="str">
        <f>IFERROR(IF(VLOOKUP(Sun_W1[[#This Row],[Employee Name]],'Base Schedules'!$A$79:$AW$111,37,FALSE)="","",VLOOKUP(Sun_W1[[#This Row],[Employee Name]],'Base Schedules'!$A$79:$AW$111,37,FALSE)),"")</f>
        <v/>
      </c>
      <c r="AM16" s="184" t="str">
        <f>IFERROR(IF(VLOOKUP(Sun_W1[[#This Row],[Employee Name]],'Base Schedules'!$A$79:$AW$111,38,FALSE)="","",VLOOKUP(Sun_W1[[#This Row],[Employee Name]],'Base Schedules'!$A$79:$AW$111,38,FALSE)),"")</f>
        <v/>
      </c>
      <c r="AN16" s="184" t="str">
        <f>IFERROR(IF(VLOOKUP(Sun_W1[[#This Row],[Employee Name]],'Base Schedules'!$A$79:$AW$111,39,FALSE)="","",VLOOKUP(Sun_W1[[#This Row],[Employee Name]],'Base Schedules'!$A$79:$AW$111,39,FALSE)),"")</f>
        <v/>
      </c>
      <c r="AO16" s="184" t="str">
        <f>IFERROR(IF(VLOOKUP(Sun_W1[[#This Row],[Employee Name]],'Base Schedules'!$A$79:$AW$111,40,FALSE)="","",VLOOKUP(Sun_W1[[#This Row],[Employee Name]],'Base Schedules'!$A$79:$AW$111,40,FALSE)),"")</f>
        <v/>
      </c>
      <c r="AP16" s="184" t="str">
        <f>IFERROR(IF(VLOOKUP(Sun_W1[[#This Row],[Employee Name]],'Base Schedules'!$A$79:$AW$111,41,FALSE)="","",VLOOKUP(Sun_W1[[#This Row],[Employee Name]],'Base Schedules'!$A$79:$AW$111,41,FALSE)),"")</f>
        <v/>
      </c>
      <c r="AQ16" s="184" t="str">
        <f>IFERROR(IF(VLOOKUP(Sun_W1[[#This Row],[Employee Name]],'Base Schedules'!$A$79:$AW$111,42,FALSE)="","",VLOOKUP(Sun_W1[[#This Row],[Employee Name]],'Base Schedules'!$A$79:$AW$111,42,FALSE)),"")</f>
        <v/>
      </c>
      <c r="AR16" s="184" t="str">
        <f>IFERROR(IF(VLOOKUP(Sun_W1[[#This Row],[Employee Name]],'Base Schedules'!$A$79:$AW$111,43,FALSE)="","",VLOOKUP(Sun_W1[[#This Row],[Employee Name]],'Base Schedules'!$A$79:$AW$111,43,FALSE)),"")</f>
        <v/>
      </c>
      <c r="AS16" s="184" t="str">
        <f>IFERROR(IF(VLOOKUP(Sun_W1[[#This Row],[Employee Name]],'Base Schedules'!$A$79:$AW$111,44,FALSE)="","",VLOOKUP(Sun_W1[[#This Row],[Employee Name]],'Base Schedules'!$A$79:$AW$111,44,FALSE)),"")</f>
        <v/>
      </c>
      <c r="AT16" s="184" t="str">
        <f>IFERROR(IF(VLOOKUP(Sun_W1[[#This Row],[Employee Name]],'Base Schedules'!$A$79:$AW$111,45,FALSE)="","",VLOOKUP(Sun_W1[[#This Row],[Employee Name]],'Base Schedules'!$A$79:$AW$111,45,FALSE)),"")</f>
        <v/>
      </c>
      <c r="AU16" s="184" t="str">
        <f>IFERROR(IF(VLOOKUP(Sun_W1[[#This Row],[Employee Name]],'Base Schedules'!$A$79:$AW$111,46,FALSE)="","",VLOOKUP(Sun_W1[[#This Row],[Employee Name]],'Base Schedules'!$A$79:$AW$111,46,FALSE)),"")</f>
        <v/>
      </c>
      <c r="AV16" s="184" t="str">
        <f>IFERROR(IF(VLOOKUP(Sun_W1[[#This Row],[Employee Name]],'Base Schedules'!$A$79:$AW$111,47,FALSE)="","",VLOOKUP(Sun_W1[[#This Row],[Employee Name]],'Base Schedules'!$A$79:$AW$111,47,FALSE)),"")</f>
        <v/>
      </c>
      <c r="AW16" s="184" t="str">
        <f>IFERROR(IF(VLOOKUP(Sun_W1[[#This Row],[Employee Name]],'Base Schedules'!$A$79:$AW$111,48,FALSE)="","",VLOOKUP(Sun_W1[[#This Row],[Employee Name]],'Base Schedules'!$A$79:$AW$111,48,FALSE)),"")</f>
        <v/>
      </c>
      <c r="AX16" s="184" t="str">
        <f>IFERROR(IF(VLOOKUP(Sun_W1[[#This Row],[Employee Name]],'Base Schedules'!$A$79:$AW$111,49,FALSE)="","",VLOOKUP(Sun_W1[[#This Row],[Employee Name]],'Base Schedules'!$A$79:$AW$111,49,FALSE)),"")</f>
        <v/>
      </c>
      <c r="AY16" s="159" t="str">
        <f t="shared" si="2"/>
        <v>Benish, Elisha</v>
      </c>
    </row>
    <row r="17" spans="1:51" s="44" customFormat="1" ht="12" x14ac:dyDescent="0.2">
      <c r="A17" s="201"/>
      <c r="B17" s="201" t="s">
        <v>237</v>
      </c>
      <c r="C17" s="257" t="str">
        <f>_xlfn.IFNA(VLOOKUP(Sun_W1[[#This Row],[Employee Name]],'Base Schedules'!A:B,2,FALSE),"")</f>
        <v>Lead</v>
      </c>
      <c r="D17" s="274">
        <f>_xlfn.IFNA(VLOOKUP(Sun_W1[[#This Row],[Employee Name]],'Base Schedules'!A:C,3,FALSE),"")</f>
        <v>730</v>
      </c>
      <c r="E17" s="274">
        <f>_xlfn.IFNA(VLOOKUP(Sun_W1[[#This Row],[Employee Name]],'Base Schedules'!A:D,4,FALSE),"")</f>
        <v>1600</v>
      </c>
      <c r="F17" s="142">
        <f>IF(Sun_W1[[#This Row],[Employee Name]]="","",IF(Sun_W1[[#This Row],[Dept]]="Supervisor",COUNTIFS($J17:$AX17,"*HL*",$J17:$AX17,"&lt;&gt;"&amp;"pHL"),COUNTIFS($J17:$AX17,"*HL*",$J17:$AX17,"&lt;&gt;"&amp;"*pHL*",$J17:$AX17,"&lt;&gt;"&amp;"pB1 HL",$J17:$AX17,"&lt;&gt;"&amp;"pB2 HL")-SUM(COUNTIFS($J17:$AX17,"*HL B1*",$J17:$AX17,"&lt;&gt;"&amp;"pHL B1")*0.5,COUNTIFS($J17:$AX17,"*HL B2*",$J17:$AX17,"&lt;&gt;"&amp;"pHL B2")*0.5,COUNTIFS($J17:$AX17,"*B1 HL*",$J17:$AX17,"&lt;&gt;"&amp;"pB1 HL")*0.5,COUNTIFS($J17:$AX17,"*B2 HL*",$J17:$AX17,"&lt;&gt;"&amp;"pB2 HL")*0.5)))</f>
        <v>5.5</v>
      </c>
      <c r="G17" s="142">
        <f t="shared" si="0"/>
        <v>0</v>
      </c>
      <c r="H17" s="142">
        <f t="shared" si="1"/>
        <v>6</v>
      </c>
      <c r="I17" s="142">
        <f>IF(Sun_W1[[#This Row],[Employee Name]]="","",IF(Sun_W1[[#This Row],[Dept]]="Supervisor",SUM(COUNTIFS($J17:$AX17,"RTA*",$J17:$AX17,"&lt;&gt;"&amp;"pRTA"),COUNTIFS($J17:$AX17,"*CRTA*",$J17:$AX17,"&lt;&gt;"&amp;"pCRTA")),COUNTIFS($J17:$AX17,"*RNNR*",$J17:$AX17,"&lt;&gt;"&amp;"*pRNNR*",$J17:$AX17,"&lt;&gt;"&amp;"pB1 RNNR",$J17:$AX17,"&lt;&gt;"&amp;"pB2 RNNR")-SUM(COUNTIFS($J17:$AX17,"*RNNR B1*",$J17:$AX17,"&lt;&gt;"&amp;"pRNNR B1")*0.5,COUNTIFS($J17:$AX17,"*RNNR B2*",$J17:$AX17,"&lt;&gt;"&amp;"pRNNR B2")*0.5,COUNTIFS($J17:$AX17,"*B1 RNNR*",$J17:$AX17,"&lt;&gt;"&amp;"pB1 RNNR")*0.5,COUNTIFS($J17:$AX17,"*B2 RNNR*",$J17:$AX17,"&lt;&gt;"&amp;"pB2 RNNR")*0.5)))</f>
        <v>2</v>
      </c>
      <c r="J17" s="184" t="str">
        <f>IFERROR(IF(VLOOKUP(Sun_W1[[#This Row],[Employee Name]],'Base Schedules'!$A$79:$AW$111,9,FALSE)="","",VLOOKUP(Sun_W1[[#This Row],[Employee Name]],'Base Schedules'!$A$79:$AW$111,9,FALSE)),"")</f>
        <v/>
      </c>
      <c r="K17" s="184" t="str">
        <f>IFERROR(IF(VLOOKUP(Sun_W1[[#This Row],[Employee Name]],'Base Schedules'!$A$79:$AW$111,10,FALSE)="","",VLOOKUP(Sun_W1[[#This Row],[Employee Name]],'Base Schedules'!$A$79:$AW$111,10,FALSE)),"")</f>
        <v/>
      </c>
      <c r="L17" s="184" t="str">
        <f>IFERROR(IF(VLOOKUP(Sun_W1[[#This Row],[Employee Name]],'Base Schedules'!$A$79:$AW$111,11,FALSE)="","",VLOOKUP(Sun_W1[[#This Row],[Employee Name]],'Base Schedules'!$A$79:$AW$111,11,FALSE)),"")</f>
        <v/>
      </c>
      <c r="M17" s="184" t="str">
        <f>IFERROR(IF(VLOOKUP(Sun_W1[[#This Row],[Employee Name]],'Base Schedules'!$A$79:$AW$111,12,FALSE)="","",VLOOKUP(Sun_W1[[#This Row],[Employee Name]],'Base Schedules'!$A$79:$AW$111,12,FALSE)),"")</f>
        <v/>
      </c>
      <c r="N17" s="184" t="str">
        <f>IFERROR(IF(VLOOKUP(Sun_W1[[#This Row],[Employee Name]],'Base Schedules'!$A$79:$AW$111,13,FALSE)="","",VLOOKUP(Sun_W1[[#This Row],[Employee Name]],'Base Schedules'!$A$79:$AW$111,13,FALSE)),"")</f>
        <v/>
      </c>
      <c r="O17" s="184" t="str">
        <f>IFERROR(IF(VLOOKUP(Sun_W1[[#This Row],[Employee Name]],'Base Schedules'!$A$79:$AW$111,14,FALSE)="","",VLOOKUP(Sun_W1[[#This Row],[Employee Name]],'Base Schedules'!$A$79:$AW$111,14,FALSE)),"")</f>
        <v>HL</v>
      </c>
      <c r="P17" s="184" t="str">
        <f>IFERROR(IF(VLOOKUP(Sun_W1[[#This Row],[Employee Name]],'Base Schedules'!$A$79:$AW$111,15,FALSE)="","",VLOOKUP(Sun_W1[[#This Row],[Employee Name]],'Base Schedules'!$A$79:$AW$111,15,FALSE)),"")</f>
        <v>HL</v>
      </c>
      <c r="Q17" s="184" t="str">
        <f>IFERROR(IF(VLOOKUP(Sun_W1[[#This Row],[Employee Name]],'Base Schedules'!$A$79:$AW$111,16,FALSE)="","",VLOOKUP(Sun_W1[[#This Row],[Employee Name]],'Base Schedules'!$A$79:$AW$111,16,FALSE)),"")</f>
        <v>ADM</v>
      </c>
      <c r="R17" s="184" t="str">
        <f>IFERROR(IF(VLOOKUP(Sun_W1[[#This Row],[Employee Name]],'Base Schedules'!$A$79:$AW$111,17,FALSE)="","",VLOOKUP(Sun_W1[[#This Row],[Employee Name]],'Base Schedules'!$A$79:$AW$111,17,FALSE)),"")</f>
        <v>ADM</v>
      </c>
      <c r="S17" s="184" t="str">
        <f>IFERROR(IF(VLOOKUP(Sun_W1[[#This Row],[Employee Name]],'Base Schedules'!$A$79:$AW$111,18,FALSE)="","",VLOOKUP(Sun_W1[[#This Row],[Employee Name]],'Base Schedules'!$A$79:$AW$111,18,FALSE)),"")</f>
        <v>B1 HL</v>
      </c>
      <c r="T17" s="184" t="str">
        <f>IFERROR(IF(VLOOKUP(Sun_W1[[#This Row],[Employee Name]],'Base Schedules'!$A$79:$AW$111,19,FALSE)="","",VLOOKUP(Sun_W1[[#This Row],[Employee Name]],'Base Schedules'!$A$79:$AW$111,19,FALSE)),"")</f>
        <v>HL</v>
      </c>
      <c r="U17" s="184" t="str">
        <f>IFERROR(IF(VLOOKUP(Sun_W1[[#This Row],[Employee Name]],'Base Schedules'!$A$79:$AW$111,20,FALSE)="","",VLOOKUP(Sun_W1[[#This Row],[Employee Name]],'Base Schedules'!$A$79:$AW$111,20,FALSE)),"")</f>
        <v>HL</v>
      </c>
      <c r="V17" s="184" t="str">
        <f>IFERROR(IF(VLOOKUP(Sun_W1[[#This Row],[Employee Name]],'Base Schedules'!$A$79:$AW$111,21,FALSE)="","",VLOOKUP(Sun_W1[[#This Row],[Employee Name]],'Base Schedules'!$A$79:$AW$111,21,FALSE)),"")</f>
        <v>RNNR</v>
      </c>
      <c r="W17" s="184" t="str">
        <f>IFERROR(IF(VLOOKUP(Sun_W1[[#This Row],[Employee Name]],'Base Schedules'!$A$79:$AW$111,22,FALSE)="","",VLOOKUP(Sun_W1[[#This Row],[Employee Name]],'Base Schedules'!$A$79:$AW$111,22,FALSE)),"")</f>
        <v>RNNR</v>
      </c>
      <c r="X17" s="184" t="str">
        <f>IFERROR(IF(VLOOKUP(Sun_W1[[#This Row],[Employee Name]],'Base Schedules'!$A$79:$AW$111,23,FALSE)="","",VLOOKUP(Sun_W1[[#This Row],[Employee Name]],'Base Schedules'!$A$79:$AW$111,23,FALSE)),"")</f>
        <v>LUNCH</v>
      </c>
      <c r="Y17" s="184" t="str">
        <f>IFERROR(IF(VLOOKUP(Sun_W1[[#This Row],[Employee Name]],'Base Schedules'!$A$79:$AW$111,24,FALSE)="","",VLOOKUP(Sun_W1[[#This Row],[Employee Name]],'Base Schedules'!$A$79:$AW$111,24,FALSE)),"")</f>
        <v>PROJECT</v>
      </c>
      <c r="Z17" s="184" t="str">
        <f>IFERROR(IF(VLOOKUP(Sun_W1[[#This Row],[Employee Name]],'Base Schedules'!$A$79:$AW$111,25,FALSE)="","",VLOOKUP(Sun_W1[[#This Row],[Employee Name]],'Base Schedules'!$A$79:$AW$111,25,FALSE)),"")</f>
        <v>PROJECT</v>
      </c>
      <c r="AA17" s="184" t="str">
        <f>IFERROR(IF(VLOOKUP(Sun_W1[[#This Row],[Employee Name]],'Base Schedules'!$A$79:$AW$111,26,FALSE)="","",VLOOKUP(Sun_W1[[#This Row],[Employee Name]],'Base Schedules'!$A$79:$AW$111,26,FALSE)),"")</f>
        <v>ADM</v>
      </c>
      <c r="AB17" s="184" t="str">
        <f>IFERROR(IF(VLOOKUP(Sun_W1[[#This Row],[Employee Name]],'Base Schedules'!$A$79:$AW$111,27,FALSE)="","",VLOOKUP(Sun_W1[[#This Row],[Employee Name]],'Base Schedules'!$A$79:$AW$111,27,FALSE)),"")</f>
        <v>ADM B2</v>
      </c>
      <c r="AC17" s="184" t="str">
        <f>IFERROR(IF(VLOOKUP(Sun_W1[[#This Row],[Employee Name]],'Base Schedules'!$A$79:$AW$111,28,FALSE)="","",VLOOKUP(Sun_W1[[#This Row],[Employee Name]],'Base Schedules'!$A$79:$AW$111,28,FALSE)),"")</f>
        <v>ADM</v>
      </c>
      <c r="AD17" s="184" t="str">
        <f>IFERROR(IF(VLOOKUP(Sun_W1[[#This Row],[Employee Name]],'Base Schedules'!$A$79:$AW$111,29,FALSE)="","",VLOOKUP(Sun_W1[[#This Row],[Employee Name]],'Base Schedules'!$A$79:$AW$111,29,FALSE)),"")</f>
        <v>HL</v>
      </c>
      <c r="AE17" s="184" t="str">
        <f>IFERROR(IF(VLOOKUP(Sun_W1[[#This Row],[Employee Name]],'Base Schedules'!$A$79:$AW$111,30,FALSE)="","",VLOOKUP(Sun_W1[[#This Row],[Employee Name]],'Base Schedules'!$A$79:$AW$111,30,FALSE)),"")</f>
        <v>ADM</v>
      </c>
      <c r="AF17" s="184" t="str">
        <f>IFERROR(IF(VLOOKUP(Sun_W1[[#This Row],[Employee Name]],'Base Schedules'!$A$79:$AW$111,31,FALSE)="","",VLOOKUP(Sun_W1[[#This Row],[Employee Name]],'Base Schedules'!$A$79:$AW$111,31,FALSE)),"")</f>
        <v/>
      </c>
      <c r="AG17" s="184" t="str">
        <f>IFERROR(IF(VLOOKUP(Sun_W1[[#This Row],[Employee Name]],'Base Schedules'!$A$79:$AW$111,32,FALSE)="","",VLOOKUP(Sun_W1[[#This Row],[Employee Name]],'Base Schedules'!$A$79:$AW$111,32,FALSE)),"")</f>
        <v/>
      </c>
      <c r="AH17" s="184" t="str">
        <f>IFERROR(IF(VLOOKUP(Sun_W1[[#This Row],[Employee Name]],'Base Schedules'!$A$79:$AW$111,33,FALSE)="","",VLOOKUP(Sun_W1[[#This Row],[Employee Name]],'Base Schedules'!$A$79:$AW$111,33,FALSE)),"")</f>
        <v/>
      </c>
      <c r="AI17" s="184" t="str">
        <f>IFERROR(IF(VLOOKUP(Sun_W1[[#This Row],[Employee Name]],'Base Schedules'!$A$79:$AW$111,34,FALSE)="","",VLOOKUP(Sun_W1[[#This Row],[Employee Name]],'Base Schedules'!$A$79:$AW$111,34,FALSE)),"")</f>
        <v/>
      </c>
      <c r="AJ17" s="184" t="str">
        <f>IFERROR(IF(VLOOKUP(Sun_W1[[#This Row],[Employee Name]],'Base Schedules'!$A$79:$AW$111,35,FALSE)="","",VLOOKUP(Sun_W1[[#This Row],[Employee Name]],'Base Schedules'!$A$79:$AW$111,35,FALSE)),"")</f>
        <v/>
      </c>
      <c r="AK17" s="184" t="str">
        <f>IFERROR(IF(VLOOKUP(Sun_W1[[#This Row],[Employee Name]],'Base Schedules'!$A$79:$AW$111,36,FALSE)="","",VLOOKUP(Sun_W1[[#This Row],[Employee Name]],'Base Schedules'!$A$79:$AW$111,36,FALSE)),"")</f>
        <v/>
      </c>
      <c r="AL17" s="184" t="str">
        <f>IFERROR(IF(VLOOKUP(Sun_W1[[#This Row],[Employee Name]],'Base Schedules'!$A$79:$AW$111,37,FALSE)="","",VLOOKUP(Sun_W1[[#This Row],[Employee Name]],'Base Schedules'!$A$79:$AW$111,37,FALSE)),"")</f>
        <v/>
      </c>
      <c r="AM17" s="184" t="str">
        <f>IFERROR(IF(VLOOKUP(Sun_W1[[#This Row],[Employee Name]],'Base Schedules'!$A$79:$AW$111,38,FALSE)="","",VLOOKUP(Sun_W1[[#This Row],[Employee Name]],'Base Schedules'!$A$79:$AW$111,38,FALSE)),"")</f>
        <v/>
      </c>
      <c r="AN17" s="184" t="str">
        <f>IFERROR(IF(VLOOKUP(Sun_W1[[#This Row],[Employee Name]],'Base Schedules'!$A$79:$AW$111,39,FALSE)="","",VLOOKUP(Sun_W1[[#This Row],[Employee Name]],'Base Schedules'!$A$79:$AW$111,39,FALSE)),"")</f>
        <v/>
      </c>
      <c r="AO17" s="184" t="str">
        <f>IFERROR(IF(VLOOKUP(Sun_W1[[#This Row],[Employee Name]],'Base Schedules'!$A$79:$AW$111,40,FALSE)="","",VLOOKUP(Sun_W1[[#This Row],[Employee Name]],'Base Schedules'!$A$79:$AW$111,40,FALSE)),"")</f>
        <v/>
      </c>
      <c r="AP17" s="184" t="str">
        <f>IFERROR(IF(VLOOKUP(Sun_W1[[#This Row],[Employee Name]],'Base Schedules'!$A$79:$AW$111,41,FALSE)="","",VLOOKUP(Sun_W1[[#This Row],[Employee Name]],'Base Schedules'!$A$79:$AW$111,41,FALSE)),"")</f>
        <v/>
      </c>
      <c r="AQ17" s="184" t="str">
        <f>IFERROR(IF(VLOOKUP(Sun_W1[[#This Row],[Employee Name]],'Base Schedules'!$A$79:$AW$111,42,FALSE)="","",VLOOKUP(Sun_W1[[#This Row],[Employee Name]],'Base Schedules'!$A$79:$AW$111,42,FALSE)),"")</f>
        <v/>
      </c>
      <c r="AR17" s="184" t="str">
        <f>IFERROR(IF(VLOOKUP(Sun_W1[[#This Row],[Employee Name]],'Base Schedules'!$A$79:$AW$111,43,FALSE)="","",VLOOKUP(Sun_W1[[#This Row],[Employee Name]],'Base Schedules'!$A$79:$AW$111,43,FALSE)),"")</f>
        <v/>
      </c>
      <c r="AS17" s="184" t="str">
        <f>IFERROR(IF(VLOOKUP(Sun_W1[[#This Row],[Employee Name]],'Base Schedules'!$A$79:$AW$111,44,FALSE)="","",VLOOKUP(Sun_W1[[#This Row],[Employee Name]],'Base Schedules'!$A$79:$AW$111,44,FALSE)),"")</f>
        <v/>
      </c>
      <c r="AT17" s="184" t="str">
        <f>IFERROR(IF(VLOOKUP(Sun_W1[[#This Row],[Employee Name]],'Base Schedules'!$A$79:$AW$111,45,FALSE)="","",VLOOKUP(Sun_W1[[#This Row],[Employee Name]],'Base Schedules'!$A$79:$AW$111,45,FALSE)),"")</f>
        <v/>
      </c>
      <c r="AU17" s="184" t="str">
        <f>IFERROR(IF(VLOOKUP(Sun_W1[[#This Row],[Employee Name]],'Base Schedules'!$A$79:$AW$111,46,FALSE)="","",VLOOKUP(Sun_W1[[#This Row],[Employee Name]],'Base Schedules'!$A$79:$AW$111,46,FALSE)),"")</f>
        <v/>
      </c>
      <c r="AV17" s="184" t="str">
        <f>IFERROR(IF(VLOOKUP(Sun_W1[[#This Row],[Employee Name]],'Base Schedules'!$A$79:$AW$111,47,FALSE)="","",VLOOKUP(Sun_W1[[#This Row],[Employee Name]],'Base Schedules'!$A$79:$AW$111,47,FALSE)),"")</f>
        <v/>
      </c>
      <c r="AW17" s="184" t="str">
        <f>IFERROR(IF(VLOOKUP(Sun_W1[[#This Row],[Employee Name]],'Base Schedules'!$A$79:$AW$111,48,FALSE)="","",VLOOKUP(Sun_W1[[#This Row],[Employee Name]],'Base Schedules'!$A$79:$AW$111,48,FALSE)),"")</f>
        <v/>
      </c>
      <c r="AX17" s="184" t="str">
        <f>IFERROR(IF(VLOOKUP(Sun_W1[[#This Row],[Employee Name]],'Base Schedules'!$A$79:$AW$111,49,FALSE)="","",VLOOKUP(Sun_W1[[#This Row],[Employee Name]],'Base Schedules'!$A$79:$AW$111,49,FALSE)),"")</f>
        <v/>
      </c>
      <c r="AY17" s="159" t="str">
        <f t="shared" si="2"/>
        <v>Fine, Melissa</v>
      </c>
    </row>
    <row r="18" spans="1:51" s="44" customFormat="1" ht="12" x14ac:dyDescent="0.2">
      <c r="A18" s="201"/>
      <c r="B18" s="201" t="s">
        <v>41</v>
      </c>
      <c r="C18" s="257" t="str">
        <f>_xlfn.IFNA(VLOOKUP(Sun_W1[[#This Row],[Employee Name]],'Base Schedules'!A:B,2,FALSE),"")</f>
        <v>Lead</v>
      </c>
      <c r="D18" s="274">
        <f>_xlfn.IFNA(VLOOKUP(Sun_W1[[#This Row],[Employee Name]],'Base Schedules'!A:C,3,FALSE),"")</f>
        <v>800</v>
      </c>
      <c r="E18" s="274">
        <f>_xlfn.IFNA(VLOOKUP(Sun_W1[[#This Row],[Employee Name]],'Base Schedules'!A:D,4,FALSE),"")</f>
        <v>1630</v>
      </c>
      <c r="F18" s="142">
        <f>IF(Sun_W1[[#This Row],[Employee Name]]="","",IF(Sun_W1[[#This Row],[Dept]]="Supervisor",COUNTIFS($J18:$AX18,"*HL*",$J18:$AX18,"&lt;&gt;"&amp;"pHL"),COUNTIFS($J18:$AX18,"*HL*",$J18:$AX18,"&lt;&gt;"&amp;"*pHL*",$J18:$AX18,"&lt;&gt;"&amp;"pB1 HL",$J18:$AX18,"&lt;&gt;"&amp;"pB2 HL")-SUM(COUNTIFS($J18:$AX18,"*HL B1*",$J18:$AX18,"&lt;&gt;"&amp;"pHL B1")*0.5,COUNTIFS($J18:$AX18,"*HL B2*",$J18:$AX18,"&lt;&gt;"&amp;"pHL B2")*0.5,COUNTIFS($J18:$AX18,"*B1 HL*",$J18:$AX18,"&lt;&gt;"&amp;"pB1 HL")*0.5,COUNTIFS($J18:$AX18,"*B2 HL*",$J18:$AX18,"&lt;&gt;"&amp;"pB2 HL")*0.5)))</f>
        <v>8.5</v>
      </c>
      <c r="G18" s="142">
        <f t="shared" si="0"/>
        <v>0</v>
      </c>
      <c r="H18" s="142">
        <f t="shared" si="1"/>
        <v>5</v>
      </c>
      <c r="I18" s="142">
        <f>IF(Sun_W1[[#This Row],[Employee Name]]="","",IF(Sun_W1[[#This Row],[Dept]]="Supervisor",SUM(COUNTIFS($J18:$AX18,"RTA*",$J18:$AX18,"&lt;&gt;"&amp;"pRTA"),COUNTIFS($J18:$AX18,"*CRTA*",$J18:$AX18,"&lt;&gt;"&amp;"pCRTA")),COUNTIFS($J18:$AX18,"*RNNR*",$J18:$AX18,"&lt;&gt;"&amp;"*pRNNR*",$J18:$AX18,"&lt;&gt;"&amp;"pB1 RNNR",$J18:$AX18,"&lt;&gt;"&amp;"pB2 RNNR")-SUM(COUNTIFS($J18:$AX18,"*RNNR B1*",$J18:$AX18,"&lt;&gt;"&amp;"pRNNR B1")*0.5,COUNTIFS($J18:$AX18,"*RNNR B2*",$J18:$AX18,"&lt;&gt;"&amp;"pRNNR B2")*0.5,COUNTIFS($J18:$AX18,"*B1 RNNR*",$J18:$AX18,"&lt;&gt;"&amp;"pB1 RNNR")*0.5,COUNTIFS($J18:$AX18,"*B2 RNNR*",$J18:$AX18,"&lt;&gt;"&amp;"pB2 RNNR")*0.5)))</f>
        <v>0</v>
      </c>
      <c r="J18" s="184" t="str">
        <f>IFERROR(IF(VLOOKUP(Sun_W1[[#This Row],[Employee Name]],'Base Schedules'!$A$79:$AW$111,9,FALSE)="","",VLOOKUP(Sun_W1[[#This Row],[Employee Name]],'Base Schedules'!$A$79:$AW$111,9,FALSE)),"")</f>
        <v/>
      </c>
      <c r="K18" s="184" t="str">
        <f>IFERROR(IF(VLOOKUP(Sun_W1[[#This Row],[Employee Name]],'Base Schedules'!$A$79:$AW$111,10,FALSE)="","",VLOOKUP(Sun_W1[[#This Row],[Employee Name]],'Base Schedules'!$A$79:$AW$111,10,FALSE)),"")</f>
        <v/>
      </c>
      <c r="L18" s="184" t="str">
        <f>IFERROR(IF(VLOOKUP(Sun_W1[[#This Row],[Employee Name]],'Base Schedules'!$A$79:$AW$111,11,FALSE)="","",VLOOKUP(Sun_W1[[#This Row],[Employee Name]],'Base Schedules'!$A$79:$AW$111,11,FALSE)),"")</f>
        <v/>
      </c>
      <c r="M18" s="184" t="str">
        <f>IFERROR(IF(VLOOKUP(Sun_W1[[#This Row],[Employee Name]],'Base Schedules'!$A$79:$AW$111,12,FALSE)="","",VLOOKUP(Sun_W1[[#This Row],[Employee Name]],'Base Schedules'!$A$79:$AW$111,12,FALSE)),"")</f>
        <v/>
      </c>
      <c r="N18" s="184" t="str">
        <f>IFERROR(IF(VLOOKUP(Sun_W1[[#This Row],[Employee Name]],'Base Schedules'!$A$79:$AW$111,13,FALSE)="","",VLOOKUP(Sun_W1[[#This Row],[Employee Name]],'Base Schedules'!$A$79:$AW$111,13,FALSE)),"")</f>
        <v/>
      </c>
      <c r="O18" s="184" t="str">
        <f>IFERROR(IF(VLOOKUP(Sun_W1[[#This Row],[Employee Name]],'Base Schedules'!$A$79:$AW$111,14,FALSE)="","",VLOOKUP(Sun_W1[[#This Row],[Employee Name]],'Base Schedules'!$A$79:$AW$111,14,FALSE)),"")</f>
        <v/>
      </c>
      <c r="P18" s="184" t="str">
        <f>IFERROR(IF(VLOOKUP(Sun_W1[[#This Row],[Employee Name]],'Base Schedules'!$A$79:$AW$111,15,FALSE)="","",VLOOKUP(Sun_W1[[#This Row],[Employee Name]],'Base Schedules'!$A$79:$AW$111,15,FALSE)),"")</f>
        <v>HL</v>
      </c>
      <c r="Q18" s="184" t="str">
        <f>IFERROR(IF(VLOOKUP(Sun_W1[[#This Row],[Employee Name]],'Base Schedules'!$A$79:$AW$111,16,FALSE)="","",VLOOKUP(Sun_W1[[#This Row],[Employee Name]],'Base Schedules'!$A$79:$AW$111,16,FALSE)),"")</f>
        <v>HL</v>
      </c>
      <c r="R18" s="184" t="str">
        <f>IFERROR(IF(VLOOKUP(Sun_W1[[#This Row],[Employee Name]],'Base Schedules'!$A$79:$AW$111,17,FALSE)="","",VLOOKUP(Sun_W1[[#This Row],[Employee Name]],'Base Schedules'!$A$79:$AW$111,17,FALSE)),"")</f>
        <v>ADM</v>
      </c>
      <c r="S18" s="184" t="str">
        <f>IFERROR(IF(VLOOKUP(Sun_W1[[#This Row],[Employee Name]],'Base Schedules'!$A$79:$AW$111,18,FALSE)="","",VLOOKUP(Sun_W1[[#This Row],[Employee Name]],'Base Schedules'!$A$79:$AW$111,18,FALSE)),"")</f>
        <v>ADM</v>
      </c>
      <c r="T18" s="184" t="str">
        <f>IFERROR(IF(VLOOKUP(Sun_W1[[#This Row],[Employee Name]],'Base Schedules'!$A$79:$AW$111,19,FALSE)="","",VLOOKUP(Sun_W1[[#This Row],[Employee Name]],'Base Schedules'!$A$79:$AW$111,19,FALSE)),"")</f>
        <v>B1 HL</v>
      </c>
      <c r="U18" s="184" t="str">
        <f>IFERROR(IF(VLOOKUP(Sun_W1[[#This Row],[Employee Name]],'Base Schedules'!$A$79:$AW$111,20,FALSE)="","",VLOOKUP(Sun_W1[[#This Row],[Employee Name]],'Base Schedules'!$A$79:$AW$111,20,FALSE)),"")</f>
        <v>HL</v>
      </c>
      <c r="V18" s="184" t="str">
        <f>IFERROR(IF(VLOOKUP(Sun_W1[[#This Row],[Employee Name]],'Base Schedules'!$A$79:$AW$111,21,FALSE)="","",VLOOKUP(Sun_W1[[#This Row],[Employee Name]],'Base Schedules'!$A$79:$AW$111,21,FALSE)),"")</f>
        <v>HL</v>
      </c>
      <c r="W18" s="184" t="str">
        <f>IFERROR(IF(VLOOKUP(Sun_W1[[#This Row],[Employee Name]],'Base Schedules'!$A$79:$AW$111,22,FALSE)="","",VLOOKUP(Sun_W1[[#This Row],[Employee Name]],'Base Schedules'!$A$79:$AW$111,22,FALSE)),"")</f>
        <v>PROJECT</v>
      </c>
      <c r="X18" s="184" t="str">
        <f>IFERROR(IF(VLOOKUP(Sun_W1[[#This Row],[Employee Name]],'Base Schedules'!$A$79:$AW$111,23,FALSE)="","",VLOOKUP(Sun_W1[[#This Row],[Employee Name]],'Base Schedules'!$A$79:$AW$111,23,FALSE)),"")</f>
        <v>PROJECT</v>
      </c>
      <c r="Y18" s="184" t="str">
        <f>IFERROR(IF(VLOOKUP(Sun_W1[[#This Row],[Employee Name]],'Base Schedules'!$A$79:$AW$111,24,FALSE)="","",VLOOKUP(Sun_W1[[#This Row],[Employee Name]],'Base Schedules'!$A$79:$AW$111,24,FALSE)),"")</f>
        <v>LUNCH</v>
      </c>
      <c r="Z18" s="184" t="str">
        <f>IFERROR(IF(VLOOKUP(Sun_W1[[#This Row],[Employee Name]],'Base Schedules'!$A$79:$AW$111,25,FALSE)="","",VLOOKUP(Sun_W1[[#This Row],[Employee Name]],'Base Schedules'!$A$79:$AW$111,25,FALSE)),"")</f>
        <v>HL</v>
      </c>
      <c r="AA18" s="184" t="str">
        <f>IFERROR(IF(VLOOKUP(Sun_W1[[#This Row],[Employee Name]],'Base Schedules'!$A$79:$AW$111,26,FALSE)="","",VLOOKUP(Sun_W1[[#This Row],[Employee Name]],'Base Schedules'!$A$79:$AW$111,26,FALSE)),"")</f>
        <v>HL</v>
      </c>
      <c r="AB18" s="184" t="str">
        <f>IFERROR(IF(VLOOKUP(Sun_W1[[#This Row],[Employee Name]],'Base Schedules'!$A$79:$AW$111,27,FALSE)="","",VLOOKUP(Sun_W1[[#This Row],[Employee Name]],'Base Schedules'!$A$79:$AW$111,27,FALSE)),"")</f>
        <v>HL</v>
      </c>
      <c r="AC18" s="184" t="str">
        <f>IFERROR(IF(VLOOKUP(Sun_W1[[#This Row],[Employee Name]],'Base Schedules'!$A$79:$AW$111,28,FALSE)="","",VLOOKUP(Sun_W1[[#This Row],[Employee Name]],'Base Schedules'!$A$79:$AW$111,28,FALSE)),"")</f>
        <v>B2 ADM</v>
      </c>
      <c r="AD18" s="184" t="str">
        <f>IFERROR(IF(VLOOKUP(Sun_W1[[#This Row],[Employee Name]],'Base Schedules'!$A$79:$AW$111,29,FALSE)="","",VLOOKUP(Sun_W1[[#This Row],[Employee Name]],'Base Schedules'!$A$79:$AW$111,29,FALSE)),"")</f>
        <v>ADM</v>
      </c>
      <c r="AE18" s="184" t="str">
        <f>IFERROR(IF(VLOOKUP(Sun_W1[[#This Row],[Employee Name]],'Base Schedules'!$A$79:$AW$111,30,FALSE)="","",VLOOKUP(Sun_W1[[#This Row],[Employee Name]],'Base Schedules'!$A$79:$AW$111,30,FALSE)),"")</f>
        <v>ADM</v>
      </c>
      <c r="AF18" s="184" t="str">
        <f>IFERROR(IF(VLOOKUP(Sun_W1[[#This Row],[Employee Name]],'Base Schedules'!$A$79:$AW$111,31,FALSE)="","",VLOOKUP(Sun_W1[[#This Row],[Employee Name]],'Base Schedules'!$A$79:$AW$111,31,FALSE)),"")</f>
        <v>HL</v>
      </c>
      <c r="AG18" s="184" t="str">
        <f>IFERROR(IF(VLOOKUP(Sun_W1[[#This Row],[Employee Name]],'Base Schedules'!$A$79:$AW$111,32,FALSE)="","",VLOOKUP(Sun_W1[[#This Row],[Employee Name]],'Base Schedules'!$A$79:$AW$111,32,FALSE)),"")</f>
        <v/>
      </c>
      <c r="AH18" s="184" t="str">
        <f>IFERROR(IF(VLOOKUP(Sun_W1[[#This Row],[Employee Name]],'Base Schedules'!$A$79:$AW$111,33,FALSE)="","",VLOOKUP(Sun_W1[[#This Row],[Employee Name]],'Base Schedules'!$A$79:$AW$111,33,FALSE)),"")</f>
        <v/>
      </c>
      <c r="AI18" s="184" t="str">
        <f>IFERROR(IF(VLOOKUP(Sun_W1[[#This Row],[Employee Name]],'Base Schedules'!$A$79:$AW$111,34,FALSE)="","",VLOOKUP(Sun_W1[[#This Row],[Employee Name]],'Base Schedules'!$A$79:$AW$111,34,FALSE)),"")</f>
        <v/>
      </c>
      <c r="AJ18" s="184" t="str">
        <f>IFERROR(IF(VLOOKUP(Sun_W1[[#This Row],[Employee Name]],'Base Schedules'!$A$79:$AW$111,35,FALSE)="","",VLOOKUP(Sun_W1[[#This Row],[Employee Name]],'Base Schedules'!$A$79:$AW$111,35,FALSE)),"")</f>
        <v/>
      </c>
      <c r="AK18" s="184" t="str">
        <f>IFERROR(IF(VLOOKUP(Sun_W1[[#This Row],[Employee Name]],'Base Schedules'!$A$79:$AW$111,36,FALSE)="","",VLOOKUP(Sun_W1[[#This Row],[Employee Name]],'Base Schedules'!$A$79:$AW$111,36,FALSE)),"")</f>
        <v/>
      </c>
      <c r="AL18" s="184" t="str">
        <f>IFERROR(IF(VLOOKUP(Sun_W1[[#This Row],[Employee Name]],'Base Schedules'!$A$79:$AW$111,37,FALSE)="","",VLOOKUP(Sun_W1[[#This Row],[Employee Name]],'Base Schedules'!$A$79:$AW$111,37,FALSE)),"")</f>
        <v/>
      </c>
      <c r="AM18" s="184" t="str">
        <f>IFERROR(IF(VLOOKUP(Sun_W1[[#This Row],[Employee Name]],'Base Schedules'!$A$79:$AW$111,38,FALSE)="","",VLOOKUP(Sun_W1[[#This Row],[Employee Name]],'Base Schedules'!$A$79:$AW$111,38,FALSE)),"")</f>
        <v/>
      </c>
      <c r="AN18" s="184" t="str">
        <f>IFERROR(IF(VLOOKUP(Sun_W1[[#This Row],[Employee Name]],'Base Schedules'!$A$79:$AW$111,39,FALSE)="","",VLOOKUP(Sun_W1[[#This Row],[Employee Name]],'Base Schedules'!$A$79:$AW$111,39,FALSE)),"")</f>
        <v/>
      </c>
      <c r="AO18" s="184" t="str">
        <f>IFERROR(IF(VLOOKUP(Sun_W1[[#This Row],[Employee Name]],'Base Schedules'!$A$79:$AW$111,40,FALSE)="","",VLOOKUP(Sun_W1[[#This Row],[Employee Name]],'Base Schedules'!$A$79:$AW$111,40,FALSE)),"")</f>
        <v/>
      </c>
      <c r="AP18" s="184" t="str">
        <f>IFERROR(IF(VLOOKUP(Sun_W1[[#This Row],[Employee Name]],'Base Schedules'!$A$79:$AW$111,41,FALSE)="","",VLOOKUP(Sun_W1[[#This Row],[Employee Name]],'Base Schedules'!$A$79:$AW$111,41,FALSE)),"")</f>
        <v/>
      </c>
      <c r="AQ18" s="184" t="str">
        <f>IFERROR(IF(VLOOKUP(Sun_W1[[#This Row],[Employee Name]],'Base Schedules'!$A$79:$AW$111,42,FALSE)="","",VLOOKUP(Sun_W1[[#This Row],[Employee Name]],'Base Schedules'!$A$79:$AW$111,42,FALSE)),"")</f>
        <v/>
      </c>
      <c r="AR18" s="184" t="str">
        <f>IFERROR(IF(VLOOKUP(Sun_W1[[#This Row],[Employee Name]],'Base Schedules'!$A$79:$AW$111,43,FALSE)="","",VLOOKUP(Sun_W1[[#This Row],[Employee Name]],'Base Schedules'!$A$79:$AW$111,43,FALSE)),"")</f>
        <v/>
      </c>
      <c r="AS18" s="184" t="str">
        <f>IFERROR(IF(VLOOKUP(Sun_W1[[#This Row],[Employee Name]],'Base Schedules'!$A$79:$AW$111,44,FALSE)="","",VLOOKUP(Sun_W1[[#This Row],[Employee Name]],'Base Schedules'!$A$79:$AW$111,44,FALSE)),"")</f>
        <v/>
      </c>
      <c r="AT18" s="184" t="str">
        <f>IFERROR(IF(VLOOKUP(Sun_W1[[#This Row],[Employee Name]],'Base Schedules'!$A$79:$AW$111,45,FALSE)="","",VLOOKUP(Sun_W1[[#This Row],[Employee Name]],'Base Schedules'!$A$79:$AW$111,45,FALSE)),"")</f>
        <v/>
      </c>
      <c r="AU18" s="184" t="str">
        <f>IFERROR(IF(VLOOKUP(Sun_W1[[#This Row],[Employee Name]],'Base Schedules'!$A$79:$AW$111,46,FALSE)="","",VLOOKUP(Sun_W1[[#This Row],[Employee Name]],'Base Schedules'!$A$79:$AW$111,46,FALSE)),"")</f>
        <v/>
      </c>
      <c r="AV18" s="184" t="str">
        <f>IFERROR(IF(VLOOKUP(Sun_W1[[#This Row],[Employee Name]],'Base Schedules'!$A$79:$AW$111,47,FALSE)="","",VLOOKUP(Sun_W1[[#This Row],[Employee Name]],'Base Schedules'!$A$79:$AW$111,47,FALSE)),"")</f>
        <v/>
      </c>
      <c r="AW18" s="184" t="str">
        <f>IFERROR(IF(VLOOKUP(Sun_W1[[#This Row],[Employee Name]],'Base Schedules'!$A$79:$AW$111,48,FALSE)="","",VLOOKUP(Sun_W1[[#This Row],[Employee Name]],'Base Schedules'!$A$79:$AW$111,48,FALSE)),"")</f>
        <v/>
      </c>
      <c r="AX18" s="184" t="str">
        <f>IFERROR(IF(VLOOKUP(Sun_W1[[#This Row],[Employee Name]],'Base Schedules'!$A$79:$AW$111,49,FALSE)="","",VLOOKUP(Sun_W1[[#This Row],[Employee Name]],'Base Schedules'!$A$79:$AW$111,49,FALSE)),"")</f>
        <v/>
      </c>
      <c r="AY18" s="159" t="str">
        <f t="shared" si="2"/>
        <v>Harley, Timothy</v>
      </c>
    </row>
    <row r="19" spans="1:51" s="44" customFormat="1" ht="12" x14ac:dyDescent="0.2">
      <c r="A19" s="201"/>
      <c r="B19" s="201" t="s">
        <v>70</v>
      </c>
      <c r="C19" s="257" t="str">
        <f>_xlfn.IFNA(VLOOKUP(Sun_W1[[#This Row],[Employee Name]],'Base Schedules'!A:B,2,FALSE),"")</f>
        <v>Supervisor</v>
      </c>
      <c r="D19" s="274">
        <f>_xlfn.IFNA(VLOOKUP(Sun_W1[[#This Row],[Employee Name]],'Base Schedules'!A:C,3,FALSE),"")</f>
        <v>800</v>
      </c>
      <c r="E19" s="274">
        <f>_xlfn.IFNA(VLOOKUP(Sun_W1[[#This Row],[Employee Name]],'Base Schedules'!A:D,4,FALSE),"")</f>
        <v>1700</v>
      </c>
      <c r="F19" s="142">
        <f>IF(Sun_W1[[#This Row],[Employee Name]]="","",IF(Sun_W1[[#This Row],[Dept]]="Supervisor",COUNTIFS($J19:$AX19,"*HL*",$J19:$AX19,"&lt;&gt;"&amp;"pHL"),COUNTIFS($J19:$AX19,"*HL*",$J19:$AX19,"&lt;&gt;"&amp;"*pHL*",$J19:$AX19,"&lt;&gt;"&amp;"pB1 HL",$J19:$AX19,"&lt;&gt;"&amp;"pB2 HL")-SUM(COUNTIFS($J19:$AX19,"*HL B1*",$J19:$AX19,"&lt;&gt;"&amp;"pHL B1")*0.5,COUNTIFS($J19:$AX19,"*HL B2*",$J19:$AX19,"&lt;&gt;"&amp;"pHL B2")*0.5,COUNTIFS($J19:$AX19,"*B1 HL*",$J19:$AX19,"&lt;&gt;"&amp;"pB1 HL")*0.5,COUNTIFS($J19:$AX19,"*B2 HL*",$J19:$AX19,"&lt;&gt;"&amp;"pB2 HL")*0.5)))</f>
        <v>0</v>
      </c>
      <c r="G19" s="142">
        <f t="shared" si="0"/>
        <v>4</v>
      </c>
      <c r="H19" s="142">
        <f t="shared" si="1"/>
        <v>0</v>
      </c>
      <c r="I19" s="142">
        <f>IF(Sun_W1[[#This Row],[Employee Name]]="","",IF(Sun_W1[[#This Row],[Dept]]="Supervisor",SUM(COUNTIFS($J19:$AX19,"RTA*",$J19:$AX19,"&lt;&gt;"&amp;"pRTA"),COUNTIFS($J19:$AX19,"*CRTA*",$J19:$AX19,"&lt;&gt;"&amp;"pCRTA")),COUNTIFS($J19:$AX19,"*RNNR*",$J19:$AX19,"&lt;&gt;"&amp;"*pRNNR*",$J19:$AX19,"&lt;&gt;"&amp;"pB1 RNNR",$J19:$AX19,"&lt;&gt;"&amp;"pB2 RNNR")-SUM(COUNTIFS($J19:$AX19,"*RNNR B1*",$J19:$AX19,"&lt;&gt;"&amp;"pRNNR B1")*0.5,COUNTIFS($J19:$AX19,"*RNNR B2*",$J19:$AX19,"&lt;&gt;"&amp;"pRNNR B2")*0.5,COUNTIFS($J19:$AX19,"*B1 RNNR*",$J19:$AX19,"&lt;&gt;"&amp;"pB1 RNNR")*0.5,COUNTIFS($J19:$AX19,"*B2 RNNR*",$J19:$AX19,"&lt;&gt;"&amp;"pB2 RNNR")*0.5)))</f>
        <v>0</v>
      </c>
      <c r="J19" s="184" t="str">
        <f>IFERROR(IF(VLOOKUP(Sun_W1[[#This Row],[Employee Name]],'Base Schedules'!$A$79:$AW$111,9,FALSE)="","",VLOOKUP(Sun_W1[[#This Row],[Employee Name]],'Base Schedules'!$A$79:$AW$111,9,FALSE)),"")</f>
        <v/>
      </c>
      <c r="K19" s="184" t="str">
        <f>IFERROR(IF(VLOOKUP(Sun_W1[[#This Row],[Employee Name]],'Base Schedules'!$A$79:$AW$111,10,FALSE)="","",VLOOKUP(Sun_W1[[#This Row],[Employee Name]],'Base Schedules'!$A$79:$AW$111,10,FALSE)),"")</f>
        <v/>
      </c>
      <c r="L19" s="184" t="str">
        <f>IFERROR(IF(VLOOKUP(Sun_W1[[#This Row],[Employee Name]],'Base Schedules'!$A$79:$AW$111,11,FALSE)="","",VLOOKUP(Sun_W1[[#This Row],[Employee Name]],'Base Schedules'!$A$79:$AW$111,11,FALSE)),"")</f>
        <v/>
      </c>
      <c r="M19" s="184" t="str">
        <f>IFERROR(IF(VLOOKUP(Sun_W1[[#This Row],[Employee Name]],'Base Schedules'!$A$79:$AW$111,12,FALSE)="","",VLOOKUP(Sun_W1[[#This Row],[Employee Name]],'Base Schedules'!$A$79:$AW$111,12,FALSE)),"")</f>
        <v/>
      </c>
      <c r="N19" s="184" t="str">
        <f>IFERROR(IF(VLOOKUP(Sun_W1[[#This Row],[Employee Name]],'Base Schedules'!$A$79:$AW$111,13,FALSE)="","",VLOOKUP(Sun_W1[[#This Row],[Employee Name]],'Base Schedules'!$A$79:$AW$111,13,FALSE)),"")</f>
        <v/>
      </c>
      <c r="O19" s="184" t="str">
        <f>IFERROR(IF(VLOOKUP(Sun_W1[[#This Row],[Employee Name]],'Base Schedules'!$A$79:$AW$111,14,FALSE)="","",VLOOKUP(Sun_W1[[#This Row],[Employee Name]],'Base Schedules'!$A$79:$AW$111,14,FALSE)),"")</f>
        <v/>
      </c>
      <c r="P19" s="184" t="str">
        <f>IFERROR(IF(VLOOKUP(Sun_W1[[#This Row],[Employee Name]],'Base Schedules'!$A$79:$AW$111,15,FALSE)="","",VLOOKUP(Sun_W1[[#This Row],[Employee Name]],'Base Schedules'!$A$79:$AW$111,15,FALSE)),"")</f>
        <v>-</v>
      </c>
      <c r="Q19" s="184" t="str">
        <f>IFERROR(IF(VLOOKUP(Sun_W1[[#This Row],[Employee Name]],'Base Schedules'!$A$79:$AW$111,16,FALSE)="","",VLOOKUP(Sun_W1[[#This Row],[Employee Name]],'Base Schedules'!$A$79:$AW$111,16,FALSE)),"")</f>
        <v>-</v>
      </c>
      <c r="R19" s="184" t="str">
        <f>IFERROR(IF(VLOOKUP(Sun_W1[[#This Row],[Employee Name]],'Base Schedules'!$A$79:$AW$111,17,FALSE)="","",VLOOKUP(Sun_W1[[#This Row],[Employee Name]],'Base Schedules'!$A$79:$AW$111,17,FALSE)),"")</f>
        <v>-</v>
      </c>
      <c r="S19" s="184" t="str">
        <f>IFERROR(IF(VLOOKUP(Sun_W1[[#This Row],[Employee Name]],'Base Schedules'!$A$79:$AW$111,18,FALSE)="","",VLOOKUP(Sun_W1[[#This Row],[Employee Name]],'Base Schedules'!$A$79:$AW$111,18,FALSE)),"")</f>
        <v>Coaching</v>
      </c>
      <c r="T19" s="184" t="str">
        <f>IFERROR(IF(VLOOKUP(Sun_W1[[#This Row],[Employee Name]],'Base Schedules'!$A$79:$AW$111,19,FALSE)="","",VLOOKUP(Sun_W1[[#This Row],[Employee Name]],'Base Schedules'!$A$79:$AW$111,19,FALSE)),"")</f>
        <v>Coaching</v>
      </c>
      <c r="U19" s="184" t="str">
        <f>IFERROR(IF(VLOOKUP(Sun_W1[[#This Row],[Employee Name]],'Base Schedules'!$A$79:$AW$111,20,FALSE)="","",VLOOKUP(Sun_W1[[#This Row],[Employee Name]],'Base Schedules'!$A$79:$AW$111,20,FALSE)),"")</f>
        <v>Coaching</v>
      </c>
      <c r="V19" s="184" t="str">
        <f>IFERROR(IF(VLOOKUP(Sun_W1[[#This Row],[Employee Name]],'Base Schedules'!$A$79:$AW$111,21,FALSE)="","",VLOOKUP(Sun_W1[[#This Row],[Employee Name]],'Base Schedules'!$A$79:$AW$111,21,FALSE)),"")</f>
        <v>Coaching</v>
      </c>
      <c r="W19" s="184" t="str">
        <f>IFERROR(IF(VLOOKUP(Sun_W1[[#This Row],[Employee Name]],'Base Schedules'!$A$79:$AW$111,22,FALSE)="","",VLOOKUP(Sun_W1[[#This Row],[Employee Name]],'Base Schedules'!$A$79:$AW$111,22,FALSE)),"")</f>
        <v>-</v>
      </c>
      <c r="X19" s="184" t="str">
        <f>IFERROR(IF(VLOOKUP(Sun_W1[[#This Row],[Employee Name]],'Base Schedules'!$A$79:$AW$111,23,FALSE)="","",VLOOKUP(Sun_W1[[#This Row],[Employee Name]],'Base Schedules'!$A$79:$AW$111,23,FALSE)),"")</f>
        <v>-</v>
      </c>
      <c r="Y19" s="184" t="str">
        <f>IFERROR(IF(VLOOKUP(Sun_W1[[#This Row],[Employee Name]],'Base Schedules'!$A$79:$AW$111,24,FALSE)="","",VLOOKUP(Sun_W1[[#This Row],[Employee Name]],'Base Schedules'!$A$79:$AW$111,24,FALSE)),"")</f>
        <v>-</v>
      </c>
      <c r="Z19" s="184" t="str">
        <f>IFERROR(IF(VLOOKUP(Sun_W1[[#This Row],[Employee Name]],'Base Schedules'!$A$79:$AW$111,25,FALSE)="","",VLOOKUP(Sun_W1[[#This Row],[Employee Name]],'Base Schedules'!$A$79:$AW$111,25,FALSE)),"")</f>
        <v>-</v>
      </c>
      <c r="AA19" s="184" t="str">
        <f>IFERROR(IF(VLOOKUP(Sun_W1[[#This Row],[Employee Name]],'Base Schedules'!$A$79:$AW$111,26,FALSE)="","",VLOOKUP(Sun_W1[[#This Row],[Employee Name]],'Base Schedules'!$A$79:$AW$111,26,FALSE)),"")</f>
        <v>-</v>
      </c>
      <c r="AB19" s="184" t="str">
        <f>IFERROR(IF(VLOOKUP(Sun_W1[[#This Row],[Employee Name]],'Base Schedules'!$A$79:$AW$111,27,FALSE)="","",VLOOKUP(Sun_W1[[#This Row],[Employee Name]],'Base Schedules'!$A$79:$AW$111,27,FALSE)),"")</f>
        <v>-</v>
      </c>
      <c r="AC19" s="184" t="str">
        <f>IFERROR(IF(VLOOKUP(Sun_W1[[#This Row],[Employee Name]],'Base Schedules'!$A$79:$AW$111,28,FALSE)="","",VLOOKUP(Sun_W1[[#This Row],[Employee Name]],'Base Schedules'!$A$79:$AW$111,28,FALSE)),"")</f>
        <v>-</v>
      </c>
      <c r="AD19" s="184" t="str">
        <f>IFERROR(IF(VLOOKUP(Sun_W1[[#This Row],[Employee Name]],'Base Schedules'!$A$79:$AW$111,29,FALSE)="","",VLOOKUP(Sun_W1[[#This Row],[Employee Name]],'Base Schedules'!$A$79:$AW$111,29,FALSE)),"")</f>
        <v>-</v>
      </c>
      <c r="AE19" s="184" t="str">
        <f>IFERROR(IF(VLOOKUP(Sun_W1[[#This Row],[Employee Name]],'Base Schedules'!$A$79:$AW$111,30,FALSE)="","",VLOOKUP(Sun_W1[[#This Row],[Employee Name]],'Base Schedules'!$A$79:$AW$111,30,FALSE)),"")</f>
        <v>-</v>
      </c>
      <c r="AF19" s="184" t="str">
        <f>IFERROR(IF(VLOOKUP(Sun_W1[[#This Row],[Employee Name]],'Base Schedules'!$A$79:$AW$111,31,FALSE)="","",VLOOKUP(Sun_W1[[#This Row],[Employee Name]],'Base Schedules'!$A$79:$AW$111,31,FALSE)),"")</f>
        <v>-</v>
      </c>
      <c r="AG19" s="184" t="str">
        <f>IFERROR(IF(VLOOKUP(Sun_W1[[#This Row],[Employee Name]],'Base Schedules'!$A$79:$AW$111,32,FALSE)="","",VLOOKUP(Sun_W1[[#This Row],[Employee Name]],'Base Schedules'!$A$79:$AW$111,32,FALSE)),"")</f>
        <v>-</v>
      </c>
      <c r="AH19" s="184" t="str">
        <f>IFERROR(IF(VLOOKUP(Sun_W1[[#This Row],[Employee Name]],'Base Schedules'!$A$79:$AW$111,33,FALSE)="","",VLOOKUP(Sun_W1[[#This Row],[Employee Name]],'Base Schedules'!$A$79:$AW$111,33,FALSE)),"")</f>
        <v/>
      </c>
      <c r="AI19" s="184" t="str">
        <f>IFERROR(IF(VLOOKUP(Sun_W1[[#This Row],[Employee Name]],'Base Schedules'!$A$79:$AW$111,34,FALSE)="","",VLOOKUP(Sun_W1[[#This Row],[Employee Name]],'Base Schedules'!$A$79:$AW$111,34,FALSE)),"")</f>
        <v/>
      </c>
      <c r="AJ19" s="184" t="str">
        <f>IFERROR(IF(VLOOKUP(Sun_W1[[#This Row],[Employee Name]],'Base Schedules'!$A$79:$AW$111,35,FALSE)="","",VLOOKUP(Sun_W1[[#This Row],[Employee Name]],'Base Schedules'!$A$79:$AW$111,35,FALSE)),"")</f>
        <v/>
      </c>
      <c r="AK19" s="184" t="str">
        <f>IFERROR(IF(VLOOKUP(Sun_W1[[#This Row],[Employee Name]],'Base Schedules'!$A$79:$AW$111,36,FALSE)="","",VLOOKUP(Sun_W1[[#This Row],[Employee Name]],'Base Schedules'!$A$79:$AW$111,36,FALSE)),"")</f>
        <v/>
      </c>
      <c r="AL19" s="184" t="str">
        <f>IFERROR(IF(VLOOKUP(Sun_W1[[#This Row],[Employee Name]],'Base Schedules'!$A$79:$AW$111,37,FALSE)="","",VLOOKUP(Sun_W1[[#This Row],[Employee Name]],'Base Schedules'!$A$79:$AW$111,37,FALSE)),"")</f>
        <v/>
      </c>
      <c r="AM19" s="184" t="str">
        <f>IFERROR(IF(VLOOKUP(Sun_W1[[#This Row],[Employee Name]],'Base Schedules'!$A$79:$AW$111,38,FALSE)="","",VLOOKUP(Sun_W1[[#This Row],[Employee Name]],'Base Schedules'!$A$79:$AW$111,38,FALSE)),"")</f>
        <v/>
      </c>
      <c r="AN19" s="184" t="str">
        <f>IFERROR(IF(VLOOKUP(Sun_W1[[#This Row],[Employee Name]],'Base Schedules'!$A$79:$AW$111,39,FALSE)="","",VLOOKUP(Sun_W1[[#This Row],[Employee Name]],'Base Schedules'!$A$79:$AW$111,39,FALSE)),"")</f>
        <v/>
      </c>
      <c r="AO19" s="184" t="str">
        <f>IFERROR(IF(VLOOKUP(Sun_W1[[#This Row],[Employee Name]],'Base Schedules'!$A$79:$AW$111,40,FALSE)="","",VLOOKUP(Sun_W1[[#This Row],[Employee Name]],'Base Schedules'!$A$79:$AW$111,40,FALSE)),"")</f>
        <v/>
      </c>
      <c r="AP19" s="184" t="str">
        <f>IFERROR(IF(VLOOKUP(Sun_W1[[#This Row],[Employee Name]],'Base Schedules'!$A$79:$AW$111,41,FALSE)="","",VLOOKUP(Sun_W1[[#This Row],[Employee Name]],'Base Schedules'!$A$79:$AW$111,41,FALSE)),"")</f>
        <v/>
      </c>
      <c r="AQ19" s="184" t="str">
        <f>IFERROR(IF(VLOOKUP(Sun_W1[[#This Row],[Employee Name]],'Base Schedules'!$A$79:$AW$111,42,FALSE)="","",VLOOKUP(Sun_W1[[#This Row],[Employee Name]],'Base Schedules'!$A$79:$AW$111,42,FALSE)),"")</f>
        <v/>
      </c>
      <c r="AR19" s="184" t="str">
        <f>IFERROR(IF(VLOOKUP(Sun_W1[[#This Row],[Employee Name]],'Base Schedules'!$A$79:$AW$111,43,FALSE)="","",VLOOKUP(Sun_W1[[#This Row],[Employee Name]],'Base Schedules'!$A$79:$AW$111,43,FALSE)),"")</f>
        <v/>
      </c>
      <c r="AS19" s="184" t="str">
        <f>IFERROR(IF(VLOOKUP(Sun_W1[[#This Row],[Employee Name]],'Base Schedules'!$A$79:$AW$111,44,FALSE)="","",VLOOKUP(Sun_W1[[#This Row],[Employee Name]],'Base Schedules'!$A$79:$AW$111,44,FALSE)),"")</f>
        <v/>
      </c>
      <c r="AT19" s="184" t="str">
        <f>IFERROR(IF(VLOOKUP(Sun_W1[[#This Row],[Employee Name]],'Base Schedules'!$A$79:$AW$111,45,FALSE)="","",VLOOKUP(Sun_W1[[#This Row],[Employee Name]],'Base Schedules'!$A$79:$AW$111,45,FALSE)),"")</f>
        <v/>
      </c>
      <c r="AU19" s="184" t="str">
        <f>IFERROR(IF(VLOOKUP(Sun_W1[[#This Row],[Employee Name]],'Base Schedules'!$A$79:$AW$111,46,FALSE)="","",VLOOKUP(Sun_W1[[#This Row],[Employee Name]],'Base Schedules'!$A$79:$AW$111,46,FALSE)),"")</f>
        <v/>
      </c>
      <c r="AV19" s="184" t="str">
        <f>IFERROR(IF(VLOOKUP(Sun_W1[[#This Row],[Employee Name]],'Base Schedules'!$A$79:$AW$111,47,FALSE)="","",VLOOKUP(Sun_W1[[#This Row],[Employee Name]],'Base Schedules'!$A$79:$AW$111,47,FALSE)),"")</f>
        <v/>
      </c>
      <c r="AW19" s="184" t="str">
        <f>IFERROR(IF(VLOOKUP(Sun_W1[[#This Row],[Employee Name]],'Base Schedules'!$A$79:$AW$111,48,FALSE)="","",VLOOKUP(Sun_W1[[#This Row],[Employee Name]],'Base Schedules'!$A$79:$AW$111,48,FALSE)),"")</f>
        <v/>
      </c>
      <c r="AX19" s="184" t="str">
        <f>IFERROR(IF(VLOOKUP(Sun_W1[[#This Row],[Employee Name]],'Base Schedules'!$A$79:$AW$111,49,FALSE)="","",VLOOKUP(Sun_W1[[#This Row],[Employee Name]],'Base Schedules'!$A$79:$AW$111,49,FALSE)),"")</f>
        <v/>
      </c>
      <c r="AY19" s="159" t="str">
        <f t="shared" si="2"/>
        <v>Vasbinder, Ryan</v>
      </c>
    </row>
    <row r="20" spans="1:51" s="44" customFormat="1" ht="12" x14ac:dyDescent="0.2">
      <c r="A20" s="201"/>
      <c r="B20" s="201" t="s">
        <v>49</v>
      </c>
      <c r="C20" s="257" t="str">
        <f>_xlfn.IFNA(VLOOKUP(Sun_W1[[#This Row],[Employee Name]],'Base Schedules'!A:B,2,FALSE),"")</f>
        <v>Supervisor</v>
      </c>
      <c r="D20" s="274">
        <f>_xlfn.IFNA(VLOOKUP(Sun_W1[[#This Row],[Employee Name]],'Base Schedules'!A:C,3,FALSE),"")</f>
        <v>800</v>
      </c>
      <c r="E20" s="274">
        <f>_xlfn.IFNA(VLOOKUP(Sun_W1[[#This Row],[Employee Name]],'Base Schedules'!A:D,4,FALSE),"")</f>
        <v>1700</v>
      </c>
      <c r="F20" s="142">
        <f>IF(Sun_W1[[#This Row],[Employee Name]]="","",IF(Sun_W1[[#This Row],[Dept]]="Supervisor",COUNTIFS($J20:$AX20,"*HL*",$J20:$AX20,"&lt;&gt;"&amp;"pHL"),COUNTIFS($J20:$AX20,"*HL*",$J20:$AX20,"&lt;&gt;"&amp;"*pHL*",$J20:$AX20,"&lt;&gt;"&amp;"pB1 HL",$J20:$AX20,"&lt;&gt;"&amp;"pB2 HL")-SUM(COUNTIFS($J20:$AX20,"*HL B1*",$J20:$AX20,"&lt;&gt;"&amp;"pHL B1")*0.5,COUNTIFS($J20:$AX20,"*HL B2*",$J20:$AX20,"&lt;&gt;"&amp;"pHL B2")*0.5,COUNTIFS($J20:$AX20,"*B1 HL*",$J20:$AX20,"&lt;&gt;"&amp;"pB1 HL")*0.5,COUNTIFS($J20:$AX20,"*B2 HL*",$J20:$AX20,"&lt;&gt;"&amp;"pB2 HL")*0.5)))</f>
        <v>0</v>
      </c>
      <c r="G20" s="142">
        <f t="shared" si="0"/>
        <v>4</v>
      </c>
      <c r="H20" s="142">
        <f t="shared" si="1"/>
        <v>0</v>
      </c>
      <c r="I20" s="142">
        <f>IF(Sun_W1[[#This Row],[Employee Name]]="","",IF(Sun_W1[[#This Row],[Dept]]="Supervisor",SUM(COUNTIFS($J20:$AX20,"RTA*",$J20:$AX20,"&lt;&gt;"&amp;"pRTA"),COUNTIFS($J20:$AX20,"*CRTA*",$J20:$AX20,"&lt;&gt;"&amp;"pCRTA")),COUNTIFS($J20:$AX20,"*RNNR*",$J20:$AX20,"&lt;&gt;"&amp;"*pRNNR*",$J20:$AX20,"&lt;&gt;"&amp;"pB1 RNNR",$J20:$AX20,"&lt;&gt;"&amp;"pB2 RNNR")-SUM(COUNTIFS($J20:$AX20,"*RNNR B1*",$J20:$AX20,"&lt;&gt;"&amp;"pRNNR B1")*0.5,COUNTIFS($J20:$AX20,"*RNNR B2*",$J20:$AX20,"&lt;&gt;"&amp;"pRNNR B2")*0.5,COUNTIFS($J20:$AX20,"*B1 RNNR*",$J20:$AX20,"&lt;&gt;"&amp;"pB1 RNNR")*0.5,COUNTIFS($J20:$AX20,"*B2 RNNR*",$J20:$AX20,"&lt;&gt;"&amp;"pB2 RNNR")*0.5)))</f>
        <v>0</v>
      </c>
      <c r="J20" s="184" t="str">
        <f>IFERROR(IF(VLOOKUP(Sun_W1[[#This Row],[Employee Name]],'Base Schedules'!$A$79:$AW$111,9,FALSE)="","",VLOOKUP(Sun_W1[[#This Row],[Employee Name]],'Base Schedules'!$A$79:$AW$111,9,FALSE)),"")</f>
        <v/>
      </c>
      <c r="K20" s="184" t="str">
        <f>IFERROR(IF(VLOOKUP(Sun_W1[[#This Row],[Employee Name]],'Base Schedules'!$A$79:$AW$111,10,FALSE)="","",VLOOKUP(Sun_W1[[#This Row],[Employee Name]],'Base Schedules'!$A$79:$AW$111,10,FALSE)),"")</f>
        <v/>
      </c>
      <c r="L20" s="184" t="str">
        <f>IFERROR(IF(VLOOKUP(Sun_W1[[#This Row],[Employee Name]],'Base Schedules'!$A$79:$AW$111,11,FALSE)="","",VLOOKUP(Sun_W1[[#This Row],[Employee Name]],'Base Schedules'!$A$79:$AW$111,11,FALSE)),"")</f>
        <v/>
      </c>
      <c r="M20" s="184" t="str">
        <f>IFERROR(IF(VLOOKUP(Sun_W1[[#This Row],[Employee Name]],'Base Schedules'!$A$79:$AW$111,12,FALSE)="","",VLOOKUP(Sun_W1[[#This Row],[Employee Name]],'Base Schedules'!$A$79:$AW$111,12,FALSE)),"")</f>
        <v/>
      </c>
      <c r="N20" s="184" t="str">
        <f>IFERROR(IF(VLOOKUP(Sun_W1[[#This Row],[Employee Name]],'Base Schedules'!$A$79:$AW$111,13,FALSE)="","",VLOOKUP(Sun_W1[[#This Row],[Employee Name]],'Base Schedules'!$A$79:$AW$111,13,FALSE)),"")</f>
        <v/>
      </c>
      <c r="O20" s="184" t="str">
        <f>IFERROR(IF(VLOOKUP(Sun_W1[[#This Row],[Employee Name]],'Base Schedules'!$A$79:$AW$111,14,FALSE)="","",VLOOKUP(Sun_W1[[#This Row],[Employee Name]],'Base Schedules'!$A$79:$AW$111,14,FALSE)),"")</f>
        <v/>
      </c>
      <c r="P20" s="184" t="str">
        <f>IFERROR(IF(VLOOKUP(Sun_W1[[#This Row],[Employee Name]],'Base Schedules'!$A$79:$AW$111,15,FALSE)="","",VLOOKUP(Sun_W1[[#This Row],[Employee Name]],'Base Schedules'!$A$79:$AW$111,15,FALSE)),"")</f>
        <v>-</v>
      </c>
      <c r="Q20" s="184" t="str">
        <f>IFERROR(IF(VLOOKUP(Sun_W1[[#This Row],[Employee Name]],'Base Schedules'!$A$79:$AW$111,16,FALSE)="","",VLOOKUP(Sun_W1[[#This Row],[Employee Name]],'Base Schedules'!$A$79:$AW$111,16,FALSE)),"")</f>
        <v>-</v>
      </c>
      <c r="R20" s="184" t="str">
        <f>IFERROR(IF(VLOOKUP(Sun_W1[[#This Row],[Employee Name]],'Base Schedules'!$A$79:$AW$111,17,FALSE)="","",VLOOKUP(Sun_W1[[#This Row],[Employee Name]],'Base Schedules'!$A$79:$AW$111,17,FALSE)),"")</f>
        <v>-</v>
      </c>
      <c r="S20" s="184" t="str">
        <f>IFERROR(IF(VLOOKUP(Sun_W1[[#This Row],[Employee Name]],'Base Schedules'!$A$79:$AW$111,18,FALSE)="","",VLOOKUP(Sun_W1[[#This Row],[Employee Name]],'Base Schedules'!$A$79:$AW$111,18,FALSE)),"")</f>
        <v>-</v>
      </c>
      <c r="T20" s="184" t="str">
        <f>IFERROR(IF(VLOOKUP(Sun_W1[[#This Row],[Employee Name]],'Base Schedules'!$A$79:$AW$111,19,FALSE)="","",VLOOKUP(Sun_W1[[#This Row],[Employee Name]],'Base Schedules'!$A$79:$AW$111,19,FALSE)),"")</f>
        <v>-</v>
      </c>
      <c r="U20" s="184" t="str">
        <f>IFERROR(IF(VLOOKUP(Sun_W1[[#This Row],[Employee Name]],'Base Schedules'!$A$79:$AW$111,20,FALSE)="","",VLOOKUP(Sun_W1[[#This Row],[Employee Name]],'Base Schedules'!$A$79:$AW$111,20,FALSE)),"")</f>
        <v>-</v>
      </c>
      <c r="V20" s="184" t="str">
        <f>IFERROR(IF(VLOOKUP(Sun_W1[[#This Row],[Employee Name]],'Base Schedules'!$A$79:$AW$111,21,FALSE)="","",VLOOKUP(Sun_W1[[#This Row],[Employee Name]],'Base Schedules'!$A$79:$AW$111,21,FALSE)),"")</f>
        <v>-</v>
      </c>
      <c r="W20" s="184" t="str">
        <f>IFERROR(IF(VLOOKUP(Sun_W1[[#This Row],[Employee Name]],'Base Schedules'!$A$79:$AW$111,22,FALSE)="","",VLOOKUP(Sun_W1[[#This Row],[Employee Name]],'Base Schedules'!$A$79:$AW$111,22,FALSE)),"")</f>
        <v>-</v>
      </c>
      <c r="X20" s="184" t="str">
        <f>IFERROR(IF(VLOOKUP(Sun_W1[[#This Row],[Employee Name]],'Base Schedules'!$A$79:$AW$111,23,FALSE)="","",VLOOKUP(Sun_W1[[#This Row],[Employee Name]],'Base Schedules'!$A$79:$AW$111,23,FALSE)),"")</f>
        <v>-</v>
      </c>
      <c r="Y20" s="184" t="str">
        <f>IFERROR(IF(VLOOKUP(Sun_W1[[#This Row],[Employee Name]],'Base Schedules'!$A$79:$AW$111,24,FALSE)="","",VLOOKUP(Sun_W1[[#This Row],[Employee Name]],'Base Schedules'!$A$79:$AW$111,24,FALSE)),"")</f>
        <v>-</v>
      </c>
      <c r="Z20" s="184" t="str">
        <f>IFERROR(IF(VLOOKUP(Sun_W1[[#This Row],[Employee Name]],'Base Schedules'!$A$79:$AW$111,25,FALSE)="","",VLOOKUP(Sun_W1[[#This Row],[Employee Name]],'Base Schedules'!$A$79:$AW$111,25,FALSE)),"")</f>
        <v>-</v>
      </c>
      <c r="AA20" s="184" t="str">
        <f>IFERROR(IF(VLOOKUP(Sun_W1[[#This Row],[Employee Name]],'Base Schedules'!$A$79:$AW$111,26,FALSE)="","",VLOOKUP(Sun_W1[[#This Row],[Employee Name]],'Base Schedules'!$A$79:$AW$111,26,FALSE)),"")</f>
        <v>Coaching</v>
      </c>
      <c r="AB20" s="184" t="str">
        <f>IFERROR(IF(VLOOKUP(Sun_W1[[#This Row],[Employee Name]],'Base Schedules'!$A$79:$AW$111,27,FALSE)="","",VLOOKUP(Sun_W1[[#This Row],[Employee Name]],'Base Schedules'!$A$79:$AW$111,27,FALSE)),"")</f>
        <v>Coaching</v>
      </c>
      <c r="AC20" s="184" t="str">
        <f>IFERROR(IF(VLOOKUP(Sun_W1[[#This Row],[Employee Name]],'Base Schedules'!$A$79:$AW$111,28,FALSE)="","",VLOOKUP(Sun_W1[[#This Row],[Employee Name]],'Base Schedules'!$A$79:$AW$111,28,FALSE)),"")</f>
        <v>Coaching</v>
      </c>
      <c r="AD20" s="184" t="str">
        <f>IFERROR(IF(VLOOKUP(Sun_W1[[#This Row],[Employee Name]],'Base Schedules'!$A$79:$AW$111,29,FALSE)="","",VLOOKUP(Sun_W1[[#This Row],[Employee Name]],'Base Schedules'!$A$79:$AW$111,29,FALSE)),"")</f>
        <v>Coaching</v>
      </c>
      <c r="AE20" s="184" t="str">
        <f>IFERROR(IF(VLOOKUP(Sun_W1[[#This Row],[Employee Name]],'Base Schedules'!$A$79:$AW$111,30,FALSE)="","",VLOOKUP(Sun_W1[[#This Row],[Employee Name]],'Base Schedules'!$A$79:$AW$111,30,FALSE)),"")</f>
        <v>-</v>
      </c>
      <c r="AF20" s="184" t="str">
        <f>IFERROR(IF(VLOOKUP(Sun_W1[[#This Row],[Employee Name]],'Base Schedules'!$A$79:$AW$111,31,FALSE)="","",VLOOKUP(Sun_W1[[#This Row],[Employee Name]],'Base Schedules'!$A$79:$AW$111,31,FALSE)),"")</f>
        <v>-</v>
      </c>
      <c r="AG20" s="184" t="str">
        <f>IFERROR(IF(VLOOKUP(Sun_W1[[#This Row],[Employee Name]],'Base Schedules'!$A$79:$AW$111,32,FALSE)="","",VLOOKUP(Sun_W1[[#This Row],[Employee Name]],'Base Schedules'!$A$79:$AW$111,32,FALSE)),"")</f>
        <v>-</v>
      </c>
      <c r="AH20" s="184" t="str">
        <f>IFERROR(IF(VLOOKUP(Sun_W1[[#This Row],[Employee Name]],'Base Schedules'!$A$79:$AW$111,33,FALSE)="","",VLOOKUP(Sun_W1[[#This Row],[Employee Name]],'Base Schedules'!$A$79:$AW$111,33,FALSE)),"")</f>
        <v/>
      </c>
      <c r="AI20" s="184" t="str">
        <f>IFERROR(IF(VLOOKUP(Sun_W1[[#This Row],[Employee Name]],'Base Schedules'!$A$79:$AW$111,34,FALSE)="","",VLOOKUP(Sun_W1[[#This Row],[Employee Name]],'Base Schedules'!$A$79:$AW$111,34,FALSE)),"")</f>
        <v/>
      </c>
      <c r="AJ20" s="184" t="str">
        <f>IFERROR(IF(VLOOKUP(Sun_W1[[#This Row],[Employee Name]],'Base Schedules'!$A$79:$AW$111,35,FALSE)="","",VLOOKUP(Sun_W1[[#This Row],[Employee Name]],'Base Schedules'!$A$79:$AW$111,35,FALSE)),"")</f>
        <v/>
      </c>
      <c r="AK20" s="184" t="str">
        <f>IFERROR(IF(VLOOKUP(Sun_W1[[#This Row],[Employee Name]],'Base Schedules'!$A$79:$AW$111,36,FALSE)="","",VLOOKUP(Sun_W1[[#This Row],[Employee Name]],'Base Schedules'!$A$79:$AW$111,36,FALSE)),"")</f>
        <v/>
      </c>
      <c r="AL20" s="184" t="str">
        <f>IFERROR(IF(VLOOKUP(Sun_W1[[#This Row],[Employee Name]],'Base Schedules'!$A$79:$AW$111,37,FALSE)="","",VLOOKUP(Sun_W1[[#This Row],[Employee Name]],'Base Schedules'!$A$79:$AW$111,37,FALSE)),"")</f>
        <v/>
      </c>
      <c r="AM20" s="184" t="str">
        <f>IFERROR(IF(VLOOKUP(Sun_W1[[#This Row],[Employee Name]],'Base Schedules'!$A$79:$AW$111,38,FALSE)="","",VLOOKUP(Sun_W1[[#This Row],[Employee Name]],'Base Schedules'!$A$79:$AW$111,38,FALSE)),"")</f>
        <v/>
      </c>
      <c r="AN20" s="184" t="str">
        <f>IFERROR(IF(VLOOKUP(Sun_W1[[#This Row],[Employee Name]],'Base Schedules'!$A$79:$AW$111,39,FALSE)="","",VLOOKUP(Sun_W1[[#This Row],[Employee Name]],'Base Schedules'!$A$79:$AW$111,39,FALSE)),"")</f>
        <v/>
      </c>
      <c r="AO20" s="184" t="str">
        <f>IFERROR(IF(VLOOKUP(Sun_W1[[#This Row],[Employee Name]],'Base Schedules'!$A$79:$AW$111,40,FALSE)="","",VLOOKUP(Sun_W1[[#This Row],[Employee Name]],'Base Schedules'!$A$79:$AW$111,40,FALSE)),"")</f>
        <v/>
      </c>
      <c r="AP20" s="184" t="str">
        <f>IFERROR(IF(VLOOKUP(Sun_W1[[#This Row],[Employee Name]],'Base Schedules'!$A$79:$AW$111,41,FALSE)="","",VLOOKUP(Sun_W1[[#This Row],[Employee Name]],'Base Schedules'!$A$79:$AW$111,41,FALSE)),"")</f>
        <v/>
      </c>
      <c r="AQ20" s="184" t="str">
        <f>IFERROR(IF(VLOOKUP(Sun_W1[[#This Row],[Employee Name]],'Base Schedules'!$A$79:$AW$111,42,FALSE)="","",VLOOKUP(Sun_W1[[#This Row],[Employee Name]],'Base Schedules'!$A$79:$AW$111,42,FALSE)),"")</f>
        <v/>
      </c>
      <c r="AR20" s="184" t="str">
        <f>IFERROR(IF(VLOOKUP(Sun_W1[[#This Row],[Employee Name]],'Base Schedules'!$A$79:$AW$111,43,FALSE)="","",VLOOKUP(Sun_W1[[#This Row],[Employee Name]],'Base Schedules'!$A$79:$AW$111,43,FALSE)),"")</f>
        <v/>
      </c>
      <c r="AS20" s="184" t="str">
        <f>IFERROR(IF(VLOOKUP(Sun_W1[[#This Row],[Employee Name]],'Base Schedules'!$A$79:$AW$111,44,FALSE)="","",VLOOKUP(Sun_W1[[#This Row],[Employee Name]],'Base Schedules'!$A$79:$AW$111,44,FALSE)),"")</f>
        <v/>
      </c>
      <c r="AT20" s="184" t="str">
        <f>IFERROR(IF(VLOOKUP(Sun_W1[[#This Row],[Employee Name]],'Base Schedules'!$A$79:$AW$111,45,FALSE)="","",VLOOKUP(Sun_W1[[#This Row],[Employee Name]],'Base Schedules'!$A$79:$AW$111,45,FALSE)),"")</f>
        <v/>
      </c>
      <c r="AU20" s="184" t="str">
        <f>IFERROR(IF(VLOOKUP(Sun_W1[[#This Row],[Employee Name]],'Base Schedules'!$A$79:$AW$111,46,FALSE)="","",VLOOKUP(Sun_W1[[#This Row],[Employee Name]],'Base Schedules'!$A$79:$AW$111,46,FALSE)),"")</f>
        <v/>
      </c>
      <c r="AV20" s="184" t="str">
        <f>IFERROR(IF(VLOOKUP(Sun_W1[[#This Row],[Employee Name]],'Base Schedules'!$A$79:$AW$111,47,FALSE)="","",VLOOKUP(Sun_W1[[#This Row],[Employee Name]],'Base Schedules'!$A$79:$AW$111,47,FALSE)),"")</f>
        <v/>
      </c>
      <c r="AW20" s="184" t="str">
        <f>IFERROR(IF(VLOOKUP(Sun_W1[[#This Row],[Employee Name]],'Base Schedules'!$A$79:$AW$111,48,FALSE)="","",VLOOKUP(Sun_W1[[#This Row],[Employee Name]],'Base Schedules'!$A$79:$AW$111,48,FALSE)),"")</f>
        <v/>
      </c>
      <c r="AX20" s="184" t="str">
        <f>IFERROR(IF(VLOOKUP(Sun_W1[[#This Row],[Employee Name]],'Base Schedules'!$A$79:$AW$111,49,FALSE)="","",VLOOKUP(Sun_W1[[#This Row],[Employee Name]],'Base Schedules'!$A$79:$AW$111,49,FALSE)),"")</f>
        <v/>
      </c>
      <c r="AY20" s="159" t="str">
        <f t="shared" si="2"/>
        <v>Olson, Dan</v>
      </c>
    </row>
    <row r="21" spans="1:51" s="44" customFormat="1" ht="12" x14ac:dyDescent="0.2">
      <c r="A21" s="201"/>
      <c r="B21" s="201" t="s">
        <v>236</v>
      </c>
      <c r="C21" s="257" t="str">
        <f>_xlfn.IFNA(VLOOKUP(Sun_W1[[#This Row],[Employee Name]],'Base Schedules'!A:B,2,FALSE),"")</f>
        <v>Lead</v>
      </c>
      <c r="D21" s="274">
        <f>_xlfn.IFNA(VLOOKUP(Sun_W1[[#This Row],[Employee Name]],'Base Schedules'!A:C,3,FALSE),"")</f>
        <v>1130</v>
      </c>
      <c r="E21" s="274">
        <f>_xlfn.IFNA(VLOOKUP(Sun_W1[[#This Row],[Employee Name]],'Base Schedules'!A:D,4,FALSE),"")</f>
        <v>2000</v>
      </c>
      <c r="F21" s="142">
        <f>IF(Sun_W1[[#This Row],[Employee Name]]="","",IF(Sun_W1[[#This Row],[Dept]]="Supervisor",COUNTIFS($J21:$AX21,"*HL*",$J21:$AX21,"&lt;&gt;"&amp;"pHL"),COUNTIFS($J21:$AX21,"*HL*",$J21:$AX21,"&lt;&gt;"&amp;"*pHL*",$J21:$AX21,"&lt;&gt;"&amp;"pB1 HL",$J21:$AX21,"&lt;&gt;"&amp;"pB2 HL")-SUM(COUNTIFS($J21:$AX21,"*HL B1*",$J21:$AX21,"&lt;&gt;"&amp;"pHL B1")*0.5,COUNTIFS($J21:$AX21,"*HL B2*",$J21:$AX21,"&lt;&gt;"&amp;"pHL B2")*0.5,COUNTIFS($J21:$AX21,"*B1 HL*",$J21:$AX21,"&lt;&gt;"&amp;"pB1 HL")*0.5,COUNTIFS($J21:$AX21,"*B2 HL*",$J21:$AX21,"&lt;&gt;"&amp;"pB2 HL")*0.5)))</f>
        <v>7.5</v>
      </c>
      <c r="G21" s="142">
        <f t="shared" si="0"/>
        <v>0</v>
      </c>
      <c r="H21" s="142">
        <f t="shared" si="1"/>
        <v>6</v>
      </c>
      <c r="I21" s="142">
        <f>IF(Sun_W1[[#This Row],[Employee Name]]="","",IF(Sun_W1[[#This Row],[Dept]]="Supervisor",SUM(COUNTIFS($J21:$AX21,"RTA*",$J21:$AX21,"&lt;&gt;"&amp;"pRTA"),COUNTIFS($J21:$AX21,"*CRTA*",$J21:$AX21,"&lt;&gt;"&amp;"pCRTA")),COUNTIFS($J21:$AX21,"*RNNR*",$J21:$AX21,"&lt;&gt;"&amp;"*pRNNR*",$J21:$AX21,"&lt;&gt;"&amp;"pB1 RNNR",$J21:$AX21,"&lt;&gt;"&amp;"pB2 RNNR")-SUM(COUNTIFS($J21:$AX21,"*RNNR B1*",$J21:$AX21,"&lt;&gt;"&amp;"pRNNR B1")*0.5,COUNTIFS($J21:$AX21,"*RNNR B2*",$J21:$AX21,"&lt;&gt;"&amp;"pRNNR B2")*0.5,COUNTIFS($J21:$AX21,"*B1 RNNR*",$J21:$AX21,"&lt;&gt;"&amp;"pB1 RNNR")*0.5,COUNTIFS($J21:$AX21,"*B2 RNNR*",$J21:$AX21,"&lt;&gt;"&amp;"pB2 RNNR")*0.5)))</f>
        <v>2</v>
      </c>
      <c r="J21" s="184" t="str">
        <f>IFERROR(IF(VLOOKUP(Sun_W1[[#This Row],[Employee Name]],'Base Schedules'!$A$79:$AW$111,9,FALSE)="","",VLOOKUP(Sun_W1[[#This Row],[Employee Name]],'Base Schedules'!$A$79:$AW$111,9,FALSE)),"")</f>
        <v/>
      </c>
      <c r="K21" s="184" t="str">
        <f>IFERROR(IF(VLOOKUP(Sun_W1[[#This Row],[Employee Name]],'Base Schedules'!$A$79:$AW$111,10,FALSE)="","",VLOOKUP(Sun_W1[[#This Row],[Employee Name]],'Base Schedules'!$A$79:$AW$111,10,FALSE)),"")</f>
        <v/>
      </c>
      <c r="L21" s="184" t="str">
        <f>IFERROR(IF(VLOOKUP(Sun_W1[[#This Row],[Employee Name]],'Base Schedules'!$A$79:$AW$111,11,FALSE)="","",VLOOKUP(Sun_W1[[#This Row],[Employee Name]],'Base Schedules'!$A$79:$AW$111,11,FALSE)),"")</f>
        <v/>
      </c>
      <c r="M21" s="184" t="str">
        <f>IFERROR(IF(VLOOKUP(Sun_W1[[#This Row],[Employee Name]],'Base Schedules'!$A$79:$AW$111,12,FALSE)="","",VLOOKUP(Sun_W1[[#This Row],[Employee Name]],'Base Schedules'!$A$79:$AW$111,12,FALSE)),"")</f>
        <v/>
      </c>
      <c r="N21" s="184" t="str">
        <f>IFERROR(IF(VLOOKUP(Sun_W1[[#This Row],[Employee Name]],'Base Schedules'!$A$79:$AW$111,13,FALSE)="","",VLOOKUP(Sun_W1[[#This Row],[Employee Name]],'Base Schedules'!$A$79:$AW$111,13,FALSE)),"")</f>
        <v/>
      </c>
      <c r="O21" s="184" t="str">
        <f>IFERROR(IF(VLOOKUP(Sun_W1[[#This Row],[Employee Name]],'Base Schedules'!$A$79:$AW$111,14,FALSE)="","",VLOOKUP(Sun_W1[[#This Row],[Employee Name]],'Base Schedules'!$A$79:$AW$111,14,FALSE)),"")</f>
        <v/>
      </c>
      <c r="P21" s="184" t="str">
        <f>IFERROR(IF(VLOOKUP(Sun_W1[[#This Row],[Employee Name]],'Base Schedules'!$A$79:$AW$111,15,FALSE)="","",VLOOKUP(Sun_W1[[#This Row],[Employee Name]],'Base Schedules'!$A$79:$AW$111,15,FALSE)),"")</f>
        <v/>
      </c>
      <c r="Q21" s="184" t="str">
        <f>IFERROR(IF(VLOOKUP(Sun_W1[[#This Row],[Employee Name]],'Base Schedules'!$A$79:$AW$111,16,FALSE)="","",VLOOKUP(Sun_W1[[#This Row],[Employee Name]],'Base Schedules'!$A$79:$AW$111,16,FALSE)),"")</f>
        <v/>
      </c>
      <c r="R21" s="184" t="str">
        <f>IFERROR(IF(VLOOKUP(Sun_W1[[#This Row],[Employee Name]],'Base Schedules'!$A$79:$AW$111,17,FALSE)="","",VLOOKUP(Sun_W1[[#This Row],[Employee Name]],'Base Schedules'!$A$79:$AW$111,17,FALSE)),"")</f>
        <v/>
      </c>
      <c r="S21" s="184" t="str">
        <f>IFERROR(IF(VLOOKUP(Sun_W1[[#This Row],[Employee Name]],'Base Schedules'!$A$79:$AW$111,18,FALSE)="","",VLOOKUP(Sun_W1[[#This Row],[Employee Name]],'Base Schedules'!$A$79:$AW$111,18,FALSE)),"")</f>
        <v/>
      </c>
      <c r="T21" s="184" t="str">
        <f>IFERROR(IF(VLOOKUP(Sun_W1[[#This Row],[Employee Name]],'Base Schedules'!$A$79:$AW$111,19,FALSE)="","",VLOOKUP(Sun_W1[[#This Row],[Employee Name]],'Base Schedules'!$A$79:$AW$111,19,FALSE)),"")</f>
        <v/>
      </c>
      <c r="U21" s="184" t="str">
        <f>IFERROR(IF(VLOOKUP(Sun_W1[[#This Row],[Employee Name]],'Base Schedules'!$A$79:$AW$111,20,FALSE)="","",VLOOKUP(Sun_W1[[#This Row],[Employee Name]],'Base Schedules'!$A$79:$AW$111,20,FALSE)),"")</f>
        <v/>
      </c>
      <c r="V21" s="184" t="str">
        <f>IFERROR(IF(VLOOKUP(Sun_W1[[#This Row],[Employee Name]],'Base Schedules'!$A$79:$AW$111,21,FALSE)="","",VLOOKUP(Sun_W1[[#This Row],[Employee Name]],'Base Schedules'!$A$79:$AW$111,21,FALSE)),"")</f>
        <v/>
      </c>
      <c r="W21" s="184" t="str">
        <f>IFERROR(IF(VLOOKUP(Sun_W1[[#This Row],[Employee Name]],'Base Schedules'!$A$79:$AW$111,22,FALSE)="","",VLOOKUP(Sun_W1[[#This Row],[Employee Name]],'Base Schedules'!$A$79:$AW$111,22,FALSE)),"")</f>
        <v>HL</v>
      </c>
      <c r="X21" s="184" t="str">
        <f>IFERROR(IF(VLOOKUP(Sun_W1[[#This Row],[Employee Name]],'Base Schedules'!$A$79:$AW$111,23,FALSE)="","",VLOOKUP(Sun_W1[[#This Row],[Employee Name]],'Base Schedules'!$A$79:$AW$111,23,FALSE)),"")</f>
        <v>ADM</v>
      </c>
      <c r="Y21" s="184" t="str">
        <f>IFERROR(IF(VLOOKUP(Sun_W1[[#This Row],[Employee Name]],'Base Schedules'!$A$79:$AW$111,24,FALSE)="","",VLOOKUP(Sun_W1[[#This Row],[Employee Name]],'Base Schedules'!$A$79:$AW$111,24,FALSE)),"")</f>
        <v>HL</v>
      </c>
      <c r="Z21" s="184" t="str">
        <f>IFERROR(IF(VLOOKUP(Sun_W1[[#This Row],[Employee Name]],'Base Schedules'!$A$79:$AW$111,25,FALSE)="","",VLOOKUP(Sun_W1[[#This Row],[Employee Name]],'Base Schedules'!$A$79:$AW$111,25,FALSE)),"")</f>
        <v>HL B1</v>
      </c>
      <c r="AA21" s="184" t="str">
        <f>IFERROR(IF(VLOOKUP(Sun_W1[[#This Row],[Employee Name]],'Base Schedules'!$A$79:$AW$111,26,FALSE)="","",VLOOKUP(Sun_W1[[#This Row],[Employee Name]],'Base Schedules'!$A$79:$AW$111,26,FALSE)),"")</f>
        <v>ADM</v>
      </c>
      <c r="AB21" s="184" t="str">
        <f>IFERROR(IF(VLOOKUP(Sun_W1[[#This Row],[Employee Name]],'Base Schedules'!$A$79:$AW$111,27,FALSE)="","",VLOOKUP(Sun_W1[[#This Row],[Employee Name]],'Base Schedules'!$A$79:$AW$111,27,FALSE)),"")</f>
        <v>RNNR</v>
      </c>
      <c r="AC21" s="184" t="str">
        <f>IFERROR(IF(VLOOKUP(Sun_W1[[#This Row],[Employee Name]],'Base Schedules'!$A$79:$AW$111,28,FALSE)="","",VLOOKUP(Sun_W1[[#This Row],[Employee Name]],'Base Schedules'!$A$79:$AW$111,28,FALSE)),"")</f>
        <v>RNNR</v>
      </c>
      <c r="AD21" s="184" t="str">
        <f>IFERROR(IF(VLOOKUP(Sun_W1[[#This Row],[Employee Name]],'Base Schedules'!$A$79:$AW$111,29,FALSE)="","",VLOOKUP(Sun_W1[[#This Row],[Employee Name]],'Base Schedules'!$A$79:$AW$111,29,FALSE)),"")</f>
        <v>HL</v>
      </c>
      <c r="AE21" s="184" t="str">
        <f>IFERROR(IF(VLOOKUP(Sun_W1[[#This Row],[Employee Name]],'Base Schedules'!$A$79:$AW$111,30,FALSE)="","",VLOOKUP(Sun_W1[[#This Row],[Employee Name]],'Base Schedules'!$A$79:$AW$111,30,FALSE)),"")</f>
        <v>LUNCH</v>
      </c>
      <c r="AF21" s="184" t="str">
        <f>IFERROR(IF(VLOOKUP(Sun_W1[[#This Row],[Employee Name]],'Base Schedules'!$A$79:$AW$111,31,FALSE)="","",VLOOKUP(Sun_W1[[#This Row],[Employee Name]],'Base Schedules'!$A$79:$AW$111,31,FALSE)),"")</f>
        <v>HL</v>
      </c>
      <c r="AG21" s="184" t="str">
        <f>IFERROR(IF(VLOOKUP(Sun_W1[[#This Row],[Employee Name]],'Base Schedules'!$A$79:$AW$111,32,FALSE)="","",VLOOKUP(Sun_W1[[#This Row],[Employee Name]],'Base Schedules'!$A$79:$AW$111,32,FALSE)),"")</f>
        <v>ADM</v>
      </c>
      <c r="AH21" s="184" t="str">
        <f>IFERROR(IF(VLOOKUP(Sun_W1[[#This Row],[Employee Name]],'Base Schedules'!$A$79:$AW$111,33,FALSE)="","",VLOOKUP(Sun_W1[[#This Row],[Employee Name]],'Base Schedules'!$A$79:$AW$111,33,FALSE)),"")</f>
        <v>HL</v>
      </c>
      <c r="AI21" s="184" t="str">
        <f>IFERROR(IF(VLOOKUP(Sun_W1[[#This Row],[Employee Name]],'Base Schedules'!$A$79:$AW$111,34,FALSE)="","",VLOOKUP(Sun_W1[[#This Row],[Employee Name]],'Base Schedules'!$A$79:$AW$111,34,FALSE)),"")</f>
        <v>HL</v>
      </c>
      <c r="AJ21" s="184" t="str">
        <f>IFERROR(IF(VLOOKUP(Sun_W1[[#This Row],[Employee Name]],'Base Schedules'!$A$79:$AW$111,35,FALSE)="","",VLOOKUP(Sun_W1[[#This Row],[Employee Name]],'Base Schedules'!$A$79:$AW$111,35,FALSE)),"")</f>
        <v>B2 ADM</v>
      </c>
      <c r="AK21" s="184" t="str">
        <f>IFERROR(IF(VLOOKUP(Sun_W1[[#This Row],[Employee Name]],'Base Schedules'!$A$79:$AW$111,36,FALSE)="","",VLOOKUP(Sun_W1[[#This Row],[Employee Name]],'Base Schedules'!$A$79:$AW$111,36,FALSE)),"")</f>
        <v>ADM</v>
      </c>
      <c r="AL21" s="184" t="str">
        <f>IFERROR(IF(VLOOKUP(Sun_W1[[#This Row],[Employee Name]],'Base Schedules'!$A$79:$AW$111,37,FALSE)="","",VLOOKUP(Sun_W1[[#This Row],[Employee Name]],'Base Schedules'!$A$79:$AW$111,37,FALSE)),"")</f>
        <v>ADM</v>
      </c>
      <c r="AM21" s="184" t="str">
        <f>IFERROR(IF(VLOOKUP(Sun_W1[[#This Row],[Employee Name]],'Base Schedules'!$A$79:$AW$111,38,FALSE)="","",VLOOKUP(Sun_W1[[#This Row],[Employee Name]],'Base Schedules'!$A$79:$AW$111,38,FALSE)),"")</f>
        <v>HL</v>
      </c>
      <c r="AN21" s="184" t="str">
        <f>IFERROR(IF(VLOOKUP(Sun_W1[[#This Row],[Employee Name]],'Base Schedules'!$A$79:$AW$111,39,FALSE)="","",VLOOKUP(Sun_W1[[#This Row],[Employee Name]],'Base Schedules'!$A$79:$AW$111,39,FALSE)),"")</f>
        <v/>
      </c>
      <c r="AO21" s="184" t="str">
        <f>IFERROR(IF(VLOOKUP(Sun_W1[[#This Row],[Employee Name]],'Base Schedules'!$A$79:$AW$111,40,FALSE)="","",VLOOKUP(Sun_W1[[#This Row],[Employee Name]],'Base Schedules'!$A$79:$AW$111,40,FALSE)),"")</f>
        <v/>
      </c>
      <c r="AP21" s="184" t="str">
        <f>IFERROR(IF(VLOOKUP(Sun_W1[[#This Row],[Employee Name]],'Base Schedules'!$A$79:$AW$111,41,FALSE)="","",VLOOKUP(Sun_W1[[#This Row],[Employee Name]],'Base Schedules'!$A$79:$AW$111,41,FALSE)),"")</f>
        <v/>
      </c>
      <c r="AQ21" s="184" t="str">
        <f>IFERROR(IF(VLOOKUP(Sun_W1[[#This Row],[Employee Name]],'Base Schedules'!$A$79:$AW$111,42,FALSE)="","",VLOOKUP(Sun_W1[[#This Row],[Employee Name]],'Base Schedules'!$A$79:$AW$111,42,FALSE)),"")</f>
        <v/>
      </c>
      <c r="AR21" s="184" t="str">
        <f>IFERROR(IF(VLOOKUP(Sun_W1[[#This Row],[Employee Name]],'Base Schedules'!$A$79:$AW$111,43,FALSE)="","",VLOOKUP(Sun_W1[[#This Row],[Employee Name]],'Base Schedules'!$A$79:$AW$111,43,FALSE)),"")</f>
        <v/>
      </c>
      <c r="AS21" s="184" t="str">
        <f>IFERROR(IF(VLOOKUP(Sun_W1[[#This Row],[Employee Name]],'Base Schedules'!$A$79:$AW$111,44,FALSE)="","",VLOOKUP(Sun_W1[[#This Row],[Employee Name]],'Base Schedules'!$A$79:$AW$111,44,FALSE)),"")</f>
        <v/>
      </c>
      <c r="AT21" s="184" t="str">
        <f>IFERROR(IF(VLOOKUP(Sun_W1[[#This Row],[Employee Name]],'Base Schedules'!$A$79:$AW$111,45,FALSE)="","",VLOOKUP(Sun_W1[[#This Row],[Employee Name]],'Base Schedules'!$A$79:$AW$111,45,FALSE)),"")</f>
        <v/>
      </c>
      <c r="AU21" s="184" t="str">
        <f>IFERROR(IF(VLOOKUP(Sun_W1[[#This Row],[Employee Name]],'Base Schedules'!$A$79:$AW$111,46,FALSE)="","",VLOOKUP(Sun_W1[[#This Row],[Employee Name]],'Base Schedules'!$A$79:$AW$111,46,FALSE)),"")</f>
        <v/>
      </c>
      <c r="AV21" s="184" t="str">
        <f>IFERROR(IF(VLOOKUP(Sun_W1[[#This Row],[Employee Name]],'Base Schedules'!$A$79:$AW$111,47,FALSE)="","",VLOOKUP(Sun_W1[[#This Row],[Employee Name]],'Base Schedules'!$A$79:$AW$111,47,FALSE)),"")</f>
        <v/>
      </c>
      <c r="AW21" s="184" t="str">
        <f>IFERROR(IF(VLOOKUP(Sun_W1[[#This Row],[Employee Name]],'Base Schedules'!$A$79:$AW$111,48,FALSE)="","",VLOOKUP(Sun_W1[[#This Row],[Employee Name]],'Base Schedules'!$A$79:$AW$111,48,FALSE)),"")</f>
        <v/>
      </c>
      <c r="AX21" s="184" t="str">
        <f>IFERROR(IF(VLOOKUP(Sun_W1[[#This Row],[Employee Name]],'Base Schedules'!$A$79:$AW$111,49,FALSE)="","",VLOOKUP(Sun_W1[[#This Row],[Employee Name]],'Base Schedules'!$A$79:$AW$111,49,FALSE)),"")</f>
        <v/>
      </c>
      <c r="AY21" s="159" t="str">
        <f t="shared" si="2"/>
        <v>Goss, Ian</v>
      </c>
    </row>
    <row r="22" spans="1:51" s="44" customFormat="1" ht="12" x14ac:dyDescent="0.2">
      <c r="A22" s="201"/>
      <c r="B22" s="201" t="s">
        <v>50</v>
      </c>
      <c r="C22" s="257" t="str">
        <f>_xlfn.IFNA(VLOOKUP(Sun_W1[[#This Row],[Employee Name]],'Base Schedules'!A:B,2,FALSE),"")</f>
        <v>Lead</v>
      </c>
      <c r="D22" s="274">
        <f>_xlfn.IFNA(VLOOKUP(Sun_W1[[#This Row],[Employee Name]],'Base Schedules'!A:C,3,FALSE),"")</f>
        <v>1200</v>
      </c>
      <c r="E22" s="274">
        <f>_xlfn.IFNA(VLOOKUP(Sun_W1[[#This Row],[Employee Name]],'Base Schedules'!A:D,4,FALSE),"")</f>
        <v>2230</v>
      </c>
      <c r="F22" s="142">
        <f>IF(Sun_W1[[#This Row],[Employee Name]]="","",IF(Sun_W1[[#This Row],[Dept]]="Supervisor",COUNTIFS($J22:$AX22,"*HL*",$J22:$AX22,"&lt;&gt;"&amp;"pHL"),COUNTIFS($J22:$AX22,"*HL*",$J22:$AX22,"&lt;&gt;"&amp;"*pHL*",$J22:$AX22,"&lt;&gt;"&amp;"pB1 HL",$J22:$AX22,"&lt;&gt;"&amp;"pB2 HL")-SUM(COUNTIFS($J22:$AX22,"*HL B1*",$J22:$AX22,"&lt;&gt;"&amp;"pHL B1")*0.5,COUNTIFS($J22:$AX22,"*HL B2*",$J22:$AX22,"&lt;&gt;"&amp;"pHL B2")*0.5,COUNTIFS($J22:$AX22,"*B1 HL*",$J22:$AX22,"&lt;&gt;"&amp;"pB1 HL")*0.5,COUNTIFS($J22:$AX22,"*B2 HL*",$J22:$AX22,"&lt;&gt;"&amp;"pB2 HL")*0.5)))</f>
        <v>10</v>
      </c>
      <c r="G22" s="142">
        <f t="shared" si="0"/>
        <v>0</v>
      </c>
      <c r="H22" s="142">
        <f t="shared" si="1"/>
        <v>7</v>
      </c>
      <c r="I22" s="142">
        <f>IF(Sun_W1[[#This Row],[Employee Name]]="","",IF(Sun_W1[[#This Row],[Dept]]="Supervisor",SUM(COUNTIFS($J22:$AX22,"RTA*",$J22:$AX22,"&lt;&gt;"&amp;"pRTA"),COUNTIFS($J22:$AX22,"*CRTA*",$J22:$AX22,"&lt;&gt;"&amp;"pCRTA")),COUNTIFS($J22:$AX22,"*RNNR*",$J22:$AX22,"&lt;&gt;"&amp;"*pRNNR*",$J22:$AX22,"&lt;&gt;"&amp;"pB1 RNNR",$J22:$AX22,"&lt;&gt;"&amp;"pB2 RNNR")-SUM(COUNTIFS($J22:$AX22,"*RNNR B1*",$J22:$AX22,"&lt;&gt;"&amp;"pRNNR B1")*0.5,COUNTIFS($J22:$AX22,"*RNNR B2*",$J22:$AX22,"&lt;&gt;"&amp;"pRNNR B2")*0.5,COUNTIFS($J22:$AX22,"*B1 RNNR*",$J22:$AX22,"&lt;&gt;"&amp;"pB1 RNNR")*0.5,COUNTIFS($J22:$AX22,"*B2 RNNR*",$J22:$AX22,"&lt;&gt;"&amp;"pB2 RNNR")*0.5)))</f>
        <v>2</v>
      </c>
      <c r="J22" s="184" t="str">
        <f>IFERROR(IF(VLOOKUP(Sun_W1[[#This Row],[Employee Name]],'Base Schedules'!$A$79:$AW$111,9,FALSE)="","",VLOOKUP(Sun_W1[[#This Row],[Employee Name]],'Base Schedules'!$A$79:$AW$111,9,FALSE)),"")</f>
        <v/>
      </c>
      <c r="K22" s="184" t="str">
        <f>IFERROR(IF(VLOOKUP(Sun_W1[[#This Row],[Employee Name]],'Base Schedules'!$A$79:$AW$111,10,FALSE)="","",VLOOKUP(Sun_W1[[#This Row],[Employee Name]],'Base Schedules'!$A$79:$AW$111,10,FALSE)),"")</f>
        <v/>
      </c>
      <c r="L22" s="184" t="str">
        <f>IFERROR(IF(VLOOKUP(Sun_W1[[#This Row],[Employee Name]],'Base Schedules'!$A$79:$AW$111,11,FALSE)="","",VLOOKUP(Sun_W1[[#This Row],[Employee Name]],'Base Schedules'!$A$79:$AW$111,11,FALSE)),"")</f>
        <v/>
      </c>
      <c r="M22" s="184" t="str">
        <f>IFERROR(IF(VLOOKUP(Sun_W1[[#This Row],[Employee Name]],'Base Schedules'!$A$79:$AW$111,12,FALSE)="","",VLOOKUP(Sun_W1[[#This Row],[Employee Name]],'Base Schedules'!$A$79:$AW$111,12,FALSE)),"")</f>
        <v/>
      </c>
      <c r="N22" s="184" t="str">
        <f>IFERROR(IF(VLOOKUP(Sun_W1[[#This Row],[Employee Name]],'Base Schedules'!$A$79:$AW$111,13,FALSE)="","",VLOOKUP(Sun_W1[[#This Row],[Employee Name]],'Base Schedules'!$A$79:$AW$111,13,FALSE)),"")</f>
        <v/>
      </c>
      <c r="O22" s="184" t="str">
        <f>IFERROR(IF(VLOOKUP(Sun_W1[[#This Row],[Employee Name]],'Base Schedules'!$A$79:$AW$111,14,FALSE)="","",VLOOKUP(Sun_W1[[#This Row],[Employee Name]],'Base Schedules'!$A$79:$AW$111,14,FALSE)),"")</f>
        <v/>
      </c>
      <c r="P22" s="184" t="str">
        <f>IFERROR(IF(VLOOKUP(Sun_W1[[#This Row],[Employee Name]],'Base Schedules'!$A$79:$AW$111,15,FALSE)="","",VLOOKUP(Sun_W1[[#This Row],[Employee Name]],'Base Schedules'!$A$79:$AW$111,15,FALSE)),"")</f>
        <v/>
      </c>
      <c r="Q22" s="184" t="str">
        <f>IFERROR(IF(VLOOKUP(Sun_W1[[#This Row],[Employee Name]],'Base Schedules'!$A$79:$AW$111,16,FALSE)="","",VLOOKUP(Sun_W1[[#This Row],[Employee Name]],'Base Schedules'!$A$79:$AW$111,16,FALSE)),"")</f>
        <v/>
      </c>
      <c r="R22" s="184" t="str">
        <f>IFERROR(IF(VLOOKUP(Sun_W1[[#This Row],[Employee Name]],'Base Schedules'!$A$79:$AW$111,17,FALSE)="","",VLOOKUP(Sun_W1[[#This Row],[Employee Name]],'Base Schedules'!$A$79:$AW$111,17,FALSE)),"")</f>
        <v/>
      </c>
      <c r="S22" s="184" t="str">
        <f>IFERROR(IF(VLOOKUP(Sun_W1[[#This Row],[Employee Name]],'Base Schedules'!$A$79:$AW$111,18,FALSE)="","",VLOOKUP(Sun_W1[[#This Row],[Employee Name]],'Base Schedules'!$A$79:$AW$111,18,FALSE)),"")</f>
        <v/>
      </c>
      <c r="T22" s="184" t="str">
        <f>IFERROR(IF(VLOOKUP(Sun_W1[[#This Row],[Employee Name]],'Base Schedules'!$A$79:$AW$111,19,FALSE)="","",VLOOKUP(Sun_W1[[#This Row],[Employee Name]],'Base Schedules'!$A$79:$AW$111,19,FALSE)),"")</f>
        <v/>
      </c>
      <c r="U22" s="184" t="str">
        <f>IFERROR(IF(VLOOKUP(Sun_W1[[#This Row],[Employee Name]],'Base Schedules'!$A$79:$AW$111,20,FALSE)="","",VLOOKUP(Sun_W1[[#This Row],[Employee Name]],'Base Schedules'!$A$79:$AW$111,20,FALSE)),"")</f>
        <v/>
      </c>
      <c r="V22" s="184" t="str">
        <f>IFERROR(IF(VLOOKUP(Sun_W1[[#This Row],[Employee Name]],'Base Schedules'!$A$79:$AW$111,21,FALSE)="","",VLOOKUP(Sun_W1[[#This Row],[Employee Name]],'Base Schedules'!$A$79:$AW$111,21,FALSE)),"")</f>
        <v/>
      </c>
      <c r="W22" s="184" t="str">
        <f>IFERROR(IF(VLOOKUP(Sun_W1[[#This Row],[Employee Name]],'Base Schedules'!$A$79:$AW$111,22,FALSE)="","",VLOOKUP(Sun_W1[[#This Row],[Employee Name]],'Base Schedules'!$A$79:$AW$111,22,FALSE)),"")</f>
        <v/>
      </c>
      <c r="X22" s="184" t="str">
        <f>IFERROR(IF(VLOOKUP(Sun_W1[[#This Row],[Employee Name]],'Base Schedules'!$A$79:$AW$111,23,FALSE)="","",VLOOKUP(Sun_W1[[#This Row],[Employee Name]],'Base Schedules'!$A$79:$AW$111,23,FALSE)),"")</f>
        <v>ADM</v>
      </c>
      <c r="Y22" s="184" t="str">
        <f>IFERROR(IF(VLOOKUP(Sun_W1[[#This Row],[Employee Name]],'Base Schedules'!$A$79:$AW$111,24,FALSE)="","",VLOOKUP(Sun_W1[[#This Row],[Employee Name]],'Base Schedules'!$A$79:$AW$111,24,FALSE)),"")</f>
        <v>ADM</v>
      </c>
      <c r="Z22" s="184" t="str">
        <f>IFERROR(IF(VLOOKUP(Sun_W1[[#This Row],[Employee Name]],'Base Schedules'!$A$79:$AW$111,25,FALSE)="","",VLOOKUP(Sun_W1[[#This Row],[Employee Name]],'Base Schedules'!$A$79:$AW$111,25,FALSE)),"")</f>
        <v>ADM</v>
      </c>
      <c r="AA22" s="184" t="str">
        <f>IFERROR(IF(VLOOKUP(Sun_W1[[#This Row],[Employee Name]],'Base Schedules'!$A$79:$AW$111,26,FALSE)="","",VLOOKUP(Sun_W1[[#This Row],[Employee Name]],'Base Schedules'!$A$79:$AW$111,26,FALSE)),"")</f>
        <v>ADM</v>
      </c>
      <c r="AB22" s="184" t="str">
        <f>IFERROR(IF(VLOOKUP(Sun_W1[[#This Row],[Employee Name]],'Base Schedules'!$A$79:$AW$111,27,FALSE)="","",VLOOKUP(Sun_W1[[#This Row],[Employee Name]],'Base Schedules'!$A$79:$AW$111,27,FALSE)),"")</f>
        <v>ADM</v>
      </c>
      <c r="AC22" s="184" t="str">
        <f>IFERROR(IF(VLOOKUP(Sun_W1[[#This Row],[Employee Name]],'Base Schedules'!$A$79:$AW$111,28,FALSE)="","",VLOOKUP(Sun_W1[[#This Row],[Employee Name]],'Base Schedules'!$A$79:$AW$111,28,FALSE)),"")</f>
        <v>B1 HL</v>
      </c>
      <c r="AD22" s="184" t="str">
        <f>IFERROR(IF(VLOOKUP(Sun_W1[[#This Row],[Employee Name]],'Base Schedules'!$A$79:$AW$111,29,FALSE)="","",VLOOKUP(Sun_W1[[#This Row],[Employee Name]],'Base Schedules'!$A$79:$AW$111,29,FALSE)),"")</f>
        <v>HL</v>
      </c>
      <c r="AE22" s="184" t="str">
        <f>IFERROR(IF(VLOOKUP(Sun_W1[[#This Row],[Employee Name]],'Base Schedules'!$A$79:$AW$111,30,FALSE)="","",VLOOKUP(Sun_W1[[#This Row],[Employee Name]],'Base Schedules'!$A$79:$AW$111,30,FALSE)),"")</f>
        <v>HL</v>
      </c>
      <c r="AF22" s="184" t="str">
        <f>IFERROR(IF(VLOOKUP(Sun_W1[[#This Row],[Employee Name]],'Base Schedules'!$A$79:$AW$111,31,FALSE)="","",VLOOKUP(Sun_W1[[#This Row],[Employee Name]],'Base Schedules'!$A$79:$AW$111,31,FALSE)),"")</f>
        <v>HL</v>
      </c>
      <c r="AG22" s="184" t="str">
        <f>IFERROR(IF(VLOOKUP(Sun_W1[[#This Row],[Employee Name]],'Base Schedules'!$A$79:$AW$111,32,FALSE)="","",VLOOKUP(Sun_W1[[#This Row],[Employee Name]],'Base Schedules'!$A$79:$AW$111,32,FALSE)),"")</f>
        <v>HL</v>
      </c>
      <c r="AH22" s="184" t="str">
        <f>IFERROR(IF(VLOOKUP(Sun_W1[[#This Row],[Employee Name]],'Base Schedules'!$A$79:$AW$111,33,FALSE)="","",VLOOKUP(Sun_W1[[#This Row],[Employee Name]],'Base Schedules'!$A$79:$AW$111,33,FALSE)),"")</f>
        <v>LUNCH</v>
      </c>
      <c r="AI22" s="184" t="str">
        <f>IFERROR(IF(VLOOKUP(Sun_W1[[#This Row],[Employee Name]],'Base Schedules'!$A$79:$AW$111,34,FALSE)="","",VLOOKUP(Sun_W1[[#This Row],[Employee Name]],'Base Schedules'!$A$79:$AW$111,34,FALSE)),"")</f>
        <v>LUNCH</v>
      </c>
      <c r="AJ22" s="184" t="str">
        <f>IFERROR(IF(VLOOKUP(Sun_W1[[#This Row],[Employee Name]],'Base Schedules'!$A$79:$AW$111,35,FALSE)="","",VLOOKUP(Sun_W1[[#This Row],[Employee Name]],'Base Schedules'!$A$79:$AW$111,35,FALSE)),"")</f>
        <v>ADM</v>
      </c>
      <c r="AK22" s="184" t="str">
        <f>IFERROR(IF(VLOOKUP(Sun_W1[[#This Row],[Employee Name]],'Base Schedules'!$A$79:$AW$111,36,FALSE)="","",VLOOKUP(Sun_W1[[#This Row],[Employee Name]],'Base Schedules'!$A$79:$AW$111,36,FALSE)),"")</f>
        <v>ADM</v>
      </c>
      <c r="AL22" s="184" t="str">
        <f>IFERROR(IF(VLOOKUP(Sun_W1[[#This Row],[Employee Name]],'Base Schedules'!$A$79:$AW$111,37,FALSE)="","",VLOOKUP(Sun_W1[[#This Row],[Employee Name]],'Base Schedules'!$A$79:$AW$111,37,FALSE)),"")</f>
        <v>RNNR</v>
      </c>
      <c r="AM22" s="184" t="str">
        <f>IFERROR(IF(VLOOKUP(Sun_W1[[#This Row],[Employee Name]],'Base Schedules'!$A$79:$AW$111,38,FALSE)="","",VLOOKUP(Sun_W1[[#This Row],[Employee Name]],'Base Schedules'!$A$79:$AW$111,38,FALSE)),"")</f>
        <v>RNNR</v>
      </c>
      <c r="AN22" s="184" t="str">
        <f>IFERROR(IF(VLOOKUP(Sun_W1[[#This Row],[Employee Name]],'Base Schedules'!$A$79:$AW$111,39,FALSE)="","",VLOOKUP(Sun_W1[[#This Row],[Employee Name]],'Base Schedules'!$A$79:$AW$111,39,FALSE)),"")</f>
        <v>HL B2</v>
      </c>
      <c r="AO22" s="184" t="str">
        <f>IFERROR(IF(VLOOKUP(Sun_W1[[#This Row],[Employee Name]],'Base Schedules'!$A$79:$AW$111,40,FALSE)="","",VLOOKUP(Sun_W1[[#This Row],[Employee Name]],'Base Schedules'!$A$79:$AW$111,40,FALSE)),"")</f>
        <v>HL</v>
      </c>
      <c r="AP22" s="184" t="str">
        <f>IFERROR(IF(VLOOKUP(Sun_W1[[#This Row],[Employee Name]],'Base Schedules'!$A$79:$AW$111,41,FALSE)="","",VLOOKUP(Sun_W1[[#This Row],[Employee Name]],'Base Schedules'!$A$79:$AW$111,41,FALSE)),"")</f>
        <v>HL</v>
      </c>
      <c r="AQ22" s="184" t="str">
        <f>IFERROR(IF(VLOOKUP(Sun_W1[[#This Row],[Employee Name]],'Base Schedules'!$A$79:$AW$111,42,FALSE)="","",VLOOKUP(Sun_W1[[#This Row],[Employee Name]],'Base Schedules'!$A$79:$AW$111,42,FALSE)),"")</f>
        <v>HL</v>
      </c>
      <c r="AR22" s="184" t="str">
        <f>IFERROR(IF(VLOOKUP(Sun_W1[[#This Row],[Employee Name]],'Base Schedules'!$A$79:$AW$111,43,FALSE)="","",VLOOKUP(Sun_W1[[#This Row],[Employee Name]],'Base Schedules'!$A$79:$AW$111,43,FALSE)),"")</f>
        <v>HL</v>
      </c>
      <c r="AS22" s="184" t="str">
        <f>IFERROR(IF(VLOOKUP(Sun_W1[[#This Row],[Employee Name]],'Base Schedules'!$A$79:$AW$111,44,FALSE)="","",VLOOKUP(Sun_W1[[#This Row],[Employee Name]],'Base Schedules'!$A$79:$AW$111,44,FALSE)),"")</f>
        <v>HL</v>
      </c>
      <c r="AT22" s="184" t="str">
        <f>IFERROR(IF(VLOOKUP(Sun_W1[[#This Row],[Employee Name]],'Base Schedules'!$A$79:$AW$111,45,FALSE)="","",VLOOKUP(Sun_W1[[#This Row],[Employee Name]],'Base Schedules'!$A$79:$AW$111,45,FALSE)),"")</f>
        <v/>
      </c>
      <c r="AU22" s="184" t="str">
        <f>IFERROR(IF(VLOOKUP(Sun_W1[[#This Row],[Employee Name]],'Base Schedules'!$A$79:$AW$111,46,FALSE)="","",VLOOKUP(Sun_W1[[#This Row],[Employee Name]],'Base Schedules'!$A$79:$AW$111,46,FALSE)),"")</f>
        <v/>
      </c>
      <c r="AV22" s="184" t="str">
        <f>IFERROR(IF(VLOOKUP(Sun_W1[[#This Row],[Employee Name]],'Base Schedules'!$A$79:$AW$111,47,FALSE)="","",VLOOKUP(Sun_W1[[#This Row],[Employee Name]],'Base Schedules'!$A$79:$AW$111,47,FALSE)),"")</f>
        <v/>
      </c>
      <c r="AW22" s="184" t="str">
        <f>IFERROR(IF(VLOOKUP(Sun_W1[[#This Row],[Employee Name]],'Base Schedules'!$A$79:$AW$111,48,FALSE)="","",VLOOKUP(Sun_W1[[#This Row],[Employee Name]],'Base Schedules'!$A$79:$AW$111,48,FALSE)),"")</f>
        <v/>
      </c>
      <c r="AX22" s="184" t="str">
        <f>IFERROR(IF(VLOOKUP(Sun_W1[[#This Row],[Employee Name]],'Base Schedules'!$A$79:$AW$111,49,FALSE)="","",VLOOKUP(Sun_W1[[#This Row],[Employee Name]],'Base Schedules'!$A$79:$AW$111,49,FALSE)),"")</f>
        <v/>
      </c>
      <c r="AY22" s="159" t="str">
        <f t="shared" si="2"/>
        <v>Floirendo, Nicholas</v>
      </c>
    </row>
    <row r="23" spans="1:51" s="44" customFormat="1" ht="12" x14ac:dyDescent="0.2">
      <c r="A23" s="201"/>
      <c r="B23" s="201" t="s">
        <v>226</v>
      </c>
      <c r="C23" s="257" t="str">
        <f>_xlfn.IFNA(VLOOKUP(Sun_W1[[#This Row],[Employee Name]],'Base Schedules'!A:B,2,FALSE),"")</f>
        <v>Lead</v>
      </c>
      <c r="D23" s="274">
        <f>_xlfn.IFNA(VLOOKUP(Sun_W1[[#This Row],[Employee Name]],'Base Schedules'!A:C,3,FALSE),"")</f>
        <v>1200</v>
      </c>
      <c r="E23" s="274">
        <f>_xlfn.IFNA(VLOOKUP(Sun_W1[[#This Row],[Employee Name]],'Base Schedules'!A:D,4,FALSE),"")</f>
        <v>2030</v>
      </c>
      <c r="F23" s="142">
        <f>IF(Sun_W1[[#This Row],[Employee Name]]="","",IF(Sun_W1[[#This Row],[Dept]]="Supervisor",COUNTIFS($J23:$AX23,"*HL*",$J23:$AX23,"&lt;&gt;"&amp;"pHL"),COUNTIFS($J23:$AX23,"*HL*",$J23:$AX23,"&lt;&gt;"&amp;"*pHL*",$J23:$AX23,"&lt;&gt;"&amp;"pB1 HL",$J23:$AX23,"&lt;&gt;"&amp;"pB2 HL")-SUM(COUNTIFS($J23:$AX23,"*HL B1*",$J23:$AX23,"&lt;&gt;"&amp;"pHL B1")*0.5,COUNTIFS($J23:$AX23,"*HL B2*",$J23:$AX23,"&lt;&gt;"&amp;"pHL B2")*0.5,COUNTIFS($J23:$AX23,"*B1 HL*",$J23:$AX23,"&lt;&gt;"&amp;"pB1 HL")*0.5,COUNTIFS($J23:$AX23,"*B2 HL*",$J23:$AX23,"&lt;&gt;"&amp;"pB2 HL")*0.5)))</f>
        <v>6</v>
      </c>
      <c r="G23" s="142">
        <f t="shared" si="0"/>
        <v>0</v>
      </c>
      <c r="H23" s="142">
        <f t="shared" si="1"/>
        <v>8</v>
      </c>
      <c r="I23" s="142">
        <f>IF(Sun_W1[[#This Row],[Employee Name]]="","",IF(Sun_W1[[#This Row],[Dept]]="Supervisor",SUM(COUNTIFS($J23:$AX23,"RTA*",$J23:$AX23,"&lt;&gt;"&amp;"pRTA"),COUNTIFS($J23:$AX23,"*CRTA*",$J23:$AX23,"&lt;&gt;"&amp;"pCRTA")),COUNTIFS($J23:$AX23,"*RNNR*",$J23:$AX23,"&lt;&gt;"&amp;"*pRNNR*",$J23:$AX23,"&lt;&gt;"&amp;"pB1 RNNR",$J23:$AX23,"&lt;&gt;"&amp;"pB2 RNNR")-SUM(COUNTIFS($J23:$AX23,"*RNNR B1*",$J23:$AX23,"&lt;&gt;"&amp;"pRNNR B1")*0.5,COUNTIFS($J23:$AX23,"*RNNR B2*",$J23:$AX23,"&lt;&gt;"&amp;"pRNNR B2")*0.5,COUNTIFS($J23:$AX23,"*B1 RNNR*",$J23:$AX23,"&lt;&gt;"&amp;"pB1 RNNR")*0.5,COUNTIFS($J23:$AX23,"*B2 RNNR*",$J23:$AX23,"&lt;&gt;"&amp;"pB2 RNNR")*0.5)))</f>
        <v>2</v>
      </c>
      <c r="J23" s="184" t="str">
        <f>IFERROR(IF(VLOOKUP(Sun_W1[[#This Row],[Employee Name]],'Base Schedules'!$A$79:$AW$111,9,FALSE)="","",VLOOKUP(Sun_W1[[#This Row],[Employee Name]],'Base Schedules'!$A$79:$AW$111,9,FALSE)),"")</f>
        <v/>
      </c>
      <c r="K23" s="184" t="str">
        <f>IFERROR(IF(VLOOKUP(Sun_W1[[#This Row],[Employee Name]],'Base Schedules'!$A$79:$AW$111,10,FALSE)="","",VLOOKUP(Sun_W1[[#This Row],[Employee Name]],'Base Schedules'!$A$79:$AW$111,10,FALSE)),"")</f>
        <v/>
      </c>
      <c r="L23" s="184" t="str">
        <f>IFERROR(IF(VLOOKUP(Sun_W1[[#This Row],[Employee Name]],'Base Schedules'!$A$79:$AW$111,11,FALSE)="","",VLOOKUP(Sun_W1[[#This Row],[Employee Name]],'Base Schedules'!$A$79:$AW$111,11,FALSE)),"")</f>
        <v/>
      </c>
      <c r="M23" s="184" t="str">
        <f>IFERROR(IF(VLOOKUP(Sun_W1[[#This Row],[Employee Name]],'Base Schedules'!$A$79:$AW$111,12,FALSE)="","",VLOOKUP(Sun_W1[[#This Row],[Employee Name]],'Base Schedules'!$A$79:$AW$111,12,FALSE)),"")</f>
        <v/>
      </c>
      <c r="N23" s="184" t="str">
        <f>IFERROR(IF(VLOOKUP(Sun_W1[[#This Row],[Employee Name]],'Base Schedules'!$A$79:$AW$111,13,FALSE)="","",VLOOKUP(Sun_W1[[#This Row],[Employee Name]],'Base Schedules'!$A$79:$AW$111,13,FALSE)),"")</f>
        <v/>
      </c>
      <c r="O23" s="184" t="str">
        <f>IFERROR(IF(VLOOKUP(Sun_W1[[#This Row],[Employee Name]],'Base Schedules'!$A$79:$AW$111,14,FALSE)="","",VLOOKUP(Sun_W1[[#This Row],[Employee Name]],'Base Schedules'!$A$79:$AW$111,14,FALSE)),"")</f>
        <v/>
      </c>
      <c r="P23" s="184" t="str">
        <f>IFERROR(IF(VLOOKUP(Sun_W1[[#This Row],[Employee Name]],'Base Schedules'!$A$79:$AW$111,15,FALSE)="","",VLOOKUP(Sun_W1[[#This Row],[Employee Name]],'Base Schedules'!$A$79:$AW$111,15,FALSE)),"")</f>
        <v/>
      </c>
      <c r="Q23" s="184" t="str">
        <f>IFERROR(IF(VLOOKUP(Sun_W1[[#This Row],[Employee Name]],'Base Schedules'!$A$79:$AW$111,16,FALSE)="","",VLOOKUP(Sun_W1[[#This Row],[Employee Name]],'Base Schedules'!$A$79:$AW$111,16,FALSE)),"")</f>
        <v/>
      </c>
      <c r="R23" s="184" t="str">
        <f>IFERROR(IF(VLOOKUP(Sun_W1[[#This Row],[Employee Name]],'Base Schedules'!$A$79:$AW$111,17,FALSE)="","",VLOOKUP(Sun_W1[[#This Row],[Employee Name]],'Base Schedules'!$A$79:$AW$111,17,FALSE)),"")</f>
        <v/>
      </c>
      <c r="S23" s="184" t="str">
        <f>IFERROR(IF(VLOOKUP(Sun_W1[[#This Row],[Employee Name]],'Base Schedules'!$A$79:$AW$111,18,FALSE)="","",VLOOKUP(Sun_W1[[#This Row],[Employee Name]],'Base Schedules'!$A$79:$AW$111,18,FALSE)),"")</f>
        <v/>
      </c>
      <c r="T23" s="184" t="str">
        <f>IFERROR(IF(VLOOKUP(Sun_W1[[#This Row],[Employee Name]],'Base Schedules'!$A$79:$AW$111,19,FALSE)="","",VLOOKUP(Sun_W1[[#This Row],[Employee Name]],'Base Schedules'!$A$79:$AW$111,19,FALSE)),"")</f>
        <v/>
      </c>
      <c r="U23" s="184" t="str">
        <f>IFERROR(IF(VLOOKUP(Sun_W1[[#This Row],[Employee Name]],'Base Schedules'!$A$79:$AW$111,20,FALSE)="","",VLOOKUP(Sun_W1[[#This Row],[Employee Name]],'Base Schedules'!$A$79:$AW$111,20,FALSE)),"")</f>
        <v/>
      </c>
      <c r="V23" s="184" t="str">
        <f>IFERROR(IF(VLOOKUP(Sun_W1[[#This Row],[Employee Name]],'Base Schedules'!$A$79:$AW$111,21,FALSE)="","",VLOOKUP(Sun_W1[[#This Row],[Employee Name]],'Base Schedules'!$A$79:$AW$111,21,FALSE)),"")</f>
        <v/>
      </c>
      <c r="W23" s="184" t="str">
        <f>IFERROR(IF(VLOOKUP(Sun_W1[[#This Row],[Employee Name]],'Base Schedules'!$A$79:$AW$111,22,FALSE)="","",VLOOKUP(Sun_W1[[#This Row],[Employee Name]],'Base Schedules'!$A$79:$AW$111,22,FALSE)),"")</f>
        <v/>
      </c>
      <c r="X23" s="184" t="str">
        <f>IFERROR(IF(VLOOKUP(Sun_W1[[#This Row],[Employee Name]],'Base Schedules'!$A$79:$AW$111,23,FALSE)="","",VLOOKUP(Sun_W1[[#This Row],[Employee Name]],'Base Schedules'!$A$79:$AW$111,23,FALSE)),"")</f>
        <v>HL</v>
      </c>
      <c r="Y23" s="184" t="str">
        <f>IFERROR(IF(VLOOKUP(Sun_W1[[#This Row],[Employee Name]],'Base Schedules'!$A$79:$AW$111,24,FALSE)="","",VLOOKUP(Sun_W1[[#This Row],[Employee Name]],'Base Schedules'!$A$79:$AW$111,24,FALSE)),"")</f>
        <v>HL</v>
      </c>
      <c r="Z23" s="184" t="str">
        <f>IFERROR(IF(VLOOKUP(Sun_W1[[#This Row],[Employee Name]],'Base Schedules'!$A$79:$AW$111,25,FALSE)="","",VLOOKUP(Sun_W1[[#This Row],[Employee Name]],'Base Schedules'!$A$79:$AW$111,25,FALSE)),"")</f>
        <v>ADM</v>
      </c>
      <c r="AA23" s="184" t="str">
        <f>IFERROR(IF(VLOOKUP(Sun_W1[[#This Row],[Employee Name]],'Base Schedules'!$A$79:$AW$111,26,FALSE)="","",VLOOKUP(Sun_W1[[#This Row],[Employee Name]],'Base Schedules'!$A$79:$AW$111,26,FALSE)),"")</f>
        <v>ADM B1</v>
      </c>
      <c r="AB23" s="184" t="str">
        <f>IFERROR(IF(VLOOKUP(Sun_W1[[#This Row],[Employee Name]],'Base Schedules'!$A$79:$AW$111,27,FALSE)="","",VLOOKUP(Sun_W1[[#This Row],[Employee Name]],'Base Schedules'!$A$79:$AW$111,27,FALSE)),"")</f>
        <v>ADM</v>
      </c>
      <c r="AC23" s="184" t="str">
        <f>IFERROR(IF(VLOOKUP(Sun_W1[[#This Row],[Employee Name]],'Base Schedules'!$A$79:$AW$111,28,FALSE)="","",VLOOKUP(Sun_W1[[#This Row],[Employee Name]],'Base Schedules'!$A$79:$AW$111,28,FALSE)),"")</f>
        <v>HL</v>
      </c>
      <c r="AD23" s="184" t="str">
        <f>IFERROR(IF(VLOOKUP(Sun_W1[[#This Row],[Employee Name]],'Base Schedules'!$A$79:$AW$111,29,FALSE)="","",VLOOKUP(Sun_W1[[#This Row],[Employee Name]],'Base Schedules'!$A$79:$AW$111,29,FALSE)),"")</f>
        <v>RNNR</v>
      </c>
      <c r="AE23" s="184" t="str">
        <f>IFERROR(IF(VLOOKUP(Sun_W1[[#This Row],[Employee Name]],'Base Schedules'!$A$79:$AW$111,30,FALSE)="","",VLOOKUP(Sun_W1[[#This Row],[Employee Name]],'Base Schedules'!$A$79:$AW$111,30,FALSE)),"")</f>
        <v>RNNR</v>
      </c>
      <c r="AF23" s="184" t="str">
        <f>IFERROR(IF(VLOOKUP(Sun_W1[[#This Row],[Employee Name]],'Base Schedules'!$A$79:$AW$111,31,FALSE)="","",VLOOKUP(Sun_W1[[#This Row],[Employee Name]],'Base Schedules'!$A$79:$AW$111,31,FALSE)),"")</f>
        <v>LUNCH</v>
      </c>
      <c r="AG23" s="184" t="str">
        <f>IFERROR(IF(VLOOKUP(Sun_W1[[#This Row],[Employee Name]],'Base Schedules'!$A$79:$AW$111,32,FALSE)="","",VLOOKUP(Sun_W1[[#This Row],[Employee Name]],'Base Schedules'!$A$79:$AW$111,32,FALSE)),"")</f>
        <v>ADM</v>
      </c>
      <c r="AH23" s="184" t="str">
        <f>IFERROR(IF(VLOOKUP(Sun_W1[[#This Row],[Employee Name]],'Base Schedules'!$A$79:$AW$111,33,FALSE)="","",VLOOKUP(Sun_W1[[#This Row],[Employee Name]],'Base Schedules'!$A$79:$AW$111,33,FALSE)),"")</f>
        <v>ADM</v>
      </c>
      <c r="AI23" s="184" t="str">
        <f>IFERROR(IF(VLOOKUP(Sun_W1[[#This Row],[Employee Name]],'Base Schedules'!$A$79:$AW$111,34,FALSE)="","",VLOOKUP(Sun_W1[[#This Row],[Employee Name]],'Base Schedules'!$A$79:$AW$111,34,FALSE)),"")</f>
        <v>ADM</v>
      </c>
      <c r="AJ23" s="184" t="str">
        <f>IFERROR(IF(VLOOKUP(Sun_W1[[#This Row],[Employee Name]],'Base Schedules'!$A$79:$AW$111,35,FALSE)="","",VLOOKUP(Sun_W1[[#This Row],[Employee Name]],'Base Schedules'!$A$79:$AW$111,35,FALSE)),"")</f>
        <v>B2 ADM</v>
      </c>
      <c r="AK23" s="184" t="str">
        <f>IFERROR(IF(VLOOKUP(Sun_W1[[#This Row],[Employee Name]],'Base Schedules'!$A$79:$AW$111,36,FALSE)="","",VLOOKUP(Sun_W1[[#This Row],[Employee Name]],'Base Schedules'!$A$79:$AW$111,36,FALSE)),"")</f>
        <v>HL</v>
      </c>
      <c r="AL23" s="184" t="str">
        <f>IFERROR(IF(VLOOKUP(Sun_W1[[#This Row],[Employee Name]],'Base Schedules'!$A$79:$AW$111,37,FALSE)="","",VLOOKUP(Sun_W1[[#This Row],[Employee Name]],'Base Schedules'!$A$79:$AW$111,37,FALSE)),"")</f>
        <v>HL</v>
      </c>
      <c r="AM23" s="184" t="str">
        <f>IFERROR(IF(VLOOKUP(Sun_W1[[#This Row],[Employee Name]],'Base Schedules'!$A$79:$AW$111,38,FALSE)="","",VLOOKUP(Sun_W1[[#This Row],[Employee Name]],'Base Schedules'!$A$79:$AW$111,38,FALSE)),"")</f>
        <v>ADM</v>
      </c>
      <c r="AN23" s="184" t="str">
        <f>IFERROR(IF(VLOOKUP(Sun_W1[[#This Row],[Employee Name]],'Base Schedules'!$A$79:$AW$111,39,FALSE)="","",VLOOKUP(Sun_W1[[#This Row],[Employee Name]],'Base Schedules'!$A$79:$AW$111,39,FALSE)),"")</f>
        <v>HL</v>
      </c>
      <c r="AO23" s="184" t="str">
        <f>IFERROR(IF(VLOOKUP(Sun_W1[[#This Row],[Employee Name]],'Base Schedules'!$A$79:$AW$111,40,FALSE)="","",VLOOKUP(Sun_W1[[#This Row],[Employee Name]],'Base Schedules'!$A$79:$AW$111,40,FALSE)),"")</f>
        <v/>
      </c>
      <c r="AP23" s="184" t="str">
        <f>IFERROR(IF(VLOOKUP(Sun_W1[[#This Row],[Employee Name]],'Base Schedules'!$A$79:$AW$111,41,FALSE)="","",VLOOKUP(Sun_W1[[#This Row],[Employee Name]],'Base Schedules'!$A$79:$AW$111,41,FALSE)),"")</f>
        <v/>
      </c>
      <c r="AQ23" s="184" t="str">
        <f>IFERROR(IF(VLOOKUP(Sun_W1[[#This Row],[Employee Name]],'Base Schedules'!$A$79:$AW$111,42,FALSE)="","",VLOOKUP(Sun_W1[[#This Row],[Employee Name]],'Base Schedules'!$A$79:$AW$111,42,FALSE)),"")</f>
        <v/>
      </c>
      <c r="AR23" s="184" t="str">
        <f>IFERROR(IF(VLOOKUP(Sun_W1[[#This Row],[Employee Name]],'Base Schedules'!$A$79:$AW$111,43,FALSE)="","",VLOOKUP(Sun_W1[[#This Row],[Employee Name]],'Base Schedules'!$A$79:$AW$111,43,FALSE)),"")</f>
        <v/>
      </c>
      <c r="AS23" s="184" t="str">
        <f>IFERROR(IF(VLOOKUP(Sun_W1[[#This Row],[Employee Name]],'Base Schedules'!$A$79:$AW$111,44,FALSE)="","",VLOOKUP(Sun_W1[[#This Row],[Employee Name]],'Base Schedules'!$A$79:$AW$111,44,FALSE)),"")</f>
        <v/>
      </c>
      <c r="AT23" s="184" t="str">
        <f>IFERROR(IF(VLOOKUP(Sun_W1[[#This Row],[Employee Name]],'Base Schedules'!$A$79:$AW$111,45,FALSE)="","",VLOOKUP(Sun_W1[[#This Row],[Employee Name]],'Base Schedules'!$A$79:$AW$111,45,FALSE)),"")</f>
        <v/>
      </c>
      <c r="AU23" s="184" t="str">
        <f>IFERROR(IF(VLOOKUP(Sun_W1[[#This Row],[Employee Name]],'Base Schedules'!$A$79:$AW$111,46,FALSE)="","",VLOOKUP(Sun_W1[[#This Row],[Employee Name]],'Base Schedules'!$A$79:$AW$111,46,FALSE)),"")</f>
        <v/>
      </c>
      <c r="AV23" s="184" t="str">
        <f>IFERROR(IF(VLOOKUP(Sun_W1[[#This Row],[Employee Name]],'Base Schedules'!$A$79:$AW$111,47,FALSE)="","",VLOOKUP(Sun_W1[[#This Row],[Employee Name]],'Base Schedules'!$A$79:$AW$111,47,FALSE)),"")</f>
        <v/>
      </c>
      <c r="AW23" s="184" t="str">
        <f>IFERROR(IF(VLOOKUP(Sun_W1[[#This Row],[Employee Name]],'Base Schedules'!$A$79:$AW$111,48,FALSE)="","",VLOOKUP(Sun_W1[[#This Row],[Employee Name]],'Base Schedules'!$A$79:$AW$111,48,FALSE)),"")</f>
        <v/>
      </c>
      <c r="AX23" s="184" t="str">
        <f>IFERROR(IF(VLOOKUP(Sun_W1[[#This Row],[Employee Name]],'Base Schedules'!$A$79:$AW$111,49,FALSE)="","",VLOOKUP(Sun_W1[[#This Row],[Employee Name]],'Base Schedules'!$A$79:$AW$111,49,FALSE)),"")</f>
        <v/>
      </c>
      <c r="AY23" s="159" t="str">
        <f t="shared" si="2"/>
        <v>Harding, Mickeya</v>
      </c>
    </row>
    <row r="24" spans="1:51" s="44" customFormat="1" ht="11.25" customHeight="1" x14ac:dyDescent="0.2">
      <c r="A24" s="201"/>
      <c r="B24" s="201" t="s">
        <v>227</v>
      </c>
      <c r="C24" s="257" t="str">
        <f>_xlfn.IFNA(VLOOKUP(Sun_W1[[#This Row],[Employee Name]],'Base Schedules'!A:B,2,FALSE),"")</f>
        <v>Supervisor</v>
      </c>
      <c r="D24" s="274">
        <f>_xlfn.IFNA(VLOOKUP(Sun_W1[[#This Row],[Employee Name]],'Base Schedules'!A:C,3,FALSE),"")</f>
        <v>1230</v>
      </c>
      <c r="E24" s="274">
        <f>_xlfn.IFNA(VLOOKUP(Sun_W1[[#This Row],[Employee Name]],'Base Schedules'!A:D,4,FALSE),"")</f>
        <v>2130</v>
      </c>
      <c r="F24" s="142">
        <f>IF(Sun_W1[[#This Row],[Employee Name]]="","",IF(Sun_W1[[#This Row],[Dept]]="Supervisor",COUNTIFS($J24:$AX24,"*HL*",$J24:$AX24,"&lt;&gt;"&amp;"pHL"),COUNTIFS($J24:$AX24,"*HL*",$J24:$AX24,"&lt;&gt;"&amp;"*pHL*",$J24:$AX24,"&lt;&gt;"&amp;"pB1 HL",$J24:$AX24,"&lt;&gt;"&amp;"pB2 HL")-SUM(COUNTIFS($J24:$AX24,"*HL B1*",$J24:$AX24,"&lt;&gt;"&amp;"pHL B1")*0.5,COUNTIFS($J24:$AX24,"*HL B2*",$J24:$AX24,"&lt;&gt;"&amp;"pHL B2")*0.5,COUNTIFS($J24:$AX24,"*B1 HL*",$J24:$AX24,"&lt;&gt;"&amp;"pB1 HL")*0.5,COUNTIFS($J24:$AX24,"*B2 HL*",$J24:$AX24,"&lt;&gt;"&amp;"pB2 HL")*0.5)))</f>
        <v>0</v>
      </c>
      <c r="G24" s="142">
        <f t="shared" si="0"/>
        <v>0</v>
      </c>
      <c r="H24" s="142">
        <f t="shared" si="1"/>
        <v>0</v>
      </c>
      <c r="I24" s="142">
        <f>IF(Sun_W1[[#This Row],[Employee Name]]="","",IF(Sun_W1[[#This Row],[Dept]]="Supervisor",SUM(COUNTIFS($J24:$AX24,"RTA*",$J24:$AX24,"&lt;&gt;"&amp;"pRTA"),COUNTIFS($J24:$AX24,"*CRTA*",$J24:$AX24,"&lt;&gt;"&amp;"pCRTA")),COUNTIFS($J24:$AX24,"*RNNR*",$J24:$AX24,"&lt;&gt;"&amp;"*pRNNR*",$J24:$AX24,"&lt;&gt;"&amp;"pB1 RNNR",$J24:$AX24,"&lt;&gt;"&amp;"pB2 RNNR")-SUM(COUNTIFS($J24:$AX24,"*RNNR B1*",$J24:$AX24,"&lt;&gt;"&amp;"pRNNR B1")*0.5,COUNTIFS($J24:$AX24,"*RNNR B2*",$J24:$AX24,"&lt;&gt;"&amp;"pRNNR B2")*0.5,COUNTIFS($J24:$AX24,"*B1 RNNR*",$J24:$AX24,"&lt;&gt;"&amp;"pB1 RNNR")*0.5,COUNTIFS($J24:$AX24,"*B2 RNNR*",$J24:$AX24,"&lt;&gt;"&amp;"pB2 RNNR")*0.5)))</f>
        <v>0</v>
      </c>
      <c r="J24" s="184" t="str">
        <f>IFERROR(IF(VLOOKUP(Sun_W1[[#This Row],[Employee Name]],'Base Schedules'!$A$79:$AW$111,9,FALSE)="","",VLOOKUP(Sun_W1[[#This Row],[Employee Name]],'Base Schedules'!$A$79:$AW$111,9,FALSE)),"")</f>
        <v/>
      </c>
      <c r="K24" s="184" t="str">
        <f>IFERROR(IF(VLOOKUP(Sun_W1[[#This Row],[Employee Name]],'Base Schedules'!$A$79:$AW$111,10,FALSE)="","",VLOOKUP(Sun_W1[[#This Row],[Employee Name]],'Base Schedules'!$A$79:$AW$111,10,FALSE)),"")</f>
        <v/>
      </c>
      <c r="L24" s="184" t="str">
        <f>IFERROR(IF(VLOOKUP(Sun_W1[[#This Row],[Employee Name]],'Base Schedules'!$A$79:$AW$111,11,FALSE)="","",VLOOKUP(Sun_W1[[#This Row],[Employee Name]],'Base Schedules'!$A$79:$AW$111,11,FALSE)),"")</f>
        <v/>
      </c>
      <c r="M24" s="184" t="str">
        <f>IFERROR(IF(VLOOKUP(Sun_W1[[#This Row],[Employee Name]],'Base Schedules'!$A$79:$AW$111,12,FALSE)="","",VLOOKUP(Sun_W1[[#This Row],[Employee Name]],'Base Schedules'!$A$79:$AW$111,12,FALSE)),"")</f>
        <v/>
      </c>
      <c r="N24" s="184" t="str">
        <f>IFERROR(IF(VLOOKUP(Sun_W1[[#This Row],[Employee Name]],'Base Schedules'!$A$79:$AW$111,13,FALSE)="","",VLOOKUP(Sun_W1[[#This Row],[Employee Name]],'Base Schedules'!$A$79:$AW$111,13,FALSE)),"")</f>
        <v/>
      </c>
      <c r="O24" s="184" t="str">
        <f>IFERROR(IF(VLOOKUP(Sun_W1[[#This Row],[Employee Name]],'Base Schedules'!$A$79:$AW$111,14,FALSE)="","",VLOOKUP(Sun_W1[[#This Row],[Employee Name]],'Base Schedules'!$A$79:$AW$111,14,FALSE)),"")</f>
        <v/>
      </c>
      <c r="P24" s="184" t="str">
        <f>IFERROR(IF(VLOOKUP(Sun_W1[[#This Row],[Employee Name]],'Base Schedules'!$A$79:$AW$111,15,FALSE)="","",VLOOKUP(Sun_W1[[#This Row],[Employee Name]],'Base Schedules'!$A$79:$AW$111,15,FALSE)),"")</f>
        <v/>
      </c>
      <c r="Q24" s="184" t="str">
        <f>IFERROR(IF(VLOOKUP(Sun_W1[[#This Row],[Employee Name]],'Base Schedules'!$A$79:$AW$111,16,FALSE)="","",VLOOKUP(Sun_W1[[#This Row],[Employee Name]],'Base Schedules'!$A$79:$AW$111,16,FALSE)),"")</f>
        <v/>
      </c>
      <c r="R24" s="184" t="str">
        <f>IFERROR(IF(VLOOKUP(Sun_W1[[#This Row],[Employee Name]],'Base Schedules'!$A$79:$AW$111,17,FALSE)="","",VLOOKUP(Sun_W1[[#This Row],[Employee Name]],'Base Schedules'!$A$79:$AW$111,17,FALSE)),"")</f>
        <v/>
      </c>
      <c r="S24" s="184" t="str">
        <f>IFERROR(IF(VLOOKUP(Sun_W1[[#This Row],[Employee Name]],'Base Schedules'!$A$79:$AW$111,18,FALSE)="","",VLOOKUP(Sun_W1[[#This Row],[Employee Name]],'Base Schedules'!$A$79:$AW$111,18,FALSE)),"")</f>
        <v/>
      </c>
      <c r="T24" s="184" t="str">
        <f>IFERROR(IF(VLOOKUP(Sun_W1[[#This Row],[Employee Name]],'Base Schedules'!$A$79:$AW$111,19,FALSE)="","",VLOOKUP(Sun_W1[[#This Row],[Employee Name]],'Base Schedules'!$A$79:$AW$111,19,FALSE)),"")</f>
        <v/>
      </c>
      <c r="U24" s="184" t="str">
        <f>IFERROR(IF(VLOOKUP(Sun_W1[[#This Row],[Employee Name]],'Base Schedules'!$A$79:$AW$111,20,FALSE)="","",VLOOKUP(Sun_W1[[#This Row],[Employee Name]],'Base Schedules'!$A$79:$AW$111,20,FALSE)),"")</f>
        <v/>
      </c>
      <c r="V24" s="184" t="str">
        <f>IFERROR(IF(VLOOKUP(Sun_W1[[#This Row],[Employee Name]],'Base Schedules'!$A$79:$AW$111,21,FALSE)="","",VLOOKUP(Sun_W1[[#This Row],[Employee Name]],'Base Schedules'!$A$79:$AW$111,21,FALSE)),"")</f>
        <v/>
      </c>
      <c r="W24" s="184" t="str">
        <f>IFERROR(IF(VLOOKUP(Sun_W1[[#This Row],[Employee Name]],'Base Schedules'!$A$79:$AW$111,22,FALSE)="","",VLOOKUP(Sun_W1[[#This Row],[Employee Name]],'Base Schedules'!$A$79:$AW$111,22,FALSE)),"")</f>
        <v/>
      </c>
      <c r="X24" s="184" t="str">
        <f>IFERROR(IF(VLOOKUP(Sun_W1[[#This Row],[Employee Name]],'Base Schedules'!$A$79:$AW$111,23,FALSE)="","",VLOOKUP(Sun_W1[[#This Row],[Employee Name]],'Base Schedules'!$A$79:$AW$111,23,FALSE)),"")</f>
        <v/>
      </c>
      <c r="Y24" s="184" t="str">
        <f>IFERROR(IF(VLOOKUP(Sun_W1[[#This Row],[Employee Name]],'Base Schedules'!$A$79:$AW$111,24,FALSE)="","",VLOOKUP(Sun_W1[[#This Row],[Employee Name]],'Base Schedules'!$A$79:$AW$111,24,FALSE)),"")</f>
        <v/>
      </c>
      <c r="Z24" s="184" t="str">
        <f>IFERROR(IF(VLOOKUP(Sun_W1[[#This Row],[Employee Name]],'Base Schedules'!$A$79:$AW$111,25,FALSE)="","",VLOOKUP(Sun_W1[[#This Row],[Employee Name]],'Base Schedules'!$A$79:$AW$111,25,FALSE)),"")</f>
        <v/>
      </c>
      <c r="AA24" s="184" t="str">
        <f>IFERROR(IF(VLOOKUP(Sun_W1[[#This Row],[Employee Name]],'Base Schedules'!$A$79:$AW$111,26,FALSE)="","",VLOOKUP(Sun_W1[[#This Row],[Employee Name]],'Base Schedules'!$A$79:$AW$111,26,FALSE)),"")</f>
        <v/>
      </c>
      <c r="AB24" s="184" t="str">
        <f>IFERROR(IF(VLOOKUP(Sun_W1[[#This Row],[Employee Name]],'Base Schedules'!$A$79:$AW$111,27,FALSE)="","",VLOOKUP(Sun_W1[[#This Row],[Employee Name]],'Base Schedules'!$A$79:$AW$111,27,FALSE)),"")</f>
        <v/>
      </c>
      <c r="AC24" s="184" t="str">
        <f>IFERROR(IF(VLOOKUP(Sun_W1[[#This Row],[Employee Name]],'Base Schedules'!$A$79:$AW$111,28,FALSE)="","",VLOOKUP(Sun_W1[[#This Row],[Employee Name]],'Base Schedules'!$A$79:$AW$111,28,FALSE)),"")</f>
        <v/>
      </c>
      <c r="AD24" s="184" t="str">
        <f>IFERROR(IF(VLOOKUP(Sun_W1[[#This Row],[Employee Name]],'Base Schedules'!$A$79:$AW$111,29,FALSE)="","",VLOOKUP(Sun_W1[[#This Row],[Employee Name]],'Base Schedules'!$A$79:$AW$111,29,FALSE)),"")</f>
        <v/>
      </c>
      <c r="AE24" s="184" t="str">
        <f>IFERROR(IF(VLOOKUP(Sun_W1[[#This Row],[Employee Name]],'Base Schedules'!$A$79:$AW$111,30,FALSE)="","",VLOOKUP(Sun_W1[[#This Row],[Employee Name]],'Base Schedules'!$A$79:$AW$111,30,FALSE)),"")</f>
        <v/>
      </c>
      <c r="AF24" s="184" t="str">
        <f>IFERROR(IF(VLOOKUP(Sun_W1[[#This Row],[Employee Name]],'Base Schedules'!$A$79:$AW$111,31,FALSE)="","",VLOOKUP(Sun_W1[[#This Row],[Employee Name]],'Base Schedules'!$A$79:$AW$111,31,FALSE)),"")</f>
        <v/>
      </c>
      <c r="AG24" s="184" t="str">
        <f>IFERROR(IF(VLOOKUP(Sun_W1[[#This Row],[Employee Name]],'Base Schedules'!$A$79:$AW$111,32,FALSE)="","",VLOOKUP(Sun_W1[[#This Row],[Employee Name]],'Base Schedules'!$A$79:$AW$111,32,FALSE)),"")</f>
        <v/>
      </c>
      <c r="AH24" s="184" t="str">
        <f>IFERROR(IF(VLOOKUP(Sun_W1[[#This Row],[Employee Name]],'Base Schedules'!$A$79:$AW$111,33,FALSE)="","",VLOOKUP(Sun_W1[[#This Row],[Employee Name]],'Base Schedules'!$A$79:$AW$111,33,FALSE)),"")</f>
        <v/>
      </c>
      <c r="AI24" s="184" t="str">
        <f>IFERROR(IF(VLOOKUP(Sun_W1[[#This Row],[Employee Name]],'Base Schedules'!$A$79:$AW$111,34,FALSE)="","",VLOOKUP(Sun_W1[[#This Row],[Employee Name]],'Base Schedules'!$A$79:$AW$111,34,FALSE)),"")</f>
        <v/>
      </c>
      <c r="AJ24" s="184" t="str">
        <f>IFERROR(IF(VLOOKUP(Sun_W1[[#This Row],[Employee Name]],'Base Schedules'!$A$79:$AW$111,35,FALSE)="","",VLOOKUP(Sun_W1[[#This Row],[Employee Name]],'Base Schedules'!$A$79:$AW$111,35,FALSE)),"")</f>
        <v/>
      </c>
      <c r="AK24" s="184" t="str">
        <f>IFERROR(IF(VLOOKUP(Sun_W1[[#This Row],[Employee Name]],'Base Schedules'!$A$79:$AW$111,36,FALSE)="","",VLOOKUP(Sun_W1[[#This Row],[Employee Name]],'Base Schedules'!$A$79:$AW$111,36,FALSE)),"")</f>
        <v/>
      </c>
      <c r="AL24" s="184" t="str">
        <f>IFERROR(IF(VLOOKUP(Sun_W1[[#This Row],[Employee Name]],'Base Schedules'!$A$79:$AW$111,37,FALSE)="","",VLOOKUP(Sun_W1[[#This Row],[Employee Name]],'Base Schedules'!$A$79:$AW$111,37,FALSE)),"")</f>
        <v/>
      </c>
      <c r="AM24" s="184" t="str">
        <f>IFERROR(IF(VLOOKUP(Sun_W1[[#This Row],[Employee Name]],'Base Schedules'!$A$79:$AW$111,38,FALSE)="","",VLOOKUP(Sun_W1[[#This Row],[Employee Name]],'Base Schedules'!$A$79:$AW$111,38,FALSE)),"")</f>
        <v/>
      </c>
      <c r="AN24" s="184" t="str">
        <f>IFERROR(IF(VLOOKUP(Sun_W1[[#This Row],[Employee Name]],'Base Schedules'!$A$79:$AW$111,39,FALSE)="","",VLOOKUP(Sun_W1[[#This Row],[Employee Name]],'Base Schedules'!$A$79:$AW$111,39,FALSE)),"")</f>
        <v/>
      </c>
      <c r="AO24" s="184" t="str">
        <f>IFERROR(IF(VLOOKUP(Sun_W1[[#This Row],[Employee Name]],'Base Schedules'!$A$79:$AW$111,40,FALSE)="","",VLOOKUP(Sun_W1[[#This Row],[Employee Name]],'Base Schedules'!$A$79:$AW$111,40,FALSE)),"")</f>
        <v/>
      </c>
      <c r="AP24" s="184" t="str">
        <f>IFERROR(IF(VLOOKUP(Sun_W1[[#This Row],[Employee Name]],'Base Schedules'!$A$79:$AW$111,41,FALSE)="","",VLOOKUP(Sun_W1[[#This Row],[Employee Name]],'Base Schedules'!$A$79:$AW$111,41,FALSE)),"")</f>
        <v/>
      </c>
      <c r="AQ24" s="184" t="str">
        <f>IFERROR(IF(VLOOKUP(Sun_W1[[#This Row],[Employee Name]],'Base Schedules'!$A$79:$AW$111,42,FALSE)="","",VLOOKUP(Sun_W1[[#This Row],[Employee Name]],'Base Schedules'!$A$79:$AW$111,42,FALSE)),"")</f>
        <v/>
      </c>
      <c r="AR24" s="184" t="str">
        <f>IFERROR(IF(VLOOKUP(Sun_W1[[#This Row],[Employee Name]],'Base Schedules'!$A$79:$AW$111,43,FALSE)="","",VLOOKUP(Sun_W1[[#This Row],[Employee Name]],'Base Schedules'!$A$79:$AW$111,43,FALSE)),"")</f>
        <v/>
      </c>
      <c r="AS24" s="184" t="str">
        <f>IFERROR(IF(VLOOKUP(Sun_W1[[#This Row],[Employee Name]],'Base Schedules'!$A$79:$AW$111,44,FALSE)="","",VLOOKUP(Sun_W1[[#This Row],[Employee Name]],'Base Schedules'!$A$79:$AW$111,44,FALSE)),"")</f>
        <v/>
      </c>
      <c r="AT24" s="184" t="str">
        <f>IFERROR(IF(VLOOKUP(Sun_W1[[#This Row],[Employee Name]],'Base Schedules'!$A$79:$AW$111,45,FALSE)="","",VLOOKUP(Sun_W1[[#This Row],[Employee Name]],'Base Schedules'!$A$79:$AW$111,45,FALSE)),"")</f>
        <v/>
      </c>
      <c r="AU24" s="184" t="str">
        <f>IFERROR(IF(VLOOKUP(Sun_W1[[#This Row],[Employee Name]],'Base Schedules'!$A$79:$AW$111,46,FALSE)="","",VLOOKUP(Sun_W1[[#This Row],[Employee Name]],'Base Schedules'!$A$79:$AW$111,46,FALSE)),"")</f>
        <v/>
      </c>
      <c r="AV24" s="184" t="str">
        <f>IFERROR(IF(VLOOKUP(Sun_W1[[#This Row],[Employee Name]],'Base Schedules'!$A$79:$AW$111,47,FALSE)="","",VLOOKUP(Sun_W1[[#This Row],[Employee Name]],'Base Schedules'!$A$79:$AW$111,47,FALSE)),"")</f>
        <v/>
      </c>
      <c r="AW24" s="184" t="str">
        <f>IFERROR(IF(VLOOKUP(Sun_W1[[#This Row],[Employee Name]],'Base Schedules'!$A$79:$AW$111,48,FALSE)="","",VLOOKUP(Sun_W1[[#This Row],[Employee Name]],'Base Schedules'!$A$79:$AW$111,48,FALSE)),"")</f>
        <v/>
      </c>
      <c r="AX24" s="184" t="str">
        <f>IFERROR(IF(VLOOKUP(Sun_W1[[#This Row],[Employee Name]],'Base Schedules'!$A$79:$AW$111,49,FALSE)="","",VLOOKUP(Sun_W1[[#This Row],[Employee Name]],'Base Schedules'!$A$79:$AW$111,49,FALSE)),"")</f>
        <v/>
      </c>
      <c r="AY24" s="159" t="str">
        <f t="shared" si="2"/>
        <v>Ostby, Paige</v>
      </c>
    </row>
    <row r="25" spans="1:51" s="44" customFormat="1" ht="12" x14ac:dyDescent="0.2">
      <c r="A25" s="201"/>
      <c r="B25" s="201" t="s">
        <v>23</v>
      </c>
      <c r="C25" s="257" t="str">
        <f>_xlfn.IFNA(VLOOKUP(Sun_W1[[#This Row],[Employee Name]],'Base Schedules'!A:B,2,FALSE),"")</f>
        <v>Supervisor</v>
      </c>
      <c r="D25" s="274">
        <f>_xlfn.IFNA(VLOOKUP(Sun_W1[[#This Row],[Employee Name]],'Base Schedules'!A:C,3,FALSE),"")</f>
        <v>1230</v>
      </c>
      <c r="E25" s="274">
        <f>_xlfn.IFNA(VLOOKUP(Sun_W1[[#This Row],[Employee Name]],'Base Schedules'!A:D,4,FALSE),"")</f>
        <v>2130</v>
      </c>
      <c r="F25" s="142">
        <f>IF(Sun_W1[[#This Row],[Employee Name]]="","",IF(Sun_W1[[#This Row],[Dept]]="Supervisor",COUNTIFS($J25:$AX25,"*HL*",$J25:$AX25,"&lt;&gt;"&amp;"pHL"),COUNTIFS($J25:$AX25,"*HL*",$J25:$AX25,"&lt;&gt;"&amp;"*pHL*",$J25:$AX25,"&lt;&gt;"&amp;"pB1 HL",$J25:$AX25,"&lt;&gt;"&amp;"pB2 HL")-SUM(COUNTIFS($J25:$AX25,"*HL B1*",$J25:$AX25,"&lt;&gt;"&amp;"pHL B1")*0.5,COUNTIFS($J25:$AX25,"*HL B2*",$J25:$AX25,"&lt;&gt;"&amp;"pHL B2")*0.5,COUNTIFS($J25:$AX25,"*B1 HL*",$J25:$AX25,"&lt;&gt;"&amp;"pB1 HL")*0.5,COUNTIFS($J25:$AX25,"*B2 HL*",$J25:$AX25,"&lt;&gt;"&amp;"pB2 HL")*0.5)))</f>
        <v>0</v>
      </c>
      <c r="G25" s="142">
        <f t="shared" si="0"/>
        <v>4</v>
      </c>
      <c r="H25" s="142">
        <f t="shared" si="1"/>
        <v>0</v>
      </c>
      <c r="I25" s="142">
        <f>IF(Sun_W1[[#This Row],[Employee Name]]="","",IF(Sun_W1[[#This Row],[Dept]]="Supervisor",SUM(COUNTIFS($J25:$AX25,"RTA*",$J25:$AX25,"&lt;&gt;"&amp;"pRTA"),COUNTIFS($J25:$AX25,"*CRTA*",$J25:$AX25,"&lt;&gt;"&amp;"pCRTA")),COUNTIFS($J25:$AX25,"*RNNR*",$J25:$AX25,"&lt;&gt;"&amp;"*pRNNR*",$J25:$AX25,"&lt;&gt;"&amp;"pB1 RNNR",$J25:$AX25,"&lt;&gt;"&amp;"pB2 RNNR")-SUM(COUNTIFS($J25:$AX25,"*RNNR B1*",$J25:$AX25,"&lt;&gt;"&amp;"pRNNR B1")*0.5,COUNTIFS($J25:$AX25,"*RNNR B2*",$J25:$AX25,"&lt;&gt;"&amp;"pRNNR B2")*0.5,COUNTIFS($J25:$AX25,"*B1 RNNR*",$J25:$AX25,"&lt;&gt;"&amp;"pB1 RNNR")*0.5,COUNTIFS($J25:$AX25,"*B2 RNNR*",$J25:$AX25,"&lt;&gt;"&amp;"pB2 RNNR")*0.5)))</f>
        <v>0</v>
      </c>
      <c r="J25" s="184" t="str">
        <f>IFERROR(IF(VLOOKUP(Sun_W1[[#This Row],[Employee Name]],'Base Schedules'!$A$79:$AW$111,9,FALSE)="","",VLOOKUP(Sun_W1[[#This Row],[Employee Name]],'Base Schedules'!$A$79:$AW$111,9,FALSE)),"")</f>
        <v/>
      </c>
      <c r="K25" s="184" t="str">
        <f>IFERROR(IF(VLOOKUP(Sun_W1[[#This Row],[Employee Name]],'Base Schedules'!$A$79:$AW$111,10,FALSE)="","",VLOOKUP(Sun_W1[[#This Row],[Employee Name]],'Base Schedules'!$A$79:$AW$111,10,FALSE)),"")</f>
        <v/>
      </c>
      <c r="L25" s="184" t="str">
        <f>IFERROR(IF(VLOOKUP(Sun_W1[[#This Row],[Employee Name]],'Base Schedules'!$A$79:$AW$111,11,FALSE)="","",VLOOKUP(Sun_W1[[#This Row],[Employee Name]],'Base Schedules'!$A$79:$AW$111,11,FALSE)),"")</f>
        <v/>
      </c>
      <c r="M25" s="184" t="str">
        <f>IFERROR(IF(VLOOKUP(Sun_W1[[#This Row],[Employee Name]],'Base Schedules'!$A$79:$AW$111,12,FALSE)="","",VLOOKUP(Sun_W1[[#This Row],[Employee Name]],'Base Schedules'!$A$79:$AW$111,12,FALSE)),"")</f>
        <v/>
      </c>
      <c r="N25" s="184" t="str">
        <f>IFERROR(IF(VLOOKUP(Sun_W1[[#This Row],[Employee Name]],'Base Schedules'!$A$79:$AW$111,13,FALSE)="","",VLOOKUP(Sun_W1[[#This Row],[Employee Name]],'Base Schedules'!$A$79:$AW$111,13,FALSE)),"")</f>
        <v/>
      </c>
      <c r="O25" s="184" t="str">
        <f>IFERROR(IF(VLOOKUP(Sun_W1[[#This Row],[Employee Name]],'Base Schedules'!$A$79:$AW$111,14,FALSE)="","",VLOOKUP(Sun_W1[[#This Row],[Employee Name]],'Base Schedules'!$A$79:$AW$111,14,FALSE)),"")</f>
        <v/>
      </c>
      <c r="P25" s="184" t="str">
        <f>IFERROR(IF(VLOOKUP(Sun_W1[[#This Row],[Employee Name]],'Base Schedules'!$A$79:$AW$111,15,FALSE)="","",VLOOKUP(Sun_W1[[#This Row],[Employee Name]],'Base Schedules'!$A$79:$AW$111,15,FALSE)),"")</f>
        <v/>
      </c>
      <c r="Q25" s="184" t="str">
        <f>IFERROR(IF(VLOOKUP(Sun_W1[[#This Row],[Employee Name]],'Base Schedules'!$A$79:$AW$111,16,FALSE)="","",VLOOKUP(Sun_W1[[#This Row],[Employee Name]],'Base Schedules'!$A$79:$AW$111,16,FALSE)),"")</f>
        <v/>
      </c>
      <c r="R25" s="184" t="str">
        <f>IFERROR(IF(VLOOKUP(Sun_W1[[#This Row],[Employee Name]],'Base Schedules'!$A$79:$AW$111,17,FALSE)="","",VLOOKUP(Sun_W1[[#This Row],[Employee Name]],'Base Schedules'!$A$79:$AW$111,17,FALSE)),"")</f>
        <v/>
      </c>
      <c r="S25" s="184" t="str">
        <f>IFERROR(IF(VLOOKUP(Sun_W1[[#This Row],[Employee Name]],'Base Schedules'!$A$79:$AW$111,18,FALSE)="","",VLOOKUP(Sun_W1[[#This Row],[Employee Name]],'Base Schedules'!$A$79:$AW$111,18,FALSE)),"")</f>
        <v/>
      </c>
      <c r="T25" s="184" t="str">
        <f>IFERROR(IF(VLOOKUP(Sun_W1[[#This Row],[Employee Name]],'Base Schedules'!$A$79:$AW$111,19,FALSE)="","",VLOOKUP(Sun_W1[[#This Row],[Employee Name]],'Base Schedules'!$A$79:$AW$111,19,FALSE)),"")</f>
        <v/>
      </c>
      <c r="U25" s="184" t="str">
        <f>IFERROR(IF(VLOOKUP(Sun_W1[[#This Row],[Employee Name]],'Base Schedules'!$A$79:$AW$111,20,FALSE)="","",VLOOKUP(Sun_W1[[#This Row],[Employee Name]],'Base Schedules'!$A$79:$AW$111,20,FALSE)),"")</f>
        <v/>
      </c>
      <c r="V25" s="184" t="str">
        <f>IFERROR(IF(VLOOKUP(Sun_W1[[#This Row],[Employee Name]],'Base Schedules'!$A$79:$AW$111,21,FALSE)="","",VLOOKUP(Sun_W1[[#This Row],[Employee Name]],'Base Schedules'!$A$79:$AW$111,21,FALSE)),"")</f>
        <v/>
      </c>
      <c r="W25" s="184" t="str">
        <f>IFERROR(IF(VLOOKUP(Sun_W1[[#This Row],[Employee Name]],'Base Schedules'!$A$79:$AW$111,22,FALSE)="","",VLOOKUP(Sun_W1[[#This Row],[Employee Name]],'Base Schedules'!$A$79:$AW$111,22,FALSE)),"")</f>
        <v/>
      </c>
      <c r="X25" s="184" t="str">
        <f>IFERROR(IF(VLOOKUP(Sun_W1[[#This Row],[Employee Name]],'Base Schedules'!$A$79:$AW$111,23,FALSE)="","",VLOOKUP(Sun_W1[[#This Row],[Employee Name]],'Base Schedules'!$A$79:$AW$111,23,FALSE)),"")</f>
        <v/>
      </c>
      <c r="Y25" s="184" t="str">
        <f>IFERROR(IF(VLOOKUP(Sun_W1[[#This Row],[Employee Name]],'Base Schedules'!$A$79:$AW$111,24,FALSE)="","",VLOOKUP(Sun_W1[[#This Row],[Employee Name]],'Base Schedules'!$A$79:$AW$111,24,FALSE)),"")</f>
        <v>-</v>
      </c>
      <c r="Z25" s="184" t="str">
        <f>IFERROR(IF(VLOOKUP(Sun_W1[[#This Row],[Employee Name]],'Base Schedules'!$A$79:$AW$111,25,FALSE)="","",VLOOKUP(Sun_W1[[#This Row],[Employee Name]],'Base Schedules'!$A$79:$AW$111,25,FALSE)),"")</f>
        <v>-</v>
      </c>
      <c r="AA25" s="184" t="str">
        <f>IFERROR(IF(VLOOKUP(Sun_W1[[#This Row],[Employee Name]],'Base Schedules'!$A$79:$AW$111,26,FALSE)="","",VLOOKUP(Sun_W1[[#This Row],[Employee Name]],'Base Schedules'!$A$79:$AW$111,26,FALSE)),"")</f>
        <v>-</v>
      </c>
      <c r="AB25" s="184" t="str">
        <f>IFERROR(IF(VLOOKUP(Sun_W1[[#This Row],[Employee Name]],'Base Schedules'!$A$79:$AW$111,27,FALSE)="","",VLOOKUP(Sun_W1[[#This Row],[Employee Name]],'Base Schedules'!$A$79:$AW$111,27,FALSE)),"")</f>
        <v>-</v>
      </c>
      <c r="AC25" s="184" t="str">
        <f>IFERROR(IF(VLOOKUP(Sun_W1[[#This Row],[Employee Name]],'Base Schedules'!$A$79:$AW$111,28,FALSE)="","",VLOOKUP(Sun_W1[[#This Row],[Employee Name]],'Base Schedules'!$A$79:$AW$111,28,FALSE)),"")</f>
        <v>-</v>
      </c>
      <c r="AD25" s="184" t="str">
        <f>IFERROR(IF(VLOOKUP(Sun_W1[[#This Row],[Employee Name]],'Base Schedules'!$A$79:$AW$111,29,FALSE)="","",VLOOKUP(Sun_W1[[#This Row],[Employee Name]],'Base Schedules'!$A$79:$AW$111,29,FALSE)),"")</f>
        <v>-</v>
      </c>
      <c r="AE25" s="184" t="str">
        <f>IFERROR(IF(VLOOKUP(Sun_W1[[#This Row],[Employee Name]],'Base Schedules'!$A$79:$AW$111,30,FALSE)="","",VLOOKUP(Sun_W1[[#This Row],[Employee Name]],'Base Schedules'!$A$79:$AW$111,30,FALSE)),"")</f>
        <v>-</v>
      </c>
      <c r="AF25" s="184" t="str">
        <f>IFERROR(IF(VLOOKUP(Sun_W1[[#This Row],[Employee Name]],'Base Schedules'!$A$79:$AW$111,31,FALSE)="","",VLOOKUP(Sun_W1[[#This Row],[Employee Name]],'Base Schedules'!$A$79:$AW$111,31,FALSE)),"")</f>
        <v>-</v>
      </c>
      <c r="AG25" s="184" t="str">
        <f>IFERROR(IF(VLOOKUP(Sun_W1[[#This Row],[Employee Name]],'Base Schedules'!$A$79:$AW$111,32,FALSE)="","",VLOOKUP(Sun_W1[[#This Row],[Employee Name]],'Base Schedules'!$A$79:$AW$111,32,FALSE)),"")</f>
        <v>-</v>
      </c>
      <c r="AH25" s="184" t="str">
        <f>IFERROR(IF(VLOOKUP(Sun_W1[[#This Row],[Employee Name]],'Base Schedules'!$A$79:$AW$111,33,FALSE)="","",VLOOKUP(Sun_W1[[#This Row],[Employee Name]],'Base Schedules'!$A$79:$AW$111,33,FALSE)),"")</f>
        <v>Coaching</v>
      </c>
      <c r="AI25" s="184" t="str">
        <f>IFERROR(IF(VLOOKUP(Sun_W1[[#This Row],[Employee Name]],'Base Schedules'!$A$79:$AW$111,34,FALSE)="","",VLOOKUP(Sun_W1[[#This Row],[Employee Name]],'Base Schedules'!$A$79:$AW$111,34,FALSE)),"")</f>
        <v>Coaching</v>
      </c>
      <c r="AJ25" s="184" t="str">
        <f>IFERROR(IF(VLOOKUP(Sun_W1[[#This Row],[Employee Name]],'Base Schedules'!$A$79:$AW$111,35,FALSE)="","",VLOOKUP(Sun_W1[[#This Row],[Employee Name]],'Base Schedules'!$A$79:$AW$111,35,FALSE)),"")</f>
        <v>Coaching</v>
      </c>
      <c r="AK25" s="184" t="str">
        <f>IFERROR(IF(VLOOKUP(Sun_W1[[#This Row],[Employee Name]],'Base Schedules'!$A$79:$AW$111,36,FALSE)="","",VLOOKUP(Sun_W1[[#This Row],[Employee Name]],'Base Schedules'!$A$79:$AW$111,36,FALSE)),"")</f>
        <v>Coaching</v>
      </c>
      <c r="AL25" s="184" t="str">
        <f>IFERROR(IF(VLOOKUP(Sun_W1[[#This Row],[Employee Name]],'Base Schedules'!$A$79:$AW$111,37,FALSE)="","",VLOOKUP(Sun_W1[[#This Row],[Employee Name]],'Base Schedules'!$A$79:$AW$111,37,FALSE)),"")</f>
        <v>-</v>
      </c>
      <c r="AM25" s="184" t="str">
        <f>IFERROR(IF(VLOOKUP(Sun_W1[[#This Row],[Employee Name]],'Base Schedules'!$A$79:$AW$111,38,FALSE)="","",VLOOKUP(Sun_W1[[#This Row],[Employee Name]],'Base Schedules'!$A$79:$AW$111,38,FALSE)),"")</f>
        <v>-</v>
      </c>
      <c r="AN25" s="184" t="str">
        <f>IFERROR(IF(VLOOKUP(Sun_W1[[#This Row],[Employee Name]],'Base Schedules'!$A$79:$AW$111,39,FALSE)="","",VLOOKUP(Sun_W1[[#This Row],[Employee Name]],'Base Schedules'!$A$79:$AW$111,39,FALSE)),"")</f>
        <v>-</v>
      </c>
      <c r="AO25" s="184" t="str">
        <f>IFERROR(IF(VLOOKUP(Sun_W1[[#This Row],[Employee Name]],'Base Schedules'!$A$79:$AW$111,40,FALSE)="","",VLOOKUP(Sun_W1[[#This Row],[Employee Name]],'Base Schedules'!$A$79:$AW$111,40,FALSE)),"")</f>
        <v>-</v>
      </c>
      <c r="AP25" s="184" t="str">
        <f>IFERROR(IF(VLOOKUP(Sun_W1[[#This Row],[Employee Name]],'Base Schedules'!$A$79:$AW$111,41,FALSE)="","",VLOOKUP(Sun_W1[[#This Row],[Employee Name]],'Base Schedules'!$A$79:$AW$111,41,FALSE)),"")</f>
        <v>-</v>
      </c>
      <c r="AQ25" s="184" t="str">
        <f>IFERROR(IF(VLOOKUP(Sun_W1[[#This Row],[Employee Name]],'Base Schedules'!$A$79:$AW$111,42,FALSE)="","",VLOOKUP(Sun_W1[[#This Row],[Employee Name]],'Base Schedules'!$A$79:$AW$111,42,FALSE)),"")</f>
        <v/>
      </c>
      <c r="AR25" s="184" t="str">
        <f>IFERROR(IF(VLOOKUP(Sun_W1[[#This Row],[Employee Name]],'Base Schedules'!$A$79:$AW$111,43,FALSE)="","",VLOOKUP(Sun_W1[[#This Row],[Employee Name]],'Base Schedules'!$A$79:$AW$111,43,FALSE)),"")</f>
        <v/>
      </c>
      <c r="AS25" s="184" t="str">
        <f>IFERROR(IF(VLOOKUP(Sun_W1[[#This Row],[Employee Name]],'Base Schedules'!$A$79:$AW$111,44,FALSE)="","",VLOOKUP(Sun_W1[[#This Row],[Employee Name]],'Base Schedules'!$A$79:$AW$111,44,FALSE)),"")</f>
        <v/>
      </c>
      <c r="AT25" s="184" t="str">
        <f>IFERROR(IF(VLOOKUP(Sun_W1[[#This Row],[Employee Name]],'Base Schedules'!$A$79:$AW$111,45,FALSE)="","",VLOOKUP(Sun_W1[[#This Row],[Employee Name]],'Base Schedules'!$A$79:$AW$111,45,FALSE)),"")</f>
        <v/>
      </c>
      <c r="AU25" s="184" t="str">
        <f>IFERROR(IF(VLOOKUP(Sun_W1[[#This Row],[Employee Name]],'Base Schedules'!$A$79:$AW$111,46,FALSE)="","",VLOOKUP(Sun_W1[[#This Row],[Employee Name]],'Base Schedules'!$A$79:$AW$111,46,FALSE)),"")</f>
        <v/>
      </c>
      <c r="AV25" s="184" t="str">
        <f>IFERROR(IF(VLOOKUP(Sun_W1[[#This Row],[Employee Name]],'Base Schedules'!$A$79:$AW$111,47,FALSE)="","",VLOOKUP(Sun_W1[[#This Row],[Employee Name]],'Base Schedules'!$A$79:$AW$111,47,FALSE)),"")</f>
        <v/>
      </c>
      <c r="AW25" s="184" t="str">
        <f>IFERROR(IF(VLOOKUP(Sun_W1[[#This Row],[Employee Name]],'Base Schedules'!$A$79:$AW$111,48,FALSE)="","",VLOOKUP(Sun_W1[[#This Row],[Employee Name]],'Base Schedules'!$A$79:$AW$111,48,FALSE)),"")</f>
        <v/>
      </c>
      <c r="AX25" s="184" t="str">
        <f>IFERROR(IF(VLOOKUP(Sun_W1[[#This Row],[Employee Name]],'Base Schedules'!$A$79:$AW$111,49,FALSE)="","",VLOOKUP(Sun_W1[[#This Row],[Employee Name]],'Base Schedules'!$A$79:$AW$111,49,FALSE)),"")</f>
        <v/>
      </c>
      <c r="AY25" s="159" t="str">
        <f t="shared" si="2"/>
        <v>McFall, Erin</v>
      </c>
    </row>
    <row r="26" spans="1:51" s="44" customFormat="1" ht="12" x14ac:dyDescent="0.2">
      <c r="A26" s="201"/>
      <c r="B26" s="201" t="s">
        <v>238</v>
      </c>
      <c r="C26" s="257" t="str">
        <f>_xlfn.IFNA(VLOOKUP(Sun_W1[[#This Row],[Employee Name]],'Base Schedules'!A:B,2,FALSE),"")</f>
        <v>Lead</v>
      </c>
      <c r="D26" s="274">
        <f>_xlfn.IFNA(VLOOKUP(Sun_W1[[#This Row],[Employee Name]],'Base Schedules'!A:C,3,FALSE),"")</f>
        <v>1230</v>
      </c>
      <c r="E26" s="274">
        <f>_xlfn.IFNA(VLOOKUP(Sun_W1[[#This Row],[Employee Name]],'Base Schedules'!A:D,4,FALSE),"")</f>
        <v>2100</v>
      </c>
      <c r="F26" s="142">
        <f>IF(Sun_W1[[#This Row],[Employee Name]]="","",IF(Sun_W1[[#This Row],[Dept]]="Supervisor",COUNTIFS($J26:$AX26,"*HL*",$J26:$AX26,"&lt;&gt;"&amp;"pHL"),COUNTIFS($J26:$AX26,"*HL*",$J26:$AX26,"&lt;&gt;"&amp;"*pHL*",$J26:$AX26,"&lt;&gt;"&amp;"pB1 HL",$J26:$AX26,"&lt;&gt;"&amp;"pB2 HL")-SUM(COUNTIFS($J26:$AX26,"*HL B1*",$J26:$AX26,"&lt;&gt;"&amp;"pHL B1")*0.5,COUNTIFS($J26:$AX26,"*HL B2*",$J26:$AX26,"&lt;&gt;"&amp;"pHL B2")*0.5,COUNTIFS($J26:$AX26,"*B1 HL*",$J26:$AX26,"&lt;&gt;"&amp;"pB1 HL")*0.5,COUNTIFS($J26:$AX26,"*B2 HL*",$J26:$AX26,"&lt;&gt;"&amp;"pB2 HL")*0.5)))</f>
        <v>7.5</v>
      </c>
      <c r="G26" s="142">
        <f t="shared" si="0"/>
        <v>0</v>
      </c>
      <c r="H26" s="142">
        <f t="shared" si="1"/>
        <v>6</v>
      </c>
      <c r="I26" s="142">
        <f>IF(Sun_W1[[#This Row],[Employee Name]]="","",IF(Sun_W1[[#This Row],[Dept]]="Supervisor",SUM(COUNTIFS($J26:$AX26,"RTA*",$J26:$AX26,"&lt;&gt;"&amp;"pRTA"),COUNTIFS($J26:$AX26,"*CRTA*",$J26:$AX26,"&lt;&gt;"&amp;"pCRTA")),COUNTIFS($J26:$AX26,"*RNNR*",$J26:$AX26,"&lt;&gt;"&amp;"*pRNNR*",$J26:$AX26,"&lt;&gt;"&amp;"pB1 RNNR",$J26:$AX26,"&lt;&gt;"&amp;"pB2 RNNR")-SUM(COUNTIFS($J26:$AX26,"*RNNR B1*",$J26:$AX26,"&lt;&gt;"&amp;"pRNNR B1")*0.5,COUNTIFS($J26:$AX26,"*RNNR B2*",$J26:$AX26,"&lt;&gt;"&amp;"pRNNR B2")*0.5,COUNTIFS($J26:$AX26,"*B1 RNNR*",$J26:$AX26,"&lt;&gt;"&amp;"pB1 RNNR")*0.5,COUNTIFS($J26:$AX26,"*B2 RNNR*",$J26:$AX26,"&lt;&gt;"&amp;"pB2 RNNR")*0.5)))</f>
        <v>2</v>
      </c>
      <c r="J26" s="184" t="str">
        <f>IFERROR(IF(VLOOKUP(Sun_W1[[#This Row],[Employee Name]],'Base Schedules'!$A$79:$AW$111,9,FALSE)="","",VLOOKUP(Sun_W1[[#This Row],[Employee Name]],'Base Schedules'!$A$79:$AW$111,9,FALSE)),"")</f>
        <v/>
      </c>
      <c r="K26" s="184" t="str">
        <f>IFERROR(IF(VLOOKUP(Sun_W1[[#This Row],[Employee Name]],'Base Schedules'!$A$79:$AW$111,10,FALSE)="","",VLOOKUP(Sun_W1[[#This Row],[Employee Name]],'Base Schedules'!$A$79:$AW$111,10,FALSE)),"")</f>
        <v/>
      </c>
      <c r="L26" s="184" t="str">
        <f>IFERROR(IF(VLOOKUP(Sun_W1[[#This Row],[Employee Name]],'Base Schedules'!$A$79:$AW$111,11,FALSE)="","",VLOOKUP(Sun_W1[[#This Row],[Employee Name]],'Base Schedules'!$A$79:$AW$111,11,FALSE)),"")</f>
        <v/>
      </c>
      <c r="M26" s="184" t="str">
        <f>IFERROR(IF(VLOOKUP(Sun_W1[[#This Row],[Employee Name]],'Base Schedules'!$A$79:$AW$111,12,FALSE)="","",VLOOKUP(Sun_W1[[#This Row],[Employee Name]],'Base Schedules'!$A$79:$AW$111,12,FALSE)),"")</f>
        <v/>
      </c>
      <c r="N26" s="184" t="str">
        <f>IFERROR(IF(VLOOKUP(Sun_W1[[#This Row],[Employee Name]],'Base Schedules'!$A$79:$AW$111,13,FALSE)="","",VLOOKUP(Sun_W1[[#This Row],[Employee Name]],'Base Schedules'!$A$79:$AW$111,13,FALSE)),"")</f>
        <v/>
      </c>
      <c r="O26" s="184" t="str">
        <f>IFERROR(IF(VLOOKUP(Sun_W1[[#This Row],[Employee Name]],'Base Schedules'!$A$79:$AW$111,14,FALSE)="","",VLOOKUP(Sun_W1[[#This Row],[Employee Name]],'Base Schedules'!$A$79:$AW$111,14,FALSE)),"")</f>
        <v/>
      </c>
      <c r="P26" s="184" t="str">
        <f>IFERROR(IF(VLOOKUP(Sun_W1[[#This Row],[Employee Name]],'Base Schedules'!$A$79:$AW$111,15,FALSE)="","",VLOOKUP(Sun_W1[[#This Row],[Employee Name]],'Base Schedules'!$A$79:$AW$111,15,FALSE)),"")</f>
        <v/>
      </c>
      <c r="Q26" s="184" t="str">
        <f>IFERROR(IF(VLOOKUP(Sun_W1[[#This Row],[Employee Name]],'Base Schedules'!$A$79:$AW$111,16,FALSE)="","",VLOOKUP(Sun_W1[[#This Row],[Employee Name]],'Base Schedules'!$A$79:$AW$111,16,FALSE)),"")</f>
        <v/>
      </c>
      <c r="R26" s="184" t="str">
        <f>IFERROR(IF(VLOOKUP(Sun_W1[[#This Row],[Employee Name]],'Base Schedules'!$A$79:$AW$111,17,FALSE)="","",VLOOKUP(Sun_W1[[#This Row],[Employee Name]],'Base Schedules'!$A$79:$AW$111,17,FALSE)),"")</f>
        <v/>
      </c>
      <c r="S26" s="184" t="str">
        <f>IFERROR(IF(VLOOKUP(Sun_W1[[#This Row],[Employee Name]],'Base Schedules'!$A$79:$AW$111,18,FALSE)="","",VLOOKUP(Sun_W1[[#This Row],[Employee Name]],'Base Schedules'!$A$79:$AW$111,18,FALSE)),"")</f>
        <v/>
      </c>
      <c r="T26" s="184" t="str">
        <f>IFERROR(IF(VLOOKUP(Sun_W1[[#This Row],[Employee Name]],'Base Schedules'!$A$79:$AW$111,19,FALSE)="","",VLOOKUP(Sun_W1[[#This Row],[Employee Name]],'Base Schedules'!$A$79:$AW$111,19,FALSE)),"")</f>
        <v/>
      </c>
      <c r="U26" s="184" t="str">
        <f>IFERROR(IF(VLOOKUP(Sun_W1[[#This Row],[Employee Name]],'Base Schedules'!$A$79:$AW$111,20,FALSE)="","",VLOOKUP(Sun_W1[[#This Row],[Employee Name]],'Base Schedules'!$A$79:$AW$111,20,FALSE)),"")</f>
        <v/>
      </c>
      <c r="V26" s="184" t="str">
        <f>IFERROR(IF(VLOOKUP(Sun_W1[[#This Row],[Employee Name]],'Base Schedules'!$A$79:$AW$111,21,FALSE)="","",VLOOKUP(Sun_W1[[#This Row],[Employee Name]],'Base Schedules'!$A$79:$AW$111,21,FALSE)),"")</f>
        <v/>
      </c>
      <c r="W26" s="184" t="str">
        <f>IFERROR(IF(VLOOKUP(Sun_W1[[#This Row],[Employee Name]],'Base Schedules'!$A$79:$AW$111,22,FALSE)="","",VLOOKUP(Sun_W1[[#This Row],[Employee Name]],'Base Schedules'!$A$79:$AW$111,22,FALSE)),"")</f>
        <v/>
      </c>
      <c r="X26" s="184" t="str">
        <f>IFERROR(IF(VLOOKUP(Sun_W1[[#This Row],[Employee Name]],'Base Schedules'!$A$79:$AW$111,23,FALSE)="","",VLOOKUP(Sun_W1[[#This Row],[Employee Name]],'Base Schedules'!$A$79:$AW$111,23,FALSE)),"")</f>
        <v/>
      </c>
      <c r="Y26" s="184" t="str">
        <f>IFERROR(IF(VLOOKUP(Sun_W1[[#This Row],[Employee Name]],'Base Schedules'!$A$79:$AW$111,24,FALSE)="","",VLOOKUP(Sun_W1[[#This Row],[Employee Name]],'Base Schedules'!$A$79:$AW$111,24,FALSE)),"")</f>
        <v>HL</v>
      </c>
      <c r="Z26" s="184" t="str">
        <f>IFERROR(IF(VLOOKUP(Sun_W1[[#This Row],[Employee Name]],'Base Schedules'!$A$79:$AW$111,25,FALSE)="","",VLOOKUP(Sun_W1[[#This Row],[Employee Name]],'Base Schedules'!$A$79:$AW$111,25,FALSE)),"")</f>
        <v>HL</v>
      </c>
      <c r="AA26" s="184" t="str">
        <f>IFERROR(IF(VLOOKUP(Sun_W1[[#This Row],[Employee Name]],'Base Schedules'!$A$79:$AW$111,26,FALSE)="","",VLOOKUP(Sun_W1[[#This Row],[Employee Name]],'Base Schedules'!$A$79:$AW$111,26,FALSE)),"")</f>
        <v>HL</v>
      </c>
      <c r="AB26" s="184" t="str">
        <f>IFERROR(IF(VLOOKUP(Sun_W1[[#This Row],[Employee Name]],'Base Schedules'!$A$79:$AW$111,27,FALSE)="","",VLOOKUP(Sun_W1[[#This Row],[Employee Name]],'Base Schedules'!$A$79:$AW$111,27,FALSE)),"")</f>
        <v>B1 ADM</v>
      </c>
      <c r="AC26" s="184" t="str">
        <f>IFERROR(IF(VLOOKUP(Sun_W1[[#This Row],[Employee Name]],'Base Schedules'!$A$79:$AW$111,28,FALSE)="","",VLOOKUP(Sun_W1[[#This Row],[Employee Name]],'Base Schedules'!$A$79:$AW$111,28,FALSE)),"")</f>
        <v>ADM</v>
      </c>
      <c r="AD26" s="184" t="str">
        <f>IFERROR(IF(VLOOKUP(Sun_W1[[#This Row],[Employee Name]],'Base Schedules'!$A$79:$AW$111,29,FALSE)="","",VLOOKUP(Sun_W1[[#This Row],[Employee Name]],'Base Schedules'!$A$79:$AW$111,29,FALSE)),"")</f>
        <v>ADM</v>
      </c>
      <c r="AE26" s="184" t="str">
        <f>IFERROR(IF(VLOOKUP(Sun_W1[[#This Row],[Employee Name]],'Base Schedules'!$A$79:$AW$111,30,FALSE)="","",VLOOKUP(Sun_W1[[#This Row],[Employee Name]],'Base Schedules'!$A$79:$AW$111,30,FALSE)),"")</f>
        <v>ADM</v>
      </c>
      <c r="AF26" s="184" t="str">
        <f>IFERROR(IF(VLOOKUP(Sun_W1[[#This Row],[Employee Name]],'Base Schedules'!$A$79:$AW$111,31,FALSE)="","",VLOOKUP(Sun_W1[[#This Row],[Employee Name]],'Base Schedules'!$A$79:$AW$111,31,FALSE)),"")</f>
        <v>ADM</v>
      </c>
      <c r="AG26" s="184" t="str">
        <f>IFERROR(IF(VLOOKUP(Sun_W1[[#This Row],[Employee Name]],'Base Schedules'!$A$79:$AW$111,32,FALSE)="","",VLOOKUP(Sun_W1[[#This Row],[Employee Name]],'Base Schedules'!$A$79:$AW$111,32,FALSE)),"")</f>
        <v>LUNCH</v>
      </c>
      <c r="AH26" s="184" t="str">
        <f>IFERROR(IF(VLOOKUP(Sun_W1[[#This Row],[Employee Name]],'Base Schedules'!$A$79:$AW$111,33,FALSE)="","",VLOOKUP(Sun_W1[[#This Row],[Employee Name]],'Base Schedules'!$A$79:$AW$111,33,FALSE)),"")</f>
        <v>RNNR</v>
      </c>
      <c r="AI26" s="184" t="str">
        <f>IFERROR(IF(VLOOKUP(Sun_W1[[#This Row],[Employee Name]],'Base Schedules'!$A$79:$AW$111,34,FALSE)="","",VLOOKUP(Sun_W1[[#This Row],[Employee Name]],'Base Schedules'!$A$79:$AW$111,34,FALSE)),"")</f>
        <v>RNNR</v>
      </c>
      <c r="AJ26" s="184" t="str">
        <f>IFERROR(IF(VLOOKUP(Sun_W1[[#This Row],[Employee Name]],'Base Schedules'!$A$79:$AW$111,35,FALSE)="","",VLOOKUP(Sun_W1[[#This Row],[Employee Name]],'Base Schedules'!$A$79:$AW$111,35,FALSE)),"")</f>
        <v>HL</v>
      </c>
      <c r="AK26" s="184" t="str">
        <f>IFERROR(IF(VLOOKUP(Sun_W1[[#This Row],[Employee Name]],'Base Schedules'!$A$79:$AW$111,36,FALSE)="","",VLOOKUP(Sun_W1[[#This Row],[Employee Name]],'Base Schedules'!$A$79:$AW$111,36,FALSE)),"")</f>
        <v>HL B2</v>
      </c>
      <c r="AL26" s="184" t="str">
        <f>IFERROR(IF(VLOOKUP(Sun_W1[[#This Row],[Employee Name]],'Base Schedules'!$A$79:$AW$111,37,FALSE)="","",VLOOKUP(Sun_W1[[#This Row],[Employee Name]],'Base Schedules'!$A$79:$AW$111,37,FALSE)),"")</f>
        <v>HL</v>
      </c>
      <c r="AM26" s="184" t="str">
        <f>IFERROR(IF(VLOOKUP(Sun_W1[[#This Row],[Employee Name]],'Base Schedules'!$A$79:$AW$111,38,FALSE)="","",VLOOKUP(Sun_W1[[#This Row],[Employee Name]],'Base Schedules'!$A$79:$AW$111,38,FALSE)),"")</f>
        <v>ADM</v>
      </c>
      <c r="AN26" s="184" t="str">
        <f>IFERROR(IF(VLOOKUP(Sun_W1[[#This Row],[Employee Name]],'Base Schedules'!$A$79:$AW$111,39,FALSE)="","",VLOOKUP(Sun_W1[[#This Row],[Employee Name]],'Base Schedules'!$A$79:$AW$111,39,FALSE)),"")</f>
        <v>HL</v>
      </c>
      <c r="AO26" s="184" t="str">
        <f>IFERROR(IF(VLOOKUP(Sun_W1[[#This Row],[Employee Name]],'Base Schedules'!$A$79:$AW$111,40,FALSE)="","",VLOOKUP(Sun_W1[[#This Row],[Employee Name]],'Base Schedules'!$A$79:$AW$111,40,FALSE)),"")</f>
        <v>HL</v>
      </c>
      <c r="AP26" s="184" t="str">
        <f>IFERROR(IF(VLOOKUP(Sun_W1[[#This Row],[Employee Name]],'Base Schedules'!$A$79:$AW$111,41,FALSE)="","",VLOOKUP(Sun_W1[[#This Row],[Employee Name]],'Base Schedules'!$A$79:$AW$111,41,FALSE)),"")</f>
        <v/>
      </c>
      <c r="AQ26" s="184" t="str">
        <f>IFERROR(IF(VLOOKUP(Sun_W1[[#This Row],[Employee Name]],'Base Schedules'!$A$79:$AW$111,42,FALSE)="","",VLOOKUP(Sun_W1[[#This Row],[Employee Name]],'Base Schedules'!$A$79:$AW$111,42,FALSE)),"")</f>
        <v/>
      </c>
      <c r="AR26" s="184" t="str">
        <f>IFERROR(IF(VLOOKUP(Sun_W1[[#This Row],[Employee Name]],'Base Schedules'!$A$79:$AW$111,43,FALSE)="","",VLOOKUP(Sun_W1[[#This Row],[Employee Name]],'Base Schedules'!$A$79:$AW$111,43,FALSE)),"")</f>
        <v/>
      </c>
      <c r="AS26" s="184" t="str">
        <f>IFERROR(IF(VLOOKUP(Sun_W1[[#This Row],[Employee Name]],'Base Schedules'!$A$79:$AW$111,44,FALSE)="","",VLOOKUP(Sun_W1[[#This Row],[Employee Name]],'Base Schedules'!$A$79:$AW$111,44,FALSE)),"")</f>
        <v/>
      </c>
      <c r="AT26" s="184" t="str">
        <f>IFERROR(IF(VLOOKUP(Sun_W1[[#This Row],[Employee Name]],'Base Schedules'!$A$79:$AW$111,45,FALSE)="","",VLOOKUP(Sun_W1[[#This Row],[Employee Name]],'Base Schedules'!$A$79:$AW$111,45,FALSE)),"")</f>
        <v/>
      </c>
      <c r="AU26" s="184" t="str">
        <f>IFERROR(IF(VLOOKUP(Sun_W1[[#This Row],[Employee Name]],'Base Schedules'!$A$79:$AW$111,46,FALSE)="","",VLOOKUP(Sun_W1[[#This Row],[Employee Name]],'Base Schedules'!$A$79:$AW$111,46,FALSE)),"")</f>
        <v/>
      </c>
      <c r="AV26" s="184" t="str">
        <f>IFERROR(IF(VLOOKUP(Sun_W1[[#This Row],[Employee Name]],'Base Schedules'!$A$79:$AW$111,47,FALSE)="","",VLOOKUP(Sun_W1[[#This Row],[Employee Name]],'Base Schedules'!$A$79:$AW$111,47,FALSE)),"")</f>
        <v/>
      </c>
      <c r="AW26" s="184" t="str">
        <f>IFERROR(IF(VLOOKUP(Sun_W1[[#This Row],[Employee Name]],'Base Schedules'!$A$79:$AW$111,48,FALSE)="","",VLOOKUP(Sun_W1[[#This Row],[Employee Name]],'Base Schedules'!$A$79:$AW$111,48,FALSE)),"")</f>
        <v/>
      </c>
      <c r="AX26" s="184" t="str">
        <f>IFERROR(IF(VLOOKUP(Sun_W1[[#This Row],[Employee Name]],'Base Schedules'!$A$79:$AW$111,49,FALSE)="","",VLOOKUP(Sun_W1[[#This Row],[Employee Name]],'Base Schedules'!$A$79:$AW$111,49,FALSE)),"")</f>
        <v/>
      </c>
      <c r="AY26" s="159" t="str">
        <f t="shared" si="2"/>
        <v>Suhama, Ryan</v>
      </c>
    </row>
    <row r="27" spans="1:51" s="44" customFormat="1" ht="12" x14ac:dyDescent="0.2">
      <c r="A27" s="201"/>
      <c r="B27" s="201" t="s">
        <v>587</v>
      </c>
      <c r="C27" s="257" t="str">
        <f>_xlfn.IFNA(VLOOKUP(Sun_W1[[#This Row],[Employee Name]],'Base Schedules'!A:B,2,FALSE),"")</f>
        <v>Lead</v>
      </c>
      <c r="D27" s="274">
        <f>_xlfn.IFNA(VLOOKUP(Sun_W1[[#This Row],[Employee Name]],'Base Schedules'!A:C,3,FALSE),"")</f>
        <v>1230</v>
      </c>
      <c r="E27" s="274">
        <f>_xlfn.IFNA(VLOOKUP(Sun_W1[[#This Row],[Employee Name]],'Base Schedules'!A:D,4,FALSE),"")</f>
        <v>2100</v>
      </c>
      <c r="F27" s="142">
        <f>IF(Sun_W1[[#This Row],[Employee Name]]="","",IF(Sun_W1[[#This Row],[Dept]]="Supervisor",COUNTIFS($J27:$AX27,"*HL*",$J27:$AX27,"&lt;&gt;"&amp;"pHL"),COUNTIFS($J27:$AX27,"*HL*",$J27:$AX27,"&lt;&gt;"&amp;"*pHL*",$J27:$AX27,"&lt;&gt;"&amp;"pB1 HL",$J27:$AX27,"&lt;&gt;"&amp;"pB2 HL")-SUM(COUNTIFS($J27:$AX27,"*HL B1*",$J27:$AX27,"&lt;&gt;"&amp;"pHL B1")*0.5,COUNTIFS($J27:$AX27,"*HL B2*",$J27:$AX27,"&lt;&gt;"&amp;"pHL B2")*0.5,COUNTIFS($J27:$AX27,"*B1 HL*",$J27:$AX27,"&lt;&gt;"&amp;"pB1 HL")*0.5,COUNTIFS($J27:$AX27,"*B2 HL*",$J27:$AX27,"&lt;&gt;"&amp;"pB2 HL")*0.5)))</f>
        <v>8.5</v>
      </c>
      <c r="G27" s="142">
        <f t="shared" si="0"/>
        <v>0</v>
      </c>
      <c r="H27" s="142">
        <f t="shared" si="1"/>
        <v>7</v>
      </c>
      <c r="I27" s="142">
        <f>IF(Sun_W1[[#This Row],[Employee Name]]="","",IF(Sun_W1[[#This Row],[Dept]]="Supervisor",SUM(COUNTIFS($J27:$AX27,"RTA*",$J27:$AX27,"&lt;&gt;"&amp;"pRTA"),COUNTIFS($J27:$AX27,"*CRTA*",$J27:$AX27,"&lt;&gt;"&amp;"pCRTA")),COUNTIFS($J27:$AX27,"*RNNR*",$J27:$AX27,"&lt;&gt;"&amp;"*pRNNR*",$J27:$AX27,"&lt;&gt;"&amp;"pB1 RNNR",$J27:$AX27,"&lt;&gt;"&amp;"pB2 RNNR")-SUM(COUNTIFS($J27:$AX27,"*RNNR B1*",$J27:$AX27,"&lt;&gt;"&amp;"pRNNR B1")*0.5,COUNTIFS($J27:$AX27,"*RNNR B2*",$J27:$AX27,"&lt;&gt;"&amp;"pRNNR B2")*0.5,COUNTIFS($J27:$AX27,"*B1 RNNR*",$J27:$AX27,"&lt;&gt;"&amp;"pB1 RNNR")*0.5,COUNTIFS($J27:$AX27,"*B2 RNNR*",$J27:$AX27,"&lt;&gt;"&amp;"pB2 RNNR")*0.5)))</f>
        <v>0</v>
      </c>
      <c r="J27" s="184" t="str">
        <f>IFERROR(IF(VLOOKUP(Sun_W1[[#This Row],[Employee Name]],'Base Schedules'!$A$79:$AW$111,9,FALSE)="","",VLOOKUP(Sun_W1[[#This Row],[Employee Name]],'Base Schedules'!$A$79:$AW$111,9,FALSE)),"")</f>
        <v/>
      </c>
      <c r="K27" s="184" t="str">
        <f>IFERROR(IF(VLOOKUP(Sun_W1[[#This Row],[Employee Name]],'Base Schedules'!$A$79:$AW$111,10,FALSE)="","",VLOOKUP(Sun_W1[[#This Row],[Employee Name]],'Base Schedules'!$A$79:$AW$111,10,FALSE)),"")</f>
        <v/>
      </c>
      <c r="L27" s="184" t="str">
        <f>IFERROR(IF(VLOOKUP(Sun_W1[[#This Row],[Employee Name]],'Base Schedules'!$A$79:$AW$111,11,FALSE)="","",VLOOKUP(Sun_W1[[#This Row],[Employee Name]],'Base Schedules'!$A$79:$AW$111,11,FALSE)),"")</f>
        <v/>
      </c>
      <c r="M27" s="184" t="str">
        <f>IFERROR(IF(VLOOKUP(Sun_W1[[#This Row],[Employee Name]],'Base Schedules'!$A$79:$AW$111,12,FALSE)="","",VLOOKUP(Sun_W1[[#This Row],[Employee Name]],'Base Schedules'!$A$79:$AW$111,12,FALSE)),"")</f>
        <v/>
      </c>
      <c r="N27" s="184" t="str">
        <f>IFERROR(IF(VLOOKUP(Sun_W1[[#This Row],[Employee Name]],'Base Schedules'!$A$79:$AW$111,13,FALSE)="","",VLOOKUP(Sun_W1[[#This Row],[Employee Name]],'Base Schedules'!$A$79:$AW$111,13,FALSE)),"")</f>
        <v/>
      </c>
      <c r="O27" s="184" t="str">
        <f>IFERROR(IF(VLOOKUP(Sun_W1[[#This Row],[Employee Name]],'Base Schedules'!$A$79:$AW$111,14,FALSE)="","",VLOOKUP(Sun_W1[[#This Row],[Employee Name]],'Base Schedules'!$A$79:$AW$111,14,FALSE)),"")</f>
        <v/>
      </c>
      <c r="P27" s="184" t="str">
        <f>IFERROR(IF(VLOOKUP(Sun_W1[[#This Row],[Employee Name]],'Base Schedules'!$A$79:$AW$111,15,FALSE)="","",VLOOKUP(Sun_W1[[#This Row],[Employee Name]],'Base Schedules'!$A$79:$AW$111,15,FALSE)),"")</f>
        <v/>
      </c>
      <c r="Q27" s="184" t="str">
        <f>IFERROR(IF(VLOOKUP(Sun_W1[[#This Row],[Employee Name]],'Base Schedules'!$A$79:$AW$111,16,FALSE)="","",VLOOKUP(Sun_W1[[#This Row],[Employee Name]],'Base Schedules'!$A$79:$AW$111,16,FALSE)),"")</f>
        <v/>
      </c>
      <c r="R27" s="184" t="str">
        <f>IFERROR(IF(VLOOKUP(Sun_W1[[#This Row],[Employee Name]],'Base Schedules'!$A$79:$AW$111,17,FALSE)="","",VLOOKUP(Sun_W1[[#This Row],[Employee Name]],'Base Schedules'!$A$79:$AW$111,17,FALSE)),"")</f>
        <v/>
      </c>
      <c r="S27" s="184" t="str">
        <f>IFERROR(IF(VLOOKUP(Sun_W1[[#This Row],[Employee Name]],'Base Schedules'!$A$79:$AW$111,18,FALSE)="","",VLOOKUP(Sun_W1[[#This Row],[Employee Name]],'Base Schedules'!$A$79:$AW$111,18,FALSE)),"")</f>
        <v/>
      </c>
      <c r="T27" s="184" t="str">
        <f>IFERROR(IF(VLOOKUP(Sun_W1[[#This Row],[Employee Name]],'Base Schedules'!$A$79:$AW$111,19,FALSE)="","",VLOOKUP(Sun_W1[[#This Row],[Employee Name]],'Base Schedules'!$A$79:$AW$111,19,FALSE)),"")</f>
        <v/>
      </c>
      <c r="U27" s="184" t="str">
        <f>IFERROR(IF(VLOOKUP(Sun_W1[[#This Row],[Employee Name]],'Base Schedules'!$A$79:$AW$111,20,FALSE)="","",VLOOKUP(Sun_W1[[#This Row],[Employee Name]],'Base Schedules'!$A$79:$AW$111,20,FALSE)),"")</f>
        <v/>
      </c>
      <c r="V27" s="184" t="str">
        <f>IFERROR(IF(VLOOKUP(Sun_W1[[#This Row],[Employee Name]],'Base Schedules'!$A$79:$AW$111,21,FALSE)="","",VLOOKUP(Sun_W1[[#This Row],[Employee Name]],'Base Schedules'!$A$79:$AW$111,21,FALSE)),"")</f>
        <v/>
      </c>
      <c r="W27" s="184" t="str">
        <f>IFERROR(IF(VLOOKUP(Sun_W1[[#This Row],[Employee Name]],'Base Schedules'!$A$79:$AW$111,22,FALSE)="","",VLOOKUP(Sun_W1[[#This Row],[Employee Name]],'Base Schedules'!$A$79:$AW$111,22,FALSE)),"")</f>
        <v/>
      </c>
      <c r="X27" s="184" t="str">
        <f>IFERROR(IF(VLOOKUP(Sun_W1[[#This Row],[Employee Name]],'Base Schedules'!$A$79:$AW$111,23,FALSE)="","",VLOOKUP(Sun_W1[[#This Row],[Employee Name]],'Base Schedules'!$A$79:$AW$111,23,FALSE)),"")</f>
        <v/>
      </c>
      <c r="Y27" s="184" t="str">
        <f>IFERROR(IF(VLOOKUP(Sun_W1[[#This Row],[Employee Name]],'Base Schedules'!$A$79:$AW$111,24,FALSE)="","",VLOOKUP(Sun_W1[[#This Row],[Employee Name]],'Base Schedules'!$A$79:$AW$111,24,FALSE)),"")</f>
        <v>HL</v>
      </c>
      <c r="Z27" s="184" t="str">
        <f>IFERROR(IF(VLOOKUP(Sun_W1[[#This Row],[Employee Name]],'Base Schedules'!$A$79:$AW$111,25,FALSE)="","",VLOOKUP(Sun_W1[[#This Row],[Employee Name]],'Base Schedules'!$A$79:$AW$111,25,FALSE)),"")</f>
        <v>HL</v>
      </c>
      <c r="AA27" s="184" t="str">
        <f>IFERROR(IF(VLOOKUP(Sun_W1[[#This Row],[Employee Name]],'Base Schedules'!$A$79:$AW$111,26,FALSE)="","",VLOOKUP(Sun_W1[[#This Row],[Employee Name]],'Base Schedules'!$A$79:$AW$111,26,FALSE)),"")</f>
        <v>HL B1</v>
      </c>
      <c r="AB27" s="184" t="str">
        <f>IFERROR(IF(VLOOKUP(Sun_W1[[#This Row],[Employee Name]],'Base Schedules'!$A$79:$AW$111,27,FALSE)="","",VLOOKUP(Sun_W1[[#This Row],[Employee Name]],'Base Schedules'!$A$79:$AW$111,27,FALSE)),"")</f>
        <v>HL</v>
      </c>
      <c r="AC27" s="184" t="str">
        <f>IFERROR(IF(VLOOKUP(Sun_W1[[#This Row],[Employee Name]],'Base Schedules'!$A$79:$AW$111,28,FALSE)="","",VLOOKUP(Sun_W1[[#This Row],[Employee Name]],'Base Schedules'!$A$79:$AW$111,28,FALSE)),"")</f>
        <v>HL</v>
      </c>
      <c r="AD27" s="184" t="str">
        <f>IFERROR(IF(VLOOKUP(Sun_W1[[#This Row],[Employee Name]],'Base Schedules'!$A$79:$AW$111,29,FALSE)="","",VLOOKUP(Sun_W1[[#This Row],[Employee Name]],'Base Schedules'!$A$79:$AW$111,29,FALSE)),"")</f>
        <v>ADM</v>
      </c>
      <c r="AE27" s="184" t="str">
        <f>IFERROR(IF(VLOOKUP(Sun_W1[[#This Row],[Employee Name]],'Base Schedules'!$A$79:$AW$111,30,FALSE)="","",VLOOKUP(Sun_W1[[#This Row],[Employee Name]],'Base Schedules'!$A$79:$AW$111,30,FALSE)),"")</f>
        <v>ADM</v>
      </c>
      <c r="AF27" s="184" t="str">
        <f>IFERROR(IF(VLOOKUP(Sun_W1[[#This Row],[Employee Name]],'Base Schedules'!$A$79:$AW$111,31,FALSE)="","",VLOOKUP(Sun_W1[[#This Row],[Employee Name]],'Base Schedules'!$A$79:$AW$111,31,FALSE)),"")</f>
        <v>LUNCH</v>
      </c>
      <c r="AG27" s="184" t="str">
        <f>IFERROR(IF(VLOOKUP(Sun_W1[[#This Row],[Employee Name]],'Base Schedules'!$A$79:$AW$111,32,FALSE)="","",VLOOKUP(Sun_W1[[#This Row],[Employee Name]],'Base Schedules'!$A$79:$AW$111,32,FALSE)),"")</f>
        <v>ADM</v>
      </c>
      <c r="AH27" s="184" t="str">
        <f>IFERROR(IF(VLOOKUP(Sun_W1[[#This Row],[Employee Name]],'Base Schedules'!$A$79:$AW$111,33,FALSE)="","",VLOOKUP(Sun_W1[[#This Row],[Employee Name]],'Base Schedules'!$A$79:$AW$111,33,FALSE)),"")</f>
        <v>HL</v>
      </c>
      <c r="AI27" s="184" t="str">
        <f>IFERROR(IF(VLOOKUP(Sun_W1[[#This Row],[Employee Name]],'Base Schedules'!$A$79:$AW$111,34,FALSE)="","",VLOOKUP(Sun_W1[[#This Row],[Employee Name]],'Base Schedules'!$A$79:$AW$111,34,FALSE)),"")</f>
        <v>HL</v>
      </c>
      <c r="AJ27" s="184" t="str">
        <f>IFERROR(IF(VLOOKUP(Sun_W1[[#This Row],[Employee Name]],'Base Schedules'!$A$79:$AW$111,35,FALSE)="","",VLOOKUP(Sun_W1[[#This Row],[Employee Name]],'Base Schedules'!$A$79:$AW$111,35,FALSE)),"")</f>
        <v>HL</v>
      </c>
      <c r="AK27" s="184" t="str">
        <f>IFERROR(IF(VLOOKUP(Sun_W1[[#This Row],[Employee Name]],'Base Schedules'!$A$79:$AW$111,36,FALSE)="","",VLOOKUP(Sun_W1[[#This Row],[Employee Name]],'Base Schedules'!$A$79:$AW$111,36,FALSE)),"")</f>
        <v>ADM</v>
      </c>
      <c r="AL27" s="184" t="str">
        <f>IFERROR(IF(VLOOKUP(Sun_W1[[#This Row],[Employee Name]],'Base Schedules'!$A$79:$AW$111,37,FALSE)="","",VLOOKUP(Sun_W1[[#This Row],[Employee Name]],'Base Schedules'!$A$79:$AW$111,37,FALSE)),"")</f>
        <v>B2 ADM</v>
      </c>
      <c r="AM27" s="184" t="str">
        <f>IFERROR(IF(VLOOKUP(Sun_W1[[#This Row],[Employee Name]],'Base Schedules'!$A$79:$AW$111,38,FALSE)="","",VLOOKUP(Sun_W1[[#This Row],[Employee Name]],'Base Schedules'!$A$79:$AW$111,38,FALSE)),"")</f>
        <v>ADM</v>
      </c>
      <c r="AN27" s="184" t="str">
        <f>IFERROR(IF(VLOOKUP(Sun_W1[[#This Row],[Employee Name]],'Base Schedules'!$A$79:$AW$111,39,FALSE)="","",VLOOKUP(Sun_W1[[#This Row],[Employee Name]],'Base Schedules'!$A$79:$AW$111,39,FALSE)),"")</f>
        <v>ADM</v>
      </c>
      <c r="AO27" s="184" t="str">
        <f>IFERROR(IF(VLOOKUP(Sun_W1[[#This Row],[Employee Name]],'Base Schedules'!$A$79:$AW$111,40,FALSE)="","",VLOOKUP(Sun_W1[[#This Row],[Employee Name]],'Base Schedules'!$A$79:$AW$111,40,FALSE)),"")</f>
        <v>HL</v>
      </c>
      <c r="AP27" s="184" t="str">
        <f>IFERROR(IF(VLOOKUP(Sun_W1[[#This Row],[Employee Name]],'Base Schedules'!$A$79:$AW$111,41,FALSE)="","",VLOOKUP(Sun_W1[[#This Row],[Employee Name]],'Base Schedules'!$A$79:$AW$111,41,FALSE)),"")</f>
        <v/>
      </c>
      <c r="AQ27" s="184" t="str">
        <f>IFERROR(IF(VLOOKUP(Sun_W1[[#This Row],[Employee Name]],'Base Schedules'!$A$79:$AW$111,42,FALSE)="","",VLOOKUP(Sun_W1[[#This Row],[Employee Name]],'Base Schedules'!$A$79:$AW$111,42,FALSE)),"")</f>
        <v/>
      </c>
      <c r="AR27" s="184" t="str">
        <f>IFERROR(IF(VLOOKUP(Sun_W1[[#This Row],[Employee Name]],'Base Schedules'!$A$79:$AW$111,43,FALSE)="","",VLOOKUP(Sun_W1[[#This Row],[Employee Name]],'Base Schedules'!$A$79:$AW$111,43,FALSE)),"")</f>
        <v/>
      </c>
      <c r="AS27" s="184" t="str">
        <f>IFERROR(IF(VLOOKUP(Sun_W1[[#This Row],[Employee Name]],'Base Schedules'!$A$79:$AW$111,44,FALSE)="","",VLOOKUP(Sun_W1[[#This Row],[Employee Name]],'Base Schedules'!$A$79:$AW$111,44,FALSE)),"")</f>
        <v/>
      </c>
      <c r="AT27" s="184" t="str">
        <f>IFERROR(IF(VLOOKUP(Sun_W1[[#This Row],[Employee Name]],'Base Schedules'!$A$79:$AW$111,45,FALSE)="","",VLOOKUP(Sun_W1[[#This Row],[Employee Name]],'Base Schedules'!$A$79:$AW$111,45,FALSE)),"")</f>
        <v/>
      </c>
      <c r="AU27" s="184" t="str">
        <f>IFERROR(IF(VLOOKUP(Sun_W1[[#This Row],[Employee Name]],'Base Schedules'!$A$79:$AW$111,46,FALSE)="","",VLOOKUP(Sun_W1[[#This Row],[Employee Name]],'Base Schedules'!$A$79:$AW$111,46,FALSE)),"")</f>
        <v/>
      </c>
      <c r="AV27" s="184" t="str">
        <f>IFERROR(IF(VLOOKUP(Sun_W1[[#This Row],[Employee Name]],'Base Schedules'!$A$79:$AW$111,47,FALSE)="","",VLOOKUP(Sun_W1[[#This Row],[Employee Name]],'Base Schedules'!$A$79:$AW$111,47,FALSE)),"")</f>
        <v/>
      </c>
      <c r="AW27" s="184" t="str">
        <f>IFERROR(IF(VLOOKUP(Sun_W1[[#This Row],[Employee Name]],'Base Schedules'!$A$79:$AW$111,48,FALSE)="","",VLOOKUP(Sun_W1[[#This Row],[Employee Name]],'Base Schedules'!$A$79:$AW$111,48,FALSE)),"")</f>
        <v/>
      </c>
      <c r="AX27" s="184" t="str">
        <f>IFERROR(IF(VLOOKUP(Sun_W1[[#This Row],[Employee Name]],'Base Schedules'!$A$79:$AW$111,49,FALSE)="","",VLOOKUP(Sun_W1[[#This Row],[Employee Name]],'Base Schedules'!$A$79:$AW$111,49,FALSE)),"")</f>
        <v/>
      </c>
      <c r="AY27" s="159" t="str">
        <f t="shared" si="2"/>
        <v>Mason, April</v>
      </c>
    </row>
    <row r="28" spans="1:51" s="44" customFormat="1" ht="12" x14ac:dyDescent="0.2">
      <c r="A28" s="201"/>
      <c r="B28" s="201" t="s">
        <v>29</v>
      </c>
      <c r="C28" s="257" t="str">
        <f>_xlfn.IFNA(VLOOKUP(Sun_W1[[#This Row],[Employee Name]],'Base Schedules'!A:B,2,FALSE),"")</f>
        <v>Lead</v>
      </c>
      <c r="D28" s="274">
        <f>_xlfn.IFNA(VLOOKUP(Sun_W1[[#This Row],[Employee Name]],'Base Schedules'!A:C,3,FALSE),"")</f>
        <v>1300</v>
      </c>
      <c r="E28" s="274">
        <f>_xlfn.IFNA(VLOOKUP(Sun_W1[[#This Row],[Employee Name]],'Base Schedules'!A:D,4,FALSE),"")</f>
        <v>2130</v>
      </c>
      <c r="F28" s="142">
        <f>IF(Sun_W1[[#This Row],[Employee Name]]="","",IF(Sun_W1[[#This Row],[Dept]]="Supervisor",COUNTIFS($J28:$AX28,"*HL*",$J28:$AX28,"&lt;&gt;"&amp;"pHL"),COUNTIFS($J28:$AX28,"*HL*",$J28:$AX28,"&lt;&gt;"&amp;"*pHL*",$J28:$AX28,"&lt;&gt;"&amp;"pB1 HL",$J28:$AX28,"&lt;&gt;"&amp;"pB2 HL")-SUM(COUNTIFS($J28:$AX28,"*HL B1*",$J28:$AX28,"&lt;&gt;"&amp;"pHL B1")*0.5,COUNTIFS($J28:$AX28,"*HL B2*",$J28:$AX28,"&lt;&gt;"&amp;"pHL B2")*0.5,COUNTIFS($J28:$AX28,"*B1 HL*",$J28:$AX28,"&lt;&gt;"&amp;"pB1 HL")*0.5,COUNTIFS($J28:$AX28,"*B2 HL*",$J28:$AX28,"&lt;&gt;"&amp;"pB2 HL")*0.5)))</f>
        <v>10.5</v>
      </c>
      <c r="G28" s="142">
        <f t="shared" si="0"/>
        <v>0</v>
      </c>
      <c r="H28" s="142">
        <f t="shared" si="1"/>
        <v>5</v>
      </c>
      <c r="I28" s="142">
        <f>IF(Sun_W1[[#This Row],[Employee Name]]="","",IF(Sun_W1[[#This Row],[Dept]]="Supervisor",SUM(COUNTIFS($J28:$AX28,"RTA*",$J28:$AX28,"&lt;&gt;"&amp;"pRTA"),COUNTIFS($J28:$AX28,"*CRTA*",$J28:$AX28,"&lt;&gt;"&amp;"pCRTA")),COUNTIFS($J28:$AX28,"*RNNR*",$J28:$AX28,"&lt;&gt;"&amp;"*pRNNR*",$J28:$AX28,"&lt;&gt;"&amp;"pB1 RNNR",$J28:$AX28,"&lt;&gt;"&amp;"pB2 RNNR")-SUM(COUNTIFS($J28:$AX28,"*RNNR B1*",$J28:$AX28,"&lt;&gt;"&amp;"pRNNR B1")*0.5,COUNTIFS($J28:$AX28,"*RNNR B2*",$J28:$AX28,"&lt;&gt;"&amp;"pRNNR B2")*0.5,COUNTIFS($J28:$AX28,"*B1 RNNR*",$J28:$AX28,"&lt;&gt;"&amp;"pB1 RNNR")*0.5,COUNTIFS($J28:$AX28,"*B2 RNNR*",$J28:$AX28,"&lt;&gt;"&amp;"pB2 RNNR")*0.5)))</f>
        <v>0</v>
      </c>
      <c r="J28" s="184" t="str">
        <f>IFERROR(IF(VLOOKUP(Sun_W1[[#This Row],[Employee Name]],'Base Schedules'!$A$79:$AW$111,9,FALSE)="","",VLOOKUP(Sun_W1[[#This Row],[Employee Name]],'Base Schedules'!$A$79:$AW$111,9,FALSE)),"")</f>
        <v/>
      </c>
      <c r="K28" s="184" t="str">
        <f>IFERROR(IF(VLOOKUP(Sun_W1[[#This Row],[Employee Name]],'Base Schedules'!$A$79:$AW$111,10,FALSE)="","",VLOOKUP(Sun_W1[[#This Row],[Employee Name]],'Base Schedules'!$A$79:$AW$111,10,FALSE)),"")</f>
        <v/>
      </c>
      <c r="L28" s="184" t="str">
        <f>IFERROR(IF(VLOOKUP(Sun_W1[[#This Row],[Employee Name]],'Base Schedules'!$A$79:$AW$111,11,FALSE)="","",VLOOKUP(Sun_W1[[#This Row],[Employee Name]],'Base Schedules'!$A$79:$AW$111,11,FALSE)),"")</f>
        <v/>
      </c>
      <c r="M28" s="184" t="str">
        <f>IFERROR(IF(VLOOKUP(Sun_W1[[#This Row],[Employee Name]],'Base Schedules'!$A$79:$AW$111,12,FALSE)="","",VLOOKUP(Sun_W1[[#This Row],[Employee Name]],'Base Schedules'!$A$79:$AW$111,12,FALSE)),"")</f>
        <v/>
      </c>
      <c r="N28" s="184" t="str">
        <f>IFERROR(IF(VLOOKUP(Sun_W1[[#This Row],[Employee Name]],'Base Schedules'!$A$79:$AW$111,13,FALSE)="","",VLOOKUP(Sun_W1[[#This Row],[Employee Name]],'Base Schedules'!$A$79:$AW$111,13,FALSE)),"")</f>
        <v/>
      </c>
      <c r="O28" s="184" t="str">
        <f>IFERROR(IF(VLOOKUP(Sun_W1[[#This Row],[Employee Name]],'Base Schedules'!$A$79:$AW$111,14,FALSE)="","",VLOOKUP(Sun_W1[[#This Row],[Employee Name]],'Base Schedules'!$A$79:$AW$111,14,FALSE)),"")</f>
        <v/>
      </c>
      <c r="P28" s="184" t="str">
        <f>IFERROR(IF(VLOOKUP(Sun_W1[[#This Row],[Employee Name]],'Base Schedules'!$A$79:$AW$111,15,FALSE)="","",VLOOKUP(Sun_W1[[#This Row],[Employee Name]],'Base Schedules'!$A$79:$AW$111,15,FALSE)),"")</f>
        <v/>
      </c>
      <c r="Q28" s="184" t="str">
        <f>IFERROR(IF(VLOOKUP(Sun_W1[[#This Row],[Employee Name]],'Base Schedules'!$A$79:$AW$111,16,FALSE)="","",VLOOKUP(Sun_W1[[#This Row],[Employee Name]],'Base Schedules'!$A$79:$AW$111,16,FALSE)),"")</f>
        <v/>
      </c>
      <c r="R28" s="184" t="str">
        <f>IFERROR(IF(VLOOKUP(Sun_W1[[#This Row],[Employee Name]],'Base Schedules'!$A$79:$AW$111,17,FALSE)="","",VLOOKUP(Sun_W1[[#This Row],[Employee Name]],'Base Schedules'!$A$79:$AW$111,17,FALSE)),"")</f>
        <v/>
      </c>
      <c r="S28" s="184" t="str">
        <f>IFERROR(IF(VLOOKUP(Sun_W1[[#This Row],[Employee Name]],'Base Schedules'!$A$79:$AW$111,18,FALSE)="","",VLOOKUP(Sun_W1[[#This Row],[Employee Name]],'Base Schedules'!$A$79:$AW$111,18,FALSE)),"")</f>
        <v/>
      </c>
      <c r="T28" s="184" t="str">
        <f>IFERROR(IF(VLOOKUP(Sun_W1[[#This Row],[Employee Name]],'Base Schedules'!$A$79:$AW$111,19,FALSE)="","",VLOOKUP(Sun_W1[[#This Row],[Employee Name]],'Base Schedules'!$A$79:$AW$111,19,FALSE)),"")</f>
        <v/>
      </c>
      <c r="U28" s="184" t="str">
        <f>IFERROR(IF(VLOOKUP(Sun_W1[[#This Row],[Employee Name]],'Base Schedules'!$A$79:$AW$111,20,FALSE)="","",VLOOKUP(Sun_W1[[#This Row],[Employee Name]],'Base Schedules'!$A$79:$AW$111,20,FALSE)),"")</f>
        <v/>
      </c>
      <c r="V28" s="184" t="str">
        <f>IFERROR(IF(VLOOKUP(Sun_W1[[#This Row],[Employee Name]],'Base Schedules'!$A$79:$AW$111,21,FALSE)="","",VLOOKUP(Sun_W1[[#This Row],[Employee Name]],'Base Schedules'!$A$79:$AW$111,21,FALSE)),"")</f>
        <v/>
      </c>
      <c r="W28" s="184" t="str">
        <f>IFERROR(IF(VLOOKUP(Sun_W1[[#This Row],[Employee Name]],'Base Schedules'!$A$79:$AW$111,22,FALSE)="","",VLOOKUP(Sun_W1[[#This Row],[Employee Name]],'Base Schedules'!$A$79:$AW$111,22,FALSE)),"")</f>
        <v/>
      </c>
      <c r="X28" s="184" t="str">
        <f>IFERROR(IF(VLOOKUP(Sun_W1[[#This Row],[Employee Name]],'Base Schedules'!$A$79:$AW$111,23,FALSE)="","",VLOOKUP(Sun_W1[[#This Row],[Employee Name]],'Base Schedules'!$A$79:$AW$111,23,FALSE)),"")</f>
        <v/>
      </c>
      <c r="Y28" s="184" t="str">
        <f>IFERROR(IF(VLOOKUP(Sun_W1[[#This Row],[Employee Name]],'Base Schedules'!$A$79:$AW$111,24,FALSE)="","",VLOOKUP(Sun_W1[[#This Row],[Employee Name]],'Base Schedules'!$A$79:$AW$111,24,FALSE)),"")</f>
        <v/>
      </c>
      <c r="Z28" s="184" t="str">
        <f>IFERROR(IF(VLOOKUP(Sun_W1[[#This Row],[Employee Name]],'Base Schedules'!$A$79:$AW$111,25,FALSE)="","",VLOOKUP(Sun_W1[[#This Row],[Employee Name]],'Base Schedules'!$A$79:$AW$111,25,FALSE)),"")</f>
        <v>ADM</v>
      </c>
      <c r="AA28" s="184" t="str">
        <f>IFERROR(IF(VLOOKUP(Sun_W1[[#This Row],[Employee Name]],'Base Schedules'!$A$79:$AW$111,26,FALSE)="","",VLOOKUP(Sun_W1[[#This Row],[Employee Name]],'Base Schedules'!$A$79:$AW$111,26,FALSE)),"")</f>
        <v>ADM</v>
      </c>
      <c r="AB28" s="184" t="str">
        <f>IFERROR(IF(VLOOKUP(Sun_W1[[#This Row],[Employee Name]],'Base Schedules'!$A$79:$AW$111,27,FALSE)="","",VLOOKUP(Sun_W1[[#This Row],[Employee Name]],'Base Schedules'!$A$79:$AW$111,27,FALSE)),"")</f>
        <v>HL</v>
      </c>
      <c r="AC28" s="184" t="str">
        <f>IFERROR(IF(VLOOKUP(Sun_W1[[#This Row],[Employee Name]],'Base Schedules'!$A$79:$AW$111,28,FALSE)="","",VLOOKUP(Sun_W1[[#This Row],[Employee Name]],'Base Schedules'!$A$79:$AW$111,28,FALSE)),"")</f>
        <v>HL</v>
      </c>
      <c r="AD28" s="184" t="str">
        <f>IFERROR(IF(VLOOKUP(Sun_W1[[#This Row],[Employee Name]],'Base Schedules'!$A$79:$AW$111,29,FALSE)="","",VLOOKUP(Sun_W1[[#This Row],[Employee Name]],'Base Schedules'!$A$79:$AW$111,29,FALSE)),"")</f>
        <v>B1 ADM</v>
      </c>
      <c r="AE28" s="184" t="str">
        <f>IFERROR(IF(VLOOKUP(Sun_W1[[#This Row],[Employee Name]],'Base Schedules'!$A$79:$AW$111,30,FALSE)="","",VLOOKUP(Sun_W1[[#This Row],[Employee Name]],'Base Schedules'!$A$79:$AW$111,30,FALSE)),"")</f>
        <v>ADM</v>
      </c>
      <c r="AF28" s="184" t="str">
        <f>IFERROR(IF(VLOOKUP(Sun_W1[[#This Row],[Employee Name]],'Base Schedules'!$A$79:$AW$111,31,FALSE)="","",VLOOKUP(Sun_W1[[#This Row],[Employee Name]],'Base Schedules'!$A$79:$AW$111,31,FALSE)),"")</f>
        <v>ADM</v>
      </c>
      <c r="AG28" s="184" t="str">
        <f>IFERROR(IF(VLOOKUP(Sun_W1[[#This Row],[Employee Name]],'Base Schedules'!$A$79:$AW$111,32,FALSE)="","",VLOOKUP(Sun_W1[[#This Row],[Employee Name]],'Base Schedules'!$A$79:$AW$111,32,FALSE)),"")</f>
        <v>HL</v>
      </c>
      <c r="AH28" s="184" t="str">
        <f>IFERROR(IF(VLOOKUP(Sun_W1[[#This Row],[Employee Name]],'Base Schedules'!$A$79:$AW$111,33,FALSE)="","",VLOOKUP(Sun_W1[[#This Row],[Employee Name]],'Base Schedules'!$A$79:$AW$111,33,FALSE)),"")</f>
        <v>LUNCH</v>
      </c>
      <c r="AI28" s="184" t="str">
        <f>IFERROR(IF(VLOOKUP(Sun_W1[[#This Row],[Employee Name]],'Base Schedules'!$A$79:$AW$111,34,FALSE)="","",VLOOKUP(Sun_W1[[#This Row],[Employee Name]],'Base Schedules'!$A$79:$AW$111,34,FALSE)),"")</f>
        <v>HL</v>
      </c>
      <c r="AJ28" s="184" t="str">
        <f>IFERROR(IF(VLOOKUP(Sun_W1[[#This Row],[Employee Name]],'Base Schedules'!$A$79:$AW$111,35,FALSE)="","",VLOOKUP(Sun_W1[[#This Row],[Employee Name]],'Base Schedules'!$A$79:$AW$111,35,FALSE)),"")</f>
        <v>HL</v>
      </c>
      <c r="AK28" s="184" t="str">
        <f>IFERROR(IF(VLOOKUP(Sun_W1[[#This Row],[Employee Name]],'Base Schedules'!$A$79:$AW$111,36,FALSE)="","",VLOOKUP(Sun_W1[[#This Row],[Employee Name]],'Base Schedules'!$A$79:$AW$111,36,FALSE)),"")</f>
        <v>HL</v>
      </c>
      <c r="AL28" s="184" t="str">
        <f>IFERROR(IF(VLOOKUP(Sun_W1[[#This Row],[Employee Name]],'Base Schedules'!$A$79:$AW$111,37,FALSE)="","",VLOOKUP(Sun_W1[[#This Row],[Employee Name]],'Base Schedules'!$A$79:$AW$111,37,FALSE)),"")</f>
        <v>HL</v>
      </c>
      <c r="AM28" s="184" t="str">
        <f>IFERROR(IF(VLOOKUP(Sun_W1[[#This Row],[Employee Name]],'Base Schedules'!$A$79:$AW$111,38,FALSE)="","",VLOOKUP(Sun_W1[[#This Row],[Employee Name]],'Base Schedules'!$A$79:$AW$111,38,FALSE)),"")</f>
        <v>HL</v>
      </c>
      <c r="AN28" s="184" t="str">
        <f>IFERROR(IF(VLOOKUP(Sun_W1[[#This Row],[Employee Name]],'Base Schedules'!$A$79:$AW$111,39,FALSE)="","",VLOOKUP(Sun_W1[[#This Row],[Employee Name]],'Base Schedules'!$A$79:$AW$111,39,FALSE)),"")</f>
        <v>B2 HL</v>
      </c>
      <c r="AO28" s="184" t="str">
        <f>IFERROR(IF(VLOOKUP(Sun_W1[[#This Row],[Employee Name]],'Base Schedules'!$A$79:$AW$111,40,FALSE)="","",VLOOKUP(Sun_W1[[#This Row],[Employee Name]],'Base Schedules'!$A$79:$AW$111,40,FALSE)),"")</f>
        <v>HL</v>
      </c>
      <c r="AP28" s="184" t="str">
        <f>IFERROR(IF(VLOOKUP(Sun_W1[[#This Row],[Employee Name]],'Base Schedules'!$A$79:$AW$111,41,FALSE)="","",VLOOKUP(Sun_W1[[#This Row],[Employee Name]],'Base Schedules'!$A$79:$AW$111,41,FALSE)),"")</f>
        <v>HL</v>
      </c>
      <c r="AQ28" s="184" t="str">
        <f>IFERROR(IF(VLOOKUP(Sun_W1[[#This Row],[Employee Name]],'Base Schedules'!$A$79:$AW$111,42,FALSE)="","",VLOOKUP(Sun_W1[[#This Row],[Employee Name]],'Base Schedules'!$A$79:$AW$111,42,FALSE)),"")</f>
        <v/>
      </c>
      <c r="AR28" s="184" t="str">
        <f>IFERROR(IF(VLOOKUP(Sun_W1[[#This Row],[Employee Name]],'Base Schedules'!$A$79:$AW$111,43,FALSE)="","",VLOOKUP(Sun_W1[[#This Row],[Employee Name]],'Base Schedules'!$A$79:$AW$111,43,FALSE)),"")</f>
        <v/>
      </c>
      <c r="AS28" s="184" t="str">
        <f>IFERROR(IF(VLOOKUP(Sun_W1[[#This Row],[Employee Name]],'Base Schedules'!$A$79:$AW$111,44,FALSE)="","",VLOOKUP(Sun_W1[[#This Row],[Employee Name]],'Base Schedules'!$A$79:$AW$111,44,FALSE)),"")</f>
        <v/>
      </c>
      <c r="AT28" s="184" t="str">
        <f>IFERROR(IF(VLOOKUP(Sun_W1[[#This Row],[Employee Name]],'Base Schedules'!$A$79:$AW$111,45,FALSE)="","",VLOOKUP(Sun_W1[[#This Row],[Employee Name]],'Base Schedules'!$A$79:$AW$111,45,FALSE)),"")</f>
        <v/>
      </c>
      <c r="AU28" s="184" t="str">
        <f>IFERROR(IF(VLOOKUP(Sun_W1[[#This Row],[Employee Name]],'Base Schedules'!$A$79:$AW$111,46,FALSE)="","",VLOOKUP(Sun_W1[[#This Row],[Employee Name]],'Base Schedules'!$A$79:$AW$111,46,FALSE)),"")</f>
        <v/>
      </c>
      <c r="AV28" s="184" t="str">
        <f>IFERROR(IF(VLOOKUP(Sun_W1[[#This Row],[Employee Name]],'Base Schedules'!$A$79:$AW$111,47,FALSE)="","",VLOOKUP(Sun_W1[[#This Row],[Employee Name]],'Base Schedules'!$A$79:$AW$111,47,FALSE)),"")</f>
        <v/>
      </c>
      <c r="AW28" s="184" t="str">
        <f>IFERROR(IF(VLOOKUP(Sun_W1[[#This Row],[Employee Name]],'Base Schedules'!$A$79:$AW$111,48,FALSE)="","",VLOOKUP(Sun_W1[[#This Row],[Employee Name]],'Base Schedules'!$A$79:$AW$111,48,FALSE)),"")</f>
        <v/>
      </c>
      <c r="AX28" s="184" t="str">
        <f>IFERROR(IF(VLOOKUP(Sun_W1[[#This Row],[Employee Name]],'Base Schedules'!$A$79:$AW$111,49,FALSE)="","",VLOOKUP(Sun_W1[[#This Row],[Employee Name]],'Base Schedules'!$A$79:$AW$111,49,FALSE)),"")</f>
        <v/>
      </c>
      <c r="AY28" s="159" t="str">
        <f t="shared" si="2"/>
        <v>Mood, Ken</v>
      </c>
    </row>
    <row r="29" spans="1:51" s="44" customFormat="1" ht="12" x14ac:dyDescent="0.2">
      <c r="A29" s="201"/>
      <c r="B29" s="201" t="s">
        <v>45</v>
      </c>
      <c r="C29" s="257" t="str">
        <f>_xlfn.IFNA(VLOOKUP(Sun_W1[[#This Row],[Employee Name]],'Base Schedules'!A:B,2,FALSE),"")</f>
        <v>Supervisor</v>
      </c>
      <c r="D29" s="274">
        <f>_xlfn.IFNA(VLOOKUP(Sun_W1[[#This Row],[Employee Name]],'Base Schedules'!A:C,3,FALSE),"")</f>
        <v>1400</v>
      </c>
      <c r="E29" s="274">
        <f>_xlfn.IFNA(VLOOKUP(Sun_W1[[#This Row],[Employee Name]],'Base Schedules'!A:D,4,FALSE),"")</f>
        <v>100</v>
      </c>
      <c r="F29" s="142">
        <f>IF(Sun_W1[[#This Row],[Employee Name]]="","",IF(Sun_W1[[#This Row],[Dept]]="Supervisor",COUNTIFS($J29:$AX29,"*HL*",$J29:$AX29,"&lt;&gt;"&amp;"pHL"),COUNTIFS($J29:$AX29,"*HL*",$J29:$AX29,"&lt;&gt;"&amp;"*pHL*",$J29:$AX29,"&lt;&gt;"&amp;"pB1 HL",$J29:$AX29,"&lt;&gt;"&amp;"pB2 HL")-SUM(COUNTIFS($J29:$AX29,"*HL B1*",$J29:$AX29,"&lt;&gt;"&amp;"pHL B1")*0.5,COUNTIFS($J29:$AX29,"*HL B2*",$J29:$AX29,"&lt;&gt;"&amp;"pHL B2")*0.5,COUNTIFS($J29:$AX29,"*B1 HL*",$J29:$AX29,"&lt;&gt;"&amp;"pB1 HL")*0.5,COUNTIFS($J29:$AX29,"*B2 HL*",$J29:$AX29,"&lt;&gt;"&amp;"pB2 HL")*0.5)))</f>
        <v>0</v>
      </c>
      <c r="G29" s="142">
        <f t="shared" si="0"/>
        <v>5</v>
      </c>
      <c r="H29" s="142">
        <f t="shared" si="1"/>
        <v>0</v>
      </c>
      <c r="I29" s="142">
        <f>IF(Sun_W1[[#This Row],[Employee Name]]="","",IF(Sun_W1[[#This Row],[Dept]]="Supervisor",SUM(COUNTIFS($J29:$AX29,"RTA*",$J29:$AX29,"&lt;&gt;"&amp;"pRTA"),COUNTIFS($J29:$AX29,"*CRTA*",$J29:$AX29,"&lt;&gt;"&amp;"pCRTA")),COUNTIFS($J29:$AX29,"*RNNR*",$J29:$AX29,"&lt;&gt;"&amp;"*pRNNR*",$J29:$AX29,"&lt;&gt;"&amp;"pB1 RNNR",$J29:$AX29,"&lt;&gt;"&amp;"pB2 RNNR")-SUM(COUNTIFS($J29:$AX29,"*RNNR B1*",$J29:$AX29,"&lt;&gt;"&amp;"pRNNR B1")*0.5,COUNTIFS($J29:$AX29,"*RNNR B2*",$J29:$AX29,"&lt;&gt;"&amp;"pRNNR B2")*0.5,COUNTIFS($J29:$AX29,"*B1 RNNR*",$J29:$AX29,"&lt;&gt;"&amp;"pB1 RNNR")*0.5,COUNTIFS($J29:$AX29,"*B2 RNNR*",$J29:$AX29,"&lt;&gt;"&amp;"pB2 RNNR")*0.5)))</f>
        <v>0</v>
      </c>
      <c r="J29" s="184" t="str">
        <f>IFERROR(IF(VLOOKUP(Sun_W1[[#This Row],[Employee Name]],'Base Schedules'!$A$79:$AW$111,9,FALSE)="","",VLOOKUP(Sun_W1[[#This Row],[Employee Name]],'Base Schedules'!$A$79:$AW$111,9,FALSE)),"")</f>
        <v/>
      </c>
      <c r="K29" s="184" t="str">
        <f>IFERROR(IF(VLOOKUP(Sun_W1[[#This Row],[Employee Name]],'Base Schedules'!$A$79:$AW$111,10,FALSE)="","",VLOOKUP(Sun_W1[[#This Row],[Employee Name]],'Base Schedules'!$A$79:$AW$111,10,FALSE)),"")</f>
        <v/>
      </c>
      <c r="L29" s="184" t="str">
        <f>IFERROR(IF(VLOOKUP(Sun_W1[[#This Row],[Employee Name]],'Base Schedules'!$A$79:$AW$111,11,FALSE)="","",VLOOKUP(Sun_W1[[#This Row],[Employee Name]],'Base Schedules'!$A$79:$AW$111,11,FALSE)),"")</f>
        <v/>
      </c>
      <c r="M29" s="184" t="str">
        <f>IFERROR(IF(VLOOKUP(Sun_W1[[#This Row],[Employee Name]],'Base Schedules'!$A$79:$AW$111,12,FALSE)="","",VLOOKUP(Sun_W1[[#This Row],[Employee Name]],'Base Schedules'!$A$79:$AW$111,12,FALSE)),"")</f>
        <v/>
      </c>
      <c r="N29" s="184" t="str">
        <f>IFERROR(IF(VLOOKUP(Sun_W1[[#This Row],[Employee Name]],'Base Schedules'!$A$79:$AW$111,13,FALSE)="","",VLOOKUP(Sun_W1[[#This Row],[Employee Name]],'Base Schedules'!$A$79:$AW$111,13,FALSE)),"")</f>
        <v/>
      </c>
      <c r="O29" s="184" t="str">
        <f>IFERROR(IF(VLOOKUP(Sun_W1[[#This Row],[Employee Name]],'Base Schedules'!$A$79:$AW$111,14,FALSE)="","",VLOOKUP(Sun_W1[[#This Row],[Employee Name]],'Base Schedules'!$A$79:$AW$111,14,FALSE)),"")</f>
        <v/>
      </c>
      <c r="P29" s="184" t="str">
        <f>IFERROR(IF(VLOOKUP(Sun_W1[[#This Row],[Employee Name]],'Base Schedules'!$A$79:$AW$111,15,FALSE)="","",VLOOKUP(Sun_W1[[#This Row],[Employee Name]],'Base Schedules'!$A$79:$AW$111,15,FALSE)),"")</f>
        <v/>
      </c>
      <c r="Q29" s="184" t="str">
        <f>IFERROR(IF(VLOOKUP(Sun_W1[[#This Row],[Employee Name]],'Base Schedules'!$A$79:$AW$111,16,FALSE)="","",VLOOKUP(Sun_W1[[#This Row],[Employee Name]],'Base Schedules'!$A$79:$AW$111,16,FALSE)),"")</f>
        <v/>
      </c>
      <c r="R29" s="184" t="str">
        <f>IFERROR(IF(VLOOKUP(Sun_W1[[#This Row],[Employee Name]],'Base Schedules'!$A$79:$AW$111,17,FALSE)="","",VLOOKUP(Sun_W1[[#This Row],[Employee Name]],'Base Schedules'!$A$79:$AW$111,17,FALSE)),"")</f>
        <v/>
      </c>
      <c r="S29" s="184" t="str">
        <f>IFERROR(IF(VLOOKUP(Sun_W1[[#This Row],[Employee Name]],'Base Schedules'!$A$79:$AW$111,18,FALSE)="","",VLOOKUP(Sun_W1[[#This Row],[Employee Name]],'Base Schedules'!$A$79:$AW$111,18,FALSE)),"")</f>
        <v/>
      </c>
      <c r="T29" s="184" t="str">
        <f>IFERROR(IF(VLOOKUP(Sun_W1[[#This Row],[Employee Name]],'Base Schedules'!$A$79:$AW$111,19,FALSE)="","",VLOOKUP(Sun_W1[[#This Row],[Employee Name]],'Base Schedules'!$A$79:$AW$111,19,FALSE)),"")</f>
        <v/>
      </c>
      <c r="U29" s="184" t="str">
        <f>IFERROR(IF(VLOOKUP(Sun_W1[[#This Row],[Employee Name]],'Base Schedules'!$A$79:$AW$111,20,FALSE)="","",VLOOKUP(Sun_W1[[#This Row],[Employee Name]],'Base Schedules'!$A$79:$AW$111,20,FALSE)),"")</f>
        <v/>
      </c>
      <c r="V29" s="184" t="str">
        <f>IFERROR(IF(VLOOKUP(Sun_W1[[#This Row],[Employee Name]],'Base Schedules'!$A$79:$AW$111,21,FALSE)="","",VLOOKUP(Sun_W1[[#This Row],[Employee Name]],'Base Schedules'!$A$79:$AW$111,21,FALSE)),"")</f>
        <v/>
      </c>
      <c r="W29" s="184" t="str">
        <f>IFERROR(IF(VLOOKUP(Sun_W1[[#This Row],[Employee Name]],'Base Schedules'!$A$79:$AW$111,22,FALSE)="","",VLOOKUP(Sun_W1[[#This Row],[Employee Name]],'Base Schedules'!$A$79:$AW$111,22,FALSE)),"")</f>
        <v/>
      </c>
      <c r="X29" s="184" t="str">
        <f>IFERROR(IF(VLOOKUP(Sun_W1[[#This Row],[Employee Name]],'Base Schedules'!$A$79:$AW$111,23,FALSE)="","",VLOOKUP(Sun_W1[[#This Row],[Employee Name]],'Base Schedules'!$A$79:$AW$111,23,FALSE)),"")</f>
        <v/>
      </c>
      <c r="Y29" s="184" t="str">
        <f>IFERROR(IF(VLOOKUP(Sun_W1[[#This Row],[Employee Name]],'Base Schedules'!$A$79:$AW$111,24,FALSE)="","",VLOOKUP(Sun_W1[[#This Row],[Employee Name]],'Base Schedules'!$A$79:$AW$111,24,FALSE)),"")</f>
        <v/>
      </c>
      <c r="Z29" s="184" t="str">
        <f>IFERROR(IF(VLOOKUP(Sun_W1[[#This Row],[Employee Name]],'Base Schedules'!$A$79:$AW$111,25,FALSE)="","",VLOOKUP(Sun_W1[[#This Row],[Employee Name]],'Base Schedules'!$A$79:$AW$111,25,FALSE)),"")</f>
        <v/>
      </c>
      <c r="AA29" s="184" t="str">
        <f>IFERROR(IF(VLOOKUP(Sun_W1[[#This Row],[Employee Name]],'Base Schedules'!$A$79:$AW$111,26,FALSE)="","",VLOOKUP(Sun_W1[[#This Row],[Employee Name]],'Base Schedules'!$A$79:$AW$111,26,FALSE)),"")</f>
        <v/>
      </c>
      <c r="AB29" s="184" t="str">
        <f>IFERROR(IF(VLOOKUP(Sun_W1[[#This Row],[Employee Name]],'Base Schedules'!$A$79:$AW$111,27,FALSE)="","",VLOOKUP(Sun_W1[[#This Row],[Employee Name]],'Base Schedules'!$A$79:$AW$111,27,FALSE)),"")</f>
        <v>-</v>
      </c>
      <c r="AC29" s="184" t="str">
        <f>IFERROR(IF(VLOOKUP(Sun_W1[[#This Row],[Employee Name]],'Base Schedules'!$A$79:$AW$111,28,FALSE)="","",VLOOKUP(Sun_W1[[#This Row],[Employee Name]],'Base Schedules'!$A$79:$AW$111,28,FALSE)),"")</f>
        <v>-</v>
      </c>
      <c r="AD29" s="184" t="str">
        <f>IFERROR(IF(VLOOKUP(Sun_W1[[#This Row],[Employee Name]],'Base Schedules'!$A$79:$AW$111,29,FALSE)="","",VLOOKUP(Sun_W1[[#This Row],[Employee Name]],'Base Schedules'!$A$79:$AW$111,29,FALSE)),"")</f>
        <v>-</v>
      </c>
      <c r="AE29" s="184" t="str">
        <f>IFERROR(IF(VLOOKUP(Sun_W1[[#This Row],[Employee Name]],'Base Schedules'!$A$79:$AW$111,30,FALSE)="","",VLOOKUP(Sun_W1[[#This Row],[Employee Name]],'Base Schedules'!$A$79:$AW$111,30,FALSE)),"")</f>
        <v>-</v>
      </c>
      <c r="AF29" s="184" t="str">
        <f>IFERROR(IF(VLOOKUP(Sun_W1[[#This Row],[Employee Name]],'Base Schedules'!$A$79:$AW$111,31,FALSE)="","",VLOOKUP(Sun_W1[[#This Row],[Employee Name]],'Base Schedules'!$A$79:$AW$111,31,FALSE)),"")</f>
        <v>-</v>
      </c>
      <c r="AG29" s="184" t="str">
        <f>IFERROR(IF(VLOOKUP(Sun_W1[[#This Row],[Employee Name]],'Base Schedules'!$A$79:$AW$111,32,FALSE)="","",VLOOKUP(Sun_W1[[#This Row],[Employee Name]],'Base Schedules'!$A$79:$AW$111,32,FALSE)),"")</f>
        <v>Coaching</v>
      </c>
      <c r="AH29" s="184" t="str">
        <f>IFERROR(IF(VLOOKUP(Sun_W1[[#This Row],[Employee Name]],'Base Schedules'!$A$79:$AW$111,33,FALSE)="","",VLOOKUP(Sun_W1[[#This Row],[Employee Name]],'Base Schedules'!$A$79:$AW$111,33,FALSE)),"")</f>
        <v>Coaching</v>
      </c>
      <c r="AI29" s="184" t="str">
        <f>IFERROR(IF(VLOOKUP(Sun_W1[[#This Row],[Employee Name]],'Base Schedules'!$A$79:$AW$111,34,FALSE)="","",VLOOKUP(Sun_W1[[#This Row],[Employee Name]],'Base Schedules'!$A$79:$AW$111,34,FALSE)),"")</f>
        <v>-</v>
      </c>
      <c r="AJ29" s="184" t="str">
        <f>IFERROR(IF(VLOOKUP(Sun_W1[[#This Row],[Employee Name]],'Base Schedules'!$A$79:$AW$111,35,FALSE)="","",VLOOKUP(Sun_W1[[#This Row],[Employee Name]],'Base Schedules'!$A$79:$AW$111,35,FALSE)),"")</f>
        <v>-</v>
      </c>
      <c r="AK29" s="184" t="str">
        <f>IFERROR(IF(VLOOKUP(Sun_W1[[#This Row],[Employee Name]],'Base Schedules'!$A$79:$AW$111,36,FALSE)="","",VLOOKUP(Sun_W1[[#This Row],[Employee Name]],'Base Schedules'!$A$79:$AW$111,36,FALSE)),"")</f>
        <v>-</v>
      </c>
      <c r="AL29" s="184" t="str">
        <f>IFERROR(IF(VLOOKUP(Sun_W1[[#This Row],[Employee Name]],'Base Schedules'!$A$79:$AW$111,37,FALSE)="","",VLOOKUP(Sun_W1[[#This Row],[Employee Name]],'Base Schedules'!$A$79:$AW$111,37,FALSE)),"")</f>
        <v>-</v>
      </c>
      <c r="AM29" s="184" t="str">
        <f>IFERROR(IF(VLOOKUP(Sun_W1[[#This Row],[Employee Name]],'Base Schedules'!$A$79:$AW$111,38,FALSE)="","",VLOOKUP(Sun_W1[[#This Row],[Employee Name]],'Base Schedules'!$A$79:$AW$111,38,FALSE)),"")</f>
        <v>-</v>
      </c>
      <c r="AN29" s="184" t="str">
        <f>IFERROR(IF(VLOOKUP(Sun_W1[[#This Row],[Employee Name]],'Base Schedules'!$A$79:$AW$111,39,FALSE)="","",VLOOKUP(Sun_W1[[#This Row],[Employee Name]],'Base Schedules'!$A$79:$AW$111,39,FALSE)),"")</f>
        <v>Coaching</v>
      </c>
      <c r="AO29" s="184" t="str">
        <f>IFERROR(IF(VLOOKUP(Sun_W1[[#This Row],[Employee Name]],'Base Schedules'!$A$79:$AW$111,40,FALSE)="","",VLOOKUP(Sun_W1[[#This Row],[Employee Name]],'Base Schedules'!$A$79:$AW$111,40,FALSE)),"")</f>
        <v>Coaching</v>
      </c>
      <c r="AP29" s="184" t="str">
        <f>IFERROR(IF(VLOOKUP(Sun_W1[[#This Row],[Employee Name]],'Base Schedules'!$A$79:$AW$111,41,FALSE)="","",VLOOKUP(Sun_W1[[#This Row],[Employee Name]],'Base Schedules'!$A$79:$AW$111,41,FALSE)),"")</f>
        <v>Coaching</v>
      </c>
      <c r="AQ29" s="184" t="str">
        <f>IFERROR(IF(VLOOKUP(Sun_W1[[#This Row],[Employee Name]],'Base Schedules'!$A$79:$AW$111,42,FALSE)="","",VLOOKUP(Sun_W1[[#This Row],[Employee Name]],'Base Schedules'!$A$79:$AW$111,42,FALSE)),"")</f>
        <v>-</v>
      </c>
      <c r="AR29" s="184" t="str">
        <f>IFERROR(IF(VLOOKUP(Sun_W1[[#This Row],[Employee Name]],'Base Schedules'!$A$79:$AW$111,43,FALSE)="","",VLOOKUP(Sun_W1[[#This Row],[Employee Name]],'Base Schedules'!$A$79:$AW$111,43,FALSE)),"")</f>
        <v>-</v>
      </c>
      <c r="AS29" s="184" t="str">
        <f>IFERROR(IF(VLOOKUP(Sun_W1[[#This Row],[Employee Name]],'Base Schedules'!$A$79:$AW$111,44,FALSE)="","",VLOOKUP(Sun_W1[[#This Row],[Employee Name]],'Base Schedules'!$A$79:$AW$111,44,FALSE)),"")</f>
        <v>-</v>
      </c>
      <c r="AT29" s="184" t="str">
        <f>IFERROR(IF(VLOOKUP(Sun_W1[[#This Row],[Employee Name]],'Base Schedules'!$A$79:$AW$111,45,FALSE)="","",VLOOKUP(Sun_W1[[#This Row],[Employee Name]],'Base Schedules'!$A$79:$AW$111,45,FALSE)),"")</f>
        <v>-</v>
      </c>
      <c r="AU29" s="184" t="str">
        <f>IFERROR(IF(VLOOKUP(Sun_W1[[#This Row],[Employee Name]],'Base Schedules'!$A$79:$AW$111,46,FALSE)="","",VLOOKUP(Sun_W1[[#This Row],[Employee Name]],'Base Schedules'!$A$79:$AW$111,46,FALSE)),"")</f>
        <v>-</v>
      </c>
      <c r="AV29" s="184" t="str">
        <f>IFERROR(IF(VLOOKUP(Sun_W1[[#This Row],[Employee Name]],'Base Schedules'!$A$79:$AW$111,47,FALSE)="","",VLOOKUP(Sun_W1[[#This Row],[Employee Name]],'Base Schedules'!$A$79:$AW$111,47,FALSE)),"")</f>
        <v>-</v>
      </c>
      <c r="AW29" s="184" t="str">
        <f>IFERROR(IF(VLOOKUP(Sun_W1[[#This Row],[Employee Name]],'Base Schedules'!$A$79:$AW$111,48,FALSE)="","",VLOOKUP(Sun_W1[[#This Row],[Employee Name]],'Base Schedules'!$A$79:$AW$111,48,FALSE)),"")</f>
        <v>-</v>
      </c>
      <c r="AX29" s="184" t="str">
        <f>IFERROR(IF(VLOOKUP(Sun_W1[[#This Row],[Employee Name]],'Base Schedules'!$A$79:$AW$111,49,FALSE)="","",VLOOKUP(Sun_W1[[#This Row],[Employee Name]],'Base Schedules'!$A$79:$AW$111,49,FALSE)),"")</f>
        <v/>
      </c>
      <c r="AY29" s="159" t="str">
        <f t="shared" si="2"/>
        <v>McLean, Neva</v>
      </c>
    </row>
    <row r="30" spans="1:51" s="44" customFormat="1" ht="12" x14ac:dyDescent="0.2">
      <c r="A30" s="202"/>
      <c r="B30" s="201" t="s">
        <v>235</v>
      </c>
      <c r="C30" s="257" t="str">
        <f>_xlfn.IFNA(VLOOKUP(Sun_W1[[#This Row],[Employee Name]],'Base Schedules'!A:B,2,FALSE),"")</f>
        <v>Lead</v>
      </c>
      <c r="D30" s="274">
        <f>_xlfn.IFNA(VLOOKUP(Sun_W1[[#This Row],[Employee Name]],'Base Schedules'!A:C,3,FALSE),"")</f>
        <v>1530</v>
      </c>
      <c r="E30" s="274">
        <f>_xlfn.IFNA(VLOOKUP(Sun_W1[[#This Row],[Employee Name]],'Base Schedules'!A:D,4,FALSE),"")</f>
        <v>0</v>
      </c>
      <c r="F30" s="142">
        <f>IF(Sun_W1[[#This Row],[Employee Name]]="","",IF(Sun_W1[[#This Row],[Dept]]="Supervisor",COUNTIFS($J30:$AX30,"*HL*",$J30:$AX30,"&lt;&gt;"&amp;"pHL"),COUNTIFS($J30:$AX30,"*HL*",$J30:$AX30,"&lt;&gt;"&amp;"*pHL*",$J30:$AX30,"&lt;&gt;"&amp;"pB1 HL",$J30:$AX30,"&lt;&gt;"&amp;"pB2 HL")-SUM(COUNTIFS($J30:$AX30,"*HL B1*",$J30:$AX30,"&lt;&gt;"&amp;"pHL B1")*0.5,COUNTIFS($J30:$AX30,"*HL B2*",$J30:$AX30,"&lt;&gt;"&amp;"pHL B2")*0.5,COUNTIFS($J30:$AX30,"*B1 HL*",$J30:$AX30,"&lt;&gt;"&amp;"pB1 HL")*0.5,COUNTIFS($J30:$AX30,"*B2 HL*",$J30:$AX30,"&lt;&gt;"&amp;"pB2 HL")*0.5)))</f>
        <v>8.5</v>
      </c>
      <c r="G30" s="142">
        <f t="shared" si="0"/>
        <v>0</v>
      </c>
      <c r="H30" s="142">
        <f t="shared" si="1"/>
        <v>5</v>
      </c>
      <c r="I30" s="142">
        <f>IF(Sun_W1[[#This Row],[Employee Name]]="","",IF(Sun_W1[[#This Row],[Dept]]="Supervisor",SUM(COUNTIFS($J30:$AX30,"RTA*",$J30:$AX30,"&lt;&gt;"&amp;"pRTA"),COUNTIFS($J30:$AX30,"*CRTA*",$J30:$AX30,"&lt;&gt;"&amp;"pCRTA")),COUNTIFS($J30:$AX30,"*RNNR*",$J30:$AX30,"&lt;&gt;"&amp;"*pRNNR*",$J30:$AX30,"&lt;&gt;"&amp;"pB1 RNNR",$J30:$AX30,"&lt;&gt;"&amp;"pB2 RNNR")-SUM(COUNTIFS($J30:$AX30,"*RNNR B1*",$J30:$AX30,"&lt;&gt;"&amp;"pRNNR B1")*0.5,COUNTIFS($J30:$AX30,"*RNNR B2*",$J30:$AX30,"&lt;&gt;"&amp;"pRNNR B2")*0.5,COUNTIFS($J30:$AX30,"*B1 RNNR*",$J30:$AX30,"&lt;&gt;"&amp;"pB1 RNNR")*0.5,COUNTIFS($J30:$AX30,"*B2 RNNR*",$J30:$AX30,"&lt;&gt;"&amp;"pB2 RNNR")*0.5)))</f>
        <v>2</v>
      </c>
      <c r="J30" s="184" t="str">
        <f>IFERROR(IF(VLOOKUP(Sun_W1[[#This Row],[Employee Name]],'Base Schedules'!$A$79:$AW$111,9,FALSE)="","",VLOOKUP(Sun_W1[[#This Row],[Employee Name]],'Base Schedules'!$A$79:$AW$111,9,FALSE)),"")</f>
        <v/>
      </c>
      <c r="K30" s="184" t="str">
        <f>IFERROR(IF(VLOOKUP(Sun_W1[[#This Row],[Employee Name]],'Base Schedules'!$A$79:$AW$111,10,FALSE)="","",VLOOKUP(Sun_W1[[#This Row],[Employee Name]],'Base Schedules'!$A$79:$AW$111,10,FALSE)),"")</f>
        <v/>
      </c>
      <c r="L30" s="184" t="str">
        <f>IFERROR(IF(VLOOKUP(Sun_W1[[#This Row],[Employee Name]],'Base Schedules'!$A$79:$AW$111,11,FALSE)="","",VLOOKUP(Sun_W1[[#This Row],[Employee Name]],'Base Schedules'!$A$79:$AW$111,11,FALSE)),"")</f>
        <v/>
      </c>
      <c r="M30" s="184" t="str">
        <f>IFERROR(IF(VLOOKUP(Sun_W1[[#This Row],[Employee Name]],'Base Schedules'!$A$79:$AW$111,12,FALSE)="","",VLOOKUP(Sun_W1[[#This Row],[Employee Name]],'Base Schedules'!$A$79:$AW$111,12,FALSE)),"")</f>
        <v/>
      </c>
      <c r="N30" s="184" t="str">
        <f>IFERROR(IF(VLOOKUP(Sun_W1[[#This Row],[Employee Name]],'Base Schedules'!$A$79:$AW$111,13,FALSE)="","",VLOOKUP(Sun_W1[[#This Row],[Employee Name]],'Base Schedules'!$A$79:$AW$111,13,FALSE)),"")</f>
        <v/>
      </c>
      <c r="O30" s="184" t="str">
        <f>IFERROR(IF(VLOOKUP(Sun_W1[[#This Row],[Employee Name]],'Base Schedules'!$A$79:$AW$111,14,FALSE)="","",VLOOKUP(Sun_W1[[#This Row],[Employee Name]],'Base Schedules'!$A$79:$AW$111,14,FALSE)),"")</f>
        <v/>
      </c>
      <c r="P30" s="184" t="str">
        <f>IFERROR(IF(VLOOKUP(Sun_W1[[#This Row],[Employee Name]],'Base Schedules'!$A$79:$AW$111,15,FALSE)="","",VLOOKUP(Sun_W1[[#This Row],[Employee Name]],'Base Schedules'!$A$79:$AW$111,15,FALSE)),"")</f>
        <v/>
      </c>
      <c r="Q30" s="184" t="str">
        <f>IFERROR(IF(VLOOKUP(Sun_W1[[#This Row],[Employee Name]],'Base Schedules'!$A$79:$AW$111,16,FALSE)="","",VLOOKUP(Sun_W1[[#This Row],[Employee Name]],'Base Schedules'!$A$79:$AW$111,16,FALSE)),"")</f>
        <v/>
      </c>
      <c r="R30" s="184" t="str">
        <f>IFERROR(IF(VLOOKUP(Sun_W1[[#This Row],[Employee Name]],'Base Schedules'!$A$79:$AW$111,17,FALSE)="","",VLOOKUP(Sun_W1[[#This Row],[Employee Name]],'Base Schedules'!$A$79:$AW$111,17,FALSE)),"")</f>
        <v/>
      </c>
      <c r="S30" s="184" t="str">
        <f>IFERROR(IF(VLOOKUP(Sun_W1[[#This Row],[Employee Name]],'Base Schedules'!$A$79:$AW$111,18,FALSE)="","",VLOOKUP(Sun_W1[[#This Row],[Employee Name]],'Base Schedules'!$A$79:$AW$111,18,FALSE)),"")</f>
        <v/>
      </c>
      <c r="T30" s="184" t="str">
        <f>IFERROR(IF(VLOOKUP(Sun_W1[[#This Row],[Employee Name]],'Base Schedules'!$A$79:$AW$111,19,FALSE)="","",VLOOKUP(Sun_W1[[#This Row],[Employee Name]],'Base Schedules'!$A$79:$AW$111,19,FALSE)),"")</f>
        <v/>
      </c>
      <c r="U30" s="184" t="str">
        <f>IFERROR(IF(VLOOKUP(Sun_W1[[#This Row],[Employee Name]],'Base Schedules'!$A$79:$AW$111,20,FALSE)="","",VLOOKUP(Sun_W1[[#This Row],[Employee Name]],'Base Schedules'!$A$79:$AW$111,20,FALSE)),"")</f>
        <v/>
      </c>
      <c r="V30" s="184" t="str">
        <f>IFERROR(IF(VLOOKUP(Sun_W1[[#This Row],[Employee Name]],'Base Schedules'!$A$79:$AW$111,21,FALSE)="","",VLOOKUP(Sun_W1[[#This Row],[Employee Name]],'Base Schedules'!$A$79:$AW$111,21,FALSE)),"")</f>
        <v/>
      </c>
      <c r="W30" s="184" t="str">
        <f>IFERROR(IF(VLOOKUP(Sun_W1[[#This Row],[Employee Name]],'Base Schedules'!$A$79:$AW$111,22,FALSE)="","",VLOOKUP(Sun_W1[[#This Row],[Employee Name]],'Base Schedules'!$A$79:$AW$111,22,FALSE)),"")</f>
        <v/>
      </c>
      <c r="X30" s="184" t="str">
        <f>IFERROR(IF(VLOOKUP(Sun_W1[[#This Row],[Employee Name]],'Base Schedules'!$A$79:$AW$111,23,FALSE)="","",VLOOKUP(Sun_W1[[#This Row],[Employee Name]],'Base Schedules'!$A$79:$AW$111,23,FALSE)),"")</f>
        <v/>
      </c>
      <c r="Y30" s="184" t="str">
        <f>IFERROR(IF(VLOOKUP(Sun_W1[[#This Row],[Employee Name]],'Base Schedules'!$A$79:$AW$111,24,FALSE)="","",VLOOKUP(Sun_W1[[#This Row],[Employee Name]],'Base Schedules'!$A$79:$AW$111,24,FALSE)),"")</f>
        <v/>
      </c>
      <c r="Z30" s="184" t="str">
        <f>IFERROR(IF(VLOOKUP(Sun_W1[[#This Row],[Employee Name]],'Base Schedules'!$A$79:$AW$111,25,FALSE)="","",VLOOKUP(Sun_W1[[#This Row],[Employee Name]],'Base Schedules'!$A$79:$AW$111,25,FALSE)),"")</f>
        <v/>
      </c>
      <c r="AA30" s="184" t="str">
        <f>IFERROR(IF(VLOOKUP(Sun_W1[[#This Row],[Employee Name]],'Base Schedules'!$A$79:$AW$111,26,FALSE)="","",VLOOKUP(Sun_W1[[#This Row],[Employee Name]],'Base Schedules'!$A$79:$AW$111,26,FALSE)),"")</f>
        <v/>
      </c>
      <c r="AB30" s="184" t="str">
        <f>IFERROR(IF(VLOOKUP(Sun_W1[[#This Row],[Employee Name]],'Base Schedules'!$A$79:$AW$111,27,FALSE)="","",VLOOKUP(Sun_W1[[#This Row],[Employee Name]],'Base Schedules'!$A$79:$AW$111,27,FALSE)),"")</f>
        <v/>
      </c>
      <c r="AC30" s="184" t="str">
        <f>IFERROR(IF(VLOOKUP(Sun_W1[[#This Row],[Employee Name]],'Base Schedules'!$A$79:$AW$111,28,FALSE)="","",VLOOKUP(Sun_W1[[#This Row],[Employee Name]],'Base Schedules'!$A$79:$AW$111,28,FALSE)),"")</f>
        <v/>
      </c>
      <c r="AD30" s="184" t="str">
        <f>IFERROR(IF(VLOOKUP(Sun_W1[[#This Row],[Employee Name]],'Base Schedules'!$A$79:$AW$111,29,FALSE)="","",VLOOKUP(Sun_W1[[#This Row],[Employee Name]],'Base Schedules'!$A$79:$AW$111,29,FALSE)),"")</f>
        <v/>
      </c>
      <c r="AE30" s="184" t="str">
        <f>IFERROR(IF(VLOOKUP(Sun_W1[[#This Row],[Employee Name]],'Base Schedules'!$A$79:$AW$111,30,FALSE)="","",VLOOKUP(Sun_W1[[#This Row],[Employee Name]],'Base Schedules'!$A$79:$AW$111,30,FALSE)),"")</f>
        <v>ADM</v>
      </c>
      <c r="AF30" s="184" t="str">
        <f>IFERROR(IF(VLOOKUP(Sun_W1[[#This Row],[Employee Name]],'Base Schedules'!$A$79:$AW$111,31,FALSE)="","",VLOOKUP(Sun_W1[[#This Row],[Employee Name]],'Base Schedules'!$A$79:$AW$111,31,FALSE)),"")</f>
        <v>RNNR</v>
      </c>
      <c r="AG30" s="184" t="str">
        <f>IFERROR(IF(VLOOKUP(Sun_W1[[#This Row],[Employee Name]],'Base Schedules'!$A$79:$AW$111,32,FALSE)="","",VLOOKUP(Sun_W1[[#This Row],[Employee Name]],'Base Schedules'!$A$79:$AW$111,32,FALSE)),"")</f>
        <v>RNNR</v>
      </c>
      <c r="AH30" s="184" t="str">
        <f>IFERROR(IF(VLOOKUP(Sun_W1[[#This Row],[Employee Name]],'Base Schedules'!$A$79:$AW$111,33,FALSE)="","",VLOOKUP(Sun_W1[[#This Row],[Employee Name]],'Base Schedules'!$A$79:$AW$111,33,FALSE)),"")</f>
        <v>ADM</v>
      </c>
      <c r="AI30" s="184" t="str">
        <f>IFERROR(IF(VLOOKUP(Sun_W1[[#This Row],[Employee Name]],'Base Schedules'!$A$79:$AW$111,34,FALSE)="","",VLOOKUP(Sun_W1[[#This Row],[Employee Name]],'Base Schedules'!$A$79:$AW$111,34,FALSE)),"")</f>
        <v>B1 ADM</v>
      </c>
      <c r="AJ30" s="184" t="str">
        <f>IFERROR(IF(VLOOKUP(Sun_W1[[#This Row],[Employee Name]],'Base Schedules'!$A$79:$AW$111,35,FALSE)="","",VLOOKUP(Sun_W1[[#This Row],[Employee Name]],'Base Schedules'!$A$79:$AW$111,35,FALSE)),"")</f>
        <v>ADM</v>
      </c>
      <c r="AK30" s="184" t="str">
        <f>IFERROR(IF(VLOOKUP(Sun_W1[[#This Row],[Employee Name]],'Base Schedules'!$A$79:$AW$111,36,FALSE)="","",VLOOKUP(Sun_W1[[#This Row],[Employee Name]],'Base Schedules'!$A$79:$AW$111,36,FALSE)),"")</f>
        <v>HL</v>
      </c>
      <c r="AL30" s="184" t="str">
        <f>IFERROR(IF(VLOOKUP(Sun_W1[[#This Row],[Employee Name]],'Base Schedules'!$A$79:$AW$111,37,FALSE)="","",VLOOKUP(Sun_W1[[#This Row],[Employee Name]],'Base Schedules'!$A$79:$AW$111,37,FALSE)),"")</f>
        <v>ADM</v>
      </c>
      <c r="AM30" s="184" t="str">
        <f>IFERROR(IF(VLOOKUP(Sun_W1[[#This Row],[Employee Name]],'Base Schedules'!$A$79:$AW$111,38,FALSE)="","",VLOOKUP(Sun_W1[[#This Row],[Employee Name]],'Base Schedules'!$A$79:$AW$111,38,FALSE)),"")</f>
        <v>LUNCH</v>
      </c>
      <c r="AN30" s="184" t="str">
        <f>IFERROR(IF(VLOOKUP(Sun_W1[[#This Row],[Employee Name]],'Base Schedules'!$A$79:$AW$111,39,FALSE)="","",VLOOKUP(Sun_W1[[#This Row],[Employee Name]],'Base Schedules'!$A$79:$AW$111,39,FALSE)),"")</f>
        <v>HL</v>
      </c>
      <c r="AO30" s="184" t="str">
        <f>IFERROR(IF(VLOOKUP(Sun_W1[[#This Row],[Employee Name]],'Base Schedules'!$A$79:$AW$111,40,FALSE)="","",VLOOKUP(Sun_W1[[#This Row],[Employee Name]],'Base Schedules'!$A$79:$AW$111,40,FALSE)),"")</f>
        <v>HL</v>
      </c>
      <c r="AP30" s="184" t="str">
        <f>IFERROR(IF(VLOOKUP(Sun_W1[[#This Row],[Employee Name]],'Base Schedules'!$A$79:$AW$111,41,FALSE)="","",VLOOKUP(Sun_W1[[#This Row],[Employee Name]],'Base Schedules'!$A$79:$AW$111,41,FALSE)),"")</f>
        <v>HL</v>
      </c>
      <c r="AQ30" s="184" t="str">
        <f>IFERROR(IF(VLOOKUP(Sun_W1[[#This Row],[Employee Name]],'Base Schedules'!$A$79:$AW$111,42,FALSE)="","",VLOOKUP(Sun_W1[[#This Row],[Employee Name]],'Base Schedules'!$A$79:$AW$111,42,FALSE)),"")</f>
        <v>HL</v>
      </c>
      <c r="AR30" s="184" t="str">
        <f>IFERROR(IF(VLOOKUP(Sun_W1[[#This Row],[Employee Name]],'Base Schedules'!$A$79:$AW$111,43,FALSE)="","",VLOOKUP(Sun_W1[[#This Row],[Employee Name]],'Base Schedules'!$A$79:$AW$111,43,FALSE)),"")</f>
        <v>HL B2</v>
      </c>
      <c r="AS30" s="184" t="str">
        <f>IFERROR(IF(VLOOKUP(Sun_W1[[#This Row],[Employee Name]],'Base Schedules'!$A$79:$AW$111,44,FALSE)="","",VLOOKUP(Sun_W1[[#This Row],[Employee Name]],'Base Schedules'!$A$79:$AW$111,44,FALSE)),"")</f>
        <v>HL</v>
      </c>
      <c r="AT30" s="184" t="str">
        <f>IFERROR(IF(VLOOKUP(Sun_W1[[#This Row],[Employee Name]],'Base Schedules'!$A$79:$AW$111,45,FALSE)="","",VLOOKUP(Sun_W1[[#This Row],[Employee Name]],'Base Schedules'!$A$79:$AW$111,45,FALSE)),"")</f>
        <v>HL</v>
      </c>
      <c r="AU30" s="184" t="str">
        <f>IFERROR(IF(VLOOKUP(Sun_W1[[#This Row],[Employee Name]],'Base Schedules'!$A$79:$AW$111,46,FALSE)="","",VLOOKUP(Sun_W1[[#This Row],[Employee Name]],'Base Schedules'!$A$79:$AW$111,46,FALSE)),"")</f>
        <v>HL</v>
      </c>
      <c r="AV30" s="184" t="str">
        <f>IFERROR(IF(VLOOKUP(Sun_W1[[#This Row],[Employee Name]],'Base Schedules'!$A$79:$AW$111,47,FALSE)="","",VLOOKUP(Sun_W1[[#This Row],[Employee Name]],'Base Schedules'!$A$79:$AW$111,47,FALSE)),"")</f>
        <v/>
      </c>
      <c r="AW30" s="184" t="str">
        <f>IFERROR(IF(VLOOKUP(Sun_W1[[#This Row],[Employee Name]],'Base Schedules'!$A$79:$AW$111,48,FALSE)="","",VLOOKUP(Sun_W1[[#This Row],[Employee Name]],'Base Schedules'!$A$79:$AW$111,48,FALSE)),"")</f>
        <v/>
      </c>
      <c r="AX30" s="184" t="str">
        <f>IFERROR(IF(VLOOKUP(Sun_W1[[#This Row],[Employee Name]],'Base Schedules'!$A$79:$AW$111,49,FALSE)="","",VLOOKUP(Sun_W1[[#This Row],[Employee Name]],'Base Schedules'!$A$79:$AW$111,49,FALSE)),"")</f>
        <v/>
      </c>
      <c r="AY30" s="159" t="str">
        <f t="shared" si="2"/>
        <v>Britton, Michael</v>
      </c>
    </row>
    <row r="31" spans="1:51" s="44" customFormat="1" ht="12" x14ac:dyDescent="0.2">
      <c r="A31" s="201"/>
      <c r="B31" s="201" t="s">
        <v>232</v>
      </c>
      <c r="C31" s="257" t="str">
        <f>_xlfn.IFNA(VLOOKUP(Sun_W1[[#This Row],[Employee Name]],'Base Schedules'!A:B,2,FALSE),"")</f>
        <v>Lead</v>
      </c>
      <c r="D31" s="274">
        <f>_xlfn.IFNA(VLOOKUP(Sun_W1[[#This Row],[Employee Name]],'Base Schedules'!A:C,3,FALSE),"")</f>
        <v>1600</v>
      </c>
      <c r="E31" s="274">
        <f>_xlfn.IFNA(VLOOKUP(Sun_W1[[#This Row],[Employee Name]],'Base Schedules'!A:D,4,FALSE),"")</f>
        <v>100</v>
      </c>
      <c r="F31" s="142">
        <f>IF(Sun_W1[[#This Row],[Employee Name]]="","",IF(Sun_W1[[#This Row],[Dept]]="Supervisor",COUNTIFS($J31:$AX31,"*HL*",$J31:$AX31,"&lt;&gt;"&amp;"pHL"),COUNTIFS($J31:$AX31,"*HL*",$J31:$AX31,"&lt;&gt;"&amp;"*pHL*",$J31:$AX31,"&lt;&gt;"&amp;"pB1 HL",$J31:$AX31,"&lt;&gt;"&amp;"pB2 HL")-SUM(COUNTIFS($J31:$AX31,"*HL B1*",$J31:$AX31,"&lt;&gt;"&amp;"pHL B1")*0.5,COUNTIFS($J31:$AX31,"*HL B2*",$J31:$AX31,"&lt;&gt;"&amp;"pHL B2")*0.5,COUNTIFS($J31:$AX31,"*B1 HL*",$J31:$AX31,"&lt;&gt;"&amp;"pB1 HL")*0.5,COUNTIFS($J31:$AX31,"*B2 HL*",$J31:$AX31,"&lt;&gt;"&amp;"pB2 HL")*0.5)))</f>
        <v>9</v>
      </c>
      <c r="G31" s="142">
        <f t="shared" si="0"/>
        <v>0</v>
      </c>
      <c r="H31" s="142">
        <f t="shared" si="1"/>
        <v>4</v>
      </c>
      <c r="I31" s="142">
        <f>IF(Sun_W1[[#This Row],[Employee Name]]="","",IF(Sun_W1[[#This Row],[Dept]]="Supervisor",SUM(COUNTIFS($J31:$AX31,"RTA*",$J31:$AX31,"&lt;&gt;"&amp;"pRTA"),COUNTIFS($J31:$AX31,"*CRTA*",$J31:$AX31,"&lt;&gt;"&amp;"pCRTA")),COUNTIFS($J31:$AX31,"*RNNR*",$J31:$AX31,"&lt;&gt;"&amp;"*pRNNR*",$J31:$AX31,"&lt;&gt;"&amp;"pB1 RNNR",$J31:$AX31,"&lt;&gt;"&amp;"pB2 RNNR")-SUM(COUNTIFS($J31:$AX31,"*RNNR B1*",$J31:$AX31,"&lt;&gt;"&amp;"pRNNR B1")*0.5,COUNTIFS($J31:$AX31,"*RNNR B2*",$J31:$AX31,"&lt;&gt;"&amp;"pRNNR B2")*0.5,COUNTIFS($J31:$AX31,"*B1 RNNR*",$J31:$AX31,"&lt;&gt;"&amp;"pB1 RNNR")*0.5,COUNTIFS($J31:$AX31,"*B2 RNNR*",$J31:$AX31,"&lt;&gt;"&amp;"pB2 RNNR")*0.5)))</f>
        <v>2</v>
      </c>
      <c r="J31" s="184" t="str">
        <f>IFERROR(IF(VLOOKUP(Sun_W1[[#This Row],[Employee Name]],'Base Schedules'!$A$79:$AW$111,9,FALSE)="","",VLOOKUP(Sun_W1[[#This Row],[Employee Name]],'Base Schedules'!$A$79:$AW$111,9,FALSE)),"")</f>
        <v/>
      </c>
      <c r="K31" s="184" t="str">
        <f>IFERROR(IF(VLOOKUP(Sun_W1[[#This Row],[Employee Name]],'Base Schedules'!$A$79:$AW$111,10,FALSE)="","",VLOOKUP(Sun_W1[[#This Row],[Employee Name]],'Base Schedules'!$A$79:$AW$111,10,FALSE)),"")</f>
        <v/>
      </c>
      <c r="L31" s="184" t="str">
        <f>IFERROR(IF(VLOOKUP(Sun_W1[[#This Row],[Employee Name]],'Base Schedules'!$A$79:$AW$111,11,FALSE)="","",VLOOKUP(Sun_W1[[#This Row],[Employee Name]],'Base Schedules'!$A$79:$AW$111,11,FALSE)),"")</f>
        <v/>
      </c>
      <c r="M31" s="184" t="str">
        <f>IFERROR(IF(VLOOKUP(Sun_W1[[#This Row],[Employee Name]],'Base Schedules'!$A$79:$AW$111,12,FALSE)="","",VLOOKUP(Sun_W1[[#This Row],[Employee Name]],'Base Schedules'!$A$79:$AW$111,12,FALSE)),"")</f>
        <v/>
      </c>
      <c r="N31" s="184" t="str">
        <f>IFERROR(IF(VLOOKUP(Sun_W1[[#This Row],[Employee Name]],'Base Schedules'!$A$79:$AW$111,13,FALSE)="","",VLOOKUP(Sun_W1[[#This Row],[Employee Name]],'Base Schedules'!$A$79:$AW$111,13,FALSE)),"")</f>
        <v/>
      </c>
      <c r="O31" s="184" t="str">
        <f>IFERROR(IF(VLOOKUP(Sun_W1[[#This Row],[Employee Name]],'Base Schedules'!$A$79:$AW$111,14,FALSE)="","",VLOOKUP(Sun_W1[[#This Row],[Employee Name]],'Base Schedules'!$A$79:$AW$111,14,FALSE)),"")</f>
        <v/>
      </c>
      <c r="P31" s="184" t="str">
        <f>IFERROR(IF(VLOOKUP(Sun_W1[[#This Row],[Employee Name]],'Base Schedules'!$A$79:$AW$111,15,FALSE)="","",VLOOKUP(Sun_W1[[#This Row],[Employee Name]],'Base Schedules'!$A$79:$AW$111,15,FALSE)),"")</f>
        <v/>
      </c>
      <c r="Q31" s="184" t="str">
        <f>IFERROR(IF(VLOOKUP(Sun_W1[[#This Row],[Employee Name]],'Base Schedules'!$A$79:$AW$111,16,FALSE)="","",VLOOKUP(Sun_W1[[#This Row],[Employee Name]],'Base Schedules'!$A$79:$AW$111,16,FALSE)),"")</f>
        <v/>
      </c>
      <c r="R31" s="184" t="str">
        <f>IFERROR(IF(VLOOKUP(Sun_W1[[#This Row],[Employee Name]],'Base Schedules'!$A$79:$AW$111,17,FALSE)="","",VLOOKUP(Sun_W1[[#This Row],[Employee Name]],'Base Schedules'!$A$79:$AW$111,17,FALSE)),"")</f>
        <v/>
      </c>
      <c r="S31" s="184" t="str">
        <f>IFERROR(IF(VLOOKUP(Sun_W1[[#This Row],[Employee Name]],'Base Schedules'!$A$79:$AW$111,18,FALSE)="","",VLOOKUP(Sun_W1[[#This Row],[Employee Name]],'Base Schedules'!$A$79:$AW$111,18,FALSE)),"")</f>
        <v/>
      </c>
      <c r="T31" s="184" t="str">
        <f>IFERROR(IF(VLOOKUP(Sun_W1[[#This Row],[Employee Name]],'Base Schedules'!$A$79:$AW$111,19,FALSE)="","",VLOOKUP(Sun_W1[[#This Row],[Employee Name]],'Base Schedules'!$A$79:$AW$111,19,FALSE)),"")</f>
        <v/>
      </c>
      <c r="U31" s="184" t="str">
        <f>IFERROR(IF(VLOOKUP(Sun_W1[[#This Row],[Employee Name]],'Base Schedules'!$A$79:$AW$111,20,FALSE)="","",VLOOKUP(Sun_W1[[#This Row],[Employee Name]],'Base Schedules'!$A$79:$AW$111,20,FALSE)),"")</f>
        <v/>
      </c>
      <c r="V31" s="184" t="str">
        <f>IFERROR(IF(VLOOKUP(Sun_W1[[#This Row],[Employee Name]],'Base Schedules'!$A$79:$AW$111,21,FALSE)="","",VLOOKUP(Sun_W1[[#This Row],[Employee Name]],'Base Schedules'!$A$79:$AW$111,21,FALSE)),"")</f>
        <v/>
      </c>
      <c r="W31" s="184" t="str">
        <f>IFERROR(IF(VLOOKUP(Sun_W1[[#This Row],[Employee Name]],'Base Schedules'!$A$79:$AW$111,22,FALSE)="","",VLOOKUP(Sun_W1[[#This Row],[Employee Name]],'Base Schedules'!$A$79:$AW$111,22,FALSE)),"")</f>
        <v/>
      </c>
      <c r="X31" s="184" t="str">
        <f>IFERROR(IF(VLOOKUP(Sun_W1[[#This Row],[Employee Name]],'Base Schedules'!$A$79:$AW$111,23,FALSE)="","",VLOOKUP(Sun_W1[[#This Row],[Employee Name]],'Base Schedules'!$A$79:$AW$111,23,FALSE)),"")</f>
        <v/>
      </c>
      <c r="Y31" s="184" t="str">
        <f>IFERROR(IF(VLOOKUP(Sun_W1[[#This Row],[Employee Name]],'Base Schedules'!$A$79:$AW$111,24,FALSE)="","",VLOOKUP(Sun_W1[[#This Row],[Employee Name]],'Base Schedules'!$A$79:$AW$111,24,FALSE)),"")</f>
        <v/>
      </c>
      <c r="Z31" s="184" t="str">
        <f>IFERROR(IF(VLOOKUP(Sun_W1[[#This Row],[Employee Name]],'Base Schedules'!$A$79:$AW$111,25,FALSE)="","",VLOOKUP(Sun_W1[[#This Row],[Employee Name]],'Base Schedules'!$A$79:$AW$111,25,FALSE)),"")</f>
        <v/>
      </c>
      <c r="AA31" s="184" t="str">
        <f>IFERROR(IF(VLOOKUP(Sun_W1[[#This Row],[Employee Name]],'Base Schedules'!$A$79:$AW$111,26,FALSE)="","",VLOOKUP(Sun_W1[[#This Row],[Employee Name]],'Base Schedules'!$A$79:$AW$111,26,FALSE)),"")</f>
        <v/>
      </c>
      <c r="AB31" s="184" t="str">
        <f>IFERROR(IF(VLOOKUP(Sun_W1[[#This Row],[Employee Name]],'Base Schedules'!$A$79:$AW$111,27,FALSE)="","",VLOOKUP(Sun_W1[[#This Row],[Employee Name]],'Base Schedules'!$A$79:$AW$111,27,FALSE)),"")</f>
        <v/>
      </c>
      <c r="AC31" s="184" t="str">
        <f>IFERROR(IF(VLOOKUP(Sun_W1[[#This Row],[Employee Name]],'Base Schedules'!$A$79:$AW$111,28,FALSE)="","",VLOOKUP(Sun_W1[[#This Row],[Employee Name]],'Base Schedules'!$A$79:$AW$111,28,FALSE)),"")</f>
        <v/>
      </c>
      <c r="AD31" s="184" t="str">
        <f>IFERROR(IF(VLOOKUP(Sun_W1[[#This Row],[Employee Name]],'Base Schedules'!$A$79:$AW$111,29,FALSE)="","",VLOOKUP(Sun_W1[[#This Row],[Employee Name]],'Base Schedules'!$A$79:$AW$111,29,FALSE)),"")</f>
        <v/>
      </c>
      <c r="AE31" s="184" t="str">
        <f>IFERROR(IF(VLOOKUP(Sun_W1[[#This Row],[Employee Name]],'Base Schedules'!$A$79:$AW$111,30,FALSE)="","",VLOOKUP(Sun_W1[[#This Row],[Employee Name]],'Base Schedules'!$A$79:$AW$111,30,FALSE)),"")</f>
        <v/>
      </c>
      <c r="AF31" s="184" t="str">
        <f>IFERROR(IF(VLOOKUP(Sun_W1[[#This Row],[Employee Name]],'Base Schedules'!$A$79:$AW$111,31,FALSE)="","",VLOOKUP(Sun_W1[[#This Row],[Employee Name]],'Base Schedules'!$A$79:$AW$111,31,FALSE)),"")</f>
        <v>ADM</v>
      </c>
      <c r="AG31" s="184" t="str">
        <f>IFERROR(IF(VLOOKUP(Sun_W1[[#This Row],[Employee Name]],'Base Schedules'!$A$79:$AW$111,32,FALSE)="","",VLOOKUP(Sun_W1[[#This Row],[Employee Name]],'Base Schedules'!$A$79:$AW$111,32,FALSE)),"")</f>
        <v>ADM</v>
      </c>
      <c r="AH31" s="184" t="str">
        <f>IFERROR(IF(VLOOKUP(Sun_W1[[#This Row],[Employee Name]],'Base Schedules'!$A$79:$AW$111,33,FALSE)="","",VLOOKUP(Sun_W1[[#This Row],[Employee Name]],'Base Schedules'!$A$79:$AW$111,33,FALSE)),"")</f>
        <v>HL</v>
      </c>
      <c r="AI31" s="184" t="str">
        <f>IFERROR(IF(VLOOKUP(Sun_W1[[#This Row],[Employee Name]],'Base Schedules'!$A$79:$AW$111,34,FALSE)="","",VLOOKUP(Sun_W1[[#This Row],[Employee Name]],'Base Schedules'!$A$79:$AW$111,34,FALSE)),"")</f>
        <v>HL B1</v>
      </c>
      <c r="AJ31" s="184" t="str">
        <f>IFERROR(IF(VLOOKUP(Sun_W1[[#This Row],[Employee Name]],'Base Schedules'!$A$79:$AW$111,35,FALSE)="","",VLOOKUP(Sun_W1[[#This Row],[Employee Name]],'Base Schedules'!$A$79:$AW$111,35,FALSE)),"")</f>
        <v>RNNR</v>
      </c>
      <c r="AK31" s="184" t="str">
        <f>IFERROR(IF(VLOOKUP(Sun_W1[[#This Row],[Employee Name]],'Base Schedules'!$A$79:$AW$111,36,FALSE)="","",VLOOKUP(Sun_W1[[#This Row],[Employee Name]],'Base Schedules'!$A$79:$AW$111,36,FALSE)),"")</f>
        <v>RNNR</v>
      </c>
      <c r="AL31" s="184" t="str">
        <f>IFERROR(IF(VLOOKUP(Sun_W1[[#This Row],[Employee Name]],'Base Schedules'!$A$79:$AW$111,37,FALSE)="","",VLOOKUP(Sun_W1[[#This Row],[Employee Name]],'Base Schedules'!$A$79:$AW$111,37,FALSE)),"")</f>
        <v>ADM</v>
      </c>
      <c r="AM31" s="184" t="str">
        <f>IFERROR(IF(VLOOKUP(Sun_W1[[#This Row],[Employee Name]],'Base Schedules'!$A$79:$AW$111,38,FALSE)="","",VLOOKUP(Sun_W1[[#This Row],[Employee Name]],'Base Schedules'!$A$79:$AW$111,38,FALSE)),"")</f>
        <v>ADM</v>
      </c>
      <c r="AN31" s="184" t="str">
        <f>IFERROR(IF(VLOOKUP(Sun_W1[[#This Row],[Employee Name]],'Base Schedules'!$A$79:$AW$111,39,FALSE)="","",VLOOKUP(Sun_W1[[#This Row],[Employee Name]],'Base Schedules'!$A$79:$AW$111,39,FALSE)),"")</f>
        <v>LUNCH</v>
      </c>
      <c r="AO31" s="184" t="str">
        <f>IFERROR(IF(VLOOKUP(Sun_W1[[#This Row],[Employee Name]],'Base Schedules'!$A$79:$AW$111,40,FALSE)="","",VLOOKUP(Sun_W1[[#This Row],[Employee Name]],'Base Schedules'!$A$79:$AW$111,40,FALSE)),"")</f>
        <v>LUNCH</v>
      </c>
      <c r="AP31" s="184" t="str">
        <f>IFERROR(IF(VLOOKUP(Sun_W1[[#This Row],[Employee Name]],'Base Schedules'!$A$79:$AW$111,41,FALSE)="","",VLOOKUP(Sun_W1[[#This Row],[Employee Name]],'Base Schedules'!$A$79:$AW$111,41,FALSE)),"")</f>
        <v>HL</v>
      </c>
      <c r="AQ31" s="184" t="str">
        <f>IFERROR(IF(VLOOKUP(Sun_W1[[#This Row],[Employee Name]],'Base Schedules'!$A$79:$AW$111,42,FALSE)="","",VLOOKUP(Sun_W1[[#This Row],[Employee Name]],'Base Schedules'!$A$79:$AW$111,42,FALSE)),"")</f>
        <v>HL</v>
      </c>
      <c r="AR31" s="184" t="str">
        <f>IFERROR(IF(VLOOKUP(Sun_W1[[#This Row],[Employee Name]],'Base Schedules'!$A$79:$AW$111,43,FALSE)="","",VLOOKUP(Sun_W1[[#This Row],[Employee Name]],'Base Schedules'!$A$79:$AW$111,43,FALSE)),"")</f>
        <v>HL</v>
      </c>
      <c r="AS31" s="184" t="str">
        <f>IFERROR(IF(VLOOKUP(Sun_W1[[#This Row],[Employee Name]],'Base Schedules'!$A$79:$AW$111,44,FALSE)="","",VLOOKUP(Sun_W1[[#This Row],[Employee Name]],'Base Schedules'!$A$79:$AW$111,44,FALSE)),"")</f>
        <v>B1 HL</v>
      </c>
      <c r="AT31" s="184" t="str">
        <f>IFERROR(IF(VLOOKUP(Sun_W1[[#This Row],[Employee Name]],'Base Schedules'!$A$79:$AW$111,45,FALSE)="","",VLOOKUP(Sun_W1[[#This Row],[Employee Name]],'Base Schedules'!$A$79:$AW$111,45,FALSE)),"")</f>
        <v>HL</v>
      </c>
      <c r="AU31" s="184" t="str">
        <f>IFERROR(IF(VLOOKUP(Sun_W1[[#This Row],[Employee Name]],'Base Schedules'!$A$79:$AW$111,46,FALSE)="","",VLOOKUP(Sun_W1[[#This Row],[Employee Name]],'Base Schedules'!$A$79:$AW$111,46,FALSE)),"")</f>
        <v>HL</v>
      </c>
      <c r="AV31" s="184" t="str">
        <f>IFERROR(IF(VLOOKUP(Sun_W1[[#This Row],[Employee Name]],'Base Schedules'!$A$79:$AW$111,47,FALSE)="","",VLOOKUP(Sun_W1[[#This Row],[Employee Name]],'Base Schedules'!$A$79:$AW$111,47,FALSE)),"")</f>
        <v>HL</v>
      </c>
      <c r="AW31" s="184" t="str">
        <f>IFERROR(IF(VLOOKUP(Sun_W1[[#This Row],[Employee Name]],'Base Schedules'!$A$79:$AW$111,48,FALSE)="","",VLOOKUP(Sun_W1[[#This Row],[Employee Name]],'Base Schedules'!$A$79:$AW$111,48,FALSE)),"")</f>
        <v>HL</v>
      </c>
      <c r="AX31" s="184" t="str">
        <f>IFERROR(IF(VLOOKUP(Sun_W1[[#This Row],[Employee Name]],'Base Schedules'!$A$79:$AW$111,49,FALSE)="","",VLOOKUP(Sun_W1[[#This Row],[Employee Name]],'Base Schedules'!$A$79:$AW$111,49,FALSE)),"")</f>
        <v/>
      </c>
      <c r="AY31" s="159" t="str">
        <f t="shared" si="2"/>
        <v>Wonser, Shannon</v>
      </c>
    </row>
    <row r="32" spans="1:51" s="44" customFormat="1" thickBot="1" x14ac:dyDescent="0.25">
      <c r="A32" s="201"/>
      <c r="B32" s="201" t="s">
        <v>52</v>
      </c>
      <c r="C32" s="257" t="str">
        <f>_xlfn.IFNA(VLOOKUP(Sun_W1[[#This Row],[Employee Name]],'Base Schedules'!A:B,2,FALSE),"")</f>
        <v>Supervisor</v>
      </c>
      <c r="D32" s="274">
        <f>_xlfn.IFNA(VLOOKUP(Sun_W1[[#This Row],[Employee Name]],'Base Schedules'!A:C,3,FALSE),"")</f>
        <v>1600</v>
      </c>
      <c r="E32" s="274">
        <f>_xlfn.IFNA(VLOOKUP(Sun_W1[[#This Row],[Employee Name]],'Base Schedules'!A:D,4,FALSE),"")</f>
        <v>100</v>
      </c>
      <c r="F32" s="142">
        <f>IF(Sun_W1[[#This Row],[Employee Name]]="","",IF(Sun_W1[[#This Row],[Dept]]="Supervisor",COUNTIFS($J32:$AX32,"*HL*",$J32:$AX32,"&lt;&gt;"&amp;"pHL"),COUNTIFS($J32:$AX32,"*HL*",$J32:$AX32,"&lt;&gt;"&amp;"*pHL*",$J32:$AX32,"&lt;&gt;"&amp;"pB1 HL",$J32:$AX32,"&lt;&gt;"&amp;"pB2 HL")-SUM(COUNTIFS($J32:$AX32,"*HL B1*",$J32:$AX32,"&lt;&gt;"&amp;"pHL B1")*0.5,COUNTIFS($J32:$AX32,"*HL B2*",$J32:$AX32,"&lt;&gt;"&amp;"pHL B2")*0.5,COUNTIFS($J32:$AX32,"*B1 HL*",$J32:$AX32,"&lt;&gt;"&amp;"pB1 HL")*0.5,COUNTIFS($J32:$AX32,"*B2 HL*",$J32:$AX32,"&lt;&gt;"&amp;"pB2 HL")*0.5)))</f>
        <v>0</v>
      </c>
      <c r="G32" s="142">
        <f t="shared" si="0"/>
        <v>4</v>
      </c>
      <c r="H32" s="142">
        <f t="shared" si="1"/>
        <v>0</v>
      </c>
      <c r="I32" s="142">
        <f>IF(Sun_W1[[#This Row],[Employee Name]]="","",IF(Sun_W1[[#This Row],[Dept]]="Supervisor",SUM(COUNTIFS($J32:$AX32,"RTA*",$J32:$AX32,"&lt;&gt;"&amp;"pRTA"),COUNTIFS($J32:$AX32,"*CRTA*",$J32:$AX32,"&lt;&gt;"&amp;"pCRTA")),COUNTIFS($J32:$AX32,"*RNNR*",$J32:$AX32,"&lt;&gt;"&amp;"*pRNNR*",$J32:$AX32,"&lt;&gt;"&amp;"pB1 RNNR",$J32:$AX32,"&lt;&gt;"&amp;"pB2 RNNR")-SUM(COUNTIFS($J32:$AX32,"*RNNR B1*",$J32:$AX32,"&lt;&gt;"&amp;"pRNNR B1")*0.5,COUNTIFS($J32:$AX32,"*RNNR B2*",$J32:$AX32,"&lt;&gt;"&amp;"pRNNR B2")*0.5,COUNTIFS($J32:$AX32,"*B1 RNNR*",$J32:$AX32,"&lt;&gt;"&amp;"pB1 RNNR")*0.5,COUNTIFS($J32:$AX32,"*B2 RNNR*",$J32:$AX32,"&lt;&gt;"&amp;"pB2 RNNR")*0.5)))</f>
        <v>0</v>
      </c>
      <c r="J32" s="184" t="str">
        <f>IFERROR(IF(VLOOKUP(Sun_W1[[#This Row],[Employee Name]],'Base Schedules'!$A$79:$AW$111,9,FALSE)="","",VLOOKUP(Sun_W1[[#This Row],[Employee Name]],'Base Schedules'!$A$79:$AW$111,9,FALSE)),"")</f>
        <v/>
      </c>
      <c r="K32" s="184" t="str">
        <f>IFERROR(IF(VLOOKUP(Sun_W1[[#This Row],[Employee Name]],'Base Schedules'!$A$79:$AW$111,10,FALSE)="","",VLOOKUP(Sun_W1[[#This Row],[Employee Name]],'Base Schedules'!$A$79:$AW$111,10,FALSE)),"")</f>
        <v/>
      </c>
      <c r="L32" s="184" t="str">
        <f>IFERROR(IF(VLOOKUP(Sun_W1[[#This Row],[Employee Name]],'Base Schedules'!$A$79:$AW$111,11,FALSE)="","",VLOOKUP(Sun_W1[[#This Row],[Employee Name]],'Base Schedules'!$A$79:$AW$111,11,FALSE)),"")</f>
        <v/>
      </c>
      <c r="M32" s="184" t="str">
        <f>IFERROR(IF(VLOOKUP(Sun_W1[[#This Row],[Employee Name]],'Base Schedules'!$A$79:$AW$111,12,FALSE)="","",VLOOKUP(Sun_W1[[#This Row],[Employee Name]],'Base Schedules'!$A$79:$AW$111,12,FALSE)),"")</f>
        <v/>
      </c>
      <c r="N32" s="184" t="str">
        <f>IFERROR(IF(VLOOKUP(Sun_W1[[#This Row],[Employee Name]],'Base Schedules'!$A$79:$AW$111,13,FALSE)="","",VLOOKUP(Sun_W1[[#This Row],[Employee Name]],'Base Schedules'!$A$79:$AW$111,13,FALSE)),"")</f>
        <v/>
      </c>
      <c r="O32" s="184" t="str">
        <f>IFERROR(IF(VLOOKUP(Sun_W1[[#This Row],[Employee Name]],'Base Schedules'!$A$79:$AW$111,14,FALSE)="","",VLOOKUP(Sun_W1[[#This Row],[Employee Name]],'Base Schedules'!$A$79:$AW$111,14,FALSE)),"")</f>
        <v/>
      </c>
      <c r="P32" s="184" t="str">
        <f>IFERROR(IF(VLOOKUP(Sun_W1[[#This Row],[Employee Name]],'Base Schedules'!$A$79:$AW$111,15,FALSE)="","",VLOOKUP(Sun_W1[[#This Row],[Employee Name]],'Base Schedules'!$A$79:$AW$111,15,FALSE)),"")</f>
        <v/>
      </c>
      <c r="Q32" s="184" t="str">
        <f>IFERROR(IF(VLOOKUP(Sun_W1[[#This Row],[Employee Name]],'Base Schedules'!$A$79:$AW$111,16,FALSE)="","",VLOOKUP(Sun_W1[[#This Row],[Employee Name]],'Base Schedules'!$A$79:$AW$111,16,FALSE)),"")</f>
        <v/>
      </c>
      <c r="R32" s="184" t="str">
        <f>IFERROR(IF(VLOOKUP(Sun_W1[[#This Row],[Employee Name]],'Base Schedules'!$A$79:$AW$111,17,FALSE)="","",VLOOKUP(Sun_W1[[#This Row],[Employee Name]],'Base Schedules'!$A$79:$AW$111,17,FALSE)),"")</f>
        <v/>
      </c>
      <c r="S32" s="184" t="str">
        <f>IFERROR(IF(VLOOKUP(Sun_W1[[#This Row],[Employee Name]],'Base Schedules'!$A$79:$AW$111,18,FALSE)="","",VLOOKUP(Sun_W1[[#This Row],[Employee Name]],'Base Schedules'!$A$79:$AW$111,18,FALSE)),"")</f>
        <v/>
      </c>
      <c r="T32" s="184" t="str">
        <f>IFERROR(IF(VLOOKUP(Sun_W1[[#This Row],[Employee Name]],'Base Schedules'!$A$79:$AW$111,19,FALSE)="","",VLOOKUP(Sun_W1[[#This Row],[Employee Name]],'Base Schedules'!$A$79:$AW$111,19,FALSE)),"")</f>
        <v/>
      </c>
      <c r="U32" s="184" t="str">
        <f>IFERROR(IF(VLOOKUP(Sun_W1[[#This Row],[Employee Name]],'Base Schedules'!$A$79:$AW$111,20,FALSE)="","",VLOOKUP(Sun_W1[[#This Row],[Employee Name]],'Base Schedules'!$A$79:$AW$111,20,FALSE)),"")</f>
        <v/>
      </c>
      <c r="V32" s="184" t="str">
        <f>IFERROR(IF(VLOOKUP(Sun_W1[[#This Row],[Employee Name]],'Base Schedules'!$A$79:$AW$111,21,FALSE)="","",VLOOKUP(Sun_W1[[#This Row],[Employee Name]],'Base Schedules'!$A$79:$AW$111,21,FALSE)),"")</f>
        <v/>
      </c>
      <c r="W32" s="184" t="str">
        <f>IFERROR(IF(VLOOKUP(Sun_W1[[#This Row],[Employee Name]],'Base Schedules'!$A$79:$AW$111,22,FALSE)="","",VLOOKUP(Sun_W1[[#This Row],[Employee Name]],'Base Schedules'!$A$79:$AW$111,22,FALSE)),"")</f>
        <v/>
      </c>
      <c r="X32" s="184" t="str">
        <f>IFERROR(IF(VLOOKUP(Sun_W1[[#This Row],[Employee Name]],'Base Schedules'!$A$79:$AW$111,23,FALSE)="","",VLOOKUP(Sun_W1[[#This Row],[Employee Name]],'Base Schedules'!$A$79:$AW$111,23,FALSE)),"")</f>
        <v/>
      </c>
      <c r="Y32" s="184" t="str">
        <f>IFERROR(IF(VLOOKUP(Sun_W1[[#This Row],[Employee Name]],'Base Schedules'!$A$79:$AW$111,24,FALSE)="","",VLOOKUP(Sun_W1[[#This Row],[Employee Name]],'Base Schedules'!$A$79:$AW$111,24,FALSE)),"")</f>
        <v/>
      </c>
      <c r="Z32" s="184" t="str">
        <f>IFERROR(IF(VLOOKUP(Sun_W1[[#This Row],[Employee Name]],'Base Schedules'!$A$79:$AW$111,25,FALSE)="","",VLOOKUP(Sun_W1[[#This Row],[Employee Name]],'Base Schedules'!$A$79:$AW$111,25,FALSE)),"")</f>
        <v/>
      </c>
      <c r="AA32" s="184" t="str">
        <f>IFERROR(IF(VLOOKUP(Sun_W1[[#This Row],[Employee Name]],'Base Schedules'!$A$79:$AW$111,26,FALSE)="","",VLOOKUP(Sun_W1[[#This Row],[Employee Name]],'Base Schedules'!$A$79:$AW$111,26,FALSE)),"")</f>
        <v/>
      </c>
      <c r="AB32" s="184" t="str">
        <f>IFERROR(IF(VLOOKUP(Sun_W1[[#This Row],[Employee Name]],'Base Schedules'!$A$79:$AW$111,27,FALSE)="","",VLOOKUP(Sun_W1[[#This Row],[Employee Name]],'Base Schedules'!$A$79:$AW$111,27,FALSE)),"")</f>
        <v/>
      </c>
      <c r="AC32" s="184" t="str">
        <f>IFERROR(IF(VLOOKUP(Sun_W1[[#This Row],[Employee Name]],'Base Schedules'!$A$79:$AW$111,28,FALSE)="","",VLOOKUP(Sun_W1[[#This Row],[Employee Name]],'Base Schedules'!$A$79:$AW$111,28,FALSE)),"")</f>
        <v/>
      </c>
      <c r="AD32" s="184" t="str">
        <f>IFERROR(IF(VLOOKUP(Sun_W1[[#This Row],[Employee Name]],'Base Schedules'!$A$79:$AW$111,29,FALSE)="","",VLOOKUP(Sun_W1[[#This Row],[Employee Name]],'Base Schedules'!$A$79:$AW$111,29,FALSE)),"")</f>
        <v/>
      </c>
      <c r="AE32" s="184" t="str">
        <f>IFERROR(IF(VLOOKUP(Sun_W1[[#This Row],[Employee Name]],'Base Schedules'!$A$79:$AW$111,30,FALSE)="","",VLOOKUP(Sun_W1[[#This Row],[Employee Name]],'Base Schedules'!$A$79:$AW$111,30,FALSE)),"")</f>
        <v/>
      </c>
      <c r="AF32" s="184" t="str">
        <f>IFERROR(IF(VLOOKUP(Sun_W1[[#This Row],[Employee Name]],'Base Schedules'!$A$79:$AW$111,31,FALSE)="","",VLOOKUP(Sun_W1[[#This Row],[Employee Name]],'Base Schedules'!$A$79:$AW$111,31,FALSE)),"")</f>
        <v>-</v>
      </c>
      <c r="AG32" s="184" t="str">
        <f>IFERROR(IF(VLOOKUP(Sun_W1[[#This Row],[Employee Name]],'Base Schedules'!$A$79:$AW$111,32,FALSE)="","",VLOOKUP(Sun_W1[[#This Row],[Employee Name]],'Base Schedules'!$A$79:$AW$111,32,FALSE)),"")</f>
        <v>-</v>
      </c>
      <c r="AH32" s="184" t="str">
        <f>IFERROR(IF(VLOOKUP(Sun_W1[[#This Row],[Employee Name]],'Base Schedules'!$A$79:$AW$111,33,FALSE)="","",VLOOKUP(Sun_W1[[#This Row],[Employee Name]],'Base Schedules'!$A$79:$AW$111,33,FALSE)),"")</f>
        <v>-</v>
      </c>
      <c r="AI32" s="184" t="str">
        <f>IFERROR(IF(VLOOKUP(Sun_W1[[#This Row],[Employee Name]],'Base Schedules'!$A$79:$AW$111,34,FALSE)="","",VLOOKUP(Sun_W1[[#This Row],[Employee Name]],'Base Schedules'!$A$79:$AW$111,34,FALSE)),"")</f>
        <v>-</v>
      </c>
      <c r="AJ32" s="184" t="str">
        <f>IFERROR(IF(VLOOKUP(Sun_W1[[#This Row],[Employee Name]],'Base Schedules'!$A$79:$AW$111,35,FALSE)="","",VLOOKUP(Sun_W1[[#This Row],[Employee Name]],'Base Schedules'!$A$79:$AW$111,35,FALSE)),"")</f>
        <v>Coaching</v>
      </c>
      <c r="AK32" s="184" t="str">
        <f>IFERROR(IF(VLOOKUP(Sun_W1[[#This Row],[Employee Name]],'Base Schedules'!$A$79:$AW$111,36,FALSE)="","",VLOOKUP(Sun_W1[[#This Row],[Employee Name]],'Base Schedules'!$A$79:$AW$111,36,FALSE)),"")</f>
        <v>Coaching</v>
      </c>
      <c r="AL32" s="184" t="str">
        <f>IFERROR(IF(VLOOKUP(Sun_W1[[#This Row],[Employee Name]],'Base Schedules'!$A$79:$AW$111,37,FALSE)="","",VLOOKUP(Sun_W1[[#This Row],[Employee Name]],'Base Schedules'!$A$79:$AW$111,37,FALSE)),"")</f>
        <v>Coaching</v>
      </c>
      <c r="AM32" s="184" t="str">
        <f>IFERROR(IF(VLOOKUP(Sun_W1[[#This Row],[Employee Name]],'Base Schedules'!$A$79:$AW$111,38,FALSE)="","",VLOOKUP(Sun_W1[[#This Row],[Employee Name]],'Base Schedules'!$A$79:$AW$111,38,FALSE)),"")</f>
        <v>Coaching</v>
      </c>
      <c r="AN32" s="184" t="str">
        <f>IFERROR(IF(VLOOKUP(Sun_W1[[#This Row],[Employee Name]],'Base Schedules'!$A$79:$AW$111,39,FALSE)="","",VLOOKUP(Sun_W1[[#This Row],[Employee Name]],'Base Schedules'!$A$79:$AW$111,39,FALSE)),"")</f>
        <v>-</v>
      </c>
      <c r="AO32" s="184" t="str">
        <f>IFERROR(IF(VLOOKUP(Sun_W1[[#This Row],[Employee Name]],'Base Schedules'!$A$79:$AW$111,40,FALSE)="","",VLOOKUP(Sun_W1[[#This Row],[Employee Name]],'Base Schedules'!$A$79:$AW$111,40,FALSE)),"")</f>
        <v>-</v>
      </c>
      <c r="AP32" s="184" t="str">
        <f>IFERROR(IF(VLOOKUP(Sun_W1[[#This Row],[Employee Name]],'Base Schedules'!$A$79:$AW$111,41,FALSE)="","",VLOOKUP(Sun_W1[[#This Row],[Employee Name]],'Base Schedules'!$A$79:$AW$111,41,FALSE)),"")</f>
        <v>-</v>
      </c>
      <c r="AQ32" s="184" t="str">
        <f>IFERROR(IF(VLOOKUP(Sun_W1[[#This Row],[Employee Name]],'Base Schedules'!$A$79:$AW$111,42,FALSE)="","",VLOOKUP(Sun_W1[[#This Row],[Employee Name]],'Base Schedules'!$A$79:$AW$111,42,FALSE)),"")</f>
        <v>-</v>
      </c>
      <c r="AR32" s="184" t="str">
        <f>IFERROR(IF(VLOOKUP(Sun_W1[[#This Row],[Employee Name]],'Base Schedules'!$A$79:$AW$111,43,FALSE)="","",VLOOKUP(Sun_W1[[#This Row],[Employee Name]],'Base Schedules'!$A$79:$AW$111,43,FALSE)),"")</f>
        <v>-</v>
      </c>
      <c r="AS32" s="184" t="str">
        <f>IFERROR(IF(VLOOKUP(Sun_W1[[#This Row],[Employee Name]],'Base Schedules'!$A$79:$AW$111,44,FALSE)="","",VLOOKUP(Sun_W1[[#This Row],[Employee Name]],'Base Schedules'!$A$79:$AW$111,44,FALSE)),"")</f>
        <v>-</v>
      </c>
      <c r="AT32" s="184" t="str">
        <f>IFERROR(IF(VLOOKUP(Sun_W1[[#This Row],[Employee Name]],'Base Schedules'!$A$79:$AW$111,45,FALSE)="","",VLOOKUP(Sun_W1[[#This Row],[Employee Name]],'Base Schedules'!$A$79:$AW$111,45,FALSE)),"")</f>
        <v>-</v>
      </c>
      <c r="AU32" s="184" t="str">
        <f>IFERROR(IF(VLOOKUP(Sun_W1[[#This Row],[Employee Name]],'Base Schedules'!$A$79:$AW$111,46,FALSE)="","",VLOOKUP(Sun_W1[[#This Row],[Employee Name]],'Base Schedules'!$A$79:$AW$111,46,FALSE)),"")</f>
        <v>-</v>
      </c>
      <c r="AV32" s="184" t="str">
        <f>IFERROR(IF(VLOOKUP(Sun_W1[[#This Row],[Employee Name]],'Base Schedules'!$A$79:$AW$111,47,FALSE)="","",VLOOKUP(Sun_W1[[#This Row],[Employee Name]],'Base Schedules'!$A$79:$AW$111,47,FALSE)),"")</f>
        <v>-</v>
      </c>
      <c r="AW32" s="184" t="str">
        <f>IFERROR(IF(VLOOKUP(Sun_W1[[#This Row],[Employee Name]],'Base Schedules'!$A$79:$AW$111,48,FALSE)="","",VLOOKUP(Sun_W1[[#This Row],[Employee Name]],'Base Schedules'!$A$79:$AW$111,48,FALSE)),"")</f>
        <v>-</v>
      </c>
      <c r="AX32" s="184" t="str">
        <f>IFERROR(IF(VLOOKUP(Sun_W1[[#This Row],[Employee Name]],'Base Schedules'!$A$79:$AW$111,49,FALSE)="","",VLOOKUP(Sun_W1[[#This Row],[Employee Name]],'Base Schedules'!$A$79:$AW$111,49,FALSE)),"")</f>
        <v/>
      </c>
      <c r="AY32" s="159" t="str">
        <f t="shared" si="2"/>
        <v>Zornick, David</v>
      </c>
    </row>
    <row r="33" spans="1:51" s="44" customFormat="1" hidden="1" thickBot="1" x14ac:dyDescent="0.25">
      <c r="A33" s="201"/>
      <c r="B33" s="201"/>
      <c r="C33" s="257" t="str">
        <f>_xlfn.IFNA(VLOOKUP(Sun_W1[[#This Row],[Employee Name]],'Base Schedules'!A:B,2,FALSE),"")</f>
        <v/>
      </c>
      <c r="D33" s="274" t="str">
        <f>_xlfn.IFNA(VLOOKUP(Sun_W1[[#This Row],[Employee Name]],'Base Schedules'!A:C,3,FALSE),"")</f>
        <v/>
      </c>
      <c r="E33" s="274" t="str">
        <f>_xlfn.IFNA(VLOOKUP(Sun_W1[[#This Row],[Employee Name]],'Base Schedules'!A:D,4,FALSE),"")</f>
        <v/>
      </c>
      <c r="F33" s="142" t="str">
        <f>IF(Sun_W1[[#This Row],[Employee Name]]="","",IF(Sun_W1[[#This Row],[Dept]]="Supervisor",COUNTIFS($J33:$AX33,"*HL*",$J33:$AX33,"&lt;&gt;"&amp;"pHL"),COUNTIFS($J33:$AX33,"*HL*",$J33:$AX33,"&lt;&gt;"&amp;"*pHL*",$J33:$AX33,"&lt;&gt;"&amp;"pB1 HL",$J33:$AX33,"&lt;&gt;"&amp;"pB2 HL")-SUM(COUNTIFS($J33:$AX33,"*HL B1*",$J33:$AX33,"&lt;&gt;"&amp;"pHL B1")*0.5,COUNTIFS($J33:$AX33,"*HL B2*",$J33:$AX33,"&lt;&gt;"&amp;"pHL B2")*0.5,COUNTIFS($J33:$AX33,"*B1 HL*",$J33:$AX33,"&lt;&gt;"&amp;"pB1 HL")*0.5,COUNTIFS($J33:$AX33,"*B2 HL*",$J33:$AX33,"&lt;&gt;"&amp;"pB2 HL")*0.5)))</f>
        <v/>
      </c>
      <c r="G33" s="142" t="str">
        <f t="shared" si="0"/>
        <v/>
      </c>
      <c r="H33" s="142" t="str">
        <f t="shared" si="1"/>
        <v/>
      </c>
      <c r="I33" s="142" t="str">
        <f>IF(Sun_W1[[#This Row],[Employee Name]]="","",IF(Sun_W1[[#This Row],[Dept]]="Supervisor",SUM(COUNTIFS($J33:$AX33,"RTA*",$J33:$AX33,"&lt;&gt;"&amp;"pRTA"),COUNTIFS($J33:$AX33,"*CRTA*",$J33:$AX33,"&lt;&gt;"&amp;"pCRTA")),COUNTIFS($J33:$AX33,"*RNNR*",$J33:$AX33,"&lt;&gt;"&amp;"*pRNNR*",$J33:$AX33,"&lt;&gt;"&amp;"pB1 RNNR",$J33:$AX33,"&lt;&gt;"&amp;"pB2 RNNR")-SUM(COUNTIFS($J33:$AX33,"*RNNR B1*",$J33:$AX33,"&lt;&gt;"&amp;"pRNNR B1")*0.5,COUNTIFS($J33:$AX33,"*RNNR B2*",$J33:$AX33,"&lt;&gt;"&amp;"pRNNR B2")*0.5,COUNTIFS($J33:$AX33,"*B1 RNNR*",$J33:$AX33,"&lt;&gt;"&amp;"pB1 RNNR")*0.5,COUNTIFS($J33:$AX33,"*B2 RNNR*",$J33:$AX33,"&lt;&gt;"&amp;"pB2 RNNR")*0.5)))</f>
        <v/>
      </c>
      <c r="J33" s="184" t="str">
        <f>IFERROR(IF(VLOOKUP(Sun_W1[[#This Row],[Employee Name]],'Base Schedules'!$A$79:$AW$111,9,FALSE)="","",VLOOKUP(Sun_W1[[#This Row],[Employee Name]],'Base Schedules'!$A$79:$AW$111,9,FALSE)),"")</f>
        <v/>
      </c>
      <c r="K33" s="184" t="str">
        <f>IFERROR(IF(VLOOKUP(Sun_W1[[#This Row],[Employee Name]],'Base Schedules'!$A$79:$AW$111,10,FALSE)="","",VLOOKUP(Sun_W1[[#This Row],[Employee Name]],'Base Schedules'!$A$79:$AW$111,10,FALSE)),"")</f>
        <v/>
      </c>
      <c r="L33" s="184" t="str">
        <f>IFERROR(IF(VLOOKUP(Sun_W1[[#This Row],[Employee Name]],'Base Schedules'!$A$79:$AW$111,11,FALSE)="","",VLOOKUP(Sun_W1[[#This Row],[Employee Name]],'Base Schedules'!$A$79:$AW$111,11,FALSE)),"")</f>
        <v/>
      </c>
      <c r="M33" s="184" t="str">
        <f>IFERROR(IF(VLOOKUP(Sun_W1[[#This Row],[Employee Name]],'Base Schedules'!$A$79:$AW$111,12,FALSE)="","",VLOOKUP(Sun_W1[[#This Row],[Employee Name]],'Base Schedules'!$A$79:$AW$111,12,FALSE)),"")</f>
        <v/>
      </c>
      <c r="N33" s="184" t="str">
        <f>IFERROR(IF(VLOOKUP(Sun_W1[[#This Row],[Employee Name]],'Base Schedules'!$A$79:$AW$111,13,FALSE)="","",VLOOKUP(Sun_W1[[#This Row],[Employee Name]],'Base Schedules'!$A$79:$AW$111,13,FALSE)),"")</f>
        <v/>
      </c>
      <c r="O33" s="184" t="str">
        <f>IFERROR(IF(VLOOKUP(Sun_W1[[#This Row],[Employee Name]],'Base Schedules'!$A$79:$AW$111,14,FALSE)="","",VLOOKUP(Sun_W1[[#This Row],[Employee Name]],'Base Schedules'!$A$79:$AW$111,14,FALSE)),"")</f>
        <v/>
      </c>
      <c r="P33" s="184" t="str">
        <f>IFERROR(IF(VLOOKUP(Sun_W1[[#This Row],[Employee Name]],'Base Schedules'!$A$79:$AW$111,15,FALSE)="","",VLOOKUP(Sun_W1[[#This Row],[Employee Name]],'Base Schedules'!$A$79:$AW$111,15,FALSE)),"")</f>
        <v/>
      </c>
      <c r="Q33" s="184" t="str">
        <f>IFERROR(IF(VLOOKUP(Sun_W1[[#This Row],[Employee Name]],'Base Schedules'!$A$79:$AW$111,16,FALSE)="","",VLOOKUP(Sun_W1[[#This Row],[Employee Name]],'Base Schedules'!$A$79:$AW$111,16,FALSE)),"")</f>
        <v/>
      </c>
      <c r="R33" s="184" t="str">
        <f>IFERROR(IF(VLOOKUP(Sun_W1[[#This Row],[Employee Name]],'Base Schedules'!$A$79:$AW$111,17,FALSE)="","",VLOOKUP(Sun_W1[[#This Row],[Employee Name]],'Base Schedules'!$A$79:$AW$111,17,FALSE)),"")</f>
        <v/>
      </c>
      <c r="S33" s="184" t="str">
        <f>IFERROR(IF(VLOOKUP(Sun_W1[[#This Row],[Employee Name]],'Base Schedules'!$A$79:$AW$111,18,FALSE)="","",VLOOKUP(Sun_W1[[#This Row],[Employee Name]],'Base Schedules'!$A$79:$AW$111,18,FALSE)),"")</f>
        <v/>
      </c>
      <c r="T33" s="184" t="str">
        <f>IFERROR(IF(VLOOKUP(Sun_W1[[#This Row],[Employee Name]],'Base Schedules'!$A$79:$AW$111,19,FALSE)="","",VLOOKUP(Sun_W1[[#This Row],[Employee Name]],'Base Schedules'!$A$79:$AW$111,19,FALSE)),"")</f>
        <v/>
      </c>
      <c r="U33" s="184" t="str">
        <f>IFERROR(IF(VLOOKUP(Sun_W1[[#This Row],[Employee Name]],'Base Schedules'!$A$79:$AW$111,20,FALSE)="","",VLOOKUP(Sun_W1[[#This Row],[Employee Name]],'Base Schedules'!$A$79:$AW$111,20,FALSE)),"")</f>
        <v/>
      </c>
      <c r="V33" s="184" t="str">
        <f>IFERROR(IF(VLOOKUP(Sun_W1[[#This Row],[Employee Name]],'Base Schedules'!$A$79:$AW$111,21,FALSE)="","",VLOOKUP(Sun_W1[[#This Row],[Employee Name]],'Base Schedules'!$A$79:$AW$111,21,FALSE)),"")</f>
        <v/>
      </c>
      <c r="W33" s="184" t="str">
        <f>IFERROR(IF(VLOOKUP(Sun_W1[[#This Row],[Employee Name]],'Base Schedules'!$A$79:$AW$111,22,FALSE)="","",VLOOKUP(Sun_W1[[#This Row],[Employee Name]],'Base Schedules'!$A$79:$AW$111,22,FALSE)),"")</f>
        <v/>
      </c>
      <c r="X33" s="184" t="str">
        <f>IFERROR(IF(VLOOKUP(Sun_W1[[#This Row],[Employee Name]],'Base Schedules'!$A$79:$AW$111,23,FALSE)="","",VLOOKUP(Sun_W1[[#This Row],[Employee Name]],'Base Schedules'!$A$79:$AW$111,23,FALSE)),"")</f>
        <v/>
      </c>
      <c r="Y33" s="184" t="str">
        <f>IFERROR(IF(VLOOKUP(Sun_W1[[#This Row],[Employee Name]],'Base Schedules'!$A$79:$AW$111,24,FALSE)="","",VLOOKUP(Sun_W1[[#This Row],[Employee Name]],'Base Schedules'!$A$79:$AW$111,24,FALSE)),"")</f>
        <v/>
      </c>
      <c r="Z33" s="184" t="str">
        <f>IFERROR(IF(VLOOKUP(Sun_W1[[#This Row],[Employee Name]],'Base Schedules'!$A$79:$AW$111,25,FALSE)="","",VLOOKUP(Sun_W1[[#This Row],[Employee Name]],'Base Schedules'!$A$79:$AW$111,25,FALSE)),"")</f>
        <v/>
      </c>
      <c r="AA33" s="184" t="str">
        <f>IFERROR(IF(VLOOKUP(Sun_W1[[#This Row],[Employee Name]],'Base Schedules'!$A$79:$AW$111,26,FALSE)="","",VLOOKUP(Sun_W1[[#This Row],[Employee Name]],'Base Schedules'!$A$79:$AW$111,26,FALSE)),"")</f>
        <v/>
      </c>
      <c r="AB33" s="184" t="str">
        <f>IFERROR(IF(VLOOKUP(Sun_W1[[#This Row],[Employee Name]],'Base Schedules'!$A$79:$AW$111,27,FALSE)="","",VLOOKUP(Sun_W1[[#This Row],[Employee Name]],'Base Schedules'!$A$79:$AW$111,27,FALSE)),"")</f>
        <v/>
      </c>
      <c r="AC33" s="184" t="str">
        <f>IFERROR(IF(VLOOKUP(Sun_W1[[#This Row],[Employee Name]],'Base Schedules'!$A$79:$AW$111,28,FALSE)="","",VLOOKUP(Sun_W1[[#This Row],[Employee Name]],'Base Schedules'!$A$79:$AW$111,28,FALSE)),"")</f>
        <v/>
      </c>
      <c r="AD33" s="184" t="str">
        <f>IFERROR(IF(VLOOKUP(Sun_W1[[#This Row],[Employee Name]],'Base Schedules'!$A$79:$AW$111,29,FALSE)="","",VLOOKUP(Sun_W1[[#This Row],[Employee Name]],'Base Schedules'!$A$79:$AW$111,29,FALSE)),"")</f>
        <v/>
      </c>
      <c r="AE33" s="184" t="str">
        <f>IFERROR(IF(VLOOKUP(Sun_W1[[#This Row],[Employee Name]],'Base Schedules'!$A$79:$AW$111,30,FALSE)="","",VLOOKUP(Sun_W1[[#This Row],[Employee Name]],'Base Schedules'!$A$79:$AW$111,30,FALSE)),"")</f>
        <v/>
      </c>
      <c r="AF33" s="184" t="str">
        <f>IFERROR(IF(VLOOKUP(Sun_W1[[#This Row],[Employee Name]],'Base Schedules'!$A$79:$AW$111,31,FALSE)="","",VLOOKUP(Sun_W1[[#This Row],[Employee Name]],'Base Schedules'!$A$79:$AW$111,31,FALSE)),"")</f>
        <v/>
      </c>
      <c r="AG33" s="184" t="str">
        <f>IFERROR(IF(VLOOKUP(Sun_W1[[#This Row],[Employee Name]],'Base Schedules'!$A$79:$AW$111,32,FALSE)="","",VLOOKUP(Sun_W1[[#This Row],[Employee Name]],'Base Schedules'!$A$79:$AW$111,32,FALSE)),"")</f>
        <v/>
      </c>
      <c r="AH33" s="184" t="str">
        <f>IFERROR(IF(VLOOKUP(Sun_W1[[#This Row],[Employee Name]],'Base Schedules'!$A$79:$AW$111,33,FALSE)="","",VLOOKUP(Sun_W1[[#This Row],[Employee Name]],'Base Schedules'!$A$79:$AW$111,33,FALSE)),"")</f>
        <v/>
      </c>
      <c r="AI33" s="184" t="str">
        <f>IFERROR(IF(VLOOKUP(Sun_W1[[#This Row],[Employee Name]],'Base Schedules'!$A$79:$AW$111,34,FALSE)="","",VLOOKUP(Sun_W1[[#This Row],[Employee Name]],'Base Schedules'!$A$79:$AW$111,34,FALSE)),"")</f>
        <v/>
      </c>
      <c r="AJ33" s="184" t="str">
        <f>IFERROR(IF(VLOOKUP(Sun_W1[[#This Row],[Employee Name]],'Base Schedules'!$A$79:$AW$111,35,FALSE)="","",VLOOKUP(Sun_W1[[#This Row],[Employee Name]],'Base Schedules'!$A$79:$AW$111,35,FALSE)),"")</f>
        <v/>
      </c>
      <c r="AK33" s="184" t="str">
        <f>IFERROR(IF(VLOOKUP(Sun_W1[[#This Row],[Employee Name]],'Base Schedules'!$A$79:$AW$111,36,FALSE)="","",VLOOKUP(Sun_W1[[#This Row],[Employee Name]],'Base Schedules'!$A$79:$AW$111,36,FALSE)),"")</f>
        <v/>
      </c>
      <c r="AL33" s="184" t="str">
        <f>IFERROR(IF(VLOOKUP(Sun_W1[[#This Row],[Employee Name]],'Base Schedules'!$A$79:$AW$111,37,FALSE)="","",VLOOKUP(Sun_W1[[#This Row],[Employee Name]],'Base Schedules'!$A$79:$AW$111,37,FALSE)),"")</f>
        <v/>
      </c>
      <c r="AM33" s="184" t="str">
        <f>IFERROR(IF(VLOOKUP(Sun_W1[[#This Row],[Employee Name]],'Base Schedules'!$A$79:$AW$111,38,FALSE)="","",VLOOKUP(Sun_W1[[#This Row],[Employee Name]],'Base Schedules'!$A$79:$AW$111,38,FALSE)),"")</f>
        <v/>
      </c>
      <c r="AN33" s="184" t="str">
        <f>IFERROR(IF(VLOOKUP(Sun_W1[[#This Row],[Employee Name]],'Base Schedules'!$A$79:$AW$111,39,FALSE)="","",VLOOKUP(Sun_W1[[#This Row],[Employee Name]],'Base Schedules'!$A$79:$AW$111,39,FALSE)),"")</f>
        <v/>
      </c>
      <c r="AO33" s="184" t="str">
        <f>IFERROR(IF(VLOOKUP(Sun_W1[[#This Row],[Employee Name]],'Base Schedules'!$A$79:$AW$111,40,FALSE)="","",VLOOKUP(Sun_W1[[#This Row],[Employee Name]],'Base Schedules'!$A$79:$AW$111,40,FALSE)),"")</f>
        <v/>
      </c>
      <c r="AP33" s="184" t="str">
        <f>IFERROR(IF(VLOOKUP(Sun_W1[[#This Row],[Employee Name]],'Base Schedules'!$A$79:$AW$111,41,FALSE)="","",VLOOKUP(Sun_W1[[#This Row],[Employee Name]],'Base Schedules'!$A$79:$AW$111,41,FALSE)),"")</f>
        <v/>
      </c>
      <c r="AQ33" s="184" t="str">
        <f>IFERROR(IF(VLOOKUP(Sun_W1[[#This Row],[Employee Name]],'Base Schedules'!$A$79:$AW$111,42,FALSE)="","",VLOOKUP(Sun_W1[[#This Row],[Employee Name]],'Base Schedules'!$A$79:$AW$111,42,FALSE)),"")</f>
        <v/>
      </c>
      <c r="AR33" s="184" t="str">
        <f>IFERROR(IF(VLOOKUP(Sun_W1[[#This Row],[Employee Name]],'Base Schedules'!$A$79:$AW$111,43,FALSE)="","",VLOOKUP(Sun_W1[[#This Row],[Employee Name]],'Base Schedules'!$A$79:$AW$111,43,FALSE)),"")</f>
        <v/>
      </c>
      <c r="AS33" s="184" t="str">
        <f>IFERROR(IF(VLOOKUP(Sun_W1[[#This Row],[Employee Name]],'Base Schedules'!$A$79:$AW$111,44,FALSE)="","",VLOOKUP(Sun_W1[[#This Row],[Employee Name]],'Base Schedules'!$A$79:$AW$111,44,FALSE)),"")</f>
        <v/>
      </c>
      <c r="AT33" s="184" t="str">
        <f>IFERROR(IF(VLOOKUP(Sun_W1[[#This Row],[Employee Name]],'Base Schedules'!$A$79:$AW$111,45,FALSE)="","",VLOOKUP(Sun_W1[[#This Row],[Employee Name]],'Base Schedules'!$A$79:$AW$111,45,FALSE)),"")</f>
        <v/>
      </c>
      <c r="AU33" s="184" t="str">
        <f>IFERROR(IF(VLOOKUP(Sun_W1[[#This Row],[Employee Name]],'Base Schedules'!$A$79:$AW$111,46,FALSE)="","",VLOOKUP(Sun_W1[[#This Row],[Employee Name]],'Base Schedules'!$A$79:$AW$111,46,FALSE)),"")</f>
        <v/>
      </c>
      <c r="AV33" s="184" t="str">
        <f>IFERROR(IF(VLOOKUP(Sun_W1[[#This Row],[Employee Name]],'Base Schedules'!$A$79:$AW$111,47,FALSE)="","",VLOOKUP(Sun_W1[[#This Row],[Employee Name]],'Base Schedules'!$A$79:$AW$111,47,FALSE)),"")</f>
        <v/>
      </c>
      <c r="AW33" s="184" t="str">
        <f>IFERROR(IF(VLOOKUP(Sun_W1[[#This Row],[Employee Name]],'Base Schedules'!$A$79:$AW$111,48,FALSE)="","",VLOOKUP(Sun_W1[[#This Row],[Employee Name]],'Base Schedules'!$A$79:$AW$111,48,FALSE)),"")</f>
        <v/>
      </c>
      <c r="AX33" s="184" t="str">
        <f>IFERROR(IF(VLOOKUP(Sun_W1[[#This Row],[Employee Name]],'Base Schedules'!$A$79:$AW$111,49,FALSE)="","",VLOOKUP(Sun_W1[[#This Row],[Employee Name]],'Base Schedules'!$A$79:$AW$111,49,FALSE)),"")</f>
        <v/>
      </c>
      <c r="AY33" s="159" t="str">
        <f t="shared" si="2"/>
        <v/>
      </c>
    </row>
    <row r="34" spans="1:51" s="44" customFormat="1" hidden="1" thickBot="1" x14ac:dyDescent="0.25">
      <c r="A34" s="201"/>
      <c r="B34" s="202"/>
      <c r="C34" s="257" t="str">
        <f>_xlfn.IFNA(VLOOKUP(Sun_W1[[#This Row],[Employee Name]],'Base Schedules'!A:B,2,FALSE),"")</f>
        <v/>
      </c>
      <c r="D34" s="274" t="str">
        <f>_xlfn.IFNA(VLOOKUP(Sun_W1[[#This Row],[Employee Name]],'Base Schedules'!A:C,3,FALSE),"")</f>
        <v/>
      </c>
      <c r="E34" s="274" t="str">
        <f>_xlfn.IFNA(VLOOKUP(Sun_W1[[#This Row],[Employee Name]],'Base Schedules'!A:D,4,FALSE),"")</f>
        <v/>
      </c>
      <c r="F34" s="142" t="str">
        <f>IF(Sun_W1[[#This Row],[Employee Name]]="","",IF(Sun_W1[[#This Row],[Dept]]="Supervisor",COUNTIFS($J34:$AX34,"*HL*",$J34:$AX34,"&lt;&gt;"&amp;"pHL"),COUNTIFS($J34:$AX34,"*HL*",$J34:$AX34,"&lt;&gt;"&amp;"*pHL*",$J34:$AX34,"&lt;&gt;"&amp;"pB1 HL",$J34:$AX34,"&lt;&gt;"&amp;"pB2 HL")-SUM(COUNTIFS($J34:$AX34,"*HL B1*",$J34:$AX34,"&lt;&gt;"&amp;"pHL B1")*0.5,COUNTIFS($J34:$AX34,"*HL B2*",$J34:$AX34,"&lt;&gt;"&amp;"pHL B2")*0.5,COUNTIFS($J34:$AX34,"*B1 HL*",$J34:$AX34,"&lt;&gt;"&amp;"pB1 HL")*0.5,COUNTIFS($J34:$AX34,"*B2 HL*",$J34:$AX34,"&lt;&gt;"&amp;"pB2 HL")*0.5)))</f>
        <v/>
      </c>
      <c r="G34" s="142" t="str">
        <f t="shared" si="0"/>
        <v/>
      </c>
      <c r="H34" s="142" t="str">
        <f t="shared" si="1"/>
        <v/>
      </c>
      <c r="I34" s="142" t="str">
        <f>IF(Sun_W1[[#This Row],[Employee Name]]="","",IF(Sun_W1[[#This Row],[Dept]]="Supervisor",SUM(COUNTIFS($J34:$AX34,"RTA*",$J34:$AX34,"&lt;&gt;"&amp;"pRTA"),COUNTIFS($J34:$AX34,"*CRTA*",$J34:$AX34,"&lt;&gt;"&amp;"pCRTA")),COUNTIFS($J34:$AX34,"*RNNR*",$J34:$AX34,"&lt;&gt;"&amp;"*pRNNR*",$J34:$AX34,"&lt;&gt;"&amp;"pB1 RNNR",$J34:$AX34,"&lt;&gt;"&amp;"pB2 RNNR")-SUM(COUNTIFS($J34:$AX34,"*RNNR B1*",$J34:$AX34,"&lt;&gt;"&amp;"pRNNR B1")*0.5,COUNTIFS($J34:$AX34,"*RNNR B2*",$J34:$AX34,"&lt;&gt;"&amp;"pRNNR B2")*0.5,COUNTIFS($J34:$AX34,"*B1 RNNR*",$J34:$AX34,"&lt;&gt;"&amp;"pB1 RNNR")*0.5,COUNTIFS($J34:$AX34,"*B2 RNNR*",$J34:$AX34,"&lt;&gt;"&amp;"pB2 RNNR")*0.5)))</f>
        <v/>
      </c>
      <c r="J34" s="184" t="str">
        <f>IFERROR(IF(VLOOKUP(Sun_W1[[#This Row],[Employee Name]],'Base Schedules'!$A$79:$AW$111,9,FALSE)="","",VLOOKUP(Sun_W1[[#This Row],[Employee Name]],'Base Schedules'!$A$79:$AW$111,9,FALSE)),"")</f>
        <v/>
      </c>
      <c r="K34" s="184" t="str">
        <f>IFERROR(IF(VLOOKUP(Sun_W1[[#This Row],[Employee Name]],'Base Schedules'!$A$79:$AW$111,10,FALSE)="","",VLOOKUP(Sun_W1[[#This Row],[Employee Name]],'Base Schedules'!$A$79:$AW$111,10,FALSE)),"")</f>
        <v/>
      </c>
      <c r="L34" s="184" t="str">
        <f>IFERROR(IF(VLOOKUP(Sun_W1[[#This Row],[Employee Name]],'Base Schedules'!$A$79:$AW$111,11,FALSE)="","",VLOOKUP(Sun_W1[[#This Row],[Employee Name]],'Base Schedules'!$A$79:$AW$111,11,FALSE)),"")</f>
        <v/>
      </c>
      <c r="M34" s="184" t="str">
        <f>IFERROR(IF(VLOOKUP(Sun_W1[[#This Row],[Employee Name]],'Base Schedules'!$A$79:$AW$111,12,FALSE)="","",VLOOKUP(Sun_W1[[#This Row],[Employee Name]],'Base Schedules'!$A$79:$AW$111,12,FALSE)),"")</f>
        <v/>
      </c>
      <c r="N34" s="184" t="str">
        <f>IFERROR(IF(VLOOKUP(Sun_W1[[#This Row],[Employee Name]],'Base Schedules'!$A$79:$AW$111,13,FALSE)="","",VLOOKUP(Sun_W1[[#This Row],[Employee Name]],'Base Schedules'!$A$79:$AW$111,13,FALSE)),"")</f>
        <v/>
      </c>
      <c r="O34" s="184" t="str">
        <f>IFERROR(IF(VLOOKUP(Sun_W1[[#This Row],[Employee Name]],'Base Schedules'!$A$79:$AW$111,14,FALSE)="","",VLOOKUP(Sun_W1[[#This Row],[Employee Name]],'Base Schedules'!$A$79:$AW$111,14,FALSE)),"")</f>
        <v/>
      </c>
      <c r="P34" s="184" t="str">
        <f>IFERROR(IF(VLOOKUP(Sun_W1[[#This Row],[Employee Name]],'Base Schedules'!$A$79:$AW$111,15,FALSE)="","",VLOOKUP(Sun_W1[[#This Row],[Employee Name]],'Base Schedules'!$A$79:$AW$111,15,FALSE)),"")</f>
        <v/>
      </c>
      <c r="Q34" s="184" t="str">
        <f>IFERROR(IF(VLOOKUP(Sun_W1[[#This Row],[Employee Name]],'Base Schedules'!$A$79:$AW$111,16,FALSE)="","",VLOOKUP(Sun_W1[[#This Row],[Employee Name]],'Base Schedules'!$A$79:$AW$111,16,FALSE)),"")</f>
        <v/>
      </c>
      <c r="R34" s="184" t="str">
        <f>IFERROR(IF(VLOOKUP(Sun_W1[[#This Row],[Employee Name]],'Base Schedules'!$A$79:$AW$111,17,FALSE)="","",VLOOKUP(Sun_W1[[#This Row],[Employee Name]],'Base Schedules'!$A$79:$AW$111,17,FALSE)),"")</f>
        <v/>
      </c>
      <c r="S34" s="184" t="str">
        <f>IFERROR(IF(VLOOKUP(Sun_W1[[#This Row],[Employee Name]],'Base Schedules'!$A$79:$AW$111,18,FALSE)="","",VLOOKUP(Sun_W1[[#This Row],[Employee Name]],'Base Schedules'!$A$79:$AW$111,18,FALSE)),"")</f>
        <v/>
      </c>
      <c r="T34" s="184" t="str">
        <f>IFERROR(IF(VLOOKUP(Sun_W1[[#This Row],[Employee Name]],'Base Schedules'!$A$79:$AW$111,19,FALSE)="","",VLOOKUP(Sun_W1[[#This Row],[Employee Name]],'Base Schedules'!$A$79:$AW$111,19,FALSE)),"")</f>
        <v/>
      </c>
      <c r="U34" s="184" t="str">
        <f>IFERROR(IF(VLOOKUP(Sun_W1[[#This Row],[Employee Name]],'Base Schedules'!$A$79:$AW$111,20,FALSE)="","",VLOOKUP(Sun_W1[[#This Row],[Employee Name]],'Base Schedules'!$A$79:$AW$111,20,FALSE)),"")</f>
        <v/>
      </c>
      <c r="V34" s="184" t="str">
        <f>IFERROR(IF(VLOOKUP(Sun_W1[[#This Row],[Employee Name]],'Base Schedules'!$A$79:$AW$111,21,FALSE)="","",VLOOKUP(Sun_W1[[#This Row],[Employee Name]],'Base Schedules'!$A$79:$AW$111,21,FALSE)),"")</f>
        <v/>
      </c>
      <c r="W34" s="184" t="str">
        <f>IFERROR(IF(VLOOKUP(Sun_W1[[#This Row],[Employee Name]],'Base Schedules'!$A$79:$AW$111,22,FALSE)="","",VLOOKUP(Sun_W1[[#This Row],[Employee Name]],'Base Schedules'!$A$79:$AW$111,22,FALSE)),"")</f>
        <v/>
      </c>
      <c r="X34" s="184" t="str">
        <f>IFERROR(IF(VLOOKUP(Sun_W1[[#This Row],[Employee Name]],'Base Schedules'!$A$79:$AW$111,23,FALSE)="","",VLOOKUP(Sun_W1[[#This Row],[Employee Name]],'Base Schedules'!$A$79:$AW$111,23,FALSE)),"")</f>
        <v/>
      </c>
      <c r="Y34" s="184" t="str">
        <f>IFERROR(IF(VLOOKUP(Sun_W1[[#This Row],[Employee Name]],'Base Schedules'!$A$79:$AW$111,24,FALSE)="","",VLOOKUP(Sun_W1[[#This Row],[Employee Name]],'Base Schedules'!$A$79:$AW$111,24,FALSE)),"")</f>
        <v/>
      </c>
      <c r="Z34" s="184" t="str">
        <f>IFERROR(IF(VLOOKUP(Sun_W1[[#This Row],[Employee Name]],'Base Schedules'!$A$79:$AW$111,25,FALSE)="","",VLOOKUP(Sun_W1[[#This Row],[Employee Name]],'Base Schedules'!$A$79:$AW$111,25,FALSE)),"")</f>
        <v/>
      </c>
      <c r="AA34" s="184" t="str">
        <f>IFERROR(IF(VLOOKUP(Sun_W1[[#This Row],[Employee Name]],'Base Schedules'!$A$79:$AW$111,26,FALSE)="","",VLOOKUP(Sun_W1[[#This Row],[Employee Name]],'Base Schedules'!$A$79:$AW$111,26,FALSE)),"")</f>
        <v/>
      </c>
      <c r="AB34" s="184" t="str">
        <f>IFERROR(IF(VLOOKUP(Sun_W1[[#This Row],[Employee Name]],'Base Schedules'!$A$79:$AW$111,27,FALSE)="","",VLOOKUP(Sun_W1[[#This Row],[Employee Name]],'Base Schedules'!$A$79:$AW$111,27,FALSE)),"")</f>
        <v/>
      </c>
      <c r="AC34" s="184" t="str">
        <f>IFERROR(IF(VLOOKUP(Sun_W1[[#This Row],[Employee Name]],'Base Schedules'!$A$79:$AW$111,28,FALSE)="","",VLOOKUP(Sun_W1[[#This Row],[Employee Name]],'Base Schedules'!$A$79:$AW$111,28,FALSE)),"")</f>
        <v/>
      </c>
      <c r="AD34" s="184" t="str">
        <f>IFERROR(IF(VLOOKUP(Sun_W1[[#This Row],[Employee Name]],'Base Schedules'!$A$79:$AW$111,29,FALSE)="","",VLOOKUP(Sun_W1[[#This Row],[Employee Name]],'Base Schedules'!$A$79:$AW$111,29,FALSE)),"")</f>
        <v/>
      </c>
      <c r="AE34" s="184" t="str">
        <f>IFERROR(IF(VLOOKUP(Sun_W1[[#This Row],[Employee Name]],'Base Schedules'!$A$79:$AW$111,30,FALSE)="","",VLOOKUP(Sun_W1[[#This Row],[Employee Name]],'Base Schedules'!$A$79:$AW$111,30,FALSE)),"")</f>
        <v/>
      </c>
      <c r="AF34" s="184" t="str">
        <f>IFERROR(IF(VLOOKUP(Sun_W1[[#This Row],[Employee Name]],'Base Schedules'!$A$79:$AW$111,31,FALSE)="","",VLOOKUP(Sun_W1[[#This Row],[Employee Name]],'Base Schedules'!$A$79:$AW$111,31,FALSE)),"")</f>
        <v/>
      </c>
      <c r="AG34" s="184" t="str">
        <f>IFERROR(IF(VLOOKUP(Sun_W1[[#This Row],[Employee Name]],'Base Schedules'!$A$79:$AW$111,32,FALSE)="","",VLOOKUP(Sun_W1[[#This Row],[Employee Name]],'Base Schedules'!$A$79:$AW$111,32,FALSE)),"")</f>
        <v/>
      </c>
      <c r="AH34" s="184" t="str">
        <f>IFERROR(IF(VLOOKUP(Sun_W1[[#This Row],[Employee Name]],'Base Schedules'!$A$79:$AW$111,33,FALSE)="","",VLOOKUP(Sun_W1[[#This Row],[Employee Name]],'Base Schedules'!$A$79:$AW$111,33,FALSE)),"")</f>
        <v/>
      </c>
      <c r="AI34" s="184" t="str">
        <f>IFERROR(IF(VLOOKUP(Sun_W1[[#This Row],[Employee Name]],'Base Schedules'!$A$79:$AW$111,34,FALSE)="","",VLOOKUP(Sun_W1[[#This Row],[Employee Name]],'Base Schedules'!$A$79:$AW$111,34,FALSE)),"")</f>
        <v/>
      </c>
      <c r="AJ34" s="184" t="str">
        <f>IFERROR(IF(VLOOKUP(Sun_W1[[#This Row],[Employee Name]],'Base Schedules'!$A$79:$AW$111,35,FALSE)="","",VLOOKUP(Sun_W1[[#This Row],[Employee Name]],'Base Schedules'!$A$79:$AW$111,35,FALSE)),"")</f>
        <v/>
      </c>
      <c r="AK34" s="184" t="str">
        <f>IFERROR(IF(VLOOKUP(Sun_W1[[#This Row],[Employee Name]],'Base Schedules'!$A$79:$AW$111,36,FALSE)="","",VLOOKUP(Sun_W1[[#This Row],[Employee Name]],'Base Schedules'!$A$79:$AW$111,36,FALSE)),"")</f>
        <v/>
      </c>
      <c r="AL34" s="184" t="str">
        <f>IFERROR(IF(VLOOKUP(Sun_W1[[#This Row],[Employee Name]],'Base Schedules'!$A$79:$AW$111,37,FALSE)="","",VLOOKUP(Sun_W1[[#This Row],[Employee Name]],'Base Schedules'!$A$79:$AW$111,37,FALSE)),"")</f>
        <v/>
      </c>
      <c r="AM34" s="184" t="str">
        <f>IFERROR(IF(VLOOKUP(Sun_W1[[#This Row],[Employee Name]],'Base Schedules'!$A$79:$AW$111,38,FALSE)="","",VLOOKUP(Sun_W1[[#This Row],[Employee Name]],'Base Schedules'!$A$79:$AW$111,38,FALSE)),"")</f>
        <v/>
      </c>
      <c r="AN34" s="184" t="str">
        <f>IFERROR(IF(VLOOKUP(Sun_W1[[#This Row],[Employee Name]],'Base Schedules'!$A$79:$AW$111,39,FALSE)="","",VLOOKUP(Sun_W1[[#This Row],[Employee Name]],'Base Schedules'!$A$79:$AW$111,39,FALSE)),"")</f>
        <v/>
      </c>
      <c r="AO34" s="184" t="str">
        <f>IFERROR(IF(VLOOKUP(Sun_W1[[#This Row],[Employee Name]],'Base Schedules'!$A$79:$AW$111,40,FALSE)="","",VLOOKUP(Sun_W1[[#This Row],[Employee Name]],'Base Schedules'!$A$79:$AW$111,40,FALSE)),"")</f>
        <v/>
      </c>
      <c r="AP34" s="184" t="str">
        <f>IFERROR(IF(VLOOKUP(Sun_W1[[#This Row],[Employee Name]],'Base Schedules'!$A$79:$AW$111,41,FALSE)="","",VLOOKUP(Sun_W1[[#This Row],[Employee Name]],'Base Schedules'!$A$79:$AW$111,41,FALSE)),"")</f>
        <v/>
      </c>
      <c r="AQ34" s="184" t="str">
        <f>IFERROR(IF(VLOOKUP(Sun_W1[[#This Row],[Employee Name]],'Base Schedules'!$A$79:$AW$111,42,FALSE)="","",VLOOKUP(Sun_W1[[#This Row],[Employee Name]],'Base Schedules'!$A$79:$AW$111,42,FALSE)),"")</f>
        <v/>
      </c>
      <c r="AR34" s="184" t="str">
        <f>IFERROR(IF(VLOOKUP(Sun_W1[[#This Row],[Employee Name]],'Base Schedules'!$A$79:$AW$111,43,FALSE)="","",VLOOKUP(Sun_W1[[#This Row],[Employee Name]],'Base Schedules'!$A$79:$AW$111,43,FALSE)),"")</f>
        <v/>
      </c>
      <c r="AS34" s="184" t="str">
        <f>IFERROR(IF(VLOOKUP(Sun_W1[[#This Row],[Employee Name]],'Base Schedules'!$A$79:$AW$111,44,FALSE)="","",VLOOKUP(Sun_W1[[#This Row],[Employee Name]],'Base Schedules'!$A$79:$AW$111,44,FALSE)),"")</f>
        <v/>
      </c>
      <c r="AT34" s="184" t="str">
        <f>IFERROR(IF(VLOOKUP(Sun_W1[[#This Row],[Employee Name]],'Base Schedules'!$A$79:$AW$111,45,FALSE)="","",VLOOKUP(Sun_W1[[#This Row],[Employee Name]],'Base Schedules'!$A$79:$AW$111,45,FALSE)),"")</f>
        <v/>
      </c>
      <c r="AU34" s="184" t="str">
        <f>IFERROR(IF(VLOOKUP(Sun_W1[[#This Row],[Employee Name]],'Base Schedules'!$A$79:$AW$111,46,FALSE)="","",VLOOKUP(Sun_W1[[#This Row],[Employee Name]],'Base Schedules'!$A$79:$AW$111,46,FALSE)),"")</f>
        <v/>
      </c>
      <c r="AV34" s="184" t="str">
        <f>IFERROR(IF(VLOOKUP(Sun_W1[[#This Row],[Employee Name]],'Base Schedules'!$A$79:$AW$111,47,FALSE)="","",VLOOKUP(Sun_W1[[#This Row],[Employee Name]],'Base Schedules'!$A$79:$AW$111,47,FALSE)),"")</f>
        <v/>
      </c>
      <c r="AW34" s="184" t="str">
        <f>IFERROR(IF(VLOOKUP(Sun_W1[[#This Row],[Employee Name]],'Base Schedules'!$A$79:$AW$111,48,FALSE)="","",VLOOKUP(Sun_W1[[#This Row],[Employee Name]],'Base Schedules'!$A$79:$AW$111,48,FALSE)),"")</f>
        <v/>
      </c>
      <c r="AX34" s="184" t="str">
        <f>IFERROR(IF(VLOOKUP(Sun_W1[[#This Row],[Employee Name]],'Base Schedules'!$A$79:$AW$111,49,FALSE)="","",VLOOKUP(Sun_W1[[#This Row],[Employee Name]],'Base Schedules'!$A$79:$AW$111,49,FALSE)),"")</f>
        <v/>
      </c>
      <c r="AY34" s="159" t="str">
        <f t="shared" si="2"/>
        <v/>
      </c>
    </row>
    <row r="35" spans="1:51" s="44" customFormat="1" hidden="1" thickBot="1" x14ac:dyDescent="0.25">
      <c r="A35" s="201"/>
      <c r="B35" s="201"/>
      <c r="C35" s="257" t="str">
        <f>_xlfn.IFNA(VLOOKUP(Sun_W1[[#This Row],[Employee Name]],'Base Schedules'!A:B,2,FALSE),"")</f>
        <v/>
      </c>
      <c r="D35" s="274" t="str">
        <f>_xlfn.IFNA(VLOOKUP(Sun_W1[[#This Row],[Employee Name]],'Base Schedules'!A:C,3,FALSE),"")</f>
        <v/>
      </c>
      <c r="E35" s="274" t="str">
        <f>_xlfn.IFNA(VLOOKUP(Sun_W1[[#This Row],[Employee Name]],'Base Schedules'!A:D,4,FALSE),"")</f>
        <v/>
      </c>
      <c r="F35" s="142" t="str">
        <f>IF(Sun_W1[[#This Row],[Employee Name]]="","",IF(Sun_W1[[#This Row],[Dept]]="Supervisor",COUNTIFS($J35:$AX35,"*HL*",$J35:$AX35,"&lt;&gt;"&amp;"pHL"),COUNTIFS($J35:$AX35,"*HL*",$J35:$AX35,"&lt;&gt;"&amp;"*pHL*",$J35:$AX35,"&lt;&gt;"&amp;"pB1 HL",$J35:$AX35,"&lt;&gt;"&amp;"pB2 HL")-SUM(COUNTIFS($J35:$AX35,"*HL B1*",$J35:$AX35,"&lt;&gt;"&amp;"pHL B1")*0.5,COUNTIFS($J35:$AX35,"*HL B2*",$J35:$AX35,"&lt;&gt;"&amp;"pHL B2")*0.5,COUNTIFS($J35:$AX35,"*B1 HL*",$J35:$AX35,"&lt;&gt;"&amp;"pB1 HL")*0.5,COUNTIFS($J35:$AX35,"*B2 HL*",$J35:$AX35,"&lt;&gt;"&amp;"pB2 HL")*0.5)))</f>
        <v/>
      </c>
      <c r="G35" s="142" t="str">
        <f t="shared" si="0"/>
        <v/>
      </c>
      <c r="H35" s="142" t="str">
        <f t="shared" si="1"/>
        <v/>
      </c>
      <c r="I35" s="142" t="str">
        <f>IF(Sun_W1[[#This Row],[Employee Name]]="","",IF(Sun_W1[[#This Row],[Dept]]="Supervisor",SUM(COUNTIFS($J35:$AX35,"RTA*",$J35:$AX35,"&lt;&gt;"&amp;"pRTA"),COUNTIFS($J35:$AX35,"*CRTA*",$J35:$AX35,"&lt;&gt;"&amp;"pCRTA")),COUNTIFS($J35:$AX35,"*RNNR*",$J35:$AX35,"&lt;&gt;"&amp;"*pRNNR*",$J35:$AX35,"&lt;&gt;"&amp;"pB1 RNNR",$J35:$AX35,"&lt;&gt;"&amp;"pB2 RNNR")-SUM(COUNTIFS($J35:$AX35,"*RNNR B1*",$J35:$AX35,"&lt;&gt;"&amp;"pRNNR B1")*0.5,COUNTIFS($J35:$AX35,"*RNNR B2*",$J35:$AX35,"&lt;&gt;"&amp;"pRNNR B2")*0.5,COUNTIFS($J35:$AX35,"*B1 RNNR*",$J35:$AX35,"&lt;&gt;"&amp;"pB1 RNNR")*0.5,COUNTIFS($J35:$AX35,"*B2 RNNR*",$J35:$AX35,"&lt;&gt;"&amp;"pB2 RNNR")*0.5)))</f>
        <v/>
      </c>
      <c r="J35" s="184" t="str">
        <f>IFERROR(IF(VLOOKUP(Sun_W1[[#This Row],[Employee Name]],'Base Schedules'!$A$79:$AW$111,9,FALSE)="","",VLOOKUP(Sun_W1[[#This Row],[Employee Name]],'Base Schedules'!$A$79:$AW$111,9,FALSE)),"")</f>
        <v/>
      </c>
      <c r="K35" s="184" t="str">
        <f>IFERROR(IF(VLOOKUP(Sun_W1[[#This Row],[Employee Name]],'Base Schedules'!$A$79:$AW$111,10,FALSE)="","",VLOOKUP(Sun_W1[[#This Row],[Employee Name]],'Base Schedules'!$A$79:$AW$111,10,FALSE)),"")</f>
        <v/>
      </c>
      <c r="L35" s="184" t="str">
        <f>IFERROR(IF(VLOOKUP(Sun_W1[[#This Row],[Employee Name]],'Base Schedules'!$A$79:$AW$111,11,FALSE)="","",VLOOKUP(Sun_W1[[#This Row],[Employee Name]],'Base Schedules'!$A$79:$AW$111,11,FALSE)),"")</f>
        <v/>
      </c>
      <c r="M35" s="184" t="str">
        <f>IFERROR(IF(VLOOKUP(Sun_W1[[#This Row],[Employee Name]],'Base Schedules'!$A$79:$AW$111,12,FALSE)="","",VLOOKUP(Sun_W1[[#This Row],[Employee Name]],'Base Schedules'!$A$79:$AW$111,12,FALSE)),"")</f>
        <v/>
      </c>
      <c r="N35" s="184" t="str">
        <f>IFERROR(IF(VLOOKUP(Sun_W1[[#This Row],[Employee Name]],'Base Schedules'!$A$79:$AW$111,13,FALSE)="","",VLOOKUP(Sun_W1[[#This Row],[Employee Name]],'Base Schedules'!$A$79:$AW$111,13,FALSE)),"")</f>
        <v/>
      </c>
      <c r="O35" s="184" t="str">
        <f>IFERROR(IF(VLOOKUP(Sun_W1[[#This Row],[Employee Name]],'Base Schedules'!$A$79:$AW$111,14,FALSE)="","",VLOOKUP(Sun_W1[[#This Row],[Employee Name]],'Base Schedules'!$A$79:$AW$111,14,FALSE)),"")</f>
        <v/>
      </c>
      <c r="P35" s="184" t="str">
        <f>IFERROR(IF(VLOOKUP(Sun_W1[[#This Row],[Employee Name]],'Base Schedules'!$A$79:$AW$111,15,FALSE)="","",VLOOKUP(Sun_W1[[#This Row],[Employee Name]],'Base Schedules'!$A$79:$AW$111,15,FALSE)),"")</f>
        <v/>
      </c>
      <c r="Q35" s="184" t="str">
        <f>IFERROR(IF(VLOOKUP(Sun_W1[[#This Row],[Employee Name]],'Base Schedules'!$A$79:$AW$111,16,FALSE)="","",VLOOKUP(Sun_W1[[#This Row],[Employee Name]],'Base Schedules'!$A$79:$AW$111,16,FALSE)),"")</f>
        <v/>
      </c>
      <c r="R35" s="184" t="str">
        <f>IFERROR(IF(VLOOKUP(Sun_W1[[#This Row],[Employee Name]],'Base Schedules'!$A$79:$AW$111,17,FALSE)="","",VLOOKUP(Sun_W1[[#This Row],[Employee Name]],'Base Schedules'!$A$79:$AW$111,17,FALSE)),"")</f>
        <v/>
      </c>
      <c r="S35" s="184" t="str">
        <f>IFERROR(IF(VLOOKUP(Sun_W1[[#This Row],[Employee Name]],'Base Schedules'!$A$79:$AW$111,18,FALSE)="","",VLOOKUP(Sun_W1[[#This Row],[Employee Name]],'Base Schedules'!$A$79:$AW$111,18,FALSE)),"")</f>
        <v/>
      </c>
      <c r="T35" s="184" t="str">
        <f>IFERROR(IF(VLOOKUP(Sun_W1[[#This Row],[Employee Name]],'Base Schedules'!$A$79:$AW$111,19,FALSE)="","",VLOOKUP(Sun_W1[[#This Row],[Employee Name]],'Base Schedules'!$A$79:$AW$111,19,FALSE)),"")</f>
        <v/>
      </c>
      <c r="U35" s="184" t="str">
        <f>IFERROR(IF(VLOOKUP(Sun_W1[[#This Row],[Employee Name]],'Base Schedules'!$A$79:$AW$111,20,FALSE)="","",VLOOKUP(Sun_W1[[#This Row],[Employee Name]],'Base Schedules'!$A$79:$AW$111,20,FALSE)),"")</f>
        <v/>
      </c>
      <c r="V35" s="184" t="str">
        <f>IFERROR(IF(VLOOKUP(Sun_W1[[#This Row],[Employee Name]],'Base Schedules'!$A$79:$AW$111,21,FALSE)="","",VLOOKUP(Sun_W1[[#This Row],[Employee Name]],'Base Schedules'!$A$79:$AW$111,21,FALSE)),"")</f>
        <v/>
      </c>
      <c r="W35" s="184" t="str">
        <f>IFERROR(IF(VLOOKUP(Sun_W1[[#This Row],[Employee Name]],'Base Schedules'!$A$79:$AW$111,22,FALSE)="","",VLOOKUP(Sun_W1[[#This Row],[Employee Name]],'Base Schedules'!$A$79:$AW$111,22,FALSE)),"")</f>
        <v/>
      </c>
      <c r="X35" s="184" t="str">
        <f>IFERROR(IF(VLOOKUP(Sun_W1[[#This Row],[Employee Name]],'Base Schedules'!$A$79:$AW$111,23,FALSE)="","",VLOOKUP(Sun_W1[[#This Row],[Employee Name]],'Base Schedules'!$A$79:$AW$111,23,FALSE)),"")</f>
        <v/>
      </c>
      <c r="Y35" s="184" t="str">
        <f>IFERROR(IF(VLOOKUP(Sun_W1[[#This Row],[Employee Name]],'Base Schedules'!$A$79:$AW$111,24,FALSE)="","",VLOOKUP(Sun_W1[[#This Row],[Employee Name]],'Base Schedules'!$A$79:$AW$111,24,FALSE)),"")</f>
        <v/>
      </c>
      <c r="Z35" s="184" t="str">
        <f>IFERROR(IF(VLOOKUP(Sun_W1[[#This Row],[Employee Name]],'Base Schedules'!$A$79:$AW$111,25,FALSE)="","",VLOOKUP(Sun_W1[[#This Row],[Employee Name]],'Base Schedules'!$A$79:$AW$111,25,FALSE)),"")</f>
        <v/>
      </c>
      <c r="AA35" s="184" t="str">
        <f>IFERROR(IF(VLOOKUP(Sun_W1[[#This Row],[Employee Name]],'Base Schedules'!$A$79:$AW$111,26,FALSE)="","",VLOOKUP(Sun_W1[[#This Row],[Employee Name]],'Base Schedules'!$A$79:$AW$111,26,FALSE)),"")</f>
        <v/>
      </c>
      <c r="AB35" s="184" t="str">
        <f>IFERROR(IF(VLOOKUP(Sun_W1[[#This Row],[Employee Name]],'Base Schedules'!$A$79:$AW$111,27,FALSE)="","",VLOOKUP(Sun_W1[[#This Row],[Employee Name]],'Base Schedules'!$A$79:$AW$111,27,FALSE)),"")</f>
        <v/>
      </c>
      <c r="AC35" s="184" t="str">
        <f>IFERROR(IF(VLOOKUP(Sun_W1[[#This Row],[Employee Name]],'Base Schedules'!$A$79:$AW$111,28,FALSE)="","",VLOOKUP(Sun_W1[[#This Row],[Employee Name]],'Base Schedules'!$A$79:$AW$111,28,FALSE)),"")</f>
        <v/>
      </c>
      <c r="AD35" s="184" t="str">
        <f>IFERROR(IF(VLOOKUP(Sun_W1[[#This Row],[Employee Name]],'Base Schedules'!$A$79:$AW$111,29,FALSE)="","",VLOOKUP(Sun_W1[[#This Row],[Employee Name]],'Base Schedules'!$A$79:$AW$111,29,FALSE)),"")</f>
        <v/>
      </c>
      <c r="AE35" s="184" t="str">
        <f>IFERROR(IF(VLOOKUP(Sun_W1[[#This Row],[Employee Name]],'Base Schedules'!$A$79:$AW$111,30,FALSE)="","",VLOOKUP(Sun_W1[[#This Row],[Employee Name]],'Base Schedules'!$A$79:$AW$111,30,FALSE)),"")</f>
        <v/>
      </c>
      <c r="AF35" s="184" t="str">
        <f>IFERROR(IF(VLOOKUP(Sun_W1[[#This Row],[Employee Name]],'Base Schedules'!$A$79:$AW$111,31,FALSE)="","",VLOOKUP(Sun_W1[[#This Row],[Employee Name]],'Base Schedules'!$A$79:$AW$111,31,FALSE)),"")</f>
        <v/>
      </c>
      <c r="AG35" s="184" t="str">
        <f>IFERROR(IF(VLOOKUP(Sun_W1[[#This Row],[Employee Name]],'Base Schedules'!$A$79:$AW$111,32,FALSE)="","",VLOOKUP(Sun_W1[[#This Row],[Employee Name]],'Base Schedules'!$A$79:$AW$111,32,FALSE)),"")</f>
        <v/>
      </c>
      <c r="AH35" s="184" t="str">
        <f>IFERROR(IF(VLOOKUP(Sun_W1[[#This Row],[Employee Name]],'Base Schedules'!$A$79:$AW$111,33,FALSE)="","",VLOOKUP(Sun_W1[[#This Row],[Employee Name]],'Base Schedules'!$A$79:$AW$111,33,FALSE)),"")</f>
        <v/>
      </c>
      <c r="AI35" s="184" t="str">
        <f>IFERROR(IF(VLOOKUP(Sun_W1[[#This Row],[Employee Name]],'Base Schedules'!$A$79:$AW$111,34,FALSE)="","",VLOOKUP(Sun_W1[[#This Row],[Employee Name]],'Base Schedules'!$A$79:$AW$111,34,FALSE)),"")</f>
        <v/>
      </c>
      <c r="AJ35" s="184" t="str">
        <f>IFERROR(IF(VLOOKUP(Sun_W1[[#This Row],[Employee Name]],'Base Schedules'!$A$79:$AW$111,35,FALSE)="","",VLOOKUP(Sun_W1[[#This Row],[Employee Name]],'Base Schedules'!$A$79:$AW$111,35,FALSE)),"")</f>
        <v/>
      </c>
      <c r="AK35" s="184" t="str">
        <f>IFERROR(IF(VLOOKUP(Sun_W1[[#This Row],[Employee Name]],'Base Schedules'!$A$79:$AW$111,36,FALSE)="","",VLOOKUP(Sun_W1[[#This Row],[Employee Name]],'Base Schedules'!$A$79:$AW$111,36,FALSE)),"")</f>
        <v/>
      </c>
      <c r="AL35" s="184" t="str">
        <f>IFERROR(IF(VLOOKUP(Sun_W1[[#This Row],[Employee Name]],'Base Schedules'!$A$79:$AW$111,37,FALSE)="","",VLOOKUP(Sun_W1[[#This Row],[Employee Name]],'Base Schedules'!$A$79:$AW$111,37,FALSE)),"")</f>
        <v/>
      </c>
      <c r="AM35" s="184" t="str">
        <f>IFERROR(IF(VLOOKUP(Sun_W1[[#This Row],[Employee Name]],'Base Schedules'!$A$79:$AW$111,38,FALSE)="","",VLOOKUP(Sun_W1[[#This Row],[Employee Name]],'Base Schedules'!$A$79:$AW$111,38,FALSE)),"")</f>
        <v/>
      </c>
      <c r="AN35" s="184" t="str">
        <f>IFERROR(IF(VLOOKUP(Sun_W1[[#This Row],[Employee Name]],'Base Schedules'!$A$79:$AW$111,39,FALSE)="","",VLOOKUP(Sun_W1[[#This Row],[Employee Name]],'Base Schedules'!$A$79:$AW$111,39,FALSE)),"")</f>
        <v/>
      </c>
      <c r="AO35" s="184" t="str">
        <f>IFERROR(IF(VLOOKUP(Sun_W1[[#This Row],[Employee Name]],'Base Schedules'!$A$79:$AW$111,40,FALSE)="","",VLOOKUP(Sun_W1[[#This Row],[Employee Name]],'Base Schedules'!$A$79:$AW$111,40,FALSE)),"")</f>
        <v/>
      </c>
      <c r="AP35" s="184" t="str">
        <f>IFERROR(IF(VLOOKUP(Sun_W1[[#This Row],[Employee Name]],'Base Schedules'!$A$79:$AW$111,41,FALSE)="","",VLOOKUP(Sun_W1[[#This Row],[Employee Name]],'Base Schedules'!$A$79:$AW$111,41,FALSE)),"")</f>
        <v/>
      </c>
      <c r="AQ35" s="184" t="str">
        <f>IFERROR(IF(VLOOKUP(Sun_W1[[#This Row],[Employee Name]],'Base Schedules'!$A$79:$AW$111,42,FALSE)="","",VLOOKUP(Sun_W1[[#This Row],[Employee Name]],'Base Schedules'!$A$79:$AW$111,42,FALSE)),"")</f>
        <v/>
      </c>
      <c r="AR35" s="184" t="str">
        <f>IFERROR(IF(VLOOKUP(Sun_W1[[#This Row],[Employee Name]],'Base Schedules'!$A$79:$AW$111,43,FALSE)="","",VLOOKUP(Sun_W1[[#This Row],[Employee Name]],'Base Schedules'!$A$79:$AW$111,43,FALSE)),"")</f>
        <v/>
      </c>
      <c r="AS35" s="184" t="str">
        <f>IFERROR(IF(VLOOKUP(Sun_W1[[#This Row],[Employee Name]],'Base Schedules'!$A$79:$AW$111,44,FALSE)="","",VLOOKUP(Sun_W1[[#This Row],[Employee Name]],'Base Schedules'!$A$79:$AW$111,44,FALSE)),"")</f>
        <v/>
      </c>
      <c r="AT35" s="184" t="str">
        <f>IFERROR(IF(VLOOKUP(Sun_W1[[#This Row],[Employee Name]],'Base Schedules'!$A$79:$AW$111,45,FALSE)="","",VLOOKUP(Sun_W1[[#This Row],[Employee Name]],'Base Schedules'!$A$79:$AW$111,45,FALSE)),"")</f>
        <v/>
      </c>
      <c r="AU35" s="184" t="str">
        <f>IFERROR(IF(VLOOKUP(Sun_W1[[#This Row],[Employee Name]],'Base Schedules'!$A$79:$AW$111,46,FALSE)="","",VLOOKUP(Sun_W1[[#This Row],[Employee Name]],'Base Schedules'!$A$79:$AW$111,46,FALSE)),"")</f>
        <v/>
      </c>
      <c r="AV35" s="184" t="str">
        <f>IFERROR(IF(VLOOKUP(Sun_W1[[#This Row],[Employee Name]],'Base Schedules'!$A$79:$AW$111,47,FALSE)="","",VLOOKUP(Sun_W1[[#This Row],[Employee Name]],'Base Schedules'!$A$79:$AW$111,47,FALSE)),"")</f>
        <v/>
      </c>
      <c r="AW35" s="184" t="str">
        <f>IFERROR(IF(VLOOKUP(Sun_W1[[#This Row],[Employee Name]],'Base Schedules'!$A$79:$AW$111,48,FALSE)="","",VLOOKUP(Sun_W1[[#This Row],[Employee Name]],'Base Schedules'!$A$79:$AW$111,48,FALSE)),"")</f>
        <v/>
      </c>
      <c r="AX35" s="184" t="str">
        <f>IFERROR(IF(VLOOKUP(Sun_W1[[#This Row],[Employee Name]],'Base Schedules'!$A$79:$AW$111,49,FALSE)="","",VLOOKUP(Sun_W1[[#This Row],[Employee Name]],'Base Schedules'!$A$79:$AW$111,49,FALSE)),"")</f>
        <v/>
      </c>
      <c r="AY35" s="159" t="str">
        <f t="shared" si="2"/>
        <v/>
      </c>
    </row>
    <row r="36" spans="1:51" s="44" customFormat="1" hidden="1" thickBot="1" x14ac:dyDescent="0.25">
      <c r="A36" s="201"/>
      <c r="B36" s="201"/>
      <c r="C36" s="257" t="str">
        <f>_xlfn.IFNA(VLOOKUP(Sun_W1[[#This Row],[Employee Name]],'Base Schedules'!A:B,2,FALSE),"")</f>
        <v/>
      </c>
      <c r="D36" s="274" t="str">
        <f>_xlfn.IFNA(VLOOKUP(Sun_W1[[#This Row],[Employee Name]],'Base Schedules'!A:C,3,FALSE),"")</f>
        <v/>
      </c>
      <c r="E36" s="274" t="str">
        <f>_xlfn.IFNA(VLOOKUP(Sun_W1[[#This Row],[Employee Name]],'Base Schedules'!A:D,4,FALSE),"")</f>
        <v/>
      </c>
      <c r="F36" s="142" t="str">
        <f>IF(Sun_W1[[#This Row],[Employee Name]]="","",IF(Sun_W1[[#This Row],[Dept]]="Supervisor",COUNTIFS($J36:$AX36,"*HL*",$J36:$AX36,"&lt;&gt;"&amp;"pHL"),COUNTIFS($J36:$AX36,"*HL*",$J36:$AX36,"&lt;&gt;"&amp;"*pHL*",$J36:$AX36,"&lt;&gt;"&amp;"pB1 HL",$J36:$AX36,"&lt;&gt;"&amp;"pB2 HL")-SUM(COUNTIFS($J36:$AX36,"*HL B1*",$J36:$AX36,"&lt;&gt;"&amp;"pHL B1")*0.5,COUNTIFS($J36:$AX36,"*HL B2*",$J36:$AX36,"&lt;&gt;"&amp;"pHL B2")*0.5,COUNTIFS($J36:$AX36,"*B1 HL*",$J36:$AX36,"&lt;&gt;"&amp;"pB1 HL")*0.5,COUNTIFS($J36:$AX36,"*B2 HL*",$J36:$AX36,"&lt;&gt;"&amp;"pB2 HL")*0.5)))</f>
        <v/>
      </c>
      <c r="G36" s="142" t="str">
        <f t="shared" si="0"/>
        <v/>
      </c>
      <c r="H36" s="142" t="str">
        <f t="shared" si="1"/>
        <v/>
      </c>
      <c r="I36" s="142" t="str">
        <f>IF(Sun_W1[[#This Row],[Employee Name]]="","",IF(Sun_W1[[#This Row],[Dept]]="Supervisor",SUM(COUNTIFS($J36:$AX36,"RTA*",$J36:$AX36,"&lt;&gt;"&amp;"pRTA"),COUNTIFS($J36:$AX36,"*CRTA*",$J36:$AX36,"&lt;&gt;"&amp;"pCRTA")),COUNTIFS($J36:$AX36,"*RNNR*",$J36:$AX36,"&lt;&gt;"&amp;"*pRNNR*",$J36:$AX36,"&lt;&gt;"&amp;"pB1 RNNR",$J36:$AX36,"&lt;&gt;"&amp;"pB2 RNNR")-SUM(COUNTIFS($J36:$AX36,"*RNNR B1*",$J36:$AX36,"&lt;&gt;"&amp;"pRNNR B1")*0.5,COUNTIFS($J36:$AX36,"*RNNR B2*",$J36:$AX36,"&lt;&gt;"&amp;"pRNNR B2")*0.5,COUNTIFS($J36:$AX36,"*B1 RNNR*",$J36:$AX36,"&lt;&gt;"&amp;"pB1 RNNR")*0.5,COUNTIFS($J36:$AX36,"*B2 RNNR*",$J36:$AX36,"&lt;&gt;"&amp;"pB2 RNNR")*0.5)))</f>
        <v/>
      </c>
      <c r="J36" s="184" t="str">
        <f>IFERROR(IF(VLOOKUP(Sun_W1[[#This Row],[Employee Name]],'Base Schedules'!$A$79:$AW$111,9,FALSE)="","",VLOOKUP(Sun_W1[[#This Row],[Employee Name]],'Base Schedules'!$A$79:$AW$111,9,FALSE)),"")</f>
        <v/>
      </c>
      <c r="K36" s="184" t="str">
        <f>IFERROR(IF(VLOOKUP(Sun_W1[[#This Row],[Employee Name]],'Base Schedules'!$A$79:$AW$111,10,FALSE)="","",VLOOKUP(Sun_W1[[#This Row],[Employee Name]],'Base Schedules'!$A$79:$AW$111,10,FALSE)),"")</f>
        <v/>
      </c>
      <c r="L36" s="184" t="str">
        <f>IFERROR(IF(VLOOKUP(Sun_W1[[#This Row],[Employee Name]],'Base Schedules'!$A$79:$AW$111,11,FALSE)="","",VLOOKUP(Sun_W1[[#This Row],[Employee Name]],'Base Schedules'!$A$79:$AW$111,11,FALSE)),"")</f>
        <v/>
      </c>
      <c r="M36" s="184" t="str">
        <f>IFERROR(IF(VLOOKUP(Sun_W1[[#This Row],[Employee Name]],'Base Schedules'!$A$79:$AW$111,12,FALSE)="","",VLOOKUP(Sun_W1[[#This Row],[Employee Name]],'Base Schedules'!$A$79:$AW$111,12,FALSE)),"")</f>
        <v/>
      </c>
      <c r="N36" s="184" t="str">
        <f>IFERROR(IF(VLOOKUP(Sun_W1[[#This Row],[Employee Name]],'Base Schedules'!$A$79:$AW$111,13,FALSE)="","",VLOOKUP(Sun_W1[[#This Row],[Employee Name]],'Base Schedules'!$A$79:$AW$111,13,FALSE)),"")</f>
        <v/>
      </c>
      <c r="O36" s="184" t="str">
        <f>IFERROR(IF(VLOOKUP(Sun_W1[[#This Row],[Employee Name]],'Base Schedules'!$A$79:$AW$111,14,FALSE)="","",VLOOKUP(Sun_W1[[#This Row],[Employee Name]],'Base Schedules'!$A$79:$AW$111,14,FALSE)),"")</f>
        <v/>
      </c>
      <c r="P36" s="184" t="str">
        <f>IFERROR(IF(VLOOKUP(Sun_W1[[#This Row],[Employee Name]],'Base Schedules'!$A$79:$AW$111,15,FALSE)="","",VLOOKUP(Sun_W1[[#This Row],[Employee Name]],'Base Schedules'!$A$79:$AW$111,15,FALSE)),"")</f>
        <v/>
      </c>
      <c r="Q36" s="184" t="str">
        <f>IFERROR(IF(VLOOKUP(Sun_W1[[#This Row],[Employee Name]],'Base Schedules'!$A$79:$AW$111,16,FALSE)="","",VLOOKUP(Sun_W1[[#This Row],[Employee Name]],'Base Schedules'!$A$79:$AW$111,16,FALSE)),"")</f>
        <v/>
      </c>
      <c r="R36" s="184" t="str">
        <f>IFERROR(IF(VLOOKUP(Sun_W1[[#This Row],[Employee Name]],'Base Schedules'!$A$79:$AW$111,17,FALSE)="","",VLOOKUP(Sun_W1[[#This Row],[Employee Name]],'Base Schedules'!$A$79:$AW$111,17,FALSE)),"")</f>
        <v/>
      </c>
      <c r="S36" s="184" t="str">
        <f>IFERROR(IF(VLOOKUP(Sun_W1[[#This Row],[Employee Name]],'Base Schedules'!$A$79:$AW$111,18,FALSE)="","",VLOOKUP(Sun_W1[[#This Row],[Employee Name]],'Base Schedules'!$A$79:$AW$111,18,FALSE)),"")</f>
        <v/>
      </c>
      <c r="T36" s="184" t="str">
        <f>IFERROR(IF(VLOOKUP(Sun_W1[[#This Row],[Employee Name]],'Base Schedules'!$A$79:$AW$111,19,FALSE)="","",VLOOKUP(Sun_W1[[#This Row],[Employee Name]],'Base Schedules'!$A$79:$AW$111,19,FALSE)),"")</f>
        <v/>
      </c>
      <c r="U36" s="184" t="str">
        <f>IFERROR(IF(VLOOKUP(Sun_W1[[#This Row],[Employee Name]],'Base Schedules'!$A$79:$AW$111,20,FALSE)="","",VLOOKUP(Sun_W1[[#This Row],[Employee Name]],'Base Schedules'!$A$79:$AW$111,20,FALSE)),"")</f>
        <v/>
      </c>
      <c r="V36" s="184" t="str">
        <f>IFERROR(IF(VLOOKUP(Sun_W1[[#This Row],[Employee Name]],'Base Schedules'!$A$79:$AW$111,21,FALSE)="","",VLOOKUP(Sun_W1[[#This Row],[Employee Name]],'Base Schedules'!$A$79:$AW$111,21,FALSE)),"")</f>
        <v/>
      </c>
      <c r="W36" s="184" t="str">
        <f>IFERROR(IF(VLOOKUP(Sun_W1[[#This Row],[Employee Name]],'Base Schedules'!$A$79:$AW$111,22,FALSE)="","",VLOOKUP(Sun_W1[[#This Row],[Employee Name]],'Base Schedules'!$A$79:$AW$111,22,FALSE)),"")</f>
        <v/>
      </c>
      <c r="X36" s="184" t="str">
        <f>IFERROR(IF(VLOOKUP(Sun_W1[[#This Row],[Employee Name]],'Base Schedules'!$A$79:$AW$111,23,FALSE)="","",VLOOKUP(Sun_W1[[#This Row],[Employee Name]],'Base Schedules'!$A$79:$AW$111,23,FALSE)),"")</f>
        <v/>
      </c>
      <c r="Y36" s="184" t="str">
        <f>IFERROR(IF(VLOOKUP(Sun_W1[[#This Row],[Employee Name]],'Base Schedules'!$A$79:$AW$111,24,FALSE)="","",VLOOKUP(Sun_W1[[#This Row],[Employee Name]],'Base Schedules'!$A$79:$AW$111,24,FALSE)),"")</f>
        <v/>
      </c>
      <c r="Z36" s="184" t="str">
        <f>IFERROR(IF(VLOOKUP(Sun_W1[[#This Row],[Employee Name]],'Base Schedules'!$A$79:$AW$111,25,FALSE)="","",VLOOKUP(Sun_W1[[#This Row],[Employee Name]],'Base Schedules'!$A$79:$AW$111,25,FALSE)),"")</f>
        <v/>
      </c>
      <c r="AA36" s="184" t="str">
        <f>IFERROR(IF(VLOOKUP(Sun_W1[[#This Row],[Employee Name]],'Base Schedules'!$A$79:$AW$111,26,FALSE)="","",VLOOKUP(Sun_W1[[#This Row],[Employee Name]],'Base Schedules'!$A$79:$AW$111,26,FALSE)),"")</f>
        <v/>
      </c>
      <c r="AB36" s="184" t="str">
        <f>IFERROR(IF(VLOOKUP(Sun_W1[[#This Row],[Employee Name]],'Base Schedules'!$A$79:$AW$111,27,FALSE)="","",VLOOKUP(Sun_W1[[#This Row],[Employee Name]],'Base Schedules'!$A$79:$AW$111,27,FALSE)),"")</f>
        <v/>
      </c>
      <c r="AC36" s="184" t="str">
        <f>IFERROR(IF(VLOOKUP(Sun_W1[[#This Row],[Employee Name]],'Base Schedules'!$A$79:$AW$111,28,FALSE)="","",VLOOKUP(Sun_W1[[#This Row],[Employee Name]],'Base Schedules'!$A$79:$AW$111,28,FALSE)),"")</f>
        <v/>
      </c>
      <c r="AD36" s="184" t="str">
        <f>IFERROR(IF(VLOOKUP(Sun_W1[[#This Row],[Employee Name]],'Base Schedules'!$A$79:$AW$111,29,FALSE)="","",VLOOKUP(Sun_W1[[#This Row],[Employee Name]],'Base Schedules'!$A$79:$AW$111,29,FALSE)),"")</f>
        <v/>
      </c>
      <c r="AE36" s="184" t="str">
        <f>IFERROR(IF(VLOOKUP(Sun_W1[[#This Row],[Employee Name]],'Base Schedules'!$A$79:$AW$111,30,FALSE)="","",VLOOKUP(Sun_W1[[#This Row],[Employee Name]],'Base Schedules'!$A$79:$AW$111,30,FALSE)),"")</f>
        <v/>
      </c>
      <c r="AF36" s="184" t="str">
        <f>IFERROR(IF(VLOOKUP(Sun_W1[[#This Row],[Employee Name]],'Base Schedules'!$A$79:$AW$111,31,FALSE)="","",VLOOKUP(Sun_W1[[#This Row],[Employee Name]],'Base Schedules'!$A$79:$AW$111,31,FALSE)),"")</f>
        <v/>
      </c>
      <c r="AG36" s="184" t="str">
        <f>IFERROR(IF(VLOOKUP(Sun_W1[[#This Row],[Employee Name]],'Base Schedules'!$A$79:$AW$111,32,FALSE)="","",VLOOKUP(Sun_W1[[#This Row],[Employee Name]],'Base Schedules'!$A$79:$AW$111,32,FALSE)),"")</f>
        <v/>
      </c>
      <c r="AH36" s="184" t="str">
        <f>IFERROR(IF(VLOOKUP(Sun_W1[[#This Row],[Employee Name]],'Base Schedules'!$A$79:$AW$111,33,FALSE)="","",VLOOKUP(Sun_W1[[#This Row],[Employee Name]],'Base Schedules'!$A$79:$AW$111,33,FALSE)),"")</f>
        <v/>
      </c>
      <c r="AI36" s="184" t="str">
        <f>IFERROR(IF(VLOOKUP(Sun_W1[[#This Row],[Employee Name]],'Base Schedules'!$A$79:$AW$111,34,FALSE)="","",VLOOKUP(Sun_W1[[#This Row],[Employee Name]],'Base Schedules'!$A$79:$AW$111,34,FALSE)),"")</f>
        <v/>
      </c>
      <c r="AJ36" s="184" t="str">
        <f>IFERROR(IF(VLOOKUP(Sun_W1[[#This Row],[Employee Name]],'Base Schedules'!$A$79:$AW$111,35,FALSE)="","",VLOOKUP(Sun_W1[[#This Row],[Employee Name]],'Base Schedules'!$A$79:$AW$111,35,FALSE)),"")</f>
        <v/>
      </c>
      <c r="AK36" s="184" t="str">
        <f>IFERROR(IF(VLOOKUP(Sun_W1[[#This Row],[Employee Name]],'Base Schedules'!$A$79:$AW$111,36,FALSE)="","",VLOOKUP(Sun_W1[[#This Row],[Employee Name]],'Base Schedules'!$A$79:$AW$111,36,FALSE)),"")</f>
        <v/>
      </c>
      <c r="AL36" s="184" t="str">
        <f>IFERROR(IF(VLOOKUP(Sun_W1[[#This Row],[Employee Name]],'Base Schedules'!$A$79:$AW$111,37,FALSE)="","",VLOOKUP(Sun_W1[[#This Row],[Employee Name]],'Base Schedules'!$A$79:$AW$111,37,FALSE)),"")</f>
        <v/>
      </c>
      <c r="AM36" s="184" t="str">
        <f>IFERROR(IF(VLOOKUP(Sun_W1[[#This Row],[Employee Name]],'Base Schedules'!$A$79:$AW$111,38,FALSE)="","",VLOOKUP(Sun_W1[[#This Row],[Employee Name]],'Base Schedules'!$A$79:$AW$111,38,FALSE)),"")</f>
        <v/>
      </c>
      <c r="AN36" s="184" t="str">
        <f>IFERROR(IF(VLOOKUP(Sun_W1[[#This Row],[Employee Name]],'Base Schedules'!$A$79:$AW$111,39,FALSE)="","",VLOOKUP(Sun_W1[[#This Row],[Employee Name]],'Base Schedules'!$A$79:$AW$111,39,FALSE)),"")</f>
        <v/>
      </c>
      <c r="AO36" s="184" t="str">
        <f>IFERROR(IF(VLOOKUP(Sun_W1[[#This Row],[Employee Name]],'Base Schedules'!$A$79:$AW$111,40,FALSE)="","",VLOOKUP(Sun_W1[[#This Row],[Employee Name]],'Base Schedules'!$A$79:$AW$111,40,FALSE)),"")</f>
        <v/>
      </c>
      <c r="AP36" s="184" t="str">
        <f>IFERROR(IF(VLOOKUP(Sun_W1[[#This Row],[Employee Name]],'Base Schedules'!$A$79:$AW$111,41,FALSE)="","",VLOOKUP(Sun_W1[[#This Row],[Employee Name]],'Base Schedules'!$A$79:$AW$111,41,FALSE)),"")</f>
        <v/>
      </c>
      <c r="AQ36" s="184" t="str">
        <f>IFERROR(IF(VLOOKUP(Sun_W1[[#This Row],[Employee Name]],'Base Schedules'!$A$79:$AW$111,42,FALSE)="","",VLOOKUP(Sun_W1[[#This Row],[Employee Name]],'Base Schedules'!$A$79:$AW$111,42,FALSE)),"")</f>
        <v/>
      </c>
      <c r="AR36" s="184" t="str">
        <f>IFERROR(IF(VLOOKUP(Sun_W1[[#This Row],[Employee Name]],'Base Schedules'!$A$79:$AW$111,43,FALSE)="","",VLOOKUP(Sun_W1[[#This Row],[Employee Name]],'Base Schedules'!$A$79:$AW$111,43,FALSE)),"")</f>
        <v/>
      </c>
      <c r="AS36" s="184" t="str">
        <f>IFERROR(IF(VLOOKUP(Sun_W1[[#This Row],[Employee Name]],'Base Schedules'!$A$79:$AW$111,44,FALSE)="","",VLOOKUP(Sun_W1[[#This Row],[Employee Name]],'Base Schedules'!$A$79:$AW$111,44,FALSE)),"")</f>
        <v/>
      </c>
      <c r="AT36" s="184" t="str">
        <f>IFERROR(IF(VLOOKUP(Sun_W1[[#This Row],[Employee Name]],'Base Schedules'!$A$79:$AW$111,45,FALSE)="","",VLOOKUP(Sun_W1[[#This Row],[Employee Name]],'Base Schedules'!$A$79:$AW$111,45,FALSE)),"")</f>
        <v/>
      </c>
      <c r="AU36" s="184" t="str">
        <f>IFERROR(IF(VLOOKUP(Sun_W1[[#This Row],[Employee Name]],'Base Schedules'!$A$79:$AW$111,46,FALSE)="","",VLOOKUP(Sun_W1[[#This Row],[Employee Name]],'Base Schedules'!$A$79:$AW$111,46,FALSE)),"")</f>
        <v/>
      </c>
      <c r="AV36" s="184" t="str">
        <f>IFERROR(IF(VLOOKUP(Sun_W1[[#This Row],[Employee Name]],'Base Schedules'!$A$79:$AW$111,47,FALSE)="","",VLOOKUP(Sun_W1[[#This Row],[Employee Name]],'Base Schedules'!$A$79:$AW$111,47,FALSE)),"")</f>
        <v/>
      </c>
      <c r="AW36" s="184" t="str">
        <f>IFERROR(IF(VLOOKUP(Sun_W1[[#This Row],[Employee Name]],'Base Schedules'!$A$79:$AW$111,48,FALSE)="","",VLOOKUP(Sun_W1[[#This Row],[Employee Name]],'Base Schedules'!$A$79:$AW$111,48,FALSE)),"")</f>
        <v/>
      </c>
      <c r="AX36" s="184" t="str">
        <f>IFERROR(IF(VLOOKUP(Sun_W1[[#This Row],[Employee Name]],'Base Schedules'!$A$79:$AW$111,49,FALSE)="","",VLOOKUP(Sun_W1[[#This Row],[Employee Name]],'Base Schedules'!$A$79:$AW$111,49,FALSE)),"")</f>
        <v/>
      </c>
      <c r="AY36" s="159" t="str">
        <f t="shared" si="2"/>
        <v/>
      </c>
    </row>
    <row r="37" spans="1:51" s="44" customFormat="1" hidden="1" thickBot="1" x14ac:dyDescent="0.25">
      <c r="A37" s="201"/>
      <c r="B37" s="201"/>
      <c r="C37" s="257" t="str">
        <f>_xlfn.IFNA(VLOOKUP(Sun_W1[[#This Row],[Employee Name]],'Base Schedules'!A:B,2,FALSE),"")</f>
        <v/>
      </c>
      <c r="D37" s="274" t="str">
        <f>_xlfn.IFNA(VLOOKUP(Sun_W1[[#This Row],[Employee Name]],'Base Schedules'!A:C,3,FALSE),"")</f>
        <v/>
      </c>
      <c r="E37" s="274" t="str">
        <f>_xlfn.IFNA(VLOOKUP(Sun_W1[[#This Row],[Employee Name]],'Base Schedules'!A:D,4,FALSE),"")</f>
        <v/>
      </c>
      <c r="F37" s="142" t="str">
        <f>IF(Sun_W1[[#This Row],[Employee Name]]="","",IF(Sun_W1[[#This Row],[Dept]]="Supervisor",COUNTIFS($J37:$AX37,"*HL*",$J37:$AX37,"&lt;&gt;"&amp;"pHL"),COUNTIFS($J37:$AX37,"*HL*",$J37:$AX37,"&lt;&gt;"&amp;"*pHL*",$J37:$AX37,"&lt;&gt;"&amp;"pB1 HL",$J37:$AX37,"&lt;&gt;"&amp;"pB2 HL")-SUM(COUNTIFS($J37:$AX37,"*HL B1*",$J37:$AX37,"&lt;&gt;"&amp;"pHL B1")*0.5,COUNTIFS($J37:$AX37,"*HL B2*",$J37:$AX37,"&lt;&gt;"&amp;"pHL B2")*0.5,COUNTIFS($J37:$AX37,"*B1 HL*",$J37:$AX37,"&lt;&gt;"&amp;"pB1 HL")*0.5,COUNTIFS($J37:$AX37,"*B2 HL*",$J37:$AX37,"&lt;&gt;"&amp;"pB2 HL")*0.5)))</f>
        <v/>
      </c>
      <c r="G37" s="142" t="str">
        <f t="shared" si="0"/>
        <v/>
      </c>
      <c r="H37" s="142" t="str">
        <f t="shared" si="1"/>
        <v/>
      </c>
      <c r="I37" s="142" t="str">
        <f>IF(Sun_W1[[#This Row],[Employee Name]]="","",IF(Sun_W1[[#This Row],[Dept]]="Supervisor",SUM(COUNTIFS($J37:$AX37,"RTA*",$J37:$AX37,"&lt;&gt;"&amp;"pRTA"),COUNTIFS($J37:$AX37,"*CRTA*",$J37:$AX37,"&lt;&gt;"&amp;"pCRTA")),COUNTIFS($J37:$AX37,"*RNNR*",$J37:$AX37,"&lt;&gt;"&amp;"*pRNNR*",$J37:$AX37,"&lt;&gt;"&amp;"pB1 RNNR",$J37:$AX37,"&lt;&gt;"&amp;"pB2 RNNR")-SUM(COUNTIFS($J37:$AX37,"*RNNR B1*",$J37:$AX37,"&lt;&gt;"&amp;"pRNNR B1")*0.5,COUNTIFS($J37:$AX37,"*RNNR B2*",$J37:$AX37,"&lt;&gt;"&amp;"pRNNR B2")*0.5,COUNTIFS($J37:$AX37,"*B1 RNNR*",$J37:$AX37,"&lt;&gt;"&amp;"pB1 RNNR")*0.5,COUNTIFS($J37:$AX37,"*B2 RNNR*",$J37:$AX37,"&lt;&gt;"&amp;"pB2 RNNR")*0.5)))</f>
        <v/>
      </c>
      <c r="J37" s="184" t="str">
        <f>IFERROR(IF(VLOOKUP(Sun_W1[[#This Row],[Employee Name]],'Base Schedules'!$A$79:$AW$111,9,FALSE)="","",VLOOKUP(Sun_W1[[#This Row],[Employee Name]],'Base Schedules'!$A$79:$AW$111,9,FALSE)),"")</f>
        <v/>
      </c>
      <c r="K37" s="184" t="str">
        <f>IFERROR(IF(VLOOKUP(Sun_W1[[#This Row],[Employee Name]],'Base Schedules'!$A$79:$AW$111,10,FALSE)="","",VLOOKUP(Sun_W1[[#This Row],[Employee Name]],'Base Schedules'!$A$79:$AW$111,10,FALSE)),"")</f>
        <v/>
      </c>
      <c r="L37" s="184" t="str">
        <f>IFERROR(IF(VLOOKUP(Sun_W1[[#This Row],[Employee Name]],'Base Schedules'!$A$79:$AW$111,11,FALSE)="","",VLOOKUP(Sun_W1[[#This Row],[Employee Name]],'Base Schedules'!$A$79:$AW$111,11,FALSE)),"")</f>
        <v/>
      </c>
      <c r="M37" s="184" t="str">
        <f>IFERROR(IF(VLOOKUP(Sun_W1[[#This Row],[Employee Name]],'Base Schedules'!$A$79:$AW$111,12,FALSE)="","",VLOOKUP(Sun_W1[[#This Row],[Employee Name]],'Base Schedules'!$A$79:$AW$111,12,FALSE)),"")</f>
        <v/>
      </c>
      <c r="N37" s="184" t="str">
        <f>IFERROR(IF(VLOOKUP(Sun_W1[[#This Row],[Employee Name]],'Base Schedules'!$A$79:$AW$111,13,FALSE)="","",VLOOKUP(Sun_W1[[#This Row],[Employee Name]],'Base Schedules'!$A$79:$AW$111,13,FALSE)),"")</f>
        <v/>
      </c>
      <c r="O37" s="184" t="str">
        <f>IFERROR(IF(VLOOKUP(Sun_W1[[#This Row],[Employee Name]],'Base Schedules'!$A$79:$AW$111,14,FALSE)="","",VLOOKUP(Sun_W1[[#This Row],[Employee Name]],'Base Schedules'!$A$79:$AW$111,14,FALSE)),"")</f>
        <v/>
      </c>
      <c r="P37" s="184" t="str">
        <f>IFERROR(IF(VLOOKUP(Sun_W1[[#This Row],[Employee Name]],'Base Schedules'!$A$79:$AW$111,15,FALSE)="","",VLOOKUP(Sun_W1[[#This Row],[Employee Name]],'Base Schedules'!$A$79:$AW$111,15,FALSE)),"")</f>
        <v/>
      </c>
      <c r="Q37" s="184" t="str">
        <f>IFERROR(IF(VLOOKUP(Sun_W1[[#This Row],[Employee Name]],'Base Schedules'!$A$79:$AW$111,16,FALSE)="","",VLOOKUP(Sun_W1[[#This Row],[Employee Name]],'Base Schedules'!$A$79:$AW$111,16,FALSE)),"")</f>
        <v/>
      </c>
      <c r="R37" s="184" t="str">
        <f>IFERROR(IF(VLOOKUP(Sun_W1[[#This Row],[Employee Name]],'Base Schedules'!$A$79:$AW$111,17,FALSE)="","",VLOOKUP(Sun_W1[[#This Row],[Employee Name]],'Base Schedules'!$A$79:$AW$111,17,FALSE)),"")</f>
        <v/>
      </c>
      <c r="S37" s="184" t="str">
        <f>IFERROR(IF(VLOOKUP(Sun_W1[[#This Row],[Employee Name]],'Base Schedules'!$A$79:$AW$111,18,FALSE)="","",VLOOKUP(Sun_W1[[#This Row],[Employee Name]],'Base Schedules'!$A$79:$AW$111,18,FALSE)),"")</f>
        <v/>
      </c>
      <c r="T37" s="184" t="str">
        <f>IFERROR(IF(VLOOKUP(Sun_W1[[#This Row],[Employee Name]],'Base Schedules'!$A$79:$AW$111,19,FALSE)="","",VLOOKUP(Sun_W1[[#This Row],[Employee Name]],'Base Schedules'!$A$79:$AW$111,19,FALSE)),"")</f>
        <v/>
      </c>
      <c r="U37" s="184" t="str">
        <f>IFERROR(IF(VLOOKUP(Sun_W1[[#This Row],[Employee Name]],'Base Schedules'!$A$79:$AW$111,20,FALSE)="","",VLOOKUP(Sun_W1[[#This Row],[Employee Name]],'Base Schedules'!$A$79:$AW$111,20,FALSE)),"")</f>
        <v/>
      </c>
      <c r="V37" s="184" t="str">
        <f>IFERROR(IF(VLOOKUP(Sun_W1[[#This Row],[Employee Name]],'Base Schedules'!$A$79:$AW$111,21,FALSE)="","",VLOOKUP(Sun_W1[[#This Row],[Employee Name]],'Base Schedules'!$A$79:$AW$111,21,FALSE)),"")</f>
        <v/>
      </c>
      <c r="W37" s="184" t="str">
        <f>IFERROR(IF(VLOOKUP(Sun_W1[[#This Row],[Employee Name]],'Base Schedules'!$A$79:$AW$111,22,FALSE)="","",VLOOKUP(Sun_W1[[#This Row],[Employee Name]],'Base Schedules'!$A$79:$AW$111,22,FALSE)),"")</f>
        <v/>
      </c>
      <c r="X37" s="184" t="str">
        <f>IFERROR(IF(VLOOKUP(Sun_W1[[#This Row],[Employee Name]],'Base Schedules'!$A$79:$AW$111,23,FALSE)="","",VLOOKUP(Sun_W1[[#This Row],[Employee Name]],'Base Schedules'!$A$79:$AW$111,23,FALSE)),"")</f>
        <v/>
      </c>
      <c r="Y37" s="184" t="str">
        <f>IFERROR(IF(VLOOKUP(Sun_W1[[#This Row],[Employee Name]],'Base Schedules'!$A$79:$AW$111,24,FALSE)="","",VLOOKUP(Sun_W1[[#This Row],[Employee Name]],'Base Schedules'!$A$79:$AW$111,24,FALSE)),"")</f>
        <v/>
      </c>
      <c r="Z37" s="184" t="str">
        <f>IFERROR(IF(VLOOKUP(Sun_W1[[#This Row],[Employee Name]],'Base Schedules'!$A$79:$AW$111,25,FALSE)="","",VLOOKUP(Sun_W1[[#This Row],[Employee Name]],'Base Schedules'!$A$79:$AW$111,25,FALSE)),"")</f>
        <v/>
      </c>
      <c r="AA37" s="184" t="str">
        <f>IFERROR(IF(VLOOKUP(Sun_W1[[#This Row],[Employee Name]],'Base Schedules'!$A$79:$AW$111,26,FALSE)="","",VLOOKUP(Sun_W1[[#This Row],[Employee Name]],'Base Schedules'!$A$79:$AW$111,26,FALSE)),"")</f>
        <v/>
      </c>
      <c r="AB37" s="184" t="str">
        <f>IFERROR(IF(VLOOKUP(Sun_W1[[#This Row],[Employee Name]],'Base Schedules'!$A$79:$AW$111,27,FALSE)="","",VLOOKUP(Sun_W1[[#This Row],[Employee Name]],'Base Schedules'!$A$79:$AW$111,27,FALSE)),"")</f>
        <v/>
      </c>
      <c r="AC37" s="184" t="str">
        <f>IFERROR(IF(VLOOKUP(Sun_W1[[#This Row],[Employee Name]],'Base Schedules'!$A$79:$AW$111,28,FALSE)="","",VLOOKUP(Sun_W1[[#This Row],[Employee Name]],'Base Schedules'!$A$79:$AW$111,28,FALSE)),"")</f>
        <v/>
      </c>
      <c r="AD37" s="184" t="str">
        <f>IFERROR(IF(VLOOKUP(Sun_W1[[#This Row],[Employee Name]],'Base Schedules'!$A$79:$AW$111,29,FALSE)="","",VLOOKUP(Sun_W1[[#This Row],[Employee Name]],'Base Schedules'!$A$79:$AW$111,29,FALSE)),"")</f>
        <v/>
      </c>
      <c r="AE37" s="184" t="str">
        <f>IFERROR(IF(VLOOKUP(Sun_W1[[#This Row],[Employee Name]],'Base Schedules'!$A$79:$AW$111,30,FALSE)="","",VLOOKUP(Sun_W1[[#This Row],[Employee Name]],'Base Schedules'!$A$79:$AW$111,30,FALSE)),"")</f>
        <v/>
      </c>
      <c r="AF37" s="184" t="str">
        <f>IFERROR(IF(VLOOKUP(Sun_W1[[#This Row],[Employee Name]],'Base Schedules'!$A$79:$AW$111,31,FALSE)="","",VLOOKUP(Sun_W1[[#This Row],[Employee Name]],'Base Schedules'!$A$79:$AW$111,31,FALSE)),"")</f>
        <v/>
      </c>
      <c r="AG37" s="184" t="str">
        <f>IFERROR(IF(VLOOKUP(Sun_W1[[#This Row],[Employee Name]],'Base Schedules'!$A$79:$AW$111,32,FALSE)="","",VLOOKUP(Sun_W1[[#This Row],[Employee Name]],'Base Schedules'!$A$79:$AW$111,32,FALSE)),"")</f>
        <v/>
      </c>
      <c r="AH37" s="184" t="str">
        <f>IFERROR(IF(VLOOKUP(Sun_W1[[#This Row],[Employee Name]],'Base Schedules'!$A$79:$AW$111,33,FALSE)="","",VLOOKUP(Sun_W1[[#This Row],[Employee Name]],'Base Schedules'!$A$79:$AW$111,33,FALSE)),"")</f>
        <v/>
      </c>
      <c r="AI37" s="184" t="str">
        <f>IFERROR(IF(VLOOKUP(Sun_W1[[#This Row],[Employee Name]],'Base Schedules'!$A$79:$AW$111,34,FALSE)="","",VLOOKUP(Sun_W1[[#This Row],[Employee Name]],'Base Schedules'!$A$79:$AW$111,34,FALSE)),"")</f>
        <v/>
      </c>
      <c r="AJ37" s="184" t="str">
        <f>IFERROR(IF(VLOOKUP(Sun_W1[[#This Row],[Employee Name]],'Base Schedules'!$A$79:$AW$111,35,FALSE)="","",VLOOKUP(Sun_W1[[#This Row],[Employee Name]],'Base Schedules'!$A$79:$AW$111,35,FALSE)),"")</f>
        <v/>
      </c>
      <c r="AK37" s="184" t="str">
        <f>IFERROR(IF(VLOOKUP(Sun_W1[[#This Row],[Employee Name]],'Base Schedules'!$A$79:$AW$111,36,FALSE)="","",VLOOKUP(Sun_W1[[#This Row],[Employee Name]],'Base Schedules'!$A$79:$AW$111,36,FALSE)),"")</f>
        <v/>
      </c>
      <c r="AL37" s="184" t="str">
        <f>IFERROR(IF(VLOOKUP(Sun_W1[[#This Row],[Employee Name]],'Base Schedules'!$A$79:$AW$111,37,FALSE)="","",VLOOKUP(Sun_W1[[#This Row],[Employee Name]],'Base Schedules'!$A$79:$AW$111,37,FALSE)),"")</f>
        <v/>
      </c>
      <c r="AM37" s="184" t="str">
        <f>IFERROR(IF(VLOOKUP(Sun_W1[[#This Row],[Employee Name]],'Base Schedules'!$A$79:$AW$111,38,FALSE)="","",VLOOKUP(Sun_W1[[#This Row],[Employee Name]],'Base Schedules'!$A$79:$AW$111,38,FALSE)),"")</f>
        <v/>
      </c>
      <c r="AN37" s="184" t="str">
        <f>IFERROR(IF(VLOOKUP(Sun_W1[[#This Row],[Employee Name]],'Base Schedules'!$A$79:$AW$111,39,FALSE)="","",VLOOKUP(Sun_W1[[#This Row],[Employee Name]],'Base Schedules'!$A$79:$AW$111,39,FALSE)),"")</f>
        <v/>
      </c>
      <c r="AO37" s="184" t="str">
        <f>IFERROR(IF(VLOOKUP(Sun_W1[[#This Row],[Employee Name]],'Base Schedules'!$A$79:$AW$111,40,FALSE)="","",VLOOKUP(Sun_W1[[#This Row],[Employee Name]],'Base Schedules'!$A$79:$AW$111,40,FALSE)),"")</f>
        <v/>
      </c>
      <c r="AP37" s="184" t="str">
        <f>IFERROR(IF(VLOOKUP(Sun_W1[[#This Row],[Employee Name]],'Base Schedules'!$A$79:$AW$111,41,FALSE)="","",VLOOKUP(Sun_W1[[#This Row],[Employee Name]],'Base Schedules'!$A$79:$AW$111,41,FALSE)),"")</f>
        <v/>
      </c>
      <c r="AQ37" s="184" t="str">
        <f>IFERROR(IF(VLOOKUP(Sun_W1[[#This Row],[Employee Name]],'Base Schedules'!$A$79:$AW$111,42,FALSE)="","",VLOOKUP(Sun_W1[[#This Row],[Employee Name]],'Base Schedules'!$A$79:$AW$111,42,FALSE)),"")</f>
        <v/>
      </c>
      <c r="AR37" s="184" t="str">
        <f>IFERROR(IF(VLOOKUP(Sun_W1[[#This Row],[Employee Name]],'Base Schedules'!$A$79:$AW$111,43,FALSE)="","",VLOOKUP(Sun_W1[[#This Row],[Employee Name]],'Base Schedules'!$A$79:$AW$111,43,FALSE)),"")</f>
        <v/>
      </c>
      <c r="AS37" s="184" t="str">
        <f>IFERROR(IF(VLOOKUP(Sun_W1[[#This Row],[Employee Name]],'Base Schedules'!$A$79:$AW$111,44,FALSE)="","",VLOOKUP(Sun_W1[[#This Row],[Employee Name]],'Base Schedules'!$A$79:$AW$111,44,FALSE)),"")</f>
        <v/>
      </c>
      <c r="AT37" s="184" t="str">
        <f>IFERROR(IF(VLOOKUP(Sun_W1[[#This Row],[Employee Name]],'Base Schedules'!$A$79:$AW$111,45,FALSE)="","",VLOOKUP(Sun_W1[[#This Row],[Employee Name]],'Base Schedules'!$A$79:$AW$111,45,FALSE)),"")</f>
        <v/>
      </c>
      <c r="AU37" s="184" t="str">
        <f>IFERROR(IF(VLOOKUP(Sun_W1[[#This Row],[Employee Name]],'Base Schedules'!$A$79:$AW$111,46,FALSE)="","",VLOOKUP(Sun_W1[[#This Row],[Employee Name]],'Base Schedules'!$A$79:$AW$111,46,FALSE)),"")</f>
        <v/>
      </c>
      <c r="AV37" s="184" t="str">
        <f>IFERROR(IF(VLOOKUP(Sun_W1[[#This Row],[Employee Name]],'Base Schedules'!$A$79:$AW$111,47,FALSE)="","",VLOOKUP(Sun_W1[[#This Row],[Employee Name]],'Base Schedules'!$A$79:$AW$111,47,FALSE)),"")</f>
        <v/>
      </c>
      <c r="AW37" s="184" t="str">
        <f>IFERROR(IF(VLOOKUP(Sun_W1[[#This Row],[Employee Name]],'Base Schedules'!$A$79:$AW$111,48,FALSE)="","",VLOOKUP(Sun_W1[[#This Row],[Employee Name]],'Base Schedules'!$A$79:$AW$111,48,FALSE)),"")</f>
        <v/>
      </c>
      <c r="AX37" s="184" t="str">
        <f>IFERROR(IF(VLOOKUP(Sun_W1[[#This Row],[Employee Name]],'Base Schedules'!$A$79:$AW$111,49,FALSE)="","",VLOOKUP(Sun_W1[[#This Row],[Employee Name]],'Base Schedules'!$A$79:$AW$111,49,FALSE)),"")</f>
        <v/>
      </c>
      <c r="AY37" s="159" t="str">
        <f t="shared" si="2"/>
        <v/>
      </c>
    </row>
    <row r="38" spans="1:51" s="44" customFormat="1" hidden="1" thickBot="1" x14ac:dyDescent="0.25">
      <c r="A38" s="201"/>
      <c r="B38" s="201"/>
      <c r="C38" s="257" t="str">
        <f>_xlfn.IFNA(VLOOKUP(Sun_W1[[#This Row],[Employee Name]],'Base Schedules'!A:B,2,FALSE),"")</f>
        <v/>
      </c>
      <c r="D38" s="274" t="str">
        <f>_xlfn.IFNA(VLOOKUP(Sun_W1[[#This Row],[Employee Name]],'Base Schedules'!A:C,3,FALSE),"")</f>
        <v/>
      </c>
      <c r="E38" s="274" t="str">
        <f>_xlfn.IFNA(VLOOKUP(Sun_W1[[#This Row],[Employee Name]],'Base Schedules'!A:D,4,FALSE),"")</f>
        <v/>
      </c>
      <c r="F38" s="142" t="str">
        <f>IF(Sun_W1[[#This Row],[Employee Name]]="","",IF(Sun_W1[[#This Row],[Dept]]="Supervisor",COUNTIFS($J38:$AX38,"*HL*",$J38:$AX38,"&lt;&gt;"&amp;"pHL"),COUNTIFS($J38:$AX38,"*HL*",$J38:$AX38,"&lt;&gt;"&amp;"*pHL*",$J38:$AX38,"&lt;&gt;"&amp;"pB1 HL",$J38:$AX38,"&lt;&gt;"&amp;"pB2 HL")-SUM(COUNTIFS($J38:$AX38,"*HL B1*",$J38:$AX38,"&lt;&gt;"&amp;"pHL B1")*0.5,COUNTIFS($J38:$AX38,"*HL B2*",$J38:$AX38,"&lt;&gt;"&amp;"pHL B2")*0.5,COUNTIFS($J38:$AX38,"*B1 HL*",$J38:$AX38,"&lt;&gt;"&amp;"pB1 HL")*0.5,COUNTIFS($J38:$AX38,"*B2 HL*",$J38:$AX38,"&lt;&gt;"&amp;"pB2 HL")*0.5)))</f>
        <v/>
      </c>
      <c r="G38" s="142" t="str">
        <f t="shared" si="0"/>
        <v/>
      </c>
      <c r="H38" s="142" t="str">
        <f t="shared" si="1"/>
        <v/>
      </c>
      <c r="I38" s="142" t="str">
        <f>IF(Sun_W1[[#This Row],[Employee Name]]="","",IF(Sun_W1[[#This Row],[Dept]]="Supervisor",SUM(COUNTIFS($J38:$AX38,"RTA*",$J38:$AX38,"&lt;&gt;"&amp;"pRTA"),COUNTIFS($J38:$AX38,"*CRTA*",$J38:$AX38,"&lt;&gt;"&amp;"pCRTA")),COUNTIFS($J38:$AX38,"*RNNR*",$J38:$AX38,"&lt;&gt;"&amp;"*pRNNR*",$J38:$AX38,"&lt;&gt;"&amp;"pB1 RNNR",$J38:$AX38,"&lt;&gt;"&amp;"pB2 RNNR")-SUM(COUNTIFS($J38:$AX38,"*RNNR B1*",$J38:$AX38,"&lt;&gt;"&amp;"pRNNR B1")*0.5,COUNTIFS($J38:$AX38,"*RNNR B2*",$J38:$AX38,"&lt;&gt;"&amp;"pRNNR B2")*0.5,COUNTIFS($J38:$AX38,"*B1 RNNR*",$J38:$AX38,"&lt;&gt;"&amp;"pB1 RNNR")*0.5,COUNTIFS($J38:$AX38,"*B2 RNNR*",$J38:$AX38,"&lt;&gt;"&amp;"pB2 RNNR")*0.5)))</f>
        <v/>
      </c>
      <c r="J38" s="184" t="str">
        <f>IFERROR(IF(VLOOKUP(Sun_W1[[#This Row],[Employee Name]],'Base Schedules'!$A$79:$AW$111,9,FALSE)="","",VLOOKUP(Sun_W1[[#This Row],[Employee Name]],'Base Schedules'!$A$79:$AW$111,9,FALSE)),"")</f>
        <v/>
      </c>
      <c r="K38" s="184" t="str">
        <f>IFERROR(IF(VLOOKUP(Sun_W1[[#This Row],[Employee Name]],'Base Schedules'!$A$79:$AW$111,10,FALSE)="","",VLOOKUP(Sun_W1[[#This Row],[Employee Name]],'Base Schedules'!$A$79:$AW$111,10,FALSE)),"")</f>
        <v/>
      </c>
      <c r="L38" s="184" t="str">
        <f>IFERROR(IF(VLOOKUP(Sun_W1[[#This Row],[Employee Name]],'Base Schedules'!$A$79:$AW$111,11,FALSE)="","",VLOOKUP(Sun_W1[[#This Row],[Employee Name]],'Base Schedules'!$A$79:$AW$111,11,FALSE)),"")</f>
        <v/>
      </c>
      <c r="M38" s="184" t="str">
        <f>IFERROR(IF(VLOOKUP(Sun_W1[[#This Row],[Employee Name]],'Base Schedules'!$A$79:$AW$111,12,FALSE)="","",VLOOKUP(Sun_W1[[#This Row],[Employee Name]],'Base Schedules'!$A$79:$AW$111,12,FALSE)),"")</f>
        <v/>
      </c>
      <c r="N38" s="184" t="str">
        <f>IFERROR(IF(VLOOKUP(Sun_W1[[#This Row],[Employee Name]],'Base Schedules'!$A$79:$AW$111,13,FALSE)="","",VLOOKUP(Sun_W1[[#This Row],[Employee Name]],'Base Schedules'!$A$79:$AW$111,13,FALSE)),"")</f>
        <v/>
      </c>
      <c r="O38" s="184" t="str">
        <f>IFERROR(IF(VLOOKUP(Sun_W1[[#This Row],[Employee Name]],'Base Schedules'!$A$79:$AW$111,14,FALSE)="","",VLOOKUP(Sun_W1[[#This Row],[Employee Name]],'Base Schedules'!$A$79:$AW$111,14,FALSE)),"")</f>
        <v/>
      </c>
      <c r="P38" s="184" t="str">
        <f>IFERROR(IF(VLOOKUP(Sun_W1[[#This Row],[Employee Name]],'Base Schedules'!$A$79:$AW$111,15,FALSE)="","",VLOOKUP(Sun_W1[[#This Row],[Employee Name]],'Base Schedules'!$A$79:$AW$111,15,FALSE)),"")</f>
        <v/>
      </c>
      <c r="Q38" s="184" t="str">
        <f>IFERROR(IF(VLOOKUP(Sun_W1[[#This Row],[Employee Name]],'Base Schedules'!$A$79:$AW$111,16,FALSE)="","",VLOOKUP(Sun_W1[[#This Row],[Employee Name]],'Base Schedules'!$A$79:$AW$111,16,FALSE)),"")</f>
        <v/>
      </c>
      <c r="R38" s="184" t="str">
        <f>IFERROR(IF(VLOOKUP(Sun_W1[[#This Row],[Employee Name]],'Base Schedules'!$A$79:$AW$111,17,FALSE)="","",VLOOKUP(Sun_W1[[#This Row],[Employee Name]],'Base Schedules'!$A$79:$AW$111,17,FALSE)),"")</f>
        <v/>
      </c>
      <c r="S38" s="184" t="str">
        <f>IFERROR(IF(VLOOKUP(Sun_W1[[#This Row],[Employee Name]],'Base Schedules'!$A$79:$AW$111,18,FALSE)="","",VLOOKUP(Sun_W1[[#This Row],[Employee Name]],'Base Schedules'!$A$79:$AW$111,18,FALSE)),"")</f>
        <v/>
      </c>
      <c r="T38" s="184" t="str">
        <f>IFERROR(IF(VLOOKUP(Sun_W1[[#This Row],[Employee Name]],'Base Schedules'!$A$79:$AW$111,19,FALSE)="","",VLOOKUP(Sun_W1[[#This Row],[Employee Name]],'Base Schedules'!$A$79:$AW$111,19,FALSE)),"")</f>
        <v/>
      </c>
      <c r="U38" s="184" t="str">
        <f>IFERROR(IF(VLOOKUP(Sun_W1[[#This Row],[Employee Name]],'Base Schedules'!$A$79:$AW$111,20,FALSE)="","",VLOOKUP(Sun_W1[[#This Row],[Employee Name]],'Base Schedules'!$A$79:$AW$111,20,FALSE)),"")</f>
        <v/>
      </c>
      <c r="V38" s="184" t="str">
        <f>IFERROR(IF(VLOOKUP(Sun_W1[[#This Row],[Employee Name]],'Base Schedules'!$A$79:$AW$111,21,FALSE)="","",VLOOKUP(Sun_W1[[#This Row],[Employee Name]],'Base Schedules'!$A$79:$AW$111,21,FALSE)),"")</f>
        <v/>
      </c>
      <c r="W38" s="184" t="str">
        <f>IFERROR(IF(VLOOKUP(Sun_W1[[#This Row],[Employee Name]],'Base Schedules'!$A$79:$AW$111,22,FALSE)="","",VLOOKUP(Sun_W1[[#This Row],[Employee Name]],'Base Schedules'!$A$79:$AW$111,22,FALSE)),"")</f>
        <v/>
      </c>
      <c r="X38" s="184" t="str">
        <f>IFERROR(IF(VLOOKUP(Sun_W1[[#This Row],[Employee Name]],'Base Schedules'!$A$79:$AW$111,23,FALSE)="","",VLOOKUP(Sun_W1[[#This Row],[Employee Name]],'Base Schedules'!$A$79:$AW$111,23,FALSE)),"")</f>
        <v/>
      </c>
      <c r="Y38" s="184" t="str">
        <f>IFERROR(IF(VLOOKUP(Sun_W1[[#This Row],[Employee Name]],'Base Schedules'!$A$79:$AW$111,24,FALSE)="","",VLOOKUP(Sun_W1[[#This Row],[Employee Name]],'Base Schedules'!$A$79:$AW$111,24,FALSE)),"")</f>
        <v/>
      </c>
      <c r="Z38" s="184" t="str">
        <f>IFERROR(IF(VLOOKUP(Sun_W1[[#This Row],[Employee Name]],'Base Schedules'!$A$79:$AW$111,25,FALSE)="","",VLOOKUP(Sun_W1[[#This Row],[Employee Name]],'Base Schedules'!$A$79:$AW$111,25,FALSE)),"")</f>
        <v/>
      </c>
      <c r="AA38" s="184" t="str">
        <f>IFERROR(IF(VLOOKUP(Sun_W1[[#This Row],[Employee Name]],'Base Schedules'!$A$79:$AW$111,26,FALSE)="","",VLOOKUP(Sun_W1[[#This Row],[Employee Name]],'Base Schedules'!$A$79:$AW$111,26,FALSE)),"")</f>
        <v/>
      </c>
      <c r="AB38" s="184" t="str">
        <f>IFERROR(IF(VLOOKUP(Sun_W1[[#This Row],[Employee Name]],'Base Schedules'!$A$79:$AW$111,27,FALSE)="","",VLOOKUP(Sun_W1[[#This Row],[Employee Name]],'Base Schedules'!$A$79:$AW$111,27,FALSE)),"")</f>
        <v/>
      </c>
      <c r="AC38" s="184" t="str">
        <f>IFERROR(IF(VLOOKUP(Sun_W1[[#This Row],[Employee Name]],'Base Schedules'!$A$79:$AW$111,28,FALSE)="","",VLOOKUP(Sun_W1[[#This Row],[Employee Name]],'Base Schedules'!$A$79:$AW$111,28,FALSE)),"")</f>
        <v/>
      </c>
      <c r="AD38" s="184" t="str">
        <f>IFERROR(IF(VLOOKUP(Sun_W1[[#This Row],[Employee Name]],'Base Schedules'!$A$79:$AW$111,29,FALSE)="","",VLOOKUP(Sun_W1[[#This Row],[Employee Name]],'Base Schedules'!$A$79:$AW$111,29,FALSE)),"")</f>
        <v/>
      </c>
      <c r="AE38" s="184" t="str">
        <f>IFERROR(IF(VLOOKUP(Sun_W1[[#This Row],[Employee Name]],'Base Schedules'!$A$79:$AW$111,30,FALSE)="","",VLOOKUP(Sun_W1[[#This Row],[Employee Name]],'Base Schedules'!$A$79:$AW$111,30,FALSE)),"")</f>
        <v/>
      </c>
      <c r="AF38" s="184" t="str">
        <f>IFERROR(IF(VLOOKUP(Sun_W1[[#This Row],[Employee Name]],'Base Schedules'!$A$79:$AW$111,31,FALSE)="","",VLOOKUP(Sun_W1[[#This Row],[Employee Name]],'Base Schedules'!$A$79:$AW$111,31,FALSE)),"")</f>
        <v/>
      </c>
      <c r="AG38" s="184" t="str">
        <f>IFERROR(IF(VLOOKUP(Sun_W1[[#This Row],[Employee Name]],'Base Schedules'!$A$79:$AW$111,32,FALSE)="","",VLOOKUP(Sun_W1[[#This Row],[Employee Name]],'Base Schedules'!$A$79:$AW$111,32,FALSE)),"")</f>
        <v/>
      </c>
      <c r="AH38" s="184" t="str">
        <f>IFERROR(IF(VLOOKUP(Sun_W1[[#This Row],[Employee Name]],'Base Schedules'!$A$79:$AW$111,33,FALSE)="","",VLOOKUP(Sun_W1[[#This Row],[Employee Name]],'Base Schedules'!$A$79:$AW$111,33,FALSE)),"")</f>
        <v/>
      </c>
      <c r="AI38" s="184" t="str">
        <f>IFERROR(IF(VLOOKUP(Sun_W1[[#This Row],[Employee Name]],'Base Schedules'!$A$79:$AW$111,34,FALSE)="","",VLOOKUP(Sun_W1[[#This Row],[Employee Name]],'Base Schedules'!$A$79:$AW$111,34,FALSE)),"")</f>
        <v/>
      </c>
      <c r="AJ38" s="184" t="str">
        <f>IFERROR(IF(VLOOKUP(Sun_W1[[#This Row],[Employee Name]],'Base Schedules'!$A$79:$AW$111,35,FALSE)="","",VLOOKUP(Sun_W1[[#This Row],[Employee Name]],'Base Schedules'!$A$79:$AW$111,35,FALSE)),"")</f>
        <v/>
      </c>
      <c r="AK38" s="184" t="str">
        <f>IFERROR(IF(VLOOKUP(Sun_W1[[#This Row],[Employee Name]],'Base Schedules'!$A$79:$AW$111,36,FALSE)="","",VLOOKUP(Sun_W1[[#This Row],[Employee Name]],'Base Schedules'!$A$79:$AW$111,36,FALSE)),"")</f>
        <v/>
      </c>
      <c r="AL38" s="184" t="str">
        <f>IFERROR(IF(VLOOKUP(Sun_W1[[#This Row],[Employee Name]],'Base Schedules'!$A$79:$AW$111,37,FALSE)="","",VLOOKUP(Sun_W1[[#This Row],[Employee Name]],'Base Schedules'!$A$79:$AW$111,37,FALSE)),"")</f>
        <v/>
      </c>
      <c r="AM38" s="184" t="str">
        <f>IFERROR(IF(VLOOKUP(Sun_W1[[#This Row],[Employee Name]],'Base Schedules'!$A$79:$AW$111,38,FALSE)="","",VLOOKUP(Sun_W1[[#This Row],[Employee Name]],'Base Schedules'!$A$79:$AW$111,38,FALSE)),"")</f>
        <v/>
      </c>
      <c r="AN38" s="184" t="str">
        <f>IFERROR(IF(VLOOKUP(Sun_W1[[#This Row],[Employee Name]],'Base Schedules'!$A$79:$AW$111,39,FALSE)="","",VLOOKUP(Sun_W1[[#This Row],[Employee Name]],'Base Schedules'!$A$79:$AW$111,39,FALSE)),"")</f>
        <v/>
      </c>
      <c r="AO38" s="184" t="str">
        <f>IFERROR(IF(VLOOKUP(Sun_W1[[#This Row],[Employee Name]],'Base Schedules'!$A$79:$AW$111,40,FALSE)="","",VLOOKUP(Sun_W1[[#This Row],[Employee Name]],'Base Schedules'!$A$79:$AW$111,40,FALSE)),"")</f>
        <v/>
      </c>
      <c r="AP38" s="184" t="str">
        <f>IFERROR(IF(VLOOKUP(Sun_W1[[#This Row],[Employee Name]],'Base Schedules'!$A$79:$AW$111,41,FALSE)="","",VLOOKUP(Sun_W1[[#This Row],[Employee Name]],'Base Schedules'!$A$79:$AW$111,41,FALSE)),"")</f>
        <v/>
      </c>
      <c r="AQ38" s="184" t="str">
        <f>IFERROR(IF(VLOOKUP(Sun_W1[[#This Row],[Employee Name]],'Base Schedules'!$A$79:$AW$111,42,FALSE)="","",VLOOKUP(Sun_W1[[#This Row],[Employee Name]],'Base Schedules'!$A$79:$AW$111,42,FALSE)),"")</f>
        <v/>
      </c>
      <c r="AR38" s="184" t="str">
        <f>IFERROR(IF(VLOOKUP(Sun_W1[[#This Row],[Employee Name]],'Base Schedules'!$A$79:$AW$111,43,FALSE)="","",VLOOKUP(Sun_W1[[#This Row],[Employee Name]],'Base Schedules'!$A$79:$AW$111,43,FALSE)),"")</f>
        <v/>
      </c>
      <c r="AS38" s="184" t="str">
        <f>IFERROR(IF(VLOOKUP(Sun_W1[[#This Row],[Employee Name]],'Base Schedules'!$A$79:$AW$111,44,FALSE)="","",VLOOKUP(Sun_W1[[#This Row],[Employee Name]],'Base Schedules'!$A$79:$AW$111,44,FALSE)),"")</f>
        <v/>
      </c>
      <c r="AT38" s="184" t="str">
        <f>IFERROR(IF(VLOOKUP(Sun_W1[[#This Row],[Employee Name]],'Base Schedules'!$A$79:$AW$111,45,FALSE)="","",VLOOKUP(Sun_W1[[#This Row],[Employee Name]],'Base Schedules'!$A$79:$AW$111,45,FALSE)),"")</f>
        <v/>
      </c>
      <c r="AU38" s="184" t="str">
        <f>IFERROR(IF(VLOOKUP(Sun_W1[[#This Row],[Employee Name]],'Base Schedules'!$A$79:$AW$111,46,FALSE)="","",VLOOKUP(Sun_W1[[#This Row],[Employee Name]],'Base Schedules'!$A$79:$AW$111,46,FALSE)),"")</f>
        <v/>
      </c>
      <c r="AV38" s="184" t="str">
        <f>IFERROR(IF(VLOOKUP(Sun_W1[[#This Row],[Employee Name]],'Base Schedules'!$A$79:$AW$111,47,FALSE)="","",VLOOKUP(Sun_W1[[#This Row],[Employee Name]],'Base Schedules'!$A$79:$AW$111,47,FALSE)),"")</f>
        <v/>
      </c>
      <c r="AW38" s="184" t="str">
        <f>IFERROR(IF(VLOOKUP(Sun_W1[[#This Row],[Employee Name]],'Base Schedules'!$A$79:$AW$111,48,FALSE)="","",VLOOKUP(Sun_W1[[#This Row],[Employee Name]],'Base Schedules'!$A$79:$AW$111,48,FALSE)),"")</f>
        <v/>
      </c>
      <c r="AX38" s="184" t="str">
        <f>IFERROR(IF(VLOOKUP(Sun_W1[[#This Row],[Employee Name]],'Base Schedules'!$A$79:$AW$111,49,FALSE)="","",VLOOKUP(Sun_W1[[#This Row],[Employee Name]],'Base Schedules'!$A$79:$AW$111,49,FALSE)),"")</f>
        <v/>
      </c>
      <c r="AY38" s="159" t="str">
        <f t="shared" si="2"/>
        <v/>
      </c>
    </row>
    <row r="39" spans="1:51" s="44" customFormat="1" hidden="1" thickBot="1" x14ac:dyDescent="0.25">
      <c r="A39" s="201"/>
      <c r="B39" s="201"/>
      <c r="C39" s="257" t="str">
        <f>_xlfn.IFNA(VLOOKUP(Sun_W1[[#This Row],[Employee Name]],'Base Schedules'!A:B,2,FALSE),"")</f>
        <v/>
      </c>
      <c r="D39" s="274" t="str">
        <f>_xlfn.IFNA(VLOOKUP(Sun_W1[[#This Row],[Employee Name]],'Base Schedules'!A:C,3,FALSE),"")</f>
        <v/>
      </c>
      <c r="E39" s="274" t="str">
        <f>_xlfn.IFNA(VLOOKUP(Sun_W1[[#This Row],[Employee Name]],'Base Schedules'!A:D,4,FALSE),"")</f>
        <v/>
      </c>
      <c r="F39" s="142" t="str">
        <f>IF(Sun_W1[[#This Row],[Employee Name]]="","",IF(Sun_W1[[#This Row],[Dept]]="Supervisor",COUNTIFS($J39:$AX39,"*HL*",$J39:$AX39,"&lt;&gt;"&amp;"pHL"),COUNTIFS($J39:$AX39,"*HL*",$J39:$AX39,"&lt;&gt;"&amp;"*pHL*",$J39:$AX39,"&lt;&gt;"&amp;"pB1 HL",$J39:$AX39,"&lt;&gt;"&amp;"pB2 HL")-SUM(COUNTIFS($J39:$AX39,"*HL B1*",$J39:$AX39,"&lt;&gt;"&amp;"pHL B1")*0.5,COUNTIFS($J39:$AX39,"*HL B2*",$J39:$AX39,"&lt;&gt;"&amp;"pHL B2")*0.5,COUNTIFS($J39:$AX39,"*B1 HL*",$J39:$AX39,"&lt;&gt;"&amp;"pB1 HL")*0.5,COUNTIFS($J39:$AX39,"*B2 HL*",$J39:$AX39,"&lt;&gt;"&amp;"pB2 HL")*0.5)))</f>
        <v/>
      </c>
      <c r="G39" s="142" t="str">
        <f t="shared" si="0"/>
        <v/>
      </c>
      <c r="H39" s="142" t="str">
        <f t="shared" si="1"/>
        <v/>
      </c>
      <c r="I39" s="142" t="str">
        <f>IF(Sun_W1[[#This Row],[Employee Name]]="","",IF(Sun_W1[[#This Row],[Dept]]="Supervisor",SUM(COUNTIFS($J39:$AX39,"RTA*",$J39:$AX39,"&lt;&gt;"&amp;"pRTA"),COUNTIFS($J39:$AX39,"*CRTA*",$J39:$AX39,"&lt;&gt;"&amp;"pCRTA")),COUNTIFS($J39:$AX39,"*RNNR*",$J39:$AX39,"&lt;&gt;"&amp;"*pRNNR*",$J39:$AX39,"&lt;&gt;"&amp;"pB1 RNNR",$J39:$AX39,"&lt;&gt;"&amp;"pB2 RNNR")-SUM(COUNTIFS($J39:$AX39,"*RNNR B1*",$J39:$AX39,"&lt;&gt;"&amp;"pRNNR B1")*0.5,COUNTIFS($J39:$AX39,"*RNNR B2*",$J39:$AX39,"&lt;&gt;"&amp;"pRNNR B2")*0.5,COUNTIFS($J39:$AX39,"*B1 RNNR*",$J39:$AX39,"&lt;&gt;"&amp;"pB1 RNNR")*0.5,COUNTIFS($J39:$AX39,"*B2 RNNR*",$J39:$AX39,"&lt;&gt;"&amp;"pB2 RNNR")*0.5)))</f>
        <v/>
      </c>
      <c r="J39" s="184" t="str">
        <f>IFERROR(IF(VLOOKUP(Sun_W1[[#This Row],[Employee Name]],'Base Schedules'!$A$79:$AW$111,9,FALSE)="","",VLOOKUP(Sun_W1[[#This Row],[Employee Name]],'Base Schedules'!$A$79:$AW$111,9,FALSE)),"")</f>
        <v/>
      </c>
      <c r="K39" s="184" t="str">
        <f>IFERROR(IF(VLOOKUP(Sun_W1[[#This Row],[Employee Name]],'Base Schedules'!$A$79:$AW$111,10,FALSE)="","",VLOOKUP(Sun_W1[[#This Row],[Employee Name]],'Base Schedules'!$A$79:$AW$111,10,FALSE)),"")</f>
        <v/>
      </c>
      <c r="L39" s="184" t="str">
        <f>IFERROR(IF(VLOOKUP(Sun_W1[[#This Row],[Employee Name]],'Base Schedules'!$A$79:$AW$111,11,FALSE)="","",VLOOKUP(Sun_W1[[#This Row],[Employee Name]],'Base Schedules'!$A$79:$AW$111,11,FALSE)),"")</f>
        <v/>
      </c>
      <c r="M39" s="184" t="str">
        <f>IFERROR(IF(VLOOKUP(Sun_W1[[#This Row],[Employee Name]],'Base Schedules'!$A$79:$AW$111,12,FALSE)="","",VLOOKUP(Sun_W1[[#This Row],[Employee Name]],'Base Schedules'!$A$79:$AW$111,12,FALSE)),"")</f>
        <v/>
      </c>
      <c r="N39" s="184" t="str">
        <f>IFERROR(IF(VLOOKUP(Sun_W1[[#This Row],[Employee Name]],'Base Schedules'!$A$79:$AW$111,13,FALSE)="","",VLOOKUP(Sun_W1[[#This Row],[Employee Name]],'Base Schedules'!$A$79:$AW$111,13,FALSE)),"")</f>
        <v/>
      </c>
      <c r="O39" s="184" t="str">
        <f>IFERROR(IF(VLOOKUP(Sun_W1[[#This Row],[Employee Name]],'Base Schedules'!$A$79:$AW$111,14,FALSE)="","",VLOOKUP(Sun_W1[[#This Row],[Employee Name]],'Base Schedules'!$A$79:$AW$111,14,FALSE)),"")</f>
        <v/>
      </c>
      <c r="P39" s="184" t="str">
        <f>IFERROR(IF(VLOOKUP(Sun_W1[[#This Row],[Employee Name]],'Base Schedules'!$A$79:$AW$111,15,FALSE)="","",VLOOKUP(Sun_W1[[#This Row],[Employee Name]],'Base Schedules'!$A$79:$AW$111,15,FALSE)),"")</f>
        <v/>
      </c>
      <c r="Q39" s="184" t="str">
        <f>IFERROR(IF(VLOOKUP(Sun_W1[[#This Row],[Employee Name]],'Base Schedules'!$A$79:$AW$111,16,FALSE)="","",VLOOKUP(Sun_W1[[#This Row],[Employee Name]],'Base Schedules'!$A$79:$AW$111,16,FALSE)),"")</f>
        <v/>
      </c>
      <c r="R39" s="184" t="str">
        <f>IFERROR(IF(VLOOKUP(Sun_W1[[#This Row],[Employee Name]],'Base Schedules'!$A$79:$AW$111,17,FALSE)="","",VLOOKUP(Sun_W1[[#This Row],[Employee Name]],'Base Schedules'!$A$79:$AW$111,17,FALSE)),"")</f>
        <v/>
      </c>
      <c r="S39" s="184" t="str">
        <f>IFERROR(IF(VLOOKUP(Sun_W1[[#This Row],[Employee Name]],'Base Schedules'!$A$79:$AW$111,18,FALSE)="","",VLOOKUP(Sun_W1[[#This Row],[Employee Name]],'Base Schedules'!$A$79:$AW$111,18,FALSE)),"")</f>
        <v/>
      </c>
      <c r="T39" s="184" t="str">
        <f>IFERROR(IF(VLOOKUP(Sun_W1[[#This Row],[Employee Name]],'Base Schedules'!$A$79:$AW$111,19,FALSE)="","",VLOOKUP(Sun_W1[[#This Row],[Employee Name]],'Base Schedules'!$A$79:$AW$111,19,FALSE)),"")</f>
        <v/>
      </c>
      <c r="U39" s="184" t="str">
        <f>IFERROR(IF(VLOOKUP(Sun_W1[[#This Row],[Employee Name]],'Base Schedules'!$A$79:$AW$111,20,FALSE)="","",VLOOKUP(Sun_W1[[#This Row],[Employee Name]],'Base Schedules'!$A$79:$AW$111,20,FALSE)),"")</f>
        <v/>
      </c>
      <c r="V39" s="184" t="str">
        <f>IFERROR(IF(VLOOKUP(Sun_W1[[#This Row],[Employee Name]],'Base Schedules'!$A$79:$AW$111,21,FALSE)="","",VLOOKUP(Sun_W1[[#This Row],[Employee Name]],'Base Schedules'!$A$79:$AW$111,21,FALSE)),"")</f>
        <v/>
      </c>
      <c r="W39" s="184" t="str">
        <f>IFERROR(IF(VLOOKUP(Sun_W1[[#This Row],[Employee Name]],'Base Schedules'!$A$79:$AW$111,22,FALSE)="","",VLOOKUP(Sun_W1[[#This Row],[Employee Name]],'Base Schedules'!$A$79:$AW$111,22,FALSE)),"")</f>
        <v/>
      </c>
      <c r="X39" s="184" t="str">
        <f>IFERROR(IF(VLOOKUP(Sun_W1[[#This Row],[Employee Name]],'Base Schedules'!$A$79:$AW$111,23,FALSE)="","",VLOOKUP(Sun_W1[[#This Row],[Employee Name]],'Base Schedules'!$A$79:$AW$111,23,FALSE)),"")</f>
        <v/>
      </c>
      <c r="Y39" s="184" t="str">
        <f>IFERROR(IF(VLOOKUP(Sun_W1[[#This Row],[Employee Name]],'Base Schedules'!$A$79:$AW$111,24,FALSE)="","",VLOOKUP(Sun_W1[[#This Row],[Employee Name]],'Base Schedules'!$A$79:$AW$111,24,FALSE)),"")</f>
        <v/>
      </c>
      <c r="Z39" s="184" t="str">
        <f>IFERROR(IF(VLOOKUP(Sun_W1[[#This Row],[Employee Name]],'Base Schedules'!$A$79:$AW$111,25,FALSE)="","",VLOOKUP(Sun_W1[[#This Row],[Employee Name]],'Base Schedules'!$A$79:$AW$111,25,FALSE)),"")</f>
        <v/>
      </c>
      <c r="AA39" s="184" t="str">
        <f>IFERROR(IF(VLOOKUP(Sun_W1[[#This Row],[Employee Name]],'Base Schedules'!$A$79:$AW$111,26,FALSE)="","",VLOOKUP(Sun_W1[[#This Row],[Employee Name]],'Base Schedules'!$A$79:$AW$111,26,FALSE)),"")</f>
        <v/>
      </c>
      <c r="AB39" s="184" t="str">
        <f>IFERROR(IF(VLOOKUP(Sun_W1[[#This Row],[Employee Name]],'Base Schedules'!$A$79:$AW$111,27,FALSE)="","",VLOOKUP(Sun_W1[[#This Row],[Employee Name]],'Base Schedules'!$A$79:$AW$111,27,FALSE)),"")</f>
        <v/>
      </c>
      <c r="AC39" s="184" t="str">
        <f>IFERROR(IF(VLOOKUP(Sun_W1[[#This Row],[Employee Name]],'Base Schedules'!$A$79:$AW$111,28,FALSE)="","",VLOOKUP(Sun_W1[[#This Row],[Employee Name]],'Base Schedules'!$A$79:$AW$111,28,FALSE)),"")</f>
        <v/>
      </c>
      <c r="AD39" s="184" t="str">
        <f>IFERROR(IF(VLOOKUP(Sun_W1[[#This Row],[Employee Name]],'Base Schedules'!$A$79:$AW$111,29,FALSE)="","",VLOOKUP(Sun_W1[[#This Row],[Employee Name]],'Base Schedules'!$A$79:$AW$111,29,FALSE)),"")</f>
        <v/>
      </c>
      <c r="AE39" s="184" t="str">
        <f>IFERROR(IF(VLOOKUP(Sun_W1[[#This Row],[Employee Name]],'Base Schedules'!$A$79:$AW$111,30,FALSE)="","",VLOOKUP(Sun_W1[[#This Row],[Employee Name]],'Base Schedules'!$A$79:$AW$111,30,FALSE)),"")</f>
        <v/>
      </c>
      <c r="AF39" s="184" t="str">
        <f>IFERROR(IF(VLOOKUP(Sun_W1[[#This Row],[Employee Name]],'Base Schedules'!$A$79:$AW$111,31,FALSE)="","",VLOOKUP(Sun_W1[[#This Row],[Employee Name]],'Base Schedules'!$A$79:$AW$111,31,FALSE)),"")</f>
        <v/>
      </c>
      <c r="AG39" s="184" t="str">
        <f>IFERROR(IF(VLOOKUP(Sun_W1[[#This Row],[Employee Name]],'Base Schedules'!$A$79:$AW$111,32,FALSE)="","",VLOOKUP(Sun_W1[[#This Row],[Employee Name]],'Base Schedules'!$A$79:$AW$111,32,FALSE)),"")</f>
        <v/>
      </c>
      <c r="AH39" s="184" t="str">
        <f>IFERROR(IF(VLOOKUP(Sun_W1[[#This Row],[Employee Name]],'Base Schedules'!$A$79:$AW$111,33,FALSE)="","",VLOOKUP(Sun_W1[[#This Row],[Employee Name]],'Base Schedules'!$A$79:$AW$111,33,FALSE)),"")</f>
        <v/>
      </c>
      <c r="AI39" s="184" t="str">
        <f>IFERROR(IF(VLOOKUP(Sun_W1[[#This Row],[Employee Name]],'Base Schedules'!$A$79:$AW$111,34,FALSE)="","",VLOOKUP(Sun_W1[[#This Row],[Employee Name]],'Base Schedules'!$A$79:$AW$111,34,FALSE)),"")</f>
        <v/>
      </c>
      <c r="AJ39" s="184" t="str">
        <f>IFERROR(IF(VLOOKUP(Sun_W1[[#This Row],[Employee Name]],'Base Schedules'!$A$79:$AW$111,35,FALSE)="","",VLOOKUP(Sun_W1[[#This Row],[Employee Name]],'Base Schedules'!$A$79:$AW$111,35,FALSE)),"")</f>
        <v/>
      </c>
      <c r="AK39" s="184" t="str">
        <f>IFERROR(IF(VLOOKUP(Sun_W1[[#This Row],[Employee Name]],'Base Schedules'!$A$79:$AW$111,36,FALSE)="","",VLOOKUP(Sun_W1[[#This Row],[Employee Name]],'Base Schedules'!$A$79:$AW$111,36,FALSE)),"")</f>
        <v/>
      </c>
      <c r="AL39" s="184" t="str">
        <f>IFERROR(IF(VLOOKUP(Sun_W1[[#This Row],[Employee Name]],'Base Schedules'!$A$79:$AW$111,37,FALSE)="","",VLOOKUP(Sun_W1[[#This Row],[Employee Name]],'Base Schedules'!$A$79:$AW$111,37,FALSE)),"")</f>
        <v/>
      </c>
      <c r="AM39" s="184" t="str">
        <f>IFERROR(IF(VLOOKUP(Sun_W1[[#This Row],[Employee Name]],'Base Schedules'!$A$79:$AW$111,38,FALSE)="","",VLOOKUP(Sun_W1[[#This Row],[Employee Name]],'Base Schedules'!$A$79:$AW$111,38,FALSE)),"")</f>
        <v/>
      </c>
      <c r="AN39" s="184" t="str">
        <f>IFERROR(IF(VLOOKUP(Sun_W1[[#This Row],[Employee Name]],'Base Schedules'!$A$79:$AW$111,39,FALSE)="","",VLOOKUP(Sun_W1[[#This Row],[Employee Name]],'Base Schedules'!$A$79:$AW$111,39,FALSE)),"")</f>
        <v/>
      </c>
      <c r="AO39" s="184" t="str">
        <f>IFERROR(IF(VLOOKUP(Sun_W1[[#This Row],[Employee Name]],'Base Schedules'!$A$79:$AW$111,40,FALSE)="","",VLOOKUP(Sun_W1[[#This Row],[Employee Name]],'Base Schedules'!$A$79:$AW$111,40,FALSE)),"")</f>
        <v/>
      </c>
      <c r="AP39" s="184" t="str">
        <f>IFERROR(IF(VLOOKUP(Sun_W1[[#This Row],[Employee Name]],'Base Schedules'!$A$79:$AW$111,41,FALSE)="","",VLOOKUP(Sun_W1[[#This Row],[Employee Name]],'Base Schedules'!$A$79:$AW$111,41,FALSE)),"")</f>
        <v/>
      </c>
      <c r="AQ39" s="184" t="str">
        <f>IFERROR(IF(VLOOKUP(Sun_W1[[#This Row],[Employee Name]],'Base Schedules'!$A$79:$AW$111,42,FALSE)="","",VLOOKUP(Sun_W1[[#This Row],[Employee Name]],'Base Schedules'!$A$79:$AW$111,42,FALSE)),"")</f>
        <v/>
      </c>
      <c r="AR39" s="184" t="str">
        <f>IFERROR(IF(VLOOKUP(Sun_W1[[#This Row],[Employee Name]],'Base Schedules'!$A$79:$AW$111,43,FALSE)="","",VLOOKUP(Sun_W1[[#This Row],[Employee Name]],'Base Schedules'!$A$79:$AW$111,43,FALSE)),"")</f>
        <v/>
      </c>
      <c r="AS39" s="184" t="str">
        <f>IFERROR(IF(VLOOKUP(Sun_W1[[#This Row],[Employee Name]],'Base Schedules'!$A$79:$AW$111,44,FALSE)="","",VLOOKUP(Sun_W1[[#This Row],[Employee Name]],'Base Schedules'!$A$79:$AW$111,44,FALSE)),"")</f>
        <v/>
      </c>
      <c r="AT39" s="184" t="str">
        <f>IFERROR(IF(VLOOKUP(Sun_W1[[#This Row],[Employee Name]],'Base Schedules'!$A$79:$AW$111,45,FALSE)="","",VLOOKUP(Sun_W1[[#This Row],[Employee Name]],'Base Schedules'!$A$79:$AW$111,45,FALSE)),"")</f>
        <v/>
      </c>
      <c r="AU39" s="184" t="str">
        <f>IFERROR(IF(VLOOKUP(Sun_W1[[#This Row],[Employee Name]],'Base Schedules'!$A$79:$AW$111,46,FALSE)="","",VLOOKUP(Sun_W1[[#This Row],[Employee Name]],'Base Schedules'!$A$79:$AW$111,46,FALSE)),"")</f>
        <v/>
      </c>
      <c r="AV39" s="184" t="str">
        <f>IFERROR(IF(VLOOKUP(Sun_W1[[#This Row],[Employee Name]],'Base Schedules'!$A$79:$AW$111,47,FALSE)="","",VLOOKUP(Sun_W1[[#This Row],[Employee Name]],'Base Schedules'!$A$79:$AW$111,47,FALSE)),"")</f>
        <v/>
      </c>
      <c r="AW39" s="184" t="str">
        <f>IFERROR(IF(VLOOKUP(Sun_W1[[#This Row],[Employee Name]],'Base Schedules'!$A$79:$AW$111,48,FALSE)="","",VLOOKUP(Sun_W1[[#This Row],[Employee Name]],'Base Schedules'!$A$79:$AW$111,48,FALSE)),"")</f>
        <v/>
      </c>
      <c r="AX39" s="184" t="str">
        <f>IFERROR(IF(VLOOKUP(Sun_W1[[#This Row],[Employee Name]],'Base Schedules'!$A$79:$AW$111,49,FALSE)="","",VLOOKUP(Sun_W1[[#This Row],[Employee Name]],'Base Schedules'!$A$79:$AW$111,49,FALSE)),"")</f>
        <v/>
      </c>
      <c r="AY39" s="159" t="str">
        <f t="shared" si="2"/>
        <v/>
      </c>
    </row>
    <row r="40" spans="1:51" s="44" customFormat="1" hidden="1" thickBot="1" x14ac:dyDescent="0.25">
      <c r="A40" s="201"/>
      <c r="B40" s="201"/>
      <c r="C40" s="257" t="str">
        <f>_xlfn.IFNA(VLOOKUP(Sun_W1[[#This Row],[Employee Name]],'Base Schedules'!A:B,2,FALSE),"")</f>
        <v/>
      </c>
      <c r="D40" s="274" t="str">
        <f>_xlfn.IFNA(VLOOKUP(Sun_W1[[#This Row],[Employee Name]],'Base Schedules'!A:C,3,FALSE),"")</f>
        <v/>
      </c>
      <c r="E40" s="274" t="str">
        <f>_xlfn.IFNA(VLOOKUP(Sun_W1[[#This Row],[Employee Name]],'Base Schedules'!A:D,4,FALSE),"")</f>
        <v/>
      </c>
      <c r="F40" s="142" t="str">
        <f>IF(Sun_W1[[#This Row],[Employee Name]]="","",IF(Sun_W1[[#This Row],[Dept]]="Supervisor",COUNTIFS($J40:$AX40,"*HL*",$J40:$AX40,"&lt;&gt;"&amp;"pHL"),COUNTIFS($J40:$AX40,"*HL*",$J40:$AX40,"&lt;&gt;"&amp;"*pHL*",$J40:$AX40,"&lt;&gt;"&amp;"pB1 HL",$J40:$AX40,"&lt;&gt;"&amp;"pB2 HL")-SUM(COUNTIFS($J40:$AX40,"*HL B1*",$J40:$AX40,"&lt;&gt;"&amp;"pHL B1")*0.5,COUNTIFS($J40:$AX40,"*HL B2*",$J40:$AX40,"&lt;&gt;"&amp;"pHL B2")*0.5,COUNTIFS($J40:$AX40,"*B1 HL*",$J40:$AX40,"&lt;&gt;"&amp;"pB1 HL")*0.5,COUNTIFS($J40:$AX40,"*B2 HL*",$J40:$AX40,"&lt;&gt;"&amp;"pB2 HL")*0.5)))</f>
        <v/>
      </c>
      <c r="G40" s="142" t="str">
        <f t="shared" si="0"/>
        <v/>
      </c>
      <c r="H40" s="142" t="str">
        <f t="shared" si="1"/>
        <v/>
      </c>
      <c r="I40" s="142" t="str">
        <f>IF(Sun_W1[[#This Row],[Employee Name]]="","",IF(Sun_W1[[#This Row],[Dept]]="Supervisor",SUM(COUNTIFS($J40:$AX40,"RTA*",$J40:$AX40,"&lt;&gt;"&amp;"pRTA"),COUNTIFS($J40:$AX40,"*CRTA*",$J40:$AX40,"&lt;&gt;"&amp;"pCRTA")),COUNTIFS($J40:$AX40,"*RNNR*",$J40:$AX40,"&lt;&gt;"&amp;"*pRNNR*",$J40:$AX40,"&lt;&gt;"&amp;"pB1 RNNR",$J40:$AX40,"&lt;&gt;"&amp;"pB2 RNNR")-SUM(COUNTIFS($J40:$AX40,"*RNNR B1*",$J40:$AX40,"&lt;&gt;"&amp;"pRNNR B1")*0.5,COUNTIFS($J40:$AX40,"*RNNR B2*",$J40:$AX40,"&lt;&gt;"&amp;"pRNNR B2")*0.5,COUNTIFS($J40:$AX40,"*B1 RNNR*",$J40:$AX40,"&lt;&gt;"&amp;"pB1 RNNR")*0.5,COUNTIFS($J40:$AX40,"*B2 RNNR*",$J40:$AX40,"&lt;&gt;"&amp;"pB2 RNNR")*0.5)))</f>
        <v/>
      </c>
      <c r="J40" s="184" t="str">
        <f>IFERROR(IF(VLOOKUP(Sun_W1[[#This Row],[Employee Name]],'Base Schedules'!$A$79:$AW$111,9,FALSE)="","",VLOOKUP(Sun_W1[[#This Row],[Employee Name]],'Base Schedules'!$A$79:$AW$111,9,FALSE)),"")</f>
        <v/>
      </c>
      <c r="K40" s="184" t="str">
        <f>IFERROR(IF(VLOOKUP(Sun_W1[[#This Row],[Employee Name]],'Base Schedules'!$A$79:$AW$111,10,FALSE)="","",VLOOKUP(Sun_W1[[#This Row],[Employee Name]],'Base Schedules'!$A$79:$AW$111,10,FALSE)),"")</f>
        <v/>
      </c>
      <c r="L40" s="184" t="str">
        <f>IFERROR(IF(VLOOKUP(Sun_W1[[#This Row],[Employee Name]],'Base Schedules'!$A$79:$AW$111,11,FALSE)="","",VLOOKUP(Sun_W1[[#This Row],[Employee Name]],'Base Schedules'!$A$79:$AW$111,11,FALSE)),"")</f>
        <v/>
      </c>
      <c r="M40" s="184" t="str">
        <f>IFERROR(IF(VLOOKUP(Sun_W1[[#This Row],[Employee Name]],'Base Schedules'!$A$79:$AW$111,12,FALSE)="","",VLOOKUP(Sun_W1[[#This Row],[Employee Name]],'Base Schedules'!$A$79:$AW$111,12,FALSE)),"")</f>
        <v/>
      </c>
      <c r="N40" s="184" t="str">
        <f>IFERROR(IF(VLOOKUP(Sun_W1[[#This Row],[Employee Name]],'Base Schedules'!$A$79:$AW$111,13,FALSE)="","",VLOOKUP(Sun_W1[[#This Row],[Employee Name]],'Base Schedules'!$A$79:$AW$111,13,FALSE)),"")</f>
        <v/>
      </c>
      <c r="O40" s="184" t="str">
        <f>IFERROR(IF(VLOOKUP(Sun_W1[[#This Row],[Employee Name]],'Base Schedules'!$A$79:$AW$111,14,FALSE)="","",VLOOKUP(Sun_W1[[#This Row],[Employee Name]],'Base Schedules'!$A$79:$AW$111,14,FALSE)),"")</f>
        <v/>
      </c>
      <c r="P40" s="184" t="str">
        <f>IFERROR(IF(VLOOKUP(Sun_W1[[#This Row],[Employee Name]],'Base Schedules'!$A$79:$AW$111,15,FALSE)="","",VLOOKUP(Sun_W1[[#This Row],[Employee Name]],'Base Schedules'!$A$79:$AW$111,15,FALSE)),"")</f>
        <v/>
      </c>
      <c r="Q40" s="184" t="str">
        <f>IFERROR(IF(VLOOKUP(Sun_W1[[#This Row],[Employee Name]],'Base Schedules'!$A$79:$AW$111,16,FALSE)="","",VLOOKUP(Sun_W1[[#This Row],[Employee Name]],'Base Schedules'!$A$79:$AW$111,16,FALSE)),"")</f>
        <v/>
      </c>
      <c r="R40" s="184" t="str">
        <f>IFERROR(IF(VLOOKUP(Sun_W1[[#This Row],[Employee Name]],'Base Schedules'!$A$79:$AW$111,17,FALSE)="","",VLOOKUP(Sun_W1[[#This Row],[Employee Name]],'Base Schedules'!$A$79:$AW$111,17,FALSE)),"")</f>
        <v/>
      </c>
      <c r="S40" s="184" t="str">
        <f>IFERROR(IF(VLOOKUP(Sun_W1[[#This Row],[Employee Name]],'Base Schedules'!$A$79:$AW$111,18,FALSE)="","",VLOOKUP(Sun_W1[[#This Row],[Employee Name]],'Base Schedules'!$A$79:$AW$111,18,FALSE)),"")</f>
        <v/>
      </c>
      <c r="T40" s="184" t="str">
        <f>IFERROR(IF(VLOOKUP(Sun_W1[[#This Row],[Employee Name]],'Base Schedules'!$A$79:$AW$111,19,FALSE)="","",VLOOKUP(Sun_W1[[#This Row],[Employee Name]],'Base Schedules'!$A$79:$AW$111,19,FALSE)),"")</f>
        <v/>
      </c>
      <c r="U40" s="184" t="str">
        <f>IFERROR(IF(VLOOKUP(Sun_W1[[#This Row],[Employee Name]],'Base Schedules'!$A$79:$AW$111,20,FALSE)="","",VLOOKUP(Sun_W1[[#This Row],[Employee Name]],'Base Schedules'!$A$79:$AW$111,20,FALSE)),"")</f>
        <v/>
      </c>
      <c r="V40" s="184" t="str">
        <f>IFERROR(IF(VLOOKUP(Sun_W1[[#This Row],[Employee Name]],'Base Schedules'!$A$79:$AW$111,21,FALSE)="","",VLOOKUP(Sun_W1[[#This Row],[Employee Name]],'Base Schedules'!$A$79:$AW$111,21,FALSE)),"")</f>
        <v/>
      </c>
      <c r="W40" s="184" t="str">
        <f>IFERROR(IF(VLOOKUP(Sun_W1[[#This Row],[Employee Name]],'Base Schedules'!$A$79:$AW$111,22,FALSE)="","",VLOOKUP(Sun_W1[[#This Row],[Employee Name]],'Base Schedules'!$A$79:$AW$111,22,FALSE)),"")</f>
        <v/>
      </c>
      <c r="X40" s="184" t="str">
        <f>IFERROR(IF(VLOOKUP(Sun_W1[[#This Row],[Employee Name]],'Base Schedules'!$A$79:$AW$111,23,FALSE)="","",VLOOKUP(Sun_W1[[#This Row],[Employee Name]],'Base Schedules'!$A$79:$AW$111,23,FALSE)),"")</f>
        <v/>
      </c>
      <c r="Y40" s="184" t="str">
        <f>IFERROR(IF(VLOOKUP(Sun_W1[[#This Row],[Employee Name]],'Base Schedules'!$A$79:$AW$111,24,FALSE)="","",VLOOKUP(Sun_W1[[#This Row],[Employee Name]],'Base Schedules'!$A$79:$AW$111,24,FALSE)),"")</f>
        <v/>
      </c>
      <c r="Z40" s="184" t="str">
        <f>IFERROR(IF(VLOOKUP(Sun_W1[[#This Row],[Employee Name]],'Base Schedules'!$A$79:$AW$111,25,FALSE)="","",VLOOKUP(Sun_W1[[#This Row],[Employee Name]],'Base Schedules'!$A$79:$AW$111,25,FALSE)),"")</f>
        <v/>
      </c>
      <c r="AA40" s="184" t="str">
        <f>IFERROR(IF(VLOOKUP(Sun_W1[[#This Row],[Employee Name]],'Base Schedules'!$A$79:$AW$111,26,FALSE)="","",VLOOKUP(Sun_W1[[#This Row],[Employee Name]],'Base Schedules'!$A$79:$AW$111,26,FALSE)),"")</f>
        <v/>
      </c>
      <c r="AB40" s="184" t="str">
        <f>IFERROR(IF(VLOOKUP(Sun_W1[[#This Row],[Employee Name]],'Base Schedules'!$A$79:$AW$111,27,FALSE)="","",VLOOKUP(Sun_W1[[#This Row],[Employee Name]],'Base Schedules'!$A$79:$AW$111,27,FALSE)),"")</f>
        <v/>
      </c>
      <c r="AC40" s="184" t="str">
        <f>IFERROR(IF(VLOOKUP(Sun_W1[[#This Row],[Employee Name]],'Base Schedules'!$A$79:$AW$111,28,FALSE)="","",VLOOKUP(Sun_W1[[#This Row],[Employee Name]],'Base Schedules'!$A$79:$AW$111,28,FALSE)),"")</f>
        <v/>
      </c>
      <c r="AD40" s="184" t="str">
        <f>IFERROR(IF(VLOOKUP(Sun_W1[[#This Row],[Employee Name]],'Base Schedules'!$A$79:$AW$111,29,FALSE)="","",VLOOKUP(Sun_W1[[#This Row],[Employee Name]],'Base Schedules'!$A$79:$AW$111,29,FALSE)),"")</f>
        <v/>
      </c>
      <c r="AE40" s="184" t="str">
        <f>IFERROR(IF(VLOOKUP(Sun_W1[[#This Row],[Employee Name]],'Base Schedules'!$A$79:$AW$111,30,FALSE)="","",VLOOKUP(Sun_W1[[#This Row],[Employee Name]],'Base Schedules'!$A$79:$AW$111,30,FALSE)),"")</f>
        <v/>
      </c>
      <c r="AF40" s="184" t="str">
        <f>IFERROR(IF(VLOOKUP(Sun_W1[[#This Row],[Employee Name]],'Base Schedules'!$A$79:$AW$111,31,FALSE)="","",VLOOKUP(Sun_W1[[#This Row],[Employee Name]],'Base Schedules'!$A$79:$AW$111,31,FALSE)),"")</f>
        <v/>
      </c>
      <c r="AG40" s="184" t="str">
        <f>IFERROR(IF(VLOOKUP(Sun_W1[[#This Row],[Employee Name]],'Base Schedules'!$A$79:$AW$111,32,FALSE)="","",VLOOKUP(Sun_W1[[#This Row],[Employee Name]],'Base Schedules'!$A$79:$AW$111,32,FALSE)),"")</f>
        <v/>
      </c>
      <c r="AH40" s="184" t="str">
        <f>IFERROR(IF(VLOOKUP(Sun_W1[[#This Row],[Employee Name]],'Base Schedules'!$A$79:$AW$111,33,FALSE)="","",VLOOKUP(Sun_W1[[#This Row],[Employee Name]],'Base Schedules'!$A$79:$AW$111,33,FALSE)),"")</f>
        <v/>
      </c>
      <c r="AI40" s="184" t="str">
        <f>IFERROR(IF(VLOOKUP(Sun_W1[[#This Row],[Employee Name]],'Base Schedules'!$A$79:$AW$111,34,FALSE)="","",VLOOKUP(Sun_W1[[#This Row],[Employee Name]],'Base Schedules'!$A$79:$AW$111,34,FALSE)),"")</f>
        <v/>
      </c>
      <c r="AJ40" s="184" t="str">
        <f>IFERROR(IF(VLOOKUP(Sun_W1[[#This Row],[Employee Name]],'Base Schedules'!$A$79:$AW$111,35,FALSE)="","",VLOOKUP(Sun_W1[[#This Row],[Employee Name]],'Base Schedules'!$A$79:$AW$111,35,FALSE)),"")</f>
        <v/>
      </c>
      <c r="AK40" s="184" t="str">
        <f>IFERROR(IF(VLOOKUP(Sun_W1[[#This Row],[Employee Name]],'Base Schedules'!$A$79:$AW$111,36,FALSE)="","",VLOOKUP(Sun_W1[[#This Row],[Employee Name]],'Base Schedules'!$A$79:$AW$111,36,FALSE)),"")</f>
        <v/>
      </c>
      <c r="AL40" s="184" t="str">
        <f>IFERROR(IF(VLOOKUP(Sun_W1[[#This Row],[Employee Name]],'Base Schedules'!$A$79:$AW$111,37,FALSE)="","",VLOOKUP(Sun_W1[[#This Row],[Employee Name]],'Base Schedules'!$A$79:$AW$111,37,FALSE)),"")</f>
        <v/>
      </c>
      <c r="AM40" s="184" t="str">
        <f>IFERROR(IF(VLOOKUP(Sun_W1[[#This Row],[Employee Name]],'Base Schedules'!$A$79:$AW$111,38,FALSE)="","",VLOOKUP(Sun_W1[[#This Row],[Employee Name]],'Base Schedules'!$A$79:$AW$111,38,FALSE)),"")</f>
        <v/>
      </c>
      <c r="AN40" s="184" t="str">
        <f>IFERROR(IF(VLOOKUP(Sun_W1[[#This Row],[Employee Name]],'Base Schedules'!$A$79:$AW$111,39,FALSE)="","",VLOOKUP(Sun_W1[[#This Row],[Employee Name]],'Base Schedules'!$A$79:$AW$111,39,FALSE)),"")</f>
        <v/>
      </c>
      <c r="AO40" s="184" t="str">
        <f>IFERROR(IF(VLOOKUP(Sun_W1[[#This Row],[Employee Name]],'Base Schedules'!$A$79:$AW$111,40,FALSE)="","",VLOOKUP(Sun_W1[[#This Row],[Employee Name]],'Base Schedules'!$A$79:$AW$111,40,FALSE)),"")</f>
        <v/>
      </c>
      <c r="AP40" s="184" t="str">
        <f>IFERROR(IF(VLOOKUP(Sun_W1[[#This Row],[Employee Name]],'Base Schedules'!$A$79:$AW$111,41,FALSE)="","",VLOOKUP(Sun_W1[[#This Row],[Employee Name]],'Base Schedules'!$A$79:$AW$111,41,FALSE)),"")</f>
        <v/>
      </c>
      <c r="AQ40" s="184" t="str">
        <f>IFERROR(IF(VLOOKUP(Sun_W1[[#This Row],[Employee Name]],'Base Schedules'!$A$79:$AW$111,42,FALSE)="","",VLOOKUP(Sun_W1[[#This Row],[Employee Name]],'Base Schedules'!$A$79:$AW$111,42,FALSE)),"")</f>
        <v/>
      </c>
      <c r="AR40" s="184" t="str">
        <f>IFERROR(IF(VLOOKUP(Sun_W1[[#This Row],[Employee Name]],'Base Schedules'!$A$79:$AW$111,43,FALSE)="","",VLOOKUP(Sun_W1[[#This Row],[Employee Name]],'Base Schedules'!$A$79:$AW$111,43,FALSE)),"")</f>
        <v/>
      </c>
      <c r="AS40" s="184" t="str">
        <f>IFERROR(IF(VLOOKUP(Sun_W1[[#This Row],[Employee Name]],'Base Schedules'!$A$79:$AW$111,44,FALSE)="","",VLOOKUP(Sun_W1[[#This Row],[Employee Name]],'Base Schedules'!$A$79:$AW$111,44,FALSE)),"")</f>
        <v/>
      </c>
      <c r="AT40" s="184" t="str">
        <f>IFERROR(IF(VLOOKUP(Sun_W1[[#This Row],[Employee Name]],'Base Schedules'!$A$79:$AW$111,45,FALSE)="","",VLOOKUP(Sun_W1[[#This Row],[Employee Name]],'Base Schedules'!$A$79:$AW$111,45,FALSE)),"")</f>
        <v/>
      </c>
      <c r="AU40" s="184" t="str">
        <f>IFERROR(IF(VLOOKUP(Sun_W1[[#This Row],[Employee Name]],'Base Schedules'!$A$79:$AW$111,46,FALSE)="","",VLOOKUP(Sun_W1[[#This Row],[Employee Name]],'Base Schedules'!$A$79:$AW$111,46,FALSE)),"")</f>
        <v/>
      </c>
      <c r="AV40" s="184" t="str">
        <f>IFERROR(IF(VLOOKUP(Sun_W1[[#This Row],[Employee Name]],'Base Schedules'!$A$79:$AW$111,47,FALSE)="","",VLOOKUP(Sun_W1[[#This Row],[Employee Name]],'Base Schedules'!$A$79:$AW$111,47,FALSE)),"")</f>
        <v/>
      </c>
      <c r="AW40" s="184" t="str">
        <f>IFERROR(IF(VLOOKUP(Sun_W1[[#This Row],[Employee Name]],'Base Schedules'!$A$79:$AW$111,48,FALSE)="","",VLOOKUP(Sun_W1[[#This Row],[Employee Name]],'Base Schedules'!$A$79:$AW$111,48,FALSE)),"")</f>
        <v/>
      </c>
      <c r="AX40" s="184" t="str">
        <f>IFERROR(IF(VLOOKUP(Sun_W1[[#This Row],[Employee Name]],'Base Schedules'!$A$79:$AW$111,49,FALSE)="","",VLOOKUP(Sun_W1[[#This Row],[Employee Name]],'Base Schedules'!$A$79:$AW$111,49,FALSE)),"")</f>
        <v/>
      </c>
      <c r="AY40" s="159" t="str">
        <f t="shared" si="2"/>
        <v/>
      </c>
    </row>
    <row r="41" spans="1:51" s="44" customFormat="1" hidden="1" thickBot="1" x14ac:dyDescent="0.25">
      <c r="A41" s="201"/>
      <c r="B41" s="201"/>
      <c r="C41" s="257" t="str">
        <f>_xlfn.IFNA(VLOOKUP(Sun_W1[[#This Row],[Employee Name]],'Base Schedules'!A:B,2,FALSE),"")</f>
        <v/>
      </c>
      <c r="D41" s="274" t="str">
        <f>_xlfn.IFNA(VLOOKUP(Sun_W1[[#This Row],[Employee Name]],'Base Schedules'!A:C,3,FALSE),"")</f>
        <v/>
      </c>
      <c r="E41" s="274" t="str">
        <f>_xlfn.IFNA(VLOOKUP(Sun_W1[[#This Row],[Employee Name]],'Base Schedules'!A:D,4,FALSE),"")</f>
        <v/>
      </c>
      <c r="F41" s="142" t="str">
        <f>IF(Sun_W1[[#This Row],[Employee Name]]="","",IF(Sun_W1[[#This Row],[Dept]]="Supervisor",COUNTIFS($J41:$AX41,"*HL*",$J41:$AX41,"&lt;&gt;"&amp;"pHL"),COUNTIFS($J41:$AX41,"*HL*",$J41:$AX41,"&lt;&gt;"&amp;"*pHL*",$J41:$AX41,"&lt;&gt;"&amp;"pB1 HL",$J41:$AX41,"&lt;&gt;"&amp;"pB2 HL")-SUM(COUNTIFS($J41:$AX41,"*HL B1*",$J41:$AX41,"&lt;&gt;"&amp;"pHL B1")*0.5,COUNTIFS($J41:$AX41,"*HL B2*",$J41:$AX41,"&lt;&gt;"&amp;"pHL B2")*0.5,COUNTIFS($J41:$AX41,"*B1 HL*",$J41:$AX41,"&lt;&gt;"&amp;"pB1 HL")*0.5,COUNTIFS($J41:$AX41,"*B2 HL*",$J41:$AX41,"&lt;&gt;"&amp;"pB2 HL")*0.5)))</f>
        <v/>
      </c>
      <c r="G41" s="142" t="str">
        <f t="shared" si="0"/>
        <v/>
      </c>
      <c r="H41" s="142" t="str">
        <f t="shared" si="1"/>
        <v/>
      </c>
      <c r="I41" s="142" t="str">
        <f>IF(Sun_W1[[#This Row],[Employee Name]]="","",IF(Sun_W1[[#This Row],[Dept]]="Supervisor",SUM(COUNTIFS($J41:$AX41,"RTA*",$J41:$AX41,"&lt;&gt;"&amp;"pRTA"),COUNTIFS($J41:$AX41,"*CRTA*",$J41:$AX41,"&lt;&gt;"&amp;"pCRTA")),COUNTIFS($J41:$AX41,"*RNNR*",$J41:$AX41,"&lt;&gt;"&amp;"*pRNNR*",$J41:$AX41,"&lt;&gt;"&amp;"pB1 RNNR",$J41:$AX41,"&lt;&gt;"&amp;"pB2 RNNR")-SUM(COUNTIFS($J41:$AX41,"*RNNR B1*",$J41:$AX41,"&lt;&gt;"&amp;"pRNNR B1")*0.5,COUNTIFS($J41:$AX41,"*RNNR B2*",$J41:$AX41,"&lt;&gt;"&amp;"pRNNR B2")*0.5,COUNTIFS($J41:$AX41,"*B1 RNNR*",$J41:$AX41,"&lt;&gt;"&amp;"pB1 RNNR")*0.5,COUNTIFS($J41:$AX41,"*B2 RNNR*",$J41:$AX41,"&lt;&gt;"&amp;"pB2 RNNR")*0.5)))</f>
        <v/>
      </c>
      <c r="J41" s="184" t="str">
        <f>IFERROR(IF(VLOOKUP(Sun_W1[[#This Row],[Employee Name]],'Base Schedules'!$A$79:$AW$111,9,FALSE)="","",VLOOKUP(Sun_W1[[#This Row],[Employee Name]],'Base Schedules'!$A$79:$AW$111,9,FALSE)),"")</f>
        <v/>
      </c>
      <c r="K41" s="184" t="str">
        <f>IFERROR(IF(VLOOKUP(Sun_W1[[#This Row],[Employee Name]],'Base Schedules'!$A$79:$AW$111,10,FALSE)="","",VLOOKUP(Sun_W1[[#This Row],[Employee Name]],'Base Schedules'!$A$79:$AW$111,10,FALSE)),"")</f>
        <v/>
      </c>
      <c r="L41" s="184" t="str">
        <f>IFERROR(IF(VLOOKUP(Sun_W1[[#This Row],[Employee Name]],'Base Schedules'!$A$79:$AW$111,11,FALSE)="","",VLOOKUP(Sun_W1[[#This Row],[Employee Name]],'Base Schedules'!$A$79:$AW$111,11,FALSE)),"")</f>
        <v/>
      </c>
      <c r="M41" s="184" t="str">
        <f>IFERROR(IF(VLOOKUP(Sun_W1[[#This Row],[Employee Name]],'Base Schedules'!$A$79:$AW$111,12,FALSE)="","",VLOOKUP(Sun_W1[[#This Row],[Employee Name]],'Base Schedules'!$A$79:$AW$111,12,FALSE)),"")</f>
        <v/>
      </c>
      <c r="N41" s="184" t="str">
        <f>IFERROR(IF(VLOOKUP(Sun_W1[[#This Row],[Employee Name]],'Base Schedules'!$A$79:$AW$111,13,FALSE)="","",VLOOKUP(Sun_W1[[#This Row],[Employee Name]],'Base Schedules'!$A$79:$AW$111,13,FALSE)),"")</f>
        <v/>
      </c>
      <c r="O41" s="184" t="str">
        <f>IFERROR(IF(VLOOKUP(Sun_W1[[#This Row],[Employee Name]],'Base Schedules'!$A$79:$AW$111,14,FALSE)="","",VLOOKUP(Sun_W1[[#This Row],[Employee Name]],'Base Schedules'!$A$79:$AW$111,14,FALSE)),"")</f>
        <v/>
      </c>
      <c r="P41" s="184" t="str">
        <f>IFERROR(IF(VLOOKUP(Sun_W1[[#This Row],[Employee Name]],'Base Schedules'!$A$79:$AW$111,15,FALSE)="","",VLOOKUP(Sun_W1[[#This Row],[Employee Name]],'Base Schedules'!$A$79:$AW$111,15,FALSE)),"")</f>
        <v/>
      </c>
      <c r="Q41" s="184" t="str">
        <f>IFERROR(IF(VLOOKUP(Sun_W1[[#This Row],[Employee Name]],'Base Schedules'!$A$79:$AW$111,16,FALSE)="","",VLOOKUP(Sun_W1[[#This Row],[Employee Name]],'Base Schedules'!$A$79:$AW$111,16,FALSE)),"")</f>
        <v/>
      </c>
      <c r="R41" s="184" t="str">
        <f>IFERROR(IF(VLOOKUP(Sun_W1[[#This Row],[Employee Name]],'Base Schedules'!$A$79:$AW$111,17,FALSE)="","",VLOOKUP(Sun_W1[[#This Row],[Employee Name]],'Base Schedules'!$A$79:$AW$111,17,FALSE)),"")</f>
        <v/>
      </c>
      <c r="S41" s="184" t="str">
        <f>IFERROR(IF(VLOOKUP(Sun_W1[[#This Row],[Employee Name]],'Base Schedules'!$A$79:$AW$111,18,FALSE)="","",VLOOKUP(Sun_W1[[#This Row],[Employee Name]],'Base Schedules'!$A$79:$AW$111,18,FALSE)),"")</f>
        <v/>
      </c>
      <c r="T41" s="184" t="str">
        <f>IFERROR(IF(VLOOKUP(Sun_W1[[#This Row],[Employee Name]],'Base Schedules'!$A$79:$AW$111,19,FALSE)="","",VLOOKUP(Sun_W1[[#This Row],[Employee Name]],'Base Schedules'!$A$79:$AW$111,19,FALSE)),"")</f>
        <v/>
      </c>
      <c r="U41" s="184" t="str">
        <f>IFERROR(IF(VLOOKUP(Sun_W1[[#This Row],[Employee Name]],'Base Schedules'!$A$79:$AW$111,20,FALSE)="","",VLOOKUP(Sun_W1[[#This Row],[Employee Name]],'Base Schedules'!$A$79:$AW$111,20,FALSE)),"")</f>
        <v/>
      </c>
      <c r="V41" s="184" t="str">
        <f>IFERROR(IF(VLOOKUP(Sun_W1[[#This Row],[Employee Name]],'Base Schedules'!$A$79:$AW$111,21,FALSE)="","",VLOOKUP(Sun_W1[[#This Row],[Employee Name]],'Base Schedules'!$A$79:$AW$111,21,FALSE)),"")</f>
        <v/>
      </c>
      <c r="W41" s="184" t="str">
        <f>IFERROR(IF(VLOOKUP(Sun_W1[[#This Row],[Employee Name]],'Base Schedules'!$A$79:$AW$111,22,FALSE)="","",VLOOKUP(Sun_W1[[#This Row],[Employee Name]],'Base Schedules'!$A$79:$AW$111,22,FALSE)),"")</f>
        <v/>
      </c>
      <c r="X41" s="184" t="str">
        <f>IFERROR(IF(VLOOKUP(Sun_W1[[#This Row],[Employee Name]],'Base Schedules'!$A$79:$AW$111,23,FALSE)="","",VLOOKUP(Sun_W1[[#This Row],[Employee Name]],'Base Schedules'!$A$79:$AW$111,23,FALSE)),"")</f>
        <v/>
      </c>
      <c r="Y41" s="184" t="str">
        <f>IFERROR(IF(VLOOKUP(Sun_W1[[#This Row],[Employee Name]],'Base Schedules'!$A$79:$AW$111,24,FALSE)="","",VLOOKUP(Sun_W1[[#This Row],[Employee Name]],'Base Schedules'!$A$79:$AW$111,24,FALSE)),"")</f>
        <v/>
      </c>
      <c r="Z41" s="184" t="str">
        <f>IFERROR(IF(VLOOKUP(Sun_W1[[#This Row],[Employee Name]],'Base Schedules'!$A$79:$AW$111,25,FALSE)="","",VLOOKUP(Sun_W1[[#This Row],[Employee Name]],'Base Schedules'!$A$79:$AW$111,25,FALSE)),"")</f>
        <v/>
      </c>
      <c r="AA41" s="184" t="str">
        <f>IFERROR(IF(VLOOKUP(Sun_W1[[#This Row],[Employee Name]],'Base Schedules'!$A$79:$AW$111,26,FALSE)="","",VLOOKUP(Sun_W1[[#This Row],[Employee Name]],'Base Schedules'!$A$79:$AW$111,26,FALSE)),"")</f>
        <v/>
      </c>
      <c r="AB41" s="184" t="str">
        <f>IFERROR(IF(VLOOKUP(Sun_W1[[#This Row],[Employee Name]],'Base Schedules'!$A$79:$AW$111,27,FALSE)="","",VLOOKUP(Sun_W1[[#This Row],[Employee Name]],'Base Schedules'!$A$79:$AW$111,27,FALSE)),"")</f>
        <v/>
      </c>
      <c r="AC41" s="184" t="str">
        <f>IFERROR(IF(VLOOKUP(Sun_W1[[#This Row],[Employee Name]],'Base Schedules'!$A$79:$AW$111,28,FALSE)="","",VLOOKUP(Sun_W1[[#This Row],[Employee Name]],'Base Schedules'!$A$79:$AW$111,28,FALSE)),"")</f>
        <v/>
      </c>
      <c r="AD41" s="184" t="str">
        <f>IFERROR(IF(VLOOKUP(Sun_W1[[#This Row],[Employee Name]],'Base Schedules'!$A$79:$AW$111,29,FALSE)="","",VLOOKUP(Sun_W1[[#This Row],[Employee Name]],'Base Schedules'!$A$79:$AW$111,29,FALSE)),"")</f>
        <v/>
      </c>
      <c r="AE41" s="184" t="str">
        <f>IFERROR(IF(VLOOKUP(Sun_W1[[#This Row],[Employee Name]],'Base Schedules'!$A$79:$AW$111,30,FALSE)="","",VLOOKUP(Sun_W1[[#This Row],[Employee Name]],'Base Schedules'!$A$79:$AW$111,30,FALSE)),"")</f>
        <v/>
      </c>
      <c r="AF41" s="184" t="str">
        <f>IFERROR(IF(VLOOKUP(Sun_W1[[#This Row],[Employee Name]],'Base Schedules'!$A$79:$AW$111,31,FALSE)="","",VLOOKUP(Sun_W1[[#This Row],[Employee Name]],'Base Schedules'!$A$79:$AW$111,31,FALSE)),"")</f>
        <v/>
      </c>
      <c r="AG41" s="184" t="str">
        <f>IFERROR(IF(VLOOKUP(Sun_W1[[#This Row],[Employee Name]],'Base Schedules'!$A$79:$AW$111,32,FALSE)="","",VLOOKUP(Sun_W1[[#This Row],[Employee Name]],'Base Schedules'!$A$79:$AW$111,32,FALSE)),"")</f>
        <v/>
      </c>
      <c r="AH41" s="184" t="str">
        <f>IFERROR(IF(VLOOKUP(Sun_W1[[#This Row],[Employee Name]],'Base Schedules'!$A$79:$AW$111,33,FALSE)="","",VLOOKUP(Sun_W1[[#This Row],[Employee Name]],'Base Schedules'!$A$79:$AW$111,33,FALSE)),"")</f>
        <v/>
      </c>
      <c r="AI41" s="184" t="str">
        <f>IFERROR(IF(VLOOKUP(Sun_W1[[#This Row],[Employee Name]],'Base Schedules'!$A$79:$AW$111,34,FALSE)="","",VLOOKUP(Sun_W1[[#This Row],[Employee Name]],'Base Schedules'!$A$79:$AW$111,34,FALSE)),"")</f>
        <v/>
      </c>
      <c r="AJ41" s="184" t="str">
        <f>IFERROR(IF(VLOOKUP(Sun_W1[[#This Row],[Employee Name]],'Base Schedules'!$A$79:$AW$111,35,FALSE)="","",VLOOKUP(Sun_W1[[#This Row],[Employee Name]],'Base Schedules'!$A$79:$AW$111,35,FALSE)),"")</f>
        <v/>
      </c>
      <c r="AK41" s="184" t="str">
        <f>IFERROR(IF(VLOOKUP(Sun_W1[[#This Row],[Employee Name]],'Base Schedules'!$A$79:$AW$111,36,FALSE)="","",VLOOKUP(Sun_W1[[#This Row],[Employee Name]],'Base Schedules'!$A$79:$AW$111,36,FALSE)),"")</f>
        <v/>
      </c>
      <c r="AL41" s="184" t="str">
        <f>IFERROR(IF(VLOOKUP(Sun_W1[[#This Row],[Employee Name]],'Base Schedules'!$A$79:$AW$111,37,FALSE)="","",VLOOKUP(Sun_W1[[#This Row],[Employee Name]],'Base Schedules'!$A$79:$AW$111,37,FALSE)),"")</f>
        <v/>
      </c>
      <c r="AM41" s="184" t="str">
        <f>IFERROR(IF(VLOOKUP(Sun_W1[[#This Row],[Employee Name]],'Base Schedules'!$A$79:$AW$111,38,FALSE)="","",VLOOKUP(Sun_W1[[#This Row],[Employee Name]],'Base Schedules'!$A$79:$AW$111,38,FALSE)),"")</f>
        <v/>
      </c>
      <c r="AN41" s="184" t="str">
        <f>IFERROR(IF(VLOOKUP(Sun_W1[[#This Row],[Employee Name]],'Base Schedules'!$A$79:$AW$111,39,FALSE)="","",VLOOKUP(Sun_W1[[#This Row],[Employee Name]],'Base Schedules'!$A$79:$AW$111,39,FALSE)),"")</f>
        <v/>
      </c>
      <c r="AO41" s="184" t="str">
        <f>IFERROR(IF(VLOOKUP(Sun_W1[[#This Row],[Employee Name]],'Base Schedules'!$A$79:$AW$111,40,FALSE)="","",VLOOKUP(Sun_W1[[#This Row],[Employee Name]],'Base Schedules'!$A$79:$AW$111,40,FALSE)),"")</f>
        <v/>
      </c>
      <c r="AP41" s="184" t="str">
        <f>IFERROR(IF(VLOOKUP(Sun_W1[[#This Row],[Employee Name]],'Base Schedules'!$A$79:$AW$111,41,FALSE)="","",VLOOKUP(Sun_W1[[#This Row],[Employee Name]],'Base Schedules'!$A$79:$AW$111,41,FALSE)),"")</f>
        <v/>
      </c>
      <c r="AQ41" s="184" t="str">
        <f>IFERROR(IF(VLOOKUP(Sun_W1[[#This Row],[Employee Name]],'Base Schedules'!$A$79:$AW$111,42,FALSE)="","",VLOOKUP(Sun_W1[[#This Row],[Employee Name]],'Base Schedules'!$A$79:$AW$111,42,FALSE)),"")</f>
        <v/>
      </c>
      <c r="AR41" s="184" t="str">
        <f>IFERROR(IF(VLOOKUP(Sun_W1[[#This Row],[Employee Name]],'Base Schedules'!$A$79:$AW$111,43,FALSE)="","",VLOOKUP(Sun_W1[[#This Row],[Employee Name]],'Base Schedules'!$A$79:$AW$111,43,FALSE)),"")</f>
        <v/>
      </c>
      <c r="AS41" s="184" t="str">
        <f>IFERROR(IF(VLOOKUP(Sun_W1[[#This Row],[Employee Name]],'Base Schedules'!$A$79:$AW$111,44,FALSE)="","",VLOOKUP(Sun_W1[[#This Row],[Employee Name]],'Base Schedules'!$A$79:$AW$111,44,FALSE)),"")</f>
        <v/>
      </c>
      <c r="AT41" s="184" t="str">
        <f>IFERROR(IF(VLOOKUP(Sun_W1[[#This Row],[Employee Name]],'Base Schedules'!$A$79:$AW$111,45,FALSE)="","",VLOOKUP(Sun_W1[[#This Row],[Employee Name]],'Base Schedules'!$A$79:$AW$111,45,FALSE)),"")</f>
        <v/>
      </c>
      <c r="AU41" s="184" t="str">
        <f>IFERROR(IF(VLOOKUP(Sun_W1[[#This Row],[Employee Name]],'Base Schedules'!$A$79:$AW$111,46,FALSE)="","",VLOOKUP(Sun_W1[[#This Row],[Employee Name]],'Base Schedules'!$A$79:$AW$111,46,FALSE)),"")</f>
        <v/>
      </c>
      <c r="AV41" s="184" t="str">
        <f>IFERROR(IF(VLOOKUP(Sun_W1[[#This Row],[Employee Name]],'Base Schedules'!$A$79:$AW$111,47,FALSE)="","",VLOOKUP(Sun_W1[[#This Row],[Employee Name]],'Base Schedules'!$A$79:$AW$111,47,FALSE)),"")</f>
        <v/>
      </c>
      <c r="AW41" s="184" t="str">
        <f>IFERROR(IF(VLOOKUP(Sun_W1[[#This Row],[Employee Name]],'Base Schedules'!$A$79:$AW$111,48,FALSE)="","",VLOOKUP(Sun_W1[[#This Row],[Employee Name]],'Base Schedules'!$A$79:$AW$111,48,FALSE)),"")</f>
        <v/>
      </c>
      <c r="AX41" s="184" t="str">
        <f>IFERROR(IF(VLOOKUP(Sun_W1[[#This Row],[Employee Name]],'Base Schedules'!$A$79:$AW$111,49,FALSE)="","",VLOOKUP(Sun_W1[[#This Row],[Employee Name]],'Base Schedules'!$A$79:$AW$111,49,FALSE)),"")</f>
        <v/>
      </c>
      <c r="AY41" s="159" t="str">
        <f t="shared" si="2"/>
        <v/>
      </c>
    </row>
    <row r="42" spans="1:51" s="44" customFormat="1" hidden="1" thickBot="1" x14ac:dyDescent="0.25">
      <c r="A42" s="201"/>
      <c r="B42" s="201"/>
      <c r="C42" s="257" t="str">
        <f>_xlfn.IFNA(VLOOKUP(Sun_W1[[#This Row],[Employee Name]],'Base Schedules'!A:B,2,FALSE),"")</f>
        <v/>
      </c>
      <c r="D42" s="274" t="str">
        <f>_xlfn.IFNA(VLOOKUP(Sun_W1[[#This Row],[Employee Name]],'Base Schedules'!A:C,3,FALSE),"")</f>
        <v/>
      </c>
      <c r="E42" s="274" t="str">
        <f>_xlfn.IFNA(VLOOKUP(Sun_W1[[#This Row],[Employee Name]],'Base Schedules'!A:D,4,FALSE),"")</f>
        <v/>
      </c>
      <c r="F42" s="142" t="str">
        <f>IF(Sun_W1[[#This Row],[Employee Name]]="","",IF(Sun_W1[[#This Row],[Dept]]="Supervisor",COUNTIFS($J42:$AX42,"*HL*",$J42:$AX42,"&lt;&gt;"&amp;"pHL"),COUNTIFS($J42:$AX42,"*HL*",$J42:$AX42,"&lt;&gt;"&amp;"*pHL*",$J42:$AX42,"&lt;&gt;"&amp;"pB1 HL",$J42:$AX42,"&lt;&gt;"&amp;"pB2 HL")-SUM(COUNTIFS($J42:$AX42,"*HL B1*",$J42:$AX42,"&lt;&gt;"&amp;"pHL B1")*0.5,COUNTIFS($J42:$AX42,"*HL B2*",$J42:$AX42,"&lt;&gt;"&amp;"pHL B2")*0.5,COUNTIFS($J42:$AX42,"*B1 HL*",$J42:$AX42,"&lt;&gt;"&amp;"pB1 HL")*0.5,COUNTIFS($J42:$AX42,"*B2 HL*",$J42:$AX42,"&lt;&gt;"&amp;"pB2 HL")*0.5)))</f>
        <v/>
      </c>
      <c r="G42" s="142" t="str">
        <f t="shared" si="0"/>
        <v/>
      </c>
      <c r="H42" s="142" t="str">
        <f t="shared" si="1"/>
        <v/>
      </c>
      <c r="I42" s="142" t="str">
        <f>IF(Sun_W1[[#This Row],[Employee Name]]="","",IF(Sun_W1[[#This Row],[Dept]]="Supervisor",SUM(COUNTIFS($J42:$AX42,"RTA*",$J42:$AX42,"&lt;&gt;"&amp;"pRTA"),COUNTIFS($J42:$AX42,"*CRTA*",$J42:$AX42,"&lt;&gt;"&amp;"pCRTA")),COUNTIFS($J42:$AX42,"*RNNR*",$J42:$AX42,"&lt;&gt;"&amp;"*pRNNR*",$J42:$AX42,"&lt;&gt;"&amp;"pB1 RNNR",$J42:$AX42,"&lt;&gt;"&amp;"pB2 RNNR")-SUM(COUNTIFS($J42:$AX42,"*RNNR B1*",$J42:$AX42,"&lt;&gt;"&amp;"pRNNR B1")*0.5,COUNTIFS($J42:$AX42,"*RNNR B2*",$J42:$AX42,"&lt;&gt;"&amp;"pRNNR B2")*0.5,COUNTIFS($J42:$AX42,"*B1 RNNR*",$J42:$AX42,"&lt;&gt;"&amp;"pB1 RNNR")*0.5,COUNTIFS($J42:$AX42,"*B2 RNNR*",$J42:$AX42,"&lt;&gt;"&amp;"pB2 RNNR")*0.5)))</f>
        <v/>
      </c>
      <c r="J42" s="184" t="str">
        <f>IFERROR(IF(VLOOKUP(Sun_W1[[#This Row],[Employee Name]],'Base Schedules'!$A$79:$AW$111,9,FALSE)="","",VLOOKUP(Sun_W1[[#This Row],[Employee Name]],'Base Schedules'!$A$79:$AW$111,9,FALSE)),"")</f>
        <v/>
      </c>
      <c r="K42" s="184" t="str">
        <f>IFERROR(IF(VLOOKUP(Sun_W1[[#This Row],[Employee Name]],'Base Schedules'!$A$79:$AW$111,10,FALSE)="","",VLOOKUP(Sun_W1[[#This Row],[Employee Name]],'Base Schedules'!$A$79:$AW$111,10,FALSE)),"")</f>
        <v/>
      </c>
      <c r="L42" s="184" t="str">
        <f>IFERROR(IF(VLOOKUP(Sun_W1[[#This Row],[Employee Name]],'Base Schedules'!$A$79:$AW$111,11,FALSE)="","",VLOOKUP(Sun_W1[[#This Row],[Employee Name]],'Base Schedules'!$A$79:$AW$111,11,FALSE)),"")</f>
        <v/>
      </c>
      <c r="M42" s="184" t="str">
        <f>IFERROR(IF(VLOOKUP(Sun_W1[[#This Row],[Employee Name]],'Base Schedules'!$A$79:$AW$111,12,FALSE)="","",VLOOKUP(Sun_W1[[#This Row],[Employee Name]],'Base Schedules'!$A$79:$AW$111,12,FALSE)),"")</f>
        <v/>
      </c>
      <c r="N42" s="184" t="str">
        <f>IFERROR(IF(VLOOKUP(Sun_W1[[#This Row],[Employee Name]],'Base Schedules'!$A$79:$AW$111,13,FALSE)="","",VLOOKUP(Sun_W1[[#This Row],[Employee Name]],'Base Schedules'!$A$79:$AW$111,13,FALSE)),"")</f>
        <v/>
      </c>
      <c r="O42" s="184" t="str">
        <f>IFERROR(IF(VLOOKUP(Sun_W1[[#This Row],[Employee Name]],'Base Schedules'!$A$79:$AW$111,14,FALSE)="","",VLOOKUP(Sun_W1[[#This Row],[Employee Name]],'Base Schedules'!$A$79:$AW$111,14,FALSE)),"")</f>
        <v/>
      </c>
      <c r="P42" s="184" t="str">
        <f>IFERROR(IF(VLOOKUP(Sun_W1[[#This Row],[Employee Name]],'Base Schedules'!$A$79:$AW$111,15,FALSE)="","",VLOOKUP(Sun_W1[[#This Row],[Employee Name]],'Base Schedules'!$A$79:$AW$111,15,FALSE)),"")</f>
        <v/>
      </c>
      <c r="Q42" s="184" t="str">
        <f>IFERROR(IF(VLOOKUP(Sun_W1[[#This Row],[Employee Name]],'Base Schedules'!$A$79:$AW$111,16,FALSE)="","",VLOOKUP(Sun_W1[[#This Row],[Employee Name]],'Base Schedules'!$A$79:$AW$111,16,FALSE)),"")</f>
        <v/>
      </c>
      <c r="R42" s="184" t="str">
        <f>IFERROR(IF(VLOOKUP(Sun_W1[[#This Row],[Employee Name]],'Base Schedules'!$A$79:$AW$111,17,FALSE)="","",VLOOKUP(Sun_W1[[#This Row],[Employee Name]],'Base Schedules'!$A$79:$AW$111,17,FALSE)),"")</f>
        <v/>
      </c>
      <c r="S42" s="184" t="str">
        <f>IFERROR(IF(VLOOKUP(Sun_W1[[#This Row],[Employee Name]],'Base Schedules'!$A$79:$AW$111,18,FALSE)="","",VLOOKUP(Sun_W1[[#This Row],[Employee Name]],'Base Schedules'!$A$79:$AW$111,18,FALSE)),"")</f>
        <v/>
      </c>
      <c r="T42" s="184" t="str">
        <f>IFERROR(IF(VLOOKUP(Sun_W1[[#This Row],[Employee Name]],'Base Schedules'!$A$79:$AW$111,19,FALSE)="","",VLOOKUP(Sun_W1[[#This Row],[Employee Name]],'Base Schedules'!$A$79:$AW$111,19,FALSE)),"")</f>
        <v/>
      </c>
      <c r="U42" s="184" t="str">
        <f>IFERROR(IF(VLOOKUP(Sun_W1[[#This Row],[Employee Name]],'Base Schedules'!$A$79:$AW$111,20,FALSE)="","",VLOOKUP(Sun_W1[[#This Row],[Employee Name]],'Base Schedules'!$A$79:$AW$111,20,FALSE)),"")</f>
        <v/>
      </c>
      <c r="V42" s="184" t="str">
        <f>IFERROR(IF(VLOOKUP(Sun_W1[[#This Row],[Employee Name]],'Base Schedules'!$A$79:$AW$111,21,FALSE)="","",VLOOKUP(Sun_W1[[#This Row],[Employee Name]],'Base Schedules'!$A$79:$AW$111,21,FALSE)),"")</f>
        <v/>
      </c>
      <c r="W42" s="184" t="str">
        <f>IFERROR(IF(VLOOKUP(Sun_W1[[#This Row],[Employee Name]],'Base Schedules'!$A$79:$AW$111,22,FALSE)="","",VLOOKUP(Sun_W1[[#This Row],[Employee Name]],'Base Schedules'!$A$79:$AW$111,22,FALSE)),"")</f>
        <v/>
      </c>
      <c r="X42" s="184" t="str">
        <f>IFERROR(IF(VLOOKUP(Sun_W1[[#This Row],[Employee Name]],'Base Schedules'!$A$79:$AW$111,23,FALSE)="","",VLOOKUP(Sun_W1[[#This Row],[Employee Name]],'Base Schedules'!$A$79:$AW$111,23,FALSE)),"")</f>
        <v/>
      </c>
      <c r="Y42" s="184" t="str">
        <f>IFERROR(IF(VLOOKUP(Sun_W1[[#This Row],[Employee Name]],'Base Schedules'!$A$79:$AW$111,24,FALSE)="","",VLOOKUP(Sun_W1[[#This Row],[Employee Name]],'Base Schedules'!$A$79:$AW$111,24,FALSE)),"")</f>
        <v/>
      </c>
      <c r="Z42" s="184" t="str">
        <f>IFERROR(IF(VLOOKUP(Sun_W1[[#This Row],[Employee Name]],'Base Schedules'!$A$79:$AW$111,25,FALSE)="","",VLOOKUP(Sun_W1[[#This Row],[Employee Name]],'Base Schedules'!$A$79:$AW$111,25,FALSE)),"")</f>
        <v/>
      </c>
      <c r="AA42" s="184" t="str">
        <f>IFERROR(IF(VLOOKUP(Sun_W1[[#This Row],[Employee Name]],'Base Schedules'!$A$79:$AW$111,26,FALSE)="","",VLOOKUP(Sun_W1[[#This Row],[Employee Name]],'Base Schedules'!$A$79:$AW$111,26,FALSE)),"")</f>
        <v/>
      </c>
      <c r="AB42" s="184" t="str">
        <f>IFERROR(IF(VLOOKUP(Sun_W1[[#This Row],[Employee Name]],'Base Schedules'!$A$79:$AW$111,27,FALSE)="","",VLOOKUP(Sun_W1[[#This Row],[Employee Name]],'Base Schedules'!$A$79:$AW$111,27,FALSE)),"")</f>
        <v/>
      </c>
      <c r="AC42" s="184" t="str">
        <f>IFERROR(IF(VLOOKUP(Sun_W1[[#This Row],[Employee Name]],'Base Schedules'!$A$79:$AW$111,28,FALSE)="","",VLOOKUP(Sun_W1[[#This Row],[Employee Name]],'Base Schedules'!$A$79:$AW$111,28,FALSE)),"")</f>
        <v/>
      </c>
      <c r="AD42" s="184" t="str">
        <f>IFERROR(IF(VLOOKUP(Sun_W1[[#This Row],[Employee Name]],'Base Schedules'!$A$79:$AW$111,29,FALSE)="","",VLOOKUP(Sun_W1[[#This Row],[Employee Name]],'Base Schedules'!$A$79:$AW$111,29,FALSE)),"")</f>
        <v/>
      </c>
      <c r="AE42" s="184" t="str">
        <f>IFERROR(IF(VLOOKUP(Sun_W1[[#This Row],[Employee Name]],'Base Schedules'!$A$79:$AW$111,30,FALSE)="","",VLOOKUP(Sun_W1[[#This Row],[Employee Name]],'Base Schedules'!$A$79:$AW$111,30,FALSE)),"")</f>
        <v/>
      </c>
      <c r="AF42" s="184" t="str">
        <f>IFERROR(IF(VLOOKUP(Sun_W1[[#This Row],[Employee Name]],'Base Schedules'!$A$79:$AW$111,31,FALSE)="","",VLOOKUP(Sun_W1[[#This Row],[Employee Name]],'Base Schedules'!$A$79:$AW$111,31,FALSE)),"")</f>
        <v/>
      </c>
      <c r="AG42" s="184" t="str">
        <f>IFERROR(IF(VLOOKUP(Sun_W1[[#This Row],[Employee Name]],'Base Schedules'!$A$79:$AW$111,32,FALSE)="","",VLOOKUP(Sun_W1[[#This Row],[Employee Name]],'Base Schedules'!$A$79:$AW$111,32,FALSE)),"")</f>
        <v/>
      </c>
      <c r="AH42" s="184" t="str">
        <f>IFERROR(IF(VLOOKUP(Sun_W1[[#This Row],[Employee Name]],'Base Schedules'!$A$79:$AW$111,33,FALSE)="","",VLOOKUP(Sun_W1[[#This Row],[Employee Name]],'Base Schedules'!$A$79:$AW$111,33,FALSE)),"")</f>
        <v/>
      </c>
      <c r="AI42" s="184" t="str">
        <f>IFERROR(IF(VLOOKUP(Sun_W1[[#This Row],[Employee Name]],'Base Schedules'!$A$79:$AW$111,34,FALSE)="","",VLOOKUP(Sun_W1[[#This Row],[Employee Name]],'Base Schedules'!$A$79:$AW$111,34,FALSE)),"")</f>
        <v/>
      </c>
      <c r="AJ42" s="184" t="str">
        <f>IFERROR(IF(VLOOKUP(Sun_W1[[#This Row],[Employee Name]],'Base Schedules'!$A$79:$AW$111,35,FALSE)="","",VLOOKUP(Sun_W1[[#This Row],[Employee Name]],'Base Schedules'!$A$79:$AW$111,35,FALSE)),"")</f>
        <v/>
      </c>
      <c r="AK42" s="184" t="str">
        <f>IFERROR(IF(VLOOKUP(Sun_W1[[#This Row],[Employee Name]],'Base Schedules'!$A$79:$AW$111,36,FALSE)="","",VLOOKUP(Sun_W1[[#This Row],[Employee Name]],'Base Schedules'!$A$79:$AW$111,36,FALSE)),"")</f>
        <v/>
      </c>
      <c r="AL42" s="184" t="str">
        <f>IFERROR(IF(VLOOKUP(Sun_W1[[#This Row],[Employee Name]],'Base Schedules'!$A$79:$AW$111,37,FALSE)="","",VLOOKUP(Sun_W1[[#This Row],[Employee Name]],'Base Schedules'!$A$79:$AW$111,37,FALSE)),"")</f>
        <v/>
      </c>
      <c r="AM42" s="184" t="str">
        <f>IFERROR(IF(VLOOKUP(Sun_W1[[#This Row],[Employee Name]],'Base Schedules'!$A$79:$AW$111,38,FALSE)="","",VLOOKUP(Sun_W1[[#This Row],[Employee Name]],'Base Schedules'!$A$79:$AW$111,38,FALSE)),"")</f>
        <v/>
      </c>
      <c r="AN42" s="184" t="str">
        <f>IFERROR(IF(VLOOKUP(Sun_W1[[#This Row],[Employee Name]],'Base Schedules'!$A$79:$AW$111,39,FALSE)="","",VLOOKUP(Sun_W1[[#This Row],[Employee Name]],'Base Schedules'!$A$79:$AW$111,39,FALSE)),"")</f>
        <v/>
      </c>
      <c r="AO42" s="184" t="str">
        <f>IFERROR(IF(VLOOKUP(Sun_W1[[#This Row],[Employee Name]],'Base Schedules'!$A$79:$AW$111,40,FALSE)="","",VLOOKUP(Sun_W1[[#This Row],[Employee Name]],'Base Schedules'!$A$79:$AW$111,40,FALSE)),"")</f>
        <v/>
      </c>
      <c r="AP42" s="184" t="str">
        <f>IFERROR(IF(VLOOKUP(Sun_W1[[#This Row],[Employee Name]],'Base Schedules'!$A$79:$AW$111,41,FALSE)="","",VLOOKUP(Sun_W1[[#This Row],[Employee Name]],'Base Schedules'!$A$79:$AW$111,41,FALSE)),"")</f>
        <v/>
      </c>
      <c r="AQ42" s="184" t="str">
        <f>IFERROR(IF(VLOOKUP(Sun_W1[[#This Row],[Employee Name]],'Base Schedules'!$A$79:$AW$111,42,FALSE)="","",VLOOKUP(Sun_W1[[#This Row],[Employee Name]],'Base Schedules'!$A$79:$AW$111,42,FALSE)),"")</f>
        <v/>
      </c>
      <c r="AR42" s="184" t="str">
        <f>IFERROR(IF(VLOOKUP(Sun_W1[[#This Row],[Employee Name]],'Base Schedules'!$A$79:$AW$111,43,FALSE)="","",VLOOKUP(Sun_W1[[#This Row],[Employee Name]],'Base Schedules'!$A$79:$AW$111,43,FALSE)),"")</f>
        <v/>
      </c>
      <c r="AS42" s="184" t="str">
        <f>IFERROR(IF(VLOOKUP(Sun_W1[[#This Row],[Employee Name]],'Base Schedules'!$A$79:$AW$111,44,FALSE)="","",VLOOKUP(Sun_W1[[#This Row],[Employee Name]],'Base Schedules'!$A$79:$AW$111,44,FALSE)),"")</f>
        <v/>
      </c>
      <c r="AT42" s="184" t="str">
        <f>IFERROR(IF(VLOOKUP(Sun_W1[[#This Row],[Employee Name]],'Base Schedules'!$A$79:$AW$111,45,FALSE)="","",VLOOKUP(Sun_W1[[#This Row],[Employee Name]],'Base Schedules'!$A$79:$AW$111,45,FALSE)),"")</f>
        <v/>
      </c>
      <c r="AU42" s="184" t="str">
        <f>IFERROR(IF(VLOOKUP(Sun_W1[[#This Row],[Employee Name]],'Base Schedules'!$A$79:$AW$111,46,FALSE)="","",VLOOKUP(Sun_W1[[#This Row],[Employee Name]],'Base Schedules'!$A$79:$AW$111,46,FALSE)),"")</f>
        <v/>
      </c>
      <c r="AV42" s="184" t="str">
        <f>IFERROR(IF(VLOOKUP(Sun_W1[[#This Row],[Employee Name]],'Base Schedules'!$A$79:$AW$111,47,FALSE)="","",VLOOKUP(Sun_W1[[#This Row],[Employee Name]],'Base Schedules'!$A$79:$AW$111,47,FALSE)),"")</f>
        <v/>
      </c>
      <c r="AW42" s="184" t="str">
        <f>IFERROR(IF(VLOOKUP(Sun_W1[[#This Row],[Employee Name]],'Base Schedules'!$A$79:$AW$111,48,FALSE)="","",VLOOKUP(Sun_W1[[#This Row],[Employee Name]],'Base Schedules'!$A$79:$AW$111,48,FALSE)),"")</f>
        <v/>
      </c>
      <c r="AX42" s="184" t="str">
        <f>IFERROR(IF(VLOOKUP(Sun_W1[[#This Row],[Employee Name]],'Base Schedules'!$A$79:$AW$111,49,FALSE)="","",VLOOKUP(Sun_W1[[#This Row],[Employee Name]],'Base Schedules'!$A$79:$AW$111,49,FALSE)),"")</f>
        <v/>
      </c>
      <c r="AY42" s="159" t="str">
        <f t="shared" si="2"/>
        <v/>
      </c>
    </row>
    <row r="43" spans="1:51" s="44" customFormat="1" hidden="1" thickBot="1" x14ac:dyDescent="0.25">
      <c r="A43" s="201"/>
      <c r="B43" s="201"/>
      <c r="C43" s="257" t="str">
        <f>_xlfn.IFNA(VLOOKUP(Sun_W1[[#This Row],[Employee Name]],'Base Schedules'!A:B,2,FALSE),"")</f>
        <v/>
      </c>
      <c r="D43" s="274" t="str">
        <f>_xlfn.IFNA(VLOOKUP(Sun_W1[[#This Row],[Employee Name]],'Base Schedules'!A:C,3,FALSE),"")</f>
        <v/>
      </c>
      <c r="E43" s="274" t="str">
        <f>_xlfn.IFNA(VLOOKUP(Sun_W1[[#This Row],[Employee Name]],'Base Schedules'!A:D,4,FALSE),"")</f>
        <v/>
      </c>
      <c r="F43" s="142" t="str">
        <f>IF(Sun_W1[[#This Row],[Employee Name]]="","",IF(Sun_W1[[#This Row],[Dept]]="Supervisor",COUNTIFS($J43:$AX43,"*HL*",$J43:$AX43,"&lt;&gt;"&amp;"pHL"),COUNTIFS($J43:$AX43,"*HL*",$J43:$AX43,"&lt;&gt;"&amp;"*pHL*",$J43:$AX43,"&lt;&gt;"&amp;"pB1 HL",$J43:$AX43,"&lt;&gt;"&amp;"pB2 HL")-SUM(COUNTIFS($J43:$AX43,"*HL B1*",$J43:$AX43,"&lt;&gt;"&amp;"pHL B1")*0.5,COUNTIFS($J43:$AX43,"*HL B2*",$J43:$AX43,"&lt;&gt;"&amp;"pHL B2")*0.5,COUNTIFS($J43:$AX43,"*B1 HL*",$J43:$AX43,"&lt;&gt;"&amp;"pB1 HL")*0.5,COUNTIFS($J43:$AX43,"*B2 HL*",$J43:$AX43,"&lt;&gt;"&amp;"pB2 HL")*0.5)))</f>
        <v/>
      </c>
      <c r="G43" s="142" t="str">
        <f t="shared" si="0"/>
        <v/>
      </c>
      <c r="H43" s="142" t="str">
        <f t="shared" si="1"/>
        <v/>
      </c>
      <c r="I43" s="142" t="str">
        <f>IF(Sun_W1[[#This Row],[Employee Name]]="","",IF(Sun_W1[[#This Row],[Dept]]="Supervisor",SUM(COUNTIFS($J43:$AX43,"RTA*",$J43:$AX43,"&lt;&gt;"&amp;"pRTA"),COUNTIFS($J43:$AX43,"*CRTA*",$J43:$AX43,"&lt;&gt;"&amp;"pCRTA")),COUNTIFS($J43:$AX43,"*RNNR*",$J43:$AX43,"&lt;&gt;"&amp;"*pRNNR*",$J43:$AX43,"&lt;&gt;"&amp;"pB1 RNNR",$J43:$AX43,"&lt;&gt;"&amp;"pB2 RNNR")-SUM(COUNTIFS($J43:$AX43,"*RNNR B1*",$J43:$AX43,"&lt;&gt;"&amp;"pRNNR B1")*0.5,COUNTIFS($J43:$AX43,"*RNNR B2*",$J43:$AX43,"&lt;&gt;"&amp;"pRNNR B2")*0.5,COUNTIFS($J43:$AX43,"*B1 RNNR*",$J43:$AX43,"&lt;&gt;"&amp;"pB1 RNNR")*0.5,COUNTIFS($J43:$AX43,"*B2 RNNR*",$J43:$AX43,"&lt;&gt;"&amp;"pB2 RNNR")*0.5)))</f>
        <v/>
      </c>
      <c r="J43" s="184" t="str">
        <f>IFERROR(IF(VLOOKUP(Sun_W1[[#This Row],[Employee Name]],'Base Schedules'!$A$79:$AW$111,9,FALSE)="","",VLOOKUP(Sun_W1[[#This Row],[Employee Name]],'Base Schedules'!$A$79:$AW$111,9,FALSE)),"")</f>
        <v/>
      </c>
      <c r="K43" s="184" t="str">
        <f>IFERROR(IF(VLOOKUP(Sun_W1[[#This Row],[Employee Name]],'Base Schedules'!$A$79:$AW$111,10,FALSE)="","",VLOOKUP(Sun_W1[[#This Row],[Employee Name]],'Base Schedules'!$A$79:$AW$111,10,FALSE)),"")</f>
        <v/>
      </c>
      <c r="L43" s="184" t="str">
        <f>IFERROR(IF(VLOOKUP(Sun_W1[[#This Row],[Employee Name]],'Base Schedules'!$A$79:$AW$111,11,FALSE)="","",VLOOKUP(Sun_W1[[#This Row],[Employee Name]],'Base Schedules'!$A$79:$AW$111,11,FALSE)),"")</f>
        <v/>
      </c>
      <c r="M43" s="184" t="str">
        <f>IFERROR(IF(VLOOKUP(Sun_W1[[#This Row],[Employee Name]],'Base Schedules'!$A$79:$AW$111,12,FALSE)="","",VLOOKUP(Sun_W1[[#This Row],[Employee Name]],'Base Schedules'!$A$79:$AW$111,12,FALSE)),"")</f>
        <v/>
      </c>
      <c r="N43" s="184" t="str">
        <f>IFERROR(IF(VLOOKUP(Sun_W1[[#This Row],[Employee Name]],'Base Schedules'!$A$79:$AW$111,13,FALSE)="","",VLOOKUP(Sun_W1[[#This Row],[Employee Name]],'Base Schedules'!$A$79:$AW$111,13,FALSE)),"")</f>
        <v/>
      </c>
      <c r="O43" s="184" t="str">
        <f>IFERROR(IF(VLOOKUP(Sun_W1[[#This Row],[Employee Name]],'Base Schedules'!$A$79:$AW$111,14,FALSE)="","",VLOOKUP(Sun_W1[[#This Row],[Employee Name]],'Base Schedules'!$A$79:$AW$111,14,FALSE)),"")</f>
        <v/>
      </c>
      <c r="P43" s="184" t="str">
        <f>IFERROR(IF(VLOOKUP(Sun_W1[[#This Row],[Employee Name]],'Base Schedules'!$A$79:$AW$111,15,FALSE)="","",VLOOKUP(Sun_W1[[#This Row],[Employee Name]],'Base Schedules'!$A$79:$AW$111,15,FALSE)),"")</f>
        <v/>
      </c>
      <c r="Q43" s="184" t="str">
        <f>IFERROR(IF(VLOOKUP(Sun_W1[[#This Row],[Employee Name]],'Base Schedules'!$A$79:$AW$111,16,FALSE)="","",VLOOKUP(Sun_W1[[#This Row],[Employee Name]],'Base Schedules'!$A$79:$AW$111,16,FALSE)),"")</f>
        <v/>
      </c>
      <c r="R43" s="184" t="str">
        <f>IFERROR(IF(VLOOKUP(Sun_W1[[#This Row],[Employee Name]],'Base Schedules'!$A$79:$AW$111,17,FALSE)="","",VLOOKUP(Sun_W1[[#This Row],[Employee Name]],'Base Schedules'!$A$79:$AW$111,17,FALSE)),"")</f>
        <v/>
      </c>
      <c r="S43" s="184" t="str">
        <f>IFERROR(IF(VLOOKUP(Sun_W1[[#This Row],[Employee Name]],'Base Schedules'!$A$79:$AW$111,18,FALSE)="","",VLOOKUP(Sun_W1[[#This Row],[Employee Name]],'Base Schedules'!$A$79:$AW$111,18,FALSE)),"")</f>
        <v/>
      </c>
      <c r="T43" s="184" t="str">
        <f>IFERROR(IF(VLOOKUP(Sun_W1[[#This Row],[Employee Name]],'Base Schedules'!$A$79:$AW$111,19,FALSE)="","",VLOOKUP(Sun_W1[[#This Row],[Employee Name]],'Base Schedules'!$A$79:$AW$111,19,FALSE)),"")</f>
        <v/>
      </c>
      <c r="U43" s="184" t="str">
        <f>IFERROR(IF(VLOOKUP(Sun_W1[[#This Row],[Employee Name]],'Base Schedules'!$A$79:$AW$111,20,FALSE)="","",VLOOKUP(Sun_W1[[#This Row],[Employee Name]],'Base Schedules'!$A$79:$AW$111,20,FALSE)),"")</f>
        <v/>
      </c>
      <c r="V43" s="184" t="str">
        <f>IFERROR(IF(VLOOKUP(Sun_W1[[#This Row],[Employee Name]],'Base Schedules'!$A$79:$AW$111,21,FALSE)="","",VLOOKUP(Sun_W1[[#This Row],[Employee Name]],'Base Schedules'!$A$79:$AW$111,21,FALSE)),"")</f>
        <v/>
      </c>
      <c r="W43" s="184" t="str">
        <f>IFERROR(IF(VLOOKUP(Sun_W1[[#This Row],[Employee Name]],'Base Schedules'!$A$79:$AW$111,22,FALSE)="","",VLOOKUP(Sun_W1[[#This Row],[Employee Name]],'Base Schedules'!$A$79:$AW$111,22,FALSE)),"")</f>
        <v/>
      </c>
      <c r="X43" s="184" t="str">
        <f>IFERROR(IF(VLOOKUP(Sun_W1[[#This Row],[Employee Name]],'Base Schedules'!$A$79:$AW$111,23,FALSE)="","",VLOOKUP(Sun_W1[[#This Row],[Employee Name]],'Base Schedules'!$A$79:$AW$111,23,FALSE)),"")</f>
        <v/>
      </c>
      <c r="Y43" s="184" t="str">
        <f>IFERROR(IF(VLOOKUP(Sun_W1[[#This Row],[Employee Name]],'Base Schedules'!$A$79:$AW$111,24,FALSE)="","",VLOOKUP(Sun_W1[[#This Row],[Employee Name]],'Base Schedules'!$A$79:$AW$111,24,FALSE)),"")</f>
        <v/>
      </c>
      <c r="Z43" s="184" t="str">
        <f>IFERROR(IF(VLOOKUP(Sun_W1[[#This Row],[Employee Name]],'Base Schedules'!$A$79:$AW$111,25,FALSE)="","",VLOOKUP(Sun_W1[[#This Row],[Employee Name]],'Base Schedules'!$A$79:$AW$111,25,FALSE)),"")</f>
        <v/>
      </c>
      <c r="AA43" s="184" t="str">
        <f>IFERROR(IF(VLOOKUP(Sun_W1[[#This Row],[Employee Name]],'Base Schedules'!$A$79:$AW$111,26,FALSE)="","",VLOOKUP(Sun_W1[[#This Row],[Employee Name]],'Base Schedules'!$A$79:$AW$111,26,FALSE)),"")</f>
        <v/>
      </c>
      <c r="AB43" s="184" t="str">
        <f>IFERROR(IF(VLOOKUP(Sun_W1[[#This Row],[Employee Name]],'Base Schedules'!$A$79:$AW$111,27,FALSE)="","",VLOOKUP(Sun_W1[[#This Row],[Employee Name]],'Base Schedules'!$A$79:$AW$111,27,FALSE)),"")</f>
        <v/>
      </c>
      <c r="AC43" s="184" t="str">
        <f>IFERROR(IF(VLOOKUP(Sun_W1[[#This Row],[Employee Name]],'Base Schedules'!$A$79:$AW$111,28,FALSE)="","",VLOOKUP(Sun_W1[[#This Row],[Employee Name]],'Base Schedules'!$A$79:$AW$111,28,FALSE)),"")</f>
        <v/>
      </c>
      <c r="AD43" s="184" t="str">
        <f>IFERROR(IF(VLOOKUP(Sun_W1[[#This Row],[Employee Name]],'Base Schedules'!$A$79:$AW$111,29,FALSE)="","",VLOOKUP(Sun_W1[[#This Row],[Employee Name]],'Base Schedules'!$A$79:$AW$111,29,FALSE)),"")</f>
        <v/>
      </c>
      <c r="AE43" s="184" t="str">
        <f>IFERROR(IF(VLOOKUP(Sun_W1[[#This Row],[Employee Name]],'Base Schedules'!$A$79:$AW$111,30,FALSE)="","",VLOOKUP(Sun_W1[[#This Row],[Employee Name]],'Base Schedules'!$A$79:$AW$111,30,FALSE)),"")</f>
        <v/>
      </c>
      <c r="AF43" s="184" t="str">
        <f>IFERROR(IF(VLOOKUP(Sun_W1[[#This Row],[Employee Name]],'Base Schedules'!$A$79:$AW$111,31,FALSE)="","",VLOOKUP(Sun_W1[[#This Row],[Employee Name]],'Base Schedules'!$A$79:$AW$111,31,FALSE)),"")</f>
        <v/>
      </c>
      <c r="AG43" s="184" t="str">
        <f>IFERROR(IF(VLOOKUP(Sun_W1[[#This Row],[Employee Name]],'Base Schedules'!$A$79:$AW$111,32,FALSE)="","",VLOOKUP(Sun_W1[[#This Row],[Employee Name]],'Base Schedules'!$A$79:$AW$111,32,FALSE)),"")</f>
        <v/>
      </c>
      <c r="AH43" s="184" t="str">
        <f>IFERROR(IF(VLOOKUP(Sun_W1[[#This Row],[Employee Name]],'Base Schedules'!$A$79:$AW$111,33,FALSE)="","",VLOOKUP(Sun_W1[[#This Row],[Employee Name]],'Base Schedules'!$A$79:$AW$111,33,FALSE)),"")</f>
        <v/>
      </c>
      <c r="AI43" s="184" t="str">
        <f>IFERROR(IF(VLOOKUP(Sun_W1[[#This Row],[Employee Name]],'Base Schedules'!$A$79:$AW$111,34,FALSE)="","",VLOOKUP(Sun_W1[[#This Row],[Employee Name]],'Base Schedules'!$A$79:$AW$111,34,FALSE)),"")</f>
        <v/>
      </c>
      <c r="AJ43" s="184" t="str">
        <f>IFERROR(IF(VLOOKUP(Sun_W1[[#This Row],[Employee Name]],'Base Schedules'!$A$79:$AW$111,35,FALSE)="","",VLOOKUP(Sun_W1[[#This Row],[Employee Name]],'Base Schedules'!$A$79:$AW$111,35,FALSE)),"")</f>
        <v/>
      </c>
      <c r="AK43" s="184" t="str">
        <f>IFERROR(IF(VLOOKUP(Sun_W1[[#This Row],[Employee Name]],'Base Schedules'!$A$79:$AW$111,36,FALSE)="","",VLOOKUP(Sun_W1[[#This Row],[Employee Name]],'Base Schedules'!$A$79:$AW$111,36,FALSE)),"")</f>
        <v/>
      </c>
      <c r="AL43" s="184" t="str">
        <f>IFERROR(IF(VLOOKUP(Sun_W1[[#This Row],[Employee Name]],'Base Schedules'!$A$79:$AW$111,37,FALSE)="","",VLOOKUP(Sun_W1[[#This Row],[Employee Name]],'Base Schedules'!$A$79:$AW$111,37,FALSE)),"")</f>
        <v/>
      </c>
      <c r="AM43" s="184" t="str">
        <f>IFERROR(IF(VLOOKUP(Sun_W1[[#This Row],[Employee Name]],'Base Schedules'!$A$79:$AW$111,38,FALSE)="","",VLOOKUP(Sun_W1[[#This Row],[Employee Name]],'Base Schedules'!$A$79:$AW$111,38,FALSE)),"")</f>
        <v/>
      </c>
      <c r="AN43" s="184" t="str">
        <f>IFERROR(IF(VLOOKUP(Sun_W1[[#This Row],[Employee Name]],'Base Schedules'!$A$79:$AW$111,39,FALSE)="","",VLOOKUP(Sun_W1[[#This Row],[Employee Name]],'Base Schedules'!$A$79:$AW$111,39,FALSE)),"")</f>
        <v/>
      </c>
      <c r="AO43" s="184" t="str">
        <f>IFERROR(IF(VLOOKUP(Sun_W1[[#This Row],[Employee Name]],'Base Schedules'!$A$79:$AW$111,40,FALSE)="","",VLOOKUP(Sun_W1[[#This Row],[Employee Name]],'Base Schedules'!$A$79:$AW$111,40,FALSE)),"")</f>
        <v/>
      </c>
      <c r="AP43" s="184" t="str">
        <f>IFERROR(IF(VLOOKUP(Sun_W1[[#This Row],[Employee Name]],'Base Schedules'!$A$79:$AW$111,41,FALSE)="","",VLOOKUP(Sun_W1[[#This Row],[Employee Name]],'Base Schedules'!$A$79:$AW$111,41,FALSE)),"")</f>
        <v/>
      </c>
      <c r="AQ43" s="184" t="str">
        <f>IFERROR(IF(VLOOKUP(Sun_W1[[#This Row],[Employee Name]],'Base Schedules'!$A$79:$AW$111,42,FALSE)="","",VLOOKUP(Sun_W1[[#This Row],[Employee Name]],'Base Schedules'!$A$79:$AW$111,42,FALSE)),"")</f>
        <v/>
      </c>
      <c r="AR43" s="184" t="str">
        <f>IFERROR(IF(VLOOKUP(Sun_W1[[#This Row],[Employee Name]],'Base Schedules'!$A$79:$AW$111,43,FALSE)="","",VLOOKUP(Sun_W1[[#This Row],[Employee Name]],'Base Schedules'!$A$79:$AW$111,43,FALSE)),"")</f>
        <v/>
      </c>
      <c r="AS43" s="184" t="str">
        <f>IFERROR(IF(VLOOKUP(Sun_W1[[#This Row],[Employee Name]],'Base Schedules'!$A$79:$AW$111,44,FALSE)="","",VLOOKUP(Sun_W1[[#This Row],[Employee Name]],'Base Schedules'!$A$79:$AW$111,44,FALSE)),"")</f>
        <v/>
      </c>
      <c r="AT43" s="184" t="str">
        <f>IFERROR(IF(VLOOKUP(Sun_W1[[#This Row],[Employee Name]],'Base Schedules'!$A$79:$AW$111,45,FALSE)="","",VLOOKUP(Sun_W1[[#This Row],[Employee Name]],'Base Schedules'!$A$79:$AW$111,45,FALSE)),"")</f>
        <v/>
      </c>
      <c r="AU43" s="184" t="str">
        <f>IFERROR(IF(VLOOKUP(Sun_W1[[#This Row],[Employee Name]],'Base Schedules'!$A$79:$AW$111,46,FALSE)="","",VLOOKUP(Sun_W1[[#This Row],[Employee Name]],'Base Schedules'!$A$79:$AW$111,46,FALSE)),"")</f>
        <v/>
      </c>
      <c r="AV43" s="184" t="str">
        <f>IFERROR(IF(VLOOKUP(Sun_W1[[#This Row],[Employee Name]],'Base Schedules'!$A$79:$AW$111,47,FALSE)="","",VLOOKUP(Sun_W1[[#This Row],[Employee Name]],'Base Schedules'!$A$79:$AW$111,47,FALSE)),"")</f>
        <v/>
      </c>
      <c r="AW43" s="184" t="str">
        <f>IFERROR(IF(VLOOKUP(Sun_W1[[#This Row],[Employee Name]],'Base Schedules'!$A$79:$AW$111,48,FALSE)="","",VLOOKUP(Sun_W1[[#This Row],[Employee Name]],'Base Schedules'!$A$79:$AW$111,48,FALSE)),"")</f>
        <v/>
      </c>
      <c r="AX43" s="184" t="str">
        <f>IFERROR(IF(VLOOKUP(Sun_W1[[#This Row],[Employee Name]],'Base Schedules'!$A$79:$AW$111,49,FALSE)="","",VLOOKUP(Sun_W1[[#This Row],[Employee Name]],'Base Schedules'!$A$79:$AW$111,49,FALSE)),"")</f>
        <v/>
      </c>
      <c r="AY43" s="159" t="str">
        <f t="shared" si="2"/>
        <v/>
      </c>
    </row>
    <row r="44" spans="1:51" s="44" customFormat="1" hidden="1" thickBot="1" x14ac:dyDescent="0.25">
      <c r="A44" s="201"/>
      <c r="B44" s="201"/>
      <c r="C44" s="257" t="str">
        <f>_xlfn.IFNA(VLOOKUP(Sun_W1[[#This Row],[Employee Name]],'Base Schedules'!A:B,2,FALSE),"")</f>
        <v/>
      </c>
      <c r="D44" s="274" t="str">
        <f>_xlfn.IFNA(VLOOKUP(Sun_W1[[#This Row],[Employee Name]],'Base Schedules'!A:C,3,FALSE),"")</f>
        <v/>
      </c>
      <c r="E44" s="274" t="str">
        <f>_xlfn.IFNA(VLOOKUP(Sun_W1[[#This Row],[Employee Name]],'Base Schedules'!A:D,4,FALSE),"")</f>
        <v/>
      </c>
      <c r="F44" s="142" t="str">
        <f>IF(Sun_W1[[#This Row],[Employee Name]]="","",IF(Sun_W1[[#This Row],[Dept]]="Supervisor",COUNTIFS($J44:$AX44,"*HL*",$J44:$AX44,"&lt;&gt;"&amp;"pHL"),COUNTIFS($J44:$AX44,"*HL*",$J44:$AX44,"&lt;&gt;"&amp;"*pHL*",$J44:$AX44,"&lt;&gt;"&amp;"pB1 HL",$J44:$AX44,"&lt;&gt;"&amp;"pB2 HL")-SUM(COUNTIFS($J44:$AX44,"*HL B1*",$J44:$AX44,"&lt;&gt;"&amp;"pHL B1")*0.5,COUNTIFS($J44:$AX44,"*HL B2*",$J44:$AX44,"&lt;&gt;"&amp;"pHL B2")*0.5,COUNTIFS($J44:$AX44,"*B1 HL*",$J44:$AX44,"&lt;&gt;"&amp;"pB1 HL")*0.5,COUNTIFS($J44:$AX44,"*B2 HL*",$J44:$AX44,"&lt;&gt;"&amp;"pB2 HL")*0.5)))</f>
        <v/>
      </c>
      <c r="G44" s="142" t="str">
        <f t="shared" si="0"/>
        <v/>
      </c>
      <c r="H44" s="142" t="str">
        <f t="shared" si="1"/>
        <v/>
      </c>
      <c r="I44" s="142" t="str">
        <f>IF(Sun_W1[[#This Row],[Employee Name]]="","",IF(Sun_W1[[#This Row],[Dept]]="Supervisor",SUM(COUNTIFS($J44:$AX44,"RTA*",$J44:$AX44,"&lt;&gt;"&amp;"pRTA"),COUNTIFS($J44:$AX44,"*CRTA*",$J44:$AX44,"&lt;&gt;"&amp;"pCRTA")),COUNTIFS($J44:$AX44,"*RNNR*",$J44:$AX44,"&lt;&gt;"&amp;"*pRNNR*",$J44:$AX44,"&lt;&gt;"&amp;"pB1 RNNR",$J44:$AX44,"&lt;&gt;"&amp;"pB2 RNNR")-SUM(COUNTIFS($J44:$AX44,"*RNNR B1*",$J44:$AX44,"&lt;&gt;"&amp;"pRNNR B1")*0.5,COUNTIFS($J44:$AX44,"*RNNR B2*",$J44:$AX44,"&lt;&gt;"&amp;"pRNNR B2")*0.5,COUNTIFS($J44:$AX44,"*B1 RNNR*",$J44:$AX44,"&lt;&gt;"&amp;"pB1 RNNR")*0.5,COUNTIFS($J44:$AX44,"*B2 RNNR*",$J44:$AX44,"&lt;&gt;"&amp;"pB2 RNNR")*0.5)))</f>
        <v/>
      </c>
      <c r="J44" s="184" t="str">
        <f>IFERROR(IF(VLOOKUP(Sun_W1[[#This Row],[Employee Name]],'Base Schedules'!$A$79:$AW$111,9,FALSE)="","",VLOOKUP(Sun_W1[[#This Row],[Employee Name]],'Base Schedules'!$A$79:$AW$111,9,FALSE)),"")</f>
        <v/>
      </c>
      <c r="K44" s="184" t="str">
        <f>IFERROR(IF(VLOOKUP(Sun_W1[[#This Row],[Employee Name]],'Base Schedules'!$A$79:$AW$111,10,FALSE)="","",VLOOKUP(Sun_W1[[#This Row],[Employee Name]],'Base Schedules'!$A$79:$AW$111,10,FALSE)),"")</f>
        <v/>
      </c>
      <c r="L44" s="184" t="str">
        <f>IFERROR(IF(VLOOKUP(Sun_W1[[#This Row],[Employee Name]],'Base Schedules'!$A$79:$AW$111,11,FALSE)="","",VLOOKUP(Sun_W1[[#This Row],[Employee Name]],'Base Schedules'!$A$79:$AW$111,11,FALSE)),"")</f>
        <v/>
      </c>
      <c r="M44" s="184" t="str">
        <f>IFERROR(IF(VLOOKUP(Sun_W1[[#This Row],[Employee Name]],'Base Schedules'!$A$79:$AW$111,12,FALSE)="","",VLOOKUP(Sun_W1[[#This Row],[Employee Name]],'Base Schedules'!$A$79:$AW$111,12,FALSE)),"")</f>
        <v/>
      </c>
      <c r="N44" s="184" t="str">
        <f>IFERROR(IF(VLOOKUP(Sun_W1[[#This Row],[Employee Name]],'Base Schedules'!$A$79:$AW$111,13,FALSE)="","",VLOOKUP(Sun_W1[[#This Row],[Employee Name]],'Base Schedules'!$A$79:$AW$111,13,FALSE)),"")</f>
        <v/>
      </c>
      <c r="O44" s="184" t="str">
        <f>IFERROR(IF(VLOOKUP(Sun_W1[[#This Row],[Employee Name]],'Base Schedules'!$A$79:$AW$111,14,FALSE)="","",VLOOKUP(Sun_W1[[#This Row],[Employee Name]],'Base Schedules'!$A$79:$AW$111,14,FALSE)),"")</f>
        <v/>
      </c>
      <c r="P44" s="184" t="str">
        <f>IFERROR(IF(VLOOKUP(Sun_W1[[#This Row],[Employee Name]],'Base Schedules'!$A$79:$AW$111,15,FALSE)="","",VLOOKUP(Sun_W1[[#This Row],[Employee Name]],'Base Schedules'!$A$79:$AW$111,15,FALSE)),"")</f>
        <v/>
      </c>
      <c r="Q44" s="184" t="str">
        <f>IFERROR(IF(VLOOKUP(Sun_W1[[#This Row],[Employee Name]],'Base Schedules'!$A$79:$AW$111,16,FALSE)="","",VLOOKUP(Sun_W1[[#This Row],[Employee Name]],'Base Schedules'!$A$79:$AW$111,16,FALSE)),"")</f>
        <v/>
      </c>
      <c r="R44" s="184" t="str">
        <f>IFERROR(IF(VLOOKUP(Sun_W1[[#This Row],[Employee Name]],'Base Schedules'!$A$79:$AW$111,17,FALSE)="","",VLOOKUP(Sun_W1[[#This Row],[Employee Name]],'Base Schedules'!$A$79:$AW$111,17,FALSE)),"")</f>
        <v/>
      </c>
      <c r="S44" s="184" t="str">
        <f>IFERROR(IF(VLOOKUP(Sun_W1[[#This Row],[Employee Name]],'Base Schedules'!$A$79:$AW$111,18,FALSE)="","",VLOOKUP(Sun_W1[[#This Row],[Employee Name]],'Base Schedules'!$A$79:$AW$111,18,FALSE)),"")</f>
        <v/>
      </c>
      <c r="T44" s="184" t="str">
        <f>IFERROR(IF(VLOOKUP(Sun_W1[[#This Row],[Employee Name]],'Base Schedules'!$A$79:$AW$111,19,FALSE)="","",VLOOKUP(Sun_W1[[#This Row],[Employee Name]],'Base Schedules'!$A$79:$AW$111,19,FALSE)),"")</f>
        <v/>
      </c>
      <c r="U44" s="184" t="str">
        <f>IFERROR(IF(VLOOKUP(Sun_W1[[#This Row],[Employee Name]],'Base Schedules'!$A$79:$AW$111,20,FALSE)="","",VLOOKUP(Sun_W1[[#This Row],[Employee Name]],'Base Schedules'!$A$79:$AW$111,20,FALSE)),"")</f>
        <v/>
      </c>
      <c r="V44" s="184" t="str">
        <f>IFERROR(IF(VLOOKUP(Sun_W1[[#This Row],[Employee Name]],'Base Schedules'!$A$79:$AW$111,21,FALSE)="","",VLOOKUP(Sun_W1[[#This Row],[Employee Name]],'Base Schedules'!$A$79:$AW$111,21,FALSE)),"")</f>
        <v/>
      </c>
      <c r="W44" s="184" t="str">
        <f>IFERROR(IF(VLOOKUP(Sun_W1[[#This Row],[Employee Name]],'Base Schedules'!$A$79:$AW$111,22,FALSE)="","",VLOOKUP(Sun_W1[[#This Row],[Employee Name]],'Base Schedules'!$A$79:$AW$111,22,FALSE)),"")</f>
        <v/>
      </c>
      <c r="X44" s="184" t="str">
        <f>IFERROR(IF(VLOOKUP(Sun_W1[[#This Row],[Employee Name]],'Base Schedules'!$A$79:$AW$111,23,FALSE)="","",VLOOKUP(Sun_W1[[#This Row],[Employee Name]],'Base Schedules'!$A$79:$AW$111,23,FALSE)),"")</f>
        <v/>
      </c>
      <c r="Y44" s="184" t="str">
        <f>IFERROR(IF(VLOOKUP(Sun_W1[[#This Row],[Employee Name]],'Base Schedules'!$A$79:$AW$111,24,FALSE)="","",VLOOKUP(Sun_W1[[#This Row],[Employee Name]],'Base Schedules'!$A$79:$AW$111,24,FALSE)),"")</f>
        <v/>
      </c>
      <c r="Z44" s="184" t="str">
        <f>IFERROR(IF(VLOOKUP(Sun_W1[[#This Row],[Employee Name]],'Base Schedules'!$A$79:$AW$111,25,FALSE)="","",VLOOKUP(Sun_W1[[#This Row],[Employee Name]],'Base Schedules'!$A$79:$AW$111,25,FALSE)),"")</f>
        <v/>
      </c>
      <c r="AA44" s="184" t="str">
        <f>IFERROR(IF(VLOOKUP(Sun_W1[[#This Row],[Employee Name]],'Base Schedules'!$A$79:$AW$111,26,FALSE)="","",VLOOKUP(Sun_W1[[#This Row],[Employee Name]],'Base Schedules'!$A$79:$AW$111,26,FALSE)),"")</f>
        <v/>
      </c>
      <c r="AB44" s="184" t="str">
        <f>IFERROR(IF(VLOOKUP(Sun_W1[[#This Row],[Employee Name]],'Base Schedules'!$A$79:$AW$111,27,FALSE)="","",VLOOKUP(Sun_W1[[#This Row],[Employee Name]],'Base Schedules'!$A$79:$AW$111,27,FALSE)),"")</f>
        <v/>
      </c>
      <c r="AC44" s="184" t="str">
        <f>IFERROR(IF(VLOOKUP(Sun_W1[[#This Row],[Employee Name]],'Base Schedules'!$A$79:$AW$111,28,FALSE)="","",VLOOKUP(Sun_W1[[#This Row],[Employee Name]],'Base Schedules'!$A$79:$AW$111,28,FALSE)),"")</f>
        <v/>
      </c>
      <c r="AD44" s="184" t="str">
        <f>IFERROR(IF(VLOOKUP(Sun_W1[[#This Row],[Employee Name]],'Base Schedules'!$A$79:$AW$111,29,FALSE)="","",VLOOKUP(Sun_W1[[#This Row],[Employee Name]],'Base Schedules'!$A$79:$AW$111,29,FALSE)),"")</f>
        <v/>
      </c>
      <c r="AE44" s="184" t="str">
        <f>IFERROR(IF(VLOOKUP(Sun_W1[[#This Row],[Employee Name]],'Base Schedules'!$A$79:$AW$111,30,FALSE)="","",VLOOKUP(Sun_W1[[#This Row],[Employee Name]],'Base Schedules'!$A$79:$AW$111,30,FALSE)),"")</f>
        <v/>
      </c>
      <c r="AF44" s="184" t="str">
        <f>IFERROR(IF(VLOOKUP(Sun_W1[[#This Row],[Employee Name]],'Base Schedules'!$A$79:$AW$111,31,FALSE)="","",VLOOKUP(Sun_W1[[#This Row],[Employee Name]],'Base Schedules'!$A$79:$AW$111,31,FALSE)),"")</f>
        <v/>
      </c>
      <c r="AG44" s="184" t="str">
        <f>IFERROR(IF(VLOOKUP(Sun_W1[[#This Row],[Employee Name]],'Base Schedules'!$A$79:$AW$111,32,FALSE)="","",VLOOKUP(Sun_W1[[#This Row],[Employee Name]],'Base Schedules'!$A$79:$AW$111,32,FALSE)),"")</f>
        <v/>
      </c>
      <c r="AH44" s="184" t="str">
        <f>IFERROR(IF(VLOOKUP(Sun_W1[[#This Row],[Employee Name]],'Base Schedules'!$A$79:$AW$111,33,FALSE)="","",VLOOKUP(Sun_W1[[#This Row],[Employee Name]],'Base Schedules'!$A$79:$AW$111,33,FALSE)),"")</f>
        <v/>
      </c>
      <c r="AI44" s="184" t="str">
        <f>IFERROR(IF(VLOOKUP(Sun_W1[[#This Row],[Employee Name]],'Base Schedules'!$A$79:$AW$111,34,FALSE)="","",VLOOKUP(Sun_W1[[#This Row],[Employee Name]],'Base Schedules'!$A$79:$AW$111,34,FALSE)),"")</f>
        <v/>
      </c>
      <c r="AJ44" s="184" t="str">
        <f>IFERROR(IF(VLOOKUP(Sun_W1[[#This Row],[Employee Name]],'Base Schedules'!$A$79:$AW$111,35,FALSE)="","",VLOOKUP(Sun_W1[[#This Row],[Employee Name]],'Base Schedules'!$A$79:$AW$111,35,FALSE)),"")</f>
        <v/>
      </c>
      <c r="AK44" s="184" t="str">
        <f>IFERROR(IF(VLOOKUP(Sun_W1[[#This Row],[Employee Name]],'Base Schedules'!$A$79:$AW$111,36,FALSE)="","",VLOOKUP(Sun_W1[[#This Row],[Employee Name]],'Base Schedules'!$A$79:$AW$111,36,FALSE)),"")</f>
        <v/>
      </c>
      <c r="AL44" s="184" t="str">
        <f>IFERROR(IF(VLOOKUP(Sun_W1[[#This Row],[Employee Name]],'Base Schedules'!$A$79:$AW$111,37,FALSE)="","",VLOOKUP(Sun_W1[[#This Row],[Employee Name]],'Base Schedules'!$A$79:$AW$111,37,FALSE)),"")</f>
        <v/>
      </c>
      <c r="AM44" s="184" t="str">
        <f>IFERROR(IF(VLOOKUP(Sun_W1[[#This Row],[Employee Name]],'Base Schedules'!$A$79:$AW$111,38,FALSE)="","",VLOOKUP(Sun_W1[[#This Row],[Employee Name]],'Base Schedules'!$A$79:$AW$111,38,FALSE)),"")</f>
        <v/>
      </c>
      <c r="AN44" s="184" t="str">
        <f>IFERROR(IF(VLOOKUP(Sun_W1[[#This Row],[Employee Name]],'Base Schedules'!$A$79:$AW$111,39,FALSE)="","",VLOOKUP(Sun_W1[[#This Row],[Employee Name]],'Base Schedules'!$A$79:$AW$111,39,FALSE)),"")</f>
        <v/>
      </c>
      <c r="AO44" s="184" t="str">
        <f>IFERROR(IF(VLOOKUP(Sun_W1[[#This Row],[Employee Name]],'Base Schedules'!$A$79:$AW$111,40,FALSE)="","",VLOOKUP(Sun_W1[[#This Row],[Employee Name]],'Base Schedules'!$A$79:$AW$111,40,FALSE)),"")</f>
        <v/>
      </c>
      <c r="AP44" s="184" t="str">
        <f>IFERROR(IF(VLOOKUP(Sun_W1[[#This Row],[Employee Name]],'Base Schedules'!$A$79:$AW$111,41,FALSE)="","",VLOOKUP(Sun_W1[[#This Row],[Employee Name]],'Base Schedules'!$A$79:$AW$111,41,FALSE)),"")</f>
        <v/>
      </c>
      <c r="AQ44" s="184" t="str">
        <f>IFERROR(IF(VLOOKUP(Sun_W1[[#This Row],[Employee Name]],'Base Schedules'!$A$79:$AW$111,42,FALSE)="","",VLOOKUP(Sun_W1[[#This Row],[Employee Name]],'Base Schedules'!$A$79:$AW$111,42,FALSE)),"")</f>
        <v/>
      </c>
      <c r="AR44" s="184" t="str">
        <f>IFERROR(IF(VLOOKUP(Sun_W1[[#This Row],[Employee Name]],'Base Schedules'!$A$79:$AW$111,43,FALSE)="","",VLOOKUP(Sun_W1[[#This Row],[Employee Name]],'Base Schedules'!$A$79:$AW$111,43,FALSE)),"")</f>
        <v/>
      </c>
      <c r="AS44" s="184" t="str">
        <f>IFERROR(IF(VLOOKUP(Sun_W1[[#This Row],[Employee Name]],'Base Schedules'!$A$79:$AW$111,44,FALSE)="","",VLOOKUP(Sun_W1[[#This Row],[Employee Name]],'Base Schedules'!$A$79:$AW$111,44,FALSE)),"")</f>
        <v/>
      </c>
      <c r="AT44" s="184" t="str">
        <f>IFERROR(IF(VLOOKUP(Sun_W1[[#This Row],[Employee Name]],'Base Schedules'!$A$79:$AW$111,45,FALSE)="","",VLOOKUP(Sun_W1[[#This Row],[Employee Name]],'Base Schedules'!$A$79:$AW$111,45,FALSE)),"")</f>
        <v/>
      </c>
      <c r="AU44" s="184" t="str">
        <f>IFERROR(IF(VLOOKUP(Sun_W1[[#This Row],[Employee Name]],'Base Schedules'!$A$79:$AW$111,46,FALSE)="","",VLOOKUP(Sun_W1[[#This Row],[Employee Name]],'Base Schedules'!$A$79:$AW$111,46,FALSE)),"")</f>
        <v/>
      </c>
      <c r="AV44" s="184" t="str">
        <f>IFERROR(IF(VLOOKUP(Sun_W1[[#This Row],[Employee Name]],'Base Schedules'!$A$79:$AW$111,47,FALSE)="","",VLOOKUP(Sun_W1[[#This Row],[Employee Name]],'Base Schedules'!$A$79:$AW$111,47,FALSE)),"")</f>
        <v/>
      </c>
      <c r="AW44" s="184" t="str">
        <f>IFERROR(IF(VLOOKUP(Sun_W1[[#This Row],[Employee Name]],'Base Schedules'!$A$79:$AW$111,48,FALSE)="","",VLOOKUP(Sun_W1[[#This Row],[Employee Name]],'Base Schedules'!$A$79:$AW$111,48,FALSE)),"")</f>
        <v/>
      </c>
      <c r="AX44" s="184" t="str">
        <f>IFERROR(IF(VLOOKUP(Sun_W1[[#This Row],[Employee Name]],'Base Schedules'!$A$79:$AW$111,49,FALSE)="","",VLOOKUP(Sun_W1[[#This Row],[Employee Name]],'Base Schedules'!$A$79:$AW$111,49,FALSE)),"")</f>
        <v/>
      </c>
      <c r="AY44" s="159" t="str">
        <f t="shared" si="2"/>
        <v/>
      </c>
    </row>
    <row r="45" spans="1:51" s="44" customFormat="1" hidden="1" thickBot="1" x14ac:dyDescent="0.25">
      <c r="A45" s="201"/>
      <c r="B45" s="201"/>
      <c r="C45" s="257" t="str">
        <f>_xlfn.IFNA(VLOOKUP(Sun_W1[[#This Row],[Employee Name]],'Base Schedules'!A:B,2,FALSE),"")</f>
        <v/>
      </c>
      <c r="D45" s="274" t="str">
        <f>_xlfn.IFNA(VLOOKUP(Sun_W1[[#This Row],[Employee Name]],'Base Schedules'!A:C,3,FALSE),"")</f>
        <v/>
      </c>
      <c r="E45" s="274" t="str">
        <f>_xlfn.IFNA(VLOOKUP(Sun_W1[[#This Row],[Employee Name]],'Base Schedules'!A:D,4,FALSE),"")</f>
        <v/>
      </c>
      <c r="F45" s="142" t="str">
        <f>IF(Sun_W1[[#This Row],[Employee Name]]="","",IF(Sun_W1[[#This Row],[Dept]]="Supervisor",COUNTIFS($J45:$AX45,"*HL*",$J45:$AX45,"&lt;&gt;"&amp;"pHL"),COUNTIFS($J45:$AX45,"*HL*",$J45:$AX45,"&lt;&gt;"&amp;"*pHL*",$J45:$AX45,"&lt;&gt;"&amp;"pB1 HL",$J45:$AX45,"&lt;&gt;"&amp;"pB2 HL")-SUM(COUNTIFS($J45:$AX45,"*HL B1*",$J45:$AX45,"&lt;&gt;"&amp;"pHL B1")*0.5,COUNTIFS($J45:$AX45,"*HL B2*",$J45:$AX45,"&lt;&gt;"&amp;"pHL B2")*0.5,COUNTIFS($J45:$AX45,"*B1 HL*",$J45:$AX45,"&lt;&gt;"&amp;"pB1 HL")*0.5,COUNTIFS($J45:$AX45,"*B2 HL*",$J45:$AX45,"&lt;&gt;"&amp;"pB2 HL")*0.5)))</f>
        <v/>
      </c>
      <c r="G45" s="142" t="str">
        <f t="shared" si="0"/>
        <v/>
      </c>
      <c r="H45" s="142" t="str">
        <f t="shared" si="1"/>
        <v/>
      </c>
      <c r="I45" s="142" t="str">
        <f>IF(Sun_W1[[#This Row],[Employee Name]]="","",IF(Sun_W1[[#This Row],[Dept]]="Supervisor",SUM(COUNTIFS($J45:$AX45,"RTA*",$J45:$AX45,"&lt;&gt;"&amp;"pRTA"),COUNTIFS($J45:$AX45,"*CRTA*",$J45:$AX45,"&lt;&gt;"&amp;"pCRTA")),COUNTIFS($J45:$AX45,"*RNNR*",$J45:$AX45,"&lt;&gt;"&amp;"*pRNNR*",$J45:$AX45,"&lt;&gt;"&amp;"pB1 RNNR",$J45:$AX45,"&lt;&gt;"&amp;"pB2 RNNR")-SUM(COUNTIFS($J45:$AX45,"*RNNR B1*",$J45:$AX45,"&lt;&gt;"&amp;"pRNNR B1")*0.5,COUNTIFS($J45:$AX45,"*RNNR B2*",$J45:$AX45,"&lt;&gt;"&amp;"pRNNR B2")*0.5,COUNTIFS($J45:$AX45,"*B1 RNNR*",$J45:$AX45,"&lt;&gt;"&amp;"pB1 RNNR")*0.5,COUNTIFS($J45:$AX45,"*B2 RNNR*",$J45:$AX45,"&lt;&gt;"&amp;"pB2 RNNR")*0.5)))</f>
        <v/>
      </c>
      <c r="J45" s="184" t="str">
        <f>IFERROR(IF(VLOOKUP(Sun_W1[[#This Row],[Employee Name]],'Base Schedules'!$A$79:$AW$111,9,FALSE)="","",VLOOKUP(Sun_W1[[#This Row],[Employee Name]],'Base Schedules'!$A$79:$AW$111,9,FALSE)),"")</f>
        <v/>
      </c>
      <c r="K45" s="184" t="str">
        <f>IFERROR(IF(VLOOKUP(Sun_W1[[#This Row],[Employee Name]],'Base Schedules'!$A$79:$AW$111,10,FALSE)="","",VLOOKUP(Sun_W1[[#This Row],[Employee Name]],'Base Schedules'!$A$79:$AW$111,10,FALSE)),"")</f>
        <v/>
      </c>
      <c r="L45" s="184" t="str">
        <f>IFERROR(IF(VLOOKUP(Sun_W1[[#This Row],[Employee Name]],'Base Schedules'!$A$79:$AW$111,11,FALSE)="","",VLOOKUP(Sun_W1[[#This Row],[Employee Name]],'Base Schedules'!$A$79:$AW$111,11,FALSE)),"")</f>
        <v/>
      </c>
      <c r="M45" s="184" t="str">
        <f>IFERROR(IF(VLOOKUP(Sun_W1[[#This Row],[Employee Name]],'Base Schedules'!$A$79:$AW$111,12,FALSE)="","",VLOOKUP(Sun_W1[[#This Row],[Employee Name]],'Base Schedules'!$A$79:$AW$111,12,FALSE)),"")</f>
        <v/>
      </c>
      <c r="N45" s="184" t="str">
        <f>IFERROR(IF(VLOOKUP(Sun_W1[[#This Row],[Employee Name]],'Base Schedules'!$A$79:$AW$111,13,FALSE)="","",VLOOKUP(Sun_W1[[#This Row],[Employee Name]],'Base Schedules'!$A$79:$AW$111,13,FALSE)),"")</f>
        <v/>
      </c>
      <c r="O45" s="184" t="str">
        <f>IFERROR(IF(VLOOKUP(Sun_W1[[#This Row],[Employee Name]],'Base Schedules'!$A$79:$AW$111,14,FALSE)="","",VLOOKUP(Sun_W1[[#This Row],[Employee Name]],'Base Schedules'!$A$79:$AW$111,14,FALSE)),"")</f>
        <v/>
      </c>
      <c r="P45" s="184" t="str">
        <f>IFERROR(IF(VLOOKUP(Sun_W1[[#This Row],[Employee Name]],'Base Schedules'!$A$79:$AW$111,15,FALSE)="","",VLOOKUP(Sun_W1[[#This Row],[Employee Name]],'Base Schedules'!$A$79:$AW$111,15,FALSE)),"")</f>
        <v/>
      </c>
      <c r="Q45" s="184" t="str">
        <f>IFERROR(IF(VLOOKUP(Sun_W1[[#This Row],[Employee Name]],'Base Schedules'!$A$79:$AW$111,16,FALSE)="","",VLOOKUP(Sun_W1[[#This Row],[Employee Name]],'Base Schedules'!$A$79:$AW$111,16,FALSE)),"")</f>
        <v/>
      </c>
      <c r="R45" s="184" t="str">
        <f>IFERROR(IF(VLOOKUP(Sun_W1[[#This Row],[Employee Name]],'Base Schedules'!$A$79:$AW$111,17,FALSE)="","",VLOOKUP(Sun_W1[[#This Row],[Employee Name]],'Base Schedules'!$A$79:$AW$111,17,FALSE)),"")</f>
        <v/>
      </c>
      <c r="S45" s="184" t="str">
        <f>IFERROR(IF(VLOOKUP(Sun_W1[[#This Row],[Employee Name]],'Base Schedules'!$A$79:$AW$111,18,FALSE)="","",VLOOKUP(Sun_W1[[#This Row],[Employee Name]],'Base Schedules'!$A$79:$AW$111,18,FALSE)),"")</f>
        <v/>
      </c>
      <c r="T45" s="184" t="str">
        <f>IFERROR(IF(VLOOKUP(Sun_W1[[#This Row],[Employee Name]],'Base Schedules'!$A$79:$AW$111,19,FALSE)="","",VLOOKUP(Sun_W1[[#This Row],[Employee Name]],'Base Schedules'!$A$79:$AW$111,19,FALSE)),"")</f>
        <v/>
      </c>
      <c r="U45" s="184" t="str">
        <f>IFERROR(IF(VLOOKUP(Sun_W1[[#This Row],[Employee Name]],'Base Schedules'!$A$79:$AW$111,20,FALSE)="","",VLOOKUP(Sun_W1[[#This Row],[Employee Name]],'Base Schedules'!$A$79:$AW$111,20,FALSE)),"")</f>
        <v/>
      </c>
      <c r="V45" s="184" t="str">
        <f>IFERROR(IF(VLOOKUP(Sun_W1[[#This Row],[Employee Name]],'Base Schedules'!$A$79:$AW$111,21,FALSE)="","",VLOOKUP(Sun_W1[[#This Row],[Employee Name]],'Base Schedules'!$A$79:$AW$111,21,FALSE)),"")</f>
        <v/>
      </c>
      <c r="W45" s="184" t="str">
        <f>IFERROR(IF(VLOOKUP(Sun_W1[[#This Row],[Employee Name]],'Base Schedules'!$A$79:$AW$111,22,FALSE)="","",VLOOKUP(Sun_W1[[#This Row],[Employee Name]],'Base Schedules'!$A$79:$AW$111,22,FALSE)),"")</f>
        <v/>
      </c>
      <c r="X45" s="184" t="str">
        <f>IFERROR(IF(VLOOKUP(Sun_W1[[#This Row],[Employee Name]],'Base Schedules'!$A$79:$AW$111,23,FALSE)="","",VLOOKUP(Sun_W1[[#This Row],[Employee Name]],'Base Schedules'!$A$79:$AW$111,23,FALSE)),"")</f>
        <v/>
      </c>
      <c r="Y45" s="184" t="str">
        <f>IFERROR(IF(VLOOKUP(Sun_W1[[#This Row],[Employee Name]],'Base Schedules'!$A$79:$AW$111,24,FALSE)="","",VLOOKUP(Sun_W1[[#This Row],[Employee Name]],'Base Schedules'!$A$79:$AW$111,24,FALSE)),"")</f>
        <v/>
      </c>
      <c r="Z45" s="184" t="str">
        <f>IFERROR(IF(VLOOKUP(Sun_W1[[#This Row],[Employee Name]],'Base Schedules'!$A$79:$AW$111,25,FALSE)="","",VLOOKUP(Sun_W1[[#This Row],[Employee Name]],'Base Schedules'!$A$79:$AW$111,25,FALSE)),"")</f>
        <v/>
      </c>
      <c r="AA45" s="184" t="str">
        <f>IFERROR(IF(VLOOKUP(Sun_W1[[#This Row],[Employee Name]],'Base Schedules'!$A$79:$AW$111,26,FALSE)="","",VLOOKUP(Sun_W1[[#This Row],[Employee Name]],'Base Schedules'!$A$79:$AW$111,26,FALSE)),"")</f>
        <v/>
      </c>
      <c r="AB45" s="184" t="str">
        <f>IFERROR(IF(VLOOKUP(Sun_W1[[#This Row],[Employee Name]],'Base Schedules'!$A$79:$AW$111,27,FALSE)="","",VLOOKUP(Sun_W1[[#This Row],[Employee Name]],'Base Schedules'!$A$79:$AW$111,27,FALSE)),"")</f>
        <v/>
      </c>
      <c r="AC45" s="184" t="str">
        <f>IFERROR(IF(VLOOKUP(Sun_W1[[#This Row],[Employee Name]],'Base Schedules'!$A$79:$AW$111,28,FALSE)="","",VLOOKUP(Sun_W1[[#This Row],[Employee Name]],'Base Schedules'!$A$79:$AW$111,28,FALSE)),"")</f>
        <v/>
      </c>
      <c r="AD45" s="184" t="str">
        <f>IFERROR(IF(VLOOKUP(Sun_W1[[#This Row],[Employee Name]],'Base Schedules'!$A$79:$AW$111,29,FALSE)="","",VLOOKUP(Sun_W1[[#This Row],[Employee Name]],'Base Schedules'!$A$79:$AW$111,29,FALSE)),"")</f>
        <v/>
      </c>
      <c r="AE45" s="184" t="str">
        <f>IFERROR(IF(VLOOKUP(Sun_W1[[#This Row],[Employee Name]],'Base Schedules'!$A$79:$AW$111,30,FALSE)="","",VLOOKUP(Sun_W1[[#This Row],[Employee Name]],'Base Schedules'!$A$79:$AW$111,30,FALSE)),"")</f>
        <v/>
      </c>
      <c r="AF45" s="184" t="str">
        <f>IFERROR(IF(VLOOKUP(Sun_W1[[#This Row],[Employee Name]],'Base Schedules'!$A$79:$AW$111,31,FALSE)="","",VLOOKUP(Sun_W1[[#This Row],[Employee Name]],'Base Schedules'!$A$79:$AW$111,31,FALSE)),"")</f>
        <v/>
      </c>
      <c r="AG45" s="184" t="str">
        <f>IFERROR(IF(VLOOKUP(Sun_W1[[#This Row],[Employee Name]],'Base Schedules'!$A$79:$AW$111,32,FALSE)="","",VLOOKUP(Sun_W1[[#This Row],[Employee Name]],'Base Schedules'!$A$79:$AW$111,32,FALSE)),"")</f>
        <v/>
      </c>
      <c r="AH45" s="184" t="str">
        <f>IFERROR(IF(VLOOKUP(Sun_W1[[#This Row],[Employee Name]],'Base Schedules'!$A$79:$AW$111,33,FALSE)="","",VLOOKUP(Sun_W1[[#This Row],[Employee Name]],'Base Schedules'!$A$79:$AW$111,33,FALSE)),"")</f>
        <v/>
      </c>
      <c r="AI45" s="184" t="str">
        <f>IFERROR(IF(VLOOKUP(Sun_W1[[#This Row],[Employee Name]],'Base Schedules'!$A$79:$AW$111,34,FALSE)="","",VLOOKUP(Sun_W1[[#This Row],[Employee Name]],'Base Schedules'!$A$79:$AW$111,34,FALSE)),"")</f>
        <v/>
      </c>
      <c r="AJ45" s="184" t="str">
        <f>IFERROR(IF(VLOOKUP(Sun_W1[[#This Row],[Employee Name]],'Base Schedules'!$A$79:$AW$111,35,FALSE)="","",VLOOKUP(Sun_W1[[#This Row],[Employee Name]],'Base Schedules'!$A$79:$AW$111,35,FALSE)),"")</f>
        <v/>
      </c>
      <c r="AK45" s="184" t="str">
        <f>IFERROR(IF(VLOOKUP(Sun_W1[[#This Row],[Employee Name]],'Base Schedules'!$A$79:$AW$111,36,FALSE)="","",VLOOKUP(Sun_W1[[#This Row],[Employee Name]],'Base Schedules'!$A$79:$AW$111,36,FALSE)),"")</f>
        <v/>
      </c>
      <c r="AL45" s="184" t="str">
        <f>IFERROR(IF(VLOOKUP(Sun_W1[[#This Row],[Employee Name]],'Base Schedules'!$A$79:$AW$111,37,FALSE)="","",VLOOKUP(Sun_W1[[#This Row],[Employee Name]],'Base Schedules'!$A$79:$AW$111,37,FALSE)),"")</f>
        <v/>
      </c>
      <c r="AM45" s="184" t="str">
        <f>IFERROR(IF(VLOOKUP(Sun_W1[[#This Row],[Employee Name]],'Base Schedules'!$A$79:$AW$111,38,FALSE)="","",VLOOKUP(Sun_W1[[#This Row],[Employee Name]],'Base Schedules'!$A$79:$AW$111,38,FALSE)),"")</f>
        <v/>
      </c>
      <c r="AN45" s="184" t="str">
        <f>IFERROR(IF(VLOOKUP(Sun_W1[[#This Row],[Employee Name]],'Base Schedules'!$A$79:$AW$111,39,FALSE)="","",VLOOKUP(Sun_W1[[#This Row],[Employee Name]],'Base Schedules'!$A$79:$AW$111,39,FALSE)),"")</f>
        <v/>
      </c>
      <c r="AO45" s="184" t="str">
        <f>IFERROR(IF(VLOOKUP(Sun_W1[[#This Row],[Employee Name]],'Base Schedules'!$A$79:$AW$111,40,FALSE)="","",VLOOKUP(Sun_W1[[#This Row],[Employee Name]],'Base Schedules'!$A$79:$AW$111,40,FALSE)),"")</f>
        <v/>
      </c>
      <c r="AP45" s="184" t="str">
        <f>IFERROR(IF(VLOOKUP(Sun_W1[[#This Row],[Employee Name]],'Base Schedules'!$A$79:$AW$111,41,FALSE)="","",VLOOKUP(Sun_W1[[#This Row],[Employee Name]],'Base Schedules'!$A$79:$AW$111,41,FALSE)),"")</f>
        <v/>
      </c>
      <c r="AQ45" s="184" t="str">
        <f>IFERROR(IF(VLOOKUP(Sun_W1[[#This Row],[Employee Name]],'Base Schedules'!$A$79:$AW$111,42,FALSE)="","",VLOOKUP(Sun_W1[[#This Row],[Employee Name]],'Base Schedules'!$A$79:$AW$111,42,FALSE)),"")</f>
        <v/>
      </c>
      <c r="AR45" s="184" t="str">
        <f>IFERROR(IF(VLOOKUP(Sun_W1[[#This Row],[Employee Name]],'Base Schedules'!$A$79:$AW$111,43,FALSE)="","",VLOOKUP(Sun_W1[[#This Row],[Employee Name]],'Base Schedules'!$A$79:$AW$111,43,FALSE)),"")</f>
        <v/>
      </c>
      <c r="AS45" s="184" t="str">
        <f>IFERROR(IF(VLOOKUP(Sun_W1[[#This Row],[Employee Name]],'Base Schedules'!$A$79:$AW$111,44,FALSE)="","",VLOOKUP(Sun_W1[[#This Row],[Employee Name]],'Base Schedules'!$A$79:$AW$111,44,FALSE)),"")</f>
        <v/>
      </c>
      <c r="AT45" s="184" t="str">
        <f>IFERROR(IF(VLOOKUP(Sun_W1[[#This Row],[Employee Name]],'Base Schedules'!$A$79:$AW$111,45,FALSE)="","",VLOOKUP(Sun_W1[[#This Row],[Employee Name]],'Base Schedules'!$A$79:$AW$111,45,FALSE)),"")</f>
        <v/>
      </c>
      <c r="AU45" s="184" t="str">
        <f>IFERROR(IF(VLOOKUP(Sun_W1[[#This Row],[Employee Name]],'Base Schedules'!$A$79:$AW$111,46,FALSE)="","",VLOOKUP(Sun_W1[[#This Row],[Employee Name]],'Base Schedules'!$A$79:$AW$111,46,FALSE)),"")</f>
        <v/>
      </c>
      <c r="AV45" s="184" t="str">
        <f>IFERROR(IF(VLOOKUP(Sun_W1[[#This Row],[Employee Name]],'Base Schedules'!$A$79:$AW$111,47,FALSE)="","",VLOOKUP(Sun_W1[[#This Row],[Employee Name]],'Base Schedules'!$A$79:$AW$111,47,FALSE)),"")</f>
        <v/>
      </c>
      <c r="AW45" s="184" t="str">
        <f>IFERROR(IF(VLOOKUP(Sun_W1[[#This Row],[Employee Name]],'Base Schedules'!$A$79:$AW$111,48,FALSE)="","",VLOOKUP(Sun_W1[[#This Row],[Employee Name]],'Base Schedules'!$A$79:$AW$111,48,FALSE)),"")</f>
        <v/>
      </c>
      <c r="AX45" s="184" t="str">
        <f>IFERROR(IF(VLOOKUP(Sun_W1[[#This Row],[Employee Name]],'Base Schedules'!$A$79:$AW$111,49,FALSE)="","",VLOOKUP(Sun_W1[[#This Row],[Employee Name]],'Base Schedules'!$A$79:$AW$111,49,FALSE)),"")</f>
        <v/>
      </c>
      <c r="AY45" s="159" t="str">
        <f t="shared" si="2"/>
        <v/>
      </c>
    </row>
    <row r="46" spans="1:51" ht="12" hidden="1" customHeight="1" x14ac:dyDescent="0.2">
      <c r="A46" s="39" t="e">
        <f>IF(#REF!="","",INDEX(TeamList[],MATCH(#REF!,TeamList[[Employee Name]:[Employee Name]],0),MATCH("Manager",TeamList[#Headers],0)))</f>
        <v>#REF!</v>
      </c>
      <c r="B46" s="201"/>
      <c r="C46" s="257" t="str">
        <f>_xlfn.IFNA(VLOOKUP(Sun_W1[[#This Row],[Employee Name]],'Base Schedules'!A:B,2,FALSE),"")</f>
        <v/>
      </c>
      <c r="D46" s="274" t="str">
        <f>_xlfn.IFNA(VLOOKUP(Sun_W1[[#This Row],[Employee Name]],'Base Schedules'!A:C,3,FALSE),"")</f>
        <v/>
      </c>
      <c r="E46" s="274" t="str">
        <f>_xlfn.IFNA(VLOOKUP(Sun_W1[[#This Row],[Employee Name]],'Base Schedules'!A:D,4,FALSE),"")</f>
        <v/>
      </c>
      <c r="F46" s="142" t="str">
        <f>IF(Sun_W1[[#This Row],[Employee Name]]="","",IF(Sun_W1[[#This Row],[Dept]]="Supervisor",COUNTIFS($J46:$AX46,"*HL*",$J46:$AX46,"&lt;&gt;"&amp;"pHL"),COUNTIFS($J46:$AX46,"*HL*",$J46:$AX46,"&lt;&gt;"&amp;"*pHL*",$J46:$AX46,"&lt;&gt;"&amp;"pB1 HL",$J46:$AX46,"&lt;&gt;"&amp;"pB2 HL")-SUM(COUNTIFS($J46:$AX46,"*HL B1*",$J46:$AX46,"&lt;&gt;"&amp;"pHL B1")*0.5,COUNTIFS($J46:$AX46,"*HL B2*",$J46:$AX46,"&lt;&gt;"&amp;"pHL B2")*0.5,COUNTIFS($J46:$AX46,"*B1 HL*",$J46:$AX46,"&lt;&gt;"&amp;"pB1 HL")*0.5,COUNTIFS($J46:$AX46,"*B2 HL*",$J46:$AX46,"&lt;&gt;"&amp;"pB2 HL")*0.5)))</f>
        <v/>
      </c>
      <c r="G46" s="142" t="str">
        <f t="shared" si="0"/>
        <v/>
      </c>
      <c r="H46" s="142" t="str">
        <f t="shared" si="1"/>
        <v/>
      </c>
      <c r="I46" s="142" t="str">
        <f>IF(Sun_W1[[#This Row],[Employee Name]]="","",IF(Sun_W1[[#This Row],[Dept]]="Supervisor",SUM(COUNTIFS($J46:$AX46,"RTA*",$J46:$AX46,"&lt;&gt;"&amp;"pRTA"),COUNTIFS($J46:$AX46,"*CRTA*",$J46:$AX46,"&lt;&gt;"&amp;"pCRTA")),COUNTIFS($J46:$AX46,"*RNNR*",$J46:$AX46,"&lt;&gt;"&amp;"*pRNNR*",$J46:$AX46,"&lt;&gt;"&amp;"pB1 RNNR",$J46:$AX46,"&lt;&gt;"&amp;"pB2 RNNR")-SUM(COUNTIFS($J46:$AX46,"*RNNR B1*",$J46:$AX46,"&lt;&gt;"&amp;"pRNNR B1")*0.5,COUNTIFS($J46:$AX46,"*RNNR B2*",$J46:$AX46,"&lt;&gt;"&amp;"pRNNR B2")*0.5,COUNTIFS($J46:$AX46,"*B1 RNNR*",$J46:$AX46,"&lt;&gt;"&amp;"pB1 RNNR")*0.5,COUNTIFS($J46:$AX46,"*B2 RNNR*",$J46:$AX46,"&lt;&gt;"&amp;"pB2 RNNR")*0.5)))</f>
        <v/>
      </c>
      <c r="J46" s="184" t="str">
        <f>IFERROR(IF(VLOOKUP(Sun_W1[[#This Row],[Employee Name]],'Base Schedules'!$A$79:$AW$111,9,FALSE)="","",VLOOKUP(Sun_W1[[#This Row],[Employee Name]],'Base Schedules'!$A$79:$AW$111,9,FALSE)),"")</f>
        <v/>
      </c>
      <c r="K46" s="184" t="str">
        <f>IFERROR(IF(VLOOKUP(Sun_W1[[#This Row],[Employee Name]],'Base Schedules'!$A$79:$AW$111,10,FALSE)="","",VLOOKUP(Sun_W1[[#This Row],[Employee Name]],'Base Schedules'!$A$79:$AW$111,10,FALSE)),"")</f>
        <v/>
      </c>
      <c r="L46" s="184" t="str">
        <f>IFERROR(IF(VLOOKUP(Sun_W1[[#This Row],[Employee Name]],'Base Schedules'!$A$79:$AW$111,11,FALSE)="","",VLOOKUP(Sun_W1[[#This Row],[Employee Name]],'Base Schedules'!$A$79:$AW$111,11,FALSE)),"")</f>
        <v/>
      </c>
      <c r="M46" s="184" t="str">
        <f>IFERROR(IF(VLOOKUP(Sun_W1[[#This Row],[Employee Name]],'Base Schedules'!$A$79:$AW$111,12,FALSE)="","",VLOOKUP(Sun_W1[[#This Row],[Employee Name]],'Base Schedules'!$A$79:$AW$111,12,FALSE)),"")</f>
        <v/>
      </c>
      <c r="N46" s="184" t="str">
        <f>IFERROR(IF(VLOOKUP(Sun_W1[[#This Row],[Employee Name]],'Base Schedules'!$A$79:$AW$111,13,FALSE)="","",VLOOKUP(Sun_W1[[#This Row],[Employee Name]],'Base Schedules'!$A$79:$AW$111,13,FALSE)),"")</f>
        <v/>
      </c>
      <c r="O46" s="184" t="str">
        <f>IFERROR(IF(VLOOKUP(Sun_W1[[#This Row],[Employee Name]],'Base Schedules'!$A$79:$AW$111,14,FALSE)="","",VLOOKUP(Sun_W1[[#This Row],[Employee Name]],'Base Schedules'!$A$79:$AW$111,14,FALSE)),"")</f>
        <v/>
      </c>
      <c r="P46" s="184" t="str">
        <f>IFERROR(IF(VLOOKUP(Sun_W1[[#This Row],[Employee Name]],'Base Schedules'!$A$79:$AW$111,15,FALSE)="","",VLOOKUP(Sun_W1[[#This Row],[Employee Name]],'Base Schedules'!$A$79:$AW$111,15,FALSE)),"")</f>
        <v/>
      </c>
      <c r="Q46" s="184" t="str">
        <f>IFERROR(IF(VLOOKUP(Sun_W1[[#This Row],[Employee Name]],'Base Schedules'!$A$79:$AW$111,16,FALSE)="","",VLOOKUP(Sun_W1[[#This Row],[Employee Name]],'Base Schedules'!$A$79:$AW$111,16,FALSE)),"")</f>
        <v/>
      </c>
      <c r="R46" s="184" t="str">
        <f>IFERROR(IF(VLOOKUP(Sun_W1[[#This Row],[Employee Name]],'Base Schedules'!$A$79:$AW$111,17,FALSE)="","",VLOOKUP(Sun_W1[[#This Row],[Employee Name]],'Base Schedules'!$A$79:$AW$111,17,FALSE)),"")</f>
        <v/>
      </c>
      <c r="S46" s="184" t="str">
        <f>IFERROR(IF(VLOOKUP(Sun_W1[[#This Row],[Employee Name]],'Base Schedules'!$A$79:$AW$111,18,FALSE)="","",VLOOKUP(Sun_W1[[#This Row],[Employee Name]],'Base Schedules'!$A$79:$AW$111,18,FALSE)),"")</f>
        <v/>
      </c>
      <c r="T46" s="184" t="str">
        <f>IFERROR(IF(VLOOKUP(Sun_W1[[#This Row],[Employee Name]],'Base Schedules'!$A$79:$AW$111,19,FALSE)="","",VLOOKUP(Sun_W1[[#This Row],[Employee Name]],'Base Schedules'!$A$79:$AW$111,19,FALSE)),"")</f>
        <v/>
      </c>
      <c r="U46" s="184" t="str">
        <f>IFERROR(IF(VLOOKUP(Sun_W1[[#This Row],[Employee Name]],'Base Schedules'!$A$79:$AW$111,20,FALSE)="","",VLOOKUP(Sun_W1[[#This Row],[Employee Name]],'Base Schedules'!$A$79:$AW$111,20,FALSE)),"")</f>
        <v/>
      </c>
      <c r="V46" s="184" t="str">
        <f>IFERROR(IF(VLOOKUP(Sun_W1[[#This Row],[Employee Name]],'Base Schedules'!$A$79:$AW$111,21,FALSE)="","",VLOOKUP(Sun_W1[[#This Row],[Employee Name]],'Base Schedules'!$A$79:$AW$111,21,FALSE)),"")</f>
        <v/>
      </c>
      <c r="W46" s="184" t="str">
        <f>IFERROR(IF(VLOOKUP(Sun_W1[[#This Row],[Employee Name]],'Base Schedules'!$A$79:$AW$111,22,FALSE)="","",VLOOKUP(Sun_W1[[#This Row],[Employee Name]],'Base Schedules'!$A$79:$AW$111,22,FALSE)),"")</f>
        <v/>
      </c>
      <c r="X46" s="184" t="str">
        <f>IFERROR(IF(VLOOKUP(Sun_W1[[#This Row],[Employee Name]],'Base Schedules'!$A$79:$AW$111,23,FALSE)="","",VLOOKUP(Sun_W1[[#This Row],[Employee Name]],'Base Schedules'!$A$79:$AW$111,23,FALSE)),"")</f>
        <v/>
      </c>
      <c r="Y46" s="184" t="str">
        <f>IFERROR(IF(VLOOKUP(Sun_W1[[#This Row],[Employee Name]],'Base Schedules'!$A$79:$AW$111,24,FALSE)="","",VLOOKUP(Sun_W1[[#This Row],[Employee Name]],'Base Schedules'!$A$79:$AW$111,24,FALSE)),"")</f>
        <v/>
      </c>
      <c r="Z46" s="184" t="str">
        <f>IFERROR(IF(VLOOKUP(Sun_W1[[#This Row],[Employee Name]],'Base Schedules'!$A$79:$AW$111,25,FALSE)="","",VLOOKUP(Sun_W1[[#This Row],[Employee Name]],'Base Schedules'!$A$79:$AW$111,25,FALSE)),"")</f>
        <v/>
      </c>
      <c r="AA46" s="184" t="str">
        <f>IFERROR(IF(VLOOKUP(Sun_W1[[#This Row],[Employee Name]],'Base Schedules'!$A$79:$AW$111,26,FALSE)="","",VLOOKUP(Sun_W1[[#This Row],[Employee Name]],'Base Schedules'!$A$79:$AW$111,26,FALSE)),"")</f>
        <v/>
      </c>
      <c r="AB46" s="184" t="str">
        <f>IFERROR(IF(VLOOKUP(Sun_W1[[#This Row],[Employee Name]],'Base Schedules'!$A$79:$AW$111,27,FALSE)="","",VLOOKUP(Sun_W1[[#This Row],[Employee Name]],'Base Schedules'!$A$79:$AW$111,27,FALSE)),"")</f>
        <v/>
      </c>
      <c r="AC46" s="184" t="str">
        <f>IFERROR(IF(VLOOKUP(Sun_W1[[#This Row],[Employee Name]],'Base Schedules'!$A$79:$AW$111,28,FALSE)="","",VLOOKUP(Sun_W1[[#This Row],[Employee Name]],'Base Schedules'!$A$79:$AW$111,28,FALSE)),"")</f>
        <v/>
      </c>
      <c r="AD46" s="184" t="str">
        <f>IFERROR(IF(VLOOKUP(Sun_W1[[#This Row],[Employee Name]],'Base Schedules'!$A$79:$AW$111,29,FALSE)="","",VLOOKUP(Sun_W1[[#This Row],[Employee Name]],'Base Schedules'!$A$79:$AW$111,29,FALSE)),"")</f>
        <v/>
      </c>
      <c r="AE46" s="184" t="str">
        <f>IFERROR(IF(VLOOKUP(Sun_W1[[#This Row],[Employee Name]],'Base Schedules'!$A$79:$AW$111,30,FALSE)="","",VLOOKUP(Sun_W1[[#This Row],[Employee Name]],'Base Schedules'!$A$79:$AW$111,30,FALSE)),"")</f>
        <v/>
      </c>
      <c r="AF46" s="184" t="str">
        <f>IFERROR(IF(VLOOKUP(Sun_W1[[#This Row],[Employee Name]],'Base Schedules'!$A$79:$AW$111,31,FALSE)="","",VLOOKUP(Sun_W1[[#This Row],[Employee Name]],'Base Schedules'!$A$79:$AW$111,31,FALSE)),"")</f>
        <v/>
      </c>
      <c r="AG46" s="184" t="str">
        <f>IFERROR(IF(VLOOKUP(Sun_W1[[#This Row],[Employee Name]],'Base Schedules'!$A$79:$AW$111,32,FALSE)="","",VLOOKUP(Sun_W1[[#This Row],[Employee Name]],'Base Schedules'!$A$79:$AW$111,32,FALSE)),"")</f>
        <v/>
      </c>
      <c r="AH46" s="184" t="str">
        <f>IFERROR(IF(VLOOKUP(Sun_W1[[#This Row],[Employee Name]],'Base Schedules'!$A$79:$AW$111,33,FALSE)="","",VLOOKUP(Sun_W1[[#This Row],[Employee Name]],'Base Schedules'!$A$79:$AW$111,33,FALSE)),"")</f>
        <v/>
      </c>
      <c r="AI46" s="184" t="str">
        <f>IFERROR(IF(VLOOKUP(Sun_W1[[#This Row],[Employee Name]],'Base Schedules'!$A$79:$AW$111,34,FALSE)="","",VLOOKUP(Sun_W1[[#This Row],[Employee Name]],'Base Schedules'!$A$79:$AW$111,34,FALSE)),"")</f>
        <v/>
      </c>
      <c r="AJ46" s="184" t="str">
        <f>IFERROR(IF(VLOOKUP(Sun_W1[[#This Row],[Employee Name]],'Base Schedules'!$A$79:$AW$111,35,FALSE)="","",VLOOKUP(Sun_W1[[#This Row],[Employee Name]],'Base Schedules'!$A$79:$AW$111,35,FALSE)),"")</f>
        <v/>
      </c>
      <c r="AK46" s="184" t="str">
        <f>IFERROR(IF(VLOOKUP(Sun_W1[[#This Row],[Employee Name]],'Base Schedules'!$A$79:$AW$111,36,FALSE)="","",VLOOKUP(Sun_W1[[#This Row],[Employee Name]],'Base Schedules'!$A$79:$AW$111,36,FALSE)),"")</f>
        <v/>
      </c>
      <c r="AL46" s="184" t="str">
        <f>IFERROR(IF(VLOOKUP(Sun_W1[[#This Row],[Employee Name]],'Base Schedules'!$A$79:$AW$111,37,FALSE)="","",VLOOKUP(Sun_W1[[#This Row],[Employee Name]],'Base Schedules'!$A$79:$AW$111,37,FALSE)),"")</f>
        <v/>
      </c>
      <c r="AM46" s="184" t="str">
        <f>IFERROR(IF(VLOOKUP(Sun_W1[[#This Row],[Employee Name]],'Base Schedules'!$A$79:$AW$111,38,FALSE)="","",VLOOKUP(Sun_W1[[#This Row],[Employee Name]],'Base Schedules'!$A$79:$AW$111,38,FALSE)),"")</f>
        <v/>
      </c>
      <c r="AN46" s="184" t="str">
        <f>IFERROR(IF(VLOOKUP(Sun_W1[[#This Row],[Employee Name]],'Base Schedules'!$A$79:$AW$111,39,FALSE)="","",VLOOKUP(Sun_W1[[#This Row],[Employee Name]],'Base Schedules'!$A$79:$AW$111,39,FALSE)),"")</f>
        <v/>
      </c>
      <c r="AO46" s="184" t="str">
        <f>IFERROR(IF(VLOOKUP(Sun_W1[[#This Row],[Employee Name]],'Base Schedules'!$A$79:$AW$111,40,FALSE)="","",VLOOKUP(Sun_W1[[#This Row],[Employee Name]],'Base Schedules'!$A$79:$AW$111,40,FALSE)),"")</f>
        <v/>
      </c>
      <c r="AP46" s="184" t="str">
        <f>IFERROR(IF(VLOOKUP(Sun_W1[[#This Row],[Employee Name]],'Base Schedules'!$A$79:$AW$111,41,FALSE)="","",VLOOKUP(Sun_W1[[#This Row],[Employee Name]],'Base Schedules'!$A$79:$AW$111,41,FALSE)),"")</f>
        <v/>
      </c>
      <c r="AQ46" s="184" t="str">
        <f>IFERROR(IF(VLOOKUP(Sun_W1[[#This Row],[Employee Name]],'Base Schedules'!$A$79:$AW$111,42,FALSE)="","",VLOOKUP(Sun_W1[[#This Row],[Employee Name]],'Base Schedules'!$A$79:$AW$111,42,FALSE)),"")</f>
        <v/>
      </c>
      <c r="AR46" s="184" t="str">
        <f>IFERROR(IF(VLOOKUP(Sun_W1[[#This Row],[Employee Name]],'Base Schedules'!$A$79:$AW$111,43,FALSE)="","",VLOOKUP(Sun_W1[[#This Row],[Employee Name]],'Base Schedules'!$A$79:$AW$111,43,FALSE)),"")</f>
        <v/>
      </c>
      <c r="AS46" s="184" t="str">
        <f>IFERROR(IF(VLOOKUP(Sun_W1[[#This Row],[Employee Name]],'Base Schedules'!$A$79:$AW$111,44,FALSE)="","",VLOOKUP(Sun_W1[[#This Row],[Employee Name]],'Base Schedules'!$A$79:$AW$111,44,FALSE)),"")</f>
        <v/>
      </c>
      <c r="AT46" s="184" t="str">
        <f>IFERROR(IF(VLOOKUP(Sun_W1[[#This Row],[Employee Name]],'Base Schedules'!$A$79:$AW$111,45,FALSE)="","",VLOOKUP(Sun_W1[[#This Row],[Employee Name]],'Base Schedules'!$A$79:$AW$111,45,FALSE)),"")</f>
        <v/>
      </c>
      <c r="AU46" s="184" t="str">
        <f>IFERROR(IF(VLOOKUP(Sun_W1[[#This Row],[Employee Name]],'Base Schedules'!$A$79:$AW$111,46,FALSE)="","",VLOOKUP(Sun_W1[[#This Row],[Employee Name]],'Base Schedules'!$A$79:$AW$111,46,FALSE)),"")</f>
        <v/>
      </c>
      <c r="AV46" s="184" t="str">
        <f>IFERROR(IF(VLOOKUP(Sun_W1[[#This Row],[Employee Name]],'Base Schedules'!$A$79:$AW$111,47,FALSE)="","",VLOOKUP(Sun_W1[[#This Row],[Employee Name]],'Base Schedules'!$A$79:$AW$111,47,FALSE)),"")</f>
        <v/>
      </c>
      <c r="AW46" s="184" t="str">
        <f>IFERROR(IF(VLOOKUP(Sun_W1[[#This Row],[Employee Name]],'Base Schedules'!$A$79:$AW$111,48,FALSE)="","",VLOOKUP(Sun_W1[[#This Row],[Employee Name]],'Base Schedules'!$A$79:$AW$111,48,FALSE)),"")</f>
        <v/>
      </c>
      <c r="AX46" s="184" t="str">
        <f>IFERROR(IF(VLOOKUP(Sun_W1[[#This Row],[Employee Name]],'Base Schedules'!$A$79:$AW$111,49,FALSE)="","",VLOOKUP(Sun_W1[[#This Row],[Employee Name]],'Base Schedules'!$A$79:$AW$111,49,FALSE)),"")</f>
        <v/>
      </c>
      <c r="AY46" s="159" t="str">
        <f t="shared" si="2"/>
        <v/>
      </c>
    </row>
    <row r="47" spans="1:51" ht="12" hidden="1" customHeight="1" thickBot="1" x14ac:dyDescent="0.25">
      <c r="A47" s="39" t="str">
        <f>IF(B46="","",INDEX(TeamList[],MATCH($B46,TeamList[[Employee Name]:[Employee Name]],0),MATCH("Manager",TeamList[#Headers],0)))</f>
        <v/>
      </c>
      <c r="B47" s="349"/>
      <c r="C47" s="257" t="str">
        <f>_xlfn.IFNA(VLOOKUP(Sun_W1[[#This Row],[Employee Name]],'Base Schedules'!A:B,2,FALSE),"")</f>
        <v/>
      </c>
      <c r="D47" s="274" t="str">
        <f>_xlfn.IFNA(VLOOKUP(Sun_W1[[#This Row],[Employee Name]],'Base Schedules'!A:C,3,FALSE),"")</f>
        <v/>
      </c>
      <c r="E47" s="274" t="str">
        <f>_xlfn.IFNA(VLOOKUP(Sun_W1[[#This Row],[Employee Name]],'Base Schedules'!A:D,4,FALSE),"")</f>
        <v/>
      </c>
      <c r="F47" s="142" t="str">
        <f>IF(Sun_W1[[#This Row],[Employee Name]]="","",IF(Sun_W1[[#This Row],[Dept]]="Supervisor",COUNTIFS($J47:$AX47,"*HL*",$J47:$AX47,"&lt;&gt;"&amp;"pHL"),COUNTIFS($J47:$AX47,"*HL*",$J47:$AX47,"&lt;&gt;"&amp;"*pHL*",$J47:$AX47,"&lt;&gt;"&amp;"pB1 HL",$J47:$AX47,"&lt;&gt;"&amp;"pB2 HL")-SUM(COUNTIFS($J47:$AX47,"*HL B1*",$J47:$AX47,"&lt;&gt;"&amp;"pHL B1")*0.5,COUNTIFS($J47:$AX47,"*HL B2*",$J47:$AX47,"&lt;&gt;"&amp;"pHL B2")*0.5,COUNTIFS($J47:$AX47,"*B1 HL*",$J47:$AX47,"&lt;&gt;"&amp;"pB1 HL")*0.5,COUNTIFS($J47:$AX47,"*B2 HL*",$J47:$AX47,"&lt;&gt;"&amp;"pB2 HL")*0.5)))</f>
        <v/>
      </c>
      <c r="G47" s="142" t="str">
        <f t="shared" si="0"/>
        <v/>
      </c>
      <c r="H47" s="142" t="str">
        <f t="shared" si="1"/>
        <v/>
      </c>
      <c r="I47" s="142" t="str">
        <f>IF(Sun_W1[[#This Row],[Employee Name]]="","",IF(Sun_W1[[#This Row],[Dept]]="Supervisor",SUM(COUNTIFS($J47:$AX47,"RTA*",$J47:$AX47,"&lt;&gt;"&amp;"pRTA"),COUNTIFS($J47:$AX47,"*CRTA*",$J47:$AX47,"&lt;&gt;"&amp;"pCRTA")),COUNTIFS($J47:$AX47,"*RNNR*",$J47:$AX47,"&lt;&gt;"&amp;"*pRNNR*",$J47:$AX47,"&lt;&gt;"&amp;"pB1 RNNR",$J47:$AX47,"&lt;&gt;"&amp;"pB2 RNNR")-SUM(COUNTIFS($J47:$AX47,"*RNNR B1*",$J47:$AX47,"&lt;&gt;"&amp;"pRNNR B1")*0.5,COUNTIFS($J47:$AX47,"*RNNR B2*",$J47:$AX47,"&lt;&gt;"&amp;"pRNNR B2")*0.5,COUNTIFS($J47:$AX47,"*B1 RNNR*",$J47:$AX47,"&lt;&gt;"&amp;"pB1 RNNR")*0.5,COUNTIFS($J47:$AX47,"*B2 RNNR*",$J47:$AX47,"&lt;&gt;"&amp;"pB2 RNNR")*0.5)))</f>
        <v/>
      </c>
      <c r="J47" s="184" t="str">
        <f>IFERROR(IF(VLOOKUP(Sun_W1[[#This Row],[Employee Name]],'Base Schedules'!$A$79:$AW$111,9,FALSE)="","",VLOOKUP(Sun_W1[[#This Row],[Employee Name]],'Base Schedules'!$A$79:$AW$111,9,FALSE)),"")</f>
        <v/>
      </c>
      <c r="K47" s="184" t="str">
        <f>IFERROR(IF(VLOOKUP(Sun_W1[[#This Row],[Employee Name]],'Base Schedules'!$A$79:$AW$111,10,FALSE)="","",VLOOKUP(Sun_W1[[#This Row],[Employee Name]],'Base Schedules'!$A$79:$AW$111,10,FALSE)),"")</f>
        <v/>
      </c>
      <c r="L47" s="184" t="str">
        <f>IFERROR(IF(VLOOKUP(Sun_W1[[#This Row],[Employee Name]],'Base Schedules'!$A$79:$AW$111,11,FALSE)="","",VLOOKUP(Sun_W1[[#This Row],[Employee Name]],'Base Schedules'!$A$79:$AW$111,11,FALSE)),"")</f>
        <v/>
      </c>
      <c r="M47" s="184" t="str">
        <f>IFERROR(IF(VLOOKUP(Sun_W1[[#This Row],[Employee Name]],'Base Schedules'!$A$79:$AW$111,12,FALSE)="","",VLOOKUP(Sun_W1[[#This Row],[Employee Name]],'Base Schedules'!$A$79:$AW$111,12,FALSE)),"")</f>
        <v/>
      </c>
      <c r="N47" s="184" t="str">
        <f>IFERROR(IF(VLOOKUP(Sun_W1[[#This Row],[Employee Name]],'Base Schedules'!$A$79:$AW$111,13,FALSE)="","",VLOOKUP(Sun_W1[[#This Row],[Employee Name]],'Base Schedules'!$A$79:$AW$111,13,FALSE)),"")</f>
        <v/>
      </c>
      <c r="O47" s="184" t="str">
        <f>IFERROR(IF(VLOOKUP(Sun_W1[[#This Row],[Employee Name]],'Base Schedules'!$A$79:$AW$111,14,FALSE)="","",VLOOKUP(Sun_W1[[#This Row],[Employee Name]],'Base Schedules'!$A$79:$AW$111,14,FALSE)),"")</f>
        <v/>
      </c>
      <c r="P47" s="184" t="str">
        <f>IFERROR(IF(VLOOKUP(Sun_W1[[#This Row],[Employee Name]],'Base Schedules'!$A$79:$AW$111,15,FALSE)="","",VLOOKUP(Sun_W1[[#This Row],[Employee Name]],'Base Schedules'!$A$79:$AW$111,15,FALSE)),"")</f>
        <v/>
      </c>
      <c r="Q47" s="184" t="str">
        <f>IFERROR(IF(VLOOKUP(Sun_W1[[#This Row],[Employee Name]],'Base Schedules'!$A$79:$AW$111,16,FALSE)="","",VLOOKUP(Sun_W1[[#This Row],[Employee Name]],'Base Schedules'!$A$79:$AW$111,16,FALSE)),"")</f>
        <v/>
      </c>
      <c r="R47" s="184" t="str">
        <f>IFERROR(IF(VLOOKUP(Sun_W1[[#This Row],[Employee Name]],'Base Schedules'!$A$79:$AW$111,17,FALSE)="","",VLOOKUP(Sun_W1[[#This Row],[Employee Name]],'Base Schedules'!$A$79:$AW$111,17,FALSE)),"")</f>
        <v/>
      </c>
      <c r="S47" s="184" t="str">
        <f>IFERROR(IF(VLOOKUP(Sun_W1[[#This Row],[Employee Name]],'Base Schedules'!$A$79:$AW$111,18,FALSE)="","",VLOOKUP(Sun_W1[[#This Row],[Employee Name]],'Base Schedules'!$A$79:$AW$111,18,FALSE)),"")</f>
        <v/>
      </c>
      <c r="T47" s="184" t="str">
        <f>IFERROR(IF(VLOOKUP(Sun_W1[[#This Row],[Employee Name]],'Base Schedules'!$A$79:$AW$111,19,FALSE)="","",VLOOKUP(Sun_W1[[#This Row],[Employee Name]],'Base Schedules'!$A$79:$AW$111,19,FALSE)),"")</f>
        <v/>
      </c>
      <c r="U47" s="184" t="str">
        <f>IFERROR(IF(VLOOKUP(Sun_W1[[#This Row],[Employee Name]],'Base Schedules'!$A$79:$AW$111,20,FALSE)="","",VLOOKUP(Sun_W1[[#This Row],[Employee Name]],'Base Schedules'!$A$79:$AW$111,20,FALSE)),"")</f>
        <v/>
      </c>
      <c r="V47" s="184" t="str">
        <f>IFERROR(IF(VLOOKUP(Sun_W1[[#This Row],[Employee Name]],'Base Schedules'!$A$79:$AW$111,21,FALSE)="","",VLOOKUP(Sun_W1[[#This Row],[Employee Name]],'Base Schedules'!$A$79:$AW$111,21,FALSE)),"")</f>
        <v/>
      </c>
      <c r="W47" s="184" t="str">
        <f>IFERROR(IF(VLOOKUP(Sun_W1[[#This Row],[Employee Name]],'Base Schedules'!$A$79:$AW$111,22,FALSE)="","",VLOOKUP(Sun_W1[[#This Row],[Employee Name]],'Base Schedules'!$A$79:$AW$111,22,FALSE)),"")</f>
        <v/>
      </c>
      <c r="X47" s="184" t="str">
        <f>IFERROR(IF(VLOOKUP(Sun_W1[[#This Row],[Employee Name]],'Base Schedules'!$A$79:$AW$111,23,FALSE)="","",VLOOKUP(Sun_W1[[#This Row],[Employee Name]],'Base Schedules'!$A$79:$AW$111,23,FALSE)),"")</f>
        <v/>
      </c>
      <c r="Y47" s="184" t="str">
        <f>IFERROR(IF(VLOOKUP(Sun_W1[[#This Row],[Employee Name]],'Base Schedules'!$A$79:$AW$111,24,FALSE)="","",VLOOKUP(Sun_W1[[#This Row],[Employee Name]],'Base Schedules'!$A$79:$AW$111,24,FALSE)),"")</f>
        <v/>
      </c>
      <c r="Z47" s="184" t="str">
        <f>IFERROR(IF(VLOOKUP(Sun_W1[[#This Row],[Employee Name]],'Base Schedules'!$A$79:$AW$111,25,FALSE)="","",VLOOKUP(Sun_W1[[#This Row],[Employee Name]],'Base Schedules'!$A$79:$AW$111,25,FALSE)),"")</f>
        <v/>
      </c>
      <c r="AA47" s="184" t="str">
        <f>IFERROR(IF(VLOOKUP(Sun_W1[[#This Row],[Employee Name]],'Base Schedules'!$A$79:$AW$111,26,FALSE)="","",VLOOKUP(Sun_W1[[#This Row],[Employee Name]],'Base Schedules'!$A$79:$AW$111,26,FALSE)),"")</f>
        <v/>
      </c>
      <c r="AB47" s="184" t="str">
        <f>IFERROR(IF(VLOOKUP(Sun_W1[[#This Row],[Employee Name]],'Base Schedules'!$A$79:$AW$111,27,FALSE)="","",VLOOKUP(Sun_W1[[#This Row],[Employee Name]],'Base Schedules'!$A$79:$AW$111,27,FALSE)),"")</f>
        <v/>
      </c>
      <c r="AC47" s="184" t="str">
        <f>IFERROR(IF(VLOOKUP(Sun_W1[[#This Row],[Employee Name]],'Base Schedules'!$A$79:$AW$111,28,FALSE)="","",VLOOKUP(Sun_W1[[#This Row],[Employee Name]],'Base Schedules'!$A$79:$AW$111,28,FALSE)),"")</f>
        <v/>
      </c>
      <c r="AD47" s="184" t="str">
        <f>IFERROR(IF(VLOOKUP(Sun_W1[[#This Row],[Employee Name]],'Base Schedules'!$A$79:$AW$111,29,FALSE)="","",VLOOKUP(Sun_W1[[#This Row],[Employee Name]],'Base Schedules'!$A$79:$AW$111,29,FALSE)),"")</f>
        <v/>
      </c>
      <c r="AE47" s="184" t="str">
        <f>IFERROR(IF(VLOOKUP(Sun_W1[[#This Row],[Employee Name]],'Base Schedules'!$A$79:$AW$111,30,FALSE)="","",VLOOKUP(Sun_W1[[#This Row],[Employee Name]],'Base Schedules'!$A$79:$AW$111,30,FALSE)),"")</f>
        <v/>
      </c>
      <c r="AF47" s="184" t="str">
        <f>IFERROR(IF(VLOOKUP(Sun_W1[[#This Row],[Employee Name]],'Base Schedules'!$A$79:$AW$111,31,FALSE)="","",VLOOKUP(Sun_W1[[#This Row],[Employee Name]],'Base Schedules'!$A$79:$AW$111,31,FALSE)),"")</f>
        <v/>
      </c>
      <c r="AG47" s="184" t="str">
        <f>IFERROR(IF(VLOOKUP(Sun_W1[[#This Row],[Employee Name]],'Base Schedules'!$A$79:$AW$111,32,FALSE)="","",VLOOKUP(Sun_W1[[#This Row],[Employee Name]],'Base Schedules'!$A$79:$AW$111,32,FALSE)),"")</f>
        <v/>
      </c>
      <c r="AH47" s="184" t="str">
        <f>IFERROR(IF(VLOOKUP(Sun_W1[[#This Row],[Employee Name]],'Base Schedules'!$A$79:$AW$111,33,FALSE)="","",VLOOKUP(Sun_W1[[#This Row],[Employee Name]],'Base Schedules'!$A$79:$AW$111,33,FALSE)),"")</f>
        <v/>
      </c>
      <c r="AI47" s="184" t="str">
        <f>IFERROR(IF(VLOOKUP(Sun_W1[[#This Row],[Employee Name]],'Base Schedules'!$A$79:$AW$111,34,FALSE)="","",VLOOKUP(Sun_W1[[#This Row],[Employee Name]],'Base Schedules'!$A$79:$AW$111,34,FALSE)),"")</f>
        <v/>
      </c>
      <c r="AJ47" s="184" t="str">
        <f>IFERROR(IF(VLOOKUP(Sun_W1[[#This Row],[Employee Name]],'Base Schedules'!$A$79:$AW$111,35,FALSE)="","",VLOOKUP(Sun_W1[[#This Row],[Employee Name]],'Base Schedules'!$A$79:$AW$111,35,FALSE)),"")</f>
        <v/>
      </c>
      <c r="AK47" s="184" t="str">
        <f>IFERROR(IF(VLOOKUP(Sun_W1[[#This Row],[Employee Name]],'Base Schedules'!$A$79:$AW$111,36,FALSE)="","",VLOOKUP(Sun_W1[[#This Row],[Employee Name]],'Base Schedules'!$A$79:$AW$111,36,FALSE)),"")</f>
        <v/>
      </c>
      <c r="AL47" s="184" t="str">
        <f>IFERROR(IF(VLOOKUP(Sun_W1[[#This Row],[Employee Name]],'Base Schedules'!$A$79:$AW$111,37,FALSE)="","",VLOOKUP(Sun_W1[[#This Row],[Employee Name]],'Base Schedules'!$A$79:$AW$111,37,FALSE)),"")</f>
        <v/>
      </c>
      <c r="AM47" s="184" t="str">
        <f>IFERROR(IF(VLOOKUP(Sun_W1[[#This Row],[Employee Name]],'Base Schedules'!$A$79:$AW$111,38,FALSE)="","",VLOOKUP(Sun_W1[[#This Row],[Employee Name]],'Base Schedules'!$A$79:$AW$111,38,FALSE)),"")</f>
        <v/>
      </c>
      <c r="AN47" s="184" t="str">
        <f>IFERROR(IF(VLOOKUP(Sun_W1[[#This Row],[Employee Name]],'Base Schedules'!$A$79:$AW$111,39,FALSE)="","",VLOOKUP(Sun_W1[[#This Row],[Employee Name]],'Base Schedules'!$A$79:$AW$111,39,FALSE)),"")</f>
        <v/>
      </c>
      <c r="AO47" s="184" t="str">
        <f>IFERROR(IF(VLOOKUP(Sun_W1[[#This Row],[Employee Name]],'Base Schedules'!$A$79:$AW$111,40,FALSE)="","",VLOOKUP(Sun_W1[[#This Row],[Employee Name]],'Base Schedules'!$A$79:$AW$111,40,FALSE)),"")</f>
        <v/>
      </c>
      <c r="AP47" s="184" t="str">
        <f>IFERROR(IF(VLOOKUP(Sun_W1[[#This Row],[Employee Name]],'Base Schedules'!$A$79:$AW$111,41,FALSE)="","",VLOOKUP(Sun_W1[[#This Row],[Employee Name]],'Base Schedules'!$A$79:$AW$111,41,FALSE)),"")</f>
        <v/>
      </c>
      <c r="AQ47" s="184" t="str">
        <f>IFERROR(IF(VLOOKUP(Sun_W1[[#This Row],[Employee Name]],'Base Schedules'!$A$79:$AW$111,42,FALSE)="","",VLOOKUP(Sun_W1[[#This Row],[Employee Name]],'Base Schedules'!$A$79:$AW$111,42,FALSE)),"")</f>
        <v/>
      </c>
      <c r="AR47" s="184" t="str">
        <f>IFERROR(IF(VLOOKUP(Sun_W1[[#This Row],[Employee Name]],'Base Schedules'!$A$79:$AW$111,43,FALSE)="","",VLOOKUP(Sun_W1[[#This Row],[Employee Name]],'Base Schedules'!$A$79:$AW$111,43,FALSE)),"")</f>
        <v/>
      </c>
      <c r="AS47" s="184" t="str">
        <f>IFERROR(IF(VLOOKUP(Sun_W1[[#This Row],[Employee Name]],'Base Schedules'!$A$79:$AW$111,44,FALSE)="","",VLOOKUP(Sun_W1[[#This Row],[Employee Name]],'Base Schedules'!$A$79:$AW$111,44,FALSE)),"")</f>
        <v/>
      </c>
      <c r="AT47" s="184" t="str">
        <f>IFERROR(IF(VLOOKUP(Sun_W1[[#This Row],[Employee Name]],'Base Schedules'!$A$79:$AW$111,45,FALSE)="","",VLOOKUP(Sun_W1[[#This Row],[Employee Name]],'Base Schedules'!$A$79:$AW$111,45,FALSE)),"")</f>
        <v/>
      </c>
      <c r="AU47" s="184" t="str">
        <f>IFERROR(IF(VLOOKUP(Sun_W1[[#This Row],[Employee Name]],'Base Schedules'!$A$79:$AW$111,46,FALSE)="","",VLOOKUP(Sun_W1[[#This Row],[Employee Name]],'Base Schedules'!$A$79:$AW$111,46,FALSE)),"")</f>
        <v/>
      </c>
      <c r="AV47" s="184" t="str">
        <f>IFERROR(IF(VLOOKUP(Sun_W1[[#This Row],[Employee Name]],'Base Schedules'!$A$79:$AW$111,47,FALSE)="","",VLOOKUP(Sun_W1[[#This Row],[Employee Name]],'Base Schedules'!$A$79:$AW$111,47,FALSE)),"")</f>
        <v/>
      </c>
      <c r="AW47" s="184" t="str">
        <f>IFERROR(IF(VLOOKUP(Sun_W1[[#This Row],[Employee Name]],'Base Schedules'!$A$79:$AW$111,48,FALSE)="","",VLOOKUP(Sun_W1[[#This Row],[Employee Name]],'Base Schedules'!$A$79:$AW$111,48,FALSE)),"")</f>
        <v/>
      </c>
      <c r="AX47" s="184" t="str">
        <f>IFERROR(IF(VLOOKUP(Sun_W1[[#This Row],[Employee Name]],'Base Schedules'!$A$79:$AW$111,49,FALSE)="","",VLOOKUP(Sun_W1[[#This Row],[Employee Name]],'Base Schedules'!$A$79:$AW$111,49,FALSE)),"")</f>
        <v/>
      </c>
      <c r="AY47" s="162" t="str">
        <f t="shared" si="2"/>
        <v/>
      </c>
    </row>
    <row r="48" spans="1:51" ht="15" customHeight="1" thickBot="1" x14ac:dyDescent="0.25">
      <c r="A48" s="39" t="e">
        <f>IF(#REF!="","",INDEX(TeamList[],MATCH(#REF!,TeamList[[Employee Name]:[Employee Name]],0),MATCH("Manager",TeamList[#Headers],0)))</f>
        <v>#REF!</v>
      </c>
      <c r="B48" s="20"/>
      <c r="C48" s="21"/>
      <c r="D48" s="21"/>
      <c r="E48" s="21" t="s">
        <v>92</v>
      </c>
      <c r="F48" s="238">
        <f>SUM(F9:F47)</f>
        <v>114.5</v>
      </c>
      <c r="G48" s="238">
        <f>SUM(G9:G47)</f>
        <v>36</v>
      </c>
      <c r="H48" s="238">
        <f>SUM(H9:H47)</f>
        <v>79</v>
      </c>
      <c r="I48" s="238">
        <f>SUM(I9:I47)</f>
        <v>22</v>
      </c>
      <c r="J48" s="27">
        <v>500</v>
      </c>
      <c r="K48" s="27">
        <v>530</v>
      </c>
      <c r="L48" s="27">
        <v>600</v>
      </c>
      <c r="M48" s="27">
        <v>630</v>
      </c>
      <c r="N48" s="27">
        <v>700</v>
      </c>
      <c r="O48" s="27">
        <v>730</v>
      </c>
      <c r="P48" s="27">
        <v>800</v>
      </c>
      <c r="Q48" s="27">
        <v>830</v>
      </c>
      <c r="R48" s="27">
        <v>900</v>
      </c>
      <c r="S48" s="27">
        <v>930</v>
      </c>
      <c r="T48" s="27">
        <v>1000</v>
      </c>
      <c r="U48" s="27">
        <v>1030</v>
      </c>
      <c r="V48" s="27">
        <v>1100</v>
      </c>
      <c r="W48" s="27">
        <v>1130</v>
      </c>
      <c r="X48" s="27">
        <v>1200</v>
      </c>
      <c r="Y48" s="27">
        <v>1230</v>
      </c>
      <c r="Z48" s="27">
        <v>1300</v>
      </c>
      <c r="AA48" s="27">
        <v>1330</v>
      </c>
      <c r="AB48" s="27">
        <v>1400</v>
      </c>
      <c r="AC48" s="27">
        <v>1430</v>
      </c>
      <c r="AD48" s="27">
        <v>1500</v>
      </c>
      <c r="AE48" s="27">
        <v>1530</v>
      </c>
      <c r="AF48" s="27">
        <v>1600</v>
      </c>
      <c r="AG48" s="27">
        <v>1630</v>
      </c>
      <c r="AH48" s="27">
        <v>1700</v>
      </c>
      <c r="AI48" s="27">
        <v>1730</v>
      </c>
      <c r="AJ48" s="27">
        <v>1800</v>
      </c>
      <c r="AK48" s="27">
        <v>1830</v>
      </c>
      <c r="AL48" s="27">
        <v>1900</v>
      </c>
      <c r="AM48" s="27">
        <v>1930</v>
      </c>
      <c r="AN48" s="27">
        <v>2000</v>
      </c>
      <c r="AO48" s="27">
        <v>2030</v>
      </c>
      <c r="AP48" s="27">
        <v>2100</v>
      </c>
      <c r="AQ48" s="27">
        <v>2130</v>
      </c>
      <c r="AR48" s="27">
        <v>2200</v>
      </c>
      <c r="AS48" s="27">
        <v>2230</v>
      </c>
      <c r="AT48" s="27">
        <v>2300</v>
      </c>
      <c r="AU48" s="27">
        <v>2330</v>
      </c>
      <c r="AV48" s="27">
        <v>0</v>
      </c>
      <c r="AW48" s="27">
        <v>30</v>
      </c>
      <c r="AX48" s="266" t="s">
        <v>365</v>
      </c>
      <c r="AY48" s="22" t="s">
        <v>2</v>
      </c>
    </row>
    <row r="49" spans="1:52" ht="11.25" customHeight="1" thickBot="1" x14ac:dyDescent="0.25">
      <c r="A49" s="39" t="e">
        <f>IF(#REF!="","",INDEX(TeamList[],MATCH(#REF!,TeamList[[Employee Name]:[Employee Name]],0),MATCH("Manager",TeamList[#Headers],0)))</f>
        <v>#REF!</v>
      </c>
      <c r="F49" s="258"/>
      <c r="G49" s="258"/>
      <c r="H49" s="258"/>
      <c r="I49" s="263"/>
      <c r="J49" s="258"/>
      <c r="K49" s="258"/>
      <c r="L49" s="258"/>
      <c r="M49" s="258"/>
      <c r="N49" s="258"/>
      <c r="O49" s="258"/>
      <c r="P49" s="258"/>
      <c r="Q49" s="258"/>
      <c r="R49" s="258"/>
      <c r="S49" s="258"/>
      <c r="T49" s="258"/>
      <c r="U49" s="258"/>
      <c r="V49" s="258"/>
      <c r="W49" s="258"/>
      <c r="X49" s="258"/>
      <c r="Y49" s="258"/>
      <c r="Z49" s="258"/>
      <c r="AA49" s="258"/>
      <c r="AB49" s="258"/>
      <c r="AC49" s="258"/>
      <c r="AD49" s="258"/>
      <c r="AE49" s="258"/>
      <c r="AF49" s="258"/>
      <c r="AG49" s="258"/>
      <c r="AH49" s="258"/>
      <c r="AI49" s="258"/>
      <c r="AJ49" s="258"/>
      <c r="AK49" s="258"/>
      <c r="AL49" s="258"/>
      <c r="AM49" s="258"/>
      <c r="AN49" s="258"/>
      <c r="AO49" s="258"/>
      <c r="AP49" s="258"/>
      <c r="AQ49" s="258"/>
      <c r="AR49" s="258"/>
      <c r="AS49" s="258"/>
      <c r="AT49" s="258"/>
      <c r="AU49" s="258"/>
      <c r="AV49" s="258"/>
      <c r="AW49" s="263"/>
      <c r="AX49" s="264"/>
      <c r="AY49" s="265">
        <f t="shared" ref="AY49" si="3">G49</f>
        <v>0</v>
      </c>
    </row>
    <row r="50" spans="1:52" ht="15" customHeight="1" x14ac:dyDescent="0.3">
      <c r="A50" s="39" t="e">
        <f>IF(#REF!="","",INDEX(TeamList[],MATCH(#REF!,TeamList[[Employee Name]:[Employee Name]],0),MATCH("Manager",TeamList[#Headers],0)))</f>
        <v>#REF!</v>
      </c>
      <c r="B50" s="484" t="s">
        <v>368</v>
      </c>
      <c r="C50" s="484"/>
      <c r="D50" s="453"/>
      <c r="E50" s="453"/>
      <c r="F50" s="453"/>
      <c r="G50" s="484" t="s">
        <v>368</v>
      </c>
      <c r="H50" s="484"/>
      <c r="I50" s="484"/>
      <c r="J50" s="455">
        <f>COUNTIF(J9:J46,"RNNR")</f>
        <v>0</v>
      </c>
      <c r="K50" s="455">
        <f t="shared" ref="K50:AW50" si="4">COUNTIF(K9:K46,"RNNR")</f>
        <v>0</v>
      </c>
      <c r="L50" s="455">
        <f t="shared" si="4"/>
        <v>0</v>
      </c>
      <c r="M50" s="455">
        <f t="shared" si="4"/>
        <v>0</v>
      </c>
      <c r="N50" s="455">
        <f t="shared" si="4"/>
        <v>0</v>
      </c>
      <c r="O50" s="455">
        <f t="shared" si="4"/>
        <v>0</v>
      </c>
      <c r="P50" s="455">
        <f t="shared" si="4"/>
        <v>0</v>
      </c>
      <c r="Q50" s="455">
        <f t="shared" si="4"/>
        <v>0</v>
      </c>
      <c r="R50" s="455">
        <f t="shared" si="4"/>
        <v>1</v>
      </c>
      <c r="S50" s="455">
        <f t="shared" si="4"/>
        <v>1</v>
      </c>
      <c r="T50" s="455">
        <f t="shared" si="4"/>
        <v>1</v>
      </c>
      <c r="U50" s="455">
        <f t="shared" si="4"/>
        <v>1</v>
      </c>
      <c r="V50" s="455">
        <f t="shared" si="4"/>
        <v>1</v>
      </c>
      <c r="W50" s="455">
        <f t="shared" si="4"/>
        <v>1</v>
      </c>
      <c r="X50" s="455">
        <f t="shared" si="4"/>
        <v>1</v>
      </c>
      <c r="Y50" s="455">
        <f t="shared" si="4"/>
        <v>1</v>
      </c>
      <c r="Z50" s="455">
        <f t="shared" si="4"/>
        <v>1</v>
      </c>
      <c r="AA50" s="455">
        <f t="shared" si="4"/>
        <v>1</v>
      </c>
      <c r="AB50" s="455">
        <f t="shared" si="4"/>
        <v>1</v>
      </c>
      <c r="AC50" s="455">
        <f t="shared" si="4"/>
        <v>1</v>
      </c>
      <c r="AD50" s="455">
        <f t="shared" si="4"/>
        <v>1</v>
      </c>
      <c r="AE50" s="455">
        <f t="shared" si="4"/>
        <v>1</v>
      </c>
      <c r="AF50" s="455">
        <f t="shared" si="4"/>
        <v>1</v>
      </c>
      <c r="AG50" s="455">
        <f t="shared" si="4"/>
        <v>1</v>
      </c>
      <c r="AH50" s="455">
        <f t="shared" si="4"/>
        <v>1</v>
      </c>
      <c r="AI50" s="455">
        <f t="shared" si="4"/>
        <v>1</v>
      </c>
      <c r="AJ50" s="455">
        <f t="shared" si="4"/>
        <v>1</v>
      </c>
      <c r="AK50" s="455">
        <f t="shared" si="4"/>
        <v>1</v>
      </c>
      <c r="AL50" s="455">
        <f t="shared" si="4"/>
        <v>1</v>
      </c>
      <c r="AM50" s="455">
        <f t="shared" si="4"/>
        <v>1</v>
      </c>
      <c r="AN50" s="455">
        <f t="shared" si="4"/>
        <v>0</v>
      </c>
      <c r="AO50" s="455">
        <f t="shared" si="4"/>
        <v>0</v>
      </c>
      <c r="AP50" s="455">
        <f t="shared" si="4"/>
        <v>0</v>
      </c>
      <c r="AQ50" s="455">
        <f t="shared" si="4"/>
        <v>0</v>
      </c>
      <c r="AR50" s="455">
        <f t="shared" si="4"/>
        <v>0</v>
      </c>
      <c r="AS50" s="455">
        <f t="shared" si="4"/>
        <v>0</v>
      </c>
      <c r="AT50" s="455">
        <f t="shared" si="4"/>
        <v>0</v>
      </c>
      <c r="AU50" s="455">
        <f t="shared" si="4"/>
        <v>0</v>
      </c>
      <c r="AV50" s="455">
        <f t="shared" si="4"/>
        <v>0</v>
      </c>
      <c r="AW50" s="455">
        <f t="shared" si="4"/>
        <v>0</v>
      </c>
      <c r="AX50" s="451">
        <f>AVERAGE(J50:AW50)</f>
        <v>0.55000000000000004</v>
      </c>
      <c r="AY50" s="485" t="s">
        <v>368</v>
      </c>
      <c r="AZ50" s="485"/>
    </row>
    <row r="51" spans="1:52" ht="18.75" x14ac:dyDescent="0.3">
      <c r="A51" s="39"/>
      <c r="B51" s="484" t="s">
        <v>581</v>
      </c>
      <c r="C51" s="484"/>
      <c r="D51" s="453"/>
      <c r="E51" s="453"/>
      <c r="F51" s="453"/>
      <c r="G51" s="484" t="s">
        <v>581</v>
      </c>
      <c r="H51" s="484"/>
      <c r="I51" s="484"/>
      <c r="J51" s="458">
        <f>COUNTIF(J9:J46,"HL")</f>
        <v>1</v>
      </c>
      <c r="K51" s="458">
        <f t="shared" ref="K51:AW51" si="5">COUNTIF(K9:K46,"HL")</f>
        <v>2</v>
      </c>
      <c r="L51" s="458">
        <f t="shared" si="5"/>
        <v>2</v>
      </c>
      <c r="M51" s="458">
        <f t="shared" si="5"/>
        <v>3</v>
      </c>
      <c r="N51" s="458">
        <f t="shared" si="5"/>
        <v>2</v>
      </c>
      <c r="O51" s="458">
        <f t="shared" si="5"/>
        <v>2</v>
      </c>
      <c r="P51" s="458">
        <f t="shared" si="5"/>
        <v>3</v>
      </c>
      <c r="Q51" s="458">
        <f t="shared" si="5"/>
        <v>2</v>
      </c>
      <c r="R51" s="458">
        <f t="shared" si="5"/>
        <v>2</v>
      </c>
      <c r="S51" s="458">
        <f t="shared" si="5"/>
        <v>2</v>
      </c>
      <c r="T51" s="458">
        <f t="shared" si="5"/>
        <v>2</v>
      </c>
      <c r="U51" s="458">
        <f t="shared" si="5"/>
        <v>2</v>
      </c>
      <c r="V51" s="458">
        <f t="shared" si="5"/>
        <v>3</v>
      </c>
      <c r="W51" s="458">
        <f t="shared" si="5"/>
        <v>2</v>
      </c>
      <c r="X51" s="458">
        <f t="shared" si="5"/>
        <v>2</v>
      </c>
      <c r="Y51" s="458">
        <f t="shared" si="5"/>
        <v>4</v>
      </c>
      <c r="Z51" s="458">
        <f t="shared" si="5"/>
        <v>5</v>
      </c>
      <c r="AA51" s="458">
        <f t="shared" si="5"/>
        <v>4</v>
      </c>
      <c r="AB51" s="458">
        <f t="shared" si="5"/>
        <v>5</v>
      </c>
      <c r="AC51" s="458">
        <f t="shared" si="5"/>
        <v>4</v>
      </c>
      <c r="AD51" s="458">
        <f t="shared" si="5"/>
        <v>3</v>
      </c>
      <c r="AE51" s="458">
        <f t="shared" si="5"/>
        <v>2</v>
      </c>
      <c r="AF51" s="458">
        <f t="shared" si="5"/>
        <v>3</v>
      </c>
      <c r="AG51" s="458">
        <f t="shared" si="5"/>
        <v>2</v>
      </c>
      <c r="AH51" s="458">
        <f t="shared" si="5"/>
        <v>3</v>
      </c>
      <c r="AI51" s="458">
        <f t="shared" si="5"/>
        <v>3</v>
      </c>
      <c r="AJ51" s="458">
        <f t="shared" si="5"/>
        <v>3</v>
      </c>
      <c r="AK51" s="458">
        <f t="shared" si="5"/>
        <v>3</v>
      </c>
      <c r="AL51" s="458">
        <f t="shared" si="5"/>
        <v>3</v>
      </c>
      <c r="AM51" s="458">
        <f t="shared" si="5"/>
        <v>2</v>
      </c>
      <c r="AN51" s="458">
        <f t="shared" si="5"/>
        <v>3</v>
      </c>
      <c r="AO51" s="458">
        <f t="shared" si="5"/>
        <v>5</v>
      </c>
      <c r="AP51" s="458">
        <f t="shared" si="5"/>
        <v>4</v>
      </c>
      <c r="AQ51" s="458">
        <f t="shared" si="5"/>
        <v>3</v>
      </c>
      <c r="AR51" s="458">
        <f t="shared" si="5"/>
        <v>2</v>
      </c>
      <c r="AS51" s="458">
        <f t="shared" si="5"/>
        <v>2</v>
      </c>
      <c r="AT51" s="458">
        <f t="shared" si="5"/>
        <v>2</v>
      </c>
      <c r="AU51" s="458">
        <f t="shared" si="5"/>
        <v>2</v>
      </c>
      <c r="AV51" s="458">
        <f t="shared" si="5"/>
        <v>1</v>
      </c>
      <c r="AW51" s="458">
        <f t="shared" si="5"/>
        <v>1</v>
      </c>
      <c r="AX51" s="452">
        <f>SUM(J51:AW51)</f>
        <v>106</v>
      </c>
      <c r="AY51" s="485" t="s">
        <v>581</v>
      </c>
      <c r="AZ51" s="485"/>
    </row>
    <row r="52" spans="1:52" ht="18.75" x14ac:dyDescent="0.3">
      <c r="A52" s="39"/>
      <c r="B52" s="484" t="s">
        <v>588</v>
      </c>
      <c r="C52" s="484"/>
      <c r="D52" s="453"/>
      <c r="E52" s="453"/>
      <c r="F52" s="453"/>
      <c r="G52" s="484" t="s">
        <v>592</v>
      </c>
      <c r="H52" s="484"/>
      <c r="I52" s="484"/>
      <c r="J52" s="460">
        <f>[1]Weighted!B$8</f>
        <v>1.05</v>
      </c>
      <c r="K52" s="460">
        <f>[1]Weighted!C$8</f>
        <v>1.05</v>
      </c>
      <c r="L52" s="460">
        <f>[1]Weighted!D$8</f>
        <v>1.05</v>
      </c>
      <c r="M52" s="460">
        <f>[1]Weighted!E$8</f>
        <v>1.05</v>
      </c>
      <c r="N52" s="460">
        <f>[1]Weighted!F$8</f>
        <v>1.05</v>
      </c>
      <c r="O52" s="460">
        <f>[1]Weighted!G$8</f>
        <v>1.05</v>
      </c>
      <c r="P52" s="460">
        <f>[1]Weighted!H$8</f>
        <v>1.05</v>
      </c>
      <c r="Q52" s="460">
        <f>[1]Weighted!I$8</f>
        <v>1.05</v>
      </c>
      <c r="R52" s="460">
        <f>[1]Weighted!J$8</f>
        <v>3.1500000000000004</v>
      </c>
      <c r="S52" s="460">
        <f>[1]Weighted!K$8</f>
        <v>1.05</v>
      </c>
      <c r="T52" s="460">
        <f>[1]Weighted!L$8</f>
        <v>1.05</v>
      </c>
      <c r="U52" s="460">
        <f>[1]Weighted!M$8</f>
        <v>1.05</v>
      </c>
      <c r="V52" s="460">
        <f>[1]Weighted!N$8</f>
        <v>2.1</v>
      </c>
      <c r="W52" s="460">
        <f>[1]Weighted!O$8</f>
        <v>1.05</v>
      </c>
      <c r="X52" s="460">
        <f>[1]Weighted!P$8</f>
        <v>2.1</v>
      </c>
      <c r="Y52" s="460">
        <f>[1]Weighted!Q$8</f>
        <v>2.1</v>
      </c>
      <c r="Z52" s="460">
        <f>[1]Weighted!R$8</f>
        <v>1.05</v>
      </c>
      <c r="AA52" s="460">
        <f>[1]Weighted!S$8</f>
        <v>3.1500000000000004</v>
      </c>
      <c r="AB52" s="460">
        <f>[1]Weighted!T$8</f>
        <v>1.05</v>
      </c>
      <c r="AC52" s="460">
        <f>[1]Weighted!U$8</f>
        <v>1.05</v>
      </c>
      <c r="AD52" s="460">
        <f>[1]Weighted!V$8</f>
        <v>1.05</v>
      </c>
      <c r="AE52" s="460">
        <f>[1]Weighted!W$8</f>
        <v>2.1</v>
      </c>
      <c r="AF52" s="460">
        <f>[1]Weighted!X$8</f>
        <v>3.1500000000000004</v>
      </c>
      <c r="AG52" s="460">
        <f>[1]Weighted!Y$8</f>
        <v>2.1</v>
      </c>
      <c r="AH52" s="460">
        <f>[1]Weighted!Z$8</f>
        <v>1.05</v>
      </c>
      <c r="AI52" s="460">
        <f>[1]Weighted!AA$8</f>
        <v>2.1</v>
      </c>
      <c r="AJ52" s="460">
        <f>[1]Weighted!AB$8</f>
        <v>1.05</v>
      </c>
      <c r="AK52" s="460">
        <f>[1]Weighted!AC$8</f>
        <v>1.05</v>
      </c>
      <c r="AL52" s="460">
        <f>[1]Weighted!AD$8</f>
        <v>1.05</v>
      </c>
      <c r="AM52" s="460">
        <f>[1]Weighted!AE$8</f>
        <v>1.05</v>
      </c>
      <c r="AN52" s="460">
        <f>[1]Weighted!AF$8</f>
        <v>1.05</v>
      </c>
      <c r="AO52" s="460">
        <f>[1]Weighted!AG$8</f>
        <v>2.1</v>
      </c>
      <c r="AP52" s="460">
        <f>[1]Weighted!AH$8</f>
        <v>1.05</v>
      </c>
      <c r="AQ52" s="460">
        <f>[1]Weighted!AI$8</f>
        <v>1.05</v>
      </c>
      <c r="AR52" s="460">
        <f>[1]Weighted!AJ$8</f>
        <v>1.05</v>
      </c>
      <c r="AS52" s="460">
        <f>[1]Weighted!AK$8</f>
        <v>1.05</v>
      </c>
      <c r="AT52" s="460">
        <f>[1]Weighted!AL$8</f>
        <v>1.05</v>
      </c>
      <c r="AU52" s="460">
        <f>[1]Weighted!AM$8</f>
        <v>1.05</v>
      </c>
      <c r="AV52" s="460">
        <f>[1]Weighted!AN$8</f>
        <v>1.05</v>
      </c>
      <c r="AW52" s="460">
        <f>[1]Weighted!AO$8</f>
        <v>1.05</v>
      </c>
      <c r="AX52" s="452">
        <f>SUM(J52:AW52)</f>
        <v>55.649999999999977</v>
      </c>
      <c r="AY52" s="485" t="s">
        <v>588</v>
      </c>
      <c r="AZ52" s="485"/>
    </row>
    <row r="53" spans="1:52" ht="15.75" customHeight="1" x14ac:dyDescent="0.3">
      <c r="A53" s="39"/>
      <c r="B53" s="484" t="s">
        <v>590</v>
      </c>
      <c r="C53" s="484"/>
      <c r="D53" s="453"/>
      <c r="E53" s="453"/>
      <c r="F53" s="453"/>
      <c r="G53" s="484" t="s">
        <v>590</v>
      </c>
      <c r="H53" s="484"/>
      <c r="I53" s="484"/>
      <c r="J53" s="460">
        <f>ROUNDUP(J52/2,0)</f>
        <v>1</v>
      </c>
      <c r="K53" s="460">
        <f t="shared" ref="K53:AW53" si="6">ROUNDUP(K52/2,0)</f>
        <v>1</v>
      </c>
      <c r="L53" s="460">
        <f t="shared" si="6"/>
        <v>1</v>
      </c>
      <c r="M53" s="460">
        <f t="shared" si="6"/>
        <v>1</v>
      </c>
      <c r="N53" s="460">
        <f t="shared" si="6"/>
        <v>1</v>
      </c>
      <c r="O53" s="460">
        <f t="shared" si="6"/>
        <v>1</v>
      </c>
      <c r="P53" s="460">
        <f t="shared" si="6"/>
        <v>1</v>
      </c>
      <c r="Q53" s="460">
        <f t="shared" si="6"/>
        <v>1</v>
      </c>
      <c r="R53" s="460">
        <f t="shared" si="6"/>
        <v>2</v>
      </c>
      <c r="S53" s="460">
        <f t="shared" si="6"/>
        <v>1</v>
      </c>
      <c r="T53" s="460">
        <f t="shared" si="6"/>
        <v>1</v>
      </c>
      <c r="U53" s="460">
        <f t="shared" si="6"/>
        <v>1</v>
      </c>
      <c r="V53" s="460">
        <f t="shared" si="6"/>
        <v>2</v>
      </c>
      <c r="W53" s="460">
        <f t="shared" si="6"/>
        <v>1</v>
      </c>
      <c r="X53" s="460">
        <f t="shared" si="6"/>
        <v>2</v>
      </c>
      <c r="Y53" s="460">
        <f t="shared" si="6"/>
        <v>2</v>
      </c>
      <c r="Z53" s="460">
        <f t="shared" si="6"/>
        <v>1</v>
      </c>
      <c r="AA53" s="460">
        <f t="shared" si="6"/>
        <v>2</v>
      </c>
      <c r="AB53" s="460">
        <f t="shared" si="6"/>
        <v>1</v>
      </c>
      <c r="AC53" s="460">
        <f t="shared" si="6"/>
        <v>1</v>
      </c>
      <c r="AD53" s="460">
        <f t="shared" si="6"/>
        <v>1</v>
      </c>
      <c r="AE53" s="460">
        <f t="shared" si="6"/>
        <v>2</v>
      </c>
      <c r="AF53" s="460">
        <f t="shared" si="6"/>
        <v>2</v>
      </c>
      <c r="AG53" s="460">
        <f t="shared" si="6"/>
        <v>2</v>
      </c>
      <c r="AH53" s="460">
        <f t="shared" si="6"/>
        <v>1</v>
      </c>
      <c r="AI53" s="460">
        <f t="shared" si="6"/>
        <v>2</v>
      </c>
      <c r="AJ53" s="460">
        <f t="shared" si="6"/>
        <v>1</v>
      </c>
      <c r="AK53" s="460">
        <f t="shared" si="6"/>
        <v>1</v>
      </c>
      <c r="AL53" s="460">
        <f t="shared" si="6"/>
        <v>1</v>
      </c>
      <c r="AM53" s="460">
        <f t="shared" si="6"/>
        <v>1</v>
      </c>
      <c r="AN53" s="460">
        <f t="shared" si="6"/>
        <v>1</v>
      </c>
      <c r="AO53" s="460">
        <f t="shared" si="6"/>
        <v>2</v>
      </c>
      <c r="AP53" s="460">
        <f t="shared" si="6"/>
        <v>1</v>
      </c>
      <c r="AQ53" s="460">
        <f t="shared" si="6"/>
        <v>1</v>
      </c>
      <c r="AR53" s="460">
        <f t="shared" si="6"/>
        <v>1</v>
      </c>
      <c r="AS53" s="460">
        <f t="shared" si="6"/>
        <v>1</v>
      </c>
      <c r="AT53" s="460">
        <f t="shared" si="6"/>
        <v>1</v>
      </c>
      <c r="AU53" s="460">
        <f t="shared" si="6"/>
        <v>1</v>
      </c>
      <c r="AV53" s="460">
        <f t="shared" si="6"/>
        <v>1</v>
      </c>
      <c r="AW53" s="460">
        <f t="shared" si="6"/>
        <v>1</v>
      </c>
      <c r="AX53" s="452">
        <f>SUM(J53:AW53)</f>
        <v>50</v>
      </c>
      <c r="AY53" s="485" t="s">
        <v>590</v>
      </c>
      <c r="AZ53" s="485"/>
    </row>
    <row r="54" spans="1:52" ht="15" customHeight="1" x14ac:dyDescent="0.3">
      <c r="B54" s="484" t="s">
        <v>591</v>
      </c>
      <c r="C54" s="484"/>
      <c r="D54" s="453"/>
      <c r="E54" s="453"/>
      <c r="F54" s="453"/>
      <c r="G54" s="484" t="s">
        <v>591</v>
      </c>
      <c r="H54" s="484"/>
      <c r="I54" s="484"/>
      <c r="J54" s="461">
        <f>J51-J53</f>
        <v>0</v>
      </c>
      <c r="K54" s="461">
        <f t="shared" ref="K54:AW54" si="7">K51-K53</f>
        <v>1</v>
      </c>
      <c r="L54" s="461">
        <f t="shared" si="7"/>
        <v>1</v>
      </c>
      <c r="M54" s="461">
        <f t="shared" si="7"/>
        <v>2</v>
      </c>
      <c r="N54" s="461">
        <f t="shared" si="7"/>
        <v>1</v>
      </c>
      <c r="O54" s="461">
        <f t="shared" si="7"/>
        <v>1</v>
      </c>
      <c r="P54" s="461">
        <f t="shared" si="7"/>
        <v>2</v>
      </c>
      <c r="Q54" s="461">
        <f t="shared" si="7"/>
        <v>1</v>
      </c>
      <c r="R54" s="461">
        <f t="shared" si="7"/>
        <v>0</v>
      </c>
      <c r="S54" s="461">
        <f t="shared" si="7"/>
        <v>1</v>
      </c>
      <c r="T54" s="461">
        <f t="shared" si="7"/>
        <v>1</v>
      </c>
      <c r="U54" s="461">
        <f t="shared" si="7"/>
        <v>1</v>
      </c>
      <c r="V54" s="461">
        <f t="shared" si="7"/>
        <v>1</v>
      </c>
      <c r="W54" s="461">
        <f t="shared" si="7"/>
        <v>1</v>
      </c>
      <c r="X54" s="461">
        <f t="shared" si="7"/>
        <v>0</v>
      </c>
      <c r="Y54" s="461">
        <f t="shared" si="7"/>
        <v>2</v>
      </c>
      <c r="Z54" s="461">
        <f t="shared" si="7"/>
        <v>4</v>
      </c>
      <c r="AA54" s="461">
        <f t="shared" si="7"/>
        <v>2</v>
      </c>
      <c r="AB54" s="461">
        <f t="shared" si="7"/>
        <v>4</v>
      </c>
      <c r="AC54" s="461">
        <f t="shared" si="7"/>
        <v>3</v>
      </c>
      <c r="AD54" s="461">
        <f t="shared" si="7"/>
        <v>2</v>
      </c>
      <c r="AE54" s="461">
        <f t="shared" si="7"/>
        <v>0</v>
      </c>
      <c r="AF54" s="461">
        <f t="shared" si="7"/>
        <v>1</v>
      </c>
      <c r="AG54" s="461">
        <f t="shared" si="7"/>
        <v>0</v>
      </c>
      <c r="AH54" s="461">
        <f t="shared" si="7"/>
        <v>2</v>
      </c>
      <c r="AI54" s="461">
        <f t="shared" si="7"/>
        <v>1</v>
      </c>
      <c r="AJ54" s="461">
        <f t="shared" si="7"/>
        <v>2</v>
      </c>
      <c r="AK54" s="461">
        <f t="shared" si="7"/>
        <v>2</v>
      </c>
      <c r="AL54" s="461">
        <f t="shared" si="7"/>
        <v>2</v>
      </c>
      <c r="AM54" s="461">
        <f t="shared" si="7"/>
        <v>1</v>
      </c>
      <c r="AN54" s="461">
        <f t="shared" si="7"/>
        <v>2</v>
      </c>
      <c r="AO54" s="461">
        <f t="shared" si="7"/>
        <v>3</v>
      </c>
      <c r="AP54" s="461">
        <f t="shared" si="7"/>
        <v>3</v>
      </c>
      <c r="AQ54" s="461">
        <f t="shared" si="7"/>
        <v>2</v>
      </c>
      <c r="AR54" s="461">
        <f t="shared" si="7"/>
        <v>1</v>
      </c>
      <c r="AS54" s="461">
        <f t="shared" si="7"/>
        <v>1</v>
      </c>
      <c r="AT54" s="461">
        <f t="shared" si="7"/>
        <v>1</v>
      </c>
      <c r="AU54" s="461">
        <f t="shared" si="7"/>
        <v>1</v>
      </c>
      <c r="AV54" s="461">
        <f t="shared" si="7"/>
        <v>0</v>
      </c>
      <c r="AW54" s="461">
        <f t="shared" si="7"/>
        <v>0</v>
      </c>
      <c r="AX54" s="454">
        <f>AVERAGE(J54:AW54)</f>
        <v>1.4</v>
      </c>
      <c r="AY54" s="486" t="s">
        <v>591</v>
      </c>
      <c r="AZ54" s="486"/>
    </row>
    <row r="55" spans="1:52" x14ac:dyDescent="0.2"/>
    <row r="56" spans="1:52" x14ac:dyDescent="0.2"/>
    <row r="57" spans="1:52" ht="15.75" customHeight="1" x14ac:dyDescent="0.2"/>
    <row r="58" spans="1:52" s="143" customFormat="1" ht="15.75" customHeight="1" x14ac:dyDescent="0.2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</row>
    <row r="59" spans="1:52" s="267" customFormat="1" x14ac:dyDescent="0.2">
      <c r="A59" s="1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</row>
    <row r="60" spans="1:52" s="143" customFormat="1" x14ac:dyDescent="0.2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</row>
    <row r="61" spans="1:52" x14ac:dyDescent="0.2"/>
    <row r="62" spans="1:52" x14ac:dyDescent="0.2">
      <c r="B62" s="143"/>
      <c r="C62" s="143"/>
      <c r="D62" s="143"/>
      <c r="E62" s="143"/>
      <c r="F62" s="143"/>
      <c r="H62" s="144"/>
      <c r="I62" s="144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3"/>
      <c r="AS62" s="143"/>
      <c r="AT62" s="143"/>
      <c r="AU62" s="143"/>
      <c r="AV62" s="143"/>
      <c r="AW62" s="143"/>
      <c r="AX62" s="143"/>
      <c r="AY62" s="143"/>
    </row>
    <row r="63" spans="1:52" x14ac:dyDescent="0.2">
      <c r="B63" s="143"/>
      <c r="C63" s="143"/>
      <c r="D63" s="143"/>
      <c r="E63" s="143"/>
      <c r="F63" s="143"/>
      <c r="H63" s="145"/>
      <c r="I63" s="145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  <c r="AF63" s="143"/>
      <c r="AG63" s="143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3"/>
      <c r="AS63" s="143"/>
      <c r="AT63" s="143"/>
      <c r="AU63" s="143"/>
      <c r="AV63" s="143"/>
      <c r="AW63" s="143"/>
      <c r="AX63" s="143"/>
      <c r="AY63" s="143"/>
    </row>
    <row r="64" spans="1:52" x14ac:dyDescent="0.2">
      <c r="H64" s="145"/>
      <c r="I64" s="145"/>
    </row>
    <row r="65" spans="8:9" x14ac:dyDescent="0.2">
      <c r="H65" s="144"/>
      <c r="I65" s="144"/>
    </row>
    <row r="66" spans="8:9" x14ac:dyDescent="0.2">
      <c r="H66" s="145"/>
      <c r="I66" s="145"/>
    </row>
    <row r="67" spans="8:9" x14ac:dyDescent="0.2">
      <c r="H67" s="145"/>
      <c r="I67" s="145"/>
    </row>
    <row r="68" spans="8:9" x14ac:dyDescent="0.2">
      <c r="H68" s="144"/>
      <c r="I68" s="144"/>
    </row>
    <row r="69" spans="8:9" x14ac:dyDescent="0.2">
      <c r="H69" s="145"/>
      <c r="I69" s="145"/>
    </row>
    <row r="70" spans="8:9" x14ac:dyDescent="0.2">
      <c r="H70" s="145"/>
      <c r="I70" s="145"/>
    </row>
    <row r="71" spans="8:9" x14ac:dyDescent="0.2"/>
    <row r="72" spans="8:9" x14ac:dyDescent="0.2"/>
    <row r="73" spans="8:9" x14ac:dyDescent="0.2"/>
    <row r="74" spans="8:9" x14ac:dyDescent="0.2"/>
    <row r="75" spans="8:9" x14ac:dyDescent="0.2"/>
    <row r="76" spans="8:9" x14ac:dyDescent="0.2"/>
    <row r="77" spans="8:9" x14ac:dyDescent="0.2"/>
    <row r="78" spans="8:9" x14ac:dyDescent="0.2"/>
    <row r="79" spans="8:9" x14ac:dyDescent="0.2"/>
    <row r="80" spans="8:9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</sheetData>
  <sheetProtection autoFilter="0"/>
  <mergeCells count="17">
    <mergeCell ref="B53:C53"/>
    <mergeCell ref="G53:I53"/>
    <mergeCell ref="AY53:AZ53"/>
    <mergeCell ref="B54:C54"/>
    <mergeCell ref="G54:I54"/>
    <mergeCell ref="AY54:AZ54"/>
    <mergeCell ref="AY50:AZ50"/>
    <mergeCell ref="AY51:AZ51"/>
    <mergeCell ref="B52:C52"/>
    <mergeCell ref="G52:I52"/>
    <mergeCell ref="AY52:AZ52"/>
    <mergeCell ref="B3:C3"/>
    <mergeCell ref="F6:I6"/>
    <mergeCell ref="G50:I50"/>
    <mergeCell ref="G51:I51"/>
    <mergeCell ref="B50:C50"/>
    <mergeCell ref="B51:C51"/>
  </mergeCells>
  <conditionalFormatting sqref="A14">
    <cfRule type="duplicateValues" dxfId="621" priority="1778"/>
  </conditionalFormatting>
  <conditionalFormatting sqref="J9:AX47">
    <cfRule type="containsBlanks" dxfId="620" priority="21" stopIfTrue="1">
      <formula>LEN(TRIM(J9))=0</formula>
    </cfRule>
    <cfRule type="beginsWith" dxfId="619" priority="23" stopIfTrue="1" operator="beginsWith" text="u">
      <formula>LEFT(J9,LEN("u"))="u"</formula>
    </cfRule>
    <cfRule type="beginsWith" dxfId="618" priority="24" stopIfTrue="1" operator="beginsWith" text="p">
      <formula>LEFT(J9,LEN("p"))="p"</formula>
    </cfRule>
    <cfRule type="containsText" dxfId="617" priority="25" stopIfTrue="1" operator="containsText" text="B1">
      <formula>NOT(ISERROR(SEARCH("B1",J9)))</formula>
    </cfRule>
    <cfRule type="containsText" dxfId="616" priority="26" stopIfTrue="1" operator="containsText" text="B2">
      <formula>NOT(ISERROR(SEARCH("B2",J9)))</formula>
    </cfRule>
    <cfRule type="containsText" dxfId="615" priority="27" stopIfTrue="1" operator="containsText" text="Lunch">
      <formula>NOT(ISERROR(SEARCH("Lunch",J9)))</formula>
    </cfRule>
    <cfRule type="containsText" dxfId="614" priority="28" stopIfTrue="1" operator="containsText" text="Interview">
      <formula>NOT(ISERROR(SEARCH("Interview",J9)))</formula>
    </cfRule>
    <cfRule type="containsText" dxfId="613" priority="29" stopIfTrue="1" operator="containsText" text="Side by Side">
      <formula>NOT(ISERROR(SEARCH("Side by Side",J9)))</formula>
    </cfRule>
    <cfRule type="containsText" dxfId="612" priority="30" stopIfTrue="1" operator="containsText" text="COACHING">
      <formula>NOT(ISERROR(SEARCH("COACHING",J9)))</formula>
    </cfRule>
    <cfRule type="containsText" dxfId="611" priority="31" stopIfTrue="1" operator="containsText" text="TM">
      <formula>NOT(ISERROR(SEARCH("TM",J9)))</formula>
    </cfRule>
    <cfRule type="containsText" dxfId="610" priority="32" stopIfTrue="1" operator="containsText" text="RNNR">
      <formula>NOT(ISERROR(SEARCH("RNNR",J9)))</formula>
    </cfRule>
    <cfRule type="containsText" dxfId="609" priority="33" stopIfTrue="1" operator="containsText" text="ADM">
      <formula>NOT(ISERROR(SEARCH("ADM",J9)))</formula>
    </cfRule>
    <cfRule type="containsText" dxfId="608" priority="34" stopIfTrue="1" operator="containsText" text="HL">
      <formula>NOT(ISERROR(SEARCH("HL",J9)))</formula>
    </cfRule>
    <cfRule type="notContainsBlanks" dxfId="607" priority="35" stopIfTrue="1">
      <formula>LEN(TRIM(J9))&gt;0</formula>
    </cfRule>
  </conditionalFormatting>
  <conditionalFormatting sqref="J50:AW50">
    <cfRule type="cellIs" dxfId="606" priority="6" operator="greaterThanOrEqual">
      <formula>2</formula>
    </cfRule>
    <cfRule type="containsText" dxfId="605" priority="7" operator="containsText" text="1">
      <formula>NOT(ISERROR(SEARCH("1",J50)))</formula>
    </cfRule>
    <cfRule type="containsText" dxfId="604" priority="8" operator="containsText" text="0">
      <formula>NOT(ISERROR(SEARCH("0",J50)))</formula>
    </cfRule>
  </conditionalFormatting>
  <conditionalFormatting sqref="J51:AW51">
    <cfRule type="cellIs" dxfId="603" priority="3" operator="greaterThanOrEqual">
      <formula>2</formula>
    </cfRule>
    <cfRule type="containsText" dxfId="602" priority="4" operator="containsText" text="1">
      <formula>NOT(ISERROR(SEARCH("1",J51)))</formula>
    </cfRule>
    <cfRule type="containsText" dxfId="601" priority="5" operator="containsText" text="0">
      <formula>NOT(ISERROR(SEARCH("0",J51)))</formula>
    </cfRule>
  </conditionalFormatting>
  <conditionalFormatting sqref="J54:AW54">
    <cfRule type="colorScale" priority="1">
      <colorScale>
        <cfvo type="num" val="-0.05"/>
        <cfvo type="num" val="0"/>
        <cfvo type="num" val="0.05"/>
        <color rgb="FFF8696B"/>
        <color rgb="FFCDF3CD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2" stopIfTrue="1" operator="containsText" id="{C0B5DFC0-F69A-47B8-88F6-B29EAD3DBF67}">
            <xm:f>NOT(ISERROR(SEARCH("-",J9)))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J9:AX47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6"/>
    <outlinePr summaryBelow="0" summaryRight="0"/>
  </sheetPr>
  <dimension ref="A1:BA99"/>
  <sheetViews>
    <sheetView workbookViewId="0">
      <pane xSplit="9" ySplit="8" topLeftCell="W21" activePane="bottomRight" state="frozen"/>
      <selection activeCell="BB1" sqref="BB1:XFD1048576"/>
      <selection pane="topRight" activeCell="BB1" sqref="BB1:XFD1048576"/>
      <selection pane="bottomLeft" activeCell="BB1" sqref="BB1:XFD1048576"/>
      <selection pane="bottomRight" activeCell="B3" sqref="B3:C3"/>
    </sheetView>
  </sheetViews>
  <sheetFormatPr defaultColWidth="0" defaultRowHeight="12.75" zeroHeight="1" x14ac:dyDescent="0.2"/>
  <cols>
    <col min="1" max="1" width="0.7109375" style="6" customWidth="1"/>
    <col min="2" max="2" width="22.42578125" style="6" customWidth="1"/>
    <col min="3" max="3" width="10.7109375" style="6" customWidth="1"/>
    <col min="4" max="4" width="11.85546875" style="6" customWidth="1"/>
    <col min="5" max="5" width="11.42578125" style="6" customWidth="1"/>
    <col min="6" max="6" width="11.28515625" style="6" customWidth="1"/>
    <col min="7" max="7" width="12.28515625" style="6" customWidth="1"/>
    <col min="8" max="50" width="10.7109375" style="6" customWidth="1"/>
    <col min="51" max="51" width="22.42578125" style="6" customWidth="1"/>
    <col min="52" max="52" width="1.7109375" style="6" customWidth="1"/>
    <col min="53" max="53" width="9.140625" style="6" customWidth="1"/>
    <col min="54" max="16384" width="9.140625" style="6" hidden="1"/>
  </cols>
  <sheetData>
    <row r="1" spans="1:51" ht="6" customHeight="1" x14ac:dyDescent="0.2">
      <c r="D1" s="5"/>
    </row>
    <row r="2" spans="1:51" x14ac:dyDescent="0.2"/>
    <row r="3" spans="1:51" ht="24.95" customHeight="1" x14ac:dyDescent="0.2">
      <c r="B3" s="480" t="str">
        <f>TEXT(Day_2,"DDDD")&amp;" - "&amp;TEXT(Day_2,"mm/dd/yy")</f>
        <v>Monday - 03/23/20</v>
      </c>
      <c r="C3" s="480"/>
      <c r="D3" s="106"/>
      <c r="E3" s="487" t="s">
        <v>380</v>
      </c>
      <c r="F3" s="487"/>
      <c r="K3" s="94" t="s">
        <v>124</v>
      </c>
      <c r="L3" s="152" t="s">
        <v>218</v>
      </c>
      <c r="M3" s="153" t="s">
        <v>220</v>
      </c>
      <c r="N3" s="71" t="s">
        <v>126</v>
      </c>
      <c r="O3" s="72" t="s">
        <v>130</v>
      </c>
      <c r="P3" s="73" t="s">
        <v>90</v>
      </c>
      <c r="Q3" s="139" t="s">
        <v>215</v>
      </c>
      <c r="R3" s="138" t="s">
        <v>211</v>
      </c>
      <c r="S3" s="137" t="s">
        <v>127</v>
      </c>
      <c r="T3" s="151" t="s">
        <v>139</v>
      </c>
      <c r="U3" s="69" t="s">
        <v>129</v>
      </c>
      <c r="V3" s="155" t="s">
        <v>146</v>
      </c>
      <c r="W3" s="157" t="s">
        <v>222</v>
      </c>
      <c r="Y3" s="211"/>
      <c r="Z3" s="212"/>
      <c r="AA3" s="213"/>
      <c r="AB3" s="214"/>
      <c r="AD3" s="94" t="s">
        <v>124</v>
      </c>
      <c r="AE3" s="152" t="s">
        <v>218</v>
      </c>
      <c r="AF3" s="153" t="s">
        <v>220</v>
      </c>
      <c r="AG3" s="71" t="s">
        <v>126</v>
      </c>
      <c r="AH3" s="72" t="s">
        <v>130</v>
      </c>
      <c r="AI3" s="73" t="s">
        <v>90</v>
      </c>
      <c r="AJ3" s="139" t="s">
        <v>215</v>
      </c>
      <c r="AK3" s="138" t="s">
        <v>211</v>
      </c>
      <c r="AL3" s="137" t="s">
        <v>127</v>
      </c>
      <c r="AM3" s="151" t="s">
        <v>139</v>
      </c>
      <c r="AN3" s="69" t="s">
        <v>129</v>
      </c>
      <c r="AO3" s="155" t="s">
        <v>146</v>
      </c>
      <c r="AP3" s="157" t="s">
        <v>222</v>
      </c>
    </row>
    <row r="4" spans="1:51" ht="24.95" customHeight="1" x14ac:dyDescent="0.2">
      <c r="B4" s="7"/>
      <c r="E4" s="488" t="s">
        <v>381</v>
      </c>
      <c r="F4" s="488"/>
      <c r="K4" s="94" t="s">
        <v>125</v>
      </c>
      <c r="L4" s="154" t="s">
        <v>217</v>
      </c>
      <c r="M4" s="154" t="s">
        <v>221</v>
      </c>
      <c r="N4" s="70" t="s">
        <v>87</v>
      </c>
      <c r="O4" s="67" t="s">
        <v>89</v>
      </c>
      <c r="P4" s="67" t="s">
        <v>213</v>
      </c>
      <c r="Q4" s="67" t="s">
        <v>214</v>
      </c>
      <c r="R4" s="67" t="s">
        <v>212</v>
      </c>
      <c r="S4" s="67" t="s">
        <v>128</v>
      </c>
      <c r="T4" s="67" t="s">
        <v>138</v>
      </c>
      <c r="U4" s="67" t="s">
        <v>129</v>
      </c>
      <c r="V4" s="156" t="s">
        <v>145</v>
      </c>
      <c r="W4" s="98" t="s">
        <v>223</v>
      </c>
      <c r="Y4" s="218"/>
      <c r="Z4" s="215"/>
      <c r="AA4" s="216"/>
      <c r="AB4" s="217"/>
      <c r="AD4" s="94" t="s">
        <v>125</v>
      </c>
      <c r="AE4" s="154" t="s">
        <v>217</v>
      </c>
      <c r="AF4" s="154" t="s">
        <v>221</v>
      </c>
      <c r="AG4" s="70" t="s">
        <v>87</v>
      </c>
      <c r="AH4" s="67" t="s">
        <v>89</v>
      </c>
      <c r="AI4" s="67" t="s">
        <v>213</v>
      </c>
      <c r="AJ4" s="67" t="s">
        <v>214</v>
      </c>
      <c r="AK4" s="67" t="s">
        <v>212</v>
      </c>
      <c r="AL4" s="67" t="s">
        <v>128</v>
      </c>
      <c r="AM4" s="67" t="s">
        <v>138</v>
      </c>
      <c r="AN4" s="67" t="s">
        <v>129</v>
      </c>
      <c r="AO4" s="156" t="s">
        <v>145</v>
      </c>
      <c r="AP4" s="98" t="s">
        <v>223</v>
      </c>
    </row>
    <row r="5" spans="1:51" ht="6" customHeight="1" x14ac:dyDescent="0.2"/>
    <row r="6" spans="1:51" ht="17.25" customHeight="1" x14ac:dyDescent="0.2">
      <c r="F6" s="477" t="s">
        <v>132</v>
      </c>
      <c r="G6" s="478"/>
      <c r="H6" s="478"/>
      <c r="I6" s="479"/>
      <c r="J6" s="19"/>
      <c r="K6" s="19"/>
    </row>
    <row r="7" spans="1:51" ht="6" customHeight="1" thickBot="1" x14ac:dyDescent="0.25">
      <c r="J7" s="104" t="s">
        <v>93</v>
      </c>
      <c r="K7" s="104" t="s">
        <v>95</v>
      </c>
      <c r="L7" s="104" t="s">
        <v>97</v>
      </c>
      <c r="M7" s="104" t="s">
        <v>140</v>
      </c>
      <c r="N7" s="104" t="s">
        <v>109</v>
      </c>
      <c r="O7" s="104" t="s">
        <v>103</v>
      </c>
      <c r="P7" s="104" t="s">
        <v>121</v>
      </c>
      <c r="Q7" s="104" t="s">
        <v>113</v>
      </c>
      <c r="R7" s="104" t="s">
        <v>105</v>
      </c>
      <c r="S7" s="104" t="s">
        <v>107</v>
      </c>
      <c r="T7" s="104" t="s">
        <v>141</v>
      </c>
      <c r="U7" s="104" t="s">
        <v>101</v>
      </c>
      <c r="V7" s="104" t="s">
        <v>122</v>
      </c>
      <c r="W7" s="104" t="s">
        <v>116</v>
      </c>
      <c r="X7" s="104" t="s">
        <v>148</v>
      </c>
      <c r="Y7" s="104" t="s">
        <v>149</v>
      </c>
      <c r="Z7" s="104" t="s">
        <v>111</v>
      </c>
      <c r="AA7" s="104" t="s">
        <v>94</v>
      </c>
      <c r="AB7" s="104" t="s">
        <v>96</v>
      </c>
      <c r="AC7" s="104" t="s">
        <v>98</v>
      </c>
      <c r="AD7" s="104" t="s">
        <v>118</v>
      </c>
      <c r="AE7" s="104" t="s">
        <v>99</v>
      </c>
      <c r="AF7" s="104" t="s">
        <v>104</v>
      </c>
      <c r="AG7" s="104" t="s">
        <v>150</v>
      </c>
      <c r="AH7" s="104" t="s">
        <v>114</v>
      </c>
      <c r="AI7" s="104" t="s">
        <v>106</v>
      </c>
      <c r="AJ7" s="104" t="s">
        <v>108</v>
      </c>
      <c r="AK7" s="104" t="s">
        <v>142</v>
      </c>
      <c r="AL7" s="104" t="s">
        <v>102</v>
      </c>
      <c r="AM7" s="104" t="s">
        <v>143</v>
      </c>
      <c r="AN7" s="104" t="s">
        <v>123</v>
      </c>
      <c r="AO7" s="104" t="s">
        <v>117</v>
      </c>
      <c r="AP7" s="104" t="s">
        <v>151</v>
      </c>
      <c r="AQ7" s="104" t="s">
        <v>112</v>
      </c>
      <c r="AR7" s="104" t="s">
        <v>110</v>
      </c>
      <c r="AS7" s="104" t="s">
        <v>119</v>
      </c>
      <c r="AT7" s="104" t="s">
        <v>115</v>
      </c>
      <c r="AU7" s="104" t="s">
        <v>120</v>
      </c>
      <c r="AV7" s="104"/>
      <c r="AW7" s="104"/>
      <c r="AX7" s="105">
        <v>0</v>
      </c>
    </row>
    <row r="8" spans="1:51" ht="13.5" thickBot="1" x14ac:dyDescent="0.25">
      <c r="A8" s="15" t="s">
        <v>14</v>
      </c>
      <c r="B8" s="168" t="s">
        <v>2</v>
      </c>
      <c r="C8" s="169" t="s">
        <v>5</v>
      </c>
      <c r="D8" s="169" t="s">
        <v>84</v>
      </c>
      <c r="E8" s="169" t="s">
        <v>86</v>
      </c>
      <c r="F8" s="284" t="s">
        <v>87</v>
      </c>
      <c r="G8" s="284" t="s">
        <v>223</v>
      </c>
      <c r="H8" s="284" t="s">
        <v>89</v>
      </c>
      <c r="I8" s="284" t="s">
        <v>90</v>
      </c>
      <c r="J8" s="170" t="s">
        <v>93</v>
      </c>
      <c r="K8" s="170" t="s">
        <v>95</v>
      </c>
      <c r="L8" s="170" t="s">
        <v>97</v>
      </c>
      <c r="M8" s="170" t="s">
        <v>140</v>
      </c>
      <c r="N8" s="170" t="s">
        <v>109</v>
      </c>
      <c r="O8" s="170" t="s">
        <v>103</v>
      </c>
      <c r="P8" s="170" t="s">
        <v>121</v>
      </c>
      <c r="Q8" s="170" t="s">
        <v>113</v>
      </c>
      <c r="R8" s="170" t="s">
        <v>105</v>
      </c>
      <c r="S8" s="170" t="s">
        <v>107</v>
      </c>
      <c r="T8" s="170" t="s">
        <v>141</v>
      </c>
      <c r="U8" s="170" t="s">
        <v>101</v>
      </c>
      <c r="V8" s="170" t="s">
        <v>122</v>
      </c>
      <c r="W8" s="170" t="s">
        <v>116</v>
      </c>
      <c r="X8" s="170" t="s">
        <v>148</v>
      </c>
      <c r="Y8" s="170" t="s">
        <v>149</v>
      </c>
      <c r="Z8" s="338" t="s">
        <v>111</v>
      </c>
      <c r="AA8" s="338" t="s">
        <v>94</v>
      </c>
      <c r="AB8" s="170" t="s">
        <v>96</v>
      </c>
      <c r="AC8" s="339" t="s">
        <v>98</v>
      </c>
      <c r="AD8" s="339" t="s">
        <v>118</v>
      </c>
      <c r="AE8" s="170" t="s">
        <v>99</v>
      </c>
      <c r="AF8" s="170" t="s">
        <v>104</v>
      </c>
      <c r="AG8" s="170" t="s">
        <v>150</v>
      </c>
      <c r="AH8" s="170" t="s">
        <v>114</v>
      </c>
      <c r="AI8" s="170" t="s">
        <v>106</v>
      </c>
      <c r="AJ8" s="170" t="s">
        <v>108</v>
      </c>
      <c r="AK8" s="170" t="s">
        <v>142</v>
      </c>
      <c r="AL8" s="170" t="s">
        <v>102</v>
      </c>
      <c r="AM8" s="170" t="s">
        <v>143</v>
      </c>
      <c r="AN8" s="170" t="s">
        <v>123</v>
      </c>
      <c r="AO8" s="170" t="s">
        <v>117</v>
      </c>
      <c r="AP8" s="170" t="s">
        <v>151</v>
      </c>
      <c r="AQ8" s="170" t="s">
        <v>112</v>
      </c>
      <c r="AR8" s="170" t="s">
        <v>110</v>
      </c>
      <c r="AS8" s="170" t="s">
        <v>119</v>
      </c>
      <c r="AT8" s="170" t="s">
        <v>115</v>
      </c>
      <c r="AU8" s="170" t="s">
        <v>120</v>
      </c>
      <c r="AV8" s="199" t="s">
        <v>100</v>
      </c>
      <c r="AW8" s="199" t="s">
        <v>243</v>
      </c>
      <c r="AX8" s="199" t="s">
        <v>244</v>
      </c>
      <c r="AY8" s="171" t="s">
        <v>147</v>
      </c>
    </row>
    <row r="9" spans="1:51" s="44" customFormat="1" ht="12" x14ac:dyDescent="0.2">
      <c r="A9" s="39" t="str">
        <f>IF(B9="","",INDEX(TeamList[],MATCH($B9,TeamList[[Employee Name]:[Employee Name]],0),MATCH("Manager",TeamList[#Headers],0)))</f>
        <v>Olson, Katherine</v>
      </c>
      <c r="B9" s="201" t="s">
        <v>24</v>
      </c>
      <c r="C9" s="257" t="str">
        <f>_xlfn.IFNA(VLOOKUP(Mon_W1[[#This Row],[Employee Name]],'Base Schedules'!A:B,2,FALSE),"")</f>
        <v>Lead</v>
      </c>
      <c r="D9" s="274">
        <f>_xlfn.IFNA(VLOOKUP(Mon_W1[[#This Row],[Employee Name]],'Base Schedules'!A:C,3,FALSE),"")</f>
        <v>500</v>
      </c>
      <c r="E9" s="274">
        <f>_xlfn.IFNA(VLOOKUP(Mon_W1[[#This Row],[Employee Name]],'Base Schedules'!A:D,4,FALSE),"")</f>
        <v>1330</v>
      </c>
      <c r="F9" s="142">
        <f>IF(Mon_W1[[#This Row],[Employee Name]]="","",IF(Mon_W1[[#This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f>
        <v>9</v>
      </c>
      <c r="G9" s="142">
        <f t="shared" ref="G9:G54" si="0">IF(B9="","",COUNTIFS($J9:$AX9,"Coaching",$J9:$AX9,"&lt;&gt;"&amp;"pTM",$J9:$AX9,"&lt;&gt;"&amp;"uTM"))</f>
        <v>0</v>
      </c>
      <c r="H9" s="142">
        <f t="shared" ref="H9:H54" si="1">IF(B9="","",COUNTIFS($J9:$AX9,"*ADM*",$J9:$AX9,"&lt;&gt;"&amp;"pADM",$J9:$AX9,"&lt;&gt;"&amp;"uADM"))</f>
        <v>4</v>
      </c>
      <c r="I9" s="142">
        <f>IF(Mon_W1[[#This Row],[Employee Name]]="","",IF(Mon_W1[[#This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f>
        <v>2</v>
      </c>
      <c r="J9" s="184" t="str">
        <f>IFERROR(IF(VLOOKUP(Mon_W1[[#This Row],[Employee Name]],'Base Schedules'!$A$113:$AW$158,9,FALSE)="","",VLOOKUP(Mon_W1[[#This Row],[Employee Name]],'Base Schedules'!$A$113:$AW$158,9,FALSE)),"")</f>
        <v>HL</v>
      </c>
      <c r="K9" s="184" t="str">
        <f>IFERROR(IF(VLOOKUP(Mon_W1[[#This Row],[Employee Name]],'Base Schedules'!$A$113:$AW$158,10,FALSE)="","",VLOOKUP(Mon_W1[[#This Row],[Employee Name]],'Base Schedules'!$A$113:$AW$158,10,FALSE)),"")</f>
        <v>HL</v>
      </c>
      <c r="L9" s="184" t="str">
        <f>IFERROR(IF(VLOOKUP(Mon_W1[[#This Row],[Employee Name]],'Base Schedules'!$A$113:$AW$158,11,FALSE)="","",VLOOKUP(Mon_W1[[#This Row],[Employee Name]],'Base Schedules'!$A$113:$AW$158,11,FALSE)),"")</f>
        <v>HL</v>
      </c>
      <c r="M9" s="184" t="str">
        <f>IFERROR(IF(VLOOKUP(Mon_W1[[#This Row],[Employee Name]],'Base Schedules'!$A$113:$AW$158,12,FALSE)="","",VLOOKUP(Mon_W1[[#This Row],[Employee Name]],'Base Schedules'!$A$113:$AW$158,12,FALSE)),"")</f>
        <v>HL</v>
      </c>
      <c r="N9" s="184" t="str">
        <f>IFERROR(IF(VLOOKUP(Mon_W1[[#This Row],[Employee Name]],'Base Schedules'!$A$113:$AW$158,13,FALSE)="","",VLOOKUP(Mon_W1[[#This Row],[Employee Name]],'Base Schedules'!$A$113:$AW$158,13,FALSE)),"")</f>
        <v>HL B1</v>
      </c>
      <c r="O9" s="184" t="str">
        <f>IFERROR(IF(VLOOKUP(Mon_W1[[#This Row],[Employee Name]],'Base Schedules'!$A$113:$AW$158,14,FALSE)="","",VLOOKUP(Mon_W1[[#This Row],[Employee Name]],'Base Schedules'!$A$113:$AW$158,14,FALSE)),"")</f>
        <v>ADM</v>
      </c>
      <c r="P9" s="184" t="str">
        <f>IFERROR(IF(VLOOKUP(Mon_W1[[#This Row],[Employee Name]],'Base Schedules'!$A$113:$AW$158,15,FALSE)="","",VLOOKUP(Mon_W1[[#This Row],[Employee Name]],'Base Schedules'!$A$113:$AW$158,15,FALSE)),"")</f>
        <v>RNNR</v>
      </c>
      <c r="Q9" s="184" t="str">
        <f>IFERROR(IF(VLOOKUP(Mon_W1[[#This Row],[Employee Name]],'Base Schedules'!$A$113:$AW$158,16,FALSE)="","",VLOOKUP(Mon_W1[[#This Row],[Employee Name]],'Base Schedules'!$A$113:$AW$158,16,FALSE)),"")</f>
        <v>RNNR</v>
      </c>
      <c r="R9" s="184" t="str">
        <f>IFERROR(IF(VLOOKUP(Mon_W1[[#This Row],[Employee Name]],'Base Schedules'!$A$113:$AW$158,17,FALSE)="","",VLOOKUP(Mon_W1[[#This Row],[Employee Name]],'Base Schedules'!$A$113:$AW$158,17,FALSE)),"")</f>
        <v>LUNCH</v>
      </c>
      <c r="S9" s="184" t="str">
        <f>IFERROR(IF(VLOOKUP(Mon_W1[[#This Row],[Employee Name]],'Base Schedules'!$A$113:$AW$158,18,FALSE)="","",VLOOKUP(Mon_W1[[#This Row],[Employee Name]],'Base Schedules'!$A$113:$AW$158,18,FALSE)),"")</f>
        <v>ADM</v>
      </c>
      <c r="T9" s="184" t="str">
        <f>IFERROR(IF(VLOOKUP(Mon_W1[[#This Row],[Employee Name]],'Base Schedules'!$A$113:$AW$158,19,FALSE)="","",VLOOKUP(Mon_W1[[#This Row],[Employee Name]],'Base Schedules'!$A$113:$AW$158,19,FALSE)),"")</f>
        <v>ADM</v>
      </c>
      <c r="U9" s="184" t="str">
        <f>IFERROR(IF(VLOOKUP(Mon_W1[[#This Row],[Employee Name]],'Base Schedules'!$A$113:$AW$158,20,FALSE)="","",VLOOKUP(Mon_W1[[#This Row],[Employee Name]],'Base Schedules'!$A$113:$AW$158,20,FALSE)),"")</f>
        <v>ADM</v>
      </c>
      <c r="V9" s="184" t="str">
        <f>IFERROR(IF(VLOOKUP(Mon_W1[[#This Row],[Employee Name]],'Base Schedules'!$A$113:$AW$158,21,FALSE)="","",VLOOKUP(Mon_W1[[#This Row],[Employee Name]],'Base Schedules'!$A$113:$AW$158,21,FALSE)),"")</f>
        <v>B2 HL</v>
      </c>
      <c r="W9" s="184" t="str">
        <f>IFERROR(IF(VLOOKUP(Mon_W1[[#This Row],[Employee Name]],'Base Schedules'!$A$113:$AW$158,22,FALSE)="","",VLOOKUP(Mon_W1[[#This Row],[Employee Name]],'Base Schedules'!$A$113:$AW$158,22,FALSE)),"")</f>
        <v>HL</v>
      </c>
      <c r="X9" s="184" t="str">
        <f>IFERROR(IF(VLOOKUP(Mon_W1[[#This Row],[Employee Name]],'Base Schedules'!$A$113:$AW$158,23,FALSE)="","",VLOOKUP(Mon_W1[[#This Row],[Employee Name]],'Base Schedules'!$A$113:$AW$158,23,FALSE)),"")</f>
        <v>HL</v>
      </c>
      <c r="Y9" s="184" t="str">
        <f>IFERROR(IF(VLOOKUP(Mon_W1[[#This Row],[Employee Name]],'Base Schedules'!$A$113:$AW$158,24,FALSE)="","",VLOOKUP(Mon_W1[[#This Row],[Employee Name]],'Base Schedules'!$A$113:$AW$158,24,FALSE)),"")</f>
        <v>HL</v>
      </c>
      <c r="Z9" s="184" t="str">
        <f>IFERROR(IF(VLOOKUP(Mon_W1[[#This Row],[Employee Name]],'Base Schedules'!$A$113:$AW$158,25,FALSE)="","",VLOOKUP(Mon_W1[[#This Row],[Employee Name]],'Base Schedules'!$A$113:$AW$158,25,FALSE)),"")</f>
        <v>HL</v>
      </c>
      <c r="AA9" s="184" t="str">
        <f>IFERROR(IF(VLOOKUP(Mon_W1[[#This Row],[Employee Name]],'Base Schedules'!$A$113:$AW$158,26,FALSE)="","",VLOOKUP(Mon_W1[[#This Row],[Employee Name]],'Base Schedules'!$A$113:$AW$158,26,FALSE)),"")</f>
        <v/>
      </c>
      <c r="AB9" s="184" t="str">
        <f>IFERROR(IF(VLOOKUP(Mon_W1[[#This Row],[Employee Name]],'Base Schedules'!$A$113:$AW$158,27,FALSE)="","",VLOOKUP(Mon_W1[[#This Row],[Employee Name]],'Base Schedules'!$A$113:$AW$158,27,FALSE)),"")</f>
        <v/>
      </c>
      <c r="AC9" s="184" t="str">
        <f>IFERROR(IF(VLOOKUP(Mon_W1[[#This Row],[Employee Name]],'Base Schedules'!$A$113:$AW$158,28,FALSE)="","",VLOOKUP(Mon_W1[[#This Row],[Employee Name]],'Base Schedules'!$A$113:$AW$158,28,FALSE)),"")</f>
        <v/>
      </c>
      <c r="AD9" s="184" t="str">
        <f>IFERROR(IF(VLOOKUP(Mon_W1[[#This Row],[Employee Name]],'Base Schedules'!$A$113:$AW$158,29,FALSE)="","",VLOOKUP(Mon_W1[[#This Row],[Employee Name]],'Base Schedules'!$A$113:$AW$158,29,FALSE)),"")</f>
        <v/>
      </c>
      <c r="AE9" s="184" t="str">
        <f>IFERROR(IF(VLOOKUP(Mon_W1[[#This Row],[Employee Name]],'Base Schedules'!$A$113:$AW$158,30,FALSE)="","",VLOOKUP(Mon_W1[[#This Row],[Employee Name]],'Base Schedules'!$A$113:$AW$158,30,FALSE)),"")</f>
        <v/>
      </c>
      <c r="AF9" s="184" t="str">
        <f>IFERROR(IF(VLOOKUP(Mon_W1[[#This Row],[Employee Name]],'Base Schedules'!$A$113:$AW$158,31,FALSE)="","",VLOOKUP(Mon_W1[[#This Row],[Employee Name]],'Base Schedules'!$A$113:$AW$158,31,FALSE)),"")</f>
        <v/>
      </c>
      <c r="AG9" s="184" t="str">
        <f>IFERROR(IF(VLOOKUP(Mon_W1[[#This Row],[Employee Name]],'Base Schedules'!$A$113:$AW$158,32,FALSE)="","",VLOOKUP(Mon_W1[[#This Row],[Employee Name]],'Base Schedules'!$A$113:$AW$158,32,FALSE)),"")</f>
        <v/>
      </c>
      <c r="AH9" s="184" t="str">
        <f>IFERROR(IF(VLOOKUP(Mon_W1[[#This Row],[Employee Name]],'Base Schedules'!$A$113:$AW$158,33,FALSE)="","",VLOOKUP(Mon_W1[[#This Row],[Employee Name]],'Base Schedules'!$A$113:$AW$158,33,FALSE)),"")</f>
        <v/>
      </c>
      <c r="AI9" s="184" t="str">
        <f>IFERROR(IF(VLOOKUP(Mon_W1[[#This Row],[Employee Name]],'Base Schedules'!$A$113:$AW$158,34,FALSE)="","",VLOOKUP(Mon_W1[[#This Row],[Employee Name]],'Base Schedules'!$A$113:$AW$158,34,FALSE)),"")</f>
        <v/>
      </c>
      <c r="AJ9" s="184" t="str">
        <f>IFERROR(IF(VLOOKUP(Mon_W1[[#This Row],[Employee Name]],'Base Schedules'!$A$113:$AW$158,35,FALSE)="","",VLOOKUP(Mon_W1[[#This Row],[Employee Name]],'Base Schedules'!$A$113:$AW$158,35,FALSE)),"")</f>
        <v/>
      </c>
      <c r="AK9" s="184" t="str">
        <f>IFERROR(IF(VLOOKUP(Mon_W1[[#This Row],[Employee Name]],'Base Schedules'!$A$113:$AW$158,36,FALSE)="","",VLOOKUP(Mon_W1[[#This Row],[Employee Name]],'Base Schedules'!$A$113:$AW$158,36,FALSE)),"")</f>
        <v/>
      </c>
      <c r="AL9" s="184" t="str">
        <f>IFERROR(IF(VLOOKUP(Mon_W1[[#This Row],[Employee Name]],'Base Schedules'!$A$113:$AW$158,37,FALSE)="","",VLOOKUP(Mon_W1[[#This Row],[Employee Name]],'Base Schedules'!$A$113:$AW$158,37,FALSE)),"")</f>
        <v/>
      </c>
      <c r="AM9" s="184" t="str">
        <f>IFERROR(IF(VLOOKUP(Mon_W1[[#This Row],[Employee Name]],'Base Schedules'!$A$113:$AW$158,38,FALSE)="","",VLOOKUP(Mon_W1[[#This Row],[Employee Name]],'Base Schedules'!$A$113:$AW$158,38,FALSE)),"")</f>
        <v/>
      </c>
      <c r="AN9" s="184" t="str">
        <f>IFERROR(IF(VLOOKUP(Mon_W1[[#This Row],[Employee Name]],'Base Schedules'!$A$113:$AW$158,39,FALSE)="","",VLOOKUP(Mon_W1[[#This Row],[Employee Name]],'Base Schedules'!$A$113:$AW$158,39,FALSE)),"")</f>
        <v/>
      </c>
      <c r="AO9" s="184" t="str">
        <f>IFERROR(IF(VLOOKUP(Mon_W1[[#This Row],[Employee Name]],'Base Schedules'!$A$113:$AW$158,40,FALSE)="","",VLOOKUP(Mon_W1[[#This Row],[Employee Name]],'Base Schedules'!$A$113:$AW$158,40,FALSE)),"")</f>
        <v/>
      </c>
      <c r="AP9" s="184" t="str">
        <f>IFERROR(IF(VLOOKUP(Mon_W1[[#This Row],[Employee Name]],'Base Schedules'!$A$113:$AW$158,41,FALSE)="","",VLOOKUP(Mon_W1[[#This Row],[Employee Name]],'Base Schedules'!$A$113:$AW$158,41,FALSE)),"")</f>
        <v/>
      </c>
      <c r="AQ9" s="184" t="str">
        <f>IFERROR(IF(VLOOKUP(Mon_W1[[#This Row],[Employee Name]],'Base Schedules'!$A$113:$AW$158,42,FALSE)="","",VLOOKUP(Mon_W1[[#This Row],[Employee Name]],'Base Schedules'!$A$113:$AW$158,42,FALSE)),"")</f>
        <v/>
      </c>
      <c r="AR9" s="184" t="str">
        <f>IFERROR(IF(VLOOKUP(Mon_W1[[#This Row],[Employee Name]],'Base Schedules'!$A$113:$AW$158,43,FALSE)="","",VLOOKUP(Mon_W1[[#This Row],[Employee Name]],'Base Schedules'!$A$113:$AW$158,43,FALSE)),"")</f>
        <v/>
      </c>
      <c r="AS9" s="184" t="str">
        <f>IFERROR(IF(VLOOKUP(Mon_W1[[#This Row],[Employee Name]],'Base Schedules'!$A$113:$AW$158,44,FALSE)="","",VLOOKUP(Mon_W1[[#This Row],[Employee Name]],'Base Schedules'!$A$113:$AW$158,44,FALSE)),"")</f>
        <v/>
      </c>
      <c r="AT9" s="184" t="str">
        <f>IFERROR(IF(VLOOKUP(Mon_W1[[#This Row],[Employee Name]],'Base Schedules'!$A$113:$AW$158,45,FALSE)="","",VLOOKUP(Mon_W1[[#This Row],[Employee Name]],'Base Schedules'!$A$113:$AW$158,45,FALSE)),"")</f>
        <v/>
      </c>
      <c r="AU9" s="184" t="str">
        <f>IFERROR(IF(VLOOKUP(Mon_W1[[#This Row],[Employee Name]],'Base Schedules'!$A$113:$AW$158,46,FALSE)="","",VLOOKUP(Mon_W1[[#This Row],[Employee Name]],'Base Schedules'!$A$113:$AW$158,46,FALSE)),"")</f>
        <v/>
      </c>
      <c r="AV9" s="184" t="str">
        <f>IFERROR(IF(VLOOKUP(Mon_W1[[#This Row],[Employee Name]],'Base Schedules'!$A$113:$AW$158,47,FALSE)="","",VLOOKUP(Mon_W1[[#This Row],[Employee Name]],'Base Schedules'!$A$113:$AW$158,47,FALSE)),"")</f>
        <v/>
      </c>
      <c r="AW9" s="184" t="str">
        <f>IFERROR(IF(VLOOKUP(Mon_W1[[#This Row],[Employee Name]],'Base Schedules'!$A$113:$AW$158,48,FALSE)="","",VLOOKUP(Mon_W1[[#This Row],[Employee Name]],'Base Schedules'!$A$113:$AW$158,48,FALSE)),"")</f>
        <v/>
      </c>
      <c r="AX9" s="184" t="str">
        <f>IFERROR(IF(VLOOKUP(Mon_W1[[#This Row],[Employee Name]],'Base Schedules'!$A$113:$AW$158,49,FALSE)="","",VLOOKUP(Mon_W1[[#This Row],[Employee Name]],'Base Schedules'!$A$113:$AW$158,49,FALSE)),"")</f>
        <v/>
      </c>
      <c r="AY9" s="291" t="str">
        <f t="shared" ref="AY9:AY54" si="2">IF(B9="","",B9)</f>
        <v>Birrueta Arellano, Neftali</v>
      </c>
    </row>
    <row r="10" spans="1:51" s="44" customFormat="1" ht="12" x14ac:dyDescent="0.2">
      <c r="A10" s="39" t="str">
        <f>IF(B10="","",INDEX(TeamList[],MATCH($B10,TeamList[[Employee Name]:[Employee Name]],0),MATCH("Manager",TeamList[#Headers],0)))</f>
        <v>Olson, Katherine</v>
      </c>
      <c r="B10" s="330" t="s">
        <v>32</v>
      </c>
      <c r="C10" s="257" t="str">
        <f>_xlfn.IFNA(VLOOKUP(Mon_W1[[#This Row],[Employee Name]],'Base Schedules'!A:B,2,FALSE),"")</f>
        <v>Supervisor</v>
      </c>
      <c r="D10" s="274">
        <f>_xlfn.IFNA(VLOOKUP(Mon_W1[[#This Row],[Employee Name]],'Base Schedules'!A:C,3,FALSE),"")</f>
        <v>500</v>
      </c>
      <c r="E10" s="274">
        <f>_xlfn.IFNA(VLOOKUP(Mon_W1[[#This Row],[Employee Name]],'Base Schedules'!A:D,4,FALSE),"")</f>
        <v>1400</v>
      </c>
      <c r="F10" s="142">
        <f>IF(Mon_W1[[#This Row],[Employee Name]]="","",IF(Mon_W1[[#This Row],[Dept]]="Supervisor",COUNTIFS($J10:$AX10,"*HL*",$J10:$AX10,"&lt;&gt;"&amp;"pHL"),COUNTIFS($J10:$AX10,"*HL*",$J10:$AX10,"&lt;&gt;"&amp;"*pHL*",$J10:$AX10,"&lt;&gt;"&amp;"pB1 HL",$J10:$AX10,"&lt;&gt;"&amp;"pB2 HL")-SUM(COUNTIFS($J10:$AX10,"*HL B1*",$J10:$AX10,"&lt;&gt;"&amp;"pHL B1")*0.5,COUNTIFS($J10:$AX10,"*HL B2*",$J10:$AX10,"&lt;&gt;"&amp;"pHL B2")*0.5,COUNTIFS($J10:$AX10,"*B1 HL*",$J10:$AX10,"&lt;&gt;"&amp;"pB1 HL")*0.5,COUNTIFS($J10:$AX10,"*B2 HL*",$J10:$AX10,"&lt;&gt;"&amp;"pB2 HL")*0.5)))</f>
        <v>0</v>
      </c>
      <c r="G10" s="142">
        <f t="shared" si="0"/>
        <v>0</v>
      </c>
      <c r="H10" s="142">
        <f t="shared" si="1"/>
        <v>0</v>
      </c>
      <c r="I10" s="142">
        <f>IF(Mon_W1[[#This Row],[Employee Name]]="","",IF(Mon_W1[[#This Row],[Dept]]="Supervisor",SUM(COUNTIFS($J10:$AX10,"RTA*",$J10:$AX10,"&lt;&gt;"&amp;"pRTA"),COUNTIFS($J10:$AX10,"*CRTA*",$J10:$AX10,"&lt;&gt;"&amp;"pCRTA")),COUNTIFS($J10:$AX10,"*RNNR*",$J10:$AX10,"&lt;&gt;"&amp;"*pRNNR*",$J10:$AX10,"&lt;&gt;"&amp;"pB1 RNNR",$J10:$AX10,"&lt;&gt;"&amp;"pB2 RNNR")-SUM(COUNTIFS($J10:$AX10,"*RNNR B1*",$J10:$AX10,"&lt;&gt;"&amp;"pRNNR B1")*0.5,COUNTIFS($J10:$AX10,"*RNNR B2*",$J10:$AX10,"&lt;&gt;"&amp;"pRNNR B2")*0.5,COUNTIFS($J10:$AX10,"*B1 RNNR*",$J10:$AX10,"&lt;&gt;"&amp;"pB1 RNNR")*0.5,COUNTIFS($J10:$AX10,"*B2 RNNR*",$J10:$AX10,"&lt;&gt;"&amp;"pB2 RNNR")*0.5)))</f>
        <v>0</v>
      </c>
      <c r="J10" s="184" t="str">
        <f>IFERROR(IF(VLOOKUP(Mon_W1[[#This Row],[Employee Name]],'Base Schedules'!$A$113:$AW$158,9,FALSE)="","",VLOOKUP(Mon_W1[[#This Row],[Employee Name]],'Base Schedules'!$A$113:$AW$158,9,FALSE)),"")</f>
        <v>-</v>
      </c>
      <c r="K10" s="184" t="str">
        <f>IFERROR(IF(VLOOKUP(Mon_W1[[#This Row],[Employee Name]],'Base Schedules'!$A$113:$AW$158,10,FALSE)="","",VLOOKUP(Mon_W1[[#This Row],[Employee Name]],'Base Schedules'!$A$113:$AW$158,10,FALSE)),"")</f>
        <v>-</v>
      </c>
      <c r="L10" s="184" t="str">
        <f>IFERROR(IF(VLOOKUP(Mon_W1[[#This Row],[Employee Name]],'Base Schedules'!$A$113:$AW$158,11,FALSE)="","",VLOOKUP(Mon_W1[[#This Row],[Employee Name]],'Base Schedules'!$A$113:$AW$158,11,FALSE)),"")</f>
        <v>-</v>
      </c>
      <c r="M10" s="184" t="str">
        <f>IFERROR(IF(VLOOKUP(Mon_W1[[#This Row],[Employee Name]],'Base Schedules'!$A$113:$AW$158,12,FALSE)="","",VLOOKUP(Mon_W1[[#This Row],[Employee Name]],'Base Schedules'!$A$113:$AW$158,12,FALSE)),"")</f>
        <v>-</v>
      </c>
      <c r="N10" s="184" t="str">
        <f>IFERROR(IF(VLOOKUP(Mon_W1[[#This Row],[Employee Name]],'Base Schedules'!$A$113:$AW$158,13,FALSE)="","",VLOOKUP(Mon_W1[[#This Row],[Employee Name]],'Base Schedules'!$A$113:$AW$158,13,FALSE)),"")</f>
        <v>-</v>
      </c>
      <c r="O10" s="184" t="str">
        <f>IFERROR(IF(VLOOKUP(Mon_W1[[#This Row],[Employee Name]],'Base Schedules'!$A$113:$AW$158,14,FALSE)="","",VLOOKUP(Mon_W1[[#This Row],[Employee Name]],'Base Schedules'!$A$113:$AW$158,14,FALSE)),"")</f>
        <v>-</v>
      </c>
      <c r="P10" s="184" t="str">
        <f>IFERROR(IF(VLOOKUP(Mon_W1[[#This Row],[Employee Name]],'Base Schedules'!$A$113:$AW$158,15,FALSE)="","",VLOOKUP(Mon_W1[[#This Row],[Employee Name]],'Base Schedules'!$A$113:$AW$158,15,FALSE)),"")</f>
        <v>Interview</v>
      </c>
      <c r="Q10" s="184" t="str">
        <f>IFERROR(IF(VLOOKUP(Mon_W1[[#This Row],[Employee Name]],'Base Schedules'!$A$113:$AW$158,16,FALSE)="","",VLOOKUP(Mon_W1[[#This Row],[Employee Name]],'Base Schedules'!$A$113:$AW$158,16,FALSE)),"")</f>
        <v>Interview</v>
      </c>
      <c r="R10" s="184" t="str">
        <f>IFERROR(IF(VLOOKUP(Mon_W1[[#This Row],[Employee Name]],'Base Schedules'!$A$113:$AW$158,17,FALSE)="","",VLOOKUP(Mon_W1[[#This Row],[Employee Name]],'Base Schedules'!$A$113:$AW$158,17,FALSE)),"")</f>
        <v>-</v>
      </c>
      <c r="S10" s="184" t="str">
        <f>IFERROR(IF(VLOOKUP(Mon_W1[[#This Row],[Employee Name]],'Base Schedules'!$A$113:$AW$158,18,FALSE)="","",VLOOKUP(Mon_W1[[#This Row],[Employee Name]],'Base Schedules'!$A$113:$AW$158,18,FALSE)),"")</f>
        <v>-</v>
      </c>
      <c r="T10" s="184" t="str">
        <f>IFERROR(IF(VLOOKUP(Mon_W1[[#This Row],[Employee Name]],'Base Schedules'!$A$113:$AW$158,19,FALSE)="","",VLOOKUP(Mon_W1[[#This Row],[Employee Name]],'Base Schedules'!$A$113:$AW$158,19,FALSE)),"")</f>
        <v>-</v>
      </c>
      <c r="U10" s="184" t="str">
        <f>IFERROR(IF(VLOOKUP(Mon_W1[[#This Row],[Employee Name]],'Base Schedules'!$A$113:$AW$158,20,FALSE)="","",VLOOKUP(Mon_W1[[#This Row],[Employee Name]],'Base Schedules'!$A$113:$AW$158,20,FALSE)),"")</f>
        <v>-</v>
      </c>
      <c r="V10" s="184" t="str">
        <f>IFERROR(IF(VLOOKUP(Mon_W1[[#This Row],[Employee Name]],'Base Schedules'!$A$113:$AW$158,21,FALSE)="","",VLOOKUP(Mon_W1[[#This Row],[Employee Name]],'Base Schedules'!$A$113:$AW$158,21,FALSE)),"")</f>
        <v>-</v>
      </c>
      <c r="W10" s="184" t="str">
        <f>IFERROR(IF(VLOOKUP(Mon_W1[[#This Row],[Employee Name]],'Base Schedules'!$A$113:$AW$158,22,FALSE)="","",VLOOKUP(Mon_W1[[#This Row],[Employee Name]],'Base Schedules'!$A$113:$AW$158,22,FALSE)),"")</f>
        <v>-</v>
      </c>
      <c r="X10" s="184" t="str">
        <f>IFERROR(IF(VLOOKUP(Mon_W1[[#This Row],[Employee Name]],'Base Schedules'!$A$113:$AW$158,23,FALSE)="","",VLOOKUP(Mon_W1[[#This Row],[Employee Name]],'Base Schedules'!$A$113:$AW$158,23,FALSE)),"")</f>
        <v>-</v>
      </c>
      <c r="Y10" s="184" t="str">
        <f>IFERROR(IF(VLOOKUP(Mon_W1[[#This Row],[Employee Name]],'Base Schedules'!$A$113:$AW$158,24,FALSE)="","",VLOOKUP(Mon_W1[[#This Row],[Employee Name]],'Base Schedules'!$A$113:$AW$158,24,FALSE)),"")</f>
        <v>-</v>
      </c>
      <c r="Z10" s="184" t="str">
        <f>IFERROR(IF(VLOOKUP(Mon_W1[[#This Row],[Employee Name]],'Base Schedules'!$A$113:$AW$158,25,FALSE)="","",VLOOKUP(Mon_W1[[#This Row],[Employee Name]],'Base Schedules'!$A$113:$AW$158,25,FALSE)),"")</f>
        <v>-</v>
      </c>
      <c r="AA10" s="184" t="str">
        <f>IFERROR(IF(VLOOKUP(Mon_W1[[#This Row],[Employee Name]],'Base Schedules'!$A$113:$AW$158,26,FALSE)="","",VLOOKUP(Mon_W1[[#This Row],[Employee Name]],'Base Schedules'!$A$113:$AW$158,26,FALSE)),"")</f>
        <v>-</v>
      </c>
      <c r="AB10" s="184" t="str">
        <f>IFERROR(IF(VLOOKUP(Mon_W1[[#This Row],[Employee Name]],'Base Schedules'!$A$113:$AW$158,27,FALSE)="","",VLOOKUP(Mon_W1[[#This Row],[Employee Name]],'Base Schedules'!$A$113:$AW$158,27,FALSE)),"")</f>
        <v/>
      </c>
      <c r="AC10" s="184" t="str">
        <f>IFERROR(IF(VLOOKUP(Mon_W1[[#This Row],[Employee Name]],'Base Schedules'!$A$113:$AW$158,28,FALSE)="","",VLOOKUP(Mon_W1[[#This Row],[Employee Name]],'Base Schedules'!$A$113:$AW$158,28,FALSE)),"")</f>
        <v/>
      </c>
      <c r="AD10" s="184" t="str">
        <f>IFERROR(IF(VLOOKUP(Mon_W1[[#This Row],[Employee Name]],'Base Schedules'!$A$113:$AW$158,29,FALSE)="","",VLOOKUP(Mon_W1[[#This Row],[Employee Name]],'Base Schedules'!$A$113:$AW$158,29,FALSE)),"")</f>
        <v/>
      </c>
      <c r="AE10" s="184" t="str">
        <f>IFERROR(IF(VLOOKUP(Mon_W1[[#This Row],[Employee Name]],'Base Schedules'!$A$113:$AW$158,30,FALSE)="","",VLOOKUP(Mon_W1[[#This Row],[Employee Name]],'Base Schedules'!$A$113:$AW$158,30,FALSE)),"")</f>
        <v/>
      </c>
      <c r="AF10" s="184" t="str">
        <f>IFERROR(IF(VLOOKUP(Mon_W1[[#This Row],[Employee Name]],'Base Schedules'!$A$113:$AW$158,31,FALSE)="","",VLOOKUP(Mon_W1[[#This Row],[Employee Name]],'Base Schedules'!$A$113:$AW$158,31,FALSE)),"")</f>
        <v/>
      </c>
      <c r="AG10" s="184" t="str">
        <f>IFERROR(IF(VLOOKUP(Mon_W1[[#This Row],[Employee Name]],'Base Schedules'!$A$113:$AW$158,32,FALSE)="","",VLOOKUP(Mon_W1[[#This Row],[Employee Name]],'Base Schedules'!$A$113:$AW$158,32,FALSE)),"")</f>
        <v/>
      </c>
      <c r="AH10" s="184" t="str">
        <f>IFERROR(IF(VLOOKUP(Mon_W1[[#This Row],[Employee Name]],'Base Schedules'!$A$113:$AW$158,33,FALSE)="","",VLOOKUP(Mon_W1[[#This Row],[Employee Name]],'Base Schedules'!$A$113:$AW$158,33,FALSE)),"")</f>
        <v/>
      </c>
      <c r="AI10" s="184" t="str">
        <f>IFERROR(IF(VLOOKUP(Mon_W1[[#This Row],[Employee Name]],'Base Schedules'!$A$113:$AW$158,34,FALSE)="","",VLOOKUP(Mon_W1[[#This Row],[Employee Name]],'Base Schedules'!$A$113:$AW$158,34,FALSE)),"")</f>
        <v/>
      </c>
      <c r="AJ10" s="184" t="str">
        <f>IFERROR(IF(VLOOKUP(Mon_W1[[#This Row],[Employee Name]],'Base Schedules'!$A$113:$AW$158,35,FALSE)="","",VLOOKUP(Mon_W1[[#This Row],[Employee Name]],'Base Schedules'!$A$113:$AW$158,35,FALSE)),"")</f>
        <v/>
      </c>
      <c r="AK10" s="184" t="str">
        <f>IFERROR(IF(VLOOKUP(Mon_W1[[#This Row],[Employee Name]],'Base Schedules'!$A$113:$AW$158,36,FALSE)="","",VLOOKUP(Mon_W1[[#This Row],[Employee Name]],'Base Schedules'!$A$113:$AW$158,36,FALSE)),"")</f>
        <v/>
      </c>
      <c r="AL10" s="184" t="str">
        <f>IFERROR(IF(VLOOKUP(Mon_W1[[#This Row],[Employee Name]],'Base Schedules'!$A$113:$AW$158,37,FALSE)="","",VLOOKUP(Mon_W1[[#This Row],[Employee Name]],'Base Schedules'!$A$113:$AW$158,37,FALSE)),"")</f>
        <v/>
      </c>
      <c r="AM10" s="184" t="str">
        <f>IFERROR(IF(VLOOKUP(Mon_W1[[#This Row],[Employee Name]],'Base Schedules'!$A$113:$AW$158,38,FALSE)="","",VLOOKUP(Mon_W1[[#This Row],[Employee Name]],'Base Schedules'!$A$113:$AW$158,38,FALSE)),"")</f>
        <v/>
      </c>
      <c r="AN10" s="184" t="str">
        <f>IFERROR(IF(VLOOKUP(Mon_W1[[#This Row],[Employee Name]],'Base Schedules'!$A$113:$AW$158,39,FALSE)="","",VLOOKUP(Mon_W1[[#This Row],[Employee Name]],'Base Schedules'!$A$113:$AW$158,39,FALSE)),"")</f>
        <v/>
      </c>
      <c r="AO10" s="184" t="str">
        <f>IFERROR(IF(VLOOKUP(Mon_W1[[#This Row],[Employee Name]],'Base Schedules'!$A$113:$AW$158,40,FALSE)="","",VLOOKUP(Mon_W1[[#This Row],[Employee Name]],'Base Schedules'!$A$113:$AW$158,40,FALSE)),"")</f>
        <v/>
      </c>
      <c r="AP10" s="184" t="str">
        <f>IFERROR(IF(VLOOKUP(Mon_W1[[#This Row],[Employee Name]],'Base Schedules'!$A$113:$AW$158,41,FALSE)="","",VLOOKUP(Mon_W1[[#This Row],[Employee Name]],'Base Schedules'!$A$113:$AW$158,41,FALSE)),"")</f>
        <v/>
      </c>
      <c r="AQ10" s="184" t="str">
        <f>IFERROR(IF(VLOOKUP(Mon_W1[[#This Row],[Employee Name]],'Base Schedules'!$A$113:$AW$158,42,FALSE)="","",VLOOKUP(Mon_W1[[#This Row],[Employee Name]],'Base Schedules'!$A$113:$AW$158,42,FALSE)),"")</f>
        <v/>
      </c>
      <c r="AR10" s="184" t="str">
        <f>IFERROR(IF(VLOOKUP(Mon_W1[[#This Row],[Employee Name]],'Base Schedules'!$A$113:$AW$158,43,FALSE)="","",VLOOKUP(Mon_W1[[#This Row],[Employee Name]],'Base Schedules'!$A$113:$AW$158,43,FALSE)),"")</f>
        <v/>
      </c>
      <c r="AS10" s="184" t="str">
        <f>IFERROR(IF(VLOOKUP(Mon_W1[[#This Row],[Employee Name]],'Base Schedules'!$A$113:$AW$158,44,FALSE)="","",VLOOKUP(Mon_W1[[#This Row],[Employee Name]],'Base Schedules'!$A$113:$AW$158,44,FALSE)),"")</f>
        <v/>
      </c>
      <c r="AT10" s="184" t="str">
        <f>IFERROR(IF(VLOOKUP(Mon_W1[[#This Row],[Employee Name]],'Base Schedules'!$A$113:$AW$158,45,FALSE)="","",VLOOKUP(Mon_W1[[#This Row],[Employee Name]],'Base Schedules'!$A$113:$AW$158,45,FALSE)),"")</f>
        <v/>
      </c>
      <c r="AU10" s="184" t="str">
        <f>IFERROR(IF(VLOOKUP(Mon_W1[[#This Row],[Employee Name]],'Base Schedules'!$A$113:$AW$158,46,FALSE)="","",VLOOKUP(Mon_W1[[#This Row],[Employee Name]],'Base Schedules'!$A$113:$AW$158,46,FALSE)),"")</f>
        <v/>
      </c>
      <c r="AV10" s="184" t="str">
        <f>IFERROR(IF(VLOOKUP(Mon_W1[[#This Row],[Employee Name]],'Base Schedules'!$A$113:$AW$158,47,FALSE)="","",VLOOKUP(Mon_W1[[#This Row],[Employee Name]],'Base Schedules'!$A$113:$AW$158,47,FALSE)),"")</f>
        <v/>
      </c>
      <c r="AW10" s="184" t="str">
        <f>IFERROR(IF(VLOOKUP(Mon_W1[[#This Row],[Employee Name]],'Base Schedules'!$A$113:$AW$158,48,FALSE)="","",VLOOKUP(Mon_W1[[#This Row],[Employee Name]],'Base Schedules'!$A$113:$AW$158,48,FALSE)),"")</f>
        <v/>
      </c>
      <c r="AX10" s="184" t="str">
        <f>IFERROR(IF(VLOOKUP(Mon_W1[[#This Row],[Employee Name]],'Base Schedules'!$A$113:$AW$158,49,FALSE)="","",VLOOKUP(Mon_W1[[#This Row],[Employee Name]],'Base Schedules'!$A$113:$AW$158,49,FALSE)),"")</f>
        <v/>
      </c>
      <c r="AY10" s="164" t="str">
        <f t="shared" si="2"/>
        <v>Alvarez, Carlos</v>
      </c>
    </row>
    <row r="11" spans="1:51" s="44" customFormat="1" ht="12" x14ac:dyDescent="0.2">
      <c r="A11" s="39" t="str">
        <f>IF(B11="","",INDEX(TeamList[],MATCH($B11,TeamList[[Employee Name]:[Employee Name]],0),MATCH("Manager",TeamList[#Headers],0)))</f>
        <v>Paulson, Matthew</v>
      </c>
      <c r="B11" s="331" t="s">
        <v>46</v>
      </c>
      <c r="C11" s="257" t="str">
        <f>_xlfn.IFNA(VLOOKUP(Mon_W1[[#This Row],[Employee Name]],'Base Schedules'!A:B,2,FALSE),"")</f>
        <v>Supervisor</v>
      </c>
      <c r="D11" s="274">
        <f>_xlfn.IFNA(VLOOKUP(Mon_W1[[#This Row],[Employee Name]],'Base Schedules'!A:C,3,FALSE),"")</f>
        <v>500</v>
      </c>
      <c r="E11" s="274">
        <f>_xlfn.IFNA(VLOOKUP(Mon_W1[[#This Row],[Employee Name]],'Base Schedules'!A:D,4,FALSE),"")</f>
        <v>1400</v>
      </c>
      <c r="F11" s="142">
        <f>IF(Mon_W1[[#This Row],[Employee Name]]="","",IF(Mon_W1[[#This Row],[Dept]]="Supervisor",COUNTIFS($J11:$AX11,"*HL*",$J11:$AX11,"&lt;&gt;"&amp;"pHL"),COUNTIFS($J11:$AX11,"*HL*",$J11:$AX11,"&lt;&gt;"&amp;"*pHL*",$J11:$AX11,"&lt;&gt;"&amp;"pB1 HL",$J11:$AX11,"&lt;&gt;"&amp;"pB2 HL")-SUM(COUNTIFS($J11:$AX11,"*HL B1*",$J11:$AX11,"&lt;&gt;"&amp;"pHL B1")*0.5,COUNTIFS($J11:$AX11,"*HL B2*",$J11:$AX11,"&lt;&gt;"&amp;"pHL B2")*0.5,COUNTIFS($J11:$AX11,"*B1 HL*",$J11:$AX11,"&lt;&gt;"&amp;"pB1 HL")*0.5,COUNTIFS($J11:$AX11,"*B2 HL*",$J11:$AX11,"&lt;&gt;"&amp;"pB2 HL")*0.5)))</f>
        <v>0</v>
      </c>
      <c r="G11" s="142">
        <f t="shared" si="0"/>
        <v>0</v>
      </c>
      <c r="H11" s="142">
        <f t="shared" si="1"/>
        <v>0</v>
      </c>
      <c r="I11" s="142">
        <f>IF(Mon_W1[[#This Row],[Employee Name]]="","",IF(Mon_W1[[#This Row],[Dept]]="Supervisor",SUM(COUNTIFS($J11:$AX11,"RTA*",$J11:$AX11,"&lt;&gt;"&amp;"pRTA"),COUNTIFS($J11:$AX11,"*CRTA*",$J11:$AX11,"&lt;&gt;"&amp;"pCRTA")),COUNTIFS($J11:$AX11,"*RNNR*",$J11:$AX11,"&lt;&gt;"&amp;"*pRNNR*",$J11:$AX11,"&lt;&gt;"&amp;"pB1 RNNR",$J11:$AX11,"&lt;&gt;"&amp;"pB2 RNNR")-SUM(COUNTIFS($J11:$AX11,"*RNNR B1*",$J11:$AX11,"&lt;&gt;"&amp;"pRNNR B1")*0.5,COUNTIFS($J11:$AX11,"*RNNR B2*",$J11:$AX11,"&lt;&gt;"&amp;"pRNNR B2")*0.5,COUNTIFS($J11:$AX11,"*B1 RNNR*",$J11:$AX11,"&lt;&gt;"&amp;"pB1 RNNR")*0.5,COUNTIFS($J11:$AX11,"*B2 RNNR*",$J11:$AX11,"&lt;&gt;"&amp;"pB2 RNNR")*0.5)))</f>
        <v>0</v>
      </c>
      <c r="J11" s="184" t="str">
        <f>IFERROR(IF(VLOOKUP(Mon_W1[[#This Row],[Employee Name]],'Base Schedules'!$A$113:$AW$158,9,FALSE)="","",VLOOKUP(Mon_W1[[#This Row],[Employee Name]],'Base Schedules'!$A$113:$AW$158,9,FALSE)),"")</f>
        <v>-</v>
      </c>
      <c r="K11" s="184" t="str">
        <f>IFERROR(IF(VLOOKUP(Mon_W1[[#This Row],[Employee Name]],'Base Schedules'!$A$113:$AW$158,10,FALSE)="","",VLOOKUP(Mon_W1[[#This Row],[Employee Name]],'Base Schedules'!$A$113:$AW$158,10,FALSE)),"")</f>
        <v>-</v>
      </c>
      <c r="L11" s="184" t="str">
        <f>IFERROR(IF(VLOOKUP(Mon_W1[[#This Row],[Employee Name]],'Base Schedules'!$A$113:$AW$158,11,FALSE)="","",VLOOKUP(Mon_W1[[#This Row],[Employee Name]],'Base Schedules'!$A$113:$AW$158,11,FALSE)),"")</f>
        <v>-</v>
      </c>
      <c r="M11" s="184" t="str">
        <f>IFERROR(IF(VLOOKUP(Mon_W1[[#This Row],[Employee Name]],'Base Schedules'!$A$113:$AW$158,12,FALSE)="","",VLOOKUP(Mon_W1[[#This Row],[Employee Name]],'Base Schedules'!$A$113:$AW$158,12,FALSE)),"")</f>
        <v>-</v>
      </c>
      <c r="N11" s="184" t="str">
        <f>IFERROR(IF(VLOOKUP(Mon_W1[[#This Row],[Employee Name]],'Base Schedules'!$A$113:$AW$158,13,FALSE)="","",VLOOKUP(Mon_W1[[#This Row],[Employee Name]],'Base Schedules'!$A$113:$AW$158,13,FALSE)),"")</f>
        <v>-</v>
      </c>
      <c r="O11" s="184" t="str">
        <f>IFERROR(IF(VLOOKUP(Mon_W1[[#This Row],[Employee Name]],'Base Schedules'!$A$113:$AW$158,14,FALSE)="","",VLOOKUP(Mon_W1[[#This Row],[Employee Name]],'Base Schedules'!$A$113:$AW$158,14,FALSE)),"")</f>
        <v>-</v>
      </c>
      <c r="P11" s="184" t="str">
        <f>IFERROR(IF(VLOOKUP(Mon_W1[[#This Row],[Employee Name]],'Base Schedules'!$A$113:$AW$158,15,FALSE)="","",VLOOKUP(Mon_W1[[#This Row],[Employee Name]],'Base Schedules'!$A$113:$AW$158,15,FALSE)),"")</f>
        <v>Interview</v>
      </c>
      <c r="Q11" s="184" t="str">
        <f>IFERROR(IF(VLOOKUP(Mon_W1[[#This Row],[Employee Name]],'Base Schedules'!$A$113:$AW$158,16,FALSE)="","",VLOOKUP(Mon_W1[[#This Row],[Employee Name]],'Base Schedules'!$A$113:$AW$158,16,FALSE)),"")</f>
        <v>Interview</v>
      </c>
      <c r="R11" s="184" t="str">
        <f>IFERROR(IF(VLOOKUP(Mon_W1[[#This Row],[Employee Name]],'Base Schedules'!$A$113:$AW$158,17,FALSE)="","",VLOOKUP(Mon_W1[[#This Row],[Employee Name]],'Base Schedules'!$A$113:$AW$158,17,FALSE)),"")</f>
        <v>-</v>
      </c>
      <c r="S11" s="184" t="str">
        <f>IFERROR(IF(VLOOKUP(Mon_W1[[#This Row],[Employee Name]],'Base Schedules'!$A$113:$AW$158,18,FALSE)="","",VLOOKUP(Mon_W1[[#This Row],[Employee Name]],'Base Schedules'!$A$113:$AW$158,18,FALSE)),"")</f>
        <v>-</v>
      </c>
      <c r="T11" s="184" t="str">
        <f>IFERROR(IF(VLOOKUP(Mon_W1[[#This Row],[Employee Name]],'Base Schedules'!$A$113:$AW$158,19,FALSE)="","",VLOOKUP(Mon_W1[[#This Row],[Employee Name]],'Base Schedules'!$A$113:$AW$158,19,FALSE)),"")</f>
        <v>-</v>
      </c>
      <c r="U11" s="184" t="str">
        <f>IFERROR(IF(VLOOKUP(Mon_W1[[#This Row],[Employee Name]],'Base Schedules'!$A$113:$AW$158,20,FALSE)="","",VLOOKUP(Mon_W1[[#This Row],[Employee Name]],'Base Schedules'!$A$113:$AW$158,20,FALSE)),"")</f>
        <v>-</v>
      </c>
      <c r="V11" s="184" t="str">
        <f>IFERROR(IF(VLOOKUP(Mon_W1[[#This Row],[Employee Name]],'Base Schedules'!$A$113:$AW$158,21,FALSE)="","",VLOOKUP(Mon_W1[[#This Row],[Employee Name]],'Base Schedules'!$A$113:$AW$158,21,FALSE)),"")</f>
        <v>-</v>
      </c>
      <c r="W11" s="184" t="str">
        <f>IFERROR(IF(VLOOKUP(Mon_W1[[#This Row],[Employee Name]],'Base Schedules'!$A$113:$AW$158,22,FALSE)="","",VLOOKUP(Mon_W1[[#This Row],[Employee Name]],'Base Schedules'!$A$113:$AW$158,22,FALSE)),"")</f>
        <v>-</v>
      </c>
      <c r="X11" s="184" t="str">
        <f>IFERROR(IF(VLOOKUP(Mon_W1[[#This Row],[Employee Name]],'Base Schedules'!$A$113:$AW$158,23,FALSE)="","",VLOOKUP(Mon_W1[[#This Row],[Employee Name]],'Base Schedules'!$A$113:$AW$158,23,FALSE)),"")</f>
        <v>-</v>
      </c>
      <c r="Y11" s="184" t="str">
        <f>IFERROR(IF(VLOOKUP(Mon_W1[[#This Row],[Employee Name]],'Base Schedules'!$A$113:$AW$158,24,FALSE)="","",VLOOKUP(Mon_W1[[#This Row],[Employee Name]],'Base Schedules'!$A$113:$AW$158,24,FALSE)),"")</f>
        <v>-</v>
      </c>
      <c r="Z11" s="184" t="str">
        <f>IFERROR(IF(VLOOKUP(Mon_W1[[#This Row],[Employee Name]],'Base Schedules'!$A$113:$AW$158,25,FALSE)="","",VLOOKUP(Mon_W1[[#This Row],[Employee Name]],'Base Schedules'!$A$113:$AW$158,25,FALSE)),"")</f>
        <v>Team Matt TM</v>
      </c>
      <c r="AA11" s="184" t="str">
        <f>IFERROR(IF(VLOOKUP(Mon_W1[[#This Row],[Employee Name]],'Base Schedules'!$A$113:$AW$158,26,FALSE)="","",VLOOKUP(Mon_W1[[#This Row],[Employee Name]],'Base Schedules'!$A$113:$AW$158,26,FALSE)),"")</f>
        <v>Team Matt TM</v>
      </c>
      <c r="AB11" s="184" t="str">
        <f>IFERROR(IF(VLOOKUP(Mon_W1[[#This Row],[Employee Name]],'Base Schedules'!$A$113:$AW$158,27,FALSE)="","",VLOOKUP(Mon_W1[[#This Row],[Employee Name]],'Base Schedules'!$A$113:$AW$158,27,FALSE)),"")</f>
        <v/>
      </c>
      <c r="AC11" s="184" t="str">
        <f>IFERROR(IF(VLOOKUP(Mon_W1[[#This Row],[Employee Name]],'Base Schedules'!$A$113:$AW$158,28,FALSE)="","",VLOOKUP(Mon_W1[[#This Row],[Employee Name]],'Base Schedules'!$A$113:$AW$158,28,FALSE)),"")</f>
        <v/>
      </c>
      <c r="AD11" s="184" t="str">
        <f>IFERROR(IF(VLOOKUP(Mon_W1[[#This Row],[Employee Name]],'Base Schedules'!$A$113:$AW$158,29,FALSE)="","",VLOOKUP(Mon_W1[[#This Row],[Employee Name]],'Base Schedules'!$A$113:$AW$158,29,FALSE)),"")</f>
        <v/>
      </c>
      <c r="AE11" s="184" t="str">
        <f>IFERROR(IF(VLOOKUP(Mon_W1[[#This Row],[Employee Name]],'Base Schedules'!$A$113:$AW$158,30,FALSE)="","",VLOOKUP(Mon_W1[[#This Row],[Employee Name]],'Base Schedules'!$A$113:$AW$158,30,FALSE)),"")</f>
        <v/>
      </c>
      <c r="AF11" s="184" t="str">
        <f>IFERROR(IF(VLOOKUP(Mon_W1[[#This Row],[Employee Name]],'Base Schedules'!$A$113:$AW$158,31,FALSE)="","",VLOOKUP(Mon_W1[[#This Row],[Employee Name]],'Base Schedules'!$A$113:$AW$158,31,FALSE)),"")</f>
        <v/>
      </c>
      <c r="AG11" s="184" t="str">
        <f>IFERROR(IF(VLOOKUP(Mon_W1[[#This Row],[Employee Name]],'Base Schedules'!$A$113:$AW$158,32,FALSE)="","",VLOOKUP(Mon_W1[[#This Row],[Employee Name]],'Base Schedules'!$A$113:$AW$158,32,FALSE)),"")</f>
        <v/>
      </c>
      <c r="AH11" s="184" t="str">
        <f>IFERROR(IF(VLOOKUP(Mon_W1[[#This Row],[Employee Name]],'Base Schedules'!$A$113:$AW$158,33,FALSE)="","",VLOOKUP(Mon_W1[[#This Row],[Employee Name]],'Base Schedules'!$A$113:$AW$158,33,FALSE)),"")</f>
        <v/>
      </c>
      <c r="AI11" s="184" t="str">
        <f>IFERROR(IF(VLOOKUP(Mon_W1[[#This Row],[Employee Name]],'Base Schedules'!$A$113:$AW$158,34,FALSE)="","",VLOOKUP(Mon_W1[[#This Row],[Employee Name]],'Base Schedules'!$A$113:$AW$158,34,FALSE)),"")</f>
        <v/>
      </c>
      <c r="AJ11" s="184" t="str">
        <f>IFERROR(IF(VLOOKUP(Mon_W1[[#This Row],[Employee Name]],'Base Schedules'!$A$113:$AW$158,35,FALSE)="","",VLOOKUP(Mon_W1[[#This Row],[Employee Name]],'Base Schedules'!$A$113:$AW$158,35,FALSE)),"")</f>
        <v/>
      </c>
      <c r="AK11" s="184" t="str">
        <f>IFERROR(IF(VLOOKUP(Mon_W1[[#This Row],[Employee Name]],'Base Schedules'!$A$113:$AW$158,36,FALSE)="","",VLOOKUP(Mon_W1[[#This Row],[Employee Name]],'Base Schedules'!$A$113:$AW$158,36,FALSE)),"")</f>
        <v/>
      </c>
      <c r="AL11" s="184" t="str">
        <f>IFERROR(IF(VLOOKUP(Mon_W1[[#This Row],[Employee Name]],'Base Schedules'!$A$113:$AW$158,37,FALSE)="","",VLOOKUP(Mon_W1[[#This Row],[Employee Name]],'Base Schedules'!$A$113:$AW$158,37,FALSE)),"")</f>
        <v/>
      </c>
      <c r="AM11" s="184" t="str">
        <f>IFERROR(IF(VLOOKUP(Mon_W1[[#This Row],[Employee Name]],'Base Schedules'!$A$113:$AW$158,38,FALSE)="","",VLOOKUP(Mon_W1[[#This Row],[Employee Name]],'Base Schedules'!$A$113:$AW$158,38,FALSE)),"")</f>
        <v/>
      </c>
      <c r="AN11" s="184" t="str">
        <f>IFERROR(IF(VLOOKUP(Mon_W1[[#This Row],[Employee Name]],'Base Schedules'!$A$113:$AW$158,39,FALSE)="","",VLOOKUP(Mon_W1[[#This Row],[Employee Name]],'Base Schedules'!$A$113:$AW$158,39,FALSE)),"")</f>
        <v/>
      </c>
      <c r="AO11" s="184" t="str">
        <f>IFERROR(IF(VLOOKUP(Mon_W1[[#This Row],[Employee Name]],'Base Schedules'!$A$113:$AW$158,40,FALSE)="","",VLOOKUP(Mon_W1[[#This Row],[Employee Name]],'Base Schedules'!$A$113:$AW$158,40,FALSE)),"")</f>
        <v/>
      </c>
      <c r="AP11" s="184" t="str">
        <f>IFERROR(IF(VLOOKUP(Mon_W1[[#This Row],[Employee Name]],'Base Schedules'!$A$113:$AW$158,41,FALSE)="","",VLOOKUP(Mon_W1[[#This Row],[Employee Name]],'Base Schedules'!$A$113:$AW$158,41,FALSE)),"")</f>
        <v/>
      </c>
      <c r="AQ11" s="184" t="str">
        <f>IFERROR(IF(VLOOKUP(Mon_W1[[#This Row],[Employee Name]],'Base Schedules'!$A$113:$AW$158,42,FALSE)="","",VLOOKUP(Mon_W1[[#This Row],[Employee Name]],'Base Schedules'!$A$113:$AW$158,42,FALSE)),"")</f>
        <v/>
      </c>
      <c r="AR11" s="184" t="str">
        <f>IFERROR(IF(VLOOKUP(Mon_W1[[#This Row],[Employee Name]],'Base Schedules'!$A$113:$AW$158,43,FALSE)="","",VLOOKUP(Mon_W1[[#This Row],[Employee Name]],'Base Schedules'!$A$113:$AW$158,43,FALSE)),"")</f>
        <v/>
      </c>
      <c r="AS11" s="184" t="str">
        <f>IFERROR(IF(VLOOKUP(Mon_W1[[#This Row],[Employee Name]],'Base Schedules'!$A$113:$AW$158,44,FALSE)="","",VLOOKUP(Mon_W1[[#This Row],[Employee Name]],'Base Schedules'!$A$113:$AW$158,44,FALSE)),"")</f>
        <v/>
      </c>
      <c r="AT11" s="184" t="str">
        <f>IFERROR(IF(VLOOKUP(Mon_W1[[#This Row],[Employee Name]],'Base Schedules'!$A$113:$AW$158,45,FALSE)="","",VLOOKUP(Mon_W1[[#This Row],[Employee Name]],'Base Schedules'!$A$113:$AW$158,45,FALSE)),"")</f>
        <v/>
      </c>
      <c r="AU11" s="184" t="str">
        <f>IFERROR(IF(VLOOKUP(Mon_W1[[#This Row],[Employee Name]],'Base Schedules'!$A$113:$AW$158,46,FALSE)="","",VLOOKUP(Mon_W1[[#This Row],[Employee Name]],'Base Schedules'!$A$113:$AW$158,46,FALSE)),"")</f>
        <v/>
      </c>
      <c r="AV11" s="184" t="str">
        <f>IFERROR(IF(VLOOKUP(Mon_W1[[#This Row],[Employee Name]],'Base Schedules'!$A$113:$AW$158,47,FALSE)="","",VLOOKUP(Mon_W1[[#This Row],[Employee Name]],'Base Schedules'!$A$113:$AW$158,47,FALSE)),"")</f>
        <v/>
      </c>
      <c r="AW11" s="184" t="str">
        <f>IFERROR(IF(VLOOKUP(Mon_W1[[#This Row],[Employee Name]],'Base Schedules'!$A$113:$AW$158,48,FALSE)="","",VLOOKUP(Mon_W1[[#This Row],[Employee Name]],'Base Schedules'!$A$113:$AW$158,48,FALSE)),"")</f>
        <v/>
      </c>
      <c r="AX11" s="184" t="str">
        <f>IFERROR(IF(VLOOKUP(Mon_W1[[#This Row],[Employee Name]],'Base Schedules'!$A$113:$AW$158,49,FALSE)="","",VLOOKUP(Mon_W1[[#This Row],[Employee Name]],'Base Schedules'!$A$113:$AW$158,49,FALSE)),"")</f>
        <v/>
      </c>
      <c r="AY11" s="164" t="str">
        <f t="shared" si="2"/>
        <v>Senft, Thomas</v>
      </c>
    </row>
    <row r="12" spans="1:51" s="44" customFormat="1" ht="12" x14ac:dyDescent="0.2">
      <c r="A12" s="39" t="str">
        <f>IF(B12="","",INDEX(TeamList[],MATCH($B12,TeamList[[Employee Name]:[Employee Name]],0),MATCH("Manager",TeamList[#Headers],0)))</f>
        <v>Olson, Katherine</v>
      </c>
      <c r="B12" s="201" t="s">
        <v>44</v>
      </c>
      <c r="C12" s="257" t="str">
        <f>_xlfn.IFNA(VLOOKUP(Mon_W1[[#This Row],[Employee Name]],'Base Schedules'!A:B,2,FALSE),"")</f>
        <v>Lead</v>
      </c>
      <c r="D12" s="274">
        <f>_xlfn.IFNA(VLOOKUP(Mon_W1[[#This Row],[Employee Name]],'Base Schedules'!A:C,3,FALSE),"")</f>
        <v>530</v>
      </c>
      <c r="E12" s="274">
        <f>_xlfn.IFNA(VLOOKUP(Mon_W1[[#This Row],[Employee Name]],'Base Schedules'!A:D,4,FALSE),"")</f>
        <v>1400</v>
      </c>
      <c r="F12" s="142">
        <f>IF(Mon_W1[[#This Row],[Employee Name]]="","",IF(Mon_W1[[#This Row],[Dept]]="Supervisor",COUNTIFS($J12:$AX12,"*HL*",$J12:$AX12,"&lt;&gt;"&amp;"pHL"),COUNTIFS($J12:$AX12,"*HL*",$J12:$AX12,"&lt;&gt;"&amp;"*pHL*",$J12:$AX12,"&lt;&gt;"&amp;"pB1 HL",$J12:$AX12,"&lt;&gt;"&amp;"pB2 HL")-SUM(COUNTIFS($J12:$AX12,"*HL B1*",$J12:$AX12,"&lt;&gt;"&amp;"pHL B1")*0.5,COUNTIFS($J12:$AX12,"*HL B2*",$J12:$AX12,"&lt;&gt;"&amp;"pHL B2")*0.5,COUNTIFS($J12:$AX12,"*B1 HL*",$J12:$AX12,"&lt;&gt;"&amp;"pB1 HL")*0.5,COUNTIFS($J12:$AX12,"*B2 HL*",$J12:$AX12,"&lt;&gt;"&amp;"pB2 HL")*0.5)))</f>
        <v>6.5</v>
      </c>
      <c r="G12" s="142">
        <f t="shared" si="0"/>
        <v>0</v>
      </c>
      <c r="H12" s="142">
        <f t="shared" si="1"/>
        <v>7</v>
      </c>
      <c r="I12" s="142">
        <f>IF(Mon_W1[[#This Row],[Employee Name]]="","",IF(Mon_W1[[#This Row],[Dept]]="Supervisor",SUM(COUNTIFS($J12:$AX12,"RTA*",$J12:$AX12,"&lt;&gt;"&amp;"pRTA"),COUNTIFS($J12:$AX12,"*CRTA*",$J12:$AX12,"&lt;&gt;"&amp;"pCRTA")),COUNTIFS($J12:$AX12,"*RNNR*",$J12:$AX12,"&lt;&gt;"&amp;"*pRNNR*",$J12:$AX12,"&lt;&gt;"&amp;"pB1 RNNR",$J12:$AX12,"&lt;&gt;"&amp;"pB2 RNNR")-SUM(COUNTIFS($J12:$AX12,"*RNNR B1*",$J12:$AX12,"&lt;&gt;"&amp;"pRNNR B1")*0.5,COUNTIFS($J12:$AX12,"*RNNR B2*",$J12:$AX12,"&lt;&gt;"&amp;"pRNNR B2")*0.5,COUNTIFS($J12:$AX12,"*B1 RNNR*",$J12:$AX12,"&lt;&gt;"&amp;"pB1 RNNR")*0.5,COUNTIFS($J12:$AX12,"*B2 RNNR*",$J12:$AX12,"&lt;&gt;"&amp;"pB2 RNNR")*0.5)))</f>
        <v>2</v>
      </c>
      <c r="J12" s="184" t="str">
        <f>IFERROR(IF(VLOOKUP(Mon_W1[[#This Row],[Employee Name]],'Base Schedules'!$A$113:$AW$158,9,FALSE)="","",VLOOKUP(Mon_W1[[#This Row],[Employee Name]],'Base Schedules'!$A$113:$AW$158,9,FALSE)),"")</f>
        <v/>
      </c>
      <c r="K12" s="184" t="str">
        <f>IFERROR(IF(VLOOKUP(Mon_W1[[#This Row],[Employee Name]],'Base Schedules'!$A$113:$AW$158,10,FALSE)="","",VLOOKUP(Mon_W1[[#This Row],[Employee Name]],'Base Schedules'!$A$113:$AW$158,10,FALSE)),"")</f>
        <v>ADM</v>
      </c>
      <c r="L12" s="184" t="str">
        <f>IFERROR(IF(VLOOKUP(Mon_W1[[#This Row],[Employee Name]],'Base Schedules'!$A$113:$AW$158,11,FALSE)="","",VLOOKUP(Mon_W1[[#This Row],[Employee Name]],'Base Schedules'!$A$113:$AW$158,11,FALSE)),"")</f>
        <v>ADM</v>
      </c>
      <c r="M12" s="184" t="str">
        <f>IFERROR(IF(VLOOKUP(Mon_W1[[#This Row],[Employee Name]],'Base Schedules'!$A$113:$AW$158,12,FALSE)="","",VLOOKUP(Mon_W1[[#This Row],[Employee Name]],'Base Schedules'!$A$113:$AW$158,12,FALSE)),"")</f>
        <v>ADM</v>
      </c>
      <c r="N12" s="184" t="str">
        <f>IFERROR(IF(VLOOKUP(Mon_W1[[#This Row],[Employee Name]],'Base Schedules'!$A$113:$AW$158,13,FALSE)="","",VLOOKUP(Mon_W1[[#This Row],[Employee Name]],'Base Schedules'!$A$113:$AW$158,13,FALSE)),"")</f>
        <v>ADM</v>
      </c>
      <c r="O12" s="184" t="str">
        <f>IFERROR(IF(VLOOKUP(Mon_W1[[#This Row],[Employee Name]],'Base Schedules'!$A$113:$AW$158,14,FALSE)="","",VLOOKUP(Mon_W1[[#This Row],[Employee Name]],'Base Schedules'!$A$113:$AW$158,14,FALSE)),"")</f>
        <v>B1 HL</v>
      </c>
      <c r="P12" s="184" t="str">
        <f>IFERROR(IF(VLOOKUP(Mon_W1[[#This Row],[Employee Name]],'Base Schedules'!$A$113:$AW$158,15,FALSE)="","",VLOOKUP(Mon_W1[[#This Row],[Employee Name]],'Base Schedules'!$A$113:$AW$158,15,FALSE)),"")</f>
        <v>HL</v>
      </c>
      <c r="Q12" s="184" t="str">
        <f>IFERROR(IF(VLOOKUP(Mon_W1[[#This Row],[Employee Name]],'Base Schedules'!$A$113:$AW$158,16,FALSE)="","",VLOOKUP(Mon_W1[[#This Row],[Employee Name]],'Base Schedules'!$A$113:$AW$158,16,FALSE)),"")</f>
        <v>HL</v>
      </c>
      <c r="R12" s="184" t="str">
        <f>IFERROR(IF(VLOOKUP(Mon_W1[[#This Row],[Employee Name]],'Base Schedules'!$A$113:$AW$158,17,FALSE)="","",VLOOKUP(Mon_W1[[#This Row],[Employee Name]],'Base Schedules'!$A$113:$AW$158,17,FALSE)),"")</f>
        <v>HL</v>
      </c>
      <c r="S12" s="184" t="str">
        <f>IFERROR(IF(VLOOKUP(Mon_W1[[#This Row],[Employee Name]],'Base Schedules'!$A$113:$AW$158,18,FALSE)="","",VLOOKUP(Mon_W1[[#This Row],[Employee Name]],'Base Schedules'!$A$113:$AW$158,18,FALSE)),"")</f>
        <v>LUNCH</v>
      </c>
      <c r="T12" s="184" t="str">
        <f>IFERROR(IF(VLOOKUP(Mon_W1[[#This Row],[Employee Name]],'Base Schedules'!$A$113:$AW$158,19,FALSE)="","",VLOOKUP(Mon_W1[[#This Row],[Employee Name]],'Base Schedules'!$A$113:$AW$158,19,FALSE)),"")</f>
        <v>RNNR</v>
      </c>
      <c r="U12" s="184" t="str">
        <f>IFERROR(IF(VLOOKUP(Mon_W1[[#This Row],[Employee Name]],'Base Schedules'!$A$113:$AW$158,20,FALSE)="","",VLOOKUP(Mon_W1[[#This Row],[Employee Name]],'Base Schedules'!$A$113:$AW$158,20,FALSE)),"")</f>
        <v>RNNR</v>
      </c>
      <c r="V12" s="184" t="str">
        <f>IFERROR(IF(VLOOKUP(Mon_W1[[#This Row],[Employee Name]],'Base Schedules'!$A$113:$AW$158,21,FALSE)="","",VLOOKUP(Mon_W1[[#This Row],[Employee Name]],'Base Schedules'!$A$113:$AW$158,21,FALSE)),"")</f>
        <v>ADM</v>
      </c>
      <c r="W12" s="184" t="str">
        <f>IFERROR(IF(VLOOKUP(Mon_W1[[#This Row],[Employee Name]],'Base Schedules'!$A$113:$AW$158,22,FALSE)="","",VLOOKUP(Mon_W1[[#This Row],[Employee Name]],'Base Schedules'!$A$113:$AW$158,22,FALSE)),"")</f>
        <v>ADM B2</v>
      </c>
      <c r="X12" s="184" t="str">
        <f>IFERROR(IF(VLOOKUP(Mon_W1[[#This Row],[Employee Name]],'Base Schedules'!$A$113:$AW$158,23,FALSE)="","",VLOOKUP(Mon_W1[[#This Row],[Employee Name]],'Base Schedules'!$A$113:$AW$158,23,FALSE)),"")</f>
        <v>ADM</v>
      </c>
      <c r="Y12" s="184" t="str">
        <f>IFERROR(IF(VLOOKUP(Mon_W1[[#This Row],[Employee Name]],'Base Schedules'!$A$113:$AW$158,24,FALSE)="","",VLOOKUP(Mon_W1[[#This Row],[Employee Name]],'Base Schedules'!$A$113:$AW$158,24,FALSE)),"")</f>
        <v>HL</v>
      </c>
      <c r="Z12" s="184" t="str">
        <f>IFERROR(IF(VLOOKUP(Mon_W1[[#This Row],[Employee Name]],'Base Schedules'!$A$113:$AW$158,25,FALSE)="","",VLOOKUP(Mon_W1[[#This Row],[Employee Name]],'Base Schedules'!$A$113:$AW$158,25,FALSE)),"")</f>
        <v>HL</v>
      </c>
      <c r="AA12" s="184" t="str">
        <f>IFERROR(IF(VLOOKUP(Mon_W1[[#This Row],[Employee Name]],'Base Schedules'!$A$113:$AW$158,26,FALSE)="","",VLOOKUP(Mon_W1[[#This Row],[Employee Name]],'Base Schedules'!$A$113:$AW$158,26,FALSE)),"")</f>
        <v>HL</v>
      </c>
      <c r="AB12" s="184" t="str">
        <f>IFERROR(IF(VLOOKUP(Mon_W1[[#This Row],[Employee Name]],'Base Schedules'!$A$113:$AW$158,27,FALSE)="","",VLOOKUP(Mon_W1[[#This Row],[Employee Name]],'Base Schedules'!$A$113:$AW$158,27,FALSE)),"")</f>
        <v/>
      </c>
      <c r="AC12" s="184" t="str">
        <f>IFERROR(IF(VLOOKUP(Mon_W1[[#This Row],[Employee Name]],'Base Schedules'!$A$113:$AW$158,28,FALSE)="","",VLOOKUP(Mon_W1[[#This Row],[Employee Name]],'Base Schedules'!$A$113:$AW$158,28,FALSE)),"")</f>
        <v/>
      </c>
      <c r="AD12" s="184" t="str">
        <f>IFERROR(IF(VLOOKUP(Mon_W1[[#This Row],[Employee Name]],'Base Schedules'!$A$113:$AW$158,29,FALSE)="","",VLOOKUP(Mon_W1[[#This Row],[Employee Name]],'Base Schedules'!$A$113:$AW$158,29,FALSE)),"")</f>
        <v/>
      </c>
      <c r="AE12" s="184" t="str">
        <f>IFERROR(IF(VLOOKUP(Mon_W1[[#This Row],[Employee Name]],'Base Schedules'!$A$113:$AW$158,30,FALSE)="","",VLOOKUP(Mon_W1[[#This Row],[Employee Name]],'Base Schedules'!$A$113:$AW$158,30,FALSE)),"")</f>
        <v/>
      </c>
      <c r="AF12" s="184" t="str">
        <f>IFERROR(IF(VLOOKUP(Mon_W1[[#This Row],[Employee Name]],'Base Schedules'!$A$113:$AW$158,31,FALSE)="","",VLOOKUP(Mon_W1[[#This Row],[Employee Name]],'Base Schedules'!$A$113:$AW$158,31,FALSE)),"")</f>
        <v/>
      </c>
      <c r="AG12" s="184" t="str">
        <f>IFERROR(IF(VLOOKUP(Mon_W1[[#This Row],[Employee Name]],'Base Schedules'!$A$113:$AW$158,32,FALSE)="","",VLOOKUP(Mon_W1[[#This Row],[Employee Name]],'Base Schedules'!$A$113:$AW$158,32,FALSE)),"")</f>
        <v/>
      </c>
      <c r="AH12" s="184" t="str">
        <f>IFERROR(IF(VLOOKUP(Mon_W1[[#This Row],[Employee Name]],'Base Schedules'!$A$113:$AW$158,33,FALSE)="","",VLOOKUP(Mon_W1[[#This Row],[Employee Name]],'Base Schedules'!$A$113:$AW$158,33,FALSE)),"")</f>
        <v/>
      </c>
      <c r="AI12" s="184" t="str">
        <f>IFERROR(IF(VLOOKUP(Mon_W1[[#This Row],[Employee Name]],'Base Schedules'!$A$113:$AW$158,34,FALSE)="","",VLOOKUP(Mon_W1[[#This Row],[Employee Name]],'Base Schedules'!$A$113:$AW$158,34,FALSE)),"")</f>
        <v/>
      </c>
      <c r="AJ12" s="184" t="str">
        <f>IFERROR(IF(VLOOKUP(Mon_W1[[#This Row],[Employee Name]],'Base Schedules'!$A$113:$AW$158,35,FALSE)="","",VLOOKUP(Mon_W1[[#This Row],[Employee Name]],'Base Schedules'!$A$113:$AW$158,35,FALSE)),"")</f>
        <v/>
      </c>
      <c r="AK12" s="184" t="str">
        <f>IFERROR(IF(VLOOKUP(Mon_W1[[#This Row],[Employee Name]],'Base Schedules'!$A$113:$AW$158,36,FALSE)="","",VLOOKUP(Mon_W1[[#This Row],[Employee Name]],'Base Schedules'!$A$113:$AW$158,36,FALSE)),"")</f>
        <v/>
      </c>
      <c r="AL12" s="184" t="str">
        <f>IFERROR(IF(VLOOKUP(Mon_W1[[#This Row],[Employee Name]],'Base Schedules'!$A$113:$AW$158,37,FALSE)="","",VLOOKUP(Mon_W1[[#This Row],[Employee Name]],'Base Schedules'!$A$113:$AW$158,37,FALSE)),"")</f>
        <v/>
      </c>
      <c r="AM12" s="184" t="str">
        <f>IFERROR(IF(VLOOKUP(Mon_W1[[#This Row],[Employee Name]],'Base Schedules'!$A$113:$AW$158,38,FALSE)="","",VLOOKUP(Mon_W1[[#This Row],[Employee Name]],'Base Schedules'!$A$113:$AW$158,38,FALSE)),"")</f>
        <v/>
      </c>
      <c r="AN12" s="184" t="str">
        <f>IFERROR(IF(VLOOKUP(Mon_W1[[#This Row],[Employee Name]],'Base Schedules'!$A$113:$AW$158,39,FALSE)="","",VLOOKUP(Mon_W1[[#This Row],[Employee Name]],'Base Schedules'!$A$113:$AW$158,39,FALSE)),"")</f>
        <v/>
      </c>
      <c r="AO12" s="184" t="str">
        <f>IFERROR(IF(VLOOKUP(Mon_W1[[#This Row],[Employee Name]],'Base Schedules'!$A$113:$AW$158,40,FALSE)="","",VLOOKUP(Mon_W1[[#This Row],[Employee Name]],'Base Schedules'!$A$113:$AW$158,40,FALSE)),"")</f>
        <v/>
      </c>
      <c r="AP12" s="184" t="str">
        <f>IFERROR(IF(VLOOKUP(Mon_W1[[#This Row],[Employee Name]],'Base Schedules'!$A$113:$AW$158,41,FALSE)="","",VLOOKUP(Mon_W1[[#This Row],[Employee Name]],'Base Schedules'!$A$113:$AW$158,41,FALSE)),"")</f>
        <v/>
      </c>
      <c r="AQ12" s="184" t="str">
        <f>IFERROR(IF(VLOOKUP(Mon_W1[[#This Row],[Employee Name]],'Base Schedules'!$A$113:$AW$158,42,FALSE)="","",VLOOKUP(Mon_W1[[#This Row],[Employee Name]],'Base Schedules'!$A$113:$AW$158,42,FALSE)),"")</f>
        <v/>
      </c>
      <c r="AR12" s="184" t="str">
        <f>IFERROR(IF(VLOOKUP(Mon_W1[[#This Row],[Employee Name]],'Base Schedules'!$A$113:$AW$158,43,FALSE)="","",VLOOKUP(Mon_W1[[#This Row],[Employee Name]],'Base Schedules'!$A$113:$AW$158,43,FALSE)),"")</f>
        <v/>
      </c>
      <c r="AS12" s="184" t="str">
        <f>IFERROR(IF(VLOOKUP(Mon_W1[[#This Row],[Employee Name]],'Base Schedules'!$A$113:$AW$158,44,FALSE)="","",VLOOKUP(Mon_W1[[#This Row],[Employee Name]],'Base Schedules'!$A$113:$AW$158,44,FALSE)),"")</f>
        <v/>
      </c>
      <c r="AT12" s="184" t="str">
        <f>IFERROR(IF(VLOOKUP(Mon_W1[[#This Row],[Employee Name]],'Base Schedules'!$A$113:$AW$158,45,FALSE)="","",VLOOKUP(Mon_W1[[#This Row],[Employee Name]],'Base Schedules'!$A$113:$AW$158,45,FALSE)),"")</f>
        <v/>
      </c>
      <c r="AU12" s="184" t="str">
        <f>IFERROR(IF(VLOOKUP(Mon_W1[[#This Row],[Employee Name]],'Base Schedules'!$A$113:$AW$158,46,FALSE)="","",VLOOKUP(Mon_W1[[#This Row],[Employee Name]],'Base Schedules'!$A$113:$AW$158,46,FALSE)),"")</f>
        <v/>
      </c>
      <c r="AV12" s="184" t="str">
        <f>IFERROR(IF(VLOOKUP(Mon_W1[[#This Row],[Employee Name]],'Base Schedules'!$A$113:$AW$158,47,FALSE)="","",VLOOKUP(Mon_W1[[#This Row],[Employee Name]],'Base Schedules'!$A$113:$AW$158,47,FALSE)),"")</f>
        <v/>
      </c>
      <c r="AW12" s="184" t="str">
        <f>IFERROR(IF(VLOOKUP(Mon_W1[[#This Row],[Employee Name]],'Base Schedules'!$A$113:$AW$158,48,FALSE)="","",VLOOKUP(Mon_W1[[#This Row],[Employee Name]],'Base Schedules'!$A$113:$AW$158,48,FALSE)),"")</f>
        <v/>
      </c>
      <c r="AX12" s="184" t="str">
        <f>IFERROR(IF(VLOOKUP(Mon_W1[[#This Row],[Employee Name]],'Base Schedules'!$A$113:$AW$158,49,FALSE)="","",VLOOKUP(Mon_W1[[#This Row],[Employee Name]],'Base Schedules'!$A$113:$AW$158,49,FALSE)),"")</f>
        <v/>
      </c>
      <c r="AY12" s="164" t="str">
        <f t="shared" si="2"/>
        <v>Albritton, Ahmed</v>
      </c>
    </row>
    <row r="13" spans="1:51" s="44" customFormat="1" ht="12" x14ac:dyDescent="0.2">
      <c r="A13" s="39" t="str">
        <f>IF(B13="","",INDEX(TeamList[],MATCH($B13,TeamList[[Employee Name]:[Employee Name]],0),MATCH("Manager",TeamList[#Headers],0)))</f>
        <v>Olson, Katherine</v>
      </c>
      <c r="B13" s="201" t="s">
        <v>230</v>
      </c>
      <c r="C13" s="257" t="str">
        <f>_xlfn.IFNA(VLOOKUP(Mon_W1[[#This Row],[Employee Name]],'Base Schedules'!A:B,2,FALSE),"")</f>
        <v>Lead</v>
      </c>
      <c r="D13" s="274">
        <f>_xlfn.IFNA(VLOOKUP(Mon_W1[[#This Row],[Employee Name]],'Base Schedules'!A:C,3,FALSE),"")</f>
        <v>530</v>
      </c>
      <c r="E13" s="274">
        <f>_xlfn.IFNA(VLOOKUP(Mon_W1[[#This Row],[Employee Name]],'Base Schedules'!A:D,4,FALSE),"")</f>
        <v>1430</v>
      </c>
      <c r="F13" s="142">
        <f>IF(Mon_W1[[#This Row],[Employee Name]]="","",IF(Mon_W1[[#This Row],[Dept]]="Supervisor",COUNTIFS($J13:$AX13,"*HL*",$J13:$AX13,"&lt;&gt;"&amp;"pHL"),COUNTIFS($J13:$AX13,"*HL*",$J13:$AX13,"&lt;&gt;"&amp;"*pHL*",$J13:$AX13,"&lt;&gt;"&amp;"pB1 HL",$J13:$AX13,"&lt;&gt;"&amp;"pB2 HL")-SUM(COUNTIFS($J13:$AX13,"*HL B1*",$J13:$AX13,"&lt;&gt;"&amp;"pHL B1")*0.5,COUNTIFS($J13:$AX13,"*HL B2*",$J13:$AX13,"&lt;&gt;"&amp;"pHL B2")*0.5,COUNTIFS($J13:$AX13,"*B1 HL*",$J13:$AX13,"&lt;&gt;"&amp;"pB1 HL")*0.5,COUNTIFS($J13:$AX13,"*B2 HL*",$J13:$AX13,"&lt;&gt;"&amp;"pB2 HL")*0.5)))</f>
        <v>7</v>
      </c>
      <c r="G13" s="142">
        <f t="shared" si="0"/>
        <v>0</v>
      </c>
      <c r="H13" s="142">
        <f t="shared" si="1"/>
        <v>6</v>
      </c>
      <c r="I13" s="142">
        <f>IF(Mon_W1[[#This Row],[Employee Name]]="","",IF(Mon_W1[[#This Row],[Dept]]="Supervisor",SUM(COUNTIFS($J13:$AX13,"RTA*",$J13:$AX13,"&lt;&gt;"&amp;"pRTA"),COUNTIFS($J13:$AX13,"*CRTA*",$J13:$AX13,"&lt;&gt;"&amp;"pCRTA")),COUNTIFS($J13:$AX13,"*RNNR*",$J13:$AX13,"&lt;&gt;"&amp;"*pRNNR*",$J13:$AX13,"&lt;&gt;"&amp;"pB1 RNNR",$J13:$AX13,"&lt;&gt;"&amp;"pB2 RNNR")-SUM(COUNTIFS($J13:$AX13,"*RNNR B1*",$J13:$AX13,"&lt;&gt;"&amp;"pRNNR B1")*0.5,COUNTIFS($J13:$AX13,"*RNNR B2*",$J13:$AX13,"&lt;&gt;"&amp;"pRNNR B2")*0.5,COUNTIFS($J13:$AX13,"*B1 RNNR*",$J13:$AX13,"&lt;&gt;"&amp;"pB1 RNNR")*0.5,COUNTIFS($J13:$AX13,"*B2 RNNR*",$J13:$AX13,"&lt;&gt;"&amp;"pB2 RNNR")*0.5)))</f>
        <v>2</v>
      </c>
      <c r="J13" s="184" t="str">
        <f>IFERROR(IF(VLOOKUP(Mon_W1[[#This Row],[Employee Name]],'Base Schedules'!$A$113:$AW$158,9,FALSE)="","",VLOOKUP(Mon_W1[[#This Row],[Employee Name]],'Base Schedules'!$A$113:$AW$158,9,FALSE)),"")</f>
        <v/>
      </c>
      <c r="K13" s="184" t="str">
        <f>IFERROR(IF(VLOOKUP(Mon_W1[[#This Row],[Employee Name]],'Base Schedules'!$A$113:$AW$158,10,FALSE)="","",VLOOKUP(Mon_W1[[#This Row],[Employee Name]],'Base Schedules'!$A$113:$AW$158,10,FALSE)),"")</f>
        <v>HL</v>
      </c>
      <c r="L13" s="184" t="str">
        <f>IFERROR(IF(VLOOKUP(Mon_W1[[#This Row],[Employee Name]],'Base Schedules'!$A$113:$AW$158,11,FALSE)="","",VLOOKUP(Mon_W1[[#This Row],[Employee Name]],'Base Schedules'!$A$113:$AW$158,11,FALSE)),"")</f>
        <v>HL</v>
      </c>
      <c r="M13" s="184" t="str">
        <f>IFERROR(IF(VLOOKUP(Mon_W1[[#This Row],[Employee Name]],'Base Schedules'!$A$113:$AW$158,12,FALSE)="","",VLOOKUP(Mon_W1[[#This Row],[Employee Name]],'Base Schedules'!$A$113:$AW$158,12,FALSE)),"")</f>
        <v>HL</v>
      </c>
      <c r="N13" s="184" t="str">
        <f>IFERROR(IF(VLOOKUP(Mon_W1[[#This Row],[Employee Name]],'Base Schedules'!$A$113:$AW$158,13,FALSE)="","",VLOOKUP(Mon_W1[[#This Row],[Employee Name]],'Base Schedules'!$A$113:$AW$158,13,FALSE)),"")</f>
        <v>B1 HL</v>
      </c>
      <c r="O13" s="184" t="str">
        <f>IFERROR(IF(VLOOKUP(Mon_W1[[#This Row],[Employee Name]],'Base Schedules'!$A$113:$AW$158,14,FALSE)="","",VLOOKUP(Mon_W1[[#This Row],[Employee Name]],'Base Schedules'!$A$113:$AW$158,14,FALSE)),"")</f>
        <v>HL</v>
      </c>
      <c r="P13" s="184" t="str">
        <f>IFERROR(IF(VLOOKUP(Mon_W1[[#This Row],[Employee Name]],'Base Schedules'!$A$113:$AW$158,15,FALSE)="","",VLOOKUP(Mon_W1[[#This Row],[Employee Name]],'Base Schedules'!$A$113:$AW$158,15,FALSE)),"")</f>
        <v>ADM</v>
      </c>
      <c r="Q13" s="184" t="str">
        <f>IFERROR(IF(VLOOKUP(Mon_W1[[#This Row],[Employee Name]],'Base Schedules'!$A$113:$AW$158,16,FALSE)="","",VLOOKUP(Mon_W1[[#This Row],[Employee Name]],'Base Schedules'!$A$113:$AW$158,16,FALSE)),"")</f>
        <v>LUNCH</v>
      </c>
      <c r="R13" s="184" t="str">
        <f>IFERROR(IF(VLOOKUP(Mon_W1[[#This Row],[Employee Name]],'Base Schedules'!$A$113:$AW$158,17,FALSE)="","",VLOOKUP(Mon_W1[[#This Row],[Employee Name]],'Base Schedules'!$A$113:$AW$158,17,FALSE)),"")</f>
        <v>LUNCH</v>
      </c>
      <c r="S13" s="184" t="str">
        <f>IFERROR(IF(VLOOKUP(Mon_W1[[#This Row],[Employee Name]],'Base Schedules'!$A$113:$AW$158,18,FALSE)="","",VLOOKUP(Mon_W1[[#This Row],[Employee Name]],'Base Schedules'!$A$113:$AW$158,18,FALSE)),"")</f>
        <v>ADM</v>
      </c>
      <c r="T13" s="184" t="str">
        <f>IFERROR(IF(VLOOKUP(Mon_W1[[#This Row],[Employee Name]],'Base Schedules'!$A$113:$AW$158,19,FALSE)="","",VLOOKUP(Mon_W1[[#This Row],[Employee Name]],'Base Schedules'!$A$113:$AW$158,19,FALSE)),"")</f>
        <v>ADM</v>
      </c>
      <c r="U13" s="184" t="str">
        <f>IFERROR(IF(VLOOKUP(Mon_W1[[#This Row],[Employee Name]],'Base Schedules'!$A$113:$AW$158,20,FALSE)="","",VLOOKUP(Mon_W1[[#This Row],[Employee Name]],'Base Schedules'!$A$113:$AW$158,20,FALSE)),"")</f>
        <v>ADM</v>
      </c>
      <c r="V13" s="184" t="str">
        <f>IFERROR(IF(VLOOKUP(Mon_W1[[#This Row],[Employee Name]],'Base Schedules'!$A$113:$AW$158,21,FALSE)="","",VLOOKUP(Mon_W1[[#This Row],[Employee Name]],'Base Schedules'!$A$113:$AW$158,21,FALSE)),"")</f>
        <v>RNNR</v>
      </c>
      <c r="W13" s="184" t="str">
        <f>IFERROR(IF(VLOOKUP(Mon_W1[[#This Row],[Employee Name]],'Base Schedules'!$A$113:$AW$158,22,FALSE)="","",VLOOKUP(Mon_W1[[#This Row],[Employee Name]],'Base Schedules'!$A$113:$AW$158,22,FALSE)),"")</f>
        <v>RNNR</v>
      </c>
      <c r="X13" s="184" t="str">
        <f>IFERROR(IF(VLOOKUP(Mon_W1[[#This Row],[Employee Name]],'Base Schedules'!$A$113:$AW$158,23,FALSE)="","",VLOOKUP(Mon_W1[[#This Row],[Employee Name]],'Base Schedules'!$A$113:$AW$158,23,FALSE)),"")</f>
        <v>B2 HL</v>
      </c>
      <c r="Y13" s="184" t="str">
        <f>IFERROR(IF(VLOOKUP(Mon_W1[[#This Row],[Employee Name]],'Base Schedules'!$A$113:$AW$158,24,FALSE)="","",VLOOKUP(Mon_W1[[#This Row],[Employee Name]],'Base Schedules'!$A$113:$AW$158,24,FALSE)),"")</f>
        <v>HL</v>
      </c>
      <c r="Z13" s="184" t="str">
        <f>IFERROR(IF(VLOOKUP(Mon_W1[[#This Row],[Employee Name]],'Base Schedules'!$A$113:$AW$158,25,FALSE)="","",VLOOKUP(Mon_W1[[#This Row],[Employee Name]],'Base Schedules'!$A$113:$AW$158,25,FALSE)),"")</f>
        <v>HL</v>
      </c>
      <c r="AA13" s="184" t="str">
        <f>IFERROR(IF(VLOOKUP(Mon_W1[[#This Row],[Employee Name]],'Base Schedules'!$A$113:$AW$158,26,FALSE)="","",VLOOKUP(Mon_W1[[#This Row],[Employee Name]],'Base Schedules'!$A$113:$AW$158,26,FALSE)),"")</f>
        <v>ADM</v>
      </c>
      <c r="AB13" s="184" t="str">
        <f>IFERROR(IF(VLOOKUP(Mon_W1[[#This Row],[Employee Name]],'Base Schedules'!$A$113:$AW$158,27,FALSE)="","",VLOOKUP(Mon_W1[[#This Row],[Employee Name]],'Base Schedules'!$A$113:$AW$158,27,FALSE)),"")</f>
        <v>ADM</v>
      </c>
      <c r="AC13" s="184" t="str">
        <f>IFERROR(IF(VLOOKUP(Mon_W1[[#This Row],[Employee Name]],'Base Schedules'!$A$113:$AW$158,28,FALSE)="","",VLOOKUP(Mon_W1[[#This Row],[Employee Name]],'Base Schedules'!$A$113:$AW$158,28,FALSE)),"")</f>
        <v/>
      </c>
      <c r="AD13" s="184" t="str">
        <f>IFERROR(IF(VLOOKUP(Mon_W1[[#This Row],[Employee Name]],'Base Schedules'!$A$113:$AW$158,29,FALSE)="","",VLOOKUP(Mon_W1[[#This Row],[Employee Name]],'Base Schedules'!$A$113:$AW$158,29,FALSE)),"")</f>
        <v/>
      </c>
      <c r="AE13" s="184" t="str">
        <f>IFERROR(IF(VLOOKUP(Mon_W1[[#This Row],[Employee Name]],'Base Schedules'!$A$113:$AW$158,30,FALSE)="","",VLOOKUP(Mon_W1[[#This Row],[Employee Name]],'Base Schedules'!$A$113:$AW$158,30,FALSE)),"")</f>
        <v/>
      </c>
      <c r="AF13" s="184" t="str">
        <f>IFERROR(IF(VLOOKUP(Mon_W1[[#This Row],[Employee Name]],'Base Schedules'!$A$113:$AW$158,31,FALSE)="","",VLOOKUP(Mon_W1[[#This Row],[Employee Name]],'Base Schedules'!$A$113:$AW$158,31,FALSE)),"")</f>
        <v/>
      </c>
      <c r="AG13" s="184" t="str">
        <f>IFERROR(IF(VLOOKUP(Mon_W1[[#This Row],[Employee Name]],'Base Schedules'!$A$113:$AW$158,32,FALSE)="","",VLOOKUP(Mon_W1[[#This Row],[Employee Name]],'Base Schedules'!$A$113:$AW$158,32,FALSE)),"")</f>
        <v/>
      </c>
      <c r="AH13" s="184" t="str">
        <f>IFERROR(IF(VLOOKUP(Mon_W1[[#This Row],[Employee Name]],'Base Schedules'!$A$113:$AW$158,33,FALSE)="","",VLOOKUP(Mon_W1[[#This Row],[Employee Name]],'Base Schedules'!$A$113:$AW$158,33,FALSE)),"")</f>
        <v/>
      </c>
      <c r="AI13" s="184" t="str">
        <f>IFERROR(IF(VLOOKUP(Mon_W1[[#This Row],[Employee Name]],'Base Schedules'!$A$113:$AW$158,34,FALSE)="","",VLOOKUP(Mon_W1[[#This Row],[Employee Name]],'Base Schedules'!$A$113:$AW$158,34,FALSE)),"")</f>
        <v/>
      </c>
      <c r="AJ13" s="184" t="str">
        <f>IFERROR(IF(VLOOKUP(Mon_W1[[#This Row],[Employee Name]],'Base Schedules'!$A$113:$AW$158,35,FALSE)="","",VLOOKUP(Mon_W1[[#This Row],[Employee Name]],'Base Schedules'!$A$113:$AW$158,35,FALSE)),"")</f>
        <v/>
      </c>
      <c r="AK13" s="184" t="str">
        <f>IFERROR(IF(VLOOKUP(Mon_W1[[#This Row],[Employee Name]],'Base Schedules'!$A$113:$AW$158,36,FALSE)="","",VLOOKUP(Mon_W1[[#This Row],[Employee Name]],'Base Schedules'!$A$113:$AW$158,36,FALSE)),"")</f>
        <v/>
      </c>
      <c r="AL13" s="184" t="str">
        <f>IFERROR(IF(VLOOKUP(Mon_W1[[#This Row],[Employee Name]],'Base Schedules'!$A$113:$AW$158,37,FALSE)="","",VLOOKUP(Mon_W1[[#This Row],[Employee Name]],'Base Schedules'!$A$113:$AW$158,37,FALSE)),"")</f>
        <v/>
      </c>
      <c r="AM13" s="184" t="str">
        <f>IFERROR(IF(VLOOKUP(Mon_W1[[#This Row],[Employee Name]],'Base Schedules'!$A$113:$AW$158,38,FALSE)="","",VLOOKUP(Mon_W1[[#This Row],[Employee Name]],'Base Schedules'!$A$113:$AW$158,38,FALSE)),"")</f>
        <v/>
      </c>
      <c r="AN13" s="184" t="str">
        <f>IFERROR(IF(VLOOKUP(Mon_W1[[#This Row],[Employee Name]],'Base Schedules'!$A$113:$AW$158,39,FALSE)="","",VLOOKUP(Mon_W1[[#This Row],[Employee Name]],'Base Schedules'!$A$113:$AW$158,39,FALSE)),"")</f>
        <v/>
      </c>
      <c r="AO13" s="184" t="str">
        <f>IFERROR(IF(VLOOKUP(Mon_W1[[#This Row],[Employee Name]],'Base Schedules'!$A$113:$AW$158,40,FALSE)="","",VLOOKUP(Mon_W1[[#This Row],[Employee Name]],'Base Schedules'!$A$113:$AW$158,40,FALSE)),"")</f>
        <v/>
      </c>
      <c r="AP13" s="184" t="str">
        <f>IFERROR(IF(VLOOKUP(Mon_W1[[#This Row],[Employee Name]],'Base Schedules'!$A$113:$AW$158,41,FALSE)="","",VLOOKUP(Mon_W1[[#This Row],[Employee Name]],'Base Schedules'!$A$113:$AW$158,41,FALSE)),"")</f>
        <v/>
      </c>
      <c r="AQ13" s="184" t="str">
        <f>IFERROR(IF(VLOOKUP(Mon_W1[[#This Row],[Employee Name]],'Base Schedules'!$A$113:$AW$158,42,FALSE)="","",VLOOKUP(Mon_W1[[#This Row],[Employee Name]],'Base Schedules'!$A$113:$AW$158,42,FALSE)),"")</f>
        <v/>
      </c>
      <c r="AR13" s="184" t="str">
        <f>IFERROR(IF(VLOOKUP(Mon_W1[[#This Row],[Employee Name]],'Base Schedules'!$A$113:$AW$158,43,FALSE)="","",VLOOKUP(Mon_W1[[#This Row],[Employee Name]],'Base Schedules'!$A$113:$AW$158,43,FALSE)),"")</f>
        <v/>
      </c>
      <c r="AS13" s="184" t="str">
        <f>IFERROR(IF(VLOOKUP(Mon_W1[[#This Row],[Employee Name]],'Base Schedules'!$A$113:$AW$158,44,FALSE)="","",VLOOKUP(Mon_W1[[#This Row],[Employee Name]],'Base Schedules'!$A$113:$AW$158,44,FALSE)),"")</f>
        <v/>
      </c>
      <c r="AT13" s="184" t="str">
        <f>IFERROR(IF(VLOOKUP(Mon_W1[[#This Row],[Employee Name]],'Base Schedules'!$A$113:$AW$158,45,FALSE)="","",VLOOKUP(Mon_W1[[#This Row],[Employee Name]],'Base Schedules'!$A$113:$AW$158,45,FALSE)),"")</f>
        <v/>
      </c>
      <c r="AU13" s="184" t="str">
        <f>IFERROR(IF(VLOOKUP(Mon_W1[[#This Row],[Employee Name]],'Base Schedules'!$A$113:$AW$158,46,FALSE)="","",VLOOKUP(Mon_W1[[#This Row],[Employee Name]],'Base Schedules'!$A$113:$AW$158,46,FALSE)),"")</f>
        <v/>
      </c>
      <c r="AV13" s="184" t="str">
        <f>IFERROR(IF(VLOOKUP(Mon_W1[[#This Row],[Employee Name]],'Base Schedules'!$A$113:$AW$158,47,FALSE)="","",VLOOKUP(Mon_W1[[#This Row],[Employee Name]],'Base Schedules'!$A$113:$AW$158,47,FALSE)),"")</f>
        <v/>
      </c>
      <c r="AW13" s="184" t="str">
        <f>IFERROR(IF(VLOOKUP(Mon_W1[[#This Row],[Employee Name]],'Base Schedules'!$A$113:$AW$158,48,FALSE)="","",VLOOKUP(Mon_W1[[#This Row],[Employee Name]],'Base Schedules'!$A$113:$AW$158,48,FALSE)),"")</f>
        <v/>
      </c>
      <c r="AX13" s="184" t="str">
        <f>IFERROR(IF(VLOOKUP(Mon_W1[[#This Row],[Employee Name]],'Base Schedules'!$A$113:$AW$158,49,FALSE)="","",VLOOKUP(Mon_W1[[#This Row],[Employee Name]],'Base Schedules'!$A$113:$AW$158,49,FALSE)),"")</f>
        <v/>
      </c>
      <c r="AY13" s="164" t="str">
        <f t="shared" si="2"/>
        <v>Suarez, Alyssa</v>
      </c>
    </row>
    <row r="14" spans="1:51" s="44" customFormat="1" ht="12" x14ac:dyDescent="0.2">
      <c r="A14" s="39" t="str">
        <f>IF(B14="","",INDEX(TeamList[],MATCH($B14,TeamList[[Employee Name]:[Employee Name]],0),MATCH("Manager",TeamList[#Headers],0)))</f>
        <v>Paulson, Matthew</v>
      </c>
      <c r="B14" s="331" t="s">
        <v>17</v>
      </c>
      <c r="C14" s="257" t="str">
        <f>_xlfn.IFNA(VLOOKUP(Mon_W1[[#This Row],[Employee Name]],'Base Schedules'!A:B,2,FALSE),"")</f>
        <v>Supervisor</v>
      </c>
      <c r="D14" s="274">
        <f>_xlfn.IFNA(VLOOKUP(Mon_W1[[#This Row],[Employee Name]],'Base Schedules'!A:C,3,FALSE),"")</f>
        <v>530</v>
      </c>
      <c r="E14" s="274">
        <f>_xlfn.IFNA(VLOOKUP(Mon_W1[[#This Row],[Employee Name]],'Base Schedules'!A:D,4,FALSE),"")</f>
        <v>1430</v>
      </c>
      <c r="F14" s="142">
        <f>IF(Mon_W1[[#This Row],[Employee Name]]="","",IF(Mon_W1[[#This Row],[Dept]]="Supervisor",COUNTIFS($J14:$AX14,"*HL*",$J14:$AX14,"&lt;&gt;"&amp;"pHL"),COUNTIFS($J14:$AX14,"*HL*",$J14:$AX14,"&lt;&gt;"&amp;"*pHL*",$J14:$AX14,"&lt;&gt;"&amp;"pB1 HL",$J14:$AX14,"&lt;&gt;"&amp;"pB2 HL")-SUM(COUNTIFS($J14:$AX14,"*HL B1*",$J14:$AX14,"&lt;&gt;"&amp;"pHL B1")*0.5,COUNTIFS($J14:$AX14,"*HL B2*",$J14:$AX14,"&lt;&gt;"&amp;"pHL B2")*0.5,COUNTIFS($J14:$AX14,"*B1 HL*",$J14:$AX14,"&lt;&gt;"&amp;"pB1 HL")*0.5,COUNTIFS($J14:$AX14,"*B2 HL*",$J14:$AX14,"&lt;&gt;"&amp;"pB2 HL")*0.5)))</f>
        <v>0</v>
      </c>
      <c r="G14" s="142">
        <f t="shared" si="0"/>
        <v>0</v>
      </c>
      <c r="H14" s="142">
        <f t="shared" si="1"/>
        <v>0</v>
      </c>
      <c r="I14" s="142">
        <f>IF(Mon_W1[[#This Row],[Employee Name]]="","",IF(Mon_W1[[#This Row],[Dept]]="Supervisor",SUM(COUNTIFS($J14:$AX14,"RTA*",$J14:$AX14,"&lt;&gt;"&amp;"pRTA"),COUNTIFS($J14:$AX14,"*CRTA*",$J14:$AX14,"&lt;&gt;"&amp;"pCRTA")),COUNTIFS($J14:$AX14,"*RNNR*",$J14:$AX14,"&lt;&gt;"&amp;"*pRNNR*",$J14:$AX14,"&lt;&gt;"&amp;"pB1 RNNR",$J14:$AX14,"&lt;&gt;"&amp;"pB2 RNNR")-SUM(COUNTIFS($J14:$AX14,"*RNNR B1*",$J14:$AX14,"&lt;&gt;"&amp;"pRNNR B1")*0.5,COUNTIFS($J14:$AX14,"*RNNR B2*",$J14:$AX14,"&lt;&gt;"&amp;"pRNNR B2")*0.5,COUNTIFS($J14:$AX14,"*B1 RNNR*",$J14:$AX14,"&lt;&gt;"&amp;"pB1 RNNR")*0.5,COUNTIFS($J14:$AX14,"*B2 RNNR*",$J14:$AX14,"&lt;&gt;"&amp;"pB2 RNNR")*0.5)))</f>
        <v>0</v>
      </c>
      <c r="J14" s="184" t="str">
        <f>IFERROR(IF(VLOOKUP(Mon_W1[[#This Row],[Employee Name]],'Base Schedules'!$A$113:$AW$158,9,FALSE)="","",VLOOKUP(Mon_W1[[#This Row],[Employee Name]],'Base Schedules'!$A$113:$AW$158,9,FALSE)),"")</f>
        <v/>
      </c>
      <c r="K14" s="184" t="str">
        <f>IFERROR(IF(VLOOKUP(Mon_W1[[#This Row],[Employee Name]],'Base Schedules'!$A$113:$AW$158,10,FALSE)="","",VLOOKUP(Mon_W1[[#This Row],[Employee Name]],'Base Schedules'!$A$113:$AW$158,10,FALSE)),"")</f>
        <v>-</v>
      </c>
      <c r="L14" s="184" t="str">
        <f>IFERROR(IF(VLOOKUP(Mon_W1[[#This Row],[Employee Name]],'Base Schedules'!$A$113:$AW$158,11,FALSE)="","",VLOOKUP(Mon_W1[[#This Row],[Employee Name]],'Base Schedules'!$A$113:$AW$158,11,FALSE)),"")</f>
        <v>-</v>
      </c>
      <c r="M14" s="184" t="str">
        <f>IFERROR(IF(VLOOKUP(Mon_W1[[#This Row],[Employee Name]],'Base Schedules'!$A$113:$AW$158,12,FALSE)="","",VLOOKUP(Mon_W1[[#This Row],[Employee Name]],'Base Schedules'!$A$113:$AW$158,12,FALSE)),"")</f>
        <v>-</v>
      </c>
      <c r="N14" s="184" t="str">
        <f>IFERROR(IF(VLOOKUP(Mon_W1[[#This Row],[Employee Name]],'Base Schedules'!$A$113:$AW$158,13,FALSE)="","",VLOOKUP(Mon_W1[[#This Row],[Employee Name]],'Base Schedules'!$A$113:$AW$158,13,FALSE)),"")</f>
        <v>-</v>
      </c>
      <c r="O14" s="184" t="str">
        <f>IFERROR(IF(VLOOKUP(Mon_W1[[#This Row],[Employee Name]],'Base Schedules'!$A$113:$AW$158,14,FALSE)="","",VLOOKUP(Mon_W1[[#This Row],[Employee Name]],'Base Schedules'!$A$113:$AW$158,14,FALSE)),"")</f>
        <v>-</v>
      </c>
      <c r="P14" s="184" t="str">
        <f>IFERROR(IF(VLOOKUP(Mon_W1[[#This Row],[Employee Name]],'Base Schedules'!$A$113:$AW$158,15,FALSE)="","",VLOOKUP(Mon_W1[[#This Row],[Employee Name]],'Base Schedules'!$A$113:$AW$158,15,FALSE)),"")</f>
        <v>-</v>
      </c>
      <c r="Q14" s="184" t="str">
        <f>IFERROR(IF(VLOOKUP(Mon_W1[[#This Row],[Employee Name]],'Base Schedules'!$A$113:$AW$158,16,FALSE)="","",VLOOKUP(Mon_W1[[#This Row],[Employee Name]],'Base Schedules'!$A$113:$AW$158,16,FALSE)),"")</f>
        <v>-</v>
      </c>
      <c r="R14" s="184" t="str">
        <f>IFERROR(IF(VLOOKUP(Mon_W1[[#This Row],[Employee Name]],'Base Schedules'!$A$113:$AW$158,17,FALSE)="","",VLOOKUP(Mon_W1[[#This Row],[Employee Name]],'Base Schedules'!$A$113:$AW$158,17,FALSE)),"")</f>
        <v>Interview</v>
      </c>
      <c r="S14" s="184" t="str">
        <f>IFERROR(IF(VLOOKUP(Mon_W1[[#This Row],[Employee Name]],'Base Schedules'!$A$113:$AW$158,18,FALSE)="","",VLOOKUP(Mon_W1[[#This Row],[Employee Name]],'Base Schedules'!$A$113:$AW$158,18,FALSE)),"")</f>
        <v>Interview</v>
      </c>
      <c r="T14" s="184" t="str">
        <f>IFERROR(IF(VLOOKUP(Mon_W1[[#This Row],[Employee Name]],'Base Schedules'!$A$113:$AW$158,19,FALSE)="","",VLOOKUP(Mon_W1[[#This Row],[Employee Name]],'Base Schedules'!$A$113:$AW$158,19,FALSE)),"")</f>
        <v>-</v>
      </c>
      <c r="U14" s="184" t="str">
        <f>IFERROR(IF(VLOOKUP(Mon_W1[[#This Row],[Employee Name]],'Base Schedules'!$A$113:$AW$158,20,FALSE)="","",VLOOKUP(Mon_W1[[#This Row],[Employee Name]],'Base Schedules'!$A$113:$AW$158,20,FALSE)),"")</f>
        <v>-</v>
      </c>
      <c r="V14" s="184" t="str">
        <f>IFERROR(IF(VLOOKUP(Mon_W1[[#This Row],[Employee Name]],'Base Schedules'!$A$113:$AW$158,21,FALSE)="","",VLOOKUP(Mon_W1[[#This Row],[Employee Name]],'Base Schedules'!$A$113:$AW$158,21,FALSE)),"")</f>
        <v>-</v>
      </c>
      <c r="W14" s="184" t="str">
        <f>IFERROR(IF(VLOOKUP(Mon_W1[[#This Row],[Employee Name]],'Base Schedules'!$A$113:$AW$158,22,FALSE)="","",VLOOKUP(Mon_W1[[#This Row],[Employee Name]],'Base Schedules'!$A$113:$AW$158,22,FALSE)),"")</f>
        <v>-</v>
      </c>
      <c r="X14" s="184" t="str">
        <f>IFERROR(IF(VLOOKUP(Mon_W1[[#This Row],[Employee Name]],'Base Schedules'!$A$113:$AW$158,23,FALSE)="","",VLOOKUP(Mon_W1[[#This Row],[Employee Name]],'Base Schedules'!$A$113:$AW$158,23,FALSE)),"")</f>
        <v>-</v>
      </c>
      <c r="Y14" s="184" t="str">
        <f>IFERROR(IF(VLOOKUP(Mon_W1[[#This Row],[Employee Name]],'Base Schedules'!$A$113:$AW$158,24,FALSE)="","",VLOOKUP(Mon_W1[[#This Row],[Employee Name]],'Base Schedules'!$A$113:$AW$158,24,FALSE)),"")</f>
        <v>-</v>
      </c>
      <c r="Z14" s="184" t="str">
        <f>IFERROR(IF(VLOOKUP(Mon_W1[[#This Row],[Employee Name]],'Base Schedules'!$A$113:$AW$158,25,FALSE)="","",VLOOKUP(Mon_W1[[#This Row],[Employee Name]],'Base Schedules'!$A$113:$AW$158,25,FALSE)),"")</f>
        <v>Team Matt TM</v>
      </c>
      <c r="AA14" s="184" t="str">
        <f>IFERROR(IF(VLOOKUP(Mon_W1[[#This Row],[Employee Name]],'Base Schedules'!$A$113:$AW$158,26,FALSE)="","",VLOOKUP(Mon_W1[[#This Row],[Employee Name]],'Base Schedules'!$A$113:$AW$158,26,FALSE)),"")</f>
        <v>Team Matt TM</v>
      </c>
      <c r="AB14" s="184" t="str">
        <f>IFERROR(IF(VLOOKUP(Mon_W1[[#This Row],[Employee Name]],'Base Schedules'!$A$113:$AW$158,27,FALSE)="","",VLOOKUP(Mon_W1[[#This Row],[Employee Name]],'Base Schedules'!$A$113:$AW$158,27,FALSE)),"")</f>
        <v>-</v>
      </c>
      <c r="AC14" s="184" t="str">
        <f>IFERROR(IF(VLOOKUP(Mon_W1[[#This Row],[Employee Name]],'Base Schedules'!$A$113:$AW$158,28,FALSE)="","",VLOOKUP(Mon_W1[[#This Row],[Employee Name]],'Base Schedules'!$A$113:$AW$158,28,FALSE)),"")</f>
        <v/>
      </c>
      <c r="AD14" s="184" t="str">
        <f>IFERROR(IF(VLOOKUP(Mon_W1[[#This Row],[Employee Name]],'Base Schedules'!$A$113:$AW$158,29,FALSE)="","",VLOOKUP(Mon_W1[[#This Row],[Employee Name]],'Base Schedules'!$A$113:$AW$158,29,FALSE)),"")</f>
        <v/>
      </c>
      <c r="AE14" s="184" t="str">
        <f>IFERROR(IF(VLOOKUP(Mon_W1[[#This Row],[Employee Name]],'Base Schedules'!$A$113:$AW$158,30,FALSE)="","",VLOOKUP(Mon_W1[[#This Row],[Employee Name]],'Base Schedules'!$A$113:$AW$158,30,FALSE)),"")</f>
        <v/>
      </c>
      <c r="AF14" s="184" t="str">
        <f>IFERROR(IF(VLOOKUP(Mon_W1[[#This Row],[Employee Name]],'Base Schedules'!$A$113:$AW$158,31,FALSE)="","",VLOOKUP(Mon_W1[[#This Row],[Employee Name]],'Base Schedules'!$A$113:$AW$158,31,FALSE)),"")</f>
        <v/>
      </c>
      <c r="AG14" s="184" t="str">
        <f>IFERROR(IF(VLOOKUP(Mon_W1[[#This Row],[Employee Name]],'Base Schedules'!$A$113:$AW$158,32,FALSE)="","",VLOOKUP(Mon_W1[[#This Row],[Employee Name]],'Base Schedules'!$A$113:$AW$158,32,FALSE)),"")</f>
        <v/>
      </c>
      <c r="AH14" s="184" t="str">
        <f>IFERROR(IF(VLOOKUP(Mon_W1[[#This Row],[Employee Name]],'Base Schedules'!$A$113:$AW$158,33,FALSE)="","",VLOOKUP(Mon_W1[[#This Row],[Employee Name]],'Base Schedules'!$A$113:$AW$158,33,FALSE)),"")</f>
        <v/>
      </c>
      <c r="AI14" s="184" t="str">
        <f>IFERROR(IF(VLOOKUP(Mon_W1[[#This Row],[Employee Name]],'Base Schedules'!$A$113:$AW$158,34,FALSE)="","",VLOOKUP(Mon_W1[[#This Row],[Employee Name]],'Base Schedules'!$A$113:$AW$158,34,FALSE)),"")</f>
        <v/>
      </c>
      <c r="AJ14" s="184" t="str">
        <f>IFERROR(IF(VLOOKUP(Mon_W1[[#This Row],[Employee Name]],'Base Schedules'!$A$113:$AW$158,35,FALSE)="","",VLOOKUP(Mon_W1[[#This Row],[Employee Name]],'Base Schedules'!$A$113:$AW$158,35,FALSE)),"")</f>
        <v/>
      </c>
      <c r="AK14" s="184" t="str">
        <f>IFERROR(IF(VLOOKUP(Mon_W1[[#This Row],[Employee Name]],'Base Schedules'!$A$113:$AW$158,36,FALSE)="","",VLOOKUP(Mon_W1[[#This Row],[Employee Name]],'Base Schedules'!$A$113:$AW$158,36,FALSE)),"")</f>
        <v/>
      </c>
      <c r="AL14" s="184" t="str">
        <f>IFERROR(IF(VLOOKUP(Mon_W1[[#This Row],[Employee Name]],'Base Schedules'!$A$113:$AW$158,37,FALSE)="","",VLOOKUP(Mon_W1[[#This Row],[Employee Name]],'Base Schedules'!$A$113:$AW$158,37,FALSE)),"")</f>
        <v/>
      </c>
      <c r="AM14" s="184" t="str">
        <f>IFERROR(IF(VLOOKUP(Mon_W1[[#This Row],[Employee Name]],'Base Schedules'!$A$113:$AW$158,38,FALSE)="","",VLOOKUP(Mon_W1[[#This Row],[Employee Name]],'Base Schedules'!$A$113:$AW$158,38,FALSE)),"")</f>
        <v/>
      </c>
      <c r="AN14" s="184" t="str">
        <f>IFERROR(IF(VLOOKUP(Mon_W1[[#This Row],[Employee Name]],'Base Schedules'!$A$113:$AW$158,39,FALSE)="","",VLOOKUP(Mon_W1[[#This Row],[Employee Name]],'Base Schedules'!$A$113:$AW$158,39,FALSE)),"")</f>
        <v/>
      </c>
      <c r="AO14" s="184" t="str">
        <f>IFERROR(IF(VLOOKUP(Mon_W1[[#This Row],[Employee Name]],'Base Schedules'!$A$113:$AW$158,40,FALSE)="","",VLOOKUP(Mon_W1[[#This Row],[Employee Name]],'Base Schedules'!$A$113:$AW$158,40,FALSE)),"")</f>
        <v/>
      </c>
      <c r="AP14" s="184" t="str">
        <f>IFERROR(IF(VLOOKUP(Mon_W1[[#This Row],[Employee Name]],'Base Schedules'!$A$113:$AW$158,41,FALSE)="","",VLOOKUP(Mon_W1[[#This Row],[Employee Name]],'Base Schedules'!$A$113:$AW$158,41,FALSE)),"")</f>
        <v/>
      </c>
      <c r="AQ14" s="184" t="str">
        <f>IFERROR(IF(VLOOKUP(Mon_W1[[#This Row],[Employee Name]],'Base Schedules'!$A$113:$AW$158,42,FALSE)="","",VLOOKUP(Mon_W1[[#This Row],[Employee Name]],'Base Schedules'!$A$113:$AW$158,42,FALSE)),"")</f>
        <v/>
      </c>
      <c r="AR14" s="184" t="str">
        <f>IFERROR(IF(VLOOKUP(Mon_W1[[#This Row],[Employee Name]],'Base Schedules'!$A$113:$AW$158,43,FALSE)="","",VLOOKUP(Mon_W1[[#This Row],[Employee Name]],'Base Schedules'!$A$113:$AW$158,43,FALSE)),"")</f>
        <v/>
      </c>
      <c r="AS14" s="184" t="str">
        <f>IFERROR(IF(VLOOKUP(Mon_W1[[#This Row],[Employee Name]],'Base Schedules'!$A$113:$AW$158,44,FALSE)="","",VLOOKUP(Mon_W1[[#This Row],[Employee Name]],'Base Schedules'!$A$113:$AW$158,44,FALSE)),"")</f>
        <v/>
      </c>
      <c r="AT14" s="184" t="str">
        <f>IFERROR(IF(VLOOKUP(Mon_W1[[#This Row],[Employee Name]],'Base Schedules'!$A$113:$AW$158,45,FALSE)="","",VLOOKUP(Mon_W1[[#This Row],[Employee Name]],'Base Schedules'!$A$113:$AW$158,45,FALSE)),"")</f>
        <v/>
      </c>
      <c r="AU14" s="184" t="str">
        <f>IFERROR(IF(VLOOKUP(Mon_W1[[#This Row],[Employee Name]],'Base Schedules'!$A$113:$AW$158,46,FALSE)="","",VLOOKUP(Mon_W1[[#This Row],[Employee Name]],'Base Schedules'!$A$113:$AW$158,46,FALSE)),"")</f>
        <v/>
      </c>
      <c r="AV14" s="184" t="str">
        <f>IFERROR(IF(VLOOKUP(Mon_W1[[#This Row],[Employee Name]],'Base Schedules'!$A$113:$AW$158,47,FALSE)="","",VLOOKUP(Mon_W1[[#This Row],[Employee Name]],'Base Schedules'!$A$113:$AW$158,47,FALSE)),"")</f>
        <v/>
      </c>
      <c r="AW14" s="184" t="str">
        <f>IFERROR(IF(VLOOKUP(Mon_W1[[#This Row],[Employee Name]],'Base Schedules'!$A$113:$AW$158,48,FALSE)="","",VLOOKUP(Mon_W1[[#This Row],[Employee Name]],'Base Schedules'!$A$113:$AW$158,48,FALSE)),"")</f>
        <v/>
      </c>
      <c r="AX14" s="184" t="str">
        <f>IFERROR(IF(VLOOKUP(Mon_W1[[#This Row],[Employee Name]],'Base Schedules'!$A$113:$AW$158,49,FALSE)="","",VLOOKUP(Mon_W1[[#This Row],[Employee Name]],'Base Schedules'!$A$113:$AW$158,49,FALSE)),"")</f>
        <v/>
      </c>
      <c r="AY14" s="164" t="str">
        <f t="shared" si="2"/>
        <v>Breen, Mark</v>
      </c>
    </row>
    <row r="15" spans="1:51" s="44" customFormat="1" ht="12" x14ac:dyDescent="0.2">
      <c r="A15" s="39" t="str">
        <f>IF(B15="","",INDEX(TeamList[],MATCH($B15,TeamList[[Employee Name]:[Employee Name]],0),MATCH("Manager",TeamList[#Headers],0)))</f>
        <v>Olson, Katherine</v>
      </c>
      <c r="B15" s="201" t="s">
        <v>19</v>
      </c>
      <c r="C15" s="257" t="str">
        <f>_xlfn.IFNA(VLOOKUP(Mon_W1[[#This Row],[Employee Name]],'Base Schedules'!A:B,2,FALSE),"")</f>
        <v>Lead</v>
      </c>
      <c r="D15" s="274">
        <f>_xlfn.IFNA(VLOOKUP(Mon_W1[[#This Row],[Employee Name]],'Base Schedules'!A:C,3,FALSE),"")</f>
        <v>600</v>
      </c>
      <c r="E15" s="274">
        <f>_xlfn.IFNA(VLOOKUP(Mon_W1[[#This Row],[Employee Name]],'Base Schedules'!A:D,4,FALSE),"")</f>
        <v>1430</v>
      </c>
      <c r="F15" s="142">
        <f>IF(Mon_W1[[#This Row],[Employee Name]]="","",IF(Mon_W1[[#This Row],[Dept]]="Supervisor",COUNTIFS($J15:$AX15,"*HL*",$J15:$AX15,"&lt;&gt;"&amp;"pHL"),COUNTIFS($J15:$AX15,"*HL*",$J15:$AX15,"&lt;&gt;"&amp;"*pHL*",$J15:$AX15,"&lt;&gt;"&amp;"pB1 HL",$J15:$AX15,"&lt;&gt;"&amp;"pB2 HL")-SUM(COUNTIFS($J15:$AX15,"*HL B1*",$J15:$AX15,"&lt;&gt;"&amp;"pHL B1")*0.5,COUNTIFS($J15:$AX15,"*HL B2*",$J15:$AX15,"&lt;&gt;"&amp;"pHL B2")*0.5,COUNTIFS($J15:$AX15,"*B1 HL*",$J15:$AX15,"&lt;&gt;"&amp;"pB1 HL")*0.5,COUNTIFS($J15:$AX15,"*B2 HL*",$J15:$AX15,"&lt;&gt;"&amp;"pB2 HL")*0.5)))</f>
        <v>5</v>
      </c>
      <c r="G15" s="142">
        <f t="shared" si="0"/>
        <v>0</v>
      </c>
      <c r="H15" s="142">
        <f t="shared" si="1"/>
        <v>7</v>
      </c>
      <c r="I15" s="142">
        <f>IF(Mon_W1[[#This Row],[Employee Name]]="","",IF(Mon_W1[[#This Row],[Dept]]="Supervisor",SUM(COUNTIFS($J15:$AX15,"RTA*",$J15:$AX15,"&lt;&gt;"&amp;"pRTA"),COUNTIFS($J15:$AX15,"*CRTA*",$J15:$AX15,"&lt;&gt;"&amp;"pCRTA")),COUNTIFS($J15:$AX15,"*RNNR*",$J15:$AX15,"&lt;&gt;"&amp;"*pRNNR*",$J15:$AX15,"&lt;&gt;"&amp;"pB1 RNNR",$J15:$AX15,"&lt;&gt;"&amp;"pB2 RNNR")-SUM(COUNTIFS($J15:$AX15,"*RNNR B1*",$J15:$AX15,"&lt;&gt;"&amp;"pRNNR B1")*0.5,COUNTIFS($J15:$AX15,"*RNNR B2*",$J15:$AX15,"&lt;&gt;"&amp;"pRNNR B2")*0.5,COUNTIFS($J15:$AX15,"*B1 RNNR*",$J15:$AX15,"&lt;&gt;"&amp;"pB1 RNNR")*0.5,COUNTIFS($J15:$AX15,"*B2 RNNR*",$J15:$AX15,"&lt;&gt;"&amp;"pB2 RNNR")*0.5)))</f>
        <v>2</v>
      </c>
      <c r="J15" s="184" t="str">
        <f>IFERROR(IF(VLOOKUP(Mon_W1[[#This Row],[Employee Name]],'Base Schedules'!$A$113:$AW$158,9,FALSE)="","",VLOOKUP(Mon_W1[[#This Row],[Employee Name]],'Base Schedules'!$A$113:$AW$158,9,FALSE)),"")</f>
        <v/>
      </c>
      <c r="K15" s="184" t="str">
        <f>IFERROR(IF(VLOOKUP(Mon_W1[[#This Row],[Employee Name]],'Base Schedules'!$A$113:$AW$158,10,FALSE)="","",VLOOKUP(Mon_W1[[#This Row],[Employee Name]],'Base Schedules'!$A$113:$AW$158,10,FALSE)),"")</f>
        <v/>
      </c>
      <c r="L15" s="184" t="str">
        <f>IFERROR(IF(VLOOKUP(Mon_W1[[#This Row],[Employee Name]],'Base Schedules'!$A$113:$AW$158,11,FALSE)="","",VLOOKUP(Mon_W1[[#This Row],[Employee Name]],'Base Schedules'!$A$113:$AW$158,11,FALSE)),"")</f>
        <v>HL</v>
      </c>
      <c r="M15" s="184" t="str">
        <f>IFERROR(IF(VLOOKUP(Mon_W1[[#This Row],[Employee Name]],'Base Schedules'!$A$113:$AW$158,12,FALSE)="","",VLOOKUP(Mon_W1[[#This Row],[Employee Name]],'Base Schedules'!$A$113:$AW$158,12,FALSE)),"")</f>
        <v>HL</v>
      </c>
      <c r="N15" s="184" t="str">
        <f>IFERROR(IF(VLOOKUP(Mon_W1[[#This Row],[Employee Name]],'Base Schedules'!$A$113:$AW$158,13,FALSE)="","",VLOOKUP(Mon_W1[[#This Row],[Employee Name]],'Base Schedules'!$A$113:$AW$158,13,FALSE)),"")</f>
        <v>ADM</v>
      </c>
      <c r="O15" s="184" t="str">
        <f>IFERROR(IF(VLOOKUP(Mon_W1[[#This Row],[Employee Name]],'Base Schedules'!$A$113:$AW$158,14,FALSE)="","",VLOOKUP(Mon_W1[[#This Row],[Employee Name]],'Base Schedules'!$A$113:$AW$158,14,FALSE)),"")</f>
        <v>ADM</v>
      </c>
      <c r="P15" s="184" t="str">
        <f>IFERROR(IF(VLOOKUP(Mon_W1[[#This Row],[Employee Name]],'Base Schedules'!$A$113:$AW$158,15,FALSE)="","",VLOOKUP(Mon_W1[[#This Row],[Employee Name]],'Base Schedules'!$A$113:$AW$158,15,FALSE)),"")</f>
        <v>B1 ADM</v>
      </c>
      <c r="Q15" s="184" t="str">
        <f>IFERROR(IF(VLOOKUP(Mon_W1[[#This Row],[Employee Name]],'Base Schedules'!$A$113:$AW$158,16,FALSE)="","",VLOOKUP(Mon_W1[[#This Row],[Employee Name]],'Base Schedules'!$A$113:$AW$158,16,FALSE)),"")</f>
        <v>ADM</v>
      </c>
      <c r="R15" s="184" t="str">
        <f>IFERROR(IF(VLOOKUP(Mon_W1[[#This Row],[Employee Name]],'Base Schedules'!$A$113:$AW$158,17,FALSE)="","",VLOOKUP(Mon_W1[[#This Row],[Employee Name]],'Base Schedules'!$A$113:$AW$158,17,FALSE)),"")</f>
        <v>RNNR</v>
      </c>
      <c r="S15" s="184" t="str">
        <f>IFERROR(IF(VLOOKUP(Mon_W1[[#This Row],[Employee Name]],'Base Schedules'!$A$113:$AW$158,18,FALSE)="","",VLOOKUP(Mon_W1[[#This Row],[Employee Name]],'Base Schedules'!$A$113:$AW$158,18,FALSE)),"")</f>
        <v>RNNR</v>
      </c>
      <c r="T15" s="184" t="str">
        <f>IFERROR(IF(VLOOKUP(Mon_W1[[#This Row],[Employee Name]],'Base Schedules'!$A$113:$AW$158,19,FALSE)="","",VLOOKUP(Mon_W1[[#This Row],[Employee Name]],'Base Schedules'!$A$113:$AW$158,19,FALSE)),"")</f>
        <v>HL</v>
      </c>
      <c r="U15" s="184" t="str">
        <f>IFERROR(IF(VLOOKUP(Mon_W1[[#This Row],[Employee Name]],'Base Schedules'!$A$113:$AW$158,20,FALSE)="","",VLOOKUP(Mon_W1[[#This Row],[Employee Name]],'Base Schedules'!$A$113:$AW$158,20,FALSE)),"")</f>
        <v>LUNCH</v>
      </c>
      <c r="V15" s="184" t="str">
        <f>IFERROR(IF(VLOOKUP(Mon_W1[[#This Row],[Employee Name]],'Base Schedules'!$A$113:$AW$158,21,FALSE)="","",VLOOKUP(Mon_W1[[#This Row],[Employee Name]],'Base Schedules'!$A$113:$AW$158,21,FALSE)),"")</f>
        <v>ADM</v>
      </c>
      <c r="W15" s="184" t="str">
        <f>IFERROR(IF(VLOOKUP(Mon_W1[[#This Row],[Employee Name]],'Base Schedules'!$A$113:$AW$158,22,FALSE)="","",VLOOKUP(Mon_W1[[#This Row],[Employee Name]],'Base Schedules'!$A$113:$AW$158,22,FALSE)),"")</f>
        <v>ADM</v>
      </c>
      <c r="X15" s="184" t="str">
        <f>IFERROR(IF(VLOOKUP(Mon_W1[[#This Row],[Employee Name]],'Base Schedules'!$A$113:$AW$158,23,FALSE)="","",VLOOKUP(Mon_W1[[#This Row],[Employee Name]],'Base Schedules'!$A$113:$AW$158,23,FALSE)),"")</f>
        <v>PROJECT</v>
      </c>
      <c r="Y15" s="184" t="str">
        <f>IFERROR(IF(VLOOKUP(Mon_W1[[#This Row],[Employee Name]],'Base Schedules'!$A$113:$AW$158,24,FALSE)="","",VLOOKUP(Mon_W1[[#This Row],[Employee Name]],'Base Schedules'!$A$113:$AW$158,24,FALSE)),"")</f>
        <v>PROJECT</v>
      </c>
      <c r="Z15" s="184" t="str">
        <f>IFERROR(IF(VLOOKUP(Mon_W1[[#This Row],[Employee Name]],'Base Schedules'!$A$113:$AW$158,25,FALSE)="","",VLOOKUP(Mon_W1[[#This Row],[Employee Name]],'Base Schedules'!$A$113:$AW$158,25,FALSE)),"")</f>
        <v>ADM B2</v>
      </c>
      <c r="AA15" s="184" t="str">
        <f>IFERROR(IF(VLOOKUP(Mon_W1[[#This Row],[Employee Name]],'Base Schedules'!$A$113:$AW$158,26,FALSE)="","",VLOOKUP(Mon_W1[[#This Row],[Employee Name]],'Base Schedules'!$A$113:$AW$158,26,FALSE)),"")</f>
        <v>HL</v>
      </c>
      <c r="AB15" s="184" t="str">
        <f>IFERROR(IF(VLOOKUP(Mon_W1[[#This Row],[Employee Name]],'Base Schedules'!$A$113:$AW$158,27,FALSE)="","",VLOOKUP(Mon_W1[[#This Row],[Employee Name]],'Base Schedules'!$A$113:$AW$158,27,FALSE)),"")</f>
        <v>HL</v>
      </c>
      <c r="AC15" s="184" t="str">
        <f>IFERROR(IF(VLOOKUP(Mon_W1[[#This Row],[Employee Name]],'Base Schedules'!$A$113:$AW$158,28,FALSE)="","",VLOOKUP(Mon_W1[[#This Row],[Employee Name]],'Base Schedules'!$A$113:$AW$158,28,FALSE)),"")</f>
        <v/>
      </c>
      <c r="AD15" s="184" t="str">
        <f>IFERROR(IF(VLOOKUP(Mon_W1[[#This Row],[Employee Name]],'Base Schedules'!$A$113:$AW$158,29,FALSE)="","",VLOOKUP(Mon_W1[[#This Row],[Employee Name]],'Base Schedules'!$A$113:$AW$158,29,FALSE)),"")</f>
        <v/>
      </c>
      <c r="AE15" s="184" t="str">
        <f>IFERROR(IF(VLOOKUP(Mon_W1[[#This Row],[Employee Name]],'Base Schedules'!$A$113:$AW$158,30,FALSE)="","",VLOOKUP(Mon_W1[[#This Row],[Employee Name]],'Base Schedules'!$A$113:$AW$158,30,FALSE)),"")</f>
        <v/>
      </c>
      <c r="AF15" s="184" t="str">
        <f>IFERROR(IF(VLOOKUP(Mon_W1[[#This Row],[Employee Name]],'Base Schedules'!$A$113:$AW$158,31,FALSE)="","",VLOOKUP(Mon_W1[[#This Row],[Employee Name]],'Base Schedules'!$A$113:$AW$158,31,FALSE)),"")</f>
        <v/>
      </c>
      <c r="AG15" s="184" t="str">
        <f>IFERROR(IF(VLOOKUP(Mon_W1[[#This Row],[Employee Name]],'Base Schedules'!$A$113:$AW$158,32,FALSE)="","",VLOOKUP(Mon_W1[[#This Row],[Employee Name]],'Base Schedules'!$A$113:$AW$158,32,FALSE)),"")</f>
        <v/>
      </c>
      <c r="AH15" s="184" t="str">
        <f>IFERROR(IF(VLOOKUP(Mon_W1[[#This Row],[Employee Name]],'Base Schedules'!$A$113:$AW$158,33,FALSE)="","",VLOOKUP(Mon_W1[[#This Row],[Employee Name]],'Base Schedules'!$A$113:$AW$158,33,FALSE)),"")</f>
        <v/>
      </c>
      <c r="AI15" s="184" t="str">
        <f>IFERROR(IF(VLOOKUP(Mon_W1[[#This Row],[Employee Name]],'Base Schedules'!$A$113:$AW$158,34,FALSE)="","",VLOOKUP(Mon_W1[[#This Row],[Employee Name]],'Base Schedules'!$A$113:$AW$158,34,FALSE)),"")</f>
        <v/>
      </c>
      <c r="AJ15" s="184" t="str">
        <f>IFERROR(IF(VLOOKUP(Mon_W1[[#This Row],[Employee Name]],'Base Schedules'!$A$113:$AW$158,35,FALSE)="","",VLOOKUP(Mon_W1[[#This Row],[Employee Name]],'Base Schedules'!$A$113:$AW$158,35,FALSE)),"")</f>
        <v/>
      </c>
      <c r="AK15" s="184" t="str">
        <f>IFERROR(IF(VLOOKUP(Mon_W1[[#This Row],[Employee Name]],'Base Schedules'!$A$113:$AW$158,36,FALSE)="","",VLOOKUP(Mon_W1[[#This Row],[Employee Name]],'Base Schedules'!$A$113:$AW$158,36,FALSE)),"")</f>
        <v/>
      </c>
      <c r="AL15" s="184" t="str">
        <f>IFERROR(IF(VLOOKUP(Mon_W1[[#This Row],[Employee Name]],'Base Schedules'!$A$113:$AW$158,37,FALSE)="","",VLOOKUP(Mon_W1[[#This Row],[Employee Name]],'Base Schedules'!$A$113:$AW$158,37,FALSE)),"")</f>
        <v/>
      </c>
      <c r="AM15" s="184" t="str">
        <f>IFERROR(IF(VLOOKUP(Mon_W1[[#This Row],[Employee Name]],'Base Schedules'!$A$113:$AW$158,38,FALSE)="","",VLOOKUP(Mon_W1[[#This Row],[Employee Name]],'Base Schedules'!$A$113:$AW$158,38,FALSE)),"")</f>
        <v/>
      </c>
      <c r="AN15" s="184" t="str">
        <f>IFERROR(IF(VLOOKUP(Mon_W1[[#This Row],[Employee Name]],'Base Schedules'!$A$113:$AW$158,39,FALSE)="","",VLOOKUP(Mon_W1[[#This Row],[Employee Name]],'Base Schedules'!$A$113:$AW$158,39,FALSE)),"")</f>
        <v/>
      </c>
      <c r="AO15" s="184" t="str">
        <f>IFERROR(IF(VLOOKUP(Mon_W1[[#This Row],[Employee Name]],'Base Schedules'!$A$113:$AW$158,40,FALSE)="","",VLOOKUP(Mon_W1[[#This Row],[Employee Name]],'Base Schedules'!$A$113:$AW$158,40,FALSE)),"")</f>
        <v/>
      </c>
      <c r="AP15" s="184" t="str">
        <f>IFERROR(IF(VLOOKUP(Mon_W1[[#This Row],[Employee Name]],'Base Schedules'!$A$113:$AW$158,41,FALSE)="","",VLOOKUP(Mon_W1[[#This Row],[Employee Name]],'Base Schedules'!$A$113:$AW$158,41,FALSE)),"")</f>
        <v/>
      </c>
      <c r="AQ15" s="184" t="str">
        <f>IFERROR(IF(VLOOKUP(Mon_W1[[#This Row],[Employee Name]],'Base Schedules'!$A$113:$AW$158,42,FALSE)="","",VLOOKUP(Mon_W1[[#This Row],[Employee Name]],'Base Schedules'!$A$113:$AW$158,42,FALSE)),"")</f>
        <v/>
      </c>
      <c r="AR15" s="184" t="str">
        <f>IFERROR(IF(VLOOKUP(Mon_W1[[#This Row],[Employee Name]],'Base Schedules'!$A$113:$AW$158,43,FALSE)="","",VLOOKUP(Mon_W1[[#This Row],[Employee Name]],'Base Schedules'!$A$113:$AW$158,43,FALSE)),"")</f>
        <v/>
      </c>
      <c r="AS15" s="184" t="str">
        <f>IFERROR(IF(VLOOKUP(Mon_W1[[#This Row],[Employee Name]],'Base Schedules'!$A$113:$AW$158,44,FALSE)="","",VLOOKUP(Mon_W1[[#This Row],[Employee Name]],'Base Schedules'!$A$113:$AW$158,44,FALSE)),"")</f>
        <v/>
      </c>
      <c r="AT15" s="184" t="str">
        <f>IFERROR(IF(VLOOKUP(Mon_W1[[#This Row],[Employee Name]],'Base Schedules'!$A$113:$AW$158,45,FALSE)="","",VLOOKUP(Mon_W1[[#This Row],[Employee Name]],'Base Schedules'!$A$113:$AW$158,45,FALSE)),"")</f>
        <v/>
      </c>
      <c r="AU15" s="184" t="str">
        <f>IFERROR(IF(VLOOKUP(Mon_W1[[#This Row],[Employee Name]],'Base Schedules'!$A$113:$AW$158,46,FALSE)="","",VLOOKUP(Mon_W1[[#This Row],[Employee Name]],'Base Schedules'!$A$113:$AW$158,46,FALSE)),"")</f>
        <v/>
      </c>
      <c r="AV15" s="184" t="str">
        <f>IFERROR(IF(VLOOKUP(Mon_W1[[#This Row],[Employee Name]],'Base Schedules'!$A$113:$AW$158,47,FALSE)="","",VLOOKUP(Mon_W1[[#This Row],[Employee Name]],'Base Schedules'!$A$113:$AW$158,47,FALSE)),"")</f>
        <v/>
      </c>
      <c r="AW15" s="184" t="str">
        <f>IFERROR(IF(VLOOKUP(Mon_W1[[#This Row],[Employee Name]],'Base Schedules'!$A$113:$AW$158,48,FALSE)="","",VLOOKUP(Mon_W1[[#This Row],[Employee Name]],'Base Schedules'!$A$113:$AW$158,48,FALSE)),"")</f>
        <v/>
      </c>
      <c r="AX15" s="184" t="str">
        <f>IFERROR(IF(VLOOKUP(Mon_W1[[#This Row],[Employee Name]],'Base Schedules'!$A$113:$AW$158,49,FALSE)="","",VLOOKUP(Mon_W1[[#This Row],[Employee Name]],'Base Schedules'!$A$113:$AW$158,49,FALSE)),"")</f>
        <v/>
      </c>
      <c r="AY15" s="164" t="str">
        <f t="shared" si="2"/>
        <v>Albert, Christina</v>
      </c>
    </row>
    <row r="16" spans="1:51" s="44" customFormat="1" ht="12" x14ac:dyDescent="0.2">
      <c r="A16" s="39" t="str">
        <f>IF(B16="","",INDEX(TeamList[],MATCH($B16,TeamList[[Employee Name]:[Employee Name]],0),MATCH("Manager",TeamList[#Headers],0)))</f>
        <v>Paulson, Matthew</v>
      </c>
      <c r="B16" s="201" t="s">
        <v>20</v>
      </c>
      <c r="C16" s="257" t="str">
        <f>_xlfn.IFNA(VLOOKUP(Mon_W1[[#This Row],[Employee Name]],'Base Schedules'!A:B,2,FALSE),"")</f>
        <v>Supervisor</v>
      </c>
      <c r="D16" s="274">
        <f>_xlfn.IFNA(VLOOKUP(Mon_W1[[#This Row],[Employee Name]],'Base Schedules'!A:C,3,FALSE),"")</f>
        <v>600</v>
      </c>
      <c r="E16" s="274">
        <f>_xlfn.IFNA(VLOOKUP(Mon_W1[[#This Row],[Employee Name]],'Base Schedules'!A:D,4,FALSE),"")</f>
        <v>1500</v>
      </c>
      <c r="F16" s="142">
        <f>IF(Mon_W1[[#This Row],[Employee Name]]="","",IF(Mon_W1[[#This Row],[Dept]]="Supervisor",COUNTIFS($J16:$AX16,"*HL*",$J16:$AX16,"&lt;&gt;"&amp;"pHL"),COUNTIFS($J16:$AX16,"*HL*",$J16:$AX16,"&lt;&gt;"&amp;"*pHL*",$J16:$AX16,"&lt;&gt;"&amp;"pB1 HL",$J16:$AX16,"&lt;&gt;"&amp;"pB2 HL")-SUM(COUNTIFS($J16:$AX16,"*HL B1*",$J16:$AX16,"&lt;&gt;"&amp;"pHL B1")*0.5,COUNTIFS($J16:$AX16,"*HL B2*",$J16:$AX16,"&lt;&gt;"&amp;"pHL B2")*0.5,COUNTIFS($J16:$AX16,"*B1 HL*",$J16:$AX16,"&lt;&gt;"&amp;"pB1 HL")*0.5,COUNTIFS($J16:$AX16,"*B2 HL*",$J16:$AX16,"&lt;&gt;"&amp;"pB2 HL")*0.5)))</f>
        <v>0</v>
      </c>
      <c r="G16" s="142">
        <f t="shared" si="0"/>
        <v>0</v>
      </c>
      <c r="H16" s="142">
        <f t="shared" si="1"/>
        <v>0</v>
      </c>
      <c r="I16" s="142">
        <f>IF(Mon_W1[[#This Row],[Employee Name]]="","",IF(Mon_W1[[#This Row],[Dept]]="Supervisor",SUM(COUNTIFS($J16:$AX16,"RTA*",$J16:$AX16,"&lt;&gt;"&amp;"pRTA"),COUNTIFS($J16:$AX16,"*CRTA*",$J16:$AX16,"&lt;&gt;"&amp;"pCRTA")),COUNTIFS($J16:$AX16,"*RNNR*",$J16:$AX16,"&lt;&gt;"&amp;"*pRNNR*",$J16:$AX16,"&lt;&gt;"&amp;"pB1 RNNR",$J16:$AX16,"&lt;&gt;"&amp;"pB2 RNNR")-SUM(COUNTIFS($J16:$AX16,"*RNNR B1*",$J16:$AX16,"&lt;&gt;"&amp;"pRNNR B1")*0.5,COUNTIFS($J16:$AX16,"*RNNR B2*",$J16:$AX16,"&lt;&gt;"&amp;"pRNNR B2")*0.5,COUNTIFS($J16:$AX16,"*B1 RNNR*",$J16:$AX16,"&lt;&gt;"&amp;"pB1 RNNR")*0.5,COUNTIFS($J16:$AX16,"*B2 RNNR*",$J16:$AX16,"&lt;&gt;"&amp;"pB2 RNNR")*0.5)))</f>
        <v>0</v>
      </c>
      <c r="J16" s="184" t="str">
        <f>IFERROR(IF(VLOOKUP(Mon_W1[[#This Row],[Employee Name]],'Base Schedules'!$A$113:$AW$158,9,FALSE)="","",VLOOKUP(Mon_W1[[#This Row],[Employee Name]],'Base Schedules'!$A$113:$AW$158,9,FALSE)),"")</f>
        <v/>
      </c>
      <c r="K16" s="184" t="str">
        <f>IFERROR(IF(VLOOKUP(Mon_W1[[#This Row],[Employee Name]],'Base Schedules'!$A$113:$AW$158,10,FALSE)="","",VLOOKUP(Mon_W1[[#This Row],[Employee Name]],'Base Schedules'!$A$113:$AW$158,10,FALSE)),"")</f>
        <v/>
      </c>
      <c r="L16" s="184" t="str">
        <f>IFERROR(IF(VLOOKUP(Mon_W1[[#This Row],[Employee Name]],'Base Schedules'!$A$113:$AW$158,11,FALSE)="","",VLOOKUP(Mon_W1[[#This Row],[Employee Name]],'Base Schedules'!$A$113:$AW$158,11,FALSE)),"")</f>
        <v>-</v>
      </c>
      <c r="M16" s="184" t="str">
        <f>IFERROR(IF(VLOOKUP(Mon_W1[[#This Row],[Employee Name]],'Base Schedules'!$A$113:$AW$158,12,FALSE)="","",VLOOKUP(Mon_W1[[#This Row],[Employee Name]],'Base Schedules'!$A$113:$AW$158,12,FALSE)),"")</f>
        <v>-</v>
      </c>
      <c r="N16" s="184" t="str">
        <f>IFERROR(IF(VLOOKUP(Mon_W1[[#This Row],[Employee Name]],'Base Schedules'!$A$113:$AW$158,13,FALSE)="","",VLOOKUP(Mon_W1[[#This Row],[Employee Name]],'Base Schedules'!$A$113:$AW$158,13,FALSE)),"")</f>
        <v>-</v>
      </c>
      <c r="O16" s="184" t="str">
        <f>IFERROR(IF(VLOOKUP(Mon_W1[[#This Row],[Employee Name]],'Base Schedules'!$A$113:$AW$158,14,FALSE)="","",VLOOKUP(Mon_W1[[#This Row],[Employee Name]],'Base Schedules'!$A$113:$AW$158,14,FALSE)),"")</f>
        <v>-</v>
      </c>
      <c r="P16" s="184" t="str">
        <f>IFERROR(IF(VLOOKUP(Mon_W1[[#This Row],[Employee Name]],'Base Schedules'!$A$113:$AW$158,15,FALSE)="","",VLOOKUP(Mon_W1[[#This Row],[Employee Name]],'Base Schedules'!$A$113:$AW$158,15,FALSE)),"")</f>
        <v>-</v>
      </c>
      <c r="Q16" s="184" t="str">
        <f>IFERROR(IF(VLOOKUP(Mon_W1[[#This Row],[Employee Name]],'Base Schedules'!$A$113:$AW$158,16,FALSE)="","",VLOOKUP(Mon_W1[[#This Row],[Employee Name]],'Base Schedules'!$A$113:$AW$158,16,FALSE)),"")</f>
        <v>-</v>
      </c>
      <c r="R16" s="184" t="str">
        <f>IFERROR(IF(VLOOKUP(Mon_W1[[#This Row],[Employee Name]],'Base Schedules'!$A$113:$AW$158,17,FALSE)="","",VLOOKUP(Mon_W1[[#This Row],[Employee Name]],'Base Schedules'!$A$113:$AW$158,17,FALSE)),"")</f>
        <v>-</v>
      </c>
      <c r="S16" s="184" t="str">
        <f>IFERROR(IF(VLOOKUP(Mon_W1[[#This Row],[Employee Name]],'Base Schedules'!$A$113:$AW$158,18,FALSE)="","",VLOOKUP(Mon_W1[[#This Row],[Employee Name]],'Base Schedules'!$A$113:$AW$158,18,FALSE)),"")</f>
        <v>-</v>
      </c>
      <c r="T16" s="184" t="str">
        <f>IFERROR(IF(VLOOKUP(Mon_W1[[#This Row],[Employee Name]],'Base Schedules'!$A$113:$AW$158,19,FALSE)="","",VLOOKUP(Mon_W1[[#This Row],[Employee Name]],'Base Schedules'!$A$113:$AW$158,19,FALSE)),"")</f>
        <v>Interview</v>
      </c>
      <c r="U16" s="184" t="str">
        <f>IFERROR(IF(VLOOKUP(Mon_W1[[#This Row],[Employee Name]],'Base Schedules'!$A$113:$AW$158,20,FALSE)="","",VLOOKUP(Mon_W1[[#This Row],[Employee Name]],'Base Schedules'!$A$113:$AW$158,20,FALSE)),"")</f>
        <v>Interview</v>
      </c>
      <c r="V16" s="184" t="str">
        <f>IFERROR(IF(VLOOKUP(Mon_W1[[#This Row],[Employee Name]],'Base Schedules'!$A$113:$AW$158,21,FALSE)="","",VLOOKUP(Mon_W1[[#This Row],[Employee Name]],'Base Schedules'!$A$113:$AW$158,21,FALSE)),"")</f>
        <v>-</v>
      </c>
      <c r="W16" s="184" t="str">
        <f>IFERROR(IF(VLOOKUP(Mon_W1[[#This Row],[Employee Name]],'Base Schedules'!$A$113:$AW$158,22,FALSE)="","",VLOOKUP(Mon_W1[[#This Row],[Employee Name]],'Base Schedules'!$A$113:$AW$158,22,FALSE)),"")</f>
        <v>-</v>
      </c>
      <c r="X16" s="184" t="str">
        <f>IFERROR(IF(VLOOKUP(Mon_W1[[#This Row],[Employee Name]],'Base Schedules'!$A$113:$AW$158,23,FALSE)="","",VLOOKUP(Mon_W1[[#This Row],[Employee Name]],'Base Schedules'!$A$113:$AW$158,23,FALSE)),"")</f>
        <v>-</v>
      </c>
      <c r="Y16" s="184" t="str">
        <f>IFERROR(IF(VLOOKUP(Mon_W1[[#This Row],[Employee Name]],'Base Schedules'!$A$113:$AW$158,24,FALSE)="","",VLOOKUP(Mon_W1[[#This Row],[Employee Name]],'Base Schedules'!$A$113:$AW$158,24,FALSE)),"")</f>
        <v>-</v>
      </c>
      <c r="Z16" s="184" t="str">
        <f>IFERROR(IF(VLOOKUP(Mon_W1[[#This Row],[Employee Name]],'Base Schedules'!$A$113:$AW$158,25,FALSE)="","",VLOOKUP(Mon_W1[[#This Row],[Employee Name]],'Base Schedules'!$A$113:$AW$158,25,FALSE)),"")</f>
        <v>-</v>
      </c>
      <c r="AA16" s="184" t="str">
        <f>IFERROR(IF(VLOOKUP(Mon_W1[[#This Row],[Employee Name]],'Base Schedules'!$A$113:$AW$158,26,FALSE)="","",VLOOKUP(Mon_W1[[#This Row],[Employee Name]],'Base Schedules'!$A$113:$AW$158,26,FALSE)),"")</f>
        <v>-</v>
      </c>
      <c r="AB16" s="184" t="str">
        <f>IFERROR(IF(VLOOKUP(Mon_W1[[#This Row],[Employee Name]],'Base Schedules'!$A$113:$AW$158,27,FALSE)="","",VLOOKUP(Mon_W1[[#This Row],[Employee Name]],'Base Schedules'!$A$113:$AW$158,27,FALSE)),"")</f>
        <v>-</v>
      </c>
      <c r="AC16" s="184" t="str">
        <f>IFERROR(IF(VLOOKUP(Mon_W1[[#This Row],[Employee Name]],'Base Schedules'!$A$113:$AW$158,28,FALSE)="","",VLOOKUP(Mon_W1[[#This Row],[Employee Name]],'Base Schedules'!$A$113:$AW$158,28,FALSE)),"")</f>
        <v>-</v>
      </c>
      <c r="AD16" s="184" t="str">
        <f>IFERROR(IF(VLOOKUP(Mon_W1[[#This Row],[Employee Name]],'Base Schedules'!$A$113:$AW$158,29,FALSE)="","",VLOOKUP(Mon_W1[[#This Row],[Employee Name]],'Base Schedules'!$A$113:$AW$158,29,FALSE)),"")</f>
        <v/>
      </c>
      <c r="AE16" s="184" t="str">
        <f>IFERROR(IF(VLOOKUP(Mon_W1[[#This Row],[Employee Name]],'Base Schedules'!$A$113:$AW$158,30,FALSE)="","",VLOOKUP(Mon_W1[[#This Row],[Employee Name]],'Base Schedules'!$A$113:$AW$158,30,FALSE)),"")</f>
        <v/>
      </c>
      <c r="AF16" s="184" t="str">
        <f>IFERROR(IF(VLOOKUP(Mon_W1[[#This Row],[Employee Name]],'Base Schedules'!$A$113:$AW$158,31,FALSE)="","",VLOOKUP(Mon_W1[[#This Row],[Employee Name]],'Base Schedules'!$A$113:$AW$158,31,FALSE)),"")</f>
        <v/>
      </c>
      <c r="AG16" s="184" t="str">
        <f>IFERROR(IF(VLOOKUP(Mon_W1[[#This Row],[Employee Name]],'Base Schedules'!$A$113:$AW$158,32,FALSE)="","",VLOOKUP(Mon_W1[[#This Row],[Employee Name]],'Base Schedules'!$A$113:$AW$158,32,FALSE)),"")</f>
        <v/>
      </c>
      <c r="AH16" s="184" t="str">
        <f>IFERROR(IF(VLOOKUP(Mon_W1[[#This Row],[Employee Name]],'Base Schedules'!$A$113:$AW$158,33,FALSE)="","",VLOOKUP(Mon_W1[[#This Row],[Employee Name]],'Base Schedules'!$A$113:$AW$158,33,FALSE)),"")</f>
        <v/>
      </c>
      <c r="AI16" s="184" t="str">
        <f>IFERROR(IF(VLOOKUP(Mon_W1[[#This Row],[Employee Name]],'Base Schedules'!$A$113:$AW$158,34,FALSE)="","",VLOOKUP(Mon_W1[[#This Row],[Employee Name]],'Base Schedules'!$A$113:$AW$158,34,FALSE)),"")</f>
        <v/>
      </c>
      <c r="AJ16" s="184" t="str">
        <f>IFERROR(IF(VLOOKUP(Mon_W1[[#This Row],[Employee Name]],'Base Schedules'!$A$113:$AW$158,35,FALSE)="","",VLOOKUP(Mon_W1[[#This Row],[Employee Name]],'Base Schedules'!$A$113:$AW$158,35,FALSE)),"")</f>
        <v/>
      </c>
      <c r="AK16" s="184" t="str">
        <f>IFERROR(IF(VLOOKUP(Mon_W1[[#This Row],[Employee Name]],'Base Schedules'!$A$113:$AW$158,36,FALSE)="","",VLOOKUP(Mon_W1[[#This Row],[Employee Name]],'Base Schedules'!$A$113:$AW$158,36,FALSE)),"")</f>
        <v/>
      </c>
      <c r="AL16" s="184" t="str">
        <f>IFERROR(IF(VLOOKUP(Mon_W1[[#This Row],[Employee Name]],'Base Schedules'!$A$113:$AW$158,37,FALSE)="","",VLOOKUP(Mon_W1[[#This Row],[Employee Name]],'Base Schedules'!$A$113:$AW$158,37,FALSE)),"")</f>
        <v/>
      </c>
      <c r="AM16" s="184" t="str">
        <f>IFERROR(IF(VLOOKUP(Mon_W1[[#This Row],[Employee Name]],'Base Schedules'!$A$113:$AW$158,38,FALSE)="","",VLOOKUP(Mon_W1[[#This Row],[Employee Name]],'Base Schedules'!$A$113:$AW$158,38,FALSE)),"")</f>
        <v/>
      </c>
      <c r="AN16" s="184" t="str">
        <f>IFERROR(IF(VLOOKUP(Mon_W1[[#This Row],[Employee Name]],'Base Schedules'!$A$113:$AW$158,39,FALSE)="","",VLOOKUP(Mon_W1[[#This Row],[Employee Name]],'Base Schedules'!$A$113:$AW$158,39,FALSE)),"")</f>
        <v/>
      </c>
      <c r="AO16" s="184" t="str">
        <f>IFERROR(IF(VLOOKUP(Mon_W1[[#This Row],[Employee Name]],'Base Schedules'!$A$113:$AW$158,40,FALSE)="","",VLOOKUP(Mon_W1[[#This Row],[Employee Name]],'Base Schedules'!$A$113:$AW$158,40,FALSE)),"")</f>
        <v/>
      </c>
      <c r="AP16" s="184" t="str">
        <f>IFERROR(IF(VLOOKUP(Mon_W1[[#This Row],[Employee Name]],'Base Schedules'!$A$113:$AW$158,41,FALSE)="","",VLOOKUP(Mon_W1[[#This Row],[Employee Name]],'Base Schedules'!$A$113:$AW$158,41,FALSE)),"")</f>
        <v/>
      </c>
      <c r="AQ16" s="184" t="str">
        <f>IFERROR(IF(VLOOKUP(Mon_W1[[#This Row],[Employee Name]],'Base Schedules'!$A$113:$AW$158,42,FALSE)="","",VLOOKUP(Mon_W1[[#This Row],[Employee Name]],'Base Schedules'!$A$113:$AW$158,42,FALSE)),"")</f>
        <v/>
      </c>
      <c r="AR16" s="184" t="str">
        <f>IFERROR(IF(VLOOKUP(Mon_W1[[#This Row],[Employee Name]],'Base Schedules'!$A$113:$AW$158,43,FALSE)="","",VLOOKUP(Mon_W1[[#This Row],[Employee Name]],'Base Schedules'!$A$113:$AW$158,43,FALSE)),"")</f>
        <v/>
      </c>
      <c r="AS16" s="184" t="str">
        <f>IFERROR(IF(VLOOKUP(Mon_W1[[#This Row],[Employee Name]],'Base Schedules'!$A$113:$AW$158,44,FALSE)="","",VLOOKUP(Mon_W1[[#This Row],[Employee Name]],'Base Schedules'!$A$113:$AW$158,44,FALSE)),"")</f>
        <v/>
      </c>
      <c r="AT16" s="184" t="str">
        <f>IFERROR(IF(VLOOKUP(Mon_W1[[#This Row],[Employee Name]],'Base Schedules'!$A$113:$AW$158,45,FALSE)="","",VLOOKUP(Mon_W1[[#This Row],[Employee Name]],'Base Schedules'!$A$113:$AW$158,45,FALSE)),"")</f>
        <v/>
      </c>
      <c r="AU16" s="184" t="str">
        <f>IFERROR(IF(VLOOKUP(Mon_W1[[#This Row],[Employee Name]],'Base Schedules'!$A$113:$AW$158,46,FALSE)="","",VLOOKUP(Mon_W1[[#This Row],[Employee Name]],'Base Schedules'!$A$113:$AW$158,46,FALSE)),"")</f>
        <v/>
      </c>
      <c r="AV16" s="184" t="str">
        <f>IFERROR(IF(VLOOKUP(Mon_W1[[#This Row],[Employee Name]],'Base Schedules'!$A$113:$AW$158,47,FALSE)="","",VLOOKUP(Mon_W1[[#This Row],[Employee Name]],'Base Schedules'!$A$113:$AW$158,47,FALSE)),"")</f>
        <v/>
      </c>
      <c r="AW16" s="184" t="str">
        <f>IFERROR(IF(VLOOKUP(Mon_W1[[#This Row],[Employee Name]],'Base Schedules'!$A$113:$AW$158,48,FALSE)="","",VLOOKUP(Mon_W1[[#This Row],[Employee Name]],'Base Schedules'!$A$113:$AW$158,48,FALSE)),"")</f>
        <v/>
      </c>
      <c r="AX16" s="184" t="str">
        <f>IFERROR(IF(VLOOKUP(Mon_W1[[#This Row],[Employee Name]],'Base Schedules'!$A$113:$AW$158,49,FALSE)="","",VLOOKUP(Mon_W1[[#This Row],[Employee Name]],'Base Schedules'!$A$113:$AW$158,49,FALSE)),"")</f>
        <v/>
      </c>
      <c r="AY16" s="164" t="str">
        <f t="shared" si="2"/>
        <v>Germony, June</v>
      </c>
    </row>
    <row r="17" spans="1:51" s="44" customFormat="1" ht="12" x14ac:dyDescent="0.2">
      <c r="A17" s="39" t="e">
        <f>IF(B17="","",INDEX(TeamList[],MATCH($B17,TeamList[[Employee Name]:[Employee Name]],0),MATCH("Manager",TeamList[#Headers],0)))</f>
        <v>#N/A</v>
      </c>
      <c r="B17" s="331" t="s">
        <v>369</v>
      </c>
      <c r="C17" s="257" t="str">
        <f>_xlfn.IFNA(VLOOKUP(Mon_W1[[#This Row],[Employee Name]],'Base Schedules'!A:B,2,FALSE),"")</f>
        <v>Supervisor</v>
      </c>
      <c r="D17" s="274">
        <f>_xlfn.IFNA(VLOOKUP(Mon_W1[[#This Row],[Employee Name]],'Base Schedules'!A:C,3,FALSE),"")</f>
        <v>600</v>
      </c>
      <c r="E17" s="274">
        <f>_xlfn.IFNA(VLOOKUP(Mon_W1[[#This Row],[Employee Name]],'Base Schedules'!A:D,4,FALSE),"")</f>
        <v>1500</v>
      </c>
      <c r="F17" s="142">
        <f>IF(Mon_W1[[#This Row],[Employee Name]]="","",IF(Mon_W1[[#This Row],[Dept]]="Supervisor",COUNTIFS($J17:$AX17,"*HL*",$J17:$AX17,"&lt;&gt;"&amp;"pHL"),COUNTIFS($J17:$AX17,"*HL*",$J17:$AX17,"&lt;&gt;"&amp;"*pHL*",$J17:$AX17,"&lt;&gt;"&amp;"pB1 HL",$J17:$AX17,"&lt;&gt;"&amp;"pB2 HL")-SUM(COUNTIFS($J17:$AX17,"*HL B1*",$J17:$AX17,"&lt;&gt;"&amp;"pHL B1")*0.5,COUNTIFS($J17:$AX17,"*HL B2*",$J17:$AX17,"&lt;&gt;"&amp;"pHL B2")*0.5,COUNTIFS($J17:$AX17,"*B1 HL*",$J17:$AX17,"&lt;&gt;"&amp;"pB1 HL")*0.5,COUNTIFS($J17:$AX17,"*B2 HL*",$J17:$AX17,"&lt;&gt;"&amp;"pB2 HL")*0.5)))</f>
        <v>0</v>
      </c>
      <c r="G17" s="142">
        <f t="shared" si="0"/>
        <v>0</v>
      </c>
      <c r="H17" s="142">
        <f t="shared" si="1"/>
        <v>0</v>
      </c>
      <c r="I17" s="142">
        <f>IF(Mon_W1[[#This Row],[Employee Name]]="","",IF(Mon_W1[[#This Row],[Dept]]="Supervisor",SUM(COUNTIFS($J17:$AX17,"RTA*",$J17:$AX17,"&lt;&gt;"&amp;"pRTA"),COUNTIFS($J17:$AX17,"*CRTA*",$J17:$AX17,"&lt;&gt;"&amp;"pCRTA")),COUNTIFS($J17:$AX17,"*RNNR*",$J17:$AX17,"&lt;&gt;"&amp;"*pRNNR*",$J17:$AX17,"&lt;&gt;"&amp;"pB1 RNNR",$J17:$AX17,"&lt;&gt;"&amp;"pB2 RNNR")-SUM(COUNTIFS($J17:$AX17,"*RNNR B1*",$J17:$AX17,"&lt;&gt;"&amp;"pRNNR B1")*0.5,COUNTIFS($J17:$AX17,"*RNNR B2*",$J17:$AX17,"&lt;&gt;"&amp;"pRNNR B2")*0.5,COUNTIFS($J17:$AX17,"*B1 RNNR*",$J17:$AX17,"&lt;&gt;"&amp;"pB1 RNNR")*0.5,COUNTIFS($J17:$AX17,"*B2 RNNR*",$J17:$AX17,"&lt;&gt;"&amp;"pB2 RNNR")*0.5)))</f>
        <v>0</v>
      </c>
      <c r="J17" s="184" t="str">
        <f>IFERROR(IF(VLOOKUP(Mon_W1[[#This Row],[Employee Name]],'Base Schedules'!$A$113:$AW$158,9,FALSE)="","",VLOOKUP(Mon_W1[[#This Row],[Employee Name]],'Base Schedules'!$A$113:$AW$158,9,FALSE)),"")</f>
        <v/>
      </c>
      <c r="K17" s="184" t="str">
        <f>IFERROR(IF(VLOOKUP(Mon_W1[[#This Row],[Employee Name]],'Base Schedules'!$A$113:$AW$158,10,FALSE)="","",VLOOKUP(Mon_W1[[#This Row],[Employee Name]],'Base Schedules'!$A$113:$AW$158,10,FALSE)),"")</f>
        <v/>
      </c>
      <c r="L17" s="184" t="str">
        <f>IFERROR(IF(VLOOKUP(Mon_W1[[#This Row],[Employee Name]],'Base Schedules'!$A$113:$AW$158,11,FALSE)="","",VLOOKUP(Mon_W1[[#This Row],[Employee Name]],'Base Schedules'!$A$113:$AW$158,11,FALSE)),"")</f>
        <v>-</v>
      </c>
      <c r="M17" s="184" t="str">
        <f>IFERROR(IF(VLOOKUP(Mon_W1[[#This Row],[Employee Name]],'Base Schedules'!$A$113:$AW$158,12,FALSE)="","",VLOOKUP(Mon_W1[[#This Row],[Employee Name]],'Base Schedules'!$A$113:$AW$158,12,FALSE)),"")</f>
        <v>-</v>
      </c>
      <c r="N17" s="184" t="str">
        <f>IFERROR(IF(VLOOKUP(Mon_W1[[#This Row],[Employee Name]],'Base Schedules'!$A$113:$AW$158,13,FALSE)="","",VLOOKUP(Mon_W1[[#This Row],[Employee Name]],'Base Schedules'!$A$113:$AW$158,13,FALSE)),"")</f>
        <v>-</v>
      </c>
      <c r="O17" s="184" t="str">
        <f>IFERROR(IF(VLOOKUP(Mon_W1[[#This Row],[Employee Name]],'Base Schedules'!$A$113:$AW$158,14,FALSE)="","",VLOOKUP(Mon_W1[[#This Row],[Employee Name]],'Base Schedules'!$A$113:$AW$158,14,FALSE)),"")</f>
        <v>-</v>
      </c>
      <c r="P17" s="184" t="str">
        <f>IFERROR(IF(VLOOKUP(Mon_W1[[#This Row],[Employee Name]],'Base Schedules'!$A$113:$AW$158,15,FALSE)="","",VLOOKUP(Mon_W1[[#This Row],[Employee Name]],'Base Schedules'!$A$113:$AW$158,15,FALSE)),"")</f>
        <v>-</v>
      </c>
      <c r="Q17" s="184" t="str">
        <f>IFERROR(IF(VLOOKUP(Mon_W1[[#This Row],[Employee Name]],'Base Schedules'!$A$113:$AW$158,16,FALSE)="","",VLOOKUP(Mon_W1[[#This Row],[Employee Name]],'Base Schedules'!$A$113:$AW$158,16,FALSE)),"")</f>
        <v>-</v>
      </c>
      <c r="R17" s="184" t="str">
        <f>IFERROR(IF(VLOOKUP(Mon_W1[[#This Row],[Employee Name]],'Base Schedules'!$A$113:$AW$158,17,FALSE)="","",VLOOKUP(Mon_W1[[#This Row],[Employee Name]],'Base Schedules'!$A$113:$AW$158,17,FALSE)),"")</f>
        <v>Interview</v>
      </c>
      <c r="S17" s="184" t="str">
        <f>IFERROR(IF(VLOOKUP(Mon_W1[[#This Row],[Employee Name]],'Base Schedules'!$A$113:$AW$158,18,FALSE)="","",VLOOKUP(Mon_W1[[#This Row],[Employee Name]],'Base Schedules'!$A$113:$AW$158,18,FALSE)),"")</f>
        <v>Interview</v>
      </c>
      <c r="T17" s="184" t="str">
        <f>IFERROR(IF(VLOOKUP(Mon_W1[[#This Row],[Employee Name]],'Base Schedules'!$A$113:$AW$158,19,FALSE)="","",VLOOKUP(Mon_W1[[#This Row],[Employee Name]],'Base Schedules'!$A$113:$AW$158,19,FALSE)),"")</f>
        <v>-</v>
      </c>
      <c r="U17" s="184" t="str">
        <f>IFERROR(IF(VLOOKUP(Mon_W1[[#This Row],[Employee Name]],'Base Schedules'!$A$113:$AW$158,20,FALSE)="","",VLOOKUP(Mon_W1[[#This Row],[Employee Name]],'Base Schedules'!$A$113:$AW$158,20,FALSE)),"")</f>
        <v>-</v>
      </c>
      <c r="V17" s="184" t="str">
        <f>IFERROR(IF(VLOOKUP(Mon_W1[[#This Row],[Employee Name]],'Base Schedules'!$A$113:$AW$158,21,FALSE)="","",VLOOKUP(Mon_W1[[#This Row],[Employee Name]],'Base Schedules'!$A$113:$AW$158,21,FALSE)),"")</f>
        <v>-</v>
      </c>
      <c r="W17" s="184" t="str">
        <f>IFERROR(IF(VLOOKUP(Mon_W1[[#This Row],[Employee Name]],'Base Schedules'!$A$113:$AW$158,22,FALSE)="","",VLOOKUP(Mon_W1[[#This Row],[Employee Name]],'Base Schedules'!$A$113:$AW$158,22,FALSE)),"")</f>
        <v>-</v>
      </c>
      <c r="X17" s="184" t="str">
        <f>IFERROR(IF(VLOOKUP(Mon_W1[[#This Row],[Employee Name]],'Base Schedules'!$A$113:$AW$158,23,FALSE)="","",VLOOKUP(Mon_W1[[#This Row],[Employee Name]],'Base Schedules'!$A$113:$AW$158,23,FALSE)),"")</f>
        <v>-</v>
      </c>
      <c r="Y17" s="184" t="str">
        <f>IFERROR(IF(VLOOKUP(Mon_W1[[#This Row],[Employee Name]],'Base Schedules'!$A$113:$AW$158,24,FALSE)="","",VLOOKUP(Mon_W1[[#This Row],[Employee Name]],'Base Schedules'!$A$113:$AW$158,24,FALSE)),"")</f>
        <v>-</v>
      </c>
      <c r="Z17" s="184" t="str">
        <f>IFERROR(IF(VLOOKUP(Mon_W1[[#This Row],[Employee Name]],'Base Schedules'!$A$113:$AW$158,25,FALSE)="","",VLOOKUP(Mon_W1[[#This Row],[Employee Name]],'Base Schedules'!$A$113:$AW$158,25,FALSE)),"")</f>
        <v>Team Matt TM</v>
      </c>
      <c r="AA17" s="184" t="str">
        <f>IFERROR(IF(VLOOKUP(Mon_W1[[#This Row],[Employee Name]],'Base Schedules'!$A$113:$AW$158,26,FALSE)="","",VLOOKUP(Mon_W1[[#This Row],[Employee Name]],'Base Schedules'!$A$113:$AW$158,26,FALSE)),"")</f>
        <v>Team Matt TM</v>
      </c>
      <c r="AB17" s="184" t="str">
        <f>IFERROR(IF(VLOOKUP(Mon_W1[[#This Row],[Employee Name]],'Base Schedules'!$A$113:$AW$158,27,FALSE)="","",VLOOKUP(Mon_W1[[#This Row],[Employee Name]],'Base Schedules'!$A$113:$AW$158,27,FALSE)),"")</f>
        <v>-</v>
      </c>
      <c r="AC17" s="184" t="str">
        <f>IFERROR(IF(VLOOKUP(Mon_W1[[#This Row],[Employee Name]],'Base Schedules'!$A$113:$AW$158,28,FALSE)="","",VLOOKUP(Mon_W1[[#This Row],[Employee Name]],'Base Schedules'!$A$113:$AW$158,28,FALSE)),"")</f>
        <v>-</v>
      </c>
      <c r="AD17" s="184" t="str">
        <f>IFERROR(IF(VLOOKUP(Mon_W1[[#This Row],[Employee Name]],'Base Schedules'!$A$113:$AW$158,29,FALSE)="","",VLOOKUP(Mon_W1[[#This Row],[Employee Name]],'Base Schedules'!$A$113:$AW$158,29,FALSE)),"")</f>
        <v/>
      </c>
      <c r="AE17" s="184" t="str">
        <f>IFERROR(IF(VLOOKUP(Mon_W1[[#This Row],[Employee Name]],'Base Schedules'!$A$113:$AW$158,30,FALSE)="","",VLOOKUP(Mon_W1[[#This Row],[Employee Name]],'Base Schedules'!$A$113:$AW$158,30,FALSE)),"")</f>
        <v/>
      </c>
      <c r="AF17" s="184" t="str">
        <f>IFERROR(IF(VLOOKUP(Mon_W1[[#This Row],[Employee Name]],'Base Schedules'!$A$113:$AW$158,31,FALSE)="","",VLOOKUP(Mon_W1[[#This Row],[Employee Name]],'Base Schedules'!$A$113:$AW$158,31,FALSE)),"")</f>
        <v/>
      </c>
      <c r="AG17" s="184" t="str">
        <f>IFERROR(IF(VLOOKUP(Mon_W1[[#This Row],[Employee Name]],'Base Schedules'!$A$113:$AW$158,32,FALSE)="","",VLOOKUP(Mon_W1[[#This Row],[Employee Name]],'Base Schedules'!$A$113:$AW$158,32,FALSE)),"")</f>
        <v/>
      </c>
      <c r="AH17" s="184" t="str">
        <f>IFERROR(IF(VLOOKUP(Mon_W1[[#This Row],[Employee Name]],'Base Schedules'!$A$113:$AW$158,33,FALSE)="","",VLOOKUP(Mon_W1[[#This Row],[Employee Name]],'Base Schedules'!$A$113:$AW$158,33,FALSE)),"")</f>
        <v/>
      </c>
      <c r="AI17" s="184" t="str">
        <f>IFERROR(IF(VLOOKUP(Mon_W1[[#This Row],[Employee Name]],'Base Schedules'!$A$113:$AW$158,34,FALSE)="","",VLOOKUP(Mon_W1[[#This Row],[Employee Name]],'Base Schedules'!$A$113:$AW$158,34,FALSE)),"")</f>
        <v/>
      </c>
      <c r="AJ17" s="184" t="str">
        <f>IFERROR(IF(VLOOKUP(Mon_W1[[#This Row],[Employee Name]],'Base Schedules'!$A$113:$AW$158,35,FALSE)="","",VLOOKUP(Mon_W1[[#This Row],[Employee Name]],'Base Schedules'!$A$113:$AW$158,35,FALSE)),"")</f>
        <v/>
      </c>
      <c r="AK17" s="184" t="str">
        <f>IFERROR(IF(VLOOKUP(Mon_W1[[#This Row],[Employee Name]],'Base Schedules'!$A$113:$AW$158,36,FALSE)="","",VLOOKUP(Mon_W1[[#This Row],[Employee Name]],'Base Schedules'!$A$113:$AW$158,36,FALSE)),"")</f>
        <v/>
      </c>
      <c r="AL17" s="184" t="str">
        <f>IFERROR(IF(VLOOKUP(Mon_W1[[#This Row],[Employee Name]],'Base Schedules'!$A$113:$AW$158,37,FALSE)="","",VLOOKUP(Mon_W1[[#This Row],[Employee Name]],'Base Schedules'!$A$113:$AW$158,37,FALSE)),"")</f>
        <v/>
      </c>
      <c r="AM17" s="184" t="str">
        <f>IFERROR(IF(VLOOKUP(Mon_W1[[#This Row],[Employee Name]],'Base Schedules'!$A$113:$AW$158,38,FALSE)="","",VLOOKUP(Mon_W1[[#This Row],[Employee Name]],'Base Schedules'!$A$113:$AW$158,38,FALSE)),"")</f>
        <v/>
      </c>
      <c r="AN17" s="184" t="str">
        <f>IFERROR(IF(VLOOKUP(Mon_W1[[#This Row],[Employee Name]],'Base Schedules'!$A$113:$AW$158,39,FALSE)="","",VLOOKUP(Mon_W1[[#This Row],[Employee Name]],'Base Schedules'!$A$113:$AW$158,39,FALSE)),"")</f>
        <v/>
      </c>
      <c r="AO17" s="184" t="str">
        <f>IFERROR(IF(VLOOKUP(Mon_W1[[#This Row],[Employee Name]],'Base Schedules'!$A$113:$AW$158,40,FALSE)="","",VLOOKUP(Mon_W1[[#This Row],[Employee Name]],'Base Schedules'!$A$113:$AW$158,40,FALSE)),"")</f>
        <v/>
      </c>
      <c r="AP17" s="184" t="str">
        <f>IFERROR(IF(VLOOKUP(Mon_W1[[#This Row],[Employee Name]],'Base Schedules'!$A$113:$AW$158,41,FALSE)="","",VLOOKUP(Mon_W1[[#This Row],[Employee Name]],'Base Schedules'!$A$113:$AW$158,41,FALSE)),"")</f>
        <v/>
      </c>
      <c r="AQ17" s="184" t="str">
        <f>IFERROR(IF(VLOOKUP(Mon_W1[[#This Row],[Employee Name]],'Base Schedules'!$A$113:$AW$158,42,FALSE)="","",VLOOKUP(Mon_W1[[#This Row],[Employee Name]],'Base Schedules'!$A$113:$AW$158,42,FALSE)),"")</f>
        <v/>
      </c>
      <c r="AR17" s="184" t="str">
        <f>IFERROR(IF(VLOOKUP(Mon_W1[[#This Row],[Employee Name]],'Base Schedules'!$A$113:$AW$158,43,FALSE)="","",VLOOKUP(Mon_W1[[#This Row],[Employee Name]],'Base Schedules'!$A$113:$AW$158,43,FALSE)),"")</f>
        <v/>
      </c>
      <c r="AS17" s="184" t="str">
        <f>IFERROR(IF(VLOOKUP(Mon_W1[[#This Row],[Employee Name]],'Base Schedules'!$A$113:$AW$158,44,FALSE)="","",VLOOKUP(Mon_W1[[#This Row],[Employee Name]],'Base Schedules'!$A$113:$AW$158,44,FALSE)),"")</f>
        <v/>
      </c>
      <c r="AT17" s="184" t="str">
        <f>IFERROR(IF(VLOOKUP(Mon_W1[[#This Row],[Employee Name]],'Base Schedules'!$A$113:$AW$158,45,FALSE)="","",VLOOKUP(Mon_W1[[#This Row],[Employee Name]],'Base Schedules'!$A$113:$AW$158,45,FALSE)),"")</f>
        <v/>
      </c>
      <c r="AU17" s="184" t="str">
        <f>IFERROR(IF(VLOOKUP(Mon_W1[[#This Row],[Employee Name]],'Base Schedules'!$A$113:$AW$158,46,FALSE)="","",VLOOKUP(Mon_W1[[#This Row],[Employee Name]],'Base Schedules'!$A$113:$AW$158,46,FALSE)),"")</f>
        <v/>
      </c>
      <c r="AV17" s="184" t="str">
        <f>IFERROR(IF(VLOOKUP(Mon_W1[[#This Row],[Employee Name]],'Base Schedules'!$A$113:$AW$158,47,FALSE)="","",VLOOKUP(Mon_W1[[#This Row],[Employee Name]],'Base Schedules'!$A$113:$AW$158,47,FALSE)),"")</f>
        <v/>
      </c>
      <c r="AW17" s="184" t="str">
        <f>IFERROR(IF(VLOOKUP(Mon_W1[[#This Row],[Employee Name]],'Base Schedules'!$A$113:$AW$158,48,FALSE)="","",VLOOKUP(Mon_W1[[#This Row],[Employee Name]],'Base Schedules'!$A$113:$AW$158,48,FALSE)),"")</f>
        <v/>
      </c>
      <c r="AX17" s="184" t="str">
        <f>IFERROR(IF(VLOOKUP(Mon_W1[[#This Row],[Employee Name]],'Base Schedules'!$A$113:$AW$158,49,FALSE)="","",VLOOKUP(Mon_W1[[#This Row],[Employee Name]],'Base Schedules'!$A$113:$AW$158,49,FALSE)),"")</f>
        <v/>
      </c>
      <c r="AY17" s="164" t="str">
        <f t="shared" si="2"/>
        <v>Madamba, Rocky</v>
      </c>
    </row>
    <row r="18" spans="1:51" s="44" customFormat="1" ht="12" x14ac:dyDescent="0.2">
      <c r="A18" s="39" t="str">
        <f>IF(B18="","",INDEX(TeamList[],MATCH($B18,TeamList[[Employee Name]:[Employee Name]],0),MATCH("Manager",TeamList[#Headers],0)))</f>
        <v>Olson, Katherine</v>
      </c>
      <c r="B18" s="201" t="s">
        <v>34</v>
      </c>
      <c r="C18" s="257" t="str">
        <f>_xlfn.IFNA(VLOOKUP(Mon_W1[[#This Row],[Employee Name]],'Base Schedules'!A:B,2,FALSE),"")</f>
        <v>Lead</v>
      </c>
      <c r="D18" s="274">
        <f>_xlfn.IFNA(VLOOKUP(Mon_W1[[#This Row],[Employee Name]],'Base Schedules'!A:C,3,FALSE),"")</f>
        <v>630</v>
      </c>
      <c r="E18" s="274">
        <f>_xlfn.IFNA(VLOOKUP(Mon_W1[[#This Row],[Employee Name]],'Base Schedules'!A:D,4,FALSE),"")</f>
        <v>1500</v>
      </c>
      <c r="F18" s="142">
        <f>IF(Mon_W1[[#This Row],[Employee Name]]="","",IF(Mon_W1[[#This Row],[Dept]]="Supervisor",COUNTIFS($J18:$AX18,"*HL*",$J18:$AX18,"&lt;&gt;"&amp;"pHL"),COUNTIFS($J18:$AX18,"*HL*",$J18:$AX18,"&lt;&gt;"&amp;"*pHL*",$J18:$AX18,"&lt;&gt;"&amp;"pB1 HL",$J18:$AX18,"&lt;&gt;"&amp;"pB2 HL")-SUM(COUNTIFS($J18:$AX18,"*HL B1*",$J18:$AX18,"&lt;&gt;"&amp;"pHL B1")*0.5,COUNTIFS($J18:$AX18,"*HL B2*",$J18:$AX18,"&lt;&gt;"&amp;"pHL B2")*0.5,COUNTIFS($J18:$AX18,"*B1 HL*",$J18:$AX18,"&lt;&gt;"&amp;"pB1 HL")*0.5,COUNTIFS($J18:$AX18,"*B2 HL*",$J18:$AX18,"&lt;&gt;"&amp;"pB2 HL")*0.5)))</f>
        <v>8</v>
      </c>
      <c r="G18" s="142">
        <f t="shared" si="0"/>
        <v>0</v>
      </c>
      <c r="H18" s="142">
        <f t="shared" si="1"/>
        <v>7</v>
      </c>
      <c r="I18" s="142">
        <f>IF(Mon_W1[[#This Row],[Employee Name]]="","",IF(Mon_W1[[#This Row],[Dept]]="Supervisor",SUM(COUNTIFS($J18:$AX18,"RTA*",$J18:$AX18,"&lt;&gt;"&amp;"pRTA"),COUNTIFS($J18:$AX18,"*CRTA*",$J18:$AX18,"&lt;&gt;"&amp;"pCRTA")),COUNTIFS($J18:$AX18,"*RNNR*",$J18:$AX18,"&lt;&gt;"&amp;"*pRNNR*",$J18:$AX18,"&lt;&gt;"&amp;"pB1 RNNR",$J18:$AX18,"&lt;&gt;"&amp;"pB2 RNNR")-SUM(COUNTIFS($J18:$AX18,"*RNNR B1*",$J18:$AX18,"&lt;&gt;"&amp;"pRNNR B1")*0.5,COUNTIFS($J18:$AX18,"*RNNR B2*",$J18:$AX18,"&lt;&gt;"&amp;"pRNNR B2")*0.5,COUNTIFS($J18:$AX18,"*B1 RNNR*",$J18:$AX18,"&lt;&gt;"&amp;"pB1 RNNR")*0.5,COUNTIFS($J18:$AX18,"*B2 RNNR*",$J18:$AX18,"&lt;&gt;"&amp;"pB2 RNNR")*0.5)))</f>
        <v>0</v>
      </c>
      <c r="J18" s="184" t="str">
        <f>IFERROR(IF(VLOOKUP(Mon_W1[[#This Row],[Employee Name]],'Base Schedules'!$A$113:$AW$158,9,FALSE)="","",VLOOKUP(Mon_W1[[#This Row],[Employee Name]],'Base Schedules'!$A$113:$AW$158,9,FALSE)),"")</f>
        <v/>
      </c>
      <c r="K18" s="184" t="str">
        <f>IFERROR(IF(VLOOKUP(Mon_W1[[#This Row],[Employee Name]],'Base Schedules'!$A$113:$AW$158,10,FALSE)="","",VLOOKUP(Mon_W1[[#This Row],[Employee Name]],'Base Schedules'!$A$113:$AW$158,10,FALSE)),"")</f>
        <v/>
      </c>
      <c r="L18" s="184" t="str">
        <f>IFERROR(IF(VLOOKUP(Mon_W1[[#This Row],[Employee Name]],'Base Schedules'!$A$113:$AW$158,11,FALSE)="","",VLOOKUP(Mon_W1[[#This Row],[Employee Name]],'Base Schedules'!$A$113:$AW$158,11,FALSE)),"")</f>
        <v/>
      </c>
      <c r="M18" s="184" t="str">
        <f>IFERROR(IF(VLOOKUP(Mon_W1[[#This Row],[Employee Name]],'Base Schedules'!$A$113:$AW$158,12,FALSE)="","",VLOOKUP(Mon_W1[[#This Row],[Employee Name]],'Base Schedules'!$A$113:$AW$158,12,FALSE)),"")</f>
        <v>HL</v>
      </c>
      <c r="N18" s="184" t="str">
        <f>IFERROR(IF(VLOOKUP(Mon_W1[[#This Row],[Employee Name]],'Base Schedules'!$A$113:$AW$158,13,FALSE)="","",VLOOKUP(Mon_W1[[#This Row],[Employee Name]],'Base Schedules'!$A$113:$AW$158,13,FALSE)),"")</f>
        <v>HL</v>
      </c>
      <c r="O18" s="184" t="str">
        <f>IFERROR(IF(VLOOKUP(Mon_W1[[#This Row],[Employee Name]],'Base Schedules'!$A$113:$AW$158,14,FALSE)="","",VLOOKUP(Mon_W1[[#This Row],[Employee Name]],'Base Schedules'!$A$113:$AW$158,14,FALSE)),"")</f>
        <v>HL</v>
      </c>
      <c r="P18" s="184" t="str">
        <f>IFERROR(IF(VLOOKUP(Mon_W1[[#This Row],[Employee Name]],'Base Schedules'!$A$113:$AW$158,15,FALSE)="","",VLOOKUP(Mon_W1[[#This Row],[Employee Name]],'Base Schedules'!$A$113:$AW$158,15,FALSE)),"")</f>
        <v>ADM</v>
      </c>
      <c r="Q18" s="184" t="str">
        <f>IFERROR(IF(VLOOKUP(Mon_W1[[#This Row],[Employee Name]],'Base Schedules'!$A$113:$AW$158,16,FALSE)="","",VLOOKUP(Mon_W1[[#This Row],[Employee Name]],'Base Schedules'!$A$113:$AW$158,16,FALSE)),"")</f>
        <v>HL B1</v>
      </c>
      <c r="R18" s="184" t="str">
        <f>IFERROR(IF(VLOOKUP(Mon_W1[[#This Row],[Employee Name]],'Base Schedules'!$A$113:$AW$158,17,FALSE)="","",VLOOKUP(Mon_W1[[#This Row],[Employee Name]],'Base Schedules'!$A$113:$AW$158,17,FALSE)),"")</f>
        <v>HL</v>
      </c>
      <c r="S18" s="184" t="str">
        <f>IFERROR(IF(VLOOKUP(Mon_W1[[#This Row],[Employee Name]],'Base Schedules'!$A$113:$AW$158,18,FALSE)="","",VLOOKUP(Mon_W1[[#This Row],[Employee Name]],'Base Schedules'!$A$113:$AW$158,18,FALSE)),"")</f>
        <v>HL</v>
      </c>
      <c r="T18" s="184" t="str">
        <f>IFERROR(IF(VLOOKUP(Mon_W1[[#This Row],[Employee Name]],'Base Schedules'!$A$113:$AW$158,19,FALSE)="","",VLOOKUP(Mon_W1[[#This Row],[Employee Name]],'Base Schedules'!$A$113:$AW$158,19,FALSE)),"")</f>
        <v>HL</v>
      </c>
      <c r="U18" s="184" t="str">
        <f>IFERROR(IF(VLOOKUP(Mon_W1[[#This Row],[Employee Name]],'Base Schedules'!$A$113:$AW$158,20,FALSE)="","",VLOOKUP(Mon_W1[[#This Row],[Employee Name]],'Base Schedules'!$A$113:$AW$158,20,FALSE)),"")</f>
        <v>ADM</v>
      </c>
      <c r="V18" s="184" t="str">
        <f>IFERROR(IF(VLOOKUP(Mon_W1[[#This Row],[Employee Name]],'Base Schedules'!$A$113:$AW$158,21,FALSE)="","",VLOOKUP(Mon_W1[[#This Row],[Employee Name]],'Base Schedules'!$A$113:$AW$158,21,FALSE)),"")</f>
        <v>LUNCH</v>
      </c>
      <c r="W18" s="184" t="str">
        <f>IFERROR(IF(VLOOKUP(Mon_W1[[#This Row],[Employee Name]],'Base Schedules'!$A$113:$AW$158,22,FALSE)="","",VLOOKUP(Mon_W1[[#This Row],[Employee Name]],'Base Schedules'!$A$113:$AW$158,22,FALSE)),"")</f>
        <v>ADM</v>
      </c>
      <c r="X18" s="184" t="str">
        <f>IFERROR(IF(VLOOKUP(Mon_W1[[#This Row],[Employee Name]],'Base Schedules'!$A$113:$AW$158,23,FALSE)="","",VLOOKUP(Mon_W1[[#This Row],[Employee Name]],'Base Schedules'!$A$113:$AW$158,23,FALSE)),"")</f>
        <v>ADM</v>
      </c>
      <c r="Y18" s="184" t="str">
        <f>IFERROR(IF(VLOOKUP(Mon_W1[[#This Row],[Employee Name]],'Base Schedules'!$A$113:$AW$158,24,FALSE)="","",VLOOKUP(Mon_W1[[#This Row],[Employee Name]],'Base Schedules'!$A$113:$AW$158,24,FALSE)),"")</f>
        <v>B2 HL</v>
      </c>
      <c r="Z18" s="184" t="str">
        <f>IFERROR(IF(VLOOKUP(Mon_W1[[#This Row],[Employee Name]],'Base Schedules'!$A$113:$AW$158,25,FALSE)="","",VLOOKUP(Mon_W1[[#This Row],[Employee Name]],'Base Schedules'!$A$113:$AW$158,25,FALSE)),"")</f>
        <v>ADM</v>
      </c>
      <c r="AA18" s="184" t="str">
        <f>IFERROR(IF(VLOOKUP(Mon_W1[[#This Row],[Employee Name]],'Base Schedules'!$A$113:$AW$158,26,FALSE)="","",VLOOKUP(Mon_W1[[#This Row],[Employee Name]],'Base Schedules'!$A$113:$AW$158,26,FALSE)),"")</f>
        <v>ADM</v>
      </c>
      <c r="AB18" s="184" t="str">
        <f>IFERROR(IF(VLOOKUP(Mon_W1[[#This Row],[Employee Name]],'Base Schedules'!$A$113:$AW$158,27,FALSE)="","",VLOOKUP(Mon_W1[[#This Row],[Employee Name]],'Base Schedules'!$A$113:$AW$158,27,FALSE)),"")</f>
        <v>ADM</v>
      </c>
      <c r="AC18" s="184" t="str">
        <f>IFERROR(IF(VLOOKUP(Mon_W1[[#This Row],[Employee Name]],'Base Schedules'!$A$113:$AW$158,28,FALSE)="","",VLOOKUP(Mon_W1[[#This Row],[Employee Name]],'Base Schedules'!$A$113:$AW$158,28,FALSE)),"")</f>
        <v>HL</v>
      </c>
      <c r="AD18" s="184" t="str">
        <f>IFERROR(IF(VLOOKUP(Mon_W1[[#This Row],[Employee Name]],'Base Schedules'!$A$113:$AW$158,29,FALSE)="","",VLOOKUP(Mon_W1[[#This Row],[Employee Name]],'Base Schedules'!$A$113:$AW$158,29,FALSE)),"")</f>
        <v/>
      </c>
      <c r="AE18" s="184" t="str">
        <f>IFERROR(IF(VLOOKUP(Mon_W1[[#This Row],[Employee Name]],'Base Schedules'!$A$113:$AW$158,30,FALSE)="","",VLOOKUP(Mon_W1[[#This Row],[Employee Name]],'Base Schedules'!$A$113:$AW$158,30,FALSE)),"")</f>
        <v/>
      </c>
      <c r="AF18" s="184" t="str">
        <f>IFERROR(IF(VLOOKUP(Mon_W1[[#This Row],[Employee Name]],'Base Schedules'!$A$113:$AW$158,31,FALSE)="","",VLOOKUP(Mon_W1[[#This Row],[Employee Name]],'Base Schedules'!$A$113:$AW$158,31,FALSE)),"")</f>
        <v/>
      </c>
      <c r="AG18" s="184" t="str">
        <f>IFERROR(IF(VLOOKUP(Mon_W1[[#This Row],[Employee Name]],'Base Schedules'!$A$113:$AW$158,32,FALSE)="","",VLOOKUP(Mon_W1[[#This Row],[Employee Name]],'Base Schedules'!$A$113:$AW$158,32,FALSE)),"")</f>
        <v/>
      </c>
      <c r="AH18" s="184" t="str">
        <f>IFERROR(IF(VLOOKUP(Mon_W1[[#This Row],[Employee Name]],'Base Schedules'!$A$113:$AW$158,33,FALSE)="","",VLOOKUP(Mon_W1[[#This Row],[Employee Name]],'Base Schedules'!$A$113:$AW$158,33,FALSE)),"")</f>
        <v/>
      </c>
      <c r="AI18" s="184" t="str">
        <f>IFERROR(IF(VLOOKUP(Mon_W1[[#This Row],[Employee Name]],'Base Schedules'!$A$113:$AW$158,34,FALSE)="","",VLOOKUP(Mon_W1[[#This Row],[Employee Name]],'Base Schedules'!$A$113:$AW$158,34,FALSE)),"")</f>
        <v/>
      </c>
      <c r="AJ18" s="184" t="str">
        <f>IFERROR(IF(VLOOKUP(Mon_W1[[#This Row],[Employee Name]],'Base Schedules'!$A$113:$AW$158,35,FALSE)="","",VLOOKUP(Mon_W1[[#This Row],[Employee Name]],'Base Schedules'!$A$113:$AW$158,35,FALSE)),"")</f>
        <v/>
      </c>
      <c r="AK18" s="184" t="str">
        <f>IFERROR(IF(VLOOKUP(Mon_W1[[#This Row],[Employee Name]],'Base Schedules'!$A$113:$AW$158,36,FALSE)="","",VLOOKUP(Mon_W1[[#This Row],[Employee Name]],'Base Schedules'!$A$113:$AW$158,36,FALSE)),"")</f>
        <v/>
      </c>
      <c r="AL18" s="184" t="str">
        <f>IFERROR(IF(VLOOKUP(Mon_W1[[#This Row],[Employee Name]],'Base Schedules'!$A$113:$AW$158,37,FALSE)="","",VLOOKUP(Mon_W1[[#This Row],[Employee Name]],'Base Schedules'!$A$113:$AW$158,37,FALSE)),"")</f>
        <v/>
      </c>
      <c r="AM18" s="184" t="str">
        <f>IFERROR(IF(VLOOKUP(Mon_W1[[#This Row],[Employee Name]],'Base Schedules'!$A$113:$AW$158,38,FALSE)="","",VLOOKUP(Mon_W1[[#This Row],[Employee Name]],'Base Schedules'!$A$113:$AW$158,38,FALSE)),"")</f>
        <v/>
      </c>
      <c r="AN18" s="184" t="str">
        <f>IFERROR(IF(VLOOKUP(Mon_W1[[#This Row],[Employee Name]],'Base Schedules'!$A$113:$AW$158,39,FALSE)="","",VLOOKUP(Mon_W1[[#This Row],[Employee Name]],'Base Schedules'!$A$113:$AW$158,39,FALSE)),"")</f>
        <v/>
      </c>
      <c r="AO18" s="184" t="str">
        <f>IFERROR(IF(VLOOKUP(Mon_W1[[#This Row],[Employee Name]],'Base Schedules'!$A$113:$AW$158,40,FALSE)="","",VLOOKUP(Mon_W1[[#This Row],[Employee Name]],'Base Schedules'!$A$113:$AW$158,40,FALSE)),"")</f>
        <v/>
      </c>
      <c r="AP18" s="184" t="str">
        <f>IFERROR(IF(VLOOKUP(Mon_W1[[#This Row],[Employee Name]],'Base Schedules'!$A$113:$AW$158,41,FALSE)="","",VLOOKUP(Mon_W1[[#This Row],[Employee Name]],'Base Schedules'!$A$113:$AW$158,41,FALSE)),"")</f>
        <v/>
      </c>
      <c r="AQ18" s="184" t="str">
        <f>IFERROR(IF(VLOOKUP(Mon_W1[[#This Row],[Employee Name]],'Base Schedules'!$A$113:$AW$158,42,FALSE)="","",VLOOKUP(Mon_W1[[#This Row],[Employee Name]],'Base Schedules'!$A$113:$AW$158,42,FALSE)),"")</f>
        <v/>
      </c>
      <c r="AR18" s="184" t="str">
        <f>IFERROR(IF(VLOOKUP(Mon_W1[[#This Row],[Employee Name]],'Base Schedules'!$A$113:$AW$158,43,FALSE)="","",VLOOKUP(Mon_W1[[#This Row],[Employee Name]],'Base Schedules'!$A$113:$AW$158,43,FALSE)),"")</f>
        <v/>
      </c>
      <c r="AS18" s="184" t="str">
        <f>IFERROR(IF(VLOOKUP(Mon_W1[[#This Row],[Employee Name]],'Base Schedules'!$A$113:$AW$158,44,FALSE)="","",VLOOKUP(Mon_W1[[#This Row],[Employee Name]],'Base Schedules'!$A$113:$AW$158,44,FALSE)),"")</f>
        <v/>
      </c>
      <c r="AT18" s="184" t="str">
        <f>IFERROR(IF(VLOOKUP(Mon_W1[[#This Row],[Employee Name]],'Base Schedules'!$A$113:$AW$158,45,FALSE)="","",VLOOKUP(Mon_W1[[#This Row],[Employee Name]],'Base Schedules'!$A$113:$AW$158,45,FALSE)),"")</f>
        <v/>
      </c>
      <c r="AU18" s="184" t="str">
        <f>IFERROR(IF(VLOOKUP(Mon_W1[[#This Row],[Employee Name]],'Base Schedules'!$A$113:$AW$158,46,FALSE)="","",VLOOKUP(Mon_W1[[#This Row],[Employee Name]],'Base Schedules'!$A$113:$AW$158,46,FALSE)),"")</f>
        <v/>
      </c>
      <c r="AV18" s="184" t="str">
        <f>IFERROR(IF(VLOOKUP(Mon_W1[[#This Row],[Employee Name]],'Base Schedules'!$A$113:$AW$158,47,FALSE)="","",VLOOKUP(Mon_W1[[#This Row],[Employee Name]],'Base Schedules'!$A$113:$AW$158,47,FALSE)),"")</f>
        <v/>
      </c>
      <c r="AW18" s="184" t="str">
        <f>IFERROR(IF(VLOOKUP(Mon_W1[[#This Row],[Employee Name]],'Base Schedules'!$A$113:$AW$158,48,FALSE)="","",VLOOKUP(Mon_W1[[#This Row],[Employee Name]],'Base Schedules'!$A$113:$AW$158,48,FALSE)),"")</f>
        <v/>
      </c>
      <c r="AX18" s="184" t="str">
        <f>IFERROR(IF(VLOOKUP(Mon_W1[[#This Row],[Employee Name]],'Base Schedules'!$A$113:$AW$158,49,FALSE)="","",VLOOKUP(Mon_W1[[#This Row],[Employee Name]],'Base Schedules'!$A$113:$AW$158,49,FALSE)),"")</f>
        <v/>
      </c>
      <c r="AY18" s="167" t="str">
        <f t="shared" si="2"/>
        <v>Greene, Alicia</v>
      </c>
    </row>
    <row r="19" spans="1:51" s="44" customFormat="1" ht="12" x14ac:dyDescent="0.2">
      <c r="A19" s="39" t="str">
        <f>IF(B19="","",INDEX(TeamList[],MATCH($B19,TeamList[[Employee Name]:[Employee Name]],0),MATCH("Manager",TeamList[#Headers],0)))</f>
        <v>Paulson, Matthew</v>
      </c>
      <c r="B19" s="201" t="s">
        <v>39</v>
      </c>
      <c r="C19" s="257" t="str">
        <f>_xlfn.IFNA(VLOOKUP(Mon_W1[[#This Row],[Employee Name]],'Base Schedules'!A:B,2,FALSE),"")</f>
        <v>Supervisor</v>
      </c>
      <c r="D19" s="274">
        <f>_xlfn.IFNA(VLOOKUP(Mon_W1[[#This Row],[Employee Name]],'Base Schedules'!A:C,3,FALSE),"")</f>
        <v>630</v>
      </c>
      <c r="E19" s="274">
        <f>_xlfn.IFNA(VLOOKUP(Mon_W1[[#This Row],[Employee Name]],'Base Schedules'!A:D,4,FALSE),"")</f>
        <v>1530</v>
      </c>
      <c r="F19" s="142">
        <f>IF(Mon_W1[[#This Row],[Employee Name]]="","",IF(Mon_W1[[#This Row],[Dept]]="Supervisor",COUNTIFS($J19:$AX19,"*HL*",$J19:$AX19,"&lt;&gt;"&amp;"pHL"),COUNTIFS($J19:$AX19,"*HL*",$J19:$AX19,"&lt;&gt;"&amp;"*pHL*",$J19:$AX19,"&lt;&gt;"&amp;"pB1 HL",$J19:$AX19,"&lt;&gt;"&amp;"pB2 HL")-SUM(COUNTIFS($J19:$AX19,"*HL B1*",$J19:$AX19,"&lt;&gt;"&amp;"pHL B1")*0.5,COUNTIFS($J19:$AX19,"*HL B2*",$J19:$AX19,"&lt;&gt;"&amp;"pHL B2")*0.5,COUNTIFS($J19:$AX19,"*B1 HL*",$J19:$AX19,"&lt;&gt;"&amp;"pB1 HL")*0.5,COUNTIFS($J19:$AX19,"*B2 HL*",$J19:$AX19,"&lt;&gt;"&amp;"pB2 HL")*0.5)))</f>
        <v>0</v>
      </c>
      <c r="G19" s="142">
        <f t="shared" si="0"/>
        <v>0</v>
      </c>
      <c r="H19" s="142">
        <f t="shared" si="1"/>
        <v>0</v>
      </c>
      <c r="I19" s="142">
        <f>IF(Mon_W1[[#This Row],[Employee Name]]="","",IF(Mon_W1[[#This Row],[Dept]]="Supervisor",SUM(COUNTIFS($J19:$AX19,"RTA*",$J19:$AX19,"&lt;&gt;"&amp;"pRTA"),COUNTIFS($J19:$AX19,"*CRTA*",$J19:$AX19,"&lt;&gt;"&amp;"pCRTA")),COUNTIFS($J19:$AX19,"*RNNR*",$J19:$AX19,"&lt;&gt;"&amp;"*pRNNR*",$J19:$AX19,"&lt;&gt;"&amp;"pB1 RNNR",$J19:$AX19,"&lt;&gt;"&amp;"pB2 RNNR")-SUM(COUNTIFS($J19:$AX19,"*RNNR B1*",$J19:$AX19,"&lt;&gt;"&amp;"pRNNR B1")*0.5,COUNTIFS($J19:$AX19,"*RNNR B2*",$J19:$AX19,"&lt;&gt;"&amp;"pRNNR B2")*0.5,COUNTIFS($J19:$AX19,"*B1 RNNR*",$J19:$AX19,"&lt;&gt;"&amp;"pB1 RNNR")*0.5,COUNTIFS($J19:$AX19,"*B2 RNNR*",$J19:$AX19,"&lt;&gt;"&amp;"pB2 RNNR")*0.5)))</f>
        <v>0</v>
      </c>
      <c r="J19" s="184" t="str">
        <f>IFERROR(IF(VLOOKUP(Mon_W1[[#This Row],[Employee Name]],'Base Schedules'!$A$113:$AW$158,9,FALSE)="","",VLOOKUP(Mon_W1[[#This Row],[Employee Name]],'Base Schedules'!$A$113:$AW$158,9,FALSE)),"")</f>
        <v/>
      </c>
      <c r="K19" s="184" t="str">
        <f>IFERROR(IF(VLOOKUP(Mon_W1[[#This Row],[Employee Name]],'Base Schedules'!$A$113:$AW$158,10,FALSE)="","",VLOOKUP(Mon_W1[[#This Row],[Employee Name]],'Base Schedules'!$A$113:$AW$158,10,FALSE)),"")</f>
        <v/>
      </c>
      <c r="L19" s="184" t="str">
        <f>IFERROR(IF(VLOOKUP(Mon_W1[[#This Row],[Employee Name]],'Base Schedules'!$A$113:$AW$158,11,FALSE)="","",VLOOKUP(Mon_W1[[#This Row],[Employee Name]],'Base Schedules'!$A$113:$AW$158,11,FALSE)),"")</f>
        <v/>
      </c>
      <c r="M19" s="184" t="str">
        <f>IFERROR(IF(VLOOKUP(Mon_W1[[#This Row],[Employee Name]],'Base Schedules'!$A$113:$AW$158,12,FALSE)="","",VLOOKUP(Mon_W1[[#This Row],[Employee Name]],'Base Schedules'!$A$113:$AW$158,12,FALSE)),"")</f>
        <v>-</v>
      </c>
      <c r="N19" s="184" t="str">
        <f>IFERROR(IF(VLOOKUP(Mon_W1[[#This Row],[Employee Name]],'Base Schedules'!$A$113:$AW$158,13,FALSE)="","",VLOOKUP(Mon_W1[[#This Row],[Employee Name]],'Base Schedules'!$A$113:$AW$158,13,FALSE)),"")</f>
        <v>-</v>
      </c>
      <c r="O19" s="184" t="str">
        <f>IFERROR(IF(VLOOKUP(Mon_W1[[#This Row],[Employee Name]],'Base Schedules'!$A$113:$AW$158,14,FALSE)="","",VLOOKUP(Mon_W1[[#This Row],[Employee Name]],'Base Schedules'!$A$113:$AW$158,14,FALSE)),"")</f>
        <v>-</v>
      </c>
      <c r="P19" s="184" t="str">
        <f>IFERROR(IF(VLOOKUP(Mon_W1[[#This Row],[Employee Name]],'Base Schedules'!$A$113:$AW$158,15,FALSE)="","",VLOOKUP(Mon_W1[[#This Row],[Employee Name]],'Base Schedules'!$A$113:$AW$158,15,FALSE)),"")</f>
        <v>-</v>
      </c>
      <c r="Q19" s="184" t="str">
        <f>IFERROR(IF(VLOOKUP(Mon_W1[[#This Row],[Employee Name]],'Base Schedules'!$A$113:$AW$158,16,FALSE)="","",VLOOKUP(Mon_W1[[#This Row],[Employee Name]],'Base Schedules'!$A$113:$AW$158,16,FALSE)),"")</f>
        <v>-</v>
      </c>
      <c r="R19" s="184" t="str">
        <f>IFERROR(IF(VLOOKUP(Mon_W1[[#This Row],[Employee Name]],'Base Schedules'!$A$113:$AW$158,17,FALSE)="","",VLOOKUP(Mon_W1[[#This Row],[Employee Name]],'Base Schedules'!$A$113:$AW$158,17,FALSE)),"")</f>
        <v>-</v>
      </c>
      <c r="S19" s="184" t="str">
        <f>IFERROR(IF(VLOOKUP(Mon_W1[[#This Row],[Employee Name]],'Base Schedules'!$A$113:$AW$158,18,FALSE)="","",VLOOKUP(Mon_W1[[#This Row],[Employee Name]],'Base Schedules'!$A$113:$AW$158,18,FALSE)),"")</f>
        <v>-</v>
      </c>
      <c r="T19" s="184" t="str">
        <f>IFERROR(IF(VLOOKUP(Mon_W1[[#This Row],[Employee Name]],'Base Schedules'!$A$113:$AW$158,19,FALSE)="","",VLOOKUP(Mon_W1[[#This Row],[Employee Name]],'Base Schedules'!$A$113:$AW$158,19,FALSE)),"")</f>
        <v>Interview</v>
      </c>
      <c r="U19" s="184" t="str">
        <f>IFERROR(IF(VLOOKUP(Mon_W1[[#This Row],[Employee Name]],'Base Schedules'!$A$113:$AW$158,20,FALSE)="","",VLOOKUP(Mon_W1[[#This Row],[Employee Name]],'Base Schedules'!$A$113:$AW$158,20,FALSE)),"")</f>
        <v>Interview</v>
      </c>
      <c r="V19" s="184" t="str">
        <f>IFERROR(IF(VLOOKUP(Mon_W1[[#This Row],[Employee Name]],'Base Schedules'!$A$113:$AW$158,21,FALSE)="","",VLOOKUP(Mon_W1[[#This Row],[Employee Name]],'Base Schedules'!$A$113:$AW$158,21,FALSE)),"")</f>
        <v>-</v>
      </c>
      <c r="W19" s="184" t="str">
        <f>IFERROR(IF(VLOOKUP(Mon_W1[[#This Row],[Employee Name]],'Base Schedules'!$A$113:$AW$158,22,FALSE)="","",VLOOKUP(Mon_W1[[#This Row],[Employee Name]],'Base Schedules'!$A$113:$AW$158,22,FALSE)),"")</f>
        <v>-</v>
      </c>
      <c r="X19" s="184" t="str">
        <f>IFERROR(IF(VLOOKUP(Mon_W1[[#This Row],[Employee Name]],'Base Schedules'!$A$113:$AW$158,23,FALSE)="","",VLOOKUP(Mon_W1[[#This Row],[Employee Name]],'Base Schedules'!$A$113:$AW$158,23,FALSE)),"")</f>
        <v>-</v>
      </c>
      <c r="Y19" s="184" t="str">
        <f>IFERROR(IF(VLOOKUP(Mon_W1[[#This Row],[Employee Name]],'Base Schedules'!$A$113:$AW$158,24,FALSE)="","",VLOOKUP(Mon_W1[[#This Row],[Employee Name]],'Base Schedules'!$A$113:$AW$158,24,FALSE)),"")</f>
        <v>-</v>
      </c>
      <c r="Z19" s="184" t="str">
        <f>IFERROR(IF(VLOOKUP(Mon_W1[[#This Row],[Employee Name]],'Base Schedules'!$A$113:$AW$158,25,FALSE)="","",VLOOKUP(Mon_W1[[#This Row],[Employee Name]],'Base Schedules'!$A$113:$AW$158,25,FALSE)),"")</f>
        <v>-</v>
      </c>
      <c r="AA19" s="184" t="str">
        <f>IFERROR(IF(VLOOKUP(Mon_W1[[#This Row],[Employee Name]],'Base Schedules'!$A$113:$AW$158,26,FALSE)="","",VLOOKUP(Mon_W1[[#This Row],[Employee Name]],'Base Schedules'!$A$113:$AW$158,26,FALSE)),"")</f>
        <v>-</v>
      </c>
      <c r="AB19" s="184" t="str">
        <f>IFERROR(IF(VLOOKUP(Mon_W1[[#This Row],[Employee Name]],'Base Schedules'!$A$113:$AW$158,27,FALSE)="","",VLOOKUP(Mon_W1[[#This Row],[Employee Name]],'Base Schedules'!$A$113:$AW$158,27,FALSE)),"")</f>
        <v>-</v>
      </c>
      <c r="AC19" s="184" t="str">
        <f>IFERROR(IF(VLOOKUP(Mon_W1[[#This Row],[Employee Name]],'Base Schedules'!$A$113:$AW$158,28,FALSE)="","",VLOOKUP(Mon_W1[[#This Row],[Employee Name]],'Base Schedules'!$A$113:$AW$158,28,FALSE)),"")</f>
        <v>-</v>
      </c>
      <c r="AD19" s="184" t="str">
        <f>IFERROR(IF(VLOOKUP(Mon_W1[[#This Row],[Employee Name]],'Base Schedules'!$A$113:$AW$158,29,FALSE)="","",VLOOKUP(Mon_W1[[#This Row],[Employee Name]],'Base Schedules'!$A$113:$AW$158,29,FALSE)),"")</f>
        <v>-</v>
      </c>
      <c r="AE19" s="184" t="str">
        <f>IFERROR(IF(VLOOKUP(Mon_W1[[#This Row],[Employee Name]],'Base Schedules'!$A$113:$AW$158,30,FALSE)="","",VLOOKUP(Mon_W1[[#This Row],[Employee Name]],'Base Schedules'!$A$113:$AW$158,30,FALSE)),"")</f>
        <v/>
      </c>
      <c r="AF19" s="184" t="str">
        <f>IFERROR(IF(VLOOKUP(Mon_W1[[#This Row],[Employee Name]],'Base Schedules'!$A$113:$AW$158,31,FALSE)="","",VLOOKUP(Mon_W1[[#This Row],[Employee Name]],'Base Schedules'!$A$113:$AW$158,31,FALSE)),"")</f>
        <v/>
      </c>
      <c r="AG19" s="184" t="str">
        <f>IFERROR(IF(VLOOKUP(Mon_W1[[#This Row],[Employee Name]],'Base Schedules'!$A$113:$AW$158,32,FALSE)="","",VLOOKUP(Mon_W1[[#This Row],[Employee Name]],'Base Schedules'!$A$113:$AW$158,32,FALSE)),"")</f>
        <v/>
      </c>
      <c r="AH19" s="184" t="str">
        <f>IFERROR(IF(VLOOKUP(Mon_W1[[#This Row],[Employee Name]],'Base Schedules'!$A$113:$AW$158,33,FALSE)="","",VLOOKUP(Mon_W1[[#This Row],[Employee Name]],'Base Schedules'!$A$113:$AW$158,33,FALSE)),"")</f>
        <v/>
      </c>
      <c r="AI19" s="184" t="str">
        <f>IFERROR(IF(VLOOKUP(Mon_W1[[#This Row],[Employee Name]],'Base Schedules'!$A$113:$AW$158,34,FALSE)="","",VLOOKUP(Mon_W1[[#This Row],[Employee Name]],'Base Schedules'!$A$113:$AW$158,34,FALSE)),"")</f>
        <v/>
      </c>
      <c r="AJ19" s="184" t="str">
        <f>IFERROR(IF(VLOOKUP(Mon_W1[[#This Row],[Employee Name]],'Base Schedules'!$A$113:$AW$158,35,FALSE)="","",VLOOKUP(Mon_W1[[#This Row],[Employee Name]],'Base Schedules'!$A$113:$AW$158,35,FALSE)),"")</f>
        <v/>
      </c>
      <c r="AK19" s="184" t="str">
        <f>IFERROR(IF(VLOOKUP(Mon_W1[[#This Row],[Employee Name]],'Base Schedules'!$A$113:$AW$158,36,FALSE)="","",VLOOKUP(Mon_W1[[#This Row],[Employee Name]],'Base Schedules'!$A$113:$AW$158,36,FALSE)),"")</f>
        <v/>
      </c>
      <c r="AL19" s="184" t="str">
        <f>IFERROR(IF(VLOOKUP(Mon_W1[[#This Row],[Employee Name]],'Base Schedules'!$A$113:$AW$158,37,FALSE)="","",VLOOKUP(Mon_W1[[#This Row],[Employee Name]],'Base Schedules'!$A$113:$AW$158,37,FALSE)),"")</f>
        <v/>
      </c>
      <c r="AM19" s="184" t="str">
        <f>IFERROR(IF(VLOOKUP(Mon_W1[[#This Row],[Employee Name]],'Base Schedules'!$A$113:$AW$158,38,FALSE)="","",VLOOKUP(Mon_W1[[#This Row],[Employee Name]],'Base Schedules'!$A$113:$AW$158,38,FALSE)),"")</f>
        <v/>
      </c>
      <c r="AN19" s="184" t="str">
        <f>IFERROR(IF(VLOOKUP(Mon_W1[[#This Row],[Employee Name]],'Base Schedules'!$A$113:$AW$158,39,FALSE)="","",VLOOKUP(Mon_W1[[#This Row],[Employee Name]],'Base Schedules'!$A$113:$AW$158,39,FALSE)),"")</f>
        <v/>
      </c>
      <c r="AO19" s="184" t="str">
        <f>IFERROR(IF(VLOOKUP(Mon_W1[[#This Row],[Employee Name]],'Base Schedules'!$A$113:$AW$158,40,FALSE)="","",VLOOKUP(Mon_W1[[#This Row],[Employee Name]],'Base Schedules'!$A$113:$AW$158,40,FALSE)),"")</f>
        <v/>
      </c>
      <c r="AP19" s="184" t="str">
        <f>IFERROR(IF(VLOOKUP(Mon_W1[[#This Row],[Employee Name]],'Base Schedules'!$A$113:$AW$158,41,FALSE)="","",VLOOKUP(Mon_W1[[#This Row],[Employee Name]],'Base Schedules'!$A$113:$AW$158,41,FALSE)),"")</f>
        <v/>
      </c>
      <c r="AQ19" s="184" t="str">
        <f>IFERROR(IF(VLOOKUP(Mon_W1[[#This Row],[Employee Name]],'Base Schedules'!$A$113:$AW$158,42,FALSE)="","",VLOOKUP(Mon_W1[[#This Row],[Employee Name]],'Base Schedules'!$A$113:$AW$158,42,FALSE)),"")</f>
        <v/>
      </c>
      <c r="AR19" s="184" t="str">
        <f>IFERROR(IF(VLOOKUP(Mon_W1[[#This Row],[Employee Name]],'Base Schedules'!$A$113:$AW$158,43,FALSE)="","",VLOOKUP(Mon_W1[[#This Row],[Employee Name]],'Base Schedules'!$A$113:$AW$158,43,FALSE)),"")</f>
        <v/>
      </c>
      <c r="AS19" s="184" t="str">
        <f>IFERROR(IF(VLOOKUP(Mon_W1[[#This Row],[Employee Name]],'Base Schedules'!$A$113:$AW$158,44,FALSE)="","",VLOOKUP(Mon_W1[[#This Row],[Employee Name]],'Base Schedules'!$A$113:$AW$158,44,FALSE)),"")</f>
        <v/>
      </c>
      <c r="AT19" s="184" t="str">
        <f>IFERROR(IF(VLOOKUP(Mon_W1[[#This Row],[Employee Name]],'Base Schedules'!$A$113:$AW$158,45,FALSE)="","",VLOOKUP(Mon_W1[[#This Row],[Employee Name]],'Base Schedules'!$A$113:$AW$158,45,FALSE)),"")</f>
        <v/>
      </c>
      <c r="AU19" s="184" t="str">
        <f>IFERROR(IF(VLOOKUP(Mon_W1[[#This Row],[Employee Name]],'Base Schedules'!$A$113:$AW$158,46,FALSE)="","",VLOOKUP(Mon_W1[[#This Row],[Employee Name]],'Base Schedules'!$A$113:$AW$158,46,FALSE)),"")</f>
        <v/>
      </c>
      <c r="AV19" s="184" t="str">
        <f>IFERROR(IF(VLOOKUP(Mon_W1[[#This Row],[Employee Name]],'Base Schedules'!$A$113:$AW$158,47,FALSE)="","",VLOOKUP(Mon_W1[[#This Row],[Employee Name]],'Base Schedules'!$A$113:$AW$158,47,FALSE)),"")</f>
        <v/>
      </c>
      <c r="AW19" s="184" t="str">
        <f>IFERROR(IF(VLOOKUP(Mon_W1[[#This Row],[Employee Name]],'Base Schedules'!$A$113:$AW$158,48,FALSE)="","",VLOOKUP(Mon_W1[[#This Row],[Employee Name]],'Base Schedules'!$A$113:$AW$158,48,FALSE)),"")</f>
        <v/>
      </c>
      <c r="AX19" s="184" t="str">
        <f>IFERROR(IF(VLOOKUP(Mon_W1[[#This Row],[Employee Name]],'Base Schedules'!$A$113:$AW$158,49,FALSE)="","",VLOOKUP(Mon_W1[[#This Row],[Employee Name]],'Base Schedules'!$A$113:$AW$158,49,FALSE)),"")</f>
        <v/>
      </c>
      <c r="AY19" s="164" t="str">
        <f t="shared" si="2"/>
        <v>Ulrich, Michael</v>
      </c>
    </row>
    <row r="20" spans="1:51" s="44" customFormat="1" ht="12" x14ac:dyDescent="0.2">
      <c r="A20" s="39" t="str">
        <f>IF(B20="","",INDEX(TeamList[],MATCH($B20,TeamList[[Employee Name]:[Employee Name]],0),MATCH("Manager",TeamList[#Headers],0)))</f>
        <v>Olson, Katherine</v>
      </c>
      <c r="B20" s="201" t="s">
        <v>22</v>
      </c>
      <c r="C20" s="257" t="str">
        <f>_xlfn.IFNA(VLOOKUP(Mon_W1[[#This Row],[Employee Name]],'Base Schedules'!A:B,2,FALSE),"")</f>
        <v>Lead</v>
      </c>
      <c r="D20" s="274">
        <f>_xlfn.IFNA(VLOOKUP(Mon_W1[[#This Row],[Employee Name]],'Base Schedules'!A:C,3,FALSE),"")</f>
        <v>700</v>
      </c>
      <c r="E20" s="274">
        <f>_xlfn.IFNA(VLOOKUP(Mon_W1[[#This Row],[Employee Name]],'Base Schedules'!A:D,4,FALSE),"")</f>
        <v>1600</v>
      </c>
      <c r="F20" s="142">
        <f>IF(Mon_W1[[#This Row],[Employee Name]]="","",IF(Mon_W1[[#This Row],[Dept]]="Supervisor",COUNTIFS($J20:$AX20,"*HL*",$J20:$AX20,"&lt;&gt;"&amp;"pHL"),COUNTIFS($J20:$AX20,"*HL*",$J20:$AX20,"&lt;&gt;"&amp;"*pHL*",$J20:$AX20,"&lt;&gt;"&amp;"pB1 HL",$J20:$AX20,"&lt;&gt;"&amp;"pB2 HL")-SUM(COUNTIFS($J20:$AX20,"*HL B1*",$J20:$AX20,"&lt;&gt;"&amp;"pHL B1")*0.5,COUNTIFS($J20:$AX20,"*HL B2*",$J20:$AX20,"&lt;&gt;"&amp;"pHL B2")*0.5,COUNTIFS($J20:$AX20,"*B1 HL*",$J20:$AX20,"&lt;&gt;"&amp;"pB1 HL")*0.5,COUNTIFS($J20:$AX20,"*B2 HL*",$J20:$AX20,"&lt;&gt;"&amp;"pB2 HL")*0.5)))</f>
        <v>7.5</v>
      </c>
      <c r="G20" s="142">
        <f t="shared" si="0"/>
        <v>0</v>
      </c>
      <c r="H20" s="142">
        <f t="shared" si="1"/>
        <v>8</v>
      </c>
      <c r="I20" s="142">
        <f>IF(Mon_W1[[#This Row],[Employee Name]]="","",IF(Mon_W1[[#This Row],[Dept]]="Supervisor",SUM(COUNTIFS($J20:$AX20,"RTA*",$J20:$AX20,"&lt;&gt;"&amp;"pRTA"),COUNTIFS($J20:$AX20,"*CRTA*",$J20:$AX20,"&lt;&gt;"&amp;"pCRTA")),COUNTIFS($J20:$AX20,"*RNNR*",$J20:$AX20,"&lt;&gt;"&amp;"*pRNNR*",$J20:$AX20,"&lt;&gt;"&amp;"pB1 RNNR",$J20:$AX20,"&lt;&gt;"&amp;"pB2 RNNR")-SUM(COUNTIFS($J20:$AX20,"*RNNR B1*",$J20:$AX20,"&lt;&gt;"&amp;"pRNNR B1")*0.5,COUNTIFS($J20:$AX20,"*RNNR B2*",$J20:$AX20,"&lt;&gt;"&amp;"pRNNR B2")*0.5,COUNTIFS($J20:$AX20,"*B1 RNNR*",$J20:$AX20,"&lt;&gt;"&amp;"pB1 RNNR")*0.5,COUNTIFS($J20:$AX20,"*B2 RNNR*",$J20:$AX20,"&lt;&gt;"&amp;"pB2 RNNR")*0.5)))</f>
        <v>0</v>
      </c>
      <c r="J20" s="184" t="str">
        <f>IFERROR(IF(VLOOKUP(Mon_W1[[#This Row],[Employee Name]],'Base Schedules'!$A$113:$AW$158,9,FALSE)="","",VLOOKUP(Mon_W1[[#This Row],[Employee Name]],'Base Schedules'!$A$113:$AW$158,9,FALSE)),"")</f>
        <v/>
      </c>
      <c r="K20" s="184" t="str">
        <f>IFERROR(IF(VLOOKUP(Mon_W1[[#This Row],[Employee Name]],'Base Schedules'!$A$113:$AW$158,10,FALSE)="","",VLOOKUP(Mon_W1[[#This Row],[Employee Name]],'Base Schedules'!$A$113:$AW$158,10,FALSE)),"")</f>
        <v/>
      </c>
      <c r="L20" s="184" t="str">
        <f>IFERROR(IF(VLOOKUP(Mon_W1[[#This Row],[Employee Name]],'Base Schedules'!$A$113:$AW$158,11,FALSE)="","",VLOOKUP(Mon_W1[[#This Row],[Employee Name]],'Base Schedules'!$A$113:$AW$158,11,FALSE)),"")</f>
        <v/>
      </c>
      <c r="M20" s="184" t="str">
        <f>IFERROR(IF(VLOOKUP(Mon_W1[[#This Row],[Employee Name]],'Base Schedules'!$A$113:$AW$158,12,FALSE)="","",VLOOKUP(Mon_W1[[#This Row],[Employee Name]],'Base Schedules'!$A$113:$AW$158,12,FALSE)),"")</f>
        <v/>
      </c>
      <c r="N20" s="184" t="str">
        <f>IFERROR(IF(VLOOKUP(Mon_W1[[#This Row],[Employee Name]],'Base Schedules'!$A$113:$AW$158,13,FALSE)="","",VLOOKUP(Mon_W1[[#This Row],[Employee Name]],'Base Schedules'!$A$113:$AW$158,13,FALSE)),"")</f>
        <v>HL</v>
      </c>
      <c r="O20" s="184" t="str">
        <f>IFERROR(IF(VLOOKUP(Mon_W1[[#This Row],[Employee Name]],'Base Schedules'!$A$113:$AW$158,14,FALSE)="","",VLOOKUP(Mon_W1[[#This Row],[Employee Name]],'Base Schedules'!$A$113:$AW$158,14,FALSE)),"")</f>
        <v>HL</v>
      </c>
      <c r="P20" s="184" t="str">
        <f>IFERROR(IF(VLOOKUP(Mon_W1[[#This Row],[Employee Name]],'Base Schedules'!$A$113:$AW$158,15,FALSE)="","",VLOOKUP(Mon_W1[[#This Row],[Employee Name]],'Base Schedules'!$A$113:$AW$158,15,FALSE)),"")</f>
        <v>HL</v>
      </c>
      <c r="Q20" s="184" t="str">
        <f>IFERROR(IF(VLOOKUP(Mon_W1[[#This Row],[Employee Name]],'Base Schedules'!$A$113:$AW$158,16,FALSE)="","",VLOOKUP(Mon_W1[[#This Row],[Employee Name]],'Base Schedules'!$A$113:$AW$158,16,FALSE)),"")</f>
        <v>ADM</v>
      </c>
      <c r="R20" s="184" t="str">
        <f>IFERROR(IF(VLOOKUP(Mon_W1[[#This Row],[Employee Name]],'Base Schedules'!$A$113:$AW$158,17,FALSE)="","",VLOOKUP(Mon_W1[[#This Row],[Employee Name]],'Base Schedules'!$A$113:$AW$158,17,FALSE)),"")</f>
        <v>B1 HL</v>
      </c>
      <c r="S20" s="184" t="str">
        <f>IFERROR(IF(VLOOKUP(Mon_W1[[#This Row],[Employee Name]],'Base Schedules'!$A$113:$AW$158,18,FALSE)="","",VLOOKUP(Mon_W1[[#This Row],[Employee Name]],'Base Schedules'!$A$113:$AW$158,18,FALSE)),"")</f>
        <v>HL</v>
      </c>
      <c r="T20" s="184" t="str">
        <f>IFERROR(IF(VLOOKUP(Mon_W1[[#This Row],[Employee Name]],'Base Schedules'!$A$113:$AW$158,19,FALSE)="","",VLOOKUP(Mon_W1[[#This Row],[Employee Name]],'Base Schedules'!$A$113:$AW$158,19,FALSE)),"")</f>
        <v>HL</v>
      </c>
      <c r="U20" s="184" t="str">
        <f>IFERROR(IF(VLOOKUP(Mon_W1[[#This Row],[Employee Name]],'Base Schedules'!$A$113:$AW$158,20,FALSE)="","",VLOOKUP(Mon_W1[[#This Row],[Employee Name]],'Base Schedules'!$A$113:$AW$158,20,FALSE)),"")</f>
        <v>ADM</v>
      </c>
      <c r="V20" s="184" t="str">
        <f>IFERROR(IF(VLOOKUP(Mon_W1[[#This Row],[Employee Name]],'Base Schedules'!$A$113:$AW$158,21,FALSE)="","",VLOOKUP(Mon_W1[[#This Row],[Employee Name]],'Base Schedules'!$A$113:$AW$158,21,FALSE)),"")</f>
        <v>ADM</v>
      </c>
      <c r="W20" s="184" t="str">
        <f>IFERROR(IF(VLOOKUP(Mon_W1[[#This Row],[Employee Name]],'Base Schedules'!$A$113:$AW$158,22,FALSE)="","",VLOOKUP(Mon_W1[[#This Row],[Employee Name]],'Base Schedules'!$A$113:$AW$158,22,FALSE)),"")</f>
        <v>LUNCH</v>
      </c>
      <c r="X20" s="184" t="str">
        <f>IFERROR(IF(VLOOKUP(Mon_W1[[#This Row],[Employee Name]],'Base Schedules'!$A$113:$AW$158,23,FALSE)="","",VLOOKUP(Mon_W1[[#This Row],[Employee Name]],'Base Schedules'!$A$113:$AW$158,23,FALSE)),"")</f>
        <v>LUNCH</v>
      </c>
      <c r="Y20" s="184" t="str">
        <f>IFERROR(IF(VLOOKUP(Mon_W1[[#This Row],[Employee Name]],'Base Schedules'!$A$113:$AW$158,24,FALSE)="","",VLOOKUP(Mon_W1[[#This Row],[Employee Name]],'Base Schedules'!$A$113:$AW$158,24,FALSE)),"")</f>
        <v>ADM</v>
      </c>
      <c r="Z20" s="184" t="str">
        <f>IFERROR(IF(VLOOKUP(Mon_W1[[#This Row],[Employee Name]],'Base Schedules'!$A$113:$AW$158,25,FALSE)="","",VLOOKUP(Mon_W1[[#This Row],[Employee Name]],'Base Schedules'!$A$113:$AW$158,25,FALSE)),"")</f>
        <v>HL</v>
      </c>
      <c r="AA20" s="184" t="str">
        <f>IFERROR(IF(VLOOKUP(Mon_W1[[#This Row],[Employee Name]],'Base Schedules'!$A$113:$AW$158,26,FALSE)="","",VLOOKUP(Mon_W1[[#This Row],[Employee Name]],'Base Schedules'!$A$113:$AW$158,26,FALSE)),"")</f>
        <v>HL</v>
      </c>
      <c r="AB20" s="184" t="str">
        <f>IFERROR(IF(VLOOKUP(Mon_W1[[#This Row],[Employee Name]],'Base Schedules'!$A$113:$AW$158,27,FALSE)="","",VLOOKUP(Mon_W1[[#This Row],[Employee Name]],'Base Schedules'!$A$113:$AW$158,27,FALSE)),"")</f>
        <v>B2 ADM</v>
      </c>
      <c r="AC20" s="184" t="str">
        <f>IFERROR(IF(VLOOKUP(Mon_W1[[#This Row],[Employee Name]],'Base Schedules'!$A$113:$AW$158,28,FALSE)="","",VLOOKUP(Mon_W1[[#This Row],[Employee Name]],'Base Schedules'!$A$113:$AW$158,28,FALSE)),"")</f>
        <v>ADM</v>
      </c>
      <c r="AD20" s="184" t="str">
        <f>IFERROR(IF(VLOOKUP(Mon_W1[[#This Row],[Employee Name]],'Base Schedules'!$A$113:$AW$158,29,FALSE)="","",VLOOKUP(Mon_W1[[#This Row],[Employee Name]],'Base Schedules'!$A$113:$AW$158,29,FALSE)),"")</f>
        <v>ADM</v>
      </c>
      <c r="AE20" s="184" t="str">
        <f>IFERROR(IF(VLOOKUP(Mon_W1[[#This Row],[Employee Name]],'Base Schedules'!$A$113:$AW$158,30,FALSE)="","",VLOOKUP(Mon_W1[[#This Row],[Employee Name]],'Base Schedules'!$A$113:$AW$158,30,FALSE)),"")</f>
        <v>ADM</v>
      </c>
      <c r="AF20" s="184" t="str">
        <f>IFERROR(IF(VLOOKUP(Mon_W1[[#This Row],[Employee Name]],'Base Schedules'!$A$113:$AW$158,31,FALSE)="","",VLOOKUP(Mon_W1[[#This Row],[Employee Name]],'Base Schedules'!$A$113:$AW$158,31,FALSE)),"")</f>
        <v/>
      </c>
      <c r="AG20" s="184" t="str">
        <f>IFERROR(IF(VLOOKUP(Mon_W1[[#This Row],[Employee Name]],'Base Schedules'!$A$113:$AW$158,32,FALSE)="","",VLOOKUP(Mon_W1[[#This Row],[Employee Name]],'Base Schedules'!$A$113:$AW$158,32,FALSE)),"")</f>
        <v/>
      </c>
      <c r="AH20" s="184" t="str">
        <f>IFERROR(IF(VLOOKUP(Mon_W1[[#This Row],[Employee Name]],'Base Schedules'!$A$113:$AW$158,33,FALSE)="","",VLOOKUP(Mon_W1[[#This Row],[Employee Name]],'Base Schedules'!$A$113:$AW$158,33,FALSE)),"")</f>
        <v/>
      </c>
      <c r="AI20" s="184" t="str">
        <f>IFERROR(IF(VLOOKUP(Mon_W1[[#This Row],[Employee Name]],'Base Schedules'!$A$113:$AW$158,34,FALSE)="","",VLOOKUP(Mon_W1[[#This Row],[Employee Name]],'Base Schedules'!$A$113:$AW$158,34,FALSE)),"")</f>
        <v/>
      </c>
      <c r="AJ20" s="184" t="str">
        <f>IFERROR(IF(VLOOKUP(Mon_W1[[#This Row],[Employee Name]],'Base Schedules'!$A$113:$AW$158,35,FALSE)="","",VLOOKUP(Mon_W1[[#This Row],[Employee Name]],'Base Schedules'!$A$113:$AW$158,35,FALSE)),"")</f>
        <v/>
      </c>
      <c r="AK20" s="184" t="str">
        <f>IFERROR(IF(VLOOKUP(Mon_W1[[#This Row],[Employee Name]],'Base Schedules'!$A$113:$AW$158,36,FALSE)="","",VLOOKUP(Mon_W1[[#This Row],[Employee Name]],'Base Schedules'!$A$113:$AW$158,36,FALSE)),"")</f>
        <v/>
      </c>
      <c r="AL20" s="184" t="str">
        <f>IFERROR(IF(VLOOKUP(Mon_W1[[#This Row],[Employee Name]],'Base Schedules'!$A$113:$AW$158,37,FALSE)="","",VLOOKUP(Mon_W1[[#This Row],[Employee Name]],'Base Schedules'!$A$113:$AW$158,37,FALSE)),"")</f>
        <v/>
      </c>
      <c r="AM20" s="184" t="str">
        <f>IFERROR(IF(VLOOKUP(Mon_W1[[#This Row],[Employee Name]],'Base Schedules'!$A$113:$AW$158,38,FALSE)="","",VLOOKUP(Mon_W1[[#This Row],[Employee Name]],'Base Schedules'!$A$113:$AW$158,38,FALSE)),"")</f>
        <v/>
      </c>
      <c r="AN20" s="184" t="str">
        <f>IFERROR(IF(VLOOKUP(Mon_W1[[#This Row],[Employee Name]],'Base Schedules'!$A$113:$AW$158,39,FALSE)="","",VLOOKUP(Mon_W1[[#This Row],[Employee Name]],'Base Schedules'!$A$113:$AW$158,39,FALSE)),"")</f>
        <v/>
      </c>
      <c r="AO20" s="184" t="str">
        <f>IFERROR(IF(VLOOKUP(Mon_W1[[#This Row],[Employee Name]],'Base Schedules'!$A$113:$AW$158,40,FALSE)="","",VLOOKUP(Mon_W1[[#This Row],[Employee Name]],'Base Schedules'!$A$113:$AW$158,40,FALSE)),"")</f>
        <v/>
      </c>
      <c r="AP20" s="184" t="str">
        <f>IFERROR(IF(VLOOKUP(Mon_W1[[#This Row],[Employee Name]],'Base Schedules'!$A$113:$AW$158,41,FALSE)="","",VLOOKUP(Mon_W1[[#This Row],[Employee Name]],'Base Schedules'!$A$113:$AW$158,41,FALSE)),"")</f>
        <v/>
      </c>
      <c r="AQ20" s="184" t="str">
        <f>IFERROR(IF(VLOOKUP(Mon_W1[[#This Row],[Employee Name]],'Base Schedules'!$A$113:$AW$158,42,FALSE)="","",VLOOKUP(Mon_W1[[#This Row],[Employee Name]],'Base Schedules'!$A$113:$AW$158,42,FALSE)),"")</f>
        <v/>
      </c>
      <c r="AR20" s="184" t="str">
        <f>IFERROR(IF(VLOOKUP(Mon_W1[[#This Row],[Employee Name]],'Base Schedules'!$A$113:$AW$158,43,FALSE)="","",VLOOKUP(Mon_W1[[#This Row],[Employee Name]],'Base Schedules'!$A$113:$AW$158,43,FALSE)),"")</f>
        <v/>
      </c>
      <c r="AS20" s="184" t="str">
        <f>IFERROR(IF(VLOOKUP(Mon_W1[[#This Row],[Employee Name]],'Base Schedules'!$A$113:$AW$158,44,FALSE)="","",VLOOKUP(Mon_W1[[#This Row],[Employee Name]],'Base Schedules'!$A$113:$AW$158,44,FALSE)),"")</f>
        <v/>
      </c>
      <c r="AT20" s="184" t="str">
        <f>IFERROR(IF(VLOOKUP(Mon_W1[[#This Row],[Employee Name]],'Base Schedules'!$A$113:$AW$158,45,FALSE)="","",VLOOKUP(Mon_W1[[#This Row],[Employee Name]],'Base Schedules'!$A$113:$AW$158,45,FALSE)),"")</f>
        <v/>
      </c>
      <c r="AU20" s="184" t="str">
        <f>IFERROR(IF(VLOOKUP(Mon_W1[[#This Row],[Employee Name]],'Base Schedules'!$A$113:$AW$158,46,FALSE)="","",VLOOKUP(Mon_W1[[#This Row],[Employee Name]],'Base Schedules'!$A$113:$AW$158,46,FALSE)),"")</f>
        <v/>
      </c>
      <c r="AV20" s="184" t="str">
        <f>IFERROR(IF(VLOOKUP(Mon_W1[[#This Row],[Employee Name]],'Base Schedules'!$A$113:$AW$158,47,FALSE)="","",VLOOKUP(Mon_W1[[#This Row],[Employee Name]],'Base Schedules'!$A$113:$AW$158,47,FALSE)),"")</f>
        <v/>
      </c>
      <c r="AW20" s="184" t="str">
        <f>IFERROR(IF(VLOOKUP(Mon_W1[[#This Row],[Employee Name]],'Base Schedules'!$A$113:$AW$158,48,FALSE)="","",VLOOKUP(Mon_W1[[#This Row],[Employee Name]],'Base Schedules'!$A$113:$AW$158,48,FALSE)),"")</f>
        <v/>
      </c>
      <c r="AX20" s="184" t="str">
        <f>IFERROR(IF(VLOOKUP(Mon_W1[[#This Row],[Employee Name]],'Base Schedules'!$A$113:$AW$158,49,FALSE)="","",VLOOKUP(Mon_W1[[#This Row],[Employee Name]],'Base Schedules'!$A$113:$AW$158,49,FALSE)),"")</f>
        <v/>
      </c>
      <c r="AY20" s="164" t="str">
        <f t="shared" si="2"/>
        <v>Benish, Elisha</v>
      </c>
    </row>
    <row r="21" spans="1:51" s="44" customFormat="1" ht="12" x14ac:dyDescent="0.2">
      <c r="A21" s="39" t="str">
        <f>IF(B21="","",INDEX(TeamList[],MATCH($B21,TeamList[[Employee Name]:[Employee Name]],0),MATCH("Manager",TeamList[#Headers],0)))</f>
        <v>Ahmed Hassan, Zahra</v>
      </c>
      <c r="B21" s="201" t="s">
        <v>51</v>
      </c>
      <c r="C21" s="257" t="str">
        <f>_xlfn.IFNA(VLOOKUP(Mon_W1[[#This Row],[Employee Name]],'Base Schedules'!A:B,2,FALSE),"")</f>
        <v>Supervisor</v>
      </c>
      <c r="D21" s="274">
        <f>_xlfn.IFNA(VLOOKUP(Mon_W1[[#This Row],[Employee Name]],'Base Schedules'!A:C,3,FALSE),"")</f>
        <v>700</v>
      </c>
      <c r="E21" s="274">
        <f>_xlfn.IFNA(VLOOKUP(Mon_W1[[#This Row],[Employee Name]],'Base Schedules'!A:D,4,FALSE),"")</f>
        <v>1600</v>
      </c>
      <c r="F21" s="142">
        <f>IF(Mon_W1[[#This Row],[Employee Name]]="","",IF(Mon_W1[[#This Row],[Dept]]="Supervisor",COUNTIFS($J21:$AX21,"*HL*",$J21:$AX21,"&lt;&gt;"&amp;"pHL"),COUNTIFS($J21:$AX21,"*HL*",$J21:$AX21,"&lt;&gt;"&amp;"*pHL*",$J21:$AX21,"&lt;&gt;"&amp;"pB1 HL",$J21:$AX21,"&lt;&gt;"&amp;"pB2 HL")-SUM(COUNTIFS($J21:$AX21,"*HL B1*",$J21:$AX21,"&lt;&gt;"&amp;"pHL B1")*0.5,COUNTIFS($J21:$AX21,"*HL B2*",$J21:$AX21,"&lt;&gt;"&amp;"pHL B2")*0.5,COUNTIFS($J21:$AX21,"*B1 HL*",$J21:$AX21,"&lt;&gt;"&amp;"pB1 HL")*0.5,COUNTIFS($J21:$AX21,"*B2 HL*",$J21:$AX21,"&lt;&gt;"&amp;"pB2 HL")*0.5)))</f>
        <v>0</v>
      </c>
      <c r="G21" s="142">
        <f t="shared" si="0"/>
        <v>0</v>
      </c>
      <c r="H21" s="142">
        <f t="shared" si="1"/>
        <v>0</v>
      </c>
      <c r="I21" s="142">
        <f>IF(Mon_W1[[#This Row],[Employee Name]]="","",IF(Mon_W1[[#This Row],[Dept]]="Supervisor",SUM(COUNTIFS($J21:$AX21,"RTA*",$J21:$AX21,"&lt;&gt;"&amp;"pRTA"),COUNTIFS($J21:$AX21,"*CRTA*",$J21:$AX21,"&lt;&gt;"&amp;"pCRTA")),COUNTIFS($J21:$AX21,"*RNNR*",$J21:$AX21,"&lt;&gt;"&amp;"*pRNNR*",$J21:$AX21,"&lt;&gt;"&amp;"pB1 RNNR",$J21:$AX21,"&lt;&gt;"&amp;"pB2 RNNR")-SUM(COUNTIFS($J21:$AX21,"*RNNR B1*",$J21:$AX21,"&lt;&gt;"&amp;"pRNNR B1")*0.5,COUNTIFS($J21:$AX21,"*RNNR B2*",$J21:$AX21,"&lt;&gt;"&amp;"pRNNR B2")*0.5,COUNTIFS($J21:$AX21,"*B1 RNNR*",$J21:$AX21,"&lt;&gt;"&amp;"pB1 RNNR")*0.5,COUNTIFS($J21:$AX21,"*B2 RNNR*",$J21:$AX21,"&lt;&gt;"&amp;"pB2 RNNR")*0.5)))</f>
        <v>0</v>
      </c>
      <c r="J21" s="184" t="str">
        <f>IFERROR(IF(VLOOKUP(Mon_W1[[#This Row],[Employee Name]],'Base Schedules'!$A$113:$AW$158,9,FALSE)="","",VLOOKUP(Mon_W1[[#This Row],[Employee Name]],'Base Schedules'!$A$113:$AW$158,9,FALSE)),"")</f>
        <v/>
      </c>
      <c r="K21" s="184" t="str">
        <f>IFERROR(IF(VLOOKUP(Mon_W1[[#This Row],[Employee Name]],'Base Schedules'!$A$113:$AW$158,10,FALSE)="","",VLOOKUP(Mon_W1[[#This Row],[Employee Name]],'Base Schedules'!$A$113:$AW$158,10,FALSE)),"")</f>
        <v/>
      </c>
      <c r="L21" s="184" t="str">
        <f>IFERROR(IF(VLOOKUP(Mon_W1[[#This Row],[Employee Name]],'Base Schedules'!$A$113:$AW$158,11,FALSE)="","",VLOOKUP(Mon_W1[[#This Row],[Employee Name]],'Base Schedules'!$A$113:$AW$158,11,FALSE)),"")</f>
        <v/>
      </c>
      <c r="M21" s="184" t="str">
        <f>IFERROR(IF(VLOOKUP(Mon_W1[[#This Row],[Employee Name]],'Base Schedules'!$A$113:$AW$158,12,FALSE)="","",VLOOKUP(Mon_W1[[#This Row],[Employee Name]],'Base Schedules'!$A$113:$AW$158,12,FALSE)),"")</f>
        <v/>
      </c>
      <c r="N21" s="184" t="str">
        <f>IFERROR(IF(VLOOKUP(Mon_W1[[#This Row],[Employee Name]],'Base Schedules'!$A$113:$AW$158,13,FALSE)="","",VLOOKUP(Mon_W1[[#This Row],[Employee Name]],'Base Schedules'!$A$113:$AW$158,13,FALSE)),"")</f>
        <v>-</v>
      </c>
      <c r="O21" s="184" t="str">
        <f>IFERROR(IF(VLOOKUP(Mon_W1[[#This Row],[Employee Name]],'Base Schedules'!$A$113:$AW$158,14,FALSE)="","",VLOOKUP(Mon_W1[[#This Row],[Employee Name]],'Base Schedules'!$A$113:$AW$158,14,FALSE)),"")</f>
        <v>-</v>
      </c>
      <c r="P21" s="184" t="str">
        <f>IFERROR(IF(VLOOKUP(Mon_W1[[#This Row],[Employee Name]],'Base Schedules'!$A$113:$AW$158,15,FALSE)="","",VLOOKUP(Mon_W1[[#This Row],[Employee Name]],'Base Schedules'!$A$113:$AW$158,15,FALSE)),"")</f>
        <v>-</v>
      </c>
      <c r="Q21" s="184" t="str">
        <f>IFERROR(IF(VLOOKUP(Mon_W1[[#This Row],[Employee Name]],'Base Schedules'!$A$113:$AW$158,16,FALSE)="","",VLOOKUP(Mon_W1[[#This Row],[Employee Name]],'Base Schedules'!$A$113:$AW$158,16,FALSE)),"")</f>
        <v>-</v>
      </c>
      <c r="R21" s="184" t="str">
        <f>IFERROR(IF(VLOOKUP(Mon_W1[[#This Row],[Employee Name]],'Base Schedules'!$A$113:$AW$158,17,FALSE)="","",VLOOKUP(Mon_W1[[#This Row],[Employee Name]],'Base Schedules'!$A$113:$AW$158,17,FALSE)),"")</f>
        <v>-</v>
      </c>
      <c r="S21" s="184" t="str">
        <f>IFERROR(IF(VLOOKUP(Mon_W1[[#This Row],[Employee Name]],'Base Schedules'!$A$113:$AW$158,18,FALSE)="","",VLOOKUP(Mon_W1[[#This Row],[Employee Name]],'Base Schedules'!$A$113:$AW$158,18,FALSE)),"")</f>
        <v>-</v>
      </c>
      <c r="T21" s="184" t="str">
        <f>IFERROR(IF(VLOOKUP(Mon_W1[[#This Row],[Employee Name]],'Base Schedules'!$A$113:$AW$158,19,FALSE)="","",VLOOKUP(Mon_W1[[#This Row],[Employee Name]],'Base Schedules'!$A$113:$AW$158,19,FALSE)),"")</f>
        <v>-</v>
      </c>
      <c r="U21" s="184" t="str">
        <f>IFERROR(IF(VLOOKUP(Mon_W1[[#This Row],[Employee Name]],'Base Schedules'!$A$113:$AW$158,20,FALSE)="","",VLOOKUP(Mon_W1[[#This Row],[Employee Name]],'Base Schedules'!$A$113:$AW$158,20,FALSE)),"")</f>
        <v>-</v>
      </c>
      <c r="V21" s="184" t="str">
        <f>IFERROR(IF(VLOOKUP(Mon_W1[[#This Row],[Employee Name]],'Base Schedules'!$A$113:$AW$158,21,FALSE)="","",VLOOKUP(Mon_W1[[#This Row],[Employee Name]],'Base Schedules'!$A$113:$AW$158,21,FALSE)),"")</f>
        <v>Interview</v>
      </c>
      <c r="W21" s="184" t="str">
        <f>IFERROR(IF(VLOOKUP(Mon_W1[[#This Row],[Employee Name]],'Base Schedules'!$A$113:$AW$158,22,FALSE)="","",VLOOKUP(Mon_W1[[#This Row],[Employee Name]],'Base Schedules'!$A$113:$AW$158,22,FALSE)),"")</f>
        <v>Interview</v>
      </c>
      <c r="X21" s="184" t="str">
        <f>IFERROR(IF(VLOOKUP(Mon_W1[[#This Row],[Employee Name]],'Base Schedules'!$A$113:$AW$158,23,FALSE)="","",VLOOKUP(Mon_W1[[#This Row],[Employee Name]],'Base Schedules'!$A$113:$AW$158,23,FALSE)),"")</f>
        <v>-</v>
      </c>
      <c r="Y21" s="184" t="str">
        <f>IFERROR(IF(VLOOKUP(Mon_W1[[#This Row],[Employee Name]],'Base Schedules'!$A$113:$AW$158,24,FALSE)="","",VLOOKUP(Mon_W1[[#This Row],[Employee Name]],'Base Schedules'!$A$113:$AW$158,24,FALSE)),"")</f>
        <v>-</v>
      </c>
      <c r="Z21" s="184" t="str">
        <f>IFERROR(IF(VLOOKUP(Mon_W1[[#This Row],[Employee Name]],'Base Schedules'!$A$113:$AW$158,25,FALSE)="","",VLOOKUP(Mon_W1[[#This Row],[Employee Name]],'Base Schedules'!$A$113:$AW$158,25,FALSE)),"")</f>
        <v>-</v>
      </c>
      <c r="AA21" s="184" t="str">
        <f>IFERROR(IF(VLOOKUP(Mon_W1[[#This Row],[Employee Name]],'Base Schedules'!$A$113:$AW$158,26,FALSE)="","",VLOOKUP(Mon_W1[[#This Row],[Employee Name]],'Base Schedules'!$A$113:$AW$158,26,FALSE)),"")</f>
        <v>-</v>
      </c>
      <c r="AB21" s="184" t="str">
        <f>IFERROR(IF(VLOOKUP(Mon_W1[[#This Row],[Employee Name]],'Base Schedules'!$A$113:$AW$158,27,FALSE)="","",VLOOKUP(Mon_W1[[#This Row],[Employee Name]],'Base Schedules'!$A$113:$AW$158,27,FALSE)),"")</f>
        <v>-</v>
      </c>
      <c r="AC21" s="184" t="str">
        <f>IFERROR(IF(VLOOKUP(Mon_W1[[#This Row],[Employee Name]],'Base Schedules'!$A$113:$AW$158,28,FALSE)="","",VLOOKUP(Mon_W1[[#This Row],[Employee Name]],'Base Schedules'!$A$113:$AW$158,28,FALSE)),"")</f>
        <v>-</v>
      </c>
      <c r="AD21" s="184" t="str">
        <f>IFERROR(IF(VLOOKUP(Mon_W1[[#This Row],[Employee Name]],'Base Schedules'!$A$113:$AW$158,29,FALSE)="","",VLOOKUP(Mon_W1[[#This Row],[Employee Name]],'Base Schedules'!$A$113:$AW$158,29,FALSE)),"")</f>
        <v>-</v>
      </c>
      <c r="AE21" s="184" t="str">
        <f>IFERROR(IF(VLOOKUP(Mon_W1[[#This Row],[Employee Name]],'Base Schedules'!$A$113:$AW$158,30,FALSE)="","",VLOOKUP(Mon_W1[[#This Row],[Employee Name]],'Base Schedules'!$A$113:$AW$158,30,FALSE)),"")</f>
        <v>-</v>
      </c>
      <c r="AF21" s="184" t="str">
        <f>IFERROR(IF(VLOOKUP(Mon_W1[[#This Row],[Employee Name]],'Base Schedules'!$A$113:$AW$158,31,FALSE)="","",VLOOKUP(Mon_W1[[#This Row],[Employee Name]],'Base Schedules'!$A$113:$AW$158,31,FALSE)),"")</f>
        <v/>
      </c>
      <c r="AG21" s="184" t="str">
        <f>IFERROR(IF(VLOOKUP(Mon_W1[[#This Row],[Employee Name]],'Base Schedules'!$A$113:$AW$158,32,FALSE)="","",VLOOKUP(Mon_W1[[#This Row],[Employee Name]],'Base Schedules'!$A$113:$AW$158,32,FALSE)),"")</f>
        <v/>
      </c>
      <c r="AH21" s="184" t="str">
        <f>IFERROR(IF(VLOOKUP(Mon_W1[[#This Row],[Employee Name]],'Base Schedules'!$A$113:$AW$158,33,FALSE)="","",VLOOKUP(Mon_W1[[#This Row],[Employee Name]],'Base Schedules'!$A$113:$AW$158,33,FALSE)),"")</f>
        <v/>
      </c>
      <c r="AI21" s="184" t="str">
        <f>IFERROR(IF(VLOOKUP(Mon_W1[[#This Row],[Employee Name]],'Base Schedules'!$A$113:$AW$158,34,FALSE)="","",VLOOKUP(Mon_W1[[#This Row],[Employee Name]],'Base Schedules'!$A$113:$AW$158,34,FALSE)),"")</f>
        <v/>
      </c>
      <c r="AJ21" s="184" t="str">
        <f>IFERROR(IF(VLOOKUP(Mon_W1[[#This Row],[Employee Name]],'Base Schedules'!$A$113:$AW$158,35,FALSE)="","",VLOOKUP(Mon_W1[[#This Row],[Employee Name]],'Base Schedules'!$A$113:$AW$158,35,FALSE)),"")</f>
        <v/>
      </c>
      <c r="AK21" s="184" t="str">
        <f>IFERROR(IF(VLOOKUP(Mon_W1[[#This Row],[Employee Name]],'Base Schedules'!$A$113:$AW$158,36,FALSE)="","",VLOOKUP(Mon_W1[[#This Row],[Employee Name]],'Base Schedules'!$A$113:$AW$158,36,FALSE)),"")</f>
        <v/>
      </c>
      <c r="AL21" s="184" t="str">
        <f>IFERROR(IF(VLOOKUP(Mon_W1[[#This Row],[Employee Name]],'Base Schedules'!$A$113:$AW$158,37,FALSE)="","",VLOOKUP(Mon_W1[[#This Row],[Employee Name]],'Base Schedules'!$A$113:$AW$158,37,FALSE)),"")</f>
        <v/>
      </c>
      <c r="AM21" s="184" t="str">
        <f>IFERROR(IF(VLOOKUP(Mon_W1[[#This Row],[Employee Name]],'Base Schedules'!$A$113:$AW$158,38,FALSE)="","",VLOOKUP(Mon_W1[[#This Row],[Employee Name]],'Base Schedules'!$A$113:$AW$158,38,FALSE)),"")</f>
        <v/>
      </c>
      <c r="AN21" s="184" t="str">
        <f>IFERROR(IF(VLOOKUP(Mon_W1[[#This Row],[Employee Name]],'Base Schedules'!$A$113:$AW$158,39,FALSE)="","",VLOOKUP(Mon_W1[[#This Row],[Employee Name]],'Base Schedules'!$A$113:$AW$158,39,FALSE)),"")</f>
        <v/>
      </c>
      <c r="AO21" s="184" t="str">
        <f>IFERROR(IF(VLOOKUP(Mon_W1[[#This Row],[Employee Name]],'Base Schedules'!$A$113:$AW$158,40,FALSE)="","",VLOOKUP(Mon_W1[[#This Row],[Employee Name]],'Base Schedules'!$A$113:$AW$158,40,FALSE)),"")</f>
        <v/>
      </c>
      <c r="AP21" s="184" t="str">
        <f>IFERROR(IF(VLOOKUP(Mon_W1[[#This Row],[Employee Name]],'Base Schedules'!$A$113:$AW$158,41,FALSE)="","",VLOOKUP(Mon_W1[[#This Row],[Employee Name]],'Base Schedules'!$A$113:$AW$158,41,FALSE)),"")</f>
        <v/>
      </c>
      <c r="AQ21" s="184" t="str">
        <f>IFERROR(IF(VLOOKUP(Mon_W1[[#This Row],[Employee Name]],'Base Schedules'!$A$113:$AW$158,42,FALSE)="","",VLOOKUP(Mon_W1[[#This Row],[Employee Name]],'Base Schedules'!$A$113:$AW$158,42,FALSE)),"")</f>
        <v/>
      </c>
      <c r="AR21" s="184" t="str">
        <f>IFERROR(IF(VLOOKUP(Mon_W1[[#This Row],[Employee Name]],'Base Schedules'!$A$113:$AW$158,43,FALSE)="","",VLOOKUP(Mon_W1[[#This Row],[Employee Name]],'Base Schedules'!$A$113:$AW$158,43,FALSE)),"")</f>
        <v/>
      </c>
      <c r="AS21" s="184" t="str">
        <f>IFERROR(IF(VLOOKUP(Mon_W1[[#This Row],[Employee Name]],'Base Schedules'!$A$113:$AW$158,44,FALSE)="","",VLOOKUP(Mon_W1[[#This Row],[Employee Name]],'Base Schedules'!$A$113:$AW$158,44,FALSE)),"")</f>
        <v/>
      </c>
      <c r="AT21" s="184" t="str">
        <f>IFERROR(IF(VLOOKUP(Mon_W1[[#This Row],[Employee Name]],'Base Schedules'!$A$113:$AW$158,45,FALSE)="","",VLOOKUP(Mon_W1[[#This Row],[Employee Name]],'Base Schedules'!$A$113:$AW$158,45,FALSE)),"")</f>
        <v/>
      </c>
      <c r="AU21" s="184" t="str">
        <f>IFERROR(IF(VLOOKUP(Mon_W1[[#This Row],[Employee Name]],'Base Schedules'!$A$113:$AW$158,46,FALSE)="","",VLOOKUP(Mon_W1[[#This Row],[Employee Name]],'Base Schedules'!$A$113:$AW$158,46,FALSE)),"")</f>
        <v/>
      </c>
      <c r="AV21" s="184" t="str">
        <f>IFERROR(IF(VLOOKUP(Mon_W1[[#This Row],[Employee Name]],'Base Schedules'!$A$113:$AW$158,47,FALSE)="","",VLOOKUP(Mon_W1[[#This Row],[Employee Name]],'Base Schedules'!$A$113:$AW$158,47,FALSE)),"")</f>
        <v/>
      </c>
      <c r="AW21" s="184" t="str">
        <f>IFERROR(IF(VLOOKUP(Mon_W1[[#This Row],[Employee Name]],'Base Schedules'!$A$113:$AW$158,48,FALSE)="","",VLOOKUP(Mon_W1[[#This Row],[Employee Name]],'Base Schedules'!$A$113:$AW$158,48,FALSE)),"")</f>
        <v/>
      </c>
      <c r="AX21" s="184" t="str">
        <f>IFERROR(IF(VLOOKUP(Mon_W1[[#This Row],[Employee Name]],'Base Schedules'!$A$113:$AW$158,49,FALSE)="","",VLOOKUP(Mon_W1[[#This Row],[Employee Name]],'Base Schedules'!$A$113:$AW$158,49,FALSE)),"")</f>
        <v/>
      </c>
      <c r="AY21" s="164" t="str">
        <f t="shared" si="2"/>
        <v>Martin, Gary</v>
      </c>
    </row>
    <row r="22" spans="1:51" s="44" customFormat="1" ht="12" x14ac:dyDescent="0.2">
      <c r="A22" s="39" t="str">
        <f>IF(B22="","",INDEX(TeamList[],MATCH($B22,TeamList[[Employee Name]:[Employee Name]],0),MATCH("Manager",TeamList[#Headers],0)))</f>
        <v>Olson, Katherine</v>
      </c>
      <c r="B22" s="201" t="s">
        <v>237</v>
      </c>
      <c r="C22" s="257" t="str">
        <f>_xlfn.IFNA(VLOOKUP(Mon_W1[[#This Row],[Employee Name]],'Base Schedules'!A:B,2,FALSE),"")</f>
        <v>Lead</v>
      </c>
      <c r="D22" s="274">
        <f>_xlfn.IFNA(VLOOKUP(Mon_W1[[#This Row],[Employee Name]],'Base Schedules'!A:C,3,FALSE),"")</f>
        <v>730</v>
      </c>
      <c r="E22" s="274">
        <f>_xlfn.IFNA(VLOOKUP(Mon_W1[[#This Row],[Employee Name]],'Base Schedules'!A:D,4,FALSE),"")</f>
        <v>1600</v>
      </c>
      <c r="F22" s="142">
        <f>IF(Mon_W1[[#This Row],[Employee Name]]="","",IF(Mon_W1[[#This Row],[Dept]]="Supervisor",COUNTIFS($J22:$AX22,"*HL*",$J22:$AX22,"&lt;&gt;"&amp;"pHL"),COUNTIFS($J22:$AX22,"*HL*",$J22:$AX22,"&lt;&gt;"&amp;"*pHL*",$J22:$AX22,"&lt;&gt;"&amp;"pB1 HL",$J22:$AX22,"&lt;&gt;"&amp;"pB2 HL")-SUM(COUNTIFS($J22:$AX22,"*HL B1*",$J22:$AX22,"&lt;&gt;"&amp;"pHL B1")*0.5,COUNTIFS($J22:$AX22,"*HL B2*",$J22:$AX22,"&lt;&gt;"&amp;"pHL B2")*0.5,COUNTIFS($J22:$AX22,"*B1 HL*",$J22:$AX22,"&lt;&gt;"&amp;"pB1 HL")*0.5,COUNTIFS($J22:$AX22,"*B2 HL*",$J22:$AX22,"&lt;&gt;"&amp;"pB2 HL")*0.5)))</f>
        <v>6</v>
      </c>
      <c r="G22" s="142">
        <f t="shared" si="0"/>
        <v>0</v>
      </c>
      <c r="H22" s="142">
        <f t="shared" si="1"/>
        <v>8</v>
      </c>
      <c r="I22" s="142">
        <f>IF(Mon_W1[[#This Row],[Employee Name]]="","",IF(Mon_W1[[#This Row],[Dept]]="Supervisor",SUM(COUNTIFS($J22:$AX22,"RTA*",$J22:$AX22,"&lt;&gt;"&amp;"pRTA"),COUNTIFS($J22:$AX22,"*CRTA*",$J22:$AX22,"&lt;&gt;"&amp;"pCRTA")),COUNTIFS($J22:$AX22,"*RNNR*",$J22:$AX22,"&lt;&gt;"&amp;"*pRNNR*",$J22:$AX22,"&lt;&gt;"&amp;"pB1 RNNR",$J22:$AX22,"&lt;&gt;"&amp;"pB2 RNNR")-SUM(COUNTIFS($J22:$AX22,"*RNNR B1*",$J22:$AX22,"&lt;&gt;"&amp;"pRNNR B1")*0.5,COUNTIFS($J22:$AX22,"*RNNR B2*",$J22:$AX22,"&lt;&gt;"&amp;"pRNNR B2")*0.5,COUNTIFS($J22:$AX22,"*B1 RNNR*",$J22:$AX22,"&lt;&gt;"&amp;"pB1 RNNR")*0.5,COUNTIFS($J22:$AX22,"*B2 RNNR*",$J22:$AX22,"&lt;&gt;"&amp;"pB2 RNNR")*0.5)))</f>
        <v>2</v>
      </c>
      <c r="J22" s="184" t="str">
        <f>IFERROR(IF(VLOOKUP(Mon_W1[[#This Row],[Employee Name]],'Base Schedules'!$A$113:$AW$158,9,FALSE)="","",VLOOKUP(Mon_W1[[#This Row],[Employee Name]],'Base Schedules'!$A$113:$AW$158,9,FALSE)),"")</f>
        <v/>
      </c>
      <c r="K22" s="184" t="str">
        <f>IFERROR(IF(VLOOKUP(Mon_W1[[#This Row],[Employee Name]],'Base Schedules'!$A$113:$AW$158,10,FALSE)="","",VLOOKUP(Mon_W1[[#This Row],[Employee Name]],'Base Schedules'!$A$113:$AW$158,10,FALSE)),"")</f>
        <v/>
      </c>
      <c r="L22" s="184" t="str">
        <f>IFERROR(IF(VLOOKUP(Mon_W1[[#This Row],[Employee Name]],'Base Schedules'!$A$113:$AW$158,11,FALSE)="","",VLOOKUP(Mon_W1[[#This Row],[Employee Name]],'Base Schedules'!$A$113:$AW$158,11,FALSE)),"")</f>
        <v/>
      </c>
      <c r="M22" s="184" t="str">
        <f>IFERROR(IF(VLOOKUP(Mon_W1[[#This Row],[Employee Name]],'Base Schedules'!$A$113:$AW$158,12,FALSE)="","",VLOOKUP(Mon_W1[[#This Row],[Employee Name]],'Base Schedules'!$A$113:$AW$158,12,FALSE)),"")</f>
        <v/>
      </c>
      <c r="N22" s="184" t="str">
        <f>IFERROR(IF(VLOOKUP(Mon_W1[[#This Row],[Employee Name]],'Base Schedules'!$A$113:$AW$158,13,FALSE)="","",VLOOKUP(Mon_W1[[#This Row],[Employee Name]],'Base Schedules'!$A$113:$AW$158,13,FALSE)),"")</f>
        <v/>
      </c>
      <c r="O22" s="184" t="str">
        <f>IFERROR(IF(VLOOKUP(Mon_W1[[#This Row],[Employee Name]],'Base Schedules'!$A$113:$AW$158,14,FALSE)="","",VLOOKUP(Mon_W1[[#This Row],[Employee Name]],'Base Schedules'!$A$113:$AW$158,14,FALSE)),"")</f>
        <v>HL</v>
      </c>
      <c r="P22" s="184" t="str">
        <f>IFERROR(IF(VLOOKUP(Mon_W1[[#This Row],[Employee Name]],'Base Schedules'!$A$113:$AW$158,15,FALSE)="","",VLOOKUP(Mon_W1[[#This Row],[Employee Name]],'Base Schedules'!$A$113:$AW$158,15,FALSE)),"")</f>
        <v>HL</v>
      </c>
      <c r="Q22" s="184" t="str">
        <f>IFERROR(IF(VLOOKUP(Mon_W1[[#This Row],[Employee Name]],'Base Schedules'!$A$113:$AW$158,16,FALSE)="","",VLOOKUP(Mon_W1[[#This Row],[Employee Name]],'Base Schedules'!$A$113:$AW$158,16,FALSE)),"")</f>
        <v>HL</v>
      </c>
      <c r="R22" s="184" t="str">
        <f>IFERROR(IF(VLOOKUP(Mon_W1[[#This Row],[Employee Name]],'Base Schedules'!$A$113:$AW$158,17,FALSE)="","",VLOOKUP(Mon_W1[[#This Row],[Employee Name]],'Base Schedules'!$A$113:$AW$158,17,FALSE)),"")</f>
        <v>ADM</v>
      </c>
      <c r="S22" s="184" t="str">
        <f>IFERROR(IF(VLOOKUP(Mon_W1[[#This Row],[Employee Name]],'Base Schedules'!$A$113:$AW$158,18,FALSE)="","",VLOOKUP(Mon_W1[[#This Row],[Employee Name]],'Base Schedules'!$A$113:$AW$158,18,FALSE)),"")</f>
        <v>B1 ADM</v>
      </c>
      <c r="T22" s="184" t="str">
        <f>IFERROR(IF(VLOOKUP(Mon_W1[[#This Row],[Employee Name]],'Base Schedules'!$A$113:$AW$158,19,FALSE)="","",VLOOKUP(Mon_W1[[#This Row],[Employee Name]],'Base Schedules'!$A$113:$AW$158,19,FALSE)),"")</f>
        <v>ADM</v>
      </c>
      <c r="U22" s="184" t="str">
        <f>IFERROR(IF(VLOOKUP(Mon_W1[[#This Row],[Employee Name]],'Base Schedules'!$A$113:$AW$158,20,FALSE)="","",VLOOKUP(Mon_W1[[#This Row],[Employee Name]],'Base Schedules'!$A$113:$AW$158,20,FALSE)),"")</f>
        <v>ADM</v>
      </c>
      <c r="V22" s="184" t="str">
        <f>IFERROR(IF(VLOOKUP(Mon_W1[[#This Row],[Employee Name]],'Base Schedules'!$A$113:$AW$158,21,FALSE)="","",VLOOKUP(Mon_W1[[#This Row],[Employee Name]],'Base Schedules'!$A$113:$AW$158,21,FALSE)),"")</f>
        <v>ADM</v>
      </c>
      <c r="W22" s="184" t="str">
        <f>IFERROR(IF(VLOOKUP(Mon_W1[[#This Row],[Employee Name]],'Base Schedules'!$A$113:$AW$158,22,FALSE)="","",VLOOKUP(Mon_W1[[#This Row],[Employee Name]],'Base Schedules'!$A$113:$AW$158,22,FALSE)),"")</f>
        <v>HL</v>
      </c>
      <c r="X22" s="184" t="str">
        <f>IFERROR(IF(VLOOKUP(Mon_W1[[#This Row],[Employee Name]],'Base Schedules'!$A$113:$AW$158,23,FALSE)="","",VLOOKUP(Mon_W1[[#This Row],[Employee Name]],'Base Schedules'!$A$113:$AW$158,23,FALSE)),"")</f>
        <v>LUNCH</v>
      </c>
      <c r="Y22" s="184" t="str">
        <f>IFERROR(IF(VLOOKUP(Mon_W1[[#This Row],[Employee Name]],'Base Schedules'!$A$113:$AW$158,24,FALSE)="","",VLOOKUP(Mon_W1[[#This Row],[Employee Name]],'Base Schedules'!$A$113:$AW$158,24,FALSE)),"")</f>
        <v>HL</v>
      </c>
      <c r="Z22" s="184" t="str">
        <f>IFERROR(IF(VLOOKUP(Mon_W1[[#This Row],[Employee Name]],'Base Schedules'!$A$113:$AW$158,25,FALSE)="","",VLOOKUP(Mon_W1[[#This Row],[Employee Name]],'Base Schedules'!$A$113:$AW$158,25,FALSE)),"")</f>
        <v>HL</v>
      </c>
      <c r="AA22" s="184" t="str">
        <f>IFERROR(IF(VLOOKUP(Mon_W1[[#This Row],[Employee Name]],'Base Schedules'!$A$113:$AW$158,26,FALSE)="","",VLOOKUP(Mon_W1[[#This Row],[Employee Name]],'Base Schedules'!$A$113:$AW$158,26,FALSE)),"")</f>
        <v>ADM</v>
      </c>
      <c r="AB22" s="184" t="str">
        <f>IFERROR(IF(VLOOKUP(Mon_W1[[#This Row],[Employee Name]],'Base Schedules'!$A$113:$AW$158,27,FALSE)="","",VLOOKUP(Mon_W1[[#This Row],[Employee Name]],'Base Schedules'!$A$113:$AW$158,27,FALSE)),"")</f>
        <v>ADM B2</v>
      </c>
      <c r="AC22" s="184" t="str">
        <f>IFERROR(IF(VLOOKUP(Mon_W1[[#This Row],[Employee Name]],'Base Schedules'!$A$113:$AW$158,28,FALSE)="","",VLOOKUP(Mon_W1[[#This Row],[Employee Name]],'Base Schedules'!$A$113:$AW$158,28,FALSE)),"")</f>
        <v>ADM</v>
      </c>
      <c r="AD22" s="184" t="str">
        <f>IFERROR(IF(VLOOKUP(Mon_W1[[#This Row],[Employee Name]],'Base Schedules'!$A$113:$AW$158,29,FALSE)="","",VLOOKUP(Mon_W1[[#This Row],[Employee Name]],'Base Schedules'!$A$113:$AW$158,29,FALSE)),"")</f>
        <v>RNNR</v>
      </c>
      <c r="AE22" s="184" t="str">
        <f>IFERROR(IF(VLOOKUP(Mon_W1[[#This Row],[Employee Name]],'Base Schedules'!$A$113:$AW$158,30,FALSE)="","",VLOOKUP(Mon_W1[[#This Row],[Employee Name]],'Base Schedules'!$A$113:$AW$158,30,FALSE)),"")</f>
        <v>RNNR</v>
      </c>
      <c r="AF22" s="184" t="str">
        <f>IFERROR(IF(VLOOKUP(Mon_W1[[#This Row],[Employee Name]],'Base Schedules'!$A$113:$AW$158,31,FALSE)="","",VLOOKUP(Mon_W1[[#This Row],[Employee Name]],'Base Schedules'!$A$113:$AW$158,31,FALSE)),"")</f>
        <v/>
      </c>
      <c r="AG22" s="184" t="str">
        <f>IFERROR(IF(VLOOKUP(Mon_W1[[#This Row],[Employee Name]],'Base Schedules'!$A$113:$AW$158,32,FALSE)="","",VLOOKUP(Mon_W1[[#This Row],[Employee Name]],'Base Schedules'!$A$113:$AW$158,32,FALSE)),"")</f>
        <v/>
      </c>
      <c r="AH22" s="184" t="str">
        <f>IFERROR(IF(VLOOKUP(Mon_W1[[#This Row],[Employee Name]],'Base Schedules'!$A$113:$AW$158,33,FALSE)="","",VLOOKUP(Mon_W1[[#This Row],[Employee Name]],'Base Schedules'!$A$113:$AW$158,33,FALSE)),"")</f>
        <v/>
      </c>
      <c r="AI22" s="184" t="str">
        <f>IFERROR(IF(VLOOKUP(Mon_W1[[#This Row],[Employee Name]],'Base Schedules'!$A$113:$AW$158,34,FALSE)="","",VLOOKUP(Mon_W1[[#This Row],[Employee Name]],'Base Schedules'!$A$113:$AW$158,34,FALSE)),"")</f>
        <v/>
      </c>
      <c r="AJ22" s="184" t="str">
        <f>IFERROR(IF(VLOOKUP(Mon_W1[[#This Row],[Employee Name]],'Base Schedules'!$A$113:$AW$158,35,FALSE)="","",VLOOKUP(Mon_W1[[#This Row],[Employee Name]],'Base Schedules'!$A$113:$AW$158,35,FALSE)),"")</f>
        <v/>
      </c>
      <c r="AK22" s="184" t="str">
        <f>IFERROR(IF(VLOOKUP(Mon_W1[[#This Row],[Employee Name]],'Base Schedules'!$A$113:$AW$158,36,FALSE)="","",VLOOKUP(Mon_W1[[#This Row],[Employee Name]],'Base Schedules'!$A$113:$AW$158,36,FALSE)),"")</f>
        <v/>
      </c>
      <c r="AL22" s="184" t="str">
        <f>IFERROR(IF(VLOOKUP(Mon_W1[[#This Row],[Employee Name]],'Base Schedules'!$A$113:$AW$158,37,FALSE)="","",VLOOKUP(Mon_W1[[#This Row],[Employee Name]],'Base Schedules'!$A$113:$AW$158,37,FALSE)),"")</f>
        <v/>
      </c>
      <c r="AM22" s="184" t="str">
        <f>IFERROR(IF(VLOOKUP(Mon_W1[[#This Row],[Employee Name]],'Base Schedules'!$A$113:$AW$158,38,FALSE)="","",VLOOKUP(Mon_W1[[#This Row],[Employee Name]],'Base Schedules'!$A$113:$AW$158,38,FALSE)),"")</f>
        <v/>
      </c>
      <c r="AN22" s="184" t="str">
        <f>IFERROR(IF(VLOOKUP(Mon_W1[[#This Row],[Employee Name]],'Base Schedules'!$A$113:$AW$158,39,FALSE)="","",VLOOKUP(Mon_W1[[#This Row],[Employee Name]],'Base Schedules'!$A$113:$AW$158,39,FALSE)),"")</f>
        <v/>
      </c>
      <c r="AO22" s="184" t="str">
        <f>IFERROR(IF(VLOOKUP(Mon_W1[[#This Row],[Employee Name]],'Base Schedules'!$A$113:$AW$158,40,FALSE)="","",VLOOKUP(Mon_W1[[#This Row],[Employee Name]],'Base Schedules'!$A$113:$AW$158,40,FALSE)),"")</f>
        <v/>
      </c>
      <c r="AP22" s="184" t="str">
        <f>IFERROR(IF(VLOOKUP(Mon_W1[[#This Row],[Employee Name]],'Base Schedules'!$A$113:$AW$158,41,FALSE)="","",VLOOKUP(Mon_W1[[#This Row],[Employee Name]],'Base Schedules'!$A$113:$AW$158,41,FALSE)),"")</f>
        <v/>
      </c>
      <c r="AQ22" s="184" t="str">
        <f>IFERROR(IF(VLOOKUP(Mon_W1[[#This Row],[Employee Name]],'Base Schedules'!$A$113:$AW$158,42,FALSE)="","",VLOOKUP(Mon_W1[[#This Row],[Employee Name]],'Base Schedules'!$A$113:$AW$158,42,FALSE)),"")</f>
        <v/>
      </c>
      <c r="AR22" s="184" t="str">
        <f>IFERROR(IF(VLOOKUP(Mon_W1[[#This Row],[Employee Name]],'Base Schedules'!$A$113:$AW$158,43,FALSE)="","",VLOOKUP(Mon_W1[[#This Row],[Employee Name]],'Base Schedules'!$A$113:$AW$158,43,FALSE)),"")</f>
        <v/>
      </c>
      <c r="AS22" s="184" t="str">
        <f>IFERROR(IF(VLOOKUP(Mon_W1[[#This Row],[Employee Name]],'Base Schedules'!$A$113:$AW$158,44,FALSE)="","",VLOOKUP(Mon_W1[[#This Row],[Employee Name]],'Base Schedules'!$A$113:$AW$158,44,FALSE)),"")</f>
        <v/>
      </c>
      <c r="AT22" s="184" t="str">
        <f>IFERROR(IF(VLOOKUP(Mon_W1[[#This Row],[Employee Name]],'Base Schedules'!$A$113:$AW$158,45,FALSE)="","",VLOOKUP(Mon_W1[[#This Row],[Employee Name]],'Base Schedules'!$A$113:$AW$158,45,FALSE)),"")</f>
        <v/>
      </c>
      <c r="AU22" s="184" t="str">
        <f>IFERROR(IF(VLOOKUP(Mon_W1[[#This Row],[Employee Name]],'Base Schedules'!$A$113:$AW$158,46,FALSE)="","",VLOOKUP(Mon_W1[[#This Row],[Employee Name]],'Base Schedules'!$A$113:$AW$158,46,FALSE)),"")</f>
        <v/>
      </c>
      <c r="AV22" s="184" t="str">
        <f>IFERROR(IF(VLOOKUP(Mon_W1[[#This Row],[Employee Name]],'Base Schedules'!$A$113:$AW$158,47,FALSE)="","",VLOOKUP(Mon_W1[[#This Row],[Employee Name]],'Base Schedules'!$A$113:$AW$158,47,FALSE)),"")</f>
        <v/>
      </c>
      <c r="AW22" s="184" t="str">
        <f>IFERROR(IF(VLOOKUP(Mon_W1[[#This Row],[Employee Name]],'Base Schedules'!$A$113:$AW$158,48,FALSE)="","",VLOOKUP(Mon_W1[[#This Row],[Employee Name]],'Base Schedules'!$A$113:$AW$158,48,FALSE)),"")</f>
        <v/>
      </c>
      <c r="AX22" s="184" t="str">
        <f>IFERROR(IF(VLOOKUP(Mon_W1[[#This Row],[Employee Name]],'Base Schedules'!$A$113:$AW$158,49,FALSE)="","",VLOOKUP(Mon_W1[[#This Row],[Employee Name]],'Base Schedules'!$A$113:$AW$158,49,FALSE)),"")</f>
        <v/>
      </c>
      <c r="AY22" s="164" t="str">
        <f t="shared" si="2"/>
        <v>Fine, Melissa</v>
      </c>
    </row>
    <row r="23" spans="1:51" s="44" customFormat="1" ht="12" x14ac:dyDescent="0.2">
      <c r="A23" s="39" t="str">
        <f>IF(B23="","",INDEX(TeamList[],MATCH($B23,TeamList[[Employee Name]:[Employee Name]],0),MATCH("Manager",TeamList[#Headers],0)))</f>
        <v>Paulson, Matthew</v>
      </c>
      <c r="B23" s="331" t="s">
        <v>31</v>
      </c>
      <c r="C23" s="257" t="str">
        <f>_xlfn.IFNA(VLOOKUP(Mon_W1[[#This Row],[Employee Name]],'Base Schedules'!A:B,2,FALSE),"")</f>
        <v>Supervisor</v>
      </c>
      <c r="D23" s="274">
        <f>_xlfn.IFNA(VLOOKUP(Mon_W1[[#This Row],[Employee Name]],'Base Schedules'!A:C,3,FALSE),"")</f>
        <v>730</v>
      </c>
      <c r="E23" s="274">
        <f>_xlfn.IFNA(VLOOKUP(Mon_W1[[#This Row],[Employee Name]],'Base Schedules'!A:D,4,FALSE),"")</f>
        <v>1630</v>
      </c>
      <c r="F23" s="142">
        <f>IF(Mon_W1[[#This Row],[Employee Name]]="","",IF(Mon_W1[[#This Row],[Dept]]="Supervisor",COUNTIFS($J23:$AX23,"*HL*",$J23:$AX23,"&lt;&gt;"&amp;"pHL"),COUNTIFS($J23:$AX23,"*HL*",$J23:$AX23,"&lt;&gt;"&amp;"*pHL*",$J23:$AX23,"&lt;&gt;"&amp;"pB1 HL",$J23:$AX23,"&lt;&gt;"&amp;"pB2 HL")-SUM(COUNTIFS($J23:$AX23,"*HL B1*",$J23:$AX23,"&lt;&gt;"&amp;"pHL B1")*0.5,COUNTIFS($J23:$AX23,"*HL B2*",$J23:$AX23,"&lt;&gt;"&amp;"pHL B2")*0.5,COUNTIFS($J23:$AX23,"*B1 HL*",$J23:$AX23,"&lt;&gt;"&amp;"pB1 HL")*0.5,COUNTIFS($J23:$AX23,"*B2 HL*",$J23:$AX23,"&lt;&gt;"&amp;"pB2 HL")*0.5)))</f>
        <v>0</v>
      </c>
      <c r="G23" s="142">
        <f t="shared" si="0"/>
        <v>0</v>
      </c>
      <c r="H23" s="142">
        <f t="shared" si="1"/>
        <v>0</v>
      </c>
      <c r="I23" s="142">
        <f>IF(Mon_W1[[#This Row],[Employee Name]]="","",IF(Mon_W1[[#This Row],[Dept]]="Supervisor",SUM(COUNTIFS($J23:$AX23,"RTA*",$J23:$AX23,"&lt;&gt;"&amp;"pRTA"),COUNTIFS($J23:$AX23,"*CRTA*",$J23:$AX23,"&lt;&gt;"&amp;"pCRTA")),COUNTIFS($J23:$AX23,"*RNNR*",$J23:$AX23,"&lt;&gt;"&amp;"*pRNNR*",$J23:$AX23,"&lt;&gt;"&amp;"pB1 RNNR",$J23:$AX23,"&lt;&gt;"&amp;"pB2 RNNR")-SUM(COUNTIFS($J23:$AX23,"*RNNR B1*",$J23:$AX23,"&lt;&gt;"&amp;"pRNNR B1")*0.5,COUNTIFS($J23:$AX23,"*RNNR B2*",$J23:$AX23,"&lt;&gt;"&amp;"pRNNR B2")*0.5,COUNTIFS($J23:$AX23,"*B1 RNNR*",$J23:$AX23,"&lt;&gt;"&amp;"pB1 RNNR")*0.5,COUNTIFS($J23:$AX23,"*B2 RNNR*",$J23:$AX23,"&lt;&gt;"&amp;"pB2 RNNR")*0.5)))</f>
        <v>0</v>
      </c>
      <c r="J23" s="184" t="str">
        <f>IFERROR(IF(VLOOKUP(Mon_W1[[#This Row],[Employee Name]],'Base Schedules'!$A$113:$AW$158,9,FALSE)="","",VLOOKUP(Mon_W1[[#This Row],[Employee Name]],'Base Schedules'!$A$113:$AW$158,9,FALSE)),"")</f>
        <v/>
      </c>
      <c r="K23" s="184" t="str">
        <f>IFERROR(IF(VLOOKUP(Mon_W1[[#This Row],[Employee Name]],'Base Schedules'!$A$113:$AW$158,10,FALSE)="","",VLOOKUP(Mon_W1[[#This Row],[Employee Name]],'Base Schedules'!$A$113:$AW$158,10,FALSE)),"")</f>
        <v/>
      </c>
      <c r="L23" s="184" t="str">
        <f>IFERROR(IF(VLOOKUP(Mon_W1[[#This Row],[Employee Name]],'Base Schedules'!$A$113:$AW$158,11,FALSE)="","",VLOOKUP(Mon_W1[[#This Row],[Employee Name]],'Base Schedules'!$A$113:$AW$158,11,FALSE)),"")</f>
        <v/>
      </c>
      <c r="M23" s="184" t="str">
        <f>IFERROR(IF(VLOOKUP(Mon_W1[[#This Row],[Employee Name]],'Base Schedules'!$A$113:$AW$158,12,FALSE)="","",VLOOKUP(Mon_W1[[#This Row],[Employee Name]],'Base Schedules'!$A$113:$AW$158,12,FALSE)),"")</f>
        <v/>
      </c>
      <c r="N23" s="184" t="str">
        <f>IFERROR(IF(VLOOKUP(Mon_W1[[#This Row],[Employee Name]],'Base Schedules'!$A$113:$AW$158,13,FALSE)="","",VLOOKUP(Mon_W1[[#This Row],[Employee Name]],'Base Schedules'!$A$113:$AW$158,13,FALSE)),"")</f>
        <v/>
      </c>
      <c r="O23" s="184" t="str">
        <f>IFERROR(IF(VLOOKUP(Mon_W1[[#This Row],[Employee Name]],'Base Schedules'!$A$113:$AW$158,14,FALSE)="","",VLOOKUP(Mon_W1[[#This Row],[Employee Name]],'Base Schedules'!$A$113:$AW$158,14,FALSE)),"")</f>
        <v>-</v>
      </c>
      <c r="P23" s="184" t="str">
        <f>IFERROR(IF(VLOOKUP(Mon_W1[[#This Row],[Employee Name]],'Base Schedules'!$A$113:$AW$158,15,FALSE)="","",VLOOKUP(Mon_W1[[#This Row],[Employee Name]],'Base Schedules'!$A$113:$AW$158,15,FALSE)),"")</f>
        <v>-</v>
      </c>
      <c r="Q23" s="184" t="str">
        <f>IFERROR(IF(VLOOKUP(Mon_W1[[#This Row],[Employee Name]],'Base Schedules'!$A$113:$AW$158,16,FALSE)="","",VLOOKUP(Mon_W1[[#This Row],[Employee Name]],'Base Schedules'!$A$113:$AW$158,16,FALSE)),"")</f>
        <v>-</v>
      </c>
      <c r="R23" s="184" t="str">
        <f>IFERROR(IF(VLOOKUP(Mon_W1[[#This Row],[Employee Name]],'Base Schedules'!$A$113:$AW$158,17,FALSE)="","",VLOOKUP(Mon_W1[[#This Row],[Employee Name]],'Base Schedules'!$A$113:$AW$158,17,FALSE)),"")</f>
        <v>-</v>
      </c>
      <c r="S23" s="184" t="str">
        <f>IFERROR(IF(VLOOKUP(Mon_W1[[#This Row],[Employee Name]],'Base Schedules'!$A$113:$AW$158,18,FALSE)="","",VLOOKUP(Mon_W1[[#This Row],[Employee Name]],'Base Schedules'!$A$113:$AW$158,18,FALSE)),"")</f>
        <v>-</v>
      </c>
      <c r="T23" s="184" t="str">
        <f>IFERROR(IF(VLOOKUP(Mon_W1[[#This Row],[Employee Name]],'Base Schedules'!$A$113:$AW$158,19,FALSE)="","",VLOOKUP(Mon_W1[[#This Row],[Employee Name]],'Base Schedules'!$A$113:$AW$158,19,FALSE)),"")</f>
        <v>-</v>
      </c>
      <c r="U23" s="184" t="str">
        <f>IFERROR(IF(VLOOKUP(Mon_W1[[#This Row],[Employee Name]],'Base Schedules'!$A$113:$AW$158,20,FALSE)="","",VLOOKUP(Mon_W1[[#This Row],[Employee Name]],'Base Schedules'!$A$113:$AW$158,20,FALSE)),"")</f>
        <v>-</v>
      </c>
      <c r="V23" s="184" t="str">
        <f>IFERROR(IF(VLOOKUP(Mon_W1[[#This Row],[Employee Name]],'Base Schedules'!$A$113:$AW$158,21,FALSE)="","",VLOOKUP(Mon_W1[[#This Row],[Employee Name]],'Base Schedules'!$A$113:$AW$158,21,FALSE)),"")</f>
        <v>Interview</v>
      </c>
      <c r="W23" s="184" t="str">
        <f>IFERROR(IF(VLOOKUP(Mon_W1[[#This Row],[Employee Name]],'Base Schedules'!$A$113:$AW$158,22,FALSE)="","",VLOOKUP(Mon_W1[[#This Row],[Employee Name]],'Base Schedules'!$A$113:$AW$158,22,FALSE)),"")</f>
        <v>Interview</v>
      </c>
      <c r="X23" s="184" t="str">
        <f>IFERROR(IF(VLOOKUP(Mon_W1[[#This Row],[Employee Name]],'Base Schedules'!$A$113:$AW$158,23,FALSE)="","",VLOOKUP(Mon_W1[[#This Row],[Employee Name]],'Base Schedules'!$A$113:$AW$158,23,FALSE)),"")</f>
        <v>-</v>
      </c>
      <c r="Y23" s="184" t="str">
        <f>IFERROR(IF(VLOOKUP(Mon_W1[[#This Row],[Employee Name]],'Base Schedules'!$A$113:$AW$158,24,FALSE)="","",VLOOKUP(Mon_W1[[#This Row],[Employee Name]],'Base Schedules'!$A$113:$AW$158,24,FALSE)),"")</f>
        <v>-</v>
      </c>
      <c r="Z23" s="184" t="str">
        <f>IFERROR(IF(VLOOKUP(Mon_W1[[#This Row],[Employee Name]],'Base Schedules'!$A$113:$AW$158,25,FALSE)="","",VLOOKUP(Mon_W1[[#This Row],[Employee Name]],'Base Schedules'!$A$113:$AW$158,25,FALSE)),"")</f>
        <v>Team Matt TM</v>
      </c>
      <c r="AA23" s="184" t="str">
        <f>IFERROR(IF(VLOOKUP(Mon_W1[[#This Row],[Employee Name]],'Base Schedules'!$A$113:$AW$158,26,FALSE)="","",VLOOKUP(Mon_W1[[#This Row],[Employee Name]],'Base Schedules'!$A$113:$AW$158,26,FALSE)),"")</f>
        <v>Team Matt TM</v>
      </c>
      <c r="AB23" s="184" t="str">
        <f>IFERROR(IF(VLOOKUP(Mon_W1[[#This Row],[Employee Name]],'Base Schedules'!$A$113:$AW$158,27,FALSE)="","",VLOOKUP(Mon_W1[[#This Row],[Employee Name]],'Base Schedules'!$A$113:$AW$158,27,FALSE)),"")</f>
        <v>-</v>
      </c>
      <c r="AC23" s="184" t="str">
        <f>IFERROR(IF(VLOOKUP(Mon_W1[[#This Row],[Employee Name]],'Base Schedules'!$A$113:$AW$158,28,FALSE)="","",VLOOKUP(Mon_W1[[#This Row],[Employee Name]],'Base Schedules'!$A$113:$AW$158,28,FALSE)),"")</f>
        <v>-</v>
      </c>
      <c r="AD23" s="184" t="str">
        <f>IFERROR(IF(VLOOKUP(Mon_W1[[#This Row],[Employee Name]],'Base Schedules'!$A$113:$AW$158,29,FALSE)="","",VLOOKUP(Mon_W1[[#This Row],[Employee Name]],'Base Schedules'!$A$113:$AW$158,29,FALSE)),"")</f>
        <v>-</v>
      </c>
      <c r="AE23" s="184" t="str">
        <f>IFERROR(IF(VLOOKUP(Mon_W1[[#This Row],[Employee Name]],'Base Schedules'!$A$113:$AW$158,30,FALSE)="","",VLOOKUP(Mon_W1[[#This Row],[Employee Name]],'Base Schedules'!$A$113:$AW$158,30,FALSE)),"")</f>
        <v>-</v>
      </c>
      <c r="AF23" s="184" t="str">
        <f>IFERROR(IF(VLOOKUP(Mon_W1[[#This Row],[Employee Name]],'Base Schedules'!$A$113:$AW$158,31,FALSE)="","",VLOOKUP(Mon_W1[[#This Row],[Employee Name]],'Base Schedules'!$A$113:$AW$158,31,FALSE)),"")</f>
        <v>-</v>
      </c>
      <c r="AG23" s="184" t="str">
        <f>IFERROR(IF(VLOOKUP(Mon_W1[[#This Row],[Employee Name]],'Base Schedules'!$A$113:$AW$158,32,FALSE)="","",VLOOKUP(Mon_W1[[#This Row],[Employee Name]],'Base Schedules'!$A$113:$AW$158,32,FALSE)),"")</f>
        <v/>
      </c>
      <c r="AH23" s="184" t="str">
        <f>IFERROR(IF(VLOOKUP(Mon_W1[[#This Row],[Employee Name]],'Base Schedules'!$A$113:$AW$158,33,FALSE)="","",VLOOKUP(Mon_W1[[#This Row],[Employee Name]],'Base Schedules'!$A$113:$AW$158,33,FALSE)),"")</f>
        <v/>
      </c>
      <c r="AI23" s="184" t="str">
        <f>IFERROR(IF(VLOOKUP(Mon_W1[[#This Row],[Employee Name]],'Base Schedules'!$A$113:$AW$158,34,FALSE)="","",VLOOKUP(Mon_W1[[#This Row],[Employee Name]],'Base Schedules'!$A$113:$AW$158,34,FALSE)),"")</f>
        <v/>
      </c>
      <c r="AJ23" s="184" t="str">
        <f>IFERROR(IF(VLOOKUP(Mon_W1[[#This Row],[Employee Name]],'Base Schedules'!$A$113:$AW$158,35,FALSE)="","",VLOOKUP(Mon_W1[[#This Row],[Employee Name]],'Base Schedules'!$A$113:$AW$158,35,FALSE)),"")</f>
        <v/>
      </c>
      <c r="AK23" s="184" t="str">
        <f>IFERROR(IF(VLOOKUP(Mon_W1[[#This Row],[Employee Name]],'Base Schedules'!$A$113:$AW$158,36,FALSE)="","",VLOOKUP(Mon_W1[[#This Row],[Employee Name]],'Base Schedules'!$A$113:$AW$158,36,FALSE)),"")</f>
        <v/>
      </c>
      <c r="AL23" s="184" t="str">
        <f>IFERROR(IF(VLOOKUP(Mon_W1[[#This Row],[Employee Name]],'Base Schedules'!$A$113:$AW$158,37,FALSE)="","",VLOOKUP(Mon_W1[[#This Row],[Employee Name]],'Base Schedules'!$A$113:$AW$158,37,FALSE)),"")</f>
        <v/>
      </c>
      <c r="AM23" s="184" t="str">
        <f>IFERROR(IF(VLOOKUP(Mon_W1[[#This Row],[Employee Name]],'Base Schedules'!$A$113:$AW$158,38,FALSE)="","",VLOOKUP(Mon_W1[[#This Row],[Employee Name]],'Base Schedules'!$A$113:$AW$158,38,FALSE)),"")</f>
        <v/>
      </c>
      <c r="AN23" s="184" t="str">
        <f>IFERROR(IF(VLOOKUP(Mon_W1[[#This Row],[Employee Name]],'Base Schedules'!$A$113:$AW$158,39,FALSE)="","",VLOOKUP(Mon_W1[[#This Row],[Employee Name]],'Base Schedules'!$A$113:$AW$158,39,FALSE)),"")</f>
        <v/>
      </c>
      <c r="AO23" s="184" t="str">
        <f>IFERROR(IF(VLOOKUP(Mon_W1[[#This Row],[Employee Name]],'Base Schedules'!$A$113:$AW$158,40,FALSE)="","",VLOOKUP(Mon_W1[[#This Row],[Employee Name]],'Base Schedules'!$A$113:$AW$158,40,FALSE)),"")</f>
        <v/>
      </c>
      <c r="AP23" s="184" t="str">
        <f>IFERROR(IF(VLOOKUP(Mon_W1[[#This Row],[Employee Name]],'Base Schedules'!$A$113:$AW$158,41,FALSE)="","",VLOOKUP(Mon_W1[[#This Row],[Employee Name]],'Base Schedules'!$A$113:$AW$158,41,FALSE)),"")</f>
        <v/>
      </c>
      <c r="AQ23" s="184" t="str">
        <f>IFERROR(IF(VLOOKUP(Mon_W1[[#This Row],[Employee Name]],'Base Schedules'!$A$113:$AW$158,42,FALSE)="","",VLOOKUP(Mon_W1[[#This Row],[Employee Name]],'Base Schedules'!$A$113:$AW$158,42,FALSE)),"")</f>
        <v/>
      </c>
      <c r="AR23" s="184" t="str">
        <f>IFERROR(IF(VLOOKUP(Mon_W1[[#This Row],[Employee Name]],'Base Schedules'!$A$113:$AW$158,43,FALSE)="","",VLOOKUP(Mon_W1[[#This Row],[Employee Name]],'Base Schedules'!$A$113:$AW$158,43,FALSE)),"")</f>
        <v/>
      </c>
      <c r="AS23" s="184" t="str">
        <f>IFERROR(IF(VLOOKUP(Mon_W1[[#This Row],[Employee Name]],'Base Schedules'!$A$113:$AW$158,44,FALSE)="","",VLOOKUP(Mon_W1[[#This Row],[Employee Name]],'Base Schedules'!$A$113:$AW$158,44,FALSE)),"")</f>
        <v/>
      </c>
      <c r="AT23" s="184" t="str">
        <f>IFERROR(IF(VLOOKUP(Mon_W1[[#This Row],[Employee Name]],'Base Schedules'!$A$113:$AW$158,45,FALSE)="","",VLOOKUP(Mon_W1[[#This Row],[Employee Name]],'Base Schedules'!$A$113:$AW$158,45,FALSE)),"")</f>
        <v/>
      </c>
      <c r="AU23" s="184" t="str">
        <f>IFERROR(IF(VLOOKUP(Mon_W1[[#This Row],[Employee Name]],'Base Schedules'!$A$113:$AW$158,46,FALSE)="","",VLOOKUP(Mon_W1[[#This Row],[Employee Name]],'Base Schedules'!$A$113:$AW$158,46,FALSE)),"")</f>
        <v/>
      </c>
      <c r="AV23" s="184" t="str">
        <f>IFERROR(IF(VLOOKUP(Mon_W1[[#This Row],[Employee Name]],'Base Schedules'!$A$113:$AW$158,47,FALSE)="","",VLOOKUP(Mon_W1[[#This Row],[Employee Name]],'Base Schedules'!$A$113:$AW$158,47,FALSE)),"")</f>
        <v/>
      </c>
      <c r="AW23" s="184" t="str">
        <f>IFERROR(IF(VLOOKUP(Mon_W1[[#This Row],[Employee Name]],'Base Schedules'!$A$113:$AW$158,48,FALSE)="","",VLOOKUP(Mon_W1[[#This Row],[Employee Name]],'Base Schedules'!$A$113:$AW$158,48,FALSE)),"")</f>
        <v/>
      </c>
      <c r="AX23" s="184" t="str">
        <f>IFERROR(IF(VLOOKUP(Mon_W1[[#This Row],[Employee Name]],'Base Schedules'!$A$113:$AW$158,49,FALSE)="","",VLOOKUP(Mon_W1[[#This Row],[Employee Name]],'Base Schedules'!$A$113:$AW$158,49,FALSE)),"")</f>
        <v/>
      </c>
      <c r="AY23" s="164" t="str">
        <f t="shared" si="2"/>
        <v>Garcia, Valentin</v>
      </c>
    </row>
    <row r="24" spans="1:51" s="44" customFormat="1" ht="12" x14ac:dyDescent="0.2">
      <c r="A24" s="39" t="str">
        <f>IF(B24="","",INDEX(TeamList[],MATCH($B24,TeamList[[Employee Name]:[Employee Name]],0),MATCH("Manager",TeamList[#Headers],0)))</f>
        <v>Paulson, Matthew</v>
      </c>
      <c r="B24" s="331" t="s">
        <v>33</v>
      </c>
      <c r="C24" s="257" t="str">
        <f>_xlfn.IFNA(VLOOKUP(Mon_W1[[#This Row],[Employee Name]],'Base Schedules'!A:B,2,FALSE),"")</f>
        <v>Supervisor</v>
      </c>
      <c r="D24" s="274">
        <f>_xlfn.IFNA(VLOOKUP(Mon_W1[[#This Row],[Employee Name]],'Base Schedules'!A:C,3,FALSE),"")</f>
        <v>730</v>
      </c>
      <c r="E24" s="274">
        <f>_xlfn.IFNA(VLOOKUP(Mon_W1[[#This Row],[Employee Name]],'Base Schedules'!A:D,4,FALSE),"")</f>
        <v>1630</v>
      </c>
      <c r="F24" s="142">
        <f>IF(Mon_W1[[#This Row],[Employee Name]]="","",IF(Mon_W1[[#This Row],[Dept]]="Supervisor",COUNTIFS($J24:$AX24,"*HL*",$J24:$AX24,"&lt;&gt;"&amp;"pHL"),COUNTIFS($J24:$AX24,"*HL*",$J24:$AX24,"&lt;&gt;"&amp;"*pHL*",$J24:$AX24,"&lt;&gt;"&amp;"pB1 HL",$J24:$AX24,"&lt;&gt;"&amp;"pB2 HL")-SUM(COUNTIFS($J24:$AX24,"*HL B1*",$J24:$AX24,"&lt;&gt;"&amp;"pHL B1")*0.5,COUNTIFS($J24:$AX24,"*HL B2*",$J24:$AX24,"&lt;&gt;"&amp;"pHL B2")*0.5,COUNTIFS($J24:$AX24,"*B1 HL*",$J24:$AX24,"&lt;&gt;"&amp;"pB1 HL")*0.5,COUNTIFS($J24:$AX24,"*B2 HL*",$J24:$AX24,"&lt;&gt;"&amp;"pB2 HL")*0.5)))</f>
        <v>0</v>
      </c>
      <c r="G24" s="142">
        <f t="shared" si="0"/>
        <v>0</v>
      </c>
      <c r="H24" s="142">
        <f t="shared" si="1"/>
        <v>0</v>
      </c>
      <c r="I24" s="142">
        <f>IF(Mon_W1[[#This Row],[Employee Name]]="","",IF(Mon_W1[[#This Row],[Dept]]="Supervisor",SUM(COUNTIFS($J24:$AX24,"RTA*",$J24:$AX24,"&lt;&gt;"&amp;"pRTA"),COUNTIFS($J24:$AX24,"*CRTA*",$J24:$AX24,"&lt;&gt;"&amp;"pCRTA")),COUNTIFS($J24:$AX24,"*RNNR*",$J24:$AX24,"&lt;&gt;"&amp;"*pRNNR*",$J24:$AX24,"&lt;&gt;"&amp;"pB1 RNNR",$J24:$AX24,"&lt;&gt;"&amp;"pB2 RNNR")-SUM(COUNTIFS($J24:$AX24,"*RNNR B1*",$J24:$AX24,"&lt;&gt;"&amp;"pRNNR B1")*0.5,COUNTIFS($J24:$AX24,"*RNNR B2*",$J24:$AX24,"&lt;&gt;"&amp;"pRNNR B2")*0.5,COUNTIFS($J24:$AX24,"*B1 RNNR*",$J24:$AX24,"&lt;&gt;"&amp;"pB1 RNNR")*0.5,COUNTIFS($J24:$AX24,"*B2 RNNR*",$J24:$AX24,"&lt;&gt;"&amp;"pB2 RNNR")*0.5)))</f>
        <v>0</v>
      </c>
      <c r="J24" s="184" t="str">
        <f>IFERROR(IF(VLOOKUP(Mon_W1[[#This Row],[Employee Name]],'Base Schedules'!$A$113:$AW$158,9,FALSE)="","",VLOOKUP(Mon_W1[[#This Row],[Employee Name]],'Base Schedules'!$A$113:$AW$158,9,FALSE)),"")</f>
        <v/>
      </c>
      <c r="K24" s="184" t="str">
        <f>IFERROR(IF(VLOOKUP(Mon_W1[[#This Row],[Employee Name]],'Base Schedules'!$A$113:$AW$158,10,FALSE)="","",VLOOKUP(Mon_W1[[#This Row],[Employee Name]],'Base Schedules'!$A$113:$AW$158,10,FALSE)),"")</f>
        <v/>
      </c>
      <c r="L24" s="184" t="str">
        <f>IFERROR(IF(VLOOKUP(Mon_W1[[#This Row],[Employee Name]],'Base Schedules'!$A$113:$AW$158,11,FALSE)="","",VLOOKUP(Mon_W1[[#This Row],[Employee Name]],'Base Schedules'!$A$113:$AW$158,11,FALSE)),"")</f>
        <v/>
      </c>
      <c r="M24" s="184" t="str">
        <f>IFERROR(IF(VLOOKUP(Mon_W1[[#This Row],[Employee Name]],'Base Schedules'!$A$113:$AW$158,12,FALSE)="","",VLOOKUP(Mon_W1[[#This Row],[Employee Name]],'Base Schedules'!$A$113:$AW$158,12,FALSE)),"")</f>
        <v/>
      </c>
      <c r="N24" s="184" t="str">
        <f>IFERROR(IF(VLOOKUP(Mon_W1[[#This Row],[Employee Name]],'Base Schedules'!$A$113:$AW$158,13,FALSE)="","",VLOOKUP(Mon_W1[[#This Row],[Employee Name]],'Base Schedules'!$A$113:$AW$158,13,FALSE)),"")</f>
        <v/>
      </c>
      <c r="O24" s="184" t="str">
        <f>IFERROR(IF(VLOOKUP(Mon_W1[[#This Row],[Employee Name]],'Base Schedules'!$A$113:$AW$158,14,FALSE)="","",VLOOKUP(Mon_W1[[#This Row],[Employee Name]],'Base Schedules'!$A$113:$AW$158,14,FALSE)),"")</f>
        <v>-</v>
      </c>
      <c r="P24" s="184" t="str">
        <f>IFERROR(IF(VLOOKUP(Mon_W1[[#This Row],[Employee Name]],'Base Schedules'!$A$113:$AW$158,15,FALSE)="","",VLOOKUP(Mon_W1[[#This Row],[Employee Name]],'Base Schedules'!$A$113:$AW$158,15,FALSE)),"")</f>
        <v>-</v>
      </c>
      <c r="Q24" s="184" t="str">
        <f>IFERROR(IF(VLOOKUP(Mon_W1[[#This Row],[Employee Name]],'Base Schedules'!$A$113:$AW$158,16,FALSE)="","",VLOOKUP(Mon_W1[[#This Row],[Employee Name]],'Base Schedules'!$A$113:$AW$158,16,FALSE)),"")</f>
        <v>-</v>
      </c>
      <c r="R24" s="184" t="str">
        <f>IFERROR(IF(VLOOKUP(Mon_W1[[#This Row],[Employee Name]],'Base Schedules'!$A$113:$AW$158,17,FALSE)="","",VLOOKUP(Mon_W1[[#This Row],[Employee Name]],'Base Schedules'!$A$113:$AW$158,17,FALSE)),"")</f>
        <v>-</v>
      </c>
      <c r="S24" s="184" t="str">
        <f>IFERROR(IF(VLOOKUP(Mon_W1[[#This Row],[Employee Name]],'Base Schedules'!$A$113:$AW$158,18,FALSE)="","",VLOOKUP(Mon_W1[[#This Row],[Employee Name]],'Base Schedules'!$A$113:$AW$158,18,FALSE)),"")</f>
        <v>-</v>
      </c>
      <c r="T24" s="184" t="str">
        <f>IFERROR(IF(VLOOKUP(Mon_W1[[#This Row],[Employee Name]],'Base Schedules'!$A$113:$AW$158,19,FALSE)="","",VLOOKUP(Mon_W1[[#This Row],[Employee Name]],'Base Schedules'!$A$113:$AW$158,19,FALSE)),"")</f>
        <v>-</v>
      </c>
      <c r="U24" s="184" t="str">
        <f>IFERROR(IF(VLOOKUP(Mon_W1[[#This Row],[Employee Name]],'Base Schedules'!$A$113:$AW$158,20,FALSE)="","",VLOOKUP(Mon_W1[[#This Row],[Employee Name]],'Base Schedules'!$A$113:$AW$158,20,FALSE)),"")</f>
        <v>-</v>
      </c>
      <c r="V24" s="184" t="str">
        <f>IFERROR(IF(VLOOKUP(Mon_W1[[#This Row],[Employee Name]],'Base Schedules'!$A$113:$AW$158,21,FALSE)="","",VLOOKUP(Mon_W1[[#This Row],[Employee Name]],'Base Schedules'!$A$113:$AW$158,21,FALSE)),"")</f>
        <v>-</v>
      </c>
      <c r="W24" s="184" t="str">
        <f>IFERROR(IF(VLOOKUP(Mon_W1[[#This Row],[Employee Name]],'Base Schedules'!$A$113:$AW$158,22,FALSE)="","",VLOOKUP(Mon_W1[[#This Row],[Employee Name]],'Base Schedules'!$A$113:$AW$158,22,FALSE)),"")</f>
        <v>-</v>
      </c>
      <c r="X24" s="184" t="str">
        <f>IFERROR(IF(VLOOKUP(Mon_W1[[#This Row],[Employee Name]],'Base Schedules'!$A$113:$AW$158,23,FALSE)="","",VLOOKUP(Mon_W1[[#This Row],[Employee Name]],'Base Schedules'!$A$113:$AW$158,23,FALSE)),"")</f>
        <v>-</v>
      </c>
      <c r="Y24" s="184" t="str">
        <f>IFERROR(IF(VLOOKUP(Mon_W1[[#This Row],[Employee Name]],'Base Schedules'!$A$113:$AW$158,24,FALSE)="","",VLOOKUP(Mon_W1[[#This Row],[Employee Name]],'Base Schedules'!$A$113:$AW$158,24,FALSE)),"")</f>
        <v>-</v>
      </c>
      <c r="Z24" s="184" t="str">
        <f>IFERROR(IF(VLOOKUP(Mon_W1[[#This Row],[Employee Name]],'Base Schedules'!$A$113:$AW$158,25,FALSE)="","",VLOOKUP(Mon_W1[[#This Row],[Employee Name]],'Base Schedules'!$A$113:$AW$158,25,FALSE)),"")</f>
        <v>Team Matt TM</v>
      </c>
      <c r="AA24" s="184" t="str">
        <f>IFERROR(IF(VLOOKUP(Mon_W1[[#This Row],[Employee Name]],'Base Schedules'!$A$113:$AW$158,26,FALSE)="","",VLOOKUP(Mon_W1[[#This Row],[Employee Name]],'Base Schedules'!$A$113:$AW$158,26,FALSE)),"")</f>
        <v>Team Matt TM</v>
      </c>
      <c r="AB24" s="184" t="str">
        <f>IFERROR(IF(VLOOKUP(Mon_W1[[#This Row],[Employee Name]],'Base Schedules'!$A$113:$AW$158,27,FALSE)="","",VLOOKUP(Mon_W1[[#This Row],[Employee Name]],'Base Schedules'!$A$113:$AW$158,27,FALSE)),"")</f>
        <v>-</v>
      </c>
      <c r="AC24" s="184" t="str">
        <f>IFERROR(IF(VLOOKUP(Mon_W1[[#This Row],[Employee Name]],'Base Schedules'!$A$113:$AW$158,28,FALSE)="","",VLOOKUP(Mon_W1[[#This Row],[Employee Name]],'Base Schedules'!$A$113:$AW$158,28,FALSE)),"")</f>
        <v>-</v>
      </c>
      <c r="AD24" s="184" t="str">
        <f>IFERROR(IF(VLOOKUP(Mon_W1[[#This Row],[Employee Name]],'Base Schedules'!$A$113:$AW$158,29,FALSE)="","",VLOOKUP(Mon_W1[[#This Row],[Employee Name]],'Base Schedules'!$A$113:$AW$158,29,FALSE)),"")</f>
        <v>-</v>
      </c>
      <c r="AE24" s="184" t="str">
        <f>IFERROR(IF(VLOOKUP(Mon_W1[[#This Row],[Employee Name]],'Base Schedules'!$A$113:$AW$158,30,FALSE)="","",VLOOKUP(Mon_W1[[#This Row],[Employee Name]],'Base Schedules'!$A$113:$AW$158,30,FALSE)),"")</f>
        <v>-</v>
      </c>
      <c r="AF24" s="184" t="str">
        <f>IFERROR(IF(VLOOKUP(Mon_W1[[#This Row],[Employee Name]],'Base Schedules'!$A$113:$AW$158,31,FALSE)="","",VLOOKUP(Mon_W1[[#This Row],[Employee Name]],'Base Schedules'!$A$113:$AW$158,31,FALSE)),"")</f>
        <v>-</v>
      </c>
      <c r="AG24" s="184" t="str">
        <f>IFERROR(IF(VLOOKUP(Mon_W1[[#This Row],[Employee Name]],'Base Schedules'!$A$113:$AW$158,32,FALSE)="","",VLOOKUP(Mon_W1[[#This Row],[Employee Name]],'Base Schedules'!$A$113:$AW$158,32,FALSE)),"")</f>
        <v/>
      </c>
      <c r="AH24" s="184" t="str">
        <f>IFERROR(IF(VLOOKUP(Mon_W1[[#This Row],[Employee Name]],'Base Schedules'!$A$113:$AW$158,33,FALSE)="","",VLOOKUP(Mon_W1[[#This Row],[Employee Name]],'Base Schedules'!$A$113:$AW$158,33,FALSE)),"")</f>
        <v/>
      </c>
      <c r="AI24" s="184" t="str">
        <f>IFERROR(IF(VLOOKUP(Mon_W1[[#This Row],[Employee Name]],'Base Schedules'!$A$113:$AW$158,34,FALSE)="","",VLOOKUP(Mon_W1[[#This Row],[Employee Name]],'Base Schedules'!$A$113:$AW$158,34,FALSE)),"")</f>
        <v/>
      </c>
      <c r="AJ24" s="184" t="str">
        <f>IFERROR(IF(VLOOKUP(Mon_W1[[#This Row],[Employee Name]],'Base Schedules'!$A$113:$AW$158,35,FALSE)="","",VLOOKUP(Mon_W1[[#This Row],[Employee Name]],'Base Schedules'!$A$113:$AW$158,35,FALSE)),"")</f>
        <v/>
      </c>
      <c r="AK24" s="184" t="str">
        <f>IFERROR(IF(VLOOKUP(Mon_W1[[#This Row],[Employee Name]],'Base Schedules'!$A$113:$AW$158,36,FALSE)="","",VLOOKUP(Mon_W1[[#This Row],[Employee Name]],'Base Schedules'!$A$113:$AW$158,36,FALSE)),"")</f>
        <v/>
      </c>
      <c r="AL24" s="184" t="str">
        <f>IFERROR(IF(VLOOKUP(Mon_W1[[#This Row],[Employee Name]],'Base Schedules'!$A$113:$AW$158,37,FALSE)="","",VLOOKUP(Mon_W1[[#This Row],[Employee Name]],'Base Schedules'!$A$113:$AW$158,37,FALSE)),"")</f>
        <v/>
      </c>
      <c r="AM24" s="184" t="str">
        <f>IFERROR(IF(VLOOKUP(Mon_W1[[#This Row],[Employee Name]],'Base Schedules'!$A$113:$AW$158,38,FALSE)="","",VLOOKUP(Mon_W1[[#This Row],[Employee Name]],'Base Schedules'!$A$113:$AW$158,38,FALSE)),"")</f>
        <v/>
      </c>
      <c r="AN24" s="184" t="str">
        <f>IFERROR(IF(VLOOKUP(Mon_W1[[#This Row],[Employee Name]],'Base Schedules'!$A$113:$AW$158,39,FALSE)="","",VLOOKUP(Mon_W1[[#This Row],[Employee Name]],'Base Schedules'!$A$113:$AW$158,39,FALSE)),"")</f>
        <v/>
      </c>
      <c r="AO24" s="184" t="str">
        <f>IFERROR(IF(VLOOKUP(Mon_W1[[#This Row],[Employee Name]],'Base Schedules'!$A$113:$AW$158,40,FALSE)="","",VLOOKUP(Mon_W1[[#This Row],[Employee Name]],'Base Schedules'!$A$113:$AW$158,40,FALSE)),"")</f>
        <v/>
      </c>
      <c r="AP24" s="184" t="str">
        <f>IFERROR(IF(VLOOKUP(Mon_W1[[#This Row],[Employee Name]],'Base Schedules'!$A$113:$AW$158,41,FALSE)="","",VLOOKUP(Mon_W1[[#This Row],[Employee Name]],'Base Schedules'!$A$113:$AW$158,41,FALSE)),"")</f>
        <v/>
      </c>
      <c r="AQ24" s="184" t="str">
        <f>IFERROR(IF(VLOOKUP(Mon_W1[[#This Row],[Employee Name]],'Base Schedules'!$A$113:$AW$158,42,FALSE)="","",VLOOKUP(Mon_W1[[#This Row],[Employee Name]],'Base Schedules'!$A$113:$AW$158,42,FALSE)),"")</f>
        <v/>
      </c>
      <c r="AR24" s="184" t="str">
        <f>IFERROR(IF(VLOOKUP(Mon_W1[[#This Row],[Employee Name]],'Base Schedules'!$A$113:$AW$158,43,FALSE)="","",VLOOKUP(Mon_W1[[#This Row],[Employee Name]],'Base Schedules'!$A$113:$AW$158,43,FALSE)),"")</f>
        <v/>
      </c>
      <c r="AS24" s="184" t="str">
        <f>IFERROR(IF(VLOOKUP(Mon_W1[[#This Row],[Employee Name]],'Base Schedules'!$A$113:$AW$158,44,FALSE)="","",VLOOKUP(Mon_W1[[#This Row],[Employee Name]],'Base Schedules'!$A$113:$AW$158,44,FALSE)),"")</f>
        <v/>
      </c>
      <c r="AT24" s="184" t="str">
        <f>IFERROR(IF(VLOOKUP(Mon_W1[[#This Row],[Employee Name]],'Base Schedules'!$A$113:$AW$158,45,FALSE)="","",VLOOKUP(Mon_W1[[#This Row],[Employee Name]],'Base Schedules'!$A$113:$AW$158,45,FALSE)),"")</f>
        <v/>
      </c>
      <c r="AU24" s="184" t="str">
        <f>IFERROR(IF(VLOOKUP(Mon_W1[[#This Row],[Employee Name]],'Base Schedules'!$A$113:$AW$158,46,FALSE)="","",VLOOKUP(Mon_W1[[#This Row],[Employee Name]],'Base Schedules'!$A$113:$AW$158,46,FALSE)),"")</f>
        <v/>
      </c>
      <c r="AV24" s="184" t="str">
        <f>IFERROR(IF(VLOOKUP(Mon_W1[[#This Row],[Employee Name]],'Base Schedules'!$A$113:$AW$158,47,FALSE)="","",VLOOKUP(Mon_W1[[#This Row],[Employee Name]],'Base Schedules'!$A$113:$AW$158,47,FALSE)),"")</f>
        <v/>
      </c>
      <c r="AW24" s="184" t="str">
        <f>IFERROR(IF(VLOOKUP(Mon_W1[[#This Row],[Employee Name]],'Base Schedules'!$A$113:$AW$158,48,FALSE)="","",VLOOKUP(Mon_W1[[#This Row],[Employee Name]],'Base Schedules'!$A$113:$AW$158,48,FALSE)),"")</f>
        <v/>
      </c>
      <c r="AX24" s="184" t="str">
        <f>IFERROR(IF(VLOOKUP(Mon_W1[[#This Row],[Employee Name]],'Base Schedules'!$A$113:$AW$158,49,FALSE)="","",VLOOKUP(Mon_W1[[#This Row],[Employee Name]],'Base Schedules'!$A$113:$AW$158,49,FALSE)),"")</f>
        <v/>
      </c>
      <c r="AY24" s="164" t="str">
        <f t="shared" si="2"/>
        <v>Parkin-Rego, Kimberlee</v>
      </c>
    </row>
    <row r="25" spans="1:51" s="44" customFormat="1" ht="12" x14ac:dyDescent="0.2">
      <c r="A25" s="39" t="str">
        <f>IF(B25="","",INDEX(TeamList[],MATCH($B25,TeamList[[Employee Name]:[Employee Name]],0),MATCH("Manager",TeamList[#Headers],0)))</f>
        <v>Olson, Katherine</v>
      </c>
      <c r="B25" s="201" t="s">
        <v>41</v>
      </c>
      <c r="C25" s="257" t="str">
        <f>_xlfn.IFNA(VLOOKUP(Mon_W1[[#This Row],[Employee Name]],'Base Schedules'!A:B,2,FALSE),"")</f>
        <v>Lead</v>
      </c>
      <c r="D25" s="274">
        <f>_xlfn.IFNA(VLOOKUP(Mon_W1[[#This Row],[Employee Name]],'Base Schedules'!A:C,3,FALSE),"")</f>
        <v>800</v>
      </c>
      <c r="E25" s="274">
        <f>_xlfn.IFNA(VLOOKUP(Mon_W1[[#This Row],[Employee Name]],'Base Schedules'!A:D,4,FALSE),"")</f>
        <v>1630</v>
      </c>
      <c r="F25" s="142">
        <f>IF(Mon_W1[[#This Row],[Employee Name]]="","",IF(Mon_W1[[#This Row],[Dept]]="Supervisor",COUNTIFS($J25:$AX25,"*HL*",$J25:$AX25,"&lt;&gt;"&amp;"pHL"),COUNTIFS($J25:$AX25,"*HL*",$J25:$AX25,"&lt;&gt;"&amp;"*pHL*",$J25:$AX25,"&lt;&gt;"&amp;"pB1 HL",$J25:$AX25,"&lt;&gt;"&amp;"pB2 HL")-SUM(COUNTIFS($J25:$AX25,"*HL B1*",$J25:$AX25,"&lt;&gt;"&amp;"pHL B1")*0.5,COUNTIFS($J25:$AX25,"*HL B2*",$J25:$AX25,"&lt;&gt;"&amp;"pHL B2")*0.5,COUNTIFS($J25:$AX25,"*B1 HL*",$J25:$AX25,"&lt;&gt;"&amp;"pB1 HL")*0.5,COUNTIFS($J25:$AX25,"*B2 HL*",$J25:$AX25,"&lt;&gt;"&amp;"pB2 HL")*0.5)))</f>
        <v>5.5</v>
      </c>
      <c r="G25" s="142">
        <f t="shared" si="0"/>
        <v>0</v>
      </c>
      <c r="H25" s="142">
        <f t="shared" si="1"/>
        <v>8</v>
      </c>
      <c r="I25" s="142">
        <f>IF(Mon_W1[[#This Row],[Employee Name]]="","",IF(Mon_W1[[#This Row],[Dept]]="Supervisor",SUM(COUNTIFS($J25:$AX25,"RTA*",$J25:$AX25,"&lt;&gt;"&amp;"pRTA"),COUNTIFS($J25:$AX25,"*CRTA*",$J25:$AX25,"&lt;&gt;"&amp;"pCRTA")),COUNTIFS($J25:$AX25,"*RNNR*",$J25:$AX25,"&lt;&gt;"&amp;"*pRNNR*",$J25:$AX25,"&lt;&gt;"&amp;"pB1 RNNR",$J25:$AX25,"&lt;&gt;"&amp;"pB2 RNNR")-SUM(COUNTIFS($J25:$AX25,"*RNNR B1*",$J25:$AX25,"&lt;&gt;"&amp;"pRNNR B1")*0.5,COUNTIFS($J25:$AX25,"*RNNR B2*",$J25:$AX25,"&lt;&gt;"&amp;"pRNNR B2")*0.5,COUNTIFS($J25:$AX25,"*B1 RNNR*",$J25:$AX25,"&lt;&gt;"&amp;"pB1 RNNR")*0.5,COUNTIFS($J25:$AX25,"*B2 RNNR*",$J25:$AX25,"&lt;&gt;"&amp;"pB2 RNNR")*0.5)))</f>
        <v>2</v>
      </c>
      <c r="J25" s="184" t="str">
        <f>IFERROR(IF(VLOOKUP(Mon_W1[[#This Row],[Employee Name]],'Base Schedules'!$A$113:$AW$158,9,FALSE)="","",VLOOKUP(Mon_W1[[#This Row],[Employee Name]],'Base Schedules'!$A$113:$AW$158,9,FALSE)),"")</f>
        <v/>
      </c>
      <c r="K25" s="184" t="str">
        <f>IFERROR(IF(VLOOKUP(Mon_W1[[#This Row],[Employee Name]],'Base Schedules'!$A$113:$AW$158,10,FALSE)="","",VLOOKUP(Mon_W1[[#This Row],[Employee Name]],'Base Schedules'!$A$113:$AW$158,10,FALSE)),"")</f>
        <v/>
      </c>
      <c r="L25" s="184" t="str">
        <f>IFERROR(IF(VLOOKUP(Mon_W1[[#This Row],[Employee Name]],'Base Schedules'!$A$113:$AW$158,11,FALSE)="","",VLOOKUP(Mon_W1[[#This Row],[Employee Name]],'Base Schedules'!$A$113:$AW$158,11,FALSE)),"")</f>
        <v/>
      </c>
      <c r="M25" s="184" t="str">
        <f>IFERROR(IF(VLOOKUP(Mon_W1[[#This Row],[Employee Name]],'Base Schedules'!$A$113:$AW$158,12,FALSE)="","",VLOOKUP(Mon_W1[[#This Row],[Employee Name]],'Base Schedules'!$A$113:$AW$158,12,FALSE)),"")</f>
        <v/>
      </c>
      <c r="N25" s="184" t="str">
        <f>IFERROR(IF(VLOOKUP(Mon_W1[[#This Row],[Employee Name]],'Base Schedules'!$A$113:$AW$158,13,FALSE)="","",VLOOKUP(Mon_W1[[#This Row],[Employee Name]],'Base Schedules'!$A$113:$AW$158,13,FALSE)),"")</f>
        <v/>
      </c>
      <c r="O25" s="184" t="str">
        <f>IFERROR(IF(VLOOKUP(Mon_W1[[#This Row],[Employee Name]],'Base Schedules'!$A$113:$AW$158,14,FALSE)="","",VLOOKUP(Mon_W1[[#This Row],[Employee Name]],'Base Schedules'!$A$113:$AW$158,14,FALSE)),"")</f>
        <v/>
      </c>
      <c r="P25" s="184" t="str">
        <f>IFERROR(IF(VLOOKUP(Mon_W1[[#This Row],[Employee Name]],'Base Schedules'!$A$113:$AW$158,15,FALSE)="","",VLOOKUP(Mon_W1[[#This Row],[Employee Name]],'Base Schedules'!$A$113:$AW$158,15,FALSE)),"")</f>
        <v>HL</v>
      </c>
      <c r="Q25" s="184" t="str">
        <f>IFERROR(IF(VLOOKUP(Mon_W1[[#This Row],[Employee Name]],'Base Schedules'!$A$113:$AW$158,16,FALSE)="","",VLOOKUP(Mon_W1[[#This Row],[Employee Name]],'Base Schedules'!$A$113:$AW$158,16,FALSE)),"")</f>
        <v>ADM</v>
      </c>
      <c r="R25" s="184" t="str">
        <f>IFERROR(IF(VLOOKUP(Mon_W1[[#This Row],[Employee Name]],'Base Schedules'!$A$113:$AW$158,17,FALSE)="","",VLOOKUP(Mon_W1[[#This Row],[Employee Name]],'Base Schedules'!$A$113:$AW$158,17,FALSE)),"")</f>
        <v>ADM</v>
      </c>
      <c r="S25" s="184" t="str">
        <f>IFERROR(IF(VLOOKUP(Mon_W1[[#This Row],[Employee Name]],'Base Schedules'!$A$113:$AW$158,18,FALSE)="","",VLOOKUP(Mon_W1[[#This Row],[Employee Name]],'Base Schedules'!$A$113:$AW$158,18,FALSE)),"")</f>
        <v>ADM</v>
      </c>
      <c r="T25" s="184" t="str">
        <f>IFERROR(IF(VLOOKUP(Mon_W1[[#This Row],[Employee Name]],'Base Schedules'!$A$113:$AW$158,19,FALSE)="","",VLOOKUP(Mon_W1[[#This Row],[Employee Name]],'Base Schedules'!$A$113:$AW$158,19,FALSE)),"")</f>
        <v>B1 HL</v>
      </c>
      <c r="U25" s="184" t="str">
        <f>IFERROR(IF(VLOOKUP(Mon_W1[[#This Row],[Employee Name]],'Base Schedules'!$A$113:$AW$158,20,FALSE)="","",VLOOKUP(Mon_W1[[#This Row],[Employee Name]],'Base Schedules'!$A$113:$AW$158,20,FALSE)),"")</f>
        <v>HL</v>
      </c>
      <c r="V25" s="184" t="str">
        <f>IFERROR(IF(VLOOKUP(Mon_W1[[#This Row],[Employee Name]],'Base Schedules'!$A$113:$AW$158,21,FALSE)="","",VLOOKUP(Mon_W1[[#This Row],[Employee Name]],'Base Schedules'!$A$113:$AW$158,21,FALSE)),"")</f>
        <v>HL</v>
      </c>
      <c r="W25" s="184" t="str">
        <f>IFERROR(IF(VLOOKUP(Mon_W1[[#This Row],[Employee Name]],'Base Schedules'!$A$113:$AW$158,22,FALSE)="","",VLOOKUP(Mon_W1[[#This Row],[Employee Name]],'Base Schedules'!$A$113:$AW$158,22,FALSE)),"")</f>
        <v>ADM</v>
      </c>
      <c r="X25" s="184" t="str">
        <f>IFERROR(IF(VLOOKUP(Mon_W1[[#This Row],[Employee Name]],'Base Schedules'!$A$113:$AW$158,23,FALSE)="","",VLOOKUP(Mon_W1[[#This Row],[Employee Name]],'Base Schedules'!$A$113:$AW$158,23,FALSE)),"")</f>
        <v>ADM</v>
      </c>
      <c r="Y25" s="184" t="str">
        <f>IFERROR(IF(VLOOKUP(Mon_W1[[#This Row],[Employee Name]],'Base Schedules'!$A$113:$AW$158,24,FALSE)="","",VLOOKUP(Mon_W1[[#This Row],[Employee Name]],'Base Schedules'!$A$113:$AW$158,24,FALSE)),"")</f>
        <v>LUNCH</v>
      </c>
      <c r="Z25" s="184" t="str">
        <f>IFERROR(IF(VLOOKUP(Mon_W1[[#This Row],[Employee Name]],'Base Schedules'!$A$113:$AW$158,25,FALSE)="","",VLOOKUP(Mon_W1[[#This Row],[Employee Name]],'Base Schedules'!$A$113:$AW$158,25,FALSE)),"")</f>
        <v>RNNR</v>
      </c>
      <c r="AA25" s="184" t="str">
        <f>IFERROR(IF(VLOOKUP(Mon_W1[[#This Row],[Employee Name]],'Base Schedules'!$A$113:$AW$158,26,FALSE)="","",VLOOKUP(Mon_W1[[#This Row],[Employee Name]],'Base Schedules'!$A$113:$AW$158,26,FALSE)),"")</f>
        <v>RNNR</v>
      </c>
      <c r="AB25" s="184" t="str">
        <f>IFERROR(IF(VLOOKUP(Mon_W1[[#This Row],[Employee Name]],'Base Schedules'!$A$113:$AW$158,27,FALSE)="","",VLOOKUP(Mon_W1[[#This Row],[Employee Name]],'Base Schedules'!$A$113:$AW$158,27,FALSE)),"")</f>
        <v>HL</v>
      </c>
      <c r="AC25" s="184" t="str">
        <f>IFERROR(IF(VLOOKUP(Mon_W1[[#This Row],[Employee Name]],'Base Schedules'!$A$113:$AW$158,28,FALSE)="","",VLOOKUP(Mon_W1[[#This Row],[Employee Name]],'Base Schedules'!$A$113:$AW$158,28,FALSE)),"")</f>
        <v>B2 ADM</v>
      </c>
      <c r="AD25" s="184" t="str">
        <f>IFERROR(IF(VLOOKUP(Mon_W1[[#This Row],[Employee Name]],'Base Schedules'!$A$113:$AW$158,29,FALSE)="","",VLOOKUP(Mon_W1[[#This Row],[Employee Name]],'Base Schedules'!$A$113:$AW$158,29,FALSE)),"")</f>
        <v>ADM</v>
      </c>
      <c r="AE25" s="184" t="str">
        <f>IFERROR(IF(VLOOKUP(Mon_W1[[#This Row],[Employee Name]],'Base Schedules'!$A$113:$AW$158,30,FALSE)="","",VLOOKUP(Mon_W1[[#This Row],[Employee Name]],'Base Schedules'!$A$113:$AW$158,30,FALSE)),"")</f>
        <v>HL</v>
      </c>
      <c r="AF25" s="184" t="str">
        <f>IFERROR(IF(VLOOKUP(Mon_W1[[#This Row],[Employee Name]],'Base Schedules'!$A$113:$AW$158,31,FALSE)="","",VLOOKUP(Mon_W1[[#This Row],[Employee Name]],'Base Schedules'!$A$113:$AW$158,31,FALSE)),"")</f>
        <v>ADM</v>
      </c>
      <c r="AG25" s="184" t="str">
        <f>IFERROR(IF(VLOOKUP(Mon_W1[[#This Row],[Employee Name]],'Base Schedules'!$A$113:$AW$158,32,FALSE)="","",VLOOKUP(Mon_W1[[#This Row],[Employee Name]],'Base Schedules'!$A$113:$AW$158,32,FALSE)),"")</f>
        <v/>
      </c>
      <c r="AH25" s="184" t="str">
        <f>IFERROR(IF(VLOOKUP(Mon_W1[[#This Row],[Employee Name]],'Base Schedules'!$A$113:$AW$158,33,FALSE)="","",VLOOKUP(Mon_W1[[#This Row],[Employee Name]],'Base Schedules'!$A$113:$AW$158,33,FALSE)),"")</f>
        <v/>
      </c>
      <c r="AI25" s="184" t="str">
        <f>IFERROR(IF(VLOOKUP(Mon_W1[[#This Row],[Employee Name]],'Base Schedules'!$A$113:$AW$158,34,FALSE)="","",VLOOKUP(Mon_W1[[#This Row],[Employee Name]],'Base Schedules'!$A$113:$AW$158,34,FALSE)),"")</f>
        <v/>
      </c>
      <c r="AJ25" s="184" t="str">
        <f>IFERROR(IF(VLOOKUP(Mon_W1[[#This Row],[Employee Name]],'Base Schedules'!$A$113:$AW$158,35,FALSE)="","",VLOOKUP(Mon_W1[[#This Row],[Employee Name]],'Base Schedules'!$A$113:$AW$158,35,FALSE)),"")</f>
        <v/>
      </c>
      <c r="AK25" s="184" t="str">
        <f>IFERROR(IF(VLOOKUP(Mon_W1[[#This Row],[Employee Name]],'Base Schedules'!$A$113:$AW$158,36,FALSE)="","",VLOOKUP(Mon_W1[[#This Row],[Employee Name]],'Base Schedules'!$A$113:$AW$158,36,FALSE)),"")</f>
        <v/>
      </c>
      <c r="AL25" s="184" t="str">
        <f>IFERROR(IF(VLOOKUP(Mon_W1[[#This Row],[Employee Name]],'Base Schedules'!$A$113:$AW$158,37,FALSE)="","",VLOOKUP(Mon_W1[[#This Row],[Employee Name]],'Base Schedules'!$A$113:$AW$158,37,FALSE)),"")</f>
        <v/>
      </c>
      <c r="AM25" s="184" t="str">
        <f>IFERROR(IF(VLOOKUP(Mon_W1[[#This Row],[Employee Name]],'Base Schedules'!$A$113:$AW$158,38,FALSE)="","",VLOOKUP(Mon_W1[[#This Row],[Employee Name]],'Base Schedules'!$A$113:$AW$158,38,FALSE)),"")</f>
        <v/>
      </c>
      <c r="AN25" s="184" t="str">
        <f>IFERROR(IF(VLOOKUP(Mon_W1[[#This Row],[Employee Name]],'Base Schedules'!$A$113:$AW$158,39,FALSE)="","",VLOOKUP(Mon_W1[[#This Row],[Employee Name]],'Base Schedules'!$A$113:$AW$158,39,FALSE)),"")</f>
        <v/>
      </c>
      <c r="AO25" s="184" t="str">
        <f>IFERROR(IF(VLOOKUP(Mon_W1[[#This Row],[Employee Name]],'Base Schedules'!$A$113:$AW$158,40,FALSE)="","",VLOOKUP(Mon_W1[[#This Row],[Employee Name]],'Base Schedules'!$A$113:$AW$158,40,FALSE)),"")</f>
        <v/>
      </c>
      <c r="AP25" s="184" t="str">
        <f>IFERROR(IF(VLOOKUP(Mon_W1[[#This Row],[Employee Name]],'Base Schedules'!$A$113:$AW$158,41,FALSE)="","",VLOOKUP(Mon_W1[[#This Row],[Employee Name]],'Base Schedules'!$A$113:$AW$158,41,FALSE)),"")</f>
        <v/>
      </c>
      <c r="AQ25" s="184" t="str">
        <f>IFERROR(IF(VLOOKUP(Mon_W1[[#This Row],[Employee Name]],'Base Schedules'!$A$113:$AW$158,42,FALSE)="","",VLOOKUP(Mon_W1[[#This Row],[Employee Name]],'Base Schedules'!$A$113:$AW$158,42,FALSE)),"")</f>
        <v/>
      </c>
      <c r="AR25" s="184" t="str">
        <f>IFERROR(IF(VLOOKUP(Mon_W1[[#This Row],[Employee Name]],'Base Schedules'!$A$113:$AW$158,43,FALSE)="","",VLOOKUP(Mon_W1[[#This Row],[Employee Name]],'Base Schedules'!$A$113:$AW$158,43,FALSE)),"")</f>
        <v/>
      </c>
      <c r="AS25" s="184" t="str">
        <f>IFERROR(IF(VLOOKUP(Mon_W1[[#This Row],[Employee Name]],'Base Schedules'!$A$113:$AW$158,44,FALSE)="","",VLOOKUP(Mon_W1[[#This Row],[Employee Name]],'Base Schedules'!$A$113:$AW$158,44,FALSE)),"")</f>
        <v/>
      </c>
      <c r="AT25" s="184" t="str">
        <f>IFERROR(IF(VLOOKUP(Mon_W1[[#This Row],[Employee Name]],'Base Schedules'!$A$113:$AW$158,45,FALSE)="","",VLOOKUP(Mon_W1[[#This Row],[Employee Name]],'Base Schedules'!$A$113:$AW$158,45,FALSE)),"")</f>
        <v/>
      </c>
      <c r="AU25" s="184" t="str">
        <f>IFERROR(IF(VLOOKUP(Mon_W1[[#This Row],[Employee Name]],'Base Schedules'!$A$113:$AW$158,46,FALSE)="","",VLOOKUP(Mon_W1[[#This Row],[Employee Name]],'Base Schedules'!$A$113:$AW$158,46,FALSE)),"")</f>
        <v/>
      </c>
      <c r="AV25" s="184" t="str">
        <f>IFERROR(IF(VLOOKUP(Mon_W1[[#This Row],[Employee Name]],'Base Schedules'!$A$113:$AW$158,47,FALSE)="","",VLOOKUP(Mon_W1[[#This Row],[Employee Name]],'Base Schedules'!$A$113:$AW$158,47,FALSE)),"")</f>
        <v/>
      </c>
      <c r="AW25" s="184" t="str">
        <f>IFERROR(IF(VLOOKUP(Mon_W1[[#This Row],[Employee Name]],'Base Schedules'!$A$113:$AW$158,48,FALSE)="","",VLOOKUP(Mon_W1[[#This Row],[Employee Name]],'Base Schedules'!$A$113:$AW$158,48,FALSE)),"")</f>
        <v/>
      </c>
      <c r="AX25" s="184" t="str">
        <f>IFERROR(IF(VLOOKUP(Mon_W1[[#This Row],[Employee Name]],'Base Schedules'!$A$113:$AW$158,49,FALSE)="","",VLOOKUP(Mon_W1[[#This Row],[Employee Name]],'Base Schedules'!$A$113:$AW$158,49,FALSE)),"")</f>
        <v/>
      </c>
      <c r="AY25" s="164" t="str">
        <f t="shared" si="2"/>
        <v>Harley, Timothy</v>
      </c>
    </row>
    <row r="26" spans="1:51" s="44" customFormat="1" ht="12" x14ac:dyDescent="0.2">
      <c r="A26" s="39" t="str">
        <f>IF(B26="","",INDEX(TeamList[],MATCH($B26,TeamList[[Employee Name]:[Employee Name]],0),MATCH("Manager",TeamList[#Headers],0)))</f>
        <v>Ahmed Hassan, Zahra</v>
      </c>
      <c r="B26" s="330" t="s">
        <v>70</v>
      </c>
      <c r="C26" s="257" t="str">
        <f>_xlfn.IFNA(VLOOKUP(Mon_W1[[#This Row],[Employee Name]],'Base Schedules'!A:B,2,FALSE),"")</f>
        <v>Supervisor</v>
      </c>
      <c r="D26" s="274">
        <f>_xlfn.IFNA(VLOOKUP(Mon_W1[[#This Row],[Employee Name]],'Base Schedules'!A:C,3,FALSE),"")</f>
        <v>800</v>
      </c>
      <c r="E26" s="274">
        <f>_xlfn.IFNA(VLOOKUP(Mon_W1[[#This Row],[Employee Name]],'Base Schedules'!A:D,4,FALSE),"")</f>
        <v>1700</v>
      </c>
      <c r="F26" s="142">
        <f>IF(Mon_W1[[#This Row],[Employee Name]]="","",IF(Mon_W1[[#This Row],[Dept]]="Supervisor",COUNTIFS($J26:$AX26,"*HL*",$J26:$AX26,"&lt;&gt;"&amp;"pHL"),COUNTIFS($J26:$AX26,"*HL*",$J26:$AX26,"&lt;&gt;"&amp;"*pHL*",$J26:$AX26,"&lt;&gt;"&amp;"pB1 HL",$J26:$AX26,"&lt;&gt;"&amp;"pB2 HL")-SUM(COUNTIFS($J26:$AX26,"*HL B1*",$J26:$AX26,"&lt;&gt;"&amp;"pHL B1")*0.5,COUNTIFS($J26:$AX26,"*HL B2*",$J26:$AX26,"&lt;&gt;"&amp;"pHL B2")*0.5,COUNTIFS($J26:$AX26,"*B1 HL*",$J26:$AX26,"&lt;&gt;"&amp;"pB1 HL")*0.5,COUNTIFS($J26:$AX26,"*B2 HL*",$J26:$AX26,"&lt;&gt;"&amp;"pB2 HL")*0.5)))</f>
        <v>0</v>
      </c>
      <c r="G26" s="142">
        <f t="shared" si="0"/>
        <v>0</v>
      </c>
      <c r="H26" s="142">
        <f t="shared" si="1"/>
        <v>0</v>
      </c>
      <c r="I26" s="142">
        <f>IF(Mon_W1[[#This Row],[Employee Name]]="","",IF(Mon_W1[[#This Row],[Dept]]="Supervisor",SUM(COUNTIFS($J26:$AX26,"RTA*",$J26:$AX26,"&lt;&gt;"&amp;"pRTA"),COUNTIFS($J26:$AX26,"*CRTA*",$J26:$AX26,"&lt;&gt;"&amp;"pCRTA")),COUNTIFS($J26:$AX26,"*RNNR*",$J26:$AX26,"&lt;&gt;"&amp;"*pRNNR*",$J26:$AX26,"&lt;&gt;"&amp;"pB1 RNNR",$J26:$AX26,"&lt;&gt;"&amp;"pB2 RNNR")-SUM(COUNTIFS($J26:$AX26,"*RNNR B1*",$J26:$AX26,"&lt;&gt;"&amp;"pRNNR B1")*0.5,COUNTIFS($J26:$AX26,"*RNNR B2*",$J26:$AX26,"&lt;&gt;"&amp;"pRNNR B2")*0.5,COUNTIFS($J26:$AX26,"*B1 RNNR*",$J26:$AX26,"&lt;&gt;"&amp;"pB1 RNNR")*0.5,COUNTIFS($J26:$AX26,"*B2 RNNR*",$J26:$AX26,"&lt;&gt;"&amp;"pB2 RNNR")*0.5)))</f>
        <v>0</v>
      </c>
      <c r="J26" s="184" t="str">
        <f>IFERROR(IF(VLOOKUP(Mon_W1[[#This Row],[Employee Name]],'Base Schedules'!$A$113:$AW$158,9,FALSE)="","",VLOOKUP(Mon_W1[[#This Row],[Employee Name]],'Base Schedules'!$A$113:$AW$158,9,FALSE)),"")</f>
        <v/>
      </c>
      <c r="K26" s="184" t="str">
        <f>IFERROR(IF(VLOOKUP(Mon_W1[[#This Row],[Employee Name]],'Base Schedules'!$A$113:$AW$158,10,FALSE)="","",VLOOKUP(Mon_W1[[#This Row],[Employee Name]],'Base Schedules'!$A$113:$AW$158,10,FALSE)),"")</f>
        <v/>
      </c>
      <c r="L26" s="184" t="str">
        <f>IFERROR(IF(VLOOKUP(Mon_W1[[#This Row],[Employee Name]],'Base Schedules'!$A$113:$AW$158,11,FALSE)="","",VLOOKUP(Mon_W1[[#This Row],[Employee Name]],'Base Schedules'!$A$113:$AW$158,11,FALSE)),"")</f>
        <v/>
      </c>
      <c r="M26" s="184" t="str">
        <f>IFERROR(IF(VLOOKUP(Mon_W1[[#This Row],[Employee Name]],'Base Schedules'!$A$113:$AW$158,12,FALSE)="","",VLOOKUP(Mon_W1[[#This Row],[Employee Name]],'Base Schedules'!$A$113:$AW$158,12,FALSE)),"")</f>
        <v/>
      </c>
      <c r="N26" s="184" t="str">
        <f>IFERROR(IF(VLOOKUP(Mon_W1[[#This Row],[Employee Name]],'Base Schedules'!$A$113:$AW$158,13,FALSE)="","",VLOOKUP(Mon_W1[[#This Row],[Employee Name]],'Base Schedules'!$A$113:$AW$158,13,FALSE)),"")</f>
        <v/>
      </c>
      <c r="O26" s="184" t="str">
        <f>IFERROR(IF(VLOOKUP(Mon_W1[[#This Row],[Employee Name]],'Base Schedules'!$A$113:$AW$158,14,FALSE)="","",VLOOKUP(Mon_W1[[#This Row],[Employee Name]],'Base Schedules'!$A$113:$AW$158,14,FALSE)),"")</f>
        <v/>
      </c>
      <c r="P26" s="184" t="str">
        <f>IFERROR(IF(VLOOKUP(Mon_W1[[#This Row],[Employee Name]],'Base Schedules'!$A$113:$AW$158,15,FALSE)="","",VLOOKUP(Mon_W1[[#This Row],[Employee Name]],'Base Schedules'!$A$113:$AW$158,15,FALSE)),"")</f>
        <v>-</v>
      </c>
      <c r="Q26" s="184" t="str">
        <f>IFERROR(IF(VLOOKUP(Mon_W1[[#This Row],[Employee Name]],'Base Schedules'!$A$113:$AW$158,16,FALSE)="","",VLOOKUP(Mon_W1[[#This Row],[Employee Name]],'Base Schedules'!$A$113:$AW$158,16,FALSE)),"")</f>
        <v>-</v>
      </c>
      <c r="R26" s="184" t="str">
        <f>IFERROR(IF(VLOOKUP(Mon_W1[[#This Row],[Employee Name]],'Base Schedules'!$A$113:$AW$158,17,FALSE)="","",VLOOKUP(Mon_W1[[#This Row],[Employee Name]],'Base Schedules'!$A$113:$AW$158,17,FALSE)),"")</f>
        <v>-</v>
      </c>
      <c r="S26" s="184" t="str">
        <f>IFERROR(IF(VLOOKUP(Mon_W1[[#This Row],[Employee Name]],'Base Schedules'!$A$113:$AW$158,18,FALSE)="","",VLOOKUP(Mon_W1[[#This Row],[Employee Name]],'Base Schedules'!$A$113:$AW$158,18,FALSE)),"")</f>
        <v>-</v>
      </c>
      <c r="T26" s="184" t="str">
        <f>IFERROR(IF(VLOOKUP(Mon_W1[[#This Row],[Employee Name]],'Base Schedules'!$A$113:$AW$158,19,FALSE)="","",VLOOKUP(Mon_W1[[#This Row],[Employee Name]],'Base Schedules'!$A$113:$AW$158,19,FALSE)),"")</f>
        <v>-</v>
      </c>
      <c r="U26" s="184" t="str">
        <f>IFERROR(IF(VLOOKUP(Mon_W1[[#This Row],[Employee Name]],'Base Schedules'!$A$113:$AW$158,20,FALSE)="","",VLOOKUP(Mon_W1[[#This Row],[Employee Name]],'Base Schedules'!$A$113:$AW$158,20,FALSE)),"")</f>
        <v>-</v>
      </c>
      <c r="V26" s="184" t="str">
        <f>IFERROR(IF(VLOOKUP(Mon_W1[[#This Row],[Employee Name]],'Base Schedules'!$A$113:$AW$158,21,FALSE)="","",VLOOKUP(Mon_W1[[#This Row],[Employee Name]],'Base Schedules'!$A$113:$AW$158,21,FALSE)),"")</f>
        <v>-</v>
      </c>
      <c r="W26" s="184" t="str">
        <f>IFERROR(IF(VLOOKUP(Mon_W1[[#This Row],[Employee Name]],'Base Schedules'!$A$113:$AW$158,22,FALSE)="","",VLOOKUP(Mon_W1[[#This Row],[Employee Name]],'Base Schedules'!$A$113:$AW$158,22,FALSE)),"")</f>
        <v>-</v>
      </c>
      <c r="X26" s="184" t="str">
        <f>IFERROR(IF(VLOOKUP(Mon_W1[[#This Row],[Employee Name]],'Base Schedules'!$A$113:$AW$158,23,FALSE)="","",VLOOKUP(Mon_W1[[#This Row],[Employee Name]],'Base Schedules'!$A$113:$AW$158,23,FALSE)),"")</f>
        <v>-</v>
      </c>
      <c r="Y26" s="184" t="str">
        <f>IFERROR(IF(VLOOKUP(Mon_W1[[#This Row],[Employee Name]],'Base Schedules'!$A$113:$AW$158,24,FALSE)="","",VLOOKUP(Mon_W1[[#This Row],[Employee Name]],'Base Schedules'!$A$113:$AW$158,24,FALSE)),"")</f>
        <v>-</v>
      </c>
      <c r="Z26" s="184" t="str">
        <f>IFERROR(IF(VLOOKUP(Mon_W1[[#This Row],[Employee Name]],'Base Schedules'!$A$113:$AW$158,25,FALSE)="","",VLOOKUP(Mon_W1[[#This Row],[Employee Name]],'Base Schedules'!$A$113:$AW$158,25,FALSE)),"")</f>
        <v>-</v>
      </c>
      <c r="AA26" s="184" t="str">
        <f>IFERROR(IF(VLOOKUP(Mon_W1[[#This Row],[Employee Name]],'Base Schedules'!$A$113:$AW$158,26,FALSE)="","",VLOOKUP(Mon_W1[[#This Row],[Employee Name]],'Base Schedules'!$A$113:$AW$158,26,FALSE)),"")</f>
        <v>-</v>
      </c>
      <c r="AB26" s="184" t="str">
        <f>IFERROR(IF(VLOOKUP(Mon_W1[[#This Row],[Employee Name]],'Base Schedules'!$A$113:$AW$158,27,FALSE)="","",VLOOKUP(Mon_W1[[#This Row],[Employee Name]],'Base Schedules'!$A$113:$AW$158,27,FALSE)),"")</f>
        <v>-</v>
      </c>
      <c r="AC26" s="184" t="str">
        <f>IFERROR(IF(VLOOKUP(Mon_W1[[#This Row],[Employee Name]],'Base Schedules'!$A$113:$AW$158,28,FALSE)="","",VLOOKUP(Mon_W1[[#This Row],[Employee Name]],'Base Schedules'!$A$113:$AW$158,28,FALSE)),"")</f>
        <v>Team KO TM</v>
      </c>
      <c r="AD26" s="184" t="str">
        <f>IFERROR(IF(VLOOKUP(Mon_W1[[#This Row],[Employee Name]],'Base Schedules'!$A$113:$AW$158,29,FALSE)="","",VLOOKUP(Mon_W1[[#This Row],[Employee Name]],'Base Schedules'!$A$113:$AW$158,29,FALSE)),"")</f>
        <v>Team KO TM</v>
      </c>
      <c r="AE26" s="184" t="str">
        <f>IFERROR(IF(VLOOKUP(Mon_W1[[#This Row],[Employee Name]],'Base Schedules'!$A$113:$AW$158,30,FALSE)="","",VLOOKUP(Mon_W1[[#This Row],[Employee Name]],'Base Schedules'!$A$113:$AW$158,30,FALSE)),"")</f>
        <v>-</v>
      </c>
      <c r="AF26" s="184" t="str">
        <f>IFERROR(IF(VLOOKUP(Mon_W1[[#This Row],[Employee Name]],'Base Schedules'!$A$113:$AW$158,31,FALSE)="","",VLOOKUP(Mon_W1[[#This Row],[Employee Name]],'Base Schedules'!$A$113:$AW$158,31,FALSE)),"")</f>
        <v>-</v>
      </c>
      <c r="AG26" s="184" t="str">
        <f>IFERROR(IF(VLOOKUP(Mon_W1[[#This Row],[Employee Name]],'Base Schedules'!$A$113:$AW$158,32,FALSE)="","",VLOOKUP(Mon_W1[[#This Row],[Employee Name]],'Base Schedules'!$A$113:$AW$158,32,FALSE)),"")</f>
        <v>-</v>
      </c>
      <c r="AH26" s="184" t="str">
        <f>IFERROR(IF(VLOOKUP(Mon_W1[[#This Row],[Employee Name]],'Base Schedules'!$A$113:$AW$158,33,FALSE)="","",VLOOKUP(Mon_W1[[#This Row],[Employee Name]],'Base Schedules'!$A$113:$AW$158,33,FALSE)),"")</f>
        <v/>
      </c>
      <c r="AI26" s="184" t="str">
        <f>IFERROR(IF(VLOOKUP(Mon_W1[[#This Row],[Employee Name]],'Base Schedules'!$A$113:$AW$158,34,FALSE)="","",VLOOKUP(Mon_W1[[#This Row],[Employee Name]],'Base Schedules'!$A$113:$AW$158,34,FALSE)),"")</f>
        <v/>
      </c>
      <c r="AJ26" s="184" t="str">
        <f>IFERROR(IF(VLOOKUP(Mon_W1[[#This Row],[Employee Name]],'Base Schedules'!$A$113:$AW$158,35,FALSE)="","",VLOOKUP(Mon_W1[[#This Row],[Employee Name]],'Base Schedules'!$A$113:$AW$158,35,FALSE)),"")</f>
        <v/>
      </c>
      <c r="AK26" s="184" t="str">
        <f>IFERROR(IF(VLOOKUP(Mon_W1[[#This Row],[Employee Name]],'Base Schedules'!$A$113:$AW$158,36,FALSE)="","",VLOOKUP(Mon_W1[[#This Row],[Employee Name]],'Base Schedules'!$A$113:$AW$158,36,FALSE)),"")</f>
        <v/>
      </c>
      <c r="AL26" s="184" t="str">
        <f>IFERROR(IF(VLOOKUP(Mon_W1[[#This Row],[Employee Name]],'Base Schedules'!$A$113:$AW$158,37,FALSE)="","",VLOOKUP(Mon_W1[[#This Row],[Employee Name]],'Base Schedules'!$A$113:$AW$158,37,FALSE)),"")</f>
        <v/>
      </c>
      <c r="AM26" s="184" t="str">
        <f>IFERROR(IF(VLOOKUP(Mon_W1[[#This Row],[Employee Name]],'Base Schedules'!$A$113:$AW$158,38,FALSE)="","",VLOOKUP(Mon_W1[[#This Row],[Employee Name]],'Base Schedules'!$A$113:$AW$158,38,FALSE)),"")</f>
        <v/>
      </c>
      <c r="AN26" s="184" t="str">
        <f>IFERROR(IF(VLOOKUP(Mon_W1[[#This Row],[Employee Name]],'Base Schedules'!$A$113:$AW$158,39,FALSE)="","",VLOOKUP(Mon_W1[[#This Row],[Employee Name]],'Base Schedules'!$A$113:$AW$158,39,FALSE)),"")</f>
        <v/>
      </c>
      <c r="AO26" s="184" t="str">
        <f>IFERROR(IF(VLOOKUP(Mon_W1[[#This Row],[Employee Name]],'Base Schedules'!$A$113:$AW$158,40,FALSE)="","",VLOOKUP(Mon_W1[[#This Row],[Employee Name]],'Base Schedules'!$A$113:$AW$158,40,FALSE)),"")</f>
        <v/>
      </c>
      <c r="AP26" s="184" t="str">
        <f>IFERROR(IF(VLOOKUP(Mon_W1[[#This Row],[Employee Name]],'Base Schedules'!$A$113:$AW$158,41,FALSE)="","",VLOOKUP(Mon_W1[[#This Row],[Employee Name]],'Base Schedules'!$A$113:$AW$158,41,FALSE)),"")</f>
        <v/>
      </c>
      <c r="AQ26" s="184" t="str">
        <f>IFERROR(IF(VLOOKUP(Mon_W1[[#This Row],[Employee Name]],'Base Schedules'!$A$113:$AW$158,42,FALSE)="","",VLOOKUP(Mon_W1[[#This Row],[Employee Name]],'Base Schedules'!$A$113:$AW$158,42,FALSE)),"")</f>
        <v/>
      </c>
      <c r="AR26" s="184" t="str">
        <f>IFERROR(IF(VLOOKUP(Mon_W1[[#This Row],[Employee Name]],'Base Schedules'!$A$113:$AW$158,43,FALSE)="","",VLOOKUP(Mon_W1[[#This Row],[Employee Name]],'Base Schedules'!$A$113:$AW$158,43,FALSE)),"")</f>
        <v/>
      </c>
      <c r="AS26" s="184" t="str">
        <f>IFERROR(IF(VLOOKUP(Mon_W1[[#This Row],[Employee Name]],'Base Schedules'!$A$113:$AW$158,44,FALSE)="","",VLOOKUP(Mon_W1[[#This Row],[Employee Name]],'Base Schedules'!$A$113:$AW$158,44,FALSE)),"")</f>
        <v/>
      </c>
      <c r="AT26" s="184" t="str">
        <f>IFERROR(IF(VLOOKUP(Mon_W1[[#This Row],[Employee Name]],'Base Schedules'!$A$113:$AW$158,45,FALSE)="","",VLOOKUP(Mon_W1[[#This Row],[Employee Name]],'Base Schedules'!$A$113:$AW$158,45,FALSE)),"")</f>
        <v/>
      </c>
      <c r="AU26" s="184" t="str">
        <f>IFERROR(IF(VLOOKUP(Mon_W1[[#This Row],[Employee Name]],'Base Schedules'!$A$113:$AW$158,46,FALSE)="","",VLOOKUP(Mon_W1[[#This Row],[Employee Name]],'Base Schedules'!$A$113:$AW$158,46,FALSE)),"")</f>
        <v/>
      </c>
      <c r="AV26" s="184" t="str">
        <f>IFERROR(IF(VLOOKUP(Mon_W1[[#This Row],[Employee Name]],'Base Schedules'!$A$113:$AW$158,47,FALSE)="","",VLOOKUP(Mon_W1[[#This Row],[Employee Name]],'Base Schedules'!$A$113:$AW$158,47,FALSE)),"")</f>
        <v/>
      </c>
      <c r="AW26" s="184" t="str">
        <f>IFERROR(IF(VLOOKUP(Mon_W1[[#This Row],[Employee Name]],'Base Schedules'!$A$113:$AW$158,48,FALSE)="","",VLOOKUP(Mon_W1[[#This Row],[Employee Name]],'Base Schedules'!$A$113:$AW$158,48,FALSE)),"")</f>
        <v/>
      </c>
      <c r="AX26" s="184" t="str">
        <f>IFERROR(IF(VLOOKUP(Mon_W1[[#This Row],[Employee Name]],'Base Schedules'!$A$113:$AW$158,49,FALSE)="","",VLOOKUP(Mon_W1[[#This Row],[Employee Name]],'Base Schedules'!$A$113:$AW$158,49,FALSE)),"")</f>
        <v/>
      </c>
      <c r="AY26" s="166" t="str">
        <f t="shared" si="2"/>
        <v>Vasbinder, Ryan</v>
      </c>
    </row>
    <row r="27" spans="1:51" s="44" customFormat="1" ht="12" x14ac:dyDescent="0.2">
      <c r="A27" s="39" t="str">
        <f>IF(B27="","",INDEX(TeamList[],MATCH($B27,TeamList[[Employee Name]:[Employee Name]],0),MATCH("Manager",TeamList[#Headers],0)))</f>
        <v>Olson, Katherine</v>
      </c>
      <c r="B27" s="330" t="s">
        <v>49</v>
      </c>
      <c r="C27" s="257" t="str">
        <f>_xlfn.IFNA(VLOOKUP(Mon_W1[[#This Row],[Employee Name]],'Base Schedules'!A:B,2,FALSE),"")</f>
        <v>Supervisor</v>
      </c>
      <c r="D27" s="274">
        <f>_xlfn.IFNA(VLOOKUP(Mon_W1[[#This Row],[Employee Name]],'Base Schedules'!A:C,3,FALSE),"")</f>
        <v>800</v>
      </c>
      <c r="E27" s="274">
        <f>_xlfn.IFNA(VLOOKUP(Mon_W1[[#This Row],[Employee Name]],'Base Schedules'!A:D,4,FALSE),"")</f>
        <v>1700</v>
      </c>
      <c r="F27" s="142">
        <f>IF(Mon_W1[[#This Row],[Employee Name]]="","",IF(Mon_W1[[#This Row],[Dept]]="Supervisor",COUNTIFS($J27:$AX27,"*HL*",$J27:$AX27,"&lt;&gt;"&amp;"pHL"),COUNTIFS($J27:$AX27,"*HL*",$J27:$AX27,"&lt;&gt;"&amp;"*pHL*",$J27:$AX27,"&lt;&gt;"&amp;"pB1 HL",$J27:$AX27,"&lt;&gt;"&amp;"pB2 HL")-SUM(COUNTIFS($J27:$AX27,"*HL B1*",$J27:$AX27,"&lt;&gt;"&amp;"pHL B1")*0.5,COUNTIFS($J27:$AX27,"*HL B2*",$J27:$AX27,"&lt;&gt;"&amp;"pHL B2")*0.5,COUNTIFS($J27:$AX27,"*B1 HL*",$J27:$AX27,"&lt;&gt;"&amp;"pB1 HL")*0.5,COUNTIFS($J27:$AX27,"*B2 HL*",$J27:$AX27,"&lt;&gt;"&amp;"pB2 HL")*0.5)))</f>
        <v>0</v>
      </c>
      <c r="G27" s="142">
        <f t="shared" si="0"/>
        <v>0</v>
      </c>
      <c r="H27" s="142">
        <f t="shared" si="1"/>
        <v>0</v>
      </c>
      <c r="I27" s="142">
        <f>IF(Mon_W1[[#This Row],[Employee Name]]="","",IF(Mon_W1[[#This Row],[Dept]]="Supervisor",SUM(COUNTIFS($J27:$AX27,"RTA*",$J27:$AX27,"&lt;&gt;"&amp;"pRTA"),COUNTIFS($J27:$AX27,"*CRTA*",$J27:$AX27,"&lt;&gt;"&amp;"pCRTA")),COUNTIFS($J27:$AX27,"*RNNR*",$J27:$AX27,"&lt;&gt;"&amp;"*pRNNR*",$J27:$AX27,"&lt;&gt;"&amp;"pB1 RNNR",$J27:$AX27,"&lt;&gt;"&amp;"pB2 RNNR")-SUM(COUNTIFS($J27:$AX27,"*RNNR B1*",$J27:$AX27,"&lt;&gt;"&amp;"pRNNR B1")*0.5,COUNTIFS($J27:$AX27,"*RNNR B2*",$J27:$AX27,"&lt;&gt;"&amp;"pRNNR B2")*0.5,COUNTIFS($J27:$AX27,"*B1 RNNR*",$J27:$AX27,"&lt;&gt;"&amp;"pB1 RNNR")*0.5,COUNTIFS($J27:$AX27,"*B2 RNNR*",$J27:$AX27,"&lt;&gt;"&amp;"pB2 RNNR")*0.5)))</f>
        <v>0</v>
      </c>
      <c r="J27" s="184" t="str">
        <f>IFERROR(IF(VLOOKUP(Mon_W1[[#This Row],[Employee Name]],'Base Schedules'!$A$113:$AW$158,9,FALSE)="","",VLOOKUP(Mon_W1[[#This Row],[Employee Name]],'Base Schedules'!$A$113:$AW$158,9,FALSE)),"")</f>
        <v/>
      </c>
      <c r="K27" s="184" t="str">
        <f>IFERROR(IF(VLOOKUP(Mon_W1[[#This Row],[Employee Name]],'Base Schedules'!$A$113:$AW$158,10,FALSE)="","",VLOOKUP(Mon_W1[[#This Row],[Employee Name]],'Base Schedules'!$A$113:$AW$158,10,FALSE)),"")</f>
        <v/>
      </c>
      <c r="L27" s="184" t="str">
        <f>IFERROR(IF(VLOOKUP(Mon_W1[[#This Row],[Employee Name]],'Base Schedules'!$A$113:$AW$158,11,FALSE)="","",VLOOKUP(Mon_W1[[#This Row],[Employee Name]],'Base Schedules'!$A$113:$AW$158,11,FALSE)),"")</f>
        <v/>
      </c>
      <c r="M27" s="184" t="str">
        <f>IFERROR(IF(VLOOKUP(Mon_W1[[#This Row],[Employee Name]],'Base Schedules'!$A$113:$AW$158,12,FALSE)="","",VLOOKUP(Mon_W1[[#This Row],[Employee Name]],'Base Schedules'!$A$113:$AW$158,12,FALSE)),"")</f>
        <v/>
      </c>
      <c r="N27" s="184" t="str">
        <f>IFERROR(IF(VLOOKUP(Mon_W1[[#This Row],[Employee Name]],'Base Schedules'!$A$113:$AW$158,13,FALSE)="","",VLOOKUP(Mon_W1[[#This Row],[Employee Name]],'Base Schedules'!$A$113:$AW$158,13,FALSE)),"")</f>
        <v/>
      </c>
      <c r="O27" s="184" t="str">
        <f>IFERROR(IF(VLOOKUP(Mon_W1[[#This Row],[Employee Name]],'Base Schedules'!$A$113:$AW$158,14,FALSE)="","",VLOOKUP(Mon_W1[[#This Row],[Employee Name]],'Base Schedules'!$A$113:$AW$158,14,FALSE)),"")</f>
        <v/>
      </c>
      <c r="P27" s="184" t="str">
        <f>IFERROR(IF(VLOOKUP(Mon_W1[[#This Row],[Employee Name]],'Base Schedules'!$A$113:$AW$158,15,FALSE)="","",VLOOKUP(Mon_W1[[#This Row],[Employee Name]],'Base Schedules'!$A$113:$AW$158,15,FALSE)),"")</f>
        <v>-</v>
      </c>
      <c r="Q27" s="184" t="str">
        <f>IFERROR(IF(VLOOKUP(Mon_W1[[#This Row],[Employee Name]],'Base Schedules'!$A$113:$AW$158,16,FALSE)="","",VLOOKUP(Mon_W1[[#This Row],[Employee Name]],'Base Schedules'!$A$113:$AW$158,16,FALSE)),"")</f>
        <v>-</v>
      </c>
      <c r="R27" s="184" t="str">
        <f>IFERROR(IF(VLOOKUP(Mon_W1[[#This Row],[Employee Name]],'Base Schedules'!$A$113:$AW$158,17,FALSE)="","",VLOOKUP(Mon_W1[[#This Row],[Employee Name]],'Base Schedules'!$A$113:$AW$158,17,FALSE)),"")</f>
        <v>-</v>
      </c>
      <c r="S27" s="184" t="str">
        <f>IFERROR(IF(VLOOKUP(Mon_W1[[#This Row],[Employee Name]],'Base Schedules'!$A$113:$AW$158,18,FALSE)="","",VLOOKUP(Mon_W1[[#This Row],[Employee Name]],'Base Schedules'!$A$113:$AW$158,18,FALSE)),"")</f>
        <v>-</v>
      </c>
      <c r="T27" s="184" t="str">
        <f>IFERROR(IF(VLOOKUP(Mon_W1[[#This Row],[Employee Name]],'Base Schedules'!$A$113:$AW$158,19,FALSE)="","",VLOOKUP(Mon_W1[[#This Row],[Employee Name]],'Base Schedules'!$A$113:$AW$158,19,FALSE)),"")</f>
        <v>-</v>
      </c>
      <c r="U27" s="184" t="str">
        <f>IFERROR(IF(VLOOKUP(Mon_W1[[#This Row],[Employee Name]],'Base Schedules'!$A$113:$AW$158,20,FALSE)="","",VLOOKUP(Mon_W1[[#This Row],[Employee Name]],'Base Schedules'!$A$113:$AW$158,20,FALSE)),"")</f>
        <v>-</v>
      </c>
      <c r="V27" s="184" t="str">
        <f>IFERROR(IF(VLOOKUP(Mon_W1[[#This Row],[Employee Name]],'Base Schedules'!$A$113:$AW$158,21,FALSE)="","",VLOOKUP(Mon_W1[[#This Row],[Employee Name]],'Base Schedules'!$A$113:$AW$158,21,FALSE)),"")</f>
        <v>-</v>
      </c>
      <c r="W27" s="184" t="str">
        <f>IFERROR(IF(VLOOKUP(Mon_W1[[#This Row],[Employee Name]],'Base Schedules'!$A$113:$AW$158,22,FALSE)="","",VLOOKUP(Mon_W1[[#This Row],[Employee Name]],'Base Schedules'!$A$113:$AW$158,22,FALSE)),"")</f>
        <v>-</v>
      </c>
      <c r="X27" s="184" t="str">
        <f>IFERROR(IF(VLOOKUP(Mon_W1[[#This Row],[Employee Name]],'Base Schedules'!$A$113:$AW$158,23,FALSE)="","",VLOOKUP(Mon_W1[[#This Row],[Employee Name]],'Base Schedules'!$A$113:$AW$158,23,FALSE)),"")</f>
        <v>-</v>
      </c>
      <c r="Y27" s="184" t="str">
        <f>IFERROR(IF(VLOOKUP(Mon_W1[[#This Row],[Employee Name]],'Base Schedules'!$A$113:$AW$158,24,FALSE)="","",VLOOKUP(Mon_W1[[#This Row],[Employee Name]],'Base Schedules'!$A$113:$AW$158,24,FALSE)),"")</f>
        <v>-</v>
      </c>
      <c r="Z27" s="184" t="str">
        <f>IFERROR(IF(VLOOKUP(Mon_W1[[#This Row],[Employee Name]],'Base Schedules'!$A$113:$AW$158,25,FALSE)="","",VLOOKUP(Mon_W1[[#This Row],[Employee Name]],'Base Schedules'!$A$113:$AW$158,25,FALSE)),"")</f>
        <v>-</v>
      </c>
      <c r="AA27" s="184" t="str">
        <f>IFERROR(IF(VLOOKUP(Mon_W1[[#This Row],[Employee Name]],'Base Schedules'!$A$113:$AW$158,26,FALSE)="","",VLOOKUP(Mon_W1[[#This Row],[Employee Name]],'Base Schedules'!$A$113:$AW$158,26,FALSE)),"")</f>
        <v>-</v>
      </c>
      <c r="AB27" s="184" t="str">
        <f>IFERROR(IF(VLOOKUP(Mon_W1[[#This Row],[Employee Name]],'Base Schedules'!$A$113:$AW$158,27,FALSE)="","",VLOOKUP(Mon_W1[[#This Row],[Employee Name]],'Base Schedules'!$A$113:$AW$158,27,FALSE)),"")</f>
        <v>-</v>
      </c>
      <c r="AC27" s="184" t="str">
        <f>IFERROR(IF(VLOOKUP(Mon_W1[[#This Row],[Employee Name]],'Base Schedules'!$A$113:$AW$158,28,FALSE)="","",VLOOKUP(Mon_W1[[#This Row],[Employee Name]],'Base Schedules'!$A$113:$AW$158,28,FALSE)),"")</f>
        <v>Team KO TM</v>
      </c>
      <c r="AD27" s="184" t="str">
        <f>IFERROR(IF(VLOOKUP(Mon_W1[[#This Row],[Employee Name]],'Base Schedules'!$A$113:$AW$158,29,FALSE)="","",VLOOKUP(Mon_W1[[#This Row],[Employee Name]],'Base Schedules'!$A$113:$AW$158,29,FALSE)),"")</f>
        <v>Team KO TM</v>
      </c>
      <c r="AE27" s="184" t="str">
        <f>IFERROR(IF(VLOOKUP(Mon_W1[[#This Row],[Employee Name]],'Base Schedules'!$A$113:$AW$158,30,FALSE)="","",VLOOKUP(Mon_W1[[#This Row],[Employee Name]],'Base Schedules'!$A$113:$AW$158,30,FALSE)),"")</f>
        <v>-</v>
      </c>
      <c r="AF27" s="184" t="str">
        <f>IFERROR(IF(VLOOKUP(Mon_W1[[#This Row],[Employee Name]],'Base Schedules'!$A$113:$AW$158,31,FALSE)="","",VLOOKUP(Mon_W1[[#This Row],[Employee Name]],'Base Schedules'!$A$113:$AW$158,31,FALSE)),"")</f>
        <v>-</v>
      </c>
      <c r="AG27" s="184" t="str">
        <f>IFERROR(IF(VLOOKUP(Mon_W1[[#This Row],[Employee Name]],'Base Schedules'!$A$113:$AW$158,32,FALSE)="","",VLOOKUP(Mon_W1[[#This Row],[Employee Name]],'Base Schedules'!$A$113:$AW$158,32,FALSE)),"")</f>
        <v>-</v>
      </c>
      <c r="AH27" s="184" t="str">
        <f>IFERROR(IF(VLOOKUP(Mon_W1[[#This Row],[Employee Name]],'Base Schedules'!$A$113:$AW$158,33,FALSE)="","",VLOOKUP(Mon_W1[[#This Row],[Employee Name]],'Base Schedules'!$A$113:$AW$158,33,FALSE)),"")</f>
        <v/>
      </c>
      <c r="AI27" s="184" t="str">
        <f>IFERROR(IF(VLOOKUP(Mon_W1[[#This Row],[Employee Name]],'Base Schedules'!$A$113:$AW$158,34,FALSE)="","",VLOOKUP(Mon_W1[[#This Row],[Employee Name]],'Base Schedules'!$A$113:$AW$158,34,FALSE)),"")</f>
        <v/>
      </c>
      <c r="AJ27" s="184" t="str">
        <f>IFERROR(IF(VLOOKUP(Mon_W1[[#This Row],[Employee Name]],'Base Schedules'!$A$113:$AW$158,35,FALSE)="","",VLOOKUP(Mon_W1[[#This Row],[Employee Name]],'Base Schedules'!$A$113:$AW$158,35,FALSE)),"")</f>
        <v/>
      </c>
      <c r="AK27" s="184" t="str">
        <f>IFERROR(IF(VLOOKUP(Mon_W1[[#This Row],[Employee Name]],'Base Schedules'!$A$113:$AW$158,36,FALSE)="","",VLOOKUP(Mon_W1[[#This Row],[Employee Name]],'Base Schedules'!$A$113:$AW$158,36,FALSE)),"")</f>
        <v/>
      </c>
      <c r="AL27" s="184" t="str">
        <f>IFERROR(IF(VLOOKUP(Mon_W1[[#This Row],[Employee Name]],'Base Schedules'!$A$113:$AW$158,37,FALSE)="","",VLOOKUP(Mon_W1[[#This Row],[Employee Name]],'Base Schedules'!$A$113:$AW$158,37,FALSE)),"")</f>
        <v/>
      </c>
      <c r="AM27" s="184" t="str">
        <f>IFERROR(IF(VLOOKUP(Mon_W1[[#This Row],[Employee Name]],'Base Schedules'!$A$113:$AW$158,38,FALSE)="","",VLOOKUP(Mon_W1[[#This Row],[Employee Name]],'Base Schedules'!$A$113:$AW$158,38,FALSE)),"")</f>
        <v/>
      </c>
      <c r="AN27" s="184" t="str">
        <f>IFERROR(IF(VLOOKUP(Mon_W1[[#This Row],[Employee Name]],'Base Schedules'!$A$113:$AW$158,39,FALSE)="","",VLOOKUP(Mon_W1[[#This Row],[Employee Name]],'Base Schedules'!$A$113:$AW$158,39,FALSE)),"")</f>
        <v/>
      </c>
      <c r="AO27" s="184" t="str">
        <f>IFERROR(IF(VLOOKUP(Mon_W1[[#This Row],[Employee Name]],'Base Schedules'!$A$113:$AW$158,40,FALSE)="","",VLOOKUP(Mon_W1[[#This Row],[Employee Name]],'Base Schedules'!$A$113:$AW$158,40,FALSE)),"")</f>
        <v/>
      </c>
      <c r="AP27" s="184" t="str">
        <f>IFERROR(IF(VLOOKUP(Mon_W1[[#This Row],[Employee Name]],'Base Schedules'!$A$113:$AW$158,41,FALSE)="","",VLOOKUP(Mon_W1[[#This Row],[Employee Name]],'Base Schedules'!$A$113:$AW$158,41,FALSE)),"")</f>
        <v/>
      </c>
      <c r="AQ27" s="184" t="str">
        <f>IFERROR(IF(VLOOKUP(Mon_W1[[#This Row],[Employee Name]],'Base Schedules'!$A$113:$AW$158,42,FALSE)="","",VLOOKUP(Mon_W1[[#This Row],[Employee Name]],'Base Schedules'!$A$113:$AW$158,42,FALSE)),"")</f>
        <v/>
      </c>
      <c r="AR27" s="184" t="str">
        <f>IFERROR(IF(VLOOKUP(Mon_W1[[#This Row],[Employee Name]],'Base Schedules'!$A$113:$AW$158,43,FALSE)="","",VLOOKUP(Mon_W1[[#This Row],[Employee Name]],'Base Schedules'!$A$113:$AW$158,43,FALSE)),"")</f>
        <v/>
      </c>
      <c r="AS27" s="184" t="str">
        <f>IFERROR(IF(VLOOKUP(Mon_W1[[#This Row],[Employee Name]],'Base Schedules'!$A$113:$AW$158,44,FALSE)="","",VLOOKUP(Mon_W1[[#This Row],[Employee Name]],'Base Schedules'!$A$113:$AW$158,44,FALSE)),"")</f>
        <v/>
      </c>
      <c r="AT27" s="184" t="str">
        <f>IFERROR(IF(VLOOKUP(Mon_W1[[#This Row],[Employee Name]],'Base Schedules'!$A$113:$AW$158,45,FALSE)="","",VLOOKUP(Mon_W1[[#This Row],[Employee Name]],'Base Schedules'!$A$113:$AW$158,45,FALSE)),"")</f>
        <v/>
      </c>
      <c r="AU27" s="184" t="str">
        <f>IFERROR(IF(VLOOKUP(Mon_W1[[#This Row],[Employee Name]],'Base Schedules'!$A$113:$AW$158,46,FALSE)="","",VLOOKUP(Mon_W1[[#This Row],[Employee Name]],'Base Schedules'!$A$113:$AW$158,46,FALSE)),"")</f>
        <v/>
      </c>
      <c r="AV27" s="184" t="str">
        <f>IFERROR(IF(VLOOKUP(Mon_W1[[#This Row],[Employee Name]],'Base Schedules'!$A$113:$AW$158,47,FALSE)="","",VLOOKUP(Mon_W1[[#This Row],[Employee Name]],'Base Schedules'!$A$113:$AW$158,47,FALSE)),"")</f>
        <v/>
      </c>
      <c r="AW27" s="184" t="str">
        <f>IFERROR(IF(VLOOKUP(Mon_W1[[#This Row],[Employee Name]],'Base Schedules'!$A$113:$AW$158,48,FALSE)="","",VLOOKUP(Mon_W1[[#This Row],[Employee Name]],'Base Schedules'!$A$113:$AW$158,48,FALSE)),"")</f>
        <v/>
      </c>
      <c r="AX27" s="184" t="str">
        <f>IFERROR(IF(VLOOKUP(Mon_W1[[#This Row],[Employee Name]],'Base Schedules'!$A$113:$AW$158,49,FALSE)="","",VLOOKUP(Mon_W1[[#This Row],[Employee Name]],'Base Schedules'!$A$113:$AW$158,49,FALSE)),"")</f>
        <v/>
      </c>
      <c r="AY27" s="164" t="str">
        <f t="shared" si="2"/>
        <v>Olson, Dan</v>
      </c>
    </row>
    <row r="28" spans="1:51" s="44" customFormat="1" ht="12" x14ac:dyDescent="0.2">
      <c r="A28" s="39" t="str">
        <f>IF(B28="","",INDEX(TeamList[],MATCH($B28,TeamList[[Employee Name]:[Employee Name]],0),MATCH("Manager",TeamList[#Headers],0)))</f>
        <v>Ahmed Hassan, Zahra</v>
      </c>
      <c r="B28" s="201" t="s">
        <v>53</v>
      </c>
      <c r="C28" s="257" t="str">
        <f>_xlfn.IFNA(VLOOKUP(Mon_W1[[#This Row],[Employee Name]],'Base Schedules'!A:B,2,FALSE),"")</f>
        <v>Supervisor</v>
      </c>
      <c r="D28" s="274">
        <f>_xlfn.IFNA(VLOOKUP(Mon_W1[[#This Row],[Employee Name]],'Base Schedules'!A:C,3,FALSE),"")</f>
        <v>830</v>
      </c>
      <c r="E28" s="274">
        <f>_xlfn.IFNA(VLOOKUP(Mon_W1[[#This Row],[Employee Name]],'Base Schedules'!A:D,4,FALSE),"")</f>
        <v>1730</v>
      </c>
      <c r="F28" s="142">
        <f>IF(Mon_W1[[#This Row],[Employee Name]]="","",IF(Mon_W1[[#This Row],[Dept]]="Supervisor",COUNTIFS($J28:$AX28,"*HL*",$J28:$AX28,"&lt;&gt;"&amp;"pHL"),COUNTIFS($J28:$AX28,"*HL*",$J28:$AX28,"&lt;&gt;"&amp;"*pHL*",$J28:$AX28,"&lt;&gt;"&amp;"pB1 HL",$J28:$AX28,"&lt;&gt;"&amp;"pB2 HL")-SUM(COUNTIFS($J28:$AX28,"*HL B1*",$J28:$AX28,"&lt;&gt;"&amp;"pHL B1")*0.5,COUNTIFS($J28:$AX28,"*HL B2*",$J28:$AX28,"&lt;&gt;"&amp;"pHL B2")*0.5,COUNTIFS($J28:$AX28,"*B1 HL*",$J28:$AX28,"&lt;&gt;"&amp;"pB1 HL")*0.5,COUNTIFS($J28:$AX28,"*B2 HL*",$J28:$AX28,"&lt;&gt;"&amp;"pB2 HL")*0.5)))</f>
        <v>0</v>
      </c>
      <c r="G28" s="142">
        <f t="shared" si="0"/>
        <v>0</v>
      </c>
      <c r="H28" s="142">
        <f t="shared" si="1"/>
        <v>0</v>
      </c>
      <c r="I28" s="142">
        <f>IF(Mon_W1[[#This Row],[Employee Name]]="","",IF(Mon_W1[[#This Row],[Dept]]="Supervisor",SUM(COUNTIFS($J28:$AX28,"RTA*",$J28:$AX28,"&lt;&gt;"&amp;"pRTA"),COUNTIFS($J28:$AX28,"*CRTA*",$J28:$AX28,"&lt;&gt;"&amp;"pCRTA")),COUNTIFS($J28:$AX28,"*RNNR*",$J28:$AX28,"&lt;&gt;"&amp;"*pRNNR*",$J28:$AX28,"&lt;&gt;"&amp;"pB1 RNNR",$J28:$AX28,"&lt;&gt;"&amp;"pB2 RNNR")-SUM(COUNTIFS($J28:$AX28,"*RNNR B1*",$J28:$AX28,"&lt;&gt;"&amp;"pRNNR B1")*0.5,COUNTIFS($J28:$AX28,"*RNNR B2*",$J28:$AX28,"&lt;&gt;"&amp;"pRNNR B2")*0.5,COUNTIFS($J28:$AX28,"*B1 RNNR*",$J28:$AX28,"&lt;&gt;"&amp;"pB1 RNNR")*0.5,COUNTIFS($J28:$AX28,"*B2 RNNR*",$J28:$AX28,"&lt;&gt;"&amp;"pB2 RNNR")*0.5)))</f>
        <v>0</v>
      </c>
      <c r="J28" s="184" t="str">
        <f>IFERROR(IF(VLOOKUP(Mon_W1[[#This Row],[Employee Name]],'Base Schedules'!$A$113:$AW$158,9,FALSE)="","",VLOOKUP(Mon_W1[[#This Row],[Employee Name]],'Base Schedules'!$A$113:$AW$158,9,FALSE)),"")</f>
        <v/>
      </c>
      <c r="K28" s="184" t="str">
        <f>IFERROR(IF(VLOOKUP(Mon_W1[[#This Row],[Employee Name]],'Base Schedules'!$A$113:$AW$158,10,FALSE)="","",VLOOKUP(Mon_W1[[#This Row],[Employee Name]],'Base Schedules'!$A$113:$AW$158,10,FALSE)),"")</f>
        <v/>
      </c>
      <c r="L28" s="184" t="str">
        <f>IFERROR(IF(VLOOKUP(Mon_W1[[#This Row],[Employee Name]],'Base Schedules'!$A$113:$AW$158,11,FALSE)="","",VLOOKUP(Mon_W1[[#This Row],[Employee Name]],'Base Schedules'!$A$113:$AW$158,11,FALSE)),"")</f>
        <v/>
      </c>
      <c r="M28" s="184" t="str">
        <f>IFERROR(IF(VLOOKUP(Mon_W1[[#This Row],[Employee Name]],'Base Schedules'!$A$113:$AW$158,12,FALSE)="","",VLOOKUP(Mon_W1[[#This Row],[Employee Name]],'Base Schedules'!$A$113:$AW$158,12,FALSE)),"")</f>
        <v/>
      </c>
      <c r="N28" s="184" t="str">
        <f>IFERROR(IF(VLOOKUP(Mon_W1[[#This Row],[Employee Name]],'Base Schedules'!$A$113:$AW$158,13,FALSE)="","",VLOOKUP(Mon_W1[[#This Row],[Employee Name]],'Base Schedules'!$A$113:$AW$158,13,FALSE)),"")</f>
        <v/>
      </c>
      <c r="O28" s="184" t="str">
        <f>IFERROR(IF(VLOOKUP(Mon_W1[[#This Row],[Employee Name]],'Base Schedules'!$A$113:$AW$158,14,FALSE)="","",VLOOKUP(Mon_W1[[#This Row],[Employee Name]],'Base Schedules'!$A$113:$AW$158,14,FALSE)),"")</f>
        <v/>
      </c>
      <c r="P28" s="184" t="str">
        <f>IFERROR(IF(VLOOKUP(Mon_W1[[#This Row],[Employee Name]],'Base Schedules'!$A$113:$AW$158,15,FALSE)="","",VLOOKUP(Mon_W1[[#This Row],[Employee Name]],'Base Schedules'!$A$113:$AW$158,15,FALSE)),"")</f>
        <v/>
      </c>
      <c r="Q28" s="184" t="str">
        <f>IFERROR(IF(VLOOKUP(Mon_W1[[#This Row],[Employee Name]],'Base Schedules'!$A$113:$AW$158,16,FALSE)="","",VLOOKUP(Mon_W1[[#This Row],[Employee Name]],'Base Schedules'!$A$113:$AW$158,16,FALSE)),"")</f>
        <v>-</v>
      </c>
      <c r="R28" s="184" t="str">
        <f>IFERROR(IF(VLOOKUP(Mon_W1[[#This Row],[Employee Name]],'Base Schedules'!$A$113:$AW$158,17,FALSE)="","",VLOOKUP(Mon_W1[[#This Row],[Employee Name]],'Base Schedules'!$A$113:$AW$158,17,FALSE)),"")</f>
        <v>-</v>
      </c>
      <c r="S28" s="184" t="str">
        <f>IFERROR(IF(VLOOKUP(Mon_W1[[#This Row],[Employee Name]],'Base Schedules'!$A$113:$AW$158,18,FALSE)="","",VLOOKUP(Mon_W1[[#This Row],[Employee Name]],'Base Schedules'!$A$113:$AW$158,18,FALSE)),"")</f>
        <v>-</v>
      </c>
      <c r="T28" s="184" t="str">
        <f>IFERROR(IF(VLOOKUP(Mon_W1[[#This Row],[Employee Name]],'Base Schedules'!$A$113:$AW$158,19,FALSE)="","",VLOOKUP(Mon_W1[[#This Row],[Employee Name]],'Base Schedules'!$A$113:$AW$158,19,FALSE)),"")</f>
        <v>-</v>
      </c>
      <c r="U28" s="184" t="str">
        <f>IFERROR(IF(VLOOKUP(Mon_W1[[#This Row],[Employee Name]],'Base Schedules'!$A$113:$AW$158,20,FALSE)="","",VLOOKUP(Mon_W1[[#This Row],[Employee Name]],'Base Schedules'!$A$113:$AW$158,20,FALSE)),"")</f>
        <v>-</v>
      </c>
      <c r="V28" s="184" t="str">
        <f>IFERROR(IF(VLOOKUP(Mon_W1[[#This Row],[Employee Name]],'Base Schedules'!$A$113:$AW$158,21,FALSE)="","",VLOOKUP(Mon_W1[[#This Row],[Employee Name]],'Base Schedules'!$A$113:$AW$158,21,FALSE)),"")</f>
        <v>-</v>
      </c>
      <c r="W28" s="184" t="str">
        <f>IFERROR(IF(VLOOKUP(Mon_W1[[#This Row],[Employee Name]],'Base Schedules'!$A$113:$AW$158,22,FALSE)="","",VLOOKUP(Mon_W1[[#This Row],[Employee Name]],'Base Schedules'!$A$113:$AW$158,22,FALSE)),"")</f>
        <v>-</v>
      </c>
      <c r="X28" s="184" t="str">
        <f>IFERROR(IF(VLOOKUP(Mon_W1[[#This Row],[Employee Name]],'Base Schedules'!$A$113:$AW$158,23,FALSE)="","",VLOOKUP(Mon_W1[[#This Row],[Employee Name]],'Base Schedules'!$A$113:$AW$158,23,FALSE)),"")</f>
        <v>-</v>
      </c>
      <c r="Y28" s="184" t="str">
        <f>IFERROR(IF(VLOOKUP(Mon_W1[[#This Row],[Employee Name]],'Base Schedules'!$A$113:$AW$158,24,FALSE)="","",VLOOKUP(Mon_W1[[#This Row],[Employee Name]],'Base Schedules'!$A$113:$AW$158,24,FALSE)),"")</f>
        <v>-</v>
      </c>
      <c r="Z28" s="184" t="str">
        <f>IFERROR(IF(VLOOKUP(Mon_W1[[#This Row],[Employee Name]],'Base Schedules'!$A$113:$AW$158,25,FALSE)="","",VLOOKUP(Mon_W1[[#This Row],[Employee Name]],'Base Schedules'!$A$113:$AW$158,25,FALSE)),"")</f>
        <v>-</v>
      </c>
      <c r="AA28" s="184" t="str">
        <f>IFERROR(IF(VLOOKUP(Mon_W1[[#This Row],[Employee Name]],'Base Schedules'!$A$113:$AW$158,26,FALSE)="","",VLOOKUP(Mon_W1[[#This Row],[Employee Name]],'Base Schedules'!$A$113:$AW$158,26,FALSE)),"")</f>
        <v>-</v>
      </c>
      <c r="AB28" s="184" t="str">
        <f>IFERROR(IF(VLOOKUP(Mon_W1[[#This Row],[Employee Name]],'Base Schedules'!$A$113:$AW$158,27,FALSE)="","",VLOOKUP(Mon_W1[[#This Row],[Employee Name]],'Base Schedules'!$A$113:$AW$158,27,FALSE)),"")</f>
        <v>-</v>
      </c>
      <c r="AC28" s="184" t="str">
        <f>IFERROR(IF(VLOOKUP(Mon_W1[[#This Row],[Employee Name]],'Base Schedules'!$A$113:$AW$158,28,FALSE)="","",VLOOKUP(Mon_W1[[#This Row],[Employee Name]],'Base Schedules'!$A$113:$AW$158,28,FALSE)),"")</f>
        <v>-</v>
      </c>
      <c r="AD28" s="184" t="str">
        <f>IFERROR(IF(VLOOKUP(Mon_W1[[#This Row],[Employee Name]],'Base Schedules'!$A$113:$AW$158,29,FALSE)="","",VLOOKUP(Mon_W1[[#This Row],[Employee Name]],'Base Schedules'!$A$113:$AW$158,29,FALSE)),"")</f>
        <v>-</v>
      </c>
      <c r="AE28" s="184" t="str">
        <f>IFERROR(IF(VLOOKUP(Mon_W1[[#This Row],[Employee Name]],'Base Schedules'!$A$113:$AW$158,30,FALSE)="","",VLOOKUP(Mon_W1[[#This Row],[Employee Name]],'Base Schedules'!$A$113:$AW$158,30,FALSE)),"")</f>
        <v>-</v>
      </c>
      <c r="AF28" s="184" t="str">
        <f>IFERROR(IF(VLOOKUP(Mon_W1[[#This Row],[Employee Name]],'Base Schedules'!$A$113:$AW$158,31,FALSE)="","",VLOOKUP(Mon_W1[[#This Row],[Employee Name]],'Base Schedules'!$A$113:$AW$158,31,FALSE)),"")</f>
        <v>-</v>
      </c>
      <c r="AG28" s="184" t="str">
        <f>IFERROR(IF(VLOOKUP(Mon_W1[[#This Row],[Employee Name]],'Base Schedules'!$A$113:$AW$158,32,FALSE)="","",VLOOKUP(Mon_W1[[#This Row],[Employee Name]],'Base Schedules'!$A$113:$AW$158,32,FALSE)),"")</f>
        <v>-</v>
      </c>
      <c r="AH28" s="184" t="str">
        <f>IFERROR(IF(VLOOKUP(Mon_W1[[#This Row],[Employee Name]],'Base Schedules'!$A$113:$AW$158,33,FALSE)="","",VLOOKUP(Mon_W1[[#This Row],[Employee Name]],'Base Schedules'!$A$113:$AW$158,33,FALSE)),"")</f>
        <v>-</v>
      </c>
      <c r="AI28" s="184" t="str">
        <f>IFERROR(IF(VLOOKUP(Mon_W1[[#This Row],[Employee Name]],'Base Schedules'!$A$113:$AW$158,34,FALSE)="","",VLOOKUP(Mon_W1[[#This Row],[Employee Name]],'Base Schedules'!$A$113:$AW$158,34,FALSE)),"")</f>
        <v/>
      </c>
      <c r="AJ28" s="184" t="str">
        <f>IFERROR(IF(VLOOKUP(Mon_W1[[#This Row],[Employee Name]],'Base Schedules'!$A$113:$AW$158,35,FALSE)="","",VLOOKUP(Mon_W1[[#This Row],[Employee Name]],'Base Schedules'!$A$113:$AW$158,35,FALSE)),"")</f>
        <v/>
      </c>
      <c r="AK28" s="184" t="str">
        <f>IFERROR(IF(VLOOKUP(Mon_W1[[#This Row],[Employee Name]],'Base Schedules'!$A$113:$AW$158,36,FALSE)="","",VLOOKUP(Mon_W1[[#This Row],[Employee Name]],'Base Schedules'!$A$113:$AW$158,36,FALSE)),"")</f>
        <v/>
      </c>
      <c r="AL28" s="184" t="str">
        <f>IFERROR(IF(VLOOKUP(Mon_W1[[#This Row],[Employee Name]],'Base Schedules'!$A$113:$AW$158,37,FALSE)="","",VLOOKUP(Mon_W1[[#This Row],[Employee Name]],'Base Schedules'!$A$113:$AW$158,37,FALSE)),"")</f>
        <v/>
      </c>
      <c r="AM28" s="184" t="str">
        <f>IFERROR(IF(VLOOKUP(Mon_W1[[#This Row],[Employee Name]],'Base Schedules'!$A$113:$AW$158,38,FALSE)="","",VLOOKUP(Mon_W1[[#This Row],[Employee Name]],'Base Schedules'!$A$113:$AW$158,38,FALSE)),"")</f>
        <v/>
      </c>
      <c r="AN28" s="184" t="str">
        <f>IFERROR(IF(VLOOKUP(Mon_W1[[#This Row],[Employee Name]],'Base Schedules'!$A$113:$AW$158,39,FALSE)="","",VLOOKUP(Mon_W1[[#This Row],[Employee Name]],'Base Schedules'!$A$113:$AW$158,39,FALSE)),"")</f>
        <v/>
      </c>
      <c r="AO28" s="184" t="str">
        <f>IFERROR(IF(VLOOKUP(Mon_W1[[#This Row],[Employee Name]],'Base Schedules'!$A$113:$AW$158,40,FALSE)="","",VLOOKUP(Mon_W1[[#This Row],[Employee Name]],'Base Schedules'!$A$113:$AW$158,40,FALSE)),"")</f>
        <v/>
      </c>
      <c r="AP28" s="184" t="str">
        <f>IFERROR(IF(VLOOKUP(Mon_W1[[#This Row],[Employee Name]],'Base Schedules'!$A$113:$AW$158,41,FALSE)="","",VLOOKUP(Mon_W1[[#This Row],[Employee Name]],'Base Schedules'!$A$113:$AW$158,41,FALSE)),"")</f>
        <v/>
      </c>
      <c r="AQ28" s="184" t="str">
        <f>IFERROR(IF(VLOOKUP(Mon_W1[[#This Row],[Employee Name]],'Base Schedules'!$A$113:$AW$158,42,FALSE)="","",VLOOKUP(Mon_W1[[#This Row],[Employee Name]],'Base Schedules'!$A$113:$AW$158,42,FALSE)),"")</f>
        <v/>
      </c>
      <c r="AR28" s="184" t="str">
        <f>IFERROR(IF(VLOOKUP(Mon_W1[[#This Row],[Employee Name]],'Base Schedules'!$A$113:$AW$158,43,FALSE)="","",VLOOKUP(Mon_W1[[#This Row],[Employee Name]],'Base Schedules'!$A$113:$AW$158,43,FALSE)),"")</f>
        <v/>
      </c>
      <c r="AS28" s="184" t="str">
        <f>IFERROR(IF(VLOOKUP(Mon_W1[[#This Row],[Employee Name]],'Base Schedules'!$A$113:$AW$158,44,FALSE)="","",VLOOKUP(Mon_W1[[#This Row],[Employee Name]],'Base Schedules'!$A$113:$AW$158,44,FALSE)),"")</f>
        <v/>
      </c>
      <c r="AT28" s="184" t="str">
        <f>IFERROR(IF(VLOOKUP(Mon_W1[[#This Row],[Employee Name]],'Base Schedules'!$A$113:$AW$158,45,FALSE)="","",VLOOKUP(Mon_W1[[#This Row],[Employee Name]],'Base Schedules'!$A$113:$AW$158,45,FALSE)),"")</f>
        <v/>
      </c>
      <c r="AU28" s="184" t="str">
        <f>IFERROR(IF(VLOOKUP(Mon_W1[[#This Row],[Employee Name]],'Base Schedules'!$A$113:$AW$158,46,FALSE)="","",VLOOKUP(Mon_W1[[#This Row],[Employee Name]],'Base Schedules'!$A$113:$AW$158,46,FALSE)),"")</f>
        <v/>
      </c>
      <c r="AV28" s="184" t="str">
        <f>IFERROR(IF(VLOOKUP(Mon_W1[[#This Row],[Employee Name]],'Base Schedules'!$A$113:$AW$158,47,FALSE)="","",VLOOKUP(Mon_W1[[#This Row],[Employee Name]],'Base Schedules'!$A$113:$AW$158,47,FALSE)),"")</f>
        <v/>
      </c>
      <c r="AW28" s="184" t="str">
        <f>IFERROR(IF(VLOOKUP(Mon_W1[[#This Row],[Employee Name]],'Base Schedules'!$A$113:$AW$158,48,FALSE)="","",VLOOKUP(Mon_W1[[#This Row],[Employee Name]],'Base Schedules'!$A$113:$AW$158,48,FALSE)),"")</f>
        <v/>
      </c>
      <c r="AX28" s="184" t="str">
        <f>IFERROR(IF(VLOOKUP(Mon_W1[[#This Row],[Employee Name]],'Base Schedules'!$A$113:$AW$158,49,FALSE)="","",VLOOKUP(Mon_W1[[#This Row],[Employee Name]],'Base Schedules'!$A$113:$AW$158,49,FALSE)),"")</f>
        <v/>
      </c>
      <c r="AY28" s="164" t="str">
        <f t="shared" si="2"/>
        <v>Stevens, Amanda</v>
      </c>
    </row>
    <row r="29" spans="1:51" s="44" customFormat="1" ht="12" x14ac:dyDescent="0.2">
      <c r="A29" s="39" t="str">
        <f>IF(B29="","",INDEX(TeamList[],MATCH($B29,TeamList[[Employee Name]:[Employee Name]],0),MATCH("Manager",TeamList[#Headers],0)))</f>
        <v>Ahmed Hassan, Zahra</v>
      </c>
      <c r="B29" s="331" t="s">
        <v>27</v>
      </c>
      <c r="C29" s="257" t="str">
        <f>_xlfn.IFNA(VLOOKUP(Mon_W1[[#This Row],[Employee Name]],'Base Schedules'!A:B,2,FALSE),"")</f>
        <v>Supervisor</v>
      </c>
      <c r="D29" s="274">
        <f>_xlfn.IFNA(VLOOKUP(Mon_W1[[#This Row],[Employee Name]],'Base Schedules'!A:C,3,FALSE),"")</f>
        <v>930</v>
      </c>
      <c r="E29" s="274">
        <f>_xlfn.IFNA(VLOOKUP(Mon_W1[[#This Row],[Employee Name]],'Base Schedules'!A:D,4,FALSE),"")</f>
        <v>1830</v>
      </c>
      <c r="F29" s="142">
        <f>IF(Mon_W1[[#This Row],[Employee Name]]="","",IF(Mon_W1[[#This Row],[Dept]]="Supervisor",COUNTIFS($J29:$AX29,"*HL*",$J29:$AX29,"&lt;&gt;"&amp;"pHL"),COUNTIFS($J29:$AX29,"*HL*",$J29:$AX29,"&lt;&gt;"&amp;"*pHL*",$J29:$AX29,"&lt;&gt;"&amp;"pB1 HL",$J29:$AX29,"&lt;&gt;"&amp;"pB2 HL")-SUM(COUNTIFS($J29:$AX29,"*HL B1*",$J29:$AX29,"&lt;&gt;"&amp;"pHL B1")*0.5,COUNTIFS($J29:$AX29,"*HL B2*",$J29:$AX29,"&lt;&gt;"&amp;"pHL B2")*0.5,COUNTIFS($J29:$AX29,"*B1 HL*",$J29:$AX29,"&lt;&gt;"&amp;"pB1 HL")*0.5,COUNTIFS($J29:$AX29,"*B2 HL*",$J29:$AX29,"&lt;&gt;"&amp;"pB2 HL")*0.5)))</f>
        <v>0</v>
      </c>
      <c r="G29" s="142">
        <f t="shared" si="0"/>
        <v>0</v>
      </c>
      <c r="H29" s="142">
        <f t="shared" si="1"/>
        <v>0</v>
      </c>
      <c r="I29" s="142">
        <f>IF(Mon_W1[[#This Row],[Employee Name]]="","",IF(Mon_W1[[#This Row],[Dept]]="Supervisor",SUM(COUNTIFS($J29:$AX29,"RTA*",$J29:$AX29,"&lt;&gt;"&amp;"pRTA"),COUNTIFS($J29:$AX29,"*CRTA*",$J29:$AX29,"&lt;&gt;"&amp;"pCRTA")),COUNTIFS($J29:$AX29,"*RNNR*",$J29:$AX29,"&lt;&gt;"&amp;"*pRNNR*",$J29:$AX29,"&lt;&gt;"&amp;"pB1 RNNR",$J29:$AX29,"&lt;&gt;"&amp;"pB2 RNNR")-SUM(COUNTIFS($J29:$AX29,"*RNNR B1*",$J29:$AX29,"&lt;&gt;"&amp;"pRNNR B1")*0.5,COUNTIFS($J29:$AX29,"*RNNR B2*",$J29:$AX29,"&lt;&gt;"&amp;"pRNNR B2")*0.5,COUNTIFS($J29:$AX29,"*B1 RNNR*",$J29:$AX29,"&lt;&gt;"&amp;"pB1 RNNR")*0.5,COUNTIFS($J29:$AX29,"*B2 RNNR*",$J29:$AX29,"&lt;&gt;"&amp;"pB2 RNNR")*0.5)))</f>
        <v>0</v>
      </c>
      <c r="J29" s="184" t="str">
        <f>IFERROR(IF(VLOOKUP(Mon_W1[[#This Row],[Employee Name]],'Base Schedules'!$A$113:$AW$158,9,FALSE)="","",VLOOKUP(Mon_W1[[#This Row],[Employee Name]],'Base Schedules'!$A$113:$AW$158,9,FALSE)),"")</f>
        <v/>
      </c>
      <c r="K29" s="184" t="str">
        <f>IFERROR(IF(VLOOKUP(Mon_W1[[#This Row],[Employee Name]],'Base Schedules'!$A$113:$AW$158,10,FALSE)="","",VLOOKUP(Mon_W1[[#This Row],[Employee Name]],'Base Schedules'!$A$113:$AW$158,10,FALSE)),"")</f>
        <v/>
      </c>
      <c r="L29" s="184" t="str">
        <f>IFERROR(IF(VLOOKUP(Mon_W1[[#This Row],[Employee Name]],'Base Schedules'!$A$113:$AW$158,11,FALSE)="","",VLOOKUP(Mon_W1[[#This Row],[Employee Name]],'Base Schedules'!$A$113:$AW$158,11,FALSE)),"")</f>
        <v/>
      </c>
      <c r="M29" s="184" t="str">
        <f>IFERROR(IF(VLOOKUP(Mon_W1[[#This Row],[Employee Name]],'Base Schedules'!$A$113:$AW$158,12,FALSE)="","",VLOOKUP(Mon_W1[[#This Row],[Employee Name]],'Base Schedules'!$A$113:$AW$158,12,FALSE)),"")</f>
        <v/>
      </c>
      <c r="N29" s="184" t="str">
        <f>IFERROR(IF(VLOOKUP(Mon_W1[[#This Row],[Employee Name]],'Base Schedules'!$A$113:$AW$158,13,FALSE)="","",VLOOKUP(Mon_W1[[#This Row],[Employee Name]],'Base Schedules'!$A$113:$AW$158,13,FALSE)),"")</f>
        <v/>
      </c>
      <c r="O29" s="184" t="str">
        <f>IFERROR(IF(VLOOKUP(Mon_W1[[#This Row],[Employee Name]],'Base Schedules'!$A$113:$AW$158,14,FALSE)="","",VLOOKUP(Mon_W1[[#This Row],[Employee Name]],'Base Schedules'!$A$113:$AW$158,14,FALSE)),"")</f>
        <v/>
      </c>
      <c r="P29" s="184" t="str">
        <f>IFERROR(IF(VLOOKUP(Mon_W1[[#This Row],[Employee Name]],'Base Schedules'!$A$113:$AW$158,15,FALSE)="","",VLOOKUP(Mon_W1[[#This Row],[Employee Name]],'Base Schedules'!$A$113:$AW$158,15,FALSE)),"")</f>
        <v/>
      </c>
      <c r="Q29" s="184" t="str">
        <f>IFERROR(IF(VLOOKUP(Mon_W1[[#This Row],[Employee Name]],'Base Schedules'!$A$113:$AW$158,16,FALSE)="","",VLOOKUP(Mon_W1[[#This Row],[Employee Name]],'Base Schedules'!$A$113:$AW$158,16,FALSE)),"")</f>
        <v/>
      </c>
      <c r="R29" s="184" t="str">
        <f>IFERROR(IF(VLOOKUP(Mon_W1[[#This Row],[Employee Name]],'Base Schedules'!$A$113:$AW$158,17,FALSE)="","",VLOOKUP(Mon_W1[[#This Row],[Employee Name]],'Base Schedules'!$A$113:$AW$158,17,FALSE)),"")</f>
        <v/>
      </c>
      <c r="S29" s="184" t="str">
        <f>IFERROR(IF(VLOOKUP(Mon_W1[[#This Row],[Employee Name]],'Base Schedules'!$A$113:$AW$158,18,FALSE)="","",VLOOKUP(Mon_W1[[#This Row],[Employee Name]],'Base Schedules'!$A$113:$AW$158,18,FALSE)),"")</f>
        <v>-</v>
      </c>
      <c r="T29" s="184" t="str">
        <f>IFERROR(IF(VLOOKUP(Mon_W1[[#This Row],[Employee Name]],'Base Schedules'!$A$113:$AW$158,19,FALSE)="","",VLOOKUP(Mon_W1[[#This Row],[Employee Name]],'Base Schedules'!$A$113:$AW$158,19,FALSE)),"")</f>
        <v>-</v>
      </c>
      <c r="U29" s="184" t="str">
        <f>IFERROR(IF(VLOOKUP(Mon_W1[[#This Row],[Employee Name]],'Base Schedules'!$A$113:$AW$158,20,FALSE)="","",VLOOKUP(Mon_W1[[#This Row],[Employee Name]],'Base Schedules'!$A$113:$AW$158,20,FALSE)),"")</f>
        <v>-</v>
      </c>
      <c r="V29" s="184" t="str">
        <f>IFERROR(IF(VLOOKUP(Mon_W1[[#This Row],[Employee Name]],'Base Schedules'!$A$113:$AW$158,21,FALSE)="","",VLOOKUP(Mon_W1[[#This Row],[Employee Name]],'Base Schedules'!$A$113:$AW$158,21,FALSE)),"")</f>
        <v>-</v>
      </c>
      <c r="W29" s="184" t="str">
        <f>IFERROR(IF(VLOOKUP(Mon_W1[[#This Row],[Employee Name]],'Base Schedules'!$A$113:$AW$158,22,FALSE)="","",VLOOKUP(Mon_W1[[#This Row],[Employee Name]],'Base Schedules'!$A$113:$AW$158,22,FALSE)),"")</f>
        <v>-</v>
      </c>
      <c r="X29" s="184" t="str">
        <f>IFERROR(IF(VLOOKUP(Mon_W1[[#This Row],[Employee Name]],'Base Schedules'!$A$113:$AW$158,23,FALSE)="","",VLOOKUP(Mon_W1[[#This Row],[Employee Name]],'Base Schedules'!$A$113:$AW$158,23,FALSE)),"")</f>
        <v>-</v>
      </c>
      <c r="Y29" s="184" t="str">
        <f>IFERROR(IF(VLOOKUP(Mon_W1[[#This Row],[Employee Name]],'Base Schedules'!$A$113:$AW$158,24,FALSE)="","",VLOOKUP(Mon_W1[[#This Row],[Employee Name]],'Base Schedules'!$A$113:$AW$158,24,FALSE)),"")</f>
        <v>-</v>
      </c>
      <c r="Z29" s="184" t="str">
        <f>IFERROR(IF(VLOOKUP(Mon_W1[[#This Row],[Employee Name]],'Base Schedules'!$A$113:$AW$158,25,FALSE)="","",VLOOKUP(Mon_W1[[#This Row],[Employee Name]],'Base Schedules'!$A$113:$AW$158,25,FALSE)),"")</f>
        <v>Team Matt TM</v>
      </c>
      <c r="AA29" s="184" t="str">
        <f>IFERROR(IF(VLOOKUP(Mon_W1[[#This Row],[Employee Name]],'Base Schedules'!$A$113:$AW$158,26,FALSE)="","",VLOOKUP(Mon_W1[[#This Row],[Employee Name]],'Base Schedules'!$A$113:$AW$158,26,FALSE)),"")</f>
        <v>Team Matt TM</v>
      </c>
      <c r="AB29" s="184" t="str">
        <f>IFERROR(IF(VLOOKUP(Mon_W1[[#This Row],[Employee Name]],'Base Schedules'!$A$113:$AW$158,27,FALSE)="","",VLOOKUP(Mon_W1[[#This Row],[Employee Name]],'Base Schedules'!$A$113:$AW$158,27,FALSE)),"")</f>
        <v>-</v>
      </c>
      <c r="AC29" s="184" t="str">
        <f>IFERROR(IF(VLOOKUP(Mon_W1[[#This Row],[Employee Name]],'Base Schedules'!$A$113:$AW$158,28,FALSE)="","",VLOOKUP(Mon_W1[[#This Row],[Employee Name]],'Base Schedules'!$A$113:$AW$158,28,FALSE)),"")</f>
        <v>-</v>
      </c>
      <c r="AD29" s="184" t="str">
        <f>IFERROR(IF(VLOOKUP(Mon_W1[[#This Row],[Employee Name]],'Base Schedules'!$A$113:$AW$158,29,FALSE)="","",VLOOKUP(Mon_W1[[#This Row],[Employee Name]],'Base Schedules'!$A$113:$AW$158,29,FALSE)),"")</f>
        <v>-</v>
      </c>
      <c r="AE29" s="184" t="str">
        <f>IFERROR(IF(VLOOKUP(Mon_W1[[#This Row],[Employee Name]],'Base Schedules'!$A$113:$AW$158,30,FALSE)="","",VLOOKUP(Mon_W1[[#This Row],[Employee Name]],'Base Schedules'!$A$113:$AW$158,30,FALSE)),"")</f>
        <v>-</v>
      </c>
      <c r="AF29" s="184" t="str">
        <f>IFERROR(IF(VLOOKUP(Mon_W1[[#This Row],[Employee Name]],'Base Schedules'!$A$113:$AW$158,31,FALSE)="","",VLOOKUP(Mon_W1[[#This Row],[Employee Name]],'Base Schedules'!$A$113:$AW$158,31,FALSE)),"")</f>
        <v>Interview</v>
      </c>
      <c r="AG29" s="184" t="str">
        <f>IFERROR(IF(VLOOKUP(Mon_W1[[#This Row],[Employee Name]],'Base Schedules'!$A$113:$AW$158,32,FALSE)="","",VLOOKUP(Mon_W1[[#This Row],[Employee Name]],'Base Schedules'!$A$113:$AW$158,32,FALSE)),"")</f>
        <v>Interview</v>
      </c>
      <c r="AH29" s="184" t="str">
        <f>IFERROR(IF(VLOOKUP(Mon_W1[[#This Row],[Employee Name]],'Base Schedules'!$A$113:$AW$158,33,FALSE)="","",VLOOKUP(Mon_W1[[#This Row],[Employee Name]],'Base Schedules'!$A$113:$AW$158,33,FALSE)),"")</f>
        <v>-</v>
      </c>
      <c r="AI29" s="184" t="str">
        <f>IFERROR(IF(VLOOKUP(Mon_W1[[#This Row],[Employee Name]],'Base Schedules'!$A$113:$AW$158,34,FALSE)="","",VLOOKUP(Mon_W1[[#This Row],[Employee Name]],'Base Schedules'!$A$113:$AW$158,34,FALSE)),"")</f>
        <v>-</v>
      </c>
      <c r="AJ29" s="184" t="str">
        <f>IFERROR(IF(VLOOKUP(Mon_W1[[#This Row],[Employee Name]],'Base Schedules'!$A$113:$AW$158,35,FALSE)="","",VLOOKUP(Mon_W1[[#This Row],[Employee Name]],'Base Schedules'!$A$113:$AW$158,35,FALSE)),"")</f>
        <v>-</v>
      </c>
      <c r="AK29" s="184" t="str">
        <f>IFERROR(IF(VLOOKUP(Mon_W1[[#This Row],[Employee Name]],'Base Schedules'!$A$113:$AW$158,36,FALSE)="","",VLOOKUP(Mon_W1[[#This Row],[Employee Name]],'Base Schedules'!$A$113:$AW$158,36,FALSE)),"")</f>
        <v/>
      </c>
      <c r="AL29" s="184" t="str">
        <f>IFERROR(IF(VLOOKUP(Mon_W1[[#This Row],[Employee Name]],'Base Schedules'!$A$113:$AW$158,37,FALSE)="","",VLOOKUP(Mon_W1[[#This Row],[Employee Name]],'Base Schedules'!$A$113:$AW$158,37,FALSE)),"")</f>
        <v/>
      </c>
      <c r="AM29" s="184" t="str">
        <f>IFERROR(IF(VLOOKUP(Mon_W1[[#This Row],[Employee Name]],'Base Schedules'!$A$113:$AW$158,38,FALSE)="","",VLOOKUP(Mon_W1[[#This Row],[Employee Name]],'Base Schedules'!$A$113:$AW$158,38,FALSE)),"")</f>
        <v/>
      </c>
      <c r="AN29" s="184" t="str">
        <f>IFERROR(IF(VLOOKUP(Mon_W1[[#This Row],[Employee Name]],'Base Schedules'!$A$113:$AW$158,39,FALSE)="","",VLOOKUP(Mon_W1[[#This Row],[Employee Name]],'Base Schedules'!$A$113:$AW$158,39,FALSE)),"")</f>
        <v/>
      </c>
      <c r="AO29" s="184" t="str">
        <f>IFERROR(IF(VLOOKUP(Mon_W1[[#This Row],[Employee Name]],'Base Schedules'!$A$113:$AW$158,40,FALSE)="","",VLOOKUP(Mon_W1[[#This Row],[Employee Name]],'Base Schedules'!$A$113:$AW$158,40,FALSE)),"")</f>
        <v/>
      </c>
      <c r="AP29" s="184" t="str">
        <f>IFERROR(IF(VLOOKUP(Mon_W1[[#This Row],[Employee Name]],'Base Schedules'!$A$113:$AW$158,41,FALSE)="","",VLOOKUP(Mon_W1[[#This Row],[Employee Name]],'Base Schedules'!$A$113:$AW$158,41,FALSE)),"")</f>
        <v/>
      </c>
      <c r="AQ29" s="184" t="str">
        <f>IFERROR(IF(VLOOKUP(Mon_W1[[#This Row],[Employee Name]],'Base Schedules'!$A$113:$AW$158,42,FALSE)="","",VLOOKUP(Mon_W1[[#This Row],[Employee Name]],'Base Schedules'!$A$113:$AW$158,42,FALSE)),"")</f>
        <v/>
      </c>
      <c r="AR29" s="184" t="str">
        <f>IFERROR(IF(VLOOKUP(Mon_W1[[#This Row],[Employee Name]],'Base Schedules'!$A$113:$AW$158,43,FALSE)="","",VLOOKUP(Mon_W1[[#This Row],[Employee Name]],'Base Schedules'!$A$113:$AW$158,43,FALSE)),"")</f>
        <v/>
      </c>
      <c r="AS29" s="184" t="str">
        <f>IFERROR(IF(VLOOKUP(Mon_W1[[#This Row],[Employee Name]],'Base Schedules'!$A$113:$AW$158,44,FALSE)="","",VLOOKUP(Mon_W1[[#This Row],[Employee Name]],'Base Schedules'!$A$113:$AW$158,44,FALSE)),"")</f>
        <v/>
      </c>
      <c r="AT29" s="184" t="str">
        <f>IFERROR(IF(VLOOKUP(Mon_W1[[#This Row],[Employee Name]],'Base Schedules'!$A$113:$AW$158,45,FALSE)="","",VLOOKUP(Mon_W1[[#This Row],[Employee Name]],'Base Schedules'!$A$113:$AW$158,45,FALSE)),"")</f>
        <v/>
      </c>
      <c r="AU29" s="184" t="str">
        <f>IFERROR(IF(VLOOKUP(Mon_W1[[#This Row],[Employee Name]],'Base Schedules'!$A$113:$AW$158,46,FALSE)="","",VLOOKUP(Mon_W1[[#This Row],[Employee Name]],'Base Schedules'!$A$113:$AW$158,46,FALSE)),"")</f>
        <v/>
      </c>
      <c r="AV29" s="184" t="str">
        <f>IFERROR(IF(VLOOKUP(Mon_W1[[#This Row],[Employee Name]],'Base Schedules'!$A$113:$AW$158,47,FALSE)="","",VLOOKUP(Mon_W1[[#This Row],[Employee Name]],'Base Schedules'!$A$113:$AW$158,47,FALSE)),"")</f>
        <v/>
      </c>
      <c r="AW29" s="184" t="str">
        <f>IFERROR(IF(VLOOKUP(Mon_W1[[#This Row],[Employee Name]],'Base Schedules'!$A$113:$AW$158,48,FALSE)="","",VLOOKUP(Mon_W1[[#This Row],[Employee Name]],'Base Schedules'!$A$113:$AW$158,48,FALSE)),"")</f>
        <v/>
      </c>
      <c r="AX29" s="184" t="str">
        <f>IFERROR(IF(VLOOKUP(Mon_W1[[#This Row],[Employee Name]],'Base Schedules'!$A$113:$AW$158,49,FALSE)="","",VLOOKUP(Mon_W1[[#This Row],[Employee Name]],'Base Schedules'!$A$113:$AW$158,49,FALSE)),"")</f>
        <v/>
      </c>
      <c r="AY29" s="166" t="str">
        <f t="shared" si="2"/>
        <v>McLean, Michael</v>
      </c>
    </row>
    <row r="30" spans="1:51" s="44" customFormat="1" ht="12" x14ac:dyDescent="0.2">
      <c r="A30" s="39" t="str">
        <f>IF(B30="","",INDEX(TeamList[],MATCH($B30,TeamList[[Employee Name]:[Employee Name]],0),MATCH("Manager",TeamList[#Headers],0)))</f>
        <v>Olson, Katherine</v>
      </c>
      <c r="B30" s="201" t="s">
        <v>67</v>
      </c>
      <c r="C30" s="257" t="str">
        <f>_xlfn.IFNA(VLOOKUP(Mon_W1[[#This Row],[Employee Name]],'Base Schedules'!A:B,2,FALSE),"")</f>
        <v>Lead</v>
      </c>
      <c r="D30" s="274">
        <f>_xlfn.IFNA(VLOOKUP(Mon_W1[[#This Row],[Employee Name]],'Base Schedules'!A:C,3,FALSE),"")</f>
        <v>1030</v>
      </c>
      <c r="E30" s="274">
        <f>_xlfn.IFNA(VLOOKUP(Mon_W1[[#This Row],[Employee Name]],'Base Schedules'!A:D,4,FALSE),"")</f>
        <v>1900</v>
      </c>
      <c r="F30" s="142">
        <f>IF(Mon_W1[[#This Row],[Employee Name]]="","",IF(Mon_W1[[#This Row],[Dept]]="Supervisor",COUNTIFS($J30:$AX30,"*HL*",$J30:$AX30,"&lt;&gt;"&amp;"pHL"),COUNTIFS($J30:$AX30,"*HL*",$J30:$AX30,"&lt;&gt;"&amp;"*pHL*",$J30:$AX30,"&lt;&gt;"&amp;"pB1 HL",$J30:$AX30,"&lt;&gt;"&amp;"pB2 HL")-SUM(COUNTIFS($J30:$AX30,"*HL B1*",$J30:$AX30,"&lt;&gt;"&amp;"pHL B1")*0.5,COUNTIFS($J30:$AX30,"*HL B2*",$J30:$AX30,"&lt;&gt;"&amp;"pHL B2")*0.5,COUNTIFS($J30:$AX30,"*B1 HL*",$J30:$AX30,"&lt;&gt;"&amp;"pB1 HL")*0.5,COUNTIFS($J30:$AX30,"*B2 HL*",$J30:$AX30,"&lt;&gt;"&amp;"pB2 HL")*0.5)))</f>
        <v>6.5</v>
      </c>
      <c r="G30" s="142">
        <f t="shared" si="0"/>
        <v>0</v>
      </c>
      <c r="H30" s="142">
        <f t="shared" si="1"/>
        <v>5</v>
      </c>
      <c r="I30" s="142">
        <f>IF(Mon_W1[[#This Row],[Employee Name]]="","",IF(Mon_W1[[#This Row],[Dept]]="Supervisor",SUM(COUNTIFS($J30:$AX30,"RTA*",$J30:$AX30,"&lt;&gt;"&amp;"pRTA"),COUNTIFS($J30:$AX30,"*CRTA*",$J30:$AX30,"&lt;&gt;"&amp;"pCRTA")),COUNTIFS($J30:$AX30,"*RNNR*",$J30:$AX30,"&lt;&gt;"&amp;"*pRNNR*",$J30:$AX30,"&lt;&gt;"&amp;"pB1 RNNR",$J30:$AX30,"&lt;&gt;"&amp;"pB2 RNNR")-SUM(COUNTIFS($J30:$AX30,"*RNNR B1*",$J30:$AX30,"&lt;&gt;"&amp;"pRNNR B1")*0.5,COUNTIFS($J30:$AX30,"*RNNR B2*",$J30:$AX30,"&lt;&gt;"&amp;"pRNNR B2")*0.5,COUNTIFS($J30:$AX30,"*B1 RNNR*",$J30:$AX30,"&lt;&gt;"&amp;"pB1 RNNR")*0.5,COUNTIFS($J30:$AX30,"*B2 RNNR*",$J30:$AX30,"&lt;&gt;"&amp;"pB2 RNNR")*0.5)))</f>
        <v>2</v>
      </c>
      <c r="J30" s="184" t="str">
        <f>IFERROR(IF(VLOOKUP(Mon_W1[[#This Row],[Employee Name]],'Base Schedules'!$A$113:$AW$158,9,FALSE)="","",VLOOKUP(Mon_W1[[#This Row],[Employee Name]],'Base Schedules'!$A$113:$AW$158,9,FALSE)),"")</f>
        <v/>
      </c>
      <c r="K30" s="184" t="str">
        <f>IFERROR(IF(VLOOKUP(Mon_W1[[#This Row],[Employee Name]],'Base Schedules'!$A$113:$AW$158,10,FALSE)="","",VLOOKUP(Mon_W1[[#This Row],[Employee Name]],'Base Schedules'!$A$113:$AW$158,10,FALSE)),"")</f>
        <v/>
      </c>
      <c r="L30" s="184" t="str">
        <f>IFERROR(IF(VLOOKUP(Mon_W1[[#This Row],[Employee Name]],'Base Schedules'!$A$113:$AW$158,11,FALSE)="","",VLOOKUP(Mon_W1[[#This Row],[Employee Name]],'Base Schedules'!$A$113:$AW$158,11,FALSE)),"")</f>
        <v/>
      </c>
      <c r="M30" s="184" t="str">
        <f>IFERROR(IF(VLOOKUP(Mon_W1[[#This Row],[Employee Name]],'Base Schedules'!$A$113:$AW$158,12,FALSE)="","",VLOOKUP(Mon_W1[[#This Row],[Employee Name]],'Base Schedules'!$A$113:$AW$158,12,FALSE)),"")</f>
        <v/>
      </c>
      <c r="N30" s="184" t="str">
        <f>IFERROR(IF(VLOOKUP(Mon_W1[[#This Row],[Employee Name]],'Base Schedules'!$A$113:$AW$158,13,FALSE)="","",VLOOKUP(Mon_W1[[#This Row],[Employee Name]],'Base Schedules'!$A$113:$AW$158,13,FALSE)),"")</f>
        <v/>
      </c>
      <c r="O30" s="184" t="str">
        <f>IFERROR(IF(VLOOKUP(Mon_W1[[#This Row],[Employee Name]],'Base Schedules'!$A$113:$AW$158,14,FALSE)="","",VLOOKUP(Mon_W1[[#This Row],[Employee Name]],'Base Schedules'!$A$113:$AW$158,14,FALSE)),"")</f>
        <v/>
      </c>
      <c r="P30" s="184" t="str">
        <f>IFERROR(IF(VLOOKUP(Mon_W1[[#This Row],[Employee Name]],'Base Schedules'!$A$113:$AW$158,15,FALSE)="","",VLOOKUP(Mon_W1[[#This Row],[Employee Name]],'Base Schedules'!$A$113:$AW$158,15,FALSE)),"")</f>
        <v/>
      </c>
      <c r="Q30" s="184" t="str">
        <f>IFERROR(IF(VLOOKUP(Mon_W1[[#This Row],[Employee Name]],'Base Schedules'!$A$113:$AW$158,16,FALSE)="","",VLOOKUP(Mon_W1[[#This Row],[Employee Name]],'Base Schedules'!$A$113:$AW$158,16,FALSE)),"")</f>
        <v/>
      </c>
      <c r="R30" s="184" t="str">
        <f>IFERROR(IF(VLOOKUP(Mon_W1[[#This Row],[Employee Name]],'Base Schedules'!$A$113:$AW$158,17,FALSE)="","",VLOOKUP(Mon_W1[[#This Row],[Employee Name]],'Base Schedules'!$A$113:$AW$158,17,FALSE)),"")</f>
        <v/>
      </c>
      <c r="S30" s="184" t="str">
        <f>IFERROR(IF(VLOOKUP(Mon_W1[[#This Row],[Employee Name]],'Base Schedules'!$A$113:$AW$158,18,FALSE)="","",VLOOKUP(Mon_W1[[#This Row],[Employee Name]],'Base Schedules'!$A$113:$AW$158,18,FALSE)),"")</f>
        <v/>
      </c>
      <c r="T30" s="184" t="str">
        <f>IFERROR(IF(VLOOKUP(Mon_W1[[#This Row],[Employee Name]],'Base Schedules'!$A$113:$AW$158,19,FALSE)="","",VLOOKUP(Mon_W1[[#This Row],[Employee Name]],'Base Schedules'!$A$113:$AW$158,19,FALSE)),"")</f>
        <v/>
      </c>
      <c r="U30" s="184" t="str">
        <f>IFERROR(IF(VLOOKUP(Mon_W1[[#This Row],[Employee Name]],'Base Schedules'!$A$113:$AW$158,20,FALSE)="","",VLOOKUP(Mon_W1[[#This Row],[Employee Name]],'Base Schedules'!$A$113:$AW$158,20,FALSE)),"")</f>
        <v>HL</v>
      </c>
      <c r="V30" s="184" t="str">
        <f>IFERROR(IF(VLOOKUP(Mon_W1[[#This Row],[Employee Name]],'Base Schedules'!$A$113:$AW$158,21,FALSE)="","",VLOOKUP(Mon_W1[[#This Row],[Employee Name]],'Base Schedules'!$A$113:$AW$158,21,FALSE)),"")</f>
        <v>HL</v>
      </c>
      <c r="W30" s="184" t="str">
        <f>IFERROR(IF(VLOOKUP(Mon_W1[[#This Row],[Employee Name]],'Base Schedules'!$A$113:$AW$158,22,FALSE)="","",VLOOKUP(Mon_W1[[#This Row],[Employee Name]],'Base Schedules'!$A$113:$AW$158,22,FALSE)),"")</f>
        <v>HL</v>
      </c>
      <c r="X30" s="184" t="str">
        <f>IFERROR(IF(VLOOKUP(Mon_W1[[#This Row],[Employee Name]],'Base Schedules'!$A$113:$AW$158,23,FALSE)="","",VLOOKUP(Mon_W1[[#This Row],[Employee Name]],'Base Schedules'!$A$113:$AW$158,23,FALSE)),"")</f>
        <v>HL</v>
      </c>
      <c r="Y30" s="184" t="str">
        <f>IFERROR(IF(VLOOKUP(Mon_W1[[#This Row],[Employee Name]],'Base Schedules'!$A$113:$AW$158,24,FALSE)="","",VLOOKUP(Mon_W1[[#This Row],[Employee Name]],'Base Schedules'!$A$113:$AW$158,24,FALSE)),"")</f>
        <v>B1 HL</v>
      </c>
      <c r="Z30" s="184" t="str">
        <f>IFERROR(IF(VLOOKUP(Mon_W1[[#This Row],[Employee Name]],'Base Schedules'!$A$113:$AW$158,25,FALSE)="","",VLOOKUP(Mon_W1[[#This Row],[Employee Name]],'Base Schedules'!$A$113:$AW$158,25,FALSE)),"")</f>
        <v>PROJECT</v>
      </c>
      <c r="AA30" s="184" t="str">
        <f>IFERROR(IF(VLOOKUP(Mon_W1[[#This Row],[Employee Name]],'Base Schedules'!$A$113:$AW$158,26,FALSE)="","",VLOOKUP(Mon_W1[[#This Row],[Employee Name]],'Base Schedules'!$A$113:$AW$158,26,FALSE)),"")</f>
        <v>PROJECT</v>
      </c>
      <c r="AB30" s="184" t="str">
        <f>IFERROR(IF(VLOOKUP(Mon_W1[[#This Row],[Employee Name]],'Base Schedules'!$A$113:$AW$158,27,FALSE)="","",VLOOKUP(Mon_W1[[#This Row],[Employee Name]],'Base Schedules'!$A$113:$AW$158,27,FALSE)),"")</f>
        <v>HL</v>
      </c>
      <c r="AC30" s="184" t="str">
        <f>IFERROR(IF(VLOOKUP(Mon_W1[[#This Row],[Employee Name]],'Base Schedules'!$A$113:$AW$158,28,FALSE)="","",VLOOKUP(Mon_W1[[#This Row],[Employee Name]],'Base Schedules'!$A$113:$AW$158,28,FALSE)),"")</f>
        <v>LUNCH</v>
      </c>
      <c r="AD30" s="184" t="str">
        <f>IFERROR(IF(VLOOKUP(Mon_W1[[#This Row],[Employee Name]],'Base Schedules'!$A$113:$AW$158,29,FALSE)="","",VLOOKUP(Mon_W1[[#This Row],[Employee Name]],'Base Schedules'!$A$113:$AW$158,29,FALSE)),"")</f>
        <v>ADM</v>
      </c>
      <c r="AE30" s="184" t="str">
        <f>IFERROR(IF(VLOOKUP(Mon_W1[[#This Row],[Employee Name]],'Base Schedules'!$A$113:$AW$158,30,FALSE)="","",VLOOKUP(Mon_W1[[#This Row],[Employee Name]],'Base Schedules'!$A$113:$AW$158,30,FALSE)),"")</f>
        <v>ADM</v>
      </c>
      <c r="AF30" s="184" t="str">
        <f>IFERROR(IF(VLOOKUP(Mon_W1[[#This Row],[Employee Name]],'Base Schedules'!$A$113:$AW$158,31,FALSE)="","",VLOOKUP(Mon_W1[[#This Row],[Employee Name]],'Base Schedules'!$A$113:$AW$158,31,FALSE)),"")</f>
        <v>HL</v>
      </c>
      <c r="AG30" s="184" t="str">
        <f>IFERROR(IF(VLOOKUP(Mon_W1[[#This Row],[Employee Name]],'Base Schedules'!$A$113:$AW$158,32,FALSE)="","",VLOOKUP(Mon_W1[[#This Row],[Employee Name]],'Base Schedules'!$A$113:$AW$158,32,FALSE)),"")</f>
        <v>ADM B2</v>
      </c>
      <c r="AH30" s="184" t="str">
        <f>IFERROR(IF(VLOOKUP(Mon_W1[[#This Row],[Employee Name]],'Base Schedules'!$A$113:$AW$158,33,FALSE)="","",VLOOKUP(Mon_W1[[#This Row],[Employee Name]],'Base Schedules'!$A$113:$AW$158,33,FALSE)),"")</f>
        <v>ADM</v>
      </c>
      <c r="AI30" s="184" t="str">
        <f>IFERROR(IF(VLOOKUP(Mon_W1[[#This Row],[Employee Name]],'Base Schedules'!$A$113:$AW$158,34,FALSE)="","",VLOOKUP(Mon_W1[[#This Row],[Employee Name]],'Base Schedules'!$A$113:$AW$158,34,FALSE)),"")</f>
        <v>ADM</v>
      </c>
      <c r="AJ30" s="184" t="str">
        <f>IFERROR(IF(VLOOKUP(Mon_W1[[#This Row],[Employee Name]],'Base Schedules'!$A$113:$AW$158,35,FALSE)="","",VLOOKUP(Mon_W1[[#This Row],[Employee Name]],'Base Schedules'!$A$113:$AW$158,35,FALSE)),"")</f>
        <v>RNNR</v>
      </c>
      <c r="AK30" s="184" t="str">
        <f>IFERROR(IF(VLOOKUP(Mon_W1[[#This Row],[Employee Name]],'Base Schedules'!$A$113:$AW$158,36,FALSE)="","",VLOOKUP(Mon_W1[[#This Row],[Employee Name]],'Base Schedules'!$A$113:$AW$158,36,FALSE)),"")</f>
        <v>RNNR</v>
      </c>
      <c r="AL30" s="184" t="str">
        <f>IFERROR(IF(VLOOKUP(Mon_W1[[#This Row],[Employee Name]],'Base Schedules'!$A$113:$AW$158,37,FALSE)="","",VLOOKUP(Mon_W1[[#This Row],[Employee Name]],'Base Schedules'!$A$113:$AW$158,37,FALSE)),"")</f>
        <v/>
      </c>
      <c r="AM30" s="184" t="str">
        <f>IFERROR(IF(VLOOKUP(Mon_W1[[#This Row],[Employee Name]],'Base Schedules'!$A$113:$AW$158,38,FALSE)="","",VLOOKUP(Mon_W1[[#This Row],[Employee Name]],'Base Schedules'!$A$113:$AW$158,38,FALSE)),"")</f>
        <v/>
      </c>
      <c r="AN30" s="184" t="str">
        <f>IFERROR(IF(VLOOKUP(Mon_W1[[#This Row],[Employee Name]],'Base Schedules'!$A$113:$AW$158,39,FALSE)="","",VLOOKUP(Mon_W1[[#This Row],[Employee Name]],'Base Schedules'!$A$113:$AW$158,39,FALSE)),"")</f>
        <v/>
      </c>
      <c r="AO30" s="184" t="str">
        <f>IFERROR(IF(VLOOKUP(Mon_W1[[#This Row],[Employee Name]],'Base Schedules'!$A$113:$AW$158,40,FALSE)="","",VLOOKUP(Mon_W1[[#This Row],[Employee Name]],'Base Schedules'!$A$113:$AW$158,40,FALSE)),"")</f>
        <v/>
      </c>
      <c r="AP30" s="184" t="str">
        <f>IFERROR(IF(VLOOKUP(Mon_W1[[#This Row],[Employee Name]],'Base Schedules'!$A$113:$AW$158,41,FALSE)="","",VLOOKUP(Mon_W1[[#This Row],[Employee Name]],'Base Schedules'!$A$113:$AW$158,41,FALSE)),"")</f>
        <v/>
      </c>
      <c r="AQ30" s="184" t="str">
        <f>IFERROR(IF(VLOOKUP(Mon_W1[[#This Row],[Employee Name]],'Base Schedules'!$A$113:$AW$158,42,FALSE)="","",VLOOKUP(Mon_W1[[#This Row],[Employee Name]],'Base Schedules'!$A$113:$AW$158,42,FALSE)),"")</f>
        <v/>
      </c>
      <c r="AR30" s="184" t="str">
        <f>IFERROR(IF(VLOOKUP(Mon_W1[[#This Row],[Employee Name]],'Base Schedules'!$A$113:$AW$158,43,FALSE)="","",VLOOKUP(Mon_W1[[#This Row],[Employee Name]],'Base Schedules'!$A$113:$AW$158,43,FALSE)),"")</f>
        <v/>
      </c>
      <c r="AS30" s="184" t="str">
        <f>IFERROR(IF(VLOOKUP(Mon_W1[[#This Row],[Employee Name]],'Base Schedules'!$A$113:$AW$158,44,FALSE)="","",VLOOKUP(Mon_W1[[#This Row],[Employee Name]],'Base Schedules'!$A$113:$AW$158,44,FALSE)),"")</f>
        <v/>
      </c>
      <c r="AT30" s="184" t="str">
        <f>IFERROR(IF(VLOOKUP(Mon_W1[[#This Row],[Employee Name]],'Base Schedules'!$A$113:$AW$158,45,FALSE)="","",VLOOKUP(Mon_W1[[#This Row],[Employee Name]],'Base Schedules'!$A$113:$AW$158,45,FALSE)),"")</f>
        <v/>
      </c>
      <c r="AU30" s="184" t="str">
        <f>IFERROR(IF(VLOOKUP(Mon_W1[[#This Row],[Employee Name]],'Base Schedules'!$A$113:$AW$158,46,FALSE)="","",VLOOKUP(Mon_W1[[#This Row],[Employee Name]],'Base Schedules'!$A$113:$AW$158,46,FALSE)),"")</f>
        <v/>
      </c>
      <c r="AV30" s="184" t="str">
        <f>IFERROR(IF(VLOOKUP(Mon_W1[[#This Row],[Employee Name]],'Base Schedules'!$A$113:$AW$158,47,FALSE)="","",VLOOKUP(Mon_W1[[#This Row],[Employee Name]],'Base Schedules'!$A$113:$AW$158,47,FALSE)),"")</f>
        <v/>
      </c>
      <c r="AW30" s="184" t="str">
        <f>IFERROR(IF(VLOOKUP(Mon_W1[[#This Row],[Employee Name]],'Base Schedules'!$A$113:$AW$158,48,FALSE)="","",VLOOKUP(Mon_W1[[#This Row],[Employee Name]],'Base Schedules'!$A$113:$AW$158,48,FALSE)),"")</f>
        <v/>
      </c>
      <c r="AX30" s="184" t="str">
        <f>IFERROR(IF(VLOOKUP(Mon_W1[[#This Row],[Employee Name]],'Base Schedules'!$A$113:$AW$158,49,FALSE)="","",VLOOKUP(Mon_W1[[#This Row],[Employee Name]],'Base Schedules'!$A$113:$AW$158,49,FALSE)),"")</f>
        <v/>
      </c>
      <c r="AY30" s="164" t="str">
        <f t="shared" si="2"/>
        <v>Qualman, Sophy</v>
      </c>
    </row>
    <row r="31" spans="1:51" s="44" customFormat="1" ht="12" x14ac:dyDescent="0.2">
      <c r="A31" s="39" t="str">
        <f>IF(B31="","",INDEX(TeamList[],MATCH($B31,TeamList[[Employee Name]:[Employee Name]],0),MATCH("Manager",TeamList[#Headers],0)))</f>
        <v>Olson, Katherine</v>
      </c>
      <c r="B31" s="201" t="s">
        <v>30</v>
      </c>
      <c r="C31" s="257" t="str">
        <f>_xlfn.IFNA(VLOOKUP(Mon_W1[[#This Row],[Employee Name]],'Base Schedules'!A:B,2,FALSE),"")</f>
        <v>Lead</v>
      </c>
      <c r="D31" s="274">
        <f>_xlfn.IFNA(VLOOKUP(Mon_W1[[#This Row],[Employee Name]],'Base Schedules'!A:C,3,FALSE),"")</f>
        <v>1100</v>
      </c>
      <c r="E31" s="274">
        <f>_xlfn.IFNA(VLOOKUP(Mon_W1[[#This Row],[Employee Name]],'Base Schedules'!A:D,4,FALSE),"")</f>
        <v>2000</v>
      </c>
      <c r="F31" s="142">
        <f>IF(Mon_W1[[#This Row],[Employee Name]]="","",IF(Mon_W1[[#This Row],[Dept]]="Supervisor",COUNTIFS($J31:$AX31,"*HL*",$J31:$AX31,"&lt;&gt;"&amp;"pHL"),COUNTIFS($J31:$AX31,"*HL*",$J31:$AX31,"&lt;&gt;"&amp;"*pHL*",$J31:$AX31,"&lt;&gt;"&amp;"pB1 HL",$J31:$AX31,"&lt;&gt;"&amp;"pB2 HL")-SUM(COUNTIFS($J31:$AX31,"*HL B1*",$J31:$AX31,"&lt;&gt;"&amp;"pHL B1")*0.5,COUNTIFS($J31:$AX31,"*HL B2*",$J31:$AX31,"&lt;&gt;"&amp;"pHL B2")*0.5,COUNTIFS($J31:$AX31,"*B1 HL*",$J31:$AX31,"&lt;&gt;"&amp;"pB1 HL")*0.5,COUNTIFS($J31:$AX31,"*B2 HL*",$J31:$AX31,"&lt;&gt;"&amp;"pB2 HL")*0.5)))</f>
        <v>6.5</v>
      </c>
      <c r="G31" s="142">
        <f t="shared" si="0"/>
        <v>0</v>
      </c>
      <c r="H31" s="142">
        <f t="shared" si="1"/>
        <v>7</v>
      </c>
      <c r="I31" s="142">
        <f>IF(Mon_W1[[#This Row],[Employee Name]]="","",IF(Mon_W1[[#This Row],[Dept]]="Supervisor",SUM(COUNTIFS($J31:$AX31,"RTA*",$J31:$AX31,"&lt;&gt;"&amp;"pRTA"),COUNTIFS($J31:$AX31,"*CRTA*",$J31:$AX31,"&lt;&gt;"&amp;"pCRTA")),COUNTIFS($J31:$AX31,"*RNNR*",$J31:$AX31,"&lt;&gt;"&amp;"*pRNNR*",$J31:$AX31,"&lt;&gt;"&amp;"pB1 RNNR",$J31:$AX31,"&lt;&gt;"&amp;"pB2 RNNR")-SUM(COUNTIFS($J31:$AX31,"*RNNR B1*",$J31:$AX31,"&lt;&gt;"&amp;"pRNNR B1")*0.5,COUNTIFS($J31:$AX31,"*RNNR B2*",$J31:$AX31,"&lt;&gt;"&amp;"pRNNR B2")*0.5,COUNTIFS($J31:$AX31,"*B1 RNNR*",$J31:$AX31,"&lt;&gt;"&amp;"pB1 RNNR")*0.5,COUNTIFS($J31:$AX31,"*B2 RNNR*",$J31:$AX31,"&lt;&gt;"&amp;"pB2 RNNR")*0.5)))</f>
        <v>2</v>
      </c>
      <c r="J31" s="184" t="str">
        <f>IFERROR(IF(VLOOKUP(Mon_W1[[#This Row],[Employee Name]],'Base Schedules'!$A$113:$AW$158,9,FALSE)="","",VLOOKUP(Mon_W1[[#This Row],[Employee Name]],'Base Schedules'!$A$113:$AW$158,9,FALSE)),"")</f>
        <v/>
      </c>
      <c r="K31" s="184" t="str">
        <f>IFERROR(IF(VLOOKUP(Mon_W1[[#This Row],[Employee Name]],'Base Schedules'!$A$113:$AW$158,10,FALSE)="","",VLOOKUP(Mon_W1[[#This Row],[Employee Name]],'Base Schedules'!$A$113:$AW$158,10,FALSE)),"")</f>
        <v/>
      </c>
      <c r="L31" s="184" t="str">
        <f>IFERROR(IF(VLOOKUP(Mon_W1[[#This Row],[Employee Name]],'Base Schedules'!$A$113:$AW$158,11,FALSE)="","",VLOOKUP(Mon_W1[[#This Row],[Employee Name]],'Base Schedules'!$A$113:$AW$158,11,FALSE)),"")</f>
        <v/>
      </c>
      <c r="M31" s="184" t="str">
        <f>IFERROR(IF(VLOOKUP(Mon_W1[[#This Row],[Employee Name]],'Base Schedules'!$A$113:$AW$158,12,FALSE)="","",VLOOKUP(Mon_W1[[#This Row],[Employee Name]],'Base Schedules'!$A$113:$AW$158,12,FALSE)),"")</f>
        <v/>
      </c>
      <c r="N31" s="184" t="str">
        <f>IFERROR(IF(VLOOKUP(Mon_W1[[#This Row],[Employee Name]],'Base Schedules'!$A$113:$AW$158,13,FALSE)="","",VLOOKUP(Mon_W1[[#This Row],[Employee Name]],'Base Schedules'!$A$113:$AW$158,13,FALSE)),"")</f>
        <v/>
      </c>
      <c r="O31" s="184" t="str">
        <f>IFERROR(IF(VLOOKUP(Mon_W1[[#This Row],[Employee Name]],'Base Schedules'!$A$113:$AW$158,14,FALSE)="","",VLOOKUP(Mon_W1[[#This Row],[Employee Name]],'Base Schedules'!$A$113:$AW$158,14,FALSE)),"")</f>
        <v/>
      </c>
      <c r="P31" s="184" t="str">
        <f>IFERROR(IF(VLOOKUP(Mon_W1[[#This Row],[Employee Name]],'Base Schedules'!$A$113:$AW$158,15,FALSE)="","",VLOOKUP(Mon_W1[[#This Row],[Employee Name]],'Base Schedules'!$A$113:$AW$158,15,FALSE)),"")</f>
        <v/>
      </c>
      <c r="Q31" s="184" t="str">
        <f>IFERROR(IF(VLOOKUP(Mon_W1[[#This Row],[Employee Name]],'Base Schedules'!$A$113:$AW$158,16,FALSE)="","",VLOOKUP(Mon_W1[[#This Row],[Employee Name]],'Base Schedules'!$A$113:$AW$158,16,FALSE)),"")</f>
        <v/>
      </c>
      <c r="R31" s="184" t="str">
        <f>IFERROR(IF(VLOOKUP(Mon_W1[[#This Row],[Employee Name]],'Base Schedules'!$A$113:$AW$158,17,FALSE)="","",VLOOKUP(Mon_W1[[#This Row],[Employee Name]],'Base Schedules'!$A$113:$AW$158,17,FALSE)),"")</f>
        <v/>
      </c>
      <c r="S31" s="184" t="str">
        <f>IFERROR(IF(VLOOKUP(Mon_W1[[#This Row],[Employee Name]],'Base Schedules'!$A$113:$AW$158,18,FALSE)="","",VLOOKUP(Mon_W1[[#This Row],[Employee Name]],'Base Schedules'!$A$113:$AW$158,18,FALSE)),"")</f>
        <v/>
      </c>
      <c r="T31" s="184" t="str">
        <f>IFERROR(IF(VLOOKUP(Mon_W1[[#This Row],[Employee Name]],'Base Schedules'!$A$113:$AW$158,19,FALSE)="","",VLOOKUP(Mon_W1[[#This Row],[Employee Name]],'Base Schedules'!$A$113:$AW$158,19,FALSE)),"")</f>
        <v/>
      </c>
      <c r="U31" s="184" t="str">
        <f>IFERROR(IF(VLOOKUP(Mon_W1[[#This Row],[Employee Name]],'Base Schedules'!$A$113:$AW$158,20,FALSE)="","",VLOOKUP(Mon_W1[[#This Row],[Employee Name]],'Base Schedules'!$A$113:$AW$158,20,FALSE)),"")</f>
        <v/>
      </c>
      <c r="V31" s="184" t="str">
        <f>IFERROR(IF(VLOOKUP(Mon_W1[[#This Row],[Employee Name]],'Base Schedules'!$A$113:$AW$158,21,FALSE)="","",VLOOKUP(Mon_W1[[#This Row],[Employee Name]],'Base Schedules'!$A$113:$AW$158,21,FALSE)),"")</f>
        <v>HL</v>
      </c>
      <c r="W31" s="184" t="str">
        <f>IFERROR(IF(VLOOKUP(Mon_W1[[#This Row],[Employee Name]],'Base Schedules'!$A$113:$AW$158,22,FALSE)="","",VLOOKUP(Mon_W1[[#This Row],[Employee Name]],'Base Schedules'!$A$113:$AW$158,22,FALSE)),"")</f>
        <v>HL</v>
      </c>
      <c r="X31" s="184" t="str">
        <f>IFERROR(IF(VLOOKUP(Mon_W1[[#This Row],[Employee Name]],'Base Schedules'!$A$113:$AW$158,23,FALSE)="","",VLOOKUP(Mon_W1[[#This Row],[Employee Name]],'Base Schedules'!$A$113:$AW$158,23,FALSE)),"")</f>
        <v>ADM</v>
      </c>
      <c r="Y31" s="184" t="str">
        <f>IFERROR(IF(VLOOKUP(Mon_W1[[#This Row],[Employee Name]],'Base Schedules'!$A$113:$AW$158,24,FALSE)="","",VLOOKUP(Mon_W1[[#This Row],[Employee Name]],'Base Schedules'!$A$113:$AW$158,24,FALSE)),"")</f>
        <v>ADM</v>
      </c>
      <c r="Z31" s="184" t="str">
        <f>IFERROR(IF(VLOOKUP(Mon_W1[[#This Row],[Employee Name]],'Base Schedules'!$A$113:$AW$158,25,FALSE)="","",VLOOKUP(Mon_W1[[#This Row],[Employee Name]],'Base Schedules'!$A$113:$AW$158,25,FALSE)),"")</f>
        <v>ADM B1</v>
      </c>
      <c r="AA31" s="184" t="str">
        <f>IFERROR(IF(VLOOKUP(Mon_W1[[#This Row],[Employee Name]],'Base Schedules'!$A$113:$AW$158,26,FALSE)="","",VLOOKUP(Mon_W1[[#This Row],[Employee Name]],'Base Schedules'!$A$113:$AW$158,26,FALSE)),"")</f>
        <v>HL</v>
      </c>
      <c r="AB31" s="184" t="str">
        <f>IFERROR(IF(VLOOKUP(Mon_W1[[#This Row],[Employee Name]],'Base Schedules'!$A$113:$AW$158,27,FALSE)="","",VLOOKUP(Mon_W1[[#This Row],[Employee Name]],'Base Schedules'!$A$113:$AW$158,27,FALSE)),"")</f>
        <v>RNNR</v>
      </c>
      <c r="AC31" s="184" t="str">
        <f>IFERROR(IF(VLOOKUP(Mon_W1[[#This Row],[Employee Name]],'Base Schedules'!$A$113:$AW$158,28,FALSE)="","",VLOOKUP(Mon_W1[[#This Row],[Employee Name]],'Base Schedules'!$A$113:$AW$158,28,FALSE)),"")</f>
        <v>RNNR</v>
      </c>
      <c r="AD31" s="184" t="str">
        <f>IFERROR(IF(VLOOKUP(Mon_W1[[#This Row],[Employee Name]],'Base Schedules'!$A$113:$AW$158,29,FALSE)="","",VLOOKUP(Mon_W1[[#This Row],[Employee Name]],'Base Schedules'!$A$113:$AW$158,29,FALSE)),"")</f>
        <v>ADM</v>
      </c>
      <c r="AE31" s="184" t="str">
        <f>IFERROR(IF(VLOOKUP(Mon_W1[[#This Row],[Employee Name]],'Base Schedules'!$A$113:$AW$158,30,FALSE)="","",VLOOKUP(Mon_W1[[#This Row],[Employee Name]],'Base Schedules'!$A$113:$AW$158,30,FALSE)),"")</f>
        <v>LUNCH</v>
      </c>
      <c r="AF31" s="184" t="str">
        <f>IFERROR(IF(VLOOKUP(Mon_W1[[#This Row],[Employee Name]],'Base Schedules'!$A$113:$AW$158,31,FALSE)="","",VLOOKUP(Mon_W1[[#This Row],[Employee Name]],'Base Schedules'!$A$113:$AW$158,31,FALSE)),"")</f>
        <v>ADM</v>
      </c>
      <c r="AG31" s="184" t="str">
        <f>IFERROR(IF(VLOOKUP(Mon_W1[[#This Row],[Employee Name]],'Base Schedules'!$A$113:$AW$158,32,FALSE)="","",VLOOKUP(Mon_W1[[#This Row],[Employee Name]],'Base Schedules'!$A$113:$AW$158,32,FALSE)),"")</f>
        <v>ADM</v>
      </c>
      <c r="AH31" s="184" t="str">
        <f>IFERROR(IF(VLOOKUP(Mon_W1[[#This Row],[Employee Name]],'Base Schedules'!$A$113:$AW$158,33,FALSE)="","",VLOOKUP(Mon_W1[[#This Row],[Employee Name]],'Base Schedules'!$A$113:$AW$158,33,FALSE)),"")</f>
        <v>ADM</v>
      </c>
      <c r="AI31" s="184" t="str">
        <f>IFERROR(IF(VLOOKUP(Mon_W1[[#This Row],[Employee Name]],'Base Schedules'!$A$113:$AW$158,34,FALSE)="","",VLOOKUP(Mon_W1[[#This Row],[Employee Name]],'Base Schedules'!$A$113:$AW$158,34,FALSE)),"")</f>
        <v>B2 HL</v>
      </c>
      <c r="AJ31" s="184" t="str">
        <f>IFERROR(IF(VLOOKUP(Mon_W1[[#This Row],[Employee Name]],'Base Schedules'!$A$113:$AW$158,35,FALSE)="","",VLOOKUP(Mon_W1[[#This Row],[Employee Name]],'Base Schedules'!$A$113:$AW$158,35,FALSE)),"")</f>
        <v>HL</v>
      </c>
      <c r="AK31" s="184" t="str">
        <f>IFERROR(IF(VLOOKUP(Mon_W1[[#This Row],[Employee Name]],'Base Schedules'!$A$113:$AW$158,36,FALSE)="","",VLOOKUP(Mon_W1[[#This Row],[Employee Name]],'Base Schedules'!$A$113:$AW$158,36,FALSE)),"")</f>
        <v>HL</v>
      </c>
      <c r="AL31" s="184" t="str">
        <f>IFERROR(IF(VLOOKUP(Mon_W1[[#This Row],[Employee Name]],'Base Schedules'!$A$113:$AW$158,37,FALSE)="","",VLOOKUP(Mon_W1[[#This Row],[Employee Name]],'Base Schedules'!$A$113:$AW$158,37,FALSE)),"")</f>
        <v>HL</v>
      </c>
      <c r="AM31" s="184" t="str">
        <f>IFERROR(IF(VLOOKUP(Mon_W1[[#This Row],[Employee Name]],'Base Schedules'!$A$113:$AW$158,38,FALSE)="","",VLOOKUP(Mon_W1[[#This Row],[Employee Name]],'Base Schedules'!$A$113:$AW$158,38,FALSE)),"")</f>
        <v/>
      </c>
      <c r="AN31" s="184" t="str">
        <f>IFERROR(IF(VLOOKUP(Mon_W1[[#This Row],[Employee Name]],'Base Schedules'!$A$113:$AW$158,39,FALSE)="","",VLOOKUP(Mon_W1[[#This Row],[Employee Name]],'Base Schedules'!$A$113:$AW$158,39,FALSE)),"")</f>
        <v/>
      </c>
      <c r="AO31" s="184" t="str">
        <f>IFERROR(IF(VLOOKUP(Mon_W1[[#This Row],[Employee Name]],'Base Schedules'!$A$113:$AW$158,40,FALSE)="","",VLOOKUP(Mon_W1[[#This Row],[Employee Name]],'Base Schedules'!$A$113:$AW$158,40,FALSE)),"")</f>
        <v/>
      </c>
      <c r="AP31" s="184" t="str">
        <f>IFERROR(IF(VLOOKUP(Mon_W1[[#This Row],[Employee Name]],'Base Schedules'!$A$113:$AW$158,41,FALSE)="","",VLOOKUP(Mon_W1[[#This Row],[Employee Name]],'Base Schedules'!$A$113:$AW$158,41,FALSE)),"")</f>
        <v/>
      </c>
      <c r="AQ31" s="184" t="str">
        <f>IFERROR(IF(VLOOKUP(Mon_W1[[#This Row],[Employee Name]],'Base Schedules'!$A$113:$AW$158,42,FALSE)="","",VLOOKUP(Mon_W1[[#This Row],[Employee Name]],'Base Schedules'!$A$113:$AW$158,42,FALSE)),"")</f>
        <v/>
      </c>
      <c r="AR31" s="184" t="str">
        <f>IFERROR(IF(VLOOKUP(Mon_W1[[#This Row],[Employee Name]],'Base Schedules'!$A$113:$AW$158,43,FALSE)="","",VLOOKUP(Mon_W1[[#This Row],[Employee Name]],'Base Schedules'!$A$113:$AW$158,43,FALSE)),"")</f>
        <v/>
      </c>
      <c r="AS31" s="184" t="str">
        <f>IFERROR(IF(VLOOKUP(Mon_W1[[#This Row],[Employee Name]],'Base Schedules'!$A$113:$AW$158,44,FALSE)="","",VLOOKUP(Mon_W1[[#This Row],[Employee Name]],'Base Schedules'!$A$113:$AW$158,44,FALSE)),"")</f>
        <v/>
      </c>
      <c r="AT31" s="184" t="str">
        <f>IFERROR(IF(VLOOKUP(Mon_W1[[#This Row],[Employee Name]],'Base Schedules'!$A$113:$AW$158,45,FALSE)="","",VLOOKUP(Mon_W1[[#This Row],[Employee Name]],'Base Schedules'!$A$113:$AW$158,45,FALSE)),"")</f>
        <v/>
      </c>
      <c r="AU31" s="184" t="str">
        <f>IFERROR(IF(VLOOKUP(Mon_W1[[#This Row],[Employee Name]],'Base Schedules'!$A$113:$AW$158,46,FALSE)="","",VLOOKUP(Mon_W1[[#This Row],[Employee Name]],'Base Schedules'!$A$113:$AW$158,46,FALSE)),"")</f>
        <v/>
      </c>
      <c r="AV31" s="184" t="str">
        <f>IFERROR(IF(VLOOKUP(Mon_W1[[#This Row],[Employee Name]],'Base Schedules'!$A$113:$AW$158,47,FALSE)="","",VLOOKUP(Mon_W1[[#This Row],[Employee Name]],'Base Schedules'!$A$113:$AW$158,47,FALSE)),"")</f>
        <v/>
      </c>
      <c r="AW31" s="184" t="str">
        <f>IFERROR(IF(VLOOKUP(Mon_W1[[#This Row],[Employee Name]],'Base Schedules'!$A$113:$AW$158,48,FALSE)="","",VLOOKUP(Mon_W1[[#This Row],[Employee Name]],'Base Schedules'!$A$113:$AW$158,48,FALSE)),"")</f>
        <v/>
      </c>
      <c r="AX31" s="184" t="str">
        <f>IFERROR(IF(VLOOKUP(Mon_W1[[#This Row],[Employee Name]],'Base Schedules'!$A$113:$AW$158,49,FALSE)="","",VLOOKUP(Mon_W1[[#This Row],[Employee Name]],'Base Schedules'!$A$113:$AW$158,49,FALSE)),"")</f>
        <v/>
      </c>
      <c r="AY31" s="164" t="str">
        <f t="shared" si="2"/>
        <v>Koistinen, Shaun</v>
      </c>
    </row>
    <row r="32" spans="1:51" s="44" customFormat="1" ht="12" x14ac:dyDescent="0.2">
      <c r="A32" s="39" t="str">
        <f>IF(B32="","",INDEX(TeamList[],MATCH($B32,TeamList[[Employee Name]:[Employee Name]],0),MATCH("Manager",TeamList[#Headers],0)))</f>
        <v>Olson, Katherine</v>
      </c>
      <c r="B32" s="201" t="s">
        <v>236</v>
      </c>
      <c r="C32" s="257" t="str">
        <f>_xlfn.IFNA(VLOOKUP(Mon_W1[[#This Row],[Employee Name]],'Base Schedules'!A:B,2,FALSE),"")</f>
        <v>Lead</v>
      </c>
      <c r="D32" s="274">
        <f>_xlfn.IFNA(VLOOKUP(Mon_W1[[#This Row],[Employee Name]],'Base Schedules'!A:C,3,FALSE),"")</f>
        <v>1130</v>
      </c>
      <c r="E32" s="274">
        <f>_xlfn.IFNA(VLOOKUP(Mon_W1[[#This Row],[Employee Name]],'Base Schedules'!A:D,4,FALSE),"")</f>
        <v>2000</v>
      </c>
      <c r="F32" s="142">
        <f>IF(Mon_W1[[#This Row],[Employee Name]]="","",IF(Mon_W1[[#This Row],[Dept]]="Supervisor",COUNTIFS($J32:$AX32,"*HL*",$J32:$AX32,"&lt;&gt;"&amp;"pHL"),COUNTIFS($J32:$AX32,"*HL*",$J32:$AX32,"&lt;&gt;"&amp;"*pHL*",$J32:$AX32,"&lt;&gt;"&amp;"pB1 HL",$J32:$AX32,"&lt;&gt;"&amp;"pB2 HL")-SUM(COUNTIFS($J32:$AX32,"*HL B1*",$J32:$AX32,"&lt;&gt;"&amp;"pHL B1")*0.5,COUNTIFS($J32:$AX32,"*HL B2*",$J32:$AX32,"&lt;&gt;"&amp;"pHL B2")*0.5,COUNTIFS($J32:$AX32,"*B1 HL*",$J32:$AX32,"&lt;&gt;"&amp;"pB1 HL")*0.5,COUNTIFS($J32:$AX32,"*B2 HL*",$J32:$AX32,"&lt;&gt;"&amp;"pB2 HL")*0.5)))</f>
        <v>6.5</v>
      </c>
      <c r="G32" s="142">
        <f t="shared" si="0"/>
        <v>0</v>
      </c>
      <c r="H32" s="142">
        <f t="shared" si="1"/>
        <v>7</v>
      </c>
      <c r="I32" s="142">
        <f>IF(Mon_W1[[#This Row],[Employee Name]]="","",IF(Mon_W1[[#This Row],[Dept]]="Supervisor",SUM(COUNTIFS($J32:$AX32,"RTA*",$J32:$AX32,"&lt;&gt;"&amp;"pRTA"),COUNTIFS($J32:$AX32,"*CRTA*",$J32:$AX32,"&lt;&gt;"&amp;"pCRTA")),COUNTIFS($J32:$AX32,"*RNNR*",$J32:$AX32,"&lt;&gt;"&amp;"*pRNNR*",$J32:$AX32,"&lt;&gt;"&amp;"pB1 RNNR",$J32:$AX32,"&lt;&gt;"&amp;"pB2 RNNR")-SUM(COUNTIFS($J32:$AX32,"*RNNR B1*",$J32:$AX32,"&lt;&gt;"&amp;"pRNNR B1")*0.5,COUNTIFS($J32:$AX32,"*RNNR B2*",$J32:$AX32,"&lt;&gt;"&amp;"pRNNR B2")*0.5,COUNTIFS($J32:$AX32,"*B1 RNNR*",$J32:$AX32,"&lt;&gt;"&amp;"pB1 RNNR")*0.5,COUNTIFS($J32:$AX32,"*B2 RNNR*",$J32:$AX32,"&lt;&gt;"&amp;"pB2 RNNR")*0.5)))</f>
        <v>2</v>
      </c>
      <c r="J32" s="184" t="str">
        <f>IFERROR(IF(VLOOKUP(Mon_W1[[#This Row],[Employee Name]],'Base Schedules'!$A$113:$AW$158,9,FALSE)="","",VLOOKUP(Mon_W1[[#This Row],[Employee Name]],'Base Schedules'!$A$113:$AW$158,9,FALSE)),"")</f>
        <v/>
      </c>
      <c r="K32" s="184" t="str">
        <f>IFERROR(IF(VLOOKUP(Mon_W1[[#This Row],[Employee Name]],'Base Schedules'!$A$113:$AW$158,10,FALSE)="","",VLOOKUP(Mon_W1[[#This Row],[Employee Name]],'Base Schedules'!$A$113:$AW$158,10,FALSE)),"")</f>
        <v/>
      </c>
      <c r="L32" s="184" t="str">
        <f>IFERROR(IF(VLOOKUP(Mon_W1[[#This Row],[Employee Name]],'Base Schedules'!$A$113:$AW$158,11,FALSE)="","",VLOOKUP(Mon_W1[[#This Row],[Employee Name]],'Base Schedules'!$A$113:$AW$158,11,FALSE)),"")</f>
        <v/>
      </c>
      <c r="M32" s="184" t="str">
        <f>IFERROR(IF(VLOOKUP(Mon_W1[[#This Row],[Employee Name]],'Base Schedules'!$A$113:$AW$158,12,FALSE)="","",VLOOKUP(Mon_W1[[#This Row],[Employee Name]],'Base Schedules'!$A$113:$AW$158,12,FALSE)),"")</f>
        <v/>
      </c>
      <c r="N32" s="184" t="str">
        <f>IFERROR(IF(VLOOKUP(Mon_W1[[#This Row],[Employee Name]],'Base Schedules'!$A$113:$AW$158,13,FALSE)="","",VLOOKUP(Mon_W1[[#This Row],[Employee Name]],'Base Schedules'!$A$113:$AW$158,13,FALSE)),"")</f>
        <v/>
      </c>
      <c r="O32" s="184" t="str">
        <f>IFERROR(IF(VLOOKUP(Mon_W1[[#This Row],[Employee Name]],'Base Schedules'!$A$113:$AW$158,14,FALSE)="","",VLOOKUP(Mon_W1[[#This Row],[Employee Name]],'Base Schedules'!$A$113:$AW$158,14,FALSE)),"")</f>
        <v/>
      </c>
      <c r="P32" s="184" t="str">
        <f>IFERROR(IF(VLOOKUP(Mon_W1[[#This Row],[Employee Name]],'Base Schedules'!$A$113:$AW$158,15,FALSE)="","",VLOOKUP(Mon_W1[[#This Row],[Employee Name]],'Base Schedules'!$A$113:$AW$158,15,FALSE)),"")</f>
        <v/>
      </c>
      <c r="Q32" s="184" t="str">
        <f>IFERROR(IF(VLOOKUP(Mon_W1[[#This Row],[Employee Name]],'Base Schedules'!$A$113:$AW$158,16,FALSE)="","",VLOOKUP(Mon_W1[[#This Row],[Employee Name]],'Base Schedules'!$A$113:$AW$158,16,FALSE)),"")</f>
        <v/>
      </c>
      <c r="R32" s="184" t="str">
        <f>IFERROR(IF(VLOOKUP(Mon_W1[[#This Row],[Employee Name]],'Base Schedules'!$A$113:$AW$158,17,FALSE)="","",VLOOKUP(Mon_W1[[#This Row],[Employee Name]],'Base Schedules'!$A$113:$AW$158,17,FALSE)),"")</f>
        <v/>
      </c>
      <c r="S32" s="184" t="str">
        <f>IFERROR(IF(VLOOKUP(Mon_W1[[#This Row],[Employee Name]],'Base Schedules'!$A$113:$AW$158,18,FALSE)="","",VLOOKUP(Mon_W1[[#This Row],[Employee Name]],'Base Schedules'!$A$113:$AW$158,18,FALSE)),"")</f>
        <v/>
      </c>
      <c r="T32" s="184" t="str">
        <f>IFERROR(IF(VLOOKUP(Mon_W1[[#This Row],[Employee Name]],'Base Schedules'!$A$113:$AW$158,19,FALSE)="","",VLOOKUP(Mon_W1[[#This Row],[Employee Name]],'Base Schedules'!$A$113:$AW$158,19,FALSE)),"")</f>
        <v/>
      </c>
      <c r="U32" s="184" t="str">
        <f>IFERROR(IF(VLOOKUP(Mon_W1[[#This Row],[Employee Name]],'Base Schedules'!$A$113:$AW$158,20,FALSE)="","",VLOOKUP(Mon_W1[[#This Row],[Employee Name]],'Base Schedules'!$A$113:$AW$158,20,FALSE)),"")</f>
        <v/>
      </c>
      <c r="V32" s="184" t="str">
        <f>IFERROR(IF(VLOOKUP(Mon_W1[[#This Row],[Employee Name]],'Base Schedules'!$A$113:$AW$158,21,FALSE)="","",VLOOKUP(Mon_W1[[#This Row],[Employee Name]],'Base Schedules'!$A$113:$AW$158,21,FALSE)),"")</f>
        <v/>
      </c>
      <c r="W32" s="184" t="str">
        <f>IFERROR(IF(VLOOKUP(Mon_W1[[#This Row],[Employee Name]],'Base Schedules'!$A$113:$AW$158,22,FALSE)="","",VLOOKUP(Mon_W1[[#This Row],[Employee Name]],'Base Schedules'!$A$113:$AW$158,22,FALSE)),"")</f>
        <v>ADM</v>
      </c>
      <c r="X32" s="184" t="str">
        <f>IFERROR(IF(VLOOKUP(Mon_W1[[#This Row],[Employee Name]],'Base Schedules'!$A$113:$AW$158,23,FALSE)="","",VLOOKUP(Mon_W1[[#This Row],[Employee Name]],'Base Schedules'!$A$113:$AW$158,23,FALSE)),"")</f>
        <v>RNNR</v>
      </c>
      <c r="Y32" s="184" t="str">
        <f>IFERROR(IF(VLOOKUP(Mon_W1[[#This Row],[Employee Name]],'Base Schedules'!$A$113:$AW$158,24,FALSE)="","",VLOOKUP(Mon_W1[[#This Row],[Employee Name]],'Base Schedules'!$A$113:$AW$158,24,FALSE)),"")</f>
        <v>RNNR</v>
      </c>
      <c r="Z32" s="184" t="str">
        <f>IFERROR(IF(VLOOKUP(Mon_W1[[#This Row],[Employee Name]],'Base Schedules'!$A$113:$AW$158,25,FALSE)="","",VLOOKUP(Mon_W1[[#This Row],[Employee Name]],'Base Schedules'!$A$113:$AW$158,25,FALSE)),"")</f>
        <v>HL B1</v>
      </c>
      <c r="AA32" s="184" t="str">
        <f>IFERROR(IF(VLOOKUP(Mon_W1[[#This Row],[Employee Name]],'Base Schedules'!$A$113:$AW$158,26,FALSE)="","",VLOOKUP(Mon_W1[[#This Row],[Employee Name]],'Base Schedules'!$A$113:$AW$158,26,FALSE)),"")</f>
        <v>ADM</v>
      </c>
      <c r="AB32" s="184" t="str">
        <f>IFERROR(IF(VLOOKUP(Mon_W1[[#This Row],[Employee Name]],'Base Schedules'!$A$113:$AW$158,27,FALSE)="","",VLOOKUP(Mon_W1[[#This Row],[Employee Name]],'Base Schedules'!$A$113:$AW$158,27,FALSE)),"")</f>
        <v>ADM</v>
      </c>
      <c r="AC32" s="184" t="str">
        <f>IFERROR(IF(VLOOKUP(Mon_W1[[#This Row],[Employee Name]],'Base Schedules'!$A$113:$AW$158,28,FALSE)="","",VLOOKUP(Mon_W1[[#This Row],[Employee Name]],'Base Schedules'!$A$113:$AW$158,28,FALSE)),"")</f>
        <v>HL</v>
      </c>
      <c r="AD32" s="184" t="str">
        <f>IFERROR(IF(VLOOKUP(Mon_W1[[#This Row],[Employee Name]],'Base Schedules'!$A$113:$AW$158,29,FALSE)="","",VLOOKUP(Mon_W1[[#This Row],[Employee Name]],'Base Schedules'!$A$113:$AW$158,29,FALSE)),"")</f>
        <v>HL</v>
      </c>
      <c r="AE32" s="184" t="str">
        <f>IFERROR(IF(VLOOKUP(Mon_W1[[#This Row],[Employee Name]],'Base Schedules'!$A$113:$AW$158,30,FALSE)="","",VLOOKUP(Mon_W1[[#This Row],[Employee Name]],'Base Schedules'!$A$113:$AW$158,30,FALSE)),"")</f>
        <v>LUNCH</v>
      </c>
      <c r="AF32" s="184" t="str">
        <f>IFERROR(IF(VLOOKUP(Mon_W1[[#This Row],[Employee Name]],'Base Schedules'!$A$113:$AW$158,31,FALSE)="","",VLOOKUP(Mon_W1[[#This Row],[Employee Name]],'Base Schedules'!$A$113:$AW$158,31,FALSE)),"")</f>
        <v>HL</v>
      </c>
      <c r="AG32" s="184" t="str">
        <f>IFERROR(IF(VLOOKUP(Mon_W1[[#This Row],[Employee Name]],'Base Schedules'!$A$113:$AW$158,32,FALSE)="","",VLOOKUP(Mon_W1[[#This Row],[Employee Name]],'Base Schedules'!$A$113:$AW$158,32,FALSE)),"")</f>
        <v>ADM</v>
      </c>
      <c r="AH32" s="184" t="str">
        <f>IFERROR(IF(VLOOKUP(Mon_W1[[#This Row],[Employee Name]],'Base Schedules'!$A$113:$AW$158,33,FALSE)="","",VLOOKUP(Mon_W1[[#This Row],[Employee Name]],'Base Schedules'!$A$113:$AW$158,33,FALSE)),"")</f>
        <v>HL</v>
      </c>
      <c r="AI32" s="184" t="str">
        <f>IFERROR(IF(VLOOKUP(Mon_W1[[#This Row],[Employee Name]],'Base Schedules'!$A$113:$AW$158,34,FALSE)="","",VLOOKUP(Mon_W1[[#This Row],[Employee Name]],'Base Schedules'!$A$113:$AW$158,34,FALSE)),"")</f>
        <v>HL</v>
      </c>
      <c r="AJ32" s="184" t="str">
        <f>IFERROR(IF(VLOOKUP(Mon_W1[[#This Row],[Employee Name]],'Base Schedules'!$A$113:$AW$158,35,FALSE)="","",VLOOKUP(Mon_W1[[#This Row],[Employee Name]],'Base Schedules'!$A$113:$AW$158,35,FALSE)),"")</f>
        <v>B2 ADM</v>
      </c>
      <c r="AK32" s="184" t="str">
        <f>IFERROR(IF(VLOOKUP(Mon_W1[[#This Row],[Employee Name]],'Base Schedules'!$A$113:$AW$158,36,FALSE)="","",VLOOKUP(Mon_W1[[#This Row],[Employee Name]],'Base Schedules'!$A$113:$AW$158,36,FALSE)),"")</f>
        <v>ADM</v>
      </c>
      <c r="AL32" s="184" t="str">
        <f>IFERROR(IF(VLOOKUP(Mon_W1[[#This Row],[Employee Name]],'Base Schedules'!$A$113:$AW$158,37,FALSE)="","",VLOOKUP(Mon_W1[[#This Row],[Employee Name]],'Base Schedules'!$A$113:$AW$158,37,FALSE)),"")</f>
        <v>ADM</v>
      </c>
      <c r="AM32" s="184" t="str">
        <f>IFERROR(IF(VLOOKUP(Mon_W1[[#This Row],[Employee Name]],'Base Schedules'!$A$113:$AW$158,38,FALSE)="","",VLOOKUP(Mon_W1[[#This Row],[Employee Name]],'Base Schedules'!$A$113:$AW$158,38,FALSE)),"")</f>
        <v>HL</v>
      </c>
      <c r="AN32" s="184" t="str">
        <f>IFERROR(IF(VLOOKUP(Mon_W1[[#This Row],[Employee Name]],'Base Schedules'!$A$113:$AW$158,39,FALSE)="","",VLOOKUP(Mon_W1[[#This Row],[Employee Name]],'Base Schedules'!$A$113:$AW$158,39,FALSE)),"")</f>
        <v/>
      </c>
      <c r="AO32" s="184" t="str">
        <f>IFERROR(IF(VLOOKUP(Mon_W1[[#This Row],[Employee Name]],'Base Schedules'!$A$113:$AW$158,40,FALSE)="","",VLOOKUP(Mon_W1[[#This Row],[Employee Name]],'Base Schedules'!$A$113:$AW$158,40,FALSE)),"")</f>
        <v/>
      </c>
      <c r="AP32" s="184" t="str">
        <f>IFERROR(IF(VLOOKUP(Mon_W1[[#This Row],[Employee Name]],'Base Schedules'!$A$113:$AW$158,41,FALSE)="","",VLOOKUP(Mon_W1[[#This Row],[Employee Name]],'Base Schedules'!$A$113:$AW$158,41,FALSE)),"")</f>
        <v/>
      </c>
      <c r="AQ32" s="184" t="str">
        <f>IFERROR(IF(VLOOKUP(Mon_W1[[#This Row],[Employee Name]],'Base Schedules'!$A$113:$AW$158,42,FALSE)="","",VLOOKUP(Mon_W1[[#This Row],[Employee Name]],'Base Schedules'!$A$113:$AW$158,42,FALSE)),"")</f>
        <v/>
      </c>
      <c r="AR32" s="184" t="str">
        <f>IFERROR(IF(VLOOKUP(Mon_W1[[#This Row],[Employee Name]],'Base Schedules'!$A$113:$AW$158,43,FALSE)="","",VLOOKUP(Mon_W1[[#This Row],[Employee Name]],'Base Schedules'!$A$113:$AW$158,43,FALSE)),"")</f>
        <v/>
      </c>
      <c r="AS32" s="184" t="str">
        <f>IFERROR(IF(VLOOKUP(Mon_W1[[#This Row],[Employee Name]],'Base Schedules'!$A$113:$AW$158,44,FALSE)="","",VLOOKUP(Mon_W1[[#This Row],[Employee Name]],'Base Schedules'!$A$113:$AW$158,44,FALSE)),"")</f>
        <v/>
      </c>
      <c r="AT32" s="184" t="str">
        <f>IFERROR(IF(VLOOKUP(Mon_W1[[#This Row],[Employee Name]],'Base Schedules'!$A$113:$AW$158,45,FALSE)="","",VLOOKUP(Mon_W1[[#This Row],[Employee Name]],'Base Schedules'!$A$113:$AW$158,45,FALSE)),"")</f>
        <v/>
      </c>
      <c r="AU32" s="184" t="str">
        <f>IFERROR(IF(VLOOKUP(Mon_W1[[#This Row],[Employee Name]],'Base Schedules'!$A$113:$AW$158,46,FALSE)="","",VLOOKUP(Mon_W1[[#This Row],[Employee Name]],'Base Schedules'!$A$113:$AW$158,46,FALSE)),"")</f>
        <v/>
      </c>
      <c r="AV32" s="184" t="str">
        <f>IFERROR(IF(VLOOKUP(Mon_W1[[#This Row],[Employee Name]],'Base Schedules'!$A$113:$AW$158,47,FALSE)="","",VLOOKUP(Mon_W1[[#This Row],[Employee Name]],'Base Schedules'!$A$113:$AW$158,47,FALSE)),"")</f>
        <v/>
      </c>
      <c r="AW32" s="184" t="str">
        <f>IFERROR(IF(VLOOKUP(Mon_W1[[#This Row],[Employee Name]],'Base Schedules'!$A$113:$AW$158,48,FALSE)="","",VLOOKUP(Mon_W1[[#This Row],[Employee Name]],'Base Schedules'!$A$113:$AW$158,48,FALSE)),"")</f>
        <v/>
      </c>
      <c r="AX32" s="184" t="str">
        <f>IFERROR(IF(VLOOKUP(Mon_W1[[#This Row],[Employee Name]],'Base Schedules'!$A$113:$AW$158,49,FALSE)="","",VLOOKUP(Mon_W1[[#This Row],[Employee Name]],'Base Schedules'!$A$113:$AW$158,49,FALSE)),"")</f>
        <v/>
      </c>
      <c r="AY32" s="164" t="str">
        <f t="shared" si="2"/>
        <v>Goss, Ian</v>
      </c>
    </row>
    <row r="33" spans="1:51" s="44" customFormat="1" ht="12" x14ac:dyDescent="0.2">
      <c r="A33" s="39" t="str">
        <f>IF(B33="","",INDEX(TeamList[],MATCH($B33,TeamList[[Employee Name]:[Employee Name]],0),MATCH("Manager",TeamList[#Headers],0)))</f>
        <v>Olson, Katherine</v>
      </c>
      <c r="B33" s="201" t="s">
        <v>50</v>
      </c>
      <c r="C33" s="257" t="str">
        <f>_xlfn.IFNA(VLOOKUP(Mon_W1[[#This Row],[Employee Name]],'Base Schedules'!A:B,2,FALSE),"")</f>
        <v>Lead</v>
      </c>
      <c r="D33" s="274">
        <f>_xlfn.IFNA(VLOOKUP(Mon_W1[[#This Row],[Employee Name]],'Base Schedules'!A:C,3,FALSE),"")</f>
        <v>1200</v>
      </c>
      <c r="E33" s="274">
        <f>_xlfn.IFNA(VLOOKUP(Mon_W1[[#This Row],[Employee Name]],'Base Schedules'!A:D,4,FALSE),"")</f>
        <v>2230</v>
      </c>
      <c r="F33" s="142">
        <f>IF(Mon_W1[[#This Row],[Employee Name]]="","",IF(Mon_W1[[#This Row],[Dept]]="Supervisor",COUNTIFS($J33:$AX33,"*HL*",$J33:$AX33,"&lt;&gt;"&amp;"pHL"),COUNTIFS($J33:$AX33,"*HL*",$J33:$AX33,"&lt;&gt;"&amp;"*pHL*",$J33:$AX33,"&lt;&gt;"&amp;"pB1 HL",$J33:$AX33,"&lt;&gt;"&amp;"pB2 HL")-SUM(COUNTIFS($J33:$AX33,"*HL B1*",$J33:$AX33,"&lt;&gt;"&amp;"pHL B1")*0.5,COUNTIFS($J33:$AX33,"*HL B2*",$J33:$AX33,"&lt;&gt;"&amp;"pHL B2")*0.5,COUNTIFS($J33:$AX33,"*B1 HL*",$J33:$AX33,"&lt;&gt;"&amp;"pB1 HL")*0.5,COUNTIFS($J33:$AX33,"*B2 HL*",$J33:$AX33,"&lt;&gt;"&amp;"pB2 HL")*0.5)))</f>
        <v>8.5</v>
      </c>
      <c r="G33" s="142">
        <f t="shared" si="0"/>
        <v>0</v>
      </c>
      <c r="H33" s="142">
        <f t="shared" si="1"/>
        <v>7</v>
      </c>
      <c r="I33" s="142">
        <f>IF(Mon_W1[[#This Row],[Employee Name]]="","",IF(Mon_W1[[#This Row],[Dept]]="Supervisor",SUM(COUNTIFS($J33:$AX33,"RTA*",$J33:$AX33,"&lt;&gt;"&amp;"pRTA"),COUNTIFS($J33:$AX33,"*CRTA*",$J33:$AX33,"&lt;&gt;"&amp;"pCRTA")),COUNTIFS($J33:$AX33,"*RNNR*",$J33:$AX33,"&lt;&gt;"&amp;"*pRNNR*",$J33:$AX33,"&lt;&gt;"&amp;"pB1 RNNR",$J33:$AX33,"&lt;&gt;"&amp;"pB2 RNNR")-SUM(COUNTIFS($J33:$AX33,"*RNNR B1*",$J33:$AX33,"&lt;&gt;"&amp;"pRNNR B1")*0.5,COUNTIFS($J33:$AX33,"*RNNR B2*",$J33:$AX33,"&lt;&gt;"&amp;"pRNNR B2")*0.5,COUNTIFS($J33:$AX33,"*B1 RNNR*",$J33:$AX33,"&lt;&gt;"&amp;"pB1 RNNR")*0.5,COUNTIFS($J33:$AX33,"*B2 RNNR*",$J33:$AX33,"&lt;&gt;"&amp;"pB2 RNNR")*0.5)))</f>
        <v>2</v>
      </c>
      <c r="J33" s="184" t="str">
        <f>IFERROR(IF(VLOOKUP(Mon_W1[[#This Row],[Employee Name]],'Base Schedules'!$A$113:$AW$158,9,FALSE)="","",VLOOKUP(Mon_W1[[#This Row],[Employee Name]],'Base Schedules'!$A$113:$AW$158,9,FALSE)),"")</f>
        <v/>
      </c>
      <c r="K33" s="184" t="str">
        <f>IFERROR(IF(VLOOKUP(Mon_W1[[#This Row],[Employee Name]],'Base Schedules'!$A$113:$AW$158,10,FALSE)="","",VLOOKUP(Mon_W1[[#This Row],[Employee Name]],'Base Schedules'!$A$113:$AW$158,10,FALSE)),"")</f>
        <v/>
      </c>
      <c r="L33" s="184" t="str">
        <f>IFERROR(IF(VLOOKUP(Mon_W1[[#This Row],[Employee Name]],'Base Schedules'!$A$113:$AW$158,11,FALSE)="","",VLOOKUP(Mon_W1[[#This Row],[Employee Name]],'Base Schedules'!$A$113:$AW$158,11,FALSE)),"")</f>
        <v/>
      </c>
      <c r="M33" s="184" t="str">
        <f>IFERROR(IF(VLOOKUP(Mon_W1[[#This Row],[Employee Name]],'Base Schedules'!$A$113:$AW$158,12,FALSE)="","",VLOOKUP(Mon_W1[[#This Row],[Employee Name]],'Base Schedules'!$A$113:$AW$158,12,FALSE)),"")</f>
        <v/>
      </c>
      <c r="N33" s="184" t="str">
        <f>IFERROR(IF(VLOOKUP(Mon_W1[[#This Row],[Employee Name]],'Base Schedules'!$A$113:$AW$158,13,FALSE)="","",VLOOKUP(Mon_W1[[#This Row],[Employee Name]],'Base Schedules'!$A$113:$AW$158,13,FALSE)),"")</f>
        <v/>
      </c>
      <c r="O33" s="184" t="str">
        <f>IFERROR(IF(VLOOKUP(Mon_W1[[#This Row],[Employee Name]],'Base Schedules'!$A$113:$AW$158,14,FALSE)="","",VLOOKUP(Mon_W1[[#This Row],[Employee Name]],'Base Schedules'!$A$113:$AW$158,14,FALSE)),"")</f>
        <v/>
      </c>
      <c r="P33" s="184" t="str">
        <f>IFERROR(IF(VLOOKUP(Mon_W1[[#This Row],[Employee Name]],'Base Schedules'!$A$113:$AW$158,15,FALSE)="","",VLOOKUP(Mon_W1[[#This Row],[Employee Name]],'Base Schedules'!$A$113:$AW$158,15,FALSE)),"")</f>
        <v/>
      </c>
      <c r="Q33" s="184" t="str">
        <f>IFERROR(IF(VLOOKUP(Mon_W1[[#This Row],[Employee Name]],'Base Schedules'!$A$113:$AW$158,16,FALSE)="","",VLOOKUP(Mon_W1[[#This Row],[Employee Name]],'Base Schedules'!$A$113:$AW$158,16,FALSE)),"")</f>
        <v/>
      </c>
      <c r="R33" s="184" t="str">
        <f>IFERROR(IF(VLOOKUP(Mon_W1[[#This Row],[Employee Name]],'Base Schedules'!$A$113:$AW$158,17,FALSE)="","",VLOOKUP(Mon_W1[[#This Row],[Employee Name]],'Base Schedules'!$A$113:$AW$158,17,FALSE)),"")</f>
        <v/>
      </c>
      <c r="S33" s="184" t="str">
        <f>IFERROR(IF(VLOOKUP(Mon_W1[[#This Row],[Employee Name]],'Base Schedules'!$A$113:$AW$158,18,FALSE)="","",VLOOKUP(Mon_W1[[#This Row],[Employee Name]],'Base Schedules'!$A$113:$AW$158,18,FALSE)),"")</f>
        <v/>
      </c>
      <c r="T33" s="184" t="str">
        <f>IFERROR(IF(VLOOKUP(Mon_W1[[#This Row],[Employee Name]],'Base Schedules'!$A$113:$AW$158,19,FALSE)="","",VLOOKUP(Mon_W1[[#This Row],[Employee Name]],'Base Schedules'!$A$113:$AW$158,19,FALSE)),"")</f>
        <v/>
      </c>
      <c r="U33" s="184" t="str">
        <f>IFERROR(IF(VLOOKUP(Mon_W1[[#This Row],[Employee Name]],'Base Schedules'!$A$113:$AW$158,20,FALSE)="","",VLOOKUP(Mon_W1[[#This Row],[Employee Name]],'Base Schedules'!$A$113:$AW$158,20,FALSE)),"")</f>
        <v/>
      </c>
      <c r="V33" s="184" t="str">
        <f>IFERROR(IF(VLOOKUP(Mon_W1[[#This Row],[Employee Name]],'Base Schedules'!$A$113:$AW$158,21,FALSE)="","",VLOOKUP(Mon_W1[[#This Row],[Employee Name]],'Base Schedules'!$A$113:$AW$158,21,FALSE)),"")</f>
        <v/>
      </c>
      <c r="W33" s="184" t="str">
        <f>IFERROR(IF(VLOOKUP(Mon_W1[[#This Row],[Employee Name]],'Base Schedules'!$A$113:$AW$158,22,FALSE)="","",VLOOKUP(Mon_W1[[#This Row],[Employee Name]],'Base Schedules'!$A$113:$AW$158,22,FALSE)),"")</f>
        <v/>
      </c>
      <c r="X33" s="184" t="str">
        <f>IFERROR(IF(VLOOKUP(Mon_W1[[#This Row],[Employee Name]],'Base Schedules'!$A$113:$AW$158,23,FALSE)="","",VLOOKUP(Mon_W1[[#This Row],[Employee Name]],'Base Schedules'!$A$113:$AW$158,23,FALSE)),"")</f>
        <v>ADM</v>
      </c>
      <c r="Y33" s="184" t="str">
        <f>IFERROR(IF(VLOOKUP(Mon_W1[[#This Row],[Employee Name]],'Base Schedules'!$A$113:$AW$158,24,FALSE)="","",VLOOKUP(Mon_W1[[#This Row],[Employee Name]],'Base Schedules'!$A$113:$AW$158,24,FALSE)),"")</f>
        <v>ADM</v>
      </c>
      <c r="Z33" s="184" t="str">
        <f>IFERROR(IF(VLOOKUP(Mon_W1[[#This Row],[Employee Name]],'Base Schedules'!$A$113:$AW$158,25,FALSE)="","",VLOOKUP(Mon_W1[[#This Row],[Employee Name]],'Base Schedules'!$A$113:$AW$158,25,FALSE)),"")</f>
        <v>RNNR</v>
      </c>
      <c r="AA33" s="184" t="str">
        <f>IFERROR(IF(VLOOKUP(Mon_W1[[#This Row],[Employee Name]],'Base Schedules'!$A$113:$AW$158,26,FALSE)="","",VLOOKUP(Mon_W1[[#This Row],[Employee Name]],'Base Schedules'!$A$113:$AW$158,26,FALSE)),"")</f>
        <v>RNNR</v>
      </c>
      <c r="AB33" s="184" t="str">
        <f>IFERROR(IF(VLOOKUP(Mon_W1[[#This Row],[Employee Name]],'Base Schedules'!$A$113:$AW$158,27,FALSE)="","",VLOOKUP(Mon_W1[[#This Row],[Employee Name]],'Base Schedules'!$A$113:$AW$158,27,FALSE)),"")</f>
        <v>ADM</v>
      </c>
      <c r="AC33" s="184" t="str">
        <f>IFERROR(IF(VLOOKUP(Mon_W1[[#This Row],[Employee Name]],'Base Schedules'!$A$113:$AW$158,28,FALSE)="","",VLOOKUP(Mon_W1[[#This Row],[Employee Name]],'Base Schedules'!$A$113:$AW$158,28,FALSE)),"")</f>
        <v>ADM B2</v>
      </c>
      <c r="AD33" s="184" t="str">
        <f>IFERROR(IF(VLOOKUP(Mon_W1[[#This Row],[Employee Name]],'Base Schedules'!$A$113:$AW$158,29,FALSE)="","",VLOOKUP(Mon_W1[[#This Row],[Employee Name]],'Base Schedules'!$A$113:$AW$158,29,FALSE)),"")</f>
        <v>HL</v>
      </c>
      <c r="AE33" s="184" t="str">
        <f>IFERROR(IF(VLOOKUP(Mon_W1[[#This Row],[Employee Name]],'Base Schedules'!$A$113:$AW$158,30,FALSE)="","",VLOOKUP(Mon_W1[[#This Row],[Employee Name]],'Base Schedules'!$A$113:$AW$158,30,FALSE)),"")</f>
        <v>HL</v>
      </c>
      <c r="AF33" s="184" t="str">
        <f>IFERROR(IF(VLOOKUP(Mon_W1[[#This Row],[Employee Name]],'Base Schedules'!$A$113:$AW$158,31,FALSE)="","",VLOOKUP(Mon_W1[[#This Row],[Employee Name]],'Base Schedules'!$A$113:$AW$158,31,FALSE)),"")</f>
        <v>HL</v>
      </c>
      <c r="AG33" s="184" t="str">
        <f>IFERROR(IF(VLOOKUP(Mon_W1[[#This Row],[Employee Name]],'Base Schedules'!$A$113:$AW$158,32,FALSE)="","",VLOOKUP(Mon_W1[[#This Row],[Employee Name]],'Base Schedules'!$A$113:$AW$158,32,FALSE)),"")</f>
        <v>HL</v>
      </c>
      <c r="AH33" s="184" t="str">
        <f>IFERROR(IF(VLOOKUP(Mon_W1[[#This Row],[Employee Name]],'Base Schedules'!$A$113:$AW$158,33,FALSE)="","",VLOOKUP(Mon_W1[[#This Row],[Employee Name]],'Base Schedules'!$A$113:$AW$158,33,FALSE)),"")</f>
        <v>LUNCH</v>
      </c>
      <c r="AI33" s="184" t="str">
        <f>IFERROR(IF(VLOOKUP(Mon_W1[[#This Row],[Employee Name]],'Base Schedules'!$A$113:$AW$158,34,FALSE)="","",VLOOKUP(Mon_W1[[#This Row],[Employee Name]],'Base Schedules'!$A$113:$AW$158,34,FALSE)),"")</f>
        <v>LUNCH</v>
      </c>
      <c r="AJ33" s="184" t="str">
        <f>IFERROR(IF(VLOOKUP(Mon_W1[[#This Row],[Employee Name]],'Base Schedules'!$A$113:$AW$158,35,FALSE)="","",VLOOKUP(Mon_W1[[#This Row],[Employee Name]],'Base Schedules'!$A$113:$AW$158,35,FALSE)),"")</f>
        <v>PROJECT</v>
      </c>
      <c r="AK33" s="184" t="str">
        <f>IFERROR(IF(VLOOKUP(Mon_W1[[#This Row],[Employee Name]],'Base Schedules'!$A$113:$AW$158,36,FALSE)="","",VLOOKUP(Mon_W1[[#This Row],[Employee Name]],'Base Schedules'!$A$113:$AW$158,36,FALSE)),"")</f>
        <v>PROJECT</v>
      </c>
      <c r="AL33" s="184" t="str">
        <f>IFERROR(IF(VLOOKUP(Mon_W1[[#This Row],[Employee Name]],'Base Schedules'!$A$113:$AW$158,37,FALSE)="","",VLOOKUP(Mon_W1[[#This Row],[Employee Name]],'Base Schedules'!$A$113:$AW$158,37,FALSE)),"")</f>
        <v>ADM</v>
      </c>
      <c r="AM33" s="184" t="str">
        <f>IFERROR(IF(VLOOKUP(Mon_W1[[#This Row],[Employee Name]],'Base Schedules'!$A$113:$AW$158,38,FALSE)="","",VLOOKUP(Mon_W1[[#This Row],[Employee Name]],'Base Schedules'!$A$113:$AW$158,38,FALSE)),"")</f>
        <v>ADM</v>
      </c>
      <c r="AN33" s="184" t="str">
        <f>IFERROR(IF(VLOOKUP(Mon_W1[[#This Row],[Employee Name]],'Base Schedules'!$A$113:$AW$158,39,FALSE)="","",VLOOKUP(Mon_W1[[#This Row],[Employee Name]],'Base Schedules'!$A$113:$AW$158,39,FALSE)),"")</f>
        <v>ADM</v>
      </c>
      <c r="AO33" s="184" t="str">
        <f>IFERROR(IF(VLOOKUP(Mon_W1[[#This Row],[Employee Name]],'Base Schedules'!$A$113:$AW$158,40,FALSE)="","",VLOOKUP(Mon_W1[[#This Row],[Employee Name]],'Base Schedules'!$A$113:$AW$158,40,FALSE)),"")</f>
        <v>B2 HL</v>
      </c>
      <c r="AP33" s="184" t="str">
        <f>IFERROR(IF(VLOOKUP(Mon_W1[[#This Row],[Employee Name]],'Base Schedules'!$A$113:$AW$158,41,FALSE)="","",VLOOKUP(Mon_W1[[#This Row],[Employee Name]],'Base Schedules'!$A$113:$AW$158,41,FALSE)),"")</f>
        <v>HL</v>
      </c>
      <c r="AQ33" s="184" t="str">
        <f>IFERROR(IF(VLOOKUP(Mon_W1[[#This Row],[Employee Name]],'Base Schedules'!$A$113:$AW$158,42,FALSE)="","",VLOOKUP(Mon_W1[[#This Row],[Employee Name]],'Base Schedules'!$A$113:$AW$158,42,FALSE)),"")</f>
        <v>HL</v>
      </c>
      <c r="AR33" s="184" t="str">
        <f>IFERROR(IF(VLOOKUP(Mon_W1[[#This Row],[Employee Name]],'Base Schedules'!$A$113:$AW$158,43,FALSE)="","",VLOOKUP(Mon_W1[[#This Row],[Employee Name]],'Base Schedules'!$A$113:$AW$158,43,FALSE)),"")</f>
        <v>HL</v>
      </c>
      <c r="AS33" s="184" t="str">
        <f>IFERROR(IF(VLOOKUP(Mon_W1[[#This Row],[Employee Name]],'Base Schedules'!$A$113:$AW$158,44,FALSE)="","",VLOOKUP(Mon_W1[[#This Row],[Employee Name]],'Base Schedules'!$A$113:$AW$158,44,FALSE)),"")</f>
        <v>HL</v>
      </c>
      <c r="AT33" s="184" t="str">
        <f>IFERROR(IF(VLOOKUP(Mon_W1[[#This Row],[Employee Name]],'Base Schedules'!$A$113:$AW$158,45,FALSE)="","",VLOOKUP(Mon_W1[[#This Row],[Employee Name]],'Base Schedules'!$A$113:$AW$158,45,FALSE)),"")</f>
        <v/>
      </c>
      <c r="AU33" s="184" t="str">
        <f>IFERROR(IF(VLOOKUP(Mon_W1[[#This Row],[Employee Name]],'Base Schedules'!$A$113:$AW$158,46,FALSE)="","",VLOOKUP(Mon_W1[[#This Row],[Employee Name]],'Base Schedules'!$A$113:$AW$158,46,FALSE)),"")</f>
        <v/>
      </c>
      <c r="AV33" s="184" t="str">
        <f>IFERROR(IF(VLOOKUP(Mon_W1[[#This Row],[Employee Name]],'Base Schedules'!$A$113:$AW$158,47,FALSE)="","",VLOOKUP(Mon_W1[[#This Row],[Employee Name]],'Base Schedules'!$A$113:$AW$158,47,FALSE)),"")</f>
        <v/>
      </c>
      <c r="AW33" s="184" t="str">
        <f>IFERROR(IF(VLOOKUP(Mon_W1[[#This Row],[Employee Name]],'Base Schedules'!$A$113:$AW$158,48,FALSE)="","",VLOOKUP(Mon_W1[[#This Row],[Employee Name]],'Base Schedules'!$A$113:$AW$158,48,FALSE)),"")</f>
        <v/>
      </c>
      <c r="AX33" s="184" t="str">
        <f>IFERROR(IF(VLOOKUP(Mon_W1[[#This Row],[Employee Name]],'Base Schedules'!$A$113:$AW$158,49,FALSE)="","",VLOOKUP(Mon_W1[[#This Row],[Employee Name]],'Base Schedules'!$A$113:$AW$158,49,FALSE)),"")</f>
        <v/>
      </c>
      <c r="AY33" s="164" t="str">
        <f t="shared" si="2"/>
        <v>Floirendo, Nicholas</v>
      </c>
    </row>
    <row r="34" spans="1:51" s="44" customFormat="1" ht="12" x14ac:dyDescent="0.2">
      <c r="A34" s="39" t="str">
        <f>IF(B34="","",INDEX(TeamList[],MATCH($B34,TeamList[[Employee Name]:[Employee Name]],0),MATCH("Manager",TeamList[#Headers],0)))</f>
        <v>Olson, Katherine</v>
      </c>
      <c r="B34" s="201" t="s">
        <v>226</v>
      </c>
      <c r="C34" s="257" t="str">
        <f>_xlfn.IFNA(VLOOKUP(Mon_W1[[#This Row],[Employee Name]],'Base Schedules'!A:B,2,FALSE),"")</f>
        <v>Lead</v>
      </c>
      <c r="D34" s="274">
        <f>_xlfn.IFNA(VLOOKUP(Mon_W1[[#This Row],[Employee Name]],'Base Schedules'!A:C,3,FALSE),"")</f>
        <v>1200</v>
      </c>
      <c r="E34" s="274">
        <f>_xlfn.IFNA(VLOOKUP(Mon_W1[[#This Row],[Employee Name]],'Base Schedules'!A:D,4,FALSE),"")</f>
        <v>2030</v>
      </c>
      <c r="F34" s="142">
        <f>IF(Mon_W1[[#This Row],[Employee Name]]="","",IF(Mon_W1[[#This Row],[Dept]]="Supervisor",COUNTIFS($J34:$AX34,"*HL*",$J34:$AX34,"&lt;&gt;"&amp;"pHL"),COUNTIFS($J34:$AX34,"*HL*",$J34:$AX34,"&lt;&gt;"&amp;"*pHL*",$J34:$AX34,"&lt;&gt;"&amp;"pB1 HL",$J34:$AX34,"&lt;&gt;"&amp;"pB2 HL")-SUM(COUNTIFS($J34:$AX34,"*HL B1*",$J34:$AX34,"&lt;&gt;"&amp;"pHL B1")*0.5,COUNTIFS($J34:$AX34,"*HL B2*",$J34:$AX34,"&lt;&gt;"&amp;"pHL B2")*0.5,COUNTIFS($J34:$AX34,"*B1 HL*",$J34:$AX34,"&lt;&gt;"&amp;"pB1 HL")*0.5,COUNTIFS($J34:$AX34,"*B2 HL*",$J34:$AX34,"&lt;&gt;"&amp;"pB2 HL")*0.5)))</f>
        <v>7.5</v>
      </c>
      <c r="G34" s="142">
        <f t="shared" si="0"/>
        <v>0</v>
      </c>
      <c r="H34" s="142">
        <f t="shared" si="1"/>
        <v>6</v>
      </c>
      <c r="I34" s="142">
        <f>IF(Mon_W1[[#This Row],[Employee Name]]="","",IF(Mon_W1[[#This Row],[Dept]]="Supervisor",SUM(COUNTIFS($J34:$AX34,"RTA*",$J34:$AX34,"&lt;&gt;"&amp;"pRTA"),COUNTIFS($J34:$AX34,"*CRTA*",$J34:$AX34,"&lt;&gt;"&amp;"pCRTA")),COUNTIFS($J34:$AX34,"*RNNR*",$J34:$AX34,"&lt;&gt;"&amp;"*pRNNR*",$J34:$AX34,"&lt;&gt;"&amp;"pB1 RNNR",$J34:$AX34,"&lt;&gt;"&amp;"pB2 RNNR")-SUM(COUNTIFS($J34:$AX34,"*RNNR B1*",$J34:$AX34,"&lt;&gt;"&amp;"pRNNR B1")*0.5,COUNTIFS($J34:$AX34,"*RNNR B2*",$J34:$AX34,"&lt;&gt;"&amp;"pRNNR B2")*0.5,COUNTIFS($J34:$AX34,"*B1 RNNR*",$J34:$AX34,"&lt;&gt;"&amp;"pB1 RNNR")*0.5,COUNTIFS($J34:$AX34,"*B2 RNNR*",$J34:$AX34,"&lt;&gt;"&amp;"pB2 RNNR")*0.5)))</f>
        <v>2</v>
      </c>
      <c r="J34" s="184" t="str">
        <f>IFERROR(IF(VLOOKUP(Mon_W1[[#This Row],[Employee Name]],'Base Schedules'!$A$113:$AW$158,9,FALSE)="","",VLOOKUP(Mon_W1[[#This Row],[Employee Name]],'Base Schedules'!$A$113:$AW$158,9,FALSE)),"")</f>
        <v/>
      </c>
      <c r="K34" s="184" t="str">
        <f>IFERROR(IF(VLOOKUP(Mon_W1[[#This Row],[Employee Name]],'Base Schedules'!$A$113:$AW$158,10,FALSE)="","",VLOOKUP(Mon_W1[[#This Row],[Employee Name]],'Base Schedules'!$A$113:$AW$158,10,FALSE)),"")</f>
        <v/>
      </c>
      <c r="L34" s="184" t="str">
        <f>IFERROR(IF(VLOOKUP(Mon_W1[[#This Row],[Employee Name]],'Base Schedules'!$A$113:$AW$158,11,FALSE)="","",VLOOKUP(Mon_W1[[#This Row],[Employee Name]],'Base Schedules'!$A$113:$AW$158,11,FALSE)),"")</f>
        <v/>
      </c>
      <c r="M34" s="184" t="str">
        <f>IFERROR(IF(VLOOKUP(Mon_W1[[#This Row],[Employee Name]],'Base Schedules'!$A$113:$AW$158,12,FALSE)="","",VLOOKUP(Mon_W1[[#This Row],[Employee Name]],'Base Schedules'!$A$113:$AW$158,12,FALSE)),"")</f>
        <v/>
      </c>
      <c r="N34" s="184" t="str">
        <f>IFERROR(IF(VLOOKUP(Mon_W1[[#This Row],[Employee Name]],'Base Schedules'!$A$113:$AW$158,13,FALSE)="","",VLOOKUP(Mon_W1[[#This Row],[Employee Name]],'Base Schedules'!$A$113:$AW$158,13,FALSE)),"")</f>
        <v/>
      </c>
      <c r="O34" s="184" t="str">
        <f>IFERROR(IF(VLOOKUP(Mon_W1[[#This Row],[Employee Name]],'Base Schedules'!$A$113:$AW$158,14,FALSE)="","",VLOOKUP(Mon_W1[[#This Row],[Employee Name]],'Base Schedules'!$A$113:$AW$158,14,FALSE)),"")</f>
        <v/>
      </c>
      <c r="P34" s="184" t="str">
        <f>IFERROR(IF(VLOOKUP(Mon_W1[[#This Row],[Employee Name]],'Base Schedules'!$A$113:$AW$158,15,FALSE)="","",VLOOKUP(Mon_W1[[#This Row],[Employee Name]],'Base Schedules'!$A$113:$AW$158,15,FALSE)),"")</f>
        <v/>
      </c>
      <c r="Q34" s="184" t="str">
        <f>IFERROR(IF(VLOOKUP(Mon_W1[[#This Row],[Employee Name]],'Base Schedules'!$A$113:$AW$158,16,FALSE)="","",VLOOKUP(Mon_W1[[#This Row],[Employee Name]],'Base Schedules'!$A$113:$AW$158,16,FALSE)),"")</f>
        <v/>
      </c>
      <c r="R34" s="184" t="str">
        <f>IFERROR(IF(VLOOKUP(Mon_W1[[#This Row],[Employee Name]],'Base Schedules'!$A$113:$AW$158,17,FALSE)="","",VLOOKUP(Mon_W1[[#This Row],[Employee Name]],'Base Schedules'!$A$113:$AW$158,17,FALSE)),"")</f>
        <v/>
      </c>
      <c r="S34" s="184" t="str">
        <f>IFERROR(IF(VLOOKUP(Mon_W1[[#This Row],[Employee Name]],'Base Schedules'!$A$113:$AW$158,18,FALSE)="","",VLOOKUP(Mon_W1[[#This Row],[Employee Name]],'Base Schedules'!$A$113:$AW$158,18,FALSE)),"")</f>
        <v/>
      </c>
      <c r="T34" s="184" t="str">
        <f>IFERROR(IF(VLOOKUP(Mon_W1[[#This Row],[Employee Name]],'Base Schedules'!$A$113:$AW$158,19,FALSE)="","",VLOOKUP(Mon_W1[[#This Row],[Employee Name]],'Base Schedules'!$A$113:$AW$158,19,FALSE)),"")</f>
        <v/>
      </c>
      <c r="U34" s="184" t="str">
        <f>IFERROR(IF(VLOOKUP(Mon_W1[[#This Row],[Employee Name]],'Base Schedules'!$A$113:$AW$158,20,FALSE)="","",VLOOKUP(Mon_W1[[#This Row],[Employee Name]],'Base Schedules'!$A$113:$AW$158,20,FALSE)),"")</f>
        <v/>
      </c>
      <c r="V34" s="184" t="str">
        <f>IFERROR(IF(VLOOKUP(Mon_W1[[#This Row],[Employee Name]],'Base Schedules'!$A$113:$AW$158,21,FALSE)="","",VLOOKUP(Mon_W1[[#This Row],[Employee Name]],'Base Schedules'!$A$113:$AW$158,21,FALSE)),"")</f>
        <v/>
      </c>
      <c r="W34" s="184" t="str">
        <f>IFERROR(IF(VLOOKUP(Mon_W1[[#This Row],[Employee Name]],'Base Schedules'!$A$113:$AW$158,22,FALSE)="","",VLOOKUP(Mon_W1[[#This Row],[Employee Name]],'Base Schedules'!$A$113:$AW$158,22,FALSE)),"")</f>
        <v/>
      </c>
      <c r="X34" s="184" t="str">
        <f>IFERROR(IF(VLOOKUP(Mon_W1[[#This Row],[Employee Name]],'Base Schedules'!$A$113:$AW$158,23,FALSE)="","",VLOOKUP(Mon_W1[[#This Row],[Employee Name]],'Base Schedules'!$A$113:$AW$158,23,FALSE)),"")</f>
        <v>HL</v>
      </c>
      <c r="Y34" s="184" t="str">
        <f>IFERROR(IF(VLOOKUP(Mon_W1[[#This Row],[Employee Name]],'Base Schedules'!$A$113:$AW$158,24,FALSE)="","",VLOOKUP(Mon_W1[[#This Row],[Employee Name]],'Base Schedules'!$A$113:$AW$158,24,FALSE)),"")</f>
        <v>HL</v>
      </c>
      <c r="Z34" s="184" t="str">
        <f>IFERROR(IF(VLOOKUP(Mon_W1[[#This Row],[Employee Name]],'Base Schedules'!$A$113:$AW$158,25,FALSE)="","",VLOOKUP(Mon_W1[[#This Row],[Employee Name]],'Base Schedules'!$A$113:$AW$158,25,FALSE)),"")</f>
        <v>ADM</v>
      </c>
      <c r="AA34" s="184" t="str">
        <f>IFERROR(IF(VLOOKUP(Mon_W1[[#This Row],[Employee Name]],'Base Schedules'!$A$113:$AW$158,26,FALSE)="","",VLOOKUP(Mon_W1[[#This Row],[Employee Name]],'Base Schedules'!$A$113:$AW$158,26,FALSE)),"")</f>
        <v>ADM</v>
      </c>
      <c r="AB34" s="184" t="str">
        <f>IFERROR(IF(VLOOKUP(Mon_W1[[#This Row],[Employee Name]],'Base Schedules'!$A$113:$AW$158,27,FALSE)="","",VLOOKUP(Mon_W1[[#This Row],[Employee Name]],'Base Schedules'!$A$113:$AW$158,27,FALSE)),"")</f>
        <v>ADM B1</v>
      </c>
      <c r="AC34" s="184" t="str">
        <f>IFERROR(IF(VLOOKUP(Mon_W1[[#This Row],[Employee Name]],'Base Schedules'!$A$113:$AW$158,28,FALSE)="","",VLOOKUP(Mon_W1[[#This Row],[Employee Name]],'Base Schedules'!$A$113:$AW$158,28,FALSE)),"")</f>
        <v>ADM</v>
      </c>
      <c r="AD34" s="184" t="str">
        <f>IFERROR(IF(VLOOKUP(Mon_W1[[#This Row],[Employee Name]],'Base Schedules'!$A$113:$AW$158,29,FALSE)="","",VLOOKUP(Mon_W1[[#This Row],[Employee Name]],'Base Schedules'!$A$113:$AW$158,29,FALSE)),"")</f>
        <v>HL</v>
      </c>
      <c r="AE34" s="184" t="str">
        <f>IFERROR(IF(VLOOKUP(Mon_W1[[#This Row],[Employee Name]],'Base Schedules'!$A$113:$AW$158,30,FALSE)="","",VLOOKUP(Mon_W1[[#This Row],[Employee Name]],'Base Schedules'!$A$113:$AW$158,30,FALSE)),"")</f>
        <v>HL</v>
      </c>
      <c r="AF34" s="184" t="str">
        <f>IFERROR(IF(VLOOKUP(Mon_W1[[#This Row],[Employee Name]],'Base Schedules'!$A$113:$AW$158,31,FALSE)="","",VLOOKUP(Mon_W1[[#This Row],[Employee Name]],'Base Schedules'!$A$113:$AW$158,31,FALSE)),"")</f>
        <v>LUNCH</v>
      </c>
      <c r="AG34" s="184" t="str">
        <f>IFERROR(IF(VLOOKUP(Mon_W1[[#This Row],[Employee Name]],'Base Schedules'!$A$113:$AW$158,32,FALSE)="","",VLOOKUP(Mon_W1[[#This Row],[Employee Name]],'Base Schedules'!$A$113:$AW$158,32,FALSE)),"")</f>
        <v>HL</v>
      </c>
      <c r="AH34" s="184" t="str">
        <f>IFERROR(IF(VLOOKUP(Mon_W1[[#This Row],[Employee Name]],'Base Schedules'!$A$113:$AW$158,33,FALSE)="","",VLOOKUP(Mon_W1[[#This Row],[Employee Name]],'Base Schedules'!$A$113:$AW$158,33,FALSE)),"")</f>
        <v>ADM</v>
      </c>
      <c r="AI34" s="184" t="str">
        <f>IFERROR(IF(VLOOKUP(Mon_W1[[#This Row],[Employee Name]],'Base Schedules'!$A$113:$AW$158,34,FALSE)="","",VLOOKUP(Mon_W1[[#This Row],[Employee Name]],'Base Schedules'!$A$113:$AW$158,34,FALSE)),"")</f>
        <v>ADM</v>
      </c>
      <c r="AJ34" s="184" t="str">
        <f>IFERROR(IF(VLOOKUP(Mon_W1[[#This Row],[Employee Name]],'Base Schedules'!$A$113:$AW$158,35,FALSE)="","",VLOOKUP(Mon_W1[[#This Row],[Employee Name]],'Base Schedules'!$A$113:$AW$158,35,FALSE)),"")</f>
        <v>HL B2</v>
      </c>
      <c r="AK34" s="184" t="str">
        <f>IFERROR(IF(VLOOKUP(Mon_W1[[#This Row],[Employee Name]],'Base Schedules'!$A$113:$AW$158,36,FALSE)="","",VLOOKUP(Mon_W1[[#This Row],[Employee Name]],'Base Schedules'!$A$113:$AW$158,36,FALSE)),"")</f>
        <v>HL</v>
      </c>
      <c r="AL34" s="184" t="str">
        <f>IFERROR(IF(VLOOKUP(Mon_W1[[#This Row],[Employee Name]],'Base Schedules'!$A$113:$AW$158,37,FALSE)="","",VLOOKUP(Mon_W1[[#This Row],[Employee Name]],'Base Schedules'!$A$113:$AW$158,37,FALSE)),"")</f>
        <v>RNNR</v>
      </c>
      <c r="AM34" s="184" t="str">
        <f>IFERROR(IF(VLOOKUP(Mon_W1[[#This Row],[Employee Name]],'Base Schedules'!$A$113:$AW$158,38,FALSE)="","",VLOOKUP(Mon_W1[[#This Row],[Employee Name]],'Base Schedules'!$A$113:$AW$158,38,FALSE)),"")</f>
        <v>RNNR</v>
      </c>
      <c r="AN34" s="184" t="str">
        <f>IFERROR(IF(VLOOKUP(Mon_W1[[#This Row],[Employee Name]],'Base Schedules'!$A$113:$AW$158,39,FALSE)="","",VLOOKUP(Mon_W1[[#This Row],[Employee Name]],'Base Schedules'!$A$113:$AW$158,39,FALSE)),"")</f>
        <v>HL</v>
      </c>
      <c r="AO34" s="184" t="str">
        <f>IFERROR(IF(VLOOKUP(Mon_W1[[#This Row],[Employee Name]],'Base Schedules'!$A$113:$AW$158,40,FALSE)="","",VLOOKUP(Mon_W1[[#This Row],[Employee Name]],'Base Schedules'!$A$113:$AW$158,40,FALSE)),"")</f>
        <v/>
      </c>
      <c r="AP34" s="184" t="str">
        <f>IFERROR(IF(VLOOKUP(Mon_W1[[#This Row],[Employee Name]],'Base Schedules'!$A$113:$AW$158,41,FALSE)="","",VLOOKUP(Mon_W1[[#This Row],[Employee Name]],'Base Schedules'!$A$113:$AW$158,41,FALSE)),"")</f>
        <v/>
      </c>
      <c r="AQ34" s="184" t="str">
        <f>IFERROR(IF(VLOOKUP(Mon_W1[[#This Row],[Employee Name]],'Base Schedules'!$A$113:$AW$158,42,FALSE)="","",VLOOKUP(Mon_W1[[#This Row],[Employee Name]],'Base Schedules'!$A$113:$AW$158,42,FALSE)),"")</f>
        <v/>
      </c>
      <c r="AR34" s="184" t="str">
        <f>IFERROR(IF(VLOOKUP(Mon_W1[[#This Row],[Employee Name]],'Base Schedules'!$A$113:$AW$158,43,FALSE)="","",VLOOKUP(Mon_W1[[#This Row],[Employee Name]],'Base Schedules'!$A$113:$AW$158,43,FALSE)),"")</f>
        <v/>
      </c>
      <c r="AS34" s="184" t="str">
        <f>IFERROR(IF(VLOOKUP(Mon_W1[[#This Row],[Employee Name]],'Base Schedules'!$A$113:$AW$158,44,FALSE)="","",VLOOKUP(Mon_W1[[#This Row],[Employee Name]],'Base Schedules'!$A$113:$AW$158,44,FALSE)),"")</f>
        <v/>
      </c>
      <c r="AT34" s="184" t="str">
        <f>IFERROR(IF(VLOOKUP(Mon_W1[[#This Row],[Employee Name]],'Base Schedules'!$A$113:$AW$158,45,FALSE)="","",VLOOKUP(Mon_W1[[#This Row],[Employee Name]],'Base Schedules'!$A$113:$AW$158,45,FALSE)),"")</f>
        <v/>
      </c>
      <c r="AU34" s="184" t="str">
        <f>IFERROR(IF(VLOOKUP(Mon_W1[[#This Row],[Employee Name]],'Base Schedules'!$A$113:$AW$158,46,FALSE)="","",VLOOKUP(Mon_W1[[#This Row],[Employee Name]],'Base Schedules'!$A$113:$AW$158,46,FALSE)),"")</f>
        <v/>
      </c>
      <c r="AV34" s="184" t="str">
        <f>IFERROR(IF(VLOOKUP(Mon_W1[[#This Row],[Employee Name]],'Base Schedules'!$A$113:$AW$158,47,FALSE)="","",VLOOKUP(Mon_W1[[#This Row],[Employee Name]],'Base Schedules'!$A$113:$AW$158,47,FALSE)),"")</f>
        <v/>
      </c>
      <c r="AW34" s="184" t="str">
        <f>IFERROR(IF(VLOOKUP(Mon_W1[[#This Row],[Employee Name]],'Base Schedules'!$A$113:$AW$158,48,FALSE)="","",VLOOKUP(Mon_W1[[#This Row],[Employee Name]],'Base Schedules'!$A$113:$AW$158,48,FALSE)),"")</f>
        <v/>
      </c>
      <c r="AX34" s="184" t="str">
        <f>IFERROR(IF(VLOOKUP(Mon_W1[[#This Row],[Employee Name]],'Base Schedules'!$A$113:$AW$158,49,FALSE)="","",VLOOKUP(Mon_W1[[#This Row],[Employee Name]],'Base Schedules'!$A$113:$AW$158,49,FALSE)),"")</f>
        <v/>
      </c>
      <c r="AY34" s="164" t="str">
        <f t="shared" si="2"/>
        <v>Harding, Mickeya</v>
      </c>
    </row>
    <row r="35" spans="1:51" s="44" customFormat="1" ht="12" x14ac:dyDescent="0.2">
      <c r="A35" s="39" t="str">
        <f>IF(B35="","",INDEX(TeamList[],MATCH($B35,TeamList[[Employee Name]:[Employee Name]],0),MATCH("Manager",TeamList[#Headers],0)))</f>
        <v>Ahmed Hassan, Zahra</v>
      </c>
      <c r="B35" s="201" t="s">
        <v>63</v>
      </c>
      <c r="C35" s="257" t="str">
        <f>_xlfn.IFNA(VLOOKUP(Mon_W1[[#This Row],[Employee Name]],'Base Schedules'!A:B,2,FALSE),"")</f>
        <v>Supervisor</v>
      </c>
      <c r="D35" s="274">
        <f>_xlfn.IFNA(VLOOKUP(Mon_W1[[#This Row],[Employee Name]],'Base Schedules'!A:C,3,FALSE),"")</f>
        <v>1200</v>
      </c>
      <c r="E35" s="274">
        <f>_xlfn.IFNA(VLOOKUP(Mon_W1[[#This Row],[Employee Name]],'Base Schedules'!A:D,4,FALSE),"")</f>
        <v>2100</v>
      </c>
      <c r="F35" s="142">
        <f>IF(Mon_W1[[#This Row],[Employee Name]]="","",IF(Mon_W1[[#This Row],[Dept]]="Supervisor",COUNTIFS($J35:$AX35,"*HL*",$J35:$AX35,"&lt;&gt;"&amp;"pHL"),COUNTIFS($J35:$AX35,"*HL*",$J35:$AX35,"&lt;&gt;"&amp;"*pHL*",$J35:$AX35,"&lt;&gt;"&amp;"pB1 HL",$J35:$AX35,"&lt;&gt;"&amp;"pB2 HL")-SUM(COUNTIFS($J35:$AX35,"*HL B1*",$J35:$AX35,"&lt;&gt;"&amp;"pHL B1")*0.5,COUNTIFS($J35:$AX35,"*HL B2*",$J35:$AX35,"&lt;&gt;"&amp;"pHL B2")*0.5,COUNTIFS($J35:$AX35,"*B1 HL*",$J35:$AX35,"&lt;&gt;"&amp;"pB1 HL")*0.5,COUNTIFS($J35:$AX35,"*B2 HL*",$J35:$AX35,"&lt;&gt;"&amp;"pB2 HL")*0.5)))</f>
        <v>0</v>
      </c>
      <c r="G35" s="142">
        <f t="shared" si="0"/>
        <v>0</v>
      </c>
      <c r="H35" s="142">
        <f t="shared" si="1"/>
        <v>0</v>
      </c>
      <c r="I35" s="142">
        <f>IF(Mon_W1[[#This Row],[Employee Name]]="","",IF(Mon_W1[[#This Row],[Dept]]="Supervisor",SUM(COUNTIFS($J35:$AX35,"RTA*",$J35:$AX35,"&lt;&gt;"&amp;"pRTA"),COUNTIFS($J35:$AX35,"*CRTA*",$J35:$AX35,"&lt;&gt;"&amp;"pCRTA")),COUNTIFS($J35:$AX35,"*RNNR*",$J35:$AX35,"&lt;&gt;"&amp;"*pRNNR*",$J35:$AX35,"&lt;&gt;"&amp;"pB1 RNNR",$J35:$AX35,"&lt;&gt;"&amp;"pB2 RNNR")-SUM(COUNTIFS($J35:$AX35,"*RNNR B1*",$J35:$AX35,"&lt;&gt;"&amp;"pRNNR B1")*0.5,COUNTIFS($J35:$AX35,"*RNNR B2*",$J35:$AX35,"&lt;&gt;"&amp;"pRNNR B2")*0.5,COUNTIFS($J35:$AX35,"*B1 RNNR*",$J35:$AX35,"&lt;&gt;"&amp;"pB1 RNNR")*0.5,COUNTIFS($J35:$AX35,"*B2 RNNR*",$J35:$AX35,"&lt;&gt;"&amp;"pB2 RNNR")*0.5)))</f>
        <v>0</v>
      </c>
      <c r="J35" s="184" t="str">
        <f>IFERROR(IF(VLOOKUP(Mon_W1[[#This Row],[Employee Name]],'Base Schedules'!$A$113:$AW$158,9,FALSE)="","",VLOOKUP(Mon_W1[[#This Row],[Employee Name]],'Base Schedules'!$A$113:$AW$158,9,FALSE)),"")</f>
        <v/>
      </c>
      <c r="K35" s="184" t="str">
        <f>IFERROR(IF(VLOOKUP(Mon_W1[[#This Row],[Employee Name]],'Base Schedules'!$A$113:$AW$158,10,FALSE)="","",VLOOKUP(Mon_W1[[#This Row],[Employee Name]],'Base Schedules'!$A$113:$AW$158,10,FALSE)),"")</f>
        <v/>
      </c>
      <c r="L35" s="184" t="str">
        <f>IFERROR(IF(VLOOKUP(Mon_W1[[#This Row],[Employee Name]],'Base Schedules'!$A$113:$AW$158,11,FALSE)="","",VLOOKUP(Mon_W1[[#This Row],[Employee Name]],'Base Schedules'!$A$113:$AW$158,11,FALSE)),"")</f>
        <v/>
      </c>
      <c r="M35" s="184" t="str">
        <f>IFERROR(IF(VLOOKUP(Mon_W1[[#This Row],[Employee Name]],'Base Schedules'!$A$113:$AW$158,12,FALSE)="","",VLOOKUP(Mon_W1[[#This Row],[Employee Name]],'Base Schedules'!$A$113:$AW$158,12,FALSE)),"")</f>
        <v/>
      </c>
      <c r="N35" s="184" t="str">
        <f>IFERROR(IF(VLOOKUP(Mon_W1[[#This Row],[Employee Name]],'Base Schedules'!$A$113:$AW$158,13,FALSE)="","",VLOOKUP(Mon_W1[[#This Row],[Employee Name]],'Base Schedules'!$A$113:$AW$158,13,FALSE)),"")</f>
        <v/>
      </c>
      <c r="O35" s="184" t="str">
        <f>IFERROR(IF(VLOOKUP(Mon_W1[[#This Row],[Employee Name]],'Base Schedules'!$A$113:$AW$158,14,FALSE)="","",VLOOKUP(Mon_W1[[#This Row],[Employee Name]],'Base Schedules'!$A$113:$AW$158,14,FALSE)),"")</f>
        <v/>
      </c>
      <c r="P35" s="184" t="str">
        <f>IFERROR(IF(VLOOKUP(Mon_W1[[#This Row],[Employee Name]],'Base Schedules'!$A$113:$AW$158,15,FALSE)="","",VLOOKUP(Mon_W1[[#This Row],[Employee Name]],'Base Schedules'!$A$113:$AW$158,15,FALSE)),"")</f>
        <v/>
      </c>
      <c r="Q35" s="184" t="str">
        <f>IFERROR(IF(VLOOKUP(Mon_W1[[#This Row],[Employee Name]],'Base Schedules'!$A$113:$AW$158,16,FALSE)="","",VLOOKUP(Mon_W1[[#This Row],[Employee Name]],'Base Schedules'!$A$113:$AW$158,16,FALSE)),"")</f>
        <v/>
      </c>
      <c r="R35" s="184" t="str">
        <f>IFERROR(IF(VLOOKUP(Mon_W1[[#This Row],[Employee Name]],'Base Schedules'!$A$113:$AW$158,17,FALSE)="","",VLOOKUP(Mon_W1[[#This Row],[Employee Name]],'Base Schedules'!$A$113:$AW$158,17,FALSE)),"")</f>
        <v/>
      </c>
      <c r="S35" s="184" t="str">
        <f>IFERROR(IF(VLOOKUP(Mon_W1[[#This Row],[Employee Name]],'Base Schedules'!$A$113:$AW$158,18,FALSE)="","",VLOOKUP(Mon_W1[[#This Row],[Employee Name]],'Base Schedules'!$A$113:$AW$158,18,FALSE)),"")</f>
        <v/>
      </c>
      <c r="T35" s="184" t="str">
        <f>IFERROR(IF(VLOOKUP(Mon_W1[[#This Row],[Employee Name]],'Base Schedules'!$A$113:$AW$158,19,FALSE)="","",VLOOKUP(Mon_W1[[#This Row],[Employee Name]],'Base Schedules'!$A$113:$AW$158,19,FALSE)),"")</f>
        <v/>
      </c>
      <c r="U35" s="184" t="str">
        <f>IFERROR(IF(VLOOKUP(Mon_W1[[#This Row],[Employee Name]],'Base Schedules'!$A$113:$AW$158,20,FALSE)="","",VLOOKUP(Mon_W1[[#This Row],[Employee Name]],'Base Schedules'!$A$113:$AW$158,20,FALSE)),"")</f>
        <v/>
      </c>
      <c r="V35" s="184" t="str">
        <f>IFERROR(IF(VLOOKUP(Mon_W1[[#This Row],[Employee Name]],'Base Schedules'!$A$113:$AW$158,21,FALSE)="","",VLOOKUP(Mon_W1[[#This Row],[Employee Name]],'Base Schedules'!$A$113:$AW$158,21,FALSE)),"")</f>
        <v/>
      </c>
      <c r="W35" s="184" t="str">
        <f>IFERROR(IF(VLOOKUP(Mon_W1[[#This Row],[Employee Name]],'Base Schedules'!$A$113:$AW$158,22,FALSE)="","",VLOOKUP(Mon_W1[[#This Row],[Employee Name]],'Base Schedules'!$A$113:$AW$158,22,FALSE)),"")</f>
        <v/>
      </c>
      <c r="X35" s="184" t="str">
        <f>IFERROR(IF(VLOOKUP(Mon_W1[[#This Row],[Employee Name]],'Base Schedules'!$A$113:$AW$158,23,FALSE)="","",VLOOKUP(Mon_W1[[#This Row],[Employee Name]],'Base Schedules'!$A$113:$AW$158,23,FALSE)),"")</f>
        <v>-</v>
      </c>
      <c r="Y35" s="184" t="str">
        <f>IFERROR(IF(VLOOKUP(Mon_W1[[#This Row],[Employee Name]],'Base Schedules'!$A$113:$AW$158,24,FALSE)="","",VLOOKUP(Mon_W1[[#This Row],[Employee Name]],'Base Schedules'!$A$113:$AW$158,24,FALSE)),"")</f>
        <v>-</v>
      </c>
      <c r="Z35" s="184" t="str">
        <f>IFERROR(IF(VLOOKUP(Mon_W1[[#This Row],[Employee Name]],'Base Schedules'!$A$113:$AW$158,25,FALSE)="","",VLOOKUP(Mon_W1[[#This Row],[Employee Name]],'Base Schedules'!$A$113:$AW$158,25,FALSE)),"")</f>
        <v>-</v>
      </c>
      <c r="AA35" s="184" t="str">
        <f>IFERROR(IF(VLOOKUP(Mon_W1[[#This Row],[Employee Name]],'Base Schedules'!$A$113:$AW$158,26,FALSE)="","",VLOOKUP(Mon_W1[[#This Row],[Employee Name]],'Base Schedules'!$A$113:$AW$158,26,FALSE)),"")</f>
        <v>-</v>
      </c>
      <c r="AB35" s="184" t="str">
        <f>IFERROR(IF(VLOOKUP(Mon_W1[[#This Row],[Employee Name]],'Base Schedules'!$A$113:$AW$158,27,FALSE)="","",VLOOKUP(Mon_W1[[#This Row],[Employee Name]],'Base Schedules'!$A$113:$AW$158,27,FALSE)),"")</f>
        <v>-</v>
      </c>
      <c r="AC35" s="184" t="str">
        <f>IFERROR(IF(VLOOKUP(Mon_W1[[#This Row],[Employee Name]],'Base Schedules'!$A$113:$AW$158,28,FALSE)="","",VLOOKUP(Mon_W1[[#This Row],[Employee Name]],'Base Schedules'!$A$113:$AW$158,28,FALSE)),"")</f>
        <v>-</v>
      </c>
      <c r="AD35" s="184" t="str">
        <f>IFERROR(IF(VLOOKUP(Mon_W1[[#This Row],[Employee Name]],'Base Schedules'!$A$113:$AW$158,29,FALSE)="","",VLOOKUP(Mon_W1[[#This Row],[Employee Name]],'Base Schedules'!$A$113:$AW$158,29,FALSE)),"")</f>
        <v>-</v>
      </c>
      <c r="AE35" s="184" t="str">
        <f>IFERROR(IF(VLOOKUP(Mon_W1[[#This Row],[Employee Name]],'Base Schedules'!$A$113:$AW$158,30,FALSE)="","",VLOOKUP(Mon_W1[[#This Row],[Employee Name]],'Base Schedules'!$A$113:$AW$158,30,FALSE)),"")</f>
        <v>-</v>
      </c>
      <c r="AF35" s="184" t="str">
        <f>IFERROR(IF(VLOOKUP(Mon_W1[[#This Row],[Employee Name]],'Base Schedules'!$A$113:$AW$158,31,FALSE)="","",VLOOKUP(Mon_W1[[#This Row],[Employee Name]],'Base Schedules'!$A$113:$AW$158,31,FALSE)),"")</f>
        <v>-</v>
      </c>
      <c r="AG35" s="184" t="str">
        <f>IFERROR(IF(VLOOKUP(Mon_W1[[#This Row],[Employee Name]],'Base Schedules'!$A$113:$AW$158,32,FALSE)="","",VLOOKUP(Mon_W1[[#This Row],[Employee Name]],'Base Schedules'!$A$113:$AW$158,32,FALSE)),"")</f>
        <v>-</v>
      </c>
      <c r="AH35" s="184" t="str">
        <f>IFERROR(IF(VLOOKUP(Mon_W1[[#This Row],[Employee Name]],'Base Schedules'!$A$113:$AW$158,33,FALSE)="","",VLOOKUP(Mon_W1[[#This Row],[Employee Name]],'Base Schedules'!$A$113:$AW$158,33,FALSE)),"")</f>
        <v>Interview</v>
      </c>
      <c r="AI35" s="184" t="str">
        <f>IFERROR(IF(VLOOKUP(Mon_W1[[#This Row],[Employee Name]],'Base Schedules'!$A$113:$AW$158,34,FALSE)="","",VLOOKUP(Mon_W1[[#This Row],[Employee Name]],'Base Schedules'!$A$113:$AW$158,34,FALSE)),"")</f>
        <v>Interview</v>
      </c>
      <c r="AJ35" s="184" t="str">
        <f>IFERROR(IF(VLOOKUP(Mon_W1[[#This Row],[Employee Name]],'Base Schedules'!$A$113:$AW$158,35,FALSE)="","",VLOOKUP(Mon_W1[[#This Row],[Employee Name]],'Base Schedules'!$A$113:$AW$158,35,FALSE)),"")</f>
        <v>-</v>
      </c>
      <c r="AK35" s="184" t="str">
        <f>IFERROR(IF(VLOOKUP(Mon_W1[[#This Row],[Employee Name]],'Base Schedules'!$A$113:$AW$158,36,FALSE)="","",VLOOKUP(Mon_W1[[#This Row],[Employee Name]],'Base Schedules'!$A$113:$AW$158,36,FALSE)),"")</f>
        <v>-</v>
      </c>
      <c r="AL35" s="184" t="str">
        <f>IFERROR(IF(VLOOKUP(Mon_W1[[#This Row],[Employee Name]],'Base Schedules'!$A$113:$AW$158,37,FALSE)="","",VLOOKUP(Mon_W1[[#This Row],[Employee Name]],'Base Schedules'!$A$113:$AW$158,37,FALSE)),"")</f>
        <v>-</v>
      </c>
      <c r="AM35" s="184" t="str">
        <f>IFERROR(IF(VLOOKUP(Mon_W1[[#This Row],[Employee Name]],'Base Schedules'!$A$113:$AW$158,38,FALSE)="","",VLOOKUP(Mon_W1[[#This Row],[Employee Name]],'Base Schedules'!$A$113:$AW$158,38,FALSE)),"")</f>
        <v>-</v>
      </c>
      <c r="AN35" s="184" t="str">
        <f>IFERROR(IF(VLOOKUP(Mon_W1[[#This Row],[Employee Name]],'Base Schedules'!$A$113:$AW$158,39,FALSE)="","",VLOOKUP(Mon_W1[[#This Row],[Employee Name]],'Base Schedules'!$A$113:$AW$158,39,FALSE)),"")</f>
        <v>-</v>
      </c>
      <c r="AO35" s="184" t="str">
        <f>IFERROR(IF(VLOOKUP(Mon_W1[[#This Row],[Employee Name]],'Base Schedules'!$A$113:$AW$158,40,FALSE)="","",VLOOKUP(Mon_W1[[#This Row],[Employee Name]],'Base Schedules'!$A$113:$AW$158,40,FALSE)),"")</f>
        <v>-</v>
      </c>
      <c r="AP35" s="184" t="str">
        <f>IFERROR(IF(VLOOKUP(Mon_W1[[#This Row],[Employee Name]],'Base Schedules'!$A$113:$AW$158,41,FALSE)="","",VLOOKUP(Mon_W1[[#This Row],[Employee Name]],'Base Schedules'!$A$113:$AW$158,41,FALSE)),"")</f>
        <v/>
      </c>
      <c r="AQ35" s="184" t="str">
        <f>IFERROR(IF(VLOOKUP(Mon_W1[[#This Row],[Employee Name]],'Base Schedules'!$A$113:$AW$158,42,FALSE)="","",VLOOKUP(Mon_W1[[#This Row],[Employee Name]],'Base Schedules'!$A$113:$AW$158,42,FALSE)),"")</f>
        <v/>
      </c>
      <c r="AR35" s="184" t="str">
        <f>IFERROR(IF(VLOOKUP(Mon_W1[[#This Row],[Employee Name]],'Base Schedules'!$A$113:$AW$158,43,FALSE)="","",VLOOKUP(Mon_W1[[#This Row],[Employee Name]],'Base Schedules'!$A$113:$AW$158,43,FALSE)),"")</f>
        <v/>
      </c>
      <c r="AS35" s="184" t="str">
        <f>IFERROR(IF(VLOOKUP(Mon_W1[[#This Row],[Employee Name]],'Base Schedules'!$A$113:$AW$158,44,FALSE)="","",VLOOKUP(Mon_W1[[#This Row],[Employee Name]],'Base Schedules'!$A$113:$AW$158,44,FALSE)),"")</f>
        <v/>
      </c>
      <c r="AT35" s="184" t="str">
        <f>IFERROR(IF(VLOOKUP(Mon_W1[[#This Row],[Employee Name]],'Base Schedules'!$A$113:$AW$158,45,FALSE)="","",VLOOKUP(Mon_W1[[#This Row],[Employee Name]],'Base Schedules'!$A$113:$AW$158,45,FALSE)),"")</f>
        <v/>
      </c>
      <c r="AU35" s="184" t="str">
        <f>IFERROR(IF(VLOOKUP(Mon_W1[[#This Row],[Employee Name]],'Base Schedules'!$A$113:$AW$158,46,FALSE)="","",VLOOKUP(Mon_W1[[#This Row],[Employee Name]],'Base Schedules'!$A$113:$AW$158,46,FALSE)),"")</f>
        <v/>
      </c>
      <c r="AV35" s="184" t="str">
        <f>IFERROR(IF(VLOOKUP(Mon_W1[[#This Row],[Employee Name]],'Base Schedules'!$A$113:$AW$158,47,FALSE)="","",VLOOKUP(Mon_W1[[#This Row],[Employee Name]],'Base Schedules'!$A$113:$AW$158,47,FALSE)),"")</f>
        <v/>
      </c>
      <c r="AW35" s="184" t="str">
        <f>IFERROR(IF(VLOOKUP(Mon_W1[[#This Row],[Employee Name]],'Base Schedules'!$A$113:$AW$158,48,FALSE)="","",VLOOKUP(Mon_W1[[#This Row],[Employee Name]],'Base Schedules'!$A$113:$AW$158,48,FALSE)),"")</f>
        <v/>
      </c>
      <c r="AX35" s="184" t="str">
        <f>IFERROR(IF(VLOOKUP(Mon_W1[[#This Row],[Employee Name]],'Base Schedules'!$A$113:$AW$158,49,FALSE)="","",VLOOKUP(Mon_W1[[#This Row],[Employee Name]],'Base Schedules'!$A$113:$AW$158,49,FALSE)),"")</f>
        <v/>
      </c>
      <c r="AY35" s="164" t="str">
        <f t="shared" si="2"/>
        <v>Conner, Mark</v>
      </c>
    </row>
    <row r="36" spans="1:51" s="44" customFormat="1" ht="12" x14ac:dyDescent="0.2">
      <c r="A36" s="39" t="str">
        <f>IF(B36="","",INDEX(TeamList[],MATCH($B36,TeamList[[Employee Name]:[Employee Name]],0),MATCH("Manager",TeamList[#Headers],0)))</f>
        <v>Olson, Katherine</v>
      </c>
      <c r="B36" s="201" t="s">
        <v>227</v>
      </c>
      <c r="C36" s="257" t="str">
        <f>_xlfn.IFNA(VLOOKUP(Mon_W1[[#This Row],[Employee Name]],'Base Schedules'!A:B,2,FALSE),"")</f>
        <v>Supervisor</v>
      </c>
      <c r="D36" s="274">
        <f>_xlfn.IFNA(VLOOKUP(Mon_W1[[#This Row],[Employee Name]],'Base Schedules'!A:C,3,FALSE),"")</f>
        <v>1230</v>
      </c>
      <c r="E36" s="274">
        <f>_xlfn.IFNA(VLOOKUP(Mon_W1[[#This Row],[Employee Name]],'Base Schedules'!A:D,4,FALSE),"")</f>
        <v>2130</v>
      </c>
      <c r="F36" s="142">
        <f>IF(Mon_W1[[#This Row],[Employee Name]]="","",IF(Mon_W1[[#This Row],[Dept]]="Supervisor",COUNTIFS($J36:$AX36,"*HL*",$J36:$AX36,"&lt;&gt;"&amp;"pHL"),COUNTIFS($J36:$AX36,"*HL*",$J36:$AX36,"&lt;&gt;"&amp;"*pHL*",$J36:$AX36,"&lt;&gt;"&amp;"pB1 HL",$J36:$AX36,"&lt;&gt;"&amp;"pB2 HL")-SUM(COUNTIFS($J36:$AX36,"*HL B1*",$J36:$AX36,"&lt;&gt;"&amp;"pHL B1")*0.5,COUNTIFS($J36:$AX36,"*HL B2*",$J36:$AX36,"&lt;&gt;"&amp;"pHL B2")*0.5,COUNTIFS($J36:$AX36,"*B1 HL*",$J36:$AX36,"&lt;&gt;"&amp;"pB1 HL")*0.5,COUNTIFS($J36:$AX36,"*B2 HL*",$J36:$AX36,"&lt;&gt;"&amp;"pB2 HL")*0.5)))</f>
        <v>0</v>
      </c>
      <c r="G36" s="142">
        <f t="shared" si="0"/>
        <v>0</v>
      </c>
      <c r="H36" s="142">
        <f t="shared" si="1"/>
        <v>0</v>
      </c>
      <c r="I36" s="142">
        <f>IF(Mon_W1[[#This Row],[Employee Name]]="","",IF(Mon_W1[[#This Row],[Dept]]="Supervisor",SUM(COUNTIFS($J36:$AX36,"RTA*",$J36:$AX36,"&lt;&gt;"&amp;"pRTA"),COUNTIFS($J36:$AX36,"*CRTA*",$J36:$AX36,"&lt;&gt;"&amp;"pCRTA")),COUNTIFS($J36:$AX36,"*RNNR*",$J36:$AX36,"&lt;&gt;"&amp;"*pRNNR*",$J36:$AX36,"&lt;&gt;"&amp;"pB1 RNNR",$J36:$AX36,"&lt;&gt;"&amp;"pB2 RNNR")-SUM(COUNTIFS($J36:$AX36,"*RNNR B1*",$J36:$AX36,"&lt;&gt;"&amp;"pRNNR B1")*0.5,COUNTIFS($J36:$AX36,"*RNNR B2*",$J36:$AX36,"&lt;&gt;"&amp;"pRNNR B2")*0.5,COUNTIFS($J36:$AX36,"*B1 RNNR*",$J36:$AX36,"&lt;&gt;"&amp;"pB1 RNNR")*0.5,COUNTIFS($J36:$AX36,"*B2 RNNR*",$J36:$AX36,"&lt;&gt;"&amp;"pB2 RNNR")*0.5)))</f>
        <v>0</v>
      </c>
      <c r="J36" s="184" t="str">
        <f>IFERROR(IF(VLOOKUP(Mon_W1[[#This Row],[Employee Name]],'Base Schedules'!$A$113:$AW$158,9,FALSE)="","",VLOOKUP(Mon_W1[[#This Row],[Employee Name]],'Base Schedules'!$A$113:$AW$158,9,FALSE)),"")</f>
        <v/>
      </c>
      <c r="K36" s="184" t="str">
        <f>IFERROR(IF(VLOOKUP(Mon_W1[[#This Row],[Employee Name]],'Base Schedules'!$A$113:$AW$158,10,FALSE)="","",VLOOKUP(Mon_W1[[#This Row],[Employee Name]],'Base Schedules'!$A$113:$AW$158,10,FALSE)),"")</f>
        <v/>
      </c>
      <c r="L36" s="184" t="str">
        <f>IFERROR(IF(VLOOKUP(Mon_W1[[#This Row],[Employee Name]],'Base Schedules'!$A$113:$AW$158,11,FALSE)="","",VLOOKUP(Mon_W1[[#This Row],[Employee Name]],'Base Schedules'!$A$113:$AW$158,11,FALSE)),"")</f>
        <v/>
      </c>
      <c r="M36" s="184" t="str">
        <f>IFERROR(IF(VLOOKUP(Mon_W1[[#This Row],[Employee Name]],'Base Schedules'!$A$113:$AW$158,12,FALSE)="","",VLOOKUP(Mon_W1[[#This Row],[Employee Name]],'Base Schedules'!$A$113:$AW$158,12,FALSE)),"")</f>
        <v/>
      </c>
      <c r="N36" s="184" t="str">
        <f>IFERROR(IF(VLOOKUP(Mon_W1[[#This Row],[Employee Name]],'Base Schedules'!$A$113:$AW$158,13,FALSE)="","",VLOOKUP(Mon_W1[[#This Row],[Employee Name]],'Base Schedules'!$A$113:$AW$158,13,FALSE)),"")</f>
        <v/>
      </c>
      <c r="O36" s="184" t="str">
        <f>IFERROR(IF(VLOOKUP(Mon_W1[[#This Row],[Employee Name]],'Base Schedules'!$A$113:$AW$158,14,FALSE)="","",VLOOKUP(Mon_W1[[#This Row],[Employee Name]],'Base Schedules'!$A$113:$AW$158,14,FALSE)),"")</f>
        <v/>
      </c>
      <c r="P36" s="184" t="str">
        <f>IFERROR(IF(VLOOKUP(Mon_W1[[#This Row],[Employee Name]],'Base Schedules'!$A$113:$AW$158,15,FALSE)="","",VLOOKUP(Mon_W1[[#This Row],[Employee Name]],'Base Schedules'!$A$113:$AW$158,15,FALSE)),"")</f>
        <v/>
      </c>
      <c r="Q36" s="184" t="str">
        <f>IFERROR(IF(VLOOKUP(Mon_W1[[#This Row],[Employee Name]],'Base Schedules'!$A$113:$AW$158,16,FALSE)="","",VLOOKUP(Mon_W1[[#This Row],[Employee Name]],'Base Schedules'!$A$113:$AW$158,16,FALSE)),"")</f>
        <v/>
      </c>
      <c r="R36" s="184" t="str">
        <f>IFERROR(IF(VLOOKUP(Mon_W1[[#This Row],[Employee Name]],'Base Schedules'!$A$113:$AW$158,17,FALSE)="","",VLOOKUP(Mon_W1[[#This Row],[Employee Name]],'Base Schedules'!$A$113:$AW$158,17,FALSE)),"")</f>
        <v/>
      </c>
      <c r="S36" s="184" t="str">
        <f>IFERROR(IF(VLOOKUP(Mon_W1[[#This Row],[Employee Name]],'Base Schedules'!$A$113:$AW$158,18,FALSE)="","",VLOOKUP(Mon_W1[[#This Row],[Employee Name]],'Base Schedules'!$A$113:$AW$158,18,FALSE)),"")</f>
        <v/>
      </c>
      <c r="T36" s="184" t="str">
        <f>IFERROR(IF(VLOOKUP(Mon_W1[[#This Row],[Employee Name]],'Base Schedules'!$A$113:$AW$158,19,FALSE)="","",VLOOKUP(Mon_W1[[#This Row],[Employee Name]],'Base Schedules'!$A$113:$AW$158,19,FALSE)),"")</f>
        <v/>
      </c>
      <c r="U36" s="184" t="str">
        <f>IFERROR(IF(VLOOKUP(Mon_W1[[#This Row],[Employee Name]],'Base Schedules'!$A$113:$AW$158,20,FALSE)="","",VLOOKUP(Mon_W1[[#This Row],[Employee Name]],'Base Schedules'!$A$113:$AW$158,20,FALSE)),"")</f>
        <v/>
      </c>
      <c r="V36" s="184" t="str">
        <f>IFERROR(IF(VLOOKUP(Mon_W1[[#This Row],[Employee Name]],'Base Schedules'!$A$113:$AW$158,21,FALSE)="","",VLOOKUP(Mon_W1[[#This Row],[Employee Name]],'Base Schedules'!$A$113:$AW$158,21,FALSE)),"")</f>
        <v/>
      </c>
      <c r="W36" s="184" t="str">
        <f>IFERROR(IF(VLOOKUP(Mon_W1[[#This Row],[Employee Name]],'Base Schedules'!$A$113:$AW$158,22,FALSE)="","",VLOOKUP(Mon_W1[[#This Row],[Employee Name]],'Base Schedules'!$A$113:$AW$158,22,FALSE)),"")</f>
        <v/>
      </c>
      <c r="X36" s="184" t="str">
        <f>IFERROR(IF(VLOOKUP(Mon_W1[[#This Row],[Employee Name]],'Base Schedules'!$A$113:$AW$158,23,FALSE)="","",VLOOKUP(Mon_W1[[#This Row],[Employee Name]],'Base Schedules'!$A$113:$AW$158,23,FALSE)),"")</f>
        <v/>
      </c>
      <c r="Y36" s="184" t="str">
        <f>IFERROR(IF(VLOOKUP(Mon_W1[[#This Row],[Employee Name]],'Base Schedules'!$A$113:$AW$158,24,FALSE)="","",VLOOKUP(Mon_W1[[#This Row],[Employee Name]],'Base Schedules'!$A$113:$AW$158,24,FALSE)),"")</f>
        <v>-</v>
      </c>
      <c r="Z36" s="184" t="str">
        <f>IFERROR(IF(VLOOKUP(Mon_W1[[#This Row],[Employee Name]],'Base Schedules'!$A$113:$AW$158,25,FALSE)="","",VLOOKUP(Mon_W1[[#This Row],[Employee Name]],'Base Schedules'!$A$113:$AW$158,25,FALSE)),"")</f>
        <v>-</v>
      </c>
      <c r="AA36" s="184" t="str">
        <f>IFERROR(IF(VLOOKUP(Mon_W1[[#This Row],[Employee Name]],'Base Schedules'!$A$113:$AW$158,26,FALSE)="","",VLOOKUP(Mon_W1[[#This Row],[Employee Name]],'Base Schedules'!$A$113:$AW$158,26,FALSE)),"")</f>
        <v>-</v>
      </c>
      <c r="AB36" s="184" t="str">
        <f>IFERROR(IF(VLOOKUP(Mon_W1[[#This Row],[Employee Name]],'Base Schedules'!$A$113:$AW$158,27,FALSE)="","",VLOOKUP(Mon_W1[[#This Row],[Employee Name]],'Base Schedules'!$A$113:$AW$158,27,FALSE)),"")</f>
        <v>-</v>
      </c>
      <c r="AC36" s="184" t="str">
        <f>IFERROR(IF(VLOOKUP(Mon_W1[[#This Row],[Employee Name]],'Base Schedules'!$A$113:$AW$158,28,FALSE)="","",VLOOKUP(Mon_W1[[#This Row],[Employee Name]],'Base Schedules'!$A$113:$AW$158,28,FALSE)),"")</f>
        <v>-</v>
      </c>
      <c r="AD36" s="184" t="str">
        <f>IFERROR(IF(VLOOKUP(Mon_W1[[#This Row],[Employee Name]],'Base Schedules'!$A$113:$AW$158,29,FALSE)="","",VLOOKUP(Mon_W1[[#This Row],[Employee Name]],'Base Schedules'!$A$113:$AW$158,29,FALSE)),"")</f>
        <v>-</v>
      </c>
      <c r="AE36" s="184" t="str">
        <f>IFERROR(IF(VLOOKUP(Mon_W1[[#This Row],[Employee Name]],'Base Schedules'!$A$113:$AW$158,30,FALSE)="","",VLOOKUP(Mon_W1[[#This Row],[Employee Name]],'Base Schedules'!$A$113:$AW$158,30,FALSE)),"")</f>
        <v>-</v>
      </c>
      <c r="AF36" s="184" t="str">
        <f>IFERROR(IF(VLOOKUP(Mon_W1[[#This Row],[Employee Name]],'Base Schedules'!$A$113:$AW$158,31,FALSE)="","",VLOOKUP(Mon_W1[[#This Row],[Employee Name]],'Base Schedules'!$A$113:$AW$158,31,FALSE)),"")</f>
        <v>-</v>
      </c>
      <c r="AG36" s="184" t="str">
        <f>IFERROR(IF(VLOOKUP(Mon_W1[[#This Row],[Employee Name]],'Base Schedules'!$A$113:$AW$158,32,FALSE)="","",VLOOKUP(Mon_W1[[#This Row],[Employee Name]],'Base Schedules'!$A$113:$AW$158,32,FALSE)),"")</f>
        <v>-</v>
      </c>
      <c r="AH36" s="184" t="str">
        <f>IFERROR(IF(VLOOKUP(Mon_W1[[#This Row],[Employee Name]],'Base Schedules'!$A$113:$AW$158,33,FALSE)="","",VLOOKUP(Mon_W1[[#This Row],[Employee Name]],'Base Schedules'!$A$113:$AW$158,33,FALSE)),"")</f>
        <v>-</v>
      </c>
      <c r="AI36" s="184" t="str">
        <f>IFERROR(IF(VLOOKUP(Mon_W1[[#This Row],[Employee Name]],'Base Schedules'!$A$113:$AW$158,34,FALSE)="","",VLOOKUP(Mon_W1[[#This Row],[Employee Name]],'Base Schedules'!$A$113:$AW$158,34,FALSE)),"")</f>
        <v>-</v>
      </c>
      <c r="AJ36" s="184" t="str">
        <f>IFERROR(IF(VLOOKUP(Mon_W1[[#This Row],[Employee Name]],'Base Schedules'!$A$113:$AW$158,35,FALSE)="","",VLOOKUP(Mon_W1[[#This Row],[Employee Name]],'Base Schedules'!$A$113:$AW$158,35,FALSE)),"")</f>
        <v>-</v>
      </c>
      <c r="AK36" s="184" t="str">
        <f>IFERROR(IF(VLOOKUP(Mon_W1[[#This Row],[Employee Name]],'Base Schedules'!$A$113:$AW$158,36,FALSE)="","",VLOOKUP(Mon_W1[[#This Row],[Employee Name]],'Base Schedules'!$A$113:$AW$158,36,FALSE)),"")</f>
        <v>-</v>
      </c>
      <c r="AL36" s="184" t="str">
        <f>IFERROR(IF(VLOOKUP(Mon_W1[[#This Row],[Employee Name]],'Base Schedules'!$A$113:$AW$158,37,FALSE)="","",VLOOKUP(Mon_W1[[#This Row],[Employee Name]],'Base Schedules'!$A$113:$AW$158,37,FALSE)),"")</f>
        <v>-</v>
      </c>
      <c r="AM36" s="184" t="str">
        <f>IFERROR(IF(VLOOKUP(Mon_W1[[#This Row],[Employee Name]],'Base Schedules'!$A$113:$AW$158,38,FALSE)="","",VLOOKUP(Mon_W1[[#This Row],[Employee Name]],'Base Schedules'!$A$113:$AW$158,38,FALSE)),"")</f>
        <v>-</v>
      </c>
      <c r="AN36" s="184" t="str">
        <f>IFERROR(IF(VLOOKUP(Mon_W1[[#This Row],[Employee Name]],'Base Schedules'!$A$113:$AW$158,39,FALSE)="","",VLOOKUP(Mon_W1[[#This Row],[Employee Name]],'Base Schedules'!$A$113:$AW$158,39,FALSE)),"")</f>
        <v>-</v>
      </c>
      <c r="AO36" s="184" t="str">
        <f>IFERROR(IF(VLOOKUP(Mon_W1[[#This Row],[Employee Name]],'Base Schedules'!$A$113:$AW$158,40,FALSE)="","",VLOOKUP(Mon_W1[[#This Row],[Employee Name]],'Base Schedules'!$A$113:$AW$158,40,FALSE)),"")</f>
        <v>-</v>
      </c>
      <c r="AP36" s="184" t="str">
        <f>IFERROR(IF(VLOOKUP(Mon_W1[[#This Row],[Employee Name]],'Base Schedules'!$A$113:$AW$158,41,FALSE)="","",VLOOKUP(Mon_W1[[#This Row],[Employee Name]],'Base Schedules'!$A$113:$AW$158,41,FALSE)),"")</f>
        <v>-</v>
      </c>
      <c r="AQ36" s="184" t="str">
        <f>IFERROR(IF(VLOOKUP(Mon_W1[[#This Row],[Employee Name]],'Base Schedules'!$A$113:$AW$158,42,FALSE)="","",VLOOKUP(Mon_W1[[#This Row],[Employee Name]],'Base Schedules'!$A$113:$AW$158,42,FALSE)),"")</f>
        <v>-</v>
      </c>
      <c r="AR36" s="184" t="str">
        <f>IFERROR(IF(VLOOKUP(Mon_W1[[#This Row],[Employee Name]],'Base Schedules'!$A$113:$AW$158,43,FALSE)="","",VLOOKUP(Mon_W1[[#This Row],[Employee Name]],'Base Schedules'!$A$113:$AW$158,43,FALSE)),"")</f>
        <v/>
      </c>
      <c r="AS36" s="184" t="str">
        <f>IFERROR(IF(VLOOKUP(Mon_W1[[#This Row],[Employee Name]],'Base Schedules'!$A$113:$AW$158,44,FALSE)="","",VLOOKUP(Mon_W1[[#This Row],[Employee Name]],'Base Schedules'!$A$113:$AW$158,44,FALSE)),"")</f>
        <v/>
      </c>
      <c r="AT36" s="184" t="str">
        <f>IFERROR(IF(VLOOKUP(Mon_W1[[#This Row],[Employee Name]],'Base Schedules'!$A$113:$AW$158,45,FALSE)="","",VLOOKUP(Mon_W1[[#This Row],[Employee Name]],'Base Schedules'!$A$113:$AW$158,45,FALSE)),"")</f>
        <v/>
      </c>
      <c r="AU36" s="184" t="str">
        <f>IFERROR(IF(VLOOKUP(Mon_W1[[#This Row],[Employee Name]],'Base Schedules'!$A$113:$AW$158,46,FALSE)="","",VLOOKUP(Mon_W1[[#This Row],[Employee Name]],'Base Schedules'!$A$113:$AW$158,46,FALSE)),"")</f>
        <v/>
      </c>
      <c r="AV36" s="184" t="str">
        <f>IFERROR(IF(VLOOKUP(Mon_W1[[#This Row],[Employee Name]],'Base Schedules'!$A$113:$AW$158,47,FALSE)="","",VLOOKUP(Mon_W1[[#This Row],[Employee Name]],'Base Schedules'!$A$113:$AW$158,47,FALSE)),"")</f>
        <v/>
      </c>
      <c r="AW36" s="184" t="str">
        <f>IFERROR(IF(VLOOKUP(Mon_W1[[#This Row],[Employee Name]],'Base Schedules'!$A$113:$AW$158,48,FALSE)="","",VLOOKUP(Mon_W1[[#This Row],[Employee Name]],'Base Schedules'!$A$113:$AW$158,48,FALSE)),"")</f>
        <v/>
      </c>
      <c r="AX36" s="184" t="str">
        <f>IFERROR(IF(VLOOKUP(Mon_W1[[#This Row],[Employee Name]],'Base Schedules'!$A$113:$AW$158,49,FALSE)="","",VLOOKUP(Mon_W1[[#This Row],[Employee Name]],'Base Schedules'!$A$113:$AW$158,49,FALSE)),"")</f>
        <v/>
      </c>
      <c r="AY36" s="164" t="str">
        <f t="shared" si="2"/>
        <v>Ostby, Paige</v>
      </c>
    </row>
    <row r="37" spans="1:51" s="44" customFormat="1" ht="12" x14ac:dyDescent="0.2">
      <c r="A37" s="39" t="str">
        <f>IF(B37="","",INDEX(TeamList[],MATCH($B37,TeamList[[Employee Name]:[Employee Name]],0),MATCH("Manager",TeamList[#Headers],0)))</f>
        <v>Olson, Katherine</v>
      </c>
      <c r="B37" s="202" t="s">
        <v>238</v>
      </c>
      <c r="C37" s="257" t="str">
        <f>_xlfn.IFNA(VLOOKUP(Mon_W1[[#This Row],[Employee Name]],'Base Schedules'!A:B,2,FALSE),"")</f>
        <v>Lead</v>
      </c>
      <c r="D37" s="274">
        <f>_xlfn.IFNA(VLOOKUP(Mon_W1[[#This Row],[Employee Name]],'Base Schedules'!A:C,3,FALSE),"")</f>
        <v>1230</v>
      </c>
      <c r="E37" s="274">
        <f>_xlfn.IFNA(VLOOKUP(Mon_W1[[#This Row],[Employee Name]],'Base Schedules'!A:D,4,FALSE),"")</f>
        <v>2100</v>
      </c>
      <c r="F37" s="142">
        <f>IF(Mon_W1[[#This Row],[Employee Name]]="","",IF(Mon_W1[[#This Row],[Dept]]="Supervisor",COUNTIFS($J37:$AX37,"*HL*",$J37:$AX37,"&lt;&gt;"&amp;"pHL"),COUNTIFS($J37:$AX37,"*HL*",$J37:$AX37,"&lt;&gt;"&amp;"*pHL*",$J37:$AX37,"&lt;&gt;"&amp;"pB1 HL",$J37:$AX37,"&lt;&gt;"&amp;"pB2 HL")-SUM(COUNTIFS($J37:$AX37,"*HL B1*",$J37:$AX37,"&lt;&gt;"&amp;"pHL B1")*0.5,COUNTIFS($J37:$AX37,"*HL B2*",$J37:$AX37,"&lt;&gt;"&amp;"pHL B2")*0.5,COUNTIFS($J37:$AX37,"*B1 HL*",$J37:$AX37,"&lt;&gt;"&amp;"pB1 HL")*0.5,COUNTIFS($J37:$AX37,"*B2 HL*",$J37:$AX37,"&lt;&gt;"&amp;"pB2 HL")*0.5)))</f>
        <v>5</v>
      </c>
      <c r="G37" s="142">
        <f t="shared" si="0"/>
        <v>0</v>
      </c>
      <c r="H37" s="142">
        <f t="shared" si="1"/>
        <v>7</v>
      </c>
      <c r="I37" s="142">
        <f>IF(Mon_W1[[#This Row],[Employee Name]]="","",IF(Mon_W1[[#This Row],[Dept]]="Supervisor",SUM(COUNTIFS($J37:$AX37,"RTA*",$J37:$AX37,"&lt;&gt;"&amp;"pRTA"),COUNTIFS($J37:$AX37,"*CRTA*",$J37:$AX37,"&lt;&gt;"&amp;"pCRTA")),COUNTIFS($J37:$AX37,"*RNNR*",$J37:$AX37,"&lt;&gt;"&amp;"*pRNNR*",$J37:$AX37,"&lt;&gt;"&amp;"pB1 RNNR",$J37:$AX37,"&lt;&gt;"&amp;"pB2 RNNR")-SUM(COUNTIFS($J37:$AX37,"*RNNR B1*",$J37:$AX37,"&lt;&gt;"&amp;"pRNNR B1")*0.5,COUNTIFS($J37:$AX37,"*RNNR B2*",$J37:$AX37,"&lt;&gt;"&amp;"pRNNR B2")*0.5,COUNTIFS($J37:$AX37,"*B1 RNNR*",$J37:$AX37,"&lt;&gt;"&amp;"pB1 RNNR")*0.5,COUNTIFS($J37:$AX37,"*B2 RNNR*",$J37:$AX37,"&lt;&gt;"&amp;"pB2 RNNR")*0.5)))</f>
        <v>4</v>
      </c>
      <c r="J37" s="184" t="str">
        <f>IFERROR(IF(VLOOKUP(Mon_W1[[#This Row],[Employee Name]],'Base Schedules'!$A$113:$AW$158,9,FALSE)="","",VLOOKUP(Mon_W1[[#This Row],[Employee Name]],'Base Schedules'!$A$113:$AW$158,9,FALSE)),"")</f>
        <v/>
      </c>
      <c r="K37" s="184" t="str">
        <f>IFERROR(IF(VLOOKUP(Mon_W1[[#This Row],[Employee Name]],'Base Schedules'!$A$113:$AW$158,10,FALSE)="","",VLOOKUP(Mon_W1[[#This Row],[Employee Name]],'Base Schedules'!$A$113:$AW$158,10,FALSE)),"")</f>
        <v/>
      </c>
      <c r="L37" s="184" t="str">
        <f>IFERROR(IF(VLOOKUP(Mon_W1[[#This Row],[Employee Name]],'Base Schedules'!$A$113:$AW$158,11,FALSE)="","",VLOOKUP(Mon_W1[[#This Row],[Employee Name]],'Base Schedules'!$A$113:$AW$158,11,FALSE)),"")</f>
        <v/>
      </c>
      <c r="M37" s="184" t="str">
        <f>IFERROR(IF(VLOOKUP(Mon_W1[[#This Row],[Employee Name]],'Base Schedules'!$A$113:$AW$158,12,FALSE)="","",VLOOKUP(Mon_W1[[#This Row],[Employee Name]],'Base Schedules'!$A$113:$AW$158,12,FALSE)),"")</f>
        <v/>
      </c>
      <c r="N37" s="184" t="str">
        <f>IFERROR(IF(VLOOKUP(Mon_W1[[#This Row],[Employee Name]],'Base Schedules'!$A$113:$AW$158,13,FALSE)="","",VLOOKUP(Mon_W1[[#This Row],[Employee Name]],'Base Schedules'!$A$113:$AW$158,13,FALSE)),"")</f>
        <v/>
      </c>
      <c r="O37" s="184" t="str">
        <f>IFERROR(IF(VLOOKUP(Mon_W1[[#This Row],[Employee Name]],'Base Schedules'!$A$113:$AW$158,14,FALSE)="","",VLOOKUP(Mon_W1[[#This Row],[Employee Name]],'Base Schedules'!$A$113:$AW$158,14,FALSE)),"")</f>
        <v/>
      </c>
      <c r="P37" s="184" t="str">
        <f>IFERROR(IF(VLOOKUP(Mon_W1[[#This Row],[Employee Name]],'Base Schedules'!$A$113:$AW$158,15,FALSE)="","",VLOOKUP(Mon_W1[[#This Row],[Employee Name]],'Base Schedules'!$A$113:$AW$158,15,FALSE)),"")</f>
        <v/>
      </c>
      <c r="Q37" s="184" t="str">
        <f>IFERROR(IF(VLOOKUP(Mon_W1[[#This Row],[Employee Name]],'Base Schedules'!$A$113:$AW$158,16,FALSE)="","",VLOOKUP(Mon_W1[[#This Row],[Employee Name]],'Base Schedules'!$A$113:$AW$158,16,FALSE)),"")</f>
        <v/>
      </c>
      <c r="R37" s="184" t="str">
        <f>IFERROR(IF(VLOOKUP(Mon_W1[[#This Row],[Employee Name]],'Base Schedules'!$A$113:$AW$158,17,FALSE)="","",VLOOKUP(Mon_W1[[#This Row],[Employee Name]],'Base Schedules'!$A$113:$AW$158,17,FALSE)),"")</f>
        <v/>
      </c>
      <c r="S37" s="184" t="str">
        <f>IFERROR(IF(VLOOKUP(Mon_W1[[#This Row],[Employee Name]],'Base Schedules'!$A$113:$AW$158,18,FALSE)="","",VLOOKUP(Mon_W1[[#This Row],[Employee Name]],'Base Schedules'!$A$113:$AW$158,18,FALSE)),"")</f>
        <v/>
      </c>
      <c r="T37" s="184" t="str">
        <f>IFERROR(IF(VLOOKUP(Mon_W1[[#This Row],[Employee Name]],'Base Schedules'!$A$113:$AW$158,19,FALSE)="","",VLOOKUP(Mon_W1[[#This Row],[Employee Name]],'Base Schedules'!$A$113:$AW$158,19,FALSE)),"")</f>
        <v/>
      </c>
      <c r="U37" s="184" t="str">
        <f>IFERROR(IF(VLOOKUP(Mon_W1[[#This Row],[Employee Name]],'Base Schedules'!$A$113:$AW$158,20,FALSE)="","",VLOOKUP(Mon_W1[[#This Row],[Employee Name]],'Base Schedules'!$A$113:$AW$158,20,FALSE)),"")</f>
        <v/>
      </c>
      <c r="V37" s="184" t="str">
        <f>IFERROR(IF(VLOOKUP(Mon_W1[[#This Row],[Employee Name]],'Base Schedules'!$A$113:$AW$158,21,FALSE)="","",VLOOKUP(Mon_W1[[#This Row],[Employee Name]],'Base Schedules'!$A$113:$AW$158,21,FALSE)),"")</f>
        <v/>
      </c>
      <c r="W37" s="184" t="str">
        <f>IFERROR(IF(VLOOKUP(Mon_W1[[#This Row],[Employee Name]],'Base Schedules'!$A$113:$AW$158,22,FALSE)="","",VLOOKUP(Mon_W1[[#This Row],[Employee Name]],'Base Schedules'!$A$113:$AW$158,22,FALSE)),"")</f>
        <v/>
      </c>
      <c r="X37" s="184" t="str">
        <f>IFERROR(IF(VLOOKUP(Mon_W1[[#This Row],[Employee Name]],'Base Schedules'!$A$113:$AW$158,23,FALSE)="","",VLOOKUP(Mon_W1[[#This Row],[Employee Name]],'Base Schedules'!$A$113:$AW$158,23,FALSE)),"")</f>
        <v/>
      </c>
      <c r="Y37" s="184" t="str">
        <f>IFERROR(IF(VLOOKUP(Mon_W1[[#This Row],[Employee Name]],'Base Schedules'!$A$113:$AW$158,24,FALSE)="","",VLOOKUP(Mon_W1[[#This Row],[Employee Name]],'Base Schedules'!$A$113:$AW$158,24,FALSE)),"")</f>
        <v>HL</v>
      </c>
      <c r="Z37" s="184" t="str">
        <f>IFERROR(IF(VLOOKUP(Mon_W1[[#This Row],[Employee Name]],'Base Schedules'!$A$113:$AW$158,25,FALSE)="","",VLOOKUP(Mon_W1[[#This Row],[Employee Name]],'Base Schedules'!$A$113:$AW$158,25,FALSE)),"")</f>
        <v>HL</v>
      </c>
      <c r="AA37" s="184" t="str">
        <f>IFERROR(IF(VLOOKUP(Mon_W1[[#This Row],[Employee Name]],'Base Schedules'!$A$113:$AW$158,26,FALSE)="","",VLOOKUP(Mon_W1[[#This Row],[Employee Name]],'Base Schedules'!$A$113:$AW$158,26,FALSE)),"")</f>
        <v>HL</v>
      </c>
      <c r="AB37" s="184" t="str">
        <f>IFERROR(IF(VLOOKUP(Mon_W1[[#This Row],[Employee Name]],'Base Schedules'!$A$113:$AW$158,27,FALSE)="","",VLOOKUP(Mon_W1[[#This Row],[Employee Name]],'Base Schedules'!$A$113:$AW$158,27,FALSE)),"")</f>
        <v>B1 ADM</v>
      </c>
      <c r="AC37" s="184" t="str">
        <f>IFERROR(IF(VLOOKUP(Mon_W1[[#This Row],[Employee Name]],'Base Schedules'!$A$113:$AW$158,28,FALSE)="","",VLOOKUP(Mon_W1[[#This Row],[Employee Name]],'Base Schedules'!$A$113:$AW$158,28,FALSE)),"")</f>
        <v>RNNR</v>
      </c>
      <c r="AD37" s="184" t="str">
        <f>IFERROR(IF(VLOOKUP(Mon_W1[[#This Row],[Employee Name]],'Base Schedules'!$A$113:$AW$158,29,FALSE)="","",VLOOKUP(Mon_W1[[#This Row],[Employee Name]],'Base Schedules'!$A$113:$AW$158,29,FALSE)),"")</f>
        <v>RNNR</v>
      </c>
      <c r="AE37" s="184" t="str">
        <f>IFERROR(IF(VLOOKUP(Mon_W1[[#This Row],[Employee Name]],'Base Schedules'!$A$113:$AW$158,30,FALSE)="","",VLOOKUP(Mon_W1[[#This Row],[Employee Name]],'Base Schedules'!$A$113:$AW$158,30,FALSE)),"")</f>
        <v>ADM</v>
      </c>
      <c r="AF37" s="184" t="str">
        <f>IFERROR(IF(VLOOKUP(Mon_W1[[#This Row],[Employee Name]],'Base Schedules'!$A$113:$AW$158,31,FALSE)="","",VLOOKUP(Mon_W1[[#This Row],[Employee Name]],'Base Schedules'!$A$113:$AW$158,31,FALSE)),"")</f>
        <v>ADM</v>
      </c>
      <c r="AG37" s="184" t="str">
        <f>IFERROR(IF(VLOOKUP(Mon_W1[[#This Row],[Employee Name]],'Base Schedules'!$A$113:$AW$158,32,FALSE)="","",VLOOKUP(Mon_W1[[#This Row],[Employee Name]],'Base Schedules'!$A$113:$AW$158,32,FALSE)),"")</f>
        <v>LUNCH</v>
      </c>
      <c r="AH37" s="184" t="str">
        <f>IFERROR(IF(VLOOKUP(Mon_W1[[#This Row],[Employee Name]],'Base Schedules'!$A$113:$AW$158,33,FALSE)="","",VLOOKUP(Mon_W1[[#This Row],[Employee Name]],'Base Schedules'!$A$113:$AW$158,33,FALSE)),"")</f>
        <v>RNNR</v>
      </c>
      <c r="AI37" s="184" t="str">
        <f>IFERROR(IF(VLOOKUP(Mon_W1[[#This Row],[Employee Name]],'Base Schedules'!$A$113:$AW$158,34,FALSE)="","",VLOOKUP(Mon_W1[[#This Row],[Employee Name]],'Base Schedules'!$A$113:$AW$158,34,FALSE)),"")</f>
        <v>RNNR</v>
      </c>
      <c r="AJ37" s="184" t="str">
        <f>IFERROR(IF(VLOOKUP(Mon_W1[[#This Row],[Employee Name]],'Base Schedules'!$A$113:$AW$158,35,FALSE)="","",VLOOKUP(Mon_W1[[#This Row],[Employee Name]],'Base Schedules'!$A$113:$AW$158,35,FALSE)),"")</f>
        <v>ADM</v>
      </c>
      <c r="AK37" s="184" t="str">
        <f>IFERROR(IF(VLOOKUP(Mon_W1[[#This Row],[Employee Name]],'Base Schedules'!$A$113:$AW$158,36,FALSE)="","",VLOOKUP(Mon_W1[[#This Row],[Employee Name]],'Base Schedules'!$A$113:$AW$158,36,FALSE)),"")</f>
        <v>ADM B2</v>
      </c>
      <c r="AL37" s="184" t="str">
        <f>IFERROR(IF(VLOOKUP(Mon_W1[[#This Row],[Employee Name]],'Base Schedules'!$A$113:$AW$158,37,FALSE)="","",VLOOKUP(Mon_W1[[#This Row],[Employee Name]],'Base Schedules'!$A$113:$AW$158,37,FALSE)),"")</f>
        <v>ADM</v>
      </c>
      <c r="AM37" s="184" t="str">
        <f>IFERROR(IF(VLOOKUP(Mon_W1[[#This Row],[Employee Name]],'Base Schedules'!$A$113:$AW$158,38,FALSE)="","",VLOOKUP(Mon_W1[[#This Row],[Employee Name]],'Base Schedules'!$A$113:$AW$158,38,FALSE)),"")</f>
        <v>ADM</v>
      </c>
      <c r="AN37" s="184" t="str">
        <f>IFERROR(IF(VLOOKUP(Mon_W1[[#This Row],[Employee Name]],'Base Schedules'!$A$113:$AW$158,39,FALSE)="","",VLOOKUP(Mon_W1[[#This Row],[Employee Name]],'Base Schedules'!$A$113:$AW$158,39,FALSE)),"")</f>
        <v>HL</v>
      </c>
      <c r="AO37" s="184" t="str">
        <f>IFERROR(IF(VLOOKUP(Mon_W1[[#This Row],[Employee Name]],'Base Schedules'!$A$113:$AW$158,40,FALSE)="","",VLOOKUP(Mon_W1[[#This Row],[Employee Name]],'Base Schedules'!$A$113:$AW$158,40,FALSE)),"")</f>
        <v>HL</v>
      </c>
      <c r="AP37" s="184" t="str">
        <f>IFERROR(IF(VLOOKUP(Mon_W1[[#This Row],[Employee Name]],'Base Schedules'!$A$113:$AW$158,41,FALSE)="","",VLOOKUP(Mon_W1[[#This Row],[Employee Name]],'Base Schedules'!$A$113:$AW$158,41,FALSE)),"")</f>
        <v/>
      </c>
      <c r="AQ37" s="184" t="str">
        <f>IFERROR(IF(VLOOKUP(Mon_W1[[#This Row],[Employee Name]],'Base Schedules'!$A$113:$AW$158,42,FALSE)="","",VLOOKUP(Mon_W1[[#This Row],[Employee Name]],'Base Schedules'!$A$113:$AW$158,42,FALSE)),"")</f>
        <v/>
      </c>
      <c r="AR37" s="184" t="str">
        <f>IFERROR(IF(VLOOKUP(Mon_W1[[#This Row],[Employee Name]],'Base Schedules'!$A$113:$AW$158,43,FALSE)="","",VLOOKUP(Mon_W1[[#This Row],[Employee Name]],'Base Schedules'!$A$113:$AW$158,43,FALSE)),"")</f>
        <v/>
      </c>
      <c r="AS37" s="184" t="str">
        <f>IFERROR(IF(VLOOKUP(Mon_W1[[#This Row],[Employee Name]],'Base Schedules'!$A$113:$AW$158,44,FALSE)="","",VLOOKUP(Mon_W1[[#This Row],[Employee Name]],'Base Schedules'!$A$113:$AW$158,44,FALSE)),"")</f>
        <v/>
      </c>
      <c r="AT37" s="184" t="str">
        <f>IFERROR(IF(VLOOKUP(Mon_W1[[#This Row],[Employee Name]],'Base Schedules'!$A$113:$AW$158,45,FALSE)="","",VLOOKUP(Mon_W1[[#This Row],[Employee Name]],'Base Schedules'!$A$113:$AW$158,45,FALSE)),"")</f>
        <v/>
      </c>
      <c r="AU37" s="184" t="str">
        <f>IFERROR(IF(VLOOKUP(Mon_W1[[#This Row],[Employee Name]],'Base Schedules'!$A$113:$AW$158,46,FALSE)="","",VLOOKUP(Mon_W1[[#This Row],[Employee Name]],'Base Schedules'!$A$113:$AW$158,46,FALSE)),"")</f>
        <v/>
      </c>
      <c r="AV37" s="184" t="str">
        <f>IFERROR(IF(VLOOKUP(Mon_W1[[#This Row],[Employee Name]],'Base Schedules'!$A$113:$AW$158,47,FALSE)="","",VLOOKUP(Mon_W1[[#This Row],[Employee Name]],'Base Schedules'!$A$113:$AW$158,47,FALSE)),"")</f>
        <v/>
      </c>
      <c r="AW37" s="184" t="str">
        <f>IFERROR(IF(VLOOKUP(Mon_W1[[#This Row],[Employee Name]],'Base Schedules'!$A$113:$AW$158,48,FALSE)="","",VLOOKUP(Mon_W1[[#This Row],[Employee Name]],'Base Schedules'!$A$113:$AW$158,48,FALSE)),"")</f>
        <v/>
      </c>
      <c r="AX37" s="184" t="str">
        <f>IFERROR(IF(VLOOKUP(Mon_W1[[#This Row],[Employee Name]],'Base Schedules'!$A$113:$AW$158,49,FALSE)="","",VLOOKUP(Mon_W1[[#This Row],[Employee Name]],'Base Schedules'!$A$113:$AW$158,49,FALSE)),"")</f>
        <v/>
      </c>
      <c r="AY37" s="164" t="str">
        <f t="shared" si="2"/>
        <v>Suhama, Ryan</v>
      </c>
    </row>
    <row r="38" spans="1:51" s="44" customFormat="1" ht="12" x14ac:dyDescent="0.2">
      <c r="A38" s="39" t="str">
        <f>IF(B38="","",INDEX(TeamList[],MATCH($B38,TeamList[[Employee Name]:[Employee Name]],0),MATCH("Manager",TeamList[#Headers],0)))</f>
        <v>Paulson, Matthew</v>
      </c>
      <c r="B38" s="330" t="s">
        <v>66</v>
      </c>
      <c r="C38" s="257" t="str">
        <f>_xlfn.IFNA(VLOOKUP(Mon_W1[[#This Row],[Employee Name]],'Base Schedules'!A:B,2,FALSE),"")</f>
        <v>Supervisor</v>
      </c>
      <c r="D38" s="274">
        <f>_xlfn.IFNA(VLOOKUP(Mon_W1[[#This Row],[Employee Name]],'Base Schedules'!A:C,3,FALSE),"")</f>
        <v>1230</v>
      </c>
      <c r="E38" s="274">
        <f>_xlfn.IFNA(VLOOKUP(Mon_W1[[#This Row],[Employee Name]],'Base Schedules'!A:D,4,FALSE),"")</f>
        <v>2130</v>
      </c>
      <c r="F38" s="142">
        <f>IF(Mon_W1[[#This Row],[Employee Name]]="","",IF(Mon_W1[[#This Row],[Dept]]="Supervisor",COUNTIFS($J38:$AX38,"*HL*",$J38:$AX38,"&lt;&gt;"&amp;"pHL"),COUNTIFS($J38:$AX38,"*HL*",$J38:$AX38,"&lt;&gt;"&amp;"*pHL*",$J38:$AX38,"&lt;&gt;"&amp;"pB1 HL",$J38:$AX38,"&lt;&gt;"&amp;"pB2 HL")-SUM(COUNTIFS($J38:$AX38,"*HL B1*",$J38:$AX38,"&lt;&gt;"&amp;"pHL B1")*0.5,COUNTIFS($J38:$AX38,"*HL B2*",$J38:$AX38,"&lt;&gt;"&amp;"pHL B2")*0.5,COUNTIFS($J38:$AX38,"*B1 HL*",$J38:$AX38,"&lt;&gt;"&amp;"pB1 HL")*0.5,COUNTIFS($J38:$AX38,"*B2 HL*",$J38:$AX38,"&lt;&gt;"&amp;"pB2 HL")*0.5)))</f>
        <v>0</v>
      </c>
      <c r="G38" s="142">
        <f t="shared" si="0"/>
        <v>0</v>
      </c>
      <c r="H38" s="142">
        <f t="shared" si="1"/>
        <v>0</v>
      </c>
      <c r="I38" s="142">
        <f>IF(Mon_W1[[#This Row],[Employee Name]]="","",IF(Mon_W1[[#This Row],[Dept]]="Supervisor",SUM(COUNTIFS($J38:$AX38,"RTA*",$J38:$AX38,"&lt;&gt;"&amp;"pRTA"),COUNTIFS($J38:$AX38,"*CRTA*",$J38:$AX38,"&lt;&gt;"&amp;"pCRTA")),COUNTIFS($J38:$AX38,"*RNNR*",$J38:$AX38,"&lt;&gt;"&amp;"*pRNNR*",$J38:$AX38,"&lt;&gt;"&amp;"pB1 RNNR",$J38:$AX38,"&lt;&gt;"&amp;"pB2 RNNR")-SUM(COUNTIFS($J38:$AX38,"*RNNR B1*",$J38:$AX38,"&lt;&gt;"&amp;"pRNNR B1")*0.5,COUNTIFS($J38:$AX38,"*RNNR B2*",$J38:$AX38,"&lt;&gt;"&amp;"pRNNR B2")*0.5,COUNTIFS($J38:$AX38,"*B1 RNNR*",$J38:$AX38,"&lt;&gt;"&amp;"pB1 RNNR")*0.5,COUNTIFS($J38:$AX38,"*B2 RNNR*",$J38:$AX38,"&lt;&gt;"&amp;"pB2 RNNR")*0.5)))</f>
        <v>0</v>
      </c>
      <c r="J38" s="184" t="str">
        <f>IFERROR(IF(VLOOKUP(Mon_W1[[#This Row],[Employee Name]],'Base Schedules'!$A$113:$AW$158,9,FALSE)="","",VLOOKUP(Mon_W1[[#This Row],[Employee Name]],'Base Schedules'!$A$113:$AW$158,9,FALSE)),"")</f>
        <v/>
      </c>
      <c r="K38" s="184" t="str">
        <f>IFERROR(IF(VLOOKUP(Mon_W1[[#This Row],[Employee Name]],'Base Schedules'!$A$113:$AW$158,10,FALSE)="","",VLOOKUP(Mon_W1[[#This Row],[Employee Name]],'Base Schedules'!$A$113:$AW$158,10,FALSE)),"")</f>
        <v/>
      </c>
      <c r="L38" s="184" t="str">
        <f>IFERROR(IF(VLOOKUP(Mon_W1[[#This Row],[Employee Name]],'Base Schedules'!$A$113:$AW$158,11,FALSE)="","",VLOOKUP(Mon_W1[[#This Row],[Employee Name]],'Base Schedules'!$A$113:$AW$158,11,FALSE)),"")</f>
        <v/>
      </c>
      <c r="M38" s="184" t="str">
        <f>IFERROR(IF(VLOOKUP(Mon_W1[[#This Row],[Employee Name]],'Base Schedules'!$A$113:$AW$158,12,FALSE)="","",VLOOKUP(Mon_W1[[#This Row],[Employee Name]],'Base Schedules'!$A$113:$AW$158,12,FALSE)),"")</f>
        <v/>
      </c>
      <c r="N38" s="184" t="str">
        <f>IFERROR(IF(VLOOKUP(Mon_W1[[#This Row],[Employee Name]],'Base Schedules'!$A$113:$AW$158,13,FALSE)="","",VLOOKUP(Mon_W1[[#This Row],[Employee Name]],'Base Schedules'!$A$113:$AW$158,13,FALSE)),"")</f>
        <v/>
      </c>
      <c r="O38" s="184" t="str">
        <f>IFERROR(IF(VLOOKUP(Mon_W1[[#This Row],[Employee Name]],'Base Schedules'!$A$113:$AW$158,14,FALSE)="","",VLOOKUP(Mon_W1[[#This Row],[Employee Name]],'Base Schedules'!$A$113:$AW$158,14,FALSE)),"")</f>
        <v/>
      </c>
      <c r="P38" s="184" t="str">
        <f>IFERROR(IF(VLOOKUP(Mon_W1[[#This Row],[Employee Name]],'Base Schedules'!$A$113:$AW$158,15,FALSE)="","",VLOOKUP(Mon_W1[[#This Row],[Employee Name]],'Base Schedules'!$A$113:$AW$158,15,FALSE)),"")</f>
        <v/>
      </c>
      <c r="Q38" s="184" t="str">
        <f>IFERROR(IF(VLOOKUP(Mon_W1[[#This Row],[Employee Name]],'Base Schedules'!$A$113:$AW$158,16,FALSE)="","",VLOOKUP(Mon_W1[[#This Row],[Employee Name]],'Base Schedules'!$A$113:$AW$158,16,FALSE)),"")</f>
        <v/>
      </c>
      <c r="R38" s="184" t="str">
        <f>IFERROR(IF(VLOOKUP(Mon_W1[[#This Row],[Employee Name]],'Base Schedules'!$A$113:$AW$158,17,FALSE)="","",VLOOKUP(Mon_W1[[#This Row],[Employee Name]],'Base Schedules'!$A$113:$AW$158,17,FALSE)),"")</f>
        <v/>
      </c>
      <c r="S38" s="184" t="str">
        <f>IFERROR(IF(VLOOKUP(Mon_W1[[#This Row],[Employee Name]],'Base Schedules'!$A$113:$AW$158,18,FALSE)="","",VLOOKUP(Mon_W1[[#This Row],[Employee Name]],'Base Schedules'!$A$113:$AW$158,18,FALSE)),"")</f>
        <v/>
      </c>
      <c r="T38" s="184" t="str">
        <f>IFERROR(IF(VLOOKUP(Mon_W1[[#This Row],[Employee Name]],'Base Schedules'!$A$113:$AW$158,19,FALSE)="","",VLOOKUP(Mon_W1[[#This Row],[Employee Name]],'Base Schedules'!$A$113:$AW$158,19,FALSE)),"")</f>
        <v/>
      </c>
      <c r="U38" s="184" t="str">
        <f>IFERROR(IF(VLOOKUP(Mon_W1[[#This Row],[Employee Name]],'Base Schedules'!$A$113:$AW$158,20,FALSE)="","",VLOOKUP(Mon_W1[[#This Row],[Employee Name]],'Base Schedules'!$A$113:$AW$158,20,FALSE)),"")</f>
        <v/>
      </c>
      <c r="V38" s="184" t="str">
        <f>IFERROR(IF(VLOOKUP(Mon_W1[[#This Row],[Employee Name]],'Base Schedules'!$A$113:$AW$158,21,FALSE)="","",VLOOKUP(Mon_W1[[#This Row],[Employee Name]],'Base Schedules'!$A$113:$AW$158,21,FALSE)),"")</f>
        <v/>
      </c>
      <c r="W38" s="184" t="str">
        <f>IFERROR(IF(VLOOKUP(Mon_W1[[#This Row],[Employee Name]],'Base Schedules'!$A$113:$AW$158,22,FALSE)="","",VLOOKUP(Mon_W1[[#This Row],[Employee Name]],'Base Schedules'!$A$113:$AW$158,22,FALSE)),"")</f>
        <v/>
      </c>
      <c r="X38" s="184" t="str">
        <f>IFERROR(IF(VLOOKUP(Mon_W1[[#This Row],[Employee Name]],'Base Schedules'!$A$113:$AW$158,23,FALSE)="","",VLOOKUP(Mon_W1[[#This Row],[Employee Name]],'Base Schedules'!$A$113:$AW$158,23,FALSE)),"")</f>
        <v/>
      </c>
      <c r="Y38" s="184" t="str">
        <f>IFERROR(IF(VLOOKUP(Mon_W1[[#This Row],[Employee Name]],'Base Schedules'!$A$113:$AW$158,24,FALSE)="","",VLOOKUP(Mon_W1[[#This Row],[Employee Name]],'Base Schedules'!$A$113:$AW$158,24,FALSE)),"")</f>
        <v>-</v>
      </c>
      <c r="Z38" s="184" t="str">
        <f>IFERROR(IF(VLOOKUP(Mon_W1[[#This Row],[Employee Name]],'Base Schedules'!$A$113:$AW$158,25,FALSE)="","",VLOOKUP(Mon_W1[[#This Row],[Employee Name]],'Base Schedules'!$A$113:$AW$158,25,FALSE)),"")</f>
        <v>-</v>
      </c>
      <c r="AA38" s="184" t="str">
        <f>IFERROR(IF(VLOOKUP(Mon_W1[[#This Row],[Employee Name]],'Base Schedules'!$A$113:$AW$158,26,FALSE)="","",VLOOKUP(Mon_W1[[#This Row],[Employee Name]],'Base Schedules'!$A$113:$AW$158,26,FALSE)),"")</f>
        <v>-</v>
      </c>
      <c r="AB38" s="184" t="str">
        <f>IFERROR(IF(VLOOKUP(Mon_W1[[#This Row],[Employee Name]],'Base Schedules'!$A$113:$AW$158,27,FALSE)="","",VLOOKUP(Mon_W1[[#This Row],[Employee Name]],'Base Schedules'!$A$113:$AW$158,27,FALSE)),"")</f>
        <v>-</v>
      </c>
      <c r="AC38" s="184" t="str">
        <f>IFERROR(IF(VLOOKUP(Mon_W1[[#This Row],[Employee Name]],'Base Schedules'!$A$113:$AW$158,28,FALSE)="","",VLOOKUP(Mon_W1[[#This Row],[Employee Name]],'Base Schedules'!$A$113:$AW$158,28,FALSE)),"")</f>
        <v>Team KO TM</v>
      </c>
      <c r="AD38" s="184" t="str">
        <f>IFERROR(IF(VLOOKUP(Mon_W1[[#This Row],[Employee Name]],'Base Schedules'!$A$113:$AW$158,29,FALSE)="","",VLOOKUP(Mon_W1[[#This Row],[Employee Name]],'Base Schedules'!$A$113:$AW$158,29,FALSE)),"")</f>
        <v>Team KO TM</v>
      </c>
      <c r="AE38" s="184" t="str">
        <f>IFERROR(IF(VLOOKUP(Mon_W1[[#This Row],[Employee Name]],'Base Schedules'!$A$113:$AW$158,30,FALSE)="","",VLOOKUP(Mon_W1[[#This Row],[Employee Name]],'Base Schedules'!$A$113:$AW$158,30,FALSE)),"")</f>
        <v>-</v>
      </c>
      <c r="AF38" s="184" t="str">
        <f>IFERROR(IF(VLOOKUP(Mon_W1[[#This Row],[Employee Name]],'Base Schedules'!$A$113:$AW$158,31,FALSE)="","",VLOOKUP(Mon_W1[[#This Row],[Employee Name]],'Base Schedules'!$A$113:$AW$158,31,FALSE)),"")</f>
        <v>-</v>
      </c>
      <c r="AG38" s="184" t="str">
        <f>IFERROR(IF(VLOOKUP(Mon_W1[[#This Row],[Employee Name]],'Base Schedules'!$A$113:$AW$158,32,FALSE)="","",VLOOKUP(Mon_W1[[#This Row],[Employee Name]],'Base Schedules'!$A$113:$AW$158,32,FALSE)),"")</f>
        <v>-</v>
      </c>
      <c r="AH38" s="184" t="str">
        <f>IFERROR(IF(VLOOKUP(Mon_W1[[#This Row],[Employee Name]],'Base Schedules'!$A$113:$AW$158,33,FALSE)="","",VLOOKUP(Mon_W1[[#This Row],[Employee Name]],'Base Schedules'!$A$113:$AW$158,33,FALSE)),"")</f>
        <v>Interview</v>
      </c>
      <c r="AI38" s="184" t="str">
        <f>IFERROR(IF(VLOOKUP(Mon_W1[[#This Row],[Employee Name]],'Base Schedules'!$A$113:$AW$158,34,FALSE)="","",VLOOKUP(Mon_W1[[#This Row],[Employee Name]],'Base Schedules'!$A$113:$AW$158,34,FALSE)),"")</f>
        <v>Interview</v>
      </c>
      <c r="AJ38" s="184" t="str">
        <f>IFERROR(IF(VLOOKUP(Mon_W1[[#This Row],[Employee Name]],'Base Schedules'!$A$113:$AW$158,35,FALSE)="","",VLOOKUP(Mon_W1[[#This Row],[Employee Name]],'Base Schedules'!$A$113:$AW$158,35,FALSE)),"")</f>
        <v>-</v>
      </c>
      <c r="AK38" s="184" t="str">
        <f>IFERROR(IF(VLOOKUP(Mon_W1[[#This Row],[Employee Name]],'Base Schedules'!$A$113:$AW$158,36,FALSE)="","",VLOOKUP(Mon_W1[[#This Row],[Employee Name]],'Base Schedules'!$A$113:$AW$158,36,FALSE)),"")</f>
        <v>-</v>
      </c>
      <c r="AL38" s="184" t="str">
        <f>IFERROR(IF(VLOOKUP(Mon_W1[[#This Row],[Employee Name]],'Base Schedules'!$A$113:$AW$158,37,FALSE)="","",VLOOKUP(Mon_W1[[#This Row],[Employee Name]],'Base Schedules'!$A$113:$AW$158,37,FALSE)),"")</f>
        <v>-</v>
      </c>
      <c r="AM38" s="184" t="str">
        <f>IFERROR(IF(VLOOKUP(Mon_W1[[#This Row],[Employee Name]],'Base Schedules'!$A$113:$AW$158,38,FALSE)="","",VLOOKUP(Mon_W1[[#This Row],[Employee Name]],'Base Schedules'!$A$113:$AW$158,38,FALSE)),"")</f>
        <v>-</v>
      </c>
      <c r="AN38" s="184" t="str">
        <f>IFERROR(IF(VLOOKUP(Mon_W1[[#This Row],[Employee Name]],'Base Schedules'!$A$113:$AW$158,39,FALSE)="","",VLOOKUP(Mon_W1[[#This Row],[Employee Name]],'Base Schedules'!$A$113:$AW$158,39,FALSE)),"")</f>
        <v>-</v>
      </c>
      <c r="AO38" s="184" t="str">
        <f>IFERROR(IF(VLOOKUP(Mon_W1[[#This Row],[Employee Name]],'Base Schedules'!$A$113:$AW$158,40,FALSE)="","",VLOOKUP(Mon_W1[[#This Row],[Employee Name]],'Base Schedules'!$A$113:$AW$158,40,FALSE)),"")</f>
        <v>-</v>
      </c>
      <c r="AP38" s="184" t="str">
        <f>IFERROR(IF(VLOOKUP(Mon_W1[[#This Row],[Employee Name]],'Base Schedules'!$A$113:$AW$158,41,FALSE)="","",VLOOKUP(Mon_W1[[#This Row],[Employee Name]],'Base Schedules'!$A$113:$AW$158,41,FALSE)),"")</f>
        <v>-</v>
      </c>
      <c r="AQ38" s="184" t="str">
        <f>IFERROR(IF(VLOOKUP(Mon_W1[[#This Row],[Employee Name]],'Base Schedules'!$A$113:$AW$158,42,FALSE)="","",VLOOKUP(Mon_W1[[#This Row],[Employee Name]],'Base Schedules'!$A$113:$AW$158,42,FALSE)),"")</f>
        <v>-</v>
      </c>
      <c r="AR38" s="184" t="str">
        <f>IFERROR(IF(VLOOKUP(Mon_W1[[#This Row],[Employee Name]],'Base Schedules'!$A$113:$AW$158,43,FALSE)="","",VLOOKUP(Mon_W1[[#This Row],[Employee Name]],'Base Schedules'!$A$113:$AW$158,43,FALSE)),"")</f>
        <v/>
      </c>
      <c r="AS38" s="184" t="str">
        <f>IFERROR(IF(VLOOKUP(Mon_W1[[#This Row],[Employee Name]],'Base Schedules'!$A$113:$AW$158,44,FALSE)="","",VLOOKUP(Mon_W1[[#This Row],[Employee Name]],'Base Schedules'!$A$113:$AW$158,44,FALSE)),"")</f>
        <v/>
      </c>
      <c r="AT38" s="184" t="str">
        <f>IFERROR(IF(VLOOKUP(Mon_W1[[#This Row],[Employee Name]],'Base Schedules'!$A$113:$AW$158,45,FALSE)="","",VLOOKUP(Mon_W1[[#This Row],[Employee Name]],'Base Schedules'!$A$113:$AW$158,45,FALSE)),"")</f>
        <v/>
      </c>
      <c r="AU38" s="184" t="str">
        <f>IFERROR(IF(VLOOKUP(Mon_W1[[#This Row],[Employee Name]],'Base Schedules'!$A$113:$AW$158,46,FALSE)="","",VLOOKUP(Mon_W1[[#This Row],[Employee Name]],'Base Schedules'!$A$113:$AW$158,46,FALSE)),"")</f>
        <v/>
      </c>
      <c r="AV38" s="184" t="str">
        <f>IFERROR(IF(VLOOKUP(Mon_W1[[#This Row],[Employee Name]],'Base Schedules'!$A$113:$AW$158,47,FALSE)="","",VLOOKUP(Mon_W1[[#This Row],[Employee Name]],'Base Schedules'!$A$113:$AW$158,47,FALSE)),"")</f>
        <v/>
      </c>
      <c r="AW38" s="184" t="str">
        <f>IFERROR(IF(VLOOKUP(Mon_W1[[#This Row],[Employee Name]],'Base Schedules'!$A$113:$AW$158,48,FALSE)="","",VLOOKUP(Mon_W1[[#This Row],[Employee Name]],'Base Schedules'!$A$113:$AW$158,48,FALSE)),"")</f>
        <v/>
      </c>
      <c r="AX38" s="184" t="str">
        <f>IFERROR(IF(VLOOKUP(Mon_W1[[#This Row],[Employee Name]],'Base Schedules'!$A$113:$AW$158,49,FALSE)="","",VLOOKUP(Mon_W1[[#This Row],[Employee Name]],'Base Schedules'!$A$113:$AW$158,49,FALSE)),"")</f>
        <v/>
      </c>
      <c r="AY38" s="164" t="str">
        <f t="shared" si="2"/>
        <v>Aguilar, Angelica</v>
      </c>
    </row>
    <row r="39" spans="1:51" s="44" customFormat="1" ht="12" x14ac:dyDescent="0.2">
      <c r="A39" s="39" t="str">
        <f>IF(B39="","",INDEX(TeamList[],MATCH($B39,TeamList[[Employee Name]:[Employee Name]],0),MATCH("Manager",TeamList[#Headers],0)))</f>
        <v>Ahmed Hassan, Zahra</v>
      </c>
      <c r="B39" s="201" t="s">
        <v>23</v>
      </c>
      <c r="C39" s="257" t="str">
        <f>_xlfn.IFNA(VLOOKUP(Mon_W1[[#This Row],[Employee Name]],'Base Schedules'!A:B,2,FALSE),"")</f>
        <v>Supervisor</v>
      </c>
      <c r="D39" s="274">
        <f>_xlfn.IFNA(VLOOKUP(Mon_W1[[#This Row],[Employee Name]],'Base Schedules'!A:C,3,FALSE),"")</f>
        <v>1230</v>
      </c>
      <c r="E39" s="274">
        <f>_xlfn.IFNA(VLOOKUP(Mon_W1[[#This Row],[Employee Name]],'Base Schedules'!A:D,4,FALSE),"")</f>
        <v>2130</v>
      </c>
      <c r="F39" s="142">
        <f>IF(Mon_W1[[#This Row],[Employee Name]]="","",IF(Mon_W1[[#This Row],[Dept]]="Supervisor",COUNTIFS($J39:$AX39,"*HL*",$J39:$AX39,"&lt;&gt;"&amp;"pHL"),COUNTIFS($J39:$AX39,"*HL*",$J39:$AX39,"&lt;&gt;"&amp;"*pHL*",$J39:$AX39,"&lt;&gt;"&amp;"pB1 HL",$J39:$AX39,"&lt;&gt;"&amp;"pB2 HL")-SUM(COUNTIFS($J39:$AX39,"*HL B1*",$J39:$AX39,"&lt;&gt;"&amp;"pHL B1")*0.5,COUNTIFS($J39:$AX39,"*HL B2*",$J39:$AX39,"&lt;&gt;"&amp;"pHL B2")*0.5,COUNTIFS($J39:$AX39,"*B1 HL*",$J39:$AX39,"&lt;&gt;"&amp;"pB1 HL")*0.5,COUNTIFS($J39:$AX39,"*B2 HL*",$J39:$AX39,"&lt;&gt;"&amp;"pB2 HL")*0.5)))</f>
        <v>0</v>
      </c>
      <c r="G39" s="142">
        <f t="shared" si="0"/>
        <v>0</v>
      </c>
      <c r="H39" s="142">
        <f t="shared" si="1"/>
        <v>0</v>
      </c>
      <c r="I39" s="142">
        <f>IF(Mon_W1[[#This Row],[Employee Name]]="","",IF(Mon_W1[[#This Row],[Dept]]="Supervisor",SUM(COUNTIFS($J39:$AX39,"RTA*",$J39:$AX39,"&lt;&gt;"&amp;"pRTA"),COUNTIFS($J39:$AX39,"*CRTA*",$J39:$AX39,"&lt;&gt;"&amp;"pCRTA")),COUNTIFS($J39:$AX39,"*RNNR*",$J39:$AX39,"&lt;&gt;"&amp;"*pRNNR*",$J39:$AX39,"&lt;&gt;"&amp;"pB1 RNNR",$J39:$AX39,"&lt;&gt;"&amp;"pB2 RNNR")-SUM(COUNTIFS($J39:$AX39,"*RNNR B1*",$J39:$AX39,"&lt;&gt;"&amp;"pRNNR B1")*0.5,COUNTIFS($J39:$AX39,"*RNNR B2*",$J39:$AX39,"&lt;&gt;"&amp;"pRNNR B2")*0.5,COUNTIFS($J39:$AX39,"*B1 RNNR*",$J39:$AX39,"&lt;&gt;"&amp;"pB1 RNNR")*0.5,COUNTIFS($J39:$AX39,"*B2 RNNR*",$J39:$AX39,"&lt;&gt;"&amp;"pB2 RNNR")*0.5)))</f>
        <v>0</v>
      </c>
      <c r="J39" s="184" t="str">
        <f>IFERROR(IF(VLOOKUP(Mon_W1[[#This Row],[Employee Name]],'Base Schedules'!$A$113:$AW$158,9,FALSE)="","",VLOOKUP(Mon_W1[[#This Row],[Employee Name]],'Base Schedules'!$A$113:$AW$158,9,FALSE)),"")</f>
        <v/>
      </c>
      <c r="K39" s="184" t="str">
        <f>IFERROR(IF(VLOOKUP(Mon_W1[[#This Row],[Employee Name]],'Base Schedules'!$A$113:$AW$158,10,FALSE)="","",VLOOKUP(Mon_W1[[#This Row],[Employee Name]],'Base Schedules'!$A$113:$AW$158,10,FALSE)),"")</f>
        <v/>
      </c>
      <c r="L39" s="184" t="str">
        <f>IFERROR(IF(VLOOKUP(Mon_W1[[#This Row],[Employee Name]],'Base Schedules'!$A$113:$AW$158,11,FALSE)="","",VLOOKUP(Mon_W1[[#This Row],[Employee Name]],'Base Schedules'!$A$113:$AW$158,11,FALSE)),"")</f>
        <v/>
      </c>
      <c r="M39" s="184" t="str">
        <f>IFERROR(IF(VLOOKUP(Mon_W1[[#This Row],[Employee Name]],'Base Schedules'!$A$113:$AW$158,12,FALSE)="","",VLOOKUP(Mon_W1[[#This Row],[Employee Name]],'Base Schedules'!$A$113:$AW$158,12,FALSE)),"")</f>
        <v/>
      </c>
      <c r="N39" s="184" t="str">
        <f>IFERROR(IF(VLOOKUP(Mon_W1[[#This Row],[Employee Name]],'Base Schedules'!$A$113:$AW$158,13,FALSE)="","",VLOOKUP(Mon_W1[[#This Row],[Employee Name]],'Base Schedules'!$A$113:$AW$158,13,FALSE)),"")</f>
        <v/>
      </c>
      <c r="O39" s="184" t="str">
        <f>IFERROR(IF(VLOOKUP(Mon_W1[[#This Row],[Employee Name]],'Base Schedules'!$A$113:$AW$158,14,FALSE)="","",VLOOKUP(Mon_W1[[#This Row],[Employee Name]],'Base Schedules'!$A$113:$AW$158,14,FALSE)),"")</f>
        <v/>
      </c>
      <c r="P39" s="184" t="str">
        <f>IFERROR(IF(VLOOKUP(Mon_W1[[#This Row],[Employee Name]],'Base Schedules'!$A$113:$AW$158,15,FALSE)="","",VLOOKUP(Mon_W1[[#This Row],[Employee Name]],'Base Schedules'!$A$113:$AW$158,15,FALSE)),"")</f>
        <v/>
      </c>
      <c r="Q39" s="184" t="str">
        <f>IFERROR(IF(VLOOKUP(Mon_W1[[#This Row],[Employee Name]],'Base Schedules'!$A$113:$AW$158,16,FALSE)="","",VLOOKUP(Mon_W1[[#This Row],[Employee Name]],'Base Schedules'!$A$113:$AW$158,16,FALSE)),"")</f>
        <v/>
      </c>
      <c r="R39" s="184" t="str">
        <f>IFERROR(IF(VLOOKUP(Mon_W1[[#This Row],[Employee Name]],'Base Schedules'!$A$113:$AW$158,17,FALSE)="","",VLOOKUP(Mon_W1[[#This Row],[Employee Name]],'Base Schedules'!$A$113:$AW$158,17,FALSE)),"")</f>
        <v/>
      </c>
      <c r="S39" s="184" t="str">
        <f>IFERROR(IF(VLOOKUP(Mon_W1[[#This Row],[Employee Name]],'Base Schedules'!$A$113:$AW$158,18,FALSE)="","",VLOOKUP(Mon_W1[[#This Row],[Employee Name]],'Base Schedules'!$A$113:$AW$158,18,FALSE)),"")</f>
        <v/>
      </c>
      <c r="T39" s="184" t="str">
        <f>IFERROR(IF(VLOOKUP(Mon_W1[[#This Row],[Employee Name]],'Base Schedules'!$A$113:$AW$158,19,FALSE)="","",VLOOKUP(Mon_W1[[#This Row],[Employee Name]],'Base Schedules'!$A$113:$AW$158,19,FALSE)),"")</f>
        <v/>
      </c>
      <c r="U39" s="184" t="str">
        <f>IFERROR(IF(VLOOKUP(Mon_W1[[#This Row],[Employee Name]],'Base Schedules'!$A$113:$AW$158,20,FALSE)="","",VLOOKUP(Mon_W1[[#This Row],[Employee Name]],'Base Schedules'!$A$113:$AW$158,20,FALSE)),"")</f>
        <v/>
      </c>
      <c r="V39" s="184" t="str">
        <f>IFERROR(IF(VLOOKUP(Mon_W1[[#This Row],[Employee Name]],'Base Schedules'!$A$113:$AW$158,21,FALSE)="","",VLOOKUP(Mon_W1[[#This Row],[Employee Name]],'Base Schedules'!$A$113:$AW$158,21,FALSE)),"")</f>
        <v/>
      </c>
      <c r="W39" s="184" t="str">
        <f>IFERROR(IF(VLOOKUP(Mon_W1[[#This Row],[Employee Name]],'Base Schedules'!$A$113:$AW$158,22,FALSE)="","",VLOOKUP(Mon_W1[[#This Row],[Employee Name]],'Base Schedules'!$A$113:$AW$158,22,FALSE)),"")</f>
        <v/>
      </c>
      <c r="X39" s="184" t="str">
        <f>IFERROR(IF(VLOOKUP(Mon_W1[[#This Row],[Employee Name]],'Base Schedules'!$A$113:$AW$158,23,FALSE)="","",VLOOKUP(Mon_W1[[#This Row],[Employee Name]],'Base Schedules'!$A$113:$AW$158,23,FALSE)),"")</f>
        <v/>
      </c>
      <c r="Y39" s="184" t="str">
        <f>IFERROR(IF(VLOOKUP(Mon_W1[[#This Row],[Employee Name]],'Base Schedules'!$A$113:$AW$158,24,FALSE)="","",VLOOKUP(Mon_W1[[#This Row],[Employee Name]],'Base Schedules'!$A$113:$AW$158,24,FALSE)),"")</f>
        <v>-</v>
      </c>
      <c r="Z39" s="184" t="str">
        <f>IFERROR(IF(VLOOKUP(Mon_W1[[#This Row],[Employee Name]],'Base Schedules'!$A$113:$AW$158,25,FALSE)="","",VLOOKUP(Mon_W1[[#This Row],[Employee Name]],'Base Schedules'!$A$113:$AW$158,25,FALSE)),"")</f>
        <v>-</v>
      </c>
      <c r="AA39" s="184" t="str">
        <f>IFERROR(IF(VLOOKUP(Mon_W1[[#This Row],[Employee Name]],'Base Schedules'!$A$113:$AW$158,26,FALSE)="","",VLOOKUP(Mon_W1[[#This Row],[Employee Name]],'Base Schedules'!$A$113:$AW$158,26,FALSE)),"")</f>
        <v>-</v>
      </c>
      <c r="AB39" s="184" t="str">
        <f>IFERROR(IF(VLOOKUP(Mon_W1[[#This Row],[Employee Name]],'Base Schedules'!$A$113:$AW$158,27,FALSE)="","",VLOOKUP(Mon_W1[[#This Row],[Employee Name]],'Base Schedules'!$A$113:$AW$158,27,FALSE)),"")</f>
        <v>-</v>
      </c>
      <c r="AC39" s="184" t="str">
        <f>IFERROR(IF(VLOOKUP(Mon_W1[[#This Row],[Employee Name]],'Base Schedules'!$A$113:$AW$158,28,FALSE)="","",VLOOKUP(Mon_W1[[#This Row],[Employee Name]],'Base Schedules'!$A$113:$AW$158,28,FALSE)),"")</f>
        <v>-</v>
      </c>
      <c r="AD39" s="184" t="str">
        <f>IFERROR(IF(VLOOKUP(Mon_W1[[#This Row],[Employee Name]],'Base Schedules'!$A$113:$AW$158,29,FALSE)="","",VLOOKUP(Mon_W1[[#This Row],[Employee Name]],'Base Schedules'!$A$113:$AW$158,29,FALSE)),"")</f>
        <v>-</v>
      </c>
      <c r="AE39" s="184" t="str">
        <f>IFERROR(IF(VLOOKUP(Mon_W1[[#This Row],[Employee Name]],'Base Schedules'!$A$113:$AW$158,30,FALSE)="","",VLOOKUP(Mon_W1[[#This Row],[Employee Name]],'Base Schedules'!$A$113:$AW$158,30,FALSE)),"")</f>
        <v>-</v>
      </c>
      <c r="AF39" s="184" t="str">
        <f>IFERROR(IF(VLOOKUP(Mon_W1[[#This Row],[Employee Name]],'Base Schedules'!$A$113:$AW$158,31,FALSE)="","",VLOOKUP(Mon_W1[[#This Row],[Employee Name]],'Base Schedules'!$A$113:$AW$158,31,FALSE)),"")</f>
        <v>Interview</v>
      </c>
      <c r="AG39" s="184" t="str">
        <f>IFERROR(IF(VLOOKUP(Mon_W1[[#This Row],[Employee Name]],'Base Schedules'!$A$113:$AW$158,32,FALSE)="","",VLOOKUP(Mon_W1[[#This Row],[Employee Name]],'Base Schedules'!$A$113:$AW$158,32,FALSE)),"")</f>
        <v>Interview</v>
      </c>
      <c r="AH39" s="184" t="str">
        <f>IFERROR(IF(VLOOKUP(Mon_W1[[#This Row],[Employee Name]],'Base Schedules'!$A$113:$AW$158,33,FALSE)="","",VLOOKUP(Mon_W1[[#This Row],[Employee Name]],'Base Schedules'!$A$113:$AW$158,33,FALSE)),"")</f>
        <v>-</v>
      </c>
      <c r="AI39" s="184" t="str">
        <f>IFERROR(IF(VLOOKUP(Mon_W1[[#This Row],[Employee Name]],'Base Schedules'!$A$113:$AW$158,34,FALSE)="","",VLOOKUP(Mon_W1[[#This Row],[Employee Name]],'Base Schedules'!$A$113:$AW$158,34,FALSE)),"")</f>
        <v>-</v>
      </c>
      <c r="AJ39" s="184" t="str">
        <f>IFERROR(IF(VLOOKUP(Mon_W1[[#This Row],[Employee Name]],'Base Schedules'!$A$113:$AW$158,35,FALSE)="","",VLOOKUP(Mon_W1[[#This Row],[Employee Name]],'Base Schedules'!$A$113:$AW$158,35,FALSE)),"")</f>
        <v>-</v>
      </c>
      <c r="AK39" s="184" t="str">
        <f>IFERROR(IF(VLOOKUP(Mon_W1[[#This Row],[Employee Name]],'Base Schedules'!$A$113:$AW$158,36,FALSE)="","",VLOOKUP(Mon_W1[[#This Row],[Employee Name]],'Base Schedules'!$A$113:$AW$158,36,FALSE)),"")</f>
        <v>-</v>
      </c>
      <c r="AL39" s="184" t="str">
        <f>IFERROR(IF(VLOOKUP(Mon_W1[[#This Row],[Employee Name]],'Base Schedules'!$A$113:$AW$158,37,FALSE)="","",VLOOKUP(Mon_W1[[#This Row],[Employee Name]],'Base Schedules'!$A$113:$AW$158,37,FALSE)),"")</f>
        <v>-</v>
      </c>
      <c r="AM39" s="184" t="str">
        <f>IFERROR(IF(VLOOKUP(Mon_W1[[#This Row],[Employee Name]],'Base Schedules'!$A$113:$AW$158,38,FALSE)="","",VLOOKUP(Mon_W1[[#This Row],[Employee Name]],'Base Schedules'!$A$113:$AW$158,38,FALSE)),"")</f>
        <v>-</v>
      </c>
      <c r="AN39" s="184" t="str">
        <f>IFERROR(IF(VLOOKUP(Mon_W1[[#This Row],[Employee Name]],'Base Schedules'!$A$113:$AW$158,39,FALSE)="","",VLOOKUP(Mon_W1[[#This Row],[Employee Name]],'Base Schedules'!$A$113:$AW$158,39,FALSE)),"")</f>
        <v>-</v>
      </c>
      <c r="AO39" s="184" t="str">
        <f>IFERROR(IF(VLOOKUP(Mon_W1[[#This Row],[Employee Name]],'Base Schedules'!$A$113:$AW$158,40,FALSE)="","",VLOOKUP(Mon_W1[[#This Row],[Employee Name]],'Base Schedules'!$A$113:$AW$158,40,FALSE)),"")</f>
        <v>-</v>
      </c>
      <c r="AP39" s="184" t="str">
        <f>IFERROR(IF(VLOOKUP(Mon_W1[[#This Row],[Employee Name]],'Base Schedules'!$A$113:$AW$158,41,FALSE)="","",VLOOKUP(Mon_W1[[#This Row],[Employee Name]],'Base Schedules'!$A$113:$AW$158,41,FALSE)),"")</f>
        <v>-</v>
      </c>
      <c r="AQ39" s="184" t="str">
        <f>IFERROR(IF(VLOOKUP(Mon_W1[[#This Row],[Employee Name]],'Base Schedules'!$A$113:$AW$158,42,FALSE)="","",VLOOKUP(Mon_W1[[#This Row],[Employee Name]],'Base Schedules'!$A$113:$AW$158,42,FALSE)),"")</f>
        <v/>
      </c>
      <c r="AR39" s="184" t="str">
        <f>IFERROR(IF(VLOOKUP(Mon_W1[[#This Row],[Employee Name]],'Base Schedules'!$A$113:$AW$158,43,FALSE)="","",VLOOKUP(Mon_W1[[#This Row],[Employee Name]],'Base Schedules'!$A$113:$AW$158,43,FALSE)),"")</f>
        <v/>
      </c>
      <c r="AS39" s="184" t="str">
        <f>IFERROR(IF(VLOOKUP(Mon_W1[[#This Row],[Employee Name]],'Base Schedules'!$A$113:$AW$158,44,FALSE)="","",VLOOKUP(Mon_W1[[#This Row],[Employee Name]],'Base Schedules'!$A$113:$AW$158,44,FALSE)),"")</f>
        <v/>
      </c>
      <c r="AT39" s="184" t="str">
        <f>IFERROR(IF(VLOOKUP(Mon_W1[[#This Row],[Employee Name]],'Base Schedules'!$A$113:$AW$158,45,FALSE)="","",VLOOKUP(Mon_W1[[#This Row],[Employee Name]],'Base Schedules'!$A$113:$AW$158,45,FALSE)),"")</f>
        <v/>
      </c>
      <c r="AU39" s="184" t="str">
        <f>IFERROR(IF(VLOOKUP(Mon_W1[[#This Row],[Employee Name]],'Base Schedules'!$A$113:$AW$158,46,FALSE)="","",VLOOKUP(Mon_W1[[#This Row],[Employee Name]],'Base Schedules'!$A$113:$AW$158,46,FALSE)),"")</f>
        <v/>
      </c>
      <c r="AV39" s="184" t="str">
        <f>IFERROR(IF(VLOOKUP(Mon_W1[[#This Row],[Employee Name]],'Base Schedules'!$A$113:$AW$158,47,FALSE)="","",VLOOKUP(Mon_W1[[#This Row],[Employee Name]],'Base Schedules'!$A$113:$AW$158,47,FALSE)),"")</f>
        <v/>
      </c>
      <c r="AW39" s="184" t="str">
        <f>IFERROR(IF(VLOOKUP(Mon_W1[[#This Row],[Employee Name]],'Base Schedules'!$A$113:$AW$158,48,FALSE)="","",VLOOKUP(Mon_W1[[#This Row],[Employee Name]],'Base Schedules'!$A$113:$AW$158,48,FALSE)),"")</f>
        <v/>
      </c>
      <c r="AX39" s="184" t="str">
        <f>IFERROR(IF(VLOOKUP(Mon_W1[[#This Row],[Employee Name]],'Base Schedules'!$A$113:$AW$158,49,FALSE)="","",VLOOKUP(Mon_W1[[#This Row],[Employee Name]],'Base Schedules'!$A$113:$AW$158,49,FALSE)),"")</f>
        <v/>
      </c>
      <c r="AY39" s="164" t="str">
        <f t="shared" si="2"/>
        <v>McFall, Erin</v>
      </c>
    </row>
    <row r="40" spans="1:51" s="44" customFormat="1" ht="12" x14ac:dyDescent="0.2">
      <c r="A40" s="39" t="e">
        <f>IF(B40="","",INDEX(TeamList[],MATCH($B40,TeamList[[Employee Name]:[Employee Name]],0),MATCH("Manager",TeamList[#Headers],0)))</f>
        <v>#N/A</v>
      </c>
      <c r="B40" s="201" t="s">
        <v>587</v>
      </c>
      <c r="C40" s="257" t="str">
        <f>_xlfn.IFNA(VLOOKUP(Mon_W1[[#This Row],[Employee Name]],'Base Schedules'!A:B,2,FALSE),"")</f>
        <v>Lead</v>
      </c>
      <c r="D40" s="274">
        <f>_xlfn.IFNA(VLOOKUP(Mon_W1[[#This Row],[Employee Name]],'Base Schedules'!A:C,3,FALSE),"")</f>
        <v>1230</v>
      </c>
      <c r="E40" s="274">
        <f>_xlfn.IFNA(VLOOKUP(Mon_W1[[#This Row],[Employee Name]],'Base Schedules'!A:D,4,FALSE),"")</f>
        <v>2100</v>
      </c>
      <c r="F40" s="142">
        <f>IF(Mon_W1[[#This Row],[Employee Name]]="","",IF(Mon_W1[[#This Row],[Dept]]="Supervisor",COUNTIFS($J40:$AX40,"*HL*",$J40:$AX40,"&lt;&gt;"&amp;"pHL"),COUNTIFS($J40:$AX40,"*HL*",$J40:$AX40,"&lt;&gt;"&amp;"*pHL*",$J40:$AX40,"&lt;&gt;"&amp;"pB1 HL",$J40:$AX40,"&lt;&gt;"&amp;"pB2 HL")-SUM(COUNTIFS($J40:$AX40,"*HL B1*",$J40:$AX40,"&lt;&gt;"&amp;"pHL B1")*0.5,COUNTIFS($J40:$AX40,"*HL B2*",$J40:$AX40,"&lt;&gt;"&amp;"pHL B2")*0.5,COUNTIFS($J40:$AX40,"*B1 HL*",$J40:$AX40,"&lt;&gt;"&amp;"pB1 HL")*0.5,COUNTIFS($J40:$AX40,"*B2 HL*",$J40:$AX40,"&lt;&gt;"&amp;"pB2 HL")*0.5)))</f>
        <v>8.5</v>
      </c>
      <c r="G40" s="142">
        <f t="shared" si="0"/>
        <v>0</v>
      </c>
      <c r="H40" s="142">
        <f t="shared" si="1"/>
        <v>7</v>
      </c>
      <c r="I40" s="142">
        <f>IF(Mon_W1[[#This Row],[Employee Name]]="","",IF(Mon_W1[[#This Row],[Dept]]="Supervisor",SUM(COUNTIFS($J40:$AX40,"RTA*",$J40:$AX40,"&lt;&gt;"&amp;"pRTA"),COUNTIFS($J40:$AX40,"*CRTA*",$J40:$AX40,"&lt;&gt;"&amp;"pCRTA")),COUNTIFS($J40:$AX40,"*RNNR*",$J40:$AX40,"&lt;&gt;"&amp;"*pRNNR*",$J40:$AX40,"&lt;&gt;"&amp;"pB1 RNNR",$J40:$AX40,"&lt;&gt;"&amp;"pB2 RNNR")-SUM(COUNTIFS($J40:$AX40,"*RNNR B1*",$J40:$AX40,"&lt;&gt;"&amp;"pRNNR B1")*0.5,COUNTIFS($J40:$AX40,"*RNNR B2*",$J40:$AX40,"&lt;&gt;"&amp;"pRNNR B2")*0.5,COUNTIFS($J40:$AX40,"*B1 RNNR*",$J40:$AX40,"&lt;&gt;"&amp;"pB1 RNNR")*0.5,COUNTIFS($J40:$AX40,"*B2 RNNR*",$J40:$AX40,"&lt;&gt;"&amp;"pB2 RNNR")*0.5)))</f>
        <v>0</v>
      </c>
      <c r="J40" s="184" t="str">
        <f>IFERROR(IF(VLOOKUP(Mon_W1[[#This Row],[Employee Name]],'Base Schedules'!$A$113:$AW$158,9,FALSE)="","",VLOOKUP(Mon_W1[[#This Row],[Employee Name]],'Base Schedules'!$A$113:$AW$158,9,FALSE)),"")</f>
        <v/>
      </c>
      <c r="K40" s="184" t="str">
        <f>IFERROR(IF(VLOOKUP(Mon_W1[[#This Row],[Employee Name]],'Base Schedules'!$A$113:$AW$158,10,FALSE)="","",VLOOKUP(Mon_W1[[#This Row],[Employee Name]],'Base Schedules'!$A$113:$AW$158,10,FALSE)),"")</f>
        <v/>
      </c>
      <c r="L40" s="184" t="str">
        <f>IFERROR(IF(VLOOKUP(Mon_W1[[#This Row],[Employee Name]],'Base Schedules'!$A$113:$AW$158,11,FALSE)="","",VLOOKUP(Mon_W1[[#This Row],[Employee Name]],'Base Schedules'!$A$113:$AW$158,11,FALSE)),"")</f>
        <v/>
      </c>
      <c r="M40" s="184" t="str">
        <f>IFERROR(IF(VLOOKUP(Mon_W1[[#This Row],[Employee Name]],'Base Schedules'!$A$113:$AW$158,12,FALSE)="","",VLOOKUP(Mon_W1[[#This Row],[Employee Name]],'Base Schedules'!$A$113:$AW$158,12,FALSE)),"")</f>
        <v/>
      </c>
      <c r="N40" s="184" t="str">
        <f>IFERROR(IF(VLOOKUP(Mon_W1[[#This Row],[Employee Name]],'Base Schedules'!$A$113:$AW$158,13,FALSE)="","",VLOOKUP(Mon_W1[[#This Row],[Employee Name]],'Base Schedules'!$A$113:$AW$158,13,FALSE)),"")</f>
        <v/>
      </c>
      <c r="O40" s="184" t="str">
        <f>IFERROR(IF(VLOOKUP(Mon_W1[[#This Row],[Employee Name]],'Base Schedules'!$A$113:$AW$158,14,FALSE)="","",VLOOKUP(Mon_W1[[#This Row],[Employee Name]],'Base Schedules'!$A$113:$AW$158,14,FALSE)),"")</f>
        <v/>
      </c>
      <c r="P40" s="184" t="str">
        <f>IFERROR(IF(VLOOKUP(Mon_W1[[#This Row],[Employee Name]],'Base Schedules'!$A$113:$AW$158,15,FALSE)="","",VLOOKUP(Mon_W1[[#This Row],[Employee Name]],'Base Schedules'!$A$113:$AW$158,15,FALSE)),"")</f>
        <v/>
      </c>
      <c r="Q40" s="184" t="str">
        <f>IFERROR(IF(VLOOKUP(Mon_W1[[#This Row],[Employee Name]],'Base Schedules'!$A$113:$AW$158,16,FALSE)="","",VLOOKUP(Mon_W1[[#This Row],[Employee Name]],'Base Schedules'!$A$113:$AW$158,16,FALSE)),"")</f>
        <v/>
      </c>
      <c r="R40" s="184" t="str">
        <f>IFERROR(IF(VLOOKUP(Mon_W1[[#This Row],[Employee Name]],'Base Schedules'!$A$113:$AW$158,17,FALSE)="","",VLOOKUP(Mon_W1[[#This Row],[Employee Name]],'Base Schedules'!$A$113:$AW$158,17,FALSE)),"")</f>
        <v/>
      </c>
      <c r="S40" s="184" t="str">
        <f>IFERROR(IF(VLOOKUP(Mon_W1[[#This Row],[Employee Name]],'Base Schedules'!$A$113:$AW$158,18,FALSE)="","",VLOOKUP(Mon_W1[[#This Row],[Employee Name]],'Base Schedules'!$A$113:$AW$158,18,FALSE)),"")</f>
        <v/>
      </c>
      <c r="T40" s="184" t="str">
        <f>IFERROR(IF(VLOOKUP(Mon_W1[[#This Row],[Employee Name]],'Base Schedules'!$A$113:$AW$158,19,FALSE)="","",VLOOKUP(Mon_W1[[#This Row],[Employee Name]],'Base Schedules'!$A$113:$AW$158,19,FALSE)),"")</f>
        <v/>
      </c>
      <c r="U40" s="184" t="str">
        <f>IFERROR(IF(VLOOKUP(Mon_W1[[#This Row],[Employee Name]],'Base Schedules'!$A$113:$AW$158,20,FALSE)="","",VLOOKUP(Mon_W1[[#This Row],[Employee Name]],'Base Schedules'!$A$113:$AW$158,20,FALSE)),"")</f>
        <v/>
      </c>
      <c r="V40" s="184" t="str">
        <f>IFERROR(IF(VLOOKUP(Mon_W1[[#This Row],[Employee Name]],'Base Schedules'!$A$113:$AW$158,21,FALSE)="","",VLOOKUP(Mon_W1[[#This Row],[Employee Name]],'Base Schedules'!$A$113:$AW$158,21,FALSE)),"")</f>
        <v/>
      </c>
      <c r="W40" s="184" t="str">
        <f>IFERROR(IF(VLOOKUP(Mon_W1[[#This Row],[Employee Name]],'Base Schedules'!$A$113:$AW$158,22,FALSE)="","",VLOOKUP(Mon_W1[[#This Row],[Employee Name]],'Base Schedules'!$A$113:$AW$158,22,FALSE)),"")</f>
        <v/>
      </c>
      <c r="X40" s="184" t="str">
        <f>IFERROR(IF(VLOOKUP(Mon_W1[[#This Row],[Employee Name]],'Base Schedules'!$A$113:$AW$158,23,FALSE)="","",VLOOKUP(Mon_W1[[#This Row],[Employee Name]],'Base Schedules'!$A$113:$AW$158,23,FALSE)),"")</f>
        <v/>
      </c>
      <c r="Y40" s="184" t="str">
        <f>IFERROR(IF(VLOOKUP(Mon_W1[[#This Row],[Employee Name]],'Base Schedules'!$A$113:$AW$158,24,FALSE)="","",VLOOKUP(Mon_W1[[#This Row],[Employee Name]],'Base Schedules'!$A$113:$AW$158,24,FALSE)),"")</f>
        <v>HL</v>
      </c>
      <c r="Z40" s="184" t="str">
        <f>IFERROR(IF(VLOOKUP(Mon_W1[[#This Row],[Employee Name]],'Base Schedules'!$A$113:$AW$158,25,FALSE)="","",VLOOKUP(Mon_W1[[#This Row],[Employee Name]],'Base Schedules'!$A$113:$AW$158,25,FALSE)),"")</f>
        <v>HL</v>
      </c>
      <c r="AA40" s="184" t="str">
        <f>IFERROR(IF(VLOOKUP(Mon_W1[[#This Row],[Employee Name]],'Base Schedules'!$A$113:$AW$158,26,FALSE)="","",VLOOKUP(Mon_W1[[#This Row],[Employee Name]],'Base Schedules'!$A$113:$AW$158,26,FALSE)),"")</f>
        <v>HL B1</v>
      </c>
      <c r="AB40" s="184" t="str">
        <f>IFERROR(IF(VLOOKUP(Mon_W1[[#This Row],[Employee Name]],'Base Schedules'!$A$113:$AW$158,27,FALSE)="","",VLOOKUP(Mon_W1[[#This Row],[Employee Name]],'Base Schedules'!$A$113:$AW$158,27,FALSE)),"")</f>
        <v>HL</v>
      </c>
      <c r="AC40" s="184" t="str">
        <f>IFERROR(IF(VLOOKUP(Mon_W1[[#This Row],[Employee Name]],'Base Schedules'!$A$113:$AW$158,28,FALSE)="","",VLOOKUP(Mon_W1[[#This Row],[Employee Name]],'Base Schedules'!$A$113:$AW$158,28,FALSE)),"")</f>
        <v>HL</v>
      </c>
      <c r="AD40" s="184" t="str">
        <f>IFERROR(IF(VLOOKUP(Mon_W1[[#This Row],[Employee Name]],'Base Schedules'!$A$113:$AW$158,29,FALSE)="","",VLOOKUP(Mon_W1[[#This Row],[Employee Name]],'Base Schedules'!$A$113:$AW$158,29,FALSE)),"")</f>
        <v>ADM</v>
      </c>
      <c r="AE40" s="184" t="str">
        <f>IFERROR(IF(VLOOKUP(Mon_W1[[#This Row],[Employee Name]],'Base Schedules'!$A$113:$AW$158,30,FALSE)="","",VLOOKUP(Mon_W1[[#This Row],[Employee Name]],'Base Schedules'!$A$113:$AW$158,30,FALSE)),"")</f>
        <v>ADM</v>
      </c>
      <c r="AF40" s="184" t="str">
        <f>IFERROR(IF(VLOOKUP(Mon_W1[[#This Row],[Employee Name]],'Base Schedules'!$A$113:$AW$158,31,FALSE)="","",VLOOKUP(Mon_W1[[#This Row],[Employee Name]],'Base Schedules'!$A$113:$AW$158,31,FALSE)),"")</f>
        <v>LUNCH</v>
      </c>
      <c r="AG40" s="184" t="str">
        <f>IFERROR(IF(VLOOKUP(Mon_W1[[#This Row],[Employee Name]],'Base Schedules'!$A$113:$AW$158,32,FALSE)="","",VLOOKUP(Mon_W1[[#This Row],[Employee Name]],'Base Schedules'!$A$113:$AW$158,32,FALSE)),"")</f>
        <v>ADM</v>
      </c>
      <c r="AH40" s="184" t="str">
        <f>IFERROR(IF(VLOOKUP(Mon_W1[[#This Row],[Employee Name]],'Base Schedules'!$A$113:$AW$158,33,FALSE)="","",VLOOKUP(Mon_W1[[#This Row],[Employee Name]],'Base Schedules'!$A$113:$AW$158,33,FALSE)),"")</f>
        <v>HL</v>
      </c>
      <c r="AI40" s="184" t="str">
        <f>IFERROR(IF(VLOOKUP(Mon_W1[[#This Row],[Employee Name]],'Base Schedules'!$A$113:$AW$158,34,FALSE)="","",VLOOKUP(Mon_W1[[#This Row],[Employee Name]],'Base Schedules'!$A$113:$AW$158,34,FALSE)),"")</f>
        <v>HL</v>
      </c>
      <c r="AJ40" s="184" t="str">
        <f>IFERROR(IF(VLOOKUP(Mon_W1[[#This Row],[Employee Name]],'Base Schedules'!$A$113:$AW$158,35,FALSE)="","",VLOOKUP(Mon_W1[[#This Row],[Employee Name]],'Base Schedules'!$A$113:$AW$158,35,FALSE)),"")</f>
        <v>HL</v>
      </c>
      <c r="AK40" s="184" t="str">
        <f>IFERROR(IF(VLOOKUP(Mon_W1[[#This Row],[Employee Name]],'Base Schedules'!$A$113:$AW$158,36,FALSE)="","",VLOOKUP(Mon_W1[[#This Row],[Employee Name]],'Base Schedules'!$A$113:$AW$158,36,FALSE)),"")</f>
        <v>ADM</v>
      </c>
      <c r="AL40" s="184" t="str">
        <f>IFERROR(IF(VLOOKUP(Mon_W1[[#This Row],[Employee Name]],'Base Schedules'!$A$113:$AW$158,37,FALSE)="","",VLOOKUP(Mon_W1[[#This Row],[Employee Name]],'Base Schedules'!$A$113:$AW$158,37,FALSE)),"")</f>
        <v>B2 ADM</v>
      </c>
      <c r="AM40" s="184" t="str">
        <f>IFERROR(IF(VLOOKUP(Mon_W1[[#This Row],[Employee Name]],'Base Schedules'!$A$113:$AW$158,38,FALSE)="","",VLOOKUP(Mon_W1[[#This Row],[Employee Name]],'Base Schedules'!$A$113:$AW$158,38,FALSE)),"")</f>
        <v>ADM</v>
      </c>
      <c r="AN40" s="184" t="str">
        <f>IFERROR(IF(VLOOKUP(Mon_W1[[#This Row],[Employee Name]],'Base Schedules'!$A$113:$AW$158,39,FALSE)="","",VLOOKUP(Mon_W1[[#This Row],[Employee Name]],'Base Schedules'!$A$113:$AW$158,39,FALSE)),"")</f>
        <v>ADM</v>
      </c>
      <c r="AO40" s="184" t="str">
        <f>IFERROR(IF(VLOOKUP(Mon_W1[[#This Row],[Employee Name]],'Base Schedules'!$A$113:$AW$158,40,FALSE)="","",VLOOKUP(Mon_W1[[#This Row],[Employee Name]],'Base Schedules'!$A$113:$AW$158,40,FALSE)),"")</f>
        <v>HL</v>
      </c>
      <c r="AP40" s="184" t="str">
        <f>IFERROR(IF(VLOOKUP(Mon_W1[[#This Row],[Employee Name]],'Base Schedules'!$A$113:$AW$158,41,FALSE)="","",VLOOKUP(Mon_W1[[#This Row],[Employee Name]],'Base Schedules'!$A$113:$AW$158,41,FALSE)),"")</f>
        <v/>
      </c>
      <c r="AQ40" s="184" t="str">
        <f>IFERROR(IF(VLOOKUP(Mon_W1[[#This Row],[Employee Name]],'Base Schedules'!$A$113:$AW$158,42,FALSE)="","",VLOOKUP(Mon_W1[[#This Row],[Employee Name]],'Base Schedules'!$A$113:$AW$158,42,FALSE)),"")</f>
        <v/>
      </c>
      <c r="AR40" s="184" t="str">
        <f>IFERROR(IF(VLOOKUP(Mon_W1[[#This Row],[Employee Name]],'Base Schedules'!$A$113:$AW$158,43,FALSE)="","",VLOOKUP(Mon_W1[[#This Row],[Employee Name]],'Base Schedules'!$A$113:$AW$158,43,FALSE)),"")</f>
        <v/>
      </c>
      <c r="AS40" s="184" t="str">
        <f>IFERROR(IF(VLOOKUP(Mon_W1[[#This Row],[Employee Name]],'Base Schedules'!$A$113:$AW$158,44,FALSE)="","",VLOOKUP(Mon_W1[[#This Row],[Employee Name]],'Base Schedules'!$A$113:$AW$158,44,FALSE)),"")</f>
        <v/>
      </c>
      <c r="AT40" s="184" t="str">
        <f>IFERROR(IF(VLOOKUP(Mon_W1[[#This Row],[Employee Name]],'Base Schedules'!$A$113:$AW$158,45,FALSE)="","",VLOOKUP(Mon_W1[[#This Row],[Employee Name]],'Base Schedules'!$A$113:$AW$158,45,FALSE)),"")</f>
        <v/>
      </c>
      <c r="AU40" s="184" t="str">
        <f>IFERROR(IF(VLOOKUP(Mon_W1[[#This Row],[Employee Name]],'Base Schedules'!$A$113:$AW$158,46,FALSE)="","",VLOOKUP(Mon_W1[[#This Row],[Employee Name]],'Base Schedules'!$A$113:$AW$158,46,FALSE)),"")</f>
        <v/>
      </c>
      <c r="AV40" s="184" t="str">
        <f>IFERROR(IF(VLOOKUP(Mon_W1[[#This Row],[Employee Name]],'Base Schedules'!$A$113:$AW$158,47,FALSE)="","",VLOOKUP(Mon_W1[[#This Row],[Employee Name]],'Base Schedules'!$A$113:$AW$158,47,FALSE)),"")</f>
        <v/>
      </c>
      <c r="AW40" s="184" t="str">
        <f>IFERROR(IF(VLOOKUP(Mon_W1[[#This Row],[Employee Name]],'Base Schedules'!$A$113:$AW$158,48,FALSE)="","",VLOOKUP(Mon_W1[[#This Row],[Employee Name]],'Base Schedules'!$A$113:$AW$158,48,FALSE)),"")</f>
        <v/>
      </c>
      <c r="AX40" s="184" t="str">
        <f>IFERROR(IF(VLOOKUP(Mon_W1[[#This Row],[Employee Name]],'Base Schedules'!$A$113:$AW$158,49,FALSE)="","",VLOOKUP(Mon_W1[[#This Row],[Employee Name]],'Base Schedules'!$A$113:$AW$158,49,FALSE)),"")</f>
        <v/>
      </c>
      <c r="AY40" s="164" t="str">
        <f t="shared" si="2"/>
        <v>Mason, April</v>
      </c>
    </row>
    <row r="41" spans="1:51" s="44" customFormat="1" ht="12" x14ac:dyDescent="0.2">
      <c r="A41" s="39" t="str">
        <f>IF(B41="","",INDEX(TeamList[],MATCH($B41,TeamList[[Employee Name]:[Employee Name]],0),MATCH("Manager",TeamList[#Headers],0)))</f>
        <v>Olson, Katherine</v>
      </c>
      <c r="B41" s="201" t="s">
        <v>29</v>
      </c>
      <c r="C41" s="257" t="str">
        <f>_xlfn.IFNA(VLOOKUP(Mon_W1[[#This Row],[Employee Name]],'Base Schedules'!A:B,2,FALSE),"")</f>
        <v>Lead</v>
      </c>
      <c r="D41" s="274">
        <f>_xlfn.IFNA(VLOOKUP(Mon_W1[[#This Row],[Employee Name]],'Base Schedules'!A:C,3,FALSE),"")</f>
        <v>1300</v>
      </c>
      <c r="E41" s="274">
        <f>_xlfn.IFNA(VLOOKUP(Mon_W1[[#This Row],[Employee Name]],'Base Schedules'!A:D,4,FALSE),"")</f>
        <v>2130</v>
      </c>
      <c r="F41" s="142">
        <f>IF(Mon_W1[[#This Row],[Employee Name]]="","",IF(Mon_W1[[#This Row],[Dept]]="Supervisor",COUNTIFS($J41:$AX41,"*HL*",$J41:$AX41,"&lt;&gt;"&amp;"pHL"),COUNTIFS($J41:$AX41,"*HL*",$J41:$AX41,"&lt;&gt;"&amp;"*pHL*",$J41:$AX41,"&lt;&gt;"&amp;"pB1 HL",$J41:$AX41,"&lt;&gt;"&amp;"pB2 HL")-SUM(COUNTIFS($J41:$AX41,"*HL B1*",$J41:$AX41,"&lt;&gt;"&amp;"pHL B1")*0.5,COUNTIFS($J41:$AX41,"*HL B2*",$J41:$AX41,"&lt;&gt;"&amp;"pHL B2")*0.5,COUNTIFS($J41:$AX41,"*B1 HL*",$J41:$AX41,"&lt;&gt;"&amp;"pB1 HL")*0.5,COUNTIFS($J41:$AX41,"*B2 HL*",$J41:$AX41,"&lt;&gt;"&amp;"pB2 HL")*0.5)))</f>
        <v>8.5</v>
      </c>
      <c r="G41" s="142">
        <f t="shared" si="0"/>
        <v>0</v>
      </c>
      <c r="H41" s="142">
        <f t="shared" si="1"/>
        <v>5</v>
      </c>
      <c r="I41" s="142">
        <f>IF(Mon_W1[[#This Row],[Employee Name]]="","",IF(Mon_W1[[#This Row],[Dept]]="Supervisor",SUM(COUNTIFS($J41:$AX41,"RTA*",$J41:$AX41,"&lt;&gt;"&amp;"pRTA"),COUNTIFS($J41:$AX41,"*CRTA*",$J41:$AX41,"&lt;&gt;"&amp;"pCRTA")),COUNTIFS($J41:$AX41,"*RNNR*",$J41:$AX41,"&lt;&gt;"&amp;"*pRNNR*",$J41:$AX41,"&lt;&gt;"&amp;"pB1 RNNR",$J41:$AX41,"&lt;&gt;"&amp;"pB2 RNNR")-SUM(COUNTIFS($J41:$AX41,"*RNNR B1*",$J41:$AX41,"&lt;&gt;"&amp;"pRNNR B1")*0.5,COUNTIFS($J41:$AX41,"*RNNR B2*",$J41:$AX41,"&lt;&gt;"&amp;"pRNNR B2")*0.5,COUNTIFS($J41:$AX41,"*B1 RNNR*",$J41:$AX41,"&lt;&gt;"&amp;"pB1 RNNR")*0.5,COUNTIFS($J41:$AX41,"*B2 RNNR*",$J41:$AX41,"&lt;&gt;"&amp;"pB2 RNNR")*0.5)))</f>
        <v>2</v>
      </c>
      <c r="J41" s="184" t="str">
        <f>IFERROR(IF(VLOOKUP(Mon_W1[[#This Row],[Employee Name]],'Base Schedules'!$A$113:$AW$158,9,FALSE)="","",VLOOKUP(Mon_W1[[#This Row],[Employee Name]],'Base Schedules'!$A$113:$AW$158,9,FALSE)),"")</f>
        <v/>
      </c>
      <c r="K41" s="184" t="str">
        <f>IFERROR(IF(VLOOKUP(Mon_W1[[#This Row],[Employee Name]],'Base Schedules'!$A$113:$AW$158,10,FALSE)="","",VLOOKUP(Mon_W1[[#This Row],[Employee Name]],'Base Schedules'!$A$113:$AW$158,10,FALSE)),"")</f>
        <v/>
      </c>
      <c r="L41" s="184" t="str">
        <f>IFERROR(IF(VLOOKUP(Mon_W1[[#This Row],[Employee Name]],'Base Schedules'!$A$113:$AW$158,11,FALSE)="","",VLOOKUP(Mon_W1[[#This Row],[Employee Name]],'Base Schedules'!$A$113:$AW$158,11,FALSE)),"")</f>
        <v/>
      </c>
      <c r="M41" s="184" t="str">
        <f>IFERROR(IF(VLOOKUP(Mon_W1[[#This Row],[Employee Name]],'Base Schedules'!$A$113:$AW$158,12,FALSE)="","",VLOOKUP(Mon_W1[[#This Row],[Employee Name]],'Base Schedules'!$A$113:$AW$158,12,FALSE)),"")</f>
        <v/>
      </c>
      <c r="N41" s="184" t="str">
        <f>IFERROR(IF(VLOOKUP(Mon_W1[[#This Row],[Employee Name]],'Base Schedules'!$A$113:$AW$158,13,FALSE)="","",VLOOKUP(Mon_W1[[#This Row],[Employee Name]],'Base Schedules'!$A$113:$AW$158,13,FALSE)),"")</f>
        <v/>
      </c>
      <c r="O41" s="184" t="str">
        <f>IFERROR(IF(VLOOKUP(Mon_W1[[#This Row],[Employee Name]],'Base Schedules'!$A$113:$AW$158,14,FALSE)="","",VLOOKUP(Mon_W1[[#This Row],[Employee Name]],'Base Schedules'!$A$113:$AW$158,14,FALSE)),"")</f>
        <v/>
      </c>
      <c r="P41" s="184" t="str">
        <f>IFERROR(IF(VLOOKUP(Mon_W1[[#This Row],[Employee Name]],'Base Schedules'!$A$113:$AW$158,15,FALSE)="","",VLOOKUP(Mon_W1[[#This Row],[Employee Name]],'Base Schedules'!$A$113:$AW$158,15,FALSE)),"")</f>
        <v/>
      </c>
      <c r="Q41" s="184" t="str">
        <f>IFERROR(IF(VLOOKUP(Mon_W1[[#This Row],[Employee Name]],'Base Schedules'!$A$113:$AW$158,16,FALSE)="","",VLOOKUP(Mon_W1[[#This Row],[Employee Name]],'Base Schedules'!$A$113:$AW$158,16,FALSE)),"")</f>
        <v/>
      </c>
      <c r="R41" s="184" t="str">
        <f>IFERROR(IF(VLOOKUP(Mon_W1[[#This Row],[Employee Name]],'Base Schedules'!$A$113:$AW$158,17,FALSE)="","",VLOOKUP(Mon_W1[[#This Row],[Employee Name]],'Base Schedules'!$A$113:$AW$158,17,FALSE)),"")</f>
        <v/>
      </c>
      <c r="S41" s="184" t="str">
        <f>IFERROR(IF(VLOOKUP(Mon_W1[[#This Row],[Employee Name]],'Base Schedules'!$A$113:$AW$158,18,FALSE)="","",VLOOKUP(Mon_W1[[#This Row],[Employee Name]],'Base Schedules'!$A$113:$AW$158,18,FALSE)),"")</f>
        <v/>
      </c>
      <c r="T41" s="184" t="str">
        <f>IFERROR(IF(VLOOKUP(Mon_W1[[#This Row],[Employee Name]],'Base Schedules'!$A$113:$AW$158,19,FALSE)="","",VLOOKUP(Mon_W1[[#This Row],[Employee Name]],'Base Schedules'!$A$113:$AW$158,19,FALSE)),"")</f>
        <v/>
      </c>
      <c r="U41" s="184" t="str">
        <f>IFERROR(IF(VLOOKUP(Mon_W1[[#This Row],[Employee Name]],'Base Schedules'!$A$113:$AW$158,20,FALSE)="","",VLOOKUP(Mon_W1[[#This Row],[Employee Name]],'Base Schedules'!$A$113:$AW$158,20,FALSE)),"")</f>
        <v/>
      </c>
      <c r="V41" s="184" t="str">
        <f>IFERROR(IF(VLOOKUP(Mon_W1[[#This Row],[Employee Name]],'Base Schedules'!$A$113:$AW$158,21,FALSE)="","",VLOOKUP(Mon_W1[[#This Row],[Employee Name]],'Base Schedules'!$A$113:$AW$158,21,FALSE)),"")</f>
        <v/>
      </c>
      <c r="W41" s="184" t="str">
        <f>IFERROR(IF(VLOOKUP(Mon_W1[[#This Row],[Employee Name]],'Base Schedules'!$A$113:$AW$158,22,FALSE)="","",VLOOKUP(Mon_W1[[#This Row],[Employee Name]],'Base Schedules'!$A$113:$AW$158,22,FALSE)),"")</f>
        <v/>
      </c>
      <c r="X41" s="184" t="str">
        <f>IFERROR(IF(VLOOKUP(Mon_W1[[#This Row],[Employee Name]],'Base Schedules'!$A$113:$AW$158,23,FALSE)="","",VLOOKUP(Mon_W1[[#This Row],[Employee Name]],'Base Schedules'!$A$113:$AW$158,23,FALSE)),"")</f>
        <v/>
      </c>
      <c r="Y41" s="184" t="str">
        <f>IFERROR(IF(VLOOKUP(Mon_W1[[#This Row],[Employee Name]],'Base Schedules'!$A$113:$AW$158,24,FALSE)="","",VLOOKUP(Mon_W1[[#This Row],[Employee Name]],'Base Schedules'!$A$113:$AW$158,24,FALSE)),"")</f>
        <v/>
      </c>
      <c r="Z41" s="184" t="str">
        <f>IFERROR(IF(VLOOKUP(Mon_W1[[#This Row],[Employee Name]],'Base Schedules'!$A$113:$AW$158,25,FALSE)="","",VLOOKUP(Mon_W1[[#This Row],[Employee Name]],'Base Schedules'!$A$113:$AW$158,25,FALSE)),"")</f>
        <v>ADM</v>
      </c>
      <c r="AA41" s="184" t="str">
        <f>IFERROR(IF(VLOOKUP(Mon_W1[[#This Row],[Employee Name]],'Base Schedules'!$A$113:$AW$158,26,FALSE)="","",VLOOKUP(Mon_W1[[#This Row],[Employee Name]],'Base Schedules'!$A$113:$AW$158,26,FALSE)),"")</f>
        <v>ADM</v>
      </c>
      <c r="AB41" s="184" t="str">
        <f>IFERROR(IF(VLOOKUP(Mon_W1[[#This Row],[Employee Name]],'Base Schedules'!$A$113:$AW$158,27,FALSE)="","",VLOOKUP(Mon_W1[[#This Row],[Employee Name]],'Base Schedules'!$A$113:$AW$158,27,FALSE)),"")</f>
        <v>ADM</v>
      </c>
      <c r="AC41" s="184" t="str">
        <f>IFERROR(IF(VLOOKUP(Mon_W1[[#This Row],[Employee Name]],'Base Schedules'!$A$113:$AW$158,28,FALSE)="","",VLOOKUP(Mon_W1[[#This Row],[Employee Name]],'Base Schedules'!$A$113:$AW$158,28,FALSE)),"")</f>
        <v>HL</v>
      </c>
      <c r="AD41" s="184" t="str">
        <f>IFERROR(IF(VLOOKUP(Mon_W1[[#This Row],[Employee Name]],'Base Schedules'!$A$113:$AW$158,29,FALSE)="","",VLOOKUP(Mon_W1[[#This Row],[Employee Name]],'Base Schedules'!$A$113:$AW$158,29,FALSE)),"")</f>
        <v>B1 ADM</v>
      </c>
      <c r="AE41" s="184" t="str">
        <f>IFERROR(IF(VLOOKUP(Mon_W1[[#This Row],[Employee Name]],'Base Schedules'!$A$113:$AW$158,30,FALSE)="","",VLOOKUP(Mon_W1[[#This Row],[Employee Name]],'Base Schedules'!$A$113:$AW$158,30,FALSE)),"")</f>
        <v>ADM</v>
      </c>
      <c r="AF41" s="184" t="str">
        <f>IFERROR(IF(VLOOKUP(Mon_W1[[#This Row],[Employee Name]],'Base Schedules'!$A$113:$AW$158,31,FALSE)="","",VLOOKUP(Mon_W1[[#This Row],[Employee Name]],'Base Schedules'!$A$113:$AW$158,31,FALSE)),"")</f>
        <v>RNNR</v>
      </c>
      <c r="AG41" s="184" t="str">
        <f>IFERROR(IF(VLOOKUP(Mon_W1[[#This Row],[Employee Name]],'Base Schedules'!$A$113:$AW$158,32,FALSE)="","",VLOOKUP(Mon_W1[[#This Row],[Employee Name]],'Base Schedules'!$A$113:$AW$158,32,FALSE)),"")</f>
        <v>RNNR</v>
      </c>
      <c r="AH41" s="184" t="str">
        <f>IFERROR(IF(VLOOKUP(Mon_W1[[#This Row],[Employee Name]],'Base Schedules'!$A$113:$AW$158,33,FALSE)="","",VLOOKUP(Mon_W1[[#This Row],[Employee Name]],'Base Schedules'!$A$113:$AW$158,33,FALSE)),"")</f>
        <v>LUNCH</v>
      </c>
      <c r="AI41" s="184" t="str">
        <f>IFERROR(IF(VLOOKUP(Mon_W1[[#This Row],[Employee Name]],'Base Schedules'!$A$113:$AW$158,34,FALSE)="","",VLOOKUP(Mon_W1[[#This Row],[Employee Name]],'Base Schedules'!$A$113:$AW$158,34,FALSE)),"")</f>
        <v>HL</v>
      </c>
      <c r="AJ41" s="184" t="str">
        <f>IFERROR(IF(VLOOKUP(Mon_W1[[#This Row],[Employee Name]],'Base Schedules'!$A$113:$AW$158,35,FALSE)="","",VLOOKUP(Mon_W1[[#This Row],[Employee Name]],'Base Schedules'!$A$113:$AW$158,35,FALSE)),"")</f>
        <v>HL</v>
      </c>
      <c r="AK41" s="184" t="str">
        <f>IFERROR(IF(VLOOKUP(Mon_W1[[#This Row],[Employee Name]],'Base Schedules'!$A$113:$AW$158,36,FALSE)="","",VLOOKUP(Mon_W1[[#This Row],[Employee Name]],'Base Schedules'!$A$113:$AW$158,36,FALSE)),"")</f>
        <v>HL</v>
      </c>
      <c r="AL41" s="184" t="str">
        <f>IFERROR(IF(VLOOKUP(Mon_W1[[#This Row],[Employee Name]],'Base Schedules'!$A$113:$AW$158,37,FALSE)="","",VLOOKUP(Mon_W1[[#This Row],[Employee Name]],'Base Schedules'!$A$113:$AW$158,37,FALSE)),"")</f>
        <v>HL</v>
      </c>
      <c r="AM41" s="184" t="str">
        <f>IFERROR(IF(VLOOKUP(Mon_W1[[#This Row],[Employee Name]],'Base Schedules'!$A$113:$AW$158,38,FALSE)="","",VLOOKUP(Mon_W1[[#This Row],[Employee Name]],'Base Schedules'!$A$113:$AW$158,38,FALSE)),"")</f>
        <v>HL</v>
      </c>
      <c r="AN41" s="184" t="str">
        <f>IFERROR(IF(VLOOKUP(Mon_W1[[#This Row],[Employee Name]],'Base Schedules'!$A$113:$AW$158,39,FALSE)="","",VLOOKUP(Mon_W1[[#This Row],[Employee Name]],'Base Schedules'!$A$113:$AW$158,39,FALSE)),"")</f>
        <v>B2 HL</v>
      </c>
      <c r="AO41" s="184" t="str">
        <f>IFERROR(IF(VLOOKUP(Mon_W1[[#This Row],[Employee Name]],'Base Schedules'!$A$113:$AW$158,40,FALSE)="","",VLOOKUP(Mon_W1[[#This Row],[Employee Name]],'Base Schedules'!$A$113:$AW$158,40,FALSE)),"")</f>
        <v>HL</v>
      </c>
      <c r="AP41" s="184" t="str">
        <f>IFERROR(IF(VLOOKUP(Mon_W1[[#This Row],[Employee Name]],'Base Schedules'!$A$113:$AW$158,41,FALSE)="","",VLOOKUP(Mon_W1[[#This Row],[Employee Name]],'Base Schedules'!$A$113:$AW$158,41,FALSE)),"")</f>
        <v>HL</v>
      </c>
      <c r="AQ41" s="184" t="str">
        <f>IFERROR(IF(VLOOKUP(Mon_W1[[#This Row],[Employee Name]],'Base Schedules'!$A$113:$AW$158,42,FALSE)="","",VLOOKUP(Mon_W1[[#This Row],[Employee Name]],'Base Schedules'!$A$113:$AW$158,42,FALSE)),"")</f>
        <v/>
      </c>
      <c r="AR41" s="184" t="str">
        <f>IFERROR(IF(VLOOKUP(Mon_W1[[#This Row],[Employee Name]],'Base Schedules'!$A$113:$AW$158,43,FALSE)="","",VLOOKUP(Mon_W1[[#This Row],[Employee Name]],'Base Schedules'!$A$113:$AW$158,43,FALSE)),"")</f>
        <v/>
      </c>
      <c r="AS41" s="184" t="str">
        <f>IFERROR(IF(VLOOKUP(Mon_W1[[#This Row],[Employee Name]],'Base Schedules'!$A$113:$AW$158,44,FALSE)="","",VLOOKUP(Mon_W1[[#This Row],[Employee Name]],'Base Schedules'!$A$113:$AW$158,44,FALSE)),"")</f>
        <v/>
      </c>
      <c r="AT41" s="184" t="str">
        <f>IFERROR(IF(VLOOKUP(Mon_W1[[#This Row],[Employee Name]],'Base Schedules'!$A$113:$AW$158,45,FALSE)="","",VLOOKUP(Mon_W1[[#This Row],[Employee Name]],'Base Schedules'!$A$113:$AW$158,45,FALSE)),"")</f>
        <v/>
      </c>
      <c r="AU41" s="184" t="str">
        <f>IFERROR(IF(VLOOKUP(Mon_W1[[#This Row],[Employee Name]],'Base Schedules'!$A$113:$AW$158,46,FALSE)="","",VLOOKUP(Mon_W1[[#This Row],[Employee Name]],'Base Schedules'!$A$113:$AW$158,46,FALSE)),"")</f>
        <v/>
      </c>
      <c r="AV41" s="184" t="str">
        <f>IFERROR(IF(VLOOKUP(Mon_W1[[#This Row],[Employee Name]],'Base Schedules'!$A$113:$AW$158,47,FALSE)="","",VLOOKUP(Mon_W1[[#This Row],[Employee Name]],'Base Schedules'!$A$113:$AW$158,47,FALSE)),"")</f>
        <v/>
      </c>
      <c r="AW41" s="184" t="str">
        <f>IFERROR(IF(VLOOKUP(Mon_W1[[#This Row],[Employee Name]],'Base Schedules'!$A$113:$AW$158,48,FALSE)="","",VLOOKUP(Mon_W1[[#This Row],[Employee Name]],'Base Schedules'!$A$113:$AW$158,48,FALSE)),"")</f>
        <v/>
      </c>
      <c r="AX41" s="184" t="str">
        <f>IFERROR(IF(VLOOKUP(Mon_W1[[#This Row],[Employee Name]],'Base Schedules'!$A$113:$AW$158,49,FALSE)="","",VLOOKUP(Mon_W1[[#This Row],[Employee Name]],'Base Schedules'!$A$113:$AW$158,49,FALSE)),"")</f>
        <v/>
      </c>
      <c r="AY41" s="166" t="str">
        <f t="shared" si="2"/>
        <v>Mood, Ken</v>
      </c>
    </row>
    <row r="42" spans="1:51" s="44" customFormat="1" ht="12" x14ac:dyDescent="0.2">
      <c r="A42" s="39" t="str">
        <f>IF(B42="","",INDEX(TeamList[],MATCH($B42,TeamList[[Employee Name]:[Employee Name]],0),MATCH("Manager",TeamList[#Headers],0)))</f>
        <v>Olson, Katherine</v>
      </c>
      <c r="B42" s="201" t="s">
        <v>57</v>
      </c>
      <c r="C42" s="257" t="str">
        <f>_xlfn.IFNA(VLOOKUP(Mon_W1[[#This Row],[Employee Name]],'Base Schedules'!A:B,2,FALSE),"")</f>
        <v>Supervisor</v>
      </c>
      <c r="D42" s="274">
        <f>_xlfn.IFNA(VLOOKUP(Mon_W1[[#This Row],[Employee Name]],'Base Schedules'!A:C,3,FALSE),"")</f>
        <v>1300</v>
      </c>
      <c r="E42" s="274">
        <f>_xlfn.IFNA(VLOOKUP(Mon_W1[[#This Row],[Employee Name]],'Base Schedules'!A:D,4,FALSE),"")</f>
        <v>2200</v>
      </c>
      <c r="F42" s="142">
        <f>IF(Mon_W1[[#This Row],[Employee Name]]="","",IF(Mon_W1[[#This Row],[Dept]]="Supervisor",COUNTIFS($J42:$AX42,"*HL*",$J42:$AX42,"&lt;&gt;"&amp;"pHL"),COUNTIFS($J42:$AX42,"*HL*",$J42:$AX42,"&lt;&gt;"&amp;"*pHL*",$J42:$AX42,"&lt;&gt;"&amp;"pB1 HL",$J42:$AX42,"&lt;&gt;"&amp;"pB2 HL")-SUM(COUNTIFS($J42:$AX42,"*HL B1*",$J42:$AX42,"&lt;&gt;"&amp;"pHL B1")*0.5,COUNTIFS($J42:$AX42,"*HL B2*",$J42:$AX42,"&lt;&gt;"&amp;"pHL B2")*0.5,COUNTIFS($J42:$AX42,"*B1 HL*",$J42:$AX42,"&lt;&gt;"&amp;"pB1 HL")*0.5,COUNTIFS($J42:$AX42,"*B2 HL*",$J42:$AX42,"&lt;&gt;"&amp;"pB2 HL")*0.5)))</f>
        <v>0</v>
      </c>
      <c r="G42" s="142">
        <f t="shared" si="0"/>
        <v>0</v>
      </c>
      <c r="H42" s="142">
        <f t="shared" si="1"/>
        <v>0</v>
      </c>
      <c r="I42" s="142">
        <f>IF(Mon_W1[[#This Row],[Employee Name]]="","",IF(Mon_W1[[#This Row],[Dept]]="Supervisor",SUM(COUNTIFS($J42:$AX42,"RTA*",$J42:$AX42,"&lt;&gt;"&amp;"pRTA"),COUNTIFS($J42:$AX42,"*CRTA*",$J42:$AX42,"&lt;&gt;"&amp;"pCRTA")),COUNTIFS($J42:$AX42,"*RNNR*",$J42:$AX42,"&lt;&gt;"&amp;"*pRNNR*",$J42:$AX42,"&lt;&gt;"&amp;"pB1 RNNR",$J42:$AX42,"&lt;&gt;"&amp;"pB2 RNNR")-SUM(COUNTIFS($J42:$AX42,"*RNNR B1*",$J42:$AX42,"&lt;&gt;"&amp;"pRNNR B1")*0.5,COUNTIFS($J42:$AX42,"*RNNR B2*",$J42:$AX42,"&lt;&gt;"&amp;"pRNNR B2")*0.5,COUNTIFS($J42:$AX42,"*B1 RNNR*",$J42:$AX42,"&lt;&gt;"&amp;"pB1 RNNR")*0.5,COUNTIFS($J42:$AX42,"*B2 RNNR*",$J42:$AX42,"&lt;&gt;"&amp;"pB2 RNNR")*0.5)))</f>
        <v>0</v>
      </c>
      <c r="J42" s="184" t="str">
        <f>IFERROR(IF(VLOOKUP(Mon_W1[[#This Row],[Employee Name]],'Base Schedules'!$A$113:$AW$158,9,FALSE)="","",VLOOKUP(Mon_W1[[#This Row],[Employee Name]],'Base Schedules'!$A$113:$AW$158,9,FALSE)),"")</f>
        <v/>
      </c>
      <c r="K42" s="184" t="str">
        <f>IFERROR(IF(VLOOKUP(Mon_W1[[#This Row],[Employee Name]],'Base Schedules'!$A$113:$AW$158,10,FALSE)="","",VLOOKUP(Mon_W1[[#This Row],[Employee Name]],'Base Schedules'!$A$113:$AW$158,10,FALSE)),"")</f>
        <v/>
      </c>
      <c r="L42" s="184" t="str">
        <f>IFERROR(IF(VLOOKUP(Mon_W1[[#This Row],[Employee Name]],'Base Schedules'!$A$113:$AW$158,11,FALSE)="","",VLOOKUP(Mon_W1[[#This Row],[Employee Name]],'Base Schedules'!$A$113:$AW$158,11,FALSE)),"")</f>
        <v/>
      </c>
      <c r="M42" s="184" t="str">
        <f>IFERROR(IF(VLOOKUP(Mon_W1[[#This Row],[Employee Name]],'Base Schedules'!$A$113:$AW$158,12,FALSE)="","",VLOOKUP(Mon_W1[[#This Row],[Employee Name]],'Base Schedules'!$A$113:$AW$158,12,FALSE)),"")</f>
        <v/>
      </c>
      <c r="N42" s="184" t="str">
        <f>IFERROR(IF(VLOOKUP(Mon_W1[[#This Row],[Employee Name]],'Base Schedules'!$A$113:$AW$158,13,FALSE)="","",VLOOKUP(Mon_W1[[#This Row],[Employee Name]],'Base Schedules'!$A$113:$AW$158,13,FALSE)),"")</f>
        <v/>
      </c>
      <c r="O42" s="184" t="str">
        <f>IFERROR(IF(VLOOKUP(Mon_W1[[#This Row],[Employee Name]],'Base Schedules'!$A$113:$AW$158,14,FALSE)="","",VLOOKUP(Mon_W1[[#This Row],[Employee Name]],'Base Schedules'!$A$113:$AW$158,14,FALSE)),"")</f>
        <v/>
      </c>
      <c r="P42" s="184" t="str">
        <f>IFERROR(IF(VLOOKUP(Mon_W1[[#This Row],[Employee Name]],'Base Schedules'!$A$113:$AW$158,15,FALSE)="","",VLOOKUP(Mon_W1[[#This Row],[Employee Name]],'Base Schedules'!$A$113:$AW$158,15,FALSE)),"")</f>
        <v/>
      </c>
      <c r="Q42" s="184" t="str">
        <f>IFERROR(IF(VLOOKUP(Mon_W1[[#This Row],[Employee Name]],'Base Schedules'!$A$113:$AW$158,16,FALSE)="","",VLOOKUP(Mon_W1[[#This Row],[Employee Name]],'Base Schedules'!$A$113:$AW$158,16,FALSE)),"")</f>
        <v/>
      </c>
      <c r="R42" s="184" t="str">
        <f>IFERROR(IF(VLOOKUP(Mon_W1[[#This Row],[Employee Name]],'Base Schedules'!$A$113:$AW$158,17,FALSE)="","",VLOOKUP(Mon_W1[[#This Row],[Employee Name]],'Base Schedules'!$A$113:$AW$158,17,FALSE)),"")</f>
        <v/>
      </c>
      <c r="S42" s="184" t="str">
        <f>IFERROR(IF(VLOOKUP(Mon_W1[[#This Row],[Employee Name]],'Base Schedules'!$A$113:$AW$158,18,FALSE)="","",VLOOKUP(Mon_W1[[#This Row],[Employee Name]],'Base Schedules'!$A$113:$AW$158,18,FALSE)),"")</f>
        <v/>
      </c>
      <c r="T42" s="184" t="str">
        <f>IFERROR(IF(VLOOKUP(Mon_W1[[#This Row],[Employee Name]],'Base Schedules'!$A$113:$AW$158,19,FALSE)="","",VLOOKUP(Mon_W1[[#This Row],[Employee Name]],'Base Schedules'!$A$113:$AW$158,19,FALSE)),"")</f>
        <v/>
      </c>
      <c r="U42" s="184" t="str">
        <f>IFERROR(IF(VLOOKUP(Mon_W1[[#This Row],[Employee Name]],'Base Schedules'!$A$113:$AW$158,20,FALSE)="","",VLOOKUP(Mon_W1[[#This Row],[Employee Name]],'Base Schedules'!$A$113:$AW$158,20,FALSE)),"")</f>
        <v/>
      </c>
      <c r="V42" s="184" t="str">
        <f>IFERROR(IF(VLOOKUP(Mon_W1[[#This Row],[Employee Name]],'Base Schedules'!$A$113:$AW$158,21,FALSE)="","",VLOOKUP(Mon_W1[[#This Row],[Employee Name]],'Base Schedules'!$A$113:$AW$158,21,FALSE)),"")</f>
        <v/>
      </c>
      <c r="W42" s="184" t="str">
        <f>IFERROR(IF(VLOOKUP(Mon_W1[[#This Row],[Employee Name]],'Base Schedules'!$A$113:$AW$158,22,FALSE)="","",VLOOKUP(Mon_W1[[#This Row],[Employee Name]],'Base Schedules'!$A$113:$AW$158,22,FALSE)),"")</f>
        <v/>
      </c>
      <c r="X42" s="184" t="str">
        <f>IFERROR(IF(VLOOKUP(Mon_W1[[#This Row],[Employee Name]],'Base Schedules'!$A$113:$AW$158,23,FALSE)="","",VLOOKUP(Mon_W1[[#This Row],[Employee Name]],'Base Schedules'!$A$113:$AW$158,23,FALSE)),"")</f>
        <v/>
      </c>
      <c r="Y42" s="184" t="str">
        <f>IFERROR(IF(VLOOKUP(Mon_W1[[#This Row],[Employee Name]],'Base Schedules'!$A$113:$AW$158,24,FALSE)="","",VLOOKUP(Mon_W1[[#This Row],[Employee Name]],'Base Schedules'!$A$113:$AW$158,24,FALSE)),"")</f>
        <v/>
      </c>
      <c r="Z42" s="184" t="str">
        <f>IFERROR(IF(VLOOKUP(Mon_W1[[#This Row],[Employee Name]],'Base Schedules'!$A$113:$AW$158,25,FALSE)="","",VLOOKUP(Mon_W1[[#This Row],[Employee Name]],'Base Schedules'!$A$113:$AW$158,25,FALSE)),"")</f>
        <v>-</v>
      </c>
      <c r="AA42" s="184" t="str">
        <f>IFERROR(IF(VLOOKUP(Mon_W1[[#This Row],[Employee Name]],'Base Schedules'!$A$113:$AW$158,26,FALSE)="","",VLOOKUP(Mon_W1[[#This Row],[Employee Name]],'Base Schedules'!$A$113:$AW$158,26,FALSE)),"")</f>
        <v>-</v>
      </c>
      <c r="AB42" s="184" t="str">
        <f>IFERROR(IF(VLOOKUP(Mon_W1[[#This Row],[Employee Name]],'Base Schedules'!$A$113:$AW$158,27,FALSE)="","",VLOOKUP(Mon_W1[[#This Row],[Employee Name]],'Base Schedules'!$A$113:$AW$158,27,FALSE)),"")</f>
        <v>-</v>
      </c>
      <c r="AC42" s="184" t="str">
        <f>IFERROR(IF(VLOOKUP(Mon_W1[[#This Row],[Employee Name]],'Base Schedules'!$A$113:$AW$158,28,FALSE)="","",VLOOKUP(Mon_W1[[#This Row],[Employee Name]],'Base Schedules'!$A$113:$AW$158,28,FALSE)),"")</f>
        <v>-</v>
      </c>
      <c r="AD42" s="184" t="str">
        <f>IFERROR(IF(VLOOKUP(Mon_W1[[#This Row],[Employee Name]],'Base Schedules'!$A$113:$AW$158,29,FALSE)="","",VLOOKUP(Mon_W1[[#This Row],[Employee Name]],'Base Schedules'!$A$113:$AW$158,29,FALSE)),"")</f>
        <v>-</v>
      </c>
      <c r="AE42" s="184" t="str">
        <f>IFERROR(IF(VLOOKUP(Mon_W1[[#This Row],[Employee Name]],'Base Schedules'!$A$113:$AW$158,30,FALSE)="","",VLOOKUP(Mon_W1[[#This Row],[Employee Name]],'Base Schedules'!$A$113:$AW$158,30,FALSE)),"")</f>
        <v>-</v>
      </c>
      <c r="AF42" s="184" t="str">
        <f>IFERROR(IF(VLOOKUP(Mon_W1[[#This Row],[Employee Name]],'Base Schedules'!$A$113:$AW$158,31,FALSE)="","",VLOOKUP(Mon_W1[[#This Row],[Employee Name]],'Base Schedules'!$A$113:$AW$158,31,FALSE)),"")</f>
        <v>-</v>
      </c>
      <c r="AG42" s="184" t="str">
        <f>IFERROR(IF(VLOOKUP(Mon_W1[[#This Row],[Employee Name]],'Base Schedules'!$A$113:$AW$158,32,FALSE)="","",VLOOKUP(Mon_W1[[#This Row],[Employee Name]],'Base Schedules'!$A$113:$AW$158,32,FALSE)),"")</f>
        <v>-</v>
      </c>
      <c r="AH42" s="184" t="str">
        <f>IFERROR(IF(VLOOKUP(Mon_W1[[#This Row],[Employee Name]],'Base Schedules'!$A$113:$AW$158,33,FALSE)="","",VLOOKUP(Mon_W1[[#This Row],[Employee Name]],'Base Schedules'!$A$113:$AW$158,33,FALSE)),"")</f>
        <v>-</v>
      </c>
      <c r="AI42" s="184" t="str">
        <f>IFERROR(IF(VLOOKUP(Mon_W1[[#This Row],[Employee Name]],'Base Schedules'!$A$113:$AW$158,34,FALSE)="","",VLOOKUP(Mon_W1[[#This Row],[Employee Name]],'Base Schedules'!$A$113:$AW$158,34,FALSE)),"")</f>
        <v>-</v>
      </c>
      <c r="AJ42" s="184" t="str">
        <f>IFERROR(IF(VLOOKUP(Mon_W1[[#This Row],[Employee Name]],'Base Schedules'!$A$113:$AW$158,35,FALSE)="","",VLOOKUP(Mon_W1[[#This Row],[Employee Name]],'Base Schedules'!$A$113:$AW$158,35,FALSE)),"")</f>
        <v>Interview</v>
      </c>
      <c r="AK42" s="184" t="str">
        <f>IFERROR(IF(VLOOKUP(Mon_W1[[#This Row],[Employee Name]],'Base Schedules'!$A$113:$AW$158,36,FALSE)="","",VLOOKUP(Mon_W1[[#This Row],[Employee Name]],'Base Schedules'!$A$113:$AW$158,36,FALSE)),"")</f>
        <v>Interview</v>
      </c>
      <c r="AL42" s="184" t="str">
        <f>IFERROR(IF(VLOOKUP(Mon_W1[[#This Row],[Employee Name]],'Base Schedules'!$A$113:$AW$158,37,FALSE)="","",VLOOKUP(Mon_W1[[#This Row],[Employee Name]],'Base Schedules'!$A$113:$AW$158,37,FALSE)),"")</f>
        <v>-</v>
      </c>
      <c r="AM42" s="184" t="str">
        <f>IFERROR(IF(VLOOKUP(Mon_W1[[#This Row],[Employee Name]],'Base Schedules'!$A$113:$AW$158,38,FALSE)="","",VLOOKUP(Mon_W1[[#This Row],[Employee Name]],'Base Schedules'!$A$113:$AW$158,38,FALSE)),"")</f>
        <v>-</v>
      </c>
      <c r="AN42" s="184" t="str">
        <f>IFERROR(IF(VLOOKUP(Mon_W1[[#This Row],[Employee Name]],'Base Schedules'!$A$113:$AW$158,39,FALSE)="","",VLOOKUP(Mon_W1[[#This Row],[Employee Name]],'Base Schedules'!$A$113:$AW$158,39,FALSE)),"")</f>
        <v>-</v>
      </c>
      <c r="AO42" s="184" t="str">
        <f>IFERROR(IF(VLOOKUP(Mon_W1[[#This Row],[Employee Name]],'Base Schedules'!$A$113:$AW$158,40,FALSE)="","",VLOOKUP(Mon_W1[[#This Row],[Employee Name]],'Base Schedules'!$A$113:$AW$158,40,FALSE)),"")</f>
        <v>-</v>
      </c>
      <c r="AP42" s="184" t="str">
        <f>IFERROR(IF(VLOOKUP(Mon_W1[[#This Row],[Employee Name]],'Base Schedules'!$A$113:$AW$158,41,FALSE)="","",VLOOKUP(Mon_W1[[#This Row],[Employee Name]],'Base Schedules'!$A$113:$AW$158,41,FALSE)),"")</f>
        <v>-</v>
      </c>
      <c r="AQ42" s="184" t="str">
        <f>IFERROR(IF(VLOOKUP(Mon_W1[[#This Row],[Employee Name]],'Base Schedules'!$A$113:$AW$158,42,FALSE)="","",VLOOKUP(Mon_W1[[#This Row],[Employee Name]],'Base Schedules'!$A$113:$AW$158,42,FALSE)),"")</f>
        <v>-</v>
      </c>
      <c r="AR42" s="184" t="str">
        <f>IFERROR(IF(VLOOKUP(Mon_W1[[#This Row],[Employee Name]],'Base Schedules'!$A$113:$AW$158,43,FALSE)="","",VLOOKUP(Mon_W1[[#This Row],[Employee Name]],'Base Schedules'!$A$113:$AW$158,43,FALSE)),"")</f>
        <v/>
      </c>
      <c r="AS42" s="184" t="str">
        <f>IFERROR(IF(VLOOKUP(Mon_W1[[#This Row],[Employee Name]],'Base Schedules'!$A$113:$AW$158,44,FALSE)="","",VLOOKUP(Mon_W1[[#This Row],[Employee Name]],'Base Schedules'!$A$113:$AW$158,44,FALSE)),"")</f>
        <v/>
      </c>
      <c r="AT42" s="184" t="str">
        <f>IFERROR(IF(VLOOKUP(Mon_W1[[#This Row],[Employee Name]],'Base Schedules'!$A$113:$AW$158,45,FALSE)="","",VLOOKUP(Mon_W1[[#This Row],[Employee Name]],'Base Schedules'!$A$113:$AW$158,45,FALSE)),"")</f>
        <v/>
      </c>
      <c r="AU42" s="184" t="str">
        <f>IFERROR(IF(VLOOKUP(Mon_W1[[#This Row],[Employee Name]],'Base Schedules'!$A$113:$AW$158,46,FALSE)="","",VLOOKUP(Mon_W1[[#This Row],[Employee Name]],'Base Schedules'!$A$113:$AW$158,46,FALSE)),"")</f>
        <v/>
      </c>
      <c r="AV42" s="184" t="str">
        <f>IFERROR(IF(VLOOKUP(Mon_W1[[#This Row],[Employee Name]],'Base Schedules'!$A$113:$AW$158,47,FALSE)="","",VLOOKUP(Mon_W1[[#This Row],[Employee Name]],'Base Schedules'!$A$113:$AW$158,47,FALSE)),"")</f>
        <v/>
      </c>
      <c r="AW42" s="184" t="str">
        <f>IFERROR(IF(VLOOKUP(Mon_W1[[#This Row],[Employee Name]],'Base Schedules'!$A$113:$AW$158,48,FALSE)="","",VLOOKUP(Mon_W1[[#This Row],[Employee Name]],'Base Schedules'!$A$113:$AW$158,48,FALSE)),"")</f>
        <v/>
      </c>
      <c r="AX42" s="184" t="str">
        <f>IFERROR(IF(VLOOKUP(Mon_W1[[#This Row],[Employee Name]],'Base Schedules'!$A$113:$AW$158,49,FALSE)="","",VLOOKUP(Mon_W1[[#This Row],[Employee Name]],'Base Schedules'!$A$113:$AW$158,49,FALSE)),"")</f>
        <v/>
      </c>
      <c r="AY42" s="164" t="str">
        <f t="shared" si="2"/>
        <v>Cultice, Diana</v>
      </c>
    </row>
    <row r="43" spans="1:51" s="44" customFormat="1" ht="12" x14ac:dyDescent="0.2">
      <c r="A43" s="39" t="str">
        <f>IF(B43="","",INDEX(TeamList[],MATCH($B43,TeamList[[Employee Name]:[Employee Name]],0),MATCH("Manager",TeamList[#Headers],0)))</f>
        <v>Olson, Katherine</v>
      </c>
      <c r="B43" s="330" t="s">
        <v>45</v>
      </c>
      <c r="C43" s="257" t="str">
        <f>_xlfn.IFNA(VLOOKUP(Mon_W1[[#This Row],[Employee Name]],'Base Schedules'!A:B,2,FALSE),"")</f>
        <v>Supervisor</v>
      </c>
      <c r="D43" s="274">
        <f>_xlfn.IFNA(VLOOKUP(Mon_W1[[#This Row],[Employee Name]],'Base Schedules'!A:C,3,FALSE),"")</f>
        <v>1400</v>
      </c>
      <c r="E43" s="274">
        <f>_xlfn.IFNA(VLOOKUP(Mon_W1[[#This Row],[Employee Name]],'Base Schedules'!A:D,4,FALSE),"")</f>
        <v>100</v>
      </c>
      <c r="F43" s="142">
        <f>IF(Mon_W1[[#This Row],[Employee Name]]="","",IF(Mon_W1[[#This Row],[Dept]]="Supervisor",COUNTIFS($J43:$AX43,"*HL*",$J43:$AX43,"&lt;&gt;"&amp;"pHL"),COUNTIFS($J43:$AX43,"*HL*",$J43:$AX43,"&lt;&gt;"&amp;"*pHL*",$J43:$AX43,"&lt;&gt;"&amp;"pB1 HL",$J43:$AX43,"&lt;&gt;"&amp;"pB2 HL")-SUM(COUNTIFS($J43:$AX43,"*HL B1*",$J43:$AX43,"&lt;&gt;"&amp;"pHL B1")*0.5,COUNTIFS($J43:$AX43,"*HL B2*",$J43:$AX43,"&lt;&gt;"&amp;"pHL B2")*0.5,COUNTIFS($J43:$AX43,"*B1 HL*",$J43:$AX43,"&lt;&gt;"&amp;"pB1 HL")*0.5,COUNTIFS($J43:$AX43,"*B2 HL*",$J43:$AX43,"&lt;&gt;"&amp;"pB2 HL")*0.5)))</f>
        <v>0</v>
      </c>
      <c r="G43" s="142">
        <f t="shared" si="0"/>
        <v>0</v>
      </c>
      <c r="H43" s="142">
        <f t="shared" si="1"/>
        <v>0</v>
      </c>
      <c r="I43" s="142">
        <f>IF(Mon_W1[[#This Row],[Employee Name]]="","",IF(Mon_W1[[#This Row],[Dept]]="Supervisor",SUM(COUNTIFS($J43:$AX43,"RTA*",$J43:$AX43,"&lt;&gt;"&amp;"pRTA"),COUNTIFS($J43:$AX43,"*CRTA*",$J43:$AX43,"&lt;&gt;"&amp;"pCRTA")),COUNTIFS($J43:$AX43,"*RNNR*",$J43:$AX43,"&lt;&gt;"&amp;"*pRNNR*",$J43:$AX43,"&lt;&gt;"&amp;"pB1 RNNR",$J43:$AX43,"&lt;&gt;"&amp;"pB2 RNNR")-SUM(COUNTIFS($J43:$AX43,"*RNNR B1*",$J43:$AX43,"&lt;&gt;"&amp;"pRNNR B1")*0.5,COUNTIFS($J43:$AX43,"*RNNR B2*",$J43:$AX43,"&lt;&gt;"&amp;"pRNNR B2")*0.5,COUNTIFS($J43:$AX43,"*B1 RNNR*",$J43:$AX43,"&lt;&gt;"&amp;"pB1 RNNR")*0.5,COUNTIFS($J43:$AX43,"*B2 RNNR*",$J43:$AX43,"&lt;&gt;"&amp;"pB2 RNNR")*0.5)))</f>
        <v>0</v>
      </c>
      <c r="J43" s="184" t="str">
        <f>IFERROR(IF(VLOOKUP(Mon_W1[[#This Row],[Employee Name]],'Base Schedules'!$A$113:$AW$158,9,FALSE)="","",VLOOKUP(Mon_W1[[#This Row],[Employee Name]],'Base Schedules'!$A$113:$AW$158,9,FALSE)),"")</f>
        <v/>
      </c>
      <c r="K43" s="184" t="str">
        <f>IFERROR(IF(VLOOKUP(Mon_W1[[#This Row],[Employee Name]],'Base Schedules'!$A$113:$AW$158,10,FALSE)="","",VLOOKUP(Mon_W1[[#This Row],[Employee Name]],'Base Schedules'!$A$113:$AW$158,10,FALSE)),"")</f>
        <v/>
      </c>
      <c r="L43" s="184" t="str">
        <f>IFERROR(IF(VLOOKUP(Mon_W1[[#This Row],[Employee Name]],'Base Schedules'!$A$113:$AW$158,11,FALSE)="","",VLOOKUP(Mon_W1[[#This Row],[Employee Name]],'Base Schedules'!$A$113:$AW$158,11,FALSE)),"")</f>
        <v/>
      </c>
      <c r="M43" s="184" t="str">
        <f>IFERROR(IF(VLOOKUP(Mon_W1[[#This Row],[Employee Name]],'Base Schedules'!$A$113:$AW$158,12,FALSE)="","",VLOOKUP(Mon_W1[[#This Row],[Employee Name]],'Base Schedules'!$A$113:$AW$158,12,FALSE)),"")</f>
        <v/>
      </c>
      <c r="N43" s="184" t="str">
        <f>IFERROR(IF(VLOOKUP(Mon_W1[[#This Row],[Employee Name]],'Base Schedules'!$A$113:$AW$158,13,FALSE)="","",VLOOKUP(Mon_W1[[#This Row],[Employee Name]],'Base Schedules'!$A$113:$AW$158,13,FALSE)),"")</f>
        <v/>
      </c>
      <c r="O43" s="184" t="str">
        <f>IFERROR(IF(VLOOKUP(Mon_W1[[#This Row],[Employee Name]],'Base Schedules'!$A$113:$AW$158,14,FALSE)="","",VLOOKUP(Mon_W1[[#This Row],[Employee Name]],'Base Schedules'!$A$113:$AW$158,14,FALSE)),"")</f>
        <v/>
      </c>
      <c r="P43" s="184" t="str">
        <f>IFERROR(IF(VLOOKUP(Mon_W1[[#This Row],[Employee Name]],'Base Schedules'!$A$113:$AW$158,15,FALSE)="","",VLOOKUP(Mon_W1[[#This Row],[Employee Name]],'Base Schedules'!$A$113:$AW$158,15,FALSE)),"")</f>
        <v/>
      </c>
      <c r="Q43" s="184" t="str">
        <f>IFERROR(IF(VLOOKUP(Mon_W1[[#This Row],[Employee Name]],'Base Schedules'!$A$113:$AW$158,16,FALSE)="","",VLOOKUP(Mon_W1[[#This Row],[Employee Name]],'Base Schedules'!$A$113:$AW$158,16,FALSE)),"")</f>
        <v/>
      </c>
      <c r="R43" s="184" t="str">
        <f>IFERROR(IF(VLOOKUP(Mon_W1[[#This Row],[Employee Name]],'Base Schedules'!$A$113:$AW$158,17,FALSE)="","",VLOOKUP(Mon_W1[[#This Row],[Employee Name]],'Base Schedules'!$A$113:$AW$158,17,FALSE)),"")</f>
        <v/>
      </c>
      <c r="S43" s="184" t="str">
        <f>IFERROR(IF(VLOOKUP(Mon_W1[[#This Row],[Employee Name]],'Base Schedules'!$A$113:$AW$158,18,FALSE)="","",VLOOKUP(Mon_W1[[#This Row],[Employee Name]],'Base Schedules'!$A$113:$AW$158,18,FALSE)),"")</f>
        <v/>
      </c>
      <c r="T43" s="184" t="str">
        <f>IFERROR(IF(VLOOKUP(Mon_W1[[#This Row],[Employee Name]],'Base Schedules'!$A$113:$AW$158,19,FALSE)="","",VLOOKUP(Mon_W1[[#This Row],[Employee Name]],'Base Schedules'!$A$113:$AW$158,19,FALSE)),"")</f>
        <v/>
      </c>
      <c r="U43" s="184" t="str">
        <f>IFERROR(IF(VLOOKUP(Mon_W1[[#This Row],[Employee Name]],'Base Schedules'!$A$113:$AW$158,20,FALSE)="","",VLOOKUP(Mon_W1[[#This Row],[Employee Name]],'Base Schedules'!$A$113:$AW$158,20,FALSE)),"")</f>
        <v/>
      </c>
      <c r="V43" s="184" t="str">
        <f>IFERROR(IF(VLOOKUP(Mon_W1[[#This Row],[Employee Name]],'Base Schedules'!$A$113:$AW$158,21,FALSE)="","",VLOOKUP(Mon_W1[[#This Row],[Employee Name]],'Base Schedules'!$A$113:$AW$158,21,FALSE)),"")</f>
        <v/>
      </c>
      <c r="W43" s="184" t="str">
        <f>IFERROR(IF(VLOOKUP(Mon_W1[[#This Row],[Employee Name]],'Base Schedules'!$A$113:$AW$158,22,FALSE)="","",VLOOKUP(Mon_W1[[#This Row],[Employee Name]],'Base Schedules'!$A$113:$AW$158,22,FALSE)),"")</f>
        <v/>
      </c>
      <c r="X43" s="184" t="str">
        <f>IFERROR(IF(VLOOKUP(Mon_W1[[#This Row],[Employee Name]],'Base Schedules'!$A$113:$AW$158,23,FALSE)="","",VLOOKUP(Mon_W1[[#This Row],[Employee Name]],'Base Schedules'!$A$113:$AW$158,23,FALSE)),"")</f>
        <v/>
      </c>
      <c r="Y43" s="184" t="str">
        <f>IFERROR(IF(VLOOKUP(Mon_W1[[#This Row],[Employee Name]],'Base Schedules'!$A$113:$AW$158,24,FALSE)="","",VLOOKUP(Mon_W1[[#This Row],[Employee Name]],'Base Schedules'!$A$113:$AW$158,24,FALSE)),"")</f>
        <v/>
      </c>
      <c r="Z43" s="184" t="str">
        <f>IFERROR(IF(VLOOKUP(Mon_W1[[#This Row],[Employee Name]],'Base Schedules'!$A$113:$AW$158,25,FALSE)="","",VLOOKUP(Mon_W1[[#This Row],[Employee Name]],'Base Schedules'!$A$113:$AW$158,25,FALSE)),"")</f>
        <v/>
      </c>
      <c r="AA43" s="184" t="str">
        <f>IFERROR(IF(VLOOKUP(Mon_W1[[#This Row],[Employee Name]],'Base Schedules'!$A$113:$AW$158,26,FALSE)="","",VLOOKUP(Mon_W1[[#This Row],[Employee Name]],'Base Schedules'!$A$113:$AW$158,26,FALSE)),"")</f>
        <v/>
      </c>
      <c r="AB43" s="184" t="str">
        <f>IFERROR(IF(VLOOKUP(Mon_W1[[#This Row],[Employee Name]],'Base Schedules'!$A$113:$AW$158,27,FALSE)="","",VLOOKUP(Mon_W1[[#This Row],[Employee Name]],'Base Schedules'!$A$113:$AW$158,27,FALSE)),"")</f>
        <v>-</v>
      </c>
      <c r="AC43" s="184" t="str">
        <f>IFERROR(IF(VLOOKUP(Mon_W1[[#This Row],[Employee Name]],'Base Schedules'!$A$113:$AW$158,28,FALSE)="","",VLOOKUP(Mon_W1[[#This Row],[Employee Name]],'Base Schedules'!$A$113:$AW$158,28,FALSE)),"")</f>
        <v>Team KO TM</v>
      </c>
      <c r="AD43" s="184" t="str">
        <f>IFERROR(IF(VLOOKUP(Mon_W1[[#This Row],[Employee Name]],'Base Schedules'!$A$113:$AW$158,29,FALSE)="","",VLOOKUP(Mon_W1[[#This Row],[Employee Name]],'Base Schedules'!$A$113:$AW$158,29,FALSE)),"")</f>
        <v>Team KO TM</v>
      </c>
      <c r="AE43" s="184" t="str">
        <f>IFERROR(IF(VLOOKUP(Mon_W1[[#This Row],[Employee Name]],'Base Schedules'!$A$113:$AW$158,30,FALSE)="","",VLOOKUP(Mon_W1[[#This Row],[Employee Name]],'Base Schedules'!$A$113:$AW$158,30,FALSE)),"")</f>
        <v>-</v>
      </c>
      <c r="AF43" s="184" t="str">
        <f>IFERROR(IF(VLOOKUP(Mon_W1[[#This Row],[Employee Name]],'Base Schedules'!$A$113:$AW$158,31,FALSE)="","",VLOOKUP(Mon_W1[[#This Row],[Employee Name]],'Base Schedules'!$A$113:$AW$158,31,FALSE)),"")</f>
        <v>-</v>
      </c>
      <c r="AG43" s="184" t="str">
        <f>IFERROR(IF(VLOOKUP(Mon_W1[[#This Row],[Employee Name]],'Base Schedules'!$A$113:$AW$158,32,FALSE)="","",VLOOKUP(Mon_W1[[#This Row],[Employee Name]],'Base Schedules'!$A$113:$AW$158,32,FALSE)),"")</f>
        <v>-</v>
      </c>
      <c r="AH43" s="184" t="str">
        <f>IFERROR(IF(VLOOKUP(Mon_W1[[#This Row],[Employee Name]],'Base Schedules'!$A$113:$AW$158,33,FALSE)="","",VLOOKUP(Mon_W1[[#This Row],[Employee Name]],'Base Schedules'!$A$113:$AW$158,33,FALSE)),"")</f>
        <v>-</v>
      </c>
      <c r="AI43" s="184" t="str">
        <f>IFERROR(IF(VLOOKUP(Mon_W1[[#This Row],[Employee Name]],'Base Schedules'!$A$113:$AW$158,34,FALSE)="","",VLOOKUP(Mon_W1[[#This Row],[Employee Name]],'Base Schedules'!$A$113:$AW$158,34,FALSE)),"")</f>
        <v>-</v>
      </c>
      <c r="AJ43" s="184" t="str">
        <f>IFERROR(IF(VLOOKUP(Mon_W1[[#This Row],[Employee Name]],'Base Schedules'!$A$113:$AW$158,35,FALSE)="","",VLOOKUP(Mon_W1[[#This Row],[Employee Name]],'Base Schedules'!$A$113:$AW$158,35,FALSE)),"")</f>
        <v>Interview</v>
      </c>
      <c r="AK43" s="184" t="str">
        <f>IFERROR(IF(VLOOKUP(Mon_W1[[#This Row],[Employee Name]],'Base Schedules'!$A$113:$AW$158,36,FALSE)="","",VLOOKUP(Mon_W1[[#This Row],[Employee Name]],'Base Schedules'!$A$113:$AW$158,36,FALSE)),"")</f>
        <v>Interview</v>
      </c>
      <c r="AL43" s="184" t="str">
        <f>IFERROR(IF(VLOOKUP(Mon_W1[[#This Row],[Employee Name]],'Base Schedules'!$A$113:$AW$158,37,FALSE)="","",VLOOKUP(Mon_W1[[#This Row],[Employee Name]],'Base Schedules'!$A$113:$AW$158,37,FALSE)),"")</f>
        <v>-</v>
      </c>
      <c r="AM43" s="184" t="str">
        <f>IFERROR(IF(VLOOKUP(Mon_W1[[#This Row],[Employee Name]],'Base Schedules'!$A$113:$AW$158,38,FALSE)="","",VLOOKUP(Mon_W1[[#This Row],[Employee Name]],'Base Schedules'!$A$113:$AW$158,38,FALSE)),"")</f>
        <v>-</v>
      </c>
      <c r="AN43" s="184" t="str">
        <f>IFERROR(IF(VLOOKUP(Mon_W1[[#This Row],[Employee Name]],'Base Schedules'!$A$113:$AW$158,39,FALSE)="","",VLOOKUP(Mon_W1[[#This Row],[Employee Name]],'Base Schedules'!$A$113:$AW$158,39,FALSE)),"")</f>
        <v>-</v>
      </c>
      <c r="AO43" s="184" t="str">
        <f>IFERROR(IF(VLOOKUP(Mon_W1[[#This Row],[Employee Name]],'Base Schedules'!$A$113:$AW$158,40,FALSE)="","",VLOOKUP(Mon_W1[[#This Row],[Employee Name]],'Base Schedules'!$A$113:$AW$158,40,FALSE)),"")</f>
        <v>-</v>
      </c>
      <c r="AP43" s="184" t="str">
        <f>IFERROR(IF(VLOOKUP(Mon_W1[[#This Row],[Employee Name]],'Base Schedules'!$A$113:$AW$158,41,FALSE)="","",VLOOKUP(Mon_W1[[#This Row],[Employee Name]],'Base Schedules'!$A$113:$AW$158,41,FALSE)),"")</f>
        <v>-</v>
      </c>
      <c r="AQ43" s="184" t="str">
        <f>IFERROR(IF(VLOOKUP(Mon_W1[[#This Row],[Employee Name]],'Base Schedules'!$A$113:$AW$158,42,FALSE)="","",VLOOKUP(Mon_W1[[#This Row],[Employee Name]],'Base Schedules'!$A$113:$AW$158,42,FALSE)),"")</f>
        <v>-</v>
      </c>
      <c r="AR43" s="184" t="str">
        <f>IFERROR(IF(VLOOKUP(Mon_W1[[#This Row],[Employee Name]],'Base Schedules'!$A$113:$AW$158,43,FALSE)="","",VLOOKUP(Mon_W1[[#This Row],[Employee Name]],'Base Schedules'!$A$113:$AW$158,43,FALSE)),"")</f>
        <v>-</v>
      </c>
      <c r="AS43" s="184" t="str">
        <f>IFERROR(IF(VLOOKUP(Mon_W1[[#This Row],[Employee Name]],'Base Schedules'!$A$113:$AW$158,44,FALSE)="","",VLOOKUP(Mon_W1[[#This Row],[Employee Name]],'Base Schedules'!$A$113:$AW$158,44,FALSE)),"")</f>
        <v>-</v>
      </c>
      <c r="AT43" s="184" t="str">
        <f>IFERROR(IF(VLOOKUP(Mon_W1[[#This Row],[Employee Name]],'Base Schedules'!$A$113:$AW$158,45,FALSE)="","",VLOOKUP(Mon_W1[[#This Row],[Employee Name]],'Base Schedules'!$A$113:$AW$158,45,FALSE)),"")</f>
        <v>-</v>
      </c>
      <c r="AU43" s="184" t="str">
        <f>IFERROR(IF(VLOOKUP(Mon_W1[[#This Row],[Employee Name]],'Base Schedules'!$A$113:$AW$158,46,FALSE)="","",VLOOKUP(Mon_W1[[#This Row],[Employee Name]],'Base Schedules'!$A$113:$AW$158,46,FALSE)),"")</f>
        <v>-</v>
      </c>
      <c r="AV43" s="184" t="str">
        <f>IFERROR(IF(VLOOKUP(Mon_W1[[#This Row],[Employee Name]],'Base Schedules'!$A$113:$AW$158,47,FALSE)="","",VLOOKUP(Mon_W1[[#This Row],[Employee Name]],'Base Schedules'!$A$113:$AW$158,47,FALSE)),"")</f>
        <v>-</v>
      </c>
      <c r="AW43" s="184" t="str">
        <f>IFERROR(IF(VLOOKUP(Mon_W1[[#This Row],[Employee Name]],'Base Schedules'!$A$113:$AW$158,48,FALSE)="","",VLOOKUP(Mon_W1[[#This Row],[Employee Name]],'Base Schedules'!$A$113:$AW$158,48,FALSE)),"")</f>
        <v>-</v>
      </c>
      <c r="AX43" s="184" t="str">
        <f>IFERROR(IF(VLOOKUP(Mon_W1[[#This Row],[Employee Name]],'Base Schedules'!$A$113:$AW$158,49,FALSE)="","",VLOOKUP(Mon_W1[[#This Row],[Employee Name]],'Base Schedules'!$A$113:$AW$158,49,FALSE)),"")</f>
        <v/>
      </c>
      <c r="AY43" s="167" t="str">
        <f t="shared" si="2"/>
        <v>McLean, Neva</v>
      </c>
    </row>
    <row r="44" spans="1:51" s="44" customFormat="1" ht="12" x14ac:dyDescent="0.2">
      <c r="A44" s="39" t="str">
        <f>IF(B44="","",INDEX(TeamList[],MATCH($B44,TeamList[[Employee Name]:[Employee Name]],0),MATCH("Manager",TeamList[#Headers],0)))</f>
        <v>Olson, Katherine</v>
      </c>
      <c r="B44" s="201" t="s">
        <v>235</v>
      </c>
      <c r="C44" s="257" t="str">
        <f>_xlfn.IFNA(VLOOKUP(Mon_W1[[#This Row],[Employee Name]],'Base Schedules'!A:B,2,FALSE),"")</f>
        <v>Lead</v>
      </c>
      <c r="D44" s="274">
        <f>_xlfn.IFNA(VLOOKUP(Mon_W1[[#This Row],[Employee Name]],'Base Schedules'!A:C,3,FALSE),"")</f>
        <v>1530</v>
      </c>
      <c r="E44" s="274">
        <f>_xlfn.IFNA(VLOOKUP(Mon_W1[[#This Row],[Employee Name]],'Base Schedules'!A:D,4,FALSE),"")</f>
        <v>0</v>
      </c>
      <c r="F44" s="142">
        <f>IF(Mon_W1[[#This Row],[Employee Name]]="","",IF(Mon_W1[[#This Row],[Dept]]="Supervisor",COUNTIFS($J44:$AX44,"*HL*",$J44:$AX44,"&lt;&gt;"&amp;"pHL"),COUNTIFS($J44:$AX44,"*HL*",$J44:$AX44,"&lt;&gt;"&amp;"*pHL*",$J44:$AX44,"&lt;&gt;"&amp;"pB1 HL",$J44:$AX44,"&lt;&gt;"&amp;"pB2 HL")-SUM(COUNTIFS($J44:$AX44,"*HL B1*",$J44:$AX44,"&lt;&gt;"&amp;"pHL B1")*0.5,COUNTIFS($J44:$AX44,"*HL B2*",$J44:$AX44,"&lt;&gt;"&amp;"pHL B2")*0.5,COUNTIFS($J44:$AX44,"*B1 HL*",$J44:$AX44,"&lt;&gt;"&amp;"pB1 HL")*0.5,COUNTIFS($J44:$AX44,"*B2 HL*",$J44:$AX44,"&lt;&gt;"&amp;"pB2 HL")*0.5)))</f>
        <v>10.5</v>
      </c>
      <c r="G44" s="142">
        <f t="shared" si="0"/>
        <v>0</v>
      </c>
      <c r="H44" s="142">
        <f t="shared" si="1"/>
        <v>5</v>
      </c>
      <c r="I44" s="142">
        <f>IF(Mon_W1[[#This Row],[Employee Name]]="","",IF(Mon_W1[[#This Row],[Dept]]="Supervisor",SUM(COUNTIFS($J44:$AX44,"RTA*",$J44:$AX44,"&lt;&gt;"&amp;"pRTA"),COUNTIFS($J44:$AX44,"*CRTA*",$J44:$AX44,"&lt;&gt;"&amp;"pCRTA")),COUNTIFS($J44:$AX44,"*RNNR*",$J44:$AX44,"&lt;&gt;"&amp;"*pRNNR*",$J44:$AX44,"&lt;&gt;"&amp;"pB1 RNNR",$J44:$AX44,"&lt;&gt;"&amp;"pB2 RNNR")-SUM(COUNTIFS($J44:$AX44,"*RNNR B1*",$J44:$AX44,"&lt;&gt;"&amp;"pRNNR B1")*0.5,COUNTIFS($J44:$AX44,"*RNNR B2*",$J44:$AX44,"&lt;&gt;"&amp;"pRNNR B2")*0.5,COUNTIFS($J44:$AX44,"*B1 RNNR*",$J44:$AX44,"&lt;&gt;"&amp;"pB1 RNNR")*0.5,COUNTIFS($J44:$AX44,"*B2 RNNR*",$J44:$AX44,"&lt;&gt;"&amp;"pB2 RNNR")*0.5)))</f>
        <v>0</v>
      </c>
      <c r="J44" s="184" t="str">
        <f>IFERROR(IF(VLOOKUP(Mon_W1[[#This Row],[Employee Name]],'Base Schedules'!$A$113:$AW$158,9,FALSE)="","",VLOOKUP(Mon_W1[[#This Row],[Employee Name]],'Base Schedules'!$A$113:$AW$158,9,FALSE)),"")</f>
        <v/>
      </c>
      <c r="K44" s="184" t="str">
        <f>IFERROR(IF(VLOOKUP(Mon_W1[[#This Row],[Employee Name]],'Base Schedules'!$A$113:$AW$158,10,FALSE)="","",VLOOKUP(Mon_W1[[#This Row],[Employee Name]],'Base Schedules'!$A$113:$AW$158,10,FALSE)),"")</f>
        <v/>
      </c>
      <c r="L44" s="184" t="str">
        <f>IFERROR(IF(VLOOKUP(Mon_W1[[#This Row],[Employee Name]],'Base Schedules'!$A$113:$AW$158,11,FALSE)="","",VLOOKUP(Mon_W1[[#This Row],[Employee Name]],'Base Schedules'!$A$113:$AW$158,11,FALSE)),"")</f>
        <v/>
      </c>
      <c r="M44" s="184" t="str">
        <f>IFERROR(IF(VLOOKUP(Mon_W1[[#This Row],[Employee Name]],'Base Schedules'!$A$113:$AW$158,12,FALSE)="","",VLOOKUP(Mon_W1[[#This Row],[Employee Name]],'Base Schedules'!$A$113:$AW$158,12,FALSE)),"")</f>
        <v/>
      </c>
      <c r="N44" s="184" t="str">
        <f>IFERROR(IF(VLOOKUP(Mon_W1[[#This Row],[Employee Name]],'Base Schedules'!$A$113:$AW$158,13,FALSE)="","",VLOOKUP(Mon_W1[[#This Row],[Employee Name]],'Base Schedules'!$A$113:$AW$158,13,FALSE)),"")</f>
        <v/>
      </c>
      <c r="O44" s="184" t="str">
        <f>IFERROR(IF(VLOOKUP(Mon_W1[[#This Row],[Employee Name]],'Base Schedules'!$A$113:$AW$158,14,FALSE)="","",VLOOKUP(Mon_W1[[#This Row],[Employee Name]],'Base Schedules'!$A$113:$AW$158,14,FALSE)),"")</f>
        <v/>
      </c>
      <c r="P44" s="184" t="str">
        <f>IFERROR(IF(VLOOKUP(Mon_W1[[#This Row],[Employee Name]],'Base Schedules'!$A$113:$AW$158,15,FALSE)="","",VLOOKUP(Mon_W1[[#This Row],[Employee Name]],'Base Schedules'!$A$113:$AW$158,15,FALSE)),"")</f>
        <v/>
      </c>
      <c r="Q44" s="184" t="str">
        <f>IFERROR(IF(VLOOKUP(Mon_W1[[#This Row],[Employee Name]],'Base Schedules'!$A$113:$AW$158,16,FALSE)="","",VLOOKUP(Mon_W1[[#This Row],[Employee Name]],'Base Schedules'!$A$113:$AW$158,16,FALSE)),"")</f>
        <v/>
      </c>
      <c r="R44" s="184" t="str">
        <f>IFERROR(IF(VLOOKUP(Mon_W1[[#This Row],[Employee Name]],'Base Schedules'!$A$113:$AW$158,17,FALSE)="","",VLOOKUP(Mon_W1[[#This Row],[Employee Name]],'Base Schedules'!$A$113:$AW$158,17,FALSE)),"")</f>
        <v/>
      </c>
      <c r="S44" s="184" t="str">
        <f>IFERROR(IF(VLOOKUP(Mon_W1[[#This Row],[Employee Name]],'Base Schedules'!$A$113:$AW$158,18,FALSE)="","",VLOOKUP(Mon_W1[[#This Row],[Employee Name]],'Base Schedules'!$A$113:$AW$158,18,FALSE)),"")</f>
        <v/>
      </c>
      <c r="T44" s="184" t="str">
        <f>IFERROR(IF(VLOOKUP(Mon_W1[[#This Row],[Employee Name]],'Base Schedules'!$A$113:$AW$158,19,FALSE)="","",VLOOKUP(Mon_W1[[#This Row],[Employee Name]],'Base Schedules'!$A$113:$AW$158,19,FALSE)),"")</f>
        <v/>
      </c>
      <c r="U44" s="184" t="str">
        <f>IFERROR(IF(VLOOKUP(Mon_W1[[#This Row],[Employee Name]],'Base Schedules'!$A$113:$AW$158,20,FALSE)="","",VLOOKUP(Mon_W1[[#This Row],[Employee Name]],'Base Schedules'!$A$113:$AW$158,20,FALSE)),"")</f>
        <v/>
      </c>
      <c r="V44" s="184" t="str">
        <f>IFERROR(IF(VLOOKUP(Mon_W1[[#This Row],[Employee Name]],'Base Schedules'!$A$113:$AW$158,21,FALSE)="","",VLOOKUP(Mon_W1[[#This Row],[Employee Name]],'Base Schedules'!$A$113:$AW$158,21,FALSE)),"")</f>
        <v/>
      </c>
      <c r="W44" s="184" t="str">
        <f>IFERROR(IF(VLOOKUP(Mon_W1[[#This Row],[Employee Name]],'Base Schedules'!$A$113:$AW$158,22,FALSE)="","",VLOOKUP(Mon_W1[[#This Row],[Employee Name]],'Base Schedules'!$A$113:$AW$158,22,FALSE)),"")</f>
        <v/>
      </c>
      <c r="X44" s="184" t="str">
        <f>IFERROR(IF(VLOOKUP(Mon_W1[[#This Row],[Employee Name]],'Base Schedules'!$A$113:$AW$158,23,FALSE)="","",VLOOKUP(Mon_W1[[#This Row],[Employee Name]],'Base Schedules'!$A$113:$AW$158,23,FALSE)),"")</f>
        <v/>
      </c>
      <c r="Y44" s="184" t="str">
        <f>IFERROR(IF(VLOOKUP(Mon_W1[[#This Row],[Employee Name]],'Base Schedules'!$A$113:$AW$158,24,FALSE)="","",VLOOKUP(Mon_W1[[#This Row],[Employee Name]],'Base Schedules'!$A$113:$AW$158,24,FALSE)),"")</f>
        <v/>
      </c>
      <c r="Z44" s="184" t="str">
        <f>IFERROR(IF(VLOOKUP(Mon_W1[[#This Row],[Employee Name]],'Base Schedules'!$A$113:$AW$158,25,FALSE)="","",VLOOKUP(Mon_W1[[#This Row],[Employee Name]],'Base Schedules'!$A$113:$AW$158,25,FALSE)),"")</f>
        <v/>
      </c>
      <c r="AA44" s="184" t="str">
        <f>IFERROR(IF(VLOOKUP(Mon_W1[[#This Row],[Employee Name]],'Base Schedules'!$A$113:$AW$158,26,FALSE)="","",VLOOKUP(Mon_W1[[#This Row],[Employee Name]],'Base Schedules'!$A$113:$AW$158,26,FALSE)),"")</f>
        <v/>
      </c>
      <c r="AB44" s="184" t="str">
        <f>IFERROR(IF(VLOOKUP(Mon_W1[[#This Row],[Employee Name]],'Base Schedules'!$A$113:$AW$158,27,FALSE)="","",VLOOKUP(Mon_W1[[#This Row],[Employee Name]],'Base Schedules'!$A$113:$AW$158,27,FALSE)),"")</f>
        <v/>
      </c>
      <c r="AC44" s="184" t="str">
        <f>IFERROR(IF(VLOOKUP(Mon_W1[[#This Row],[Employee Name]],'Base Schedules'!$A$113:$AW$158,28,FALSE)="","",VLOOKUP(Mon_W1[[#This Row],[Employee Name]],'Base Schedules'!$A$113:$AW$158,28,FALSE)),"")</f>
        <v/>
      </c>
      <c r="AD44" s="184" t="str">
        <f>IFERROR(IF(VLOOKUP(Mon_W1[[#This Row],[Employee Name]],'Base Schedules'!$A$113:$AW$158,29,FALSE)="","",VLOOKUP(Mon_W1[[#This Row],[Employee Name]],'Base Schedules'!$A$113:$AW$158,29,FALSE)),"")</f>
        <v/>
      </c>
      <c r="AE44" s="184" t="str">
        <f>IFERROR(IF(VLOOKUP(Mon_W1[[#This Row],[Employee Name]],'Base Schedules'!$A$113:$AW$158,30,FALSE)="","",VLOOKUP(Mon_W1[[#This Row],[Employee Name]],'Base Schedules'!$A$113:$AW$158,30,FALSE)),"")</f>
        <v>ADM</v>
      </c>
      <c r="AF44" s="184" t="str">
        <f>IFERROR(IF(VLOOKUP(Mon_W1[[#This Row],[Employee Name]],'Base Schedules'!$A$113:$AW$158,31,FALSE)="","",VLOOKUP(Mon_W1[[#This Row],[Employee Name]],'Base Schedules'!$A$113:$AW$158,31,FALSE)),"")</f>
        <v>ADM</v>
      </c>
      <c r="AG44" s="184" t="str">
        <f>IFERROR(IF(VLOOKUP(Mon_W1[[#This Row],[Employee Name]],'Base Schedules'!$A$113:$AW$158,32,FALSE)="","",VLOOKUP(Mon_W1[[#This Row],[Employee Name]],'Base Schedules'!$A$113:$AW$158,32,FALSE)),"")</f>
        <v>ADM</v>
      </c>
      <c r="AH44" s="184" t="str">
        <f>IFERROR(IF(VLOOKUP(Mon_W1[[#This Row],[Employee Name]],'Base Schedules'!$A$113:$AW$158,33,FALSE)="","",VLOOKUP(Mon_W1[[#This Row],[Employee Name]],'Base Schedules'!$A$113:$AW$158,33,FALSE)),"")</f>
        <v>ADM</v>
      </c>
      <c r="AI44" s="184" t="str">
        <f>IFERROR(IF(VLOOKUP(Mon_W1[[#This Row],[Employee Name]],'Base Schedules'!$A$113:$AW$158,34,FALSE)="","",VLOOKUP(Mon_W1[[#This Row],[Employee Name]],'Base Schedules'!$A$113:$AW$158,34,FALSE)),"")</f>
        <v>B1 ADM</v>
      </c>
      <c r="AJ44" s="184" t="str">
        <f>IFERROR(IF(VLOOKUP(Mon_W1[[#This Row],[Employee Name]],'Base Schedules'!$A$113:$AW$158,35,FALSE)="","",VLOOKUP(Mon_W1[[#This Row],[Employee Name]],'Base Schedules'!$A$113:$AW$158,35,FALSE)),"")</f>
        <v>HL</v>
      </c>
      <c r="AK44" s="184" t="str">
        <f>IFERROR(IF(VLOOKUP(Mon_W1[[#This Row],[Employee Name]],'Base Schedules'!$A$113:$AW$158,36,FALSE)="","",VLOOKUP(Mon_W1[[#This Row],[Employee Name]],'Base Schedules'!$A$113:$AW$158,36,FALSE)),"")</f>
        <v>HL</v>
      </c>
      <c r="AL44" s="184" t="str">
        <f>IFERROR(IF(VLOOKUP(Mon_W1[[#This Row],[Employee Name]],'Base Schedules'!$A$113:$AW$158,37,FALSE)="","",VLOOKUP(Mon_W1[[#This Row],[Employee Name]],'Base Schedules'!$A$113:$AW$158,37,FALSE)),"")</f>
        <v>HL</v>
      </c>
      <c r="AM44" s="184" t="str">
        <f>IFERROR(IF(VLOOKUP(Mon_W1[[#This Row],[Employee Name]],'Base Schedules'!$A$113:$AW$158,38,FALSE)="","",VLOOKUP(Mon_W1[[#This Row],[Employee Name]],'Base Schedules'!$A$113:$AW$158,38,FALSE)),"")</f>
        <v>LUNCH</v>
      </c>
      <c r="AN44" s="184" t="str">
        <f>IFERROR(IF(VLOOKUP(Mon_W1[[#This Row],[Employee Name]],'Base Schedules'!$A$113:$AW$158,39,FALSE)="","",VLOOKUP(Mon_W1[[#This Row],[Employee Name]],'Base Schedules'!$A$113:$AW$158,39,FALSE)),"")</f>
        <v>HL</v>
      </c>
      <c r="AO44" s="184" t="str">
        <f>IFERROR(IF(VLOOKUP(Mon_W1[[#This Row],[Employee Name]],'Base Schedules'!$A$113:$AW$158,40,FALSE)="","",VLOOKUP(Mon_W1[[#This Row],[Employee Name]],'Base Schedules'!$A$113:$AW$158,40,FALSE)),"")</f>
        <v>HL</v>
      </c>
      <c r="AP44" s="184" t="str">
        <f>IFERROR(IF(VLOOKUP(Mon_W1[[#This Row],[Employee Name]],'Base Schedules'!$A$113:$AW$158,41,FALSE)="","",VLOOKUP(Mon_W1[[#This Row],[Employee Name]],'Base Schedules'!$A$113:$AW$158,41,FALSE)),"")</f>
        <v>HL</v>
      </c>
      <c r="AQ44" s="184" t="str">
        <f>IFERROR(IF(VLOOKUP(Mon_W1[[#This Row],[Employee Name]],'Base Schedules'!$A$113:$AW$158,42,FALSE)="","",VLOOKUP(Mon_W1[[#This Row],[Employee Name]],'Base Schedules'!$A$113:$AW$158,42,FALSE)),"")</f>
        <v>HL</v>
      </c>
      <c r="AR44" s="184" t="str">
        <f>IFERROR(IF(VLOOKUP(Mon_W1[[#This Row],[Employee Name]],'Base Schedules'!$A$113:$AW$158,43,FALSE)="","",VLOOKUP(Mon_W1[[#This Row],[Employee Name]],'Base Schedules'!$A$113:$AW$158,43,FALSE)),"")</f>
        <v>HL B2</v>
      </c>
      <c r="AS44" s="184" t="str">
        <f>IFERROR(IF(VLOOKUP(Mon_W1[[#This Row],[Employee Name]],'Base Schedules'!$A$113:$AW$158,44,FALSE)="","",VLOOKUP(Mon_W1[[#This Row],[Employee Name]],'Base Schedules'!$A$113:$AW$158,44,FALSE)),"")</f>
        <v>HL</v>
      </c>
      <c r="AT44" s="184" t="str">
        <f>IFERROR(IF(VLOOKUP(Mon_W1[[#This Row],[Employee Name]],'Base Schedules'!$A$113:$AW$158,45,FALSE)="","",VLOOKUP(Mon_W1[[#This Row],[Employee Name]],'Base Schedules'!$A$113:$AW$158,45,FALSE)),"")</f>
        <v>HL</v>
      </c>
      <c r="AU44" s="184" t="str">
        <f>IFERROR(IF(VLOOKUP(Mon_W1[[#This Row],[Employee Name]],'Base Schedules'!$A$113:$AW$158,46,FALSE)="","",VLOOKUP(Mon_W1[[#This Row],[Employee Name]],'Base Schedules'!$A$113:$AW$158,46,FALSE)),"")</f>
        <v>HL</v>
      </c>
      <c r="AV44" s="184" t="str">
        <f>IFERROR(IF(VLOOKUP(Mon_W1[[#This Row],[Employee Name]],'Base Schedules'!$A$113:$AW$158,47,FALSE)="","",VLOOKUP(Mon_W1[[#This Row],[Employee Name]],'Base Schedules'!$A$113:$AW$158,47,FALSE)),"")</f>
        <v/>
      </c>
      <c r="AW44" s="184" t="str">
        <f>IFERROR(IF(VLOOKUP(Mon_W1[[#This Row],[Employee Name]],'Base Schedules'!$A$113:$AW$158,48,FALSE)="","",VLOOKUP(Mon_W1[[#This Row],[Employee Name]],'Base Schedules'!$A$113:$AW$158,48,FALSE)),"")</f>
        <v/>
      </c>
      <c r="AX44" s="184" t="str">
        <f>IFERROR(IF(VLOOKUP(Mon_W1[[#This Row],[Employee Name]],'Base Schedules'!$A$113:$AW$158,49,FALSE)="","",VLOOKUP(Mon_W1[[#This Row],[Employee Name]],'Base Schedules'!$A$113:$AW$158,49,FALSE)),"")</f>
        <v/>
      </c>
      <c r="AY44" s="164" t="str">
        <f t="shared" si="2"/>
        <v>Britton, Michael</v>
      </c>
    </row>
    <row r="45" spans="1:51" s="44" customFormat="1" ht="12" x14ac:dyDescent="0.2">
      <c r="A45" s="39" t="str">
        <f>IF(B45="","",INDEX(TeamList[],MATCH($B45,TeamList[[Employee Name]:[Employee Name]],0),MATCH("Manager",TeamList[#Headers],0)))</f>
        <v>Olson, Katherine</v>
      </c>
      <c r="B45" s="201" t="s">
        <v>232</v>
      </c>
      <c r="C45" s="257" t="str">
        <f>_xlfn.IFNA(VLOOKUP(Mon_W1[[#This Row],[Employee Name]],'Base Schedules'!A:B,2,FALSE),"")</f>
        <v>Lead</v>
      </c>
      <c r="D45" s="274">
        <f>_xlfn.IFNA(VLOOKUP(Mon_W1[[#This Row],[Employee Name]],'Base Schedules'!A:C,3,FALSE),"")</f>
        <v>1600</v>
      </c>
      <c r="E45" s="274">
        <f>_xlfn.IFNA(VLOOKUP(Mon_W1[[#This Row],[Employee Name]],'Base Schedules'!A:D,4,FALSE),"")</f>
        <v>100</v>
      </c>
      <c r="F45" s="142">
        <f>IF(Mon_W1[[#This Row],[Employee Name]]="","",IF(Mon_W1[[#This Row],[Dept]]="Supervisor",COUNTIFS($J45:$AX45,"*HL*",$J45:$AX45,"&lt;&gt;"&amp;"pHL"),COUNTIFS($J45:$AX45,"*HL*",$J45:$AX45,"&lt;&gt;"&amp;"*pHL*",$J45:$AX45,"&lt;&gt;"&amp;"pB1 HL",$J45:$AX45,"&lt;&gt;"&amp;"pB2 HL")-SUM(COUNTIFS($J45:$AX45,"*HL B1*",$J45:$AX45,"&lt;&gt;"&amp;"pHL B1")*0.5,COUNTIFS($J45:$AX45,"*HL B2*",$J45:$AX45,"&lt;&gt;"&amp;"pHL B2")*0.5,COUNTIFS($J45:$AX45,"*B1 HL*",$J45:$AX45,"&lt;&gt;"&amp;"pB1 HL")*0.5,COUNTIFS($J45:$AX45,"*B2 HL*",$J45:$AX45,"&lt;&gt;"&amp;"pB2 HL")*0.5)))</f>
        <v>9</v>
      </c>
      <c r="G45" s="142">
        <f t="shared" si="0"/>
        <v>0</v>
      </c>
      <c r="H45" s="142">
        <f t="shared" si="1"/>
        <v>4</v>
      </c>
      <c r="I45" s="142">
        <f>IF(Mon_W1[[#This Row],[Employee Name]]="","",IF(Mon_W1[[#This Row],[Dept]]="Supervisor",SUM(COUNTIFS($J45:$AX45,"RTA*",$J45:$AX45,"&lt;&gt;"&amp;"pRTA"),COUNTIFS($J45:$AX45,"*CRTA*",$J45:$AX45,"&lt;&gt;"&amp;"pCRTA")),COUNTIFS($J45:$AX45,"*RNNR*",$J45:$AX45,"&lt;&gt;"&amp;"*pRNNR*",$J45:$AX45,"&lt;&gt;"&amp;"pB1 RNNR",$J45:$AX45,"&lt;&gt;"&amp;"pB2 RNNR")-SUM(COUNTIFS($J45:$AX45,"*RNNR B1*",$J45:$AX45,"&lt;&gt;"&amp;"pRNNR B1")*0.5,COUNTIFS($J45:$AX45,"*RNNR B2*",$J45:$AX45,"&lt;&gt;"&amp;"pRNNR B2")*0.5,COUNTIFS($J45:$AX45,"*B1 RNNR*",$J45:$AX45,"&lt;&gt;"&amp;"pB1 RNNR")*0.5,COUNTIFS($J45:$AX45,"*B2 RNNR*",$J45:$AX45,"&lt;&gt;"&amp;"pB2 RNNR")*0.5)))</f>
        <v>0</v>
      </c>
      <c r="J45" s="184" t="str">
        <f>IFERROR(IF(VLOOKUP(Mon_W1[[#This Row],[Employee Name]],'Base Schedules'!$A$113:$AW$158,9,FALSE)="","",VLOOKUP(Mon_W1[[#This Row],[Employee Name]],'Base Schedules'!$A$113:$AW$158,9,FALSE)),"")</f>
        <v/>
      </c>
      <c r="K45" s="184" t="str">
        <f>IFERROR(IF(VLOOKUP(Mon_W1[[#This Row],[Employee Name]],'Base Schedules'!$A$113:$AW$158,10,FALSE)="","",VLOOKUP(Mon_W1[[#This Row],[Employee Name]],'Base Schedules'!$A$113:$AW$158,10,FALSE)),"")</f>
        <v/>
      </c>
      <c r="L45" s="184" t="str">
        <f>IFERROR(IF(VLOOKUP(Mon_W1[[#This Row],[Employee Name]],'Base Schedules'!$A$113:$AW$158,11,FALSE)="","",VLOOKUP(Mon_W1[[#This Row],[Employee Name]],'Base Schedules'!$A$113:$AW$158,11,FALSE)),"")</f>
        <v/>
      </c>
      <c r="M45" s="184" t="str">
        <f>IFERROR(IF(VLOOKUP(Mon_W1[[#This Row],[Employee Name]],'Base Schedules'!$A$113:$AW$158,12,FALSE)="","",VLOOKUP(Mon_W1[[#This Row],[Employee Name]],'Base Schedules'!$A$113:$AW$158,12,FALSE)),"")</f>
        <v/>
      </c>
      <c r="N45" s="184" t="str">
        <f>IFERROR(IF(VLOOKUP(Mon_W1[[#This Row],[Employee Name]],'Base Schedules'!$A$113:$AW$158,13,FALSE)="","",VLOOKUP(Mon_W1[[#This Row],[Employee Name]],'Base Schedules'!$A$113:$AW$158,13,FALSE)),"")</f>
        <v/>
      </c>
      <c r="O45" s="184" t="str">
        <f>IFERROR(IF(VLOOKUP(Mon_W1[[#This Row],[Employee Name]],'Base Schedules'!$A$113:$AW$158,14,FALSE)="","",VLOOKUP(Mon_W1[[#This Row],[Employee Name]],'Base Schedules'!$A$113:$AW$158,14,FALSE)),"")</f>
        <v/>
      </c>
      <c r="P45" s="184" t="str">
        <f>IFERROR(IF(VLOOKUP(Mon_W1[[#This Row],[Employee Name]],'Base Schedules'!$A$113:$AW$158,15,FALSE)="","",VLOOKUP(Mon_W1[[#This Row],[Employee Name]],'Base Schedules'!$A$113:$AW$158,15,FALSE)),"")</f>
        <v/>
      </c>
      <c r="Q45" s="184" t="str">
        <f>IFERROR(IF(VLOOKUP(Mon_W1[[#This Row],[Employee Name]],'Base Schedules'!$A$113:$AW$158,16,FALSE)="","",VLOOKUP(Mon_W1[[#This Row],[Employee Name]],'Base Schedules'!$A$113:$AW$158,16,FALSE)),"")</f>
        <v/>
      </c>
      <c r="R45" s="184" t="str">
        <f>IFERROR(IF(VLOOKUP(Mon_W1[[#This Row],[Employee Name]],'Base Schedules'!$A$113:$AW$158,17,FALSE)="","",VLOOKUP(Mon_W1[[#This Row],[Employee Name]],'Base Schedules'!$A$113:$AW$158,17,FALSE)),"")</f>
        <v/>
      </c>
      <c r="S45" s="184" t="str">
        <f>IFERROR(IF(VLOOKUP(Mon_W1[[#This Row],[Employee Name]],'Base Schedules'!$A$113:$AW$158,18,FALSE)="","",VLOOKUP(Mon_W1[[#This Row],[Employee Name]],'Base Schedules'!$A$113:$AW$158,18,FALSE)),"")</f>
        <v/>
      </c>
      <c r="T45" s="184" t="str">
        <f>IFERROR(IF(VLOOKUP(Mon_W1[[#This Row],[Employee Name]],'Base Schedules'!$A$113:$AW$158,19,FALSE)="","",VLOOKUP(Mon_W1[[#This Row],[Employee Name]],'Base Schedules'!$A$113:$AW$158,19,FALSE)),"")</f>
        <v/>
      </c>
      <c r="U45" s="184" t="str">
        <f>IFERROR(IF(VLOOKUP(Mon_W1[[#This Row],[Employee Name]],'Base Schedules'!$A$113:$AW$158,20,FALSE)="","",VLOOKUP(Mon_W1[[#This Row],[Employee Name]],'Base Schedules'!$A$113:$AW$158,20,FALSE)),"")</f>
        <v/>
      </c>
      <c r="V45" s="184" t="str">
        <f>IFERROR(IF(VLOOKUP(Mon_W1[[#This Row],[Employee Name]],'Base Schedules'!$A$113:$AW$158,21,FALSE)="","",VLOOKUP(Mon_W1[[#This Row],[Employee Name]],'Base Schedules'!$A$113:$AW$158,21,FALSE)),"")</f>
        <v/>
      </c>
      <c r="W45" s="184" t="str">
        <f>IFERROR(IF(VLOOKUP(Mon_W1[[#This Row],[Employee Name]],'Base Schedules'!$A$113:$AW$158,22,FALSE)="","",VLOOKUP(Mon_W1[[#This Row],[Employee Name]],'Base Schedules'!$A$113:$AW$158,22,FALSE)),"")</f>
        <v/>
      </c>
      <c r="X45" s="184" t="str">
        <f>IFERROR(IF(VLOOKUP(Mon_W1[[#This Row],[Employee Name]],'Base Schedules'!$A$113:$AW$158,23,FALSE)="","",VLOOKUP(Mon_W1[[#This Row],[Employee Name]],'Base Schedules'!$A$113:$AW$158,23,FALSE)),"")</f>
        <v/>
      </c>
      <c r="Y45" s="184" t="str">
        <f>IFERROR(IF(VLOOKUP(Mon_W1[[#This Row],[Employee Name]],'Base Schedules'!$A$113:$AW$158,24,FALSE)="","",VLOOKUP(Mon_W1[[#This Row],[Employee Name]],'Base Schedules'!$A$113:$AW$158,24,FALSE)),"")</f>
        <v/>
      </c>
      <c r="Z45" s="184" t="str">
        <f>IFERROR(IF(VLOOKUP(Mon_W1[[#This Row],[Employee Name]],'Base Schedules'!$A$113:$AW$158,25,FALSE)="","",VLOOKUP(Mon_W1[[#This Row],[Employee Name]],'Base Schedules'!$A$113:$AW$158,25,FALSE)),"")</f>
        <v/>
      </c>
      <c r="AA45" s="184" t="str">
        <f>IFERROR(IF(VLOOKUP(Mon_W1[[#This Row],[Employee Name]],'Base Schedules'!$A$113:$AW$158,26,FALSE)="","",VLOOKUP(Mon_W1[[#This Row],[Employee Name]],'Base Schedules'!$A$113:$AW$158,26,FALSE)),"")</f>
        <v/>
      </c>
      <c r="AB45" s="184" t="str">
        <f>IFERROR(IF(VLOOKUP(Mon_W1[[#This Row],[Employee Name]],'Base Schedules'!$A$113:$AW$158,27,FALSE)="","",VLOOKUP(Mon_W1[[#This Row],[Employee Name]],'Base Schedules'!$A$113:$AW$158,27,FALSE)),"")</f>
        <v/>
      </c>
      <c r="AC45" s="184" t="str">
        <f>IFERROR(IF(VLOOKUP(Mon_W1[[#This Row],[Employee Name]],'Base Schedules'!$A$113:$AW$158,28,FALSE)="","",VLOOKUP(Mon_W1[[#This Row],[Employee Name]],'Base Schedules'!$A$113:$AW$158,28,FALSE)),"")</f>
        <v/>
      </c>
      <c r="AD45" s="184" t="str">
        <f>IFERROR(IF(VLOOKUP(Mon_W1[[#This Row],[Employee Name]],'Base Schedules'!$A$113:$AW$158,29,FALSE)="","",VLOOKUP(Mon_W1[[#This Row],[Employee Name]],'Base Schedules'!$A$113:$AW$158,29,FALSE)),"")</f>
        <v/>
      </c>
      <c r="AE45" s="184" t="str">
        <f>IFERROR(IF(VLOOKUP(Mon_W1[[#This Row],[Employee Name]],'Base Schedules'!$A$113:$AW$158,30,FALSE)="","",VLOOKUP(Mon_W1[[#This Row],[Employee Name]],'Base Schedules'!$A$113:$AW$158,30,FALSE)),"")</f>
        <v/>
      </c>
      <c r="AF45" s="184" t="str">
        <f>IFERROR(IF(VLOOKUP(Mon_W1[[#This Row],[Employee Name]],'Base Schedules'!$A$113:$AW$158,31,FALSE)="","",VLOOKUP(Mon_W1[[#This Row],[Employee Name]],'Base Schedules'!$A$113:$AW$158,31,FALSE)),"")</f>
        <v>ADM</v>
      </c>
      <c r="AG45" s="184" t="str">
        <f>IFERROR(IF(VLOOKUP(Mon_W1[[#This Row],[Employee Name]],'Base Schedules'!$A$113:$AW$158,32,FALSE)="","",VLOOKUP(Mon_W1[[#This Row],[Employee Name]],'Base Schedules'!$A$113:$AW$158,32,FALSE)),"")</f>
        <v>ADM</v>
      </c>
      <c r="AH45" s="184" t="str">
        <f>IFERROR(IF(VLOOKUP(Mon_W1[[#This Row],[Employee Name]],'Base Schedules'!$A$113:$AW$158,33,FALSE)="","",VLOOKUP(Mon_W1[[#This Row],[Employee Name]],'Base Schedules'!$A$113:$AW$158,33,FALSE)),"")</f>
        <v>HL</v>
      </c>
      <c r="AI45" s="184" t="str">
        <f>IFERROR(IF(VLOOKUP(Mon_W1[[#This Row],[Employee Name]],'Base Schedules'!$A$113:$AW$158,34,FALSE)="","",VLOOKUP(Mon_W1[[#This Row],[Employee Name]],'Base Schedules'!$A$113:$AW$158,34,FALSE)),"")</f>
        <v>HL B1</v>
      </c>
      <c r="AJ45" s="184" t="str">
        <f>IFERROR(IF(VLOOKUP(Mon_W1[[#This Row],[Employee Name]],'Base Schedules'!$A$113:$AW$158,35,FALSE)="","",VLOOKUP(Mon_W1[[#This Row],[Employee Name]],'Base Schedules'!$A$113:$AW$158,35,FALSE)),"")</f>
        <v>PROJECT</v>
      </c>
      <c r="AK45" s="184" t="str">
        <f>IFERROR(IF(VLOOKUP(Mon_W1[[#This Row],[Employee Name]],'Base Schedules'!$A$113:$AW$158,36,FALSE)="","",VLOOKUP(Mon_W1[[#This Row],[Employee Name]],'Base Schedules'!$A$113:$AW$158,36,FALSE)),"")</f>
        <v>PROJECT</v>
      </c>
      <c r="AL45" s="184" t="str">
        <f>IFERROR(IF(VLOOKUP(Mon_W1[[#This Row],[Employee Name]],'Base Schedules'!$A$113:$AW$158,37,FALSE)="","",VLOOKUP(Mon_W1[[#This Row],[Employee Name]],'Base Schedules'!$A$113:$AW$158,37,FALSE)),"")</f>
        <v>ADM</v>
      </c>
      <c r="AM45" s="184" t="str">
        <f>IFERROR(IF(VLOOKUP(Mon_W1[[#This Row],[Employee Name]],'Base Schedules'!$A$113:$AW$158,38,FALSE)="","",VLOOKUP(Mon_W1[[#This Row],[Employee Name]],'Base Schedules'!$A$113:$AW$158,38,FALSE)),"")</f>
        <v>ADM</v>
      </c>
      <c r="AN45" s="184" t="str">
        <f>IFERROR(IF(VLOOKUP(Mon_W1[[#This Row],[Employee Name]],'Base Schedules'!$A$113:$AW$158,39,FALSE)="","",VLOOKUP(Mon_W1[[#This Row],[Employee Name]],'Base Schedules'!$A$113:$AW$158,39,FALSE)),"")</f>
        <v>LUNCH</v>
      </c>
      <c r="AO45" s="184" t="str">
        <f>IFERROR(IF(VLOOKUP(Mon_W1[[#This Row],[Employee Name]],'Base Schedules'!$A$113:$AW$158,40,FALSE)="","",VLOOKUP(Mon_W1[[#This Row],[Employee Name]],'Base Schedules'!$A$113:$AW$158,40,FALSE)),"")</f>
        <v>LUNCH</v>
      </c>
      <c r="AP45" s="184" t="str">
        <f>IFERROR(IF(VLOOKUP(Mon_W1[[#This Row],[Employee Name]],'Base Schedules'!$A$113:$AW$158,41,FALSE)="","",VLOOKUP(Mon_W1[[#This Row],[Employee Name]],'Base Schedules'!$A$113:$AW$158,41,FALSE)),"")</f>
        <v>HL</v>
      </c>
      <c r="AQ45" s="184" t="str">
        <f>IFERROR(IF(VLOOKUP(Mon_W1[[#This Row],[Employee Name]],'Base Schedules'!$A$113:$AW$158,42,FALSE)="","",VLOOKUP(Mon_W1[[#This Row],[Employee Name]],'Base Schedules'!$A$113:$AW$158,42,FALSE)),"")</f>
        <v>HL</v>
      </c>
      <c r="AR45" s="184" t="str">
        <f>IFERROR(IF(VLOOKUP(Mon_W1[[#This Row],[Employee Name]],'Base Schedules'!$A$113:$AW$158,43,FALSE)="","",VLOOKUP(Mon_W1[[#This Row],[Employee Name]],'Base Schedules'!$A$113:$AW$158,43,FALSE)),"")</f>
        <v>HL</v>
      </c>
      <c r="AS45" s="184" t="str">
        <f>IFERROR(IF(VLOOKUP(Mon_W1[[#This Row],[Employee Name]],'Base Schedules'!$A$113:$AW$158,44,FALSE)="","",VLOOKUP(Mon_W1[[#This Row],[Employee Name]],'Base Schedules'!$A$113:$AW$158,44,FALSE)),"")</f>
        <v>HL</v>
      </c>
      <c r="AT45" s="184" t="str">
        <f>IFERROR(IF(VLOOKUP(Mon_W1[[#This Row],[Employee Name]],'Base Schedules'!$A$113:$AW$158,45,FALSE)="","",VLOOKUP(Mon_W1[[#This Row],[Employee Name]],'Base Schedules'!$A$113:$AW$158,45,FALSE)),"")</f>
        <v>B2 HL</v>
      </c>
      <c r="AU45" s="184" t="str">
        <f>IFERROR(IF(VLOOKUP(Mon_W1[[#This Row],[Employee Name]],'Base Schedules'!$A$113:$AW$158,46,FALSE)="","",VLOOKUP(Mon_W1[[#This Row],[Employee Name]],'Base Schedules'!$A$113:$AW$158,46,FALSE)),"")</f>
        <v>HL</v>
      </c>
      <c r="AV45" s="184" t="str">
        <f>IFERROR(IF(VLOOKUP(Mon_W1[[#This Row],[Employee Name]],'Base Schedules'!$A$113:$AW$158,47,FALSE)="","",VLOOKUP(Mon_W1[[#This Row],[Employee Name]],'Base Schedules'!$A$113:$AW$158,47,FALSE)),"")</f>
        <v>HL</v>
      </c>
      <c r="AW45" s="184" t="str">
        <f>IFERROR(IF(VLOOKUP(Mon_W1[[#This Row],[Employee Name]],'Base Schedules'!$A$113:$AW$158,48,FALSE)="","",VLOOKUP(Mon_W1[[#This Row],[Employee Name]],'Base Schedules'!$A$113:$AW$158,48,FALSE)),"")</f>
        <v>HL</v>
      </c>
      <c r="AX45" s="184" t="str">
        <f>IFERROR(IF(VLOOKUP(Mon_W1[[#This Row],[Employee Name]],'Base Schedules'!$A$113:$AW$158,49,FALSE)="","",VLOOKUP(Mon_W1[[#This Row],[Employee Name]],'Base Schedules'!$A$113:$AW$158,49,FALSE)),"")</f>
        <v/>
      </c>
      <c r="AY45" s="164" t="str">
        <f t="shared" si="2"/>
        <v>Wonser, Shannon</v>
      </c>
    </row>
    <row r="46" spans="1:51" s="44" customFormat="1" ht="12" x14ac:dyDescent="0.2">
      <c r="A46" s="39" t="str">
        <f>IF(B46="","",INDEX(TeamList[],MATCH($B46,TeamList[[Employee Name]:[Employee Name]],0),MATCH("Manager",TeamList[#Headers],0)))</f>
        <v>Olson, Katherine</v>
      </c>
      <c r="B46" s="201" t="s">
        <v>52</v>
      </c>
      <c r="C46" s="257" t="str">
        <f>_xlfn.IFNA(VLOOKUP(Mon_W1[[#This Row],[Employee Name]],'Base Schedules'!A:B,2,FALSE),"")</f>
        <v>Supervisor</v>
      </c>
      <c r="D46" s="274">
        <f>_xlfn.IFNA(VLOOKUP(Mon_W1[[#This Row],[Employee Name]],'Base Schedules'!A:C,3,FALSE),"")</f>
        <v>1600</v>
      </c>
      <c r="E46" s="274">
        <f>_xlfn.IFNA(VLOOKUP(Mon_W1[[#This Row],[Employee Name]],'Base Schedules'!A:D,4,FALSE),"")</f>
        <v>100</v>
      </c>
      <c r="F46" s="142">
        <f>IF(Mon_W1[[#This Row],[Employee Name]]="","",IF(Mon_W1[[#This Row],[Dept]]="Supervisor",COUNTIFS($J46:$AX46,"*HL*",$J46:$AX46,"&lt;&gt;"&amp;"pHL"),COUNTIFS($J46:$AX46,"*HL*",$J46:$AX46,"&lt;&gt;"&amp;"*pHL*",$J46:$AX46,"&lt;&gt;"&amp;"pB1 HL",$J46:$AX46,"&lt;&gt;"&amp;"pB2 HL")-SUM(COUNTIFS($J46:$AX46,"*HL B1*",$J46:$AX46,"&lt;&gt;"&amp;"pHL B1")*0.5,COUNTIFS($J46:$AX46,"*HL B2*",$J46:$AX46,"&lt;&gt;"&amp;"pHL B2")*0.5,COUNTIFS($J46:$AX46,"*B1 HL*",$J46:$AX46,"&lt;&gt;"&amp;"pB1 HL")*0.5,COUNTIFS($J46:$AX46,"*B2 HL*",$J46:$AX46,"&lt;&gt;"&amp;"pB2 HL")*0.5)))</f>
        <v>0</v>
      </c>
      <c r="G46" s="142">
        <f t="shared" si="0"/>
        <v>0</v>
      </c>
      <c r="H46" s="142">
        <f t="shared" si="1"/>
        <v>0</v>
      </c>
      <c r="I46" s="142">
        <f>IF(Mon_W1[[#This Row],[Employee Name]]="","",IF(Mon_W1[[#This Row],[Dept]]="Supervisor",SUM(COUNTIFS($J46:$AX46,"RTA*",$J46:$AX46,"&lt;&gt;"&amp;"pRTA"),COUNTIFS($J46:$AX46,"*CRTA*",$J46:$AX46,"&lt;&gt;"&amp;"pCRTA")),COUNTIFS($J46:$AX46,"*RNNR*",$J46:$AX46,"&lt;&gt;"&amp;"*pRNNR*",$J46:$AX46,"&lt;&gt;"&amp;"pB1 RNNR",$J46:$AX46,"&lt;&gt;"&amp;"pB2 RNNR")-SUM(COUNTIFS($J46:$AX46,"*RNNR B1*",$J46:$AX46,"&lt;&gt;"&amp;"pRNNR B1")*0.5,COUNTIFS($J46:$AX46,"*RNNR B2*",$J46:$AX46,"&lt;&gt;"&amp;"pRNNR B2")*0.5,COUNTIFS($J46:$AX46,"*B1 RNNR*",$J46:$AX46,"&lt;&gt;"&amp;"pB1 RNNR")*0.5,COUNTIFS($J46:$AX46,"*B2 RNNR*",$J46:$AX46,"&lt;&gt;"&amp;"pB2 RNNR")*0.5)))</f>
        <v>0</v>
      </c>
      <c r="J46" s="184" t="str">
        <f>IFERROR(IF(VLOOKUP(Mon_W1[[#This Row],[Employee Name]],'Base Schedules'!$A$113:$AW$158,9,FALSE)="","",VLOOKUP(Mon_W1[[#This Row],[Employee Name]],'Base Schedules'!$A$113:$AW$158,9,FALSE)),"")</f>
        <v/>
      </c>
      <c r="K46" s="184" t="str">
        <f>IFERROR(IF(VLOOKUP(Mon_W1[[#This Row],[Employee Name]],'Base Schedules'!$A$113:$AW$158,10,FALSE)="","",VLOOKUP(Mon_W1[[#This Row],[Employee Name]],'Base Schedules'!$A$113:$AW$158,10,FALSE)),"")</f>
        <v/>
      </c>
      <c r="L46" s="184" t="str">
        <f>IFERROR(IF(VLOOKUP(Mon_W1[[#This Row],[Employee Name]],'Base Schedules'!$A$113:$AW$158,11,FALSE)="","",VLOOKUP(Mon_W1[[#This Row],[Employee Name]],'Base Schedules'!$A$113:$AW$158,11,FALSE)),"")</f>
        <v/>
      </c>
      <c r="M46" s="184" t="str">
        <f>IFERROR(IF(VLOOKUP(Mon_W1[[#This Row],[Employee Name]],'Base Schedules'!$A$113:$AW$158,12,FALSE)="","",VLOOKUP(Mon_W1[[#This Row],[Employee Name]],'Base Schedules'!$A$113:$AW$158,12,FALSE)),"")</f>
        <v/>
      </c>
      <c r="N46" s="184" t="str">
        <f>IFERROR(IF(VLOOKUP(Mon_W1[[#This Row],[Employee Name]],'Base Schedules'!$A$113:$AW$158,13,FALSE)="","",VLOOKUP(Mon_W1[[#This Row],[Employee Name]],'Base Schedules'!$A$113:$AW$158,13,FALSE)),"")</f>
        <v/>
      </c>
      <c r="O46" s="184" t="str">
        <f>IFERROR(IF(VLOOKUP(Mon_W1[[#This Row],[Employee Name]],'Base Schedules'!$A$113:$AW$158,14,FALSE)="","",VLOOKUP(Mon_W1[[#This Row],[Employee Name]],'Base Schedules'!$A$113:$AW$158,14,FALSE)),"")</f>
        <v/>
      </c>
      <c r="P46" s="184" t="str">
        <f>IFERROR(IF(VLOOKUP(Mon_W1[[#This Row],[Employee Name]],'Base Schedules'!$A$113:$AW$158,15,FALSE)="","",VLOOKUP(Mon_W1[[#This Row],[Employee Name]],'Base Schedules'!$A$113:$AW$158,15,FALSE)),"")</f>
        <v/>
      </c>
      <c r="Q46" s="184" t="str">
        <f>IFERROR(IF(VLOOKUP(Mon_W1[[#This Row],[Employee Name]],'Base Schedules'!$A$113:$AW$158,16,FALSE)="","",VLOOKUP(Mon_W1[[#This Row],[Employee Name]],'Base Schedules'!$A$113:$AW$158,16,FALSE)),"")</f>
        <v/>
      </c>
      <c r="R46" s="184" t="str">
        <f>IFERROR(IF(VLOOKUP(Mon_W1[[#This Row],[Employee Name]],'Base Schedules'!$A$113:$AW$158,17,FALSE)="","",VLOOKUP(Mon_W1[[#This Row],[Employee Name]],'Base Schedules'!$A$113:$AW$158,17,FALSE)),"")</f>
        <v/>
      </c>
      <c r="S46" s="184" t="str">
        <f>IFERROR(IF(VLOOKUP(Mon_W1[[#This Row],[Employee Name]],'Base Schedules'!$A$113:$AW$158,18,FALSE)="","",VLOOKUP(Mon_W1[[#This Row],[Employee Name]],'Base Schedules'!$A$113:$AW$158,18,FALSE)),"")</f>
        <v/>
      </c>
      <c r="T46" s="184" t="str">
        <f>IFERROR(IF(VLOOKUP(Mon_W1[[#This Row],[Employee Name]],'Base Schedules'!$A$113:$AW$158,19,FALSE)="","",VLOOKUP(Mon_W1[[#This Row],[Employee Name]],'Base Schedules'!$A$113:$AW$158,19,FALSE)),"")</f>
        <v/>
      </c>
      <c r="U46" s="184" t="str">
        <f>IFERROR(IF(VLOOKUP(Mon_W1[[#This Row],[Employee Name]],'Base Schedules'!$A$113:$AW$158,20,FALSE)="","",VLOOKUP(Mon_W1[[#This Row],[Employee Name]],'Base Schedules'!$A$113:$AW$158,20,FALSE)),"")</f>
        <v/>
      </c>
      <c r="V46" s="184" t="str">
        <f>IFERROR(IF(VLOOKUP(Mon_W1[[#This Row],[Employee Name]],'Base Schedules'!$A$113:$AW$158,21,FALSE)="","",VLOOKUP(Mon_W1[[#This Row],[Employee Name]],'Base Schedules'!$A$113:$AW$158,21,FALSE)),"")</f>
        <v/>
      </c>
      <c r="W46" s="184" t="str">
        <f>IFERROR(IF(VLOOKUP(Mon_W1[[#This Row],[Employee Name]],'Base Schedules'!$A$113:$AW$158,22,FALSE)="","",VLOOKUP(Mon_W1[[#This Row],[Employee Name]],'Base Schedules'!$A$113:$AW$158,22,FALSE)),"")</f>
        <v/>
      </c>
      <c r="X46" s="184" t="str">
        <f>IFERROR(IF(VLOOKUP(Mon_W1[[#This Row],[Employee Name]],'Base Schedules'!$A$113:$AW$158,23,FALSE)="","",VLOOKUP(Mon_W1[[#This Row],[Employee Name]],'Base Schedules'!$A$113:$AW$158,23,FALSE)),"")</f>
        <v/>
      </c>
      <c r="Y46" s="184" t="str">
        <f>IFERROR(IF(VLOOKUP(Mon_W1[[#This Row],[Employee Name]],'Base Schedules'!$A$113:$AW$158,24,FALSE)="","",VLOOKUP(Mon_W1[[#This Row],[Employee Name]],'Base Schedules'!$A$113:$AW$158,24,FALSE)),"")</f>
        <v/>
      </c>
      <c r="Z46" s="184" t="str">
        <f>IFERROR(IF(VLOOKUP(Mon_W1[[#This Row],[Employee Name]],'Base Schedules'!$A$113:$AW$158,25,FALSE)="","",VLOOKUP(Mon_W1[[#This Row],[Employee Name]],'Base Schedules'!$A$113:$AW$158,25,FALSE)),"")</f>
        <v/>
      </c>
      <c r="AA46" s="184" t="str">
        <f>IFERROR(IF(VLOOKUP(Mon_W1[[#This Row],[Employee Name]],'Base Schedules'!$A$113:$AW$158,26,FALSE)="","",VLOOKUP(Mon_W1[[#This Row],[Employee Name]],'Base Schedules'!$A$113:$AW$158,26,FALSE)),"")</f>
        <v/>
      </c>
      <c r="AB46" s="184" t="str">
        <f>IFERROR(IF(VLOOKUP(Mon_W1[[#This Row],[Employee Name]],'Base Schedules'!$A$113:$AW$158,27,FALSE)="","",VLOOKUP(Mon_W1[[#This Row],[Employee Name]],'Base Schedules'!$A$113:$AW$158,27,FALSE)),"")</f>
        <v/>
      </c>
      <c r="AC46" s="184" t="str">
        <f>IFERROR(IF(VLOOKUP(Mon_W1[[#This Row],[Employee Name]],'Base Schedules'!$A$113:$AW$158,28,FALSE)="","",VLOOKUP(Mon_W1[[#This Row],[Employee Name]],'Base Schedules'!$A$113:$AW$158,28,FALSE)),"")</f>
        <v/>
      </c>
      <c r="AD46" s="184" t="str">
        <f>IFERROR(IF(VLOOKUP(Mon_W1[[#This Row],[Employee Name]],'Base Schedules'!$A$113:$AW$158,29,FALSE)="","",VLOOKUP(Mon_W1[[#This Row],[Employee Name]],'Base Schedules'!$A$113:$AW$158,29,FALSE)),"")</f>
        <v/>
      </c>
      <c r="AE46" s="184" t="str">
        <f>IFERROR(IF(VLOOKUP(Mon_W1[[#This Row],[Employee Name]],'Base Schedules'!$A$113:$AW$158,30,FALSE)="","",VLOOKUP(Mon_W1[[#This Row],[Employee Name]],'Base Schedules'!$A$113:$AW$158,30,FALSE)),"")</f>
        <v/>
      </c>
      <c r="AF46" s="184" t="str">
        <f>IFERROR(IF(VLOOKUP(Mon_W1[[#This Row],[Employee Name]],'Base Schedules'!$A$113:$AW$158,31,FALSE)="","",VLOOKUP(Mon_W1[[#This Row],[Employee Name]],'Base Schedules'!$A$113:$AW$158,31,FALSE)),"")</f>
        <v>-</v>
      </c>
      <c r="AG46" s="184" t="str">
        <f>IFERROR(IF(VLOOKUP(Mon_W1[[#This Row],[Employee Name]],'Base Schedules'!$A$113:$AW$158,32,FALSE)="","",VLOOKUP(Mon_W1[[#This Row],[Employee Name]],'Base Schedules'!$A$113:$AW$158,32,FALSE)),"")</f>
        <v>-</v>
      </c>
      <c r="AH46" s="184" t="str">
        <f>IFERROR(IF(VLOOKUP(Mon_W1[[#This Row],[Employee Name]],'Base Schedules'!$A$113:$AW$158,33,FALSE)="","",VLOOKUP(Mon_W1[[#This Row],[Employee Name]],'Base Schedules'!$A$113:$AW$158,33,FALSE)),"")</f>
        <v>-</v>
      </c>
      <c r="AI46" s="184" t="str">
        <f>IFERROR(IF(VLOOKUP(Mon_W1[[#This Row],[Employee Name]],'Base Schedules'!$A$113:$AW$158,34,FALSE)="","",VLOOKUP(Mon_W1[[#This Row],[Employee Name]],'Base Schedules'!$A$113:$AW$158,34,FALSE)),"")</f>
        <v>-</v>
      </c>
      <c r="AJ46" s="184" t="str">
        <f>IFERROR(IF(VLOOKUP(Mon_W1[[#This Row],[Employee Name]],'Base Schedules'!$A$113:$AW$158,35,FALSE)="","",VLOOKUP(Mon_W1[[#This Row],[Employee Name]],'Base Schedules'!$A$113:$AW$158,35,FALSE)),"")</f>
        <v>-</v>
      </c>
      <c r="AK46" s="184" t="str">
        <f>IFERROR(IF(VLOOKUP(Mon_W1[[#This Row],[Employee Name]],'Base Schedules'!$A$113:$AW$158,36,FALSE)="","",VLOOKUP(Mon_W1[[#This Row],[Employee Name]],'Base Schedules'!$A$113:$AW$158,36,FALSE)),"")</f>
        <v>-</v>
      </c>
      <c r="AL46" s="184" t="str">
        <f>IFERROR(IF(VLOOKUP(Mon_W1[[#This Row],[Employee Name]],'Base Schedules'!$A$113:$AW$158,37,FALSE)="","",VLOOKUP(Mon_W1[[#This Row],[Employee Name]],'Base Schedules'!$A$113:$AW$158,37,FALSE)),"")</f>
        <v>-</v>
      </c>
      <c r="AM46" s="184" t="str">
        <f>IFERROR(IF(VLOOKUP(Mon_W1[[#This Row],[Employee Name]],'Base Schedules'!$A$113:$AW$158,38,FALSE)="","",VLOOKUP(Mon_W1[[#This Row],[Employee Name]],'Base Schedules'!$A$113:$AW$158,38,FALSE)),"")</f>
        <v>-</v>
      </c>
      <c r="AN46" s="184" t="str">
        <f>IFERROR(IF(VLOOKUP(Mon_W1[[#This Row],[Employee Name]],'Base Schedules'!$A$113:$AW$158,39,FALSE)="","",VLOOKUP(Mon_W1[[#This Row],[Employee Name]],'Base Schedules'!$A$113:$AW$158,39,FALSE)),"")</f>
        <v>-</v>
      </c>
      <c r="AO46" s="184" t="str">
        <f>IFERROR(IF(VLOOKUP(Mon_W1[[#This Row],[Employee Name]],'Base Schedules'!$A$113:$AW$158,40,FALSE)="","",VLOOKUP(Mon_W1[[#This Row],[Employee Name]],'Base Schedules'!$A$113:$AW$158,40,FALSE)),"")</f>
        <v>-</v>
      </c>
      <c r="AP46" s="184" t="str">
        <f>IFERROR(IF(VLOOKUP(Mon_W1[[#This Row],[Employee Name]],'Base Schedules'!$A$113:$AW$158,41,FALSE)="","",VLOOKUP(Mon_W1[[#This Row],[Employee Name]],'Base Schedules'!$A$113:$AW$158,41,FALSE)),"")</f>
        <v>-</v>
      </c>
      <c r="AQ46" s="184" t="str">
        <f>IFERROR(IF(VLOOKUP(Mon_W1[[#This Row],[Employee Name]],'Base Schedules'!$A$113:$AW$158,42,FALSE)="","",VLOOKUP(Mon_W1[[#This Row],[Employee Name]],'Base Schedules'!$A$113:$AW$158,42,FALSE)),"")</f>
        <v>-</v>
      </c>
      <c r="AR46" s="184" t="str">
        <f>IFERROR(IF(VLOOKUP(Mon_W1[[#This Row],[Employee Name]],'Base Schedules'!$A$113:$AW$158,43,FALSE)="","",VLOOKUP(Mon_W1[[#This Row],[Employee Name]],'Base Schedules'!$A$113:$AW$158,43,FALSE)),"")</f>
        <v>-</v>
      </c>
      <c r="AS46" s="184" t="str">
        <f>IFERROR(IF(VLOOKUP(Mon_W1[[#This Row],[Employee Name]],'Base Schedules'!$A$113:$AW$158,44,FALSE)="","",VLOOKUP(Mon_W1[[#This Row],[Employee Name]],'Base Schedules'!$A$113:$AW$158,44,FALSE)),"")</f>
        <v>-</v>
      </c>
      <c r="AT46" s="184" t="str">
        <f>IFERROR(IF(VLOOKUP(Mon_W1[[#This Row],[Employee Name]],'Base Schedules'!$A$113:$AW$158,45,FALSE)="","",VLOOKUP(Mon_W1[[#This Row],[Employee Name]],'Base Schedules'!$A$113:$AW$158,45,FALSE)),"")</f>
        <v>-</v>
      </c>
      <c r="AU46" s="184" t="str">
        <f>IFERROR(IF(VLOOKUP(Mon_W1[[#This Row],[Employee Name]],'Base Schedules'!$A$113:$AW$158,46,FALSE)="","",VLOOKUP(Mon_W1[[#This Row],[Employee Name]],'Base Schedules'!$A$113:$AW$158,46,FALSE)),"")</f>
        <v>-</v>
      </c>
      <c r="AV46" s="184" t="str">
        <f>IFERROR(IF(VLOOKUP(Mon_W1[[#This Row],[Employee Name]],'Base Schedules'!$A$113:$AW$158,47,FALSE)="","",VLOOKUP(Mon_W1[[#This Row],[Employee Name]],'Base Schedules'!$A$113:$AW$158,47,FALSE)),"")</f>
        <v>-</v>
      </c>
      <c r="AW46" s="184" t="str">
        <f>IFERROR(IF(VLOOKUP(Mon_W1[[#This Row],[Employee Name]],'Base Schedules'!$A$113:$AW$158,48,FALSE)="","",VLOOKUP(Mon_W1[[#This Row],[Employee Name]],'Base Schedules'!$A$113:$AW$158,48,FALSE)),"")</f>
        <v>-</v>
      </c>
      <c r="AX46" s="184" t="str">
        <f>IFERROR(IF(VLOOKUP(Mon_W1[[#This Row],[Employee Name]],'Base Schedules'!$A$113:$AW$158,49,FALSE)="","",VLOOKUP(Mon_W1[[#This Row],[Employee Name]],'Base Schedules'!$A$113:$AW$158,49,FALSE)),"")</f>
        <v/>
      </c>
      <c r="AY46" s="164" t="str">
        <f t="shared" si="2"/>
        <v>Zornick, David</v>
      </c>
    </row>
    <row r="47" spans="1:51" s="44" customFormat="1" thickBot="1" x14ac:dyDescent="0.25">
      <c r="A47" s="39" t="str">
        <f>IF(B47="","",INDEX(TeamList[],MATCH($B47,TeamList[[Employee Name]:[Employee Name]],0),MATCH("Manager",TeamList[#Headers],0)))</f>
        <v>Olson, Katherine</v>
      </c>
      <c r="B47" s="201" t="s">
        <v>229</v>
      </c>
      <c r="C47" s="257" t="str">
        <f>_xlfn.IFNA(VLOOKUP(Mon_W1[[#This Row],[Employee Name]],'Base Schedules'!A:B,2,FALSE),"")</f>
        <v>Lead</v>
      </c>
      <c r="D47" s="274">
        <f>_xlfn.IFNA(VLOOKUP(Mon_W1[[#This Row],[Employee Name]],'Base Schedules'!A:C,3,FALSE),"")</f>
        <v>1630</v>
      </c>
      <c r="E47" s="274">
        <f>_xlfn.IFNA(VLOOKUP(Mon_W1[[#This Row],[Employee Name]],'Base Schedules'!A:D,4,FALSE),"")</f>
        <v>100</v>
      </c>
      <c r="F47" s="142">
        <f>IF(Mon_W1[[#This Row],[Employee Name]]="","",IF(Mon_W1[[#This Row],[Dept]]="Supervisor",COUNTIFS($J47:$AX47,"*HL*",$J47:$AX47,"&lt;&gt;"&amp;"pHL"),COUNTIFS($J47:$AX47,"*HL*",$J47:$AX47,"&lt;&gt;"&amp;"*pHL*",$J47:$AX47,"&lt;&gt;"&amp;"pB1 HL",$J47:$AX47,"&lt;&gt;"&amp;"pB2 HL")-SUM(COUNTIFS($J47:$AX47,"*HL B1*",$J47:$AX47,"&lt;&gt;"&amp;"pHL B1")*0.5,COUNTIFS($J47:$AX47,"*HL B2*",$J47:$AX47,"&lt;&gt;"&amp;"pHL B2")*0.5,COUNTIFS($J47:$AX47,"*B1 HL*",$J47:$AX47,"&lt;&gt;"&amp;"pB1 HL")*0.5,COUNTIFS($J47:$AX47,"*B2 HL*",$J47:$AX47,"&lt;&gt;"&amp;"pB2 HL")*0.5)))</f>
        <v>12.5</v>
      </c>
      <c r="G47" s="142">
        <f t="shared" si="0"/>
        <v>0</v>
      </c>
      <c r="H47" s="142">
        <f t="shared" si="1"/>
        <v>3</v>
      </c>
      <c r="I47" s="142">
        <f>IF(Mon_W1[[#This Row],[Employee Name]]="","",IF(Mon_W1[[#This Row],[Dept]]="Supervisor",SUM(COUNTIFS($J47:$AX47,"RTA*",$J47:$AX47,"&lt;&gt;"&amp;"pRTA"),COUNTIFS($J47:$AX47,"*CRTA*",$J47:$AX47,"&lt;&gt;"&amp;"pCRTA")),COUNTIFS($J47:$AX47,"*RNNR*",$J47:$AX47,"&lt;&gt;"&amp;"*pRNNR*",$J47:$AX47,"&lt;&gt;"&amp;"pB1 RNNR",$J47:$AX47,"&lt;&gt;"&amp;"pB2 RNNR")-SUM(COUNTIFS($J47:$AX47,"*RNNR B1*",$J47:$AX47,"&lt;&gt;"&amp;"pRNNR B1")*0.5,COUNTIFS($J47:$AX47,"*RNNR B2*",$J47:$AX47,"&lt;&gt;"&amp;"pRNNR B2")*0.5,COUNTIFS($J47:$AX47,"*B1 RNNR*",$J47:$AX47,"&lt;&gt;"&amp;"pB1 RNNR")*0.5,COUNTIFS($J47:$AX47,"*B2 RNNR*",$J47:$AX47,"&lt;&gt;"&amp;"pB2 RNNR")*0.5)))</f>
        <v>0</v>
      </c>
      <c r="J47" s="184" t="str">
        <f>IFERROR(IF(VLOOKUP(Mon_W1[[#This Row],[Employee Name]],'Base Schedules'!$A$113:$AW$158,9,FALSE)="","",VLOOKUP(Mon_W1[[#This Row],[Employee Name]],'Base Schedules'!$A$113:$AW$158,9,FALSE)),"")</f>
        <v/>
      </c>
      <c r="K47" s="184" t="str">
        <f>IFERROR(IF(VLOOKUP(Mon_W1[[#This Row],[Employee Name]],'Base Schedules'!$A$113:$AW$158,10,FALSE)="","",VLOOKUP(Mon_W1[[#This Row],[Employee Name]],'Base Schedules'!$A$113:$AW$158,10,FALSE)),"")</f>
        <v/>
      </c>
      <c r="L47" s="184" t="str">
        <f>IFERROR(IF(VLOOKUP(Mon_W1[[#This Row],[Employee Name]],'Base Schedules'!$A$113:$AW$158,11,FALSE)="","",VLOOKUP(Mon_W1[[#This Row],[Employee Name]],'Base Schedules'!$A$113:$AW$158,11,FALSE)),"")</f>
        <v/>
      </c>
      <c r="M47" s="184" t="str">
        <f>IFERROR(IF(VLOOKUP(Mon_W1[[#This Row],[Employee Name]],'Base Schedules'!$A$113:$AW$158,12,FALSE)="","",VLOOKUP(Mon_W1[[#This Row],[Employee Name]],'Base Schedules'!$A$113:$AW$158,12,FALSE)),"")</f>
        <v/>
      </c>
      <c r="N47" s="184" t="str">
        <f>IFERROR(IF(VLOOKUP(Mon_W1[[#This Row],[Employee Name]],'Base Schedules'!$A$113:$AW$158,13,FALSE)="","",VLOOKUP(Mon_W1[[#This Row],[Employee Name]],'Base Schedules'!$A$113:$AW$158,13,FALSE)),"")</f>
        <v/>
      </c>
      <c r="O47" s="184" t="str">
        <f>IFERROR(IF(VLOOKUP(Mon_W1[[#This Row],[Employee Name]],'Base Schedules'!$A$113:$AW$158,14,FALSE)="","",VLOOKUP(Mon_W1[[#This Row],[Employee Name]],'Base Schedules'!$A$113:$AW$158,14,FALSE)),"")</f>
        <v/>
      </c>
      <c r="P47" s="184" t="str">
        <f>IFERROR(IF(VLOOKUP(Mon_W1[[#This Row],[Employee Name]],'Base Schedules'!$A$113:$AW$158,15,FALSE)="","",VLOOKUP(Mon_W1[[#This Row],[Employee Name]],'Base Schedules'!$A$113:$AW$158,15,FALSE)),"")</f>
        <v/>
      </c>
      <c r="Q47" s="184" t="str">
        <f>IFERROR(IF(VLOOKUP(Mon_W1[[#This Row],[Employee Name]],'Base Schedules'!$A$113:$AW$158,16,FALSE)="","",VLOOKUP(Mon_W1[[#This Row],[Employee Name]],'Base Schedules'!$A$113:$AW$158,16,FALSE)),"")</f>
        <v/>
      </c>
      <c r="R47" s="184" t="str">
        <f>IFERROR(IF(VLOOKUP(Mon_W1[[#This Row],[Employee Name]],'Base Schedules'!$A$113:$AW$158,17,FALSE)="","",VLOOKUP(Mon_W1[[#This Row],[Employee Name]],'Base Schedules'!$A$113:$AW$158,17,FALSE)),"")</f>
        <v/>
      </c>
      <c r="S47" s="184" t="str">
        <f>IFERROR(IF(VLOOKUP(Mon_W1[[#This Row],[Employee Name]],'Base Schedules'!$A$113:$AW$158,18,FALSE)="","",VLOOKUP(Mon_W1[[#This Row],[Employee Name]],'Base Schedules'!$A$113:$AW$158,18,FALSE)),"")</f>
        <v/>
      </c>
      <c r="T47" s="184" t="str">
        <f>IFERROR(IF(VLOOKUP(Mon_W1[[#This Row],[Employee Name]],'Base Schedules'!$A$113:$AW$158,19,FALSE)="","",VLOOKUP(Mon_W1[[#This Row],[Employee Name]],'Base Schedules'!$A$113:$AW$158,19,FALSE)),"")</f>
        <v/>
      </c>
      <c r="U47" s="184" t="str">
        <f>IFERROR(IF(VLOOKUP(Mon_W1[[#This Row],[Employee Name]],'Base Schedules'!$A$113:$AW$158,20,FALSE)="","",VLOOKUP(Mon_W1[[#This Row],[Employee Name]],'Base Schedules'!$A$113:$AW$158,20,FALSE)),"")</f>
        <v/>
      </c>
      <c r="V47" s="184" t="str">
        <f>IFERROR(IF(VLOOKUP(Mon_W1[[#This Row],[Employee Name]],'Base Schedules'!$A$113:$AW$158,21,FALSE)="","",VLOOKUP(Mon_W1[[#This Row],[Employee Name]],'Base Schedules'!$A$113:$AW$158,21,FALSE)),"")</f>
        <v/>
      </c>
      <c r="W47" s="184" t="str">
        <f>IFERROR(IF(VLOOKUP(Mon_W1[[#This Row],[Employee Name]],'Base Schedules'!$A$113:$AW$158,22,FALSE)="","",VLOOKUP(Mon_W1[[#This Row],[Employee Name]],'Base Schedules'!$A$113:$AW$158,22,FALSE)),"")</f>
        <v/>
      </c>
      <c r="X47" s="184" t="str">
        <f>IFERROR(IF(VLOOKUP(Mon_W1[[#This Row],[Employee Name]],'Base Schedules'!$A$113:$AW$158,23,FALSE)="","",VLOOKUP(Mon_W1[[#This Row],[Employee Name]],'Base Schedules'!$A$113:$AW$158,23,FALSE)),"")</f>
        <v/>
      </c>
      <c r="Y47" s="184" t="str">
        <f>IFERROR(IF(VLOOKUP(Mon_W1[[#This Row],[Employee Name]],'Base Schedules'!$A$113:$AW$158,24,FALSE)="","",VLOOKUP(Mon_W1[[#This Row],[Employee Name]],'Base Schedules'!$A$113:$AW$158,24,FALSE)),"")</f>
        <v/>
      </c>
      <c r="Z47" s="184" t="str">
        <f>IFERROR(IF(VLOOKUP(Mon_W1[[#This Row],[Employee Name]],'Base Schedules'!$A$113:$AW$158,25,FALSE)="","",VLOOKUP(Mon_W1[[#This Row],[Employee Name]],'Base Schedules'!$A$113:$AW$158,25,FALSE)),"")</f>
        <v/>
      </c>
      <c r="AA47" s="184" t="str">
        <f>IFERROR(IF(VLOOKUP(Mon_W1[[#This Row],[Employee Name]],'Base Schedules'!$A$113:$AW$158,26,FALSE)="","",VLOOKUP(Mon_W1[[#This Row],[Employee Name]],'Base Schedules'!$A$113:$AW$158,26,FALSE)),"")</f>
        <v/>
      </c>
      <c r="AB47" s="184" t="str">
        <f>IFERROR(IF(VLOOKUP(Mon_W1[[#This Row],[Employee Name]],'Base Schedules'!$A$113:$AW$158,27,FALSE)="","",VLOOKUP(Mon_W1[[#This Row],[Employee Name]],'Base Schedules'!$A$113:$AW$158,27,FALSE)),"")</f>
        <v/>
      </c>
      <c r="AC47" s="184" t="str">
        <f>IFERROR(IF(VLOOKUP(Mon_W1[[#This Row],[Employee Name]],'Base Schedules'!$A$113:$AW$158,28,FALSE)="","",VLOOKUP(Mon_W1[[#This Row],[Employee Name]],'Base Schedules'!$A$113:$AW$158,28,FALSE)),"")</f>
        <v/>
      </c>
      <c r="AD47" s="184" t="str">
        <f>IFERROR(IF(VLOOKUP(Mon_W1[[#This Row],[Employee Name]],'Base Schedules'!$A$113:$AW$158,29,FALSE)="","",VLOOKUP(Mon_W1[[#This Row],[Employee Name]],'Base Schedules'!$A$113:$AW$158,29,FALSE)),"")</f>
        <v/>
      </c>
      <c r="AE47" s="184" t="str">
        <f>IFERROR(IF(VLOOKUP(Mon_W1[[#This Row],[Employee Name]],'Base Schedules'!$A$113:$AW$158,30,FALSE)="","",VLOOKUP(Mon_W1[[#This Row],[Employee Name]],'Base Schedules'!$A$113:$AW$158,30,FALSE)),"")</f>
        <v/>
      </c>
      <c r="AF47" s="184" t="str">
        <f>IFERROR(IF(VLOOKUP(Mon_W1[[#This Row],[Employee Name]],'Base Schedules'!$A$113:$AW$158,31,FALSE)="","",VLOOKUP(Mon_W1[[#This Row],[Employee Name]],'Base Schedules'!$A$113:$AW$158,31,FALSE)),"")</f>
        <v/>
      </c>
      <c r="AG47" s="184" t="str">
        <f>IFERROR(IF(VLOOKUP(Mon_W1[[#This Row],[Employee Name]],'Base Schedules'!$A$113:$AW$158,32,FALSE)="","",VLOOKUP(Mon_W1[[#This Row],[Employee Name]],'Base Schedules'!$A$113:$AW$158,32,FALSE)),"")</f>
        <v>HL</v>
      </c>
      <c r="AH47" s="184" t="str">
        <f>IFERROR(IF(VLOOKUP(Mon_W1[[#This Row],[Employee Name]],'Base Schedules'!$A$113:$AW$158,33,FALSE)="","",VLOOKUP(Mon_W1[[#This Row],[Employee Name]],'Base Schedules'!$A$113:$AW$158,33,FALSE)),"")</f>
        <v>HL</v>
      </c>
      <c r="AI47" s="184" t="str">
        <f>IFERROR(IF(VLOOKUP(Mon_W1[[#This Row],[Employee Name]],'Base Schedules'!$A$113:$AW$158,34,FALSE)="","",VLOOKUP(Mon_W1[[#This Row],[Employee Name]],'Base Schedules'!$A$113:$AW$158,34,FALSE)),"")</f>
        <v>ADM</v>
      </c>
      <c r="AJ47" s="184" t="str">
        <f>IFERROR(IF(VLOOKUP(Mon_W1[[#This Row],[Employee Name]],'Base Schedules'!$A$113:$AW$158,35,FALSE)="","",VLOOKUP(Mon_W1[[#This Row],[Employee Name]],'Base Schedules'!$A$113:$AW$158,35,FALSE)),"")</f>
        <v>ADM B1</v>
      </c>
      <c r="AK47" s="184" t="str">
        <f>IFERROR(IF(VLOOKUP(Mon_W1[[#This Row],[Employee Name]],'Base Schedules'!$A$113:$AW$158,36,FALSE)="","",VLOOKUP(Mon_W1[[#This Row],[Employee Name]],'Base Schedules'!$A$113:$AW$158,36,FALSE)),"")</f>
        <v>ADM</v>
      </c>
      <c r="AL47" s="184" t="str">
        <f>IFERROR(IF(VLOOKUP(Mon_W1[[#This Row],[Employee Name]],'Base Schedules'!$A$113:$AW$158,37,FALSE)="","",VLOOKUP(Mon_W1[[#This Row],[Employee Name]],'Base Schedules'!$A$113:$AW$158,37,FALSE)),"")</f>
        <v>HL</v>
      </c>
      <c r="AM47" s="184" t="str">
        <f>IFERROR(IF(VLOOKUP(Mon_W1[[#This Row],[Employee Name]],'Base Schedules'!$A$113:$AW$158,38,FALSE)="","",VLOOKUP(Mon_W1[[#This Row],[Employee Name]],'Base Schedules'!$A$113:$AW$158,38,FALSE)),"")</f>
        <v>HL</v>
      </c>
      <c r="AN47" s="184" t="str">
        <f>IFERROR(IF(VLOOKUP(Mon_W1[[#This Row],[Employee Name]],'Base Schedules'!$A$113:$AW$158,39,FALSE)="","",VLOOKUP(Mon_W1[[#This Row],[Employee Name]],'Base Schedules'!$A$113:$AW$158,39,FALSE)),"")</f>
        <v>LUNCH</v>
      </c>
      <c r="AO47" s="184" t="str">
        <f>IFERROR(IF(VLOOKUP(Mon_W1[[#This Row],[Employee Name]],'Base Schedules'!$A$113:$AW$158,40,FALSE)="","",VLOOKUP(Mon_W1[[#This Row],[Employee Name]],'Base Schedules'!$A$113:$AW$158,40,FALSE)),"")</f>
        <v>HL</v>
      </c>
      <c r="AP47" s="184" t="str">
        <f>IFERROR(IF(VLOOKUP(Mon_W1[[#This Row],[Employee Name]],'Base Schedules'!$A$113:$AW$158,41,FALSE)="","",VLOOKUP(Mon_W1[[#This Row],[Employee Name]],'Base Schedules'!$A$113:$AW$158,41,FALSE)),"")</f>
        <v>HL</v>
      </c>
      <c r="AQ47" s="184" t="str">
        <f>IFERROR(IF(VLOOKUP(Mon_W1[[#This Row],[Employee Name]],'Base Schedules'!$A$113:$AW$158,42,FALSE)="","",VLOOKUP(Mon_W1[[#This Row],[Employee Name]],'Base Schedules'!$A$113:$AW$158,42,FALSE)),"")</f>
        <v>HL</v>
      </c>
      <c r="AR47" s="184" t="str">
        <f>IFERROR(IF(VLOOKUP(Mon_W1[[#This Row],[Employee Name]],'Base Schedules'!$A$113:$AW$158,43,FALSE)="","",VLOOKUP(Mon_W1[[#This Row],[Employee Name]],'Base Schedules'!$A$113:$AW$158,43,FALSE)),"")</f>
        <v>HL</v>
      </c>
      <c r="AS47" s="184" t="str">
        <f>IFERROR(IF(VLOOKUP(Mon_W1[[#This Row],[Employee Name]],'Base Schedules'!$A$113:$AW$158,44,FALSE)="","",VLOOKUP(Mon_W1[[#This Row],[Employee Name]],'Base Schedules'!$A$113:$AW$158,44,FALSE)),"")</f>
        <v>B2 HL</v>
      </c>
      <c r="AT47" s="184" t="str">
        <f>IFERROR(IF(VLOOKUP(Mon_W1[[#This Row],[Employee Name]],'Base Schedules'!$A$113:$AW$158,45,FALSE)="","",VLOOKUP(Mon_W1[[#This Row],[Employee Name]],'Base Schedules'!$A$113:$AW$158,45,FALSE)),"")</f>
        <v>HL</v>
      </c>
      <c r="AU47" s="184" t="str">
        <f>IFERROR(IF(VLOOKUP(Mon_W1[[#This Row],[Employee Name]],'Base Schedules'!$A$113:$AW$158,46,FALSE)="","",VLOOKUP(Mon_W1[[#This Row],[Employee Name]],'Base Schedules'!$A$113:$AW$158,46,FALSE)),"")</f>
        <v>HL</v>
      </c>
      <c r="AV47" s="184" t="str">
        <f>IFERROR(IF(VLOOKUP(Mon_W1[[#This Row],[Employee Name]],'Base Schedules'!$A$113:$AW$158,47,FALSE)="","",VLOOKUP(Mon_W1[[#This Row],[Employee Name]],'Base Schedules'!$A$113:$AW$158,47,FALSE)),"")</f>
        <v>HL</v>
      </c>
      <c r="AW47" s="184" t="str">
        <f>IFERROR(IF(VLOOKUP(Mon_W1[[#This Row],[Employee Name]],'Base Schedules'!$A$113:$AW$158,48,FALSE)="","",VLOOKUP(Mon_W1[[#This Row],[Employee Name]],'Base Schedules'!$A$113:$AW$158,48,FALSE)),"")</f>
        <v>HL</v>
      </c>
      <c r="AX47" s="184" t="str">
        <f>IFERROR(IF(VLOOKUP(Mon_W1[[#This Row],[Employee Name]],'Base Schedules'!$A$113:$AW$158,49,FALSE)="","",VLOOKUP(Mon_W1[[#This Row],[Employee Name]],'Base Schedules'!$A$113:$AW$158,49,FALSE)),"")</f>
        <v/>
      </c>
      <c r="AY47" s="164" t="str">
        <f t="shared" si="2"/>
        <v>Fairbrother, Amy</v>
      </c>
    </row>
    <row r="48" spans="1:51" s="44" customFormat="1" hidden="1" thickBot="1" x14ac:dyDescent="0.25">
      <c r="A48" s="39" t="str">
        <f>IF(B48="","",INDEX(TeamList[],MATCH($B48,TeamList[[Employee Name]:[Employee Name]],0),MATCH("Manager",TeamList[#Headers],0)))</f>
        <v/>
      </c>
      <c r="B48" s="201"/>
      <c r="C48" s="257" t="str">
        <f>_xlfn.IFNA(VLOOKUP(Mon_W1[[#This Row],[Employee Name]],'Base Schedules'!A:B,2,FALSE),"")</f>
        <v/>
      </c>
      <c r="D48" s="274" t="str">
        <f>_xlfn.IFNA(VLOOKUP(Mon_W1[[#This Row],[Employee Name]],'Base Schedules'!A:C,3,FALSE),"")</f>
        <v/>
      </c>
      <c r="E48" s="274" t="str">
        <f>_xlfn.IFNA(VLOOKUP(Mon_W1[[#This Row],[Employee Name]],'Base Schedules'!A:D,4,FALSE),"")</f>
        <v/>
      </c>
      <c r="F48" s="142" t="str">
        <f>IF(Mon_W1[[#This Row],[Employee Name]]="","",IF(Mon_W1[[#This Row],[Dept]]="Supervisor",COUNTIFS($J48:$AX48,"*HL*",$J48:$AX48,"&lt;&gt;"&amp;"pHL"),COUNTIFS($J48:$AX48,"*HL*",$J48:$AX48,"&lt;&gt;"&amp;"*pHL*",$J48:$AX48,"&lt;&gt;"&amp;"pB1 HL",$J48:$AX48,"&lt;&gt;"&amp;"pB2 HL")-SUM(COUNTIFS($J48:$AX48,"*HL B1*",$J48:$AX48,"&lt;&gt;"&amp;"pHL B1")*0.5,COUNTIFS($J48:$AX48,"*HL B2*",$J48:$AX48,"&lt;&gt;"&amp;"pHL B2")*0.5,COUNTIFS($J48:$AX48,"*B1 HL*",$J48:$AX48,"&lt;&gt;"&amp;"pB1 HL")*0.5,COUNTIFS($J48:$AX48,"*B2 HL*",$J48:$AX48,"&lt;&gt;"&amp;"pB2 HL")*0.5)))</f>
        <v/>
      </c>
      <c r="G48" s="142" t="str">
        <f t="shared" si="0"/>
        <v/>
      </c>
      <c r="H48" s="142" t="str">
        <f t="shared" si="1"/>
        <v/>
      </c>
      <c r="I48" s="142" t="str">
        <f>IF(Mon_W1[[#This Row],[Employee Name]]="","",IF(Mon_W1[[#This Row],[Dept]]="Supervisor",SUM(COUNTIFS($J48:$AX48,"RTA*",$J48:$AX48,"&lt;&gt;"&amp;"pRTA"),COUNTIFS($J48:$AX48,"*CRTA*",$J48:$AX48,"&lt;&gt;"&amp;"pCRTA")),COUNTIFS($J48:$AX48,"*RNNR*",$J48:$AX48,"&lt;&gt;"&amp;"*pRNNR*",$J48:$AX48,"&lt;&gt;"&amp;"pB1 RNNR",$J48:$AX48,"&lt;&gt;"&amp;"pB2 RNNR")-SUM(COUNTIFS($J48:$AX48,"*RNNR B1*",$J48:$AX48,"&lt;&gt;"&amp;"pRNNR B1")*0.5,COUNTIFS($J48:$AX48,"*RNNR B2*",$J48:$AX48,"&lt;&gt;"&amp;"pRNNR B2")*0.5,COUNTIFS($J48:$AX48,"*B1 RNNR*",$J48:$AX48,"&lt;&gt;"&amp;"pB1 RNNR")*0.5,COUNTIFS($J48:$AX48,"*B2 RNNR*",$J48:$AX48,"&lt;&gt;"&amp;"pB2 RNNR")*0.5)))</f>
        <v/>
      </c>
      <c r="J48" s="184" t="str">
        <f>IFERROR(IF(VLOOKUP(Mon_W1[[#This Row],[Employee Name]],'Base Schedules'!$A$113:$AW$158,9,FALSE)="","",VLOOKUP(Mon_W1[[#This Row],[Employee Name]],'Base Schedules'!$A$113:$AW$158,9,FALSE)),"")</f>
        <v/>
      </c>
      <c r="K48" s="184" t="str">
        <f>IFERROR(IF(VLOOKUP(Mon_W1[[#This Row],[Employee Name]],'Base Schedules'!$A$113:$AW$158,10,FALSE)="","",VLOOKUP(Mon_W1[[#This Row],[Employee Name]],'Base Schedules'!$A$113:$AW$158,10,FALSE)),"")</f>
        <v/>
      </c>
      <c r="L48" s="184" t="str">
        <f>IFERROR(IF(VLOOKUP(Mon_W1[[#This Row],[Employee Name]],'Base Schedules'!$A$113:$AW$158,11,FALSE)="","",VLOOKUP(Mon_W1[[#This Row],[Employee Name]],'Base Schedules'!$A$113:$AW$158,11,FALSE)),"")</f>
        <v/>
      </c>
      <c r="M48" s="184" t="str">
        <f>IFERROR(IF(VLOOKUP(Mon_W1[[#This Row],[Employee Name]],'Base Schedules'!$A$113:$AW$158,12,FALSE)="","",VLOOKUP(Mon_W1[[#This Row],[Employee Name]],'Base Schedules'!$A$113:$AW$158,12,FALSE)),"")</f>
        <v/>
      </c>
      <c r="N48" s="184" t="str">
        <f>IFERROR(IF(VLOOKUP(Mon_W1[[#This Row],[Employee Name]],'Base Schedules'!$A$113:$AW$158,13,FALSE)="","",VLOOKUP(Mon_W1[[#This Row],[Employee Name]],'Base Schedules'!$A$113:$AW$158,13,FALSE)),"")</f>
        <v/>
      </c>
      <c r="O48" s="184" t="str">
        <f>IFERROR(IF(VLOOKUP(Mon_W1[[#This Row],[Employee Name]],'Base Schedules'!$A$113:$AW$158,14,FALSE)="","",VLOOKUP(Mon_W1[[#This Row],[Employee Name]],'Base Schedules'!$A$113:$AW$158,14,FALSE)),"")</f>
        <v/>
      </c>
      <c r="P48" s="184" t="str">
        <f>IFERROR(IF(VLOOKUP(Mon_W1[[#This Row],[Employee Name]],'Base Schedules'!$A$113:$AW$158,15,FALSE)="","",VLOOKUP(Mon_W1[[#This Row],[Employee Name]],'Base Schedules'!$A$113:$AW$158,15,FALSE)),"")</f>
        <v/>
      </c>
      <c r="Q48" s="184" t="str">
        <f>IFERROR(IF(VLOOKUP(Mon_W1[[#This Row],[Employee Name]],'Base Schedules'!$A$113:$AW$158,16,FALSE)="","",VLOOKUP(Mon_W1[[#This Row],[Employee Name]],'Base Schedules'!$A$113:$AW$158,16,FALSE)),"")</f>
        <v/>
      </c>
      <c r="R48" s="184" t="str">
        <f>IFERROR(IF(VLOOKUP(Mon_W1[[#This Row],[Employee Name]],'Base Schedules'!$A$113:$AW$158,17,FALSE)="","",VLOOKUP(Mon_W1[[#This Row],[Employee Name]],'Base Schedules'!$A$113:$AW$158,17,FALSE)),"")</f>
        <v/>
      </c>
      <c r="S48" s="184" t="str">
        <f>IFERROR(IF(VLOOKUP(Mon_W1[[#This Row],[Employee Name]],'Base Schedules'!$A$113:$AW$158,18,FALSE)="","",VLOOKUP(Mon_W1[[#This Row],[Employee Name]],'Base Schedules'!$A$113:$AW$158,18,FALSE)),"")</f>
        <v/>
      </c>
      <c r="T48" s="184" t="str">
        <f>IFERROR(IF(VLOOKUP(Mon_W1[[#This Row],[Employee Name]],'Base Schedules'!$A$113:$AW$158,19,FALSE)="","",VLOOKUP(Mon_W1[[#This Row],[Employee Name]],'Base Schedules'!$A$113:$AW$158,19,FALSE)),"")</f>
        <v/>
      </c>
      <c r="U48" s="184" t="str">
        <f>IFERROR(IF(VLOOKUP(Mon_W1[[#This Row],[Employee Name]],'Base Schedules'!$A$113:$AW$158,20,FALSE)="","",VLOOKUP(Mon_W1[[#This Row],[Employee Name]],'Base Schedules'!$A$113:$AW$158,20,FALSE)),"")</f>
        <v/>
      </c>
      <c r="V48" s="184" t="str">
        <f>IFERROR(IF(VLOOKUP(Mon_W1[[#This Row],[Employee Name]],'Base Schedules'!$A$113:$AW$158,21,FALSE)="","",VLOOKUP(Mon_W1[[#This Row],[Employee Name]],'Base Schedules'!$A$113:$AW$158,21,FALSE)),"")</f>
        <v/>
      </c>
      <c r="W48" s="184" t="str">
        <f>IFERROR(IF(VLOOKUP(Mon_W1[[#This Row],[Employee Name]],'Base Schedules'!$A$113:$AW$158,22,FALSE)="","",VLOOKUP(Mon_W1[[#This Row],[Employee Name]],'Base Schedules'!$A$113:$AW$158,22,FALSE)),"")</f>
        <v/>
      </c>
      <c r="X48" s="184" t="str">
        <f>IFERROR(IF(VLOOKUP(Mon_W1[[#This Row],[Employee Name]],'Base Schedules'!$A$113:$AW$158,23,FALSE)="","",VLOOKUP(Mon_W1[[#This Row],[Employee Name]],'Base Schedules'!$A$113:$AW$158,23,FALSE)),"")</f>
        <v/>
      </c>
      <c r="Y48" s="184" t="str">
        <f>IFERROR(IF(VLOOKUP(Mon_W1[[#This Row],[Employee Name]],'Base Schedules'!$A$113:$AW$158,24,FALSE)="","",VLOOKUP(Mon_W1[[#This Row],[Employee Name]],'Base Schedules'!$A$113:$AW$158,24,FALSE)),"")</f>
        <v/>
      </c>
      <c r="Z48" s="184" t="str">
        <f>IFERROR(IF(VLOOKUP(Mon_W1[[#This Row],[Employee Name]],'Base Schedules'!$A$113:$AW$158,25,FALSE)="","",VLOOKUP(Mon_W1[[#This Row],[Employee Name]],'Base Schedules'!$A$113:$AW$158,25,FALSE)),"")</f>
        <v/>
      </c>
      <c r="AA48" s="184" t="str">
        <f>IFERROR(IF(VLOOKUP(Mon_W1[[#This Row],[Employee Name]],'Base Schedules'!$A$113:$AW$158,26,FALSE)="","",VLOOKUP(Mon_W1[[#This Row],[Employee Name]],'Base Schedules'!$A$113:$AW$158,26,FALSE)),"")</f>
        <v/>
      </c>
      <c r="AB48" s="184" t="str">
        <f>IFERROR(IF(VLOOKUP(Mon_W1[[#This Row],[Employee Name]],'Base Schedules'!$A$113:$AW$158,27,FALSE)="","",VLOOKUP(Mon_W1[[#This Row],[Employee Name]],'Base Schedules'!$A$113:$AW$158,27,FALSE)),"")</f>
        <v/>
      </c>
      <c r="AC48" s="184" t="str">
        <f>IFERROR(IF(VLOOKUP(Mon_W1[[#This Row],[Employee Name]],'Base Schedules'!$A$113:$AW$158,28,FALSE)="","",VLOOKUP(Mon_W1[[#This Row],[Employee Name]],'Base Schedules'!$A$113:$AW$158,28,FALSE)),"")</f>
        <v/>
      </c>
      <c r="AD48" s="184" t="str">
        <f>IFERROR(IF(VLOOKUP(Mon_W1[[#This Row],[Employee Name]],'Base Schedules'!$A$113:$AW$158,29,FALSE)="","",VLOOKUP(Mon_W1[[#This Row],[Employee Name]],'Base Schedules'!$A$113:$AW$158,29,FALSE)),"")</f>
        <v/>
      </c>
      <c r="AE48" s="184" t="str">
        <f>IFERROR(IF(VLOOKUP(Mon_W1[[#This Row],[Employee Name]],'Base Schedules'!$A$113:$AW$158,30,FALSE)="","",VLOOKUP(Mon_W1[[#This Row],[Employee Name]],'Base Schedules'!$A$113:$AW$158,30,FALSE)),"")</f>
        <v/>
      </c>
      <c r="AF48" s="184" t="str">
        <f>IFERROR(IF(VLOOKUP(Mon_W1[[#This Row],[Employee Name]],'Base Schedules'!$A$113:$AW$158,31,FALSE)="","",VLOOKUP(Mon_W1[[#This Row],[Employee Name]],'Base Schedules'!$A$113:$AW$158,31,FALSE)),"")</f>
        <v/>
      </c>
      <c r="AG48" s="184" t="str">
        <f>IFERROR(IF(VLOOKUP(Mon_W1[[#This Row],[Employee Name]],'Base Schedules'!$A$113:$AW$158,32,FALSE)="","",VLOOKUP(Mon_W1[[#This Row],[Employee Name]],'Base Schedules'!$A$113:$AW$158,32,FALSE)),"")</f>
        <v/>
      </c>
      <c r="AH48" s="184" t="str">
        <f>IFERROR(IF(VLOOKUP(Mon_W1[[#This Row],[Employee Name]],'Base Schedules'!$A$113:$AW$158,33,FALSE)="","",VLOOKUP(Mon_W1[[#This Row],[Employee Name]],'Base Schedules'!$A$113:$AW$158,33,FALSE)),"")</f>
        <v/>
      </c>
      <c r="AI48" s="184" t="str">
        <f>IFERROR(IF(VLOOKUP(Mon_W1[[#This Row],[Employee Name]],'Base Schedules'!$A$113:$AW$158,34,FALSE)="","",VLOOKUP(Mon_W1[[#This Row],[Employee Name]],'Base Schedules'!$A$113:$AW$158,34,FALSE)),"")</f>
        <v/>
      </c>
      <c r="AJ48" s="184" t="str">
        <f>IFERROR(IF(VLOOKUP(Mon_W1[[#This Row],[Employee Name]],'Base Schedules'!$A$113:$AW$158,35,FALSE)="","",VLOOKUP(Mon_W1[[#This Row],[Employee Name]],'Base Schedules'!$A$113:$AW$158,35,FALSE)),"")</f>
        <v/>
      </c>
      <c r="AK48" s="184" t="str">
        <f>IFERROR(IF(VLOOKUP(Mon_W1[[#This Row],[Employee Name]],'Base Schedules'!$A$113:$AW$158,36,FALSE)="","",VLOOKUP(Mon_W1[[#This Row],[Employee Name]],'Base Schedules'!$A$113:$AW$158,36,FALSE)),"")</f>
        <v/>
      </c>
      <c r="AL48" s="184" t="str">
        <f>IFERROR(IF(VLOOKUP(Mon_W1[[#This Row],[Employee Name]],'Base Schedules'!$A$113:$AW$158,37,FALSE)="","",VLOOKUP(Mon_W1[[#This Row],[Employee Name]],'Base Schedules'!$A$113:$AW$158,37,FALSE)),"")</f>
        <v/>
      </c>
      <c r="AM48" s="184" t="str">
        <f>IFERROR(IF(VLOOKUP(Mon_W1[[#This Row],[Employee Name]],'Base Schedules'!$A$113:$AW$158,38,FALSE)="","",VLOOKUP(Mon_W1[[#This Row],[Employee Name]],'Base Schedules'!$A$113:$AW$158,38,FALSE)),"")</f>
        <v/>
      </c>
      <c r="AN48" s="184" t="str">
        <f>IFERROR(IF(VLOOKUP(Mon_W1[[#This Row],[Employee Name]],'Base Schedules'!$A$113:$AW$158,39,FALSE)="","",VLOOKUP(Mon_W1[[#This Row],[Employee Name]],'Base Schedules'!$A$113:$AW$158,39,FALSE)),"")</f>
        <v/>
      </c>
      <c r="AO48" s="184" t="str">
        <f>IFERROR(IF(VLOOKUP(Mon_W1[[#This Row],[Employee Name]],'Base Schedules'!$A$113:$AW$158,40,FALSE)="","",VLOOKUP(Mon_W1[[#This Row],[Employee Name]],'Base Schedules'!$A$113:$AW$158,40,FALSE)),"")</f>
        <v/>
      </c>
      <c r="AP48" s="184" t="str">
        <f>IFERROR(IF(VLOOKUP(Mon_W1[[#This Row],[Employee Name]],'Base Schedules'!$A$113:$AW$158,41,FALSE)="","",VLOOKUP(Mon_W1[[#This Row],[Employee Name]],'Base Schedules'!$A$113:$AW$158,41,FALSE)),"")</f>
        <v/>
      </c>
      <c r="AQ48" s="184" t="str">
        <f>IFERROR(IF(VLOOKUP(Mon_W1[[#This Row],[Employee Name]],'Base Schedules'!$A$113:$AW$158,42,FALSE)="","",VLOOKUP(Mon_W1[[#This Row],[Employee Name]],'Base Schedules'!$A$113:$AW$158,42,FALSE)),"")</f>
        <v/>
      </c>
      <c r="AR48" s="184" t="str">
        <f>IFERROR(IF(VLOOKUP(Mon_W1[[#This Row],[Employee Name]],'Base Schedules'!$A$113:$AW$158,43,FALSE)="","",VLOOKUP(Mon_W1[[#This Row],[Employee Name]],'Base Schedules'!$A$113:$AW$158,43,FALSE)),"")</f>
        <v/>
      </c>
      <c r="AS48" s="184" t="str">
        <f>IFERROR(IF(VLOOKUP(Mon_W1[[#This Row],[Employee Name]],'Base Schedules'!$A$113:$AW$158,44,FALSE)="","",VLOOKUP(Mon_W1[[#This Row],[Employee Name]],'Base Schedules'!$A$113:$AW$158,44,FALSE)),"")</f>
        <v/>
      </c>
      <c r="AT48" s="184" t="str">
        <f>IFERROR(IF(VLOOKUP(Mon_W1[[#This Row],[Employee Name]],'Base Schedules'!$A$113:$AW$158,45,FALSE)="","",VLOOKUP(Mon_W1[[#This Row],[Employee Name]],'Base Schedules'!$A$113:$AW$158,45,FALSE)),"")</f>
        <v/>
      </c>
      <c r="AU48" s="184" t="str">
        <f>IFERROR(IF(VLOOKUP(Mon_W1[[#This Row],[Employee Name]],'Base Schedules'!$A$113:$AW$158,46,FALSE)="","",VLOOKUP(Mon_W1[[#This Row],[Employee Name]],'Base Schedules'!$A$113:$AW$158,46,FALSE)),"")</f>
        <v/>
      </c>
      <c r="AV48" s="184" t="str">
        <f>IFERROR(IF(VLOOKUP(Mon_W1[[#This Row],[Employee Name]],'Base Schedules'!$A$113:$AW$158,47,FALSE)="","",VLOOKUP(Mon_W1[[#This Row],[Employee Name]],'Base Schedules'!$A$113:$AW$158,47,FALSE)),"")</f>
        <v/>
      </c>
      <c r="AW48" s="184" t="str">
        <f>IFERROR(IF(VLOOKUP(Mon_W1[[#This Row],[Employee Name]],'Base Schedules'!$A$113:$AW$158,48,FALSE)="","",VLOOKUP(Mon_W1[[#This Row],[Employee Name]],'Base Schedules'!$A$113:$AW$158,48,FALSE)),"")</f>
        <v/>
      </c>
      <c r="AX48" s="184" t="str">
        <f>IFERROR(IF(VLOOKUP(Mon_W1[[#This Row],[Employee Name]],'Base Schedules'!$A$113:$AW$158,49,FALSE)="","",VLOOKUP(Mon_W1[[#This Row],[Employee Name]],'Base Schedules'!$A$113:$AW$158,49,FALSE)),"")</f>
        <v/>
      </c>
      <c r="AY48" s="167" t="str">
        <f t="shared" si="2"/>
        <v/>
      </c>
    </row>
    <row r="49" spans="1:52" s="44" customFormat="1" hidden="1" thickBot="1" x14ac:dyDescent="0.25">
      <c r="A49" s="39" t="str">
        <f>IF(B49="","",INDEX(TeamList[],MATCH($B49,TeamList[[Employee Name]:[Employee Name]],0),MATCH("Manager",TeamList[#Headers],0)))</f>
        <v/>
      </c>
      <c r="B49" s="202"/>
      <c r="C49" s="257" t="str">
        <f>_xlfn.IFNA(VLOOKUP(Mon_W1[[#This Row],[Employee Name]],'Base Schedules'!A:B,2,FALSE),"")</f>
        <v/>
      </c>
      <c r="D49" s="274" t="str">
        <f>_xlfn.IFNA(VLOOKUP(Mon_W1[[#This Row],[Employee Name]],'Base Schedules'!A:C,3,FALSE),"")</f>
        <v/>
      </c>
      <c r="E49" s="274" t="str">
        <f>_xlfn.IFNA(VLOOKUP(Mon_W1[[#This Row],[Employee Name]],'Base Schedules'!A:D,4,FALSE),"")</f>
        <v/>
      </c>
      <c r="F49" s="142" t="str">
        <f>IF(Mon_W1[[#This Row],[Employee Name]]="","",IF(Mon_W1[[#This Row],[Dept]]="Supervisor",COUNTIFS($J49:$AX49,"*HL*",$J49:$AX49,"&lt;&gt;"&amp;"pHL"),COUNTIFS($J49:$AX49,"*HL*",$J49:$AX49,"&lt;&gt;"&amp;"*pHL*",$J49:$AX49,"&lt;&gt;"&amp;"pB1 HL",$J49:$AX49,"&lt;&gt;"&amp;"pB2 HL")-SUM(COUNTIFS($J49:$AX49,"*HL B1*",$J49:$AX49,"&lt;&gt;"&amp;"pHL B1")*0.5,COUNTIFS($J49:$AX49,"*HL B2*",$J49:$AX49,"&lt;&gt;"&amp;"pHL B2")*0.5,COUNTIFS($J49:$AX49,"*B1 HL*",$J49:$AX49,"&lt;&gt;"&amp;"pB1 HL")*0.5,COUNTIFS($J49:$AX49,"*B2 HL*",$J49:$AX49,"&lt;&gt;"&amp;"pB2 HL")*0.5)))</f>
        <v/>
      </c>
      <c r="G49" s="142" t="str">
        <f t="shared" si="0"/>
        <v/>
      </c>
      <c r="H49" s="142" t="str">
        <f t="shared" si="1"/>
        <v/>
      </c>
      <c r="I49" s="142" t="str">
        <f>IF(Mon_W1[[#This Row],[Employee Name]]="","",IF(Mon_W1[[#This Row],[Dept]]="Supervisor",SUM(COUNTIFS($J49:$AX49,"RTA*",$J49:$AX49,"&lt;&gt;"&amp;"pRTA"),COUNTIFS($J49:$AX49,"*CRTA*",$J49:$AX49,"&lt;&gt;"&amp;"pCRTA")),COUNTIFS($J49:$AX49,"*RNNR*",$J49:$AX49,"&lt;&gt;"&amp;"*pRNNR*",$J49:$AX49,"&lt;&gt;"&amp;"pB1 RNNR",$J49:$AX49,"&lt;&gt;"&amp;"pB2 RNNR")-SUM(COUNTIFS($J49:$AX49,"*RNNR B1*",$J49:$AX49,"&lt;&gt;"&amp;"pRNNR B1")*0.5,COUNTIFS($J49:$AX49,"*RNNR B2*",$J49:$AX49,"&lt;&gt;"&amp;"pRNNR B2")*0.5,COUNTIFS($J49:$AX49,"*B1 RNNR*",$J49:$AX49,"&lt;&gt;"&amp;"pB1 RNNR")*0.5,COUNTIFS($J49:$AX49,"*B2 RNNR*",$J49:$AX49,"&lt;&gt;"&amp;"pB2 RNNR")*0.5)))</f>
        <v/>
      </c>
      <c r="J49" s="184" t="str">
        <f>IFERROR(IF(VLOOKUP(Mon_W1[[#This Row],[Employee Name]],'Base Schedules'!$A$113:$AW$158,9,FALSE)="","",VLOOKUP(Mon_W1[[#This Row],[Employee Name]],'Base Schedules'!$A$113:$AW$158,9,FALSE)),"")</f>
        <v/>
      </c>
      <c r="K49" s="184" t="str">
        <f>IFERROR(IF(VLOOKUP(Mon_W1[[#This Row],[Employee Name]],'Base Schedules'!$A$113:$AW$158,10,FALSE)="","",VLOOKUP(Mon_W1[[#This Row],[Employee Name]],'Base Schedules'!$A$113:$AW$158,10,FALSE)),"")</f>
        <v/>
      </c>
      <c r="L49" s="184" t="str">
        <f>IFERROR(IF(VLOOKUP(Mon_W1[[#This Row],[Employee Name]],'Base Schedules'!$A$113:$AW$158,11,FALSE)="","",VLOOKUP(Mon_W1[[#This Row],[Employee Name]],'Base Schedules'!$A$113:$AW$158,11,FALSE)),"")</f>
        <v/>
      </c>
      <c r="M49" s="184" t="str">
        <f>IFERROR(IF(VLOOKUP(Mon_W1[[#This Row],[Employee Name]],'Base Schedules'!$A$113:$AW$158,12,FALSE)="","",VLOOKUP(Mon_W1[[#This Row],[Employee Name]],'Base Schedules'!$A$113:$AW$158,12,FALSE)),"")</f>
        <v/>
      </c>
      <c r="N49" s="184" t="str">
        <f>IFERROR(IF(VLOOKUP(Mon_W1[[#This Row],[Employee Name]],'Base Schedules'!$A$113:$AW$158,13,FALSE)="","",VLOOKUP(Mon_W1[[#This Row],[Employee Name]],'Base Schedules'!$A$113:$AW$158,13,FALSE)),"")</f>
        <v/>
      </c>
      <c r="O49" s="184" t="str">
        <f>IFERROR(IF(VLOOKUP(Mon_W1[[#This Row],[Employee Name]],'Base Schedules'!$A$113:$AW$158,14,FALSE)="","",VLOOKUP(Mon_W1[[#This Row],[Employee Name]],'Base Schedules'!$A$113:$AW$158,14,FALSE)),"")</f>
        <v/>
      </c>
      <c r="P49" s="184" t="str">
        <f>IFERROR(IF(VLOOKUP(Mon_W1[[#This Row],[Employee Name]],'Base Schedules'!$A$113:$AW$158,15,FALSE)="","",VLOOKUP(Mon_W1[[#This Row],[Employee Name]],'Base Schedules'!$A$113:$AW$158,15,FALSE)),"")</f>
        <v/>
      </c>
      <c r="Q49" s="184" t="str">
        <f>IFERROR(IF(VLOOKUP(Mon_W1[[#This Row],[Employee Name]],'Base Schedules'!$A$113:$AW$158,16,FALSE)="","",VLOOKUP(Mon_W1[[#This Row],[Employee Name]],'Base Schedules'!$A$113:$AW$158,16,FALSE)),"")</f>
        <v/>
      </c>
      <c r="R49" s="184" t="str">
        <f>IFERROR(IF(VLOOKUP(Mon_W1[[#This Row],[Employee Name]],'Base Schedules'!$A$113:$AW$158,17,FALSE)="","",VLOOKUP(Mon_W1[[#This Row],[Employee Name]],'Base Schedules'!$A$113:$AW$158,17,FALSE)),"")</f>
        <v/>
      </c>
      <c r="S49" s="184" t="str">
        <f>IFERROR(IF(VLOOKUP(Mon_W1[[#This Row],[Employee Name]],'Base Schedules'!$A$113:$AW$158,18,FALSE)="","",VLOOKUP(Mon_W1[[#This Row],[Employee Name]],'Base Schedules'!$A$113:$AW$158,18,FALSE)),"")</f>
        <v/>
      </c>
      <c r="T49" s="184" t="str">
        <f>IFERROR(IF(VLOOKUP(Mon_W1[[#This Row],[Employee Name]],'Base Schedules'!$A$113:$AW$158,19,FALSE)="","",VLOOKUP(Mon_W1[[#This Row],[Employee Name]],'Base Schedules'!$A$113:$AW$158,19,FALSE)),"")</f>
        <v/>
      </c>
      <c r="U49" s="184" t="str">
        <f>IFERROR(IF(VLOOKUP(Mon_W1[[#This Row],[Employee Name]],'Base Schedules'!$A$113:$AW$158,20,FALSE)="","",VLOOKUP(Mon_W1[[#This Row],[Employee Name]],'Base Schedules'!$A$113:$AW$158,20,FALSE)),"")</f>
        <v/>
      </c>
      <c r="V49" s="184" t="str">
        <f>IFERROR(IF(VLOOKUP(Mon_W1[[#This Row],[Employee Name]],'Base Schedules'!$A$113:$AW$158,21,FALSE)="","",VLOOKUP(Mon_W1[[#This Row],[Employee Name]],'Base Schedules'!$A$113:$AW$158,21,FALSE)),"")</f>
        <v/>
      </c>
      <c r="W49" s="184" t="str">
        <f>IFERROR(IF(VLOOKUP(Mon_W1[[#This Row],[Employee Name]],'Base Schedules'!$A$113:$AW$158,22,FALSE)="","",VLOOKUP(Mon_W1[[#This Row],[Employee Name]],'Base Schedules'!$A$113:$AW$158,22,FALSE)),"")</f>
        <v/>
      </c>
      <c r="X49" s="184" t="str">
        <f>IFERROR(IF(VLOOKUP(Mon_W1[[#This Row],[Employee Name]],'Base Schedules'!$A$113:$AW$158,23,FALSE)="","",VLOOKUP(Mon_W1[[#This Row],[Employee Name]],'Base Schedules'!$A$113:$AW$158,23,FALSE)),"")</f>
        <v/>
      </c>
      <c r="Y49" s="184" t="str">
        <f>IFERROR(IF(VLOOKUP(Mon_W1[[#This Row],[Employee Name]],'Base Schedules'!$A$113:$AW$158,24,FALSE)="","",VLOOKUP(Mon_W1[[#This Row],[Employee Name]],'Base Schedules'!$A$113:$AW$158,24,FALSE)),"")</f>
        <v/>
      </c>
      <c r="Z49" s="184" t="str">
        <f>IFERROR(IF(VLOOKUP(Mon_W1[[#This Row],[Employee Name]],'Base Schedules'!$A$113:$AW$158,25,FALSE)="","",VLOOKUP(Mon_W1[[#This Row],[Employee Name]],'Base Schedules'!$A$113:$AW$158,25,FALSE)),"")</f>
        <v/>
      </c>
      <c r="AA49" s="184" t="str">
        <f>IFERROR(IF(VLOOKUP(Mon_W1[[#This Row],[Employee Name]],'Base Schedules'!$A$113:$AW$158,26,FALSE)="","",VLOOKUP(Mon_W1[[#This Row],[Employee Name]],'Base Schedules'!$A$113:$AW$158,26,FALSE)),"")</f>
        <v/>
      </c>
      <c r="AB49" s="184" t="str">
        <f>IFERROR(IF(VLOOKUP(Mon_W1[[#This Row],[Employee Name]],'Base Schedules'!$A$113:$AW$158,27,FALSE)="","",VLOOKUP(Mon_W1[[#This Row],[Employee Name]],'Base Schedules'!$A$113:$AW$158,27,FALSE)),"")</f>
        <v/>
      </c>
      <c r="AC49" s="184" t="str">
        <f>IFERROR(IF(VLOOKUP(Mon_W1[[#This Row],[Employee Name]],'Base Schedules'!$A$113:$AW$158,28,FALSE)="","",VLOOKUP(Mon_W1[[#This Row],[Employee Name]],'Base Schedules'!$A$113:$AW$158,28,FALSE)),"")</f>
        <v/>
      </c>
      <c r="AD49" s="184" t="str">
        <f>IFERROR(IF(VLOOKUP(Mon_W1[[#This Row],[Employee Name]],'Base Schedules'!$A$113:$AW$158,29,FALSE)="","",VLOOKUP(Mon_W1[[#This Row],[Employee Name]],'Base Schedules'!$A$113:$AW$158,29,FALSE)),"")</f>
        <v/>
      </c>
      <c r="AE49" s="184" t="str">
        <f>IFERROR(IF(VLOOKUP(Mon_W1[[#This Row],[Employee Name]],'Base Schedules'!$A$113:$AW$158,30,FALSE)="","",VLOOKUP(Mon_W1[[#This Row],[Employee Name]],'Base Schedules'!$A$113:$AW$158,30,FALSE)),"")</f>
        <v/>
      </c>
      <c r="AF49" s="184" t="str">
        <f>IFERROR(IF(VLOOKUP(Mon_W1[[#This Row],[Employee Name]],'Base Schedules'!$A$113:$AW$158,31,FALSE)="","",VLOOKUP(Mon_W1[[#This Row],[Employee Name]],'Base Schedules'!$A$113:$AW$158,31,FALSE)),"")</f>
        <v/>
      </c>
      <c r="AG49" s="184" t="str">
        <f>IFERROR(IF(VLOOKUP(Mon_W1[[#This Row],[Employee Name]],'Base Schedules'!$A$113:$AW$158,32,FALSE)="","",VLOOKUP(Mon_W1[[#This Row],[Employee Name]],'Base Schedules'!$A$113:$AW$158,32,FALSE)),"")</f>
        <v/>
      </c>
      <c r="AH49" s="184" t="str">
        <f>IFERROR(IF(VLOOKUP(Mon_W1[[#This Row],[Employee Name]],'Base Schedules'!$A$113:$AW$158,33,FALSE)="","",VLOOKUP(Mon_W1[[#This Row],[Employee Name]],'Base Schedules'!$A$113:$AW$158,33,FALSE)),"")</f>
        <v/>
      </c>
      <c r="AI49" s="184" t="str">
        <f>IFERROR(IF(VLOOKUP(Mon_W1[[#This Row],[Employee Name]],'Base Schedules'!$A$113:$AW$158,34,FALSE)="","",VLOOKUP(Mon_W1[[#This Row],[Employee Name]],'Base Schedules'!$A$113:$AW$158,34,FALSE)),"")</f>
        <v/>
      </c>
      <c r="AJ49" s="184" t="str">
        <f>IFERROR(IF(VLOOKUP(Mon_W1[[#This Row],[Employee Name]],'Base Schedules'!$A$113:$AW$158,35,FALSE)="","",VLOOKUP(Mon_W1[[#This Row],[Employee Name]],'Base Schedules'!$A$113:$AW$158,35,FALSE)),"")</f>
        <v/>
      </c>
      <c r="AK49" s="184" t="str">
        <f>IFERROR(IF(VLOOKUP(Mon_W1[[#This Row],[Employee Name]],'Base Schedules'!$A$113:$AW$158,36,FALSE)="","",VLOOKUP(Mon_W1[[#This Row],[Employee Name]],'Base Schedules'!$A$113:$AW$158,36,FALSE)),"")</f>
        <v/>
      </c>
      <c r="AL49" s="184" t="str">
        <f>IFERROR(IF(VLOOKUP(Mon_W1[[#This Row],[Employee Name]],'Base Schedules'!$A$113:$AW$158,37,FALSE)="","",VLOOKUP(Mon_W1[[#This Row],[Employee Name]],'Base Schedules'!$A$113:$AW$158,37,FALSE)),"")</f>
        <v/>
      </c>
      <c r="AM49" s="184" t="str">
        <f>IFERROR(IF(VLOOKUP(Mon_W1[[#This Row],[Employee Name]],'Base Schedules'!$A$113:$AW$158,38,FALSE)="","",VLOOKUP(Mon_W1[[#This Row],[Employee Name]],'Base Schedules'!$A$113:$AW$158,38,FALSE)),"")</f>
        <v/>
      </c>
      <c r="AN49" s="184" t="str">
        <f>IFERROR(IF(VLOOKUP(Mon_W1[[#This Row],[Employee Name]],'Base Schedules'!$A$113:$AW$158,39,FALSE)="","",VLOOKUP(Mon_W1[[#This Row],[Employee Name]],'Base Schedules'!$A$113:$AW$158,39,FALSE)),"")</f>
        <v/>
      </c>
      <c r="AO49" s="184" t="str">
        <f>IFERROR(IF(VLOOKUP(Mon_W1[[#This Row],[Employee Name]],'Base Schedules'!$A$113:$AW$158,40,FALSE)="","",VLOOKUP(Mon_W1[[#This Row],[Employee Name]],'Base Schedules'!$A$113:$AW$158,40,FALSE)),"")</f>
        <v/>
      </c>
      <c r="AP49" s="184" t="str">
        <f>IFERROR(IF(VLOOKUP(Mon_W1[[#This Row],[Employee Name]],'Base Schedules'!$A$113:$AW$158,41,FALSE)="","",VLOOKUP(Mon_W1[[#This Row],[Employee Name]],'Base Schedules'!$A$113:$AW$158,41,FALSE)),"")</f>
        <v/>
      </c>
      <c r="AQ49" s="184" t="str">
        <f>IFERROR(IF(VLOOKUP(Mon_W1[[#This Row],[Employee Name]],'Base Schedules'!$A$113:$AW$158,42,FALSE)="","",VLOOKUP(Mon_W1[[#This Row],[Employee Name]],'Base Schedules'!$A$113:$AW$158,42,FALSE)),"")</f>
        <v/>
      </c>
      <c r="AR49" s="184" t="str">
        <f>IFERROR(IF(VLOOKUP(Mon_W1[[#This Row],[Employee Name]],'Base Schedules'!$A$113:$AW$158,43,FALSE)="","",VLOOKUP(Mon_W1[[#This Row],[Employee Name]],'Base Schedules'!$A$113:$AW$158,43,FALSE)),"")</f>
        <v/>
      </c>
      <c r="AS49" s="184" t="str">
        <f>IFERROR(IF(VLOOKUP(Mon_W1[[#This Row],[Employee Name]],'Base Schedules'!$A$113:$AW$158,44,FALSE)="","",VLOOKUP(Mon_W1[[#This Row],[Employee Name]],'Base Schedules'!$A$113:$AW$158,44,FALSE)),"")</f>
        <v/>
      </c>
      <c r="AT49" s="184" t="str">
        <f>IFERROR(IF(VLOOKUP(Mon_W1[[#This Row],[Employee Name]],'Base Schedules'!$A$113:$AW$158,45,FALSE)="","",VLOOKUP(Mon_W1[[#This Row],[Employee Name]],'Base Schedules'!$A$113:$AW$158,45,FALSE)),"")</f>
        <v/>
      </c>
      <c r="AU49" s="184" t="str">
        <f>IFERROR(IF(VLOOKUP(Mon_W1[[#This Row],[Employee Name]],'Base Schedules'!$A$113:$AW$158,46,FALSE)="","",VLOOKUP(Mon_W1[[#This Row],[Employee Name]],'Base Schedules'!$A$113:$AW$158,46,FALSE)),"")</f>
        <v/>
      </c>
      <c r="AV49" s="184" t="str">
        <f>IFERROR(IF(VLOOKUP(Mon_W1[[#This Row],[Employee Name]],'Base Schedules'!$A$113:$AW$158,47,FALSE)="","",VLOOKUP(Mon_W1[[#This Row],[Employee Name]],'Base Schedules'!$A$113:$AW$158,47,FALSE)),"")</f>
        <v/>
      </c>
      <c r="AW49" s="184" t="str">
        <f>IFERROR(IF(VLOOKUP(Mon_W1[[#This Row],[Employee Name]],'Base Schedules'!$A$113:$AW$158,48,FALSE)="","",VLOOKUP(Mon_W1[[#This Row],[Employee Name]],'Base Schedules'!$A$113:$AW$158,48,FALSE)),"")</f>
        <v/>
      </c>
      <c r="AX49" s="184" t="str">
        <f>IFERROR(IF(VLOOKUP(Mon_W1[[#This Row],[Employee Name]],'Base Schedules'!$A$113:$AW$158,49,FALSE)="","",VLOOKUP(Mon_W1[[#This Row],[Employee Name]],'Base Schedules'!$A$113:$AW$158,49,FALSE)),"")</f>
        <v/>
      </c>
      <c r="AY49" s="164" t="str">
        <f t="shared" si="2"/>
        <v/>
      </c>
    </row>
    <row r="50" spans="1:52" s="44" customFormat="1" hidden="1" thickBot="1" x14ac:dyDescent="0.25">
      <c r="A50" s="39" t="str">
        <f>IF(B50="","",INDEX(TeamList[],MATCH($B50,TeamList[[Employee Name]:[Employee Name]],0),MATCH("Manager",TeamList[#Headers],0)))</f>
        <v/>
      </c>
      <c r="B50" s="201"/>
      <c r="C50" s="257" t="str">
        <f>_xlfn.IFNA(VLOOKUP(Mon_W1[[#This Row],[Employee Name]],'Base Schedules'!A:B,2,FALSE),"")</f>
        <v/>
      </c>
      <c r="D50" s="274" t="str">
        <f>_xlfn.IFNA(VLOOKUP(Mon_W1[[#This Row],[Employee Name]],'Base Schedules'!A:C,3,FALSE),"")</f>
        <v/>
      </c>
      <c r="E50" s="274" t="str">
        <f>_xlfn.IFNA(VLOOKUP(Mon_W1[[#This Row],[Employee Name]],'Base Schedules'!A:D,4,FALSE),"")</f>
        <v/>
      </c>
      <c r="F50" s="142" t="str">
        <f>IF(Mon_W1[[#This Row],[Employee Name]]="","",IF(Mon_W1[[#This Row],[Dept]]="Supervisor",COUNTIFS($J50:$AX50,"*HL*",$J50:$AX50,"&lt;&gt;"&amp;"pHL"),COUNTIFS($J50:$AX50,"*HL*",$J50:$AX50,"&lt;&gt;"&amp;"*pHL*",$J50:$AX50,"&lt;&gt;"&amp;"pB1 HL",$J50:$AX50,"&lt;&gt;"&amp;"pB2 HL")-SUM(COUNTIFS($J50:$AX50,"*HL B1*",$J50:$AX50,"&lt;&gt;"&amp;"pHL B1")*0.5,COUNTIFS($J50:$AX50,"*HL B2*",$J50:$AX50,"&lt;&gt;"&amp;"pHL B2")*0.5,COUNTIFS($J50:$AX50,"*B1 HL*",$J50:$AX50,"&lt;&gt;"&amp;"pB1 HL")*0.5,COUNTIFS($J50:$AX50,"*B2 HL*",$J50:$AX50,"&lt;&gt;"&amp;"pB2 HL")*0.5)))</f>
        <v/>
      </c>
      <c r="G50" s="142" t="str">
        <f t="shared" si="0"/>
        <v/>
      </c>
      <c r="H50" s="142" t="str">
        <f t="shared" si="1"/>
        <v/>
      </c>
      <c r="I50" s="142" t="str">
        <f>IF(Mon_W1[[#This Row],[Employee Name]]="","",IF(Mon_W1[[#This Row],[Dept]]="Supervisor",SUM(COUNTIFS($J50:$AX50,"RTA*",$J50:$AX50,"&lt;&gt;"&amp;"pRTA"),COUNTIFS($J50:$AX50,"*CRTA*",$J50:$AX50,"&lt;&gt;"&amp;"pCRTA")),COUNTIFS($J50:$AX50,"*RNNR*",$J50:$AX50,"&lt;&gt;"&amp;"*pRNNR*",$J50:$AX50,"&lt;&gt;"&amp;"pB1 RNNR",$J50:$AX50,"&lt;&gt;"&amp;"pB2 RNNR")-SUM(COUNTIFS($J50:$AX50,"*RNNR B1*",$J50:$AX50,"&lt;&gt;"&amp;"pRNNR B1")*0.5,COUNTIFS($J50:$AX50,"*RNNR B2*",$J50:$AX50,"&lt;&gt;"&amp;"pRNNR B2")*0.5,COUNTIFS($J50:$AX50,"*B1 RNNR*",$J50:$AX50,"&lt;&gt;"&amp;"pB1 RNNR")*0.5,COUNTIFS($J50:$AX50,"*B2 RNNR*",$J50:$AX50,"&lt;&gt;"&amp;"pB2 RNNR")*0.5)))</f>
        <v/>
      </c>
      <c r="J50" s="184" t="str">
        <f>IFERROR(IF(VLOOKUP(Mon_W1[[#This Row],[Employee Name]],'Base Schedules'!$A$113:$AW$158,9,FALSE)="","",VLOOKUP(Mon_W1[[#This Row],[Employee Name]],'Base Schedules'!$A$113:$AW$158,9,FALSE)),"")</f>
        <v/>
      </c>
      <c r="K50" s="184" t="str">
        <f>IFERROR(IF(VLOOKUP(Mon_W1[[#This Row],[Employee Name]],'Base Schedules'!$A$113:$AW$158,10,FALSE)="","",VLOOKUP(Mon_W1[[#This Row],[Employee Name]],'Base Schedules'!$A$113:$AW$158,10,FALSE)),"")</f>
        <v/>
      </c>
      <c r="L50" s="184" t="str">
        <f>IFERROR(IF(VLOOKUP(Mon_W1[[#This Row],[Employee Name]],'Base Schedules'!$A$113:$AW$158,11,FALSE)="","",VLOOKUP(Mon_W1[[#This Row],[Employee Name]],'Base Schedules'!$A$113:$AW$158,11,FALSE)),"")</f>
        <v/>
      </c>
      <c r="M50" s="184" t="str">
        <f>IFERROR(IF(VLOOKUP(Mon_W1[[#This Row],[Employee Name]],'Base Schedules'!$A$113:$AW$158,12,FALSE)="","",VLOOKUP(Mon_W1[[#This Row],[Employee Name]],'Base Schedules'!$A$113:$AW$158,12,FALSE)),"")</f>
        <v/>
      </c>
      <c r="N50" s="184" t="str">
        <f>IFERROR(IF(VLOOKUP(Mon_W1[[#This Row],[Employee Name]],'Base Schedules'!$A$113:$AW$158,13,FALSE)="","",VLOOKUP(Mon_W1[[#This Row],[Employee Name]],'Base Schedules'!$A$113:$AW$158,13,FALSE)),"")</f>
        <v/>
      </c>
      <c r="O50" s="184" t="str">
        <f>IFERROR(IF(VLOOKUP(Mon_W1[[#This Row],[Employee Name]],'Base Schedules'!$A$113:$AW$158,14,FALSE)="","",VLOOKUP(Mon_W1[[#This Row],[Employee Name]],'Base Schedules'!$A$113:$AW$158,14,FALSE)),"")</f>
        <v/>
      </c>
      <c r="P50" s="184" t="str">
        <f>IFERROR(IF(VLOOKUP(Mon_W1[[#This Row],[Employee Name]],'Base Schedules'!$A$113:$AW$158,15,FALSE)="","",VLOOKUP(Mon_W1[[#This Row],[Employee Name]],'Base Schedules'!$A$113:$AW$158,15,FALSE)),"")</f>
        <v/>
      </c>
      <c r="Q50" s="184" t="str">
        <f>IFERROR(IF(VLOOKUP(Mon_W1[[#This Row],[Employee Name]],'Base Schedules'!$A$113:$AW$158,16,FALSE)="","",VLOOKUP(Mon_W1[[#This Row],[Employee Name]],'Base Schedules'!$A$113:$AW$158,16,FALSE)),"")</f>
        <v/>
      </c>
      <c r="R50" s="184" t="str">
        <f>IFERROR(IF(VLOOKUP(Mon_W1[[#This Row],[Employee Name]],'Base Schedules'!$A$113:$AW$158,17,FALSE)="","",VLOOKUP(Mon_W1[[#This Row],[Employee Name]],'Base Schedules'!$A$113:$AW$158,17,FALSE)),"")</f>
        <v/>
      </c>
      <c r="S50" s="184" t="str">
        <f>IFERROR(IF(VLOOKUP(Mon_W1[[#This Row],[Employee Name]],'Base Schedules'!$A$113:$AW$158,18,FALSE)="","",VLOOKUP(Mon_W1[[#This Row],[Employee Name]],'Base Schedules'!$A$113:$AW$158,18,FALSE)),"")</f>
        <v/>
      </c>
      <c r="T50" s="184" t="str">
        <f>IFERROR(IF(VLOOKUP(Mon_W1[[#This Row],[Employee Name]],'Base Schedules'!$A$113:$AW$158,19,FALSE)="","",VLOOKUP(Mon_W1[[#This Row],[Employee Name]],'Base Schedules'!$A$113:$AW$158,19,FALSE)),"")</f>
        <v/>
      </c>
      <c r="U50" s="184" t="str">
        <f>IFERROR(IF(VLOOKUP(Mon_W1[[#This Row],[Employee Name]],'Base Schedules'!$A$113:$AW$158,20,FALSE)="","",VLOOKUP(Mon_W1[[#This Row],[Employee Name]],'Base Schedules'!$A$113:$AW$158,20,FALSE)),"")</f>
        <v/>
      </c>
      <c r="V50" s="184" t="str">
        <f>IFERROR(IF(VLOOKUP(Mon_W1[[#This Row],[Employee Name]],'Base Schedules'!$A$113:$AW$158,21,FALSE)="","",VLOOKUP(Mon_W1[[#This Row],[Employee Name]],'Base Schedules'!$A$113:$AW$158,21,FALSE)),"")</f>
        <v/>
      </c>
      <c r="W50" s="184" t="str">
        <f>IFERROR(IF(VLOOKUP(Mon_W1[[#This Row],[Employee Name]],'Base Schedules'!$A$113:$AW$158,22,FALSE)="","",VLOOKUP(Mon_W1[[#This Row],[Employee Name]],'Base Schedules'!$A$113:$AW$158,22,FALSE)),"")</f>
        <v/>
      </c>
      <c r="X50" s="184" t="str">
        <f>IFERROR(IF(VLOOKUP(Mon_W1[[#This Row],[Employee Name]],'Base Schedules'!$A$113:$AW$158,23,FALSE)="","",VLOOKUP(Mon_W1[[#This Row],[Employee Name]],'Base Schedules'!$A$113:$AW$158,23,FALSE)),"")</f>
        <v/>
      </c>
      <c r="Y50" s="184" t="str">
        <f>IFERROR(IF(VLOOKUP(Mon_W1[[#This Row],[Employee Name]],'Base Schedules'!$A$113:$AW$158,24,FALSE)="","",VLOOKUP(Mon_W1[[#This Row],[Employee Name]],'Base Schedules'!$A$113:$AW$158,24,FALSE)),"")</f>
        <v/>
      </c>
      <c r="Z50" s="184" t="str">
        <f>IFERROR(IF(VLOOKUP(Mon_W1[[#This Row],[Employee Name]],'Base Schedules'!$A$113:$AW$158,25,FALSE)="","",VLOOKUP(Mon_W1[[#This Row],[Employee Name]],'Base Schedules'!$A$113:$AW$158,25,FALSE)),"")</f>
        <v/>
      </c>
      <c r="AA50" s="184" t="str">
        <f>IFERROR(IF(VLOOKUP(Mon_W1[[#This Row],[Employee Name]],'Base Schedules'!$A$113:$AW$158,26,FALSE)="","",VLOOKUP(Mon_W1[[#This Row],[Employee Name]],'Base Schedules'!$A$113:$AW$158,26,FALSE)),"")</f>
        <v/>
      </c>
      <c r="AB50" s="184" t="str">
        <f>IFERROR(IF(VLOOKUP(Mon_W1[[#This Row],[Employee Name]],'Base Schedules'!$A$113:$AW$158,27,FALSE)="","",VLOOKUP(Mon_W1[[#This Row],[Employee Name]],'Base Schedules'!$A$113:$AW$158,27,FALSE)),"")</f>
        <v/>
      </c>
      <c r="AC50" s="184" t="str">
        <f>IFERROR(IF(VLOOKUP(Mon_W1[[#This Row],[Employee Name]],'Base Schedules'!$A$113:$AW$158,28,FALSE)="","",VLOOKUP(Mon_W1[[#This Row],[Employee Name]],'Base Schedules'!$A$113:$AW$158,28,FALSE)),"")</f>
        <v/>
      </c>
      <c r="AD50" s="184" t="str">
        <f>IFERROR(IF(VLOOKUP(Mon_W1[[#This Row],[Employee Name]],'Base Schedules'!$A$113:$AW$158,29,FALSE)="","",VLOOKUP(Mon_W1[[#This Row],[Employee Name]],'Base Schedules'!$A$113:$AW$158,29,FALSE)),"")</f>
        <v/>
      </c>
      <c r="AE50" s="184" t="str">
        <f>IFERROR(IF(VLOOKUP(Mon_W1[[#This Row],[Employee Name]],'Base Schedules'!$A$113:$AW$158,30,FALSE)="","",VLOOKUP(Mon_W1[[#This Row],[Employee Name]],'Base Schedules'!$A$113:$AW$158,30,FALSE)),"")</f>
        <v/>
      </c>
      <c r="AF50" s="184" t="str">
        <f>IFERROR(IF(VLOOKUP(Mon_W1[[#This Row],[Employee Name]],'Base Schedules'!$A$113:$AW$158,31,FALSE)="","",VLOOKUP(Mon_W1[[#This Row],[Employee Name]],'Base Schedules'!$A$113:$AW$158,31,FALSE)),"")</f>
        <v/>
      </c>
      <c r="AG50" s="184" t="str">
        <f>IFERROR(IF(VLOOKUP(Mon_W1[[#This Row],[Employee Name]],'Base Schedules'!$A$113:$AW$158,32,FALSE)="","",VLOOKUP(Mon_W1[[#This Row],[Employee Name]],'Base Schedules'!$A$113:$AW$158,32,FALSE)),"")</f>
        <v/>
      </c>
      <c r="AH50" s="184" t="str">
        <f>IFERROR(IF(VLOOKUP(Mon_W1[[#This Row],[Employee Name]],'Base Schedules'!$A$113:$AW$158,33,FALSE)="","",VLOOKUP(Mon_W1[[#This Row],[Employee Name]],'Base Schedules'!$A$113:$AW$158,33,FALSE)),"")</f>
        <v/>
      </c>
      <c r="AI50" s="184" t="str">
        <f>IFERROR(IF(VLOOKUP(Mon_W1[[#This Row],[Employee Name]],'Base Schedules'!$A$113:$AW$158,34,FALSE)="","",VLOOKUP(Mon_W1[[#This Row],[Employee Name]],'Base Schedules'!$A$113:$AW$158,34,FALSE)),"")</f>
        <v/>
      </c>
      <c r="AJ50" s="184" t="str">
        <f>IFERROR(IF(VLOOKUP(Mon_W1[[#This Row],[Employee Name]],'Base Schedules'!$A$113:$AW$158,35,FALSE)="","",VLOOKUP(Mon_W1[[#This Row],[Employee Name]],'Base Schedules'!$A$113:$AW$158,35,FALSE)),"")</f>
        <v/>
      </c>
      <c r="AK50" s="184" t="str">
        <f>IFERROR(IF(VLOOKUP(Mon_W1[[#This Row],[Employee Name]],'Base Schedules'!$A$113:$AW$158,36,FALSE)="","",VLOOKUP(Mon_W1[[#This Row],[Employee Name]],'Base Schedules'!$A$113:$AW$158,36,FALSE)),"")</f>
        <v/>
      </c>
      <c r="AL50" s="184" t="str">
        <f>IFERROR(IF(VLOOKUP(Mon_W1[[#This Row],[Employee Name]],'Base Schedules'!$A$113:$AW$158,37,FALSE)="","",VLOOKUP(Mon_W1[[#This Row],[Employee Name]],'Base Schedules'!$A$113:$AW$158,37,FALSE)),"")</f>
        <v/>
      </c>
      <c r="AM50" s="184" t="str">
        <f>IFERROR(IF(VLOOKUP(Mon_W1[[#This Row],[Employee Name]],'Base Schedules'!$A$113:$AW$158,38,FALSE)="","",VLOOKUP(Mon_W1[[#This Row],[Employee Name]],'Base Schedules'!$A$113:$AW$158,38,FALSE)),"")</f>
        <v/>
      </c>
      <c r="AN50" s="184" t="str">
        <f>IFERROR(IF(VLOOKUP(Mon_W1[[#This Row],[Employee Name]],'Base Schedules'!$A$113:$AW$158,39,FALSE)="","",VLOOKUP(Mon_W1[[#This Row],[Employee Name]],'Base Schedules'!$A$113:$AW$158,39,FALSE)),"")</f>
        <v/>
      </c>
      <c r="AO50" s="184" t="str">
        <f>IFERROR(IF(VLOOKUP(Mon_W1[[#This Row],[Employee Name]],'Base Schedules'!$A$113:$AW$158,40,FALSE)="","",VLOOKUP(Mon_W1[[#This Row],[Employee Name]],'Base Schedules'!$A$113:$AW$158,40,FALSE)),"")</f>
        <v/>
      </c>
      <c r="AP50" s="184" t="str">
        <f>IFERROR(IF(VLOOKUP(Mon_W1[[#This Row],[Employee Name]],'Base Schedules'!$A$113:$AW$158,41,FALSE)="","",VLOOKUP(Mon_W1[[#This Row],[Employee Name]],'Base Schedules'!$A$113:$AW$158,41,FALSE)),"")</f>
        <v/>
      </c>
      <c r="AQ50" s="184" t="str">
        <f>IFERROR(IF(VLOOKUP(Mon_W1[[#This Row],[Employee Name]],'Base Schedules'!$A$113:$AW$158,42,FALSE)="","",VLOOKUP(Mon_W1[[#This Row],[Employee Name]],'Base Schedules'!$A$113:$AW$158,42,FALSE)),"")</f>
        <v/>
      </c>
      <c r="AR50" s="184" t="str">
        <f>IFERROR(IF(VLOOKUP(Mon_W1[[#This Row],[Employee Name]],'Base Schedules'!$A$113:$AW$158,43,FALSE)="","",VLOOKUP(Mon_W1[[#This Row],[Employee Name]],'Base Schedules'!$A$113:$AW$158,43,FALSE)),"")</f>
        <v/>
      </c>
      <c r="AS50" s="184" t="str">
        <f>IFERROR(IF(VLOOKUP(Mon_W1[[#This Row],[Employee Name]],'Base Schedules'!$A$113:$AW$158,44,FALSE)="","",VLOOKUP(Mon_W1[[#This Row],[Employee Name]],'Base Schedules'!$A$113:$AW$158,44,FALSE)),"")</f>
        <v/>
      </c>
      <c r="AT50" s="184" t="str">
        <f>IFERROR(IF(VLOOKUP(Mon_W1[[#This Row],[Employee Name]],'Base Schedules'!$A$113:$AW$158,45,FALSE)="","",VLOOKUP(Mon_W1[[#This Row],[Employee Name]],'Base Schedules'!$A$113:$AW$158,45,FALSE)),"")</f>
        <v/>
      </c>
      <c r="AU50" s="184" t="str">
        <f>IFERROR(IF(VLOOKUP(Mon_W1[[#This Row],[Employee Name]],'Base Schedules'!$A$113:$AW$158,46,FALSE)="","",VLOOKUP(Mon_W1[[#This Row],[Employee Name]],'Base Schedules'!$A$113:$AW$158,46,FALSE)),"")</f>
        <v/>
      </c>
      <c r="AV50" s="184" t="str">
        <f>IFERROR(IF(VLOOKUP(Mon_W1[[#This Row],[Employee Name]],'Base Schedules'!$A$113:$AW$158,47,FALSE)="","",VLOOKUP(Mon_W1[[#This Row],[Employee Name]],'Base Schedules'!$A$113:$AW$158,47,FALSE)),"")</f>
        <v/>
      </c>
      <c r="AW50" s="184" t="str">
        <f>IFERROR(IF(VLOOKUP(Mon_W1[[#This Row],[Employee Name]],'Base Schedules'!$A$113:$AW$158,48,FALSE)="","",VLOOKUP(Mon_W1[[#This Row],[Employee Name]],'Base Schedules'!$A$113:$AW$158,48,FALSE)),"")</f>
        <v/>
      </c>
      <c r="AX50" s="184" t="str">
        <f>IFERROR(IF(VLOOKUP(Mon_W1[[#This Row],[Employee Name]],'Base Schedules'!$A$113:$AW$158,49,FALSE)="","",VLOOKUP(Mon_W1[[#This Row],[Employee Name]],'Base Schedules'!$A$113:$AW$158,49,FALSE)),"")</f>
        <v/>
      </c>
      <c r="AY50" s="164" t="str">
        <f t="shared" si="2"/>
        <v/>
      </c>
    </row>
    <row r="51" spans="1:52" s="44" customFormat="1" hidden="1" thickBot="1" x14ac:dyDescent="0.25">
      <c r="A51" s="39" t="str">
        <f>IF(B51="","",INDEX(TeamList[],MATCH($B51,TeamList[[Employee Name]:[Employee Name]],0),MATCH("Manager",TeamList[#Headers],0)))</f>
        <v/>
      </c>
      <c r="B51" s="201"/>
      <c r="C51" s="257" t="str">
        <f>_xlfn.IFNA(VLOOKUP(Mon_W1[[#This Row],[Employee Name]],'Base Schedules'!A:B,2,FALSE),"")</f>
        <v/>
      </c>
      <c r="D51" s="274" t="str">
        <f>_xlfn.IFNA(VLOOKUP(Mon_W1[[#This Row],[Employee Name]],'Base Schedules'!A:C,3,FALSE),"")</f>
        <v/>
      </c>
      <c r="E51" s="274" t="str">
        <f>_xlfn.IFNA(VLOOKUP(Mon_W1[[#This Row],[Employee Name]],'Base Schedules'!A:D,4,FALSE),"")</f>
        <v/>
      </c>
      <c r="F51" s="142" t="str">
        <f>IF(Mon_W1[[#This Row],[Employee Name]]="","",IF(Mon_W1[[#This Row],[Dept]]="Supervisor",COUNTIFS($J51:$AX51,"*HL*",$J51:$AX51,"&lt;&gt;"&amp;"pHL"),COUNTIFS($J51:$AX51,"*HL*",$J51:$AX51,"&lt;&gt;"&amp;"*pHL*",$J51:$AX51,"&lt;&gt;"&amp;"pB1 HL",$J51:$AX51,"&lt;&gt;"&amp;"pB2 HL")-SUM(COUNTIFS($J51:$AX51,"*HL B1*",$J51:$AX51,"&lt;&gt;"&amp;"pHL B1")*0.5,COUNTIFS($J51:$AX51,"*HL B2*",$J51:$AX51,"&lt;&gt;"&amp;"pHL B2")*0.5,COUNTIFS($J51:$AX51,"*B1 HL*",$J51:$AX51,"&lt;&gt;"&amp;"pB1 HL")*0.5,COUNTIFS($J51:$AX51,"*B2 HL*",$J51:$AX51,"&lt;&gt;"&amp;"pB2 HL")*0.5)))</f>
        <v/>
      </c>
      <c r="G51" s="142" t="str">
        <f t="shared" si="0"/>
        <v/>
      </c>
      <c r="H51" s="142" t="str">
        <f t="shared" si="1"/>
        <v/>
      </c>
      <c r="I51" s="142" t="str">
        <f>IF(Mon_W1[[#This Row],[Employee Name]]="","",IF(Mon_W1[[#This Row],[Dept]]="Supervisor",SUM(COUNTIFS($J51:$AX51,"RTA*",$J51:$AX51,"&lt;&gt;"&amp;"pRTA"),COUNTIFS($J51:$AX51,"*CRTA*",$J51:$AX51,"&lt;&gt;"&amp;"pCRTA")),COUNTIFS($J51:$AX51,"*RNNR*",$J51:$AX51,"&lt;&gt;"&amp;"*pRNNR*",$J51:$AX51,"&lt;&gt;"&amp;"pB1 RNNR",$J51:$AX51,"&lt;&gt;"&amp;"pB2 RNNR")-SUM(COUNTIFS($J51:$AX51,"*RNNR B1*",$J51:$AX51,"&lt;&gt;"&amp;"pRNNR B1")*0.5,COUNTIFS($J51:$AX51,"*RNNR B2*",$J51:$AX51,"&lt;&gt;"&amp;"pRNNR B2")*0.5,COUNTIFS($J51:$AX51,"*B1 RNNR*",$J51:$AX51,"&lt;&gt;"&amp;"pB1 RNNR")*0.5,COUNTIFS($J51:$AX51,"*B2 RNNR*",$J51:$AX51,"&lt;&gt;"&amp;"pB2 RNNR")*0.5)))</f>
        <v/>
      </c>
      <c r="J51" s="184" t="str">
        <f>IFERROR(IF(VLOOKUP(Mon_W1[[#This Row],[Employee Name]],'Base Schedules'!$A$113:$AW$158,9,FALSE)="","",VLOOKUP(Mon_W1[[#This Row],[Employee Name]],'Base Schedules'!$A$113:$AW$158,9,FALSE)),"")</f>
        <v/>
      </c>
      <c r="K51" s="184" t="str">
        <f>IFERROR(IF(VLOOKUP(Mon_W1[[#This Row],[Employee Name]],'Base Schedules'!$A$113:$AW$158,10,FALSE)="","",VLOOKUP(Mon_W1[[#This Row],[Employee Name]],'Base Schedules'!$A$113:$AW$158,10,FALSE)),"")</f>
        <v/>
      </c>
      <c r="L51" s="184" t="str">
        <f>IFERROR(IF(VLOOKUP(Mon_W1[[#This Row],[Employee Name]],'Base Schedules'!$A$113:$AW$158,11,FALSE)="","",VLOOKUP(Mon_W1[[#This Row],[Employee Name]],'Base Schedules'!$A$113:$AW$158,11,FALSE)),"")</f>
        <v/>
      </c>
      <c r="M51" s="184" t="str">
        <f>IFERROR(IF(VLOOKUP(Mon_W1[[#This Row],[Employee Name]],'Base Schedules'!$A$113:$AW$158,12,FALSE)="","",VLOOKUP(Mon_W1[[#This Row],[Employee Name]],'Base Schedules'!$A$113:$AW$158,12,FALSE)),"")</f>
        <v/>
      </c>
      <c r="N51" s="184" t="str">
        <f>IFERROR(IF(VLOOKUP(Mon_W1[[#This Row],[Employee Name]],'Base Schedules'!$A$113:$AW$158,13,FALSE)="","",VLOOKUP(Mon_W1[[#This Row],[Employee Name]],'Base Schedules'!$A$113:$AW$158,13,FALSE)),"")</f>
        <v/>
      </c>
      <c r="O51" s="184" t="str">
        <f>IFERROR(IF(VLOOKUP(Mon_W1[[#This Row],[Employee Name]],'Base Schedules'!$A$113:$AW$158,14,FALSE)="","",VLOOKUP(Mon_W1[[#This Row],[Employee Name]],'Base Schedules'!$A$113:$AW$158,14,FALSE)),"")</f>
        <v/>
      </c>
      <c r="P51" s="184" t="str">
        <f>IFERROR(IF(VLOOKUP(Mon_W1[[#This Row],[Employee Name]],'Base Schedules'!$A$113:$AW$158,15,FALSE)="","",VLOOKUP(Mon_W1[[#This Row],[Employee Name]],'Base Schedules'!$A$113:$AW$158,15,FALSE)),"")</f>
        <v/>
      </c>
      <c r="Q51" s="184" t="str">
        <f>IFERROR(IF(VLOOKUP(Mon_W1[[#This Row],[Employee Name]],'Base Schedules'!$A$113:$AW$158,16,FALSE)="","",VLOOKUP(Mon_W1[[#This Row],[Employee Name]],'Base Schedules'!$A$113:$AW$158,16,FALSE)),"")</f>
        <v/>
      </c>
      <c r="R51" s="184" t="str">
        <f>IFERROR(IF(VLOOKUP(Mon_W1[[#This Row],[Employee Name]],'Base Schedules'!$A$113:$AW$158,17,FALSE)="","",VLOOKUP(Mon_W1[[#This Row],[Employee Name]],'Base Schedules'!$A$113:$AW$158,17,FALSE)),"")</f>
        <v/>
      </c>
      <c r="S51" s="184" t="str">
        <f>IFERROR(IF(VLOOKUP(Mon_W1[[#This Row],[Employee Name]],'Base Schedules'!$A$113:$AW$158,18,FALSE)="","",VLOOKUP(Mon_W1[[#This Row],[Employee Name]],'Base Schedules'!$A$113:$AW$158,18,FALSE)),"")</f>
        <v/>
      </c>
      <c r="T51" s="184" t="str">
        <f>IFERROR(IF(VLOOKUP(Mon_W1[[#This Row],[Employee Name]],'Base Schedules'!$A$113:$AW$158,19,FALSE)="","",VLOOKUP(Mon_W1[[#This Row],[Employee Name]],'Base Schedules'!$A$113:$AW$158,19,FALSE)),"")</f>
        <v/>
      </c>
      <c r="U51" s="184" t="str">
        <f>IFERROR(IF(VLOOKUP(Mon_W1[[#This Row],[Employee Name]],'Base Schedules'!$A$113:$AW$158,20,FALSE)="","",VLOOKUP(Mon_W1[[#This Row],[Employee Name]],'Base Schedules'!$A$113:$AW$158,20,FALSE)),"")</f>
        <v/>
      </c>
      <c r="V51" s="184" t="str">
        <f>IFERROR(IF(VLOOKUP(Mon_W1[[#This Row],[Employee Name]],'Base Schedules'!$A$113:$AW$158,21,FALSE)="","",VLOOKUP(Mon_W1[[#This Row],[Employee Name]],'Base Schedules'!$A$113:$AW$158,21,FALSE)),"")</f>
        <v/>
      </c>
      <c r="W51" s="184" t="str">
        <f>IFERROR(IF(VLOOKUP(Mon_W1[[#This Row],[Employee Name]],'Base Schedules'!$A$113:$AW$158,22,FALSE)="","",VLOOKUP(Mon_W1[[#This Row],[Employee Name]],'Base Schedules'!$A$113:$AW$158,22,FALSE)),"")</f>
        <v/>
      </c>
      <c r="X51" s="184" t="str">
        <f>IFERROR(IF(VLOOKUP(Mon_W1[[#This Row],[Employee Name]],'Base Schedules'!$A$113:$AW$158,23,FALSE)="","",VLOOKUP(Mon_W1[[#This Row],[Employee Name]],'Base Schedules'!$A$113:$AW$158,23,FALSE)),"")</f>
        <v/>
      </c>
      <c r="Y51" s="184" t="str">
        <f>IFERROR(IF(VLOOKUP(Mon_W1[[#This Row],[Employee Name]],'Base Schedules'!$A$113:$AW$158,24,FALSE)="","",VLOOKUP(Mon_W1[[#This Row],[Employee Name]],'Base Schedules'!$A$113:$AW$158,24,FALSE)),"")</f>
        <v/>
      </c>
      <c r="Z51" s="184" t="str">
        <f>IFERROR(IF(VLOOKUP(Mon_W1[[#This Row],[Employee Name]],'Base Schedules'!$A$113:$AW$158,25,FALSE)="","",VLOOKUP(Mon_W1[[#This Row],[Employee Name]],'Base Schedules'!$A$113:$AW$158,25,FALSE)),"")</f>
        <v/>
      </c>
      <c r="AA51" s="184" t="str">
        <f>IFERROR(IF(VLOOKUP(Mon_W1[[#This Row],[Employee Name]],'Base Schedules'!$A$113:$AW$158,26,FALSE)="","",VLOOKUP(Mon_W1[[#This Row],[Employee Name]],'Base Schedules'!$A$113:$AW$158,26,FALSE)),"")</f>
        <v/>
      </c>
      <c r="AB51" s="184" t="str">
        <f>IFERROR(IF(VLOOKUP(Mon_W1[[#This Row],[Employee Name]],'Base Schedules'!$A$113:$AW$158,27,FALSE)="","",VLOOKUP(Mon_W1[[#This Row],[Employee Name]],'Base Schedules'!$A$113:$AW$158,27,FALSE)),"")</f>
        <v/>
      </c>
      <c r="AC51" s="184" t="str">
        <f>IFERROR(IF(VLOOKUP(Mon_W1[[#This Row],[Employee Name]],'Base Schedules'!$A$113:$AW$158,28,FALSE)="","",VLOOKUP(Mon_W1[[#This Row],[Employee Name]],'Base Schedules'!$A$113:$AW$158,28,FALSE)),"")</f>
        <v/>
      </c>
      <c r="AD51" s="184" t="str">
        <f>IFERROR(IF(VLOOKUP(Mon_W1[[#This Row],[Employee Name]],'Base Schedules'!$A$113:$AW$158,29,FALSE)="","",VLOOKUP(Mon_W1[[#This Row],[Employee Name]],'Base Schedules'!$A$113:$AW$158,29,FALSE)),"")</f>
        <v/>
      </c>
      <c r="AE51" s="184" t="str">
        <f>IFERROR(IF(VLOOKUP(Mon_W1[[#This Row],[Employee Name]],'Base Schedules'!$A$113:$AW$158,30,FALSE)="","",VLOOKUP(Mon_W1[[#This Row],[Employee Name]],'Base Schedules'!$A$113:$AW$158,30,FALSE)),"")</f>
        <v/>
      </c>
      <c r="AF51" s="184" t="str">
        <f>IFERROR(IF(VLOOKUP(Mon_W1[[#This Row],[Employee Name]],'Base Schedules'!$A$113:$AW$158,31,FALSE)="","",VLOOKUP(Mon_W1[[#This Row],[Employee Name]],'Base Schedules'!$A$113:$AW$158,31,FALSE)),"")</f>
        <v/>
      </c>
      <c r="AG51" s="184" t="str">
        <f>IFERROR(IF(VLOOKUP(Mon_W1[[#This Row],[Employee Name]],'Base Schedules'!$A$113:$AW$158,32,FALSE)="","",VLOOKUP(Mon_W1[[#This Row],[Employee Name]],'Base Schedules'!$A$113:$AW$158,32,FALSE)),"")</f>
        <v/>
      </c>
      <c r="AH51" s="184" t="str">
        <f>IFERROR(IF(VLOOKUP(Mon_W1[[#This Row],[Employee Name]],'Base Schedules'!$A$113:$AW$158,33,FALSE)="","",VLOOKUP(Mon_W1[[#This Row],[Employee Name]],'Base Schedules'!$A$113:$AW$158,33,FALSE)),"")</f>
        <v/>
      </c>
      <c r="AI51" s="184" t="str">
        <f>IFERROR(IF(VLOOKUP(Mon_W1[[#This Row],[Employee Name]],'Base Schedules'!$A$113:$AW$158,34,FALSE)="","",VLOOKUP(Mon_W1[[#This Row],[Employee Name]],'Base Schedules'!$A$113:$AW$158,34,FALSE)),"")</f>
        <v/>
      </c>
      <c r="AJ51" s="184" t="str">
        <f>IFERROR(IF(VLOOKUP(Mon_W1[[#This Row],[Employee Name]],'Base Schedules'!$A$113:$AW$158,35,FALSE)="","",VLOOKUP(Mon_W1[[#This Row],[Employee Name]],'Base Schedules'!$A$113:$AW$158,35,FALSE)),"")</f>
        <v/>
      </c>
      <c r="AK51" s="184" t="str">
        <f>IFERROR(IF(VLOOKUP(Mon_W1[[#This Row],[Employee Name]],'Base Schedules'!$A$113:$AW$158,36,FALSE)="","",VLOOKUP(Mon_W1[[#This Row],[Employee Name]],'Base Schedules'!$A$113:$AW$158,36,FALSE)),"")</f>
        <v/>
      </c>
      <c r="AL51" s="184" t="str">
        <f>IFERROR(IF(VLOOKUP(Mon_W1[[#This Row],[Employee Name]],'Base Schedules'!$A$113:$AW$158,37,FALSE)="","",VLOOKUP(Mon_W1[[#This Row],[Employee Name]],'Base Schedules'!$A$113:$AW$158,37,FALSE)),"")</f>
        <v/>
      </c>
      <c r="AM51" s="184" t="str">
        <f>IFERROR(IF(VLOOKUP(Mon_W1[[#This Row],[Employee Name]],'Base Schedules'!$A$113:$AW$158,38,FALSE)="","",VLOOKUP(Mon_W1[[#This Row],[Employee Name]],'Base Schedules'!$A$113:$AW$158,38,FALSE)),"")</f>
        <v/>
      </c>
      <c r="AN51" s="184" t="str">
        <f>IFERROR(IF(VLOOKUP(Mon_W1[[#This Row],[Employee Name]],'Base Schedules'!$A$113:$AW$158,39,FALSE)="","",VLOOKUP(Mon_W1[[#This Row],[Employee Name]],'Base Schedules'!$A$113:$AW$158,39,FALSE)),"")</f>
        <v/>
      </c>
      <c r="AO51" s="184" t="str">
        <f>IFERROR(IF(VLOOKUP(Mon_W1[[#This Row],[Employee Name]],'Base Schedules'!$A$113:$AW$158,40,FALSE)="","",VLOOKUP(Mon_W1[[#This Row],[Employee Name]],'Base Schedules'!$A$113:$AW$158,40,FALSE)),"")</f>
        <v/>
      </c>
      <c r="AP51" s="184" t="str">
        <f>IFERROR(IF(VLOOKUP(Mon_W1[[#This Row],[Employee Name]],'Base Schedules'!$A$113:$AW$158,41,FALSE)="","",VLOOKUP(Mon_W1[[#This Row],[Employee Name]],'Base Schedules'!$A$113:$AW$158,41,FALSE)),"")</f>
        <v/>
      </c>
      <c r="AQ51" s="184" t="str">
        <f>IFERROR(IF(VLOOKUP(Mon_W1[[#This Row],[Employee Name]],'Base Schedules'!$A$113:$AW$158,42,FALSE)="","",VLOOKUP(Mon_W1[[#This Row],[Employee Name]],'Base Schedules'!$A$113:$AW$158,42,FALSE)),"")</f>
        <v/>
      </c>
      <c r="AR51" s="184" t="str">
        <f>IFERROR(IF(VLOOKUP(Mon_W1[[#This Row],[Employee Name]],'Base Schedules'!$A$113:$AW$158,43,FALSE)="","",VLOOKUP(Mon_W1[[#This Row],[Employee Name]],'Base Schedules'!$A$113:$AW$158,43,FALSE)),"")</f>
        <v/>
      </c>
      <c r="AS51" s="184" t="str">
        <f>IFERROR(IF(VLOOKUP(Mon_W1[[#This Row],[Employee Name]],'Base Schedules'!$A$113:$AW$158,44,FALSE)="","",VLOOKUP(Mon_W1[[#This Row],[Employee Name]],'Base Schedules'!$A$113:$AW$158,44,FALSE)),"")</f>
        <v/>
      </c>
      <c r="AT51" s="184" t="str">
        <f>IFERROR(IF(VLOOKUP(Mon_W1[[#This Row],[Employee Name]],'Base Schedules'!$A$113:$AW$158,45,FALSE)="","",VLOOKUP(Mon_W1[[#This Row],[Employee Name]],'Base Schedules'!$A$113:$AW$158,45,FALSE)),"")</f>
        <v/>
      </c>
      <c r="AU51" s="184" t="str">
        <f>IFERROR(IF(VLOOKUP(Mon_W1[[#This Row],[Employee Name]],'Base Schedules'!$A$113:$AW$158,46,FALSE)="","",VLOOKUP(Mon_W1[[#This Row],[Employee Name]],'Base Schedules'!$A$113:$AW$158,46,FALSE)),"")</f>
        <v/>
      </c>
      <c r="AV51" s="184" t="str">
        <f>IFERROR(IF(VLOOKUP(Mon_W1[[#This Row],[Employee Name]],'Base Schedules'!$A$113:$AW$158,47,FALSE)="","",VLOOKUP(Mon_W1[[#This Row],[Employee Name]],'Base Schedules'!$A$113:$AW$158,47,FALSE)),"")</f>
        <v/>
      </c>
      <c r="AW51" s="184" t="str">
        <f>IFERROR(IF(VLOOKUP(Mon_W1[[#This Row],[Employee Name]],'Base Schedules'!$A$113:$AW$158,48,FALSE)="","",VLOOKUP(Mon_W1[[#This Row],[Employee Name]],'Base Schedules'!$A$113:$AW$158,48,FALSE)),"")</f>
        <v/>
      </c>
      <c r="AX51" s="184" t="str">
        <f>IFERROR(IF(VLOOKUP(Mon_W1[[#This Row],[Employee Name]],'Base Schedules'!$A$113:$AW$158,49,FALSE)="","",VLOOKUP(Mon_W1[[#This Row],[Employee Name]],'Base Schedules'!$A$113:$AW$158,49,FALSE)),"")</f>
        <v/>
      </c>
      <c r="AY51" s="167" t="str">
        <f t="shared" si="2"/>
        <v/>
      </c>
    </row>
    <row r="52" spans="1:52" s="44" customFormat="1" hidden="1" thickBot="1" x14ac:dyDescent="0.25">
      <c r="A52" s="39" t="str">
        <f>IF(B52="","",INDEX(TeamList[],MATCH($B52,TeamList[[Employee Name]:[Employee Name]],0),MATCH("Manager",TeamList[#Headers],0)))</f>
        <v/>
      </c>
      <c r="B52" s="201"/>
      <c r="C52" s="257" t="str">
        <f>_xlfn.IFNA(VLOOKUP(Mon_W1[[#This Row],[Employee Name]],'Base Schedules'!A:B,2,FALSE),"")</f>
        <v/>
      </c>
      <c r="D52" s="274" t="str">
        <f>_xlfn.IFNA(VLOOKUP(Mon_W1[[#This Row],[Employee Name]],'Base Schedules'!A:C,3,FALSE),"")</f>
        <v/>
      </c>
      <c r="E52" s="274" t="str">
        <f>_xlfn.IFNA(VLOOKUP(Mon_W1[[#This Row],[Employee Name]],'Base Schedules'!A:D,4,FALSE),"")</f>
        <v/>
      </c>
      <c r="F52" s="142" t="str">
        <f>IF(Mon_W1[[#This Row],[Employee Name]]="","",IF(Mon_W1[[#This Row],[Dept]]="Supervisor",COUNTIFS($J52:$AX52,"*HL*",$J52:$AX52,"&lt;&gt;"&amp;"pHL"),COUNTIFS($J52:$AX52,"*HL*",$J52:$AX52,"&lt;&gt;"&amp;"*pHL*",$J52:$AX52,"&lt;&gt;"&amp;"pB1 HL",$J52:$AX52,"&lt;&gt;"&amp;"pB2 HL")-SUM(COUNTIFS($J52:$AX52,"*HL B1*",$J52:$AX52,"&lt;&gt;"&amp;"pHL B1")*0.5,COUNTIFS($J52:$AX52,"*HL B2*",$J52:$AX52,"&lt;&gt;"&amp;"pHL B2")*0.5,COUNTIFS($J52:$AX52,"*B1 HL*",$J52:$AX52,"&lt;&gt;"&amp;"pB1 HL")*0.5,COUNTIFS($J52:$AX52,"*B2 HL*",$J52:$AX52,"&lt;&gt;"&amp;"pB2 HL")*0.5)))</f>
        <v/>
      </c>
      <c r="G52" s="142" t="str">
        <f t="shared" si="0"/>
        <v/>
      </c>
      <c r="H52" s="142" t="str">
        <f t="shared" si="1"/>
        <v/>
      </c>
      <c r="I52" s="142" t="str">
        <f>IF(Mon_W1[[#This Row],[Employee Name]]="","",IF(Mon_W1[[#This Row],[Dept]]="Supervisor",SUM(COUNTIFS($J52:$AX52,"RTA*",$J52:$AX52,"&lt;&gt;"&amp;"pRTA"),COUNTIFS($J52:$AX52,"*CRTA*",$J52:$AX52,"&lt;&gt;"&amp;"pCRTA")),COUNTIFS($J52:$AX52,"*RNNR*",$J52:$AX52,"&lt;&gt;"&amp;"*pRNNR*",$J52:$AX52,"&lt;&gt;"&amp;"pB1 RNNR",$J52:$AX52,"&lt;&gt;"&amp;"pB2 RNNR")-SUM(COUNTIFS($J52:$AX52,"*RNNR B1*",$J52:$AX52,"&lt;&gt;"&amp;"pRNNR B1")*0.5,COUNTIFS($J52:$AX52,"*RNNR B2*",$J52:$AX52,"&lt;&gt;"&amp;"pRNNR B2")*0.5,COUNTIFS($J52:$AX52,"*B1 RNNR*",$J52:$AX52,"&lt;&gt;"&amp;"pB1 RNNR")*0.5,COUNTIFS($J52:$AX52,"*B2 RNNR*",$J52:$AX52,"&lt;&gt;"&amp;"pB2 RNNR")*0.5)))</f>
        <v/>
      </c>
      <c r="J52" s="184" t="str">
        <f>IFERROR(IF(VLOOKUP(Mon_W1[[#This Row],[Employee Name]],'Base Schedules'!$A$113:$AW$158,9,FALSE)="","",VLOOKUP(Mon_W1[[#This Row],[Employee Name]],'Base Schedules'!$A$113:$AW$158,9,FALSE)),"")</f>
        <v/>
      </c>
      <c r="K52" s="184" t="str">
        <f>IFERROR(IF(VLOOKUP(Mon_W1[[#This Row],[Employee Name]],'Base Schedules'!$A$113:$AW$158,10,FALSE)="","",VLOOKUP(Mon_W1[[#This Row],[Employee Name]],'Base Schedules'!$A$113:$AW$158,10,FALSE)),"")</f>
        <v/>
      </c>
      <c r="L52" s="184" t="str">
        <f>IFERROR(IF(VLOOKUP(Mon_W1[[#This Row],[Employee Name]],'Base Schedules'!$A$113:$AW$158,11,FALSE)="","",VLOOKUP(Mon_W1[[#This Row],[Employee Name]],'Base Schedules'!$A$113:$AW$158,11,FALSE)),"")</f>
        <v/>
      </c>
      <c r="M52" s="184" t="str">
        <f>IFERROR(IF(VLOOKUP(Mon_W1[[#This Row],[Employee Name]],'Base Schedules'!$A$113:$AW$158,12,FALSE)="","",VLOOKUP(Mon_W1[[#This Row],[Employee Name]],'Base Schedules'!$A$113:$AW$158,12,FALSE)),"")</f>
        <v/>
      </c>
      <c r="N52" s="184" t="str">
        <f>IFERROR(IF(VLOOKUP(Mon_W1[[#This Row],[Employee Name]],'Base Schedules'!$A$113:$AW$158,13,FALSE)="","",VLOOKUP(Mon_W1[[#This Row],[Employee Name]],'Base Schedules'!$A$113:$AW$158,13,FALSE)),"")</f>
        <v/>
      </c>
      <c r="O52" s="184" t="str">
        <f>IFERROR(IF(VLOOKUP(Mon_W1[[#This Row],[Employee Name]],'Base Schedules'!$A$113:$AW$158,14,FALSE)="","",VLOOKUP(Mon_W1[[#This Row],[Employee Name]],'Base Schedules'!$A$113:$AW$158,14,FALSE)),"")</f>
        <v/>
      </c>
      <c r="P52" s="184" t="str">
        <f>IFERROR(IF(VLOOKUP(Mon_W1[[#This Row],[Employee Name]],'Base Schedules'!$A$113:$AW$158,15,FALSE)="","",VLOOKUP(Mon_W1[[#This Row],[Employee Name]],'Base Schedules'!$A$113:$AW$158,15,FALSE)),"")</f>
        <v/>
      </c>
      <c r="Q52" s="184" t="str">
        <f>IFERROR(IF(VLOOKUP(Mon_W1[[#This Row],[Employee Name]],'Base Schedules'!$A$113:$AW$158,16,FALSE)="","",VLOOKUP(Mon_W1[[#This Row],[Employee Name]],'Base Schedules'!$A$113:$AW$158,16,FALSE)),"")</f>
        <v/>
      </c>
      <c r="R52" s="184" t="str">
        <f>IFERROR(IF(VLOOKUP(Mon_W1[[#This Row],[Employee Name]],'Base Schedules'!$A$113:$AW$158,17,FALSE)="","",VLOOKUP(Mon_W1[[#This Row],[Employee Name]],'Base Schedules'!$A$113:$AW$158,17,FALSE)),"")</f>
        <v/>
      </c>
      <c r="S52" s="184" t="str">
        <f>IFERROR(IF(VLOOKUP(Mon_W1[[#This Row],[Employee Name]],'Base Schedules'!$A$113:$AW$158,18,FALSE)="","",VLOOKUP(Mon_W1[[#This Row],[Employee Name]],'Base Schedules'!$A$113:$AW$158,18,FALSE)),"")</f>
        <v/>
      </c>
      <c r="T52" s="184" t="str">
        <f>IFERROR(IF(VLOOKUP(Mon_W1[[#This Row],[Employee Name]],'Base Schedules'!$A$113:$AW$158,19,FALSE)="","",VLOOKUP(Mon_W1[[#This Row],[Employee Name]],'Base Schedules'!$A$113:$AW$158,19,FALSE)),"")</f>
        <v/>
      </c>
      <c r="U52" s="184" t="str">
        <f>IFERROR(IF(VLOOKUP(Mon_W1[[#This Row],[Employee Name]],'Base Schedules'!$A$113:$AW$158,20,FALSE)="","",VLOOKUP(Mon_W1[[#This Row],[Employee Name]],'Base Schedules'!$A$113:$AW$158,20,FALSE)),"")</f>
        <v/>
      </c>
      <c r="V52" s="184" t="str">
        <f>IFERROR(IF(VLOOKUP(Mon_W1[[#This Row],[Employee Name]],'Base Schedules'!$A$113:$AW$158,21,FALSE)="","",VLOOKUP(Mon_W1[[#This Row],[Employee Name]],'Base Schedules'!$A$113:$AW$158,21,FALSE)),"")</f>
        <v/>
      </c>
      <c r="W52" s="184" t="str">
        <f>IFERROR(IF(VLOOKUP(Mon_W1[[#This Row],[Employee Name]],'Base Schedules'!$A$113:$AW$158,22,FALSE)="","",VLOOKUP(Mon_W1[[#This Row],[Employee Name]],'Base Schedules'!$A$113:$AW$158,22,FALSE)),"")</f>
        <v/>
      </c>
      <c r="X52" s="184" t="str">
        <f>IFERROR(IF(VLOOKUP(Mon_W1[[#This Row],[Employee Name]],'Base Schedules'!$A$113:$AW$158,23,FALSE)="","",VLOOKUP(Mon_W1[[#This Row],[Employee Name]],'Base Schedules'!$A$113:$AW$158,23,FALSE)),"")</f>
        <v/>
      </c>
      <c r="Y52" s="184" t="str">
        <f>IFERROR(IF(VLOOKUP(Mon_W1[[#This Row],[Employee Name]],'Base Schedules'!$A$113:$AW$158,24,FALSE)="","",VLOOKUP(Mon_W1[[#This Row],[Employee Name]],'Base Schedules'!$A$113:$AW$158,24,FALSE)),"")</f>
        <v/>
      </c>
      <c r="Z52" s="184" t="str">
        <f>IFERROR(IF(VLOOKUP(Mon_W1[[#This Row],[Employee Name]],'Base Schedules'!$A$113:$AW$158,25,FALSE)="","",VLOOKUP(Mon_W1[[#This Row],[Employee Name]],'Base Schedules'!$A$113:$AW$158,25,FALSE)),"")</f>
        <v/>
      </c>
      <c r="AA52" s="184" t="str">
        <f>IFERROR(IF(VLOOKUP(Mon_W1[[#This Row],[Employee Name]],'Base Schedules'!$A$113:$AW$158,26,FALSE)="","",VLOOKUP(Mon_W1[[#This Row],[Employee Name]],'Base Schedules'!$A$113:$AW$158,26,FALSE)),"")</f>
        <v/>
      </c>
      <c r="AB52" s="184" t="str">
        <f>IFERROR(IF(VLOOKUP(Mon_W1[[#This Row],[Employee Name]],'Base Schedules'!$A$113:$AW$158,27,FALSE)="","",VLOOKUP(Mon_W1[[#This Row],[Employee Name]],'Base Schedules'!$A$113:$AW$158,27,FALSE)),"")</f>
        <v/>
      </c>
      <c r="AC52" s="184" t="str">
        <f>IFERROR(IF(VLOOKUP(Mon_W1[[#This Row],[Employee Name]],'Base Schedules'!$A$113:$AW$158,28,FALSE)="","",VLOOKUP(Mon_W1[[#This Row],[Employee Name]],'Base Schedules'!$A$113:$AW$158,28,FALSE)),"")</f>
        <v/>
      </c>
      <c r="AD52" s="184" t="str">
        <f>IFERROR(IF(VLOOKUP(Mon_W1[[#This Row],[Employee Name]],'Base Schedules'!$A$113:$AW$158,29,FALSE)="","",VLOOKUP(Mon_W1[[#This Row],[Employee Name]],'Base Schedules'!$A$113:$AW$158,29,FALSE)),"")</f>
        <v/>
      </c>
      <c r="AE52" s="184" t="str">
        <f>IFERROR(IF(VLOOKUP(Mon_W1[[#This Row],[Employee Name]],'Base Schedules'!$A$113:$AW$158,30,FALSE)="","",VLOOKUP(Mon_W1[[#This Row],[Employee Name]],'Base Schedules'!$A$113:$AW$158,30,FALSE)),"")</f>
        <v/>
      </c>
      <c r="AF52" s="184" t="str">
        <f>IFERROR(IF(VLOOKUP(Mon_W1[[#This Row],[Employee Name]],'Base Schedules'!$A$113:$AW$158,31,FALSE)="","",VLOOKUP(Mon_W1[[#This Row],[Employee Name]],'Base Schedules'!$A$113:$AW$158,31,FALSE)),"")</f>
        <v/>
      </c>
      <c r="AG52" s="184" t="str">
        <f>IFERROR(IF(VLOOKUP(Mon_W1[[#This Row],[Employee Name]],'Base Schedules'!$A$113:$AW$158,32,FALSE)="","",VLOOKUP(Mon_W1[[#This Row],[Employee Name]],'Base Schedules'!$A$113:$AW$158,32,FALSE)),"")</f>
        <v/>
      </c>
      <c r="AH52" s="184" t="str">
        <f>IFERROR(IF(VLOOKUP(Mon_W1[[#This Row],[Employee Name]],'Base Schedules'!$A$113:$AW$158,33,FALSE)="","",VLOOKUP(Mon_W1[[#This Row],[Employee Name]],'Base Schedules'!$A$113:$AW$158,33,FALSE)),"")</f>
        <v/>
      </c>
      <c r="AI52" s="184" t="str">
        <f>IFERROR(IF(VLOOKUP(Mon_W1[[#This Row],[Employee Name]],'Base Schedules'!$A$113:$AW$158,34,FALSE)="","",VLOOKUP(Mon_W1[[#This Row],[Employee Name]],'Base Schedules'!$A$113:$AW$158,34,FALSE)),"")</f>
        <v/>
      </c>
      <c r="AJ52" s="184" t="str">
        <f>IFERROR(IF(VLOOKUP(Mon_W1[[#This Row],[Employee Name]],'Base Schedules'!$A$113:$AW$158,35,FALSE)="","",VLOOKUP(Mon_W1[[#This Row],[Employee Name]],'Base Schedules'!$A$113:$AW$158,35,FALSE)),"")</f>
        <v/>
      </c>
      <c r="AK52" s="184" t="str">
        <f>IFERROR(IF(VLOOKUP(Mon_W1[[#This Row],[Employee Name]],'Base Schedules'!$A$113:$AW$158,36,FALSE)="","",VLOOKUP(Mon_W1[[#This Row],[Employee Name]],'Base Schedules'!$A$113:$AW$158,36,FALSE)),"")</f>
        <v/>
      </c>
      <c r="AL52" s="184" t="str">
        <f>IFERROR(IF(VLOOKUP(Mon_W1[[#This Row],[Employee Name]],'Base Schedules'!$A$113:$AW$158,37,FALSE)="","",VLOOKUP(Mon_W1[[#This Row],[Employee Name]],'Base Schedules'!$A$113:$AW$158,37,FALSE)),"")</f>
        <v/>
      </c>
      <c r="AM52" s="184" t="str">
        <f>IFERROR(IF(VLOOKUP(Mon_W1[[#This Row],[Employee Name]],'Base Schedules'!$A$113:$AW$158,38,FALSE)="","",VLOOKUP(Mon_W1[[#This Row],[Employee Name]],'Base Schedules'!$A$113:$AW$158,38,FALSE)),"")</f>
        <v/>
      </c>
      <c r="AN52" s="184" t="str">
        <f>IFERROR(IF(VLOOKUP(Mon_W1[[#This Row],[Employee Name]],'Base Schedules'!$A$113:$AW$158,39,FALSE)="","",VLOOKUP(Mon_W1[[#This Row],[Employee Name]],'Base Schedules'!$A$113:$AW$158,39,FALSE)),"")</f>
        <v/>
      </c>
      <c r="AO52" s="184" t="str">
        <f>IFERROR(IF(VLOOKUP(Mon_W1[[#This Row],[Employee Name]],'Base Schedules'!$A$113:$AW$158,40,FALSE)="","",VLOOKUP(Mon_W1[[#This Row],[Employee Name]],'Base Schedules'!$A$113:$AW$158,40,FALSE)),"")</f>
        <v/>
      </c>
      <c r="AP52" s="184" t="str">
        <f>IFERROR(IF(VLOOKUP(Mon_W1[[#This Row],[Employee Name]],'Base Schedules'!$A$113:$AW$158,41,FALSE)="","",VLOOKUP(Mon_W1[[#This Row],[Employee Name]],'Base Schedules'!$A$113:$AW$158,41,FALSE)),"")</f>
        <v/>
      </c>
      <c r="AQ52" s="184" t="str">
        <f>IFERROR(IF(VLOOKUP(Mon_W1[[#This Row],[Employee Name]],'Base Schedules'!$A$113:$AW$158,42,FALSE)="","",VLOOKUP(Mon_W1[[#This Row],[Employee Name]],'Base Schedules'!$A$113:$AW$158,42,FALSE)),"")</f>
        <v/>
      </c>
      <c r="AR52" s="184" t="str">
        <f>IFERROR(IF(VLOOKUP(Mon_W1[[#This Row],[Employee Name]],'Base Schedules'!$A$113:$AW$158,43,FALSE)="","",VLOOKUP(Mon_W1[[#This Row],[Employee Name]],'Base Schedules'!$A$113:$AW$158,43,FALSE)),"")</f>
        <v/>
      </c>
      <c r="AS52" s="184" t="str">
        <f>IFERROR(IF(VLOOKUP(Mon_W1[[#This Row],[Employee Name]],'Base Schedules'!$A$113:$AW$158,44,FALSE)="","",VLOOKUP(Mon_W1[[#This Row],[Employee Name]],'Base Schedules'!$A$113:$AW$158,44,FALSE)),"")</f>
        <v/>
      </c>
      <c r="AT52" s="184" t="str">
        <f>IFERROR(IF(VLOOKUP(Mon_W1[[#This Row],[Employee Name]],'Base Schedules'!$A$113:$AW$158,45,FALSE)="","",VLOOKUP(Mon_W1[[#This Row],[Employee Name]],'Base Schedules'!$A$113:$AW$158,45,FALSE)),"")</f>
        <v/>
      </c>
      <c r="AU52" s="184" t="str">
        <f>IFERROR(IF(VLOOKUP(Mon_W1[[#This Row],[Employee Name]],'Base Schedules'!$A$113:$AW$158,46,FALSE)="","",VLOOKUP(Mon_W1[[#This Row],[Employee Name]],'Base Schedules'!$A$113:$AW$158,46,FALSE)),"")</f>
        <v/>
      </c>
      <c r="AV52" s="184" t="str">
        <f>IFERROR(IF(VLOOKUP(Mon_W1[[#This Row],[Employee Name]],'Base Schedules'!$A$113:$AW$158,47,FALSE)="","",VLOOKUP(Mon_W1[[#This Row],[Employee Name]],'Base Schedules'!$A$113:$AW$158,47,FALSE)),"")</f>
        <v/>
      </c>
      <c r="AW52" s="184" t="str">
        <f>IFERROR(IF(VLOOKUP(Mon_W1[[#This Row],[Employee Name]],'Base Schedules'!$A$113:$AW$158,48,FALSE)="","",VLOOKUP(Mon_W1[[#This Row],[Employee Name]],'Base Schedules'!$A$113:$AW$158,48,FALSE)),"")</f>
        <v/>
      </c>
      <c r="AX52" s="184" t="str">
        <f>IFERROR(IF(VLOOKUP(Mon_W1[[#This Row],[Employee Name]],'Base Schedules'!$A$113:$AW$158,49,FALSE)="","",VLOOKUP(Mon_W1[[#This Row],[Employee Name]],'Base Schedules'!$A$113:$AW$158,49,FALSE)),"")</f>
        <v/>
      </c>
      <c r="AY52" s="164" t="str">
        <f t="shared" si="2"/>
        <v/>
      </c>
    </row>
    <row r="53" spans="1:52" s="44" customFormat="1" hidden="1" thickBot="1" x14ac:dyDescent="0.25">
      <c r="A53" s="39" t="str">
        <f>IF(B53="","",INDEX(TeamList[],MATCH($B53,TeamList[[Employee Name]:[Employee Name]],0),MATCH("Manager",TeamList[#Headers],0)))</f>
        <v/>
      </c>
      <c r="B53" s="201"/>
      <c r="C53" s="257" t="str">
        <f>_xlfn.IFNA(VLOOKUP(Mon_W1[[#This Row],[Employee Name]],'Base Schedules'!A:B,2,FALSE),"")</f>
        <v/>
      </c>
      <c r="D53" s="274" t="str">
        <f>_xlfn.IFNA(VLOOKUP(Mon_W1[[#This Row],[Employee Name]],'Base Schedules'!A:C,3,FALSE),"")</f>
        <v/>
      </c>
      <c r="E53" s="274" t="str">
        <f>_xlfn.IFNA(VLOOKUP(Mon_W1[[#This Row],[Employee Name]],'Base Schedules'!A:D,4,FALSE),"")</f>
        <v/>
      </c>
      <c r="F53" s="142" t="str">
        <f>IF(Mon_W1[[#This Row],[Employee Name]]="","",IF(Mon_W1[[#This Row],[Dept]]="Supervisor",COUNTIFS($J53:$AX53,"*HL*",$J53:$AX53,"&lt;&gt;"&amp;"pHL"),COUNTIFS($J53:$AX53,"*HL*",$J53:$AX53,"&lt;&gt;"&amp;"*pHL*",$J53:$AX53,"&lt;&gt;"&amp;"pB1 HL",$J53:$AX53,"&lt;&gt;"&amp;"pB2 HL")-SUM(COUNTIFS($J53:$AX53,"*HL B1*",$J53:$AX53,"&lt;&gt;"&amp;"pHL B1")*0.5,COUNTIFS($J53:$AX53,"*HL B2*",$J53:$AX53,"&lt;&gt;"&amp;"pHL B2")*0.5,COUNTIFS($J53:$AX53,"*B1 HL*",$J53:$AX53,"&lt;&gt;"&amp;"pB1 HL")*0.5,COUNTIFS($J53:$AX53,"*B2 HL*",$J53:$AX53,"&lt;&gt;"&amp;"pB2 HL")*0.5)))</f>
        <v/>
      </c>
      <c r="G53" s="142" t="str">
        <f t="shared" si="0"/>
        <v/>
      </c>
      <c r="H53" s="142" t="str">
        <f t="shared" si="1"/>
        <v/>
      </c>
      <c r="I53" s="142" t="str">
        <f>IF(Mon_W1[[#This Row],[Employee Name]]="","",IF(Mon_W1[[#This Row],[Dept]]="Supervisor",SUM(COUNTIFS($J53:$AX53,"RTA*",$J53:$AX53,"&lt;&gt;"&amp;"pRTA"),COUNTIFS($J53:$AX53,"*CRTA*",$J53:$AX53,"&lt;&gt;"&amp;"pCRTA")),COUNTIFS($J53:$AX53,"*RNNR*",$J53:$AX53,"&lt;&gt;"&amp;"*pRNNR*",$J53:$AX53,"&lt;&gt;"&amp;"pB1 RNNR",$J53:$AX53,"&lt;&gt;"&amp;"pB2 RNNR")-SUM(COUNTIFS($J53:$AX53,"*RNNR B1*",$J53:$AX53,"&lt;&gt;"&amp;"pRNNR B1")*0.5,COUNTIFS($J53:$AX53,"*RNNR B2*",$J53:$AX53,"&lt;&gt;"&amp;"pRNNR B2")*0.5,COUNTIFS($J53:$AX53,"*B1 RNNR*",$J53:$AX53,"&lt;&gt;"&amp;"pB1 RNNR")*0.5,COUNTIFS($J53:$AX53,"*B2 RNNR*",$J53:$AX53,"&lt;&gt;"&amp;"pB2 RNNR")*0.5)))</f>
        <v/>
      </c>
      <c r="J53" s="184" t="str">
        <f>IFERROR(IF(VLOOKUP(Mon_W1[[#This Row],[Employee Name]],'Base Schedules'!$A$113:$AW$158,9,FALSE)="","",VLOOKUP(Mon_W1[[#This Row],[Employee Name]],'Base Schedules'!$A$113:$AW$158,9,FALSE)),"")</f>
        <v/>
      </c>
      <c r="K53" s="184" t="str">
        <f>IFERROR(IF(VLOOKUP(Mon_W1[[#This Row],[Employee Name]],'Base Schedules'!$A$113:$AW$158,10,FALSE)="","",VLOOKUP(Mon_W1[[#This Row],[Employee Name]],'Base Schedules'!$A$113:$AW$158,10,FALSE)),"")</f>
        <v/>
      </c>
      <c r="L53" s="184" t="str">
        <f>IFERROR(IF(VLOOKUP(Mon_W1[[#This Row],[Employee Name]],'Base Schedules'!$A$113:$AW$158,11,FALSE)="","",VLOOKUP(Mon_W1[[#This Row],[Employee Name]],'Base Schedules'!$A$113:$AW$158,11,FALSE)),"")</f>
        <v/>
      </c>
      <c r="M53" s="184" t="str">
        <f>IFERROR(IF(VLOOKUP(Mon_W1[[#This Row],[Employee Name]],'Base Schedules'!$A$113:$AW$158,12,FALSE)="","",VLOOKUP(Mon_W1[[#This Row],[Employee Name]],'Base Schedules'!$A$113:$AW$158,12,FALSE)),"")</f>
        <v/>
      </c>
      <c r="N53" s="184" t="str">
        <f>IFERROR(IF(VLOOKUP(Mon_W1[[#This Row],[Employee Name]],'Base Schedules'!$A$113:$AW$158,13,FALSE)="","",VLOOKUP(Mon_W1[[#This Row],[Employee Name]],'Base Schedules'!$A$113:$AW$158,13,FALSE)),"")</f>
        <v/>
      </c>
      <c r="O53" s="184" t="str">
        <f>IFERROR(IF(VLOOKUP(Mon_W1[[#This Row],[Employee Name]],'Base Schedules'!$A$113:$AW$158,14,FALSE)="","",VLOOKUP(Mon_W1[[#This Row],[Employee Name]],'Base Schedules'!$A$113:$AW$158,14,FALSE)),"")</f>
        <v/>
      </c>
      <c r="P53" s="184" t="str">
        <f>IFERROR(IF(VLOOKUP(Mon_W1[[#This Row],[Employee Name]],'Base Schedules'!$A$113:$AW$158,15,FALSE)="","",VLOOKUP(Mon_W1[[#This Row],[Employee Name]],'Base Schedules'!$A$113:$AW$158,15,FALSE)),"")</f>
        <v/>
      </c>
      <c r="Q53" s="184" t="str">
        <f>IFERROR(IF(VLOOKUP(Mon_W1[[#This Row],[Employee Name]],'Base Schedules'!$A$113:$AW$158,16,FALSE)="","",VLOOKUP(Mon_W1[[#This Row],[Employee Name]],'Base Schedules'!$A$113:$AW$158,16,FALSE)),"")</f>
        <v/>
      </c>
      <c r="R53" s="184" t="str">
        <f>IFERROR(IF(VLOOKUP(Mon_W1[[#This Row],[Employee Name]],'Base Schedules'!$A$113:$AW$158,17,FALSE)="","",VLOOKUP(Mon_W1[[#This Row],[Employee Name]],'Base Schedules'!$A$113:$AW$158,17,FALSE)),"")</f>
        <v/>
      </c>
      <c r="S53" s="184" t="str">
        <f>IFERROR(IF(VLOOKUP(Mon_W1[[#This Row],[Employee Name]],'Base Schedules'!$A$113:$AW$158,18,FALSE)="","",VLOOKUP(Mon_W1[[#This Row],[Employee Name]],'Base Schedules'!$A$113:$AW$158,18,FALSE)),"")</f>
        <v/>
      </c>
      <c r="T53" s="184" t="str">
        <f>IFERROR(IF(VLOOKUP(Mon_W1[[#This Row],[Employee Name]],'Base Schedules'!$A$113:$AW$158,19,FALSE)="","",VLOOKUP(Mon_W1[[#This Row],[Employee Name]],'Base Schedules'!$A$113:$AW$158,19,FALSE)),"")</f>
        <v/>
      </c>
      <c r="U53" s="184" t="str">
        <f>IFERROR(IF(VLOOKUP(Mon_W1[[#This Row],[Employee Name]],'Base Schedules'!$A$113:$AW$158,20,FALSE)="","",VLOOKUP(Mon_W1[[#This Row],[Employee Name]],'Base Schedules'!$A$113:$AW$158,20,FALSE)),"")</f>
        <v/>
      </c>
      <c r="V53" s="184" t="str">
        <f>IFERROR(IF(VLOOKUP(Mon_W1[[#This Row],[Employee Name]],'Base Schedules'!$A$113:$AW$158,21,FALSE)="","",VLOOKUP(Mon_W1[[#This Row],[Employee Name]],'Base Schedules'!$A$113:$AW$158,21,FALSE)),"")</f>
        <v/>
      </c>
      <c r="W53" s="184" t="str">
        <f>IFERROR(IF(VLOOKUP(Mon_W1[[#This Row],[Employee Name]],'Base Schedules'!$A$113:$AW$158,22,FALSE)="","",VLOOKUP(Mon_W1[[#This Row],[Employee Name]],'Base Schedules'!$A$113:$AW$158,22,FALSE)),"")</f>
        <v/>
      </c>
      <c r="X53" s="184" t="str">
        <f>IFERROR(IF(VLOOKUP(Mon_W1[[#This Row],[Employee Name]],'Base Schedules'!$A$113:$AW$158,23,FALSE)="","",VLOOKUP(Mon_W1[[#This Row],[Employee Name]],'Base Schedules'!$A$113:$AW$158,23,FALSE)),"")</f>
        <v/>
      </c>
      <c r="Y53" s="184" t="str">
        <f>IFERROR(IF(VLOOKUP(Mon_W1[[#This Row],[Employee Name]],'Base Schedules'!$A$113:$AW$158,24,FALSE)="","",VLOOKUP(Mon_W1[[#This Row],[Employee Name]],'Base Schedules'!$A$113:$AW$158,24,FALSE)),"")</f>
        <v/>
      </c>
      <c r="Z53" s="184" t="str">
        <f>IFERROR(IF(VLOOKUP(Mon_W1[[#This Row],[Employee Name]],'Base Schedules'!$A$113:$AW$158,25,FALSE)="","",VLOOKUP(Mon_W1[[#This Row],[Employee Name]],'Base Schedules'!$A$113:$AW$158,25,FALSE)),"")</f>
        <v/>
      </c>
      <c r="AA53" s="184" t="str">
        <f>IFERROR(IF(VLOOKUP(Mon_W1[[#This Row],[Employee Name]],'Base Schedules'!$A$113:$AW$158,26,FALSE)="","",VLOOKUP(Mon_W1[[#This Row],[Employee Name]],'Base Schedules'!$A$113:$AW$158,26,FALSE)),"")</f>
        <v/>
      </c>
      <c r="AB53" s="184" t="str">
        <f>IFERROR(IF(VLOOKUP(Mon_W1[[#This Row],[Employee Name]],'Base Schedules'!$A$113:$AW$158,27,FALSE)="","",VLOOKUP(Mon_W1[[#This Row],[Employee Name]],'Base Schedules'!$A$113:$AW$158,27,FALSE)),"")</f>
        <v/>
      </c>
      <c r="AC53" s="184" t="str">
        <f>IFERROR(IF(VLOOKUP(Mon_W1[[#This Row],[Employee Name]],'Base Schedules'!$A$113:$AW$158,28,FALSE)="","",VLOOKUP(Mon_W1[[#This Row],[Employee Name]],'Base Schedules'!$A$113:$AW$158,28,FALSE)),"")</f>
        <v/>
      </c>
      <c r="AD53" s="184" t="str">
        <f>IFERROR(IF(VLOOKUP(Mon_W1[[#This Row],[Employee Name]],'Base Schedules'!$A$113:$AW$158,29,FALSE)="","",VLOOKUP(Mon_W1[[#This Row],[Employee Name]],'Base Schedules'!$A$113:$AW$158,29,FALSE)),"")</f>
        <v/>
      </c>
      <c r="AE53" s="184" t="str">
        <f>IFERROR(IF(VLOOKUP(Mon_W1[[#This Row],[Employee Name]],'Base Schedules'!$A$113:$AW$158,30,FALSE)="","",VLOOKUP(Mon_W1[[#This Row],[Employee Name]],'Base Schedules'!$A$113:$AW$158,30,FALSE)),"")</f>
        <v/>
      </c>
      <c r="AF53" s="184" t="str">
        <f>IFERROR(IF(VLOOKUP(Mon_W1[[#This Row],[Employee Name]],'Base Schedules'!$A$113:$AW$158,31,FALSE)="","",VLOOKUP(Mon_W1[[#This Row],[Employee Name]],'Base Schedules'!$A$113:$AW$158,31,FALSE)),"")</f>
        <v/>
      </c>
      <c r="AG53" s="184" t="str">
        <f>IFERROR(IF(VLOOKUP(Mon_W1[[#This Row],[Employee Name]],'Base Schedules'!$A$113:$AW$158,32,FALSE)="","",VLOOKUP(Mon_W1[[#This Row],[Employee Name]],'Base Schedules'!$A$113:$AW$158,32,FALSE)),"")</f>
        <v/>
      </c>
      <c r="AH53" s="184" t="str">
        <f>IFERROR(IF(VLOOKUP(Mon_W1[[#This Row],[Employee Name]],'Base Schedules'!$A$113:$AW$158,33,FALSE)="","",VLOOKUP(Mon_W1[[#This Row],[Employee Name]],'Base Schedules'!$A$113:$AW$158,33,FALSE)),"")</f>
        <v/>
      </c>
      <c r="AI53" s="184" t="str">
        <f>IFERROR(IF(VLOOKUP(Mon_W1[[#This Row],[Employee Name]],'Base Schedules'!$A$113:$AW$158,34,FALSE)="","",VLOOKUP(Mon_W1[[#This Row],[Employee Name]],'Base Schedules'!$A$113:$AW$158,34,FALSE)),"")</f>
        <v/>
      </c>
      <c r="AJ53" s="184" t="str">
        <f>IFERROR(IF(VLOOKUP(Mon_W1[[#This Row],[Employee Name]],'Base Schedules'!$A$113:$AW$158,35,FALSE)="","",VLOOKUP(Mon_W1[[#This Row],[Employee Name]],'Base Schedules'!$A$113:$AW$158,35,FALSE)),"")</f>
        <v/>
      </c>
      <c r="AK53" s="184" t="str">
        <f>IFERROR(IF(VLOOKUP(Mon_W1[[#This Row],[Employee Name]],'Base Schedules'!$A$113:$AW$158,36,FALSE)="","",VLOOKUP(Mon_W1[[#This Row],[Employee Name]],'Base Schedules'!$A$113:$AW$158,36,FALSE)),"")</f>
        <v/>
      </c>
      <c r="AL53" s="184" t="str">
        <f>IFERROR(IF(VLOOKUP(Mon_W1[[#This Row],[Employee Name]],'Base Schedules'!$A$113:$AW$158,37,FALSE)="","",VLOOKUP(Mon_W1[[#This Row],[Employee Name]],'Base Schedules'!$A$113:$AW$158,37,FALSE)),"")</f>
        <v/>
      </c>
      <c r="AM53" s="184" t="str">
        <f>IFERROR(IF(VLOOKUP(Mon_W1[[#This Row],[Employee Name]],'Base Schedules'!$A$113:$AW$158,38,FALSE)="","",VLOOKUP(Mon_W1[[#This Row],[Employee Name]],'Base Schedules'!$A$113:$AW$158,38,FALSE)),"")</f>
        <v/>
      </c>
      <c r="AN53" s="184" t="str">
        <f>IFERROR(IF(VLOOKUP(Mon_W1[[#This Row],[Employee Name]],'Base Schedules'!$A$113:$AW$158,39,FALSE)="","",VLOOKUP(Mon_W1[[#This Row],[Employee Name]],'Base Schedules'!$A$113:$AW$158,39,FALSE)),"")</f>
        <v/>
      </c>
      <c r="AO53" s="184" t="str">
        <f>IFERROR(IF(VLOOKUP(Mon_W1[[#This Row],[Employee Name]],'Base Schedules'!$A$113:$AW$158,40,FALSE)="","",VLOOKUP(Mon_W1[[#This Row],[Employee Name]],'Base Schedules'!$A$113:$AW$158,40,FALSE)),"")</f>
        <v/>
      </c>
      <c r="AP53" s="184" t="str">
        <f>IFERROR(IF(VLOOKUP(Mon_W1[[#This Row],[Employee Name]],'Base Schedules'!$A$113:$AW$158,41,FALSE)="","",VLOOKUP(Mon_W1[[#This Row],[Employee Name]],'Base Schedules'!$A$113:$AW$158,41,FALSE)),"")</f>
        <v/>
      </c>
      <c r="AQ53" s="184" t="str">
        <f>IFERROR(IF(VLOOKUP(Mon_W1[[#This Row],[Employee Name]],'Base Schedules'!$A$113:$AW$158,42,FALSE)="","",VLOOKUP(Mon_W1[[#This Row],[Employee Name]],'Base Schedules'!$A$113:$AW$158,42,FALSE)),"")</f>
        <v/>
      </c>
      <c r="AR53" s="184" t="str">
        <f>IFERROR(IF(VLOOKUP(Mon_W1[[#This Row],[Employee Name]],'Base Schedules'!$A$113:$AW$158,43,FALSE)="","",VLOOKUP(Mon_W1[[#This Row],[Employee Name]],'Base Schedules'!$A$113:$AW$158,43,FALSE)),"")</f>
        <v/>
      </c>
      <c r="AS53" s="184" t="str">
        <f>IFERROR(IF(VLOOKUP(Mon_W1[[#This Row],[Employee Name]],'Base Schedules'!$A$113:$AW$158,44,FALSE)="","",VLOOKUP(Mon_W1[[#This Row],[Employee Name]],'Base Schedules'!$A$113:$AW$158,44,FALSE)),"")</f>
        <v/>
      </c>
      <c r="AT53" s="184" t="str">
        <f>IFERROR(IF(VLOOKUP(Mon_W1[[#This Row],[Employee Name]],'Base Schedules'!$A$113:$AW$158,45,FALSE)="","",VLOOKUP(Mon_W1[[#This Row],[Employee Name]],'Base Schedules'!$A$113:$AW$158,45,FALSE)),"")</f>
        <v/>
      </c>
      <c r="AU53" s="184" t="str">
        <f>IFERROR(IF(VLOOKUP(Mon_W1[[#This Row],[Employee Name]],'Base Schedules'!$A$113:$AW$158,46,FALSE)="","",VLOOKUP(Mon_W1[[#This Row],[Employee Name]],'Base Schedules'!$A$113:$AW$158,46,FALSE)),"")</f>
        <v/>
      </c>
      <c r="AV53" s="184" t="str">
        <f>IFERROR(IF(VLOOKUP(Mon_W1[[#This Row],[Employee Name]],'Base Schedules'!$A$113:$AW$158,47,FALSE)="","",VLOOKUP(Mon_W1[[#This Row],[Employee Name]],'Base Schedules'!$A$113:$AW$158,47,FALSE)),"")</f>
        <v/>
      </c>
      <c r="AW53" s="184" t="str">
        <f>IFERROR(IF(VLOOKUP(Mon_W1[[#This Row],[Employee Name]],'Base Schedules'!$A$113:$AW$158,48,FALSE)="","",VLOOKUP(Mon_W1[[#This Row],[Employee Name]],'Base Schedules'!$A$113:$AW$158,48,FALSE)),"")</f>
        <v/>
      </c>
      <c r="AX53" s="184" t="str">
        <f>IFERROR(IF(VLOOKUP(Mon_W1[[#This Row],[Employee Name]],'Base Schedules'!$A$113:$AW$158,49,FALSE)="","",VLOOKUP(Mon_W1[[#This Row],[Employee Name]],'Base Schedules'!$A$113:$AW$158,49,FALSE)),"")</f>
        <v/>
      </c>
      <c r="AY53" s="164" t="str">
        <f t="shared" si="2"/>
        <v/>
      </c>
    </row>
    <row r="54" spans="1:52" s="44" customFormat="1" hidden="1" thickBot="1" x14ac:dyDescent="0.25">
      <c r="A54" s="39" t="str">
        <f>IF(B54="","",INDEX(TeamList[],MATCH($B54,TeamList[[Employee Name]:[Employee Name]],0),MATCH("Manager",TeamList[#Headers],0)))</f>
        <v/>
      </c>
      <c r="B54" s="201"/>
      <c r="C54" s="257" t="str">
        <f>_xlfn.IFNA(VLOOKUP(Mon_W1[[#This Row],[Employee Name]],'Base Schedules'!A:B,2,FALSE),"")</f>
        <v/>
      </c>
      <c r="D54" s="274" t="str">
        <f>_xlfn.IFNA(VLOOKUP(Mon_W1[[#This Row],[Employee Name]],'Base Schedules'!A:C,3,FALSE),"")</f>
        <v/>
      </c>
      <c r="E54" s="274" t="str">
        <f>_xlfn.IFNA(VLOOKUP(Mon_W1[[#This Row],[Employee Name]],'Base Schedules'!A:D,4,FALSE),"")</f>
        <v/>
      </c>
      <c r="F54" s="142" t="str">
        <f>IF(Mon_W1[[#This Row],[Employee Name]]="","",IF(Mon_W1[[#This Row],[Dept]]="Supervisor",COUNTIFS($J54:$AX54,"*HL*",$J54:$AX54,"&lt;&gt;"&amp;"pHL"),COUNTIFS($J54:$AX54,"*HL*",$J54:$AX54,"&lt;&gt;"&amp;"*pHL*",$J54:$AX54,"&lt;&gt;"&amp;"pB1 HL",$J54:$AX54,"&lt;&gt;"&amp;"pB2 HL")-SUM(COUNTIFS($J54:$AX54,"*HL B1*",$J54:$AX54,"&lt;&gt;"&amp;"pHL B1")*0.5,COUNTIFS($J54:$AX54,"*HL B2*",$J54:$AX54,"&lt;&gt;"&amp;"pHL B2")*0.5,COUNTIFS($J54:$AX54,"*B1 HL*",$J54:$AX54,"&lt;&gt;"&amp;"pB1 HL")*0.5,COUNTIFS($J54:$AX54,"*B2 HL*",$J54:$AX54,"&lt;&gt;"&amp;"pB2 HL")*0.5)))</f>
        <v/>
      </c>
      <c r="G54" s="142" t="str">
        <f t="shared" si="0"/>
        <v/>
      </c>
      <c r="H54" s="142" t="str">
        <f t="shared" si="1"/>
        <v/>
      </c>
      <c r="I54" s="142" t="str">
        <f>IF(Mon_W1[[#This Row],[Employee Name]]="","",IF(Mon_W1[[#This Row],[Dept]]="Supervisor",SUM(COUNTIFS($J54:$AX54,"RTA*",$J54:$AX54,"&lt;&gt;"&amp;"pRTA"),COUNTIFS($J54:$AX54,"*CRTA*",$J54:$AX54,"&lt;&gt;"&amp;"pCRTA")),COUNTIFS($J54:$AX54,"*RNNR*",$J54:$AX54,"&lt;&gt;"&amp;"*pRNNR*",$J54:$AX54,"&lt;&gt;"&amp;"pB1 RNNR",$J54:$AX54,"&lt;&gt;"&amp;"pB2 RNNR")-SUM(COUNTIFS($J54:$AX54,"*RNNR B1*",$J54:$AX54,"&lt;&gt;"&amp;"pRNNR B1")*0.5,COUNTIFS($J54:$AX54,"*RNNR B2*",$J54:$AX54,"&lt;&gt;"&amp;"pRNNR B2")*0.5,COUNTIFS($J54:$AX54,"*B1 RNNR*",$J54:$AX54,"&lt;&gt;"&amp;"pB1 RNNR")*0.5,COUNTIFS($J54:$AX54,"*B2 RNNR*",$J54:$AX54,"&lt;&gt;"&amp;"pB2 RNNR")*0.5)))</f>
        <v/>
      </c>
      <c r="J54" s="184" t="str">
        <f>IFERROR(IF(VLOOKUP(Mon_W1[[#This Row],[Employee Name]],'Base Schedules'!$A$113:$AW$158,9,FALSE)="","",VLOOKUP(Mon_W1[[#This Row],[Employee Name]],'Base Schedules'!$A$113:$AW$158,9,FALSE)),"")</f>
        <v/>
      </c>
      <c r="K54" s="184" t="str">
        <f>IFERROR(IF(VLOOKUP(Mon_W1[[#This Row],[Employee Name]],'Base Schedules'!$A$113:$AW$158,10,FALSE)="","",VLOOKUP(Mon_W1[[#This Row],[Employee Name]],'Base Schedules'!$A$113:$AW$158,10,FALSE)),"")</f>
        <v/>
      </c>
      <c r="L54" s="184" t="str">
        <f>IFERROR(IF(VLOOKUP(Mon_W1[[#This Row],[Employee Name]],'Base Schedules'!$A$113:$AW$158,11,FALSE)="","",VLOOKUP(Mon_W1[[#This Row],[Employee Name]],'Base Schedules'!$A$113:$AW$158,11,FALSE)),"")</f>
        <v/>
      </c>
      <c r="M54" s="184" t="str">
        <f>IFERROR(IF(VLOOKUP(Mon_W1[[#This Row],[Employee Name]],'Base Schedules'!$A$113:$AW$158,12,FALSE)="","",VLOOKUP(Mon_W1[[#This Row],[Employee Name]],'Base Schedules'!$A$113:$AW$158,12,FALSE)),"")</f>
        <v/>
      </c>
      <c r="N54" s="184" t="str">
        <f>IFERROR(IF(VLOOKUP(Mon_W1[[#This Row],[Employee Name]],'Base Schedules'!$A$113:$AW$158,13,FALSE)="","",VLOOKUP(Mon_W1[[#This Row],[Employee Name]],'Base Schedules'!$A$113:$AW$158,13,FALSE)),"")</f>
        <v/>
      </c>
      <c r="O54" s="184" t="str">
        <f>IFERROR(IF(VLOOKUP(Mon_W1[[#This Row],[Employee Name]],'Base Schedules'!$A$113:$AW$158,14,FALSE)="","",VLOOKUP(Mon_W1[[#This Row],[Employee Name]],'Base Schedules'!$A$113:$AW$158,14,FALSE)),"")</f>
        <v/>
      </c>
      <c r="P54" s="184" t="str">
        <f>IFERROR(IF(VLOOKUP(Mon_W1[[#This Row],[Employee Name]],'Base Schedules'!$A$113:$AW$158,15,FALSE)="","",VLOOKUP(Mon_W1[[#This Row],[Employee Name]],'Base Schedules'!$A$113:$AW$158,15,FALSE)),"")</f>
        <v/>
      </c>
      <c r="Q54" s="184" t="str">
        <f>IFERROR(IF(VLOOKUP(Mon_W1[[#This Row],[Employee Name]],'Base Schedules'!$A$113:$AW$158,16,FALSE)="","",VLOOKUP(Mon_W1[[#This Row],[Employee Name]],'Base Schedules'!$A$113:$AW$158,16,FALSE)),"")</f>
        <v/>
      </c>
      <c r="R54" s="184" t="str">
        <f>IFERROR(IF(VLOOKUP(Mon_W1[[#This Row],[Employee Name]],'Base Schedules'!$A$113:$AW$158,17,FALSE)="","",VLOOKUP(Mon_W1[[#This Row],[Employee Name]],'Base Schedules'!$A$113:$AW$158,17,FALSE)),"")</f>
        <v/>
      </c>
      <c r="S54" s="184" t="str">
        <f>IFERROR(IF(VLOOKUP(Mon_W1[[#This Row],[Employee Name]],'Base Schedules'!$A$113:$AW$158,18,FALSE)="","",VLOOKUP(Mon_W1[[#This Row],[Employee Name]],'Base Schedules'!$A$113:$AW$158,18,FALSE)),"")</f>
        <v/>
      </c>
      <c r="T54" s="184" t="str">
        <f>IFERROR(IF(VLOOKUP(Mon_W1[[#This Row],[Employee Name]],'Base Schedules'!$A$113:$AW$158,19,FALSE)="","",VLOOKUP(Mon_W1[[#This Row],[Employee Name]],'Base Schedules'!$A$113:$AW$158,19,FALSE)),"")</f>
        <v/>
      </c>
      <c r="U54" s="184" t="str">
        <f>IFERROR(IF(VLOOKUP(Mon_W1[[#This Row],[Employee Name]],'Base Schedules'!$A$113:$AW$158,20,FALSE)="","",VLOOKUP(Mon_W1[[#This Row],[Employee Name]],'Base Schedules'!$A$113:$AW$158,20,FALSE)),"")</f>
        <v/>
      </c>
      <c r="V54" s="184" t="str">
        <f>IFERROR(IF(VLOOKUP(Mon_W1[[#This Row],[Employee Name]],'Base Schedules'!$A$113:$AW$158,21,FALSE)="","",VLOOKUP(Mon_W1[[#This Row],[Employee Name]],'Base Schedules'!$A$113:$AW$158,21,FALSE)),"")</f>
        <v/>
      </c>
      <c r="W54" s="184" t="str">
        <f>IFERROR(IF(VLOOKUP(Mon_W1[[#This Row],[Employee Name]],'Base Schedules'!$A$113:$AW$158,22,FALSE)="","",VLOOKUP(Mon_W1[[#This Row],[Employee Name]],'Base Schedules'!$A$113:$AW$158,22,FALSE)),"")</f>
        <v/>
      </c>
      <c r="X54" s="184" t="str">
        <f>IFERROR(IF(VLOOKUP(Mon_W1[[#This Row],[Employee Name]],'Base Schedules'!$A$113:$AW$158,23,FALSE)="","",VLOOKUP(Mon_W1[[#This Row],[Employee Name]],'Base Schedules'!$A$113:$AW$158,23,FALSE)),"")</f>
        <v/>
      </c>
      <c r="Y54" s="184" t="str">
        <f>IFERROR(IF(VLOOKUP(Mon_W1[[#This Row],[Employee Name]],'Base Schedules'!$A$113:$AW$158,24,FALSE)="","",VLOOKUP(Mon_W1[[#This Row],[Employee Name]],'Base Schedules'!$A$113:$AW$158,24,FALSE)),"")</f>
        <v/>
      </c>
      <c r="Z54" s="184" t="str">
        <f>IFERROR(IF(VLOOKUP(Mon_W1[[#This Row],[Employee Name]],'Base Schedules'!$A$113:$AW$158,25,FALSE)="","",VLOOKUP(Mon_W1[[#This Row],[Employee Name]],'Base Schedules'!$A$113:$AW$158,25,FALSE)),"")</f>
        <v/>
      </c>
      <c r="AA54" s="184" t="str">
        <f>IFERROR(IF(VLOOKUP(Mon_W1[[#This Row],[Employee Name]],'Base Schedules'!$A$113:$AW$158,26,FALSE)="","",VLOOKUP(Mon_W1[[#This Row],[Employee Name]],'Base Schedules'!$A$113:$AW$158,26,FALSE)),"")</f>
        <v/>
      </c>
      <c r="AB54" s="184" t="str">
        <f>IFERROR(IF(VLOOKUP(Mon_W1[[#This Row],[Employee Name]],'Base Schedules'!$A$113:$AW$158,27,FALSE)="","",VLOOKUP(Mon_W1[[#This Row],[Employee Name]],'Base Schedules'!$A$113:$AW$158,27,FALSE)),"")</f>
        <v/>
      </c>
      <c r="AC54" s="184" t="str">
        <f>IFERROR(IF(VLOOKUP(Mon_W1[[#This Row],[Employee Name]],'Base Schedules'!$A$113:$AW$158,28,FALSE)="","",VLOOKUP(Mon_W1[[#This Row],[Employee Name]],'Base Schedules'!$A$113:$AW$158,28,FALSE)),"")</f>
        <v/>
      </c>
      <c r="AD54" s="184" t="str">
        <f>IFERROR(IF(VLOOKUP(Mon_W1[[#This Row],[Employee Name]],'Base Schedules'!$A$113:$AW$158,29,FALSE)="","",VLOOKUP(Mon_W1[[#This Row],[Employee Name]],'Base Schedules'!$A$113:$AW$158,29,FALSE)),"")</f>
        <v/>
      </c>
      <c r="AE54" s="184" t="str">
        <f>IFERROR(IF(VLOOKUP(Mon_W1[[#This Row],[Employee Name]],'Base Schedules'!$A$113:$AW$158,30,FALSE)="","",VLOOKUP(Mon_W1[[#This Row],[Employee Name]],'Base Schedules'!$A$113:$AW$158,30,FALSE)),"")</f>
        <v/>
      </c>
      <c r="AF54" s="184" t="str">
        <f>IFERROR(IF(VLOOKUP(Mon_W1[[#This Row],[Employee Name]],'Base Schedules'!$A$113:$AW$158,31,FALSE)="","",VLOOKUP(Mon_W1[[#This Row],[Employee Name]],'Base Schedules'!$A$113:$AW$158,31,FALSE)),"")</f>
        <v/>
      </c>
      <c r="AG54" s="184" t="str">
        <f>IFERROR(IF(VLOOKUP(Mon_W1[[#This Row],[Employee Name]],'Base Schedules'!$A$113:$AW$158,32,FALSE)="","",VLOOKUP(Mon_W1[[#This Row],[Employee Name]],'Base Schedules'!$A$113:$AW$158,32,FALSE)),"")</f>
        <v/>
      </c>
      <c r="AH54" s="184" t="str">
        <f>IFERROR(IF(VLOOKUP(Mon_W1[[#This Row],[Employee Name]],'Base Schedules'!$A$113:$AW$158,33,FALSE)="","",VLOOKUP(Mon_W1[[#This Row],[Employee Name]],'Base Schedules'!$A$113:$AW$158,33,FALSE)),"")</f>
        <v/>
      </c>
      <c r="AI54" s="184" t="str">
        <f>IFERROR(IF(VLOOKUP(Mon_W1[[#This Row],[Employee Name]],'Base Schedules'!$A$113:$AW$158,34,FALSE)="","",VLOOKUP(Mon_W1[[#This Row],[Employee Name]],'Base Schedules'!$A$113:$AW$158,34,FALSE)),"")</f>
        <v/>
      </c>
      <c r="AJ54" s="184" t="str">
        <f>IFERROR(IF(VLOOKUP(Mon_W1[[#This Row],[Employee Name]],'Base Schedules'!$A$113:$AW$158,35,FALSE)="","",VLOOKUP(Mon_W1[[#This Row],[Employee Name]],'Base Schedules'!$A$113:$AW$158,35,FALSE)),"")</f>
        <v/>
      </c>
      <c r="AK54" s="184" t="str">
        <f>IFERROR(IF(VLOOKUP(Mon_W1[[#This Row],[Employee Name]],'Base Schedules'!$A$113:$AW$158,36,FALSE)="","",VLOOKUP(Mon_W1[[#This Row],[Employee Name]],'Base Schedules'!$A$113:$AW$158,36,FALSE)),"")</f>
        <v/>
      </c>
      <c r="AL54" s="184" t="str">
        <f>IFERROR(IF(VLOOKUP(Mon_W1[[#This Row],[Employee Name]],'Base Schedules'!$A$113:$AW$158,37,FALSE)="","",VLOOKUP(Mon_W1[[#This Row],[Employee Name]],'Base Schedules'!$A$113:$AW$158,37,FALSE)),"")</f>
        <v/>
      </c>
      <c r="AM54" s="184" t="str">
        <f>IFERROR(IF(VLOOKUP(Mon_W1[[#This Row],[Employee Name]],'Base Schedules'!$A$113:$AW$158,38,FALSE)="","",VLOOKUP(Mon_W1[[#This Row],[Employee Name]],'Base Schedules'!$A$113:$AW$158,38,FALSE)),"")</f>
        <v/>
      </c>
      <c r="AN54" s="184" t="str">
        <f>IFERROR(IF(VLOOKUP(Mon_W1[[#This Row],[Employee Name]],'Base Schedules'!$A$113:$AW$158,39,FALSE)="","",VLOOKUP(Mon_W1[[#This Row],[Employee Name]],'Base Schedules'!$A$113:$AW$158,39,FALSE)),"")</f>
        <v/>
      </c>
      <c r="AO54" s="184" t="str">
        <f>IFERROR(IF(VLOOKUP(Mon_W1[[#This Row],[Employee Name]],'Base Schedules'!$A$113:$AW$158,40,FALSE)="","",VLOOKUP(Mon_W1[[#This Row],[Employee Name]],'Base Schedules'!$A$113:$AW$158,40,FALSE)),"")</f>
        <v/>
      </c>
      <c r="AP54" s="184" t="str">
        <f>IFERROR(IF(VLOOKUP(Mon_W1[[#This Row],[Employee Name]],'Base Schedules'!$A$113:$AW$158,41,FALSE)="","",VLOOKUP(Mon_W1[[#This Row],[Employee Name]],'Base Schedules'!$A$113:$AW$158,41,FALSE)),"")</f>
        <v/>
      </c>
      <c r="AQ54" s="184" t="str">
        <f>IFERROR(IF(VLOOKUP(Mon_W1[[#This Row],[Employee Name]],'Base Schedules'!$A$113:$AW$158,42,FALSE)="","",VLOOKUP(Mon_W1[[#This Row],[Employee Name]],'Base Schedules'!$A$113:$AW$158,42,FALSE)),"")</f>
        <v/>
      </c>
      <c r="AR54" s="184" t="str">
        <f>IFERROR(IF(VLOOKUP(Mon_W1[[#This Row],[Employee Name]],'Base Schedules'!$A$113:$AW$158,43,FALSE)="","",VLOOKUP(Mon_W1[[#This Row],[Employee Name]],'Base Schedules'!$A$113:$AW$158,43,FALSE)),"")</f>
        <v/>
      </c>
      <c r="AS54" s="184" t="str">
        <f>IFERROR(IF(VLOOKUP(Mon_W1[[#This Row],[Employee Name]],'Base Schedules'!$A$113:$AW$158,44,FALSE)="","",VLOOKUP(Mon_W1[[#This Row],[Employee Name]],'Base Schedules'!$A$113:$AW$158,44,FALSE)),"")</f>
        <v/>
      </c>
      <c r="AT54" s="184" t="str">
        <f>IFERROR(IF(VLOOKUP(Mon_W1[[#This Row],[Employee Name]],'Base Schedules'!$A$113:$AW$158,45,FALSE)="","",VLOOKUP(Mon_W1[[#This Row],[Employee Name]],'Base Schedules'!$A$113:$AW$158,45,FALSE)),"")</f>
        <v/>
      </c>
      <c r="AU54" s="184" t="str">
        <f>IFERROR(IF(VLOOKUP(Mon_W1[[#This Row],[Employee Name]],'Base Schedules'!$A$113:$AW$158,46,FALSE)="","",VLOOKUP(Mon_W1[[#This Row],[Employee Name]],'Base Schedules'!$A$113:$AW$158,46,FALSE)),"")</f>
        <v/>
      </c>
      <c r="AV54" s="184" t="str">
        <f>IFERROR(IF(VLOOKUP(Mon_W1[[#This Row],[Employee Name]],'Base Schedules'!$A$113:$AW$158,47,FALSE)="","",VLOOKUP(Mon_W1[[#This Row],[Employee Name]],'Base Schedules'!$A$113:$AW$158,47,FALSE)),"")</f>
        <v/>
      </c>
      <c r="AW54" s="184" t="str">
        <f>IFERROR(IF(VLOOKUP(Mon_W1[[#This Row],[Employee Name]],'Base Schedules'!$A$113:$AW$158,48,FALSE)="","",VLOOKUP(Mon_W1[[#This Row],[Employee Name]],'Base Schedules'!$A$113:$AW$158,48,FALSE)),"")</f>
        <v/>
      </c>
      <c r="AX54" s="184" t="str">
        <f>IFERROR(IF(VLOOKUP(Mon_W1[[#This Row],[Employee Name]],'Base Schedules'!$A$113:$AW$158,49,FALSE)="","",VLOOKUP(Mon_W1[[#This Row],[Employee Name]],'Base Schedules'!$A$113:$AW$158,49,FALSE)),"")</f>
        <v/>
      </c>
      <c r="AY54" s="164" t="str">
        <f t="shared" si="2"/>
        <v/>
      </c>
    </row>
    <row r="55" spans="1:52" ht="6" customHeight="1" thickBot="1" x14ac:dyDescent="0.25">
      <c r="B55" s="28"/>
      <c r="C55" s="28"/>
      <c r="D55" s="29"/>
      <c r="E55" s="29"/>
      <c r="F55" s="30"/>
      <c r="G55" s="30"/>
      <c r="H55" s="30"/>
      <c r="I55" s="30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3"/>
    </row>
    <row r="56" spans="1:52" ht="11.25" customHeight="1" thickBot="1" x14ac:dyDescent="0.25">
      <c r="B56" s="20"/>
      <c r="C56" s="21"/>
      <c r="D56" s="21"/>
      <c r="E56" s="21" t="s">
        <v>92</v>
      </c>
      <c r="F56" s="259">
        <f>SUM(F9:F54)</f>
        <v>144</v>
      </c>
      <c r="G56" s="21">
        <f>SUM(G9:G54)</f>
        <v>0</v>
      </c>
      <c r="H56" s="21">
        <f>SUM(H9:H54)</f>
        <v>118</v>
      </c>
      <c r="I56" s="21">
        <f>SUM(I9:I54)</f>
        <v>28</v>
      </c>
      <c r="J56" s="27">
        <v>500</v>
      </c>
      <c r="K56" s="27">
        <v>530</v>
      </c>
      <c r="L56" s="27">
        <v>600</v>
      </c>
      <c r="M56" s="27">
        <v>630</v>
      </c>
      <c r="N56" s="27">
        <v>700</v>
      </c>
      <c r="O56" s="27">
        <v>730</v>
      </c>
      <c r="P56" s="27">
        <v>800</v>
      </c>
      <c r="Q56" s="27">
        <v>830</v>
      </c>
      <c r="R56" s="27">
        <v>900</v>
      </c>
      <c r="S56" s="27">
        <v>930</v>
      </c>
      <c r="T56" s="27">
        <v>1000</v>
      </c>
      <c r="U56" s="27">
        <v>1030</v>
      </c>
      <c r="V56" s="27">
        <v>1100</v>
      </c>
      <c r="W56" s="27">
        <v>1130</v>
      </c>
      <c r="X56" s="27">
        <v>1200</v>
      </c>
      <c r="Y56" s="27">
        <v>1230</v>
      </c>
      <c r="Z56" s="27">
        <v>1300</v>
      </c>
      <c r="AA56" s="27">
        <v>1330</v>
      </c>
      <c r="AB56" s="27">
        <v>1400</v>
      </c>
      <c r="AC56" s="27">
        <v>1430</v>
      </c>
      <c r="AD56" s="27">
        <v>1500</v>
      </c>
      <c r="AE56" s="27">
        <v>1530</v>
      </c>
      <c r="AF56" s="27">
        <v>1600</v>
      </c>
      <c r="AG56" s="27">
        <v>1630</v>
      </c>
      <c r="AH56" s="27">
        <v>1700</v>
      </c>
      <c r="AI56" s="27">
        <v>1730</v>
      </c>
      <c r="AJ56" s="27">
        <v>1800</v>
      </c>
      <c r="AK56" s="27">
        <v>1830</v>
      </c>
      <c r="AL56" s="27">
        <v>1900</v>
      </c>
      <c r="AM56" s="27">
        <v>1930</v>
      </c>
      <c r="AN56" s="27">
        <v>2000</v>
      </c>
      <c r="AO56" s="27">
        <v>2030</v>
      </c>
      <c r="AP56" s="27">
        <v>2100</v>
      </c>
      <c r="AQ56" s="27">
        <v>2130</v>
      </c>
      <c r="AR56" s="27">
        <v>2200</v>
      </c>
      <c r="AS56" s="27">
        <v>2230</v>
      </c>
      <c r="AT56" s="27">
        <v>2300</v>
      </c>
      <c r="AU56" s="27">
        <v>2330</v>
      </c>
      <c r="AV56" s="27">
        <v>0</v>
      </c>
      <c r="AW56" s="27">
        <v>30</v>
      </c>
      <c r="AX56" s="221" t="s">
        <v>365</v>
      </c>
      <c r="AY56" s="222" t="s">
        <v>2</v>
      </c>
    </row>
    <row r="57" spans="1:52" ht="6" customHeight="1" thickBot="1" x14ac:dyDescent="0.25">
      <c r="F57" s="258"/>
      <c r="G57" s="224"/>
      <c r="H57" s="224"/>
      <c r="I57" s="225"/>
      <c r="J57" s="224"/>
      <c r="K57" s="224"/>
      <c r="L57" s="224"/>
      <c r="M57" s="224"/>
      <c r="N57" s="224"/>
      <c r="O57" s="224"/>
      <c r="P57" s="224"/>
      <c r="Q57" s="224"/>
      <c r="R57" s="224"/>
      <c r="S57" s="224"/>
      <c r="T57" s="224"/>
      <c r="U57" s="224"/>
      <c r="V57" s="224"/>
      <c r="W57" s="224"/>
      <c r="X57" s="224"/>
      <c r="Y57" s="224"/>
      <c r="Z57" s="224"/>
      <c r="AA57" s="224"/>
      <c r="AB57" s="224"/>
      <c r="AC57" s="224"/>
      <c r="AD57" s="224"/>
      <c r="AE57" s="224"/>
      <c r="AF57" s="224"/>
      <c r="AG57" s="224"/>
      <c r="AH57" s="224"/>
      <c r="AI57" s="224"/>
      <c r="AJ57" s="224"/>
      <c r="AK57" s="224"/>
      <c r="AL57" s="224"/>
      <c r="AM57" s="224"/>
      <c r="AN57" s="224"/>
      <c r="AO57" s="224"/>
      <c r="AP57" s="224"/>
      <c r="AQ57" s="224"/>
      <c r="AR57" s="224"/>
      <c r="AS57" s="224"/>
      <c r="AT57" s="224"/>
      <c r="AU57" s="224"/>
      <c r="AV57" s="224"/>
      <c r="AW57" s="225"/>
      <c r="AX57" s="226">
        <f>SUM(J57:AW57)</f>
        <v>0</v>
      </c>
      <c r="AY57" s="227">
        <f t="shared" ref="AY57" si="3">G57</f>
        <v>0</v>
      </c>
    </row>
    <row r="58" spans="1:52" ht="18.75" x14ac:dyDescent="0.3">
      <c r="B58" s="484" t="s">
        <v>368</v>
      </c>
      <c r="C58" s="484"/>
      <c r="D58" s="453"/>
      <c r="E58" s="453"/>
      <c r="F58" s="453"/>
      <c r="G58" s="484" t="s">
        <v>368</v>
      </c>
      <c r="H58" s="484"/>
      <c r="I58" s="484"/>
      <c r="J58" s="455">
        <f>COUNTIF(J9:J54,"RNNR")</f>
        <v>0</v>
      </c>
      <c r="K58" s="455">
        <f t="shared" ref="K58:AW58" si="4">COUNTIF(K9:K54,"RNNR")</f>
        <v>0</v>
      </c>
      <c r="L58" s="455">
        <f t="shared" si="4"/>
        <v>0</v>
      </c>
      <c r="M58" s="455">
        <f t="shared" si="4"/>
        <v>0</v>
      </c>
      <c r="N58" s="455">
        <f t="shared" si="4"/>
        <v>0</v>
      </c>
      <c r="O58" s="455">
        <f t="shared" si="4"/>
        <v>0</v>
      </c>
      <c r="P58" s="455">
        <f t="shared" si="4"/>
        <v>1</v>
      </c>
      <c r="Q58" s="455">
        <f t="shared" si="4"/>
        <v>1</v>
      </c>
      <c r="R58" s="455">
        <f t="shared" si="4"/>
        <v>1</v>
      </c>
      <c r="S58" s="455">
        <f t="shared" si="4"/>
        <v>1</v>
      </c>
      <c r="T58" s="455">
        <f t="shared" si="4"/>
        <v>1</v>
      </c>
      <c r="U58" s="455">
        <f t="shared" si="4"/>
        <v>1</v>
      </c>
      <c r="V58" s="455">
        <f t="shared" si="4"/>
        <v>1</v>
      </c>
      <c r="W58" s="455">
        <f t="shared" si="4"/>
        <v>1</v>
      </c>
      <c r="X58" s="455">
        <f t="shared" si="4"/>
        <v>1</v>
      </c>
      <c r="Y58" s="455">
        <f t="shared" si="4"/>
        <v>1</v>
      </c>
      <c r="Z58" s="455">
        <f t="shared" si="4"/>
        <v>2</v>
      </c>
      <c r="AA58" s="455">
        <f t="shared" si="4"/>
        <v>2</v>
      </c>
      <c r="AB58" s="455">
        <f t="shared" si="4"/>
        <v>1</v>
      </c>
      <c r="AC58" s="455">
        <f t="shared" si="4"/>
        <v>2</v>
      </c>
      <c r="AD58" s="455">
        <f t="shared" si="4"/>
        <v>2</v>
      </c>
      <c r="AE58" s="455">
        <f t="shared" si="4"/>
        <v>1</v>
      </c>
      <c r="AF58" s="455">
        <f t="shared" si="4"/>
        <v>1</v>
      </c>
      <c r="AG58" s="455">
        <f t="shared" si="4"/>
        <v>1</v>
      </c>
      <c r="AH58" s="455">
        <f t="shared" si="4"/>
        <v>1</v>
      </c>
      <c r="AI58" s="455">
        <f t="shared" si="4"/>
        <v>1</v>
      </c>
      <c r="AJ58" s="455">
        <f t="shared" si="4"/>
        <v>1</v>
      </c>
      <c r="AK58" s="455">
        <f t="shared" si="4"/>
        <v>1</v>
      </c>
      <c r="AL58" s="455">
        <f t="shared" si="4"/>
        <v>1</v>
      </c>
      <c r="AM58" s="455">
        <f t="shared" si="4"/>
        <v>1</v>
      </c>
      <c r="AN58" s="455">
        <f t="shared" si="4"/>
        <v>0</v>
      </c>
      <c r="AO58" s="455">
        <f t="shared" si="4"/>
        <v>0</v>
      </c>
      <c r="AP58" s="455">
        <f t="shared" si="4"/>
        <v>0</v>
      </c>
      <c r="AQ58" s="455">
        <f t="shared" si="4"/>
        <v>0</v>
      </c>
      <c r="AR58" s="455">
        <f t="shared" si="4"/>
        <v>0</v>
      </c>
      <c r="AS58" s="455">
        <f t="shared" si="4"/>
        <v>0</v>
      </c>
      <c r="AT58" s="455">
        <f t="shared" si="4"/>
        <v>0</v>
      </c>
      <c r="AU58" s="455">
        <f t="shared" si="4"/>
        <v>0</v>
      </c>
      <c r="AV58" s="455">
        <f t="shared" si="4"/>
        <v>0</v>
      </c>
      <c r="AW58" s="455">
        <f t="shared" si="4"/>
        <v>0</v>
      </c>
      <c r="AX58" s="451">
        <f>AVERAGE(J58:AW58)</f>
        <v>0.7</v>
      </c>
      <c r="AY58" s="485" t="s">
        <v>368</v>
      </c>
      <c r="AZ58" s="485"/>
    </row>
    <row r="59" spans="1:52" ht="18.75" x14ac:dyDescent="0.3">
      <c r="B59" s="484" t="s">
        <v>581</v>
      </c>
      <c r="C59" s="484"/>
      <c r="D59" s="453"/>
      <c r="E59" s="453"/>
      <c r="F59" s="453"/>
      <c r="G59" s="484" t="s">
        <v>581</v>
      </c>
      <c r="H59" s="484"/>
      <c r="I59" s="484"/>
      <c r="J59" s="458">
        <f>COUNTIF(J9:J54,"HL")</f>
        <v>1</v>
      </c>
      <c r="K59" s="458">
        <f t="shared" ref="K59:AW59" si="5">COUNTIF(K9:K54,"HL")</f>
        <v>2</v>
      </c>
      <c r="L59" s="458">
        <f t="shared" si="5"/>
        <v>3</v>
      </c>
      <c r="M59" s="458">
        <f t="shared" si="5"/>
        <v>4</v>
      </c>
      <c r="N59" s="458">
        <f t="shared" si="5"/>
        <v>2</v>
      </c>
      <c r="O59" s="458">
        <f t="shared" si="5"/>
        <v>4</v>
      </c>
      <c r="P59" s="458">
        <f t="shared" si="5"/>
        <v>4</v>
      </c>
      <c r="Q59" s="458">
        <f t="shared" si="5"/>
        <v>2</v>
      </c>
      <c r="R59" s="458">
        <f t="shared" si="5"/>
        <v>2</v>
      </c>
      <c r="S59" s="458">
        <f t="shared" si="5"/>
        <v>2</v>
      </c>
      <c r="T59" s="458">
        <f t="shared" si="5"/>
        <v>3</v>
      </c>
      <c r="U59" s="458">
        <f t="shared" si="5"/>
        <v>2</v>
      </c>
      <c r="V59" s="458">
        <f t="shared" si="5"/>
        <v>3</v>
      </c>
      <c r="W59" s="458">
        <f t="shared" si="5"/>
        <v>4</v>
      </c>
      <c r="X59" s="458">
        <f t="shared" si="5"/>
        <v>3</v>
      </c>
      <c r="Y59" s="458">
        <f t="shared" si="5"/>
        <v>7</v>
      </c>
      <c r="Z59" s="458">
        <f t="shared" si="5"/>
        <v>7</v>
      </c>
      <c r="AA59" s="458">
        <f t="shared" si="5"/>
        <v>5</v>
      </c>
      <c r="AB59" s="458">
        <f t="shared" si="5"/>
        <v>4</v>
      </c>
      <c r="AC59" s="458">
        <f t="shared" si="5"/>
        <v>4</v>
      </c>
      <c r="AD59" s="458">
        <f t="shared" si="5"/>
        <v>3</v>
      </c>
      <c r="AE59" s="458">
        <f t="shared" si="5"/>
        <v>3</v>
      </c>
      <c r="AF59" s="458">
        <f t="shared" si="5"/>
        <v>3</v>
      </c>
      <c r="AG59" s="458">
        <f t="shared" si="5"/>
        <v>3</v>
      </c>
      <c r="AH59" s="458">
        <f t="shared" si="5"/>
        <v>4</v>
      </c>
      <c r="AI59" s="458">
        <f t="shared" si="5"/>
        <v>3</v>
      </c>
      <c r="AJ59" s="458">
        <f t="shared" si="5"/>
        <v>4</v>
      </c>
      <c r="AK59" s="458">
        <f t="shared" si="5"/>
        <v>4</v>
      </c>
      <c r="AL59" s="458">
        <f t="shared" si="5"/>
        <v>4</v>
      </c>
      <c r="AM59" s="458">
        <f t="shared" si="5"/>
        <v>3</v>
      </c>
      <c r="AN59" s="458">
        <f t="shared" si="5"/>
        <v>3</v>
      </c>
      <c r="AO59" s="458">
        <f t="shared" si="5"/>
        <v>5</v>
      </c>
      <c r="AP59" s="458">
        <f t="shared" si="5"/>
        <v>5</v>
      </c>
      <c r="AQ59" s="458">
        <f t="shared" si="5"/>
        <v>4</v>
      </c>
      <c r="AR59" s="458">
        <f t="shared" si="5"/>
        <v>3</v>
      </c>
      <c r="AS59" s="458">
        <f t="shared" si="5"/>
        <v>3</v>
      </c>
      <c r="AT59" s="458">
        <f t="shared" si="5"/>
        <v>2</v>
      </c>
      <c r="AU59" s="458">
        <f t="shared" si="5"/>
        <v>3</v>
      </c>
      <c r="AV59" s="458">
        <f t="shared" si="5"/>
        <v>2</v>
      </c>
      <c r="AW59" s="458">
        <f t="shared" si="5"/>
        <v>2</v>
      </c>
      <c r="AX59" s="452">
        <f>SUM(J59:AW59)</f>
        <v>134</v>
      </c>
      <c r="AY59" s="485" t="s">
        <v>581</v>
      </c>
      <c r="AZ59" s="485"/>
    </row>
    <row r="60" spans="1:52" ht="18.75" x14ac:dyDescent="0.3">
      <c r="B60" s="484" t="s">
        <v>588</v>
      </c>
      <c r="C60" s="484"/>
      <c r="D60" s="453"/>
      <c r="E60" s="453"/>
      <c r="F60" s="453"/>
      <c r="G60" s="484" t="s">
        <v>589</v>
      </c>
      <c r="H60" s="484"/>
      <c r="I60" s="484"/>
      <c r="J60" s="460">
        <f>[1]Weighted!B$11</f>
        <v>1.05</v>
      </c>
      <c r="K60" s="460">
        <f>[1]Weighted!C$11</f>
        <v>1.05</v>
      </c>
      <c r="L60" s="460">
        <f>[1]Weighted!D$11</f>
        <v>1.05</v>
      </c>
      <c r="M60" s="460">
        <f>[1]Weighted!E$11</f>
        <v>1.05</v>
      </c>
      <c r="N60" s="460">
        <f>[1]Weighted!F$11</f>
        <v>1.05</v>
      </c>
      <c r="O60" s="460">
        <f>[1]Weighted!G$11</f>
        <v>2.1</v>
      </c>
      <c r="P60" s="460">
        <f>[1]Weighted!H$11</f>
        <v>1.05</v>
      </c>
      <c r="Q60" s="460">
        <f>[1]Weighted!I$11</f>
        <v>2.1</v>
      </c>
      <c r="R60" s="460">
        <f>[1]Weighted!J$11</f>
        <v>1.05</v>
      </c>
      <c r="S60" s="460">
        <f>[1]Weighted!K$11</f>
        <v>2.1</v>
      </c>
      <c r="T60" s="460">
        <f>[1]Weighted!L$11</f>
        <v>2.1</v>
      </c>
      <c r="U60" s="460">
        <f>[1]Weighted!M$11</f>
        <v>2.1</v>
      </c>
      <c r="V60" s="460">
        <f>[1]Weighted!N$11</f>
        <v>2.1</v>
      </c>
      <c r="W60" s="460">
        <f>[1]Weighted!O$11</f>
        <v>3.1500000000000004</v>
      </c>
      <c r="X60" s="460">
        <f>[1]Weighted!P$11</f>
        <v>3.1500000000000004</v>
      </c>
      <c r="Y60" s="460">
        <f>[1]Weighted!Q$11</f>
        <v>2.1</v>
      </c>
      <c r="Z60" s="460">
        <f>[1]Weighted!R$11</f>
        <v>4.2</v>
      </c>
      <c r="AA60" s="460">
        <f>[1]Weighted!S$11</f>
        <v>2.1</v>
      </c>
      <c r="AB60" s="460">
        <f>[1]Weighted!T$11</f>
        <v>3.1500000000000004</v>
      </c>
      <c r="AC60" s="460">
        <f>[1]Weighted!U$11</f>
        <v>4.2</v>
      </c>
      <c r="AD60" s="460">
        <f>[1]Weighted!V$11</f>
        <v>4.2</v>
      </c>
      <c r="AE60" s="460">
        <f>[1]Weighted!W$11</f>
        <v>4.2</v>
      </c>
      <c r="AF60" s="460">
        <f>[1]Weighted!X$11</f>
        <v>3.1500000000000004</v>
      </c>
      <c r="AG60" s="460">
        <f>[1]Weighted!Y$11</f>
        <v>2.1</v>
      </c>
      <c r="AH60" s="460">
        <f>[1]Weighted!Z$11</f>
        <v>2.1</v>
      </c>
      <c r="AI60" s="460">
        <f>[1]Weighted!AA$11</f>
        <v>2.1</v>
      </c>
      <c r="AJ60" s="460">
        <f>[1]Weighted!AB$11</f>
        <v>2.1</v>
      </c>
      <c r="AK60" s="460">
        <f>[1]Weighted!AC$11</f>
        <v>2.1</v>
      </c>
      <c r="AL60" s="460">
        <f>[1]Weighted!AD$11</f>
        <v>3.1500000000000004</v>
      </c>
      <c r="AM60" s="460">
        <f>[1]Weighted!AE$11</f>
        <v>4.2</v>
      </c>
      <c r="AN60" s="460">
        <f>[1]Weighted!AF$11</f>
        <v>2.1</v>
      </c>
      <c r="AO60" s="460">
        <f>[1]Weighted!AG$11</f>
        <v>2.1</v>
      </c>
      <c r="AP60" s="460">
        <f>[1]Weighted!AH$11</f>
        <v>1.05</v>
      </c>
      <c r="AQ60" s="460">
        <f>[1]Weighted!AI$11</f>
        <v>1.05</v>
      </c>
      <c r="AR60" s="460">
        <f>[1]Weighted!AJ$11</f>
        <v>1.05</v>
      </c>
      <c r="AS60" s="460">
        <f>[1]Weighted!AK$11</f>
        <v>1.05</v>
      </c>
      <c r="AT60" s="460">
        <f>[1]Weighted!AL$11</f>
        <v>1.05</v>
      </c>
      <c r="AU60" s="460">
        <f>[1]Weighted!AM$11</f>
        <v>1.05</v>
      </c>
      <c r="AV60" s="460">
        <f>[1]Weighted!AN$11</f>
        <v>1.05</v>
      </c>
      <c r="AW60" s="460">
        <f>[1]Weighted!AO$11</f>
        <v>1.05</v>
      </c>
      <c r="AX60" s="452">
        <f>SUM(J60:AW60)</f>
        <v>83.999999999999986</v>
      </c>
      <c r="AY60" s="485" t="s">
        <v>588</v>
      </c>
      <c r="AZ60" s="485"/>
    </row>
    <row r="61" spans="1:52" ht="18.75" x14ac:dyDescent="0.3">
      <c r="B61" s="484" t="s">
        <v>590</v>
      </c>
      <c r="C61" s="484"/>
      <c r="D61" s="453"/>
      <c r="E61" s="453"/>
      <c r="F61" s="453"/>
      <c r="G61" s="484" t="s">
        <v>590</v>
      </c>
      <c r="H61" s="484"/>
      <c r="I61" s="484"/>
      <c r="J61" s="460">
        <f>ROUNDUP(J60/2,0)</f>
        <v>1</v>
      </c>
      <c r="K61" s="460">
        <f t="shared" ref="K61:AW61" si="6">ROUNDUP(K60/2,0)</f>
        <v>1</v>
      </c>
      <c r="L61" s="460">
        <f t="shared" si="6"/>
        <v>1</v>
      </c>
      <c r="M61" s="460">
        <f t="shared" si="6"/>
        <v>1</v>
      </c>
      <c r="N61" s="460">
        <f t="shared" si="6"/>
        <v>1</v>
      </c>
      <c r="O61" s="460">
        <f t="shared" si="6"/>
        <v>2</v>
      </c>
      <c r="P61" s="460">
        <f t="shared" si="6"/>
        <v>1</v>
      </c>
      <c r="Q61" s="460">
        <f t="shared" si="6"/>
        <v>2</v>
      </c>
      <c r="R61" s="460">
        <f t="shared" si="6"/>
        <v>1</v>
      </c>
      <c r="S61" s="460">
        <f t="shared" si="6"/>
        <v>2</v>
      </c>
      <c r="T61" s="460">
        <f t="shared" si="6"/>
        <v>2</v>
      </c>
      <c r="U61" s="460">
        <f t="shared" si="6"/>
        <v>2</v>
      </c>
      <c r="V61" s="460">
        <f t="shared" si="6"/>
        <v>2</v>
      </c>
      <c r="W61" s="460">
        <f t="shared" si="6"/>
        <v>2</v>
      </c>
      <c r="X61" s="460">
        <f t="shared" si="6"/>
        <v>2</v>
      </c>
      <c r="Y61" s="460">
        <f t="shared" si="6"/>
        <v>2</v>
      </c>
      <c r="Z61" s="460">
        <f t="shared" si="6"/>
        <v>3</v>
      </c>
      <c r="AA61" s="460">
        <f t="shared" si="6"/>
        <v>2</v>
      </c>
      <c r="AB61" s="460">
        <f t="shared" si="6"/>
        <v>2</v>
      </c>
      <c r="AC61" s="460">
        <f t="shared" si="6"/>
        <v>3</v>
      </c>
      <c r="AD61" s="460">
        <f t="shared" si="6"/>
        <v>3</v>
      </c>
      <c r="AE61" s="460">
        <f t="shared" si="6"/>
        <v>3</v>
      </c>
      <c r="AF61" s="460">
        <f t="shared" si="6"/>
        <v>2</v>
      </c>
      <c r="AG61" s="460">
        <f t="shared" si="6"/>
        <v>2</v>
      </c>
      <c r="AH61" s="460">
        <f t="shared" si="6"/>
        <v>2</v>
      </c>
      <c r="AI61" s="460">
        <f t="shared" si="6"/>
        <v>2</v>
      </c>
      <c r="AJ61" s="460">
        <f t="shared" si="6"/>
        <v>2</v>
      </c>
      <c r="AK61" s="460">
        <f t="shared" si="6"/>
        <v>2</v>
      </c>
      <c r="AL61" s="460">
        <f t="shared" si="6"/>
        <v>2</v>
      </c>
      <c r="AM61" s="460">
        <f t="shared" si="6"/>
        <v>3</v>
      </c>
      <c r="AN61" s="460">
        <f t="shared" si="6"/>
        <v>2</v>
      </c>
      <c r="AO61" s="460">
        <f t="shared" si="6"/>
        <v>2</v>
      </c>
      <c r="AP61" s="460">
        <f t="shared" si="6"/>
        <v>1</v>
      </c>
      <c r="AQ61" s="460">
        <f t="shared" si="6"/>
        <v>1</v>
      </c>
      <c r="AR61" s="460">
        <f t="shared" si="6"/>
        <v>1</v>
      </c>
      <c r="AS61" s="460">
        <f t="shared" si="6"/>
        <v>1</v>
      </c>
      <c r="AT61" s="460">
        <f t="shared" si="6"/>
        <v>1</v>
      </c>
      <c r="AU61" s="460">
        <f t="shared" si="6"/>
        <v>1</v>
      </c>
      <c r="AV61" s="460">
        <f t="shared" si="6"/>
        <v>1</v>
      </c>
      <c r="AW61" s="460">
        <f t="shared" si="6"/>
        <v>1</v>
      </c>
      <c r="AX61" s="452">
        <f>SUM(J61:AW61)</f>
        <v>70</v>
      </c>
      <c r="AY61" s="485" t="s">
        <v>590</v>
      </c>
      <c r="AZ61" s="485"/>
    </row>
    <row r="62" spans="1:52" ht="15.75" customHeight="1" x14ac:dyDescent="0.3">
      <c r="B62" s="484" t="s">
        <v>591</v>
      </c>
      <c r="C62" s="484"/>
      <c r="D62" s="453"/>
      <c r="E62" s="453"/>
      <c r="F62" s="453"/>
      <c r="G62" s="484" t="s">
        <v>591</v>
      </c>
      <c r="H62" s="484"/>
      <c r="I62" s="484"/>
      <c r="J62" s="461">
        <f>J59-J61</f>
        <v>0</v>
      </c>
      <c r="K62" s="461">
        <f t="shared" ref="K62:AW62" si="7">K59-K61</f>
        <v>1</v>
      </c>
      <c r="L62" s="461">
        <f t="shared" si="7"/>
        <v>2</v>
      </c>
      <c r="M62" s="461">
        <f t="shared" si="7"/>
        <v>3</v>
      </c>
      <c r="N62" s="461">
        <f t="shared" si="7"/>
        <v>1</v>
      </c>
      <c r="O62" s="461">
        <f t="shared" si="7"/>
        <v>2</v>
      </c>
      <c r="P62" s="461">
        <f t="shared" si="7"/>
        <v>3</v>
      </c>
      <c r="Q62" s="461">
        <f t="shared" si="7"/>
        <v>0</v>
      </c>
      <c r="R62" s="461">
        <f t="shared" si="7"/>
        <v>1</v>
      </c>
      <c r="S62" s="461">
        <f t="shared" si="7"/>
        <v>0</v>
      </c>
      <c r="T62" s="461">
        <f t="shared" si="7"/>
        <v>1</v>
      </c>
      <c r="U62" s="461">
        <f t="shared" si="7"/>
        <v>0</v>
      </c>
      <c r="V62" s="461">
        <f t="shared" si="7"/>
        <v>1</v>
      </c>
      <c r="W62" s="461">
        <f t="shared" si="7"/>
        <v>2</v>
      </c>
      <c r="X62" s="461">
        <f t="shared" si="7"/>
        <v>1</v>
      </c>
      <c r="Y62" s="461">
        <f t="shared" si="7"/>
        <v>5</v>
      </c>
      <c r="Z62" s="461">
        <f t="shared" si="7"/>
        <v>4</v>
      </c>
      <c r="AA62" s="461">
        <f t="shared" si="7"/>
        <v>3</v>
      </c>
      <c r="AB62" s="461">
        <f t="shared" si="7"/>
        <v>2</v>
      </c>
      <c r="AC62" s="461">
        <f t="shared" si="7"/>
        <v>1</v>
      </c>
      <c r="AD62" s="461">
        <f t="shared" si="7"/>
        <v>0</v>
      </c>
      <c r="AE62" s="461">
        <f t="shared" si="7"/>
        <v>0</v>
      </c>
      <c r="AF62" s="461">
        <f t="shared" si="7"/>
        <v>1</v>
      </c>
      <c r="AG62" s="461">
        <f t="shared" si="7"/>
        <v>1</v>
      </c>
      <c r="AH62" s="461">
        <f t="shared" si="7"/>
        <v>2</v>
      </c>
      <c r="AI62" s="461">
        <f t="shared" si="7"/>
        <v>1</v>
      </c>
      <c r="AJ62" s="461">
        <f t="shared" si="7"/>
        <v>2</v>
      </c>
      <c r="AK62" s="461">
        <f t="shared" si="7"/>
        <v>2</v>
      </c>
      <c r="AL62" s="461">
        <f t="shared" si="7"/>
        <v>2</v>
      </c>
      <c r="AM62" s="461">
        <f t="shared" si="7"/>
        <v>0</v>
      </c>
      <c r="AN62" s="461">
        <f t="shared" si="7"/>
        <v>1</v>
      </c>
      <c r="AO62" s="461">
        <f t="shared" si="7"/>
        <v>3</v>
      </c>
      <c r="AP62" s="461">
        <f t="shared" si="7"/>
        <v>4</v>
      </c>
      <c r="AQ62" s="461">
        <f t="shared" si="7"/>
        <v>3</v>
      </c>
      <c r="AR62" s="461">
        <f t="shared" si="7"/>
        <v>2</v>
      </c>
      <c r="AS62" s="461">
        <f t="shared" si="7"/>
        <v>2</v>
      </c>
      <c r="AT62" s="461">
        <f t="shared" si="7"/>
        <v>1</v>
      </c>
      <c r="AU62" s="461">
        <f t="shared" si="7"/>
        <v>2</v>
      </c>
      <c r="AV62" s="461">
        <f t="shared" si="7"/>
        <v>1</v>
      </c>
      <c r="AW62" s="461">
        <f t="shared" si="7"/>
        <v>1</v>
      </c>
      <c r="AX62" s="454">
        <f>AVERAGE(J62:AW62)</f>
        <v>1.6</v>
      </c>
      <c r="AY62" s="486" t="s">
        <v>591</v>
      </c>
      <c r="AZ62" s="486"/>
    </row>
    <row r="63" spans="1:52" ht="15.75" customHeight="1" x14ac:dyDescent="0.2"/>
    <row r="64" spans="1:52" ht="15.75" customHeight="1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</sheetData>
  <sheetProtection autoFilter="0"/>
  <mergeCells count="19">
    <mergeCell ref="B61:C61"/>
    <mergeCell ref="G61:I61"/>
    <mergeCell ref="AY61:AZ61"/>
    <mergeCell ref="B62:C62"/>
    <mergeCell ref="G62:I62"/>
    <mergeCell ref="AY62:AZ62"/>
    <mergeCell ref="AY58:AZ58"/>
    <mergeCell ref="AY59:AZ59"/>
    <mergeCell ref="B60:C60"/>
    <mergeCell ref="G60:I60"/>
    <mergeCell ref="AY60:AZ60"/>
    <mergeCell ref="B3:C3"/>
    <mergeCell ref="E3:F3"/>
    <mergeCell ref="E4:F4"/>
    <mergeCell ref="B58:C58"/>
    <mergeCell ref="B59:C59"/>
    <mergeCell ref="F6:I6"/>
    <mergeCell ref="G58:I58"/>
    <mergeCell ref="G59:I59"/>
  </mergeCells>
  <conditionalFormatting sqref="J9:AX54">
    <cfRule type="containsBlanks" dxfId="599" priority="15" stopIfTrue="1">
      <formula>LEN(TRIM(J9))=0</formula>
    </cfRule>
    <cfRule type="beginsWith" dxfId="598" priority="17" stopIfTrue="1" operator="beginsWith" text="u">
      <formula>LEFT(J9,LEN("u"))="u"</formula>
    </cfRule>
    <cfRule type="beginsWith" dxfId="597" priority="18" stopIfTrue="1" operator="beginsWith" text="p">
      <formula>LEFT(J9,LEN("p"))="p"</formula>
    </cfRule>
    <cfRule type="containsText" dxfId="596" priority="19" stopIfTrue="1" operator="containsText" text="B1">
      <formula>NOT(ISERROR(SEARCH("B1",J9)))</formula>
    </cfRule>
    <cfRule type="containsText" dxfId="595" priority="20" stopIfTrue="1" operator="containsText" text="B2">
      <formula>NOT(ISERROR(SEARCH("B2",J9)))</formula>
    </cfRule>
    <cfRule type="containsText" dxfId="594" priority="21" stopIfTrue="1" operator="containsText" text="Lunch">
      <formula>NOT(ISERROR(SEARCH("Lunch",J9)))</formula>
    </cfRule>
    <cfRule type="containsText" dxfId="593" priority="22" stopIfTrue="1" operator="containsText" text="Interview">
      <formula>NOT(ISERROR(SEARCH("Interview",J9)))</formula>
    </cfRule>
    <cfRule type="containsText" dxfId="592" priority="23" stopIfTrue="1" operator="containsText" text="Side by Side">
      <formula>NOT(ISERROR(SEARCH("Side by Side",J9)))</formula>
    </cfRule>
    <cfRule type="containsText" dxfId="591" priority="24" stopIfTrue="1" operator="containsText" text="COACHING">
      <formula>NOT(ISERROR(SEARCH("COACHING",J9)))</formula>
    </cfRule>
    <cfRule type="containsText" dxfId="590" priority="25" stopIfTrue="1" operator="containsText" text="TM">
      <formula>NOT(ISERROR(SEARCH("TM",J9)))</formula>
    </cfRule>
    <cfRule type="containsText" dxfId="589" priority="26" stopIfTrue="1" operator="containsText" text="RNNR">
      <formula>NOT(ISERROR(SEARCH("RNNR",J9)))</formula>
    </cfRule>
    <cfRule type="containsText" dxfId="588" priority="27" stopIfTrue="1" operator="containsText" text="ADM">
      <formula>NOT(ISERROR(SEARCH("ADM",J9)))</formula>
    </cfRule>
    <cfRule type="containsText" dxfId="587" priority="28" stopIfTrue="1" operator="containsText" text="HL">
      <formula>NOT(ISERROR(SEARCH("HL",J9)))</formula>
    </cfRule>
    <cfRule type="notContainsBlanks" dxfId="586" priority="29" stopIfTrue="1">
      <formula>LEN(TRIM(J9))&gt;0</formula>
    </cfRule>
  </conditionalFormatting>
  <conditionalFormatting sqref="J58:AW58">
    <cfRule type="cellIs" dxfId="585" priority="6" operator="greaterThanOrEqual">
      <formula>2</formula>
    </cfRule>
    <cfRule type="containsText" dxfId="584" priority="7" operator="containsText" text="1">
      <formula>NOT(ISERROR(SEARCH("1",J58)))</formula>
    </cfRule>
    <cfRule type="containsText" dxfId="583" priority="8" operator="containsText" text="0">
      <formula>NOT(ISERROR(SEARCH("0",J58)))</formula>
    </cfRule>
  </conditionalFormatting>
  <conditionalFormatting sqref="J59:AW59">
    <cfRule type="cellIs" dxfId="582" priority="3" operator="greaterThanOrEqual">
      <formula>2</formula>
    </cfRule>
    <cfRule type="containsText" dxfId="581" priority="4" operator="containsText" text="1">
      <formula>NOT(ISERROR(SEARCH("1",J59)))</formula>
    </cfRule>
    <cfRule type="containsText" dxfId="580" priority="5" operator="containsText" text="0">
      <formula>NOT(ISERROR(SEARCH("0",J59)))</formula>
    </cfRule>
  </conditionalFormatting>
  <conditionalFormatting sqref="J62:AW62">
    <cfRule type="colorScale" priority="1">
      <colorScale>
        <cfvo type="num" val="-0.05"/>
        <cfvo type="num" val="0"/>
        <cfvo type="num" val="0.05"/>
        <color rgb="FFF8696B"/>
        <color rgb="FFCDF3CD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stopIfTrue="1" operator="containsText" id="{E99D00E0-0B5E-4BF4-9A2D-F42158967B05}">
            <xm:f>NOT(ISERROR(SEARCH("-",J9)))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J9:AX54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6"/>
    <outlinePr summaryBelow="0" summaryRight="0"/>
  </sheetPr>
  <dimension ref="A1:BA99"/>
  <sheetViews>
    <sheetView workbookViewId="0">
      <pane xSplit="9" ySplit="8" topLeftCell="J9" activePane="bottomRight" state="frozen"/>
      <selection activeCell="BB1" sqref="BB1:XFD1048576"/>
      <selection pane="topRight" activeCell="BB1" sqref="BB1:XFD1048576"/>
      <selection pane="bottomLeft" activeCell="BB1" sqref="BB1:XFD1048576"/>
      <selection pane="bottomRight" activeCell="B3" sqref="B3:C3"/>
    </sheetView>
  </sheetViews>
  <sheetFormatPr defaultColWidth="0" defaultRowHeight="12.75" zeroHeight="1" x14ac:dyDescent="0.2"/>
  <cols>
    <col min="1" max="1" width="0.7109375" style="6" customWidth="1"/>
    <col min="2" max="2" width="22.42578125" style="6" bestFit="1" customWidth="1"/>
    <col min="3" max="3" width="10.7109375" style="6" customWidth="1"/>
    <col min="4" max="4" width="11.85546875" style="6" customWidth="1"/>
    <col min="5" max="5" width="11.42578125" style="6" customWidth="1"/>
    <col min="6" max="6" width="11.28515625" style="6" customWidth="1"/>
    <col min="7" max="7" width="12.28515625" style="6" customWidth="1"/>
    <col min="8" max="50" width="10.7109375" style="6" customWidth="1"/>
    <col min="51" max="51" width="22.42578125" style="6" bestFit="1" customWidth="1"/>
    <col min="52" max="52" width="1.7109375" style="6" customWidth="1"/>
    <col min="53" max="53" width="9.140625" style="6" customWidth="1"/>
    <col min="54" max="16384" width="9.140625" style="6" hidden="1"/>
  </cols>
  <sheetData>
    <row r="1" spans="1:51" ht="6" customHeight="1" x14ac:dyDescent="0.2">
      <c r="D1" s="5"/>
    </row>
    <row r="2" spans="1:51" x14ac:dyDescent="0.2"/>
    <row r="3" spans="1:51" ht="24.95" customHeight="1" x14ac:dyDescent="0.2">
      <c r="B3" s="480" t="str">
        <f>TEXT(Day_3,"DDDD")&amp;" - "&amp;TEXT(Day_3,"mm/dd/yy")</f>
        <v>Tuesday - 03/24/20</v>
      </c>
      <c r="C3" s="480"/>
      <c r="D3" s="106"/>
      <c r="E3" s="489" t="s">
        <v>429</v>
      </c>
      <c r="F3" s="489"/>
      <c r="G3" s="147"/>
      <c r="K3" s="94" t="s">
        <v>124</v>
      </c>
      <c r="L3" s="152" t="s">
        <v>218</v>
      </c>
      <c r="M3" s="153" t="s">
        <v>220</v>
      </c>
      <c r="N3" s="71" t="s">
        <v>126</v>
      </c>
      <c r="O3" s="72" t="s">
        <v>130</v>
      </c>
      <c r="P3" s="73" t="s">
        <v>90</v>
      </c>
      <c r="Q3" s="139" t="s">
        <v>215</v>
      </c>
      <c r="R3" s="138" t="s">
        <v>211</v>
      </c>
      <c r="S3" s="137" t="s">
        <v>127</v>
      </c>
      <c r="T3" s="151" t="s">
        <v>139</v>
      </c>
      <c r="U3" s="69" t="s">
        <v>129</v>
      </c>
      <c r="V3" s="155" t="s">
        <v>146</v>
      </c>
      <c r="W3" s="157" t="s">
        <v>222</v>
      </c>
      <c r="X3" s="228" t="s">
        <v>366</v>
      </c>
      <c r="Y3" s="243" t="s">
        <v>371</v>
      </c>
      <c r="Z3" s="212"/>
      <c r="AA3" s="213"/>
      <c r="AB3" s="214"/>
      <c r="AD3" s="94" t="s">
        <v>124</v>
      </c>
      <c r="AE3" s="152" t="s">
        <v>218</v>
      </c>
      <c r="AF3" s="153" t="s">
        <v>220</v>
      </c>
      <c r="AG3" s="71" t="s">
        <v>126</v>
      </c>
      <c r="AH3" s="72" t="s">
        <v>130</v>
      </c>
      <c r="AI3" s="73" t="s">
        <v>90</v>
      </c>
      <c r="AJ3" s="139" t="s">
        <v>215</v>
      </c>
      <c r="AK3" s="138" t="s">
        <v>211</v>
      </c>
      <c r="AL3" s="137" t="s">
        <v>127</v>
      </c>
      <c r="AM3" s="151" t="s">
        <v>139</v>
      </c>
      <c r="AN3" s="69" t="s">
        <v>129</v>
      </c>
      <c r="AO3" s="155" t="s">
        <v>146</v>
      </c>
      <c r="AP3" s="157" t="s">
        <v>222</v>
      </c>
      <c r="AQ3" s="228" t="s">
        <v>366</v>
      </c>
      <c r="AR3" s="243" t="s">
        <v>371</v>
      </c>
    </row>
    <row r="4" spans="1:51" ht="24.95" customHeight="1" x14ac:dyDescent="0.2">
      <c r="B4" s="7"/>
      <c r="J4" s="18"/>
      <c r="K4" s="94" t="s">
        <v>125</v>
      </c>
      <c r="L4" s="154" t="s">
        <v>217</v>
      </c>
      <c r="M4" s="154" t="s">
        <v>221</v>
      </c>
      <c r="N4" s="70" t="s">
        <v>87</v>
      </c>
      <c r="O4" s="67" t="s">
        <v>89</v>
      </c>
      <c r="P4" s="67" t="s">
        <v>213</v>
      </c>
      <c r="Q4" s="67" t="s">
        <v>214</v>
      </c>
      <c r="R4" s="67" t="s">
        <v>212</v>
      </c>
      <c r="S4" s="67" t="s">
        <v>128</v>
      </c>
      <c r="T4" s="67" t="s">
        <v>138</v>
      </c>
      <c r="U4" s="67" t="s">
        <v>129</v>
      </c>
      <c r="V4" s="156" t="s">
        <v>145</v>
      </c>
      <c r="W4" s="98" t="s">
        <v>223</v>
      </c>
      <c r="X4" s="98" t="s">
        <v>367</v>
      </c>
      <c r="Y4" s="241" t="s">
        <v>372</v>
      </c>
      <c r="Z4" s="215"/>
      <c r="AA4" s="216"/>
      <c r="AB4" s="217"/>
      <c r="AD4" s="94" t="s">
        <v>125</v>
      </c>
      <c r="AE4" s="154" t="s">
        <v>217</v>
      </c>
      <c r="AF4" s="154" t="s">
        <v>221</v>
      </c>
      <c r="AG4" s="70" t="s">
        <v>87</v>
      </c>
      <c r="AH4" s="67" t="s">
        <v>89</v>
      </c>
      <c r="AI4" s="67" t="s">
        <v>213</v>
      </c>
      <c r="AJ4" s="67" t="s">
        <v>214</v>
      </c>
      <c r="AK4" s="67" t="s">
        <v>212</v>
      </c>
      <c r="AL4" s="67" t="s">
        <v>128</v>
      </c>
      <c r="AM4" s="67" t="s">
        <v>138</v>
      </c>
      <c r="AN4" s="67" t="s">
        <v>129</v>
      </c>
      <c r="AO4" s="156" t="s">
        <v>145</v>
      </c>
      <c r="AP4" s="98" t="s">
        <v>223</v>
      </c>
      <c r="AQ4" s="98" t="s">
        <v>367</v>
      </c>
      <c r="AR4" s="241" t="s">
        <v>372</v>
      </c>
    </row>
    <row r="5" spans="1:51" ht="6" customHeight="1" x14ac:dyDescent="0.2"/>
    <row r="6" spans="1:51" ht="17.25" customHeight="1" x14ac:dyDescent="0.2">
      <c r="F6" s="477" t="s">
        <v>132</v>
      </c>
      <c r="G6" s="478"/>
      <c r="H6" s="478"/>
      <c r="I6" s="479"/>
      <c r="J6" s="19"/>
      <c r="K6" s="19"/>
    </row>
    <row r="7" spans="1:51" ht="6" customHeight="1" thickBot="1" x14ac:dyDescent="0.25">
      <c r="J7" s="104" t="s">
        <v>93</v>
      </c>
      <c r="K7" s="104" t="s">
        <v>95</v>
      </c>
      <c r="L7" s="104" t="s">
        <v>97</v>
      </c>
      <c r="M7" s="104" t="s">
        <v>140</v>
      </c>
      <c r="N7" s="104" t="s">
        <v>109</v>
      </c>
      <c r="O7" s="104" t="s">
        <v>103</v>
      </c>
      <c r="P7" s="104" t="s">
        <v>121</v>
      </c>
      <c r="Q7" s="104" t="s">
        <v>113</v>
      </c>
      <c r="R7" s="104" t="s">
        <v>105</v>
      </c>
      <c r="S7" s="104" t="s">
        <v>107</v>
      </c>
      <c r="T7" s="104" t="s">
        <v>141</v>
      </c>
      <c r="U7" s="104" t="s">
        <v>101</v>
      </c>
      <c r="V7" s="104" t="s">
        <v>122</v>
      </c>
      <c r="W7" s="104" t="s">
        <v>116</v>
      </c>
      <c r="X7" s="104" t="s">
        <v>148</v>
      </c>
      <c r="Y7" s="104" t="s">
        <v>149</v>
      </c>
      <c r="Z7" s="104" t="s">
        <v>111</v>
      </c>
      <c r="AA7" s="104" t="s">
        <v>94</v>
      </c>
      <c r="AB7" s="104" t="s">
        <v>96</v>
      </c>
      <c r="AC7" s="104" t="s">
        <v>98</v>
      </c>
      <c r="AD7" s="104" t="s">
        <v>118</v>
      </c>
      <c r="AE7" s="104" t="s">
        <v>99</v>
      </c>
      <c r="AF7" s="104" t="s">
        <v>104</v>
      </c>
      <c r="AG7" s="104" t="s">
        <v>150</v>
      </c>
      <c r="AH7" s="104" t="s">
        <v>114</v>
      </c>
      <c r="AI7" s="104" t="s">
        <v>106</v>
      </c>
      <c r="AJ7" s="104" t="s">
        <v>108</v>
      </c>
      <c r="AK7" s="104" t="s">
        <v>142</v>
      </c>
      <c r="AL7" s="104" t="s">
        <v>102</v>
      </c>
      <c r="AM7" s="104" t="s">
        <v>143</v>
      </c>
      <c r="AN7" s="104" t="s">
        <v>123</v>
      </c>
      <c r="AO7" s="104" t="s">
        <v>117</v>
      </c>
      <c r="AP7" s="104" t="s">
        <v>151</v>
      </c>
      <c r="AQ7" s="104" t="s">
        <v>112</v>
      </c>
      <c r="AR7" s="104" t="s">
        <v>110</v>
      </c>
      <c r="AS7" s="104" t="s">
        <v>119</v>
      </c>
      <c r="AT7" s="104" t="s">
        <v>115</v>
      </c>
      <c r="AU7" s="104" t="s">
        <v>120</v>
      </c>
      <c r="AV7" s="104"/>
      <c r="AW7" s="104"/>
      <c r="AX7" s="105">
        <v>0</v>
      </c>
    </row>
    <row r="8" spans="1:51" ht="13.5" thickBot="1" x14ac:dyDescent="0.25">
      <c r="A8" s="15" t="s">
        <v>14</v>
      </c>
      <c r="B8" s="168" t="s">
        <v>2</v>
      </c>
      <c r="C8" s="169" t="s">
        <v>5</v>
      </c>
      <c r="D8" s="169" t="s">
        <v>84</v>
      </c>
      <c r="E8" s="169" t="s">
        <v>86</v>
      </c>
      <c r="F8" s="169" t="s">
        <v>87</v>
      </c>
      <c r="G8" s="169" t="s">
        <v>223</v>
      </c>
      <c r="H8" s="169" t="s">
        <v>89</v>
      </c>
      <c r="I8" s="169" t="s">
        <v>90</v>
      </c>
      <c r="J8" s="170" t="s">
        <v>93</v>
      </c>
      <c r="K8" s="170" t="s">
        <v>95</v>
      </c>
      <c r="L8" s="170" t="s">
        <v>97</v>
      </c>
      <c r="M8" s="170" t="s">
        <v>140</v>
      </c>
      <c r="N8" s="170" t="s">
        <v>109</v>
      </c>
      <c r="O8" s="170" t="s">
        <v>103</v>
      </c>
      <c r="P8" s="170" t="s">
        <v>121</v>
      </c>
      <c r="Q8" s="170" t="s">
        <v>113</v>
      </c>
      <c r="R8" s="170" t="s">
        <v>105</v>
      </c>
      <c r="S8" s="170" t="s">
        <v>107</v>
      </c>
      <c r="T8" s="170" t="s">
        <v>141</v>
      </c>
      <c r="U8" s="170" t="s">
        <v>101</v>
      </c>
      <c r="V8" s="170" t="s">
        <v>122</v>
      </c>
      <c r="W8" s="170" t="s">
        <v>116</v>
      </c>
      <c r="X8" s="170" t="s">
        <v>148</v>
      </c>
      <c r="Y8" s="170" t="s">
        <v>149</v>
      </c>
      <c r="Z8" s="340" t="s">
        <v>111</v>
      </c>
      <c r="AA8" s="340" t="s">
        <v>94</v>
      </c>
      <c r="AB8" s="170" t="s">
        <v>96</v>
      </c>
      <c r="AC8" s="170" t="s">
        <v>98</v>
      </c>
      <c r="AD8" s="170" t="s">
        <v>118</v>
      </c>
      <c r="AE8" s="170" t="s">
        <v>99</v>
      </c>
      <c r="AF8" s="170" t="s">
        <v>104</v>
      </c>
      <c r="AG8" s="170" t="s">
        <v>150</v>
      </c>
      <c r="AH8" s="170" t="s">
        <v>114</v>
      </c>
      <c r="AI8" s="170" t="s">
        <v>106</v>
      </c>
      <c r="AJ8" s="170" t="s">
        <v>108</v>
      </c>
      <c r="AK8" s="170" t="s">
        <v>142</v>
      </c>
      <c r="AL8" s="170" t="s">
        <v>102</v>
      </c>
      <c r="AM8" s="170" t="s">
        <v>143</v>
      </c>
      <c r="AN8" s="170" t="s">
        <v>123</v>
      </c>
      <c r="AO8" s="170" t="s">
        <v>117</v>
      </c>
      <c r="AP8" s="170" t="s">
        <v>151</v>
      </c>
      <c r="AQ8" s="170" t="s">
        <v>112</v>
      </c>
      <c r="AR8" s="170" t="s">
        <v>110</v>
      </c>
      <c r="AS8" s="170" t="s">
        <v>119</v>
      </c>
      <c r="AT8" s="170" t="s">
        <v>115</v>
      </c>
      <c r="AU8" s="170" t="s">
        <v>120</v>
      </c>
      <c r="AV8" s="199" t="s">
        <v>100</v>
      </c>
      <c r="AW8" s="199" t="s">
        <v>243</v>
      </c>
      <c r="AX8" s="199" t="s">
        <v>244</v>
      </c>
      <c r="AY8" s="171" t="s">
        <v>147</v>
      </c>
    </row>
    <row r="9" spans="1:51" s="44" customFormat="1" ht="12" x14ac:dyDescent="0.2">
      <c r="A9" s="39" t="str">
        <f>IF(B9="","",INDEX(TeamList[],MATCH($B9,TeamList[[Employee Name]:[Employee Name]],0),MATCH("Manager",TeamList[#Headers],0)))</f>
        <v>Olson, Katherine</v>
      </c>
      <c r="B9" s="201" t="s">
        <v>24</v>
      </c>
      <c r="C9" s="257" t="str">
        <f>_xlfn.IFNA(VLOOKUP(Tue_W1[[#This Row],[Employee Name]],'Base Schedules'!A:B,2,FALSE),"")</f>
        <v>Lead</v>
      </c>
      <c r="D9" s="274">
        <f>_xlfn.IFNA(VLOOKUP(Tue_W1[[#This Row],[Employee Name]],'Base Schedules'!A:C,3,FALSE),"")</f>
        <v>500</v>
      </c>
      <c r="E9" s="274">
        <f>_xlfn.IFNA(VLOOKUP(Tue_W1[[#This Row],[Employee Name]],'Base Schedules'!A:D,4,FALSE),"")</f>
        <v>1330</v>
      </c>
      <c r="F9" s="142">
        <f>IF(Tue_W1[[#This Row],[Employee Name]]="","",IF(Tue_W1[[#This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f>
        <v>8</v>
      </c>
      <c r="G9" s="142">
        <f t="shared" ref="G9:G55" si="0">IF(B9="","",COUNTIFS($J9:$AX9,"*Coaching*",$J9:$AX9,"&lt;&gt;"&amp;"pTM",$J9:$AX9,"&lt;&gt;"&amp;"uTM"))</f>
        <v>0</v>
      </c>
      <c r="H9" s="142">
        <f t="shared" ref="H9:H55" si="1">IF(B9="","",COUNTIFS($J9:$AX9,"*ADM*",$J9:$AX9,"&lt;&gt;"&amp;"pADM",$J9:$AX9,"&lt;&gt;"&amp;"uADM"))</f>
        <v>5</v>
      </c>
      <c r="I9" s="142">
        <f>IF(Tue_W1[[#This Row],[Employee Name]]="","",IF(Tue_W1[[#This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f>
        <v>2</v>
      </c>
      <c r="J9" s="184" t="str">
        <f>IFERROR(IF(VLOOKUP(Tue_W1[[#This Row],[Employee Name]],'Base Schedules'!$A$160:$AW$203,9,FALSE)="","",VLOOKUP(Tue_W1[[#This Row],[Employee Name]],'Base Schedules'!$A$160:$AW$203,9,FALSE)),"")</f>
        <v>HL</v>
      </c>
      <c r="K9" s="184" t="str">
        <f>IFERROR(IF(VLOOKUP(Tue_W1[[#This Row],[Employee Name]],'Base Schedules'!$A$160:$AW$203,10,FALSE)="","",VLOOKUP(Tue_W1[[#This Row],[Employee Name]],'Base Schedules'!$A$160:$AW$203,10,FALSE)),"")</f>
        <v>HL</v>
      </c>
      <c r="L9" s="184" t="str">
        <f>IFERROR(IF(VLOOKUP(Tue_W1[[#This Row],[Employee Name]],'Base Schedules'!$A$160:$AW$203,11,FALSE)="","",VLOOKUP(Tue_W1[[#This Row],[Employee Name]],'Base Schedules'!$A$160:$AW$203,11,FALSE)),"")</f>
        <v>HL</v>
      </c>
      <c r="M9" s="184" t="str">
        <f>IFERROR(IF(VLOOKUP(Tue_W1[[#This Row],[Employee Name]],'Base Schedules'!$A$160:$AW$203,12,FALSE)="","",VLOOKUP(Tue_W1[[#This Row],[Employee Name]],'Base Schedules'!$A$160:$AW$203,12,FALSE)),"")</f>
        <v>HL B1</v>
      </c>
      <c r="N9" s="184" t="str">
        <f>IFERROR(IF(VLOOKUP(Tue_W1[[#This Row],[Employee Name]],'Base Schedules'!$A$160:$AW$203,13,FALSE)="","",VLOOKUP(Tue_W1[[#This Row],[Employee Name]],'Base Schedules'!$A$160:$AW$203,13,FALSE)),"")</f>
        <v>HL</v>
      </c>
      <c r="O9" s="184" t="str">
        <f>IFERROR(IF(VLOOKUP(Tue_W1[[#This Row],[Employee Name]],'Base Schedules'!$A$160:$AW$203,14,FALSE)="","",VLOOKUP(Tue_W1[[#This Row],[Employee Name]],'Base Schedules'!$A$160:$AW$203,14,FALSE)),"")</f>
        <v>HL</v>
      </c>
      <c r="P9" s="184" t="str">
        <f>IFERROR(IF(VLOOKUP(Tue_W1[[#This Row],[Employee Name]],'Base Schedules'!$A$160:$AW$203,15,FALSE)="","",VLOOKUP(Tue_W1[[#This Row],[Employee Name]],'Base Schedules'!$A$160:$AW$203,15,FALSE)),"")</f>
        <v>RNNR</v>
      </c>
      <c r="Q9" s="184" t="str">
        <f>IFERROR(IF(VLOOKUP(Tue_W1[[#This Row],[Employee Name]],'Base Schedules'!$A$160:$AW$203,16,FALSE)="","",VLOOKUP(Tue_W1[[#This Row],[Employee Name]],'Base Schedules'!$A$160:$AW$203,16,FALSE)),"")</f>
        <v>RNNR</v>
      </c>
      <c r="R9" s="184" t="str">
        <f>IFERROR(IF(VLOOKUP(Tue_W1[[#This Row],[Employee Name]],'Base Schedules'!$A$160:$AW$203,17,FALSE)="","",VLOOKUP(Tue_W1[[#This Row],[Employee Name]],'Base Schedules'!$A$160:$AW$203,17,FALSE)),"")</f>
        <v>LUNCH</v>
      </c>
      <c r="S9" s="184" t="str">
        <f>IFERROR(IF(VLOOKUP(Tue_W1[[#This Row],[Employee Name]],'Base Schedules'!$A$160:$AW$203,18,FALSE)="","",VLOOKUP(Tue_W1[[#This Row],[Employee Name]],'Base Schedules'!$A$160:$AW$203,18,FALSE)),"")</f>
        <v>ADM</v>
      </c>
      <c r="T9" s="184" t="str">
        <f>IFERROR(IF(VLOOKUP(Tue_W1[[#This Row],[Employee Name]],'Base Schedules'!$A$160:$AW$203,19,FALSE)="","",VLOOKUP(Tue_W1[[#This Row],[Employee Name]],'Base Schedules'!$A$160:$AW$203,19,FALSE)),"")</f>
        <v>ADM</v>
      </c>
      <c r="U9" s="184" t="str">
        <f>IFERROR(IF(VLOOKUP(Tue_W1[[#This Row],[Employee Name]],'Base Schedules'!$A$160:$AW$203,20,FALSE)="","",VLOOKUP(Tue_W1[[#This Row],[Employee Name]],'Base Schedules'!$A$160:$AW$203,20,FALSE)),"")</f>
        <v>ADM</v>
      </c>
      <c r="V9" s="184" t="str">
        <f>IFERROR(IF(VLOOKUP(Tue_W1[[#This Row],[Employee Name]],'Base Schedules'!$A$160:$AW$203,21,FALSE)="","",VLOOKUP(Tue_W1[[#This Row],[Employee Name]],'Base Schedules'!$A$160:$AW$203,21,FALSE)),"")</f>
        <v>B2 HL</v>
      </c>
      <c r="W9" s="184" t="str">
        <f>IFERROR(IF(VLOOKUP(Tue_W1[[#This Row],[Employee Name]],'Base Schedules'!$A$160:$AW$203,22,FALSE)="","",VLOOKUP(Tue_W1[[#This Row],[Employee Name]],'Base Schedules'!$A$160:$AW$203,22,FALSE)),"")</f>
        <v>ADM</v>
      </c>
      <c r="X9" s="184" t="str">
        <f>IFERROR(IF(VLOOKUP(Tue_W1[[#This Row],[Employee Name]],'Base Schedules'!$A$160:$AW$203,23,FALSE)="","",VLOOKUP(Tue_W1[[#This Row],[Employee Name]],'Base Schedules'!$A$160:$AW$203,23,FALSE)),"")</f>
        <v>ADM</v>
      </c>
      <c r="Y9" s="184" t="str">
        <f>IFERROR(IF(VLOOKUP(Tue_W1[[#This Row],[Employee Name]],'Base Schedules'!$A$160:$AW$203,24,FALSE)="","",VLOOKUP(Tue_W1[[#This Row],[Employee Name]],'Base Schedules'!$A$160:$AW$203,24,FALSE)),"")</f>
        <v>HL</v>
      </c>
      <c r="Z9" s="184" t="str">
        <f>IFERROR(IF(VLOOKUP(Tue_W1[[#This Row],[Employee Name]],'Base Schedules'!$A$160:$AW$203,25,FALSE)="","",VLOOKUP(Tue_W1[[#This Row],[Employee Name]],'Base Schedules'!$A$160:$AW$203,25,FALSE)),"")</f>
        <v>HL</v>
      </c>
      <c r="AA9" s="184" t="str">
        <f>IFERROR(IF(VLOOKUP(Tue_W1[[#This Row],[Employee Name]],'Base Schedules'!$A$160:$AW$203,26,FALSE)="","",VLOOKUP(Tue_W1[[#This Row],[Employee Name]],'Base Schedules'!$A$160:$AW$203,26,FALSE)),"")</f>
        <v/>
      </c>
      <c r="AB9" s="184" t="str">
        <f>IFERROR(IF(VLOOKUP(Tue_W1[[#This Row],[Employee Name]],'Base Schedules'!$A$160:$AW$203,27,FALSE)="","",VLOOKUP(Tue_W1[[#This Row],[Employee Name]],'Base Schedules'!$A$160:$AW$203,27,FALSE)),"")</f>
        <v/>
      </c>
      <c r="AC9" s="184" t="str">
        <f>IFERROR(IF(VLOOKUP(Tue_W1[[#This Row],[Employee Name]],'Base Schedules'!$A$160:$AW$203,28,FALSE)="","",VLOOKUP(Tue_W1[[#This Row],[Employee Name]],'Base Schedules'!$A$160:$AW$203,28,FALSE)),"")</f>
        <v/>
      </c>
      <c r="AD9" s="184" t="str">
        <f>IFERROR(IF(VLOOKUP(Tue_W1[[#This Row],[Employee Name]],'Base Schedules'!$A$160:$AW$203,29,FALSE)="","",VLOOKUP(Tue_W1[[#This Row],[Employee Name]],'Base Schedules'!$A$160:$AW$203,29,FALSE)),"")</f>
        <v/>
      </c>
      <c r="AE9" s="184" t="str">
        <f>IFERROR(IF(VLOOKUP(Tue_W1[[#This Row],[Employee Name]],'Base Schedules'!$A$160:$AW$203,30,FALSE)="","",VLOOKUP(Tue_W1[[#This Row],[Employee Name]],'Base Schedules'!$A$160:$AW$203,30,FALSE)),"")</f>
        <v/>
      </c>
      <c r="AF9" s="184" t="str">
        <f>IFERROR(IF(VLOOKUP(Tue_W1[[#This Row],[Employee Name]],'Base Schedules'!$A$160:$AW$203,31,FALSE)="","",VLOOKUP(Tue_W1[[#This Row],[Employee Name]],'Base Schedules'!$A$160:$AW$203,31,FALSE)),"")</f>
        <v/>
      </c>
      <c r="AG9" s="184" t="str">
        <f>IFERROR(IF(VLOOKUP(Tue_W1[[#This Row],[Employee Name]],'Base Schedules'!$A$160:$AW$203,32,FALSE)="","",VLOOKUP(Tue_W1[[#This Row],[Employee Name]],'Base Schedules'!$A$160:$AW$203,32,FALSE)),"")</f>
        <v/>
      </c>
      <c r="AH9" s="184" t="str">
        <f>IFERROR(IF(VLOOKUP(Tue_W1[[#This Row],[Employee Name]],'Base Schedules'!$A$160:$AW$203,33,FALSE)="","",VLOOKUP(Tue_W1[[#This Row],[Employee Name]],'Base Schedules'!$A$160:$AW$203,33,FALSE)),"")</f>
        <v/>
      </c>
      <c r="AI9" s="184" t="str">
        <f>IFERROR(IF(VLOOKUP(Tue_W1[[#This Row],[Employee Name]],'Base Schedules'!$A$160:$AW$203,34,FALSE)="","",VLOOKUP(Tue_W1[[#This Row],[Employee Name]],'Base Schedules'!$A$160:$AW$203,34,FALSE)),"")</f>
        <v/>
      </c>
      <c r="AJ9" s="184" t="str">
        <f>IFERROR(IF(VLOOKUP(Tue_W1[[#This Row],[Employee Name]],'Base Schedules'!$A$160:$AW$203,35,FALSE)="","",VLOOKUP(Tue_W1[[#This Row],[Employee Name]],'Base Schedules'!$A$160:$AW$203,35,FALSE)),"")</f>
        <v/>
      </c>
      <c r="AK9" s="184" t="str">
        <f>IFERROR(IF(VLOOKUP(Tue_W1[[#This Row],[Employee Name]],'Base Schedules'!$A$160:$AW$203,36,FALSE)="","",VLOOKUP(Tue_W1[[#This Row],[Employee Name]],'Base Schedules'!$A$160:$AW$203,36,FALSE)),"")</f>
        <v/>
      </c>
      <c r="AL9" s="184" t="str">
        <f>IFERROR(IF(VLOOKUP(Tue_W1[[#This Row],[Employee Name]],'Base Schedules'!$A$160:$AW$203,37,FALSE)="","",VLOOKUP(Tue_W1[[#This Row],[Employee Name]],'Base Schedules'!$A$160:$AW$203,37,FALSE)),"")</f>
        <v/>
      </c>
      <c r="AM9" s="184" t="str">
        <f>IFERROR(IF(VLOOKUP(Tue_W1[[#This Row],[Employee Name]],'Base Schedules'!$A$160:$AW$203,38,FALSE)="","",VLOOKUP(Tue_W1[[#This Row],[Employee Name]],'Base Schedules'!$A$160:$AW$203,38,FALSE)),"")</f>
        <v/>
      </c>
      <c r="AN9" s="184" t="str">
        <f>IFERROR(IF(VLOOKUP(Tue_W1[[#This Row],[Employee Name]],'Base Schedules'!$A$160:$AW$203,39,FALSE)="","",VLOOKUP(Tue_W1[[#This Row],[Employee Name]],'Base Schedules'!$A$160:$AW$203,39,FALSE)),"")</f>
        <v/>
      </c>
      <c r="AO9" s="184" t="str">
        <f>IFERROR(IF(VLOOKUP(Tue_W1[[#This Row],[Employee Name]],'Base Schedules'!$A$160:$AW$203,40,FALSE)="","",VLOOKUP(Tue_W1[[#This Row],[Employee Name]],'Base Schedules'!$A$160:$AW$203,40,FALSE)),"")</f>
        <v/>
      </c>
      <c r="AP9" s="184" t="str">
        <f>IFERROR(IF(VLOOKUP(Tue_W1[[#This Row],[Employee Name]],'Base Schedules'!$A$160:$AW$203,41,FALSE)="","",VLOOKUP(Tue_W1[[#This Row],[Employee Name]],'Base Schedules'!$A$160:$AW$203,41,FALSE)),"")</f>
        <v/>
      </c>
      <c r="AQ9" s="184" t="str">
        <f>IFERROR(IF(VLOOKUP(Tue_W1[[#This Row],[Employee Name]],'Base Schedules'!$A$160:$AW$203,42,FALSE)="","",VLOOKUP(Tue_W1[[#This Row],[Employee Name]],'Base Schedules'!$A$160:$AW$203,42,FALSE)),"")</f>
        <v/>
      </c>
      <c r="AR9" s="184" t="str">
        <f>IFERROR(IF(VLOOKUP(Tue_W1[[#This Row],[Employee Name]],'Base Schedules'!$A$160:$AW$203,43,FALSE)="","",VLOOKUP(Tue_W1[[#This Row],[Employee Name]],'Base Schedules'!$A$160:$AW$203,43,FALSE)),"")</f>
        <v/>
      </c>
      <c r="AS9" s="184" t="str">
        <f>IFERROR(IF(VLOOKUP(Tue_W1[[#This Row],[Employee Name]],'Base Schedules'!$A$160:$AW$203,44,FALSE)="","",VLOOKUP(Tue_W1[[#This Row],[Employee Name]],'Base Schedules'!$A$160:$AW$203,44,FALSE)),"")</f>
        <v/>
      </c>
      <c r="AT9" s="184" t="str">
        <f>IFERROR(IF(VLOOKUP(Tue_W1[[#This Row],[Employee Name]],'Base Schedules'!$A$160:$AW$203,45,FALSE)="","",VLOOKUP(Tue_W1[[#This Row],[Employee Name]],'Base Schedules'!$A$160:$AW$203,45,FALSE)),"")</f>
        <v/>
      </c>
      <c r="AU9" s="184" t="str">
        <f>IFERROR(IF(VLOOKUP(Tue_W1[[#This Row],[Employee Name]],'Base Schedules'!$A$160:$AW$203,46,FALSE)="","",VLOOKUP(Tue_W1[[#This Row],[Employee Name]],'Base Schedules'!$A$160:$AW$203,46,FALSE)),"")</f>
        <v/>
      </c>
      <c r="AV9" s="184" t="str">
        <f>IFERROR(IF(VLOOKUP(Tue_W1[[#This Row],[Employee Name]],'Base Schedules'!$A$160:$AW$203,47,FALSE)="","",VLOOKUP(Tue_W1[[#This Row],[Employee Name]],'Base Schedules'!$A$160:$AW$203,47,FALSE)),"")</f>
        <v/>
      </c>
      <c r="AW9" s="184" t="str">
        <f>IFERROR(IF(VLOOKUP(Tue_W1[[#This Row],[Employee Name]],'Base Schedules'!$A$160:$AW$203,48,FALSE)="","",VLOOKUP(Tue_W1[[#This Row],[Employee Name]],'Base Schedules'!$A$160:$AW$203,48,FALSE)),"")</f>
        <v/>
      </c>
      <c r="AX9" s="184" t="str">
        <f>IFERROR(IF(VLOOKUP(Tue_W1[[#This Row],[Employee Name]],'Base Schedules'!$A$160:$AW$203,49,FALSE)="","",VLOOKUP(Tue_W1[[#This Row],[Employee Name]],'Base Schedules'!$A$160:$AW$203,49,FALSE)),"")</f>
        <v/>
      </c>
      <c r="AY9" s="163" t="str">
        <f t="shared" ref="AY9:AY55" si="2">IF(B9="","",B9)</f>
        <v>Birrueta Arellano, Neftali</v>
      </c>
    </row>
    <row r="10" spans="1:51" s="44" customFormat="1" ht="12" x14ac:dyDescent="0.2">
      <c r="A10" s="39" t="str">
        <f>IF(B10="","",INDEX(TeamList[],MATCH($B10,TeamList[[Employee Name]:[Employee Name]],0),MATCH("Manager",TeamList[#Headers],0)))</f>
        <v>Paulson, Matthew</v>
      </c>
      <c r="B10" s="201" t="s">
        <v>46</v>
      </c>
      <c r="C10" s="257" t="str">
        <f>_xlfn.IFNA(VLOOKUP(Tue_W1[[#This Row],[Employee Name]],'Base Schedules'!A:B,2,FALSE),"")</f>
        <v>Supervisor</v>
      </c>
      <c r="D10" s="274">
        <f>_xlfn.IFNA(VLOOKUP(Tue_W1[[#This Row],[Employee Name]],'Base Schedules'!A:C,3,FALSE),"")</f>
        <v>500</v>
      </c>
      <c r="E10" s="274">
        <f>_xlfn.IFNA(VLOOKUP(Tue_W1[[#This Row],[Employee Name]],'Base Schedules'!A:D,4,FALSE),"")</f>
        <v>1400</v>
      </c>
      <c r="F10" s="142">
        <f>IF(Tue_W1[[#This Row],[Employee Name]]="","",IF(Tue_W1[[#This Row],[Dept]]="Supervisor",COUNTIFS($J10:$AX10,"*HL*",$J10:$AX10,"&lt;&gt;"&amp;"pHL"),COUNTIFS($J10:$AX10,"*HL*",$J10:$AX10,"&lt;&gt;"&amp;"*pHL*",$J10:$AX10,"&lt;&gt;"&amp;"pB1 HL",$J10:$AX10,"&lt;&gt;"&amp;"pB2 HL")-SUM(COUNTIFS($J10:$AX10,"*HL B1*",$J10:$AX10,"&lt;&gt;"&amp;"pHL B1")*0.5,COUNTIFS($J10:$AX10,"*HL B2*",$J10:$AX10,"&lt;&gt;"&amp;"pHL B2")*0.5,COUNTIFS($J10:$AX10,"*B1 HL*",$J10:$AX10,"&lt;&gt;"&amp;"pB1 HL")*0.5,COUNTIFS($J10:$AX10,"*B2 HL*",$J10:$AX10,"&lt;&gt;"&amp;"pB2 HL")*0.5)))</f>
        <v>0</v>
      </c>
      <c r="G10" s="142">
        <f t="shared" si="0"/>
        <v>4</v>
      </c>
      <c r="H10" s="142">
        <f t="shared" si="1"/>
        <v>0</v>
      </c>
      <c r="I10" s="142">
        <f>IF(Tue_W1[[#This Row],[Employee Name]]="","",IF(Tue_W1[[#This Row],[Dept]]="Supervisor",SUM(COUNTIFS($J10:$AX10,"RTA*",$J10:$AX10,"&lt;&gt;"&amp;"pRTA"),COUNTIFS($J10:$AX10,"*CRTA*",$J10:$AX10,"&lt;&gt;"&amp;"pCRTA")),COUNTIFS($J10:$AX10,"*RNNR*",$J10:$AX10,"&lt;&gt;"&amp;"*pRNNR*",$J10:$AX10,"&lt;&gt;"&amp;"pB1 RNNR",$J10:$AX10,"&lt;&gt;"&amp;"pB2 RNNR")-SUM(COUNTIFS($J10:$AX10,"*RNNR B1*",$J10:$AX10,"&lt;&gt;"&amp;"pRNNR B1")*0.5,COUNTIFS($J10:$AX10,"*RNNR B2*",$J10:$AX10,"&lt;&gt;"&amp;"pRNNR B2")*0.5,COUNTIFS($J10:$AX10,"*B1 RNNR*",$J10:$AX10,"&lt;&gt;"&amp;"pB1 RNNR")*0.5,COUNTIFS($J10:$AX10,"*B2 RNNR*",$J10:$AX10,"&lt;&gt;"&amp;"pB2 RNNR")*0.5)))</f>
        <v>0</v>
      </c>
      <c r="J10" s="184" t="str">
        <f>IFERROR(IF(VLOOKUP(Tue_W1[[#This Row],[Employee Name]],'Base Schedules'!$A$160:$AW$203,9,FALSE)="","",VLOOKUP(Tue_W1[[#This Row],[Employee Name]],'Base Schedules'!$A$160:$AW$203,9,FALSE)),"")</f>
        <v>-</v>
      </c>
      <c r="K10" s="184" t="str">
        <f>IFERROR(IF(VLOOKUP(Tue_W1[[#This Row],[Employee Name]],'Base Schedules'!$A$160:$AW$203,10,FALSE)="","",VLOOKUP(Tue_W1[[#This Row],[Employee Name]],'Base Schedules'!$A$160:$AW$203,10,FALSE)),"")</f>
        <v>-</v>
      </c>
      <c r="L10" s="184" t="str">
        <f>IFERROR(IF(VLOOKUP(Tue_W1[[#This Row],[Employee Name]],'Base Schedules'!$A$160:$AW$203,11,FALSE)="","",VLOOKUP(Tue_W1[[#This Row],[Employee Name]],'Base Schedules'!$A$160:$AW$203,11,FALSE)),"")</f>
        <v>-</v>
      </c>
      <c r="M10" s="184" t="str">
        <f>IFERROR(IF(VLOOKUP(Tue_W1[[#This Row],[Employee Name]],'Base Schedules'!$A$160:$AW$203,12,FALSE)="","",VLOOKUP(Tue_W1[[#This Row],[Employee Name]],'Base Schedules'!$A$160:$AW$203,12,FALSE)),"")</f>
        <v>-</v>
      </c>
      <c r="N10" s="184" t="str">
        <f>IFERROR(IF(VLOOKUP(Tue_W1[[#This Row],[Employee Name]],'Base Schedules'!$A$160:$AW$203,13,FALSE)="","",VLOOKUP(Tue_W1[[#This Row],[Employee Name]],'Base Schedules'!$A$160:$AW$203,13,FALSE)),"")</f>
        <v>Coaching</v>
      </c>
      <c r="O10" s="184" t="str">
        <f>IFERROR(IF(VLOOKUP(Tue_W1[[#This Row],[Employee Name]],'Base Schedules'!$A$160:$AW$203,14,FALSE)="","",VLOOKUP(Tue_W1[[#This Row],[Employee Name]],'Base Schedules'!$A$160:$AW$203,14,FALSE)),"")</f>
        <v>Coaching</v>
      </c>
      <c r="P10" s="184" t="str">
        <f>IFERROR(IF(VLOOKUP(Tue_W1[[#This Row],[Employee Name]],'Base Schedules'!$A$160:$AW$203,15,FALSE)="","",VLOOKUP(Tue_W1[[#This Row],[Employee Name]],'Base Schedules'!$A$160:$AW$203,15,FALSE)),"")</f>
        <v>Coaching</v>
      </c>
      <c r="Q10" s="184" t="str">
        <f>IFERROR(IF(VLOOKUP(Tue_W1[[#This Row],[Employee Name]],'Base Schedules'!$A$160:$AW$203,16,FALSE)="","",VLOOKUP(Tue_W1[[#This Row],[Employee Name]],'Base Schedules'!$A$160:$AW$203,16,FALSE)),"")</f>
        <v>Coaching</v>
      </c>
      <c r="R10" s="184" t="str">
        <f>IFERROR(IF(VLOOKUP(Tue_W1[[#This Row],[Employee Name]],'Base Schedules'!$A$160:$AW$203,17,FALSE)="","",VLOOKUP(Tue_W1[[#This Row],[Employee Name]],'Base Schedules'!$A$160:$AW$203,17,FALSE)),"")</f>
        <v>-</v>
      </c>
      <c r="S10" s="184" t="str">
        <f>IFERROR(IF(VLOOKUP(Tue_W1[[#This Row],[Employee Name]],'Base Schedules'!$A$160:$AW$203,18,FALSE)="","",VLOOKUP(Tue_W1[[#This Row],[Employee Name]],'Base Schedules'!$A$160:$AW$203,18,FALSE)),"")</f>
        <v>-</v>
      </c>
      <c r="T10" s="184" t="str">
        <f>IFERROR(IF(VLOOKUP(Tue_W1[[#This Row],[Employee Name]],'Base Schedules'!$A$160:$AW$203,19,FALSE)="","",VLOOKUP(Tue_W1[[#This Row],[Employee Name]],'Base Schedules'!$A$160:$AW$203,19,FALSE)),"")</f>
        <v>Interview</v>
      </c>
      <c r="U10" s="184" t="str">
        <f>IFERROR(IF(VLOOKUP(Tue_W1[[#This Row],[Employee Name]],'Base Schedules'!$A$160:$AW$203,20,FALSE)="","",VLOOKUP(Tue_W1[[#This Row],[Employee Name]],'Base Schedules'!$A$160:$AW$203,20,FALSE)),"")</f>
        <v>Interview</v>
      </c>
      <c r="V10" s="184" t="str">
        <f>IFERROR(IF(VLOOKUP(Tue_W1[[#This Row],[Employee Name]],'Base Schedules'!$A$160:$AW$203,21,FALSE)="","",VLOOKUP(Tue_W1[[#This Row],[Employee Name]],'Base Schedules'!$A$160:$AW$203,21,FALSE)),"")</f>
        <v>-</v>
      </c>
      <c r="W10" s="184" t="str">
        <f>IFERROR(IF(VLOOKUP(Tue_W1[[#This Row],[Employee Name]],'Base Schedules'!$A$160:$AW$203,22,FALSE)="","",VLOOKUP(Tue_W1[[#This Row],[Employee Name]],'Base Schedules'!$A$160:$AW$203,22,FALSE)),"")</f>
        <v>-</v>
      </c>
      <c r="X10" s="184" t="str">
        <f>IFERROR(IF(VLOOKUP(Tue_W1[[#This Row],[Employee Name]],'Base Schedules'!$A$160:$AW$203,23,FALSE)="","",VLOOKUP(Tue_W1[[#This Row],[Employee Name]],'Base Schedules'!$A$160:$AW$203,23,FALSE)),"")</f>
        <v>-</v>
      </c>
      <c r="Y10" s="184" t="str">
        <f>IFERROR(IF(VLOOKUP(Tue_W1[[#This Row],[Employee Name]],'Base Schedules'!$A$160:$AW$203,24,FALSE)="","",VLOOKUP(Tue_W1[[#This Row],[Employee Name]],'Base Schedules'!$A$160:$AW$203,24,FALSE)),"")</f>
        <v>-</v>
      </c>
      <c r="Z10" s="184" t="str">
        <f>IFERROR(IF(VLOOKUP(Tue_W1[[#This Row],[Employee Name]],'Base Schedules'!$A$160:$AW$203,25,FALSE)="","",VLOOKUP(Tue_W1[[#This Row],[Employee Name]],'Base Schedules'!$A$160:$AW$203,25,FALSE)),"")</f>
        <v>-</v>
      </c>
      <c r="AA10" s="184" t="str">
        <f>IFERROR(IF(VLOOKUP(Tue_W1[[#This Row],[Employee Name]],'Base Schedules'!$A$160:$AW$203,26,FALSE)="","",VLOOKUP(Tue_W1[[#This Row],[Employee Name]],'Base Schedules'!$A$160:$AW$203,26,FALSE)),"")</f>
        <v>-</v>
      </c>
      <c r="AB10" s="184" t="str">
        <f>IFERROR(IF(VLOOKUP(Tue_W1[[#This Row],[Employee Name]],'Base Schedules'!$A$160:$AW$203,27,FALSE)="","",VLOOKUP(Tue_W1[[#This Row],[Employee Name]],'Base Schedules'!$A$160:$AW$203,27,FALSE)),"")</f>
        <v/>
      </c>
      <c r="AC10" s="184" t="str">
        <f>IFERROR(IF(VLOOKUP(Tue_W1[[#This Row],[Employee Name]],'Base Schedules'!$A$160:$AW$203,28,FALSE)="","",VLOOKUP(Tue_W1[[#This Row],[Employee Name]],'Base Schedules'!$A$160:$AW$203,28,FALSE)),"")</f>
        <v/>
      </c>
      <c r="AD10" s="184" t="str">
        <f>IFERROR(IF(VLOOKUP(Tue_W1[[#This Row],[Employee Name]],'Base Schedules'!$A$160:$AW$203,29,FALSE)="","",VLOOKUP(Tue_W1[[#This Row],[Employee Name]],'Base Schedules'!$A$160:$AW$203,29,FALSE)),"")</f>
        <v/>
      </c>
      <c r="AE10" s="184" t="str">
        <f>IFERROR(IF(VLOOKUP(Tue_W1[[#This Row],[Employee Name]],'Base Schedules'!$A$160:$AW$203,30,FALSE)="","",VLOOKUP(Tue_W1[[#This Row],[Employee Name]],'Base Schedules'!$A$160:$AW$203,30,FALSE)),"")</f>
        <v/>
      </c>
      <c r="AF10" s="184" t="str">
        <f>IFERROR(IF(VLOOKUP(Tue_W1[[#This Row],[Employee Name]],'Base Schedules'!$A$160:$AW$203,31,FALSE)="","",VLOOKUP(Tue_W1[[#This Row],[Employee Name]],'Base Schedules'!$A$160:$AW$203,31,FALSE)),"")</f>
        <v/>
      </c>
      <c r="AG10" s="184" t="str">
        <f>IFERROR(IF(VLOOKUP(Tue_W1[[#This Row],[Employee Name]],'Base Schedules'!$A$160:$AW$203,32,FALSE)="","",VLOOKUP(Tue_W1[[#This Row],[Employee Name]],'Base Schedules'!$A$160:$AW$203,32,FALSE)),"")</f>
        <v/>
      </c>
      <c r="AH10" s="184" t="str">
        <f>IFERROR(IF(VLOOKUP(Tue_W1[[#This Row],[Employee Name]],'Base Schedules'!$A$160:$AW$203,33,FALSE)="","",VLOOKUP(Tue_W1[[#This Row],[Employee Name]],'Base Schedules'!$A$160:$AW$203,33,FALSE)),"")</f>
        <v/>
      </c>
      <c r="AI10" s="184" t="str">
        <f>IFERROR(IF(VLOOKUP(Tue_W1[[#This Row],[Employee Name]],'Base Schedules'!$A$160:$AW$203,34,FALSE)="","",VLOOKUP(Tue_W1[[#This Row],[Employee Name]],'Base Schedules'!$A$160:$AW$203,34,FALSE)),"")</f>
        <v/>
      </c>
      <c r="AJ10" s="184" t="str">
        <f>IFERROR(IF(VLOOKUP(Tue_W1[[#This Row],[Employee Name]],'Base Schedules'!$A$160:$AW$203,35,FALSE)="","",VLOOKUP(Tue_W1[[#This Row],[Employee Name]],'Base Schedules'!$A$160:$AW$203,35,FALSE)),"")</f>
        <v/>
      </c>
      <c r="AK10" s="184" t="str">
        <f>IFERROR(IF(VLOOKUP(Tue_W1[[#This Row],[Employee Name]],'Base Schedules'!$A$160:$AW$203,36,FALSE)="","",VLOOKUP(Tue_W1[[#This Row],[Employee Name]],'Base Schedules'!$A$160:$AW$203,36,FALSE)),"")</f>
        <v/>
      </c>
      <c r="AL10" s="184" t="str">
        <f>IFERROR(IF(VLOOKUP(Tue_W1[[#This Row],[Employee Name]],'Base Schedules'!$A$160:$AW$203,37,FALSE)="","",VLOOKUP(Tue_W1[[#This Row],[Employee Name]],'Base Schedules'!$A$160:$AW$203,37,FALSE)),"")</f>
        <v/>
      </c>
      <c r="AM10" s="184" t="str">
        <f>IFERROR(IF(VLOOKUP(Tue_W1[[#This Row],[Employee Name]],'Base Schedules'!$A$160:$AW$203,38,FALSE)="","",VLOOKUP(Tue_W1[[#This Row],[Employee Name]],'Base Schedules'!$A$160:$AW$203,38,FALSE)),"")</f>
        <v/>
      </c>
      <c r="AN10" s="184" t="str">
        <f>IFERROR(IF(VLOOKUP(Tue_W1[[#This Row],[Employee Name]],'Base Schedules'!$A$160:$AW$203,39,FALSE)="","",VLOOKUP(Tue_W1[[#This Row],[Employee Name]],'Base Schedules'!$A$160:$AW$203,39,FALSE)),"")</f>
        <v/>
      </c>
      <c r="AO10" s="184" t="str">
        <f>IFERROR(IF(VLOOKUP(Tue_W1[[#This Row],[Employee Name]],'Base Schedules'!$A$160:$AW$203,40,FALSE)="","",VLOOKUP(Tue_W1[[#This Row],[Employee Name]],'Base Schedules'!$A$160:$AW$203,40,FALSE)),"")</f>
        <v/>
      </c>
      <c r="AP10" s="184" t="str">
        <f>IFERROR(IF(VLOOKUP(Tue_W1[[#This Row],[Employee Name]],'Base Schedules'!$A$160:$AW$203,41,FALSE)="","",VLOOKUP(Tue_W1[[#This Row],[Employee Name]],'Base Schedules'!$A$160:$AW$203,41,FALSE)),"")</f>
        <v/>
      </c>
      <c r="AQ10" s="184" t="str">
        <f>IFERROR(IF(VLOOKUP(Tue_W1[[#This Row],[Employee Name]],'Base Schedules'!$A$160:$AW$203,42,FALSE)="","",VLOOKUP(Tue_W1[[#This Row],[Employee Name]],'Base Schedules'!$A$160:$AW$203,42,FALSE)),"")</f>
        <v/>
      </c>
      <c r="AR10" s="184" t="str">
        <f>IFERROR(IF(VLOOKUP(Tue_W1[[#This Row],[Employee Name]],'Base Schedules'!$A$160:$AW$203,43,FALSE)="","",VLOOKUP(Tue_W1[[#This Row],[Employee Name]],'Base Schedules'!$A$160:$AW$203,43,FALSE)),"")</f>
        <v/>
      </c>
      <c r="AS10" s="184" t="str">
        <f>IFERROR(IF(VLOOKUP(Tue_W1[[#This Row],[Employee Name]],'Base Schedules'!$A$160:$AW$203,44,FALSE)="","",VLOOKUP(Tue_W1[[#This Row],[Employee Name]],'Base Schedules'!$A$160:$AW$203,44,FALSE)),"")</f>
        <v/>
      </c>
      <c r="AT10" s="184" t="str">
        <f>IFERROR(IF(VLOOKUP(Tue_W1[[#This Row],[Employee Name]],'Base Schedules'!$A$160:$AW$203,45,FALSE)="","",VLOOKUP(Tue_W1[[#This Row],[Employee Name]],'Base Schedules'!$A$160:$AW$203,45,FALSE)),"")</f>
        <v/>
      </c>
      <c r="AU10" s="184" t="str">
        <f>IFERROR(IF(VLOOKUP(Tue_W1[[#This Row],[Employee Name]],'Base Schedules'!$A$160:$AW$203,46,FALSE)="","",VLOOKUP(Tue_W1[[#This Row],[Employee Name]],'Base Schedules'!$A$160:$AW$203,46,FALSE)),"")</f>
        <v/>
      </c>
      <c r="AV10" s="184" t="str">
        <f>IFERROR(IF(VLOOKUP(Tue_W1[[#This Row],[Employee Name]],'Base Schedules'!$A$160:$AW$203,47,FALSE)="","",VLOOKUP(Tue_W1[[#This Row],[Employee Name]],'Base Schedules'!$A$160:$AW$203,47,FALSE)),"")</f>
        <v/>
      </c>
      <c r="AW10" s="184" t="str">
        <f>IFERROR(IF(VLOOKUP(Tue_W1[[#This Row],[Employee Name]],'Base Schedules'!$A$160:$AW$203,48,FALSE)="","",VLOOKUP(Tue_W1[[#This Row],[Employee Name]],'Base Schedules'!$A$160:$AW$203,48,FALSE)),"")</f>
        <v/>
      </c>
      <c r="AX10" s="184" t="str">
        <f>IFERROR(IF(VLOOKUP(Tue_W1[[#This Row],[Employee Name]],'Base Schedules'!$A$160:$AW$203,49,FALSE)="","",VLOOKUP(Tue_W1[[#This Row],[Employee Name]],'Base Schedules'!$A$160:$AW$203,49,FALSE)),"")</f>
        <v/>
      </c>
      <c r="AY10" s="164" t="str">
        <f t="shared" si="2"/>
        <v>Senft, Thomas</v>
      </c>
    </row>
    <row r="11" spans="1:51" s="44" customFormat="1" ht="12" x14ac:dyDescent="0.2">
      <c r="A11" s="39" t="str">
        <f>IF(B11="","",INDEX(TeamList[],MATCH($B11,TeamList[[Employee Name]:[Employee Name]],0),MATCH("Manager",TeamList[#Headers],0)))</f>
        <v>Ahmed Hassan, Zahra</v>
      </c>
      <c r="B11" s="332" t="s">
        <v>25</v>
      </c>
      <c r="C11" s="257" t="str">
        <f>_xlfn.IFNA(VLOOKUP(Tue_W1[[#This Row],[Employee Name]],'Base Schedules'!A:B,2,FALSE),"")</f>
        <v>Supervisor</v>
      </c>
      <c r="D11" s="274">
        <f>_xlfn.IFNA(VLOOKUP(Tue_W1[[#This Row],[Employee Name]],'Base Schedules'!A:C,3,FALSE),"")</f>
        <v>500</v>
      </c>
      <c r="E11" s="274">
        <f>_xlfn.IFNA(VLOOKUP(Tue_W1[[#This Row],[Employee Name]],'Base Schedules'!A:D,4,FALSE),"")</f>
        <v>1400</v>
      </c>
      <c r="F11" s="142">
        <f>IF(Tue_W1[[#This Row],[Employee Name]]="","",IF(Tue_W1[[#This Row],[Dept]]="Supervisor",COUNTIFS($J11:$AX11,"*HL*",$J11:$AX11,"&lt;&gt;"&amp;"pHL"),COUNTIFS($J11:$AX11,"*HL*",$J11:$AX11,"&lt;&gt;"&amp;"*pHL*",$J11:$AX11,"&lt;&gt;"&amp;"pB1 HL",$J11:$AX11,"&lt;&gt;"&amp;"pB2 HL")-SUM(COUNTIFS($J11:$AX11,"*HL B1*",$J11:$AX11,"&lt;&gt;"&amp;"pHL B1")*0.5,COUNTIFS($J11:$AX11,"*HL B2*",$J11:$AX11,"&lt;&gt;"&amp;"pHL B2")*0.5,COUNTIFS($J11:$AX11,"*B1 HL*",$J11:$AX11,"&lt;&gt;"&amp;"pB1 HL")*0.5,COUNTIFS($J11:$AX11,"*B2 HL*",$J11:$AX11,"&lt;&gt;"&amp;"pB2 HL")*0.5)))</f>
        <v>0</v>
      </c>
      <c r="G11" s="142">
        <f t="shared" si="0"/>
        <v>4</v>
      </c>
      <c r="H11" s="142">
        <f t="shared" si="1"/>
        <v>0</v>
      </c>
      <c r="I11" s="142">
        <f>IF(Tue_W1[[#This Row],[Employee Name]]="","",IF(Tue_W1[[#This Row],[Dept]]="Supervisor",SUM(COUNTIFS($J11:$AX11,"RTA*",$J11:$AX11,"&lt;&gt;"&amp;"pRTA"),COUNTIFS($J11:$AX11,"*CRTA*",$J11:$AX11,"&lt;&gt;"&amp;"pCRTA")),COUNTIFS($J11:$AX11,"*RNNR*",$J11:$AX11,"&lt;&gt;"&amp;"*pRNNR*",$J11:$AX11,"&lt;&gt;"&amp;"pB1 RNNR",$J11:$AX11,"&lt;&gt;"&amp;"pB2 RNNR")-SUM(COUNTIFS($J11:$AX11,"*RNNR B1*",$J11:$AX11,"&lt;&gt;"&amp;"pRNNR B1")*0.5,COUNTIFS($J11:$AX11,"*RNNR B2*",$J11:$AX11,"&lt;&gt;"&amp;"pRNNR B2")*0.5,COUNTIFS($J11:$AX11,"*B1 RNNR*",$J11:$AX11,"&lt;&gt;"&amp;"pB1 RNNR")*0.5,COUNTIFS($J11:$AX11,"*B2 RNNR*",$J11:$AX11,"&lt;&gt;"&amp;"pB2 RNNR")*0.5)))</f>
        <v>0</v>
      </c>
      <c r="J11" s="184" t="str">
        <f>IFERROR(IF(VLOOKUP(Tue_W1[[#This Row],[Employee Name]],'Base Schedules'!$A$160:$AW$203,9,FALSE)="","",VLOOKUP(Tue_W1[[#This Row],[Employee Name]],'Base Schedules'!$A$160:$AW$203,9,FALSE)),"")</f>
        <v>-</v>
      </c>
      <c r="K11" s="184" t="str">
        <f>IFERROR(IF(VLOOKUP(Tue_W1[[#This Row],[Employee Name]],'Base Schedules'!$A$160:$AW$203,10,FALSE)="","",VLOOKUP(Tue_W1[[#This Row],[Employee Name]],'Base Schedules'!$A$160:$AW$203,10,FALSE)),"")</f>
        <v>-</v>
      </c>
      <c r="L11" s="184" t="str">
        <f>IFERROR(IF(VLOOKUP(Tue_W1[[#This Row],[Employee Name]],'Base Schedules'!$A$160:$AW$203,11,FALSE)="","",VLOOKUP(Tue_W1[[#This Row],[Employee Name]],'Base Schedules'!$A$160:$AW$203,11,FALSE)),"")</f>
        <v>-</v>
      </c>
      <c r="M11" s="184" t="str">
        <f>IFERROR(IF(VLOOKUP(Tue_W1[[#This Row],[Employee Name]],'Base Schedules'!$A$160:$AW$203,12,FALSE)="","",VLOOKUP(Tue_W1[[#This Row],[Employee Name]],'Base Schedules'!$A$160:$AW$203,12,FALSE)),"")</f>
        <v>-</v>
      </c>
      <c r="N11" s="184" t="str">
        <f>IFERROR(IF(VLOOKUP(Tue_W1[[#This Row],[Employee Name]],'Base Schedules'!$A$160:$AW$203,13,FALSE)="","",VLOOKUP(Tue_W1[[#This Row],[Employee Name]],'Base Schedules'!$A$160:$AW$203,13,FALSE)),"")</f>
        <v>-</v>
      </c>
      <c r="O11" s="184" t="str">
        <f>IFERROR(IF(VLOOKUP(Tue_W1[[#This Row],[Employee Name]],'Base Schedules'!$A$160:$AW$203,14,FALSE)="","",VLOOKUP(Tue_W1[[#This Row],[Employee Name]],'Base Schedules'!$A$160:$AW$203,14,FALSE)),"")</f>
        <v>-</v>
      </c>
      <c r="P11" s="184" t="str">
        <f>IFERROR(IF(VLOOKUP(Tue_W1[[#This Row],[Employee Name]],'Base Schedules'!$A$160:$AW$203,15,FALSE)="","",VLOOKUP(Tue_W1[[#This Row],[Employee Name]],'Base Schedules'!$A$160:$AW$203,15,FALSE)),"")</f>
        <v>Interview</v>
      </c>
      <c r="Q11" s="184" t="str">
        <f>IFERROR(IF(VLOOKUP(Tue_W1[[#This Row],[Employee Name]],'Base Schedules'!$A$160:$AW$203,16,FALSE)="","",VLOOKUP(Tue_W1[[#This Row],[Employee Name]],'Base Schedules'!$A$160:$AW$203,16,FALSE)),"")</f>
        <v>Interview</v>
      </c>
      <c r="R11" s="184" t="str">
        <f>IFERROR(IF(VLOOKUP(Tue_W1[[#This Row],[Employee Name]],'Base Schedules'!$A$160:$AW$203,17,FALSE)="","",VLOOKUP(Tue_W1[[#This Row],[Employee Name]],'Base Schedules'!$A$160:$AW$203,17,FALSE)),"")</f>
        <v>-</v>
      </c>
      <c r="S11" s="184" t="str">
        <f>IFERROR(IF(VLOOKUP(Tue_W1[[#This Row],[Employee Name]],'Base Schedules'!$A$160:$AW$203,18,FALSE)="","",VLOOKUP(Tue_W1[[#This Row],[Employee Name]],'Base Schedules'!$A$160:$AW$203,18,FALSE)),"")</f>
        <v>-</v>
      </c>
      <c r="T11" s="184" t="str">
        <f>IFERROR(IF(VLOOKUP(Tue_W1[[#This Row],[Employee Name]],'Base Schedules'!$A$160:$AW$203,19,FALSE)="","",VLOOKUP(Tue_W1[[#This Row],[Employee Name]],'Base Schedules'!$A$160:$AW$203,19,FALSE)),"")</f>
        <v>-</v>
      </c>
      <c r="U11" s="184" t="str">
        <f>IFERROR(IF(VLOOKUP(Tue_W1[[#This Row],[Employee Name]],'Base Schedules'!$A$160:$AW$203,20,FALSE)="","",VLOOKUP(Tue_W1[[#This Row],[Employee Name]],'Base Schedules'!$A$160:$AW$203,20,FALSE)),"")</f>
        <v>-</v>
      </c>
      <c r="V11" s="184" t="str">
        <f>IFERROR(IF(VLOOKUP(Tue_W1[[#This Row],[Employee Name]],'Base Schedules'!$A$160:$AW$203,21,FALSE)="","",VLOOKUP(Tue_W1[[#This Row],[Employee Name]],'Base Schedules'!$A$160:$AW$203,21,FALSE)),"")</f>
        <v>Coaching</v>
      </c>
      <c r="W11" s="184" t="str">
        <f>IFERROR(IF(VLOOKUP(Tue_W1[[#This Row],[Employee Name]],'Base Schedules'!$A$160:$AW$203,22,FALSE)="","",VLOOKUP(Tue_W1[[#This Row],[Employee Name]],'Base Schedules'!$A$160:$AW$203,22,FALSE)),"")</f>
        <v>Coaching</v>
      </c>
      <c r="X11" s="184" t="str">
        <f>IFERROR(IF(VLOOKUP(Tue_W1[[#This Row],[Employee Name]],'Base Schedules'!$A$160:$AW$203,23,FALSE)="","",VLOOKUP(Tue_W1[[#This Row],[Employee Name]],'Base Schedules'!$A$160:$AW$203,23,FALSE)),"")</f>
        <v>Coaching</v>
      </c>
      <c r="Y11" s="184" t="str">
        <f>IFERROR(IF(VLOOKUP(Tue_W1[[#This Row],[Employee Name]],'Base Schedules'!$A$160:$AW$203,24,FALSE)="","",VLOOKUP(Tue_W1[[#This Row],[Employee Name]],'Base Schedules'!$A$160:$AW$203,24,FALSE)),"")</f>
        <v>Coaching</v>
      </c>
      <c r="Z11" s="184" t="str">
        <f>IFERROR(IF(VLOOKUP(Tue_W1[[#This Row],[Employee Name]],'Base Schedules'!$A$160:$AW$203,25,FALSE)="","",VLOOKUP(Tue_W1[[#This Row],[Employee Name]],'Base Schedules'!$A$160:$AW$203,25,FALSE)),"")</f>
        <v>Team ZAH TM</v>
      </c>
      <c r="AA11" s="184" t="str">
        <f>IFERROR(IF(VLOOKUP(Tue_W1[[#This Row],[Employee Name]],'Base Schedules'!$A$160:$AW$203,26,FALSE)="","",VLOOKUP(Tue_W1[[#This Row],[Employee Name]],'Base Schedules'!$A$160:$AW$203,26,FALSE)),"")</f>
        <v>Team ZAH TM</v>
      </c>
      <c r="AB11" s="184" t="str">
        <f>IFERROR(IF(VLOOKUP(Tue_W1[[#This Row],[Employee Name]],'Base Schedules'!$A$160:$AW$203,27,FALSE)="","",VLOOKUP(Tue_W1[[#This Row],[Employee Name]],'Base Schedules'!$A$160:$AW$203,27,FALSE)),"")</f>
        <v/>
      </c>
      <c r="AC11" s="184" t="str">
        <f>IFERROR(IF(VLOOKUP(Tue_W1[[#This Row],[Employee Name]],'Base Schedules'!$A$160:$AW$203,28,FALSE)="","",VLOOKUP(Tue_W1[[#This Row],[Employee Name]],'Base Schedules'!$A$160:$AW$203,28,FALSE)),"")</f>
        <v/>
      </c>
      <c r="AD11" s="184" t="str">
        <f>IFERROR(IF(VLOOKUP(Tue_W1[[#This Row],[Employee Name]],'Base Schedules'!$A$160:$AW$203,29,FALSE)="","",VLOOKUP(Tue_W1[[#This Row],[Employee Name]],'Base Schedules'!$A$160:$AW$203,29,FALSE)),"")</f>
        <v/>
      </c>
      <c r="AE11" s="184" t="str">
        <f>IFERROR(IF(VLOOKUP(Tue_W1[[#This Row],[Employee Name]],'Base Schedules'!$A$160:$AW$203,30,FALSE)="","",VLOOKUP(Tue_W1[[#This Row],[Employee Name]],'Base Schedules'!$A$160:$AW$203,30,FALSE)),"")</f>
        <v/>
      </c>
      <c r="AF11" s="184" t="str">
        <f>IFERROR(IF(VLOOKUP(Tue_W1[[#This Row],[Employee Name]],'Base Schedules'!$A$160:$AW$203,31,FALSE)="","",VLOOKUP(Tue_W1[[#This Row],[Employee Name]],'Base Schedules'!$A$160:$AW$203,31,FALSE)),"")</f>
        <v/>
      </c>
      <c r="AG11" s="184" t="str">
        <f>IFERROR(IF(VLOOKUP(Tue_W1[[#This Row],[Employee Name]],'Base Schedules'!$A$160:$AW$203,32,FALSE)="","",VLOOKUP(Tue_W1[[#This Row],[Employee Name]],'Base Schedules'!$A$160:$AW$203,32,FALSE)),"")</f>
        <v/>
      </c>
      <c r="AH11" s="184" t="str">
        <f>IFERROR(IF(VLOOKUP(Tue_W1[[#This Row],[Employee Name]],'Base Schedules'!$A$160:$AW$203,33,FALSE)="","",VLOOKUP(Tue_W1[[#This Row],[Employee Name]],'Base Schedules'!$A$160:$AW$203,33,FALSE)),"")</f>
        <v/>
      </c>
      <c r="AI11" s="184" t="str">
        <f>IFERROR(IF(VLOOKUP(Tue_W1[[#This Row],[Employee Name]],'Base Schedules'!$A$160:$AW$203,34,FALSE)="","",VLOOKUP(Tue_W1[[#This Row],[Employee Name]],'Base Schedules'!$A$160:$AW$203,34,FALSE)),"")</f>
        <v/>
      </c>
      <c r="AJ11" s="184" t="str">
        <f>IFERROR(IF(VLOOKUP(Tue_W1[[#This Row],[Employee Name]],'Base Schedules'!$A$160:$AW$203,35,FALSE)="","",VLOOKUP(Tue_W1[[#This Row],[Employee Name]],'Base Schedules'!$A$160:$AW$203,35,FALSE)),"")</f>
        <v/>
      </c>
      <c r="AK11" s="184" t="str">
        <f>IFERROR(IF(VLOOKUP(Tue_W1[[#This Row],[Employee Name]],'Base Schedules'!$A$160:$AW$203,36,FALSE)="","",VLOOKUP(Tue_W1[[#This Row],[Employee Name]],'Base Schedules'!$A$160:$AW$203,36,FALSE)),"")</f>
        <v/>
      </c>
      <c r="AL11" s="184" t="str">
        <f>IFERROR(IF(VLOOKUP(Tue_W1[[#This Row],[Employee Name]],'Base Schedules'!$A$160:$AW$203,37,FALSE)="","",VLOOKUP(Tue_W1[[#This Row],[Employee Name]],'Base Schedules'!$A$160:$AW$203,37,FALSE)),"")</f>
        <v/>
      </c>
      <c r="AM11" s="184" t="str">
        <f>IFERROR(IF(VLOOKUP(Tue_W1[[#This Row],[Employee Name]],'Base Schedules'!$A$160:$AW$203,38,FALSE)="","",VLOOKUP(Tue_W1[[#This Row],[Employee Name]],'Base Schedules'!$A$160:$AW$203,38,FALSE)),"")</f>
        <v/>
      </c>
      <c r="AN11" s="184" t="str">
        <f>IFERROR(IF(VLOOKUP(Tue_W1[[#This Row],[Employee Name]],'Base Schedules'!$A$160:$AW$203,39,FALSE)="","",VLOOKUP(Tue_W1[[#This Row],[Employee Name]],'Base Schedules'!$A$160:$AW$203,39,FALSE)),"")</f>
        <v/>
      </c>
      <c r="AO11" s="184" t="str">
        <f>IFERROR(IF(VLOOKUP(Tue_W1[[#This Row],[Employee Name]],'Base Schedules'!$A$160:$AW$203,40,FALSE)="","",VLOOKUP(Tue_W1[[#This Row],[Employee Name]],'Base Schedules'!$A$160:$AW$203,40,FALSE)),"")</f>
        <v/>
      </c>
      <c r="AP11" s="184" t="str">
        <f>IFERROR(IF(VLOOKUP(Tue_W1[[#This Row],[Employee Name]],'Base Schedules'!$A$160:$AW$203,41,FALSE)="","",VLOOKUP(Tue_W1[[#This Row],[Employee Name]],'Base Schedules'!$A$160:$AW$203,41,FALSE)),"")</f>
        <v/>
      </c>
      <c r="AQ11" s="184" t="str">
        <f>IFERROR(IF(VLOOKUP(Tue_W1[[#This Row],[Employee Name]],'Base Schedules'!$A$160:$AW$203,42,FALSE)="","",VLOOKUP(Tue_W1[[#This Row],[Employee Name]],'Base Schedules'!$A$160:$AW$203,42,FALSE)),"")</f>
        <v/>
      </c>
      <c r="AR11" s="184" t="str">
        <f>IFERROR(IF(VLOOKUP(Tue_W1[[#This Row],[Employee Name]],'Base Schedules'!$A$160:$AW$203,43,FALSE)="","",VLOOKUP(Tue_W1[[#This Row],[Employee Name]],'Base Schedules'!$A$160:$AW$203,43,FALSE)),"")</f>
        <v/>
      </c>
      <c r="AS11" s="184" t="str">
        <f>IFERROR(IF(VLOOKUP(Tue_W1[[#This Row],[Employee Name]],'Base Schedules'!$A$160:$AW$203,44,FALSE)="","",VLOOKUP(Tue_W1[[#This Row],[Employee Name]],'Base Schedules'!$A$160:$AW$203,44,FALSE)),"")</f>
        <v/>
      </c>
      <c r="AT11" s="184" t="str">
        <f>IFERROR(IF(VLOOKUP(Tue_W1[[#This Row],[Employee Name]],'Base Schedules'!$A$160:$AW$203,45,FALSE)="","",VLOOKUP(Tue_W1[[#This Row],[Employee Name]],'Base Schedules'!$A$160:$AW$203,45,FALSE)),"")</f>
        <v/>
      </c>
      <c r="AU11" s="184" t="str">
        <f>IFERROR(IF(VLOOKUP(Tue_W1[[#This Row],[Employee Name]],'Base Schedules'!$A$160:$AW$203,46,FALSE)="","",VLOOKUP(Tue_W1[[#This Row],[Employee Name]],'Base Schedules'!$A$160:$AW$203,46,FALSE)),"")</f>
        <v/>
      </c>
      <c r="AV11" s="184" t="str">
        <f>IFERROR(IF(VLOOKUP(Tue_W1[[#This Row],[Employee Name]],'Base Schedules'!$A$160:$AW$203,47,FALSE)="","",VLOOKUP(Tue_W1[[#This Row],[Employee Name]],'Base Schedules'!$A$160:$AW$203,47,FALSE)),"")</f>
        <v/>
      </c>
      <c r="AW11" s="184" t="str">
        <f>IFERROR(IF(VLOOKUP(Tue_W1[[#This Row],[Employee Name]],'Base Schedules'!$A$160:$AW$203,48,FALSE)="","",VLOOKUP(Tue_W1[[#This Row],[Employee Name]],'Base Schedules'!$A$160:$AW$203,48,FALSE)),"")</f>
        <v/>
      </c>
      <c r="AX11" s="184" t="str">
        <f>IFERROR(IF(VLOOKUP(Tue_W1[[#This Row],[Employee Name]],'Base Schedules'!$A$160:$AW$203,49,FALSE)="","",VLOOKUP(Tue_W1[[#This Row],[Employee Name]],'Base Schedules'!$A$160:$AW$203,49,FALSE)),"")</f>
        <v/>
      </c>
      <c r="AY11" s="164" t="str">
        <f t="shared" si="2"/>
        <v>Oates, Eleanor</v>
      </c>
    </row>
    <row r="12" spans="1:51" s="44" customFormat="1" ht="12" x14ac:dyDescent="0.2">
      <c r="A12" s="39" t="str">
        <f>IF(B12="","",INDEX(TeamList[],MATCH($B12,TeamList[[Employee Name]:[Employee Name]],0),MATCH("Manager",TeamList[#Headers],0)))</f>
        <v>Olson, Katherine</v>
      </c>
      <c r="B12" s="201" t="s">
        <v>44</v>
      </c>
      <c r="C12" s="257" t="str">
        <f>_xlfn.IFNA(VLOOKUP(Tue_W1[[#This Row],[Employee Name]],'Base Schedules'!A:B,2,FALSE),"")</f>
        <v>Lead</v>
      </c>
      <c r="D12" s="274">
        <f>_xlfn.IFNA(VLOOKUP(Tue_W1[[#This Row],[Employee Name]],'Base Schedules'!A:C,3,FALSE),"")</f>
        <v>530</v>
      </c>
      <c r="E12" s="274">
        <f>_xlfn.IFNA(VLOOKUP(Tue_W1[[#This Row],[Employee Name]],'Base Schedules'!A:D,4,FALSE),"")</f>
        <v>1400</v>
      </c>
      <c r="F12" s="142">
        <f>IF(Tue_W1[[#This Row],[Employee Name]]="","",IF(Tue_W1[[#This Row],[Dept]]="Supervisor",COUNTIFS($J12:$AX12,"*HL*",$J12:$AX12,"&lt;&gt;"&amp;"pHL"),COUNTIFS($J12:$AX12,"*HL*",$J12:$AX12,"&lt;&gt;"&amp;"*pHL*",$J12:$AX12,"&lt;&gt;"&amp;"pB1 HL",$J12:$AX12,"&lt;&gt;"&amp;"pB2 HL")-SUM(COUNTIFS($J12:$AX12,"*HL B1*",$J12:$AX12,"&lt;&gt;"&amp;"pHL B1")*0.5,COUNTIFS($J12:$AX12,"*HL B2*",$J12:$AX12,"&lt;&gt;"&amp;"pHL B2")*0.5,COUNTIFS($J12:$AX12,"*B1 HL*",$J12:$AX12,"&lt;&gt;"&amp;"pB1 HL")*0.5,COUNTIFS($J12:$AX12,"*B2 HL*",$J12:$AX12,"&lt;&gt;"&amp;"pB2 HL")*0.5)))</f>
        <v>4.5</v>
      </c>
      <c r="G12" s="142">
        <f t="shared" si="0"/>
        <v>0</v>
      </c>
      <c r="H12" s="142">
        <f t="shared" si="1"/>
        <v>9</v>
      </c>
      <c r="I12" s="142">
        <f>IF(Tue_W1[[#This Row],[Employee Name]]="","",IF(Tue_W1[[#This Row],[Dept]]="Supervisor",SUM(COUNTIFS($J12:$AX12,"RTA*",$J12:$AX12,"&lt;&gt;"&amp;"pRTA"),COUNTIFS($J12:$AX12,"*CRTA*",$J12:$AX12,"&lt;&gt;"&amp;"pCRTA")),COUNTIFS($J12:$AX12,"*RNNR*",$J12:$AX12,"&lt;&gt;"&amp;"*pRNNR*",$J12:$AX12,"&lt;&gt;"&amp;"pB1 RNNR",$J12:$AX12,"&lt;&gt;"&amp;"pB2 RNNR")-SUM(COUNTIFS($J12:$AX12,"*RNNR B1*",$J12:$AX12,"&lt;&gt;"&amp;"pRNNR B1")*0.5,COUNTIFS($J12:$AX12,"*RNNR B2*",$J12:$AX12,"&lt;&gt;"&amp;"pRNNR B2")*0.5,COUNTIFS($J12:$AX12,"*B1 RNNR*",$J12:$AX12,"&lt;&gt;"&amp;"pB1 RNNR")*0.5,COUNTIFS($J12:$AX12,"*B2 RNNR*",$J12:$AX12,"&lt;&gt;"&amp;"pB2 RNNR")*0.5)))</f>
        <v>2</v>
      </c>
      <c r="J12" s="184" t="str">
        <f>IFERROR(IF(VLOOKUP(Tue_W1[[#This Row],[Employee Name]],'Base Schedules'!$A$160:$AW$203,9,FALSE)="","",VLOOKUP(Tue_W1[[#This Row],[Employee Name]],'Base Schedules'!$A$160:$AW$203,9,FALSE)),"")</f>
        <v/>
      </c>
      <c r="K12" s="184" t="str">
        <f>IFERROR(IF(VLOOKUP(Tue_W1[[#This Row],[Employee Name]],'Base Schedules'!$A$160:$AW$203,10,FALSE)="","",VLOOKUP(Tue_W1[[#This Row],[Employee Name]],'Base Schedules'!$A$160:$AW$203,10,FALSE)),"")</f>
        <v>ADM</v>
      </c>
      <c r="L12" s="184" t="str">
        <f>IFERROR(IF(VLOOKUP(Tue_W1[[#This Row],[Employee Name]],'Base Schedules'!$A$160:$AW$203,11,FALSE)="","",VLOOKUP(Tue_W1[[#This Row],[Employee Name]],'Base Schedules'!$A$160:$AW$203,11,FALSE)),"")</f>
        <v>ADM</v>
      </c>
      <c r="M12" s="184" t="str">
        <f>IFERROR(IF(VLOOKUP(Tue_W1[[#This Row],[Employee Name]],'Base Schedules'!$A$160:$AW$203,12,FALSE)="","",VLOOKUP(Tue_W1[[#This Row],[Employee Name]],'Base Schedules'!$A$160:$AW$203,12,FALSE)),"")</f>
        <v>ADM</v>
      </c>
      <c r="N12" s="184" t="str">
        <f>IFERROR(IF(VLOOKUP(Tue_W1[[#This Row],[Employee Name]],'Base Schedules'!$A$160:$AW$203,13,FALSE)="","",VLOOKUP(Tue_W1[[#This Row],[Employee Name]],'Base Schedules'!$A$160:$AW$203,13,FALSE)),"")</f>
        <v>ADM</v>
      </c>
      <c r="O12" s="184" t="str">
        <f>IFERROR(IF(VLOOKUP(Tue_W1[[#This Row],[Employee Name]],'Base Schedules'!$A$160:$AW$203,14,FALSE)="","",VLOOKUP(Tue_W1[[#This Row],[Employee Name]],'Base Schedules'!$A$160:$AW$203,14,FALSE)),"")</f>
        <v>B1 HL</v>
      </c>
      <c r="P12" s="184" t="str">
        <f>IFERROR(IF(VLOOKUP(Tue_W1[[#This Row],[Employee Name]],'Base Schedules'!$A$160:$AW$203,15,FALSE)="","",VLOOKUP(Tue_W1[[#This Row],[Employee Name]],'Base Schedules'!$A$160:$AW$203,15,FALSE)),"")</f>
        <v>HL</v>
      </c>
      <c r="Q12" s="184" t="str">
        <f>IFERROR(IF(VLOOKUP(Tue_W1[[#This Row],[Employee Name]],'Base Schedules'!$A$160:$AW$203,16,FALSE)="","",VLOOKUP(Tue_W1[[#This Row],[Employee Name]],'Base Schedules'!$A$160:$AW$203,16,FALSE)),"")</f>
        <v>HL</v>
      </c>
      <c r="R12" s="184" t="str">
        <f>IFERROR(IF(VLOOKUP(Tue_W1[[#This Row],[Employee Name]],'Base Schedules'!$A$160:$AW$203,17,FALSE)="","",VLOOKUP(Tue_W1[[#This Row],[Employee Name]],'Base Schedules'!$A$160:$AW$203,17,FALSE)),"")</f>
        <v>RNNR</v>
      </c>
      <c r="S12" s="184" t="str">
        <f>IFERROR(IF(VLOOKUP(Tue_W1[[#This Row],[Employee Name]],'Base Schedules'!$A$160:$AW$203,18,FALSE)="","",VLOOKUP(Tue_W1[[#This Row],[Employee Name]],'Base Schedules'!$A$160:$AW$203,18,FALSE)),"")</f>
        <v>RNNR</v>
      </c>
      <c r="T12" s="184" t="str">
        <f>IFERROR(IF(VLOOKUP(Tue_W1[[#This Row],[Employee Name]],'Base Schedules'!$A$160:$AW$203,19,FALSE)="","",VLOOKUP(Tue_W1[[#This Row],[Employee Name]],'Base Schedules'!$A$160:$AW$203,19,FALSE)),"")</f>
        <v>LUNCH</v>
      </c>
      <c r="U12" s="184" t="str">
        <f>IFERROR(IF(VLOOKUP(Tue_W1[[#This Row],[Employee Name]],'Base Schedules'!$A$160:$AW$203,20,FALSE)="","",VLOOKUP(Tue_W1[[#This Row],[Employee Name]],'Base Schedules'!$A$160:$AW$203,20,FALSE)),"")</f>
        <v>ADM</v>
      </c>
      <c r="V12" s="184" t="str">
        <f>IFERROR(IF(VLOOKUP(Tue_W1[[#This Row],[Employee Name]],'Base Schedules'!$A$160:$AW$203,21,FALSE)="","",VLOOKUP(Tue_W1[[#This Row],[Employee Name]],'Base Schedules'!$A$160:$AW$203,21,FALSE)),"")</f>
        <v>ADM</v>
      </c>
      <c r="W12" s="184" t="str">
        <f>IFERROR(IF(VLOOKUP(Tue_W1[[#This Row],[Employee Name]],'Base Schedules'!$A$160:$AW$203,22,FALSE)="","",VLOOKUP(Tue_W1[[#This Row],[Employee Name]],'Base Schedules'!$A$160:$AW$203,22,FALSE)),"")</f>
        <v>ADM B2</v>
      </c>
      <c r="X12" s="184" t="str">
        <f>IFERROR(IF(VLOOKUP(Tue_W1[[#This Row],[Employee Name]],'Base Schedules'!$A$160:$AW$203,23,FALSE)="","",VLOOKUP(Tue_W1[[#This Row],[Employee Name]],'Base Schedules'!$A$160:$AW$203,23,FALSE)),"")</f>
        <v>ADM</v>
      </c>
      <c r="Y12" s="184" t="str">
        <f>IFERROR(IF(VLOOKUP(Tue_W1[[#This Row],[Employee Name]],'Base Schedules'!$A$160:$AW$203,24,FALSE)="","",VLOOKUP(Tue_W1[[#This Row],[Employee Name]],'Base Schedules'!$A$160:$AW$203,24,FALSE)),"")</f>
        <v>ADM</v>
      </c>
      <c r="Z12" s="184" t="str">
        <f>IFERROR(IF(VLOOKUP(Tue_W1[[#This Row],[Employee Name]],'Base Schedules'!$A$160:$AW$203,25,FALSE)="","",VLOOKUP(Tue_W1[[#This Row],[Employee Name]],'Base Schedules'!$A$160:$AW$203,25,FALSE)),"")</f>
        <v>HL</v>
      </c>
      <c r="AA12" s="184" t="str">
        <f>IFERROR(IF(VLOOKUP(Tue_W1[[#This Row],[Employee Name]],'Base Schedules'!$A$160:$AW$203,26,FALSE)="","",VLOOKUP(Tue_W1[[#This Row],[Employee Name]],'Base Schedules'!$A$160:$AW$203,26,FALSE)),"")</f>
        <v>HL</v>
      </c>
      <c r="AB12" s="184" t="str">
        <f>IFERROR(IF(VLOOKUP(Tue_W1[[#This Row],[Employee Name]],'Base Schedules'!$A$160:$AW$203,27,FALSE)="","",VLOOKUP(Tue_W1[[#This Row],[Employee Name]],'Base Schedules'!$A$160:$AW$203,27,FALSE)),"")</f>
        <v/>
      </c>
      <c r="AC12" s="184" t="str">
        <f>IFERROR(IF(VLOOKUP(Tue_W1[[#This Row],[Employee Name]],'Base Schedules'!$A$160:$AW$203,28,FALSE)="","",VLOOKUP(Tue_W1[[#This Row],[Employee Name]],'Base Schedules'!$A$160:$AW$203,28,FALSE)),"")</f>
        <v/>
      </c>
      <c r="AD12" s="184" t="str">
        <f>IFERROR(IF(VLOOKUP(Tue_W1[[#This Row],[Employee Name]],'Base Schedules'!$A$160:$AW$203,29,FALSE)="","",VLOOKUP(Tue_W1[[#This Row],[Employee Name]],'Base Schedules'!$A$160:$AW$203,29,FALSE)),"")</f>
        <v/>
      </c>
      <c r="AE12" s="184" t="str">
        <f>IFERROR(IF(VLOOKUP(Tue_W1[[#This Row],[Employee Name]],'Base Schedules'!$A$160:$AW$203,30,FALSE)="","",VLOOKUP(Tue_W1[[#This Row],[Employee Name]],'Base Schedules'!$A$160:$AW$203,30,FALSE)),"")</f>
        <v/>
      </c>
      <c r="AF12" s="184" t="str">
        <f>IFERROR(IF(VLOOKUP(Tue_W1[[#This Row],[Employee Name]],'Base Schedules'!$A$160:$AW$203,31,FALSE)="","",VLOOKUP(Tue_W1[[#This Row],[Employee Name]],'Base Schedules'!$A$160:$AW$203,31,FALSE)),"")</f>
        <v/>
      </c>
      <c r="AG12" s="184" t="str">
        <f>IFERROR(IF(VLOOKUP(Tue_W1[[#This Row],[Employee Name]],'Base Schedules'!$A$160:$AW$203,32,FALSE)="","",VLOOKUP(Tue_W1[[#This Row],[Employee Name]],'Base Schedules'!$A$160:$AW$203,32,FALSE)),"")</f>
        <v/>
      </c>
      <c r="AH12" s="184" t="str">
        <f>IFERROR(IF(VLOOKUP(Tue_W1[[#This Row],[Employee Name]],'Base Schedules'!$A$160:$AW$203,33,FALSE)="","",VLOOKUP(Tue_W1[[#This Row],[Employee Name]],'Base Schedules'!$A$160:$AW$203,33,FALSE)),"")</f>
        <v/>
      </c>
      <c r="AI12" s="184" t="str">
        <f>IFERROR(IF(VLOOKUP(Tue_W1[[#This Row],[Employee Name]],'Base Schedules'!$A$160:$AW$203,34,FALSE)="","",VLOOKUP(Tue_W1[[#This Row],[Employee Name]],'Base Schedules'!$A$160:$AW$203,34,FALSE)),"")</f>
        <v/>
      </c>
      <c r="AJ12" s="184" t="str">
        <f>IFERROR(IF(VLOOKUP(Tue_W1[[#This Row],[Employee Name]],'Base Schedules'!$A$160:$AW$203,35,FALSE)="","",VLOOKUP(Tue_W1[[#This Row],[Employee Name]],'Base Schedules'!$A$160:$AW$203,35,FALSE)),"")</f>
        <v/>
      </c>
      <c r="AK12" s="184" t="str">
        <f>IFERROR(IF(VLOOKUP(Tue_W1[[#This Row],[Employee Name]],'Base Schedules'!$A$160:$AW$203,36,FALSE)="","",VLOOKUP(Tue_W1[[#This Row],[Employee Name]],'Base Schedules'!$A$160:$AW$203,36,FALSE)),"")</f>
        <v/>
      </c>
      <c r="AL12" s="184" t="str">
        <f>IFERROR(IF(VLOOKUP(Tue_W1[[#This Row],[Employee Name]],'Base Schedules'!$A$160:$AW$203,37,FALSE)="","",VLOOKUP(Tue_W1[[#This Row],[Employee Name]],'Base Schedules'!$A$160:$AW$203,37,FALSE)),"")</f>
        <v/>
      </c>
      <c r="AM12" s="184" t="str">
        <f>IFERROR(IF(VLOOKUP(Tue_W1[[#This Row],[Employee Name]],'Base Schedules'!$A$160:$AW$203,38,FALSE)="","",VLOOKUP(Tue_W1[[#This Row],[Employee Name]],'Base Schedules'!$A$160:$AW$203,38,FALSE)),"")</f>
        <v/>
      </c>
      <c r="AN12" s="184" t="str">
        <f>IFERROR(IF(VLOOKUP(Tue_W1[[#This Row],[Employee Name]],'Base Schedules'!$A$160:$AW$203,39,FALSE)="","",VLOOKUP(Tue_W1[[#This Row],[Employee Name]],'Base Schedules'!$A$160:$AW$203,39,FALSE)),"")</f>
        <v/>
      </c>
      <c r="AO12" s="184" t="str">
        <f>IFERROR(IF(VLOOKUP(Tue_W1[[#This Row],[Employee Name]],'Base Schedules'!$A$160:$AW$203,40,FALSE)="","",VLOOKUP(Tue_W1[[#This Row],[Employee Name]],'Base Schedules'!$A$160:$AW$203,40,FALSE)),"")</f>
        <v/>
      </c>
      <c r="AP12" s="184" t="str">
        <f>IFERROR(IF(VLOOKUP(Tue_W1[[#This Row],[Employee Name]],'Base Schedules'!$A$160:$AW$203,41,FALSE)="","",VLOOKUP(Tue_W1[[#This Row],[Employee Name]],'Base Schedules'!$A$160:$AW$203,41,FALSE)),"")</f>
        <v/>
      </c>
      <c r="AQ12" s="184" t="str">
        <f>IFERROR(IF(VLOOKUP(Tue_W1[[#This Row],[Employee Name]],'Base Schedules'!$A$160:$AW$203,42,FALSE)="","",VLOOKUP(Tue_W1[[#This Row],[Employee Name]],'Base Schedules'!$A$160:$AW$203,42,FALSE)),"")</f>
        <v/>
      </c>
      <c r="AR12" s="184" t="str">
        <f>IFERROR(IF(VLOOKUP(Tue_W1[[#This Row],[Employee Name]],'Base Schedules'!$A$160:$AW$203,43,FALSE)="","",VLOOKUP(Tue_W1[[#This Row],[Employee Name]],'Base Schedules'!$A$160:$AW$203,43,FALSE)),"")</f>
        <v/>
      </c>
      <c r="AS12" s="184" t="str">
        <f>IFERROR(IF(VLOOKUP(Tue_W1[[#This Row],[Employee Name]],'Base Schedules'!$A$160:$AW$203,44,FALSE)="","",VLOOKUP(Tue_W1[[#This Row],[Employee Name]],'Base Schedules'!$A$160:$AW$203,44,FALSE)),"")</f>
        <v/>
      </c>
      <c r="AT12" s="184" t="str">
        <f>IFERROR(IF(VLOOKUP(Tue_W1[[#This Row],[Employee Name]],'Base Schedules'!$A$160:$AW$203,45,FALSE)="","",VLOOKUP(Tue_W1[[#This Row],[Employee Name]],'Base Schedules'!$A$160:$AW$203,45,FALSE)),"")</f>
        <v/>
      </c>
      <c r="AU12" s="184" t="str">
        <f>IFERROR(IF(VLOOKUP(Tue_W1[[#This Row],[Employee Name]],'Base Schedules'!$A$160:$AW$203,46,FALSE)="","",VLOOKUP(Tue_W1[[#This Row],[Employee Name]],'Base Schedules'!$A$160:$AW$203,46,FALSE)),"")</f>
        <v/>
      </c>
      <c r="AV12" s="184" t="str">
        <f>IFERROR(IF(VLOOKUP(Tue_W1[[#This Row],[Employee Name]],'Base Schedules'!$A$160:$AW$203,47,FALSE)="","",VLOOKUP(Tue_W1[[#This Row],[Employee Name]],'Base Schedules'!$A$160:$AW$203,47,FALSE)),"")</f>
        <v/>
      </c>
      <c r="AW12" s="184" t="str">
        <f>IFERROR(IF(VLOOKUP(Tue_W1[[#This Row],[Employee Name]],'Base Schedules'!$A$160:$AW$203,48,FALSE)="","",VLOOKUP(Tue_W1[[#This Row],[Employee Name]],'Base Schedules'!$A$160:$AW$203,48,FALSE)),"")</f>
        <v/>
      </c>
      <c r="AX12" s="184" t="str">
        <f>IFERROR(IF(VLOOKUP(Tue_W1[[#This Row],[Employee Name]],'Base Schedules'!$A$160:$AW$203,49,FALSE)="","",VLOOKUP(Tue_W1[[#This Row],[Employee Name]],'Base Schedules'!$A$160:$AW$203,49,FALSE)),"")</f>
        <v/>
      </c>
      <c r="AY12" s="164" t="str">
        <f t="shared" si="2"/>
        <v>Albritton, Ahmed</v>
      </c>
    </row>
    <row r="13" spans="1:51" s="44" customFormat="1" ht="12" x14ac:dyDescent="0.2">
      <c r="A13" s="39" t="str">
        <f>IF(B13="","",INDEX(TeamList[],MATCH($B13,TeamList[[Employee Name]:[Employee Name]],0),MATCH("Manager",TeamList[#Headers],0)))</f>
        <v>Olson, Katherine</v>
      </c>
      <c r="B13" s="201" t="s">
        <v>230</v>
      </c>
      <c r="C13" s="257" t="str">
        <f>_xlfn.IFNA(VLOOKUP(Tue_W1[[#This Row],[Employee Name]],'Base Schedules'!A:B,2,FALSE),"")</f>
        <v>Lead</v>
      </c>
      <c r="D13" s="274">
        <f>_xlfn.IFNA(VLOOKUP(Tue_W1[[#This Row],[Employee Name]],'Base Schedules'!A:C,3,FALSE),"")</f>
        <v>530</v>
      </c>
      <c r="E13" s="274">
        <f>_xlfn.IFNA(VLOOKUP(Tue_W1[[#This Row],[Employee Name]],'Base Schedules'!A:D,4,FALSE),"")</f>
        <v>1430</v>
      </c>
      <c r="F13" s="142">
        <f>IF(Tue_W1[[#This Row],[Employee Name]]="","",IF(Tue_W1[[#This Row],[Dept]]="Supervisor",COUNTIFS($J13:$AX13,"*HL*",$J13:$AX13,"&lt;&gt;"&amp;"pHL"),COUNTIFS($J13:$AX13,"*HL*",$J13:$AX13,"&lt;&gt;"&amp;"*pHL*",$J13:$AX13,"&lt;&gt;"&amp;"pB1 HL",$J13:$AX13,"&lt;&gt;"&amp;"pB2 HL")-SUM(COUNTIFS($J13:$AX13,"*HL B1*",$J13:$AX13,"&lt;&gt;"&amp;"pHL B1")*0.5,COUNTIFS($J13:$AX13,"*HL B2*",$J13:$AX13,"&lt;&gt;"&amp;"pHL B2")*0.5,COUNTIFS($J13:$AX13,"*B1 HL*",$J13:$AX13,"&lt;&gt;"&amp;"pB1 HL")*0.5,COUNTIFS($J13:$AX13,"*B2 HL*",$J13:$AX13,"&lt;&gt;"&amp;"pB2 HL")*0.5)))</f>
        <v>7</v>
      </c>
      <c r="G13" s="142">
        <f t="shared" si="0"/>
        <v>0</v>
      </c>
      <c r="H13" s="142">
        <f t="shared" si="1"/>
        <v>9</v>
      </c>
      <c r="I13" s="142">
        <f>IF(Tue_W1[[#This Row],[Employee Name]]="","",IF(Tue_W1[[#This Row],[Dept]]="Supervisor",SUM(COUNTIFS($J13:$AX13,"RTA*",$J13:$AX13,"&lt;&gt;"&amp;"pRTA"),COUNTIFS($J13:$AX13,"*CRTA*",$J13:$AX13,"&lt;&gt;"&amp;"pCRTA")),COUNTIFS($J13:$AX13,"*RNNR*",$J13:$AX13,"&lt;&gt;"&amp;"*pRNNR*",$J13:$AX13,"&lt;&gt;"&amp;"pB1 RNNR",$J13:$AX13,"&lt;&gt;"&amp;"pB2 RNNR")-SUM(COUNTIFS($J13:$AX13,"*RNNR B1*",$J13:$AX13,"&lt;&gt;"&amp;"pRNNR B1")*0.5,COUNTIFS($J13:$AX13,"*RNNR B2*",$J13:$AX13,"&lt;&gt;"&amp;"pRNNR B2")*0.5,COUNTIFS($J13:$AX13,"*B1 RNNR*",$J13:$AX13,"&lt;&gt;"&amp;"pB1 RNNR")*0.5,COUNTIFS($J13:$AX13,"*B2 RNNR*",$J13:$AX13,"&lt;&gt;"&amp;"pB2 RNNR")*0.5)))</f>
        <v>0</v>
      </c>
      <c r="J13" s="184" t="str">
        <f>IFERROR(IF(VLOOKUP(Tue_W1[[#This Row],[Employee Name]],'Base Schedules'!$A$160:$AW$203,9,FALSE)="","",VLOOKUP(Tue_W1[[#This Row],[Employee Name]],'Base Schedules'!$A$160:$AW$203,9,FALSE)),"")</f>
        <v/>
      </c>
      <c r="K13" s="184" t="str">
        <f>IFERROR(IF(VLOOKUP(Tue_W1[[#This Row],[Employee Name]],'Base Schedules'!$A$160:$AW$203,10,FALSE)="","",VLOOKUP(Tue_W1[[#This Row],[Employee Name]],'Base Schedules'!$A$160:$AW$203,10,FALSE)),"")</f>
        <v>HL</v>
      </c>
      <c r="L13" s="184" t="str">
        <f>IFERROR(IF(VLOOKUP(Tue_W1[[#This Row],[Employee Name]],'Base Schedules'!$A$160:$AW$203,11,FALSE)="","",VLOOKUP(Tue_W1[[#This Row],[Employee Name]],'Base Schedules'!$A$160:$AW$203,11,FALSE)),"")</f>
        <v>ADM</v>
      </c>
      <c r="M13" s="184" t="str">
        <f>IFERROR(IF(VLOOKUP(Tue_W1[[#This Row],[Employee Name]],'Base Schedules'!$A$160:$AW$203,12,FALSE)="","",VLOOKUP(Tue_W1[[#This Row],[Employee Name]],'Base Schedules'!$A$160:$AW$203,12,FALSE)),"")</f>
        <v>ADM</v>
      </c>
      <c r="N13" s="184" t="str">
        <f>IFERROR(IF(VLOOKUP(Tue_W1[[#This Row],[Employee Name]],'Base Schedules'!$A$160:$AW$203,13,FALSE)="","",VLOOKUP(Tue_W1[[#This Row],[Employee Name]],'Base Schedules'!$A$160:$AW$203,13,FALSE)),"")</f>
        <v>ADM</v>
      </c>
      <c r="O13" s="184" t="str">
        <f>IFERROR(IF(VLOOKUP(Tue_W1[[#This Row],[Employee Name]],'Base Schedules'!$A$160:$AW$203,14,FALSE)="","",VLOOKUP(Tue_W1[[#This Row],[Employee Name]],'Base Schedules'!$A$160:$AW$203,14,FALSE)),"")</f>
        <v>ADM B1</v>
      </c>
      <c r="P13" s="184" t="str">
        <f>IFERROR(IF(VLOOKUP(Tue_W1[[#This Row],[Employee Name]],'Base Schedules'!$A$160:$AW$203,15,FALSE)="","",VLOOKUP(Tue_W1[[#This Row],[Employee Name]],'Base Schedules'!$A$160:$AW$203,15,FALSE)),"")</f>
        <v>HL</v>
      </c>
      <c r="Q13" s="184" t="str">
        <f>IFERROR(IF(VLOOKUP(Tue_W1[[#This Row],[Employee Name]],'Base Schedules'!$A$160:$AW$203,16,FALSE)="","",VLOOKUP(Tue_W1[[#This Row],[Employee Name]],'Base Schedules'!$A$160:$AW$203,16,FALSE)),"")</f>
        <v>HL</v>
      </c>
      <c r="R13" s="184" t="str">
        <f>IFERROR(IF(VLOOKUP(Tue_W1[[#This Row],[Employee Name]],'Base Schedules'!$A$160:$AW$203,17,FALSE)="","",VLOOKUP(Tue_W1[[#This Row],[Employee Name]],'Base Schedules'!$A$160:$AW$203,17,FALSE)),"")</f>
        <v>HL</v>
      </c>
      <c r="S13" s="184" t="str">
        <f>IFERROR(IF(VLOOKUP(Tue_W1[[#This Row],[Employee Name]],'Base Schedules'!$A$160:$AW$203,18,FALSE)="","",VLOOKUP(Tue_W1[[#This Row],[Employee Name]],'Base Schedules'!$A$160:$AW$203,18,FALSE)),"")</f>
        <v>ADM</v>
      </c>
      <c r="T13" s="184" t="str">
        <f>IFERROR(IF(VLOOKUP(Tue_W1[[#This Row],[Employee Name]],'Base Schedules'!$A$160:$AW$203,19,FALSE)="","",VLOOKUP(Tue_W1[[#This Row],[Employee Name]],'Base Schedules'!$A$160:$AW$203,19,FALSE)),"")</f>
        <v>ADM</v>
      </c>
      <c r="U13" s="184" t="str">
        <f>IFERROR(IF(VLOOKUP(Tue_W1[[#This Row],[Employee Name]],'Base Schedules'!$A$160:$AW$203,20,FALSE)="","",VLOOKUP(Tue_W1[[#This Row],[Employee Name]],'Base Schedules'!$A$160:$AW$203,20,FALSE)),"")</f>
        <v>LUNCH</v>
      </c>
      <c r="V13" s="184" t="str">
        <f>IFERROR(IF(VLOOKUP(Tue_W1[[#This Row],[Employee Name]],'Base Schedules'!$A$160:$AW$203,21,FALSE)="","",VLOOKUP(Tue_W1[[#This Row],[Employee Name]],'Base Schedules'!$A$160:$AW$203,21,FALSE)),"")</f>
        <v>LUNCH</v>
      </c>
      <c r="W13" s="184" t="str">
        <f>IFERROR(IF(VLOOKUP(Tue_W1[[#This Row],[Employee Name]],'Base Schedules'!$A$160:$AW$203,22,FALSE)="","",VLOOKUP(Tue_W1[[#This Row],[Employee Name]],'Base Schedules'!$A$160:$AW$203,22,FALSE)),"")</f>
        <v>HL</v>
      </c>
      <c r="X13" s="184" t="str">
        <f>IFERROR(IF(VLOOKUP(Tue_W1[[#This Row],[Employee Name]],'Base Schedules'!$A$160:$AW$203,23,FALSE)="","",VLOOKUP(Tue_W1[[#This Row],[Employee Name]],'Base Schedules'!$A$160:$AW$203,23,FALSE)),"")</f>
        <v>HL</v>
      </c>
      <c r="Y13" s="184" t="str">
        <f>IFERROR(IF(VLOOKUP(Tue_W1[[#This Row],[Employee Name]],'Base Schedules'!$A$160:$AW$203,24,FALSE)="","",VLOOKUP(Tue_W1[[#This Row],[Employee Name]],'Base Schedules'!$A$160:$AW$203,24,FALSE)),"")</f>
        <v>ADM B2</v>
      </c>
      <c r="Z13" s="184" t="str">
        <f>IFERROR(IF(VLOOKUP(Tue_W1[[#This Row],[Employee Name]],'Base Schedules'!$A$160:$AW$203,25,FALSE)="","",VLOOKUP(Tue_W1[[#This Row],[Employee Name]],'Base Schedules'!$A$160:$AW$203,25,FALSE)),"")</f>
        <v>ADM</v>
      </c>
      <c r="AA13" s="184" t="str">
        <f>IFERROR(IF(VLOOKUP(Tue_W1[[#This Row],[Employee Name]],'Base Schedules'!$A$160:$AW$203,26,FALSE)="","",VLOOKUP(Tue_W1[[#This Row],[Employee Name]],'Base Schedules'!$A$160:$AW$203,26,FALSE)),"")</f>
        <v>ADM</v>
      </c>
      <c r="AB13" s="184" t="str">
        <f>IFERROR(IF(VLOOKUP(Tue_W1[[#This Row],[Employee Name]],'Base Schedules'!$A$160:$AW$203,27,FALSE)="","",VLOOKUP(Tue_W1[[#This Row],[Employee Name]],'Base Schedules'!$A$160:$AW$203,27,FALSE)),"")</f>
        <v>HL</v>
      </c>
      <c r="AC13" s="184" t="str">
        <f>IFERROR(IF(VLOOKUP(Tue_W1[[#This Row],[Employee Name]],'Base Schedules'!$A$160:$AW$203,28,FALSE)="","",VLOOKUP(Tue_W1[[#This Row],[Employee Name]],'Base Schedules'!$A$160:$AW$203,28,FALSE)),"")</f>
        <v/>
      </c>
      <c r="AD13" s="184" t="str">
        <f>IFERROR(IF(VLOOKUP(Tue_W1[[#This Row],[Employee Name]],'Base Schedules'!$A$160:$AW$203,29,FALSE)="","",VLOOKUP(Tue_W1[[#This Row],[Employee Name]],'Base Schedules'!$A$160:$AW$203,29,FALSE)),"")</f>
        <v/>
      </c>
      <c r="AE13" s="184" t="str">
        <f>IFERROR(IF(VLOOKUP(Tue_W1[[#This Row],[Employee Name]],'Base Schedules'!$A$160:$AW$203,30,FALSE)="","",VLOOKUP(Tue_W1[[#This Row],[Employee Name]],'Base Schedules'!$A$160:$AW$203,30,FALSE)),"")</f>
        <v/>
      </c>
      <c r="AF13" s="184" t="str">
        <f>IFERROR(IF(VLOOKUP(Tue_W1[[#This Row],[Employee Name]],'Base Schedules'!$A$160:$AW$203,31,FALSE)="","",VLOOKUP(Tue_W1[[#This Row],[Employee Name]],'Base Schedules'!$A$160:$AW$203,31,FALSE)),"")</f>
        <v/>
      </c>
      <c r="AG13" s="184" t="str">
        <f>IFERROR(IF(VLOOKUP(Tue_W1[[#This Row],[Employee Name]],'Base Schedules'!$A$160:$AW$203,32,FALSE)="","",VLOOKUP(Tue_W1[[#This Row],[Employee Name]],'Base Schedules'!$A$160:$AW$203,32,FALSE)),"")</f>
        <v/>
      </c>
      <c r="AH13" s="184" t="str">
        <f>IFERROR(IF(VLOOKUP(Tue_W1[[#This Row],[Employee Name]],'Base Schedules'!$A$160:$AW$203,33,FALSE)="","",VLOOKUP(Tue_W1[[#This Row],[Employee Name]],'Base Schedules'!$A$160:$AW$203,33,FALSE)),"")</f>
        <v/>
      </c>
      <c r="AI13" s="184" t="str">
        <f>IFERROR(IF(VLOOKUP(Tue_W1[[#This Row],[Employee Name]],'Base Schedules'!$A$160:$AW$203,34,FALSE)="","",VLOOKUP(Tue_W1[[#This Row],[Employee Name]],'Base Schedules'!$A$160:$AW$203,34,FALSE)),"")</f>
        <v/>
      </c>
      <c r="AJ13" s="184" t="str">
        <f>IFERROR(IF(VLOOKUP(Tue_W1[[#This Row],[Employee Name]],'Base Schedules'!$A$160:$AW$203,35,FALSE)="","",VLOOKUP(Tue_W1[[#This Row],[Employee Name]],'Base Schedules'!$A$160:$AW$203,35,FALSE)),"")</f>
        <v/>
      </c>
      <c r="AK13" s="184" t="str">
        <f>IFERROR(IF(VLOOKUP(Tue_W1[[#This Row],[Employee Name]],'Base Schedules'!$A$160:$AW$203,36,FALSE)="","",VLOOKUP(Tue_W1[[#This Row],[Employee Name]],'Base Schedules'!$A$160:$AW$203,36,FALSE)),"")</f>
        <v/>
      </c>
      <c r="AL13" s="184" t="str">
        <f>IFERROR(IF(VLOOKUP(Tue_W1[[#This Row],[Employee Name]],'Base Schedules'!$A$160:$AW$203,37,FALSE)="","",VLOOKUP(Tue_W1[[#This Row],[Employee Name]],'Base Schedules'!$A$160:$AW$203,37,FALSE)),"")</f>
        <v/>
      </c>
      <c r="AM13" s="184" t="str">
        <f>IFERROR(IF(VLOOKUP(Tue_W1[[#This Row],[Employee Name]],'Base Schedules'!$A$160:$AW$203,38,FALSE)="","",VLOOKUP(Tue_W1[[#This Row],[Employee Name]],'Base Schedules'!$A$160:$AW$203,38,FALSE)),"")</f>
        <v/>
      </c>
      <c r="AN13" s="184" t="str">
        <f>IFERROR(IF(VLOOKUP(Tue_W1[[#This Row],[Employee Name]],'Base Schedules'!$A$160:$AW$203,39,FALSE)="","",VLOOKUP(Tue_W1[[#This Row],[Employee Name]],'Base Schedules'!$A$160:$AW$203,39,FALSE)),"")</f>
        <v/>
      </c>
      <c r="AO13" s="184" t="str">
        <f>IFERROR(IF(VLOOKUP(Tue_W1[[#This Row],[Employee Name]],'Base Schedules'!$A$160:$AW$203,40,FALSE)="","",VLOOKUP(Tue_W1[[#This Row],[Employee Name]],'Base Schedules'!$A$160:$AW$203,40,FALSE)),"")</f>
        <v/>
      </c>
      <c r="AP13" s="184" t="str">
        <f>IFERROR(IF(VLOOKUP(Tue_W1[[#This Row],[Employee Name]],'Base Schedules'!$A$160:$AW$203,41,FALSE)="","",VLOOKUP(Tue_W1[[#This Row],[Employee Name]],'Base Schedules'!$A$160:$AW$203,41,FALSE)),"")</f>
        <v/>
      </c>
      <c r="AQ13" s="184" t="str">
        <f>IFERROR(IF(VLOOKUP(Tue_W1[[#This Row],[Employee Name]],'Base Schedules'!$A$160:$AW$203,42,FALSE)="","",VLOOKUP(Tue_W1[[#This Row],[Employee Name]],'Base Schedules'!$A$160:$AW$203,42,FALSE)),"")</f>
        <v/>
      </c>
      <c r="AR13" s="184" t="str">
        <f>IFERROR(IF(VLOOKUP(Tue_W1[[#This Row],[Employee Name]],'Base Schedules'!$A$160:$AW$203,43,FALSE)="","",VLOOKUP(Tue_W1[[#This Row],[Employee Name]],'Base Schedules'!$A$160:$AW$203,43,FALSE)),"")</f>
        <v/>
      </c>
      <c r="AS13" s="184" t="str">
        <f>IFERROR(IF(VLOOKUP(Tue_W1[[#This Row],[Employee Name]],'Base Schedules'!$A$160:$AW$203,44,FALSE)="","",VLOOKUP(Tue_W1[[#This Row],[Employee Name]],'Base Schedules'!$A$160:$AW$203,44,FALSE)),"")</f>
        <v/>
      </c>
      <c r="AT13" s="184" t="str">
        <f>IFERROR(IF(VLOOKUP(Tue_W1[[#This Row],[Employee Name]],'Base Schedules'!$A$160:$AW$203,45,FALSE)="","",VLOOKUP(Tue_W1[[#This Row],[Employee Name]],'Base Schedules'!$A$160:$AW$203,45,FALSE)),"")</f>
        <v/>
      </c>
      <c r="AU13" s="184" t="str">
        <f>IFERROR(IF(VLOOKUP(Tue_W1[[#This Row],[Employee Name]],'Base Schedules'!$A$160:$AW$203,46,FALSE)="","",VLOOKUP(Tue_W1[[#This Row],[Employee Name]],'Base Schedules'!$A$160:$AW$203,46,FALSE)),"")</f>
        <v/>
      </c>
      <c r="AV13" s="184" t="str">
        <f>IFERROR(IF(VLOOKUP(Tue_W1[[#This Row],[Employee Name]],'Base Schedules'!$A$160:$AW$203,47,FALSE)="","",VLOOKUP(Tue_W1[[#This Row],[Employee Name]],'Base Schedules'!$A$160:$AW$203,47,FALSE)),"")</f>
        <v/>
      </c>
      <c r="AW13" s="184" t="str">
        <f>IFERROR(IF(VLOOKUP(Tue_W1[[#This Row],[Employee Name]],'Base Schedules'!$A$160:$AW$203,48,FALSE)="","",VLOOKUP(Tue_W1[[#This Row],[Employee Name]],'Base Schedules'!$A$160:$AW$203,48,FALSE)),"")</f>
        <v/>
      </c>
      <c r="AX13" s="184" t="str">
        <f>IFERROR(IF(VLOOKUP(Tue_W1[[#This Row],[Employee Name]],'Base Schedules'!$A$160:$AW$203,49,FALSE)="","",VLOOKUP(Tue_W1[[#This Row],[Employee Name]],'Base Schedules'!$A$160:$AW$203,49,FALSE)),"")</f>
        <v/>
      </c>
      <c r="AY13" s="164" t="str">
        <f t="shared" si="2"/>
        <v>Suarez, Alyssa</v>
      </c>
    </row>
    <row r="14" spans="1:51" s="44" customFormat="1" ht="12" x14ac:dyDescent="0.2">
      <c r="A14" s="39" t="str">
        <f>IF(B14="","",INDEX(TeamList[],MATCH($B14,TeamList[[Employee Name]:[Employee Name]],0),MATCH("Manager",TeamList[#Headers],0)))</f>
        <v>Paulson, Matthew</v>
      </c>
      <c r="B14" s="201" t="s">
        <v>17</v>
      </c>
      <c r="C14" s="257" t="str">
        <f>_xlfn.IFNA(VLOOKUP(Tue_W1[[#This Row],[Employee Name]],'Base Schedules'!A:B,2,FALSE),"")</f>
        <v>Supervisor</v>
      </c>
      <c r="D14" s="274">
        <f>_xlfn.IFNA(VLOOKUP(Tue_W1[[#This Row],[Employee Name]],'Base Schedules'!A:C,3,FALSE),"")</f>
        <v>530</v>
      </c>
      <c r="E14" s="274">
        <f>_xlfn.IFNA(VLOOKUP(Tue_W1[[#This Row],[Employee Name]],'Base Schedules'!A:D,4,FALSE),"")</f>
        <v>1430</v>
      </c>
      <c r="F14" s="142">
        <f>IF(Tue_W1[[#This Row],[Employee Name]]="","",IF(Tue_W1[[#This Row],[Dept]]="Supervisor",COUNTIFS($J14:$AX14,"*HL*",$J14:$AX14,"&lt;&gt;"&amp;"pHL"),COUNTIFS($J14:$AX14,"*HL*",$J14:$AX14,"&lt;&gt;"&amp;"*pHL*",$J14:$AX14,"&lt;&gt;"&amp;"pB1 HL",$J14:$AX14,"&lt;&gt;"&amp;"pB2 HL")-SUM(COUNTIFS($J14:$AX14,"*HL B1*",$J14:$AX14,"&lt;&gt;"&amp;"pHL B1")*0.5,COUNTIFS($J14:$AX14,"*HL B2*",$J14:$AX14,"&lt;&gt;"&amp;"pHL B2")*0.5,COUNTIFS($J14:$AX14,"*B1 HL*",$J14:$AX14,"&lt;&gt;"&amp;"pB1 HL")*0.5,COUNTIFS($J14:$AX14,"*B2 HL*",$J14:$AX14,"&lt;&gt;"&amp;"pB2 HL")*0.5)))</f>
        <v>0</v>
      </c>
      <c r="G14" s="142">
        <f t="shared" si="0"/>
        <v>0</v>
      </c>
      <c r="H14" s="142">
        <f t="shared" si="1"/>
        <v>0</v>
      </c>
      <c r="I14" s="142">
        <f>IF(Tue_W1[[#This Row],[Employee Name]]="","",IF(Tue_W1[[#This Row],[Dept]]="Supervisor",SUM(COUNTIFS($J14:$AX14,"RTA*",$J14:$AX14,"&lt;&gt;"&amp;"pRTA"),COUNTIFS($J14:$AX14,"*CRTA*",$J14:$AX14,"&lt;&gt;"&amp;"pCRTA")),COUNTIFS($J14:$AX14,"*RNNR*",$J14:$AX14,"&lt;&gt;"&amp;"*pRNNR*",$J14:$AX14,"&lt;&gt;"&amp;"pB1 RNNR",$J14:$AX14,"&lt;&gt;"&amp;"pB2 RNNR")-SUM(COUNTIFS($J14:$AX14,"*RNNR B1*",$J14:$AX14,"&lt;&gt;"&amp;"pRNNR B1")*0.5,COUNTIFS($J14:$AX14,"*RNNR B2*",$J14:$AX14,"&lt;&gt;"&amp;"pRNNR B2")*0.5,COUNTIFS($J14:$AX14,"*B1 RNNR*",$J14:$AX14,"&lt;&gt;"&amp;"pB1 RNNR")*0.5,COUNTIFS($J14:$AX14,"*B2 RNNR*",$J14:$AX14,"&lt;&gt;"&amp;"pB2 RNNR")*0.5)))</f>
        <v>0</v>
      </c>
      <c r="J14" s="184" t="str">
        <f>IFERROR(IF(VLOOKUP(Tue_W1[[#This Row],[Employee Name]],'Base Schedules'!$A$160:$AW$203,9,FALSE)="","",VLOOKUP(Tue_W1[[#This Row],[Employee Name]],'Base Schedules'!$A$160:$AW$203,9,FALSE)),"")</f>
        <v/>
      </c>
      <c r="K14" s="184" t="str">
        <f>IFERROR(IF(VLOOKUP(Tue_W1[[#This Row],[Employee Name]],'Base Schedules'!$A$160:$AW$203,10,FALSE)="","",VLOOKUP(Tue_W1[[#This Row],[Employee Name]],'Base Schedules'!$A$160:$AW$203,10,FALSE)),"")</f>
        <v/>
      </c>
      <c r="L14" s="184" t="str">
        <f>IFERROR(IF(VLOOKUP(Tue_W1[[#This Row],[Employee Name]],'Base Schedules'!$A$160:$AW$203,11,FALSE)="","",VLOOKUP(Tue_W1[[#This Row],[Employee Name]],'Base Schedules'!$A$160:$AW$203,11,FALSE)),"")</f>
        <v/>
      </c>
      <c r="M14" s="184" t="str">
        <f>IFERROR(IF(VLOOKUP(Tue_W1[[#This Row],[Employee Name]],'Base Schedules'!$A$160:$AW$203,12,FALSE)="","",VLOOKUP(Tue_W1[[#This Row],[Employee Name]],'Base Schedules'!$A$160:$AW$203,12,FALSE)),"")</f>
        <v/>
      </c>
      <c r="N14" s="184" t="str">
        <f>IFERROR(IF(VLOOKUP(Tue_W1[[#This Row],[Employee Name]],'Base Schedules'!$A$160:$AW$203,13,FALSE)="","",VLOOKUP(Tue_W1[[#This Row],[Employee Name]],'Base Schedules'!$A$160:$AW$203,13,FALSE)),"")</f>
        <v/>
      </c>
      <c r="O14" s="184" t="str">
        <f>IFERROR(IF(VLOOKUP(Tue_W1[[#This Row],[Employee Name]],'Base Schedules'!$A$160:$AW$203,14,FALSE)="","",VLOOKUP(Tue_W1[[#This Row],[Employee Name]],'Base Schedules'!$A$160:$AW$203,14,FALSE)),"")</f>
        <v/>
      </c>
      <c r="P14" s="184" t="str">
        <f>IFERROR(IF(VLOOKUP(Tue_W1[[#This Row],[Employee Name]],'Base Schedules'!$A$160:$AW$203,15,FALSE)="","",VLOOKUP(Tue_W1[[#This Row],[Employee Name]],'Base Schedules'!$A$160:$AW$203,15,FALSE)),"")</f>
        <v/>
      </c>
      <c r="Q14" s="184" t="str">
        <f>IFERROR(IF(VLOOKUP(Tue_W1[[#This Row],[Employee Name]],'Base Schedules'!$A$160:$AW$203,16,FALSE)="","",VLOOKUP(Tue_W1[[#This Row],[Employee Name]],'Base Schedules'!$A$160:$AW$203,16,FALSE)),"")</f>
        <v/>
      </c>
      <c r="R14" s="184" t="str">
        <f>IFERROR(IF(VLOOKUP(Tue_W1[[#This Row],[Employee Name]],'Base Schedules'!$A$160:$AW$203,17,FALSE)="","",VLOOKUP(Tue_W1[[#This Row],[Employee Name]],'Base Schedules'!$A$160:$AW$203,17,FALSE)),"")</f>
        <v/>
      </c>
      <c r="S14" s="184" t="str">
        <f>IFERROR(IF(VLOOKUP(Tue_W1[[#This Row],[Employee Name]],'Base Schedules'!$A$160:$AW$203,18,FALSE)="","",VLOOKUP(Tue_W1[[#This Row],[Employee Name]],'Base Schedules'!$A$160:$AW$203,18,FALSE)),"")</f>
        <v/>
      </c>
      <c r="T14" s="184" t="str">
        <f>IFERROR(IF(VLOOKUP(Tue_W1[[#This Row],[Employee Name]],'Base Schedules'!$A$160:$AW$203,19,FALSE)="","",VLOOKUP(Tue_W1[[#This Row],[Employee Name]],'Base Schedules'!$A$160:$AW$203,19,FALSE)),"")</f>
        <v/>
      </c>
      <c r="U14" s="184" t="str">
        <f>IFERROR(IF(VLOOKUP(Tue_W1[[#This Row],[Employee Name]],'Base Schedules'!$A$160:$AW$203,20,FALSE)="","",VLOOKUP(Tue_W1[[#This Row],[Employee Name]],'Base Schedules'!$A$160:$AW$203,20,FALSE)),"")</f>
        <v/>
      </c>
      <c r="V14" s="184" t="str">
        <f>IFERROR(IF(VLOOKUP(Tue_W1[[#This Row],[Employee Name]],'Base Schedules'!$A$160:$AW$203,21,FALSE)="","",VLOOKUP(Tue_W1[[#This Row],[Employee Name]],'Base Schedules'!$A$160:$AW$203,21,FALSE)),"")</f>
        <v/>
      </c>
      <c r="W14" s="184" t="str">
        <f>IFERROR(IF(VLOOKUP(Tue_W1[[#This Row],[Employee Name]],'Base Schedules'!$A$160:$AW$203,22,FALSE)="","",VLOOKUP(Tue_W1[[#This Row],[Employee Name]],'Base Schedules'!$A$160:$AW$203,22,FALSE)),"")</f>
        <v/>
      </c>
      <c r="X14" s="184" t="str">
        <f>IFERROR(IF(VLOOKUP(Tue_W1[[#This Row],[Employee Name]],'Base Schedules'!$A$160:$AW$203,23,FALSE)="","",VLOOKUP(Tue_W1[[#This Row],[Employee Name]],'Base Schedules'!$A$160:$AW$203,23,FALSE)),"")</f>
        <v/>
      </c>
      <c r="Y14" s="184" t="str">
        <f>IFERROR(IF(VLOOKUP(Tue_W1[[#This Row],[Employee Name]],'Base Schedules'!$A$160:$AW$203,24,FALSE)="","",VLOOKUP(Tue_W1[[#This Row],[Employee Name]],'Base Schedules'!$A$160:$AW$203,24,FALSE)),"")</f>
        <v/>
      </c>
      <c r="Z14" s="184" t="str">
        <f>IFERROR(IF(VLOOKUP(Tue_W1[[#This Row],[Employee Name]],'Base Schedules'!$A$160:$AW$203,25,FALSE)="","",VLOOKUP(Tue_W1[[#This Row],[Employee Name]],'Base Schedules'!$A$160:$AW$203,25,FALSE)),"")</f>
        <v/>
      </c>
      <c r="AA14" s="184" t="str">
        <f>IFERROR(IF(VLOOKUP(Tue_W1[[#This Row],[Employee Name]],'Base Schedules'!$A$160:$AW$203,26,FALSE)="","",VLOOKUP(Tue_W1[[#This Row],[Employee Name]],'Base Schedules'!$A$160:$AW$203,26,FALSE)),"")</f>
        <v/>
      </c>
      <c r="AB14" s="184" t="str">
        <f>IFERROR(IF(VLOOKUP(Tue_W1[[#This Row],[Employee Name]],'Base Schedules'!$A$160:$AW$203,27,FALSE)="","",VLOOKUP(Tue_W1[[#This Row],[Employee Name]],'Base Schedules'!$A$160:$AW$203,27,FALSE)),"")</f>
        <v/>
      </c>
      <c r="AC14" s="184" t="str">
        <f>IFERROR(IF(VLOOKUP(Tue_W1[[#This Row],[Employee Name]],'Base Schedules'!$A$160:$AW$203,28,FALSE)="","",VLOOKUP(Tue_W1[[#This Row],[Employee Name]],'Base Schedules'!$A$160:$AW$203,28,FALSE)),"")</f>
        <v/>
      </c>
      <c r="AD14" s="184" t="str">
        <f>IFERROR(IF(VLOOKUP(Tue_W1[[#This Row],[Employee Name]],'Base Schedules'!$A$160:$AW$203,29,FALSE)="","",VLOOKUP(Tue_W1[[#This Row],[Employee Name]],'Base Schedules'!$A$160:$AW$203,29,FALSE)),"")</f>
        <v/>
      </c>
      <c r="AE14" s="184" t="str">
        <f>IFERROR(IF(VLOOKUP(Tue_W1[[#This Row],[Employee Name]],'Base Schedules'!$A$160:$AW$203,30,FALSE)="","",VLOOKUP(Tue_W1[[#This Row],[Employee Name]],'Base Schedules'!$A$160:$AW$203,30,FALSE)),"")</f>
        <v/>
      </c>
      <c r="AF14" s="184" t="str">
        <f>IFERROR(IF(VLOOKUP(Tue_W1[[#This Row],[Employee Name]],'Base Schedules'!$A$160:$AW$203,31,FALSE)="","",VLOOKUP(Tue_W1[[#This Row],[Employee Name]],'Base Schedules'!$A$160:$AW$203,31,FALSE)),"")</f>
        <v/>
      </c>
      <c r="AG14" s="184" t="str">
        <f>IFERROR(IF(VLOOKUP(Tue_W1[[#This Row],[Employee Name]],'Base Schedules'!$A$160:$AW$203,32,FALSE)="","",VLOOKUP(Tue_W1[[#This Row],[Employee Name]],'Base Schedules'!$A$160:$AW$203,32,FALSE)),"")</f>
        <v/>
      </c>
      <c r="AH14" s="184" t="str">
        <f>IFERROR(IF(VLOOKUP(Tue_W1[[#This Row],[Employee Name]],'Base Schedules'!$A$160:$AW$203,33,FALSE)="","",VLOOKUP(Tue_W1[[#This Row],[Employee Name]],'Base Schedules'!$A$160:$AW$203,33,FALSE)),"")</f>
        <v/>
      </c>
      <c r="AI14" s="184" t="str">
        <f>IFERROR(IF(VLOOKUP(Tue_W1[[#This Row],[Employee Name]],'Base Schedules'!$A$160:$AW$203,34,FALSE)="","",VLOOKUP(Tue_W1[[#This Row],[Employee Name]],'Base Schedules'!$A$160:$AW$203,34,FALSE)),"")</f>
        <v/>
      </c>
      <c r="AJ14" s="184" t="str">
        <f>IFERROR(IF(VLOOKUP(Tue_W1[[#This Row],[Employee Name]],'Base Schedules'!$A$160:$AW$203,35,FALSE)="","",VLOOKUP(Tue_W1[[#This Row],[Employee Name]],'Base Schedules'!$A$160:$AW$203,35,FALSE)),"")</f>
        <v/>
      </c>
      <c r="AK14" s="184" t="str">
        <f>IFERROR(IF(VLOOKUP(Tue_W1[[#This Row],[Employee Name]],'Base Schedules'!$A$160:$AW$203,36,FALSE)="","",VLOOKUP(Tue_W1[[#This Row],[Employee Name]],'Base Schedules'!$A$160:$AW$203,36,FALSE)),"")</f>
        <v/>
      </c>
      <c r="AL14" s="184" t="str">
        <f>IFERROR(IF(VLOOKUP(Tue_W1[[#This Row],[Employee Name]],'Base Schedules'!$A$160:$AW$203,37,FALSE)="","",VLOOKUP(Tue_W1[[#This Row],[Employee Name]],'Base Schedules'!$A$160:$AW$203,37,FALSE)),"")</f>
        <v/>
      </c>
      <c r="AM14" s="184" t="str">
        <f>IFERROR(IF(VLOOKUP(Tue_W1[[#This Row],[Employee Name]],'Base Schedules'!$A$160:$AW$203,38,FALSE)="","",VLOOKUP(Tue_W1[[#This Row],[Employee Name]],'Base Schedules'!$A$160:$AW$203,38,FALSE)),"")</f>
        <v/>
      </c>
      <c r="AN14" s="184" t="str">
        <f>IFERROR(IF(VLOOKUP(Tue_W1[[#This Row],[Employee Name]],'Base Schedules'!$A$160:$AW$203,39,FALSE)="","",VLOOKUP(Tue_W1[[#This Row],[Employee Name]],'Base Schedules'!$A$160:$AW$203,39,FALSE)),"")</f>
        <v/>
      </c>
      <c r="AO14" s="184" t="str">
        <f>IFERROR(IF(VLOOKUP(Tue_W1[[#This Row],[Employee Name]],'Base Schedules'!$A$160:$AW$203,40,FALSE)="","",VLOOKUP(Tue_W1[[#This Row],[Employee Name]],'Base Schedules'!$A$160:$AW$203,40,FALSE)),"")</f>
        <v/>
      </c>
      <c r="AP14" s="184" t="str">
        <f>IFERROR(IF(VLOOKUP(Tue_W1[[#This Row],[Employee Name]],'Base Schedules'!$A$160:$AW$203,41,FALSE)="","",VLOOKUP(Tue_W1[[#This Row],[Employee Name]],'Base Schedules'!$A$160:$AW$203,41,FALSE)),"")</f>
        <v/>
      </c>
      <c r="AQ14" s="184" t="str">
        <f>IFERROR(IF(VLOOKUP(Tue_W1[[#This Row],[Employee Name]],'Base Schedules'!$A$160:$AW$203,42,FALSE)="","",VLOOKUP(Tue_W1[[#This Row],[Employee Name]],'Base Schedules'!$A$160:$AW$203,42,FALSE)),"")</f>
        <v/>
      </c>
      <c r="AR14" s="184" t="str">
        <f>IFERROR(IF(VLOOKUP(Tue_W1[[#This Row],[Employee Name]],'Base Schedules'!$A$160:$AW$203,43,FALSE)="","",VLOOKUP(Tue_W1[[#This Row],[Employee Name]],'Base Schedules'!$A$160:$AW$203,43,FALSE)),"")</f>
        <v/>
      </c>
      <c r="AS14" s="184" t="str">
        <f>IFERROR(IF(VLOOKUP(Tue_W1[[#This Row],[Employee Name]],'Base Schedules'!$A$160:$AW$203,44,FALSE)="","",VLOOKUP(Tue_W1[[#This Row],[Employee Name]],'Base Schedules'!$A$160:$AW$203,44,FALSE)),"")</f>
        <v/>
      </c>
      <c r="AT14" s="184" t="str">
        <f>IFERROR(IF(VLOOKUP(Tue_W1[[#This Row],[Employee Name]],'Base Schedules'!$A$160:$AW$203,45,FALSE)="","",VLOOKUP(Tue_W1[[#This Row],[Employee Name]],'Base Schedules'!$A$160:$AW$203,45,FALSE)),"")</f>
        <v/>
      </c>
      <c r="AU14" s="184" t="str">
        <f>IFERROR(IF(VLOOKUP(Tue_W1[[#This Row],[Employee Name]],'Base Schedules'!$A$160:$AW$203,46,FALSE)="","",VLOOKUP(Tue_W1[[#This Row],[Employee Name]],'Base Schedules'!$A$160:$AW$203,46,FALSE)),"")</f>
        <v/>
      </c>
      <c r="AV14" s="184" t="str">
        <f>IFERROR(IF(VLOOKUP(Tue_W1[[#This Row],[Employee Name]],'Base Schedules'!$A$160:$AW$203,47,FALSE)="","",VLOOKUP(Tue_W1[[#This Row],[Employee Name]],'Base Schedules'!$A$160:$AW$203,47,FALSE)),"")</f>
        <v/>
      </c>
      <c r="AW14" s="184" t="str">
        <f>IFERROR(IF(VLOOKUP(Tue_W1[[#This Row],[Employee Name]],'Base Schedules'!$A$160:$AW$203,48,FALSE)="","",VLOOKUP(Tue_W1[[#This Row],[Employee Name]],'Base Schedules'!$A$160:$AW$203,48,FALSE)),"")</f>
        <v/>
      </c>
      <c r="AX14" s="184" t="str">
        <f>IFERROR(IF(VLOOKUP(Tue_W1[[#This Row],[Employee Name]],'Base Schedules'!$A$160:$AW$203,49,FALSE)="","",VLOOKUP(Tue_W1[[#This Row],[Employee Name]],'Base Schedules'!$A$160:$AW$203,49,FALSE)),"")</f>
        <v/>
      </c>
      <c r="AY14" s="164" t="str">
        <f t="shared" si="2"/>
        <v>Breen, Mark</v>
      </c>
    </row>
    <row r="15" spans="1:51" s="44" customFormat="1" ht="12" x14ac:dyDescent="0.2">
      <c r="A15" s="39" t="str">
        <f>IF(B15="","",INDEX(TeamList[],MATCH($B15,TeamList[[Employee Name]:[Employee Name]],0),MATCH("Manager",TeamList[#Headers],0)))</f>
        <v>Olson, Katherine</v>
      </c>
      <c r="B15" s="201" t="s">
        <v>19</v>
      </c>
      <c r="C15" s="257" t="str">
        <f>_xlfn.IFNA(VLOOKUP(Tue_W1[[#This Row],[Employee Name]],'Base Schedules'!A:B,2,FALSE),"")</f>
        <v>Lead</v>
      </c>
      <c r="D15" s="274">
        <f>_xlfn.IFNA(VLOOKUP(Tue_W1[[#This Row],[Employee Name]],'Base Schedules'!A:C,3,FALSE),"")</f>
        <v>600</v>
      </c>
      <c r="E15" s="274">
        <f>_xlfn.IFNA(VLOOKUP(Tue_W1[[#This Row],[Employee Name]],'Base Schedules'!A:D,4,FALSE),"")</f>
        <v>1430</v>
      </c>
      <c r="F15" s="142">
        <f>IF(Tue_W1[[#This Row],[Employee Name]]="","",IF(Tue_W1[[#This Row],[Dept]]="Supervisor",COUNTIFS($J15:$AX15,"*HL*",$J15:$AX15,"&lt;&gt;"&amp;"pHL"),COUNTIFS($J15:$AX15,"*HL*",$J15:$AX15,"&lt;&gt;"&amp;"*pHL*",$J15:$AX15,"&lt;&gt;"&amp;"pB1 HL",$J15:$AX15,"&lt;&gt;"&amp;"pB2 HL")-SUM(COUNTIFS($J15:$AX15,"*HL B1*",$J15:$AX15,"&lt;&gt;"&amp;"pHL B1")*0.5,COUNTIFS($J15:$AX15,"*HL B2*",$J15:$AX15,"&lt;&gt;"&amp;"pHL B2")*0.5,COUNTIFS($J15:$AX15,"*B1 HL*",$J15:$AX15,"&lt;&gt;"&amp;"pB1 HL")*0.5,COUNTIFS($J15:$AX15,"*B2 HL*",$J15:$AX15,"&lt;&gt;"&amp;"pB2 HL")*0.5)))</f>
        <v>6</v>
      </c>
      <c r="G15" s="142">
        <f t="shared" si="0"/>
        <v>0</v>
      </c>
      <c r="H15" s="142">
        <f t="shared" si="1"/>
        <v>8</v>
      </c>
      <c r="I15" s="142">
        <f>IF(Tue_W1[[#This Row],[Employee Name]]="","",IF(Tue_W1[[#This Row],[Dept]]="Supervisor",SUM(COUNTIFS($J15:$AX15,"RTA*",$J15:$AX15,"&lt;&gt;"&amp;"pRTA"),COUNTIFS($J15:$AX15,"*CRTA*",$J15:$AX15,"&lt;&gt;"&amp;"pCRTA")),COUNTIFS($J15:$AX15,"*RNNR*",$J15:$AX15,"&lt;&gt;"&amp;"*pRNNR*",$J15:$AX15,"&lt;&gt;"&amp;"pB1 RNNR",$J15:$AX15,"&lt;&gt;"&amp;"pB2 RNNR")-SUM(COUNTIFS($J15:$AX15,"*RNNR B1*",$J15:$AX15,"&lt;&gt;"&amp;"pRNNR B1")*0.5,COUNTIFS($J15:$AX15,"*RNNR B2*",$J15:$AX15,"&lt;&gt;"&amp;"pRNNR B2")*0.5,COUNTIFS($J15:$AX15,"*B1 RNNR*",$J15:$AX15,"&lt;&gt;"&amp;"pB1 RNNR")*0.5,COUNTIFS($J15:$AX15,"*B2 RNNR*",$J15:$AX15,"&lt;&gt;"&amp;"pB2 RNNR")*0.5)))</f>
        <v>2</v>
      </c>
      <c r="J15" s="184" t="str">
        <f>IFERROR(IF(VLOOKUP(Tue_W1[[#This Row],[Employee Name]],'Base Schedules'!$A$160:$AW$203,9,FALSE)="","",VLOOKUP(Tue_W1[[#This Row],[Employee Name]],'Base Schedules'!$A$160:$AW$203,9,FALSE)),"")</f>
        <v/>
      </c>
      <c r="K15" s="184" t="str">
        <f>IFERROR(IF(VLOOKUP(Tue_W1[[#This Row],[Employee Name]],'Base Schedules'!$A$160:$AW$203,10,FALSE)="","",VLOOKUP(Tue_W1[[#This Row],[Employee Name]],'Base Schedules'!$A$160:$AW$203,10,FALSE)),"")</f>
        <v/>
      </c>
      <c r="L15" s="184" t="str">
        <f>IFERROR(IF(VLOOKUP(Tue_W1[[#This Row],[Employee Name]],'Base Schedules'!$A$160:$AW$203,11,FALSE)="","",VLOOKUP(Tue_W1[[#This Row],[Employee Name]],'Base Schedules'!$A$160:$AW$203,11,FALSE)),"")</f>
        <v>HL</v>
      </c>
      <c r="M15" s="184" t="str">
        <f>IFERROR(IF(VLOOKUP(Tue_W1[[#This Row],[Employee Name]],'Base Schedules'!$A$160:$AW$203,12,FALSE)="","",VLOOKUP(Tue_W1[[#This Row],[Employee Name]],'Base Schedules'!$A$160:$AW$203,12,FALSE)),"")</f>
        <v>HL</v>
      </c>
      <c r="N15" s="184" t="str">
        <f>IFERROR(IF(VLOOKUP(Tue_W1[[#This Row],[Employee Name]],'Base Schedules'!$A$160:$AW$203,13,FALSE)="","",VLOOKUP(Tue_W1[[#This Row],[Employee Name]],'Base Schedules'!$A$160:$AW$203,13,FALSE)),"")</f>
        <v>ADM</v>
      </c>
      <c r="O15" s="184" t="str">
        <f>IFERROR(IF(VLOOKUP(Tue_W1[[#This Row],[Employee Name]],'Base Schedules'!$A$160:$AW$203,14,FALSE)="","",VLOOKUP(Tue_W1[[#This Row],[Employee Name]],'Base Schedules'!$A$160:$AW$203,14,FALSE)),"")</f>
        <v>ADM</v>
      </c>
      <c r="P15" s="184" t="str">
        <f>IFERROR(IF(VLOOKUP(Tue_W1[[#This Row],[Employee Name]],'Base Schedules'!$A$160:$AW$203,15,FALSE)="","",VLOOKUP(Tue_W1[[#This Row],[Employee Name]],'Base Schedules'!$A$160:$AW$203,15,FALSE)),"")</f>
        <v>B1 ADM</v>
      </c>
      <c r="Q15" s="184" t="str">
        <f>IFERROR(IF(VLOOKUP(Tue_W1[[#This Row],[Employee Name]],'Base Schedules'!$A$160:$AW$203,16,FALSE)="","",VLOOKUP(Tue_W1[[#This Row],[Employee Name]],'Base Schedules'!$A$160:$AW$203,16,FALSE)),"")</f>
        <v>ADM</v>
      </c>
      <c r="R15" s="184" t="str">
        <f>IFERROR(IF(VLOOKUP(Tue_W1[[#This Row],[Employee Name]],'Base Schedules'!$A$160:$AW$203,17,FALSE)="","",VLOOKUP(Tue_W1[[#This Row],[Employee Name]],'Base Schedules'!$A$160:$AW$203,17,FALSE)),"")</f>
        <v>HL</v>
      </c>
      <c r="S15" s="184" t="str">
        <f>IFERROR(IF(VLOOKUP(Tue_W1[[#This Row],[Employee Name]],'Base Schedules'!$A$160:$AW$203,18,FALSE)="","",VLOOKUP(Tue_W1[[#This Row],[Employee Name]],'Base Schedules'!$A$160:$AW$203,18,FALSE)),"")</f>
        <v>HL</v>
      </c>
      <c r="T15" s="184" t="str">
        <f>IFERROR(IF(VLOOKUP(Tue_W1[[#This Row],[Employee Name]],'Base Schedules'!$A$160:$AW$203,19,FALSE)="","",VLOOKUP(Tue_W1[[#This Row],[Employee Name]],'Base Schedules'!$A$160:$AW$203,19,FALSE)),"")</f>
        <v>ADM</v>
      </c>
      <c r="U15" s="184" t="str">
        <f>IFERROR(IF(VLOOKUP(Tue_W1[[#This Row],[Employee Name]],'Base Schedules'!$A$160:$AW$203,20,FALSE)="","",VLOOKUP(Tue_W1[[#This Row],[Employee Name]],'Base Schedules'!$A$160:$AW$203,20,FALSE)),"")</f>
        <v>LUNCH</v>
      </c>
      <c r="V15" s="184" t="str">
        <f>IFERROR(IF(VLOOKUP(Tue_W1[[#This Row],[Employee Name]],'Base Schedules'!$A$160:$AW$203,21,FALSE)="","",VLOOKUP(Tue_W1[[#This Row],[Employee Name]],'Base Schedules'!$A$160:$AW$203,21,FALSE)),"")</f>
        <v>RNNR</v>
      </c>
      <c r="W15" s="184" t="str">
        <f>IFERROR(IF(VLOOKUP(Tue_W1[[#This Row],[Employee Name]],'Base Schedules'!$A$160:$AW$203,22,FALSE)="","",VLOOKUP(Tue_W1[[#This Row],[Employee Name]],'Base Schedules'!$A$160:$AW$203,22,FALSE)),"")</f>
        <v>RNNR</v>
      </c>
      <c r="X15" s="184" t="str">
        <f>IFERROR(IF(VLOOKUP(Tue_W1[[#This Row],[Employee Name]],'Base Schedules'!$A$160:$AW$203,23,FALSE)="","",VLOOKUP(Tue_W1[[#This Row],[Employee Name]],'Base Schedules'!$A$160:$AW$203,23,FALSE)),"")</f>
        <v>ADM</v>
      </c>
      <c r="Y15" s="184" t="str">
        <f>IFERROR(IF(VLOOKUP(Tue_W1[[#This Row],[Employee Name]],'Base Schedules'!$A$160:$AW$203,24,FALSE)="","",VLOOKUP(Tue_W1[[#This Row],[Employee Name]],'Base Schedules'!$A$160:$AW$203,24,FALSE)),"")</f>
        <v>ADM</v>
      </c>
      <c r="Z15" s="184" t="str">
        <f>IFERROR(IF(VLOOKUP(Tue_W1[[#This Row],[Employee Name]],'Base Schedules'!$A$160:$AW$203,25,FALSE)="","",VLOOKUP(Tue_W1[[#This Row],[Employee Name]],'Base Schedules'!$A$160:$AW$203,25,FALSE)),"")</f>
        <v>ADM B2</v>
      </c>
      <c r="AA15" s="184" t="str">
        <f>IFERROR(IF(VLOOKUP(Tue_W1[[#This Row],[Employee Name]],'Base Schedules'!$A$160:$AW$203,26,FALSE)="","",VLOOKUP(Tue_W1[[#This Row],[Employee Name]],'Base Schedules'!$A$160:$AW$203,26,FALSE)),"")</f>
        <v>HL</v>
      </c>
      <c r="AB15" s="184" t="str">
        <f>IFERROR(IF(VLOOKUP(Tue_W1[[#This Row],[Employee Name]],'Base Schedules'!$A$160:$AW$203,27,FALSE)="","",VLOOKUP(Tue_W1[[#This Row],[Employee Name]],'Base Schedules'!$A$160:$AW$203,27,FALSE)),"")</f>
        <v>HL</v>
      </c>
      <c r="AC15" s="184" t="str">
        <f>IFERROR(IF(VLOOKUP(Tue_W1[[#This Row],[Employee Name]],'Base Schedules'!$A$160:$AW$203,28,FALSE)="","",VLOOKUP(Tue_W1[[#This Row],[Employee Name]],'Base Schedules'!$A$160:$AW$203,28,FALSE)),"")</f>
        <v/>
      </c>
      <c r="AD15" s="184" t="str">
        <f>IFERROR(IF(VLOOKUP(Tue_W1[[#This Row],[Employee Name]],'Base Schedules'!$A$160:$AW$203,29,FALSE)="","",VLOOKUP(Tue_W1[[#This Row],[Employee Name]],'Base Schedules'!$A$160:$AW$203,29,FALSE)),"")</f>
        <v/>
      </c>
      <c r="AE15" s="184" t="str">
        <f>IFERROR(IF(VLOOKUP(Tue_W1[[#This Row],[Employee Name]],'Base Schedules'!$A$160:$AW$203,30,FALSE)="","",VLOOKUP(Tue_W1[[#This Row],[Employee Name]],'Base Schedules'!$A$160:$AW$203,30,FALSE)),"")</f>
        <v/>
      </c>
      <c r="AF15" s="184" t="str">
        <f>IFERROR(IF(VLOOKUP(Tue_W1[[#This Row],[Employee Name]],'Base Schedules'!$A$160:$AW$203,31,FALSE)="","",VLOOKUP(Tue_W1[[#This Row],[Employee Name]],'Base Schedules'!$A$160:$AW$203,31,FALSE)),"")</f>
        <v/>
      </c>
      <c r="AG15" s="184" t="str">
        <f>IFERROR(IF(VLOOKUP(Tue_W1[[#This Row],[Employee Name]],'Base Schedules'!$A$160:$AW$203,32,FALSE)="","",VLOOKUP(Tue_W1[[#This Row],[Employee Name]],'Base Schedules'!$A$160:$AW$203,32,FALSE)),"")</f>
        <v/>
      </c>
      <c r="AH15" s="184" t="str">
        <f>IFERROR(IF(VLOOKUP(Tue_W1[[#This Row],[Employee Name]],'Base Schedules'!$A$160:$AW$203,33,FALSE)="","",VLOOKUP(Tue_W1[[#This Row],[Employee Name]],'Base Schedules'!$A$160:$AW$203,33,FALSE)),"")</f>
        <v/>
      </c>
      <c r="AI15" s="184" t="str">
        <f>IFERROR(IF(VLOOKUP(Tue_W1[[#This Row],[Employee Name]],'Base Schedules'!$A$160:$AW$203,34,FALSE)="","",VLOOKUP(Tue_W1[[#This Row],[Employee Name]],'Base Schedules'!$A$160:$AW$203,34,FALSE)),"")</f>
        <v/>
      </c>
      <c r="AJ15" s="184" t="str">
        <f>IFERROR(IF(VLOOKUP(Tue_W1[[#This Row],[Employee Name]],'Base Schedules'!$A$160:$AW$203,35,FALSE)="","",VLOOKUP(Tue_W1[[#This Row],[Employee Name]],'Base Schedules'!$A$160:$AW$203,35,FALSE)),"")</f>
        <v/>
      </c>
      <c r="AK15" s="184" t="str">
        <f>IFERROR(IF(VLOOKUP(Tue_W1[[#This Row],[Employee Name]],'Base Schedules'!$A$160:$AW$203,36,FALSE)="","",VLOOKUP(Tue_W1[[#This Row],[Employee Name]],'Base Schedules'!$A$160:$AW$203,36,FALSE)),"")</f>
        <v/>
      </c>
      <c r="AL15" s="184" t="str">
        <f>IFERROR(IF(VLOOKUP(Tue_W1[[#This Row],[Employee Name]],'Base Schedules'!$A$160:$AW$203,37,FALSE)="","",VLOOKUP(Tue_W1[[#This Row],[Employee Name]],'Base Schedules'!$A$160:$AW$203,37,FALSE)),"")</f>
        <v/>
      </c>
      <c r="AM15" s="184" t="str">
        <f>IFERROR(IF(VLOOKUP(Tue_W1[[#This Row],[Employee Name]],'Base Schedules'!$A$160:$AW$203,38,FALSE)="","",VLOOKUP(Tue_W1[[#This Row],[Employee Name]],'Base Schedules'!$A$160:$AW$203,38,FALSE)),"")</f>
        <v/>
      </c>
      <c r="AN15" s="184" t="str">
        <f>IFERROR(IF(VLOOKUP(Tue_W1[[#This Row],[Employee Name]],'Base Schedules'!$A$160:$AW$203,39,FALSE)="","",VLOOKUP(Tue_W1[[#This Row],[Employee Name]],'Base Schedules'!$A$160:$AW$203,39,FALSE)),"")</f>
        <v/>
      </c>
      <c r="AO15" s="184" t="str">
        <f>IFERROR(IF(VLOOKUP(Tue_W1[[#This Row],[Employee Name]],'Base Schedules'!$A$160:$AW$203,40,FALSE)="","",VLOOKUP(Tue_W1[[#This Row],[Employee Name]],'Base Schedules'!$A$160:$AW$203,40,FALSE)),"")</f>
        <v/>
      </c>
      <c r="AP15" s="184" t="str">
        <f>IFERROR(IF(VLOOKUP(Tue_W1[[#This Row],[Employee Name]],'Base Schedules'!$A$160:$AW$203,41,FALSE)="","",VLOOKUP(Tue_W1[[#This Row],[Employee Name]],'Base Schedules'!$A$160:$AW$203,41,FALSE)),"")</f>
        <v/>
      </c>
      <c r="AQ15" s="184" t="str">
        <f>IFERROR(IF(VLOOKUP(Tue_W1[[#This Row],[Employee Name]],'Base Schedules'!$A$160:$AW$203,42,FALSE)="","",VLOOKUP(Tue_W1[[#This Row],[Employee Name]],'Base Schedules'!$A$160:$AW$203,42,FALSE)),"")</f>
        <v/>
      </c>
      <c r="AR15" s="184" t="str">
        <f>IFERROR(IF(VLOOKUP(Tue_W1[[#This Row],[Employee Name]],'Base Schedules'!$A$160:$AW$203,43,FALSE)="","",VLOOKUP(Tue_W1[[#This Row],[Employee Name]],'Base Schedules'!$A$160:$AW$203,43,FALSE)),"")</f>
        <v/>
      </c>
      <c r="AS15" s="184" t="str">
        <f>IFERROR(IF(VLOOKUP(Tue_W1[[#This Row],[Employee Name]],'Base Schedules'!$A$160:$AW$203,44,FALSE)="","",VLOOKUP(Tue_W1[[#This Row],[Employee Name]],'Base Schedules'!$A$160:$AW$203,44,FALSE)),"")</f>
        <v/>
      </c>
      <c r="AT15" s="184" t="str">
        <f>IFERROR(IF(VLOOKUP(Tue_W1[[#This Row],[Employee Name]],'Base Schedules'!$A$160:$AW$203,45,FALSE)="","",VLOOKUP(Tue_W1[[#This Row],[Employee Name]],'Base Schedules'!$A$160:$AW$203,45,FALSE)),"")</f>
        <v/>
      </c>
      <c r="AU15" s="184" t="str">
        <f>IFERROR(IF(VLOOKUP(Tue_W1[[#This Row],[Employee Name]],'Base Schedules'!$A$160:$AW$203,46,FALSE)="","",VLOOKUP(Tue_W1[[#This Row],[Employee Name]],'Base Schedules'!$A$160:$AW$203,46,FALSE)),"")</f>
        <v/>
      </c>
      <c r="AV15" s="184" t="str">
        <f>IFERROR(IF(VLOOKUP(Tue_W1[[#This Row],[Employee Name]],'Base Schedules'!$A$160:$AW$203,47,FALSE)="","",VLOOKUP(Tue_W1[[#This Row],[Employee Name]],'Base Schedules'!$A$160:$AW$203,47,FALSE)),"")</f>
        <v/>
      </c>
      <c r="AW15" s="184" t="str">
        <f>IFERROR(IF(VLOOKUP(Tue_W1[[#This Row],[Employee Name]],'Base Schedules'!$A$160:$AW$203,48,FALSE)="","",VLOOKUP(Tue_W1[[#This Row],[Employee Name]],'Base Schedules'!$A$160:$AW$203,48,FALSE)),"")</f>
        <v/>
      </c>
      <c r="AX15" s="184" t="str">
        <f>IFERROR(IF(VLOOKUP(Tue_W1[[#This Row],[Employee Name]],'Base Schedules'!$A$160:$AW$203,49,FALSE)="","",VLOOKUP(Tue_W1[[#This Row],[Employee Name]],'Base Schedules'!$A$160:$AW$203,49,FALSE)),"")</f>
        <v/>
      </c>
      <c r="AY15" s="164" t="str">
        <f t="shared" si="2"/>
        <v>Albert, Christina</v>
      </c>
    </row>
    <row r="16" spans="1:51" s="44" customFormat="1" ht="12" x14ac:dyDescent="0.2">
      <c r="A16" s="39" t="str">
        <f>IF(B16="","",INDEX(TeamList[],MATCH($B16,TeamList[[Employee Name]:[Employee Name]],0),MATCH("Manager",TeamList[#Headers],0)))</f>
        <v>Paulson, Matthew</v>
      </c>
      <c r="B16" s="332" t="s">
        <v>20</v>
      </c>
      <c r="C16" s="257" t="str">
        <f>_xlfn.IFNA(VLOOKUP(Tue_W1[[#This Row],[Employee Name]],'Base Schedules'!A:B,2,FALSE),"")</f>
        <v>Supervisor</v>
      </c>
      <c r="D16" s="274">
        <f>_xlfn.IFNA(VLOOKUP(Tue_W1[[#This Row],[Employee Name]],'Base Schedules'!A:C,3,FALSE),"")</f>
        <v>600</v>
      </c>
      <c r="E16" s="274">
        <f>_xlfn.IFNA(VLOOKUP(Tue_W1[[#This Row],[Employee Name]],'Base Schedules'!A:D,4,FALSE),"")</f>
        <v>1500</v>
      </c>
      <c r="F16" s="142">
        <f>IF(Tue_W1[[#This Row],[Employee Name]]="","",IF(Tue_W1[[#This Row],[Dept]]="Supervisor",COUNTIFS($J16:$AX16,"*HL*",$J16:$AX16,"&lt;&gt;"&amp;"pHL"),COUNTIFS($J16:$AX16,"*HL*",$J16:$AX16,"&lt;&gt;"&amp;"*pHL*",$J16:$AX16,"&lt;&gt;"&amp;"pB1 HL",$J16:$AX16,"&lt;&gt;"&amp;"pB2 HL")-SUM(COUNTIFS($J16:$AX16,"*HL B1*",$J16:$AX16,"&lt;&gt;"&amp;"pHL B1")*0.5,COUNTIFS($J16:$AX16,"*HL B2*",$J16:$AX16,"&lt;&gt;"&amp;"pHL B2")*0.5,COUNTIFS($J16:$AX16,"*B1 HL*",$J16:$AX16,"&lt;&gt;"&amp;"pB1 HL")*0.5,COUNTIFS($J16:$AX16,"*B2 HL*",$J16:$AX16,"&lt;&gt;"&amp;"pB2 HL")*0.5)))</f>
        <v>0</v>
      </c>
      <c r="G16" s="142">
        <f t="shared" si="0"/>
        <v>4</v>
      </c>
      <c r="H16" s="142">
        <f t="shared" si="1"/>
        <v>0</v>
      </c>
      <c r="I16" s="142">
        <f>IF(Tue_W1[[#This Row],[Employee Name]]="","",IF(Tue_W1[[#This Row],[Dept]]="Supervisor",SUM(COUNTIFS($J16:$AX16,"RTA*",$J16:$AX16,"&lt;&gt;"&amp;"pRTA"),COUNTIFS($J16:$AX16,"*CRTA*",$J16:$AX16,"&lt;&gt;"&amp;"pCRTA")),COUNTIFS($J16:$AX16,"*RNNR*",$J16:$AX16,"&lt;&gt;"&amp;"*pRNNR*",$J16:$AX16,"&lt;&gt;"&amp;"pB1 RNNR",$J16:$AX16,"&lt;&gt;"&amp;"pB2 RNNR")-SUM(COUNTIFS($J16:$AX16,"*RNNR B1*",$J16:$AX16,"&lt;&gt;"&amp;"pRNNR B1")*0.5,COUNTIFS($J16:$AX16,"*RNNR B2*",$J16:$AX16,"&lt;&gt;"&amp;"pRNNR B2")*0.5,COUNTIFS($J16:$AX16,"*B1 RNNR*",$J16:$AX16,"&lt;&gt;"&amp;"pB1 RNNR")*0.5,COUNTIFS($J16:$AX16,"*B2 RNNR*",$J16:$AX16,"&lt;&gt;"&amp;"pB2 RNNR")*0.5)))</f>
        <v>0</v>
      </c>
      <c r="J16" s="184" t="str">
        <f>IFERROR(IF(VLOOKUP(Tue_W1[[#This Row],[Employee Name]],'Base Schedules'!$A$160:$AW$203,9,FALSE)="","",VLOOKUP(Tue_W1[[#This Row],[Employee Name]],'Base Schedules'!$A$160:$AW$203,9,FALSE)),"")</f>
        <v/>
      </c>
      <c r="K16" s="184" t="str">
        <f>IFERROR(IF(VLOOKUP(Tue_W1[[#This Row],[Employee Name]],'Base Schedules'!$A$160:$AW$203,10,FALSE)="","",VLOOKUP(Tue_W1[[#This Row],[Employee Name]],'Base Schedules'!$A$160:$AW$203,10,FALSE)),"")</f>
        <v/>
      </c>
      <c r="L16" s="184" t="str">
        <f>IFERROR(IF(VLOOKUP(Tue_W1[[#This Row],[Employee Name]],'Base Schedules'!$A$160:$AW$203,11,FALSE)="","",VLOOKUP(Tue_W1[[#This Row],[Employee Name]],'Base Schedules'!$A$160:$AW$203,11,FALSE)),"")</f>
        <v>-</v>
      </c>
      <c r="M16" s="184" t="str">
        <f>IFERROR(IF(VLOOKUP(Tue_W1[[#This Row],[Employee Name]],'Base Schedules'!$A$160:$AW$203,12,FALSE)="","",VLOOKUP(Tue_W1[[#This Row],[Employee Name]],'Base Schedules'!$A$160:$AW$203,12,FALSE)),"")</f>
        <v>Coaching</v>
      </c>
      <c r="N16" s="184" t="str">
        <f>IFERROR(IF(VLOOKUP(Tue_W1[[#This Row],[Employee Name]],'Base Schedules'!$A$160:$AW$203,13,FALSE)="","",VLOOKUP(Tue_W1[[#This Row],[Employee Name]],'Base Schedules'!$A$160:$AW$203,13,FALSE)),"")</f>
        <v>Coaching</v>
      </c>
      <c r="O16" s="184" t="str">
        <f>IFERROR(IF(VLOOKUP(Tue_W1[[#This Row],[Employee Name]],'Base Schedules'!$A$160:$AW$203,14,FALSE)="","",VLOOKUP(Tue_W1[[#This Row],[Employee Name]],'Base Schedules'!$A$160:$AW$203,14,FALSE)),"")</f>
        <v>Coaching</v>
      </c>
      <c r="P16" s="184" t="str">
        <f>IFERROR(IF(VLOOKUP(Tue_W1[[#This Row],[Employee Name]],'Base Schedules'!$A$160:$AW$203,15,FALSE)="","",VLOOKUP(Tue_W1[[#This Row],[Employee Name]],'Base Schedules'!$A$160:$AW$203,15,FALSE)),"")</f>
        <v>Coaching</v>
      </c>
      <c r="Q16" s="184" t="str">
        <f>IFERROR(IF(VLOOKUP(Tue_W1[[#This Row],[Employee Name]],'Base Schedules'!$A$160:$AW$203,16,FALSE)="","",VLOOKUP(Tue_W1[[#This Row],[Employee Name]],'Base Schedules'!$A$160:$AW$203,16,FALSE)),"")</f>
        <v>-</v>
      </c>
      <c r="R16" s="184" t="str">
        <f>IFERROR(IF(VLOOKUP(Tue_W1[[#This Row],[Employee Name]],'Base Schedules'!$A$160:$AW$203,17,FALSE)="","",VLOOKUP(Tue_W1[[#This Row],[Employee Name]],'Base Schedules'!$A$160:$AW$203,17,FALSE)),"")</f>
        <v>-</v>
      </c>
      <c r="S16" s="184" t="str">
        <f>IFERROR(IF(VLOOKUP(Tue_W1[[#This Row],[Employee Name]],'Base Schedules'!$A$160:$AW$203,18,FALSE)="","",VLOOKUP(Tue_W1[[#This Row],[Employee Name]],'Base Schedules'!$A$160:$AW$203,18,FALSE)),"")</f>
        <v>TM PREP</v>
      </c>
      <c r="T16" s="184" t="str">
        <f>IFERROR(IF(VLOOKUP(Tue_W1[[#This Row],[Employee Name]],'Base Schedules'!$A$160:$AW$203,19,FALSE)="","",VLOOKUP(Tue_W1[[#This Row],[Employee Name]],'Base Schedules'!$A$160:$AW$203,19,FALSE)),"")</f>
        <v>GERMONY TM</v>
      </c>
      <c r="U16" s="184" t="str">
        <f>IFERROR(IF(VLOOKUP(Tue_W1[[#This Row],[Employee Name]],'Base Schedules'!$A$160:$AW$203,20,FALSE)="","",VLOOKUP(Tue_W1[[#This Row],[Employee Name]],'Base Schedules'!$A$160:$AW$203,20,FALSE)),"")</f>
        <v>GERMONY TM</v>
      </c>
      <c r="V16" s="184" t="str">
        <f>IFERROR(IF(VLOOKUP(Tue_W1[[#This Row],[Employee Name]],'Base Schedules'!$A$160:$AW$203,21,FALSE)="","",VLOOKUP(Tue_W1[[#This Row],[Employee Name]],'Base Schedules'!$A$160:$AW$203,21,FALSE)),"")</f>
        <v>-</v>
      </c>
      <c r="W16" s="184" t="str">
        <f>IFERROR(IF(VLOOKUP(Tue_W1[[#This Row],[Employee Name]],'Base Schedules'!$A$160:$AW$203,22,FALSE)="","",VLOOKUP(Tue_W1[[#This Row],[Employee Name]],'Base Schedules'!$A$160:$AW$203,22,FALSE)),"")</f>
        <v>-</v>
      </c>
      <c r="X16" s="184" t="str">
        <f>IFERROR(IF(VLOOKUP(Tue_W1[[#This Row],[Employee Name]],'Base Schedules'!$A$160:$AW$203,23,FALSE)="","",VLOOKUP(Tue_W1[[#This Row],[Employee Name]],'Base Schedules'!$A$160:$AW$203,23,FALSE)),"")</f>
        <v>-</v>
      </c>
      <c r="Y16" s="184" t="str">
        <f>IFERROR(IF(VLOOKUP(Tue_W1[[#This Row],[Employee Name]],'Base Schedules'!$A$160:$AW$203,24,FALSE)="","",VLOOKUP(Tue_W1[[#This Row],[Employee Name]],'Base Schedules'!$A$160:$AW$203,24,FALSE)),"")</f>
        <v>-</v>
      </c>
      <c r="Z16" s="184" t="str">
        <f>IFERROR(IF(VLOOKUP(Tue_W1[[#This Row],[Employee Name]],'Base Schedules'!$A$160:$AW$203,25,FALSE)="","",VLOOKUP(Tue_W1[[#This Row],[Employee Name]],'Base Schedules'!$A$160:$AW$203,25,FALSE)),"")</f>
        <v>Team ZAH TM</v>
      </c>
      <c r="AA16" s="184" t="str">
        <f>IFERROR(IF(VLOOKUP(Tue_W1[[#This Row],[Employee Name]],'Base Schedules'!$A$160:$AW$203,26,FALSE)="","",VLOOKUP(Tue_W1[[#This Row],[Employee Name]],'Base Schedules'!$A$160:$AW$203,26,FALSE)),"")</f>
        <v>Team ZAH TM</v>
      </c>
      <c r="AB16" s="184" t="str">
        <f>IFERROR(IF(VLOOKUP(Tue_W1[[#This Row],[Employee Name]],'Base Schedules'!$A$160:$AW$203,27,FALSE)="","",VLOOKUP(Tue_W1[[#This Row],[Employee Name]],'Base Schedules'!$A$160:$AW$203,27,FALSE)),"")</f>
        <v>-</v>
      </c>
      <c r="AC16" s="184" t="str">
        <f>IFERROR(IF(VLOOKUP(Tue_W1[[#This Row],[Employee Name]],'Base Schedules'!$A$160:$AW$203,28,FALSE)="","",VLOOKUP(Tue_W1[[#This Row],[Employee Name]],'Base Schedules'!$A$160:$AW$203,28,FALSE)),"")</f>
        <v>-</v>
      </c>
      <c r="AD16" s="184" t="str">
        <f>IFERROR(IF(VLOOKUP(Tue_W1[[#This Row],[Employee Name]],'Base Schedules'!$A$160:$AW$203,29,FALSE)="","",VLOOKUP(Tue_W1[[#This Row],[Employee Name]],'Base Schedules'!$A$160:$AW$203,29,FALSE)),"")</f>
        <v/>
      </c>
      <c r="AE16" s="184" t="str">
        <f>IFERROR(IF(VLOOKUP(Tue_W1[[#This Row],[Employee Name]],'Base Schedules'!$A$160:$AW$203,30,FALSE)="","",VLOOKUP(Tue_W1[[#This Row],[Employee Name]],'Base Schedules'!$A$160:$AW$203,30,FALSE)),"")</f>
        <v/>
      </c>
      <c r="AF16" s="184" t="str">
        <f>IFERROR(IF(VLOOKUP(Tue_W1[[#This Row],[Employee Name]],'Base Schedules'!$A$160:$AW$203,31,FALSE)="","",VLOOKUP(Tue_W1[[#This Row],[Employee Name]],'Base Schedules'!$A$160:$AW$203,31,FALSE)),"")</f>
        <v/>
      </c>
      <c r="AG16" s="184" t="str">
        <f>IFERROR(IF(VLOOKUP(Tue_W1[[#This Row],[Employee Name]],'Base Schedules'!$A$160:$AW$203,32,FALSE)="","",VLOOKUP(Tue_W1[[#This Row],[Employee Name]],'Base Schedules'!$A$160:$AW$203,32,FALSE)),"")</f>
        <v/>
      </c>
      <c r="AH16" s="184" t="str">
        <f>IFERROR(IF(VLOOKUP(Tue_W1[[#This Row],[Employee Name]],'Base Schedules'!$A$160:$AW$203,33,FALSE)="","",VLOOKUP(Tue_W1[[#This Row],[Employee Name]],'Base Schedules'!$A$160:$AW$203,33,FALSE)),"")</f>
        <v/>
      </c>
      <c r="AI16" s="184" t="str">
        <f>IFERROR(IF(VLOOKUP(Tue_W1[[#This Row],[Employee Name]],'Base Schedules'!$A$160:$AW$203,34,FALSE)="","",VLOOKUP(Tue_W1[[#This Row],[Employee Name]],'Base Schedules'!$A$160:$AW$203,34,FALSE)),"")</f>
        <v/>
      </c>
      <c r="AJ16" s="184" t="str">
        <f>IFERROR(IF(VLOOKUP(Tue_W1[[#This Row],[Employee Name]],'Base Schedules'!$A$160:$AW$203,35,FALSE)="","",VLOOKUP(Tue_W1[[#This Row],[Employee Name]],'Base Schedules'!$A$160:$AW$203,35,FALSE)),"")</f>
        <v/>
      </c>
      <c r="AK16" s="184" t="str">
        <f>IFERROR(IF(VLOOKUP(Tue_W1[[#This Row],[Employee Name]],'Base Schedules'!$A$160:$AW$203,36,FALSE)="","",VLOOKUP(Tue_W1[[#This Row],[Employee Name]],'Base Schedules'!$A$160:$AW$203,36,FALSE)),"")</f>
        <v/>
      </c>
      <c r="AL16" s="184" t="str">
        <f>IFERROR(IF(VLOOKUP(Tue_W1[[#This Row],[Employee Name]],'Base Schedules'!$A$160:$AW$203,37,FALSE)="","",VLOOKUP(Tue_W1[[#This Row],[Employee Name]],'Base Schedules'!$A$160:$AW$203,37,FALSE)),"")</f>
        <v/>
      </c>
      <c r="AM16" s="184" t="str">
        <f>IFERROR(IF(VLOOKUP(Tue_W1[[#This Row],[Employee Name]],'Base Schedules'!$A$160:$AW$203,38,FALSE)="","",VLOOKUP(Tue_W1[[#This Row],[Employee Name]],'Base Schedules'!$A$160:$AW$203,38,FALSE)),"")</f>
        <v/>
      </c>
      <c r="AN16" s="184" t="str">
        <f>IFERROR(IF(VLOOKUP(Tue_W1[[#This Row],[Employee Name]],'Base Schedules'!$A$160:$AW$203,39,FALSE)="","",VLOOKUP(Tue_W1[[#This Row],[Employee Name]],'Base Schedules'!$A$160:$AW$203,39,FALSE)),"")</f>
        <v/>
      </c>
      <c r="AO16" s="184" t="str">
        <f>IFERROR(IF(VLOOKUP(Tue_W1[[#This Row],[Employee Name]],'Base Schedules'!$A$160:$AW$203,40,FALSE)="","",VLOOKUP(Tue_W1[[#This Row],[Employee Name]],'Base Schedules'!$A$160:$AW$203,40,FALSE)),"")</f>
        <v/>
      </c>
      <c r="AP16" s="184" t="str">
        <f>IFERROR(IF(VLOOKUP(Tue_W1[[#This Row],[Employee Name]],'Base Schedules'!$A$160:$AW$203,41,FALSE)="","",VLOOKUP(Tue_W1[[#This Row],[Employee Name]],'Base Schedules'!$A$160:$AW$203,41,FALSE)),"")</f>
        <v/>
      </c>
      <c r="AQ16" s="184" t="str">
        <f>IFERROR(IF(VLOOKUP(Tue_W1[[#This Row],[Employee Name]],'Base Schedules'!$A$160:$AW$203,42,FALSE)="","",VLOOKUP(Tue_W1[[#This Row],[Employee Name]],'Base Schedules'!$A$160:$AW$203,42,FALSE)),"")</f>
        <v/>
      </c>
      <c r="AR16" s="184" t="str">
        <f>IFERROR(IF(VLOOKUP(Tue_W1[[#This Row],[Employee Name]],'Base Schedules'!$A$160:$AW$203,43,FALSE)="","",VLOOKUP(Tue_W1[[#This Row],[Employee Name]],'Base Schedules'!$A$160:$AW$203,43,FALSE)),"")</f>
        <v/>
      </c>
      <c r="AS16" s="184" t="str">
        <f>IFERROR(IF(VLOOKUP(Tue_W1[[#This Row],[Employee Name]],'Base Schedules'!$A$160:$AW$203,44,FALSE)="","",VLOOKUP(Tue_W1[[#This Row],[Employee Name]],'Base Schedules'!$A$160:$AW$203,44,FALSE)),"")</f>
        <v/>
      </c>
      <c r="AT16" s="184" t="str">
        <f>IFERROR(IF(VLOOKUP(Tue_W1[[#This Row],[Employee Name]],'Base Schedules'!$A$160:$AW$203,45,FALSE)="","",VLOOKUP(Tue_W1[[#This Row],[Employee Name]],'Base Schedules'!$A$160:$AW$203,45,FALSE)),"")</f>
        <v/>
      </c>
      <c r="AU16" s="184" t="str">
        <f>IFERROR(IF(VLOOKUP(Tue_W1[[#This Row],[Employee Name]],'Base Schedules'!$A$160:$AW$203,46,FALSE)="","",VLOOKUP(Tue_W1[[#This Row],[Employee Name]],'Base Schedules'!$A$160:$AW$203,46,FALSE)),"")</f>
        <v/>
      </c>
      <c r="AV16" s="184" t="str">
        <f>IFERROR(IF(VLOOKUP(Tue_W1[[#This Row],[Employee Name]],'Base Schedules'!$A$160:$AW$203,47,FALSE)="","",VLOOKUP(Tue_W1[[#This Row],[Employee Name]],'Base Schedules'!$A$160:$AW$203,47,FALSE)),"")</f>
        <v/>
      </c>
      <c r="AW16" s="184" t="str">
        <f>IFERROR(IF(VLOOKUP(Tue_W1[[#This Row],[Employee Name]],'Base Schedules'!$A$160:$AW$203,48,FALSE)="","",VLOOKUP(Tue_W1[[#This Row],[Employee Name]],'Base Schedules'!$A$160:$AW$203,48,FALSE)),"")</f>
        <v/>
      </c>
      <c r="AX16" s="184" t="str">
        <f>IFERROR(IF(VLOOKUP(Tue_W1[[#This Row],[Employee Name]],'Base Schedules'!$A$160:$AW$203,49,FALSE)="","",VLOOKUP(Tue_W1[[#This Row],[Employee Name]],'Base Schedules'!$A$160:$AW$203,49,FALSE)),"")</f>
        <v/>
      </c>
      <c r="AY16" s="164" t="str">
        <f t="shared" si="2"/>
        <v>Germony, June</v>
      </c>
    </row>
    <row r="17" spans="1:51" s="44" customFormat="1" ht="12" x14ac:dyDescent="0.2">
      <c r="A17" s="39" t="str">
        <f>IF(B17="","",INDEX(TeamList[],MATCH($B17,TeamList[[Employee Name]:[Employee Name]],0),MATCH("Manager",TeamList[#Headers],0)))</f>
        <v>Olson, Katherine</v>
      </c>
      <c r="B17" s="201" t="s">
        <v>34</v>
      </c>
      <c r="C17" s="257" t="str">
        <f>_xlfn.IFNA(VLOOKUP(Tue_W1[[#This Row],[Employee Name]],'Base Schedules'!A:B,2,FALSE),"")</f>
        <v>Lead</v>
      </c>
      <c r="D17" s="274">
        <f>_xlfn.IFNA(VLOOKUP(Tue_W1[[#This Row],[Employee Name]],'Base Schedules'!A:C,3,FALSE),"")</f>
        <v>630</v>
      </c>
      <c r="E17" s="274">
        <f>_xlfn.IFNA(VLOOKUP(Tue_W1[[#This Row],[Employee Name]],'Base Schedules'!A:D,4,FALSE),"")</f>
        <v>1500</v>
      </c>
      <c r="F17" s="142">
        <f>IF(Tue_W1[[#This Row],[Employee Name]]="","",IF(Tue_W1[[#This Row],[Dept]]="Supervisor",COUNTIFS($J17:$AX17,"*HL*",$J17:$AX17,"&lt;&gt;"&amp;"pHL"),COUNTIFS($J17:$AX17,"*HL*",$J17:$AX17,"&lt;&gt;"&amp;"*pHL*",$J17:$AX17,"&lt;&gt;"&amp;"pB1 HL",$J17:$AX17,"&lt;&gt;"&amp;"pB2 HL")-SUM(COUNTIFS($J17:$AX17,"*HL B1*",$J17:$AX17,"&lt;&gt;"&amp;"pHL B1")*0.5,COUNTIFS($J17:$AX17,"*HL B2*",$J17:$AX17,"&lt;&gt;"&amp;"pHL B2")*0.5,COUNTIFS($J17:$AX17,"*B1 HL*",$J17:$AX17,"&lt;&gt;"&amp;"pB1 HL")*0.5,COUNTIFS($J17:$AX17,"*B2 HL*",$J17:$AX17,"&lt;&gt;"&amp;"pB2 HL")*0.5)))</f>
        <v>7</v>
      </c>
      <c r="G17" s="142">
        <f t="shared" si="0"/>
        <v>0</v>
      </c>
      <c r="H17" s="142">
        <f t="shared" si="1"/>
        <v>6</v>
      </c>
      <c r="I17" s="142">
        <f>IF(Tue_W1[[#This Row],[Employee Name]]="","",IF(Tue_W1[[#This Row],[Dept]]="Supervisor",SUM(COUNTIFS($J17:$AX17,"RTA*",$J17:$AX17,"&lt;&gt;"&amp;"pRTA"),COUNTIFS($J17:$AX17,"*CRTA*",$J17:$AX17,"&lt;&gt;"&amp;"pCRTA")),COUNTIFS($J17:$AX17,"*RNNR*",$J17:$AX17,"&lt;&gt;"&amp;"*pRNNR*",$J17:$AX17,"&lt;&gt;"&amp;"pB1 RNNR",$J17:$AX17,"&lt;&gt;"&amp;"pB2 RNNR")-SUM(COUNTIFS($J17:$AX17,"*RNNR B1*",$J17:$AX17,"&lt;&gt;"&amp;"pRNNR B1")*0.5,COUNTIFS($J17:$AX17,"*RNNR B2*",$J17:$AX17,"&lt;&gt;"&amp;"pRNNR B2")*0.5,COUNTIFS($J17:$AX17,"*B1 RNNR*",$J17:$AX17,"&lt;&gt;"&amp;"pB1 RNNR")*0.5,COUNTIFS($J17:$AX17,"*B2 RNNR*",$J17:$AX17,"&lt;&gt;"&amp;"pB2 RNNR")*0.5)))</f>
        <v>2</v>
      </c>
      <c r="J17" s="184" t="str">
        <f>IFERROR(IF(VLOOKUP(Tue_W1[[#This Row],[Employee Name]],'Base Schedules'!$A$160:$AW$203,9,FALSE)="","",VLOOKUP(Tue_W1[[#This Row],[Employee Name]],'Base Schedules'!$A$160:$AW$203,9,FALSE)),"")</f>
        <v/>
      </c>
      <c r="K17" s="184" t="str">
        <f>IFERROR(IF(VLOOKUP(Tue_W1[[#This Row],[Employee Name]],'Base Schedules'!$A$160:$AW$203,10,FALSE)="","",VLOOKUP(Tue_W1[[#This Row],[Employee Name]],'Base Schedules'!$A$160:$AW$203,10,FALSE)),"")</f>
        <v/>
      </c>
      <c r="L17" s="184" t="str">
        <f>IFERROR(IF(VLOOKUP(Tue_W1[[#This Row],[Employee Name]],'Base Schedules'!$A$160:$AW$203,11,FALSE)="","",VLOOKUP(Tue_W1[[#This Row],[Employee Name]],'Base Schedules'!$A$160:$AW$203,11,FALSE)),"")</f>
        <v/>
      </c>
      <c r="M17" s="184" t="str">
        <f>IFERROR(IF(VLOOKUP(Tue_W1[[#This Row],[Employee Name]],'Base Schedules'!$A$160:$AW$203,12,FALSE)="","",VLOOKUP(Tue_W1[[#This Row],[Employee Name]],'Base Schedules'!$A$160:$AW$203,12,FALSE)),"")</f>
        <v>HL</v>
      </c>
      <c r="N17" s="184" t="str">
        <f>IFERROR(IF(VLOOKUP(Tue_W1[[#This Row],[Employee Name]],'Base Schedules'!$A$160:$AW$203,13,FALSE)="","",VLOOKUP(Tue_W1[[#This Row],[Employee Name]],'Base Schedules'!$A$160:$AW$203,13,FALSE)),"")</f>
        <v>HL</v>
      </c>
      <c r="O17" s="184" t="str">
        <f>IFERROR(IF(VLOOKUP(Tue_W1[[#This Row],[Employee Name]],'Base Schedules'!$A$160:$AW$203,14,FALSE)="","",VLOOKUP(Tue_W1[[#This Row],[Employee Name]],'Base Schedules'!$A$160:$AW$203,14,FALSE)),"")</f>
        <v>ADM</v>
      </c>
      <c r="P17" s="184" t="str">
        <f>IFERROR(IF(VLOOKUP(Tue_W1[[#This Row],[Employee Name]],'Base Schedules'!$A$160:$AW$203,15,FALSE)="","",VLOOKUP(Tue_W1[[#This Row],[Employee Name]],'Base Schedules'!$A$160:$AW$203,15,FALSE)),"")</f>
        <v>ADM</v>
      </c>
      <c r="Q17" s="184" t="str">
        <f>IFERROR(IF(VLOOKUP(Tue_W1[[#This Row],[Employee Name]],'Base Schedules'!$A$160:$AW$203,16,FALSE)="","",VLOOKUP(Tue_W1[[#This Row],[Employee Name]],'Base Schedules'!$A$160:$AW$203,16,FALSE)),"")</f>
        <v>HL B1</v>
      </c>
      <c r="R17" s="184" t="str">
        <f>IFERROR(IF(VLOOKUP(Tue_W1[[#This Row],[Employee Name]],'Base Schedules'!$A$160:$AW$203,17,FALSE)="","",VLOOKUP(Tue_W1[[#This Row],[Employee Name]],'Base Schedules'!$A$160:$AW$203,17,FALSE)),"")</f>
        <v>HL</v>
      </c>
      <c r="S17" s="184" t="str">
        <f>IFERROR(IF(VLOOKUP(Tue_W1[[#This Row],[Employee Name]],'Base Schedules'!$A$160:$AW$203,18,FALSE)="","",VLOOKUP(Tue_W1[[#This Row],[Employee Name]],'Base Schedules'!$A$160:$AW$203,18,FALSE)),"")</f>
        <v>HL</v>
      </c>
      <c r="T17" s="184" t="str">
        <f>IFERROR(IF(VLOOKUP(Tue_W1[[#This Row],[Employee Name]],'Base Schedules'!$A$160:$AW$203,19,FALSE)="","",VLOOKUP(Tue_W1[[#This Row],[Employee Name]],'Base Schedules'!$A$160:$AW$203,19,FALSE)),"")</f>
        <v>RNNR</v>
      </c>
      <c r="U17" s="184" t="str">
        <f>IFERROR(IF(VLOOKUP(Tue_W1[[#This Row],[Employee Name]],'Base Schedules'!$A$160:$AW$203,20,FALSE)="","",VLOOKUP(Tue_W1[[#This Row],[Employee Name]],'Base Schedules'!$A$160:$AW$203,20,FALSE)),"")</f>
        <v>RNNR</v>
      </c>
      <c r="V17" s="184" t="str">
        <f>IFERROR(IF(VLOOKUP(Tue_W1[[#This Row],[Employee Name]],'Base Schedules'!$A$160:$AW$203,21,FALSE)="","",VLOOKUP(Tue_W1[[#This Row],[Employee Name]],'Base Schedules'!$A$160:$AW$203,21,FALSE)),"")</f>
        <v>LUNCH</v>
      </c>
      <c r="W17" s="184" t="str">
        <f>IFERROR(IF(VLOOKUP(Tue_W1[[#This Row],[Employee Name]],'Base Schedules'!$A$160:$AW$203,22,FALSE)="","",VLOOKUP(Tue_W1[[#This Row],[Employee Name]],'Base Schedules'!$A$160:$AW$203,22,FALSE)),"")</f>
        <v>ADM</v>
      </c>
      <c r="X17" s="184" t="str">
        <f>IFERROR(IF(VLOOKUP(Tue_W1[[#This Row],[Employee Name]],'Base Schedules'!$A$160:$AW$203,23,FALSE)="","",VLOOKUP(Tue_W1[[#This Row],[Employee Name]],'Base Schedules'!$A$160:$AW$203,23,FALSE)),"")</f>
        <v>HL</v>
      </c>
      <c r="Y17" s="184" t="str">
        <f>IFERROR(IF(VLOOKUP(Tue_W1[[#This Row],[Employee Name]],'Base Schedules'!$A$160:$AW$203,24,FALSE)="","",VLOOKUP(Tue_W1[[#This Row],[Employee Name]],'Base Schedules'!$A$160:$AW$203,24,FALSE)),"")</f>
        <v>HL B2</v>
      </c>
      <c r="Z17" s="184" t="str">
        <f>IFERROR(IF(VLOOKUP(Tue_W1[[#This Row],[Employee Name]],'Base Schedules'!$A$160:$AW$203,25,FALSE)="","",VLOOKUP(Tue_W1[[#This Row],[Employee Name]],'Base Schedules'!$A$160:$AW$203,25,FALSE)),"")</f>
        <v>ADM</v>
      </c>
      <c r="AA17" s="184" t="str">
        <f>IFERROR(IF(VLOOKUP(Tue_W1[[#This Row],[Employee Name]],'Base Schedules'!$A$160:$AW$203,26,FALSE)="","",VLOOKUP(Tue_W1[[#This Row],[Employee Name]],'Base Schedules'!$A$160:$AW$203,26,FALSE)),"")</f>
        <v>ADM</v>
      </c>
      <c r="AB17" s="184" t="str">
        <f>IFERROR(IF(VLOOKUP(Tue_W1[[#This Row],[Employee Name]],'Base Schedules'!$A$160:$AW$203,27,FALSE)="","",VLOOKUP(Tue_W1[[#This Row],[Employee Name]],'Base Schedules'!$A$160:$AW$203,27,FALSE)),"")</f>
        <v>ADM</v>
      </c>
      <c r="AC17" s="184" t="str">
        <f>IFERROR(IF(VLOOKUP(Tue_W1[[#This Row],[Employee Name]],'Base Schedules'!$A$160:$AW$203,28,FALSE)="","",VLOOKUP(Tue_W1[[#This Row],[Employee Name]],'Base Schedules'!$A$160:$AW$203,28,FALSE)),"")</f>
        <v>HL</v>
      </c>
      <c r="AD17" s="184" t="str">
        <f>IFERROR(IF(VLOOKUP(Tue_W1[[#This Row],[Employee Name]],'Base Schedules'!$A$160:$AW$203,29,FALSE)="","",VLOOKUP(Tue_W1[[#This Row],[Employee Name]],'Base Schedules'!$A$160:$AW$203,29,FALSE)),"")</f>
        <v/>
      </c>
      <c r="AE17" s="184" t="str">
        <f>IFERROR(IF(VLOOKUP(Tue_W1[[#This Row],[Employee Name]],'Base Schedules'!$A$160:$AW$203,30,FALSE)="","",VLOOKUP(Tue_W1[[#This Row],[Employee Name]],'Base Schedules'!$A$160:$AW$203,30,FALSE)),"")</f>
        <v/>
      </c>
      <c r="AF17" s="184" t="str">
        <f>IFERROR(IF(VLOOKUP(Tue_W1[[#This Row],[Employee Name]],'Base Schedules'!$A$160:$AW$203,31,FALSE)="","",VLOOKUP(Tue_W1[[#This Row],[Employee Name]],'Base Schedules'!$A$160:$AW$203,31,FALSE)),"")</f>
        <v/>
      </c>
      <c r="AG17" s="184" t="str">
        <f>IFERROR(IF(VLOOKUP(Tue_W1[[#This Row],[Employee Name]],'Base Schedules'!$A$160:$AW$203,32,FALSE)="","",VLOOKUP(Tue_W1[[#This Row],[Employee Name]],'Base Schedules'!$A$160:$AW$203,32,FALSE)),"")</f>
        <v/>
      </c>
      <c r="AH17" s="184" t="str">
        <f>IFERROR(IF(VLOOKUP(Tue_W1[[#This Row],[Employee Name]],'Base Schedules'!$A$160:$AW$203,33,FALSE)="","",VLOOKUP(Tue_W1[[#This Row],[Employee Name]],'Base Schedules'!$A$160:$AW$203,33,FALSE)),"")</f>
        <v/>
      </c>
      <c r="AI17" s="184" t="str">
        <f>IFERROR(IF(VLOOKUP(Tue_W1[[#This Row],[Employee Name]],'Base Schedules'!$A$160:$AW$203,34,FALSE)="","",VLOOKUP(Tue_W1[[#This Row],[Employee Name]],'Base Schedules'!$A$160:$AW$203,34,FALSE)),"")</f>
        <v/>
      </c>
      <c r="AJ17" s="184" t="str">
        <f>IFERROR(IF(VLOOKUP(Tue_W1[[#This Row],[Employee Name]],'Base Schedules'!$A$160:$AW$203,35,FALSE)="","",VLOOKUP(Tue_W1[[#This Row],[Employee Name]],'Base Schedules'!$A$160:$AW$203,35,FALSE)),"")</f>
        <v/>
      </c>
      <c r="AK17" s="184" t="str">
        <f>IFERROR(IF(VLOOKUP(Tue_W1[[#This Row],[Employee Name]],'Base Schedules'!$A$160:$AW$203,36,FALSE)="","",VLOOKUP(Tue_W1[[#This Row],[Employee Name]],'Base Schedules'!$A$160:$AW$203,36,FALSE)),"")</f>
        <v/>
      </c>
      <c r="AL17" s="184" t="str">
        <f>IFERROR(IF(VLOOKUP(Tue_W1[[#This Row],[Employee Name]],'Base Schedules'!$A$160:$AW$203,37,FALSE)="","",VLOOKUP(Tue_W1[[#This Row],[Employee Name]],'Base Schedules'!$A$160:$AW$203,37,FALSE)),"")</f>
        <v/>
      </c>
      <c r="AM17" s="184" t="str">
        <f>IFERROR(IF(VLOOKUP(Tue_W1[[#This Row],[Employee Name]],'Base Schedules'!$A$160:$AW$203,38,FALSE)="","",VLOOKUP(Tue_W1[[#This Row],[Employee Name]],'Base Schedules'!$A$160:$AW$203,38,FALSE)),"")</f>
        <v/>
      </c>
      <c r="AN17" s="184" t="str">
        <f>IFERROR(IF(VLOOKUP(Tue_W1[[#This Row],[Employee Name]],'Base Schedules'!$A$160:$AW$203,39,FALSE)="","",VLOOKUP(Tue_W1[[#This Row],[Employee Name]],'Base Schedules'!$A$160:$AW$203,39,FALSE)),"")</f>
        <v/>
      </c>
      <c r="AO17" s="184" t="str">
        <f>IFERROR(IF(VLOOKUP(Tue_W1[[#This Row],[Employee Name]],'Base Schedules'!$A$160:$AW$203,40,FALSE)="","",VLOOKUP(Tue_W1[[#This Row],[Employee Name]],'Base Schedules'!$A$160:$AW$203,40,FALSE)),"")</f>
        <v/>
      </c>
      <c r="AP17" s="184" t="str">
        <f>IFERROR(IF(VLOOKUP(Tue_W1[[#This Row],[Employee Name]],'Base Schedules'!$A$160:$AW$203,41,FALSE)="","",VLOOKUP(Tue_W1[[#This Row],[Employee Name]],'Base Schedules'!$A$160:$AW$203,41,FALSE)),"")</f>
        <v/>
      </c>
      <c r="AQ17" s="184" t="str">
        <f>IFERROR(IF(VLOOKUP(Tue_W1[[#This Row],[Employee Name]],'Base Schedules'!$A$160:$AW$203,42,FALSE)="","",VLOOKUP(Tue_W1[[#This Row],[Employee Name]],'Base Schedules'!$A$160:$AW$203,42,FALSE)),"")</f>
        <v/>
      </c>
      <c r="AR17" s="184" t="str">
        <f>IFERROR(IF(VLOOKUP(Tue_W1[[#This Row],[Employee Name]],'Base Schedules'!$A$160:$AW$203,43,FALSE)="","",VLOOKUP(Tue_W1[[#This Row],[Employee Name]],'Base Schedules'!$A$160:$AW$203,43,FALSE)),"")</f>
        <v/>
      </c>
      <c r="AS17" s="184" t="str">
        <f>IFERROR(IF(VLOOKUP(Tue_W1[[#This Row],[Employee Name]],'Base Schedules'!$A$160:$AW$203,44,FALSE)="","",VLOOKUP(Tue_W1[[#This Row],[Employee Name]],'Base Schedules'!$A$160:$AW$203,44,FALSE)),"")</f>
        <v/>
      </c>
      <c r="AT17" s="184" t="str">
        <f>IFERROR(IF(VLOOKUP(Tue_W1[[#This Row],[Employee Name]],'Base Schedules'!$A$160:$AW$203,45,FALSE)="","",VLOOKUP(Tue_W1[[#This Row],[Employee Name]],'Base Schedules'!$A$160:$AW$203,45,FALSE)),"")</f>
        <v/>
      </c>
      <c r="AU17" s="184" t="str">
        <f>IFERROR(IF(VLOOKUP(Tue_W1[[#This Row],[Employee Name]],'Base Schedules'!$A$160:$AW$203,46,FALSE)="","",VLOOKUP(Tue_W1[[#This Row],[Employee Name]],'Base Schedules'!$A$160:$AW$203,46,FALSE)),"")</f>
        <v/>
      </c>
      <c r="AV17" s="184" t="str">
        <f>IFERROR(IF(VLOOKUP(Tue_W1[[#This Row],[Employee Name]],'Base Schedules'!$A$160:$AW$203,47,FALSE)="","",VLOOKUP(Tue_W1[[#This Row],[Employee Name]],'Base Schedules'!$A$160:$AW$203,47,FALSE)),"")</f>
        <v/>
      </c>
      <c r="AW17" s="184" t="str">
        <f>IFERROR(IF(VLOOKUP(Tue_W1[[#This Row],[Employee Name]],'Base Schedules'!$A$160:$AW$203,48,FALSE)="","",VLOOKUP(Tue_W1[[#This Row],[Employee Name]],'Base Schedules'!$A$160:$AW$203,48,FALSE)),"")</f>
        <v/>
      </c>
      <c r="AX17" s="184" t="str">
        <f>IFERROR(IF(VLOOKUP(Tue_W1[[#This Row],[Employee Name]],'Base Schedules'!$A$160:$AW$203,49,FALSE)="","",VLOOKUP(Tue_W1[[#This Row],[Employee Name]],'Base Schedules'!$A$160:$AW$203,49,FALSE)),"")</f>
        <v/>
      </c>
      <c r="AY17" s="164" t="str">
        <f t="shared" si="2"/>
        <v>Greene, Alicia</v>
      </c>
    </row>
    <row r="18" spans="1:51" s="44" customFormat="1" ht="12" x14ac:dyDescent="0.2">
      <c r="A18" s="39" t="str">
        <f>IF(B18="","",INDEX(TeamList[],MATCH($B18,TeamList[[Employee Name]:[Employee Name]],0),MATCH("Manager",TeamList[#Headers],0)))</f>
        <v>Paulson, Matthew</v>
      </c>
      <c r="B18" s="332" t="s">
        <v>39</v>
      </c>
      <c r="C18" s="257" t="str">
        <f>_xlfn.IFNA(VLOOKUP(Tue_W1[[#This Row],[Employee Name]],'Base Schedules'!A:B,2,FALSE),"")</f>
        <v>Supervisor</v>
      </c>
      <c r="D18" s="274">
        <f>_xlfn.IFNA(VLOOKUP(Tue_W1[[#This Row],[Employee Name]],'Base Schedules'!A:C,3,FALSE),"")</f>
        <v>630</v>
      </c>
      <c r="E18" s="274">
        <f>_xlfn.IFNA(VLOOKUP(Tue_W1[[#This Row],[Employee Name]],'Base Schedules'!A:D,4,FALSE),"")</f>
        <v>1530</v>
      </c>
      <c r="F18" s="142">
        <f>IF(Tue_W1[[#This Row],[Employee Name]]="","",IF(Tue_W1[[#This Row],[Dept]]="Supervisor",COUNTIFS($J18:$AX18,"*HL*",$J18:$AX18,"&lt;&gt;"&amp;"pHL"),COUNTIFS($J18:$AX18,"*HL*",$J18:$AX18,"&lt;&gt;"&amp;"*pHL*",$J18:$AX18,"&lt;&gt;"&amp;"pB1 HL",$J18:$AX18,"&lt;&gt;"&amp;"pB2 HL")-SUM(COUNTIFS($J18:$AX18,"*HL B1*",$J18:$AX18,"&lt;&gt;"&amp;"pHL B1")*0.5,COUNTIFS($J18:$AX18,"*HL B2*",$J18:$AX18,"&lt;&gt;"&amp;"pHL B2")*0.5,COUNTIFS($J18:$AX18,"*B1 HL*",$J18:$AX18,"&lt;&gt;"&amp;"pB1 HL")*0.5,COUNTIFS($J18:$AX18,"*B2 HL*",$J18:$AX18,"&lt;&gt;"&amp;"pB2 HL")*0.5)))</f>
        <v>0</v>
      </c>
      <c r="G18" s="142">
        <f t="shared" si="0"/>
        <v>3</v>
      </c>
      <c r="H18" s="142">
        <f t="shared" si="1"/>
        <v>0</v>
      </c>
      <c r="I18" s="142">
        <f>IF(Tue_W1[[#This Row],[Employee Name]]="","",IF(Tue_W1[[#This Row],[Dept]]="Supervisor",SUM(COUNTIFS($J18:$AX18,"RTA*",$J18:$AX18,"&lt;&gt;"&amp;"pRTA"),COUNTIFS($J18:$AX18,"*CRTA*",$J18:$AX18,"&lt;&gt;"&amp;"pCRTA")),COUNTIFS($J18:$AX18,"*RNNR*",$J18:$AX18,"&lt;&gt;"&amp;"*pRNNR*",$J18:$AX18,"&lt;&gt;"&amp;"pB1 RNNR",$J18:$AX18,"&lt;&gt;"&amp;"pB2 RNNR")-SUM(COUNTIFS($J18:$AX18,"*RNNR B1*",$J18:$AX18,"&lt;&gt;"&amp;"pRNNR B1")*0.5,COUNTIFS($J18:$AX18,"*RNNR B2*",$J18:$AX18,"&lt;&gt;"&amp;"pRNNR B2")*0.5,COUNTIFS($J18:$AX18,"*B1 RNNR*",$J18:$AX18,"&lt;&gt;"&amp;"pB1 RNNR")*0.5,COUNTIFS($J18:$AX18,"*B2 RNNR*",$J18:$AX18,"&lt;&gt;"&amp;"pB2 RNNR")*0.5)))</f>
        <v>0</v>
      </c>
      <c r="J18" s="184" t="str">
        <f>IFERROR(IF(VLOOKUP(Tue_W1[[#This Row],[Employee Name]],'Base Schedules'!$A$160:$AW$203,9,FALSE)="","",VLOOKUP(Tue_W1[[#This Row],[Employee Name]],'Base Schedules'!$A$160:$AW$203,9,FALSE)),"")</f>
        <v/>
      </c>
      <c r="K18" s="184" t="str">
        <f>IFERROR(IF(VLOOKUP(Tue_W1[[#This Row],[Employee Name]],'Base Schedules'!$A$160:$AW$203,10,FALSE)="","",VLOOKUP(Tue_W1[[#This Row],[Employee Name]],'Base Schedules'!$A$160:$AW$203,10,FALSE)),"")</f>
        <v/>
      </c>
      <c r="L18" s="184" t="str">
        <f>IFERROR(IF(VLOOKUP(Tue_W1[[#This Row],[Employee Name]],'Base Schedules'!$A$160:$AW$203,11,FALSE)="","",VLOOKUP(Tue_W1[[#This Row],[Employee Name]],'Base Schedules'!$A$160:$AW$203,11,FALSE)),"")</f>
        <v/>
      </c>
      <c r="M18" s="184" t="str">
        <f>IFERROR(IF(VLOOKUP(Tue_W1[[#This Row],[Employee Name]],'Base Schedules'!$A$160:$AW$203,12,FALSE)="","",VLOOKUP(Tue_W1[[#This Row],[Employee Name]],'Base Schedules'!$A$160:$AW$203,12,FALSE)),"")</f>
        <v>-</v>
      </c>
      <c r="N18" s="184" t="str">
        <f>IFERROR(IF(VLOOKUP(Tue_W1[[#This Row],[Employee Name]],'Base Schedules'!$A$160:$AW$203,13,FALSE)="","",VLOOKUP(Tue_W1[[#This Row],[Employee Name]],'Base Schedules'!$A$160:$AW$203,13,FALSE)),"")</f>
        <v>-</v>
      </c>
      <c r="O18" s="184" t="str">
        <f>IFERROR(IF(VLOOKUP(Tue_W1[[#This Row],[Employee Name]],'Base Schedules'!$A$160:$AW$203,14,FALSE)="","",VLOOKUP(Tue_W1[[#This Row],[Employee Name]],'Base Schedules'!$A$160:$AW$203,14,FALSE)),"")</f>
        <v>-</v>
      </c>
      <c r="P18" s="184" t="str">
        <f>IFERROR(IF(VLOOKUP(Tue_W1[[#This Row],[Employee Name]],'Base Schedules'!$A$160:$AW$203,15,FALSE)="","",VLOOKUP(Tue_W1[[#This Row],[Employee Name]],'Base Schedules'!$A$160:$AW$203,15,FALSE)),"")</f>
        <v>-</v>
      </c>
      <c r="Q18" s="184" t="str">
        <f>IFERROR(IF(VLOOKUP(Tue_W1[[#This Row],[Employee Name]],'Base Schedules'!$A$160:$AW$203,16,FALSE)="","",VLOOKUP(Tue_W1[[#This Row],[Employee Name]],'Base Schedules'!$A$160:$AW$203,16,FALSE)),"")</f>
        <v>-</v>
      </c>
      <c r="R18" s="184" t="str">
        <f>IFERROR(IF(VLOOKUP(Tue_W1[[#This Row],[Employee Name]],'Base Schedules'!$A$160:$AW$203,17,FALSE)="","",VLOOKUP(Tue_W1[[#This Row],[Employee Name]],'Base Schedules'!$A$160:$AW$203,17,FALSE)),"")</f>
        <v>Coaching</v>
      </c>
      <c r="S18" s="184" t="str">
        <f>IFERROR(IF(VLOOKUP(Tue_W1[[#This Row],[Employee Name]],'Base Schedules'!$A$160:$AW$203,18,FALSE)="","",VLOOKUP(Tue_W1[[#This Row],[Employee Name]],'Base Schedules'!$A$160:$AW$203,18,FALSE)),"")</f>
        <v>Coaching</v>
      </c>
      <c r="T18" s="184" t="str">
        <f>IFERROR(IF(VLOOKUP(Tue_W1[[#This Row],[Employee Name]],'Base Schedules'!$A$160:$AW$203,19,FALSE)="","",VLOOKUP(Tue_W1[[#This Row],[Employee Name]],'Base Schedules'!$A$160:$AW$203,19,FALSE)),"")</f>
        <v>Coaching</v>
      </c>
      <c r="U18" s="184" t="str">
        <f>IFERROR(IF(VLOOKUP(Tue_W1[[#This Row],[Employee Name]],'Base Schedules'!$A$160:$AW$203,20,FALSE)="","",VLOOKUP(Tue_W1[[#This Row],[Employee Name]],'Base Schedules'!$A$160:$AW$203,20,FALSE)),"")</f>
        <v>-</v>
      </c>
      <c r="V18" s="184" t="str">
        <f>IFERROR(IF(VLOOKUP(Tue_W1[[#This Row],[Employee Name]],'Base Schedules'!$A$160:$AW$203,21,FALSE)="","",VLOOKUP(Tue_W1[[#This Row],[Employee Name]],'Base Schedules'!$A$160:$AW$203,21,FALSE)),"")</f>
        <v>-</v>
      </c>
      <c r="W18" s="184" t="str">
        <f>IFERROR(IF(VLOOKUP(Tue_W1[[#This Row],[Employee Name]],'Base Schedules'!$A$160:$AW$203,22,FALSE)="","",VLOOKUP(Tue_W1[[#This Row],[Employee Name]],'Base Schedules'!$A$160:$AW$203,22,FALSE)),"")</f>
        <v>-</v>
      </c>
      <c r="X18" s="184" t="str">
        <f>IFERROR(IF(VLOOKUP(Tue_W1[[#This Row],[Employee Name]],'Base Schedules'!$A$160:$AW$203,23,FALSE)="","",VLOOKUP(Tue_W1[[#This Row],[Employee Name]],'Base Schedules'!$A$160:$AW$203,23,FALSE)),"")</f>
        <v>-</v>
      </c>
      <c r="Y18" s="184" t="str">
        <f>IFERROR(IF(VLOOKUP(Tue_W1[[#This Row],[Employee Name]],'Base Schedules'!$A$160:$AW$203,24,FALSE)="","",VLOOKUP(Tue_W1[[#This Row],[Employee Name]],'Base Schedules'!$A$160:$AW$203,24,FALSE)),"")</f>
        <v>-</v>
      </c>
      <c r="Z18" s="184" t="str">
        <f>IFERROR(IF(VLOOKUP(Tue_W1[[#This Row],[Employee Name]],'Base Schedules'!$A$160:$AW$203,25,FALSE)="","",VLOOKUP(Tue_W1[[#This Row],[Employee Name]],'Base Schedules'!$A$160:$AW$203,25,FALSE)),"")</f>
        <v>Team ZAH TM</v>
      </c>
      <c r="AA18" s="184" t="str">
        <f>IFERROR(IF(VLOOKUP(Tue_W1[[#This Row],[Employee Name]],'Base Schedules'!$A$160:$AW$203,26,FALSE)="","",VLOOKUP(Tue_W1[[#This Row],[Employee Name]],'Base Schedules'!$A$160:$AW$203,26,FALSE)),"")</f>
        <v>Team ZAH TM</v>
      </c>
      <c r="AB18" s="184" t="str">
        <f>IFERROR(IF(VLOOKUP(Tue_W1[[#This Row],[Employee Name]],'Base Schedules'!$A$160:$AW$203,27,FALSE)="","",VLOOKUP(Tue_W1[[#This Row],[Employee Name]],'Base Schedules'!$A$160:$AW$203,27,FALSE)),"")</f>
        <v>-</v>
      </c>
      <c r="AC18" s="184" t="str">
        <f>IFERROR(IF(VLOOKUP(Tue_W1[[#This Row],[Employee Name]],'Base Schedules'!$A$160:$AW$203,28,FALSE)="","",VLOOKUP(Tue_W1[[#This Row],[Employee Name]],'Base Schedules'!$A$160:$AW$203,28,FALSE)),"")</f>
        <v>-</v>
      </c>
      <c r="AD18" s="184" t="str">
        <f>IFERROR(IF(VLOOKUP(Tue_W1[[#This Row],[Employee Name]],'Base Schedules'!$A$160:$AW$203,29,FALSE)="","",VLOOKUP(Tue_W1[[#This Row],[Employee Name]],'Base Schedules'!$A$160:$AW$203,29,FALSE)),"")</f>
        <v>-</v>
      </c>
      <c r="AE18" s="184" t="str">
        <f>IFERROR(IF(VLOOKUP(Tue_W1[[#This Row],[Employee Name]],'Base Schedules'!$A$160:$AW$203,30,FALSE)="","",VLOOKUP(Tue_W1[[#This Row],[Employee Name]],'Base Schedules'!$A$160:$AW$203,30,FALSE)),"")</f>
        <v/>
      </c>
      <c r="AF18" s="184" t="str">
        <f>IFERROR(IF(VLOOKUP(Tue_W1[[#This Row],[Employee Name]],'Base Schedules'!$A$160:$AW$203,31,FALSE)="","",VLOOKUP(Tue_W1[[#This Row],[Employee Name]],'Base Schedules'!$A$160:$AW$203,31,FALSE)),"")</f>
        <v/>
      </c>
      <c r="AG18" s="184" t="str">
        <f>IFERROR(IF(VLOOKUP(Tue_W1[[#This Row],[Employee Name]],'Base Schedules'!$A$160:$AW$203,32,FALSE)="","",VLOOKUP(Tue_W1[[#This Row],[Employee Name]],'Base Schedules'!$A$160:$AW$203,32,FALSE)),"")</f>
        <v/>
      </c>
      <c r="AH18" s="184" t="str">
        <f>IFERROR(IF(VLOOKUP(Tue_W1[[#This Row],[Employee Name]],'Base Schedules'!$A$160:$AW$203,33,FALSE)="","",VLOOKUP(Tue_W1[[#This Row],[Employee Name]],'Base Schedules'!$A$160:$AW$203,33,FALSE)),"")</f>
        <v/>
      </c>
      <c r="AI18" s="184" t="str">
        <f>IFERROR(IF(VLOOKUP(Tue_W1[[#This Row],[Employee Name]],'Base Schedules'!$A$160:$AW$203,34,FALSE)="","",VLOOKUP(Tue_W1[[#This Row],[Employee Name]],'Base Schedules'!$A$160:$AW$203,34,FALSE)),"")</f>
        <v/>
      </c>
      <c r="AJ18" s="184" t="str">
        <f>IFERROR(IF(VLOOKUP(Tue_W1[[#This Row],[Employee Name]],'Base Schedules'!$A$160:$AW$203,35,FALSE)="","",VLOOKUP(Tue_W1[[#This Row],[Employee Name]],'Base Schedules'!$A$160:$AW$203,35,FALSE)),"")</f>
        <v/>
      </c>
      <c r="AK18" s="184" t="str">
        <f>IFERROR(IF(VLOOKUP(Tue_W1[[#This Row],[Employee Name]],'Base Schedules'!$A$160:$AW$203,36,FALSE)="","",VLOOKUP(Tue_W1[[#This Row],[Employee Name]],'Base Schedules'!$A$160:$AW$203,36,FALSE)),"")</f>
        <v/>
      </c>
      <c r="AL18" s="184" t="str">
        <f>IFERROR(IF(VLOOKUP(Tue_W1[[#This Row],[Employee Name]],'Base Schedules'!$A$160:$AW$203,37,FALSE)="","",VLOOKUP(Tue_W1[[#This Row],[Employee Name]],'Base Schedules'!$A$160:$AW$203,37,FALSE)),"")</f>
        <v/>
      </c>
      <c r="AM18" s="184" t="str">
        <f>IFERROR(IF(VLOOKUP(Tue_W1[[#This Row],[Employee Name]],'Base Schedules'!$A$160:$AW$203,38,FALSE)="","",VLOOKUP(Tue_W1[[#This Row],[Employee Name]],'Base Schedules'!$A$160:$AW$203,38,FALSE)),"")</f>
        <v/>
      </c>
      <c r="AN18" s="184" t="str">
        <f>IFERROR(IF(VLOOKUP(Tue_W1[[#This Row],[Employee Name]],'Base Schedules'!$A$160:$AW$203,39,FALSE)="","",VLOOKUP(Tue_W1[[#This Row],[Employee Name]],'Base Schedules'!$A$160:$AW$203,39,FALSE)),"")</f>
        <v/>
      </c>
      <c r="AO18" s="184" t="str">
        <f>IFERROR(IF(VLOOKUP(Tue_W1[[#This Row],[Employee Name]],'Base Schedules'!$A$160:$AW$203,40,FALSE)="","",VLOOKUP(Tue_W1[[#This Row],[Employee Name]],'Base Schedules'!$A$160:$AW$203,40,FALSE)),"")</f>
        <v/>
      </c>
      <c r="AP18" s="184" t="str">
        <f>IFERROR(IF(VLOOKUP(Tue_W1[[#This Row],[Employee Name]],'Base Schedules'!$A$160:$AW$203,41,FALSE)="","",VLOOKUP(Tue_W1[[#This Row],[Employee Name]],'Base Schedules'!$A$160:$AW$203,41,FALSE)),"")</f>
        <v/>
      </c>
      <c r="AQ18" s="184" t="str">
        <f>IFERROR(IF(VLOOKUP(Tue_W1[[#This Row],[Employee Name]],'Base Schedules'!$A$160:$AW$203,42,FALSE)="","",VLOOKUP(Tue_W1[[#This Row],[Employee Name]],'Base Schedules'!$A$160:$AW$203,42,FALSE)),"")</f>
        <v/>
      </c>
      <c r="AR18" s="184" t="str">
        <f>IFERROR(IF(VLOOKUP(Tue_W1[[#This Row],[Employee Name]],'Base Schedules'!$A$160:$AW$203,43,FALSE)="","",VLOOKUP(Tue_W1[[#This Row],[Employee Name]],'Base Schedules'!$A$160:$AW$203,43,FALSE)),"")</f>
        <v/>
      </c>
      <c r="AS18" s="184" t="str">
        <f>IFERROR(IF(VLOOKUP(Tue_W1[[#This Row],[Employee Name]],'Base Schedules'!$A$160:$AW$203,44,FALSE)="","",VLOOKUP(Tue_W1[[#This Row],[Employee Name]],'Base Schedules'!$A$160:$AW$203,44,FALSE)),"")</f>
        <v/>
      </c>
      <c r="AT18" s="184" t="str">
        <f>IFERROR(IF(VLOOKUP(Tue_W1[[#This Row],[Employee Name]],'Base Schedules'!$A$160:$AW$203,45,FALSE)="","",VLOOKUP(Tue_W1[[#This Row],[Employee Name]],'Base Schedules'!$A$160:$AW$203,45,FALSE)),"")</f>
        <v/>
      </c>
      <c r="AU18" s="184" t="str">
        <f>IFERROR(IF(VLOOKUP(Tue_W1[[#This Row],[Employee Name]],'Base Schedules'!$A$160:$AW$203,46,FALSE)="","",VLOOKUP(Tue_W1[[#This Row],[Employee Name]],'Base Schedules'!$A$160:$AW$203,46,FALSE)),"")</f>
        <v/>
      </c>
      <c r="AV18" s="184" t="str">
        <f>IFERROR(IF(VLOOKUP(Tue_W1[[#This Row],[Employee Name]],'Base Schedules'!$A$160:$AW$203,47,FALSE)="","",VLOOKUP(Tue_W1[[#This Row],[Employee Name]],'Base Schedules'!$A$160:$AW$203,47,FALSE)),"")</f>
        <v/>
      </c>
      <c r="AW18" s="184" t="str">
        <f>IFERROR(IF(VLOOKUP(Tue_W1[[#This Row],[Employee Name]],'Base Schedules'!$A$160:$AW$203,48,FALSE)="","",VLOOKUP(Tue_W1[[#This Row],[Employee Name]],'Base Schedules'!$A$160:$AW$203,48,FALSE)),"")</f>
        <v/>
      </c>
      <c r="AX18" s="184" t="str">
        <f>IFERROR(IF(VLOOKUP(Tue_W1[[#This Row],[Employee Name]],'Base Schedules'!$A$160:$AW$203,49,FALSE)="","",VLOOKUP(Tue_W1[[#This Row],[Employee Name]],'Base Schedules'!$A$160:$AW$203,49,FALSE)),"")</f>
        <v/>
      </c>
      <c r="AY18" s="164" t="str">
        <f t="shared" si="2"/>
        <v>Ulrich, Michael</v>
      </c>
    </row>
    <row r="19" spans="1:51" s="44" customFormat="1" ht="12" x14ac:dyDescent="0.2">
      <c r="A19" s="39" t="str">
        <f>IF(B19="","",INDEX(TeamList[],MATCH($B19,TeamList[[Employee Name]:[Employee Name]],0),MATCH("Manager",TeamList[#Headers],0)))</f>
        <v>Ahmed Hassan, Zahra</v>
      </c>
      <c r="B19" s="332" t="s">
        <v>51</v>
      </c>
      <c r="C19" s="257" t="str">
        <f>_xlfn.IFNA(VLOOKUP(Tue_W1[[#This Row],[Employee Name]],'Base Schedules'!A:B,2,FALSE),"")</f>
        <v>Supervisor</v>
      </c>
      <c r="D19" s="274">
        <f>_xlfn.IFNA(VLOOKUP(Tue_W1[[#This Row],[Employee Name]],'Base Schedules'!A:C,3,FALSE),"")</f>
        <v>700</v>
      </c>
      <c r="E19" s="274">
        <f>_xlfn.IFNA(VLOOKUP(Tue_W1[[#This Row],[Employee Name]],'Base Schedules'!A:D,4,FALSE),"")</f>
        <v>1600</v>
      </c>
      <c r="F19" s="142">
        <f>IF(Tue_W1[[#This Row],[Employee Name]]="","",IF(Tue_W1[[#This Row],[Dept]]="Supervisor",COUNTIFS($J19:$AX19,"*HL*",$J19:$AX19,"&lt;&gt;"&amp;"pHL"),COUNTIFS($J19:$AX19,"*HL*",$J19:$AX19,"&lt;&gt;"&amp;"*pHL*",$J19:$AX19,"&lt;&gt;"&amp;"pB1 HL",$J19:$AX19,"&lt;&gt;"&amp;"pB2 HL")-SUM(COUNTIFS($J19:$AX19,"*HL B1*",$J19:$AX19,"&lt;&gt;"&amp;"pHL B1")*0.5,COUNTIFS($J19:$AX19,"*HL B2*",$J19:$AX19,"&lt;&gt;"&amp;"pHL B2")*0.5,COUNTIFS($J19:$AX19,"*B1 HL*",$J19:$AX19,"&lt;&gt;"&amp;"pB1 HL")*0.5,COUNTIFS($J19:$AX19,"*B2 HL*",$J19:$AX19,"&lt;&gt;"&amp;"pB2 HL")*0.5)))</f>
        <v>0</v>
      </c>
      <c r="G19" s="142">
        <f t="shared" si="0"/>
        <v>4</v>
      </c>
      <c r="H19" s="142">
        <f t="shared" si="1"/>
        <v>0</v>
      </c>
      <c r="I19" s="142">
        <f>IF(Tue_W1[[#This Row],[Employee Name]]="","",IF(Tue_W1[[#This Row],[Dept]]="Supervisor",SUM(COUNTIFS($J19:$AX19,"RTA*",$J19:$AX19,"&lt;&gt;"&amp;"pRTA"),COUNTIFS($J19:$AX19,"*CRTA*",$J19:$AX19,"&lt;&gt;"&amp;"pCRTA")),COUNTIFS($J19:$AX19,"*RNNR*",$J19:$AX19,"&lt;&gt;"&amp;"*pRNNR*",$J19:$AX19,"&lt;&gt;"&amp;"pB1 RNNR",$J19:$AX19,"&lt;&gt;"&amp;"pB2 RNNR")-SUM(COUNTIFS($J19:$AX19,"*RNNR B1*",$J19:$AX19,"&lt;&gt;"&amp;"pRNNR B1")*0.5,COUNTIFS($J19:$AX19,"*RNNR B2*",$J19:$AX19,"&lt;&gt;"&amp;"pRNNR B2")*0.5,COUNTIFS($J19:$AX19,"*B1 RNNR*",$J19:$AX19,"&lt;&gt;"&amp;"pB1 RNNR")*0.5,COUNTIFS($J19:$AX19,"*B2 RNNR*",$J19:$AX19,"&lt;&gt;"&amp;"pB2 RNNR")*0.5)))</f>
        <v>0</v>
      </c>
      <c r="J19" s="184" t="str">
        <f>IFERROR(IF(VLOOKUP(Tue_W1[[#This Row],[Employee Name]],'Base Schedules'!$A$160:$AW$203,9,FALSE)="","",VLOOKUP(Tue_W1[[#This Row],[Employee Name]],'Base Schedules'!$A$160:$AW$203,9,FALSE)),"")</f>
        <v/>
      </c>
      <c r="K19" s="184" t="str">
        <f>IFERROR(IF(VLOOKUP(Tue_W1[[#This Row],[Employee Name]],'Base Schedules'!$A$160:$AW$203,10,FALSE)="","",VLOOKUP(Tue_W1[[#This Row],[Employee Name]],'Base Schedules'!$A$160:$AW$203,10,FALSE)),"")</f>
        <v/>
      </c>
      <c r="L19" s="184" t="str">
        <f>IFERROR(IF(VLOOKUP(Tue_W1[[#This Row],[Employee Name]],'Base Schedules'!$A$160:$AW$203,11,FALSE)="","",VLOOKUP(Tue_W1[[#This Row],[Employee Name]],'Base Schedules'!$A$160:$AW$203,11,FALSE)),"")</f>
        <v/>
      </c>
      <c r="M19" s="184" t="str">
        <f>IFERROR(IF(VLOOKUP(Tue_W1[[#This Row],[Employee Name]],'Base Schedules'!$A$160:$AW$203,12,FALSE)="","",VLOOKUP(Tue_W1[[#This Row],[Employee Name]],'Base Schedules'!$A$160:$AW$203,12,FALSE)),"")</f>
        <v/>
      </c>
      <c r="N19" s="184" t="str">
        <f>IFERROR(IF(VLOOKUP(Tue_W1[[#This Row],[Employee Name]],'Base Schedules'!$A$160:$AW$203,13,FALSE)="","",VLOOKUP(Tue_W1[[#This Row],[Employee Name]],'Base Schedules'!$A$160:$AW$203,13,FALSE)),"")</f>
        <v>-</v>
      </c>
      <c r="O19" s="184" t="str">
        <f>IFERROR(IF(VLOOKUP(Tue_W1[[#This Row],[Employee Name]],'Base Schedules'!$A$160:$AW$203,14,FALSE)="","",VLOOKUP(Tue_W1[[#This Row],[Employee Name]],'Base Schedules'!$A$160:$AW$203,14,FALSE)),"")</f>
        <v>-</v>
      </c>
      <c r="P19" s="184" t="str">
        <f>IFERROR(IF(VLOOKUP(Tue_W1[[#This Row],[Employee Name]],'Base Schedules'!$A$160:$AW$203,15,FALSE)="","",VLOOKUP(Tue_W1[[#This Row],[Employee Name]],'Base Schedules'!$A$160:$AW$203,15,FALSE)),"")</f>
        <v>-</v>
      </c>
      <c r="Q19" s="184" t="str">
        <f>IFERROR(IF(VLOOKUP(Tue_W1[[#This Row],[Employee Name]],'Base Schedules'!$A$160:$AW$203,16,FALSE)="","",VLOOKUP(Tue_W1[[#This Row],[Employee Name]],'Base Schedules'!$A$160:$AW$203,16,FALSE)),"")</f>
        <v>-</v>
      </c>
      <c r="R19" s="184" t="str">
        <f>IFERROR(IF(VLOOKUP(Tue_W1[[#This Row],[Employee Name]],'Base Schedules'!$A$160:$AW$203,17,FALSE)="","",VLOOKUP(Tue_W1[[#This Row],[Employee Name]],'Base Schedules'!$A$160:$AW$203,17,FALSE)),"")</f>
        <v>Interview</v>
      </c>
      <c r="S19" s="184" t="str">
        <f>IFERROR(IF(VLOOKUP(Tue_W1[[#This Row],[Employee Name]],'Base Schedules'!$A$160:$AW$203,18,FALSE)="","",VLOOKUP(Tue_W1[[#This Row],[Employee Name]],'Base Schedules'!$A$160:$AW$203,18,FALSE)),"")</f>
        <v>Interview</v>
      </c>
      <c r="T19" s="184" t="str">
        <f>IFERROR(IF(VLOOKUP(Tue_W1[[#This Row],[Employee Name]],'Base Schedules'!$A$160:$AW$203,19,FALSE)="","",VLOOKUP(Tue_W1[[#This Row],[Employee Name]],'Base Schedules'!$A$160:$AW$203,19,FALSE)),"")</f>
        <v>-</v>
      </c>
      <c r="U19" s="184" t="str">
        <f>IFERROR(IF(VLOOKUP(Tue_W1[[#This Row],[Employee Name]],'Base Schedules'!$A$160:$AW$203,20,FALSE)="","",VLOOKUP(Tue_W1[[#This Row],[Employee Name]],'Base Schedules'!$A$160:$AW$203,20,FALSE)),"")</f>
        <v>-</v>
      </c>
      <c r="V19" s="184" t="str">
        <f>IFERROR(IF(VLOOKUP(Tue_W1[[#This Row],[Employee Name]],'Base Schedules'!$A$160:$AW$203,21,FALSE)="","",VLOOKUP(Tue_W1[[#This Row],[Employee Name]],'Base Schedules'!$A$160:$AW$203,21,FALSE)),"")</f>
        <v>-</v>
      </c>
      <c r="W19" s="184" t="str">
        <f>IFERROR(IF(VLOOKUP(Tue_W1[[#This Row],[Employee Name]],'Base Schedules'!$A$160:$AW$203,22,FALSE)="","",VLOOKUP(Tue_W1[[#This Row],[Employee Name]],'Base Schedules'!$A$160:$AW$203,22,FALSE)),"")</f>
        <v>-</v>
      </c>
      <c r="X19" s="184" t="str">
        <f>IFERROR(IF(VLOOKUP(Tue_W1[[#This Row],[Employee Name]],'Base Schedules'!$A$160:$AW$203,23,FALSE)="","",VLOOKUP(Tue_W1[[#This Row],[Employee Name]],'Base Schedules'!$A$160:$AW$203,23,FALSE)),"")</f>
        <v>Coaching</v>
      </c>
      <c r="Y19" s="184" t="str">
        <f>IFERROR(IF(VLOOKUP(Tue_W1[[#This Row],[Employee Name]],'Base Schedules'!$A$160:$AW$203,24,FALSE)="","",VLOOKUP(Tue_W1[[#This Row],[Employee Name]],'Base Schedules'!$A$160:$AW$203,24,FALSE)),"")</f>
        <v>Coaching</v>
      </c>
      <c r="Z19" s="184" t="str">
        <f>IFERROR(IF(VLOOKUP(Tue_W1[[#This Row],[Employee Name]],'Base Schedules'!$A$160:$AW$203,25,FALSE)="","",VLOOKUP(Tue_W1[[#This Row],[Employee Name]],'Base Schedules'!$A$160:$AW$203,25,FALSE)),"")</f>
        <v>Team ZAH TM</v>
      </c>
      <c r="AA19" s="184" t="str">
        <f>IFERROR(IF(VLOOKUP(Tue_W1[[#This Row],[Employee Name]],'Base Schedules'!$A$160:$AW$203,26,FALSE)="","",VLOOKUP(Tue_W1[[#This Row],[Employee Name]],'Base Schedules'!$A$160:$AW$203,26,FALSE)),"")</f>
        <v>Team ZAH TM</v>
      </c>
      <c r="AB19" s="184" t="str">
        <f>IFERROR(IF(VLOOKUP(Tue_W1[[#This Row],[Employee Name]],'Base Schedules'!$A$160:$AW$203,27,FALSE)="","",VLOOKUP(Tue_W1[[#This Row],[Employee Name]],'Base Schedules'!$A$160:$AW$203,27,FALSE)),"")</f>
        <v>Coaching</v>
      </c>
      <c r="AC19" s="184" t="str">
        <f>IFERROR(IF(VLOOKUP(Tue_W1[[#This Row],[Employee Name]],'Base Schedules'!$A$160:$AW$203,28,FALSE)="","",VLOOKUP(Tue_W1[[#This Row],[Employee Name]],'Base Schedules'!$A$160:$AW$203,28,FALSE)),"")</f>
        <v>Coaching</v>
      </c>
      <c r="AD19" s="184" t="str">
        <f>IFERROR(IF(VLOOKUP(Tue_W1[[#This Row],[Employee Name]],'Base Schedules'!$A$160:$AW$203,29,FALSE)="","",VLOOKUP(Tue_W1[[#This Row],[Employee Name]],'Base Schedules'!$A$160:$AW$203,29,FALSE)),"")</f>
        <v>-</v>
      </c>
      <c r="AE19" s="184" t="str">
        <f>IFERROR(IF(VLOOKUP(Tue_W1[[#This Row],[Employee Name]],'Base Schedules'!$A$160:$AW$203,30,FALSE)="","",VLOOKUP(Tue_W1[[#This Row],[Employee Name]],'Base Schedules'!$A$160:$AW$203,30,FALSE)),"")</f>
        <v>-</v>
      </c>
      <c r="AF19" s="184" t="str">
        <f>IFERROR(IF(VLOOKUP(Tue_W1[[#This Row],[Employee Name]],'Base Schedules'!$A$160:$AW$203,31,FALSE)="","",VLOOKUP(Tue_W1[[#This Row],[Employee Name]],'Base Schedules'!$A$160:$AW$203,31,FALSE)),"")</f>
        <v/>
      </c>
      <c r="AG19" s="184" t="str">
        <f>IFERROR(IF(VLOOKUP(Tue_W1[[#This Row],[Employee Name]],'Base Schedules'!$A$160:$AW$203,32,FALSE)="","",VLOOKUP(Tue_W1[[#This Row],[Employee Name]],'Base Schedules'!$A$160:$AW$203,32,FALSE)),"")</f>
        <v/>
      </c>
      <c r="AH19" s="184" t="str">
        <f>IFERROR(IF(VLOOKUP(Tue_W1[[#This Row],[Employee Name]],'Base Schedules'!$A$160:$AW$203,33,FALSE)="","",VLOOKUP(Tue_W1[[#This Row],[Employee Name]],'Base Schedules'!$A$160:$AW$203,33,FALSE)),"")</f>
        <v/>
      </c>
      <c r="AI19" s="184" t="str">
        <f>IFERROR(IF(VLOOKUP(Tue_W1[[#This Row],[Employee Name]],'Base Schedules'!$A$160:$AW$203,34,FALSE)="","",VLOOKUP(Tue_W1[[#This Row],[Employee Name]],'Base Schedules'!$A$160:$AW$203,34,FALSE)),"")</f>
        <v/>
      </c>
      <c r="AJ19" s="184" t="str">
        <f>IFERROR(IF(VLOOKUP(Tue_W1[[#This Row],[Employee Name]],'Base Schedules'!$A$160:$AW$203,35,FALSE)="","",VLOOKUP(Tue_W1[[#This Row],[Employee Name]],'Base Schedules'!$A$160:$AW$203,35,FALSE)),"")</f>
        <v/>
      </c>
      <c r="AK19" s="184" t="str">
        <f>IFERROR(IF(VLOOKUP(Tue_W1[[#This Row],[Employee Name]],'Base Schedules'!$A$160:$AW$203,36,FALSE)="","",VLOOKUP(Tue_W1[[#This Row],[Employee Name]],'Base Schedules'!$A$160:$AW$203,36,FALSE)),"")</f>
        <v/>
      </c>
      <c r="AL19" s="184" t="str">
        <f>IFERROR(IF(VLOOKUP(Tue_W1[[#This Row],[Employee Name]],'Base Schedules'!$A$160:$AW$203,37,FALSE)="","",VLOOKUP(Tue_W1[[#This Row],[Employee Name]],'Base Schedules'!$A$160:$AW$203,37,FALSE)),"")</f>
        <v/>
      </c>
      <c r="AM19" s="184" t="str">
        <f>IFERROR(IF(VLOOKUP(Tue_W1[[#This Row],[Employee Name]],'Base Schedules'!$A$160:$AW$203,38,FALSE)="","",VLOOKUP(Tue_W1[[#This Row],[Employee Name]],'Base Schedules'!$A$160:$AW$203,38,FALSE)),"")</f>
        <v/>
      </c>
      <c r="AN19" s="184" t="str">
        <f>IFERROR(IF(VLOOKUP(Tue_W1[[#This Row],[Employee Name]],'Base Schedules'!$A$160:$AW$203,39,FALSE)="","",VLOOKUP(Tue_W1[[#This Row],[Employee Name]],'Base Schedules'!$A$160:$AW$203,39,FALSE)),"")</f>
        <v/>
      </c>
      <c r="AO19" s="184" t="str">
        <f>IFERROR(IF(VLOOKUP(Tue_W1[[#This Row],[Employee Name]],'Base Schedules'!$A$160:$AW$203,40,FALSE)="","",VLOOKUP(Tue_W1[[#This Row],[Employee Name]],'Base Schedules'!$A$160:$AW$203,40,FALSE)),"")</f>
        <v/>
      </c>
      <c r="AP19" s="184" t="str">
        <f>IFERROR(IF(VLOOKUP(Tue_W1[[#This Row],[Employee Name]],'Base Schedules'!$A$160:$AW$203,41,FALSE)="","",VLOOKUP(Tue_W1[[#This Row],[Employee Name]],'Base Schedules'!$A$160:$AW$203,41,FALSE)),"")</f>
        <v/>
      </c>
      <c r="AQ19" s="184" t="str">
        <f>IFERROR(IF(VLOOKUP(Tue_W1[[#This Row],[Employee Name]],'Base Schedules'!$A$160:$AW$203,42,FALSE)="","",VLOOKUP(Tue_W1[[#This Row],[Employee Name]],'Base Schedules'!$A$160:$AW$203,42,FALSE)),"")</f>
        <v/>
      </c>
      <c r="AR19" s="184" t="str">
        <f>IFERROR(IF(VLOOKUP(Tue_W1[[#This Row],[Employee Name]],'Base Schedules'!$A$160:$AW$203,43,FALSE)="","",VLOOKUP(Tue_W1[[#This Row],[Employee Name]],'Base Schedules'!$A$160:$AW$203,43,FALSE)),"")</f>
        <v/>
      </c>
      <c r="AS19" s="184" t="str">
        <f>IFERROR(IF(VLOOKUP(Tue_W1[[#This Row],[Employee Name]],'Base Schedules'!$A$160:$AW$203,44,FALSE)="","",VLOOKUP(Tue_W1[[#This Row],[Employee Name]],'Base Schedules'!$A$160:$AW$203,44,FALSE)),"")</f>
        <v/>
      </c>
      <c r="AT19" s="184" t="str">
        <f>IFERROR(IF(VLOOKUP(Tue_W1[[#This Row],[Employee Name]],'Base Schedules'!$A$160:$AW$203,45,FALSE)="","",VLOOKUP(Tue_W1[[#This Row],[Employee Name]],'Base Schedules'!$A$160:$AW$203,45,FALSE)),"")</f>
        <v/>
      </c>
      <c r="AU19" s="184" t="str">
        <f>IFERROR(IF(VLOOKUP(Tue_W1[[#This Row],[Employee Name]],'Base Schedules'!$A$160:$AW$203,46,FALSE)="","",VLOOKUP(Tue_W1[[#This Row],[Employee Name]],'Base Schedules'!$A$160:$AW$203,46,FALSE)),"")</f>
        <v/>
      </c>
      <c r="AV19" s="184" t="str">
        <f>IFERROR(IF(VLOOKUP(Tue_W1[[#This Row],[Employee Name]],'Base Schedules'!$A$160:$AW$203,47,FALSE)="","",VLOOKUP(Tue_W1[[#This Row],[Employee Name]],'Base Schedules'!$A$160:$AW$203,47,FALSE)),"")</f>
        <v/>
      </c>
      <c r="AW19" s="184" t="str">
        <f>IFERROR(IF(VLOOKUP(Tue_W1[[#This Row],[Employee Name]],'Base Schedules'!$A$160:$AW$203,48,FALSE)="","",VLOOKUP(Tue_W1[[#This Row],[Employee Name]],'Base Schedules'!$A$160:$AW$203,48,FALSE)),"")</f>
        <v/>
      </c>
      <c r="AX19" s="184" t="str">
        <f>IFERROR(IF(VLOOKUP(Tue_W1[[#This Row],[Employee Name]],'Base Schedules'!$A$160:$AW$203,49,FALSE)="","",VLOOKUP(Tue_W1[[#This Row],[Employee Name]],'Base Schedules'!$A$160:$AW$203,49,FALSE)),"")</f>
        <v/>
      </c>
      <c r="AY19" s="164" t="str">
        <f t="shared" si="2"/>
        <v>Martin, Gary</v>
      </c>
    </row>
    <row r="20" spans="1:51" s="44" customFormat="1" ht="12" x14ac:dyDescent="0.2">
      <c r="A20" s="39" t="str">
        <f>IF(B20="","",INDEX(TeamList[],MATCH($B20,TeamList[[Employee Name]:[Employee Name]],0),MATCH("Manager",TeamList[#Headers],0)))</f>
        <v>Olson, Katherine</v>
      </c>
      <c r="B20" s="201" t="s">
        <v>237</v>
      </c>
      <c r="C20" s="257" t="str">
        <f>_xlfn.IFNA(VLOOKUP(Tue_W1[[#This Row],[Employee Name]],'Base Schedules'!A:B,2,FALSE),"")</f>
        <v>Lead</v>
      </c>
      <c r="D20" s="274">
        <f>_xlfn.IFNA(VLOOKUP(Tue_W1[[#This Row],[Employee Name]],'Base Schedules'!A:C,3,FALSE),"")</f>
        <v>730</v>
      </c>
      <c r="E20" s="274">
        <f>_xlfn.IFNA(VLOOKUP(Tue_W1[[#This Row],[Employee Name]],'Base Schedules'!A:D,4,FALSE),"")</f>
        <v>1600</v>
      </c>
      <c r="F20" s="142">
        <f>IF(Tue_W1[[#This Row],[Employee Name]]="","",IF(Tue_W1[[#This Row],[Dept]]="Supervisor",COUNTIFS($J20:$AX20,"*HL*",$J20:$AX20,"&lt;&gt;"&amp;"pHL"),COUNTIFS($J20:$AX20,"*HL*",$J20:$AX20,"&lt;&gt;"&amp;"*pHL*",$J20:$AX20,"&lt;&gt;"&amp;"pB1 HL",$J20:$AX20,"&lt;&gt;"&amp;"pB2 HL")-SUM(COUNTIFS($J20:$AX20,"*HL B1*",$J20:$AX20,"&lt;&gt;"&amp;"pHL B1")*0.5,COUNTIFS($J20:$AX20,"*HL B2*",$J20:$AX20,"&lt;&gt;"&amp;"pHL B2")*0.5,COUNTIFS($J20:$AX20,"*B1 HL*",$J20:$AX20,"&lt;&gt;"&amp;"pB1 HL")*0.5,COUNTIFS($J20:$AX20,"*B2 HL*",$J20:$AX20,"&lt;&gt;"&amp;"pB2 HL")*0.5)))</f>
        <v>6</v>
      </c>
      <c r="G20" s="142">
        <f t="shared" si="0"/>
        <v>0</v>
      </c>
      <c r="H20" s="142">
        <f t="shared" si="1"/>
        <v>8</v>
      </c>
      <c r="I20" s="142">
        <f>IF(Tue_W1[[#This Row],[Employee Name]]="","",IF(Tue_W1[[#This Row],[Dept]]="Supervisor",SUM(COUNTIFS($J20:$AX20,"RTA*",$J20:$AX20,"&lt;&gt;"&amp;"pRTA"),COUNTIFS($J20:$AX20,"*CRTA*",$J20:$AX20,"&lt;&gt;"&amp;"pCRTA")),COUNTIFS($J20:$AX20,"*RNNR*",$J20:$AX20,"&lt;&gt;"&amp;"*pRNNR*",$J20:$AX20,"&lt;&gt;"&amp;"pB1 RNNR",$J20:$AX20,"&lt;&gt;"&amp;"pB2 RNNR")-SUM(COUNTIFS($J20:$AX20,"*RNNR B1*",$J20:$AX20,"&lt;&gt;"&amp;"pRNNR B1")*0.5,COUNTIFS($J20:$AX20,"*RNNR B2*",$J20:$AX20,"&lt;&gt;"&amp;"pRNNR B2")*0.5,COUNTIFS($J20:$AX20,"*B1 RNNR*",$J20:$AX20,"&lt;&gt;"&amp;"pB1 RNNR")*0.5,COUNTIFS($J20:$AX20,"*B2 RNNR*",$J20:$AX20,"&lt;&gt;"&amp;"pB2 RNNR")*0.5)))</f>
        <v>2</v>
      </c>
      <c r="J20" s="184" t="str">
        <f>IFERROR(IF(VLOOKUP(Tue_W1[[#This Row],[Employee Name]],'Base Schedules'!$A$160:$AW$203,9,FALSE)="","",VLOOKUP(Tue_W1[[#This Row],[Employee Name]],'Base Schedules'!$A$160:$AW$203,9,FALSE)),"")</f>
        <v/>
      </c>
      <c r="K20" s="184" t="str">
        <f>IFERROR(IF(VLOOKUP(Tue_W1[[#This Row],[Employee Name]],'Base Schedules'!$A$160:$AW$203,10,FALSE)="","",VLOOKUP(Tue_W1[[#This Row],[Employee Name]],'Base Schedules'!$A$160:$AW$203,10,FALSE)),"")</f>
        <v/>
      </c>
      <c r="L20" s="184" t="str">
        <f>IFERROR(IF(VLOOKUP(Tue_W1[[#This Row],[Employee Name]],'Base Schedules'!$A$160:$AW$203,11,FALSE)="","",VLOOKUP(Tue_W1[[#This Row],[Employee Name]],'Base Schedules'!$A$160:$AW$203,11,FALSE)),"")</f>
        <v/>
      </c>
      <c r="M20" s="184" t="str">
        <f>IFERROR(IF(VLOOKUP(Tue_W1[[#This Row],[Employee Name]],'Base Schedules'!$A$160:$AW$203,12,FALSE)="","",VLOOKUP(Tue_W1[[#This Row],[Employee Name]],'Base Schedules'!$A$160:$AW$203,12,FALSE)),"")</f>
        <v/>
      </c>
      <c r="N20" s="184" t="str">
        <f>IFERROR(IF(VLOOKUP(Tue_W1[[#This Row],[Employee Name]],'Base Schedules'!$A$160:$AW$203,13,FALSE)="","",VLOOKUP(Tue_W1[[#This Row],[Employee Name]],'Base Schedules'!$A$160:$AW$203,13,FALSE)),"")</f>
        <v/>
      </c>
      <c r="O20" s="184" t="str">
        <f>IFERROR(IF(VLOOKUP(Tue_W1[[#This Row],[Employee Name]],'Base Schedules'!$A$160:$AW$203,14,FALSE)="","",VLOOKUP(Tue_W1[[#This Row],[Employee Name]],'Base Schedules'!$A$160:$AW$203,14,FALSE)),"")</f>
        <v>HL</v>
      </c>
      <c r="P20" s="184" t="str">
        <f>IFERROR(IF(VLOOKUP(Tue_W1[[#This Row],[Employee Name]],'Base Schedules'!$A$160:$AW$203,15,FALSE)="","",VLOOKUP(Tue_W1[[#This Row],[Employee Name]],'Base Schedules'!$A$160:$AW$203,15,FALSE)),"")</f>
        <v>HL</v>
      </c>
      <c r="Q20" s="184" t="str">
        <f>IFERROR(IF(VLOOKUP(Tue_W1[[#This Row],[Employee Name]],'Base Schedules'!$A$160:$AW$203,16,FALSE)="","",VLOOKUP(Tue_W1[[#This Row],[Employee Name]],'Base Schedules'!$A$160:$AW$203,16,FALSE)),"")</f>
        <v>HL</v>
      </c>
      <c r="R20" s="184" t="str">
        <f>IFERROR(IF(VLOOKUP(Tue_W1[[#This Row],[Employee Name]],'Base Schedules'!$A$160:$AW$203,17,FALSE)="","",VLOOKUP(Tue_W1[[#This Row],[Employee Name]],'Base Schedules'!$A$160:$AW$203,17,FALSE)),"")</f>
        <v>ADM</v>
      </c>
      <c r="S20" s="184" t="str">
        <f>IFERROR(IF(VLOOKUP(Tue_W1[[#This Row],[Employee Name]],'Base Schedules'!$A$160:$AW$203,18,FALSE)="","",VLOOKUP(Tue_W1[[#This Row],[Employee Name]],'Base Schedules'!$A$160:$AW$203,18,FALSE)),"")</f>
        <v>B1 ADM</v>
      </c>
      <c r="T20" s="184" t="str">
        <f>IFERROR(IF(VLOOKUP(Tue_W1[[#This Row],[Employee Name]],'Base Schedules'!$A$160:$AW$203,19,FALSE)="","",VLOOKUP(Tue_W1[[#This Row],[Employee Name]],'Base Schedules'!$A$160:$AW$203,19,FALSE)),"")</f>
        <v>ADM</v>
      </c>
      <c r="U20" s="184" t="str">
        <f>IFERROR(IF(VLOOKUP(Tue_W1[[#This Row],[Employee Name]],'Base Schedules'!$A$160:$AW$203,20,FALSE)="","",VLOOKUP(Tue_W1[[#This Row],[Employee Name]],'Base Schedules'!$A$160:$AW$203,20,FALSE)),"")</f>
        <v>ADM</v>
      </c>
      <c r="V20" s="184" t="str">
        <f>IFERROR(IF(VLOOKUP(Tue_W1[[#This Row],[Employee Name]],'Base Schedules'!$A$160:$AW$203,21,FALSE)="","",VLOOKUP(Tue_W1[[#This Row],[Employee Name]],'Base Schedules'!$A$160:$AW$203,21,FALSE)),"")</f>
        <v>ADM</v>
      </c>
      <c r="W20" s="184" t="str">
        <f>IFERROR(IF(VLOOKUP(Tue_W1[[#This Row],[Employee Name]],'Base Schedules'!$A$160:$AW$203,22,FALSE)="","",VLOOKUP(Tue_W1[[#This Row],[Employee Name]],'Base Schedules'!$A$160:$AW$203,22,FALSE)),"")</f>
        <v>HL</v>
      </c>
      <c r="X20" s="184" t="str">
        <f>IFERROR(IF(VLOOKUP(Tue_W1[[#This Row],[Employee Name]],'Base Schedules'!$A$160:$AW$203,23,FALSE)="","",VLOOKUP(Tue_W1[[#This Row],[Employee Name]],'Base Schedules'!$A$160:$AW$203,23,FALSE)),"")</f>
        <v>LUNCH</v>
      </c>
      <c r="Y20" s="184" t="str">
        <f>IFERROR(IF(VLOOKUP(Tue_W1[[#This Row],[Employee Name]],'Base Schedules'!$A$160:$AW$203,24,FALSE)="","",VLOOKUP(Tue_W1[[#This Row],[Employee Name]],'Base Schedules'!$A$160:$AW$203,24,FALSE)),"")</f>
        <v>HL</v>
      </c>
      <c r="Z20" s="184" t="str">
        <f>IFERROR(IF(VLOOKUP(Tue_W1[[#This Row],[Employee Name]],'Base Schedules'!$A$160:$AW$203,25,FALSE)="","",VLOOKUP(Tue_W1[[#This Row],[Employee Name]],'Base Schedules'!$A$160:$AW$203,25,FALSE)),"")</f>
        <v>RNNR</v>
      </c>
      <c r="AA20" s="184" t="str">
        <f>IFERROR(IF(VLOOKUP(Tue_W1[[#This Row],[Employee Name]],'Base Schedules'!$A$160:$AW$203,26,FALSE)="","",VLOOKUP(Tue_W1[[#This Row],[Employee Name]],'Base Schedules'!$A$160:$AW$203,26,FALSE)),"")</f>
        <v>RNNR</v>
      </c>
      <c r="AB20" s="184" t="str">
        <f>IFERROR(IF(VLOOKUP(Tue_W1[[#This Row],[Employee Name]],'Base Schedules'!$A$160:$AW$203,27,FALSE)="","",VLOOKUP(Tue_W1[[#This Row],[Employee Name]],'Base Schedules'!$A$160:$AW$203,27,FALSE)),"")</f>
        <v>ADM B2</v>
      </c>
      <c r="AC20" s="184" t="str">
        <f>IFERROR(IF(VLOOKUP(Tue_W1[[#This Row],[Employee Name]],'Base Schedules'!$A$160:$AW$203,28,FALSE)="","",VLOOKUP(Tue_W1[[#This Row],[Employee Name]],'Base Schedules'!$A$160:$AW$203,28,FALSE)),"")</f>
        <v>ADM</v>
      </c>
      <c r="AD20" s="184" t="str">
        <f>IFERROR(IF(VLOOKUP(Tue_W1[[#This Row],[Employee Name]],'Base Schedules'!$A$160:$AW$203,29,FALSE)="","",VLOOKUP(Tue_W1[[#This Row],[Employee Name]],'Base Schedules'!$A$160:$AW$203,29,FALSE)),"")</f>
        <v>ADM</v>
      </c>
      <c r="AE20" s="184" t="str">
        <f>IFERROR(IF(VLOOKUP(Tue_W1[[#This Row],[Employee Name]],'Base Schedules'!$A$160:$AW$203,30,FALSE)="","",VLOOKUP(Tue_W1[[#This Row],[Employee Name]],'Base Schedules'!$A$160:$AW$203,30,FALSE)),"")</f>
        <v>HL</v>
      </c>
      <c r="AF20" s="184" t="str">
        <f>IFERROR(IF(VLOOKUP(Tue_W1[[#This Row],[Employee Name]],'Base Schedules'!$A$160:$AW$203,31,FALSE)="","",VLOOKUP(Tue_W1[[#This Row],[Employee Name]],'Base Schedules'!$A$160:$AW$203,31,FALSE)),"")</f>
        <v/>
      </c>
      <c r="AG20" s="184" t="str">
        <f>IFERROR(IF(VLOOKUP(Tue_W1[[#This Row],[Employee Name]],'Base Schedules'!$A$160:$AW$203,32,FALSE)="","",VLOOKUP(Tue_W1[[#This Row],[Employee Name]],'Base Schedules'!$A$160:$AW$203,32,FALSE)),"")</f>
        <v/>
      </c>
      <c r="AH20" s="184" t="str">
        <f>IFERROR(IF(VLOOKUP(Tue_W1[[#This Row],[Employee Name]],'Base Schedules'!$A$160:$AW$203,33,FALSE)="","",VLOOKUP(Tue_W1[[#This Row],[Employee Name]],'Base Schedules'!$A$160:$AW$203,33,FALSE)),"")</f>
        <v/>
      </c>
      <c r="AI20" s="184" t="str">
        <f>IFERROR(IF(VLOOKUP(Tue_W1[[#This Row],[Employee Name]],'Base Schedules'!$A$160:$AW$203,34,FALSE)="","",VLOOKUP(Tue_W1[[#This Row],[Employee Name]],'Base Schedules'!$A$160:$AW$203,34,FALSE)),"")</f>
        <v/>
      </c>
      <c r="AJ20" s="184" t="str">
        <f>IFERROR(IF(VLOOKUP(Tue_W1[[#This Row],[Employee Name]],'Base Schedules'!$A$160:$AW$203,35,FALSE)="","",VLOOKUP(Tue_W1[[#This Row],[Employee Name]],'Base Schedules'!$A$160:$AW$203,35,FALSE)),"")</f>
        <v/>
      </c>
      <c r="AK20" s="184" t="str">
        <f>IFERROR(IF(VLOOKUP(Tue_W1[[#This Row],[Employee Name]],'Base Schedules'!$A$160:$AW$203,36,FALSE)="","",VLOOKUP(Tue_W1[[#This Row],[Employee Name]],'Base Schedules'!$A$160:$AW$203,36,FALSE)),"")</f>
        <v/>
      </c>
      <c r="AL20" s="184" t="str">
        <f>IFERROR(IF(VLOOKUP(Tue_W1[[#This Row],[Employee Name]],'Base Schedules'!$A$160:$AW$203,37,FALSE)="","",VLOOKUP(Tue_W1[[#This Row],[Employee Name]],'Base Schedules'!$A$160:$AW$203,37,FALSE)),"")</f>
        <v/>
      </c>
      <c r="AM20" s="184" t="str">
        <f>IFERROR(IF(VLOOKUP(Tue_W1[[#This Row],[Employee Name]],'Base Schedules'!$A$160:$AW$203,38,FALSE)="","",VLOOKUP(Tue_W1[[#This Row],[Employee Name]],'Base Schedules'!$A$160:$AW$203,38,FALSE)),"")</f>
        <v/>
      </c>
      <c r="AN20" s="184" t="str">
        <f>IFERROR(IF(VLOOKUP(Tue_W1[[#This Row],[Employee Name]],'Base Schedules'!$A$160:$AW$203,39,FALSE)="","",VLOOKUP(Tue_W1[[#This Row],[Employee Name]],'Base Schedules'!$A$160:$AW$203,39,FALSE)),"")</f>
        <v/>
      </c>
      <c r="AO20" s="184" t="str">
        <f>IFERROR(IF(VLOOKUP(Tue_W1[[#This Row],[Employee Name]],'Base Schedules'!$A$160:$AW$203,40,FALSE)="","",VLOOKUP(Tue_W1[[#This Row],[Employee Name]],'Base Schedules'!$A$160:$AW$203,40,FALSE)),"")</f>
        <v/>
      </c>
      <c r="AP20" s="184" t="str">
        <f>IFERROR(IF(VLOOKUP(Tue_W1[[#This Row],[Employee Name]],'Base Schedules'!$A$160:$AW$203,41,FALSE)="","",VLOOKUP(Tue_W1[[#This Row],[Employee Name]],'Base Schedules'!$A$160:$AW$203,41,FALSE)),"")</f>
        <v/>
      </c>
      <c r="AQ20" s="184" t="str">
        <f>IFERROR(IF(VLOOKUP(Tue_W1[[#This Row],[Employee Name]],'Base Schedules'!$A$160:$AW$203,42,FALSE)="","",VLOOKUP(Tue_W1[[#This Row],[Employee Name]],'Base Schedules'!$A$160:$AW$203,42,FALSE)),"")</f>
        <v/>
      </c>
      <c r="AR20" s="184" t="str">
        <f>IFERROR(IF(VLOOKUP(Tue_W1[[#This Row],[Employee Name]],'Base Schedules'!$A$160:$AW$203,43,FALSE)="","",VLOOKUP(Tue_W1[[#This Row],[Employee Name]],'Base Schedules'!$A$160:$AW$203,43,FALSE)),"")</f>
        <v/>
      </c>
      <c r="AS20" s="184" t="str">
        <f>IFERROR(IF(VLOOKUP(Tue_W1[[#This Row],[Employee Name]],'Base Schedules'!$A$160:$AW$203,44,FALSE)="","",VLOOKUP(Tue_W1[[#This Row],[Employee Name]],'Base Schedules'!$A$160:$AW$203,44,FALSE)),"")</f>
        <v/>
      </c>
      <c r="AT20" s="184" t="str">
        <f>IFERROR(IF(VLOOKUP(Tue_W1[[#This Row],[Employee Name]],'Base Schedules'!$A$160:$AW$203,45,FALSE)="","",VLOOKUP(Tue_W1[[#This Row],[Employee Name]],'Base Schedules'!$A$160:$AW$203,45,FALSE)),"")</f>
        <v/>
      </c>
      <c r="AU20" s="184" t="str">
        <f>IFERROR(IF(VLOOKUP(Tue_W1[[#This Row],[Employee Name]],'Base Schedules'!$A$160:$AW$203,46,FALSE)="","",VLOOKUP(Tue_W1[[#This Row],[Employee Name]],'Base Schedules'!$A$160:$AW$203,46,FALSE)),"")</f>
        <v/>
      </c>
      <c r="AV20" s="184" t="str">
        <f>IFERROR(IF(VLOOKUP(Tue_W1[[#This Row],[Employee Name]],'Base Schedules'!$A$160:$AW$203,47,FALSE)="","",VLOOKUP(Tue_W1[[#This Row],[Employee Name]],'Base Schedules'!$A$160:$AW$203,47,FALSE)),"")</f>
        <v/>
      </c>
      <c r="AW20" s="184" t="str">
        <f>IFERROR(IF(VLOOKUP(Tue_W1[[#This Row],[Employee Name]],'Base Schedules'!$A$160:$AW$203,48,FALSE)="","",VLOOKUP(Tue_W1[[#This Row],[Employee Name]],'Base Schedules'!$A$160:$AW$203,48,FALSE)),"")</f>
        <v/>
      </c>
      <c r="AX20" s="184" t="str">
        <f>IFERROR(IF(VLOOKUP(Tue_W1[[#This Row],[Employee Name]],'Base Schedules'!$A$160:$AW$203,49,FALSE)="","",VLOOKUP(Tue_W1[[#This Row],[Employee Name]],'Base Schedules'!$A$160:$AW$203,49,FALSE)),"")</f>
        <v/>
      </c>
      <c r="AY20" s="164" t="str">
        <f t="shared" si="2"/>
        <v>Fine, Melissa</v>
      </c>
    </row>
    <row r="21" spans="1:51" s="44" customFormat="1" ht="12" x14ac:dyDescent="0.2">
      <c r="A21" s="39" t="str">
        <f>IF(B21="","",INDEX(TeamList[],MATCH($B21,TeamList[[Employee Name]:[Employee Name]],0),MATCH("Manager",TeamList[#Headers],0)))</f>
        <v>Paulson, Matthew</v>
      </c>
      <c r="B21" s="201" t="s">
        <v>31</v>
      </c>
      <c r="C21" s="257" t="str">
        <f>_xlfn.IFNA(VLOOKUP(Tue_W1[[#This Row],[Employee Name]],'Base Schedules'!A:B,2,FALSE),"")</f>
        <v>Supervisor</v>
      </c>
      <c r="D21" s="274">
        <f>_xlfn.IFNA(VLOOKUP(Tue_W1[[#This Row],[Employee Name]],'Base Schedules'!A:C,3,FALSE),"")</f>
        <v>730</v>
      </c>
      <c r="E21" s="274">
        <f>_xlfn.IFNA(VLOOKUP(Tue_W1[[#This Row],[Employee Name]],'Base Schedules'!A:D,4,FALSE),"")</f>
        <v>1630</v>
      </c>
      <c r="F21" s="142">
        <f>IF(Tue_W1[[#This Row],[Employee Name]]="","",IF(Tue_W1[[#This Row],[Dept]]="Supervisor",COUNTIFS($J21:$AX21,"*HL*",$J21:$AX21,"&lt;&gt;"&amp;"pHL"),COUNTIFS($J21:$AX21,"*HL*",$J21:$AX21,"&lt;&gt;"&amp;"*pHL*",$J21:$AX21,"&lt;&gt;"&amp;"pB1 HL",$J21:$AX21,"&lt;&gt;"&amp;"pB2 HL")-SUM(COUNTIFS($J21:$AX21,"*HL B1*",$J21:$AX21,"&lt;&gt;"&amp;"pHL B1")*0.5,COUNTIFS($J21:$AX21,"*HL B2*",$J21:$AX21,"&lt;&gt;"&amp;"pHL B2")*0.5,COUNTIFS($J21:$AX21,"*B1 HL*",$J21:$AX21,"&lt;&gt;"&amp;"pB1 HL")*0.5,COUNTIFS($J21:$AX21,"*B2 HL*",$J21:$AX21,"&lt;&gt;"&amp;"pB2 HL")*0.5)))</f>
        <v>0</v>
      </c>
      <c r="G21" s="142">
        <f t="shared" si="0"/>
        <v>5</v>
      </c>
      <c r="H21" s="142">
        <f t="shared" si="1"/>
        <v>0</v>
      </c>
      <c r="I21" s="142">
        <f>IF(Tue_W1[[#This Row],[Employee Name]]="","",IF(Tue_W1[[#This Row],[Dept]]="Supervisor",SUM(COUNTIFS($J21:$AX21,"RTA*",$J21:$AX21,"&lt;&gt;"&amp;"pRTA"),COUNTIFS($J21:$AX21,"*CRTA*",$J21:$AX21,"&lt;&gt;"&amp;"pCRTA")),COUNTIFS($J21:$AX21,"*RNNR*",$J21:$AX21,"&lt;&gt;"&amp;"*pRNNR*",$J21:$AX21,"&lt;&gt;"&amp;"pB1 RNNR",$J21:$AX21,"&lt;&gt;"&amp;"pB2 RNNR")-SUM(COUNTIFS($J21:$AX21,"*RNNR B1*",$J21:$AX21,"&lt;&gt;"&amp;"pRNNR B1")*0.5,COUNTIFS($J21:$AX21,"*RNNR B2*",$J21:$AX21,"&lt;&gt;"&amp;"pRNNR B2")*0.5,COUNTIFS($J21:$AX21,"*B1 RNNR*",$J21:$AX21,"&lt;&gt;"&amp;"pB1 RNNR")*0.5,COUNTIFS($J21:$AX21,"*B2 RNNR*",$J21:$AX21,"&lt;&gt;"&amp;"pB2 RNNR")*0.5)))</f>
        <v>0</v>
      </c>
      <c r="J21" s="184" t="str">
        <f>IFERROR(IF(VLOOKUP(Tue_W1[[#This Row],[Employee Name]],'Base Schedules'!$A$160:$AW$203,9,FALSE)="","",VLOOKUP(Tue_W1[[#This Row],[Employee Name]],'Base Schedules'!$A$160:$AW$203,9,FALSE)),"")</f>
        <v/>
      </c>
      <c r="K21" s="184" t="str">
        <f>IFERROR(IF(VLOOKUP(Tue_W1[[#This Row],[Employee Name]],'Base Schedules'!$A$160:$AW$203,10,FALSE)="","",VLOOKUP(Tue_W1[[#This Row],[Employee Name]],'Base Schedules'!$A$160:$AW$203,10,FALSE)),"")</f>
        <v/>
      </c>
      <c r="L21" s="184" t="str">
        <f>IFERROR(IF(VLOOKUP(Tue_W1[[#This Row],[Employee Name]],'Base Schedules'!$A$160:$AW$203,11,FALSE)="","",VLOOKUP(Tue_W1[[#This Row],[Employee Name]],'Base Schedules'!$A$160:$AW$203,11,FALSE)),"")</f>
        <v/>
      </c>
      <c r="M21" s="184" t="str">
        <f>IFERROR(IF(VLOOKUP(Tue_W1[[#This Row],[Employee Name]],'Base Schedules'!$A$160:$AW$203,12,FALSE)="","",VLOOKUP(Tue_W1[[#This Row],[Employee Name]],'Base Schedules'!$A$160:$AW$203,12,FALSE)),"")</f>
        <v/>
      </c>
      <c r="N21" s="184" t="str">
        <f>IFERROR(IF(VLOOKUP(Tue_W1[[#This Row],[Employee Name]],'Base Schedules'!$A$160:$AW$203,13,FALSE)="","",VLOOKUP(Tue_W1[[#This Row],[Employee Name]],'Base Schedules'!$A$160:$AW$203,13,FALSE)),"")</f>
        <v/>
      </c>
      <c r="O21" s="184" t="str">
        <f>IFERROR(IF(VLOOKUP(Tue_W1[[#This Row],[Employee Name]],'Base Schedules'!$A$160:$AW$203,14,FALSE)="","",VLOOKUP(Tue_W1[[#This Row],[Employee Name]],'Base Schedules'!$A$160:$AW$203,14,FALSE)),"")</f>
        <v>-</v>
      </c>
      <c r="P21" s="184" t="str">
        <f>IFERROR(IF(VLOOKUP(Tue_W1[[#This Row],[Employee Name]],'Base Schedules'!$A$160:$AW$203,15,FALSE)="","",VLOOKUP(Tue_W1[[#This Row],[Employee Name]],'Base Schedules'!$A$160:$AW$203,15,FALSE)),"")</f>
        <v>Coaching</v>
      </c>
      <c r="Q21" s="184" t="str">
        <f>IFERROR(IF(VLOOKUP(Tue_W1[[#This Row],[Employee Name]],'Base Schedules'!$A$160:$AW$203,16,FALSE)="","",VLOOKUP(Tue_W1[[#This Row],[Employee Name]],'Base Schedules'!$A$160:$AW$203,16,FALSE)),"")</f>
        <v>Coaching</v>
      </c>
      <c r="R21" s="184" t="str">
        <f>IFERROR(IF(VLOOKUP(Tue_W1[[#This Row],[Employee Name]],'Base Schedules'!$A$160:$AW$203,17,FALSE)="","",VLOOKUP(Tue_W1[[#This Row],[Employee Name]],'Base Schedules'!$A$160:$AW$203,17,FALSE)),"")</f>
        <v>-</v>
      </c>
      <c r="S21" s="184" t="str">
        <f>IFERROR(IF(VLOOKUP(Tue_W1[[#This Row],[Employee Name]],'Base Schedules'!$A$160:$AW$203,18,FALSE)="","",VLOOKUP(Tue_W1[[#This Row],[Employee Name]],'Base Schedules'!$A$160:$AW$203,18,FALSE)),"")</f>
        <v>-</v>
      </c>
      <c r="T21" s="184" t="str">
        <f>IFERROR(IF(VLOOKUP(Tue_W1[[#This Row],[Employee Name]],'Base Schedules'!$A$160:$AW$203,19,FALSE)="","",VLOOKUP(Tue_W1[[#This Row],[Employee Name]],'Base Schedules'!$A$160:$AW$203,19,FALSE)),"")</f>
        <v>-</v>
      </c>
      <c r="U21" s="184" t="str">
        <f>IFERROR(IF(VLOOKUP(Tue_W1[[#This Row],[Employee Name]],'Base Schedules'!$A$160:$AW$203,20,FALSE)="","",VLOOKUP(Tue_W1[[#This Row],[Employee Name]],'Base Schedules'!$A$160:$AW$203,20,FALSE)),"")</f>
        <v>TM PREP</v>
      </c>
      <c r="V21" s="184" t="str">
        <f>IFERROR(IF(VLOOKUP(Tue_W1[[#This Row],[Employee Name]],'Base Schedules'!$A$160:$AW$203,21,FALSE)="","",VLOOKUP(Tue_W1[[#This Row],[Employee Name]],'Base Schedules'!$A$160:$AW$203,21,FALSE)),"")</f>
        <v>GARCIA TM</v>
      </c>
      <c r="W21" s="184" t="str">
        <f>IFERROR(IF(VLOOKUP(Tue_W1[[#This Row],[Employee Name]],'Base Schedules'!$A$160:$AW$203,22,FALSE)="","",VLOOKUP(Tue_W1[[#This Row],[Employee Name]],'Base Schedules'!$A$160:$AW$203,22,FALSE)),"")</f>
        <v>GARCIA TM</v>
      </c>
      <c r="X21" s="184" t="str">
        <f>IFERROR(IF(VLOOKUP(Tue_W1[[#This Row],[Employee Name]],'Base Schedules'!$A$160:$AW$203,23,FALSE)="","",VLOOKUP(Tue_W1[[#This Row],[Employee Name]],'Base Schedules'!$A$160:$AW$203,23,FALSE)),"")</f>
        <v>-</v>
      </c>
      <c r="Y21" s="184" t="str">
        <f>IFERROR(IF(VLOOKUP(Tue_W1[[#This Row],[Employee Name]],'Base Schedules'!$A$160:$AW$203,24,FALSE)="","",VLOOKUP(Tue_W1[[#This Row],[Employee Name]],'Base Schedules'!$A$160:$AW$203,24,FALSE)),"")</f>
        <v>-</v>
      </c>
      <c r="Z21" s="184" t="str">
        <f>IFERROR(IF(VLOOKUP(Tue_W1[[#This Row],[Employee Name]],'Base Schedules'!$A$160:$AW$203,25,FALSE)="","",VLOOKUP(Tue_W1[[#This Row],[Employee Name]],'Base Schedules'!$A$160:$AW$203,25,FALSE)),"")</f>
        <v>-</v>
      </c>
      <c r="AA21" s="184" t="str">
        <f>IFERROR(IF(VLOOKUP(Tue_W1[[#This Row],[Employee Name]],'Base Schedules'!$A$160:$AW$203,26,FALSE)="","",VLOOKUP(Tue_W1[[#This Row],[Employee Name]],'Base Schedules'!$A$160:$AW$203,26,FALSE)),"")</f>
        <v>-</v>
      </c>
      <c r="AB21" s="184" t="str">
        <f>IFERROR(IF(VLOOKUP(Tue_W1[[#This Row],[Employee Name]],'Base Schedules'!$A$160:$AW$203,27,FALSE)="","",VLOOKUP(Tue_W1[[#This Row],[Employee Name]],'Base Schedules'!$A$160:$AW$203,27,FALSE)),"")</f>
        <v>-</v>
      </c>
      <c r="AC21" s="184" t="str">
        <f>IFERROR(IF(VLOOKUP(Tue_W1[[#This Row],[Employee Name]],'Base Schedules'!$A$160:$AW$203,28,FALSE)="","",VLOOKUP(Tue_W1[[#This Row],[Employee Name]],'Base Schedules'!$A$160:$AW$203,28,FALSE)),"")</f>
        <v>Coaching</v>
      </c>
      <c r="AD21" s="184" t="str">
        <f>IFERROR(IF(VLOOKUP(Tue_W1[[#This Row],[Employee Name]],'Base Schedules'!$A$160:$AW$203,29,FALSE)="","",VLOOKUP(Tue_W1[[#This Row],[Employee Name]],'Base Schedules'!$A$160:$AW$203,29,FALSE)),"")</f>
        <v>Coaching</v>
      </c>
      <c r="AE21" s="184" t="str">
        <f>IFERROR(IF(VLOOKUP(Tue_W1[[#This Row],[Employee Name]],'Base Schedules'!$A$160:$AW$203,30,FALSE)="","",VLOOKUP(Tue_W1[[#This Row],[Employee Name]],'Base Schedules'!$A$160:$AW$203,30,FALSE)),"")</f>
        <v>Coaching</v>
      </c>
      <c r="AF21" s="184" t="str">
        <f>IFERROR(IF(VLOOKUP(Tue_W1[[#This Row],[Employee Name]],'Base Schedules'!$A$160:$AW$203,31,FALSE)="","",VLOOKUP(Tue_W1[[#This Row],[Employee Name]],'Base Schedules'!$A$160:$AW$203,31,FALSE)),"")</f>
        <v>-</v>
      </c>
      <c r="AG21" s="184" t="str">
        <f>IFERROR(IF(VLOOKUP(Tue_W1[[#This Row],[Employee Name]],'Base Schedules'!$A$160:$AW$203,32,FALSE)="","",VLOOKUP(Tue_W1[[#This Row],[Employee Name]],'Base Schedules'!$A$160:$AW$203,32,FALSE)),"")</f>
        <v/>
      </c>
      <c r="AH21" s="184" t="str">
        <f>IFERROR(IF(VLOOKUP(Tue_W1[[#This Row],[Employee Name]],'Base Schedules'!$A$160:$AW$203,33,FALSE)="","",VLOOKUP(Tue_W1[[#This Row],[Employee Name]],'Base Schedules'!$A$160:$AW$203,33,FALSE)),"")</f>
        <v/>
      </c>
      <c r="AI21" s="184" t="str">
        <f>IFERROR(IF(VLOOKUP(Tue_W1[[#This Row],[Employee Name]],'Base Schedules'!$A$160:$AW$203,34,FALSE)="","",VLOOKUP(Tue_W1[[#This Row],[Employee Name]],'Base Schedules'!$A$160:$AW$203,34,FALSE)),"")</f>
        <v/>
      </c>
      <c r="AJ21" s="184" t="str">
        <f>IFERROR(IF(VLOOKUP(Tue_W1[[#This Row],[Employee Name]],'Base Schedules'!$A$160:$AW$203,35,FALSE)="","",VLOOKUP(Tue_W1[[#This Row],[Employee Name]],'Base Schedules'!$A$160:$AW$203,35,FALSE)),"")</f>
        <v/>
      </c>
      <c r="AK21" s="184" t="str">
        <f>IFERROR(IF(VLOOKUP(Tue_W1[[#This Row],[Employee Name]],'Base Schedules'!$A$160:$AW$203,36,FALSE)="","",VLOOKUP(Tue_W1[[#This Row],[Employee Name]],'Base Schedules'!$A$160:$AW$203,36,FALSE)),"")</f>
        <v/>
      </c>
      <c r="AL21" s="184" t="str">
        <f>IFERROR(IF(VLOOKUP(Tue_W1[[#This Row],[Employee Name]],'Base Schedules'!$A$160:$AW$203,37,FALSE)="","",VLOOKUP(Tue_W1[[#This Row],[Employee Name]],'Base Schedules'!$A$160:$AW$203,37,FALSE)),"")</f>
        <v/>
      </c>
      <c r="AM21" s="184" t="str">
        <f>IFERROR(IF(VLOOKUP(Tue_W1[[#This Row],[Employee Name]],'Base Schedules'!$A$160:$AW$203,38,FALSE)="","",VLOOKUP(Tue_W1[[#This Row],[Employee Name]],'Base Schedules'!$A$160:$AW$203,38,FALSE)),"")</f>
        <v/>
      </c>
      <c r="AN21" s="184" t="str">
        <f>IFERROR(IF(VLOOKUP(Tue_W1[[#This Row],[Employee Name]],'Base Schedules'!$A$160:$AW$203,39,FALSE)="","",VLOOKUP(Tue_W1[[#This Row],[Employee Name]],'Base Schedules'!$A$160:$AW$203,39,FALSE)),"")</f>
        <v/>
      </c>
      <c r="AO21" s="184" t="str">
        <f>IFERROR(IF(VLOOKUP(Tue_W1[[#This Row],[Employee Name]],'Base Schedules'!$A$160:$AW$203,40,FALSE)="","",VLOOKUP(Tue_W1[[#This Row],[Employee Name]],'Base Schedules'!$A$160:$AW$203,40,FALSE)),"")</f>
        <v/>
      </c>
      <c r="AP21" s="184" t="str">
        <f>IFERROR(IF(VLOOKUP(Tue_W1[[#This Row],[Employee Name]],'Base Schedules'!$A$160:$AW$203,41,FALSE)="","",VLOOKUP(Tue_W1[[#This Row],[Employee Name]],'Base Schedules'!$A$160:$AW$203,41,FALSE)),"")</f>
        <v/>
      </c>
      <c r="AQ21" s="184" t="str">
        <f>IFERROR(IF(VLOOKUP(Tue_W1[[#This Row],[Employee Name]],'Base Schedules'!$A$160:$AW$203,42,FALSE)="","",VLOOKUP(Tue_W1[[#This Row],[Employee Name]],'Base Schedules'!$A$160:$AW$203,42,FALSE)),"")</f>
        <v/>
      </c>
      <c r="AR21" s="184" t="str">
        <f>IFERROR(IF(VLOOKUP(Tue_W1[[#This Row],[Employee Name]],'Base Schedules'!$A$160:$AW$203,43,FALSE)="","",VLOOKUP(Tue_W1[[#This Row],[Employee Name]],'Base Schedules'!$A$160:$AW$203,43,FALSE)),"")</f>
        <v/>
      </c>
      <c r="AS21" s="184" t="str">
        <f>IFERROR(IF(VLOOKUP(Tue_W1[[#This Row],[Employee Name]],'Base Schedules'!$A$160:$AW$203,44,FALSE)="","",VLOOKUP(Tue_W1[[#This Row],[Employee Name]],'Base Schedules'!$A$160:$AW$203,44,FALSE)),"")</f>
        <v/>
      </c>
      <c r="AT21" s="184" t="str">
        <f>IFERROR(IF(VLOOKUP(Tue_W1[[#This Row],[Employee Name]],'Base Schedules'!$A$160:$AW$203,45,FALSE)="","",VLOOKUP(Tue_W1[[#This Row],[Employee Name]],'Base Schedules'!$A$160:$AW$203,45,FALSE)),"")</f>
        <v/>
      </c>
      <c r="AU21" s="184" t="str">
        <f>IFERROR(IF(VLOOKUP(Tue_W1[[#This Row],[Employee Name]],'Base Schedules'!$A$160:$AW$203,46,FALSE)="","",VLOOKUP(Tue_W1[[#This Row],[Employee Name]],'Base Schedules'!$A$160:$AW$203,46,FALSE)),"")</f>
        <v/>
      </c>
      <c r="AV21" s="184" t="str">
        <f>IFERROR(IF(VLOOKUP(Tue_W1[[#This Row],[Employee Name]],'Base Schedules'!$A$160:$AW$203,47,FALSE)="","",VLOOKUP(Tue_W1[[#This Row],[Employee Name]],'Base Schedules'!$A$160:$AW$203,47,FALSE)),"")</f>
        <v/>
      </c>
      <c r="AW21" s="184" t="str">
        <f>IFERROR(IF(VLOOKUP(Tue_W1[[#This Row],[Employee Name]],'Base Schedules'!$A$160:$AW$203,48,FALSE)="","",VLOOKUP(Tue_W1[[#This Row],[Employee Name]],'Base Schedules'!$A$160:$AW$203,48,FALSE)),"")</f>
        <v/>
      </c>
      <c r="AX21" s="184" t="str">
        <f>IFERROR(IF(VLOOKUP(Tue_W1[[#This Row],[Employee Name]],'Base Schedules'!$A$160:$AW$203,49,FALSE)="","",VLOOKUP(Tue_W1[[#This Row],[Employee Name]],'Base Schedules'!$A$160:$AW$203,49,FALSE)),"")</f>
        <v/>
      </c>
      <c r="AY21" s="164" t="str">
        <f t="shared" si="2"/>
        <v>Garcia, Valentin</v>
      </c>
    </row>
    <row r="22" spans="1:51" s="44" customFormat="1" ht="11.25" customHeight="1" x14ac:dyDescent="0.2">
      <c r="A22" s="39" t="str">
        <f>IF(B22="","",INDEX(TeamList[],MATCH($B22,TeamList[[Employee Name]:[Employee Name]],0),MATCH("Manager",TeamList[#Headers],0)))</f>
        <v>Paulson, Matthew</v>
      </c>
      <c r="B22" s="201" t="s">
        <v>33</v>
      </c>
      <c r="C22" s="257" t="str">
        <f>_xlfn.IFNA(VLOOKUP(Tue_W1[[#This Row],[Employee Name]],'Base Schedules'!A:B,2,FALSE),"")</f>
        <v>Supervisor</v>
      </c>
      <c r="D22" s="274">
        <f>_xlfn.IFNA(VLOOKUP(Tue_W1[[#This Row],[Employee Name]],'Base Schedules'!A:C,3,FALSE),"")</f>
        <v>730</v>
      </c>
      <c r="E22" s="274">
        <f>_xlfn.IFNA(VLOOKUP(Tue_W1[[#This Row],[Employee Name]],'Base Schedules'!A:D,4,FALSE),"")</f>
        <v>1630</v>
      </c>
      <c r="F22" s="142">
        <f>IF(Tue_W1[[#This Row],[Employee Name]]="","",IF(Tue_W1[[#This Row],[Dept]]="Supervisor",COUNTIFS($J22:$AX22,"*HL*",$J22:$AX22,"&lt;&gt;"&amp;"pHL"),COUNTIFS($J22:$AX22,"*HL*",$J22:$AX22,"&lt;&gt;"&amp;"*pHL*",$J22:$AX22,"&lt;&gt;"&amp;"pB1 HL",$J22:$AX22,"&lt;&gt;"&amp;"pB2 HL")-SUM(COUNTIFS($J22:$AX22,"*HL B1*",$J22:$AX22,"&lt;&gt;"&amp;"pHL B1")*0.5,COUNTIFS($J22:$AX22,"*HL B2*",$J22:$AX22,"&lt;&gt;"&amp;"pHL B2")*0.5,COUNTIFS($J22:$AX22,"*B1 HL*",$J22:$AX22,"&lt;&gt;"&amp;"pB1 HL")*0.5,COUNTIFS($J22:$AX22,"*B2 HL*",$J22:$AX22,"&lt;&gt;"&amp;"pB2 HL")*0.5)))</f>
        <v>0</v>
      </c>
      <c r="G22" s="142">
        <f t="shared" si="0"/>
        <v>5</v>
      </c>
      <c r="H22" s="142">
        <f t="shared" si="1"/>
        <v>0</v>
      </c>
      <c r="I22" s="142">
        <f>IF(Tue_W1[[#This Row],[Employee Name]]="","",IF(Tue_W1[[#This Row],[Dept]]="Supervisor",SUM(COUNTIFS($J22:$AX22,"RTA*",$J22:$AX22,"&lt;&gt;"&amp;"pRTA"),COUNTIFS($J22:$AX22,"*CRTA*",$J22:$AX22,"&lt;&gt;"&amp;"pCRTA")),COUNTIFS($J22:$AX22,"*RNNR*",$J22:$AX22,"&lt;&gt;"&amp;"*pRNNR*",$J22:$AX22,"&lt;&gt;"&amp;"pB1 RNNR",$J22:$AX22,"&lt;&gt;"&amp;"pB2 RNNR")-SUM(COUNTIFS($J22:$AX22,"*RNNR B1*",$J22:$AX22,"&lt;&gt;"&amp;"pRNNR B1")*0.5,COUNTIFS($J22:$AX22,"*RNNR B2*",$J22:$AX22,"&lt;&gt;"&amp;"pRNNR B2")*0.5,COUNTIFS($J22:$AX22,"*B1 RNNR*",$J22:$AX22,"&lt;&gt;"&amp;"pB1 RNNR")*0.5,COUNTIFS($J22:$AX22,"*B2 RNNR*",$J22:$AX22,"&lt;&gt;"&amp;"pB2 RNNR")*0.5)))</f>
        <v>0</v>
      </c>
      <c r="J22" s="184" t="str">
        <f>IFERROR(IF(VLOOKUP(Tue_W1[[#This Row],[Employee Name]],'Base Schedules'!$A$160:$AW$203,9,FALSE)="","",VLOOKUP(Tue_W1[[#This Row],[Employee Name]],'Base Schedules'!$A$160:$AW$203,9,FALSE)),"")</f>
        <v/>
      </c>
      <c r="K22" s="184" t="str">
        <f>IFERROR(IF(VLOOKUP(Tue_W1[[#This Row],[Employee Name]],'Base Schedules'!$A$160:$AW$203,10,FALSE)="","",VLOOKUP(Tue_W1[[#This Row],[Employee Name]],'Base Schedules'!$A$160:$AW$203,10,FALSE)),"")</f>
        <v/>
      </c>
      <c r="L22" s="184" t="str">
        <f>IFERROR(IF(VLOOKUP(Tue_W1[[#This Row],[Employee Name]],'Base Schedules'!$A$160:$AW$203,11,FALSE)="","",VLOOKUP(Tue_W1[[#This Row],[Employee Name]],'Base Schedules'!$A$160:$AW$203,11,FALSE)),"")</f>
        <v/>
      </c>
      <c r="M22" s="184" t="str">
        <f>IFERROR(IF(VLOOKUP(Tue_W1[[#This Row],[Employee Name]],'Base Schedules'!$A$160:$AW$203,12,FALSE)="","",VLOOKUP(Tue_W1[[#This Row],[Employee Name]],'Base Schedules'!$A$160:$AW$203,12,FALSE)),"")</f>
        <v/>
      </c>
      <c r="N22" s="184" t="str">
        <f>IFERROR(IF(VLOOKUP(Tue_W1[[#This Row],[Employee Name]],'Base Schedules'!$A$160:$AW$203,13,FALSE)="","",VLOOKUP(Tue_W1[[#This Row],[Employee Name]],'Base Schedules'!$A$160:$AW$203,13,FALSE)),"")</f>
        <v/>
      </c>
      <c r="O22" s="184" t="str">
        <f>IFERROR(IF(VLOOKUP(Tue_W1[[#This Row],[Employee Name]],'Base Schedules'!$A$160:$AW$203,14,FALSE)="","",VLOOKUP(Tue_W1[[#This Row],[Employee Name]],'Base Schedules'!$A$160:$AW$203,14,FALSE)),"")</f>
        <v>-</v>
      </c>
      <c r="P22" s="184" t="str">
        <f>IFERROR(IF(VLOOKUP(Tue_W1[[#This Row],[Employee Name]],'Base Schedules'!$A$160:$AW$203,15,FALSE)="","",VLOOKUP(Tue_W1[[#This Row],[Employee Name]],'Base Schedules'!$A$160:$AW$203,15,FALSE)),"")</f>
        <v>Interview</v>
      </c>
      <c r="Q22" s="184" t="str">
        <f>IFERROR(IF(VLOOKUP(Tue_W1[[#This Row],[Employee Name]],'Base Schedules'!$A$160:$AW$203,16,FALSE)="","",VLOOKUP(Tue_W1[[#This Row],[Employee Name]],'Base Schedules'!$A$160:$AW$203,16,FALSE)),"")</f>
        <v>Interview</v>
      </c>
      <c r="R22" s="184" t="str">
        <f>IFERROR(IF(VLOOKUP(Tue_W1[[#This Row],[Employee Name]],'Base Schedules'!$A$160:$AW$203,17,FALSE)="","",VLOOKUP(Tue_W1[[#This Row],[Employee Name]],'Base Schedules'!$A$160:$AW$203,17,FALSE)),"")</f>
        <v>-</v>
      </c>
      <c r="S22" s="184" t="str">
        <f>IFERROR(IF(VLOOKUP(Tue_W1[[#This Row],[Employee Name]],'Base Schedules'!$A$160:$AW$203,18,FALSE)="","",VLOOKUP(Tue_W1[[#This Row],[Employee Name]],'Base Schedules'!$A$160:$AW$203,18,FALSE)),"")</f>
        <v>-</v>
      </c>
      <c r="T22" s="184" t="str">
        <f>IFERROR(IF(VLOOKUP(Tue_W1[[#This Row],[Employee Name]],'Base Schedules'!$A$160:$AW$203,19,FALSE)="","",VLOOKUP(Tue_W1[[#This Row],[Employee Name]],'Base Schedules'!$A$160:$AW$203,19,FALSE)),"")</f>
        <v>-</v>
      </c>
      <c r="U22" s="184" t="str">
        <f>IFERROR(IF(VLOOKUP(Tue_W1[[#This Row],[Employee Name]],'Base Schedules'!$A$160:$AW$203,20,FALSE)="","",VLOOKUP(Tue_W1[[#This Row],[Employee Name]],'Base Schedules'!$A$160:$AW$203,20,FALSE)),"")</f>
        <v>-</v>
      </c>
      <c r="V22" s="184" t="str">
        <f>IFERROR(IF(VLOOKUP(Tue_W1[[#This Row],[Employee Name]],'Base Schedules'!$A$160:$AW$203,21,FALSE)="","",VLOOKUP(Tue_W1[[#This Row],[Employee Name]],'Base Schedules'!$A$160:$AW$203,21,FALSE)),"")</f>
        <v>Coaching</v>
      </c>
      <c r="W22" s="184" t="str">
        <f>IFERROR(IF(VLOOKUP(Tue_W1[[#This Row],[Employee Name]],'Base Schedules'!$A$160:$AW$203,22,FALSE)="","",VLOOKUP(Tue_W1[[#This Row],[Employee Name]],'Base Schedules'!$A$160:$AW$203,22,FALSE)),"")</f>
        <v>Coaching</v>
      </c>
      <c r="X22" s="184" t="str">
        <f>IFERROR(IF(VLOOKUP(Tue_W1[[#This Row],[Employee Name]],'Base Schedules'!$A$160:$AW$203,23,FALSE)="","",VLOOKUP(Tue_W1[[#This Row],[Employee Name]],'Base Schedules'!$A$160:$AW$203,23,FALSE)),"")</f>
        <v>-</v>
      </c>
      <c r="Y22" s="184" t="str">
        <f>IFERROR(IF(VLOOKUP(Tue_W1[[#This Row],[Employee Name]],'Base Schedules'!$A$160:$AW$203,24,FALSE)="","",VLOOKUP(Tue_W1[[#This Row],[Employee Name]],'Base Schedules'!$A$160:$AW$203,24,FALSE)),"")</f>
        <v>-</v>
      </c>
      <c r="Z22" s="184" t="str">
        <f>IFERROR(IF(VLOOKUP(Tue_W1[[#This Row],[Employee Name]],'Base Schedules'!$A$160:$AW$203,25,FALSE)="","",VLOOKUP(Tue_W1[[#This Row],[Employee Name]],'Base Schedules'!$A$160:$AW$203,25,FALSE)),"")</f>
        <v>-</v>
      </c>
      <c r="AA22" s="184" t="str">
        <f>IFERROR(IF(VLOOKUP(Tue_W1[[#This Row],[Employee Name]],'Base Schedules'!$A$160:$AW$203,26,FALSE)="","",VLOOKUP(Tue_W1[[#This Row],[Employee Name]],'Base Schedules'!$A$160:$AW$203,26,FALSE)),"")</f>
        <v>-</v>
      </c>
      <c r="AB22" s="184" t="str">
        <f>IFERROR(IF(VLOOKUP(Tue_W1[[#This Row],[Employee Name]],'Base Schedules'!$A$160:$AW$203,27,FALSE)="","",VLOOKUP(Tue_W1[[#This Row],[Employee Name]],'Base Schedules'!$A$160:$AW$203,27,FALSE)),"")</f>
        <v>Coaching</v>
      </c>
      <c r="AC22" s="184" t="str">
        <f>IFERROR(IF(VLOOKUP(Tue_W1[[#This Row],[Employee Name]],'Base Schedules'!$A$160:$AW$203,28,FALSE)="","",VLOOKUP(Tue_W1[[#This Row],[Employee Name]],'Base Schedules'!$A$160:$AW$203,28,FALSE)),"")</f>
        <v>Coaching</v>
      </c>
      <c r="AD22" s="184" t="str">
        <f>IFERROR(IF(VLOOKUP(Tue_W1[[#This Row],[Employee Name]],'Base Schedules'!$A$160:$AW$203,29,FALSE)="","",VLOOKUP(Tue_W1[[#This Row],[Employee Name]],'Base Schedules'!$A$160:$AW$203,29,FALSE)),"")</f>
        <v>Coaching</v>
      </c>
      <c r="AE22" s="184" t="str">
        <f>IFERROR(IF(VLOOKUP(Tue_W1[[#This Row],[Employee Name]],'Base Schedules'!$A$160:$AW$203,30,FALSE)="","",VLOOKUP(Tue_W1[[#This Row],[Employee Name]],'Base Schedules'!$A$160:$AW$203,30,FALSE)),"")</f>
        <v>-</v>
      </c>
      <c r="AF22" s="184" t="str">
        <f>IFERROR(IF(VLOOKUP(Tue_W1[[#This Row],[Employee Name]],'Base Schedules'!$A$160:$AW$203,31,FALSE)="","",VLOOKUP(Tue_W1[[#This Row],[Employee Name]],'Base Schedules'!$A$160:$AW$203,31,FALSE)),"")</f>
        <v>-</v>
      </c>
      <c r="AG22" s="184" t="str">
        <f>IFERROR(IF(VLOOKUP(Tue_W1[[#This Row],[Employee Name]],'Base Schedules'!$A$160:$AW$203,32,FALSE)="","",VLOOKUP(Tue_W1[[#This Row],[Employee Name]],'Base Schedules'!$A$160:$AW$203,32,FALSE)),"")</f>
        <v/>
      </c>
      <c r="AH22" s="184" t="str">
        <f>IFERROR(IF(VLOOKUP(Tue_W1[[#This Row],[Employee Name]],'Base Schedules'!$A$160:$AW$203,33,FALSE)="","",VLOOKUP(Tue_W1[[#This Row],[Employee Name]],'Base Schedules'!$A$160:$AW$203,33,FALSE)),"")</f>
        <v/>
      </c>
      <c r="AI22" s="184" t="str">
        <f>IFERROR(IF(VLOOKUP(Tue_W1[[#This Row],[Employee Name]],'Base Schedules'!$A$160:$AW$203,34,FALSE)="","",VLOOKUP(Tue_W1[[#This Row],[Employee Name]],'Base Schedules'!$A$160:$AW$203,34,FALSE)),"")</f>
        <v/>
      </c>
      <c r="AJ22" s="184" t="str">
        <f>IFERROR(IF(VLOOKUP(Tue_W1[[#This Row],[Employee Name]],'Base Schedules'!$A$160:$AW$203,35,FALSE)="","",VLOOKUP(Tue_W1[[#This Row],[Employee Name]],'Base Schedules'!$A$160:$AW$203,35,FALSE)),"")</f>
        <v/>
      </c>
      <c r="AK22" s="184" t="str">
        <f>IFERROR(IF(VLOOKUP(Tue_W1[[#This Row],[Employee Name]],'Base Schedules'!$A$160:$AW$203,36,FALSE)="","",VLOOKUP(Tue_W1[[#This Row],[Employee Name]],'Base Schedules'!$A$160:$AW$203,36,FALSE)),"")</f>
        <v/>
      </c>
      <c r="AL22" s="184" t="str">
        <f>IFERROR(IF(VLOOKUP(Tue_W1[[#This Row],[Employee Name]],'Base Schedules'!$A$160:$AW$203,37,FALSE)="","",VLOOKUP(Tue_W1[[#This Row],[Employee Name]],'Base Schedules'!$A$160:$AW$203,37,FALSE)),"")</f>
        <v/>
      </c>
      <c r="AM22" s="184" t="str">
        <f>IFERROR(IF(VLOOKUP(Tue_W1[[#This Row],[Employee Name]],'Base Schedules'!$A$160:$AW$203,38,FALSE)="","",VLOOKUP(Tue_W1[[#This Row],[Employee Name]],'Base Schedules'!$A$160:$AW$203,38,FALSE)),"")</f>
        <v/>
      </c>
      <c r="AN22" s="184" t="str">
        <f>IFERROR(IF(VLOOKUP(Tue_W1[[#This Row],[Employee Name]],'Base Schedules'!$A$160:$AW$203,39,FALSE)="","",VLOOKUP(Tue_W1[[#This Row],[Employee Name]],'Base Schedules'!$A$160:$AW$203,39,FALSE)),"")</f>
        <v/>
      </c>
      <c r="AO22" s="184" t="str">
        <f>IFERROR(IF(VLOOKUP(Tue_W1[[#This Row],[Employee Name]],'Base Schedules'!$A$160:$AW$203,40,FALSE)="","",VLOOKUP(Tue_W1[[#This Row],[Employee Name]],'Base Schedules'!$A$160:$AW$203,40,FALSE)),"")</f>
        <v/>
      </c>
      <c r="AP22" s="184" t="str">
        <f>IFERROR(IF(VLOOKUP(Tue_W1[[#This Row],[Employee Name]],'Base Schedules'!$A$160:$AW$203,41,FALSE)="","",VLOOKUP(Tue_W1[[#This Row],[Employee Name]],'Base Schedules'!$A$160:$AW$203,41,FALSE)),"")</f>
        <v/>
      </c>
      <c r="AQ22" s="184" t="str">
        <f>IFERROR(IF(VLOOKUP(Tue_W1[[#This Row],[Employee Name]],'Base Schedules'!$A$160:$AW$203,42,FALSE)="","",VLOOKUP(Tue_W1[[#This Row],[Employee Name]],'Base Schedules'!$A$160:$AW$203,42,FALSE)),"")</f>
        <v/>
      </c>
      <c r="AR22" s="184" t="str">
        <f>IFERROR(IF(VLOOKUP(Tue_W1[[#This Row],[Employee Name]],'Base Schedules'!$A$160:$AW$203,43,FALSE)="","",VLOOKUP(Tue_W1[[#This Row],[Employee Name]],'Base Schedules'!$A$160:$AW$203,43,FALSE)),"")</f>
        <v/>
      </c>
      <c r="AS22" s="184" t="str">
        <f>IFERROR(IF(VLOOKUP(Tue_W1[[#This Row],[Employee Name]],'Base Schedules'!$A$160:$AW$203,44,FALSE)="","",VLOOKUP(Tue_W1[[#This Row],[Employee Name]],'Base Schedules'!$A$160:$AW$203,44,FALSE)),"")</f>
        <v/>
      </c>
      <c r="AT22" s="184" t="str">
        <f>IFERROR(IF(VLOOKUP(Tue_W1[[#This Row],[Employee Name]],'Base Schedules'!$A$160:$AW$203,45,FALSE)="","",VLOOKUP(Tue_W1[[#This Row],[Employee Name]],'Base Schedules'!$A$160:$AW$203,45,FALSE)),"")</f>
        <v/>
      </c>
      <c r="AU22" s="184" t="str">
        <f>IFERROR(IF(VLOOKUP(Tue_W1[[#This Row],[Employee Name]],'Base Schedules'!$A$160:$AW$203,46,FALSE)="","",VLOOKUP(Tue_W1[[#This Row],[Employee Name]],'Base Schedules'!$A$160:$AW$203,46,FALSE)),"")</f>
        <v/>
      </c>
      <c r="AV22" s="184" t="str">
        <f>IFERROR(IF(VLOOKUP(Tue_W1[[#This Row],[Employee Name]],'Base Schedules'!$A$160:$AW$203,47,FALSE)="","",VLOOKUP(Tue_W1[[#This Row],[Employee Name]],'Base Schedules'!$A$160:$AW$203,47,FALSE)),"")</f>
        <v/>
      </c>
      <c r="AW22" s="184" t="str">
        <f>IFERROR(IF(VLOOKUP(Tue_W1[[#This Row],[Employee Name]],'Base Schedules'!$A$160:$AW$203,48,FALSE)="","",VLOOKUP(Tue_W1[[#This Row],[Employee Name]],'Base Schedules'!$A$160:$AW$203,48,FALSE)),"")</f>
        <v/>
      </c>
      <c r="AX22" s="184" t="str">
        <f>IFERROR(IF(VLOOKUP(Tue_W1[[#This Row],[Employee Name]],'Base Schedules'!$A$160:$AW$203,49,FALSE)="","",VLOOKUP(Tue_W1[[#This Row],[Employee Name]],'Base Schedules'!$A$160:$AW$203,49,FALSE)),"")</f>
        <v/>
      </c>
      <c r="AY22" s="164" t="str">
        <f t="shared" si="2"/>
        <v>Parkin-Rego, Kimberlee</v>
      </c>
    </row>
    <row r="23" spans="1:51" s="44" customFormat="1" ht="12" x14ac:dyDescent="0.2">
      <c r="A23" s="39" t="str">
        <f>IF(B23="","",INDEX(TeamList[],MATCH($B23,TeamList[[Employee Name]:[Employee Name]],0),MATCH("Manager",TeamList[#Headers],0)))</f>
        <v>Olson, Katherine</v>
      </c>
      <c r="B23" s="201" t="s">
        <v>41</v>
      </c>
      <c r="C23" s="257" t="str">
        <f>_xlfn.IFNA(VLOOKUP(Tue_W1[[#This Row],[Employee Name]],'Base Schedules'!A:B,2,FALSE),"")</f>
        <v>Lead</v>
      </c>
      <c r="D23" s="274">
        <f>_xlfn.IFNA(VLOOKUP(Tue_W1[[#This Row],[Employee Name]],'Base Schedules'!A:C,3,FALSE),"")</f>
        <v>800</v>
      </c>
      <c r="E23" s="274">
        <f>_xlfn.IFNA(VLOOKUP(Tue_W1[[#This Row],[Employee Name]],'Base Schedules'!A:D,4,FALSE),"")</f>
        <v>1630</v>
      </c>
      <c r="F23" s="142">
        <f>IF(Tue_W1[[#This Row],[Employee Name]]="","",IF(Tue_W1[[#This Row],[Dept]]="Supervisor",COUNTIFS($J23:$AX23,"*HL*",$J23:$AX23,"&lt;&gt;"&amp;"pHL"),COUNTIFS($J23:$AX23,"*HL*",$J23:$AX23,"&lt;&gt;"&amp;"*pHL*",$J23:$AX23,"&lt;&gt;"&amp;"pB1 HL",$J23:$AX23,"&lt;&gt;"&amp;"pB2 HL")-SUM(COUNTIFS($J23:$AX23,"*HL B1*",$J23:$AX23,"&lt;&gt;"&amp;"pHL B1")*0.5,COUNTIFS($J23:$AX23,"*HL B2*",$J23:$AX23,"&lt;&gt;"&amp;"pHL B2")*0.5,COUNTIFS($J23:$AX23,"*B1 HL*",$J23:$AX23,"&lt;&gt;"&amp;"pB1 HL")*0.5,COUNTIFS($J23:$AX23,"*B2 HL*",$J23:$AX23,"&lt;&gt;"&amp;"pB2 HL")*0.5)))</f>
        <v>7.5</v>
      </c>
      <c r="G23" s="142">
        <f t="shared" si="0"/>
        <v>0</v>
      </c>
      <c r="H23" s="142">
        <f t="shared" si="1"/>
        <v>6</v>
      </c>
      <c r="I23" s="142">
        <f>IF(Tue_W1[[#This Row],[Employee Name]]="","",IF(Tue_W1[[#This Row],[Dept]]="Supervisor",SUM(COUNTIFS($J23:$AX23,"RTA*",$J23:$AX23,"&lt;&gt;"&amp;"pRTA"),COUNTIFS($J23:$AX23,"*CRTA*",$J23:$AX23,"&lt;&gt;"&amp;"pCRTA")),COUNTIFS($J23:$AX23,"*RNNR*",$J23:$AX23,"&lt;&gt;"&amp;"*pRNNR*",$J23:$AX23,"&lt;&gt;"&amp;"pB1 RNNR",$J23:$AX23,"&lt;&gt;"&amp;"pB2 RNNR")-SUM(COUNTIFS($J23:$AX23,"*RNNR B1*",$J23:$AX23,"&lt;&gt;"&amp;"pRNNR B1")*0.5,COUNTIFS($J23:$AX23,"*RNNR B2*",$J23:$AX23,"&lt;&gt;"&amp;"pRNNR B2")*0.5,COUNTIFS($J23:$AX23,"*B1 RNNR*",$J23:$AX23,"&lt;&gt;"&amp;"pB1 RNNR")*0.5,COUNTIFS($J23:$AX23,"*B2 RNNR*",$J23:$AX23,"&lt;&gt;"&amp;"pB2 RNNR")*0.5)))</f>
        <v>2</v>
      </c>
      <c r="J23" s="184" t="str">
        <f>IFERROR(IF(VLOOKUP(Tue_W1[[#This Row],[Employee Name]],'Base Schedules'!$A$160:$AW$203,9,FALSE)="","",VLOOKUP(Tue_W1[[#This Row],[Employee Name]],'Base Schedules'!$A$160:$AW$203,9,FALSE)),"")</f>
        <v/>
      </c>
      <c r="K23" s="184" t="str">
        <f>IFERROR(IF(VLOOKUP(Tue_W1[[#This Row],[Employee Name]],'Base Schedules'!$A$160:$AW$203,10,FALSE)="","",VLOOKUP(Tue_W1[[#This Row],[Employee Name]],'Base Schedules'!$A$160:$AW$203,10,FALSE)),"")</f>
        <v/>
      </c>
      <c r="L23" s="184" t="str">
        <f>IFERROR(IF(VLOOKUP(Tue_W1[[#This Row],[Employee Name]],'Base Schedules'!$A$160:$AW$203,11,FALSE)="","",VLOOKUP(Tue_W1[[#This Row],[Employee Name]],'Base Schedules'!$A$160:$AW$203,11,FALSE)),"")</f>
        <v/>
      </c>
      <c r="M23" s="184" t="str">
        <f>IFERROR(IF(VLOOKUP(Tue_W1[[#This Row],[Employee Name]],'Base Schedules'!$A$160:$AW$203,12,FALSE)="","",VLOOKUP(Tue_W1[[#This Row],[Employee Name]],'Base Schedules'!$A$160:$AW$203,12,FALSE)),"")</f>
        <v/>
      </c>
      <c r="N23" s="184" t="str">
        <f>IFERROR(IF(VLOOKUP(Tue_W1[[#This Row],[Employee Name]],'Base Schedules'!$A$160:$AW$203,13,FALSE)="","",VLOOKUP(Tue_W1[[#This Row],[Employee Name]],'Base Schedules'!$A$160:$AW$203,13,FALSE)),"")</f>
        <v/>
      </c>
      <c r="O23" s="184" t="str">
        <f>IFERROR(IF(VLOOKUP(Tue_W1[[#This Row],[Employee Name]],'Base Schedules'!$A$160:$AW$203,14,FALSE)="","",VLOOKUP(Tue_W1[[#This Row],[Employee Name]],'Base Schedules'!$A$160:$AW$203,14,FALSE)),"")</f>
        <v/>
      </c>
      <c r="P23" s="184" t="str">
        <f>IFERROR(IF(VLOOKUP(Tue_W1[[#This Row],[Employee Name]],'Base Schedules'!$A$160:$AW$203,15,FALSE)="","",VLOOKUP(Tue_W1[[#This Row],[Employee Name]],'Base Schedules'!$A$160:$AW$203,15,FALSE)),"")</f>
        <v>HL</v>
      </c>
      <c r="Q23" s="184" t="str">
        <f>IFERROR(IF(VLOOKUP(Tue_W1[[#This Row],[Employee Name]],'Base Schedules'!$A$160:$AW$203,16,FALSE)="","",VLOOKUP(Tue_W1[[#This Row],[Employee Name]],'Base Schedules'!$A$160:$AW$203,16,FALSE)),"")</f>
        <v>HL</v>
      </c>
      <c r="R23" s="184" t="str">
        <f>IFERROR(IF(VLOOKUP(Tue_W1[[#This Row],[Employee Name]],'Base Schedules'!$A$160:$AW$203,17,FALSE)="","",VLOOKUP(Tue_W1[[#This Row],[Employee Name]],'Base Schedules'!$A$160:$AW$203,17,FALSE)),"")</f>
        <v>ADM</v>
      </c>
      <c r="S23" s="184" t="str">
        <f>IFERROR(IF(VLOOKUP(Tue_W1[[#This Row],[Employee Name]],'Base Schedules'!$A$160:$AW$203,18,FALSE)="","",VLOOKUP(Tue_W1[[#This Row],[Employee Name]],'Base Schedules'!$A$160:$AW$203,18,FALSE)),"")</f>
        <v>ADM</v>
      </c>
      <c r="T23" s="184" t="str">
        <f>IFERROR(IF(VLOOKUP(Tue_W1[[#This Row],[Employee Name]],'Base Schedules'!$A$160:$AW$203,19,FALSE)="","",VLOOKUP(Tue_W1[[#This Row],[Employee Name]],'Base Schedules'!$A$160:$AW$203,19,FALSE)),"")</f>
        <v>B1 HL</v>
      </c>
      <c r="U23" s="184" t="str">
        <f>IFERROR(IF(VLOOKUP(Tue_W1[[#This Row],[Employee Name]],'Base Schedules'!$A$160:$AW$203,20,FALSE)="","",VLOOKUP(Tue_W1[[#This Row],[Employee Name]],'Base Schedules'!$A$160:$AW$203,20,FALSE)),"")</f>
        <v>HL</v>
      </c>
      <c r="V23" s="184" t="str">
        <f>IFERROR(IF(VLOOKUP(Tue_W1[[#This Row],[Employee Name]],'Base Schedules'!$A$160:$AW$203,21,FALSE)="","",VLOOKUP(Tue_W1[[#This Row],[Employee Name]],'Base Schedules'!$A$160:$AW$203,21,FALSE)),"")</f>
        <v>HL</v>
      </c>
      <c r="W23" s="184" t="str">
        <f>IFERROR(IF(VLOOKUP(Tue_W1[[#This Row],[Employee Name]],'Base Schedules'!$A$160:$AW$203,22,FALSE)="","",VLOOKUP(Tue_W1[[#This Row],[Employee Name]],'Base Schedules'!$A$160:$AW$203,22,FALSE)),"")</f>
        <v>HL</v>
      </c>
      <c r="X23" s="184" t="str">
        <f>IFERROR(IF(VLOOKUP(Tue_W1[[#This Row],[Employee Name]],'Base Schedules'!$A$160:$AW$203,23,FALSE)="","",VLOOKUP(Tue_W1[[#This Row],[Employee Name]],'Base Schedules'!$A$160:$AW$203,23,FALSE)),"")</f>
        <v>ADM</v>
      </c>
      <c r="Y23" s="184" t="str">
        <f>IFERROR(IF(VLOOKUP(Tue_W1[[#This Row],[Employee Name]],'Base Schedules'!$A$160:$AW$203,24,FALSE)="","",VLOOKUP(Tue_W1[[#This Row],[Employee Name]],'Base Schedules'!$A$160:$AW$203,24,FALSE)),"")</f>
        <v>LUNCH</v>
      </c>
      <c r="Z23" s="184" t="str">
        <f>IFERROR(IF(VLOOKUP(Tue_W1[[#This Row],[Employee Name]],'Base Schedules'!$A$160:$AW$203,25,FALSE)="","",VLOOKUP(Tue_W1[[#This Row],[Employee Name]],'Base Schedules'!$A$160:$AW$203,25,FALSE)),"")</f>
        <v>RNNR</v>
      </c>
      <c r="AA23" s="184" t="str">
        <f>IFERROR(IF(VLOOKUP(Tue_W1[[#This Row],[Employee Name]],'Base Schedules'!$A$160:$AW$203,26,FALSE)="","",VLOOKUP(Tue_W1[[#This Row],[Employee Name]],'Base Schedules'!$A$160:$AW$203,26,FALSE)),"")</f>
        <v>RNNR</v>
      </c>
      <c r="AB23" s="184" t="str">
        <f>IFERROR(IF(VLOOKUP(Tue_W1[[#This Row],[Employee Name]],'Base Schedules'!$A$160:$AW$203,27,FALSE)="","",VLOOKUP(Tue_W1[[#This Row],[Employee Name]],'Base Schedules'!$A$160:$AW$203,27,FALSE)),"")</f>
        <v>HL</v>
      </c>
      <c r="AC23" s="184" t="str">
        <f>IFERROR(IF(VLOOKUP(Tue_W1[[#This Row],[Employee Name]],'Base Schedules'!$A$160:$AW$203,28,FALSE)="","",VLOOKUP(Tue_W1[[#This Row],[Employee Name]],'Base Schedules'!$A$160:$AW$203,28,FALSE)),"")</f>
        <v>B2 ADM</v>
      </c>
      <c r="AD23" s="184" t="str">
        <f>IFERROR(IF(VLOOKUP(Tue_W1[[#This Row],[Employee Name]],'Base Schedules'!$A$160:$AW$203,29,FALSE)="","",VLOOKUP(Tue_W1[[#This Row],[Employee Name]],'Base Schedules'!$A$160:$AW$203,29,FALSE)),"")</f>
        <v>ADM</v>
      </c>
      <c r="AE23" s="184" t="str">
        <f>IFERROR(IF(VLOOKUP(Tue_W1[[#This Row],[Employee Name]],'Base Schedules'!$A$160:$AW$203,30,FALSE)="","",VLOOKUP(Tue_W1[[#This Row],[Employee Name]],'Base Schedules'!$A$160:$AW$203,30,FALSE)),"")</f>
        <v>ADM</v>
      </c>
      <c r="AF23" s="184" t="str">
        <f>IFERROR(IF(VLOOKUP(Tue_W1[[#This Row],[Employee Name]],'Base Schedules'!$A$160:$AW$203,31,FALSE)="","",VLOOKUP(Tue_W1[[#This Row],[Employee Name]],'Base Schedules'!$A$160:$AW$203,31,FALSE)),"")</f>
        <v>HL</v>
      </c>
      <c r="AG23" s="184" t="str">
        <f>IFERROR(IF(VLOOKUP(Tue_W1[[#This Row],[Employee Name]],'Base Schedules'!$A$160:$AW$203,32,FALSE)="","",VLOOKUP(Tue_W1[[#This Row],[Employee Name]],'Base Schedules'!$A$160:$AW$203,32,FALSE)),"")</f>
        <v/>
      </c>
      <c r="AH23" s="184" t="str">
        <f>IFERROR(IF(VLOOKUP(Tue_W1[[#This Row],[Employee Name]],'Base Schedules'!$A$160:$AW$203,33,FALSE)="","",VLOOKUP(Tue_W1[[#This Row],[Employee Name]],'Base Schedules'!$A$160:$AW$203,33,FALSE)),"")</f>
        <v/>
      </c>
      <c r="AI23" s="184" t="str">
        <f>IFERROR(IF(VLOOKUP(Tue_W1[[#This Row],[Employee Name]],'Base Schedules'!$A$160:$AW$203,34,FALSE)="","",VLOOKUP(Tue_W1[[#This Row],[Employee Name]],'Base Schedules'!$A$160:$AW$203,34,FALSE)),"")</f>
        <v/>
      </c>
      <c r="AJ23" s="184" t="str">
        <f>IFERROR(IF(VLOOKUP(Tue_W1[[#This Row],[Employee Name]],'Base Schedules'!$A$160:$AW$203,35,FALSE)="","",VLOOKUP(Tue_W1[[#This Row],[Employee Name]],'Base Schedules'!$A$160:$AW$203,35,FALSE)),"")</f>
        <v/>
      </c>
      <c r="AK23" s="184" t="str">
        <f>IFERROR(IF(VLOOKUP(Tue_W1[[#This Row],[Employee Name]],'Base Schedules'!$A$160:$AW$203,36,FALSE)="","",VLOOKUP(Tue_W1[[#This Row],[Employee Name]],'Base Schedules'!$A$160:$AW$203,36,FALSE)),"")</f>
        <v/>
      </c>
      <c r="AL23" s="184" t="str">
        <f>IFERROR(IF(VLOOKUP(Tue_W1[[#This Row],[Employee Name]],'Base Schedules'!$A$160:$AW$203,37,FALSE)="","",VLOOKUP(Tue_W1[[#This Row],[Employee Name]],'Base Schedules'!$A$160:$AW$203,37,FALSE)),"")</f>
        <v/>
      </c>
      <c r="AM23" s="184" t="str">
        <f>IFERROR(IF(VLOOKUP(Tue_W1[[#This Row],[Employee Name]],'Base Schedules'!$A$160:$AW$203,38,FALSE)="","",VLOOKUP(Tue_W1[[#This Row],[Employee Name]],'Base Schedules'!$A$160:$AW$203,38,FALSE)),"")</f>
        <v/>
      </c>
      <c r="AN23" s="184" t="str">
        <f>IFERROR(IF(VLOOKUP(Tue_W1[[#This Row],[Employee Name]],'Base Schedules'!$A$160:$AW$203,39,FALSE)="","",VLOOKUP(Tue_W1[[#This Row],[Employee Name]],'Base Schedules'!$A$160:$AW$203,39,FALSE)),"")</f>
        <v/>
      </c>
      <c r="AO23" s="184" t="str">
        <f>IFERROR(IF(VLOOKUP(Tue_W1[[#This Row],[Employee Name]],'Base Schedules'!$A$160:$AW$203,40,FALSE)="","",VLOOKUP(Tue_W1[[#This Row],[Employee Name]],'Base Schedules'!$A$160:$AW$203,40,FALSE)),"")</f>
        <v/>
      </c>
      <c r="AP23" s="184" t="str">
        <f>IFERROR(IF(VLOOKUP(Tue_W1[[#This Row],[Employee Name]],'Base Schedules'!$A$160:$AW$203,41,FALSE)="","",VLOOKUP(Tue_W1[[#This Row],[Employee Name]],'Base Schedules'!$A$160:$AW$203,41,FALSE)),"")</f>
        <v/>
      </c>
      <c r="AQ23" s="184" t="str">
        <f>IFERROR(IF(VLOOKUP(Tue_W1[[#This Row],[Employee Name]],'Base Schedules'!$A$160:$AW$203,42,FALSE)="","",VLOOKUP(Tue_W1[[#This Row],[Employee Name]],'Base Schedules'!$A$160:$AW$203,42,FALSE)),"")</f>
        <v/>
      </c>
      <c r="AR23" s="184" t="str">
        <f>IFERROR(IF(VLOOKUP(Tue_W1[[#This Row],[Employee Name]],'Base Schedules'!$A$160:$AW$203,43,FALSE)="","",VLOOKUP(Tue_W1[[#This Row],[Employee Name]],'Base Schedules'!$A$160:$AW$203,43,FALSE)),"")</f>
        <v/>
      </c>
      <c r="AS23" s="184" t="str">
        <f>IFERROR(IF(VLOOKUP(Tue_W1[[#This Row],[Employee Name]],'Base Schedules'!$A$160:$AW$203,44,FALSE)="","",VLOOKUP(Tue_W1[[#This Row],[Employee Name]],'Base Schedules'!$A$160:$AW$203,44,FALSE)),"")</f>
        <v/>
      </c>
      <c r="AT23" s="184" t="str">
        <f>IFERROR(IF(VLOOKUP(Tue_W1[[#This Row],[Employee Name]],'Base Schedules'!$A$160:$AW$203,45,FALSE)="","",VLOOKUP(Tue_W1[[#This Row],[Employee Name]],'Base Schedules'!$A$160:$AW$203,45,FALSE)),"")</f>
        <v/>
      </c>
      <c r="AU23" s="184" t="str">
        <f>IFERROR(IF(VLOOKUP(Tue_W1[[#This Row],[Employee Name]],'Base Schedules'!$A$160:$AW$203,46,FALSE)="","",VLOOKUP(Tue_W1[[#This Row],[Employee Name]],'Base Schedules'!$A$160:$AW$203,46,FALSE)),"")</f>
        <v/>
      </c>
      <c r="AV23" s="184" t="str">
        <f>IFERROR(IF(VLOOKUP(Tue_W1[[#This Row],[Employee Name]],'Base Schedules'!$A$160:$AW$203,47,FALSE)="","",VLOOKUP(Tue_W1[[#This Row],[Employee Name]],'Base Schedules'!$A$160:$AW$203,47,FALSE)),"")</f>
        <v/>
      </c>
      <c r="AW23" s="184" t="str">
        <f>IFERROR(IF(VLOOKUP(Tue_W1[[#This Row],[Employee Name]],'Base Schedules'!$A$160:$AW$203,48,FALSE)="","",VLOOKUP(Tue_W1[[#This Row],[Employee Name]],'Base Schedules'!$A$160:$AW$203,48,FALSE)),"")</f>
        <v/>
      </c>
      <c r="AX23" s="184" t="str">
        <f>IFERROR(IF(VLOOKUP(Tue_W1[[#This Row],[Employee Name]],'Base Schedules'!$A$160:$AW$203,49,FALSE)="","",VLOOKUP(Tue_W1[[#This Row],[Employee Name]],'Base Schedules'!$A$160:$AW$203,49,FALSE)),"")</f>
        <v/>
      </c>
      <c r="AY23" s="165" t="str">
        <f t="shared" si="2"/>
        <v>Harley, Timothy</v>
      </c>
    </row>
    <row r="24" spans="1:51" s="44" customFormat="1" ht="12" x14ac:dyDescent="0.2">
      <c r="A24" s="39" t="str">
        <f>IF(B24="","",INDEX(TeamList[],MATCH($B24,TeamList[[Employee Name]:[Employee Name]],0),MATCH("Manager",TeamList[#Headers],0)))</f>
        <v>Ahmed Hassan, Zahra</v>
      </c>
      <c r="B24" s="201" t="s">
        <v>70</v>
      </c>
      <c r="C24" s="257" t="str">
        <f>_xlfn.IFNA(VLOOKUP(Tue_W1[[#This Row],[Employee Name]],'Base Schedules'!A:B,2,FALSE),"")</f>
        <v>Supervisor</v>
      </c>
      <c r="D24" s="274">
        <f>_xlfn.IFNA(VLOOKUP(Tue_W1[[#This Row],[Employee Name]],'Base Schedules'!A:C,3,FALSE),"")</f>
        <v>800</v>
      </c>
      <c r="E24" s="274">
        <f>_xlfn.IFNA(VLOOKUP(Tue_W1[[#This Row],[Employee Name]],'Base Schedules'!A:D,4,FALSE),"")</f>
        <v>1700</v>
      </c>
      <c r="F24" s="142">
        <f>IF(Tue_W1[[#This Row],[Employee Name]]="","",IF(Tue_W1[[#This Row],[Dept]]="Supervisor",COUNTIFS($J24:$AX24,"*HL*",$J24:$AX24,"&lt;&gt;"&amp;"pHL"),COUNTIFS($J24:$AX24,"*HL*",$J24:$AX24,"&lt;&gt;"&amp;"*pHL*",$J24:$AX24,"&lt;&gt;"&amp;"pB1 HL",$J24:$AX24,"&lt;&gt;"&amp;"pB2 HL")-SUM(COUNTIFS($J24:$AX24,"*HL B1*",$J24:$AX24,"&lt;&gt;"&amp;"pHL B1")*0.5,COUNTIFS($J24:$AX24,"*HL B2*",$J24:$AX24,"&lt;&gt;"&amp;"pHL B2")*0.5,COUNTIFS($J24:$AX24,"*B1 HL*",$J24:$AX24,"&lt;&gt;"&amp;"pB1 HL")*0.5,COUNTIFS($J24:$AX24,"*B2 HL*",$J24:$AX24,"&lt;&gt;"&amp;"pB2 HL")*0.5)))</f>
        <v>0</v>
      </c>
      <c r="G24" s="142">
        <f t="shared" si="0"/>
        <v>4</v>
      </c>
      <c r="H24" s="142">
        <f t="shared" si="1"/>
        <v>0</v>
      </c>
      <c r="I24" s="142">
        <f>IF(Tue_W1[[#This Row],[Employee Name]]="","",IF(Tue_W1[[#This Row],[Dept]]="Supervisor",SUM(COUNTIFS($J24:$AX24,"RTA*",$J24:$AX24,"&lt;&gt;"&amp;"pRTA"),COUNTIFS($J24:$AX24,"*CRTA*",$J24:$AX24,"&lt;&gt;"&amp;"pCRTA")),COUNTIFS($J24:$AX24,"*RNNR*",$J24:$AX24,"&lt;&gt;"&amp;"*pRNNR*",$J24:$AX24,"&lt;&gt;"&amp;"pB1 RNNR",$J24:$AX24,"&lt;&gt;"&amp;"pB2 RNNR")-SUM(COUNTIFS($J24:$AX24,"*RNNR B1*",$J24:$AX24,"&lt;&gt;"&amp;"pRNNR B1")*0.5,COUNTIFS($J24:$AX24,"*RNNR B2*",$J24:$AX24,"&lt;&gt;"&amp;"pRNNR B2")*0.5,COUNTIFS($J24:$AX24,"*B1 RNNR*",$J24:$AX24,"&lt;&gt;"&amp;"pB1 RNNR")*0.5,COUNTIFS($J24:$AX24,"*B2 RNNR*",$J24:$AX24,"&lt;&gt;"&amp;"pB2 RNNR")*0.5)))</f>
        <v>0</v>
      </c>
      <c r="J24" s="184" t="str">
        <f>IFERROR(IF(VLOOKUP(Tue_W1[[#This Row],[Employee Name]],'Base Schedules'!$A$160:$AW$203,9,FALSE)="","",VLOOKUP(Tue_W1[[#This Row],[Employee Name]],'Base Schedules'!$A$160:$AW$203,9,FALSE)),"")</f>
        <v/>
      </c>
      <c r="K24" s="184" t="str">
        <f>IFERROR(IF(VLOOKUP(Tue_W1[[#This Row],[Employee Name]],'Base Schedules'!$A$160:$AW$203,10,FALSE)="","",VLOOKUP(Tue_W1[[#This Row],[Employee Name]],'Base Schedules'!$A$160:$AW$203,10,FALSE)),"")</f>
        <v/>
      </c>
      <c r="L24" s="184" t="str">
        <f>IFERROR(IF(VLOOKUP(Tue_W1[[#This Row],[Employee Name]],'Base Schedules'!$A$160:$AW$203,11,FALSE)="","",VLOOKUP(Tue_W1[[#This Row],[Employee Name]],'Base Schedules'!$A$160:$AW$203,11,FALSE)),"")</f>
        <v/>
      </c>
      <c r="M24" s="184" t="str">
        <f>IFERROR(IF(VLOOKUP(Tue_W1[[#This Row],[Employee Name]],'Base Schedules'!$A$160:$AW$203,12,FALSE)="","",VLOOKUP(Tue_W1[[#This Row],[Employee Name]],'Base Schedules'!$A$160:$AW$203,12,FALSE)),"")</f>
        <v/>
      </c>
      <c r="N24" s="184" t="str">
        <f>IFERROR(IF(VLOOKUP(Tue_W1[[#This Row],[Employee Name]],'Base Schedules'!$A$160:$AW$203,13,FALSE)="","",VLOOKUP(Tue_W1[[#This Row],[Employee Name]],'Base Schedules'!$A$160:$AW$203,13,FALSE)),"")</f>
        <v/>
      </c>
      <c r="O24" s="184" t="str">
        <f>IFERROR(IF(VLOOKUP(Tue_W1[[#This Row],[Employee Name]],'Base Schedules'!$A$160:$AW$203,14,FALSE)="","",VLOOKUP(Tue_W1[[#This Row],[Employee Name]],'Base Schedules'!$A$160:$AW$203,14,FALSE)),"")</f>
        <v/>
      </c>
      <c r="P24" s="184" t="str">
        <f>IFERROR(IF(VLOOKUP(Tue_W1[[#This Row],[Employee Name]],'Base Schedules'!$A$160:$AW$203,15,FALSE)="","",VLOOKUP(Tue_W1[[#This Row],[Employee Name]],'Base Schedules'!$A$160:$AW$203,15,FALSE)),"")</f>
        <v>-</v>
      </c>
      <c r="Q24" s="184" t="str">
        <f>IFERROR(IF(VLOOKUP(Tue_W1[[#This Row],[Employee Name]],'Base Schedules'!$A$160:$AW$203,16,FALSE)="","",VLOOKUP(Tue_W1[[#This Row],[Employee Name]],'Base Schedules'!$A$160:$AW$203,16,FALSE)),"")</f>
        <v>-</v>
      </c>
      <c r="R24" s="184" t="str">
        <f>IFERROR(IF(VLOOKUP(Tue_W1[[#This Row],[Employee Name]],'Base Schedules'!$A$160:$AW$203,17,FALSE)="","",VLOOKUP(Tue_W1[[#This Row],[Employee Name]],'Base Schedules'!$A$160:$AW$203,17,FALSE)),"")</f>
        <v>Interview</v>
      </c>
      <c r="S24" s="184" t="str">
        <f>IFERROR(IF(VLOOKUP(Tue_W1[[#This Row],[Employee Name]],'Base Schedules'!$A$160:$AW$203,18,FALSE)="","",VLOOKUP(Tue_W1[[#This Row],[Employee Name]],'Base Schedules'!$A$160:$AW$203,18,FALSE)),"")</f>
        <v>Interview</v>
      </c>
      <c r="T24" s="184" t="str">
        <f>IFERROR(IF(VLOOKUP(Tue_W1[[#This Row],[Employee Name]],'Base Schedules'!$A$160:$AW$203,19,FALSE)="","",VLOOKUP(Tue_W1[[#This Row],[Employee Name]],'Base Schedules'!$A$160:$AW$203,19,FALSE)),"")</f>
        <v>-</v>
      </c>
      <c r="U24" s="184" t="str">
        <f>IFERROR(IF(VLOOKUP(Tue_W1[[#This Row],[Employee Name]],'Base Schedules'!$A$160:$AW$203,20,FALSE)="","",VLOOKUP(Tue_W1[[#This Row],[Employee Name]],'Base Schedules'!$A$160:$AW$203,20,FALSE)),"")</f>
        <v>-</v>
      </c>
      <c r="V24" s="184" t="str">
        <f>IFERROR(IF(VLOOKUP(Tue_W1[[#This Row],[Employee Name]],'Base Schedules'!$A$160:$AW$203,21,FALSE)="","",VLOOKUP(Tue_W1[[#This Row],[Employee Name]],'Base Schedules'!$A$160:$AW$203,21,FALSE)),"")</f>
        <v>-</v>
      </c>
      <c r="W24" s="184" t="str">
        <f>IFERROR(IF(VLOOKUP(Tue_W1[[#This Row],[Employee Name]],'Base Schedules'!$A$160:$AW$203,22,FALSE)="","",VLOOKUP(Tue_W1[[#This Row],[Employee Name]],'Base Schedules'!$A$160:$AW$203,22,FALSE)),"")</f>
        <v>-</v>
      </c>
      <c r="X24" s="184" t="str">
        <f>IFERROR(IF(VLOOKUP(Tue_W1[[#This Row],[Employee Name]],'Base Schedules'!$A$160:$AW$203,23,FALSE)="","",VLOOKUP(Tue_W1[[#This Row],[Employee Name]],'Base Schedules'!$A$160:$AW$203,23,FALSE)),"")</f>
        <v>-</v>
      </c>
      <c r="Y24" s="184" t="str">
        <f>IFERROR(IF(VLOOKUP(Tue_W1[[#This Row],[Employee Name]],'Base Schedules'!$A$160:$AW$203,24,FALSE)="","",VLOOKUP(Tue_W1[[#This Row],[Employee Name]],'Base Schedules'!$A$160:$AW$203,24,FALSE)),"")</f>
        <v>-</v>
      </c>
      <c r="Z24" s="184" t="str">
        <f>IFERROR(IF(VLOOKUP(Tue_W1[[#This Row],[Employee Name]],'Base Schedules'!$A$160:$AW$203,25,FALSE)="","",VLOOKUP(Tue_W1[[#This Row],[Employee Name]],'Base Schedules'!$A$160:$AW$203,25,FALSE)),"")</f>
        <v>-</v>
      </c>
      <c r="AA24" s="184" t="str">
        <f>IFERROR(IF(VLOOKUP(Tue_W1[[#This Row],[Employee Name]],'Base Schedules'!$A$160:$AW$203,26,FALSE)="","",VLOOKUP(Tue_W1[[#This Row],[Employee Name]],'Base Schedules'!$A$160:$AW$203,26,FALSE)),"")</f>
        <v>-</v>
      </c>
      <c r="AB24" s="184" t="str">
        <f>IFERROR(IF(VLOOKUP(Tue_W1[[#This Row],[Employee Name]],'Base Schedules'!$A$160:$AW$203,27,FALSE)="","",VLOOKUP(Tue_W1[[#This Row],[Employee Name]],'Base Schedules'!$A$160:$AW$203,27,FALSE)),"")</f>
        <v>-</v>
      </c>
      <c r="AC24" s="184" t="str">
        <f>IFERROR(IF(VLOOKUP(Tue_W1[[#This Row],[Employee Name]],'Base Schedules'!$A$160:$AW$203,28,FALSE)="","",VLOOKUP(Tue_W1[[#This Row],[Employee Name]],'Base Schedules'!$A$160:$AW$203,28,FALSE)),"")</f>
        <v>Coaching</v>
      </c>
      <c r="AD24" s="184" t="str">
        <f>IFERROR(IF(VLOOKUP(Tue_W1[[#This Row],[Employee Name]],'Base Schedules'!$A$160:$AW$203,29,FALSE)="","",VLOOKUP(Tue_W1[[#This Row],[Employee Name]],'Base Schedules'!$A$160:$AW$203,29,FALSE)),"")</f>
        <v>Coaching</v>
      </c>
      <c r="AE24" s="184" t="str">
        <f>IFERROR(IF(VLOOKUP(Tue_W1[[#This Row],[Employee Name]],'Base Schedules'!$A$160:$AW$203,30,FALSE)="","",VLOOKUP(Tue_W1[[#This Row],[Employee Name]],'Base Schedules'!$A$160:$AW$203,30,FALSE)),"")</f>
        <v>Coaching</v>
      </c>
      <c r="AF24" s="184" t="str">
        <f>IFERROR(IF(VLOOKUP(Tue_W1[[#This Row],[Employee Name]],'Base Schedules'!$A$160:$AW$203,31,FALSE)="","",VLOOKUP(Tue_W1[[#This Row],[Employee Name]],'Base Schedules'!$A$160:$AW$203,31,FALSE)),"")</f>
        <v>Coaching</v>
      </c>
      <c r="AG24" s="184" t="str">
        <f>IFERROR(IF(VLOOKUP(Tue_W1[[#This Row],[Employee Name]],'Base Schedules'!$A$160:$AW$203,32,FALSE)="","",VLOOKUP(Tue_W1[[#This Row],[Employee Name]],'Base Schedules'!$A$160:$AW$203,32,FALSE)),"")</f>
        <v>-</v>
      </c>
      <c r="AH24" s="184" t="str">
        <f>IFERROR(IF(VLOOKUP(Tue_W1[[#This Row],[Employee Name]],'Base Schedules'!$A$160:$AW$203,33,FALSE)="","",VLOOKUP(Tue_W1[[#This Row],[Employee Name]],'Base Schedules'!$A$160:$AW$203,33,FALSE)),"")</f>
        <v/>
      </c>
      <c r="AI24" s="184" t="str">
        <f>IFERROR(IF(VLOOKUP(Tue_W1[[#This Row],[Employee Name]],'Base Schedules'!$A$160:$AW$203,34,FALSE)="","",VLOOKUP(Tue_W1[[#This Row],[Employee Name]],'Base Schedules'!$A$160:$AW$203,34,FALSE)),"")</f>
        <v/>
      </c>
      <c r="AJ24" s="184" t="str">
        <f>IFERROR(IF(VLOOKUP(Tue_W1[[#This Row],[Employee Name]],'Base Schedules'!$A$160:$AW$203,35,FALSE)="","",VLOOKUP(Tue_W1[[#This Row],[Employee Name]],'Base Schedules'!$A$160:$AW$203,35,FALSE)),"")</f>
        <v/>
      </c>
      <c r="AK24" s="184" t="str">
        <f>IFERROR(IF(VLOOKUP(Tue_W1[[#This Row],[Employee Name]],'Base Schedules'!$A$160:$AW$203,36,FALSE)="","",VLOOKUP(Tue_W1[[#This Row],[Employee Name]],'Base Schedules'!$A$160:$AW$203,36,FALSE)),"")</f>
        <v/>
      </c>
      <c r="AL24" s="184" t="str">
        <f>IFERROR(IF(VLOOKUP(Tue_W1[[#This Row],[Employee Name]],'Base Schedules'!$A$160:$AW$203,37,FALSE)="","",VLOOKUP(Tue_W1[[#This Row],[Employee Name]],'Base Schedules'!$A$160:$AW$203,37,FALSE)),"")</f>
        <v/>
      </c>
      <c r="AM24" s="184" t="str">
        <f>IFERROR(IF(VLOOKUP(Tue_W1[[#This Row],[Employee Name]],'Base Schedules'!$A$160:$AW$203,38,FALSE)="","",VLOOKUP(Tue_W1[[#This Row],[Employee Name]],'Base Schedules'!$A$160:$AW$203,38,FALSE)),"")</f>
        <v/>
      </c>
      <c r="AN24" s="184" t="str">
        <f>IFERROR(IF(VLOOKUP(Tue_W1[[#This Row],[Employee Name]],'Base Schedules'!$A$160:$AW$203,39,FALSE)="","",VLOOKUP(Tue_W1[[#This Row],[Employee Name]],'Base Schedules'!$A$160:$AW$203,39,FALSE)),"")</f>
        <v/>
      </c>
      <c r="AO24" s="184" t="str">
        <f>IFERROR(IF(VLOOKUP(Tue_W1[[#This Row],[Employee Name]],'Base Schedules'!$A$160:$AW$203,40,FALSE)="","",VLOOKUP(Tue_W1[[#This Row],[Employee Name]],'Base Schedules'!$A$160:$AW$203,40,FALSE)),"")</f>
        <v/>
      </c>
      <c r="AP24" s="184" t="str">
        <f>IFERROR(IF(VLOOKUP(Tue_W1[[#This Row],[Employee Name]],'Base Schedules'!$A$160:$AW$203,41,FALSE)="","",VLOOKUP(Tue_W1[[#This Row],[Employee Name]],'Base Schedules'!$A$160:$AW$203,41,FALSE)),"")</f>
        <v/>
      </c>
      <c r="AQ24" s="184" t="str">
        <f>IFERROR(IF(VLOOKUP(Tue_W1[[#This Row],[Employee Name]],'Base Schedules'!$A$160:$AW$203,42,FALSE)="","",VLOOKUP(Tue_W1[[#This Row],[Employee Name]],'Base Schedules'!$A$160:$AW$203,42,FALSE)),"")</f>
        <v/>
      </c>
      <c r="AR24" s="184" t="str">
        <f>IFERROR(IF(VLOOKUP(Tue_W1[[#This Row],[Employee Name]],'Base Schedules'!$A$160:$AW$203,43,FALSE)="","",VLOOKUP(Tue_W1[[#This Row],[Employee Name]],'Base Schedules'!$A$160:$AW$203,43,FALSE)),"")</f>
        <v/>
      </c>
      <c r="AS24" s="184" t="str">
        <f>IFERROR(IF(VLOOKUP(Tue_W1[[#This Row],[Employee Name]],'Base Schedules'!$A$160:$AW$203,44,FALSE)="","",VLOOKUP(Tue_W1[[#This Row],[Employee Name]],'Base Schedules'!$A$160:$AW$203,44,FALSE)),"")</f>
        <v/>
      </c>
      <c r="AT24" s="184" t="str">
        <f>IFERROR(IF(VLOOKUP(Tue_W1[[#This Row],[Employee Name]],'Base Schedules'!$A$160:$AW$203,45,FALSE)="","",VLOOKUP(Tue_W1[[#This Row],[Employee Name]],'Base Schedules'!$A$160:$AW$203,45,FALSE)),"")</f>
        <v/>
      </c>
      <c r="AU24" s="184" t="str">
        <f>IFERROR(IF(VLOOKUP(Tue_W1[[#This Row],[Employee Name]],'Base Schedules'!$A$160:$AW$203,46,FALSE)="","",VLOOKUP(Tue_W1[[#This Row],[Employee Name]],'Base Schedules'!$A$160:$AW$203,46,FALSE)),"")</f>
        <v/>
      </c>
      <c r="AV24" s="184" t="str">
        <f>IFERROR(IF(VLOOKUP(Tue_W1[[#This Row],[Employee Name]],'Base Schedules'!$A$160:$AW$203,47,FALSE)="","",VLOOKUP(Tue_W1[[#This Row],[Employee Name]],'Base Schedules'!$A$160:$AW$203,47,FALSE)),"")</f>
        <v/>
      </c>
      <c r="AW24" s="184" t="str">
        <f>IFERROR(IF(VLOOKUP(Tue_W1[[#This Row],[Employee Name]],'Base Schedules'!$A$160:$AW$203,48,FALSE)="","",VLOOKUP(Tue_W1[[#This Row],[Employee Name]],'Base Schedules'!$A$160:$AW$203,48,FALSE)),"")</f>
        <v/>
      </c>
      <c r="AX24" s="184" t="str">
        <f>IFERROR(IF(VLOOKUP(Tue_W1[[#This Row],[Employee Name]],'Base Schedules'!$A$160:$AW$203,49,FALSE)="","",VLOOKUP(Tue_W1[[#This Row],[Employee Name]],'Base Schedules'!$A$160:$AW$203,49,FALSE)),"")</f>
        <v/>
      </c>
      <c r="AY24" s="164" t="str">
        <f t="shared" si="2"/>
        <v>Vasbinder, Ryan</v>
      </c>
    </row>
    <row r="25" spans="1:51" s="44" customFormat="1" ht="12" x14ac:dyDescent="0.2">
      <c r="A25" s="39" t="str">
        <f>IF(B25="","",INDEX(TeamList[],MATCH($B25,TeamList[[Employee Name]:[Employee Name]],0),MATCH("Manager",TeamList[#Headers],0)))</f>
        <v>Ahmed Hassan, Zahra</v>
      </c>
      <c r="B25" s="201" t="s">
        <v>53</v>
      </c>
      <c r="C25" s="257" t="str">
        <f>_xlfn.IFNA(VLOOKUP(Tue_W1[[#This Row],[Employee Name]],'Base Schedules'!A:B,2,FALSE),"")</f>
        <v>Supervisor</v>
      </c>
      <c r="D25" s="274">
        <f>_xlfn.IFNA(VLOOKUP(Tue_W1[[#This Row],[Employee Name]],'Base Schedules'!A:C,3,FALSE),"")</f>
        <v>830</v>
      </c>
      <c r="E25" s="274">
        <f>_xlfn.IFNA(VLOOKUP(Tue_W1[[#This Row],[Employee Name]],'Base Schedules'!A:D,4,FALSE),"")</f>
        <v>1730</v>
      </c>
      <c r="F25" s="142">
        <f>IF(Tue_W1[[#This Row],[Employee Name]]="","",IF(Tue_W1[[#This Row],[Dept]]="Supervisor",COUNTIFS($J25:$AX25,"*HL*",$J25:$AX25,"&lt;&gt;"&amp;"pHL"),COUNTIFS($J25:$AX25,"*HL*",$J25:$AX25,"&lt;&gt;"&amp;"*pHL*",$J25:$AX25,"&lt;&gt;"&amp;"pB1 HL",$J25:$AX25,"&lt;&gt;"&amp;"pB2 HL")-SUM(COUNTIFS($J25:$AX25,"*HL B1*",$J25:$AX25,"&lt;&gt;"&amp;"pHL B1")*0.5,COUNTIFS($J25:$AX25,"*HL B2*",$J25:$AX25,"&lt;&gt;"&amp;"pHL B2")*0.5,COUNTIFS($J25:$AX25,"*B1 HL*",$J25:$AX25,"&lt;&gt;"&amp;"pB1 HL")*0.5,COUNTIFS($J25:$AX25,"*B2 HL*",$J25:$AX25,"&lt;&gt;"&amp;"pB2 HL")*0.5)))</f>
        <v>0</v>
      </c>
      <c r="G25" s="142">
        <f t="shared" si="0"/>
        <v>5</v>
      </c>
      <c r="H25" s="142">
        <f t="shared" si="1"/>
        <v>0</v>
      </c>
      <c r="I25" s="142">
        <f>IF(Tue_W1[[#This Row],[Employee Name]]="","",IF(Tue_W1[[#This Row],[Dept]]="Supervisor",SUM(COUNTIFS($J25:$AX25,"RTA*",$J25:$AX25,"&lt;&gt;"&amp;"pRTA"),COUNTIFS($J25:$AX25,"*CRTA*",$J25:$AX25,"&lt;&gt;"&amp;"pCRTA")),COUNTIFS($J25:$AX25,"*RNNR*",$J25:$AX25,"&lt;&gt;"&amp;"*pRNNR*",$J25:$AX25,"&lt;&gt;"&amp;"pB1 RNNR",$J25:$AX25,"&lt;&gt;"&amp;"pB2 RNNR")-SUM(COUNTIFS($J25:$AX25,"*RNNR B1*",$J25:$AX25,"&lt;&gt;"&amp;"pRNNR B1")*0.5,COUNTIFS($J25:$AX25,"*RNNR B2*",$J25:$AX25,"&lt;&gt;"&amp;"pRNNR B2")*0.5,COUNTIFS($J25:$AX25,"*B1 RNNR*",$J25:$AX25,"&lt;&gt;"&amp;"pB1 RNNR")*0.5,COUNTIFS($J25:$AX25,"*B2 RNNR*",$J25:$AX25,"&lt;&gt;"&amp;"pB2 RNNR")*0.5)))</f>
        <v>0</v>
      </c>
      <c r="J25" s="184" t="str">
        <f>IFERROR(IF(VLOOKUP(Tue_W1[[#This Row],[Employee Name]],'Base Schedules'!$A$160:$AW$203,9,FALSE)="","",VLOOKUP(Tue_W1[[#This Row],[Employee Name]],'Base Schedules'!$A$160:$AW$203,9,FALSE)),"")</f>
        <v/>
      </c>
      <c r="K25" s="184" t="str">
        <f>IFERROR(IF(VLOOKUP(Tue_W1[[#This Row],[Employee Name]],'Base Schedules'!$A$160:$AW$203,10,FALSE)="","",VLOOKUP(Tue_W1[[#This Row],[Employee Name]],'Base Schedules'!$A$160:$AW$203,10,FALSE)),"")</f>
        <v/>
      </c>
      <c r="L25" s="184" t="str">
        <f>IFERROR(IF(VLOOKUP(Tue_W1[[#This Row],[Employee Name]],'Base Schedules'!$A$160:$AW$203,11,FALSE)="","",VLOOKUP(Tue_W1[[#This Row],[Employee Name]],'Base Schedules'!$A$160:$AW$203,11,FALSE)),"")</f>
        <v/>
      </c>
      <c r="M25" s="184" t="str">
        <f>IFERROR(IF(VLOOKUP(Tue_W1[[#This Row],[Employee Name]],'Base Schedules'!$A$160:$AW$203,12,FALSE)="","",VLOOKUP(Tue_W1[[#This Row],[Employee Name]],'Base Schedules'!$A$160:$AW$203,12,FALSE)),"")</f>
        <v/>
      </c>
      <c r="N25" s="184" t="str">
        <f>IFERROR(IF(VLOOKUP(Tue_W1[[#This Row],[Employee Name]],'Base Schedules'!$A$160:$AW$203,13,FALSE)="","",VLOOKUP(Tue_W1[[#This Row],[Employee Name]],'Base Schedules'!$A$160:$AW$203,13,FALSE)),"")</f>
        <v/>
      </c>
      <c r="O25" s="184" t="str">
        <f>IFERROR(IF(VLOOKUP(Tue_W1[[#This Row],[Employee Name]],'Base Schedules'!$A$160:$AW$203,14,FALSE)="","",VLOOKUP(Tue_W1[[#This Row],[Employee Name]],'Base Schedules'!$A$160:$AW$203,14,FALSE)),"")</f>
        <v/>
      </c>
      <c r="P25" s="184" t="str">
        <f>IFERROR(IF(VLOOKUP(Tue_W1[[#This Row],[Employee Name]],'Base Schedules'!$A$160:$AW$203,15,FALSE)="","",VLOOKUP(Tue_W1[[#This Row],[Employee Name]],'Base Schedules'!$A$160:$AW$203,15,FALSE)),"")</f>
        <v/>
      </c>
      <c r="Q25" s="184" t="str">
        <f>IFERROR(IF(VLOOKUP(Tue_W1[[#This Row],[Employee Name]],'Base Schedules'!$A$160:$AW$203,16,FALSE)="","",VLOOKUP(Tue_W1[[#This Row],[Employee Name]],'Base Schedules'!$A$160:$AW$203,16,FALSE)),"")</f>
        <v>-</v>
      </c>
      <c r="R25" s="184" t="str">
        <f>IFERROR(IF(VLOOKUP(Tue_W1[[#This Row],[Employee Name]],'Base Schedules'!$A$160:$AW$203,17,FALSE)="","",VLOOKUP(Tue_W1[[#This Row],[Employee Name]],'Base Schedules'!$A$160:$AW$203,17,FALSE)),"")</f>
        <v>-</v>
      </c>
      <c r="S25" s="184" t="str">
        <f>IFERROR(IF(VLOOKUP(Tue_W1[[#This Row],[Employee Name]],'Base Schedules'!$A$160:$AW$203,18,FALSE)="","",VLOOKUP(Tue_W1[[#This Row],[Employee Name]],'Base Schedules'!$A$160:$AW$203,18,FALSE)),"")</f>
        <v>-</v>
      </c>
      <c r="T25" s="184" t="str">
        <f>IFERROR(IF(VLOOKUP(Tue_W1[[#This Row],[Employee Name]],'Base Schedules'!$A$160:$AW$203,19,FALSE)="","",VLOOKUP(Tue_W1[[#This Row],[Employee Name]],'Base Schedules'!$A$160:$AW$203,19,FALSE)),"")</f>
        <v>Interview</v>
      </c>
      <c r="U25" s="184" t="str">
        <f>IFERROR(IF(VLOOKUP(Tue_W1[[#This Row],[Employee Name]],'Base Schedules'!$A$160:$AW$203,20,FALSE)="","",VLOOKUP(Tue_W1[[#This Row],[Employee Name]],'Base Schedules'!$A$160:$AW$203,20,FALSE)),"")</f>
        <v>Interview</v>
      </c>
      <c r="V25" s="184" t="str">
        <f>IFERROR(IF(VLOOKUP(Tue_W1[[#This Row],[Employee Name]],'Base Schedules'!$A$160:$AW$203,21,FALSE)="","",VLOOKUP(Tue_W1[[#This Row],[Employee Name]],'Base Schedules'!$A$160:$AW$203,21,FALSE)),"")</f>
        <v>-</v>
      </c>
      <c r="W25" s="184" t="str">
        <f>IFERROR(IF(VLOOKUP(Tue_W1[[#This Row],[Employee Name]],'Base Schedules'!$A$160:$AW$203,22,FALSE)="","",VLOOKUP(Tue_W1[[#This Row],[Employee Name]],'Base Schedules'!$A$160:$AW$203,22,FALSE)),"")</f>
        <v>-</v>
      </c>
      <c r="X25" s="184" t="str">
        <f>IFERROR(IF(VLOOKUP(Tue_W1[[#This Row],[Employee Name]],'Base Schedules'!$A$160:$AW$203,23,FALSE)="","",VLOOKUP(Tue_W1[[#This Row],[Employee Name]],'Base Schedules'!$A$160:$AW$203,23,FALSE)),"")</f>
        <v>-</v>
      </c>
      <c r="Y25" s="184" t="str">
        <f>IFERROR(IF(VLOOKUP(Tue_W1[[#This Row],[Employee Name]],'Base Schedules'!$A$160:$AW$203,24,FALSE)="","",VLOOKUP(Tue_W1[[#This Row],[Employee Name]],'Base Schedules'!$A$160:$AW$203,24,FALSE)),"")</f>
        <v>-</v>
      </c>
      <c r="Z25" s="184" t="str">
        <f>IFERROR(IF(VLOOKUP(Tue_W1[[#This Row],[Employee Name]],'Base Schedules'!$A$160:$AW$203,25,FALSE)="","",VLOOKUP(Tue_W1[[#This Row],[Employee Name]],'Base Schedules'!$A$160:$AW$203,25,FALSE)),"")</f>
        <v>-</v>
      </c>
      <c r="AA25" s="184" t="str">
        <f>IFERROR(IF(VLOOKUP(Tue_W1[[#This Row],[Employee Name]],'Base Schedules'!$A$160:$AW$203,26,FALSE)="","",VLOOKUP(Tue_W1[[#This Row],[Employee Name]],'Base Schedules'!$A$160:$AW$203,26,FALSE)),"")</f>
        <v>-</v>
      </c>
      <c r="AB25" s="184" t="str">
        <f>IFERROR(IF(VLOOKUP(Tue_W1[[#This Row],[Employee Name]],'Base Schedules'!$A$160:$AW$203,27,FALSE)="","",VLOOKUP(Tue_W1[[#This Row],[Employee Name]],'Base Schedules'!$A$160:$AW$203,27,FALSE)),"")</f>
        <v>-</v>
      </c>
      <c r="AC25" s="184" t="str">
        <f>IFERROR(IF(VLOOKUP(Tue_W1[[#This Row],[Employee Name]],'Base Schedules'!$A$160:$AW$203,28,FALSE)="","",VLOOKUP(Tue_W1[[#This Row],[Employee Name]],'Base Schedules'!$A$160:$AW$203,28,FALSE)),"")</f>
        <v>-</v>
      </c>
      <c r="AD25" s="184" t="str">
        <f>IFERROR(IF(VLOOKUP(Tue_W1[[#This Row],[Employee Name]],'Base Schedules'!$A$160:$AW$203,29,FALSE)="","",VLOOKUP(Tue_W1[[#This Row],[Employee Name]],'Base Schedules'!$A$160:$AW$203,29,FALSE)),"")</f>
        <v>Coaching</v>
      </c>
      <c r="AE25" s="184" t="str">
        <f>IFERROR(IF(VLOOKUP(Tue_W1[[#This Row],[Employee Name]],'Base Schedules'!$A$160:$AW$203,30,FALSE)="","",VLOOKUP(Tue_W1[[#This Row],[Employee Name]],'Base Schedules'!$A$160:$AW$203,30,FALSE)),"")</f>
        <v>Coaching</v>
      </c>
      <c r="AF25" s="184" t="str">
        <f>IFERROR(IF(VLOOKUP(Tue_W1[[#This Row],[Employee Name]],'Base Schedules'!$A$160:$AW$203,31,FALSE)="","",VLOOKUP(Tue_W1[[#This Row],[Employee Name]],'Base Schedules'!$A$160:$AW$203,31,FALSE)),"")</f>
        <v>Coaching</v>
      </c>
      <c r="AG25" s="184" t="str">
        <f>IFERROR(IF(VLOOKUP(Tue_W1[[#This Row],[Employee Name]],'Base Schedules'!$A$160:$AW$203,32,FALSE)="","",VLOOKUP(Tue_W1[[#This Row],[Employee Name]],'Base Schedules'!$A$160:$AW$203,32,FALSE)),"")</f>
        <v>Coaching</v>
      </c>
      <c r="AH25" s="184" t="str">
        <f>IFERROR(IF(VLOOKUP(Tue_W1[[#This Row],[Employee Name]],'Base Schedules'!$A$160:$AW$203,33,FALSE)="","",VLOOKUP(Tue_W1[[#This Row],[Employee Name]],'Base Schedules'!$A$160:$AW$203,33,FALSE)),"")</f>
        <v>Coaching</v>
      </c>
      <c r="AI25" s="184" t="str">
        <f>IFERROR(IF(VLOOKUP(Tue_W1[[#This Row],[Employee Name]],'Base Schedules'!$A$160:$AW$203,34,FALSE)="","",VLOOKUP(Tue_W1[[#This Row],[Employee Name]],'Base Schedules'!$A$160:$AW$203,34,FALSE)),"")</f>
        <v/>
      </c>
      <c r="AJ25" s="184" t="str">
        <f>IFERROR(IF(VLOOKUP(Tue_W1[[#This Row],[Employee Name]],'Base Schedules'!$A$160:$AW$203,35,FALSE)="","",VLOOKUP(Tue_W1[[#This Row],[Employee Name]],'Base Schedules'!$A$160:$AW$203,35,FALSE)),"")</f>
        <v/>
      </c>
      <c r="AK25" s="184" t="str">
        <f>IFERROR(IF(VLOOKUP(Tue_W1[[#This Row],[Employee Name]],'Base Schedules'!$A$160:$AW$203,36,FALSE)="","",VLOOKUP(Tue_W1[[#This Row],[Employee Name]],'Base Schedules'!$A$160:$AW$203,36,FALSE)),"")</f>
        <v/>
      </c>
      <c r="AL25" s="184" t="str">
        <f>IFERROR(IF(VLOOKUP(Tue_W1[[#This Row],[Employee Name]],'Base Schedules'!$A$160:$AW$203,37,FALSE)="","",VLOOKUP(Tue_W1[[#This Row],[Employee Name]],'Base Schedules'!$A$160:$AW$203,37,FALSE)),"")</f>
        <v/>
      </c>
      <c r="AM25" s="184" t="str">
        <f>IFERROR(IF(VLOOKUP(Tue_W1[[#This Row],[Employee Name]],'Base Schedules'!$A$160:$AW$203,38,FALSE)="","",VLOOKUP(Tue_W1[[#This Row],[Employee Name]],'Base Schedules'!$A$160:$AW$203,38,FALSE)),"")</f>
        <v/>
      </c>
      <c r="AN25" s="184" t="str">
        <f>IFERROR(IF(VLOOKUP(Tue_W1[[#This Row],[Employee Name]],'Base Schedules'!$A$160:$AW$203,39,FALSE)="","",VLOOKUP(Tue_W1[[#This Row],[Employee Name]],'Base Schedules'!$A$160:$AW$203,39,FALSE)),"")</f>
        <v/>
      </c>
      <c r="AO25" s="184" t="str">
        <f>IFERROR(IF(VLOOKUP(Tue_W1[[#This Row],[Employee Name]],'Base Schedules'!$A$160:$AW$203,40,FALSE)="","",VLOOKUP(Tue_W1[[#This Row],[Employee Name]],'Base Schedules'!$A$160:$AW$203,40,FALSE)),"")</f>
        <v/>
      </c>
      <c r="AP25" s="184" t="str">
        <f>IFERROR(IF(VLOOKUP(Tue_W1[[#This Row],[Employee Name]],'Base Schedules'!$A$160:$AW$203,41,FALSE)="","",VLOOKUP(Tue_W1[[#This Row],[Employee Name]],'Base Schedules'!$A$160:$AW$203,41,FALSE)),"")</f>
        <v/>
      </c>
      <c r="AQ25" s="184" t="str">
        <f>IFERROR(IF(VLOOKUP(Tue_W1[[#This Row],[Employee Name]],'Base Schedules'!$A$160:$AW$203,42,FALSE)="","",VLOOKUP(Tue_W1[[#This Row],[Employee Name]],'Base Schedules'!$A$160:$AW$203,42,FALSE)),"")</f>
        <v/>
      </c>
      <c r="AR25" s="184" t="str">
        <f>IFERROR(IF(VLOOKUP(Tue_W1[[#This Row],[Employee Name]],'Base Schedules'!$A$160:$AW$203,43,FALSE)="","",VLOOKUP(Tue_W1[[#This Row],[Employee Name]],'Base Schedules'!$A$160:$AW$203,43,FALSE)),"")</f>
        <v/>
      </c>
      <c r="AS25" s="184" t="str">
        <f>IFERROR(IF(VLOOKUP(Tue_W1[[#This Row],[Employee Name]],'Base Schedules'!$A$160:$AW$203,44,FALSE)="","",VLOOKUP(Tue_W1[[#This Row],[Employee Name]],'Base Schedules'!$A$160:$AW$203,44,FALSE)),"")</f>
        <v/>
      </c>
      <c r="AT25" s="184" t="str">
        <f>IFERROR(IF(VLOOKUP(Tue_W1[[#This Row],[Employee Name]],'Base Schedules'!$A$160:$AW$203,45,FALSE)="","",VLOOKUP(Tue_W1[[#This Row],[Employee Name]],'Base Schedules'!$A$160:$AW$203,45,FALSE)),"")</f>
        <v/>
      </c>
      <c r="AU25" s="184" t="str">
        <f>IFERROR(IF(VLOOKUP(Tue_W1[[#This Row],[Employee Name]],'Base Schedules'!$A$160:$AW$203,46,FALSE)="","",VLOOKUP(Tue_W1[[#This Row],[Employee Name]],'Base Schedules'!$A$160:$AW$203,46,FALSE)),"")</f>
        <v/>
      </c>
      <c r="AV25" s="184" t="str">
        <f>IFERROR(IF(VLOOKUP(Tue_W1[[#This Row],[Employee Name]],'Base Schedules'!$A$160:$AW$203,47,FALSE)="","",VLOOKUP(Tue_W1[[#This Row],[Employee Name]],'Base Schedules'!$A$160:$AW$203,47,FALSE)),"")</f>
        <v/>
      </c>
      <c r="AW25" s="184" t="str">
        <f>IFERROR(IF(VLOOKUP(Tue_W1[[#This Row],[Employee Name]],'Base Schedules'!$A$160:$AW$203,48,FALSE)="","",VLOOKUP(Tue_W1[[#This Row],[Employee Name]],'Base Schedules'!$A$160:$AW$203,48,FALSE)),"")</f>
        <v/>
      </c>
      <c r="AX25" s="184" t="str">
        <f>IFERROR(IF(VLOOKUP(Tue_W1[[#This Row],[Employee Name]],'Base Schedules'!$A$160:$AW$203,49,FALSE)="","",VLOOKUP(Tue_W1[[#This Row],[Employee Name]],'Base Schedules'!$A$160:$AW$203,49,FALSE)),"")</f>
        <v/>
      </c>
      <c r="AY25" s="164" t="str">
        <f t="shared" si="2"/>
        <v>Stevens, Amanda</v>
      </c>
    </row>
    <row r="26" spans="1:51" s="44" customFormat="1" ht="12" x14ac:dyDescent="0.2">
      <c r="A26" s="39" t="str">
        <f>IF(B26="","",INDEX(TeamList[],MATCH($B26,TeamList[[Employee Name]:[Employee Name]],0),MATCH("Manager",TeamList[#Headers],0)))</f>
        <v>Olson, Katherine</v>
      </c>
      <c r="B26" s="201" t="s">
        <v>231</v>
      </c>
      <c r="C26" s="257" t="str">
        <f>_xlfn.IFNA(VLOOKUP(Tue_W1[[#This Row],[Employee Name]],'Base Schedules'!A:B,2,FALSE),"")</f>
        <v>Lead</v>
      </c>
      <c r="D26" s="274">
        <f>_xlfn.IFNA(VLOOKUP(Tue_W1[[#This Row],[Employee Name]],'Base Schedules'!A:C,3,FALSE),"")</f>
        <v>900</v>
      </c>
      <c r="E26" s="274">
        <f>_xlfn.IFNA(VLOOKUP(Tue_W1[[#This Row],[Employee Name]],'Base Schedules'!A:D,4,FALSE),"")</f>
        <v>1730</v>
      </c>
      <c r="F26" s="142">
        <f>IF(Tue_W1[[#This Row],[Employee Name]]="","",IF(Tue_W1[[#This Row],[Dept]]="Supervisor",COUNTIFS($J26:$AX26,"*HL*",$J26:$AX26,"&lt;&gt;"&amp;"pHL"),COUNTIFS($J26:$AX26,"*HL*",$J26:$AX26,"&lt;&gt;"&amp;"*pHL*",$J26:$AX26,"&lt;&gt;"&amp;"pB1 HL",$J26:$AX26,"&lt;&gt;"&amp;"pB2 HL")-SUM(COUNTIFS($J26:$AX26,"*HL B1*",$J26:$AX26,"&lt;&gt;"&amp;"pHL B1")*0.5,COUNTIFS($J26:$AX26,"*HL B2*",$J26:$AX26,"&lt;&gt;"&amp;"pHL B2")*0.5,COUNTIFS($J26:$AX26,"*B1 HL*",$J26:$AX26,"&lt;&gt;"&amp;"pB1 HL")*0.5,COUNTIFS($J26:$AX26,"*B2 HL*",$J26:$AX26,"&lt;&gt;"&amp;"pB2 HL")*0.5)))</f>
        <v>6.5</v>
      </c>
      <c r="G26" s="142">
        <f t="shared" si="0"/>
        <v>0</v>
      </c>
      <c r="H26" s="142">
        <f t="shared" si="1"/>
        <v>9</v>
      </c>
      <c r="I26" s="142">
        <f>IF(Tue_W1[[#This Row],[Employee Name]]="","",IF(Tue_W1[[#This Row],[Dept]]="Supervisor",SUM(COUNTIFS($J26:$AX26,"RTA*",$J26:$AX26,"&lt;&gt;"&amp;"pRTA"),COUNTIFS($J26:$AX26,"*CRTA*",$J26:$AX26,"&lt;&gt;"&amp;"pCRTA")),COUNTIFS($J26:$AX26,"*RNNR*",$J26:$AX26,"&lt;&gt;"&amp;"*pRNNR*",$J26:$AX26,"&lt;&gt;"&amp;"pB1 RNNR",$J26:$AX26,"&lt;&gt;"&amp;"pB2 RNNR")-SUM(COUNTIFS($J26:$AX26,"*RNNR B1*",$J26:$AX26,"&lt;&gt;"&amp;"pRNNR B1")*0.5,COUNTIFS($J26:$AX26,"*RNNR B2*",$J26:$AX26,"&lt;&gt;"&amp;"pRNNR B2")*0.5,COUNTIFS($J26:$AX26,"*B1 RNNR*",$J26:$AX26,"&lt;&gt;"&amp;"pB1 RNNR")*0.5,COUNTIFS($J26:$AX26,"*B2 RNNR*",$J26:$AX26,"&lt;&gt;"&amp;"pB2 RNNR")*0.5)))</f>
        <v>0</v>
      </c>
      <c r="J26" s="184" t="str">
        <f>IFERROR(IF(VLOOKUP(Tue_W1[[#This Row],[Employee Name]],'Base Schedules'!$A$160:$AW$203,9,FALSE)="","",VLOOKUP(Tue_W1[[#This Row],[Employee Name]],'Base Schedules'!$A$160:$AW$203,9,FALSE)),"")</f>
        <v/>
      </c>
      <c r="K26" s="184" t="str">
        <f>IFERROR(IF(VLOOKUP(Tue_W1[[#This Row],[Employee Name]],'Base Schedules'!$A$160:$AW$203,10,FALSE)="","",VLOOKUP(Tue_W1[[#This Row],[Employee Name]],'Base Schedules'!$A$160:$AW$203,10,FALSE)),"")</f>
        <v/>
      </c>
      <c r="L26" s="184" t="str">
        <f>IFERROR(IF(VLOOKUP(Tue_W1[[#This Row],[Employee Name]],'Base Schedules'!$A$160:$AW$203,11,FALSE)="","",VLOOKUP(Tue_W1[[#This Row],[Employee Name]],'Base Schedules'!$A$160:$AW$203,11,FALSE)),"")</f>
        <v/>
      </c>
      <c r="M26" s="184" t="str">
        <f>IFERROR(IF(VLOOKUP(Tue_W1[[#This Row],[Employee Name]],'Base Schedules'!$A$160:$AW$203,12,FALSE)="","",VLOOKUP(Tue_W1[[#This Row],[Employee Name]],'Base Schedules'!$A$160:$AW$203,12,FALSE)),"")</f>
        <v/>
      </c>
      <c r="N26" s="184" t="str">
        <f>IFERROR(IF(VLOOKUP(Tue_W1[[#This Row],[Employee Name]],'Base Schedules'!$A$160:$AW$203,13,FALSE)="","",VLOOKUP(Tue_W1[[#This Row],[Employee Name]],'Base Schedules'!$A$160:$AW$203,13,FALSE)),"")</f>
        <v/>
      </c>
      <c r="O26" s="184" t="str">
        <f>IFERROR(IF(VLOOKUP(Tue_W1[[#This Row],[Employee Name]],'Base Schedules'!$A$160:$AW$203,14,FALSE)="","",VLOOKUP(Tue_W1[[#This Row],[Employee Name]],'Base Schedules'!$A$160:$AW$203,14,FALSE)),"")</f>
        <v/>
      </c>
      <c r="P26" s="184" t="str">
        <f>IFERROR(IF(VLOOKUP(Tue_W1[[#This Row],[Employee Name]],'Base Schedules'!$A$160:$AW$203,15,FALSE)="","",VLOOKUP(Tue_W1[[#This Row],[Employee Name]],'Base Schedules'!$A$160:$AW$203,15,FALSE)),"")</f>
        <v/>
      </c>
      <c r="Q26" s="184" t="str">
        <f>IFERROR(IF(VLOOKUP(Tue_W1[[#This Row],[Employee Name]],'Base Schedules'!$A$160:$AW$203,16,FALSE)="","",VLOOKUP(Tue_W1[[#This Row],[Employee Name]],'Base Schedules'!$A$160:$AW$203,16,FALSE)),"")</f>
        <v/>
      </c>
      <c r="R26" s="184" t="str">
        <f>IFERROR(IF(VLOOKUP(Tue_W1[[#This Row],[Employee Name]],'Base Schedules'!$A$160:$AW$203,17,FALSE)="","",VLOOKUP(Tue_W1[[#This Row],[Employee Name]],'Base Schedules'!$A$160:$AW$203,17,FALSE)),"")</f>
        <v>HL</v>
      </c>
      <c r="S26" s="184" t="str">
        <f>IFERROR(IF(VLOOKUP(Tue_W1[[#This Row],[Employee Name]],'Base Schedules'!$A$160:$AW$203,18,FALSE)="","",VLOOKUP(Tue_W1[[#This Row],[Employee Name]],'Base Schedules'!$A$160:$AW$203,18,FALSE)),"")</f>
        <v>HL</v>
      </c>
      <c r="T26" s="184" t="str">
        <f>IFERROR(IF(VLOOKUP(Tue_W1[[#This Row],[Employee Name]],'Base Schedules'!$A$160:$AW$203,19,FALSE)="","",VLOOKUP(Tue_W1[[#This Row],[Employee Name]],'Base Schedules'!$A$160:$AW$203,19,FALSE)),"")</f>
        <v>HL</v>
      </c>
      <c r="U26" s="184" t="str">
        <f>IFERROR(IF(VLOOKUP(Tue_W1[[#This Row],[Employee Name]],'Base Schedules'!$A$160:$AW$203,20,FALSE)="","",VLOOKUP(Tue_W1[[#This Row],[Employee Name]],'Base Schedules'!$A$160:$AW$203,20,FALSE)),"")</f>
        <v>HL B1</v>
      </c>
      <c r="V26" s="184" t="str">
        <f>IFERROR(IF(VLOOKUP(Tue_W1[[#This Row],[Employee Name]],'Base Schedules'!$A$160:$AW$203,21,FALSE)="","",VLOOKUP(Tue_W1[[#This Row],[Employee Name]],'Base Schedules'!$A$160:$AW$203,21,FALSE)),"")</f>
        <v>HL</v>
      </c>
      <c r="W26" s="184" t="str">
        <f>IFERROR(IF(VLOOKUP(Tue_W1[[#This Row],[Employee Name]],'Base Schedules'!$A$160:$AW$203,22,FALSE)="","",VLOOKUP(Tue_W1[[#This Row],[Employee Name]],'Base Schedules'!$A$160:$AW$203,22,FALSE)),"")</f>
        <v>HL</v>
      </c>
      <c r="X26" s="184" t="str">
        <f>IFERROR(IF(VLOOKUP(Tue_W1[[#This Row],[Employee Name]],'Base Schedules'!$A$160:$AW$203,23,FALSE)="","",VLOOKUP(Tue_W1[[#This Row],[Employee Name]],'Base Schedules'!$A$160:$AW$203,23,FALSE)),"")</f>
        <v>ADM</v>
      </c>
      <c r="Y26" s="184" t="str">
        <f>IFERROR(IF(VLOOKUP(Tue_W1[[#This Row],[Employee Name]],'Base Schedules'!$A$160:$AW$203,24,FALSE)="","",VLOOKUP(Tue_W1[[#This Row],[Employee Name]],'Base Schedules'!$A$160:$AW$203,24,FALSE)),"")</f>
        <v>ADM</v>
      </c>
      <c r="Z26" s="184" t="str">
        <f>IFERROR(IF(VLOOKUP(Tue_W1[[#This Row],[Employee Name]],'Base Schedules'!$A$160:$AW$203,25,FALSE)="","",VLOOKUP(Tue_W1[[#This Row],[Employee Name]],'Base Schedules'!$A$160:$AW$203,25,FALSE)),"")</f>
        <v>LUNCH</v>
      </c>
      <c r="AA26" s="184" t="str">
        <f>IFERROR(IF(VLOOKUP(Tue_W1[[#This Row],[Employee Name]],'Base Schedules'!$A$160:$AW$203,26,FALSE)="","",VLOOKUP(Tue_W1[[#This Row],[Employee Name]],'Base Schedules'!$A$160:$AW$203,26,FALSE)),"")</f>
        <v>ADM</v>
      </c>
      <c r="AB26" s="184" t="str">
        <f>IFERROR(IF(VLOOKUP(Tue_W1[[#This Row],[Employee Name]],'Base Schedules'!$A$160:$AW$203,27,FALSE)="","",VLOOKUP(Tue_W1[[#This Row],[Employee Name]],'Base Schedules'!$A$160:$AW$203,27,FALSE)),"")</f>
        <v>ADM</v>
      </c>
      <c r="AC26" s="184" t="str">
        <f>IFERROR(IF(VLOOKUP(Tue_W1[[#This Row],[Employee Name]],'Base Schedules'!$A$160:$AW$203,28,FALSE)="","",VLOOKUP(Tue_W1[[#This Row],[Employee Name]],'Base Schedules'!$A$160:$AW$203,28,FALSE)),"")</f>
        <v>ADM</v>
      </c>
      <c r="AD26" s="184" t="str">
        <f>IFERROR(IF(VLOOKUP(Tue_W1[[#This Row],[Employee Name]],'Base Schedules'!$A$160:$AW$203,29,FALSE)="","",VLOOKUP(Tue_W1[[#This Row],[Employee Name]],'Base Schedules'!$A$160:$AW$203,29,FALSE)),"")</f>
        <v>HL</v>
      </c>
      <c r="AE26" s="184" t="str">
        <f>IFERROR(IF(VLOOKUP(Tue_W1[[#This Row],[Employee Name]],'Base Schedules'!$A$160:$AW$203,30,FALSE)="","",VLOOKUP(Tue_W1[[#This Row],[Employee Name]],'Base Schedules'!$A$160:$AW$203,30,FALSE)),"")</f>
        <v>B2 ADM</v>
      </c>
      <c r="AF26" s="184" t="str">
        <f>IFERROR(IF(VLOOKUP(Tue_W1[[#This Row],[Employee Name]],'Base Schedules'!$A$160:$AW$203,31,FALSE)="","",VLOOKUP(Tue_W1[[#This Row],[Employee Name]],'Base Schedules'!$A$160:$AW$203,31,FALSE)),"")</f>
        <v>ADM</v>
      </c>
      <c r="AG26" s="184" t="str">
        <f>IFERROR(IF(VLOOKUP(Tue_W1[[#This Row],[Employee Name]],'Base Schedules'!$A$160:$AW$203,32,FALSE)="","",VLOOKUP(Tue_W1[[#This Row],[Employee Name]],'Base Schedules'!$A$160:$AW$203,32,FALSE)),"")</f>
        <v>ADM</v>
      </c>
      <c r="AH26" s="184" t="str">
        <f>IFERROR(IF(VLOOKUP(Tue_W1[[#This Row],[Employee Name]],'Base Schedules'!$A$160:$AW$203,33,FALSE)="","",VLOOKUP(Tue_W1[[#This Row],[Employee Name]],'Base Schedules'!$A$160:$AW$203,33,FALSE)),"")</f>
        <v>ADM</v>
      </c>
      <c r="AI26" s="184" t="str">
        <f>IFERROR(IF(VLOOKUP(Tue_W1[[#This Row],[Employee Name]],'Base Schedules'!$A$160:$AW$203,34,FALSE)="","",VLOOKUP(Tue_W1[[#This Row],[Employee Name]],'Base Schedules'!$A$160:$AW$203,34,FALSE)),"")</f>
        <v/>
      </c>
      <c r="AJ26" s="184" t="str">
        <f>IFERROR(IF(VLOOKUP(Tue_W1[[#This Row],[Employee Name]],'Base Schedules'!$A$160:$AW$203,35,FALSE)="","",VLOOKUP(Tue_W1[[#This Row],[Employee Name]],'Base Schedules'!$A$160:$AW$203,35,FALSE)),"")</f>
        <v/>
      </c>
      <c r="AK26" s="184" t="str">
        <f>IFERROR(IF(VLOOKUP(Tue_W1[[#This Row],[Employee Name]],'Base Schedules'!$A$160:$AW$203,36,FALSE)="","",VLOOKUP(Tue_W1[[#This Row],[Employee Name]],'Base Schedules'!$A$160:$AW$203,36,FALSE)),"")</f>
        <v/>
      </c>
      <c r="AL26" s="184" t="str">
        <f>IFERROR(IF(VLOOKUP(Tue_W1[[#This Row],[Employee Name]],'Base Schedules'!$A$160:$AW$203,37,FALSE)="","",VLOOKUP(Tue_W1[[#This Row],[Employee Name]],'Base Schedules'!$A$160:$AW$203,37,FALSE)),"")</f>
        <v/>
      </c>
      <c r="AM26" s="184" t="str">
        <f>IFERROR(IF(VLOOKUP(Tue_W1[[#This Row],[Employee Name]],'Base Schedules'!$A$160:$AW$203,38,FALSE)="","",VLOOKUP(Tue_W1[[#This Row],[Employee Name]],'Base Schedules'!$A$160:$AW$203,38,FALSE)),"")</f>
        <v/>
      </c>
      <c r="AN26" s="184" t="str">
        <f>IFERROR(IF(VLOOKUP(Tue_W1[[#This Row],[Employee Name]],'Base Schedules'!$A$160:$AW$203,39,FALSE)="","",VLOOKUP(Tue_W1[[#This Row],[Employee Name]],'Base Schedules'!$A$160:$AW$203,39,FALSE)),"")</f>
        <v/>
      </c>
      <c r="AO26" s="184" t="str">
        <f>IFERROR(IF(VLOOKUP(Tue_W1[[#This Row],[Employee Name]],'Base Schedules'!$A$160:$AW$203,40,FALSE)="","",VLOOKUP(Tue_W1[[#This Row],[Employee Name]],'Base Schedules'!$A$160:$AW$203,40,FALSE)),"")</f>
        <v/>
      </c>
      <c r="AP26" s="184" t="str">
        <f>IFERROR(IF(VLOOKUP(Tue_W1[[#This Row],[Employee Name]],'Base Schedules'!$A$160:$AW$203,41,FALSE)="","",VLOOKUP(Tue_W1[[#This Row],[Employee Name]],'Base Schedules'!$A$160:$AW$203,41,FALSE)),"")</f>
        <v/>
      </c>
      <c r="AQ26" s="184" t="str">
        <f>IFERROR(IF(VLOOKUP(Tue_W1[[#This Row],[Employee Name]],'Base Schedules'!$A$160:$AW$203,42,FALSE)="","",VLOOKUP(Tue_W1[[#This Row],[Employee Name]],'Base Schedules'!$A$160:$AW$203,42,FALSE)),"")</f>
        <v/>
      </c>
      <c r="AR26" s="184" t="str">
        <f>IFERROR(IF(VLOOKUP(Tue_W1[[#This Row],[Employee Name]],'Base Schedules'!$A$160:$AW$203,43,FALSE)="","",VLOOKUP(Tue_W1[[#This Row],[Employee Name]],'Base Schedules'!$A$160:$AW$203,43,FALSE)),"")</f>
        <v/>
      </c>
      <c r="AS26" s="184" t="str">
        <f>IFERROR(IF(VLOOKUP(Tue_W1[[#This Row],[Employee Name]],'Base Schedules'!$A$160:$AW$203,44,FALSE)="","",VLOOKUP(Tue_W1[[#This Row],[Employee Name]],'Base Schedules'!$A$160:$AW$203,44,FALSE)),"")</f>
        <v/>
      </c>
      <c r="AT26" s="184" t="str">
        <f>IFERROR(IF(VLOOKUP(Tue_W1[[#This Row],[Employee Name]],'Base Schedules'!$A$160:$AW$203,45,FALSE)="","",VLOOKUP(Tue_W1[[#This Row],[Employee Name]],'Base Schedules'!$A$160:$AW$203,45,FALSE)),"")</f>
        <v/>
      </c>
      <c r="AU26" s="184" t="str">
        <f>IFERROR(IF(VLOOKUP(Tue_W1[[#This Row],[Employee Name]],'Base Schedules'!$A$160:$AW$203,46,FALSE)="","",VLOOKUP(Tue_W1[[#This Row],[Employee Name]],'Base Schedules'!$A$160:$AW$203,46,FALSE)),"")</f>
        <v/>
      </c>
      <c r="AV26" s="184" t="str">
        <f>IFERROR(IF(VLOOKUP(Tue_W1[[#This Row],[Employee Name]],'Base Schedules'!$A$160:$AW$203,47,FALSE)="","",VLOOKUP(Tue_W1[[#This Row],[Employee Name]],'Base Schedules'!$A$160:$AW$203,47,FALSE)),"")</f>
        <v/>
      </c>
      <c r="AW26" s="184" t="str">
        <f>IFERROR(IF(VLOOKUP(Tue_W1[[#This Row],[Employee Name]],'Base Schedules'!$A$160:$AW$203,48,FALSE)="","",VLOOKUP(Tue_W1[[#This Row],[Employee Name]],'Base Schedules'!$A$160:$AW$203,48,FALSE)),"")</f>
        <v/>
      </c>
      <c r="AX26" s="184" t="str">
        <f>IFERROR(IF(VLOOKUP(Tue_W1[[#This Row],[Employee Name]],'Base Schedules'!$A$160:$AW$203,49,FALSE)="","",VLOOKUP(Tue_W1[[#This Row],[Employee Name]],'Base Schedules'!$A$160:$AW$203,49,FALSE)),"")</f>
        <v/>
      </c>
      <c r="AY26" s="164" t="str">
        <f t="shared" si="2"/>
        <v>Fiskvik, Christopher</v>
      </c>
    </row>
    <row r="27" spans="1:51" s="44" customFormat="1" ht="12" x14ac:dyDescent="0.2">
      <c r="A27" s="39" t="str">
        <f>IF(B27="","",INDEX(TeamList[],MATCH($B27,TeamList[[Employee Name]:[Employee Name]],0),MATCH("Manager",TeamList[#Headers],0)))</f>
        <v>Ahmed Hassan, Zahra</v>
      </c>
      <c r="B27" s="201" t="s">
        <v>27</v>
      </c>
      <c r="C27" s="257" t="str">
        <f>_xlfn.IFNA(VLOOKUP(Tue_W1[[#This Row],[Employee Name]],'Base Schedules'!A:B,2,FALSE),"")</f>
        <v>Supervisor</v>
      </c>
      <c r="D27" s="274">
        <f>_xlfn.IFNA(VLOOKUP(Tue_W1[[#This Row],[Employee Name]],'Base Schedules'!A:C,3,FALSE),"")</f>
        <v>930</v>
      </c>
      <c r="E27" s="274">
        <f>_xlfn.IFNA(VLOOKUP(Tue_W1[[#This Row],[Employee Name]],'Base Schedules'!A:D,4,FALSE),"")</f>
        <v>1830</v>
      </c>
      <c r="F27" s="142">
        <f>IF(Tue_W1[[#This Row],[Employee Name]]="","",IF(Tue_W1[[#This Row],[Dept]]="Supervisor",COUNTIFS($J27:$AX27,"*HL*",$J27:$AX27,"&lt;&gt;"&amp;"pHL"),COUNTIFS($J27:$AX27,"*HL*",$J27:$AX27,"&lt;&gt;"&amp;"*pHL*",$J27:$AX27,"&lt;&gt;"&amp;"pB1 HL",$J27:$AX27,"&lt;&gt;"&amp;"pB2 HL")-SUM(COUNTIFS($J27:$AX27,"*HL B1*",$J27:$AX27,"&lt;&gt;"&amp;"pHL B1")*0.5,COUNTIFS($J27:$AX27,"*HL B2*",$J27:$AX27,"&lt;&gt;"&amp;"pHL B2")*0.5,COUNTIFS($J27:$AX27,"*B1 HL*",$J27:$AX27,"&lt;&gt;"&amp;"pB1 HL")*0.5,COUNTIFS($J27:$AX27,"*B2 HL*",$J27:$AX27,"&lt;&gt;"&amp;"pB2 HL")*0.5)))</f>
        <v>0</v>
      </c>
      <c r="G27" s="142">
        <f t="shared" si="0"/>
        <v>5</v>
      </c>
      <c r="H27" s="142">
        <f t="shared" si="1"/>
        <v>0</v>
      </c>
      <c r="I27" s="142">
        <f>IF(Tue_W1[[#This Row],[Employee Name]]="","",IF(Tue_W1[[#This Row],[Dept]]="Supervisor",SUM(COUNTIFS($J27:$AX27,"RTA*",$J27:$AX27,"&lt;&gt;"&amp;"pRTA"),COUNTIFS($J27:$AX27,"*CRTA*",$J27:$AX27,"&lt;&gt;"&amp;"pCRTA")),COUNTIFS($J27:$AX27,"*RNNR*",$J27:$AX27,"&lt;&gt;"&amp;"*pRNNR*",$J27:$AX27,"&lt;&gt;"&amp;"pB1 RNNR",$J27:$AX27,"&lt;&gt;"&amp;"pB2 RNNR")-SUM(COUNTIFS($J27:$AX27,"*RNNR B1*",$J27:$AX27,"&lt;&gt;"&amp;"pRNNR B1")*0.5,COUNTIFS($J27:$AX27,"*RNNR B2*",$J27:$AX27,"&lt;&gt;"&amp;"pRNNR B2")*0.5,COUNTIFS($J27:$AX27,"*B1 RNNR*",$J27:$AX27,"&lt;&gt;"&amp;"pB1 RNNR")*0.5,COUNTIFS($J27:$AX27,"*B2 RNNR*",$J27:$AX27,"&lt;&gt;"&amp;"pB2 RNNR")*0.5)))</f>
        <v>0</v>
      </c>
      <c r="J27" s="184" t="str">
        <f>IFERROR(IF(VLOOKUP(Tue_W1[[#This Row],[Employee Name]],'Base Schedules'!$A$160:$AW$203,9,FALSE)="","",VLOOKUP(Tue_W1[[#This Row],[Employee Name]],'Base Schedules'!$A$160:$AW$203,9,FALSE)),"")</f>
        <v/>
      </c>
      <c r="K27" s="184" t="str">
        <f>IFERROR(IF(VLOOKUP(Tue_W1[[#This Row],[Employee Name]],'Base Schedules'!$A$160:$AW$203,10,FALSE)="","",VLOOKUP(Tue_W1[[#This Row],[Employee Name]],'Base Schedules'!$A$160:$AW$203,10,FALSE)),"")</f>
        <v/>
      </c>
      <c r="L27" s="184" t="str">
        <f>IFERROR(IF(VLOOKUP(Tue_W1[[#This Row],[Employee Name]],'Base Schedules'!$A$160:$AW$203,11,FALSE)="","",VLOOKUP(Tue_W1[[#This Row],[Employee Name]],'Base Schedules'!$A$160:$AW$203,11,FALSE)),"")</f>
        <v/>
      </c>
      <c r="M27" s="184" t="str">
        <f>IFERROR(IF(VLOOKUP(Tue_W1[[#This Row],[Employee Name]],'Base Schedules'!$A$160:$AW$203,12,FALSE)="","",VLOOKUP(Tue_W1[[#This Row],[Employee Name]],'Base Schedules'!$A$160:$AW$203,12,FALSE)),"")</f>
        <v/>
      </c>
      <c r="N27" s="184" t="str">
        <f>IFERROR(IF(VLOOKUP(Tue_W1[[#This Row],[Employee Name]],'Base Schedules'!$A$160:$AW$203,13,FALSE)="","",VLOOKUP(Tue_W1[[#This Row],[Employee Name]],'Base Schedules'!$A$160:$AW$203,13,FALSE)),"")</f>
        <v/>
      </c>
      <c r="O27" s="184" t="str">
        <f>IFERROR(IF(VLOOKUP(Tue_W1[[#This Row],[Employee Name]],'Base Schedules'!$A$160:$AW$203,14,FALSE)="","",VLOOKUP(Tue_W1[[#This Row],[Employee Name]],'Base Schedules'!$A$160:$AW$203,14,FALSE)),"")</f>
        <v/>
      </c>
      <c r="P27" s="184" t="str">
        <f>IFERROR(IF(VLOOKUP(Tue_W1[[#This Row],[Employee Name]],'Base Schedules'!$A$160:$AW$203,15,FALSE)="","",VLOOKUP(Tue_W1[[#This Row],[Employee Name]],'Base Schedules'!$A$160:$AW$203,15,FALSE)),"")</f>
        <v/>
      </c>
      <c r="Q27" s="184" t="str">
        <f>IFERROR(IF(VLOOKUP(Tue_W1[[#This Row],[Employee Name]],'Base Schedules'!$A$160:$AW$203,16,FALSE)="","",VLOOKUP(Tue_W1[[#This Row],[Employee Name]],'Base Schedules'!$A$160:$AW$203,16,FALSE)),"")</f>
        <v/>
      </c>
      <c r="R27" s="184" t="str">
        <f>IFERROR(IF(VLOOKUP(Tue_W1[[#This Row],[Employee Name]],'Base Schedules'!$A$160:$AW$203,17,FALSE)="","",VLOOKUP(Tue_W1[[#This Row],[Employee Name]],'Base Schedules'!$A$160:$AW$203,17,FALSE)),"")</f>
        <v/>
      </c>
      <c r="S27" s="184" t="str">
        <f>IFERROR(IF(VLOOKUP(Tue_W1[[#This Row],[Employee Name]],'Base Schedules'!$A$160:$AW$203,18,FALSE)="","",VLOOKUP(Tue_W1[[#This Row],[Employee Name]],'Base Schedules'!$A$160:$AW$203,18,FALSE)),"")</f>
        <v>-</v>
      </c>
      <c r="T27" s="184" t="str">
        <f>IFERROR(IF(VLOOKUP(Tue_W1[[#This Row],[Employee Name]],'Base Schedules'!$A$160:$AW$203,19,FALSE)="","",VLOOKUP(Tue_W1[[#This Row],[Employee Name]],'Base Schedules'!$A$160:$AW$203,19,FALSE)),"")</f>
        <v>-</v>
      </c>
      <c r="U27" s="184" t="str">
        <f>IFERROR(IF(VLOOKUP(Tue_W1[[#This Row],[Employee Name]],'Base Schedules'!$A$160:$AW$203,20,FALSE)="","",VLOOKUP(Tue_W1[[#This Row],[Employee Name]],'Base Schedules'!$A$160:$AW$203,20,FALSE)),"")</f>
        <v>-</v>
      </c>
      <c r="V27" s="184" t="str">
        <f>IFERROR(IF(VLOOKUP(Tue_W1[[#This Row],[Employee Name]],'Base Schedules'!$A$160:$AW$203,21,FALSE)="","",VLOOKUP(Tue_W1[[#This Row],[Employee Name]],'Base Schedules'!$A$160:$AW$203,21,FALSE)),"")</f>
        <v>-</v>
      </c>
      <c r="W27" s="184" t="str">
        <f>IFERROR(IF(VLOOKUP(Tue_W1[[#This Row],[Employee Name]],'Base Schedules'!$A$160:$AW$203,22,FALSE)="","",VLOOKUP(Tue_W1[[#This Row],[Employee Name]],'Base Schedules'!$A$160:$AW$203,22,FALSE)),"")</f>
        <v>-</v>
      </c>
      <c r="X27" s="184" t="str">
        <f>IFERROR(IF(VLOOKUP(Tue_W1[[#This Row],[Employee Name]],'Base Schedules'!$A$160:$AW$203,23,FALSE)="","",VLOOKUP(Tue_W1[[#This Row],[Employee Name]],'Base Schedules'!$A$160:$AW$203,23,FALSE)),"")</f>
        <v>-</v>
      </c>
      <c r="Y27" s="184" t="str">
        <f>IFERROR(IF(VLOOKUP(Tue_W1[[#This Row],[Employee Name]],'Base Schedules'!$A$160:$AW$203,24,FALSE)="","",VLOOKUP(Tue_W1[[#This Row],[Employee Name]],'Base Schedules'!$A$160:$AW$203,24,FALSE)),"")</f>
        <v>-</v>
      </c>
      <c r="Z27" s="184" t="str">
        <f>IFERROR(IF(VLOOKUP(Tue_W1[[#This Row],[Employee Name]],'Base Schedules'!$A$160:$AW$203,25,FALSE)="","",VLOOKUP(Tue_W1[[#This Row],[Employee Name]],'Base Schedules'!$A$160:$AW$203,25,FALSE)),"")</f>
        <v>-</v>
      </c>
      <c r="AA27" s="184" t="str">
        <f>IFERROR(IF(VLOOKUP(Tue_W1[[#This Row],[Employee Name]],'Base Schedules'!$A$160:$AW$203,26,FALSE)="","",VLOOKUP(Tue_W1[[#This Row],[Employee Name]],'Base Schedules'!$A$160:$AW$203,26,FALSE)),"")</f>
        <v>-</v>
      </c>
      <c r="AB27" s="184" t="str">
        <f>IFERROR(IF(VLOOKUP(Tue_W1[[#This Row],[Employee Name]],'Base Schedules'!$A$160:$AW$203,27,FALSE)="","",VLOOKUP(Tue_W1[[#This Row],[Employee Name]],'Base Schedules'!$A$160:$AW$203,27,FALSE)),"")</f>
        <v>Interview</v>
      </c>
      <c r="AC27" s="184" t="str">
        <f>IFERROR(IF(VLOOKUP(Tue_W1[[#This Row],[Employee Name]],'Base Schedules'!$A$160:$AW$203,28,FALSE)="","",VLOOKUP(Tue_W1[[#This Row],[Employee Name]],'Base Schedules'!$A$160:$AW$203,28,FALSE)),"")</f>
        <v>Interview</v>
      </c>
      <c r="AD27" s="184" t="str">
        <f>IFERROR(IF(VLOOKUP(Tue_W1[[#This Row],[Employee Name]],'Base Schedules'!$A$160:$AW$203,29,FALSE)="","",VLOOKUP(Tue_W1[[#This Row],[Employee Name]],'Base Schedules'!$A$160:$AW$203,29,FALSE)),"")</f>
        <v>-</v>
      </c>
      <c r="AE27" s="184" t="str">
        <f>IFERROR(IF(VLOOKUP(Tue_W1[[#This Row],[Employee Name]],'Base Schedules'!$A$160:$AW$203,30,FALSE)="","",VLOOKUP(Tue_W1[[#This Row],[Employee Name]],'Base Schedules'!$A$160:$AW$203,30,FALSE)),"")</f>
        <v>-</v>
      </c>
      <c r="AF27" s="184" t="str">
        <f>IFERROR(IF(VLOOKUP(Tue_W1[[#This Row],[Employee Name]],'Base Schedules'!$A$160:$AW$203,31,FALSE)="","",VLOOKUP(Tue_W1[[#This Row],[Employee Name]],'Base Schedules'!$A$160:$AW$203,31,FALSE)),"")</f>
        <v>Coaching</v>
      </c>
      <c r="AG27" s="184" t="str">
        <f>IFERROR(IF(VLOOKUP(Tue_W1[[#This Row],[Employee Name]],'Base Schedules'!$A$160:$AW$203,32,FALSE)="","",VLOOKUP(Tue_W1[[#This Row],[Employee Name]],'Base Schedules'!$A$160:$AW$203,32,FALSE)),"")</f>
        <v>Coaching</v>
      </c>
      <c r="AH27" s="184" t="str">
        <f>IFERROR(IF(VLOOKUP(Tue_W1[[#This Row],[Employee Name]],'Base Schedules'!$A$160:$AW$203,33,FALSE)="","",VLOOKUP(Tue_W1[[#This Row],[Employee Name]],'Base Schedules'!$A$160:$AW$203,33,FALSE)),"")</f>
        <v>Coaching</v>
      </c>
      <c r="AI27" s="184" t="str">
        <f>IFERROR(IF(VLOOKUP(Tue_W1[[#This Row],[Employee Name]],'Base Schedules'!$A$160:$AW$203,34,FALSE)="","",VLOOKUP(Tue_W1[[#This Row],[Employee Name]],'Base Schedules'!$A$160:$AW$203,34,FALSE)),"")</f>
        <v>Coaching</v>
      </c>
      <c r="AJ27" s="184" t="str">
        <f>IFERROR(IF(VLOOKUP(Tue_W1[[#This Row],[Employee Name]],'Base Schedules'!$A$160:$AW$203,35,FALSE)="","",VLOOKUP(Tue_W1[[#This Row],[Employee Name]],'Base Schedules'!$A$160:$AW$203,35,FALSE)),"")</f>
        <v>Coaching</v>
      </c>
      <c r="AK27" s="184" t="str">
        <f>IFERROR(IF(VLOOKUP(Tue_W1[[#This Row],[Employee Name]],'Base Schedules'!$A$160:$AW$203,36,FALSE)="","",VLOOKUP(Tue_W1[[#This Row],[Employee Name]],'Base Schedules'!$A$160:$AW$203,36,FALSE)),"")</f>
        <v/>
      </c>
      <c r="AL27" s="184" t="str">
        <f>IFERROR(IF(VLOOKUP(Tue_W1[[#This Row],[Employee Name]],'Base Schedules'!$A$160:$AW$203,37,FALSE)="","",VLOOKUP(Tue_W1[[#This Row],[Employee Name]],'Base Schedules'!$A$160:$AW$203,37,FALSE)),"")</f>
        <v/>
      </c>
      <c r="AM27" s="184" t="str">
        <f>IFERROR(IF(VLOOKUP(Tue_W1[[#This Row],[Employee Name]],'Base Schedules'!$A$160:$AW$203,38,FALSE)="","",VLOOKUP(Tue_W1[[#This Row],[Employee Name]],'Base Schedules'!$A$160:$AW$203,38,FALSE)),"")</f>
        <v/>
      </c>
      <c r="AN27" s="184" t="str">
        <f>IFERROR(IF(VLOOKUP(Tue_W1[[#This Row],[Employee Name]],'Base Schedules'!$A$160:$AW$203,39,FALSE)="","",VLOOKUP(Tue_W1[[#This Row],[Employee Name]],'Base Schedules'!$A$160:$AW$203,39,FALSE)),"")</f>
        <v/>
      </c>
      <c r="AO27" s="184" t="str">
        <f>IFERROR(IF(VLOOKUP(Tue_W1[[#This Row],[Employee Name]],'Base Schedules'!$A$160:$AW$203,40,FALSE)="","",VLOOKUP(Tue_W1[[#This Row],[Employee Name]],'Base Schedules'!$A$160:$AW$203,40,FALSE)),"")</f>
        <v/>
      </c>
      <c r="AP27" s="184" t="str">
        <f>IFERROR(IF(VLOOKUP(Tue_W1[[#This Row],[Employee Name]],'Base Schedules'!$A$160:$AW$203,41,FALSE)="","",VLOOKUP(Tue_W1[[#This Row],[Employee Name]],'Base Schedules'!$A$160:$AW$203,41,FALSE)),"")</f>
        <v/>
      </c>
      <c r="AQ27" s="184" t="str">
        <f>IFERROR(IF(VLOOKUP(Tue_W1[[#This Row],[Employee Name]],'Base Schedules'!$A$160:$AW$203,42,FALSE)="","",VLOOKUP(Tue_W1[[#This Row],[Employee Name]],'Base Schedules'!$A$160:$AW$203,42,FALSE)),"")</f>
        <v/>
      </c>
      <c r="AR27" s="184" t="str">
        <f>IFERROR(IF(VLOOKUP(Tue_W1[[#This Row],[Employee Name]],'Base Schedules'!$A$160:$AW$203,43,FALSE)="","",VLOOKUP(Tue_W1[[#This Row],[Employee Name]],'Base Schedules'!$A$160:$AW$203,43,FALSE)),"")</f>
        <v/>
      </c>
      <c r="AS27" s="184" t="str">
        <f>IFERROR(IF(VLOOKUP(Tue_W1[[#This Row],[Employee Name]],'Base Schedules'!$A$160:$AW$203,44,FALSE)="","",VLOOKUP(Tue_W1[[#This Row],[Employee Name]],'Base Schedules'!$A$160:$AW$203,44,FALSE)),"")</f>
        <v/>
      </c>
      <c r="AT27" s="184" t="str">
        <f>IFERROR(IF(VLOOKUP(Tue_W1[[#This Row],[Employee Name]],'Base Schedules'!$A$160:$AW$203,45,FALSE)="","",VLOOKUP(Tue_W1[[#This Row],[Employee Name]],'Base Schedules'!$A$160:$AW$203,45,FALSE)),"")</f>
        <v/>
      </c>
      <c r="AU27" s="184" t="str">
        <f>IFERROR(IF(VLOOKUP(Tue_W1[[#This Row],[Employee Name]],'Base Schedules'!$A$160:$AW$203,46,FALSE)="","",VLOOKUP(Tue_W1[[#This Row],[Employee Name]],'Base Schedules'!$A$160:$AW$203,46,FALSE)),"")</f>
        <v/>
      </c>
      <c r="AV27" s="184" t="str">
        <f>IFERROR(IF(VLOOKUP(Tue_W1[[#This Row],[Employee Name]],'Base Schedules'!$A$160:$AW$203,47,FALSE)="","",VLOOKUP(Tue_W1[[#This Row],[Employee Name]],'Base Schedules'!$A$160:$AW$203,47,FALSE)),"")</f>
        <v/>
      </c>
      <c r="AW27" s="184" t="str">
        <f>IFERROR(IF(VLOOKUP(Tue_W1[[#This Row],[Employee Name]],'Base Schedules'!$A$160:$AW$203,48,FALSE)="","",VLOOKUP(Tue_W1[[#This Row],[Employee Name]],'Base Schedules'!$A$160:$AW$203,48,FALSE)),"")</f>
        <v/>
      </c>
      <c r="AX27" s="184" t="str">
        <f>IFERROR(IF(VLOOKUP(Tue_W1[[#This Row],[Employee Name]],'Base Schedules'!$A$160:$AW$203,49,FALSE)="","",VLOOKUP(Tue_W1[[#This Row],[Employee Name]],'Base Schedules'!$A$160:$AW$203,49,FALSE)),"")</f>
        <v/>
      </c>
      <c r="AY27" s="164" t="str">
        <f t="shared" si="2"/>
        <v>McLean, Michael</v>
      </c>
    </row>
    <row r="28" spans="1:51" s="44" customFormat="1" ht="12" x14ac:dyDescent="0.2">
      <c r="A28" s="39" t="str">
        <f>IF(B28="","",INDEX(TeamList[],MATCH($B28,TeamList[[Employee Name]:[Employee Name]],0),MATCH("Manager",TeamList[#Headers],0)))</f>
        <v>Olson, Katherine</v>
      </c>
      <c r="B28" s="201" t="s">
        <v>69</v>
      </c>
      <c r="C28" s="257" t="str">
        <f>_xlfn.IFNA(VLOOKUP(Tue_W1[[#This Row],[Employee Name]],'Base Schedules'!A:B,2,FALSE),"")</f>
        <v>Lead</v>
      </c>
      <c r="D28" s="274">
        <f>_xlfn.IFNA(VLOOKUP(Tue_W1[[#This Row],[Employee Name]],'Base Schedules'!A:C,3,FALSE),"")</f>
        <v>1000</v>
      </c>
      <c r="E28" s="274">
        <f>_xlfn.IFNA(VLOOKUP(Tue_W1[[#This Row],[Employee Name]],'Base Schedules'!A:D,4,FALSE),"")</f>
        <v>1900</v>
      </c>
      <c r="F28" s="142">
        <f>IF(Tue_W1[[#This Row],[Employee Name]]="","",IF(Tue_W1[[#This Row],[Dept]]="Supervisor",COUNTIFS($J28:$AX28,"*HL*",$J28:$AX28,"&lt;&gt;"&amp;"pHL"),COUNTIFS($J28:$AX28,"*HL*",$J28:$AX28,"&lt;&gt;"&amp;"*pHL*",$J28:$AX28,"&lt;&gt;"&amp;"pB1 HL",$J28:$AX28,"&lt;&gt;"&amp;"pB2 HL")-SUM(COUNTIFS($J28:$AX28,"*HL B1*",$J28:$AX28,"&lt;&gt;"&amp;"pHL B1")*0.5,COUNTIFS($J28:$AX28,"*HL B2*",$J28:$AX28,"&lt;&gt;"&amp;"pHL B2")*0.5,COUNTIFS($J28:$AX28,"*B1 HL*",$J28:$AX28,"&lt;&gt;"&amp;"pB1 HL")*0.5,COUNTIFS($J28:$AX28,"*B2 HL*",$J28:$AX28,"&lt;&gt;"&amp;"pB2 HL")*0.5)))</f>
        <v>7.5</v>
      </c>
      <c r="G28" s="142">
        <f t="shared" si="0"/>
        <v>0</v>
      </c>
      <c r="H28" s="142">
        <f t="shared" si="1"/>
        <v>6</v>
      </c>
      <c r="I28" s="142">
        <f>IF(Tue_W1[[#This Row],[Employee Name]]="","",IF(Tue_W1[[#This Row],[Dept]]="Supervisor",SUM(COUNTIFS($J28:$AX28,"RTA*",$J28:$AX28,"&lt;&gt;"&amp;"pRTA"),COUNTIFS($J28:$AX28,"*CRTA*",$J28:$AX28,"&lt;&gt;"&amp;"pCRTA")),COUNTIFS($J28:$AX28,"*RNNR*",$J28:$AX28,"&lt;&gt;"&amp;"*pRNNR*",$J28:$AX28,"&lt;&gt;"&amp;"pB1 RNNR",$J28:$AX28,"&lt;&gt;"&amp;"pB2 RNNR")-SUM(COUNTIFS($J28:$AX28,"*RNNR B1*",$J28:$AX28,"&lt;&gt;"&amp;"pRNNR B1")*0.5,COUNTIFS($J28:$AX28,"*RNNR B2*",$J28:$AX28,"&lt;&gt;"&amp;"pRNNR B2")*0.5,COUNTIFS($J28:$AX28,"*B1 RNNR*",$J28:$AX28,"&lt;&gt;"&amp;"pB1 RNNR")*0.5,COUNTIFS($J28:$AX28,"*B2 RNNR*",$J28:$AX28,"&lt;&gt;"&amp;"pB2 RNNR")*0.5)))</f>
        <v>2</v>
      </c>
      <c r="J28" s="184" t="str">
        <f>IFERROR(IF(VLOOKUP(Tue_W1[[#This Row],[Employee Name]],'Base Schedules'!$A$160:$AW$203,9,FALSE)="","",VLOOKUP(Tue_W1[[#This Row],[Employee Name]],'Base Schedules'!$A$160:$AW$203,9,FALSE)),"")</f>
        <v/>
      </c>
      <c r="K28" s="184" t="str">
        <f>IFERROR(IF(VLOOKUP(Tue_W1[[#This Row],[Employee Name]],'Base Schedules'!$A$160:$AW$203,10,FALSE)="","",VLOOKUP(Tue_W1[[#This Row],[Employee Name]],'Base Schedules'!$A$160:$AW$203,10,FALSE)),"")</f>
        <v/>
      </c>
      <c r="L28" s="184" t="str">
        <f>IFERROR(IF(VLOOKUP(Tue_W1[[#This Row],[Employee Name]],'Base Schedules'!$A$160:$AW$203,11,FALSE)="","",VLOOKUP(Tue_W1[[#This Row],[Employee Name]],'Base Schedules'!$A$160:$AW$203,11,FALSE)),"")</f>
        <v/>
      </c>
      <c r="M28" s="184" t="str">
        <f>IFERROR(IF(VLOOKUP(Tue_W1[[#This Row],[Employee Name]],'Base Schedules'!$A$160:$AW$203,12,FALSE)="","",VLOOKUP(Tue_W1[[#This Row],[Employee Name]],'Base Schedules'!$A$160:$AW$203,12,FALSE)),"")</f>
        <v/>
      </c>
      <c r="N28" s="184" t="str">
        <f>IFERROR(IF(VLOOKUP(Tue_W1[[#This Row],[Employee Name]],'Base Schedules'!$A$160:$AW$203,13,FALSE)="","",VLOOKUP(Tue_W1[[#This Row],[Employee Name]],'Base Schedules'!$A$160:$AW$203,13,FALSE)),"")</f>
        <v/>
      </c>
      <c r="O28" s="184" t="str">
        <f>IFERROR(IF(VLOOKUP(Tue_W1[[#This Row],[Employee Name]],'Base Schedules'!$A$160:$AW$203,14,FALSE)="","",VLOOKUP(Tue_W1[[#This Row],[Employee Name]],'Base Schedules'!$A$160:$AW$203,14,FALSE)),"")</f>
        <v/>
      </c>
      <c r="P28" s="184" t="str">
        <f>IFERROR(IF(VLOOKUP(Tue_W1[[#This Row],[Employee Name]],'Base Schedules'!$A$160:$AW$203,15,FALSE)="","",VLOOKUP(Tue_W1[[#This Row],[Employee Name]],'Base Schedules'!$A$160:$AW$203,15,FALSE)),"")</f>
        <v/>
      </c>
      <c r="Q28" s="184" t="str">
        <f>IFERROR(IF(VLOOKUP(Tue_W1[[#This Row],[Employee Name]],'Base Schedules'!$A$160:$AW$203,16,FALSE)="","",VLOOKUP(Tue_W1[[#This Row],[Employee Name]],'Base Schedules'!$A$160:$AW$203,16,FALSE)),"")</f>
        <v/>
      </c>
      <c r="R28" s="184" t="str">
        <f>IFERROR(IF(VLOOKUP(Tue_W1[[#This Row],[Employee Name]],'Base Schedules'!$A$160:$AW$203,17,FALSE)="","",VLOOKUP(Tue_W1[[#This Row],[Employee Name]],'Base Schedules'!$A$160:$AW$203,17,FALSE)),"")</f>
        <v/>
      </c>
      <c r="S28" s="184" t="str">
        <f>IFERROR(IF(VLOOKUP(Tue_W1[[#This Row],[Employee Name]],'Base Schedules'!$A$160:$AW$203,18,FALSE)="","",VLOOKUP(Tue_W1[[#This Row],[Employee Name]],'Base Schedules'!$A$160:$AW$203,18,FALSE)),"")</f>
        <v/>
      </c>
      <c r="T28" s="184" t="str">
        <f>IFERROR(IF(VLOOKUP(Tue_W1[[#This Row],[Employee Name]],'Base Schedules'!$A$160:$AW$203,19,FALSE)="","",VLOOKUP(Tue_W1[[#This Row],[Employee Name]],'Base Schedules'!$A$160:$AW$203,19,FALSE)),"")</f>
        <v>HL</v>
      </c>
      <c r="U28" s="184" t="str">
        <f>IFERROR(IF(VLOOKUP(Tue_W1[[#This Row],[Employee Name]],'Base Schedules'!$A$160:$AW$203,20,FALSE)="","",VLOOKUP(Tue_W1[[#This Row],[Employee Name]],'Base Schedules'!$A$160:$AW$203,20,FALSE)),"")</f>
        <v>HL</v>
      </c>
      <c r="V28" s="184" t="str">
        <f>IFERROR(IF(VLOOKUP(Tue_W1[[#This Row],[Employee Name]],'Base Schedules'!$A$160:$AW$203,21,FALSE)="","",VLOOKUP(Tue_W1[[#This Row],[Employee Name]],'Base Schedules'!$A$160:$AW$203,21,FALSE)),"")</f>
        <v>HL</v>
      </c>
      <c r="W28" s="184" t="str">
        <f>IFERROR(IF(VLOOKUP(Tue_W1[[#This Row],[Employee Name]],'Base Schedules'!$A$160:$AW$203,22,FALSE)="","",VLOOKUP(Tue_W1[[#This Row],[Employee Name]],'Base Schedules'!$A$160:$AW$203,22,FALSE)),"")</f>
        <v>HL</v>
      </c>
      <c r="X28" s="184" t="str">
        <f>IFERROR(IF(VLOOKUP(Tue_W1[[#This Row],[Employee Name]],'Base Schedules'!$A$160:$AW$203,23,FALSE)="","",VLOOKUP(Tue_W1[[#This Row],[Employee Name]],'Base Schedules'!$A$160:$AW$203,23,FALSE)),"")</f>
        <v>HL B1</v>
      </c>
      <c r="Y28" s="184" t="str">
        <f>IFERROR(IF(VLOOKUP(Tue_W1[[#This Row],[Employee Name]],'Base Schedules'!$A$160:$AW$203,24,FALSE)="","",VLOOKUP(Tue_W1[[#This Row],[Employee Name]],'Base Schedules'!$A$160:$AW$203,24,FALSE)),"")</f>
        <v>ADM</v>
      </c>
      <c r="Z28" s="184" t="str">
        <f>IFERROR(IF(VLOOKUP(Tue_W1[[#This Row],[Employee Name]],'Base Schedules'!$A$160:$AW$203,25,FALSE)="","",VLOOKUP(Tue_W1[[#This Row],[Employee Name]],'Base Schedules'!$A$160:$AW$203,25,FALSE)),"")</f>
        <v>ADM</v>
      </c>
      <c r="AA28" s="184" t="str">
        <f>IFERROR(IF(VLOOKUP(Tue_W1[[#This Row],[Employee Name]],'Base Schedules'!$A$160:$AW$203,26,FALSE)="","",VLOOKUP(Tue_W1[[#This Row],[Employee Name]],'Base Schedules'!$A$160:$AW$203,26,FALSE)),"")</f>
        <v>ADM</v>
      </c>
      <c r="AB28" s="184" t="str">
        <f>IFERROR(IF(VLOOKUP(Tue_W1[[#This Row],[Employee Name]],'Base Schedules'!$A$160:$AW$203,27,FALSE)="","",VLOOKUP(Tue_W1[[#This Row],[Employee Name]],'Base Schedules'!$A$160:$AW$203,27,FALSE)),"")</f>
        <v>LUNCH</v>
      </c>
      <c r="AC28" s="184" t="str">
        <f>IFERROR(IF(VLOOKUP(Tue_W1[[#This Row],[Employee Name]],'Base Schedules'!$A$160:$AW$203,28,FALSE)="","",VLOOKUP(Tue_W1[[#This Row],[Employee Name]],'Base Schedules'!$A$160:$AW$203,28,FALSE)),"")</f>
        <v>LUNCH</v>
      </c>
      <c r="AD28" s="184" t="str">
        <f>IFERROR(IF(VLOOKUP(Tue_W1[[#This Row],[Employee Name]],'Base Schedules'!$A$160:$AW$203,29,FALSE)="","",VLOOKUP(Tue_W1[[#This Row],[Employee Name]],'Base Schedules'!$A$160:$AW$203,29,FALSE)),"")</f>
        <v>RNNR</v>
      </c>
      <c r="AE28" s="184" t="str">
        <f>IFERROR(IF(VLOOKUP(Tue_W1[[#This Row],[Employee Name]],'Base Schedules'!$A$160:$AW$203,30,FALSE)="","",VLOOKUP(Tue_W1[[#This Row],[Employee Name]],'Base Schedules'!$A$160:$AW$203,30,FALSE)),"")</f>
        <v>RNNR</v>
      </c>
      <c r="AF28" s="184" t="str">
        <f>IFERROR(IF(VLOOKUP(Tue_W1[[#This Row],[Employee Name]],'Base Schedules'!$A$160:$AW$203,31,FALSE)="","",VLOOKUP(Tue_W1[[#This Row],[Employee Name]],'Base Schedules'!$A$160:$AW$203,31,FALSE)),"")</f>
        <v>HL</v>
      </c>
      <c r="AG28" s="184" t="str">
        <f>IFERROR(IF(VLOOKUP(Tue_W1[[#This Row],[Employee Name]],'Base Schedules'!$A$160:$AW$203,32,FALSE)="","",VLOOKUP(Tue_W1[[#This Row],[Employee Name]],'Base Schedules'!$A$160:$AW$203,32,FALSE)),"")</f>
        <v>HL</v>
      </c>
      <c r="AH28" s="184" t="str">
        <f>IFERROR(IF(VLOOKUP(Tue_W1[[#This Row],[Employee Name]],'Base Schedules'!$A$160:$AW$203,33,FALSE)="","",VLOOKUP(Tue_W1[[#This Row],[Employee Name]],'Base Schedules'!$A$160:$AW$203,33,FALSE)),"")</f>
        <v>B2 ADM</v>
      </c>
      <c r="AI28" s="184" t="str">
        <f>IFERROR(IF(VLOOKUP(Tue_W1[[#This Row],[Employee Name]],'Base Schedules'!$A$160:$AW$203,34,FALSE)="","",VLOOKUP(Tue_W1[[#This Row],[Employee Name]],'Base Schedules'!$A$160:$AW$203,34,FALSE)),"")</f>
        <v>ADM</v>
      </c>
      <c r="AJ28" s="184" t="str">
        <f>IFERROR(IF(VLOOKUP(Tue_W1[[#This Row],[Employee Name]],'Base Schedules'!$A$160:$AW$203,35,FALSE)="","",VLOOKUP(Tue_W1[[#This Row],[Employee Name]],'Base Schedules'!$A$160:$AW$203,35,FALSE)),"")</f>
        <v>HL</v>
      </c>
      <c r="AK28" s="184" t="str">
        <f>IFERROR(IF(VLOOKUP(Tue_W1[[#This Row],[Employee Name]],'Base Schedules'!$A$160:$AW$203,36,FALSE)="","",VLOOKUP(Tue_W1[[#This Row],[Employee Name]],'Base Schedules'!$A$160:$AW$203,36,FALSE)),"")</f>
        <v>ADM</v>
      </c>
      <c r="AL28" s="184" t="str">
        <f>IFERROR(IF(VLOOKUP(Tue_W1[[#This Row],[Employee Name]],'Base Schedules'!$A$160:$AW$203,37,FALSE)="","",VLOOKUP(Tue_W1[[#This Row],[Employee Name]],'Base Schedules'!$A$160:$AW$203,37,FALSE)),"")</f>
        <v/>
      </c>
      <c r="AM28" s="184" t="str">
        <f>IFERROR(IF(VLOOKUP(Tue_W1[[#This Row],[Employee Name]],'Base Schedules'!$A$160:$AW$203,38,FALSE)="","",VLOOKUP(Tue_W1[[#This Row],[Employee Name]],'Base Schedules'!$A$160:$AW$203,38,FALSE)),"")</f>
        <v/>
      </c>
      <c r="AN28" s="184" t="str">
        <f>IFERROR(IF(VLOOKUP(Tue_W1[[#This Row],[Employee Name]],'Base Schedules'!$A$160:$AW$203,39,FALSE)="","",VLOOKUP(Tue_W1[[#This Row],[Employee Name]],'Base Schedules'!$A$160:$AW$203,39,FALSE)),"")</f>
        <v/>
      </c>
      <c r="AO28" s="184" t="str">
        <f>IFERROR(IF(VLOOKUP(Tue_W1[[#This Row],[Employee Name]],'Base Schedules'!$A$160:$AW$203,40,FALSE)="","",VLOOKUP(Tue_W1[[#This Row],[Employee Name]],'Base Schedules'!$A$160:$AW$203,40,FALSE)),"")</f>
        <v/>
      </c>
      <c r="AP28" s="184" t="str">
        <f>IFERROR(IF(VLOOKUP(Tue_W1[[#This Row],[Employee Name]],'Base Schedules'!$A$160:$AW$203,41,FALSE)="","",VLOOKUP(Tue_W1[[#This Row],[Employee Name]],'Base Schedules'!$A$160:$AW$203,41,FALSE)),"")</f>
        <v/>
      </c>
      <c r="AQ28" s="184" t="str">
        <f>IFERROR(IF(VLOOKUP(Tue_W1[[#This Row],[Employee Name]],'Base Schedules'!$A$160:$AW$203,42,FALSE)="","",VLOOKUP(Tue_W1[[#This Row],[Employee Name]],'Base Schedules'!$A$160:$AW$203,42,FALSE)),"")</f>
        <v/>
      </c>
      <c r="AR28" s="184" t="str">
        <f>IFERROR(IF(VLOOKUP(Tue_W1[[#This Row],[Employee Name]],'Base Schedules'!$A$160:$AW$203,43,FALSE)="","",VLOOKUP(Tue_W1[[#This Row],[Employee Name]],'Base Schedules'!$A$160:$AW$203,43,FALSE)),"")</f>
        <v/>
      </c>
      <c r="AS28" s="184" t="str">
        <f>IFERROR(IF(VLOOKUP(Tue_W1[[#This Row],[Employee Name]],'Base Schedules'!$A$160:$AW$203,44,FALSE)="","",VLOOKUP(Tue_W1[[#This Row],[Employee Name]],'Base Schedules'!$A$160:$AW$203,44,FALSE)),"")</f>
        <v/>
      </c>
      <c r="AT28" s="184" t="str">
        <f>IFERROR(IF(VLOOKUP(Tue_W1[[#This Row],[Employee Name]],'Base Schedules'!$A$160:$AW$203,45,FALSE)="","",VLOOKUP(Tue_W1[[#This Row],[Employee Name]],'Base Schedules'!$A$160:$AW$203,45,FALSE)),"")</f>
        <v/>
      </c>
      <c r="AU28" s="184" t="str">
        <f>IFERROR(IF(VLOOKUP(Tue_W1[[#This Row],[Employee Name]],'Base Schedules'!$A$160:$AW$203,46,FALSE)="","",VLOOKUP(Tue_W1[[#This Row],[Employee Name]],'Base Schedules'!$A$160:$AW$203,46,FALSE)),"")</f>
        <v/>
      </c>
      <c r="AV28" s="184" t="str">
        <f>IFERROR(IF(VLOOKUP(Tue_W1[[#This Row],[Employee Name]],'Base Schedules'!$A$160:$AW$203,47,FALSE)="","",VLOOKUP(Tue_W1[[#This Row],[Employee Name]],'Base Schedules'!$A$160:$AW$203,47,FALSE)),"")</f>
        <v/>
      </c>
      <c r="AW28" s="184" t="str">
        <f>IFERROR(IF(VLOOKUP(Tue_W1[[#This Row],[Employee Name]],'Base Schedules'!$A$160:$AW$203,48,FALSE)="","",VLOOKUP(Tue_W1[[#This Row],[Employee Name]],'Base Schedules'!$A$160:$AW$203,48,FALSE)),"")</f>
        <v/>
      </c>
      <c r="AX28" s="184" t="str">
        <f>IFERROR(IF(VLOOKUP(Tue_W1[[#This Row],[Employee Name]],'Base Schedules'!$A$160:$AW$203,49,FALSE)="","",VLOOKUP(Tue_W1[[#This Row],[Employee Name]],'Base Schedules'!$A$160:$AW$203,49,FALSE)),"")</f>
        <v/>
      </c>
      <c r="AY28" s="164" t="str">
        <f t="shared" si="2"/>
        <v>Slagle, Natasha</v>
      </c>
    </row>
    <row r="29" spans="1:51" s="44" customFormat="1" ht="12" x14ac:dyDescent="0.2">
      <c r="A29" s="39" t="str">
        <f>IF(B29="","",INDEX(TeamList[],MATCH($B29,TeamList[[Employee Name]:[Employee Name]],0),MATCH("Manager",TeamList[#Headers],0)))</f>
        <v>Olson, Katherine</v>
      </c>
      <c r="B29" s="201" t="s">
        <v>67</v>
      </c>
      <c r="C29" s="257" t="str">
        <f>_xlfn.IFNA(VLOOKUP(Tue_W1[[#This Row],[Employee Name]],'Base Schedules'!A:B,2,FALSE),"")</f>
        <v>Lead</v>
      </c>
      <c r="D29" s="274">
        <f>_xlfn.IFNA(VLOOKUP(Tue_W1[[#This Row],[Employee Name]],'Base Schedules'!A:C,3,FALSE),"")</f>
        <v>1030</v>
      </c>
      <c r="E29" s="274">
        <f>_xlfn.IFNA(VLOOKUP(Tue_W1[[#This Row],[Employee Name]],'Base Schedules'!A:D,4,FALSE),"")</f>
        <v>1900</v>
      </c>
      <c r="F29" s="142">
        <f>IF(Tue_W1[[#This Row],[Employee Name]]="","",IF(Tue_W1[[#This Row],[Dept]]="Supervisor",COUNTIFS($J29:$AX29,"*HL*",$J29:$AX29,"&lt;&gt;"&amp;"pHL"),COUNTIFS($J29:$AX29,"*HL*",$J29:$AX29,"&lt;&gt;"&amp;"*pHL*",$J29:$AX29,"&lt;&gt;"&amp;"pB1 HL",$J29:$AX29,"&lt;&gt;"&amp;"pB2 HL")-SUM(COUNTIFS($J29:$AX29,"*HL B1*",$J29:$AX29,"&lt;&gt;"&amp;"pHL B1")*0.5,COUNTIFS($J29:$AX29,"*HL B2*",$J29:$AX29,"&lt;&gt;"&amp;"pHL B2")*0.5,COUNTIFS($J29:$AX29,"*B1 HL*",$J29:$AX29,"&lt;&gt;"&amp;"pB1 HL")*0.5,COUNTIFS($J29:$AX29,"*B2 HL*",$J29:$AX29,"&lt;&gt;"&amp;"pB2 HL")*0.5)))</f>
        <v>7.5</v>
      </c>
      <c r="G29" s="142">
        <f t="shared" si="0"/>
        <v>0</v>
      </c>
      <c r="H29" s="142">
        <f t="shared" si="1"/>
        <v>6</v>
      </c>
      <c r="I29" s="142">
        <f>IF(Tue_W1[[#This Row],[Employee Name]]="","",IF(Tue_W1[[#This Row],[Dept]]="Supervisor",SUM(COUNTIFS($J29:$AX29,"RTA*",$J29:$AX29,"&lt;&gt;"&amp;"pRTA"),COUNTIFS($J29:$AX29,"*CRTA*",$J29:$AX29,"&lt;&gt;"&amp;"pCRTA")),COUNTIFS($J29:$AX29,"*RNNR*",$J29:$AX29,"&lt;&gt;"&amp;"*pRNNR*",$J29:$AX29,"&lt;&gt;"&amp;"pB1 RNNR",$J29:$AX29,"&lt;&gt;"&amp;"pB2 RNNR")-SUM(COUNTIFS($J29:$AX29,"*RNNR B1*",$J29:$AX29,"&lt;&gt;"&amp;"pRNNR B1")*0.5,COUNTIFS($J29:$AX29,"*RNNR B2*",$J29:$AX29,"&lt;&gt;"&amp;"pRNNR B2")*0.5,COUNTIFS($J29:$AX29,"*B1 RNNR*",$J29:$AX29,"&lt;&gt;"&amp;"pB1 RNNR")*0.5,COUNTIFS($J29:$AX29,"*B2 RNNR*",$J29:$AX29,"&lt;&gt;"&amp;"pB2 RNNR")*0.5)))</f>
        <v>2</v>
      </c>
      <c r="J29" s="184" t="str">
        <f>IFERROR(IF(VLOOKUP(Tue_W1[[#This Row],[Employee Name]],'Base Schedules'!$A$160:$AW$203,9,FALSE)="","",VLOOKUP(Tue_W1[[#This Row],[Employee Name]],'Base Schedules'!$A$160:$AW$203,9,FALSE)),"")</f>
        <v/>
      </c>
      <c r="K29" s="184" t="str">
        <f>IFERROR(IF(VLOOKUP(Tue_W1[[#This Row],[Employee Name]],'Base Schedules'!$A$160:$AW$203,10,FALSE)="","",VLOOKUP(Tue_W1[[#This Row],[Employee Name]],'Base Schedules'!$A$160:$AW$203,10,FALSE)),"")</f>
        <v/>
      </c>
      <c r="L29" s="184" t="str">
        <f>IFERROR(IF(VLOOKUP(Tue_W1[[#This Row],[Employee Name]],'Base Schedules'!$A$160:$AW$203,11,FALSE)="","",VLOOKUP(Tue_W1[[#This Row],[Employee Name]],'Base Schedules'!$A$160:$AW$203,11,FALSE)),"")</f>
        <v/>
      </c>
      <c r="M29" s="184" t="str">
        <f>IFERROR(IF(VLOOKUP(Tue_W1[[#This Row],[Employee Name]],'Base Schedules'!$A$160:$AW$203,12,FALSE)="","",VLOOKUP(Tue_W1[[#This Row],[Employee Name]],'Base Schedules'!$A$160:$AW$203,12,FALSE)),"")</f>
        <v/>
      </c>
      <c r="N29" s="184" t="str">
        <f>IFERROR(IF(VLOOKUP(Tue_W1[[#This Row],[Employee Name]],'Base Schedules'!$A$160:$AW$203,13,FALSE)="","",VLOOKUP(Tue_W1[[#This Row],[Employee Name]],'Base Schedules'!$A$160:$AW$203,13,FALSE)),"")</f>
        <v/>
      </c>
      <c r="O29" s="184" t="str">
        <f>IFERROR(IF(VLOOKUP(Tue_W1[[#This Row],[Employee Name]],'Base Schedules'!$A$160:$AW$203,14,FALSE)="","",VLOOKUP(Tue_W1[[#This Row],[Employee Name]],'Base Schedules'!$A$160:$AW$203,14,FALSE)),"")</f>
        <v/>
      </c>
      <c r="P29" s="184" t="str">
        <f>IFERROR(IF(VLOOKUP(Tue_W1[[#This Row],[Employee Name]],'Base Schedules'!$A$160:$AW$203,15,FALSE)="","",VLOOKUP(Tue_W1[[#This Row],[Employee Name]],'Base Schedules'!$A$160:$AW$203,15,FALSE)),"")</f>
        <v/>
      </c>
      <c r="Q29" s="184" t="str">
        <f>IFERROR(IF(VLOOKUP(Tue_W1[[#This Row],[Employee Name]],'Base Schedules'!$A$160:$AW$203,16,FALSE)="","",VLOOKUP(Tue_W1[[#This Row],[Employee Name]],'Base Schedules'!$A$160:$AW$203,16,FALSE)),"")</f>
        <v/>
      </c>
      <c r="R29" s="184" t="str">
        <f>IFERROR(IF(VLOOKUP(Tue_W1[[#This Row],[Employee Name]],'Base Schedules'!$A$160:$AW$203,17,FALSE)="","",VLOOKUP(Tue_W1[[#This Row],[Employee Name]],'Base Schedules'!$A$160:$AW$203,17,FALSE)),"")</f>
        <v/>
      </c>
      <c r="S29" s="184" t="str">
        <f>IFERROR(IF(VLOOKUP(Tue_W1[[#This Row],[Employee Name]],'Base Schedules'!$A$160:$AW$203,18,FALSE)="","",VLOOKUP(Tue_W1[[#This Row],[Employee Name]],'Base Schedules'!$A$160:$AW$203,18,FALSE)),"")</f>
        <v/>
      </c>
      <c r="T29" s="184" t="str">
        <f>IFERROR(IF(VLOOKUP(Tue_W1[[#This Row],[Employee Name]],'Base Schedules'!$A$160:$AW$203,19,FALSE)="","",VLOOKUP(Tue_W1[[#This Row],[Employee Name]],'Base Schedules'!$A$160:$AW$203,19,FALSE)),"")</f>
        <v/>
      </c>
      <c r="U29" s="184" t="str">
        <f>IFERROR(IF(VLOOKUP(Tue_W1[[#This Row],[Employee Name]],'Base Schedules'!$A$160:$AW$203,20,FALSE)="","",VLOOKUP(Tue_W1[[#This Row],[Employee Name]],'Base Schedules'!$A$160:$AW$203,20,FALSE)),"")</f>
        <v>HL</v>
      </c>
      <c r="V29" s="184" t="str">
        <f>IFERROR(IF(VLOOKUP(Tue_W1[[#This Row],[Employee Name]],'Base Schedules'!$A$160:$AW$203,21,FALSE)="","",VLOOKUP(Tue_W1[[#This Row],[Employee Name]],'Base Schedules'!$A$160:$AW$203,21,FALSE)),"")</f>
        <v>HL</v>
      </c>
      <c r="W29" s="184" t="str">
        <f>IFERROR(IF(VLOOKUP(Tue_W1[[#This Row],[Employee Name]],'Base Schedules'!$A$160:$AW$203,22,FALSE)="","",VLOOKUP(Tue_W1[[#This Row],[Employee Name]],'Base Schedules'!$A$160:$AW$203,22,FALSE)),"")</f>
        <v>HL</v>
      </c>
      <c r="X29" s="184" t="str">
        <f>IFERROR(IF(VLOOKUP(Tue_W1[[#This Row],[Employee Name]],'Base Schedules'!$A$160:$AW$203,23,FALSE)="","",VLOOKUP(Tue_W1[[#This Row],[Employee Name]],'Base Schedules'!$A$160:$AW$203,23,FALSE)),"")</f>
        <v>HL</v>
      </c>
      <c r="Y29" s="184" t="str">
        <f>IFERROR(IF(VLOOKUP(Tue_W1[[#This Row],[Employee Name]],'Base Schedules'!$A$160:$AW$203,24,FALSE)="","",VLOOKUP(Tue_W1[[#This Row],[Employee Name]],'Base Schedules'!$A$160:$AW$203,24,FALSE)),"")</f>
        <v>B1 HL</v>
      </c>
      <c r="Z29" s="184" t="str">
        <f>IFERROR(IF(VLOOKUP(Tue_W1[[#This Row],[Employee Name]],'Base Schedules'!$A$160:$AW$203,25,FALSE)="","",VLOOKUP(Tue_W1[[#This Row],[Employee Name]],'Base Schedules'!$A$160:$AW$203,25,FALSE)),"")</f>
        <v>ADM</v>
      </c>
      <c r="AA29" s="184" t="str">
        <f>IFERROR(IF(VLOOKUP(Tue_W1[[#This Row],[Employee Name]],'Base Schedules'!$A$160:$AW$203,26,FALSE)="","",VLOOKUP(Tue_W1[[#This Row],[Employee Name]],'Base Schedules'!$A$160:$AW$203,26,FALSE)),"")</f>
        <v>ADM</v>
      </c>
      <c r="AB29" s="184" t="str">
        <f>IFERROR(IF(VLOOKUP(Tue_W1[[#This Row],[Employee Name]],'Base Schedules'!$A$160:$AW$203,27,FALSE)="","",VLOOKUP(Tue_W1[[#This Row],[Employee Name]],'Base Schedules'!$A$160:$AW$203,27,FALSE)),"")</f>
        <v>HL</v>
      </c>
      <c r="AC29" s="184" t="str">
        <f>IFERROR(IF(VLOOKUP(Tue_W1[[#This Row],[Employee Name]],'Base Schedules'!$A$160:$AW$203,28,FALSE)="","",VLOOKUP(Tue_W1[[#This Row],[Employee Name]],'Base Schedules'!$A$160:$AW$203,28,FALSE)),"")</f>
        <v>LUNCH</v>
      </c>
      <c r="AD29" s="184" t="str">
        <f>IFERROR(IF(VLOOKUP(Tue_W1[[#This Row],[Employee Name]],'Base Schedules'!$A$160:$AW$203,29,FALSE)="","",VLOOKUP(Tue_W1[[#This Row],[Employee Name]],'Base Schedules'!$A$160:$AW$203,29,FALSE)),"")</f>
        <v>ADM</v>
      </c>
      <c r="AE29" s="184" t="str">
        <f>IFERROR(IF(VLOOKUP(Tue_W1[[#This Row],[Employee Name]],'Base Schedules'!$A$160:$AW$203,30,FALSE)="","",VLOOKUP(Tue_W1[[#This Row],[Employee Name]],'Base Schedules'!$A$160:$AW$203,30,FALSE)),"")</f>
        <v>HL</v>
      </c>
      <c r="AF29" s="184" t="str">
        <f>IFERROR(IF(VLOOKUP(Tue_W1[[#This Row],[Employee Name]],'Base Schedules'!$A$160:$AW$203,31,FALSE)="","",VLOOKUP(Tue_W1[[#This Row],[Employee Name]],'Base Schedules'!$A$160:$AW$203,31,FALSE)),"")</f>
        <v>HL</v>
      </c>
      <c r="AG29" s="184" t="str">
        <f>IFERROR(IF(VLOOKUP(Tue_W1[[#This Row],[Employee Name]],'Base Schedules'!$A$160:$AW$203,32,FALSE)="","",VLOOKUP(Tue_W1[[#This Row],[Employee Name]],'Base Schedules'!$A$160:$AW$203,32,FALSE)),"")</f>
        <v>ADM B2</v>
      </c>
      <c r="AH29" s="184" t="str">
        <f>IFERROR(IF(VLOOKUP(Tue_W1[[#This Row],[Employee Name]],'Base Schedules'!$A$160:$AW$203,33,FALSE)="","",VLOOKUP(Tue_W1[[#This Row],[Employee Name]],'Base Schedules'!$A$160:$AW$203,33,FALSE)),"")</f>
        <v>ADM</v>
      </c>
      <c r="AI29" s="184" t="str">
        <f>IFERROR(IF(VLOOKUP(Tue_W1[[#This Row],[Employee Name]],'Base Schedules'!$A$160:$AW$203,34,FALSE)="","",VLOOKUP(Tue_W1[[#This Row],[Employee Name]],'Base Schedules'!$A$160:$AW$203,34,FALSE)),"")</f>
        <v>ADM</v>
      </c>
      <c r="AJ29" s="184" t="str">
        <f>IFERROR(IF(VLOOKUP(Tue_W1[[#This Row],[Employee Name]],'Base Schedules'!$A$160:$AW$203,35,FALSE)="","",VLOOKUP(Tue_W1[[#This Row],[Employee Name]],'Base Schedules'!$A$160:$AW$203,35,FALSE)),"")</f>
        <v>RNNR</v>
      </c>
      <c r="AK29" s="184" t="str">
        <f>IFERROR(IF(VLOOKUP(Tue_W1[[#This Row],[Employee Name]],'Base Schedules'!$A$160:$AW$203,36,FALSE)="","",VLOOKUP(Tue_W1[[#This Row],[Employee Name]],'Base Schedules'!$A$160:$AW$203,36,FALSE)),"")</f>
        <v>RNNR</v>
      </c>
      <c r="AL29" s="184" t="str">
        <f>IFERROR(IF(VLOOKUP(Tue_W1[[#This Row],[Employee Name]],'Base Schedules'!$A$160:$AW$203,37,FALSE)="","",VLOOKUP(Tue_W1[[#This Row],[Employee Name]],'Base Schedules'!$A$160:$AW$203,37,FALSE)),"")</f>
        <v/>
      </c>
      <c r="AM29" s="184" t="str">
        <f>IFERROR(IF(VLOOKUP(Tue_W1[[#This Row],[Employee Name]],'Base Schedules'!$A$160:$AW$203,38,FALSE)="","",VLOOKUP(Tue_W1[[#This Row],[Employee Name]],'Base Schedules'!$A$160:$AW$203,38,FALSE)),"")</f>
        <v/>
      </c>
      <c r="AN29" s="184" t="str">
        <f>IFERROR(IF(VLOOKUP(Tue_W1[[#This Row],[Employee Name]],'Base Schedules'!$A$160:$AW$203,39,FALSE)="","",VLOOKUP(Tue_W1[[#This Row],[Employee Name]],'Base Schedules'!$A$160:$AW$203,39,FALSE)),"")</f>
        <v/>
      </c>
      <c r="AO29" s="184" t="str">
        <f>IFERROR(IF(VLOOKUP(Tue_W1[[#This Row],[Employee Name]],'Base Schedules'!$A$160:$AW$203,40,FALSE)="","",VLOOKUP(Tue_W1[[#This Row],[Employee Name]],'Base Schedules'!$A$160:$AW$203,40,FALSE)),"")</f>
        <v/>
      </c>
      <c r="AP29" s="184" t="str">
        <f>IFERROR(IF(VLOOKUP(Tue_W1[[#This Row],[Employee Name]],'Base Schedules'!$A$160:$AW$203,41,FALSE)="","",VLOOKUP(Tue_W1[[#This Row],[Employee Name]],'Base Schedules'!$A$160:$AW$203,41,FALSE)),"")</f>
        <v/>
      </c>
      <c r="AQ29" s="184" t="str">
        <f>IFERROR(IF(VLOOKUP(Tue_W1[[#This Row],[Employee Name]],'Base Schedules'!$A$160:$AW$203,42,FALSE)="","",VLOOKUP(Tue_W1[[#This Row],[Employee Name]],'Base Schedules'!$A$160:$AW$203,42,FALSE)),"")</f>
        <v/>
      </c>
      <c r="AR29" s="184" t="str">
        <f>IFERROR(IF(VLOOKUP(Tue_W1[[#This Row],[Employee Name]],'Base Schedules'!$A$160:$AW$203,43,FALSE)="","",VLOOKUP(Tue_W1[[#This Row],[Employee Name]],'Base Schedules'!$A$160:$AW$203,43,FALSE)),"")</f>
        <v/>
      </c>
      <c r="AS29" s="184" t="str">
        <f>IFERROR(IF(VLOOKUP(Tue_W1[[#This Row],[Employee Name]],'Base Schedules'!$A$160:$AW$203,44,FALSE)="","",VLOOKUP(Tue_W1[[#This Row],[Employee Name]],'Base Schedules'!$A$160:$AW$203,44,FALSE)),"")</f>
        <v/>
      </c>
      <c r="AT29" s="184" t="str">
        <f>IFERROR(IF(VLOOKUP(Tue_W1[[#This Row],[Employee Name]],'Base Schedules'!$A$160:$AW$203,45,FALSE)="","",VLOOKUP(Tue_W1[[#This Row],[Employee Name]],'Base Schedules'!$A$160:$AW$203,45,FALSE)),"")</f>
        <v/>
      </c>
      <c r="AU29" s="184" t="str">
        <f>IFERROR(IF(VLOOKUP(Tue_W1[[#This Row],[Employee Name]],'Base Schedules'!$A$160:$AW$203,46,FALSE)="","",VLOOKUP(Tue_W1[[#This Row],[Employee Name]],'Base Schedules'!$A$160:$AW$203,46,FALSE)),"")</f>
        <v/>
      </c>
      <c r="AV29" s="184" t="str">
        <f>IFERROR(IF(VLOOKUP(Tue_W1[[#This Row],[Employee Name]],'Base Schedules'!$A$160:$AW$203,47,FALSE)="","",VLOOKUP(Tue_W1[[#This Row],[Employee Name]],'Base Schedules'!$A$160:$AW$203,47,FALSE)),"")</f>
        <v/>
      </c>
      <c r="AW29" s="184" t="str">
        <f>IFERROR(IF(VLOOKUP(Tue_W1[[#This Row],[Employee Name]],'Base Schedules'!$A$160:$AW$203,48,FALSE)="","",VLOOKUP(Tue_W1[[#This Row],[Employee Name]],'Base Schedules'!$A$160:$AW$203,48,FALSE)),"")</f>
        <v/>
      </c>
      <c r="AX29" s="184" t="str">
        <f>IFERROR(IF(VLOOKUP(Tue_W1[[#This Row],[Employee Name]],'Base Schedules'!$A$160:$AW$203,49,FALSE)="","",VLOOKUP(Tue_W1[[#This Row],[Employee Name]],'Base Schedules'!$A$160:$AW$203,49,FALSE)),"")</f>
        <v/>
      </c>
      <c r="AY29" s="164" t="str">
        <f t="shared" si="2"/>
        <v>Qualman, Sophy</v>
      </c>
    </row>
    <row r="30" spans="1:51" s="44" customFormat="1" ht="12" x14ac:dyDescent="0.2">
      <c r="A30" s="39" t="str">
        <f>IF(B30="","",INDEX(TeamList[],MATCH($B30,TeamList[[Employee Name]:[Employee Name]],0),MATCH("Manager",TeamList[#Headers],0)))</f>
        <v>Olson, Katherine</v>
      </c>
      <c r="B30" s="201" t="s">
        <v>30</v>
      </c>
      <c r="C30" s="257" t="str">
        <f>_xlfn.IFNA(VLOOKUP(Tue_W1[[#This Row],[Employee Name]],'Base Schedules'!A:B,2,FALSE),"")</f>
        <v>Lead</v>
      </c>
      <c r="D30" s="274">
        <f>_xlfn.IFNA(VLOOKUP(Tue_W1[[#This Row],[Employee Name]],'Base Schedules'!A:C,3,FALSE),"")</f>
        <v>1100</v>
      </c>
      <c r="E30" s="274">
        <f>_xlfn.IFNA(VLOOKUP(Tue_W1[[#This Row],[Employee Name]],'Base Schedules'!A:D,4,FALSE),"")</f>
        <v>2000</v>
      </c>
      <c r="F30" s="142">
        <f>IF(Tue_W1[[#This Row],[Employee Name]]="","",IF(Tue_W1[[#This Row],[Dept]]="Supervisor",COUNTIFS($J30:$AX30,"*HL*",$J30:$AX30,"&lt;&gt;"&amp;"pHL"),COUNTIFS($J30:$AX30,"*HL*",$J30:$AX30,"&lt;&gt;"&amp;"*pHL*",$J30:$AX30,"&lt;&gt;"&amp;"pB1 HL",$J30:$AX30,"&lt;&gt;"&amp;"pB2 HL")-SUM(COUNTIFS($J30:$AX30,"*HL B1*",$J30:$AX30,"&lt;&gt;"&amp;"pHL B1")*0.5,COUNTIFS($J30:$AX30,"*HL B2*",$J30:$AX30,"&lt;&gt;"&amp;"pHL B2")*0.5,COUNTIFS($J30:$AX30,"*B1 HL*",$J30:$AX30,"&lt;&gt;"&amp;"pB1 HL")*0.5,COUNTIFS($J30:$AX30,"*B2 HL*",$J30:$AX30,"&lt;&gt;"&amp;"pB2 HL")*0.5)))</f>
        <v>6.5</v>
      </c>
      <c r="G30" s="142">
        <f t="shared" si="0"/>
        <v>0</v>
      </c>
      <c r="H30" s="142">
        <f t="shared" si="1"/>
        <v>7</v>
      </c>
      <c r="I30" s="142">
        <f>IF(Tue_W1[[#This Row],[Employee Name]]="","",IF(Tue_W1[[#This Row],[Dept]]="Supervisor",SUM(COUNTIFS($J30:$AX30,"RTA*",$J30:$AX30,"&lt;&gt;"&amp;"pRTA"),COUNTIFS($J30:$AX30,"*CRTA*",$J30:$AX30,"&lt;&gt;"&amp;"pCRTA")),COUNTIFS($J30:$AX30,"*RNNR*",$J30:$AX30,"&lt;&gt;"&amp;"*pRNNR*",$J30:$AX30,"&lt;&gt;"&amp;"pB1 RNNR",$J30:$AX30,"&lt;&gt;"&amp;"pB2 RNNR")-SUM(COUNTIFS($J30:$AX30,"*RNNR B1*",$J30:$AX30,"&lt;&gt;"&amp;"pRNNR B1")*0.5,COUNTIFS($J30:$AX30,"*RNNR B2*",$J30:$AX30,"&lt;&gt;"&amp;"pRNNR B2")*0.5,COUNTIFS($J30:$AX30,"*B1 RNNR*",$J30:$AX30,"&lt;&gt;"&amp;"pB1 RNNR")*0.5,COUNTIFS($J30:$AX30,"*B2 RNNR*",$J30:$AX30,"&lt;&gt;"&amp;"pB2 RNNR")*0.5)))</f>
        <v>2</v>
      </c>
      <c r="J30" s="184" t="str">
        <f>IFERROR(IF(VLOOKUP(Tue_W1[[#This Row],[Employee Name]],'Base Schedules'!$A$160:$AW$203,9,FALSE)="","",VLOOKUP(Tue_W1[[#This Row],[Employee Name]],'Base Schedules'!$A$160:$AW$203,9,FALSE)),"")</f>
        <v/>
      </c>
      <c r="K30" s="184" t="str">
        <f>IFERROR(IF(VLOOKUP(Tue_W1[[#This Row],[Employee Name]],'Base Schedules'!$A$160:$AW$203,10,FALSE)="","",VLOOKUP(Tue_W1[[#This Row],[Employee Name]],'Base Schedules'!$A$160:$AW$203,10,FALSE)),"")</f>
        <v/>
      </c>
      <c r="L30" s="184" t="str">
        <f>IFERROR(IF(VLOOKUP(Tue_W1[[#This Row],[Employee Name]],'Base Schedules'!$A$160:$AW$203,11,FALSE)="","",VLOOKUP(Tue_W1[[#This Row],[Employee Name]],'Base Schedules'!$A$160:$AW$203,11,FALSE)),"")</f>
        <v/>
      </c>
      <c r="M30" s="184" t="str">
        <f>IFERROR(IF(VLOOKUP(Tue_W1[[#This Row],[Employee Name]],'Base Schedules'!$A$160:$AW$203,12,FALSE)="","",VLOOKUP(Tue_W1[[#This Row],[Employee Name]],'Base Schedules'!$A$160:$AW$203,12,FALSE)),"")</f>
        <v/>
      </c>
      <c r="N30" s="184" t="str">
        <f>IFERROR(IF(VLOOKUP(Tue_W1[[#This Row],[Employee Name]],'Base Schedules'!$A$160:$AW$203,13,FALSE)="","",VLOOKUP(Tue_W1[[#This Row],[Employee Name]],'Base Schedules'!$A$160:$AW$203,13,FALSE)),"")</f>
        <v/>
      </c>
      <c r="O30" s="184" t="str">
        <f>IFERROR(IF(VLOOKUP(Tue_W1[[#This Row],[Employee Name]],'Base Schedules'!$A$160:$AW$203,14,FALSE)="","",VLOOKUP(Tue_W1[[#This Row],[Employee Name]],'Base Schedules'!$A$160:$AW$203,14,FALSE)),"")</f>
        <v/>
      </c>
      <c r="P30" s="184" t="str">
        <f>IFERROR(IF(VLOOKUP(Tue_W1[[#This Row],[Employee Name]],'Base Schedules'!$A$160:$AW$203,15,FALSE)="","",VLOOKUP(Tue_W1[[#This Row],[Employee Name]],'Base Schedules'!$A$160:$AW$203,15,FALSE)),"")</f>
        <v/>
      </c>
      <c r="Q30" s="184" t="str">
        <f>IFERROR(IF(VLOOKUP(Tue_W1[[#This Row],[Employee Name]],'Base Schedules'!$A$160:$AW$203,16,FALSE)="","",VLOOKUP(Tue_W1[[#This Row],[Employee Name]],'Base Schedules'!$A$160:$AW$203,16,FALSE)),"")</f>
        <v/>
      </c>
      <c r="R30" s="184" t="str">
        <f>IFERROR(IF(VLOOKUP(Tue_W1[[#This Row],[Employee Name]],'Base Schedules'!$A$160:$AW$203,17,FALSE)="","",VLOOKUP(Tue_W1[[#This Row],[Employee Name]],'Base Schedules'!$A$160:$AW$203,17,FALSE)),"")</f>
        <v/>
      </c>
      <c r="S30" s="184" t="str">
        <f>IFERROR(IF(VLOOKUP(Tue_W1[[#This Row],[Employee Name]],'Base Schedules'!$A$160:$AW$203,18,FALSE)="","",VLOOKUP(Tue_W1[[#This Row],[Employee Name]],'Base Schedules'!$A$160:$AW$203,18,FALSE)),"")</f>
        <v/>
      </c>
      <c r="T30" s="184" t="str">
        <f>IFERROR(IF(VLOOKUP(Tue_W1[[#This Row],[Employee Name]],'Base Schedules'!$A$160:$AW$203,19,FALSE)="","",VLOOKUP(Tue_W1[[#This Row],[Employee Name]],'Base Schedules'!$A$160:$AW$203,19,FALSE)),"")</f>
        <v/>
      </c>
      <c r="U30" s="184" t="str">
        <f>IFERROR(IF(VLOOKUP(Tue_W1[[#This Row],[Employee Name]],'Base Schedules'!$A$160:$AW$203,20,FALSE)="","",VLOOKUP(Tue_W1[[#This Row],[Employee Name]],'Base Schedules'!$A$160:$AW$203,20,FALSE)),"")</f>
        <v/>
      </c>
      <c r="V30" s="184" t="str">
        <f>IFERROR(IF(VLOOKUP(Tue_W1[[#This Row],[Employee Name]],'Base Schedules'!$A$160:$AW$203,21,FALSE)="","",VLOOKUP(Tue_W1[[#This Row],[Employee Name]],'Base Schedules'!$A$160:$AW$203,21,FALSE)),"")</f>
        <v>HL</v>
      </c>
      <c r="W30" s="184" t="str">
        <f>IFERROR(IF(VLOOKUP(Tue_W1[[#This Row],[Employee Name]],'Base Schedules'!$A$160:$AW$203,22,FALSE)="","",VLOOKUP(Tue_W1[[#This Row],[Employee Name]],'Base Schedules'!$A$160:$AW$203,22,FALSE)),"")</f>
        <v>HL</v>
      </c>
      <c r="X30" s="184" t="str">
        <f>IFERROR(IF(VLOOKUP(Tue_W1[[#This Row],[Employee Name]],'Base Schedules'!$A$160:$AW$203,23,FALSE)="","",VLOOKUP(Tue_W1[[#This Row],[Employee Name]],'Base Schedules'!$A$160:$AW$203,23,FALSE)),"")</f>
        <v>ADM</v>
      </c>
      <c r="Y30" s="184" t="str">
        <f>IFERROR(IF(VLOOKUP(Tue_W1[[#This Row],[Employee Name]],'Base Schedules'!$A$160:$AW$203,24,FALSE)="","",VLOOKUP(Tue_W1[[#This Row],[Employee Name]],'Base Schedules'!$A$160:$AW$203,24,FALSE)),"")</f>
        <v>ADM</v>
      </c>
      <c r="Z30" s="184" t="str">
        <f>IFERROR(IF(VLOOKUP(Tue_W1[[#This Row],[Employee Name]],'Base Schedules'!$A$160:$AW$203,25,FALSE)="","",VLOOKUP(Tue_W1[[#This Row],[Employee Name]],'Base Schedules'!$A$160:$AW$203,25,FALSE)),"")</f>
        <v>ADM B1</v>
      </c>
      <c r="AA30" s="184" t="str">
        <f>IFERROR(IF(VLOOKUP(Tue_W1[[#This Row],[Employee Name]],'Base Schedules'!$A$160:$AW$203,26,FALSE)="","",VLOOKUP(Tue_W1[[#This Row],[Employee Name]],'Base Schedules'!$A$160:$AW$203,26,FALSE)),"")</f>
        <v>HL</v>
      </c>
      <c r="AB30" s="184" t="str">
        <f>IFERROR(IF(VLOOKUP(Tue_W1[[#This Row],[Employee Name]],'Base Schedules'!$A$160:$AW$203,27,FALSE)="","",VLOOKUP(Tue_W1[[#This Row],[Employee Name]],'Base Schedules'!$A$160:$AW$203,27,FALSE)),"")</f>
        <v>RNNR</v>
      </c>
      <c r="AC30" s="184" t="str">
        <f>IFERROR(IF(VLOOKUP(Tue_W1[[#This Row],[Employee Name]],'Base Schedules'!$A$160:$AW$203,28,FALSE)="","",VLOOKUP(Tue_W1[[#This Row],[Employee Name]],'Base Schedules'!$A$160:$AW$203,28,FALSE)),"")</f>
        <v>RNNR</v>
      </c>
      <c r="AD30" s="184" t="str">
        <f>IFERROR(IF(VLOOKUP(Tue_W1[[#This Row],[Employee Name]],'Base Schedules'!$A$160:$AW$203,29,FALSE)="","",VLOOKUP(Tue_W1[[#This Row],[Employee Name]],'Base Schedules'!$A$160:$AW$203,29,FALSE)),"")</f>
        <v>LUNCH</v>
      </c>
      <c r="AE30" s="184" t="str">
        <f>IFERROR(IF(VLOOKUP(Tue_W1[[#This Row],[Employee Name]],'Base Schedules'!$A$160:$AW$203,30,FALSE)="","",VLOOKUP(Tue_W1[[#This Row],[Employee Name]],'Base Schedules'!$A$160:$AW$203,30,FALSE)),"")</f>
        <v>ADM</v>
      </c>
      <c r="AF30" s="184" t="str">
        <f>IFERROR(IF(VLOOKUP(Tue_W1[[#This Row],[Employee Name]],'Base Schedules'!$A$160:$AW$203,31,FALSE)="","",VLOOKUP(Tue_W1[[#This Row],[Employee Name]],'Base Schedules'!$A$160:$AW$203,31,FALSE)),"")</f>
        <v>ADM</v>
      </c>
      <c r="AG30" s="184" t="str">
        <f>IFERROR(IF(VLOOKUP(Tue_W1[[#This Row],[Employee Name]],'Base Schedules'!$A$160:$AW$203,32,FALSE)="","",VLOOKUP(Tue_W1[[#This Row],[Employee Name]],'Base Schedules'!$A$160:$AW$203,32,FALSE)),"")</f>
        <v>ADM</v>
      </c>
      <c r="AH30" s="184" t="str">
        <f>IFERROR(IF(VLOOKUP(Tue_W1[[#This Row],[Employee Name]],'Base Schedules'!$A$160:$AW$203,33,FALSE)="","",VLOOKUP(Tue_W1[[#This Row],[Employee Name]],'Base Schedules'!$A$160:$AW$203,33,FALSE)),"")</f>
        <v>ADM</v>
      </c>
      <c r="AI30" s="184" t="str">
        <f>IFERROR(IF(VLOOKUP(Tue_W1[[#This Row],[Employee Name]],'Base Schedules'!$A$160:$AW$203,34,FALSE)="","",VLOOKUP(Tue_W1[[#This Row],[Employee Name]],'Base Schedules'!$A$160:$AW$203,34,FALSE)),"")</f>
        <v>B2 HL</v>
      </c>
      <c r="AJ30" s="184" t="str">
        <f>IFERROR(IF(VLOOKUP(Tue_W1[[#This Row],[Employee Name]],'Base Schedules'!$A$160:$AW$203,35,FALSE)="","",VLOOKUP(Tue_W1[[#This Row],[Employee Name]],'Base Schedules'!$A$160:$AW$203,35,FALSE)),"")</f>
        <v>HL</v>
      </c>
      <c r="AK30" s="184" t="str">
        <f>IFERROR(IF(VLOOKUP(Tue_W1[[#This Row],[Employee Name]],'Base Schedules'!$A$160:$AW$203,36,FALSE)="","",VLOOKUP(Tue_W1[[#This Row],[Employee Name]],'Base Schedules'!$A$160:$AW$203,36,FALSE)),"")</f>
        <v>HL</v>
      </c>
      <c r="AL30" s="184" t="str">
        <f>IFERROR(IF(VLOOKUP(Tue_W1[[#This Row],[Employee Name]],'Base Schedules'!$A$160:$AW$203,37,FALSE)="","",VLOOKUP(Tue_W1[[#This Row],[Employee Name]],'Base Schedules'!$A$160:$AW$203,37,FALSE)),"")</f>
        <v>HL</v>
      </c>
      <c r="AM30" s="184" t="str">
        <f>IFERROR(IF(VLOOKUP(Tue_W1[[#This Row],[Employee Name]],'Base Schedules'!$A$160:$AW$203,38,FALSE)="","",VLOOKUP(Tue_W1[[#This Row],[Employee Name]],'Base Schedules'!$A$160:$AW$203,38,FALSE)),"")</f>
        <v/>
      </c>
      <c r="AN30" s="184" t="str">
        <f>IFERROR(IF(VLOOKUP(Tue_W1[[#This Row],[Employee Name]],'Base Schedules'!$A$160:$AW$203,39,FALSE)="","",VLOOKUP(Tue_W1[[#This Row],[Employee Name]],'Base Schedules'!$A$160:$AW$203,39,FALSE)),"")</f>
        <v/>
      </c>
      <c r="AO30" s="184" t="str">
        <f>IFERROR(IF(VLOOKUP(Tue_W1[[#This Row],[Employee Name]],'Base Schedules'!$A$160:$AW$203,40,FALSE)="","",VLOOKUP(Tue_W1[[#This Row],[Employee Name]],'Base Schedules'!$A$160:$AW$203,40,FALSE)),"")</f>
        <v/>
      </c>
      <c r="AP30" s="184" t="str">
        <f>IFERROR(IF(VLOOKUP(Tue_W1[[#This Row],[Employee Name]],'Base Schedules'!$A$160:$AW$203,41,FALSE)="","",VLOOKUP(Tue_W1[[#This Row],[Employee Name]],'Base Schedules'!$A$160:$AW$203,41,FALSE)),"")</f>
        <v/>
      </c>
      <c r="AQ30" s="184" t="str">
        <f>IFERROR(IF(VLOOKUP(Tue_W1[[#This Row],[Employee Name]],'Base Schedules'!$A$160:$AW$203,42,FALSE)="","",VLOOKUP(Tue_W1[[#This Row],[Employee Name]],'Base Schedules'!$A$160:$AW$203,42,FALSE)),"")</f>
        <v/>
      </c>
      <c r="AR30" s="184" t="str">
        <f>IFERROR(IF(VLOOKUP(Tue_W1[[#This Row],[Employee Name]],'Base Schedules'!$A$160:$AW$203,43,FALSE)="","",VLOOKUP(Tue_W1[[#This Row],[Employee Name]],'Base Schedules'!$A$160:$AW$203,43,FALSE)),"")</f>
        <v/>
      </c>
      <c r="AS30" s="184" t="str">
        <f>IFERROR(IF(VLOOKUP(Tue_W1[[#This Row],[Employee Name]],'Base Schedules'!$A$160:$AW$203,44,FALSE)="","",VLOOKUP(Tue_W1[[#This Row],[Employee Name]],'Base Schedules'!$A$160:$AW$203,44,FALSE)),"")</f>
        <v/>
      </c>
      <c r="AT30" s="184" t="str">
        <f>IFERROR(IF(VLOOKUP(Tue_W1[[#This Row],[Employee Name]],'Base Schedules'!$A$160:$AW$203,45,FALSE)="","",VLOOKUP(Tue_W1[[#This Row],[Employee Name]],'Base Schedules'!$A$160:$AW$203,45,FALSE)),"")</f>
        <v/>
      </c>
      <c r="AU30" s="184" t="str">
        <f>IFERROR(IF(VLOOKUP(Tue_W1[[#This Row],[Employee Name]],'Base Schedules'!$A$160:$AW$203,46,FALSE)="","",VLOOKUP(Tue_W1[[#This Row],[Employee Name]],'Base Schedules'!$A$160:$AW$203,46,FALSE)),"")</f>
        <v/>
      </c>
      <c r="AV30" s="184" t="str">
        <f>IFERROR(IF(VLOOKUP(Tue_W1[[#This Row],[Employee Name]],'Base Schedules'!$A$160:$AW$203,47,FALSE)="","",VLOOKUP(Tue_W1[[#This Row],[Employee Name]],'Base Schedules'!$A$160:$AW$203,47,FALSE)),"")</f>
        <v/>
      </c>
      <c r="AW30" s="184" t="str">
        <f>IFERROR(IF(VLOOKUP(Tue_W1[[#This Row],[Employee Name]],'Base Schedules'!$A$160:$AW$203,48,FALSE)="","",VLOOKUP(Tue_W1[[#This Row],[Employee Name]],'Base Schedules'!$A$160:$AW$203,48,FALSE)),"")</f>
        <v/>
      </c>
      <c r="AX30" s="184" t="str">
        <f>IFERROR(IF(VLOOKUP(Tue_W1[[#This Row],[Employee Name]],'Base Schedules'!$A$160:$AW$203,49,FALSE)="","",VLOOKUP(Tue_W1[[#This Row],[Employee Name]],'Base Schedules'!$A$160:$AW$203,49,FALSE)),"")</f>
        <v/>
      </c>
      <c r="AY30" s="164" t="str">
        <f t="shared" si="2"/>
        <v>Koistinen, Shaun</v>
      </c>
    </row>
    <row r="31" spans="1:51" s="44" customFormat="1" ht="12" x14ac:dyDescent="0.2">
      <c r="A31" s="39" t="str">
        <f>IF(B31="","",INDEX(TeamList[],MATCH($B31,TeamList[[Employee Name]:[Employee Name]],0),MATCH("Manager",TeamList[#Headers],0)))</f>
        <v>Olson, Katherine</v>
      </c>
      <c r="B31" s="201" t="s">
        <v>236</v>
      </c>
      <c r="C31" s="257" t="str">
        <f>_xlfn.IFNA(VLOOKUP(Tue_W1[[#This Row],[Employee Name]],'Base Schedules'!A:B,2,FALSE),"")</f>
        <v>Lead</v>
      </c>
      <c r="D31" s="274">
        <f>_xlfn.IFNA(VLOOKUP(Tue_W1[[#This Row],[Employee Name]],'Base Schedules'!A:C,3,FALSE),"")</f>
        <v>1130</v>
      </c>
      <c r="E31" s="274">
        <f>_xlfn.IFNA(VLOOKUP(Tue_W1[[#This Row],[Employee Name]],'Base Schedules'!A:D,4,FALSE),"")</f>
        <v>2000</v>
      </c>
      <c r="F31" s="142">
        <f>IF(Tue_W1[[#This Row],[Employee Name]]="","",IF(Tue_W1[[#This Row],[Dept]]="Supervisor",COUNTIFS($J31:$AX31,"*HL*",$J31:$AX31,"&lt;&gt;"&amp;"pHL"),COUNTIFS($J31:$AX31,"*HL*",$J31:$AX31,"&lt;&gt;"&amp;"*pHL*",$J31:$AX31,"&lt;&gt;"&amp;"pB1 HL",$J31:$AX31,"&lt;&gt;"&amp;"pB2 HL")-SUM(COUNTIFS($J31:$AX31,"*HL B1*",$J31:$AX31,"&lt;&gt;"&amp;"pHL B1")*0.5,COUNTIFS($J31:$AX31,"*HL B2*",$J31:$AX31,"&lt;&gt;"&amp;"pHL B2")*0.5,COUNTIFS($J31:$AX31,"*B1 HL*",$J31:$AX31,"&lt;&gt;"&amp;"pB1 HL")*0.5,COUNTIFS($J31:$AX31,"*B2 HL*",$J31:$AX31,"&lt;&gt;"&amp;"pB2 HL")*0.5)))</f>
        <v>6.5</v>
      </c>
      <c r="G31" s="142">
        <f t="shared" si="0"/>
        <v>0</v>
      </c>
      <c r="H31" s="142">
        <f t="shared" si="1"/>
        <v>7</v>
      </c>
      <c r="I31" s="142">
        <f>IF(Tue_W1[[#This Row],[Employee Name]]="","",IF(Tue_W1[[#This Row],[Dept]]="Supervisor",SUM(COUNTIFS($J31:$AX31,"RTA*",$J31:$AX31,"&lt;&gt;"&amp;"pRTA"),COUNTIFS($J31:$AX31,"*CRTA*",$J31:$AX31,"&lt;&gt;"&amp;"pCRTA")),COUNTIFS($J31:$AX31,"*RNNR*",$J31:$AX31,"&lt;&gt;"&amp;"*pRNNR*",$J31:$AX31,"&lt;&gt;"&amp;"pB1 RNNR",$J31:$AX31,"&lt;&gt;"&amp;"pB2 RNNR")-SUM(COUNTIFS($J31:$AX31,"*RNNR B1*",$J31:$AX31,"&lt;&gt;"&amp;"pRNNR B1")*0.5,COUNTIFS($J31:$AX31,"*RNNR B2*",$J31:$AX31,"&lt;&gt;"&amp;"pRNNR B2")*0.5,COUNTIFS($J31:$AX31,"*B1 RNNR*",$J31:$AX31,"&lt;&gt;"&amp;"pB1 RNNR")*0.5,COUNTIFS($J31:$AX31,"*B2 RNNR*",$J31:$AX31,"&lt;&gt;"&amp;"pB2 RNNR")*0.5)))</f>
        <v>2</v>
      </c>
      <c r="J31" s="184" t="str">
        <f>IFERROR(IF(VLOOKUP(Tue_W1[[#This Row],[Employee Name]],'Base Schedules'!$A$160:$AW$203,9,FALSE)="","",VLOOKUP(Tue_W1[[#This Row],[Employee Name]],'Base Schedules'!$A$160:$AW$203,9,FALSE)),"")</f>
        <v/>
      </c>
      <c r="K31" s="184" t="str">
        <f>IFERROR(IF(VLOOKUP(Tue_W1[[#This Row],[Employee Name]],'Base Schedules'!$A$160:$AW$203,10,FALSE)="","",VLOOKUP(Tue_W1[[#This Row],[Employee Name]],'Base Schedules'!$A$160:$AW$203,10,FALSE)),"")</f>
        <v/>
      </c>
      <c r="L31" s="184" t="str">
        <f>IFERROR(IF(VLOOKUP(Tue_W1[[#This Row],[Employee Name]],'Base Schedules'!$A$160:$AW$203,11,FALSE)="","",VLOOKUP(Tue_W1[[#This Row],[Employee Name]],'Base Schedules'!$A$160:$AW$203,11,FALSE)),"")</f>
        <v/>
      </c>
      <c r="M31" s="184" t="str">
        <f>IFERROR(IF(VLOOKUP(Tue_W1[[#This Row],[Employee Name]],'Base Schedules'!$A$160:$AW$203,12,FALSE)="","",VLOOKUP(Tue_W1[[#This Row],[Employee Name]],'Base Schedules'!$A$160:$AW$203,12,FALSE)),"")</f>
        <v/>
      </c>
      <c r="N31" s="184" t="str">
        <f>IFERROR(IF(VLOOKUP(Tue_W1[[#This Row],[Employee Name]],'Base Schedules'!$A$160:$AW$203,13,FALSE)="","",VLOOKUP(Tue_W1[[#This Row],[Employee Name]],'Base Schedules'!$A$160:$AW$203,13,FALSE)),"")</f>
        <v/>
      </c>
      <c r="O31" s="184" t="str">
        <f>IFERROR(IF(VLOOKUP(Tue_W1[[#This Row],[Employee Name]],'Base Schedules'!$A$160:$AW$203,14,FALSE)="","",VLOOKUP(Tue_W1[[#This Row],[Employee Name]],'Base Schedules'!$A$160:$AW$203,14,FALSE)),"")</f>
        <v/>
      </c>
      <c r="P31" s="184" t="str">
        <f>IFERROR(IF(VLOOKUP(Tue_W1[[#This Row],[Employee Name]],'Base Schedules'!$A$160:$AW$203,15,FALSE)="","",VLOOKUP(Tue_W1[[#This Row],[Employee Name]],'Base Schedules'!$A$160:$AW$203,15,FALSE)),"")</f>
        <v/>
      </c>
      <c r="Q31" s="184" t="str">
        <f>IFERROR(IF(VLOOKUP(Tue_W1[[#This Row],[Employee Name]],'Base Schedules'!$A$160:$AW$203,16,FALSE)="","",VLOOKUP(Tue_W1[[#This Row],[Employee Name]],'Base Schedules'!$A$160:$AW$203,16,FALSE)),"")</f>
        <v/>
      </c>
      <c r="R31" s="184" t="str">
        <f>IFERROR(IF(VLOOKUP(Tue_W1[[#This Row],[Employee Name]],'Base Schedules'!$A$160:$AW$203,17,FALSE)="","",VLOOKUP(Tue_W1[[#This Row],[Employee Name]],'Base Schedules'!$A$160:$AW$203,17,FALSE)),"")</f>
        <v/>
      </c>
      <c r="S31" s="184" t="str">
        <f>IFERROR(IF(VLOOKUP(Tue_W1[[#This Row],[Employee Name]],'Base Schedules'!$A$160:$AW$203,18,FALSE)="","",VLOOKUP(Tue_W1[[#This Row],[Employee Name]],'Base Schedules'!$A$160:$AW$203,18,FALSE)),"")</f>
        <v/>
      </c>
      <c r="T31" s="184" t="str">
        <f>IFERROR(IF(VLOOKUP(Tue_W1[[#This Row],[Employee Name]],'Base Schedules'!$A$160:$AW$203,19,FALSE)="","",VLOOKUP(Tue_W1[[#This Row],[Employee Name]],'Base Schedules'!$A$160:$AW$203,19,FALSE)),"")</f>
        <v/>
      </c>
      <c r="U31" s="184" t="str">
        <f>IFERROR(IF(VLOOKUP(Tue_W1[[#This Row],[Employee Name]],'Base Schedules'!$A$160:$AW$203,20,FALSE)="","",VLOOKUP(Tue_W1[[#This Row],[Employee Name]],'Base Schedules'!$A$160:$AW$203,20,FALSE)),"")</f>
        <v/>
      </c>
      <c r="V31" s="184" t="str">
        <f>IFERROR(IF(VLOOKUP(Tue_W1[[#This Row],[Employee Name]],'Base Schedules'!$A$160:$AW$203,21,FALSE)="","",VLOOKUP(Tue_W1[[#This Row],[Employee Name]],'Base Schedules'!$A$160:$AW$203,21,FALSE)),"")</f>
        <v/>
      </c>
      <c r="W31" s="184" t="str">
        <f>IFERROR(IF(VLOOKUP(Tue_W1[[#This Row],[Employee Name]],'Base Schedules'!$A$160:$AW$203,22,FALSE)="","",VLOOKUP(Tue_W1[[#This Row],[Employee Name]],'Base Schedules'!$A$160:$AW$203,22,FALSE)),"")</f>
        <v>ADM</v>
      </c>
      <c r="X31" s="184" t="str">
        <f>IFERROR(IF(VLOOKUP(Tue_W1[[#This Row],[Employee Name]],'Base Schedules'!$A$160:$AW$203,23,FALSE)="","",VLOOKUP(Tue_W1[[#This Row],[Employee Name]],'Base Schedules'!$A$160:$AW$203,23,FALSE)),"")</f>
        <v>ADM</v>
      </c>
      <c r="Y31" s="184" t="str">
        <f>IFERROR(IF(VLOOKUP(Tue_W1[[#This Row],[Employee Name]],'Base Schedules'!$A$160:$AW$203,24,FALSE)="","",VLOOKUP(Tue_W1[[#This Row],[Employee Name]],'Base Schedules'!$A$160:$AW$203,24,FALSE)),"")</f>
        <v>HL</v>
      </c>
      <c r="Z31" s="184" t="str">
        <f>IFERROR(IF(VLOOKUP(Tue_W1[[#This Row],[Employee Name]],'Base Schedules'!$A$160:$AW$203,25,FALSE)="","",VLOOKUP(Tue_W1[[#This Row],[Employee Name]],'Base Schedules'!$A$160:$AW$203,25,FALSE)),"")</f>
        <v>HL B1</v>
      </c>
      <c r="AA31" s="184" t="str">
        <f>IFERROR(IF(VLOOKUP(Tue_W1[[#This Row],[Employee Name]],'Base Schedules'!$A$160:$AW$203,26,FALSE)="","",VLOOKUP(Tue_W1[[#This Row],[Employee Name]],'Base Schedules'!$A$160:$AW$203,26,FALSE)),"")</f>
        <v>ADM</v>
      </c>
      <c r="AB31" s="184" t="str">
        <f>IFERROR(IF(VLOOKUP(Tue_W1[[#This Row],[Employee Name]],'Base Schedules'!$A$160:$AW$203,27,FALSE)="","",VLOOKUP(Tue_W1[[#This Row],[Employee Name]],'Base Schedules'!$A$160:$AW$203,27,FALSE)),"")</f>
        <v>ADM</v>
      </c>
      <c r="AC31" s="184" t="str">
        <f>IFERROR(IF(VLOOKUP(Tue_W1[[#This Row],[Employee Name]],'Base Schedules'!$A$160:$AW$203,28,FALSE)="","",VLOOKUP(Tue_W1[[#This Row],[Employee Name]],'Base Schedules'!$A$160:$AW$203,28,FALSE)),"")</f>
        <v>HL</v>
      </c>
      <c r="AD31" s="184" t="str">
        <f>IFERROR(IF(VLOOKUP(Tue_W1[[#This Row],[Employee Name]],'Base Schedules'!$A$160:$AW$203,29,FALSE)="","",VLOOKUP(Tue_W1[[#This Row],[Employee Name]],'Base Schedules'!$A$160:$AW$203,29,FALSE)),"")</f>
        <v>HL</v>
      </c>
      <c r="AE31" s="184" t="str">
        <f>IFERROR(IF(VLOOKUP(Tue_W1[[#This Row],[Employee Name]],'Base Schedules'!$A$160:$AW$203,30,FALSE)="","",VLOOKUP(Tue_W1[[#This Row],[Employee Name]],'Base Schedules'!$A$160:$AW$203,30,FALSE)),"")</f>
        <v>LUNCH</v>
      </c>
      <c r="AF31" s="184" t="str">
        <f>IFERROR(IF(VLOOKUP(Tue_W1[[#This Row],[Employee Name]],'Base Schedules'!$A$160:$AW$203,31,FALSE)="","",VLOOKUP(Tue_W1[[#This Row],[Employee Name]],'Base Schedules'!$A$160:$AW$203,31,FALSE)),"")</f>
        <v>RNNR</v>
      </c>
      <c r="AG31" s="184" t="str">
        <f>IFERROR(IF(VLOOKUP(Tue_W1[[#This Row],[Employee Name]],'Base Schedules'!$A$160:$AW$203,32,FALSE)="","",VLOOKUP(Tue_W1[[#This Row],[Employee Name]],'Base Schedules'!$A$160:$AW$203,32,FALSE)),"")</f>
        <v>RNNR</v>
      </c>
      <c r="AH31" s="184" t="str">
        <f>IFERROR(IF(VLOOKUP(Tue_W1[[#This Row],[Employee Name]],'Base Schedules'!$A$160:$AW$203,33,FALSE)="","",VLOOKUP(Tue_W1[[#This Row],[Employee Name]],'Base Schedules'!$A$160:$AW$203,33,FALSE)),"")</f>
        <v>HL</v>
      </c>
      <c r="AI31" s="184" t="str">
        <f>IFERROR(IF(VLOOKUP(Tue_W1[[#This Row],[Employee Name]],'Base Schedules'!$A$160:$AW$203,34,FALSE)="","",VLOOKUP(Tue_W1[[#This Row],[Employee Name]],'Base Schedules'!$A$160:$AW$203,34,FALSE)),"")</f>
        <v>HL</v>
      </c>
      <c r="AJ31" s="184" t="str">
        <f>IFERROR(IF(VLOOKUP(Tue_W1[[#This Row],[Employee Name]],'Base Schedules'!$A$160:$AW$203,35,FALSE)="","",VLOOKUP(Tue_W1[[#This Row],[Employee Name]],'Base Schedules'!$A$160:$AW$203,35,FALSE)),"")</f>
        <v>B2 ADM</v>
      </c>
      <c r="AK31" s="184" t="str">
        <f>IFERROR(IF(VLOOKUP(Tue_W1[[#This Row],[Employee Name]],'Base Schedules'!$A$160:$AW$203,36,FALSE)="","",VLOOKUP(Tue_W1[[#This Row],[Employee Name]],'Base Schedules'!$A$160:$AW$203,36,FALSE)),"")</f>
        <v>ADM</v>
      </c>
      <c r="AL31" s="184" t="str">
        <f>IFERROR(IF(VLOOKUP(Tue_W1[[#This Row],[Employee Name]],'Base Schedules'!$A$160:$AW$203,37,FALSE)="","",VLOOKUP(Tue_W1[[#This Row],[Employee Name]],'Base Schedules'!$A$160:$AW$203,37,FALSE)),"")</f>
        <v>ADM</v>
      </c>
      <c r="AM31" s="184" t="str">
        <f>IFERROR(IF(VLOOKUP(Tue_W1[[#This Row],[Employee Name]],'Base Schedules'!$A$160:$AW$203,38,FALSE)="","",VLOOKUP(Tue_W1[[#This Row],[Employee Name]],'Base Schedules'!$A$160:$AW$203,38,FALSE)),"")</f>
        <v>HL</v>
      </c>
      <c r="AN31" s="184" t="str">
        <f>IFERROR(IF(VLOOKUP(Tue_W1[[#This Row],[Employee Name]],'Base Schedules'!$A$160:$AW$203,39,FALSE)="","",VLOOKUP(Tue_W1[[#This Row],[Employee Name]],'Base Schedules'!$A$160:$AW$203,39,FALSE)),"")</f>
        <v/>
      </c>
      <c r="AO31" s="184" t="str">
        <f>IFERROR(IF(VLOOKUP(Tue_W1[[#This Row],[Employee Name]],'Base Schedules'!$A$160:$AW$203,40,FALSE)="","",VLOOKUP(Tue_W1[[#This Row],[Employee Name]],'Base Schedules'!$A$160:$AW$203,40,FALSE)),"")</f>
        <v/>
      </c>
      <c r="AP31" s="184" t="str">
        <f>IFERROR(IF(VLOOKUP(Tue_W1[[#This Row],[Employee Name]],'Base Schedules'!$A$160:$AW$203,41,FALSE)="","",VLOOKUP(Tue_W1[[#This Row],[Employee Name]],'Base Schedules'!$A$160:$AW$203,41,FALSE)),"")</f>
        <v/>
      </c>
      <c r="AQ31" s="184" t="str">
        <f>IFERROR(IF(VLOOKUP(Tue_W1[[#This Row],[Employee Name]],'Base Schedules'!$A$160:$AW$203,42,FALSE)="","",VLOOKUP(Tue_W1[[#This Row],[Employee Name]],'Base Schedules'!$A$160:$AW$203,42,FALSE)),"")</f>
        <v/>
      </c>
      <c r="AR31" s="184" t="str">
        <f>IFERROR(IF(VLOOKUP(Tue_W1[[#This Row],[Employee Name]],'Base Schedules'!$A$160:$AW$203,43,FALSE)="","",VLOOKUP(Tue_W1[[#This Row],[Employee Name]],'Base Schedules'!$A$160:$AW$203,43,FALSE)),"")</f>
        <v/>
      </c>
      <c r="AS31" s="184" t="str">
        <f>IFERROR(IF(VLOOKUP(Tue_W1[[#This Row],[Employee Name]],'Base Schedules'!$A$160:$AW$203,44,FALSE)="","",VLOOKUP(Tue_W1[[#This Row],[Employee Name]],'Base Schedules'!$A$160:$AW$203,44,FALSE)),"")</f>
        <v/>
      </c>
      <c r="AT31" s="184" t="str">
        <f>IFERROR(IF(VLOOKUP(Tue_W1[[#This Row],[Employee Name]],'Base Schedules'!$A$160:$AW$203,45,FALSE)="","",VLOOKUP(Tue_W1[[#This Row],[Employee Name]],'Base Schedules'!$A$160:$AW$203,45,FALSE)),"")</f>
        <v/>
      </c>
      <c r="AU31" s="184" t="str">
        <f>IFERROR(IF(VLOOKUP(Tue_W1[[#This Row],[Employee Name]],'Base Schedules'!$A$160:$AW$203,46,FALSE)="","",VLOOKUP(Tue_W1[[#This Row],[Employee Name]],'Base Schedules'!$A$160:$AW$203,46,FALSE)),"")</f>
        <v/>
      </c>
      <c r="AV31" s="184" t="str">
        <f>IFERROR(IF(VLOOKUP(Tue_W1[[#This Row],[Employee Name]],'Base Schedules'!$A$160:$AW$203,47,FALSE)="","",VLOOKUP(Tue_W1[[#This Row],[Employee Name]],'Base Schedules'!$A$160:$AW$203,47,FALSE)),"")</f>
        <v/>
      </c>
      <c r="AW31" s="184" t="str">
        <f>IFERROR(IF(VLOOKUP(Tue_W1[[#This Row],[Employee Name]],'Base Schedules'!$A$160:$AW$203,48,FALSE)="","",VLOOKUP(Tue_W1[[#This Row],[Employee Name]],'Base Schedules'!$A$160:$AW$203,48,FALSE)),"")</f>
        <v/>
      </c>
      <c r="AX31" s="184" t="str">
        <f>IFERROR(IF(VLOOKUP(Tue_W1[[#This Row],[Employee Name]],'Base Schedules'!$A$160:$AW$203,49,FALSE)="","",VLOOKUP(Tue_W1[[#This Row],[Employee Name]],'Base Schedules'!$A$160:$AW$203,49,FALSE)),"")</f>
        <v/>
      </c>
      <c r="AY31" s="164" t="str">
        <f t="shared" si="2"/>
        <v>Goss, Ian</v>
      </c>
    </row>
    <row r="32" spans="1:51" s="44" customFormat="1" ht="12" x14ac:dyDescent="0.2">
      <c r="A32" s="39" t="e">
        <f>IF(B32="","",INDEX(TeamList[],MATCH($B32,TeamList[[Employee Name]:[Employee Name]],0),MATCH("Manager",TeamList[#Headers],0)))</f>
        <v>#N/A</v>
      </c>
      <c r="B32" s="202" t="s">
        <v>414</v>
      </c>
      <c r="C32" s="257" t="str">
        <f>_xlfn.IFNA(VLOOKUP(Tue_W1[[#This Row],[Employee Name]],'Base Schedules'!A:B,2,FALSE),"")</f>
        <v>Lead</v>
      </c>
      <c r="D32" s="274">
        <f>_xlfn.IFNA(VLOOKUP(Tue_W1[[#This Row],[Employee Name]],'Base Schedules'!A:C,3,FALSE),"")</f>
        <v>1130</v>
      </c>
      <c r="E32" s="274">
        <f>_xlfn.IFNA(VLOOKUP(Tue_W1[[#This Row],[Employee Name]],'Base Schedules'!A:D,4,FALSE),"")</f>
        <v>1930</v>
      </c>
      <c r="F32" s="142">
        <f>IF(Tue_W1[[#This Row],[Employee Name]]="","",IF(Tue_W1[[#This Row],[Dept]]="Supervisor",COUNTIFS($J32:$AX32,"*HL*",$J32:$AX32,"&lt;&gt;"&amp;"pHL"),COUNTIFS($J32:$AX32,"*HL*",$J32:$AX32,"&lt;&gt;"&amp;"*pHL*",$J32:$AX32,"&lt;&gt;"&amp;"pB1 HL",$J32:$AX32,"&lt;&gt;"&amp;"pB2 HL")-SUM(COUNTIFS($J32:$AX32,"*HL B1*",$J32:$AX32,"&lt;&gt;"&amp;"pHL B1")*0.5,COUNTIFS($J32:$AX32,"*HL B2*",$J32:$AX32,"&lt;&gt;"&amp;"pHL B2")*0.5,COUNTIFS($J32:$AX32,"*B1 HL*",$J32:$AX32,"&lt;&gt;"&amp;"pB1 HL")*0.5,COUNTIFS($J32:$AX32,"*B2 HL*",$J32:$AX32,"&lt;&gt;"&amp;"pB2 HL")*0.5)))</f>
        <v>7</v>
      </c>
      <c r="G32" s="142">
        <f t="shared" si="0"/>
        <v>0</v>
      </c>
      <c r="H32" s="142">
        <f t="shared" si="1"/>
        <v>9</v>
      </c>
      <c r="I32" s="142">
        <f>IF(Tue_W1[[#This Row],[Employee Name]]="","",IF(Tue_W1[[#This Row],[Dept]]="Supervisor",SUM(COUNTIFS($J32:$AX32,"RTA*",$J32:$AX32,"&lt;&gt;"&amp;"pRTA"),COUNTIFS($J32:$AX32,"*CRTA*",$J32:$AX32,"&lt;&gt;"&amp;"pCRTA")),COUNTIFS($J32:$AX32,"*RNNR*",$J32:$AX32,"&lt;&gt;"&amp;"*pRNNR*",$J32:$AX32,"&lt;&gt;"&amp;"pB1 RNNR",$J32:$AX32,"&lt;&gt;"&amp;"pB2 RNNR")-SUM(COUNTIFS($J32:$AX32,"*RNNR B1*",$J32:$AX32,"&lt;&gt;"&amp;"pRNNR B1")*0.5,COUNTIFS($J32:$AX32,"*RNNR B2*",$J32:$AX32,"&lt;&gt;"&amp;"pRNNR B2")*0.5,COUNTIFS($J32:$AX32,"*B1 RNNR*",$J32:$AX32,"&lt;&gt;"&amp;"pB1 RNNR")*0.5,COUNTIFS($J32:$AX32,"*B2 RNNR*",$J32:$AX32,"&lt;&gt;"&amp;"pB2 RNNR")*0.5)))</f>
        <v>0</v>
      </c>
      <c r="J32" s="184" t="str">
        <f>IFERROR(IF(VLOOKUP(Tue_W1[[#This Row],[Employee Name]],'Base Schedules'!$A$160:$AW$203,9,FALSE)="","",VLOOKUP(Tue_W1[[#This Row],[Employee Name]],'Base Schedules'!$A$160:$AW$203,9,FALSE)),"")</f>
        <v/>
      </c>
      <c r="K32" s="184" t="str">
        <f>IFERROR(IF(VLOOKUP(Tue_W1[[#This Row],[Employee Name]],'Base Schedules'!$A$160:$AW$203,10,FALSE)="","",VLOOKUP(Tue_W1[[#This Row],[Employee Name]],'Base Schedules'!$A$160:$AW$203,10,FALSE)),"")</f>
        <v/>
      </c>
      <c r="L32" s="184" t="str">
        <f>IFERROR(IF(VLOOKUP(Tue_W1[[#This Row],[Employee Name]],'Base Schedules'!$A$160:$AW$203,11,FALSE)="","",VLOOKUP(Tue_W1[[#This Row],[Employee Name]],'Base Schedules'!$A$160:$AW$203,11,FALSE)),"")</f>
        <v/>
      </c>
      <c r="M32" s="184" t="str">
        <f>IFERROR(IF(VLOOKUP(Tue_W1[[#This Row],[Employee Name]],'Base Schedules'!$A$160:$AW$203,12,FALSE)="","",VLOOKUP(Tue_W1[[#This Row],[Employee Name]],'Base Schedules'!$A$160:$AW$203,12,FALSE)),"")</f>
        <v/>
      </c>
      <c r="N32" s="184" t="str">
        <f>IFERROR(IF(VLOOKUP(Tue_W1[[#This Row],[Employee Name]],'Base Schedules'!$A$160:$AW$203,13,FALSE)="","",VLOOKUP(Tue_W1[[#This Row],[Employee Name]],'Base Schedules'!$A$160:$AW$203,13,FALSE)),"")</f>
        <v/>
      </c>
      <c r="O32" s="184" t="str">
        <f>IFERROR(IF(VLOOKUP(Tue_W1[[#This Row],[Employee Name]],'Base Schedules'!$A$160:$AW$203,14,FALSE)="","",VLOOKUP(Tue_W1[[#This Row],[Employee Name]],'Base Schedules'!$A$160:$AW$203,14,FALSE)),"")</f>
        <v/>
      </c>
      <c r="P32" s="184" t="str">
        <f>IFERROR(IF(VLOOKUP(Tue_W1[[#This Row],[Employee Name]],'Base Schedules'!$A$160:$AW$203,15,FALSE)="","",VLOOKUP(Tue_W1[[#This Row],[Employee Name]],'Base Schedules'!$A$160:$AW$203,15,FALSE)),"")</f>
        <v/>
      </c>
      <c r="Q32" s="184" t="str">
        <f>IFERROR(IF(VLOOKUP(Tue_W1[[#This Row],[Employee Name]],'Base Schedules'!$A$160:$AW$203,16,FALSE)="","",VLOOKUP(Tue_W1[[#This Row],[Employee Name]],'Base Schedules'!$A$160:$AW$203,16,FALSE)),"")</f>
        <v/>
      </c>
      <c r="R32" s="184" t="str">
        <f>IFERROR(IF(VLOOKUP(Tue_W1[[#This Row],[Employee Name]],'Base Schedules'!$A$160:$AW$203,17,FALSE)="","",VLOOKUP(Tue_W1[[#This Row],[Employee Name]],'Base Schedules'!$A$160:$AW$203,17,FALSE)),"")</f>
        <v/>
      </c>
      <c r="S32" s="184" t="str">
        <f>IFERROR(IF(VLOOKUP(Tue_W1[[#This Row],[Employee Name]],'Base Schedules'!$A$160:$AW$203,18,FALSE)="","",VLOOKUP(Tue_W1[[#This Row],[Employee Name]],'Base Schedules'!$A$160:$AW$203,18,FALSE)),"")</f>
        <v/>
      </c>
      <c r="T32" s="184" t="str">
        <f>IFERROR(IF(VLOOKUP(Tue_W1[[#This Row],[Employee Name]],'Base Schedules'!$A$160:$AW$203,19,FALSE)="","",VLOOKUP(Tue_W1[[#This Row],[Employee Name]],'Base Schedules'!$A$160:$AW$203,19,FALSE)),"")</f>
        <v/>
      </c>
      <c r="U32" s="184" t="str">
        <f>IFERROR(IF(VLOOKUP(Tue_W1[[#This Row],[Employee Name]],'Base Schedules'!$A$160:$AW$203,20,FALSE)="","",VLOOKUP(Tue_W1[[#This Row],[Employee Name]],'Base Schedules'!$A$160:$AW$203,20,FALSE)),"")</f>
        <v/>
      </c>
      <c r="V32" s="184" t="str">
        <f>IFERROR(IF(VLOOKUP(Tue_W1[[#This Row],[Employee Name]],'Base Schedules'!$A$160:$AW$203,21,FALSE)="","",VLOOKUP(Tue_W1[[#This Row],[Employee Name]],'Base Schedules'!$A$160:$AW$203,21,FALSE)),"")</f>
        <v/>
      </c>
      <c r="W32" s="184" t="str">
        <f>IFERROR(IF(VLOOKUP(Tue_W1[[#This Row],[Employee Name]],'Base Schedules'!$A$160:$AW$203,22,FALSE)="","",VLOOKUP(Tue_W1[[#This Row],[Employee Name]],'Base Schedules'!$A$160:$AW$203,22,FALSE)),"")</f>
        <v>ADM</v>
      </c>
      <c r="X32" s="184" t="str">
        <f>IFERROR(IF(VLOOKUP(Tue_W1[[#This Row],[Employee Name]],'Base Schedules'!$A$160:$AW$203,23,FALSE)="","",VLOOKUP(Tue_W1[[#This Row],[Employee Name]],'Base Schedules'!$A$160:$AW$203,23,FALSE)),"")</f>
        <v>ADM</v>
      </c>
      <c r="Y32" s="184" t="str">
        <f>IFERROR(IF(VLOOKUP(Tue_W1[[#This Row],[Employee Name]],'Base Schedules'!$A$160:$AW$203,24,FALSE)="","",VLOOKUP(Tue_W1[[#This Row],[Employee Name]],'Base Schedules'!$A$160:$AW$203,24,FALSE)),"")</f>
        <v>ADM</v>
      </c>
      <c r="Z32" s="184" t="str">
        <f>IFERROR(IF(VLOOKUP(Tue_W1[[#This Row],[Employee Name]],'Base Schedules'!$A$160:$AW$203,25,FALSE)="","",VLOOKUP(Tue_W1[[#This Row],[Employee Name]],'Base Schedules'!$A$160:$AW$203,25,FALSE)),"")</f>
        <v>ADM</v>
      </c>
      <c r="AA32" s="184" t="str">
        <f>IFERROR(IF(VLOOKUP(Tue_W1[[#This Row],[Employee Name]],'Base Schedules'!$A$160:$AW$203,26,FALSE)="","",VLOOKUP(Tue_W1[[#This Row],[Employee Name]],'Base Schedules'!$A$160:$AW$203,26,FALSE)),"")</f>
        <v>ADM B1</v>
      </c>
      <c r="AB32" s="184" t="str">
        <f>IFERROR(IF(VLOOKUP(Tue_W1[[#This Row],[Employee Name]],'Base Schedules'!$A$160:$AW$203,27,FALSE)="","",VLOOKUP(Tue_W1[[#This Row],[Employee Name]],'Base Schedules'!$A$160:$AW$203,27,FALSE)),"")</f>
        <v>HL</v>
      </c>
      <c r="AC32" s="184" t="str">
        <f>IFERROR(IF(VLOOKUP(Tue_W1[[#This Row],[Employee Name]],'Base Schedules'!$A$160:$AW$203,28,FALSE)="","",VLOOKUP(Tue_W1[[#This Row],[Employee Name]],'Base Schedules'!$A$160:$AW$203,28,FALSE)),"")</f>
        <v>HL</v>
      </c>
      <c r="AD32" s="184" t="str">
        <f>IFERROR(IF(VLOOKUP(Tue_W1[[#This Row],[Employee Name]],'Base Schedules'!$A$160:$AW$203,29,FALSE)="","",VLOOKUP(Tue_W1[[#This Row],[Employee Name]],'Base Schedules'!$A$160:$AW$203,29,FALSE)),"")</f>
        <v>HL</v>
      </c>
      <c r="AE32" s="184" t="str">
        <f>IFERROR(IF(VLOOKUP(Tue_W1[[#This Row],[Employee Name]],'Base Schedules'!$A$160:$AW$203,30,FALSE)="","",VLOOKUP(Tue_W1[[#This Row],[Employee Name]],'Base Schedules'!$A$160:$AW$203,30,FALSE)),"")</f>
        <v>HL</v>
      </c>
      <c r="AF32" s="184" t="str">
        <f>IFERROR(IF(VLOOKUP(Tue_W1[[#This Row],[Employee Name]],'Base Schedules'!$A$160:$AW$203,31,FALSE)="","",VLOOKUP(Tue_W1[[#This Row],[Employee Name]],'Base Schedules'!$A$160:$AW$203,31,FALSE)),"")</f>
        <v>LUNCH</v>
      </c>
      <c r="AG32" s="184" t="str">
        <f>IFERROR(IF(VLOOKUP(Tue_W1[[#This Row],[Employee Name]],'Base Schedules'!$A$160:$AW$203,32,FALSE)="","",VLOOKUP(Tue_W1[[#This Row],[Employee Name]],'Base Schedules'!$A$160:$AW$203,32,FALSE)),"")</f>
        <v>HL</v>
      </c>
      <c r="AH32" s="184" t="str">
        <f>IFERROR(IF(VLOOKUP(Tue_W1[[#This Row],[Employee Name]],'Base Schedules'!$A$160:$AW$203,33,FALSE)="","",VLOOKUP(Tue_W1[[#This Row],[Employee Name]],'Base Schedules'!$A$160:$AW$203,33,FALSE)),"")</f>
        <v>ADM</v>
      </c>
      <c r="AI32" s="184" t="str">
        <f>IFERROR(IF(VLOOKUP(Tue_W1[[#This Row],[Employee Name]],'Base Schedules'!$A$160:$AW$203,34,FALSE)="","",VLOOKUP(Tue_W1[[#This Row],[Employee Name]],'Base Schedules'!$A$160:$AW$203,34,FALSE)),"")</f>
        <v>ADM</v>
      </c>
      <c r="AJ32" s="184" t="str">
        <f>IFERROR(IF(VLOOKUP(Tue_W1[[#This Row],[Employee Name]],'Base Schedules'!$A$160:$AW$203,35,FALSE)="","",VLOOKUP(Tue_W1[[#This Row],[Employee Name]],'Base Schedules'!$A$160:$AW$203,35,FALSE)),"")</f>
        <v>ADM B2</v>
      </c>
      <c r="AK32" s="184" t="str">
        <f>IFERROR(IF(VLOOKUP(Tue_W1[[#This Row],[Employee Name]],'Base Schedules'!$A$160:$AW$203,36,FALSE)="","",VLOOKUP(Tue_W1[[#This Row],[Employee Name]],'Base Schedules'!$A$160:$AW$203,36,FALSE)),"")</f>
        <v>ADM</v>
      </c>
      <c r="AL32" s="184" t="str">
        <f>IFERROR(IF(VLOOKUP(Tue_W1[[#This Row],[Employee Name]],'Base Schedules'!$A$160:$AW$203,37,FALSE)="","",VLOOKUP(Tue_W1[[#This Row],[Employee Name]],'Base Schedules'!$A$160:$AW$203,37,FALSE)),"")</f>
        <v>HL</v>
      </c>
      <c r="AM32" s="184" t="str">
        <f>IFERROR(IF(VLOOKUP(Tue_W1[[#This Row],[Employee Name]],'Base Schedules'!$A$160:$AW$203,38,FALSE)="","",VLOOKUP(Tue_W1[[#This Row],[Employee Name]],'Base Schedules'!$A$160:$AW$203,38,FALSE)),"")</f>
        <v>HL</v>
      </c>
      <c r="AN32" s="184" t="str">
        <f>IFERROR(IF(VLOOKUP(Tue_W1[[#This Row],[Employee Name]],'Base Schedules'!$A$160:$AW$203,39,FALSE)="","",VLOOKUP(Tue_W1[[#This Row],[Employee Name]],'Base Schedules'!$A$160:$AW$203,39,FALSE)),"")</f>
        <v/>
      </c>
      <c r="AO32" s="184" t="str">
        <f>IFERROR(IF(VLOOKUP(Tue_W1[[#This Row],[Employee Name]],'Base Schedules'!$A$160:$AW$203,40,FALSE)="","",VLOOKUP(Tue_W1[[#This Row],[Employee Name]],'Base Schedules'!$A$160:$AW$203,40,FALSE)),"")</f>
        <v/>
      </c>
      <c r="AP32" s="184" t="str">
        <f>IFERROR(IF(VLOOKUP(Tue_W1[[#This Row],[Employee Name]],'Base Schedules'!$A$160:$AW$203,41,FALSE)="","",VLOOKUP(Tue_W1[[#This Row],[Employee Name]],'Base Schedules'!$A$160:$AW$203,41,FALSE)),"")</f>
        <v/>
      </c>
      <c r="AQ32" s="184" t="str">
        <f>IFERROR(IF(VLOOKUP(Tue_W1[[#This Row],[Employee Name]],'Base Schedules'!$A$160:$AW$203,42,FALSE)="","",VLOOKUP(Tue_W1[[#This Row],[Employee Name]],'Base Schedules'!$A$160:$AW$203,42,FALSE)),"")</f>
        <v/>
      </c>
      <c r="AR32" s="184" t="str">
        <f>IFERROR(IF(VLOOKUP(Tue_W1[[#This Row],[Employee Name]],'Base Schedules'!$A$160:$AW$203,43,FALSE)="","",VLOOKUP(Tue_W1[[#This Row],[Employee Name]],'Base Schedules'!$A$160:$AW$203,43,FALSE)),"")</f>
        <v/>
      </c>
      <c r="AS32" s="184" t="str">
        <f>IFERROR(IF(VLOOKUP(Tue_W1[[#This Row],[Employee Name]],'Base Schedules'!$A$160:$AW$203,44,FALSE)="","",VLOOKUP(Tue_W1[[#This Row],[Employee Name]],'Base Schedules'!$A$160:$AW$203,44,FALSE)),"")</f>
        <v/>
      </c>
      <c r="AT32" s="184" t="str">
        <f>IFERROR(IF(VLOOKUP(Tue_W1[[#This Row],[Employee Name]],'Base Schedules'!$A$160:$AW$203,45,FALSE)="","",VLOOKUP(Tue_W1[[#This Row],[Employee Name]],'Base Schedules'!$A$160:$AW$203,45,FALSE)),"")</f>
        <v/>
      </c>
      <c r="AU32" s="184" t="str">
        <f>IFERROR(IF(VLOOKUP(Tue_W1[[#This Row],[Employee Name]],'Base Schedules'!$A$160:$AW$203,46,FALSE)="","",VLOOKUP(Tue_W1[[#This Row],[Employee Name]],'Base Schedules'!$A$160:$AW$203,46,FALSE)),"")</f>
        <v/>
      </c>
      <c r="AV32" s="184" t="str">
        <f>IFERROR(IF(VLOOKUP(Tue_W1[[#This Row],[Employee Name]],'Base Schedules'!$A$160:$AW$203,47,FALSE)="","",VLOOKUP(Tue_W1[[#This Row],[Employee Name]],'Base Schedules'!$A$160:$AW$203,47,FALSE)),"")</f>
        <v/>
      </c>
      <c r="AW32" s="184" t="str">
        <f>IFERROR(IF(VLOOKUP(Tue_W1[[#This Row],[Employee Name]],'Base Schedules'!$A$160:$AW$203,48,FALSE)="","",VLOOKUP(Tue_W1[[#This Row],[Employee Name]],'Base Schedules'!$A$160:$AW$203,48,FALSE)),"")</f>
        <v/>
      </c>
      <c r="AX32" s="184" t="str">
        <f>IFERROR(IF(VLOOKUP(Tue_W1[[#This Row],[Employee Name]],'Base Schedules'!$A$160:$AW$203,49,FALSE)="","",VLOOKUP(Tue_W1[[#This Row],[Employee Name]],'Base Schedules'!$A$160:$AW$203,49,FALSE)),"")</f>
        <v/>
      </c>
      <c r="AY32" s="164" t="str">
        <f t="shared" si="2"/>
        <v>Condon, Heather</v>
      </c>
    </row>
    <row r="33" spans="1:51" s="44" customFormat="1" ht="12" x14ac:dyDescent="0.2">
      <c r="A33" s="39" t="str">
        <f>IF(B33="","",INDEX(TeamList[],MATCH($B33,TeamList[[Employee Name]:[Employee Name]],0),MATCH("Manager",TeamList[#Headers],0)))</f>
        <v>Ahmed Hassan, Zahra</v>
      </c>
      <c r="B33" s="201" t="s">
        <v>63</v>
      </c>
      <c r="C33" s="257" t="str">
        <f>_xlfn.IFNA(VLOOKUP(Tue_W1[[#This Row],[Employee Name]],'Base Schedules'!A:B,2,FALSE),"")</f>
        <v>Supervisor</v>
      </c>
      <c r="D33" s="274">
        <f>_xlfn.IFNA(VLOOKUP(Tue_W1[[#This Row],[Employee Name]],'Base Schedules'!A:C,3,FALSE),"")</f>
        <v>1200</v>
      </c>
      <c r="E33" s="274">
        <f>_xlfn.IFNA(VLOOKUP(Tue_W1[[#This Row],[Employee Name]],'Base Schedules'!A:D,4,FALSE),"")</f>
        <v>2100</v>
      </c>
      <c r="F33" s="142">
        <f>IF(Tue_W1[[#This Row],[Employee Name]]="","",IF(Tue_W1[[#This Row],[Dept]]="Supervisor",COUNTIFS($J33:$AX33,"*HL*",$J33:$AX33,"&lt;&gt;"&amp;"pHL"),COUNTIFS($J33:$AX33,"*HL*",$J33:$AX33,"&lt;&gt;"&amp;"*pHL*",$J33:$AX33,"&lt;&gt;"&amp;"pB1 HL",$J33:$AX33,"&lt;&gt;"&amp;"pB2 HL")-SUM(COUNTIFS($J33:$AX33,"*HL B1*",$J33:$AX33,"&lt;&gt;"&amp;"pHL B1")*0.5,COUNTIFS($J33:$AX33,"*HL B2*",$J33:$AX33,"&lt;&gt;"&amp;"pHL B2")*0.5,COUNTIFS($J33:$AX33,"*B1 HL*",$J33:$AX33,"&lt;&gt;"&amp;"pB1 HL")*0.5,COUNTIFS($J33:$AX33,"*B2 HL*",$J33:$AX33,"&lt;&gt;"&amp;"pB2 HL")*0.5)))</f>
        <v>0</v>
      </c>
      <c r="G33" s="142">
        <f t="shared" si="0"/>
        <v>5</v>
      </c>
      <c r="H33" s="142">
        <f t="shared" si="1"/>
        <v>0</v>
      </c>
      <c r="I33" s="142">
        <f>IF(Tue_W1[[#This Row],[Employee Name]]="","",IF(Tue_W1[[#This Row],[Dept]]="Supervisor",SUM(COUNTIFS($J33:$AX33,"RTA*",$J33:$AX33,"&lt;&gt;"&amp;"pRTA"),COUNTIFS($J33:$AX33,"*CRTA*",$J33:$AX33,"&lt;&gt;"&amp;"pCRTA")),COUNTIFS($J33:$AX33,"*RNNR*",$J33:$AX33,"&lt;&gt;"&amp;"*pRNNR*",$J33:$AX33,"&lt;&gt;"&amp;"pB1 RNNR",$J33:$AX33,"&lt;&gt;"&amp;"pB2 RNNR")-SUM(COUNTIFS($J33:$AX33,"*RNNR B1*",$J33:$AX33,"&lt;&gt;"&amp;"pRNNR B1")*0.5,COUNTIFS($J33:$AX33,"*RNNR B2*",$J33:$AX33,"&lt;&gt;"&amp;"pRNNR B2")*0.5,COUNTIFS($J33:$AX33,"*B1 RNNR*",$J33:$AX33,"&lt;&gt;"&amp;"pB1 RNNR")*0.5,COUNTIFS($J33:$AX33,"*B2 RNNR*",$J33:$AX33,"&lt;&gt;"&amp;"pB2 RNNR")*0.5)))</f>
        <v>0</v>
      </c>
      <c r="J33" s="184" t="str">
        <f>IFERROR(IF(VLOOKUP(Tue_W1[[#This Row],[Employee Name]],'Base Schedules'!$A$160:$AW$203,9,FALSE)="","",VLOOKUP(Tue_W1[[#This Row],[Employee Name]],'Base Schedules'!$A$160:$AW$203,9,FALSE)),"")</f>
        <v/>
      </c>
      <c r="K33" s="184" t="str">
        <f>IFERROR(IF(VLOOKUP(Tue_W1[[#This Row],[Employee Name]],'Base Schedules'!$A$160:$AW$203,10,FALSE)="","",VLOOKUP(Tue_W1[[#This Row],[Employee Name]],'Base Schedules'!$A$160:$AW$203,10,FALSE)),"")</f>
        <v/>
      </c>
      <c r="L33" s="184" t="str">
        <f>IFERROR(IF(VLOOKUP(Tue_W1[[#This Row],[Employee Name]],'Base Schedules'!$A$160:$AW$203,11,FALSE)="","",VLOOKUP(Tue_W1[[#This Row],[Employee Name]],'Base Schedules'!$A$160:$AW$203,11,FALSE)),"")</f>
        <v/>
      </c>
      <c r="M33" s="184" t="str">
        <f>IFERROR(IF(VLOOKUP(Tue_W1[[#This Row],[Employee Name]],'Base Schedules'!$A$160:$AW$203,12,FALSE)="","",VLOOKUP(Tue_W1[[#This Row],[Employee Name]],'Base Schedules'!$A$160:$AW$203,12,FALSE)),"")</f>
        <v/>
      </c>
      <c r="N33" s="184" t="str">
        <f>IFERROR(IF(VLOOKUP(Tue_W1[[#This Row],[Employee Name]],'Base Schedules'!$A$160:$AW$203,13,FALSE)="","",VLOOKUP(Tue_W1[[#This Row],[Employee Name]],'Base Schedules'!$A$160:$AW$203,13,FALSE)),"")</f>
        <v/>
      </c>
      <c r="O33" s="184" t="str">
        <f>IFERROR(IF(VLOOKUP(Tue_W1[[#This Row],[Employee Name]],'Base Schedules'!$A$160:$AW$203,14,FALSE)="","",VLOOKUP(Tue_W1[[#This Row],[Employee Name]],'Base Schedules'!$A$160:$AW$203,14,FALSE)),"")</f>
        <v/>
      </c>
      <c r="P33" s="184" t="str">
        <f>IFERROR(IF(VLOOKUP(Tue_W1[[#This Row],[Employee Name]],'Base Schedules'!$A$160:$AW$203,15,FALSE)="","",VLOOKUP(Tue_W1[[#This Row],[Employee Name]],'Base Schedules'!$A$160:$AW$203,15,FALSE)),"")</f>
        <v/>
      </c>
      <c r="Q33" s="184" t="str">
        <f>IFERROR(IF(VLOOKUP(Tue_W1[[#This Row],[Employee Name]],'Base Schedules'!$A$160:$AW$203,16,FALSE)="","",VLOOKUP(Tue_W1[[#This Row],[Employee Name]],'Base Schedules'!$A$160:$AW$203,16,FALSE)),"")</f>
        <v/>
      </c>
      <c r="R33" s="184" t="str">
        <f>IFERROR(IF(VLOOKUP(Tue_W1[[#This Row],[Employee Name]],'Base Schedules'!$A$160:$AW$203,17,FALSE)="","",VLOOKUP(Tue_W1[[#This Row],[Employee Name]],'Base Schedules'!$A$160:$AW$203,17,FALSE)),"")</f>
        <v/>
      </c>
      <c r="S33" s="184" t="str">
        <f>IFERROR(IF(VLOOKUP(Tue_W1[[#This Row],[Employee Name]],'Base Schedules'!$A$160:$AW$203,18,FALSE)="","",VLOOKUP(Tue_W1[[#This Row],[Employee Name]],'Base Schedules'!$A$160:$AW$203,18,FALSE)),"")</f>
        <v/>
      </c>
      <c r="T33" s="184" t="str">
        <f>IFERROR(IF(VLOOKUP(Tue_W1[[#This Row],[Employee Name]],'Base Schedules'!$A$160:$AW$203,19,FALSE)="","",VLOOKUP(Tue_W1[[#This Row],[Employee Name]],'Base Schedules'!$A$160:$AW$203,19,FALSE)),"")</f>
        <v/>
      </c>
      <c r="U33" s="184" t="str">
        <f>IFERROR(IF(VLOOKUP(Tue_W1[[#This Row],[Employee Name]],'Base Schedules'!$A$160:$AW$203,20,FALSE)="","",VLOOKUP(Tue_W1[[#This Row],[Employee Name]],'Base Schedules'!$A$160:$AW$203,20,FALSE)),"")</f>
        <v/>
      </c>
      <c r="V33" s="184" t="str">
        <f>IFERROR(IF(VLOOKUP(Tue_W1[[#This Row],[Employee Name]],'Base Schedules'!$A$160:$AW$203,21,FALSE)="","",VLOOKUP(Tue_W1[[#This Row],[Employee Name]],'Base Schedules'!$A$160:$AW$203,21,FALSE)),"")</f>
        <v/>
      </c>
      <c r="W33" s="184" t="str">
        <f>IFERROR(IF(VLOOKUP(Tue_W1[[#This Row],[Employee Name]],'Base Schedules'!$A$160:$AW$203,22,FALSE)="","",VLOOKUP(Tue_W1[[#This Row],[Employee Name]],'Base Schedules'!$A$160:$AW$203,22,FALSE)),"")</f>
        <v/>
      </c>
      <c r="X33" s="184" t="str">
        <f>IFERROR(IF(VLOOKUP(Tue_W1[[#This Row],[Employee Name]],'Base Schedules'!$A$160:$AW$203,23,FALSE)="","",VLOOKUP(Tue_W1[[#This Row],[Employee Name]],'Base Schedules'!$A$160:$AW$203,23,FALSE)),"")</f>
        <v>-</v>
      </c>
      <c r="Y33" s="184" t="str">
        <f>IFERROR(IF(VLOOKUP(Tue_W1[[#This Row],[Employee Name]],'Base Schedules'!$A$160:$AW$203,24,FALSE)="","",VLOOKUP(Tue_W1[[#This Row],[Employee Name]],'Base Schedules'!$A$160:$AW$203,24,FALSE)),"")</f>
        <v>-</v>
      </c>
      <c r="Z33" s="184" t="str">
        <f>IFERROR(IF(VLOOKUP(Tue_W1[[#This Row],[Employee Name]],'Base Schedules'!$A$160:$AW$203,25,FALSE)="","",VLOOKUP(Tue_W1[[#This Row],[Employee Name]],'Base Schedules'!$A$160:$AW$203,25,FALSE)),"")</f>
        <v>-</v>
      </c>
      <c r="AA33" s="184" t="str">
        <f>IFERROR(IF(VLOOKUP(Tue_W1[[#This Row],[Employee Name]],'Base Schedules'!$A$160:$AW$203,26,FALSE)="","",VLOOKUP(Tue_W1[[#This Row],[Employee Name]],'Base Schedules'!$A$160:$AW$203,26,FALSE)),"")</f>
        <v>-</v>
      </c>
      <c r="AB33" s="184" t="str">
        <f>IFERROR(IF(VLOOKUP(Tue_W1[[#This Row],[Employee Name]],'Base Schedules'!$A$160:$AW$203,27,FALSE)="","",VLOOKUP(Tue_W1[[#This Row],[Employee Name]],'Base Schedules'!$A$160:$AW$203,27,FALSE)),"")</f>
        <v>Interview</v>
      </c>
      <c r="AC33" s="184" t="str">
        <f>IFERROR(IF(VLOOKUP(Tue_W1[[#This Row],[Employee Name]],'Base Schedules'!$A$160:$AW$203,28,FALSE)="","",VLOOKUP(Tue_W1[[#This Row],[Employee Name]],'Base Schedules'!$A$160:$AW$203,28,FALSE)),"")</f>
        <v>Interview</v>
      </c>
      <c r="AD33" s="184" t="str">
        <f>IFERROR(IF(VLOOKUP(Tue_W1[[#This Row],[Employee Name]],'Base Schedules'!$A$160:$AW$203,29,FALSE)="","",VLOOKUP(Tue_W1[[#This Row],[Employee Name]],'Base Schedules'!$A$160:$AW$203,29,FALSE)),"")</f>
        <v>-</v>
      </c>
      <c r="AE33" s="184" t="str">
        <f>IFERROR(IF(VLOOKUP(Tue_W1[[#This Row],[Employee Name]],'Base Schedules'!$A$160:$AW$203,30,FALSE)="","",VLOOKUP(Tue_W1[[#This Row],[Employee Name]],'Base Schedules'!$A$160:$AW$203,30,FALSE)),"")</f>
        <v>-</v>
      </c>
      <c r="AF33" s="184" t="str">
        <f>IFERROR(IF(VLOOKUP(Tue_W1[[#This Row],[Employee Name]],'Base Schedules'!$A$160:$AW$203,31,FALSE)="","",VLOOKUP(Tue_W1[[#This Row],[Employee Name]],'Base Schedules'!$A$160:$AW$203,31,FALSE)),"")</f>
        <v>-</v>
      </c>
      <c r="AG33" s="184" t="str">
        <f>IFERROR(IF(VLOOKUP(Tue_W1[[#This Row],[Employee Name]],'Base Schedules'!$A$160:$AW$203,32,FALSE)="","",VLOOKUP(Tue_W1[[#This Row],[Employee Name]],'Base Schedules'!$A$160:$AW$203,32,FALSE)),"")</f>
        <v>Coaching</v>
      </c>
      <c r="AH33" s="184" t="str">
        <f>IFERROR(IF(VLOOKUP(Tue_W1[[#This Row],[Employee Name]],'Base Schedules'!$A$160:$AW$203,33,FALSE)="","",VLOOKUP(Tue_W1[[#This Row],[Employee Name]],'Base Schedules'!$A$160:$AW$203,33,FALSE)),"")</f>
        <v>Coaching</v>
      </c>
      <c r="AI33" s="184" t="str">
        <f>IFERROR(IF(VLOOKUP(Tue_W1[[#This Row],[Employee Name]],'Base Schedules'!$A$160:$AW$203,34,FALSE)="","",VLOOKUP(Tue_W1[[#This Row],[Employee Name]],'Base Schedules'!$A$160:$AW$203,34,FALSE)),"")</f>
        <v>Coaching</v>
      </c>
      <c r="AJ33" s="184" t="str">
        <f>IFERROR(IF(VLOOKUP(Tue_W1[[#This Row],[Employee Name]],'Base Schedules'!$A$160:$AW$203,35,FALSE)="","",VLOOKUP(Tue_W1[[#This Row],[Employee Name]],'Base Schedules'!$A$160:$AW$203,35,FALSE)),"")</f>
        <v>Coaching</v>
      </c>
      <c r="AK33" s="184" t="str">
        <f>IFERROR(IF(VLOOKUP(Tue_W1[[#This Row],[Employee Name]],'Base Schedules'!$A$160:$AW$203,36,FALSE)="","",VLOOKUP(Tue_W1[[#This Row],[Employee Name]],'Base Schedules'!$A$160:$AW$203,36,FALSE)),"")</f>
        <v>Coaching</v>
      </c>
      <c r="AL33" s="184" t="str">
        <f>IFERROR(IF(VLOOKUP(Tue_W1[[#This Row],[Employee Name]],'Base Schedules'!$A$160:$AW$203,37,FALSE)="","",VLOOKUP(Tue_W1[[#This Row],[Employee Name]],'Base Schedules'!$A$160:$AW$203,37,FALSE)),"")</f>
        <v>-</v>
      </c>
      <c r="AM33" s="184" t="str">
        <f>IFERROR(IF(VLOOKUP(Tue_W1[[#This Row],[Employee Name]],'Base Schedules'!$A$160:$AW$203,38,FALSE)="","",VLOOKUP(Tue_W1[[#This Row],[Employee Name]],'Base Schedules'!$A$160:$AW$203,38,FALSE)),"")</f>
        <v>-</v>
      </c>
      <c r="AN33" s="184" t="str">
        <f>IFERROR(IF(VLOOKUP(Tue_W1[[#This Row],[Employee Name]],'Base Schedules'!$A$160:$AW$203,39,FALSE)="","",VLOOKUP(Tue_W1[[#This Row],[Employee Name]],'Base Schedules'!$A$160:$AW$203,39,FALSE)),"")</f>
        <v>-</v>
      </c>
      <c r="AO33" s="184" t="str">
        <f>IFERROR(IF(VLOOKUP(Tue_W1[[#This Row],[Employee Name]],'Base Schedules'!$A$160:$AW$203,40,FALSE)="","",VLOOKUP(Tue_W1[[#This Row],[Employee Name]],'Base Schedules'!$A$160:$AW$203,40,FALSE)),"")</f>
        <v>-</v>
      </c>
      <c r="AP33" s="184" t="str">
        <f>IFERROR(IF(VLOOKUP(Tue_W1[[#This Row],[Employee Name]],'Base Schedules'!$A$160:$AW$203,41,FALSE)="","",VLOOKUP(Tue_W1[[#This Row],[Employee Name]],'Base Schedules'!$A$160:$AW$203,41,FALSE)),"")</f>
        <v/>
      </c>
      <c r="AQ33" s="184" t="str">
        <f>IFERROR(IF(VLOOKUP(Tue_W1[[#This Row],[Employee Name]],'Base Schedules'!$A$160:$AW$203,42,FALSE)="","",VLOOKUP(Tue_W1[[#This Row],[Employee Name]],'Base Schedules'!$A$160:$AW$203,42,FALSE)),"")</f>
        <v/>
      </c>
      <c r="AR33" s="184" t="str">
        <f>IFERROR(IF(VLOOKUP(Tue_W1[[#This Row],[Employee Name]],'Base Schedules'!$A$160:$AW$203,43,FALSE)="","",VLOOKUP(Tue_W1[[#This Row],[Employee Name]],'Base Schedules'!$A$160:$AW$203,43,FALSE)),"")</f>
        <v/>
      </c>
      <c r="AS33" s="184" t="str">
        <f>IFERROR(IF(VLOOKUP(Tue_W1[[#This Row],[Employee Name]],'Base Schedules'!$A$160:$AW$203,44,FALSE)="","",VLOOKUP(Tue_W1[[#This Row],[Employee Name]],'Base Schedules'!$A$160:$AW$203,44,FALSE)),"")</f>
        <v/>
      </c>
      <c r="AT33" s="184" t="str">
        <f>IFERROR(IF(VLOOKUP(Tue_W1[[#This Row],[Employee Name]],'Base Schedules'!$A$160:$AW$203,45,FALSE)="","",VLOOKUP(Tue_W1[[#This Row],[Employee Name]],'Base Schedules'!$A$160:$AW$203,45,FALSE)),"")</f>
        <v/>
      </c>
      <c r="AU33" s="184" t="str">
        <f>IFERROR(IF(VLOOKUP(Tue_W1[[#This Row],[Employee Name]],'Base Schedules'!$A$160:$AW$203,46,FALSE)="","",VLOOKUP(Tue_W1[[#This Row],[Employee Name]],'Base Schedules'!$A$160:$AW$203,46,FALSE)),"")</f>
        <v/>
      </c>
      <c r="AV33" s="184" t="str">
        <f>IFERROR(IF(VLOOKUP(Tue_W1[[#This Row],[Employee Name]],'Base Schedules'!$A$160:$AW$203,47,FALSE)="","",VLOOKUP(Tue_W1[[#This Row],[Employee Name]],'Base Schedules'!$A$160:$AW$203,47,FALSE)),"")</f>
        <v/>
      </c>
      <c r="AW33" s="184" t="str">
        <f>IFERROR(IF(VLOOKUP(Tue_W1[[#This Row],[Employee Name]],'Base Schedules'!$A$160:$AW$203,48,FALSE)="","",VLOOKUP(Tue_W1[[#This Row],[Employee Name]],'Base Schedules'!$A$160:$AW$203,48,FALSE)),"")</f>
        <v/>
      </c>
      <c r="AX33" s="184" t="str">
        <f>IFERROR(IF(VLOOKUP(Tue_W1[[#This Row],[Employee Name]],'Base Schedules'!$A$160:$AW$203,49,FALSE)="","",VLOOKUP(Tue_W1[[#This Row],[Employee Name]],'Base Schedules'!$A$160:$AW$203,49,FALSE)),"")</f>
        <v/>
      </c>
      <c r="AY33" s="164" t="str">
        <f t="shared" si="2"/>
        <v>Conner, Mark</v>
      </c>
    </row>
    <row r="34" spans="1:51" s="44" customFormat="1" ht="12" x14ac:dyDescent="0.2">
      <c r="A34" s="39" t="str">
        <f>IF(B34="","",INDEX(TeamList[],MATCH($B34,TeamList[[Employee Name]:[Employee Name]],0),MATCH("Manager",TeamList[#Headers],0)))</f>
        <v>Olson, Katherine</v>
      </c>
      <c r="B34" s="201" t="s">
        <v>227</v>
      </c>
      <c r="C34" s="257" t="str">
        <f>_xlfn.IFNA(VLOOKUP(Tue_W1[[#This Row],[Employee Name]],'Base Schedules'!A:B,2,FALSE),"")</f>
        <v>Supervisor</v>
      </c>
      <c r="D34" s="274">
        <f>_xlfn.IFNA(VLOOKUP(Tue_W1[[#This Row],[Employee Name]],'Base Schedules'!A:C,3,FALSE),"")</f>
        <v>1230</v>
      </c>
      <c r="E34" s="274">
        <f>_xlfn.IFNA(VLOOKUP(Tue_W1[[#This Row],[Employee Name]],'Base Schedules'!A:D,4,FALSE),"")</f>
        <v>2130</v>
      </c>
      <c r="F34" s="142">
        <f>IF(Tue_W1[[#This Row],[Employee Name]]="","",IF(Tue_W1[[#This Row],[Dept]]="Supervisor",COUNTIFS($J34:$AX34,"*HL*",$J34:$AX34,"&lt;&gt;"&amp;"pHL"),COUNTIFS($J34:$AX34,"*HL*",$J34:$AX34,"&lt;&gt;"&amp;"*pHL*",$J34:$AX34,"&lt;&gt;"&amp;"pB1 HL",$J34:$AX34,"&lt;&gt;"&amp;"pB2 HL")-SUM(COUNTIFS($J34:$AX34,"*HL B1*",$J34:$AX34,"&lt;&gt;"&amp;"pHL B1")*0.5,COUNTIFS($J34:$AX34,"*HL B2*",$J34:$AX34,"&lt;&gt;"&amp;"pHL B2")*0.5,COUNTIFS($J34:$AX34,"*B1 HL*",$J34:$AX34,"&lt;&gt;"&amp;"pB1 HL")*0.5,COUNTIFS($J34:$AX34,"*B2 HL*",$J34:$AX34,"&lt;&gt;"&amp;"pB2 HL")*0.5)))</f>
        <v>0</v>
      </c>
      <c r="G34" s="142">
        <f t="shared" si="0"/>
        <v>0</v>
      </c>
      <c r="H34" s="142">
        <f t="shared" si="1"/>
        <v>0</v>
      </c>
      <c r="I34" s="142">
        <f>IF(Tue_W1[[#This Row],[Employee Name]]="","",IF(Tue_W1[[#This Row],[Dept]]="Supervisor",SUM(COUNTIFS($J34:$AX34,"RTA*",$J34:$AX34,"&lt;&gt;"&amp;"pRTA"),COUNTIFS($J34:$AX34,"*CRTA*",$J34:$AX34,"&lt;&gt;"&amp;"pCRTA")),COUNTIFS($J34:$AX34,"*RNNR*",$J34:$AX34,"&lt;&gt;"&amp;"*pRNNR*",$J34:$AX34,"&lt;&gt;"&amp;"pB1 RNNR",$J34:$AX34,"&lt;&gt;"&amp;"pB2 RNNR")-SUM(COUNTIFS($J34:$AX34,"*RNNR B1*",$J34:$AX34,"&lt;&gt;"&amp;"pRNNR B1")*0.5,COUNTIFS($J34:$AX34,"*RNNR B2*",$J34:$AX34,"&lt;&gt;"&amp;"pRNNR B2")*0.5,COUNTIFS($J34:$AX34,"*B1 RNNR*",$J34:$AX34,"&lt;&gt;"&amp;"pB1 RNNR")*0.5,COUNTIFS($J34:$AX34,"*B2 RNNR*",$J34:$AX34,"&lt;&gt;"&amp;"pB2 RNNR")*0.5)))</f>
        <v>0</v>
      </c>
      <c r="J34" s="184" t="str">
        <f>IFERROR(IF(VLOOKUP(Tue_W1[[#This Row],[Employee Name]],'Base Schedules'!$A$160:$AW$203,9,FALSE)="","",VLOOKUP(Tue_W1[[#This Row],[Employee Name]],'Base Schedules'!$A$160:$AW$203,9,FALSE)),"")</f>
        <v/>
      </c>
      <c r="K34" s="184" t="str">
        <f>IFERROR(IF(VLOOKUP(Tue_W1[[#This Row],[Employee Name]],'Base Schedules'!$A$160:$AW$203,10,FALSE)="","",VLOOKUP(Tue_W1[[#This Row],[Employee Name]],'Base Schedules'!$A$160:$AW$203,10,FALSE)),"")</f>
        <v/>
      </c>
      <c r="L34" s="184" t="str">
        <f>IFERROR(IF(VLOOKUP(Tue_W1[[#This Row],[Employee Name]],'Base Schedules'!$A$160:$AW$203,11,FALSE)="","",VLOOKUP(Tue_W1[[#This Row],[Employee Name]],'Base Schedules'!$A$160:$AW$203,11,FALSE)),"")</f>
        <v/>
      </c>
      <c r="M34" s="184" t="str">
        <f>IFERROR(IF(VLOOKUP(Tue_W1[[#This Row],[Employee Name]],'Base Schedules'!$A$160:$AW$203,12,FALSE)="","",VLOOKUP(Tue_W1[[#This Row],[Employee Name]],'Base Schedules'!$A$160:$AW$203,12,FALSE)),"")</f>
        <v/>
      </c>
      <c r="N34" s="184" t="str">
        <f>IFERROR(IF(VLOOKUP(Tue_W1[[#This Row],[Employee Name]],'Base Schedules'!$A$160:$AW$203,13,FALSE)="","",VLOOKUP(Tue_W1[[#This Row],[Employee Name]],'Base Schedules'!$A$160:$AW$203,13,FALSE)),"")</f>
        <v/>
      </c>
      <c r="O34" s="184" t="str">
        <f>IFERROR(IF(VLOOKUP(Tue_W1[[#This Row],[Employee Name]],'Base Schedules'!$A$160:$AW$203,14,FALSE)="","",VLOOKUP(Tue_W1[[#This Row],[Employee Name]],'Base Schedules'!$A$160:$AW$203,14,FALSE)),"")</f>
        <v/>
      </c>
      <c r="P34" s="184" t="str">
        <f>IFERROR(IF(VLOOKUP(Tue_W1[[#This Row],[Employee Name]],'Base Schedules'!$A$160:$AW$203,15,FALSE)="","",VLOOKUP(Tue_W1[[#This Row],[Employee Name]],'Base Schedules'!$A$160:$AW$203,15,FALSE)),"")</f>
        <v/>
      </c>
      <c r="Q34" s="184" t="str">
        <f>IFERROR(IF(VLOOKUP(Tue_W1[[#This Row],[Employee Name]],'Base Schedules'!$A$160:$AW$203,16,FALSE)="","",VLOOKUP(Tue_W1[[#This Row],[Employee Name]],'Base Schedules'!$A$160:$AW$203,16,FALSE)),"")</f>
        <v/>
      </c>
      <c r="R34" s="184" t="str">
        <f>IFERROR(IF(VLOOKUP(Tue_W1[[#This Row],[Employee Name]],'Base Schedules'!$A$160:$AW$203,17,FALSE)="","",VLOOKUP(Tue_W1[[#This Row],[Employee Name]],'Base Schedules'!$A$160:$AW$203,17,FALSE)),"")</f>
        <v/>
      </c>
      <c r="S34" s="184" t="str">
        <f>IFERROR(IF(VLOOKUP(Tue_W1[[#This Row],[Employee Name]],'Base Schedules'!$A$160:$AW$203,18,FALSE)="","",VLOOKUP(Tue_W1[[#This Row],[Employee Name]],'Base Schedules'!$A$160:$AW$203,18,FALSE)),"")</f>
        <v/>
      </c>
      <c r="T34" s="184" t="str">
        <f>IFERROR(IF(VLOOKUP(Tue_W1[[#This Row],[Employee Name]],'Base Schedules'!$A$160:$AW$203,19,FALSE)="","",VLOOKUP(Tue_W1[[#This Row],[Employee Name]],'Base Schedules'!$A$160:$AW$203,19,FALSE)),"")</f>
        <v/>
      </c>
      <c r="U34" s="184" t="str">
        <f>IFERROR(IF(VLOOKUP(Tue_W1[[#This Row],[Employee Name]],'Base Schedules'!$A$160:$AW$203,20,FALSE)="","",VLOOKUP(Tue_W1[[#This Row],[Employee Name]],'Base Schedules'!$A$160:$AW$203,20,FALSE)),"")</f>
        <v/>
      </c>
      <c r="V34" s="184" t="str">
        <f>IFERROR(IF(VLOOKUP(Tue_W1[[#This Row],[Employee Name]],'Base Schedules'!$A$160:$AW$203,21,FALSE)="","",VLOOKUP(Tue_W1[[#This Row],[Employee Name]],'Base Schedules'!$A$160:$AW$203,21,FALSE)),"")</f>
        <v/>
      </c>
      <c r="W34" s="184" t="str">
        <f>IFERROR(IF(VLOOKUP(Tue_W1[[#This Row],[Employee Name]],'Base Schedules'!$A$160:$AW$203,22,FALSE)="","",VLOOKUP(Tue_W1[[#This Row],[Employee Name]],'Base Schedules'!$A$160:$AW$203,22,FALSE)),"")</f>
        <v/>
      </c>
      <c r="X34" s="184" t="str">
        <f>IFERROR(IF(VLOOKUP(Tue_W1[[#This Row],[Employee Name]],'Base Schedules'!$A$160:$AW$203,23,FALSE)="","",VLOOKUP(Tue_W1[[#This Row],[Employee Name]],'Base Schedules'!$A$160:$AW$203,23,FALSE)),"")</f>
        <v/>
      </c>
      <c r="Y34" s="184" t="str">
        <f>IFERROR(IF(VLOOKUP(Tue_W1[[#This Row],[Employee Name]],'Base Schedules'!$A$160:$AW$203,24,FALSE)="","",VLOOKUP(Tue_W1[[#This Row],[Employee Name]],'Base Schedules'!$A$160:$AW$203,24,FALSE)),"")</f>
        <v>-</v>
      </c>
      <c r="Z34" s="184" t="str">
        <f>IFERROR(IF(VLOOKUP(Tue_W1[[#This Row],[Employee Name]],'Base Schedules'!$A$160:$AW$203,25,FALSE)="","",VLOOKUP(Tue_W1[[#This Row],[Employee Name]],'Base Schedules'!$A$160:$AW$203,25,FALSE)),"")</f>
        <v>-</v>
      </c>
      <c r="AA34" s="184" t="str">
        <f>IFERROR(IF(VLOOKUP(Tue_W1[[#This Row],[Employee Name]],'Base Schedules'!$A$160:$AW$203,26,FALSE)="","",VLOOKUP(Tue_W1[[#This Row],[Employee Name]],'Base Schedules'!$A$160:$AW$203,26,FALSE)),"")</f>
        <v>-</v>
      </c>
      <c r="AB34" s="184" t="str">
        <f>IFERROR(IF(VLOOKUP(Tue_W1[[#This Row],[Employee Name]],'Base Schedules'!$A$160:$AW$203,27,FALSE)="","",VLOOKUP(Tue_W1[[#This Row],[Employee Name]],'Base Schedules'!$A$160:$AW$203,27,FALSE)),"")</f>
        <v>-</v>
      </c>
      <c r="AC34" s="184" t="str">
        <f>IFERROR(IF(VLOOKUP(Tue_W1[[#This Row],[Employee Name]],'Base Schedules'!$A$160:$AW$203,28,FALSE)="","",VLOOKUP(Tue_W1[[#This Row],[Employee Name]],'Base Schedules'!$A$160:$AW$203,28,FALSE)),"")</f>
        <v>-</v>
      </c>
      <c r="AD34" s="184" t="str">
        <f>IFERROR(IF(VLOOKUP(Tue_W1[[#This Row],[Employee Name]],'Base Schedules'!$A$160:$AW$203,29,FALSE)="","",VLOOKUP(Tue_W1[[#This Row],[Employee Name]],'Base Schedules'!$A$160:$AW$203,29,FALSE)),"")</f>
        <v>-</v>
      </c>
      <c r="AE34" s="184" t="str">
        <f>IFERROR(IF(VLOOKUP(Tue_W1[[#This Row],[Employee Name]],'Base Schedules'!$A$160:$AW$203,30,FALSE)="","",VLOOKUP(Tue_W1[[#This Row],[Employee Name]],'Base Schedules'!$A$160:$AW$203,30,FALSE)),"")</f>
        <v>-</v>
      </c>
      <c r="AF34" s="184" t="str">
        <f>IFERROR(IF(VLOOKUP(Tue_W1[[#This Row],[Employee Name]],'Base Schedules'!$A$160:$AW$203,31,FALSE)="","",VLOOKUP(Tue_W1[[#This Row],[Employee Name]],'Base Schedules'!$A$160:$AW$203,31,FALSE)),"")</f>
        <v>-</v>
      </c>
      <c r="AG34" s="184" t="str">
        <f>IFERROR(IF(VLOOKUP(Tue_W1[[#This Row],[Employee Name]],'Base Schedules'!$A$160:$AW$203,32,FALSE)="","",VLOOKUP(Tue_W1[[#This Row],[Employee Name]],'Base Schedules'!$A$160:$AW$203,32,FALSE)),"")</f>
        <v>-</v>
      </c>
      <c r="AH34" s="184" t="str">
        <f>IFERROR(IF(VLOOKUP(Tue_W1[[#This Row],[Employee Name]],'Base Schedules'!$A$160:$AW$203,33,FALSE)="","",VLOOKUP(Tue_W1[[#This Row],[Employee Name]],'Base Schedules'!$A$160:$AW$203,33,FALSE)),"")</f>
        <v>-</v>
      </c>
      <c r="AI34" s="184" t="str">
        <f>IFERROR(IF(VLOOKUP(Tue_W1[[#This Row],[Employee Name]],'Base Schedules'!$A$160:$AW$203,34,FALSE)="","",VLOOKUP(Tue_W1[[#This Row],[Employee Name]],'Base Schedules'!$A$160:$AW$203,34,FALSE)),"")</f>
        <v>-</v>
      </c>
      <c r="AJ34" s="184" t="str">
        <f>IFERROR(IF(VLOOKUP(Tue_W1[[#This Row],[Employee Name]],'Base Schedules'!$A$160:$AW$203,35,FALSE)="","",VLOOKUP(Tue_W1[[#This Row],[Employee Name]],'Base Schedules'!$A$160:$AW$203,35,FALSE)),"")</f>
        <v>-</v>
      </c>
      <c r="AK34" s="184" t="str">
        <f>IFERROR(IF(VLOOKUP(Tue_W1[[#This Row],[Employee Name]],'Base Schedules'!$A$160:$AW$203,36,FALSE)="","",VLOOKUP(Tue_W1[[#This Row],[Employee Name]],'Base Schedules'!$A$160:$AW$203,36,FALSE)),"")</f>
        <v>-</v>
      </c>
      <c r="AL34" s="184" t="str">
        <f>IFERROR(IF(VLOOKUP(Tue_W1[[#This Row],[Employee Name]],'Base Schedules'!$A$160:$AW$203,37,FALSE)="","",VLOOKUP(Tue_W1[[#This Row],[Employee Name]],'Base Schedules'!$A$160:$AW$203,37,FALSE)),"")</f>
        <v>-</v>
      </c>
      <c r="AM34" s="184" t="str">
        <f>IFERROR(IF(VLOOKUP(Tue_W1[[#This Row],[Employee Name]],'Base Schedules'!$A$160:$AW$203,38,FALSE)="","",VLOOKUP(Tue_W1[[#This Row],[Employee Name]],'Base Schedules'!$A$160:$AW$203,38,FALSE)),"")</f>
        <v>-</v>
      </c>
      <c r="AN34" s="184" t="str">
        <f>IFERROR(IF(VLOOKUP(Tue_W1[[#This Row],[Employee Name]],'Base Schedules'!$A$160:$AW$203,39,FALSE)="","",VLOOKUP(Tue_W1[[#This Row],[Employee Name]],'Base Schedules'!$A$160:$AW$203,39,FALSE)),"")</f>
        <v>-</v>
      </c>
      <c r="AO34" s="184" t="str">
        <f>IFERROR(IF(VLOOKUP(Tue_W1[[#This Row],[Employee Name]],'Base Schedules'!$A$160:$AW$203,40,FALSE)="","",VLOOKUP(Tue_W1[[#This Row],[Employee Name]],'Base Schedules'!$A$160:$AW$203,40,FALSE)),"")</f>
        <v>-</v>
      </c>
      <c r="AP34" s="184" t="str">
        <f>IFERROR(IF(VLOOKUP(Tue_W1[[#This Row],[Employee Name]],'Base Schedules'!$A$160:$AW$203,41,FALSE)="","",VLOOKUP(Tue_W1[[#This Row],[Employee Name]],'Base Schedules'!$A$160:$AW$203,41,FALSE)),"")</f>
        <v>-</v>
      </c>
      <c r="AQ34" s="184" t="str">
        <f>IFERROR(IF(VLOOKUP(Tue_W1[[#This Row],[Employee Name]],'Base Schedules'!$A$160:$AW$203,42,FALSE)="","",VLOOKUP(Tue_W1[[#This Row],[Employee Name]],'Base Schedules'!$A$160:$AW$203,42,FALSE)),"")</f>
        <v>-</v>
      </c>
      <c r="AR34" s="184" t="str">
        <f>IFERROR(IF(VLOOKUP(Tue_W1[[#This Row],[Employee Name]],'Base Schedules'!$A$160:$AW$203,43,FALSE)="","",VLOOKUP(Tue_W1[[#This Row],[Employee Name]],'Base Schedules'!$A$160:$AW$203,43,FALSE)),"")</f>
        <v/>
      </c>
      <c r="AS34" s="184" t="str">
        <f>IFERROR(IF(VLOOKUP(Tue_W1[[#This Row],[Employee Name]],'Base Schedules'!$A$160:$AW$203,44,FALSE)="","",VLOOKUP(Tue_W1[[#This Row],[Employee Name]],'Base Schedules'!$A$160:$AW$203,44,FALSE)),"")</f>
        <v/>
      </c>
      <c r="AT34" s="184" t="str">
        <f>IFERROR(IF(VLOOKUP(Tue_W1[[#This Row],[Employee Name]],'Base Schedules'!$A$160:$AW$203,45,FALSE)="","",VLOOKUP(Tue_W1[[#This Row],[Employee Name]],'Base Schedules'!$A$160:$AW$203,45,FALSE)),"")</f>
        <v/>
      </c>
      <c r="AU34" s="184" t="str">
        <f>IFERROR(IF(VLOOKUP(Tue_W1[[#This Row],[Employee Name]],'Base Schedules'!$A$160:$AW$203,46,FALSE)="","",VLOOKUP(Tue_W1[[#This Row],[Employee Name]],'Base Schedules'!$A$160:$AW$203,46,FALSE)),"")</f>
        <v/>
      </c>
      <c r="AV34" s="184" t="str">
        <f>IFERROR(IF(VLOOKUP(Tue_W1[[#This Row],[Employee Name]],'Base Schedules'!$A$160:$AW$203,47,FALSE)="","",VLOOKUP(Tue_W1[[#This Row],[Employee Name]],'Base Schedules'!$A$160:$AW$203,47,FALSE)),"")</f>
        <v/>
      </c>
      <c r="AW34" s="184" t="str">
        <f>IFERROR(IF(VLOOKUP(Tue_W1[[#This Row],[Employee Name]],'Base Schedules'!$A$160:$AW$203,48,FALSE)="","",VLOOKUP(Tue_W1[[#This Row],[Employee Name]],'Base Schedules'!$A$160:$AW$203,48,FALSE)),"")</f>
        <v/>
      </c>
      <c r="AX34" s="184" t="str">
        <f>IFERROR(IF(VLOOKUP(Tue_W1[[#This Row],[Employee Name]],'Base Schedules'!$A$160:$AW$203,49,FALSE)="","",VLOOKUP(Tue_W1[[#This Row],[Employee Name]],'Base Schedules'!$A$160:$AW$203,49,FALSE)),"")</f>
        <v/>
      </c>
      <c r="AY34" s="164" t="str">
        <f t="shared" si="2"/>
        <v>Ostby, Paige</v>
      </c>
    </row>
    <row r="35" spans="1:51" s="44" customFormat="1" ht="12" x14ac:dyDescent="0.2">
      <c r="A35" s="39" t="str">
        <f>IF(B35="","",INDEX(TeamList[],MATCH($B35,TeamList[[Employee Name]:[Employee Name]],0),MATCH("Manager",TeamList[#Headers],0)))</f>
        <v>Olson, Katherine</v>
      </c>
      <c r="B35" s="201" t="s">
        <v>238</v>
      </c>
      <c r="C35" s="257" t="str">
        <f>_xlfn.IFNA(VLOOKUP(Tue_W1[[#This Row],[Employee Name]],'Base Schedules'!A:B,2,FALSE),"")</f>
        <v>Lead</v>
      </c>
      <c r="D35" s="274">
        <f>_xlfn.IFNA(VLOOKUP(Tue_W1[[#This Row],[Employee Name]],'Base Schedules'!A:C,3,FALSE),"")</f>
        <v>1230</v>
      </c>
      <c r="E35" s="274">
        <f>_xlfn.IFNA(VLOOKUP(Tue_W1[[#This Row],[Employee Name]],'Base Schedules'!A:D,4,FALSE),"")</f>
        <v>2100</v>
      </c>
      <c r="F35" s="142">
        <f>IF(Tue_W1[[#This Row],[Employee Name]]="","",IF(Tue_W1[[#This Row],[Dept]]="Supervisor",COUNTIFS($J35:$AX35,"*HL*",$J35:$AX35,"&lt;&gt;"&amp;"pHL"),COUNTIFS($J35:$AX35,"*HL*",$J35:$AX35,"&lt;&gt;"&amp;"*pHL*",$J35:$AX35,"&lt;&gt;"&amp;"pB1 HL",$J35:$AX35,"&lt;&gt;"&amp;"pB2 HL")-SUM(COUNTIFS($J35:$AX35,"*HL B1*",$J35:$AX35,"&lt;&gt;"&amp;"pHL B1")*0.5,COUNTIFS($J35:$AX35,"*HL B2*",$J35:$AX35,"&lt;&gt;"&amp;"pHL B2")*0.5,COUNTIFS($J35:$AX35,"*B1 HL*",$J35:$AX35,"&lt;&gt;"&amp;"pB1 HL")*0.5,COUNTIFS($J35:$AX35,"*B2 HL*",$J35:$AX35,"&lt;&gt;"&amp;"pB2 HL")*0.5)))</f>
        <v>5.5</v>
      </c>
      <c r="G35" s="142">
        <f t="shared" si="0"/>
        <v>0</v>
      </c>
      <c r="H35" s="142">
        <f t="shared" si="1"/>
        <v>6</v>
      </c>
      <c r="I35" s="142">
        <f>IF(Tue_W1[[#This Row],[Employee Name]]="","",IF(Tue_W1[[#This Row],[Dept]]="Supervisor",SUM(COUNTIFS($J35:$AX35,"RTA*",$J35:$AX35,"&lt;&gt;"&amp;"pRTA"),COUNTIFS($J35:$AX35,"*CRTA*",$J35:$AX35,"&lt;&gt;"&amp;"pCRTA")),COUNTIFS($J35:$AX35,"*RNNR*",$J35:$AX35,"&lt;&gt;"&amp;"*pRNNR*",$J35:$AX35,"&lt;&gt;"&amp;"pB1 RNNR",$J35:$AX35,"&lt;&gt;"&amp;"pB2 RNNR")-SUM(COUNTIFS($J35:$AX35,"*RNNR B1*",$J35:$AX35,"&lt;&gt;"&amp;"pRNNR B1")*0.5,COUNTIFS($J35:$AX35,"*RNNR B2*",$J35:$AX35,"&lt;&gt;"&amp;"pRNNR B2")*0.5,COUNTIFS($J35:$AX35,"*B1 RNNR*",$J35:$AX35,"&lt;&gt;"&amp;"pB1 RNNR")*0.5,COUNTIFS($J35:$AX35,"*B2 RNNR*",$J35:$AX35,"&lt;&gt;"&amp;"pB2 RNNR")*0.5)))</f>
        <v>2</v>
      </c>
      <c r="J35" s="184" t="str">
        <f>IFERROR(IF(VLOOKUP(Tue_W1[[#This Row],[Employee Name]],'Base Schedules'!$A$160:$AW$203,9,FALSE)="","",VLOOKUP(Tue_W1[[#This Row],[Employee Name]],'Base Schedules'!$A$160:$AW$203,9,FALSE)),"")</f>
        <v/>
      </c>
      <c r="K35" s="184" t="str">
        <f>IFERROR(IF(VLOOKUP(Tue_W1[[#This Row],[Employee Name]],'Base Schedules'!$A$160:$AW$203,10,FALSE)="","",VLOOKUP(Tue_W1[[#This Row],[Employee Name]],'Base Schedules'!$A$160:$AW$203,10,FALSE)),"")</f>
        <v/>
      </c>
      <c r="L35" s="184" t="str">
        <f>IFERROR(IF(VLOOKUP(Tue_W1[[#This Row],[Employee Name]],'Base Schedules'!$A$160:$AW$203,11,FALSE)="","",VLOOKUP(Tue_W1[[#This Row],[Employee Name]],'Base Schedules'!$A$160:$AW$203,11,FALSE)),"")</f>
        <v/>
      </c>
      <c r="M35" s="184" t="str">
        <f>IFERROR(IF(VLOOKUP(Tue_W1[[#This Row],[Employee Name]],'Base Schedules'!$A$160:$AW$203,12,FALSE)="","",VLOOKUP(Tue_W1[[#This Row],[Employee Name]],'Base Schedules'!$A$160:$AW$203,12,FALSE)),"")</f>
        <v/>
      </c>
      <c r="N35" s="184" t="str">
        <f>IFERROR(IF(VLOOKUP(Tue_W1[[#This Row],[Employee Name]],'Base Schedules'!$A$160:$AW$203,13,FALSE)="","",VLOOKUP(Tue_W1[[#This Row],[Employee Name]],'Base Schedules'!$A$160:$AW$203,13,FALSE)),"")</f>
        <v/>
      </c>
      <c r="O35" s="184" t="str">
        <f>IFERROR(IF(VLOOKUP(Tue_W1[[#This Row],[Employee Name]],'Base Schedules'!$A$160:$AW$203,14,FALSE)="","",VLOOKUP(Tue_W1[[#This Row],[Employee Name]],'Base Schedules'!$A$160:$AW$203,14,FALSE)),"")</f>
        <v/>
      </c>
      <c r="P35" s="184" t="str">
        <f>IFERROR(IF(VLOOKUP(Tue_W1[[#This Row],[Employee Name]],'Base Schedules'!$A$160:$AW$203,15,FALSE)="","",VLOOKUP(Tue_W1[[#This Row],[Employee Name]],'Base Schedules'!$A$160:$AW$203,15,FALSE)),"")</f>
        <v/>
      </c>
      <c r="Q35" s="184" t="str">
        <f>IFERROR(IF(VLOOKUP(Tue_W1[[#This Row],[Employee Name]],'Base Schedules'!$A$160:$AW$203,16,FALSE)="","",VLOOKUP(Tue_W1[[#This Row],[Employee Name]],'Base Schedules'!$A$160:$AW$203,16,FALSE)),"")</f>
        <v/>
      </c>
      <c r="R35" s="184" t="str">
        <f>IFERROR(IF(VLOOKUP(Tue_W1[[#This Row],[Employee Name]],'Base Schedules'!$A$160:$AW$203,17,FALSE)="","",VLOOKUP(Tue_W1[[#This Row],[Employee Name]],'Base Schedules'!$A$160:$AW$203,17,FALSE)),"")</f>
        <v/>
      </c>
      <c r="S35" s="184" t="str">
        <f>IFERROR(IF(VLOOKUP(Tue_W1[[#This Row],[Employee Name]],'Base Schedules'!$A$160:$AW$203,18,FALSE)="","",VLOOKUP(Tue_W1[[#This Row],[Employee Name]],'Base Schedules'!$A$160:$AW$203,18,FALSE)),"")</f>
        <v/>
      </c>
      <c r="T35" s="184" t="str">
        <f>IFERROR(IF(VLOOKUP(Tue_W1[[#This Row],[Employee Name]],'Base Schedules'!$A$160:$AW$203,19,FALSE)="","",VLOOKUP(Tue_W1[[#This Row],[Employee Name]],'Base Schedules'!$A$160:$AW$203,19,FALSE)),"")</f>
        <v/>
      </c>
      <c r="U35" s="184" t="str">
        <f>IFERROR(IF(VLOOKUP(Tue_W1[[#This Row],[Employee Name]],'Base Schedules'!$A$160:$AW$203,20,FALSE)="","",VLOOKUP(Tue_W1[[#This Row],[Employee Name]],'Base Schedules'!$A$160:$AW$203,20,FALSE)),"")</f>
        <v/>
      </c>
      <c r="V35" s="184" t="str">
        <f>IFERROR(IF(VLOOKUP(Tue_W1[[#This Row],[Employee Name]],'Base Schedules'!$A$160:$AW$203,21,FALSE)="","",VLOOKUP(Tue_W1[[#This Row],[Employee Name]],'Base Schedules'!$A$160:$AW$203,21,FALSE)),"")</f>
        <v/>
      </c>
      <c r="W35" s="184" t="str">
        <f>IFERROR(IF(VLOOKUP(Tue_W1[[#This Row],[Employee Name]],'Base Schedules'!$A$160:$AW$203,22,FALSE)="","",VLOOKUP(Tue_W1[[#This Row],[Employee Name]],'Base Schedules'!$A$160:$AW$203,22,FALSE)),"")</f>
        <v/>
      </c>
      <c r="X35" s="184" t="str">
        <f>IFERROR(IF(VLOOKUP(Tue_W1[[#This Row],[Employee Name]],'Base Schedules'!$A$160:$AW$203,23,FALSE)="","",VLOOKUP(Tue_W1[[#This Row],[Employee Name]],'Base Schedules'!$A$160:$AW$203,23,FALSE)),"")</f>
        <v/>
      </c>
      <c r="Y35" s="184" t="str">
        <f>IFERROR(IF(VLOOKUP(Tue_W1[[#This Row],[Employee Name]],'Base Schedules'!$A$160:$AW$203,24,FALSE)="","",VLOOKUP(Tue_W1[[#This Row],[Employee Name]],'Base Schedules'!$A$160:$AW$203,24,FALSE)),"")</f>
        <v>HL</v>
      </c>
      <c r="Z35" s="184" t="str">
        <f>IFERROR(IF(VLOOKUP(Tue_W1[[#This Row],[Employee Name]],'Base Schedules'!$A$160:$AW$203,25,FALSE)="","",VLOOKUP(Tue_W1[[#This Row],[Employee Name]],'Base Schedules'!$A$160:$AW$203,25,FALSE)),"")</f>
        <v>PROJECT</v>
      </c>
      <c r="AA35" s="184" t="str">
        <f>IFERROR(IF(VLOOKUP(Tue_W1[[#This Row],[Employee Name]],'Base Schedules'!$A$160:$AW$203,26,FALSE)="","",VLOOKUP(Tue_W1[[#This Row],[Employee Name]],'Base Schedules'!$A$160:$AW$203,26,FALSE)),"")</f>
        <v>PROJECT</v>
      </c>
      <c r="AB35" s="184" t="str">
        <f>IFERROR(IF(VLOOKUP(Tue_W1[[#This Row],[Employee Name]],'Base Schedules'!$A$160:$AW$203,27,FALSE)="","",VLOOKUP(Tue_W1[[#This Row],[Employee Name]],'Base Schedules'!$A$160:$AW$203,27,FALSE)),"")</f>
        <v>B1 ADM</v>
      </c>
      <c r="AC35" s="184" t="str">
        <f>IFERROR(IF(VLOOKUP(Tue_W1[[#This Row],[Employee Name]],'Base Schedules'!$A$160:$AW$203,28,FALSE)="","",VLOOKUP(Tue_W1[[#This Row],[Employee Name]],'Base Schedules'!$A$160:$AW$203,28,FALSE)),"")</f>
        <v>ADM</v>
      </c>
      <c r="AD35" s="184" t="str">
        <f>IFERROR(IF(VLOOKUP(Tue_W1[[#This Row],[Employee Name]],'Base Schedules'!$A$160:$AW$203,29,FALSE)="","",VLOOKUP(Tue_W1[[#This Row],[Employee Name]],'Base Schedules'!$A$160:$AW$203,29,FALSE)),"")</f>
        <v>ADM</v>
      </c>
      <c r="AE35" s="184" t="str">
        <f>IFERROR(IF(VLOOKUP(Tue_W1[[#This Row],[Employee Name]],'Base Schedules'!$A$160:$AW$203,30,FALSE)="","",VLOOKUP(Tue_W1[[#This Row],[Employee Name]],'Base Schedules'!$A$160:$AW$203,30,FALSE)),"")</f>
        <v>ADM</v>
      </c>
      <c r="AF35" s="184" t="str">
        <f>IFERROR(IF(VLOOKUP(Tue_W1[[#This Row],[Employee Name]],'Base Schedules'!$A$160:$AW$203,31,FALSE)="","",VLOOKUP(Tue_W1[[#This Row],[Employee Name]],'Base Schedules'!$A$160:$AW$203,31,FALSE)),"")</f>
        <v>ADM</v>
      </c>
      <c r="AG35" s="184" t="str">
        <f>IFERROR(IF(VLOOKUP(Tue_W1[[#This Row],[Employee Name]],'Base Schedules'!$A$160:$AW$203,32,FALSE)="","",VLOOKUP(Tue_W1[[#This Row],[Employee Name]],'Base Schedules'!$A$160:$AW$203,32,FALSE)),"")</f>
        <v>LUNCH</v>
      </c>
      <c r="AH35" s="184" t="str">
        <f>IFERROR(IF(VLOOKUP(Tue_W1[[#This Row],[Employee Name]],'Base Schedules'!$A$160:$AW$203,33,FALSE)="","",VLOOKUP(Tue_W1[[#This Row],[Employee Name]],'Base Schedules'!$A$160:$AW$203,33,FALSE)),"")</f>
        <v>ADM</v>
      </c>
      <c r="AI35" s="184" t="str">
        <f>IFERROR(IF(VLOOKUP(Tue_W1[[#This Row],[Employee Name]],'Base Schedules'!$A$160:$AW$203,34,FALSE)="","",VLOOKUP(Tue_W1[[#This Row],[Employee Name]],'Base Schedules'!$A$160:$AW$203,34,FALSE)),"")</f>
        <v>HL</v>
      </c>
      <c r="AJ35" s="184" t="str">
        <f>IFERROR(IF(VLOOKUP(Tue_W1[[#This Row],[Employee Name]],'Base Schedules'!$A$160:$AW$203,35,FALSE)="","",VLOOKUP(Tue_W1[[#This Row],[Employee Name]],'Base Schedules'!$A$160:$AW$203,35,FALSE)),"")</f>
        <v>HL</v>
      </c>
      <c r="AK35" s="184" t="str">
        <f>IFERROR(IF(VLOOKUP(Tue_W1[[#This Row],[Employee Name]],'Base Schedules'!$A$160:$AW$203,36,FALSE)="","",VLOOKUP(Tue_W1[[#This Row],[Employee Name]],'Base Schedules'!$A$160:$AW$203,36,FALSE)),"")</f>
        <v>HL B2</v>
      </c>
      <c r="AL35" s="184" t="str">
        <f>IFERROR(IF(VLOOKUP(Tue_W1[[#This Row],[Employee Name]],'Base Schedules'!$A$160:$AW$203,37,FALSE)="","",VLOOKUP(Tue_W1[[#This Row],[Employee Name]],'Base Schedules'!$A$160:$AW$203,37,FALSE)),"")</f>
        <v>RNNR</v>
      </c>
      <c r="AM35" s="184" t="str">
        <f>IFERROR(IF(VLOOKUP(Tue_W1[[#This Row],[Employee Name]],'Base Schedules'!$A$160:$AW$203,38,FALSE)="","",VLOOKUP(Tue_W1[[#This Row],[Employee Name]],'Base Schedules'!$A$160:$AW$203,38,FALSE)),"")</f>
        <v>RNNR</v>
      </c>
      <c r="AN35" s="184" t="str">
        <f>IFERROR(IF(VLOOKUP(Tue_W1[[#This Row],[Employee Name]],'Base Schedules'!$A$160:$AW$203,39,FALSE)="","",VLOOKUP(Tue_W1[[#This Row],[Employee Name]],'Base Schedules'!$A$160:$AW$203,39,FALSE)),"")</f>
        <v>HL</v>
      </c>
      <c r="AO35" s="184" t="str">
        <f>IFERROR(IF(VLOOKUP(Tue_W1[[#This Row],[Employee Name]],'Base Schedules'!$A$160:$AW$203,40,FALSE)="","",VLOOKUP(Tue_W1[[#This Row],[Employee Name]],'Base Schedules'!$A$160:$AW$203,40,FALSE)),"")</f>
        <v>HL</v>
      </c>
      <c r="AP35" s="184" t="str">
        <f>IFERROR(IF(VLOOKUP(Tue_W1[[#This Row],[Employee Name]],'Base Schedules'!$A$160:$AW$203,41,FALSE)="","",VLOOKUP(Tue_W1[[#This Row],[Employee Name]],'Base Schedules'!$A$160:$AW$203,41,FALSE)),"")</f>
        <v/>
      </c>
      <c r="AQ35" s="184" t="str">
        <f>IFERROR(IF(VLOOKUP(Tue_W1[[#This Row],[Employee Name]],'Base Schedules'!$A$160:$AW$203,42,FALSE)="","",VLOOKUP(Tue_W1[[#This Row],[Employee Name]],'Base Schedules'!$A$160:$AW$203,42,FALSE)),"")</f>
        <v/>
      </c>
      <c r="AR35" s="184" t="str">
        <f>IFERROR(IF(VLOOKUP(Tue_W1[[#This Row],[Employee Name]],'Base Schedules'!$A$160:$AW$203,43,FALSE)="","",VLOOKUP(Tue_W1[[#This Row],[Employee Name]],'Base Schedules'!$A$160:$AW$203,43,FALSE)),"")</f>
        <v/>
      </c>
      <c r="AS35" s="184" t="str">
        <f>IFERROR(IF(VLOOKUP(Tue_W1[[#This Row],[Employee Name]],'Base Schedules'!$A$160:$AW$203,44,FALSE)="","",VLOOKUP(Tue_W1[[#This Row],[Employee Name]],'Base Schedules'!$A$160:$AW$203,44,FALSE)),"")</f>
        <v/>
      </c>
      <c r="AT35" s="184" t="str">
        <f>IFERROR(IF(VLOOKUP(Tue_W1[[#This Row],[Employee Name]],'Base Schedules'!$A$160:$AW$203,45,FALSE)="","",VLOOKUP(Tue_W1[[#This Row],[Employee Name]],'Base Schedules'!$A$160:$AW$203,45,FALSE)),"")</f>
        <v/>
      </c>
      <c r="AU35" s="184" t="str">
        <f>IFERROR(IF(VLOOKUP(Tue_W1[[#This Row],[Employee Name]],'Base Schedules'!$A$160:$AW$203,46,FALSE)="","",VLOOKUP(Tue_W1[[#This Row],[Employee Name]],'Base Schedules'!$A$160:$AW$203,46,FALSE)),"")</f>
        <v/>
      </c>
      <c r="AV35" s="184" t="str">
        <f>IFERROR(IF(VLOOKUP(Tue_W1[[#This Row],[Employee Name]],'Base Schedules'!$A$160:$AW$203,47,FALSE)="","",VLOOKUP(Tue_W1[[#This Row],[Employee Name]],'Base Schedules'!$A$160:$AW$203,47,FALSE)),"")</f>
        <v/>
      </c>
      <c r="AW35" s="184" t="str">
        <f>IFERROR(IF(VLOOKUP(Tue_W1[[#This Row],[Employee Name]],'Base Schedules'!$A$160:$AW$203,48,FALSE)="","",VLOOKUP(Tue_W1[[#This Row],[Employee Name]],'Base Schedules'!$A$160:$AW$203,48,FALSE)),"")</f>
        <v/>
      </c>
      <c r="AX35" s="184" t="str">
        <f>IFERROR(IF(VLOOKUP(Tue_W1[[#This Row],[Employee Name]],'Base Schedules'!$A$160:$AW$203,49,FALSE)="","",VLOOKUP(Tue_W1[[#This Row],[Employee Name]],'Base Schedules'!$A$160:$AW$203,49,FALSE)),"")</f>
        <v/>
      </c>
      <c r="AY35" s="164" t="str">
        <f t="shared" si="2"/>
        <v>Suhama, Ryan</v>
      </c>
    </row>
    <row r="36" spans="1:51" s="44" customFormat="1" ht="12" x14ac:dyDescent="0.2">
      <c r="A36" s="39" t="str">
        <f>IF(B36="","",INDEX(TeamList[],MATCH($B36,TeamList[[Employee Name]:[Employee Name]],0),MATCH("Manager",TeamList[#Headers],0)))</f>
        <v>Ahmed Hassan, Zahra</v>
      </c>
      <c r="B36" s="332" t="s">
        <v>23</v>
      </c>
      <c r="C36" s="257" t="str">
        <f>_xlfn.IFNA(VLOOKUP(Tue_W1[[#This Row],[Employee Name]],'Base Schedules'!A:B,2,FALSE),"")</f>
        <v>Supervisor</v>
      </c>
      <c r="D36" s="274">
        <f>_xlfn.IFNA(VLOOKUP(Tue_W1[[#This Row],[Employee Name]],'Base Schedules'!A:C,3,FALSE),"")</f>
        <v>1230</v>
      </c>
      <c r="E36" s="274">
        <f>_xlfn.IFNA(VLOOKUP(Tue_W1[[#This Row],[Employee Name]],'Base Schedules'!A:D,4,FALSE),"")</f>
        <v>2130</v>
      </c>
      <c r="F36" s="142">
        <f>IF(Tue_W1[[#This Row],[Employee Name]]="","",IF(Tue_W1[[#This Row],[Dept]]="Supervisor",COUNTIFS($J36:$AX36,"*HL*",$J36:$AX36,"&lt;&gt;"&amp;"pHL"),COUNTIFS($J36:$AX36,"*HL*",$J36:$AX36,"&lt;&gt;"&amp;"*pHL*",$J36:$AX36,"&lt;&gt;"&amp;"pB1 HL",$J36:$AX36,"&lt;&gt;"&amp;"pB2 HL")-SUM(COUNTIFS($J36:$AX36,"*HL B1*",$J36:$AX36,"&lt;&gt;"&amp;"pHL B1")*0.5,COUNTIFS($J36:$AX36,"*HL B2*",$J36:$AX36,"&lt;&gt;"&amp;"pHL B2")*0.5,COUNTIFS($J36:$AX36,"*B1 HL*",$J36:$AX36,"&lt;&gt;"&amp;"pB1 HL")*0.5,COUNTIFS($J36:$AX36,"*B2 HL*",$J36:$AX36,"&lt;&gt;"&amp;"pB2 HL")*0.5)))</f>
        <v>0</v>
      </c>
      <c r="G36" s="142">
        <f t="shared" si="0"/>
        <v>4</v>
      </c>
      <c r="H36" s="142">
        <f t="shared" si="1"/>
        <v>0</v>
      </c>
      <c r="I36" s="142">
        <f>IF(Tue_W1[[#This Row],[Employee Name]]="","",IF(Tue_W1[[#This Row],[Dept]]="Supervisor",SUM(COUNTIFS($J36:$AX36,"RTA*",$J36:$AX36,"&lt;&gt;"&amp;"pRTA"),COUNTIFS($J36:$AX36,"*CRTA*",$J36:$AX36,"&lt;&gt;"&amp;"pCRTA")),COUNTIFS($J36:$AX36,"*RNNR*",$J36:$AX36,"&lt;&gt;"&amp;"*pRNNR*",$J36:$AX36,"&lt;&gt;"&amp;"pB1 RNNR",$J36:$AX36,"&lt;&gt;"&amp;"pB2 RNNR")-SUM(COUNTIFS($J36:$AX36,"*RNNR B1*",$J36:$AX36,"&lt;&gt;"&amp;"pRNNR B1")*0.5,COUNTIFS($J36:$AX36,"*RNNR B2*",$J36:$AX36,"&lt;&gt;"&amp;"pRNNR B2")*0.5,COUNTIFS($J36:$AX36,"*B1 RNNR*",$J36:$AX36,"&lt;&gt;"&amp;"pB1 RNNR")*0.5,COUNTIFS($J36:$AX36,"*B2 RNNR*",$J36:$AX36,"&lt;&gt;"&amp;"pB2 RNNR")*0.5)))</f>
        <v>0</v>
      </c>
      <c r="J36" s="184" t="str">
        <f>IFERROR(IF(VLOOKUP(Tue_W1[[#This Row],[Employee Name]],'Base Schedules'!$A$160:$AW$203,9,FALSE)="","",VLOOKUP(Tue_W1[[#This Row],[Employee Name]],'Base Schedules'!$A$160:$AW$203,9,FALSE)),"")</f>
        <v/>
      </c>
      <c r="K36" s="184" t="str">
        <f>IFERROR(IF(VLOOKUP(Tue_W1[[#This Row],[Employee Name]],'Base Schedules'!$A$160:$AW$203,10,FALSE)="","",VLOOKUP(Tue_W1[[#This Row],[Employee Name]],'Base Schedules'!$A$160:$AW$203,10,FALSE)),"")</f>
        <v/>
      </c>
      <c r="L36" s="184" t="str">
        <f>IFERROR(IF(VLOOKUP(Tue_W1[[#This Row],[Employee Name]],'Base Schedules'!$A$160:$AW$203,11,FALSE)="","",VLOOKUP(Tue_W1[[#This Row],[Employee Name]],'Base Schedules'!$A$160:$AW$203,11,FALSE)),"")</f>
        <v/>
      </c>
      <c r="M36" s="184" t="str">
        <f>IFERROR(IF(VLOOKUP(Tue_W1[[#This Row],[Employee Name]],'Base Schedules'!$A$160:$AW$203,12,FALSE)="","",VLOOKUP(Tue_W1[[#This Row],[Employee Name]],'Base Schedules'!$A$160:$AW$203,12,FALSE)),"")</f>
        <v/>
      </c>
      <c r="N36" s="184" t="str">
        <f>IFERROR(IF(VLOOKUP(Tue_W1[[#This Row],[Employee Name]],'Base Schedules'!$A$160:$AW$203,13,FALSE)="","",VLOOKUP(Tue_W1[[#This Row],[Employee Name]],'Base Schedules'!$A$160:$AW$203,13,FALSE)),"")</f>
        <v/>
      </c>
      <c r="O36" s="184" t="str">
        <f>IFERROR(IF(VLOOKUP(Tue_W1[[#This Row],[Employee Name]],'Base Schedules'!$A$160:$AW$203,14,FALSE)="","",VLOOKUP(Tue_W1[[#This Row],[Employee Name]],'Base Schedules'!$A$160:$AW$203,14,FALSE)),"")</f>
        <v/>
      </c>
      <c r="P36" s="184" t="str">
        <f>IFERROR(IF(VLOOKUP(Tue_W1[[#This Row],[Employee Name]],'Base Schedules'!$A$160:$AW$203,15,FALSE)="","",VLOOKUP(Tue_W1[[#This Row],[Employee Name]],'Base Schedules'!$A$160:$AW$203,15,FALSE)),"")</f>
        <v/>
      </c>
      <c r="Q36" s="184" t="str">
        <f>IFERROR(IF(VLOOKUP(Tue_W1[[#This Row],[Employee Name]],'Base Schedules'!$A$160:$AW$203,16,FALSE)="","",VLOOKUP(Tue_W1[[#This Row],[Employee Name]],'Base Schedules'!$A$160:$AW$203,16,FALSE)),"")</f>
        <v/>
      </c>
      <c r="R36" s="184" t="str">
        <f>IFERROR(IF(VLOOKUP(Tue_W1[[#This Row],[Employee Name]],'Base Schedules'!$A$160:$AW$203,17,FALSE)="","",VLOOKUP(Tue_W1[[#This Row],[Employee Name]],'Base Schedules'!$A$160:$AW$203,17,FALSE)),"")</f>
        <v/>
      </c>
      <c r="S36" s="184" t="str">
        <f>IFERROR(IF(VLOOKUP(Tue_W1[[#This Row],[Employee Name]],'Base Schedules'!$A$160:$AW$203,18,FALSE)="","",VLOOKUP(Tue_W1[[#This Row],[Employee Name]],'Base Schedules'!$A$160:$AW$203,18,FALSE)),"")</f>
        <v/>
      </c>
      <c r="T36" s="184" t="str">
        <f>IFERROR(IF(VLOOKUP(Tue_W1[[#This Row],[Employee Name]],'Base Schedules'!$A$160:$AW$203,19,FALSE)="","",VLOOKUP(Tue_W1[[#This Row],[Employee Name]],'Base Schedules'!$A$160:$AW$203,19,FALSE)),"")</f>
        <v/>
      </c>
      <c r="U36" s="184" t="str">
        <f>IFERROR(IF(VLOOKUP(Tue_W1[[#This Row],[Employee Name]],'Base Schedules'!$A$160:$AW$203,20,FALSE)="","",VLOOKUP(Tue_W1[[#This Row],[Employee Name]],'Base Schedules'!$A$160:$AW$203,20,FALSE)),"")</f>
        <v/>
      </c>
      <c r="V36" s="184" t="str">
        <f>IFERROR(IF(VLOOKUP(Tue_W1[[#This Row],[Employee Name]],'Base Schedules'!$A$160:$AW$203,21,FALSE)="","",VLOOKUP(Tue_W1[[#This Row],[Employee Name]],'Base Schedules'!$A$160:$AW$203,21,FALSE)),"")</f>
        <v/>
      </c>
      <c r="W36" s="184" t="str">
        <f>IFERROR(IF(VLOOKUP(Tue_W1[[#This Row],[Employee Name]],'Base Schedules'!$A$160:$AW$203,22,FALSE)="","",VLOOKUP(Tue_W1[[#This Row],[Employee Name]],'Base Schedules'!$A$160:$AW$203,22,FALSE)),"")</f>
        <v/>
      </c>
      <c r="X36" s="184" t="str">
        <f>IFERROR(IF(VLOOKUP(Tue_W1[[#This Row],[Employee Name]],'Base Schedules'!$A$160:$AW$203,23,FALSE)="","",VLOOKUP(Tue_W1[[#This Row],[Employee Name]],'Base Schedules'!$A$160:$AW$203,23,FALSE)),"")</f>
        <v/>
      </c>
      <c r="Y36" s="184" t="str">
        <f>IFERROR(IF(VLOOKUP(Tue_W1[[#This Row],[Employee Name]],'Base Schedules'!$A$160:$AW$203,24,FALSE)="","",VLOOKUP(Tue_W1[[#This Row],[Employee Name]],'Base Schedules'!$A$160:$AW$203,24,FALSE)),"")</f>
        <v>-</v>
      </c>
      <c r="Z36" s="184" t="str">
        <f>IFERROR(IF(VLOOKUP(Tue_W1[[#This Row],[Employee Name]],'Base Schedules'!$A$160:$AW$203,25,FALSE)="","",VLOOKUP(Tue_W1[[#This Row],[Employee Name]],'Base Schedules'!$A$160:$AW$203,25,FALSE)),"")</f>
        <v>Team ZAH TM</v>
      </c>
      <c r="AA36" s="184" t="str">
        <f>IFERROR(IF(VLOOKUP(Tue_W1[[#This Row],[Employee Name]],'Base Schedules'!$A$160:$AW$203,26,FALSE)="","",VLOOKUP(Tue_W1[[#This Row],[Employee Name]],'Base Schedules'!$A$160:$AW$203,26,FALSE)),"")</f>
        <v>Team ZAH TM</v>
      </c>
      <c r="AB36" s="184" t="str">
        <f>IFERROR(IF(VLOOKUP(Tue_W1[[#This Row],[Employee Name]],'Base Schedules'!$A$160:$AW$203,27,FALSE)="","",VLOOKUP(Tue_W1[[#This Row],[Employee Name]],'Base Schedules'!$A$160:$AW$203,27,FALSE)),"")</f>
        <v>-</v>
      </c>
      <c r="AC36" s="184" t="str">
        <f>IFERROR(IF(VLOOKUP(Tue_W1[[#This Row],[Employee Name]],'Base Schedules'!$A$160:$AW$203,28,FALSE)="","",VLOOKUP(Tue_W1[[#This Row],[Employee Name]],'Base Schedules'!$A$160:$AW$203,28,FALSE)),"")</f>
        <v>-</v>
      </c>
      <c r="AD36" s="184" t="str">
        <f>IFERROR(IF(VLOOKUP(Tue_W1[[#This Row],[Employee Name]],'Base Schedules'!$A$160:$AW$203,29,FALSE)="","",VLOOKUP(Tue_W1[[#This Row],[Employee Name]],'Base Schedules'!$A$160:$AW$203,29,FALSE)),"")</f>
        <v>Interview</v>
      </c>
      <c r="AE36" s="184" t="str">
        <f>IFERROR(IF(VLOOKUP(Tue_W1[[#This Row],[Employee Name]],'Base Schedules'!$A$160:$AW$203,30,FALSE)="","",VLOOKUP(Tue_W1[[#This Row],[Employee Name]],'Base Schedules'!$A$160:$AW$203,30,FALSE)),"")</f>
        <v>Interview</v>
      </c>
      <c r="AF36" s="184" t="str">
        <f>IFERROR(IF(VLOOKUP(Tue_W1[[#This Row],[Employee Name]],'Base Schedules'!$A$160:$AW$203,31,FALSE)="","",VLOOKUP(Tue_W1[[#This Row],[Employee Name]],'Base Schedules'!$A$160:$AW$203,31,FALSE)),"")</f>
        <v>-</v>
      </c>
      <c r="AG36" s="184" t="str">
        <f>IFERROR(IF(VLOOKUP(Tue_W1[[#This Row],[Employee Name]],'Base Schedules'!$A$160:$AW$203,32,FALSE)="","",VLOOKUP(Tue_W1[[#This Row],[Employee Name]],'Base Schedules'!$A$160:$AW$203,32,FALSE)),"")</f>
        <v>-</v>
      </c>
      <c r="AH36" s="184" t="str">
        <f>IFERROR(IF(VLOOKUP(Tue_W1[[#This Row],[Employee Name]],'Base Schedules'!$A$160:$AW$203,33,FALSE)="","",VLOOKUP(Tue_W1[[#This Row],[Employee Name]],'Base Schedules'!$A$160:$AW$203,33,FALSE)),"")</f>
        <v>-</v>
      </c>
      <c r="AI36" s="184" t="str">
        <f>IFERROR(IF(VLOOKUP(Tue_W1[[#This Row],[Employee Name]],'Base Schedules'!$A$160:$AW$203,34,FALSE)="","",VLOOKUP(Tue_W1[[#This Row],[Employee Name]],'Base Schedules'!$A$160:$AW$203,34,FALSE)),"")</f>
        <v>-</v>
      </c>
      <c r="AJ36" s="184" t="str">
        <f>IFERROR(IF(VLOOKUP(Tue_W1[[#This Row],[Employee Name]],'Base Schedules'!$A$160:$AW$203,35,FALSE)="","",VLOOKUP(Tue_W1[[#This Row],[Employee Name]],'Base Schedules'!$A$160:$AW$203,35,FALSE)),"")</f>
        <v>Coaching</v>
      </c>
      <c r="AK36" s="184" t="str">
        <f>IFERROR(IF(VLOOKUP(Tue_W1[[#This Row],[Employee Name]],'Base Schedules'!$A$160:$AW$203,36,FALSE)="","",VLOOKUP(Tue_W1[[#This Row],[Employee Name]],'Base Schedules'!$A$160:$AW$203,36,FALSE)),"")</f>
        <v>Coaching</v>
      </c>
      <c r="AL36" s="184" t="str">
        <f>IFERROR(IF(VLOOKUP(Tue_W1[[#This Row],[Employee Name]],'Base Schedules'!$A$160:$AW$203,37,FALSE)="","",VLOOKUP(Tue_W1[[#This Row],[Employee Name]],'Base Schedules'!$A$160:$AW$203,37,FALSE)),"")</f>
        <v>Coaching</v>
      </c>
      <c r="AM36" s="184" t="str">
        <f>IFERROR(IF(VLOOKUP(Tue_W1[[#This Row],[Employee Name]],'Base Schedules'!$A$160:$AW$203,38,FALSE)="","",VLOOKUP(Tue_W1[[#This Row],[Employee Name]],'Base Schedules'!$A$160:$AW$203,38,FALSE)),"")</f>
        <v>Coaching</v>
      </c>
      <c r="AN36" s="184" t="str">
        <f>IFERROR(IF(VLOOKUP(Tue_W1[[#This Row],[Employee Name]],'Base Schedules'!$A$160:$AW$203,39,FALSE)="","",VLOOKUP(Tue_W1[[#This Row],[Employee Name]],'Base Schedules'!$A$160:$AW$203,39,FALSE)),"")</f>
        <v>-</v>
      </c>
      <c r="AO36" s="184" t="str">
        <f>IFERROR(IF(VLOOKUP(Tue_W1[[#This Row],[Employee Name]],'Base Schedules'!$A$160:$AW$203,40,FALSE)="","",VLOOKUP(Tue_W1[[#This Row],[Employee Name]],'Base Schedules'!$A$160:$AW$203,40,FALSE)),"")</f>
        <v>-</v>
      </c>
      <c r="AP36" s="184" t="str">
        <f>IFERROR(IF(VLOOKUP(Tue_W1[[#This Row],[Employee Name]],'Base Schedules'!$A$160:$AW$203,41,FALSE)="","",VLOOKUP(Tue_W1[[#This Row],[Employee Name]],'Base Schedules'!$A$160:$AW$203,41,FALSE)),"")</f>
        <v>-</v>
      </c>
      <c r="AQ36" s="184" t="str">
        <f>IFERROR(IF(VLOOKUP(Tue_W1[[#This Row],[Employee Name]],'Base Schedules'!$A$160:$AW$203,42,FALSE)="","",VLOOKUP(Tue_W1[[#This Row],[Employee Name]],'Base Schedules'!$A$160:$AW$203,42,FALSE)),"")</f>
        <v/>
      </c>
      <c r="AR36" s="184" t="str">
        <f>IFERROR(IF(VLOOKUP(Tue_W1[[#This Row],[Employee Name]],'Base Schedules'!$A$160:$AW$203,43,FALSE)="","",VLOOKUP(Tue_W1[[#This Row],[Employee Name]],'Base Schedules'!$A$160:$AW$203,43,FALSE)),"")</f>
        <v/>
      </c>
      <c r="AS36" s="184" t="str">
        <f>IFERROR(IF(VLOOKUP(Tue_W1[[#This Row],[Employee Name]],'Base Schedules'!$A$160:$AW$203,44,FALSE)="","",VLOOKUP(Tue_W1[[#This Row],[Employee Name]],'Base Schedules'!$A$160:$AW$203,44,FALSE)),"")</f>
        <v/>
      </c>
      <c r="AT36" s="184" t="str">
        <f>IFERROR(IF(VLOOKUP(Tue_W1[[#This Row],[Employee Name]],'Base Schedules'!$A$160:$AW$203,45,FALSE)="","",VLOOKUP(Tue_W1[[#This Row],[Employee Name]],'Base Schedules'!$A$160:$AW$203,45,FALSE)),"")</f>
        <v/>
      </c>
      <c r="AU36" s="184" t="str">
        <f>IFERROR(IF(VLOOKUP(Tue_W1[[#This Row],[Employee Name]],'Base Schedules'!$A$160:$AW$203,46,FALSE)="","",VLOOKUP(Tue_W1[[#This Row],[Employee Name]],'Base Schedules'!$A$160:$AW$203,46,FALSE)),"")</f>
        <v/>
      </c>
      <c r="AV36" s="184" t="str">
        <f>IFERROR(IF(VLOOKUP(Tue_W1[[#This Row],[Employee Name]],'Base Schedules'!$A$160:$AW$203,47,FALSE)="","",VLOOKUP(Tue_W1[[#This Row],[Employee Name]],'Base Schedules'!$A$160:$AW$203,47,FALSE)),"")</f>
        <v/>
      </c>
      <c r="AW36" s="184" t="str">
        <f>IFERROR(IF(VLOOKUP(Tue_W1[[#This Row],[Employee Name]],'Base Schedules'!$A$160:$AW$203,48,FALSE)="","",VLOOKUP(Tue_W1[[#This Row],[Employee Name]],'Base Schedules'!$A$160:$AW$203,48,FALSE)),"")</f>
        <v/>
      </c>
      <c r="AX36" s="184" t="str">
        <f>IFERROR(IF(VLOOKUP(Tue_W1[[#This Row],[Employee Name]],'Base Schedules'!$A$160:$AW$203,49,FALSE)="","",VLOOKUP(Tue_W1[[#This Row],[Employee Name]],'Base Schedules'!$A$160:$AW$203,49,FALSE)),"")</f>
        <v/>
      </c>
      <c r="AY36" s="164" t="str">
        <f t="shared" si="2"/>
        <v>McFall, Erin</v>
      </c>
    </row>
    <row r="37" spans="1:51" s="44" customFormat="1" ht="12" x14ac:dyDescent="0.2">
      <c r="A37" s="39" t="str">
        <f>IF(B37="","",INDEX(TeamList[],MATCH($B37,TeamList[[Employee Name]:[Employee Name]],0),MATCH("Manager",TeamList[#Headers],0)))</f>
        <v>Paulson, Matthew</v>
      </c>
      <c r="B37" s="201" t="s">
        <v>66</v>
      </c>
      <c r="C37" s="257" t="str">
        <f>_xlfn.IFNA(VLOOKUP(Tue_W1[[#This Row],[Employee Name]],'Base Schedules'!A:B,2,FALSE),"")</f>
        <v>Supervisor</v>
      </c>
      <c r="D37" s="274">
        <f>_xlfn.IFNA(VLOOKUP(Tue_W1[[#This Row],[Employee Name]],'Base Schedules'!A:C,3,FALSE),"")</f>
        <v>1230</v>
      </c>
      <c r="E37" s="274">
        <f>_xlfn.IFNA(VLOOKUP(Tue_W1[[#This Row],[Employee Name]],'Base Schedules'!A:D,4,FALSE),"")</f>
        <v>2130</v>
      </c>
      <c r="F37" s="142">
        <f>IF(Tue_W1[[#This Row],[Employee Name]]="","",IF(Tue_W1[[#This Row],[Dept]]="Supervisor",COUNTIFS($J37:$AX37,"*HL*",$J37:$AX37,"&lt;&gt;"&amp;"pHL"),COUNTIFS($J37:$AX37,"*HL*",$J37:$AX37,"&lt;&gt;"&amp;"*pHL*",$J37:$AX37,"&lt;&gt;"&amp;"pB1 HL",$J37:$AX37,"&lt;&gt;"&amp;"pB2 HL")-SUM(COUNTIFS($J37:$AX37,"*HL B1*",$J37:$AX37,"&lt;&gt;"&amp;"pHL B1")*0.5,COUNTIFS($J37:$AX37,"*HL B2*",$J37:$AX37,"&lt;&gt;"&amp;"pHL B2")*0.5,COUNTIFS($J37:$AX37,"*B1 HL*",$J37:$AX37,"&lt;&gt;"&amp;"pB1 HL")*0.5,COUNTIFS($J37:$AX37,"*B2 HL*",$J37:$AX37,"&lt;&gt;"&amp;"pB2 HL")*0.5)))</f>
        <v>0</v>
      </c>
      <c r="G37" s="142">
        <f t="shared" si="0"/>
        <v>3</v>
      </c>
      <c r="H37" s="142">
        <f t="shared" si="1"/>
        <v>0</v>
      </c>
      <c r="I37" s="142">
        <f>IF(Tue_W1[[#This Row],[Employee Name]]="","",IF(Tue_W1[[#This Row],[Dept]]="Supervisor",SUM(COUNTIFS($J37:$AX37,"RTA*",$J37:$AX37,"&lt;&gt;"&amp;"pRTA"),COUNTIFS($J37:$AX37,"*CRTA*",$J37:$AX37,"&lt;&gt;"&amp;"pCRTA")),COUNTIFS($J37:$AX37,"*RNNR*",$J37:$AX37,"&lt;&gt;"&amp;"*pRNNR*",$J37:$AX37,"&lt;&gt;"&amp;"pB1 RNNR",$J37:$AX37,"&lt;&gt;"&amp;"pB2 RNNR")-SUM(COUNTIFS($J37:$AX37,"*RNNR B1*",$J37:$AX37,"&lt;&gt;"&amp;"pRNNR B1")*0.5,COUNTIFS($J37:$AX37,"*RNNR B2*",$J37:$AX37,"&lt;&gt;"&amp;"pRNNR B2")*0.5,COUNTIFS($J37:$AX37,"*B1 RNNR*",$J37:$AX37,"&lt;&gt;"&amp;"pB1 RNNR")*0.5,COUNTIFS($J37:$AX37,"*B2 RNNR*",$J37:$AX37,"&lt;&gt;"&amp;"pB2 RNNR")*0.5)))</f>
        <v>0</v>
      </c>
      <c r="J37" s="184" t="str">
        <f>IFERROR(IF(VLOOKUP(Tue_W1[[#This Row],[Employee Name]],'Base Schedules'!$A$160:$AW$203,9,FALSE)="","",VLOOKUP(Tue_W1[[#This Row],[Employee Name]],'Base Schedules'!$A$160:$AW$203,9,FALSE)),"")</f>
        <v/>
      </c>
      <c r="K37" s="184" t="str">
        <f>IFERROR(IF(VLOOKUP(Tue_W1[[#This Row],[Employee Name]],'Base Schedules'!$A$160:$AW$203,10,FALSE)="","",VLOOKUP(Tue_W1[[#This Row],[Employee Name]],'Base Schedules'!$A$160:$AW$203,10,FALSE)),"")</f>
        <v/>
      </c>
      <c r="L37" s="184" t="str">
        <f>IFERROR(IF(VLOOKUP(Tue_W1[[#This Row],[Employee Name]],'Base Schedules'!$A$160:$AW$203,11,FALSE)="","",VLOOKUP(Tue_W1[[#This Row],[Employee Name]],'Base Schedules'!$A$160:$AW$203,11,FALSE)),"")</f>
        <v/>
      </c>
      <c r="M37" s="184" t="str">
        <f>IFERROR(IF(VLOOKUP(Tue_W1[[#This Row],[Employee Name]],'Base Schedules'!$A$160:$AW$203,12,FALSE)="","",VLOOKUP(Tue_W1[[#This Row],[Employee Name]],'Base Schedules'!$A$160:$AW$203,12,FALSE)),"")</f>
        <v/>
      </c>
      <c r="N37" s="184" t="str">
        <f>IFERROR(IF(VLOOKUP(Tue_W1[[#This Row],[Employee Name]],'Base Schedules'!$A$160:$AW$203,13,FALSE)="","",VLOOKUP(Tue_W1[[#This Row],[Employee Name]],'Base Schedules'!$A$160:$AW$203,13,FALSE)),"")</f>
        <v/>
      </c>
      <c r="O37" s="184" t="str">
        <f>IFERROR(IF(VLOOKUP(Tue_W1[[#This Row],[Employee Name]],'Base Schedules'!$A$160:$AW$203,14,FALSE)="","",VLOOKUP(Tue_W1[[#This Row],[Employee Name]],'Base Schedules'!$A$160:$AW$203,14,FALSE)),"")</f>
        <v/>
      </c>
      <c r="P37" s="184" t="str">
        <f>IFERROR(IF(VLOOKUP(Tue_W1[[#This Row],[Employee Name]],'Base Schedules'!$A$160:$AW$203,15,FALSE)="","",VLOOKUP(Tue_W1[[#This Row],[Employee Name]],'Base Schedules'!$A$160:$AW$203,15,FALSE)),"")</f>
        <v/>
      </c>
      <c r="Q37" s="184" t="str">
        <f>IFERROR(IF(VLOOKUP(Tue_W1[[#This Row],[Employee Name]],'Base Schedules'!$A$160:$AW$203,16,FALSE)="","",VLOOKUP(Tue_W1[[#This Row],[Employee Name]],'Base Schedules'!$A$160:$AW$203,16,FALSE)),"")</f>
        <v/>
      </c>
      <c r="R37" s="184" t="str">
        <f>IFERROR(IF(VLOOKUP(Tue_W1[[#This Row],[Employee Name]],'Base Schedules'!$A$160:$AW$203,17,FALSE)="","",VLOOKUP(Tue_W1[[#This Row],[Employee Name]],'Base Schedules'!$A$160:$AW$203,17,FALSE)),"")</f>
        <v/>
      </c>
      <c r="S37" s="184" t="str">
        <f>IFERROR(IF(VLOOKUP(Tue_W1[[#This Row],[Employee Name]],'Base Schedules'!$A$160:$AW$203,18,FALSE)="","",VLOOKUP(Tue_W1[[#This Row],[Employee Name]],'Base Schedules'!$A$160:$AW$203,18,FALSE)),"")</f>
        <v/>
      </c>
      <c r="T37" s="184" t="str">
        <f>IFERROR(IF(VLOOKUP(Tue_W1[[#This Row],[Employee Name]],'Base Schedules'!$A$160:$AW$203,19,FALSE)="","",VLOOKUP(Tue_W1[[#This Row],[Employee Name]],'Base Schedules'!$A$160:$AW$203,19,FALSE)),"")</f>
        <v/>
      </c>
      <c r="U37" s="184" t="str">
        <f>IFERROR(IF(VLOOKUP(Tue_W1[[#This Row],[Employee Name]],'Base Schedules'!$A$160:$AW$203,20,FALSE)="","",VLOOKUP(Tue_W1[[#This Row],[Employee Name]],'Base Schedules'!$A$160:$AW$203,20,FALSE)),"")</f>
        <v/>
      </c>
      <c r="V37" s="184" t="str">
        <f>IFERROR(IF(VLOOKUP(Tue_W1[[#This Row],[Employee Name]],'Base Schedules'!$A$160:$AW$203,21,FALSE)="","",VLOOKUP(Tue_W1[[#This Row],[Employee Name]],'Base Schedules'!$A$160:$AW$203,21,FALSE)),"")</f>
        <v/>
      </c>
      <c r="W37" s="184" t="str">
        <f>IFERROR(IF(VLOOKUP(Tue_W1[[#This Row],[Employee Name]],'Base Schedules'!$A$160:$AW$203,22,FALSE)="","",VLOOKUP(Tue_W1[[#This Row],[Employee Name]],'Base Schedules'!$A$160:$AW$203,22,FALSE)),"")</f>
        <v/>
      </c>
      <c r="X37" s="184" t="str">
        <f>IFERROR(IF(VLOOKUP(Tue_W1[[#This Row],[Employee Name]],'Base Schedules'!$A$160:$AW$203,23,FALSE)="","",VLOOKUP(Tue_W1[[#This Row],[Employee Name]],'Base Schedules'!$A$160:$AW$203,23,FALSE)),"")</f>
        <v/>
      </c>
      <c r="Y37" s="184" t="str">
        <f>IFERROR(IF(VLOOKUP(Tue_W1[[#This Row],[Employee Name]],'Base Schedules'!$A$160:$AW$203,24,FALSE)="","",VLOOKUP(Tue_W1[[#This Row],[Employee Name]],'Base Schedules'!$A$160:$AW$203,24,FALSE)),"")</f>
        <v>-</v>
      </c>
      <c r="Z37" s="184" t="str">
        <f>IFERROR(IF(VLOOKUP(Tue_W1[[#This Row],[Employee Name]],'Base Schedules'!$A$160:$AW$203,25,FALSE)="","",VLOOKUP(Tue_W1[[#This Row],[Employee Name]],'Base Schedules'!$A$160:$AW$203,25,FALSE)),"")</f>
        <v>-</v>
      </c>
      <c r="AA37" s="184" t="str">
        <f>IFERROR(IF(VLOOKUP(Tue_W1[[#This Row],[Employee Name]],'Base Schedules'!$A$160:$AW$203,26,FALSE)="","",VLOOKUP(Tue_W1[[#This Row],[Employee Name]],'Base Schedules'!$A$160:$AW$203,26,FALSE)),"")</f>
        <v>-</v>
      </c>
      <c r="AB37" s="184" t="str">
        <f>IFERROR(IF(VLOOKUP(Tue_W1[[#This Row],[Employee Name]],'Base Schedules'!$A$160:$AW$203,27,FALSE)="","",VLOOKUP(Tue_W1[[#This Row],[Employee Name]],'Base Schedules'!$A$160:$AW$203,27,FALSE)),"")</f>
        <v>Coaching</v>
      </c>
      <c r="AC37" s="184" t="str">
        <f>IFERROR(IF(VLOOKUP(Tue_W1[[#This Row],[Employee Name]],'Base Schedules'!$A$160:$AW$203,28,FALSE)="","",VLOOKUP(Tue_W1[[#This Row],[Employee Name]],'Base Schedules'!$A$160:$AW$203,28,FALSE)),"")</f>
        <v>Coaching</v>
      </c>
      <c r="AD37" s="184" t="str">
        <f>IFERROR(IF(VLOOKUP(Tue_W1[[#This Row],[Employee Name]],'Base Schedules'!$A$160:$AW$203,29,FALSE)="","",VLOOKUP(Tue_W1[[#This Row],[Employee Name]],'Base Schedules'!$A$160:$AW$203,29,FALSE)),"")</f>
        <v>Coaching</v>
      </c>
      <c r="AE37" s="184" t="str">
        <f>IFERROR(IF(VLOOKUP(Tue_W1[[#This Row],[Employee Name]],'Base Schedules'!$A$160:$AW$203,30,FALSE)="","",VLOOKUP(Tue_W1[[#This Row],[Employee Name]],'Base Schedules'!$A$160:$AW$203,30,FALSE)),"")</f>
        <v>-</v>
      </c>
      <c r="AF37" s="184" t="str">
        <f>IFERROR(IF(VLOOKUP(Tue_W1[[#This Row],[Employee Name]],'Base Schedules'!$A$160:$AW$203,31,FALSE)="","",VLOOKUP(Tue_W1[[#This Row],[Employee Name]],'Base Schedules'!$A$160:$AW$203,31,FALSE)),"")</f>
        <v>Interview</v>
      </c>
      <c r="AG37" s="184" t="str">
        <f>IFERROR(IF(VLOOKUP(Tue_W1[[#This Row],[Employee Name]],'Base Schedules'!$A$160:$AW$203,32,FALSE)="","",VLOOKUP(Tue_W1[[#This Row],[Employee Name]],'Base Schedules'!$A$160:$AW$203,32,FALSE)),"")</f>
        <v>Interview</v>
      </c>
      <c r="AH37" s="184" t="str">
        <f>IFERROR(IF(VLOOKUP(Tue_W1[[#This Row],[Employee Name]],'Base Schedules'!$A$160:$AW$203,33,FALSE)="","",VLOOKUP(Tue_W1[[#This Row],[Employee Name]],'Base Schedules'!$A$160:$AW$203,33,FALSE)),"")</f>
        <v>-</v>
      </c>
      <c r="AI37" s="184" t="str">
        <f>IFERROR(IF(VLOOKUP(Tue_W1[[#This Row],[Employee Name]],'Base Schedules'!$A$160:$AW$203,34,FALSE)="","",VLOOKUP(Tue_W1[[#This Row],[Employee Name]],'Base Schedules'!$A$160:$AW$203,34,FALSE)),"")</f>
        <v>-</v>
      </c>
      <c r="AJ37" s="184" t="str">
        <f>IFERROR(IF(VLOOKUP(Tue_W1[[#This Row],[Employee Name]],'Base Schedules'!$A$160:$AW$203,35,FALSE)="","",VLOOKUP(Tue_W1[[#This Row],[Employee Name]],'Base Schedules'!$A$160:$AW$203,35,FALSE)),"")</f>
        <v>-</v>
      </c>
      <c r="AK37" s="184" t="str">
        <f>IFERROR(IF(VLOOKUP(Tue_W1[[#This Row],[Employee Name]],'Base Schedules'!$A$160:$AW$203,36,FALSE)="","",VLOOKUP(Tue_W1[[#This Row],[Employee Name]],'Base Schedules'!$A$160:$AW$203,36,FALSE)),"")</f>
        <v>-</v>
      </c>
      <c r="AL37" s="184" t="str">
        <f>IFERROR(IF(VLOOKUP(Tue_W1[[#This Row],[Employee Name]],'Base Schedules'!$A$160:$AW$203,37,FALSE)="","",VLOOKUP(Tue_W1[[#This Row],[Employee Name]],'Base Schedules'!$A$160:$AW$203,37,FALSE)),"")</f>
        <v>TM PREP</v>
      </c>
      <c r="AM37" s="184" t="str">
        <f>IFERROR(IF(VLOOKUP(Tue_W1[[#This Row],[Employee Name]],'Base Schedules'!$A$160:$AW$203,38,FALSE)="","",VLOOKUP(Tue_W1[[#This Row],[Employee Name]],'Base Schedules'!$A$160:$AW$203,38,FALSE)),"")</f>
        <v>AGUILAR TM</v>
      </c>
      <c r="AN37" s="184" t="str">
        <f>IFERROR(IF(VLOOKUP(Tue_W1[[#This Row],[Employee Name]],'Base Schedules'!$A$160:$AW$203,39,FALSE)="","",VLOOKUP(Tue_W1[[#This Row],[Employee Name]],'Base Schedules'!$A$160:$AW$203,39,FALSE)),"")</f>
        <v>AGUILAR TM</v>
      </c>
      <c r="AO37" s="184" t="str">
        <f>IFERROR(IF(VLOOKUP(Tue_W1[[#This Row],[Employee Name]],'Base Schedules'!$A$160:$AW$203,40,FALSE)="","",VLOOKUP(Tue_W1[[#This Row],[Employee Name]],'Base Schedules'!$A$160:$AW$203,40,FALSE)),"")</f>
        <v>-</v>
      </c>
      <c r="AP37" s="184" t="str">
        <f>IFERROR(IF(VLOOKUP(Tue_W1[[#This Row],[Employee Name]],'Base Schedules'!$A$160:$AW$203,41,FALSE)="","",VLOOKUP(Tue_W1[[#This Row],[Employee Name]],'Base Schedules'!$A$160:$AW$203,41,FALSE)),"")</f>
        <v>-</v>
      </c>
      <c r="AQ37" s="184" t="str">
        <f>IFERROR(IF(VLOOKUP(Tue_W1[[#This Row],[Employee Name]],'Base Schedules'!$A$160:$AW$203,42,FALSE)="","",VLOOKUP(Tue_W1[[#This Row],[Employee Name]],'Base Schedules'!$A$160:$AW$203,42,FALSE)),"")</f>
        <v>-</v>
      </c>
      <c r="AR37" s="184" t="str">
        <f>IFERROR(IF(VLOOKUP(Tue_W1[[#This Row],[Employee Name]],'Base Schedules'!$A$160:$AW$203,43,FALSE)="","",VLOOKUP(Tue_W1[[#This Row],[Employee Name]],'Base Schedules'!$A$160:$AW$203,43,FALSE)),"")</f>
        <v/>
      </c>
      <c r="AS37" s="184" t="str">
        <f>IFERROR(IF(VLOOKUP(Tue_W1[[#This Row],[Employee Name]],'Base Schedules'!$A$160:$AW$203,44,FALSE)="","",VLOOKUP(Tue_W1[[#This Row],[Employee Name]],'Base Schedules'!$A$160:$AW$203,44,FALSE)),"")</f>
        <v/>
      </c>
      <c r="AT37" s="184" t="str">
        <f>IFERROR(IF(VLOOKUP(Tue_W1[[#This Row],[Employee Name]],'Base Schedules'!$A$160:$AW$203,45,FALSE)="","",VLOOKUP(Tue_W1[[#This Row],[Employee Name]],'Base Schedules'!$A$160:$AW$203,45,FALSE)),"")</f>
        <v/>
      </c>
      <c r="AU37" s="184" t="str">
        <f>IFERROR(IF(VLOOKUP(Tue_W1[[#This Row],[Employee Name]],'Base Schedules'!$A$160:$AW$203,46,FALSE)="","",VLOOKUP(Tue_W1[[#This Row],[Employee Name]],'Base Schedules'!$A$160:$AW$203,46,FALSE)),"")</f>
        <v/>
      </c>
      <c r="AV37" s="184" t="str">
        <f>IFERROR(IF(VLOOKUP(Tue_W1[[#This Row],[Employee Name]],'Base Schedules'!$A$160:$AW$203,47,FALSE)="","",VLOOKUP(Tue_W1[[#This Row],[Employee Name]],'Base Schedules'!$A$160:$AW$203,47,FALSE)),"")</f>
        <v/>
      </c>
      <c r="AW37" s="184" t="str">
        <f>IFERROR(IF(VLOOKUP(Tue_W1[[#This Row],[Employee Name]],'Base Schedules'!$A$160:$AW$203,48,FALSE)="","",VLOOKUP(Tue_W1[[#This Row],[Employee Name]],'Base Schedules'!$A$160:$AW$203,48,FALSE)),"")</f>
        <v/>
      </c>
      <c r="AX37" s="184" t="str">
        <f>IFERROR(IF(VLOOKUP(Tue_W1[[#This Row],[Employee Name]],'Base Schedules'!$A$160:$AW$203,49,FALSE)="","",VLOOKUP(Tue_W1[[#This Row],[Employee Name]],'Base Schedules'!$A$160:$AW$203,49,FALSE)),"")</f>
        <v/>
      </c>
      <c r="AY37" s="164" t="str">
        <f t="shared" si="2"/>
        <v>Aguilar, Angelica</v>
      </c>
    </row>
    <row r="38" spans="1:51" s="44" customFormat="1" ht="12" x14ac:dyDescent="0.2">
      <c r="A38" s="39" t="str">
        <f>IF(B38="","",INDEX(TeamList[],MATCH($B38,TeamList[[Employee Name]:[Employee Name]],0),MATCH("Manager",TeamList[#Headers],0)))</f>
        <v>Olson, Katherine</v>
      </c>
      <c r="B38" s="201" t="s">
        <v>29</v>
      </c>
      <c r="C38" s="257" t="str">
        <f>_xlfn.IFNA(VLOOKUP(Tue_W1[[#This Row],[Employee Name]],'Base Schedules'!A:B,2,FALSE),"")</f>
        <v>Lead</v>
      </c>
      <c r="D38" s="274">
        <f>_xlfn.IFNA(VLOOKUP(Tue_W1[[#This Row],[Employee Name]],'Base Schedules'!A:C,3,FALSE),"")</f>
        <v>1300</v>
      </c>
      <c r="E38" s="274">
        <f>_xlfn.IFNA(VLOOKUP(Tue_W1[[#This Row],[Employee Name]],'Base Schedules'!A:D,4,FALSE),"")</f>
        <v>2130</v>
      </c>
      <c r="F38" s="142">
        <f>IF(Tue_W1[[#This Row],[Employee Name]]="","",IF(Tue_W1[[#This Row],[Dept]]="Supervisor",COUNTIFS($J38:$AX38,"*HL*",$J38:$AX38,"&lt;&gt;"&amp;"pHL"),COUNTIFS($J38:$AX38,"*HL*",$J38:$AX38,"&lt;&gt;"&amp;"*pHL*",$J38:$AX38,"&lt;&gt;"&amp;"pB1 HL",$J38:$AX38,"&lt;&gt;"&amp;"pB2 HL")-SUM(COUNTIFS($J38:$AX38,"*HL B1*",$J38:$AX38,"&lt;&gt;"&amp;"pHL B1")*0.5,COUNTIFS($J38:$AX38,"*HL B2*",$J38:$AX38,"&lt;&gt;"&amp;"pHL B2")*0.5,COUNTIFS($J38:$AX38,"*B1 HL*",$J38:$AX38,"&lt;&gt;"&amp;"pB1 HL")*0.5,COUNTIFS($J38:$AX38,"*B2 HL*",$J38:$AX38,"&lt;&gt;"&amp;"pB2 HL")*0.5)))</f>
        <v>10.5</v>
      </c>
      <c r="G38" s="142">
        <f t="shared" si="0"/>
        <v>0</v>
      </c>
      <c r="H38" s="142">
        <f t="shared" si="1"/>
        <v>5</v>
      </c>
      <c r="I38" s="142">
        <f>IF(Tue_W1[[#This Row],[Employee Name]]="","",IF(Tue_W1[[#This Row],[Dept]]="Supervisor",SUM(COUNTIFS($J38:$AX38,"RTA*",$J38:$AX38,"&lt;&gt;"&amp;"pRTA"),COUNTIFS($J38:$AX38,"*CRTA*",$J38:$AX38,"&lt;&gt;"&amp;"pCRTA")),COUNTIFS($J38:$AX38,"*RNNR*",$J38:$AX38,"&lt;&gt;"&amp;"*pRNNR*",$J38:$AX38,"&lt;&gt;"&amp;"pB1 RNNR",$J38:$AX38,"&lt;&gt;"&amp;"pB2 RNNR")-SUM(COUNTIFS($J38:$AX38,"*RNNR B1*",$J38:$AX38,"&lt;&gt;"&amp;"pRNNR B1")*0.5,COUNTIFS($J38:$AX38,"*RNNR B2*",$J38:$AX38,"&lt;&gt;"&amp;"pRNNR B2")*0.5,COUNTIFS($J38:$AX38,"*B1 RNNR*",$J38:$AX38,"&lt;&gt;"&amp;"pB1 RNNR")*0.5,COUNTIFS($J38:$AX38,"*B2 RNNR*",$J38:$AX38,"&lt;&gt;"&amp;"pB2 RNNR")*0.5)))</f>
        <v>0</v>
      </c>
      <c r="J38" s="184" t="str">
        <f>IFERROR(IF(VLOOKUP(Tue_W1[[#This Row],[Employee Name]],'Base Schedules'!$A$160:$AW$203,9,FALSE)="","",VLOOKUP(Tue_W1[[#This Row],[Employee Name]],'Base Schedules'!$A$160:$AW$203,9,FALSE)),"")</f>
        <v/>
      </c>
      <c r="K38" s="184" t="str">
        <f>IFERROR(IF(VLOOKUP(Tue_W1[[#This Row],[Employee Name]],'Base Schedules'!$A$160:$AW$203,10,FALSE)="","",VLOOKUP(Tue_W1[[#This Row],[Employee Name]],'Base Schedules'!$A$160:$AW$203,10,FALSE)),"")</f>
        <v/>
      </c>
      <c r="L38" s="184" t="str">
        <f>IFERROR(IF(VLOOKUP(Tue_W1[[#This Row],[Employee Name]],'Base Schedules'!$A$160:$AW$203,11,FALSE)="","",VLOOKUP(Tue_W1[[#This Row],[Employee Name]],'Base Schedules'!$A$160:$AW$203,11,FALSE)),"")</f>
        <v/>
      </c>
      <c r="M38" s="184" t="str">
        <f>IFERROR(IF(VLOOKUP(Tue_W1[[#This Row],[Employee Name]],'Base Schedules'!$A$160:$AW$203,12,FALSE)="","",VLOOKUP(Tue_W1[[#This Row],[Employee Name]],'Base Schedules'!$A$160:$AW$203,12,FALSE)),"")</f>
        <v/>
      </c>
      <c r="N38" s="184" t="str">
        <f>IFERROR(IF(VLOOKUP(Tue_W1[[#This Row],[Employee Name]],'Base Schedules'!$A$160:$AW$203,13,FALSE)="","",VLOOKUP(Tue_W1[[#This Row],[Employee Name]],'Base Schedules'!$A$160:$AW$203,13,FALSE)),"")</f>
        <v/>
      </c>
      <c r="O38" s="184" t="str">
        <f>IFERROR(IF(VLOOKUP(Tue_W1[[#This Row],[Employee Name]],'Base Schedules'!$A$160:$AW$203,14,FALSE)="","",VLOOKUP(Tue_W1[[#This Row],[Employee Name]],'Base Schedules'!$A$160:$AW$203,14,FALSE)),"")</f>
        <v/>
      </c>
      <c r="P38" s="184" t="str">
        <f>IFERROR(IF(VLOOKUP(Tue_W1[[#This Row],[Employee Name]],'Base Schedules'!$A$160:$AW$203,15,FALSE)="","",VLOOKUP(Tue_W1[[#This Row],[Employee Name]],'Base Schedules'!$A$160:$AW$203,15,FALSE)),"")</f>
        <v/>
      </c>
      <c r="Q38" s="184" t="str">
        <f>IFERROR(IF(VLOOKUP(Tue_W1[[#This Row],[Employee Name]],'Base Schedules'!$A$160:$AW$203,16,FALSE)="","",VLOOKUP(Tue_W1[[#This Row],[Employee Name]],'Base Schedules'!$A$160:$AW$203,16,FALSE)),"")</f>
        <v/>
      </c>
      <c r="R38" s="184" t="str">
        <f>IFERROR(IF(VLOOKUP(Tue_W1[[#This Row],[Employee Name]],'Base Schedules'!$A$160:$AW$203,17,FALSE)="","",VLOOKUP(Tue_W1[[#This Row],[Employee Name]],'Base Schedules'!$A$160:$AW$203,17,FALSE)),"")</f>
        <v/>
      </c>
      <c r="S38" s="184" t="str">
        <f>IFERROR(IF(VLOOKUP(Tue_W1[[#This Row],[Employee Name]],'Base Schedules'!$A$160:$AW$203,18,FALSE)="","",VLOOKUP(Tue_W1[[#This Row],[Employee Name]],'Base Schedules'!$A$160:$AW$203,18,FALSE)),"")</f>
        <v/>
      </c>
      <c r="T38" s="184" t="str">
        <f>IFERROR(IF(VLOOKUP(Tue_W1[[#This Row],[Employee Name]],'Base Schedules'!$A$160:$AW$203,19,FALSE)="","",VLOOKUP(Tue_W1[[#This Row],[Employee Name]],'Base Schedules'!$A$160:$AW$203,19,FALSE)),"")</f>
        <v/>
      </c>
      <c r="U38" s="184" t="str">
        <f>IFERROR(IF(VLOOKUP(Tue_W1[[#This Row],[Employee Name]],'Base Schedules'!$A$160:$AW$203,20,FALSE)="","",VLOOKUP(Tue_W1[[#This Row],[Employee Name]],'Base Schedules'!$A$160:$AW$203,20,FALSE)),"")</f>
        <v/>
      </c>
      <c r="V38" s="184" t="str">
        <f>IFERROR(IF(VLOOKUP(Tue_W1[[#This Row],[Employee Name]],'Base Schedules'!$A$160:$AW$203,21,FALSE)="","",VLOOKUP(Tue_W1[[#This Row],[Employee Name]],'Base Schedules'!$A$160:$AW$203,21,FALSE)),"")</f>
        <v/>
      </c>
      <c r="W38" s="184" t="str">
        <f>IFERROR(IF(VLOOKUP(Tue_W1[[#This Row],[Employee Name]],'Base Schedules'!$A$160:$AW$203,22,FALSE)="","",VLOOKUP(Tue_W1[[#This Row],[Employee Name]],'Base Schedules'!$A$160:$AW$203,22,FALSE)),"")</f>
        <v/>
      </c>
      <c r="X38" s="184" t="str">
        <f>IFERROR(IF(VLOOKUP(Tue_W1[[#This Row],[Employee Name]],'Base Schedules'!$A$160:$AW$203,23,FALSE)="","",VLOOKUP(Tue_W1[[#This Row],[Employee Name]],'Base Schedules'!$A$160:$AW$203,23,FALSE)),"")</f>
        <v/>
      </c>
      <c r="Y38" s="184" t="str">
        <f>IFERROR(IF(VLOOKUP(Tue_W1[[#This Row],[Employee Name]],'Base Schedules'!$A$160:$AW$203,24,FALSE)="","",VLOOKUP(Tue_W1[[#This Row],[Employee Name]],'Base Schedules'!$A$160:$AW$203,24,FALSE)),"")</f>
        <v/>
      </c>
      <c r="Z38" s="184" t="str">
        <f>IFERROR(IF(VLOOKUP(Tue_W1[[#This Row],[Employee Name]],'Base Schedules'!$A$160:$AW$203,25,FALSE)="","",VLOOKUP(Tue_W1[[#This Row],[Employee Name]],'Base Schedules'!$A$160:$AW$203,25,FALSE)),"")</f>
        <v>HL</v>
      </c>
      <c r="AA38" s="184" t="str">
        <f>IFERROR(IF(VLOOKUP(Tue_W1[[#This Row],[Employee Name]],'Base Schedules'!$A$160:$AW$203,26,FALSE)="","",VLOOKUP(Tue_W1[[#This Row],[Employee Name]],'Base Schedules'!$A$160:$AW$203,26,FALSE)),"")</f>
        <v>HL</v>
      </c>
      <c r="AB38" s="184" t="str">
        <f>IFERROR(IF(VLOOKUP(Tue_W1[[#This Row],[Employee Name]],'Base Schedules'!$A$160:$AW$203,27,FALSE)="","",VLOOKUP(Tue_W1[[#This Row],[Employee Name]],'Base Schedules'!$A$160:$AW$203,27,FALSE)),"")</f>
        <v>ADM</v>
      </c>
      <c r="AC38" s="184" t="str">
        <f>IFERROR(IF(VLOOKUP(Tue_W1[[#This Row],[Employee Name]],'Base Schedules'!$A$160:$AW$203,28,FALSE)="","",VLOOKUP(Tue_W1[[#This Row],[Employee Name]],'Base Schedules'!$A$160:$AW$203,28,FALSE)),"")</f>
        <v>ADM</v>
      </c>
      <c r="AD38" s="184" t="str">
        <f>IFERROR(IF(VLOOKUP(Tue_W1[[#This Row],[Employee Name]],'Base Schedules'!$A$160:$AW$203,29,FALSE)="","",VLOOKUP(Tue_W1[[#This Row],[Employee Name]],'Base Schedules'!$A$160:$AW$203,29,FALSE)),"")</f>
        <v>B1 ADM</v>
      </c>
      <c r="AE38" s="184" t="str">
        <f>IFERROR(IF(VLOOKUP(Tue_W1[[#This Row],[Employee Name]],'Base Schedules'!$A$160:$AW$203,30,FALSE)="","",VLOOKUP(Tue_W1[[#This Row],[Employee Name]],'Base Schedules'!$A$160:$AW$203,30,FALSE)),"")</f>
        <v>ADM</v>
      </c>
      <c r="AF38" s="184" t="str">
        <f>IFERROR(IF(VLOOKUP(Tue_W1[[#This Row],[Employee Name]],'Base Schedules'!$A$160:$AW$203,31,FALSE)="","",VLOOKUP(Tue_W1[[#This Row],[Employee Name]],'Base Schedules'!$A$160:$AW$203,31,FALSE)),"")</f>
        <v>ADM</v>
      </c>
      <c r="AG38" s="184" t="str">
        <f>IFERROR(IF(VLOOKUP(Tue_W1[[#This Row],[Employee Name]],'Base Schedules'!$A$160:$AW$203,32,FALSE)="","",VLOOKUP(Tue_W1[[#This Row],[Employee Name]],'Base Schedules'!$A$160:$AW$203,32,FALSE)),"")</f>
        <v>HL</v>
      </c>
      <c r="AH38" s="184" t="str">
        <f>IFERROR(IF(VLOOKUP(Tue_W1[[#This Row],[Employee Name]],'Base Schedules'!$A$160:$AW$203,33,FALSE)="","",VLOOKUP(Tue_W1[[#This Row],[Employee Name]],'Base Schedules'!$A$160:$AW$203,33,FALSE)),"")</f>
        <v>LUNCH</v>
      </c>
      <c r="AI38" s="184" t="str">
        <f>IFERROR(IF(VLOOKUP(Tue_W1[[#This Row],[Employee Name]],'Base Schedules'!$A$160:$AW$203,34,FALSE)="","",VLOOKUP(Tue_W1[[#This Row],[Employee Name]],'Base Schedules'!$A$160:$AW$203,34,FALSE)),"")</f>
        <v>HL</v>
      </c>
      <c r="AJ38" s="184" t="str">
        <f>IFERROR(IF(VLOOKUP(Tue_W1[[#This Row],[Employee Name]],'Base Schedules'!$A$160:$AW$203,35,FALSE)="","",VLOOKUP(Tue_W1[[#This Row],[Employee Name]],'Base Schedules'!$A$160:$AW$203,35,FALSE)),"")</f>
        <v>HL</v>
      </c>
      <c r="AK38" s="184" t="str">
        <f>IFERROR(IF(VLOOKUP(Tue_W1[[#This Row],[Employee Name]],'Base Schedules'!$A$160:$AW$203,36,FALSE)="","",VLOOKUP(Tue_W1[[#This Row],[Employee Name]],'Base Schedules'!$A$160:$AW$203,36,FALSE)),"")</f>
        <v>HL</v>
      </c>
      <c r="AL38" s="184" t="str">
        <f>IFERROR(IF(VLOOKUP(Tue_W1[[#This Row],[Employee Name]],'Base Schedules'!$A$160:$AW$203,37,FALSE)="","",VLOOKUP(Tue_W1[[#This Row],[Employee Name]],'Base Schedules'!$A$160:$AW$203,37,FALSE)),"")</f>
        <v>HL</v>
      </c>
      <c r="AM38" s="184" t="str">
        <f>IFERROR(IF(VLOOKUP(Tue_W1[[#This Row],[Employee Name]],'Base Schedules'!$A$160:$AW$203,38,FALSE)="","",VLOOKUP(Tue_W1[[#This Row],[Employee Name]],'Base Schedules'!$A$160:$AW$203,38,FALSE)),"")</f>
        <v>HL</v>
      </c>
      <c r="AN38" s="184" t="str">
        <f>IFERROR(IF(VLOOKUP(Tue_W1[[#This Row],[Employee Name]],'Base Schedules'!$A$160:$AW$203,39,FALSE)="","",VLOOKUP(Tue_W1[[#This Row],[Employee Name]],'Base Schedules'!$A$160:$AW$203,39,FALSE)),"")</f>
        <v>B2 HL</v>
      </c>
      <c r="AO38" s="184" t="str">
        <f>IFERROR(IF(VLOOKUP(Tue_W1[[#This Row],[Employee Name]],'Base Schedules'!$A$160:$AW$203,40,FALSE)="","",VLOOKUP(Tue_W1[[#This Row],[Employee Name]],'Base Schedules'!$A$160:$AW$203,40,FALSE)),"")</f>
        <v>HL</v>
      </c>
      <c r="AP38" s="184" t="str">
        <f>IFERROR(IF(VLOOKUP(Tue_W1[[#This Row],[Employee Name]],'Base Schedules'!$A$160:$AW$203,41,FALSE)="","",VLOOKUP(Tue_W1[[#This Row],[Employee Name]],'Base Schedules'!$A$160:$AW$203,41,FALSE)),"")</f>
        <v>HL</v>
      </c>
      <c r="AQ38" s="184" t="str">
        <f>IFERROR(IF(VLOOKUP(Tue_W1[[#This Row],[Employee Name]],'Base Schedules'!$A$160:$AW$203,42,FALSE)="","",VLOOKUP(Tue_W1[[#This Row],[Employee Name]],'Base Schedules'!$A$160:$AW$203,42,FALSE)),"")</f>
        <v/>
      </c>
      <c r="AR38" s="184" t="str">
        <f>IFERROR(IF(VLOOKUP(Tue_W1[[#This Row],[Employee Name]],'Base Schedules'!$A$160:$AW$203,43,FALSE)="","",VLOOKUP(Tue_W1[[#This Row],[Employee Name]],'Base Schedules'!$A$160:$AW$203,43,FALSE)),"")</f>
        <v/>
      </c>
      <c r="AS38" s="184" t="str">
        <f>IFERROR(IF(VLOOKUP(Tue_W1[[#This Row],[Employee Name]],'Base Schedules'!$A$160:$AW$203,44,FALSE)="","",VLOOKUP(Tue_W1[[#This Row],[Employee Name]],'Base Schedules'!$A$160:$AW$203,44,FALSE)),"")</f>
        <v/>
      </c>
      <c r="AT38" s="184" t="str">
        <f>IFERROR(IF(VLOOKUP(Tue_W1[[#This Row],[Employee Name]],'Base Schedules'!$A$160:$AW$203,45,FALSE)="","",VLOOKUP(Tue_W1[[#This Row],[Employee Name]],'Base Schedules'!$A$160:$AW$203,45,FALSE)),"")</f>
        <v/>
      </c>
      <c r="AU38" s="184" t="str">
        <f>IFERROR(IF(VLOOKUP(Tue_W1[[#This Row],[Employee Name]],'Base Schedules'!$A$160:$AW$203,46,FALSE)="","",VLOOKUP(Tue_W1[[#This Row],[Employee Name]],'Base Schedules'!$A$160:$AW$203,46,FALSE)),"")</f>
        <v/>
      </c>
      <c r="AV38" s="184" t="str">
        <f>IFERROR(IF(VLOOKUP(Tue_W1[[#This Row],[Employee Name]],'Base Schedules'!$A$160:$AW$203,47,FALSE)="","",VLOOKUP(Tue_W1[[#This Row],[Employee Name]],'Base Schedules'!$A$160:$AW$203,47,FALSE)),"")</f>
        <v/>
      </c>
      <c r="AW38" s="184" t="str">
        <f>IFERROR(IF(VLOOKUP(Tue_W1[[#This Row],[Employee Name]],'Base Schedules'!$A$160:$AW$203,48,FALSE)="","",VLOOKUP(Tue_W1[[#This Row],[Employee Name]],'Base Schedules'!$A$160:$AW$203,48,FALSE)),"")</f>
        <v/>
      </c>
      <c r="AX38" s="184" t="str">
        <f>IFERROR(IF(VLOOKUP(Tue_W1[[#This Row],[Employee Name]],'Base Schedules'!$A$160:$AW$203,49,FALSE)="","",VLOOKUP(Tue_W1[[#This Row],[Employee Name]],'Base Schedules'!$A$160:$AW$203,49,FALSE)),"")</f>
        <v/>
      </c>
      <c r="AY38" s="164" t="str">
        <f t="shared" si="2"/>
        <v>Mood, Ken</v>
      </c>
    </row>
    <row r="39" spans="1:51" s="44" customFormat="1" ht="12" x14ac:dyDescent="0.2">
      <c r="A39" s="39" t="str">
        <f>IF(B39="","",INDEX(TeamList[],MATCH($B39,TeamList[[Employee Name]:[Employee Name]],0),MATCH("Manager",TeamList[#Headers],0)))</f>
        <v>Olson, Katherine</v>
      </c>
      <c r="B39" s="332" t="s">
        <v>57</v>
      </c>
      <c r="C39" s="257" t="str">
        <f>_xlfn.IFNA(VLOOKUP(Tue_W1[[#This Row],[Employee Name]],'Base Schedules'!A:B,2,FALSE),"")</f>
        <v>Supervisor</v>
      </c>
      <c r="D39" s="274">
        <f>_xlfn.IFNA(VLOOKUP(Tue_W1[[#This Row],[Employee Name]],'Base Schedules'!A:C,3,FALSE),"")</f>
        <v>1300</v>
      </c>
      <c r="E39" s="274">
        <f>_xlfn.IFNA(VLOOKUP(Tue_W1[[#This Row],[Employee Name]],'Base Schedules'!A:D,4,FALSE),"")</f>
        <v>2200</v>
      </c>
      <c r="F39" s="142">
        <f>IF(Tue_W1[[#This Row],[Employee Name]]="","",IF(Tue_W1[[#This Row],[Dept]]="Supervisor",COUNTIFS($J39:$AX39,"*HL*",$J39:$AX39,"&lt;&gt;"&amp;"pHL"),COUNTIFS($J39:$AX39,"*HL*",$J39:$AX39,"&lt;&gt;"&amp;"*pHL*",$J39:$AX39,"&lt;&gt;"&amp;"pB1 HL",$J39:$AX39,"&lt;&gt;"&amp;"pB2 HL")-SUM(COUNTIFS($J39:$AX39,"*HL B1*",$J39:$AX39,"&lt;&gt;"&amp;"pHL B1")*0.5,COUNTIFS($J39:$AX39,"*HL B2*",$J39:$AX39,"&lt;&gt;"&amp;"pHL B2")*0.5,COUNTIFS($J39:$AX39,"*B1 HL*",$J39:$AX39,"&lt;&gt;"&amp;"pB1 HL")*0.5,COUNTIFS($J39:$AX39,"*B2 HL*",$J39:$AX39,"&lt;&gt;"&amp;"pB2 HL")*0.5)))</f>
        <v>0</v>
      </c>
      <c r="G39" s="142">
        <f t="shared" si="0"/>
        <v>4</v>
      </c>
      <c r="H39" s="142">
        <f t="shared" si="1"/>
        <v>0</v>
      </c>
      <c r="I39" s="142">
        <f>IF(Tue_W1[[#This Row],[Employee Name]]="","",IF(Tue_W1[[#This Row],[Dept]]="Supervisor",SUM(COUNTIFS($J39:$AX39,"RTA*",$J39:$AX39,"&lt;&gt;"&amp;"pRTA"),COUNTIFS($J39:$AX39,"*CRTA*",$J39:$AX39,"&lt;&gt;"&amp;"pCRTA")),COUNTIFS($J39:$AX39,"*RNNR*",$J39:$AX39,"&lt;&gt;"&amp;"*pRNNR*",$J39:$AX39,"&lt;&gt;"&amp;"pB1 RNNR",$J39:$AX39,"&lt;&gt;"&amp;"pB2 RNNR")-SUM(COUNTIFS($J39:$AX39,"*RNNR B1*",$J39:$AX39,"&lt;&gt;"&amp;"pRNNR B1")*0.5,COUNTIFS($J39:$AX39,"*RNNR B2*",$J39:$AX39,"&lt;&gt;"&amp;"pRNNR B2")*0.5,COUNTIFS($J39:$AX39,"*B1 RNNR*",$J39:$AX39,"&lt;&gt;"&amp;"pB1 RNNR")*0.5,COUNTIFS($J39:$AX39,"*B2 RNNR*",$J39:$AX39,"&lt;&gt;"&amp;"pB2 RNNR")*0.5)))</f>
        <v>0</v>
      </c>
      <c r="J39" s="184" t="str">
        <f>IFERROR(IF(VLOOKUP(Tue_W1[[#This Row],[Employee Name]],'Base Schedules'!$A$160:$AW$203,9,FALSE)="","",VLOOKUP(Tue_W1[[#This Row],[Employee Name]],'Base Schedules'!$A$160:$AW$203,9,FALSE)),"")</f>
        <v/>
      </c>
      <c r="K39" s="184" t="str">
        <f>IFERROR(IF(VLOOKUP(Tue_W1[[#This Row],[Employee Name]],'Base Schedules'!$A$160:$AW$203,10,FALSE)="","",VLOOKUP(Tue_W1[[#This Row],[Employee Name]],'Base Schedules'!$A$160:$AW$203,10,FALSE)),"")</f>
        <v/>
      </c>
      <c r="L39" s="184" t="str">
        <f>IFERROR(IF(VLOOKUP(Tue_W1[[#This Row],[Employee Name]],'Base Schedules'!$A$160:$AW$203,11,FALSE)="","",VLOOKUP(Tue_W1[[#This Row],[Employee Name]],'Base Schedules'!$A$160:$AW$203,11,FALSE)),"")</f>
        <v/>
      </c>
      <c r="M39" s="184" t="str">
        <f>IFERROR(IF(VLOOKUP(Tue_W1[[#This Row],[Employee Name]],'Base Schedules'!$A$160:$AW$203,12,FALSE)="","",VLOOKUP(Tue_W1[[#This Row],[Employee Name]],'Base Schedules'!$A$160:$AW$203,12,FALSE)),"")</f>
        <v/>
      </c>
      <c r="N39" s="184" t="str">
        <f>IFERROR(IF(VLOOKUP(Tue_W1[[#This Row],[Employee Name]],'Base Schedules'!$A$160:$AW$203,13,FALSE)="","",VLOOKUP(Tue_W1[[#This Row],[Employee Name]],'Base Schedules'!$A$160:$AW$203,13,FALSE)),"")</f>
        <v/>
      </c>
      <c r="O39" s="184" t="str">
        <f>IFERROR(IF(VLOOKUP(Tue_W1[[#This Row],[Employee Name]],'Base Schedules'!$A$160:$AW$203,14,FALSE)="","",VLOOKUP(Tue_W1[[#This Row],[Employee Name]],'Base Schedules'!$A$160:$AW$203,14,FALSE)),"")</f>
        <v/>
      </c>
      <c r="P39" s="184" t="str">
        <f>IFERROR(IF(VLOOKUP(Tue_W1[[#This Row],[Employee Name]],'Base Schedules'!$A$160:$AW$203,15,FALSE)="","",VLOOKUP(Tue_W1[[#This Row],[Employee Name]],'Base Schedules'!$A$160:$AW$203,15,FALSE)),"")</f>
        <v/>
      </c>
      <c r="Q39" s="184" t="str">
        <f>IFERROR(IF(VLOOKUP(Tue_W1[[#This Row],[Employee Name]],'Base Schedules'!$A$160:$AW$203,16,FALSE)="","",VLOOKUP(Tue_W1[[#This Row],[Employee Name]],'Base Schedules'!$A$160:$AW$203,16,FALSE)),"")</f>
        <v/>
      </c>
      <c r="R39" s="184" t="str">
        <f>IFERROR(IF(VLOOKUP(Tue_W1[[#This Row],[Employee Name]],'Base Schedules'!$A$160:$AW$203,17,FALSE)="","",VLOOKUP(Tue_W1[[#This Row],[Employee Name]],'Base Schedules'!$A$160:$AW$203,17,FALSE)),"")</f>
        <v/>
      </c>
      <c r="S39" s="184" t="str">
        <f>IFERROR(IF(VLOOKUP(Tue_W1[[#This Row],[Employee Name]],'Base Schedules'!$A$160:$AW$203,18,FALSE)="","",VLOOKUP(Tue_W1[[#This Row],[Employee Name]],'Base Schedules'!$A$160:$AW$203,18,FALSE)),"")</f>
        <v/>
      </c>
      <c r="T39" s="184" t="str">
        <f>IFERROR(IF(VLOOKUP(Tue_W1[[#This Row],[Employee Name]],'Base Schedules'!$A$160:$AW$203,19,FALSE)="","",VLOOKUP(Tue_W1[[#This Row],[Employee Name]],'Base Schedules'!$A$160:$AW$203,19,FALSE)),"")</f>
        <v/>
      </c>
      <c r="U39" s="184" t="str">
        <f>IFERROR(IF(VLOOKUP(Tue_W1[[#This Row],[Employee Name]],'Base Schedules'!$A$160:$AW$203,20,FALSE)="","",VLOOKUP(Tue_W1[[#This Row],[Employee Name]],'Base Schedules'!$A$160:$AW$203,20,FALSE)),"")</f>
        <v/>
      </c>
      <c r="V39" s="184" t="str">
        <f>IFERROR(IF(VLOOKUP(Tue_W1[[#This Row],[Employee Name]],'Base Schedules'!$A$160:$AW$203,21,FALSE)="","",VLOOKUP(Tue_W1[[#This Row],[Employee Name]],'Base Schedules'!$A$160:$AW$203,21,FALSE)),"")</f>
        <v/>
      </c>
      <c r="W39" s="184" t="str">
        <f>IFERROR(IF(VLOOKUP(Tue_W1[[#This Row],[Employee Name]],'Base Schedules'!$A$160:$AW$203,22,FALSE)="","",VLOOKUP(Tue_W1[[#This Row],[Employee Name]],'Base Schedules'!$A$160:$AW$203,22,FALSE)),"")</f>
        <v/>
      </c>
      <c r="X39" s="184" t="str">
        <f>IFERROR(IF(VLOOKUP(Tue_W1[[#This Row],[Employee Name]],'Base Schedules'!$A$160:$AW$203,23,FALSE)="","",VLOOKUP(Tue_W1[[#This Row],[Employee Name]],'Base Schedules'!$A$160:$AW$203,23,FALSE)),"")</f>
        <v/>
      </c>
      <c r="Y39" s="184" t="str">
        <f>IFERROR(IF(VLOOKUP(Tue_W1[[#This Row],[Employee Name]],'Base Schedules'!$A$160:$AW$203,24,FALSE)="","",VLOOKUP(Tue_W1[[#This Row],[Employee Name]],'Base Schedules'!$A$160:$AW$203,24,FALSE)),"")</f>
        <v/>
      </c>
      <c r="Z39" s="184" t="str">
        <f>IFERROR(IF(VLOOKUP(Tue_W1[[#This Row],[Employee Name]],'Base Schedules'!$A$160:$AW$203,25,FALSE)="","",VLOOKUP(Tue_W1[[#This Row],[Employee Name]],'Base Schedules'!$A$160:$AW$203,25,FALSE)),"")</f>
        <v>Team ZAH TM</v>
      </c>
      <c r="AA39" s="184" t="str">
        <f>IFERROR(IF(VLOOKUP(Tue_W1[[#This Row],[Employee Name]],'Base Schedules'!$A$160:$AW$203,26,FALSE)="","",VLOOKUP(Tue_W1[[#This Row],[Employee Name]],'Base Schedules'!$A$160:$AW$203,26,FALSE)),"")</f>
        <v>Team ZAH TM</v>
      </c>
      <c r="AB39" s="184" t="str">
        <f>IFERROR(IF(VLOOKUP(Tue_W1[[#This Row],[Employee Name]],'Base Schedules'!$A$160:$AW$203,27,FALSE)="","",VLOOKUP(Tue_W1[[#This Row],[Employee Name]],'Base Schedules'!$A$160:$AW$203,27,FALSE)),"")</f>
        <v>-</v>
      </c>
      <c r="AC39" s="184" t="str">
        <f>IFERROR(IF(VLOOKUP(Tue_W1[[#This Row],[Employee Name]],'Base Schedules'!$A$160:$AW$203,28,FALSE)="","",VLOOKUP(Tue_W1[[#This Row],[Employee Name]],'Base Schedules'!$A$160:$AW$203,28,FALSE)),"")</f>
        <v>Coaching</v>
      </c>
      <c r="AD39" s="184" t="str">
        <f>IFERROR(IF(VLOOKUP(Tue_W1[[#This Row],[Employee Name]],'Base Schedules'!$A$160:$AW$203,29,FALSE)="","",VLOOKUP(Tue_W1[[#This Row],[Employee Name]],'Base Schedules'!$A$160:$AW$203,29,FALSE)),"")</f>
        <v>Coaching</v>
      </c>
      <c r="AE39" s="184" t="str">
        <f>IFERROR(IF(VLOOKUP(Tue_W1[[#This Row],[Employee Name]],'Base Schedules'!$A$160:$AW$203,30,FALSE)="","",VLOOKUP(Tue_W1[[#This Row],[Employee Name]],'Base Schedules'!$A$160:$AW$203,30,FALSE)),"")</f>
        <v>Coaching</v>
      </c>
      <c r="AF39" s="184" t="str">
        <f>IFERROR(IF(VLOOKUP(Tue_W1[[#This Row],[Employee Name]],'Base Schedules'!$A$160:$AW$203,31,FALSE)="","",VLOOKUP(Tue_W1[[#This Row],[Employee Name]],'Base Schedules'!$A$160:$AW$203,31,FALSE)),"")</f>
        <v>Coaching</v>
      </c>
      <c r="AG39" s="184" t="str">
        <f>IFERROR(IF(VLOOKUP(Tue_W1[[#This Row],[Employee Name]],'Base Schedules'!$A$160:$AW$203,32,FALSE)="","",VLOOKUP(Tue_W1[[#This Row],[Employee Name]],'Base Schedules'!$A$160:$AW$203,32,FALSE)),"")</f>
        <v>-</v>
      </c>
      <c r="AH39" s="184" t="str">
        <f>IFERROR(IF(VLOOKUP(Tue_W1[[#This Row],[Employee Name]],'Base Schedules'!$A$160:$AW$203,33,FALSE)="","",VLOOKUP(Tue_W1[[#This Row],[Employee Name]],'Base Schedules'!$A$160:$AW$203,33,FALSE)),"")</f>
        <v>Interview</v>
      </c>
      <c r="AI39" s="184" t="str">
        <f>IFERROR(IF(VLOOKUP(Tue_W1[[#This Row],[Employee Name]],'Base Schedules'!$A$160:$AW$203,34,FALSE)="","",VLOOKUP(Tue_W1[[#This Row],[Employee Name]],'Base Schedules'!$A$160:$AW$203,34,FALSE)),"")</f>
        <v>Interview</v>
      </c>
      <c r="AJ39" s="184" t="str">
        <f>IFERROR(IF(VLOOKUP(Tue_W1[[#This Row],[Employee Name]],'Base Schedules'!$A$160:$AW$203,35,FALSE)="","",VLOOKUP(Tue_W1[[#This Row],[Employee Name]],'Base Schedules'!$A$160:$AW$203,35,FALSE)),"")</f>
        <v>-</v>
      </c>
      <c r="AK39" s="184" t="str">
        <f>IFERROR(IF(VLOOKUP(Tue_W1[[#This Row],[Employee Name]],'Base Schedules'!$A$160:$AW$203,36,FALSE)="","",VLOOKUP(Tue_W1[[#This Row],[Employee Name]],'Base Schedules'!$A$160:$AW$203,36,FALSE)),"")</f>
        <v>-</v>
      </c>
      <c r="AL39" s="184" t="str">
        <f>IFERROR(IF(VLOOKUP(Tue_W1[[#This Row],[Employee Name]],'Base Schedules'!$A$160:$AW$203,37,FALSE)="","",VLOOKUP(Tue_W1[[#This Row],[Employee Name]],'Base Schedules'!$A$160:$AW$203,37,FALSE)),"")</f>
        <v>-</v>
      </c>
      <c r="AM39" s="184" t="str">
        <f>IFERROR(IF(VLOOKUP(Tue_W1[[#This Row],[Employee Name]],'Base Schedules'!$A$160:$AW$203,38,FALSE)="","",VLOOKUP(Tue_W1[[#This Row],[Employee Name]],'Base Schedules'!$A$160:$AW$203,38,FALSE)),"")</f>
        <v>-</v>
      </c>
      <c r="AN39" s="184" t="str">
        <f>IFERROR(IF(VLOOKUP(Tue_W1[[#This Row],[Employee Name]],'Base Schedules'!$A$160:$AW$203,39,FALSE)="","",VLOOKUP(Tue_W1[[#This Row],[Employee Name]],'Base Schedules'!$A$160:$AW$203,39,FALSE)),"")</f>
        <v>-</v>
      </c>
      <c r="AO39" s="184" t="str">
        <f>IFERROR(IF(VLOOKUP(Tue_W1[[#This Row],[Employee Name]],'Base Schedules'!$A$160:$AW$203,40,FALSE)="","",VLOOKUP(Tue_W1[[#This Row],[Employee Name]],'Base Schedules'!$A$160:$AW$203,40,FALSE)),"")</f>
        <v>-</v>
      </c>
      <c r="AP39" s="184" t="str">
        <f>IFERROR(IF(VLOOKUP(Tue_W1[[#This Row],[Employee Name]],'Base Schedules'!$A$160:$AW$203,41,FALSE)="","",VLOOKUP(Tue_W1[[#This Row],[Employee Name]],'Base Schedules'!$A$160:$AW$203,41,FALSE)),"")</f>
        <v>-</v>
      </c>
      <c r="AQ39" s="184" t="str">
        <f>IFERROR(IF(VLOOKUP(Tue_W1[[#This Row],[Employee Name]],'Base Schedules'!$A$160:$AW$203,42,FALSE)="","",VLOOKUP(Tue_W1[[#This Row],[Employee Name]],'Base Schedules'!$A$160:$AW$203,42,FALSE)),"")</f>
        <v>-</v>
      </c>
      <c r="AR39" s="184" t="str">
        <f>IFERROR(IF(VLOOKUP(Tue_W1[[#This Row],[Employee Name]],'Base Schedules'!$A$160:$AW$203,43,FALSE)="","",VLOOKUP(Tue_W1[[#This Row],[Employee Name]],'Base Schedules'!$A$160:$AW$203,43,FALSE)),"")</f>
        <v/>
      </c>
      <c r="AS39" s="184" t="str">
        <f>IFERROR(IF(VLOOKUP(Tue_W1[[#This Row],[Employee Name]],'Base Schedules'!$A$160:$AW$203,44,FALSE)="","",VLOOKUP(Tue_W1[[#This Row],[Employee Name]],'Base Schedules'!$A$160:$AW$203,44,FALSE)),"")</f>
        <v/>
      </c>
      <c r="AT39" s="184" t="str">
        <f>IFERROR(IF(VLOOKUP(Tue_W1[[#This Row],[Employee Name]],'Base Schedules'!$A$160:$AW$203,45,FALSE)="","",VLOOKUP(Tue_W1[[#This Row],[Employee Name]],'Base Schedules'!$A$160:$AW$203,45,FALSE)),"")</f>
        <v/>
      </c>
      <c r="AU39" s="184" t="str">
        <f>IFERROR(IF(VLOOKUP(Tue_W1[[#This Row],[Employee Name]],'Base Schedules'!$A$160:$AW$203,46,FALSE)="","",VLOOKUP(Tue_W1[[#This Row],[Employee Name]],'Base Schedules'!$A$160:$AW$203,46,FALSE)),"")</f>
        <v/>
      </c>
      <c r="AV39" s="184" t="str">
        <f>IFERROR(IF(VLOOKUP(Tue_W1[[#This Row],[Employee Name]],'Base Schedules'!$A$160:$AW$203,47,FALSE)="","",VLOOKUP(Tue_W1[[#This Row],[Employee Name]],'Base Schedules'!$A$160:$AW$203,47,FALSE)),"")</f>
        <v/>
      </c>
      <c r="AW39" s="184" t="str">
        <f>IFERROR(IF(VLOOKUP(Tue_W1[[#This Row],[Employee Name]],'Base Schedules'!$A$160:$AW$203,48,FALSE)="","",VLOOKUP(Tue_W1[[#This Row],[Employee Name]],'Base Schedules'!$A$160:$AW$203,48,FALSE)),"")</f>
        <v/>
      </c>
      <c r="AX39" s="184" t="str">
        <f>IFERROR(IF(VLOOKUP(Tue_W1[[#This Row],[Employee Name]],'Base Schedules'!$A$160:$AW$203,49,FALSE)="","",VLOOKUP(Tue_W1[[#This Row],[Employee Name]],'Base Schedules'!$A$160:$AW$203,49,FALSE)),"")</f>
        <v/>
      </c>
      <c r="AY39" s="164" t="str">
        <f t="shared" si="2"/>
        <v>Cultice, Diana</v>
      </c>
    </row>
    <row r="40" spans="1:51" s="44" customFormat="1" ht="12" x14ac:dyDescent="0.2">
      <c r="A40" s="39" t="str">
        <f>IF(B40="","",INDEX(TeamList[],MATCH($B40,TeamList[[Employee Name]:[Employee Name]],0),MATCH("Manager",TeamList[#Headers],0)))</f>
        <v>Paulson, Matthew</v>
      </c>
      <c r="B40" s="201" t="s">
        <v>59</v>
      </c>
      <c r="C40" s="257" t="str">
        <f>_xlfn.IFNA(VLOOKUP(Tue_W1[[#This Row],[Employee Name]],'Base Schedules'!A:B,2,FALSE),"")</f>
        <v>Supervisor</v>
      </c>
      <c r="D40" s="274">
        <f>_xlfn.IFNA(VLOOKUP(Tue_W1[[#This Row],[Employee Name]],'Base Schedules'!A:C,3,FALSE),"")</f>
        <v>1300</v>
      </c>
      <c r="E40" s="274">
        <f>_xlfn.IFNA(VLOOKUP(Tue_W1[[#This Row],[Employee Name]],'Base Schedules'!A:D,4,FALSE),"")</f>
        <v>2200</v>
      </c>
      <c r="F40" s="142">
        <f>IF(Tue_W1[[#This Row],[Employee Name]]="","",IF(Tue_W1[[#This Row],[Dept]]="Supervisor",COUNTIFS($J40:$AX40,"*HL*",$J40:$AX40,"&lt;&gt;"&amp;"pHL"),COUNTIFS($J40:$AX40,"*HL*",$J40:$AX40,"&lt;&gt;"&amp;"*pHL*",$J40:$AX40,"&lt;&gt;"&amp;"pB1 HL",$J40:$AX40,"&lt;&gt;"&amp;"pB2 HL")-SUM(COUNTIFS($J40:$AX40,"*HL B1*",$J40:$AX40,"&lt;&gt;"&amp;"pHL B1")*0.5,COUNTIFS($J40:$AX40,"*HL B2*",$J40:$AX40,"&lt;&gt;"&amp;"pHL B2")*0.5,COUNTIFS($J40:$AX40,"*B1 HL*",$J40:$AX40,"&lt;&gt;"&amp;"pB1 HL")*0.5,COUNTIFS($J40:$AX40,"*B2 HL*",$J40:$AX40,"&lt;&gt;"&amp;"pB2 HL")*0.5)))</f>
        <v>0</v>
      </c>
      <c r="G40" s="142">
        <f t="shared" si="0"/>
        <v>5</v>
      </c>
      <c r="H40" s="142">
        <f t="shared" si="1"/>
        <v>0</v>
      </c>
      <c r="I40" s="142">
        <f>IF(Tue_W1[[#This Row],[Employee Name]]="","",IF(Tue_W1[[#This Row],[Dept]]="Supervisor",SUM(COUNTIFS($J40:$AX40,"RTA*",$J40:$AX40,"&lt;&gt;"&amp;"pRTA"),COUNTIFS($J40:$AX40,"*CRTA*",$J40:$AX40,"&lt;&gt;"&amp;"pCRTA")),COUNTIFS($J40:$AX40,"*RNNR*",$J40:$AX40,"&lt;&gt;"&amp;"*pRNNR*",$J40:$AX40,"&lt;&gt;"&amp;"pB1 RNNR",$J40:$AX40,"&lt;&gt;"&amp;"pB2 RNNR")-SUM(COUNTIFS($J40:$AX40,"*RNNR B1*",$J40:$AX40,"&lt;&gt;"&amp;"pRNNR B1")*0.5,COUNTIFS($J40:$AX40,"*RNNR B2*",$J40:$AX40,"&lt;&gt;"&amp;"pRNNR B2")*0.5,COUNTIFS($J40:$AX40,"*B1 RNNR*",$J40:$AX40,"&lt;&gt;"&amp;"pB1 RNNR")*0.5,COUNTIFS($J40:$AX40,"*B2 RNNR*",$J40:$AX40,"&lt;&gt;"&amp;"pB2 RNNR")*0.5)))</f>
        <v>0</v>
      </c>
      <c r="J40" s="184" t="str">
        <f>IFERROR(IF(VLOOKUP(Tue_W1[[#This Row],[Employee Name]],'Base Schedules'!$A$160:$AW$203,9,FALSE)="","",VLOOKUP(Tue_W1[[#This Row],[Employee Name]],'Base Schedules'!$A$160:$AW$203,9,FALSE)),"")</f>
        <v/>
      </c>
      <c r="K40" s="184" t="str">
        <f>IFERROR(IF(VLOOKUP(Tue_W1[[#This Row],[Employee Name]],'Base Schedules'!$A$160:$AW$203,10,FALSE)="","",VLOOKUP(Tue_W1[[#This Row],[Employee Name]],'Base Schedules'!$A$160:$AW$203,10,FALSE)),"")</f>
        <v/>
      </c>
      <c r="L40" s="184" t="str">
        <f>IFERROR(IF(VLOOKUP(Tue_W1[[#This Row],[Employee Name]],'Base Schedules'!$A$160:$AW$203,11,FALSE)="","",VLOOKUP(Tue_W1[[#This Row],[Employee Name]],'Base Schedules'!$A$160:$AW$203,11,FALSE)),"")</f>
        <v/>
      </c>
      <c r="M40" s="184" t="str">
        <f>IFERROR(IF(VLOOKUP(Tue_W1[[#This Row],[Employee Name]],'Base Schedules'!$A$160:$AW$203,12,FALSE)="","",VLOOKUP(Tue_W1[[#This Row],[Employee Name]],'Base Schedules'!$A$160:$AW$203,12,FALSE)),"")</f>
        <v/>
      </c>
      <c r="N40" s="184" t="str">
        <f>IFERROR(IF(VLOOKUP(Tue_W1[[#This Row],[Employee Name]],'Base Schedules'!$A$160:$AW$203,13,FALSE)="","",VLOOKUP(Tue_W1[[#This Row],[Employee Name]],'Base Schedules'!$A$160:$AW$203,13,FALSE)),"")</f>
        <v/>
      </c>
      <c r="O40" s="184" t="str">
        <f>IFERROR(IF(VLOOKUP(Tue_W1[[#This Row],[Employee Name]],'Base Schedules'!$A$160:$AW$203,14,FALSE)="","",VLOOKUP(Tue_W1[[#This Row],[Employee Name]],'Base Schedules'!$A$160:$AW$203,14,FALSE)),"")</f>
        <v/>
      </c>
      <c r="P40" s="184" t="str">
        <f>IFERROR(IF(VLOOKUP(Tue_W1[[#This Row],[Employee Name]],'Base Schedules'!$A$160:$AW$203,15,FALSE)="","",VLOOKUP(Tue_W1[[#This Row],[Employee Name]],'Base Schedules'!$A$160:$AW$203,15,FALSE)),"")</f>
        <v/>
      </c>
      <c r="Q40" s="184" t="str">
        <f>IFERROR(IF(VLOOKUP(Tue_W1[[#This Row],[Employee Name]],'Base Schedules'!$A$160:$AW$203,16,FALSE)="","",VLOOKUP(Tue_W1[[#This Row],[Employee Name]],'Base Schedules'!$A$160:$AW$203,16,FALSE)),"")</f>
        <v/>
      </c>
      <c r="R40" s="184" t="str">
        <f>IFERROR(IF(VLOOKUP(Tue_W1[[#This Row],[Employee Name]],'Base Schedules'!$A$160:$AW$203,17,FALSE)="","",VLOOKUP(Tue_W1[[#This Row],[Employee Name]],'Base Schedules'!$A$160:$AW$203,17,FALSE)),"")</f>
        <v/>
      </c>
      <c r="S40" s="184" t="str">
        <f>IFERROR(IF(VLOOKUP(Tue_W1[[#This Row],[Employee Name]],'Base Schedules'!$A$160:$AW$203,18,FALSE)="","",VLOOKUP(Tue_W1[[#This Row],[Employee Name]],'Base Schedules'!$A$160:$AW$203,18,FALSE)),"")</f>
        <v/>
      </c>
      <c r="T40" s="184" t="str">
        <f>IFERROR(IF(VLOOKUP(Tue_W1[[#This Row],[Employee Name]],'Base Schedules'!$A$160:$AW$203,19,FALSE)="","",VLOOKUP(Tue_W1[[#This Row],[Employee Name]],'Base Schedules'!$A$160:$AW$203,19,FALSE)),"")</f>
        <v/>
      </c>
      <c r="U40" s="184" t="str">
        <f>IFERROR(IF(VLOOKUP(Tue_W1[[#This Row],[Employee Name]],'Base Schedules'!$A$160:$AW$203,20,FALSE)="","",VLOOKUP(Tue_W1[[#This Row],[Employee Name]],'Base Schedules'!$A$160:$AW$203,20,FALSE)),"")</f>
        <v/>
      </c>
      <c r="V40" s="184" t="str">
        <f>IFERROR(IF(VLOOKUP(Tue_W1[[#This Row],[Employee Name]],'Base Schedules'!$A$160:$AW$203,21,FALSE)="","",VLOOKUP(Tue_W1[[#This Row],[Employee Name]],'Base Schedules'!$A$160:$AW$203,21,FALSE)),"")</f>
        <v/>
      </c>
      <c r="W40" s="184" t="str">
        <f>IFERROR(IF(VLOOKUP(Tue_W1[[#This Row],[Employee Name]],'Base Schedules'!$A$160:$AW$203,22,FALSE)="","",VLOOKUP(Tue_W1[[#This Row],[Employee Name]],'Base Schedules'!$A$160:$AW$203,22,FALSE)),"")</f>
        <v/>
      </c>
      <c r="X40" s="184" t="str">
        <f>IFERROR(IF(VLOOKUP(Tue_W1[[#This Row],[Employee Name]],'Base Schedules'!$A$160:$AW$203,23,FALSE)="","",VLOOKUP(Tue_W1[[#This Row],[Employee Name]],'Base Schedules'!$A$160:$AW$203,23,FALSE)),"")</f>
        <v/>
      </c>
      <c r="Y40" s="184" t="str">
        <f>IFERROR(IF(VLOOKUP(Tue_W1[[#This Row],[Employee Name]],'Base Schedules'!$A$160:$AW$203,24,FALSE)="","",VLOOKUP(Tue_W1[[#This Row],[Employee Name]],'Base Schedules'!$A$160:$AW$203,24,FALSE)),"")</f>
        <v/>
      </c>
      <c r="Z40" s="184" t="str">
        <f>IFERROR(IF(VLOOKUP(Tue_W1[[#This Row],[Employee Name]],'Base Schedules'!$A$160:$AW$203,25,FALSE)="","",VLOOKUP(Tue_W1[[#This Row],[Employee Name]],'Base Schedules'!$A$160:$AW$203,25,FALSE)),"")</f>
        <v>-</v>
      </c>
      <c r="AA40" s="184" t="str">
        <f>IFERROR(IF(VLOOKUP(Tue_W1[[#This Row],[Employee Name]],'Base Schedules'!$A$160:$AW$203,26,FALSE)="","",VLOOKUP(Tue_W1[[#This Row],[Employee Name]],'Base Schedules'!$A$160:$AW$203,26,FALSE)),"")</f>
        <v>-</v>
      </c>
      <c r="AB40" s="184" t="str">
        <f>IFERROR(IF(VLOOKUP(Tue_W1[[#This Row],[Employee Name]],'Base Schedules'!$A$160:$AW$203,27,FALSE)="","",VLOOKUP(Tue_W1[[#This Row],[Employee Name]],'Base Schedules'!$A$160:$AW$203,27,FALSE)),"")</f>
        <v>-</v>
      </c>
      <c r="AC40" s="184" t="str">
        <f>IFERROR(IF(VLOOKUP(Tue_W1[[#This Row],[Employee Name]],'Base Schedules'!$A$160:$AW$203,28,FALSE)="","",VLOOKUP(Tue_W1[[#This Row],[Employee Name]],'Base Schedules'!$A$160:$AW$203,28,FALSE)),"")</f>
        <v>-</v>
      </c>
      <c r="AD40" s="184" t="str">
        <f>IFERROR(IF(VLOOKUP(Tue_W1[[#This Row],[Employee Name]],'Base Schedules'!$A$160:$AW$203,29,FALSE)="","",VLOOKUP(Tue_W1[[#This Row],[Employee Name]],'Base Schedules'!$A$160:$AW$203,29,FALSE)),"")</f>
        <v>Interview</v>
      </c>
      <c r="AE40" s="184" t="str">
        <f>IFERROR(IF(VLOOKUP(Tue_W1[[#This Row],[Employee Name]],'Base Schedules'!$A$160:$AW$203,30,FALSE)="","",VLOOKUP(Tue_W1[[#This Row],[Employee Name]],'Base Schedules'!$A$160:$AW$203,30,FALSE)),"")</f>
        <v>Interview</v>
      </c>
      <c r="AF40" s="184" t="str">
        <f>IFERROR(IF(VLOOKUP(Tue_W1[[#This Row],[Employee Name]],'Base Schedules'!$A$160:$AW$203,31,FALSE)="","",VLOOKUP(Tue_W1[[#This Row],[Employee Name]],'Base Schedules'!$A$160:$AW$203,31,FALSE)),"")</f>
        <v>-</v>
      </c>
      <c r="AG40" s="184" t="str">
        <f>IFERROR(IF(VLOOKUP(Tue_W1[[#This Row],[Employee Name]],'Base Schedules'!$A$160:$AW$203,32,FALSE)="","",VLOOKUP(Tue_W1[[#This Row],[Employee Name]],'Base Schedules'!$A$160:$AW$203,32,FALSE)),"")</f>
        <v>-</v>
      </c>
      <c r="AH40" s="184" t="str">
        <f>IFERROR(IF(VLOOKUP(Tue_W1[[#This Row],[Employee Name]],'Base Schedules'!$A$160:$AW$203,33,FALSE)="","",VLOOKUP(Tue_W1[[#This Row],[Employee Name]],'Base Schedules'!$A$160:$AW$203,33,FALSE)),"")</f>
        <v>-</v>
      </c>
      <c r="AI40" s="184" t="str">
        <f>IFERROR(IF(VLOOKUP(Tue_W1[[#This Row],[Employee Name]],'Base Schedules'!$A$160:$AW$203,34,FALSE)="","",VLOOKUP(Tue_W1[[#This Row],[Employee Name]],'Base Schedules'!$A$160:$AW$203,34,FALSE)),"")</f>
        <v>-</v>
      </c>
      <c r="AJ40" s="184" t="str">
        <f>IFERROR(IF(VLOOKUP(Tue_W1[[#This Row],[Employee Name]],'Base Schedules'!$A$160:$AW$203,35,FALSE)="","",VLOOKUP(Tue_W1[[#This Row],[Employee Name]],'Base Schedules'!$A$160:$AW$203,35,FALSE)),"")</f>
        <v>-</v>
      </c>
      <c r="AK40" s="184" t="str">
        <f>IFERROR(IF(VLOOKUP(Tue_W1[[#This Row],[Employee Name]],'Base Schedules'!$A$160:$AW$203,36,FALSE)="","",VLOOKUP(Tue_W1[[#This Row],[Employee Name]],'Base Schedules'!$A$160:$AW$203,36,FALSE)),"")</f>
        <v>-</v>
      </c>
      <c r="AL40" s="184" t="str">
        <f>IFERROR(IF(VLOOKUP(Tue_W1[[#This Row],[Employee Name]],'Base Schedules'!$A$160:$AW$203,37,FALSE)="","",VLOOKUP(Tue_W1[[#This Row],[Employee Name]],'Base Schedules'!$A$160:$AW$203,37,FALSE)),"")</f>
        <v>-</v>
      </c>
      <c r="AM40" s="184" t="str">
        <f>IFERROR(IF(VLOOKUP(Tue_W1[[#This Row],[Employee Name]],'Base Schedules'!$A$160:$AW$203,38,FALSE)="","",VLOOKUP(Tue_W1[[#This Row],[Employee Name]],'Base Schedules'!$A$160:$AW$203,38,FALSE)),"")</f>
        <v>Coaching</v>
      </c>
      <c r="AN40" s="184" t="str">
        <f>IFERROR(IF(VLOOKUP(Tue_W1[[#This Row],[Employee Name]],'Base Schedules'!$A$160:$AW$203,39,FALSE)="","",VLOOKUP(Tue_W1[[#This Row],[Employee Name]],'Base Schedules'!$A$160:$AW$203,39,FALSE)),"")</f>
        <v>Coaching</v>
      </c>
      <c r="AO40" s="184" t="str">
        <f>IFERROR(IF(VLOOKUP(Tue_W1[[#This Row],[Employee Name]],'Base Schedules'!$A$160:$AW$203,40,FALSE)="","",VLOOKUP(Tue_W1[[#This Row],[Employee Name]],'Base Schedules'!$A$160:$AW$203,40,FALSE)),"")</f>
        <v>Coaching</v>
      </c>
      <c r="AP40" s="184" t="str">
        <f>IFERROR(IF(VLOOKUP(Tue_W1[[#This Row],[Employee Name]],'Base Schedules'!$A$160:$AW$203,41,FALSE)="","",VLOOKUP(Tue_W1[[#This Row],[Employee Name]],'Base Schedules'!$A$160:$AW$203,41,FALSE)),"")</f>
        <v>Coaching</v>
      </c>
      <c r="AQ40" s="184" t="str">
        <f>IFERROR(IF(VLOOKUP(Tue_W1[[#This Row],[Employee Name]],'Base Schedules'!$A$160:$AW$203,42,FALSE)="","",VLOOKUP(Tue_W1[[#This Row],[Employee Name]],'Base Schedules'!$A$160:$AW$203,42,FALSE)),"")</f>
        <v>Coaching</v>
      </c>
      <c r="AR40" s="184" t="str">
        <f>IFERROR(IF(VLOOKUP(Tue_W1[[#This Row],[Employee Name]],'Base Schedules'!$A$160:$AW$203,43,FALSE)="","",VLOOKUP(Tue_W1[[#This Row],[Employee Name]],'Base Schedules'!$A$160:$AW$203,43,FALSE)),"")</f>
        <v/>
      </c>
      <c r="AS40" s="184" t="str">
        <f>IFERROR(IF(VLOOKUP(Tue_W1[[#This Row],[Employee Name]],'Base Schedules'!$A$160:$AW$203,44,FALSE)="","",VLOOKUP(Tue_W1[[#This Row],[Employee Name]],'Base Schedules'!$A$160:$AW$203,44,FALSE)),"")</f>
        <v/>
      </c>
      <c r="AT40" s="184" t="str">
        <f>IFERROR(IF(VLOOKUP(Tue_W1[[#This Row],[Employee Name]],'Base Schedules'!$A$160:$AW$203,45,FALSE)="","",VLOOKUP(Tue_W1[[#This Row],[Employee Name]],'Base Schedules'!$A$160:$AW$203,45,FALSE)),"")</f>
        <v/>
      </c>
      <c r="AU40" s="184" t="str">
        <f>IFERROR(IF(VLOOKUP(Tue_W1[[#This Row],[Employee Name]],'Base Schedules'!$A$160:$AW$203,46,FALSE)="","",VLOOKUP(Tue_W1[[#This Row],[Employee Name]],'Base Schedules'!$A$160:$AW$203,46,FALSE)),"")</f>
        <v/>
      </c>
      <c r="AV40" s="184" t="str">
        <f>IFERROR(IF(VLOOKUP(Tue_W1[[#This Row],[Employee Name]],'Base Schedules'!$A$160:$AW$203,47,FALSE)="","",VLOOKUP(Tue_W1[[#This Row],[Employee Name]],'Base Schedules'!$A$160:$AW$203,47,FALSE)),"")</f>
        <v/>
      </c>
      <c r="AW40" s="184" t="str">
        <f>IFERROR(IF(VLOOKUP(Tue_W1[[#This Row],[Employee Name]],'Base Schedules'!$A$160:$AW$203,48,FALSE)="","",VLOOKUP(Tue_W1[[#This Row],[Employee Name]],'Base Schedules'!$A$160:$AW$203,48,FALSE)),"")</f>
        <v/>
      </c>
      <c r="AX40" s="184" t="str">
        <f>IFERROR(IF(VLOOKUP(Tue_W1[[#This Row],[Employee Name]],'Base Schedules'!$A$160:$AW$203,49,FALSE)="","",VLOOKUP(Tue_W1[[#This Row],[Employee Name]],'Base Schedules'!$A$160:$AW$203,49,FALSE)),"")</f>
        <v/>
      </c>
      <c r="AY40" s="164" t="str">
        <f t="shared" si="2"/>
        <v>Banuelos, Lincoln</v>
      </c>
    </row>
    <row r="41" spans="1:51" s="44" customFormat="1" ht="12" x14ac:dyDescent="0.2">
      <c r="A41" s="39" t="e">
        <f>IF(B41="","",INDEX(TeamList[],MATCH($B41,TeamList[[Employee Name]:[Employee Name]],0),MATCH("Manager",TeamList[#Headers],0)))</f>
        <v>#N/A</v>
      </c>
      <c r="B41" s="201" t="s">
        <v>586</v>
      </c>
      <c r="C41" s="257" t="str">
        <f>_xlfn.IFNA(VLOOKUP(Tue_W1[[#This Row],[Employee Name]],'Base Schedules'!A:B,2,FALSE),"")</f>
        <v>Lead</v>
      </c>
      <c r="D41" s="274">
        <f>_xlfn.IFNA(VLOOKUP(Tue_W1[[#This Row],[Employee Name]],'Base Schedules'!A:C,3,FALSE),"")</f>
        <v>1330</v>
      </c>
      <c r="E41" s="274">
        <f>_xlfn.IFNA(VLOOKUP(Tue_W1[[#This Row],[Employee Name]],'Base Schedules'!A:D,4,FALSE),"")</f>
        <v>2200</v>
      </c>
      <c r="F41" s="142">
        <f>IF(Tue_W1[[#This Row],[Employee Name]]="","",IF(Tue_W1[[#This Row],[Dept]]="Supervisor",COUNTIFS($J41:$AX41,"*HL*",$J41:$AX41,"&lt;&gt;"&amp;"pHL"),COUNTIFS($J41:$AX41,"*HL*",$J41:$AX41,"&lt;&gt;"&amp;"*pHL*",$J41:$AX41,"&lt;&gt;"&amp;"pB1 HL",$J41:$AX41,"&lt;&gt;"&amp;"pB2 HL")-SUM(COUNTIFS($J41:$AX41,"*HL B1*",$J41:$AX41,"&lt;&gt;"&amp;"pHL B1")*0.5,COUNTIFS($J41:$AX41,"*HL B2*",$J41:$AX41,"&lt;&gt;"&amp;"pHL B2")*0.5,COUNTIFS($J41:$AX41,"*B1 HL*",$J41:$AX41,"&lt;&gt;"&amp;"pB1 HL")*0.5,COUNTIFS($J41:$AX41,"*B2 HL*",$J41:$AX41,"&lt;&gt;"&amp;"pB2 HL")*0.5)))</f>
        <v>7.5</v>
      </c>
      <c r="G41" s="142">
        <f t="shared" si="0"/>
        <v>0</v>
      </c>
      <c r="H41" s="142">
        <f t="shared" si="1"/>
        <v>8</v>
      </c>
      <c r="I41" s="142">
        <f>IF(Tue_W1[[#This Row],[Employee Name]]="","",IF(Tue_W1[[#This Row],[Dept]]="Supervisor",SUM(COUNTIFS($J41:$AX41,"RTA*",$J41:$AX41,"&lt;&gt;"&amp;"pRTA"),COUNTIFS($J41:$AX41,"*CRTA*",$J41:$AX41,"&lt;&gt;"&amp;"pCRTA")),COUNTIFS($J41:$AX41,"*RNNR*",$J41:$AX41,"&lt;&gt;"&amp;"*pRNNR*",$J41:$AX41,"&lt;&gt;"&amp;"pB1 RNNR",$J41:$AX41,"&lt;&gt;"&amp;"pB2 RNNR")-SUM(COUNTIFS($J41:$AX41,"*RNNR B1*",$J41:$AX41,"&lt;&gt;"&amp;"pRNNR B1")*0.5,COUNTIFS($J41:$AX41,"*RNNR B2*",$J41:$AX41,"&lt;&gt;"&amp;"pRNNR B2")*0.5,COUNTIFS($J41:$AX41,"*B1 RNNR*",$J41:$AX41,"&lt;&gt;"&amp;"pB1 RNNR")*0.5,COUNTIFS($J41:$AX41,"*B2 RNNR*",$J41:$AX41,"&lt;&gt;"&amp;"pB2 RNNR")*0.5)))</f>
        <v>0</v>
      </c>
      <c r="J41" s="184" t="str">
        <f>IFERROR(IF(VLOOKUP(Tue_W1[[#This Row],[Employee Name]],'Base Schedules'!$A$160:$AW$203,9,FALSE)="","",VLOOKUP(Tue_W1[[#This Row],[Employee Name]],'Base Schedules'!$A$160:$AW$203,9,FALSE)),"")</f>
        <v/>
      </c>
      <c r="K41" s="184" t="str">
        <f>IFERROR(IF(VLOOKUP(Tue_W1[[#This Row],[Employee Name]],'Base Schedules'!$A$160:$AW$203,10,FALSE)="","",VLOOKUP(Tue_W1[[#This Row],[Employee Name]],'Base Schedules'!$A$160:$AW$203,10,FALSE)),"")</f>
        <v/>
      </c>
      <c r="L41" s="184" t="str">
        <f>IFERROR(IF(VLOOKUP(Tue_W1[[#This Row],[Employee Name]],'Base Schedules'!$A$160:$AW$203,11,FALSE)="","",VLOOKUP(Tue_W1[[#This Row],[Employee Name]],'Base Schedules'!$A$160:$AW$203,11,FALSE)),"")</f>
        <v/>
      </c>
      <c r="M41" s="184" t="str">
        <f>IFERROR(IF(VLOOKUP(Tue_W1[[#This Row],[Employee Name]],'Base Schedules'!$A$160:$AW$203,12,FALSE)="","",VLOOKUP(Tue_W1[[#This Row],[Employee Name]],'Base Schedules'!$A$160:$AW$203,12,FALSE)),"")</f>
        <v/>
      </c>
      <c r="N41" s="184" t="str">
        <f>IFERROR(IF(VLOOKUP(Tue_W1[[#This Row],[Employee Name]],'Base Schedules'!$A$160:$AW$203,13,FALSE)="","",VLOOKUP(Tue_W1[[#This Row],[Employee Name]],'Base Schedules'!$A$160:$AW$203,13,FALSE)),"")</f>
        <v/>
      </c>
      <c r="O41" s="184" t="str">
        <f>IFERROR(IF(VLOOKUP(Tue_W1[[#This Row],[Employee Name]],'Base Schedules'!$A$160:$AW$203,14,FALSE)="","",VLOOKUP(Tue_W1[[#This Row],[Employee Name]],'Base Schedules'!$A$160:$AW$203,14,FALSE)),"")</f>
        <v/>
      </c>
      <c r="P41" s="184" t="str">
        <f>IFERROR(IF(VLOOKUP(Tue_W1[[#This Row],[Employee Name]],'Base Schedules'!$A$160:$AW$203,15,FALSE)="","",VLOOKUP(Tue_W1[[#This Row],[Employee Name]],'Base Schedules'!$A$160:$AW$203,15,FALSE)),"")</f>
        <v/>
      </c>
      <c r="Q41" s="184" t="str">
        <f>IFERROR(IF(VLOOKUP(Tue_W1[[#This Row],[Employee Name]],'Base Schedules'!$A$160:$AW$203,16,FALSE)="","",VLOOKUP(Tue_W1[[#This Row],[Employee Name]],'Base Schedules'!$A$160:$AW$203,16,FALSE)),"")</f>
        <v/>
      </c>
      <c r="R41" s="184" t="str">
        <f>IFERROR(IF(VLOOKUP(Tue_W1[[#This Row],[Employee Name]],'Base Schedules'!$A$160:$AW$203,17,FALSE)="","",VLOOKUP(Tue_W1[[#This Row],[Employee Name]],'Base Schedules'!$A$160:$AW$203,17,FALSE)),"")</f>
        <v/>
      </c>
      <c r="S41" s="184" t="str">
        <f>IFERROR(IF(VLOOKUP(Tue_W1[[#This Row],[Employee Name]],'Base Schedules'!$A$160:$AW$203,18,FALSE)="","",VLOOKUP(Tue_W1[[#This Row],[Employee Name]],'Base Schedules'!$A$160:$AW$203,18,FALSE)),"")</f>
        <v/>
      </c>
      <c r="T41" s="184" t="str">
        <f>IFERROR(IF(VLOOKUP(Tue_W1[[#This Row],[Employee Name]],'Base Schedules'!$A$160:$AW$203,19,FALSE)="","",VLOOKUP(Tue_W1[[#This Row],[Employee Name]],'Base Schedules'!$A$160:$AW$203,19,FALSE)),"")</f>
        <v/>
      </c>
      <c r="U41" s="184" t="str">
        <f>IFERROR(IF(VLOOKUP(Tue_W1[[#This Row],[Employee Name]],'Base Schedules'!$A$160:$AW$203,20,FALSE)="","",VLOOKUP(Tue_W1[[#This Row],[Employee Name]],'Base Schedules'!$A$160:$AW$203,20,FALSE)),"")</f>
        <v/>
      </c>
      <c r="V41" s="184" t="str">
        <f>IFERROR(IF(VLOOKUP(Tue_W1[[#This Row],[Employee Name]],'Base Schedules'!$A$160:$AW$203,21,FALSE)="","",VLOOKUP(Tue_W1[[#This Row],[Employee Name]],'Base Schedules'!$A$160:$AW$203,21,FALSE)),"")</f>
        <v/>
      </c>
      <c r="W41" s="184" t="str">
        <f>IFERROR(IF(VLOOKUP(Tue_W1[[#This Row],[Employee Name]],'Base Schedules'!$A$160:$AW$203,22,FALSE)="","",VLOOKUP(Tue_W1[[#This Row],[Employee Name]],'Base Schedules'!$A$160:$AW$203,22,FALSE)),"")</f>
        <v/>
      </c>
      <c r="X41" s="184" t="str">
        <f>IFERROR(IF(VLOOKUP(Tue_W1[[#This Row],[Employee Name]],'Base Schedules'!$A$160:$AW$203,23,FALSE)="","",VLOOKUP(Tue_W1[[#This Row],[Employee Name]],'Base Schedules'!$A$160:$AW$203,23,FALSE)),"")</f>
        <v/>
      </c>
      <c r="Y41" s="184" t="str">
        <f>IFERROR(IF(VLOOKUP(Tue_W1[[#This Row],[Employee Name]],'Base Schedules'!$A$160:$AW$203,24,FALSE)="","",VLOOKUP(Tue_W1[[#This Row],[Employee Name]],'Base Schedules'!$A$160:$AW$203,24,FALSE)),"")</f>
        <v/>
      </c>
      <c r="Z41" s="184" t="str">
        <f>IFERROR(IF(VLOOKUP(Tue_W1[[#This Row],[Employee Name]],'Base Schedules'!$A$160:$AW$203,25,FALSE)="","",VLOOKUP(Tue_W1[[#This Row],[Employee Name]],'Base Schedules'!$A$160:$AW$203,25,FALSE)),"")</f>
        <v/>
      </c>
      <c r="AA41" s="184" t="str">
        <f>IFERROR(IF(VLOOKUP(Tue_W1[[#This Row],[Employee Name]],'Base Schedules'!$A$160:$AW$203,26,FALSE)="","",VLOOKUP(Tue_W1[[#This Row],[Employee Name]],'Base Schedules'!$A$160:$AW$203,26,FALSE)),"")</f>
        <v>HL</v>
      </c>
      <c r="AB41" s="184" t="str">
        <f>IFERROR(IF(VLOOKUP(Tue_W1[[#This Row],[Employee Name]],'Base Schedules'!$A$160:$AW$203,27,FALSE)="","",VLOOKUP(Tue_W1[[#This Row],[Employee Name]],'Base Schedules'!$A$160:$AW$203,27,FALSE)),"")</f>
        <v>HL</v>
      </c>
      <c r="AC41" s="184" t="str">
        <f>IFERROR(IF(VLOOKUP(Tue_W1[[#This Row],[Employee Name]],'Base Schedules'!$A$160:$AW$203,28,FALSE)="","",VLOOKUP(Tue_W1[[#This Row],[Employee Name]],'Base Schedules'!$A$160:$AW$203,28,FALSE)),"")</f>
        <v>HL</v>
      </c>
      <c r="AD41" s="184" t="str">
        <f>IFERROR(IF(VLOOKUP(Tue_W1[[#This Row],[Employee Name]],'Base Schedules'!$A$160:$AW$203,29,FALSE)="","",VLOOKUP(Tue_W1[[#This Row],[Employee Name]],'Base Schedules'!$A$160:$AW$203,29,FALSE)),"")</f>
        <v>HL</v>
      </c>
      <c r="AE41" s="184" t="str">
        <f>IFERROR(IF(VLOOKUP(Tue_W1[[#This Row],[Employee Name]],'Base Schedules'!$A$160:$AW$203,30,FALSE)="","",VLOOKUP(Tue_W1[[#This Row],[Employee Name]],'Base Schedules'!$A$160:$AW$203,30,FALSE)),"")</f>
        <v>B1 ADM</v>
      </c>
      <c r="AF41" s="184" t="str">
        <f>IFERROR(IF(VLOOKUP(Tue_W1[[#This Row],[Employee Name]],'Base Schedules'!$A$160:$AW$203,31,FALSE)="","",VLOOKUP(Tue_W1[[#This Row],[Employee Name]],'Base Schedules'!$A$160:$AW$203,31,FALSE)),"")</f>
        <v>ADM</v>
      </c>
      <c r="AG41" s="184" t="str">
        <f>IFERROR(IF(VLOOKUP(Tue_W1[[#This Row],[Employee Name]],'Base Schedules'!$A$160:$AW$203,32,FALSE)="","",VLOOKUP(Tue_W1[[#This Row],[Employee Name]],'Base Schedules'!$A$160:$AW$203,32,FALSE)),"")</f>
        <v>ADM</v>
      </c>
      <c r="AH41" s="184" t="str">
        <f>IFERROR(IF(VLOOKUP(Tue_W1[[#This Row],[Employee Name]],'Base Schedules'!$A$160:$AW$203,33,FALSE)="","",VLOOKUP(Tue_W1[[#This Row],[Employee Name]],'Base Schedules'!$A$160:$AW$203,33,FALSE)),"")</f>
        <v>ADM</v>
      </c>
      <c r="AI41" s="184" t="str">
        <f>IFERROR(IF(VLOOKUP(Tue_W1[[#This Row],[Employee Name]],'Base Schedules'!$A$160:$AW$203,34,FALSE)="","",VLOOKUP(Tue_W1[[#This Row],[Employee Name]],'Base Schedules'!$A$160:$AW$203,34,FALSE)),"")</f>
        <v>ADM</v>
      </c>
      <c r="AJ41" s="184" t="str">
        <f>IFERROR(IF(VLOOKUP(Tue_W1[[#This Row],[Employee Name]],'Base Schedules'!$A$160:$AW$203,35,FALSE)="","",VLOOKUP(Tue_W1[[#This Row],[Employee Name]],'Base Schedules'!$A$160:$AW$203,35,FALSE)),"")</f>
        <v>LUNCH</v>
      </c>
      <c r="AK41" s="184" t="str">
        <f>IFERROR(IF(VLOOKUP(Tue_W1[[#This Row],[Employee Name]],'Base Schedules'!$A$160:$AW$203,36,FALSE)="","",VLOOKUP(Tue_W1[[#This Row],[Employee Name]],'Base Schedules'!$A$160:$AW$203,36,FALSE)),"")</f>
        <v>HL</v>
      </c>
      <c r="AL41" s="184" t="str">
        <f>IFERROR(IF(VLOOKUP(Tue_W1[[#This Row],[Employee Name]],'Base Schedules'!$A$160:$AW$203,37,FALSE)="","",VLOOKUP(Tue_W1[[#This Row],[Employee Name]],'Base Schedules'!$A$160:$AW$203,37,FALSE)),"")</f>
        <v>HL</v>
      </c>
      <c r="AM41" s="184" t="str">
        <f>IFERROR(IF(VLOOKUP(Tue_W1[[#This Row],[Employee Name]],'Base Schedules'!$A$160:$AW$203,38,FALSE)="","",VLOOKUP(Tue_W1[[#This Row],[Employee Name]],'Base Schedules'!$A$160:$AW$203,38,FALSE)),"")</f>
        <v>HL</v>
      </c>
      <c r="AN41" s="184" t="str">
        <f>IFERROR(IF(VLOOKUP(Tue_W1[[#This Row],[Employee Name]],'Base Schedules'!$A$160:$AW$203,39,FALSE)="","",VLOOKUP(Tue_W1[[#This Row],[Employee Name]],'Base Schedules'!$A$160:$AW$203,39,FALSE)),"")</f>
        <v>HL B2</v>
      </c>
      <c r="AO41" s="184" t="str">
        <f>IFERROR(IF(VLOOKUP(Tue_W1[[#This Row],[Employee Name]],'Base Schedules'!$A$160:$AW$203,40,FALSE)="","",VLOOKUP(Tue_W1[[#This Row],[Employee Name]],'Base Schedules'!$A$160:$AW$203,40,FALSE)),"")</f>
        <v>ADM</v>
      </c>
      <c r="AP41" s="184" t="str">
        <f>IFERROR(IF(VLOOKUP(Tue_W1[[#This Row],[Employee Name]],'Base Schedules'!$A$160:$AW$203,41,FALSE)="","",VLOOKUP(Tue_W1[[#This Row],[Employee Name]],'Base Schedules'!$A$160:$AW$203,41,FALSE)),"")</f>
        <v>ADM</v>
      </c>
      <c r="AQ41" s="184" t="str">
        <f>IFERROR(IF(VLOOKUP(Tue_W1[[#This Row],[Employee Name]],'Base Schedules'!$A$160:$AW$203,42,FALSE)="","",VLOOKUP(Tue_W1[[#This Row],[Employee Name]],'Base Schedules'!$A$160:$AW$203,42,FALSE)),"")</f>
        <v>ADM</v>
      </c>
      <c r="AR41" s="184" t="str">
        <f>IFERROR(IF(VLOOKUP(Tue_W1[[#This Row],[Employee Name]],'Base Schedules'!$A$160:$AW$203,43,FALSE)="","",VLOOKUP(Tue_W1[[#This Row],[Employee Name]],'Base Schedules'!$A$160:$AW$203,43,FALSE)),"")</f>
        <v/>
      </c>
      <c r="AS41" s="184" t="str">
        <f>IFERROR(IF(VLOOKUP(Tue_W1[[#This Row],[Employee Name]],'Base Schedules'!$A$160:$AW$203,44,FALSE)="","",VLOOKUP(Tue_W1[[#This Row],[Employee Name]],'Base Schedules'!$A$160:$AW$203,44,FALSE)),"")</f>
        <v/>
      </c>
      <c r="AT41" s="184" t="str">
        <f>IFERROR(IF(VLOOKUP(Tue_W1[[#This Row],[Employee Name]],'Base Schedules'!$A$160:$AW$203,45,FALSE)="","",VLOOKUP(Tue_W1[[#This Row],[Employee Name]],'Base Schedules'!$A$160:$AW$203,45,FALSE)),"")</f>
        <v/>
      </c>
      <c r="AU41" s="184" t="str">
        <f>IFERROR(IF(VLOOKUP(Tue_W1[[#This Row],[Employee Name]],'Base Schedules'!$A$160:$AW$203,46,FALSE)="","",VLOOKUP(Tue_W1[[#This Row],[Employee Name]],'Base Schedules'!$A$160:$AW$203,46,FALSE)),"")</f>
        <v/>
      </c>
      <c r="AV41" s="184" t="str">
        <f>IFERROR(IF(VLOOKUP(Tue_W1[[#This Row],[Employee Name]],'Base Schedules'!$A$160:$AW$203,47,FALSE)="","",VLOOKUP(Tue_W1[[#This Row],[Employee Name]],'Base Schedules'!$A$160:$AW$203,47,FALSE)),"")</f>
        <v/>
      </c>
      <c r="AW41" s="184" t="str">
        <f>IFERROR(IF(VLOOKUP(Tue_W1[[#This Row],[Employee Name]],'Base Schedules'!$A$160:$AW$203,48,FALSE)="","",VLOOKUP(Tue_W1[[#This Row],[Employee Name]],'Base Schedules'!$A$160:$AW$203,48,FALSE)),"")</f>
        <v/>
      </c>
      <c r="AX41" s="184" t="str">
        <f>IFERROR(IF(VLOOKUP(Tue_W1[[#This Row],[Employee Name]],'Base Schedules'!$A$160:$AW$203,49,FALSE)="","",VLOOKUP(Tue_W1[[#This Row],[Employee Name]],'Base Schedules'!$A$160:$AW$203,49,FALSE)),"")</f>
        <v/>
      </c>
      <c r="AY41" s="164" t="str">
        <f t="shared" si="2"/>
        <v>Harris, Austin</v>
      </c>
    </row>
    <row r="42" spans="1:51" s="44" customFormat="1" ht="12" x14ac:dyDescent="0.2">
      <c r="A42" s="39" t="str">
        <f>IF(B42="","",INDEX(TeamList[],MATCH($B42,TeamList[[Employee Name]:[Employee Name]],0),MATCH("Manager",TeamList[#Headers],0)))</f>
        <v>Olson, Katherine</v>
      </c>
      <c r="B42" s="201" t="s">
        <v>45</v>
      </c>
      <c r="C42" s="257" t="str">
        <f>_xlfn.IFNA(VLOOKUP(Tue_W1[[#This Row],[Employee Name]],'Base Schedules'!A:B,2,FALSE),"")</f>
        <v>Supervisor</v>
      </c>
      <c r="D42" s="274">
        <f>_xlfn.IFNA(VLOOKUP(Tue_W1[[#This Row],[Employee Name]],'Base Schedules'!A:C,3,FALSE),"")</f>
        <v>1400</v>
      </c>
      <c r="E42" s="274">
        <f>_xlfn.IFNA(VLOOKUP(Tue_W1[[#This Row],[Employee Name]],'Base Schedules'!A:D,4,FALSE),"")</f>
        <v>100</v>
      </c>
      <c r="F42" s="142">
        <f>IF(Tue_W1[[#This Row],[Employee Name]]="","",IF(Tue_W1[[#This Row],[Dept]]="Supervisor",COUNTIFS($J42:$AX42,"*HL*",$J42:$AX42,"&lt;&gt;"&amp;"pHL"),COUNTIFS($J42:$AX42,"*HL*",$J42:$AX42,"&lt;&gt;"&amp;"*pHL*",$J42:$AX42,"&lt;&gt;"&amp;"pB1 HL",$J42:$AX42,"&lt;&gt;"&amp;"pB2 HL")-SUM(COUNTIFS($J42:$AX42,"*HL B1*",$J42:$AX42,"&lt;&gt;"&amp;"pHL B1")*0.5,COUNTIFS($J42:$AX42,"*HL B2*",$J42:$AX42,"&lt;&gt;"&amp;"pHL B2")*0.5,COUNTIFS($J42:$AX42,"*B1 HL*",$J42:$AX42,"&lt;&gt;"&amp;"pB1 HL")*0.5,COUNTIFS($J42:$AX42,"*B2 HL*",$J42:$AX42,"&lt;&gt;"&amp;"pB2 HL")*0.5)))</f>
        <v>0</v>
      </c>
      <c r="G42" s="142">
        <f t="shared" si="0"/>
        <v>6</v>
      </c>
      <c r="H42" s="142">
        <f t="shared" si="1"/>
        <v>0</v>
      </c>
      <c r="I42" s="142">
        <f>IF(Tue_W1[[#This Row],[Employee Name]]="","",IF(Tue_W1[[#This Row],[Dept]]="Supervisor",SUM(COUNTIFS($J42:$AX42,"RTA*",$J42:$AX42,"&lt;&gt;"&amp;"pRTA"),COUNTIFS($J42:$AX42,"*CRTA*",$J42:$AX42,"&lt;&gt;"&amp;"pCRTA")),COUNTIFS($J42:$AX42,"*RNNR*",$J42:$AX42,"&lt;&gt;"&amp;"*pRNNR*",$J42:$AX42,"&lt;&gt;"&amp;"pB1 RNNR",$J42:$AX42,"&lt;&gt;"&amp;"pB2 RNNR")-SUM(COUNTIFS($J42:$AX42,"*RNNR B1*",$J42:$AX42,"&lt;&gt;"&amp;"pRNNR B1")*0.5,COUNTIFS($J42:$AX42,"*RNNR B2*",$J42:$AX42,"&lt;&gt;"&amp;"pRNNR B2")*0.5,COUNTIFS($J42:$AX42,"*B1 RNNR*",$J42:$AX42,"&lt;&gt;"&amp;"pB1 RNNR")*0.5,COUNTIFS($J42:$AX42,"*B2 RNNR*",$J42:$AX42,"&lt;&gt;"&amp;"pB2 RNNR")*0.5)))</f>
        <v>0</v>
      </c>
      <c r="J42" s="184" t="str">
        <f>IFERROR(IF(VLOOKUP(Tue_W1[[#This Row],[Employee Name]],'Base Schedules'!$A$160:$AW$203,9,FALSE)="","",VLOOKUP(Tue_W1[[#This Row],[Employee Name]],'Base Schedules'!$A$160:$AW$203,9,FALSE)),"")</f>
        <v/>
      </c>
      <c r="K42" s="184" t="str">
        <f>IFERROR(IF(VLOOKUP(Tue_W1[[#This Row],[Employee Name]],'Base Schedules'!$A$160:$AW$203,10,FALSE)="","",VLOOKUP(Tue_W1[[#This Row],[Employee Name]],'Base Schedules'!$A$160:$AW$203,10,FALSE)),"")</f>
        <v/>
      </c>
      <c r="L42" s="184" t="str">
        <f>IFERROR(IF(VLOOKUP(Tue_W1[[#This Row],[Employee Name]],'Base Schedules'!$A$160:$AW$203,11,FALSE)="","",VLOOKUP(Tue_W1[[#This Row],[Employee Name]],'Base Schedules'!$A$160:$AW$203,11,FALSE)),"")</f>
        <v/>
      </c>
      <c r="M42" s="184" t="str">
        <f>IFERROR(IF(VLOOKUP(Tue_W1[[#This Row],[Employee Name]],'Base Schedules'!$A$160:$AW$203,12,FALSE)="","",VLOOKUP(Tue_W1[[#This Row],[Employee Name]],'Base Schedules'!$A$160:$AW$203,12,FALSE)),"")</f>
        <v/>
      </c>
      <c r="N42" s="184" t="str">
        <f>IFERROR(IF(VLOOKUP(Tue_W1[[#This Row],[Employee Name]],'Base Schedules'!$A$160:$AW$203,13,FALSE)="","",VLOOKUP(Tue_W1[[#This Row],[Employee Name]],'Base Schedules'!$A$160:$AW$203,13,FALSE)),"")</f>
        <v/>
      </c>
      <c r="O42" s="184" t="str">
        <f>IFERROR(IF(VLOOKUP(Tue_W1[[#This Row],[Employee Name]],'Base Schedules'!$A$160:$AW$203,14,FALSE)="","",VLOOKUP(Tue_W1[[#This Row],[Employee Name]],'Base Schedules'!$A$160:$AW$203,14,FALSE)),"")</f>
        <v/>
      </c>
      <c r="P42" s="184" t="str">
        <f>IFERROR(IF(VLOOKUP(Tue_W1[[#This Row],[Employee Name]],'Base Schedules'!$A$160:$AW$203,15,FALSE)="","",VLOOKUP(Tue_W1[[#This Row],[Employee Name]],'Base Schedules'!$A$160:$AW$203,15,FALSE)),"")</f>
        <v/>
      </c>
      <c r="Q42" s="184" t="str">
        <f>IFERROR(IF(VLOOKUP(Tue_W1[[#This Row],[Employee Name]],'Base Schedules'!$A$160:$AW$203,16,FALSE)="","",VLOOKUP(Tue_W1[[#This Row],[Employee Name]],'Base Schedules'!$A$160:$AW$203,16,FALSE)),"")</f>
        <v/>
      </c>
      <c r="R42" s="184" t="str">
        <f>IFERROR(IF(VLOOKUP(Tue_W1[[#This Row],[Employee Name]],'Base Schedules'!$A$160:$AW$203,17,FALSE)="","",VLOOKUP(Tue_W1[[#This Row],[Employee Name]],'Base Schedules'!$A$160:$AW$203,17,FALSE)),"")</f>
        <v/>
      </c>
      <c r="S42" s="184" t="str">
        <f>IFERROR(IF(VLOOKUP(Tue_W1[[#This Row],[Employee Name]],'Base Schedules'!$A$160:$AW$203,18,FALSE)="","",VLOOKUP(Tue_W1[[#This Row],[Employee Name]],'Base Schedules'!$A$160:$AW$203,18,FALSE)),"")</f>
        <v/>
      </c>
      <c r="T42" s="184" t="str">
        <f>IFERROR(IF(VLOOKUP(Tue_W1[[#This Row],[Employee Name]],'Base Schedules'!$A$160:$AW$203,19,FALSE)="","",VLOOKUP(Tue_W1[[#This Row],[Employee Name]],'Base Schedules'!$A$160:$AW$203,19,FALSE)),"")</f>
        <v/>
      </c>
      <c r="U42" s="184" t="str">
        <f>IFERROR(IF(VLOOKUP(Tue_W1[[#This Row],[Employee Name]],'Base Schedules'!$A$160:$AW$203,20,FALSE)="","",VLOOKUP(Tue_W1[[#This Row],[Employee Name]],'Base Schedules'!$A$160:$AW$203,20,FALSE)),"")</f>
        <v/>
      </c>
      <c r="V42" s="184" t="str">
        <f>IFERROR(IF(VLOOKUP(Tue_W1[[#This Row],[Employee Name]],'Base Schedules'!$A$160:$AW$203,21,FALSE)="","",VLOOKUP(Tue_W1[[#This Row],[Employee Name]],'Base Schedules'!$A$160:$AW$203,21,FALSE)),"")</f>
        <v/>
      </c>
      <c r="W42" s="184" t="str">
        <f>IFERROR(IF(VLOOKUP(Tue_W1[[#This Row],[Employee Name]],'Base Schedules'!$A$160:$AW$203,22,FALSE)="","",VLOOKUP(Tue_W1[[#This Row],[Employee Name]],'Base Schedules'!$A$160:$AW$203,22,FALSE)),"")</f>
        <v/>
      </c>
      <c r="X42" s="184" t="str">
        <f>IFERROR(IF(VLOOKUP(Tue_W1[[#This Row],[Employee Name]],'Base Schedules'!$A$160:$AW$203,23,FALSE)="","",VLOOKUP(Tue_W1[[#This Row],[Employee Name]],'Base Schedules'!$A$160:$AW$203,23,FALSE)),"")</f>
        <v/>
      </c>
      <c r="Y42" s="184" t="str">
        <f>IFERROR(IF(VLOOKUP(Tue_W1[[#This Row],[Employee Name]],'Base Schedules'!$A$160:$AW$203,24,FALSE)="","",VLOOKUP(Tue_W1[[#This Row],[Employee Name]],'Base Schedules'!$A$160:$AW$203,24,FALSE)),"")</f>
        <v/>
      </c>
      <c r="Z42" s="184" t="str">
        <f>IFERROR(IF(VLOOKUP(Tue_W1[[#This Row],[Employee Name]],'Base Schedules'!$A$160:$AW$203,25,FALSE)="","",VLOOKUP(Tue_W1[[#This Row],[Employee Name]],'Base Schedules'!$A$160:$AW$203,25,FALSE)),"")</f>
        <v/>
      </c>
      <c r="AA42" s="184" t="str">
        <f>IFERROR(IF(VLOOKUP(Tue_W1[[#This Row],[Employee Name]],'Base Schedules'!$A$160:$AW$203,26,FALSE)="","",VLOOKUP(Tue_W1[[#This Row],[Employee Name]],'Base Schedules'!$A$160:$AW$203,26,FALSE)),"")</f>
        <v/>
      </c>
      <c r="AB42" s="184" t="str">
        <f>IFERROR(IF(VLOOKUP(Tue_W1[[#This Row],[Employee Name]],'Base Schedules'!$A$160:$AW$203,27,FALSE)="","",VLOOKUP(Tue_W1[[#This Row],[Employee Name]],'Base Schedules'!$A$160:$AW$203,27,FALSE)),"")</f>
        <v>-</v>
      </c>
      <c r="AC42" s="184" t="str">
        <f>IFERROR(IF(VLOOKUP(Tue_W1[[#This Row],[Employee Name]],'Base Schedules'!$A$160:$AW$203,28,FALSE)="","",VLOOKUP(Tue_W1[[#This Row],[Employee Name]],'Base Schedules'!$A$160:$AW$203,28,FALSE)),"")</f>
        <v>-</v>
      </c>
      <c r="AD42" s="184" t="str">
        <f>IFERROR(IF(VLOOKUP(Tue_W1[[#This Row],[Employee Name]],'Base Schedules'!$A$160:$AW$203,29,FALSE)="","",VLOOKUP(Tue_W1[[#This Row],[Employee Name]],'Base Schedules'!$A$160:$AW$203,29,FALSE)),"")</f>
        <v>-</v>
      </c>
      <c r="AE42" s="184" t="str">
        <f>IFERROR(IF(VLOOKUP(Tue_W1[[#This Row],[Employee Name]],'Base Schedules'!$A$160:$AW$203,30,FALSE)="","",VLOOKUP(Tue_W1[[#This Row],[Employee Name]],'Base Schedules'!$A$160:$AW$203,30,FALSE)),"")</f>
        <v>Coaching</v>
      </c>
      <c r="AF42" s="184" t="str">
        <f>IFERROR(IF(VLOOKUP(Tue_W1[[#This Row],[Employee Name]],'Base Schedules'!$A$160:$AW$203,31,FALSE)="","",VLOOKUP(Tue_W1[[#This Row],[Employee Name]],'Base Schedules'!$A$160:$AW$203,31,FALSE)),"")</f>
        <v>Coaching</v>
      </c>
      <c r="AG42" s="184" t="str">
        <f>IFERROR(IF(VLOOKUP(Tue_W1[[#This Row],[Employee Name]],'Base Schedules'!$A$160:$AW$203,32,FALSE)="","",VLOOKUP(Tue_W1[[#This Row],[Employee Name]],'Base Schedules'!$A$160:$AW$203,32,FALSE)),"")</f>
        <v>-</v>
      </c>
      <c r="AH42" s="184" t="str">
        <f>IFERROR(IF(VLOOKUP(Tue_W1[[#This Row],[Employee Name]],'Base Schedules'!$A$160:$AW$203,33,FALSE)="","",VLOOKUP(Tue_W1[[#This Row],[Employee Name]],'Base Schedules'!$A$160:$AW$203,33,FALSE)),"")</f>
        <v>Interview</v>
      </c>
      <c r="AI42" s="184" t="str">
        <f>IFERROR(IF(VLOOKUP(Tue_W1[[#This Row],[Employee Name]],'Base Schedules'!$A$160:$AW$203,34,FALSE)="","",VLOOKUP(Tue_W1[[#This Row],[Employee Name]],'Base Schedules'!$A$160:$AW$203,34,FALSE)),"")</f>
        <v>Interview</v>
      </c>
      <c r="AJ42" s="184" t="str">
        <f>IFERROR(IF(VLOOKUP(Tue_W1[[#This Row],[Employee Name]],'Base Schedules'!$A$160:$AW$203,35,FALSE)="","",VLOOKUP(Tue_W1[[#This Row],[Employee Name]],'Base Schedules'!$A$160:$AW$203,35,FALSE)),"")</f>
        <v>-</v>
      </c>
      <c r="AK42" s="184" t="str">
        <f>IFERROR(IF(VLOOKUP(Tue_W1[[#This Row],[Employee Name]],'Base Schedules'!$A$160:$AW$203,36,FALSE)="","",VLOOKUP(Tue_W1[[#This Row],[Employee Name]],'Base Schedules'!$A$160:$AW$203,36,FALSE)),"")</f>
        <v>-</v>
      </c>
      <c r="AL42" s="184" t="str">
        <f>IFERROR(IF(VLOOKUP(Tue_W1[[#This Row],[Employee Name]],'Base Schedules'!$A$160:$AW$203,37,FALSE)="","",VLOOKUP(Tue_W1[[#This Row],[Employee Name]],'Base Schedules'!$A$160:$AW$203,37,FALSE)),"")</f>
        <v>-</v>
      </c>
      <c r="AM42" s="184" t="str">
        <f>IFERROR(IF(VLOOKUP(Tue_W1[[#This Row],[Employee Name]],'Base Schedules'!$A$160:$AW$203,38,FALSE)="","",VLOOKUP(Tue_W1[[#This Row],[Employee Name]],'Base Schedules'!$A$160:$AW$203,38,FALSE)),"")</f>
        <v>-</v>
      </c>
      <c r="AN42" s="184" t="str">
        <f>IFERROR(IF(VLOOKUP(Tue_W1[[#This Row],[Employee Name]],'Base Schedules'!$A$160:$AW$203,39,FALSE)="","",VLOOKUP(Tue_W1[[#This Row],[Employee Name]],'Base Schedules'!$A$160:$AW$203,39,FALSE)),"")</f>
        <v>Coaching</v>
      </c>
      <c r="AO42" s="184" t="str">
        <f>IFERROR(IF(VLOOKUP(Tue_W1[[#This Row],[Employee Name]],'Base Schedules'!$A$160:$AW$203,40,FALSE)="","",VLOOKUP(Tue_W1[[#This Row],[Employee Name]],'Base Schedules'!$A$160:$AW$203,40,FALSE)),"")</f>
        <v>Coaching</v>
      </c>
      <c r="AP42" s="184" t="str">
        <f>IFERROR(IF(VLOOKUP(Tue_W1[[#This Row],[Employee Name]],'Base Schedules'!$A$160:$AW$203,41,FALSE)="","",VLOOKUP(Tue_W1[[#This Row],[Employee Name]],'Base Schedules'!$A$160:$AW$203,41,FALSE)),"")</f>
        <v>Coaching</v>
      </c>
      <c r="AQ42" s="184" t="str">
        <f>IFERROR(IF(VLOOKUP(Tue_W1[[#This Row],[Employee Name]],'Base Schedules'!$A$160:$AW$203,42,FALSE)="","",VLOOKUP(Tue_W1[[#This Row],[Employee Name]],'Base Schedules'!$A$160:$AW$203,42,FALSE)),"")</f>
        <v>Coaching</v>
      </c>
      <c r="AR42" s="184" t="str">
        <f>IFERROR(IF(VLOOKUP(Tue_W1[[#This Row],[Employee Name]],'Base Schedules'!$A$160:$AW$203,43,FALSE)="","",VLOOKUP(Tue_W1[[#This Row],[Employee Name]],'Base Schedules'!$A$160:$AW$203,43,FALSE)),"")</f>
        <v>-</v>
      </c>
      <c r="AS42" s="184" t="str">
        <f>IFERROR(IF(VLOOKUP(Tue_W1[[#This Row],[Employee Name]],'Base Schedules'!$A$160:$AW$203,44,FALSE)="","",VLOOKUP(Tue_W1[[#This Row],[Employee Name]],'Base Schedules'!$A$160:$AW$203,44,FALSE)),"")</f>
        <v>-</v>
      </c>
      <c r="AT42" s="184" t="str">
        <f>IFERROR(IF(VLOOKUP(Tue_W1[[#This Row],[Employee Name]],'Base Schedules'!$A$160:$AW$203,45,FALSE)="","",VLOOKUP(Tue_W1[[#This Row],[Employee Name]],'Base Schedules'!$A$160:$AW$203,45,FALSE)),"")</f>
        <v>-</v>
      </c>
      <c r="AU42" s="184" t="str">
        <f>IFERROR(IF(VLOOKUP(Tue_W1[[#This Row],[Employee Name]],'Base Schedules'!$A$160:$AW$203,46,FALSE)="","",VLOOKUP(Tue_W1[[#This Row],[Employee Name]],'Base Schedules'!$A$160:$AW$203,46,FALSE)),"")</f>
        <v>-</v>
      </c>
      <c r="AV42" s="184" t="str">
        <f>IFERROR(IF(VLOOKUP(Tue_W1[[#This Row],[Employee Name]],'Base Schedules'!$A$160:$AW$203,47,FALSE)="","",VLOOKUP(Tue_W1[[#This Row],[Employee Name]],'Base Schedules'!$A$160:$AW$203,47,FALSE)),"")</f>
        <v>-</v>
      </c>
      <c r="AW42" s="184" t="str">
        <f>IFERROR(IF(VLOOKUP(Tue_W1[[#This Row],[Employee Name]],'Base Schedules'!$A$160:$AW$203,48,FALSE)="","",VLOOKUP(Tue_W1[[#This Row],[Employee Name]],'Base Schedules'!$A$160:$AW$203,48,FALSE)),"")</f>
        <v>-</v>
      </c>
      <c r="AX42" s="184" t="str">
        <f>IFERROR(IF(VLOOKUP(Tue_W1[[#This Row],[Employee Name]],'Base Schedules'!$A$160:$AW$203,49,FALSE)="","",VLOOKUP(Tue_W1[[#This Row],[Employee Name]],'Base Schedules'!$A$160:$AW$203,49,FALSE)),"")</f>
        <v/>
      </c>
      <c r="AY42" s="164" t="str">
        <f t="shared" si="2"/>
        <v>McLean, Neva</v>
      </c>
    </row>
    <row r="43" spans="1:51" s="44" customFormat="1" ht="12" x14ac:dyDescent="0.2">
      <c r="A43" s="39" t="str">
        <f>IF(B43="","",INDEX(TeamList[],MATCH($B43,TeamList[[Employee Name]:[Employee Name]],0),MATCH("Manager",TeamList[#Headers],0)))</f>
        <v>Ahmed Hassan, Zahra</v>
      </c>
      <c r="B43" s="201" t="s">
        <v>245</v>
      </c>
      <c r="C43" s="257" t="str">
        <f>_xlfn.IFNA(VLOOKUP(Tue_W1[[#This Row],[Employee Name]],'Base Schedules'!A:B,2,FALSE),"")</f>
        <v>Supervisor</v>
      </c>
      <c r="D43" s="274">
        <f>_xlfn.IFNA(VLOOKUP(Tue_W1[[#This Row],[Employee Name]],'Base Schedules'!A:C,3,FALSE),"")</f>
        <v>1400</v>
      </c>
      <c r="E43" s="274">
        <f>_xlfn.IFNA(VLOOKUP(Tue_W1[[#This Row],[Employee Name]],'Base Schedules'!A:D,4,FALSE),"")</f>
        <v>100</v>
      </c>
      <c r="F43" s="142">
        <f>IF(Tue_W1[[#This Row],[Employee Name]]="","",IF(Tue_W1[[#This Row],[Dept]]="Supervisor",COUNTIFS($J43:$AX43,"*HL*",$J43:$AX43,"&lt;&gt;"&amp;"pHL"),COUNTIFS($J43:$AX43,"*HL*",$J43:$AX43,"&lt;&gt;"&amp;"*pHL*",$J43:$AX43,"&lt;&gt;"&amp;"pB1 HL",$J43:$AX43,"&lt;&gt;"&amp;"pB2 HL")-SUM(COUNTIFS($J43:$AX43,"*HL B1*",$J43:$AX43,"&lt;&gt;"&amp;"pHL B1")*0.5,COUNTIFS($J43:$AX43,"*HL B2*",$J43:$AX43,"&lt;&gt;"&amp;"pHL B2")*0.5,COUNTIFS($J43:$AX43,"*B1 HL*",$J43:$AX43,"&lt;&gt;"&amp;"pB1 HL")*0.5,COUNTIFS($J43:$AX43,"*B2 HL*",$J43:$AX43,"&lt;&gt;"&amp;"pB2 HL")*0.5)))</f>
        <v>0</v>
      </c>
      <c r="G43" s="142">
        <f t="shared" si="0"/>
        <v>4</v>
      </c>
      <c r="H43" s="142">
        <f t="shared" si="1"/>
        <v>0</v>
      </c>
      <c r="I43" s="142">
        <f>IF(Tue_W1[[#This Row],[Employee Name]]="","",IF(Tue_W1[[#This Row],[Dept]]="Supervisor",SUM(COUNTIFS($J43:$AX43,"RTA*",$J43:$AX43,"&lt;&gt;"&amp;"pRTA"),COUNTIFS($J43:$AX43,"*CRTA*",$J43:$AX43,"&lt;&gt;"&amp;"pCRTA")),COUNTIFS($J43:$AX43,"*RNNR*",$J43:$AX43,"&lt;&gt;"&amp;"*pRNNR*",$J43:$AX43,"&lt;&gt;"&amp;"pB1 RNNR",$J43:$AX43,"&lt;&gt;"&amp;"pB2 RNNR")-SUM(COUNTIFS($J43:$AX43,"*RNNR B1*",$J43:$AX43,"&lt;&gt;"&amp;"pRNNR B1")*0.5,COUNTIFS($J43:$AX43,"*RNNR B2*",$J43:$AX43,"&lt;&gt;"&amp;"pRNNR B2")*0.5,COUNTIFS($J43:$AX43,"*B1 RNNR*",$J43:$AX43,"&lt;&gt;"&amp;"pB1 RNNR")*0.5,COUNTIFS($J43:$AX43,"*B2 RNNR*",$J43:$AX43,"&lt;&gt;"&amp;"pB2 RNNR")*0.5)))</f>
        <v>0</v>
      </c>
      <c r="J43" s="184" t="str">
        <f>IFERROR(IF(VLOOKUP(Tue_W1[[#This Row],[Employee Name]],'Base Schedules'!$A$160:$AW$203,9,FALSE)="","",VLOOKUP(Tue_W1[[#This Row],[Employee Name]],'Base Schedules'!$A$160:$AW$203,9,FALSE)),"")</f>
        <v/>
      </c>
      <c r="K43" s="184" t="str">
        <f>IFERROR(IF(VLOOKUP(Tue_W1[[#This Row],[Employee Name]],'Base Schedules'!$A$160:$AW$203,10,FALSE)="","",VLOOKUP(Tue_W1[[#This Row],[Employee Name]],'Base Schedules'!$A$160:$AW$203,10,FALSE)),"")</f>
        <v/>
      </c>
      <c r="L43" s="184" t="str">
        <f>IFERROR(IF(VLOOKUP(Tue_W1[[#This Row],[Employee Name]],'Base Schedules'!$A$160:$AW$203,11,FALSE)="","",VLOOKUP(Tue_W1[[#This Row],[Employee Name]],'Base Schedules'!$A$160:$AW$203,11,FALSE)),"")</f>
        <v/>
      </c>
      <c r="M43" s="184" t="str">
        <f>IFERROR(IF(VLOOKUP(Tue_W1[[#This Row],[Employee Name]],'Base Schedules'!$A$160:$AW$203,12,FALSE)="","",VLOOKUP(Tue_W1[[#This Row],[Employee Name]],'Base Schedules'!$A$160:$AW$203,12,FALSE)),"")</f>
        <v/>
      </c>
      <c r="N43" s="184" t="str">
        <f>IFERROR(IF(VLOOKUP(Tue_W1[[#This Row],[Employee Name]],'Base Schedules'!$A$160:$AW$203,13,FALSE)="","",VLOOKUP(Tue_W1[[#This Row],[Employee Name]],'Base Schedules'!$A$160:$AW$203,13,FALSE)),"")</f>
        <v/>
      </c>
      <c r="O43" s="184" t="str">
        <f>IFERROR(IF(VLOOKUP(Tue_W1[[#This Row],[Employee Name]],'Base Schedules'!$A$160:$AW$203,14,FALSE)="","",VLOOKUP(Tue_W1[[#This Row],[Employee Name]],'Base Schedules'!$A$160:$AW$203,14,FALSE)),"")</f>
        <v/>
      </c>
      <c r="P43" s="184" t="str">
        <f>IFERROR(IF(VLOOKUP(Tue_W1[[#This Row],[Employee Name]],'Base Schedules'!$A$160:$AW$203,15,FALSE)="","",VLOOKUP(Tue_W1[[#This Row],[Employee Name]],'Base Schedules'!$A$160:$AW$203,15,FALSE)),"")</f>
        <v/>
      </c>
      <c r="Q43" s="184" t="str">
        <f>IFERROR(IF(VLOOKUP(Tue_W1[[#This Row],[Employee Name]],'Base Schedules'!$A$160:$AW$203,16,FALSE)="","",VLOOKUP(Tue_W1[[#This Row],[Employee Name]],'Base Schedules'!$A$160:$AW$203,16,FALSE)),"")</f>
        <v/>
      </c>
      <c r="R43" s="184" t="str">
        <f>IFERROR(IF(VLOOKUP(Tue_W1[[#This Row],[Employee Name]],'Base Schedules'!$A$160:$AW$203,17,FALSE)="","",VLOOKUP(Tue_W1[[#This Row],[Employee Name]],'Base Schedules'!$A$160:$AW$203,17,FALSE)),"")</f>
        <v/>
      </c>
      <c r="S43" s="184" t="str">
        <f>IFERROR(IF(VLOOKUP(Tue_W1[[#This Row],[Employee Name]],'Base Schedules'!$A$160:$AW$203,18,FALSE)="","",VLOOKUP(Tue_W1[[#This Row],[Employee Name]],'Base Schedules'!$A$160:$AW$203,18,FALSE)),"")</f>
        <v/>
      </c>
      <c r="T43" s="184" t="str">
        <f>IFERROR(IF(VLOOKUP(Tue_W1[[#This Row],[Employee Name]],'Base Schedules'!$A$160:$AW$203,19,FALSE)="","",VLOOKUP(Tue_W1[[#This Row],[Employee Name]],'Base Schedules'!$A$160:$AW$203,19,FALSE)),"")</f>
        <v/>
      </c>
      <c r="U43" s="184" t="str">
        <f>IFERROR(IF(VLOOKUP(Tue_W1[[#This Row],[Employee Name]],'Base Schedules'!$A$160:$AW$203,20,FALSE)="","",VLOOKUP(Tue_W1[[#This Row],[Employee Name]],'Base Schedules'!$A$160:$AW$203,20,FALSE)),"")</f>
        <v/>
      </c>
      <c r="V43" s="184" t="str">
        <f>IFERROR(IF(VLOOKUP(Tue_W1[[#This Row],[Employee Name]],'Base Schedules'!$A$160:$AW$203,21,FALSE)="","",VLOOKUP(Tue_W1[[#This Row],[Employee Name]],'Base Schedules'!$A$160:$AW$203,21,FALSE)),"")</f>
        <v/>
      </c>
      <c r="W43" s="184" t="str">
        <f>IFERROR(IF(VLOOKUP(Tue_W1[[#This Row],[Employee Name]],'Base Schedules'!$A$160:$AW$203,22,FALSE)="","",VLOOKUP(Tue_W1[[#This Row],[Employee Name]],'Base Schedules'!$A$160:$AW$203,22,FALSE)),"")</f>
        <v/>
      </c>
      <c r="X43" s="184" t="str">
        <f>IFERROR(IF(VLOOKUP(Tue_W1[[#This Row],[Employee Name]],'Base Schedules'!$A$160:$AW$203,23,FALSE)="","",VLOOKUP(Tue_W1[[#This Row],[Employee Name]],'Base Schedules'!$A$160:$AW$203,23,FALSE)),"")</f>
        <v/>
      </c>
      <c r="Y43" s="184" t="str">
        <f>IFERROR(IF(VLOOKUP(Tue_W1[[#This Row],[Employee Name]],'Base Schedules'!$A$160:$AW$203,24,FALSE)="","",VLOOKUP(Tue_W1[[#This Row],[Employee Name]],'Base Schedules'!$A$160:$AW$203,24,FALSE)),"")</f>
        <v/>
      </c>
      <c r="Z43" s="184" t="str">
        <f>IFERROR(IF(VLOOKUP(Tue_W1[[#This Row],[Employee Name]],'Base Schedules'!$A$160:$AW$203,25,FALSE)="","",VLOOKUP(Tue_W1[[#This Row],[Employee Name]],'Base Schedules'!$A$160:$AW$203,25,FALSE)),"")</f>
        <v/>
      </c>
      <c r="AA43" s="184" t="str">
        <f>IFERROR(IF(VLOOKUP(Tue_W1[[#This Row],[Employee Name]],'Base Schedules'!$A$160:$AW$203,26,FALSE)="","",VLOOKUP(Tue_W1[[#This Row],[Employee Name]],'Base Schedules'!$A$160:$AW$203,26,FALSE)),"")</f>
        <v/>
      </c>
      <c r="AB43" s="184" t="str">
        <f>IFERROR(IF(VLOOKUP(Tue_W1[[#This Row],[Employee Name]],'Base Schedules'!$A$160:$AW$203,27,FALSE)="","",VLOOKUP(Tue_W1[[#This Row],[Employee Name]],'Base Schedules'!$A$160:$AW$203,27,FALSE)),"")</f>
        <v>-</v>
      </c>
      <c r="AC43" s="184" t="str">
        <f>IFERROR(IF(VLOOKUP(Tue_W1[[#This Row],[Employee Name]],'Base Schedules'!$A$160:$AW$203,28,FALSE)="","",VLOOKUP(Tue_W1[[#This Row],[Employee Name]],'Base Schedules'!$A$160:$AW$203,28,FALSE)),"")</f>
        <v>-</v>
      </c>
      <c r="AD43" s="184" t="str">
        <f>IFERROR(IF(VLOOKUP(Tue_W1[[#This Row],[Employee Name]],'Base Schedules'!$A$160:$AW$203,29,FALSE)="","",VLOOKUP(Tue_W1[[#This Row],[Employee Name]],'Base Schedules'!$A$160:$AW$203,29,FALSE)),"")</f>
        <v>-</v>
      </c>
      <c r="AE43" s="184" t="str">
        <f>IFERROR(IF(VLOOKUP(Tue_W1[[#This Row],[Employee Name]],'Base Schedules'!$A$160:$AW$203,30,FALSE)="","",VLOOKUP(Tue_W1[[#This Row],[Employee Name]],'Base Schedules'!$A$160:$AW$203,30,FALSE)),"")</f>
        <v>-</v>
      </c>
      <c r="AF43" s="184" t="str">
        <f>IFERROR(IF(VLOOKUP(Tue_W1[[#This Row],[Employee Name]],'Base Schedules'!$A$160:$AW$203,31,FALSE)="","",VLOOKUP(Tue_W1[[#This Row],[Employee Name]],'Base Schedules'!$A$160:$AW$203,31,FALSE)),"")</f>
        <v>Interview</v>
      </c>
      <c r="AG43" s="184" t="str">
        <f>IFERROR(IF(VLOOKUP(Tue_W1[[#This Row],[Employee Name]],'Base Schedules'!$A$160:$AW$203,32,FALSE)="","",VLOOKUP(Tue_W1[[#This Row],[Employee Name]],'Base Schedules'!$A$160:$AW$203,32,FALSE)),"")</f>
        <v>Interview</v>
      </c>
      <c r="AH43" s="184" t="str">
        <f>IFERROR(IF(VLOOKUP(Tue_W1[[#This Row],[Employee Name]],'Base Schedules'!$A$160:$AW$203,33,FALSE)="","",VLOOKUP(Tue_W1[[#This Row],[Employee Name]],'Base Schedules'!$A$160:$AW$203,33,FALSE)),"")</f>
        <v>-</v>
      </c>
      <c r="AI43" s="184" t="str">
        <f>IFERROR(IF(VLOOKUP(Tue_W1[[#This Row],[Employee Name]],'Base Schedules'!$A$160:$AW$203,34,FALSE)="","",VLOOKUP(Tue_W1[[#This Row],[Employee Name]],'Base Schedules'!$A$160:$AW$203,34,FALSE)),"")</f>
        <v>-</v>
      </c>
      <c r="AJ43" s="184" t="str">
        <f>IFERROR(IF(VLOOKUP(Tue_W1[[#This Row],[Employee Name]],'Base Schedules'!$A$160:$AW$203,35,FALSE)="","",VLOOKUP(Tue_W1[[#This Row],[Employee Name]],'Base Schedules'!$A$160:$AW$203,35,FALSE)),"")</f>
        <v>Coaching</v>
      </c>
      <c r="AK43" s="184" t="str">
        <f>IFERROR(IF(VLOOKUP(Tue_W1[[#This Row],[Employee Name]],'Base Schedules'!$A$160:$AW$203,36,FALSE)="","",VLOOKUP(Tue_W1[[#This Row],[Employee Name]],'Base Schedules'!$A$160:$AW$203,36,FALSE)),"")</f>
        <v>Coaching</v>
      </c>
      <c r="AL43" s="184" t="str">
        <f>IFERROR(IF(VLOOKUP(Tue_W1[[#This Row],[Employee Name]],'Base Schedules'!$A$160:$AW$203,37,FALSE)="","",VLOOKUP(Tue_W1[[#This Row],[Employee Name]],'Base Schedules'!$A$160:$AW$203,37,FALSE)),"")</f>
        <v>Coaching</v>
      </c>
      <c r="AM43" s="184" t="str">
        <f>IFERROR(IF(VLOOKUP(Tue_W1[[#This Row],[Employee Name]],'Base Schedules'!$A$160:$AW$203,38,FALSE)="","",VLOOKUP(Tue_W1[[#This Row],[Employee Name]],'Base Schedules'!$A$160:$AW$203,38,FALSE)),"")</f>
        <v>Coaching</v>
      </c>
      <c r="AN43" s="184" t="str">
        <f>IFERROR(IF(VLOOKUP(Tue_W1[[#This Row],[Employee Name]],'Base Schedules'!$A$160:$AW$203,39,FALSE)="","",VLOOKUP(Tue_W1[[#This Row],[Employee Name]],'Base Schedules'!$A$160:$AW$203,39,FALSE)),"")</f>
        <v>-</v>
      </c>
      <c r="AO43" s="184" t="str">
        <f>IFERROR(IF(VLOOKUP(Tue_W1[[#This Row],[Employee Name]],'Base Schedules'!$A$160:$AW$203,40,FALSE)="","",VLOOKUP(Tue_W1[[#This Row],[Employee Name]],'Base Schedules'!$A$160:$AW$203,40,FALSE)),"")</f>
        <v>-</v>
      </c>
      <c r="AP43" s="184" t="str">
        <f>IFERROR(IF(VLOOKUP(Tue_W1[[#This Row],[Employee Name]],'Base Schedules'!$A$160:$AW$203,41,FALSE)="","",VLOOKUP(Tue_W1[[#This Row],[Employee Name]],'Base Schedules'!$A$160:$AW$203,41,FALSE)),"")</f>
        <v>-</v>
      </c>
      <c r="AQ43" s="184" t="str">
        <f>IFERROR(IF(VLOOKUP(Tue_W1[[#This Row],[Employee Name]],'Base Schedules'!$A$160:$AW$203,42,FALSE)="","",VLOOKUP(Tue_W1[[#This Row],[Employee Name]],'Base Schedules'!$A$160:$AW$203,42,FALSE)),"")</f>
        <v>-</v>
      </c>
      <c r="AR43" s="184" t="str">
        <f>IFERROR(IF(VLOOKUP(Tue_W1[[#This Row],[Employee Name]],'Base Schedules'!$A$160:$AW$203,43,FALSE)="","",VLOOKUP(Tue_W1[[#This Row],[Employee Name]],'Base Schedules'!$A$160:$AW$203,43,FALSE)),"")</f>
        <v>-</v>
      </c>
      <c r="AS43" s="184" t="str">
        <f>IFERROR(IF(VLOOKUP(Tue_W1[[#This Row],[Employee Name]],'Base Schedules'!$A$160:$AW$203,44,FALSE)="","",VLOOKUP(Tue_W1[[#This Row],[Employee Name]],'Base Schedules'!$A$160:$AW$203,44,FALSE)),"")</f>
        <v>-</v>
      </c>
      <c r="AT43" s="184" t="str">
        <f>IFERROR(IF(VLOOKUP(Tue_W1[[#This Row],[Employee Name]],'Base Schedules'!$A$160:$AW$203,45,FALSE)="","",VLOOKUP(Tue_W1[[#This Row],[Employee Name]],'Base Schedules'!$A$160:$AW$203,45,FALSE)),"")</f>
        <v>-</v>
      </c>
      <c r="AU43" s="184" t="str">
        <f>IFERROR(IF(VLOOKUP(Tue_W1[[#This Row],[Employee Name]],'Base Schedules'!$A$160:$AW$203,46,FALSE)="","",VLOOKUP(Tue_W1[[#This Row],[Employee Name]],'Base Schedules'!$A$160:$AW$203,46,FALSE)),"")</f>
        <v>-</v>
      </c>
      <c r="AV43" s="184" t="str">
        <f>IFERROR(IF(VLOOKUP(Tue_W1[[#This Row],[Employee Name]],'Base Schedules'!$A$160:$AW$203,47,FALSE)="","",VLOOKUP(Tue_W1[[#This Row],[Employee Name]],'Base Schedules'!$A$160:$AW$203,47,FALSE)),"")</f>
        <v>-</v>
      </c>
      <c r="AW43" s="184" t="str">
        <f>IFERROR(IF(VLOOKUP(Tue_W1[[#This Row],[Employee Name]],'Base Schedules'!$A$160:$AW$203,48,FALSE)="","",VLOOKUP(Tue_W1[[#This Row],[Employee Name]],'Base Schedules'!$A$160:$AW$203,48,FALSE)),"")</f>
        <v>-</v>
      </c>
      <c r="AX43" s="184" t="str">
        <f>IFERROR(IF(VLOOKUP(Tue_W1[[#This Row],[Employee Name]],'Base Schedules'!$A$160:$AW$203,49,FALSE)="","",VLOOKUP(Tue_W1[[#This Row],[Employee Name]],'Base Schedules'!$A$160:$AW$203,49,FALSE)),"")</f>
        <v/>
      </c>
      <c r="AY43" s="164" t="str">
        <f t="shared" si="2"/>
        <v>Donaca, Jeff</v>
      </c>
    </row>
    <row r="44" spans="1:51" s="44" customFormat="1" ht="12" x14ac:dyDescent="0.2">
      <c r="A44" s="39" t="str">
        <f>IF(B44="","",INDEX(TeamList[],MATCH($B44,TeamList[[Employee Name]:[Employee Name]],0),MATCH("Manager",TeamList[#Headers],0)))</f>
        <v>Olson, Katherine</v>
      </c>
      <c r="B44" s="201" t="s">
        <v>235</v>
      </c>
      <c r="C44" s="257" t="str">
        <f>_xlfn.IFNA(VLOOKUP(Tue_W1[[#This Row],[Employee Name]],'Base Schedules'!A:B,2,FALSE),"")</f>
        <v>Lead</v>
      </c>
      <c r="D44" s="274">
        <f>_xlfn.IFNA(VLOOKUP(Tue_W1[[#This Row],[Employee Name]],'Base Schedules'!A:C,3,FALSE),"")</f>
        <v>1530</v>
      </c>
      <c r="E44" s="274">
        <f>_xlfn.IFNA(VLOOKUP(Tue_W1[[#This Row],[Employee Name]],'Base Schedules'!A:D,4,FALSE),"")</f>
        <v>0</v>
      </c>
      <c r="F44" s="142">
        <f>IF(Tue_W1[[#This Row],[Employee Name]]="","",IF(Tue_W1[[#This Row],[Dept]]="Supervisor",COUNTIFS($J44:$AX44,"*HL*",$J44:$AX44,"&lt;&gt;"&amp;"pHL"),COUNTIFS($J44:$AX44,"*HL*",$J44:$AX44,"&lt;&gt;"&amp;"*pHL*",$J44:$AX44,"&lt;&gt;"&amp;"pB1 HL",$J44:$AX44,"&lt;&gt;"&amp;"pB2 HL")-SUM(COUNTIFS($J44:$AX44,"*HL B1*",$J44:$AX44,"&lt;&gt;"&amp;"pHL B1")*0.5,COUNTIFS($J44:$AX44,"*HL B2*",$J44:$AX44,"&lt;&gt;"&amp;"pHL B2")*0.5,COUNTIFS($J44:$AX44,"*B1 HL*",$J44:$AX44,"&lt;&gt;"&amp;"pB1 HL")*0.5,COUNTIFS($J44:$AX44,"*B2 HL*",$J44:$AX44,"&lt;&gt;"&amp;"pB2 HL")*0.5)))</f>
        <v>8.5</v>
      </c>
      <c r="G44" s="142">
        <f t="shared" si="0"/>
        <v>0</v>
      </c>
      <c r="H44" s="142">
        <f t="shared" si="1"/>
        <v>5</v>
      </c>
      <c r="I44" s="142">
        <f>IF(Tue_W1[[#This Row],[Employee Name]]="","",IF(Tue_W1[[#This Row],[Dept]]="Supervisor",SUM(COUNTIFS($J44:$AX44,"RTA*",$J44:$AX44,"&lt;&gt;"&amp;"pRTA"),COUNTIFS($J44:$AX44,"*CRTA*",$J44:$AX44,"&lt;&gt;"&amp;"pCRTA")),COUNTIFS($J44:$AX44,"*RNNR*",$J44:$AX44,"&lt;&gt;"&amp;"*pRNNR*",$J44:$AX44,"&lt;&gt;"&amp;"pB1 RNNR",$J44:$AX44,"&lt;&gt;"&amp;"pB2 RNNR")-SUM(COUNTIFS($J44:$AX44,"*RNNR B1*",$J44:$AX44,"&lt;&gt;"&amp;"pRNNR B1")*0.5,COUNTIFS($J44:$AX44,"*RNNR B2*",$J44:$AX44,"&lt;&gt;"&amp;"pRNNR B2")*0.5,COUNTIFS($J44:$AX44,"*B1 RNNR*",$J44:$AX44,"&lt;&gt;"&amp;"pB1 RNNR")*0.5,COUNTIFS($J44:$AX44,"*B2 RNNR*",$J44:$AX44,"&lt;&gt;"&amp;"pB2 RNNR")*0.5)))</f>
        <v>0</v>
      </c>
      <c r="J44" s="184" t="str">
        <f>IFERROR(IF(VLOOKUP(Tue_W1[[#This Row],[Employee Name]],'Base Schedules'!$A$160:$AW$203,9,FALSE)="","",VLOOKUP(Tue_W1[[#This Row],[Employee Name]],'Base Schedules'!$A$160:$AW$203,9,FALSE)),"")</f>
        <v/>
      </c>
      <c r="K44" s="184" t="str">
        <f>IFERROR(IF(VLOOKUP(Tue_W1[[#This Row],[Employee Name]],'Base Schedules'!$A$160:$AW$203,10,FALSE)="","",VLOOKUP(Tue_W1[[#This Row],[Employee Name]],'Base Schedules'!$A$160:$AW$203,10,FALSE)),"")</f>
        <v/>
      </c>
      <c r="L44" s="184" t="str">
        <f>IFERROR(IF(VLOOKUP(Tue_W1[[#This Row],[Employee Name]],'Base Schedules'!$A$160:$AW$203,11,FALSE)="","",VLOOKUP(Tue_W1[[#This Row],[Employee Name]],'Base Schedules'!$A$160:$AW$203,11,FALSE)),"")</f>
        <v/>
      </c>
      <c r="M44" s="184" t="str">
        <f>IFERROR(IF(VLOOKUP(Tue_W1[[#This Row],[Employee Name]],'Base Schedules'!$A$160:$AW$203,12,FALSE)="","",VLOOKUP(Tue_W1[[#This Row],[Employee Name]],'Base Schedules'!$A$160:$AW$203,12,FALSE)),"")</f>
        <v/>
      </c>
      <c r="N44" s="184" t="str">
        <f>IFERROR(IF(VLOOKUP(Tue_W1[[#This Row],[Employee Name]],'Base Schedules'!$A$160:$AW$203,13,FALSE)="","",VLOOKUP(Tue_W1[[#This Row],[Employee Name]],'Base Schedules'!$A$160:$AW$203,13,FALSE)),"")</f>
        <v/>
      </c>
      <c r="O44" s="184" t="str">
        <f>IFERROR(IF(VLOOKUP(Tue_W1[[#This Row],[Employee Name]],'Base Schedules'!$A$160:$AW$203,14,FALSE)="","",VLOOKUP(Tue_W1[[#This Row],[Employee Name]],'Base Schedules'!$A$160:$AW$203,14,FALSE)),"")</f>
        <v/>
      </c>
      <c r="P44" s="184" t="str">
        <f>IFERROR(IF(VLOOKUP(Tue_W1[[#This Row],[Employee Name]],'Base Schedules'!$A$160:$AW$203,15,FALSE)="","",VLOOKUP(Tue_W1[[#This Row],[Employee Name]],'Base Schedules'!$A$160:$AW$203,15,FALSE)),"")</f>
        <v/>
      </c>
      <c r="Q44" s="184" t="str">
        <f>IFERROR(IF(VLOOKUP(Tue_W1[[#This Row],[Employee Name]],'Base Schedules'!$A$160:$AW$203,16,FALSE)="","",VLOOKUP(Tue_W1[[#This Row],[Employee Name]],'Base Schedules'!$A$160:$AW$203,16,FALSE)),"")</f>
        <v/>
      </c>
      <c r="R44" s="184" t="str">
        <f>IFERROR(IF(VLOOKUP(Tue_W1[[#This Row],[Employee Name]],'Base Schedules'!$A$160:$AW$203,17,FALSE)="","",VLOOKUP(Tue_W1[[#This Row],[Employee Name]],'Base Schedules'!$A$160:$AW$203,17,FALSE)),"")</f>
        <v/>
      </c>
      <c r="S44" s="184" t="str">
        <f>IFERROR(IF(VLOOKUP(Tue_W1[[#This Row],[Employee Name]],'Base Schedules'!$A$160:$AW$203,18,FALSE)="","",VLOOKUP(Tue_W1[[#This Row],[Employee Name]],'Base Schedules'!$A$160:$AW$203,18,FALSE)),"")</f>
        <v/>
      </c>
      <c r="T44" s="184" t="str">
        <f>IFERROR(IF(VLOOKUP(Tue_W1[[#This Row],[Employee Name]],'Base Schedules'!$A$160:$AW$203,19,FALSE)="","",VLOOKUP(Tue_W1[[#This Row],[Employee Name]],'Base Schedules'!$A$160:$AW$203,19,FALSE)),"")</f>
        <v/>
      </c>
      <c r="U44" s="184" t="str">
        <f>IFERROR(IF(VLOOKUP(Tue_W1[[#This Row],[Employee Name]],'Base Schedules'!$A$160:$AW$203,20,FALSE)="","",VLOOKUP(Tue_W1[[#This Row],[Employee Name]],'Base Schedules'!$A$160:$AW$203,20,FALSE)),"")</f>
        <v/>
      </c>
      <c r="V44" s="184" t="str">
        <f>IFERROR(IF(VLOOKUP(Tue_W1[[#This Row],[Employee Name]],'Base Schedules'!$A$160:$AW$203,21,FALSE)="","",VLOOKUP(Tue_W1[[#This Row],[Employee Name]],'Base Schedules'!$A$160:$AW$203,21,FALSE)),"")</f>
        <v/>
      </c>
      <c r="W44" s="184" t="str">
        <f>IFERROR(IF(VLOOKUP(Tue_W1[[#This Row],[Employee Name]],'Base Schedules'!$A$160:$AW$203,22,FALSE)="","",VLOOKUP(Tue_W1[[#This Row],[Employee Name]],'Base Schedules'!$A$160:$AW$203,22,FALSE)),"")</f>
        <v/>
      </c>
      <c r="X44" s="184" t="str">
        <f>IFERROR(IF(VLOOKUP(Tue_W1[[#This Row],[Employee Name]],'Base Schedules'!$A$160:$AW$203,23,FALSE)="","",VLOOKUP(Tue_W1[[#This Row],[Employee Name]],'Base Schedules'!$A$160:$AW$203,23,FALSE)),"")</f>
        <v/>
      </c>
      <c r="Y44" s="184" t="str">
        <f>IFERROR(IF(VLOOKUP(Tue_W1[[#This Row],[Employee Name]],'Base Schedules'!$A$160:$AW$203,24,FALSE)="","",VLOOKUP(Tue_W1[[#This Row],[Employee Name]],'Base Schedules'!$A$160:$AW$203,24,FALSE)),"")</f>
        <v/>
      </c>
      <c r="Z44" s="184" t="str">
        <f>IFERROR(IF(VLOOKUP(Tue_W1[[#This Row],[Employee Name]],'Base Schedules'!$A$160:$AW$203,25,FALSE)="","",VLOOKUP(Tue_W1[[#This Row],[Employee Name]],'Base Schedules'!$A$160:$AW$203,25,FALSE)),"")</f>
        <v/>
      </c>
      <c r="AA44" s="184" t="str">
        <f>IFERROR(IF(VLOOKUP(Tue_W1[[#This Row],[Employee Name]],'Base Schedules'!$A$160:$AW$203,26,FALSE)="","",VLOOKUP(Tue_W1[[#This Row],[Employee Name]],'Base Schedules'!$A$160:$AW$203,26,FALSE)),"")</f>
        <v/>
      </c>
      <c r="AB44" s="184" t="str">
        <f>IFERROR(IF(VLOOKUP(Tue_W1[[#This Row],[Employee Name]],'Base Schedules'!$A$160:$AW$203,27,FALSE)="","",VLOOKUP(Tue_W1[[#This Row],[Employee Name]],'Base Schedules'!$A$160:$AW$203,27,FALSE)),"")</f>
        <v/>
      </c>
      <c r="AC44" s="184" t="str">
        <f>IFERROR(IF(VLOOKUP(Tue_W1[[#This Row],[Employee Name]],'Base Schedules'!$A$160:$AW$203,28,FALSE)="","",VLOOKUP(Tue_W1[[#This Row],[Employee Name]],'Base Schedules'!$A$160:$AW$203,28,FALSE)),"")</f>
        <v/>
      </c>
      <c r="AD44" s="184" t="str">
        <f>IFERROR(IF(VLOOKUP(Tue_W1[[#This Row],[Employee Name]],'Base Schedules'!$A$160:$AW$203,29,FALSE)="","",VLOOKUP(Tue_W1[[#This Row],[Employee Name]],'Base Schedules'!$A$160:$AW$203,29,FALSE)),"")</f>
        <v/>
      </c>
      <c r="AE44" s="184" t="str">
        <f>IFERROR(IF(VLOOKUP(Tue_W1[[#This Row],[Employee Name]],'Base Schedules'!$A$160:$AW$203,30,FALSE)="","",VLOOKUP(Tue_W1[[#This Row],[Employee Name]],'Base Schedules'!$A$160:$AW$203,30,FALSE)),"")</f>
        <v>ADM</v>
      </c>
      <c r="AF44" s="184" t="str">
        <f>IFERROR(IF(VLOOKUP(Tue_W1[[#This Row],[Employee Name]],'Base Schedules'!$A$160:$AW$203,31,FALSE)="","",VLOOKUP(Tue_W1[[#This Row],[Employee Name]],'Base Schedules'!$A$160:$AW$203,31,FALSE)),"")</f>
        <v>ADM</v>
      </c>
      <c r="AG44" s="184" t="str">
        <f>IFERROR(IF(VLOOKUP(Tue_W1[[#This Row],[Employee Name]],'Base Schedules'!$A$160:$AW$203,32,FALSE)="","",VLOOKUP(Tue_W1[[#This Row],[Employee Name]],'Base Schedules'!$A$160:$AW$203,32,FALSE)),"")</f>
        <v>ADM</v>
      </c>
      <c r="AH44" s="184" t="str">
        <f>IFERROR(IF(VLOOKUP(Tue_W1[[#This Row],[Employee Name]],'Base Schedules'!$A$160:$AW$203,33,FALSE)="","",VLOOKUP(Tue_W1[[#This Row],[Employee Name]],'Base Schedules'!$A$160:$AW$203,33,FALSE)),"")</f>
        <v>ADM</v>
      </c>
      <c r="AI44" s="184" t="str">
        <f>IFERROR(IF(VLOOKUP(Tue_W1[[#This Row],[Employee Name]],'Base Schedules'!$A$160:$AW$203,34,FALSE)="","",VLOOKUP(Tue_W1[[#This Row],[Employee Name]],'Base Schedules'!$A$160:$AW$203,34,FALSE)),"")</f>
        <v>B1 ADM</v>
      </c>
      <c r="AJ44" s="184" t="str">
        <f>IFERROR(IF(VLOOKUP(Tue_W1[[#This Row],[Employee Name]],'Base Schedules'!$A$160:$AW$203,35,FALSE)="","",VLOOKUP(Tue_W1[[#This Row],[Employee Name]],'Base Schedules'!$A$160:$AW$203,35,FALSE)),"")</f>
        <v>PROJECT</v>
      </c>
      <c r="AK44" s="184" t="str">
        <f>IFERROR(IF(VLOOKUP(Tue_W1[[#This Row],[Employee Name]],'Base Schedules'!$A$160:$AW$203,36,FALSE)="","",VLOOKUP(Tue_W1[[#This Row],[Employee Name]],'Base Schedules'!$A$160:$AW$203,36,FALSE)),"")</f>
        <v>PROJECT</v>
      </c>
      <c r="AL44" s="184" t="str">
        <f>IFERROR(IF(VLOOKUP(Tue_W1[[#This Row],[Employee Name]],'Base Schedules'!$A$160:$AW$203,37,FALSE)="","",VLOOKUP(Tue_W1[[#This Row],[Employee Name]],'Base Schedules'!$A$160:$AW$203,37,FALSE)),"")</f>
        <v>HL</v>
      </c>
      <c r="AM44" s="184" t="str">
        <f>IFERROR(IF(VLOOKUP(Tue_W1[[#This Row],[Employee Name]],'Base Schedules'!$A$160:$AW$203,38,FALSE)="","",VLOOKUP(Tue_W1[[#This Row],[Employee Name]],'Base Schedules'!$A$160:$AW$203,38,FALSE)),"")</f>
        <v>LUNCH</v>
      </c>
      <c r="AN44" s="184" t="str">
        <f>IFERROR(IF(VLOOKUP(Tue_W1[[#This Row],[Employee Name]],'Base Schedules'!$A$160:$AW$203,39,FALSE)="","",VLOOKUP(Tue_W1[[#This Row],[Employee Name]],'Base Schedules'!$A$160:$AW$203,39,FALSE)),"")</f>
        <v>HL</v>
      </c>
      <c r="AO44" s="184" t="str">
        <f>IFERROR(IF(VLOOKUP(Tue_W1[[#This Row],[Employee Name]],'Base Schedules'!$A$160:$AW$203,40,FALSE)="","",VLOOKUP(Tue_W1[[#This Row],[Employee Name]],'Base Schedules'!$A$160:$AW$203,40,FALSE)),"")</f>
        <v>HL</v>
      </c>
      <c r="AP44" s="184" t="str">
        <f>IFERROR(IF(VLOOKUP(Tue_W1[[#This Row],[Employee Name]],'Base Schedules'!$A$160:$AW$203,41,FALSE)="","",VLOOKUP(Tue_W1[[#This Row],[Employee Name]],'Base Schedules'!$A$160:$AW$203,41,FALSE)),"")</f>
        <v>HL</v>
      </c>
      <c r="AQ44" s="184" t="str">
        <f>IFERROR(IF(VLOOKUP(Tue_W1[[#This Row],[Employee Name]],'Base Schedules'!$A$160:$AW$203,42,FALSE)="","",VLOOKUP(Tue_W1[[#This Row],[Employee Name]],'Base Schedules'!$A$160:$AW$203,42,FALSE)),"")</f>
        <v>HL</v>
      </c>
      <c r="AR44" s="184" t="str">
        <f>IFERROR(IF(VLOOKUP(Tue_W1[[#This Row],[Employee Name]],'Base Schedules'!$A$160:$AW$203,43,FALSE)="","",VLOOKUP(Tue_W1[[#This Row],[Employee Name]],'Base Schedules'!$A$160:$AW$203,43,FALSE)),"")</f>
        <v>HL B2</v>
      </c>
      <c r="AS44" s="184" t="str">
        <f>IFERROR(IF(VLOOKUP(Tue_W1[[#This Row],[Employee Name]],'Base Schedules'!$A$160:$AW$203,44,FALSE)="","",VLOOKUP(Tue_W1[[#This Row],[Employee Name]],'Base Schedules'!$A$160:$AW$203,44,FALSE)),"")</f>
        <v>HL</v>
      </c>
      <c r="AT44" s="184" t="str">
        <f>IFERROR(IF(VLOOKUP(Tue_W1[[#This Row],[Employee Name]],'Base Schedules'!$A$160:$AW$203,45,FALSE)="","",VLOOKUP(Tue_W1[[#This Row],[Employee Name]],'Base Schedules'!$A$160:$AW$203,45,FALSE)),"")</f>
        <v>HL</v>
      </c>
      <c r="AU44" s="184" t="str">
        <f>IFERROR(IF(VLOOKUP(Tue_W1[[#This Row],[Employee Name]],'Base Schedules'!$A$160:$AW$203,46,FALSE)="","",VLOOKUP(Tue_W1[[#This Row],[Employee Name]],'Base Schedules'!$A$160:$AW$203,46,FALSE)),"")</f>
        <v>HL</v>
      </c>
      <c r="AV44" s="184" t="str">
        <f>IFERROR(IF(VLOOKUP(Tue_W1[[#This Row],[Employee Name]],'Base Schedules'!$A$160:$AW$203,47,FALSE)="","",VLOOKUP(Tue_W1[[#This Row],[Employee Name]],'Base Schedules'!$A$160:$AW$203,47,FALSE)),"")</f>
        <v/>
      </c>
      <c r="AW44" s="184" t="str">
        <f>IFERROR(IF(VLOOKUP(Tue_W1[[#This Row],[Employee Name]],'Base Schedules'!$A$160:$AW$203,48,FALSE)="","",VLOOKUP(Tue_W1[[#This Row],[Employee Name]],'Base Schedules'!$A$160:$AW$203,48,FALSE)),"")</f>
        <v/>
      </c>
      <c r="AX44" s="184" t="str">
        <f>IFERROR(IF(VLOOKUP(Tue_W1[[#This Row],[Employee Name]],'Base Schedules'!$A$160:$AW$203,49,FALSE)="","",VLOOKUP(Tue_W1[[#This Row],[Employee Name]],'Base Schedules'!$A$160:$AW$203,49,FALSE)),"")</f>
        <v/>
      </c>
      <c r="AY44" s="164" t="str">
        <f t="shared" si="2"/>
        <v>Britton, Michael</v>
      </c>
    </row>
    <row r="45" spans="1:51" s="44" customFormat="1" ht="12" x14ac:dyDescent="0.2">
      <c r="A45" s="39" t="str">
        <f>IF(B45="","",INDEX(TeamList[],MATCH($B45,TeamList[[Employee Name]:[Employee Name]],0),MATCH("Manager",TeamList[#Headers],0)))</f>
        <v>Olson, Katherine</v>
      </c>
      <c r="B45" s="201" t="s">
        <v>232</v>
      </c>
      <c r="C45" s="257" t="str">
        <f>_xlfn.IFNA(VLOOKUP(Tue_W1[[#This Row],[Employee Name]],'Base Schedules'!A:B,2,FALSE),"")</f>
        <v>Lead</v>
      </c>
      <c r="D45" s="274">
        <f>_xlfn.IFNA(VLOOKUP(Tue_W1[[#This Row],[Employee Name]],'Base Schedules'!A:C,3,FALSE),"")</f>
        <v>1600</v>
      </c>
      <c r="E45" s="274">
        <f>_xlfn.IFNA(VLOOKUP(Tue_W1[[#This Row],[Employee Name]],'Base Schedules'!A:D,4,FALSE),"")</f>
        <v>100</v>
      </c>
      <c r="F45" s="142">
        <f>IF(Tue_W1[[#This Row],[Employee Name]]="","",IF(Tue_W1[[#This Row],[Dept]]="Supervisor",COUNTIFS($J45:$AX45,"*HL*",$J45:$AX45,"&lt;&gt;"&amp;"pHL"),COUNTIFS($J45:$AX45,"*HL*",$J45:$AX45,"&lt;&gt;"&amp;"*pHL*",$J45:$AX45,"&lt;&gt;"&amp;"pB1 HL",$J45:$AX45,"&lt;&gt;"&amp;"pB2 HL")-SUM(COUNTIFS($J45:$AX45,"*HL B1*",$J45:$AX45,"&lt;&gt;"&amp;"pHL B1")*0.5,COUNTIFS($J45:$AX45,"*HL B2*",$J45:$AX45,"&lt;&gt;"&amp;"pHL B2")*0.5,COUNTIFS($J45:$AX45,"*B1 HL*",$J45:$AX45,"&lt;&gt;"&amp;"pB1 HL")*0.5,COUNTIFS($J45:$AX45,"*B2 HL*",$J45:$AX45,"&lt;&gt;"&amp;"pB2 HL")*0.5)))</f>
        <v>11</v>
      </c>
      <c r="G45" s="142">
        <f t="shared" si="0"/>
        <v>0</v>
      </c>
      <c r="H45" s="142">
        <f t="shared" si="1"/>
        <v>4</v>
      </c>
      <c r="I45" s="142">
        <f>IF(Tue_W1[[#This Row],[Employee Name]]="","",IF(Tue_W1[[#This Row],[Dept]]="Supervisor",SUM(COUNTIFS($J45:$AX45,"RTA*",$J45:$AX45,"&lt;&gt;"&amp;"pRTA"),COUNTIFS($J45:$AX45,"*CRTA*",$J45:$AX45,"&lt;&gt;"&amp;"pCRTA")),COUNTIFS($J45:$AX45,"*RNNR*",$J45:$AX45,"&lt;&gt;"&amp;"*pRNNR*",$J45:$AX45,"&lt;&gt;"&amp;"pB1 RNNR",$J45:$AX45,"&lt;&gt;"&amp;"pB2 RNNR")-SUM(COUNTIFS($J45:$AX45,"*RNNR B1*",$J45:$AX45,"&lt;&gt;"&amp;"pRNNR B1")*0.5,COUNTIFS($J45:$AX45,"*RNNR B2*",$J45:$AX45,"&lt;&gt;"&amp;"pRNNR B2")*0.5,COUNTIFS($J45:$AX45,"*B1 RNNR*",$J45:$AX45,"&lt;&gt;"&amp;"pB1 RNNR")*0.5,COUNTIFS($J45:$AX45,"*B2 RNNR*",$J45:$AX45,"&lt;&gt;"&amp;"pB2 RNNR")*0.5)))</f>
        <v>0</v>
      </c>
      <c r="J45" s="184" t="str">
        <f>IFERROR(IF(VLOOKUP(Tue_W1[[#This Row],[Employee Name]],'Base Schedules'!$A$160:$AW$203,9,FALSE)="","",VLOOKUP(Tue_W1[[#This Row],[Employee Name]],'Base Schedules'!$A$160:$AW$203,9,FALSE)),"")</f>
        <v/>
      </c>
      <c r="K45" s="184" t="str">
        <f>IFERROR(IF(VLOOKUP(Tue_W1[[#This Row],[Employee Name]],'Base Schedules'!$A$160:$AW$203,10,FALSE)="","",VLOOKUP(Tue_W1[[#This Row],[Employee Name]],'Base Schedules'!$A$160:$AW$203,10,FALSE)),"")</f>
        <v/>
      </c>
      <c r="L45" s="184" t="str">
        <f>IFERROR(IF(VLOOKUP(Tue_W1[[#This Row],[Employee Name]],'Base Schedules'!$A$160:$AW$203,11,FALSE)="","",VLOOKUP(Tue_W1[[#This Row],[Employee Name]],'Base Schedules'!$A$160:$AW$203,11,FALSE)),"")</f>
        <v/>
      </c>
      <c r="M45" s="184" t="str">
        <f>IFERROR(IF(VLOOKUP(Tue_W1[[#This Row],[Employee Name]],'Base Schedules'!$A$160:$AW$203,12,FALSE)="","",VLOOKUP(Tue_W1[[#This Row],[Employee Name]],'Base Schedules'!$A$160:$AW$203,12,FALSE)),"")</f>
        <v/>
      </c>
      <c r="N45" s="184" t="str">
        <f>IFERROR(IF(VLOOKUP(Tue_W1[[#This Row],[Employee Name]],'Base Schedules'!$A$160:$AW$203,13,FALSE)="","",VLOOKUP(Tue_W1[[#This Row],[Employee Name]],'Base Schedules'!$A$160:$AW$203,13,FALSE)),"")</f>
        <v/>
      </c>
      <c r="O45" s="184" t="str">
        <f>IFERROR(IF(VLOOKUP(Tue_W1[[#This Row],[Employee Name]],'Base Schedules'!$A$160:$AW$203,14,FALSE)="","",VLOOKUP(Tue_W1[[#This Row],[Employee Name]],'Base Schedules'!$A$160:$AW$203,14,FALSE)),"")</f>
        <v/>
      </c>
      <c r="P45" s="184" t="str">
        <f>IFERROR(IF(VLOOKUP(Tue_W1[[#This Row],[Employee Name]],'Base Schedules'!$A$160:$AW$203,15,FALSE)="","",VLOOKUP(Tue_W1[[#This Row],[Employee Name]],'Base Schedules'!$A$160:$AW$203,15,FALSE)),"")</f>
        <v/>
      </c>
      <c r="Q45" s="184" t="str">
        <f>IFERROR(IF(VLOOKUP(Tue_W1[[#This Row],[Employee Name]],'Base Schedules'!$A$160:$AW$203,16,FALSE)="","",VLOOKUP(Tue_W1[[#This Row],[Employee Name]],'Base Schedules'!$A$160:$AW$203,16,FALSE)),"")</f>
        <v/>
      </c>
      <c r="R45" s="184" t="str">
        <f>IFERROR(IF(VLOOKUP(Tue_W1[[#This Row],[Employee Name]],'Base Schedules'!$A$160:$AW$203,17,FALSE)="","",VLOOKUP(Tue_W1[[#This Row],[Employee Name]],'Base Schedules'!$A$160:$AW$203,17,FALSE)),"")</f>
        <v/>
      </c>
      <c r="S45" s="184" t="str">
        <f>IFERROR(IF(VLOOKUP(Tue_W1[[#This Row],[Employee Name]],'Base Schedules'!$A$160:$AW$203,18,FALSE)="","",VLOOKUP(Tue_W1[[#This Row],[Employee Name]],'Base Schedules'!$A$160:$AW$203,18,FALSE)),"")</f>
        <v/>
      </c>
      <c r="T45" s="184" t="str">
        <f>IFERROR(IF(VLOOKUP(Tue_W1[[#This Row],[Employee Name]],'Base Schedules'!$A$160:$AW$203,19,FALSE)="","",VLOOKUP(Tue_W1[[#This Row],[Employee Name]],'Base Schedules'!$A$160:$AW$203,19,FALSE)),"")</f>
        <v/>
      </c>
      <c r="U45" s="184" t="str">
        <f>IFERROR(IF(VLOOKUP(Tue_W1[[#This Row],[Employee Name]],'Base Schedules'!$A$160:$AW$203,20,FALSE)="","",VLOOKUP(Tue_W1[[#This Row],[Employee Name]],'Base Schedules'!$A$160:$AW$203,20,FALSE)),"")</f>
        <v/>
      </c>
      <c r="V45" s="184" t="str">
        <f>IFERROR(IF(VLOOKUP(Tue_W1[[#This Row],[Employee Name]],'Base Schedules'!$A$160:$AW$203,21,FALSE)="","",VLOOKUP(Tue_W1[[#This Row],[Employee Name]],'Base Schedules'!$A$160:$AW$203,21,FALSE)),"")</f>
        <v/>
      </c>
      <c r="W45" s="184" t="str">
        <f>IFERROR(IF(VLOOKUP(Tue_W1[[#This Row],[Employee Name]],'Base Schedules'!$A$160:$AW$203,22,FALSE)="","",VLOOKUP(Tue_W1[[#This Row],[Employee Name]],'Base Schedules'!$A$160:$AW$203,22,FALSE)),"")</f>
        <v/>
      </c>
      <c r="X45" s="184" t="str">
        <f>IFERROR(IF(VLOOKUP(Tue_W1[[#This Row],[Employee Name]],'Base Schedules'!$A$160:$AW$203,23,FALSE)="","",VLOOKUP(Tue_W1[[#This Row],[Employee Name]],'Base Schedules'!$A$160:$AW$203,23,FALSE)),"")</f>
        <v/>
      </c>
      <c r="Y45" s="184" t="str">
        <f>IFERROR(IF(VLOOKUP(Tue_W1[[#This Row],[Employee Name]],'Base Schedules'!$A$160:$AW$203,24,FALSE)="","",VLOOKUP(Tue_W1[[#This Row],[Employee Name]],'Base Schedules'!$A$160:$AW$203,24,FALSE)),"")</f>
        <v/>
      </c>
      <c r="Z45" s="184" t="str">
        <f>IFERROR(IF(VLOOKUP(Tue_W1[[#This Row],[Employee Name]],'Base Schedules'!$A$160:$AW$203,25,FALSE)="","",VLOOKUP(Tue_W1[[#This Row],[Employee Name]],'Base Schedules'!$A$160:$AW$203,25,FALSE)),"")</f>
        <v/>
      </c>
      <c r="AA45" s="184" t="str">
        <f>IFERROR(IF(VLOOKUP(Tue_W1[[#This Row],[Employee Name]],'Base Schedules'!$A$160:$AW$203,26,FALSE)="","",VLOOKUP(Tue_W1[[#This Row],[Employee Name]],'Base Schedules'!$A$160:$AW$203,26,FALSE)),"")</f>
        <v/>
      </c>
      <c r="AB45" s="184" t="str">
        <f>IFERROR(IF(VLOOKUP(Tue_W1[[#This Row],[Employee Name]],'Base Schedules'!$A$160:$AW$203,27,FALSE)="","",VLOOKUP(Tue_W1[[#This Row],[Employee Name]],'Base Schedules'!$A$160:$AW$203,27,FALSE)),"")</f>
        <v/>
      </c>
      <c r="AC45" s="184" t="str">
        <f>IFERROR(IF(VLOOKUP(Tue_W1[[#This Row],[Employee Name]],'Base Schedules'!$A$160:$AW$203,28,FALSE)="","",VLOOKUP(Tue_W1[[#This Row],[Employee Name]],'Base Schedules'!$A$160:$AW$203,28,FALSE)),"")</f>
        <v/>
      </c>
      <c r="AD45" s="184" t="str">
        <f>IFERROR(IF(VLOOKUP(Tue_W1[[#This Row],[Employee Name]],'Base Schedules'!$A$160:$AW$203,29,FALSE)="","",VLOOKUP(Tue_W1[[#This Row],[Employee Name]],'Base Schedules'!$A$160:$AW$203,29,FALSE)),"")</f>
        <v/>
      </c>
      <c r="AE45" s="184" t="str">
        <f>IFERROR(IF(VLOOKUP(Tue_W1[[#This Row],[Employee Name]],'Base Schedules'!$A$160:$AW$203,30,FALSE)="","",VLOOKUP(Tue_W1[[#This Row],[Employee Name]],'Base Schedules'!$A$160:$AW$203,30,FALSE)),"")</f>
        <v/>
      </c>
      <c r="AF45" s="184" t="str">
        <f>IFERROR(IF(VLOOKUP(Tue_W1[[#This Row],[Employee Name]],'Base Schedules'!$A$160:$AW$203,31,FALSE)="","",VLOOKUP(Tue_W1[[#This Row],[Employee Name]],'Base Schedules'!$A$160:$AW$203,31,FALSE)),"")</f>
        <v>ADM</v>
      </c>
      <c r="AG45" s="184" t="str">
        <f>IFERROR(IF(VLOOKUP(Tue_W1[[#This Row],[Employee Name]],'Base Schedules'!$A$160:$AW$203,32,FALSE)="","",VLOOKUP(Tue_W1[[#This Row],[Employee Name]],'Base Schedules'!$A$160:$AW$203,32,FALSE)),"")</f>
        <v>HL</v>
      </c>
      <c r="AH45" s="184" t="str">
        <f>IFERROR(IF(VLOOKUP(Tue_W1[[#This Row],[Employee Name]],'Base Schedules'!$A$160:$AW$203,33,FALSE)="","",VLOOKUP(Tue_W1[[#This Row],[Employee Name]],'Base Schedules'!$A$160:$AW$203,33,FALSE)),"")</f>
        <v>HL</v>
      </c>
      <c r="AI45" s="184" t="str">
        <f>IFERROR(IF(VLOOKUP(Tue_W1[[#This Row],[Employee Name]],'Base Schedules'!$A$160:$AW$203,34,FALSE)="","",VLOOKUP(Tue_W1[[#This Row],[Employee Name]],'Base Schedules'!$A$160:$AW$203,34,FALSE)),"")</f>
        <v>HL B1</v>
      </c>
      <c r="AJ45" s="184" t="str">
        <f>IFERROR(IF(VLOOKUP(Tue_W1[[#This Row],[Employee Name]],'Base Schedules'!$A$160:$AW$203,35,FALSE)="","",VLOOKUP(Tue_W1[[#This Row],[Employee Name]],'Base Schedules'!$A$160:$AW$203,35,FALSE)),"")</f>
        <v>ADM</v>
      </c>
      <c r="AK45" s="184" t="str">
        <f>IFERROR(IF(VLOOKUP(Tue_W1[[#This Row],[Employee Name]],'Base Schedules'!$A$160:$AW$203,36,FALSE)="","",VLOOKUP(Tue_W1[[#This Row],[Employee Name]],'Base Schedules'!$A$160:$AW$203,36,FALSE)),"")</f>
        <v>HL</v>
      </c>
      <c r="AL45" s="184" t="str">
        <f>IFERROR(IF(VLOOKUP(Tue_W1[[#This Row],[Employee Name]],'Base Schedules'!$A$160:$AW$203,37,FALSE)="","",VLOOKUP(Tue_W1[[#This Row],[Employee Name]],'Base Schedules'!$A$160:$AW$203,37,FALSE)),"")</f>
        <v>ADM</v>
      </c>
      <c r="AM45" s="184" t="str">
        <f>IFERROR(IF(VLOOKUP(Tue_W1[[#This Row],[Employee Name]],'Base Schedules'!$A$160:$AW$203,38,FALSE)="","",VLOOKUP(Tue_W1[[#This Row],[Employee Name]],'Base Schedules'!$A$160:$AW$203,38,FALSE)),"")</f>
        <v>ADM</v>
      </c>
      <c r="AN45" s="184" t="str">
        <f>IFERROR(IF(VLOOKUP(Tue_W1[[#This Row],[Employee Name]],'Base Schedules'!$A$160:$AW$203,39,FALSE)="","",VLOOKUP(Tue_W1[[#This Row],[Employee Name]],'Base Schedules'!$A$160:$AW$203,39,FALSE)),"")</f>
        <v>LUNCH</v>
      </c>
      <c r="AO45" s="184" t="str">
        <f>IFERROR(IF(VLOOKUP(Tue_W1[[#This Row],[Employee Name]],'Base Schedules'!$A$160:$AW$203,40,FALSE)="","",VLOOKUP(Tue_W1[[#This Row],[Employee Name]],'Base Schedules'!$A$160:$AW$203,40,FALSE)),"")</f>
        <v>LUNCH</v>
      </c>
      <c r="AP45" s="184" t="str">
        <f>IFERROR(IF(VLOOKUP(Tue_W1[[#This Row],[Employee Name]],'Base Schedules'!$A$160:$AW$203,41,FALSE)="","",VLOOKUP(Tue_W1[[#This Row],[Employee Name]],'Base Schedules'!$A$160:$AW$203,41,FALSE)),"")</f>
        <v>HL</v>
      </c>
      <c r="AQ45" s="184" t="str">
        <f>IFERROR(IF(VLOOKUP(Tue_W1[[#This Row],[Employee Name]],'Base Schedules'!$A$160:$AW$203,42,FALSE)="","",VLOOKUP(Tue_W1[[#This Row],[Employee Name]],'Base Schedules'!$A$160:$AW$203,42,FALSE)),"")</f>
        <v>HL</v>
      </c>
      <c r="AR45" s="184" t="str">
        <f>IFERROR(IF(VLOOKUP(Tue_W1[[#This Row],[Employee Name]],'Base Schedules'!$A$160:$AW$203,43,FALSE)="","",VLOOKUP(Tue_W1[[#This Row],[Employee Name]],'Base Schedules'!$A$160:$AW$203,43,FALSE)),"")</f>
        <v>HL</v>
      </c>
      <c r="AS45" s="184" t="str">
        <f>IFERROR(IF(VLOOKUP(Tue_W1[[#This Row],[Employee Name]],'Base Schedules'!$A$160:$AW$203,44,FALSE)="","",VLOOKUP(Tue_W1[[#This Row],[Employee Name]],'Base Schedules'!$A$160:$AW$203,44,FALSE)),"")</f>
        <v>HL</v>
      </c>
      <c r="AT45" s="184" t="str">
        <f>IFERROR(IF(VLOOKUP(Tue_W1[[#This Row],[Employee Name]],'Base Schedules'!$A$160:$AW$203,45,FALSE)="","",VLOOKUP(Tue_W1[[#This Row],[Employee Name]],'Base Schedules'!$A$160:$AW$203,45,FALSE)),"")</f>
        <v>B2 HL</v>
      </c>
      <c r="AU45" s="184" t="str">
        <f>IFERROR(IF(VLOOKUP(Tue_W1[[#This Row],[Employee Name]],'Base Schedules'!$A$160:$AW$203,46,FALSE)="","",VLOOKUP(Tue_W1[[#This Row],[Employee Name]],'Base Schedules'!$A$160:$AW$203,46,FALSE)),"")</f>
        <v>HL</v>
      </c>
      <c r="AV45" s="184" t="str">
        <f>IFERROR(IF(VLOOKUP(Tue_W1[[#This Row],[Employee Name]],'Base Schedules'!$A$160:$AW$203,47,FALSE)="","",VLOOKUP(Tue_W1[[#This Row],[Employee Name]],'Base Schedules'!$A$160:$AW$203,47,FALSE)),"")</f>
        <v>HL</v>
      </c>
      <c r="AW45" s="184" t="str">
        <f>IFERROR(IF(VLOOKUP(Tue_W1[[#This Row],[Employee Name]],'Base Schedules'!$A$160:$AW$203,48,FALSE)="","",VLOOKUP(Tue_W1[[#This Row],[Employee Name]],'Base Schedules'!$A$160:$AW$203,48,FALSE)),"")</f>
        <v>HL</v>
      </c>
      <c r="AX45" s="184" t="str">
        <f>IFERROR(IF(VLOOKUP(Tue_W1[[#This Row],[Employee Name]],'Base Schedules'!$A$160:$AW$203,49,FALSE)="","",VLOOKUP(Tue_W1[[#This Row],[Employee Name]],'Base Schedules'!$A$160:$AW$203,49,FALSE)),"")</f>
        <v/>
      </c>
      <c r="AY45" s="164" t="str">
        <f t="shared" si="2"/>
        <v>Wonser, Shannon</v>
      </c>
    </row>
    <row r="46" spans="1:51" s="44" customFormat="1" ht="12" x14ac:dyDescent="0.2">
      <c r="A46" s="39" t="str">
        <f>IF(B46="","",INDEX(TeamList[],MATCH($B46,TeamList[[Employee Name]:[Employee Name]],0),MATCH("Manager",TeamList[#Headers],0)))</f>
        <v>Olson, Katherine</v>
      </c>
      <c r="B46" s="201" t="s">
        <v>52</v>
      </c>
      <c r="C46" s="257" t="str">
        <f>_xlfn.IFNA(VLOOKUP(Tue_W1[[#This Row],[Employee Name]],'Base Schedules'!A:B,2,FALSE),"")</f>
        <v>Supervisor</v>
      </c>
      <c r="D46" s="274">
        <f>_xlfn.IFNA(VLOOKUP(Tue_W1[[#This Row],[Employee Name]],'Base Schedules'!A:C,3,FALSE),"")</f>
        <v>1600</v>
      </c>
      <c r="E46" s="274">
        <f>_xlfn.IFNA(VLOOKUP(Tue_W1[[#This Row],[Employee Name]],'Base Schedules'!A:D,4,FALSE),"")</f>
        <v>100</v>
      </c>
      <c r="F46" s="142">
        <f>IF(Tue_W1[[#This Row],[Employee Name]]="","",IF(Tue_W1[[#This Row],[Dept]]="Supervisor",COUNTIFS($J46:$AX46,"*HL*",$J46:$AX46,"&lt;&gt;"&amp;"pHL"),COUNTIFS($J46:$AX46,"*HL*",$J46:$AX46,"&lt;&gt;"&amp;"*pHL*",$J46:$AX46,"&lt;&gt;"&amp;"pB1 HL",$J46:$AX46,"&lt;&gt;"&amp;"pB2 HL")-SUM(COUNTIFS($J46:$AX46,"*HL B1*",$J46:$AX46,"&lt;&gt;"&amp;"pHL B1")*0.5,COUNTIFS($J46:$AX46,"*HL B2*",$J46:$AX46,"&lt;&gt;"&amp;"pHL B2")*0.5,COUNTIFS($J46:$AX46,"*B1 HL*",$J46:$AX46,"&lt;&gt;"&amp;"pB1 HL")*0.5,COUNTIFS($J46:$AX46,"*B2 HL*",$J46:$AX46,"&lt;&gt;"&amp;"pB2 HL")*0.5)))</f>
        <v>0</v>
      </c>
      <c r="G46" s="142">
        <f t="shared" si="0"/>
        <v>5</v>
      </c>
      <c r="H46" s="142">
        <f t="shared" si="1"/>
        <v>0</v>
      </c>
      <c r="I46" s="142">
        <f>IF(Tue_W1[[#This Row],[Employee Name]]="","",IF(Tue_W1[[#This Row],[Dept]]="Supervisor",SUM(COUNTIFS($J46:$AX46,"RTA*",$J46:$AX46,"&lt;&gt;"&amp;"pRTA"),COUNTIFS($J46:$AX46,"*CRTA*",$J46:$AX46,"&lt;&gt;"&amp;"pCRTA")),COUNTIFS($J46:$AX46,"*RNNR*",$J46:$AX46,"&lt;&gt;"&amp;"*pRNNR*",$J46:$AX46,"&lt;&gt;"&amp;"pB1 RNNR",$J46:$AX46,"&lt;&gt;"&amp;"pB2 RNNR")-SUM(COUNTIFS($J46:$AX46,"*RNNR B1*",$J46:$AX46,"&lt;&gt;"&amp;"pRNNR B1")*0.5,COUNTIFS($J46:$AX46,"*RNNR B2*",$J46:$AX46,"&lt;&gt;"&amp;"pRNNR B2")*0.5,COUNTIFS($J46:$AX46,"*B1 RNNR*",$J46:$AX46,"&lt;&gt;"&amp;"pB1 RNNR")*0.5,COUNTIFS($J46:$AX46,"*B2 RNNR*",$J46:$AX46,"&lt;&gt;"&amp;"pB2 RNNR")*0.5)))</f>
        <v>0</v>
      </c>
      <c r="J46" s="184" t="str">
        <f>IFERROR(IF(VLOOKUP(Tue_W1[[#This Row],[Employee Name]],'Base Schedules'!$A$160:$AW$203,9,FALSE)="","",VLOOKUP(Tue_W1[[#This Row],[Employee Name]],'Base Schedules'!$A$160:$AW$203,9,FALSE)),"")</f>
        <v/>
      </c>
      <c r="K46" s="184" t="str">
        <f>IFERROR(IF(VLOOKUP(Tue_W1[[#This Row],[Employee Name]],'Base Schedules'!$A$160:$AW$203,10,FALSE)="","",VLOOKUP(Tue_W1[[#This Row],[Employee Name]],'Base Schedules'!$A$160:$AW$203,10,FALSE)),"")</f>
        <v/>
      </c>
      <c r="L46" s="184" t="str">
        <f>IFERROR(IF(VLOOKUP(Tue_W1[[#This Row],[Employee Name]],'Base Schedules'!$A$160:$AW$203,11,FALSE)="","",VLOOKUP(Tue_W1[[#This Row],[Employee Name]],'Base Schedules'!$A$160:$AW$203,11,FALSE)),"")</f>
        <v/>
      </c>
      <c r="M46" s="184" t="str">
        <f>IFERROR(IF(VLOOKUP(Tue_W1[[#This Row],[Employee Name]],'Base Schedules'!$A$160:$AW$203,12,FALSE)="","",VLOOKUP(Tue_W1[[#This Row],[Employee Name]],'Base Schedules'!$A$160:$AW$203,12,FALSE)),"")</f>
        <v/>
      </c>
      <c r="N46" s="184" t="str">
        <f>IFERROR(IF(VLOOKUP(Tue_W1[[#This Row],[Employee Name]],'Base Schedules'!$A$160:$AW$203,13,FALSE)="","",VLOOKUP(Tue_W1[[#This Row],[Employee Name]],'Base Schedules'!$A$160:$AW$203,13,FALSE)),"")</f>
        <v/>
      </c>
      <c r="O46" s="184" t="str">
        <f>IFERROR(IF(VLOOKUP(Tue_W1[[#This Row],[Employee Name]],'Base Schedules'!$A$160:$AW$203,14,FALSE)="","",VLOOKUP(Tue_W1[[#This Row],[Employee Name]],'Base Schedules'!$A$160:$AW$203,14,FALSE)),"")</f>
        <v/>
      </c>
      <c r="P46" s="184" t="str">
        <f>IFERROR(IF(VLOOKUP(Tue_W1[[#This Row],[Employee Name]],'Base Schedules'!$A$160:$AW$203,15,FALSE)="","",VLOOKUP(Tue_W1[[#This Row],[Employee Name]],'Base Schedules'!$A$160:$AW$203,15,FALSE)),"")</f>
        <v/>
      </c>
      <c r="Q46" s="184" t="str">
        <f>IFERROR(IF(VLOOKUP(Tue_W1[[#This Row],[Employee Name]],'Base Schedules'!$A$160:$AW$203,16,FALSE)="","",VLOOKUP(Tue_W1[[#This Row],[Employee Name]],'Base Schedules'!$A$160:$AW$203,16,FALSE)),"")</f>
        <v/>
      </c>
      <c r="R46" s="184" t="str">
        <f>IFERROR(IF(VLOOKUP(Tue_W1[[#This Row],[Employee Name]],'Base Schedules'!$A$160:$AW$203,17,FALSE)="","",VLOOKUP(Tue_W1[[#This Row],[Employee Name]],'Base Schedules'!$A$160:$AW$203,17,FALSE)),"")</f>
        <v/>
      </c>
      <c r="S46" s="184" t="str">
        <f>IFERROR(IF(VLOOKUP(Tue_W1[[#This Row],[Employee Name]],'Base Schedules'!$A$160:$AW$203,18,FALSE)="","",VLOOKUP(Tue_W1[[#This Row],[Employee Name]],'Base Schedules'!$A$160:$AW$203,18,FALSE)),"")</f>
        <v/>
      </c>
      <c r="T46" s="184" t="str">
        <f>IFERROR(IF(VLOOKUP(Tue_W1[[#This Row],[Employee Name]],'Base Schedules'!$A$160:$AW$203,19,FALSE)="","",VLOOKUP(Tue_W1[[#This Row],[Employee Name]],'Base Schedules'!$A$160:$AW$203,19,FALSE)),"")</f>
        <v/>
      </c>
      <c r="U46" s="184" t="str">
        <f>IFERROR(IF(VLOOKUP(Tue_W1[[#This Row],[Employee Name]],'Base Schedules'!$A$160:$AW$203,20,FALSE)="","",VLOOKUP(Tue_W1[[#This Row],[Employee Name]],'Base Schedules'!$A$160:$AW$203,20,FALSE)),"")</f>
        <v/>
      </c>
      <c r="V46" s="184" t="str">
        <f>IFERROR(IF(VLOOKUP(Tue_W1[[#This Row],[Employee Name]],'Base Schedules'!$A$160:$AW$203,21,FALSE)="","",VLOOKUP(Tue_W1[[#This Row],[Employee Name]],'Base Schedules'!$A$160:$AW$203,21,FALSE)),"")</f>
        <v/>
      </c>
      <c r="W46" s="184" t="str">
        <f>IFERROR(IF(VLOOKUP(Tue_W1[[#This Row],[Employee Name]],'Base Schedules'!$A$160:$AW$203,22,FALSE)="","",VLOOKUP(Tue_W1[[#This Row],[Employee Name]],'Base Schedules'!$A$160:$AW$203,22,FALSE)),"")</f>
        <v/>
      </c>
      <c r="X46" s="184" t="str">
        <f>IFERROR(IF(VLOOKUP(Tue_W1[[#This Row],[Employee Name]],'Base Schedules'!$A$160:$AW$203,23,FALSE)="","",VLOOKUP(Tue_W1[[#This Row],[Employee Name]],'Base Schedules'!$A$160:$AW$203,23,FALSE)),"")</f>
        <v/>
      </c>
      <c r="Y46" s="184" t="str">
        <f>IFERROR(IF(VLOOKUP(Tue_W1[[#This Row],[Employee Name]],'Base Schedules'!$A$160:$AW$203,24,FALSE)="","",VLOOKUP(Tue_W1[[#This Row],[Employee Name]],'Base Schedules'!$A$160:$AW$203,24,FALSE)),"")</f>
        <v/>
      </c>
      <c r="Z46" s="184" t="str">
        <f>IFERROR(IF(VLOOKUP(Tue_W1[[#This Row],[Employee Name]],'Base Schedules'!$A$160:$AW$203,25,FALSE)="","",VLOOKUP(Tue_W1[[#This Row],[Employee Name]],'Base Schedules'!$A$160:$AW$203,25,FALSE)),"")</f>
        <v/>
      </c>
      <c r="AA46" s="184" t="str">
        <f>IFERROR(IF(VLOOKUP(Tue_W1[[#This Row],[Employee Name]],'Base Schedules'!$A$160:$AW$203,26,FALSE)="","",VLOOKUP(Tue_W1[[#This Row],[Employee Name]],'Base Schedules'!$A$160:$AW$203,26,FALSE)),"")</f>
        <v/>
      </c>
      <c r="AB46" s="184" t="str">
        <f>IFERROR(IF(VLOOKUP(Tue_W1[[#This Row],[Employee Name]],'Base Schedules'!$A$160:$AW$203,27,FALSE)="","",VLOOKUP(Tue_W1[[#This Row],[Employee Name]],'Base Schedules'!$A$160:$AW$203,27,FALSE)),"")</f>
        <v/>
      </c>
      <c r="AC46" s="184" t="str">
        <f>IFERROR(IF(VLOOKUP(Tue_W1[[#This Row],[Employee Name]],'Base Schedules'!$A$160:$AW$203,28,FALSE)="","",VLOOKUP(Tue_W1[[#This Row],[Employee Name]],'Base Schedules'!$A$160:$AW$203,28,FALSE)),"")</f>
        <v/>
      </c>
      <c r="AD46" s="184" t="str">
        <f>IFERROR(IF(VLOOKUP(Tue_W1[[#This Row],[Employee Name]],'Base Schedules'!$A$160:$AW$203,29,FALSE)="","",VLOOKUP(Tue_W1[[#This Row],[Employee Name]],'Base Schedules'!$A$160:$AW$203,29,FALSE)),"")</f>
        <v/>
      </c>
      <c r="AE46" s="184" t="str">
        <f>IFERROR(IF(VLOOKUP(Tue_W1[[#This Row],[Employee Name]],'Base Schedules'!$A$160:$AW$203,30,FALSE)="","",VLOOKUP(Tue_W1[[#This Row],[Employee Name]],'Base Schedules'!$A$160:$AW$203,30,FALSE)),"")</f>
        <v/>
      </c>
      <c r="AF46" s="184" t="str">
        <f>IFERROR(IF(VLOOKUP(Tue_W1[[#This Row],[Employee Name]],'Base Schedules'!$A$160:$AW$203,31,FALSE)="","",VLOOKUP(Tue_W1[[#This Row],[Employee Name]],'Base Schedules'!$A$160:$AW$203,31,FALSE)),"")</f>
        <v>-</v>
      </c>
      <c r="AG46" s="184" t="str">
        <f>IFERROR(IF(VLOOKUP(Tue_W1[[#This Row],[Employee Name]],'Base Schedules'!$A$160:$AW$203,32,FALSE)="","",VLOOKUP(Tue_W1[[#This Row],[Employee Name]],'Base Schedules'!$A$160:$AW$203,32,FALSE)),"")</f>
        <v>Coaching</v>
      </c>
      <c r="AH46" s="184" t="str">
        <f>IFERROR(IF(VLOOKUP(Tue_W1[[#This Row],[Employee Name]],'Base Schedules'!$A$160:$AW$203,33,FALSE)="","",VLOOKUP(Tue_W1[[#This Row],[Employee Name]],'Base Schedules'!$A$160:$AW$203,33,FALSE)),"")</f>
        <v>Coaching</v>
      </c>
      <c r="AI46" s="184" t="str">
        <f>IFERROR(IF(VLOOKUP(Tue_W1[[#This Row],[Employee Name]],'Base Schedules'!$A$160:$AW$203,34,FALSE)="","",VLOOKUP(Tue_W1[[#This Row],[Employee Name]],'Base Schedules'!$A$160:$AW$203,34,FALSE)),"")</f>
        <v>Coaching</v>
      </c>
      <c r="AJ46" s="184" t="str">
        <f>IFERROR(IF(VLOOKUP(Tue_W1[[#This Row],[Employee Name]],'Base Schedules'!$A$160:$AW$203,35,FALSE)="","",VLOOKUP(Tue_W1[[#This Row],[Employee Name]],'Base Schedules'!$A$160:$AW$203,35,FALSE)),"")</f>
        <v>Coaching</v>
      </c>
      <c r="AK46" s="184" t="str">
        <f>IFERROR(IF(VLOOKUP(Tue_W1[[#This Row],[Employee Name]],'Base Schedules'!$A$160:$AW$203,36,FALSE)="","",VLOOKUP(Tue_W1[[#This Row],[Employee Name]],'Base Schedules'!$A$160:$AW$203,36,FALSE)),"")</f>
        <v>Coaching</v>
      </c>
      <c r="AL46" s="184" t="str">
        <f>IFERROR(IF(VLOOKUP(Tue_W1[[#This Row],[Employee Name]],'Base Schedules'!$A$160:$AW$203,37,FALSE)="","",VLOOKUP(Tue_W1[[#This Row],[Employee Name]],'Base Schedules'!$A$160:$AW$203,37,FALSE)),"")</f>
        <v>-</v>
      </c>
      <c r="AM46" s="184" t="str">
        <f>IFERROR(IF(VLOOKUP(Tue_W1[[#This Row],[Employee Name]],'Base Schedules'!$A$160:$AW$203,38,FALSE)="","",VLOOKUP(Tue_W1[[#This Row],[Employee Name]],'Base Schedules'!$A$160:$AW$203,38,FALSE)),"")</f>
        <v>-</v>
      </c>
      <c r="AN46" s="184" t="str">
        <f>IFERROR(IF(VLOOKUP(Tue_W1[[#This Row],[Employee Name]],'Base Schedules'!$A$160:$AW$203,39,FALSE)="","",VLOOKUP(Tue_W1[[#This Row],[Employee Name]],'Base Schedules'!$A$160:$AW$203,39,FALSE)),"")</f>
        <v>TM PREP</v>
      </c>
      <c r="AO46" s="184" t="str">
        <f>IFERROR(IF(VLOOKUP(Tue_W1[[#This Row],[Employee Name]],'Base Schedules'!$A$160:$AW$203,40,FALSE)="","",VLOOKUP(Tue_W1[[#This Row],[Employee Name]],'Base Schedules'!$A$160:$AW$203,40,FALSE)),"")</f>
        <v>ZORNICK TM</v>
      </c>
      <c r="AP46" s="184" t="str">
        <f>IFERROR(IF(VLOOKUP(Tue_W1[[#This Row],[Employee Name]],'Base Schedules'!$A$160:$AW$203,41,FALSE)="","",VLOOKUP(Tue_W1[[#This Row],[Employee Name]],'Base Schedules'!$A$160:$AW$203,41,FALSE)),"")</f>
        <v>ZORNICK TM</v>
      </c>
      <c r="AQ46" s="184" t="str">
        <f>IFERROR(IF(VLOOKUP(Tue_W1[[#This Row],[Employee Name]],'Base Schedules'!$A$160:$AW$203,42,FALSE)="","",VLOOKUP(Tue_W1[[#This Row],[Employee Name]],'Base Schedules'!$A$160:$AW$203,42,FALSE)),"")</f>
        <v>-</v>
      </c>
      <c r="AR46" s="184" t="str">
        <f>IFERROR(IF(VLOOKUP(Tue_W1[[#This Row],[Employee Name]],'Base Schedules'!$A$160:$AW$203,43,FALSE)="","",VLOOKUP(Tue_W1[[#This Row],[Employee Name]],'Base Schedules'!$A$160:$AW$203,43,FALSE)),"")</f>
        <v>-</v>
      </c>
      <c r="AS46" s="184" t="str">
        <f>IFERROR(IF(VLOOKUP(Tue_W1[[#This Row],[Employee Name]],'Base Schedules'!$A$160:$AW$203,44,FALSE)="","",VLOOKUP(Tue_W1[[#This Row],[Employee Name]],'Base Schedules'!$A$160:$AW$203,44,FALSE)),"")</f>
        <v>-</v>
      </c>
      <c r="AT46" s="184" t="str">
        <f>IFERROR(IF(VLOOKUP(Tue_W1[[#This Row],[Employee Name]],'Base Schedules'!$A$160:$AW$203,45,FALSE)="","",VLOOKUP(Tue_W1[[#This Row],[Employee Name]],'Base Schedules'!$A$160:$AW$203,45,FALSE)),"")</f>
        <v>-</v>
      </c>
      <c r="AU46" s="184" t="str">
        <f>IFERROR(IF(VLOOKUP(Tue_W1[[#This Row],[Employee Name]],'Base Schedules'!$A$160:$AW$203,46,FALSE)="","",VLOOKUP(Tue_W1[[#This Row],[Employee Name]],'Base Schedules'!$A$160:$AW$203,46,FALSE)),"")</f>
        <v>-</v>
      </c>
      <c r="AV46" s="184" t="str">
        <f>IFERROR(IF(VLOOKUP(Tue_W1[[#This Row],[Employee Name]],'Base Schedules'!$A$160:$AW$203,47,FALSE)="","",VLOOKUP(Tue_W1[[#This Row],[Employee Name]],'Base Schedules'!$A$160:$AW$203,47,FALSE)),"")</f>
        <v>-</v>
      </c>
      <c r="AW46" s="184" t="str">
        <f>IFERROR(IF(VLOOKUP(Tue_W1[[#This Row],[Employee Name]],'Base Schedules'!$A$160:$AW$203,48,FALSE)="","",VLOOKUP(Tue_W1[[#This Row],[Employee Name]],'Base Schedules'!$A$160:$AW$203,48,FALSE)),"")</f>
        <v>-</v>
      </c>
      <c r="AX46" s="184" t="str">
        <f>IFERROR(IF(VLOOKUP(Tue_W1[[#This Row],[Employee Name]],'Base Schedules'!$A$160:$AW$203,49,FALSE)="","",VLOOKUP(Tue_W1[[#This Row],[Employee Name]],'Base Schedules'!$A$160:$AW$203,49,FALSE)),"")</f>
        <v/>
      </c>
      <c r="AY46" s="165" t="str">
        <f t="shared" si="2"/>
        <v>Zornick, David</v>
      </c>
    </row>
    <row r="47" spans="1:51" s="44" customFormat="1" thickBot="1" x14ac:dyDescent="0.25">
      <c r="A47" s="39" t="str">
        <f>IF(B47="","",INDEX(TeamList[],MATCH($B47,TeamList[[Employee Name]:[Employee Name]],0),MATCH("Manager",TeamList[#Headers],0)))</f>
        <v>Olson, Katherine</v>
      </c>
      <c r="B47" s="201" t="s">
        <v>229</v>
      </c>
      <c r="C47" s="257" t="str">
        <f>_xlfn.IFNA(VLOOKUP(Tue_W1[[#This Row],[Employee Name]],'Base Schedules'!A:B,2,FALSE),"")</f>
        <v>Lead</v>
      </c>
      <c r="D47" s="274">
        <f>_xlfn.IFNA(VLOOKUP(Tue_W1[[#This Row],[Employee Name]],'Base Schedules'!A:C,3,FALSE),"")</f>
        <v>1630</v>
      </c>
      <c r="E47" s="274">
        <f>_xlfn.IFNA(VLOOKUP(Tue_W1[[#This Row],[Employee Name]],'Base Schedules'!A:D,4,FALSE),"")</f>
        <v>100</v>
      </c>
      <c r="F47" s="142">
        <f>IF(Tue_W1[[#This Row],[Employee Name]]="","",IF(Tue_W1[[#This Row],[Dept]]="Supervisor",COUNTIFS($J47:$AX47,"*HL*",$J47:$AX47,"&lt;&gt;"&amp;"pHL"),COUNTIFS($J47:$AX47,"*HL*",$J47:$AX47,"&lt;&gt;"&amp;"*pHL*",$J47:$AX47,"&lt;&gt;"&amp;"pB1 HL",$J47:$AX47,"&lt;&gt;"&amp;"pB2 HL")-SUM(COUNTIFS($J47:$AX47,"*HL B1*",$J47:$AX47,"&lt;&gt;"&amp;"pHL B1")*0.5,COUNTIFS($J47:$AX47,"*HL B2*",$J47:$AX47,"&lt;&gt;"&amp;"pHL B2")*0.5,COUNTIFS($J47:$AX47,"*B1 HL*",$J47:$AX47,"&lt;&gt;"&amp;"pB1 HL")*0.5,COUNTIFS($J47:$AX47,"*B2 HL*",$J47:$AX47,"&lt;&gt;"&amp;"pB2 HL")*0.5)))</f>
        <v>8.5</v>
      </c>
      <c r="G47" s="142">
        <f t="shared" si="0"/>
        <v>0</v>
      </c>
      <c r="H47" s="142">
        <f t="shared" si="1"/>
        <v>3</v>
      </c>
      <c r="I47" s="142">
        <f>IF(Tue_W1[[#This Row],[Employee Name]]="","",IF(Tue_W1[[#This Row],[Dept]]="Supervisor",SUM(COUNTIFS($J47:$AX47,"RTA*",$J47:$AX47,"&lt;&gt;"&amp;"pRTA"),COUNTIFS($J47:$AX47,"*CRTA*",$J47:$AX47,"&lt;&gt;"&amp;"pCRTA")),COUNTIFS($J47:$AX47,"*RNNR*",$J47:$AX47,"&lt;&gt;"&amp;"*pRNNR*",$J47:$AX47,"&lt;&gt;"&amp;"pB1 RNNR",$J47:$AX47,"&lt;&gt;"&amp;"pB2 RNNR")-SUM(COUNTIFS($J47:$AX47,"*RNNR B1*",$J47:$AX47,"&lt;&gt;"&amp;"pRNNR B1")*0.5,COUNTIFS($J47:$AX47,"*RNNR B2*",$J47:$AX47,"&lt;&gt;"&amp;"pRNNR B2")*0.5,COUNTIFS($J47:$AX47,"*B1 RNNR*",$J47:$AX47,"&lt;&gt;"&amp;"pB1 RNNR")*0.5,COUNTIFS($J47:$AX47,"*B2 RNNR*",$J47:$AX47,"&lt;&gt;"&amp;"pB2 RNNR")*0.5)))</f>
        <v>2</v>
      </c>
      <c r="J47" s="184" t="str">
        <f>IFERROR(IF(VLOOKUP(Tue_W1[[#This Row],[Employee Name]],'Base Schedules'!$A$160:$AW$203,9,FALSE)="","",VLOOKUP(Tue_W1[[#This Row],[Employee Name]],'Base Schedules'!$A$160:$AW$203,9,FALSE)),"")</f>
        <v/>
      </c>
      <c r="K47" s="184" t="str">
        <f>IFERROR(IF(VLOOKUP(Tue_W1[[#This Row],[Employee Name]],'Base Schedules'!$A$160:$AW$203,10,FALSE)="","",VLOOKUP(Tue_W1[[#This Row],[Employee Name]],'Base Schedules'!$A$160:$AW$203,10,FALSE)),"")</f>
        <v/>
      </c>
      <c r="L47" s="184" t="str">
        <f>IFERROR(IF(VLOOKUP(Tue_W1[[#This Row],[Employee Name]],'Base Schedules'!$A$160:$AW$203,11,FALSE)="","",VLOOKUP(Tue_W1[[#This Row],[Employee Name]],'Base Schedules'!$A$160:$AW$203,11,FALSE)),"")</f>
        <v/>
      </c>
      <c r="M47" s="184" t="str">
        <f>IFERROR(IF(VLOOKUP(Tue_W1[[#This Row],[Employee Name]],'Base Schedules'!$A$160:$AW$203,12,FALSE)="","",VLOOKUP(Tue_W1[[#This Row],[Employee Name]],'Base Schedules'!$A$160:$AW$203,12,FALSE)),"")</f>
        <v/>
      </c>
      <c r="N47" s="184" t="str">
        <f>IFERROR(IF(VLOOKUP(Tue_W1[[#This Row],[Employee Name]],'Base Schedules'!$A$160:$AW$203,13,FALSE)="","",VLOOKUP(Tue_W1[[#This Row],[Employee Name]],'Base Schedules'!$A$160:$AW$203,13,FALSE)),"")</f>
        <v/>
      </c>
      <c r="O47" s="184" t="str">
        <f>IFERROR(IF(VLOOKUP(Tue_W1[[#This Row],[Employee Name]],'Base Schedules'!$A$160:$AW$203,14,FALSE)="","",VLOOKUP(Tue_W1[[#This Row],[Employee Name]],'Base Schedules'!$A$160:$AW$203,14,FALSE)),"")</f>
        <v/>
      </c>
      <c r="P47" s="184" t="str">
        <f>IFERROR(IF(VLOOKUP(Tue_W1[[#This Row],[Employee Name]],'Base Schedules'!$A$160:$AW$203,15,FALSE)="","",VLOOKUP(Tue_W1[[#This Row],[Employee Name]],'Base Schedules'!$A$160:$AW$203,15,FALSE)),"")</f>
        <v/>
      </c>
      <c r="Q47" s="184" t="str">
        <f>IFERROR(IF(VLOOKUP(Tue_W1[[#This Row],[Employee Name]],'Base Schedules'!$A$160:$AW$203,16,FALSE)="","",VLOOKUP(Tue_W1[[#This Row],[Employee Name]],'Base Schedules'!$A$160:$AW$203,16,FALSE)),"")</f>
        <v/>
      </c>
      <c r="R47" s="184" t="str">
        <f>IFERROR(IF(VLOOKUP(Tue_W1[[#This Row],[Employee Name]],'Base Schedules'!$A$160:$AW$203,17,FALSE)="","",VLOOKUP(Tue_W1[[#This Row],[Employee Name]],'Base Schedules'!$A$160:$AW$203,17,FALSE)),"")</f>
        <v/>
      </c>
      <c r="S47" s="184" t="str">
        <f>IFERROR(IF(VLOOKUP(Tue_W1[[#This Row],[Employee Name]],'Base Schedules'!$A$160:$AW$203,18,FALSE)="","",VLOOKUP(Tue_W1[[#This Row],[Employee Name]],'Base Schedules'!$A$160:$AW$203,18,FALSE)),"")</f>
        <v/>
      </c>
      <c r="T47" s="184" t="str">
        <f>IFERROR(IF(VLOOKUP(Tue_W1[[#This Row],[Employee Name]],'Base Schedules'!$A$160:$AW$203,19,FALSE)="","",VLOOKUP(Tue_W1[[#This Row],[Employee Name]],'Base Schedules'!$A$160:$AW$203,19,FALSE)),"")</f>
        <v/>
      </c>
      <c r="U47" s="184" t="str">
        <f>IFERROR(IF(VLOOKUP(Tue_W1[[#This Row],[Employee Name]],'Base Schedules'!$A$160:$AW$203,20,FALSE)="","",VLOOKUP(Tue_W1[[#This Row],[Employee Name]],'Base Schedules'!$A$160:$AW$203,20,FALSE)),"")</f>
        <v/>
      </c>
      <c r="V47" s="184" t="str">
        <f>IFERROR(IF(VLOOKUP(Tue_W1[[#This Row],[Employee Name]],'Base Schedules'!$A$160:$AW$203,21,FALSE)="","",VLOOKUP(Tue_W1[[#This Row],[Employee Name]],'Base Schedules'!$A$160:$AW$203,21,FALSE)),"")</f>
        <v/>
      </c>
      <c r="W47" s="184" t="str">
        <f>IFERROR(IF(VLOOKUP(Tue_W1[[#This Row],[Employee Name]],'Base Schedules'!$A$160:$AW$203,22,FALSE)="","",VLOOKUP(Tue_W1[[#This Row],[Employee Name]],'Base Schedules'!$A$160:$AW$203,22,FALSE)),"")</f>
        <v/>
      </c>
      <c r="X47" s="184" t="str">
        <f>IFERROR(IF(VLOOKUP(Tue_W1[[#This Row],[Employee Name]],'Base Schedules'!$A$160:$AW$203,23,FALSE)="","",VLOOKUP(Tue_W1[[#This Row],[Employee Name]],'Base Schedules'!$A$160:$AW$203,23,FALSE)),"")</f>
        <v/>
      </c>
      <c r="Y47" s="184" t="str">
        <f>IFERROR(IF(VLOOKUP(Tue_W1[[#This Row],[Employee Name]],'Base Schedules'!$A$160:$AW$203,24,FALSE)="","",VLOOKUP(Tue_W1[[#This Row],[Employee Name]],'Base Schedules'!$A$160:$AW$203,24,FALSE)),"")</f>
        <v/>
      </c>
      <c r="Z47" s="184" t="str">
        <f>IFERROR(IF(VLOOKUP(Tue_W1[[#This Row],[Employee Name]],'Base Schedules'!$A$160:$AW$203,25,FALSE)="","",VLOOKUP(Tue_W1[[#This Row],[Employee Name]],'Base Schedules'!$A$160:$AW$203,25,FALSE)),"")</f>
        <v/>
      </c>
      <c r="AA47" s="184" t="str">
        <f>IFERROR(IF(VLOOKUP(Tue_W1[[#This Row],[Employee Name]],'Base Schedules'!$A$160:$AW$203,26,FALSE)="","",VLOOKUP(Tue_W1[[#This Row],[Employee Name]],'Base Schedules'!$A$160:$AW$203,26,FALSE)),"")</f>
        <v/>
      </c>
      <c r="AB47" s="184" t="str">
        <f>IFERROR(IF(VLOOKUP(Tue_W1[[#This Row],[Employee Name]],'Base Schedules'!$A$160:$AW$203,27,FALSE)="","",VLOOKUP(Tue_W1[[#This Row],[Employee Name]],'Base Schedules'!$A$160:$AW$203,27,FALSE)),"")</f>
        <v/>
      </c>
      <c r="AC47" s="184" t="str">
        <f>IFERROR(IF(VLOOKUP(Tue_W1[[#This Row],[Employee Name]],'Base Schedules'!$A$160:$AW$203,28,FALSE)="","",VLOOKUP(Tue_W1[[#This Row],[Employee Name]],'Base Schedules'!$A$160:$AW$203,28,FALSE)),"")</f>
        <v/>
      </c>
      <c r="AD47" s="184" t="str">
        <f>IFERROR(IF(VLOOKUP(Tue_W1[[#This Row],[Employee Name]],'Base Schedules'!$A$160:$AW$203,29,FALSE)="","",VLOOKUP(Tue_W1[[#This Row],[Employee Name]],'Base Schedules'!$A$160:$AW$203,29,FALSE)),"")</f>
        <v/>
      </c>
      <c r="AE47" s="184" t="str">
        <f>IFERROR(IF(VLOOKUP(Tue_W1[[#This Row],[Employee Name]],'Base Schedules'!$A$160:$AW$203,30,FALSE)="","",VLOOKUP(Tue_W1[[#This Row],[Employee Name]],'Base Schedules'!$A$160:$AW$203,30,FALSE)),"")</f>
        <v/>
      </c>
      <c r="AF47" s="184" t="str">
        <f>IFERROR(IF(VLOOKUP(Tue_W1[[#This Row],[Employee Name]],'Base Schedules'!$A$160:$AW$203,31,FALSE)="","",VLOOKUP(Tue_W1[[#This Row],[Employee Name]],'Base Schedules'!$A$160:$AW$203,31,FALSE)),"")</f>
        <v/>
      </c>
      <c r="AG47" s="184" t="str">
        <f>IFERROR(IF(VLOOKUP(Tue_W1[[#This Row],[Employee Name]],'Base Schedules'!$A$160:$AW$203,32,FALSE)="","",VLOOKUP(Tue_W1[[#This Row],[Employee Name]],'Base Schedules'!$A$160:$AW$203,32,FALSE)),"")</f>
        <v>HL</v>
      </c>
      <c r="AH47" s="184" t="str">
        <f>IFERROR(IF(VLOOKUP(Tue_W1[[#This Row],[Employee Name]],'Base Schedules'!$A$160:$AW$203,33,FALSE)="","",VLOOKUP(Tue_W1[[#This Row],[Employee Name]],'Base Schedules'!$A$160:$AW$203,33,FALSE)),"")</f>
        <v>RNNR</v>
      </c>
      <c r="AI47" s="184" t="str">
        <f>IFERROR(IF(VLOOKUP(Tue_W1[[#This Row],[Employee Name]],'Base Schedules'!$A$160:$AW$203,34,FALSE)="","",VLOOKUP(Tue_W1[[#This Row],[Employee Name]],'Base Schedules'!$A$160:$AW$203,34,FALSE)),"")</f>
        <v>RNNR</v>
      </c>
      <c r="AJ47" s="184" t="str">
        <f>IFERROR(IF(VLOOKUP(Tue_W1[[#This Row],[Employee Name]],'Base Schedules'!$A$160:$AW$203,35,FALSE)="","",VLOOKUP(Tue_W1[[#This Row],[Employee Name]],'Base Schedules'!$A$160:$AW$203,35,FALSE)),"")</f>
        <v>ADM</v>
      </c>
      <c r="AK47" s="184" t="str">
        <f>IFERROR(IF(VLOOKUP(Tue_W1[[#This Row],[Employee Name]],'Base Schedules'!$A$160:$AW$203,36,FALSE)="","",VLOOKUP(Tue_W1[[#This Row],[Employee Name]],'Base Schedules'!$A$160:$AW$203,36,FALSE)),"")</f>
        <v>B1 ADM</v>
      </c>
      <c r="AL47" s="184" t="str">
        <f>IFERROR(IF(VLOOKUP(Tue_W1[[#This Row],[Employee Name]],'Base Schedules'!$A$160:$AW$203,37,FALSE)="","",VLOOKUP(Tue_W1[[#This Row],[Employee Name]],'Base Schedules'!$A$160:$AW$203,37,FALSE)),"")</f>
        <v>ADM</v>
      </c>
      <c r="AM47" s="184" t="str">
        <f>IFERROR(IF(VLOOKUP(Tue_W1[[#This Row],[Employee Name]],'Base Schedules'!$A$160:$AW$203,38,FALSE)="","",VLOOKUP(Tue_W1[[#This Row],[Employee Name]],'Base Schedules'!$A$160:$AW$203,38,FALSE)),"")</f>
        <v>HL</v>
      </c>
      <c r="AN47" s="184" t="str">
        <f>IFERROR(IF(VLOOKUP(Tue_W1[[#This Row],[Employee Name]],'Base Schedules'!$A$160:$AW$203,39,FALSE)="","",VLOOKUP(Tue_W1[[#This Row],[Employee Name]],'Base Schedules'!$A$160:$AW$203,39,FALSE)),"")</f>
        <v>LUNCH</v>
      </c>
      <c r="AO47" s="184" t="str">
        <f>IFERROR(IF(VLOOKUP(Tue_W1[[#This Row],[Employee Name]],'Base Schedules'!$A$160:$AW$203,40,FALSE)="","",VLOOKUP(Tue_W1[[#This Row],[Employee Name]],'Base Schedules'!$A$160:$AW$203,40,FALSE)),"")</f>
        <v>PROJECT</v>
      </c>
      <c r="AP47" s="184" t="str">
        <f>IFERROR(IF(VLOOKUP(Tue_W1[[#This Row],[Employee Name]],'Base Schedules'!$A$160:$AW$203,41,FALSE)="","",VLOOKUP(Tue_W1[[#This Row],[Employee Name]],'Base Schedules'!$A$160:$AW$203,41,FALSE)),"")</f>
        <v>PROJECT</v>
      </c>
      <c r="AQ47" s="184" t="str">
        <f>IFERROR(IF(VLOOKUP(Tue_W1[[#This Row],[Employee Name]],'Base Schedules'!$A$160:$AW$203,42,FALSE)="","",VLOOKUP(Tue_W1[[#This Row],[Employee Name]],'Base Schedules'!$A$160:$AW$203,42,FALSE)),"")</f>
        <v>HL</v>
      </c>
      <c r="AR47" s="184" t="str">
        <f>IFERROR(IF(VLOOKUP(Tue_W1[[#This Row],[Employee Name]],'Base Schedules'!$A$160:$AW$203,43,FALSE)="","",VLOOKUP(Tue_W1[[#This Row],[Employee Name]],'Base Schedules'!$A$160:$AW$203,43,FALSE)),"")</f>
        <v>HL</v>
      </c>
      <c r="AS47" s="184" t="str">
        <f>IFERROR(IF(VLOOKUP(Tue_W1[[#This Row],[Employee Name]],'Base Schedules'!$A$160:$AW$203,44,FALSE)="","",VLOOKUP(Tue_W1[[#This Row],[Employee Name]],'Base Schedules'!$A$160:$AW$203,44,FALSE)),"")</f>
        <v>B2 HL</v>
      </c>
      <c r="AT47" s="184" t="str">
        <f>IFERROR(IF(VLOOKUP(Tue_W1[[#This Row],[Employee Name]],'Base Schedules'!$A$160:$AW$203,45,FALSE)="","",VLOOKUP(Tue_W1[[#This Row],[Employee Name]],'Base Schedules'!$A$160:$AW$203,45,FALSE)),"")</f>
        <v>HL</v>
      </c>
      <c r="AU47" s="184" t="str">
        <f>IFERROR(IF(VLOOKUP(Tue_W1[[#This Row],[Employee Name]],'Base Schedules'!$A$160:$AW$203,46,FALSE)="","",VLOOKUP(Tue_W1[[#This Row],[Employee Name]],'Base Schedules'!$A$160:$AW$203,46,FALSE)),"")</f>
        <v>HL</v>
      </c>
      <c r="AV47" s="184" t="str">
        <f>IFERROR(IF(VLOOKUP(Tue_W1[[#This Row],[Employee Name]],'Base Schedules'!$A$160:$AW$203,47,FALSE)="","",VLOOKUP(Tue_W1[[#This Row],[Employee Name]],'Base Schedules'!$A$160:$AW$203,47,FALSE)),"")</f>
        <v>HL</v>
      </c>
      <c r="AW47" s="184" t="str">
        <f>IFERROR(IF(VLOOKUP(Tue_W1[[#This Row],[Employee Name]],'Base Schedules'!$A$160:$AW$203,48,FALSE)="","",VLOOKUP(Tue_W1[[#This Row],[Employee Name]],'Base Schedules'!$A$160:$AW$203,48,FALSE)),"")</f>
        <v>HL</v>
      </c>
      <c r="AX47" s="184" t="str">
        <f>IFERROR(IF(VLOOKUP(Tue_W1[[#This Row],[Employee Name]],'Base Schedules'!$A$160:$AW$203,49,FALSE)="","",VLOOKUP(Tue_W1[[#This Row],[Employee Name]],'Base Schedules'!$A$160:$AW$203,49,FALSE)),"")</f>
        <v/>
      </c>
      <c r="AY47" s="164" t="str">
        <f t="shared" si="2"/>
        <v>Fairbrother, Amy</v>
      </c>
    </row>
    <row r="48" spans="1:51" s="44" customFormat="1" hidden="1" thickBot="1" x14ac:dyDescent="0.25">
      <c r="A48" s="39" t="str">
        <f>IF(B48="","",INDEX(TeamList[],MATCH($B48,TeamList[[Employee Name]:[Employee Name]],0),MATCH("Manager",TeamList[#Headers],0)))</f>
        <v/>
      </c>
      <c r="B48" s="201"/>
      <c r="C48" s="257" t="str">
        <f>_xlfn.IFNA(VLOOKUP(Tue_W1[[#This Row],[Employee Name]],'Base Schedules'!A:B,2,FALSE),"")</f>
        <v/>
      </c>
      <c r="D48" s="274" t="str">
        <f>_xlfn.IFNA(VLOOKUP(Tue_W1[[#This Row],[Employee Name]],'Base Schedules'!A:C,3,FALSE),"")</f>
        <v/>
      </c>
      <c r="E48" s="274" t="str">
        <f>_xlfn.IFNA(VLOOKUP(Tue_W1[[#This Row],[Employee Name]],'Base Schedules'!A:D,4,FALSE),"")</f>
        <v/>
      </c>
      <c r="F48" s="142" t="str">
        <f>IF(Tue_W1[[#This Row],[Employee Name]]="","",IF(Tue_W1[[#This Row],[Dept]]="Supervisor",COUNTIFS($J48:$AX48,"*HL*",$J48:$AX48,"&lt;&gt;"&amp;"pHL"),COUNTIFS($J48:$AX48,"*HL*",$J48:$AX48,"&lt;&gt;"&amp;"*pHL*",$J48:$AX48,"&lt;&gt;"&amp;"pB1 HL",$J48:$AX48,"&lt;&gt;"&amp;"pB2 HL")-SUM(COUNTIFS($J48:$AX48,"*HL B1*",$J48:$AX48,"&lt;&gt;"&amp;"pHL B1")*0.5,COUNTIFS($J48:$AX48,"*HL B2*",$J48:$AX48,"&lt;&gt;"&amp;"pHL B2")*0.5,COUNTIFS($J48:$AX48,"*B1 HL*",$J48:$AX48,"&lt;&gt;"&amp;"pB1 HL")*0.5,COUNTIFS($J48:$AX48,"*B2 HL*",$J48:$AX48,"&lt;&gt;"&amp;"pB2 HL")*0.5)))</f>
        <v/>
      </c>
      <c r="G48" s="142" t="str">
        <f t="shared" si="0"/>
        <v/>
      </c>
      <c r="H48" s="142" t="str">
        <f t="shared" si="1"/>
        <v/>
      </c>
      <c r="I48" s="142" t="str">
        <f>IF(Tue_W1[[#This Row],[Employee Name]]="","",IF(Tue_W1[[#This Row],[Dept]]="Supervisor",SUM(COUNTIFS($J48:$AX48,"RTA*",$J48:$AX48,"&lt;&gt;"&amp;"pRTA"),COUNTIFS($J48:$AX48,"*CRTA*",$J48:$AX48,"&lt;&gt;"&amp;"pCRTA")),COUNTIFS($J48:$AX48,"*RNNR*",$J48:$AX48,"&lt;&gt;"&amp;"*pRNNR*",$J48:$AX48,"&lt;&gt;"&amp;"pB1 RNNR",$J48:$AX48,"&lt;&gt;"&amp;"pB2 RNNR")-SUM(COUNTIFS($J48:$AX48,"*RNNR B1*",$J48:$AX48,"&lt;&gt;"&amp;"pRNNR B1")*0.5,COUNTIFS($J48:$AX48,"*RNNR B2*",$J48:$AX48,"&lt;&gt;"&amp;"pRNNR B2")*0.5,COUNTIFS($J48:$AX48,"*B1 RNNR*",$J48:$AX48,"&lt;&gt;"&amp;"pB1 RNNR")*0.5,COUNTIFS($J48:$AX48,"*B2 RNNR*",$J48:$AX48,"&lt;&gt;"&amp;"pB2 RNNR")*0.5)))</f>
        <v/>
      </c>
      <c r="J48" s="184" t="str">
        <f>IFERROR(IF(VLOOKUP(Tue_W1[[#This Row],[Employee Name]],'Base Schedules'!$A$160:$AW$203,9,FALSE)="","",VLOOKUP(Tue_W1[[#This Row],[Employee Name]],'Base Schedules'!$A$160:$AW$203,9,FALSE)),"")</f>
        <v/>
      </c>
      <c r="K48" s="184" t="str">
        <f>IFERROR(IF(VLOOKUP(Tue_W1[[#This Row],[Employee Name]],'Base Schedules'!$A$160:$AW$203,10,FALSE)="","",VLOOKUP(Tue_W1[[#This Row],[Employee Name]],'Base Schedules'!$A$160:$AW$203,10,FALSE)),"")</f>
        <v/>
      </c>
      <c r="L48" s="184" t="str">
        <f>IFERROR(IF(VLOOKUP(Tue_W1[[#This Row],[Employee Name]],'Base Schedules'!$A$160:$AW$203,11,FALSE)="","",VLOOKUP(Tue_W1[[#This Row],[Employee Name]],'Base Schedules'!$A$160:$AW$203,11,FALSE)),"")</f>
        <v/>
      </c>
      <c r="M48" s="184" t="str">
        <f>IFERROR(IF(VLOOKUP(Tue_W1[[#This Row],[Employee Name]],'Base Schedules'!$A$160:$AW$203,12,FALSE)="","",VLOOKUP(Tue_W1[[#This Row],[Employee Name]],'Base Schedules'!$A$160:$AW$203,12,FALSE)),"")</f>
        <v/>
      </c>
      <c r="N48" s="184" t="str">
        <f>IFERROR(IF(VLOOKUP(Tue_W1[[#This Row],[Employee Name]],'Base Schedules'!$A$160:$AW$203,13,FALSE)="","",VLOOKUP(Tue_W1[[#This Row],[Employee Name]],'Base Schedules'!$A$160:$AW$203,13,FALSE)),"")</f>
        <v/>
      </c>
      <c r="O48" s="184" t="str">
        <f>IFERROR(IF(VLOOKUP(Tue_W1[[#This Row],[Employee Name]],'Base Schedules'!$A$160:$AW$203,14,FALSE)="","",VLOOKUP(Tue_W1[[#This Row],[Employee Name]],'Base Schedules'!$A$160:$AW$203,14,FALSE)),"")</f>
        <v/>
      </c>
      <c r="P48" s="184" t="str">
        <f>IFERROR(IF(VLOOKUP(Tue_W1[[#This Row],[Employee Name]],'Base Schedules'!$A$160:$AW$203,15,FALSE)="","",VLOOKUP(Tue_W1[[#This Row],[Employee Name]],'Base Schedules'!$A$160:$AW$203,15,FALSE)),"")</f>
        <v/>
      </c>
      <c r="Q48" s="184" t="str">
        <f>IFERROR(IF(VLOOKUP(Tue_W1[[#This Row],[Employee Name]],'Base Schedules'!$A$160:$AW$203,16,FALSE)="","",VLOOKUP(Tue_W1[[#This Row],[Employee Name]],'Base Schedules'!$A$160:$AW$203,16,FALSE)),"")</f>
        <v/>
      </c>
      <c r="R48" s="184" t="str">
        <f>IFERROR(IF(VLOOKUP(Tue_W1[[#This Row],[Employee Name]],'Base Schedules'!$A$160:$AW$203,17,FALSE)="","",VLOOKUP(Tue_W1[[#This Row],[Employee Name]],'Base Schedules'!$A$160:$AW$203,17,FALSE)),"")</f>
        <v/>
      </c>
      <c r="S48" s="184" t="str">
        <f>IFERROR(IF(VLOOKUP(Tue_W1[[#This Row],[Employee Name]],'Base Schedules'!$A$160:$AW$203,18,FALSE)="","",VLOOKUP(Tue_W1[[#This Row],[Employee Name]],'Base Schedules'!$A$160:$AW$203,18,FALSE)),"")</f>
        <v/>
      </c>
      <c r="T48" s="184" t="str">
        <f>IFERROR(IF(VLOOKUP(Tue_W1[[#This Row],[Employee Name]],'Base Schedules'!$A$160:$AW$203,19,FALSE)="","",VLOOKUP(Tue_W1[[#This Row],[Employee Name]],'Base Schedules'!$A$160:$AW$203,19,FALSE)),"")</f>
        <v/>
      </c>
      <c r="U48" s="184" t="str">
        <f>IFERROR(IF(VLOOKUP(Tue_W1[[#This Row],[Employee Name]],'Base Schedules'!$A$160:$AW$203,20,FALSE)="","",VLOOKUP(Tue_W1[[#This Row],[Employee Name]],'Base Schedules'!$A$160:$AW$203,20,FALSE)),"")</f>
        <v/>
      </c>
      <c r="V48" s="184" t="str">
        <f>IFERROR(IF(VLOOKUP(Tue_W1[[#This Row],[Employee Name]],'Base Schedules'!$A$160:$AW$203,21,FALSE)="","",VLOOKUP(Tue_W1[[#This Row],[Employee Name]],'Base Schedules'!$A$160:$AW$203,21,FALSE)),"")</f>
        <v/>
      </c>
      <c r="W48" s="184" t="str">
        <f>IFERROR(IF(VLOOKUP(Tue_W1[[#This Row],[Employee Name]],'Base Schedules'!$A$160:$AW$203,22,FALSE)="","",VLOOKUP(Tue_W1[[#This Row],[Employee Name]],'Base Schedules'!$A$160:$AW$203,22,FALSE)),"")</f>
        <v/>
      </c>
      <c r="X48" s="184" t="str">
        <f>IFERROR(IF(VLOOKUP(Tue_W1[[#This Row],[Employee Name]],'Base Schedules'!$A$160:$AW$203,23,FALSE)="","",VLOOKUP(Tue_W1[[#This Row],[Employee Name]],'Base Schedules'!$A$160:$AW$203,23,FALSE)),"")</f>
        <v/>
      </c>
      <c r="Y48" s="184" t="str">
        <f>IFERROR(IF(VLOOKUP(Tue_W1[[#This Row],[Employee Name]],'Base Schedules'!$A$160:$AW$203,24,FALSE)="","",VLOOKUP(Tue_W1[[#This Row],[Employee Name]],'Base Schedules'!$A$160:$AW$203,24,FALSE)),"")</f>
        <v/>
      </c>
      <c r="Z48" s="184" t="str">
        <f>IFERROR(IF(VLOOKUP(Tue_W1[[#This Row],[Employee Name]],'Base Schedules'!$A$160:$AW$203,25,FALSE)="","",VLOOKUP(Tue_W1[[#This Row],[Employee Name]],'Base Schedules'!$A$160:$AW$203,25,FALSE)),"")</f>
        <v/>
      </c>
      <c r="AA48" s="184" t="str">
        <f>IFERROR(IF(VLOOKUP(Tue_W1[[#This Row],[Employee Name]],'Base Schedules'!$A$160:$AW$203,26,FALSE)="","",VLOOKUP(Tue_W1[[#This Row],[Employee Name]],'Base Schedules'!$A$160:$AW$203,26,FALSE)),"")</f>
        <v/>
      </c>
      <c r="AB48" s="184" t="str">
        <f>IFERROR(IF(VLOOKUP(Tue_W1[[#This Row],[Employee Name]],'Base Schedules'!$A$160:$AW$203,27,FALSE)="","",VLOOKUP(Tue_W1[[#This Row],[Employee Name]],'Base Schedules'!$A$160:$AW$203,27,FALSE)),"")</f>
        <v/>
      </c>
      <c r="AC48" s="184" t="str">
        <f>IFERROR(IF(VLOOKUP(Tue_W1[[#This Row],[Employee Name]],'Base Schedules'!$A$160:$AW$203,28,FALSE)="","",VLOOKUP(Tue_W1[[#This Row],[Employee Name]],'Base Schedules'!$A$160:$AW$203,28,FALSE)),"")</f>
        <v/>
      </c>
      <c r="AD48" s="184" t="str">
        <f>IFERROR(IF(VLOOKUP(Tue_W1[[#This Row],[Employee Name]],'Base Schedules'!$A$160:$AW$203,29,FALSE)="","",VLOOKUP(Tue_W1[[#This Row],[Employee Name]],'Base Schedules'!$A$160:$AW$203,29,FALSE)),"")</f>
        <v/>
      </c>
      <c r="AE48" s="184" t="str">
        <f>IFERROR(IF(VLOOKUP(Tue_W1[[#This Row],[Employee Name]],'Base Schedules'!$A$160:$AW$203,30,FALSE)="","",VLOOKUP(Tue_W1[[#This Row],[Employee Name]],'Base Schedules'!$A$160:$AW$203,30,FALSE)),"")</f>
        <v/>
      </c>
      <c r="AF48" s="184" t="str">
        <f>IFERROR(IF(VLOOKUP(Tue_W1[[#This Row],[Employee Name]],'Base Schedules'!$A$160:$AW$203,31,FALSE)="","",VLOOKUP(Tue_W1[[#This Row],[Employee Name]],'Base Schedules'!$A$160:$AW$203,31,FALSE)),"")</f>
        <v/>
      </c>
      <c r="AG48" s="184" t="str">
        <f>IFERROR(IF(VLOOKUP(Tue_W1[[#This Row],[Employee Name]],'Base Schedules'!$A$160:$AW$203,32,FALSE)="","",VLOOKUP(Tue_W1[[#This Row],[Employee Name]],'Base Schedules'!$A$160:$AW$203,32,FALSE)),"")</f>
        <v/>
      </c>
      <c r="AH48" s="184" t="str">
        <f>IFERROR(IF(VLOOKUP(Tue_W1[[#This Row],[Employee Name]],'Base Schedules'!$A$160:$AW$203,33,FALSE)="","",VLOOKUP(Tue_W1[[#This Row],[Employee Name]],'Base Schedules'!$A$160:$AW$203,33,FALSE)),"")</f>
        <v/>
      </c>
      <c r="AI48" s="184" t="str">
        <f>IFERROR(IF(VLOOKUP(Tue_W1[[#This Row],[Employee Name]],'Base Schedules'!$A$160:$AW$203,34,FALSE)="","",VLOOKUP(Tue_W1[[#This Row],[Employee Name]],'Base Schedules'!$A$160:$AW$203,34,FALSE)),"")</f>
        <v/>
      </c>
      <c r="AJ48" s="184" t="str">
        <f>IFERROR(IF(VLOOKUP(Tue_W1[[#This Row],[Employee Name]],'Base Schedules'!$A$160:$AW$203,35,FALSE)="","",VLOOKUP(Tue_W1[[#This Row],[Employee Name]],'Base Schedules'!$A$160:$AW$203,35,FALSE)),"")</f>
        <v/>
      </c>
      <c r="AK48" s="184" t="str">
        <f>IFERROR(IF(VLOOKUP(Tue_W1[[#This Row],[Employee Name]],'Base Schedules'!$A$160:$AW$203,36,FALSE)="","",VLOOKUP(Tue_W1[[#This Row],[Employee Name]],'Base Schedules'!$A$160:$AW$203,36,FALSE)),"")</f>
        <v/>
      </c>
      <c r="AL48" s="184" t="str">
        <f>IFERROR(IF(VLOOKUP(Tue_W1[[#This Row],[Employee Name]],'Base Schedules'!$A$160:$AW$203,37,FALSE)="","",VLOOKUP(Tue_W1[[#This Row],[Employee Name]],'Base Schedules'!$A$160:$AW$203,37,FALSE)),"")</f>
        <v/>
      </c>
      <c r="AM48" s="184" t="str">
        <f>IFERROR(IF(VLOOKUP(Tue_W1[[#This Row],[Employee Name]],'Base Schedules'!$A$160:$AW$203,38,FALSE)="","",VLOOKUP(Tue_W1[[#This Row],[Employee Name]],'Base Schedules'!$A$160:$AW$203,38,FALSE)),"")</f>
        <v/>
      </c>
      <c r="AN48" s="184" t="str">
        <f>IFERROR(IF(VLOOKUP(Tue_W1[[#This Row],[Employee Name]],'Base Schedules'!$A$160:$AW$203,39,FALSE)="","",VLOOKUP(Tue_W1[[#This Row],[Employee Name]],'Base Schedules'!$A$160:$AW$203,39,FALSE)),"")</f>
        <v/>
      </c>
      <c r="AO48" s="184" t="str">
        <f>IFERROR(IF(VLOOKUP(Tue_W1[[#This Row],[Employee Name]],'Base Schedules'!$A$160:$AW$203,40,FALSE)="","",VLOOKUP(Tue_W1[[#This Row],[Employee Name]],'Base Schedules'!$A$160:$AW$203,40,FALSE)),"")</f>
        <v/>
      </c>
      <c r="AP48" s="184" t="str">
        <f>IFERROR(IF(VLOOKUP(Tue_W1[[#This Row],[Employee Name]],'Base Schedules'!$A$160:$AW$203,41,FALSE)="","",VLOOKUP(Tue_W1[[#This Row],[Employee Name]],'Base Schedules'!$A$160:$AW$203,41,FALSE)),"")</f>
        <v/>
      </c>
      <c r="AQ48" s="184" t="str">
        <f>IFERROR(IF(VLOOKUP(Tue_W1[[#This Row],[Employee Name]],'Base Schedules'!$A$160:$AW$203,42,FALSE)="","",VLOOKUP(Tue_W1[[#This Row],[Employee Name]],'Base Schedules'!$A$160:$AW$203,42,FALSE)),"")</f>
        <v/>
      </c>
      <c r="AR48" s="184" t="str">
        <f>IFERROR(IF(VLOOKUP(Tue_W1[[#This Row],[Employee Name]],'Base Schedules'!$A$160:$AW$203,43,FALSE)="","",VLOOKUP(Tue_W1[[#This Row],[Employee Name]],'Base Schedules'!$A$160:$AW$203,43,FALSE)),"")</f>
        <v/>
      </c>
      <c r="AS48" s="184" t="str">
        <f>IFERROR(IF(VLOOKUP(Tue_W1[[#This Row],[Employee Name]],'Base Schedules'!$A$160:$AW$203,44,FALSE)="","",VLOOKUP(Tue_W1[[#This Row],[Employee Name]],'Base Schedules'!$A$160:$AW$203,44,FALSE)),"")</f>
        <v/>
      </c>
      <c r="AT48" s="184" t="str">
        <f>IFERROR(IF(VLOOKUP(Tue_W1[[#This Row],[Employee Name]],'Base Schedules'!$A$160:$AW$203,45,FALSE)="","",VLOOKUP(Tue_W1[[#This Row],[Employee Name]],'Base Schedules'!$A$160:$AW$203,45,FALSE)),"")</f>
        <v/>
      </c>
      <c r="AU48" s="184" t="str">
        <f>IFERROR(IF(VLOOKUP(Tue_W1[[#This Row],[Employee Name]],'Base Schedules'!$A$160:$AW$203,46,FALSE)="","",VLOOKUP(Tue_W1[[#This Row],[Employee Name]],'Base Schedules'!$A$160:$AW$203,46,FALSE)),"")</f>
        <v/>
      </c>
      <c r="AV48" s="184" t="str">
        <f>IFERROR(IF(VLOOKUP(Tue_W1[[#This Row],[Employee Name]],'Base Schedules'!$A$160:$AW$203,47,FALSE)="","",VLOOKUP(Tue_W1[[#This Row],[Employee Name]],'Base Schedules'!$A$160:$AW$203,47,FALSE)),"")</f>
        <v/>
      </c>
      <c r="AW48" s="184" t="str">
        <f>IFERROR(IF(VLOOKUP(Tue_W1[[#This Row],[Employee Name]],'Base Schedules'!$A$160:$AW$203,48,FALSE)="","",VLOOKUP(Tue_W1[[#This Row],[Employee Name]],'Base Schedules'!$A$160:$AW$203,48,FALSE)),"")</f>
        <v/>
      </c>
      <c r="AX48" s="184" t="str">
        <f>IFERROR(IF(VLOOKUP(Tue_W1[[#This Row],[Employee Name]],'Base Schedules'!$A$160:$AW$203,49,FALSE)="","",VLOOKUP(Tue_W1[[#This Row],[Employee Name]],'Base Schedules'!$A$160:$AW$203,49,FALSE)),"")</f>
        <v/>
      </c>
      <c r="AY48" s="166" t="str">
        <f t="shared" si="2"/>
        <v/>
      </c>
    </row>
    <row r="49" spans="1:52" s="44" customFormat="1" hidden="1" thickBot="1" x14ac:dyDescent="0.25">
      <c r="A49" s="39" t="str">
        <f>IF(B49="","",INDEX(TeamList[],MATCH($B49,TeamList[[Employee Name]:[Employee Name]],0),MATCH("Manager",TeamList[#Headers],0)))</f>
        <v/>
      </c>
      <c r="B49" s="201"/>
      <c r="C49" s="257" t="str">
        <f>_xlfn.IFNA(VLOOKUP(Tue_W1[[#This Row],[Employee Name]],'Base Schedules'!A:B,2,FALSE),"")</f>
        <v/>
      </c>
      <c r="D49" s="274" t="str">
        <f>_xlfn.IFNA(VLOOKUP(Tue_W1[[#This Row],[Employee Name]],'Base Schedules'!A:C,3,FALSE),"")</f>
        <v/>
      </c>
      <c r="E49" s="274" t="str">
        <f>_xlfn.IFNA(VLOOKUP(Tue_W1[[#This Row],[Employee Name]],'Base Schedules'!A:D,4,FALSE),"")</f>
        <v/>
      </c>
      <c r="F49" s="142" t="str">
        <f>IF(Tue_W1[[#This Row],[Employee Name]]="","",IF(Tue_W1[[#This Row],[Dept]]="Supervisor",COUNTIFS($J49:$AX49,"*HL*",$J49:$AX49,"&lt;&gt;"&amp;"pHL"),COUNTIFS($J49:$AX49,"*HL*",$J49:$AX49,"&lt;&gt;"&amp;"*pHL*",$J49:$AX49,"&lt;&gt;"&amp;"pB1 HL",$J49:$AX49,"&lt;&gt;"&amp;"pB2 HL")-SUM(COUNTIFS($J49:$AX49,"*HL B1*",$J49:$AX49,"&lt;&gt;"&amp;"pHL B1")*0.5,COUNTIFS($J49:$AX49,"*HL B2*",$J49:$AX49,"&lt;&gt;"&amp;"pHL B2")*0.5,COUNTIFS($J49:$AX49,"*B1 HL*",$J49:$AX49,"&lt;&gt;"&amp;"pB1 HL")*0.5,COUNTIFS($J49:$AX49,"*B2 HL*",$J49:$AX49,"&lt;&gt;"&amp;"pB2 HL")*0.5)))</f>
        <v/>
      </c>
      <c r="G49" s="142" t="str">
        <f t="shared" si="0"/>
        <v/>
      </c>
      <c r="H49" s="142" t="str">
        <f t="shared" si="1"/>
        <v/>
      </c>
      <c r="I49" s="142" t="str">
        <f>IF(Tue_W1[[#This Row],[Employee Name]]="","",IF(Tue_W1[[#This Row],[Dept]]="Supervisor",SUM(COUNTIFS($J49:$AX49,"RTA*",$J49:$AX49,"&lt;&gt;"&amp;"pRTA"),COUNTIFS($J49:$AX49,"*CRTA*",$J49:$AX49,"&lt;&gt;"&amp;"pCRTA")),COUNTIFS($J49:$AX49,"*RNNR*",$J49:$AX49,"&lt;&gt;"&amp;"*pRNNR*",$J49:$AX49,"&lt;&gt;"&amp;"pB1 RNNR",$J49:$AX49,"&lt;&gt;"&amp;"pB2 RNNR")-SUM(COUNTIFS($J49:$AX49,"*RNNR B1*",$J49:$AX49,"&lt;&gt;"&amp;"pRNNR B1")*0.5,COUNTIFS($J49:$AX49,"*RNNR B2*",$J49:$AX49,"&lt;&gt;"&amp;"pRNNR B2")*0.5,COUNTIFS($J49:$AX49,"*B1 RNNR*",$J49:$AX49,"&lt;&gt;"&amp;"pB1 RNNR")*0.5,COUNTIFS($J49:$AX49,"*B2 RNNR*",$J49:$AX49,"&lt;&gt;"&amp;"pB2 RNNR")*0.5)))</f>
        <v/>
      </c>
      <c r="J49" s="184" t="str">
        <f>IFERROR(IF(VLOOKUP(Tue_W1[[#This Row],[Employee Name]],'Base Schedules'!$A$160:$AW$203,9,FALSE)="","",VLOOKUP(Tue_W1[[#This Row],[Employee Name]],'Base Schedules'!$A$160:$AW$203,9,FALSE)),"")</f>
        <v/>
      </c>
      <c r="K49" s="184" t="str">
        <f>IFERROR(IF(VLOOKUP(Tue_W1[[#This Row],[Employee Name]],'Base Schedules'!$A$160:$AW$203,10,FALSE)="","",VLOOKUP(Tue_W1[[#This Row],[Employee Name]],'Base Schedules'!$A$160:$AW$203,10,FALSE)),"")</f>
        <v/>
      </c>
      <c r="L49" s="184" t="str">
        <f>IFERROR(IF(VLOOKUP(Tue_W1[[#This Row],[Employee Name]],'Base Schedules'!$A$160:$AW$203,11,FALSE)="","",VLOOKUP(Tue_W1[[#This Row],[Employee Name]],'Base Schedules'!$A$160:$AW$203,11,FALSE)),"")</f>
        <v/>
      </c>
      <c r="M49" s="184" t="str">
        <f>IFERROR(IF(VLOOKUP(Tue_W1[[#This Row],[Employee Name]],'Base Schedules'!$A$160:$AW$203,12,FALSE)="","",VLOOKUP(Tue_W1[[#This Row],[Employee Name]],'Base Schedules'!$A$160:$AW$203,12,FALSE)),"")</f>
        <v/>
      </c>
      <c r="N49" s="184" t="str">
        <f>IFERROR(IF(VLOOKUP(Tue_W1[[#This Row],[Employee Name]],'Base Schedules'!$A$160:$AW$203,13,FALSE)="","",VLOOKUP(Tue_W1[[#This Row],[Employee Name]],'Base Schedules'!$A$160:$AW$203,13,FALSE)),"")</f>
        <v/>
      </c>
      <c r="O49" s="184" t="str">
        <f>IFERROR(IF(VLOOKUP(Tue_W1[[#This Row],[Employee Name]],'Base Schedules'!$A$160:$AW$203,14,FALSE)="","",VLOOKUP(Tue_W1[[#This Row],[Employee Name]],'Base Schedules'!$A$160:$AW$203,14,FALSE)),"")</f>
        <v/>
      </c>
      <c r="P49" s="184" t="str">
        <f>IFERROR(IF(VLOOKUP(Tue_W1[[#This Row],[Employee Name]],'Base Schedules'!$A$160:$AW$203,15,FALSE)="","",VLOOKUP(Tue_W1[[#This Row],[Employee Name]],'Base Schedules'!$A$160:$AW$203,15,FALSE)),"")</f>
        <v/>
      </c>
      <c r="Q49" s="184" t="str">
        <f>IFERROR(IF(VLOOKUP(Tue_W1[[#This Row],[Employee Name]],'Base Schedules'!$A$160:$AW$203,16,FALSE)="","",VLOOKUP(Tue_W1[[#This Row],[Employee Name]],'Base Schedules'!$A$160:$AW$203,16,FALSE)),"")</f>
        <v/>
      </c>
      <c r="R49" s="184" t="str">
        <f>IFERROR(IF(VLOOKUP(Tue_W1[[#This Row],[Employee Name]],'Base Schedules'!$A$160:$AW$203,17,FALSE)="","",VLOOKUP(Tue_W1[[#This Row],[Employee Name]],'Base Schedules'!$A$160:$AW$203,17,FALSE)),"")</f>
        <v/>
      </c>
      <c r="S49" s="184" t="str">
        <f>IFERROR(IF(VLOOKUP(Tue_W1[[#This Row],[Employee Name]],'Base Schedules'!$A$160:$AW$203,18,FALSE)="","",VLOOKUP(Tue_W1[[#This Row],[Employee Name]],'Base Schedules'!$A$160:$AW$203,18,FALSE)),"")</f>
        <v/>
      </c>
      <c r="T49" s="184" t="str">
        <f>IFERROR(IF(VLOOKUP(Tue_W1[[#This Row],[Employee Name]],'Base Schedules'!$A$160:$AW$203,19,FALSE)="","",VLOOKUP(Tue_W1[[#This Row],[Employee Name]],'Base Schedules'!$A$160:$AW$203,19,FALSE)),"")</f>
        <v/>
      </c>
      <c r="U49" s="184" t="str">
        <f>IFERROR(IF(VLOOKUP(Tue_W1[[#This Row],[Employee Name]],'Base Schedules'!$A$160:$AW$203,20,FALSE)="","",VLOOKUP(Tue_W1[[#This Row],[Employee Name]],'Base Schedules'!$A$160:$AW$203,20,FALSE)),"")</f>
        <v/>
      </c>
      <c r="V49" s="184" t="str">
        <f>IFERROR(IF(VLOOKUP(Tue_W1[[#This Row],[Employee Name]],'Base Schedules'!$A$160:$AW$203,21,FALSE)="","",VLOOKUP(Tue_W1[[#This Row],[Employee Name]],'Base Schedules'!$A$160:$AW$203,21,FALSE)),"")</f>
        <v/>
      </c>
      <c r="W49" s="184" t="str">
        <f>IFERROR(IF(VLOOKUP(Tue_W1[[#This Row],[Employee Name]],'Base Schedules'!$A$160:$AW$203,22,FALSE)="","",VLOOKUP(Tue_W1[[#This Row],[Employee Name]],'Base Schedules'!$A$160:$AW$203,22,FALSE)),"")</f>
        <v/>
      </c>
      <c r="X49" s="184" t="str">
        <f>IFERROR(IF(VLOOKUP(Tue_W1[[#This Row],[Employee Name]],'Base Schedules'!$A$160:$AW$203,23,FALSE)="","",VLOOKUP(Tue_W1[[#This Row],[Employee Name]],'Base Schedules'!$A$160:$AW$203,23,FALSE)),"")</f>
        <v/>
      </c>
      <c r="Y49" s="184" t="str">
        <f>IFERROR(IF(VLOOKUP(Tue_W1[[#This Row],[Employee Name]],'Base Schedules'!$A$160:$AW$203,24,FALSE)="","",VLOOKUP(Tue_W1[[#This Row],[Employee Name]],'Base Schedules'!$A$160:$AW$203,24,FALSE)),"")</f>
        <v/>
      </c>
      <c r="Z49" s="184" t="str">
        <f>IFERROR(IF(VLOOKUP(Tue_W1[[#This Row],[Employee Name]],'Base Schedules'!$A$160:$AW$203,25,FALSE)="","",VLOOKUP(Tue_W1[[#This Row],[Employee Name]],'Base Schedules'!$A$160:$AW$203,25,FALSE)),"")</f>
        <v/>
      </c>
      <c r="AA49" s="184" t="str">
        <f>IFERROR(IF(VLOOKUP(Tue_W1[[#This Row],[Employee Name]],'Base Schedules'!$A$160:$AW$203,26,FALSE)="","",VLOOKUP(Tue_W1[[#This Row],[Employee Name]],'Base Schedules'!$A$160:$AW$203,26,FALSE)),"")</f>
        <v/>
      </c>
      <c r="AB49" s="184" t="str">
        <f>IFERROR(IF(VLOOKUP(Tue_W1[[#This Row],[Employee Name]],'Base Schedules'!$A$160:$AW$203,27,FALSE)="","",VLOOKUP(Tue_W1[[#This Row],[Employee Name]],'Base Schedules'!$A$160:$AW$203,27,FALSE)),"")</f>
        <v/>
      </c>
      <c r="AC49" s="184" t="str">
        <f>IFERROR(IF(VLOOKUP(Tue_W1[[#This Row],[Employee Name]],'Base Schedules'!$A$160:$AW$203,28,FALSE)="","",VLOOKUP(Tue_W1[[#This Row],[Employee Name]],'Base Schedules'!$A$160:$AW$203,28,FALSE)),"")</f>
        <v/>
      </c>
      <c r="AD49" s="184" t="str">
        <f>IFERROR(IF(VLOOKUP(Tue_W1[[#This Row],[Employee Name]],'Base Schedules'!$A$160:$AW$203,29,FALSE)="","",VLOOKUP(Tue_W1[[#This Row],[Employee Name]],'Base Schedules'!$A$160:$AW$203,29,FALSE)),"")</f>
        <v/>
      </c>
      <c r="AE49" s="184" t="str">
        <f>IFERROR(IF(VLOOKUP(Tue_W1[[#This Row],[Employee Name]],'Base Schedules'!$A$160:$AW$203,30,FALSE)="","",VLOOKUP(Tue_W1[[#This Row],[Employee Name]],'Base Schedules'!$A$160:$AW$203,30,FALSE)),"")</f>
        <v/>
      </c>
      <c r="AF49" s="184" t="str">
        <f>IFERROR(IF(VLOOKUP(Tue_W1[[#This Row],[Employee Name]],'Base Schedules'!$A$160:$AW$203,31,FALSE)="","",VLOOKUP(Tue_W1[[#This Row],[Employee Name]],'Base Schedules'!$A$160:$AW$203,31,FALSE)),"")</f>
        <v/>
      </c>
      <c r="AG49" s="184" t="str">
        <f>IFERROR(IF(VLOOKUP(Tue_W1[[#This Row],[Employee Name]],'Base Schedules'!$A$160:$AW$203,32,FALSE)="","",VLOOKUP(Tue_W1[[#This Row],[Employee Name]],'Base Schedules'!$A$160:$AW$203,32,FALSE)),"")</f>
        <v/>
      </c>
      <c r="AH49" s="184" t="str">
        <f>IFERROR(IF(VLOOKUP(Tue_W1[[#This Row],[Employee Name]],'Base Schedules'!$A$160:$AW$203,33,FALSE)="","",VLOOKUP(Tue_W1[[#This Row],[Employee Name]],'Base Schedules'!$A$160:$AW$203,33,FALSE)),"")</f>
        <v/>
      </c>
      <c r="AI49" s="184" t="str">
        <f>IFERROR(IF(VLOOKUP(Tue_W1[[#This Row],[Employee Name]],'Base Schedules'!$A$160:$AW$203,34,FALSE)="","",VLOOKUP(Tue_W1[[#This Row],[Employee Name]],'Base Schedules'!$A$160:$AW$203,34,FALSE)),"")</f>
        <v/>
      </c>
      <c r="AJ49" s="184" t="str">
        <f>IFERROR(IF(VLOOKUP(Tue_W1[[#This Row],[Employee Name]],'Base Schedules'!$A$160:$AW$203,35,FALSE)="","",VLOOKUP(Tue_W1[[#This Row],[Employee Name]],'Base Schedules'!$A$160:$AW$203,35,FALSE)),"")</f>
        <v/>
      </c>
      <c r="AK49" s="184" t="str">
        <f>IFERROR(IF(VLOOKUP(Tue_W1[[#This Row],[Employee Name]],'Base Schedules'!$A$160:$AW$203,36,FALSE)="","",VLOOKUP(Tue_W1[[#This Row],[Employee Name]],'Base Schedules'!$A$160:$AW$203,36,FALSE)),"")</f>
        <v/>
      </c>
      <c r="AL49" s="184" t="str">
        <f>IFERROR(IF(VLOOKUP(Tue_W1[[#This Row],[Employee Name]],'Base Schedules'!$A$160:$AW$203,37,FALSE)="","",VLOOKUP(Tue_W1[[#This Row],[Employee Name]],'Base Schedules'!$A$160:$AW$203,37,FALSE)),"")</f>
        <v/>
      </c>
      <c r="AM49" s="184" t="str">
        <f>IFERROR(IF(VLOOKUP(Tue_W1[[#This Row],[Employee Name]],'Base Schedules'!$A$160:$AW$203,38,FALSE)="","",VLOOKUP(Tue_W1[[#This Row],[Employee Name]],'Base Schedules'!$A$160:$AW$203,38,FALSE)),"")</f>
        <v/>
      </c>
      <c r="AN49" s="184" t="str">
        <f>IFERROR(IF(VLOOKUP(Tue_W1[[#This Row],[Employee Name]],'Base Schedules'!$A$160:$AW$203,39,FALSE)="","",VLOOKUP(Tue_W1[[#This Row],[Employee Name]],'Base Schedules'!$A$160:$AW$203,39,FALSE)),"")</f>
        <v/>
      </c>
      <c r="AO49" s="184" t="str">
        <f>IFERROR(IF(VLOOKUP(Tue_W1[[#This Row],[Employee Name]],'Base Schedules'!$A$160:$AW$203,40,FALSE)="","",VLOOKUP(Tue_W1[[#This Row],[Employee Name]],'Base Schedules'!$A$160:$AW$203,40,FALSE)),"")</f>
        <v/>
      </c>
      <c r="AP49" s="184" t="str">
        <f>IFERROR(IF(VLOOKUP(Tue_W1[[#This Row],[Employee Name]],'Base Schedules'!$A$160:$AW$203,41,FALSE)="","",VLOOKUP(Tue_W1[[#This Row],[Employee Name]],'Base Schedules'!$A$160:$AW$203,41,FALSE)),"")</f>
        <v/>
      </c>
      <c r="AQ49" s="184" t="str">
        <f>IFERROR(IF(VLOOKUP(Tue_W1[[#This Row],[Employee Name]],'Base Schedules'!$A$160:$AW$203,42,FALSE)="","",VLOOKUP(Tue_W1[[#This Row],[Employee Name]],'Base Schedules'!$A$160:$AW$203,42,FALSE)),"")</f>
        <v/>
      </c>
      <c r="AR49" s="184" t="str">
        <f>IFERROR(IF(VLOOKUP(Tue_W1[[#This Row],[Employee Name]],'Base Schedules'!$A$160:$AW$203,43,FALSE)="","",VLOOKUP(Tue_W1[[#This Row],[Employee Name]],'Base Schedules'!$A$160:$AW$203,43,FALSE)),"")</f>
        <v/>
      </c>
      <c r="AS49" s="184" t="str">
        <f>IFERROR(IF(VLOOKUP(Tue_W1[[#This Row],[Employee Name]],'Base Schedules'!$A$160:$AW$203,44,FALSE)="","",VLOOKUP(Tue_W1[[#This Row],[Employee Name]],'Base Schedules'!$A$160:$AW$203,44,FALSE)),"")</f>
        <v/>
      </c>
      <c r="AT49" s="184" t="str">
        <f>IFERROR(IF(VLOOKUP(Tue_W1[[#This Row],[Employee Name]],'Base Schedules'!$A$160:$AW$203,45,FALSE)="","",VLOOKUP(Tue_W1[[#This Row],[Employee Name]],'Base Schedules'!$A$160:$AW$203,45,FALSE)),"")</f>
        <v/>
      </c>
      <c r="AU49" s="184" t="str">
        <f>IFERROR(IF(VLOOKUP(Tue_W1[[#This Row],[Employee Name]],'Base Schedules'!$A$160:$AW$203,46,FALSE)="","",VLOOKUP(Tue_W1[[#This Row],[Employee Name]],'Base Schedules'!$A$160:$AW$203,46,FALSE)),"")</f>
        <v/>
      </c>
      <c r="AV49" s="184" t="str">
        <f>IFERROR(IF(VLOOKUP(Tue_W1[[#This Row],[Employee Name]],'Base Schedules'!$A$160:$AW$203,47,FALSE)="","",VLOOKUP(Tue_W1[[#This Row],[Employee Name]],'Base Schedules'!$A$160:$AW$203,47,FALSE)),"")</f>
        <v/>
      </c>
      <c r="AW49" s="184" t="str">
        <f>IFERROR(IF(VLOOKUP(Tue_W1[[#This Row],[Employee Name]],'Base Schedules'!$A$160:$AW$203,48,FALSE)="","",VLOOKUP(Tue_W1[[#This Row],[Employee Name]],'Base Schedules'!$A$160:$AW$203,48,FALSE)),"")</f>
        <v/>
      </c>
      <c r="AX49" s="184" t="str">
        <f>IFERROR(IF(VLOOKUP(Tue_W1[[#This Row],[Employee Name]],'Base Schedules'!$A$160:$AW$203,49,FALSE)="","",VLOOKUP(Tue_W1[[#This Row],[Employee Name]],'Base Schedules'!$A$160:$AW$203,49,FALSE)),"")</f>
        <v/>
      </c>
      <c r="AY49" s="164" t="str">
        <f t="shared" si="2"/>
        <v/>
      </c>
    </row>
    <row r="50" spans="1:52" s="44" customFormat="1" hidden="1" thickBot="1" x14ac:dyDescent="0.25">
      <c r="A50" s="39" t="str">
        <f>IF(B50="","",INDEX(TeamList[],MATCH($B50,TeamList[[Employee Name]:[Employee Name]],0),MATCH("Manager",TeamList[#Headers],0)))</f>
        <v/>
      </c>
      <c r="B50" s="201"/>
      <c r="C50" s="257" t="str">
        <f>_xlfn.IFNA(VLOOKUP(Tue_W1[[#This Row],[Employee Name]],'Base Schedules'!A:B,2,FALSE),"")</f>
        <v/>
      </c>
      <c r="D50" s="274" t="str">
        <f>_xlfn.IFNA(VLOOKUP(Tue_W1[[#This Row],[Employee Name]],'Base Schedules'!A:C,3,FALSE),"")</f>
        <v/>
      </c>
      <c r="E50" s="274" t="str">
        <f>_xlfn.IFNA(VLOOKUP(Tue_W1[[#This Row],[Employee Name]],'Base Schedules'!A:D,4,FALSE),"")</f>
        <v/>
      </c>
      <c r="F50" s="142" t="str">
        <f>IF(Tue_W1[[#This Row],[Employee Name]]="","",IF(Tue_W1[[#This Row],[Dept]]="Supervisor",COUNTIFS($J50:$AX50,"*HL*",$J50:$AX50,"&lt;&gt;"&amp;"pHL"),COUNTIFS($J50:$AX50,"*HL*",$J50:$AX50,"&lt;&gt;"&amp;"*pHL*",$J50:$AX50,"&lt;&gt;"&amp;"pB1 HL",$J50:$AX50,"&lt;&gt;"&amp;"pB2 HL")-SUM(COUNTIFS($J50:$AX50,"*HL B1*",$J50:$AX50,"&lt;&gt;"&amp;"pHL B1")*0.5,COUNTIFS($J50:$AX50,"*HL B2*",$J50:$AX50,"&lt;&gt;"&amp;"pHL B2")*0.5,COUNTIFS($J50:$AX50,"*B1 HL*",$J50:$AX50,"&lt;&gt;"&amp;"pB1 HL")*0.5,COUNTIFS($J50:$AX50,"*B2 HL*",$J50:$AX50,"&lt;&gt;"&amp;"pB2 HL")*0.5)))</f>
        <v/>
      </c>
      <c r="G50" s="142" t="str">
        <f t="shared" si="0"/>
        <v/>
      </c>
      <c r="H50" s="142" t="str">
        <f t="shared" si="1"/>
        <v/>
      </c>
      <c r="I50" s="142" t="str">
        <f>IF(Tue_W1[[#This Row],[Employee Name]]="","",IF(Tue_W1[[#This Row],[Dept]]="Supervisor",SUM(COUNTIFS($J50:$AX50,"RTA*",$J50:$AX50,"&lt;&gt;"&amp;"pRTA"),COUNTIFS($J50:$AX50,"*CRTA*",$J50:$AX50,"&lt;&gt;"&amp;"pCRTA")),COUNTIFS($J50:$AX50,"*RNNR*",$J50:$AX50,"&lt;&gt;"&amp;"*pRNNR*",$J50:$AX50,"&lt;&gt;"&amp;"pB1 RNNR",$J50:$AX50,"&lt;&gt;"&amp;"pB2 RNNR")-SUM(COUNTIFS($J50:$AX50,"*RNNR B1*",$J50:$AX50,"&lt;&gt;"&amp;"pRNNR B1")*0.5,COUNTIFS($J50:$AX50,"*RNNR B2*",$J50:$AX50,"&lt;&gt;"&amp;"pRNNR B2")*0.5,COUNTIFS($J50:$AX50,"*B1 RNNR*",$J50:$AX50,"&lt;&gt;"&amp;"pB1 RNNR")*0.5,COUNTIFS($J50:$AX50,"*B2 RNNR*",$J50:$AX50,"&lt;&gt;"&amp;"pB2 RNNR")*0.5)))</f>
        <v/>
      </c>
      <c r="J50" s="184" t="str">
        <f>IFERROR(IF(VLOOKUP(Tue_W1[[#This Row],[Employee Name]],'Base Schedules'!$A$160:$AW$203,9,FALSE)="","",VLOOKUP(Tue_W1[[#This Row],[Employee Name]],'Base Schedules'!$A$160:$AW$203,9,FALSE)),"")</f>
        <v/>
      </c>
      <c r="K50" s="184" t="str">
        <f>IFERROR(IF(VLOOKUP(Tue_W1[[#This Row],[Employee Name]],'Base Schedules'!$A$160:$AW$203,10,FALSE)="","",VLOOKUP(Tue_W1[[#This Row],[Employee Name]],'Base Schedules'!$A$160:$AW$203,10,FALSE)),"")</f>
        <v/>
      </c>
      <c r="L50" s="184" t="str">
        <f>IFERROR(IF(VLOOKUP(Tue_W1[[#This Row],[Employee Name]],'Base Schedules'!$A$160:$AW$203,11,FALSE)="","",VLOOKUP(Tue_W1[[#This Row],[Employee Name]],'Base Schedules'!$A$160:$AW$203,11,FALSE)),"")</f>
        <v/>
      </c>
      <c r="M50" s="184" t="str">
        <f>IFERROR(IF(VLOOKUP(Tue_W1[[#This Row],[Employee Name]],'Base Schedules'!$A$160:$AW$203,12,FALSE)="","",VLOOKUP(Tue_W1[[#This Row],[Employee Name]],'Base Schedules'!$A$160:$AW$203,12,FALSE)),"")</f>
        <v/>
      </c>
      <c r="N50" s="184" t="str">
        <f>IFERROR(IF(VLOOKUP(Tue_W1[[#This Row],[Employee Name]],'Base Schedules'!$A$160:$AW$203,13,FALSE)="","",VLOOKUP(Tue_W1[[#This Row],[Employee Name]],'Base Schedules'!$A$160:$AW$203,13,FALSE)),"")</f>
        <v/>
      </c>
      <c r="O50" s="184" t="str">
        <f>IFERROR(IF(VLOOKUP(Tue_W1[[#This Row],[Employee Name]],'Base Schedules'!$A$160:$AW$203,14,FALSE)="","",VLOOKUP(Tue_W1[[#This Row],[Employee Name]],'Base Schedules'!$A$160:$AW$203,14,FALSE)),"")</f>
        <v/>
      </c>
      <c r="P50" s="184" t="str">
        <f>IFERROR(IF(VLOOKUP(Tue_W1[[#This Row],[Employee Name]],'Base Schedules'!$A$160:$AW$203,15,FALSE)="","",VLOOKUP(Tue_W1[[#This Row],[Employee Name]],'Base Schedules'!$A$160:$AW$203,15,FALSE)),"")</f>
        <v/>
      </c>
      <c r="Q50" s="184" t="str">
        <f>IFERROR(IF(VLOOKUP(Tue_W1[[#This Row],[Employee Name]],'Base Schedules'!$A$160:$AW$203,16,FALSE)="","",VLOOKUP(Tue_W1[[#This Row],[Employee Name]],'Base Schedules'!$A$160:$AW$203,16,FALSE)),"")</f>
        <v/>
      </c>
      <c r="R50" s="184" t="str">
        <f>IFERROR(IF(VLOOKUP(Tue_W1[[#This Row],[Employee Name]],'Base Schedules'!$A$160:$AW$203,17,FALSE)="","",VLOOKUP(Tue_W1[[#This Row],[Employee Name]],'Base Schedules'!$A$160:$AW$203,17,FALSE)),"")</f>
        <v/>
      </c>
      <c r="S50" s="184" t="str">
        <f>IFERROR(IF(VLOOKUP(Tue_W1[[#This Row],[Employee Name]],'Base Schedules'!$A$160:$AW$203,18,FALSE)="","",VLOOKUP(Tue_W1[[#This Row],[Employee Name]],'Base Schedules'!$A$160:$AW$203,18,FALSE)),"")</f>
        <v/>
      </c>
      <c r="T50" s="184" t="str">
        <f>IFERROR(IF(VLOOKUP(Tue_W1[[#This Row],[Employee Name]],'Base Schedules'!$A$160:$AW$203,19,FALSE)="","",VLOOKUP(Tue_W1[[#This Row],[Employee Name]],'Base Schedules'!$A$160:$AW$203,19,FALSE)),"")</f>
        <v/>
      </c>
      <c r="U50" s="184" t="str">
        <f>IFERROR(IF(VLOOKUP(Tue_W1[[#This Row],[Employee Name]],'Base Schedules'!$A$160:$AW$203,20,FALSE)="","",VLOOKUP(Tue_W1[[#This Row],[Employee Name]],'Base Schedules'!$A$160:$AW$203,20,FALSE)),"")</f>
        <v/>
      </c>
      <c r="V50" s="184" t="str">
        <f>IFERROR(IF(VLOOKUP(Tue_W1[[#This Row],[Employee Name]],'Base Schedules'!$A$160:$AW$203,21,FALSE)="","",VLOOKUP(Tue_W1[[#This Row],[Employee Name]],'Base Schedules'!$A$160:$AW$203,21,FALSE)),"")</f>
        <v/>
      </c>
      <c r="W50" s="184" t="str">
        <f>IFERROR(IF(VLOOKUP(Tue_W1[[#This Row],[Employee Name]],'Base Schedules'!$A$160:$AW$203,22,FALSE)="","",VLOOKUP(Tue_W1[[#This Row],[Employee Name]],'Base Schedules'!$A$160:$AW$203,22,FALSE)),"")</f>
        <v/>
      </c>
      <c r="X50" s="184" t="str">
        <f>IFERROR(IF(VLOOKUP(Tue_W1[[#This Row],[Employee Name]],'Base Schedules'!$A$160:$AW$203,23,FALSE)="","",VLOOKUP(Tue_W1[[#This Row],[Employee Name]],'Base Schedules'!$A$160:$AW$203,23,FALSE)),"")</f>
        <v/>
      </c>
      <c r="Y50" s="184" t="str">
        <f>IFERROR(IF(VLOOKUP(Tue_W1[[#This Row],[Employee Name]],'Base Schedules'!$A$160:$AW$203,24,FALSE)="","",VLOOKUP(Tue_W1[[#This Row],[Employee Name]],'Base Schedules'!$A$160:$AW$203,24,FALSE)),"")</f>
        <v/>
      </c>
      <c r="Z50" s="184" t="str">
        <f>IFERROR(IF(VLOOKUP(Tue_W1[[#This Row],[Employee Name]],'Base Schedules'!$A$160:$AW$203,25,FALSE)="","",VLOOKUP(Tue_W1[[#This Row],[Employee Name]],'Base Schedules'!$A$160:$AW$203,25,FALSE)),"")</f>
        <v/>
      </c>
      <c r="AA50" s="184" t="str">
        <f>IFERROR(IF(VLOOKUP(Tue_W1[[#This Row],[Employee Name]],'Base Schedules'!$A$160:$AW$203,26,FALSE)="","",VLOOKUP(Tue_W1[[#This Row],[Employee Name]],'Base Schedules'!$A$160:$AW$203,26,FALSE)),"")</f>
        <v/>
      </c>
      <c r="AB50" s="184" t="str">
        <f>IFERROR(IF(VLOOKUP(Tue_W1[[#This Row],[Employee Name]],'Base Schedules'!$A$160:$AW$203,27,FALSE)="","",VLOOKUP(Tue_W1[[#This Row],[Employee Name]],'Base Schedules'!$A$160:$AW$203,27,FALSE)),"")</f>
        <v/>
      </c>
      <c r="AC50" s="184" t="str">
        <f>IFERROR(IF(VLOOKUP(Tue_W1[[#This Row],[Employee Name]],'Base Schedules'!$A$160:$AW$203,28,FALSE)="","",VLOOKUP(Tue_W1[[#This Row],[Employee Name]],'Base Schedules'!$A$160:$AW$203,28,FALSE)),"")</f>
        <v/>
      </c>
      <c r="AD50" s="184" t="str">
        <f>IFERROR(IF(VLOOKUP(Tue_W1[[#This Row],[Employee Name]],'Base Schedules'!$A$160:$AW$203,29,FALSE)="","",VLOOKUP(Tue_W1[[#This Row],[Employee Name]],'Base Schedules'!$A$160:$AW$203,29,FALSE)),"")</f>
        <v/>
      </c>
      <c r="AE50" s="184" t="str">
        <f>IFERROR(IF(VLOOKUP(Tue_W1[[#This Row],[Employee Name]],'Base Schedules'!$A$160:$AW$203,30,FALSE)="","",VLOOKUP(Tue_W1[[#This Row],[Employee Name]],'Base Schedules'!$A$160:$AW$203,30,FALSE)),"")</f>
        <v/>
      </c>
      <c r="AF50" s="184" t="str">
        <f>IFERROR(IF(VLOOKUP(Tue_W1[[#This Row],[Employee Name]],'Base Schedules'!$A$160:$AW$203,31,FALSE)="","",VLOOKUP(Tue_W1[[#This Row],[Employee Name]],'Base Schedules'!$A$160:$AW$203,31,FALSE)),"")</f>
        <v/>
      </c>
      <c r="AG50" s="184" t="str">
        <f>IFERROR(IF(VLOOKUP(Tue_W1[[#This Row],[Employee Name]],'Base Schedules'!$A$160:$AW$203,32,FALSE)="","",VLOOKUP(Tue_W1[[#This Row],[Employee Name]],'Base Schedules'!$A$160:$AW$203,32,FALSE)),"")</f>
        <v/>
      </c>
      <c r="AH50" s="184" t="str">
        <f>IFERROR(IF(VLOOKUP(Tue_W1[[#This Row],[Employee Name]],'Base Schedules'!$A$160:$AW$203,33,FALSE)="","",VLOOKUP(Tue_W1[[#This Row],[Employee Name]],'Base Schedules'!$A$160:$AW$203,33,FALSE)),"")</f>
        <v/>
      </c>
      <c r="AI50" s="184" t="str">
        <f>IFERROR(IF(VLOOKUP(Tue_W1[[#This Row],[Employee Name]],'Base Schedules'!$A$160:$AW$203,34,FALSE)="","",VLOOKUP(Tue_W1[[#This Row],[Employee Name]],'Base Schedules'!$A$160:$AW$203,34,FALSE)),"")</f>
        <v/>
      </c>
      <c r="AJ50" s="184" t="str">
        <f>IFERROR(IF(VLOOKUP(Tue_W1[[#This Row],[Employee Name]],'Base Schedules'!$A$160:$AW$203,35,FALSE)="","",VLOOKUP(Tue_W1[[#This Row],[Employee Name]],'Base Schedules'!$A$160:$AW$203,35,FALSE)),"")</f>
        <v/>
      </c>
      <c r="AK50" s="184" t="str">
        <f>IFERROR(IF(VLOOKUP(Tue_W1[[#This Row],[Employee Name]],'Base Schedules'!$A$160:$AW$203,36,FALSE)="","",VLOOKUP(Tue_W1[[#This Row],[Employee Name]],'Base Schedules'!$A$160:$AW$203,36,FALSE)),"")</f>
        <v/>
      </c>
      <c r="AL50" s="184" t="str">
        <f>IFERROR(IF(VLOOKUP(Tue_W1[[#This Row],[Employee Name]],'Base Schedules'!$A$160:$AW$203,37,FALSE)="","",VLOOKUP(Tue_W1[[#This Row],[Employee Name]],'Base Schedules'!$A$160:$AW$203,37,FALSE)),"")</f>
        <v/>
      </c>
      <c r="AM50" s="184" t="str">
        <f>IFERROR(IF(VLOOKUP(Tue_W1[[#This Row],[Employee Name]],'Base Schedules'!$A$160:$AW$203,38,FALSE)="","",VLOOKUP(Tue_W1[[#This Row],[Employee Name]],'Base Schedules'!$A$160:$AW$203,38,FALSE)),"")</f>
        <v/>
      </c>
      <c r="AN50" s="184" t="str">
        <f>IFERROR(IF(VLOOKUP(Tue_W1[[#This Row],[Employee Name]],'Base Schedules'!$A$160:$AW$203,39,FALSE)="","",VLOOKUP(Tue_W1[[#This Row],[Employee Name]],'Base Schedules'!$A$160:$AW$203,39,FALSE)),"")</f>
        <v/>
      </c>
      <c r="AO50" s="184" t="str">
        <f>IFERROR(IF(VLOOKUP(Tue_W1[[#This Row],[Employee Name]],'Base Schedules'!$A$160:$AW$203,40,FALSE)="","",VLOOKUP(Tue_W1[[#This Row],[Employee Name]],'Base Schedules'!$A$160:$AW$203,40,FALSE)),"")</f>
        <v/>
      </c>
      <c r="AP50" s="184" t="str">
        <f>IFERROR(IF(VLOOKUP(Tue_W1[[#This Row],[Employee Name]],'Base Schedules'!$A$160:$AW$203,41,FALSE)="","",VLOOKUP(Tue_W1[[#This Row],[Employee Name]],'Base Schedules'!$A$160:$AW$203,41,FALSE)),"")</f>
        <v/>
      </c>
      <c r="AQ50" s="184" t="str">
        <f>IFERROR(IF(VLOOKUP(Tue_W1[[#This Row],[Employee Name]],'Base Schedules'!$A$160:$AW$203,42,FALSE)="","",VLOOKUP(Tue_W1[[#This Row],[Employee Name]],'Base Schedules'!$A$160:$AW$203,42,FALSE)),"")</f>
        <v/>
      </c>
      <c r="AR50" s="184" t="str">
        <f>IFERROR(IF(VLOOKUP(Tue_W1[[#This Row],[Employee Name]],'Base Schedules'!$A$160:$AW$203,43,FALSE)="","",VLOOKUP(Tue_W1[[#This Row],[Employee Name]],'Base Schedules'!$A$160:$AW$203,43,FALSE)),"")</f>
        <v/>
      </c>
      <c r="AS50" s="184" t="str">
        <f>IFERROR(IF(VLOOKUP(Tue_W1[[#This Row],[Employee Name]],'Base Schedules'!$A$160:$AW$203,44,FALSE)="","",VLOOKUP(Tue_W1[[#This Row],[Employee Name]],'Base Schedules'!$A$160:$AW$203,44,FALSE)),"")</f>
        <v/>
      </c>
      <c r="AT50" s="184" t="str">
        <f>IFERROR(IF(VLOOKUP(Tue_W1[[#This Row],[Employee Name]],'Base Schedules'!$A$160:$AW$203,45,FALSE)="","",VLOOKUP(Tue_W1[[#This Row],[Employee Name]],'Base Schedules'!$A$160:$AW$203,45,FALSE)),"")</f>
        <v/>
      </c>
      <c r="AU50" s="184" t="str">
        <f>IFERROR(IF(VLOOKUP(Tue_W1[[#This Row],[Employee Name]],'Base Schedules'!$A$160:$AW$203,46,FALSE)="","",VLOOKUP(Tue_W1[[#This Row],[Employee Name]],'Base Schedules'!$A$160:$AW$203,46,FALSE)),"")</f>
        <v/>
      </c>
      <c r="AV50" s="184" t="str">
        <f>IFERROR(IF(VLOOKUP(Tue_W1[[#This Row],[Employee Name]],'Base Schedules'!$A$160:$AW$203,47,FALSE)="","",VLOOKUP(Tue_W1[[#This Row],[Employee Name]],'Base Schedules'!$A$160:$AW$203,47,FALSE)),"")</f>
        <v/>
      </c>
      <c r="AW50" s="184" t="str">
        <f>IFERROR(IF(VLOOKUP(Tue_W1[[#This Row],[Employee Name]],'Base Schedules'!$A$160:$AW$203,48,FALSE)="","",VLOOKUP(Tue_W1[[#This Row],[Employee Name]],'Base Schedules'!$A$160:$AW$203,48,FALSE)),"")</f>
        <v/>
      </c>
      <c r="AX50" s="184" t="str">
        <f>IFERROR(IF(VLOOKUP(Tue_W1[[#This Row],[Employee Name]],'Base Schedules'!$A$160:$AW$203,49,FALSE)="","",VLOOKUP(Tue_W1[[#This Row],[Employee Name]],'Base Schedules'!$A$160:$AW$203,49,FALSE)),"")</f>
        <v/>
      </c>
      <c r="AY50" s="166" t="str">
        <f t="shared" si="2"/>
        <v/>
      </c>
    </row>
    <row r="51" spans="1:52" s="44" customFormat="1" hidden="1" thickBot="1" x14ac:dyDescent="0.25">
      <c r="A51" s="39" t="str">
        <f>IF(B51="","",INDEX(TeamList[],MATCH($B51,TeamList[[Employee Name]:[Employee Name]],0),MATCH("Manager",TeamList[#Headers],0)))</f>
        <v/>
      </c>
      <c r="B51" s="201"/>
      <c r="C51" s="257" t="str">
        <f>_xlfn.IFNA(VLOOKUP(Tue_W1[[#This Row],[Employee Name]],'Base Schedules'!A:B,2,FALSE),"")</f>
        <v/>
      </c>
      <c r="D51" s="274" t="str">
        <f>_xlfn.IFNA(VLOOKUP(Tue_W1[[#This Row],[Employee Name]],'Base Schedules'!A:C,3,FALSE),"")</f>
        <v/>
      </c>
      <c r="E51" s="274" t="str">
        <f>_xlfn.IFNA(VLOOKUP(Tue_W1[[#This Row],[Employee Name]],'Base Schedules'!A:D,4,FALSE),"")</f>
        <v/>
      </c>
      <c r="F51" s="142" t="str">
        <f>IF(Tue_W1[[#This Row],[Employee Name]]="","",IF(Tue_W1[[#This Row],[Dept]]="Supervisor",COUNTIFS($J51:$AX51,"*HL*",$J51:$AX51,"&lt;&gt;"&amp;"pHL"),COUNTIFS($J51:$AX51,"*HL*",$J51:$AX51,"&lt;&gt;"&amp;"*pHL*",$J51:$AX51,"&lt;&gt;"&amp;"pB1 HL",$J51:$AX51,"&lt;&gt;"&amp;"pB2 HL")-SUM(COUNTIFS($J51:$AX51,"*HL B1*",$J51:$AX51,"&lt;&gt;"&amp;"pHL B1")*0.5,COUNTIFS($J51:$AX51,"*HL B2*",$J51:$AX51,"&lt;&gt;"&amp;"pHL B2")*0.5,COUNTIFS($J51:$AX51,"*B1 HL*",$J51:$AX51,"&lt;&gt;"&amp;"pB1 HL")*0.5,COUNTIFS($J51:$AX51,"*B2 HL*",$J51:$AX51,"&lt;&gt;"&amp;"pB2 HL")*0.5)))</f>
        <v/>
      </c>
      <c r="G51" s="142" t="str">
        <f t="shared" si="0"/>
        <v/>
      </c>
      <c r="H51" s="142" t="str">
        <f t="shared" si="1"/>
        <v/>
      </c>
      <c r="I51" s="142" t="str">
        <f>IF(Tue_W1[[#This Row],[Employee Name]]="","",IF(Tue_W1[[#This Row],[Dept]]="Supervisor",SUM(COUNTIFS($J51:$AX51,"RTA*",$J51:$AX51,"&lt;&gt;"&amp;"pRTA"),COUNTIFS($J51:$AX51,"*CRTA*",$J51:$AX51,"&lt;&gt;"&amp;"pCRTA")),COUNTIFS($J51:$AX51,"*RNNR*",$J51:$AX51,"&lt;&gt;"&amp;"*pRNNR*",$J51:$AX51,"&lt;&gt;"&amp;"pB1 RNNR",$J51:$AX51,"&lt;&gt;"&amp;"pB2 RNNR")-SUM(COUNTIFS($J51:$AX51,"*RNNR B1*",$J51:$AX51,"&lt;&gt;"&amp;"pRNNR B1")*0.5,COUNTIFS($J51:$AX51,"*RNNR B2*",$J51:$AX51,"&lt;&gt;"&amp;"pRNNR B2")*0.5,COUNTIFS($J51:$AX51,"*B1 RNNR*",$J51:$AX51,"&lt;&gt;"&amp;"pB1 RNNR")*0.5,COUNTIFS($J51:$AX51,"*B2 RNNR*",$J51:$AX51,"&lt;&gt;"&amp;"pB2 RNNR")*0.5)))</f>
        <v/>
      </c>
      <c r="J51" s="184" t="str">
        <f>IFERROR(IF(VLOOKUP(Tue_W1[[#This Row],[Employee Name]],'Base Schedules'!$A$160:$AW$203,9,FALSE)="","",VLOOKUP(Tue_W1[[#This Row],[Employee Name]],'Base Schedules'!$A$160:$AW$203,9,FALSE)),"")</f>
        <v/>
      </c>
      <c r="K51" s="184" t="str">
        <f>IFERROR(IF(VLOOKUP(Tue_W1[[#This Row],[Employee Name]],'Base Schedules'!$A$160:$AW$203,10,FALSE)="","",VLOOKUP(Tue_W1[[#This Row],[Employee Name]],'Base Schedules'!$A$160:$AW$203,10,FALSE)),"")</f>
        <v/>
      </c>
      <c r="L51" s="184" t="str">
        <f>IFERROR(IF(VLOOKUP(Tue_W1[[#This Row],[Employee Name]],'Base Schedules'!$A$160:$AW$203,11,FALSE)="","",VLOOKUP(Tue_W1[[#This Row],[Employee Name]],'Base Schedules'!$A$160:$AW$203,11,FALSE)),"")</f>
        <v/>
      </c>
      <c r="M51" s="184" t="str">
        <f>IFERROR(IF(VLOOKUP(Tue_W1[[#This Row],[Employee Name]],'Base Schedules'!$A$160:$AW$203,12,FALSE)="","",VLOOKUP(Tue_W1[[#This Row],[Employee Name]],'Base Schedules'!$A$160:$AW$203,12,FALSE)),"")</f>
        <v/>
      </c>
      <c r="N51" s="184" t="str">
        <f>IFERROR(IF(VLOOKUP(Tue_W1[[#This Row],[Employee Name]],'Base Schedules'!$A$160:$AW$203,13,FALSE)="","",VLOOKUP(Tue_W1[[#This Row],[Employee Name]],'Base Schedules'!$A$160:$AW$203,13,FALSE)),"")</f>
        <v/>
      </c>
      <c r="O51" s="184" t="str">
        <f>IFERROR(IF(VLOOKUP(Tue_W1[[#This Row],[Employee Name]],'Base Schedules'!$A$160:$AW$203,14,FALSE)="","",VLOOKUP(Tue_W1[[#This Row],[Employee Name]],'Base Schedules'!$A$160:$AW$203,14,FALSE)),"")</f>
        <v/>
      </c>
      <c r="P51" s="184" t="str">
        <f>IFERROR(IF(VLOOKUP(Tue_W1[[#This Row],[Employee Name]],'Base Schedules'!$A$160:$AW$203,15,FALSE)="","",VLOOKUP(Tue_W1[[#This Row],[Employee Name]],'Base Schedules'!$A$160:$AW$203,15,FALSE)),"")</f>
        <v/>
      </c>
      <c r="Q51" s="184" t="str">
        <f>IFERROR(IF(VLOOKUP(Tue_W1[[#This Row],[Employee Name]],'Base Schedules'!$A$160:$AW$203,16,FALSE)="","",VLOOKUP(Tue_W1[[#This Row],[Employee Name]],'Base Schedules'!$A$160:$AW$203,16,FALSE)),"")</f>
        <v/>
      </c>
      <c r="R51" s="184" t="str">
        <f>IFERROR(IF(VLOOKUP(Tue_W1[[#This Row],[Employee Name]],'Base Schedules'!$A$160:$AW$203,17,FALSE)="","",VLOOKUP(Tue_W1[[#This Row],[Employee Name]],'Base Schedules'!$A$160:$AW$203,17,FALSE)),"")</f>
        <v/>
      </c>
      <c r="S51" s="184" t="str">
        <f>IFERROR(IF(VLOOKUP(Tue_W1[[#This Row],[Employee Name]],'Base Schedules'!$A$160:$AW$203,18,FALSE)="","",VLOOKUP(Tue_W1[[#This Row],[Employee Name]],'Base Schedules'!$A$160:$AW$203,18,FALSE)),"")</f>
        <v/>
      </c>
      <c r="T51" s="184" t="str">
        <f>IFERROR(IF(VLOOKUP(Tue_W1[[#This Row],[Employee Name]],'Base Schedules'!$A$160:$AW$203,19,FALSE)="","",VLOOKUP(Tue_W1[[#This Row],[Employee Name]],'Base Schedules'!$A$160:$AW$203,19,FALSE)),"")</f>
        <v/>
      </c>
      <c r="U51" s="184" t="str">
        <f>IFERROR(IF(VLOOKUP(Tue_W1[[#This Row],[Employee Name]],'Base Schedules'!$A$160:$AW$203,20,FALSE)="","",VLOOKUP(Tue_W1[[#This Row],[Employee Name]],'Base Schedules'!$A$160:$AW$203,20,FALSE)),"")</f>
        <v/>
      </c>
      <c r="V51" s="184" t="str">
        <f>IFERROR(IF(VLOOKUP(Tue_W1[[#This Row],[Employee Name]],'Base Schedules'!$A$160:$AW$203,21,FALSE)="","",VLOOKUP(Tue_W1[[#This Row],[Employee Name]],'Base Schedules'!$A$160:$AW$203,21,FALSE)),"")</f>
        <v/>
      </c>
      <c r="W51" s="184" t="str">
        <f>IFERROR(IF(VLOOKUP(Tue_W1[[#This Row],[Employee Name]],'Base Schedules'!$A$160:$AW$203,22,FALSE)="","",VLOOKUP(Tue_W1[[#This Row],[Employee Name]],'Base Schedules'!$A$160:$AW$203,22,FALSE)),"")</f>
        <v/>
      </c>
      <c r="X51" s="184" t="str">
        <f>IFERROR(IF(VLOOKUP(Tue_W1[[#This Row],[Employee Name]],'Base Schedules'!$A$160:$AW$203,23,FALSE)="","",VLOOKUP(Tue_W1[[#This Row],[Employee Name]],'Base Schedules'!$A$160:$AW$203,23,FALSE)),"")</f>
        <v/>
      </c>
      <c r="Y51" s="184" t="str">
        <f>IFERROR(IF(VLOOKUP(Tue_W1[[#This Row],[Employee Name]],'Base Schedules'!$A$160:$AW$203,24,FALSE)="","",VLOOKUP(Tue_W1[[#This Row],[Employee Name]],'Base Schedules'!$A$160:$AW$203,24,FALSE)),"")</f>
        <v/>
      </c>
      <c r="Z51" s="184" t="str">
        <f>IFERROR(IF(VLOOKUP(Tue_W1[[#This Row],[Employee Name]],'Base Schedules'!$A$160:$AW$203,25,FALSE)="","",VLOOKUP(Tue_W1[[#This Row],[Employee Name]],'Base Schedules'!$A$160:$AW$203,25,FALSE)),"")</f>
        <v/>
      </c>
      <c r="AA51" s="184" t="str">
        <f>IFERROR(IF(VLOOKUP(Tue_W1[[#This Row],[Employee Name]],'Base Schedules'!$A$160:$AW$203,26,FALSE)="","",VLOOKUP(Tue_W1[[#This Row],[Employee Name]],'Base Schedules'!$A$160:$AW$203,26,FALSE)),"")</f>
        <v/>
      </c>
      <c r="AB51" s="184" t="str">
        <f>IFERROR(IF(VLOOKUP(Tue_W1[[#This Row],[Employee Name]],'Base Schedules'!$A$160:$AW$203,27,FALSE)="","",VLOOKUP(Tue_W1[[#This Row],[Employee Name]],'Base Schedules'!$A$160:$AW$203,27,FALSE)),"")</f>
        <v/>
      </c>
      <c r="AC51" s="184" t="str">
        <f>IFERROR(IF(VLOOKUP(Tue_W1[[#This Row],[Employee Name]],'Base Schedules'!$A$160:$AW$203,28,FALSE)="","",VLOOKUP(Tue_W1[[#This Row],[Employee Name]],'Base Schedules'!$A$160:$AW$203,28,FALSE)),"")</f>
        <v/>
      </c>
      <c r="AD51" s="184" t="str">
        <f>IFERROR(IF(VLOOKUP(Tue_W1[[#This Row],[Employee Name]],'Base Schedules'!$A$160:$AW$203,29,FALSE)="","",VLOOKUP(Tue_W1[[#This Row],[Employee Name]],'Base Schedules'!$A$160:$AW$203,29,FALSE)),"")</f>
        <v/>
      </c>
      <c r="AE51" s="184" t="str">
        <f>IFERROR(IF(VLOOKUP(Tue_W1[[#This Row],[Employee Name]],'Base Schedules'!$A$160:$AW$203,30,FALSE)="","",VLOOKUP(Tue_W1[[#This Row],[Employee Name]],'Base Schedules'!$A$160:$AW$203,30,FALSE)),"")</f>
        <v/>
      </c>
      <c r="AF51" s="184" t="str">
        <f>IFERROR(IF(VLOOKUP(Tue_W1[[#This Row],[Employee Name]],'Base Schedules'!$A$160:$AW$203,31,FALSE)="","",VLOOKUP(Tue_W1[[#This Row],[Employee Name]],'Base Schedules'!$A$160:$AW$203,31,FALSE)),"")</f>
        <v/>
      </c>
      <c r="AG51" s="184" t="str">
        <f>IFERROR(IF(VLOOKUP(Tue_W1[[#This Row],[Employee Name]],'Base Schedules'!$A$160:$AW$203,32,FALSE)="","",VLOOKUP(Tue_W1[[#This Row],[Employee Name]],'Base Schedules'!$A$160:$AW$203,32,FALSE)),"")</f>
        <v/>
      </c>
      <c r="AH51" s="184" t="str">
        <f>IFERROR(IF(VLOOKUP(Tue_W1[[#This Row],[Employee Name]],'Base Schedules'!$A$160:$AW$203,33,FALSE)="","",VLOOKUP(Tue_W1[[#This Row],[Employee Name]],'Base Schedules'!$A$160:$AW$203,33,FALSE)),"")</f>
        <v/>
      </c>
      <c r="AI51" s="184" t="str">
        <f>IFERROR(IF(VLOOKUP(Tue_W1[[#This Row],[Employee Name]],'Base Schedules'!$A$160:$AW$203,34,FALSE)="","",VLOOKUP(Tue_W1[[#This Row],[Employee Name]],'Base Schedules'!$A$160:$AW$203,34,FALSE)),"")</f>
        <v/>
      </c>
      <c r="AJ51" s="184" t="str">
        <f>IFERROR(IF(VLOOKUP(Tue_W1[[#This Row],[Employee Name]],'Base Schedules'!$A$160:$AW$203,35,FALSE)="","",VLOOKUP(Tue_W1[[#This Row],[Employee Name]],'Base Schedules'!$A$160:$AW$203,35,FALSE)),"")</f>
        <v/>
      </c>
      <c r="AK51" s="184" t="str">
        <f>IFERROR(IF(VLOOKUP(Tue_W1[[#This Row],[Employee Name]],'Base Schedules'!$A$160:$AW$203,36,FALSE)="","",VLOOKUP(Tue_W1[[#This Row],[Employee Name]],'Base Schedules'!$A$160:$AW$203,36,FALSE)),"")</f>
        <v/>
      </c>
      <c r="AL51" s="184" t="str">
        <f>IFERROR(IF(VLOOKUP(Tue_W1[[#This Row],[Employee Name]],'Base Schedules'!$A$160:$AW$203,37,FALSE)="","",VLOOKUP(Tue_W1[[#This Row],[Employee Name]],'Base Schedules'!$A$160:$AW$203,37,FALSE)),"")</f>
        <v/>
      </c>
      <c r="AM51" s="184" t="str">
        <f>IFERROR(IF(VLOOKUP(Tue_W1[[#This Row],[Employee Name]],'Base Schedules'!$A$160:$AW$203,38,FALSE)="","",VLOOKUP(Tue_W1[[#This Row],[Employee Name]],'Base Schedules'!$A$160:$AW$203,38,FALSE)),"")</f>
        <v/>
      </c>
      <c r="AN51" s="184" t="str">
        <f>IFERROR(IF(VLOOKUP(Tue_W1[[#This Row],[Employee Name]],'Base Schedules'!$A$160:$AW$203,39,FALSE)="","",VLOOKUP(Tue_W1[[#This Row],[Employee Name]],'Base Schedules'!$A$160:$AW$203,39,FALSE)),"")</f>
        <v/>
      </c>
      <c r="AO51" s="184" t="str">
        <f>IFERROR(IF(VLOOKUP(Tue_W1[[#This Row],[Employee Name]],'Base Schedules'!$A$160:$AW$203,40,FALSE)="","",VLOOKUP(Tue_W1[[#This Row],[Employee Name]],'Base Schedules'!$A$160:$AW$203,40,FALSE)),"")</f>
        <v/>
      </c>
      <c r="AP51" s="184" t="str">
        <f>IFERROR(IF(VLOOKUP(Tue_W1[[#This Row],[Employee Name]],'Base Schedules'!$A$160:$AW$203,41,FALSE)="","",VLOOKUP(Tue_W1[[#This Row],[Employee Name]],'Base Schedules'!$A$160:$AW$203,41,FALSE)),"")</f>
        <v/>
      </c>
      <c r="AQ51" s="184" t="str">
        <f>IFERROR(IF(VLOOKUP(Tue_W1[[#This Row],[Employee Name]],'Base Schedules'!$A$160:$AW$203,42,FALSE)="","",VLOOKUP(Tue_W1[[#This Row],[Employee Name]],'Base Schedules'!$A$160:$AW$203,42,FALSE)),"")</f>
        <v/>
      </c>
      <c r="AR51" s="184" t="str">
        <f>IFERROR(IF(VLOOKUP(Tue_W1[[#This Row],[Employee Name]],'Base Schedules'!$A$160:$AW$203,43,FALSE)="","",VLOOKUP(Tue_W1[[#This Row],[Employee Name]],'Base Schedules'!$A$160:$AW$203,43,FALSE)),"")</f>
        <v/>
      </c>
      <c r="AS51" s="184" t="str">
        <f>IFERROR(IF(VLOOKUP(Tue_W1[[#This Row],[Employee Name]],'Base Schedules'!$A$160:$AW$203,44,FALSE)="","",VLOOKUP(Tue_W1[[#This Row],[Employee Name]],'Base Schedules'!$A$160:$AW$203,44,FALSE)),"")</f>
        <v/>
      </c>
      <c r="AT51" s="184" t="str">
        <f>IFERROR(IF(VLOOKUP(Tue_W1[[#This Row],[Employee Name]],'Base Schedules'!$A$160:$AW$203,45,FALSE)="","",VLOOKUP(Tue_W1[[#This Row],[Employee Name]],'Base Schedules'!$A$160:$AW$203,45,FALSE)),"")</f>
        <v/>
      </c>
      <c r="AU51" s="184" t="str">
        <f>IFERROR(IF(VLOOKUP(Tue_W1[[#This Row],[Employee Name]],'Base Schedules'!$A$160:$AW$203,46,FALSE)="","",VLOOKUP(Tue_W1[[#This Row],[Employee Name]],'Base Schedules'!$A$160:$AW$203,46,FALSE)),"")</f>
        <v/>
      </c>
      <c r="AV51" s="184" t="str">
        <f>IFERROR(IF(VLOOKUP(Tue_W1[[#This Row],[Employee Name]],'Base Schedules'!$A$160:$AW$203,47,FALSE)="","",VLOOKUP(Tue_W1[[#This Row],[Employee Name]],'Base Schedules'!$A$160:$AW$203,47,FALSE)),"")</f>
        <v/>
      </c>
      <c r="AW51" s="184" t="str">
        <f>IFERROR(IF(VLOOKUP(Tue_W1[[#This Row],[Employee Name]],'Base Schedules'!$A$160:$AW$203,48,FALSE)="","",VLOOKUP(Tue_W1[[#This Row],[Employee Name]],'Base Schedules'!$A$160:$AW$203,48,FALSE)),"")</f>
        <v/>
      </c>
      <c r="AX51" s="184" t="str">
        <f>IFERROR(IF(VLOOKUP(Tue_W1[[#This Row],[Employee Name]],'Base Schedules'!$A$160:$AW$203,49,FALSE)="","",VLOOKUP(Tue_W1[[#This Row],[Employee Name]],'Base Schedules'!$A$160:$AW$203,49,FALSE)),"")</f>
        <v/>
      </c>
      <c r="AY51" s="164" t="str">
        <f t="shared" si="2"/>
        <v/>
      </c>
    </row>
    <row r="52" spans="1:52" s="44" customFormat="1" hidden="1" thickBot="1" x14ac:dyDescent="0.25">
      <c r="A52" s="39" t="str">
        <f>IF(B52="","",INDEX(TeamList[],MATCH($B52,TeamList[[Employee Name]:[Employee Name]],0),MATCH("Manager",TeamList[#Headers],0)))</f>
        <v/>
      </c>
      <c r="B52" s="201"/>
      <c r="C52" s="257" t="str">
        <f>_xlfn.IFNA(VLOOKUP(Tue_W1[[#This Row],[Employee Name]],'Base Schedules'!A:B,2,FALSE),"")</f>
        <v/>
      </c>
      <c r="D52" s="274" t="str">
        <f>_xlfn.IFNA(VLOOKUP(Tue_W1[[#This Row],[Employee Name]],'Base Schedules'!A:C,3,FALSE),"")</f>
        <v/>
      </c>
      <c r="E52" s="274" t="str">
        <f>_xlfn.IFNA(VLOOKUP(Tue_W1[[#This Row],[Employee Name]],'Base Schedules'!A:D,4,FALSE),"")</f>
        <v/>
      </c>
      <c r="F52" s="142" t="str">
        <f>IF(Tue_W1[[#This Row],[Employee Name]]="","",IF(Tue_W1[[#This Row],[Dept]]="Supervisor",COUNTIFS($J52:$AX52,"*HL*",$J52:$AX52,"&lt;&gt;"&amp;"pHL"),COUNTIFS($J52:$AX52,"*HL*",$J52:$AX52,"&lt;&gt;"&amp;"*pHL*",$J52:$AX52,"&lt;&gt;"&amp;"pB1 HL",$J52:$AX52,"&lt;&gt;"&amp;"pB2 HL")-SUM(COUNTIFS($J52:$AX52,"*HL B1*",$J52:$AX52,"&lt;&gt;"&amp;"pHL B1")*0.5,COUNTIFS($J52:$AX52,"*HL B2*",$J52:$AX52,"&lt;&gt;"&amp;"pHL B2")*0.5,COUNTIFS($J52:$AX52,"*B1 HL*",$J52:$AX52,"&lt;&gt;"&amp;"pB1 HL")*0.5,COUNTIFS($J52:$AX52,"*B2 HL*",$J52:$AX52,"&lt;&gt;"&amp;"pB2 HL")*0.5)))</f>
        <v/>
      </c>
      <c r="G52" s="142" t="str">
        <f t="shared" si="0"/>
        <v/>
      </c>
      <c r="H52" s="142" t="str">
        <f t="shared" si="1"/>
        <v/>
      </c>
      <c r="I52" s="142" t="str">
        <f>IF(Tue_W1[[#This Row],[Employee Name]]="","",IF(Tue_W1[[#This Row],[Dept]]="Supervisor",SUM(COUNTIFS($J52:$AX52,"RTA*",$J52:$AX52,"&lt;&gt;"&amp;"pRTA"),COUNTIFS($J52:$AX52,"*CRTA*",$J52:$AX52,"&lt;&gt;"&amp;"pCRTA")),COUNTIFS($J52:$AX52,"*RNNR*",$J52:$AX52,"&lt;&gt;"&amp;"*pRNNR*",$J52:$AX52,"&lt;&gt;"&amp;"pB1 RNNR",$J52:$AX52,"&lt;&gt;"&amp;"pB2 RNNR")-SUM(COUNTIFS($J52:$AX52,"*RNNR B1*",$J52:$AX52,"&lt;&gt;"&amp;"pRNNR B1")*0.5,COUNTIFS($J52:$AX52,"*RNNR B2*",$J52:$AX52,"&lt;&gt;"&amp;"pRNNR B2")*0.5,COUNTIFS($J52:$AX52,"*B1 RNNR*",$J52:$AX52,"&lt;&gt;"&amp;"pB1 RNNR")*0.5,COUNTIFS($J52:$AX52,"*B2 RNNR*",$J52:$AX52,"&lt;&gt;"&amp;"pB2 RNNR")*0.5)))</f>
        <v/>
      </c>
      <c r="J52" s="184" t="str">
        <f>IFERROR(IF(VLOOKUP(Tue_W1[[#This Row],[Employee Name]],'Base Schedules'!$A$160:$AW$203,9,FALSE)="","",VLOOKUP(Tue_W1[[#This Row],[Employee Name]],'Base Schedules'!$A$160:$AW$203,9,FALSE)),"")</f>
        <v/>
      </c>
      <c r="K52" s="184" t="str">
        <f>IFERROR(IF(VLOOKUP(Tue_W1[[#This Row],[Employee Name]],'Base Schedules'!$A$160:$AW$203,10,FALSE)="","",VLOOKUP(Tue_W1[[#This Row],[Employee Name]],'Base Schedules'!$A$160:$AW$203,10,FALSE)),"")</f>
        <v/>
      </c>
      <c r="L52" s="184" t="str">
        <f>IFERROR(IF(VLOOKUP(Tue_W1[[#This Row],[Employee Name]],'Base Schedules'!$A$160:$AW$203,11,FALSE)="","",VLOOKUP(Tue_W1[[#This Row],[Employee Name]],'Base Schedules'!$A$160:$AW$203,11,FALSE)),"")</f>
        <v/>
      </c>
      <c r="M52" s="184" t="str">
        <f>IFERROR(IF(VLOOKUP(Tue_W1[[#This Row],[Employee Name]],'Base Schedules'!$A$160:$AW$203,12,FALSE)="","",VLOOKUP(Tue_W1[[#This Row],[Employee Name]],'Base Schedules'!$A$160:$AW$203,12,FALSE)),"")</f>
        <v/>
      </c>
      <c r="N52" s="184" t="str">
        <f>IFERROR(IF(VLOOKUP(Tue_W1[[#This Row],[Employee Name]],'Base Schedules'!$A$160:$AW$203,13,FALSE)="","",VLOOKUP(Tue_W1[[#This Row],[Employee Name]],'Base Schedules'!$A$160:$AW$203,13,FALSE)),"")</f>
        <v/>
      </c>
      <c r="O52" s="184" t="str">
        <f>IFERROR(IF(VLOOKUP(Tue_W1[[#This Row],[Employee Name]],'Base Schedules'!$A$160:$AW$203,14,FALSE)="","",VLOOKUP(Tue_W1[[#This Row],[Employee Name]],'Base Schedules'!$A$160:$AW$203,14,FALSE)),"")</f>
        <v/>
      </c>
      <c r="P52" s="184" t="str">
        <f>IFERROR(IF(VLOOKUP(Tue_W1[[#This Row],[Employee Name]],'Base Schedules'!$A$160:$AW$203,15,FALSE)="","",VLOOKUP(Tue_W1[[#This Row],[Employee Name]],'Base Schedules'!$A$160:$AW$203,15,FALSE)),"")</f>
        <v/>
      </c>
      <c r="Q52" s="184" t="str">
        <f>IFERROR(IF(VLOOKUP(Tue_W1[[#This Row],[Employee Name]],'Base Schedules'!$A$160:$AW$203,16,FALSE)="","",VLOOKUP(Tue_W1[[#This Row],[Employee Name]],'Base Schedules'!$A$160:$AW$203,16,FALSE)),"")</f>
        <v/>
      </c>
      <c r="R52" s="184" t="str">
        <f>IFERROR(IF(VLOOKUP(Tue_W1[[#This Row],[Employee Name]],'Base Schedules'!$A$160:$AW$203,17,FALSE)="","",VLOOKUP(Tue_W1[[#This Row],[Employee Name]],'Base Schedules'!$A$160:$AW$203,17,FALSE)),"")</f>
        <v/>
      </c>
      <c r="S52" s="184" t="str">
        <f>IFERROR(IF(VLOOKUP(Tue_W1[[#This Row],[Employee Name]],'Base Schedules'!$A$160:$AW$203,18,FALSE)="","",VLOOKUP(Tue_W1[[#This Row],[Employee Name]],'Base Schedules'!$A$160:$AW$203,18,FALSE)),"")</f>
        <v/>
      </c>
      <c r="T52" s="184" t="str">
        <f>IFERROR(IF(VLOOKUP(Tue_W1[[#This Row],[Employee Name]],'Base Schedules'!$A$160:$AW$203,19,FALSE)="","",VLOOKUP(Tue_W1[[#This Row],[Employee Name]],'Base Schedules'!$A$160:$AW$203,19,FALSE)),"")</f>
        <v/>
      </c>
      <c r="U52" s="184" t="str">
        <f>IFERROR(IF(VLOOKUP(Tue_W1[[#This Row],[Employee Name]],'Base Schedules'!$A$160:$AW$203,20,FALSE)="","",VLOOKUP(Tue_W1[[#This Row],[Employee Name]],'Base Schedules'!$A$160:$AW$203,20,FALSE)),"")</f>
        <v/>
      </c>
      <c r="V52" s="184" t="str">
        <f>IFERROR(IF(VLOOKUP(Tue_W1[[#This Row],[Employee Name]],'Base Schedules'!$A$160:$AW$203,21,FALSE)="","",VLOOKUP(Tue_W1[[#This Row],[Employee Name]],'Base Schedules'!$A$160:$AW$203,21,FALSE)),"")</f>
        <v/>
      </c>
      <c r="W52" s="184" t="str">
        <f>IFERROR(IF(VLOOKUP(Tue_W1[[#This Row],[Employee Name]],'Base Schedules'!$A$160:$AW$203,22,FALSE)="","",VLOOKUP(Tue_W1[[#This Row],[Employee Name]],'Base Schedules'!$A$160:$AW$203,22,FALSE)),"")</f>
        <v/>
      </c>
      <c r="X52" s="184" t="str">
        <f>IFERROR(IF(VLOOKUP(Tue_W1[[#This Row],[Employee Name]],'Base Schedules'!$A$160:$AW$203,23,FALSE)="","",VLOOKUP(Tue_W1[[#This Row],[Employee Name]],'Base Schedules'!$A$160:$AW$203,23,FALSE)),"")</f>
        <v/>
      </c>
      <c r="Y52" s="184" t="str">
        <f>IFERROR(IF(VLOOKUP(Tue_W1[[#This Row],[Employee Name]],'Base Schedules'!$A$160:$AW$203,24,FALSE)="","",VLOOKUP(Tue_W1[[#This Row],[Employee Name]],'Base Schedules'!$A$160:$AW$203,24,FALSE)),"")</f>
        <v/>
      </c>
      <c r="Z52" s="184" t="str">
        <f>IFERROR(IF(VLOOKUP(Tue_W1[[#This Row],[Employee Name]],'Base Schedules'!$A$160:$AW$203,25,FALSE)="","",VLOOKUP(Tue_W1[[#This Row],[Employee Name]],'Base Schedules'!$A$160:$AW$203,25,FALSE)),"")</f>
        <v/>
      </c>
      <c r="AA52" s="184" t="str">
        <f>IFERROR(IF(VLOOKUP(Tue_W1[[#This Row],[Employee Name]],'Base Schedules'!$A$160:$AW$203,26,FALSE)="","",VLOOKUP(Tue_W1[[#This Row],[Employee Name]],'Base Schedules'!$A$160:$AW$203,26,FALSE)),"")</f>
        <v/>
      </c>
      <c r="AB52" s="184" t="str">
        <f>IFERROR(IF(VLOOKUP(Tue_W1[[#This Row],[Employee Name]],'Base Schedules'!$A$160:$AW$203,27,FALSE)="","",VLOOKUP(Tue_W1[[#This Row],[Employee Name]],'Base Schedules'!$A$160:$AW$203,27,FALSE)),"")</f>
        <v/>
      </c>
      <c r="AC52" s="184" t="str">
        <f>IFERROR(IF(VLOOKUP(Tue_W1[[#This Row],[Employee Name]],'Base Schedules'!$A$160:$AW$203,28,FALSE)="","",VLOOKUP(Tue_W1[[#This Row],[Employee Name]],'Base Schedules'!$A$160:$AW$203,28,FALSE)),"")</f>
        <v/>
      </c>
      <c r="AD52" s="184" t="str">
        <f>IFERROR(IF(VLOOKUP(Tue_W1[[#This Row],[Employee Name]],'Base Schedules'!$A$160:$AW$203,29,FALSE)="","",VLOOKUP(Tue_W1[[#This Row],[Employee Name]],'Base Schedules'!$A$160:$AW$203,29,FALSE)),"")</f>
        <v/>
      </c>
      <c r="AE52" s="184" t="str">
        <f>IFERROR(IF(VLOOKUP(Tue_W1[[#This Row],[Employee Name]],'Base Schedules'!$A$160:$AW$203,30,FALSE)="","",VLOOKUP(Tue_W1[[#This Row],[Employee Name]],'Base Schedules'!$A$160:$AW$203,30,FALSE)),"")</f>
        <v/>
      </c>
      <c r="AF52" s="184" t="str">
        <f>IFERROR(IF(VLOOKUP(Tue_W1[[#This Row],[Employee Name]],'Base Schedules'!$A$160:$AW$203,31,FALSE)="","",VLOOKUP(Tue_W1[[#This Row],[Employee Name]],'Base Schedules'!$A$160:$AW$203,31,FALSE)),"")</f>
        <v/>
      </c>
      <c r="AG52" s="184" t="str">
        <f>IFERROR(IF(VLOOKUP(Tue_W1[[#This Row],[Employee Name]],'Base Schedules'!$A$160:$AW$203,32,FALSE)="","",VLOOKUP(Tue_W1[[#This Row],[Employee Name]],'Base Schedules'!$A$160:$AW$203,32,FALSE)),"")</f>
        <v/>
      </c>
      <c r="AH52" s="184" t="str">
        <f>IFERROR(IF(VLOOKUP(Tue_W1[[#This Row],[Employee Name]],'Base Schedules'!$A$160:$AW$203,33,FALSE)="","",VLOOKUP(Tue_W1[[#This Row],[Employee Name]],'Base Schedules'!$A$160:$AW$203,33,FALSE)),"")</f>
        <v/>
      </c>
      <c r="AI52" s="184" t="str">
        <f>IFERROR(IF(VLOOKUP(Tue_W1[[#This Row],[Employee Name]],'Base Schedules'!$A$160:$AW$203,34,FALSE)="","",VLOOKUP(Tue_W1[[#This Row],[Employee Name]],'Base Schedules'!$A$160:$AW$203,34,FALSE)),"")</f>
        <v/>
      </c>
      <c r="AJ52" s="184" t="str">
        <f>IFERROR(IF(VLOOKUP(Tue_W1[[#This Row],[Employee Name]],'Base Schedules'!$A$160:$AW$203,35,FALSE)="","",VLOOKUP(Tue_W1[[#This Row],[Employee Name]],'Base Schedules'!$A$160:$AW$203,35,FALSE)),"")</f>
        <v/>
      </c>
      <c r="AK52" s="184" t="str">
        <f>IFERROR(IF(VLOOKUP(Tue_W1[[#This Row],[Employee Name]],'Base Schedules'!$A$160:$AW$203,36,FALSE)="","",VLOOKUP(Tue_W1[[#This Row],[Employee Name]],'Base Schedules'!$A$160:$AW$203,36,FALSE)),"")</f>
        <v/>
      </c>
      <c r="AL52" s="184" t="str">
        <f>IFERROR(IF(VLOOKUP(Tue_W1[[#This Row],[Employee Name]],'Base Schedules'!$A$160:$AW$203,37,FALSE)="","",VLOOKUP(Tue_W1[[#This Row],[Employee Name]],'Base Schedules'!$A$160:$AW$203,37,FALSE)),"")</f>
        <v/>
      </c>
      <c r="AM52" s="184" t="str">
        <f>IFERROR(IF(VLOOKUP(Tue_W1[[#This Row],[Employee Name]],'Base Schedules'!$A$160:$AW$203,38,FALSE)="","",VLOOKUP(Tue_W1[[#This Row],[Employee Name]],'Base Schedules'!$A$160:$AW$203,38,FALSE)),"")</f>
        <v/>
      </c>
      <c r="AN52" s="184" t="str">
        <f>IFERROR(IF(VLOOKUP(Tue_W1[[#This Row],[Employee Name]],'Base Schedules'!$A$160:$AW$203,39,FALSE)="","",VLOOKUP(Tue_W1[[#This Row],[Employee Name]],'Base Schedules'!$A$160:$AW$203,39,FALSE)),"")</f>
        <v/>
      </c>
      <c r="AO52" s="184" t="str">
        <f>IFERROR(IF(VLOOKUP(Tue_W1[[#This Row],[Employee Name]],'Base Schedules'!$A$160:$AW$203,40,FALSE)="","",VLOOKUP(Tue_W1[[#This Row],[Employee Name]],'Base Schedules'!$A$160:$AW$203,40,FALSE)),"")</f>
        <v/>
      </c>
      <c r="AP52" s="184" t="str">
        <f>IFERROR(IF(VLOOKUP(Tue_W1[[#This Row],[Employee Name]],'Base Schedules'!$A$160:$AW$203,41,FALSE)="","",VLOOKUP(Tue_W1[[#This Row],[Employee Name]],'Base Schedules'!$A$160:$AW$203,41,FALSE)),"")</f>
        <v/>
      </c>
      <c r="AQ52" s="184" t="str">
        <f>IFERROR(IF(VLOOKUP(Tue_W1[[#This Row],[Employee Name]],'Base Schedules'!$A$160:$AW$203,42,FALSE)="","",VLOOKUP(Tue_W1[[#This Row],[Employee Name]],'Base Schedules'!$A$160:$AW$203,42,FALSE)),"")</f>
        <v/>
      </c>
      <c r="AR52" s="184" t="str">
        <f>IFERROR(IF(VLOOKUP(Tue_W1[[#This Row],[Employee Name]],'Base Schedules'!$A$160:$AW$203,43,FALSE)="","",VLOOKUP(Tue_W1[[#This Row],[Employee Name]],'Base Schedules'!$A$160:$AW$203,43,FALSE)),"")</f>
        <v/>
      </c>
      <c r="AS52" s="184" t="str">
        <f>IFERROR(IF(VLOOKUP(Tue_W1[[#This Row],[Employee Name]],'Base Schedules'!$A$160:$AW$203,44,FALSE)="","",VLOOKUP(Tue_W1[[#This Row],[Employee Name]],'Base Schedules'!$A$160:$AW$203,44,FALSE)),"")</f>
        <v/>
      </c>
      <c r="AT52" s="184" t="str">
        <f>IFERROR(IF(VLOOKUP(Tue_W1[[#This Row],[Employee Name]],'Base Schedules'!$A$160:$AW$203,45,FALSE)="","",VLOOKUP(Tue_W1[[#This Row],[Employee Name]],'Base Schedules'!$A$160:$AW$203,45,FALSE)),"")</f>
        <v/>
      </c>
      <c r="AU52" s="184" t="str">
        <f>IFERROR(IF(VLOOKUP(Tue_W1[[#This Row],[Employee Name]],'Base Schedules'!$A$160:$AW$203,46,FALSE)="","",VLOOKUP(Tue_W1[[#This Row],[Employee Name]],'Base Schedules'!$A$160:$AW$203,46,FALSE)),"")</f>
        <v/>
      </c>
      <c r="AV52" s="184" t="str">
        <f>IFERROR(IF(VLOOKUP(Tue_W1[[#This Row],[Employee Name]],'Base Schedules'!$A$160:$AW$203,47,FALSE)="","",VLOOKUP(Tue_W1[[#This Row],[Employee Name]],'Base Schedules'!$A$160:$AW$203,47,FALSE)),"")</f>
        <v/>
      </c>
      <c r="AW52" s="184" t="str">
        <f>IFERROR(IF(VLOOKUP(Tue_W1[[#This Row],[Employee Name]],'Base Schedules'!$A$160:$AW$203,48,FALSE)="","",VLOOKUP(Tue_W1[[#This Row],[Employee Name]],'Base Schedules'!$A$160:$AW$203,48,FALSE)),"")</f>
        <v/>
      </c>
      <c r="AX52" s="184" t="str">
        <f>IFERROR(IF(VLOOKUP(Tue_W1[[#This Row],[Employee Name]],'Base Schedules'!$A$160:$AW$203,49,FALSE)="","",VLOOKUP(Tue_W1[[#This Row],[Employee Name]],'Base Schedules'!$A$160:$AW$203,49,FALSE)),"")</f>
        <v/>
      </c>
      <c r="AY52" s="164" t="str">
        <f t="shared" si="2"/>
        <v/>
      </c>
    </row>
    <row r="53" spans="1:52" s="44" customFormat="1" hidden="1" thickBot="1" x14ac:dyDescent="0.25">
      <c r="A53" s="39" t="str">
        <f>IF(B53="","",INDEX(TeamList[],MATCH($B53,TeamList[[Employee Name]:[Employee Name]],0),MATCH("Manager",TeamList[#Headers],0)))</f>
        <v/>
      </c>
      <c r="B53" s="201"/>
      <c r="C53" s="257" t="str">
        <f>_xlfn.IFNA(VLOOKUP(Tue_W1[[#This Row],[Employee Name]],'Base Schedules'!A:B,2,FALSE),"")</f>
        <v/>
      </c>
      <c r="D53" s="274" t="str">
        <f>_xlfn.IFNA(VLOOKUP(Tue_W1[[#This Row],[Employee Name]],'Base Schedules'!A:C,3,FALSE),"")</f>
        <v/>
      </c>
      <c r="E53" s="274" t="str">
        <f>_xlfn.IFNA(VLOOKUP(Tue_W1[[#This Row],[Employee Name]],'Base Schedules'!A:D,4,FALSE),"")</f>
        <v/>
      </c>
      <c r="F53" s="142" t="str">
        <f>IF(Tue_W1[[#This Row],[Employee Name]]="","",IF(Tue_W1[[#This Row],[Dept]]="Supervisor",COUNTIFS($J53:$AX53,"*HL*",$J53:$AX53,"&lt;&gt;"&amp;"pHL"),COUNTIFS($J53:$AX53,"*HL*",$J53:$AX53,"&lt;&gt;"&amp;"*pHL*",$J53:$AX53,"&lt;&gt;"&amp;"pB1 HL",$J53:$AX53,"&lt;&gt;"&amp;"pB2 HL")-SUM(COUNTIFS($J53:$AX53,"*HL B1*",$J53:$AX53,"&lt;&gt;"&amp;"pHL B1")*0.5,COUNTIFS($J53:$AX53,"*HL B2*",$J53:$AX53,"&lt;&gt;"&amp;"pHL B2")*0.5,COUNTIFS($J53:$AX53,"*B1 HL*",$J53:$AX53,"&lt;&gt;"&amp;"pB1 HL")*0.5,COUNTIFS($J53:$AX53,"*B2 HL*",$J53:$AX53,"&lt;&gt;"&amp;"pB2 HL")*0.5)))</f>
        <v/>
      </c>
      <c r="G53" s="142" t="str">
        <f t="shared" si="0"/>
        <v/>
      </c>
      <c r="H53" s="142" t="str">
        <f t="shared" si="1"/>
        <v/>
      </c>
      <c r="I53" s="142" t="str">
        <f>IF(Tue_W1[[#This Row],[Employee Name]]="","",IF(Tue_W1[[#This Row],[Dept]]="Supervisor",SUM(COUNTIFS($J53:$AX53,"RTA*",$J53:$AX53,"&lt;&gt;"&amp;"pRTA"),COUNTIFS($J53:$AX53,"*CRTA*",$J53:$AX53,"&lt;&gt;"&amp;"pCRTA")),COUNTIFS($J53:$AX53,"*RNNR*",$J53:$AX53,"&lt;&gt;"&amp;"*pRNNR*",$J53:$AX53,"&lt;&gt;"&amp;"pB1 RNNR",$J53:$AX53,"&lt;&gt;"&amp;"pB2 RNNR")-SUM(COUNTIFS($J53:$AX53,"*RNNR B1*",$J53:$AX53,"&lt;&gt;"&amp;"pRNNR B1")*0.5,COUNTIFS($J53:$AX53,"*RNNR B2*",$J53:$AX53,"&lt;&gt;"&amp;"pRNNR B2")*0.5,COUNTIFS($J53:$AX53,"*B1 RNNR*",$J53:$AX53,"&lt;&gt;"&amp;"pB1 RNNR")*0.5,COUNTIFS($J53:$AX53,"*B2 RNNR*",$J53:$AX53,"&lt;&gt;"&amp;"pB2 RNNR")*0.5)))</f>
        <v/>
      </c>
      <c r="J53" s="184" t="str">
        <f>IFERROR(IF(VLOOKUP(Tue_W1[[#This Row],[Employee Name]],'Base Schedules'!$A$160:$AW$203,9,FALSE)="","",VLOOKUP(Tue_W1[[#This Row],[Employee Name]],'Base Schedules'!$A$160:$AW$203,9,FALSE)),"")</f>
        <v/>
      </c>
      <c r="K53" s="184" t="str">
        <f>IFERROR(IF(VLOOKUP(Tue_W1[[#This Row],[Employee Name]],'Base Schedules'!$A$160:$AW$203,10,FALSE)="","",VLOOKUP(Tue_W1[[#This Row],[Employee Name]],'Base Schedules'!$A$160:$AW$203,10,FALSE)),"")</f>
        <v/>
      </c>
      <c r="L53" s="184" t="str">
        <f>IFERROR(IF(VLOOKUP(Tue_W1[[#This Row],[Employee Name]],'Base Schedules'!$A$160:$AW$203,11,FALSE)="","",VLOOKUP(Tue_W1[[#This Row],[Employee Name]],'Base Schedules'!$A$160:$AW$203,11,FALSE)),"")</f>
        <v/>
      </c>
      <c r="M53" s="184" t="str">
        <f>IFERROR(IF(VLOOKUP(Tue_W1[[#This Row],[Employee Name]],'Base Schedules'!$A$160:$AW$203,12,FALSE)="","",VLOOKUP(Tue_W1[[#This Row],[Employee Name]],'Base Schedules'!$A$160:$AW$203,12,FALSE)),"")</f>
        <v/>
      </c>
      <c r="N53" s="184" t="str">
        <f>IFERROR(IF(VLOOKUP(Tue_W1[[#This Row],[Employee Name]],'Base Schedules'!$A$160:$AW$203,13,FALSE)="","",VLOOKUP(Tue_W1[[#This Row],[Employee Name]],'Base Schedules'!$A$160:$AW$203,13,FALSE)),"")</f>
        <v/>
      </c>
      <c r="O53" s="184" t="str">
        <f>IFERROR(IF(VLOOKUP(Tue_W1[[#This Row],[Employee Name]],'Base Schedules'!$A$160:$AW$203,14,FALSE)="","",VLOOKUP(Tue_W1[[#This Row],[Employee Name]],'Base Schedules'!$A$160:$AW$203,14,FALSE)),"")</f>
        <v/>
      </c>
      <c r="P53" s="184" t="str">
        <f>IFERROR(IF(VLOOKUP(Tue_W1[[#This Row],[Employee Name]],'Base Schedules'!$A$160:$AW$203,15,FALSE)="","",VLOOKUP(Tue_W1[[#This Row],[Employee Name]],'Base Schedules'!$A$160:$AW$203,15,FALSE)),"")</f>
        <v/>
      </c>
      <c r="Q53" s="184" t="str">
        <f>IFERROR(IF(VLOOKUP(Tue_W1[[#This Row],[Employee Name]],'Base Schedules'!$A$160:$AW$203,16,FALSE)="","",VLOOKUP(Tue_W1[[#This Row],[Employee Name]],'Base Schedules'!$A$160:$AW$203,16,FALSE)),"")</f>
        <v/>
      </c>
      <c r="R53" s="184" t="str">
        <f>IFERROR(IF(VLOOKUP(Tue_W1[[#This Row],[Employee Name]],'Base Schedules'!$A$160:$AW$203,17,FALSE)="","",VLOOKUP(Tue_W1[[#This Row],[Employee Name]],'Base Schedules'!$A$160:$AW$203,17,FALSE)),"")</f>
        <v/>
      </c>
      <c r="S53" s="184" t="str">
        <f>IFERROR(IF(VLOOKUP(Tue_W1[[#This Row],[Employee Name]],'Base Schedules'!$A$160:$AW$203,18,FALSE)="","",VLOOKUP(Tue_W1[[#This Row],[Employee Name]],'Base Schedules'!$A$160:$AW$203,18,FALSE)),"")</f>
        <v/>
      </c>
      <c r="T53" s="184" t="str">
        <f>IFERROR(IF(VLOOKUP(Tue_W1[[#This Row],[Employee Name]],'Base Schedules'!$A$160:$AW$203,19,FALSE)="","",VLOOKUP(Tue_W1[[#This Row],[Employee Name]],'Base Schedules'!$A$160:$AW$203,19,FALSE)),"")</f>
        <v/>
      </c>
      <c r="U53" s="184" t="str">
        <f>IFERROR(IF(VLOOKUP(Tue_W1[[#This Row],[Employee Name]],'Base Schedules'!$A$160:$AW$203,20,FALSE)="","",VLOOKUP(Tue_W1[[#This Row],[Employee Name]],'Base Schedules'!$A$160:$AW$203,20,FALSE)),"")</f>
        <v/>
      </c>
      <c r="V53" s="184" t="str">
        <f>IFERROR(IF(VLOOKUP(Tue_W1[[#This Row],[Employee Name]],'Base Schedules'!$A$160:$AW$203,21,FALSE)="","",VLOOKUP(Tue_W1[[#This Row],[Employee Name]],'Base Schedules'!$A$160:$AW$203,21,FALSE)),"")</f>
        <v/>
      </c>
      <c r="W53" s="184" t="str">
        <f>IFERROR(IF(VLOOKUP(Tue_W1[[#This Row],[Employee Name]],'Base Schedules'!$A$160:$AW$203,22,FALSE)="","",VLOOKUP(Tue_W1[[#This Row],[Employee Name]],'Base Schedules'!$A$160:$AW$203,22,FALSE)),"")</f>
        <v/>
      </c>
      <c r="X53" s="184" t="str">
        <f>IFERROR(IF(VLOOKUP(Tue_W1[[#This Row],[Employee Name]],'Base Schedules'!$A$160:$AW$203,23,FALSE)="","",VLOOKUP(Tue_W1[[#This Row],[Employee Name]],'Base Schedules'!$A$160:$AW$203,23,FALSE)),"")</f>
        <v/>
      </c>
      <c r="Y53" s="184" t="str">
        <f>IFERROR(IF(VLOOKUP(Tue_W1[[#This Row],[Employee Name]],'Base Schedules'!$A$160:$AW$203,24,FALSE)="","",VLOOKUP(Tue_W1[[#This Row],[Employee Name]],'Base Schedules'!$A$160:$AW$203,24,FALSE)),"")</f>
        <v/>
      </c>
      <c r="Z53" s="184" t="str">
        <f>IFERROR(IF(VLOOKUP(Tue_W1[[#This Row],[Employee Name]],'Base Schedules'!$A$160:$AW$203,25,FALSE)="","",VLOOKUP(Tue_W1[[#This Row],[Employee Name]],'Base Schedules'!$A$160:$AW$203,25,FALSE)),"")</f>
        <v/>
      </c>
      <c r="AA53" s="184" t="str">
        <f>IFERROR(IF(VLOOKUP(Tue_W1[[#This Row],[Employee Name]],'Base Schedules'!$A$160:$AW$203,26,FALSE)="","",VLOOKUP(Tue_W1[[#This Row],[Employee Name]],'Base Schedules'!$A$160:$AW$203,26,FALSE)),"")</f>
        <v/>
      </c>
      <c r="AB53" s="184" t="str">
        <f>IFERROR(IF(VLOOKUP(Tue_W1[[#This Row],[Employee Name]],'Base Schedules'!$A$160:$AW$203,27,FALSE)="","",VLOOKUP(Tue_W1[[#This Row],[Employee Name]],'Base Schedules'!$A$160:$AW$203,27,FALSE)),"")</f>
        <v/>
      </c>
      <c r="AC53" s="184" t="str">
        <f>IFERROR(IF(VLOOKUP(Tue_W1[[#This Row],[Employee Name]],'Base Schedules'!$A$160:$AW$203,28,FALSE)="","",VLOOKUP(Tue_W1[[#This Row],[Employee Name]],'Base Schedules'!$A$160:$AW$203,28,FALSE)),"")</f>
        <v/>
      </c>
      <c r="AD53" s="184" t="str">
        <f>IFERROR(IF(VLOOKUP(Tue_W1[[#This Row],[Employee Name]],'Base Schedules'!$A$160:$AW$203,29,FALSE)="","",VLOOKUP(Tue_W1[[#This Row],[Employee Name]],'Base Schedules'!$A$160:$AW$203,29,FALSE)),"")</f>
        <v/>
      </c>
      <c r="AE53" s="184" t="str">
        <f>IFERROR(IF(VLOOKUP(Tue_W1[[#This Row],[Employee Name]],'Base Schedules'!$A$160:$AW$203,30,FALSE)="","",VLOOKUP(Tue_W1[[#This Row],[Employee Name]],'Base Schedules'!$A$160:$AW$203,30,FALSE)),"")</f>
        <v/>
      </c>
      <c r="AF53" s="184" t="str">
        <f>IFERROR(IF(VLOOKUP(Tue_W1[[#This Row],[Employee Name]],'Base Schedules'!$A$160:$AW$203,31,FALSE)="","",VLOOKUP(Tue_W1[[#This Row],[Employee Name]],'Base Schedules'!$A$160:$AW$203,31,FALSE)),"")</f>
        <v/>
      </c>
      <c r="AG53" s="184" t="str">
        <f>IFERROR(IF(VLOOKUP(Tue_W1[[#This Row],[Employee Name]],'Base Schedules'!$A$160:$AW$203,32,FALSE)="","",VLOOKUP(Tue_W1[[#This Row],[Employee Name]],'Base Schedules'!$A$160:$AW$203,32,FALSE)),"")</f>
        <v/>
      </c>
      <c r="AH53" s="184" t="str">
        <f>IFERROR(IF(VLOOKUP(Tue_W1[[#This Row],[Employee Name]],'Base Schedules'!$A$160:$AW$203,33,FALSE)="","",VLOOKUP(Tue_W1[[#This Row],[Employee Name]],'Base Schedules'!$A$160:$AW$203,33,FALSE)),"")</f>
        <v/>
      </c>
      <c r="AI53" s="184" t="str">
        <f>IFERROR(IF(VLOOKUP(Tue_W1[[#This Row],[Employee Name]],'Base Schedules'!$A$160:$AW$203,34,FALSE)="","",VLOOKUP(Tue_W1[[#This Row],[Employee Name]],'Base Schedules'!$A$160:$AW$203,34,FALSE)),"")</f>
        <v/>
      </c>
      <c r="AJ53" s="184" t="str">
        <f>IFERROR(IF(VLOOKUP(Tue_W1[[#This Row],[Employee Name]],'Base Schedules'!$A$160:$AW$203,35,FALSE)="","",VLOOKUP(Tue_W1[[#This Row],[Employee Name]],'Base Schedules'!$A$160:$AW$203,35,FALSE)),"")</f>
        <v/>
      </c>
      <c r="AK53" s="184" t="str">
        <f>IFERROR(IF(VLOOKUP(Tue_W1[[#This Row],[Employee Name]],'Base Schedules'!$A$160:$AW$203,36,FALSE)="","",VLOOKUP(Tue_W1[[#This Row],[Employee Name]],'Base Schedules'!$A$160:$AW$203,36,FALSE)),"")</f>
        <v/>
      </c>
      <c r="AL53" s="184" t="str">
        <f>IFERROR(IF(VLOOKUP(Tue_W1[[#This Row],[Employee Name]],'Base Schedules'!$A$160:$AW$203,37,FALSE)="","",VLOOKUP(Tue_W1[[#This Row],[Employee Name]],'Base Schedules'!$A$160:$AW$203,37,FALSE)),"")</f>
        <v/>
      </c>
      <c r="AM53" s="184" t="str">
        <f>IFERROR(IF(VLOOKUP(Tue_W1[[#This Row],[Employee Name]],'Base Schedules'!$A$160:$AW$203,38,FALSE)="","",VLOOKUP(Tue_W1[[#This Row],[Employee Name]],'Base Schedules'!$A$160:$AW$203,38,FALSE)),"")</f>
        <v/>
      </c>
      <c r="AN53" s="184" t="str">
        <f>IFERROR(IF(VLOOKUP(Tue_W1[[#This Row],[Employee Name]],'Base Schedules'!$A$160:$AW$203,39,FALSE)="","",VLOOKUP(Tue_W1[[#This Row],[Employee Name]],'Base Schedules'!$A$160:$AW$203,39,FALSE)),"")</f>
        <v/>
      </c>
      <c r="AO53" s="184" t="str">
        <f>IFERROR(IF(VLOOKUP(Tue_W1[[#This Row],[Employee Name]],'Base Schedules'!$A$160:$AW$203,40,FALSE)="","",VLOOKUP(Tue_W1[[#This Row],[Employee Name]],'Base Schedules'!$A$160:$AW$203,40,FALSE)),"")</f>
        <v/>
      </c>
      <c r="AP53" s="184" t="str">
        <f>IFERROR(IF(VLOOKUP(Tue_W1[[#This Row],[Employee Name]],'Base Schedules'!$A$160:$AW$203,41,FALSE)="","",VLOOKUP(Tue_W1[[#This Row],[Employee Name]],'Base Schedules'!$A$160:$AW$203,41,FALSE)),"")</f>
        <v/>
      </c>
      <c r="AQ53" s="184" t="str">
        <f>IFERROR(IF(VLOOKUP(Tue_W1[[#This Row],[Employee Name]],'Base Schedules'!$A$160:$AW$203,42,FALSE)="","",VLOOKUP(Tue_W1[[#This Row],[Employee Name]],'Base Schedules'!$A$160:$AW$203,42,FALSE)),"")</f>
        <v/>
      </c>
      <c r="AR53" s="184" t="str">
        <f>IFERROR(IF(VLOOKUP(Tue_W1[[#This Row],[Employee Name]],'Base Schedules'!$A$160:$AW$203,43,FALSE)="","",VLOOKUP(Tue_W1[[#This Row],[Employee Name]],'Base Schedules'!$A$160:$AW$203,43,FALSE)),"")</f>
        <v/>
      </c>
      <c r="AS53" s="184" t="str">
        <f>IFERROR(IF(VLOOKUP(Tue_W1[[#This Row],[Employee Name]],'Base Schedules'!$A$160:$AW$203,44,FALSE)="","",VLOOKUP(Tue_W1[[#This Row],[Employee Name]],'Base Schedules'!$A$160:$AW$203,44,FALSE)),"")</f>
        <v/>
      </c>
      <c r="AT53" s="184" t="str">
        <f>IFERROR(IF(VLOOKUP(Tue_W1[[#This Row],[Employee Name]],'Base Schedules'!$A$160:$AW$203,45,FALSE)="","",VLOOKUP(Tue_W1[[#This Row],[Employee Name]],'Base Schedules'!$A$160:$AW$203,45,FALSE)),"")</f>
        <v/>
      </c>
      <c r="AU53" s="184" t="str">
        <f>IFERROR(IF(VLOOKUP(Tue_W1[[#This Row],[Employee Name]],'Base Schedules'!$A$160:$AW$203,46,FALSE)="","",VLOOKUP(Tue_W1[[#This Row],[Employee Name]],'Base Schedules'!$A$160:$AW$203,46,FALSE)),"")</f>
        <v/>
      </c>
      <c r="AV53" s="184" t="str">
        <f>IFERROR(IF(VLOOKUP(Tue_W1[[#This Row],[Employee Name]],'Base Schedules'!$A$160:$AW$203,47,FALSE)="","",VLOOKUP(Tue_W1[[#This Row],[Employee Name]],'Base Schedules'!$A$160:$AW$203,47,FALSE)),"")</f>
        <v/>
      </c>
      <c r="AW53" s="184" t="str">
        <f>IFERROR(IF(VLOOKUP(Tue_W1[[#This Row],[Employee Name]],'Base Schedules'!$A$160:$AW$203,48,FALSE)="","",VLOOKUP(Tue_W1[[#This Row],[Employee Name]],'Base Schedules'!$A$160:$AW$203,48,FALSE)),"")</f>
        <v/>
      </c>
      <c r="AX53" s="184" t="str">
        <f>IFERROR(IF(VLOOKUP(Tue_W1[[#This Row],[Employee Name]],'Base Schedules'!$A$160:$AW$203,49,FALSE)="","",VLOOKUP(Tue_W1[[#This Row],[Employee Name]],'Base Schedules'!$A$160:$AW$203,49,FALSE)),"")</f>
        <v/>
      </c>
      <c r="AY53" s="164" t="str">
        <f t="shared" si="2"/>
        <v/>
      </c>
    </row>
    <row r="54" spans="1:52" s="44" customFormat="1" hidden="1" thickBot="1" x14ac:dyDescent="0.25">
      <c r="A54" s="39" t="str">
        <f>IF(B54="","",INDEX(TeamList[],MATCH($B54,TeamList[[Employee Name]:[Employee Name]],0),MATCH("Manager",TeamList[#Headers],0)))</f>
        <v/>
      </c>
      <c r="B54" s="201"/>
      <c r="C54" s="257" t="str">
        <f>_xlfn.IFNA(VLOOKUP(Tue_W1[[#This Row],[Employee Name]],'Base Schedules'!A:B,2,FALSE),"")</f>
        <v/>
      </c>
      <c r="D54" s="274" t="str">
        <f>_xlfn.IFNA(VLOOKUP(Tue_W1[[#This Row],[Employee Name]],'Base Schedules'!A:C,3,FALSE),"")</f>
        <v/>
      </c>
      <c r="E54" s="274" t="str">
        <f>_xlfn.IFNA(VLOOKUP(Tue_W1[[#This Row],[Employee Name]],'Base Schedules'!A:D,4,FALSE),"")</f>
        <v/>
      </c>
      <c r="F54" s="142" t="str">
        <f>IF(Tue_W1[[#This Row],[Employee Name]]="","",IF(Tue_W1[[#This Row],[Dept]]="Supervisor",COUNTIFS($J54:$AX54,"*HL*",$J54:$AX54,"&lt;&gt;"&amp;"pHL"),COUNTIFS($J54:$AX54,"*HL*",$J54:$AX54,"&lt;&gt;"&amp;"*pHL*",$J54:$AX54,"&lt;&gt;"&amp;"pB1 HL",$J54:$AX54,"&lt;&gt;"&amp;"pB2 HL")-SUM(COUNTIFS($J54:$AX54,"*HL B1*",$J54:$AX54,"&lt;&gt;"&amp;"pHL B1")*0.5,COUNTIFS($J54:$AX54,"*HL B2*",$J54:$AX54,"&lt;&gt;"&amp;"pHL B2")*0.5,COUNTIFS($J54:$AX54,"*B1 HL*",$J54:$AX54,"&lt;&gt;"&amp;"pB1 HL")*0.5,COUNTIFS($J54:$AX54,"*B2 HL*",$J54:$AX54,"&lt;&gt;"&amp;"pB2 HL")*0.5)))</f>
        <v/>
      </c>
      <c r="G54" s="142" t="str">
        <f t="shared" si="0"/>
        <v/>
      </c>
      <c r="H54" s="142" t="str">
        <f t="shared" si="1"/>
        <v/>
      </c>
      <c r="I54" s="142" t="str">
        <f>IF(Tue_W1[[#This Row],[Employee Name]]="","",IF(Tue_W1[[#This Row],[Dept]]="Supervisor",SUM(COUNTIFS($J54:$AX54,"RTA*",$J54:$AX54,"&lt;&gt;"&amp;"pRTA"),COUNTIFS($J54:$AX54,"*CRTA*",$J54:$AX54,"&lt;&gt;"&amp;"pCRTA")),COUNTIFS($J54:$AX54,"*RNNR*",$J54:$AX54,"&lt;&gt;"&amp;"*pRNNR*",$J54:$AX54,"&lt;&gt;"&amp;"pB1 RNNR",$J54:$AX54,"&lt;&gt;"&amp;"pB2 RNNR")-SUM(COUNTIFS($J54:$AX54,"*RNNR B1*",$J54:$AX54,"&lt;&gt;"&amp;"pRNNR B1")*0.5,COUNTIFS($J54:$AX54,"*RNNR B2*",$J54:$AX54,"&lt;&gt;"&amp;"pRNNR B2")*0.5,COUNTIFS($J54:$AX54,"*B1 RNNR*",$J54:$AX54,"&lt;&gt;"&amp;"pB1 RNNR")*0.5,COUNTIFS($J54:$AX54,"*B2 RNNR*",$J54:$AX54,"&lt;&gt;"&amp;"pB2 RNNR")*0.5)))</f>
        <v/>
      </c>
      <c r="J54" s="184" t="str">
        <f>IFERROR(IF(VLOOKUP(Tue_W1[[#This Row],[Employee Name]],'Base Schedules'!$A$160:$AW$203,9,FALSE)="","",VLOOKUP(Tue_W1[[#This Row],[Employee Name]],'Base Schedules'!$A$160:$AW$203,9,FALSE)),"")</f>
        <v/>
      </c>
      <c r="K54" s="184" t="str">
        <f>IFERROR(IF(VLOOKUP(Tue_W1[[#This Row],[Employee Name]],'Base Schedules'!$A$160:$AW$203,10,FALSE)="","",VLOOKUP(Tue_W1[[#This Row],[Employee Name]],'Base Schedules'!$A$160:$AW$203,10,FALSE)),"")</f>
        <v/>
      </c>
      <c r="L54" s="184" t="str">
        <f>IFERROR(IF(VLOOKUP(Tue_W1[[#This Row],[Employee Name]],'Base Schedules'!$A$160:$AW$203,11,FALSE)="","",VLOOKUP(Tue_W1[[#This Row],[Employee Name]],'Base Schedules'!$A$160:$AW$203,11,FALSE)),"")</f>
        <v/>
      </c>
      <c r="M54" s="184" t="str">
        <f>IFERROR(IF(VLOOKUP(Tue_W1[[#This Row],[Employee Name]],'Base Schedules'!$A$160:$AW$203,12,FALSE)="","",VLOOKUP(Tue_W1[[#This Row],[Employee Name]],'Base Schedules'!$A$160:$AW$203,12,FALSE)),"")</f>
        <v/>
      </c>
      <c r="N54" s="184" t="str">
        <f>IFERROR(IF(VLOOKUP(Tue_W1[[#This Row],[Employee Name]],'Base Schedules'!$A$160:$AW$203,13,FALSE)="","",VLOOKUP(Tue_W1[[#This Row],[Employee Name]],'Base Schedules'!$A$160:$AW$203,13,FALSE)),"")</f>
        <v/>
      </c>
      <c r="O54" s="184" t="str">
        <f>IFERROR(IF(VLOOKUP(Tue_W1[[#This Row],[Employee Name]],'Base Schedules'!$A$160:$AW$203,14,FALSE)="","",VLOOKUP(Tue_W1[[#This Row],[Employee Name]],'Base Schedules'!$A$160:$AW$203,14,FALSE)),"")</f>
        <v/>
      </c>
      <c r="P54" s="184" t="str">
        <f>IFERROR(IF(VLOOKUP(Tue_W1[[#This Row],[Employee Name]],'Base Schedules'!$A$160:$AW$203,15,FALSE)="","",VLOOKUP(Tue_W1[[#This Row],[Employee Name]],'Base Schedules'!$A$160:$AW$203,15,FALSE)),"")</f>
        <v/>
      </c>
      <c r="Q54" s="184" t="str">
        <f>IFERROR(IF(VLOOKUP(Tue_W1[[#This Row],[Employee Name]],'Base Schedules'!$A$160:$AW$203,16,FALSE)="","",VLOOKUP(Tue_W1[[#This Row],[Employee Name]],'Base Schedules'!$A$160:$AW$203,16,FALSE)),"")</f>
        <v/>
      </c>
      <c r="R54" s="184" t="str">
        <f>IFERROR(IF(VLOOKUP(Tue_W1[[#This Row],[Employee Name]],'Base Schedules'!$A$160:$AW$203,17,FALSE)="","",VLOOKUP(Tue_W1[[#This Row],[Employee Name]],'Base Schedules'!$A$160:$AW$203,17,FALSE)),"")</f>
        <v/>
      </c>
      <c r="S54" s="184" t="str">
        <f>IFERROR(IF(VLOOKUP(Tue_W1[[#This Row],[Employee Name]],'Base Schedules'!$A$160:$AW$203,18,FALSE)="","",VLOOKUP(Tue_W1[[#This Row],[Employee Name]],'Base Schedules'!$A$160:$AW$203,18,FALSE)),"")</f>
        <v/>
      </c>
      <c r="T54" s="184" t="str">
        <f>IFERROR(IF(VLOOKUP(Tue_W1[[#This Row],[Employee Name]],'Base Schedules'!$A$160:$AW$203,19,FALSE)="","",VLOOKUP(Tue_W1[[#This Row],[Employee Name]],'Base Schedules'!$A$160:$AW$203,19,FALSE)),"")</f>
        <v/>
      </c>
      <c r="U54" s="184" t="str">
        <f>IFERROR(IF(VLOOKUP(Tue_W1[[#This Row],[Employee Name]],'Base Schedules'!$A$160:$AW$203,20,FALSE)="","",VLOOKUP(Tue_W1[[#This Row],[Employee Name]],'Base Schedules'!$A$160:$AW$203,20,FALSE)),"")</f>
        <v/>
      </c>
      <c r="V54" s="184" t="str">
        <f>IFERROR(IF(VLOOKUP(Tue_W1[[#This Row],[Employee Name]],'Base Schedules'!$A$160:$AW$203,21,FALSE)="","",VLOOKUP(Tue_W1[[#This Row],[Employee Name]],'Base Schedules'!$A$160:$AW$203,21,FALSE)),"")</f>
        <v/>
      </c>
      <c r="W54" s="184" t="str">
        <f>IFERROR(IF(VLOOKUP(Tue_W1[[#This Row],[Employee Name]],'Base Schedules'!$A$160:$AW$203,22,FALSE)="","",VLOOKUP(Tue_W1[[#This Row],[Employee Name]],'Base Schedules'!$A$160:$AW$203,22,FALSE)),"")</f>
        <v/>
      </c>
      <c r="X54" s="184" t="str">
        <f>IFERROR(IF(VLOOKUP(Tue_W1[[#This Row],[Employee Name]],'Base Schedules'!$A$160:$AW$203,23,FALSE)="","",VLOOKUP(Tue_W1[[#This Row],[Employee Name]],'Base Schedules'!$A$160:$AW$203,23,FALSE)),"")</f>
        <v/>
      </c>
      <c r="Y54" s="184" t="str">
        <f>IFERROR(IF(VLOOKUP(Tue_W1[[#This Row],[Employee Name]],'Base Schedules'!$A$160:$AW$203,24,FALSE)="","",VLOOKUP(Tue_W1[[#This Row],[Employee Name]],'Base Schedules'!$A$160:$AW$203,24,FALSE)),"")</f>
        <v/>
      </c>
      <c r="Z54" s="184" t="str">
        <f>IFERROR(IF(VLOOKUP(Tue_W1[[#This Row],[Employee Name]],'Base Schedules'!$A$160:$AW$203,25,FALSE)="","",VLOOKUP(Tue_W1[[#This Row],[Employee Name]],'Base Schedules'!$A$160:$AW$203,25,FALSE)),"")</f>
        <v/>
      </c>
      <c r="AA54" s="184" t="str">
        <f>IFERROR(IF(VLOOKUP(Tue_W1[[#This Row],[Employee Name]],'Base Schedules'!$A$160:$AW$203,26,FALSE)="","",VLOOKUP(Tue_W1[[#This Row],[Employee Name]],'Base Schedules'!$A$160:$AW$203,26,FALSE)),"")</f>
        <v/>
      </c>
      <c r="AB54" s="184" t="str">
        <f>IFERROR(IF(VLOOKUP(Tue_W1[[#This Row],[Employee Name]],'Base Schedules'!$A$160:$AW$203,27,FALSE)="","",VLOOKUP(Tue_W1[[#This Row],[Employee Name]],'Base Schedules'!$A$160:$AW$203,27,FALSE)),"")</f>
        <v/>
      </c>
      <c r="AC54" s="184" t="str">
        <f>IFERROR(IF(VLOOKUP(Tue_W1[[#This Row],[Employee Name]],'Base Schedules'!$A$160:$AW$203,28,FALSE)="","",VLOOKUP(Tue_W1[[#This Row],[Employee Name]],'Base Schedules'!$A$160:$AW$203,28,FALSE)),"")</f>
        <v/>
      </c>
      <c r="AD54" s="184" t="str">
        <f>IFERROR(IF(VLOOKUP(Tue_W1[[#This Row],[Employee Name]],'Base Schedules'!$A$160:$AW$203,29,FALSE)="","",VLOOKUP(Tue_W1[[#This Row],[Employee Name]],'Base Schedules'!$A$160:$AW$203,29,FALSE)),"")</f>
        <v/>
      </c>
      <c r="AE54" s="184" t="str">
        <f>IFERROR(IF(VLOOKUP(Tue_W1[[#This Row],[Employee Name]],'Base Schedules'!$A$160:$AW$203,30,FALSE)="","",VLOOKUP(Tue_W1[[#This Row],[Employee Name]],'Base Schedules'!$A$160:$AW$203,30,FALSE)),"")</f>
        <v/>
      </c>
      <c r="AF54" s="184" t="str">
        <f>IFERROR(IF(VLOOKUP(Tue_W1[[#This Row],[Employee Name]],'Base Schedules'!$A$160:$AW$203,31,FALSE)="","",VLOOKUP(Tue_W1[[#This Row],[Employee Name]],'Base Schedules'!$A$160:$AW$203,31,FALSE)),"")</f>
        <v/>
      </c>
      <c r="AG54" s="184" t="str">
        <f>IFERROR(IF(VLOOKUP(Tue_W1[[#This Row],[Employee Name]],'Base Schedules'!$A$160:$AW$203,32,FALSE)="","",VLOOKUP(Tue_W1[[#This Row],[Employee Name]],'Base Schedules'!$A$160:$AW$203,32,FALSE)),"")</f>
        <v/>
      </c>
      <c r="AH54" s="184" t="str">
        <f>IFERROR(IF(VLOOKUP(Tue_W1[[#This Row],[Employee Name]],'Base Schedules'!$A$160:$AW$203,33,FALSE)="","",VLOOKUP(Tue_W1[[#This Row],[Employee Name]],'Base Schedules'!$A$160:$AW$203,33,FALSE)),"")</f>
        <v/>
      </c>
      <c r="AI54" s="184" t="str">
        <f>IFERROR(IF(VLOOKUP(Tue_W1[[#This Row],[Employee Name]],'Base Schedules'!$A$160:$AW$203,34,FALSE)="","",VLOOKUP(Tue_W1[[#This Row],[Employee Name]],'Base Schedules'!$A$160:$AW$203,34,FALSE)),"")</f>
        <v/>
      </c>
      <c r="AJ54" s="184" t="str">
        <f>IFERROR(IF(VLOOKUP(Tue_W1[[#This Row],[Employee Name]],'Base Schedules'!$A$160:$AW$203,35,FALSE)="","",VLOOKUP(Tue_W1[[#This Row],[Employee Name]],'Base Schedules'!$A$160:$AW$203,35,FALSE)),"")</f>
        <v/>
      </c>
      <c r="AK54" s="184" t="str">
        <f>IFERROR(IF(VLOOKUP(Tue_W1[[#This Row],[Employee Name]],'Base Schedules'!$A$160:$AW$203,36,FALSE)="","",VLOOKUP(Tue_W1[[#This Row],[Employee Name]],'Base Schedules'!$A$160:$AW$203,36,FALSE)),"")</f>
        <v/>
      </c>
      <c r="AL54" s="184" t="str">
        <f>IFERROR(IF(VLOOKUP(Tue_W1[[#This Row],[Employee Name]],'Base Schedules'!$A$160:$AW$203,37,FALSE)="","",VLOOKUP(Tue_W1[[#This Row],[Employee Name]],'Base Schedules'!$A$160:$AW$203,37,FALSE)),"")</f>
        <v/>
      </c>
      <c r="AM54" s="184" t="str">
        <f>IFERROR(IF(VLOOKUP(Tue_W1[[#This Row],[Employee Name]],'Base Schedules'!$A$160:$AW$203,38,FALSE)="","",VLOOKUP(Tue_W1[[#This Row],[Employee Name]],'Base Schedules'!$A$160:$AW$203,38,FALSE)),"")</f>
        <v/>
      </c>
      <c r="AN54" s="184" t="str">
        <f>IFERROR(IF(VLOOKUP(Tue_W1[[#This Row],[Employee Name]],'Base Schedules'!$A$160:$AW$203,39,FALSE)="","",VLOOKUP(Tue_W1[[#This Row],[Employee Name]],'Base Schedules'!$A$160:$AW$203,39,FALSE)),"")</f>
        <v/>
      </c>
      <c r="AO54" s="184" t="str">
        <f>IFERROR(IF(VLOOKUP(Tue_W1[[#This Row],[Employee Name]],'Base Schedules'!$A$160:$AW$203,40,FALSE)="","",VLOOKUP(Tue_W1[[#This Row],[Employee Name]],'Base Schedules'!$A$160:$AW$203,40,FALSE)),"")</f>
        <v/>
      </c>
      <c r="AP54" s="184" t="str">
        <f>IFERROR(IF(VLOOKUP(Tue_W1[[#This Row],[Employee Name]],'Base Schedules'!$A$160:$AW$203,41,FALSE)="","",VLOOKUP(Tue_W1[[#This Row],[Employee Name]],'Base Schedules'!$A$160:$AW$203,41,FALSE)),"")</f>
        <v/>
      </c>
      <c r="AQ54" s="184" t="str">
        <f>IFERROR(IF(VLOOKUP(Tue_W1[[#This Row],[Employee Name]],'Base Schedules'!$A$160:$AW$203,42,FALSE)="","",VLOOKUP(Tue_W1[[#This Row],[Employee Name]],'Base Schedules'!$A$160:$AW$203,42,FALSE)),"")</f>
        <v/>
      </c>
      <c r="AR54" s="184" t="str">
        <f>IFERROR(IF(VLOOKUP(Tue_W1[[#This Row],[Employee Name]],'Base Schedules'!$A$160:$AW$203,43,FALSE)="","",VLOOKUP(Tue_W1[[#This Row],[Employee Name]],'Base Schedules'!$A$160:$AW$203,43,FALSE)),"")</f>
        <v/>
      </c>
      <c r="AS54" s="184" t="str">
        <f>IFERROR(IF(VLOOKUP(Tue_W1[[#This Row],[Employee Name]],'Base Schedules'!$A$160:$AW$203,44,FALSE)="","",VLOOKUP(Tue_W1[[#This Row],[Employee Name]],'Base Schedules'!$A$160:$AW$203,44,FALSE)),"")</f>
        <v/>
      </c>
      <c r="AT54" s="184" t="str">
        <f>IFERROR(IF(VLOOKUP(Tue_W1[[#This Row],[Employee Name]],'Base Schedules'!$A$160:$AW$203,45,FALSE)="","",VLOOKUP(Tue_W1[[#This Row],[Employee Name]],'Base Schedules'!$A$160:$AW$203,45,FALSE)),"")</f>
        <v/>
      </c>
      <c r="AU54" s="184" t="str">
        <f>IFERROR(IF(VLOOKUP(Tue_W1[[#This Row],[Employee Name]],'Base Schedules'!$A$160:$AW$203,46,FALSE)="","",VLOOKUP(Tue_W1[[#This Row],[Employee Name]],'Base Schedules'!$A$160:$AW$203,46,FALSE)),"")</f>
        <v/>
      </c>
      <c r="AV54" s="184" t="str">
        <f>IFERROR(IF(VLOOKUP(Tue_W1[[#This Row],[Employee Name]],'Base Schedules'!$A$160:$AW$203,47,FALSE)="","",VLOOKUP(Tue_W1[[#This Row],[Employee Name]],'Base Schedules'!$A$160:$AW$203,47,FALSE)),"")</f>
        <v/>
      </c>
      <c r="AW54" s="184" t="str">
        <f>IFERROR(IF(VLOOKUP(Tue_W1[[#This Row],[Employee Name]],'Base Schedules'!$A$160:$AW$203,48,FALSE)="","",VLOOKUP(Tue_W1[[#This Row],[Employee Name]],'Base Schedules'!$A$160:$AW$203,48,FALSE)),"")</f>
        <v/>
      </c>
      <c r="AX54" s="184" t="str">
        <f>IFERROR(IF(VLOOKUP(Tue_W1[[#This Row],[Employee Name]],'Base Schedules'!$A$160:$AW$203,49,FALSE)="","",VLOOKUP(Tue_W1[[#This Row],[Employee Name]],'Base Schedules'!$A$160:$AW$203,49,FALSE)),"")</f>
        <v/>
      </c>
      <c r="AY54" s="164" t="str">
        <f t="shared" si="2"/>
        <v/>
      </c>
    </row>
    <row r="55" spans="1:52" s="44" customFormat="1" hidden="1" thickBot="1" x14ac:dyDescent="0.25">
      <c r="A55" s="39" t="str">
        <f>IF(B55="","",INDEX(TeamList[],MATCH($B55,TeamList[[Employee Name]:[Employee Name]],0),MATCH("Manager",TeamList[#Headers],0)))</f>
        <v/>
      </c>
      <c r="B55" s="201"/>
      <c r="C55" s="257" t="str">
        <f>_xlfn.IFNA(VLOOKUP(Tue_W1[[#This Row],[Employee Name]],'Base Schedules'!A:B,2,FALSE),"")</f>
        <v/>
      </c>
      <c r="D55" s="274" t="str">
        <f>_xlfn.IFNA(VLOOKUP(Tue_W1[[#This Row],[Employee Name]],'Base Schedules'!A:C,3,FALSE),"")</f>
        <v/>
      </c>
      <c r="E55" s="274" t="str">
        <f>_xlfn.IFNA(VLOOKUP(Tue_W1[[#This Row],[Employee Name]],'Base Schedules'!A:D,4,FALSE),"")</f>
        <v/>
      </c>
      <c r="F55" s="142" t="str">
        <f>IF(Tue_W1[[#This Row],[Employee Name]]="","",IF(Tue_W1[[#This Row],[Dept]]="Supervisor",COUNTIFS($J55:$AX55,"*HL*",$J55:$AX55,"&lt;&gt;"&amp;"pHL"),COUNTIFS($J55:$AX55,"*HL*",$J55:$AX55,"&lt;&gt;"&amp;"*pHL*",$J55:$AX55,"&lt;&gt;"&amp;"pB1 HL",$J55:$AX55,"&lt;&gt;"&amp;"pB2 HL")-SUM(COUNTIFS($J55:$AX55,"*HL B1*",$J55:$AX55,"&lt;&gt;"&amp;"pHL B1")*0.5,COUNTIFS($J55:$AX55,"*HL B2*",$J55:$AX55,"&lt;&gt;"&amp;"pHL B2")*0.5,COUNTIFS($J55:$AX55,"*B1 HL*",$J55:$AX55,"&lt;&gt;"&amp;"pB1 HL")*0.5,COUNTIFS($J55:$AX55,"*B2 HL*",$J55:$AX55,"&lt;&gt;"&amp;"pB2 HL")*0.5)))</f>
        <v/>
      </c>
      <c r="G55" s="142" t="str">
        <f t="shared" si="0"/>
        <v/>
      </c>
      <c r="H55" s="142" t="str">
        <f t="shared" si="1"/>
        <v/>
      </c>
      <c r="I55" s="142" t="str">
        <f>IF(Tue_W1[[#This Row],[Employee Name]]="","",IF(Tue_W1[[#This Row],[Dept]]="Supervisor",SUM(COUNTIFS($J55:$AX55,"RTA*",$J55:$AX55,"&lt;&gt;"&amp;"pRTA"),COUNTIFS($J55:$AX55,"*CRTA*",$J55:$AX55,"&lt;&gt;"&amp;"pCRTA")),COUNTIFS($J55:$AX55,"*RNNR*",$J55:$AX55,"&lt;&gt;"&amp;"*pRNNR*",$J55:$AX55,"&lt;&gt;"&amp;"pB1 RNNR",$J55:$AX55,"&lt;&gt;"&amp;"pB2 RNNR")-SUM(COUNTIFS($J55:$AX55,"*RNNR B1*",$J55:$AX55,"&lt;&gt;"&amp;"pRNNR B1")*0.5,COUNTIFS($J55:$AX55,"*RNNR B2*",$J55:$AX55,"&lt;&gt;"&amp;"pRNNR B2")*0.5,COUNTIFS($J55:$AX55,"*B1 RNNR*",$J55:$AX55,"&lt;&gt;"&amp;"pB1 RNNR")*0.5,COUNTIFS($J55:$AX55,"*B2 RNNR*",$J55:$AX55,"&lt;&gt;"&amp;"pB2 RNNR")*0.5)))</f>
        <v/>
      </c>
      <c r="J55" s="184" t="str">
        <f>IFERROR(IF(VLOOKUP(Tue_W1[[#This Row],[Employee Name]],'Base Schedules'!$A$160:$AW$203,9,FALSE)="","",VLOOKUP(Tue_W1[[#This Row],[Employee Name]],'Base Schedules'!$A$160:$AW$203,9,FALSE)),"")</f>
        <v/>
      </c>
      <c r="K55" s="184" t="str">
        <f>IFERROR(IF(VLOOKUP(Tue_W1[[#This Row],[Employee Name]],'Base Schedules'!$A$160:$AW$203,10,FALSE)="","",VLOOKUP(Tue_W1[[#This Row],[Employee Name]],'Base Schedules'!$A$160:$AW$203,10,FALSE)),"")</f>
        <v/>
      </c>
      <c r="L55" s="184" t="str">
        <f>IFERROR(IF(VLOOKUP(Tue_W1[[#This Row],[Employee Name]],'Base Schedules'!$A$160:$AW$203,11,FALSE)="","",VLOOKUP(Tue_W1[[#This Row],[Employee Name]],'Base Schedules'!$A$160:$AW$203,11,FALSE)),"")</f>
        <v/>
      </c>
      <c r="M55" s="184" t="str">
        <f>IFERROR(IF(VLOOKUP(Tue_W1[[#This Row],[Employee Name]],'Base Schedules'!$A$160:$AW$203,12,FALSE)="","",VLOOKUP(Tue_W1[[#This Row],[Employee Name]],'Base Schedules'!$A$160:$AW$203,12,FALSE)),"")</f>
        <v/>
      </c>
      <c r="N55" s="184" t="str">
        <f>IFERROR(IF(VLOOKUP(Tue_W1[[#This Row],[Employee Name]],'Base Schedules'!$A$160:$AW$203,13,FALSE)="","",VLOOKUP(Tue_W1[[#This Row],[Employee Name]],'Base Schedules'!$A$160:$AW$203,13,FALSE)),"")</f>
        <v/>
      </c>
      <c r="O55" s="184" t="str">
        <f>IFERROR(IF(VLOOKUP(Tue_W1[[#This Row],[Employee Name]],'Base Schedules'!$A$160:$AW$203,14,FALSE)="","",VLOOKUP(Tue_W1[[#This Row],[Employee Name]],'Base Schedules'!$A$160:$AW$203,14,FALSE)),"")</f>
        <v/>
      </c>
      <c r="P55" s="184" t="str">
        <f>IFERROR(IF(VLOOKUP(Tue_W1[[#This Row],[Employee Name]],'Base Schedules'!$A$160:$AW$203,15,FALSE)="","",VLOOKUP(Tue_W1[[#This Row],[Employee Name]],'Base Schedules'!$A$160:$AW$203,15,FALSE)),"")</f>
        <v/>
      </c>
      <c r="Q55" s="184" t="str">
        <f>IFERROR(IF(VLOOKUP(Tue_W1[[#This Row],[Employee Name]],'Base Schedules'!$A$160:$AW$203,16,FALSE)="","",VLOOKUP(Tue_W1[[#This Row],[Employee Name]],'Base Schedules'!$A$160:$AW$203,16,FALSE)),"")</f>
        <v/>
      </c>
      <c r="R55" s="184" t="str">
        <f>IFERROR(IF(VLOOKUP(Tue_W1[[#This Row],[Employee Name]],'Base Schedules'!$A$160:$AW$203,17,FALSE)="","",VLOOKUP(Tue_W1[[#This Row],[Employee Name]],'Base Schedules'!$A$160:$AW$203,17,FALSE)),"")</f>
        <v/>
      </c>
      <c r="S55" s="184" t="str">
        <f>IFERROR(IF(VLOOKUP(Tue_W1[[#This Row],[Employee Name]],'Base Schedules'!$A$160:$AW$203,18,FALSE)="","",VLOOKUP(Tue_W1[[#This Row],[Employee Name]],'Base Schedules'!$A$160:$AW$203,18,FALSE)),"")</f>
        <v/>
      </c>
      <c r="T55" s="184" t="str">
        <f>IFERROR(IF(VLOOKUP(Tue_W1[[#This Row],[Employee Name]],'Base Schedules'!$A$160:$AW$203,19,FALSE)="","",VLOOKUP(Tue_W1[[#This Row],[Employee Name]],'Base Schedules'!$A$160:$AW$203,19,FALSE)),"")</f>
        <v/>
      </c>
      <c r="U55" s="184" t="str">
        <f>IFERROR(IF(VLOOKUP(Tue_W1[[#This Row],[Employee Name]],'Base Schedules'!$A$160:$AW$203,20,FALSE)="","",VLOOKUP(Tue_W1[[#This Row],[Employee Name]],'Base Schedules'!$A$160:$AW$203,20,FALSE)),"")</f>
        <v/>
      </c>
      <c r="V55" s="184" t="str">
        <f>IFERROR(IF(VLOOKUP(Tue_W1[[#This Row],[Employee Name]],'Base Schedules'!$A$160:$AW$203,21,FALSE)="","",VLOOKUP(Tue_W1[[#This Row],[Employee Name]],'Base Schedules'!$A$160:$AW$203,21,FALSE)),"")</f>
        <v/>
      </c>
      <c r="W55" s="184" t="str">
        <f>IFERROR(IF(VLOOKUP(Tue_W1[[#This Row],[Employee Name]],'Base Schedules'!$A$160:$AW$203,22,FALSE)="","",VLOOKUP(Tue_W1[[#This Row],[Employee Name]],'Base Schedules'!$A$160:$AW$203,22,FALSE)),"")</f>
        <v/>
      </c>
      <c r="X55" s="184" t="str">
        <f>IFERROR(IF(VLOOKUP(Tue_W1[[#This Row],[Employee Name]],'Base Schedules'!$A$160:$AW$203,23,FALSE)="","",VLOOKUP(Tue_W1[[#This Row],[Employee Name]],'Base Schedules'!$A$160:$AW$203,23,FALSE)),"")</f>
        <v/>
      </c>
      <c r="Y55" s="184" t="str">
        <f>IFERROR(IF(VLOOKUP(Tue_W1[[#This Row],[Employee Name]],'Base Schedules'!$A$160:$AW$203,24,FALSE)="","",VLOOKUP(Tue_W1[[#This Row],[Employee Name]],'Base Schedules'!$A$160:$AW$203,24,FALSE)),"")</f>
        <v/>
      </c>
      <c r="Z55" s="184" t="str">
        <f>IFERROR(IF(VLOOKUP(Tue_W1[[#This Row],[Employee Name]],'Base Schedules'!$A$160:$AW$203,25,FALSE)="","",VLOOKUP(Tue_W1[[#This Row],[Employee Name]],'Base Schedules'!$A$160:$AW$203,25,FALSE)),"")</f>
        <v/>
      </c>
      <c r="AA55" s="184" t="str">
        <f>IFERROR(IF(VLOOKUP(Tue_W1[[#This Row],[Employee Name]],'Base Schedules'!$A$160:$AW$203,26,FALSE)="","",VLOOKUP(Tue_W1[[#This Row],[Employee Name]],'Base Schedules'!$A$160:$AW$203,26,FALSE)),"")</f>
        <v/>
      </c>
      <c r="AB55" s="184" t="str">
        <f>IFERROR(IF(VLOOKUP(Tue_W1[[#This Row],[Employee Name]],'Base Schedules'!$A$160:$AW$203,27,FALSE)="","",VLOOKUP(Tue_W1[[#This Row],[Employee Name]],'Base Schedules'!$A$160:$AW$203,27,FALSE)),"")</f>
        <v/>
      </c>
      <c r="AC55" s="184" t="str">
        <f>IFERROR(IF(VLOOKUP(Tue_W1[[#This Row],[Employee Name]],'Base Schedules'!$A$160:$AW$203,28,FALSE)="","",VLOOKUP(Tue_W1[[#This Row],[Employee Name]],'Base Schedules'!$A$160:$AW$203,28,FALSE)),"")</f>
        <v/>
      </c>
      <c r="AD55" s="184" t="str">
        <f>IFERROR(IF(VLOOKUP(Tue_W1[[#This Row],[Employee Name]],'Base Schedules'!$A$160:$AW$203,29,FALSE)="","",VLOOKUP(Tue_W1[[#This Row],[Employee Name]],'Base Schedules'!$A$160:$AW$203,29,FALSE)),"")</f>
        <v/>
      </c>
      <c r="AE55" s="184" t="str">
        <f>IFERROR(IF(VLOOKUP(Tue_W1[[#This Row],[Employee Name]],'Base Schedules'!$A$160:$AW$203,30,FALSE)="","",VLOOKUP(Tue_W1[[#This Row],[Employee Name]],'Base Schedules'!$A$160:$AW$203,30,FALSE)),"")</f>
        <v/>
      </c>
      <c r="AF55" s="184" t="str">
        <f>IFERROR(IF(VLOOKUP(Tue_W1[[#This Row],[Employee Name]],'Base Schedules'!$A$160:$AW$203,31,FALSE)="","",VLOOKUP(Tue_W1[[#This Row],[Employee Name]],'Base Schedules'!$A$160:$AW$203,31,FALSE)),"")</f>
        <v/>
      </c>
      <c r="AG55" s="184" t="str">
        <f>IFERROR(IF(VLOOKUP(Tue_W1[[#This Row],[Employee Name]],'Base Schedules'!$A$160:$AW$203,32,FALSE)="","",VLOOKUP(Tue_W1[[#This Row],[Employee Name]],'Base Schedules'!$A$160:$AW$203,32,FALSE)),"")</f>
        <v/>
      </c>
      <c r="AH55" s="184" t="str">
        <f>IFERROR(IF(VLOOKUP(Tue_W1[[#This Row],[Employee Name]],'Base Schedules'!$A$160:$AW$203,33,FALSE)="","",VLOOKUP(Tue_W1[[#This Row],[Employee Name]],'Base Schedules'!$A$160:$AW$203,33,FALSE)),"")</f>
        <v/>
      </c>
      <c r="AI55" s="184" t="str">
        <f>IFERROR(IF(VLOOKUP(Tue_W1[[#This Row],[Employee Name]],'Base Schedules'!$A$160:$AW$203,34,FALSE)="","",VLOOKUP(Tue_W1[[#This Row],[Employee Name]],'Base Schedules'!$A$160:$AW$203,34,FALSE)),"")</f>
        <v/>
      </c>
      <c r="AJ55" s="184" t="str">
        <f>IFERROR(IF(VLOOKUP(Tue_W1[[#This Row],[Employee Name]],'Base Schedules'!$A$160:$AW$203,35,FALSE)="","",VLOOKUP(Tue_W1[[#This Row],[Employee Name]],'Base Schedules'!$A$160:$AW$203,35,FALSE)),"")</f>
        <v/>
      </c>
      <c r="AK55" s="184" t="str">
        <f>IFERROR(IF(VLOOKUP(Tue_W1[[#This Row],[Employee Name]],'Base Schedules'!$A$160:$AW$203,36,FALSE)="","",VLOOKUP(Tue_W1[[#This Row],[Employee Name]],'Base Schedules'!$A$160:$AW$203,36,FALSE)),"")</f>
        <v/>
      </c>
      <c r="AL55" s="184" t="str">
        <f>IFERROR(IF(VLOOKUP(Tue_W1[[#This Row],[Employee Name]],'Base Schedules'!$A$160:$AW$203,37,FALSE)="","",VLOOKUP(Tue_W1[[#This Row],[Employee Name]],'Base Schedules'!$A$160:$AW$203,37,FALSE)),"")</f>
        <v/>
      </c>
      <c r="AM55" s="184" t="str">
        <f>IFERROR(IF(VLOOKUP(Tue_W1[[#This Row],[Employee Name]],'Base Schedules'!$A$160:$AW$203,38,FALSE)="","",VLOOKUP(Tue_W1[[#This Row],[Employee Name]],'Base Schedules'!$A$160:$AW$203,38,FALSE)),"")</f>
        <v/>
      </c>
      <c r="AN55" s="184" t="str">
        <f>IFERROR(IF(VLOOKUP(Tue_W1[[#This Row],[Employee Name]],'Base Schedules'!$A$160:$AW$203,39,FALSE)="","",VLOOKUP(Tue_W1[[#This Row],[Employee Name]],'Base Schedules'!$A$160:$AW$203,39,FALSE)),"")</f>
        <v/>
      </c>
      <c r="AO55" s="184" t="str">
        <f>IFERROR(IF(VLOOKUP(Tue_W1[[#This Row],[Employee Name]],'Base Schedules'!$A$160:$AW$203,40,FALSE)="","",VLOOKUP(Tue_W1[[#This Row],[Employee Name]],'Base Schedules'!$A$160:$AW$203,40,FALSE)),"")</f>
        <v/>
      </c>
      <c r="AP55" s="184" t="str">
        <f>IFERROR(IF(VLOOKUP(Tue_W1[[#This Row],[Employee Name]],'Base Schedules'!$A$160:$AW$203,41,FALSE)="","",VLOOKUP(Tue_W1[[#This Row],[Employee Name]],'Base Schedules'!$A$160:$AW$203,41,FALSE)),"")</f>
        <v/>
      </c>
      <c r="AQ55" s="184" t="str">
        <f>IFERROR(IF(VLOOKUP(Tue_W1[[#This Row],[Employee Name]],'Base Schedules'!$A$160:$AW$203,42,FALSE)="","",VLOOKUP(Tue_W1[[#This Row],[Employee Name]],'Base Schedules'!$A$160:$AW$203,42,FALSE)),"")</f>
        <v/>
      </c>
      <c r="AR55" s="184" t="str">
        <f>IFERROR(IF(VLOOKUP(Tue_W1[[#This Row],[Employee Name]],'Base Schedules'!$A$160:$AW$203,43,FALSE)="","",VLOOKUP(Tue_W1[[#This Row],[Employee Name]],'Base Schedules'!$A$160:$AW$203,43,FALSE)),"")</f>
        <v/>
      </c>
      <c r="AS55" s="184" t="str">
        <f>IFERROR(IF(VLOOKUP(Tue_W1[[#This Row],[Employee Name]],'Base Schedules'!$A$160:$AW$203,44,FALSE)="","",VLOOKUP(Tue_W1[[#This Row],[Employee Name]],'Base Schedules'!$A$160:$AW$203,44,FALSE)),"")</f>
        <v/>
      </c>
      <c r="AT55" s="184" t="str">
        <f>IFERROR(IF(VLOOKUP(Tue_W1[[#This Row],[Employee Name]],'Base Schedules'!$A$160:$AW$203,45,FALSE)="","",VLOOKUP(Tue_W1[[#This Row],[Employee Name]],'Base Schedules'!$A$160:$AW$203,45,FALSE)),"")</f>
        <v/>
      </c>
      <c r="AU55" s="184" t="str">
        <f>IFERROR(IF(VLOOKUP(Tue_W1[[#This Row],[Employee Name]],'Base Schedules'!$A$160:$AW$203,46,FALSE)="","",VLOOKUP(Tue_W1[[#This Row],[Employee Name]],'Base Schedules'!$A$160:$AW$203,46,FALSE)),"")</f>
        <v/>
      </c>
      <c r="AV55" s="184" t="str">
        <f>IFERROR(IF(VLOOKUP(Tue_W1[[#This Row],[Employee Name]],'Base Schedules'!$A$160:$AW$203,47,FALSE)="","",VLOOKUP(Tue_W1[[#This Row],[Employee Name]],'Base Schedules'!$A$160:$AW$203,47,FALSE)),"")</f>
        <v/>
      </c>
      <c r="AW55" s="184" t="str">
        <f>IFERROR(IF(VLOOKUP(Tue_W1[[#This Row],[Employee Name]],'Base Schedules'!$A$160:$AW$203,48,FALSE)="","",VLOOKUP(Tue_W1[[#This Row],[Employee Name]],'Base Schedules'!$A$160:$AW$203,48,FALSE)),"")</f>
        <v/>
      </c>
      <c r="AX55" s="184" t="str">
        <f>IFERROR(IF(VLOOKUP(Tue_W1[[#This Row],[Employee Name]],'Base Schedules'!$A$160:$AW$203,49,FALSE)="","",VLOOKUP(Tue_W1[[#This Row],[Employee Name]],'Base Schedules'!$A$160:$AW$203,49,FALSE)),"")</f>
        <v/>
      </c>
      <c r="AY55" s="164" t="str">
        <f t="shared" si="2"/>
        <v/>
      </c>
    </row>
    <row r="56" spans="1:52" ht="6" customHeight="1" thickBot="1" x14ac:dyDescent="0.25">
      <c r="B56" s="28"/>
      <c r="C56" s="28"/>
      <c r="D56" s="29"/>
      <c r="E56" s="29"/>
      <c r="F56" s="30"/>
      <c r="G56" s="30"/>
      <c r="H56" s="30"/>
      <c r="I56" s="30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3"/>
    </row>
    <row r="57" spans="1:52" ht="13.5" thickBot="1" x14ac:dyDescent="0.25">
      <c r="B57" s="20"/>
      <c r="C57" s="21"/>
      <c r="D57" s="21"/>
      <c r="E57" s="21" t="s">
        <v>92</v>
      </c>
      <c r="F57" s="21">
        <f>SUM(F9:F55)</f>
        <v>139</v>
      </c>
      <c r="G57" s="21">
        <f>SUM(G9:G55)</f>
        <v>79</v>
      </c>
      <c r="H57" s="21">
        <f>SUM(H9:H55)</f>
        <v>126</v>
      </c>
      <c r="I57" s="21">
        <f>SUM(I9:I55)</f>
        <v>24</v>
      </c>
      <c r="J57" s="27">
        <v>500</v>
      </c>
      <c r="K57" s="27">
        <v>530</v>
      </c>
      <c r="L57" s="27">
        <v>600</v>
      </c>
      <c r="M57" s="27">
        <v>630</v>
      </c>
      <c r="N57" s="27">
        <v>700</v>
      </c>
      <c r="O57" s="27">
        <v>730</v>
      </c>
      <c r="P57" s="27">
        <v>800</v>
      </c>
      <c r="Q57" s="27">
        <v>830</v>
      </c>
      <c r="R57" s="27">
        <v>900</v>
      </c>
      <c r="S57" s="27">
        <v>930</v>
      </c>
      <c r="T57" s="27">
        <v>1000</v>
      </c>
      <c r="U57" s="27">
        <v>1030</v>
      </c>
      <c r="V57" s="27">
        <v>1100</v>
      </c>
      <c r="W57" s="27">
        <v>1130</v>
      </c>
      <c r="X57" s="27">
        <v>1200</v>
      </c>
      <c r="Y57" s="27">
        <v>1230</v>
      </c>
      <c r="Z57" s="27">
        <v>1300</v>
      </c>
      <c r="AA57" s="27">
        <v>1330</v>
      </c>
      <c r="AB57" s="27">
        <v>1400</v>
      </c>
      <c r="AC57" s="27">
        <v>1430</v>
      </c>
      <c r="AD57" s="27">
        <v>1500</v>
      </c>
      <c r="AE57" s="27">
        <v>1530</v>
      </c>
      <c r="AF57" s="27">
        <v>1600</v>
      </c>
      <c r="AG57" s="27">
        <v>1630</v>
      </c>
      <c r="AH57" s="27">
        <v>1700</v>
      </c>
      <c r="AI57" s="27">
        <v>1730</v>
      </c>
      <c r="AJ57" s="27">
        <v>1800</v>
      </c>
      <c r="AK57" s="27">
        <v>1830</v>
      </c>
      <c r="AL57" s="27">
        <v>1900</v>
      </c>
      <c r="AM57" s="27">
        <v>1930</v>
      </c>
      <c r="AN57" s="27">
        <v>2000</v>
      </c>
      <c r="AO57" s="27">
        <v>2030</v>
      </c>
      <c r="AP57" s="27">
        <v>2100</v>
      </c>
      <c r="AQ57" s="27">
        <v>2130</v>
      </c>
      <c r="AR57" s="27">
        <v>2200</v>
      </c>
      <c r="AS57" s="27">
        <v>2230</v>
      </c>
      <c r="AT57" s="27">
        <v>2300</v>
      </c>
      <c r="AU57" s="27">
        <v>2330</v>
      </c>
      <c r="AV57" s="27">
        <v>0</v>
      </c>
      <c r="AW57" s="27">
        <v>30</v>
      </c>
      <c r="AX57" s="27">
        <v>100</v>
      </c>
      <c r="AY57" s="22" t="s">
        <v>2</v>
      </c>
    </row>
    <row r="58" spans="1:52" ht="8.25" customHeight="1" thickBot="1" x14ac:dyDescent="0.25">
      <c r="AX58" s="220" t="s">
        <v>365</v>
      </c>
    </row>
    <row r="59" spans="1:52" ht="18.75" x14ac:dyDescent="0.3">
      <c r="B59" s="484" t="s">
        <v>368</v>
      </c>
      <c r="C59" s="484"/>
      <c r="D59" s="453"/>
      <c r="E59" s="453"/>
      <c r="F59" s="453"/>
      <c r="G59" s="484" t="s">
        <v>368</v>
      </c>
      <c r="H59" s="484"/>
      <c r="I59" s="484"/>
      <c r="J59" s="455">
        <f>COUNTIF(J9:J55,"RNNR")</f>
        <v>0</v>
      </c>
      <c r="K59" s="455">
        <f t="shared" ref="K59:AW59" si="3">COUNTIF(K9:K55,"RNNR")</f>
        <v>0</v>
      </c>
      <c r="L59" s="455">
        <f t="shared" si="3"/>
        <v>0</v>
      </c>
      <c r="M59" s="455">
        <f t="shared" si="3"/>
        <v>0</v>
      </c>
      <c r="N59" s="455">
        <f t="shared" si="3"/>
        <v>0</v>
      </c>
      <c r="O59" s="455">
        <f t="shared" si="3"/>
        <v>0</v>
      </c>
      <c r="P59" s="455">
        <f t="shared" si="3"/>
        <v>1</v>
      </c>
      <c r="Q59" s="455">
        <f t="shared" si="3"/>
        <v>1</v>
      </c>
      <c r="R59" s="455">
        <f t="shared" si="3"/>
        <v>1</v>
      </c>
      <c r="S59" s="455">
        <f t="shared" si="3"/>
        <v>1</v>
      </c>
      <c r="T59" s="455">
        <f t="shared" si="3"/>
        <v>1</v>
      </c>
      <c r="U59" s="455">
        <f t="shared" si="3"/>
        <v>1</v>
      </c>
      <c r="V59" s="455">
        <f t="shared" si="3"/>
        <v>1</v>
      </c>
      <c r="W59" s="455">
        <f t="shared" si="3"/>
        <v>1</v>
      </c>
      <c r="X59" s="455">
        <f t="shared" si="3"/>
        <v>0</v>
      </c>
      <c r="Y59" s="455">
        <f t="shared" si="3"/>
        <v>0</v>
      </c>
      <c r="Z59" s="455">
        <f t="shared" si="3"/>
        <v>2</v>
      </c>
      <c r="AA59" s="455">
        <f t="shared" si="3"/>
        <v>2</v>
      </c>
      <c r="AB59" s="455">
        <f t="shared" si="3"/>
        <v>1</v>
      </c>
      <c r="AC59" s="455">
        <f t="shared" si="3"/>
        <v>1</v>
      </c>
      <c r="AD59" s="455">
        <f t="shared" si="3"/>
        <v>1</v>
      </c>
      <c r="AE59" s="455">
        <f t="shared" si="3"/>
        <v>1</v>
      </c>
      <c r="AF59" s="455">
        <f t="shared" si="3"/>
        <v>1</v>
      </c>
      <c r="AG59" s="455">
        <f t="shared" si="3"/>
        <v>1</v>
      </c>
      <c r="AH59" s="455">
        <f t="shared" si="3"/>
        <v>1</v>
      </c>
      <c r="AI59" s="455">
        <f t="shared" si="3"/>
        <v>1</v>
      </c>
      <c r="AJ59" s="455">
        <f t="shared" si="3"/>
        <v>1</v>
      </c>
      <c r="AK59" s="455">
        <f t="shared" si="3"/>
        <v>1</v>
      </c>
      <c r="AL59" s="455">
        <f t="shared" si="3"/>
        <v>1</v>
      </c>
      <c r="AM59" s="455">
        <f t="shared" si="3"/>
        <v>1</v>
      </c>
      <c r="AN59" s="455">
        <f t="shared" si="3"/>
        <v>0</v>
      </c>
      <c r="AO59" s="455">
        <f t="shared" si="3"/>
        <v>0</v>
      </c>
      <c r="AP59" s="455">
        <f t="shared" si="3"/>
        <v>0</v>
      </c>
      <c r="AQ59" s="455">
        <f t="shared" si="3"/>
        <v>0</v>
      </c>
      <c r="AR59" s="455">
        <f t="shared" si="3"/>
        <v>0</v>
      </c>
      <c r="AS59" s="455">
        <f t="shared" si="3"/>
        <v>0</v>
      </c>
      <c r="AT59" s="455">
        <f t="shared" si="3"/>
        <v>0</v>
      </c>
      <c r="AU59" s="455">
        <f t="shared" si="3"/>
        <v>0</v>
      </c>
      <c r="AV59" s="455">
        <f t="shared" si="3"/>
        <v>0</v>
      </c>
      <c r="AW59" s="455">
        <f t="shared" si="3"/>
        <v>0</v>
      </c>
      <c r="AX59" s="451">
        <f>AVERAGE(J59:AW59)</f>
        <v>0.6</v>
      </c>
      <c r="AY59" s="485" t="s">
        <v>368</v>
      </c>
      <c r="AZ59" s="485"/>
    </row>
    <row r="60" spans="1:52" ht="18.75" x14ac:dyDescent="0.3">
      <c r="B60" s="484" t="s">
        <v>581</v>
      </c>
      <c r="C60" s="484"/>
      <c r="D60" s="453"/>
      <c r="E60" s="453"/>
      <c r="F60" s="453"/>
      <c r="G60" s="484" t="s">
        <v>581</v>
      </c>
      <c r="H60" s="484"/>
      <c r="I60" s="484"/>
      <c r="J60" s="458">
        <f>COUNTIF(J9:J55,"HL")</f>
        <v>1</v>
      </c>
      <c r="K60" s="458">
        <f t="shared" ref="K60:AW60" si="4">COUNTIF(K9:K55,"HL")</f>
        <v>2</v>
      </c>
      <c r="L60" s="458">
        <f t="shared" si="4"/>
        <v>2</v>
      </c>
      <c r="M60" s="458">
        <f t="shared" si="4"/>
        <v>2</v>
      </c>
      <c r="N60" s="458">
        <f t="shared" si="4"/>
        <v>2</v>
      </c>
      <c r="O60" s="458">
        <f t="shared" si="4"/>
        <v>2</v>
      </c>
      <c r="P60" s="458">
        <f t="shared" si="4"/>
        <v>4</v>
      </c>
      <c r="Q60" s="458">
        <f t="shared" si="4"/>
        <v>4</v>
      </c>
      <c r="R60" s="458">
        <f t="shared" si="4"/>
        <v>4</v>
      </c>
      <c r="S60" s="458">
        <f t="shared" si="4"/>
        <v>3</v>
      </c>
      <c r="T60" s="458">
        <f t="shared" si="4"/>
        <v>2</v>
      </c>
      <c r="U60" s="458">
        <f t="shared" si="4"/>
        <v>3</v>
      </c>
      <c r="V60" s="458">
        <f t="shared" si="4"/>
        <v>5</v>
      </c>
      <c r="W60" s="458">
        <f t="shared" si="4"/>
        <v>7</v>
      </c>
      <c r="X60" s="458">
        <f t="shared" si="4"/>
        <v>3</v>
      </c>
      <c r="Y60" s="458">
        <f t="shared" si="4"/>
        <v>4</v>
      </c>
      <c r="Z60" s="458">
        <f t="shared" si="4"/>
        <v>3</v>
      </c>
      <c r="AA60" s="458">
        <f t="shared" si="4"/>
        <v>5</v>
      </c>
      <c r="AB60" s="458">
        <f t="shared" si="4"/>
        <v>6</v>
      </c>
      <c r="AC60" s="458">
        <f t="shared" si="4"/>
        <v>4</v>
      </c>
      <c r="AD60" s="458">
        <f t="shared" si="4"/>
        <v>4</v>
      </c>
      <c r="AE60" s="458">
        <f t="shared" si="4"/>
        <v>3</v>
      </c>
      <c r="AF60" s="458">
        <f t="shared" si="4"/>
        <v>3</v>
      </c>
      <c r="AG60" s="458">
        <f t="shared" si="4"/>
        <v>5</v>
      </c>
      <c r="AH60" s="458">
        <f t="shared" si="4"/>
        <v>2</v>
      </c>
      <c r="AI60" s="458">
        <f t="shared" si="4"/>
        <v>3</v>
      </c>
      <c r="AJ60" s="458">
        <f t="shared" si="4"/>
        <v>4</v>
      </c>
      <c r="AK60" s="458">
        <f t="shared" si="4"/>
        <v>4</v>
      </c>
      <c r="AL60" s="458">
        <f t="shared" si="4"/>
        <v>5</v>
      </c>
      <c r="AM60" s="458">
        <f t="shared" si="4"/>
        <v>5</v>
      </c>
      <c r="AN60" s="458">
        <f t="shared" si="4"/>
        <v>2</v>
      </c>
      <c r="AO60" s="458">
        <f t="shared" si="4"/>
        <v>3</v>
      </c>
      <c r="AP60" s="458">
        <f t="shared" si="4"/>
        <v>3</v>
      </c>
      <c r="AQ60" s="458">
        <f t="shared" si="4"/>
        <v>3</v>
      </c>
      <c r="AR60" s="458">
        <f t="shared" si="4"/>
        <v>2</v>
      </c>
      <c r="AS60" s="458">
        <f t="shared" si="4"/>
        <v>2</v>
      </c>
      <c r="AT60" s="458">
        <f t="shared" si="4"/>
        <v>2</v>
      </c>
      <c r="AU60" s="458">
        <f t="shared" si="4"/>
        <v>3</v>
      </c>
      <c r="AV60" s="458">
        <f t="shared" si="4"/>
        <v>2</v>
      </c>
      <c r="AW60" s="458">
        <f t="shared" si="4"/>
        <v>2</v>
      </c>
      <c r="AX60" s="452">
        <f>SUM(J60:AW60)</f>
        <v>130</v>
      </c>
      <c r="AY60" s="485" t="s">
        <v>581</v>
      </c>
      <c r="AZ60" s="485"/>
    </row>
    <row r="61" spans="1:52" ht="18.75" x14ac:dyDescent="0.3">
      <c r="B61" s="484" t="s">
        <v>588</v>
      </c>
      <c r="C61" s="484"/>
      <c r="D61" s="453"/>
      <c r="E61" s="453"/>
      <c r="F61" s="453"/>
      <c r="G61" s="484" t="s">
        <v>589</v>
      </c>
      <c r="H61" s="484"/>
      <c r="I61" s="484"/>
      <c r="J61" s="460">
        <f>[1]Weighted!B$14</f>
        <v>1.05</v>
      </c>
      <c r="K61" s="460">
        <f>[1]Weighted!C$14</f>
        <v>1.05</v>
      </c>
      <c r="L61" s="460">
        <f>[1]Weighted!D$14</f>
        <v>1.05</v>
      </c>
      <c r="M61" s="460">
        <f>[1]Weighted!E$14</f>
        <v>1.05</v>
      </c>
      <c r="N61" s="460">
        <f>[1]Weighted!F$14</f>
        <v>2.1</v>
      </c>
      <c r="O61" s="460">
        <f>[1]Weighted!G$14</f>
        <v>1.05</v>
      </c>
      <c r="P61" s="460">
        <f>[1]Weighted!H$14</f>
        <v>3.1500000000000004</v>
      </c>
      <c r="Q61" s="460">
        <f>[1]Weighted!I$14</f>
        <v>2.1</v>
      </c>
      <c r="R61" s="460">
        <f>[1]Weighted!J$14</f>
        <v>3.1500000000000004</v>
      </c>
      <c r="S61" s="460">
        <f>[1]Weighted!K$14</f>
        <v>2.1</v>
      </c>
      <c r="T61" s="460">
        <f>[1]Weighted!L$14</f>
        <v>1.05</v>
      </c>
      <c r="U61" s="460">
        <f>[1]Weighted!M$14</f>
        <v>3.1500000000000004</v>
      </c>
      <c r="V61" s="460">
        <f>[1]Weighted!N$14</f>
        <v>3.1500000000000004</v>
      </c>
      <c r="W61" s="460">
        <f>[1]Weighted!O$14</f>
        <v>2.1</v>
      </c>
      <c r="X61" s="460">
        <f>[1]Weighted!P$14</f>
        <v>2.1</v>
      </c>
      <c r="Y61" s="460">
        <f>[1]Weighted!Q$14</f>
        <v>2.1</v>
      </c>
      <c r="Z61" s="460">
        <f>[1]Weighted!R$14</f>
        <v>2.1</v>
      </c>
      <c r="AA61" s="460">
        <f>[1]Weighted!S$14</f>
        <v>3.1500000000000004</v>
      </c>
      <c r="AB61" s="460">
        <f>[1]Weighted!T$14</f>
        <v>2.1</v>
      </c>
      <c r="AC61" s="460">
        <f>[1]Weighted!U$14</f>
        <v>3.1500000000000004</v>
      </c>
      <c r="AD61" s="460">
        <f>[1]Weighted!V$14</f>
        <v>4.2</v>
      </c>
      <c r="AE61" s="460">
        <f>[1]Weighted!W$14</f>
        <v>2.1</v>
      </c>
      <c r="AF61" s="460">
        <f>[1]Weighted!X$14</f>
        <v>2.1</v>
      </c>
      <c r="AG61" s="460">
        <f>[1]Weighted!Y$14</f>
        <v>2.1</v>
      </c>
      <c r="AH61" s="460">
        <f>[1]Weighted!Z$14</f>
        <v>1.05</v>
      </c>
      <c r="AI61" s="460">
        <f>[1]Weighted!AA$14</f>
        <v>2.1</v>
      </c>
      <c r="AJ61" s="460">
        <f>[1]Weighted!AB$14</f>
        <v>2.1</v>
      </c>
      <c r="AK61" s="460">
        <f>[1]Weighted!AC$14</f>
        <v>1.05</v>
      </c>
      <c r="AL61" s="460">
        <f>[1]Weighted!AD$14</f>
        <v>1.05</v>
      </c>
      <c r="AM61" s="460">
        <f>[1]Weighted!AE$14</f>
        <v>1.05</v>
      </c>
      <c r="AN61" s="460">
        <f>[1]Weighted!AF$14</f>
        <v>1.05</v>
      </c>
      <c r="AO61" s="460">
        <f>[1]Weighted!AG$14</f>
        <v>2.1</v>
      </c>
      <c r="AP61" s="460">
        <f>[1]Weighted!AH$14</f>
        <v>2.1</v>
      </c>
      <c r="AQ61" s="460">
        <f>[1]Weighted!AI$14</f>
        <v>1.05</v>
      </c>
      <c r="AR61" s="460">
        <f>[1]Weighted!AJ$14</f>
        <v>1.05</v>
      </c>
      <c r="AS61" s="460">
        <f>[1]Weighted!AK$14</f>
        <v>1.05</v>
      </c>
      <c r="AT61" s="460">
        <f>[1]Weighted!AL$14</f>
        <v>1.05</v>
      </c>
      <c r="AU61" s="460">
        <f>[1]Weighted!AM$14</f>
        <v>1.05</v>
      </c>
      <c r="AV61" s="460">
        <f>[1]Weighted!AN$14</f>
        <v>1.05</v>
      </c>
      <c r="AW61" s="460">
        <f>[1]Weighted!AO$14</f>
        <v>1.05</v>
      </c>
      <c r="AX61" s="452">
        <f>SUM(J61:AW61)</f>
        <v>73.499999999999972</v>
      </c>
      <c r="AY61" s="485" t="s">
        <v>588</v>
      </c>
      <c r="AZ61" s="485"/>
    </row>
    <row r="62" spans="1:52" ht="18.75" x14ac:dyDescent="0.3">
      <c r="B62" s="484" t="s">
        <v>590</v>
      </c>
      <c r="C62" s="484"/>
      <c r="D62" s="453"/>
      <c r="E62" s="453"/>
      <c r="F62" s="453"/>
      <c r="G62" s="484" t="s">
        <v>590</v>
      </c>
      <c r="H62" s="484"/>
      <c r="I62" s="484"/>
      <c r="J62" s="460">
        <f>ROUNDUP(J61/2,0)</f>
        <v>1</v>
      </c>
      <c r="K62" s="460">
        <f t="shared" ref="K62:AW62" si="5">ROUNDUP(K61/2,0)</f>
        <v>1</v>
      </c>
      <c r="L62" s="460">
        <f t="shared" si="5"/>
        <v>1</v>
      </c>
      <c r="M62" s="460">
        <f t="shared" si="5"/>
        <v>1</v>
      </c>
      <c r="N62" s="460">
        <f t="shared" si="5"/>
        <v>2</v>
      </c>
      <c r="O62" s="460">
        <f t="shared" si="5"/>
        <v>1</v>
      </c>
      <c r="P62" s="460">
        <f t="shared" si="5"/>
        <v>2</v>
      </c>
      <c r="Q62" s="460">
        <f t="shared" si="5"/>
        <v>2</v>
      </c>
      <c r="R62" s="460">
        <f t="shared" si="5"/>
        <v>2</v>
      </c>
      <c r="S62" s="460">
        <f t="shared" si="5"/>
        <v>2</v>
      </c>
      <c r="T62" s="460">
        <f t="shared" si="5"/>
        <v>1</v>
      </c>
      <c r="U62" s="460">
        <f t="shared" si="5"/>
        <v>2</v>
      </c>
      <c r="V62" s="460">
        <f t="shared" si="5"/>
        <v>2</v>
      </c>
      <c r="W62" s="460">
        <f t="shared" si="5"/>
        <v>2</v>
      </c>
      <c r="X62" s="460">
        <f t="shared" si="5"/>
        <v>2</v>
      </c>
      <c r="Y62" s="460">
        <f t="shared" si="5"/>
        <v>2</v>
      </c>
      <c r="Z62" s="460">
        <f t="shared" si="5"/>
        <v>2</v>
      </c>
      <c r="AA62" s="460">
        <f t="shared" si="5"/>
        <v>2</v>
      </c>
      <c r="AB62" s="460">
        <f t="shared" si="5"/>
        <v>2</v>
      </c>
      <c r="AC62" s="460">
        <f t="shared" si="5"/>
        <v>2</v>
      </c>
      <c r="AD62" s="460">
        <f t="shared" si="5"/>
        <v>3</v>
      </c>
      <c r="AE62" s="460">
        <f t="shared" si="5"/>
        <v>2</v>
      </c>
      <c r="AF62" s="460">
        <f t="shared" si="5"/>
        <v>2</v>
      </c>
      <c r="AG62" s="460">
        <f t="shared" si="5"/>
        <v>2</v>
      </c>
      <c r="AH62" s="460">
        <f t="shared" si="5"/>
        <v>1</v>
      </c>
      <c r="AI62" s="460">
        <f t="shared" si="5"/>
        <v>2</v>
      </c>
      <c r="AJ62" s="460">
        <f t="shared" si="5"/>
        <v>2</v>
      </c>
      <c r="AK62" s="460">
        <f t="shared" si="5"/>
        <v>1</v>
      </c>
      <c r="AL62" s="460">
        <f t="shared" si="5"/>
        <v>1</v>
      </c>
      <c r="AM62" s="460">
        <f t="shared" si="5"/>
        <v>1</v>
      </c>
      <c r="AN62" s="460">
        <f t="shared" si="5"/>
        <v>1</v>
      </c>
      <c r="AO62" s="460">
        <f t="shared" si="5"/>
        <v>2</v>
      </c>
      <c r="AP62" s="460">
        <f t="shared" si="5"/>
        <v>2</v>
      </c>
      <c r="AQ62" s="460">
        <f t="shared" si="5"/>
        <v>1</v>
      </c>
      <c r="AR62" s="460">
        <f t="shared" si="5"/>
        <v>1</v>
      </c>
      <c r="AS62" s="460">
        <f t="shared" si="5"/>
        <v>1</v>
      </c>
      <c r="AT62" s="460">
        <f t="shared" si="5"/>
        <v>1</v>
      </c>
      <c r="AU62" s="460">
        <f t="shared" si="5"/>
        <v>1</v>
      </c>
      <c r="AV62" s="460">
        <f t="shared" si="5"/>
        <v>1</v>
      </c>
      <c r="AW62" s="460">
        <f t="shared" si="5"/>
        <v>1</v>
      </c>
      <c r="AX62" s="452">
        <f>SUM(J62:AW62)</f>
        <v>63</v>
      </c>
      <c r="AY62" s="485" t="s">
        <v>590</v>
      </c>
      <c r="AZ62" s="485"/>
    </row>
    <row r="63" spans="1:52" ht="15.75" customHeight="1" x14ac:dyDescent="0.3">
      <c r="B63" s="484" t="s">
        <v>591</v>
      </c>
      <c r="C63" s="484"/>
      <c r="D63" s="453"/>
      <c r="E63" s="453"/>
      <c r="F63" s="453"/>
      <c r="G63" s="484" t="s">
        <v>591</v>
      </c>
      <c r="H63" s="484"/>
      <c r="I63" s="484"/>
      <c r="J63" s="461">
        <f>J60-J62</f>
        <v>0</v>
      </c>
      <c r="K63" s="461">
        <f t="shared" ref="K63:AW63" si="6">K60-K62</f>
        <v>1</v>
      </c>
      <c r="L63" s="461">
        <f t="shared" si="6"/>
        <v>1</v>
      </c>
      <c r="M63" s="461">
        <f t="shared" si="6"/>
        <v>1</v>
      </c>
      <c r="N63" s="461">
        <f t="shared" si="6"/>
        <v>0</v>
      </c>
      <c r="O63" s="461">
        <f t="shared" si="6"/>
        <v>1</v>
      </c>
      <c r="P63" s="461">
        <f t="shared" si="6"/>
        <v>2</v>
      </c>
      <c r="Q63" s="461">
        <f t="shared" si="6"/>
        <v>2</v>
      </c>
      <c r="R63" s="461">
        <f t="shared" si="6"/>
        <v>2</v>
      </c>
      <c r="S63" s="461">
        <f t="shared" si="6"/>
        <v>1</v>
      </c>
      <c r="T63" s="461">
        <f t="shared" si="6"/>
        <v>1</v>
      </c>
      <c r="U63" s="461">
        <f t="shared" si="6"/>
        <v>1</v>
      </c>
      <c r="V63" s="461">
        <f t="shared" si="6"/>
        <v>3</v>
      </c>
      <c r="W63" s="461">
        <f t="shared" si="6"/>
        <v>5</v>
      </c>
      <c r="X63" s="461">
        <f t="shared" si="6"/>
        <v>1</v>
      </c>
      <c r="Y63" s="461">
        <f t="shared" si="6"/>
        <v>2</v>
      </c>
      <c r="Z63" s="461">
        <f t="shared" si="6"/>
        <v>1</v>
      </c>
      <c r="AA63" s="461">
        <f t="shared" si="6"/>
        <v>3</v>
      </c>
      <c r="AB63" s="461">
        <f t="shared" si="6"/>
        <v>4</v>
      </c>
      <c r="AC63" s="461">
        <f t="shared" si="6"/>
        <v>2</v>
      </c>
      <c r="AD63" s="461">
        <f t="shared" si="6"/>
        <v>1</v>
      </c>
      <c r="AE63" s="461">
        <f t="shared" si="6"/>
        <v>1</v>
      </c>
      <c r="AF63" s="461">
        <f t="shared" si="6"/>
        <v>1</v>
      </c>
      <c r="AG63" s="461">
        <f t="shared" si="6"/>
        <v>3</v>
      </c>
      <c r="AH63" s="461">
        <f t="shared" si="6"/>
        <v>1</v>
      </c>
      <c r="AI63" s="461">
        <f t="shared" si="6"/>
        <v>1</v>
      </c>
      <c r="AJ63" s="461">
        <f t="shared" si="6"/>
        <v>2</v>
      </c>
      <c r="AK63" s="461">
        <f t="shared" si="6"/>
        <v>3</v>
      </c>
      <c r="AL63" s="461">
        <f t="shared" si="6"/>
        <v>4</v>
      </c>
      <c r="AM63" s="461">
        <f t="shared" si="6"/>
        <v>4</v>
      </c>
      <c r="AN63" s="461">
        <f t="shared" si="6"/>
        <v>1</v>
      </c>
      <c r="AO63" s="461">
        <f t="shared" si="6"/>
        <v>1</v>
      </c>
      <c r="AP63" s="461">
        <f t="shared" si="6"/>
        <v>1</v>
      </c>
      <c r="AQ63" s="461">
        <f t="shared" si="6"/>
        <v>2</v>
      </c>
      <c r="AR63" s="461">
        <f t="shared" si="6"/>
        <v>1</v>
      </c>
      <c r="AS63" s="461">
        <f t="shared" si="6"/>
        <v>1</v>
      </c>
      <c r="AT63" s="461">
        <f t="shared" si="6"/>
        <v>1</v>
      </c>
      <c r="AU63" s="461">
        <f t="shared" si="6"/>
        <v>2</v>
      </c>
      <c r="AV63" s="461">
        <f t="shared" si="6"/>
        <v>1</v>
      </c>
      <c r="AW63" s="461">
        <f t="shared" si="6"/>
        <v>1</v>
      </c>
      <c r="AX63" s="454">
        <f>AVERAGE(J63:AW63)</f>
        <v>1.675</v>
      </c>
      <c r="AY63" s="486" t="s">
        <v>591</v>
      </c>
      <c r="AZ63" s="486"/>
    </row>
    <row r="64" spans="1:52" ht="15.75" customHeight="1" x14ac:dyDescent="0.2"/>
    <row r="65" ht="15.75" customHeight="1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</sheetData>
  <sheetProtection autoFilter="0"/>
  <mergeCells count="18">
    <mergeCell ref="B62:C62"/>
    <mergeCell ref="G62:I62"/>
    <mergeCell ref="AY62:AZ62"/>
    <mergeCell ref="B63:C63"/>
    <mergeCell ref="G63:I63"/>
    <mergeCell ref="AY63:AZ63"/>
    <mergeCell ref="AY59:AZ59"/>
    <mergeCell ref="AY60:AZ60"/>
    <mergeCell ref="B61:C61"/>
    <mergeCell ref="G61:I61"/>
    <mergeCell ref="AY61:AZ61"/>
    <mergeCell ref="B3:C3"/>
    <mergeCell ref="F6:I6"/>
    <mergeCell ref="G59:I59"/>
    <mergeCell ref="G60:I60"/>
    <mergeCell ref="E3:F3"/>
    <mergeCell ref="B59:C59"/>
    <mergeCell ref="B60:C60"/>
  </mergeCells>
  <conditionalFormatting sqref="J9:AX55">
    <cfRule type="containsBlanks" dxfId="578" priority="15" stopIfTrue="1">
      <formula>LEN(TRIM(J9))=0</formula>
    </cfRule>
    <cfRule type="beginsWith" dxfId="577" priority="17" stopIfTrue="1" operator="beginsWith" text="u">
      <formula>LEFT(J9,LEN("u"))="u"</formula>
    </cfRule>
    <cfRule type="beginsWith" dxfId="576" priority="18" stopIfTrue="1" operator="beginsWith" text="p">
      <formula>LEFT(J9,LEN("p"))="p"</formula>
    </cfRule>
    <cfRule type="containsText" dxfId="575" priority="19" stopIfTrue="1" operator="containsText" text="B1">
      <formula>NOT(ISERROR(SEARCH("B1",J9)))</formula>
    </cfRule>
    <cfRule type="containsText" dxfId="574" priority="20" stopIfTrue="1" operator="containsText" text="B2">
      <formula>NOT(ISERROR(SEARCH("B2",J9)))</formula>
    </cfRule>
    <cfRule type="containsText" dxfId="573" priority="21" stopIfTrue="1" operator="containsText" text="Lunch">
      <formula>NOT(ISERROR(SEARCH("Lunch",J9)))</formula>
    </cfRule>
    <cfRule type="containsText" dxfId="572" priority="22" stopIfTrue="1" operator="containsText" text="Interview">
      <formula>NOT(ISERROR(SEARCH("Interview",J9)))</formula>
    </cfRule>
    <cfRule type="containsText" dxfId="571" priority="23" stopIfTrue="1" operator="containsText" text="Side by Side">
      <formula>NOT(ISERROR(SEARCH("Side by Side",J9)))</formula>
    </cfRule>
    <cfRule type="containsText" dxfId="570" priority="24" stopIfTrue="1" operator="containsText" text="COACHING">
      <formula>NOT(ISERROR(SEARCH("COACHING",J9)))</formula>
    </cfRule>
    <cfRule type="containsText" dxfId="569" priority="25" stopIfTrue="1" operator="containsText" text="TM">
      <formula>NOT(ISERROR(SEARCH("TM",J9)))</formula>
    </cfRule>
    <cfRule type="containsText" dxfId="568" priority="26" stopIfTrue="1" operator="containsText" text="RNNR">
      <formula>NOT(ISERROR(SEARCH("RNNR",J9)))</formula>
    </cfRule>
    <cfRule type="containsText" dxfId="567" priority="27" stopIfTrue="1" operator="containsText" text="ADM">
      <formula>NOT(ISERROR(SEARCH("ADM",J9)))</formula>
    </cfRule>
    <cfRule type="containsText" dxfId="566" priority="28" stopIfTrue="1" operator="containsText" text="HL">
      <formula>NOT(ISERROR(SEARCH("HL",J9)))</formula>
    </cfRule>
    <cfRule type="notContainsBlanks" dxfId="565" priority="29" stopIfTrue="1">
      <formula>LEN(TRIM(J9))&gt;0</formula>
    </cfRule>
  </conditionalFormatting>
  <conditionalFormatting sqref="J59:AW59">
    <cfRule type="cellIs" dxfId="564" priority="6" operator="greaterThanOrEqual">
      <formula>2</formula>
    </cfRule>
    <cfRule type="containsText" dxfId="563" priority="7" operator="containsText" text="1">
      <formula>NOT(ISERROR(SEARCH("1",J59)))</formula>
    </cfRule>
    <cfRule type="containsText" dxfId="562" priority="8" operator="containsText" text="0">
      <formula>NOT(ISERROR(SEARCH("0",J59)))</formula>
    </cfRule>
  </conditionalFormatting>
  <conditionalFormatting sqref="J60:AW60">
    <cfRule type="cellIs" dxfId="561" priority="3" operator="greaterThanOrEqual">
      <formula>2</formula>
    </cfRule>
    <cfRule type="containsText" dxfId="560" priority="4" operator="containsText" text="1">
      <formula>NOT(ISERROR(SEARCH("1",J60)))</formula>
    </cfRule>
    <cfRule type="containsText" dxfId="559" priority="5" operator="containsText" text="0">
      <formula>NOT(ISERROR(SEARCH("0",J60)))</formula>
    </cfRule>
  </conditionalFormatting>
  <conditionalFormatting sqref="J63:AW63">
    <cfRule type="colorScale" priority="1">
      <colorScale>
        <cfvo type="num" val="-0.05"/>
        <cfvo type="num" val="0"/>
        <cfvo type="num" val="0.05"/>
        <color rgb="FFF8696B"/>
        <color rgb="FFCDF3CD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stopIfTrue="1" operator="containsText" id="{41CDB11F-8309-4A52-B79D-94DDF26647FF}">
            <xm:f>NOT(ISERROR(SEARCH("-",J9)))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J9:AX55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6"/>
    <outlinePr summaryBelow="0" summaryRight="0"/>
  </sheetPr>
  <dimension ref="A1:BA99"/>
  <sheetViews>
    <sheetView workbookViewId="0">
      <pane xSplit="9" ySplit="8" topLeftCell="S9" activePane="bottomRight" state="frozen"/>
      <selection activeCell="BB1" sqref="BB1:XFD1048576"/>
      <selection pane="topRight" activeCell="BB1" sqref="BB1:XFD1048576"/>
      <selection pane="bottomLeft" activeCell="BB1" sqref="BB1:XFD1048576"/>
      <selection pane="bottomRight" activeCell="B3" sqref="B3:C3"/>
    </sheetView>
  </sheetViews>
  <sheetFormatPr defaultColWidth="0" defaultRowHeight="12.75" zeroHeight="1" x14ac:dyDescent="0.2"/>
  <cols>
    <col min="1" max="1" width="0.7109375" style="6" customWidth="1"/>
    <col min="2" max="2" width="22.42578125" style="6" customWidth="1"/>
    <col min="3" max="3" width="10.7109375" style="6" customWidth="1"/>
    <col min="4" max="4" width="11.85546875" style="6" customWidth="1"/>
    <col min="5" max="5" width="11.42578125" style="6" customWidth="1"/>
    <col min="6" max="6" width="11.28515625" style="6" customWidth="1"/>
    <col min="7" max="7" width="12.28515625" style="6" customWidth="1"/>
    <col min="8" max="50" width="10.7109375" style="6" customWidth="1"/>
    <col min="51" max="51" width="22.42578125" style="6" customWidth="1"/>
    <col min="52" max="52" width="1.7109375" style="6" customWidth="1"/>
    <col min="53" max="53" width="9.140625" style="6" customWidth="1"/>
    <col min="54" max="16384" width="9.140625" style="6" hidden="1"/>
  </cols>
  <sheetData>
    <row r="1" spans="1:51" ht="6" customHeight="1" x14ac:dyDescent="0.2">
      <c r="D1" s="5"/>
    </row>
    <row r="2" spans="1:51" x14ac:dyDescent="0.2"/>
    <row r="3" spans="1:51" ht="24.95" customHeight="1" x14ac:dyDescent="0.2">
      <c r="B3" s="480" t="str">
        <f>TEXT(Day_4,"DDDD")&amp;" - "&amp;TEXT(Day_4,"mm/dd/yy")</f>
        <v>Wednesday - 03/25/20</v>
      </c>
      <c r="C3" s="480"/>
      <c r="D3" s="106"/>
      <c r="E3" s="490" t="s">
        <v>430</v>
      </c>
      <c r="F3" s="490"/>
      <c r="K3" s="94" t="s">
        <v>124</v>
      </c>
      <c r="L3" s="152" t="s">
        <v>218</v>
      </c>
      <c r="M3" s="153" t="s">
        <v>220</v>
      </c>
      <c r="N3" s="71" t="s">
        <v>126</v>
      </c>
      <c r="O3" s="72" t="s">
        <v>130</v>
      </c>
      <c r="P3" s="73" t="s">
        <v>90</v>
      </c>
      <c r="Q3" s="139" t="s">
        <v>215</v>
      </c>
      <c r="R3" s="138" t="s">
        <v>211</v>
      </c>
      <c r="S3" s="137" t="s">
        <v>127</v>
      </c>
      <c r="T3" s="151" t="s">
        <v>139</v>
      </c>
      <c r="U3" s="69" t="s">
        <v>129</v>
      </c>
      <c r="V3" s="155" t="s">
        <v>146</v>
      </c>
      <c r="W3" s="157" t="s">
        <v>222</v>
      </c>
      <c r="X3" s="228" t="s">
        <v>366</v>
      </c>
      <c r="Y3" s="243" t="s">
        <v>371</v>
      </c>
      <c r="Z3" s="212"/>
      <c r="AA3" s="213"/>
      <c r="AB3" s="214"/>
      <c r="AD3" s="94" t="s">
        <v>124</v>
      </c>
      <c r="AE3" s="152" t="s">
        <v>218</v>
      </c>
      <c r="AF3" s="153" t="s">
        <v>220</v>
      </c>
      <c r="AG3" s="71" t="s">
        <v>126</v>
      </c>
      <c r="AH3" s="72" t="s">
        <v>130</v>
      </c>
      <c r="AI3" s="73" t="s">
        <v>90</v>
      </c>
      <c r="AJ3" s="139" t="s">
        <v>215</v>
      </c>
      <c r="AK3" s="138" t="s">
        <v>211</v>
      </c>
      <c r="AL3" s="137" t="s">
        <v>127</v>
      </c>
      <c r="AM3" s="151" t="s">
        <v>139</v>
      </c>
      <c r="AN3" s="69" t="s">
        <v>129</v>
      </c>
      <c r="AO3" s="155" t="s">
        <v>146</v>
      </c>
      <c r="AP3" s="157" t="s">
        <v>222</v>
      </c>
      <c r="AQ3" s="228" t="s">
        <v>366</v>
      </c>
      <c r="AR3" s="243" t="s">
        <v>371</v>
      </c>
    </row>
    <row r="4" spans="1:51" ht="24.95" customHeight="1" x14ac:dyDescent="0.2">
      <c r="B4" s="7"/>
      <c r="J4" s="18"/>
      <c r="K4" s="94" t="s">
        <v>125</v>
      </c>
      <c r="L4" s="154" t="s">
        <v>217</v>
      </c>
      <c r="M4" s="154" t="s">
        <v>221</v>
      </c>
      <c r="N4" s="70" t="s">
        <v>87</v>
      </c>
      <c r="O4" s="67" t="s">
        <v>89</v>
      </c>
      <c r="P4" s="67" t="s">
        <v>213</v>
      </c>
      <c r="Q4" s="67" t="s">
        <v>214</v>
      </c>
      <c r="R4" s="67" t="s">
        <v>212</v>
      </c>
      <c r="S4" s="67" t="s">
        <v>128</v>
      </c>
      <c r="T4" s="67" t="s">
        <v>138</v>
      </c>
      <c r="U4" s="67" t="s">
        <v>129</v>
      </c>
      <c r="V4" s="156" t="s">
        <v>145</v>
      </c>
      <c r="W4" s="98" t="s">
        <v>223</v>
      </c>
      <c r="X4" s="98" t="s">
        <v>367</v>
      </c>
      <c r="Y4" s="241" t="s">
        <v>372</v>
      </c>
      <c r="Z4" s="215"/>
      <c r="AA4" s="216"/>
      <c r="AB4" s="217"/>
      <c r="AD4" s="94" t="s">
        <v>125</v>
      </c>
      <c r="AE4" s="154" t="s">
        <v>217</v>
      </c>
      <c r="AF4" s="154" t="s">
        <v>221</v>
      </c>
      <c r="AG4" s="70" t="s">
        <v>87</v>
      </c>
      <c r="AH4" s="67" t="s">
        <v>89</v>
      </c>
      <c r="AI4" s="67" t="s">
        <v>213</v>
      </c>
      <c r="AJ4" s="67" t="s">
        <v>214</v>
      </c>
      <c r="AK4" s="67" t="s">
        <v>212</v>
      </c>
      <c r="AL4" s="67" t="s">
        <v>128</v>
      </c>
      <c r="AM4" s="67" t="s">
        <v>138</v>
      </c>
      <c r="AN4" s="67" t="s">
        <v>129</v>
      </c>
      <c r="AO4" s="156" t="s">
        <v>145</v>
      </c>
      <c r="AP4" s="98" t="s">
        <v>223</v>
      </c>
      <c r="AQ4" s="98" t="s">
        <v>367</v>
      </c>
      <c r="AR4" s="241" t="s">
        <v>372</v>
      </c>
    </row>
    <row r="5" spans="1:51" ht="6" customHeight="1" x14ac:dyDescent="0.2"/>
    <row r="6" spans="1:51" ht="17.25" customHeight="1" x14ac:dyDescent="0.2">
      <c r="F6" s="477" t="s">
        <v>132</v>
      </c>
      <c r="G6" s="478"/>
      <c r="H6" s="478"/>
      <c r="I6" s="479"/>
      <c r="J6" s="19"/>
      <c r="K6" s="19"/>
    </row>
    <row r="7" spans="1:51" ht="6" customHeight="1" thickBot="1" x14ac:dyDescent="0.25">
      <c r="J7" s="104" t="s">
        <v>93</v>
      </c>
      <c r="K7" s="104" t="s">
        <v>95</v>
      </c>
      <c r="L7" s="104" t="s">
        <v>97</v>
      </c>
      <c r="M7" s="104" t="s">
        <v>140</v>
      </c>
      <c r="N7" s="104" t="s">
        <v>109</v>
      </c>
      <c r="O7" s="104" t="s">
        <v>103</v>
      </c>
      <c r="P7" s="104" t="s">
        <v>121</v>
      </c>
      <c r="Q7" s="104" t="s">
        <v>113</v>
      </c>
      <c r="R7" s="104" t="s">
        <v>105</v>
      </c>
      <c r="S7" s="104" t="s">
        <v>107</v>
      </c>
      <c r="T7" s="104" t="s">
        <v>141</v>
      </c>
      <c r="U7" s="104" t="s">
        <v>101</v>
      </c>
      <c r="V7" s="104" t="s">
        <v>122</v>
      </c>
      <c r="W7" s="104" t="s">
        <v>116</v>
      </c>
      <c r="X7" s="104" t="s">
        <v>148</v>
      </c>
      <c r="Y7" s="104" t="s">
        <v>149</v>
      </c>
      <c r="Z7" s="104" t="s">
        <v>111</v>
      </c>
      <c r="AA7" s="104" t="s">
        <v>94</v>
      </c>
      <c r="AB7" s="104" t="s">
        <v>96</v>
      </c>
      <c r="AC7" s="104" t="s">
        <v>98</v>
      </c>
      <c r="AD7" s="104" t="s">
        <v>118</v>
      </c>
      <c r="AE7" s="104" t="s">
        <v>99</v>
      </c>
      <c r="AF7" s="104" t="s">
        <v>104</v>
      </c>
      <c r="AG7" s="104" t="s">
        <v>150</v>
      </c>
      <c r="AH7" s="104" t="s">
        <v>114</v>
      </c>
      <c r="AI7" s="104" t="s">
        <v>106</v>
      </c>
      <c r="AJ7" s="104" t="s">
        <v>108</v>
      </c>
      <c r="AK7" s="104" t="s">
        <v>142</v>
      </c>
      <c r="AL7" s="104" t="s">
        <v>102</v>
      </c>
      <c r="AM7" s="104" t="s">
        <v>143</v>
      </c>
      <c r="AN7" s="104" t="s">
        <v>123</v>
      </c>
      <c r="AO7" s="104" t="s">
        <v>117</v>
      </c>
      <c r="AP7" s="104" t="s">
        <v>151</v>
      </c>
      <c r="AQ7" s="104" t="s">
        <v>112</v>
      </c>
      <c r="AR7" s="104" t="s">
        <v>110</v>
      </c>
      <c r="AS7" s="104" t="s">
        <v>119</v>
      </c>
      <c r="AT7" s="104" t="s">
        <v>115</v>
      </c>
      <c r="AU7" s="104" t="s">
        <v>120</v>
      </c>
      <c r="AV7" s="104"/>
      <c r="AW7" s="104"/>
      <c r="AX7" s="105">
        <v>0</v>
      </c>
    </row>
    <row r="8" spans="1:51" ht="13.5" thickBot="1" x14ac:dyDescent="0.25">
      <c r="A8" s="15" t="s">
        <v>14</v>
      </c>
      <c r="B8" s="283" t="s">
        <v>2</v>
      </c>
      <c r="C8" s="169" t="s">
        <v>5</v>
      </c>
      <c r="D8" s="169" t="s">
        <v>84</v>
      </c>
      <c r="E8" s="169" t="s">
        <v>86</v>
      </c>
      <c r="F8" s="169" t="s">
        <v>87</v>
      </c>
      <c r="G8" s="169" t="s">
        <v>223</v>
      </c>
      <c r="H8" s="169" t="s">
        <v>89</v>
      </c>
      <c r="I8" s="169" t="s">
        <v>90</v>
      </c>
      <c r="J8" s="170" t="s">
        <v>93</v>
      </c>
      <c r="K8" s="170" t="s">
        <v>95</v>
      </c>
      <c r="L8" s="170" t="s">
        <v>97</v>
      </c>
      <c r="M8" s="170" t="s">
        <v>140</v>
      </c>
      <c r="N8" s="239" t="s">
        <v>109</v>
      </c>
      <c r="O8" s="239" t="s">
        <v>103</v>
      </c>
      <c r="P8" s="239" t="s">
        <v>121</v>
      </c>
      <c r="Q8" s="239" t="s">
        <v>113</v>
      </c>
      <c r="R8" s="239" t="s">
        <v>105</v>
      </c>
      <c r="S8" s="239" t="s">
        <v>107</v>
      </c>
      <c r="T8" s="239" t="s">
        <v>141</v>
      </c>
      <c r="U8" s="239" t="s">
        <v>101</v>
      </c>
      <c r="V8" s="239" t="s">
        <v>122</v>
      </c>
      <c r="W8" s="239" t="s">
        <v>116</v>
      </c>
      <c r="X8" s="239" t="s">
        <v>148</v>
      </c>
      <c r="Y8" s="170" t="s">
        <v>149</v>
      </c>
      <c r="Z8" s="444" t="s">
        <v>111</v>
      </c>
      <c r="AA8" s="444" t="s">
        <v>94</v>
      </c>
      <c r="AB8" s="444" t="s">
        <v>96</v>
      </c>
      <c r="AC8" s="170" t="s">
        <v>98</v>
      </c>
      <c r="AD8" s="170" t="s">
        <v>118</v>
      </c>
      <c r="AE8" s="170" t="s">
        <v>99</v>
      </c>
      <c r="AF8" s="341" t="s">
        <v>104</v>
      </c>
      <c r="AG8" s="341" t="s">
        <v>150</v>
      </c>
      <c r="AH8" s="170" t="s">
        <v>114</v>
      </c>
      <c r="AI8" s="170" t="s">
        <v>106</v>
      </c>
      <c r="AJ8" s="170" t="s">
        <v>108</v>
      </c>
      <c r="AK8" s="170" t="s">
        <v>142</v>
      </c>
      <c r="AL8" s="170" t="s">
        <v>102</v>
      </c>
      <c r="AM8" s="170" t="s">
        <v>143</v>
      </c>
      <c r="AN8" s="170" t="s">
        <v>123</v>
      </c>
      <c r="AO8" s="170" t="s">
        <v>117</v>
      </c>
      <c r="AP8" s="170" t="s">
        <v>151</v>
      </c>
      <c r="AQ8" s="170" t="s">
        <v>112</v>
      </c>
      <c r="AR8" s="170" t="s">
        <v>110</v>
      </c>
      <c r="AS8" s="170" t="s">
        <v>119</v>
      </c>
      <c r="AT8" s="170" t="s">
        <v>115</v>
      </c>
      <c r="AU8" s="170" t="s">
        <v>120</v>
      </c>
      <c r="AV8" s="199" t="s">
        <v>100</v>
      </c>
      <c r="AW8" s="199" t="s">
        <v>243</v>
      </c>
      <c r="AX8" s="199" t="s">
        <v>244</v>
      </c>
      <c r="AY8" s="171" t="s">
        <v>147</v>
      </c>
    </row>
    <row r="9" spans="1:51" s="44" customFormat="1" ht="12" x14ac:dyDescent="0.2">
      <c r="A9" s="39" t="str">
        <f>IF(B9="","",INDEX(TeamList[],MATCH($B9,TeamList[[Employee Name]:[Employee Name]],0),MATCH("Manager",TeamList[#Headers],0)))</f>
        <v>Olson, Katherine</v>
      </c>
      <c r="B9" s="201" t="s">
        <v>24</v>
      </c>
      <c r="C9" s="257" t="str">
        <f>_xlfn.IFNA(VLOOKUP(Wed_W1[[#This Row],[Employee Name]],'Base Schedules'!A:B,2,FALSE),"")</f>
        <v>Lead</v>
      </c>
      <c r="D9" s="274">
        <f>_xlfn.IFNA(VLOOKUP(Wed_W1[[#This Row],[Employee Name]],'Base Schedules'!A:C,3,FALSE),"")</f>
        <v>500</v>
      </c>
      <c r="E9" s="274">
        <f>_xlfn.IFNA(VLOOKUP(Wed_W1[[#This Row],[Employee Name]],'Base Schedules'!A:D,4,FALSE),"")</f>
        <v>1330</v>
      </c>
      <c r="F9" s="142">
        <f>IF(Wed_W1[[#This Row],[Employee Name]]="","",IF(Wed_W1[[#This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f>
        <v>9.5</v>
      </c>
      <c r="G9" s="142">
        <f t="shared" ref="G9:G55" si="0">IF(B9="","",COUNTIFS($J9:$AX9,"*Coaching*",$J9:$AX9,"&lt;&gt;"&amp;"pTM",$J9:$AX9,"&lt;&gt;"&amp;"uTM"))</f>
        <v>0</v>
      </c>
      <c r="H9" s="142">
        <f t="shared" ref="H9:H55" si="1">IF(B9="","",COUNTIFS($J9:$AX9,"*ADM*",$J9:$AX9,"&lt;&gt;"&amp;"pADM",$J9:$AX9,"&lt;&gt;"&amp;"uADM"))</f>
        <v>4</v>
      </c>
      <c r="I9" s="142">
        <f>IF(Wed_W1[[#This Row],[Employee Name]]="","",IF(Wed_W1[[#This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f>
        <v>2</v>
      </c>
      <c r="J9" s="184" t="str">
        <f>IFERROR(IF(VLOOKUP(Wed_W1[[#This Row],[Employee Name]],'Base Schedules'!$A$205:$AW$241,9,FALSE)="","",VLOOKUP(Wed_W1[[#This Row],[Employee Name]],'Base Schedules'!$A$205:$AW$241,9,FALSE)),"")</f>
        <v>HL</v>
      </c>
      <c r="K9" s="184" t="str">
        <f>IFERROR(IF(VLOOKUP(Wed_W1[[#This Row],[Employee Name]],'Base Schedules'!$A$205:$AW$241,10,FALSE)="","",VLOOKUP(Wed_W1[[#This Row],[Employee Name]],'Base Schedules'!$A$205:$AW$241,10,FALSE)),"")</f>
        <v>HL</v>
      </c>
      <c r="L9" s="184" t="str">
        <f>IFERROR(IF(VLOOKUP(Wed_W1[[#This Row],[Employee Name]],'Base Schedules'!$A$205:$AW$241,11,FALSE)="","",VLOOKUP(Wed_W1[[#This Row],[Employee Name]],'Base Schedules'!$A$205:$AW$241,11,FALSE)),"")</f>
        <v>HL</v>
      </c>
      <c r="M9" s="184" t="str">
        <f>IFERROR(IF(VLOOKUP(Wed_W1[[#This Row],[Employee Name]],'Base Schedules'!$A$205:$AW$241,12,FALSE)="","",VLOOKUP(Wed_W1[[#This Row],[Employee Name]],'Base Schedules'!$A$205:$AW$241,12,FALSE)),"")</f>
        <v>HL</v>
      </c>
      <c r="N9" s="184" t="str">
        <f>IFERROR(IF(VLOOKUP(Wed_W1[[#This Row],[Employee Name]],'Base Schedules'!$A$205:$AW$241,13,FALSE)="","",VLOOKUP(Wed_W1[[#This Row],[Employee Name]],'Base Schedules'!$A$205:$AW$241,13,FALSE)),"")</f>
        <v>HL</v>
      </c>
      <c r="O9" s="184" t="str">
        <f>IFERROR(IF(VLOOKUP(Wed_W1[[#This Row],[Employee Name]],'Base Schedules'!$A$205:$AW$241,14,FALSE)="","",VLOOKUP(Wed_W1[[#This Row],[Employee Name]],'Base Schedules'!$A$205:$AW$241,14,FALSE)),"")</f>
        <v>ADM B1</v>
      </c>
      <c r="P9" s="184" t="str">
        <f>IFERROR(IF(VLOOKUP(Wed_W1[[#This Row],[Employee Name]],'Base Schedules'!$A$205:$AW$241,15,FALSE)="","",VLOOKUP(Wed_W1[[#This Row],[Employee Name]],'Base Schedules'!$A$205:$AW$241,15,FALSE)),"")</f>
        <v>RNNR</v>
      </c>
      <c r="Q9" s="184" t="str">
        <f>IFERROR(IF(VLOOKUP(Wed_W1[[#This Row],[Employee Name]],'Base Schedules'!$A$205:$AW$241,16,FALSE)="","",VLOOKUP(Wed_W1[[#This Row],[Employee Name]],'Base Schedules'!$A$205:$AW$241,16,FALSE)),"")</f>
        <v>RNNR</v>
      </c>
      <c r="R9" s="184" t="str">
        <f>IFERROR(IF(VLOOKUP(Wed_W1[[#This Row],[Employee Name]],'Base Schedules'!$A$205:$AW$241,17,FALSE)="","",VLOOKUP(Wed_W1[[#This Row],[Employee Name]],'Base Schedules'!$A$205:$AW$241,17,FALSE)),"")</f>
        <v>LUNCH</v>
      </c>
      <c r="S9" s="184" t="str">
        <f>IFERROR(IF(VLOOKUP(Wed_W1[[#This Row],[Employee Name]],'Base Schedules'!$A$205:$AW$241,18,FALSE)="","",VLOOKUP(Wed_W1[[#This Row],[Employee Name]],'Base Schedules'!$A$205:$AW$241,18,FALSE)),"")</f>
        <v>ADM</v>
      </c>
      <c r="T9" s="184" t="str">
        <f>IFERROR(IF(VLOOKUP(Wed_W1[[#This Row],[Employee Name]],'Base Schedules'!$A$205:$AW$241,19,FALSE)="","",VLOOKUP(Wed_W1[[#This Row],[Employee Name]],'Base Schedules'!$A$205:$AW$241,19,FALSE)),"")</f>
        <v>ADM</v>
      </c>
      <c r="U9" s="184" t="str">
        <f>IFERROR(IF(VLOOKUP(Wed_W1[[#This Row],[Employee Name]],'Base Schedules'!$A$205:$AW$241,20,FALSE)="","",VLOOKUP(Wed_W1[[#This Row],[Employee Name]],'Base Schedules'!$A$205:$AW$241,20,FALSE)),"")</f>
        <v>ADM</v>
      </c>
      <c r="V9" s="184" t="str">
        <f>IFERROR(IF(VLOOKUP(Wed_W1[[#This Row],[Employee Name]],'Base Schedules'!$A$205:$AW$241,21,FALSE)="","",VLOOKUP(Wed_W1[[#This Row],[Employee Name]],'Base Schedules'!$A$205:$AW$241,21,FALSE)),"")</f>
        <v>B2 HL</v>
      </c>
      <c r="W9" s="184" t="str">
        <f>IFERROR(IF(VLOOKUP(Wed_W1[[#This Row],[Employee Name]],'Base Schedules'!$A$205:$AW$241,22,FALSE)="","",VLOOKUP(Wed_W1[[#This Row],[Employee Name]],'Base Schedules'!$A$205:$AW$241,22,FALSE)),"")</f>
        <v>HL</v>
      </c>
      <c r="X9" s="184" t="str">
        <f>IFERROR(IF(VLOOKUP(Wed_W1[[#This Row],[Employee Name]],'Base Schedules'!$A$205:$AW$241,23,FALSE)="","",VLOOKUP(Wed_W1[[#This Row],[Employee Name]],'Base Schedules'!$A$205:$AW$241,23,FALSE)),"")</f>
        <v>HL</v>
      </c>
      <c r="Y9" s="184" t="str">
        <f>IFERROR(IF(VLOOKUP(Wed_W1[[#This Row],[Employee Name]],'Base Schedules'!$A$205:$AW$241,24,FALSE)="","",VLOOKUP(Wed_W1[[#This Row],[Employee Name]],'Base Schedules'!$A$205:$AW$241,24,FALSE)),"")</f>
        <v>HL</v>
      </c>
      <c r="Z9" s="184" t="str">
        <f>IFERROR(IF(VLOOKUP(Wed_W1[[#This Row],[Employee Name]],'Base Schedules'!$A$205:$AW$241,25,FALSE)="","",VLOOKUP(Wed_W1[[#This Row],[Employee Name]],'Base Schedules'!$A$205:$AW$241,25,FALSE)),"")</f>
        <v>HL</v>
      </c>
      <c r="AA9" s="184" t="str">
        <f>IFERROR(IF(VLOOKUP(Wed_W1[[#This Row],[Employee Name]],'Base Schedules'!$A$205:$AW$241,26,FALSE)="","",VLOOKUP(Wed_W1[[#This Row],[Employee Name]],'Base Schedules'!$A$205:$AW$241,26,FALSE)),"")</f>
        <v/>
      </c>
      <c r="AB9" s="184" t="str">
        <f>IFERROR(IF(VLOOKUP(Wed_W1[[#This Row],[Employee Name]],'Base Schedules'!$A$205:$AW$241,27,FALSE)="","",VLOOKUP(Wed_W1[[#This Row],[Employee Name]],'Base Schedules'!$A$205:$AW$241,27,FALSE)),"")</f>
        <v/>
      </c>
      <c r="AC9" s="184" t="str">
        <f>IFERROR(IF(VLOOKUP(Wed_W1[[#This Row],[Employee Name]],'Base Schedules'!$A$205:$AW$241,28,FALSE)="","",VLOOKUP(Wed_W1[[#This Row],[Employee Name]],'Base Schedules'!$A$205:$AW$241,28,FALSE)),"")</f>
        <v/>
      </c>
      <c r="AD9" s="184" t="str">
        <f>IFERROR(IF(VLOOKUP(Wed_W1[[#This Row],[Employee Name]],'Base Schedules'!$A$205:$AW$241,29,FALSE)="","",VLOOKUP(Wed_W1[[#This Row],[Employee Name]],'Base Schedules'!$A$205:$AW$241,29,FALSE)),"")</f>
        <v/>
      </c>
      <c r="AE9" s="184" t="str">
        <f>IFERROR(IF(VLOOKUP(Wed_W1[[#This Row],[Employee Name]],'Base Schedules'!$A$205:$AW$241,30,FALSE)="","",VLOOKUP(Wed_W1[[#This Row],[Employee Name]],'Base Schedules'!$A$205:$AW$241,30,FALSE)),"")</f>
        <v/>
      </c>
      <c r="AF9" s="184" t="str">
        <f>IFERROR(IF(VLOOKUP(Wed_W1[[#This Row],[Employee Name]],'Base Schedules'!$A$205:$AW$241,31,FALSE)="","",VLOOKUP(Wed_W1[[#This Row],[Employee Name]],'Base Schedules'!$A$205:$AW$241,31,FALSE)),"")</f>
        <v/>
      </c>
      <c r="AG9" s="184" t="str">
        <f>IFERROR(IF(VLOOKUP(Wed_W1[[#This Row],[Employee Name]],'Base Schedules'!$A$205:$AW$241,32,FALSE)="","",VLOOKUP(Wed_W1[[#This Row],[Employee Name]],'Base Schedules'!$A$205:$AW$241,32,FALSE)),"")</f>
        <v/>
      </c>
      <c r="AH9" s="184" t="str">
        <f>IFERROR(IF(VLOOKUP(Wed_W1[[#This Row],[Employee Name]],'Base Schedules'!$A$205:$AW$241,33,FALSE)="","",VLOOKUP(Wed_W1[[#This Row],[Employee Name]],'Base Schedules'!$A$205:$AW$241,33,FALSE)),"")</f>
        <v/>
      </c>
      <c r="AI9" s="184" t="str">
        <f>IFERROR(IF(VLOOKUP(Wed_W1[[#This Row],[Employee Name]],'Base Schedules'!$A$205:$AW$241,34,FALSE)="","",VLOOKUP(Wed_W1[[#This Row],[Employee Name]],'Base Schedules'!$A$205:$AW$241,34,FALSE)),"")</f>
        <v/>
      </c>
      <c r="AJ9" s="184" t="str">
        <f>IFERROR(IF(VLOOKUP(Wed_W1[[#This Row],[Employee Name]],'Base Schedules'!$A$205:$AW$241,35,FALSE)="","",VLOOKUP(Wed_W1[[#This Row],[Employee Name]],'Base Schedules'!$A$205:$AW$241,35,FALSE)),"")</f>
        <v/>
      </c>
      <c r="AK9" s="184" t="str">
        <f>IFERROR(IF(VLOOKUP(Wed_W1[[#This Row],[Employee Name]],'Base Schedules'!$A$205:$AW$241,36,FALSE)="","",VLOOKUP(Wed_W1[[#This Row],[Employee Name]],'Base Schedules'!$A$205:$AW$241,36,FALSE)),"")</f>
        <v/>
      </c>
      <c r="AL9" s="184" t="str">
        <f>IFERROR(IF(VLOOKUP(Wed_W1[[#This Row],[Employee Name]],'Base Schedules'!$A$205:$AW$241,37,FALSE)="","",VLOOKUP(Wed_W1[[#This Row],[Employee Name]],'Base Schedules'!$A$205:$AW$241,37,FALSE)),"")</f>
        <v/>
      </c>
      <c r="AM9" s="184" t="str">
        <f>IFERROR(IF(VLOOKUP(Wed_W1[[#This Row],[Employee Name]],'Base Schedules'!$A$205:$AW$241,38,FALSE)="","",VLOOKUP(Wed_W1[[#This Row],[Employee Name]],'Base Schedules'!$A$205:$AW$241,38,FALSE)),"")</f>
        <v/>
      </c>
      <c r="AN9" s="184" t="str">
        <f>IFERROR(IF(VLOOKUP(Wed_W1[[#This Row],[Employee Name]],'Base Schedules'!$A$205:$AW$241,39,FALSE)="","",VLOOKUP(Wed_W1[[#This Row],[Employee Name]],'Base Schedules'!$A$205:$AW$241,39,FALSE)),"")</f>
        <v/>
      </c>
      <c r="AO9" s="184" t="str">
        <f>IFERROR(IF(VLOOKUP(Wed_W1[[#This Row],[Employee Name]],'Base Schedules'!$A$205:$AW$241,40,FALSE)="","",VLOOKUP(Wed_W1[[#This Row],[Employee Name]],'Base Schedules'!$A$205:$AW$241,40,FALSE)),"")</f>
        <v/>
      </c>
      <c r="AP9" s="184" t="str">
        <f>IFERROR(IF(VLOOKUP(Wed_W1[[#This Row],[Employee Name]],'Base Schedules'!$A$205:$AW$241,41,FALSE)="","",VLOOKUP(Wed_W1[[#This Row],[Employee Name]],'Base Schedules'!$A$205:$AW$241,41,FALSE)),"")</f>
        <v/>
      </c>
      <c r="AQ9" s="184" t="str">
        <f>IFERROR(IF(VLOOKUP(Wed_W1[[#This Row],[Employee Name]],'Base Schedules'!$A$205:$AW$241,42,FALSE)="","",VLOOKUP(Wed_W1[[#This Row],[Employee Name]],'Base Schedules'!$A$205:$AW$241,42,FALSE)),"")</f>
        <v/>
      </c>
      <c r="AR9" s="184" t="str">
        <f>IFERROR(IF(VLOOKUP(Wed_W1[[#This Row],[Employee Name]],'Base Schedules'!$A$205:$AW$241,43,FALSE)="","",VLOOKUP(Wed_W1[[#This Row],[Employee Name]],'Base Schedules'!$A$205:$AW$241,43,FALSE)),"")</f>
        <v/>
      </c>
      <c r="AS9" s="184" t="str">
        <f>IFERROR(IF(VLOOKUP(Wed_W1[[#This Row],[Employee Name]],'Base Schedules'!$A$205:$AW$241,44,FALSE)="","",VLOOKUP(Wed_W1[[#This Row],[Employee Name]],'Base Schedules'!$A$205:$AW$241,44,FALSE)),"")</f>
        <v/>
      </c>
      <c r="AT9" s="184" t="str">
        <f>IFERROR(IF(VLOOKUP(Wed_W1[[#This Row],[Employee Name]],'Base Schedules'!$A$205:$AW$241,45,FALSE)="","",VLOOKUP(Wed_W1[[#This Row],[Employee Name]],'Base Schedules'!$A$205:$AW$241,45,FALSE)),"")</f>
        <v/>
      </c>
      <c r="AU9" s="184" t="str">
        <f>IFERROR(IF(VLOOKUP(Wed_W1[[#This Row],[Employee Name]],'Base Schedules'!$A$205:$AW$241,46,FALSE)="","",VLOOKUP(Wed_W1[[#This Row],[Employee Name]],'Base Schedules'!$A$205:$AW$241,46,FALSE)),"")</f>
        <v/>
      </c>
      <c r="AV9" s="184" t="str">
        <f>IFERROR(IF(VLOOKUP(Wed_W1[[#This Row],[Employee Name]],'Base Schedules'!$A$205:$AW$241,47,FALSE)="","",VLOOKUP(Wed_W1[[#This Row],[Employee Name]],'Base Schedules'!$A$205:$AW$241,47,FALSE)),"")</f>
        <v/>
      </c>
      <c r="AW9" s="184" t="str">
        <f>IFERROR(IF(VLOOKUP(Wed_W1[[#This Row],[Employee Name]],'Base Schedules'!$A$205:$AW$241,48,FALSE)="","",VLOOKUP(Wed_W1[[#This Row],[Employee Name]],'Base Schedules'!$A$205:$AW$241,48,FALSE)),"")</f>
        <v/>
      </c>
      <c r="AX9" s="184" t="str">
        <f>IFERROR(IF(VLOOKUP(Wed_W1[[#This Row],[Employee Name]],'Base Schedules'!$A$205:$AW$241,49,FALSE)="","",VLOOKUP(Wed_W1[[#This Row],[Employee Name]],'Base Schedules'!$A$205:$AW$241,49,FALSE)),"")</f>
        <v/>
      </c>
      <c r="AY9" s="163" t="str">
        <f t="shared" ref="AY9:AY55" si="2">IF(B9="","",B9)</f>
        <v>Birrueta Arellano, Neftali</v>
      </c>
    </row>
    <row r="10" spans="1:51" s="44" customFormat="1" ht="12" x14ac:dyDescent="0.2">
      <c r="A10" s="39" t="str">
        <f>IF(B10="","",INDEX(TeamList[],MATCH($B10,TeamList[[Employee Name]:[Employee Name]],0),MATCH("Manager",TeamList[#Headers],0)))</f>
        <v>Olson, Katherine</v>
      </c>
      <c r="B10" s="201" t="s">
        <v>233</v>
      </c>
      <c r="C10" s="257" t="str">
        <f>_xlfn.IFNA(VLOOKUP(Wed_W1[[#This Row],[Employee Name]],'Base Schedules'!A:B,2,FALSE),"")</f>
        <v>Lead</v>
      </c>
      <c r="D10" s="274">
        <f>_xlfn.IFNA(VLOOKUP(Wed_W1[[#This Row],[Employee Name]],'Base Schedules'!A:C,3,FALSE),"")</f>
        <v>500</v>
      </c>
      <c r="E10" s="274">
        <f>_xlfn.IFNA(VLOOKUP(Wed_W1[[#This Row],[Employee Name]],'Base Schedules'!A:D,4,FALSE),"")</f>
        <v>1330</v>
      </c>
      <c r="F10" s="142">
        <f>IF(Wed_W1[[#This Row],[Employee Name]]="","",IF(Wed_W1[[#This Row],[Dept]]="Supervisor",COUNTIFS($J10:$AX10,"*HL*",$J10:$AX10,"&lt;&gt;"&amp;"pHL"),COUNTIFS($J10:$AX10,"*HL*",$J10:$AX10,"&lt;&gt;"&amp;"*pHL*",$J10:$AX10,"&lt;&gt;"&amp;"pB1 HL",$J10:$AX10,"&lt;&gt;"&amp;"pB2 HL")-SUM(COUNTIFS($J10:$AX10,"*HL B1*",$J10:$AX10,"&lt;&gt;"&amp;"pHL B1")*0.5,COUNTIFS($J10:$AX10,"*HL B2*",$J10:$AX10,"&lt;&gt;"&amp;"pHL B2")*0.5,COUNTIFS($J10:$AX10,"*B1 HL*",$J10:$AX10,"&lt;&gt;"&amp;"pB1 HL")*0.5,COUNTIFS($J10:$AX10,"*B2 HL*",$J10:$AX10,"&lt;&gt;"&amp;"pB2 HL")*0.5)))</f>
        <v>9</v>
      </c>
      <c r="G10" s="142">
        <f t="shared" si="0"/>
        <v>0</v>
      </c>
      <c r="H10" s="142">
        <f t="shared" si="1"/>
        <v>6</v>
      </c>
      <c r="I10" s="142">
        <f>IF(Wed_W1[[#This Row],[Employee Name]]="","",IF(Wed_W1[[#This Row],[Dept]]="Supervisor",SUM(COUNTIFS($J10:$AX10,"RTA*",$J10:$AX10,"&lt;&gt;"&amp;"pRTA"),COUNTIFS($J10:$AX10,"*CRTA*",$J10:$AX10,"&lt;&gt;"&amp;"pCRTA")),COUNTIFS($J10:$AX10,"*RNNR*",$J10:$AX10,"&lt;&gt;"&amp;"*pRNNR*",$J10:$AX10,"&lt;&gt;"&amp;"pB1 RNNR",$J10:$AX10,"&lt;&gt;"&amp;"pB2 RNNR")-SUM(COUNTIFS($J10:$AX10,"*RNNR B1*",$J10:$AX10,"&lt;&gt;"&amp;"pRNNR B1")*0.5,COUNTIFS($J10:$AX10,"*RNNR B2*",$J10:$AX10,"&lt;&gt;"&amp;"pRNNR B2")*0.5,COUNTIFS($J10:$AX10,"*B1 RNNR*",$J10:$AX10,"&lt;&gt;"&amp;"pB1 RNNR")*0.5,COUNTIFS($J10:$AX10,"*B2 RNNR*",$J10:$AX10,"&lt;&gt;"&amp;"pB2 RNNR")*0.5)))</f>
        <v>0</v>
      </c>
      <c r="J10" s="184" t="str">
        <f>IFERROR(IF(VLOOKUP(Wed_W1[[#This Row],[Employee Name]],'Base Schedules'!$A$205:$AW$241,9,FALSE)="","",VLOOKUP(Wed_W1[[#This Row],[Employee Name]],'Base Schedules'!$A$205:$AW$241,9,FALSE)),"")</f>
        <v>HL</v>
      </c>
      <c r="K10" s="184" t="str">
        <f>IFERROR(IF(VLOOKUP(Wed_W1[[#This Row],[Employee Name]],'Base Schedules'!$A$205:$AW$241,10,FALSE)="","",VLOOKUP(Wed_W1[[#This Row],[Employee Name]],'Base Schedules'!$A$205:$AW$241,10,FALSE)),"")</f>
        <v>HL</v>
      </c>
      <c r="L10" s="184" t="str">
        <f>IFERROR(IF(VLOOKUP(Wed_W1[[#This Row],[Employee Name]],'Base Schedules'!$A$205:$AW$241,11,FALSE)="","",VLOOKUP(Wed_W1[[#This Row],[Employee Name]],'Base Schedules'!$A$205:$AW$241,11,FALSE)),"")</f>
        <v>HL</v>
      </c>
      <c r="M10" s="184" t="str">
        <f>IFERROR(IF(VLOOKUP(Wed_W1[[#This Row],[Employee Name]],'Base Schedules'!$A$205:$AW$241,12,FALSE)="","",VLOOKUP(Wed_W1[[#This Row],[Employee Name]],'Base Schedules'!$A$205:$AW$241,12,FALSE)),"")</f>
        <v>HL</v>
      </c>
      <c r="N10" s="184" t="str">
        <f>IFERROR(IF(VLOOKUP(Wed_W1[[#This Row],[Employee Name]],'Base Schedules'!$A$205:$AW$241,13,FALSE)="","",VLOOKUP(Wed_W1[[#This Row],[Employee Name]],'Base Schedules'!$A$205:$AW$241,13,FALSE)),"")</f>
        <v>B1 HL</v>
      </c>
      <c r="O10" s="184" t="str">
        <f>IFERROR(IF(VLOOKUP(Wed_W1[[#This Row],[Employee Name]],'Base Schedules'!$A$205:$AW$241,14,FALSE)="","",VLOOKUP(Wed_W1[[#This Row],[Employee Name]],'Base Schedules'!$A$205:$AW$241,14,FALSE)),"")</f>
        <v>ADM</v>
      </c>
      <c r="P10" s="184" t="str">
        <f>IFERROR(IF(VLOOKUP(Wed_W1[[#This Row],[Employee Name]],'Base Schedules'!$A$205:$AW$241,15,FALSE)="","",VLOOKUP(Wed_W1[[#This Row],[Employee Name]],'Base Schedules'!$A$205:$AW$241,15,FALSE)),"")</f>
        <v>ADM</v>
      </c>
      <c r="Q10" s="184" t="str">
        <f>IFERROR(IF(VLOOKUP(Wed_W1[[#This Row],[Employee Name]],'Base Schedules'!$A$205:$AW$241,16,FALSE)="","",VLOOKUP(Wed_W1[[#This Row],[Employee Name]],'Base Schedules'!$A$205:$AW$241,16,FALSE)),"")</f>
        <v>ADM</v>
      </c>
      <c r="R10" s="184" t="str">
        <f>IFERROR(IF(VLOOKUP(Wed_W1[[#This Row],[Employee Name]],'Base Schedules'!$A$205:$AW$241,17,FALSE)="","",VLOOKUP(Wed_W1[[#This Row],[Employee Name]],'Base Schedules'!$A$205:$AW$241,17,FALSE)),"")</f>
        <v>ADM</v>
      </c>
      <c r="S10" s="184" t="str">
        <f>IFERROR(IF(VLOOKUP(Wed_W1[[#This Row],[Employee Name]],'Base Schedules'!$A$205:$AW$241,18,FALSE)="","",VLOOKUP(Wed_W1[[#This Row],[Employee Name]],'Base Schedules'!$A$205:$AW$241,18,FALSE)),"")</f>
        <v>LUNCH</v>
      </c>
      <c r="T10" s="184" t="str">
        <f>IFERROR(IF(VLOOKUP(Wed_W1[[#This Row],[Employee Name]],'Base Schedules'!$A$205:$AW$241,19,FALSE)="","",VLOOKUP(Wed_W1[[#This Row],[Employee Name]],'Base Schedules'!$A$205:$AW$241,19,FALSE)),"")</f>
        <v>ADM</v>
      </c>
      <c r="U10" s="184" t="str">
        <f>IFERROR(IF(VLOOKUP(Wed_W1[[#This Row],[Employee Name]],'Base Schedules'!$A$205:$AW$241,20,FALSE)="","",VLOOKUP(Wed_W1[[#This Row],[Employee Name]],'Base Schedules'!$A$205:$AW$241,20,FALSE)),"")</f>
        <v>ADM</v>
      </c>
      <c r="V10" s="184" t="str">
        <f>IFERROR(IF(VLOOKUP(Wed_W1[[#This Row],[Employee Name]],'Base Schedules'!$A$205:$AW$241,21,FALSE)="","",VLOOKUP(Wed_W1[[#This Row],[Employee Name]],'Base Schedules'!$A$205:$AW$241,21,FALSE)),"")</f>
        <v>HL</v>
      </c>
      <c r="W10" s="184" t="str">
        <f>IFERROR(IF(VLOOKUP(Wed_W1[[#This Row],[Employee Name]],'Base Schedules'!$A$205:$AW$241,22,FALSE)="","",VLOOKUP(Wed_W1[[#This Row],[Employee Name]],'Base Schedules'!$A$205:$AW$241,22,FALSE)),"")</f>
        <v>B2 HL</v>
      </c>
      <c r="X10" s="184" t="str">
        <f>IFERROR(IF(VLOOKUP(Wed_W1[[#This Row],[Employee Name]],'Base Schedules'!$A$205:$AW$241,23,FALSE)="","",VLOOKUP(Wed_W1[[#This Row],[Employee Name]],'Base Schedules'!$A$205:$AW$241,23,FALSE)),"")</f>
        <v>HL</v>
      </c>
      <c r="Y10" s="184" t="str">
        <f>IFERROR(IF(VLOOKUP(Wed_W1[[#This Row],[Employee Name]],'Base Schedules'!$A$205:$AW$241,24,FALSE)="","",VLOOKUP(Wed_W1[[#This Row],[Employee Name]],'Base Schedules'!$A$205:$AW$241,24,FALSE)),"")</f>
        <v>HL</v>
      </c>
      <c r="Z10" s="184" t="str">
        <f>IFERROR(IF(VLOOKUP(Wed_W1[[#This Row],[Employee Name]],'Base Schedules'!$A$205:$AW$241,25,FALSE)="","",VLOOKUP(Wed_W1[[#This Row],[Employee Name]],'Base Schedules'!$A$205:$AW$241,25,FALSE)),"")</f>
        <v>HL</v>
      </c>
      <c r="AA10" s="184" t="str">
        <f>IFERROR(IF(VLOOKUP(Wed_W1[[#This Row],[Employee Name]],'Base Schedules'!$A$205:$AW$241,26,FALSE)="","",VLOOKUP(Wed_W1[[#This Row],[Employee Name]],'Base Schedules'!$A$205:$AW$241,26,FALSE)),"")</f>
        <v/>
      </c>
      <c r="AB10" s="184" t="str">
        <f>IFERROR(IF(VLOOKUP(Wed_W1[[#This Row],[Employee Name]],'Base Schedules'!$A$205:$AW$241,27,FALSE)="","",VLOOKUP(Wed_W1[[#This Row],[Employee Name]],'Base Schedules'!$A$205:$AW$241,27,FALSE)),"")</f>
        <v/>
      </c>
      <c r="AC10" s="184" t="str">
        <f>IFERROR(IF(VLOOKUP(Wed_W1[[#This Row],[Employee Name]],'Base Schedules'!$A$205:$AW$241,28,FALSE)="","",VLOOKUP(Wed_W1[[#This Row],[Employee Name]],'Base Schedules'!$A$205:$AW$241,28,FALSE)),"")</f>
        <v/>
      </c>
      <c r="AD10" s="184" t="str">
        <f>IFERROR(IF(VLOOKUP(Wed_W1[[#This Row],[Employee Name]],'Base Schedules'!$A$205:$AW$241,29,FALSE)="","",VLOOKUP(Wed_W1[[#This Row],[Employee Name]],'Base Schedules'!$A$205:$AW$241,29,FALSE)),"")</f>
        <v/>
      </c>
      <c r="AE10" s="184" t="str">
        <f>IFERROR(IF(VLOOKUP(Wed_W1[[#This Row],[Employee Name]],'Base Schedules'!$A$205:$AW$241,30,FALSE)="","",VLOOKUP(Wed_W1[[#This Row],[Employee Name]],'Base Schedules'!$A$205:$AW$241,30,FALSE)),"")</f>
        <v/>
      </c>
      <c r="AF10" s="184" t="str">
        <f>IFERROR(IF(VLOOKUP(Wed_W1[[#This Row],[Employee Name]],'Base Schedules'!$A$205:$AW$241,31,FALSE)="","",VLOOKUP(Wed_W1[[#This Row],[Employee Name]],'Base Schedules'!$A$205:$AW$241,31,FALSE)),"")</f>
        <v/>
      </c>
      <c r="AG10" s="184" t="str">
        <f>IFERROR(IF(VLOOKUP(Wed_W1[[#This Row],[Employee Name]],'Base Schedules'!$A$205:$AW$241,32,FALSE)="","",VLOOKUP(Wed_W1[[#This Row],[Employee Name]],'Base Schedules'!$A$205:$AW$241,32,FALSE)),"")</f>
        <v/>
      </c>
      <c r="AH10" s="184" t="str">
        <f>IFERROR(IF(VLOOKUP(Wed_W1[[#This Row],[Employee Name]],'Base Schedules'!$A$205:$AW$241,33,FALSE)="","",VLOOKUP(Wed_W1[[#This Row],[Employee Name]],'Base Schedules'!$A$205:$AW$241,33,FALSE)),"")</f>
        <v/>
      </c>
      <c r="AI10" s="184" t="str">
        <f>IFERROR(IF(VLOOKUP(Wed_W1[[#This Row],[Employee Name]],'Base Schedules'!$A$205:$AW$241,34,FALSE)="","",VLOOKUP(Wed_W1[[#This Row],[Employee Name]],'Base Schedules'!$A$205:$AW$241,34,FALSE)),"")</f>
        <v/>
      </c>
      <c r="AJ10" s="184" t="str">
        <f>IFERROR(IF(VLOOKUP(Wed_W1[[#This Row],[Employee Name]],'Base Schedules'!$A$205:$AW$241,35,FALSE)="","",VLOOKUP(Wed_W1[[#This Row],[Employee Name]],'Base Schedules'!$A$205:$AW$241,35,FALSE)),"")</f>
        <v/>
      </c>
      <c r="AK10" s="184" t="str">
        <f>IFERROR(IF(VLOOKUP(Wed_W1[[#This Row],[Employee Name]],'Base Schedules'!$A$205:$AW$241,36,FALSE)="","",VLOOKUP(Wed_W1[[#This Row],[Employee Name]],'Base Schedules'!$A$205:$AW$241,36,FALSE)),"")</f>
        <v/>
      </c>
      <c r="AL10" s="184" t="str">
        <f>IFERROR(IF(VLOOKUP(Wed_W1[[#This Row],[Employee Name]],'Base Schedules'!$A$205:$AW$241,37,FALSE)="","",VLOOKUP(Wed_W1[[#This Row],[Employee Name]],'Base Schedules'!$A$205:$AW$241,37,FALSE)),"")</f>
        <v/>
      </c>
      <c r="AM10" s="184" t="str">
        <f>IFERROR(IF(VLOOKUP(Wed_W1[[#This Row],[Employee Name]],'Base Schedules'!$A$205:$AW$241,38,FALSE)="","",VLOOKUP(Wed_W1[[#This Row],[Employee Name]],'Base Schedules'!$A$205:$AW$241,38,FALSE)),"")</f>
        <v/>
      </c>
      <c r="AN10" s="184" t="str">
        <f>IFERROR(IF(VLOOKUP(Wed_W1[[#This Row],[Employee Name]],'Base Schedules'!$A$205:$AW$241,39,FALSE)="","",VLOOKUP(Wed_W1[[#This Row],[Employee Name]],'Base Schedules'!$A$205:$AW$241,39,FALSE)),"")</f>
        <v/>
      </c>
      <c r="AO10" s="184" t="str">
        <f>IFERROR(IF(VLOOKUP(Wed_W1[[#This Row],[Employee Name]],'Base Schedules'!$A$205:$AW$241,40,FALSE)="","",VLOOKUP(Wed_W1[[#This Row],[Employee Name]],'Base Schedules'!$A$205:$AW$241,40,FALSE)),"")</f>
        <v/>
      </c>
      <c r="AP10" s="184" t="str">
        <f>IFERROR(IF(VLOOKUP(Wed_W1[[#This Row],[Employee Name]],'Base Schedules'!$A$205:$AW$241,41,FALSE)="","",VLOOKUP(Wed_W1[[#This Row],[Employee Name]],'Base Schedules'!$A$205:$AW$241,41,FALSE)),"")</f>
        <v/>
      </c>
      <c r="AQ10" s="184" t="str">
        <f>IFERROR(IF(VLOOKUP(Wed_W1[[#This Row],[Employee Name]],'Base Schedules'!$A$205:$AW$241,42,FALSE)="","",VLOOKUP(Wed_W1[[#This Row],[Employee Name]],'Base Schedules'!$A$205:$AW$241,42,FALSE)),"")</f>
        <v/>
      </c>
      <c r="AR10" s="184" t="str">
        <f>IFERROR(IF(VLOOKUP(Wed_W1[[#This Row],[Employee Name]],'Base Schedules'!$A$205:$AW$241,43,FALSE)="","",VLOOKUP(Wed_W1[[#This Row],[Employee Name]],'Base Schedules'!$A$205:$AW$241,43,FALSE)),"")</f>
        <v/>
      </c>
      <c r="AS10" s="184" t="str">
        <f>IFERROR(IF(VLOOKUP(Wed_W1[[#This Row],[Employee Name]],'Base Schedules'!$A$205:$AW$241,44,FALSE)="","",VLOOKUP(Wed_W1[[#This Row],[Employee Name]],'Base Schedules'!$A$205:$AW$241,44,FALSE)),"")</f>
        <v/>
      </c>
      <c r="AT10" s="184" t="str">
        <f>IFERROR(IF(VLOOKUP(Wed_W1[[#This Row],[Employee Name]],'Base Schedules'!$A$205:$AW$241,45,FALSE)="","",VLOOKUP(Wed_W1[[#This Row],[Employee Name]],'Base Schedules'!$A$205:$AW$241,45,FALSE)),"")</f>
        <v/>
      </c>
      <c r="AU10" s="184" t="str">
        <f>IFERROR(IF(VLOOKUP(Wed_W1[[#This Row],[Employee Name]],'Base Schedules'!$A$205:$AW$241,46,FALSE)="","",VLOOKUP(Wed_W1[[#This Row],[Employee Name]],'Base Schedules'!$A$205:$AW$241,46,FALSE)),"")</f>
        <v/>
      </c>
      <c r="AV10" s="184" t="str">
        <f>IFERROR(IF(VLOOKUP(Wed_W1[[#This Row],[Employee Name]],'Base Schedules'!$A$205:$AW$241,47,FALSE)="","",VLOOKUP(Wed_W1[[#This Row],[Employee Name]],'Base Schedules'!$A$205:$AW$241,47,FALSE)),"")</f>
        <v/>
      </c>
      <c r="AW10" s="184" t="str">
        <f>IFERROR(IF(VLOOKUP(Wed_W1[[#This Row],[Employee Name]],'Base Schedules'!$A$205:$AW$241,48,FALSE)="","",VLOOKUP(Wed_W1[[#This Row],[Employee Name]],'Base Schedules'!$A$205:$AW$241,48,FALSE)),"")</f>
        <v/>
      </c>
      <c r="AX10" s="184" t="str">
        <f>IFERROR(IF(VLOOKUP(Wed_W1[[#This Row],[Employee Name]],'Base Schedules'!$A$205:$AW$241,49,FALSE)="","",VLOOKUP(Wed_W1[[#This Row],[Employee Name]],'Base Schedules'!$A$205:$AW$241,49,FALSE)),"")</f>
        <v/>
      </c>
      <c r="AY10" s="164" t="str">
        <f t="shared" si="2"/>
        <v>Shiraki, Suzy</v>
      </c>
    </row>
    <row r="11" spans="1:51" s="44" customFormat="1" ht="12" x14ac:dyDescent="0.2">
      <c r="A11" s="39" t="str">
        <f>IF(B11="","",INDEX(TeamList[],MATCH($B11,TeamList[[Employee Name]:[Employee Name]],0),MATCH("Manager",TeamList[#Headers],0)))</f>
        <v>Ahmed Hassan, Zahra</v>
      </c>
      <c r="B11" s="201" t="s">
        <v>25</v>
      </c>
      <c r="C11" s="257" t="str">
        <f>_xlfn.IFNA(VLOOKUP(Wed_W1[[#This Row],[Employee Name]],'Base Schedules'!A:B,2,FALSE),"")</f>
        <v>Supervisor</v>
      </c>
      <c r="D11" s="274">
        <f>_xlfn.IFNA(VLOOKUP(Wed_W1[[#This Row],[Employee Name]],'Base Schedules'!A:C,3,FALSE),"")</f>
        <v>500</v>
      </c>
      <c r="E11" s="274">
        <f>_xlfn.IFNA(VLOOKUP(Wed_W1[[#This Row],[Employee Name]],'Base Schedules'!A:D,4,FALSE),"")</f>
        <v>1400</v>
      </c>
      <c r="F11" s="142">
        <f>IF(Wed_W1[[#This Row],[Employee Name]]="","",IF(Wed_W1[[#This Row],[Dept]]="Supervisor",COUNTIFS($J11:$AX11,"*HL*",$J11:$AX11,"&lt;&gt;"&amp;"pHL"),COUNTIFS($J11:$AX11,"*HL*",$J11:$AX11,"&lt;&gt;"&amp;"*pHL*",$J11:$AX11,"&lt;&gt;"&amp;"pB1 HL",$J11:$AX11,"&lt;&gt;"&amp;"pB2 HL")-SUM(COUNTIFS($J11:$AX11,"*HL B1*",$J11:$AX11,"&lt;&gt;"&amp;"pHL B1")*0.5,COUNTIFS($J11:$AX11,"*HL B2*",$J11:$AX11,"&lt;&gt;"&amp;"pHL B2")*0.5,COUNTIFS($J11:$AX11,"*B1 HL*",$J11:$AX11,"&lt;&gt;"&amp;"pB1 HL")*0.5,COUNTIFS($J11:$AX11,"*B2 HL*",$J11:$AX11,"&lt;&gt;"&amp;"pB2 HL")*0.5)))</f>
        <v>0</v>
      </c>
      <c r="G11" s="142">
        <f t="shared" si="0"/>
        <v>4</v>
      </c>
      <c r="H11" s="142">
        <f t="shared" si="1"/>
        <v>0</v>
      </c>
      <c r="I11" s="142">
        <f>IF(Wed_W1[[#This Row],[Employee Name]]="","",IF(Wed_W1[[#This Row],[Dept]]="Supervisor",SUM(COUNTIFS($J11:$AX11,"RTA*",$J11:$AX11,"&lt;&gt;"&amp;"pRTA"),COUNTIFS($J11:$AX11,"*CRTA*",$J11:$AX11,"&lt;&gt;"&amp;"pCRTA")),COUNTIFS($J11:$AX11,"*RNNR*",$J11:$AX11,"&lt;&gt;"&amp;"*pRNNR*",$J11:$AX11,"&lt;&gt;"&amp;"pB1 RNNR",$J11:$AX11,"&lt;&gt;"&amp;"pB2 RNNR")-SUM(COUNTIFS($J11:$AX11,"*RNNR B1*",$J11:$AX11,"&lt;&gt;"&amp;"pRNNR B1")*0.5,COUNTIFS($J11:$AX11,"*RNNR B2*",$J11:$AX11,"&lt;&gt;"&amp;"pRNNR B2")*0.5,COUNTIFS($J11:$AX11,"*B1 RNNR*",$J11:$AX11,"&lt;&gt;"&amp;"pB1 RNNR")*0.5,COUNTIFS($J11:$AX11,"*B2 RNNR*",$J11:$AX11,"&lt;&gt;"&amp;"pB2 RNNR")*0.5)))</f>
        <v>0</v>
      </c>
      <c r="J11" s="184" t="str">
        <f>IFERROR(IF(VLOOKUP(Wed_W1[[#This Row],[Employee Name]],'Base Schedules'!$A$205:$AW$241,9,FALSE)="","",VLOOKUP(Wed_W1[[#This Row],[Employee Name]],'Base Schedules'!$A$205:$AW$241,9,FALSE)),"")</f>
        <v>-</v>
      </c>
      <c r="K11" s="184" t="str">
        <f>IFERROR(IF(VLOOKUP(Wed_W1[[#This Row],[Employee Name]],'Base Schedules'!$A$205:$AW$241,10,FALSE)="","",VLOOKUP(Wed_W1[[#This Row],[Employee Name]],'Base Schedules'!$A$205:$AW$241,10,FALSE)),"")</f>
        <v>-</v>
      </c>
      <c r="L11" s="184" t="str">
        <f>IFERROR(IF(VLOOKUP(Wed_W1[[#This Row],[Employee Name]],'Base Schedules'!$A$205:$AW$241,11,FALSE)="","",VLOOKUP(Wed_W1[[#This Row],[Employee Name]],'Base Schedules'!$A$205:$AW$241,11,FALSE)),"")</f>
        <v>-</v>
      </c>
      <c r="M11" s="184" t="str">
        <f>IFERROR(IF(VLOOKUP(Wed_W1[[#This Row],[Employee Name]],'Base Schedules'!$A$205:$AW$241,12,FALSE)="","",VLOOKUP(Wed_W1[[#This Row],[Employee Name]],'Base Schedules'!$A$205:$AW$241,12,FALSE)),"")</f>
        <v>-</v>
      </c>
      <c r="N11" s="184" t="str">
        <f>IFERROR(IF(VLOOKUP(Wed_W1[[#This Row],[Employee Name]],'Base Schedules'!$A$205:$AW$241,13,FALSE)="","",VLOOKUP(Wed_W1[[#This Row],[Employee Name]],'Base Schedules'!$A$205:$AW$241,13,FALSE)),"")</f>
        <v>-</v>
      </c>
      <c r="O11" s="184" t="str">
        <f>IFERROR(IF(VLOOKUP(Wed_W1[[#This Row],[Employee Name]],'Base Schedules'!$A$205:$AW$241,14,FALSE)="","",VLOOKUP(Wed_W1[[#This Row],[Employee Name]],'Base Schedules'!$A$205:$AW$241,14,FALSE)),"")</f>
        <v>-</v>
      </c>
      <c r="P11" s="184" t="str">
        <f>IFERROR(IF(VLOOKUP(Wed_W1[[#This Row],[Employee Name]],'Base Schedules'!$A$205:$AW$241,15,FALSE)="","",VLOOKUP(Wed_W1[[#This Row],[Employee Name]],'Base Schedules'!$A$205:$AW$241,15,FALSE)),"")</f>
        <v>Interview</v>
      </c>
      <c r="Q11" s="184" t="str">
        <f>IFERROR(IF(VLOOKUP(Wed_W1[[#This Row],[Employee Name]],'Base Schedules'!$A$205:$AW$241,16,FALSE)="","",VLOOKUP(Wed_W1[[#This Row],[Employee Name]],'Base Schedules'!$A$205:$AW$241,16,FALSE)),"")</f>
        <v>Interview</v>
      </c>
      <c r="R11" s="184" t="str">
        <f>IFERROR(IF(VLOOKUP(Wed_W1[[#This Row],[Employee Name]],'Base Schedules'!$A$205:$AW$241,17,FALSE)="","",VLOOKUP(Wed_W1[[#This Row],[Employee Name]],'Base Schedules'!$A$205:$AW$241,17,FALSE)),"")</f>
        <v>Coaching</v>
      </c>
      <c r="S11" s="184" t="str">
        <f>IFERROR(IF(VLOOKUP(Wed_W1[[#This Row],[Employee Name]],'Base Schedules'!$A$205:$AW$241,18,FALSE)="","",VLOOKUP(Wed_W1[[#This Row],[Employee Name]],'Base Schedules'!$A$205:$AW$241,18,FALSE)),"")</f>
        <v>Coaching</v>
      </c>
      <c r="T11" s="184" t="str">
        <f>IFERROR(IF(VLOOKUP(Wed_W1[[#This Row],[Employee Name]],'Base Schedules'!$A$205:$AW$241,19,FALSE)="","",VLOOKUP(Wed_W1[[#This Row],[Employee Name]],'Base Schedules'!$A$205:$AW$241,19,FALSE)),"")</f>
        <v>Coaching</v>
      </c>
      <c r="U11" s="184" t="str">
        <f>IFERROR(IF(VLOOKUP(Wed_W1[[#This Row],[Employee Name]],'Base Schedules'!$A$205:$AW$241,20,FALSE)="","",VLOOKUP(Wed_W1[[#This Row],[Employee Name]],'Base Schedules'!$A$205:$AW$241,20,FALSE)),"")</f>
        <v>Coaching</v>
      </c>
      <c r="V11" s="184" t="str">
        <f>IFERROR(IF(VLOOKUP(Wed_W1[[#This Row],[Employee Name]],'Base Schedules'!$A$205:$AW$241,21,FALSE)="","",VLOOKUP(Wed_W1[[#This Row],[Employee Name]],'Base Schedules'!$A$205:$AW$241,21,FALSE)),"")</f>
        <v>-</v>
      </c>
      <c r="W11" s="184" t="str">
        <f>IFERROR(IF(VLOOKUP(Wed_W1[[#This Row],[Employee Name]],'Base Schedules'!$A$205:$AW$241,22,FALSE)="","",VLOOKUP(Wed_W1[[#This Row],[Employee Name]],'Base Schedules'!$A$205:$AW$241,22,FALSE)),"")</f>
        <v>-</v>
      </c>
      <c r="X11" s="184" t="str">
        <f>IFERROR(IF(VLOOKUP(Wed_W1[[#This Row],[Employee Name]],'Base Schedules'!$A$205:$AW$241,23,FALSE)="","",VLOOKUP(Wed_W1[[#This Row],[Employee Name]],'Base Schedules'!$A$205:$AW$241,23,FALSE)),"")</f>
        <v>-</v>
      </c>
      <c r="Y11" s="184" t="str">
        <f>IFERROR(IF(VLOOKUP(Wed_W1[[#This Row],[Employee Name]],'Base Schedules'!$A$205:$AW$241,24,FALSE)="","",VLOOKUP(Wed_W1[[#This Row],[Employee Name]],'Base Schedules'!$A$205:$AW$241,24,FALSE)),"")</f>
        <v>-</v>
      </c>
      <c r="Z11" s="184" t="str">
        <f>IFERROR(IF(VLOOKUP(Wed_W1[[#This Row],[Employee Name]],'Base Schedules'!$A$205:$AW$241,25,FALSE)="","",VLOOKUP(Wed_W1[[#This Row],[Employee Name]],'Base Schedules'!$A$205:$AW$241,25,FALSE)),"")</f>
        <v>-</v>
      </c>
      <c r="AA11" s="184" t="str">
        <f>IFERROR(IF(VLOOKUP(Wed_W1[[#This Row],[Employee Name]],'Base Schedules'!$A$205:$AW$241,26,FALSE)="","",VLOOKUP(Wed_W1[[#This Row],[Employee Name]],'Base Schedules'!$A$205:$AW$241,26,FALSE)),"")</f>
        <v>-</v>
      </c>
      <c r="AB11" s="184" t="str">
        <f>IFERROR(IF(VLOOKUP(Wed_W1[[#This Row],[Employee Name]],'Base Schedules'!$A$205:$AW$241,27,FALSE)="","",VLOOKUP(Wed_W1[[#This Row],[Employee Name]],'Base Schedules'!$A$205:$AW$241,27,FALSE)),"")</f>
        <v/>
      </c>
      <c r="AC11" s="184" t="str">
        <f>IFERROR(IF(VLOOKUP(Wed_W1[[#This Row],[Employee Name]],'Base Schedules'!$A$205:$AW$241,28,FALSE)="","",VLOOKUP(Wed_W1[[#This Row],[Employee Name]],'Base Schedules'!$A$205:$AW$241,28,FALSE)),"")</f>
        <v/>
      </c>
      <c r="AD11" s="184" t="str">
        <f>IFERROR(IF(VLOOKUP(Wed_W1[[#This Row],[Employee Name]],'Base Schedules'!$A$205:$AW$241,29,FALSE)="","",VLOOKUP(Wed_W1[[#This Row],[Employee Name]],'Base Schedules'!$A$205:$AW$241,29,FALSE)),"")</f>
        <v/>
      </c>
      <c r="AE11" s="184" t="str">
        <f>IFERROR(IF(VLOOKUP(Wed_W1[[#This Row],[Employee Name]],'Base Schedules'!$A$205:$AW$241,30,FALSE)="","",VLOOKUP(Wed_W1[[#This Row],[Employee Name]],'Base Schedules'!$A$205:$AW$241,30,FALSE)),"")</f>
        <v/>
      </c>
      <c r="AF11" s="184" t="str">
        <f>IFERROR(IF(VLOOKUP(Wed_W1[[#This Row],[Employee Name]],'Base Schedules'!$A$205:$AW$241,31,FALSE)="","",VLOOKUP(Wed_W1[[#This Row],[Employee Name]],'Base Schedules'!$A$205:$AW$241,31,FALSE)),"")</f>
        <v/>
      </c>
      <c r="AG11" s="184" t="str">
        <f>IFERROR(IF(VLOOKUP(Wed_W1[[#This Row],[Employee Name]],'Base Schedules'!$A$205:$AW$241,32,FALSE)="","",VLOOKUP(Wed_W1[[#This Row],[Employee Name]],'Base Schedules'!$A$205:$AW$241,32,FALSE)),"")</f>
        <v/>
      </c>
      <c r="AH11" s="184" t="str">
        <f>IFERROR(IF(VLOOKUP(Wed_W1[[#This Row],[Employee Name]],'Base Schedules'!$A$205:$AW$241,33,FALSE)="","",VLOOKUP(Wed_W1[[#This Row],[Employee Name]],'Base Schedules'!$A$205:$AW$241,33,FALSE)),"")</f>
        <v/>
      </c>
      <c r="AI11" s="184" t="str">
        <f>IFERROR(IF(VLOOKUP(Wed_W1[[#This Row],[Employee Name]],'Base Schedules'!$A$205:$AW$241,34,FALSE)="","",VLOOKUP(Wed_W1[[#This Row],[Employee Name]],'Base Schedules'!$A$205:$AW$241,34,FALSE)),"")</f>
        <v/>
      </c>
      <c r="AJ11" s="184" t="str">
        <f>IFERROR(IF(VLOOKUP(Wed_W1[[#This Row],[Employee Name]],'Base Schedules'!$A$205:$AW$241,35,FALSE)="","",VLOOKUP(Wed_W1[[#This Row],[Employee Name]],'Base Schedules'!$A$205:$AW$241,35,FALSE)),"")</f>
        <v/>
      </c>
      <c r="AK11" s="184" t="str">
        <f>IFERROR(IF(VLOOKUP(Wed_W1[[#This Row],[Employee Name]],'Base Schedules'!$A$205:$AW$241,36,FALSE)="","",VLOOKUP(Wed_W1[[#This Row],[Employee Name]],'Base Schedules'!$A$205:$AW$241,36,FALSE)),"")</f>
        <v/>
      </c>
      <c r="AL11" s="184" t="str">
        <f>IFERROR(IF(VLOOKUP(Wed_W1[[#This Row],[Employee Name]],'Base Schedules'!$A$205:$AW$241,37,FALSE)="","",VLOOKUP(Wed_W1[[#This Row],[Employee Name]],'Base Schedules'!$A$205:$AW$241,37,FALSE)),"")</f>
        <v/>
      </c>
      <c r="AM11" s="184" t="str">
        <f>IFERROR(IF(VLOOKUP(Wed_W1[[#This Row],[Employee Name]],'Base Schedules'!$A$205:$AW$241,38,FALSE)="","",VLOOKUP(Wed_W1[[#This Row],[Employee Name]],'Base Schedules'!$A$205:$AW$241,38,FALSE)),"")</f>
        <v/>
      </c>
      <c r="AN11" s="184" t="str">
        <f>IFERROR(IF(VLOOKUP(Wed_W1[[#This Row],[Employee Name]],'Base Schedules'!$A$205:$AW$241,39,FALSE)="","",VLOOKUP(Wed_W1[[#This Row],[Employee Name]],'Base Schedules'!$A$205:$AW$241,39,FALSE)),"")</f>
        <v/>
      </c>
      <c r="AO11" s="184" t="str">
        <f>IFERROR(IF(VLOOKUP(Wed_W1[[#This Row],[Employee Name]],'Base Schedules'!$A$205:$AW$241,40,FALSE)="","",VLOOKUP(Wed_W1[[#This Row],[Employee Name]],'Base Schedules'!$A$205:$AW$241,40,FALSE)),"")</f>
        <v/>
      </c>
      <c r="AP11" s="184" t="str">
        <f>IFERROR(IF(VLOOKUP(Wed_W1[[#This Row],[Employee Name]],'Base Schedules'!$A$205:$AW$241,41,FALSE)="","",VLOOKUP(Wed_W1[[#This Row],[Employee Name]],'Base Schedules'!$A$205:$AW$241,41,FALSE)),"")</f>
        <v/>
      </c>
      <c r="AQ11" s="184" t="str">
        <f>IFERROR(IF(VLOOKUP(Wed_W1[[#This Row],[Employee Name]],'Base Schedules'!$A$205:$AW$241,42,FALSE)="","",VLOOKUP(Wed_W1[[#This Row],[Employee Name]],'Base Schedules'!$A$205:$AW$241,42,FALSE)),"")</f>
        <v/>
      </c>
      <c r="AR11" s="184" t="str">
        <f>IFERROR(IF(VLOOKUP(Wed_W1[[#This Row],[Employee Name]],'Base Schedules'!$A$205:$AW$241,43,FALSE)="","",VLOOKUP(Wed_W1[[#This Row],[Employee Name]],'Base Schedules'!$A$205:$AW$241,43,FALSE)),"")</f>
        <v/>
      </c>
      <c r="AS11" s="184" t="str">
        <f>IFERROR(IF(VLOOKUP(Wed_W1[[#This Row],[Employee Name]],'Base Schedules'!$A$205:$AW$241,44,FALSE)="","",VLOOKUP(Wed_W1[[#This Row],[Employee Name]],'Base Schedules'!$A$205:$AW$241,44,FALSE)),"")</f>
        <v/>
      </c>
      <c r="AT11" s="184" t="str">
        <f>IFERROR(IF(VLOOKUP(Wed_W1[[#This Row],[Employee Name]],'Base Schedules'!$A$205:$AW$241,45,FALSE)="","",VLOOKUP(Wed_W1[[#This Row],[Employee Name]],'Base Schedules'!$A$205:$AW$241,45,FALSE)),"")</f>
        <v/>
      </c>
      <c r="AU11" s="184" t="str">
        <f>IFERROR(IF(VLOOKUP(Wed_W1[[#This Row],[Employee Name]],'Base Schedules'!$A$205:$AW$241,46,FALSE)="","",VLOOKUP(Wed_W1[[#This Row],[Employee Name]],'Base Schedules'!$A$205:$AW$241,46,FALSE)),"")</f>
        <v/>
      </c>
      <c r="AV11" s="184" t="str">
        <f>IFERROR(IF(VLOOKUP(Wed_W1[[#This Row],[Employee Name]],'Base Schedules'!$A$205:$AW$241,47,FALSE)="","",VLOOKUP(Wed_W1[[#This Row],[Employee Name]],'Base Schedules'!$A$205:$AW$241,47,FALSE)),"")</f>
        <v/>
      </c>
      <c r="AW11" s="184" t="str">
        <f>IFERROR(IF(VLOOKUP(Wed_W1[[#This Row],[Employee Name]],'Base Schedules'!$A$205:$AW$241,48,FALSE)="","",VLOOKUP(Wed_W1[[#This Row],[Employee Name]],'Base Schedules'!$A$205:$AW$241,48,FALSE)),"")</f>
        <v/>
      </c>
      <c r="AX11" s="184" t="str">
        <f>IFERROR(IF(VLOOKUP(Wed_W1[[#This Row],[Employee Name]],'Base Schedules'!$A$205:$AW$241,49,FALSE)="","",VLOOKUP(Wed_W1[[#This Row],[Employee Name]],'Base Schedules'!$A$205:$AW$241,49,FALSE)),"")</f>
        <v/>
      </c>
      <c r="AY11" s="165" t="str">
        <f t="shared" si="2"/>
        <v>Oates, Eleanor</v>
      </c>
    </row>
    <row r="12" spans="1:51" s="44" customFormat="1" ht="12" x14ac:dyDescent="0.2">
      <c r="A12" s="39" t="str">
        <f>IF(B12="","",INDEX(TeamList[],MATCH($B12,TeamList[[Employee Name]:[Employee Name]],0),MATCH("Manager",TeamList[#Headers],0)))</f>
        <v>Paulson, Matthew</v>
      </c>
      <c r="B12" s="201" t="s">
        <v>46</v>
      </c>
      <c r="C12" s="257" t="str">
        <f>_xlfn.IFNA(VLOOKUP(Wed_W1[[#This Row],[Employee Name]],'Base Schedules'!A:B,2,FALSE),"")</f>
        <v>Supervisor</v>
      </c>
      <c r="D12" s="274">
        <f>_xlfn.IFNA(VLOOKUP(Wed_W1[[#This Row],[Employee Name]],'Base Schedules'!A:C,3,FALSE),"")</f>
        <v>500</v>
      </c>
      <c r="E12" s="274">
        <f>_xlfn.IFNA(VLOOKUP(Wed_W1[[#This Row],[Employee Name]],'Base Schedules'!A:D,4,FALSE),"")</f>
        <v>1400</v>
      </c>
      <c r="F12" s="142">
        <f>IF(Wed_W1[[#This Row],[Employee Name]]="","",IF(Wed_W1[[#This Row],[Dept]]="Supervisor",COUNTIFS($J12:$AX12,"*HL*",$J12:$AX12,"&lt;&gt;"&amp;"pHL"),COUNTIFS($J12:$AX12,"*HL*",$J12:$AX12,"&lt;&gt;"&amp;"*pHL*",$J12:$AX12,"&lt;&gt;"&amp;"pB1 HL",$J12:$AX12,"&lt;&gt;"&amp;"pB2 HL")-SUM(COUNTIFS($J12:$AX12,"*HL B1*",$J12:$AX12,"&lt;&gt;"&amp;"pHL B1")*0.5,COUNTIFS($J12:$AX12,"*HL B2*",$J12:$AX12,"&lt;&gt;"&amp;"pHL B2")*0.5,COUNTIFS($J12:$AX12,"*B1 HL*",$J12:$AX12,"&lt;&gt;"&amp;"pB1 HL")*0.5,COUNTIFS($J12:$AX12,"*B2 HL*",$J12:$AX12,"&lt;&gt;"&amp;"pB2 HL")*0.5)))</f>
        <v>0</v>
      </c>
      <c r="G12" s="142">
        <f t="shared" si="0"/>
        <v>4</v>
      </c>
      <c r="H12" s="142">
        <f t="shared" si="1"/>
        <v>0</v>
      </c>
      <c r="I12" s="142">
        <f>IF(Wed_W1[[#This Row],[Employee Name]]="","",IF(Wed_W1[[#This Row],[Dept]]="Supervisor",SUM(COUNTIFS($J12:$AX12,"RTA*",$J12:$AX12,"&lt;&gt;"&amp;"pRTA"),COUNTIFS($J12:$AX12,"*CRTA*",$J12:$AX12,"&lt;&gt;"&amp;"pCRTA")),COUNTIFS($J12:$AX12,"*RNNR*",$J12:$AX12,"&lt;&gt;"&amp;"*pRNNR*",$J12:$AX12,"&lt;&gt;"&amp;"pB1 RNNR",$J12:$AX12,"&lt;&gt;"&amp;"pB2 RNNR")-SUM(COUNTIFS($J12:$AX12,"*RNNR B1*",$J12:$AX12,"&lt;&gt;"&amp;"pRNNR B1")*0.5,COUNTIFS($J12:$AX12,"*RNNR B2*",$J12:$AX12,"&lt;&gt;"&amp;"pRNNR B2")*0.5,COUNTIFS($J12:$AX12,"*B1 RNNR*",$J12:$AX12,"&lt;&gt;"&amp;"pB1 RNNR")*0.5,COUNTIFS($J12:$AX12,"*B2 RNNR*",$J12:$AX12,"&lt;&gt;"&amp;"pB2 RNNR")*0.5)))</f>
        <v>0</v>
      </c>
      <c r="J12" s="184" t="str">
        <f>IFERROR(IF(VLOOKUP(Wed_W1[[#This Row],[Employee Name]],'Base Schedules'!$A$205:$AW$241,9,FALSE)="","",VLOOKUP(Wed_W1[[#This Row],[Employee Name]],'Base Schedules'!$A$205:$AW$241,9,FALSE)),"")</f>
        <v>-</v>
      </c>
      <c r="K12" s="184" t="str">
        <f>IFERROR(IF(VLOOKUP(Wed_W1[[#This Row],[Employee Name]],'Base Schedules'!$A$205:$AW$241,10,FALSE)="","",VLOOKUP(Wed_W1[[#This Row],[Employee Name]],'Base Schedules'!$A$205:$AW$241,10,FALSE)),"")</f>
        <v>-</v>
      </c>
      <c r="L12" s="184" t="str">
        <f>IFERROR(IF(VLOOKUP(Wed_W1[[#This Row],[Employee Name]],'Base Schedules'!$A$205:$AW$241,11,FALSE)="","",VLOOKUP(Wed_W1[[#This Row],[Employee Name]],'Base Schedules'!$A$205:$AW$241,11,FALSE)),"")</f>
        <v>-</v>
      </c>
      <c r="M12" s="184" t="str">
        <f>IFERROR(IF(VLOOKUP(Wed_W1[[#This Row],[Employee Name]],'Base Schedules'!$A$205:$AW$241,12,FALSE)="","",VLOOKUP(Wed_W1[[#This Row],[Employee Name]],'Base Schedules'!$A$205:$AW$241,12,FALSE)),"")</f>
        <v>-</v>
      </c>
      <c r="N12" s="184" t="str">
        <f>IFERROR(IF(VLOOKUP(Wed_W1[[#This Row],[Employee Name]],'Base Schedules'!$A$205:$AW$241,13,FALSE)="","",VLOOKUP(Wed_W1[[#This Row],[Employee Name]],'Base Schedules'!$A$205:$AW$241,13,FALSE)),"")</f>
        <v>-</v>
      </c>
      <c r="O12" s="184" t="str">
        <f>IFERROR(IF(VLOOKUP(Wed_W1[[#This Row],[Employee Name]],'Base Schedules'!$A$205:$AW$241,14,FALSE)="","",VLOOKUP(Wed_W1[[#This Row],[Employee Name]],'Base Schedules'!$A$205:$AW$241,14,FALSE)),"")</f>
        <v>-</v>
      </c>
      <c r="P12" s="184" t="str">
        <f>IFERROR(IF(VLOOKUP(Wed_W1[[#This Row],[Employee Name]],'Base Schedules'!$A$205:$AW$241,15,FALSE)="","",VLOOKUP(Wed_W1[[#This Row],[Employee Name]],'Base Schedules'!$A$205:$AW$241,15,FALSE)),"")</f>
        <v>-</v>
      </c>
      <c r="Q12" s="184" t="str">
        <f>IFERROR(IF(VLOOKUP(Wed_W1[[#This Row],[Employee Name]],'Base Schedules'!$A$205:$AW$241,16,FALSE)="","",VLOOKUP(Wed_W1[[#This Row],[Employee Name]],'Base Schedules'!$A$205:$AW$241,16,FALSE)),"")</f>
        <v>-</v>
      </c>
      <c r="R12" s="184" t="str">
        <f>IFERROR(IF(VLOOKUP(Wed_W1[[#This Row],[Employee Name]],'Base Schedules'!$A$205:$AW$241,17,FALSE)="","",VLOOKUP(Wed_W1[[#This Row],[Employee Name]],'Base Schedules'!$A$205:$AW$241,17,FALSE)),"")</f>
        <v>-</v>
      </c>
      <c r="S12" s="184" t="str">
        <f>IFERROR(IF(VLOOKUP(Wed_W1[[#This Row],[Employee Name]],'Base Schedules'!$A$205:$AW$241,18,FALSE)="","",VLOOKUP(Wed_W1[[#This Row],[Employee Name]],'Base Schedules'!$A$205:$AW$241,18,FALSE)),"")</f>
        <v>-</v>
      </c>
      <c r="T12" s="184" t="str">
        <f>IFERROR(IF(VLOOKUP(Wed_W1[[#This Row],[Employee Name]],'Base Schedules'!$A$205:$AW$241,19,FALSE)="","",VLOOKUP(Wed_W1[[#This Row],[Employee Name]],'Base Schedules'!$A$205:$AW$241,19,FALSE)),"")</f>
        <v>Interview</v>
      </c>
      <c r="U12" s="184" t="str">
        <f>IFERROR(IF(VLOOKUP(Wed_W1[[#This Row],[Employee Name]],'Base Schedules'!$A$205:$AW$241,20,FALSE)="","",VLOOKUP(Wed_W1[[#This Row],[Employee Name]],'Base Schedules'!$A$205:$AW$241,20,FALSE)),"")</f>
        <v>Interview</v>
      </c>
      <c r="V12" s="184" t="str">
        <f>IFERROR(IF(VLOOKUP(Wed_W1[[#This Row],[Employee Name]],'Base Schedules'!$A$205:$AW$241,21,FALSE)="","",VLOOKUP(Wed_W1[[#This Row],[Employee Name]],'Base Schedules'!$A$205:$AW$241,21,FALSE)),"")</f>
        <v>-</v>
      </c>
      <c r="W12" s="184" t="str">
        <f>IFERROR(IF(VLOOKUP(Wed_W1[[#This Row],[Employee Name]],'Base Schedules'!$A$205:$AW$241,22,FALSE)="","",VLOOKUP(Wed_W1[[#This Row],[Employee Name]],'Base Schedules'!$A$205:$AW$241,22,FALSE)),"")</f>
        <v>Coaching</v>
      </c>
      <c r="X12" s="184" t="str">
        <f>IFERROR(IF(VLOOKUP(Wed_W1[[#This Row],[Employee Name]],'Base Schedules'!$A$205:$AW$241,23,FALSE)="","",VLOOKUP(Wed_W1[[#This Row],[Employee Name]],'Base Schedules'!$A$205:$AW$241,23,FALSE)),"")</f>
        <v>Coaching</v>
      </c>
      <c r="Y12" s="184" t="str">
        <f>IFERROR(IF(VLOOKUP(Wed_W1[[#This Row],[Employee Name]],'Base Schedules'!$A$205:$AW$241,24,FALSE)="","",VLOOKUP(Wed_W1[[#This Row],[Employee Name]],'Base Schedules'!$A$205:$AW$241,24,FALSE)),"")</f>
        <v>Coaching</v>
      </c>
      <c r="Z12" s="184" t="str">
        <f>IFERROR(IF(VLOOKUP(Wed_W1[[#This Row],[Employee Name]],'Base Schedules'!$A$205:$AW$241,25,FALSE)="","",VLOOKUP(Wed_W1[[#This Row],[Employee Name]],'Base Schedules'!$A$205:$AW$241,25,FALSE)),"")</f>
        <v>Coaching</v>
      </c>
      <c r="AA12" s="184" t="str">
        <f>IFERROR(IF(VLOOKUP(Wed_W1[[#This Row],[Employee Name]],'Base Schedules'!$A$205:$AW$241,26,FALSE)="","",VLOOKUP(Wed_W1[[#This Row],[Employee Name]],'Base Schedules'!$A$205:$AW$241,26,FALSE)),"")</f>
        <v>-</v>
      </c>
      <c r="AB12" s="184" t="str">
        <f>IFERROR(IF(VLOOKUP(Wed_W1[[#This Row],[Employee Name]],'Base Schedules'!$A$205:$AW$241,27,FALSE)="","",VLOOKUP(Wed_W1[[#This Row],[Employee Name]],'Base Schedules'!$A$205:$AW$241,27,FALSE)),"")</f>
        <v/>
      </c>
      <c r="AC12" s="184" t="str">
        <f>IFERROR(IF(VLOOKUP(Wed_W1[[#This Row],[Employee Name]],'Base Schedules'!$A$205:$AW$241,28,FALSE)="","",VLOOKUP(Wed_W1[[#This Row],[Employee Name]],'Base Schedules'!$A$205:$AW$241,28,FALSE)),"")</f>
        <v/>
      </c>
      <c r="AD12" s="184" t="str">
        <f>IFERROR(IF(VLOOKUP(Wed_W1[[#This Row],[Employee Name]],'Base Schedules'!$A$205:$AW$241,29,FALSE)="","",VLOOKUP(Wed_W1[[#This Row],[Employee Name]],'Base Schedules'!$A$205:$AW$241,29,FALSE)),"")</f>
        <v/>
      </c>
      <c r="AE12" s="184" t="str">
        <f>IFERROR(IF(VLOOKUP(Wed_W1[[#This Row],[Employee Name]],'Base Schedules'!$A$205:$AW$241,30,FALSE)="","",VLOOKUP(Wed_W1[[#This Row],[Employee Name]],'Base Schedules'!$A$205:$AW$241,30,FALSE)),"")</f>
        <v/>
      </c>
      <c r="AF12" s="184" t="str">
        <f>IFERROR(IF(VLOOKUP(Wed_W1[[#This Row],[Employee Name]],'Base Schedules'!$A$205:$AW$241,31,FALSE)="","",VLOOKUP(Wed_W1[[#This Row],[Employee Name]],'Base Schedules'!$A$205:$AW$241,31,FALSE)),"")</f>
        <v/>
      </c>
      <c r="AG12" s="184" t="str">
        <f>IFERROR(IF(VLOOKUP(Wed_W1[[#This Row],[Employee Name]],'Base Schedules'!$A$205:$AW$241,32,FALSE)="","",VLOOKUP(Wed_W1[[#This Row],[Employee Name]],'Base Schedules'!$A$205:$AW$241,32,FALSE)),"")</f>
        <v/>
      </c>
      <c r="AH12" s="184" t="str">
        <f>IFERROR(IF(VLOOKUP(Wed_W1[[#This Row],[Employee Name]],'Base Schedules'!$A$205:$AW$241,33,FALSE)="","",VLOOKUP(Wed_W1[[#This Row],[Employee Name]],'Base Schedules'!$A$205:$AW$241,33,FALSE)),"")</f>
        <v/>
      </c>
      <c r="AI12" s="184" t="str">
        <f>IFERROR(IF(VLOOKUP(Wed_W1[[#This Row],[Employee Name]],'Base Schedules'!$A$205:$AW$241,34,FALSE)="","",VLOOKUP(Wed_W1[[#This Row],[Employee Name]],'Base Schedules'!$A$205:$AW$241,34,FALSE)),"")</f>
        <v/>
      </c>
      <c r="AJ12" s="184" t="str">
        <f>IFERROR(IF(VLOOKUP(Wed_W1[[#This Row],[Employee Name]],'Base Schedules'!$A$205:$AW$241,35,FALSE)="","",VLOOKUP(Wed_W1[[#This Row],[Employee Name]],'Base Schedules'!$A$205:$AW$241,35,FALSE)),"")</f>
        <v/>
      </c>
      <c r="AK12" s="184" t="str">
        <f>IFERROR(IF(VLOOKUP(Wed_W1[[#This Row],[Employee Name]],'Base Schedules'!$A$205:$AW$241,36,FALSE)="","",VLOOKUP(Wed_W1[[#This Row],[Employee Name]],'Base Schedules'!$A$205:$AW$241,36,FALSE)),"")</f>
        <v/>
      </c>
      <c r="AL12" s="184" t="str">
        <f>IFERROR(IF(VLOOKUP(Wed_W1[[#This Row],[Employee Name]],'Base Schedules'!$A$205:$AW$241,37,FALSE)="","",VLOOKUP(Wed_W1[[#This Row],[Employee Name]],'Base Schedules'!$A$205:$AW$241,37,FALSE)),"")</f>
        <v/>
      </c>
      <c r="AM12" s="184" t="str">
        <f>IFERROR(IF(VLOOKUP(Wed_W1[[#This Row],[Employee Name]],'Base Schedules'!$A$205:$AW$241,38,FALSE)="","",VLOOKUP(Wed_W1[[#This Row],[Employee Name]],'Base Schedules'!$A$205:$AW$241,38,FALSE)),"")</f>
        <v/>
      </c>
      <c r="AN12" s="184" t="str">
        <f>IFERROR(IF(VLOOKUP(Wed_W1[[#This Row],[Employee Name]],'Base Schedules'!$A$205:$AW$241,39,FALSE)="","",VLOOKUP(Wed_W1[[#This Row],[Employee Name]],'Base Schedules'!$A$205:$AW$241,39,FALSE)),"")</f>
        <v/>
      </c>
      <c r="AO12" s="184" t="str">
        <f>IFERROR(IF(VLOOKUP(Wed_W1[[#This Row],[Employee Name]],'Base Schedules'!$A$205:$AW$241,40,FALSE)="","",VLOOKUP(Wed_W1[[#This Row],[Employee Name]],'Base Schedules'!$A$205:$AW$241,40,FALSE)),"")</f>
        <v/>
      </c>
      <c r="AP12" s="184" t="str">
        <f>IFERROR(IF(VLOOKUP(Wed_W1[[#This Row],[Employee Name]],'Base Schedules'!$A$205:$AW$241,41,FALSE)="","",VLOOKUP(Wed_W1[[#This Row],[Employee Name]],'Base Schedules'!$A$205:$AW$241,41,FALSE)),"")</f>
        <v/>
      </c>
      <c r="AQ12" s="184" t="str">
        <f>IFERROR(IF(VLOOKUP(Wed_W1[[#This Row],[Employee Name]],'Base Schedules'!$A$205:$AW$241,42,FALSE)="","",VLOOKUP(Wed_W1[[#This Row],[Employee Name]],'Base Schedules'!$A$205:$AW$241,42,FALSE)),"")</f>
        <v/>
      </c>
      <c r="AR12" s="184" t="str">
        <f>IFERROR(IF(VLOOKUP(Wed_W1[[#This Row],[Employee Name]],'Base Schedules'!$A$205:$AW$241,43,FALSE)="","",VLOOKUP(Wed_W1[[#This Row],[Employee Name]],'Base Schedules'!$A$205:$AW$241,43,FALSE)),"")</f>
        <v/>
      </c>
      <c r="AS12" s="184" t="str">
        <f>IFERROR(IF(VLOOKUP(Wed_W1[[#This Row],[Employee Name]],'Base Schedules'!$A$205:$AW$241,44,FALSE)="","",VLOOKUP(Wed_W1[[#This Row],[Employee Name]],'Base Schedules'!$A$205:$AW$241,44,FALSE)),"")</f>
        <v/>
      </c>
      <c r="AT12" s="184" t="str">
        <f>IFERROR(IF(VLOOKUP(Wed_W1[[#This Row],[Employee Name]],'Base Schedules'!$A$205:$AW$241,45,FALSE)="","",VLOOKUP(Wed_W1[[#This Row],[Employee Name]],'Base Schedules'!$A$205:$AW$241,45,FALSE)),"")</f>
        <v/>
      </c>
      <c r="AU12" s="184" t="str">
        <f>IFERROR(IF(VLOOKUP(Wed_W1[[#This Row],[Employee Name]],'Base Schedules'!$A$205:$AW$241,46,FALSE)="","",VLOOKUP(Wed_W1[[#This Row],[Employee Name]],'Base Schedules'!$A$205:$AW$241,46,FALSE)),"")</f>
        <v/>
      </c>
      <c r="AV12" s="184" t="str">
        <f>IFERROR(IF(VLOOKUP(Wed_W1[[#This Row],[Employee Name]],'Base Schedules'!$A$205:$AW$241,47,FALSE)="","",VLOOKUP(Wed_W1[[#This Row],[Employee Name]],'Base Schedules'!$A$205:$AW$241,47,FALSE)),"")</f>
        <v/>
      </c>
      <c r="AW12" s="184" t="str">
        <f>IFERROR(IF(VLOOKUP(Wed_W1[[#This Row],[Employee Name]],'Base Schedules'!$A$205:$AW$241,48,FALSE)="","",VLOOKUP(Wed_W1[[#This Row],[Employee Name]],'Base Schedules'!$A$205:$AW$241,48,FALSE)),"")</f>
        <v/>
      </c>
      <c r="AX12" s="184" t="str">
        <f>IFERROR(IF(VLOOKUP(Wed_W1[[#This Row],[Employee Name]],'Base Schedules'!$A$205:$AW$241,49,FALSE)="","",VLOOKUP(Wed_W1[[#This Row],[Employee Name]],'Base Schedules'!$A$205:$AW$241,49,FALSE)),"")</f>
        <v/>
      </c>
      <c r="AY12" s="164" t="str">
        <f t="shared" si="2"/>
        <v>Senft, Thomas</v>
      </c>
    </row>
    <row r="13" spans="1:51" s="44" customFormat="1" ht="12" x14ac:dyDescent="0.2">
      <c r="A13" s="39" t="str">
        <f>IF(B13="","",INDEX(TeamList[],MATCH($B13,TeamList[[Employee Name]:[Employee Name]],0),MATCH("Manager",TeamList[#Headers],0)))</f>
        <v>Olson, Katherine</v>
      </c>
      <c r="B13" s="201" t="s">
        <v>44</v>
      </c>
      <c r="C13" s="257" t="str">
        <f>_xlfn.IFNA(VLOOKUP(Wed_W1[[#This Row],[Employee Name]],'Base Schedules'!A:B,2,FALSE),"")</f>
        <v>Lead</v>
      </c>
      <c r="D13" s="274">
        <f>_xlfn.IFNA(VLOOKUP(Wed_W1[[#This Row],[Employee Name]],'Base Schedules'!A:C,3,FALSE),"")</f>
        <v>530</v>
      </c>
      <c r="E13" s="274">
        <f>_xlfn.IFNA(VLOOKUP(Wed_W1[[#This Row],[Employee Name]],'Base Schedules'!A:D,4,FALSE),"")</f>
        <v>1400</v>
      </c>
      <c r="F13" s="142">
        <f>IF(Wed_W1[[#This Row],[Employee Name]]="","",IF(Wed_W1[[#This Row],[Dept]]="Supervisor",COUNTIFS($J13:$AX13,"*HL*",$J13:$AX13,"&lt;&gt;"&amp;"pHL"),COUNTIFS($J13:$AX13,"*HL*",$J13:$AX13,"&lt;&gt;"&amp;"*pHL*",$J13:$AX13,"&lt;&gt;"&amp;"pB1 HL",$J13:$AX13,"&lt;&gt;"&amp;"pB2 HL")-SUM(COUNTIFS($J13:$AX13,"*HL B1*",$J13:$AX13,"&lt;&gt;"&amp;"pHL B1")*0.5,COUNTIFS($J13:$AX13,"*HL B2*",$J13:$AX13,"&lt;&gt;"&amp;"pHL B2")*0.5,COUNTIFS($J13:$AX13,"*B1 HL*",$J13:$AX13,"&lt;&gt;"&amp;"pB1 HL")*0.5,COUNTIFS($J13:$AX13,"*B2 HL*",$J13:$AX13,"&lt;&gt;"&amp;"pB2 HL")*0.5)))</f>
        <v>5.5</v>
      </c>
      <c r="G13" s="142">
        <f t="shared" si="0"/>
        <v>0</v>
      </c>
      <c r="H13" s="142">
        <f t="shared" si="1"/>
        <v>8</v>
      </c>
      <c r="I13" s="142">
        <f>IF(Wed_W1[[#This Row],[Employee Name]]="","",IF(Wed_W1[[#This Row],[Dept]]="Supervisor",SUM(COUNTIFS($J13:$AX13,"RTA*",$J13:$AX13,"&lt;&gt;"&amp;"pRTA"),COUNTIFS($J13:$AX13,"*CRTA*",$J13:$AX13,"&lt;&gt;"&amp;"pCRTA")),COUNTIFS($J13:$AX13,"*RNNR*",$J13:$AX13,"&lt;&gt;"&amp;"*pRNNR*",$J13:$AX13,"&lt;&gt;"&amp;"pB1 RNNR",$J13:$AX13,"&lt;&gt;"&amp;"pB2 RNNR")-SUM(COUNTIFS($J13:$AX13,"*RNNR B1*",$J13:$AX13,"&lt;&gt;"&amp;"pRNNR B1")*0.5,COUNTIFS($J13:$AX13,"*RNNR B2*",$J13:$AX13,"&lt;&gt;"&amp;"pRNNR B2")*0.5,COUNTIFS($J13:$AX13,"*B1 RNNR*",$J13:$AX13,"&lt;&gt;"&amp;"pB1 RNNR")*0.5,COUNTIFS($J13:$AX13,"*B2 RNNR*",$J13:$AX13,"&lt;&gt;"&amp;"pB2 RNNR")*0.5)))</f>
        <v>2</v>
      </c>
      <c r="J13" s="184" t="str">
        <f>IFERROR(IF(VLOOKUP(Wed_W1[[#This Row],[Employee Name]],'Base Schedules'!$A$205:$AW$241,9,FALSE)="","",VLOOKUP(Wed_W1[[#This Row],[Employee Name]],'Base Schedules'!$A$205:$AW$241,9,FALSE)),"")</f>
        <v/>
      </c>
      <c r="K13" s="184" t="str">
        <f>IFERROR(IF(VLOOKUP(Wed_W1[[#This Row],[Employee Name]],'Base Schedules'!$A$205:$AW$241,10,FALSE)="","",VLOOKUP(Wed_W1[[#This Row],[Employee Name]],'Base Schedules'!$A$205:$AW$241,10,FALSE)),"")</f>
        <v>ADM</v>
      </c>
      <c r="L13" s="184" t="str">
        <f>IFERROR(IF(VLOOKUP(Wed_W1[[#This Row],[Employee Name]],'Base Schedules'!$A$205:$AW$241,11,FALSE)="","",VLOOKUP(Wed_W1[[#This Row],[Employee Name]],'Base Schedules'!$A$205:$AW$241,11,FALSE)),"")</f>
        <v>ADM</v>
      </c>
      <c r="M13" s="184" t="str">
        <f>IFERROR(IF(VLOOKUP(Wed_W1[[#This Row],[Employee Name]],'Base Schedules'!$A$205:$AW$241,12,FALSE)="","",VLOOKUP(Wed_W1[[#This Row],[Employee Name]],'Base Schedules'!$A$205:$AW$241,12,FALSE)),"")</f>
        <v>ADM</v>
      </c>
      <c r="N13" s="184" t="str">
        <f>IFERROR(IF(VLOOKUP(Wed_W1[[#This Row],[Employee Name]],'Base Schedules'!$A$205:$AW$241,13,FALSE)="","",VLOOKUP(Wed_W1[[#This Row],[Employee Name]],'Base Schedules'!$A$205:$AW$241,13,FALSE)),"")</f>
        <v>HL</v>
      </c>
      <c r="O13" s="184" t="str">
        <f>IFERROR(IF(VLOOKUP(Wed_W1[[#This Row],[Employee Name]],'Base Schedules'!$A$205:$AW$241,14,FALSE)="","",VLOOKUP(Wed_W1[[#This Row],[Employee Name]],'Base Schedules'!$A$205:$AW$241,14,FALSE)),"")</f>
        <v>B1 HL</v>
      </c>
      <c r="P13" s="184" t="str">
        <f>IFERROR(IF(VLOOKUP(Wed_W1[[#This Row],[Employee Name]],'Base Schedules'!$A$205:$AW$241,15,FALSE)="","",VLOOKUP(Wed_W1[[#This Row],[Employee Name]],'Base Schedules'!$A$205:$AW$241,15,FALSE)),"")</f>
        <v>HL</v>
      </c>
      <c r="Q13" s="184" t="str">
        <f>IFERROR(IF(VLOOKUP(Wed_W1[[#This Row],[Employee Name]],'Base Schedules'!$A$205:$AW$241,16,FALSE)="","",VLOOKUP(Wed_W1[[#This Row],[Employee Name]],'Base Schedules'!$A$205:$AW$241,16,FALSE)),"")</f>
        <v>HL</v>
      </c>
      <c r="R13" s="184" t="str">
        <f>IFERROR(IF(VLOOKUP(Wed_W1[[#This Row],[Employee Name]],'Base Schedules'!$A$205:$AW$241,17,FALSE)="","",VLOOKUP(Wed_W1[[#This Row],[Employee Name]],'Base Schedules'!$A$205:$AW$241,17,FALSE)),"")</f>
        <v>RNNR</v>
      </c>
      <c r="S13" s="184" t="str">
        <f>IFERROR(IF(VLOOKUP(Wed_W1[[#This Row],[Employee Name]],'Base Schedules'!$A$205:$AW$241,18,FALSE)="","",VLOOKUP(Wed_W1[[#This Row],[Employee Name]],'Base Schedules'!$A$205:$AW$241,18,FALSE)),"")</f>
        <v>RNNR</v>
      </c>
      <c r="T13" s="184" t="str">
        <f>IFERROR(IF(VLOOKUP(Wed_W1[[#This Row],[Employee Name]],'Base Schedules'!$A$205:$AW$241,19,FALSE)="","",VLOOKUP(Wed_W1[[#This Row],[Employee Name]],'Base Schedules'!$A$205:$AW$241,19,FALSE)),"")</f>
        <v>LUNCH</v>
      </c>
      <c r="U13" s="184" t="str">
        <f>IFERROR(IF(VLOOKUP(Wed_W1[[#This Row],[Employee Name]],'Base Schedules'!$A$205:$AW$241,20,FALSE)="","",VLOOKUP(Wed_W1[[#This Row],[Employee Name]],'Base Schedules'!$A$205:$AW$241,20,FALSE)),"")</f>
        <v>ADM</v>
      </c>
      <c r="V13" s="184" t="str">
        <f>IFERROR(IF(VLOOKUP(Wed_W1[[#This Row],[Employee Name]],'Base Schedules'!$A$205:$AW$241,21,FALSE)="","",VLOOKUP(Wed_W1[[#This Row],[Employee Name]],'Base Schedules'!$A$205:$AW$241,21,FALSE)),"")</f>
        <v>ADM</v>
      </c>
      <c r="W13" s="184" t="str">
        <f>IFERROR(IF(VLOOKUP(Wed_W1[[#This Row],[Employee Name]],'Base Schedules'!$A$205:$AW$241,22,FALSE)="","",VLOOKUP(Wed_W1[[#This Row],[Employee Name]],'Base Schedules'!$A$205:$AW$241,22,FALSE)),"")</f>
        <v>ADM B2</v>
      </c>
      <c r="X13" s="184" t="str">
        <f>IFERROR(IF(VLOOKUP(Wed_W1[[#This Row],[Employee Name]],'Base Schedules'!$A$205:$AW$241,23,FALSE)="","",VLOOKUP(Wed_W1[[#This Row],[Employee Name]],'Base Schedules'!$A$205:$AW$241,23,FALSE)),"")</f>
        <v>ADM</v>
      </c>
      <c r="Y13" s="184" t="str">
        <f>IFERROR(IF(VLOOKUP(Wed_W1[[#This Row],[Employee Name]],'Base Schedules'!$A$205:$AW$241,24,FALSE)="","",VLOOKUP(Wed_W1[[#This Row],[Employee Name]],'Base Schedules'!$A$205:$AW$241,24,FALSE)),"")</f>
        <v>ADM</v>
      </c>
      <c r="Z13" s="184" t="str">
        <f>IFERROR(IF(VLOOKUP(Wed_W1[[#This Row],[Employee Name]],'Base Schedules'!$A$205:$AW$241,25,FALSE)="","",VLOOKUP(Wed_W1[[#This Row],[Employee Name]],'Base Schedules'!$A$205:$AW$241,25,FALSE)),"")</f>
        <v>HL</v>
      </c>
      <c r="AA13" s="184" t="str">
        <f>IFERROR(IF(VLOOKUP(Wed_W1[[#This Row],[Employee Name]],'Base Schedules'!$A$205:$AW$241,26,FALSE)="","",VLOOKUP(Wed_W1[[#This Row],[Employee Name]],'Base Schedules'!$A$205:$AW$241,26,FALSE)),"")</f>
        <v>HL</v>
      </c>
      <c r="AB13" s="184" t="str">
        <f>IFERROR(IF(VLOOKUP(Wed_W1[[#This Row],[Employee Name]],'Base Schedules'!$A$205:$AW$241,27,FALSE)="","",VLOOKUP(Wed_W1[[#This Row],[Employee Name]],'Base Schedules'!$A$205:$AW$241,27,FALSE)),"")</f>
        <v/>
      </c>
      <c r="AC13" s="184" t="str">
        <f>IFERROR(IF(VLOOKUP(Wed_W1[[#This Row],[Employee Name]],'Base Schedules'!$A$205:$AW$241,28,FALSE)="","",VLOOKUP(Wed_W1[[#This Row],[Employee Name]],'Base Schedules'!$A$205:$AW$241,28,FALSE)),"")</f>
        <v/>
      </c>
      <c r="AD13" s="184" t="str">
        <f>IFERROR(IF(VLOOKUP(Wed_W1[[#This Row],[Employee Name]],'Base Schedules'!$A$205:$AW$241,29,FALSE)="","",VLOOKUP(Wed_W1[[#This Row],[Employee Name]],'Base Schedules'!$A$205:$AW$241,29,FALSE)),"")</f>
        <v/>
      </c>
      <c r="AE13" s="184" t="str">
        <f>IFERROR(IF(VLOOKUP(Wed_W1[[#This Row],[Employee Name]],'Base Schedules'!$A$205:$AW$241,30,FALSE)="","",VLOOKUP(Wed_W1[[#This Row],[Employee Name]],'Base Schedules'!$A$205:$AW$241,30,FALSE)),"")</f>
        <v/>
      </c>
      <c r="AF13" s="184" t="str">
        <f>IFERROR(IF(VLOOKUP(Wed_W1[[#This Row],[Employee Name]],'Base Schedules'!$A$205:$AW$241,31,FALSE)="","",VLOOKUP(Wed_W1[[#This Row],[Employee Name]],'Base Schedules'!$A$205:$AW$241,31,FALSE)),"")</f>
        <v/>
      </c>
      <c r="AG13" s="184" t="str">
        <f>IFERROR(IF(VLOOKUP(Wed_W1[[#This Row],[Employee Name]],'Base Schedules'!$A$205:$AW$241,32,FALSE)="","",VLOOKUP(Wed_W1[[#This Row],[Employee Name]],'Base Schedules'!$A$205:$AW$241,32,FALSE)),"")</f>
        <v/>
      </c>
      <c r="AH13" s="184" t="str">
        <f>IFERROR(IF(VLOOKUP(Wed_W1[[#This Row],[Employee Name]],'Base Schedules'!$A$205:$AW$241,33,FALSE)="","",VLOOKUP(Wed_W1[[#This Row],[Employee Name]],'Base Schedules'!$A$205:$AW$241,33,FALSE)),"")</f>
        <v/>
      </c>
      <c r="AI13" s="184" t="str">
        <f>IFERROR(IF(VLOOKUP(Wed_W1[[#This Row],[Employee Name]],'Base Schedules'!$A$205:$AW$241,34,FALSE)="","",VLOOKUP(Wed_W1[[#This Row],[Employee Name]],'Base Schedules'!$A$205:$AW$241,34,FALSE)),"")</f>
        <v/>
      </c>
      <c r="AJ13" s="184" t="str">
        <f>IFERROR(IF(VLOOKUP(Wed_W1[[#This Row],[Employee Name]],'Base Schedules'!$A$205:$AW$241,35,FALSE)="","",VLOOKUP(Wed_W1[[#This Row],[Employee Name]],'Base Schedules'!$A$205:$AW$241,35,FALSE)),"")</f>
        <v/>
      </c>
      <c r="AK13" s="184" t="str">
        <f>IFERROR(IF(VLOOKUP(Wed_W1[[#This Row],[Employee Name]],'Base Schedules'!$A$205:$AW$241,36,FALSE)="","",VLOOKUP(Wed_W1[[#This Row],[Employee Name]],'Base Schedules'!$A$205:$AW$241,36,FALSE)),"")</f>
        <v/>
      </c>
      <c r="AL13" s="184" t="str">
        <f>IFERROR(IF(VLOOKUP(Wed_W1[[#This Row],[Employee Name]],'Base Schedules'!$A$205:$AW$241,37,FALSE)="","",VLOOKUP(Wed_W1[[#This Row],[Employee Name]],'Base Schedules'!$A$205:$AW$241,37,FALSE)),"")</f>
        <v/>
      </c>
      <c r="AM13" s="184" t="str">
        <f>IFERROR(IF(VLOOKUP(Wed_W1[[#This Row],[Employee Name]],'Base Schedules'!$A$205:$AW$241,38,FALSE)="","",VLOOKUP(Wed_W1[[#This Row],[Employee Name]],'Base Schedules'!$A$205:$AW$241,38,FALSE)),"")</f>
        <v/>
      </c>
      <c r="AN13" s="184" t="str">
        <f>IFERROR(IF(VLOOKUP(Wed_W1[[#This Row],[Employee Name]],'Base Schedules'!$A$205:$AW$241,39,FALSE)="","",VLOOKUP(Wed_W1[[#This Row],[Employee Name]],'Base Schedules'!$A$205:$AW$241,39,FALSE)),"")</f>
        <v/>
      </c>
      <c r="AO13" s="184" t="str">
        <f>IFERROR(IF(VLOOKUP(Wed_W1[[#This Row],[Employee Name]],'Base Schedules'!$A$205:$AW$241,40,FALSE)="","",VLOOKUP(Wed_W1[[#This Row],[Employee Name]],'Base Schedules'!$A$205:$AW$241,40,FALSE)),"")</f>
        <v/>
      </c>
      <c r="AP13" s="184" t="str">
        <f>IFERROR(IF(VLOOKUP(Wed_W1[[#This Row],[Employee Name]],'Base Schedules'!$A$205:$AW$241,41,FALSE)="","",VLOOKUP(Wed_W1[[#This Row],[Employee Name]],'Base Schedules'!$A$205:$AW$241,41,FALSE)),"")</f>
        <v/>
      </c>
      <c r="AQ13" s="184" t="str">
        <f>IFERROR(IF(VLOOKUP(Wed_W1[[#This Row],[Employee Name]],'Base Schedules'!$A$205:$AW$241,42,FALSE)="","",VLOOKUP(Wed_W1[[#This Row],[Employee Name]],'Base Schedules'!$A$205:$AW$241,42,FALSE)),"")</f>
        <v/>
      </c>
      <c r="AR13" s="184" t="str">
        <f>IFERROR(IF(VLOOKUP(Wed_W1[[#This Row],[Employee Name]],'Base Schedules'!$A$205:$AW$241,43,FALSE)="","",VLOOKUP(Wed_W1[[#This Row],[Employee Name]],'Base Schedules'!$A$205:$AW$241,43,FALSE)),"")</f>
        <v/>
      </c>
      <c r="AS13" s="184" t="str">
        <f>IFERROR(IF(VLOOKUP(Wed_W1[[#This Row],[Employee Name]],'Base Schedules'!$A$205:$AW$241,44,FALSE)="","",VLOOKUP(Wed_W1[[#This Row],[Employee Name]],'Base Schedules'!$A$205:$AW$241,44,FALSE)),"")</f>
        <v/>
      </c>
      <c r="AT13" s="184" t="str">
        <f>IFERROR(IF(VLOOKUP(Wed_W1[[#This Row],[Employee Name]],'Base Schedules'!$A$205:$AW$241,45,FALSE)="","",VLOOKUP(Wed_W1[[#This Row],[Employee Name]],'Base Schedules'!$A$205:$AW$241,45,FALSE)),"")</f>
        <v/>
      </c>
      <c r="AU13" s="184" t="str">
        <f>IFERROR(IF(VLOOKUP(Wed_W1[[#This Row],[Employee Name]],'Base Schedules'!$A$205:$AW$241,46,FALSE)="","",VLOOKUP(Wed_W1[[#This Row],[Employee Name]],'Base Schedules'!$A$205:$AW$241,46,FALSE)),"")</f>
        <v/>
      </c>
      <c r="AV13" s="184" t="str">
        <f>IFERROR(IF(VLOOKUP(Wed_W1[[#This Row],[Employee Name]],'Base Schedules'!$A$205:$AW$241,47,FALSE)="","",VLOOKUP(Wed_W1[[#This Row],[Employee Name]],'Base Schedules'!$A$205:$AW$241,47,FALSE)),"")</f>
        <v/>
      </c>
      <c r="AW13" s="184" t="str">
        <f>IFERROR(IF(VLOOKUP(Wed_W1[[#This Row],[Employee Name]],'Base Schedules'!$A$205:$AW$241,48,FALSE)="","",VLOOKUP(Wed_W1[[#This Row],[Employee Name]],'Base Schedules'!$A$205:$AW$241,48,FALSE)),"")</f>
        <v/>
      </c>
      <c r="AX13" s="184" t="str">
        <f>IFERROR(IF(VLOOKUP(Wed_W1[[#This Row],[Employee Name]],'Base Schedules'!$A$205:$AW$241,49,FALSE)="","",VLOOKUP(Wed_W1[[#This Row],[Employee Name]],'Base Schedules'!$A$205:$AW$241,49,FALSE)),"")</f>
        <v/>
      </c>
      <c r="AY13" s="164" t="str">
        <f t="shared" si="2"/>
        <v>Albritton, Ahmed</v>
      </c>
    </row>
    <row r="14" spans="1:51" s="44" customFormat="1" ht="12" x14ac:dyDescent="0.2">
      <c r="A14" s="39" t="str">
        <f>IF(B14="","",INDEX(TeamList[],MATCH($B14,TeamList[[Employee Name]:[Employee Name]],0),MATCH("Manager",TeamList[#Headers],0)))</f>
        <v>Paulson, Matthew</v>
      </c>
      <c r="B14" s="201" t="s">
        <v>17</v>
      </c>
      <c r="C14" s="257" t="str">
        <f>_xlfn.IFNA(VLOOKUP(Wed_W1[[#This Row],[Employee Name]],'Base Schedules'!A:B,2,FALSE),"")</f>
        <v>Supervisor</v>
      </c>
      <c r="D14" s="274">
        <f>_xlfn.IFNA(VLOOKUP(Wed_W1[[#This Row],[Employee Name]],'Base Schedules'!A:C,3,FALSE),"")</f>
        <v>530</v>
      </c>
      <c r="E14" s="274">
        <f>_xlfn.IFNA(VLOOKUP(Wed_W1[[#This Row],[Employee Name]],'Base Schedules'!A:D,4,FALSE),"")</f>
        <v>1430</v>
      </c>
      <c r="F14" s="142">
        <f>IF(Wed_W1[[#This Row],[Employee Name]]="","",IF(Wed_W1[[#This Row],[Dept]]="Supervisor",COUNTIFS($J14:$AX14,"*HL*",$J14:$AX14,"&lt;&gt;"&amp;"pHL"),COUNTIFS($J14:$AX14,"*HL*",$J14:$AX14,"&lt;&gt;"&amp;"*pHL*",$J14:$AX14,"&lt;&gt;"&amp;"pB1 HL",$J14:$AX14,"&lt;&gt;"&amp;"pB2 HL")-SUM(COUNTIFS($J14:$AX14,"*HL B1*",$J14:$AX14,"&lt;&gt;"&amp;"pHL B1")*0.5,COUNTIFS($J14:$AX14,"*HL B2*",$J14:$AX14,"&lt;&gt;"&amp;"pHL B2")*0.5,COUNTIFS($J14:$AX14,"*B1 HL*",$J14:$AX14,"&lt;&gt;"&amp;"pB1 HL")*0.5,COUNTIFS($J14:$AX14,"*B2 HL*",$J14:$AX14,"&lt;&gt;"&amp;"pB2 HL")*0.5)))</f>
        <v>0</v>
      </c>
      <c r="G14" s="142">
        <f t="shared" si="0"/>
        <v>0</v>
      </c>
      <c r="H14" s="142">
        <f t="shared" si="1"/>
        <v>0</v>
      </c>
      <c r="I14" s="142">
        <f>IF(Wed_W1[[#This Row],[Employee Name]]="","",IF(Wed_W1[[#This Row],[Dept]]="Supervisor",SUM(COUNTIFS($J14:$AX14,"RTA*",$J14:$AX14,"&lt;&gt;"&amp;"pRTA"),COUNTIFS($J14:$AX14,"*CRTA*",$J14:$AX14,"&lt;&gt;"&amp;"pCRTA")),COUNTIFS($J14:$AX14,"*RNNR*",$J14:$AX14,"&lt;&gt;"&amp;"*pRNNR*",$J14:$AX14,"&lt;&gt;"&amp;"pB1 RNNR",$J14:$AX14,"&lt;&gt;"&amp;"pB2 RNNR")-SUM(COUNTIFS($J14:$AX14,"*RNNR B1*",$J14:$AX14,"&lt;&gt;"&amp;"pRNNR B1")*0.5,COUNTIFS($J14:$AX14,"*RNNR B2*",$J14:$AX14,"&lt;&gt;"&amp;"pRNNR B2")*0.5,COUNTIFS($J14:$AX14,"*B1 RNNR*",$J14:$AX14,"&lt;&gt;"&amp;"pB1 RNNR")*0.5,COUNTIFS($J14:$AX14,"*B2 RNNR*",$J14:$AX14,"&lt;&gt;"&amp;"pB2 RNNR")*0.5)))</f>
        <v>0</v>
      </c>
      <c r="J14" s="184" t="str">
        <f>IFERROR(IF(VLOOKUP(Wed_W1[[#This Row],[Employee Name]],'Base Schedules'!$A$205:$AW$241,9,FALSE)="","",VLOOKUP(Wed_W1[[#This Row],[Employee Name]],'Base Schedules'!$A$205:$AW$241,9,FALSE)),"")</f>
        <v/>
      </c>
      <c r="K14" s="184" t="str">
        <f>IFERROR(IF(VLOOKUP(Wed_W1[[#This Row],[Employee Name]],'Base Schedules'!$A$205:$AW$241,10,FALSE)="","",VLOOKUP(Wed_W1[[#This Row],[Employee Name]],'Base Schedules'!$A$205:$AW$241,10,FALSE)),"")</f>
        <v/>
      </c>
      <c r="L14" s="184" t="str">
        <f>IFERROR(IF(VLOOKUP(Wed_W1[[#This Row],[Employee Name]],'Base Schedules'!$A$205:$AW$241,11,FALSE)="","",VLOOKUP(Wed_W1[[#This Row],[Employee Name]],'Base Schedules'!$A$205:$AW$241,11,FALSE)),"")</f>
        <v/>
      </c>
      <c r="M14" s="184" t="str">
        <f>IFERROR(IF(VLOOKUP(Wed_W1[[#This Row],[Employee Name]],'Base Schedules'!$A$205:$AW$241,12,FALSE)="","",VLOOKUP(Wed_W1[[#This Row],[Employee Name]],'Base Schedules'!$A$205:$AW$241,12,FALSE)),"")</f>
        <v/>
      </c>
      <c r="N14" s="184" t="str">
        <f>IFERROR(IF(VLOOKUP(Wed_W1[[#This Row],[Employee Name]],'Base Schedules'!$A$205:$AW$241,13,FALSE)="","",VLOOKUP(Wed_W1[[#This Row],[Employee Name]],'Base Schedules'!$A$205:$AW$241,13,FALSE)),"")</f>
        <v/>
      </c>
      <c r="O14" s="184" t="str">
        <f>IFERROR(IF(VLOOKUP(Wed_W1[[#This Row],[Employee Name]],'Base Schedules'!$A$205:$AW$241,14,FALSE)="","",VLOOKUP(Wed_W1[[#This Row],[Employee Name]],'Base Schedules'!$A$205:$AW$241,14,FALSE)),"")</f>
        <v/>
      </c>
      <c r="P14" s="184" t="str">
        <f>IFERROR(IF(VLOOKUP(Wed_W1[[#This Row],[Employee Name]],'Base Schedules'!$A$205:$AW$241,15,FALSE)="","",VLOOKUP(Wed_W1[[#This Row],[Employee Name]],'Base Schedules'!$A$205:$AW$241,15,FALSE)),"")</f>
        <v/>
      </c>
      <c r="Q14" s="184" t="str">
        <f>IFERROR(IF(VLOOKUP(Wed_W1[[#This Row],[Employee Name]],'Base Schedules'!$A$205:$AW$241,16,FALSE)="","",VLOOKUP(Wed_W1[[#This Row],[Employee Name]],'Base Schedules'!$A$205:$AW$241,16,FALSE)),"")</f>
        <v/>
      </c>
      <c r="R14" s="184" t="str">
        <f>IFERROR(IF(VLOOKUP(Wed_W1[[#This Row],[Employee Name]],'Base Schedules'!$A$205:$AW$241,17,FALSE)="","",VLOOKUP(Wed_W1[[#This Row],[Employee Name]],'Base Schedules'!$A$205:$AW$241,17,FALSE)),"")</f>
        <v/>
      </c>
      <c r="S14" s="184" t="str">
        <f>IFERROR(IF(VLOOKUP(Wed_W1[[#This Row],[Employee Name]],'Base Schedules'!$A$205:$AW$241,18,FALSE)="","",VLOOKUP(Wed_W1[[#This Row],[Employee Name]],'Base Schedules'!$A$205:$AW$241,18,FALSE)),"")</f>
        <v/>
      </c>
      <c r="T14" s="184" t="str">
        <f>IFERROR(IF(VLOOKUP(Wed_W1[[#This Row],[Employee Name]],'Base Schedules'!$A$205:$AW$241,19,FALSE)="","",VLOOKUP(Wed_W1[[#This Row],[Employee Name]],'Base Schedules'!$A$205:$AW$241,19,FALSE)),"")</f>
        <v/>
      </c>
      <c r="U14" s="184" t="str">
        <f>IFERROR(IF(VLOOKUP(Wed_W1[[#This Row],[Employee Name]],'Base Schedules'!$A$205:$AW$241,20,FALSE)="","",VLOOKUP(Wed_W1[[#This Row],[Employee Name]],'Base Schedules'!$A$205:$AW$241,20,FALSE)),"")</f>
        <v/>
      </c>
      <c r="V14" s="184" t="str">
        <f>IFERROR(IF(VLOOKUP(Wed_W1[[#This Row],[Employee Name]],'Base Schedules'!$A$205:$AW$241,21,FALSE)="","",VLOOKUP(Wed_W1[[#This Row],[Employee Name]],'Base Schedules'!$A$205:$AW$241,21,FALSE)),"")</f>
        <v/>
      </c>
      <c r="W14" s="184" t="str">
        <f>IFERROR(IF(VLOOKUP(Wed_W1[[#This Row],[Employee Name]],'Base Schedules'!$A$205:$AW$241,22,FALSE)="","",VLOOKUP(Wed_W1[[#This Row],[Employee Name]],'Base Schedules'!$A$205:$AW$241,22,FALSE)),"")</f>
        <v/>
      </c>
      <c r="X14" s="184" t="str">
        <f>IFERROR(IF(VLOOKUP(Wed_W1[[#This Row],[Employee Name]],'Base Schedules'!$A$205:$AW$241,23,FALSE)="","",VLOOKUP(Wed_W1[[#This Row],[Employee Name]],'Base Schedules'!$A$205:$AW$241,23,FALSE)),"")</f>
        <v/>
      </c>
      <c r="Y14" s="184" t="str">
        <f>IFERROR(IF(VLOOKUP(Wed_W1[[#This Row],[Employee Name]],'Base Schedules'!$A$205:$AW$241,24,FALSE)="","",VLOOKUP(Wed_W1[[#This Row],[Employee Name]],'Base Schedules'!$A$205:$AW$241,24,FALSE)),"")</f>
        <v/>
      </c>
      <c r="Z14" s="184" t="str">
        <f>IFERROR(IF(VLOOKUP(Wed_W1[[#This Row],[Employee Name]],'Base Schedules'!$A$205:$AW$241,25,FALSE)="","",VLOOKUP(Wed_W1[[#This Row],[Employee Name]],'Base Schedules'!$A$205:$AW$241,25,FALSE)),"")</f>
        <v/>
      </c>
      <c r="AA14" s="184" t="str">
        <f>IFERROR(IF(VLOOKUP(Wed_W1[[#This Row],[Employee Name]],'Base Schedules'!$A$205:$AW$241,26,FALSE)="","",VLOOKUP(Wed_W1[[#This Row],[Employee Name]],'Base Schedules'!$A$205:$AW$241,26,FALSE)),"")</f>
        <v/>
      </c>
      <c r="AB14" s="184" t="str">
        <f>IFERROR(IF(VLOOKUP(Wed_W1[[#This Row],[Employee Name]],'Base Schedules'!$A$205:$AW$241,27,FALSE)="","",VLOOKUP(Wed_W1[[#This Row],[Employee Name]],'Base Schedules'!$A$205:$AW$241,27,FALSE)),"")</f>
        <v/>
      </c>
      <c r="AC14" s="184" t="str">
        <f>IFERROR(IF(VLOOKUP(Wed_W1[[#This Row],[Employee Name]],'Base Schedules'!$A$205:$AW$241,28,FALSE)="","",VLOOKUP(Wed_W1[[#This Row],[Employee Name]],'Base Schedules'!$A$205:$AW$241,28,FALSE)),"")</f>
        <v/>
      </c>
      <c r="AD14" s="184" t="str">
        <f>IFERROR(IF(VLOOKUP(Wed_W1[[#This Row],[Employee Name]],'Base Schedules'!$A$205:$AW$241,29,FALSE)="","",VLOOKUP(Wed_W1[[#This Row],[Employee Name]],'Base Schedules'!$A$205:$AW$241,29,FALSE)),"")</f>
        <v/>
      </c>
      <c r="AE14" s="184" t="str">
        <f>IFERROR(IF(VLOOKUP(Wed_W1[[#This Row],[Employee Name]],'Base Schedules'!$A$205:$AW$241,30,FALSE)="","",VLOOKUP(Wed_W1[[#This Row],[Employee Name]],'Base Schedules'!$A$205:$AW$241,30,FALSE)),"")</f>
        <v/>
      </c>
      <c r="AF14" s="184" t="str">
        <f>IFERROR(IF(VLOOKUP(Wed_W1[[#This Row],[Employee Name]],'Base Schedules'!$A$205:$AW$241,31,FALSE)="","",VLOOKUP(Wed_W1[[#This Row],[Employee Name]],'Base Schedules'!$A$205:$AW$241,31,FALSE)),"")</f>
        <v/>
      </c>
      <c r="AG14" s="184" t="str">
        <f>IFERROR(IF(VLOOKUP(Wed_W1[[#This Row],[Employee Name]],'Base Schedules'!$A$205:$AW$241,32,FALSE)="","",VLOOKUP(Wed_W1[[#This Row],[Employee Name]],'Base Schedules'!$A$205:$AW$241,32,FALSE)),"")</f>
        <v/>
      </c>
      <c r="AH14" s="184" t="str">
        <f>IFERROR(IF(VLOOKUP(Wed_W1[[#This Row],[Employee Name]],'Base Schedules'!$A$205:$AW$241,33,FALSE)="","",VLOOKUP(Wed_W1[[#This Row],[Employee Name]],'Base Schedules'!$A$205:$AW$241,33,FALSE)),"")</f>
        <v/>
      </c>
      <c r="AI14" s="184" t="str">
        <f>IFERROR(IF(VLOOKUP(Wed_W1[[#This Row],[Employee Name]],'Base Schedules'!$A$205:$AW$241,34,FALSE)="","",VLOOKUP(Wed_W1[[#This Row],[Employee Name]],'Base Schedules'!$A$205:$AW$241,34,FALSE)),"")</f>
        <v/>
      </c>
      <c r="AJ14" s="184" t="str">
        <f>IFERROR(IF(VLOOKUP(Wed_W1[[#This Row],[Employee Name]],'Base Schedules'!$A$205:$AW$241,35,FALSE)="","",VLOOKUP(Wed_W1[[#This Row],[Employee Name]],'Base Schedules'!$A$205:$AW$241,35,FALSE)),"")</f>
        <v/>
      </c>
      <c r="AK14" s="184" t="str">
        <f>IFERROR(IF(VLOOKUP(Wed_W1[[#This Row],[Employee Name]],'Base Schedules'!$A$205:$AW$241,36,FALSE)="","",VLOOKUP(Wed_W1[[#This Row],[Employee Name]],'Base Schedules'!$A$205:$AW$241,36,FALSE)),"")</f>
        <v/>
      </c>
      <c r="AL14" s="184" t="str">
        <f>IFERROR(IF(VLOOKUP(Wed_W1[[#This Row],[Employee Name]],'Base Schedules'!$A$205:$AW$241,37,FALSE)="","",VLOOKUP(Wed_W1[[#This Row],[Employee Name]],'Base Schedules'!$A$205:$AW$241,37,FALSE)),"")</f>
        <v/>
      </c>
      <c r="AM14" s="184" t="str">
        <f>IFERROR(IF(VLOOKUP(Wed_W1[[#This Row],[Employee Name]],'Base Schedules'!$A$205:$AW$241,38,FALSE)="","",VLOOKUP(Wed_W1[[#This Row],[Employee Name]],'Base Schedules'!$A$205:$AW$241,38,FALSE)),"")</f>
        <v/>
      </c>
      <c r="AN14" s="184" t="str">
        <f>IFERROR(IF(VLOOKUP(Wed_W1[[#This Row],[Employee Name]],'Base Schedules'!$A$205:$AW$241,39,FALSE)="","",VLOOKUP(Wed_W1[[#This Row],[Employee Name]],'Base Schedules'!$A$205:$AW$241,39,FALSE)),"")</f>
        <v/>
      </c>
      <c r="AO14" s="184" t="str">
        <f>IFERROR(IF(VLOOKUP(Wed_W1[[#This Row],[Employee Name]],'Base Schedules'!$A$205:$AW$241,40,FALSE)="","",VLOOKUP(Wed_W1[[#This Row],[Employee Name]],'Base Schedules'!$A$205:$AW$241,40,FALSE)),"")</f>
        <v/>
      </c>
      <c r="AP14" s="184" t="str">
        <f>IFERROR(IF(VLOOKUP(Wed_W1[[#This Row],[Employee Name]],'Base Schedules'!$A$205:$AW$241,41,FALSE)="","",VLOOKUP(Wed_W1[[#This Row],[Employee Name]],'Base Schedules'!$A$205:$AW$241,41,FALSE)),"")</f>
        <v/>
      </c>
      <c r="AQ14" s="184" t="str">
        <f>IFERROR(IF(VLOOKUP(Wed_W1[[#This Row],[Employee Name]],'Base Schedules'!$A$205:$AW$241,42,FALSE)="","",VLOOKUP(Wed_W1[[#This Row],[Employee Name]],'Base Schedules'!$A$205:$AW$241,42,FALSE)),"")</f>
        <v/>
      </c>
      <c r="AR14" s="184" t="str">
        <f>IFERROR(IF(VLOOKUP(Wed_W1[[#This Row],[Employee Name]],'Base Schedules'!$A$205:$AW$241,43,FALSE)="","",VLOOKUP(Wed_W1[[#This Row],[Employee Name]],'Base Schedules'!$A$205:$AW$241,43,FALSE)),"")</f>
        <v/>
      </c>
      <c r="AS14" s="184" t="str">
        <f>IFERROR(IF(VLOOKUP(Wed_W1[[#This Row],[Employee Name]],'Base Schedules'!$A$205:$AW$241,44,FALSE)="","",VLOOKUP(Wed_W1[[#This Row],[Employee Name]],'Base Schedules'!$A$205:$AW$241,44,FALSE)),"")</f>
        <v/>
      </c>
      <c r="AT14" s="184" t="str">
        <f>IFERROR(IF(VLOOKUP(Wed_W1[[#This Row],[Employee Name]],'Base Schedules'!$A$205:$AW$241,45,FALSE)="","",VLOOKUP(Wed_W1[[#This Row],[Employee Name]],'Base Schedules'!$A$205:$AW$241,45,FALSE)),"")</f>
        <v/>
      </c>
      <c r="AU14" s="184" t="str">
        <f>IFERROR(IF(VLOOKUP(Wed_W1[[#This Row],[Employee Name]],'Base Schedules'!$A$205:$AW$241,46,FALSE)="","",VLOOKUP(Wed_W1[[#This Row],[Employee Name]],'Base Schedules'!$A$205:$AW$241,46,FALSE)),"")</f>
        <v/>
      </c>
      <c r="AV14" s="184" t="str">
        <f>IFERROR(IF(VLOOKUP(Wed_W1[[#This Row],[Employee Name]],'Base Schedules'!$A$205:$AW$241,47,FALSE)="","",VLOOKUP(Wed_W1[[#This Row],[Employee Name]],'Base Schedules'!$A$205:$AW$241,47,FALSE)),"")</f>
        <v/>
      </c>
      <c r="AW14" s="184" t="str">
        <f>IFERROR(IF(VLOOKUP(Wed_W1[[#This Row],[Employee Name]],'Base Schedules'!$A$205:$AW$241,48,FALSE)="","",VLOOKUP(Wed_W1[[#This Row],[Employee Name]],'Base Schedules'!$A$205:$AW$241,48,FALSE)),"")</f>
        <v/>
      </c>
      <c r="AX14" s="184" t="str">
        <f>IFERROR(IF(VLOOKUP(Wed_W1[[#This Row],[Employee Name]],'Base Schedules'!$A$205:$AW$241,49,FALSE)="","",VLOOKUP(Wed_W1[[#This Row],[Employee Name]],'Base Schedules'!$A$205:$AW$241,49,FALSE)),"")</f>
        <v/>
      </c>
      <c r="AY14" s="164" t="str">
        <f t="shared" si="2"/>
        <v>Breen, Mark</v>
      </c>
    </row>
    <row r="15" spans="1:51" s="44" customFormat="1" ht="12" x14ac:dyDescent="0.2">
      <c r="A15" s="39" t="str">
        <f>IF(B15="","",INDEX(TeamList[],MATCH($B15,TeamList[[Employee Name]:[Employee Name]],0),MATCH("Manager",TeamList[#Headers],0)))</f>
        <v>Olson, Katherine</v>
      </c>
      <c r="B15" s="201" t="s">
        <v>19</v>
      </c>
      <c r="C15" s="257" t="str">
        <f>_xlfn.IFNA(VLOOKUP(Wed_W1[[#This Row],[Employee Name]],'Base Schedules'!A:B,2,FALSE),"")</f>
        <v>Lead</v>
      </c>
      <c r="D15" s="274">
        <f>_xlfn.IFNA(VLOOKUP(Wed_W1[[#This Row],[Employee Name]],'Base Schedules'!A:C,3,FALSE),"")</f>
        <v>600</v>
      </c>
      <c r="E15" s="274">
        <f>_xlfn.IFNA(VLOOKUP(Wed_W1[[#This Row],[Employee Name]],'Base Schedules'!A:D,4,FALSE),"")</f>
        <v>1430</v>
      </c>
      <c r="F15" s="142">
        <f>IF(Wed_W1[[#This Row],[Employee Name]]="","",IF(Wed_W1[[#This Row],[Dept]]="Supervisor",COUNTIFS($J15:$AX15,"*HL*",$J15:$AX15,"&lt;&gt;"&amp;"pHL"),COUNTIFS($J15:$AX15,"*HL*",$J15:$AX15,"&lt;&gt;"&amp;"*pHL*",$J15:$AX15,"&lt;&gt;"&amp;"pB1 HL",$J15:$AX15,"&lt;&gt;"&amp;"pB2 HL")-SUM(COUNTIFS($J15:$AX15,"*HL B1*",$J15:$AX15,"&lt;&gt;"&amp;"pHL B1")*0.5,COUNTIFS($J15:$AX15,"*HL B2*",$J15:$AX15,"&lt;&gt;"&amp;"pHL B2")*0.5,COUNTIFS($J15:$AX15,"*B1 HL*",$J15:$AX15,"&lt;&gt;"&amp;"pB1 HL")*0.5,COUNTIFS($J15:$AX15,"*B2 HL*",$J15:$AX15,"&lt;&gt;"&amp;"pB2 HL")*0.5)))</f>
        <v>5.5</v>
      </c>
      <c r="G15" s="142">
        <f t="shared" si="0"/>
        <v>0</v>
      </c>
      <c r="H15" s="142">
        <f t="shared" si="1"/>
        <v>8</v>
      </c>
      <c r="I15" s="142">
        <f>IF(Wed_W1[[#This Row],[Employee Name]]="","",IF(Wed_W1[[#This Row],[Dept]]="Supervisor",SUM(COUNTIFS($J15:$AX15,"RTA*",$J15:$AX15,"&lt;&gt;"&amp;"pRTA"),COUNTIFS($J15:$AX15,"*CRTA*",$J15:$AX15,"&lt;&gt;"&amp;"pCRTA")),COUNTIFS($J15:$AX15,"*RNNR*",$J15:$AX15,"&lt;&gt;"&amp;"*pRNNR*",$J15:$AX15,"&lt;&gt;"&amp;"pB1 RNNR",$J15:$AX15,"&lt;&gt;"&amp;"pB2 RNNR")-SUM(COUNTIFS($J15:$AX15,"*RNNR B1*",$J15:$AX15,"&lt;&gt;"&amp;"pRNNR B1")*0.5,COUNTIFS($J15:$AX15,"*RNNR B2*",$J15:$AX15,"&lt;&gt;"&amp;"pRNNR B2")*0.5,COUNTIFS($J15:$AX15,"*B1 RNNR*",$J15:$AX15,"&lt;&gt;"&amp;"pB1 RNNR")*0.5,COUNTIFS($J15:$AX15,"*B2 RNNR*",$J15:$AX15,"&lt;&gt;"&amp;"pB2 RNNR")*0.5)))</f>
        <v>2</v>
      </c>
      <c r="J15" s="184" t="str">
        <f>IFERROR(IF(VLOOKUP(Wed_W1[[#This Row],[Employee Name]],'Base Schedules'!$A$205:$AW$241,9,FALSE)="","",VLOOKUP(Wed_W1[[#This Row],[Employee Name]],'Base Schedules'!$A$205:$AW$241,9,FALSE)),"")</f>
        <v/>
      </c>
      <c r="K15" s="184" t="str">
        <f>IFERROR(IF(VLOOKUP(Wed_W1[[#This Row],[Employee Name]],'Base Schedules'!$A$205:$AW$241,10,FALSE)="","",VLOOKUP(Wed_W1[[#This Row],[Employee Name]],'Base Schedules'!$A$205:$AW$241,10,FALSE)),"")</f>
        <v/>
      </c>
      <c r="L15" s="184" t="str">
        <f>IFERROR(IF(VLOOKUP(Wed_W1[[#This Row],[Employee Name]],'Base Schedules'!$A$205:$AW$241,11,FALSE)="","",VLOOKUP(Wed_W1[[#This Row],[Employee Name]],'Base Schedules'!$A$205:$AW$241,11,FALSE)),"")</f>
        <v>ADM</v>
      </c>
      <c r="M15" s="184" t="str">
        <f>IFERROR(IF(VLOOKUP(Wed_W1[[#This Row],[Employee Name]],'Base Schedules'!$A$205:$AW$241,12,FALSE)="","",VLOOKUP(Wed_W1[[#This Row],[Employee Name]],'Base Schedules'!$A$205:$AW$241,12,FALSE)),"")</f>
        <v>ADM</v>
      </c>
      <c r="N15" s="184" t="str">
        <f>IFERROR(IF(VLOOKUP(Wed_W1[[#This Row],[Employee Name]],'Base Schedules'!$A$205:$AW$241,13,FALSE)="","",VLOOKUP(Wed_W1[[#This Row],[Employee Name]],'Base Schedules'!$A$205:$AW$241,13,FALSE)),"")</f>
        <v>ADM</v>
      </c>
      <c r="O15" s="184" t="str">
        <f>IFERROR(IF(VLOOKUP(Wed_W1[[#This Row],[Employee Name]],'Base Schedules'!$A$205:$AW$241,14,FALSE)="","",VLOOKUP(Wed_W1[[#This Row],[Employee Name]],'Base Schedules'!$A$205:$AW$241,14,FALSE)),"")</f>
        <v>HL</v>
      </c>
      <c r="P15" s="184" t="str">
        <f>IFERROR(IF(VLOOKUP(Wed_W1[[#This Row],[Employee Name]],'Base Schedules'!$A$205:$AW$241,15,FALSE)="","",VLOOKUP(Wed_W1[[#This Row],[Employee Name]],'Base Schedules'!$A$205:$AW$241,15,FALSE)),"")</f>
        <v>B1 HL</v>
      </c>
      <c r="Q15" s="184" t="str">
        <f>IFERROR(IF(VLOOKUP(Wed_W1[[#This Row],[Employee Name]],'Base Schedules'!$A$205:$AW$241,16,FALSE)="","",VLOOKUP(Wed_W1[[#This Row],[Employee Name]],'Base Schedules'!$A$205:$AW$241,16,FALSE)),"")</f>
        <v>HL</v>
      </c>
      <c r="R15" s="184" t="str">
        <f>IFERROR(IF(VLOOKUP(Wed_W1[[#This Row],[Employee Name]],'Base Schedules'!$A$205:$AW$241,17,FALSE)="","",VLOOKUP(Wed_W1[[#This Row],[Employee Name]],'Base Schedules'!$A$205:$AW$241,17,FALSE)),"")</f>
        <v>HL</v>
      </c>
      <c r="S15" s="184" t="str">
        <f>IFERROR(IF(VLOOKUP(Wed_W1[[#This Row],[Employee Name]],'Base Schedules'!$A$205:$AW$241,18,FALSE)="","",VLOOKUP(Wed_W1[[#This Row],[Employee Name]],'Base Schedules'!$A$205:$AW$241,18,FALSE)),"")</f>
        <v>HL</v>
      </c>
      <c r="T15" s="184" t="str">
        <f>IFERROR(IF(VLOOKUP(Wed_W1[[#This Row],[Employee Name]],'Base Schedules'!$A$205:$AW$241,19,FALSE)="","",VLOOKUP(Wed_W1[[#This Row],[Employee Name]],'Base Schedules'!$A$205:$AW$241,19,FALSE)),"")</f>
        <v>HL</v>
      </c>
      <c r="U15" s="184" t="str">
        <f>IFERROR(IF(VLOOKUP(Wed_W1[[#This Row],[Employee Name]],'Base Schedules'!$A$205:$AW$241,20,FALSE)="","",VLOOKUP(Wed_W1[[#This Row],[Employee Name]],'Base Schedules'!$A$205:$AW$241,20,FALSE)),"")</f>
        <v>LUNCH</v>
      </c>
      <c r="V15" s="184" t="str">
        <f>IFERROR(IF(VLOOKUP(Wed_W1[[#This Row],[Employee Name]],'Base Schedules'!$A$205:$AW$241,21,FALSE)="","",VLOOKUP(Wed_W1[[#This Row],[Employee Name]],'Base Schedules'!$A$205:$AW$241,21,FALSE)),"")</f>
        <v>RNNR</v>
      </c>
      <c r="W15" s="184" t="str">
        <f>IFERROR(IF(VLOOKUP(Wed_W1[[#This Row],[Employee Name]],'Base Schedules'!$A$205:$AW$241,22,FALSE)="","",VLOOKUP(Wed_W1[[#This Row],[Employee Name]],'Base Schedules'!$A$205:$AW$241,22,FALSE)),"")</f>
        <v>RNNR</v>
      </c>
      <c r="X15" s="184" t="str">
        <f>IFERROR(IF(VLOOKUP(Wed_W1[[#This Row],[Employee Name]],'Base Schedules'!$A$205:$AW$241,23,FALSE)="","",VLOOKUP(Wed_W1[[#This Row],[Employee Name]],'Base Schedules'!$A$205:$AW$241,23,FALSE)),"")</f>
        <v>ADM</v>
      </c>
      <c r="Y15" s="184" t="str">
        <f>IFERROR(IF(VLOOKUP(Wed_W1[[#This Row],[Employee Name]],'Base Schedules'!$A$205:$AW$241,24,FALSE)="","",VLOOKUP(Wed_W1[[#This Row],[Employee Name]],'Base Schedules'!$A$205:$AW$241,24,FALSE)),"")</f>
        <v>ADM B2</v>
      </c>
      <c r="Z15" s="184" t="str">
        <f>IFERROR(IF(VLOOKUP(Wed_W1[[#This Row],[Employee Name]],'Base Schedules'!$A$205:$AW$241,25,FALSE)="","",VLOOKUP(Wed_W1[[#This Row],[Employee Name]],'Base Schedules'!$A$205:$AW$241,25,FALSE)),"")</f>
        <v>ADM</v>
      </c>
      <c r="AA15" s="184" t="str">
        <f>IFERROR(IF(VLOOKUP(Wed_W1[[#This Row],[Employee Name]],'Base Schedules'!$A$205:$AW$241,26,FALSE)="","",VLOOKUP(Wed_W1[[#This Row],[Employee Name]],'Base Schedules'!$A$205:$AW$241,26,FALSE)),"")</f>
        <v>ADM</v>
      </c>
      <c r="AB15" s="184" t="str">
        <f>IFERROR(IF(VLOOKUP(Wed_W1[[#This Row],[Employee Name]],'Base Schedules'!$A$205:$AW$241,27,FALSE)="","",VLOOKUP(Wed_W1[[#This Row],[Employee Name]],'Base Schedules'!$A$205:$AW$241,27,FALSE)),"")</f>
        <v>ADM</v>
      </c>
      <c r="AC15" s="184" t="str">
        <f>IFERROR(IF(VLOOKUP(Wed_W1[[#This Row],[Employee Name]],'Base Schedules'!$A$205:$AW$241,28,FALSE)="","",VLOOKUP(Wed_W1[[#This Row],[Employee Name]],'Base Schedules'!$A$205:$AW$241,28,FALSE)),"")</f>
        <v/>
      </c>
      <c r="AD15" s="184" t="str">
        <f>IFERROR(IF(VLOOKUP(Wed_W1[[#This Row],[Employee Name]],'Base Schedules'!$A$205:$AW$241,29,FALSE)="","",VLOOKUP(Wed_W1[[#This Row],[Employee Name]],'Base Schedules'!$A$205:$AW$241,29,FALSE)),"")</f>
        <v/>
      </c>
      <c r="AE15" s="184" t="str">
        <f>IFERROR(IF(VLOOKUP(Wed_W1[[#This Row],[Employee Name]],'Base Schedules'!$A$205:$AW$241,30,FALSE)="","",VLOOKUP(Wed_W1[[#This Row],[Employee Name]],'Base Schedules'!$A$205:$AW$241,30,FALSE)),"")</f>
        <v/>
      </c>
      <c r="AF15" s="184" t="str">
        <f>IFERROR(IF(VLOOKUP(Wed_W1[[#This Row],[Employee Name]],'Base Schedules'!$A$205:$AW$241,31,FALSE)="","",VLOOKUP(Wed_W1[[#This Row],[Employee Name]],'Base Schedules'!$A$205:$AW$241,31,FALSE)),"")</f>
        <v/>
      </c>
      <c r="AG15" s="184" t="str">
        <f>IFERROR(IF(VLOOKUP(Wed_W1[[#This Row],[Employee Name]],'Base Schedules'!$A$205:$AW$241,32,FALSE)="","",VLOOKUP(Wed_W1[[#This Row],[Employee Name]],'Base Schedules'!$A$205:$AW$241,32,FALSE)),"")</f>
        <v/>
      </c>
      <c r="AH15" s="184" t="str">
        <f>IFERROR(IF(VLOOKUP(Wed_W1[[#This Row],[Employee Name]],'Base Schedules'!$A$205:$AW$241,33,FALSE)="","",VLOOKUP(Wed_W1[[#This Row],[Employee Name]],'Base Schedules'!$A$205:$AW$241,33,FALSE)),"")</f>
        <v/>
      </c>
      <c r="AI15" s="184" t="str">
        <f>IFERROR(IF(VLOOKUP(Wed_W1[[#This Row],[Employee Name]],'Base Schedules'!$A$205:$AW$241,34,FALSE)="","",VLOOKUP(Wed_W1[[#This Row],[Employee Name]],'Base Schedules'!$A$205:$AW$241,34,FALSE)),"")</f>
        <v/>
      </c>
      <c r="AJ15" s="184" t="str">
        <f>IFERROR(IF(VLOOKUP(Wed_W1[[#This Row],[Employee Name]],'Base Schedules'!$A$205:$AW$241,35,FALSE)="","",VLOOKUP(Wed_W1[[#This Row],[Employee Name]],'Base Schedules'!$A$205:$AW$241,35,FALSE)),"")</f>
        <v/>
      </c>
      <c r="AK15" s="184" t="str">
        <f>IFERROR(IF(VLOOKUP(Wed_W1[[#This Row],[Employee Name]],'Base Schedules'!$A$205:$AW$241,36,FALSE)="","",VLOOKUP(Wed_W1[[#This Row],[Employee Name]],'Base Schedules'!$A$205:$AW$241,36,FALSE)),"")</f>
        <v/>
      </c>
      <c r="AL15" s="184" t="str">
        <f>IFERROR(IF(VLOOKUP(Wed_W1[[#This Row],[Employee Name]],'Base Schedules'!$A$205:$AW$241,37,FALSE)="","",VLOOKUP(Wed_W1[[#This Row],[Employee Name]],'Base Schedules'!$A$205:$AW$241,37,FALSE)),"")</f>
        <v/>
      </c>
      <c r="AM15" s="184" t="str">
        <f>IFERROR(IF(VLOOKUP(Wed_W1[[#This Row],[Employee Name]],'Base Schedules'!$A$205:$AW$241,38,FALSE)="","",VLOOKUP(Wed_W1[[#This Row],[Employee Name]],'Base Schedules'!$A$205:$AW$241,38,FALSE)),"")</f>
        <v/>
      </c>
      <c r="AN15" s="184" t="str">
        <f>IFERROR(IF(VLOOKUP(Wed_W1[[#This Row],[Employee Name]],'Base Schedules'!$A$205:$AW$241,39,FALSE)="","",VLOOKUP(Wed_W1[[#This Row],[Employee Name]],'Base Schedules'!$A$205:$AW$241,39,FALSE)),"")</f>
        <v/>
      </c>
      <c r="AO15" s="184" t="str">
        <f>IFERROR(IF(VLOOKUP(Wed_W1[[#This Row],[Employee Name]],'Base Schedules'!$A$205:$AW$241,40,FALSE)="","",VLOOKUP(Wed_W1[[#This Row],[Employee Name]],'Base Schedules'!$A$205:$AW$241,40,FALSE)),"")</f>
        <v/>
      </c>
      <c r="AP15" s="184" t="str">
        <f>IFERROR(IF(VLOOKUP(Wed_W1[[#This Row],[Employee Name]],'Base Schedules'!$A$205:$AW$241,41,FALSE)="","",VLOOKUP(Wed_W1[[#This Row],[Employee Name]],'Base Schedules'!$A$205:$AW$241,41,FALSE)),"")</f>
        <v/>
      </c>
      <c r="AQ15" s="184" t="str">
        <f>IFERROR(IF(VLOOKUP(Wed_W1[[#This Row],[Employee Name]],'Base Schedules'!$A$205:$AW$241,42,FALSE)="","",VLOOKUP(Wed_W1[[#This Row],[Employee Name]],'Base Schedules'!$A$205:$AW$241,42,FALSE)),"")</f>
        <v/>
      </c>
      <c r="AR15" s="184" t="str">
        <f>IFERROR(IF(VLOOKUP(Wed_W1[[#This Row],[Employee Name]],'Base Schedules'!$A$205:$AW$241,43,FALSE)="","",VLOOKUP(Wed_W1[[#This Row],[Employee Name]],'Base Schedules'!$A$205:$AW$241,43,FALSE)),"")</f>
        <v/>
      </c>
      <c r="AS15" s="184" t="str">
        <f>IFERROR(IF(VLOOKUP(Wed_W1[[#This Row],[Employee Name]],'Base Schedules'!$A$205:$AW$241,44,FALSE)="","",VLOOKUP(Wed_W1[[#This Row],[Employee Name]],'Base Schedules'!$A$205:$AW$241,44,FALSE)),"")</f>
        <v/>
      </c>
      <c r="AT15" s="184" t="str">
        <f>IFERROR(IF(VLOOKUP(Wed_W1[[#This Row],[Employee Name]],'Base Schedules'!$A$205:$AW$241,45,FALSE)="","",VLOOKUP(Wed_W1[[#This Row],[Employee Name]],'Base Schedules'!$A$205:$AW$241,45,FALSE)),"")</f>
        <v/>
      </c>
      <c r="AU15" s="184" t="str">
        <f>IFERROR(IF(VLOOKUP(Wed_W1[[#This Row],[Employee Name]],'Base Schedules'!$A$205:$AW$241,46,FALSE)="","",VLOOKUP(Wed_W1[[#This Row],[Employee Name]],'Base Schedules'!$A$205:$AW$241,46,FALSE)),"")</f>
        <v/>
      </c>
      <c r="AV15" s="184" t="str">
        <f>IFERROR(IF(VLOOKUP(Wed_W1[[#This Row],[Employee Name]],'Base Schedules'!$A$205:$AW$241,47,FALSE)="","",VLOOKUP(Wed_W1[[#This Row],[Employee Name]],'Base Schedules'!$A$205:$AW$241,47,FALSE)),"")</f>
        <v/>
      </c>
      <c r="AW15" s="184" t="str">
        <f>IFERROR(IF(VLOOKUP(Wed_W1[[#This Row],[Employee Name]],'Base Schedules'!$A$205:$AW$241,48,FALSE)="","",VLOOKUP(Wed_W1[[#This Row],[Employee Name]],'Base Schedules'!$A$205:$AW$241,48,FALSE)),"")</f>
        <v/>
      </c>
      <c r="AX15" s="184" t="str">
        <f>IFERROR(IF(VLOOKUP(Wed_W1[[#This Row],[Employee Name]],'Base Schedules'!$A$205:$AW$241,49,FALSE)="","",VLOOKUP(Wed_W1[[#This Row],[Employee Name]],'Base Schedules'!$A$205:$AW$241,49,FALSE)),"")</f>
        <v/>
      </c>
      <c r="AY15" s="164" t="str">
        <f t="shared" si="2"/>
        <v>Albert, Christina</v>
      </c>
    </row>
    <row r="16" spans="1:51" s="44" customFormat="1" ht="12" x14ac:dyDescent="0.2">
      <c r="A16" s="39" t="str">
        <f>IF(B16="","",INDEX(TeamList[],MATCH($B16,TeamList[[Employee Name]:[Employee Name]],0),MATCH("Manager",TeamList[#Headers],0)))</f>
        <v>Paulson, Matthew</v>
      </c>
      <c r="B16" s="201" t="s">
        <v>20</v>
      </c>
      <c r="C16" s="257" t="str">
        <f>_xlfn.IFNA(VLOOKUP(Wed_W1[[#This Row],[Employee Name]],'Base Schedules'!A:B,2,FALSE),"")</f>
        <v>Supervisor</v>
      </c>
      <c r="D16" s="274">
        <f>_xlfn.IFNA(VLOOKUP(Wed_W1[[#This Row],[Employee Name]],'Base Schedules'!A:C,3,FALSE),"")</f>
        <v>600</v>
      </c>
      <c r="E16" s="274">
        <f>_xlfn.IFNA(VLOOKUP(Wed_W1[[#This Row],[Employee Name]],'Base Schedules'!A:D,4,FALSE),"")</f>
        <v>1500</v>
      </c>
      <c r="F16" s="142">
        <f>IF(Wed_W1[[#This Row],[Employee Name]]="","",IF(Wed_W1[[#This Row],[Dept]]="Supervisor",COUNTIFS($J16:$AX16,"*HL*",$J16:$AX16,"&lt;&gt;"&amp;"pHL"),COUNTIFS($J16:$AX16,"*HL*",$J16:$AX16,"&lt;&gt;"&amp;"*pHL*",$J16:$AX16,"&lt;&gt;"&amp;"pB1 HL",$J16:$AX16,"&lt;&gt;"&amp;"pB2 HL")-SUM(COUNTIFS($J16:$AX16,"*HL B1*",$J16:$AX16,"&lt;&gt;"&amp;"pHL B1")*0.5,COUNTIFS($J16:$AX16,"*HL B2*",$J16:$AX16,"&lt;&gt;"&amp;"pHL B2")*0.5,COUNTIFS($J16:$AX16,"*B1 HL*",$J16:$AX16,"&lt;&gt;"&amp;"pB1 HL")*0.5,COUNTIFS($J16:$AX16,"*B2 HL*",$J16:$AX16,"&lt;&gt;"&amp;"pB2 HL")*0.5)))</f>
        <v>0</v>
      </c>
      <c r="G16" s="142">
        <f t="shared" si="0"/>
        <v>5</v>
      </c>
      <c r="H16" s="142">
        <f t="shared" si="1"/>
        <v>0</v>
      </c>
      <c r="I16" s="142">
        <f>IF(Wed_W1[[#This Row],[Employee Name]]="","",IF(Wed_W1[[#This Row],[Dept]]="Supervisor",SUM(COUNTIFS($J16:$AX16,"RTA*",$J16:$AX16,"&lt;&gt;"&amp;"pRTA"),COUNTIFS($J16:$AX16,"*CRTA*",$J16:$AX16,"&lt;&gt;"&amp;"pCRTA")),COUNTIFS($J16:$AX16,"*RNNR*",$J16:$AX16,"&lt;&gt;"&amp;"*pRNNR*",$J16:$AX16,"&lt;&gt;"&amp;"pB1 RNNR",$J16:$AX16,"&lt;&gt;"&amp;"pB2 RNNR")-SUM(COUNTIFS($J16:$AX16,"*RNNR B1*",$J16:$AX16,"&lt;&gt;"&amp;"pRNNR B1")*0.5,COUNTIFS($J16:$AX16,"*RNNR B2*",$J16:$AX16,"&lt;&gt;"&amp;"pRNNR B2")*0.5,COUNTIFS($J16:$AX16,"*B1 RNNR*",$J16:$AX16,"&lt;&gt;"&amp;"pB1 RNNR")*0.5,COUNTIFS($J16:$AX16,"*B2 RNNR*",$J16:$AX16,"&lt;&gt;"&amp;"pB2 RNNR")*0.5)))</f>
        <v>0</v>
      </c>
      <c r="J16" s="184" t="str">
        <f>IFERROR(IF(VLOOKUP(Wed_W1[[#This Row],[Employee Name]],'Base Schedules'!$A$205:$AW$241,9,FALSE)="","",VLOOKUP(Wed_W1[[#This Row],[Employee Name]],'Base Schedules'!$A$205:$AW$241,9,FALSE)),"")</f>
        <v/>
      </c>
      <c r="K16" s="184" t="str">
        <f>IFERROR(IF(VLOOKUP(Wed_W1[[#This Row],[Employee Name]],'Base Schedules'!$A$205:$AW$241,10,FALSE)="","",VLOOKUP(Wed_W1[[#This Row],[Employee Name]],'Base Schedules'!$A$205:$AW$241,10,FALSE)),"")</f>
        <v/>
      </c>
      <c r="L16" s="184" t="str">
        <f>IFERROR(IF(VLOOKUP(Wed_W1[[#This Row],[Employee Name]],'Base Schedules'!$A$205:$AW$241,11,FALSE)="","",VLOOKUP(Wed_W1[[#This Row],[Employee Name]],'Base Schedules'!$A$205:$AW$241,11,FALSE)),"")</f>
        <v>-</v>
      </c>
      <c r="M16" s="184" t="str">
        <f>IFERROR(IF(VLOOKUP(Wed_W1[[#This Row],[Employee Name]],'Base Schedules'!$A$205:$AW$241,12,FALSE)="","",VLOOKUP(Wed_W1[[#This Row],[Employee Name]],'Base Schedules'!$A$205:$AW$241,12,FALSE)),"")</f>
        <v>-</v>
      </c>
      <c r="N16" s="184" t="str">
        <f>IFERROR(IF(VLOOKUP(Wed_W1[[#This Row],[Employee Name]],'Base Schedules'!$A$205:$AW$241,13,FALSE)="","",VLOOKUP(Wed_W1[[#This Row],[Employee Name]],'Base Schedules'!$A$205:$AW$241,13,FALSE)),"")</f>
        <v>-</v>
      </c>
      <c r="O16" s="184" t="str">
        <f>IFERROR(IF(VLOOKUP(Wed_W1[[#This Row],[Employee Name]],'Base Schedules'!$A$205:$AW$241,14,FALSE)="","",VLOOKUP(Wed_W1[[#This Row],[Employee Name]],'Base Schedules'!$A$205:$AW$241,14,FALSE)),"")</f>
        <v>-</v>
      </c>
      <c r="P16" s="184" t="str">
        <f>IFERROR(IF(VLOOKUP(Wed_W1[[#This Row],[Employee Name]],'Base Schedules'!$A$205:$AW$241,15,FALSE)="","",VLOOKUP(Wed_W1[[#This Row],[Employee Name]],'Base Schedules'!$A$205:$AW$241,15,FALSE)),"")</f>
        <v>Interview</v>
      </c>
      <c r="Q16" s="184" t="str">
        <f>IFERROR(IF(VLOOKUP(Wed_W1[[#This Row],[Employee Name]],'Base Schedules'!$A$205:$AW$241,16,FALSE)="","",VLOOKUP(Wed_W1[[#This Row],[Employee Name]],'Base Schedules'!$A$205:$AW$241,16,FALSE)),"")</f>
        <v>Interview</v>
      </c>
      <c r="R16" s="184" t="str">
        <f>IFERROR(IF(VLOOKUP(Wed_W1[[#This Row],[Employee Name]],'Base Schedules'!$A$205:$AW$241,17,FALSE)="","",VLOOKUP(Wed_W1[[#This Row],[Employee Name]],'Base Schedules'!$A$205:$AW$241,17,FALSE)),"")</f>
        <v>Coaching</v>
      </c>
      <c r="S16" s="184" t="str">
        <f>IFERROR(IF(VLOOKUP(Wed_W1[[#This Row],[Employee Name]],'Base Schedules'!$A$205:$AW$241,18,FALSE)="","",VLOOKUP(Wed_W1[[#This Row],[Employee Name]],'Base Schedules'!$A$205:$AW$241,18,FALSE)),"")</f>
        <v>Coaching</v>
      </c>
      <c r="T16" s="184" t="str">
        <f>IFERROR(IF(VLOOKUP(Wed_W1[[#This Row],[Employee Name]],'Base Schedules'!$A$205:$AW$241,19,FALSE)="","",VLOOKUP(Wed_W1[[#This Row],[Employee Name]],'Base Schedules'!$A$205:$AW$241,19,FALSE)),"")</f>
        <v>Coaching</v>
      </c>
      <c r="U16" s="184" t="str">
        <f>IFERROR(IF(VLOOKUP(Wed_W1[[#This Row],[Employee Name]],'Base Schedules'!$A$205:$AW$241,20,FALSE)="","",VLOOKUP(Wed_W1[[#This Row],[Employee Name]],'Base Schedules'!$A$205:$AW$241,20,FALSE)),"")</f>
        <v>Coaching</v>
      </c>
      <c r="V16" s="184" t="str">
        <f>IFERROR(IF(VLOOKUP(Wed_W1[[#This Row],[Employee Name]],'Base Schedules'!$A$205:$AW$241,21,FALSE)="","",VLOOKUP(Wed_W1[[#This Row],[Employee Name]],'Base Schedules'!$A$205:$AW$241,21,FALSE)),"")</f>
        <v>Coaching</v>
      </c>
      <c r="W16" s="184" t="str">
        <f>IFERROR(IF(VLOOKUP(Wed_W1[[#This Row],[Employee Name]],'Base Schedules'!$A$205:$AW$241,22,FALSE)="","",VLOOKUP(Wed_W1[[#This Row],[Employee Name]],'Base Schedules'!$A$205:$AW$241,22,FALSE)),"")</f>
        <v>-</v>
      </c>
      <c r="X16" s="184" t="str">
        <f>IFERROR(IF(VLOOKUP(Wed_W1[[#This Row],[Employee Name]],'Base Schedules'!$A$205:$AW$241,23,FALSE)="","",VLOOKUP(Wed_W1[[#This Row],[Employee Name]],'Base Schedules'!$A$205:$AW$241,23,FALSE)),"")</f>
        <v>-</v>
      </c>
      <c r="Y16" s="184" t="str">
        <f>IFERROR(IF(VLOOKUP(Wed_W1[[#This Row],[Employee Name]],'Base Schedules'!$A$205:$AW$241,24,FALSE)="","",VLOOKUP(Wed_W1[[#This Row],[Employee Name]],'Base Schedules'!$A$205:$AW$241,24,FALSE)),"")</f>
        <v>-</v>
      </c>
      <c r="Z16" s="184" t="str">
        <f>IFERROR(IF(VLOOKUP(Wed_W1[[#This Row],[Employee Name]],'Base Schedules'!$A$205:$AW$241,25,FALSE)="","",VLOOKUP(Wed_W1[[#This Row],[Employee Name]],'Base Schedules'!$A$205:$AW$241,25,FALSE)),"")</f>
        <v>-</v>
      </c>
      <c r="AA16" s="184" t="str">
        <f>IFERROR(IF(VLOOKUP(Wed_W1[[#This Row],[Employee Name]],'Base Schedules'!$A$205:$AW$241,26,FALSE)="","",VLOOKUP(Wed_W1[[#This Row],[Employee Name]],'Base Schedules'!$A$205:$AW$241,26,FALSE)),"")</f>
        <v>-</v>
      </c>
      <c r="AB16" s="184" t="str">
        <f>IFERROR(IF(VLOOKUP(Wed_W1[[#This Row],[Employee Name]],'Base Schedules'!$A$205:$AW$241,27,FALSE)="","",VLOOKUP(Wed_W1[[#This Row],[Employee Name]],'Base Schedules'!$A$205:$AW$241,27,FALSE)),"")</f>
        <v>-</v>
      </c>
      <c r="AC16" s="184" t="str">
        <f>IFERROR(IF(VLOOKUP(Wed_W1[[#This Row],[Employee Name]],'Base Schedules'!$A$205:$AW$241,28,FALSE)="","",VLOOKUP(Wed_W1[[#This Row],[Employee Name]],'Base Schedules'!$A$205:$AW$241,28,FALSE)),"")</f>
        <v>-</v>
      </c>
      <c r="AD16" s="184" t="str">
        <f>IFERROR(IF(VLOOKUP(Wed_W1[[#This Row],[Employee Name]],'Base Schedules'!$A$205:$AW$241,29,FALSE)="","",VLOOKUP(Wed_W1[[#This Row],[Employee Name]],'Base Schedules'!$A$205:$AW$241,29,FALSE)),"")</f>
        <v/>
      </c>
      <c r="AE16" s="184" t="str">
        <f>IFERROR(IF(VLOOKUP(Wed_W1[[#This Row],[Employee Name]],'Base Schedules'!$A$205:$AW$241,30,FALSE)="","",VLOOKUP(Wed_W1[[#This Row],[Employee Name]],'Base Schedules'!$A$205:$AW$241,30,FALSE)),"")</f>
        <v/>
      </c>
      <c r="AF16" s="184" t="str">
        <f>IFERROR(IF(VLOOKUP(Wed_W1[[#This Row],[Employee Name]],'Base Schedules'!$A$205:$AW$241,31,FALSE)="","",VLOOKUP(Wed_W1[[#This Row],[Employee Name]],'Base Schedules'!$A$205:$AW$241,31,FALSE)),"")</f>
        <v/>
      </c>
      <c r="AG16" s="184" t="str">
        <f>IFERROR(IF(VLOOKUP(Wed_W1[[#This Row],[Employee Name]],'Base Schedules'!$A$205:$AW$241,32,FALSE)="","",VLOOKUP(Wed_W1[[#This Row],[Employee Name]],'Base Schedules'!$A$205:$AW$241,32,FALSE)),"")</f>
        <v/>
      </c>
      <c r="AH16" s="184" t="str">
        <f>IFERROR(IF(VLOOKUP(Wed_W1[[#This Row],[Employee Name]],'Base Schedules'!$A$205:$AW$241,33,FALSE)="","",VLOOKUP(Wed_W1[[#This Row],[Employee Name]],'Base Schedules'!$A$205:$AW$241,33,FALSE)),"")</f>
        <v/>
      </c>
      <c r="AI16" s="184" t="str">
        <f>IFERROR(IF(VLOOKUP(Wed_W1[[#This Row],[Employee Name]],'Base Schedules'!$A$205:$AW$241,34,FALSE)="","",VLOOKUP(Wed_W1[[#This Row],[Employee Name]],'Base Schedules'!$A$205:$AW$241,34,FALSE)),"")</f>
        <v/>
      </c>
      <c r="AJ16" s="184" t="str">
        <f>IFERROR(IF(VLOOKUP(Wed_W1[[#This Row],[Employee Name]],'Base Schedules'!$A$205:$AW$241,35,FALSE)="","",VLOOKUP(Wed_W1[[#This Row],[Employee Name]],'Base Schedules'!$A$205:$AW$241,35,FALSE)),"")</f>
        <v/>
      </c>
      <c r="AK16" s="184" t="str">
        <f>IFERROR(IF(VLOOKUP(Wed_W1[[#This Row],[Employee Name]],'Base Schedules'!$A$205:$AW$241,36,FALSE)="","",VLOOKUP(Wed_W1[[#This Row],[Employee Name]],'Base Schedules'!$A$205:$AW$241,36,FALSE)),"")</f>
        <v/>
      </c>
      <c r="AL16" s="184" t="str">
        <f>IFERROR(IF(VLOOKUP(Wed_W1[[#This Row],[Employee Name]],'Base Schedules'!$A$205:$AW$241,37,FALSE)="","",VLOOKUP(Wed_W1[[#This Row],[Employee Name]],'Base Schedules'!$A$205:$AW$241,37,FALSE)),"")</f>
        <v/>
      </c>
      <c r="AM16" s="184" t="str">
        <f>IFERROR(IF(VLOOKUP(Wed_W1[[#This Row],[Employee Name]],'Base Schedules'!$A$205:$AW$241,38,FALSE)="","",VLOOKUP(Wed_W1[[#This Row],[Employee Name]],'Base Schedules'!$A$205:$AW$241,38,FALSE)),"")</f>
        <v/>
      </c>
      <c r="AN16" s="184" t="str">
        <f>IFERROR(IF(VLOOKUP(Wed_W1[[#This Row],[Employee Name]],'Base Schedules'!$A$205:$AW$241,39,FALSE)="","",VLOOKUP(Wed_W1[[#This Row],[Employee Name]],'Base Schedules'!$A$205:$AW$241,39,FALSE)),"")</f>
        <v/>
      </c>
      <c r="AO16" s="184" t="str">
        <f>IFERROR(IF(VLOOKUP(Wed_W1[[#This Row],[Employee Name]],'Base Schedules'!$A$205:$AW$241,40,FALSE)="","",VLOOKUP(Wed_W1[[#This Row],[Employee Name]],'Base Schedules'!$A$205:$AW$241,40,FALSE)),"")</f>
        <v/>
      </c>
      <c r="AP16" s="184" t="str">
        <f>IFERROR(IF(VLOOKUP(Wed_W1[[#This Row],[Employee Name]],'Base Schedules'!$A$205:$AW$241,41,FALSE)="","",VLOOKUP(Wed_W1[[#This Row],[Employee Name]],'Base Schedules'!$A$205:$AW$241,41,FALSE)),"")</f>
        <v/>
      </c>
      <c r="AQ16" s="184" t="str">
        <f>IFERROR(IF(VLOOKUP(Wed_W1[[#This Row],[Employee Name]],'Base Schedules'!$A$205:$AW$241,42,FALSE)="","",VLOOKUP(Wed_W1[[#This Row],[Employee Name]],'Base Schedules'!$A$205:$AW$241,42,FALSE)),"")</f>
        <v/>
      </c>
      <c r="AR16" s="184" t="str">
        <f>IFERROR(IF(VLOOKUP(Wed_W1[[#This Row],[Employee Name]],'Base Schedules'!$A$205:$AW$241,43,FALSE)="","",VLOOKUP(Wed_W1[[#This Row],[Employee Name]],'Base Schedules'!$A$205:$AW$241,43,FALSE)),"")</f>
        <v/>
      </c>
      <c r="AS16" s="184" t="str">
        <f>IFERROR(IF(VLOOKUP(Wed_W1[[#This Row],[Employee Name]],'Base Schedules'!$A$205:$AW$241,44,FALSE)="","",VLOOKUP(Wed_W1[[#This Row],[Employee Name]],'Base Schedules'!$A$205:$AW$241,44,FALSE)),"")</f>
        <v/>
      </c>
      <c r="AT16" s="184" t="str">
        <f>IFERROR(IF(VLOOKUP(Wed_W1[[#This Row],[Employee Name]],'Base Schedules'!$A$205:$AW$241,45,FALSE)="","",VLOOKUP(Wed_W1[[#This Row],[Employee Name]],'Base Schedules'!$A$205:$AW$241,45,FALSE)),"")</f>
        <v/>
      </c>
      <c r="AU16" s="184" t="str">
        <f>IFERROR(IF(VLOOKUP(Wed_W1[[#This Row],[Employee Name]],'Base Schedules'!$A$205:$AW$241,46,FALSE)="","",VLOOKUP(Wed_W1[[#This Row],[Employee Name]],'Base Schedules'!$A$205:$AW$241,46,FALSE)),"")</f>
        <v/>
      </c>
      <c r="AV16" s="184" t="str">
        <f>IFERROR(IF(VLOOKUP(Wed_W1[[#This Row],[Employee Name]],'Base Schedules'!$A$205:$AW$241,47,FALSE)="","",VLOOKUP(Wed_W1[[#This Row],[Employee Name]],'Base Schedules'!$A$205:$AW$241,47,FALSE)),"")</f>
        <v/>
      </c>
      <c r="AW16" s="184" t="str">
        <f>IFERROR(IF(VLOOKUP(Wed_W1[[#This Row],[Employee Name]],'Base Schedules'!$A$205:$AW$241,48,FALSE)="","",VLOOKUP(Wed_W1[[#This Row],[Employee Name]],'Base Schedules'!$A$205:$AW$241,48,FALSE)),"")</f>
        <v/>
      </c>
      <c r="AX16" s="184" t="str">
        <f>IFERROR(IF(VLOOKUP(Wed_W1[[#This Row],[Employee Name]],'Base Schedules'!$A$205:$AW$241,49,FALSE)="","",VLOOKUP(Wed_W1[[#This Row],[Employee Name]],'Base Schedules'!$A$205:$AW$241,49,FALSE)),"")</f>
        <v/>
      </c>
      <c r="AY16" s="164" t="str">
        <f t="shared" si="2"/>
        <v>Germony, June</v>
      </c>
    </row>
    <row r="17" spans="1:51" s="44" customFormat="1" ht="12" x14ac:dyDescent="0.2">
      <c r="A17" s="39" t="str">
        <f>IF(B17="","",INDEX(TeamList[],MATCH($B17,TeamList[[Employee Name]:[Employee Name]],0),MATCH("Manager",TeamList[#Headers],0)))</f>
        <v>Ahmed Hassan, Zahra</v>
      </c>
      <c r="B17" s="201" t="s">
        <v>51</v>
      </c>
      <c r="C17" s="257" t="str">
        <f>_xlfn.IFNA(VLOOKUP(Wed_W1[[#This Row],[Employee Name]],'Base Schedules'!A:B,2,FALSE),"")</f>
        <v>Supervisor</v>
      </c>
      <c r="D17" s="274">
        <f>_xlfn.IFNA(VLOOKUP(Wed_W1[[#This Row],[Employee Name]],'Base Schedules'!A:C,3,FALSE),"")</f>
        <v>700</v>
      </c>
      <c r="E17" s="274">
        <f>_xlfn.IFNA(VLOOKUP(Wed_W1[[#This Row],[Employee Name]],'Base Schedules'!A:D,4,FALSE),"")</f>
        <v>1600</v>
      </c>
      <c r="F17" s="142">
        <f>IF(Wed_W1[[#This Row],[Employee Name]]="","",IF(Wed_W1[[#This Row],[Dept]]="Supervisor",COUNTIFS($J17:$AX17,"*HL*",$J17:$AX17,"&lt;&gt;"&amp;"pHL"),COUNTIFS($J17:$AX17,"*HL*",$J17:$AX17,"&lt;&gt;"&amp;"*pHL*",$J17:$AX17,"&lt;&gt;"&amp;"pB1 HL",$J17:$AX17,"&lt;&gt;"&amp;"pB2 HL")-SUM(COUNTIFS($J17:$AX17,"*HL B1*",$J17:$AX17,"&lt;&gt;"&amp;"pHL B1")*0.5,COUNTIFS($J17:$AX17,"*HL B2*",$J17:$AX17,"&lt;&gt;"&amp;"pHL B2")*0.5,COUNTIFS($J17:$AX17,"*B1 HL*",$J17:$AX17,"&lt;&gt;"&amp;"pB1 HL")*0.5,COUNTIFS($J17:$AX17,"*B2 HL*",$J17:$AX17,"&lt;&gt;"&amp;"pB2 HL")*0.5)))</f>
        <v>0</v>
      </c>
      <c r="G17" s="142">
        <f t="shared" si="0"/>
        <v>4</v>
      </c>
      <c r="H17" s="142">
        <f t="shared" si="1"/>
        <v>0</v>
      </c>
      <c r="I17" s="142">
        <f>IF(Wed_W1[[#This Row],[Employee Name]]="","",IF(Wed_W1[[#This Row],[Dept]]="Supervisor",SUM(COUNTIFS($J17:$AX17,"RTA*",$J17:$AX17,"&lt;&gt;"&amp;"pRTA"),COUNTIFS($J17:$AX17,"*CRTA*",$J17:$AX17,"&lt;&gt;"&amp;"pCRTA")),COUNTIFS($J17:$AX17,"*RNNR*",$J17:$AX17,"&lt;&gt;"&amp;"*pRNNR*",$J17:$AX17,"&lt;&gt;"&amp;"pB1 RNNR",$J17:$AX17,"&lt;&gt;"&amp;"pB2 RNNR")-SUM(COUNTIFS($J17:$AX17,"*RNNR B1*",$J17:$AX17,"&lt;&gt;"&amp;"pRNNR B1")*0.5,COUNTIFS($J17:$AX17,"*RNNR B2*",$J17:$AX17,"&lt;&gt;"&amp;"pRNNR B2")*0.5,COUNTIFS($J17:$AX17,"*B1 RNNR*",$J17:$AX17,"&lt;&gt;"&amp;"pB1 RNNR")*0.5,COUNTIFS($J17:$AX17,"*B2 RNNR*",$J17:$AX17,"&lt;&gt;"&amp;"pB2 RNNR")*0.5)))</f>
        <v>0</v>
      </c>
      <c r="J17" s="184" t="str">
        <f>IFERROR(IF(VLOOKUP(Wed_W1[[#This Row],[Employee Name]],'Base Schedules'!$A$205:$AW$241,9,FALSE)="","",VLOOKUP(Wed_W1[[#This Row],[Employee Name]],'Base Schedules'!$A$205:$AW$241,9,FALSE)),"")</f>
        <v/>
      </c>
      <c r="K17" s="184" t="str">
        <f>IFERROR(IF(VLOOKUP(Wed_W1[[#This Row],[Employee Name]],'Base Schedules'!$A$205:$AW$241,10,FALSE)="","",VLOOKUP(Wed_W1[[#This Row],[Employee Name]],'Base Schedules'!$A$205:$AW$241,10,FALSE)),"")</f>
        <v/>
      </c>
      <c r="L17" s="184" t="str">
        <f>IFERROR(IF(VLOOKUP(Wed_W1[[#This Row],[Employee Name]],'Base Schedules'!$A$205:$AW$241,11,FALSE)="","",VLOOKUP(Wed_W1[[#This Row],[Employee Name]],'Base Schedules'!$A$205:$AW$241,11,FALSE)),"")</f>
        <v/>
      </c>
      <c r="M17" s="184" t="str">
        <f>IFERROR(IF(VLOOKUP(Wed_W1[[#This Row],[Employee Name]],'Base Schedules'!$A$205:$AW$241,12,FALSE)="","",VLOOKUP(Wed_W1[[#This Row],[Employee Name]],'Base Schedules'!$A$205:$AW$241,12,FALSE)),"")</f>
        <v/>
      </c>
      <c r="N17" s="184" t="str">
        <f>IFERROR(IF(VLOOKUP(Wed_W1[[#This Row],[Employee Name]],'Base Schedules'!$A$205:$AW$241,13,FALSE)="","",VLOOKUP(Wed_W1[[#This Row],[Employee Name]],'Base Schedules'!$A$205:$AW$241,13,FALSE)),"")</f>
        <v>-</v>
      </c>
      <c r="O17" s="184" t="str">
        <f>IFERROR(IF(VLOOKUP(Wed_W1[[#This Row],[Employee Name]],'Base Schedules'!$A$205:$AW$241,14,FALSE)="","",VLOOKUP(Wed_W1[[#This Row],[Employee Name]],'Base Schedules'!$A$205:$AW$241,14,FALSE)),"")</f>
        <v>-</v>
      </c>
      <c r="P17" s="184" t="str">
        <f>IFERROR(IF(VLOOKUP(Wed_W1[[#This Row],[Employee Name]],'Base Schedules'!$A$205:$AW$241,15,FALSE)="","",VLOOKUP(Wed_W1[[#This Row],[Employee Name]],'Base Schedules'!$A$205:$AW$241,15,FALSE)),"")</f>
        <v>-</v>
      </c>
      <c r="Q17" s="184" t="str">
        <f>IFERROR(IF(VLOOKUP(Wed_W1[[#This Row],[Employee Name]],'Base Schedules'!$A$205:$AW$241,16,FALSE)="","",VLOOKUP(Wed_W1[[#This Row],[Employee Name]],'Base Schedules'!$A$205:$AW$241,16,FALSE)),"")</f>
        <v>-</v>
      </c>
      <c r="R17" s="184" t="str">
        <f>IFERROR(IF(VLOOKUP(Wed_W1[[#This Row],[Employee Name]],'Base Schedules'!$A$205:$AW$241,17,FALSE)="","",VLOOKUP(Wed_W1[[#This Row],[Employee Name]],'Base Schedules'!$A$205:$AW$241,17,FALSE)),"")</f>
        <v>Interview</v>
      </c>
      <c r="S17" s="184" t="str">
        <f>IFERROR(IF(VLOOKUP(Wed_W1[[#This Row],[Employee Name]],'Base Schedules'!$A$205:$AW$241,18,FALSE)="","",VLOOKUP(Wed_W1[[#This Row],[Employee Name]],'Base Schedules'!$A$205:$AW$241,18,FALSE)),"")</f>
        <v>Interview</v>
      </c>
      <c r="T17" s="184" t="str">
        <f>IFERROR(IF(VLOOKUP(Wed_W1[[#This Row],[Employee Name]],'Base Schedules'!$A$205:$AW$241,19,FALSE)="","",VLOOKUP(Wed_W1[[#This Row],[Employee Name]],'Base Schedules'!$A$205:$AW$241,19,FALSE)),"")</f>
        <v>-</v>
      </c>
      <c r="U17" s="184" t="str">
        <f>IFERROR(IF(VLOOKUP(Wed_W1[[#This Row],[Employee Name]],'Base Schedules'!$A$205:$AW$241,20,FALSE)="","",VLOOKUP(Wed_W1[[#This Row],[Employee Name]],'Base Schedules'!$A$205:$AW$241,20,FALSE)),"")</f>
        <v>-</v>
      </c>
      <c r="V17" s="184" t="str">
        <f>IFERROR(IF(VLOOKUP(Wed_W1[[#This Row],[Employee Name]],'Base Schedules'!$A$205:$AW$241,21,FALSE)="","",VLOOKUP(Wed_W1[[#This Row],[Employee Name]],'Base Schedules'!$A$205:$AW$241,21,FALSE)),"")</f>
        <v>Coaching</v>
      </c>
      <c r="W17" s="184" t="str">
        <f>IFERROR(IF(VLOOKUP(Wed_W1[[#This Row],[Employee Name]],'Base Schedules'!$A$205:$AW$241,22,FALSE)="","",VLOOKUP(Wed_W1[[#This Row],[Employee Name]],'Base Schedules'!$A$205:$AW$241,22,FALSE)),"")</f>
        <v>Coaching</v>
      </c>
      <c r="X17" s="184" t="str">
        <f>IFERROR(IF(VLOOKUP(Wed_W1[[#This Row],[Employee Name]],'Base Schedules'!$A$205:$AW$241,23,FALSE)="","",VLOOKUP(Wed_W1[[#This Row],[Employee Name]],'Base Schedules'!$A$205:$AW$241,23,FALSE)),"")</f>
        <v>Coaching</v>
      </c>
      <c r="Y17" s="184" t="str">
        <f>IFERROR(IF(VLOOKUP(Wed_W1[[#This Row],[Employee Name]],'Base Schedules'!$A$205:$AW$241,24,FALSE)="","",VLOOKUP(Wed_W1[[#This Row],[Employee Name]],'Base Schedules'!$A$205:$AW$241,24,FALSE)),"")</f>
        <v>Coaching</v>
      </c>
      <c r="Z17" s="184" t="str">
        <f>IFERROR(IF(VLOOKUP(Wed_W1[[#This Row],[Employee Name]],'Base Schedules'!$A$205:$AW$241,25,FALSE)="","",VLOOKUP(Wed_W1[[#This Row],[Employee Name]],'Base Schedules'!$A$205:$AW$241,25,FALSE)),"")</f>
        <v>-</v>
      </c>
      <c r="AA17" s="184" t="str">
        <f>IFERROR(IF(VLOOKUP(Wed_W1[[#This Row],[Employee Name]],'Base Schedules'!$A$205:$AW$241,26,FALSE)="","",VLOOKUP(Wed_W1[[#This Row],[Employee Name]],'Base Schedules'!$A$205:$AW$241,26,FALSE)),"")</f>
        <v>TM PREP</v>
      </c>
      <c r="AB17" s="184" t="str">
        <f>IFERROR(IF(VLOOKUP(Wed_W1[[#This Row],[Employee Name]],'Base Schedules'!$A$205:$AW$241,27,FALSE)="","",VLOOKUP(Wed_W1[[#This Row],[Employee Name]],'Base Schedules'!$A$205:$AW$241,27,FALSE)),"")</f>
        <v>MARTIN TM</v>
      </c>
      <c r="AC17" s="184" t="str">
        <f>IFERROR(IF(VLOOKUP(Wed_W1[[#This Row],[Employee Name]],'Base Schedules'!$A$205:$AW$241,28,FALSE)="","",VLOOKUP(Wed_W1[[#This Row],[Employee Name]],'Base Schedules'!$A$205:$AW$241,28,FALSE)),"")</f>
        <v>MARTIN TM</v>
      </c>
      <c r="AD17" s="184" t="str">
        <f>IFERROR(IF(VLOOKUP(Wed_W1[[#This Row],[Employee Name]],'Base Schedules'!$A$205:$AW$241,29,FALSE)="","",VLOOKUP(Wed_W1[[#This Row],[Employee Name]],'Base Schedules'!$A$205:$AW$241,29,FALSE)),"")</f>
        <v>-</v>
      </c>
      <c r="AE17" s="184" t="str">
        <f>IFERROR(IF(VLOOKUP(Wed_W1[[#This Row],[Employee Name]],'Base Schedules'!$A$205:$AW$241,30,FALSE)="","",VLOOKUP(Wed_W1[[#This Row],[Employee Name]],'Base Schedules'!$A$205:$AW$241,30,FALSE)),"")</f>
        <v>-</v>
      </c>
      <c r="AF17" s="184" t="str">
        <f>IFERROR(IF(VLOOKUP(Wed_W1[[#This Row],[Employee Name]],'Base Schedules'!$A$205:$AW$241,31,FALSE)="","",VLOOKUP(Wed_W1[[#This Row],[Employee Name]],'Base Schedules'!$A$205:$AW$241,31,FALSE)),"")</f>
        <v/>
      </c>
      <c r="AG17" s="184" t="str">
        <f>IFERROR(IF(VLOOKUP(Wed_W1[[#This Row],[Employee Name]],'Base Schedules'!$A$205:$AW$241,32,FALSE)="","",VLOOKUP(Wed_W1[[#This Row],[Employee Name]],'Base Schedules'!$A$205:$AW$241,32,FALSE)),"")</f>
        <v/>
      </c>
      <c r="AH17" s="184" t="str">
        <f>IFERROR(IF(VLOOKUP(Wed_W1[[#This Row],[Employee Name]],'Base Schedules'!$A$205:$AW$241,33,FALSE)="","",VLOOKUP(Wed_W1[[#This Row],[Employee Name]],'Base Schedules'!$A$205:$AW$241,33,FALSE)),"")</f>
        <v/>
      </c>
      <c r="AI17" s="184" t="str">
        <f>IFERROR(IF(VLOOKUP(Wed_W1[[#This Row],[Employee Name]],'Base Schedules'!$A$205:$AW$241,34,FALSE)="","",VLOOKUP(Wed_W1[[#This Row],[Employee Name]],'Base Schedules'!$A$205:$AW$241,34,FALSE)),"")</f>
        <v/>
      </c>
      <c r="AJ17" s="184" t="str">
        <f>IFERROR(IF(VLOOKUP(Wed_W1[[#This Row],[Employee Name]],'Base Schedules'!$A$205:$AW$241,35,FALSE)="","",VLOOKUP(Wed_W1[[#This Row],[Employee Name]],'Base Schedules'!$A$205:$AW$241,35,FALSE)),"")</f>
        <v/>
      </c>
      <c r="AK17" s="184" t="str">
        <f>IFERROR(IF(VLOOKUP(Wed_W1[[#This Row],[Employee Name]],'Base Schedules'!$A$205:$AW$241,36,FALSE)="","",VLOOKUP(Wed_W1[[#This Row],[Employee Name]],'Base Schedules'!$A$205:$AW$241,36,FALSE)),"")</f>
        <v/>
      </c>
      <c r="AL17" s="184" t="str">
        <f>IFERROR(IF(VLOOKUP(Wed_W1[[#This Row],[Employee Name]],'Base Schedules'!$A$205:$AW$241,37,FALSE)="","",VLOOKUP(Wed_W1[[#This Row],[Employee Name]],'Base Schedules'!$A$205:$AW$241,37,FALSE)),"")</f>
        <v/>
      </c>
      <c r="AM17" s="184" t="str">
        <f>IFERROR(IF(VLOOKUP(Wed_W1[[#This Row],[Employee Name]],'Base Schedules'!$A$205:$AW$241,38,FALSE)="","",VLOOKUP(Wed_W1[[#This Row],[Employee Name]],'Base Schedules'!$A$205:$AW$241,38,FALSE)),"")</f>
        <v/>
      </c>
      <c r="AN17" s="184" t="str">
        <f>IFERROR(IF(VLOOKUP(Wed_W1[[#This Row],[Employee Name]],'Base Schedules'!$A$205:$AW$241,39,FALSE)="","",VLOOKUP(Wed_W1[[#This Row],[Employee Name]],'Base Schedules'!$A$205:$AW$241,39,FALSE)),"")</f>
        <v/>
      </c>
      <c r="AO17" s="184" t="str">
        <f>IFERROR(IF(VLOOKUP(Wed_W1[[#This Row],[Employee Name]],'Base Schedules'!$A$205:$AW$241,40,FALSE)="","",VLOOKUP(Wed_W1[[#This Row],[Employee Name]],'Base Schedules'!$A$205:$AW$241,40,FALSE)),"")</f>
        <v/>
      </c>
      <c r="AP17" s="184" t="str">
        <f>IFERROR(IF(VLOOKUP(Wed_W1[[#This Row],[Employee Name]],'Base Schedules'!$A$205:$AW$241,41,FALSE)="","",VLOOKUP(Wed_W1[[#This Row],[Employee Name]],'Base Schedules'!$A$205:$AW$241,41,FALSE)),"")</f>
        <v/>
      </c>
      <c r="AQ17" s="184" t="str">
        <f>IFERROR(IF(VLOOKUP(Wed_W1[[#This Row],[Employee Name]],'Base Schedules'!$A$205:$AW$241,42,FALSE)="","",VLOOKUP(Wed_W1[[#This Row],[Employee Name]],'Base Schedules'!$A$205:$AW$241,42,FALSE)),"")</f>
        <v/>
      </c>
      <c r="AR17" s="184" t="str">
        <f>IFERROR(IF(VLOOKUP(Wed_W1[[#This Row],[Employee Name]],'Base Schedules'!$A$205:$AW$241,43,FALSE)="","",VLOOKUP(Wed_W1[[#This Row],[Employee Name]],'Base Schedules'!$A$205:$AW$241,43,FALSE)),"")</f>
        <v/>
      </c>
      <c r="AS17" s="184" t="str">
        <f>IFERROR(IF(VLOOKUP(Wed_W1[[#This Row],[Employee Name]],'Base Schedules'!$A$205:$AW$241,44,FALSE)="","",VLOOKUP(Wed_W1[[#This Row],[Employee Name]],'Base Schedules'!$A$205:$AW$241,44,FALSE)),"")</f>
        <v/>
      </c>
      <c r="AT17" s="184" t="str">
        <f>IFERROR(IF(VLOOKUP(Wed_W1[[#This Row],[Employee Name]],'Base Schedules'!$A$205:$AW$241,45,FALSE)="","",VLOOKUP(Wed_W1[[#This Row],[Employee Name]],'Base Schedules'!$A$205:$AW$241,45,FALSE)),"")</f>
        <v/>
      </c>
      <c r="AU17" s="184" t="str">
        <f>IFERROR(IF(VLOOKUP(Wed_W1[[#This Row],[Employee Name]],'Base Schedules'!$A$205:$AW$241,46,FALSE)="","",VLOOKUP(Wed_W1[[#This Row],[Employee Name]],'Base Schedules'!$A$205:$AW$241,46,FALSE)),"")</f>
        <v/>
      </c>
      <c r="AV17" s="184" t="str">
        <f>IFERROR(IF(VLOOKUP(Wed_W1[[#This Row],[Employee Name]],'Base Schedules'!$A$205:$AW$241,47,FALSE)="","",VLOOKUP(Wed_W1[[#This Row],[Employee Name]],'Base Schedules'!$A$205:$AW$241,47,FALSE)),"")</f>
        <v/>
      </c>
      <c r="AW17" s="184" t="str">
        <f>IFERROR(IF(VLOOKUP(Wed_W1[[#This Row],[Employee Name]],'Base Schedules'!$A$205:$AW$241,48,FALSE)="","",VLOOKUP(Wed_W1[[#This Row],[Employee Name]],'Base Schedules'!$A$205:$AW$241,48,FALSE)),"")</f>
        <v/>
      </c>
      <c r="AX17" s="184" t="str">
        <f>IFERROR(IF(VLOOKUP(Wed_W1[[#This Row],[Employee Name]],'Base Schedules'!$A$205:$AW$241,49,FALSE)="","",VLOOKUP(Wed_W1[[#This Row],[Employee Name]],'Base Schedules'!$A$205:$AW$241,49,FALSE)),"")</f>
        <v/>
      </c>
      <c r="AY17" s="164" t="str">
        <f t="shared" si="2"/>
        <v>Martin, Gary</v>
      </c>
    </row>
    <row r="18" spans="1:51" s="44" customFormat="1" ht="12" x14ac:dyDescent="0.2">
      <c r="A18" s="39" t="str">
        <f>IF(B18="","",INDEX(TeamList[],MATCH($B18,TeamList[[Employee Name]:[Employee Name]],0),MATCH("Manager",TeamList[#Headers],0)))</f>
        <v>Olson, Katherine</v>
      </c>
      <c r="B18" s="201" t="s">
        <v>237</v>
      </c>
      <c r="C18" s="257" t="str">
        <f>_xlfn.IFNA(VLOOKUP(Wed_W1[[#This Row],[Employee Name]],'Base Schedules'!A:B,2,FALSE),"")</f>
        <v>Lead</v>
      </c>
      <c r="D18" s="274">
        <f>_xlfn.IFNA(VLOOKUP(Wed_W1[[#This Row],[Employee Name]],'Base Schedules'!A:C,3,FALSE),"")</f>
        <v>730</v>
      </c>
      <c r="E18" s="274">
        <f>_xlfn.IFNA(VLOOKUP(Wed_W1[[#This Row],[Employee Name]],'Base Schedules'!A:D,4,FALSE),"")</f>
        <v>1600</v>
      </c>
      <c r="F18" s="142">
        <f>IF(Wed_W1[[#This Row],[Employee Name]]="","",IF(Wed_W1[[#This Row],[Dept]]="Supervisor",COUNTIFS($J18:$AX18,"*HL*",$J18:$AX18,"&lt;&gt;"&amp;"pHL"),COUNTIFS($J18:$AX18,"*HL*",$J18:$AX18,"&lt;&gt;"&amp;"*pHL*",$J18:$AX18,"&lt;&gt;"&amp;"pB1 HL",$J18:$AX18,"&lt;&gt;"&amp;"pB2 HL")-SUM(COUNTIFS($J18:$AX18,"*HL B1*",$J18:$AX18,"&lt;&gt;"&amp;"pHL B1")*0.5,COUNTIFS($J18:$AX18,"*HL B2*",$J18:$AX18,"&lt;&gt;"&amp;"pHL B2")*0.5,COUNTIFS($J18:$AX18,"*B1 HL*",$J18:$AX18,"&lt;&gt;"&amp;"pB1 HL")*0.5,COUNTIFS($J18:$AX18,"*B2 HL*",$J18:$AX18,"&lt;&gt;"&amp;"pB2 HL")*0.5)))</f>
        <v>7</v>
      </c>
      <c r="G18" s="142">
        <f t="shared" si="0"/>
        <v>0</v>
      </c>
      <c r="H18" s="142">
        <f t="shared" si="1"/>
        <v>7</v>
      </c>
      <c r="I18" s="142">
        <f>IF(Wed_W1[[#This Row],[Employee Name]]="","",IF(Wed_W1[[#This Row],[Dept]]="Supervisor",SUM(COUNTIFS($J18:$AX18,"RTA*",$J18:$AX18,"&lt;&gt;"&amp;"pRTA"),COUNTIFS($J18:$AX18,"*CRTA*",$J18:$AX18,"&lt;&gt;"&amp;"pCRTA")),COUNTIFS($J18:$AX18,"*RNNR*",$J18:$AX18,"&lt;&gt;"&amp;"*pRNNR*",$J18:$AX18,"&lt;&gt;"&amp;"pB1 RNNR",$J18:$AX18,"&lt;&gt;"&amp;"pB2 RNNR")-SUM(COUNTIFS($J18:$AX18,"*RNNR B1*",$J18:$AX18,"&lt;&gt;"&amp;"pRNNR B1")*0.5,COUNTIFS($J18:$AX18,"*RNNR B2*",$J18:$AX18,"&lt;&gt;"&amp;"pRNNR B2")*0.5,COUNTIFS($J18:$AX18,"*B1 RNNR*",$J18:$AX18,"&lt;&gt;"&amp;"pB1 RNNR")*0.5,COUNTIFS($J18:$AX18,"*B2 RNNR*",$J18:$AX18,"&lt;&gt;"&amp;"pB2 RNNR")*0.5)))</f>
        <v>2</v>
      </c>
      <c r="J18" s="184" t="str">
        <f>IFERROR(IF(VLOOKUP(Wed_W1[[#This Row],[Employee Name]],'Base Schedules'!$A$205:$AW$241,9,FALSE)="","",VLOOKUP(Wed_W1[[#This Row],[Employee Name]],'Base Schedules'!$A$205:$AW$241,9,FALSE)),"")</f>
        <v/>
      </c>
      <c r="K18" s="184" t="str">
        <f>IFERROR(IF(VLOOKUP(Wed_W1[[#This Row],[Employee Name]],'Base Schedules'!$A$205:$AW$241,10,FALSE)="","",VLOOKUP(Wed_W1[[#This Row],[Employee Name]],'Base Schedules'!$A$205:$AW$241,10,FALSE)),"")</f>
        <v/>
      </c>
      <c r="L18" s="184" t="str">
        <f>IFERROR(IF(VLOOKUP(Wed_W1[[#This Row],[Employee Name]],'Base Schedules'!$A$205:$AW$241,11,FALSE)="","",VLOOKUP(Wed_W1[[#This Row],[Employee Name]],'Base Schedules'!$A$205:$AW$241,11,FALSE)),"")</f>
        <v/>
      </c>
      <c r="M18" s="184" t="str">
        <f>IFERROR(IF(VLOOKUP(Wed_W1[[#This Row],[Employee Name]],'Base Schedules'!$A$205:$AW$241,12,FALSE)="","",VLOOKUP(Wed_W1[[#This Row],[Employee Name]],'Base Schedules'!$A$205:$AW$241,12,FALSE)),"")</f>
        <v/>
      </c>
      <c r="N18" s="184" t="str">
        <f>IFERROR(IF(VLOOKUP(Wed_W1[[#This Row],[Employee Name]],'Base Schedules'!$A$205:$AW$241,13,FALSE)="","",VLOOKUP(Wed_W1[[#This Row],[Employee Name]],'Base Schedules'!$A$205:$AW$241,13,FALSE)),"")</f>
        <v/>
      </c>
      <c r="O18" s="184" t="str">
        <f>IFERROR(IF(VLOOKUP(Wed_W1[[#This Row],[Employee Name]],'Base Schedules'!$A$205:$AW$241,14,FALSE)="","",VLOOKUP(Wed_W1[[#This Row],[Employee Name]],'Base Schedules'!$A$205:$AW$241,14,FALSE)),"")</f>
        <v>HL</v>
      </c>
      <c r="P18" s="184" t="str">
        <f>IFERROR(IF(VLOOKUP(Wed_W1[[#This Row],[Employee Name]],'Base Schedules'!$A$205:$AW$241,15,FALSE)="","",VLOOKUP(Wed_W1[[#This Row],[Employee Name]],'Base Schedules'!$A$205:$AW$241,15,FALSE)),"")</f>
        <v>HL</v>
      </c>
      <c r="Q18" s="184" t="str">
        <f>IFERROR(IF(VLOOKUP(Wed_W1[[#This Row],[Employee Name]],'Base Schedules'!$A$205:$AW$241,16,FALSE)="","",VLOOKUP(Wed_W1[[#This Row],[Employee Name]],'Base Schedules'!$A$205:$AW$241,16,FALSE)),"")</f>
        <v>ADM</v>
      </c>
      <c r="R18" s="184" t="str">
        <f>IFERROR(IF(VLOOKUP(Wed_W1[[#This Row],[Employee Name]],'Base Schedules'!$A$205:$AW$241,17,FALSE)="","",VLOOKUP(Wed_W1[[#This Row],[Employee Name]],'Base Schedules'!$A$205:$AW$241,17,FALSE)),"")</f>
        <v>ADM</v>
      </c>
      <c r="S18" s="184" t="str">
        <f>IFERROR(IF(VLOOKUP(Wed_W1[[#This Row],[Employee Name]],'Base Schedules'!$A$205:$AW$241,18,FALSE)="","",VLOOKUP(Wed_W1[[#This Row],[Employee Name]],'Base Schedules'!$A$205:$AW$241,18,FALSE)),"")</f>
        <v>B1 ADM</v>
      </c>
      <c r="T18" s="184" t="str">
        <f>IFERROR(IF(VLOOKUP(Wed_W1[[#This Row],[Employee Name]],'Base Schedules'!$A$205:$AW$241,19,FALSE)="","",VLOOKUP(Wed_W1[[#This Row],[Employee Name]],'Base Schedules'!$A$205:$AW$241,19,FALSE)),"")</f>
        <v>RNNR</v>
      </c>
      <c r="U18" s="184" t="str">
        <f>IFERROR(IF(VLOOKUP(Wed_W1[[#This Row],[Employee Name]],'Base Schedules'!$A$205:$AW$241,20,FALSE)="","",VLOOKUP(Wed_W1[[#This Row],[Employee Name]],'Base Schedules'!$A$205:$AW$241,20,FALSE)),"")</f>
        <v>RNNR</v>
      </c>
      <c r="V18" s="184" t="str">
        <f>IFERROR(IF(VLOOKUP(Wed_W1[[#This Row],[Employee Name]],'Base Schedules'!$A$205:$AW$241,21,FALSE)="","",VLOOKUP(Wed_W1[[#This Row],[Employee Name]],'Base Schedules'!$A$205:$AW$241,21,FALSE)),"")</f>
        <v>ADM</v>
      </c>
      <c r="W18" s="184" t="str">
        <f>IFERROR(IF(VLOOKUP(Wed_W1[[#This Row],[Employee Name]],'Base Schedules'!$A$205:$AW$241,22,FALSE)="","",VLOOKUP(Wed_W1[[#This Row],[Employee Name]],'Base Schedules'!$A$205:$AW$241,22,FALSE)),"")</f>
        <v>HL</v>
      </c>
      <c r="X18" s="184" t="str">
        <f>IFERROR(IF(VLOOKUP(Wed_W1[[#This Row],[Employee Name]],'Base Schedules'!$A$205:$AW$241,23,FALSE)="","",VLOOKUP(Wed_W1[[#This Row],[Employee Name]],'Base Schedules'!$A$205:$AW$241,23,FALSE)),"")</f>
        <v>LUNCH</v>
      </c>
      <c r="Y18" s="184" t="str">
        <f>IFERROR(IF(VLOOKUP(Wed_W1[[#This Row],[Employee Name]],'Base Schedules'!$A$205:$AW$241,24,FALSE)="","",VLOOKUP(Wed_W1[[#This Row],[Employee Name]],'Base Schedules'!$A$205:$AW$241,24,FALSE)),"")</f>
        <v>HL</v>
      </c>
      <c r="Z18" s="184" t="str">
        <f>IFERROR(IF(VLOOKUP(Wed_W1[[#This Row],[Employee Name]],'Base Schedules'!$A$205:$AW$241,25,FALSE)="","",VLOOKUP(Wed_W1[[#This Row],[Employee Name]],'Base Schedules'!$A$205:$AW$241,25,FALSE)),"")</f>
        <v>ADM</v>
      </c>
      <c r="AA18" s="184" t="str">
        <f>IFERROR(IF(VLOOKUP(Wed_W1[[#This Row],[Employee Name]],'Base Schedules'!$A$205:$AW$241,26,FALSE)="","",VLOOKUP(Wed_W1[[#This Row],[Employee Name]],'Base Schedules'!$A$205:$AW$241,26,FALSE)),"")</f>
        <v>ADM</v>
      </c>
      <c r="AB18" s="184" t="str">
        <f>IFERROR(IF(VLOOKUP(Wed_W1[[#This Row],[Employee Name]],'Base Schedules'!$A$205:$AW$241,27,FALSE)="","",VLOOKUP(Wed_W1[[#This Row],[Employee Name]],'Base Schedules'!$A$205:$AW$241,27,FALSE)),"")</f>
        <v>ADM B2</v>
      </c>
      <c r="AC18" s="184" t="str">
        <f>IFERROR(IF(VLOOKUP(Wed_W1[[#This Row],[Employee Name]],'Base Schedules'!$A$205:$AW$241,28,FALSE)="","",VLOOKUP(Wed_W1[[#This Row],[Employee Name]],'Base Schedules'!$A$205:$AW$241,28,FALSE)),"")</f>
        <v>HL</v>
      </c>
      <c r="AD18" s="184" t="str">
        <f>IFERROR(IF(VLOOKUP(Wed_W1[[#This Row],[Employee Name]],'Base Schedules'!$A$205:$AW$241,29,FALSE)="","",VLOOKUP(Wed_W1[[#This Row],[Employee Name]],'Base Schedules'!$A$205:$AW$241,29,FALSE)),"")</f>
        <v>HL</v>
      </c>
      <c r="AE18" s="184" t="str">
        <f>IFERROR(IF(VLOOKUP(Wed_W1[[#This Row],[Employee Name]],'Base Schedules'!$A$205:$AW$241,30,FALSE)="","",VLOOKUP(Wed_W1[[#This Row],[Employee Name]],'Base Schedules'!$A$205:$AW$241,30,FALSE)),"")</f>
        <v>HL</v>
      </c>
      <c r="AF18" s="184" t="str">
        <f>IFERROR(IF(VLOOKUP(Wed_W1[[#This Row],[Employee Name]],'Base Schedules'!$A$205:$AW$241,31,FALSE)="","",VLOOKUP(Wed_W1[[#This Row],[Employee Name]],'Base Schedules'!$A$205:$AW$241,31,FALSE)),"")</f>
        <v/>
      </c>
      <c r="AG18" s="184" t="str">
        <f>IFERROR(IF(VLOOKUP(Wed_W1[[#This Row],[Employee Name]],'Base Schedules'!$A$205:$AW$241,32,FALSE)="","",VLOOKUP(Wed_W1[[#This Row],[Employee Name]],'Base Schedules'!$A$205:$AW$241,32,FALSE)),"")</f>
        <v/>
      </c>
      <c r="AH18" s="184" t="str">
        <f>IFERROR(IF(VLOOKUP(Wed_W1[[#This Row],[Employee Name]],'Base Schedules'!$A$205:$AW$241,33,FALSE)="","",VLOOKUP(Wed_W1[[#This Row],[Employee Name]],'Base Schedules'!$A$205:$AW$241,33,FALSE)),"")</f>
        <v/>
      </c>
      <c r="AI18" s="184" t="str">
        <f>IFERROR(IF(VLOOKUP(Wed_W1[[#This Row],[Employee Name]],'Base Schedules'!$A$205:$AW$241,34,FALSE)="","",VLOOKUP(Wed_W1[[#This Row],[Employee Name]],'Base Schedules'!$A$205:$AW$241,34,FALSE)),"")</f>
        <v/>
      </c>
      <c r="AJ18" s="184" t="str">
        <f>IFERROR(IF(VLOOKUP(Wed_W1[[#This Row],[Employee Name]],'Base Schedules'!$A$205:$AW$241,35,FALSE)="","",VLOOKUP(Wed_W1[[#This Row],[Employee Name]],'Base Schedules'!$A$205:$AW$241,35,FALSE)),"")</f>
        <v/>
      </c>
      <c r="AK18" s="184" t="str">
        <f>IFERROR(IF(VLOOKUP(Wed_W1[[#This Row],[Employee Name]],'Base Schedules'!$A$205:$AW$241,36,FALSE)="","",VLOOKUP(Wed_W1[[#This Row],[Employee Name]],'Base Schedules'!$A$205:$AW$241,36,FALSE)),"")</f>
        <v/>
      </c>
      <c r="AL18" s="184" t="str">
        <f>IFERROR(IF(VLOOKUP(Wed_W1[[#This Row],[Employee Name]],'Base Schedules'!$A$205:$AW$241,37,FALSE)="","",VLOOKUP(Wed_W1[[#This Row],[Employee Name]],'Base Schedules'!$A$205:$AW$241,37,FALSE)),"")</f>
        <v/>
      </c>
      <c r="AM18" s="184" t="str">
        <f>IFERROR(IF(VLOOKUP(Wed_W1[[#This Row],[Employee Name]],'Base Schedules'!$A$205:$AW$241,38,FALSE)="","",VLOOKUP(Wed_W1[[#This Row],[Employee Name]],'Base Schedules'!$A$205:$AW$241,38,FALSE)),"")</f>
        <v/>
      </c>
      <c r="AN18" s="184" t="str">
        <f>IFERROR(IF(VLOOKUP(Wed_W1[[#This Row],[Employee Name]],'Base Schedules'!$A$205:$AW$241,39,FALSE)="","",VLOOKUP(Wed_W1[[#This Row],[Employee Name]],'Base Schedules'!$A$205:$AW$241,39,FALSE)),"")</f>
        <v/>
      </c>
      <c r="AO18" s="184" t="str">
        <f>IFERROR(IF(VLOOKUP(Wed_W1[[#This Row],[Employee Name]],'Base Schedules'!$A$205:$AW$241,40,FALSE)="","",VLOOKUP(Wed_W1[[#This Row],[Employee Name]],'Base Schedules'!$A$205:$AW$241,40,FALSE)),"")</f>
        <v/>
      </c>
      <c r="AP18" s="184" t="str">
        <f>IFERROR(IF(VLOOKUP(Wed_W1[[#This Row],[Employee Name]],'Base Schedules'!$A$205:$AW$241,41,FALSE)="","",VLOOKUP(Wed_W1[[#This Row],[Employee Name]],'Base Schedules'!$A$205:$AW$241,41,FALSE)),"")</f>
        <v/>
      </c>
      <c r="AQ18" s="184" t="str">
        <f>IFERROR(IF(VLOOKUP(Wed_W1[[#This Row],[Employee Name]],'Base Schedules'!$A$205:$AW$241,42,FALSE)="","",VLOOKUP(Wed_W1[[#This Row],[Employee Name]],'Base Schedules'!$A$205:$AW$241,42,FALSE)),"")</f>
        <v/>
      </c>
      <c r="AR18" s="184" t="str">
        <f>IFERROR(IF(VLOOKUP(Wed_W1[[#This Row],[Employee Name]],'Base Schedules'!$A$205:$AW$241,43,FALSE)="","",VLOOKUP(Wed_W1[[#This Row],[Employee Name]],'Base Schedules'!$A$205:$AW$241,43,FALSE)),"")</f>
        <v/>
      </c>
      <c r="AS18" s="184" t="str">
        <f>IFERROR(IF(VLOOKUP(Wed_W1[[#This Row],[Employee Name]],'Base Schedules'!$A$205:$AW$241,44,FALSE)="","",VLOOKUP(Wed_W1[[#This Row],[Employee Name]],'Base Schedules'!$A$205:$AW$241,44,FALSE)),"")</f>
        <v/>
      </c>
      <c r="AT18" s="184" t="str">
        <f>IFERROR(IF(VLOOKUP(Wed_W1[[#This Row],[Employee Name]],'Base Schedules'!$A$205:$AW$241,45,FALSE)="","",VLOOKUP(Wed_W1[[#This Row],[Employee Name]],'Base Schedules'!$A$205:$AW$241,45,FALSE)),"")</f>
        <v/>
      </c>
      <c r="AU18" s="184" t="str">
        <f>IFERROR(IF(VLOOKUP(Wed_W1[[#This Row],[Employee Name]],'Base Schedules'!$A$205:$AW$241,46,FALSE)="","",VLOOKUP(Wed_W1[[#This Row],[Employee Name]],'Base Schedules'!$A$205:$AW$241,46,FALSE)),"")</f>
        <v/>
      </c>
      <c r="AV18" s="184" t="str">
        <f>IFERROR(IF(VLOOKUP(Wed_W1[[#This Row],[Employee Name]],'Base Schedules'!$A$205:$AW$241,47,FALSE)="","",VLOOKUP(Wed_W1[[#This Row],[Employee Name]],'Base Schedules'!$A$205:$AW$241,47,FALSE)),"")</f>
        <v/>
      </c>
      <c r="AW18" s="184" t="str">
        <f>IFERROR(IF(VLOOKUP(Wed_W1[[#This Row],[Employee Name]],'Base Schedules'!$A$205:$AW$241,48,FALSE)="","",VLOOKUP(Wed_W1[[#This Row],[Employee Name]],'Base Schedules'!$A$205:$AW$241,48,FALSE)),"")</f>
        <v/>
      </c>
      <c r="AX18" s="184" t="str">
        <f>IFERROR(IF(VLOOKUP(Wed_W1[[#This Row],[Employee Name]],'Base Schedules'!$A$205:$AW$241,49,FALSE)="","",VLOOKUP(Wed_W1[[#This Row],[Employee Name]],'Base Schedules'!$A$205:$AW$241,49,FALSE)),"")</f>
        <v/>
      </c>
      <c r="AY18" s="164" t="str">
        <f t="shared" si="2"/>
        <v>Fine, Melissa</v>
      </c>
    </row>
    <row r="19" spans="1:51" s="44" customFormat="1" ht="12" x14ac:dyDescent="0.2">
      <c r="A19" s="39" t="str">
        <f>IF(B19="","",INDEX(TeamList[],MATCH($B19,TeamList[[Employee Name]:[Employee Name]],0),MATCH("Manager",TeamList[#Headers],0)))</f>
        <v>Paulson, Matthew</v>
      </c>
      <c r="B19" s="201" t="s">
        <v>31</v>
      </c>
      <c r="C19" s="257" t="str">
        <f>_xlfn.IFNA(VLOOKUP(Wed_W1[[#This Row],[Employee Name]],'Base Schedules'!A:B,2,FALSE),"")</f>
        <v>Supervisor</v>
      </c>
      <c r="D19" s="274">
        <f>_xlfn.IFNA(VLOOKUP(Wed_W1[[#This Row],[Employee Name]],'Base Schedules'!A:C,3,FALSE),"")</f>
        <v>730</v>
      </c>
      <c r="E19" s="274">
        <f>_xlfn.IFNA(VLOOKUP(Wed_W1[[#This Row],[Employee Name]],'Base Schedules'!A:D,4,FALSE),"")</f>
        <v>1630</v>
      </c>
      <c r="F19" s="142">
        <f>IF(Wed_W1[[#This Row],[Employee Name]]="","",IF(Wed_W1[[#This Row],[Dept]]="Supervisor",COUNTIFS($J19:$AX19,"*HL*",$J19:$AX19,"&lt;&gt;"&amp;"pHL"),COUNTIFS($J19:$AX19,"*HL*",$J19:$AX19,"&lt;&gt;"&amp;"*pHL*",$J19:$AX19,"&lt;&gt;"&amp;"pB1 HL",$J19:$AX19,"&lt;&gt;"&amp;"pB2 HL")-SUM(COUNTIFS($J19:$AX19,"*HL B1*",$J19:$AX19,"&lt;&gt;"&amp;"pHL B1")*0.5,COUNTIFS($J19:$AX19,"*HL B2*",$J19:$AX19,"&lt;&gt;"&amp;"pHL B2")*0.5,COUNTIFS($J19:$AX19,"*B1 HL*",$J19:$AX19,"&lt;&gt;"&amp;"pB1 HL")*0.5,COUNTIFS($J19:$AX19,"*B2 HL*",$J19:$AX19,"&lt;&gt;"&amp;"pB2 HL")*0.5)))</f>
        <v>0</v>
      </c>
      <c r="G19" s="142">
        <f t="shared" si="0"/>
        <v>4</v>
      </c>
      <c r="H19" s="142">
        <f t="shared" si="1"/>
        <v>0</v>
      </c>
      <c r="I19" s="142">
        <f>IF(Wed_W1[[#This Row],[Employee Name]]="","",IF(Wed_W1[[#This Row],[Dept]]="Supervisor",SUM(COUNTIFS($J19:$AX19,"RTA*",$J19:$AX19,"&lt;&gt;"&amp;"pRTA"),COUNTIFS($J19:$AX19,"*CRTA*",$J19:$AX19,"&lt;&gt;"&amp;"pCRTA")),COUNTIFS($J19:$AX19,"*RNNR*",$J19:$AX19,"&lt;&gt;"&amp;"*pRNNR*",$J19:$AX19,"&lt;&gt;"&amp;"pB1 RNNR",$J19:$AX19,"&lt;&gt;"&amp;"pB2 RNNR")-SUM(COUNTIFS($J19:$AX19,"*RNNR B1*",$J19:$AX19,"&lt;&gt;"&amp;"pRNNR B1")*0.5,COUNTIFS($J19:$AX19,"*RNNR B2*",$J19:$AX19,"&lt;&gt;"&amp;"pRNNR B2")*0.5,COUNTIFS($J19:$AX19,"*B1 RNNR*",$J19:$AX19,"&lt;&gt;"&amp;"pB1 RNNR")*0.5,COUNTIFS($J19:$AX19,"*B2 RNNR*",$J19:$AX19,"&lt;&gt;"&amp;"pB2 RNNR")*0.5)))</f>
        <v>0</v>
      </c>
      <c r="J19" s="184" t="str">
        <f>IFERROR(IF(VLOOKUP(Wed_W1[[#This Row],[Employee Name]],'Base Schedules'!$A$205:$AW$241,9,FALSE)="","",VLOOKUP(Wed_W1[[#This Row],[Employee Name]],'Base Schedules'!$A$205:$AW$241,9,FALSE)),"")</f>
        <v/>
      </c>
      <c r="K19" s="184" t="str">
        <f>IFERROR(IF(VLOOKUP(Wed_W1[[#This Row],[Employee Name]],'Base Schedules'!$A$205:$AW$241,10,FALSE)="","",VLOOKUP(Wed_W1[[#This Row],[Employee Name]],'Base Schedules'!$A$205:$AW$241,10,FALSE)),"")</f>
        <v/>
      </c>
      <c r="L19" s="184" t="str">
        <f>IFERROR(IF(VLOOKUP(Wed_W1[[#This Row],[Employee Name]],'Base Schedules'!$A$205:$AW$241,11,FALSE)="","",VLOOKUP(Wed_W1[[#This Row],[Employee Name]],'Base Schedules'!$A$205:$AW$241,11,FALSE)),"")</f>
        <v/>
      </c>
      <c r="M19" s="184" t="str">
        <f>IFERROR(IF(VLOOKUP(Wed_W1[[#This Row],[Employee Name]],'Base Schedules'!$A$205:$AW$241,12,FALSE)="","",VLOOKUP(Wed_W1[[#This Row],[Employee Name]],'Base Schedules'!$A$205:$AW$241,12,FALSE)),"")</f>
        <v/>
      </c>
      <c r="N19" s="184" t="str">
        <f>IFERROR(IF(VLOOKUP(Wed_W1[[#This Row],[Employee Name]],'Base Schedules'!$A$205:$AW$241,13,FALSE)="","",VLOOKUP(Wed_W1[[#This Row],[Employee Name]],'Base Schedules'!$A$205:$AW$241,13,FALSE)),"")</f>
        <v/>
      </c>
      <c r="O19" s="184" t="str">
        <f>IFERROR(IF(VLOOKUP(Wed_W1[[#This Row],[Employee Name]],'Base Schedules'!$A$205:$AW$241,14,FALSE)="","",VLOOKUP(Wed_W1[[#This Row],[Employee Name]],'Base Schedules'!$A$205:$AW$241,14,FALSE)),"")</f>
        <v>-</v>
      </c>
      <c r="P19" s="184" t="str">
        <f>IFERROR(IF(VLOOKUP(Wed_W1[[#This Row],[Employee Name]],'Base Schedules'!$A$205:$AW$241,15,FALSE)="","",VLOOKUP(Wed_W1[[#This Row],[Employee Name]],'Base Schedules'!$A$205:$AW$241,15,FALSE)),"")</f>
        <v>-</v>
      </c>
      <c r="Q19" s="184" t="str">
        <f>IFERROR(IF(VLOOKUP(Wed_W1[[#This Row],[Employee Name]],'Base Schedules'!$A$205:$AW$241,16,FALSE)="","",VLOOKUP(Wed_W1[[#This Row],[Employee Name]],'Base Schedules'!$A$205:$AW$241,16,FALSE)),"")</f>
        <v>-</v>
      </c>
      <c r="R19" s="184" t="str">
        <f>IFERROR(IF(VLOOKUP(Wed_W1[[#This Row],[Employee Name]],'Base Schedules'!$A$205:$AW$241,17,FALSE)="","",VLOOKUP(Wed_W1[[#This Row],[Employee Name]],'Base Schedules'!$A$205:$AW$241,17,FALSE)),"")</f>
        <v>-</v>
      </c>
      <c r="S19" s="184" t="str">
        <f>IFERROR(IF(VLOOKUP(Wed_W1[[#This Row],[Employee Name]],'Base Schedules'!$A$205:$AW$241,18,FALSE)="","",VLOOKUP(Wed_W1[[#This Row],[Employee Name]],'Base Schedules'!$A$205:$AW$241,18,FALSE)),"")</f>
        <v>-</v>
      </c>
      <c r="T19" s="184" t="str">
        <f>IFERROR(IF(VLOOKUP(Wed_W1[[#This Row],[Employee Name]],'Base Schedules'!$A$205:$AW$241,19,FALSE)="","",VLOOKUP(Wed_W1[[#This Row],[Employee Name]],'Base Schedules'!$A$205:$AW$241,19,FALSE)),"")</f>
        <v>Interview</v>
      </c>
      <c r="U19" s="184" t="str">
        <f>IFERROR(IF(VLOOKUP(Wed_W1[[#This Row],[Employee Name]],'Base Schedules'!$A$205:$AW$241,20,FALSE)="","",VLOOKUP(Wed_W1[[#This Row],[Employee Name]],'Base Schedules'!$A$205:$AW$241,20,FALSE)),"")</f>
        <v>Interview</v>
      </c>
      <c r="V19" s="184" t="str">
        <f>IFERROR(IF(VLOOKUP(Wed_W1[[#This Row],[Employee Name]],'Base Schedules'!$A$205:$AW$241,21,FALSE)="","",VLOOKUP(Wed_W1[[#This Row],[Employee Name]],'Base Schedules'!$A$205:$AW$241,21,FALSE)),"")</f>
        <v>-</v>
      </c>
      <c r="W19" s="184" t="str">
        <f>IFERROR(IF(VLOOKUP(Wed_W1[[#This Row],[Employee Name]],'Base Schedules'!$A$205:$AW$241,22,FALSE)="","",VLOOKUP(Wed_W1[[#This Row],[Employee Name]],'Base Schedules'!$A$205:$AW$241,22,FALSE)),"")</f>
        <v>-</v>
      </c>
      <c r="X19" s="184" t="str">
        <f>IFERROR(IF(VLOOKUP(Wed_W1[[#This Row],[Employee Name]],'Base Schedules'!$A$205:$AW$241,23,FALSE)="","",VLOOKUP(Wed_W1[[#This Row],[Employee Name]],'Base Schedules'!$A$205:$AW$241,23,FALSE)),"")</f>
        <v>-</v>
      </c>
      <c r="Y19" s="184" t="str">
        <f>IFERROR(IF(VLOOKUP(Wed_W1[[#This Row],[Employee Name]],'Base Schedules'!$A$205:$AW$241,24,FALSE)="","",VLOOKUP(Wed_W1[[#This Row],[Employee Name]],'Base Schedules'!$A$205:$AW$241,24,FALSE)),"")</f>
        <v>-</v>
      </c>
      <c r="Z19" s="184" t="str">
        <f>IFERROR(IF(VLOOKUP(Wed_W1[[#This Row],[Employee Name]],'Base Schedules'!$A$205:$AW$241,25,FALSE)="","",VLOOKUP(Wed_W1[[#This Row],[Employee Name]],'Base Schedules'!$A$205:$AW$241,25,FALSE)),"")</f>
        <v>Coaching</v>
      </c>
      <c r="AA19" s="184" t="str">
        <f>IFERROR(IF(VLOOKUP(Wed_W1[[#This Row],[Employee Name]],'Base Schedules'!$A$205:$AW$241,26,FALSE)="","",VLOOKUP(Wed_W1[[#This Row],[Employee Name]],'Base Schedules'!$A$205:$AW$241,26,FALSE)),"")</f>
        <v>Coaching</v>
      </c>
      <c r="AB19" s="184" t="str">
        <f>IFERROR(IF(VLOOKUP(Wed_W1[[#This Row],[Employee Name]],'Base Schedules'!$A$205:$AW$241,27,FALSE)="","",VLOOKUP(Wed_W1[[#This Row],[Employee Name]],'Base Schedules'!$A$205:$AW$241,27,FALSE)),"")</f>
        <v>Coaching</v>
      </c>
      <c r="AC19" s="184" t="str">
        <f>IFERROR(IF(VLOOKUP(Wed_W1[[#This Row],[Employee Name]],'Base Schedules'!$A$205:$AW$241,28,FALSE)="","",VLOOKUP(Wed_W1[[#This Row],[Employee Name]],'Base Schedules'!$A$205:$AW$241,28,FALSE)),"")</f>
        <v>Coaching</v>
      </c>
      <c r="AD19" s="184" t="str">
        <f>IFERROR(IF(VLOOKUP(Wed_W1[[#This Row],[Employee Name]],'Base Schedules'!$A$205:$AW$241,29,FALSE)="","",VLOOKUP(Wed_W1[[#This Row],[Employee Name]],'Base Schedules'!$A$205:$AW$241,29,FALSE)),"")</f>
        <v>-</v>
      </c>
      <c r="AE19" s="184" t="str">
        <f>IFERROR(IF(VLOOKUP(Wed_W1[[#This Row],[Employee Name]],'Base Schedules'!$A$205:$AW$241,30,FALSE)="","",VLOOKUP(Wed_W1[[#This Row],[Employee Name]],'Base Schedules'!$A$205:$AW$241,30,FALSE)),"")</f>
        <v>-</v>
      </c>
      <c r="AF19" s="184" t="str">
        <f>IFERROR(IF(VLOOKUP(Wed_W1[[#This Row],[Employee Name]],'Base Schedules'!$A$205:$AW$241,31,FALSE)="","",VLOOKUP(Wed_W1[[#This Row],[Employee Name]],'Base Schedules'!$A$205:$AW$241,31,FALSE)),"")</f>
        <v>-</v>
      </c>
      <c r="AG19" s="184" t="str">
        <f>IFERROR(IF(VLOOKUP(Wed_W1[[#This Row],[Employee Name]],'Base Schedules'!$A$205:$AW$241,32,FALSE)="","",VLOOKUP(Wed_W1[[#This Row],[Employee Name]],'Base Schedules'!$A$205:$AW$241,32,FALSE)),"")</f>
        <v/>
      </c>
      <c r="AH19" s="184" t="str">
        <f>IFERROR(IF(VLOOKUP(Wed_W1[[#This Row],[Employee Name]],'Base Schedules'!$A$205:$AW$241,33,FALSE)="","",VLOOKUP(Wed_W1[[#This Row],[Employee Name]],'Base Schedules'!$A$205:$AW$241,33,FALSE)),"")</f>
        <v/>
      </c>
      <c r="AI19" s="184" t="str">
        <f>IFERROR(IF(VLOOKUP(Wed_W1[[#This Row],[Employee Name]],'Base Schedules'!$A$205:$AW$241,34,FALSE)="","",VLOOKUP(Wed_W1[[#This Row],[Employee Name]],'Base Schedules'!$A$205:$AW$241,34,FALSE)),"")</f>
        <v/>
      </c>
      <c r="AJ19" s="184" t="str">
        <f>IFERROR(IF(VLOOKUP(Wed_W1[[#This Row],[Employee Name]],'Base Schedules'!$A$205:$AW$241,35,FALSE)="","",VLOOKUP(Wed_W1[[#This Row],[Employee Name]],'Base Schedules'!$A$205:$AW$241,35,FALSE)),"")</f>
        <v/>
      </c>
      <c r="AK19" s="184" t="str">
        <f>IFERROR(IF(VLOOKUP(Wed_W1[[#This Row],[Employee Name]],'Base Schedules'!$A$205:$AW$241,36,FALSE)="","",VLOOKUP(Wed_W1[[#This Row],[Employee Name]],'Base Schedules'!$A$205:$AW$241,36,FALSE)),"")</f>
        <v/>
      </c>
      <c r="AL19" s="184" t="str">
        <f>IFERROR(IF(VLOOKUP(Wed_W1[[#This Row],[Employee Name]],'Base Schedules'!$A$205:$AW$241,37,FALSE)="","",VLOOKUP(Wed_W1[[#This Row],[Employee Name]],'Base Schedules'!$A$205:$AW$241,37,FALSE)),"")</f>
        <v/>
      </c>
      <c r="AM19" s="184" t="str">
        <f>IFERROR(IF(VLOOKUP(Wed_W1[[#This Row],[Employee Name]],'Base Schedules'!$A$205:$AW$241,38,FALSE)="","",VLOOKUP(Wed_W1[[#This Row],[Employee Name]],'Base Schedules'!$A$205:$AW$241,38,FALSE)),"")</f>
        <v/>
      </c>
      <c r="AN19" s="184" t="str">
        <f>IFERROR(IF(VLOOKUP(Wed_W1[[#This Row],[Employee Name]],'Base Schedules'!$A$205:$AW$241,39,FALSE)="","",VLOOKUP(Wed_W1[[#This Row],[Employee Name]],'Base Schedules'!$A$205:$AW$241,39,FALSE)),"")</f>
        <v/>
      </c>
      <c r="AO19" s="184" t="str">
        <f>IFERROR(IF(VLOOKUP(Wed_W1[[#This Row],[Employee Name]],'Base Schedules'!$A$205:$AW$241,40,FALSE)="","",VLOOKUP(Wed_W1[[#This Row],[Employee Name]],'Base Schedules'!$A$205:$AW$241,40,FALSE)),"")</f>
        <v/>
      </c>
      <c r="AP19" s="184" t="str">
        <f>IFERROR(IF(VLOOKUP(Wed_W1[[#This Row],[Employee Name]],'Base Schedules'!$A$205:$AW$241,41,FALSE)="","",VLOOKUP(Wed_W1[[#This Row],[Employee Name]],'Base Schedules'!$A$205:$AW$241,41,FALSE)),"")</f>
        <v/>
      </c>
      <c r="AQ19" s="184" t="str">
        <f>IFERROR(IF(VLOOKUP(Wed_W1[[#This Row],[Employee Name]],'Base Schedules'!$A$205:$AW$241,42,FALSE)="","",VLOOKUP(Wed_W1[[#This Row],[Employee Name]],'Base Schedules'!$A$205:$AW$241,42,FALSE)),"")</f>
        <v/>
      </c>
      <c r="AR19" s="184" t="str">
        <f>IFERROR(IF(VLOOKUP(Wed_W1[[#This Row],[Employee Name]],'Base Schedules'!$A$205:$AW$241,43,FALSE)="","",VLOOKUP(Wed_W1[[#This Row],[Employee Name]],'Base Schedules'!$A$205:$AW$241,43,FALSE)),"")</f>
        <v/>
      </c>
      <c r="AS19" s="184" t="str">
        <f>IFERROR(IF(VLOOKUP(Wed_W1[[#This Row],[Employee Name]],'Base Schedules'!$A$205:$AW$241,44,FALSE)="","",VLOOKUP(Wed_W1[[#This Row],[Employee Name]],'Base Schedules'!$A$205:$AW$241,44,FALSE)),"")</f>
        <v/>
      </c>
      <c r="AT19" s="184" t="str">
        <f>IFERROR(IF(VLOOKUP(Wed_W1[[#This Row],[Employee Name]],'Base Schedules'!$A$205:$AW$241,45,FALSE)="","",VLOOKUP(Wed_W1[[#This Row],[Employee Name]],'Base Schedules'!$A$205:$AW$241,45,FALSE)),"")</f>
        <v/>
      </c>
      <c r="AU19" s="184" t="str">
        <f>IFERROR(IF(VLOOKUP(Wed_W1[[#This Row],[Employee Name]],'Base Schedules'!$A$205:$AW$241,46,FALSE)="","",VLOOKUP(Wed_W1[[#This Row],[Employee Name]],'Base Schedules'!$A$205:$AW$241,46,FALSE)),"")</f>
        <v/>
      </c>
      <c r="AV19" s="184" t="str">
        <f>IFERROR(IF(VLOOKUP(Wed_W1[[#This Row],[Employee Name]],'Base Schedules'!$A$205:$AW$241,47,FALSE)="","",VLOOKUP(Wed_W1[[#This Row],[Employee Name]],'Base Schedules'!$A$205:$AW$241,47,FALSE)),"")</f>
        <v/>
      </c>
      <c r="AW19" s="184" t="str">
        <f>IFERROR(IF(VLOOKUP(Wed_W1[[#This Row],[Employee Name]],'Base Schedules'!$A$205:$AW$241,48,FALSE)="","",VLOOKUP(Wed_W1[[#This Row],[Employee Name]],'Base Schedules'!$A$205:$AW$241,48,FALSE)),"")</f>
        <v/>
      </c>
      <c r="AX19" s="184" t="str">
        <f>IFERROR(IF(VLOOKUP(Wed_W1[[#This Row],[Employee Name]],'Base Schedules'!$A$205:$AW$241,49,FALSE)="","",VLOOKUP(Wed_W1[[#This Row],[Employee Name]],'Base Schedules'!$A$205:$AW$241,49,FALSE)),"")</f>
        <v/>
      </c>
      <c r="AY19" s="164" t="str">
        <f t="shared" si="2"/>
        <v>Garcia, Valentin</v>
      </c>
    </row>
    <row r="20" spans="1:51" s="44" customFormat="1" ht="12" x14ac:dyDescent="0.2">
      <c r="A20" s="39" t="str">
        <f>IF(B20="","",INDEX(TeamList[],MATCH($B20,TeamList[[Employee Name]:[Employee Name]],0),MATCH("Manager",TeamList[#Headers],0)))</f>
        <v>Paulson, Matthew</v>
      </c>
      <c r="B20" s="201" t="s">
        <v>33</v>
      </c>
      <c r="C20" s="257" t="str">
        <f>_xlfn.IFNA(VLOOKUP(Wed_W1[[#This Row],[Employee Name]],'Base Schedules'!A:B,2,FALSE),"")</f>
        <v>Supervisor</v>
      </c>
      <c r="D20" s="274">
        <f>_xlfn.IFNA(VLOOKUP(Wed_W1[[#This Row],[Employee Name]],'Base Schedules'!A:C,3,FALSE),"")</f>
        <v>730</v>
      </c>
      <c r="E20" s="274">
        <f>_xlfn.IFNA(VLOOKUP(Wed_W1[[#This Row],[Employee Name]],'Base Schedules'!A:D,4,FALSE),"")</f>
        <v>1630</v>
      </c>
      <c r="F20" s="142">
        <f>IF(Wed_W1[[#This Row],[Employee Name]]="","",IF(Wed_W1[[#This Row],[Dept]]="Supervisor",COUNTIFS($J20:$AX20,"*HL*",$J20:$AX20,"&lt;&gt;"&amp;"pHL"),COUNTIFS($J20:$AX20,"*HL*",$J20:$AX20,"&lt;&gt;"&amp;"*pHL*",$J20:$AX20,"&lt;&gt;"&amp;"pB1 HL",$J20:$AX20,"&lt;&gt;"&amp;"pB2 HL")-SUM(COUNTIFS($J20:$AX20,"*HL B1*",$J20:$AX20,"&lt;&gt;"&amp;"pHL B1")*0.5,COUNTIFS($J20:$AX20,"*HL B2*",$J20:$AX20,"&lt;&gt;"&amp;"pHL B2")*0.5,COUNTIFS($J20:$AX20,"*B1 HL*",$J20:$AX20,"&lt;&gt;"&amp;"pB1 HL")*0.5,COUNTIFS($J20:$AX20,"*B2 HL*",$J20:$AX20,"&lt;&gt;"&amp;"pB2 HL")*0.5)))</f>
        <v>0</v>
      </c>
      <c r="G20" s="142">
        <f t="shared" si="0"/>
        <v>6</v>
      </c>
      <c r="H20" s="142">
        <f t="shared" si="1"/>
        <v>0</v>
      </c>
      <c r="I20" s="142">
        <f>IF(Wed_W1[[#This Row],[Employee Name]]="","",IF(Wed_W1[[#This Row],[Dept]]="Supervisor",SUM(COUNTIFS($J20:$AX20,"RTA*",$J20:$AX20,"&lt;&gt;"&amp;"pRTA"),COUNTIFS($J20:$AX20,"*CRTA*",$J20:$AX20,"&lt;&gt;"&amp;"pCRTA")),COUNTIFS($J20:$AX20,"*RNNR*",$J20:$AX20,"&lt;&gt;"&amp;"*pRNNR*",$J20:$AX20,"&lt;&gt;"&amp;"pB1 RNNR",$J20:$AX20,"&lt;&gt;"&amp;"pB2 RNNR")-SUM(COUNTIFS($J20:$AX20,"*RNNR B1*",$J20:$AX20,"&lt;&gt;"&amp;"pRNNR B1")*0.5,COUNTIFS($J20:$AX20,"*RNNR B2*",$J20:$AX20,"&lt;&gt;"&amp;"pRNNR B2")*0.5,COUNTIFS($J20:$AX20,"*B1 RNNR*",$J20:$AX20,"&lt;&gt;"&amp;"pB1 RNNR")*0.5,COUNTIFS($J20:$AX20,"*B2 RNNR*",$J20:$AX20,"&lt;&gt;"&amp;"pB2 RNNR")*0.5)))</f>
        <v>0</v>
      </c>
      <c r="J20" s="184" t="str">
        <f>IFERROR(IF(VLOOKUP(Wed_W1[[#This Row],[Employee Name]],'Base Schedules'!$A$205:$AW$241,9,FALSE)="","",VLOOKUP(Wed_W1[[#This Row],[Employee Name]],'Base Schedules'!$A$205:$AW$241,9,FALSE)),"")</f>
        <v/>
      </c>
      <c r="K20" s="184" t="str">
        <f>IFERROR(IF(VLOOKUP(Wed_W1[[#This Row],[Employee Name]],'Base Schedules'!$A$205:$AW$241,10,FALSE)="","",VLOOKUP(Wed_W1[[#This Row],[Employee Name]],'Base Schedules'!$A$205:$AW$241,10,FALSE)),"")</f>
        <v/>
      </c>
      <c r="L20" s="184" t="str">
        <f>IFERROR(IF(VLOOKUP(Wed_W1[[#This Row],[Employee Name]],'Base Schedules'!$A$205:$AW$241,11,FALSE)="","",VLOOKUP(Wed_W1[[#This Row],[Employee Name]],'Base Schedules'!$A$205:$AW$241,11,FALSE)),"")</f>
        <v/>
      </c>
      <c r="M20" s="184" t="str">
        <f>IFERROR(IF(VLOOKUP(Wed_W1[[#This Row],[Employee Name]],'Base Schedules'!$A$205:$AW$241,12,FALSE)="","",VLOOKUP(Wed_W1[[#This Row],[Employee Name]],'Base Schedules'!$A$205:$AW$241,12,FALSE)),"")</f>
        <v/>
      </c>
      <c r="N20" s="184" t="str">
        <f>IFERROR(IF(VLOOKUP(Wed_W1[[#This Row],[Employee Name]],'Base Schedules'!$A$205:$AW$241,13,FALSE)="","",VLOOKUP(Wed_W1[[#This Row],[Employee Name]],'Base Schedules'!$A$205:$AW$241,13,FALSE)),"")</f>
        <v/>
      </c>
      <c r="O20" s="184" t="str">
        <f>IFERROR(IF(VLOOKUP(Wed_W1[[#This Row],[Employee Name]],'Base Schedules'!$A$205:$AW$241,14,FALSE)="","",VLOOKUP(Wed_W1[[#This Row],[Employee Name]],'Base Schedules'!$A$205:$AW$241,14,FALSE)),"")</f>
        <v>-</v>
      </c>
      <c r="P20" s="184" t="str">
        <f>IFERROR(IF(VLOOKUP(Wed_W1[[#This Row],[Employee Name]],'Base Schedules'!$A$205:$AW$241,15,FALSE)="","",VLOOKUP(Wed_W1[[#This Row],[Employee Name]],'Base Schedules'!$A$205:$AW$241,15,FALSE)),"")</f>
        <v>Coaching</v>
      </c>
      <c r="Q20" s="184" t="str">
        <f>IFERROR(IF(VLOOKUP(Wed_W1[[#This Row],[Employee Name]],'Base Schedules'!$A$205:$AW$241,16,FALSE)="","",VLOOKUP(Wed_W1[[#This Row],[Employee Name]],'Base Schedules'!$A$205:$AW$241,16,FALSE)),"")</f>
        <v>Coaching</v>
      </c>
      <c r="R20" s="184" t="str">
        <f>IFERROR(IF(VLOOKUP(Wed_W1[[#This Row],[Employee Name]],'Base Schedules'!$A$205:$AW$241,17,FALSE)="","",VLOOKUP(Wed_W1[[#This Row],[Employee Name]],'Base Schedules'!$A$205:$AW$241,17,FALSE)),"")</f>
        <v>Coaching</v>
      </c>
      <c r="S20" s="184" t="str">
        <f>IFERROR(IF(VLOOKUP(Wed_W1[[#This Row],[Employee Name]],'Base Schedules'!$A$205:$AW$241,18,FALSE)="","",VLOOKUP(Wed_W1[[#This Row],[Employee Name]],'Base Schedules'!$A$205:$AW$241,18,FALSE)),"")</f>
        <v>-</v>
      </c>
      <c r="T20" s="184" t="str">
        <f>IFERROR(IF(VLOOKUP(Wed_W1[[#This Row],[Employee Name]],'Base Schedules'!$A$205:$AW$241,19,FALSE)="","",VLOOKUP(Wed_W1[[#This Row],[Employee Name]],'Base Schedules'!$A$205:$AW$241,19,FALSE)),"")</f>
        <v>TM PREP</v>
      </c>
      <c r="U20" s="184" t="str">
        <f>IFERROR(IF(VLOOKUP(Wed_W1[[#This Row],[Employee Name]],'Base Schedules'!$A$205:$AW$241,20,FALSE)="","",VLOOKUP(Wed_W1[[#This Row],[Employee Name]],'Base Schedules'!$A$205:$AW$241,20,FALSE)),"")</f>
        <v>KPR TM</v>
      </c>
      <c r="V20" s="184" t="str">
        <f>IFERROR(IF(VLOOKUP(Wed_W1[[#This Row],[Employee Name]],'Base Schedules'!$A$205:$AW$241,21,FALSE)="","",VLOOKUP(Wed_W1[[#This Row],[Employee Name]],'Base Schedules'!$A$205:$AW$241,21,FALSE)),"")</f>
        <v>KPR TM</v>
      </c>
      <c r="W20" s="184" t="str">
        <f>IFERROR(IF(VLOOKUP(Wed_W1[[#This Row],[Employee Name]],'Base Schedules'!$A$205:$AW$241,22,FALSE)="","",VLOOKUP(Wed_W1[[#This Row],[Employee Name]],'Base Schedules'!$A$205:$AW$241,22,FALSE)),"")</f>
        <v>-</v>
      </c>
      <c r="X20" s="184" t="str">
        <f>IFERROR(IF(VLOOKUP(Wed_W1[[#This Row],[Employee Name]],'Base Schedules'!$A$205:$AW$241,23,FALSE)="","",VLOOKUP(Wed_W1[[#This Row],[Employee Name]],'Base Schedules'!$A$205:$AW$241,23,FALSE)),"")</f>
        <v>-</v>
      </c>
      <c r="Y20" s="184" t="str">
        <f>IFERROR(IF(VLOOKUP(Wed_W1[[#This Row],[Employee Name]],'Base Schedules'!$A$205:$AW$241,24,FALSE)="","",VLOOKUP(Wed_W1[[#This Row],[Employee Name]],'Base Schedules'!$A$205:$AW$241,24,FALSE)),"")</f>
        <v>-</v>
      </c>
      <c r="Z20" s="184" t="str">
        <f>IFERROR(IF(VLOOKUP(Wed_W1[[#This Row],[Employee Name]],'Base Schedules'!$A$205:$AW$241,25,FALSE)="","",VLOOKUP(Wed_W1[[#This Row],[Employee Name]],'Base Schedules'!$A$205:$AW$241,25,FALSE)),"")</f>
        <v>Interview</v>
      </c>
      <c r="AA20" s="184" t="str">
        <f>IFERROR(IF(VLOOKUP(Wed_W1[[#This Row],[Employee Name]],'Base Schedules'!$A$205:$AW$241,26,FALSE)="","",VLOOKUP(Wed_W1[[#This Row],[Employee Name]],'Base Schedules'!$A$205:$AW$241,26,FALSE)),"")</f>
        <v>Interview</v>
      </c>
      <c r="AB20" s="184" t="str">
        <f>IFERROR(IF(VLOOKUP(Wed_W1[[#This Row],[Employee Name]],'Base Schedules'!$A$205:$AW$241,27,FALSE)="","",VLOOKUP(Wed_W1[[#This Row],[Employee Name]],'Base Schedules'!$A$205:$AW$241,27,FALSE)),"")</f>
        <v>Coaching</v>
      </c>
      <c r="AC20" s="184" t="str">
        <f>IFERROR(IF(VLOOKUP(Wed_W1[[#This Row],[Employee Name]],'Base Schedules'!$A$205:$AW$241,28,FALSE)="","",VLOOKUP(Wed_W1[[#This Row],[Employee Name]],'Base Schedules'!$A$205:$AW$241,28,FALSE)),"")</f>
        <v>Coaching</v>
      </c>
      <c r="AD20" s="184" t="str">
        <f>IFERROR(IF(VLOOKUP(Wed_W1[[#This Row],[Employee Name]],'Base Schedules'!$A$205:$AW$241,29,FALSE)="","",VLOOKUP(Wed_W1[[#This Row],[Employee Name]],'Base Schedules'!$A$205:$AW$241,29,FALSE)),"")</f>
        <v>Coaching</v>
      </c>
      <c r="AE20" s="184" t="str">
        <f>IFERROR(IF(VLOOKUP(Wed_W1[[#This Row],[Employee Name]],'Base Schedules'!$A$205:$AW$241,30,FALSE)="","",VLOOKUP(Wed_W1[[#This Row],[Employee Name]],'Base Schedules'!$A$205:$AW$241,30,FALSE)),"")</f>
        <v>-</v>
      </c>
      <c r="AF20" s="184" t="str">
        <f>IFERROR(IF(VLOOKUP(Wed_W1[[#This Row],[Employee Name]],'Base Schedules'!$A$205:$AW$241,31,FALSE)="","",VLOOKUP(Wed_W1[[#This Row],[Employee Name]],'Base Schedules'!$A$205:$AW$241,31,FALSE)),"")</f>
        <v>-</v>
      </c>
      <c r="AG20" s="184" t="str">
        <f>IFERROR(IF(VLOOKUP(Wed_W1[[#This Row],[Employee Name]],'Base Schedules'!$A$205:$AW$241,32,FALSE)="","",VLOOKUP(Wed_W1[[#This Row],[Employee Name]],'Base Schedules'!$A$205:$AW$241,32,FALSE)),"")</f>
        <v/>
      </c>
      <c r="AH20" s="184" t="str">
        <f>IFERROR(IF(VLOOKUP(Wed_W1[[#This Row],[Employee Name]],'Base Schedules'!$A$205:$AW$241,33,FALSE)="","",VLOOKUP(Wed_W1[[#This Row],[Employee Name]],'Base Schedules'!$A$205:$AW$241,33,FALSE)),"")</f>
        <v/>
      </c>
      <c r="AI20" s="184" t="str">
        <f>IFERROR(IF(VLOOKUP(Wed_W1[[#This Row],[Employee Name]],'Base Schedules'!$A$205:$AW$241,34,FALSE)="","",VLOOKUP(Wed_W1[[#This Row],[Employee Name]],'Base Schedules'!$A$205:$AW$241,34,FALSE)),"")</f>
        <v/>
      </c>
      <c r="AJ20" s="184" t="str">
        <f>IFERROR(IF(VLOOKUP(Wed_W1[[#This Row],[Employee Name]],'Base Schedules'!$A$205:$AW$241,35,FALSE)="","",VLOOKUP(Wed_W1[[#This Row],[Employee Name]],'Base Schedules'!$A$205:$AW$241,35,FALSE)),"")</f>
        <v/>
      </c>
      <c r="AK20" s="184" t="str">
        <f>IFERROR(IF(VLOOKUP(Wed_W1[[#This Row],[Employee Name]],'Base Schedules'!$A$205:$AW$241,36,FALSE)="","",VLOOKUP(Wed_W1[[#This Row],[Employee Name]],'Base Schedules'!$A$205:$AW$241,36,FALSE)),"")</f>
        <v/>
      </c>
      <c r="AL20" s="184" t="str">
        <f>IFERROR(IF(VLOOKUP(Wed_W1[[#This Row],[Employee Name]],'Base Schedules'!$A$205:$AW$241,37,FALSE)="","",VLOOKUP(Wed_W1[[#This Row],[Employee Name]],'Base Schedules'!$A$205:$AW$241,37,FALSE)),"")</f>
        <v/>
      </c>
      <c r="AM20" s="184" t="str">
        <f>IFERROR(IF(VLOOKUP(Wed_W1[[#This Row],[Employee Name]],'Base Schedules'!$A$205:$AW$241,38,FALSE)="","",VLOOKUP(Wed_W1[[#This Row],[Employee Name]],'Base Schedules'!$A$205:$AW$241,38,FALSE)),"")</f>
        <v/>
      </c>
      <c r="AN20" s="184" t="str">
        <f>IFERROR(IF(VLOOKUP(Wed_W1[[#This Row],[Employee Name]],'Base Schedules'!$A$205:$AW$241,39,FALSE)="","",VLOOKUP(Wed_W1[[#This Row],[Employee Name]],'Base Schedules'!$A$205:$AW$241,39,FALSE)),"")</f>
        <v/>
      </c>
      <c r="AO20" s="184" t="str">
        <f>IFERROR(IF(VLOOKUP(Wed_W1[[#This Row],[Employee Name]],'Base Schedules'!$A$205:$AW$241,40,FALSE)="","",VLOOKUP(Wed_W1[[#This Row],[Employee Name]],'Base Schedules'!$A$205:$AW$241,40,FALSE)),"")</f>
        <v/>
      </c>
      <c r="AP20" s="184" t="str">
        <f>IFERROR(IF(VLOOKUP(Wed_W1[[#This Row],[Employee Name]],'Base Schedules'!$A$205:$AW$241,41,FALSE)="","",VLOOKUP(Wed_W1[[#This Row],[Employee Name]],'Base Schedules'!$A$205:$AW$241,41,FALSE)),"")</f>
        <v/>
      </c>
      <c r="AQ20" s="184" t="str">
        <f>IFERROR(IF(VLOOKUP(Wed_W1[[#This Row],[Employee Name]],'Base Schedules'!$A$205:$AW$241,42,FALSE)="","",VLOOKUP(Wed_W1[[#This Row],[Employee Name]],'Base Schedules'!$A$205:$AW$241,42,FALSE)),"")</f>
        <v/>
      </c>
      <c r="AR20" s="184" t="str">
        <f>IFERROR(IF(VLOOKUP(Wed_W1[[#This Row],[Employee Name]],'Base Schedules'!$A$205:$AW$241,43,FALSE)="","",VLOOKUP(Wed_W1[[#This Row],[Employee Name]],'Base Schedules'!$A$205:$AW$241,43,FALSE)),"")</f>
        <v/>
      </c>
      <c r="AS20" s="184" t="str">
        <f>IFERROR(IF(VLOOKUP(Wed_W1[[#This Row],[Employee Name]],'Base Schedules'!$A$205:$AW$241,44,FALSE)="","",VLOOKUP(Wed_W1[[#This Row],[Employee Name]],'Base Schedules'!$A$205:$AW$241,44,FALSE)),"")</f>
        <v/>
      </c>
      <c r="AT20" s="184" t="str">
        <f>IFERROR(IF(VLOOKUP(Wed_W1[[#This Row],[Employee Name]],'Base Schedules'!$A$205:$AW$241,45,FALSE)="","",VLOOKUP(Wed_W1[[#This Row],[Employee Name]],'Base Schedules'!$A$205:$AW$241,45,FALSE)),"")</f>
        <v/>
      </c>
      <c r="AU20" s="184" t="str">
        <f>IFERROR(IF(VLOOKUP(Wed_W1[[#This Row],[Employee Name]],'Base Schedules'!$A$205:$AW$241,46,FALSE)="","",VLOOKUP(Wed_W1[[#This Row],[Employee Name]],'Base Schedules'!$A$205:$AW$241,46,FALSE)),"")</f>
        <v/>
      </c>
      <c r="AV20" s="184" t="str">
        <f>IFERROR(IF(VLOOKUP(Wed_W1[[#This Row],[Employee Name]],'Base Schedules'!$A$205:$AW$241,47,FALSE)="","",VLOOKUP(Wed_W1[[#This Row],[Employee Name]],'Base Schedules'!$A$205:$AW$241,47,FALSE)),"")</f>
        <v/>
      </c>
      <c r="AW20" s="184" t="str">
        <f>IFERROR(IF(VLOOKUP(Wed_W1[[#This Row],[Employee Name]],'Base Schedules'!$A$205:$AW$241,48,FALSE)="","",VLOOKUP(Wed_W1[[#This Row],[Employee Name]],'Base Schedules'!$A$205:$AW$241,48,FALSE)),"")</f>
        <v/>
      </c>
      <c r="AX20" s="184" t="str">
        <f>IFERROR(IF(VLOOKUP(Wed_W1[[#This Row],[Employee Name]],'Base Schedules'!$A$205:$AW$241,49,FALSE)="","",VLOOKUP(Wed_W1[[#This Row],[Employee Name]],'Base Schedules'!$A$205:$AW$241,49,FALSE)),"")</f>
        <v/>
      </c>
      <c r="AY20" s="164" t="str">
        <f t="shared" si="2"/>
        <v>Parkin-Rego, Kimberlee</v>
      </c>
    </row>
    <row r="21" spans="1:51" s="44" customFormat="1" ht="12" x14ac:dyDescent="0.2">
      <c r="A21" s="39" t="str">
        <f>IF(B21="","",INDEX(TeamList[],MATCH($B21,TeamList[[Employee Name]:[Employee Name]],0),MATCH("Manager",TeamList[#Headers],0)))</f>
        <v>Olson, Katherine</v>
      </c>
      <c r="B21" s="201" t="s">
        <v>41</v>
      </c>
      <c r="C21" s="257" t="str">
        <f>_xlfn.IFNA(VLOOKUP(Wed_W1[[#This Row],[Employee Name]],'Base Schedules'!A:B,2,FALSE),"")</f>
        <v>Lead</v>
      </c>
      <c r="D21" s="274">
        <f>_xlfn.IFNA(VLOOKUP(Wed_W1[[#This Row],[Employee Name]],'Base Schedules'!A:C,3,FALSE),"")</f>
        <v>800</v>
      </c>
      <c r="E21" s="274">
        <f>_xlfn.IFNA(VLOOKUP(Wed_W1[[#This Row],[Employee Name]],'Base Schedules'!A:D,4,FALSE),"")</f>
        <v>1630</v>
      </c>
      <c r="F21" s="142">
        <f>IF(Wed_W1[[#This Row],[Employee Name]]="","",IF(Wed_W1[[#This Row],[Dept]]="Supervisor",COUNTIFS($J21:$AX21,"*HL*",$J21:$AX21,"&lt;&gt;"&amp;"pHL"),COUNTIFS($J21:$AX21,"*HL*",$J21:$AX21,"&lt;&gt;"&amp;"*pHL*",$J21:$AX21,"&lt;&gt;"&amp;"pB1 HL",$J21:$AX21,"&lt;&gt;"&amp;"pB2 HL")-SUM(COUNTIFS($J21:$AX21,"*HL B1*",$J21:$AX21,"&lt;&gt;"&amp;"pHL B1")*0.5,COUNTIFS($J21:$AX21,"*HL B2*",$J21:$AX21,"&lt;&gt;"&amp;"pHL B2")*0.5,COUNTIFS($J21:$AX21,"*B1 HL*",$J21:$AX21,"&lt;&gt;"&amp;"pB1 HL")*0.5,COUNTIFS($J21:$AX21,"*B2 HL*",$J21:$AX21,"&lt;&gt;"&amp;"pB2 HL")*0.5)))</f>
        <v>7.5</v>
      </c>
      <c r="G21" s="142">
        <f t="shared" si="0"/>
        <v>0</v>
      </c>
      <c r="H21" s="142">
        <f t="shared" si="1"/>
        <v>8</v>
      </c>
      <c r="I21" s="142">
        <f>IF(Wed_W1[[#This Row],[Employee Name]]="","",IF(Wed_W1[[#This Row],[Dept]]="Supervisor",SUM(COUNTIFS($J21:$AX21,"RTA*",$J21:$AX21,"&lt;&gt;"&amp;"pRTA"),COUNTIFS($J21:$AX21,"*CRTA*",$J21:$AX21,"&lt;&gt;"&amp;"pCRTA")),COUNTIFS($J21:$AX21,"*RNNR*",$J21:$AX21,"&lt;&gt;"&amp;"*pRNNR*",$J21:$AX21,"&lt;&gt;"&amp;"pB1 RNNR",$J21:$AX21,"&lt;&gt;"&amp;"pB2 RNNR")-SUM(COUNTIFS($J21:$AX21,"*RNNR B1*",$J21:$AX21,"&lt;&gt;"&amp;"pRNNR B1")*0.5,COUNTIFS($J21:$AX21,"*RNNR B2*",$J21:$AX21,"&lt;&gt;"&amp;"pRNNR B2")*0.5,COUNTIFS($J21:$AX21,"*B1 RNNR*",$J21:$AX21,"&lt;&gt;"&amp;"pB1 RNNR")*0.5,COUNTIFS($J21:$AX21,"*B2 RNNR*",$J21:$AX21,"&lt;&gt;"&amp;"pB2 RNNR")*0.5)))</f>
        <v>0</v>
      </c>
      <c r="J21" s="184" t="str">
        <f>IFERROR(IF(VLOOKUP(Wed_W1[[#This Row],[Employee Name]],'Base Schedules'!$A$205:$AW$241,9,FALSE)="","",VLOOKUP(Wed_W1[[#This Row],[Employee Name]],'Base Schedules'!$A$205:$AW$241,9,FALSE)),"")</f>
        <v/>
      </c>
      <c r="K21" s="184" t="str">
        <f>IFERROR(IF(VLOOKUP(Wed_W1[[#This Row],[Employee Name]],'Base Schedules'!$A$205:$AW$241,10,FALSE)="","",VLOOKUP(Wed_W1[[#This Row],[Employee Name]],'Base Schedules'!$A$205:$AW$241,10,FALSE)),"")</f>
        <v/>
      </c>
      <c r="L21" s="184" t="str">
        <f>IFERROR(IF(VLOOKUP(Wed_W1[[#This Row],[Employee Name]],'Base Schedules'!$A$205:$AW$241,11,FALSE)="","",VLOOKUP(Wed_W1[[#This Row],[Employee Name]],'Base Schedules'!$A$205:$AW$241,11,FALSE)),"")</f>
        <v/>
      </c>
      <c r="M21" s="184" t="str">
        <f>IFERROR(IF(VLOOKUP(Wed_W1[[#This Row],[Employee Name]],'Base Schedules'!$A$205:$AW$241,12,FALSE)="","",VLOOKUP(Wed_W1[[#This Row],[Employee Name]],'Base Schedules'!$A$205:$AW$241,12,FALSE)),"")</f>
        <v/>
      </c>
      <c r="N21" s="184" t="str">
        <f>IFERROR(IF(VLOOKUP(Wed_W1[[#This Row],[Employee Name]],'Base Schedules'!$A$205:$AW$241,13,FALSE)="","",VLOOKUP(Wed_W1[[#This Row],[Employee Name]],'Base Schedules'!$A$205:$AW$241,13,FALSE)),"")</f>
        <v/>
      </c>
      <c r="O21" s="184" t="str">
        <f>IFERROR(IF(VLOOKUP(Wed_W1[[#This Row],[Employee Name]],'Base Schedules'!$A$205:$AW$241,14,FALSE)="","",VLOOKUP(Wed_W1[[#This Row],[Employee Name]],'Base Schedules'!$A$205:$AW$241,14,FALSE)),"")</f>
        <v/>
      </c>
      <c r="P21" s="184" t="str">
        <f>IFERROR(IF(VLOOKUP(Wed_W1[[#This Row],[Employee Name]],'Base Schedules'!$A$205:$AW$241,15,FALSE)="","",VLOOKUP(Wed_W1[[#This Row],[Employee Name]],'Base Schedules'!$A$205:$AW$241,15,FALSE)),"")</f>
        <v>HL</v>
      </c>
      <c r="Q21" s="184" t="str">
        <f>IFERROR(IF(VLOOKUP(Wed_W1[[#This Row],[Employee Name]],'Base Schedules'!$A$205:$AW$241,16,FALSE)="","",VLOOKUP(Wed_W1[[#This Row],[Employee Name]],'Base Schedules'!$A$205:$AW$241,16,FALSE)),"")</f>
        <v>HL</v>
      </c>
      <c r="R21" s="184" t="str">
        <f>IFERROR(IF(VLOOKUP(Wed_W1[[#This Row],[Employee Name]],'Base Schedules'!$A$205:$AW$241,17,FALSE)="","",VLOOKUP(Wed_W1[[#This Row],[Employee Name]],'Base Schedules'!$A$205:$AW$241,17,FALSE)),"")</f>
        <v>ADM</v>
      </c>
      <c r="S21" s="184" t="str">
        <f>IFERROR(IF(VLOOKUP(Wed_W1[[#This Row],[Employee Name]],'Base Schedules'!$A$205:$AW$241,18,FALSE)="","",VLOOKUP(Wed_W1[[#This Row],[Employee Name]],'Base Schedules'!$A$205:$AW$241,18,FALSE)),"")</f>
        <v>ADM</v>
      </c>
      <c r="T21" s="184" t="str">
        <f>IFERROR(IF(VLOOKUP(Wed_W1[[#This Row],[Employee Name]],'Base Schedules'!$A$205:$AW$241,19,FALSE)="","",VLOOKUP(Wed_W1[[#This Row],[Employee Name]],'Base Schedules'!$A$205:$AW$241,19,FALSE)),"")</f>
        <v>B1 HL</v>
      </c>
      <c r="U21" s="184" t="str">
        <f>IFERROR(IF(VLOOKUP(Wed_W1[[#This Row],[Employee Name]],'Base Schedules'!$A$205:$AW$241,20,FALSE)="","",VLOOKUP(Wed_W1[[#This Row],[Employee Name]],'Base Schedules'!$A$205:$AW$241,20,FALSE)),"")</f>
        <v>HL</v>
      </c>
      <c r="V21" s="184" t="str">
        <f>IFERROR(IF(VLOOKUP(Wed_W1[[#This Row],[Employee Name]],'Base Schedules'!$A$205:$AW$241,21,FALSE)="","",VLOOKUP(Wed_W1[[#This Row],[Employee Name]],'Base Schedules'!$A$205:$AW$241,21,FALSE)),"")</f>
        <v>HL</v>
      </c>
      <c r="W21" s="184" t="str">
        <f>IFERROR(IF(VLOOKUP(Wed_W1[[#This Row],[Employee Name]],'Base Schedules'!$A$205:$AW$241,22,FALSE)="","",VLOOKUP(Wed_W1[[#This Row],[Employee Name]],'Base Schedules'!$A$205:$AW$241,22,FALSE)),"")</f>
        <v>ADM</v>
      </c>
      <c r="X21" s="184" t="str">
        <f>IFERROR(IF(VLOOKUP(Wed_W1[[#This Row],[Employee Name]],'Base Schedules'!$A$205:$AW$241,23,FALSE)="","",VLOOKUP(Wed_W1[[#This Row],[Employee Name]],'Base Schedules'!$A$205:$AW$241,23,FALSE)),"")</f>
        <v>ADM</v>
      </c>
      <c r="Y21" s="184" t="str">
        <f>IFERROR(IF(VLOOKUP(Wed_W1[[#This Row],[Employee Name]],'Base Schedules'!$A$205:$AW$241,24,FALSE)="","",VLOOKUP(Wed_W1[[#This Row],[Employee Name]],'Base Schedules'!$A$205:$AW$241,24,FALSE)),"")</f>
        <v>LUNCH</v>
      </c>
      <c r="Z21" s="184" t="str">
        <f>IFERROR(IF(VLOOKUP(Wed_W1[[#This Row],[Employee Name]],'Base Schedules'!$A$205:$AW$241,25,FALSE)="","",VLOOKUP(Wed_W1[[#This Row],[Employee Name]],'Base Schedules'!$A$205:$AW$241,25,FALSE)),"")</f>
        <v>ADM</v>
      </c>
      <c r="AA21" s="184" t="str">
        <f>IFERROR(IF(VLOOKUP(Wed_W1[[#This Row],[Employee Name]],'Base Schedules'!$A$205:$AW$241,26,FALSE)="","",VLOOKUP(Wed_W1[[#This Row],[Employee Name]],'Base Schedules'!$A$205:$AW$241,26,FALSE)),"")</f>
        <v>HL</v>
      </c>
      <c r="AB21" s="184" t="str">
        <f>IFERROR(IF(VLOOKUP(Wed_W1[[#This Row],[Employee Name]],'Base Schedules'!$A$205:$AW$241,27,FALSE)="","",VLOOKUP(Wed_W1[[#This Row],[Employee Name]],'Base Schedules'!$A$205:$AW$241,27,FALSE)),"")</f>
        <v>HL</v>
      </c>
      <c r="AC21" s="184" t="str">
        <f>IFERROR(IF(VLOOKUP(Wed_W1[[#This Row],[Employee Name]],'Base Schedules'!$A$205:$AW$241,28,FALSE)="","",VLOOKUP(Wed_W1[[#This Row],[Employee Name]],'Base Schedules'!$A$205:$AW$241,28,FALSE)),"")</f>
        <v>B2 ADM</v>
      </c>
      <c r="AD21" s="184" t="str">
        <f>IFERROR(IF(VLOOKUP(Wed_W1[[#This Row],[Employee Name]],'Base Schedules'!$A$205:$AW$241,29,FALSE)="","",VLOOKUP(Wed_W1[[#This Row],[Employee Name]],'Base Schedules'!$A$205:$AW$241,29,FALSE)),"")</f>
        <v>ADM</v>
      </c>
      <c r="AE21" s="184" t="str">
        <f>IFERROR(IF(VLOOKUP(Wed_W1[[#This Row],[Employee Name]],'Base Schedules'!$A$205:$AW$241,30,FALSE)="","",VLOOKUP(Wed_W1[[#This Row],[Employee Name]],'Base Schedules'!$A$205:$AW$241,30,FALSE)),"")</f>
        <v>ADM</v>
      </c>
      <c r="AF21" s="184" t="str">
        <f>IFERROR(IF(VLOOKUP(Wed_W1[[#This Row],[Employee Name]],'Base Schedules'!$A$205:$AW$241,31,FALSE)="","",VLOOKUP(Wed_W1[[#This Row],[Employee Name]],'Base Schedules'!$A$205:$AW$241,31,FALSE)),"")</f>
        <v>HL</v>
      </c>
      <c r="AG21" s="184" t="str">
        <f>IFERROR(IF(VLOOKUP(Wed_W1[[#This Row],[Employee Name]],'Base Schedules'!$A$205:$AW$241,32,FALSE)="","",VLOOKUP(Wed_W1[[#This Row],[Employee Name]],'Base Schedules'!$A$205:$AW$241,32,FALSE)),"")</f>
        <v/>
      </c>
      <c r="AH21" s="184" t="str">
        <f>IFERROR(IF(VLOOKUP(Wed_W1[[#This Row],[Employee Name]],'Base Schedules'!$A$205:$AW$241,33,FALSE)="","",VLOOKUP(Wed_W1[[#This Row],[Employee Name]],'Base Schedules'!$A$205:$AW$241,33,FALSE)),"")</f>
        <v/>
      </c>
      <c r="AI21" s="184" t="str">
        <f>IFERROR(IF(VLOOKUP(Wed_W1[[#This Row],[Employee Name]],'Base Schedules'!$A$205:$AW$241,34,FALSE)="","",VLOOKUP(Wed_W1[[#This Row],[Employee Name]],'Base Schedules'!$A$205:$AW$241,34,FALSE)),"")</f>
        <v/>
      </c>
      <c r="AJ21" s="184" t="str">
        <f>IFERROR(IF(VLOOKUP(Wed_W1[[#This Row],[Employee Name]],'Base Schedules'!$A$205:$AW$241,35,FALSE)="","",VLOOKUP(Wed_W1[[#This Row],[Employee Name]],'Base Schedules'!$A$205:$AW$241,35,FALSE)),"")</f>
        <v/>
      </c>
      <c r="AK21" s="184" t="str">
        <f>IFERROR(IF(VLOOKUP(Wed_W1[[#This Row],[Employee Name]],'Base Schedules'!$A$205:$AW$241,36,FALSE)="","",VLOOKUP(Wed_W1[[#This Row],[Employee Name]],'Base Schedules'!$A$205:$AW$241,36,FALSE)),"")</f>
        <v/>
      </c>
      <c r="AL21" s="184" t="str">
        <f>IFERROR(IF(VLOOKUP(Wed_W1[[#This Row],[Employee Name]],'Base Schedules'!$A$205:$AW$241,37,FALSE)="","",VLOOKUP(Wed_W1[[#This Row],[Employee Name]],'Base Schedules'!$A$205:$AW$241,37,FALSE)),"")</f>
        <v/>
      </c>
      <c r="AM21" s="184" t="str">
        <f>IFERROR(IF(VLOOKUP(Wed_W1[[#This Row],[Employee Name]],'Base Schedules'!$A$205:$AW$241,38,FALSE)="","",VLOOKUP(Wed_W1[[#This Row],[Employee Name]],'Base Schedules'!$A$205:$AW$241,38,FALSE)),"")</f>
        <v/>
      </c>
      <c r="AN21" s="184" t="str">
        <f>IFERROR(IF(VLOOKUP(Wed_W1[[#This Row],[Employee Name]],'Base Schedules'!$A$205:$AW$241,39,FALSE)="","",VLOOKUP(Wed_W1[[#This Row],[Employee Name]],'Base Schedules'!$A$205:$AW$241,39,FALSE)),"")</f>
        <v/>
      </c>
      <c r="AO21" s="184" t="str">
        <f>IFERROR(IF(VLOOKUP(Wed_W1[[#This Row],[Employee Name]],'Base Schedules'!$A$205:$AW$241,40,FALSE)="","",VLOOKUP(Wed_W1[[#This Row],[Employee Name]],'Base Schedules'!$A$205:$AW$241,40,FALSE)),"")</f>
        <v/>
      </c>
      <c r="AP21" s="184" t="str">
        <f>IFERROR(IF(VLOOKUP(Wed_W1[[#This Row],[Employee Name]],'Base Schedules'!$A$205:$AW$241,41,FALSE)="","",VLOOKUP(Wed_W1[[#This Row],[Employee Name]],'Base Schedules'!$A$205:$AW$241,41,FALSE)),"")</f>
        <v/>
      </c>
      <c r="AQ21" s="184" t="str">
        <f>IFERROR(IF(VLOOKUP(Wed_W1[[#This Row],[Employee Name]],'Base Schedules'!$A$205:$AW$241,42,FALSE)="","",VLOOKUP(Wed_W1[[#This Row],[Employee Name]],'Base Schedules'!$A$205:$AW$241,42,FALSE)),"")</f>
        <v/>
      </c>
      <c r="AR21" s="184" t="str">
        <f>IFERROR(IF(VLOOKUP(Wed_W1[[#This Row],[Employee Name]],'Base Schedules'!$A$205:$AW$241,43,FALSE)="","",VLOOKUP(Wed_W1[[#This Row],[Employee Name]],'Base Schedules'!$A$205:$AW$241,43,FALSE)),"")</f>
        <v/>
      </c>
      <c r="AS21" s="184" t="str">
        <f>IFERROR(IF(VLOOKUP(Wed_W1[[#This Row],[Employee Name]],'Base Schedules'!$A$205:$AW$241,44,FALSE)="","",VLOOKUP(Wed_W1[[#This Row],[Employee Name]],'Base Schedules'!$A$205:$AW$241,44,FALSE)),"")</f>
        <v/>
      </c>
      <c r="AT21" s="184" t="str">
        <f>IFERROR(IF(VLOOKUP(Wed_W1[[#This Row],[Employee Name]],'Base Schedules'!$A$205:$AW$241,45,FALSE)="","",VLOOKUP(Wed_W1[[#This Row],[Employee Name]],'Base Schedules'!$A$205:$AW$241,45,FALSE)),"")</f>
        <v/>
      </c>
      <c r="AU21" s="184" t="str">
        <f>IFERROR(IF(VLOOKUP(Wed_W1[[#This Row],[Employee Name]],'Base Schedules'!$A$205:$AW$241,46,FALSE)="","",VLOOKUP(Wed_W1[[#This Row],[Employee Name]],'Base Schedules'!$A$205:$AW$241,46,FALSE)),"")</f>
        <v/>
      </c>
      <c r="AV21" s="184" t="str">
        <f>IFERROR(IF(VLOOKUP(Wed_W1[[#This Row],[Employee Name]],'Base Schedules'!$A$205:$AW$241,47,FALSE)="","",VLOOKUP(Wed_W1[[#This Row],[Employee Name]],'Base Schedules'!$A$205:$AW$241,47,FALSE)),"")</f>
        <v/>
      </c>
      <c r="AW21" s="184" t="str">
        <f>IFERROR(IF(VLOOKUP(Wed_W1[[#This Row],[Employee Name]],'Base Schedules'!$A$205:$AW$241,48,FALSE)="","",VLOOKUP(Wed_W1[[#This Row],[Employee Name]],'Base Schedules'!$A$205:$AW$241,48,FALSE)),"")</f>
        <v/>
      </c>
      <c r="AX21" s="184" t="str">
        <f>IFERROR(IF(VLOOKUP(Wed_W1[[#This Row],[Employee Name]],'Base Schedules'!$A$205:$AW$241,49,FALSE)="","",VLOOKUP(Wed_W1[[#This Row],[Employee Name]],'Base Schedules'!$A$205:$AW$241,49,FALSE)),"")</f>
        <v/>
      </c>
      <c r="AY21" s="164" t="str">
        <f t="shared" si="2"/>
        <v>Harley, Timothy</v>
      </c>
    </row>
    <row r="22" spans="1:51" s="44" customFormat="1" ht="12" x14ac:dyDescent="0.2">
      <c r="A22" s="39" t="str">
        <f>IF(B22="","",INDEX(TeamList[],MATCH($B22,TeamList[[Employee Name]:[Employee Name]],0),MATCH("Manager",TeamList[#Headers],0)))</f>
        <v>Ahmed Hassan, Zahra</v>
      </c>
      <c r="B22" s="201" t="s">
        <v>70</v>
      </c>
      <c r="C22" s="257" t="str">
        <f>_xlfn.IFNA(VLOOKUP(Wed_W1[[#This Row],[Employee Name]],'Base Schedules'!A:B,2,FALSE),"")</f>
        <v>Supervisor</v>
      </c>
      <c r="D22" s="274">
        <f>_xlfn.IFNA(VLOOKUP(Wed_W1[[#This Row],[Employee Name]],'Base Schedules'!A:C,3,FALSE),"")</f>
        <v>800</v>
      </c>
      <c r="E22" s="274">
        <f>_xlfn.IFNA(VLOOKUP(Wed_W1[[#This Row],[Employee Name]],'Base Schedules'!A:D,4,FALSE),"")</f>
        <v>1700</v>
      </c>
      <c r="F22" s="142">
        <f>IF(Wed_W1[[#This Row],[Employee Name]]="","",IF(Wed_W1[[#This Row],[Dept]]="Supervisor",COUNTIFS($J22:$AX22,"*HL*",$J22:$AX22,"&lt;&gt;"&amp;"pHL"),COUNTIFS($J22:$AX22,"*HL*",$J22:$AX22,"&lt;&gt;"&amp;"*pHL*",$J22:$AX22,"&lt;&gt;"&amp;"pB1 HL",$J22:$AX22,"&lt;&gt;"&amp;"pB2 HL")-SUM(COUNTIFS($J22:$AX22,"*HL B1*",$J22:$AX22,"&lt;&gt;"&amp;"pHL B1")*0.5,COUNTIFS($J22:$AX22,"*HL B2*",$J22:$AX22,"&lt;&gt;"&amp;"pHL B2")*0.5,COUNTIFS($J22:$AX22,"*B1 HL*",$J22:$AX22,"&lt;&gt;"&amp;"pB1 HL")*0.5,COUNTIFS($J22:$AX22,"*B2 HL*",$J22:$AX22,"&lt;&gt;"&amp;"pB2 HL")*0.5)))</f>
        <v>0</v>
      </c>
      <c r="G22" s="142">
        <f t="shared" si="0"/>
        <v>4</v>
      </c>
      <c r="H22" s="142">
        <f t="shared" si="1"/>
        <v>0</v>
      </c>
      <c r="I22" s="142">
        <f>IF(Wed_W1[[#This Row],[Employee Name]]="","",IF(Wed_W1[[#This Row],[Dept]]="Supervisor",SUM(COUNTIFS($J22:$AX22,"RTA*",$J22:$AX22,"&lt;&gt;"&amp;"pRTA"),COUNTIFS($J22:$AX22,"*CRTA*",$J22:$AX22,"&lt;&gt;"&amp;"pCRTA")),COUNTIFS($J22:$AX22,"*RNNR*",$J22:$AX22,"&lt;&gt;"&amp;"*pRNNR*",$J22:$AX22,"&lt;&gt;"&amp;"pB1 RNNR",$J22:$AX22,"&lt;&gt;"&amp;"pB2 RNNR")-SUM(COUNTIFS($J22:$AX22,"*RNNR B1*",$J22:$AX22,"&lt;&gt;"&amp;"pRNNR B1")*0.5,COUNTIFS($J22:$AX22,"*RNNR B2*",$J22:$AX22,"&lt;&gt;"&amp;"pRNNR B2")*0.5,COUNTIFS($J22:$AX22,"*B1 RNNR*",$J22:$AX22,"&lt;&gt;"&amp;"pB1 RNNR")*0.5,COUNTIFS($J22:$AX22,"*B2 RNNR*",$J22:$AX22,"&lt;&gt;"&amp;"pB2 RNNR")*0.5)))</f>
        <v>0</v>
      </c>
      <c r="J22" s="184" t="str">
        <f>IFERROR(IF(VLOOKUP(Wed_W1[[#This Row],[Employee Name]],'Base Schedules'!$A$205:$AW$241,9,FALSE)="","",VLOOKUP(Wed_W1[[#This Row],[Employee Name]],'Base Schedules'!$A$205:$AW$241,9,FALSE)),"")</f>
        <v/>
      </c>
      <c r="K22" s="184" t="str">
        <f>IFERROR(IF(VLOOKUP(Wed_W1[[#This Row],[Employee Name]],'Base Schedules'!$A$205:$AW$241,10,FALSE)="","",VLOOKUP(Wed_W1[[#This Row],[Employee Name]],'Base Schedules'!$A$205:$AW$241,10,FALSE)),"")</f>
        <v/>
      </c>
      <c r="L22" s="184" t="str">
        <f>IFERROR(IF(VLOOKUP(Wed_W1[[#This Row],[Employee Name]],'Base Schedules'!$A$205:$AW$241,11,FALSE)="","",VLOOKUP(Wed_W1[[#This Row],[Employee Name]],'Base Schedules'!$A$205:$AW$241,11,FALSE)),"")</f>
        <v/>
      </c>
      <c r="M22" s="184" t="str">
        <f>IFERROR(IF(VLOOKUP(Wed_W1[[#This Row],[Employee Name]],'Base Schedules'!$A$205:$AW$241,12,FALSE)="","",VLOOKUP(Wed_W1[[#This Row],[Employee Name]],'Base Schedules'!$A$205:$AW$241,12,FALSE)),"")</f>
        <v/>
      </c>
      <c r="N22" s="184" t="str">
        <f>IFERROR(IF(VLOOKUP(Wed_W1[[#This Row],[Employee Name]],'Base Schedules'!$A$205:$AW$241,13,FALSE)="","",VLOOKUP(Wed_W1[[#This Row],[Employee Name]],'Base Schedules'!$A$205:$AW$241,13,FALSE)),"")</f>
        <v/>
      </c>
      <c r="O22" s="184" t="str">
        <f>IFERROR(IF(VLOOKUP(Wed_W1[[#This Row],[Employee Name]],'Base Schedules'!$A$205:$AW$241,14,FALSE)="","",VLOOKUP(Wed_W1[[#This Row],[Employee Name]],'Base Schedules'!$A$205:$AW$241,14,FALSE)),"")</f>
        <v/>
      </c>
      <c r="P22" s="184" t="str">
        <f>IFERROR(IF(VLOOKUP(Wed_W1[[#This Row],[Employee Name]],'Base Schedules'!$A$205:$AW$241,15,FALSE)="","",VLOOKUP(Wed_W1[[#This Row],[Employee Name]],'Base Schedules'!$A$205:$AW$241,15,FALSE)),"")</f>
        <v>-</v>
      </c>
      <c r="Q22" s="184" t="str">
        <f>IFERROR(IF(VLOOKUP(Wed_W1[[#This Row],[Employee Name]],'Base Schedules'!$A$205:$AW$241,16,FALSE)="","",VLOOKUP(Wed_W1[[#This Row],[Employee Name]],'Base Schedules'!$A$205:$AW$241,16,FALSE)),"")</f>
        <v>-</v>
      </c>
      <c r="R22" s="184" t="str">
        <f>IFERROR(IF(VLOOKUP(Wed_W1[[#This Row],[Employee Name]],'Base Schedules'!$A$205:$AW$241,17,FALSE)="","",VLOOKUP(Wed_W1[[#This Row],[Employee Name]],'Base Schedules'!$A$205:$AW$241,17,FALSE)),"")</f>
        <v>-</v>
      </c>
      <c r="S22" s="184" t="str">
        <f>IFERROR(IF(VLOOKUP(Wed_W1[[#This Row],[Employee Name]],'Base Schedules'!$A$205:$AW$241,18,FALSE)="","",VLOOKUP(Wed_W1[[#This Row],[Employee Name]],'Base Schedules'!$A$205:$AW$241,18,FALSE)),"")</f>
        <v>-</v>
      </c>
      <c r="T22" s="184" t="str">
        <f>IFERROR(IF(VLOOKUP(Wed_W1[[#This Row],[Employee Name]],'Base Schedules'!$A$205:$AW$241,19,FALSE)="","",VLOOKUP(Wed_W1[[#This Row],[Employee Name]],'Base Schedules'!$A$205:$AW$241,19,FALSE)),"")</f>
        <v>-</v>
      </c>
      <c r="U22" s="184" t="str">
        <f>IFERROR(IF(VLOOKUP(Wed_W1[[#This Row],[Employee Name]],'Base Schedules'!$A$205:$AW$241,20,FALSE)="","",VLOOKUP(Wed_W1[[#This Row],[Employee Name]],'Base Schedules'!$A$205:$AW$241,20,FALSE)),"")</f>
        <v>-</v>
      </c>
      <c r="V22" s="184" t="str">
        <f>IFERROR(IF(VLOOKUP(Wed_W1[[#This Row],[Employee Name]],'Base Schedules'!$A$205:$AW$241,21,FALSE)="","",VLOOKUP(Wed_W1[[#This Row],[Employee Name]],'Base Schedules'!$A$205:$AW$241,21,FALSE)),"")</f>
        <v>-</v>
      </c>
      <c r="W22" s="184" t="str">
        <f>IFERROR(IF(VLOOKUP(Wed_W1[[#This Row],[Employee Name]],'Base Schedules'!$A$205:$AW$241,22,FALSE)="","",VLOOKUP(Wed_W1[[#This Row],[Employee Name]],'Base Schedules'!$A$205:$AW$241,22,FALSE)),"")</f>
        <v>-</v>
      </c>
      <c r="X22" s="184" t="str">
        <f>IFERROR(IF(VLOOKUP(Wed_W1[[#This Row],[Employee Name]],'Base Schedules'!$A$205:$AW$241,23,FALSE)="","",VLOOKUP(Wed_W1[[#This Row],[Employee Name]],'Base Schedules'!$A$205:$AW$241,23,FALSE)),"")</f>
        <v>-</v>
      </c>
      <c r="Y22" s="184" t="str">
        <f>IFERROR(IF(VLOOKUP(Wed_W1[[#This Row],[Employee Name]],'Base Schedules'!$A$205:$AW$241,24,FALSE)="","",VLOOKUP(Wed_W1[[#This Row],[Employee Name]],'Base Schedules'!$A$205:$AW$241,24,FALSE)),"")</f>
        <v>-</v>
      </c>
      <c r="Z22" s="184" t="str">
        <f>IFERROR(IF(VLOOKUP(Wed_W1[[#This Row],[Employee Name]],'Base Schedules'!$A$205:$AW$241,25,FALSE)="","",VLOOKUP(Wed_W1[[#This Row],[Employee Name]],'Base Schedules'!$A$205:$AW$241,25,FALSE)),"")</f>
        <v>Interview</v>
      </c>
      <c r="AA22" s="184" t="str">
        <f>IFERROR(IF(VLOOKUP(Wed_W1[[#This Row],[Employee Name]],'Base Schedules'!$A$205:$AW$241,26,FALSE)="","",VLOOKUP(Wed_W1[[#This Row],[Employee Name]],'Base Schedules'!$A$205:$AW$241,26,FALSE)),"")</f>
        <v>Interview</v>
      </c>
      <c r="AB22" s="184" t="str">
        <f>IFERROR(IF(VLOOKUP(Wed_W1[[#This Row],[Employee Name]],'Base Schedules'!$A$205:$AW$241,27,FALSE)="","",VLOOKUP(Wed_W1[[#This Row],[Employee Name]],'Base Schedules'!$A$205:$AW$241,27,FALSE)),"")</f>
        <v>Coaching</v>
      </c>
      <c r="AC22" s="184" t="str">
        <f>IFERROR(IF(VLOOKUP(Wed_W1[[#This Row],[Employee Name]],'Base Schedules'!$A$205:$AW$241,28,FALSE)="","",VLOOKUP(Wed_W1[[#This Row],[Employee Name]],'Base Schedules'!$A$205:$AW$241,28,FALSE)),"")</f>
        <v>Coaching</v>
      </c>
      <c r="AD22" s="184" t="str">
        <f>IFERROR(IF(VLOOKUP(Wed_W1[[#This Row],[Employee Name]],'Base Schedules'!$A$205:$AW$241,29,FALSE)="","",VLOOKUP(Wed_W1[[#This Row],[Employee Name]],'Base Schedules'!$A$205:$AW$241,29,FALSE)),"")</f>
        <v>Coaching</v>
      </c>
      <c r="AE22" s="184" t="str">
        <f>IFERROR(IF(VLOOKUP(Wed_W1[[#This Row],[Employee Name]],'Base Schedules'!$A$205:$AW$241,30,FALSE)="","",VLOOKUP(Wed_W1[[#This Row],[Employee Name]],'Base Schedules'!$A$205:$AW$241,30,FALSE)),"")</f>
        <v>Coaching</v>
      </c>
      <c r="AF22" s="184" t="str">
        <f>IFERROR(IF(VLOOKUP(Wed_W1[[#This Row],[Employee Name]],'Base Schedules'!$A$205:$AW$241,31,FALSE)="","",VLOOKUP(Wed_W1[[#This Row],[Employee Name]],'Base Schedules'!$A$205:$AW$241,31,FALSE)),"")</f>
        <v>-</v>
      </c>
      <c r="AG22" s="184" t="str">
        <f>IFERROR(IF(VLOOKUP(Wed_W1[[#This Row],[Employee Name]],'Base Schedules'!$A$205:$AW$241,32,FALSE)="","",VLOOKUP(Wed_W1[[#This Row],[Employee Name]],'Base Schedules'!$A$205:$AW$241,32,FALSE)),"")</f>
        <v>-</v>
      </c>
      <c r="AH22" s="184" t="str">
        <f>IFERROR(IF(VLOOKUP(Wed_W1[[#This Row],[Employee Name]],'Base Schedules'!$A$205:$AW$241,33,FALSE)="","",VLOOKUP(Wed_W1[[#This Row],[Employee Name]],'Base Schedules'!$A$205:$AW$241,33,FALSE)),"")</f>
        <v/>
      </c>
      <c r="AI22" s="184" t="str">
        <f>IFERROR(IF(VLOOKUP(Wed_W1[[#This Row],[Employee Name]],'Base Schedules'!$A$205:$AW$241,34,FALSE)="","",VLOOKUP(Wed_W1[[#This Row],[Employee Name]],'Base Schedules'!$A$205:$AW$241,34,FALSE)),"")</f>
        <v/>
      </c>
      <c r="AJ22" s="184" t="str">
        <f>IFERROR(IF(VLOOKUP(Wed_W1[[#This Row],[Employee Name]],'Base Schedules'!$A$205:$AW$241,35,FALSE)="","",VLOOKUP(Wed_W1[[#This Row],[Employee Name]],'Base Schedules'!$A$205:$AW$241,35,FALSE)),"")</f>
        <v/>
      </c>
      <c r="AK22" s="184" t="str">
        <f>IFERROR(IF(VLOOKUP(Wed_W1[[#This Row],[Employee Name]],'Base Schedules'!$A$205:$AW$241,36,FALSE)="","",VLOOKUP(Wed_W1[[#This Row],[Employee Name]],'Base Schedules'!$A$205:$AW$241,36,FALSE)),"")</f>
        <v/>
      </c>
      <c r="AL22" s="184" t="str">
        <f>IFERROR(IF(VLOOKUP(Wed_W1[[#This Row],[Employee Name]],'Base Schedules'!$A$205:$AW$241,37,FALSE)="","",VLOOKUP(Wed_W1[[#This Row],[Employee Name]],'Base Schedules'!$A$205:$AW$241,37,FALSE)),"")</f>
        <v/>
      </c>
      <c r="AM22" s="184" t="str">
        <f>IFERROR(IF(VLOOKUP(Wed_W1[[#This Row],[Employee Name]],'Base Schedules'!$A$205:$AW$241,38,FALSE)="","",VLOOKUP(Wed_W1[[#This Row],[Employee Name]],'Base Schedules'!$A$205:$AW$241,38,FALSE)),"")</f>
        <v/>
      </c>
      <c r="AN22" s="184" t="str">
        <f>IFERROR(IF(VLOOKUP(Wed_W1[[#This Row],[Employee Name]],'Base Schedules'!$A$205:$AW$241,39,FALSE)="","",VLOOKUP(Wed_W1[[#This Row],[Employee Name]],'Base Schedules'!$A$205:$AW$241,39,FALSE)),"")</f>
        <v/>
      </c>
      <c r="AO22" s="184" t="str">
        <f>IFERROR(IF(VLOOKUP(Wed_W1[[#This Row],[Employee Name]],'Base Schedules'!$A$205:$AW$241,40,FALSE)="","",VLOOKUP(Wed_W1[[#This Row],[Employee Name]],'Base Schedules'!$A$205:$AW$241,40,FALSE)),"")</f>
        <v/>
      </c>
      <c r="AP22" s="184" t="str">
        <f>IFERROR(IF(VLOOKUP(Wed_W1[[#This Row],[Employee Name]],'Base Schedules'!$A$205:$AW$241,41,FALSE)="","",VLOOKUP(Wed_W1[[#This Row],[Employee Name]],'Base Schedules'!$A$205:$AW$241,41,FALSE)),"")</f>
        <v/>
      </c>
      <c r="AQ22" s="184" t="str">
        <f>IFERROR(IF(VLOOKUP(Wed_W1[[#This Row],[Employee Name]],'Base Schedules'!$A$205:$AW$241,42,FALSE)="","",VLOOKUP(Wed_W1[[#This Row],[Employee Name]],'Base Schedules'!$A$205:$AW$241,42,FALSE)),"")</f>
        <v/>
      </c>
      <c r="AR22" s="184" t="str">
        <f>IFERROR(IF(VLOOKUP(Wed_W1[[#This Row],[Employee Name]],'Base Schedules'!$A$205:$AW$241,43,FALSE)="","",VLOOKUP(Wed_W1[[#This Row],[Employee Name]],'Base Schedules'!$A$205:$AW$241,43,FALSE)),"")</f>
        <v/>
      </c>
      <c r="AS22" s="184" t="str">
        <f>IFERROR(IF(VLOOKUP(Wed_W1[[#This Row],[Employee Name]],'Base Schedules'!$A$205:$AW$241,44,FALSE)="","",VLOOKUP(Wed_W1[[#This Row],[Employee Name]],'Base Schedules'!$A$205:$AW$241,44,FALSE)),"")</f>
        <v/>
      </c>
      <c r="AT22" s="184" t="str">
        <f>IFERROR(IF(VLOOKUP(Wed_W1[[#This Row],[Employee Name]],'Base Schedules'!$A$205:$AW$241,45,FALSE)="","",VLOOKUP(Wed_W1[[#This Row],[Employee Name]],'Base Schedules'!$A$205:$AW$241,45,FALSE)),"")</f>
        <v/>
      </c>
      <c r="AU22" s="184" t="str">
        <f>IFERROR(IF(VLOOKUP(Wed_W1[[#This Row],[Employee Name]],'Base Schedules'!$A$205:$AW$241,46,FALSE)="","",VLOOKUP(Wed_W1[[#This Row],[Employee Name]],'Base Schedules'!$A$205:$AW$241,46,FALSE)),"")</f>
        <v/>
      </c>
      <c r="AV22" s="184" t="str">
        <f>IFERROR(IF(VLOOKUP(Wed_W1[[#This Row],[Employee Name]],'Base Schedules'!$A$205:$AW$241,47,FALSE)="","",VLOOKUP(Wed_W1[[#This Row],[Employee Name]],'Base Schedules'!$A$205:$AW$241,47,FALSE)),"")</f>
        <v/>
      </c>
      <c r="AW22" s="184" t="str">
        <f>IFERROR(IF(VLOOKUP(Wed_W1[[#This Row],[Employee Name]],'Base Schedules'!$A$205:$AW$241,48,FALSE)="","",VLOOKUP(Wed_W1[[#This Row],[Employee Name]],'Base Schedules'!$A$205:$AW$241,48,FALSE)),"")</f>
        <v/>
      </c>
      <c r="AX22" s="184" t="str">
        <f>IFERROR(IF(VLOOKUP(Wed_W1[[#This Row],[Employee Name]],'Base Schedules'!$A$205:$AW$241,49,FALSE)="","",VLOOKUP(Wed_W1[[#This Row],[Employee Name]],'Base Schedules'!$A$205:$AW$241,49,FALSE)),"")</f>
        <v/>
      </c>
      <c r="AY22" s="165" t="str">
        <f t="shared" si="2"/>
        <v>Vasbinder, Ryan</v>
      </c>
    </row>
    <row r="23" spans="1:51" s="44" customFormat="1" ht="12" x14ac:dyDescent="0.2">
      <c r="A23" s="39" t="str">
        <f>IF(B23="","",INDEX(TeamList[],MATCH($B23,TeamList[[Employee Name]:[Employee Name]],0),MATCH("Manager",TeamList[#Headers],0)))</f>
        <v>Ahmed Hassan, Zahra</v>
      </c>
      <c r="B23" s="333" t="s">
        <v>53</v>
      </c>
      <c r="C23" s="257" t="str">
        <f>_xlfn.IFNA(VLOOKUP(Wed_W1[[#This Row],[Employee Name]],'Base Schedules'!A:B,2,FALSE),"")</f>
        <v>Supervisor</v>
      </c>
      <c r="D23" s="274">
        <f>_xlfn.IFNA(VLOOKUP(Wed_W1[[#This Row],[Employee Name]],'Base Schedules'!A:C,3,FALSE),"")</f>
        <v>830</v>
      </c>
      <c r="E23" s="274">
        <f>_xlfn.IFNA(VLOOKUP(Wed_W1[[#This Row],[Employee Name]],'Base Schedules'!A:D,4,FALSE),"")</f>
        <v>1730</v>
      </c>
      <c r="F23" s="142">
        <f>IF(Wed_W1[[#This Row],[Employee Name]]="","",IF(Wed_W1[[#This Row],[Dept]]="Supervisor",COUNTIFS($J23:$AX23,"*HL*",$J23:$AX23,"&lt;&gt;"&amp;"pHL"),COUNTIFS($J23:$AX23,"*HL*",$J23:$AX23,"&lt;&gt;"&amp;"*pHL*",$J23:$AX23,"&lt;&gt;"&amp;"pB1 HL",$J23:$AX23,"&lt;&gt;"&amp;"pB2 HL")-SUM(COUNTIFS($J23:$AX23,"*HL B1*",$J23:$AX23,"&lt;&gt;"&amp;"pHL B1")*0.5,COUNTIFS($J23:$AX23,"*HL B2*",$J23:$AX23,"&lt;&gt;"&amp;"pHL B2")*0.5,COUNTIFS($J23:$AX23,"*B1 HL*",$J23:$AX23,"&lt;&gt;"&amp;"pB1 HL")*0.5,COUNTIFS($J23:$AX23,"*B2 HL*",$J23:$AX23,"&lt;&gt;"&amp;"pB2 HL")*0.5)))</f>
        <v>0</v>
      </c>
      <c r="G23" s="142">
        <f t="shared" si="0"/>
        <v>4</v>
      </c>
      <c r="H23" s="142">
        <f t="shared" si="1"/>
        <v>0</v>
      </c>
      <c r="I23" s="142">
        <f>IF(Wed_W1[[#This Row],[Employee Name]]="","",IF(Wed_W1[[#This Row],[Dept]]="Supervisor",SUM(COUNTIFS($J23:$AX23,"RTA*",$J23:$AX23,"&lt;&gt;"&amp;"pRTA"),COUNTIFS($J23:$AX23,"*CRTA*",$J23:$AX23,"&lt;&gt;"&amp;"pCRTA")),COUNTIFS($J23:$AX23,"*RNNR*",$J23:$AX23,"&lt;&gt;"&amp;"*pRNNR*",$J23:$AX23,"&lt;&gt;"&amp;"pB1 RNNR",$J23:$AX23,"&lt;&gt;"&amp;"pB2 RNNR")-SUM(COUNTIFS($J23:$AX23,"*RNNR B1*",$J23:$AX23,"&lt;&gt;"&amp;"pRNNR B1")*0.5,COUNTIFS($J23:$AX23,"*RNNR B2*",$J23:$AX23,"&lt;&gt;"&amp;"pRNNR B2")*0.5,COUNTIFS($J23:$AX23,"*B1 RNNR*",$J23:$AX23,"&lt;&gt;"&amp;"pB1 RNNR")*0.5,COUNTIFS($J23:$AX23,"*B2 RNNR*",$J23:$AX23,"&lt;&gt;"&amp;"pB2 RNNR")*0.5)))</f>
        <v>0</v>
      </c>
      <c r="J23" s="184" t="str">
        <f>IFERROR(IF(VLOOKUP(Wed_W1[[#This Row],[Employee Name]],'Base Schedules'!$A$205:$AW$241,9,FALSE)="","",VLOOKUP(Wed_W1[[#This Row],[Employee Name]],'Base Schedules'!$A$205:$AW$241,9,FALSE)),"")</f>
        <v/>
      </c>
      <c r="K23" s="184" t="str">
        <f>IFERROR(IF(VLOOKUP(Wed_W1[[#This Row],[Employee Name]],'Base Schedules'!$A$205:$AW$241,10,FALSE)="","",VLOOKUP(Wed_W1[[#This Row],[Employee Name]],'Base Schedules'!$A$205:$AW$241,10,FALSE)),"")</f>
        <v/>
      </c>
      <c r="L23" s="184" t="str">
        <f>IFERROR(IF(VLOOKUP(Wed_W1[[#This Row],[Employee Name]],'Base Schedules'!$A$205:$AW$241,11,FALSE)="","",VLOOKUP(Wed_W1[[#This Row],[Employee Name]],'Base Schedules'!$A$205:$AW$241,11,FALSE)),"")</f>
        <v/>
      </c>
      <c r="M23" s="184" t="str">
        <f>IFERROR(IF(VLOOKUP(Wed_W1[[#This Row],[Employee Name]],'Base Schedules'!$A$205:$AW$241,12,FALSE)="","",VLOOKUP(Wed_W1[[#This Row],[Employee Name]],'Base Schedules'!$A$205:$AW$241,12,FALSE)),"")</f>
        <v/>
      </c>
      <c r="N23" s="184" t="str">
        <f>IFERROR(IF(VLOOKUP(Wed_W1[[#This Row],[Employee Name]],'Base Schedules'!$A$205:$AW$241,13,FALSE)="","",VLOOKUP(Wed_W1[[#This Row],[Employee Name]],'Base Schedules'!$A$205:$AW$241,13,FALSE)),"")</f>
        <v/>
      </c>
      <c r="O23" s="184" t="str">
        <f>IFERROR(IF(VLOOKUP(Wed_W1[[#This Row],[Employee Name]],'Base Schedules'!$A$205:$AW$241,14,FALSE)="","",VLOOKUP(Wed_W1[[#This Row],[Employee Name]],'Base Schedules'!$A$205:$AW$241,14,FALSE)),"")</f>
        <v/>
      </c>
      <c r="P23" s="184" t="str">
        <f>IFERROR(IF(VLOOKUP(Wed_W1[[#This Row],[Employee Name]],'Base Schedules'!$A$205:$AW$241,15,FALSE)="","",VLOOKUP(Wed_W1[[#This Row],[Employee Name]],'Base Schedules'!$A$205:$AW$241,15,FALSE)),"")</f>
        <v/>
      </c>
      <c r="Q23" s="184" t="str">
        <f>IFERROR(IF(VLOOKUP(Wed_W1[[#This Row],[Employee Name]],'Base Schedules'!$A$205:$AW$241,16,FALSE)="","",VLOOKUP(Wed_W1[[#This Row],[Employee Name]],'Base Schedules'!$A$205:$AW$241,16,FALSE)),"")</f>
        <v>-</v>
      </c>
      <c r="R23" s="184" t="str">
        <f>IFERROR(IF(VLOOKUP(Wed_W1[[#This Row],[Employee Name]],'Base Schedules'!$A$205:$AW$241,17,FALSE)="","",VLOOKUP(Wed_W1[[#This Row],[Employee Name]],'Base Schedules'!$A$205:$AW$241,17,FALSE)),"")</f>
        <v>-</v>
      </c>
      <c r="S23" s="184" t="str">
        <f>IFERROR(IF(VLOOKUP(Wed_W1[[#This Row],[Employee Name]],'Base Schedules'!$A$205:$AW$241,18,FALSE)="","",VLOOKUP(Wed_W1[[#This Row],[Employee Name]],'Base Schedules'!$A$205:$AW$241,18,FALSE)),"")</f>
        <v>-</v>
      </c>
      <c r="T23" s="184" t="str">
        <f>IFERROR(IF(VLOOKUP(Wed_W1[[#This Row],[Employee Name]],'Base Schedules'!$A$205:$AW$241,19,FALSE)="","",VLOOKUP(Wed_W1[[#This Row],[Employee Name]],'Base Schedules'!$A$205:$AW$241,19,FALSE)),"")</f>
        <v>Coaching</v>
      </c>
      <c r="U23" s="184" t="str">
        <f>IFERROR(IF(VLOOKUP(Wed_W1[[#This Row],[Employee Name]],'Base Schedules'!$A$205:$AW$241,20,FALSE)="","",VLOOKUP(Wed_W1[[#This Row],[Employee Name]],'Base Schedules'!$A$205:$AW$241,20,FALSE)),"")</f>
        <v>Coaching</v>
      </c>
      <c r="V23" s="184" t="str">
        <f>IFERROR(IF(VLOOKUP(Wed_W1[[#This Row],[Employee Name]],'Base Schedules'!$A$205:$AW$241,21,FALSE)="","",VLOOKUP(Wed_W1[[#This Row],[Employee Name]],'Base Schedules'!$A$205:$AW$241,21,FALSE)),"")</f>
        <v>Coaching</v>
      </c>
      <c r="W23" s="184" t="str">
        <f>IFERROR(IF(VLOOKUP(Wed_W1[[#This Row],[Employee Name]],'Base Schedules'!$A$205:$AW$241,22,FALSE)="","",VLOOKUP(Wed_W1[[#This Row],[Employee Name]],'Base Schedules'!$A$205:$AW$241,22,FALSE)),"")</f>
        <v>Coaching</v>
      </c>
      <c r="X23" s="184" t="str">
        <f>IFERROR(IF(VLOOKUP(Wed_W1[[#This Row],[Employee Name]],'Base Schedules'!$A$205:$AW$241,23,FALSE)="","",VLOOKUP(Wed_W1[[#This Row],[Employee Name]],'Base Schedules'!$A$205:$AW$241,23,FALSE)),"")</f>
        <v>-</v>
      </c>
      <c r="Y23" s="184" t="str">
        <f>IFERROR(IF(VLOOKUP(Wed_W1[[#This Row],[Employee Name]],'Base Schedules'!$A$205:$AW$241,24,FALSE)="","",VLOOKUP(Wed_W1[[#This Row],[Employee Name]],'Base Schedules'!$A$205:$AW$241,24,FALSE)),"")</f>
        <v>-</v>
      </c>
      <c r="Z23" s="184" t="str">
        <f>IFERROR(IF(VLOOKUP(Wed_W1[[#This Row],[Employee Name]],'Base Schedules'!$A$205:$AW$241,25,FALSE)="","",VLOOKUP(Wed_W1[[#This Row],[Employee Name]],'Base Schedules'!$A$205:$AW$241,25,FALSE)),"")</f>
        <v>-</v>
      </c>
      <c r="AA23" s="184" t="str">
        <f>IFERROR(IF(VLOOKUP(Wed_W1[[#This Row],[Employee Name]],'Base Schedules'!$A$205:$AW$241,26,FALSE)="","",VLOOKUP(Wed_W1[[#This Row],[Employee Name]],'Base Schedules'!$A$205:$AW$241,26,FALSE)),"")</f>
        <v>-</v>
      </c>
      <c r="AB23" s="184" t="str">
        <f>IFERROR(IF(VLOOKUP(Wed_W1[[#This Row],[Employee Name]],'Base Schedules'!$A$205:$AW$241,27,FALSE)="","",VLOOKUP(Wed_W1[[#This Row],[Employee Name]],'Base Schedules'!$A$205:$AW$241,27,FALSE)),"")</f>
        <v>Interview</v>
      </c>
      <c r="AC23" s="184" t="str">
        <f>IFERROR(IF(VLOOKUP(Wed_W1[[#This Row],[Employee Name]],'Base Schedules'!$A$205:$AW$241,28,FALSE)="","",VLOOKUP(Wed_W1[[#This Row],[Employee Name]],'Base Schedules'!$A$205:$AW$241,28,FALSE)),"")</f>
        <v>Interview</v>
      </c>
      <c r="AD23" s="184" t="str">
        <f>IFERROR(IF(VLOOKUP(Wed_W1[[#This Row],[Employee Name]],'Base Schedules'!$A$205:$AW$241,29,FALSE)="","",VLOOKUP(Wed_W1[[#This Row],[Employee Name]],'Base Schedules'!$A$205:$AW$241,29,FALSE)),"")</f>
        <v>-</v>
      </c>
      <c r="AE23" s="184" t="str">
        <f>IFERROR(IF(VLOOKUP(Wed_W1[[#This Row],[Employee Name]],'Base Schedules'!$A$205:$AW$241,30,FALSE)="","",VLOOKUP(Wed_W1[[#This Row],[Employee Name]],'Base Schedules'!$A$205:$AW$241,30,FALSE)),"")</f>
        <v>-</v>
      </c>
      <c r="AF23" s="184" t="str">
        <f>IFERROR(IF(VLOOKUP(Wed_W1[[#This Row],[Employee Name]],'Base Schedules'!$A$205:$AW$241,31,FALSE)="","",VLOOKUP(Wed_W1[[#This Row],[Employee Name]],'Base Schedules'!$A$205:$AW$241,31,FALSE)),"")</f>
        <v>Team RL TM</v>
      </c>
      <c r="AG23" s="184" t="str">
        <f>IFERROR(IF(VLOOKUP(Wed_W1[[#This Row],[Employee Name]],'Base Schedules'!$A$205:$AW$241,32,FALSE)="","",VLOOKUP(Wed_W1[[#This Row],[Employee Name]],'Base Schedules'!$A$205:$AW$241,32,FALSE)),"")</f>
        <v>Team RL TM</v>
      </c>
      <c r="AH23" s="184" t="str">
        <f>IFERROR(IF(VLOOKUP(Wed_W1[[#This Row],[Employee Name]],'Base Schedules'!$A$205:$AW$241,33,FALSE)="","",VLOOKUP(Wed_W1[[#This Row],[Employee Name]],'Base Schedules'!$A$205:$AW$241,33,FALSE)),"")</f>
        <v>-</v>
      </c>
      <c r="AI23" s="184" t="str">
        <f>IFERROR(IF(VLOOKUP(Wed_W1[[#This Row],[Employee Name]],'Base Schedules'!$A$205:$AW$241,34,FALSE)="","",VLOOKUP(Wed_W1[[#This Row],[Employee Name]],'Base Schedules'!$A$205:$AW$241,34,FALSE)),"")</f>
        <v/>
      </c>
      <c r="AJ23" s="184" t="str">
        <f>IFERROR(IF(VLOOKUP(Wed_W1[[#This Row],[Employee Name]],'Base Schedules'!$A$205:$AW$241,35,FALSE)="","",VLOOKUP(Wed_W1[[#This Row],[Employee Name]],'Base Schedules'!$A$205:$AW$241,35,FALSE)),"")</f>
        <v/>
      </c>
      <c r="AK23" s="184" t="str">
        <f>IFERROR(IF(VLOOKUP(Wed_W1[[#This Row],[Employee Name]],'Base Schedules'!$A$205:$AW$241,36,FALSE)="","",VLOOKUP(Wed_W1[[#This Row],[Employee Name]],'Base Schedules'!$A$205:$AW$241,36,FALSE)),"")</f>
        <v/>
      </c>
      <c r="AL23" s="184" t="str">
        <f>IFERROR(IF(VLOOKUP(Wed_W1[[#This Row],[Employee Name]],'Base Schedules'!$A$205:$AW$241,37,FALSE)="","",VLOOKUP(Wed_W1[[#This Row],[Employee Name]],'Base Schedules'!$A$205:$AW$241,37,FALSE)),"")</f>
        <v/>
      </c>
      <c r="AM23" s="184" t="str">
        <f>IFERROR(IF(VLOOKUP(Wed_W1[[#This Row],[Employee Name]],'Base Schedules'!$A$205:$AW$241,38,FALSE)="","",VLOOKUP(Wed_W1[[#This Row],[Employee Name]],'Base Schedules'!$A$205:$AW$241,38,FALSE)),"")</f>
        <v/>
      </c>
      <c r="AN23" s="184" t="str">
        <f>IFERROR(IF(VLOOKUP(Wed_W1[[#This Row],[Employee Name]],'Base Schedules'!$A$205:$AW$241,39,FALSE)="","",VLOOKUP(Wed_W1[[#This Row],[Employee Name]],'Base Schedules'!$A$205:$AW$241,39,FALSE)),"")</f>
        <v/>
      </c>
      <c r="AO23" s="184" t="str">
        <f>IFERROR(IF(VLOOKUP(Wed_W1[[#This Row],[Employee Name]],'Base Schedules'!$A$205:$AW$241,40,FALSE)="","",VLOOKUP(Wed_W1[[#This Row],[Employee Name]],'Base Schedules'!$A$205:$AW$241,40,FALSE)),"")</f>
        <v/>
      </c>
      <c r="AP23" s="184" t="str">
        <f>IFERROR(IF(VLOOKUP(Wed_W1[[#This Row],[Employee Name]],'Base Schedules'!$A$205:$AW$241,41,FALSE)="","",VLOOKUP(Wed_W1[[#This Row],[Employee Name]],'Base Schedules'!$A$205:$AW$241,41,FALSE)),"")</f>
        <v/>
      </c>
      <c r="AQ23" s="184" t="str">
        <f>IFERROR(IF(VLOOKUP(Wed_W1[[#This Row],[Employee Name]],'Base Schedules'!$A$205:$AW$241,42,FALSE)="","",VLOOKUP(Wed_W1[[#This Row],[Employee Name]],'Base Schedules'!$A$205:$AW$241,42,FALSE)),"")</f>
        <v/>
      </c>
      <c r="AR23" s="184" t="str">
        <f>IFERROR(IF(VLOOKUP(Wed_W1[[#This Row],[Employee Name]],'Base Schedules'!$A$205:$AW$241,43,FALSE)="","",VLOOKUP(Wed_W1[[#This Row],[Employee Name]],'Base Schedules'!$A$205:$AW$241,43,FALSE)),"")</f>
        <v/>
      </c>
      <c r="AS23" s="184" t="str">
        <f>IFERROR(IF(VLOOKUP(Wed_W1[[#This Row],[Employee Name]],'Base Schedules'!$A$205:$AW$241,44,FALSE)="","",VLOOKUP(Wed_W1[[#This Row],[Employee Name]],'Base Schedules'!$A$205:$AW$241,44,FALSE)),"")</f>
        <v/>
      </c>
      <c r="AT23" s="184" t="str">
        <f>IFERROR(IF(VLOOKUP(Wed_W1[[#This Row],[Employee Name]],'Base Schedules'!$A$205:$AW$241,45,FALSE)="","",VLOOKUP(Wed_W1[[#This Row],[Employee Name]],'Base Schedules'!$A$205:$AW$241,45,FALSE)),"")</f>
        <v/>
      </c>
      <c r="AU23" s="184" t="str">
        <f>IFERROR(IF(VLOOKUP(Wed_W1[[#This Row],[Employee Name]],'Base Schedules'!$A$205:$AW$241,46,FALSE)="","",VLOOKUP(Wed_W1[[#This Row],[Employee Name]],'Base Schedules'!$A$205:$AW$241,46,FALSE)),"")</f>
        <v/>
      </c>
      <c r="AV23" s="184" t="str">
        <f>IFERROR(IF(VLOOKUP(Wed_W1[[#This Row],[Employee Name]],'Base Schedules'!$A$205:$AW$241,47,FALSE)="","",VLOOKUP(Wed_W1[[#This Row],[Employee Name]],'Base Schedules'!$A$205:$AW$241,47,FALSE)),"")</f>
        <v/>
      </c>
      <c r="AW23" s="184" t="str">
        <f>IFERROR(IF(VLOOKUP(Wed_W1[[#This Row],[Employee Name]],'Base Schedules'!$A$205:$AW$241,48,FALSE)="","",VLOOKUP(Wed_W1[[#This Row],[Employee Name]],'Base Schedules'!$A$205:$AW$241,48,FALSE)),"")</f>
        <v/>
      </c>
      <c r="AX23" s="184" t="str">
        <f>IFERROR(IF(VLOOKUP(Wed_W1[[#This Row],[Employee Name]],'Base Schedules'!$A$205:$AW$241,49,FALSE)="","",VLOOKUP(Wed_W1[[#This Row],[Employee Name]],'Base Schedules'!$A$205:$AW$241,49,FALSE)),"")</f>
        <v/>
      </c>
      <c r="AY23" s="164" t="str">
        <f t="shared" si="2"/>
        <v>Stevens, Amanda</v>
      </c>
    </row>
    <row r="24" spans="1:51" s="44" customFormat="1" ht="12" x14ac:dyDescent="0.2">
      <c r="A24" s="39" t="str">
        <f>IF(B24="","",INDEX(TeamList[],MATCH($B24,TeamList[[Employee Name]:[Employee Name]],0),MATCH("Manager",TeamList[#Headers],0)))</f>
        <v>Olson, Katherine</v>
      </c>
      <c r="B24" s="201" t="s">
        <v>231</v>
      </c>
      <c r="C24" s="257" t="str">
        <f>_xlfn.IFNA(VLOOKUP(Wed_W1[[#This Row],[Employee Name]],'Base Schedules'!A:B,2,FALSE),"")</f>
        <v>Lead</v>
      </c>
      <c r="D24" s="274">
        <f>_xlfn.IFNA(VLOOKUP(Wed_W1[[#This Row],[Employee Name]],'Base Schedules'!A:C,3,FALSE),"")</f>
        <v>900</v>
      </c>
      <c r="E24" s="274">
        <f>_xlfn.IFNA(VLOOKUP(Wed_W1[[#This Row],[Employee Name]],'Base Schedules'!A:D,4,FALSE),"")</f>
        <v>1730</v>
      </c>
      <c r="F24" s="142">
        <f>IF(Wed_W1[[#This Row],[Employee Name]]="","",IF(Wed_W1[[#This Row],[Dept]]="Supervisor",COUNTIFS($J24:$AX24,"*HL*",$J24:$AX24,"&lt;&gt;"&amp;"pHL"),COUNTIFS($J24:$AX24,"*HL*",$J24:$AX24,"&lt;&gt;"&amp;"*pHL*",$J24:$AX24,"&lt;&gt;"&amp;"pB1 HL",$J24:$AX24,"&lt;&gt;"&amp;"pB2 HL")-SUM(COUNTIFS($J24:$AX24,"*HL B1*",$J24:$AX24,"&lt;&gt;"&amp;"pHL B1")*0.5,COUNTIFS($J24:$AX24,"*HL B2*",$J24:$AX24,"&lt;&gt;"&amp;"pHL B2")*0.5,COUNTIFS($J24:$AX24,"*B1 HL*",$J24:$AX24,"&lt;&gt;"&amp;"pB1 HL")*0.5,COUNTIFS($J24:$AX24,"*B2 HL*",$J24:$AX24,"&lt;&gt;"&amp;"pB2 HL")*0.5)))</f>
        <v>6.5</v>
      </c>
      <c r="G24" s="142">
        <f t="shared" si="0"/>
        <v>0</v>
      </c>
      <c r="H24" s="142">
        <f t="shared" si="1"/>
        <v>7</v>
      </c>
      <c r="I24" s="142">
        <f>IF(Wed_W1[[#This Row],[Employee Name]]="","",IF(Wed_W1[[#This Row],[Dept]]="Supervisor",SUM(COUNTIFS($J24:$AX24,"RTA*",$J24:$AX24,"&lt;&gt;"&amp;"pRTA"),COUNTIFS($J24:$AX24,"*CRTA*",$J24:$AX24,"&lt;&gt;"&amp;"pCRTA")),COUNTIFS($J24:$AX24,"*RNNR*",$J24:$AX24,"&lt;&gt;"&amp;"*pRNNR*",$J24:$AX24,"&lt;&gt;"&amp;"pB1 RNNR",$J24:$AX24,"&lt;&gt;"&amp;"pB2 RNNR")-SUM(COUNTIFS($J24:$AX24,"*RNNR B1*",$J24:$AX24,"&lt;&gt;"&amp;"pRNNR B1")*0.5,COUNTIFS($J24:$AX24,"*RNNR B2*",$J24:$AX24,"&lt;&gt;"&amp;"pRNNR B2")*0.5,COUNTIFS($J24:$AX24,"*B1 RNNR*",$J24:$AX24,"&lt;&gt;"&amp;"pB1 RNNR")*0.5,COUNTIFS($J24:$AX24,"*B2 RNNR*",$J24:$AX24,"&lt;&gt;"&amp;"pB2 RNNR")*0.5)))</f>
        <v>2</v>
      </c>
      <c r="J24" s="184" t="str">
        <f>IFERROR(IF(VLOOKUP(Wed_W1[[#This Row],[Employee Name]],'Base Schedules'!$A$205:$AW$241,9,FALSE)="","",VLOOKUP(Wed_W1[[#This Row],[Employee Name]],'Base Schedules'!$A$205:$AW$241,9,FALSE)),"")</f>
        <v/>
      </c>
      <c r="K24" s="184" t="str">
        <f>IFERROR(IF(VLOOKUP(Wed_W1[[#This Row],[Employee Name]],'Base Schedules'!$A$205:$AW$241,10,FALSE)="","",VLOOKUP(Wed_W1[[#This Row],[Employee Name]],'Base Schedules'!$A$205:$AW$241,10,FALSE)),"")</f>
        <v/>
      </c>
      <c r="L24" s="184" t="str">
        <f>IFERROR(IF(VLOOKUP(Wed_W1[[#This Row],[Employee Name]],'Base Schedules'!$A$205:$AW$241,11,FALSE)="","",VLOOKUP(Wed_W1[[#This Row],[Employee Name]],'Base Schedules'!$A$205:$AW$241,11,FALSE)),"")</f>
        <v/>
      </c>
      <c r="M24" s="184" t="str">
        <f>IFERROR(IF(VLOOKUP(Wed_W1[[#This Row],[Employee Name]],'Base Schedules'!$A$205:$AW$241,12,FALSE)="","",VLOOKUP(Wed_W1[[#This Row],[Employee Name]],'Base Schedules'!$A$205:$AW$241,12,FALSE)),"")</f>
        <v/>
      </c>
      <c r="N24" s="184" t="str">
        <f>IFERROR(IF(VLOOKUP(Wed_W1[[#This Row],[Employee Name]],'Base Schedules'!$A$205:$AW$241,13,FALSE)="","",VLOOKUP(Wed_W1[[#This Row],[Employee Name]],'Base Schedules'!$A$205:$AW$241,13,FALSE)),"")</f>
        <v/>
      </c>
      <c r="O24" s="184" t="str">
        <f>IFERROR(IF(VLOOKUP(Wed_W1[[#This Row],[Employee Name]],'Base Schedules'!$A$205:$AW$241,14,FALSE)="","",VLOOKUP(Wed_W1[[#This Row],[Employee Name]],'Base Schedules'!$A$205:$AW$241,14,FALSE)),"")</f>
        <v/>
      </c>
      <c r="P24" s="184" t="str">
        <f>IFERROR(IF(VLOOKUP(Wed_W1[[#This Row],[Employee Name]],'Base Schedules'!$A$205:$AW$241,15,FALSE)="","",VLOOKUP(Wed_W1[[#This Row],[Employee Name]],'Base Schedules'!$A$205:$AW$241,15,FALSE)),"")</f>
        <v/>
      </c>
      <c r="Q24" s="184" t="str">
        <f>IFERROR(IF(VLOOKUP(Wed_W1[[#This Row],[Employee Name]],'Base Schedules'!$A$205:$AW$241,16,FALSE)="","",VLOOKUP(Wed_W1[[#This Row],[Employee Name]],'Base Schedules'!$A$205:$AW$241,16,FALSE)),"")</f>
        <v/>
      </c>
      <c r="R24" s="184" t="str">
        <f>IFERROR(IF(VLOOKUP(Wed_W1[[#This Row],[Employee Name]],'Base Schedules'!$A$205:$AW$241,17,FALSE)="","",VLOOKUP(Wed_W1[[#This Row],[Employee Name]],'Base Schedules'!$A$205:$AW$241,17,FALSE)),"")</f>
        <v>HL</v>
      </c>
      <c r="S24" s="184" t="str">
        <f>IFERROR(IF(VLOOKUP(Wed_W1[[#This Row],[Employee Name]],'Base Schedules'!$A$205:$AW$241,18,FALSE)="","",VLOOKUP(Wed_W1[[#This Row],[Employee Name]],'Base Schedules'!$A$205:$AW$241,18,FALSE)),"")</f>
        <v>HL</v>
      </c>
      <c r="T24" s="184" t="str">
        <f>IFERROR(IF(VLOOKUP(Wed_W1[[#This Row],[Employee Name]],'Base Schedules'!$A$205:$AW$241,19,FALSE)="","",VLOOKUP(Wed_W1[[#This Row],[Employee Name]],'Base Schedules'!$A$205:$AW$241,19,FALSE)),"")</f>
        <v>HL</v>
      </c>
      <c r="U24" s="184" t="str">
        <f>IFERROR(IF(VLOOKUP(Wed_W1[[#This Row],[Employee Name]],'Base Schedules'!$A$205:$AW$241,20,FALSE)="","",VLOOKUP(Wed_W1[[#This Row],[Employee Name]],'Base Schedules'!$A$205:$AW$241,20,FALSE)),"")</f>
        <v>HL B1</v>
      </c>
      <c r="V24" s="184" t="str">
        <f>IFERROR(IF(VLOOKUP(Wed_W1[[#This Row],[Employee Name]],'Base Schedules'!$A$205:$AW$241,21,FALSE)="","",VLOOKUP(Wed_W1[[#This Row],[Employee Name]],'Base Schedules'!$A$205:$AW$241,21,FALSE)),"")</f>
        <v>ADM</v>
      </c>
      <c r="W24" s="184" t="str">
        <f>IFERROR(IF(VLOOKUP(Wed_W1[[#This Row],[Employee Name]],'Base Schedules'!$A$205:$AW$241,22,FALSE)="","",VLOOKUP(Wed_W1[[#This Row],[Employee Name]],'Base Schedules'!$A$205:$AW$241,22,FALSE)),"")</f>
        <v>ADM</v>
      </c>
      <c r="X24" s="184" t="str">
        <f>IFERROR(IF(VLOOKUP(Wed_W1[[#This Row],[Employee Name]],'Base Schedules'!$A$205:$AW$241,23,FALSE)="","",VLOOKUP(Wed_W1[[#This Row],[Employee Name]],'Base Schedules'!$A$205:$AW$241,23,FALSE)),"")</f>
        <v>RNNR</v>
      </c>
      <c r="Y24" s="184" t="str">
        <f>IFERROR(IF(VLOOKUP(Wed_W1[[#This Row],[Employee Name]],'Base Schedules'!$A$205:$AW$241,24,FALSE)="","",VLOOKUP(Wed_W1[[#This Row],[Employee Name]],'Base Schedules'!$A$205:$AW$241,24,FALSE)),"")</f>
        <v>RNNR</v>
      </c>
      <c r="Z24" s="184" t="str">
        <f>IFERROR(IF(VLOOKUP(Wed_W1[[#This Row],[Employee Name]],'Base Schedules'!$A$205:$AW$241,25,FALSE)="","",VLOOKUP(Wed_W1[[#This Row],[Employee Name]],'Base Schedules'!$A$205:$AW$241,25,FALSE)),"")</f>
        <v>LUNCH</v>
      </c>
      <c r="AA24" s="184" t="str">
        <f>IFERROR(IF(VLOOKUP(Wed_W1[[#This Row],[Employee Name]],'Base Schedules'!$A$205:$AW$241,26,FALSE)="","",VLOOKUP(Wed_W1[[#This Row],[Employee Name]],'Base Schedules'!$A$205:$AW$241,26,FALSE)),"")</f>
        <v>ADM</v>
      </c>
      <c r="AB24" s="184" t="str">
        <f>IFERROR(IF(VLOOKUP(Wed_W1[[#This Row],[Employee Name]],'Base Schedules'!$A$205:$AW$241,27,FALSE)="","",VLOOKUP(Wed_W1[[#This Row],[Employee Name]],'Base Schedules'!$A$205:$AW$241,27,FALSE)),"")</f>
        <v>ADM</v>
      </c>
      <c r="AC24" s="184" t="str">
        <f>IFERROR(IF(VLOOKUP(Wed_W1[[#This Row],[Employee Name]],'Base Schedules'!$A$205:$AW$241,28,FALSE)="","",VLOOKUP(Wed_W1[[#This Row],[Employee Name]],'Base Schedules'!$A$205:$AW$241,28,FALSE)),"")</f>
        <v>HL</v>
      </c>
      <c r="AD24" s="184" t="str">
        <f>IFERROR(IF(VLOOKUP(Wed_W1[[#This Row],[Employee Name]],'Base Schedules'!$A$205:$AW$241,29,FALSE)="","",VLOOKUP(Wed_W1[[#This Row],[Employee Name]],'Base Schedules'!$A$205:$AW$241,29,FALSE)),"")</f>
        <v>HL</v>
      </c>
      <c r="AE24" s="184" t="str">
        <f>IFERROR(IF(VLOOKUP(Wed_W1[[#This Row],[Employee Name]],'Base Schedules'!$A$205:$AW$241,30,FALSE)="","",VLOOKUP(Wed_W1[[#This Row],[Employee Name]],'Base Schedules'!$A$205:$AW$241,30,FALSE)),"")</f>
        <v>B2 ADM</v>
      </c>
      <c r="AF24" s="184" t="str">
        <f>IFERROR(IF(VLOOKUP(Wed_W1[[#This Row],[Employee Name]],'Base Schedules'!$A$205:$AW$241,31,FALSE)="","",VLOOKUP(Wed_W1[[#This Row],[Employee Name]],'Base Schedules'!$A$205:$AW$241,31,FALSE)),"")</f>
        <v>ADM</v>
      </c>
      <c r="AG24" s="184" t="str">
        <f>IFERROR(IF(VLOOKUP(Wed_W1[[#This Row],[Employee Name]],'Base Schedules'!$A$205:$AW$241,32,FALSE)="","",VLOOKUP(Wed_W1[[#This Row],[Employee Name]],'Base Schedules'!$A$205:$AW$241,32,FALSE)),"")</f>
        <v>HL</v>
      </c>
      <c r="AH24" s="184" t="str">
        <f>IFERROR(IF(VLOOKUP(Wed_W1[[#This Row],[Employee Name]],'Base Schedules'!$A$205:$AW$241,33,FALSE)="","",VLOOKUP(Wed_W1[[#This Row],[Employee Name]],'Base Schedules'!$A$205:$AW$241,33,FALSE)),"")</f>
        <v>ADM</v>
      </c>
      <c r="AI24" s="184" t="str">
        <f>IFERROR(IF(VLOOKUP(Wed_W1[[#This Row],[Employee Name]],'Base Schedules'!$A$205:$AW$241,34,FALSE)="","",VLOOKUP(Wed_W1[[#This Row],[Employee Name]],'Base Schedules'!$A$205:$AW$241,34,FALSE)),"")</f>
        <v/>
      </c>
      <c r="AJ24" s="184" t="str">
        <f>IFERROR(IF(VLOOKUP(Wed_W1[[#This Row],[Employee Name]],'Base Schedules'!$A$205:$AW$241,35,FALSE)="","",VLOOKUP(Wed_W1[[#This Row],[Employee Name]],'Base Schedules'!$A$205:$AW$241,35,FALSE)),"")</f>
        <v/>
      </c>
      <c r="AK24" s="184" t="str">
        <f>IFERROR(IF(VLOOKUP(Wed_W1[[#This Row],[Employee Name]],'Base Schedules'!$A$205:$AW$241,36,FALSE)="","",VLOOKUP(Wed_W1[[#This Row],[Employee Name]],'Base Schedules'!$A$205:$AW$241,36,FALSE)),"")</f>
        <v/>
      </c>
      <c r="AL24" s="184" t="str">
        <f>IFERROR(IF(VLOOKUP(Wed_W1[[#This Row],[Employee Name]],'Base Schedules'!$A$205:$AW$241,37,FALSE)="","",VLOOKUP(Wed_W1[[#This Row],[Employee Name]],'Base Schedules'!$A$205:$AW$241,37,FALSE)),"")</f>
        <v/>
      </c>
      <c r="AM24" s="184" t="str">
        <f>IFERROR(IF(VLOOKUP(Wed_W1[[#This Row],[Employee Name]],'Base Schedules'!$A$205:$AW$241,38,FALSE)="","",VLOOKUP(Wed_W1[[#This Row],[Employee Name]],'Base Schedules'!$A$205:$AW$241,38,FALSE)),"")</f>
        <v/>
      </c>
      <c r="AN24" s="184" t="str">
        <f>IFERROR(IF(VLOOKUP(Wed_W1[[#This Row],[Employee Name]],'Base Schedules'!$A$205:$AW$241,39,FALSE)="","",VLOOKUP(Wed_W1[[#This Row],[Employee Name]],'Base Schedules'!$A$205:$AW$241,39,FALSE)),"")</f>
        <v/>
      </c>
      <c r="AO24" s="184" t="str">
        <f>IFERROR(IF(VLOOKUP(Wed_W1[[#This Row],[Employee Name]],'Base Schedules'!$A$205:$AW$241,40,FALSE)="","",VLOOKUP(Wed_W1[[#This Row],[Employee Name]],'Base Schedules'!$A$205:$AW$241,40,FALSE)),"")</f>
        <v/>
      </c>
      <c r="AP24" s="184" t="str">
        <f>IFERROR(IF(VLOOKUP(Wed_W1[[#This Row],[Employee Name]],'Base Schedules'!$A$205:$AW$241,41,FALSE)="","",VLOOKUP(Wed_W1[[#This Row],[Employee Name]],'Base Schedules'!$A$205:$AW$241,41,FALSE)),"")</f>
        <v/>
      </c>
      <c r="AQ24" s="184" t="str">
        <f>IFERROR(IF(VLOOKUP(Wed_W1[[#This Row],[Employee Name]],'Base Schedules'!$A$205:$AW$241,42,FALSE)="","",VLOOKUP(Wed_W1[[#This Row],[Employee Name]],'Base Schedules'!$A$205:$AW$241,42,FALSE)),"")</f>
        <v/>
      </c>
      <c r="AR24" s="184" t="str">
        <f>IFERROR(IF(VLOOKUP(Wed_W1[[#This Row],[Employee Name]],'Base Schedules'!$A$205:$AW$241,43,FALSE)="","",VLOOKUP(Wed_W1[[#This Row],[Employee Name]],'Base Schedules'!$A$205:$AW$241,43,FALSE)),"")</f>
        <v/>
      </c>
      <c r="AS24" s="184" t="str">
        <f>IFERROR(IF(VLOOKUP(Wed_W1[[#This Row],[Employee Name]],'Base Schedules'!$A$205:$AW$241,44,FALSE)="","",VLOOKUP(Wed_W1[[#This Row],[Employee Name]],'Base Schedules'!$A$205:$AW$241,44,FALSE)),"")</f>
        <v/>
      </c>
      <c r="AT24" s="184" t="str">
        <f>IFERROR(IF(VLOOKUP(Wed_W1[[#This Row],[Employee Name]],'Base Schedules'!$A$205:$AW$241,45,FALSE)="","",VLOOKUP(Wed_W1[[#This Row],[Employee Name]],'Base Schedules'!$A$205:$AW$241,45,FALSE)),"")</f>
        <v/>
      </c>
      <c r="AU24" s="184" t="str">
        <f>IFERROR(IF(VLOOKUP(Wed_W1[[#This Row],[Employee Name]],'Base Schedules'!$A$205:$AW$241,46,FALSE)="","",VLOOKUP(Wed_W1[[#This Row],[Employee Name]],'Base Schedules'!$A$205:$AW$241,46,FALSE)),"")</f>
        <v/>
      </c>
      <c r="AV24" s="184" t="str">
        <f>IFERROR(IF(VLOOKUP(Wed_W1[[#This Row],[Employee Name]],'Base Schedules'!$A$205:$AW$241,47,FALSE)="","",VLOOKUP(Wed_W1[[#This Row],[Employee Name]],'Base Schedules'!$A$205:$AW$241,47,FALSE)),"")</f>
        <v/>
      </c>
      <c r="AW24" s="184" t="str">
        <f>IFERROR(IF(VLOOKUP(Wed_W1[[#This Row],[Employee Name]],'Base Schedules'!$A$205:$AW$241,48,FALSE)="","",VLOOKUP(Wed_W1[[#This Row],[Employee Name]],'Base Schedules'!$A$205:$AW$241,48,FALSE)),"")</f>
        <v/>
      </c>
      <c r="AX24" s="184" t="str">
        <f>IFERROR(IF(VLOOKUP(Wed_W1[[#This Row],[Employee Name]],'Base Schedules'!$A$205:$AW$241,49,FALSE)="","",VLOOKUP(Wed_W1[[#This Row],[Employee Name]],'Base Schedules'!$A$205:$AW$241,49,FALSE)),"")</f>
        <v/>
      </c>
      <c r="AY24" s="164" t="str">
        <f t="shared" si="2"/>
        <v>Fiskvik, Christopher</v>
      </c>
    </row>
    <row r="25" spans="1:51" s="44" customFormat="1" ht="12" x14ac:dyDescent="0.2">
      <c r="A25" s="39" t="str">
        <f>IF(B25="","",INDEX(TeamList[],MATCH($B25,TeamList[[Employee Name]:[Employee Name]],0),MATCH("Manager",TeamList[#Headers],0)))</f>
        <v>Ahmed Hassan, Zahra</v>
      </c>
      <c r="B25" s="201" t="s">
        <v>27</v>
      </c>
      <c r="C25" s="257" t="str">
        <f>_xlfn.IFNA(VLOOKUP(Wed_W1[[#This Row],[Employee Name]],'Base Schedules'!A:B,2,FALSE),"")</f>
        <v>Supervisor</v>
      </c>
      <c r="D25" s="274">
        <f>_xlfn.IFNA(VLOOKUP(Wed_W1[[#This Row],[Employee Name]],'Base Schedules'!A:C,3,FALSE),"")</f>
        <v>930</v>
      </c>
      <c r="E25" s="274">
        <f>_xlfn.IFNA(VLOOKUP(Wed_W1[[#This Row],[Employee Name]],'Base Schedules'!A:D,4,FALSE),"")</f>
        <v>1830</v>
      </c>
      <c r="F25" s="142">
        <f>IF(Wed_W1[[#This Row],[Employee Name]]="","",IF(Wed_W1[[#This Row],[Dept]]="Supervisor",COUNTIFS($J25:$AX25,"*HL*",$J25:$AX25,"&lt;&gt;"&amp;"pHL"),COUNTIFS($J25:$AX25,"*HL*",$J25:$AX25,"&lt;&gt;"&amp;"*pHL*",$J25:$AX25,"&lt;&gt;"&amp;"pB1 HL",$J25:$AX25,"&lt;&gt;"&amp;"pB2 HL")-SUM(COUNTIFS($J25:$AX25,"*HL B1*",$J25:$AX25,"&lt;&gt;"&amp;"pHL B1")*0.5,COUNTIFS($J25:$AX25,"*HL B2*",$J25:$AX25,"&lt;&gt;"&amp;"pHL B2")*0.5,COUNTIFS($J25:$AX25,"*B1 HL*",$J25:$AX25,"&lt;&gt;"&amp;"pB1 HL")*0.5,COUNTIFS($J25:$AX25,"*B2 HL*",$J25:$AX25,"&lt;&gt;"&amp;"pB2 HL")*0.5)))</f>
        <v>0</v>
      </c>
      <c r="G25" s="142">
        <f t="shared" si="0"/>
        <v>4</v>
      </c>
      <c r="H25" s="142">
        <f t="shared" si="1"/>
        <v>0</v>
      </c>
      <c r="I25" s="142">
        <f>IF(Wed_W1[[#This Row],[Employee Name]]="","",IF(Wed_W1[[#This Row],[Dept]]="Supervisor",SUM(COUNTIFS($J25:$AX25,"RTA*",$J25:$AX25,"&lt;&gt;"&amp;"pRTA"),COUNTIFS($J25:$AX25,"*CRTA*",$J25:$AX25,"&lt;&gt;"&amp;"pCRTA")),COUNTIFS($J25:$AX25,"*RNNR*",$J25:$AX25,"&lt;&gt;"&amp;"*pRNNR*",$J25:$AX25,"&lt;&gt;"&amp;"pB1 RNNR",$J25:$AX25,"&lt;&gt;"&amp;"pB2 RNNR")-SUM(COUNTIFS($J25:$AX25,"*RNNR B1*",$J25:$AX25,"&lt;&gt;"&amp;"pRNNR B1")*0.5,COUNTIFS($J25:$AX25,"*RNNR B2*",$J25:$AX25,"&lt;&gt;"&amp;"pRNNR B2")*0.5,COUNTIFS($J25:$AX25,"*B1 RNNR*",$J25:$AX25,"&lt;&gt;"&amp;"pB1 RNNR")*0.5,COUNTIFS($J25:$AX25,"*B2 RNNR*",$J25:$AX25,"&lt;&gt;"&amp;"pB2 RNNR")*0.5)))</f>
        <v>0</v>
      </c>
      <c r="J25" s="184" t="str">
        <f>IFERROR(IF(VLOOKUP(Wed_W1[[#This Row],[Employee Name]],'Base Schedules'!$A$205:$AW$241,9,FALSE)="","",VLOOKUP(Wed_W1[[#This Row],[Employee Name]],'Base Schedules'!$A$205:$AW$241,9,FALSE)),"")</f>
        <v/>
      </c>
      <c r="K25" s="184" t="str">
        <f>IFERROR(IF(VLOOKUP(Wed_W1[[#This Row],[Employee Name]],'Base Schedules'!$A$205:$AW$241,10,FALSE)="","",VLOOKUP(Wed_W1[[#This Row],[Employee Name]],'Base Schedules'!$A$205:$AW$241,10,FALSE)),"")</f>
        <v/>
      </c>
      <c r="L25" s="184" t="str">
        <f>IFERROR(IF(VLOOKUP(Wed_W1[[#This Row],[Employee Name]],'Base Schedules'!$A$205:$AW$241,11,FALSE)="","",VLOOKUP(Wed_W1[[#This Row],[Employee Name]],'Base Schedules'!$A$205:$AW$241,11,FALSE)),"")</f>
        <v/>
      </c>
      <c r="M25" s="184" t="str">
        <f>IFERROR(IF(VLOOKUP(Wed_W1[[#This Row],[Employee Name]],'Base Schedules'!$A$205:$AW$241,12,FALSE)="","",VLOOKUP(Wed_W1[[#This Row],[Employee Name]],'Base Schedules'!$A$205:$AW$241,12,FALSE)),"")</f>
        <v/>
      </c>
      <c r="N25" s="184" t="str">
        <f>IFERROR(IF(VLOOKUP(Wed_W1[[#This Row],[Employee Name]],'Base Schedules'!$A$205:$AW$241,13,FALSE)="","",VLOOKUP(Wed_W1[[#This Row],[Employee Name]],'Base Schedules'!$A$205:$AW$241,13,FALSE)),"")</f>
        <v/>
      </c>
      <c r="O25" s="184" t="str">
        <f>IFERROR(IF(VLOOKUP(Wed_W1[[#This Row],[Employee Name]],'Base Schedules'!$A$205:$AW$241,14,FALSE)="","",VLOOKUP(Wed_W1[[#This Row],[Employee Name]],'Base Schedules'!$A$205:$AW$241,14,FALSE)),"")</f>
        <v/>
      </c>
      <c r="P25" s="184" t="str">
        <f>IFERROR(IF(VLOOKUP(Wed_W1[[#This Row],[Employee Name]],'Base Schedules'!$A$205:$AW$241,15,FALSE)="","",VLOOKUP(Wed_W1[[#This Row],[Employee Name]],'Base Schedules'!$A$205:$AW$241,15,FALSE)),"")</f>
        <v/>
      </c>
      <c r="Q25" s="184" t="str">
        <f>IFERROR(IF(VLOOKUP(Wed_W1[[#This Row],[Employee Name]],'Base Schedules'!$A$205:$AW$241,16,FALSE)="","",VLOOKUP(Wed_W1[[#This Row],[Employee Name]],'Base Schedules'!$A$205:$AW$241,16,FALSE)),"")</f>
        <v/>
      </c>
      <c r="R25" s="184" t="str">
        <f>IFERROR(IF(VLOOKUP(Wed_W1[[#This Row],[Employee Name]],'Base Schedules'!$A$205:$AW$241,17,FALSE)="","",VLOOKUP(Wed_W1[[#This Row],[Employee Name]],'Base Schedules'!$A$205:$AW$241,17,FALSE)),"")</f>
        <v/>
      </c>
      <c r="S25" s="184" t="str">
        <f>IFERROR(IF(VLOOKUP(Wed_W1[[#This Row],[Employee Name]],'Base Schedules'!$A$205:$AW$241,18,FALSE)="","",VLOOKUP(Wed_W1[[#This Row],[Employee Name]],'Base Schedules'!$A$205:$AW$241,18,FALSE)),"")</f>
        <v>-</v>
      </c>
      <c r="T25" s="184" t="str">
        <f>IFERROR(IF(VLOOKUP(Wed_W1[[#This Row],[Employee Name]],'Base Schedules'!$A$205:$AW$241,19,FALSE)="","",VLOOKUP(Wed_W1[[#This Row],[Employee Name]],'Base Schedules'!$A$205:$AW$241,19,FALSE)),"")</f>
        <v>-</v>
      </c>
      <c r="U25" s="184" t="str">
        <f>IFERROR(IF(VLOOKUP(Wed_W1[[#This Row],[Employee Name]],'Base Schedules'!$A$205:$AW$241,20,FALSE)="","",VLOOKUP(Wed_W1[[#This Row],[Employee Name]],'Base Schedules'!$A$205:$AW$241,20,FALSE)),"")</f>
        <v>-</v>
      </c>
      <c r="V25" s="184" t="str">
        <f>IFERROR(IF(VLOOKUP(Wed_W1[[#This Row],[Employee Name]],'Base Schedules'!$A$205:$AW$241,21,FALSE)="","",VLOOKUP(Wed_W1[[#This Row],[Employee Name]],'Base Schedules'!$A$205:$AW$241,21,FALSE)),"")</f>
        <v>-</v>
      </c>
      <c r="W25" s="184" t="str">
        <f>IFERROR(IF(VLOOKUP(Wed_W1[[#This Row],[Employee Name]],'Base Schedules'!$A$205:$AW$241,22,FALSE)="","",VLOOKUP(Wed_W1[[#This Row],[Employee Name]],'Base Schedules'!$A$205:$AW$241,22,FALSE)),"")</f>
        <v>Coaching</v>
      </c>
      <c r="X25" s="184" t="str">
        <f>IFERROR(IF(VLOOKUP(Wed_W1[[#This Row],[Employee Name]],'Base Schedules'!$A$205:$AW$241,23,FALSE)="","",VLOOKUP(Wed_W1[[#This Row],[Employee Name]],'Base Schedules'!$A$205:$AW$241,23,FALSE)),"")</f>
        <v>Coaching</v>
      </c>
      <c r="Y25" s="184" t="str">
        <f>IFERROR(IF(VLOOKUP(Wed_W1[[#This Row],[Employee Name]],'Base Schedules'!$A$205:$AW$241,24,FALSE)="","",VLOOKUP(Wed_W1[[#This Row],[Employee Name]],'Base Schedules'!$A$205:$AW$241,24,FALSE)),"")</f>
        <v>Coaching</v>
      </c>
      <c r="Z25" s="184" t="str">
        <f>IFERROR(IF(VLOOKUP(Wed_W1[[#This Row],[Employee Name]],'Base Schedules'!$A$205:$AW$241,25,FALSE)="","",VLOOKUP(Wed_W1[[#This Row],[Employee Name]],'Base Schedules'!$A$205:$AW$241,25,FALSE)),"")</f>
        <v>Coaching</v>
      </c>
      <c r="AA25" s="184" t="str">
        <f>IFERROR(IF(VLOOKUP(Wed_W1[[#This Row],[Employee Name]],'Base Schedules'!$A$205:$AW$241,26,FALSE)="","",VLOOKUP(Wed_W1[[#This Row],[Employee Name]],'Base Schedules'!$A$205:$AW$241,26,FALSE)),"")</f>
        <v>-</v>
      </c>
      <c r="AB25" s="184" t="str">
        <f>IFERROR(IF(VLOOKUP(Wed_W1[[#This Row],[Employee Name]],'Base Schedules'!$A$205:$AW$241,27,FALSE)="","",VLOOKUP(Wed_W1[[#This Row],[Employee Name]],'Base Schedules'!$A$205:$AW$241,27,FALSE)),"")</f>
        <v>Interview</v>
      </c>
      <c r="AC25" s="184" t="str">
        <f>IFERROR(IF(VLOOKUP(Wed_W1[[#This Row],[Employee Name]],'Base Schedules'!$A$205:$AW$241,28,FALSE)="","",VLOOKUP(Wed_W1[[#This Row],[Employee Name]],'Base Schedules'!$A$205:$AW$241,28,FALSE)),"")</f>
        <v>Interview</v>
      </c>
      <c r="AD25" s="184" t="str">
        <f>IFERROR(IF(VLOOKUP(Wed_W1[[#This Row],[Employee Name]],'Base Schedules'!$A$205:$AW$241,29,FALSE)="","",VLOOKUP(Wed_W1[[#This Row],[Employee Name]],'Base Schedules'!$A$205:$AW$241,29,FALSE)),"")</f>
        <v>-</v>
      </c>
      <c r="AE25" s="184" t="str">
        <f>IFERROR(IF(VLOOKUP(Wed_W1[[#This Row],[Employee Name]],'Base Schedules'!$A$205:$AW$241,30,FALSE)="","",VLOOKUP(Wed_W1[[#This Row],[Employee Name]],'Base Schedules'!$A$205:$AW$241,30,FALSE)),"")</f>
        <v>-</v>
      </c>
      <c r="AF25" s="184" t="str">
        <f>IFERROR(IF(VLOOKUP(Wed_W1[[#This Row],[Employee Name]],'Base Schedules'!$A$205:$AW$241,31,FALSE)="","",VLOOKUP(Wed_W1[[#This Row],[Employee Name]],'Base Schedules'!$A$205:$AW$241,31,FALSE)),"")</f>
        <v>-</v>
      </c>
      <c r="AG25" s="184" t="str">
        <f>IFERROR(IF(VLOOKUP(Wed_W1[[#This Row],[Employee Name]],'Base Schedules'!$A$205:$AW$241,32,FALSE)="","",VLOOKUP(Wed_W1[[#This Row],[Employee Name]],'Base Schedules'!$A$205:$AW$241,32,FALSE)),"")</f>
        <v>-</v>
      </c>
      <c r="AH25" s="184" t="str">
        <f>IFERROR(IF(VLOOKUP(Wed_W1[[#This Row],[Employee Name]],'Base Schedules'!$A$205:$AW$241,33,FALSE)="","",VLOOKUP(Wed_W1[[#This Row],[Employee Name]],'Base Schedules'!$A$205:$AW$241,33,FALSE)),"")</f>
        <v>-</v>
      </c>
      <c r="AI25" s="184" t="str">
        <f>IFERROR(IF(VLOOKUP(Wed_W1[[#This Row],[Employee Name]],'Base Schedules'!$A$205:$AW$241,34,FALSE)="","",VLOOKUP(Wed_W1[[#This Row],[Employee Name]],'Base Schedules'!$A$205:$AW$241,34,FALSE)),"")</f>
        <v>-</v>
      </c>
      <c r="AJ25" s="184" t="str">
        <f>IFERROR(IF(VLOOKUP(Wed_W1[[#This Row],[Employee Name]],'Base Schedules'!$A$205:$AW$241,35,FALSE)="","",VLOOKUP(Wed_W1[[#This Row],[Employee Name]],'Base Schedules'!$A$205:$AW$241,35,FALSE)),"")</f>
        <v>-</v>
      </c>
      <c r="AK25" s="184" t="str">
        <f>IFERROR(IF(VLOOKUP(Wed_W1[[#This Row],[Employee Name]],'Base Schedules'!$A$205:$AW$241,36,FALSE)="","",VLOOKUP(Wed_W1[[#This Row],[Employee Name]],'Base Schedules'!$A$205:$AW$241,36,FALSE)),"")</f>
        <v/>
      </c>
      <c r="AL25" s="184" t="str">
        <f>IFERROR(IF(VLOOKUP(Wed_W1[[#This Row],[Employee Name]],'Base Schedules'!$A$205:$AW$241,37,FALSE)="","",VLOOKUP(Wed_W1[[#This Row],[Employee Name]],'Base Schedules'!$A$205:$AW$241,37,FALSE)),"")</f>
        <v/>
      </c>
      <c r="AM25" s="184" t="str">
        <f>IFERROR(IF(VLOOKUP(Wed_W1[[#This Row],[Employee Name]],'Base Schedules'!$A$205:$AW$241,38,FALSE)="","",VLOOKUP(Wed_W1[[#This Row],[Employee Name]],'Base Schedules'!$A$205:$AW$241,38,FALSE)),"")</f>
        <v/>
      </c>
      <c r="AN25" s="184" t="str">
        <f>IFERROR(IF(VLOOKUP(Wed_W1[[#This Row],[Employee Name]],'Base Schedules'!$A$205:$AW$241,39,FALSE)="","",VLOOKUP(Wed_W1[[#This Row],[Employee Name]],'Base Schedules'!$A$205:$AW$241,39,FALSE)),"")</f>
        <v/>
      </c>
      <c r="AO25" s="184" t="str">
        <f>IFERROR(IF(VLOOKUP(Wed_W1[[#This Row],[Employee Name]],'Base Schedules'!$A$205:$AW$241,40,FALSE)="","",VLOOKUP(Wed_W1[[#This Row],[Employee Name]],'Base Schedules'!$A$205:$AW$241,40,FALSE)),"")</f>
        <v/>
      </c>
      <c r="AP25" s="184" t="str">
        <f>IFERROR(IF(VLOOKUP(Wed_W1[[#This Row],[Employee Name]],'Base Schedules'!$A$205:$AW$241,41,FALSE)="","",VLOOKUP(Wed_W1[[#This Row],[Employee Name]],'Base Schedules'!$A$205:$AW$241,41,FALSE)),"")</f>
        <v/>
      </c>
      <c r="AQ25" s="184" t="str">
        <f>IFERROR(IF(VLOOKUP(Wed_W1[[#This Row],[Employee Name]],'Base Schedules'!$A$205:$AW$241,42,FALSE)="","",VLOOKUP(Wed_W1[[#This Row],[Employee Name]],'Base Schedules'!$A$205:$AW$241,42,FALSE)),"")</f>
        <v/>
      </c>
      <c r="AR25" s="184" t="str">
        <f>IFERROR(IF(VLOOKUP(Wed_W1[[#This Row],[Employee Name]],'Base Schedules'!$A$205:$AW$241,43,FALSE)="","",VLOOKUP(Wed_W1[[#This Row],[Employee Name]],'Base Schedules'!$A$205:$AW$241,43,FALSE)),"")</f>
        <v/>
      </c>
      <c r="AS25" s="184" t="str">
        <f>IFERROR(IF(VLOOKUP(Wed_W1[[#This Row],[Employee Name]],'Base Schedules'!$A$205:$AW$241,44,FALSE)="","",VLOOKUP(Wed_W1[[#This Row],[Employee Name]],'Base Schedules'!$A$205:$AW$241,44,FALSE)),"")</f>
        <v/>
      </c>
      <c r="AT25" s="184" t="str">
        <f>IFERROR(IF(VLOOKUP(Wed_W1[[#This Row],[Employee Name]],'Base Schedules'!$A$205:$AW$241,45,FALSE)="","",VLOOKUP(Wed_W1[[#This Row],[Employee Name]],'Base Schedules'!$A$205:$AW$241,45,FALSE)),"")</f>
        <v/>
      </c>
      <c r="AU25" s="184" t="str">
        <f>IFERROR(IF(VLOOKUP(Wed_W1[[#This Row],[Employee Name]],'Base Schedules'!$A$205:$AW$241,46,FALSE)="","",VLOOKUP(Wed_W1[[#This Row],[Employee Name]],'Base Schedules'!$A$205:$AW$241,46,FALSE)),"")</f>
        <v/>
      </c>
      <c r="AV25" s="184" t="str">
        <f>IFERROR(IF(VLOOKUP(Wed_W1[[#This Row],[Employee Name]],'Base Schedules'!$A$205:$AW$241,47,FALSE)="","",VLOOKUP(Wed_W1[[#This Row],[Employee Name]],'Base Schedules'!$A$205:$AW$241,47,FALSE)),"")</f>
        <v/>
      </c>
      <c r="AW25" s="184" t="str">
        <f>IFERROR(IF(VLOOKUP(Wed_W1[[#This Row],[Employee Name]],'Base Schedules'!$A$205:$AW$241,48,FALSE)="","",VLOOKUP(Wed_W1[[#This Row],[Employee Name]],'Base Schedules'!$A$205:$AW$241,48,FALSE)),"")</f>
        <v/>
      </c>
      <c r="AX25" s="184" t="str">
        <f>IFERROR(IF(VLOOKUP(Wed_W1[[#This Row],[Employee Name]],'Base Schedules'!$A$205:$AW$241,49,FALSE)="","",VLOOKUP(Wed_W1[[#This Row],[Employee Name]],'Base Schedules'!$A$205:$AW$241,49,FALSE)),"")</f>
        <v/>
      </c>
      <c r="AY25" s="164" t="str">
        <f t="shared" si="2"/>
        <v>McLean, Michael</v>
      </c>
    </row>
    <row r="26" spans="1:51" s="44" customFormat="1" ht="12" x14ac:dyDescent="0.2">
      <c r="A26" s="39" t="str">
        <f>IF(B26="","",INDEX(TeamList[],MATCH($B26,TeamList[[Employee Name]:[Employee Name]],0),MATCH("Manager",TeamList[#Headers],0)))</f>
        <v>Olson, Katherine</v>
      </c>
      <c r="B26" s="201" t="s">
        <v>69</v>
      </c>
      <c r="C26" s="257" t="str">
        <f>_xlfn.IFNA(VLOOKUP(Wed_W1[[#This Row],[Employee Name]],'Base Schedules'!A:B,2,FALSE),"")</f>
        <v>Lead</v>
      </c>
      <c r="D26" s="274">
        <f>_xlfn.IFNA(VLOOKUP(Wed_W1[[#This Row],[Employee Name]],'Base Schedules'!A:C,3,FALSE),"")</f>
        <v>1000</v>
      </c>
      <c r="E26" s="274">
        <f>_xlfn.IFNA(VLOOKUP(Wed_W1[[#This Row],[Employee Name]],'Base Schedules'!A:D,4,FALSE),"")</f>
        <v>1900</v>
      </c>
      <c r="F26" s="142">
        <f>IF(Wed_W1[[#This Row],[Employee Name]]="","",IF(Wed_W1[[#This Row],[Dept]]="Supervisor",COUNTIFS($J26:$AX26,"*HL*",$J26:$AX26,"&lt;&gt;"&amp;"pHL"),COUNTIFS($J26:$AX26,"*HL*",$J26:$AX26,"&lt;&gt;"&amp;"*pHL*",$J26:$AX26,"&lt;&gt;"&amp;"pB1 HL",$J26:$AX26,"&lt;&gt;"&amp;"pB2 HL")-SUM(COUNTIFS($J26:$AX26,"*HL B1*",$J26:$AX26,"&lt;&gt;"&amp;"pHL B1")*0.5,COUNTIFS($J26:$AX26,"*HL B2*",$J26:$AX26,"&lt;&gt;"&amp;"pHL B2")*0.5,COUNTIFS($J26:$AX26,"*B1 HL*",$J26:$AX26,"&lt;&gt;"&amp;"pB1 HL")*0.5,COUNTIFS($J26:$AX26,"*B2 HL*",$J26:$AX26,"&lt;&gt;"&amp;"pB2 HL")*0.5)))</f>
        <v>7</v>
      </c>
      <c r="G26" s="142">
        <f t="shared" si="0"/>
        <v>0</v>
      </c>
      <c r="H26" s="142">
        <f t="shared" si="1"/>
        <v>6</v>
      </c>
      <c r="I26" s="142">
        <f>IF(Wed_W1[[#This Row],[Employee Name]]="","",IF(Wed_W1[[#This Row],[Dept]]="Supervisor",SUM(COUNTIFS($J26:$AX26,"RTA*",$J26:$AX26,"&lt;&gt;"&amp;"pRTA"),COUNTIFS($J26:$AX26,"*CRTA*",$J26:$AX26,"&lt;&gt;"&amp;"pCRTA")),COUNTIFS($J26:$AX26,"*RNNR*",$J26:$AX26,"&lt;&gt;"&amp;"*pRNNR*",$J26:$AX26,"&lt;&gt;"&amp;"pB1 RNNR",$J26:$AX26,"&lt;&gt;"&amp;"pB2 RNNR")-SUM(COUNTIFS($J26:$AX26,"*RNNR B1*",$J26:$AX26,"&lt;&gt;"&amp;"pRNNR B1")*0.5,COUNTIFS($J26:$AX26,"*RNNR B2*",$J26:$AX26,"&lt;&gt;"&amp;"pRNNR B2")*0.5,COUNTIFS($J26:$AX26,"*B1 RNNR*",$J26:$AX26,"&lt;&gt;"&amp;"pB1 RNNR")*0.5,COUNTIFS($J26:$AX26,"*B2 RNNR*",$J26:$AX26,"&lt;&gt;"&amp;"pB2 RNNR")*0.5)))</f>
        <v>2</v>
      </c>
      <c r="J26" s="184" t="str">
        <f>IFERROR(IF(VLOOKUP(Wed_W1[[#This Row],[Employee Name]],'Base Schedules'!$A$205:$AW$241,9,FALSE)="","",VLOOKUP(Wed_W1[[#This Row],[Employee Name]],'Base Schedules'!$A$205:$AW$241,9,FALSE)),"")</f>
        <v/>
      </c>
      <c r="K26" s="184" t="str">
        <f>IFERROR(IF(VLOOKUP(Wed_W1[[#This Row],[Employee Name]],'Base Schedules'!$A$205:$AW$241,10,FALSE)="","",VLOOKUP(Wed_W1[[#This Row],[Employee Name]],'Base Schedules'!$A$205:$AW$241,10,FALSE)),"")</f>
        <v/>
      </c>
      <c r="L26" s="184" t="str">
        <f>IFERROR(IF(VLOOKUP(Wed_W1[[#This Row],[Employee Name]],'Base Schedules'!$A$205:$AW$241,11,FALSE)="","",VLOOKUP(Wed_W1[[#This Row],[Employee Name]],'Base Schedules'!$A$205:$AW$241,11,FALSE)),"")</f>
        <v/>
      </c>
      <c r="M26" s="184" t="str">
        <f>IFERROR(IF(VLOOKUP(Wed_W1[[#This Row],[Employee Name]],'Base Schedules'!$A$205:$AW$241,12,FALSE)="","",VLOOKUP(Wed_W1[[#This Row],[Employee Name]],'Base Schedules'!$A$205:$AW$241,12,FALSE)),"")</f>
        <v/>
      </c>
      <c r="N26" s="184" t="str">
        <f>IFERROR(IF(VLOOKUP(Wed_W1[[#This Row],[Employee Name]],'Base Schedules'!$A$205:$AW$241,13,FALSE)="","",VLOOKUP(Wed_W1[[#This Row],[Employee Name]],'Base Schedules'!$A$205:$AW$241,13,FALSE)),"")</f>
        <v/>
      </c>
      <c r="O26" s="184" t="str">
        <f>IFERROR(IF(VLOOKUP(Wed_W1[[#This Row],[Employee Name]],'Base Schedules'!$A$205:$AW$241,14,FALSE)="","",VLOOKUP(Wed_W1[[#This Row],[Employee Name]],'Base Schedules'!$A$205:$AW$241,14,FALSE)),"")</f>
        <v/>
      </c>
      <c r="P26" s="184" t="str">
        <f>IFERROR(IF(VLOOKUP(Wed_W1[[#This Row],[Employee Name]],'Base Schedules'!$A$205:$AW$241,15,FALSE)="","",VLOOKUP(Wed_W1[[#This Row],[Employee Name]],'Base Schedules'!$A$205:$AW$241,15,FALSE)),"")</f>
        <v/>
      </c>
      <c r="Q26" s="184" t="str">
        <f>IFERROR(IF(VLOOKUP(Wed_W1[[#This Row],[Employee Name]],'Base Schedules'!$A$205:$AW$241,16,FALSE)="","",VLOOKUP(Wed_W1[[#This Row],[Employee Name]],'Base Schedules'!$A$205:$AW$241,16,FALSE)),"")</f>
        <v/>
      </c>
      <c r="R26" s="184" t="str">
        <f>IFERROR(IF(VLOOKUP(Wed_W1[[#This Row],[Employee Name]],'Base Schedules'!$A$205:$AW$241,17,FALSE)="","",VLOOKUP(Wed_W1[[#This Row],[Employee Name]],'Base Schedules'!$A$205:$AW$241,17,FALSE)),"")</f>
        <v/>
      </c>
      <c r="S26" s="184" t="str">
        <f>IFERROR(IF(VLOOKUP(Wed_W1[[#This Row],[Employee Name]],'Base Schedules'!$A$205:$AW$241,18,FALSE)="","",VLOOKUP(Wed_W1[[#This Row],[Employee Name]],'Base Schedules'!$A$205:$AW$241,18,FALSE)),"")</f>
        <v/>
      </c>
      <c r="T26" s="184" t="str">
        <f>IFERROR(IF(VLOOKUP(Wed_W1[[#This Row],[Employee Name]],'Base Schedules'!$A$205:$AW$241,19,FALSE)="","",VLOOKUP(Wed_W1[[#This Row],[Employee Name]],'Base Schedules'!$A$205:$AW$241,19,FALSE)),"")</f>
        <v>ADM</v>
      </c>
      <c r="U26" s="184" t="str">
        <f>IFERROR(IF(VLOOKUP(Wed_W1[[#This Row],[Employee Name]],'Base Schedules'!$A$205:$AW$241,20,FALSE)="","",VLOOKUP(Wed_W1[[#This Row],[Employee Name]],'Base Schedules'!$A$205:$AW$241,20,FALSE)),"")</f>
        <v>HL</v>
      </c>
      <c r="V26" s="184" t="str">
        <f>IFERROR(IF(VLOOKUP(Wed_W1[[#This Row],[Employee Name]],'Base Schedules'!$A$205:$AW$241,21,FALSE)="","",VLOOKUP(Wed_W1[[#This Row],[Employee Name]],'Base Schedules'!$A$205:$AW$241,21,FALSE)),"")</f>
        <v>HL</v>
      </c>
      <c r="W26" s="184" t="str">
        <f>IFERROR(IF(VLOOKUP(Wed_W1[[#This Row],[Employee Name]],'Base Schedules'!$A$205:$AW$241,22,FALSE)="","",VLOOKUP(Wed_W1[[#This Row],[Employee Name]],'Base Schedules'!$A$205:$AW$241,22,FALSE)),"")</f>
        <v>HL</v>
      </c>
      <c r="X26" s="184" t="str">
        <f>IFERROR(IF(VLOOKUP(Wed_W1[[#This Row],[Employee Name]],'Base Schedules'!$A$205:$AW$241,23,FALSE)="","",VLOOKUP(Wed_W1[[#This Row],[Employee Name]],'Base Schedules'!$A$205:$AW$241,23,FALSE)),"")</f>
        <v>HL B1</v>
      </c>
      <c r="Y26" s="184" t="str">
        <f>IFERROR(IF(VLOOKUP(Wed_W1[[#This Row],[Employee Name]],'Base Schedules'!$A$205:$AW$241,24,FALSE)="","",VLOOKUP(Wed_W1[[#This Row],[Employee Name]],'Base Schedules'!$A$205:$AW$241,24,FALSE)),"")</f>
        <v>ADM</v>
      </c>
      <c r="Z26" s="184" t="str">
        <f>IFERROR(IF(VLOOKUP(Wed_W1[[#This Row],[Employee Name]],'Base Schedules'!$A$205:$AW$241,25,FALSE)="","",VLOOKUP(Wed_W1[[#This Row],[Employee Name]],'Base Schedules'!$A$205:$AW$241,25,FALSE)),"")</f>
        <v>ADM</v>
      </c>
      <c r="AA26" s="184" t="str">
        <f>IFERROR(IF(VLOOKUP(Wed_W1[[#This Row],[Employee Name]],'Base Schedules'!$A$205:$AW$241,26,FALSE)="","",VLOOKUP(Wed_W1[[#This Row],[Employee Name]],'Base Schedules'!$A$205:$AW$241,26,FALSE)),"")</f>
        <v>ADM</v>
      </c>
      <c r="AB26" s="184" t="str">
        <f>IFERROR(IF(VLOOKUP(Wed_W1[[#This Row],[Employee Name]],'Base Schedules'!$A$205:$AW$241,27,FALSE)="","",VLOOKUP(Wed_W1[[#This Row],[Employee Name]],'Base Schedules'!$A$205:$AW$241,27,FALSE)),"")</f>
        <v>LUNCH</v>
      </c>
      <c r="AC26" s="184" t="str">
        <f>IFERROR(IF(VLOOKUP(Wed_W1[[#This Row],[Employee Name]],'Base Schedules'!$A$205:$AW$241,28,FALSE)="","",VLOOKUP(Wed_W1[[#This Row],[Employee Name]],'Base Schedules'!$A$205:$AW$241,28,FALSE)),"")</f>
        <v>LUNCH</v>
      </c>
      <c r="AD26" s="184" t="str">
        <f>IFERROR(IF(VLOOKUP(Wed_W1[[#This Row],[Employee Name]],'Base Schedules'!$A$205:$AW$241,29,FALSE)="","",VLOOKUP(Wed_W1[[#This Row],[Employee Name]],'Base Schedules'!$A$205:$AW$241,29,FALSE)),"")</f>
        <v>RNNR</v>
      </c>
      <c r="AE26" s="184" t="str">
        <f>IFERROR(IF(VLOOKUP(Wed_W1[[#This Row],[Employee Name]],'Base Schedules'!$A$205:$AW$241,30,FALSE)="","",VLOOKUP(Wed_W1[[#This Row],[Employee Name]],'Base Schedules'!$A$205:$AW$241,30,FALSE)),"")</f>
        <v>RNNR</v>
      </c>
      <c r="AF26" s="184" t="str">
        <f>IFERROR(IF(VLOOKUP(Wed_W1[[#This Row],[Employee Name]],'Base Schedules'!$A$205:$AW$241,31,FALSE)="","",VLOOKUP(Wed_W1[[#This Row],[Employee Name]],'Base Schedules'!$A$205:$AW$241,31,FALSE)),"")</f>
        <v>HL</v>
      </c>
      <c r="AG26" s="184" t="str">
        <f>IFERROR(IF(VLOOKUP(Wed_W1[[#This Row],[Employee Name]],'Base Schedules'!$A$205:$AW$241,32,FALSE)="","",VLOOKUP(Wed_W1[[#This Row],[Employee Name]],'Base Schedules'!$A$205:$AW$241,32,FALSE)),"")</f>
        <v>ADM</v>
      </c>
      <c r="AH26" s="184" t="str">
        <f>IFERROR(IF(VLOOKUP(Wed_W1[[#This Row],[Employee Name]],'Base Schedules'!$A$205:$AW$241,33,FALSE)="","",VLOOKUP(Wed_W1[[#This Row],[Employee Name]],'Base Schedules'!$A$205:$AW$241,33,FALSE)),"")</f>
        <v>B2 HL</v>
      </c>
      <c r="AI26" s="184" t="str">
        <f>IFERROR(IF(VLOOKUP(Wed_W1[[#This Row],[Employee Name]],'Base Schedules'!$A$205:$AW$241,34,FALSE)="","",VLOOKUP(Wed_W1[[#This Row],[Employee Name]],'Base Schedules'!$A$205:$AW$241,34,FALSE)),"")</f>
        <v>HL</v>
      </c>
      <c r="AJ26" s="184" t="str">
        <f>IFERROR(IF(VLOOKUP(Wed_W1[[#This Row],[Employee Name]],'Base Schedules'!$A$205:$AW$241,35,FALSE)="","",VLOOKUP(Wed_W1[[#This Row],[Employee Name]],'Base Schedules'!$A$205:$AW$241,35,FALSE)),"")</f>
        <v>HL</v>
      </c>
      <c r="AK26" s="184" t="str">
        <f>IFERROR(IF(VLOOKUP(Wed_W1[[#This Row],[Employee Name]],'Base Schedules'!$A$205:$AW$241,36,FALSE)="","",VLOOKUP(Wed_W1[[#This Row],[Employee Name]],'Base Schedules'!$A$205:$AW$241,36,FALSE)),"")</f>
        <v>ADM</v>
      </c>
      <c r="AL26" s="184" t="str">
        <f>IFERROR(IF(VLOOKUP(Wed_W1[[#This Row],[Employee Name]],'Base Schedules'!$A$205:$AW$241,37,FALSE)="","",VLOOKUP(Wed_W1[[#This Row],[Employee Name]],'Base Schedules'!$A$205:$AW$241,37,FALSE)),"")</f>
        <v/>
      </c>
      <c r="AM26" s="184" t="str">
        <f>IFERROR(IF(VLOOKUP(Wed_W1[[#This Row],[Employee Name]],'Base Schedules'!$A$205:$AW$241,38,FALSE)="","",VLOOKUP(Wed_W1[[#This Row],[Employee Name]],'Base Schedules'!$A$205:$AW$241,38,FALSE)),"")</f>
        <v/>
      </c>
      <c r="AN26" s="184" t="str">
        <f>IFERROR(IF(VLOOKUP(Wed_W1[[#This Row],[Employee Name]],'Base Schedules'!$A$205:$AW$241,39,FALSE)="","",VLOOKUP(Wed_W1[[#This Row],[Employee Name]],'Base Schedules'!$A$205:$AW$241,39,FALSE)),"")</f>
        <v/>
      </c>
      <c r="AO26" s="184" t="str">
        <f>IFERROR(IF(VLOOKUP(Wed_W1[[#This Row],[Employee Name]],'Base Schedules'!$A$205:$AW$241,40,FALSE)="","",VLOOKUP(Wed_W1[[#This Row],[Employee Name]],'Base Schedules'!$A$205:$AW$241,40,FALSE)),"")</f>
        <v/>
      </c>
      <c r="AP26" s="184" t="str">
        <f>IFERROR(IF(VLOOKUP(Wed_W1[[#This Row],[Employee Name]],'Base Schedules'!$A$205:$AW$241,41,FALSE)="","",VLOOKUP(Wed_W1[[#This Row],[Employee Name]],'Base Schedules'!$A$205:$AW$241,41,FALSE)),"")</f>
        <v/>
      </c>
      <c r="AQ26" s="184" t="str">
        <f>IFERROR(IF(VLOOKUP(Wed_W1[[#This Row],[Employee Name]],'Base Schedules'!$A$205:$AW$241,42,FALSE)="","",VLOOKUP(Wed_W1[[#This Row],[Employee Name]],'Base Schedules'!$A$205:$AW$241,42,FALSE)),"")</f>
        <v/>
      </c>
      <c r="AR26" s="184" t="str">
        <f>IFERROR(IF(VLOOKUP(Wed_W1[[#This Row],[Employee Name]],'Base Schedules'!$A$205:$AW$241,43,FALSE)="","",VLOOKUP(Wed_W1[[#This Row],[Employee Name]],'Base Schedules'!$A$205:$AW$241,43,FALSE)),"")</f>
        <v/>
      </c>
      <c r="AS26" s="184" t="str">
        <f>IFERROR(IF(VLOOKUP(Wed_W1[[#This Row],[Employee Name]],'Base Schedules'!$A$205:$AW$241,44,FALSE)="","",VLOOKUP(Wed_W1[[#This Row],[Employee Name]],'Base Schedules'!$A$205:$AW$241,44,FALSE)),"")</f>
        <v/>
      </c>
      <c r="AT26" s="184" t="str">
        <f>IFERROR(IF(VLOOKUP(Wed_W1[[#This Row],[Employee Name]],'Base Schedules'!$A$205:$AW$241,45,FALSE)="","",VLOOKUP(Wed_W1[[#This Row],[Employee Name]],'Base Schedules'!$A$205:$AW$241,45,FALSE)),"")</f>
        <v/>
      </c>
      <c r="AU26" s="184" t="str">
        <f>IFERROR(IF(VLOOKUP(Wed_W1[[#This Row],[Employee Name]],'Base Schedules'!$A$205:$AW$241,46,FALSE)="","",VLOOKUP(Wed_W1[[#This Row],[Employee Name]],'Base Schedules'!$A$205:$AW$241,46,FALSE)),"")</f>
        <v/>
      </c>
      <c r="AV26" s="184" t="str">
        <f>IFERROR(IF(VLOOKUP(Wed_W1[[#This Row],[Employee Name]],'Base Schedules'!$A$205:$AW$241,47,FALSE)="","",VLOOKUP(Wed_W1[[#This Row],[Employee Name]],'Base Schedules'!$A$205:$AW$241,47,FALSE)),"")</f>
        <v/>
      </c>
      <c r="AW26" s="184" t="str">
        <f>IFERROR(IF(VLOOKUP(Wed_W1[[#This Row],[Employee Name]],'Base Schedules'!$A$205:$AW$241,48,FALSE)="","",VLOOKUP(Wed_W1[[#This Row],[Employee Name]],'Base Schedules'!$A$205:$AW$241,48,FALSE)),"")</f>
        <v/>
      </c>
      <c r="AX26" s="184" t="str">
        <f>IFERROR(IF(VLOOKUP(Wed_W1[[#This Row],[Employee Name]],'Base Schedules'!$A$205:$AW$241,49,FALSE)="","",VLOOKUP(Wed_W1[[#This Row],[Employee Name]],'Base Schedules'!$A$205:$AW$241,49,FALSE)),"")</f>
        <v/>
      </c>
      <c r="AY26" s="164" t="str">
        <f t="shared" si="2"/>
        <v>Slagle, Natasha</v>
      </c>
    </row>
    <row r="27" spans="1:51" s="44" customFormat="1" ht="12" x14ac:dyDescent="0.2">
      <c r="A27" s="39" t="str">
        <f>IF(B27="","",INDEX(TeamList[],MATCH($B27,TeamList[[Employee Name]:[Employee Name]],0),MATCH("Manager",TeamList[#Headers],0)))</f>
        <v>Olson, Katherine</v>
      </c>
      <c r="B27" s="201" t="s">
        <v>67</v>
      </c>
      <c r="C27" s="257" t="str">
        <f>_xlfn.IFNA(VLOOKUP(Wed_W1[[#This Row],[Employee Name]],'Base Schedules'!A:B,2,FALSE),"")</f>
        <v>Lead</v>
      </c>
      <c r="D27" s="274">
        <f>_xlfn.IFNA(VLOOKUP(Wed_W1[[#This Row],[Employee Name]],'Base Schedules'!A:C,3,FALSE),"")</f>
        <v>1030</v>
      </c>
      <c r="E27" s="274">
        <f>_xlfn.IFNA(VLOOKUP(Wed_W1[[#This Row],[Employee Name]],'Base Schedules'!A:D,4,FALSE),"")</f>
        <v>1900</v>
      </c>
      <c r="F27" s="142">
        <f>IF(Wed_W1[[#This Row],[Employee Name]]="","",IF(Wed_W1[[#This Row],[Dept]]="Supervisor",COUNTIFS($J27:$AX27,"*HL*",$J27:$AX27,"&lt;&gt;"&amp;"pHL"),COUNTIFS($J27:$AX27,"*HL*",$J27:$AX27,"&lt;&gt;"&amp;"*pHL*",$J27:$AX27,"&lt;&gt;"&amp;"pB1 HL",$J27:$AX27,"&lt;&gt;"&amp;"pB2 HL")-SUM(COUNTIFS($J27:$AX27,"*HL B1*",$J27:$AX27,"&lt;&gt;"&amp;"pHL B1")*0.5,COUNTIFS($J27:$AX27,"*HL B2*",$J27:$AX27,"&lt;&gt;"&amp;"pHL B2")*0.5,COUNTIFS($J27:$AX27,"*B1 HL*",$J27:$AX27,"&lt;&gt;"&amp;"pB1 HL")*0.5,COUNTIFS($J27:$AX27,"*B2 HL*",$J27:$AX27,"&lt;&gt;"&amp;"pB2 HL")*0.5)))</f>
        <v>6.5</v>
      </c>
      <c r="G27" s="142">
        <f t="shared" si="0"/>
        <v>0</v>
      </c>
      <c r="H27" s="142">
        <f t="shared" si="1"/>
        <v>7</v>
      </c>
      <c r="I27" s="142">
        <f>IF(Wed_W1[[#This Row],[Employee Name]]="","",IF(Wed_W1[[#This Row],[Dept]]="Supervisor",SUM(COUNTIFS($J27:$AX27,"RTA*",$J27:$AX27,"&lt;&gt;"&amp;"pRTA"),COUNTIFS($J27:$AX27,"*CRTA*",$J27:$AX27,"&lt;&gt;"&amp;"pCRTA")),COUNTIFS($J27:$AX27,"*RNNR*",$J27:$AX27,"&lt;&gt;"&amp;"*pRNNR*",$J27:$AX27,"&lt;&gt;"&amp;"pB1 RNNR",$J27:$AX27,"&lt;&gt;"&amp;"pB2 RNNR")-SUM(COUNTIFS($J27:$AX27,"*RNNR B1*",$J27:$AX27,"&lt;&gt;"&amp;"pRNNR B1")*0.5,COUNTIFS($J27:$AX27,"*RNNR B2*",$J27:$AX27,"&lt;&gt;"&amp;"pRNNR B2")*0.5,COUNTIFS($J27:$AX27,"*B1 RNNR*",$J27:$AX27,"&lt;&gt;"&amp;"pB1 RNNR")*0.5,COUNTIFS($J27:$AX27,"*B2 RNNR*",$J27:$AX27,"&lt;&gt;"&amp;"pB2 RNNR")*0.5)))</f>
        <v>2</v>
      </c>
      <c r="J27" s="184" t="str">
        <f>IFERROR(IF(VLOOKUP(Wed_W1[[#This Row],[Employee Name]],'Base Schedules'!$A$205:$AW$241,9,FALSE)="","",VLOOKUP(Wed_W1[[#This Row],[Employee Name]],'Base Schedules'!$A$205:$AW$241,9,FALSE)),"")</f>
        <v/>
      </c>
      <c r="K27" s="184" t="str">
        <f>IFERROR(IF(VLOOKUP(Wed_W1[[#This Row],[Employee Name]],'Base Schedules'!$A$205:$AW$241,10,FALSE)="","",VLOOKUP(Wed_W1[[#This Row],[Employee Name]],'Base Schedules'!$A$205:$AW$241,10,FALSE)),"")</f>
        <v/>
      </c>
      <c r="L27" s="184" t="str">
        <f>IFERROR(IF(VLOOKUP(Wed_W1[[#This Row],[Employee Name]],'Base Schedules'!$A$205:$AW$241,11,FALSE)="","",VLOOKUP(Wed_W1[[#This Row],[Employee Name]],'Base Schedules'!$A$205:$AW$241,11,FALSE)),"")</f>
        <v/>
      </c>
      <c r="M27" s="184" t="str">
        <f>IFERROR(IF(VLOOKUP(Wed_W1[[#This Row],[Employee Name]],'Base Schedules'!$A$205:$AW$241,12,FALSE)="","",VLOOKUP(Wed_W1[[#This Row],[Employee Name]],'Base Schedules'!$A$205:$AW$241,12,FALSE)),"")</f>
        <v/>
      </c>
      <c r="N27" s="184" t="str">
        <f>IFERROR(IF(VLOOKUP(Wed_W1[[#This Row],[Employee Name]],'Base Schedules'!$A$205:$AW$241,13,FALSE)="","",VLOOKUP(Wed_W1[[#This Row],[Employee Name]],'Base Schedules'!$A$205:$AW$241,13,FALSE)),"")</f>
        <v/>
      </c>
      <c r="O27" s="184" t="str">
        <f>IFERROR(IF(VLOOKUP(Wed_W1[[#This Row],[Employee Name]],'Base Schedules'!$A$205:$AW$241,14,FALSE)="","",VLOOKUP(Wed_W1[[#This Row],[Employee Name]],'Base Schedules'!$A$205:$AW$241,14,FALSE)),"")</f>
        <v/>
      </c>
      <c r="P27" s="184" t="str">
        <f>IFERROR(IF(VLOOKUP(Wed_W1[[#This Row],[Employee Name]],'Base Schedules'!$A$205:$AW$241,15,FALSE)="","",VLOOKUP(Wed_W1[[#This Row],[Employee Name]],'Base Schedules'!$A$205:$AW$241,15,FALSE)),"")</f>
        <v/>
      </c>
      <c r="Q27" s="184" t="str">
        <f>IFERROR(IF(VLOOKUP(Wed_W1[[#This Row],[Employee Name]],'Base Schedules'!$A$205:$AW$241,16,FALSE)="","",VLOOKUP(Wed_W1[[#This Row],[Employee Name]],'Base Schedules'!$A$205:$AW$241,16,FALSE)),"")</f>
        <v/>
      </c>
      <c r="R27" s="184" t="str">
        <f>IFERROR(IF(VLOOKUP(Wed_W1[[#This Row],[Employee Name]],'Base Schedules'!$A$205:$AW$241,17,FALSE)="","",VLOOKUP(Wed_W1[[#This Row],[Employee Name]],'Base Schedules'!$A$205:$AW$241,17,FALSE)),"")</f>
        <v/>
      </c>
      <c r="S27" s="184" t="str">
        <f>IFERROR(IF(VLOOKUP(Wed_W1[[#This Row],[Employee Name]],'Base Schedules'!$A$205:$AW$241,18,FALSE)="","",VLOOKUP(Wed_W1[[#This Row],[Employee Name]],'Base Schedules'!$A$205:$AW$241,18,FALSE)),"")</f>
        <v/>
      </c>
      <c r="T27" s="184" t="str">
        <f>IFERROR(IF(VLOOKUP(Wed_W1[[#This Row],[Employee Name]],'Base Schedules'!$A$205:$AW$241,19,FALSE)="","",VLOOKUP(Wed_W1[[#This Row],[Employee Name]],'Base Schedules'!$A$205:$AW$241,19,FALSE)),"")</f>
        <v/>
      </c>
      <c r="U27" s="184" t="str">
        <f>IFERROR(IF(VLOOKUP(Wed_W1[[#This Row],[Employee Name]],'Base Schedules'!$A$205:$AW$241,20,FALSE)="","",VLOOKUP(Wed_W1[[#This Row],[Employee Name]],'Base Schedules'!$A$205:$AW$241,20,FALSE)),"")</f>
        <v>ADM</v>
      </c>
      <c r="V27" s="184" t="str">
        <f>IFERROR(IF(VLOOKUP(Wed_W1[[#This Row],[Employee Name]],'Base Schedules'!$A$205:$AW$241,21,FALSE)="","",VLOOKUP(Wed_W1[[#This Row],[Employee Name]],'Base Schedules'!$A$205:$AW$241,21,FALSE)),"")</f>
        <v>HL</v>
      </c>
      <c r="W27" s="184" t="str">
        <f>IFERROR(IF(VLOOKUP(Wed_W1[[#This Row],[Employee Name]],'Base Schedules'!$A$205:$AW$241,22,FALSE)="","",VLOOKUP(Wed_W1[[#This Row],[Employee Name]],'Base Schedules'!$A$205:$AW$241,22,FALSE)),"")</f>
        <v>HL</v>
      </c>
      <c r="X27" s="184" t="str">
        <f>IFERROR(IF(VLOOKUP(Wed_W1[[#This Row],[Employee Name]],'Base Schedules'!$A$205:$AW$241,23,FALSE)="","",VLOOKUP(Wed_W1[[#This Row],[Employee Name]],'Base Schedules'!$A$205:$AW$241,23,FALSE)),"")</f>
        <v>HL</v>
      </c>
      <c r="Y27" s="184" t="str">
        <f>IFERROR(IF(VLOOKUP(Wed_W1[[#This Row],[Employee Name]],'Base Schedules'!$A$205:$AW$241,24,FALSE)="","",VLOOKUP(Wed_W1[[#This Row],[Employee Name]],'Base Schedules'!$A$205:$AW$241,24,FALSE)),"")</f>
        <v>B1 HL</v>
      </c>
      <c r="Z27" s="184" t="str">
        <f>IFERROR(IF(VLOOKUP(Wed_W1[[#This Row],[Employee Name]],'Base Schedules'!$A$205:$AW$241,25,FALSE)="","",VLOOKUP(Wed_W1[[#This Row],[Employee Name]],'Base Schedules'!$A$205:$AW$241,25,FALSE)),"")</f>
        <v>RNNR</v>
      </c>
      <c r="AA27" s="184" t="str">
        <f>IFERROR(IF(VLOOKUP(Wed_W1[[#This Row],[Employee Name]],'Base Schedules'!$A$205:$AW$241,26,FALSE)="","",VLOOKUP(Wed_W1[[#This Row],[Employee Name]],'Base Schedules'!$A$205:$AW$241,26,FALSE)),"")</f>
        <v>RNNR</v>
      </c>
      <c r="AB27" s="184" t="str">
        <f>IFERROR(IF(VLOOKUP(Wed_W1[[#This Row],[Employee Name]],'Base Schedules'!$A$205:$AW$241,27,FALSE)="","",VLOOKUP(Wed_W1[[#This Row],[Employee Name]],'Base Schedules'!$A$205:$AW$241,27,FALSE)),"")</f>
        <v>ADM</v>
      </c>
      <c r="AC27" s="184" t="str">
        <f>IFERROR(IF(VLOOKUP(Wed_W1[[#This Row],[Employee Name]],'Base Schedules'!$A$205:$AW$241,28,FALSE)="","",VLOOKUP(Wed_W1[[#This Row],[Employee Name]],'Base Schedules'!$A$205:$AW$241,28,FALSE)),"")</f>
        <v>LUNCH</v>
      </c>
      <c r="AD27" s="184" t="str">
        <f>IFERROR(IF(VLOOKUP(Wed_W1[[#This Row],[Employee Name]],'Base Schedules'!$A$205:$AW$241,29,FALSE)="","",VLOOKUP(Wed_W1[[#This Row],[Employee Name]],'Base Schedules'!$A$205:$AW$241,29,FALSE)),"")</f>
        <v>HL</v>
      </c>
      <c r="AE27" s="184" t="str">
        <f>IFERROR(IF(VLOOKUP(Wed_W1[[#This Row],[Employee Name]],'Base Schedules'!$A$205:$AW$241,30,FALSE)="","",VLOOKUP(Wed_W1[[#This Row],[Employee Name]],'Base Schedules'!$A$205:$AW$241,30,FALSE)),"")</f>
        <v>HL</v>
      </c>
      <c r="AF27" s="184" t="str">
        <f>IFERROR(IF(VLOOKUP(Wed_W1[[#This Row],[Employee Name]],'Base Schedules'!$A$205:$AW$241,31,FALSE)="","",VLOOKUP(Wed_W1[[#This Row],[Employee Name]],'Base Schedules'!$A$205:$AW$241,31,FALSE)),"")</f>
        <v>ADM</v>
      </c>
      <c r="AG27" s="184" t="str">
        <f>IFERROR(IF(VLOOKUP(Wed_W1[[#This Row],[Employee Name]],'Base Schedules'!$A$205:$AW$241,32,FALSE)="","",VLOOKUP(Wed_W1[[#This Row],[Employee Name]],'Base Schedules'!$A$205:$AW$241,32,FALSE)),"")</f>
        <v>ADM B2</v>
      </c>
      <c r="AH27" s="184" t="str">
        <f>IFERROR(IF(VLOOKUP(Wed_W1[[#This Row],[Employee Name]],'Base Schedules'!$A$205:$AW$241,33,FALSE)="","",VLOOKUP(Wed_W1[[#This Row],[Employee Name]],'Base Schedules'!$A$205:$AW$241,33,FALSE)),"")</f>
        <v>ADM</v>
      </c>
      <c r="AI27" s="184" t="str">
        <f>IFERROR(IF(VLOOKUP(Wed_W1[[#This Row],[Employee Name]],'Base Schedules'!$A$205:$AW$241,34,FALSE)="","",VLOOKUP(Wed_W1[[#This Row],[Employee Name]],'Base Schedules'!$A$205:$AW$241,34,FALSE)),"")</f>
        <v>ADM</v>
      </c>
      <c r="AJ27" s="184" t="str">
        <f>IFERROR(IF(VLOOKUP(Wed_W1[[#This Row],[Employee Name]],'Base Schedules'!$A$205:$AW$241,35,FALSE)="","",VLOOKUP(Wed_W1[[#This Row],[Employee Name]],'Base Schedules'!$A$205:$AW$241,35,FALSE)),"")</f>
        <v>ADM</v>
      </c>
      <c r="AK27" s="184" t="str">
        <f>IFERROR(IF(VLOOKUP(Wed_W1[[#This Row],[Employee Name]],'Base Schedules'!$A$205:$AW$241,36,FALSE)="","",VLOOKUP(Wed_W1[[#This Row],[Employee Name]],'Base Schedules'!$A$205:$AW$241,36,FALSE)),"")</f>
        <v>HL</v>
      </c>
      <c r="AL27" s="184" t="str">
        <f>IFERROR(IF(VLOOKUP(Wed_W1[[#This Row],[Employee Name]],'Base Schedules'!$A$205:$AW$241,37,FALSE)="","",VLOOKUP(Wed_W1[[#This Row],[Employee Name]],'Base Schedules'!$A$205:$AW$241,37,FALSE)),"")</f>
        <v/>
      </c>
      <c r="AM27" s="184" t="str">
        <f>IFERROR(IF(VLOOKUP(Wed_W1[[#This Row],[Employee Name]],'Base Schedules'!$A$205:$AW$241,38,FALSE)="","",VLOOKUP(Wed_W1[[#This Row],[Employee Name]],'Base Schedules'!$A$205:$AW$241,38,FALSE)),"")</f>
        <v/>
      </c>
      <c r="AN27" s="184" t="str">
        <f>IFERROR(IF(VLOOKUP(Wed_W1[[#This Row],[Employee Name]],'Base Schedules'!$A$205:$AW$241,39,FALSE)="","",VLOOKUP(Wed_W1[[#This Row],[Employee Name]],'Base Schedules'!$A$205:$AW$241,39,FALSE)),"")</f>
        <v/>
      </c>
      <c r="AO27" s="184" t="str">
        <f>IFERROR(IF(VLOOKUP(Wed_W1[[#This Row],[Employee Name]],'Base Schedules'!$A$205:$AW$241,40,FALSE)="","",VLOOKUP(Wed_W1[[#This Row],[Employee Name]],'Base Schedules'!$A$205:$AW$241,40,FALSE)),"")</f>
        <v/>
      </c>
      <c r="AP27" s="184" t="str">
        <f>IFERROR(IF(VLOOKUP(Wed_W1[[#This Row],[Employee Name]],'Base Schedules'!$A$205:$AW$241,41,FALSE)="","",VLOOKUP(Wed_W1[[#This Row],[Employee Name]],'Base Schedules'!$A$205:$AW$241,41,FALSE)),"")</f>
        <v/>
      </c>
      <c r="AQ27" s="184" t="str">
        <f>IFERROR(IF(VLOOKUP(Wed_W1[[#This Row],[Employee Name]],'Base Schedules'!$A$205:$AW$241,42,FALSE)="","",VLOOKUP(Wed_W1[[#This Row],[Employee Name]],'Base Schedules'!$A$205:$AW$241,42,FALSE)),"")</f>
        <v/>
      </c>
      <c r="AR27" s="184" t="str">
        <f>IFERROR(IF(VLOOKUP(Wed_W1[[#This Row],[Employee Name]],'Base Schedules'!$A$205:$AW$241,43,FALSE)="","",VLOOKUP(Wed_W1[[#This Row],[Employee Name]],'Base Schedules'!$A$205:$AW$241,43,FALSE)),"")</f>
        <v/>
      </c>
      <c r="AS27" s="184" t="str">
        <f>IFERROR(IF(VLOOKUP(Wed_W1[[#This Row],[Employee Name]],'Base Schedules'!$A$205:$AW$241,44,FALSE)="","",VLOOKUP(Wed_W1[[#This Row],[Employee Name]],'Base Schedules'!$A$205:$AW$241,44,FALSE)),"")</f>
        <v/>
      </c>
      <c r="AT27" s="184" t="str">
        <f>IFERROR(IF(VLOOKUP(Wed_W1[[#This Row],[Employee Name]],'Base Schedules'!$A$205:$AW$241,45,FALSE)="","",VLOOKUP(Wed_W1[[#This Row],[Employee Name]],'Base Schedules'!$A$205:$AW$241,45,FALSE)),"")</f>
        <v/>
      </c>
      <c r="AU27" s="184" t="str">
        <f>IFERROR(IF(VLOOKUP(Wed_W1[[#This Row],[Employee Name]],'Base Schedules'!$A$205:$AW$241,46,FALSE)="","",VLOOKUP(Wed_W1[[#This Row],[Employee Name]],'Base Schedules'!$A$205:$AW$241,46,FALSE)),"")</f>
        <v/>
      </c>
      <c r="AV27" s="184" t="str">
        <f>IFERROR(IF(VLOOKUP(Wed_W1[[#This Row],[Employee Name]],'Base Schedules'!$A$205:$AW$241,47,FALSE)="","",VLOOKUP(Wed_W1[[#This Row],[Employee Name]],'Base Schedules'!$A$205:$AW$241,47,FALSE)),"")</f>
        <v/>
      </c>
      <c r="AW27" s="184" t="str">
        <f>IFERROR(IF(VLOOKUP(Wed_W1[[#This Row],[Employee Name]],'Base Schedules'!$A$205:$AW$241,48,FALSE)="","",VLOOKUP(Wed_W1[[#This Row],[Employee Name]],'Base Schedules'!$A$205:$AW$241,48,FALSE)),"")</f>
        <v/>
      </c>
      <c r="AX27" s="184" t="str">
        <f>IFERROR(IF(VLOOKUP(Wed_W1[[#This Row],[Employee Name]],'Base Schedules'!$A$205:$AW$241,49,FALSE)="","",VLOOKUP(Wed_W1[[#This Row],[Employee Name]],'Base Schedules'!$A$205:$AW$241,49,FALSE)),"")</f>
        <v/>
      </c>
      <c r="AY27" s="164" t="str">
        <f t="shared" si="2"/>
        <v>Qualman, Sophy</v>
      </c>
    </row>
    <row r="28" spans="1:51" s="44" customFormat="1" ht="12" x14ac:dyDescent="0.2">
      <c r="A28" s="39" t="str">
        <f>IF(B28="","",INDEX(TeamList[],MATCH($B28,TeamList[[Employee Name]:[Employee Name]],0),MATCH("Manager",TeamList[#Headers],0)))</f>
        <v>Olson, Katherine</v>
      </c>
      <c r="B28" s="201" t="s">
        <v>30</v>
      </c>
      <c r="C28" s="257" t="str">
        <f>_xlfn.IFNA(VLOOKUP(Wed_W1[[#This Row],[Employee Name]],'Base Schedules'!A:B,2,FALSE),"")</f>
        <v>Lead</v>
      </c>
      <c r="D28" s="274">
        <f>_xlfn.IFNA(VLOOKUP(Wed_W1[[#This Row],[Employee Name]],'Base Schedules'!A:C,3,FALSE),"")</f>
        <v>1100</v>
      </c>
      <c r="E28" s="274">
        <f>_xlfn.IFNA(VLOOKUP(Wed_W1[[#This Row],[Employee Name]],'Base Schedules'!A:D,4,FALSE),"")</f>
        <v>2000</v>
      </c>
      <c r="F28" s="142">
        <f>IF(Wed_W1[[#This Row],[Employee Name]]="","",IF(Wed_W1[[#This Row],[Dept]]="Supervisor",COUNTIFS($J28:$AX28,"*HL*",$J28:$AX28,"&lt;&gt;"&amp;"pHL"),COUNTIFS($J28:$AX28,"*HL*",$J28:$AX28,"&lt;&gt;"&amp;"*pHL*",$J28:$AX28,"&lt;&gt;"&amp;"pB1 HL",$J28:$AX28,"&lt;&gt;"&amp;"pB2 HL")-SUM(COUNTIFS($J28:$AX28,"*HL B1*",$J28:$AX28,"&lt;&gt;"&amp;"pHL B1")*0.5,COUNTIFS($J28:$AX28,"*HL B2*",$J28:$AX28,"&lt;&gt;"&amp;"pHL B2")*0.5,COUNTIFS($J28:$AX28,"*B1 HL*",$J28:$AX28,"&lt;&gt;"&amp;"pB1 HL")*0.5,COUNTIFS($J28:$AX28,"*B2 HL*",$J28:$AX28,"&lt;&gt;"&amp;"pB2 HL")*0.5)))</f>
        <v>5.5</v>
      </c>
      <c r="G28" s="142">
        <f t="shared" si="0"/>
        <v>0</v>
      </c>
      <c r="H28" s="142">
        <f t="shared" si="1"/>
        <v>6</v>
      </c>
      <c r="I28" s="142">
        <f>IF(Wed_W1[[#This Row],[Employee Name]]="","",IF(Wed_W1[[#This Row],[Dept]]="Supervisor",SUM(COUNTIFS($J28:$AX28,"RTA*",$J28:$AX28,"&lt;&gt;"&amp;"pRTA"),COUNTIFS($J28:$AX28,"*CRTA*",$J28:$AX28,"&lt;&gt;"&amp;"pCRTA")),COUNTIFS($J28:$AX28,"*RNNR*",$J28:$AX28,"&lt;&gt;"&amp;"*pRNNR*",$J28:$AX28,"&lt;&gt;"&amp;"pB1 RNNR",$J28:$AX28,"&lt;&gt;"&amp;"pB2 RNNR")-SUM(COUNTIFS($J28:$AX28,"*RNNR B1*",$J28:$AX28,"&lt;&gt;"&amp;"pRNNR B1")*0.5,COUNTIFS($J28:$AX28,"*RNNR B2*",$J28:$AX28,"&lt;&gt;"&amp;"pRNNR B2")*0.5,COUNTIFS($J28:$AX28,"*B1 RNNR*",$J28:$AX28,"&lt;&gt;"&amp;"pB1 RNNR")*0.5,COUNTIFS($J28:$AX28,"*B2 RNNR*",$J28:$AX28,"&lt;&gt;"&amp;"pB2 RNNR")*0.5)))</f>
        <v>2</v>
      </c>
      <c r="J28" s="184" t="str">
        <f>IFERROR(IF(VLOOKUP(Wed_W1[[#This Row],[Employee Name]],'Base Schedules'!$A$205:$AW$241,9,FALSE)="","",VLOOKUP(Wed_W1[[#This Row],[Employee Name]],'Base Schedules'!$A$205:$AW$241,9,FALSE)),"")</f>
        <v/>
      </c>
      <c r="K28" s="184" t="str">
        <f>IFERROR(IF(VLOOKUP(Wed_W1[[#This Row],[Employee Name]],'Base Schedules'!$A$205:$AW$241,10,FALSE)="","",VLOOKUP(Wed_W1[[#This Row],[Employee Name]],'Base Schedules'!$A$205:$AW$241,10,FALSE)),"")</f>
        <v/>
      </c>
      <c r="L28" s="184" t="str">
        <f>IFERROR(IF(VLOOKUP(Wed_W1[[#This Row],[Employee Name]],'Base Schedules'!$A$205:$AW$241,11,FALSE)="","",VLOOKUP(Wed_W1[[#This Row],[Employee Name]],'Base Schedules'!$A$205:$AW$241,11,FALSE)),"")</f>
        <v/>
      </c>
      <c r="M28" s="184" t="str">
        <f>IFERROR(IF(VLOOKUP(Wed_W1[[#This Row],[Employee Name]],'Base Schedules'!$A$205:$AW$241,12,FALSE)="","",VLOOKUP(Wed_W1[[#This Row],[Employee Name]],'Base Schedules'!$A$205:$AW$241,12,FALSE)),"")</f>
        <v/>
      </c>
      <c r="N28" s="184" t="str">
        <f>IFERROR(IF(VLOOKUP(Wed_W1[[#This Row],[Employee Name]],'Base Schedules'!$A$205:$AW$241,13,FALSE)="","",VLOOKUP(Wed_W1[[#This Row],[Employee Name]],'Base Schedules'!$A$205:$AW$241,13,FALSE)),"")</f>
        <v/>
      </c>
      <c r="O28" s="184" t="str">
        <f>IFERROR(IF(VLOOKUP(Wed_W1[[#This Row],[Employee Name]],'Base Schedules'!$A$205:$AW$241,14,FALSE)="","",VLOOKUP(Wed_W1[[#This Row],[Employee Name]],'Base Schedules'!$A$205:$AW$241,14,FALSE)),"")</f>
        <v/>
      </c>
      <c r="P28" s="184" t="str">
        <f>IFERROR(IF(VLOOKUP(Wed_W1[[#This Row],[Employee Name]],'Base Schedules'!$A$205:$AW$241,15,FALSE)="","",VLOOKUP(Wed_W1[[#This Row],[Employee Name]],'Base Schedules'!$A$205:$AW$241,15,FALSE)),"")</f>
        <v/>
      </c>
      <c r="Q28" s="184" t="str">
        <f>IFERROR(IF(VLOOKUP(Wed_W1[[#This Row],[Employee Name]],'Base Schedules'!$A$205:$AW$241,16,FALSE)="","",VLOOKUP(Wed_W1[[#This Row],[Employee Name]],'Base Schedules'!$A$205:$AW$241,16,FALSE)),"")</f>
        <v/>
      </c>
      <c r="R28" s="184" t="str">
        <f>IFERROR(IF(VLOOKUP(Wed_W1[[#This Row],[Employee Name]],'Base Schedules'!$A$205:$AW$241,17,FALSE)="","",VLOOKUP(Wed_W1[[#This Row],[Employee Name]],'Base Schedules'!$A$205:$AW$241,17,FALSE)),"")</f>
        <v/>
      </c>
      <c r="S28" s="184" t="str">
        <f>IFERROR(IF(VLOOKUP(Wed_W1[[#This Row],[Employee Name]],'Base Schedules'!$A$205:$AW$241,18,FALSE)="","",VLOOKUP(Wed_W1[[#This Row],[Employee Name]],'Base Schedules'!$A$205:$AW$241,18,FALSE)),"")</f>
        <v/>
      </c>
      <c r="T28" s="184" t="str">
        <f>IFERROR(IF(VLOOKUP(Wed_W1[[#This Row],[Employee Name]],'Base Schedules'!$A$205:$AW$241,19,FALSE)="","",VLOOKUP(Wed_W1[[#This Row],[Employee Name]],'Base Schedules'!$A$205:$AW$241,19,FALSE)),"")</f>
        <v/>
      </c>
      <c r="U28" s="184" t="str">
        <f>IFERROR(IF(VLOOKUP(Wed_W1[[#This Row],[Employee Name]],'Base Schedules'!$A$205:$AW$241,20,FALSE)="","",VLOOKUP(Wed_W1[[#This Row],[Employee Name]],'Base Schedules'!$A$205:$AW$241,20,FALSE)),"")</f>
        <v/>
      </c>
      <c r="V28" s="184" t="str">
        <f>IFERROR(IF(VLOOKUP(Wed_W1[[#This Row],[Employee Name]],'Base Schedules'!$A$205:$AW$241,21,FALSE)="","",VLOOKUP(Wed_W1[[#This Row],[Employee Name]],'Base Schedules'!$A$205:$AW$241,21,FALSE)),"")</f>
        <v>ADM</v>
      </c>
      <c r="W28" s="184" t="str">
        <f>IFERROR(IF(VLOOKUP(Wed_W1[[#This Row],[Employee Name]],'Base Schedules'!$A$205:$AW$241,22,FALSE)="","",VLOOKUP(Wed_W1[[#This Row],[Employee Name]],'Base Schedules'!$A$205:$AW$241,22,FALSE)),"")</f>
        <v>ADM</v>
      </c>
      <c r="X28" s="184" t="str">
        <f>IFERROR(IF(VLOOKUP(Wed_W1[[#This Row],[Employee Name]],'Base Schedules'!$A$205:$AW$241,23,FALSE)="","",VLOOKUP(Wed_W1[[#This Row],[Employee Name]],'Base Schedules'!$A$205:$AW$241,23,FALSE)),"")</f>
        <v>PROJECT</v>
      </c>
      <c r="Y28" s="184" t="str">
        <f>IFERROR(IF(VLOOKUP(Wed_W1[[#This Row],[Employee Name]],'Base Schedules'!$A$205:$AW$241,24,FALSE)="","",VLOOKUP(Wed_W1[[#This Row],[Employee Name]],'Base Schedules'!$A$205:$AW$241,24,FALSE)),"")</f>
        <v>PROJECT</v>
      </c>
      <c r="Z28" s="184" t="str">
        <f>IFERROR(IF(VLOOKUP(Wed_W1[[#This Row],[Employee Name]],'Base Schedules'!$A$205:$AW$241,25,FALSE)="","",VLOOKUP(Wed_W1[[#This Row],[Employee Name]],'Base Schedules'!$A$205:$AW$241,25,FALSE)),"")</f>
        <v>ADM B1</v>
      </c>
      <c r="AA28" s="184" t="str">
        <f>IFERROR(IF(VLOOKUP(Wed_W1[[#This Row],[Employee Name]],'Base Schedules'!$A$205:$AW$241,26,FALSE)="","",VLOOKUP(Wed_W1[[#This Row],[Employee Name]],'Base Schedules'!$A$205:$AW$241,26,FALSE)),"")</f>
        <v>ADM</v>
      </c>
      <c r="AB28" s="184" t="str">
        <f>IFERROR(IF(VLOOKUP(Wed_W1[[#This Row],[Employee Name]],'Base Schedules'!$A$205:$AW$241,27,FALSE)="","",VLOOKUP(Wed_W1[[#This Row],[Employee Name]],'Base Schedules'!$A$205:$AW$241,27,FALSE)),"")</f>
        <v>HL</v>
      </c>
      <c r="AC28" s="184" t="str">
        <f>IFERROR(IF(VLOOKUP(Wed_W1[[#This Row],[Employee Name]],'Base Schedules'!$A$205:$AW$241,28,FALSE)="","",VLOOKUP(Wed_W1[[#This Row],[Employee Name]],'Base Schedules'!$A$205:$AW$241,28,FALSE)),"")</f>
        <v>ADM</v>
      </c>
      <c r="AD28" s="184" t="str">
        <f>IFERROR(IF(VLOOKUP(Wed_W1[[#This Row],[Employee Name]],'Base Schedules'!$A$205:$AW$241,29,FALSE)="","",VLOOKUP(Wed_W1[[#This Row],[Employee Name]],'Base Schedules'!$A$205:$AW$241,29,FALSE)),"")</f>
        <v>LUNCH</v>
      </c>
      <c r="AE28" s="184" t="str">
        <f>IFERROR(IF(VLOOKUP(Wed_W1[[#This Row],[Employee Name]],'Base Schedules'!$A$205:$AW$241,30,FALSE)="","",VLOOKUP(Wed_W1[[#This Row],[Employee Name]],'Base Schedules'!$A$205:$AW$241,30,FALSE)),"")</f>
        <v>ADM</v>
      </c>
      <c r="AF28" s="184" t="str">
        <f>IFERROR(IF(VLOOKUP(Wed_W1[[#This Row],[Employee Name]],'Base Schedules'!$A$205:$AW$241,31,FALSE)="","",VLOOKUP(Wed_W1[[#This Row],[Employee Name]],'Base Schedules'!$A$205:$AW$241,31,FALSE)),"")</f>
        <v>RNNR</v>
      </c>
      <c r="AG28" s="184" t="str">
        <f>IFERROR(IF(VLOOKUP(Wed_W1[[#This Row],[Employee Name]],'Base Schedules'!$A$205:$AW$241,32,FALSE)="","",VLOOKUP(Wed_W1[[#This Row],[Employee Name]],'Base Schedules'!$A$205:$AW$241,32,FALSE)),"")</f>
        <v>RNNR</v>
      </c>
      <c r="AH28" s="184" t="str">
        <f>IFERROR(IF(VLOOKUP(Wed_W1[[#This Row],[Employee Name]],'Base Schedules'!$A$205:$AW$241,33,FALSE)="","",VLOOKUP(Wed_W1[[#This Row],[Employee Name]],'Base Schedules'!$A$205:$AW$241,33,FALSE)),"")</f>
        <v>HL</v>
      </c>
      <c r="AI28" s="184" t="str">
        <f>IFERROR(IF(VLOOKUP(Wed_W1[[#This Row],[Employee Name]],'Base Schedules'!$A$205:$AW$241,34,FALSE)="","",VLOOKUP(Wed_W1[[#This Row],[Employee Name]],'Base Schedules'!$A$205:$AW$241,34,FALSE)),"")</f>
        <v>B2 HL</v>
      </c>
      <c r="AJ28" s="184" t="str">
        <f>IFERROR(IF(VLOOKUP(Wed_W1[[#This Row],[Employee Name]],'Base Schedules'!$A$205:$AW$241,35,FALSE)="","",VLOOKUP(Wed_W1[[#This Row],[Employee Name]],'Base Schedules'!$A$205:$AW$241,35,FALSE)),"")</f>
        <v>HL</v>
      </c>
      <c r="AK28" s="184" t="str">
        <f>IFERROR(IF(VLOOKUP(Wed_W1[[#This Row],[Employee Name]],'Base Schedules'!$A$205:$AW$241,36,FALSE)="","",VLOOKUP(Wed_W1[[#This Row],[Employee Name]],'Base Schedules'!$A$205:$AW$241,36,FALSE)),"")</f>
        <v>HL</v>
      </c>
      <c r="AL28" s="184" t="str">
        <f>IFERROR(IF(VLOOKUP(Wed_W1[[#This Row],[Employee Name]],'Base Schedules'!$A$205:$AW$241,37,FALSE)="","",VLOOKUP(Wed_W1[[#This Row],[Employee Name]],'Base Schedules'!$A$205:$AW$241,37,FALSE)),"")</f>
        <v>HL</v>
      </c>
      <c r="AM28" s="184" t="str">
        <f>IFERROR(IF(VLOOKUP(Wed_W1[[#This Row],[Employee Name]],'Base Schedules'!$A$205:$AW$241,38,FALSE)="","",VLOOKUP(Wed_W1[[#This Row],[Employee Name]],'Base Schedules'!$A$205:$AW$241,38,FALSE)),"")</f>
        <v/>
      </c>
      <c r="AN28" s="184" t="str">
        <f>IFERROR(IF(VLOOKUP(Wed_W1[[#This Row],[Employee Name]],'Base Schedules'!$A$205:$AW$241,39,FALSE)="","",VLOOKUP(Wed_W1[[#This Row],[Employee Name]],'Base Schedules'!$A$205:$AW$241,39,FALSE)),"")</f>
        <v/>
      </c>
      <c r="AO28" s="184" t="str">
        <f>IFERROR(IF(VLOOKUP(Wed_W1[[#This Row],[Employee Name]],'Base Schedules'!$A$205:$AW$241,40,FALSE)="","",VLOOKUP(Wed_W1[[#This Row],[Employee Name]],'Base Schedules'!$A$205:$AW$241,40,FALSE)),"")</f>
        <v/>
      </c>
      <c r="AP28" s="184" t="str">
        <f>IFERROR(IF(VLOOKUP(Wed_W1[[#This Row],[Employee Name]],'Base Schedules'!$A$205:$AW$241,41,FALSE)="","",VLOOKUP(Wed_W1[[#This Row],[Employee Name]],'Base Schedules'!$A$205:$AW$241,41,FALSE)),"")</f>
        <v/>
      </c>
      <c r="AQ28" s="184" t="str">
        <f>IFERROR(IF(VLOOKUP(Wed_W1[[#This Row],[Employee Name]],'Base Schedules'!$A$205:$AW$241,42,FALSE)="","",VLOOKUP(Wed_W1[[#This Row],[Employee Name]],'Base Schedules'!$A$205:$AW$241,42,FALSE)),"")</f>
        <v/>
      </c>
      <c r="AR28" s="184" t="str">
        <f>IFERROR(IF(VLOOKUP(Wed_W1[[#This Row],[Employee Name]],'Base Schedules'!$A$205:$AW$241,43,FALSE)="","",VLOOKUP(Wed_W1[[#This Row],[Employee Name]],'Base Schedules'!$A$205:$AW$241,43,FALSE)),"")</f>
        <v/>
      </c>
      <c r="AS28" s="184" t="str">
        <f>IFERROR(IF(VLOOKUP(Wed_W1[[#This Row],[Employee Name]],'Base Schedules'!$A$205:$AW$241,44,FALSE)="","",VLOOKUP(Wed_W1[[#This Row],[Employee Name]],'Base Schedules'!$A$205:$AW$241,44,FALSE)),"")</f>
        <v/>
      </c>
      <c r="AT28" s="184" t="str">
        <f>IFERROR(IF(VLOOKUP(Wed_W1[[#This Row],[Employee Name]],'Base Schedules'!$A$205:$AW$241,45,FALSE)="","",VLOOKUP(Wed_W1[[#This Row],[Employee Name]],'Base Schedules'!$A$205:$AW$241,45,FALSE)),"")</f>
        <v/>
      </c>
      <c r="AU28" s="184" t="str">
        <f>IFERROR(IF(VLOOKUP(Wed_W1[[#This Row],[Employee Name]],'Base Schedules'!$A$205:$AW$241,46,FALSE)="","",VLOOKUP(Wed_W1[[#This Row],[Employee Name]],'Base Schedules'!$A$205:$AW$241,46,FALSE)),"")</f>
        <v/>
      </c>
      <c r="AV28" s="184" t="str">
        <f>IFERROR(IF(VLOOKUP(Wed_W1[[#This Row],[Employee Name]],'Base Schedules'!$A$205:$AW$241,47,FALSE)="","",VLOOKUP(Wed_W1[[#This Row],[Employee Name]],'Base Schedules'!$A$205:$AW$241,47,FALSE)),"")</f>
        <v/>
      </c>
      <c r="AW28" s="184" t="str">
        <f>IFERROR(IF(VLOOKUP(Wed_W1[[#This Row],[Employee Name]],'Base Schedules'!$A$205:$AW$241,48,FALSE)="","",VLOOKUP(Wed_W1[[#This Row],[Employee Name]],'Base Schedules'!$A$205:$AW$241,48,FALSE)),"")</f>
        <v/>
      </c>
      <c r="AX28" s="184" t="str">
        <f>IFERROR(IF(VLOOKUP(Wed_W1[[#This Row],[Employee Name]],'Base Schedules'!$A$205:$AW$241,49,FALSE)="","",VLOOKUP(Wed_W1[[#This Row],[Employee Name]],'Base Schedules'!$A$205:$AW$241,49,FALSE)),"")</f>
        <v/>
      </c>
      <c r="AY28" s="164" t="str">
        <f t="shared" si="2"/>
        <v>Koistinen, Shaun</v>
      </c>
    </row>
    <row r="29" spans="1:51" s="44" customFormat="1" ht="13.5" customHeight="1" x14ac:dyDescent="0.2">
      <c r="A29" s="39" t="e">
        <f>IF(B29="","",INDEX(TeamList[],MATCH($B29,TeamList[[Employee Name]:[Employee Name]],0),MATCH("Manager",TeamList[#Headers],0)))</f>
        <v>#N/A</v>
      </c>
      <c r="B29" s="202" t="s">
        <v>414</v>
      </c>
      <c r="C29" s="257" t="str">
        <f>_xlfn.IFNA(VLOOKUP(Wed_W1[[#This Row],[Employee Name]],'Base Schedules'!A:B,2,FALSE),"")</f>
        <v>Lead</v>
      </c>
      <c r="D29" s="274">
        <f>_xlfn.IFNA(VLOOKUP(Wed_W1[[#This Row],[Employee Name]],'Base Schedules'!A:C,3,FALSE),"")</f>
        <v>1130</v>
      </c>
      <c r="E29" s="274">
        <f>_xlfn.IFNA(VLOOKUP(Wed_W1[[#This Row],[Employee Name]],'Base Schedules'!A:D,4,FALSE),"")</f>
        <v>1930</v>
      </c>
      <c r="F29" s="142">
        <f>IF(Wed_W1[[#This Row],[Employee Name]]="","",IF(Wed_W1[[#This Row],[Dept]]="Supervisor",COUNTIFS($J29:$AX29,"*HL*",$J29:$AX29,"&lt;&gt;"&amp;"pHL"),COUNTIFS($J29:$AX29,"*HL*",$J29:$AX29,"&lt;&gt;"&amp;"*pHL*",$J29:$AX29,"&lt;&gt;"&amp;"pB1 HL",$J29:$AX29,"&lt;&gt;"&amp;"pB2 HL")-SUM(COUNTIFS($J29:$AX29,"*HL B1*",$J29:$AX29,"&lt;&gt;"&amp;"pHL B1")*0.5,COUNTIFS($J29:$AX29,"*HL B2*",$J29:$AX29,"&lt;&gt;"&amp;"pHL B2")*0.5,COUNTIFS($J29:$AX29,"*B1 HL*",$J29:$AX29,"&lt;&gt;"&amp;"pB1 HL")*0.5,COUNTIFS($J29:$AX29,"*B2 HL*",$J29:$AX29,"&lt;&gt;"&amp;"pB2 HL")*0.5)))</f>
        <v>7</v>
      </c>
      <c r="G29" s="142">
        <f t="shared" si="0"/>
        <v>0</v>
      </c>
      <c r="H29" s="142">
        <f t="shared" si="1"/>
        <v>6</v>
      </c>
      <c r="I29" s="142">
        <f>IF(Wed_W1[[#This Row],[Employee Name]]="","",IF(Wed_W1[[#This Row],[Dept]]="Supervisor",SUM(COUNTIFS($J29:$AX29,"RTA*",$J29:$AX29,"&lt;&gt;"&amp;"pRTA"),COUNTIFS($J29:$AX29,"*CRTA*",$J29:$AX29,"&lt;&gt;"&amp;"pCRTA")),COUNTIFS($J29:$AX29,"*RNNR*",$J29:$AX29,"&lt;&gt;"&amp;"*pRNNR*",$J29:$AX29,"&lt;&gt;"&amp;"pB1 RNNR",$J29:$AX29,"&lt;&gt;"&amp;"pB2 RNNR")-SUM(COUNTIFS($J29:$AX29,"*RNNR B1*",$J29:$AX29,"&lt;&gt;"&amp;"pRNNR B1")*0.5,COUNTIFS($J29:$AX29,"*RNNR B2*",$J29:$AX29,"&lt;&gt;"&amp;"pRNNR B2")*0.5,COUNTIFS($J29:$AX29,"*B1 RNNR*",$J29:$AX29,"&lt;&gt;"&amp;"pB1 RNNR")*0.5,COUNTIFS($J29:$AX29,"*B2 RNNR*",$J29:$AX29,"&lt;&gt;"&amp;"pB2 RNNR")*0.5)))</f>
        <v>3</v>
      </c>
      <c r="J29" s="184" t="str">
        <f>IFERROR(IF(VLOOKUP(Wed_W1[[#This Row],[Employee Name]],'Base Schedules'!$A$205:$AW$241,9,FALSE)="","",VLOOKUP(Wed_W1[[#This Row],[Employee Name]],'Base Schedules'!$A$205:$AW$241,9,FALSE)),"")</f>
        <v/>
      </c>
      <c r="K29" s="184" t="str">
        <f>IFERROR(IF(VLOOKUP(Wed_W1[[#This Row],[Employee Name]],'Base Schedules'!$A$205:$AW$241,10,FALSE)="","",VLOOKUP(Wed_W1[[#This Row],[Employee Name]],'Base Schedules'!$A$205:$AW$241,10,FALSE)),"")</f>
        <v/>
      </c>
      <c r="L29" s="184" t="str">
        <f>IFERROR(IF(VLOOKUP(Wed_W1[[#This Row],[Employee Name]],'Base Schedules'!$A$205:$AW$241,11,FALSE)="","",VLOOKUP(Wed_W1[[#This Row],[Employee Name]],'Base Schedules'!$A$205:$AW$241,11,FALSE)),"")</f>
        <v/>
      </c>
      <c r="M29" s="184" t="str">
        <f>IFERROR(IF(VLOOKUP(Wed_W1[[#This Row],[Employee Name]],'Base Schedules'!$A$205:$AW$241,12,FALSE)="","",VLOOKUP(Wed_W1[[#This Row],[Employee Name]],'Base Schedules'!$A$205:$AW$241,12,FALSE)),"")</f>
        <v/>
      </c>
      <c r="N29" s="184" t="str">
        <f>IFERROR(IF(VLOOKUP(Wed_W1[[#This Row],[Employee Name]],'Base Schedules'!$A$205:$AW$241,13,FALSE)="","",VLOOKUP(Wed_W1[[#This Row],[Employee Name]],'Base Schedules'!$A$205:$AW$241,13,FALSE)),"")</f>
        <v/>
      </c>
      <c r="O29" s="184" t="str">
        <f>IFERROR(IF(VLOOKUP(Wed_W1[[#This Row],[Employee Name]],'Base Schedules'!$A$205:$AW$241,14,FALSE)="","",VLOOKUP(Wed_W1[[#This Row],[Employee Name]],'Base Schedules'!$A$205:$AW$241,14,FALSE)),"")</f>
        <v/>
      </c>
      <c r="P29" s="184" t="str">
        <f>IFERROR(IF(VLOOKUP(Wed_W1[[#This Row],[Employee Name]],'Base Schedules'!$A$205:$AW$241,15,FALSE)="","",VLOOKUP(Wed_W1[[#This Row],[Employee Name]],'Base Schedules'!$A$205:$AW$241,15,FALSE)),"")</f>
        <v/>
      </c>
      <c r="Q29" s="184" t="str">
        <f>IFERROR(IF(VLOOKUP(Wed_W1[[#This Row],[Employee Name]],'Base Schedules'!$A$205:$AW$241,16,FALSE)="","",VLOOKUP(Wed_W1[[#This Row],[Employee Name]],'Base Schedules'!$A$205:$AW$241,16,FALSE)),"")</f>
        <v/>
      </c>
      <c r="R29" s="184" t="str">
        <f>IFERROR(IF(VLOOKUP(Wed_W1[[#This Row],[Employee Name]],'Base Schedules'!$A$205:$AW$241,17,FALSE)="","",VLOOKUP(Wed_W1[[#This Row],[Employee Name]],'Base Schedules'!$A$205:$AW$241,17,FALSE)),"")</f>
        <v/>
      </c>
      <c r="S29" s="184" t="str">
        <f>IFERROR(IF(VLOOKUP(Wed_W1[[#This Row],[Employee Name]],'Base Schedules'!$A$205:$AW$241,18,FALSE)="","",VLOOKUP(Wed_W1[[#This Row],[Employee Name]],'Base Schedules'!$A$205:$AW$241,18,FALSE)),"")</f>
        <v/>
      </c>
      <c r="T29" s="184" t="str">
        <f>IFERROR(IF(VLOOKUP(Wed_W1[[#This Row],[Employee Name]],'Base Schedules'!$A$205:$AW$241,19,FALSE)="","",VLOOKUP(Wed_W1[[#This Row],[Employee Name]],'Base Schedules'!$A$205:$AW$241,19,FALSE)),"")</f>
        <v/>
      </c>
      <c r="U29" s="184" t="str">
        <f>IFERROR(IF(VLOOKUP(Wed_W1[[#This Row],[Employee Name]],'Base Schedules'!$A$205:$AW$241,20,FALSE)="","",VLOOKUP(Wed_W1[[#This Row],[Employee Name]],'Base Schedules'!$A$205:$AW$241,20,FALSE)),"")</f>
        <v/>
      </c>
      <c r="V29" s="184" t="str">
        <f>IFERROR(IF(VLOOKUP(Wed_W1[[#This Row],[Employee Name]],'Base Schedules'!$A$205:$AW$241,21,FALSE)="","",VLOOKUP(Wed_W1[[#This Row],[Employee Name]],'Base Schedules'!$A$205:$AW$241,21,FALSE)),"")</f>
        <v/>
      </c>
      <c r="W29" s="184" t="str">
        <f>IFERROR(IF(VLOOKUP(Wed_W1[[#This Row],[Employee Name]],'Base Schedules'!$A$205:$AW$241,22,FALSE)="","",VLOOKUP(Wed_W1[[#This Row],[Employee Name]],'Base Schedules'!$A$205:$AW$241,22,FALSE)),"")</f>
        <v>ADM</v>
      </c>
      <c r="X29" s="184" t="str">
        <f>IFERROR(IF(VLOOKUP(Wed_W1[[#This Row],[Employee Name]],'Base Schedules'!$A$205:$AW$241,23,FALSE)="","",VLOOKUP(Wed_W1[[#This Row],[Employee Name]],'Base Schedules'!$A$205:$AW$241,23,FALSE)),"")</f>
        <v>ADM</v>
      </c>
      <c r="Y29" s="184" t="str">
        <f>IFERROR(IF(VLOOKUP(Wed_W1[[#This Row],[Employee Name]],'Base Schedules'!$A$205:$AW$241,24,FALSE)="","",VLOOKUP(Wed_W1[[#This Row],[Employee Name]],'Base Schedules'!$A$205:$AW$241,24,FALSE)),"")</f>
        <v>ADM</v>
      </c>
      <c r="Z29" s="184" t="str">
        <f>IFERROR(IF(VLOOKUP(Wed_W1[[#This Row],[Employee Name]],'Base Schedules'!$A$205:$AW$241,25,FALSE)="","",VLOOKUP(Wed_W1[[#This Row],[Employee Name]],'Base Schedules'!$A$205:$AW$241,25,FALSE)),"")</f>
        <v>B1 ADM</v>
      </c>
      <c r="AA29" s="184" t="str">
        <f>IFERROR(IF(VLOOKUP(Wed_W1[[#This Row],[Employee Name]],'Base Schedules'!$A$205:$AW$241,26,FALSE)="","",VLOOKUP(Wed_W1[[#This Row],[Employee Name]],'Base Schedules'!$A$205:$AW$241,26,FALSE)),"")</f>
        <v>HL</v>
      </c>
      <c r="AB29" s="184" t="str">
        <f>IFERROR(IF(VLOOKUP(Wed_W1[[#This Row],[Employee Name]],'Base Schedules'!$A$205:$AW$241,27,FALSE)="","",VLOOKUP(Wed_W1[[#This Row],[Employee Name]],'Base Schedules'!$A$205:$AW$241,27,FALSE)),"")</f>
        <v>HL</v>
      </c>
      <c r="AC29" s="184" t="str">
        <f>IFERROR(IF(VLOOKUP(Wed_W1[[#This Row],[Employee Name]],'Base Schedules'!$A$205:$AW$241,28,FALSE)="","",VLOOKUP(Wed_W1[[#This Row],[Employee Name]],'Base Schedules'!$A$205:$AW$241,28,FALSE)),"")</f>
        <v>HL</v>
      </c>
      <c r="AD29" s="184" t="str">
        <f>IFERROR(IF(VLOOKUP(Wed_W1[[#This Row],[Employee Name]],'Base Schedules'!$A$205:$AW$241,29,FALSE)="","",VLOOKUP(Wed_W1[[#This Row],[Employee Name]],'Base Schedules'!$A$205:$AW$241,29,FALSE)),"")</f>
        <v>HL</v>
      </c>
      <c r="AE29" s="184" t="str">
        <f>IFERROR(IF(VLOOKUP(Wed_W1[[#This Row],[Employee Name]],'Base Schedules'!$A$205:$AW$241,30,FALSE)="","",VLOOKUP(Wed_W1[[#This Row],[Employee Name]],'Base Schedules'!$A$205:$AW$241,30,FALSE)),"")</f>
        <v>LUNCH</v>
      </c>
      <c r="AF29" s="184" t="str">
        <f>IFERROR(IF(VLOOKUP(Wed_W1[[#This Row],[Employee Name]],'Base Schedules'!$A$205:$AW$241,31,FALSE)="","",VLOOKUP(Wed_W1[[#This Row],[Employee Name]],'Base Schedules'!$A$205:$AW$241,31,FALSE)),"")</f>
        <v>RNNR</v>
      </c>
      <c r="AG29" s="184" t="str">
        <f>IFERROR(IF(VLOOKUP(Wed_W1[[#This Row],[Employee Name]],'Base Schedules'!$A$205:$AW$241,32,FALSE)="","",VLOOKUP(Wed_W1[[#This Row],[Employee Name]],'Base Schedules'!$A$205:$AW$241,32,FALSE)),"")</f>
        <v>HL</v>
      </c>
      <c r="AH29" s="184" t="str">
        <f>IFERROR(IF(VLOOKUP(Wed_W1[[#This Row],[Employee Name]],'Base Schedules'!$A$205:$AW$241,33,FALSE)="","",VLOOKUP(Wed_W1[[#This Row],[Employee Name]],'Base Schedules'!$A$205:$AW$241,33,FALSE)),"")</f>
        <v>HL</v>
      </c>
      <c r="AI29" s="184" t="str">
        <f>IFERROR(IF(VLOOKUP(Wed_W1[[#This Row],[Employee Name]],'Base Schedules'!$A$205:$AW$241,34,FALSE)="","",VLOOKUP(Wed_W1[[#This Row],[Employee Name]],'Base Schedules'!$A$205:$AW$241,34,FALSE)),"")</f>
        <v>HL</v>
      </c>
      <c r="AJ29" s="184" t="str">
        <f>IFERROR(IF(VLOOKUP(Wed_W1[[#This Row],[Employee Name]],'Base Schedules'!$A$205:$AW$241,35,FALSE)="","",VLOOKUP(Wed_W1[[#This Row],[Employee Name]],'Base Schedules'!$A$205:$AW$241,35,FALSE)),"")</f>
        <v>B2 ADM</v>
      </c>
      <c r="AK29" s="184" t="str">
        <f>IFERROR(IF(VLOOKUP(Wed_W1[[#This Row],[Employee Name]],'Base Schedules'!$A$205:$AW$241,36,FALSE)="","",VLOOKUP(Wed_W1[[#This Row],[Employee Name]],'Base Schedules'!$A$205:$AW$241,36,FALSE)),"")</f>
        <v>ADM</v>
      </c>
      <c r="AL29" s="184" t="str">
        <f>IFERROR(IF(VLOOKUP(Wed_W1[[#This Row],[Employee Name]],'Base Schedules'!$A$205:$AW$241,37,FALSE)="","",VLOOKUP(Wed_W1[[#This Row],[Employee Name]],'Base Schedules'!$A$205:$AW$241,37,FALSE)),"")</f>
        <v>RNNR</v>
      </c>
      <c r="AM29" s="184" t="str">
        <f>IFERROR(IF(VLOOKUP(Wed_W1[[#This Row],[Employee Name]],'Base Schedules'!$A$205:$AW$241,38,FALSE)="","",VLOOKUP(Wed_W1[[#This Row],[Employee Name]],'Base Schedules'!$A$205:$AW$241,38,FALSE)),"")</f>
        <v>RNNR</v>
      </c>
      <c r="AN29" s="184" t="str">
        <f>IFERROR(IF(VLOOKUP(Wed_W1[[#This Row],[Employee Name]],'Base Schedules'!$A$205:$AW$241,39,FALSE)="","",VLOOKUP(Wed_W1[[#This Row],[Employee Name]],'Base Schedules'!$A$205:$AW$241,39,FALSE)),"")</f>
        <v/>
      </c>
      <c r="AO29" s="184" t="str">
        <f>IFERROR(IF(VLOOKUP(Wed_W1[[#This Row],[Employee Name]],'Base Schedules'!$A$205:$AW$241,40,FALSE)="","",VLOOKUP(Wed_W1[[#This Row],[Employee Name]],'Base Schedules'!$A$205:$AW$241,40,FALSE)),"")</f>
        <v/>
      </c>
      <c r="AP29" s="184" t="str">
        <f>IFERROR(IF(VLOOKUP(Wed_W1[[#This Row],[Employee Name]],'Base Schedules'!$A$205:$AW$241,41,FALSE)="","",VLOOKUP(Wed_W1[[#This Row],[Employee Name]],'Base Schedules'!$A$205:$AW$241,41,FALSE)),"")</f>
        <v/>
      </c>
      <c r="AQ29" s="184" t="str">
        <f>IFERROR(IF(VLOOKUP(Wed_W1[[#This Row],[Employee Name]],'Base Schedules'!$A$205:$AW$241,42,FALSE)="","",VLOOKUP(Wed_W1[[#This Row],[Employee Name]],'Base Schedules'!$A$205:$AW$241,42,FALSE)),"")</f>
        <v/>
      </c>
      <c r="AR29" s="184" t="str">
        <f>IFERROR(IF(VLOOKUP(Wed_W1[[#This Row],[Employee Name]],'Base Schedules'!$A$205:$AW$241,43,FALSE)="","",VLOOKUP(Wed_W1[[#This Row],[Employee Name]],'Base Schedules'!$A$205:$AW$241,43,FALSE)),"")</f>
        <v/>
      </c>
      <c r="AS29" s="184" t="str">
        <f>IFERROR(IF(VLOOKUP(Wed_W1[[#This Row],[Employee Name]],'Base Schedules'!$A$205:$AW$241,44,FALSE)="","",VLOOKUP(Wed_W1[[#This Row],[Employee Name]],'Base Schedules'!$A$205:$AW$241,44,FALSE)),"")</f>
        <v/>
      </c>
      <c r="AT29" s="184" t="str">
        <f>IFERROR(IF(VLOOKUP(Wed_W1[[#This Row],[Employee Name]],'Base Schedules'!$A$205:$AW$241,45,FALSE)="","",VLOOKUP(Wed_W1[[#This Row],[Employee Name]],'Base Schedules'!$A$205:$AW$241,45,FALSE)),"")</f>
        <v/>
      </c>
      <c r="AU29" s="184" t="str">
        <f>IFERROR(IF(VLOOKUP(Wed_W1[[#This Row],[Employee Name]],'Base Schedules'!$A$205:$AW$241,46,FALSE)="","",VLOOKUP(Wed_W1[[#This Row],[Employee Name]],'Base Schedules'!$A$205:$AW$241,46,FALSE)),"")</f>
        <v/>
      </c>
      <c r="AV29" s="184" t="str">
        <f>IFERROR(IF(VLOOKUP(Wed_W1[[#This Row],[Employee Name]],'Base Schedules'!$A$205:$AW$241,47,FALSE)="","",VLOOKUP(Wed_W1[[#This Row],[Employee Name]],'Base Schedules'!$A$205:$AW$241,47,FALSE)),"")</f>
        <v/>
      </c>
      <c r="AW29" s="184" t="str">
        <f>IFERROR(IF(VLOOKUP(Wed_W1[[#This Row],[Employee Name]],'Base Schedules'!$A$205:$AW$241,48,FALSE)="","",VLOOKUP(Wed_W1[[#This Row],[Employee Name]],'Base Schedules'!$A$205:$AW$241,48,FALSE)),"")</f>
        <v/>
      </c>
      <c r="AX29" s="184" t="str">
        <f>IFERROR(IF(VLOOKUP(Wed_W1[[#This Row],[Employee Name]],'Base Schedules'!$A$205:$AW$241,49,FALSE)="","",VLOOKUP(Wed_W1[[#This Row],[Employee Name]],'Base Schedules'!$A$205:$AW$241,49,FALSE)),"")</f>
        <v/>
      </c>
      <c r="AY29" s="164" t="str">
        <f t="shared" si="2"/>
        <v>Condon, Heather</v>
      </c>
    </row>
    <row r="30" spans="1:51" s="44" customFormat="1" ht="12" x14ac:dyDescent="0.2">
      <c r="A30" s="39" t="str">
        <f>IF(B30="","",INDEX(TeamList[],MATCH($B30,TeamList[[Employee Name]:[Employee Name]],0),MATCH("Manager",TeamList[#Headers],0)))</f>
        <v>Ahmed Hassan, Zahra</v>
      </c>
      <c r="B30" s="333" t="s">
        <v>63</v>
      </c>
      <c r="C30" s="257" t="str">
        <f>_xlfn.IFNA(VLOOKUP(Wed_W1[[#This Row],[Employee Name]],'Base Schedules'!A:B,2,FALSE),"")</f>
        <v>Supervisor</v>
      </c>
      <c r="D30" s="274">
        <f>_xlfn.IFNA(VLOOKUP(Wed_W1[[#This Row],[Employee Name]],'Base Schedules'!A:C,3,FALSE),"")</f>
        <v>1200</v>
      </c>
      <c r="E30" s="274">
        <f>_xlfn.IFNA(VLOOKUP(Wed_W1[[#This Row],[Employee Name]],'Base Schedules'!A:D,4,FALSE),"")</f>
        <v>2100</v>
      </c>
      <c r="F30" s="142">
        <f>IF(Wed_W1[[#This Row],[Employee Name]]="","",IF(Wed_W1[[#This Row],[Dept]]="Supervisor",COUNTIFS($J30:$AX30,"*HL*",$J30:$AX30,"&lt;&gt;"&amp;"pHL"),COUNTIFS($J30:$AX30,"*HL*",$J30:$AX30,"&lt;&gt;"&amp;"*pHL*",$J30:$AX30,"&lt;&gt;"&amp;"pB1 HL",$J30:$AX30,"&lt;&gt;"&amp;"pB2 HL")-SUM(COUNTIFS($J30:$AX30,"*HL B1*",$J30:$AX30,"&lt;&gt;"&amp;"pHL B1")*0.5,COUNTIFS($J30:$AX30,"*HL B2*",$J30:$AX30,"&lt;&gt;"&amp;"pHL B2")*0.5,COUNTIFS($J30:$AX30,"*B1 HL*",$J30:$AX30,"&lt;&gt;"&amp;"pB1 HL")*0.5,COUNTIFS($J30:$AX30,"*B2 HL*",$J30:$AX30,"&lt;&gt;"&amp;"pB2 HL")*0.5)))</f>
        <v>0</v>
      </c>
      <c r="G30" s="142">
        <f t="shared" si="0"/>
        <v>5</v>
      </c>
      <c r="H30" s="142">
        <f t="shared" si="1"/>
        <v>0</v>
      </c>
      <c r="I30" s="142">
        <f>IF(Wed_W1[[#This Row],[Employee Name]]="","",IF(Wed_W1[[#This Row],[Dept]]="Supervisor",SUM(COUNTIFS($J30:$AX30,"RTA*",$J30:$AX30,"&lt;&gt;"&amp;"pRTA"),COUNTIFS($J30:$AX30,"*CRTA*",$J30:$AX30,"&lt;&gt;"&amp;"pCRTA")),COUNTIFS($J30:$AX30,"*RNNR*",$J30:$AX30,"&lt;&gt;"&amp;"*pRNNR*",$J30:$AX30,"&lt;&gt;"&amp;"pB1 RNNR",$J30:$AX30,"&lt;&gt;"&amp;"pB2 RNNR")-SUM(COUNTIFS($J30:$AX30,"*RNNR B1*",$J30:$AX30,"&lt;&gt;"&amp;"pRNNR B1")*0.5,COUNTIFS($J30:$AX30,"*RNNR B2*",$J30:$AX30,"&lt;&gt;"&amp;"pRNNR B2")*0.5,COUNTIFS($J30:$AX30,"*B1 RNNR*",$J30:$AX30,"&lt;&gt;"&amp;"pB1 RNNR")*0.5,COUNTIFS($J30:$AX30,"*B2 RNNR*",$J30:$AX30,"&lt;&gt;"&amp;"pB2 RNNR")*0.5)))</f>
        <v>0</v>
      </c>
      <c r="J30" s="184" t="str">
        <f>IFERROR(IF(VLOOKUP(Wed_W1[[#This Row],[Employee Name]],'Base Schedules'!$A$205:$AW$241,9,FALSE)="","",VLOOKUP(Wed_W1[[#This Row],[Employee Name]],'Base Schedules'!$A$205:$AW$241,9,FALSE)),"")</f>
        <v/>
      </c>
      <c r="K30" s="184" t="str">
        <f>IFERROR(IF(VLOOKUP(Wed_W1[[#This Row],[Employee Name]],'Base Schedules'!$A$205:$AW$241,10,FALSE)="","",VLOOKUP(Wed_W1[[#This Row],[Employee Name]],'Base Schedules'!$A$205:$AW$241,10,FALSE)),"")</f>
        <v/>
      </c>
      <c r="L30" s="184" t="str">
        <f>IFERROR(IF(VLOOKUP(Wed_W1[[#This Row],[Employee Name]],'Base Schedules'!$A$205:$AW$241,11,FALSE)="","",VLOOKUP(Wed_W1[[#This Row],[Employee Name]],'Base Schedules'!$A$205:$AW$241,11,FALSE)),"")</f>
        <v/>
      </c>
      <c r="M30" s="184" t="str">
        <f>IFERROR(IF(VLOOKUP(Wed_W1[[#This Row],[Employee Name]],'Base Schedules'!$A$205:$AW$241,12,FALSE)="","",VLOOKUP(Wed_W1[[#This Row],[Employee Name]],'Base Schedules'!$A$205:$AW$241,12,FALSE)),"")</f>
        <v/>
      </c>
      <c r="N30" s="184" t="str">
        <f>IFERROR(IF(VLOOKUP(Wed_W1[[#This Row],[Employee Name]],'Base Schedules'!$A$205:$AW$241,13,FALSE)="","",VLOOKUP(Wed_W1[[#This Row],[Employee Name]],'Base Schedules'!$A$205:$AW$241,13,FALSE)),"")</f>
        <v/>
      </c>
      <c r="O30" s="184" t="str">
        <f>IFERROR(IF(VLOOKUP(Wed_W1[[#This Row],[Employee Name]],'Base Schedules'!$A$205:$AW$241,14,FALSE)="","",VLOOKUP(Wed_W1[[#This Row],[Employee Name]],'Base Schedules'!$A$205:$AW$241,14,FALSE)),"")</f>
        <v/>
      </c>
      <c r="P30" s="184" t="str">
        <f>IFERROR(IF(VLOOKUP(Wed_W1[[#This Row],[Employee Name]],'Base Schedules'!$A$205:$AW$241,15,FALSE)="","",VLOOKUP(Wed_W1[[#This Row],[Employee Name]],'Base Schedules'!$A$205:$AW$241,15,FALSE)),"")</f>
        <v/>
      </c>
      <c r="Q30" s="184" t="str">
        <f>IFERROR(IF(VLOOKUP(Wed_W1[[#This Row],[Employee Name]],'Base Schedules'!$A$205:$AW$241,16,FALSE)="","",VLOOKUP(Wed_W1[[#This Row],[Employee Name]],'Base Schedules'!$A$205:$AW$241,16,FALSE)),"")</f>
        <v/>
      </c>
      <c r="R30" s="184" t="str">
        <f>IFERROR(IF(VLOOKUP(Wed_W1[[#This Row],[Employee Name]],'Base Schedules'!$A$205:$AW$241,17,FALSE)="","",VLOOKUP(Wed_W1[[#This Row],[Employee Name]],'Base Schedules'!$A$205:$AW$241,17,FALSE)),"")</f>
        <v/>
      </c>
      <c r="S30" s="184" t="str">
        <f>IFERROR(IF(VLOOKUP(Wed_W1[[#This Row],[Employee Name]],'Base Schedules'!$A$205:$AW$241,18,FALSE)="","",VLOOKUP(Wed_W1[[#This Row],[Employee Name]],'Base Schedules'!$A$205:$AW$241,18,FALSE)),"")</f>
        <v/>
      </c>
      <c r="T30" s="184" t="str">
        <f>IFERROR(IF(VLOOKUP(Wed_W1[[#This Row],[Employee Name]],'Base Schedules'!$A$205:$AW$241,19,FALSE)="","",VLOOKUP(Wed_W1[[#This Row],[Employee Name]],'Base Schedules'!$A$205:$AW$241,19,FALSE)),"")</f>
        <v/>
      </c>
      <c r="U30" s="184" t="str">
        <f>IFERROR(IF(VLOOKUP(Wed_W1[[#This Row],[Employee Name]],'Base Schedules'!$A$205:$AW$241,20,FALSE)="","",VLOOKUP(Wed_W1[[#This Row],[Employee Name]],'Base Schedules'!$A$205:$AW$241,20,FALSE)),"")</f>
        <v/>
      </c>
      <c r="V30" s="184" t="str">
        <f>IFERROR(IF(VLOOKUP(Wed_W1[[#This Row],[Employee Name]],'Base Schedules'!$A$205:$AW$241,21,FALSE)="","",VLOOKUP(Wed_W1[[#This Row],[Employee Name]],'Base Schedules'!$A$205:$AW$241,21,FALSE)),"")</f>
        <v/>
      </c>
      <c r="W30" s="184" t="str">
        <f>IFERROR(IF(VLOOKUP(Wed_W1[[#This Row],[Employee Name]],'Base Schedules'!$A$205:$AW$241,22,FALSE)="","",VLOOKUP(Wed_W1[[#This Row],[Employee Name]],'Base Schedules'!$A$205:$AW$241,22,FALSE)),"")</f>
        <v/>
      </c>
      <c r="X30" s="184" t="str">
        <f>IFERROR(IF(VLOOKUP(Wed_W1[[#This Row],[Employee Name]],'Base Schedules'!$A$205:$AW$241,23,FALSE)="","",VLOOKUP(Wed_W1[[#This Row],[Employee Name]],'Base Schedules'!$A$205:$AW$241,23,FALSE)),"")</f>
        <v>-</v>
      </c>
      <c r="Y30" s="184" t="str">
        <f>IFERROR(IF(VLOOKUP(Wed_W1[[#This Row],[Employee Name]],'Base Schedules'!$A$205:$AW$241,24,FALSE)="","",VLOOKUP(Wed_W1[[#This Row],[Employee Name]],'Base Schedules'!$A$205:$AW$241,24,FALSE)),"")</f>
        <v>Coaching</v>
      </c>
      <c r="Z30" s="184" t="str">
        <f>IFERROR(IF(VLOOKUP(Wed_W1[[#This Row],[Employee Name]],'Base Schedules'!$A$205:$AW$241,25,FALSE)="","",VLOOKUP(Wed_W1[[#This Row],[Employee Name]],'Base Schedules'!$A$205:$AW$241,25,FALSE)),"")</f>
        <v>Coaching</v>
      </c>
      <c r="AA30" s="184" t="str">
        <f>IFERROR(IF(VLOOKUP(Wed_W1[[#This Row],[Employee Name]],'Base Schedules'!$A$205:$AW$241,26,FALSE)="","",VLOOKUP(Wed_W1[[#This Row],[Employee Name]],'Base Schedules'!$A$205:$AW$241,26,FALSE)),"")</f>
        <v>-</v>
      </c>
      <c r="AB30" s="184" t="str">
        <f>IFERROR(IF(VLOOKUP(Wed_W1[[#This Row],[Employee Name]],'Base Schedules'!$A$205:$AW$241,27,FALSE)="","",VLOOKUP(Wed_W1[[#This Row],[Employee Name]],'Base Schedules'!$A$205:$AW$241,27,FALSE)),"")</f>
        <v>-</v>
      </c>
      <c r="AC30" s="184" t="str">
        <f>IFERROR(IF(VLOOKUP(Wed_W1[[#This Row],[Employee Name]],'Base Schedules'!$A$205:$AW$241,28,FALSE)="","",VLOOKUP(Wed_W1[[#This Row],[Employee Name]],'Base Schedules'!$A$205:$AW$241,28,FALSE)),"")</f>
        <v>-</v>
      </c>
      <c r="AD30" s="184" t="str">
        <f>IFERROR(IF(VLOOKUP(Wed_W1[[#This Row],[Employee Name]],'Base Schedules'!$A$205:$AW$241,29,FALSE)="","",VLOOKUP(Wed_W1[[#This Row],[Employee Name]],'Base Schedules'!$A$205:$AW$241,29,FALSE)),"")</f>
        <v>Interview</v>
      </c>
      <c r="AE30" s="184" t="str">
        <f>IFERROR(IF(VLOOKUP(Wed_W1[[#This Row],[Employee Name]],'Base Schedules'!$A$205:$AW$241,30,FALSE)="","",VLOOKUP(Wed_W1[[#This Row],[Employee Name]],'Base Schedules'!$A$205:$AW$241,30,FALSE)),"")</f>
        <v>Interview</v>
      </c>
      <c r="AF30" s="184" t="str">
        <f>IFERROR(IF(VLOOKUP(Wed_W1[[#This Row],[Employee Name]],'Base Schedules'!$A$205:$AW$241,31,FALSE)="","",VLOOKUP(Wed_W1[[#This Row],[Employee Name]],'Base Schedules'!$A$205:$AW$241,31,FALSE)),"")</f>
        <v>Team RL TM</v>
      </c>
      <c r="AG30" s="184" t="str">
        <f>IFERROR(IF(VLOOKUP(Wed_W1[[#This Row],[Employee Name]],'Base Schedules'!$A$205:$AW$241,32,FALSE)="","",VLOOKUP(Wed_W1[[#This Row],[Employee Name]],'Base Schedules'!$A$205:$AW$241,32,FALSE)),"")</f>
        <v>Team RL TM</v>
      </c>
      <c r="AH30" s="184" t="str">
        <f>IFERROR(IF(VLOOKUP(Wed_W1[[#This Row],[Employee Name]],'Base Schedules'!$A$205:$AW$241,33,FALSE)="","",VLOOKUP(Wed_W1[[#This Row],[Employee Name]],'Base Schedules'!$A$205:$AW$241,33,FALSE)),"")</f>
        <v>Coaching</v>
      </c>
      <c r="AI30" s="184" t="str">
        <f>IFERROR(IF(VLOOKUP(Wed_W1[[#This Row],[Employee Name]],'Base Schedules'!$A$205:$AW$241,34,FALSE)="","",VLOOKUP(Wed_W1[[#This Row],[Employee Name]],'Base Schedules'!$A$205:$AW$241,34,FALSE)),"")</f>
        <v>Coaching</v>
      </c>
      <c r="AJ30" s="184" t="str">
        <f>IFERROR(IF(VLOOKUP(Wed_W1[[#This Row],[Employee Name]],'Base Schedules'!$A$205:$AW$241,35,FALSE)="","",VLOOKUP(Wed_W1[[#This Row],[Employee Name]],'Base Schedules'!$A$205:$AW$241,35,FALSE)),"")</f>
        <v>Coaching</v>
      </c>
      <c r="AK30" s="184" t="str">
        <f>IFERROR(IF(VLOOKUP(Wed_W1[[#This Row],[Employee Name]],'Base Schedules'!$A$205:$AW$241,36,FALSE)="","",VLOOKUP(Wed_W1[[#This Row],[Employee Name]],'Base Schedules'!$A$205:$AW$241,36,FALSE)),"")</f>
        <v>-</v>
      </c>
      <c r="AL30" s="184" t="str">
        <f>IFERROR(IF(VLOOKUP(Wed_W1[[#This Row],[Employee Name]],'Base Schedules'!$A$205:$AW$241,37,FALSE)="","",VLOOKUP(Wed_W1[[#This Row],[Employee Name]],'Base Schedules'!$A$205:$AW$241,37,FALSE)),"")</f>
        <v>-</v>
      </c>
      <c r="AM30" s="184" t="str">
        <f>IFERROR(IF(VLOOKUP(Wed_W1[[#This Row],[Employee Name]],'Base Schedules'!$A$205:$AW$241,38,FALSE)="","",VLOOKUP(Wed_W1[[#This Row],[Employee Name]],'Base Schedules'!$A$205:$AW$241,38,FALSE)),"")</f>
        <v>-</v>
      </c>
      <c r="AN30" s="184" t="str">
        <f>IFERROR(IF(VLOOKUP(Wed_W1[[#This Row],[Employee Name]],'Base Schedules'!$A$205:$AW$241,39,FALSE)="","",VLOOKUP(Wed_W1[[#This Row],[Employee Name]],'Base Schedules'!$A$205:$AW$241,39,FALSE)),"")</f>
        <v>-</v>
      </c>
      <c r="AO30" s="184" t="str">
        <f>IFERROR(IF(VLOOKUP(Wed_W1[[#This Row],[Employee Name]],'Base Schedules'!$A$205:$AW$241,40,FALSE)="","",VLOOKUP(Wed_W1[[#This Row],[Employee Name]],'Base Schedules'!$A$205:$AW$241,40,FALSE)),"")</f>
        <v>-</v>
      </c>
      <c r="AP30" s="184" t="str">
        <f>IFERROR(IF(VLOOKUP(Wed_W1[[#This Row],[Employee Name]],'Base Schedules'!$A$205:$AW$241,41,FALSE)="","",VLOOKUP(Wed_W1[[#This Row],[Employee Name]],'Base Schedules'!$A$205:$AW$241,41,FALSE)),"")</f>
        <v/>
      </c>
      <c r="AQ30" s="184" t="str">
        <f>IFERROR(IF(VLOOKUP(Wed_W1[[#This Row],[Employee Name]],'Base Schedules'!$A$205:$AW$241,42,FALSE)="","",VLOOKUP(Wed_W1[[#This Row],[Employee Name]],'Base Schedules'!$A$205:$AW$241,42,FALSE)),"")</f>
        <v/>
      </c>
      <c r="AR30" s="184" t="str">
        <f>IFERROR(IF(VLOOKUP(Wed_W1[[#This Row],[Employee Name]],'Base Schedules'!$A$205:$AW$241,43,FALSE)="","",VLOOKUP(Wed_W1[[#This Row],[Employee Name]],'Base Schedules'!$A$205:$AW$241,43,FALSE)),"")</f>
        <v/>
      </c>
      <c r="AS30" s="184" t="str">
        <f>IFERROR(IF(VLOOKUP(Wed_W1[[#This Row],[Employee Name]],'Base Schedules'!$A$205:$AW$241,44,FALSE)="","",VLOOKUP(Wed_W1[[#This Row],[Employee Name]],'Base Schedules'!$A$205:$AW$241,44,FALSE)),"")</f>
        <v/>
      </c>
      <c r="AT30" s="184" t="str">
        <f>IFERROR(IF(VLOOKUP(Wed_W1[[#This Row],[Employee Name]],'Base Schedules'!$A$205:$AW$241,45,FALSE)="","",VLOOKUP(Wed_W1[[#This Row],[Employee Name]],'Base Schedules'!$A$205:$AW$241,45,FALSE)),"")</f>
        <v/>
      </c>
      <c r="AU30" s="184" t="str">
        <f>IFERROR(IF(VLOOKUP(Wed_W1[[#This Row],[Employee Name]],'Base Schedules'!$A$205:$AW$241,46,FALSE)="","",VLOOKUP(Wed_W1[[#This Row],[Employee Name]],'Base Schedules'!$A$205:$AW$241,46,FALSE)),"")</f>
        <v/>
      </c>
      <c r="AV30" s="184" t="str">
        <f>IFERROR(IF(VLOOKUP(Wed_W1[[#This Row],[Employee Name]],'Base Schedules'!$A$205:$AW$241,47,FALSE)="","",VLOOKUP(Wed_W1[[#This Row],[Employee Name]],'Base Schedules'!$A$205:$AW$241,47,FALSE)),"")</f>
        <v/>
      </c>
      <c r="AW30" s="184" t="str">
        <f>IFERROR(IF(VLOOKUP(Wed_W1[[#This Row],[Employee Name]],'Base Schedules'!$A$205:$AW$241,48,FALSE)="","",VLOOKUP(Wed_W1[[#This Row],[Employee Name]],'Base Schedules'!$A$205:$AW$241,48,FALSE)),"")</f>
        <v/>
      </c>
      <c r="AX30" s="184" t="str">
        <f>IFERROR(IF(VLOOKUP(Wed_W1[[#This Row],[Employee Name]],'Base Schedules'!$A$205:$AW$241,49,FALSE)="","",VLOOKUP(Wed_W1[[#This Row],[Employee Name]],'Base Schedules'!$A$205:$AW$241,49,FALSE)),"")</f>
        <v/>
      </c>
      <c r="AY30" s="164" t="str">
        <f t="shared" si="2"/>
        <v>Conner, Mark</v>
      </c>
    </row>
    <row r="31" spans="1:51" s="44" customFormat="1" ht="12" x14ac:dyDescent="0.2">
      <c r="A31" s="39" t="str">
        <f>IF(B31="","",INDEX(TeamList[],MATCH($B31,TeamList[[Employee Name]:[Employee Name]],0),MATCH("Manager",TeamList[#Headers],0)))</f>
        <v>Paulson, Matthew</v>
      </c>
      <c r="B31" s="201" t="s">
        <v>66</v>
      </c>
      <c r="C31" s="257" t="str">
        <f>_xlfn.IFNA(VLOOKUP(Wed_W1[[#This Row],[Employee Name]],'Base Schedules'!A:B,2,FALSE),"")</f>
        <v>Supervisor</v>
      </c>
      <c r="D31" s="274">
        <f>_xlfn.IFNA(VLOOKUP(Wed_W1[[#This Row],[Employee Name]],'Base Schedules'!A:C,3,FALSE),"")</f>
        <v>1230</v>
      </c>
      <c r="E31" s="274">
        <f>_xlfn.IFNA(VLOOKUP(Wed_W1[[#This Row],[Employee Name]],'Base Schedules'!A:D,4,FALSE),"")</f>
        <v>2130</v>
      </c>
      <c r="F31" s="142">
        <f>IF(Wed_W1[[#This Row],[Employee Name]]="","",IF(Wed_W1[[#This Row],[Dept]]="Supervisor",COUNTIFS($J31:$AX31,"*HL*",$J31:$AX31,"&lt;&gt;"&amp;"pHL"),COUNTIFS($J31:$AX31,"*HL*",$J31:$AX31,"&lt;&gt;"&amp;"*pHL*",$J31:$AX31,"&lt;&gt;"&amp;"pB1 HL",$J31:$AX31,"&lt;&gt;"&amp;"pB2 HL")-SUM(COUNTIFS($J31:$AX31,"*HL B1*",$J31:$AX31,"&lt;&gt;"&amp;"pHL B1")*0.5,COUNTIFS($J31:$AX31,"*HL B2*",$J31:$AX31,"&lt;&gt;"&amp;"pHL B2")*0.5,COUNTIFS($J31:$AX31,"*B1 HL*",$J31:$AX31,"&lt;&gt;"&amp;"pB1 HL")*0.5,COUNTIFS($J31:$AX31,"*B2 HL*",$J31:$AX31,"&lt;&gt;"&amp;"pB2 HL")*0.5)))</f>
        <v>0</v>
      </c>
      <c r="G31" s="142">
        <f t="shared" si="0"/>
        <v>4</v>
      </c>
      <c r="H31" s="142">
        <f t="shared" si="1"/>
        <v>0</v>
      </c>
      <c r="I31" s="142">
        <f>IF(Wed_W1[[#This Row],[Employee Name]]="","",IF(Wed_W1[[#This Row],[Dept]]="Supervisor",SUM(COUNTIFS($J31:$AX31,"RTA*",$J31:$AX31,"&lt;&gt;"&amp;"pRTA"),COUNTIFS($J31:$AX31,"*CRTA*",$J31:$AX31,"&lt;&gt;"&amp;"pCRTA")),COUNTIFS($J31:$AX31,"*RNNR*",$J31:$AX31,"&lt;&gt;"&amp;"*pRNNR*",$J31:$AX31,"&lt;&gt;"&amp;"pB1 RNNR",$J31:$AX31,"&lt;&gt;"&amp;"pB2 RNNR")-SUM(COUNTIFS($J31:$AX31,"*RNNR B1*",$J31:$AX31,"&lt;&gt;"&amp;"pRNNR B1")*0.5,COUNTIFS($J31:$AX31,"*RNNR B2*",$J31:$AX31,"&lt;&gt;"&amp;"pRNNR B2")*0.5,COUNTIFS($J31:$AX31,"*B1 RNNR*",$J31:$AX31,"&lt;&gt;"&amp;"pB1 RNNR")*0.5,COUNTIFS($J31:$AX31,"*B2 RNNR*",$J31:$AX31,"&lt;&gt;"&amp;"pB2 RNNR")*0.5)))</f>
        <v>0</v>
      </c>
      <c r="J31" s="184" t="str">
        <f>IFERROR(IF(VLOOKUP(Wed_W1[[#This Row],[Employee Name]],'Base Schedules'!$A$205:$AW$241,9,FALSE)="","",VLOOKUP(Wed_W1[[#This Row],[Employee Name]],'Base Schedules'!$A$205:$AW$241,9,FALSE)),"")</f>
        <v/>
      </c>
      <c r="K31" s="184" t="str">
        <f>IFERROR(IF(VLOOKUP(Wed_W1[[#This Row],[Employee Name]],'Base Schedules'!$A$205:$AW$241,10,FALSE)="","",VLOOKUP(Wed_W1[[#This Row],[Employee Name]],'Base Schedules'!$A$205:$AW$241,10,FALSE)),"")</f>
        <v/>
      </c>
      <c r="L31" s="184" t="str">
        <f>IFERROR(IF(VLOOKUP(Wed_W1[[#This Row],[Employee Name]],'Base Schedules'!$A$205:$AW$241,11,FALSE)="","",VLOOKUP(Wed_W1[[#This Row],[Employee Name]],'Base Schedules'!$A$205:$AW$241,11,FALSE)),"")</f>
        <v/>
      </c>
      <c r="M31" s="184" t="str">
        <f>IFERROR(IF(VLOOKUP(Wed_W1[[#This Row],[Employee Name]],'Base Schedules'!$A$205:$AW$241,12,FALSE)="","",VLOOKUP(Wed_W1[[#This Row],[Employee Name]],'Base Schedules'!$A$205:$AW$241,12,FALSE)),"")</f>
        <v/>
      </c>
      <c r="N31" s="184" t="str">
        <f>IFERROR(IF(VLOOKUP(Wed_W1[[#This Row],[Employee Name]],'Base Schedules'!$A$205:$AW$241,13,FALSE)="","",VLOOKUP(Wed_W1[[#This Row],[Employee Name]],'Base Schedules'!$A$205:$AW$241,13,FALSE)),"")</f>
        <v/>
      </c>
      <c r="O31" s="184" t="str">
        <f>IFERROR(IF(VLOOKUP(Wed_W1[[#This Row],[Employee Name]],'Base Schedules'!$A$205:$AW$241,14,FALSE)="","",VLOOKUP(Wed_W1[[#This Row],[Employee Name]],'Base Schedules'!$A$205:$AW$241,14,FALSE)),"")</f>
        <v/>
      </c>
      <c r="P31" s="184" t="str">
        <f>IFERROR(IF(VLOOKUP(Wed_W1[[#This Row],[Employee Name]],'Base Schedules'!$A$205:$AW$241,15,FALSE)="","",VLOOKUP(Wed_W1[[#This Row],[Employee Name]],'Base Schedules'!$A$205:$AW$241,15,FALSE)),"")</f>
        <v/>
      </c>
      <c r="Q31" s="184" t="str">
        <f>IFERROR(IF(VLOOKUP(Wed_W1[[#This Row],[Employee Name]],'Base Schedules'!$A$205:$AW$241,16,FALSE)="","",VLOOKUP(Wed_W1[[#This Row],[Employee Name]],'Base Schedules'!$A$205:$AW$241,16,FALSE)),"")</f>
        <v/>
      </c>
      <c r="R31" s="184" t="str">
        <f>IFERROR(IF(VLOOKUP(Wed_W1[[#This Row],[Employee Name]],'Base Schedules'!$A$205:$AW$241,17,FALSE)="","",VLOOKUP(Wed_W1[[#This Row],[Employee Name]],'Base Schedules'!$A$205:$AW$241,17,FALSE)),"")</f>
        <v/>
      </c>
      <c r="S31" s="184" t="str">
        <f>IFERROR(IF(VLOOKUP(Wed_W1[[#This Row],[Employee Name]],'Base Schedules'!$A$205:$AW$241,18,FALSE)="","",VLOOKUP(Wed_W1[[#This Row],[Employee Name]],'Base Schedules'!$A$205:$AW$241,18,FALSE)),"")</f>
        <v/>
      </c>
      <c r="T31" s="184" t="str">
        <f>IFERROR(IF(VLOOKUP(Wed_W1[[#This Row],[Employee Name]],'Base Schedules'!$A$205:$AW$241,19,FALSE)="","",VLOOKUP(Wed_W1[[#This Row],[Employee Name]],'Base Schedules'!$A$205:$AW$241,19,FALSE)),"")</f>
        <v/>
      </c>
      <c r="U31" s="184" t="str">
        <f>IFERROR(IF(VLOOKUP(Wed_W1[[#This Row],[Employee Name]],'Base Schedules'!$A$205:$AW$241,20,FALSE)="","",VLOOKUP(Wed_W1[[#This Row],[Employee Name]],'Base Schedules'!$A$205:$AW$241,20,FALSE)),"")</f>
        <v/>
      </c>
      <c r="V31" s="184" t="str">
        <f>IFERROR(IF(VLOOKUP(Wed_W1[[#This Row],[Employee Name]],'Base Schedules'!$A$205:$AW$241,21,FALSE)="","",VLOOKUP(Wed_W1[[#This Row],[Employee Name]],'Base Schedules'!$A$205:$AW$241,21,FALSE)),"")</f>
        <v/>
      </c>
      <c r="W31" s="184" t="str">
        <f>IFERROR(IF(VLOOKUP(Wed_W1[[#This Row],[Employee Name]],'Base Schedules'!$A$205:$AW$241,22,FALSE)="","",VLOOKUP(Wed_W1[[#This Row],[Employee Name]],'Base Schedules'!$A$205:$AW$241,22,FALSE)),"")</f>
        <v/>
      </c>
      <c r="X31" s="184" t="str">
        <f>IFERROR(IF(VLOOKUP(Wed_W1[[#This Row],[Employee Name]],'Base Schedules'!$A$205:$AW$241,23,FALSE)="","",VLOOKUP(Wed_W1[[#This Row],[Employee Name]],'Base Schedules'!$A$205:$AW$241,23,FALSE)),"")</f>
        <v/>
      </c>
      <c r="Y31" s="184" t="str">
        <f>IFERROR(IF(VLOOKUP(Wed_W1[[#This Row],[Employee Name]],'Base Schedules'!$A$205:$AW$241,24,FALSE)="","",VLOOKUP(Wed_W1[[#This Row],[Employee Name]],'Base Schedules'!$A$205:$AW$241,24,FALSE)),"")</f>
        <v>-</v>
      </c>
      <c r="Z31" s="184" t="str">
        <f>IFERROR(IF(VLOOKUP(Wed_W1[[#This Row],[Employee Name]],'Base Schedules'!$A$205:$AW$241,25,FALSE)="","",VLOOKUP(Wed_W1[[#This Row],[Employee Name]],'Base Schedules'!$A$205:$AW$241,25,FALSE)),"")</f>
        <v>-</v>
      </c>
      <c r="AA31" s="184" t="str">
        <f>IFERROR(IF(VLOOKUP(Wed_W1[[#This Row],[Employee Name]],'Base Schedules'!$A$205:$AW$241,26,FALSE)="","",VLOOKUP(Wed_W1[[#This Row],[Employee Name]],'Base Schedules'!$A$205:$AW$241,26,FALSE)),"")</f>
        <v>-</v>
      </c>
      <c r="AB31" s="184" t="str">
        <f>IFERROR(IF(VLOOKUP(Wed_W1[[#This Row],[Employee Name]],'Base Schedules'!$A$205:$AW$241,27,FALSE)="","",VLOOKUP(Wed_W1[[#This Row],[Employee Name]],'Base Schedules'!$A$205:$AW$241,27,FALSE)),"")</f>
        <v>-</v>
      </c>
      <c r="AC31" s="184" t="str">
        <f>IFERROR(IF(VLOOKUP(Wed_W1[[#This Row],[Employee Name]],'Base Schedules'!$A$205:$AW$241,28,FALSE)="","",VLOOKUP(Wed_W1[[#This Row],[Employee Name]],'Base Schedules'!$A$205:$AW$241,28,FALSE)),"")</f>
        <v>-</v>
      </c>
      <c r="AD31" s="184" t="str">
        <f>IFERROR(IF(VLOOKUP(Wed_W1[[#This Row],[Employee Name]],'Base Schedules'!$A$205:$AW$241,29,FALSE)="","",VLOOKUP(Wed_W1[[#This Row],[Employee Name]],'Base Schedules'!$A$205:$AW$241,29,FALSE)),"")</f>
        <v>Interview</v>
      </c>
      <c r="AE31" s="184" t="str">
        <f>IFERROR(IF(VLOOKUP(Wed_W1[[#This Row],[Employee Name]],'Base Schedules'!$A$205:$AW$241,30,FALSE)="","",VLOOKUP(Wed_W1[[#This Row],[Employee Name]],'Base Schedules'!$A$205:$AW$241,30,FALSE)),"")</f>
        <v>Interview</v>
      </c>
      <c r="AF31" s="184" t="str">
        <f>IFERROR(IF(VLOOKUP(Wed_W1[[#This Row],[Employee Name]],'Base Schedules'!$A$205:$AW$241,31,FALSE)="","",VLOOKUP(Wed_W1[[#This Row],[Employee Name]],'Base Schedules'!$A$205:$AW$241,31,FALSE)),"")</f>
        <v>-</v>
      </c>
      <c r="AG31" s="184" t="str">
        <f>IFERROR(IF(VLOOKUP(Wed_W1[[#This Row],[Employee Name]],'Base Schedules'!$A$205:$AW$241,32,FALSE)="","",VLOOKUP(Wed_W1[[#This Row],[Employee Name]],'Base Schedules'!$A$205:$AW$241,32,FALSE)),"")</f>
        <v>-</v>
      </c>
      <c r="AH31" s="184" t="str">
        <f>IFERROR(IF(VLOOKUP(Wed_W1[[#This Row],[Employee Name]],'Base Schedules'!$A$205:$AW$241,33,FALSE)="","",VLOOKUP(Wed_W1[[#This Row],[Employee Name]],'Base Schedules'!$A$205:$AW$241,33,FALSE)),"")</f>
        <v>-</v>
      </c>
      <c r="AI31" s="184" t="str">
        <f>IFERROR(IF(VLOOKUP(Wed_W1[[#This Row],[Employee Name]],'Base Schedules'!$A$205:$AW$241,34,FALSE)="","",VLOOKUP(Wed_W1[[#This Row],[Employee Name]],'Base Schedules'!$A$205:$AW$241,34,FALSE)),"")</f>
        <v>-</v>
      </c>
      <c r="AJ31" s="184" t="str">
        <f>IFERROR(IF(VLOOKUP(Wed_W1[[#This Row],[Employee Name]],'Base Schedules'!$A$205:$AW$241,35,FALSE)="","",VLOOKUP(Wed_W1[[#This Row],[Employee Name]],'Base Schedules'!$A$205:$AW$241,35,FALSE)),"")</f>
        <v>-</v>
      </c>
      <c r="AK31" s="184" t="str">
        <f>IFERROR(IF(VLOOKUP(Wed_W1[[#This Row],[Employee Name]],'Base Schedules'!$A$205:$AW$241,36,FALSE)="","",VLOOKUP(Wed_W1[[#This Row],[Employee Name]],'Base Schedules'!$A$205:$AW$241,36,FALSE)),"")</f>
        <v>-</v>
      </c>
      <c r="AL31" s="184" t="str">
        <f>IFERROR(IF(VLOOKUP(Wed_W1[[#This Row],[Employee Name]],'Base Schedules'!$A$205:$AW$241,37,FALSE)="","",VLOOKUP(Wed_W1[[#This Row],[Employee Name]],'Base Schedules'!$A$205:$AW$241,37,FALSE)),"")</f>
        <v>-</v>
      </c>
      <c r="AM31" s="184" t="str">
        <f>IFERROR(IF(VLOOKUP(Wed_W1[[#This Row],[Employee Name]],'Base Schedules'!$A$205:$AW$241,38,FALSE)="","",VLOOKUP(Wed_W1[[#This Row],[Employee Name]],'Base Schedules'!$A$205:$AW$241,38,FALSE)),"")</f>
        <v>Coaching</v>
      </c>
      <c r="AN31" s="184" t="str">
        <f>IFERROR(IF(VLOOKUP(Wed_W1[[#This Row],[Employee Name]],'Base Schedules'!$A$205:$AW$241,39,FALSE)="","",VLOOKUP(Wed_W1[[#This Row],[Employee Name]],'Base Schedules'!$A$205:$AW$241,39,FALSE)),"")</f>
        <v>Coaching</v>
      </c>
      <c r="AO31" s="184" t="str">
        <f>IFERROR(IF(VLOOKUP(Wed_W1[[#This Row],[Employee Name]],'Base Schedules'!$A$205:$AW$241,40,FALSE)="","",VLOOKUP(Wed_W1[[#This Row],[Employee Name]],'Base Schedules'!$A$205:$AW$241,40,FALSE)),"")</f>
        <v>Coaching</v>
      </c>
      <c r="AP31" s="184" t="str">
        <f>IFERROR(IF(VLOOKUP(Wed_W1[[#This Row],[Employee Name]],'Base Schedules'!$A$205:$AW$241,41,FALSE)="","",VLOOKUP(Wed_W1[[#This Row],[Employee Name]],'Base Schedules'!$A$205:$AW$241,41,FALSE)),"")</f>
        <v>Coaching</v>
      </c>
      <c r="AQ31" s="184" t="str">
        <f>IFERROR(IF(VLOOKUP(Wed_W1[[#This Row],[Employee Name]],'Base Schedules'!$A$205:$AW$241,42,FALSE)="","",VLOOKUP(Wed_W1[[#This Row],[Employee Name]],'Base Schedules'!$A$205:$AW$241,42,FALSE)),"")</f>
        <v>-</v>
      </c>
      <c r="AR31" s="184" t="str">
        <f>IFERROR(IF(VLOOKUP(Wed_W1[[#This Row],[Employee Name]],'Base Schedules'!$A$205:$AW$241,43,FALSE)="","",VLOOKUP(Wed_W1[[#This Row],[Employee Name]],'Base Schedules'!$A$205:$AW$241,43,FALSE)),"")</f>
        <v/>
      </c>
      <c r="AS31" s="184" t="str">
        <f>IFERROR(IF(VLOOKUP(Wed_W1[[#This Row],[Employee Name]],'Base Schedules'!$A$205:$AW$241,44,FALSE)="","",VLOOKUP(Wed_W1[[#This Row],[Employee Name]],'Base Schedules'!$A$205:$AW$241,44,FALSE)),"")</f>
        <v/>
      </c>
      <c r="AT31" s="184" t="str">
        <f>IFERROR(IF(VLOOKUP(Wed_W1[[#This Row],[Employee Name]],'Base Schedules'!$A$205:$AW$241,45,FALSE)="","",VLOOKUP(Wed_W1[[#This Row],[Employee Name]],'Base Schedules'!$A$205:$AW$241,45,FALSE)),"")</f>
        <v/>
      </c>
      <c r="AU31" s="184" t="str">
        <f>IFERROR(IF(VLOOKUP(Wed_W1[[#This Row],[Employee Name]],'Base Schedules'!$A$205:$AW$241,46,FALSE)="","",VLOOKUP(Wed_W1[[#This Row],[Employee Name]],'Base Schedules'!$A$205:$AW$241,46,FALSE)),"")</f>
        <v/>
      </c>
      <c r="AV31" s="184" t="str">
        <f>IFERROR(IF(VLOOKUP(Wed_W1[[#This Row],[Employee Name]],'Base Schedules'!$A$205:$AW$241,47,FALSE)="","",VLOOKUP(Wed_W1[[#This Row],[Employee Name]],'Base Schedules'!$A$205:$AW$241,47,FALSE)),"")</f>
        <v/>
      </c>
      <c r="AW31" s="184" t="str">
        <f>IFERROR(IF(VLOOKUP(Wed_W1[[#This Row],[Employee Name]],'Base Schedules'!$A$205:$AW$241,48,FALSE)="","",VLOOKUP(Wed_W1[[#This Row],[Employee Name]],'Base Schedules'!$A$205:$AW$241,48,FALSE)),"")</f>
        <v/>
      </c>
      <c r="AX31" s="184" t="str">
        <f>IFERROR(IF(VLOOKUP(Wed_W1[[#This Row],[Employee Name]],'Base Schedules'!$A$205:$AW$241,49,FALSE)="","",VLOOKUP(Wed_W1[[#This Row],[Employee Name]],'Base Schedules'!$A$205:$AW$241,49,FALSE)),"")</f>
        <v/>
      </c>
      <c r="AY31" s="164" t="str">
        <f t="shared" si="2"/>
        <v>Aguilar, Angelica</v>
      </c>
    </row>
    <row r="32" spans="1:51" s="44" customFormat="1" ht="12" x14ac:dyDescent="0.2">
      <c r="A32" s="39" t="str">
        <f>IF(B32="","",INDEX(TeamList[],MATCH($B32,TeamList[[Employee Name]:[Employee Name]],0),MATCH("Manager",TeamList[#Headers],0)))</f>
        <v>Olson, Katherine</v>
      </c>
      <c r="B32" s="201" t="s">
        <v>29</v>
      </c>
      <c r="C32" s="257" t="str">
        <f>_xlfn.IFNA(VLOOKUP(Wed_W1[[#This Row],[Employee Name]],'Base Schedules'!A:B,2,FALSE),"")</f>
        <v>Lead</v>
      </c>
      <c r="D32" s="274">
        <f>_xlfn.IFNA(VLOOKUP(Wed_W1[[#This Row],[Employee Name]],'Base Schedules'!A:C,3,FALSE),"")</f>
        <v>1300</v>
      </c>
      <c r="E32" s="274">
        <f>_xlfn.IFNA(VLOOKUP(Wed_W1[[#This Row],[Employee Name]],'Base Schedules'!A:D,4,FALSE),"")</f>
        <v>2130</v>
      </c>
      <c r="F32" s="142">
        <f>IF(Wed_W1[[#This Row],[Employee Name]]="","",IF(Wed_W1[[#This Row],[Dept]]="Supervisor",COUNTIFS($J32:$AX32,"*HL*",$J32:$AX32,"&lt;&gt;"&amp;"pHL"),COUNTIFS($J32:$AX32,"*HL*",$J32:$AX32,"&lt;&gt;"&amp;"*pHL*",$J32:$AX32,"&lt;&gt;"&amp;"pB1 HL",$J32:$AX32,"&lt;&gt;"&amp;"pB2 HL")-SUM(COUNTIFS($J32:$AX32,"*HL B1*",$J32:$AX32,"&lt;&gt;"&amp;"pHL B1")*0.5,COUNTIFS($J32:$AX32,"*HL B2*",$J32:$AX32,"&lt;&gt;"&amp;"pHL B2")*0.5,COUNTIFS($J32:$AX32,"*B1 HL*",$J32:$AX32,"&lt;&gt;"&amp;"pB1 HL")*0.5,COUNTIFS($J32:$AX32,"*B2 HL*",$J32:$AX32,"&lt;&gt;"&amp;"pB2 HL")*0.5)))</f>
        <v>6</v>
      </c>
      <c r="G32" s="142">
        <f t="shared" si="0"/>
        <v>0</v>
      </c>
      <c r="H32" s="142">
        <f t="shared" si="1"/>
        <v>6</v>
      </c>
      <c r="I32" s="142">
        <f>IF(Wed_W1[[#This Row],[Employee Name]]="","",IF(Wed_W1[[#This Row],[Dept]]="Supervisor",SUM(COUNTIFS($J32:$AX32,"RTA*",$J32:$AX32,"&lt;&gt;"&amp;"pRTA"),COUNTIFS($J32:$AX32,"*CRTA*",$J32:$AX32,"&lt;&gt;"&amp;"pCRTA")),COUNTIFS($J32:$AX32,"*RNNR*",$J32:$AX32,"&lt;&gt;"&amp;"*pRNNR*",$J32:$AX32,"&lt;&gt;"&amp;"pB1 RNNR",$J32:$AX32,"&lt;&gt;"&amp;"pB2 RNNR")-SUM(COUNTIFS($J32:$AX32,"*RNNR B1*",$J32:$AX32,"&lt;&gt;"&amp;"pRNNR B1")*0.5,COUNTIFS($J32:$AX32,"*RNNR B2*",$J32:$AX32,"&lt;&gt;"&amp;"pRNNR B2")*0.5,COUNTIFS($J32:$AX32,"*B1 RNNR*",$J32:$AX32,"&lt;&gt;"&amp;"pB1 RNNR")*0.5,COUNTIFS($J32:$AX32,"*B2 RNNR*",$J32:$AX32,"&lt;&gt;"&amp;"pB2 RNNR")*0.5)))</f>
        <v>2</v>
      </c>
      <c r="J32" s="184" t="str">
        <f>IFERROR(IF(VLOOKUP(Wed_W1[[#This Row],[Employee Name]],'Base Schedules'!$A$205:$AW$241,9,FALSE)="","",VLOOKUP(Wed_W1[[#This Row],[Employee Name]],'Base Schedules'!$A$205:$AW$241,9,FALSE)),"")</f>
        <v/>
      </c>
      <c r="K32" s="184" t="str">
        <f>IFERROR(IF(VLOOKUP(Wed_W1[[#This Row],[Employee Name]],'Base Schedules'!$A$205:$AW$241,10,FALSE)="","",VLOOKUP(Wed_W1[[#This Row],[Employee Name]],'Base Schedules'!$A$205:$AW$241,10,FALSE)),"")</f>
        <v/>
      </c>
      <c r="L32" s="184" t="str">
        <f>IFERROR(IF(VLOOKUP(Wed_W1[[#This Row],[Employee Name]],'Base Schedules'!$A$205:$AW$241,11,FALSE)="","",VLOOKUP(Wed_W1[[#This Row],[Employee Name]],'Base Schedules'!$A$205:$AW$241,11,FALSE)),"")</f>
        <v/>
      </c>
      <c r="M32" s="184" t="str">
        <f>IFERROR(IF(VLOOKUP(Wed_W1[[#This Row],[Employee Name]],'Base Schedules'!$A$205:$AW$241,12,FALSE)="","",VLOOKUP(Wed_W1[[#This Row],[Employee Name]],'Base Schedules'!$A$205:$AW$241,12,FALSE)),"")</f>
        <v/>
      </c>
      <c r="N32" s="184" t="str">
        <f>IFERROR(IF(VLOOKUP(Wed_W1[[#This Row],[Employee Name]],'Base Schedules'!$A$205:$AW$241,13,FALSE)="","",VLOOKUP(Wed_W1[[#This Row],[Employee Name]],'Base Schedules'!$A$205:$AW$241,13,FALSE)),"")</f>
        <v/>
      </c>
      <c r="O32" s="184" t="str">
        <f>IFERROR(IF(VLOOKUP(Wed_W1[[#This Row],[Employee Name]],'Base Schedules'!$A$205:$AW$241,14,FALSE)="","",VLOOKUP(Wed_W1[[#This Row],[Employee Name]],'Base Schedules'!$A$205:$AW$241,14,FALSE)),"")</f>
        <v/>
      </c>
      <c r="P32" s="184" t="str">
        <f>IFERROR(IF(VLOOKUP(Wed_W1[[#This Row],[Employee Name]],'Base Schedules'!$A$205:$AW$241,15,FALSE)="","",VLOOKUP(Wed_W1[[#This Row],[Employee Name]],'Base Schedules'!$A$205:$AW$241,15,FALSE)),"")</f>
        <v/>
      </c>
      <c r="Q32" s="184" t="str">
        <f>IFERROR(IF(VLOOKUP(Wed_W1[[#This Row],[Employee Name]],'Base Schedules'!$A$205:$AW$241,16,FALSE)="","",VLOOKUP(Wed_W1[[#This Row],[Employee Name]],'Base Schedules'!$A$205:$AW$241,16,FALSE)),"")</f>
        <v/>
      </c>
      <c r="R32" s="184" t="str">
        <f>IFERROR(IF(VLOOKUP(Wed_W1[[#This Row],[Employee Name]],'Base Schedules'!$A$205:$AW$241,17,FALSE)="","",VLOOKUP(Wed_W1[[#This Row],[Employee Name]],'Base Schedules'!$A$205:$AW$241,17,FALSE)),"")</f>
        <v/>
      </c>
      <c r="S32" s="184" t="str">
        <f>IFERROR(IF(VLOOKUP(Wed_W1[[#This Row],[Employee Name]],'Base Schedules'!$A$205:$AW$241,18,FALSE)="","",VLOOKUP(Wed_W1[[#This Row],[Employee Name]],'Base Schedules'!$A$205:$AW$241,18,FALSE)),"")</f>
        <v/>
      </c>
      <c r="T32" s="184" t="str">
        <f>IFERROR(IF(VLOOKUP(Wed_W1[[#This Row],[Employee Name]],'Base Schedules'!$A$205:$AW$241,19,FALSE)="","",VLOOKUP(Wed_W1[[#This Row],[Employee Name]],'Base Schedules'!$A$205:$AW$241,19,FALSE)),"")</f>
        <v/>
      </c>
      <c r="U32" s="184" t="str">
        <f>IFERROR(IF(VLOOKUP(Wed_W1[[#This Row],[Employee Name]],'Base Schedules'!$A$205:$AW$241,20,FALSE)="","",VLOOKUP(Wed_W1[[#This Row],[Employee Name]],'Base Schedules'!$A$205:$AW$241,20,FALSE)),"")</f>
        <v/>
      </c>
      <c r="V32" s="184" t="str">
        <f>IFERROR(IF(VLOOKUP(Wed_W1[[#This Row],[Employee Name]],'Base Schedules'!$A$205:$AW$241,21,FALSE)="","",VLOOKUP(Wed_W1[[#This Row],[Employee Name]],'Base Schedules'!$A$205:$AW$241,21,FALSE)),"")</f>
        <v/>
      </c>
      <c r="W32" s="184" t="str">
        <f>IFERROR(IF(VLOOKUP(Wed_W1[[#This Row],[Employee Name]],'Base Schedules'!$A$205:$AW$241,22,FALSE)="","",VLOOKUP(Wed_W1[[#This Row],[Employee Name]],'Base Schedules'!$A$205:$AW$241,22,FALSE)),"")</f>
        <v/>
      </c>
      <c r="X32" s="184" t="str">
        <f>IFERROR(IF(VLOOKUP(Wed_W1[[#This Row],[Employee Name]],'Base Schedules'!$A$205:$AW$241,23,FALSE)="","",VLOOKUP(Wed_W1[[#This Row],[Employee Name]],'Base Schedules'!$A$205:$AW$241,23,FALSE)),"")</f>
        <v/>
      </c>
      <c r="Y32" s="184" t="str">
        <f>IFERROR(IF(VLOOKUP(Wed_W1[[#This Row],[Employee Name]],'Base Schedules'!$A$205:$AW$241,24,FALSE)="","",VLOOKUP(Wed_W1[[#This Row],[Employee Name]],'Base Schedules'!$A$205:$AW$241,24,FALSE)),"")</f>
        <v/>
      </c>
      <c r="Z32" s="184" t="str">
        <f>IFERROR(IF(VLOOKUP(Wed_W1[[#This Row],[Employee Name]],'Base Schedules'!$A$205:$AW$241,25,FALSE)="","",VLOOKUP(Wed_W1[[#This Row],[Employee Name]],'Base Schedules'!$A$205:$AW$241,25,FALSE)),"")</f>
        <v>ADM</v>
      </c>
      <c r="AA32" s="184" t="str">
        <f>IFERROR(IF(VLOOKUP(Wed_W1[[#This Row],[Employee Name]],'Base Schedules'!$A$205:$AW$241,26,FALSE)="","",VLOOKUP(Wed_W1[[#This Row],[Employee Name]],'Base Schedules'!$A$205:$AW$241,26,FALSE)),"")</f>
        <v>ADM</v>
      </c>
      <c r="AB32" s="184" t="str">
        <f>IFERROR(IF(VLOOKUP(Wed_W1[[#This Row],[Employee Name]],'Base Schedules'!$A$205:$AW$241,27,FALSE)="","",VLOOKUP(Wed_W1[[#This Row],[Employee Name]],'Base Schedules'!$A$205:$AW$241,27,FALSE)),"")</f>
        <v>RNNR</v>
      </c>
      <c r="AC32" s="184" t="str">
        <f>IFERROR(IF(VLOOKUP(Wed_W1[[#This Row],[Employee Name]],'Base Schedules'!$A$205:$AW$241,28,FALSE)="","",VLOOKUP(Wed_W1[[#This Row],[Employee Name]],'Base Schedules'!$A$205:$AW$241,28,FALSE)),"")</f>
        <v>RNNR</v>
      </c>
      <c r="AD32" s="184" t="str">
        <f>IFERROR(IF(VLOOKUP(Wed_W1[[#This Row],[Employee Name]],'Base Schedules'!$A$205:$AW$241,29,FALSE)="","",VLOOKUP(Wed_W1[[#This Row],[Employee Name]],'Base Schedules'!$A$205:$AW$241,29,FALSE)),"")</f>
        <v>B1 ADM</v>
      </c>
      <c r="AE32" s="184" t="str">
        <f>IFERROR(IF(VLOOKUP(Wed_W1[[#This Row],[Employee Name]],'Base Schedules'!$A$205:$AW$241,30,FALSE)="","",VLOOKUP(Wed_W1[[#This Row],[Employee Name]],'Base Schedules'!$A$205:$AW$241,30,FALSE)),"")</f>
        <v>ADM</v>
      </c>
      <c r="AF32" s="184" t="str">
        <f>IFERROR(IF(VLOOKUP(Wed_W1[[#This Row],[Employee Name]],'Base Schedules'!$A$205:$AW$241,31,FALSE)="","",VLOOKUP(Wed_W1[[#This Row],[Employee Name]],'Base Schedules'!$A$205:$AW$241,31,FALSE)),"")</f>
        <v>ADM</v>
      </c>
      <c r="AG32" s="184" t="str">
        <f>IFERROR(IF(VLOOKUP(Wed_W1[[#This Row],[Employee Name]],'Base Schedules'!$A$205:$AW$241,32,FALSE)="","",VLOOKUP(Wed_W1[[#This Row],[Employee Name]],'Base Schedules'!$A$205:$AW$241,32,FALSE)),"")</f>
        <v>HL</v>
      </c>
      <c r="AH32" s="184" t="str">
        <f>IFERROR(IF(VLOOKUP(Wed_W1[[#This Row],[Employee Name]],'Base Schedules'!$A$205:$AW$241,33,FALSE)="","",VLOOKUP(Wed_W1[[#This Row],[Employee Name]],'Base Schedules'!$A$205:$AW$241,33,FALSE)),"")</f>
        <v>LUNCH</v>
      </c>
      <c r="AI32" s="184" t="str">
        <f>IFERROR(IF(VLOOKUP(Wed_W1[[#This Row],[Employee Name]],'Base Schedules'!$A$205:$AW$241,34,FALSE)="","",VLOOKUP(Wed_W1[[#This Row],[Employee Name]],'Base Schedules'!$A$205:$AW$241,34,FALSE)),"")</f>
        <v>HL</v>
      </c>
      <c r="AJ32" s="184" t="str">
        <f>IFERROR(IF(VLOOKUP(Wed_W1[[#This Row],[Employee Name]],'Base Schedules'!$A$205:$AW$241,35,FALSE)="","",VLOOKUP(Wed_W1[[#This Row],[Employee Name]],'Base Schedules'!$A$205:$AW$241,35,FALSE)),"")</f>
        <v>PROJECT</v>
      </c>
      <c r="AK32" s="184" t="str">
        <f>IFERROR(IF(VLOOKUP(Wed_W1[[#This Row],[Employee Name]],'Base Schedules'!$A$205:$AW$241,36,FALSE)="","",VLOOKUP(Wed_W1[[#This Row],[Employee Name]],'Base Schedules'!$A$205:$AW$241,36,FALSE)),"")</f>
        <v>PROJECT</v>
      </c>
      <c r="AL32" s="184" t="str">
        <f>IFERROR(IF(VLOOKUP(Wed_W1[[#This Row],[Employee Name]],'Base Schedules'!$A$205:$AW$241,37,FALSE)="","",VLOOKUP(Wed_W1[[#This Row],[Employee Name]],'Base Schedules'!$A$205:$AW$241,37,FALSE)),"")</f>
        <v>HL</v>
      </c>
      <c r="AM32" s="184" t="str">
        <f>IFERROR(IF(VLOOKUP(Wed_W1[[#This Row],[Employee Name]],'Base Schedules'!$A$205:$AW$241,38,FALSE)="","",VLOOKUP(Wed_W1[[#This Row],[Employee Name]],'Base Schedules'!$A$205:$AW$241,38,FALSE)),"")</f>
        <v>ADM B2</v>
      </c>
      <c r="AN32" s="184" t="str">
        <f>IFERROR(IF(VLOOKUP(Wed_W1[[#This Row],[Employee Name]],'Base Schedules'!$A$205:$AW$241,39,FALSE)="","",VLOOKUP(Wed_W1[[#This Row],[Employee Name]],'Base Schedules'!$A$205:$AW$241,39,FALSE)),"")</f>
        <v>HL</v>
      </c>
      <c r="AO32" s="184" t="str">
        <f>IFERROR(IF(VLOOKUP(Wed_W1[[#This Row],[Employee Name]],'Base Schedules'!$A$205:$AW$241,40,FALSE)="","",VLOOKUP(Wed_W1[[#This Row],[Employee Name]],'Base Schedules'!$A$205:$AW$241,40,FALSE)),"")</f>
        <v>HL</v>
      </c>
      <c r="AP32" s="184" t="str">
        <f>IFERROR(IF(VLOOKUP(Wed_W1[[#This Row],[Employee Name]],'Base Schedules'!$A$205:$AW$241,41,FALSE)="","",VLOOKUP(Wed_W1[[#This Row],[Employee Name]],'Base Schedules'!$A$205:$AW$241,41,FALSE)),"")</f>
        <v>HL</v>
      </c>
      <c r="AQ32" s="184" t="str">
        <f>IFERROR(IF(VLOOKUP(Wed_W1[[#This Row],[Employee Name]],'Base Schedules'!$A$205:$AW$241,42,FALSE)="","",VLOOKUP(Wed_W1[[#This Row],[Employee Name]],'Base Schedules'!$A$205:$AW$241,42,FALSE)),"")</f>
        <v/>
      </c>
      <c r="AR32" s="184" t="str">
        <f>IFERROR(IF(VLOOKUP(Wed_W1[[#This Row],[Employee Name]],'Base Schedules'!$A$205:$AW$241,43,FALSE)="","",VLOOKUP(Wed_W1[[#This Row],[Employee Name]],'Base Schedules'!$A$205:$AW$241,43,FALSE)),"")</f>
        <v/>
      </c>
      <c r="AS32" s="184" t="str">
        <f>IFERROR(IF(VLOOKUP(Wed_W1[[#This Row],[Employee Name]],'Base Schedules'!$A$205:$AW$241,44,FALSE)="","",VLOOKUP(Wed_W1[[#This Row],[Employee Name]],'Base Schedules'!$A$205:$AW$241,44,FALSE)),"")</f>
        <v/>
      </c>
      <c r="AT32" s="184" t="str">
        <f>IFERROR(IF(VLOOKUP(Wed_W1[[#This Row],[Employee Name]],'Base Schedules'!$A$205:$AW$241,45,FALSE)="","",VLOOKUP(Wed_W1[[#This Row],[Employee Name]],'Base Schedules'!$A$205:$AW$241,45,FALSE)),"")</f>
        <v/>
      </c>
      <c r="AU32" s="184" t="str">
        <f>IFERROR(IF(VLOOKUP(Wed_W1[[#This Row],[Employee Name]],'Base Schedules'!$A$205:$AW$241,46,FALSE)="","",VLOOKUP(Wed_W1[[#This Row],[Employee Name]],'Base Schedules'!$A$205:$AW$241,46,FALSE)),"")</f>
        <v/>
      </c>
      <c r="AV32" s="184" t="str">
        <f>IFERROR(IF(VLOOKUP(Wed_W1[[#This Row],[Employee Name]],'Base Schedules'!$A$205:$AW$241,47,FALSE)="","",VLOOKUP(Wed_W1[[#This Row],[Employee Name]],'Base Schedules'!$A$205:$AW$241,47,FALSE)),"")</f>
        <v/>
      </c>
      <c r="AW32" s="184" t="str">
        <f>IFERROR(IF(VLOOKUP(Wed_W1[[#This Row],[Employee Name]],'Base Schedules'!$A$205:$AW$241,48,FALSE)="","",VLOOKUP(Wed_W1[[#This Row],[Employee Name]],'Base Schedules'!$A$205:$AW$241,48,FALSE)),"")</f>
        <v/>
      </c>
      <c r="AX32" s="184" t="str">
        <f>IFERROR(IF(VLOOKUP(Wed_W1[[#This Row],[Employee Name]],'Base Schedules'!$A$205:$AW$241,49,FALSE)="","",VLOOKUP(Wed_W1[[#This Row],[Employee Name]],'Base Schedules'!$A$205:$AW$241,49,FALSE)),"")</f>
        <v/>
      </c>
      <c r="AY32" s="164" t="str">
        <f t="shared" si="2"/>
        <v>Mood, Ken</v>
      </c>
    </row>
    <row r="33" spans="1:51" s="44" customFormat="1" ht="12" x14ac:dyDescent="0.2">
      <c r="A33" s="39" t="str">
        <f>IF(B33="","",INDEX(TeamList[],MATCH($B33,TeamList[[Employee Name]:[Employee Name]],0),MATCH("Manager",TeamList[#Headers],0)))</f>
        <v>Paulson, Matthew</v>
      </c>
      <c r="B33" s="333" t="s">
        <v>59</v>
      </c>
      <c r="C33" s="257" t="str">
        <f>_xlfn.IFNA(VLOOKUP(Wed_W1[[#This Row],[Employee Name]],'Base Schedules'!A:B,2,FALSE),"")</f>
        <v>Supervisor</v>
      </c>
      <c r="D33" s="274">
        <f>_xlfn.IFNA(VLOOKUP(Wed_W1[[#This Row],[Employee Name]],'Base Schedules'!A:C,3,FALSE),"")</f>
        <v>1300</v>
      </c>
      <c r="E33" s="274">
        <f>_xlfn.IFNA(VLOOKUP(Wed_W1[[#This Row],[Employee Name]],'Base Schedules'!A:D,4,FALSE),"")</f>
        <v>2200</v>
      </c>
      <c r="F33" s="142">
        <f>IF(Wed_W1[[#This Row],[Employee Name]]="","",IF(Wed_W1[[#This Row],[Dept]]="Supervisor",COUNTIFS($J33:$AX33,"*HL*",$J33:$AX33,"&lt;&gt;"&amp;"pHL"),COUNTIFS($J33:$AX33,"*HL*",$J33:$AX33,"&lt;&gt;"&amp;"*pHL*",$J33:$AX33,"&lt;&gt;"&amp;"pB1 HL",$J33:$AX33,"&lt;&gt;"&amp;"pB2 HL")-SUM(COUNTIFS($J33:$AX33,"*HL B1*",$J33:$AX33,"&lt;&gt;"&amp;"pHL B1")*0.5,COUNTIFS($J33:$AX33,"*HL B2*",$J33:$AX33,"&lt;&gt;"&amp;"pHL B2")*0.5,COUNTIFS($J33:$AX33,"*B1 HL*",$J33:$AX33,"&lt;&gt;"&amp;"pB1 HL")*0.5,COUNTIFS($J33:$AX33,"*B2 HL*",$J33:$AX33,"&lt;&gt;"&amp;"pB2 HL")*0.5)))</f>
        <v>0</v>
      </c>
      <c r="G33" s="142">
        <f t="shared" si="0"/>
        <v>4</v>
      </c>
      <c r="H33" s="142">
        <f t="shared" si="1"/>
        <v>0</v>
      </c>
      <c r="I33" s="142">
        <f>IF(Wed_W1[[#This Row],[Employee Name]]="","",IF(Wed_W1[[#This Row],[Dept]]="Supervisor",SUM(COUNTIFS($J33:$AX33,"RTA*",$J33:$AX33,"&lt;&gt;"&amp;"pRTA"),COUNTIFS($J33:$AX33,"*CRTA*",$J33:$AX33,"&lt;&gt;"&amp;"pCRTA")),COUNTIFS($J33:$AX33,"*RNNR*",$J33:$AX33,"&lt;&gt;"&amp;"*pRNNR*",$J33:$AX33,"&lt;&gt;"&amp;"pB1 RNNR",$J33:$AX33,"&lt;&gt;"&amp;"pB2 RNNR")-SUM(COUNTIFS($J33:$AX33,"*RNNR B1*",$J33:$AX33,"&lt;&gt;"&amp;"pRNNR B1")*0.5,COUNTIFS($J33:$AX33,"*RNNR B2*",$J33:$AX33,"&lt;&gt;"&amp;"pRNNR B2")*0.5,COUNTIFS($J33:$AX33,"*B1 RNNR*",$J33:$AX33,"&lt;&gt;"&amp;"pB1 RNNR")*0.5,COUNTIFS($J33:$AX33,"*B2 RNNR*",$J33:$AX33,"&lt;&gt;"&amp;"pB2 RNNR")*0.5)))</f>
        <v>0</v>
      </c>
      <c r="J33" s="184" t="str">
        <f>IFERROR(IF(VLOOKUP(Wed_W1[[#This Row],[Employee Name]],'Base Schedules'!$A$205:$AW$241,9,FALSE)="","",VLOOKUP(Wed_W1[[#This Row],[Employee Name]],'Base Schedules'!$A$205:$AW$241,9,FALSE)),"")</f>
        <v/>
      </c>
      <c r="K33" s="184" t="str">
        <f>IFERROR(IF(VLOOKUP(Wed_W1[[#This Row],[Employee Name]],'Base Schedules'!$A$205:$AW$241,10,FALSE)="","",VLOOKUP(Wed_W1[[#This Row],[Employee Name]],'Base Schedules'!$A$205:$AW$241,10,FALSE)),"")</f>
        <v/>
      </c>
      <c r="L33" s="184" t="str">
        <f>IFERROR(IF(VLOOKUP(Wed_W1[[#This Row],[Employee Name]],'Base Schedules'!$A$205:$AW$241,11,FALSE)="","",VLOOKUP(Wed_W1[[#This Row],[Employee Name]],'Base Schedules'!$A$205:$AW$241,11,FALSE)),"")</f>
        <v/>
      </c>
      <c r="M33" s="184" t="str">
        <f>IFERROR(IF(VLOOKUP(Wed_W1[[#This Row],[Employee Name]],'Base Schedules'!$A$205:$AW$241,12,FALSE)="","",VLOOKUP(Wed_W1[[#This Row],[Employee Name]],'Base Schedules'!$A$205:$AW$241,12,FALSE)),"")</f>
        <v/>
      </c>
      <c r="N33" s="184" t="str">
        <f>IFERROR(IF(VLOOKUP(Wed_W1[[#This Row],[Employee Name]],'Base Schedules'!$A$205:$AW$241,13,FALSE)="","",VLOOKUP(Wed_W1[[#This Row],[Employee Name]],'Base Schedules'!$A$205:$AW$241,13,FALSE)),"")</f>
        <v/>
      </c>
      <c r="O33" s="184" t="str">
        <f>IFERROR(IF(VLOOKUP(Wed_W1[[#This Row],[Employee Name]],'Base Schedules'!$A$205:$AW$241,14,FALSE)="","",VLOOKUP(Wed_W1[[#This Row],[Employee Name]],'Base Schedules'!$A$205:$AW$241,14,FALSE)),"")</f>
        <v/>
      </c>
      <c r="P33" s="184" t="str">
        <f>IFERROR(IF(VLOOKUP(Wed_W1[[#This Row],[Employee Name]],'Base Schedules'!$A$205:$AW$241,15,FALSE)="","",VLOOKUP(Wed_W1[[#This Row],[Employee Name]],'Base Schedules'!$A$205:$AW$241,15,FALSE)),"")</f>
        <v/>
      </c>
      <c r="Q33" s="184" t="str">
        <f>IFERROR(IF(VLOOKUP(Wed_W1[[#This Row],[Employee Name]],'Base Schedules'!$A$205:$AW$241,16,FALSE)="","",VLOOKUP(Wed_W1[[#This Row],[Employee Name]],'Base Schedules'!$A$205:$AW$241,16,FALSE)),"")</f>
        <v/>
      </c>
      <c r="R33" s="184" t="str">
        <f>IFERROR(IF(VLOOKUP(Wed_W1[[#This Row],[Employee Name]],'Base Schedules'!$A$205:$AW$241,17,FALSE)="","",VLOOKUP(Wed_W1[[#This Row],[Employee Name]],'Base Schedules'!$A$205:$AW$241,17,FALSE)),"")</f>
        <v/>
      </c>
      <c r="S33" s="184" t="str">
        <f>IFERROR(IF(VLOOKUP(Wed_W1[[#This Row],[Employee Name]],'Base Schedules'!$A$205:$AW$241,18,FALSE)="","",VLOOKUP(Wed_W1[[#This Row],[Employee Name]],'Base Schedules'!$A$205:$AW$241,18,FALSE)),"")</f>
        <v/>
      </c>
      <c r="T33" s="184" t="str">
        <f>IFERROR(IF(VLOOKUP(Wed_W1[[#This Row],[Employee Name]],'Base Schedules'!$A$205:$AW$241,19,FALSE)="","",VLOOKUP(Wed_W1[[#This Row],[Employee Name]],'Base Schedules'!$A$205:$AW$241,19,FALSE)),"")</f>
        <v/>
      </c>
      <c r="U33" s="184" t="str">
        <f>IFERROR(IF(VLOOKUP(Wed_W1[[#This Row],[Employee Name]],'Base Schedules'!$A$205:$AW$241,20,FALSE)="","",VLOOKUP(Wed_W1[[#This Row],[Employee Name]],'Base Schedules'!$A$205:$AW$241,20,FALSE)),"")</f>
        <v/>
      </c>
      <c r="V33" s="184" t="str">
        <f>IFERROR(IF(VLOOKUP(Wed_W1[[#This Row],[Employee Name]],'Base Schedules'!$A$205:$AW$241,21,FALSE)="","",VLOOKUP(Wed_W1[[#This Row],[Employee Name]],'Base Schedules'!$A$205:$AW$241,21,FALSE)),"")</f>
        <v/>
      </c>
      <c r="W33" s="184" t="str">
        <f>IFERROR(IF(VLOOKUP(Wed_W1[[#This Row],[Employee Name]],'Base Schedules'!$A$205:$AW$241,22,FALSE)="","",VLOOKUP(Wed_W1[[#This Row],[Employee Name]],'Base Schedules'!$A$205:$AW$241,22,FALSE)),"")</f>
        <v/>
      </c>
      <c r="X33" s="184" t="str">
        <f>IFERROR(IF(VLOOKUP(Wed_W1[[#This Row],[Employee Name]],'Base Schedules'!$A$205:$AW$241,23,FALSE)="","",VLOOKUP(Wed_W1[[#This Row],[Employee Name]],'Base Schedules'!$A$205:$AW$241,23,FALSE)),"")</f>
        <v/>
      </c>
      <c r="Y33" s="184" t="str">
        <f>IFERROR(IF(VLOOKUP(Wed_W1[[#This Row],[Employee Name]],'Base Schedules'!$A$205:$AW$241,24,FALSE)="","",VLOOKUP(Wed_W1[[#This Row],[Employee Name]],'Base Schedules'!$A$205:$AW$241,24,FALSE)),"")</f>
        <v/>
      </c>
      <c r="Z33" s="184" t="str">
        <f>IFERROR(IF(VLOOKUP(Wed_W1[[#This Row],[Employee Name]],'Base Schedules'!$A$205:$AW$241,25,FALSE)="","",VLOOKUP(Wed_W1[[#This Row],[Employee Name]],'Base Schedules'!$A$205:$AW$241,25,FALSE)),"")</f>
        <v>-</v>
      </c>
      <c r="AA33" s="184" t="str">
        <f>IFERROR(IF(VLOOKUP(Wed_W1[[#This Row],[Employee Name]],'Base Schedules'!$A$205:$AW$241,26,FALSE)="","",VLOOKUP(Wed_W1[[#This Row],[Employee Name]],'Base Schedules'!$A$205:$AW$241,26,FALSE)),"")</f>
        <v>Coaching</v>
      </c>
      <c r="AB33" s="184" t="str">
        <f>IFERROR(IF(VLOOKUP(Wed_W1[[#This Row],[Employee Name]],'Base Schedules'!$A$205:$AW$241,27,FALSE)="","",VLOOKUP(Wed_W1[[#This Row],[Employee Name]],'Base Schedules'!$A$205:$AW$241,27,FALSE)),"")</f>
        <v>Coaching</v>
      </c>
      <c r="AC33" s="184" t="str">
        <f>IFERROR(IF(VLOOKUP(Wed_W1[[#This Row],[Employee Name]],'Base Schedules'!$A$205:$AW$241,28,FALSE)="","",VLOOKUP(Wed_W1[[#This Row],[Employee Name]],'Base Schedules'!$A$205:$AW$241,28,FALSE)),"")</f>
        <v>Coaching</v>
      </c>
      <c r="AD33" s="184" t="str">
        <f>IFERROR(IF(VLOOKUP(Wed_W1[[#This Row],[Employee Name]],'Base Schedules'!$A$205:$AW$241,29,FALSE)="","",VLOOKUP(Wed_W1[[#This Row],[Employee Name]],'Base Schedules'!$A$205:$AW$241,29,FALSE)),"")</f>
        <v>Coaching</v>
      </c>
      <c r="AE33" s="184" t="str">
        <f>IFERROR(IF(VLOOKUP(Wed_W1[[#This Row],[Employee Name]],'Base Schedules'!$A$205:$AW$241,30,FALSE)="","",VLOOKUP(Wed_W1[[#This Row],[Employee Name]],'Base Schedules'!$A$205:$AW$241,30,FALSE)),"")</f>
        <v>-</v>
      </c>
      <c r="AF33" s="184" t="str">
        <f>IFERROR(IF(VLOOKUP(Wed_W1[[#This Row],[Employee Name]],'Base Schedules'!$A$205:$AW$241,31,FALSE)="","",VLOOKUP(Wed_W1[[#This Row],[Employee Name]],'Base Schedules'!$A$205:$AW$241,31,FALSE)),"")</f>
        <v>Team RL TM</v>
      </c>
      <c r="AG33" s="184" t="str">
        <f>IFERROR(IF(VLOOKUP(Wed_W1[[#This Row],[Employee Name]],'Base Schedules'!$A$205:$AW$241,32,FALSE)="","",VLOOKUP(Wed_W1[[#This Row],[Employee Name]],'Base Schedules'!$A$205:$AW$241,32,FALSE)),"")</f>
        <v>Team RL TM</v>
      </c>
      <c r="AH33" s="184" t="str">
        <f>IFERROR(IF(VLOOKUP(Wed_W1[[#This Row],[Employee Name]],'Base Schedules'!$A$205:$AW$241,33,FALSE)="","",VLOOKUP(Wed_W1[[#This Row],[Employee Name]],'Base Schedules'!$A$205:$AW$241,33,FALSE)),"")</f>
        <v>-</v>
      </c>
      <c r="AI33" s="184" t="str">
        <f>IFERROR(IF(VLOOKUP(Wed_W1[[#This Row],[Employee Name]],'Base Schedules'!$A$205:$AW$241,34,FALSE)="","",VLOOKUP(Wed_W1[[#This Row],[Employee Name]],'Base Schedules'!$A$205:$AW$241,34,FALSE)),"")</f>
        <v>TM PREP</v>
      </c>
      <c r="AJ33" s="184" t="str">
        <f>IFERROR(IF(VLOOKUP(Wed_W1[[#This Row],[Employee Name]],'Base Schedules'!$A$205:$AW$241,35,FALSE)="","",VLOOKUP(Wed_W1[[#This Row],[Employee Name]],'Base Schedules'!$A$205:$AW$241,35,FALSE)),"")</f>
        <v>BANUELOS TM</v>
      </c>
      <c r="AK33" s="184" t="str">
        <f>IFERROR(IF(VLOOKUP(Wed_W1[[#This Row],[Employee Name]],'Base Schedules'!$A$205:$AW$241,36,FALSE)="","",VLOOKUP(Wed_W1[[#This Row],[Employee Name]],'Base Schedules'!$A$205:$AW$241,36,FALSE)),"")</f>
        <v>BANUELOS TM</v>
      </c>
      <c r="AL33" s="184" t="str">
        <f>IFERROR(IF(VLOOKUP(Wed_W1[[#This Row],[Employee Name]],'Base Schedules'!$A$205:$AW$241,37,FALSE)="","",VLOOKUP(Wed_W1[[#This Row],[Employee Name]],'Base Schedules'!$A$205:$AW$241,37,FALSE)),"")</f>
        <v>-</v>
      </c>
      <c r="AM33" s="184" t="str">
        <f>IFERROR(IF(VLOOKUP(Wed_W1[[#This Row],[Employee Name]],'Base Schedules'!$A$205:$AW$241,38,FALSE)="","",VLOOKUP(Wed_W1[[#This Row],[Employee Name]],'Base Schedules'!$A$205:$AW$241,38,FALSE)),"")</f>
        <v>-</v>
      </c>
      <c r="AN33" s="184" t="str">
        <f>IFERROR(IF(VLOOKUP(Wed_W1[[#This Row],[Employee Name]],'Base Schedules'!$A$205:$AW$241,39,FALSE)="","",VLOOKUP(Wed_W1[[#This Row],[Employee Name]],'Base Schedules'!$A$205:$AW$241,39,FALSE)),"")</f>
        <v>-</v>
      </c>
      <c r="AO33" s="184" t="str">
        <f>IFERROR(IF(VLOOKUP(Wed_W1[[#This Row],[Employee Name]],'Base Schedules'!$A$205:$AW$241,40,FALSE)="","",VLOOKUP(Wed_W1[[#This Row],[Employee Name]],'Base Schedules'!$A$205:$AW$241,40,FALSE)),"")</f>
        <v>-</v>
      </c>
      <c r="AP33" s="184" t="str">
        <f>IFERROR(IF(VLOOKUP(Wed_W1[[#This Row],[Employee Name]],'Base Schedules'!$A$205:$AW$241,41,FALSE)="","",VLOOKUP(Wed_W1[[#This Row],[Employee Name]],'Base Schedules'!$A$205:$AW$241,41,FALSE)),"")</f>
        <v>-</v>
      </c>
      <c r="AQ33" s="184" t="str">
        <f>IFERROR(IF(VLOOKUP(Wed_W1[[#This Row],[Employee Name]],'Base Schedules'!$A$205:$AW$241,42,FALSE)="","",VLOOKUP(Wed_W1[[#This Row],[Employee Name]],'Base Schedules'!$A$205:$AW$241,42,FALSE)),"")</f>
        <v>-</v>
      </c>
      <c r="AR33" s="184" t="str">
        <f>IFERROR(IF(VLOOKUP(Wed_W1[[#This Row],[Employee Name]],'Base Schedules'!$A$205:$AW$241,43,FALSE)="","",VLOOKUP(Wed_W1[[#This Row],[Employee Name]],'Base Schedules'!$A$205:$AW$241,43,FALSE)),"")</f>
        <v/>
      </c>
      <c r="AS33" s="184" t="str">
        <f>IFERROR(IF(VLOOKUP(Wed_W1[[#This Row],[Employee Name]],'Base Schedules'!$A$205:$AW$241,44,FALSE)="","",VLOOKUP(Wed_W1[[#This Row],[Employee Name]],'Base Schedules'!$A$205:$AW$241,44,FALSE)),"")</f>
        <v/>
      </c>
      <c r="AT33" s="184" t="str">
        <f>IFERROR(IF(VLOOKUP(Wed_W1[[#This Row],[Employee Name]],'Base Schedules'!$A$205:$AW$241,45,FALSE)="","",VLOOKUP(Wed_W1[[#This Row],[Employee Name]],'Base Schedules'!$A$205:$AW$241,45,FALSE)),"")</f>
        <v/>
      </c>
      <c r="AU33" s="184" t="str">
        <f>IFERROR(IF(VLOOKUP(Wed_W1[[#This Row],[Employee Name]],'Base Schedules'!$A$205:$AW$241,46,FALSE)="","",VLOOKUP(Wed_W1[[#This Row],[Employee Name]],'Base Schedules'!$A$205:$AW$241,46,FALSE)),"")</f>
        <v/>
      </c>
      <c r="AV33" s="184" t="str">
        <f>IFERROR(IF(VLOOKUP(Wed_W1[[#This Row],[Employee Name]],'Base Schedules'!$A$205:$AW$241,47,FALSE)="","",VLOOKUP(Wed_W1[[#This Row],[Employee Name]],'Base Schedules'!$A$205:$AW$241,47,FALSE)),"")</f>
        <v/>
      </c>
      <c r="AW33" s="184" t="str">
        <f>IFERROR(IF(VLOOKUP(Wed_W1[[#This Row],[Employee Name]],'Base Schedules'!$A$205:$AW$241,48,FALSE)="","",VLOOKUP(Wed_W1[[#This Row],[Employee Name]],'Base Schedules'!$A$205:$AW$241,48,FALSE)),"")</f>
        <v/>
      </c>
      <c r="AX33" s="184" t="str">
        <f>IFERROR(IF(VLOOKUP(Wed_W1[[#This Row],[Employee Name]],'Base Schedules'!$A$205:$AW$241,49,FALSE)="","",VLOOKUP(Wed_W1[[#This Row],[Employee Name]],'Base Schedules'!$A$205:$AW$241,49,FALSE)),"")</f>
        <v/>
      </c>
      <c r="AY33" s="166" t="str">
        <f t="shared" si="2"/>
        <v>Banuelos, Lincoln</v>
      </c>
    </row>
    <row r="34" spans="1:51" s="44" customFormat="1" ht="12" x14ac:dyDescent="0.2">
      <c r="A34" s="39" t="str">
        <f>IF(B34="","",INDEX(TeamList[],MATCH($B34,TeamList[[Employee Name]:[Employee Name]],0),MATCH("Manager",TeamList[#Headers],0)))</f>
        <v>Olson, Katherine</v>
      </c>
      <c r="B34" s="201" t="s">
        <v>57</v>
      </c>
      <c r="C34" s="257" t="str">
        <f>_xlfn.IFNA(VLOOKUP(Wed_W1[[#This Row],[Employee Name]],'Base Schedules'!A:B,2,FALSE),"")</f>
        <v>Supervisor</v>
      </c>
      <c r="D34" s="274">
        <f>_xlfn.IFNA(VLOOKUP(Wed_W1[[#This Row],[Employee Name]],'Base Schedules'!A:C,3,FALSE),"")</f>
        <v>1300</v>
      </c>
      <c r="E34" s="274">
        <f>_xlfn.IFNA(VLOOKUP(Wed_W1[[#This Row],[Employee Name]],'Base Schedules'!A:D,4,FALSE),"")</f>
        <v>2200</v>
      </c>
      <c r="F34" s="142">
        <f>IF(Wed_W1[[#This Row],[Employee Name]]="","",IF(Wed_W1[[#This Row],[Dept]]="Supervisor",COUNTIFS($J34:$AX34,"*HL*",$J34:$AX34,"&lt;&gt;"&amp;"pHL"),COUNTIFS($J34:$AX34,"*HL*",$J34:$AX34,"&lt;&gt;"&amp;"*pHL*",$J34:$AX34,"&lt;&gt;"&amp;"pB1 HL",$J34:$AX34,"&lt;&gt;"&amp;"pB2 HL")-SUM(COUNTIFS($J34:$AX34,"*HL B1*",$J34:$AX34,"&lt;&gt;"&amp;"pHL B1")*0.5,COUNTIFS($J34:$AX34,"*HL B2*",$J34:$AX34,"&lt;&gt;"&amp;"pHL B2")*0.5,COUNTIFS($J34:$AX34,"*B1 HL*",$J34:$AX34,"&lt;&gt;"&amp;"pB1 HL")*0.5,COUNTIFS($J34:$AX34,"*B2 HL*",$J34:$AX34,"&lt;&gt;"&amp;"pB2 HL")*0.5)))</f>
        <v>0</v>
      </c>
      <c r="G34" s="142">
        <f t="shared" si="0"/>
        <v>4</v>
      </c>
      <c r="H34" s="142">
        <f t="shared" si="1"/>
        <v>0</v>
      </c>
      <c r="I34" s="142">
        <f>IF(Wed_W1[[#This Row],[Employee Name]]="","",IF(Wed_W1[[#This Row],[Dept]]="Supervisor",SUM(COUNTIFS($J34:$AX34,"RTA*",$J34:$AX34,"&lt;&gt;"&amp;"pRTA"),COUNTIFS($J34:$AX34,"*CRTA*",$J34:$AX34,"&lt;&gt;"&amp;"pCRTA")),COUNTIFS($J34:$AX34,"*RNNR*",$J34:$AX34,"&lt;&gt;"&amp;"*pRNNR*",$J34:$AX34,"&lt;&gt;"&amp;"pB1 RNNR",$J34:$AX34,"&lt;&gt;"&amp;"pB2 RNNR")-SUM(COUNTIFS($J34:$AX34,"*RNNR B1*",$J34:$AX34,"&lt;&gt;"&amp;"pRNNR B1")*0.5,COUNTIFS($J34:$AX34,"*RNNR B2*",$J34:$AX34,"&lt;&gt;"&amp;"pRNNR B2")*0.5,COUNTIFS($J34:$AX34,"*B1 RNNR*",$J34:$AX34,"&lt;&gt;"&amp;"pB1 RNNR")*0.5,COUNTIFS($J34:$AX34,"*B2 RNNR*",$J34:$AX34,"&lt;&gt;"&amp;"pB2 RNNR")*0.5)))</f>
        <v>0</v>
      </c>
      <c r="J34" s="184" t="str">
        <f>IFERROR(IF(VLOOKUP(Wed_W1[[#This Row],[Employee Name]],'Base Schedules'!$A$205:$AW$241,9,FALSE)="","",VLOOKUP(Wed_W1[[#This Row],[Employee Name]],'Base Schedules'!$A$205:$AW$241,9,FALSE)),"")</f>
        <v/>
      </c>
      <c r="K34" s="184" t="str">
        <f>IFERROR(IF(VLOOKUP(Wed_W1[[#This Row],[Employee Name]],'Base Schedules'!$A$205:$AW$241,10,FALSE)="","",VLOOKUP(Wed_W1[[#This Row],[Employee Name]],'Base Schedules'!$A$205:$AW$241,10,FALSE)),"")</f>
        <v/>
      </c>
      <c r="L34" s="184" t="str">
        <f>IFERROR(IF(VLOOKUP(Wed_W1[[#This Row],[Employee Name]],'Base Schedules'!$A$205:$AW$241,11,FALSE)="","",VLOOKUP(Wed_W1[[#This Row],[Employee Name]],'Base Schedules'!$A$205:$AW$241,11,FALSE)),"")</f>
        <v/>
      </c>
      <c r="M34" s="184" t="str">
        <f>IFERROR(IF(VLOOKUP(Wed_W1[[#This Row],[Employee Name]],'Base Schedules'!$A$205:$AW$241,12,FALSE)="","",VLOOKUP(Wed_W1[[#This Row],[Employee Name]],'Base Schedules'!$A$205:$AW$241,12,FALSE)),"")</f>
        <v/>
      </c>
      <c r="N34" s="184" t="str">
        <f>IFERROR(IF(VLOOKUP(Wed_W1[[#This Row],[Employee Name]],'Base Schedules'!$A$205:$AW$241,13,FALSE)="","",VLOOKUP(Wed_W1[[#This Row],[Employee Name]],'Base Schedules'!$A$205:$AW$241,13,FALSE)),"")</f>
        <v/>
      </c>
      <c r="O34" s="184" t="str">
        <f>IFERROR(IF(VLOOKUP(Wed_W1[[#This Row],[Employee Name]],'Base Schedules'!$A$205:$AW$241,14,FALSE)="","",VLOOKUP(Wed_W1[[#This Row],[Employee Name]],'Base Schedules'!$A$205:$AW$241,14,FALSE)),"")</f>
        <v/>
      </c>
      <c r="P34" s="184" t="str">
        <f>IFERROR(IF(VLOOKUP(Wed_W1[[#This Row],[Employee Name]],'Base Schedules'!$A$205:$AW$241,15,FALSE)="","",VLOOKUP(Wed_W1[[#This Row],[Employee Name]],'Base Schedules'!$A$205:$AW$241,15,FALSE)),"")</f>
        <v/>
      </c>
      <c r="Q34" s="184" t="str">
        <f>IFERROR(IF(VLOOKUP(Wed_W1[[#This Row],[Employee Name]],'Base Schedules'!$A$205:$AW$241,16,FALSE)="","",VLOOKUP(Wed_W1[[#This Row],[Employee Name]],'Base Schedules'!$A$205:$AW$241,16,FALSE)),"")</f>
        <v/>
      </c>
      <c r="R34" s="184" t="str">
        <f>IFERROR(IF(VLOOKUP(Wed_W1[[#This Row],[Employee Name]],'Base Schedules'!$A$205:$AW$241,17,FALSE)="","",VLOOKUP(Wed_W1[[#This Row],[Employee Name]],'Base Schedules'!$A$205:$AW$241,17,FALSE)),"")</f>
        <v/>
      </c>
      <c r="S34" s="184" t="str">
        <f>IFERROR(IF(VLOOKUP(Wed_W1[[#This Row],[Employee Name]],'Base Schedules'!$A$205:$AW$241,18,FALSE)="","",VLOOKUP(Wed_W1[[#This Row],[Employee Name]],'Base Schedules'!$A$205:$AW$241,18,FALSE)),"")</f>
        <v/>
      </c>
      <c r="T34" s="184" t="str">
        <f>IFERROR(IF(VLOOKUP(Wed_W1[[#This Row],[Employee Name]],'Base Schedules'!$A$205:$AW$241,19,FALSE)="","",VLOOKUP(Wed_W1[[#This Row],[Employee Name]],'Base Schedules'!$A$205:$AW$241,19,FALSE)),"")</f>
        <v/>
      </c>
      <c r="U34" s="184" t="str">
        <f>IFERROR(IF(VLOOKUP(Wed_W1[[#This Row],[Employee Name]],'Base Schedules'!$A$205:$AW$241,20,FALSE)="","",VLOOKUP(Wed_W1[[#This Row],[Employee Name]],'Base Schedules'!$A$205:$AW$241,20,FALSE)),"")</f>
        <v/>
      </c>
      <c r="V34" s="184" t="str">
        <f>IFERROR(IF(VLOOKUP(Wed_W1[[#This Row],[Employee Name]],'Base Schedules'!$A$205:$AW$241,21,FALSE)="","",VLOOKUP(Wed_W1[[#This Row],[Employee Name]],'Base Schedules'!$A$205:$AW$241,21,FALSE)),"")</f>
        <v/>
      </c>
      <c r="W34" s="184" t="str">
        <f>IFERROR(IF(VLOOKUP(Wed_W1[[#This Row],[Employee Name]],'Base Schedules'!$A$205:$AW$241,22,FALSE)="","",VLOOKUP(Wed_W1[[#This Row],[Employee Name]],'Base Schedules'!$A$205:$AW$241,22,FALSE)),"")</f>
        <v/>
      </c>
      <c r="X34" s="184" t="str">
        <f>IFERROR(IF(VLOOKUP(Wed_W1[[#This Row],[Employee Name]],'Base Schedules'!$A$205:$AW$241,23,FALSE)="","",VLOOKUP(Wed_W1[[#This Row],[Employee Name]],'Base Schedules'!$A$205:$AW$241,23,FALSE)),"")</f>
        <v/>
      </c>
      <c r="Y34" s="184" t="str">
        <f>IFERROR(IF(VLOOKUP(Wed_W1[[#This Row],[Employee Name]],'Base Schedules'!$A$205:$AW$241,24,FALSE)="","",VLOOKUP(Wed_W1[[#This Row],[Employee Name]],'Base Schedules'!$A$205:$AW$241,24,FALSE)),"")</f>
        <v/>
      </c>
      <c r="Z34" s="184" t="str">
        <f>IFERROR(IF(VLOOKUP(Wed_W1[[#This Row],[Employee Name]],'Base Schedules'!$A$205:$AW$241,25,FALSE)="","",VLOOKUP(Wed_W1[[#This Row],[Employee Name]],'Base Schedules'!$A$205:$AW$241,25,FALSE)),"")</f>
        <v>-</v>
      </c>
      <c r="AA34" s="184" t="str">
        <f>IFERROR(IF(VLOOKUP(Wed_W1[[#This Row],[Employee Name]],'Base Schedules'!$A$205:$AW$241,26,FALSE)="","",VLOOKUP(Wed_W1[[#This Row],[Employee Name]],'Base Schedules'!$A$205:$AW$241,26,FALSE)),"")</f>
        <v>-</v>
      </c>
      <c r="AB34" s="184" t="str">
        <f>IFERROR(IF(VLOOKUP(Wed_W1[[#This Row],[Employee Name]],'Base Schedules'!$A$205:$AW$241,27,FALSE)="","",VLOOKUP(Wed_W1[[#This Row],[Employee Name]],'Base Schedules'!$A$205:$AW$241,27,FALSE)),"")</f>
        <v>-</v>
      </c>
      <c r="AC34" s="184" t="str">
        <f>IFERROR(IF(VLOOKUP(Wed_W1[[#This Row],[Employee Name]],'Base Schedules'!$A$205:$AW$241,28,FALSE)="","",VLOOKUP(Wed_W1[[#This Row],[Employee Name]],'Base Schedules'!$A$205:$AW$241,28,FALSE)),"")</f>
        <v>-</v>
      </c>
      <c r="AD34" s="184" t="str">
        <f>IFERROR(IF(VLOOKUP(Wed_W1[[#This Row],[Employee Name]],'Base Schedules'!$A$205:$AW$241,29,FALSE)="","",VLOOKUP(Wed_W1[[#This Row],[Employee Name]],'Base Schedules'!$A$205:$AW$241,29,FALSE)),"")</f>
        <v>-</v>
      </c>
      <c r="AE34" s="184" t="str">
        <f>IFERROR(IF(VLOOKUP(Wed_W1[[#This Row],[Employee Name]],'Base Schedules'!$A$205:$AW$241,30,FALSE)="","",VLOOKUP(Wed_W1[[#This Row],[Employee Name]],'Base Schedules'!$A$205:$AW$241,30,FALSE)),"")</f>
        <v>-</v>
      </c>
      <c r="AF34" s="184" t="str">
        <f>IFERROR(IF(VLOOKUP(Wed_W1[[#This Row],[Employee Name]],'Base Schedules'!$A$205:$AW$241,31,FALSE)="","",VLOOKUP(Wed_W1[[#This Row],[Employee Name]],'Base Schedules'!$A$205:$AW$241,31,FALSE)),"")</f>
        <v>-</v>
      </c>
      <c r="AG34" s="184" t="str">
        <f>IFERROR(IF(VLOOKUP(Wed_W1[[#This Row],[Employee Name]],'Base Schedules'!$A$205:$AW$241,32,FALSE)="","",VLOOKUP(Wed_W1[[#This Row],[Employee Name]],'Base Schedules'!$A$205:$AW$241,32,FALSE)),"")</f>
        <v>-</v>
      </c>
      <c r="AH34" s="184" t="str">
        <f>IFERROR(IF(VLOOKUP(Wed_W1[[#This Row],[Employee Name]],'Base Schedules'!$A$205:$AW$241,33,FALSE)="","",VLOOKUP(Wed_W1[[#This Row],[Employee Name]],'Base Schedules'!$A$205:$AW$241,33,FALSE)),"")</f>
        <v>-</v>
      </c>
      <c r="AI34" s="184" t="str">
        <f>IFERROR(IF(VLOOKUP(Wed_W1[[#This Row],[Employee Name]],'Base Schedules'!$A$205:$AW$241,34,FALSE)="","",VLOOKUP(Wed_W1[[#This Row],[Employee Name]],'Base Schedules'!$A$205:$AW$241,34,FALSE)),"")</f>
        <v>Coaching</v>
      </c>
      <c r="AJ34" s="184" t="str">
        <f>IFERROR(IF(VLOOKUP(Wed_W1[[#This Row],[Employee Name]],'Base Schedules'!$A$205:$AW$241,35,FALSE)="","",VLOOKUP(Wed_W1[[#This Row],[Employee Name]],'Base Schedules'!$A$205:$AW$241,35,FALSE)),"")</f>
        <v>Coaching</v>
      </c>
      <c r="AK34" s="184" t="str">
        <f>IFERROR(IF(VLOOKUP(Wed_W1[[#This Row],[Employee Name]],'Base Schedules'!$A$205:$AW$241,36,FALSE)="","",VLOOKUP(Wed_W1[[#This Row],[Employee Name]],'Base Schedules'!$A$205:$AW$241,36,FALSE)),"")</f>
        <v>Coaching</v>
      </c>
      <c r="AL34" s="184" t="str">
        <f>IFERROR(IF(VLOOKUP(Wed_W1[[#This Row],[Employee Name]],'Base Schedules'!$A$205:$AW$241,37,FALSE)="","",VLOOKUP(Wed_W1[[#This Row],[Employee Name]],'Base Schedules'!$A$205:$AW$241,37,FALSE)),"")</f>
        <v>Coaching</v>
      </c>
      <c r="AM34" s="184" t="str">
        <f>IFERROR(IF(VLOOKUP(Wed_W1[[#This Row],[Employee Name]],'Base Schedules'!$A$205:$AW$241,38,FALSE)="","",VLOOKUP(Wed_W1[[#This Row],[Employee Name]],'Base Schedules'!$A$205:$AW$241,38,FALSE)),"")</f>
        <v>-</v>
      </c>
      <c r="AN34" s="184" t="str">
        <f>IFERROR(IF(VLOOKUP(Wed_W1[[#This Row],[Employee Name]],'Base Schedules'!$A$205:$AW$241,39,FALSE)="","",VLOOKUP(Wed_W1[[#This Row],[Employee Name]],'Base Schedules'!$A$205:$AW$241,39,FALSE)),"")</f>
        <v>-</v>
      </c>
      <c r="AO34" s="184" t="str">
        <f>IFERROR(IF(VLOOKUP(Wed_W1[[#This Row],[Employee Name]],'Base Schedules'!$A$205:$AW$241,40,FALSE)="","",VLOOKUP(Wed_W1[[#This Row],[Employee Name]],'Base Schedules'!$A$205:$AW$241,40,FALSE)),"")</f>
        <v>-</v>
      </c>
      <c r="AP34" s="184" t="str">
        <f>IFERROR(IF(VLOOKUP(Wed_W1[[#This Row],[Employee Name]],'Base Schedules'!$A$205:$AW$241,41,FALSE)="","",VLOOKUP(Wed_W1[[#This Row],[Employee Name]],'Base Schedules'!$A$205:$AW$241,41,FALSE)),"")</f>
        <v>-</v>
      </c>
      <c r="AQ34" s="184" t="str">
        <f>IFERROR(IF(VLOOKUP(Wed_W1[[#This Row],[Employee Name]],'Base Schedules'!$A$205:$AW$241,42,FALSE)="","",VLOOKUP(Wed_W1[[#This Row],[Employee Name]],'Base Schedules'!$A$205:$AW$241,42,FALSE)),"")</f>
        <v>-</v>
      </c>
      <c r="AR34" s="184" t="str">
        <f>IFERROR(IF(VLOOKUP(Wed_W1[[#This Row],[Employee Name]],'Base Schedules'!$A$205:$AW$241,43,FALSE)="","",VLOOKUP(Wed_W1[[#This Row],[Employee Name]],'Base Schedules'!$A$205:$AW$241,43,FALSE)),"")</f>
        <v/>
      </c>
      <c r="AS34" s="184" t="str">
        <f>IFERROR(IF(VLOOKUP(Wed_W1[[#This Row],[Employee Name]],'Base Schedules'!$A$205:$AW$241,44,FALSE)="","",VLOOKUP(Wed_W1[[#This Row],[Employee Name]],'Base Schedules'!$A$205:$AW$241,44,FALSE)),"")</f>
        <v/>
      </c>
      <c r="AT34" s="184" t="str">
        <f>IFERROR(IF(VLOOKUP(Wed_W1[[#This Row],[Employee Name]],'Base Schedules'!$A$205:$AW$241,45,FALSE)="","",VLOOKUP(Wed_W1[[#This Row],[Employee Name]],'Base Schedules'!$A$205:$AW$241,45,FALSE)),"")</f>
        <v/>
      </c>
      <c r="AU34" s="184" t="str">
        <f>IFERROR(IF(VLOOKUP(Wed_W1[[#This Row],[Employee Name]],'Base Schedules'!$A$205:$AW$241,46,FALSE)="","",VLOOKUP(Wed_W1[[#This Row],[Employee Name]],'Base Schedules'!$A$205:$AW$241,46,FALSE)),"")</f>
        <v/>
      </c>
      <c r="AV34" s="184" t="str">
        <f>IFERROR(IF(VLOOKUP(Wed_W1[[#This Row],[Employee Name]],'Base Schedules'!$A$205:$AW$241,47,FALSE)="","",VLOOKUP(Wed_W1[[#This Row],[Employee Name]],'Base Schedules'!$A$205:$AW$241,47,FALSE)),"")</f>
        <v/>
      </c>
      <c r="AW34" s="184" t="str">
        <f>IFERROR(IF(VLOOKUP(Wed_W1[[#This Row],[Employee Name]],'Base Schedules'!$A$205:$AW$241,48,FALSE)="","",VLOOKUP(Wed_W1[[#This Row],[Employee Name]],'Base Schedules'!$A$205:$AW$241,48,FALSE)),"")</f>
        <v/>
      </c>
      <c r="AX34" s="184" t="str">
        <f>IFERROR(IF(VLOOKUP(Wed_W1[[#This Row],[Employee Name]],'Base Schedules'!$A$205:$AW$241,49,FALSE)="","",VLOOKUP(Wed_W1[[#This Row],[Employee Name]],'Base Schedules'!$A$205:$AW$241,49,FALSE)),"")</f>
        <v/>
      </c>
      <c r="AY34" s="164" t="str">
        <f t="shared" si="2"/>
        <v>Cultice, Diana</v>
      </c>
    </row>
    <row r="35" spans="1:51" s="44" customFormat="1" ht="12" x14ac:dyDescent="0.2">
      <c r="A35" s="39" t="e">
        <f>IF(B35="","",INDEX(TeamList[],MATCH($B35,TeamList[[Employee Name]:[Employee Name]],0),MATCH("Manager",TeamList[#Headers],0)))</f>
        <v>#N/A</v>
      </c>
      <c r="B35" s="201" t="s">
        <v>586</v>
      </c>
      <c r="C35" s="257" t="str">
        <f>_xlfn.IFNA(VLOOKUP(Wed_W1[[#This Row],[Employee Name]],'Base Schedules'!A:B,2,FALSE),"")</f>
        <v>Lead</v>
      </c>
      <c r="D35" s="274">
        <f>_xlfn.IFNA(VLOOKUP(Wed_W1[[#This Row],[Employee Name]],'Base Schedules'!A:C,3,FALSE),"")</f>
        <v>1330</v>
      </c>
      <c r="E35" s="274">
        <f>_xlfn.IFNA(VLOOKUP(Wed_W1[[#This Row],[Employee Name]],'Base Schedules'!A:D,4,FALSE),"")</f>
        <v>2200</v>
      </c>
      <c r="F35" s="142">
        <f>IF(Wed_W1[[#This Row],[Employee Name]]="","",IF(Wed_W1[[#This Row],[Dept]]="Supervisor",COUNTIFS($J35:$AX35,"*HL*",$J35:$AX35,"&lt;&gt;"&amp;"pHL"),COUNTIFS($J35:$AX35,"*HL*",$J35:$AX35,"&lt;&gt;"&amp;"*pHL*",$J35:$AX35,"&lt;&gt;"&amp;"pB1 HL",$J35:$AX35,"&lt;&gt;"&amp;"pB2 HL")-SUM(COUNTIFS($J35:$AX35,"*HL B1*",$J35:$AX35,"&lt;&gt;"&amp;"pHL B1")*0.5,COUNTIFS($J35:$AX35,"*HL B2*",$J35:$AX35,"&lt;&gt;"&amp;"pHL B2")*0.5,COUNTIFS($J35:$AX35,"*B1 HL*",$J35:$AX35,"&lt;&gt;"&amp;"pB1 HL")*0.5,COUNTIFS($J35:$AX35,"*B2 HL*",$J35:$AX35,"&lt;&gt;"&amp;"pB2 HL")*0.5)))</f>
        <v>6.5</v>
      </c>
      <c r="G35" s="142">
        <f t="shared" si="0"/>
        <v>0</v>
      </c>
      <c r="H35" s="142">
        <f t="shared" si="1"/>
        <v>6</v>
      </c>
      <c r="I35" s="142">
        <f>IF(Wed_W1[[#This Row],[Employee Name]]="","",IF(Wed_W1[[#This Row],[Dept]]="Supervisor",SUM(COUNTIFS($J35:$AX35,"RTA*",$J35:$AX35,"&lt;&gt;"&amp;"pRTA"),COUNTIFS($J35:$AX35,"*CRTA*",$J35:$AX35,"&lt;&gt;"&amp;"pCRTA")),COUNTIFS($J35:$AX35,"*RNNR*",$J35:$AX35,"&lt;&gt;"&amp;"*pRNNR*",$J35:$AX35,"&lt;&gt;"&amp;"pB1 RNNR",$J35:$AX35,"&lt;&gt;"&amp;"pB2 RNNR")-SUM(COUNTIFS($J35:$AX35,"*RNNR B1*",$J35:$AX35,"&lt;&gt;"&amp;"pRNNR B1")*0.5,COUNTIFS($J35:$AX35,"*RNNR B2*",$J35:$AX35,"&lt;&gt;"&amp;"pRNNR B2")*0.5,COUNTIFS($J35:$AX35,"*B1 RNNR*",$J35:$AX35,"&lt;&gt;"&amp;"pB1 RNNR")*0.5,COUNTIFS($J35:$AX35,"*B2 RNNR*",$J35:$AX35,"&lt;&gt;"&amp;"pB2 RNNR")*0.5)))</f>
        <v>3</v>
      </c>
      <c r="J35" s="184" t="str">
        <f>IFERROR(IF(VLOOKUP(Wed_W1[[#This Row],[Employee Name]],'Base Schedules'!$A$205:$AW$241,9,FALSE)="","",VLOOKUP(Wed_W1[[#This Row],[Employee Name]],'Base Schedules'!$A$205:$AW$241,9,FALSE)),"")</f>
        <v/>
      </c>
      <c r="K35" s="184" t="str">
        <f>IFERROR(IF(VLOOKUP(Wed_W1[[#This Row],[Employee Name]],'Base Schedules'!$A$205:$AW$241,10,FALSE)="","",VLOOKUP(Wed_W1[[#This Row],[Employee Name]],'Base Schedules'!$A$205:$AW$241,10,FALSE)),"")</f>
        <v/>
      </c>
      <c r="L35" s="184" t="str">
        <f>IFERROR(IF(VLOOKUP(Wed_W1[[#This Row],[Employee Name]],'Base Schedules'!$A$205:$AW$241,11,FALSE)="","",VLOOKUP(Wed_W1[[#This Row],[Employee Name]],'Base Schedules'!$A$205:$AW$241,11,FALSE)),"")</f>
        <v/>
      </c>
      <c r="M35" s="184" t="str">
        <f>IFERROR(IF(VLOOKUP(Wed_W1[[#This Row],[Employee Name]],'Base Schedules'!$A$205:$AW$241,12,FALSE)="","",VLOOKUP(Wed_W1[[#This Row],[Employee Name]],'Base Schedules'!$A$205:$AW$241,12,FALSE)),"")</f>
        <v/>
      </c>
      <c r="N35" s="184" t="str">
        <f>IFERROR(IF(VLOOKUP(Wed_W1[[#This Row],[Employee Name]],'Base Schedules'!$A$205:$AW$241,13,FALSE)="","",VLOOKUP(Wed_W1[[#This Row],[Employee Name]],'Base Schedules'!$A$205:$AW$241,13,FALSE)),"")</f>
        <v/>
      </c>
      <c r="O35" s="184" t="str">
        <f>IFERROR(IF(VLOOKUP(Wed_W1[[#This Row],[Employee Name]],'Base Schedules'!$A$205:$AW$241,14,FALSE)="","",VLOOKUP(Wed_W1[[#This Row],[Employee Name]],'Base Schedules'!$A$205:$AW$241,14,FALSE)),"")</f>
        <v/>
      </c>
      <c r="P35" s="184" t="str">
        <f>IFERROR(IF(VLOOKUP(Wed_W1[[#This Row],[Employee Name]],'Base Schedules'!$A$205:$AW$241,15,FALSE)="","",VLOOKUP(Wed_W1[[#This Row],[Employee Name]],'Base Schedules'!$A$205:$AW$241,15,FALSE)),"")</f>
        <v/>
      </c>
      <c r="Q35" s="184" t="str">
        <f>IFERROR(IF(VLOOKUP(Wed_W1[[#This Row],[Employee Name]],'Base Schedules'!$A$205:$AW$241,16,FALSE)="","",VLOOKUP(Wed_W1[[#This Row],[Employee Name]],'Base Schedules'!$A$205:$AW$241,16,FALSE)),"")</f>
        <v/>
      </c>
      <c r="R35" s="184" t="str">
        <f>IFERROR(IF(VLOOKUP(Wed_W1[[#This Row],[Employee Name]],'Base Schedules'!$A$205:$AW$241,17,FALSE)="","",VLOOKUP(Wed_W1[[#This Row],[Employee Name]],'Base Schedules'!$A$205:$AW$241,17,FALSE)),"")</f>
        <v/>
      </c>
      <c r="S35" s="184" t="str">
        <f>IFERROR(IF(VLOOKUP(Wed_W1[[#This Row],[Employee Name]],'Base Schedules'!$A$205:$AW$241,18,FALSE)="","",VLOOKUP(Wed_W1[[#This Row],[Employee Name]],'Base Schedules'!$A$205:$AW$241,18,FALSE)),"")</f>
        <v/>
      </c>
      <c r="T35" s="184" t="str">
        <f>IFERROR(IF(VLOOKUP(Wed_W1[[#This Row],[Employee Name]],'Base Schedules'!$A$205:$AW$241,19,FALSE)="","",VLOOKUP(Wed_W1[[#This Row],[Employee Name]],'Base Schedules'!$A$205:$AW$241,19,FALSE)),"")</f>
        <v/>
      </c>
      <c r="U35" s="184" t="str">
        <f>IFERROR(IF(VLOOKUP(Wed_W1[[#This Row],[Employee Name]],'Base Schedules'!$A$205:$AW$241,20,FALSE)="","",VLOOKUP(Wed_W1[[#This Row],[Employee Name]],'Base Schedules'!$A$205:$AW$241,20,FALSE)),"")</f>
        <v/>
      </c>
      <c r="V35" s="184" t="str">
        <f>IFERROR(IF(VLOOKUP(Wed_W1[[#This Row],[Employee Name]],'Base Schedules'!$A$205:$AW$241,21,FALSE)="","",VLOOKUP(Wed_W1[[#This Row],[Employee Name]],'Base Schedules'!$A$205:$AW$241,21,FALSE)),"")</f>
        <v/>
      </c>
      <c r="W35" s="184" t="str">
        <f>IFERROR(IF(VLOOKUP(Wed_W1[[#This Row],[Employee Name]],'Base Schedules'!$A$205:$AW$241,22,FALSE)="","",VLOOKUP(Wed_W1[[#This Row],[Employee Name]],'Base Schedules'!$A$205:$AW$241,22,FALSE)),"")</f>
        <v/>
      </c>
      <c r="X35" s="184" t="str">
        <f>IFERROR(IF(VLOOKUP(Wed_W1[[#This Row],[Employee Name]],'Base Schedules'!$A$205:$AW$241,23,FALSE)="","",VLOOKUP(Wed_W1[[#This Row],[Employee Name]],'Base Schedules'!$A$205:$AW$241,23,FALSE)),"")</f>
        <v/>
      </c>
      <c r="Y35" s="184" t="str">
        <f>IFERROR(IF(VLOOKUP(Wed_W1[[#This Row],[Employee Name]],'Base Schedules'!$A$205:$AW$241,24,FALSE)="","",VLOOKUP(Wed_W1[[#This Row],[Employee Name]],'Base Schedules'!$A$205:$AW$241,24,FALSE)),"")</f>
        <v/>
      </c>
      <c r="Z35" s="184" t="str">
        <f>IFERROR(IF(VLOOKUP(Wed_W1[[#This Row],[Employee Name]],'Base Schedules'!$A$205:$AW$241,25,FALSE)="","",VLOOKUP(Wed_W1[[#This Row],[Employee Name]],'Base Schedules'!$A$205:$AW$241,25,FALSE)),"")</f>
        <v/>
      </c>
      <c r="AA35" s="184" t="str">
        <f>IFERROR(IF(VLOOKUP(Wed_W1[[#This Row],[Employee Name]],'Base Schedules'!$A$205:$AW$241,26,FALSE)="","",VLOOKUP(Wed_W1[[#This Row],[Employee Name]],'Base Schedules'!$A$205:$AW$241,26,FALSE)),"")</f>
        <v>HL</v>
      </c>
      <c r="AB35" s="184" t="str">
        <f>IFERROR(IF(VLOOKUP(Wed_W1[[#This Row],[Employee Name]],'Base Schedules'!$A$205:$AW$241,27,FALSE)="","",VLOOKUP(Wed_W1[[#This Row],[Employee Name]],'Base Schedules'!$A$205:$AW$241,27,FALSE)),"")</f>
        <v>HL</v>
      </c>
      <c r="AC35" s="184" t="str">
        <f>IFERROR(IF(VLOOKUP(Wed_W1[[#This Row],[Employee Name]],'Base Schedules'!$A$205:$AW$241,28,FALSE)="","",VLOOKUP(Wed_W1[[#This Row],[Employee Name]],'Base Schedules'!$A$205:$AW$241,28,FALSE)),"")</f>
        <v>HL</v>
      </c>
      <c r="AD35" s="184" t="str">
        <f>IFERROR(IF(VLOOKUP(Wed_W1[[#This Row],[Employee Name]],'Base Schedules'!$A$205:$AW$241,29,FALSE)="","",VLOOKUP(Wed_W1[[#This Row],[Employee Name]],'Base Schedules'!$A$205:$AW$241,29,FALSE)),"")</f>
        <v>ADM</v>
      </c>
      <c r="AE35" s="184" t="str">
        <f>IFERROR(IF(VLOOKUP(Wed_W1[[#This Row],[Employee Name]],'Base Schedules'!$A$205:$AW$241,30,FALSE)="","",VLOOKUP(Wed_W1[[#This Row],[Employee Name]],'Base Schedules'!$A$205:$AW$241,30,FALSE)),"")</f>
        <v>B1 ADM</v>
      </c>
      <c r="AF35" s="184" t="str">
        <f>IFERROR(IF(VLOOKUP(Wed_W1[[#This Row],[Employee Name]],'Base Schedules'!$A$205:$AW$241,31,FALSE)="","",VLOOKUP(Wed_W1[[#This Row],[Employee Name]],'Base Schedules'!$A$205:$AW$241,31,FALSE)),"")</f>
        <v>ADM</v>
      </c>
      <c r="AG35" s="184" t="str">
        <f>IFERROR(IF(VLOOKUP(Wed_W1[[#This Row],[Employee Name]],'Base Schedules'!$A$205:$AW$241,32,FALSE)="","",VLOOKUP(Wed_W1[[#This Row],[Employee Name]],'Base Schedules'!$A$205:$AW$241,32,FALSE)),"")</f>
        <v>RNNR</v>
      </c>
      <c r="AH35" s="184" t="str">
        <f>IFERROR(IF(VLOOKUP(Wed_W1[[#This Row],[Employee Name]],'Base Schedules'!$A$205:$AW$241,33,FALSE)="","",VLOOKUP(Wed_W1[[#This Row],[Employee Name]],'Base Schedules'!$A$205:$AW$241,33,FALSE)),"")</f>
        <v>RNNR</v>
      </c>
      <c r="AI35" s="184" t="str">
        <f>IFERROR(IF(VLOOKUP(Wed_W1[[#This Row],[Employee Name]],'Base Schedules'!$A$205:$AW$241,34,FALSE)="","",VLOOKUP(Wed_W1[[#This Row],[Employee Name]],'Base Schedules'!$A$205:$AW$241,34,FALSE)),"")</f>
        <v>RNNR</v>
      </c>
      <c r="AJ35" s="184" t="str">
        <f>IFERROR(IF(VLOOKUP(Wed_W1[[#This Row],[Employee Name]],'Base Schedules'!$A$205:$AW$241,35,FALSE)="","",VLOOKUP(Wed_W1[[#This Row],[Employee Name]],'Base Schedules'!$A$205:$AW$241,35,FALSE)),"")</f>
        <v>LUNCH</v>
      </c>
      <c r="AK35" s="184" t="str">
        <f>IFERROR(IF(VLOOKUP(Wed_W1[[#This Row],[Employee Name]],'Base Schedules'!$A$205:$AW$241,36,FALSE)="","",VLOOKUP(Wed_W1[[#This Row],[Employee Name]],'Base Schedules'!$A$205:$AW$241,36,FALSE)),"")</f>
        <v>HL</v>
      </c>
      <c r="AL35" s="184" t="str">
        <f>IFERROR(IF(VLOOKUP(Wed_W1[[#This Row],[Employee Name]],'Base Schedules'!$A$205:$AW$241,37,FALSE)="","",VLOOKUP(Wed_W1[[#This Row],[Employee Name]],'Base Schedules'!$A$205:$AW$241,37,FALSE)),"")</f>
        <v>HL</v>
      </c>
      <c r="AM35" s="184" t="str">
        <f>IFERROR(IF(VLOOKUP(Wed_W1[[#This Row],[Employee Name]],'Base Schedules'!$A$205:$AW$241,38,FALSE)="","",VLOOKUP(Wed_W1[[#This Row],[Employee Name]],'Base Schedules'!$A$205:$AW$241,38,FALSE)),"")</f>
        <v>HL</v>
      </c>
      <c r="AN35" s="184" t="str">
        <f>IFERROR(IF(VLOOKUP(Wed_W1[[#This Row],[Employee Name]],'Base Schedules'!$A$205:$AW$241,39,FALSE)="","",VLOOKUP(Wed_W1[[#This Row],[Employee Name]],'Base Schedules'!$A$205:$AW$241,39,FALSE)),"")</f>
        <v>HL B2</v>
      </c>
      <c r="AO35" s="184" t="str">
        <f>IFERROR(IF(VLOOKUP(Wed_W1[[#This Row],[Employee Name]],'Base Schedules'!$A$205:$AW$241,40,FALSE)="","",VLOOKUP(Wed_W1[[#This Row],[Employee Name]],'Base Schedules'!$A$205:$AW$241,40,FALSE)),"")</f>
        <v>ADM</v>
      </c>
      <c r="AP35" s="184" t="str">
        <f>IFERROR(IF(VLOOKUP(Wed_W1[[#This Row],[Employee Name]],'Base Schedules'!$A$205:$AW$241,41,FALSE)="","",VLOOKUP(Wed_W1[[#This Row],[Employee Name]],'Base Schedules'!$A$205:$AW$241,41,FALSE)),"")</f>
        <v>ADM</v>
      </c>
      <c r="AQ35" s="184" t="str">
        <f>IFERROR(IF(VLOOKUP(Wed_W1[[#This Row],[Employee Name]],'Base Schedules'!$A$205:$AW$241,42,FALSE)="","",VLOOKUP(Wed_W1[[#This Row],[Employee Name]],'Base Schedules'!$A$205:$AW$241,42,FALSE)),"")</f>
        <v>ADM</v>
      </c>
      <c r="AR35" s="184" t="str">
        <f>IFERROR(IF(VLOOKUP(Wed_W1[[#This Row],[Employee Name]],'Base Schedules'!$A$205:$AW$241,43,FALSE)="","",VLOOKUP(Wed_W1[[#This Row],[Employee Name]],'Base Schedules'!$A$205:$AW$241,43,FALSE)),"")</f>
        <v/>
      </c>
      <c r="AS35" s="184" t="str">
        <f>IFERROR(IF(VLOOKUP(Wed_W1[[#This Row],[Employee Name]],'Base Schedules'!$A$205:$AW$241,44,FALSE)="","",VLOOKUP(Wed_W1[[#This Row],[Employee Name]],'Base Schedules'!$A$205:$AW$241,44,FALSE)),"")</f>
        <v/>
      </c>
      <c r="AT35" s="184" t="str">
        <f>IFERROR(IF(VLOOKUP(Wed_W1[[#This Row],[Employee Name]],'Base Schedules'!$A$205:$AW$241,45,FALSE)="","",VLOOKUP(Wed_W1[[#This Row],[Employee Name]],'Base Schedules'!$A$205:$AW$241,45,FALSE)),"")</f>
        <v/>
      </c>
      <c r="AU35" s="184" t="str">
        <f>IFERROR(IF(VLOOKUP(Wed_W1[[#This Row],[Employee Name]],'Base Schedules'!$A$205:$AW$241,46,FALSE)="","",VLOOKUP(Wed_W1[[#This Row],[Employee Name]],'Base Schedules'!$A$205:$AW$241,46,FALSE)),"")</f>
        <v/>
      </c>
      <c r="AV35" s="184" t="str">
        <f>IFERROR(IF(VLOOKUP(Wed_W1[[#This Row],[Employee Name]],'Base Schedules'!$A$205:$AW$241,47,FALSE)="","",VLOOKUP(Wed_W1[[#This Row],[Employee Name]],'Base Schedules'!$A$205:$AW$241,47,FALSE)),"")</f>
        <v/>
      </c>
      <c r="AW35" s="184" t="str">
        <f>IFERROR(IF(VLOOKUP(Wed_W1[[#This Row],[Employee Name]],'Base Schedules'!$A$205:$AW$241,48,FALSE)="","",VLOOKUP(Wed_W1[[#This Row],[Employee Name]],'Base Schedules'!$A$205:$AW$241,48,FALSE)),"")</f>
        <v/>
      </c>
      <c r="AX35" s="184" t="str">
        <f>IFERROR(IF(VLOOKUP(Wed_W1[[#This Row],[Employee Name]],'Base Schedules'!$A$205:$AW$241,49,FALSE)="","",VLOOKUP(Wed_W1[[#This Row],[Employee Name]],'Base Schedules'!$A$205:$AW$241,49,FALSE)),"")</f>
        <v/>
      </c>
      <c r="AY35" s="164" t="str">
        <f t="shared" si="2"/>
        <v>Harris, Austin</v>
      </c>
    </row>
    <row r="36" spans="1:51" s="44" customFormat="1" ht="12" x14ac:dyDescent="0.2">
      <c r="A36" s="39" t="str">
        <f>IF(B36="","",INDEX(TeamList[],MATCH($B36,TeamList[[Employee Name]:[Employee Name]],0),MATCH("Manager",TeamList[#Headers],0)))</f>
        <v>Ahmed Hassan, Zahra</v>
      </c>
      <c r="B36" s="334" t="s">
        <v>245</v>
      </c>
      <c r="C36" s="257" t="str">
        <f>_xlfn.IFNA(VLOOKUP(Wed_W1[[#This Row],[Employee Name]],'Base Schedules'!A:B,2,FALSE),"")</f>
        <v>Supervisor</v>
      </c>
      <c r="D36" s="274">
        <f>_xlfn.IFNA(VLOOKUP(Wed_W1[[#This Row],[Employee Name]],'Base Schedules'!A:C,3,FALSE),"")</f>
        <v>1400</v>
      </c>
      <c r="E36" s="274">
        <f>_xlfn.IFNA(VLOOKUP(Wed_W1[[#This Row],[Employee Name]],'Base Schedules'!A:D,4,FALSE),"")</f>
        <v>100</v>
      </c>
      <c r="F36" s="142">
        <f>IF(Wed_W1[[#This Row],[Employee Name]]="","",IF(Wed_W1[[#This Row],[Dept]]="Supervisor",COUNTIFS($J36:$AX36,"*HL*",$J36:$AX36,"&lt;&gt;"&amp;"pHL"),COUNTIFS($J36:$AX36,"*HL*",$J36:$AX36,"&lt;&gt;"&amp;"*pHL*",$J36:$AX36,"&lt;&gt;"&amp;"pB1 HL",$J36:$AX36,"&lt;&gt;"&amp;"pB2 HL")-SUM(COUNTIFS($J36:$AX36,"*HL B1*",$J36:$AX36,"&lt;&gt;"&amp;"pHL B1")*0.5,COUNTIFS($J36:$AX36,"*HL B2*",$J36:$AX36,"&lt;&gt;"&amp;"pHL B2")*0.5,COUNTIFS($J36:$AX36,"*B1 HL*",$J36:$AX36,"&lt;&gt;"&amp;"pB1 HL")*0.5,COUNTIFS($J36:$AX36,"*B2 HL*",$J36:$AX36,"&lt;&gt;"&amp;"pB2 HL")*0.5)))</f>
        <v>0</v>
      </c>
      <c r="G36" s="142">
        <f t="shared" si="0"/>
        <v>4</v>
      </c>
      <c r="H36" s="142">
        <f t="shared" si="1"/>
        <v>0</v>
      </c>
      <c r="I36" s="142">
        <f>IF(Wed_W1[[#This Row],[Employee Name]]="","",IF(Wed_W1[[#This Row],[Dept]]="Supervisor",SUM(COUNTIFS($J36:$AX36,"RTA*",$J36:$AX36,"&lt;&gt;"&amp;"pRTA"),COUNTIFS($J36:$AX36,"*CRTA*",$J36:$AX36,"&lt;&gt;"&amp;"pCRTA")),COUNTIFS($J36:$AX36,"*RNNR*",$J36:$AX36,"&lt;&gt;"&amp;"*pRNNR*",$J36:$AX36,"&lt;&gt;"&amp;"pB1 RNNR",$J36:$AX36,"&lt;&gt;"&amp;"pB2 RNNR")-SUM(COUNTIFS($J36:$AX36,"*RNNR B1*",$J36:$AX36,"&lt;&gt;"&amp;"pRNNR B1")*0.5,COUNTIFS($J36:$AX36,"*RNNR B2*",$J36:$AX36,"&lt;&gt;"&amp;"pRNNR B2")*0.5,COUNTIFS($J36:$AX36,"*B1 RNNR*",$J36:$AX36,"&lt;&gt;"&amp;"pB1 RNNR")*0.5,COUNTIFS($J36:$AX36,"*B2 RNNR*",$J36:$AX36,"&lt;&gt;"&amp;"pB2 RNNR")*0.5)))</f>
        <v>0</v>
      </c>
      <c r="J36" s="184" t="str">
        <f>IFERROR(IF(VLOOKUP(Wed_W1[[#This Row],[Employee Name]],'Base Schedules'!$A$205:$AW$241,9,FALSE)="","",VLOOKUP(Wed_W1[[#This Row],[Employee Name]],'Base Schedules'!$A$205:$AW$241,9,FALSE)),"")</f>
        <v/>
      </c>
      <c r="K36" s="184" t="str">
        <f>IFERROR(IF(VLOOKUP(Wed_W1[[#This Row],[Employee Name]],'Base Schedules'!$A$205:$AW$241,10,FALSE)="","",VLOOKUP(Wed_W1[[#This Row],[Employee Name]],'Base Schedules'!$A$205:$AW$241,10,FALSE)),"")</f>
        <v/>
      </c>
      <c r="L36" s="184" t="str">
        <f>IFERROR(IF(VLOOKUP(Wed_W1[[#This Row],[Employee Name]],'Base Schedules'!$A$205:$AW$241,11,FALSE)="","",VLOOKUP(Wed_W1[[#This Row],[Employee Name]],'Base Schedules'!$A$205:$AW$241,11,FALSE)),"")</f>
        <v/>
      </c>
      <c r="M36" s="184" t="str">
        <f>IFERROR(IF(VLOOKUP(Wed_W1[[#This Row],[Employee Name]],'Base Schedules'!$A$205:$AW$241,12,FALSE)="","",VLOOKUP(Wed_W1[[#This Row],[Employee Name]],'Base Schedules'!$A$205:$AW$241,12,FALSE)),"")</f>
        <v/>
      </c>
      <c r="N36" s="184" t="str">
        <f>IFERROR(IF(VLOOKUP(Wed_W1[[#This Row],[Employee Name]],'Base Schedules'!$A$205:$AW$241,13,FALSE)="","",VLOOKUP(Wed_W1[[#This Row],[Employee Name]],'Base Schedules'!$A$205:$AW$241,13,FALSE)),"")</f>
        <v/>
      </c>
      <c r="O36" s="184" t="str">
        <f>IFERROR(IF(VLOOKUP(Wed_W1[[#This Row],[Employee Name]],'Base Schedules'!$A$205:$AW$241,14,FALSE)="","",VLOOKUP(Wed_W1[[#This Row],[Employee Name]],'Base Schedules'!$A$205:$AW$241,14,FALSE)),"")</f>
        <v/>
      </c>
      <c r="P36" s="184" t="str">
        <f>IFERROR(IF(VLOOKUP(Wed_W1[[#This Row],[Employee Name]],'Base Schedules'!$A$205:$AW$241,15,FALSE)="","",VLOOKUP(Wed_W1[[#This Row],[Employee Name]],'Base Schedules'!$A$205:$AW$241,15,FALSE)),"")</f>
        <v/>
      </c>
      <c r="Q36" s="184" t="str">
        <f>IFERROR(IF(VLOOKUP(Wed_W1[[#This Row],[Employee Name]],'Base Schedules'!$A$205:$AW$241,16,FALSE)="","",VLOOKUP(Wed_W1[[#This Row],[Employee Name]],'Base Schedules'!$A$205:$AW$241,16,FALSE)),"")</f>
        <v/>
      </c>
      <c r="R36" s="184" t="str">
        <f>IFERROR(IF(VLOOKUP(Wed_W1[[#This Row],[Employee Name]],'Base Schedules'!$A$205:$AW$241,17,FALSE)="","",VLOOKUP(Wed_W1[[#This Row],[Employee Name]],'Base Schedules'!$A$205:$AW$241,17,FALSE)),"")</f>
        <v/>
      </c>
      <c r="S36" s="184" t="str">
        <f>IFERROR(IF(VLOOKUP(Wed_W1[[#This Row],[Employee Name]],'Base Schedules'!$A$205:$AW$241,18,FALSE)="","",VLOOKUP(Wed_W1[[#This Row],[Employee Name]],'Base Schedules'!$A$205:$AW$241,18,FALSE)),"")</f>
        <v/>
      </c>
      <c r="T36" s="184" t="str">
        <f>IFERROR(IF(VLOOKUP(Wed_W1[[#This Row],[Employee Name]],'Base Schedules'!$A$205:$AW$241,19,FALSE)="","",VLOOKUP(Wed_W1[[#This Row],[Employee Name]],'Base Schedules'!$A$205:$AW$241,19,FALSE)),"")</f>
        <v/>
      </c>
      <c r="U36" s="184" t="str">
        <f>IFERROR(IF(VLOOKUP(Wed_W1[[#This Row],[Employee Name]],'Base Schedules'!$A$205:$AW$241,20,FALSE)="","",VLOOKUP(Wed_W1[[#This Row],[Employee Name]],'Base Schedules'!$A$205:$AW$241,20,FALSE)),"")</f>
        <v/>
      </c>
      <c r="V36" s="184" t="str">
        <f>IFERROR(IF(VLOOKUP(Wed_W1[[#This Row],[Employee Name]],'Base Schedules'!$A$205:$AW$241,21,FALSE)="","",VLOOKUP(Wed_W1[[#This Row],[Employee Name]],'Base Schedules'!$A$205:$AW$241,21,FALSE)),"")</f>
        <v/>
      </c>
      <c r="W36" s="184" t="str">
        <f>IFERROR(IF(VLOOKUP(Wed_W1[[#This Row],[Employee Name]],'Base Schedules'!$A$205:$AW$241,22,FALSE)="","",VLOOKUP(Wed_W1[[#This Row],[Employee Name]],'Base Schedules'!$A$205:$AW$241,22,FALSE)),"")</f>
        <v/>
      </c>
      <c r="X36" s="184" t="str">
        <f>IFERROR(IF(VLOOKUP(Wed_W1[[#This Row],[Employee Name]],'Base Schedules'!$A$205:$AW$241,23,FALSE)="","",VLOOKUP(Wed_W1[[#This Row],[Employee Name]],'Base Schedules'!$A$205:$AW$241,23,FALSE)),"")</f>
        <v/>
      </c>
      <c r="Y36" s="184" t="str">
        <f>IFERROR(IF(VLOOKUP(Wed_W1[[#This Row],[Employee Name]],'Base Schedules'!$A$205:$AW$241,24,FALSE)="","",VLOOKUP(Wed_W1[[#This Row],[Employee Name]],'Base Schedules'!$A$205:$AW$241,24,FALSE)),"")</f>
        <v/>
      </c>
      <c r="Z36" s="184" t="str">
        <f>IFERROR(IF(VLOOKUP(Wed_W1[[#This Row],[Employee Name]],'Base Schedules'!$A$205:$AW$241,25,FALSE)="","",VLOOKUP(Wed_W1[[#This Row],[Employee Name]],'Base Schedules'!$A$205:$AW$241,25,FALSE)),"")</f>
        <v/>
      </c>
      <c r="AA36" s="184" t="str">
        <f>IFERROR(IF(VLOOKUP(Wed_W1[[#This Row],[Employee Name]],'Base Schedules'!$A$205:$AW$241,26,FALSE)="","",VLOOKUP(Wed_W1[[#This Row],[Employee Name]],'Base Schedules'!$A$205:$AW$241,26,FALSE)),"")</f>
        <v/>
      </c>
      <c r="AB36" s="184" t="str">
        <f>IFERROR(IF(VLOOKUP(Wed_W1[[#This Row],[Employee Name]],'Base Schedules'!$A$205:$AW$241,27,FALSE)="","",VLOOKUP(Wed_W1[[#This Row],[Employee Name]],'Base Schedules'!$A$205:$AW$241,27,FALSE)),"")</f>
        <v>-</v>
      </c>
      <c r="AC36" s="184" t="str">
        <f>IFERROR(IF(VLOOKUP(Wed_W1[[#This Row],[Employee Name]],'Base Schedules'!$A$205:$AW$241,28,FALSE)="","",VLOOKUP(Wed_W1[[#This Row],[Employee Name]],'Base Schedules'!$A$205:$AW$241,28,FALSE)),"")</f>
        <v>-</v>
      </c>
      <c r="AD36" s="184" t="str">
        <f>IFERROR(IF(VLOOKUP(Wed_W1[[#This Row],[Employee Name]],'Base Schedules'!$A$205:$AW$241,29,FALSE)="","",VLOOKUP(Wed_W1[[#This Row],[Employee Name]],'Base Schedules'!$A$205:$AW$241,29,FALSE)),"")</f>
        <v>-</v>
      </c>
      <c r="AE36" s="184" t="str">
        <f>IFERROR(IF(VLOOKUP(Wed_W1[[#This Row],[Employee Name]],'Base Schedules'!$A$205:$AW$241,30,FALSE)="","",VLOOKUP(Wed_W1[[#This Row],[Employee Name]],'Base Schedules'!$A$205:$AW$241,30,FALSE)),"")</f>
        <v>-</v>
      </c>
      <c r="AF36" s="184" t="str">
        <f>IFERROR(IF(VLOOKUP(Wed_W1[[#This Row],[Employee Name]],'Base Schedules'!$A$205:$AW$241,31,FALSE)="","",VLOOKUP(Wed_W1[[#This Row],[Employee Name]],'Base Schedules'!$A$205:$AW$241,31,FALSE)),"")</f>
        <v>Team RL TM</v>
      </c>
      <c r="AG36" s="184" t="str">
        <f>IFERROR(IF(VLOOKUP(Wed_W1[[#This Row],[Employee Name]],'Base Schedules'!$A$205:$AW$241,32,FALSE)="","",VLOOKUP(Wed_W1[[#This Row],[Employee Name]],'Base Schedules'!$A$205:$AW$241,32,FALSE)),"")</f>
        <v>Team RL TM</v>
      </c>
      <c r="AH36" s="184" t="str">
        <f>IFERROR(IF(VLOOKUP(Wed_W1[[#This Row],[Employee Name]],'Base Schedules'!$A$205:$AW$241,33,FALSE)="","",VLOOKUP(Wed_W1[[#This Row],[Employee Name]],'Base Schedules'!$A$205:$AW$241,33,FALSE)),"")</f>
        <v>-</v>
      </c>
      <c r="AI36" s="184" t="str">
        <f>IFERROR(IF(VLOOKUP(Wed_W1[[#This Row],[Employee Name]],'Base Schedules'!$A$205:$AW$241,34,FALSE)="","",VLOOKUP(Wed_W1[[#This Row],[Employee Name]],'Base Schedules'!$A$205:$AW$241,34,FALSE)),"")</f>
        <v>-</v>
      </c>
      <c r="AJ36" s="184" t="str">
        <f>IFERROR(IF(VLOOKUP(Wed_W1[[#This Row],[Employee Name]],'Base Schedules'!$A$205:$AW$241,35,FALSE)="","",VLOOKUP(Wed_W1[[#This Row],[Employee Name]],'Base Schedules'!$A$205:$AW$241,35,FALSE)),"")</f>
        <v>-</v>
      </c>
      <c r="AK36" s="184" t="str">
        <f>IFERROR(IF(VLOOKUP(Wed_W1[[#This Row],[Employee Name]],'Base Schedules'!$A$205:$AW$241,36,FALSE)="","",VLOOKUP(Wed_W1[[#This Row],[Employee Name]],'Base Schedules'!$A$205:$AW$241,36,FALSE)),"")</f>
        <v>Coaching</v>
      </c>
      <c r="AL36" s="184" t="str">
        <f>IFERROR(IF(VLOOKUP(Wed_W1[[#This Row],[Employee Name]],'Base Schedules'!$A$205:$AW$241,37,FALSE)="","",VLOOKUP(Wed_W1[[#This Row],[Employee Name]],'Base Schedules'!$A$205:$AW$241,37,FALSE)),"")</f>
        <v>Coaching</v>
      </c>
      <c r="AM36" s="184" t="str">
        <f>IFERROR(IF(VLOOKUP(Wed_W1[[#This Row],[Employee Name]],'Base Schedules'!$A$205:$AW$241,38,FALSE)="","",VLOOKUP(Wed_W1[[#This Row],[Employee Name]],'Base Schedules'!$A$205:$AW$241,38,FALSE)),"")</f>
        <v>Coaching</v>
      </c>
      <c r="AN36" s="184" t="str">
        <f>IFERROR(IF(VLOOKUP(Wed_W1[[#This Row],[Employee Name]],'Base Schedules'!$A$205:$AW$241,39,FALSE)="","",VLOOKUP(Wed_W1[[#This Row],[Employee Name]],'Base Schedules'!$A$205:$AW$241,39,FALSE)),"")</f>
        <v>Coaching</v>
      </c>
      <c r="AO36" s="184" t="str">
        <f>IFERROR(IF(VLOOKUP(Wed_W1[[#This Row],[Employee Name]],'Base Schedules'!$A$205:$AW$241,40,FALSE)="","",VLOOKUP(Wed_W1[[#This Row],[Employee Name]],'Base Schedules'!$A$205:$AW$241,40,FALSE)),"")</f>
        <v>-</v>
      </c>
      <c r="AP36" s="184" t="str">
        <f>IFERROR(IF(VLOOKUP(Wed_W1[[#This Row],[Employee Name]],'Base Schedules'!$A$205:$AW$241,41,FALSE)="","",VLOOKUP(Wed_W1[[#This Row],[Employee Name]],'Base Schedules'!$A$205:$AW$241,41,FALSE)),"")</f>
        <v>-</v>
      </c>
      <c r="AQ36" s="184" t="str">
        <f>IFERROR(IF(VLOOKUP(Wed_W1[[#This Row],[Employee Name]],'Base Schedules'!$A$205:$AW$241,42,FALSE)="","",VLOOKUP(Wed_W1[[#This Row],[Employee Name]],'Base Schedules'!$A$205:$AW$241,42,FALSE)),"")</f>
        <v>-</v>
      </c>
      <c r="AR36" s="184" t="str">
        <f>IFERROR(IF(VLOOKUP(Wed_W1[[#This Row],[Employee Name]],'Base Schedules'!$A$205:$AW$241,43,FALSE)="","",VLOOKUP(Wed_W1[[#This Row],[Employee Name]],'Base Schedules'!$A$205:$AW$241,43,FALSE)),"")</f>
        <v>-</v>
      </c>
      <c r="AS36" s="184" t="str">
        <f>IFERROR(IF(VLOOKUP(Wed_W1[[#This Row],[Employee Name]],'Base Schedules'!$A$205:$AW$241,44,FALSE)="","",VLOOKUP(Wed_W1[[#This Row],[Employee Name]],'Base Schedules'!$A$205:$AW$241,44,FALSE)),"")</f>
        <v>-</v>
      </c>
      <c r="AT36" s="184" t="str">
        <f>IFERROR(IF(VLOOKUP(Wed_W1[[#This Row],[Employee Name]],'Base Schedules'!$A$205:$AW$241,45,FALSE)="","",VLOOKUP(Wed_W1[[#This Row],[Employee Name]],'Base Schedules'!$A$205:$AW$241,45,FALSE)),"")</f>
        <v>-</v>
      </c>
      <c r="AU36" s="184" t="str">
        <f>IFERROR(IF(VLOOKUP(Wed_W1[[#This Row],[Employee Name]],'Base Schedules'!$A$205:$AW$241,46,FALSE)="","",VLOOKUP(Wed_W1[[#This Row],[Employee Name]],'Base Schedules'!$A$205:$AW$241,46,FALSE)),"")</f>
        <v>-</v>
      </c>
      <c r="AV36" s="184" t="str">
        <f>IFERROR(IF(VLOOKUP(Wed_W1[[#This Row],[Employee Name]],'Base Schedules'!$A$205:$AW$241,47,FALSE)="","",VLOOKUP(Wed_W1[[#This Row],[Employee Name]],'Base Schedules'!$A$205:$AW$241,47,FALSE)),"")</f>
        <v>-</v>
      </c>
      <c r="AW36" s="184" t="str">
        <f>IFERROR(IF(VLOOKUP(Wed_W1[[#This Row],[Employee Name]],'Base Schedules'!$A$205:$AW$241,48,FALSE)="","",VLOOKUP(Wed_W1[[#This Row],[Employee Name]],'Base Schedules'!$A$205:$AW$241,48,FALSE)),"")</f>
        <v>-</v>
      </c>
      <c r="AX36" s="184" t="str">
        <f>IFERROR(IF(VLOOKUP(Wed_W1[[#This Row],[Employee Name]],'Base Schedules'!$A$205:$AW$241,49,FALSE)="","",VLOOKUP(Wed_W1[[#This Row],[Employee Name]],'Base Schedules'!$A$205:$AW$241,49,FALSE)),"")</f>
        <v/>
      </c>
      <c r="AY36" s="166" t="str">
        <f t="shared" si="2"/>
        <v>Donaca, Jeff</v>
      </c>
    </row>
    <row r="37" spans="1:51" s="44" customFormat="1" ht="12" x14ac:dyDescent="0.2">
      <c r="A37" s="39" t="str">
        <f>IF(B37="","",INDEX(TeamList[],MATCH($B37,TeamList[[Employee Name]:[Employee Name]],0),MATCH("Manager",TeamList[#Headers],0)))</f>
        <v>Olson, Katherine</v>
      </c>
      <c r="B37" s="201" t="s">
        <v>232</v>
      </c>
      <c r="C37" s="257" t="str">
        <f>_xlfn.IFNA(VLOOKUP(Wed_W1[[#This Row],[Employee Name]],'Base Schedules'!A:B,2,FALSE),"")</f>
        <v>Lead</v>
      </c>
      <c r="D37" s="274">
        <f>_xlfn.IFNA(VLOOKUP(Wed_W1[[#This Row],[Employee Name]],'Base Schedules'!A:C,3,FALSE),"")</f>
        <v>1600</v>
      </c>
      <c r="E37" s="274">
        <f>_xlfn.IFNA(VLOOKUP(Wed_W1[[#This Row],[Employee Name]],'Base Schedules'!A:D,4,FALSE),"")</f>
        <v>100</v>
      </c>
      <c r="F37" s="142">
        <f>IF(Wed_W1[[#This Row],[Employee Name]]="","",IF(Wed_W1[[#This Row],[Dept]]="Supervisor",COUNTIFS($J37:$AX37,"*HL*",$J37:$AX37,"&lt;&gt;"&amp;"pHL"),COUNTIFS($J37:$AX37,"*HL*",$J37:$AX37,"&lt;&gt;"&amp;"*pHL*",$J37:$AX37,"&lt;&gt;"&amp;"pB1 HL",$J37:$AX37,"&lt;&gt;"&amp;"pB2 HL")-SUM(COUNTIFS($J37:$AX37,"*HL B1*",$J37:$AX37,"&lt;&gt;"&amp;"pHL B1")*0.5,COUNTIFS($J37:$AX37,"*HL B2*",$J37:$AX37,"&lt;&gt;"&amp;"pHL B2")*0.5,COUNTIFS($J37:$AX37,"*B1 HL*",$J37:$AX37,"&lt;&gt;"&amp;"pB1 HL")*0.5,COUNTIFS($J37:$AX37,"*B2 HL*",$J37:$AX37,"&lt;&gt;"&amp;"pB2 HL")*0.5)))</f>
        <v>8.5</v>
      </c>
      <c r="G37" s="142">
        <f t="shared" si="0"/>
        <v>0</v>
      </c>
      <c r="H37" s="142">
        <f t="shared" si="1"/>
        <v>5</v>
      </c>
      <c r="I37" s="142">
        <f>IF(Wed_W1[[#This Row],[Employee Name]]="","",IF(Wed_W1[[#This Row],[Dept]]="Supervisor",SUM(COUNTIFS($J37:$AX37,"RTA*",$J37:$AX37,"&lt;&gt;"&amp;"pRTA"),COUNTIFS($J37:$AX37,"*CRTA*",$J37:$AX37,"&lt;&gt;"&amp;"pCRTA")),COUNTIFS($J37:$AX37,"*RNNR*",$J37:$AX37,"&lt;&gt;"&amp;"*pRNNR*",$J37:$AX37,"&lt;&gt;"&amp;"pB1 RNNR",$J37:$AX37,"&lt;&gt;"&amp;"pB2 RNNR")-SUM(COUNTIFS($J37:$AX37,"*RNNR B1*",$J37:$AX37,"&lt;&gt;"&amp;"pRNNR B1")*0.5,COUNTIFS($J37:$AX37,"*RNNR B2*",$J37:$AX37,"&lt;&gt;"&amp;"pRNNR B2")*0.5,COUNTIFS($J37:$AX37,"*B1 RNNR*",$J37:$AX37,"&lt;&gt;"&amp;"pB1 RNNR")*0.5,COUNTIFS($J37:$AX37,"*B2 RNNR*",$J37:$AX37,"&lt;&gt;"&amp;"pB2 RNNR")*0.5)))</f>
        <v>2</v>
      </c>
      <c r="J37" s="184" t="str">
        <f>IFERROR(IF(VLOOKUP(Wed_W1[[#This Row],[Employee Name]],'Base Schedules'!$A$205:$AW$241,9,FALSE)="","",VLOOKUP(Wed_W1[[#This Row],[Employee Name]],'Base Schedules'!$A$205:$AW$241,9,FALSE)),"")</f>
        <v/>
      </c>
      <c r="K37" s="184" t="str">
        <f>IFERROR(IF(VLOOKUP(Wed_W1[[#This Row],[Employee Name]],'Base Schedules'!$A$205:$AW$241,10,FALSE)="","",VLOOKUP(Wed_W1[[#This Row],[Employee Name]],'Base Schedules'!$A$205:$AW$241,10,FALSE)),"")</f>
        <v/>
      </c>
      <c r="L37" s="184" t="str">
        <f>IFERROR(IF(VLOOKUP(Wed_W1[[#This Row],[Employee Name]],'Base Schedules'!$A$205:$AW$241,11,FALSE)="","",VLOOKUP(Wed_W1[[#This Row],[Employee Name]],'Base Schedules'!$A$205:$AW$241,11,FALSE)),"")</f>
        <v/>
      </c>
      <c r="M37" s="184" t="str">
        <f>IFERROR(IF(VLOOKUP(Wed_W1[[#This Row],[Employee Name]],'Base Schedules'!$A$205:$AW$241,12,FALSE)="","",VLOOKUP(Wed_W1[[#This Row],[Employee Name]],'Base Schedules'!$A$205:$AW$241,12,FALSE)),"")</f>
        <v/>
      </c>
      <c r="N37" s="184" t="str">
        <f>IFERROR(IF(VLOOKUP(Wed_W1[[#This Row],[Employee Name]],'Base Schedules'!$A$205:$AW$241,13,FALSE)="","",VLOOKUP(Wed_W1[[#This Row],[Employee Name]],'Base Schedules'!$A$205:$AW$241,13,FALSE)),"")</f>
        <v/>
      </c>
      <c r="O37" s="184" t="str">
        <f>IFERROR(IF(VLOOKUP(Wed_W1[[#This Row],[Employee Name]],'Base Schedules'!$A$205:$AW$241,14,FALSE)="","",VLOOKUP(Wed_W1[[#This Row],[Employee Name]],'Base Schedules'!$A$205:$AW$241,14,FALSE)),"")</f>
        <v/>
      </c>
      <c r="P37" s="184" t="str">
        <f>IFERROR(IF(VLOOKUP(Wed_W1[[#This Row],[Employee Name]],'Base Schedules'!$A$205:$AW$241,15,FALSE)="","",VLOOKUP(Wed_W1[[#This Row],[Employee Name]],'Base Schedules'!$A$205:$AW$241,15,FALSE)),"")</f>
        <v/>
      </c>
      <c r="Q37" s="184" t="str">
        <f>IFERROR(IF(VLOOKUP(Wed_W1[[#This Row],[Employee Name]],'Base Schedules'!$A$205:$AW$241,16,FALSE)="","",VLOOKUP(Wed_W1[[#This Row],[Employee Name]],'Base Schedules'!$A$205:$AW$241,16,FALSE)),"")</f>
        <v/>
      </c>
      <c r="R37" s="184" t="str">
        <f>IFERROR(IF(VLOOKUP(Wed_W1[[#This Row],[Employee Name]],'Base Schedules'!$A$205:$AW$241,17,FALSE)="","",VLOOKUP(Wed_W1[[#This Row],[Employee Name]],'Base Schedules'!$A$205:$AW$241,17,FALSE)),"")</f>
        <v/>
      </c>
      <c r="S37" s="184" t="str">
        <f>IFERROR(IF(VLOOKUP(Wed_W1[[#This Row],[Employee Name]],'Base Schedules'!$A$205:$AW$241,18,FALSE)="","",VLOOKUP(Wed_W1[[#This Row],[Employee Name]],'Base Schedules'!$A$205:$AW$241,18,FALSE)),"")</f>
        <v/>
      </c>
      <c r="T37" s="184" t="str">
        <f>IFERROR(IF(VLOOKUP(Wed_W1[[#This Row],[Employee Name]],'Base Schedules'!$A$205:$AW$241,19,FALSE)="","",VLOOKUP(Wed_W1[[#This Row],[Employee Name]],'Base Schedules'!$A$205:$AW$241,19,FALSE)),"")</f>
        <v/>
      </c>
      <c r="U37" s="184" t="str">
        <f>IFERROR(IF(VLOOKUP(Wed_W1[[#This Row],[Employee Name]],'Base Schedules'!$A$205:$AW$241,20,FALSE)="","",VLOOKUP(Wed_W1[[#This Row],[Employee Name]],'Base Schedules'!$A$205:$AW$241,20,FALSE)),"")</f>
        <v/>
      </c>
      <c r="V37" s="184" t="str">
        <f>IFERROR(IF(VLOOKUP(Wed_W1[[#This Row],[Employee Name]],'Base Schedules'!$A$205:$AW$241,21,FALSE)="","",VLOOKUP(Wed_W1[[#This Row],[Employee Name]],'Base Schedules'!$A$205:$AW$241,21,FALSE)),"")</f>
        <v/>
      </c>
      <c r="W37" s="184" t="str">
        <f>IFERROR(IF(VLOOKUP(Wed_W1[[#This Row],[Employee Name]],'Base Schedules'!$A$205:$AW$241,22,FALSE)="","",VLOOKUP(Wed_W1[[#This Row],[Employee Name]],'Base Schedules'!$A$205:$AW$241,22,FALSE)),"")</f>
        <v/>
      </c>
      <c r="X37" s="184" t="str">
        <f>IFERROR(IF(VLOOKUP(Wed_W1[[#This Row],[Employee Name]],'Base Schedules'!$A$205:$AW$241,23,FALSE)="","",VLOOKUP(Wed_W1[[#This Row],[Employee Name]],'Base Schedules'!$A$205:$AW$241,23,FALSE)),"")</f>
        <v/>
      </c>
      <c r="Y37" s="184" t="str">
        <f>IFERROR(IF(VLOOKUP(Wed_W1[[#This Row],[Employee Name]],'Base Schedules'!$A$205:$AW$241,24,FALSE)="","",VLOOKUP(Wed_W1[[#This Row],[Employee Name]],'Base Schedules'!$A$205:$AW$241,24,FALSE)),"")</f>
        <v/>
      </c>
      <c r="Z37" s="184" t="str">
        <f>IFERROR(IF(VLOOKUP(Wed_W1[[#This Row],[Employee Name]],'Base Schedules'!$A$205:$AW$241,25,FALSE)="","",VLOOKUP(Wed_W1[[#This Row],[Employee Name]],'Base Schedules'!$A$205:$AW$241,25,FALSE)),"")</f>
        <v/>
      </c>
      <c r="AA37" s="184" t="str">
        <f>IFERROR(IF(VLOOKUP(Wed_W1[[#This Row],[Employee Name]],'Base Schedules'!$A$205:$AW$241,26,FALSE)="","",VLOOKUP(Wed_W1[[#This Row],[Employee Name]],'Base Schedules'!$A$205:$AW$241,26,FALSE)),"")</f>
        <v/>
      </c>
      <c r="AB37" s="184" t="str">
        <f>IFERROR(IF(VLOOKUP(Wed_W1[[#This Row],[Employee Name]],'Base Schedules'!$A$205:$AW$241,27,FALSE)="","",VLOOKUP(Wed_W1[[#This Row],[Employee Name]],'Base Schedules'!$A$205:$AW$241,27,FALSE)),"")</f>
        <v/>
      </c>
      <c r="AC37" s="184" t="str">
        <f>IFERROR(IF(VLOOKUP(Wed_W1[[#This Row],[Employee Name]],'Base Schedules'!$A$205:$AW$241,28,FALSE)="","",VLOOKUP(Wed_W1[[#This Row],[Employee Name]],'Base Schedules'!$A$205:$AW$241,28,FALSE)),"")</f>
        <v/>
      </c>
      <c r="AD37" s="184" t="str">
        <f>IFERROR(IF(VLOOKUP(Wed_W1[[#This Row],[Employee Name]],'Base Schedules'!$A$205:$AW$241,29,FALSE)="","",VLOOKUP(Wed_W1[[#This Row],[Employee Name]],'Base Schedules'!$A$205:$AW$241,29,FALSE)),"")</f>
        <v/>
      </c>
      <c r="AE37" s="184" t="str">
        <f>IFERROR(IF(VLOOKUP(Wed_W1[[#This Row],[Employee Name]],'Base Schedules'!$A$205:$AW$241,30,FALSE)="","",VLOOKUP(Wed_W1[[#This Row],[Employee Name]],'Base Schedules'!$A$205:$AW$241,30,FALSE)),"")</f>
        <v/>
      </c>
      <c r="AF37" s="184" t="str">
        <f>IFERROR(IF(VLOOKUP(Wed_W1[[#This Row],[Employee Name]],'Base Schedules'!$A$205:$AW$241,31,FALSE)="","",VLOOKUP(Wed_W1[[#This Row],[Employee Name]],'Base Schedules'!$A$205:$AW$241,31,FALSE)),"")</f>
        <v>ADM</v>
      </c>
      <c r="AG37" s="184" t="str">
        <f>IFERROR(IF(VLOOKUP(Wed_W1[[#This Row],[Employee Name]],'Base Schedules'!$A$205:$AW$241,32,FALSE)="","",VLOOKUP(Wed_W1[[#This Row],[Employee Name]],'Base Schedules'!$A$205:$AW$241,32,FALSE)),"")</f>
        <v>ADM</v>
      </c>
      <c r="AH37" s="184" t="str">
        <f>IFERROR(IF(VLOOKUP(Wed_W1[[#This Row],[Employee Name]],'Base Schedules'!$A$205:$AW$241,33,FALSE)="","",VLOOKUP(Wed_W1[[#This Row],[Employee Name]],'Base Schedules'!$A$205:$AW$241,33,FALSE)),"")</f>
        <v>ADM</v>
      </c>
      <c r="AI37" s="184" t="str">
        <f>IFERROR(IF(VLOOKUP(Wed_W1[[#This Row],[Employee Name]],'Base Schedules'!$A$205:$AW$241,34,FALSE)="","",VLOOKUP(Wed_W1[[#This Row],[Employee Name]],'Base Schedules'!$A$205:$AW$241,34,FALSE)),"")</f>
        <v>ADM B1</v>
      </c>
      <c r="AJ37" s="184" t="str">
        <f>IFERROR(IF(VLOOKUP(Wed_W1[[#This Row],[Employee Name]],'Base Schedules'!$A$205:$AW$241,35,FALSE)="","",VLOOKUP(Wed_W1[[#This Row],[Employee Name]],'Base Schedules'!$A$205:$AW$241,35,FALSE)),"")</f>
        <v>RNNR</v>
      </c>
      <c r="AK37" s="184" t="str">
        <f>IFERROR(IF(VLOOKUP(Wed_W1[[#This Row],[Employee Name]],'Base Schedules'!$A$205:$AW$241,36,FALSE)="","",VLOOKUP(Wed_W1[[#This Row],[Employee Name]],'Base Schedules'!$A$205:$AW$241,36,FALSE)),"")</f>
        <v>RNNR</v>
      </c>
      <c r="AL37" s="184" t="str">
        <f>IFERROR(IF(VLOOKUP(Wed_W1[[#This Row],[Employee Name]],'Base Schedules'!$A$205:$AW$241,37,FALSE)="","",VLOOKUP(Wed_W1[[#This Row],[Employee Name]],'Base Schedules'!$A$205:$AW$241,37,FALSE)),"")</f>
        <v>ADM</v>
      </c>
      <c r="AM37" s="184" t="str">
        <f>IFERROR(IF(VLOOKUP(Wed_W1[[#This Row],[Employee Name]],'Base Schedules'!$A$205:$AW$241,38,FALSE)="","",VLOOKUP(Wed_W1[[#This Row],[Employee Name]],'Base Schedules'!$A$205:$AW$241,38,FALSE)),"")</f>
        <v>HL</v>
      </c>
      <c r="AN37" s="184" t="str">
        <f>IFERROR(IF(VLOOKUP(Wed_W1[[#This Row],[Employee Name]],'Base Schedules'!$A$205:$AW$241,39,FALSE)="","",VLOOKUP(Wed_W1[[#This Row],[Employee Name]],'Base Schedules'!$A$205:$AW$241,39,FALSE)),"")</f>
        <v>LUNCH</v>
      </c>
      <c r="AO37" s="184" t="str">
        <f>IFERROR(IF(VLOOKUP(Wed_W1[[#This Row],[Employee Name]],'Base Schedules'!$A$205:$AW$241,40,FALSE)="","",VLOOKUP(Wed_W1[[#This Row],[Employee Name]],'Base Schedules'!$A$205:$AW$241,40,FALSE)),"")</f>
        <v>LUNCH</v>
      </c>
      <c r="AP37" s="184" t="str">
        <f>IFERROR(IF(VLOOKUP(Wed_W1[[#This Row],[Employee Name]],'Base Schedules'!$A$205:$AW$241,41,FALSE)="","",VLOOKUP(Wed_W1[[#This Row],[Employee Name]],'Base Schedules'!$A$205:$AW$241,41,FALSE)),"")</f>
        <v>HL</v>
      </c>
      <c r="AQ37" s="184" t="str">
        <f>IFERROR(IF(VLOOKUP(Wed_W1[[#This Row],[Employee Name]],'Base Schedules'!$A$205:$AW$241,42,FALSE)="","",VLOOKUP(Wed_W1[[#This Row],[Employee Name]],'Base Schedules'!$A$205:$AW$241,42,FALSE)),"")</f>
        <v>HL</v>
      </c>
      <c r="AR37" s="184" t="str">
        <f>IFERROR(IF(VLOOKUP(Wed_W1[[#This Row],[Employee Name]],'Base Schedules'!$A$205:$AW$241,43,FALSE)="","",VLOOKUP(Wed_W1[[#This Row],[Employee Name]],'Base Schedules'!$A$205:$AW$241,43,FALSE)),"")</f>
        <v>HL</v>
      </c>
      <c r="AS37" s="184" t="str">
        <f>IFERROR(IF(VLOOKUP(Wed_W1[[#This Row],[Employee Name]],'Base Schedules'!$A$205:$AW$241,44,FALSE)="","",VLOOKUP(Wed_W1[[#This Row],[Employee Name]],'Base Schedules'!$A$205:$AW$241,44,FALSE)),"")</f>
        <v>B2 HL</v>
      </c>
      <c r="AT37" s="184" t="str">
        <f>IFERROR(IF(VLOOKUP(Wed_W1[[#This Row],[Employee Name]],'Base Schedules'!$A$205:$AW$241,45,FALSE)="","",VLOOKUP(Wed_W1[[#This Row],[Employee Name]],'Base Schedules'!$A$205:$AW$241,45,FALSE)),"")</f>
        <v>HL</v>
      </c>
      <c r="AU37" s="184" t="str">
        <f>IFERROR(IF(VLOOKUP(Wed_W1[[#This Row],[Employee Name]],'Base Schedules'!$A$205:$AW$241,46,FALSE)="","",VLOOKUP(Wed_W1[[#This Row],[Employee Name]],'Base Schedules'!$A$205:$AW$241,46,FALSE)),"")</f>
        <v>HL</v>
      </c>
      <c r="AV37" s="184" t="str">
        <f>IFERROR(IF(VLOOKUP(Wed_W1[[#This Row],[Employee Name]],'Base Schedules'!$A$205:$AW$241,47,FALSE)="","",VLOOKUP(Wed_W1[[#This Row],[Employee Name]],'Base Schedules'!$A$205:$AW$241,47,FALSE)),"")</f>
        <v>HL</v>
      </c>
      <c r="AW37" s="184" t="str">
        <f>IFERROR(IF(VLOOKUP(Wed_W1[[#This Row],[Employee Name]],'Base Schedules'!$A$205:$AW$241,48,FALSE)="","",VLOOKUP(Wed_W1[[#This Row],[Employee Name]],'Base Schedules'!$A$205:$AW$241,48,FALSE)),"")</f>
        <v>HL</v>
      </c>
      <c r="AX37" s="184" t="str">
        <f>IFERROR(IF(VLOOKUP(Wed_W1[[#This Row],[Employee Name]],'Base Schedules'!$A$205:$AW$241,49,FALSE)="","",VLOOKUP(Wed_W1[[#This Row],[Employee Name]],'Base Schedules'!$A$205:$AW$241,49,FALSE)),"")</f>
        <v/>
      </c>
      <c r="AY37" s="166" t="str">
        <f t="shared" si="2"/>
        <v>Wonser, Shannon</v>
      </c>
    </row>
    <row r="38" spans="1:51" s="44" customFormat="1" ht="12" x14ac:dyDescent="0.2">
      <c r="A38" s="39" t="str">
        <f>IF(B38="","",INDEX(TeamList[],MATCH($B38,TeamList[[Employee Name]:[Employee Name]],0),MATCH("Manager",TeamList[#Headers],0)))</f>
        <v>Olson, Katherine</v>
      </c>
      <c r="B38" s="333" t="s">
        <v>52</v>
      </c>
      <c r="C38" s="257" t="str">
        <f>_xlfn.IFNA(VLOOKUP(Wed_W1[[#This Row],[Employee Name]],'Base Schedules'!A:B,2,FALSE),"")</f>
        <v>Supervisor</v>
      </c>
      <c r="D38" s="274">
        <f>_xlfn.IFNA(VLOOKUP(Wed_W1[[#This Row],[Employee Name]],'Base Schedules'!A:C,3,FALSE),"")</f>
        <v>1600</v>
      </c>
      <c r="E38" s="274">
        <f>_xlfn.IFNA(VLOOKUP(Wed_W1[[#This Row],[Employee Name]],'Base Schedules'!A:D,4,FALSE),"")</f>
        <v>100</v>
      </c>
      <c r="F38" s="142">
        <f>IF(Wed_W1[[#This Row],[Employee Name]]="","",IF(Wed_W1[[#This Row],[Dept]]="Supervisor",COUNTIFS($J38:$AX38,"*HL*",$J38:$AX38,"&lt;&gt;"&amp;"pHL"),COUNTIFS($J38:$AX38,"*HL*",$J38:$AX38,"&lt;&gt;"&amp;"*pHL*",$J38:$AX38,"&lt;&gt;"&amp;"pB1 HL",$J38:$AX38,"&lt;&gt;"&amp;"pB2 HL")-SUM(COUNTIFS($J38:$AX38,"*HL B1*",$J38:$AX38,"&lt;&gt;"&amp;"pHL B1")*0.5,COUNTIFS($J38:$AX38,"*HL B2*",$J38:$AX38,"&lt;&gt;"&amp;"pHL B2")*0.5,COUNTIFS($J38:$AX38,"*B1 HL*",$J38:$AX38,"&lt;&gt;"&amp;"pB1 HL")*0.5,COUNTIFS($J38:$AX38,"*B2 HL*",$J38:$AX38,"&lt;&gt;"&amp;"pB2 HL")*0.5)))</f>
        <v>0</v>
      </c>
      <c r="G38" s="142">
        <f t="shared" si="0"/>
        <v>4</v>
      </c>
      <c r="H38" s="142">
        <f t="shared" si="1"/>
        <v>0</v>
      </c>
      <c r="I38" s="142">
        <f>IF(Wed_W1[[#This Row],[Employee Name]]="","",IF(Wed_W1[[#This Row],[Dept]]="Supervisor",SUM(COUNTIFS($J38:$AX38,"RTA*",$J38:$AX38,"&lt;&gt;"&amp;"pRTA"),COUNTIFS($J38:$AX38,"*CRTA*",$J38:$AX38,"&lt;&gt;"&amp;"pCRTA")),COUNTIFS($J38:$AX38,"*RNNR*",$J38:$AX38,"&lt;&gt;"&amp;"*pRNNR*",$J38:$AX38,"&lt;&gt;"&amp;"pB1 RNNR",$J38:$AX38,"&lt;&gt;"&amp;"pB2 RNNR")-SUM(COUNTIFS($J38:$AX38,"*RNNR B1*",$J38:$AX38,"&lt;&gt;"&amp;"pRNNR B1")*0.5,COUNTIFS($J38:$AX38,"*RNNR B2*",$J38:$AX38,"&lt;&gt;"&amp;"pRNNR B2")*0.5,COUNTIFS($J38:$AX38,"*B1 RNNR*",$J38:$AX38,"&lt;&gt;"&amp;"pB1 RNNR")*0.5,COUNTIFS($J38:$AX38,"*B2 RNNR*",$J38:$AX38,"&lt;&gt;"&amp;"pB2 RNNR")*0.5)))</f>
        <v>0</v>
      </c>
      <c r="J38" s="184" t="str">
        <f>IFERROR(IF(VLOOKUP(Wed_W1[[#This Row],[Employee Name]],'Base Schedules'!$A$205:$AW$241,9,FALSE)="","",VLOOKUP(Wed_W1[[#This Row],[Employee Name]],'Base Schedules'!$A$205:$AW$241,9,FALSE)),"")</f>
        <v/>
      </c>
      <c r="K38" s="184" t="str">
        <f>IFERROR(IF(VLOOKUP(Wed_W1[[#This Row],[Employee Name]],'Base Schedules'!$A$205:$AW$241,10,FALSE)="","",VLOOKUP(Wed_W1[[#This Row],[Employee Name]],'Base Schedules'!$A$205:$AW$241,10,FALSE)),"")</f>
        <v/>
      </c>
      <c r="L38" s="184" t="str">
        <f>IFERROR(IF(VLOOKUP(Wed_W1[[#This Row],[Employee Name]],'Base Schedules'!$A$205:$AW$241,11,FALSE)="","",VLOOKUP(Wed_W1[[#This Row],[Employee Name]],'Base Schedules'!$A$205:$AW$241,11,FALSE)),"")</f>
        <v/>
      </c>
      <c r="M38" s="184" t="str">
        <f>IFERROR(IF(VLOOKUP(Wed_W1[[#This Row],[Employee Name]],'Base Schedules'!$A$205:$AW$241,12,FALSE)="","",VLOOKUP(Wed_W1[[#This Row],[Employee Name]],'Base Schedules'!$A$205:$AW$241,12,FALSE)),"")</f>
        <v/>
      </c>
      <c r="N38" s="184" t="str">
        <f>IFERROR(IF(VLOOKUP(Wed_W1[[#This Row],[Employee Name]],'Base Schedules'!$A$205:$AW$241,13,FALSE)="","",VLOOKUP(Wed_W1[[#This Row],[Employee Name]],'Base Schedules'!$A$205:$AW$241,13,FALSE)),"")</f>
        <v/>
      </c>
      <c r="O38" s="184" t="str">
        <f>IFERROR(IF(VLOOKUP(Wed_W1[[#This Row],[Employee Name]],'Base Schedules'!$A$205:$AW$241,14,FALSE)="","",VLOOKUP(Wed_W1[[#This Row],[Employee Name]],'Base Schedules'!$A$205:$AW$241,14,FALSE)),"")</f>
        <v/>
      </c>
      <c r="P38" s="184" t="str">
        <f>IFERROR(IF(VLOOKUP(Wed_W1[[#This Row],[Employee Name]],'Base Schedules'!$A$205:$AW$241,15,FALSE)="","",VLOOKUP(Wed_W1[[#This Row],[Employee Name]],'Base Schedules'!$A$205:$AW$241,15,FALSE)),"")</f>
        <v/>
      </c>
      <c r="Q38" s="184" t="str">
        <f>IFERROR(IF(VLOOKUP(Wed_W1[[#This Row],[Employee Name]],'Base Schedules'!$A$205:$AW$241,16,FALSE)="","",VLOOKUP(Wed_W1[[#This Row],[Employee Name]],'Base Schedules'!$A$205:$AW$241,16,FALSE)),"")</f>
        <v/>
      </c>
      <c r="R38" s="184" t="str">
        <f>IFERROR(IF(VLOOKUP(Wed_W1[[#This Row],[Employee Name]],'Base Schedules'!$A$205:$AW$241,17,FALSE)="","",VLOOKUP(Wed_W1[[#This Row],[Employee Name]],'Base Schedules'!$A$205:$AW$241,17,FALSE)),"")</f>
        <v/>
      </c>
      <c r="S38" s="184" t="str">
        <f>IFERROR(IF(VLOOKUP(Wed_W1[[#This Row],[Employee Name]],'Base Schedules'!$A$205:$AW$241,18,FALSE)="","",VLOOKUP(Wed_W1[[#This Row],[Employee Name]],'Base Schedules'!$A$205:$AW$241,18,FALSE)),"")</f>
        <v/>
      </c>
      <c r="T38" s="184" t="str">
        <f>IFERROR(IF(VLOOKUP(Wed_W1[[#This Row],[Employee Name]],'Base Schedules'!$A$205:$AW$241,19,FALSE)="","",VLOOKUP(Wed_W1[[#This Row],[Employee Name]],'Base Schedules'!$A$205:$AW$241,19,FALSE)),"")</f>
        <v/>
      </c>
      <c r="U38" s="184" t="str">
        <f>IFERROR(IF(VLOOKUP(Wed_W1[[#This Row],[Employee Name]],'Base Schedules'!$A$205:$AW$241,20,FALSE)="","",VLOOKUP(Wed_W1[[#This Row],[Employee Name]],'Base Schedules'!$A$205:$AW$241,20,FALSE)),"")</f>
        <v/>
      </c>
      <c r="V38" s="184" t="str">
        <f>IFERROR(IF(VLOOKUP(Wed_W1[[#This Row],[Employee Name]],'Base Schedules'!$A$205:$AW$241,21,FALSE)="","",VLOOKUP(Wed_W1[[#This Row],[Employee Name]],'Base Schedules'!$A$205:$AW$241,21,FALSE)),"")</f>
        <v/>
      </c>
      <c r="W38" s="184" t="str">
        <f>IFERROR(IF(VLOOKUP(Wed_W1[[#This Row],[Employee Name]],'Base Schedules'!$A$205:$AW$241,22,FALSE)="","",VLOOKUP(Wed_W1[[#This Row],[Employee Name]],'Base Schedules'!$A$205:$AW$241,22,FALSE)),"")</f>
        <v/>
      </c>
      <c r="X38" s="184" t="str">
        <f>IFERROR(IF(VLOOKUP(Wed_W1[[#This Row],[Employee Name]],'Base Schedules'!$A$205:$AW$241,23,FALSE)="","",VLOOKUP(Wed_W1[[#This Row],[Employee Name]],'Base Schedules'!$A$205:$AW$241,23,FALSE)),"")</f>
        <v/>
      </c>
      <c r="Y38" s="184" t="str">
        <f>IFERROR(IF(VLOOKUP(Wed_W1[[#This Row],[Employee Name]],'Base Schedules'!$A$205:$AW$241,24,FALSE)="","",VLOOKUP(Wed_W1[[#This Row],[Employee Name]],'Base Schedules'!$A$205:$AW$241,24,FALSE)),"")</f>
        <v/>
      </c>
      <c r="Z38" s="184" t="str">
        <f>IFERROR(IF(VLOOKUP(Wed_W1[[#This Row],[Employee Name]],'Base Schedules'!$A$205:$AW$241,25,FALSE)="","",VLOOKUP(Wed_W1[[#This Row],[Employee Name]],'Base Schedules'!$A$205:$AW$241,25,FALSE)),"")</f>
        <v/>
      </c>
      <c r="AA38" s="184" t="str">
        <f>IFERROR(IF(VLOOKUP(Wed_W1[[#This Row],[Employee Name]],'Base Schedules'!$A$205:$AW$241,26,FALSE)="","",VLOOKUP(Wed_W1[[#This Row],[Employee Name]],'Base Schedules'!$A$205:$AW$241,26,FALSE)),"")</f>
        <v/>
      </c>
      <c r="AB38" s="184" t="str">
        <f>IFERROR(IF(VLOOKUP(Wed_W1[[#This Row],[Employee Name]],'Base Schedules'!$A$205:$AW$241,27,FALSE)="","",VLOOKUP(Wed_W1[[#This Row],[Employee Name]],'Base Schedules'!$A$205:$AW$241,27,FALSE)),"")</f>
        <v/>
      </c>
      <c r="AC38" s="184" t="str">
        <f>IFERROR(IF(VLOOKUP(Wed_W1[[#This Row],[Employee Name]],'Base Schedules'!$A$205:$AW$241,28,FALSE)="","",VLOOKUP(Wed_W1[[#This Row],[Employee Name]],'Base Schedules'!$A$205:$AW$241,28,FALSE)),"")</f>
        <v/>
      </c>
      <c r="AD38" s="184" t="str">
        <f>IFERROR(IF(VLOOKUP(Wed_W1[[#This Row],[Employee Name]],'Base Schedules'!$A$205:$AW$241,29,FALSE)="","",VLOOKUP(Wed_W1[[#This Row],[Employee Name]],'Base Schedules'!$A$205:$AW$241,29,FALSE)),"")</f>
        <v/>
      </c>
      <c r="AE38" s="184" t="str">
        <f>IFERROR(IF(VLOOKUP(Wed_W1[[#This Row],[Employee Name]],'Base Schedules'!$A$205:$AW$241,30,FALSE)="","",VLOOKUP(Wed_W1[[#This Row],[Employee Name]],'Base Schedules'!$A$205:$AW$241,30,FALSE)),"")</f>
        <v/>
      </c>
      <c r="AF38" s="184" t="str">
        <f>IFERROR(IF(VLOOKUP(Wed_W1[[#This Row],[Employee Name]],'Base Schedules'!$A$205:$AW$241,31,FALSE)="","",VLOOKUP(Wed_W1[[#This Row],[Employee Name]],'Base Schedules'!$A$205:$AW$241,31,FALSE)),"")</f>
        <v>Team RL TM</v>
      </c>
      <c r="AG38" s="184" t="str">
        <f>IFERROR(IF(VLOOKUP(Wed_W1[[#This Row],[Employee Name]],'Base Schedules'!$A$205:$AW$241,32,FALSE)="","",VLOOKUP(Wed_W1[[#This Row],[Employee Name]],'Base Schedules'!$A$205:$AW$241,32,FALSE)),"")</f>
        <v>Team RL TM</v>
      </c>
      <c r="AH38" s="184" t="str">
        <f>IFERROR(IF(VLOOKUP(Wed_W1[[#This Row],[Employee Name]],'Base Schedules'!$A$205:$AW$241,33,FALSE)="","",VLOOKUP(Wed_W1[[#This Row],[Employee Name]],'Base Schedules'!$A$205:$AW$241,33,FALSE)),"")</f>
        <v>-</v>
      </c>
      <c r="AI38" s="184" t="str">
        <f>IFERROR(IF(VLOOKUP(Wed_W1[[#This Row],[Employee Name]],'Base Schedules'!$A$205:$AW$241,34,FALSE)="","",VLOOKUP(Wed_W1[[#This Row],[Employee Name]],'Base Schedules'!$A$205:$AW$241,34,FALSE)),"")</f>
        <v>-</v>
      </c>
      <c r="AJ38" s="184" t="str">
        <f>IFERROR(IF(VLOOKUP(Wed_W1[[#This Row],[Employee Name]],'Base Schedules'!$A$205:$AW$241,35,FALSE)="","",VLOOKUP(Wed_W1[[#This Row],[Employee Name]],'Base Schedules'!$A$205:$AW$241,35,FALSE)),"")</f>
        <v>-</v>
      </c>
      <c r="AK38" s="184" t="str">
        <f>IFERROR(IF(VLOOKUP(Wed_W1[[#This Row],[Employee Name]],'Base Schedules'!$A$205:$AW$241,36,FALSE)="","",VLOOKUP(Wed_W1[[#This Row],[Employee Name]],'Base Schedules'!$A$205:$AW$241,36,FALSE)),"")</f>
        <v>-</v>
      </c>
      <c r="AL38" s="184" t="str">
        <f>IFERROR(IF(VLOOKUP(Wed_W1[[#This Row],[Employee Name]],'Base Schedules'!$A$205:$AW$241,37,FALSE)="","",VLOOKUP(Wed_W1[[#This Row],[Employee Name]],'Base Schedules'!$A$205:$AW$241,37,FALSE)),"")</f>
        <v>-</v>
      </c>
      <c r="AM38" s="184" t="str">
        <f>IFERROR(IF(VLOOKUP(Wed_W1[[#This Row],[Employee Name]],'Base Schedules'!$A$205:$AW$241,38,FALSE)="","",VLOOKUP(Wed_W1[[#This Row],[Employee Name]],'Base Schedules'!$A$205:$AW$241,38,FALSE)),"")</f>
        <v>-</v>
      </c>
      <c r="AN38" s="184" t="str">
        <f>IFERROR(IF(VLOOKUP(Wed_W1[[#This Row],[Employee Name]],'Base Schedules'!$A$205:$AW$241,39,FALSE)="","",VLOOKUP(Wed_W1[[#This Row],[Employee Name]],'Base Schedules'!$A$205:$AW$241,39,FALSE)),"")</f>
        <v>-</v>
      </c>
      <c r="AO38" s="184" t="str">
        <f>IFERROR(IF(VLOOKUP(Wed_W1[[#This Row],[Employee Name]],'Base Schedules'!$A$205:$AW$241,40,FALSE)="","",VLOOKUP(Wed_W1[[#This Row],[Employee Name]],'Base Schedules'!$A$205:$AW$241,40,FALSE)),"")</f>
        <v>Coaching</v>
      </c>
      <c r="AP38" s="184" t="str">
        <f>IFERROR(IF(VLOOKUP(Wed_W1[[#This Row],[Employee Name]],'Base Schedules'!$A$205:$AW$241,41,FALSE)="","",VLOOKUP(Wed_W1[[#This Row],[Employee Name]],'Base Schedules'!$A$205:$AW$241,41,FALSE)),"")</f>
        <v>Coaching</v>
      </c>
      <c r="AQ38" s="184" t="str">
        <f>IFERROR(IF(VLOOKUP(Wed_W1[[#This Row],[Employee Name]],'Base Schedules'!$A$205:$AW$241,42,FALSE)="","",VLOOKUP(Wed_W1[[#This Row],[Employee Name]],'Base Schedules'!$A$205:$AW$241,42,FALSE)),"")</f>
        <v>Coaching</v>
      </c>
      <c r="AR38" s="184" t="str">
        <f>IFERROR(IF(VLOOKUP(Wed_W1[[#This Row],[Employee Name]],'Base Schedules'!$A$205:$AW$241,43,FALSE)="","",VLOOKUP(Wed_W1[[#This Row],[Employee Name]],'Base Schedules'!$A$205:$AW$241,43,FALSE)),"")</f>
        <v>Coaching</v>
      </c>
      <c r="AS38" s="184" t="str">
        <f>IFERROR(IF(VLOOKUP(Wed_W1[[#This Row],[Employee Name]],'Base Schedules'!$A$205:$AW$241,44,FALSE)="","",VLOOKUP(Wed_W1[[#This Row],[Employee Name]],'Base Schedules'!$A$205:$AW$241,44,FALSE)),"")</f>
        <v>-</v>
      </c>
      <c r="AT38" s="184" t="str">
        <f>IFERROR(IF(VLOOKUP(Wed_W1[[#This Row],[Employee Name]],'Base Schedules'!$A$205:$AW$241,45,FALSE)="","",VLOOKUP(Wed_W1[[#This Row],[Employee Name]],'Base Schedules'!$A$205:$AW$241,45,FALSE)),"")</f>
        <v>-</v>
      </c>
      <c r="AU38" s="184" t="str">
        <f>IFERROR(IF(VLOOKUP(Wed_W1[[#This Row],[Employee Name]],'Base Schedules'!$A$205:$AW$241,46,FALSE)="","",VLOOKUP(Wed_W1[[#This Row],[Employee Name]],'Base Schedules'!$A$205:$AW$241,46,FALSE)),"")</f>
        <v>-</v>
      </c>
      <c r="AV38" s="184" t="str">
        <f>IFERROR(IF(VLOOKUP(Wed_W1[[#This Row],[Employee Name]],'Base Schedules'!$A$205:$AW$241,47,FALSE)="","",VLOOKUP(Wed_W1[[#This Row],[Employee Name]],'Base Schedules'!$A$205:$AW$241,47,FALSE)),"")</f>
        <v>-</v>
      </c>
      <c r="AW38" s="184" t="str">
        <f>IFERROR(IF(VLOOKUP(Wed_W1[[#This Row],[Employee Name]],'Base Schedules'!$A$205:$AW$241,48,FALSE)="","",VLOOKUP(Wed_W1[[#This Row],[Employee Name]],'Base Schedules'!$A$205:$AW$241,48,FALSE)),"")</f>
        <v>-</v>
      </c>
      <c r="AX38" s="184" t="str">
        <f>IFERROR(IF(VLOOKUP(Wed_W1[[#This Row],[Employee Name]],'Base Schedules'!$A$205:$AW$241,49,FALSE)="","",VLOOKUP(Wed_W1[[#This Row],[Employee Name]],'Base Schedules'!$A$205:$AW$241,49,FALSE)),"")</f>
        <v/>
      </c>
      <c r="AY38" s="164" t="str">
        <f t="shared" si="2"/>
        <v>Zornick, David</v>
      </c>
    </row>
    <row r="39" spans="1:51" s="44" customFormat="1" thickBot="1" x14ac:dyDescent="0.25">
      <c r="A39" s="39" t="str">
        <f>IF(B39="","",INDEX(TeamList[],MATCH($B39,TeamList[[Employee Name]:[Employee Name]],0),MATCH("Manager",TeamList[#Headers],0)))</f>
        <v>Olson, Katherine</v>
      </c>
      <c r="B39" s="201" t="s">
        <v>229</v>
      </c>
      <c r="C39" s="257" t="str">
        <f>_xlfn.IFNA(VLOOKUP(Wed_W1[[#This Row],[Employee Name]],'Base Schedules'!A:B,2,FALSE),"")</f>
        <v>Lead</v>
      </c>
      <c r="D39" s="274">
        <f>_xlfn.IFNA(VLOOKUP(Wed_W1[[#This Row],[Employee Name]],'Base Schedules'!A:C,3,FALSE),"")</f>
        <v>1630</v>
      </c>
      <c r="E39" s="274">
        <f>_xlfn.IFNA(VLOOKUP(Wed_W1[[#This Row],[Employee Name]],'Base Schedules'!A:D,4,FALSE),"")</f>
        <v>100</v>
      </c>
      <c r="F39" s="142">
        <f>IF(Wed_W1[[#This Row],[Employee Name]]="","",IF(Wed_W1[[#This Row],[Dept]]="Supervisor",COUNTIFS($J39:$AX39,"*HL*",$J39:$AX39,"&lt;&gt;"&amp;"pHL"),COUNTIFS($J39:$AX39,"*HL*",$J39:$AX39,"&lt;&gt;"&amp;"*pHL*",$J39:$AX39,"&lt;&gt;"&amp;"pB1 HL",$J39:$AX39,"&lt;&gt;"&amp;"pB2 HL")-SUM(COUNTIFS($J39:$AX39,"*HL B1*",$J39:$AX39,"&lt;&gt;"&amp;"pHL B1")*0.5,COUNTIFS($J39:$AX39,"*HL B2*",$J39:$AX39,"&lt;&gt;"&amp;"pHL B2")*0.5,COUNTIFS($J39:$AX39,"*B1 HL*",$J39:$AX39,"&lt;&gt;"&amp;"pB1 HL")*0.5,COUNTIFS($J39:$AX39,"*B2 HL*",$J39:$AX39,"&lt;&gt;"&amp;"pB2 HL")*0.5)))</f>
        <v>9.5</v>
      </c>
      <c r="G39" s="142">
        <f t="shared" si="0"/>
        <v>0</v>
      </c>
      <c r="H39" s="142">
        <f t="shared" si="1"/>
        <v>6</v>
      </c>
      <c r="I39" s="142">
        <f>IF(Wed_W1[[#This Row],[Employee Name]]="","",IF(Wed_W1[[#This Row],[Dept]]="Supervisor",SUM(COUNTIFS($J39:$AX39,"RTA*",$J39:$AX39,"&lt;&gt;"&amp;"pRTA"),COUNTIFS($J39:$AX39,"*CRTA*",$J39:$AX39,"&lt;&gt;"&amp;"pCRTA")),COUNTIFS($J39:$AX39,"*RNNR*",$J39:$AX39,"&lt;&gt;"&amp;"*pRNNR*",$J39:$AX39,"&lt;&gt;"&amp;"pB1 RNNR",$J39:$AX39,"&lt;&gt;"&amp;"pB2 RNNR")-SUM(COUNTIFS($J39:$AX39,"*RNNR B1*",$J39:$AX39,"&lt;&gt;"&amp;"pRNNR B1")*0.5,COUNTIFS($J39:$AX39,"*RNNR B2*",$J39:$AX39,"&lt;&gt;"&amp;"pRNNR B2")*0.5,COUNTIFS($J39:$AX39,"*B1 RNNR*",$J39:$AX39,"&lt;&gt;"&amp;"pB1 RNNR")*0.5,COUNTIFS($J39:$AX39,"*B2 RNNR*",$J39:$AX39,"&lt;&gt;"&amp;"pB2 RNNR")*0.5)))</f>
        <v>0</v>
      </c>
      <c r="J39" s="184" t="str">
        <f>IFERROR(IF(VLOOKUP(Wed_W1[[#This Row],[Employee Name]],'Base Schedules'!$A$205:$AW$241,9,FALSE)="","",VLOOKUP(Wed_W1[[#This Row],[Employee Name]],'Base Schedules'!$A$205:$AW$241,9,FALSE)),"")</f>
        <v/>
      </c>
      <c r="K39" s="184" t="str">
        <f>IFERROR(IF(VLOOKUP(Wed_W1[[#This Row],[Employee Name]],'Base Schedules'!$A$205:$AW$241,10,FALSE)="","",VLOOKUP(Wed_W1[[#This Row],[Employee Name]],'Base Schedules'!$A$205:$AW$241,10,FALSE)),"")</f>
        <v/>
      </c>
      <c r="L39" s="184" t="str">
        <f>IFERROR(IF(VLOOKUP(Wed_W1[[#This Row],[Employee Name]],'Base Schedules'!$A$205:$AW$241,11,FALSE)="","",VLOOKUP(Wed_W1[[#This Row],[Employee Name]],'Base Schedules'!$A$205:$AW$241,11,FALSE)),"")</f>
        <v/>
      </c>
      <c r="M39" s="184" t="str">
        <f>IFERROR(IF(VLOOKUP(Wed_W1[[#This Row],[Employee Name]],'Base Schedules'!$A$205:$AW$241,12,FALSE)="","",VLOOKUP(Wed_W1[[#This Row],[Employee Name]],'Base Schedules'!$A$205:$AW$241,12,FALSE)),"")</f>
        <v/>
      </c>
      <c r="N39" s="184" t="str">
        <f>IFERROR(IF(VLOOKUP(Wed_W1[[#This Row],[Employee Name]],'Base Schedules'!$A$205:$AW$241,13,FALSE)="","",VLOOKUP(Wed_W1[[#This Row],[Employee Name]],'Base Schedules'!$A$205:$AW$241,13,FALSE)),"")</f>
        <v/>
      </c>
      <c r="O39" s="184" t="str">
        <f>IFERROR(IF(VLOOKUP(Wed_W1[[#This Row],[Employee Name]],'Base Schedules'!$A$205:$AW$241,14,FALSE)="","",VLOOKUP(Wed_W1[[#This Row],[Employee Name]],'Base Schedules'!$A$205:$AW$241,14,FALSE)),"")</f>
        <v/>
      </c>
      <c r="P39" s="184" t="str">
        <f>IFERROR(IF(VLOOKUP(Wed_W1[[#This Row],[Employee Name]],'Base Schedules'!$A$205:$AW$241,15,FALSE)="","",VLOOKUP(Wed_W1[[#This Row],[Employee Name]],'Base Schedules'!$A$205:$AW$241,15,FALSE)),"")</f>
        <v/>
      </c>
      <c r="Q39" s="184" t="str">
        <f>IFERROR(IF(VLOOKUP(Wed_W1[[#This Row],[Employee Name]],'Base Schedules'!$A$205:$AW$241,16,FALSE)="","",VLOOKUP(Wed_W1[[#This Row],[Employee Name]],'Base Schedules'!$A$205:$AW$241,16,FALSE)),"")</f>
        <v/>
      </c>
      <c r="R39" s="184" t="str">
        <f>IFERROR(IF(VLOOKUP(Wed_W1[[#This Row],[Employee Name]],'Base Schedules'!$A$205:$AW$241,17,FALSE)="","",VLOOKUP(Wed_W1[[#This Row],[Employee Name]],'Base Schedules'!$A$205:$AW$241,17,FALSE)),"")</f>
        <v/>
      </c>
      <c r="S39" s="184" t="str">
        <f>IFERROR(IF(VLOOKUP(Wed_W1[[#This Row],[Employee Name]],'Base Schedules'!$A$205:$AW$241,18,FALSE)="","",VLOOKUP(Wed_W1[[#This Row],[Employee Name]],'Base Schedules'!$A$205:$AW$241,18,FALSE)),"")</f>
        <v/>
      </c>
      <c r="T39" s="184" t="str">
        <f>IFERROR(IF(VLOOKUP(Wed_W1[[#This Row],[Employee Name]],'Base Schedules'!$A$205:$AW$241,19,FALSE)="","",VLOOKUP(Wed_W1[[#This Row],[Employee Name]],'Base Schedules'!$A$205:$AW$241,19,FALSE)),"")</f>
        <v/>
      </c>
      <c r="U39" s="184" t="str">
        <f>IFERROR(IF(VLOOKUP(Wed_W1[[#This Row],[Employee Name]],'Base Schedules'!$A$205:$AW$241,20,FALSE)="","",VLOOKUP(Wed_W1[[#This Row],[Employee Name]],'Base Schedules'!$A$205:$AW$241,20,FALSE)),"")</f>
        <v/>
      </c>
      <c r="V39" s="184" t="str">
        <f>IFERROR(IF(VLOOKUP(Wed_W1[[#This Row],[Employee Name]],'Base Schedules'!$A$205:$AW$241,21,FALSE)="","",VLOOKUP(Wed_W1[[#This Row],[Employee Name]],'Base Schedules'!$A$205:$AW$241,21,FALSE)),"")</f>
        <v/>
      </c>
      <c r="W39" s="184" t="str">
        <f>IFERROR(IF(VLOOKUP(Wed_W1[[#This Row],[Employee Name]],'Base Schedules'!$A$205:$AW$241,22,FALSE)="","",VLOOKUP(Wed_W1[[#This Row],[Employee Name]],'Base Schedules'!$A$205:$AW$241,22,FALSE)),"")</f>
        <v/>
      </c>
      <c r="X39" s="184" t="str">
        <f>IFERROR(IF(VLOOKUP(Wed_W1[[#This Row],[Employee Name]],'Base Schedules'!$A$205:$AW$241,23,FALSE)="","",VLOOKUP(Wed_W1[[#This Row],[Employee Name]],'Base Schedules'!$A$205:$AW$241,23,FALSE)),"")</f>
        <v/>
      </c>
      <c r="Y39" s="184" t="str">
        <f>IFERROR(IF(VLOOKUP(Wed_W1[[#This Row],[Employee Name]],'Base Schedules'!$A$205:$AW$241,24,FALSE)="","",VLOOKUP(Wed_W1[[#This Row],[Employee Name]],'Base Schedules'!$A$205:$AW$241,24,FALSE)),"")</f>
        <v/>
      </c>
      <c r="Z39" s="184" t="str">
        <f>IFERROR(IF(VLOOKUP(Wed_W1[[#This Row],[Employee Name]],'Base Schedules'!$A$205:$AW$241,25,FALSE)="","",VLOOKUP(Wed_W1[[#This Row],[Employee Name]],'Base Schedules'!$A$205:$AW$241,25,FALSE)),"")</f>
        <v/>
      </c>
      <c r="AA39" s="184" t="str">
        <f>IFERROR(IF(VLOOKUP(Wed_W1[[#This Row],[Employee Name]],'Base Schedules'!$A$205:$AW$241,26,FALSE)="","",VLOOKUP(Wed_W1[[#This Row],[Employee Name]],'Base Schedules'!$A$205:$AW$241,26,FALSE)),"")</f>
        <v/>
      </c>
      <c r="AB39" s="184" t="str">
        <f>IFERROR(IF(VLOOKUP(Wed_W1[[#This Row],[Employee Name]],'Base Schedules'!$A$205:$AW$241,27,FALSE)="","",VLOOKUP(Wed_W1[[#This Row],[Employee Name]],'Base Schedules'!$A$205:$AW$241,27,FALSE)),"")</f>
        <v/>
      </c>
      <c r="AC39" s="184" t="str">
        <f>IFERROR(IF(VLOOKUP(Wed_W1[[#This Row],[Employee Name]],'Base Schedules'!$A$205:$AW$241,28,FALSE)="","",VLOOKUP(Wed_W1[[#This Row],[Employee Name]],'Base Schedules'!$A$205:$AW$241,28,FALSE)),"")</f>
        <v/>
      </c>
      <c r="AD39" s="184" t="str">
        <f>IFERROR(IF(VLOOKUP(Wed_W1[[#This Row],[Employee Name]],'Base Schedules'!$A$205:$AW$241,29,FALSE)="","",VLOOKUP(Wed_W1[[#This Row],[Employee Name]],'Base Schedules'!$A$205:$AW$241,29,FALSE)),"")</f>
        <v/>
      </c>
      <c r="AE39" s="184" t="str">
        <f>IFERROR(IF(VLOOKUP(Wed_W1[[#This Row],[Employee Name]],'Base Schedules'!$A$205:$AW$241,30,FALSE)="","",VLOOKUP(Wed_W1[[#This Row],[Employee Name]],'Base Schedules'!$A$205:$AW$241,30,FALSE)),"")</f>
        <v/>
      </c>
      <c r="AF39" s="184" t="str">
        <f>IFERROR(IF(VLOOKUP(Wed_W1[[#This Row],[Employee Name]],'Base Schedules'!$A$205:$AW$241,31,FALSE)="","",VLOOKUP(Wed_W1[[#This Row],[Employee Name]],'Base Schedules'!$A$205:$AW$241,31,FALSE)),"")</f>
        <v/>
      </c>
      <c r="AG39" s="184" t="str">
        <f>IFERROR(IF(VLOOKUP(Wed_W1[[#This Row],[Employee Name]],'Base Schedules'!$A$205:$AW$241,32,FALSE)="","",VLOOKUP(Wed_W1[[#This Row],[Employee Name]],'Base Schedules'!$A$205:$AW$241,32,FALSE)),"")</f>
        <v>ADM</v>
      </c>
      <c r="AH39" s="184" t="str">
        <f>IFERROR(IF(VLOOKUP(Wed_W1[[#This Row],[Employee Name]],'Base Schedules'!$A$205:$AW$241,33,FALSE)="","",VLOOKUP(Wed_W1[[#This Row],[Employee Name]],'Base Schedules'!$A$205:$AW$241,33,FALSE)),"")</f>
        <v>ADM</v>
      </c>
      <c r="AI39" s="184" t="str">
        <f>IFERROR(IF(VLOOKUP(Wed_W1[[#This Row],[Employee Name]],'Base Schedules'!$A$205:$AW$241,34,FALSE)="","",VLOOKUP(Wed_W1[[#This Row],[Employee Name]],'Base Schedules'!$A$205:$AW$241,34,FALSE)),"")</f>
        <v>ADM</v>
      </c>
      <c r="AJ39" s="184" t="str">
        <f>IFERROR(IF(VLOOKUP(Wed_W1[[#This Row],[Employee Name]],'Base Schedules'!$A$205:$AW$241,35,FALSE)="","",VLOOKUP(Wed_W1[[#This Row],[Employee Name]],'Base Schedules'!$A$205:$AW$241,35,FALSE)),"")</f>
        <v>ADM B1</v>
      </c>
      <c r="AK39" s="184" t="str">
        <f>IFERROR(IF(VLOOKUP(Wed_W1[[#This Row],[Employee Name]],'Base Schedules'!$A$205:$AW$241,36,FALSE)="","",VLOOKUP(Wed_W1[[#This Row],[Employee Name]],'Base Schedules'!$A$205:$AW$241,36,FALSE)),"")</f>
        <v>ADM</v>
      </c>
      <c r="AL39" s="184" t="str">
        <f>IFERROR(IF(VLOOKUP(Wed_W1[[#This Row],[Employee Name]],'Base Schedules'!$A$205:$AW$241,37,FALSE)="","",VLOOKUP(Wed_W1[[#This Row],[Employee Name]],'Base Schedules'!$A$205:$AW$241,37,FALSE)),"")</f>
        <v>ADM</v>
      </c>
      <c r="AM39" s="184" t="str">
        <f>IFERROR(IF(VLOOKUP(Wed_W1[[#This Row],[Employee Name]],'Base Schedules'!$A$205:$AW$241,38,FALSE)="","",VLOOKUP(Wed_W1[[#This Row],[Employee Name]],'Base Schedules'!$A$205:$AW$241,38,FALSE)),"")</f>
        <v>HL</v>
      </c>
      <c r="AN39" s="184" t="str">
        <f>IFERROR(IF(VLOOKUP(Wed_W1[[#This Row],[Employee Name]],'Base Schedules'!$A$205:$AW$241,39,FALSE)="","",VLOOKUP(Wed_W1[[#This Row],[Employee Name]],'Base Schedules'!$A$205:$AW$241,39,FALSE)),"")</f>
        <v>HL</v>
      </c>
      <c r="AO39" s="184" t="str">
        <f>IFERROR(IF(VLOOKUP(Wed_W1[[#This Row],[Employee Name]],'Base Schedules'!$A$205:$AW$241,40,FALSE)="","",VLOOKUP(Wed_W1[[#This Row],[Employee Name]],'Base Schedules'!$A$205:$AW$241,40,FALSE)),"")</f>
        <v>HL</v>
      </c>
      <c r="AP39" s="184" t="str">
        <f>IFERROR(IF(VLOOKUP(Wed_W1[[#This Row],[Employee Name]],'Base Schedules'!$A$205:$AW$241,41,FALSE)="","",VLOOKUP(Wed_W1[[#This Row],[Employee Name]],'Base Schedules'!$A$205:$AW$241,41,FALSE)),"")</f>
        <v>LUNCH</v>
      </c>
      <c r="AQ39" s="184" t="str">
        <f>IFERROR(IF(VLOOKUP(Wed_W1[[#This Row],[Employee Name]],'Base Schedules'!$A$205:$AW$241,42,FALSE)="","",VLOOKUP(Wed_W1[[#This Row],[Employee Name]],'Base Schedules'!$A$205:$AW$241,42,FALSE)),"")</f>
        <v>HL</v>
      </c>
      <c r="AR39" s="184" t="str">
        <f>IFERROR(IF(VLOOKUP(Wed_W1[[#This Row],[Employee Name]],'Base Schedules'!$A$205:$AW$241,43,FALSE)="","",VLOOKUP(Wed_W1[[#This Row],[Employee Name]],'Base Schedules'!$A$205:$AW$241,43,FALSE)),"")</f>
        <v>HL</v>
      </c>
      <c r="AS39" s="184" t="str">
        <f>IFERROR(IF(VLOOKUP(Wed_W1[[#This Row],[Employee Name]],'Base Schedules'!$A$205:$AW$241,44,FALSE)="","",VLOOKUP(Wed_W1[[#This Row],[Employee Name]],'Base Schedules'!$A$205:$AW$241,44,FALSE)),"")</f>
        <v>HL</v>
      </c>
      <c r="AT39" s="184" t="str">
        <f>IFERROR(IF(VLOOKUP(Wed_W1[[#This Row],[Employee Name]],'Base Schedules'!$A$205:$AW$241,45,FALSE)="","",VLOOKUP(Wed_W1[[#This Row],[Employee Name]],'Base Schedules'!$A$205:$AW$241,45,FALSE)),"")</f>
        <v>B2 HL</v>
      </c>
      <c r="AU39" s="184" t="str">
        <f>IFERROR(IF(VLOOKUP(Wed_W1[[#This Row],[Employee Name]],'Base Schedules'!$A$205:$AW$241,46,FALSE)="","",VLOOKUP(Wed_W1[[#This Row],[Employee Name]],'Base Schedules'!$A$205:$AW$241,46,FALSE)),"")</f>
        <v>hl</v>
      </c>
      <c r="AV39" s="184" t="str">
        <f>IFERROR(IF(VLOOKUP(Wed_W1[[#This Row],[Employee Name]],'Base Schedules'!$A$205:$AW$241,47,FALSE)="","",VLOOKUP(Wed_W1[[#This Row],[Employee Name]],'Base Schedules'!$A$205:$AW$241,47,FALSE)),"")</f>
        <v>HL</v>
      </c>
      <c r="AW39" s="184" t="str">
        <f>IFERROR(IF(VLOOKUP(Wed_W1[[#This Row],[Employee Name]],'Base Schedules'!$A$205:$AW$241,48,FALSE)="","",VLOOKUP(Wed_W1[[#This Row],[Employee Name]],'Base Schedules'!$A$205:$AW$241,48,FALSE)),"")</f>
        <v>HL</v>
      </c>
      <c r="AX39" s="184" t="str">
        <f>IFERROR(IF(VLOOKUP(Wed_W1[[#This Row],[Employee Name]],'Base Schedules'!$A$205:$AW$241,49,FALSE)="","",VLOOKUP(Wed_W1[[#This Row],[Employee Name]],'Base Schedules'!$A$205:$AW$241,49,FALSE)),"")</f>
        <v/>
      </c>
      <c r="AY39" s="164" t="str">
        <f t="shared" si="2"/>
        <v>Fairbrother, Amy</v>
      </c>
    </row>
    <row r="40" spans="1:51" s="44" customFormat="1" hidden="1" thickBot="1" x14ac:dyDescent="0.25">
      <c r="A40" s="39" t="str">
        <f>IF(B40="","",INDEX(TeamList[],MATCH($B40,TeamList[[Employee Name]:[Employee Name]],0),MATCH("Manager",TeamList[#Headers],0)))</f>
        <v/>
      </c>
      <c r="B40" s="201"/>
      <c r="C40" s="257" t="str">
        <f>_xlfn.IFNA(VLOOKUP(Wed_W1[[#This Row],[Employee Name]],'Base Schedules'!A:B,2,FALSE),"")</f>
        <v/>
      </c>
      <c r="D40" s="274" t="str">
        <f>_xlfn.IFNA(VLOOKUP(Wed_W1[[#This Row],[Employee Name]],'Base Schedules'!A:C,3,FALSE),"")</f>
        <v/>
      </c>
      <c r="E40" s="274" t="str">
        <f>_xlfn.IFNA(VLOOKUP(Wed_W1[[#This Row],[Employee Name]],'Base Schedules'!A:D,4,FALSE),"")</f>
        <v/>
      </c>
      <c r="F40" s="142" t="str">
        <f>IF(Wed_W1[[#This Row],[Employee Name]]="","",IF(Wed_W1[[#This Row],[Dept]]="Supervisor",COUNTIFS($J40:$AX40,"*HL*",$J40:$AX40,"&lt;&gt;"&amp;"pHL"),COUNTIFS($J40:$AX40,"*HL*",$J40:$AX40,"&lt;&gt;"&amp;"*pHL*",$J40:$AX40,"&lt;&gt;"&amp;"pB1 HL",$J40:$AX40,"&lt;&gt;"&amp;"pB2 HL")-SUM(COUNTIFS($J40:$AX40,"*HL B1*",$J40:$AX40,"&lt;&gt;"&amp;"pHL B1")*0.5,COUNTIFS($J40:$AX40,"*HL B2*",$J40:$AX40,"&lt;&gt;"&amp;"pHL B2")*0.5,COUNTIFS($J40:$AX40,"*B1 HL*",$J40:$AX40,"&lt;&gt;"&amp;"pB1 HL")*0.5,COUNTIFS($J40:$AX40,"*B2 HL*",$J40:$AX40,"&lt;&gt;"&amp;"pB2 HL")*0.5)))</f>
        <v/>
      </c>
      <c r="G40" s="142" t="str">
        <f t="shared" si="0"/>
        <v/>
      </c>
      <c r="H40" s="142" t="str">
        <f t="shared" si="1"/>
        <v/>
      </c>
      <c r="I40" s="142" t="str">
        <f>IF(Wed_W1[[#This Row],[Employee Name]]="","",IF(Wed_W1[[#This Row],[Dept]]="Supervisor",SUM(COUNTIFS($J40:$AX40,"RTA*",$J40:$AX40,"&lt;&gt;"&amp;"pRTA"),COUNTIFS($J40:$AX40,"*CRTA*",$J40:$AX40,"&lt;&gt;"&amp;"pCRTA")),COUNTIFS($J40:$AX40,"*RNNR*",$J40:$AX40,"&lt;&gt;"&amp;"*pRNNR*",$J40:$AX40,"&lt;&gt;"&amp;"pB1 RNNR",$J40:$AX40,"&lt;&gt;"&amp;"pB2 RNNR")-SUM(COUNTIFS($J40:$AX40,"*RNNR B1*",$J40:$AX40,"&lt;&gt;"&amp;"pRNNR B1")*0.5,COUNTIFS($J40:$AX40,"*RNNR B2*",$J40:$AX40,"&lt;&gt;"&amp;"pRNNR B2")*0.5,COUNTIFS($J40:$AX40,"*B1 RNNR*",$J40:$AX40,"&lt;&gt;"&amp;"pB1 RNNR")*0.5,COUNTIFS($J40:$AX40,"*B2 RNNR*",$J40:$AX40,"&lt;&gt;"&amp;"pB2 RNNR")*0.5)))</f>
        <v/>
      </c>
      <c r="J40" s="184" t="str">
        <f>IFERROR(IF(VLOOKUP(Wed_W1[[#This Row],[Employee Name]],'Base Schedules'!$A$205:$AW$241,9,FALSE)="","",VLOOKUP(Wed_W1[[#This Row],[Employee Name]],'Base Schedules'!$A$205:$AW$241,9,FALSE)),"")</f>
        <v/>
      </c>
      <c r="K40" s="184" t="str">
        <f>IFERROR(IF(VLOOKUP(Wed_W1[[#This Row],[Employee Name]],'Base Schedules'!$A$205:$AW$241,10,FALSE)="","",VLOOKUP(Wed_W1[[#This Row],[Employee Name]],'Base Schedules'!$A$205:$AW$241,10,FALSE)),"")</f>
        <v/>
      </c>
      <c r="L40" s="184" t="str">
        <f>IFERROR(IF(VLOOKUP(Wed_W1[[#This Row],[Employee Name]],'Base Schedules'!$A$205:$AW$241,11,FALSE)="","",VLOOKUP(Wed_W1[[#This Row],[Employee Name]],'Base Schedules'!$A$205:$AW$241,11,FALSE)),"")</f>
        <v/>
      </c>
      <c r="M40" s="184" t="str">
        <f>IFERROR(IF(VLOOKUP(Wed_W1[[#This Row],[Employee Name]],'Base Schedules'!$A$205:$AW$241,12,FALSE)="","",VLOOKUP(Wed_W1[[#This Row],[Employee Name]],'Base Schedules'!$A$205:$AW$241,12,FALSE)),"")</f>
        <v/>
      </c>
      <c r="N40" s="184" t="str">
        <f>IFERROR(IF(VLOOKUP(Wed_W1[[#This Row],[Employee Name]],'Base Schedules'!$A$205:$AW$241,13,FALSE)="","",VLOOKUP(Wed_W1[[#This Row],[Employee Name]],'Base Schedules'!$A$205:$AW$241,13,FALSE)),"")</f>
        <v/>
      </c>
      <c r="O40" s="184" t="str">
        <f>IFERROR(IF(VLOOKUP(Wed_W1[[#This Row],[Employee Name]],'Base Schedules'!$A$205:$AW$241,14,FALSE)="","",VLOOKUP(Wed_W1[[#This Row],[Employee Name]],'Base Schedules'!$A$205:$AW$241,14,FALSE)),"")</f>
        <v/>
      </c>
      <c r="P40" s="184" t="str">
        <f>IFERROR(IF(VLOOKUP(Wed_W1[[#This Row],[Employee Name]],'Base Schedules'!$A$205:$AW$241,15,FALSE)="","",VLOOKUP(Wed_W1[[#This Row],[Employee Name]],'Base Schedules'!$A$205:$AW$241,15,FALSE)),"")</f>
        <v/>
      </c>
      <c r="Q40" s="184" t="str">
        <f>IFERROR(IF(VLOOKUP(Wed_W1[[#This Row],[Employee Name]],'Base Schedules'!$A$205:$AW$241,16,FALSE)="","",VLOOKUP(Wed_W1[[#This Row],[Employee Name]],'Base Schedules'!$A$205:$AW$241,16,FALSE)),"")</f>
        <v/>
      </c>
      <c r="R40" s="184" t="str">
        <f>IFERROR(IF(VLOOKUP(Wed_W1[[#This Row],[Employee Name]],'Base Schedules'!$A$205:$AW$241,17,FALSE)="","",VLOOKUP(Wed_W1[[#This Row],[Employee Name]],'Base Schedules'!$A$205:$AW$241,17,FALSE)),"")</f>
        <v/>
      </c>
      <c r="S40" s="184" t="str">
        <f>IFERROR(IF(VLOOKUP(Wed_W1[[#This Row],[Employee Name]],'Base Schedules'!$A$205:$AW$241,18,FALSE)="","",VLOOKUP(Wed_W1[[#This Row],[Employee Name]],'Base Schedules'!$A$205:$AW$241,18,FALSE)),"")</f>
        <v/>
      </c>
      <c r="T40" s="184" t="str">
        <f>IFERROR(IF(VLOOKUP(Wed_W1[[#This Row],[Employee Name]],'Base Schedules'!$A$205:$AW$241,19,FALSE)="","",VLOOKUP(Wed_W1[[#This Row],[Employee Name]],'Base Schedules'!$A$205:$AW$241,19,FALSE)),"")</f>
        <v/>
      </c>
      <c r="U40" s="184" t="str">
        <f>IFERROR(IF(VLOOKUP(Wed_W1[[#This Row],[Employee Name]],'Base Schedules'!$A$205:$AW$241,20,FALSE)="","",VLOOKUP(Wed_W1[[#This Row],[Employee Name]],'Base Schedules'!$A$205:$AW$241,20,FALSE)),"")</f>
        <v/>
      </c>
      <c r="V40" s="184" t="str">
        <f>IFERROR(IF(VLOOKUP(Wed_W1[[#This Row],[Employee Name]],'Base Schedules'!$A$205:$AW$241,21,FALSE)="","",VLOOKUP(Wed_W1[[#This Row],[Employee Name]],'Base Schedules'!$A$205:$AW$241,21,FALSE)),"")</f>
        <v/>
      </c>
      <c r="W40" s="184" t="str">
        <f>IFERROR(IF(VLOOKUP(Wed_W1[[#This Row],[Employee Name]],'Base Schedules'!$A$205:$AW$241,22,FALSE)="","",VLOOKUP(Wed_W1[[#This Row],[Employee Name]],'Base Schedules'!$A$205:$AW$241,22,FALSE)),"")</f>
        <v/>
      </c>
      <c r="X40" s="184" t="str">
        <f>IFERROR(IF(VLOOKUP(Wed_W1[[#This Row],[Employee Name]],'Base Schedules'!$A$205:$AW$241,23,FALSE)="","",VLOOKUP(Wed_W1[[#This Row],[Employee Name]],'Base Schedules'!$A$205:$AW$241,23,FALSE)),"")</f>
        <v/>
      </c>
      <c r="Y40" s="184" t="str">
        <f>IFERROR(IF(VLOOKUP(Wed_W1[[#This Row],[Employee Name]],'Base Schedules'!$A$205:$AW$241,24,FALSE)="","",VLOOKUP(Wed_W1[[#This Row],[Employee Name]],'Base Schedules'!$A$205:$AW$241,24,FALSE)),"")</f>
        <v/>
      </c>
      <c r="Z40" s="184" t="str">
        <f>IFERROR(IF(VLOOKUP(Wed_W1[[#This Row],[Employee Name]],'Base Schedules'!$A$205:$AW$241,25,FALSE)="","",VLOOKUP(Wed_W1[[#This Row],[Employee Name]],'Base Schedules'!$A$205:$AW$241,25,FALSE)),"")</f>
        <v/>
      </c>
      <c r="AA40" s="184" t="str">
        <f>IFERROR(IF(VLOOKUP(Wed_W1[[#This Row],[Employee Name]],'Base Schedules'!$A$205:$AW$241,26,FALSE)="","",VLOOKUP(Wed_W1[[#This Row],[Employee Name]],'Base Schedules'!$A$205:$AW$241,26,FALSE)),"")</f>
        <v/>
      </c>
      <c r="AB40" s="184" t="str">
        <f>IFERROR(IF(VLOOKUP(Wed_W1[[#This Row],[Employee Name]],'Base Schedules'!$A$205:$AW$241,27,FALSE)="","",VLOOKUP(Wed_W1[[#This Row],[Employee Name]],'Base Schedules'!$A$205:$AW$241,27,FALSE)),"")</f>
        <v/>
      </c>
      <c r="AC40" s="184" t="str">
        <f>IFERROR(IF(VLOOKUP(Wed_W1[[#This Row],[Employee Name]],'Base Schedules'!$A$205:$AW$241,28,FALSE)="","",VLOOKUP(Wed_W1[[#This Row],[Employee Name]],'Base Schedules'!$A$205:$AW$241,28,FALSE)),"")</f>
        <v/>
      </c>
      <c r="AD40" s="184" t="str">
        <f>IFERROR(IF(VLOOKUP(Wed_W1[[#This Row],[Employee Name]],'Base Schedules'!$A$205:$AW$241,29,FALSE)="","",VLOOKUP(Wed_W1[[#This Row],[Employee Name]],'Base Schedules'!$A$205:$AW$241,29,FALSE)),"")</f>
        <v/>
      </c>
      <c r="AE40" s="184" t="str">
        <f>IFERROR(IF(VLOOKUP(Wed_W1[[#This Row],[Employee Name]],'Base Schedules'!$A$205:$AW$241,30,FALSE)="","",VLOOKUP(Wed_W1[[#This Row],[Employee Name]],'Base Schedules'!$A$205:$AW$241,30,FALSE)),"")</f>
        <v/>
      </c>
      <c r="AF40" s="184" t="str">
        <f>IFERROR(IF(VLOOKUP(Wed_W1[[#This Row],[Employee Name]],'Base Schedules'!$A$205:$AW$241,31,FALSE)="","",VLOOKUP(Wed_W1[[#This Row],[Employee Name]],'Base Schedules'!$A$205:$AW$241,31,FALSE)),"")</f>
        <v/>
      </c>
      <c r="AG40" s="184" t="str">
        <f>IFERROR(IF(VLOOKUP(Wed_W1[[#This Row],[Employee Name]],'Base Schedules'!$A$205:$AW$241,32,FALSE)="","",VLOOKUP(Wed_W1[[#This Row],[Employee Name]],'Base Schedules'!$A$205:$AW$241,32,FALSE)),"")</f>
        <v/>
      </c>
      <c r="AH40" s="184" t="str">
        <f>IFERROR(IF(VLOOKUP(Wed_W1[[#This Row],[Employee Name]],'Base Schedules'!$A$205:$AW$241,33,FALSE)="","",VLOOKUP(Wed_W1[[#This Row],[Employee Name]],'Base Schedules'!$A$205:$AW$241,33,FALSE)),"")</f>
        <v/>
      </c>
      <c r="AI40" s="184" t="str">
        <f>IFERROR(IF(VLOOKUP(Wed_W1[[#This Row],[Employee Name]],'Base Schedules'!$A$205:$AW$241,34,FALSE)="","",VLOOKUP(Wed_W1[[#This Row],[Employee Name]],'Base Schedules'!$A$205:$AW$241,34,FALSE)),"")</f>
        <v/>
      </c>
      <c r="AJ40" s="184" t="str">
        <f>IFERROR(IF(VLOOKUP(Wed_W1[[#This Row],[Employee Name]],'Base Schedules'!$A$205:$AW$241,35,FALSE)="","",VLOOKUP(Wed_W1[[#This Row],[Employee Name]],'Base Schedules'!$A$205:$AW$241,35,FALSE)),"")</f>
        <v/>
      </c>
      <c r="AK40" s="184" t="str">
        <f>IFERROR(IF(VLOOKUP(Wed_W1[[#This Row],[Employee Name]],'Base Schedules'!$A$205:$AW$241,36,FALSE)="","",VLOOKUP(Wed_W1[[#This Row],[Employee Name]],'Base Schedules'!$A$205:$AW$241,36,FALSE)),"")</f>
        <v/>
      </c>
      <c r="AL40" s="184" t="str">
        <f>IFERROR(IF(VLOOKUP(Wed_W1[[#This Row],[Employee Name]],'Base Schedules'!$A$205:$AW$241,37,FALSE)="","",VLOOKUP(Wed_W1[[#This Row],[Employee Name]],'Base Schedules'!$A$205:$AW$241,37,FALSE)),"")</f>
        <v/>
      </c>
      <c r="AM40" s="184" t="str">
        <f>IFERROR(IF(VLOOKUP(Wed_W1[[#This Row],[Employee Name]],'Base Schedules'!$A$205:$AW$241,38,FALSE)="","",VLOOKUP(Wed_W1[[#This Row],[Employee Name]],'Base Schedules'!$A$205:$AW$241,38,FALSE)),"")</f>
        <v/>
      </c>
      <c r="AN40" s="184" t="str">
        <f>IFERROR(IF(VLOOKUP(Wed_W1[[#This Row],[Employee Name]],'Base Schedules'!$A$205:$AW$241,39,FALSE)="","",VLOOKUP(Wed_W1[[#This Row],[Employee Name]],'Base Schedules'!$A$205:$AW$241,39,FALSE)),"")</f>
        <v/>
      </c>
      <c r="AO40" s="184" t="str">
        <f>IFERROR(IF(VLOOKUP(Wed_W1[[#This Row],[Employee Name]],'Base Schedules'!$A$205:$AW$241,40,FALSE)="","",VLOOKUP(Wed_W1[[#This Row],[Employee Name]],'Base Schedules'!$A$205:$AW$241,40,FALSE)),"")</f>
        <v/>
      </c>
      <c r="AP40" s="184" t="str">
        <f>IFERROR(IF(VLOOKUP(Wed_W1[[#This Row],[Employee Name]],'Base Schedules'!$A$205:$AW$241,41,FALSE)="","",VLOOKUP(Wed_W1[[#This Row],[Employee Name]],'Base Schedules'!$A$205:$AW$241,41,FALSE)),"")</f>
        <v/>
      </c>
      <c r="AQ40" s="184" t="str">
        <f>IFERROR(IF(VLOOKUP(Wed_W1[[#This Row],[Employee Name]],'Base Schedules'!$A$205:$AW$241,42,FALSE)="","",VLOOKUP(Wed_W1[[#This Row],[Employee Name]],'Base Schedules'!$A$205:$AW$241,42,FALSE)),"")</f>
        <v/>
      </c>
      <c r="AR40" s="184" t="str">
        <f>IFERROR(IF(VLOOKUP(Wed_W1[[#This Row],[Employee Name]],'Base Schedules'!$A$205:$AW$241,43,FALSE)="","",VLOOKUP(Wed_W1[[#This Row],[Employee Name]],'Base Schedules'!$A$205:$AW$241,43,FALSE)),"")</f>
        <v/>
      </c>
      <c r="AS40" s="184" t="str">
        <f>IFERROR(IF(VLOOKUP(Wed_W1[[#This Row],[Employee Name]],'Base Schedules'!$A$205:$AW$241,44,FALSE)="","",VLOOKUP(Wed_W1[[#This Row],[Employee Name]],'Base Schedules'!$A$205:$AW$241,44,FALSE)),"")</f>
        <v/>
      </c>
      <c r="AT40" s="184" t="str">
        <f>IFERROR(IF(VLOOKUP(Wed_W1[[#This Row],[Employee Name]],'Base Schedules'!$A$205:$AW$241,45,FALSE)="","",VLOOKUP(Wed_W1[[#This Row],[Employee Name]],'Base Schedules'!$A$205:$AW$241,45,FALSE)),"")</f>
        <v/>
      </c>
      <c r="AU40" s="184" t="str">
        <f>IFERROR(IF(VLOOKUP(Wed_W1[[#This Row],[Employee Name]],'Base Schedules'!$A$205:$AW$241,46,FALSE)="","",VLOOKUP(Wed_W1[[#This Row],[Employee Name]],'Base Schedules'!$A$205:$AW$241,46,FALSE)),"")</f>
        <v/>
      </c>
      <c r="AV40" s="184" t="str">
        <f>IFERROR(IF(VLOOKUP(Wed_W1[[#This Row],[Employee Name]],'Base Schedules'!$A$205:$AW$241,47,FALSE)="","",VLOOKUP(Wed_W1[[#This Row],[Employee Name]],'Base Schedules'!$A$205:$AW$241,47,FALSE)),"")</f>
        <v/>
      </c>
      <c r="AW40" s="184" t="str">
        <f>IFERROR(IF(VLOOKUP(Wed_W1[[#This Row],[Employee Name]],'Base Schedules'!$A$205:$AW$241,48,FALSE)="","",VLOOKUP(Wed_W1[[#This Row],[Employee Name]],'Base Schedules'!$A$205:$AW$241,48,FALSE)),"")</f>
        <v/>
      </c>
      <c r="AX40" s="184" t="str">
        <f>IFERROR(IF(VLOOKUP(Wed_W1[[#This Row],[Employee Name]],'Base Schedules'!$A$205:$AW$241,49,FALSE)="","",VLOOKUP(Wed_W1[[#This Row],[Employee Name]],'Base Schedules'!$A$205:$AW$241,49,FALSE)),"")</f>
        <v/>
      </c>
      <c r="AY40" s="164" t="str">
        <f t="shared" si="2"/>
        <v/>
      </c>
    </row>
    <row r="41" spans="1:51" s="44" customFormat="1" hidden="1" thickBot="1" x14ac:dyDescent="0.25">
      <c r="A41" s="39" t="str">
        <f>IF(B41="","",INDEX(TeamList[],MATCH($B41,TeamList[[Employee Name]:[Employee Name]],0),MATCH("Manager",TeamList[#Headers],0)))</f>
        <v/>
      </c>
      <c r="B41" s="201"/>
      <c r="C41" s="257" t="str">
        <f>_xlfn.IFNA(VLOOKUP(Wed_W1[[#This Row],[Employee Name]],'Base Schedules'!A:B,2,FALSE),"")</f>
        <v/>
      </c>
      <c r="D41" s="274" t="str">
        <f>_xlfn.IFNA(VLOOKUP(Wed_W1[[#This Row],[Employee Name]],'Base Schedules'!A:C,3,FALSE),"")</f>
        <v/>
      </c>
      <c r="E41" s="274" t="str">
        <f>_xlfn.IFNA(VLOOKUP(Wed_W1[[#This Row],[Employee Name]],'Base Schedules'!A:D,4,FALSE),"")</f>
        <v/>
      </c>
      <c r="F41" s="142" t="str">
        <f>IF(Wed_W1[[#This Row],[Employee Name]]="","",IF(Wed_W1[[#This Row],[Dept]]="Supervisor",COUNTIFS($J41:$AX41,"*HL*",$J41:$AX41,"&lt;&gt;"&amp;"pHL"),COUNTIFS($J41:$AX41,"*HL*",$J41:$AX41,"&lt;&gt;"&amp;"*pHL*",$J41:$AX41,"&lt;&gt;"&amp;"pB1 HL",$J41:$AX41,"&lt;&gt;"&amp;"pB2 HL")-SUM(COUNTIFS($J41:$AX41,"*HL B1*",$J41:$AX41,"&lt;&gt;"&amp;"pHL B1")*0.5,COUNTIFS($J41:$AX41,"*HL B2*",$J41:$AX41,"&lt;&gt;"&amp;"pHL B2")*0.5,COUNTIFS($J41:$AX41,"*B1 HL*",$J41:$AX41,"&lt;&gt;"&amp;"pB1 HL")*0.5,COUNTIFS($J41:$AX41,"*B2 HL*",$J41:$AX41,"&lt;&gt;"&amp;"pB2 HL")*0.5)))</f>
        <v/>
      </c>
      <c r="G41" s="142" t="str">
        <f t="shared" si="0"/>
        <v/>
      </c>
      <c r="H41" s="142" t="str">
        <f t="shared" si="1"/>
        <v/>
      </c>
      <c r="I41" s="142" t="str">
        <f>IF(Wed_W1[[#This Row],[Employee Name]]="","",IF(Wed_W1[[#This Row],[Dept]]="Supervisor",SUM(COUNTIFS($J41:$AX41,"RTA*",$J41:$AX41,"&lt;&gt;"&amp;"pRTA"),COUNTIFS($J41:$AX41,"*CRTA*",$J41:$AX41,"&lt;&gt;"&amp;"pCRTA")),COUNTIFS($J41:$AX41,"*RNNR*",$J41:$AX41,"&lt;&gt;"&amp;"*pRNNR*",$J41:$AX41,"&lt;&gt;"&amp;"pB1 RNNR",$J41:$AX41,"&lt;&gt;"&amp;"pB2 RNNR")-SUM(COUNTIFS($J41:$AX41,"*RNNR B1*",$J41:$AX41,"&lt;&gt;"&amp;"pRNNR B1")*0.5,COUNTIFS($J41:$AX41,"*RNNR B2*",$J41:$AX41,"&lt;&gt;"&amp;"pRNNR B2")*0.5,COUNTIFS($J41:$AX41,"*B1 RNNR*",$J41:$AX41,"&lt;&gt;"&amp;"pB1 RNNR")*0.5,COUNTIFS($J41:$AX41,"*B2 RNNR*",$J41:$AX41,"&lt;&gt;"&amp;"pB2 RNNR")*0.5)))</f>
        <v/>
      </c>
      <c r="J41" s="184" t="str">
        <f>IFERROR(IF(VLOOKUP(Wed_W1[[#This Row],[Employee Name]],'Base Schedules'!$A$205:$AW$241,9,FALSE)="","",VLOOKUP(Wed_W1[[#This Row],[Employee Name]],'Base Schedules'!$A$205:$AW$241,9,FALSE)),"")</f>
        <v/>
      </c>
      <c r="K41" s="184" t="str">
        <f>IFERROR(IF(VLOOKUP(Wed_W1[[#This Row],[Employee Name]],'Base Schedules'!$A$205:$AW$241,10,FALSE)="","",VLOOKUP(Wed_W1[[#This Row],[Employee Name]],'Base Schedules'!$A$205:$AW$241,10,FALSE)),"")</f>
        <v/>
      </c>
      <c r="L41" s="184" t="str">
        <f>IFERROR(IF(VLOOKUP(Wed_W1[[#This Row],[Employee Name]],'Base Schedules'!$A$205:$AW$241,11,FALSE)="","",VLOOKUP(Wed_W1[[#This Row],[Employee Name]],'Base Schedules'!$A$205:$AW$241,11,FALSE)),"")</f>
        <v/>
      </c>
      <c r="M41" s="184" t="str">
        <f>IFERROR(IF(VLOOKUP(Wed_W1[[#This Row],[Employee Name]],'Base Schedules'!$A$205:$AW$241,12,FALSE)="","",VLOOKUP(Wed_W1[[#This Row],[Employee Name]],'Base Schedules'!$A$205:$AW$241,12,FALSE)),"")</f>
        <v/>
      </c>
      <c r="N41" s="184" t="str">
        <f>IFERROR(IF(VLOOKUP(Wed_W1[[#This Row],[Employee Name]],'Base Schedules'!$A$205:$AW$241,13,FALSE)="","",VLOOKUP(Wed_W1[[#This Row],[Employee Name]],'Base Schedules'!$A$205:$AW$241,13,FALSE)),"")</f>
        <v/>
      </c>
      <c r="O41" s="184" t="str">
        <f>IFERROR(IF(VLOOKUP(Wed_W1[[#This Row],[Employee Name]],'Base Schedules'!$A$205:$AW$241,14,FALSE)="","",VLOOKUP(Wed_W1[[#This Row],[Employee Name]],'Base Schedules'!$A$205:$AW$241,14,FALSE)),"")</f>
        <v/>
      </c>
      <c r="P41" s="184" t="str">
        <f>IFERROR(IF(VLOOKUP(Wed_W1[[#This Row],[Employee Name]],'Base Schedules'!$A$205:$AW$241,15,FALSE)="","",VLOOKUP(Wed_W1[[#This Row],[Employee Name]],'Base Schedules'!$A$205:$AW$241,15,FALSE)),"")</f>
        <v/>
      </c>
      <c r="Q41" s="184" t="str">
        <f>IFERROR(IF(VLOOKUP(Wed_W1[[#This Row],[Employee Name]],'Base Schedules'!$A$205:$AW$241,16,FALSE)="","",VLOOKUP(Wed_W1[[#This Row],[Employee Name]],'Base Schedules'!$A$205:$AW$241,16,FALSE)),"")</f>
        <v/>
      </c>
      <c r="R41" s="184" t="str">
        <f>IFERROR(IF(VLOOKUP(Wed_W1[[#This Row],[Employee Name]],'Base Schedules'!$A$205:$AW$241,17,FALSE)="","",VLOOKUP(Wed_W1[[#This Row],[Employee Name]],'Base Schedules'!$A$205:$AW$241,17,FALSE)),"")</f>
        <v/>
      </c>
      <c r="S41" s="184" t="str">
        <f>IFERROR(IF(VLOOKUP(Wed_W1[[#This Row],[Employee Name]],'Base Schedules'!$A$205:$AW$241,18,FALSE)="","",VLOOKUP(Wed_W1[[#This Row],[Employee Name]],'Base Schedules'!$A$205:$AW$241,18,FALSE)),"")</f>
        <v/>
      </c>
      <c r="T41" s="184" t="str">
        <f>IFERROR(IF(VLOOKUP(Wed_W1[[#This Row],[Employee Name]],'Base Schedules'!$A$205:$AW$241,19,FALSE)="","",VLOOKUP(Wed_W1[[#This Row],[Employee Name]],'Base Schedules'!$A$205:$AW$241,19,FALSE)),"")</f>
        <v/>
      </c>
      <c r="U41" s="184" t="str">
        <f>IFERROR(IF(VLOOKUP(Wed_W1[[#This Row],[Employee Name]],'Base Schedules'!$A$205:$AW$241,20,FALSE)="","",VLOOKUP(Wed_W1[[#This Row],[Employee Name]],'Base Schedules'!$A$205:$AW$241,20,FALSE)),"")</f>
        <v/>
      </c>
      <c r="V41" s="184" t="str">
        <f>IFERROR(IF(VLOOKUP(Wed_W1[[#This Row],[Employee Name]],'Base Schedules'!$A$205:$AW$241,21,FALSE)="","",VLOOKUP(Wed_W1[[#This Row],[Employee Name]],'Base Schedules'!$A$205:$AW$241,21,FALSE)),"")</f>
        <v/>
      </c>
      <c r="W41" s="184" t="str">
        <f>IFERROR(IF(VLOOKUP(Wed_W1[[#This Row],[Employee Name]],'Base Schedules'!$A$205:$AW$241,22,FALSE)="","",VLOOKUP(Wed_W1[[#This Row],[Employee Name]],'Base Schedules'!$A$205:$AW$241,22,FALSE)),"")</f>
        <v/>
      </c>
      <c r="X41" s="184" t="str">
        <f>IFERROR(IF(VLOOKUP(Wed_W1[[#This Row],[Employee Name]],'Base Schedules'!$A$205:$AW$241,23,FALSE)="","",VLOOKUP(Wed_W1[[#This Row],[Employee Name]],'Base Schedules'!$A$205:$AW$241,23,FALSE)),"")</f>
        <v/>
      </c>
      <c r="Y41" s="184" t="str">
        <f>IFERROR(IF(VLOOKUP(Wed_W1[[#This Row],[Employee Name]],'Base Schedules'!$A$205:$AW$241,24,FALSE)="","",VLOOKUP(Wed_W1[[#This Row],[Employee Name]],'Base Schedules'!$A$205:$AW$241,24,FALSE)),"")</f>
        <v/>
      </c>
      <c r="Z41" s="184" t="str">
        <f>IFERROR(IF(VLOOKUP(Wed_W1[[#This Row],[Employee Name]],'Base Schedules'!$A$205:$AW$241,25,FALSE)="","",VLOOKUP(Wed_W1[[#This Row],[Employee Name]],'Base Schedules'!$A$205:$AW$241,25,FALSE)),"")</f>
        <v/>
      </c>
      <c r="AA41" s="184" t="str">
        <f>IFERROR(IF(VLOOKUP(Wed_W1[[#This Row],[Employee Name]],'Base Schedules'!$A$205:$AW$241,26,FALSE)="","",VLOOKUP(Wed_W1[[#This Row],[Employee Name]],'Base Schedules'!$A$205:$AW$241,26,FALSE)),"")</f>
        <v/>
      </c>
      <c r="AB41" s="184" t="str">
        <f>IFERROR(IF(VLOOKUP(Wed_W1[[#This Row],[Employee Name]],'Base Schedules'!$A$205:$AW$241,27,FALSE)="","",VLOOKUP(Wed_W1[[#This Row],[Employee Name]],'Base Schedules'!$A$205:$AW$241,27,FALSE)),"")</f>
        <v/>
      </c>
      <c r="AC41" s="184" t="str">
        <f>IFERROR(IF(VLOOKUP(Wed_W1[[#This Row],[Employee Name]],'Base Schedules'!$A$205:$AW$241,28,FALSE)="","",VLOOKUP(Wed_W1[[#This Row],[Employee Name]],'Base Schedules'!$A$205:$AW$241,28,FALSE)),"")</f>
        <v/>
      </c>
      <c r="AD41" s="184" t="str">
        <f>IFERROR(IF(VLOOKUP(Wed_W1[[#This Row],[Employee Name]],'Base Schedules'!$A$205:$AW$241,29,FALSE)="","",VLOOKUP(Wed_W1[[#This Row],[Employee Name]],'Base Schedules'!$A$205:$AW$241,29,FALSE)),"")</f>
        <v/>
      </c>
      <c r="AE41" s="184" t="str">
        <f>IFERROR(IF(VLOOKUP(Wed_W1[[#This Row],[Employee Name]],'Base Schedules'!$A$205:$AW$241,30,FALSE)="","",VLOOKUP(Wed_W1[[#This Row],[Employee Name]],'Base Schedules'!$A$205:$AW$241,30,FALSE)),"")</f>
        <v/>
      </c>
      <c r="AF41" s="184" t="str">
        <f>IFERROR(IF(VLOOKUP(Wed_W1[[#This Row],[Employee Name]],'Base Schedules'!$A$205:$AW$241,31,FALSE)="","",VLOOKUP(Wed_W1[[#This Row],[Employee Name]],'Base Schedules'!$A$205:$AW$241,31,FALSE)),"")</f>
        <v/>
      </c>
      <c r="AG41" s="184" t="str">
        <f>IFERROR(IF(VLOOKUP(Wed_W1[[#This Row],[Employee Name]],'Base Schedules'!$A$205:$AW$241,32,FALSE)="","",VLOOKUP(Wed_W1[[#This Row],[Employee Name]],'Base Schedules'!$A$205:$AW$241,32,FALSE)),"")</f>
        <v/>
      </c>
      <c r="AH41" s="184" t="str">
        <f>IFERROR(IF(VLOOKUP(Wed_W1[[#This Row],[Employee Name]],'Base Schedules'!$A$205:$AW$241,33,FALSE)="","",VLOOKUP(Wed_W1[[#This Row],[Employee Name]],'Base Schedules'!$A$205:$AW$241,33,FALSE)),"")</f>
        <v/>
      </c>
      <c r="AI41" s="184" t="str">
        <f>IFERROR(IF(VLOOKUP(Wed_W1[[#This Row],[Employee Name]],'Base Schedules'!$A$205:$AW$241,34,FALSE)="","",VLOOKUP(Wed_W1[[#This Row],[Employee Name]],'Base Schedules'!$A$205:$AW$241,34,FALSE)),"")</f>
        <v/>
      </c>
      <c r="AJ41" s="184" t="str">
        <f>IFERROR(IF(VLOOKUP(Wed_W1[[#This Row],[Employee Name]],'Base Schedules'!$A$205:$AW$241,35,FALSE)="","",VLOOKUP(Wed_W1[[#This Row],[Employee Name]],'Base Schedules'!$A$205:$AW$241,35,FALSE)),"")</f>
        <v/>
      </c>
      <c r="AK41" s="184" t="str">
        <f>IFERROR(IF(VLOOKUP(Wed_W1[[#This Row],[Employee Name]],'Base Schedules'!$A$205:$AW$241,36,FALSE)="","",VLOOKUP(Wed_W1[[#This Row],[Employee Name]],'Base Schedules'!$A$205:$AW$241,36,FALSE)),"")</f>
        <v/>
      </c>
      <c r="AL41" s="184" t="str">
        <f>IFERROR(IF(VLOOKUP(Wed_W1[[#This Row],[Employee Name]],'Base Schedules'!$A$205:$AW$241,37,FALSE)="","",VLOOKUP(Wed_W1[[#This Row],[Employee Name]],'Base Schedules'!$A$205:$AW$241,37,FALSE)),"")</f>
        <v/>
      </c>
      <c r="AM41" s="184" t="str">
        <f>IFERROR(IF(VLOOKUP(Wed_W1[[#This Row],[Employee Name]],'Base Schedules'!$A$205:$AW$241,38,FALSE)="","",VLOOKUP(Wed_W1[[#This Row],[Employee Name]],'Base Schedules'!$A$205:$AW$241,38,FALSE)),"")</f>
        <v/>
      </c>
      <c r="AN41" s="184" t="str">
        <f>IFERROR(IF(VLOOKUP(Wed_W1[[#This Row],[Employee Name]],'Base Schedules'!$A$205:$AW$241,39,FALSE)="","",VLOOKUP(Wed_W1[[#This Row],[Employee Name]],'Base Schedules'!$A$205:$AW$241,39,FALSE)),"")</f>
        <v/>
      </c>
      <c r="AO41" s="184" t="str">
        <f>IFERROR(IF(VLOOKUP(Wed_W1[[#This Row],[Employee Name]],'Base Schedules'!$A$205:$AW$241,40,FALSE)="","",VLOOKUP(Wed_W1[[#This Row],[Employee Name]],'Base Schedules'!$A$205:$AW$241,40,FALSE)),"")</f>
        <v/>
      </c>
      <c r="AP41" s="184" t="str">
        <f>IFERROR(IF(VLOOKUP(Wed_W1[[#This Row],[Employee Name]],'Base Schedules'!$A$205:$AW$241,41,FALSE)="","",VLOOKUP(Wed_W1[[#This Row],[Employee Name]],'Base Schedules'!$A$205:$AW$241,41,FALSE)),"")</f>
        <v/>
      </c>
      <c r="AQ41" s="184" t="str">
        <f>IFERROR(IF(VLOOKUP(Wed_W1[[#This Row],[Employee Name]],'Base Schedules'!$A$205:$AW$241,42,FALSE)="","",VLOOKUP(Wed_W1[[#This Row],[Employee Name]],'Base Schedules'!$A$205:$AW$241,42,FALSE)),"")</f>
        <v/>
      </c>
      <c r="AR41" s="184" t="str">
        <f>IFERROR(IF(VLOOKUP(Wed_W1[[#This Row],[Employee Name]],'Base Schedules'!$A$205:$AW$241,43,FALSE)="","",VLOOKUP(Wed_W1[[#This Row],[Employee Name]],'Base Schedules'!$A$205:$AW$241,43,FALSE)),"")</f>
        <v/>
      </c>
      <c r="AS41" s="184" t="str">
        <f>IFERROR(IF(VLOOKUP(Wed_W1[[#This Row],[Employee Name]],'Base Schedules'!$A$205:$AW$241,44,FALSE)="","",VLOOKUP(Wed_W1[[#This Row],[Employee Name]],'Base Schedules'!$A$205:$AW$241,44,FALSE)),"")</f>
        <v/>
      </c>
      <c r="AT41" s="184" t="str">
        <f>IFERROR(IF(VLOOKUP(Wed_W1[[#This Row],[Employee Name]],'Base Schedules'!$A$205:$AW$241,45,FALSE)="","",VLOOKUP(Wed_W1[[#This Row],[Employee Name]],'Base Schedules'!$A$205:$AW$241,45,FALSE)),"")</f>
        <v/>
      </c>
      <c r="AU41" s="184" t="str">
        <f>IFERROR(IF(VLOOKUP(Wed_W1[[#This Row],[Employee Name]],'Base Schedules'!$A$205:$AW$241,46,FALSE)="","",VLOOKUP(Wed_W1[[#This Row],[Employee Name]],'Base Schedules'!$A$205:$AW$241,46,FALSE)),"")</f>
        <v/>
      </c>
      <c r="AV41" s="184" t="str">
        <f>IFERROR(IF(VLOOKUP(Wed_W1[[#This Row],[Employee Name]],'Base Schedules'!$A$205:$AW$241,47,FALSE)="","",VLOOKUP(Wed_W1[[#This Row],[Employee Name]],'Base Schedules'!$A$205:$AW$241,47,FALSE)),"")</f>
        <v/>
      </c>
      <c r="AW41" s="184" t="str">
        <f>IFERROR(IF(VLOOKUP(Wed_W1[[#This Row],[Employee Name]],'Base Schedules'!$A$205:$AW$241,48,FALSE)="","",VLOOKUP(Wed_W1[[#This Row],[Employee Name]],'Base Schedules'!$A$205:$AW$241,48,FALSE)),"")</f>
        <v/>
      </c>
      <c r="AX41" s="184" t="str">
        <f>IFERROR(IF(VLOOKUP(Wed_W1[[#This Row],[Employee Name]],'Base Schedules'!$A$205:$AW$241,49,FALSE)="","",VLOOKUP(Wed_W1[[#This Row],[Employee Name]],'Base Schedules'!$A$205:$AW$241,49,FALSE)),"")</f>
        <v/>
      </c>
      <c r="AY41" s="164" t="str">
        <f t="shared" si="2"/>
        <v/>
      </c>
    </row>
    <row r="42" spans="1:51" s="44" customFormat="1" hidden="1" thickBot="1" x14ac:dyDescent="0.25">
      <c r="A42" s="39" t="str">
        <f>IF(B42="","",INDEX(TeamList[],MATCH($B42,TeamList[[Employee Name]:[Employee Name]],0),MATCH("Manager",TeamList[#Headers],0)))</f>
        <v/>
      </c>
      <c r="B42" s="201"/>
      <c r="C42" s="257" t="str">
        <f>_xlfn.IFNA(VLOOKUP(Wed_W1[[#This Row],[Employee Name]],'Base Schedules'!A:B,2,FALSE),"")</f>
        <v/>
      </c>
      <c r="D42" s="274" t="str">
        <f>_xlfn.IFNA(VLOOKUP(Wed_W1[[#This Row],[Employee Name]],'Base Schedules'!A:C,3,FALSE),"")</f>
        <v/>
      </c>
      <c r="E42" s="274" t="str">
        <f>_xlfn.IFNA(VLOOKUP(Wed_W1[[#This Row],[Employee Name]],'Base Schedules'!A:D,4,FALSE),"")</f>
        <v/>
      </c>
      <c r="F42" s="142" t="str">
        <f>IF(Wed_W1[[#This Row],[Employee Name]]="","",IF(Wed_W1[[#This Row],[Dept]]="Supervisor",COUNTIFS($J42:$AX42,"*HL*",$J42:$AX42,"&lt;&gt;"&amp;"pHL"),COUNTIFS($J42:$AX42,"*HL*",$J42:$AX42,"&lt;&gt;"&amp;"*pHL*",$J42:$AX42,"&lt;&gt;"&amp;"pB1 HL",$J42:$AX42,"&lt;&gt;"&amp;"pB2 HL")-SUM(COUNTIFS($J42:$AX42,"*HL B1*",$J42:$AX42,"&lt;&gt;"&amp;"pHL B1")*0.5,COUNTIFS($J42:$AX42,"*HL B2*",$J42:$AX42,"&lt;&gt;"&amp;"pHL B2")*0.5,COUNTIFS($J42:$AX42,"*B1 HL*",$J42:$AX42,"&lt;&gt;"&amp;"pB1 HL")*0.5,COUNTIFS($J42:$AX42,"*B2 HL*",$J42:$AX42,"&lt;&gt;"&amp;"pB2 HL")*0.5)))</f>
        <v/>
      </c>
      <c r="G42" s="142" t="str">
        <f t="shared" si="0"/>
        <v/>
      </c>
      <c r="H42" s="142" t="str">
        <f t="shared" si="1"/>
        <v/>
      </c>
      <c r="I42" s="142" t="str">
        <f>IF(Wed_W1[[#This Row],[Employee Name]]="","",IF(Wed_W1[[#This Row],[Dept]]="Supervisor",SUM(COUNTIFS($J42:$AX42,"RTA*",$J42:$AX42,"&lt;&gt;"&amp;"pRTA"),COUNTIFS($J42:$AX42,"*CRTA*",$J42:$AX42,"&lt;&gt;"&amp;"pCRTA")),COUNTIFS($J42:$AX42,"*RNNR*",$J42:$AX42,"&lt;&gt;"&amp;"*pRNNR*",$J42:$AX42,"&lt;&gt;"&amp;"pB1 RNNR",$J42:$AX42,"&lt;&gt;"&amp;"pB2 RNNR")-SUM(COUNTIFS($J42:$AX42,"*RNNR B1*",$J42:$AX42,"&lt;&gt;"&amp;"pRNNR B1")*0.5,COUNTIFS($J42:$AX42,"*RNNR B2*",$J42:$AX42,"&lt;&gt;"&amp;"pRNNR B2")*0.5,COUNTIFS($J42:$AX42,"*B1 RNNR*",$J42:$AX42,"&lt;&gt;"&amp;"pB1 RNNR")*0.5,COUNTIFS($J42:$AX42,"*B2 RNNR*",$J42:$AX42,"&lt;&gt;"&amp;"pB2 RNNR")*0.5)))</f>
        <v/>
      </c>
      <c r="J42" s="184" t="str">
        <f>IFERROR(IF(VLOOKUP(Wed_W1[[#This Row],[Employee Name]],'Base Schedules'!$A$205:$AW$241,9,FALSE)="","",VLOOKUP(Wed_W1[[#This Row],[Employee Name]],'Base Schedules'!$A$205:$AW$241,9,FALSE)),"")</f>
        <v/>
      </c>
      <c r="K42" s="184" t="str">
        <f>IFERROR(IF(VLOOKUP(Wed_W1[[#This Row],[Employee Name]],'Base Schedules'!$A$205:$AW$241,10,FALSE)="","",VLOOKUP(Wed_W1[[#This Row],[Employee Name]],'Base Schedules'!$A$205:$AW$241,10,FALSE)),"")</f>
        <v/>
      </c>
      <c r="L42" s="184" t="str">
        <f>IFERROR(IF(VLOOKUP(Wed_W1[[#This Row],[Employee Name]],'Base Schedules'!$A$205:$AW$241,11,FALSE)="","",VLOOKUP(Wed_W1[[#This Row],[Employee Name]],'Base Schedules'!$A$205:$AW$241,11,FALSE)),"")</f>
        <v/>
      </c>
      <c r="M42" s="184" t="str">
        <f>IFERROR(IF(VLOOKUP(Wed_W1[[#This Row],[Employee Name]],'Base Schedules'!$A$205:$AW$241,12,FALSE)="","",VLOOKUP(Wed_W1[[#This Row],[Employee Name]],'Base Schedules'!$A$205:$AW$241,12,FALSE)),"")</f>
        <v/>
      </c>
      <c r="N42" s="184" t="str">
        <f>IFERROR(IF(VLOOKUP(Wed_W1[[#This Row],[Employee Name]],'Base Schedules'!$A$205:$AW$241,13,FALSE)="","",VLOOKUP(Wed_W1[[#This Row],[Employee Name]],'Base Schedules'!$A$205:$AW$241,13,FALSE)),"")</f>
        <v/>
      </c>
      <c r="O42" s="184" t="str">
        <f>IFERROR(IF(VLOOKUP(Wed_W1[[#This Row],[Employee Name]],'Base Schedules'!$A$205:$AW$241,14,FALSE)="","",VLOOKUP(Wed_W1[[#This Row],[Employee Name]],'Base Schedules'!$A$205:$AW$241,14,FALSE)),"")</f>
        <v/>
      </c>
      <c r="P42" s="184" t="str">
        <f>IFERROR(IF(VLOOKUP(Wed_W1[[#This Row],[Employee Name]],'Base Schedules'!$A$205:$AW$241,15,FALSE)="","",VLOOKUP(Wed_W1[[#This Row],[Employee Name]],'Base Schedules'!$A$205:$AW$241,15,FALSE)),"")</f>
        <v/>
      </c>
      <c r="Q42" s="184" t="str">
        <f>IFERROR(IF(VLOOKUP(Wed_W1[[#This Row],[Employee Name]],'Base Schedules'!$A$205:$AW$241,16,FALSE)="","",VLOOKUP(Wed_W1[[#This Row],[Employee Name]],'Base Schedules'!$A$205:$AW$241,16,FALSE)),"")</f>
        <v/>
      </c>
      <c r="R42" s="184" t="str">
        <f>IFERROR(IF(VLOOKUP(Wed_W1[[#This Row],[Employee Name]],'Base Schedules'!$A$205:$AW$241,17,FALSE)="","",VLOOKUP(Wed_W1[[#This Row],[Employee Name]],'Base Schedules'!$A$205:$AW$241,17,FALSE)),"")</f>
        <v/>
      </c>
      <c r="S42" s="184" t="str">
        <f>IFERROR(IF(VLOOKUP(Wed_W1[[#This Row],[Employee Name]],'Base Schedules'!$A$205:$AW$241,18,FALSE)="","",VLOOKUP(Wed_W1[[#This Row],[Employee Name]],'Base Schedules'!$A$205:$AW$241,18,FALSE)),"")</f>
        <v/>
      </c>
      <c r="T42" s="184" t="str">
        <f>IFERROR(IF(VLOOKUP(Wed_W1[[#This Row],[Employee Name]],'Base Schedules'!$A$205:$AW$241,19,FALSE)="","",VLOOKUP(Wed_W1[[#This Row],[Employee Name]],'Base Schedules'!$A$205:$AW$241,19,FALSE)),"")</f>
        <v/>
      </c>
      <c r="U42" s="184" t="str">
        <f>IFERROR(IF(VLOOKUP(Wed_W1[[#This Row],[Employee Name]],'Base Schedules'!$A$205:$AW$241,20,FALSE)="","",VLOOKUP(Wed_W1[[#This Row],[Employee Name]],'Base Schedules'!$A$205:$AW$241,20,FALSE)),"")</f>
        <v/>
      </c>
      <c r="V42" s="184" t="str">
        <f>IFERROR(IF(VLOOKUP(Wed_W1[[#This Row],[Employee Name]],'Base Schedules'!$A$205:$AW$241,21,FALSE)="","",VLOOKUP(Wed_W1[[#This Row],[Employee Name]],'Base Schedules'!$A$205:$AW$241,21,FALSE)),"")</f>
        <v/>
      </c>
      <c r="W42" s="184" t="str">
        <f>IFERROR(IF(VLOOKUP(Wed_W1[[#This Row],[Employee Name]],'Base Schedules'!$A$205:$AW$241,22,FALSE)="","",VLOOKUP(Wed_W1[[#This Row],[Employee Name]],'Base Schedules'!$A$205:$AW$241,22,FALSE)),"")</f>
        <v/>
      </c>
      <c r="X42" s="184" t="str">
        <f>IFERROR(IF(VLOOKUP(Wed_W1[[#This Row],[Employee Name]],'Base Schedules'!$A$205:$AW$241,23,FALSE)="","",VLOOKUP(Wed_W1[[#This Row],[Employee Name]],'Base Schedules'!$A$205:$AW$241,23,FALSE)),"")</f>
        <v/>
      </c>
      <c r="Y42" s="184" t="str">
        <f>IFERROR(IF(VLOOKUP(Wed_W1[[#This Row],[Employee Name]],'Base Schedules'!$A$205:$AW$241,24,FALSE)="","",VLOOKUP(Wed_W1[[#This Row],[Employee Name]],'Base Schedules'!$A$205:$AW$241,24,FALSE)),"")</f>
        <v/>
      </c>
      <c r="Z42" s="184" t="str">
        <f>IFERROR(IF(VLOOKUP(Wed_W1[[#This Row],[Employee Name]],'Base Schedules'!$A$205:$AW$241,25,FALSE)="","",VLOOKUP(Wed_W1[[#This Row],[Employee Name]],'Base Schedules'!$A$205:$AW$241,25,FALSE)),"")</f>
        <v/>
      </c>
      <c r="AA42" s="184" t="str">
        <f>IFERROR(IF(VLOOKUP(Wed_W1[[#This Row],[Employee Name]],'Base Schedules'!$A$205:$AW$241,26,FALSE)="","",VLOOKUP(Wed_W1[[#This Row],[Employee Name]],'Base Schedules'!$A$205:$AW$241,26,FALSE)),"")</f>
        <v/>
      </c>
      <c r="AB42" s="184" t="str">
        <f>IFERROR(IF(VLOOKUP(Wed_W1[[#This Row],[Employee Name]],'Base Schedules'!$A$205:$AW$241,27,FALSE)="","",VLOOKUP(Wed_W1[[#This Row],[Employee Name]],'Base Schedules'!$A$205:$AW$241,27,FALSE)),"")</f>
        <v/>
      </c>
      <c r="AC42" s="184" t="str">
        <f>IFERROR(IF(VLOOKUP(Wed_W1[[#This Row],[Employee Name]],'Base Schedules'!$A$205:$AW$241,28,FALSE)="","",VLOOKUP(Wed_W1[[#This Row],[Employee Name]],'Base Schedules'!$A$205:$AW$241,28,FALSE)),"")</f>
        <v/>
      </c>
      <c r="AD42" s="184" t="str">
        <f>IFERROR(IF(VLOOKUP(Wed_W1[[#This Row],[Employee Name]],'Base Schedules'!$A$205:$AW$241,29,FALSE)="","",VLOOKUP(Wed_W1[[#This Row],[Employee Name]],'Base Schedules'!$A$205:$AW$241,29,FALSE)),"")</f>
        <v/>
      </c>
      <c r="AE42" s="184" t="str">
        <f>IFERROR(IF(VLOOKUP(Wed_W1[[#This Row],[Employee Name]],'Base Schedules'!$A$205:$AW$241,30,FALSE)="","",VLOOKUP(Wed_W1[[#This Row],[Employee Name]],'Base Schedules'!$A$205:$AW$241,30,FALSE)),"")</f>
        <v/>
      </c>
      <c r="AF42" s="184" t="str">
        <f>IFERROR(IF(VLOOKUP(Wed_W1[[#This Row],[Employee Name]],'Base Schedules'!$A$205:$AW$241,31,FALSE)="","",VLOOKUP(Wed_W1[[#This Row],[Employee Name]],'Base Schedules'!$A$205:$AW$241,31,FALSE)),"")</f>
        <v/>
      </c>
      <c r="AG42" s="184" t="str">
        <f>IFERROR(IF(VLOOKUP(Wed_W1[[#This Row],[Employee Name]],'Base Schedules'!$A$205:$AW$241,32,FALSE)="","",VLOOKUP(Wed_W1[[#This Row],[Employee Name]],'Base Schedules'!$A$205:$AW$241,32,FALSE)),"")</f>
        <v/>
      </c>
      <c r="AH42" s="184" t="str">
        <f>IFERROR(IF(VLOOKUP(Wed_W1[[#This Row],[Employee Name]],'Base Schedules'!$A$205:$AW$241,33,FALSE)="","",VLOOKUP(Wed_W1[[#This Row],[Employee Name]],'Base Schedules'!$A$205:$AW$241,33,FALSE)),"")</f>
        <v/>
      </c>
      <c r="AI42" s="184" t="str">
        <f>IFERROR(IF(VLOOKUP(Wed_W1[[#This Row],[Employee Name]],'Base Schedules'!$A$205:$AW$241,34,FALSE)="","",VLOOKUP(Wed_W1[[#This Row],[Employee Name]],'Base Schedules'!$A$205:$AW$241,34,FALSE)),"")</f>
        <v/>
      </c>
      <c r="AJ42" s="184" t="str">
        <f>IFERROR(IF(VLOOKUP(Wed_W1[[#This Row],[Employee Name]],'Base Schedules'!$A$205:$AW$241,35,FALSE)="","",VLOOKUP(Wed_W1[[#This Row],[Employee Name]],'Base Schedules'!$A$205:$AW$241,35,FALSE)),"")</f>
        <v/>
      </c>
      <c r="AK42" s="184" t="str">
        <f>IFERROR(IF(VLOOKUP(Wed_W1[[#This Row],[Employee Name]],'Base Schedules'!$A$205:$AW$241,36,FALSE)="","",VLOOKUP(Wed_W1[[#This Row],[Employee Name]],'Base Schedules'!$A$205:$AW$241,36,FALSE)),"")</f>
        <v/>
      </c>
      <c r="AL42" s="184" t="str">
        <f>IFERROR(IF(VLOOKUP(Wed_W1[[#This Row],[Employee Name]],'Base Schedules'!$A$205:$AW$241,37,FALSE)="","",VLOOKUP(Wed_W1[[#This Row],[Employee Name]],'Base Schedules'!$A$205:$AW$241,37,FALSE)),"")</f>
        <v/>
      </c>
      <c r="AM42" s="184" t="str">
        <f>IFERROR(IF(VLOOKUP(Wed_W1[[#This Row],[Employee Name]],'Base Schedules'!$A$205:$AW$241,38,FALSE)="","",VLOOKUP(Wed_W1[[#This Row],[Employee Name]],'Base Schedules'!$A$205:$AW$241,38,FALSE)),"")</f>
        <v/>
      </c>
      <c r="AN42" s="184" t="str">
        <f>IFERROR(IF(VLOOKUP(Wed_W1[[#This Row],[Employee Name]],'Base Schedules'!$A$205:$AW$241,39,FALSE)="","",VLOOKUP(Wed_W1[[#This Row],[Employee Name]],'Base Schedules'!$A$205:$AW$241,39,FALSE)),"")</f>
        <v/>
      </c>
      <c r="AO42" s="184" t="str">
        <f>IFERROR(IF(VLOOKUP(Wed_W1[[#This Row],[Employee Name]],'Base Schedules'!$A$205:$AW$241,40,FALSE)="","",VLOOKUP(Wed_W1[[#This Row],[Employee Name]],'Base Schedules'!$A$205:$AW$241,40,FALSE)),"")</f>
        <v/>
      </c>
      <c r="AP42" s="184" t="str">
        <f>IFERROR(IF(VLOOKUP(Wed_W1[[#This Row],[Employee Name]],'Base Schedules'!$A$205:$AW$241,41,FALSE)="","",VLOOKUP(Wed_W1[[#This Row],[Employee Name]],'Base Schedules'!$A$205:$AW$241,41,FALSE)),"")</f>
        <v/>
      </c>
      <c r="AQ42" s="184" t="str">
        <f>IFERROR(IF(VLOOKUP(Wed_W1[[#This Row],[Employee Name]],'Base Schedules'!$A$205:$AW$241,42,FALSE)="","",VLOOKUP(Wed_W1[[#This Row],[Employee Name]],'Base Schedules'!$A$205:$AW$241,42,FALSE)),"")</f>
        <v/>
      </c>
      <c r="AR42" s="184" t="str">
        <f>IFERROR(IF(VLOOKUP(Wed_W1[[#This Row],[Employee Name]],'Base Schedules'!$A$205:$AW$241,43,FALSE)="","",VLOOKUP(Wed_W1[[#This Row],[Employee Name]],'Base Schedules'!$A$205:$AW$241,43,FALSE)),"")</f>
        <v/>
      </c>
      <c r="AS42" s="184" t="str">
        <f>IFERROR(IF(VLOOKUP(Wed_W1[[#This Row],[Employee Name]],'Base Schedules'!$A$205:$AW$241,44,FALSE)="","",VLOOKUP(Wed_W1[[#This Row],[Employee Name]],'Base Schedules'!$A$205:$AW$241,44,FALSE)),"")</f>
        <v/>
      </c>
      <c r="AT42" s="184" t="str">
        <f>IFERROR(IF(VLOOKUP(Wed_W1[[#This Row],[Employee Name]],'Base Schedules'!$A$205:$AW$241,45,FALSE)="","",VLOOKUP(Wed_W1[[#This Row],[Employee Name]],'Base Schedules'!$A$205:$AW$241,45,FALSE)),"")</f>
        <v/>
      </c>
      <c r="AU42" s="184" t="str">
        <f>IFERROR(IF(VLOOKUP(Wed_W1[[#This Row],[Employee Name]],'Base Schedules'!$A$205:$AW$241,46,FALSE)="","",VLOOKUP(Wed_W1[[#This Row],[Employee Name]],'Base Schedules'!$A$205:$AW$241,46,FALSE)),"")</f>
        <v/>
      </c>
      <c r="AV42" s="184" t="str">
        <f>IFERROR(IF(VLOOKUP(Wed_W1[[#This Row],[Employee Name]],'Base Schedules'!$A$205:$AW$241,47,FALSE)="","",VLOOKUP(Wed_W1[[#This Row],[Employee Name]],'Base Schedules'!$A$205:$AW$241,47,FALSE)),"")</f>
        <v/>
      </c>
      <c r="AW42" s="184" t="str">
        <f>IFERROR(IF(VLOOKUP(Wed_W1[[#This Row],[Employee Name]],'Base Schedules'!$A$205:$AW$241,48,FALSE)="","",VLOOKUP(Wed_W1[[#This Row],[Employee Name]],'Base Schedules'!$A$205:$AW$241,48,FALSE)),"")</f>
        <v/>
      </c>
      <c r="AX42" s="184" t="str">
        <f>IFERROR(IF(VLOOKUP(Wed_W1[[#This Row],[Employee Name]],'Base Schedules'!$A$205:$AW$241,49,FALSE)="","",VLOOKUP(Wed_W1[[#This Row],[Employee Name]],'Base Schedules'!$A$205:$AW$241,49,FALSE)),"")</f>
        <v/>
      </c>
      <c r="AY42" s="164" t="str">
        <f t="shared" si="2"/>
        <v/>
      </c>
    </row>
    <row r="43" spans="1:51" s="44" customFormat="1" hidden="1" thickBot="1" x14ac:dyDescent="0.25">
      <c r="A43" s="39" t="str">
        <f>IF(B43="","",INDEX(TeamList[],MATCH($B43,TeamList[[Employee Name]:[Employee Name]],0),MATCH("Manager",TeamList[#Headers],0)))</f>
        <v/>
      </c>
      <c r="B43" s="201"/>
      <c r="C43" s="257" t="str">
        <f>_xlfn.IFNA(VLOOKUP(Wed_W1[[#This Row],[Employee Name]],'Base Schedules'!A:B,2,FALSE),"")</f>
        <v/>
      </c>
      <c r="D43" s="274" t="str">
        <f>_xlfn.IFNA(VLOOKUP(Wed_W1[[#This Row],[Employee Name]],'Base Schedules'!A:C,3,FALSE),"")</f>
        <v/>
      </c>
      <c r="E43" s="274" t="str">
        <f>_xlfn.IFNA(VLOOKUP(Wed_W1[[#This Row],[Employee Name]],'Base Schedules'!A:D,4,FALSE),"")</f>
        <v/>
      </c>
      <c r="F43" s="142" t="str">
        <f>IF(Wed_W1[[#This Row],[Employee Name]]="","",IF(Wed_W1[[#This Row],[Dept]]="Supervisor",COUNTIFS($J43:$AX43,"*HL*",$J43:$AX43,"&lt;&gt;"&amp;"pHL"),COUNTIFS($J43:$AX43,"*HL*",$J43:$AX43,"&lt;&gt;"&amp;"*pHL*",$J43:$AX43,"&lt;&gt;"&amp;"pB1 HL",$J43:$AX43,"&lt;&gt;"&amp;"pB2 HL")-SUM(COUNTIFS($J43:$AX43,"*HL B1*",$J43:$AX43,"&lt;&gt;"&amp;"pHL B1")*0.5,COUNTIFS($J43:$AX43,"*HL B2*",$J43:$AX43,"&lt;&gt;"&amp;"pHL B2")*0.5,COUNTIFS($J43:$AX43,"*B1 HL*",$J43:$AX43,"&lt;&gt;"&amp;"pB1 HL")*0.5,COUNTIFS($J43:$AX43,"*B2 HL*",$J43:$AX43,"&lt;&gt;"&amp;"pB2 HL")*0.5)))</f>
        <v/>
      </c>
      <c r="G43" s="142" t="str">
        <f t="shared" si="0"/>
        <v/>
      </c>
      <c r="H43" s="142" t="str">
        <f t="shared" si="1"/>
        <v/>
      </c>
      <c r="I43" s="142" t="str">
        <f>IF(Wed_W1[[#This Row],[Employee Name]]="","",IF(Wed_W1[[#This Row],[Dept]]="Supervisor",SUM(COUNTIFS($J43:$AX43,"RTA*",$J43:$AX43,"&lt;&gt;"&amp;"pRTA"),COUNTIFS($J43:$AX43,"*CRTA*",$J43:$AX43,"&lt;&gt;"&amp;"pCRTA")),COUNTIFS($J43:$AX43,"*RNNR*",$J43:$AX43,"&lt;&gt;"&amp;"*pRNNR*",$J43:$AX43,"&lt;&gt;"&amp;"pB1 RNNR",$J43:$AX43,"&lt;&gt;"&amp;"pB2 RNNR")-SUM(COUNTIFS($J43:$AX43,"*RNNR B1*",$J43:$AX43,"&lt;&gt;"&amp;"pRNNR B1")*0.5,COUNTIFS($J43:$AX43,"*RNNR B2*",$J43:$AX43,"&lt;&gt;"&amp;"pRNNR B2")*0.5,COUNTIFS($J43:$AX43,"*B1 RNNR*",$J43:$AX43,"&lt;&gt;"&amp;"pB1 RNNR")*0.5,COUNTIFS($J43:$AX43,"*B2 RNNR*",$J43:$AX43,"&lt;&gt;"&amp;"pB2 RNNR")*0.5)))</f>
        <v/>
      </c>
      <c r="J43" s="184" t="str">
        <f>IFERROR(IF(VLOOKUP(Wed_W1[[#This Row],[Employee Name]],'Base Schedules'!$A$205:$AW$241,9,FALSE)="","",VLOOKUP(Wed_W1[[#This Row],[Employee Name]],'Base Schedules'!$A$205:$AW$241,9,FALSE)),"")</f>
        <v/>
      </c>
      <c r="K43" s="184" t="str">
        <f>IFERROR(IF(VLOOKUP(Wed_W1[[#This Row],[Employee Name]],'Base Schedules'!$A$205:$AW$241,10,FALSE)="","",VLOOKUP(Wed_W1[[#This Row],[Employee Name]],'Base Schedules'!$A$205:$AW$241,10,FALSE)),"")</f>
        <v/>
      </c>
      <c r="L43" s="184" t="str">
        <f>IFERROR(IF(VLOOKUP(Wed_W1[[#This Row],[Employee Name]],'Base Schedules'!$A$205:$AW$241,11,FALSE)="","",VLOOKUP(Wed_W1[[#This Row],[Employee Name]],'Base Schedules'!$A$205:$AW$241,11,FALSE)),"")</f>
        <v/>
      </c>
      <c r="M43" s="184" t="str">
        <f>IFERROR(IF(VLOOKUP(Wed_W1[[#This Row],[Employee Name]],'Base Schedules'!$A$205:$AW$241,12,FALSE)="","",VLOOKUP(Wed_W1[[#This Row],[Employee Name]],'Base Schedules'!$A$205:$AW$241,12,FALSE)),"")</f>
        <v/>
      </c>
      <c r="N43" s="184" t="str">
        <f>IFERROR(IF(VLOOKUP(Wed_W1[[#This Row],[Employee Name]],'Base Schedules'!$A$205:$AW$241,13,FALSE)="","",VLOOKUP(Wed_W1[[#This Row],[Employee Name]],'Base Schedules'!$A$205:$AW$241,13,FALSE)),"")</f>
        <v/>
      </c>
      <c r="O43" s="184" t="str">
        <f>IFERROR(IF(VLOOKUP(Wed_W1[[#This Row],[Employee Name]],'Base Schedules'!$A$205:$AW$241,14,FALSE)="","",VLOOKUP(Wed_W1[[#This Row],[Employee Name]],'Base Schedules'!$A$205:$AW$241,14,FALSE)),"")</f>
        <v/>
      </c>
      <c r="P43" s="184" t="str">
        <f>IFERROR(IF(VLOOKUP(Wed_W1[[#This Row],[Employee Name]],'Base Schedules'!$A$205:$AW$241,15,FALSE)="","",VLOOKUP(Wed_W1[[#This Row],[Employee Name]],'Base Schedules'!$A$205:$AW$241,15,FALSE)),"")</f>
        <v/>
      </c>
      <c r="Q43" s="184" t="str">
        <f>IFERROR(IF(VLOOKUP(Wed_W1[[#This Row],[Employee Name]],'Base Schedules'!$A$205:$AW$241,16,FALSE)="","",VLOOKUP(Wed_W1[[#This Row],[Employee Name]],'Base Schedules'!$A$205:$AW$241,16,FALSE)),"")</f>
        <v/>
      </c>
      <c r="R43" s="184" t="str">
        <f>IFERROR(IF(VLOOKUP(Wed_W1[[#This Row],[Employee Name]],'Base Schedules'!$A$205:$AW$241,17,FALSE)="","",VLOOKUP(Wed_W1[[#This Row],[Employee Name]],'Base Schedules'!$A$205:$AW$241,17,FALSE)),"")</f>
        <v/>
      </c>
      <c r="S43" s="184" t="str">
        <f>IFERROR(IF(VLOOKUP(Wed_W1[[#This Row],[Employee Name]],'Base Schedules'!$A$205:$AW$241,18,FALSE)="","",VLOOKUP(Wed_W1[[#This Row],[Employee Name]],'Base Schedules'!$A$205:$AW$241,18,FALSE)),"")</f>
        <v/>
      </c>
      <c r="T43" s="184" t="str">
        <f>IFERROR(IF(VLOOKUP(Wed_W1[[#This Row],[Employee Name]],'Base Schedules'!$A$205:$AW$241,19,FALSE)="","",VLOOKUP(Wed_W1[[#This Row],[Employee Name]],'Base Schedules'!$A$205:$AW$241,19,FALSE)),"")</f>
        <v/>
      </c>
      <c r="U43" s="184" t="str">
        <f>IFERROR(IF(VLOOKUP(Wed_W1[[#This Row],[Employee Name]],'Base Schedules'!$A$205:$AW$241,20,FALSE)="","",VLOOKUP(Wed_W1[[#This Row],[Employee Name]],'Base Schedules'!$A$205:$AW$241,20,FALSE)),"")</f>
        <v/>
      </c>
      <c r="V43" s="184" t="str">
        <f>IFERROR(IF(VLOOKUP(Wed_W1[[#This Row],[Employee Name]],'Base Schedules'!$A$205:$AW$241,21,FALSE)="","",VLOOKUP(Wed_W1[[#This Row],[Employee Name]],'Base Schedules'!$A$205:$AW$241,21,FALSE)),"")</f>
        <v/>
      </c>
      <c r="W43" s="184" t="str">
        <f>IFERROR(IF(VLOOKUP(Wed_W1[[#This Row],[Employee Name]],'Base Schedules'!$A$205:$AW$241,22,FALSE)="","",VLOOKUP(Wed_W1[[#This Row],[Employee Name]],'Base Schedules'!$A$205:$AW$241,22,FALSE)),"")</f>
        <v/>
      </c>
      <c r="X43" s="184" t="str">
        <f>IFERROR(IF(VLOOKUP(Wed_W1[[#This Row],[Employee Name]],'Base Schedules'!$A$205:$AW$241,23,FALSE)="","",VLOOKUP(Wed_W1[[#This Row],[Employee Name]],'Base Schedules'!$A$205:$AW$241,23,FALSE)),"")</f>
        <v/>
      </c>
      <c r="Y43" s="184" t="str">
        <f>IFERROR(IF(VLOOKUP(Wed_W1[[#This Row],[Employee Name]],'Base Schedules'!$A$205:$AW$241,24,FALSE)="","",VLOOKUP(Wed_W1[[#This Row],[Employee Name]],'Base Schedules'!$A$205:$AW$241,24,FALSE)),"")</f>
        <v/>
      </c>
      <c r="Z43" s="184" t="str">
        <f>IFERROR(IF(VLOOKUP(Wed_W1[[#This Row],[Employee Name]],'Base Schedules'!$A$205:$AW$241,25,FALSE)="","",VLOOKUP(Wed_W1[[#This Row],[Employee Name]],'Base Schedules'!$A$205:$AW$241,25,FALSE)),"")</f>
        <v/>
      </c>
      <c r="AA43" s="184" t="str">
        <f>IFERROR(IF(VLOOKUP(Wed_W1[[#This Row],[Employee Name]],'Base Schedules'!$A$205:$AW$241,26,FALSE)="","",VLOOKUP(Wed_W1[[#This Row],[Employee Name]],'Base Schedules'!$A$205:$AW$241,26,FALSE)),"")</f>
        <v/>
      </c>
      <c r="AB43" s="184" t="str">
        <f>IFERROR(IF(VLOOKUP(Wed_W1[[#This Row],[Employee Name]],'Base Schedules'!$A$205:$AW$241,27,FALSE)="","",VLOOKUP(Wed_W1[[#This Row],[Employee Name]],'Base Schedules'!$A$205:$AW$241,27,FALSE)),"")</f>
        <v/>
      </c>
      <c r="AC43" s="184" t="str">
        <f>IFERROR(IF(VLOOKUP(Wed_W1[[#This Row],[Employee Name]],'Base Schedules'!$A$205:$AW$241,28,FALSE)="","",VLOOKUP(Wed_W1[[#This Row],[Employee Name]],'Base Schedules'!$A$205:$AW$241,28,FALSE)),"")</f>
        <v/>
      </c>
      <c r="AD43" s="184" t="str">
        <f>IFERROR(IF(VLOOKUP(Wed_W1[[#This Row],[Employee Name]],'Base Schedules'!$A$205:$AW$241,29,FALSE)="","",VLOOKUP(Wed_W1[[#This Row],[Employee Name]],'Base Schedules'!$A$205:$AW$241,29,FALSE)),"")</f>
        <v/>
      </c>
      <c r="AE43" s="184" t="str">
        <f>IFERROR(IF(VLOOKUP(Wed_W1[[#This Row],[Employee Name]],'Base Schedules'!$A$205:$AW$241,30,FALSE)="","",VLOOKUP(Wed_W1[[#This Row],[Employee Name]],'Base Schedules'!$A$205:$AW$241,30,FALSE)),"")</f>
        <v/>
      </c>
      <c r="AF43" s="184" t="str">
        <f>IFERROR(IF(VLOOKUP(Wed_W1[[#This Row],[Employee Name]],'Base Schedules'!$A$205:$AW$241,31,FALSE)="","",VLOOKUP(Wed_W1[[#This Row],[Employee Name]],'Base Schedules'!$A$205:$AW$241,31,FALSE)),"")</f>
        <v/>
      </c>
      <c r="AG43" s="184" t="str">
        <f>IFERROR(IF(VLOOKUP(Wed_W1[[#This Row],[Employee Name]],'Base Schedules'!$A$205:$AW$241,32,FALSE)="","",VLOOKUP(Wed_W1[[#This Row],[Employee Name]],'Base Schedules'!$A$205:$AW$241,32,FALSE)),"")</f>
        <v/>
      </c>
      <c r="AH43" s="184" t="str">
        <f>IFERROR(IF(VLOOKUP(Wed_W1[[#This Row],[Employee Name]],'Base Schedules'!$A$205:$AW$241,33,FALSE)="","",VLOOKUP(Wed_W1[[#This Row],[Employee Name]],'Base Schedules'!$A$205:$AW$241,33,FALSE)),"")</f>
        <v/>
      </c>
      <c r="AI43" s="184" t="str">
        <f>IFERROR(IF(VLOOKUP(Wed_W1[[#This Row],[Employee Name]],'Base Schedules'!$A$205:$AW$241,34,FALSE)="","",VLOOKUP(Wed_W1[[#This Row],[Employee Name]],'Base Schedules'!$A$205:$AW$241,34,FALSE)),"")</f>
        <v/>
      </c>
      <c r="AJ43" s="184" t="str">
        <f>IFERROR(IF(VLOOKUP(Wed_W1[[#This Row],[Employee Name]],'Base Schedules'!$A$205:$AW$241,35,FALSE)="","",VLOOKUP(Wed_W1[[#This Row],[Employee Name]],'Base Schedules'!$A$205:$AW$241,35,FALSE)),"")</f>
        <v/>
      </c>
      <c r="AK43" s="184" t="str">
        <f>IFERROR(IF(VLOOKUP(Wed_W1[[#This Row],[Employee Name]],'Base Schedules'!$A$205:$AW$241,36,FALSE)="","",VLOOKUP(Wed_W1[[#This Row],[Employee Name]],'Base Schedules'!$A$205:$AW$241,36,FALSE)),"")</f>
        <v/>
      </c>
      <c r="AL43" s="184" t="str">
        <f>IFERROR(IF(VLOOKUP(Wed_W1[[#This Row],[Employee Name]],'Base Schedules'!$A$205:$AW$241,37,FALSE)="","",VLOOKUP(Wed_W1[[#This Row],[Employee Name]],'Base Schedules'!$A$205:$AW$241,37,FALSE)),"")</f>
        <v/>
      </c>
      <c r="AM43" s="184" t="str">
        <f>IFERROR(IF(VLOOKUP(Wed_W1[[#This Row],[Employee Name]],'Base Schedules'!$A$205:$AW$241,38,FALSE)="","",VLOOKUP(Wed_W1[[#This Row],[Employee Name]],'Base Schedules'!$A$205:$AW$241,38,FALSE)),"")</f>
        <v/>
      </c>
      <c r="AN43" s="184" t="str">
        <f>IFERROR(IF(VLOOKUP(Wed_W1[[#This Row],[Employee Name]],'Base Schedules'!$A$205:$AW$241,39,FALSE)="","",VLOOKUP(Wed_W1[[#This Row],[Employee Name]],'Base Schedules'!$A$205:$AW$241,39,FALSE)),"")</f>
        <v/>
      </c>
      <c r="AO43" s="184" t="str">
        <f>IFERROR(IF(VLOOKUP(Wed_W1[[#This Row],[Employee Name]],'Base Schedules'!$A$205:$AW$241,40,FALSE)="","",VLOOKUP(Wed_W1[[#This Row],[Employee Name]],'Base Schedules'!$A$205:$AW$241,40,FALSE)),"")</f>
        <v/>
      </c>
      <c r="AP43" s="184" t="str">
        <f>IFERROR(IF(VLOOKUP(Wed_W1[[#This Row],[Employee Name]],'Base Schedules'!$A$205:$AW$241,41,FALSE)="","",VLOOKUP(Wed_W1[[#This Row],[Employee Name]],'Base Schedules'!$A$205:$AW$241,41,FALSE)),"")</f>
        <v/>
      </c>
      <c r="AQ43" s="184" t="str">
        <f>IFERROR(IF(VLOOKUP(Wed_W1[[#This Row],[Employee Name]],'Base Schedules'!$A$205:$AW$241,42,FALSE)="","",VLOOKUP(Wed_W1[[#This Row],[Employee Name]],'Base Schedules'!$A$205:$AW$241,42,FALSE)),"")</f>
        <v/>
      </c>
      <c r="AR43" s="184" t="str">
        <f>IFERROR(IF(VLOOKUP(Wed_W1[[#This Row],[Employee Name]],'Base Schedules'!$A$205:$AW$241,43,FALSE)="","",VLOOKUP(Wed_W1[[#This Row],[Employee Name]],'Base Schedules'!$A$205:$AW$241,43,FALSE)),"")</f>
        <v/>
      </c>
      <c r="AS43" s="184" t="str">
        <f>IFERROR(IF(VLOOKUP(Wed_W1[[#This Row],[Employee Name]],'Base Schedules'!$A$205:$AW$241,44,FALSE)="","",VLOOKUP(Wed_W1[[#This Row],[Employee Name]],'Base Schedules'!$A$205:$AW$241,44,FALSE)),"")</f>
        <v/>
      </c>
      <c r="AT43" s="184" t="str">
        <f>IFERROR(IF(VLOOKUP(Wed_W1[[#This Row],[Employee Name]],'Base Schedules'!$A$205:$AW$241,45,FALSE)="","",VLOOKUP(Wed_W1[[#This Row],[Employee Name]],'Base Schedules'!$A$205:$AW$241,45,FALSE)),"")</f>
        <v/>
      </c>
      <c r="AU43" s="184" t="str">
        <f>IFERROR(IF(VLOOKUP(Wed_W1[[#This Row],[Employee Name]],'Base Schedules'!$A$205:$AW$241,46,FALSE)="","",VLOOKUP(Wed_W1[[#This Row],[Employee Name]],'Base Schedules'!$A$205:$AW$241,46,FALSE)),"")</f>
        <v/>
      </c>
      <c r="AV43" s="184" t="str">
        <f>IFERROR(IF(VLOOKUP(Wed_W1[[#This Row],[Employee Name]],'Base Schedules'!$A$205:$AW$241,47,FALSE)="","",VLOOKUP(Wed_W1[[#This Row],[Employee Name]],'Base Schedules'!$A$205:$AW$241,47,FALSE)),"")</f>
        <v/>
      </c>
      <c r="AW43" s="184" t="str">
        <f>IFERROR(IF(VLOOKUP(Wed_W1[[#This Row],[Employee Name]],'Base Schedules'!$A$205:$AW$241,48,FALSE)="","",VLOOKUP(Wed_W1[[#This Row],[Employee Name]],'Base Schedules'!$A$205:$AW$241,48,FALSE)),"")</f>
        <v/>
      </c>
      <c r="AX43" s="184" t="str">
        <f>IFERROR(IF(VLOOKUP(Wed_W1[[#This Row],[Employee Name]],'Base Schedules'!$A$205:$AW$241,49,FALSE)="","",VLOOKUP(Wed_W1[[#This Row],[Employee Name]],'Base Schedules'!$A$205:$AW$241,49,FALSE)),"")</f>
        <v/>
      </c>
      <c r="AY43" s="164" t="str">
        <f t="shared" si="2"/>
        <v/>
      </c>
    </row>
    <row r="44" spans="1:51" s="44" customFormat="1" hidden="1" thickBot="1" x14ac:dyDescent="0.25">
      <c r="A44" s="39" t="str">
        <f>IF(B44="","",INDEX(TeamList[],MATCH($B44,TeamList[[Employee Name]:[Employee Name]],0),MATCH("Manager",TeamList[#Headers],0)))</f>
        <v/>
      </c>
      <c r="B44" s="201"/>
      <c r="C44" s="257" t="str">
        <f>_xlfn.IFNA(VLOOKUP(Wed_W1[[#This Row],[Employee Name]],'Base Schedules'!A:B,2,FALSE),"")</f>
        <v/>
      </c>
      <c r="D44" s="274" t="str">
        <f>_xlfn.IFNA(VLOOKUP(Wed_W1[[#This Row],[Employee Name]],'Base Schedules'!A:C,3,FALSE),"")</f>
        <v/>
      </c>
      <c r="E44" s="274" t="str">
        <f>_xlfn.IFNA(VLOOKUP(Wed_W1[[#This Row],[Employee Name]],'Base Schedules'!A:D,4,FALSE),"")</f>
        <v/>
      </c>
      <c r="F44" s="142" t="str">
        <f>IF(Wed_W1[[#This Row],[Employee Name]]="","",IF(Wed_W1[[#This Row],[Dept]]="Supervisor",COUNTIFS($J44:$AX44,"*HL*",$J44:$AX44,"&lt;&gt;"&amp;"pHL"),COUNTIFS($J44:$AX44,"*HL*",$J44:$AX44,"&lt;&gt;"&amp;"*pHL*",$J44:$AX44,"&lt;&gt;"&amp;"pB1 HL",$J44:$AX44,"&lt;&gt;"&amp;"pB2 HL")-SUM(COUNTIFS($J44:$AX44,"*HL B1*",$J44:$AX44,"&lt;&gt;"&amp;"pHL B1")*0.5,COUNTIFS($J44:$AX44,"*HL B2*",$J44:$AX44,"&lt;&gt;"&amp;"pHL B2")*0.5,COUNTIFS($J44:$AX44,"*B1 HL*",$J44:$AX44,"&lt;&gt;"&amp;"pB1 HL")*0.5,COUNTIFS($J44:$AX44,"*B2 HL*",$J44:$AX44,"&lt;&gt;"&amp;"pB2 HL")*0.5)))</f>
        <v/>
      </c>
      <c r="G44" s="142" t="str">
        <f t="shared" si="0"/>
        <v/>
      </c>
      <c r="H44" s="142" t="str">
        <f t="shared" si="1"/>
        <v/>
      </c>
      <c r="I44" s="142" t="str">
        <f>IF(Wed_W1[[#This Row],[Employee Name]]="","",IF(Wed_W1[[#This Row],[Dept]]="Supervisor",SUM(COUNTIFS($J44:$AX44,"RTA*",$J44:$AX44,"&lt;&gt;"&amp;"pRTA"),COUNTIFS($J44:$AX44,"*CRTA*",$J44:$AX44,"&lt;&gt;"&amp;"pCRTA")),COUNTIFS($J44:$AX44,"*RNNR*",$J44:$AX44,"&lt;&gt;"&amp;"*pRNNR*",$J44:$AX44,"&lt;&gt;"&amp;"pB1 RNNR",$J44:$AX44,"&lt;&gt;"&amp;"pB2 RNNR")-SUM(COUNTIFS($J44:$AX44,"*RNNR B1*",$J44:$AX44,"&lt;&gt;"&amp;"pRNNR B1")*0.5,COUNTIFS($J44:$AX44,"*RNNR B2*",$J44:$AX44,"&lt;&gt;"&amp;"pRNNR B2")*0.5,COUNTIFS($J44:$AX44,"*B1 RNNR*",$J44:$AX44,"&lt;&gt;"&amp;"pB1 RNNR")*0.5,COUNTIFS($J44:$AX44,"*B2 RNNR*",$J44:$AX44,"&lt;&gt;"&amp;"pB2 RNNR")*0.5)))</f>
        <v/>
      </c>
      <c r="J44" s="184" t="str">
        <f>IFERROR(IF(VLOOKUP(Wed_W1[[#This Row],[Employee Name]],'Base Schedules'!$A$205:$AW$241,9,FALSE)="","",VLOOKUP(Wed_W1[[#This Row],[Employee Name]],'Base Schedules'!$A$205:$AW$241,9,FALSE)),"")</f>
        <v/>
      </c>
      <c r="K44" s="184" t="str">
        <f>IFERROR(IF(VLOOKUP(Wed_W1[[#This Row],[Employee Name]],'Base Schedules'!$A$205:$AW$241,10,FALSE)="","",VLOOKUP(Wed_W1[[#This Row],[Employee Name]],'Base Schedules'!$A$205:$AW$241,10,FALSE)),"")</f>
        <v/>
      </c>
      <c r="L44" s="184" t="str">
        <f>IFERROR(IF(VLOOKUP(Wed_W1[[#This Row],[Employee Name]],'Base Schedules'!$A$205:$AW$241,11,FALSE)="","",VLOOKUP(Wed_W1[[#This Row],[Employee Name]],'Base Schedules'!$A$205:$AW$241,11,FALSE)),"")</f>
        <v/>
      </c>
      <c r="M44" s="184" t="str">
        <f>IFERROR(IF(VLOOKUP(Wed_W1[[#This Row],[Employee Name]],'Base Schedules'!$A$205:$AW$241,12,FALSE)="","",VLOOKUP(Wed_W1[[#This Row],[Employee Name]],'Base Schedules'!$A$205:$AW$241,12,FALSE)),"")</f>
        <v/>
      </c>
      <c r="N44" s="184" t="str">
        <f>IFERROR(IF(VLOOKUP(Wed_W1[[#This Row],[Employee Name]],'Base Schedules'!$A$205:$AW$241,13,FALSE)="","",VLOOKUP(Wed_W1[[#This Row],[Employee Name]],'Base Schedules'!$A$205:$AW$241,13,FALSE)),"")</f>
        <v/>
      </c>
      <c r="O44" s="184" t="str">
        <f>IFERROR(IF(VLOOKUP(Wed_W1[[#This Row],[Employee Name]],'Base Schedules'!$A$205:$AW$241,14,FALSE)="","",VLOOKUP(Wed_W1[[#This Row],[Employee Name]],'Base Schedules'!$A$205:$AW$241,14,FALSE)),"")</f>
        <v/>
      </c>
      <c r="P44" s="184" t="str">
        <f>IFERROR(IF(VLOOKUP(Wed_W1[[#This Row],[Employee Name]],'Base Schedules'!$A$205:$AW$241,15,FALSE)="","",VLOOKUP(Wed_W1[[#This Row],[Employee Name]],'Base Schedules'!$A$205:$AW$241,15,FALSE)),"")</f>
        <v/>
      </c>
      <c r="Q44" s="184" t="str">
        <f>IFERROR(IF(VLOOKUP(Wed_W1[[#This Row],[Employee Name]],'Base Schedules'!$A$205:$AW$241,16,FALSE)="","",VLOOKUP(Wed_W1[[#This Row],[Employee Name]],'Base Schedules'!$A$205:$AW$241,16,FALSE)),"")</f>
        <v/>
      </c>
      <c r="R44" s="184" t="str">
        <f>IFERROR(IF(VLOOKUP(Wed_W1[[#This Row],[Employee Name]],'Base Schedules'!$A$205:$AW$241,17,FALSE)="","",VLOOKUP(Wed_W1[[#This Row],[Employee Name]],'Base Schedules'!$A$205:$AW$241,17,FALSE)),"")</f>
        <v/>
      </c>
      <c r="S44" s="184" t="str">
        <f>IFERROR(IF(VLOOKUP(Wed_W1[[#This Row],[Employee Name]],'Base Schedules'!$A$205:$AW$241,18,FALSE)="","",VLOOKUP(Wed_W1[[#This Row],[Employee Name]],'Base Schedules'!$A$205:$AW$241,18,FALSE)),"")</f>
        <v/>
      </c>
      <c r="T44" s="184" t="str">
        <f>IFERROR(IF(VLOOKUP(Wed_W1[[#This Row],[Employee Name]],'Base Schedules'!$A$205:$AW$241,19,FALSE)="","",VLOOKUP(Wed_W1[[#This Row],[Employee Name]],'Base Schedules'!$A$205:$AW$241,19,FALSE)),"")</f>
        <v/>
      </c>
      <c r="U44" s="184" t="str">
        <f>IFERROR(IF(VLOOKUP(Wed_W1[[#This Row],[Employee Name]],'Base Schedules'!$A$205:$AW$241,20,FALSE)="","",VLOOKUP(Wed_W1[[#This Row],[Employee Name]],'Base Schedules'!$A$205:$AW$241,20,FALSE)),"")</f>
        <v/>
      </c>
      <c r="V44" s="184" t="str">
        <f>IFERROR(IF(VLOOKUP(Wed_W1[[#This Row],[Employee Name]],'Base Schedules'!$A$205:$AW$241,21,FALSE)="","",VLOOKUP(Wed_W1[[#This Row],[Employee Name]],'Base Schedules'!$A$205:$AW$241,21,FALSE)),"")</f>
        <v/>
      </c>
      <c r="W44" s="184" t="str">
        <f>IFERROR(IF(VLOOKUP(Wed_W1[[#This Row],[Employee Name]],'Base Schedules'!$A$205:$AW$241,22,FALSE)="","",VLOOKUP(Wed_W1[[#This Row],[Employee Name]],'Base Schedules'!$A$205:$AW$241,22,FALSE)),"")</f>
        <v/>
      </c>
      <c r="X44" s="184" t="str">
        <f>IFERROR(IF(VLOOKUP(Wed_W1[[#This Row],[Employee Name]],'Base Schedules'!$A$205:$AW$241,23,FALSE)="","",VLOOKUP(Wed_W1[[#This Row],[Employee Name]],'Base Schedules'!$A$205:$AW$241,23,FALSE)),"")</f>
        <v/>
      </c>
      <c r="Y44" s="184" t="str">
        <f>IFERROR(IF(VLOOKUP(Wed_W1[[#This Row],[Employee Name]],'Base Schedules'!$A$205:$AW$241,24,FALSE)="","",VLOOKUP(Wed_W1[[#This Row],[Employee Name]],'Base Schedules'!$A$205:$AW$241,24,FALSE)),"")</f>
        <v/>
      </c>
      <c r="Z44" s="184" t="str">
        <f>IFERROR(IF(VLOOKUP(Wed_W1[[#This Row],[Employee Name]],'Base Schedules'!$A$205:$AW$241,25,FALSE)="","",VLOOKUP(Wed_W1[[#This Row],[Employee Name]],'Base Schedules'!$A$205:$AW$241,25,FALSE)),"")</f>
        <v/>
      </c>
      <c r="AA44" s="184" t="str">
        <f>IFERROR(IF(VLOOKUP(Wed_W1[[#This Row],[Employee Name]],'Base Schedules'!$A$205:$AW$241,26,FALSE)="","",VLOOKUP(Wed_W1[[#This Row],[Employee Name]],'Base Schedules'!$A$205:$AW$241,26,FALSE)),"")</f>
        <v/>
      </c>
      <c r="AB44" s="184" t="str">
        <f>IFERROR(IF(VLOOKUP(Wed_W1[[#This Row],[Employee Name]],'Base Schedules'!$A$205:$AW$241,27,FALSE)="","",VLOOKUP(Wed_W1[[#This Row],[Employee Name]],'Base Schedules'!$A$205:$AW$241,27,FALSE)),"")</f>
        <v/>
      </c>
      <c r="AC44" s="184" t="str">
        <f>IFERROR(IF(VLOOKUP(Wed_W1[[#This Row],[Employee Name]],'Base Schedules'!$A$205:$AW$241,28,FALSE)="","",VLOOKUP(Wed_W1[[#This Row],[Employee Name]],'Base Schedules'!$A$205:$AW$241,28,FALSE)),"")</f>
        <v/>
      </c>
      <c r="AD44" s="184" t="str">
        <f>IFERROR(IF(VLOOKUP(Wed_W1[[#This Row],[Employee Name]],'Base Schedules'!$A$205:$AW$241,29,FALSE)="","",VLOOKUP(Wed_W1[[#This Row],[Employee Name]],'Base Schedules'!$A$205:$AW$241,29,FALSE)),"")</f>
        <v/>
      </c>
      <c r="AE44" s="184" t="str">
        <f>IFERROR(IF(VLOOKUP(Wed_W1[[#This Row],[Employee Name]],'Base Schedules'!$A$205:$AW$241,30,FALSE)="","",VLOOKUP(Wed_W1[[#This Row],[Employee Name]],'Base Schedules'!$A$205:$AW$241,30,FALSE)),"")</f>
        <v/>
      </c>
      <c r="AF44" s="184" t="str">
        <f>IFERROR(IF(VLOOKUP(Wed_W1[[#This Row],[Employee Name]],'Base Schedules'!$A$205:$AW$241,31,FALSE)="","",VLOOKUP(Wed_W1[[#This Row],[Employee Name]],'Base Schedules'!$A$205:$AW$241,31,FALSE)),"")</f>
        <v/>
      </c>
      <c r="AG44" s="184" t="str">
        <f>IFERROR(IF(VLOOKUP(Wed_W1[[#This Row],[Employee Name]],'Base Schedules'!$A$205:$AW$241,32,FALSE)="","",VLOOKUP(Wed_W1[[#This Row],[Employee Name]],'Base Schedules'!$A$205:$AW$241,32,FALSE)),"")</f>
        <v/>
      </c>
      <c r="AH44" s="184" t="str">
        <f>IFERROR(IF(VLOOKUP(Wed_W1[[#This Row],[Employee Name]],'Base Schedules'!$A$205:$AW$241,33,FALSE)="","",VLOOKUP(Wed_W1[[#This Row],[Employee Name]],'Base Schedules'!$A$205:$AW$241,33,FALSE)),"")</f>
        <v/>
      </c>
      <c r="AI44" s="184" t="str">
        <f>IFERROR(IF(VLOOKUP(Wed_W1[[#This Row],[Employee Name]],'Base Schedules'!$A$205:$AW$241,34,FALSE)="","",VLOOKUP(Wed_W1[[#This Row],[Employee Name]],'Base Schedules'!$A$205:$AW$241,34,FALSE)),"")</f>
        <v/>
      </c>
      <c r="AJ44" s="184" t="str">
        <f>IFERROR(IF(VLOOKUP(Wed_W1[[#This Row],[Employee Name]],'Base Schedules'!$A$205:$AW$241,35,FALSE)="","",VLOOKUP(Wed_W1[[#This Row],[Employee Name]],'Base Schedules'!$A$205:$AW$241,35,FALSE)),"")</f>
        <v/>
      </c>
      <c r="AK44" s="184" t="str">
        <f>IFERROR(IF(VLOOKUP(Wed_W1[[#This Row],[Employee Name]],'Base Schedules'!$A$205:$AW$241,36,FALSE)="","",VLOOKUP(Wed_W1[[#This Row],[Employee Name]],'Base Schedules'!$A$205:$AW$241,36,FALSE)),"")</f>
        <v/>
      </c>
      <c r="AL44" s="184" t="str">
        <f>IFERROR(IF(VLOOKUP(Wed_W1[[#This Row],[Employee Name]],'Base Schedules'!$A$205:$AW$241,37,FALSE)="","",VLOOKUP(Wed_W1[[#This Row],[Employee Name]],'Base Schedules'!$A$205:$AW$241,37,FALSE)),"")</f>
        <v/>
      </c>
      <c r="AM44" s="184" t="str">
        <f>IFERROR(IF(VLOOKUP(Wed_W1[[#This Row],[Employee Name]],'Base Schedules'!$A$205:$AW$241,38,FALSE)="","",VLOOKUP(Wed_W1[[#This Row],[Employee Name]],'Base Schedules'!$A$205:$AW$241,38,FALSE)),"")</f>
        <v/>
      </c>
      <c r="AN44" s="184" t="str">
        <f>IFERROR(IF(VLOOKUP(Wed_W1[[#This Row],[Employee Name]],'Base Schedules'!$A$205:$AW$241,39,FALSE)="","",VLOOKUP(Wed_W1[[#This Row],[Employee Name]],'Base Schedules'!$A$205:$AW$241,39,FALSE)),"")</f>
        <v/>
      </c>
      <c r="AO44" s="184" t="str">
        <f>IFERROR(IF(VLOOKUP(Wed_W1[[#This Row],[Employee Name]],'Base Schedules'!$A$205:$AW$241,40,FALSE)="","",VLOOKUP(Wed_W1[[#This Row],[Employee Name]],'Base Schedules'!$A$205:$AW$241,40,FALSE)),"")</f>
        <v/>
      </c>
      <c r="AP44" s="184" t="str">
        <f>IFERROR(IF(VLOOKUP(Wed_W1[[#This Row],[Employee Name]],'Base Schedules'!$A$205:$AW$241,41,FALSE)="","",VLOOKUP(Wed_W1[[#This Row],[Employee Name]],'Base Schedules'!$A$205:$AW$241,41,FALSE)),"")</f>
        <v/>
      </c>
      <c r="AQ44" s="184" t="str">
        <f>IFERROR(IF(VLOOKUP(Wed_W1[[#This Row],[Employee Name]],'Base Schedules'!$A$205:$AW$241,42,FALSE)="","",VLOOKUP(Wed_W1[[#This Row],[Employee Name]],'Base Schedules'!$A$205:$AW$241,42,FALSE)),"")</f>
        <v/>
      </c>
      <c r="AR44" s="184" t="str">
        <f>IFERROR(IF(VLOOKUP(Wed_W1[[#This Row],[Employee Name]],'Base Schedules'!$A$205:$AW$241,43,FALSE)="","",VLOOKUP(Wed_W1[[#This Row],[Employee Name]],'Base Schedules'!$A$205:$AW$241,43,FALSE)),"")</f>
        <v/>
      </c>
      <c r="AS44" s="184" t="str">
        <f>IFERROR(IF(VLOOKUP(Wed_W1[[#This Row],[Employee Name]],'Base Schedules'!$A$205:$AW$241,44,FALSE)="","",VLOOKUP(Wed_W1[[#This Row],[Employee Name]],'Base Schedules'!$A$205:$AW$241,44,FALSE)),"")</f>
        <v/>
      </c>
      <c r="AT44" s="184" t="str">
        <f>IFERROR(IF(VLOOKUP(Wed_W1[[#This Row],[Employee Name]],'Base Schedules'!$A$205:$AW$241,45,FALSE)="","",VLOOKUP(Wed_W1[[#This Row],[Employee Name]],'Base Schedules'!$A$205:$AW$241,45,FALSE)),"")</f>
        <v/>
      </c>
      <c r="AU44" s="184" t="str">
        <f>IFERROR(IF(VLOOKUP(Wed_W1[[#This Row],[Employee Name]],'Base Schedules'!$A$205:$AW$241,46,FALSE)="","",VLOOKUP(Wed_W1[[#This Row],[Employee Name]],'Base Schedules'!$A$205:$AW$241,46,FALSE)),"")</f>
        <v/>
      </c>
      <c r="AV44" s="184" t="str">
        <f>IFERROR(IF(VLOOKUP(Wed_W1[[#This Row],[Employee Name]],'Base Schedules'!$A$205:$AW$241,47,FALSE)="","",VLOOKUP(Wed_W1[[#This Row],[Employee Name]],'Base Schedules'!$A$205:$AW$241,47,FALSE)),"")</f>
        <v/>
      </c>
      <c r="AW44" s="184" t="str">
        <f>IFERROR(IF(VLOOKUP(Wed_W1[[#This Row],[Employee Name]],'Base Schedules'!$A$205:$AW$241,48,FALSE)="","",VLOOKUP(Wed_W1[[#This Row],[Employee Name]],'Base Schedules'!$A$205:$AW$241,48,FALSE)),"")</f>
        <v/>
      </c>
      <c r="AX44" s="184" t="str">
        <f>IFERROR(IF(VLOOKUP(Wed_W1[[#This Row],[Employee Name]],'Base Schedules'!$A$205:$AW$241,49,FALSE)="","",VLOOKUP(Wed_W1[[#This Row],[Employee Name]],'Base Schedules'!$A$205:$AW$241,49,FALSE)),"")</f>
        <v/>
      </c>
      <c r="AY44" s="164" t="str">
        <f t="shared" si="2"/>
        <v/>
      </c>
    </row>
    <row r="45" spans="1:51" s="44" customFormat="1" hidden="1" thickBot="1" x14ac:dyDescent="0.25">
      <c r="A45" s="39" t="str">
        <f>IF(B45="","",INDEX(TeamList[],MATCH($B45,TeamList[[Employee Name]:[Employee Name]],0),MATCH("Manager",TeamList[#Headers],0)))</f>
        <v/>
      </c>
      <c r="B45" s="201"/>
      <c r="C45" s="257" t="str">
        <f>_xlfn.IFNA(VLOOKUP(Wed_W1[[#This Row],[Employee Name]],'Base Schedules'!A:B,2,FALSE),"")</f>
        <v/>
      </c>
      <c r="D45" s="274" t="str">
        <f>_xlfn.IFNA(VLOOKUP(Wed_W1[[#This Row],[Employee Name]],'Base Schedules'!A:C,3,FALSE),"")</f>
        <v/>
      </c>
      <c r="E45" s="274" t="str">
        <f>_xlfn.IFNA(VLOOKUP(Wed_W1[[#This Row],[Employee Name]],'Base Schedules'!A:D,4,FALSE),"")</f>
        <v/>
      </c>
      <c r="F45" s="142" t="str">
        <f>IF(Wed_W1[[#This Row],[Employee Name]]="","",IF(Wed_W1[[#This Row],[Dept]]="Supervisor",COUNTIFS($J45:$AX45,"*HL*",$J45:$AX45,"&lt;&gt;"&amp;"pHL"),COUNTIFS($J45:$AX45,"*HL*",$J45:$AX45,"&lt;&gt;"&amp;"*pHL*",$J45:$AX45,"&lt;&gt;"&amp;"pB1 HL",$J45:$AX45,"&lt;&gt;"&amp;"pB2 HL")-SUM(COUNTIFS($J45:$AX45,"*HL B1*",$J45:$AX45,"&lt;&gt;"&amp;"pHL B1")*0.5,COUNTIFS($J45:$AX45,"*HL B2*",$J45:$AX45,"&lt;&gt;"&amp;"pHL B2")*0.5,COUNTIFS($J45:$AX45,"*B1 HL*",$J45:$AX45,"&lt;&gt;"&amp;"pB1 HL")*0.5,COUNTIFS($J45:$AX45,"*B2 HL*",$J45:$AX45,"&lt;&gt;"&amp;"pB2 HL")*0.5)))</f>
        <v/>
      </c>
      <c r="G45" s="142" t="str">
        <f t="shared" si="0"/>
        <v/>
      </c>
      <c r="H45" s="142" t="str">
        <f t="shared" si="1"/>
        <v/>
      </c>
      <c r="I45" s="142" t="str">
        <f>IF(Wed_W1[[#This Row],[Employee Name]]="","",IF(Wed_W1[[#This Row],[Dept]]="Supervisor",SUM(COUNTIFS($J45:$AX45,"RTA*",$J45:$AX45,"&lt;&gt;"&amp;"pRTA"),COUNTIFS($J45:$AX45,"*CRTA*",$J45:$AX45,"&lt;&gt;"&amp;"pCRTA")),COUNTIFS($J45:$AX45,"*RNNR*",$J45:$AX45,"&lt;&gt;"&amp;"*pRNNR*",$J45:$AX45,"&lt;&gt;"&amp;"pB1 RNNR",$J45:$AX45,"&lt;&gt;"&amp;"pB2 RNNR")-SUM(COUNTIFS($J45:$AX45,"*RNNR B1*",$J45:$AX45,"&lt;&gt;"&amp;"pRNNR B1")*0.5,COUNTIFS($J45:$AX45,"*RNNR B2*",$J45:$AX45,"&lt;&gt;"&amp;"pRNNR B2")*0.5,COUNTIFS($J45:$AX45,"*B1 RNNR*",$J45:$AX45,"&lt;&gt;"&amp;"pB1 RNNR")*0.5,COUNTIFS($J45:$AX45,"*B2 RNNR*",$J45:$AX45,"&lt;&gt;"&amp;"pB2 RNNR")*0.5)))</f>
        <v/>
      </c>
      <c r="J45" s="184" t="str">
        <f>IFERROR(IF(VLOOKUP(Wed_W1[[#This Row],[Employee Name]],'Base Schedules'!$A$205:$AW$241,9,FALSE)="","",VLOOKUP(Wed_W1[[#This Row],[Employee Name]],'Base Schedules'!$A$205:$AW$241,9,FALSE)),"")</f>
        <v/>
      </c>
      <c r="K45" s="184" t="str">
        <f>IFERROR(IF(VLOOKUP(Wed_W1[[#This Row],[Employee Name]],'Base Schedules'!$A$205:$AW$241,10,FALSE)="","",VLOOKUP(Wed_W1[[#This Row],[Employee Name]],'Base Schedules'!$A$205:$AW$241,10,FALSE)),"")</f>
        <v/>
      </c>
      <c r="L45" s="184" t="str">
        <f>IFERROR(IF(VLOOKUP(Wed_W1[[#This Row],[Employee Name]],'Base Schedules'!$A$205:$AW$241,11,FALSE)="","",VLOOKUP(Wed_W1[[#This Row],[Employee Name]],'Base Schedules'!$A$205:$AW$241,11,FALSE)),"")</f>
        <v/>
      </c>
      <c r="M45" s="184" t="str">
        <f>IFERROR(IF(VLOOKUP(Wed_W1[[#This Row],[Employee Name]],'Base Schedules'!$A$205:$AW$241,12,FALSE)="","",VLOOKUP(Wed_W1[[#This Row],[Employee Name]],'Base Schedules'!$A$205:$AW$241,12,FALSE)),"")</f>
        <v/>
      </c>
      <c r="N45" s="184" t="str">
        <f>IFERROR(IF(VLOOKUP(Wed_W1[[#This Row],[Employee Name]],'Base Schedules'!$A$205:$AW$241,13,FALSE)="","",VLOOKUP(Wed_W1[[#This Row],[Employee Name]],'Base Schedules'!$A$205:$AW$241,13,FALSE)),"")</f>
        <v/>
      </c>
      <c r="O45" s="184" t="str">
        <f>IFERROR(IF(VLOOKUP(Wed_W1[[#This Row],[Employee Name]],'Base Schedules'!$A$205:$AW$241,14,FALSE)="","",VLOOKUP(Wed_W1[[#This Row],[Employee Name]],'Base Schedules'!$A$205:$AW$241,14,FALSE)),"")</f>
        <v/>
      </c>
      <c r="P45" s="184" t="str">
        <f>IFERROR(IF(VLOOKUP(Wed_W1[[#This Row],[Employee Name]],'Base Schedules'!$A$205:$AW$241,15,FALSE)="","",VLOOKUP(Wed_W1[[#This Row],[Employee Name]],'Base Schedules'!$A$205:$AW$241,15,FALSE)),"")</f>
        <v/>
      </c>
      <c r="Q45" s="184" t="str">
        <f>IFERROR(IF(VLOOKUP(Wed_W1[[#This Row],[Employee Name]],'Base Schedules'!$A$205:$AW$241,16,FALSE)="","",VLOOKUP(Wed_W1[[#This Row],[Employee Name]],'Base Schedules'!$A$205:$AW$241,16,FALSE)),"")</f>
        <v/>
      </c>
      <c r="R45" s="184" t="str">
        <f>IFERROR(IF(VLOOKUP(Wed_W1[[#This Row],[Employee Name]],'Base Schedules'!$A$205:$AW$241,17,FALSE)="","",VLOOKUP(Wed_W1[[#This Row],[Employee Name]],'Base Schedules'!$A$205:$AW$241,17,FALSE)),"")</f>
        <v/>
      </c>
      <c r="S45" s="184" t="str">
        <f>IFERROR(IF(VLOOKUP(Wed_W1[[#This Row],[Employee Name]],'Base Schedules'!$A$205:$AW$241,18,FALSE)="","",VLOOKUP(Wed_W1[[#This Row],[Employee Name]],'Base Schedules'!$A$205:$AW$241,18,FALSE)),"")</f>
        <v/>
      </c>
      <c r="T45" s="184" t="str">
        <f>IFERROR(IF(VLOOKUP(Wed_W1[[#This Row],[Employee Name]],'Base Schedules'!$A$205:$AW$241,19,FALSE)="","",VLOOKUP(Wed_W1[[#This Row],[Employee Name]],'Base Schedules'!$A$205:$AW$241,19,FALSE)),"")</f>
        <v/>
      </c>
      <c r="U45" s="184" t="str">
        <f>IFERROR(IF(VLOOKUP(Wed_W1[[#This Row],[Employee Name]],'Base Schedules'!$A$205:$AW$241,20,FALSE)="","",VLOOKUP(Wed_W1[[#This Row],[Employee Name]],'Base Schedules'!$A$205:$AW$241,20,FALSE)),"")</f>
        <v/>
      </c>
      <c r="V45" s="184" t="str">
        <f>IFERROR(IF(VLOOKUP(Wed_W1[[#This Row],[Employee Name]],'Base Schedules'!$A$205:$AW$241,21,FALSE)="","",VLOOKUP(Wed_W1[[#This Row],[Employee Name]],'Base Schedules'!$A$205:$AW$241,21,FALSE)),"")</f>
        <v/>
      </c>
      <c r="W45" s="184" t="str">
        <f>IFERROR(IF(VLOOKUP(Wed_W1[[#This Row],[Employee Name]],'Base Schedules'!$A$205:$AW$241,22,FALSE)="","",VLOOKUP(Wed_W1[[#This Row],[Employee Name]],'Base Schedules'!$A$205:$AW$241,22,FALSE)),"")</f>
        <v/>
      </c>
      <c r="X45" s="184" t="str">
        <f>IFERROR(IF(VLOOKUP(Wed_W1[[#This Row],[Employee Name]],'Base Schedules'!$A$205:$AW$241,23,FALSE)="","",VLOOKUP(Wed_W1[[#This Row],[Employee Name]],'Base Schedules'!$A$205:$AW$241,23,FALSE)),"")</f>
        <v/>
      </c>
      <c r="Y45" s="184" t="str">
        <f>IFERROR(IF(VLOOKUP(Wed_W1[[#This Row],[Employee Name]],'Base Schedules'!$A$205:$AW$241,24,FALSE)="","",VLOOKUP(Wed_W1[[#This Row],[Employee Name]],'Base Schedules'!$A$205:$AW$241,24,FALSE)),"")</f>
        <v/>
      </c>
      <c r="Z45" s="184" t="str">
        <f>IFERROR(IF(VLOOKUP(Wed_W1[[#This Row],[Employee Name]],'Base Schedules'!$A$205:$AW$241,25,FALSE)="","",VLOOKUP(Wed_W1[[#This Row],[Employee Name]],'Base Schedules'!$A$205:$AW$241,25,FALSE)),"")</f>
        <v/>
      </c>
      <c r="AA45" s="184" t="str">
        <f>IFERROR(IF(VLOOKUP(Wed_W1[[#This Row],[Employee Name]],'Base Schedules'!$A$205:$AW$241,26,FALSE)="","",VLOOKUP(Wed_W1[[#This Row],[Employee Name]],'Base Schedules'!$A$205:$AW$241,26,FALSE)),"")</f>
        <v/>
      </c>
      <c r="AB45" s="184" t="str">
        <f>IFERROR(IF(VLOOKUP(Wed_W1[[#This Row],[Employee Name]],'Base Schedules'!$A$205:$AW$241,27,FALSE)="","",VLOOKUP(Wed_W1[[#This Row],[Employee Name]],'Base Schedules'!$A$205:$AW$241,27,FALSE)),"")</f>
        <v/>
      </c>
      <c r="AC45" s="184" t="str">
        <f>IFERROR(IF(VLOOKUP(Wed_W1[[#This Row],[Employee Name]],'Base Schedules'!$A$205:$AW$241,28,FALSE)="","",VLOOKUP(Wed_W1[[#This Row],[Employee Name]],'Base Schedules'!$A$205:$AW$241,28,FALSE)),"")</f>
        <v/>
      </c>
      <c r="AD45" s="184" t="str">
        <f>IFERROR(IF(VLOOKUP(Wed_W1[[#This Row],[Employee Name]],'Base Schedules'!$A$205:$AW$241,29,FALSE)="","",VLOOKUP(Wed_W1[[#This Row],[Employee Name]],'Base Schedules'!$A$205:$AW$241,29,FALSE)),"")</f>
        <v/>
      </c>
      <c r="AE45" s="184" t="str">
        <f>IFERROR(IF(VLOOKUP(Wed_W1[[#This Row],[Employee Name]],'Base Schedules'!$A$205:$AW$241,30,FALSE)="","",VLOOKUP(Wed_W1[[#This Row],[Employee Name]],'Base Schedules'!$A$205:$AW$241,30,FALSE)),"")</f>
        <v/>
      </c>
      <c r="AF45" s="184" t="str">
        <f>IFERROR(IF(VLOOKUP(Wed_W1[[#This Row],[Employee Name]],'Base Schedules'!$A$205:$AW$241,31,FALSE)="","",VLOOKUP(Wed_W1[[#This Row],[Employee Name]],'Base Schedules'!$A$205:$AW$241,31,FALSE)),"")</f>
        <v/>
      </c>
      <c r="AG45" s="184" t="str">
        <f>IFERROR(IF(VLOOKUP(Wed_W1[[#This Row],[Employee Name]],'Base Schedules'!$A$205:$AW$241,32,FALSE)="","",VLOOKUP(Wed_W1[[#This Row],[Employee Name]],'Base Schedules'!$A$205:$AW$241,32,FALSE)),"")</f>
        <v/>
      </c>
      <c r="AH45" s="184" t="str">
        <f>IFERROR(IF(VLOOKUP(Wed_W1[[#This Row],[Employee Name]],'Base Schedules'!$A$205:$AW$241,33,FALSE)="","",VLOOKUP(Wed_W1[[#This Row],[Employee Name]],'Base Schedules'!$A$205:$AW$241,33,FALSE)),"")</f>
        <v/>
      </c>
      <c r="AI45" s="184" t="str">
        <f>IFERROR(IF(VLOOKUP(Wed_W1[[#This Row],[Employee Name]],'Base Schedules'!$A$205:$AW$241,34,FALSE)="","",VLOOKUP(Wed_W1[[#This Row],[Employee Name]],'Base Schedules'!$A$205:$AW$241,34,FALSE)),"")</f>
        <v/>
      </c>
      <c r="AJ45" s="184" t="str">
        <f>IFERROR(IF(VLOOKUP(Wed_W1[[#This Row],[Employee Name]],'Base Schedules'!$A$205:$AW$241,35,FALSE)="","",VLOOKUP(Wed_W1[[#This Row],[Employee Name]],'Base Schedules'!$A$205:$AW$241,35,FALSE)),"")</f>
        <v/>
      </c>
      <c r="AK45" s="184" t="str">
        <f>IFERROR(IF(VLOOKUP(Wed_W1[[#This Row],[Employee Name]],'Base Schedules'!$A$205:$AW$241,36,FALSE)="","",VLOOKUP(Wed_W1[[#This Row],[Employee Name]],'Base Schedules'!$A$205:$AW$241,36,FALSE)),"")</f>
        <v/>
      </c>
      <c r="AL45" s="184" t="str">
        <f>IFERROR(IF(VLOOKUP(Wed_W1[[#This Row],[Employee Name]],'Base Schedules'!$A$205:$AW$241,37,FALSE)="","",VLOOKUP(Wed_W1[[#This Row],[Employee Name]],'Base Schedules'!$A$205:$AW$241,37,FALSE)),"")</f>
        <v/>
      </c>
      <c r="AM45" s="184" t="str">
        <f>IFERROR(IF(VLOOKUP(Wed_W1[[#This Row],[Employee Name]],'Base Schedules'!$A$205:$AW$241,38,FALSE)="","",VLOOKUP(Wed_W1[[#This Row],[Employee Name]],'Base Schedules'!$A$205:$AW$241,38,FALSE)),"")</f>
        <v/>
      </c>
      <c r="AN45" s="184" t="str">
        <f>IFERROR(IF(VLOOKUP(Wed_W1[[#This Row],[Employee Name]],'Base Schedules'!$A$205:$AW$241,39,FALSE)="","",VLOOKUP(Wed_W1[[#This Row],[Employee Name]],'Base Schedules'!$A$205:$AW$241,39,FALSE)),"")</f>
        <v/>
      </c>
      <c r="AO45" s="184" t="str">
        <f>IFERROR(IF(VLOOKUP(Wed_W1[[#This Row],[Employee Name]],'Base Schedules'!$A$205:$AW$241,40,FALSE)="","",VLOOKUP(Wed_W1[[#This Row],[Employee Name]],'Base Schedules'!$A$205:$AW$241,40,FALSE)),"")</f>
        <v/>
      </c>
      <c r="AP45" s="184" t="str">
        <f>IFERROR(IF(VLOOKUP(Wed_W1[[#This Row],[Employee Name]],'Base Schedules'!$A$205:$AW$241,41,FALSE)="","",VLOOKUP(Wed_W1[[#This Row],[Employee Name]],'Base Schedules'!$A$205:$AW$241,41,FALSE)),"")</f>
        <v/>
      </c>
      <c r="AQ45" s="184" t="str">
        <f>IFERROR(IF(VLOOKUP(Wed_W1[[#This Row],[Employee Name]],'Base Schedules'!$A$205:$AW$241,42,FALSE)="","",VLOOKUP(Wed_W1[[#This Row],[Employee Name]],'Base Schedules'!$A$205:$AW$241,42,FALSE)),"")</f>
        <v/>
      </c>
      <c r="AR45" s="184" t="str">
        <f>IFERROR(IF(VLOOKUP(Wed_W1[[#This Row],[Employee Name]],'Base Schedules'!$A$205:$AW$241,43,FALSE)="","",VLOOKUP(Wed_W1[[#This Row],[Employee Name]],'Base Schedules'!$A$205:$AW$241,43,FALSE)),"")</f>
        <v/>
      </c>
      <c r="AS45" s="184" t="str">
        <f>IFERROR(IF(VLOOKUP(Wed_W1[[#This Row],[Employee Name]],'Base Schedules'!$A$205:$AW$241,44,FALSE)="","",VLOOKUP(Wed_W1[[#This Row],[Employee Name]],'Base Schedules'!$A$205:$AW$241,44,FALSE)),"")</f>
        <v/>
      </c>
      <c r="AT45" s="184" t="str">
        <f>IFERROR(IF(VLOOKUP(Wed_W1[[#This Row],[Employee Name]],'Base Schedules'!$A$205:$AW$241,45,FALSE)="","",VLOOKUP(Wed_W1[[#This Row],[Employee Name]],'Base Schedules'!$A$205:$AW$241,45,FALSE)),"")</f>
        <v/>
      </c>
      <c r="AU45" s="184" t="str">
        <f>IFERROR(IF(VLOOKUP(Wed_W1[[#This Row],[Employee Name]],'Base Schedules'!$A$205:$AW$241,46,FALSE)="","",VLOOKUP(Wed_W1[[#This Row],[Employee Name]],'Base Schedules'!$A$205:$AW$241,46,FALSE)),"")</f>
        <v/>
      </c>
      <c r="AV45" s="184" t="str">
        <f>IFERROR(IF(VLOOKUP(Wed_W1[[#This Row],[Employee Name]],'Base Schedules'!$A$205:$AW$241,47,FALSE)="","",VLOOKUP(Wed_W1[[#This Row],[Employee Name]],'Base Schedules'!$A$205:$AW$241,47,FALSE)),"")</f>
        <v/>
      </c>
      <c r="AW45" s="184" t="str">
        <f>IFERROR(IF(VLOOKUP(Wed_W1[[#This Row],[Employee Name]],'Base Schedules'!$A$205:$AW$241,48,FALSE)="","",VLOOKUP(Wed_W1[[#This Row],[Employee Name]],'Base Schedules'!$A$205:$AW$241,48,FALSE)),"")</f>
        <v/>
      </c>
      <c r="AX45" s="184" t="str">
        <f>IFERROR(IF(VLOOKUP(Wed_W1[[#This Row],[Employee Name]],'Base Schedules'!$A$205:$AW$241,49,FALSE)="","",VLOOKUP(Wed_W1[[#This Row],[Employee Name]],'Base Schedules'!$A$205:$AW$241,49,FALSE)),"")</f>
        <v/>
      </c>
      <c r="AY45" s="164" t="str">
        <f t="shared" si="2"/>
        <v/>
      </c>
    </row>
    <row r="46" spans="1:51" s="44" customFormat="1" hidden="1" thickBot="1" x14ac:dyDescent="0.25">
      <c r="A46" s="39" t="str">
        <f>IF(B46="","",INDEX(TeamList[],MATCH($B46,TeamList[[Employee Name]:[Employee Name]],0),MATCH("Manager",TeamList[#Headers],0)))</f>
        <v/>
      </c>
      <c r="B46" s="201"/>
      <c r="C46" s="257" t="str">
        <f>_xlfn.IFNA(VLOOKUP(Wed_W1[[#This Row],[Employee Name]],'Base Schedules'!A:B,2,FALSE),"")</f>
        <v/>
      </c>
      <c r="D46" s="274" t="str">
        <f>_xlfn.IFNA(VLOOKUP(Wed_W1[[#This Row],[Employee Name]],'Base Schedules'!A:C,3,FALSE),"")</f>
        <v/>
      </c>
      <c r="E46" s="274" t="str">
        <f>_xlfn.IFNA(VLOOKUP(Wed_W1[[#This Row],[Employee Name]],'Base Schedules'!A:D,4,FALSE),"")</f>
        <v/>
      </c>
      <c r="F46" s="142" t="str">
        <f>IF(Wed_W1[[#This Row],[Employee Name]]="","",IF(Wed_W1[[#This Row],[Dept]]="Supervisor",COUNTIFS($J46:$AX46,"*HL*",$J46:$AX46,"&lt;&gt;"&amp;"pHL"),COUNTIFS($J46:$AX46,"*HL*",$J46:$AX46,"&lt;&gt;"&amp;"*pHL*",$J46:$AX46,"&lt;&gt;"&amp;"pB1 HL",$J46:$AX46,"&lt;&gt;"&amp;"pB2 HL")-SUM(COUNTIFS($J46:$AX46,"*HL B1*",$J46:$AX46,"&lt;&gt;"&amp;"pHL B1")*0.5,COUNTIFS($J46:$AX46,"*HL B2*",$J46:$AX46,"&lt;&gt;"&amp;"pHL B2")*0.5,COUNTIFS($J46:$AX46,"*B1 HL*",$J46:$AX46,"&lt;&gt;"&amp;"pB1 HL")*0.5,COUNTIFS($J46:$AX46,"*B2 HL*",$J46:$AX46,"&lt;&gt;"&amp;"pB2 HL")*0.5)))</f>
        <v/>
      </c>
      <c r="G46" s="142" t="str">
        <f t="shared" si="0"/>
        <v/>
      </c>
      <c r="H46" s="142" t="str">
        <f t="shared" si="1"/>
        <v/>
      </c>
      <c r="I46" s="142" t="str">
        <f>IF(Wed_W1[[#This Row],[Employee Name]]="","",IF(Wed_W1[[#This Row],[Dept]]="Supervisor",SUM(COUNTIFS($J46:$AX46,"RTA*",$J46:$AX46,"&lt;&gt;"&amp;"pRTA"),COUNTIFS($J46:$AX46,"*CRTA*",$J46:$AX46,"&lt;&gt;"&amp;"pCRTA")),COUNTIFS($J46:$AX46,"*RNNR*",$J46:$AX46,"&lt;&gt;"&amp;"*pRNNR*",$J46:$AX46,"&lt;&gt;"&amp;"pB1 RNNR",$J46:$AX46,"&lt;&gt;"&amp;"pB2 RNNR")-SUM(COUNTIFS($J46:$AX46,"*RNNR B1*",$J46:$AX46,"&lt;&gt;"&amp;"pRNNR B1")*0.5,COUNTIFS($J46:$AX46,"*RNNR B2*",$J46:$AX46,"&lt;&gt;"&amp;"pRNNR B2")*0.5,COUNTIFS($J46:$AX46,"*B1 RNNR*",$J46:$AX46,"&lt;&gt;"&amp;"pB1 RNNR")*0.5,COUNTIFS($J46:$AX46,"*B2 RNNR*",$J46:$AX46,"&lt;&gt;"&amp;"pB2 RNNR")*0.5)))</f>
        <v/>
      </c>
      <c r="J46" s="184" t="str">
        <f>IFERROR(IF(VLOOKUP(Wed_W1[[#This Row],[Employee Name]],'Base Schedules'!$A$205:$AW$241,9,FALSE)="","",VLOOKUP(Wed_W1[[#This Row],[Employee Name]],'Base Schedules'!$A$205:$AW$241,9,FALSE)),"")</f>
        <v/>
      </c>
      <c r="K46" s="184" t="str">
        <f>IFERROR(IF(VLOOKUP(Wed_W1[[#This Row],[Employee Name]],'Base Schedules'!$A$205:$AW$241,10,FALSE)="","",VLOOKUP(Wed_W1[[#This Row],[Employee Name]],'Base Schedules'!$A$205:$AW$241,10,FALSE)),"")</f>
        <v/>
      </c>
      <c r="L46" s="184" t="str">
        <f>IFERROR(IF(VLOOKUP(Wed_W1[[#This Row],[Employee Name]],'Base Schedules'!$A$205:$AW$241,11,FALSE)="","",VLOOKUP(Wed_W1[[#This Row],[Employee Name]],'Base Schedules'!$A$205:$AW$241,11,FALSE)),"")</f>
        <v/>
      </c>
      <c r="M46" s="184" t="str">
        <f>IFERROR(IF(VLOOKUP(Wed_W1[[#This Row],[Employee Name]],'Base Schedules'!$A$205:$AW$241,12,FALSE)="","",VLOOKUP(Wed_W1[[#This Row],[Employee Name]],'Base Schedules'!$A$205:$AW$241,12,FALSE)),"")</f>
        <v/>
      </c>
      <c r="N46" s="184" t="str">
        <f>IFERROR(IF(VLOOKUP(Wed_W1[[#This Row],[Employee Name]],'Base Schedules'!$A$205:$AW$241,13,FALSE)="","",VLOOKUP(Wed_W1[[#This Row],[Employee Name]],'Base Schedules'!$A$205:$AW$241,13,FALSE)),"")</f>
        <v/>
      </c>
      <c r="O46" s="184" t="str">
        <f>IFERROR(IF(VLOOKUP(Wed_W1[[#This Row],[Employee Name]],'Base Schedules'!$A$205:$AW$241,14,FALSE)="","",VLOOKUP(Wed_W1[[#This Row],[Employee Name]],'Base Schedules'!$A$205:$AW$241,14,FALSE)),"")</f>
        <v/>
      </c>
      <c r="P46" s="184" t="str">
        <f>IFERROR(IF(VLOOKUP(Wed_W1[[#This Row],[Employee Name]],'Base Schedules'!$A$205:$AW$241,15,FALSE)="","",VLOOKUP(Wed_W1[[#This Row],[Employee Name]],'Base Schedules'!$A$205:$AW$241,15,FALSE)),"")</f>
        <v/>
      </c>
      <c r="Q46" s="184" t="str">
        <f>IFERROR(IF(VLOOKUP(Wed_W1[[#This Row],[Employee Name]],'Base Schedules'!$A$205:$AW$241,16,FALSE)="","",VLOOKUP(Wed_W1[[#This Row],[Employee Name]],'Base Schedules'!$A$205:$AW$241,16,FALSE)),"")</f>
        <v/>
      </c>
      <c r="R46" s="184" t="str">
        <f>IFERROR(IF(VLOOKUP(Wed_W1[[#This Row],[Employee Name]],'Base Schedules'!$A$205:$AW$241,17,FALSE)="","",VLOOKUP(Wed_W1[[#This Row],[Employee Name]],'Base Schedules'!$A$205:$AW$241,17,FALSE)),"")</f>
        <v/>
      </c>
      <c r="S46" s="184" t="str">
        <f>IFERROR(IF(VLOOKUP(Wed_W1[[#This Row],[Employee Name]],'Base Schedules'!$A$205:$AW$241,18,FALSE)="","",VLOOKUP(Wed_W1[[#This Row],[Employee Name]],'Base Schedules'!$A$205:$AW$241,18,FALSE)),"")</f>
        <v/>
      </c>
      <c r="T46" s="184" t="str">
        <f>IFERROR(IF(VLOOKUP(Wed_W1[[#This Row],[Employee Name]],'Base Schedules'!$A$205:$AW$241,19,FALSE)="","",VLOOKUP(Wed_W1[[#This Row],[Employee Name]],'Base Schedules'!$A$205:$AW$241,19,FALSE)),"")</f>
        <v/>
      </c>
      <c r="U46" s="184" t="str">
        <f>IFERROR(IF(VLOOKUP(Wed_W1[[#This Row],[Employee Name]],'Base Schedules'!$A$205:$AW$241,20,FALSE)="","",VLOOKUP(Wed_W1[[#This Row],[Employee Name]],'Base Schedules'!$A$205:$AW$241,20,FALSE)),"")</f>
        <v/>
      </c>
      <c r="V46" s="184" t="str">
        <f>IFERROR(IF(VLOOKUP(Wed_W1[[#This Row],[Employee Name]],'Base Schedules'!$A$205:$AW$241,21,FALSE)="","",VLOOKUP(Wed_W1[[#This Row],[Employee Name]],'Base Schedules'!$A$205:$AW$241,21,FALSE)),"")</f>
        <v/>
      </c>
      <c r="W46" s="184" t="str">
        <f>IFERROR(IF(VLOOKUP(Wed_W1[[#This Row],[Employee Name]],'Base Schedules'!$A$205:$AW$241,22,FALSE)="","",VLOOKUP(Wed_W1[[#This Row],[Employee Name]],'Base Schedules'!$A$205:$AW$241,22,FALSE)),"")</f>
        <v/>
      </c>
      <c r="X46" s="184" t="str">
        <f>IFERROR(IF(VLOOKUP(Wed_W1[[#This Row],[Employee Name]],'Base Schedules'!$A$205:$AW$241,23,FALSE)="","",VLOOKUP(Wed_W1[[#This Row],[Employee Name]],'Base Schedules'!$A$205:$AW$241,23,FALSE)),"")</f>
        <v/>
      </c>
      <c r="Y46" s="184" t="str">
        <f>IFERROR(IF(VLOOKUP(Wed_W1[[#This Row],[Employee Name]],'Base Schedules'!$A$205:$AW$241,24,FALSE)="","",VLOOKUP(Wed_W1[[#This Row],[Employee Name]],'Base Schedules'!$A$205:$AW$241,24,FALSE)),"")</f>
        <v/>
      </c>
      <c r="Z46" s="184" t="str">
        <f>IFERROR(IF(VLOOKUP(Wed_W1[[#This Row],[Employee Name]],'Base Schedules'!$A$205:$AW$241,25,FALSE)="","",VLOOKUP(Wed_W1[[#This Row],[Employee Name]],'Base Schedules'!$A$205:$AW$241,25,FALSE)),"")</f>
        <v/>
      </c>
      <c r="AA46" s="184" t="str">
        <f>IFERROR(IF(VLOOKUP(Wed_W1[[#This Row],[Employee Name]],'Base Schedules'!$A$205:$AW$241,26,FALSE)="","",VLOOKUP(Wed_W1[[#This Row],[Employee Name]],'Base Schedules'!$A$205:$AW$241,26,FALSE)),"")</f>
        <v/>
      </c>
      <c r="AB46" s="184" t="str">
        <f>IFERROR(IF(VLOOKUP(Wed_W1[[#This Row],[Employee Name]],'Base Schedules'!$A$205:$AW$241,27,FALSE)="","",VLOOKUP(Wed_W1[[#This Row],[Employee Name]],'Base Schedules'!$A$205:$AW$241,27,FALSE)),"")</f>
        <v/>
      </c>
      <c r="AC46" s="184" t="str">
        <f>IFERROR(IF(VLOOKUP(Wed_W1[[#This Row],[Employee Name]],'Base Schedules'!$A$205:$AW$241,28,FALSE)="","",VLOOKUP(Wed_W1[[#This Row],[Employee Name]],'Base Schedules'!$A$205:$AW$241,28,FALSE)),"")</f>
        <v/>
      </c>
      <c r="AD46" s="184" t="str">
        <f>IFERROR(IF(VLOOKUP(Wed_W1[[#This Row],[Employee Name]],'Base Schedules'!$A$205:$AW$241,29,FALSE)="","",VLOOKUP(Wed_W1[[#This Row],[Employee Name]],'Base Schedules'!$A$205:$AW$241,29,FALSE)),"")</f>
        <v/>
      </c>
      <c r="AE46" s="184" t="str">
        <f>IFERROR(IF(VLOOKUP(Wed_W1[[#This Row],[Employee Name]],'Base Schedules'!$A$205:$AW$241,30,FALSE)="","",VLOOKUP(Wed_W1[[#This Row],[Employee Name]],'Base Schedules'!$A$205:$AW$241,30,FALSE)),"")</f>
        <v/>
      </c>
      <c r="AF46" s="184" t="str">
        <f>IFERROR(IF(VLOOKUP(Wed_W1[[#This Row],[Employee Name]],'Base Schedules'!$A$205:$AW$241,31,FALSE)="","",VLOOKUP(Wed_W1[[#This Row],[Employee Name]],'Base Schedules'!$A$205:$AW$241,31,FALSE)),"")</f>
        <v/>
      </c>
      <c r="AG46" s="184" t="str">
        <f>IFERROR(IF(VLOOKUP(Wed_W1[[#This Row],[Employee Name]],'Base Schedules'!$A$205:$AW$241,32,FALSE)="","",VLOOKUP(Wed_W1[[#This Row],[Employee Name]],'Base Schedules'!$A$205:$AW$241,32,FALSE)),"")</f>
        <v/>
      </c>
      <c r="AH46" s="184" t="str">
        <f>IFERROR(IF(VLOOKUP(Wed_W1[[#This Row],[Employee Name]],'Base Schedules'!$A$205:$AW$241,33,FALSE)="","",VLOOKUP(Wed_W1[[#This Row],[Employee Name]],'Base Schedules'!$A$205:$AW$241,33,FALSE)),"")</f>
        <v/>
      </c>
      <c r="AI46" s="184" t="str">
        <f>IFERROR(IF(VLOOKUP(Wed_W1[[#This Row],[Employee Name]],'Base Schedules'!$A$205:$AW$241,34,FALSE)="","",VLOOKUP(Wed_W1[[#This Row],[Employee Name]],'Base Schedules'!$A$205:$AW$241,34,FALSE)),"")</f>
        <v/>
      </c>
      <c r="AJ46" s="184" t="str">
        <f>IFERROR(IF(VLOOKUP(Wed_W1[[#This Row],[Employee Name]],'Base Schedules'!$A$205:$AW$241,35,FALSE)="","",VLOOKUP(Wed_W1[[#This Row],[Employee Name]],'Base Schedules'!$A$205:$AW$241,35,FALSE)),"")</f>
        <v/>
      </c>
      <c r="AK46" s="184" t="str">
        <f>IFERROR(IF(VLOOKUP(Wed_W1[[#This Row],[Employee Name]],'Base Schedules'!$A$205:$AW$241,36,FALSE)="","",VLOOKUP(Wed_W1[[#This Row],[Employee Name]],'Base Schedules'!$A$205:$AW$241,36,FALSE)),"")</f>
        <v/>
      </c>
      <c r="AL46" s="184" t="str">
        <f>IFERROR(IF(VLOOKUP(Wed_W1[[#This Row],[Employee Name]],'Base Schedules'!$A$205:$AW$241,37,FALSE)="","",VLOOKUP(Wed_W1[[#This Row],[Employee Name]],'Base Schedules'!$A$205:$AW$241,37,FALSE)),"")</f>
        <v/>
      </c>
      <c r="AM46" s="184" t="str">
        <f>IFERROR(IF(VLOOKUP(Wed_W1[[#This Row],[Employee Name]],'Base Schedules'!$A$205:$AW$241,38,FALSE)="","",VLOOKUP(Wed_W1[[#This Row],[Employee Name]],'Base Schedules'!$A$205:$AW$241,38,FALSE)),"")</f>
        <v/>
      </c>
      <c r="AN46" s="184" t="str">
        <f>IFERROR(IF(VLOOKUP(Wed_W1[[#This Row],[Employee Name]],'Base Schedules'!$A$205:$AW$241,39,FALSE)="","",VLOOKUP(Wed_W1[[#This Row],[Employee Name]],'Base Schedules'!$A$205:$AW$241,39,FALSE)),"")</f>
        <v/>
      </c>
      <c r="AO46" s="184" t="str">
        <f>IFERROR(IF(VLOOKUP(Wed_W1[[#This Row],[Employee Name]],'Base Schedules'!$A$205:$AW$241,40,FALSE)="","",VLOOKUP(Wed_W1[[#This Row],[Employee Name]],'Base Schedules'!$A$205:$AW$241,40,FALSE)),"")</f>
        <v/>
      </c>
      <c r="AP46" s="184" t="str">
        <f>IFERROR(IF(VLOOKUP(Wed_W1[[#This Row],[Employee Name]],'Base Schedules'!$A$205:$AW$241,41,FALSE)="","",VLOOKUP(Wed_W1[[#This Row],[Employee Name]],'Base Schedules'!$A$205:$AW$241,41,FALSE)),"")</f>
        <v/>
      </c>
      <c r="AQ46" s="184" t="str">
        <f>IFERROR(IF(VLOOKUP(Wed_W1[[#This Row],[Employee Name]],'Base Schedules'!$A$205:$AW$241,42,FALSE)="","",VLOOKUP(Wed_W1[[#This Row],[Employee Name]],'Base Schedules'!$A$205:$AW$241,42,FALSE)),"")</f>
        <v/>
      </c>
      <c r="AR46" s="184" t="str">
        <f>IFERROR(IF(VLOOKUP(Wed_W1[[#This Row],[Employee Name]],'Base Schedules'!$A$205:$AW$241,43,FALSE)="","",VLOOKUP(Wed_W1[[#This Row],[Employee Name]],'Base Schedules'!$A$205:$AW$241,43,FALSE)),"")</f>
        <v/>
      </c>
      <c r="AS46" s="184" t="str">
        <f>IFERROR(IF(VLOOKUP(Wed_W1[[#This Row],[Employee Name]],'Base Schedules'!$A$205:$AW$241,44,FALSE)="","",VLOOKUP(Wed_W1[[#This Row],[Employee Name]],'Base Schedules'!$A$205:$AW$241,44,FALSE)),"")</f>
        <v/>
      </c>
      <c r="AT46" s="184" t="str">
        <f>IFERROR(IF(VLOOKUP(Wed_W1[[#This Row],[Employee Name]],'Base Schedules'!$A$205:$AW$241,45,FALSE)="","",VLOOKUP(Wed_W1[[#This Row],[Employee Name]],'Base Schedules'!$A$205:$AW$241,45,FALSE)),"")</f>
        <v/>
      </c>
      <c r="AU46" s="184" t="str">
        <f>IFERROR(IF(VLOOKUP(Wed_W1[[#This Row],[Employee Name]],'Base Schedules'!$A$205:$AW$241,46,FALSE)="","",VLOOKUP(Wed_W1[[#This Row],[Employee Name]],'Base Schedules'!$A$205:$AW$241,46,FALSE)),"")</f>
        <v/>
      </c>
      <c r="AV46" s="184" t="str">
        <f>IFERROR(IF(VLOOKUP(Wed_W1[[#This Row],[Employee Name]],'Base Schedules'!$A$205:$AW$241,47,FALSE)="","",VLOOKUP(Wed_W1[[#This Row],[Employee Name]],'Base Schedules'!$A$205:$AW$241,47,FALSE)),"")</f>
        <v/>
      </c>
      <c r="AW46" s="184" t="str">
        <f>IFERROR(IF(VLOOKUP(Wed_W1[[#This Row],[Employee Name]],'Base Schedules'!$A$205:$AW$241,48,FALSE)="","",VLOOKUP(Wed_W1[[#This Row],[Employee Name]],'Base Schedules'!$A$205:$AW$241,48,FALSE)),"")</f>
        <v/>
      </c>
      <c r="AX46" s="184" t="str">
        <f>IFERROR(IF(VLOOKUP(Wed_W1[[#This Row],[Employee Name]],'Base Schedules'!$A$205:$AW$241,49,FALSE)="","",VLOOKUP(Wed_W1[[#This Row],[Employee Name]],'Base Schedules'!$A$205:$AW$241,49,FALSE)),"")</f>
        <v/>
      </c>
      <c r="AY46" s="164" t="str">
        <f t="shared" si="2"/>
        <v/>
      </c>
    </row>
    <row r="47" spans="1:51" s="44" customFormat="1" hidden="1" thickBot="1" x14ac:dyDescent="0.25">
      <c r="A47" s="39" t="str">
        <f>IF(B47="","",INDEX(TeamList[],MATCH($B47,TeamList[[Employee Name]:[Employee Name]],0),MATCH("Manager",TeamList[#Headers],0)))</f>
        <v/>
      </c>
      <c r="B47" s="201"/>
      <c r="C47" s="257" t="str">
        <f>_xlfn.IFNA(VLOOKUP(Wed_W1[[#This Row],[Employee Name]],'Base Schedules'!A:B,2,FALSE),"")</f>
        <v/>
      </c>
      <c r="D47" s="274" t="str">
        <f>_xlfn.IFNA(VLOOKUP(Wed_W1[[#This Row],[Employee Name]],'Base Schedules'!A:C,3,FALSE),"")</f>
        <v/>
      </c>
      <c r="E47" s="274" t="str">
        <f>_xlfn.IFNA(VLOOKUP(Wed_W1[[#This Row],[Employee Name]],'Base Schedules'!A:D,4,FALSE),"")</f>
        <v/>
      </c>
      <c r="F47" s="142" t="str">
        <f>IF(Wed_W1[[#This Row],[Employee Name]]="","",IF(Wed_W1[[#This Row],[Dept]]="Supervisor",COUNTIFS($J47:$AX47,"*HL*",$J47:$AX47,"&lt;&gt;"&amp;"pHL"),COUNTIFS($J47:$AX47,"*HL*",$J47:$AX47,"&lt;&gt;"&amp;"*pHL*",$J47:$AX47,"&lt;&gt;"&amp;"pB1 HL",$J47:$AX47,"&lt;&gt;"&amp;"pB2 HL")-SUM(COUNTIFS($J47:$AX47,"*HL B1*",$J47:$AX47,"&lt;&gt;"&amp;"pHL B1")*0.5,COUNTIFS($J47:$AX47,"*HL B2*",$J47:$AX47,"&lt;&gt;"&amp;"pHL B2")*0.5,COUNTIFS($J47:$AX47,"*B1 HL*",$J47:$AX47,"&lt;&gt;"&amp;"pB1 HL")*0.5,COUNTIFS($J47:$AX47,"*B2 HL*",$J47:$AX47,"&lt;&gt;"&amp;"pB2 HL")*0.5)))</f>
        <v/>
      </c>
      <c r="G47" s="142" t="str">
        <f t="shared" si="0"/>
        <v/>
      </c>
      <c r="H47" s="142" t="str">
        <f t="shared" si="1"/>
        <v/>
      </c>
      <c r="I47" s="142" t="str">
        <f>IF(Wed_W1[[#This Row],[Employee Name]]="","",IF(Wed_W1[[#This Row],[Dept]]="Supervisor",SUM(COUNTIFS($J47:$AX47,"RTA*",$J47:$AX47,"&lt;&gt;"&amp;"pRTA"),COUNTIFS($J47:$AX47,"*CRTA*",$J47:$AX47,"&lt;&gt;"&amp;"pCRTA")),COUNTIFS($J47:$AX47,"*RNNR*",$J47:$AX47,"&lt;&gt;"&amp;"*pRNNR*",$J47:$AX47,"&lt;&gt;"&amp;"pB1 RNNR",$J47:$AX47,"&lt;&gt;"&amp;"pB2 RNNR")-SUM(COUNTIFS($J47:$AX47,"*RNNR B1*",$J47:$AX47,"&lt;&gt;"&amp;"pRNNR B1")*0.5,COUNTIFS($J47:$AX47,"*RNNR B2*",$J47:$AX47,"&lt;&gt;"&amp;"pRNNR B2")*0.5,COUNTIFS($J47:$AX47,"*B1 RNNR*",$J47:$AX47,"&lt;&gt;"&amp;"pB1 RNNR")*0.5,COUNTIFS($J47:$AX47,"*B2 RNNR*",$J47:$AX47,"&lt;&gt;"&amp;"pB2 RNNR")*0.5)))</f>
        <v/>
      </c>
      <c r="J47" s="184" t="str">
        <f>IFERROR(IF(VLOOKUP(Wed_W1[[#This Row],[Employee Name]],'Base Schedules'!$A$205:$AW$241,9,FALSE)="","",VLOOKUP(Wed_W1[[#This Row],[Employee Name]],'Base Schedules'!$A$205:$AW$241,9,FALSE)),"")</f>
        <v/>
      </c>
      <c r="K47" s="184" t="str">
        <f>IFERROR(IF(VLOOKUP(Wed_W1[[#This Row],[Employee Name]],'Base Schedules'!$A$205:$AW$241,10,FALSE)="","",VLOOKUP(Wed_W1[[#This Row],[Employee Name]],'Base Schedules'!$A$205:$AW$241,10,FALSE)),"")</f>
        <v/>
      </c>
      <c r="L47" s="184" t="str">
        <f>IFERROR(IF(VLOOKUP(Wed_W1[[#This Row],[Employee Name]],'Base Schedules'!$A$205:$AW$241,11,FALSE)="","",VLOOKUP(Wed_W1[[#This Row],[Employee Name]],'Base Schedules'!$A$205:$AW$241,11,FALSE)),"")</f>
        <v/>
      </c>
      <c r="M47" s="184" t="str">
        <f>IFERROR(IF(VLOOKUP(Wed_W1[[#This Row],[Employee Name]],'Base Schedules'!$A$205:$AW$241,12,FALSE)="","",VLOOKUP(Wed_W1[[#This Row],[Employee Name]],'Base Schedules'!$A$205:$AW$241,12,FALSE)),"")</f>
        <v/>
      </c>
      <c r="N47" s="184" t="str">
        <f>IFERROR(IF(VLOOKUP(Wed_W1[[#This Row],[Employee Name]],'Base Schedules'!$A$205:$AW$241,13,FALSE)="","",VLOOKUP(Wed_W1[[#This Row],[Employee Name]],'Base Schedules'!$A$205:$AW$241,13,FALSE)),"")</f>
        <v/>
      </c>
      <c r="O47" s="184" t="str">
        <f>IFERROR(IF(VLOOKUP(Wed_W1[[#This Row],[Employee Name]],'Base Schedules'!$A$205:$AW$241,14,FALSE)="","",VLOOKUP(Wed_W1[[#This Row],[Employee Name]],'Base Schedules'!$A$205:$AW$241,14,FALSE)),"")</f>
        <v/>
      </c>
      <c r="P47" s="184" t="str">
        <f>IFERROR(IF(VLOOKUP(Wed_W1[[#This Row],[Employee Name]],'Base Schedules'!$A$205:$AW$241,15,FALSE)="","",VLOOKUP(Wed_W1[[#This Row],[Employee Name]],'Base Schedules'!$A$205:$AW$241,15,FALSE)),"")</f>
        <v/>
      </c>
      <c r="Q47" s="184" t="str">
        <f>IFERROR(IF(VLOOKUP(Wed_W1[[#This Row],[Employee Name]],'Base Schedules'!$A$205:$AW$241,16,FALSE)="","",VLOOKUP(Wed_W1[[#This Row],[Employee Name]],'Base Schedules'!$A$205:$AW$241,16,FALSE)),"")</f>
        <v/>
      </c>
      <c r="R47" s="184" t="str">
        <f>IFERROR(IF(VLOOKUP(Wed_W1[[#This Row],[Employee Name]],'Base Schedules'!$A$205:$AW$241,17,FALSE)="","",VLOOKUP(Wed_W1[[#This Row],[Employee Name]],'Base Schedules'!$A$205:$AW$241,17,FALSE)),"")</f>
        <v/>
      </c>
      <c r="S47" s="184" t="str">
        <f>IFERROR(IF(VLOOKUP(Wed_W1[[#This Row],[Employee Name]],'Base Schedules'!$A$205:$AW$241,18,FALSE)="","",VLOOKUP(Wed_W1[[#This Row],[Employee Name]],'Base Schedules'!$A$205:$AW$241,18,FALSE)),"")</f>
        <v/>
      </c>
      <c r="T47" s="184" t="str">
        <f>IFERROR(IF(VLOOKUP(Wed_W1[[#This Row],[Employee Name]],'Base Schedules'!$A$205:$AW$241,19,FALSE)="","",VLOOKUP(Wed_W1[[#This Row],[Employee Name]],'Base Schedules'!$A$205:$AW$241,19,FALSE)),"")</f>
        <v/>
      </c>
      <c r="U47" s="184" t="str">
        <f>IFERROR(IF(VLOOKUP(Wed_W1[[#This Row],[Employee Name]],'Base Schedules'!$A$205:$AW$241,20,FALSE)="","",VLOOKUP(Wed_W1[[#This Row],[Employee Name]],'Base Schedules'!$A$205:$AW$241,20,FALSE)),"")</f>
        <v/>
      </c>
      <c r="V47" s="184" t="str">
        <f>IFERROR(IF(VLOOKUP(Wed_W1[[#This Row],[Employee Name]],'Base Schedules'!$A$205:$AW$241,21,FALSE)="","",VLOOKUP(Wed_W1[[#This Row],[Employee Name]],'Base Schedules'!$A$205:$AW$241,21,FALSE)),"")</f>
        <v/>
      </c>
      <c r="W47" s="184" t="str">
        <f>IFERROR(IF(VLOOKUP(Wed_W1[[#This Row],[Employee Name]],'Base Schedules'!$A$205:$AW$241,22,FALSE)="","",VLOOKUP(Wed_W1[[#This Row],[Employee Name]],'Base Schedules'!$A$205:$AW$241,22,FALSE)),"")</f>
        <v/>
      </c>
      <c r="X47" s="184" t="str">
        <f>IFERROR(IF(VLOOKUP(Wed_W1[[#This Row],[Employee Name]],'Base Schedules'!$A$205:$AW$241,23,FALSE)="","",VLOOKUP(Wed_W1[[#This Row],[Employee Name]],'Base Schedules'!$A$205:$AW$241,23,FALSE)),"")</f>
        <v/>
      </c>
      <c r="Y47" s="184" t="str">
        <f>IFERROR(IF(VLOOKUP(Wed_W1[[#This Row],[Employee Name]],'Base Schedules'!$A$205:$AW$241,24,FALSE)="","",VLOOKUP(Wed_W1[[#This Row],[Employee Name]],'Base Schedules'!$A$205:$AW$241,24,FALSE)),"")</f>
        <v/>
      </c>
      <c r="Z47" s="184" t="str">
        <f>IFERROR(IF(VLOOKUP(Wed_W1[[#This Row],[Employee Name]],'Base Schedules'!$A$205:$AW$241,25,FALSE)="","",VLOOKUP(Wed_W1[[#This Row],[Employee Name]],'Base Schedules'!$A$205:$AW$241,25,FALSE)),"")</f>
        <v/>
      </c>
      <c r="AA47" s="184" t="str">
        <f>IFERROR(IF(VLOOKUP(Wed_W1[[#This Row],[Employee Name]],'Base Schedules'!$A$205:$AW$241,26,FALSE)="","",VLOOKUP(Wed_W1[[#This Row],[Employee Name]],'Base Schedules'!$A$205:$AW$241,26,FALSE)),"")</f>
        <v/>
      </c>
      <c r="AB47" s="184" t="str">
        <f>IFERROR(IF(VLOOKUP(Wed_W1[[#This Row],[Employee Name]],'Base Schedules'!$A$205:$AW$241,27,FALSE)="","",VLOOKUP(Wed_W1[[#This Row],[Employee Name]],'Base Schedules'!$A$205:$AW$241,27,FALSE)),"")</f>
        <v/>
      </c>
      <c r="AC47" s="184" t="str">
        <f>IFERROR(IF(VLOOKUP(Wed_W1[[#This Row],[Employee Name]],'Base Schedules'!$A$205:$AW$241,28,FALSE)="","",VLOOKUP(Wed_W1[[#This Row],[Employee Name]],'Base Schedules'!$A$205:$AW$241,28,FALSE)),"")</f>
        <v/>
      </c>
      <c r="AD47" s="184" t="str">
        <f>IFERROR(IF(VLOOKUP(Wed_W1[[#This Row],[Employee Name]],'Base Schedules'!$A$205:$AW$241,29,FALSE)="","",VLOOKUP(Wed_W1[[#This Row],[Employee Name]],'Base Schedules'!$A$205:$AW$241,29,FALSE)),"")</f>
        <v/>
      </c>
      <c r="AE47" s="184" t="str">
        <f>IFERROR(IF(VLOOKUP(Wed_W1[[#This Row],[Employee Name]],'Base Schedules'!$A$205:$AW$241,30,FALSE)="","",VLOOKUP(Wed_W1[[#This Row],[Employee Name]],'Base Schedules'!$A$205:$AW$241,30,FALSE)),"")</f>
        <v/>
      </c>
      <c r="AF47" s="184" t="str">
        <f>IFERROR(IF(VLOOKUP(Wed_W1[[#This Row],[Employee Name]],'Base Schedules'!$A$205:$AW$241,31,FALSE)="","",VLOOKUP(Wed_W1[[#This Row],[Employee Name]],'Base Schedules'!$A$205:$AW$241,31,FALSE)),"")</f>
        <v/>
      </c>
      <c r="AG47" s="184" t="str">
        <f>IFERROR(IF(VLOOKUP(Wed_W1[[#This Row],[Employee Name]],'Base Schedules'!$A$205:$AW$241,32,FALSE)="","",VLOOKUP(Wed_W1[[#This Row],[Employee Name]],'Base Schedules'!$A$205:$AW$241,32,FALSE)),"")</f>
        <v/>
      </c>
      <c r="AH47" s="184" t="str">
        <f>IFERROR(IF(VLOOKUP(Wed_W1[[#This Row],[Employee Name]],'Base Schedules'!$A$205:$AW$241,33,FALSE)="","",VLOOKUP(Wed_W1[[#This Row],[Employee Name]],'Base Schedules'!$A$205:$AW$241,33,FALSE)),"")</f>
        <v/>
      </c>
      <c r="AI47" s="184" t="str">
        <f>IFERROR(IF(VLOOKUP(Wed_W1[[#This Row],[Employee Name]],'Base Schedules'!$A$205:$AW$241,34,FALSE)="","",VLOOKUP(Wed_W1[[#This Row],[Employee Name]],'Base Schedules'!$A$205:$AW$241,34,FALSE)),"")</f>
        <v/>
      </c>
      <c r="AJ47" s="184" t="str">
        <f>IFERROR(IF(VLOOKUP(Wed_W1[[#This Row],[Employee Name]],'Base Schedules'!$A$205:$AW$241,35,FALSE)="","",VLOOKUP(Wed_W1[[#This Row],[Employee Name]],'Base Schedules'!$A$205:$AW$241,35,FALSE)),"")</f>
        <v/>
      </c>
      <c r="AK47" s="184" t="str">
        <f>IFERROR(IF(VLOOKUP(Wed_W1[[#This Row],[Employee Name]],'Base Schedules'!$A$205:$AW$241,36,FALSE)="","",VLOOKUP(Wed_W1[[#This Row],[Employee Name]],'Base Schedules'!$A$205:$AW$241,36,FALSE)),"")</f>
        <v/>
      </c>
      <c r="AL47" s="184" t="str">
        <f>IFERROR(IF(VLOOKUP(Wed_W1[[#This Row],[Employee Name]],'Base Schedules'!$A$205:$AW$241,37,FALSE)="","",VLOOKUP(Wed_W1[[#This Row],[Employee Name]],'Base Schedules'!$A$205:$AW$241,37,FALSE)),"")</f>
        <v/>
      </c>
      <c r="AM47" s="184" t="str">
        <f>IFERROR(IF(VLOOKUP(Wed_W1[[#This Row],[Employee Name]],'Base Schedules'!$A$205:$AW$241,38,FALSE)="","",VLOOKUP(Wed_W1[[#This Row],[Employee Name]],'Base Schedules'!$A$205:$AW$241,38,FALSE)),"")</f>
        <v/>
      </c>
      <c r="AN47" s="184" t="str">
        <f>IFERROR(IF(VLOOKUP(Wed_W1[[#This Row],[Employee Name]],'Base Schedules'!$A$205:$AW$241,39,FALSE)="","",VLOOKUP(Wed_W1[[#This Row],[Employee Name]],'Base Schedules'!$A$205:$AW$241,39,FALSE)),"")</f>
        <v/>
      </c>
      <c r="AO47" s="184" t="str">
        <f>IFERROR(IF(VLOOKUP(Wed_W1[[#This Row],[Employee Name]],'Base Schedules'!$A$205:$AW$241,40,FALSE)="","",VLOOKUP(Wed_W1[[#This Row],[Employee Name]],'Base Schedules'!$A$205:$AW$241,40,FALSE)),"")</f>
        <v/>
      </c>
      <c r="AP47" s="184" t="str">
        <f>IFERROR(IF(VLOOKUP(Wed_W1[[#This Row],[Employee Name]],'Base Schedules'!$A$205:$AW$241,41,FALSE)="","",VLOOKUP(Wed_W1[[#This Row],[Employee Name]],'Base Schedules'!$A$205:$AW$241,41,FALSE)),"")</f>
        <v/>
      </c>
      <c r="AQ47" s="184" t="str">
        <f>IFERROR(IF(VLOOKUP(Wed_W1[[#This Row],[Employee Name]],'Base Schedules'!$A$205:$AW$241,42,FALSE)="","",VLOOKUP(Wed_W1[[#This Row],[Employee Name]],'Base Schedules'!$A$205:$AW$241,42,FALSE)),"")</f>
        <v/>
      </c>
      <c r="AR47" s="184" t="str">
        <f>IFERROR(IF(VLOOKUP(Wed_W1[[#This Row],[Employee Name]],'Base Schedules'!$A$205:$AW$241,43,FALSE)="","",VLOOKUP(Wed_W1[[#This Row],[Employee Name]],'Base Schedules'!$A$205:$AW$241,43,FALSE)),"")</f>
        <v/>
      </c>
      <c r="AS47" s="184" t="str">
        <f>IFERROR(IF(VLOOKUP(Wed_W1[[#This Row],[Employee Name]],'Base Schedules'!$A$205:$AW$241,44,FALSE)="","",VLOOKUP(Wed_W1[[#This Row],[Employee Name]],'Base Schedules'!$A$205:$AW$241,44,FALSE)),"")</f>
        <v/>
      </c>
      <c r="AT47" s="184" t="str">
        <f>IFERROR(IF(VLOOKUP(Wed_W1[[#This Row],[Employee Name]],'Base Schedules'!$A$205:$AW$241,45,FALSE)="","",VLOOKUP(Wed_W1[[#This Row],[Employee Name]],'Base Schedules'!$A$205:$AW$241,45,FALSE)),"")</f>
        <v/>
      </c>
      <c r="AU47" s="184" t="str">
        <f>IFERROR(IF(VLOOKUP(Wed_W1[[#This Row],[Employee Name]],'Base Schedules'!$A$205:$AW$241,46,FALSE)="","",VLOOKUP(Wed_W1[[#This Row],[Employee Name]],'Base Schedules'!$A$205:$AW$241,46,FALSE)),"")</f>
        <v/>
      </c>
      <c r="AV47" s="184" t="str">
        <f>IFERROR(IF(VLOOKUP(Wed_W1[[#This Row],[Employee Name]],'Base Schedules'!$A$205:$AW$241,47,FALSE)="","",VLOOKUP(Wed_W1[[#This Row],[Employee Name]],'Base Schedules'!$A$205:$AW$241,47,FALSE)),"")</f>
        <v/>
      </c>
      <c r="AW47" s="184" t="str">
        <f>IFERROR(IF(VLOOKUP(Wed_W1[[#This Row],[Employee Name]],'Base Schedules'!$A$205:$AW$241,48,FALSE)="","",VLOOKUP(Wed_W1[[#This Row],[Employee Name]],'Base Schedules'!$A$205:$AW$241,48,FALSE)),"")</f>
        <v/>
      </c>
      <c r="AX47" s="184" t="str">
        <f>IFERROR(IF(VLOOKUP(Wed_W1[[#This Row],[Employee Name]],'Base Schedules'!$A$205:$AW$241,49,FALSE)="","",VLOOKUP(Wed_W1[[#This Row],[Employee Name]],'Base Schedules'!$A$205:$AW$241,49,FALSE)),"")</f>
        <v/>
      </c>
      <c r="AY47" s="164" t="str">
        <f t="shared" si="2"/>
        <v/>
      </c>
    </row>
    <row r="48" spans="1:51" s="44" customFormat="1" hidden="1" thickBot="1" x14ac:dyDescent="0.25">
      <c r="A48" s="39" t="str">
        <f>IF(B48="","",INDEX(TeamList[],MATCH($B48,TeamList[[Employee Name]:[Employee Name]],0),MATCH("Manager",TeamList[#Headers],0)))</f>
        <v/>
      </c>
      <c r="B48" s="201"/>
      <c r="C48" s="257" t="str">
        <f>_xlfn.IFNA(VLOOKUP(Wed_W1[[#This Row],[Employee Name]],'Base Schedules'!A:B,2,FALSE),"")</f>
        <v/>
      </c>
      <c r="D48" s="274" t="str">
        <f>_xlfn.IFNA(VLOOKUP(Wed_W1[[#This Row],[Employee Name]],'Base Schedules'!A:C,3,FALSE),"")</f>
        <v/>
      </c>
      <c r="E48" s="274" t="str">
        <f>_xlfn.IFNA(VLOOKUP(Wed_W1[[#This Row],[Employee Name]],'Base Schedules'!A:D,4,FALSE),"")</f>
        <v/>
      </c>
      <c r="F48" s="142" t="str">
        <f>IF(Wed_W1[[#This Row],[Employee Name]]="","",IF(Wed_W1[[#This Row],[Dept]]="Supervisor",COUNTIFS($J48:$AX48,"*HL*",$J48:$AX48,"&lt;&gt;"&amp;"pHL"),COUNTIFS($J48:$AX48,"*HL*",$J48:$AX48,"&lt;&gt;"&amp;"*pHL*",$J48:$AX48,"&lt;&gt;"&amp;"pB1 HL",$J48:$AX48,"&lt;&gt;"&amp;"pB2 HL")-SUM(COUNTIFS($J48:$AX48,"*HL B1*",$J48:$AX48,"&lt;&gt;"&amp;"pHL B1")*0.5,COUNTIFS($J48:$AX48,"*HL B2*",$J48:$AX48,"&lt;&gt;"&amp;"pHL B2")*0.5,COUNTIFS($J48:$AX48,"*B1 HL*",$J48:$AX48,"&lt;&gt;"&amp;"pB1 HL")*0.5,COUNTIFS($J48:$AX48,"*B2 HL*",$J48:$AX48,"&lt;&gt;"&amp;"pB2 HL")*0.5)))</f>
        <v/>
      </c>
      <c r="G48" s="142" t="str">
        <f t="shared" si="0"/>
        <v/>
      </c>
      <c r="H48" s="142" t="str">
        <f t="shared" si="1"/>
        <v/>
      </c>
      <c r="I48" s="142" t="str">
        <f>IF(Wed_W1[[#This Row],[Employee Name]]="","",IF(Wed_W1[[#This Row],[Dept]]="Supervisor",SUM(COUNTIFS($J48:$AX48,"RTA*",$J48:$AX48,"&lt;&gt;"&amp;"pRTA"),COUNTIFS($J48:$AX48,"*CRTA*",$J48:$AX48,"&lt;&gt;"&amp;"pCRTA")),COUNTIFS($J48:$AX48,"*RNNR*",$J48:$AX48,"&lt;&gt;"&amp;"*pRNNR*",$J48:$AX48,"&lt;&gt;"&amp;"pB1 RNNR",$J48:$AX48,"&lt;&gt;"&amp;"pB2 RNNR")-SUM(COUNTIFS($J48:$AX48,"*RNNR B1*",$J48:$AX48,"&lt;&gt;"&amp;"pRNNR B1")*0.5,COUNTIFS($J48:$AX48,"*RNNR B2*",$J48:$AX48,"&lt;&gt;"&amp;"pRNNR B2")*0.5,COUNTIFS($J48:$AX48,"*B1 RNNR*",$J48:$AX48,"&lt;&gt;"&amp;"pB1 RNNR")*0.5,COUNTIFS($J48:$AX48,"*B2 RNNR*",$J48:$AX48,"&lt;&gt;"&amp;"pB2 RNNR")*0.5)))</f>
        <v/>
      </c>
      <c r="J48" s="184" t="str">
        <f>IFERROR(IF(VLOOKUP(Wed_W1[[#This Row],[Employee Name]],'Base Schedules'!$A$205:$AW$241,9,FALSE)="","",VLOOKUP(Wed_W1[[#This Row],[Employee Name]],'Base Schedules'!$A$205:$AW$241,9,FALSE)),"")</f>
        <v/>
      </c>
      <c r="K48" s="184" t="str">
        <f>IFERROR(IF(VLOOKUP(Wed_W1[[#This Row],[Employee Name]],'Base Schedules'!$A$205:$AW$241,10,FALSE)="","",VLOOKUP(Wed_W1[[#This Row],[Employee Name]],'Base Schedules'!$A$205:$AW$241,10,FALSE)),"")</f>
        <v/>
      </c>
      <c r="L48" s="184" t="str">
        <f>IFERROR(IF(VLOOKUP(Wed_W1[[#This Row],[Employee Name]],'Base Schedules'!$A$205:$AW$241,11,FALSE)="","",VLOOKUP(Wed_W1[[#This Row],[Employee Name]],'Base Schedules'!$A$205:$AW$241,11,FALSE)),"")</f>
        <v/>
      </c>
      <c r="M48" s="184" t="str">
        <f>IFERROR(IF(VLOOKUP(Wed_W1[[#This Row],[Employee Name]],'Base Schedules'!$A$205:$AW$241,12,FALSE)="","",VLOOKUP(Wed_W1[[#This Row],[Employee Name]],'Base Schedules'!$A$205:$AW$241,12,FALSE)),"")</f>
        <v/>
      </c>
      <c r="N48" s="184" t="str">
        <f>IFERROR(IF(VLOOKUP(Wed_W1[[#This Row],[Employee Name]],'Base Schedules'!$A$205:$AW$241,13,FALSE)="","",VLOOKUP(Wed_W1[[#This Row],[Employee Name]],'Base Schedules'!$A$205:$AW$241,13,FALSE)),"")</f>
        <v/>
      </c>
      <c r="O48" s="184" t="str">
        <f>IFERROR(IF(VLOOKUP(Wed_W1[[#This Row],[Employee Name]],'Base Schedules'!$A$205:$AW$241,14,FALSE)="","",VLOOKUP(Wed_W1[[#This Row],[Employee Name]],'Base Schedules'!$A$205:$AW$241,14,FALSE)),"")</f>
        <v/>
      </c>
      <c r="P48" s="184" t="str">
        <f>IFERROR(IF(VLOOKUP(Wed_W1[[#This Row],[Employee Name]],'Base Schedules'!$A$205:$AW$241,15,FALSE)="","",VLOOKUP(Wed_W1[[#This Row],[Employee Name]],'Base Schedules'!$A$205:$AW$241,15,FALSE)),"")</f>
        <v/>
      </c>
      <c r="Q48" s="184" t="str">
        <f>IFERROR(IF(VLOOKUP(Wed_W1[[#This Row],[Employee Name]],'Base Schedules'!$A$205:$AW$241,16,FALSE)="","",VLOOKUP(Wed_W1[[#This Row],[Employee Name]],'Base Schedules'!$A$205:$AW$241,16,FALSE)),"")</f>
        <v/>
      </c>
      <c r="R48" s="184" t="str">
        <f>IFERROR(IF(VLOOKUP(Wed_W1[[#This Row],[Employee Name]],'Base Schedules'!$A$205:$AW$241,17,FALSE)="","",VLOOKUP(Wed_W1[[#This Row],[Employee Name]],'Base Schedules'!$A$205:$AW$241,17,FALSE)),"")</f>
        <v/>
      </c>
      <c r="S48" s="184" t="str">
        <f>IFERROR(IF(VLOOKUP(Wed_W1[[#This Row],[Employee Name]],'Base Schedules'!$A$205:$AW$241,18,FALSE)="","",VLOOKUP(Wed_W1[[#This Row],[Employee Name]],'Base Schedules'!$A$205:$AW$241,18,FALSE)),"")</f>
        <v/>
      </c>
      <c r="T48" s="184" t="str">
        <f>IFERROR(IF(VLOOKUP(Wed_W1[[#This Row],[Employee Name]],'Base Schedules'!$A$205:$AW$241,19,FALSE)="","",VLOOKUP(Wed_W1[[#This Row],[Employee Name]],'Base Schedules'!$A$205:$AW$241,19,FALSE)),"")</f>
        <v/>
      </c>
      <c r="U48" s="184" t="str">
        <f>IFERROR(IF(VLOOKUP(Wed_W1[[#This Row],[Employee Name]],'Base Schedules'!$A$205:$AW$241,20,FALSE)="","",VLOOKUP(Wed_W1[[#This Row],[Employee Name]],'Base Schedules'!$A$205:$AW$241,20,FALSE)),"")</f>
        <v/>
      </c>
      <c r="V48" s="184" t="str">
        <f>IFERROR(IF(VLOOKUP(Wed_W1[[#This Row],[Employee Name]],'Base Schedules'!$A$205:$AW$241,21,FALSE)="","",VLOOKUP(Wed_W1[[#This Row],[Employee Name]],'Base Schedules'!$A$205:$AW$241,21,FALSE)),"")</f>
        <v/>
      </c>
      <c r="W48" s="184" t="str">
        <f>IFERROR(IF(VLOOKUP(Wed_W1[[#This Row],[Employee Name]],'Base Schedules'!$A$205:$AW$241,22,FALSE)="","",VLOOKUP(Wed_W1[[#This Row],[Employee Name]],'Base Schedules'!$A$205:$AW$241,22,FALSE)),"")</f>
        <v/>
      </c>
      <c r="X48" s="184" t="str">
        <f>IFERROR(IF(VLOOKUP(Wed_W1[[#This Row],[Employee Name]],'Base Schedules'!$A$205:$AW$241,23,FALSE)="","",VLOOKUP(Wed_W1[[#This Row],[Employee Name]],'Base Schedules'!$A$205:$AW$241,23,FALSE)),"")</f>
        <v/>
      </c>
      <c r="Y48" s="184" t="str">
        <f>IFERROR(IF(VLOOKUP(Wed_W1[[#This Row],[Employee Name]],'Base Schedules'!$A$205:$AW$241,24,FALSE)="","",VLOOKUP(Wed_W1[[#This Row],[Employee Name]],'Base Schedules'!$A$205:$AW$241,24,FALSE)),"")</f>
        <v/>
      </c>
      <c r="Z48" s="184" t="str">
        <f>IFERROR(IF(VLOOKUP(Wed_W1[[#This Row],[Employee Name]],'Base Schedules'!$A$205:$AW$241,25,FALSE)="","",VLOOKUP(Wed_W1[[#This Row],[Employee Name]],'Base Schedules'!$A$205:$AW$241,25,FALSE)),"")</f>
        <v/>
      </c>
      <c r="AA48" s="184" t="str">
        <f>IFERROR(IF(VLOOKUP(Wed_W1[[#This Row],[Employee Name]],'Base Schedules'!$A$205:$AW$241,26,FALSE)="","",VLOOKUP(Wed_W1[[#This Row],[Employee Name]],'Base Schedules'!$A$205:$AW$241,26,FALSE)),"")</f>
        <v/>
      </c>
      <c r="AB48" s="184" t="str">
        <f>IFERROR(IF(VLOOKUP(Wed_W1[[#This Row],[Employee Name]],'Base Schedules'!$A$205:$AW$241,27,FALSE)="","",VLOOKUP(Wed_W1[[#This Row],[Employee Name]],'Base Schedules'!$A$205:$AW$241,27,FALSE)),"")</f>
        <v/>
      </c>
      <c r="AC48" s="184" t="str">
        <f>IFERROR(IF(VLOOKUP(Wed_W1[[#This Row],[Employee Name]],'Base Schedules'!$A$205:$AW$241,28,FALSE)="","",VLOOKUP(Wed_W1[[#This Row],[Employee Name]],'Base Schedules'!$A$205:$AW$241,28,FALSE)),"")</f>
        <v/>
      </c>
      <c r="AD48" s="184" t="str">
        <f>IFERROR(IF(VLOOKUP(Wed_W1[[#This Row],[Employee Name]],'Base Schedules'!$A$205:$AW$241,29,FALSE)="","",VLOOKUP(Wed_W1[[#This Row],[Employee Name]],'Base Schedules'!$A$205:$AW$241,29,FALSE)),"")</f>
        <v/>
      </c>
      <c r="AE48" s="184" t="str">
        <f>IFERROR(IF(VLOOKUP(Wed_W1[[#This Row],[Employee Name]],'Base Schedules'!$A$205:$AW$241,30,FALSE)="","",VLOOKUP(Wed_W1[[#This Row],[Employee Name]],'Base Schedules'!$A$205:$AW$241,30,FALSE)),"")</f>
        <v/>
      </c>
      <c r="AF48" s="184" t="str">
        <f>IFERROR(IF(VLOOKUP(Wed_W1[[#This Row],[Employee Name]],'Base Schedules'!$A$205:$AW$241,31,FALSE)="","",VLOOKUP(Wed_W1[[#This Row],[Employee Name]],'Base Schedules'!$A$205:$AW$241,31,FALSE)),"")</f>
        <v/>
      </c>
      <c r="AG48" s="184" t="str">
        <f>IFERROR(IF(VLOOKUP(Wed_W1[[#This Row],[Employee Name]],'Base Schedules'!$A$205:$AW$241,32,FALSE)="","",VLOOKUP(Wed_W1[[#This Row],[Employee Name]],'Base Schedules'!$A$205:$AW$241,32,FALSE)),"")</f>
        <v/>
      </c>
      <c r="AH48" s="184" t="str">
        <f>IFERROR(IF(VLOOKUP(Wed_W1[[#This Row],[Employee Name]],'Base Schedules'!$A$205:$AW$241,33,FALSE)="","",VLOOKUP(Wed_W1[[#This Row],[Employee Name]],'Base Schedules'!$A$205:$AW$241,33,FALSE)),"")</f>
        <v/>
      </c>
      <c r="AI48" s="184" t="str">
        <f>IFERROR(IF(VLOOKUP(Wed_W1[[#This Row],[Employee Name]],'Base Schedules'!$A$205:$AW$241,34,FALSE)="","",VLOOKUP(Wed_W1[[#This Row],[Employee Name]],'Base Schedules'!$A$205:$AW$241,34,FALSE)),"")</f>
        <v/>
      </c>
      <c r="AJ48" s="184" t="str">
        <f>IFERROR(IF(VLOOKUP(Wed_W1[[#This Row],[Employee Name]],'Base Schedules'!$A$205:$AW$241,35,FALSE)="","",VLOOKUP(Wed_W1[[#This Row],[Employee Name]],'Base Schedules'!$A$205:$AW$241,35,FALSE)),"")</f>
        <v/>
      </c>
      <c r="AK48" s="184" t="str">
        <f>IFERROR(IF(VLOOKUP(Wed_W1[[#This Row],[Employee Name]],'Base Schedules'!$A$205:$AW$241,36,FALSE)="","",VLOOKUP(Wed_W1[[#This Row],[Employee Name]],'Base Schedules'!$A$205:$AW$241,36,FALSE)),"")</f>
        <v/>
      </c>
      <c r="AL48" s="184" t="str">
        <f>IFERROR(IF(VLOOKUP(Wed_W1[[#This Row],[Employee Name]],'Base Schedules'!$A$205:$AW$241,37,FALSE)="","",VLOOKUP(Wed_W1[[#This Row],[Employee Name]],'Base Schedules'!$A$205:$AW$241,37,FALSE)),"")</f>
        <v/>
      </c>
      <c r="AM48" s="184" t="str">
        <f>IFERROR(IF(VLOOKUP(Wed_W1[[#This Row],[Employee Name]],'Base Schedules'!$A$205:$AW$241,38,FALSE)="","",VLOOKUP(Wed_W1[[#This Row],[Employee Name]],'Base Schedules'!$A$205:$AW$241,38,FALSE)),"")</f>
        <v/>
      </c>
      <c r="AN48" s="184" t="str">
        <f>IFERROR(IF(VLOOKUP(Wed_W1[[#This Row],[Employee Name]],'Base Schedules'!$A$205:$AW$241,39,FALSE)="","",VLOOKUP(Wed_W1[[#This Row],[Employee Name]],'Base Schedules'!$A$205:$AW$241,39,FALSE)),"")</f>
        <v/>
      </c>
      <c r="AO48" s="184" t="str">
        <f>IFERROR(IF(VLOOKUP(Wed_W1[[#This Row],[Employee Name]],'Base Schedules'!$A$205:$AW$241,40,FALSE)="","",VLOOKUP(Wed_W1[[#This Row],[Employee Name]],'Base Schedules'!$A$205:$AW$241,40,FALSE)),"")</f>
        <v/>
      </c>
      <c r="AP48" s="184" t="str">
        <f>IFERROR(IF(VLOOKUP(Wed_W1[[#This Row],[Employee Name]],'Base Schedules'!$A$205:$AW$241,41,FALSE)="","",VLOOKUP(Wed_W1[[#This Row],[Employee Name]],'Base Schedules'!$A$205:$AW$241,41,FALSE)),"")</f>
        <v/>
      </c>
      <c r="AQ48" s="184" t="str">
        <f>IFERROR(IF(VLOOKUP(Wed_W1[[#This Row],[Employee Name]],'Base Schedules'!$A$205:$AW$241,42,FALSE)="","",VLOOKUP(Wed_W1[[#This Row],[Employee Name]],'Base Schedules'!$A$205:$AW$241,42,FALSE)),"")</f>
        <v/>
      </c>
      <c r="AR48" s="184" t="str">
        <f>IFERROR(IF(VLOOKUP(Wed_W1[[#This Row],[Employee Name]],'Base Schedules'!$A$205:$AW$241,43,FALSE)="","",VLOOKUP(Wed_W1[[#This Row],[Employee Name]],'Base Schedules'!$A$205:$AW$241,43,FALSE)),"")</f>
        <v/>
      </c>
      <c r="AS48" s="184" t="str">
        <f>IFERROR(IF(VLOOKUP(Wed_W1[[#This Row],[Employee Name]],'Base Schedules'!$A$205:$AW$241,44,FALSE)="","",VLOOKUP(Wed_W1[[#This Row],[Employee Name]],'Base Schedules'!$A$205:$AW$241,44,FALSE)),"")</f>
        <v/>
      </c>
      <c r="AT48" s="184" t="str">
        <f>IFERROR(IF(VLOOKUP(Wed_W1[[#This Row],[Employee Name]],'Base Schedules'!$A$205:$AW$241,45,FALSE)="","",VLOOKUP(Wed_W1[[#This Row],[Employee Name]],'Base Schedules'!$A$205:$AW$241,45,FALSE)),"")</f>
        <v/>
      </c>
      <c r="AU48" s="184" t="str">
        <f>IFERROR(IF(VLOOKUP(Wed_W1[[#This Row],[Employee Name]],'Base Schedules'!$A$205:$AW$241,46,FALSE)="","",VLOOKUP(Wed_W1[[#This Row],[Employee Name]],'Base Schedules'!$A$205:$AW$241,46,FALSE)),"")</f>
        <v/>
      </c>
      <c r="AV48" s="184" t="str">
        <f>IFERROR(IF(VLOOKUP(Wed_W1[[#This Row],[Employee Name]],'Base Schedules'!$A$205:$AW$241,47,FALSE)="","",VLOOKUP(Wed_W1[[#This Row],[Employee Name]],'Base Schedules'!$A$205:$AW$241,47,FALSE)),"")</f>
        <v/>
      </c>
      <c r="AW48" s="184" t="str">
        <f>IFERROR(IF(VLOOKUP(Wed_W1[[#This Row],[Employee Name]],'Base Schedules'!$A$205:$AW$241,48,FALSE)="","",VLOOKUP(Wed_W1[[#This Row],[Employee Name]],'Base Schedules'!$A$205:$AW$241,48,FALSE)),"")</f>
        <v/>
      </c>
      <c r="AX48" s="184" t="str">
        <f>IFERROR(IF(VLOOKUP(Wed_W1[[#This Row],[Employee Name]],'Base Schedules'!$A$205:$AW$241,49,FALSE)="","",VLOOKUP(Wed_W1[[#This Row],[Employee Name]],'Base Schedules'!$A$205:$AW$241,49,FALSE)),"")</f>
        <v/>
      </c>
      <c r="AY48" s="164" t="str">
        <f t="shared" si="2"/>
        <v/>
      </c>
    </row>
    <row r="49" spans="1:52" s="44" customFormat="1" hidden="1" thickBot="1" x14ac:dyDescent="0.25">
      <c r="A49" s="39" t="str">
        <f>IF(B49="","",INDEX(TeamList[],MATCH($B49,TeamList[[Employee Name]:[Employee Name]],0),MATCH("Manager",TeamList[#Headers],0)))</f>
        <v/>
      </c>
      <c r="B49" s="201"/>
      <c r="C49" s="257" t="str">
        <f>_xlfn.IFNA(VLOOKUP(Wed_W1[[#This Row],[Employee Name]],'Base Schedules'!A:B,2,FALSE),"")</f>
        <v/>
      </c>
      <c r="D49" s="274" t="str">
        <f>_xlfn.IFNA(VLOOKUP(Wed_W1[[#This Row],[Employee Name]],'Base Schedules'!A:C,3,FALSE),"")</f>
        <v/>
      </c>
      <c r="E49" s="274" t="str">
        <f>_xlfn.IFNA(VLOOKUP(Wed_W1[[#This Row],[Employee Name]],'Base Schedules'!A:D,4,FALSE),"")</f>
        <v/>
      </c>
      <c r="F49" s="142" t="str">
        <f>IF(Wed_W1[[#This Row],[Employee Name]]="","",IF(Wed_W1[[#This Row],[Dept]]="Supervisor",COUNTIFS($J49:$AX49,"*HL*",$J49:$AX49,"&lt;&gt;"&amp;"pHL"),COUNTIFS($J49:$AX49,"*HL*",$J49:$AX49,"&lt;&gt;"&amp;"*pHL*",$J49:$AX49,"&lt;&gt;"&amp;"pB1 HL",$J49:$AX49,"&lt;&gt;"&amp;"pB2 HL")-SUM(COUNTIFS($J49:$AX49,"*HL B1*",$J49:$AX49,"&lt;&gt;"&amp;"pHL B1")*0.5,COUNTIFS($J49:$AX49,"*HL B2*",$J49:$AX49,"&lt;&gt;"&amp;"pHL B2")*0.5,COUNTIFS($J49:$AX49,"*B1 HL*",$J49:$AX49,"&lt;&gt;"&amp;"pB1 HL")*0.5,COUNTIFS($J49:$AX49,"*B2 HL*",$J49:$AX49,"&lt;&gt;"&amp;"pB2 HL")*0.5)))</f>
        <v/>
      </c>
      <c r="G49" s="142" t="str">
        <f t="shared" si="0"/>
        <v/>
      </c>
      <c r="H49" s="142" t="str">
        <f t="shared" si="1"/>
        <v/>
      </c>
      <c r="I49" s="142" t="str">
        <f>IF(Wed_W1[[#This Row],[Employee Name]]="","",IF(Wed_W1[[#This Row],[Dept]]="Supervisor",SUM(COUNTIFS($J49:$AX49,"RTA*",$J49:$AX49,"&lt;&gt;"&amp;"pRTA"),COUNTIFS($J49:$AX49,"*CRTA*",$J49:$AX49,"&lt;&gt;"&amp;"pCRTA")),COUNTIFS($J49:$AX49,"*RNNR*",$J49:$AX49,"&lt;&gt;"&amp;"*pRNNR*",$J49:$AX49,"&lt;&gt;"&amp;"pB1 RNNR",$J49:$AX49,"&lt;&gt;"&amp;"pB2 RNNR")-SUM(COUNTIFS($J49:$AX49,"*RNNR B1*",$J49:$AX49,"&lt;&gt;"&amp;"pRNNR B1")*0.5,COUNTIFS($J49:$AX49,"*RNNR B2*",$J49:$AX49,"&lt;&gt;"&amp;"pRNNR B2")*0.5,COUNTIFS($J49:$AX49,"*B1 RNNR*",$J49:$AX49,"&lt;&gt;"&amp;"pB1 RNNR")*0.5,COUNTIFS($J49:$AX49,"*B2 RNNR*",$J49:$AX49,"&lt;&gt;"&amp;"pB2 RNNR")*0.5)))</f>
        <v/>
      </c>
      <c r="J49" s="184" t="str">
        <f>IFERROR(IF(VLOOKUP(Wed_W1[[#This Row],[Employee Name]],'Base Schedules'!$A$205:$AW$241,9,FALSE)="","",VLOOKUP(Wed_W1[[#This Row],[Employee Name]],'Base Schedules'!$A$205:$AW$241,9,FALSE)),"")</f>
        <v/>
      </c>
      <c r="K49" s="184" t="str">
        <f>IFERROR(IF(VLOOKUP(Wed_W1[[#This Row],[Employee Name]],'Base Schedules'!$A$205:$AW$241,10,FALSE)="","",VLOOKUP(Wed_W1[[#This Row],[Employee Name]],'Base Schedules'!$A$205:$AW$241,10,FALSE)),"")</f>
        <v/>
      </c>
      <c r="L49" s="184" t="str">
        <f>IFERROR(IF(VLOOKUP(Wed_W1[[#This Row],[Employee Name]],'Base Schedules'!$A$205:$AW$241,11,FALSE)="","",VLOOKUP(Wed_W1[[#This Row],[Employee Name]],'Base Schedules'!$A$205:$AW$241,11,FALSE)),"")</f>
        <v/>
      </c>
      <c r="M49" s="184" t="str">
        <f>IFERROR(IF(VLOOKUP(Wed_W1[[#This Row],[Employee Name]],'Base Schedules'!$A$205:$AW$241,12,FALSE)="","",VLOOKUP(Wed_W1[[#This Row],[Employee Name]],'Base Schedules'!$A$205:$AW$241,12,FALSE)),"")</f>
        <v/>
      </c>
      <c r="N49" s="184" t="str">
        <f>IFERROR(IF(VLOOKUP(Wed_W1[[#This Row],[Employee Name]],'Base Schedules'!$A$205:$AW$241,13,FALSE)="","",VLOOKUP(Wed_W1[[#This Row],[Employee Name]],'Base Schedules'!$A$205:$AW$241,13,FALSE)),"")</f>
        <v/>
      </c>
      <c r="O49" s="184" t="str">
        <f>IFERROR(IF(VLOOKUP(Wed_W1[[#This Row],[Employee Name]],'Base Schedules'!$A$205:$AW$241,14,FALSE)="","",VLOOKUP(Wed_W1[[#This Row],[Employee Name]],'Base Schedules'!$A$205:$AW$241,14,FALSE)),"")</f>
        <v/>
      </c>
      <c r="P49" s="184" t="str">
        <f>IFERROR(IF(VLOOKUP(Wed_W1[[#This Row],[Employee Name]],'Base Schedules'!$A$205:$AW$241,15,FALSE)="","",VLOOKUP(Wed_W1[[#This Row],[Employee Name]],'Base Schedules'!$A$205:$AW$241,15,FALSE)),"")</f>
        <v/>
      </c>
      <c r="Q49" s="184" t="str">
        <f>IFERROR(IF(VLOOKUP(Wed_W1[[#This Row],[Employee Name]],'Base Schedules'!$A$205:$AW$241,16,FALSE)="","",VLOOKUP(Wed_W1[[#This Row],[Employee Name]],'Base Schedules'!$A$205:$AW$241,16,FALSE)),"")</f>
        <v/>
      </c>
      <c r="R49" s="184" t="str">
        <f>IFERROR(IF(VLOOKUP(Wed_W1[[#This Row],[Employee Name]],'Base Schedules'!$A$205:$AW$241,17,FALSE)="","",VLOOKUP(Wed_W1[[#This Row],[Employee Name]],'Base Schedules'!$A$205:$AW$241,17,FALSE)),"")</f>
        <v/>
      </c>
      <c r="S49" s="184" t="str">
        <f>IFERROR(IF(VLOOKUP(Wed_W1[[#This Row],[Employee Name]],'Base Schedules'!$A$205:$AW$241,18,FALSE)="","",VLOOKUP(Wed_W1[[#This Row],[Employee Name]],'Base Schedules'!$A$205:$AW$241,18,FALSE)),"")</f>
        <v/>
      </c>
      <c r="T49" s="184" t="str">
        <f>IFERROR(IF(VLOOKUP(Wed_W1[[#This Row],[Employee Name]],'Base Schedules'!$A$205:$AW$241,19,FALSE)="","",VLOOKUP(Wed_W1[[#This Row],[Employee Name]],'Base Schedules'!$A$205:$AW$241,19,FALSE)),"")</f>
        <v/>
      </c>
      <c r="U49" s="184" t="str">
        <f>IFERROR(IF(VLOOKUP(Wed_W1[[#This Row],[Employee Name]],'Base Schedules'!$A$205:$AW$241,20,FALSE)="","",VLOOKUP(Wed_W1[[#This Row],[Employee Name]],'Base Schedules'!$A$205:$AW$241,20,FALSE)),"")</f>
        <v/>
      </c>
      <c r="V49" s="184" t="str">
        <f>IFERROR(IF(VLOOKUP(Wed_W1[[#This Row],[Employee Name]],'Base Schedules'!$A$205:$AW$241,21,FALSE)="","",VLOOKUP(Wed_W1[[#This Row],[Employee Name]],'Base Schedules'!$A$205:$AW$241,21,FALSE)),"")</f>
        <v/>
      </c>
      <c r="W49" s="184" t="str">
        <f>IFERROR(IF(VLOOKUP(Wed_W1[[#This Row],[Employee Name]],'Base Schedules'!$A$205:$AW$241,22,FALSE)="","",VLOOKUP(Wed_W1[[#This Row],[Employee Name]],'Base Schedules'!$A$205:$AW$241,22,FALSE)),"")</f>
        <v/>
      </c>
      <c r="X49" s="184" t="str">
        <f>IFERROR(IF(VLOOKUP(Wed_W1[[#This Row],[Employee Name]],'Base Schedules'!$A$205:$AW$241,23,FALSE)="","",VLOOKUP(Wed_W1[[#This Row],[Employee Name]],'Base Schedules'!$A$205:$AW$241,23,FALSE)),"")</f>
        <v/>
      </c>
      <c r="Y49" s="184" t="str">
        <f>IFERROR(IF(VLOOKUP(Wed_W1[[#This Row],[Employee Name]],'Base Schedules'!$A$205:$AW$241,24,FALSE)="","",VLOOKUP(Wed_W1[[#This Row],[Employee Name]],'Base Schedules'!$A$205:$AW$241,24,FALSE)),"")</f>
        <v/>
      </c>
      <c r="Z49" s="184" t="str">
        <f>IFERROR(IF(VLOOKUP(Wed_W1[[#This Row],[Employee Name]],'Base Schedules'!$A$205:$AW$241,25,FALSE)="","",VLOOKUP(Wed_W1[[#This Row],[Employee Name]],'Base Schedules'!$A$205:$AW$241,25,FALSE)),"")</f>
        <v/>
      </c>
      <c r="AA49" s="184" t="str">
        <f>IFERROR(IF(VLOOKUP(Wed_W1[[#This Row],[Employee Name]],'Base Schedules'!$A$205:$AW$241,26,FALSE)="","",VLOOKUP(Wed_W1[[#This Row],[Employee Name]],'Base Schedules'!$A$205:$AW$241,26,FALSE)),"")</f>
        <v/>
      </c>
      <c r="AB49" s="184" t="str">
        <f>IFERROR(IF(VLOOKUP(Wed_W1[[#This Row],[Employee Name]],'Base Schedules'!$A$205:$AW$241,27,FALSE)="","",VLOOKUP(Wed_W1[[#This Row],[Employee Name]],'Base Schedules'!$A$205:$AW$241,27,FALSE)),"")</f>
        <v/>
      </c>
      <c r="AC49" s="184" t="str">
        <f>IFERROR(IF(VLOOKUP(Wed_W1[[#This Row],[Employee Name]],'Base Schedules'!$A$205:$AW$241,28,FALSE)="","",VLOOKUP(Wed_W1[[#This Row],[Employee Name]],'Base Schedules'!$A$205:$AW$241,28,FALSE)),"")</f>
        <v/>
      </c>
      <c r="AD49" s="184" t="str">
        <f>IFERROR(IF(VLOOKUP(Wed_W1[[#This Row],[Employee Name]],'Base Schedules'!$A$205:$AW$241,29,FALSE)="","",VLOOKUP(Wed_W1[[#This Row],[Employee Name]],'Base Schedules'!$A$205:$AW$241,29,FALSE)),"")</f>
        <v/>
      </c>
      <c r="AE49" s="184" t="str">
        <f>IFERROR(IF(VLOOKUP(Wed_W1[[#This Row],[Employee Name]],'Base Schedules'!$A$205:$AW$241,30,FALSE)="","",VLOOKUP(Wed_W1[[#This Row],[Employee Name]],'Base Schedules'!$A$205:$AW$241,30,FALSE)),"")</f>
        <v/>
      </c>
      <c r="AF49" s="184" t="str">
        <f>IFERROR(IF(VLOOKUP(Wed_W1[[#This Row],[Employee Name]],'Base Schedules'!$A$205:$AW$241,31,FALSE)="","",VLOOKUP(Wed_W1[[#This Row],[Employee Name]],'Base Schedules'!$A$205:$AW$241,31,FALSE)),"")</f>
        <v/>
      </c>
      <c r="AG49" s="184" t="str">
        <f>IFERROR(IF(VLOOKUP(Wed_W1[[#This Row],[Employee Name]],'Base Schedules'!$A$205:$AW$241,32,FALSE)="","",VLOOKUP(Wed_W1[[#This Row],[Employee Name]],'Base Schedules'!$A$205:$AW$241,32,FALSE)),"")</f>
        <v/>
      </c>
      <c r="AH49" s="184" t="str">
        <f>IFERROR(IF(VLOOKUP(Wed_W1[[#This Row],[Employee Name]],'Base Schedules'!$A$205:$AW$241,33,FALSE)="","",VLOOKUP(Wed_W1[[#This Row],[Employee Name]],'Base Schedules'!$A$205:$AW$241,33,FALSE)),"")</f>
        <v/>
      </c>
      <c r="AI49" s="184" t="str">
        <f>IFERROR(IF(VLOOKUP(Wed_W1[[#This Row],[Employee Name]],'Base Schedules'!$A$205:$AW$241,34,FALSE)="","",VLOOKUP(Wed_W1[[#This Row],[Employee Name]],'Base Schedules'!$A$205:$AW$241,34,FALSE)),"")</f>
        <v/>
      </c>
      <c r="AJ49" s="184" t="str">
        <f>IFERROR(IF(VLOOKUP(Wed_W1[[#This Row],[Employee Name]],'Base Schedules'!$A$205:$AW$241,35,FALSE)="","",VLOOKUP(Wed_W1[[#This Row],[Employee Name]],'Base Schedules'!$A$205:$AW$241,35,FALSE)),"")</f>
        <v/>
      </c>
      <c r="AK49" s="184" t="str">
        <f>IFERROR(IF(VLOOKUP(Wed_W1[[#This Row],[Employee Name]],'Base Schedules'!$A$205:$AW$241,36,FALSE)="","",VLOOKUP(Wed_W1[[#This Row],[Employee Name]],'Base Schedules'!$A$205:$AW$241,36,FALSE)),"")</f>
        <v/>
      </c>
      <c r="AL49" s="184" t="str">
        <f>IFERROR(IF(VLOOKUP(Wed_W1[[#This Row],[Employee Name]],'Base Schedules'!$A$205:$AW$241,37,FALSE)="","",VLOOKUP(Wed_W1[[#This Row],[Employee Name]],'Base Schedules'!$A$205:$AW$241,37,FALSE)),"")</f>
        <v/>
      </c>
      <c r="AM49" s="184" t="str">
        <f>IFERROR(IF(VLOOKUP(Wed_W1[[#This Row],[Employee Name]],'Base Schedules'!$A$205:$AW$241,38,FALSE)="","",VLOOKUP(Wed_W1[[#This Row],[Employee Name]],'Base Schedules'!$A$205:$AW$241,38,FALSE)),"")</f>
        <v/>
      </c>
      <c r="AN49" s="184" t="str">
        <f>IFERROR(IF(VLOOKUP(Wed_W1[[#This Row],[Employee Name]],'Base Schedules'!$A$205:$AW$241,39,FALSE)="","",VLOOKUP(Wed_W1[[#This Row],[Employee Name]],'Base Schedules'!$A$205:$AW$241,39,FALSE)),"")</f>
        <v/>
      </c>
      <c r="AO49" s="184" t="str">
        <f>IFERROR(IF(VLOOKUP(Wed_W1[[#This Row],[Employee Name]],'Base Schedules'!$A$205:$AW$241,40,FALSE)="","",VLOOKUP(Wed_W1[[#This Row],[Employee Name]],'Base Schedules'!$A$205:$AW$241,40,FALSE)),"")</f>
        <v/>
      </c>
      <c r="AP49" s="184" t="str">
        <f>IFERROR(IF(VLOOKUP(Wed_W1[[#This Row],[Employee Name]],'Base Schedules'!$A$205:$AW$241,41,FALSE)="","",VLOOKUP(Wed_W1[[#This Row],[Employee Name]],'Base Schedules'!$A$205:$AW$241,41,FALSE)),"")</f>
        <v/>
      </c>
      <c r="AQ49" s="184" t="str">
        <f>IFERROR(IF(VLOOKUP(Wed_W1[[#This Row],[Employee Name]],'Base Schedules'!$A$205:$AW$241,42,FALSE)="","",VLOOKUP(Wed_W1[[#This Row],[Employee Name]],'Base Schedules'!$A$205:$AW$241,42,FALSE)),"")</f>
        <v/>
      </c>
      <c r="AR49" s="184" t="str">
        <f>IFERROR(IF(VLOOKUP(Wed_W1[[#This Row],[Employee Name]],'Base Schedules'!$A$205:$AW$241,43,FALSE)="","",VLOOKUP(Wed_W1[[#This Row],[Employee Name]],'Base Schedules'!$A$205:$AW$241,43,FALSE)),"")</f>
        <v/>
      </c>
      <c r="AS49" s="184" t="str">
        <f>IFERROR(IF(VLOOKUP(Wed_W1[[#This Row],[Employee Name]],'Base Schedules'!$A$205:$AW$241,44,FALSE)="","",VLOOKUP(Wed_W1[[#This Row],[Employee Name]],'Base Schedules'!$A$205:$AW$241,44,FALSE)),"")</f>
        <v/>
      </c>
      <c r="AT49" s="184" t="str">
        <f>IFERROR(IF(VLOOKUP(Wed_W1[[#This Row],[Employee Name]],'Base Schedules'!$A$205:$AW$241,45,FALSE)="","",VLOOKUP(Wed_W1[[#This Row],[Employee Name]],'Base Schedules'!$A$205:$AW$241,45,FALSE)),"")</f>
        <v/>
      </c>
      <c r="AU49" s="184" t="str">
        <f>IFERROR(IF(VLOOKUP(Wed_W1[[#This Row],[Employee Name]],'Base Schedules'!$A$205:$AW$241,46,FALSE)="","",VLOOKUP(Wed_W1[[#This Row],[Employee Name]],'Base Schedules'!$A$205:$AW$241,46,FALSE)),"")</f>
        <v/>
      </c>
      <c r="AV49" s="184" t="str">
        <f>IFERROR(IF(VLOOKUP(Wed_W1[[#This Row],[Employee Name]],'Base Schedules'!$A$205:$AW$241,47,FALSE)="","",VLOOKUP(Wed_W1[[#This Row],[Employee Name]],'Base Schedules'!$A$205:$AW$241,47,FALSE)),"")</f>
        <v/>
      </c>
      <c r="AW49" s="184" t="str">
        <f>IFERROR(IF(VLOOKUP(Wed_W1[[#This Row],[Employee Name]],'Base Schedules'!$A$205:$AW$241,48,FALSE)="","",VLOOKUP(Wed_W1[[#This Row],[Employee Name]],'Base Schedules'!$A$205:$AW$241,48,FALSE)),"")</f>
        <v/>
      </c>
      <c r="AX49" s="184" t="str">
        <f>IFERROR(IF(VLOOKUP(Wed_W1[[#This Row],[Employee Name]],'Base Schedules'!$A$205:$AW$241,49,FALSE)="","",VLOOKUP(Wed_W1[[#This Row],[Employee Name]],'Base Schedules'!$A$205:$AW$241,49,FALSE)),"")</f>
        <v/>
      </c>
      <c r="AY49" s="164" t="str">
        <f t="shared" si="2"/>
        <v/>
      </c>
    </row>
    <row r="50" spans="1:52" s="44" customFormat="1" hidden="1" thickBot="1" x14ac:dyDescent="0.25">
      <c r="A50" s="39" t="str">
        <f>IF(B50="","",INDEX(TeamList[],MATCH($B50,TeamList[[Employee Name]:[Employee Name]],0),MATCH("Manager",TeamList[#Headers],0)))</f>
        <v/>
      </c>
      <c r="B50" s="201"/>
      <c r="C50" s="257" t="str">
        <f>_xlfn.IFNA(VLOOKUP(Wed_W1[[#This Row],[Employee Name]],'Base Schedules'!A:B,2,FALSE),"")</f>
        <v/>
      </c>
      <c r="D50" s="274" t="str">
        <f>_xlfn.IFNA(VLOOKUP(Wed_W1[[#This Row],[Employee Name]],'Base Schedules'!A:C,3,FALSE),"")</f>
        <v/>
      </c>
      <c r="E50" s="274" t="str">
        <f>_xlfn.IFNA(VLOOKUP(Wed_W1[[#This Row],[Employee Name]],'Base Schedules'!A:D,4,FALSE),"")</f>
        <v/>
      </c>
      <c r="F50" s="142" t="str">
        <f>IF(Wed_W1[[#This Row],[Employee Name]]="","",IF(Wed_W1[[#This Row],[Dept]]="Supervisor",COUNTIFS($J50:$AX50,"*HL*",$J50:$AX50,"&lt;&gt;"&amp;"pHL"),COUNTIFS($J50:$AX50,"*HL*",$J50:$AX50,"&lt;&gt;"&amp;"*pHL*",$J50:$AX50,"&lt;&gt;"&amp;"pB1 HL",$J50:$AX50,"&lt;&gt;"&amp;"pB2 HL")-SUM(COUNTIFS($J50:$AX50,"*HL B1*",$J50:$AX50,"&lt;&gt;"&amp;"pHL B1")*0.5,COUNTIFS($J50:$AX50,"*HL B2*",$J50:$AX50,"&lt;&gt;"&amp;"pHL B2")*0.5,COUNTIFS($J50:$AX50,"*B1 HL*",$J50:$AX50,"&lt;&gt;"&amp;"pB1 HL")*0.5,COUNTIFS($J50:$AX50,"*B2 HL*",$J50:$AX50,"&lt;&gt;"&amp;"pB2 HL")*0.5)))</f>
        <v/>
      </c>
      <c r="G50" s="142" t="str">
        <f t="shared" si="0"/>
        <v/>
      </c>
      <c r="H50" s="142" t="str">
        <f t="shared" si="1"/>
        <v/>
      </c>
      <c r="I50" s="142" t="str">
        <f>IF(Wed_W1[[#This Row],[Employee Name]]="","",IF(Wed_W1[[#This Row],[Dept]]="Supervisor",SUM(COUNTIFS($J50:$AX50,"RTA*",$J50:$AX50,"&lt;&gt;"&amp;"pRTA"),COUNTIFS($J50:$AX50,"*CRTA*",$J50:$AX50,"&lt;&gt;"&amp;"pCRTA")),COUNTIFS($J50:$AX50,"*RNNR*",$J50:$AX50,"&lt;&gt;"&amp;"*pRNNR*",$J50:$AX50,"&lt;&gt;"&amp;"pB1 RNNR",$J50:$AX50,"&lt;&gt;"&amp;"pB2 RNNR")-SUM(COUNTIFS($J50:$AX50,"*RNNR B1*",$J50:$AX50,"&lt;&gt;"&amp;"pRNNR B1")*0.5,COUNTIFS($J50:$AX50,"*RNNR B2*",$J50:$AX50,"&lt;&gt;"&amp;"pRNNR B2")*0.5,COUNTIFS($J50:$AX50,"*B1 RNNR*",$J50:$AX50,"&lt;&gt;"&amp;"pB1 RNNR")*0.5,COUNTIFS($J50:$AX50,"*B2 RNNR*",$J50:$AX50,"&lt;&gt;"&amp;"pB2 RNNR")*0.5)))</f>
        <v/>
      </c>
      <c r="J50" s="184" t="str">
        <f>IFERROR(IF(VLOOKUP(Wed_W1[[#This Row],[Employee Name]],'Base Schedules'!$A$205:$AW$241,9,FALSE)="","",VLOOKUP(Wed_W1[[#This Row],[Employee Name]],'Base Schedules'!$A$205:$AW$241,9,FALSE)),"")</f>
        <v/>
      </c>
      <c r="K50" s="184" t="str">
        <f>IFERROR(IF(VLOOKUP(Wed_W1[[#This Row],[Employee Name]],'Base Schedules'!$A$205:$AW$241,10,FALSE)="","",VLOOKUP(Wed_W1[[#This Row],[Employee Name]],'Base Schedules'!$A$205:$AW$241,10,FALSE)),"")</f>
        <v/>
      </c>
      <c r="L50" s="184" t="str">
        <f>IFERROR(IF(VLOOKUP(Wed_W1[[#This Row],[Employee Name]],'Base Schedules'!$A$205:$AW$241,11,FALSE)="","",VLOOKUP(Wed_W1[[#This Row],[Employee Name]],'Base Schedules'!$A$205:$AW$241,11,FALSE)),"")</f>
        <v/>
      </c>
      <c r="M50" s="184" t="str">
        <f>IFERROR(IF(VLOOKUP(Wed_W1[[#This Row],[Employee Name]],'Base Schedules'!$A$205:$AW$241,12,FALSE)="","",VLOOKUP(Wed_W1[[#This Row],[Employee Name]],'Base Schedules'!$A$205:$AW$241,12,FALSE)),"")</f>
        <v/>
      </c>
      <c r="N50" s="184" t="str">
        <f>IFERROR(IF(VLOOKUP(Wed_W1[[#This Row],[Employee Name]],'Base Schedules'!$A$205:$AW$241,13,FALSE)="","",VLOOKUP(Wed_W1[[#This Row],[Employee Name]],'Base Schedules'!$A$205:$AW$241,13,FALSE)),"")</f>
        <v/>
      </c>
      <c r="O50" s="184" t="str">
        <f>IFERROR(IF(VLOOKUP(Wed_W1[[#This Row],[Employee Name]],'Base Schedules'!$A$205:$AW$241,14,FALSE)="","",VLOOKUP(Wed_W1[[#This Row],[Employee Name]],'Base Schedules'!$A$205:$AW$241,14,FALSE)),"")</f>
        <v/>
      </c>
      <c r="P50" s="184" t="str">
        <f>IFERROR(IF(VLOOKUP(Wed_W1[[#This Row],[Employee Name]],'Base Schedules'!$A$205:$AW$241,15,FALSE)="","",VLOOKUP(Wed_W1[[#This Row],[Employee Name]],'Base Schedules'!$A$205:$AW$241,15,FALSE)),"")</f>
        <v/>
      </c>
      <c r="Q50" s="184" t="str">
        <f>IFERROR(IF(VLOOKUP(Wed_W1[[#This Row],[Employee Name]],'Base Schedules'!$A$205:$AW$241,16,FALSE)="","",VLOOKUP(Wed_W1[[#This Row],[Employee Name]],'Base Schedules'!$A$205:$AW$241,16,FALSE)),"")</f>
        <v/>
      </c>
      <c r="R50" s="184" t="str">
        <f>IFERROR(IF(VLOOKUP(Wed_W1[[#This Row],[Employee Name]],'Base Schedules'!$A$205:$AW$241,17,FALSE)="","",VLOOKUP(Wed_W1[[#This Row],[Employee Name]],'Base Schedules'!$A$205:$AW$241,17,FALSE)),"")</f>
        <v/>
      </c>
      <c r="S50" s="184" t="str">
        <f>IFERROR(IF(VLOOKUP(Wed_W1[[#This Row],[Employee Name]],'Base Schedules'!$A$205:$AW$241,18,FALSE)="","",VLOOKUP(Wed_W1[[#This Row],[Employee Name]],'Base Schedules'!$A$205:$AW$241,18,FALSE)),"")</f>
        <v/>
      </c>
      <c r="T50" s="184" t="str">
        <f>IFERROR(IF(VLOOKUP(Wed_W1[[#This Row],[Employee Name]],'Base Schedules'!$A$205:$AW$241,19,FALSE)="","",VLOOKUP(Wed_W1[[#This Row],[Employee Name]],'Base Schedules'!$A$205:$AW$241,19,FALSE)),"")</f>
        <v/>
      </c>
      <c r="U50" s="184" t="str">
        <f>IFERROR(IF(VLOOKUP(Wed_W1[[#This Row],[Employee Name]],'Base Schedules'!$A$205:$AW$241,20,FALSE)="","",VLOOKUP(Wed_W1[[#This Row],[Employee Name]],'Base Schedules'!$A$205:$AW$241,20,FALSE)),"")</f>
        <v/>
      </c>
      <c r="V50" s="184" t="str">
        <f>IFERROR(IF(VLOOKUP(Wed_W1[[#This Row],[Employee Name]],'Base Schedules'!$A$205:$AW$241,21,FALSE)="","",VLOOKUP(Wed_W1[[#This Row],[Employee Name]],'Base Schedules'!$A$205:$AW$241,21,FALSE)),"")</f>
        <v/>
      </c>
      <c r="W50" s="184" t="str">
        <f>IFERROR(IF(VLOOKUP(Wed_W1[[#This Row],[Employee Name]],'Base Schedules'!$A$205:$AW$241,22,FALSE)="","",VLOOKUP(Wed_W1[[#This Row],[Employee Name]],'Base Schedules'!$A$205:$AW$241,22,FALSE)),"")</f>
        <v/>
      </c>
      <c r="X50" s="184" t="str">
        <f>IFERROR(IF(VLOOKUP(Wed_W1[[#This Row],[Employee Name]],'Base Schedules'!$A$205:$AW$241,23,FALSE)="","",VLOOKUP(Wed_W1[[#This Row],[Employee Name]],'Base Schedules'!$A$205:$AW$241,23,FALSE)),"")</f>
        <v/>
      </c>
      <c r="Y50" s="184" t="str">
        <f>IFERROR(IF(VLOOKUP(Wed_W1[[#This Row],[Employee Name]],'Base Schedules'!$A$205:$AW$241,24,FALSE)="","",VLOOKUP(Wed_W1[[#This Row],[Employee Name]],'Base Schedules'!$A$205:$AW$241,24,FALSE)),"")</f>
        <v/>
      </c>
      <c r="Z50" s="184" t="str">
        <f>IFERROR(IF(VLOOKUP(Wed_W1[[#This Row],[Employee Name]],'Base Schedules'!$A$205:$AW$241,25,FALSE)="","",VLOOKUP(Wed_W1[[#This Row],[Employee Name]],'Base Schedules'!$A$205:$AW$241,25,FALSE)),"")</f>
        <v/>
      </c>
      <c r="AA50" s="184" t="str">
        <f>IFERROR(IF(VLOOKUP(Wed_W1[[#This Row],[Employee Name]],'Base Schedules'!$A$205:$AW$241,26,FALSE)="","",VLOOKUP(Wed_W1[[#This Row],[Employee Name]],'Base Schedules'!$A$205:$AW$241,26,FALSE)),"")</f>
        <v/>
      </c>
      <c r="AB50" s="184" t="str">
        <f>IFERROR(IF(VLOOKUP(Wed_W1[[#This Row],[Employee Name]],'Base Schedules'!$A$205:$AW$241,27,FALSE)="","",VLOOKUP(Wed_W1[[#This Row],[Employee Name]],'Base Schedules'!$A$205:$AW$241,27,FALSE)),"")</f>
        <v/>
      </c>
      <c r="AC50" s="184" t="str">
        <f>IFERROR(IF(VLOOKUP(Wed_W1[[#This Row],[Employee Name]],'Base Schedules'!$A$205:$AW$241,28,FALSE)="","",VLOOKUP(Wed_W1[[#This Row],[Employee Name]],'Base Schedules'!$A$205:$AW$241,28,FALSE)),"")</f>
        <v/>
      </c>
      <c r="AD50" s="184" t="str">
        <f>IFERROR(IF(VLOOKUP(Wed_W1[[#This Row],[Employee Name]],'Base Schedules'!$A$205:$AW$241,29,FALSE)="","",VLOOKUP(Wed_W1[[#This Row],[Employee Name]],'Base Schedules'!$A$205:$AW$241,29,FALSE)),"")</f>
        <v/>
      </c>
      <c r="AE50" s="184" t="str">
        <f>IFERROR(IF(VLOOKUP(Wed_W1[[#This Row],[Employee Name]],'Base Schedules'!$A$205:$AW$241,30,FALSE)="","",VLOOKUP(Wed_W1[[#This Row],[Employee Name]],'Base Schedules'!$A$205:$AW$241,30,FALSE)),"")</f>
        <v/>
      </c>
      <c r="AF50" s="184" t="str">
        <f>IFERROR(IF(VLOOKUP(Wed_W1[[#This Row],[Employee Name]],'Base Schedules'!$A$205:$AW$241,31,FALSE)="","",VLOOKUP(Wed_W1[[#This Row],[Employee Name]],'Base Schedules'!$A$205:$AW$241,31,FALSE)),"")</f>
        <v/>
      </c>
      <c r="AG50" s="184" t="str">
        <f>IFERROR(IF(VLOOKUP(Wed_W1[[#This Row],[Employee Name]],'Base Schedules'!$A$205:$AW$241,32,FALSE)="","",VLOOKUP(Wed_W1[[#This Row],[Employee Name]],'Base Schedules'!$A$205:$AW$241,32,FALSE)),"")</f>
        <v/>
      </c>
      <c r="AH50" s="184" t="str">
        <f>IFERROR(IF(VLOOKUP(Wed_W1[[#This Row],[Employee Name]],'Base Schedules'!$A$205:$AW$241,33,FALSE)="","",VLOOKUP(Wed_W1[[#This Row],[Employee Name]],'Base Schedules'!$A$205:$AW$241,33,FALSE)),"")</f>
        <v/>
      </c>
      <c r="AI50" s="184" t="str">
        <f>IFERROR(IF(VLOOKUP(Wed_W1[[#This Row],[Employee Name]],'Base Schedules'!$A$205:$AW$241,34,FALSE)="","",VLOOKUP(Wed_W1[[#This Row],[Employee Name]],'Base Schedules'!$A$205:$AW$241,34,FALSE)),"")</f>
        <v/>
      </c>
      <c r="AJ50" s="184" t="str">
        <f>IFERROR(IF(VLOOKUP(Wed_W1[[#This Row],[Employee Name]],'Base Schedules'!$A$205:$AW$241,35,FALSE)="","",VLOOKUP(Wed_W1[[#This Row],[Employee Name]],'Base Schedules'!$A$205:$AW$241,35,FALSE)),"")</f>
        <v/>
      </c>
      <c r="AK50" s="184" t="str">
        <f>IFERROR(IF(VLOOKUP(Wed_W1[[#This Row],[Employee Name]],'Base Schedules'!$A$205:$AW$241,36,FALSE)="","",VLOOKUP(Wed_W1[[#This Row],[Employee Name]],'Base Schedules'!$A$205:$AW$241,36,FALSE)),"")</f>
        <v/>
      </c>
      <c r="AL50" s="184" t="str">
        <f>IFERROR(IF(VLOOKUP(Wed_W1[[#This Row],[Employee Name]],'Base Schedules'!$A$205:$AW$241,37,FALSE)="","",VLOOKUP(Wed_W1[[#This Row],[Employee Name]],'Base Schedules'!$A$205:$AW$241,37,FALSE)),"")</f>
        <v/>
      </c>
      <c r="AM50" s="184" t="str">
        <f>IFERROR(IF(VLOOKUP(Wed_W1[[#This Row],[Employee Name]],'Base Schedules'!$A$205:$AW$241,38,FALSE)="","",VLOOKUP(Wed_W1[[#This Row],[Employee Name]],'Base Schedules'!$A$205:$AW$241,38,FALSE)),"")</f>
        <v/>
      </c>
      <c r="AN50" s="184" t="str">
        <f>IFERROR(IF(VLOOKUP(Wed_W1[[#This Row],[Employee Name]],'Base Schedules'!$A$205:$AW$241,39,FALSE)="","",VLOOKUP(Wed_W1[[#This Row],[Employee Name]],'Base Schedules'!$A$205:$AW$241,39,FALSE)),"")</f>
        <v/>
      </c>
      <c r="AO50" s="184" t="str">
        <f>IFERROR(IF(VLOOKUP(Wed_W1[[#This Row],[Employee Name]],'Base Schedules'!$A$205:$AW$241,40,FALSE)="","",VLOOKUP(Wed_W1[[#This Row],[Employee Name]],'Base Schedules'!$A$205:$AW$241,40,FALSE)),"")</f>
        <v/>
      </c>
      <c r="AP50" s="184" t="str">
        <f>IFERROR(IF(VLOOKUP(Wed_W1[[#This Row],[Employee Name]],'Base Schedules'!$A$205:$AW$241,41,FALSE)="","",VLOOKUP(Wed_W1[[#This Row],[Employee Name]],'Base Schedules'!$A$205:$AW$241,41,FALSE)),"")</f>
        <v/>
      </c>
      <c r="AQ50" s="184" t="str">
        <f>IFERROR(IF(VLOOKUP(Wed_W1[[#This Row],[Employee Name]],'Base Schedules'!$A$205:$AW$241,42,FALSE)="","",VLOOKUP(Wed_W1[[#This Row],[Employee Name]],'Base Schedules'!$A$205:$AW$241,42,FALSE)),"")</f>
        <v/>
      </c>
      <c r="AR50" s="184" t="str">
        <f>IFERROR(IF(VLOOKUP(Wed_W1[[#This Row],[Employee Name]],'Base Schedules'!$A$205:$AW$241,43,FALSE)="","",VLOOKUP(Wed_W1[[#This Row],[Employee Name]],'Base Schedules'!$A$205:$AW$241,43,FALSE)),"")</f>
        <v/>
      </c>
      <c r="AS50" s="184" t="str">
        <f>IFERROR(IF(VLOOKUP(Wed_W1[[#This Row],[Employee Name]],'Base Schedules'!$A$205:$AW$241,44,FALSE)="","",VLOOKUP(Wed_W1[[#This Row],[Employee Name]],'Base Schedules'!$A$205:$AW$241,44,FALSE)),"")</f>
        <v/>
      </c>
      <c r="AT50" s="184" t="str">
        <f>IFERROR(IF(VLOOKUP(Wed_W1[[#This Row],[Employee Name]],'Base Schedules'!$A$205:$AW$241,45,FALSE)="","",VLOOKUP(Wed_W1[[#This Row],[Employee Name]],'Base Schedules'!$A$205:$AW$241,45,FALSE)),"")</f>
        <v/>
      </c>
      <c r="AU50" s="184" t="str">
        <f>IFERROR(IF(VLOOKUP(Wed_W1[[#This Row],[Employee Name]],'Base Schedules'!$A$205:$AW$241,46,FALSE)="","",VLOOKUP(Wed_W1[[#This Row],[Employee Name]],'Base Schedules'!$A$205:$AW$241,46,FALSE)),"")</f>
        <v/>
      </c>
      <c r="AV50" s="184" t="str">
        <f>IFERROR(IF(VLOOKUP(Wed_W1[[#This Row],[Employee Name]],'Base Schedules'!$A$205:$AW$241,47,FALSE)="","",VLOOKUP(Wed_W1[[#This Row],[Employee Name]],'Base Schedules'!$A$205:$AW$241,47,FALSE)),"")</f>
        <v/>
      </c>
      <c r="AW50" s="184" t="str">
        <f>IFERROR(IF(VLOOKUP(Wed_W1[[#This Row],[Employee Name]],'Base Schedules'!$A$205:$AW$241,48,FALSE)="","",VLOOKUP(Wed_W1[[#This Row],[Employee Name]],'Base Schedules'!$A$205:$AW$241,48,FALSE)),"")</f>
        <v/>
      </c>
      <c r="AX50" s="184" t="str">
        <f>IFERROR(IF(VLOOKUP(Wed_W1[[#This Row],[Employee Name]],'Base Schedules'!$A$205:$AW$241,49,FALSE)="","",VLOOKUP(Wed_W1[[#This Row],[Employee Name]],'Base Schedules'!$A$205:$AW$241,49,FALSE)),"")</f>
        <v/>
      </c>
      <c r="AY50" s="164" t="str">
        <f t="shared" si="2"/>
        <v/>
      </c>
    </row>
    <row r="51" spans="1:52" s="44" customFormat="1" hidden="1" thickBot="1" x14ac:dyDescent="0.25">
      <c r="A51" s="39" t="str">
        <f>IF(B51="","",INDEX(TeamList[],MATCH($B51,TeamList[[Employee Name]:[Employee Name]],0),MATCH("Manager",TeamList[#Headers],0)))</f>
        <v/>
      </c>
      <c r="B51" s="201"/>
      <c r="C51" s="257" t="str">
        <f>_xlfn.IFNA(VLOOKUP(Wed_W1[[#This Row],[Employee Name]],'Base Schedules'!A:B,2,FALSE),"")</f>
        <v/>
      </c>
      <c r="D51" s="274" t="str">
        <f>_xlfn.IFNA(VLOOKUP(Wed_W1[[#This Row],[Employee Name]],'Base Schedules'!A:C,3,FALSE),"")</f>
        <v/>
      </c>
      <c r="E51" s="274" t="str">
        <f>_xlfn.IFNA(VLOOKUP(Wed_W1[[#This Row],[Employee Name]],'Base Schedules'!A:D,4,FALSE),"")</f>
        <v/>
      </c>
      <c r="F51" s="142" t="str">
        <f>IF(Wed_W1[[#This Row],[Employee Name]]="","",IF(Wed_W1[[#This Row],[Dept]]="Supervisor",COUNTIFS($J51:$AX51,"*HL*",$J51:$AX51,"&lt;&gt;"&amp;"pHL"),COUNTIFS($J51:$AX51,"*HL*",$J51:$AX51,"&lt;&gt;"&amp;"*pHL*",$J51:$AX51,"&lt;&gt;"&amp;"pB1 HL",$J51:$AX51,"&lt;&gt;"&amp;"pB2 HL")-SUM(COUNTIFS($J51:$AX51,"*HL B1*",$J51:$AX51,"&lt;&gt;"&amp;"pHL B1")*0.5,COUNTIFS($J51:$AX51,"*HL B2*",$J51:$AX51,"&lt;&gt;"&amp;"pHL B2")*0.5,COUNTIFS($J51:$AX51,"*B1 HL*",$J51:$AX51,"&lt;&gt;"&amp;"pB1 HL")*0.5,COUNTIFS($J51:$AX51,"*B2 HL*",$J51:$AX51,"&lt;&gt;"&amp;"pB2 HL")*0.5)))</f>
        <v/>
      </c>
      <c r="G51" s="142" t="str">
        <f t="shared" si="0"/>
        <v/>
      </c>
      <c r="H51" s="142" t="str">
        <f t="shared" si="1"/>
        <v/>
      </c>
      <c r="I51" s="142" t="str">
        <f>IF(Wed_W1[[#This Row],[Employee Name]]="","",IF(Wed_W1[[#This Row],[Dept]]="Supervisor",SUM(COUNTIFS($J51:$AX51,"RTA*",$J51:$AX51,"&lt;&gt;"&amp;"pRTA"),COUNTIFS($J51:$AX51,"*CRTA*",$J51:$AX51,"&lt;&gt;"&amp;"pCRTA")),COUNTIFS($J51:$AX51,"*RNNR*",$J51:$AX51,"&lt;&gt;"&amp;"*pRNNR*",$J51:$AX51,"&lt;&gt;"&amp;"pB1 RNNR",$J51:$AX51,"&lt;&gt;"&amp;"pB2 RNNR")-SUM(COUNTIFS($J51:$AX51,"*RNNR B1*",$J51:$AX51,"&lt;&gt;"&amp;"pRNNR B1")*0.5,COUNTIFS($J51:$AX51,"*RNNR B2*",$J51:$AX51,"&lt;&gt;"&amp;"pRNNR B2")*0.5,COUNTIFS($J51:$AX51,"*B1 RNNR*",$J51:$AX51,"&lt;&gt;"&amp;"pB1 RNNR")*0.5,COUNTIFS($J51:$AX51,"*B2 RNNR*",$J51:$AX51,"&lt;&gt;"&amp;"pB2 RNNR")*0.5)))</f>
        <v/>
      </c>
      <c r="J51" s="184" t="str">
        <f>IFERROR(IF(VLOOKUP(Wed_W1[[#This Row],[Employee Name]],'Base Schedules'!$A$205:$AW$241,9,FALSE)="","",VLOOKUP(Wed_W1[[#This Row],[Employee Name]],'Base Schedules'!$A$205:$AW$241,9,FALSE)),"")</f>
        <v/>
      </c>
      <c r="K51" s="184" t="str">
        <f>IFERROR(IF(VLOOKUP(Wed_W1[[#This Row],[Employee Name]],'Base Schedules'!$A$205:$AW$241,10,FALSE)="","",VLOOKUP(Wed_W1[[#This Row],[Employee Name]],'Base Schedules'!$A$205:$AW$241,10,FALSE)),"")</f>
        <v/>
      </c>
      <c r="L51" s="184" t="str">
        <f>IFERROR(IF(VLOOKUP(Wed_W1[[#This Row],[Employee Name]],'Base Schedules'!$A$205:$AW$241,11,FALSE)="","",VLOOKUP(Wed_W1[[#This Row],[Employee Name]],'Base Schedules'!$A$205:$AW$241,11,FALSE)),"")</f>
        <v/>
      </c>
      <c r="M51" s="184" t="str">
        <f>IFERROR(IF(VLOOKUP(Wed_W1[[#This Row],[Employee Name]],'Base Schedules'!$A$205:$AW$241,12,FALSE)="","",VLOOKUP(Wed_W1[[#This Row],[Employee Name]],'Base Schedules'!$A$205:$AW$241,12,FALSE)),"")</f>
        <v/>
      </c>
      <c r="N51" s="184" t="str">
        <f>IFERROR(IF(VLOOKUP(Wed_W1[[#This Row],[Employee Name]],'Base Schedules'!$A$205:$AW$241,13,FALSE)="","",VLOOKUP(Wed_W1[[#This Row],[Employee Name]],'Base Schedules'!$A$205:$AW$241,13,FALSE)),"")</f>
        <v/>
      </c>
      <c r="O51" s="184" t="str">
        <f>IFERROR(IF(VLOOKUP(Wed_W1[[#This Row],[Employee Name]],'Base Schedules'!$A$205:$AW$241,14,FALSE)="","",VLOOKUP(Wed_W1[[#This Row],[Employee Name]],'Base Schedules'!$A$205:$AW$241,14,FALSE)),"")</f>
        <v/>
      </c>
      <c r="P51" s="184" t="str">
        <f>IFERROR(IF(VLOOKUP(Wed_W1[[#This Row],[Employee Name]],'Base Schedules'!$A$205:$AW$241,15,FALSE)="","",VLOOKUP(Wed_W1[[#This Row],[Employee Name]],'Base Schedules'!$A$205:$AW$241,15,FALSE)),"")</f>
        <v/>
      </c>
      <c r="Q51" s="184" t="str">
        <f>IFERROR(IF(VLOOKUP(Wed_W1[[#This Row],[Employee Name]],'Base Schedules'!$A$205:$AW$241,16,FALSE)="","",VLOOKUP(Wed_W1[[#This Row],[Employee Name]],'Base Schedules'!$A$205:$AW$241,16,FALSE)),"")</f>
        <v/>
      </c>
      <c r="R51" s="184" t="str">
        <f>IFERROR(IF(VLOOKUP(Wed_W1[[#This Row],[Employee Name]],'Base Schedules'!$A$205:$AW$241,17,FALSE)="","",VLOOKUP(Wed_W1[[#This Row],[Employee Name]],'Base Schedules'!$A$205:$AW$241,17,FALSE)),"")</f>
        <v/>
      </c>
      <c r="S51" s="184" t="str">
        <f>IFERROR(IF(VLOOKUP(Wed_W1[[#This Row],[Employee Name]],'Base Schedules'!$A$205:$AW$241,18,FALSE)="","",VLOOKUP(Wed_W1[[#This Row],[Employee Name]],'Base Schedules'!$A$205:$AW$241,18,FALSE)),"")</f>
        <v/>
      </c>
      <c r="T51" s="184" t="str">
        <f>IFERROR(IF(VLOOKUP(Wed_W1[[#This Row],[Employee Name]],'Base Schedules'!$A$205:$AW$241,19,FALSE)="","",VLOOKUP(Wed_W1[[#This Row],[Employee Name]],'Base Schedules'!$A$205:$AW$241,19,FALSE)),"")</f>
        <v/>
      </c>
      <c r="U51" s="184" t="str">
        <f>IFERROR(IF(VLOOKUP(Wed_W1[[#This Row],[Employee Name]],'Base Schedules'!$A$205:$AW$241,20,FALSE)="","",VLOOKUP(Wed_W1[[#This Row],[Employee Name]],'Base Schedules'!$A$205:$AW$241,20,FALSE)),"")</f>
        <v/>
      </c>
      <c r="V51" s="184" t="str">
        <f>IFERROR(IF(VLOOKUP(Wed_W1[[#This Row],[Employee Name]],'Base Schedules'!$A$205:$AW$241,21,FALSE)="","",VLOOKUP(Wed_W1[[#This Row],[Employee Name]],'Base Schedules'!$A$205:$AW$241,21,FALSE)),"")</f>
        <v/>
      </c>
      <c r="W51" s="184" t="str">
        <f>IFERROR(IF(VLOOKUP(Wed_W1[[#This Row],[Employee Name]],'Base Schedules'!$A$205:$AW$241,22,FALSE)="","",VLOOKUP(Wed_W1[[#This Row],[Employee Name]],'Base Schedules'!$A$205:$AW$241,22,FALSE)),"")</f>
        <v/>
      </c>
      <c r="X51" s="184" t="str">
        <f>IFERROR(IF(VLOOKUP(Wed_W1[[#This Row],[Employee Name]],'Base Schedules'!$A$205:$AW$241,23,FALSE)="","",VLOOKUP(Wed_W1[[#This Row],[Employee Name]],'Base Schedules'!$A$205:$AW$241,23,FALSE)),"")</f>
        <v/>
      </c>
      <c r="Y51" s="184" t="str">
        <f>IFERROR(IF(VLOOKUP(Wed_W1[[#This Row],[Employee Name]],'Base Schedules'!$A$205:$AW$241,24,FALSE)="","",VLOOKUP(Wed_W1[[#This Row],[Employee Name]],'Base Schedules'!$A$205:$AW$241,24,FALSE)),"")</f>
        <v/>
      </c>
      <c r="Z51" s="184" t="str">
        <f>IFERROR(IF(VLOOKUP(Wed_W1[[#This Row],[Employee Name]],'Base Schedules'!$A$205:$AW$241,25,FALSE)="","",VLOOKUP(Wed_W1[[#This Row],[Employee Name]],'Base Schedules'!$A$205:$AW$241,25,FALSE)),"")</f>
        <v/>
      </c>
      <c r="AA51" s="184" t="str">
        <f>IFERROR(IF(VLOOKUP(Wed_W1[[#This Row],[Employee Name]],'Base Schedules'!$A$205:$AW$241,26,FALSE)="","",VLOOKUP(Wed_W1[[#This Row],[Employee Name]],'Base Schedules'!$A$205:$AW$241,26,FALSE)),"")</f>
        <v/>
      </c>
      <c r="AB51" s="184" t="str">
        <f>IFERROR(IF(VLOOKUP(Wed_W1[[#This Row],[Employee Name]],'Base Schedules'!$A$205:$AW$241,27,FALSE)="","",VLOOKUP(Wed_W1[[#This Row],[Employee Name]],'Base Schedules'!$A$205:$AW$241,27,FALSE)),"")</f>
        <v/>
      </c>
      <c r="AC51" s="184" t="str">
        <f>IFERROR(IF(VLOOKUP(Wed_W1[[#This Row],[Employee Name]],'Base Schedules'!$A$205:$AW$241,28,FALSE)="","",VLOOKUP(Wed_W1[[#This Row],[Employee Name]],'Base Schedules'!$A$205:$AW$241,28,FALSE)),"")</f>
        <v/>
      </c>
      <c r="AD51" s="184" t="str">
        <f>IFERROR(IF(VLOOKUP(Wed_W1[[#This Row],[Employee Name]],'Base Schedules'!$A$205:$AW$241,29,FALSE)="","",VLOOKUP(Wed_W1[[#This Row],[Employee Name]],'Base Schedules'!$A$205:$AW$241,29,FALSE)),"")</f>
        <v/>
      </c>
      <c r="AE51" s="184" t="str">
        <f>IFERROR(IF(VLOOKUP(Wed_W1[[#This Row],[Employee Name]],'Base Schedules'!$A$205:$AW$241,30,FALSE)="","",VLOOKUP(Wed_W1[[#This Row],[Employee Name]],'Base Schedules'!$A$205:$AW$241,30,FALSE)),"")</f>
        <v/>
      </c>
      <c r="AF51" s="184" t="str">
        <f>IFERROR(IF(VLOOKUP(Wed_W1[[#This Row],[Employee Name]],'Base Schedules'!$A$205:$AW$241,31,FALSE)="","",VLOOKUP(Wed_W1[[#This Row],[Employee Name]],'Base Schedules'!$A$205:$AW$241,31,FALSE)),"")</f>
        <v/>
      </c>
      <c r="AG51" s="184" t="str">
        <f>IFERROR(IF(VLOOKUP(Wed_W1[[#This Row],[Employee Name]],'Base Schedules'!$A$205:$AW$241,32,FALSE)="","",VLOOKUP(Wed_W1[[#This Row],[Employee Name]],'Base Schedules'!$A$205:$AW$241,32,FALSE)),"")</f>
        <v/>
      </c>
      <c r="AH51" s="184" t="str">
        <f>IFERROR(IF(VLOOKUP(Wed_W1[[#This Row],[Employee Name]],'Base Schedules'!$A$205:$AW$241,33,FALSE)="","",VLOOKUP(Wed_W1[[#This Row],[Employee Name]],'Base Schedules'!$A$205:$AW$241,33,FALSE)),"")</f>
        <v/>
      </c>
      <c r="AI51" s="184" t="str">
        <f>IFERROR(IF(VLOOKUP(Wed_W1[[#This Row],[Employee Name]],'Base Schedules'!$A$205:$AW$241,34,FALSE)="","",VLOOKUP(Wed_W1[[#This Row],[Employee Name]],'Base Schedules'!$A$205:$AW$241,34,FALSE)),"")</f>
        <v/>
      </c>
      <c r="AJ51" s="184" t="str">
        <f>IFERROR(IF(VLOOKUP(Wed_W1[[#This Row],[Employee Name]],'Base Schedules'!$A$205:$AW$241,35,FALSE)="","",VLOOKUP(Wed_W1[[#This Row],[Employee Name]],'Base Schedules'!$A$205:$AW$241,35,FALSE)),"")</f>
        <v/>
      </c>
      <c r="AK51" s="184" t="str">
        <f>IFERROR(IF(VLOOKUP(Wed_W1[[#This Row],[Employee Name]],'Base Schedules'!$A$205:$AW$241,36,FALSE)="","",VLOOKUP(Wed_W1[[#This Row],[Employee Name]],'Base Schedules'!$A$205:$AW$241,36,FALSE)),"")</f>
        <v/>
      </c>
      <c r="AL51" s="184" t="str">
        <f>IFERROR(IF(VLOOKUP(Wed_W1[[#This Row],[Employee Name]],'Base Schedules'!$A$205:$AW$241,37,FALSE)="","",VLOOKUP(Wed_W1[[#This Row],[Employee Name]],'Base Schedules'!$A$205:$AW$241,37,FALSE)),"")</f>
        <v/>
      </c>
      <c r="AM51" s="184" t="str">
        <f>IFERROR(IF(VLOOKUP(Wed_W1[[#This Row],[Employee Name]],'Base Schedules'!$A$205:$AW$241,38,FALSE)="","",VLOOKUP(Wed_W1[[#This Row],[Employee Name]],'Base Schedules'!$A$205:$AW$241,38,FALSE)),"")</f>
        <v/>
      </c>
      <c r="AN51" s="184" t="str">
        <f>IFERROR(IF(VLOOKUP(Wed_W1[[#This Row],[Employee Name]],'Base Schedules'!$A$205:$AW$241,39,FALSE)="","",VLOOKUP(Wed_W1[[#This Row],[Employee Name]],'Base Schedules'!$A$205:$AW$241,39,FALSE)),"")</f>
        <v/>
      </c>
      <c r="AO51" s="184" t="str">
        <f>IFERROR(IF(VLOOKUP(Wed_W1[[#This Row],[Employee Name]],'Base Schedules'!$A$205:$AW$241,40,FALSE)="","",VLOOKUP(Wed_W1[[#This Row],[Employee Name]],'Base Schedules'!$A$205:$AW$241,40,FALSE)),"")</f>
        <v/>
      </c>
      <c r="AP51" s="184" t="str">
        <f>IFERROR(IF(VLOOKUP(Wed_W1[[#This Row],[Employee Name]],'Base Schedules'!$A$205:$AW$241,41,FALSE)="","",VLOOKUP(Wed_W1[[#This Row],[Employee Name]],'Base Schedules'!$A$205:$AW$241,41,FALSE)),"")</f>
        <v/>
      </c>
      <c r="AQ51" s="184" t="str">
        <f>IFERROR(IF(VLOOKUP(Wed_W1[[#This Row],[Employee Name]],'Base Schedules'!$A$205:$AW$241,42,FALSE)="","",VLOOKUP(Wed_W1[[#This Row],[Employee Name]],'Base Schedules'!$A$205:$AW$241,42,FALSE)),"")</f>
        <v/>
      </c>
      <c r="AR51" s="184" t="str">
        <f>IFERROR(IF(VLOOKUP(Wed_W1[[#This Row],[Employee Name]],'Base Schedules'!$A$205:$AW$241,43,FALSE)="","",VLOOKUP(Wed_W1[[#This Row],[Employee Name]],'Base Schedules'!$A$205:$AW$241,43,FALSE)),"")</f>
        <v/>
      </c>
      <c r="AS51" s="184" t="str">
        <f>IFERROR(IF(VLOOKUP(Wed_W1[[#This Row],[Employee Name]],'Base Schedules'!$A$205:$AW$241,44,FALSE)="","",VLOOKUP(Wed_W1[[#This Row],[Employee Name]],'Base Schedules'!$A$205:$AW$241,44,FALSE)),"")</f>
        <v/>
      </c>
      <c r="AT51" s="184" t="str">
        <f>IFERROR(IF(VLOOKUP(Wed_W1[[#This Row],[Employee Name]],'Base Schedules'!$A$205:$AW$241,45,FALSE)="","",VLOOKUP(Wed_W1[[#This Row],[Employee Name]],'Base Schedules'!$A$205:$AW$241,45,FALSE)),"")</f>
        <v/>
      </c>
      <c r="AU51" s="184" t="str">
        <f>IFERROR(IF(VLOOKUP(Wed_W1[[#This Row],[Employee Name]],'Base Schedules'!$A$205:$AW$241,46,FALSE)="","",VLOOKUP(Wed_W1[[#This Row],[Employee Name]],'Base Schedules'!$A$205:$AW$241,46,FALSE)),"")</f>
        <v/>
      </c>
      <c r="AV51" s="184" t="str">
        <f>IFERROR(IF(VLOOKUP(Wed_W1[[#This Row],[Employee Name]],'Base Schedules'!$A$205:$AW$241,47,FALSE)="","",VLOOKUP(Wed_W1[[#This Row],[Employee Name]],'Base Schedules'!$A$205:$AW$241,47,FALSE)),"")</f>
        <v/>
      </c>
      <c r="AW51" s="184" t="str">
        <f>IFERROR(IF(VLOOKUP(Wed_W1[[#This Row],[Employee Name]],'Base Schedules'!$A$205:$AW$241,48,FALSE)="","",VLOOKUP(Wed_W1[[#This Row],[Employee Name]],'Base Schedules'!$A$205:$AW$241,48,FALSE)),"")</f>
        <v/>
      </c>
      <c r="AX51" s="184" t="str">
        <f>IFERROR(IF(VLOOKUP(Wed_W1[[#This Row],[Employee Name]],'Base Schedules'!$A$205:$AW$241,49,FALSE)="","",VLOOKUP(Wed_W1[[#This Row],[Employee Name]],'Base Schedules'!$A$205:$AW$241,49,FALSE)),"")</f>
        <v/>
      </c>
      <c r="AY51" s="164" t="str">
        <f t="shared" si="2"/>
        <v/>
      </c>
    </row>
    <row r="52" spans="1:52" s="44" customFormat="1" hidden="1" thickBot="1" x14ac:dyDescent="0.25">
      <c r="A52" s="39" t="str">
        <f>IF(B52="","",INDEX(TeamList[],MATCH($B52,TeamList[[Employee Name]:[Employee Name]],0),MATCH("Manager",TeamList[#Headers],0)))</f>
        <v/>
      </c>
      <c r="B52" s="201"/>
      <c r="C52" s="257" t="str">
        <f>_xlfn.IFNA(VLOOKUP(Wed_W1[[#This Row],[Employee Name]],'Base Schedules'!A:B,2,FALSE),"")</f>
        <v/>
      </c>
      <c r="D52" s="274" t="str">
        <f>_xlfn.IFNA(VLOOKUP(Wed_W1[[#This Row],[Employee Name]],'Base Schedules'!A:C,3,FALSE),"")</f>
        <v/>
      </c>
      <c r="E52" s="274" t="str">
        <f>_xlfn.IFNA(VLOOKUP(Wed_W1[[#This Row],[Employee Name]],'Base Schedules'!A:D,4,FALSE),"")</f>
        <v/>
      </c>
      <c r="F52" s="142" t="str">
        <f>IF(Wed_W1[[#This Row],[Employee Name]]="","",IF(Wed_W1[[#This Row],[Dept]]="Supervisor",COUNTIFS($J52:$AX52,"*HL*",$J52:$AX52,"&lt;&gt;"&amp;"pHL"),COUNTIFS($J52:$AX52,"*HL*",$J52:$AX52,"&lt;&gt;"&amp;"*pHL*",$J52:$AX52,"&lt;&gt;"&amp;"pB1 HL",$J52:$AX52,"&lt;&gt;"&amp;"pB2 HL")-SUM(COUNTIFS($J52:$AX52,"*HL B1*",$J52:$AX52,"&lt;&gt;"&amp;"pHL B1")*0.5,COUNTIFS($J52:$AX52,"*HL B2*",$J52:$AX52,"&lt;&gt;"&amp;"pHL B2")*0.5,COUNTIFS($J52:$AX52,"*B1 HL*",$J52:$AX52,"&lt;&gt;"&amp;"pB1 HL")*0.5,COUNTIFS($J52:$AX52,"*B2 HL*",$J52:$AX52,"&lt;&gt;"&amp;"pB2 HL")*0.5)))</f>
        <v/>
      </c>
      <c r="G52" s="142" t="str">
        <f t="shared" si="0"/>
        <v/>
      </c>
      <c r="H52" s="142" t="str">
        <f t="shared" si="1"/>
        <v/>
      </c>
      <c r="I52" s="142" t="str">
        <f>IF(Wed_W1[[#This Row],[Employee Name]]="","",IF(Wed_W1[[#This Row],[Dept]]="Supervisor",SUM(COUNTIFS($J52:$AX52,"RTA*",$J52:$AX52,"&lt;&gt;"&amp;"pRTA"),COUNTIFS($J52:$AX52,"*CRTA*",$J52:$AX52,"&lt;&gt;"&amp;"pCRTA")),COUNTIFS($J52:$AX52,"*RNNR*",$J52:$AX52,"&lt;&gt;"&amp;"*pRNNR*",$J52:$AX52,"&lt;&gt;"&amp;"pB1 RNNR",$J52:$AX52,"&lt;&gt;"&amp;"pB2 RNNR")-SUM(COUNTIFS($J52:$AX52,"*RNNR B1*",$J52:$AX52,"&lt;&gt;"&amp;"pRNNR B1")*0.5,COUNTIFS($J52:$AX52,"*RNNR B2*",$J52:$AX52,"&lt;&gt;"&amp;"pRNNR B2")*0.5,COUNTIFS($J52:$AX52,"*B1 RNNR*",$J52:$AX52,"&lt;&gt;"&amp;"pB1 RNNR")*0.5,COUNTIFS($J52:$AX52,"*B2 RNNR*",$J52:$AX52,"&lt;&gt;"&amp;"pB2 RNNR")*0.5)))</f>
        <v/>
      </c>
      <c r="J52" s="184" t="str">
        <f>IFERROR(IF(VLOOKUP(Wed_W1[[#This Row],[Employee Name]],'Base Schedules'!$A:$I,9,FALSE)="","",VLOOKUP(Wed_W1[[#This Row],[Employee Name]],'Base Schedules'!$A:$I,9,FALSE)),"")</f>
        <v/>
      </c>
      <c r="K52" s="184" t="str">
        <f>IFERROR(IF(VLOOKUP(Wed_W1[[#This Row],[Employee Name]],'Base Schedules'!$A:$J,10,FALSE)="","",VLOOKUP(Wed_W1[[#This Row],[Employee Name]],'Base Schedules'!$A:$J,10,FALSE)),"")</f>
        <v/>
      </c>
      <c r="L52" s="184" t="str">
        <f>IFERROR(IF(VLOOKUP(Wed_W1[[#This Row],[Employee Name]],'Base Schedules'!$A:$K,11,FALSE)="","",VLOOKUP(Wed_W1[[#This Row],[Employee Name]],'Base Schedules'!$A:$K,11,FALSE)),"")</f>
        <v/>
      </c>
      <c r="M52" s="184" t="str">
        <f>IFERROR(IF(VLOOKUP(Wed_W1[[#This Row],[Employee Name]],'Base Schedules'!$A:$L,12,FALSE)="","",VLOOKUP(Wed_W1[[#This Row],[Employee Name]],'Base Schedules'!$A:$L,12,FALSE)),"")</f>
        <v/>
      </c>
      <c r="N52" s="184" t="str">
        <f>IFERROR(IF(VLOOKUP(Wed_W1[[#This Row],[Employee Name]],'Base Schedules'!$A:$M,13,FALSE)="","",VLOOKUP(Wed_W1[[#This Row],[Employee Name]],'Base Schedules'!$A:$M,13,FALSE)),"")</f>
        <v/>
      </c>
      <c r="O52" s="184" t="str">
        <f>IFERROR(IF(VLOOKUP(Wed_W1[[#This Row],[Employee Name]],'Base Schedules'!$A:$N,14,FALSE)="","",VLOOKUP(Wed_W1[[#This Row],[Employee Name]],'Base Schedules'!$A:$N,14,FALSE)),"")</f>
        <v/>
      </c>
      <c r="P52" s="184" t="str">
        <f>IFERROR(IF(VLOOKUP(Wed_W1[[#This Row],[Employee Name]],'Base Schedules'!$A:$O,15,FALSE)="","",VLOOKUP(Wed_W1[[#This Row],[Employee Name]],'Base Schedules'!$A:$O,15,FALSE)),"")</f>
        <v/>
      </c>
      <c r="Q52" s="184" t="str">
        <f>IFERROR(IF(VLOOKUP(Wed_W1[[#This Row],[Employee Name]],'Base Schedules'!$A:$P,16,FALSE)="","",VLOOKUP(Wed_W1[[#This Row],[Employee Name]],'Base Schedules'!$A:$P,16,FALSE)),"")</f>
        <v/>
      </c>
      <c r="R52" s="184" t="str">
        <f>IFERROR(IF(VLOOKUP(Wed_W1[[#This Row],[Employee Name]],'Base Schedules'!$A:$Q,17,FALSE)="","",VLOOKUP(Wed_W1[[#This Row],[Employee Name]],'Base Schedules'!$A:$Q,17,FALSE)),"")</f>
        <v/>
      </c>
      <c r="S52" s="184" t="str">
        <f>IFERROR(IF(VLOOKUP(Wed_W1[[#This Row],[Employee Name]],'Base Schedules'!$A:$R,18,FALSE)="","",VLOOKUP(Wed_W1[[#This Row],[Employee Name]],'Base Schedules'!$A:$R,18,FALSE)),"")</f>
        <v/>
      </c>
      <c r="T52" s="184" t="str">
        <f>IFERROR(IF(VLOOKUP(Wed_W1[[#This Row],[Employee Name]],'Base Schedules'!$A:$S,19,FALSE)="","",VLOOKUP(Wed_W1[[#This Row],[Employee Name]],'Base Schedules'!$A:$S,19,FALSE)),"")</f>
        <v/>
      </c>
      <c r="U52" s="184" t="str">
        <f>IFERROR(IF(VLOOKUP(Wed_W1[[#This Row],[Employee Name]],'Base Schedules'!$A:$T,20,FALSE)="","",VLOOKUP(Wed_W1[[#This Row],[Employee Name]],'Base Schedules'!$A:$T,20,FALSE)),"")</f>
        <v/>
      </c>
      <c r="V52" s="184" t="str">
        <f>IFERROR(IF(VLOOKUP(Wed_W1[[#This Row],[Employee Name]],'Base Schedules'!$A:$U,21,FALSE)="","",VLOOKUP(Wed_W1[[#This Row],[Employee Name]],'Base Schedules'!$A:$U,21,FALSE)),"")</f>
        <v/>
      </c>
      <c r="W52" s="184" t="str">
        <f>IFERROR(IF(VLOOKUP(Wed_W1[[#This Row],[Employee Name]],'Base Schedules'!$A:$V,22,FALSE)="","",VLOOKUP(Wed_W1[[#This Row],[Employee Name]],'Base Schedules'!$A:$V,22,FALSE)),"")</f>
        <v/>
      </c>
      <c r="X52" s="184" t="str">
        <f>IFERROR(IF(VLOOKUP(Wed_W1[[#This Row],[Employee Name]],'Base Schedules'!$A:$W,23,FALSE)="","",VLOOKUP(Wed_W1[[#This Row],[Employee Name]],'Base Schedules'!$A:$W,23,FALSE)),"")</f>
        <v/>
      </c>
      <c r="Y52" s="184" t="str">
        <f>IFERROR(IF(VLOOKUP(Wed_W1[[#This Row],[Employee Name]],'Base Schedules'!$A:$X,24,FALSE)="","",VLOOKUP(Wed_W1[[#This Row],[Employee Name]],'Base Schedules'!$A:$X,24,FALSE)),"")</f>
        <v/>
      </c>
      <c r="Z52" s="184" t="str">
        <f>IFERROR(IF(VLOOKUP(Wed_W1[[#This Row],[Employee Name]],'Base Schedules'!$A:$Y,25,FALSE)="","",VLOOKUP(Wed_W1[[#This Row],[Employee Name]],'Base Schedules'!$A:$Y,25,FALSE)),"")</f>
        <v/>
      </c>
      <c r="AA52" s="184" t="str">
        <f>IFERROR(IF(VLOOKUP(Wed_W1[[#This Row],[Employee Name]],'Base Schedules'!$A:$Z,26,FALSE)="","",VLOOKUP(Wed_W1[[#This Row],[Employee Name]],'Base Schedules'!$A:$Z,26,FALSE)),"")</f>
        <v/>
      </c>
      <c r="AB52" s="184" t="str">
        <f>IFERROR(IF(VLOOKUP(Wed_W1[[#This Row],[Employee Name]],'Base Schedules'!$A:$AA,27,FALSE)="","",VLOOKUP(Wed_W1[[#This Row],[Employee Name]],'Base Schedules'!$A:$AA,27,FALSE)),"")</f>
        <v/>
      </c>
      <c r="AC52" s="184" t="str">
        <f>IFERROR(IF(VLOOKUP(Wed_W1[[#This Row],[Employee Name]],'Base Schedules'!$A:$AB,28,FALSE)="","",VLOOKUP(Wed_W1[[#This Row],[Employee Name]],'Base Schedules'!$A:$AB,28,FALSE)),"")</f>
        <v/>
      </c>
      <c r="AD52" s="184" t="str">
        <f>IFERROR(IF(VLOOKUP(Wed_W1[[#This Row],[Employee Name]],'Base Schedules'!$A:$AC,29,FALSE)="","",VLOOKUP(Wed_W1[[#This Row],[Employee Name]],'Base Schedules'!$A:$AC,29,FALSE)),"")</f>
        <v/>
      </c>
      <c r="AE52" s="184" t="str">
        <f>IFERROR(IF(VLOOKUP(Wed_W1[[#This Row],[Employee Name]],'Base Schedules'!$A:$AD,30,FALSE)="","",VLOOKUP(Wed_W1[[#This Row],[Employee Name]],'Base Schedules'!$A:$AD,30,FALSE)),"")</f>
        <v/>
      </c>
      <c r="AF52" s="184" t="str">
        <f>IFERROR(IF(VLOOKUP(Wed_W1[[#This Row],[Employee Name]],'Base Schedules'!$A:$AE,31,FALSE)="","",VLOOKUP(Wed_W1[[#This Row],[Employee Name]],'Base Schedules'!$A:$AE,31,FALSE)),"")</f>
        <v/>
      </c>
      <c r="AG52" s="184" t="str">
        <f>IFERROR(IF(VLOOKUP(Wed_W1[[#This Row],[Employee Name]],'Base Schedules'!$A:$AF,32,FALSE)="","",VLOOKUP(Wed_W1[[#This Row],[Employee Name]],'Base Schedules'!$A:$AF,32,FALSE)),"")</f>
        <v/>
      </c>
      <c r="AH52" s="184" t="str">
        <f>IFERROR(IF(VLOOKUP(Wed_W1[[#This Row],[Employee Name]],'Base Schedules'!$A:$AG,33,FALSE)="","",VLOOKUP(Wed_W1[[#This Row],[Employee Name]],'Base Schedules'!$A:$AG,33,FALSE)),"")</f>
        <v/>
      </c>
      <c r="AI52" s="184" t="str">
        <f>IFERROR(IF(VLOOKUP(Wed_W1[[#This Row],[Employee Name]],'Base Schedules'!$A:$AH,34,FALSE)="","",VLOOKUP(Wed_W1[[#This Row],[Employee Name]],'Base Schedules'!$A:$AH,34,FALSE)),"")</f>
        <v/>
      </c>
      <c r="AJ52" s="184" t="str">
        <f>IFERROR(IF(VLOOKUP(Wed_W1[[#This Row],[Employee Name]],'Base Schedules'!$A:$AI,35,FALSE)="","",VLOOKUP(Wed_W1[[#This Row],[Employee Name]],'Base Schedules'!$A:$AI,35,FALSE)),"")</f>
        <v/>
      </c>
      <c r="AK52" s="184" t="str">
        <f>IFERROR(IF(VLOOKUP(Wed_W1[[#This Row],[Employee Name]],'Base Schedules'!$A:$AJ,36,FALSE)="","",VLOOKUP(Wed_W1[[#This Row],[Employee Name]],'Base Schedules'!$A:$AJ,36,FALSE)),"")</f>
        <v/>
      </c>
      <c r="AL52" s="184" t="str">
        <f>IFERROR(IF(VLOOKUP(Wed_W1[[#This Row],[Employee Name]],'Base Schedules'!$A:$AK,37,FALSE)="","",VLOOKUP(Wed_W1[[#This Row],[Employee Name]],'Base Schedules'!$A:$AK,37,FALSE)),"")</f>
        <v/>
      </c>
      <c r="AM52" s="184" t="str">
        <f>IFERROR(IF(VLOOKUP(Wed_W1[[#This Row],[Employee Name]],'Base Schedules'!$A:$AL,38,FALSE)="","",VLOOKUP(Wed_W1[[#This Row],[Employee Name]],'Base Schedules'!$A:$AL,38,FALSE)),"")</f>
        <v/>
      </c>
      <c r="AN52" s="184" t="str">
        <f>IFERROR(IF(VLOOKUP(Wed_W1[[#This Row],[Employee Name]],'Base Schedules'!$A:$AM,39,FALSE)="","",VLOOKUP(Wed_W1[[#This Row],[Employee Name]],'Base Schedules'!$A:$AM,39,FALSE)),"")</f>
        <v/>
      </c>
      <c r="AO52" s="184" t="str">
        <f>IFERROR(IF(VLOOKUP(Wed_W1[[#This Row],[Employee Name]],'Base Schedules'!$A:$AN,40,FALSE)="","",VLOOKUP(Wed_W1[[#This Row],[Employee Name]],'Base Schedules'!$A:$AN,40,FALSE)),"")</f>
        <v/>
      </c>
      <c r="AP52" s="184" t="str">
        <f>IFERROR(IF(VLOOKUP(Wed_W1[[#This Row],[Employee Name]],'Base Schedules'!$A:$AO,41,FALSE)="","",VLOOKUP(Wed_W1[[#This Row],[Employee Name]],'Base Schedules'!$A:$AO,41,FALSE)),"")</f>
        <v/>
      </c>
      <c r="AQ52" s="184" t="str">
        <f>IFERROR(IF(VLOOKUP(Wed_W1[[#This Row],[Employee Name]],'Base Schedules'!$A:$AP,42,FALSE)="","",VLOOKUP(Wed_W1[[#This Row],[Employee Name]],'Base Schedules'!$A:$AP,42,FALSE)),"")</f>
        <v/>
      </c>
      <c r="AR52" s="184" t="str">
        <f>IFERROR(IF(VLOOKUP(Wed_W1[[#This Row],[Employee Name]],'Base Schedules'!$A:$AQ,43,FALSE)="","",VLOOKUP(Wed_W1[[#This Row],[Employee Name]],'Base Schedules'!$A:$AQ,43,FALSE)),"")</f>
        <v/>
      </c>
      <c r="AS52" s="184" t="str">
        <f>IFERROR(IF(VLOOKUP(Wed_W1[[#This Row],[Employee Name]],'Base Schedules'!$A:$AR,44,FALSE)="","",VLOOKUP(Wed_W1[[#This Row],[Employee Name]],'Base Schedules'!$A:$AR,44,FALSE)),"")</f>
        <v/>
      </c>
      <c r="AT52" s="184" t="str">
        <f>IFERROR(IF(VLOOKUP(Wed_W1[[#This Row],[Employee Name]],'Base Schedules'!$A:$AS,45,FALSE)="","",VLOOKUP(Wed_W1[[#This Row],[Employee Name]],'Base Schedules'!$A:$AS,45,FALSE)),"")</f>
        <v/>
      </c>
      <c r="AU52" s="184" t="str">
        <f>IFERROR(IF(VLOOKUP(Wed_W1[[#This Row],[Employee Name]],'Base Schedules'!$A:$AT,46,FALSE)="","",VLOOKUP(Wed_W1[[#This Row],[Employee Name]],'Base Schedules'!$A:$AT,46,FALSE)),"")</f>
        <v/>
      </c>
      <c r="AV52" s="184" t="str">
        <f>IFERROR(IF(VLOOKUP(Wed_W1[[#This Row],[Employee Name]],'Base Schedules'!$A:$AU,47,FALSE)="","",VLOOKUP(Wed_W1[[#This Row],[Employee Name]],'Base Schedules'!$A:$AU,47,FALSE)),"")</f>
        <v/>
      </c>
      <c r="AW52" s="184" t="str">
        <f>IFERROR(IF(VLOOKUP(Wed_W1[[#This Row],[Employee Name]],'Base Schedules'!$A:$AV,48,FALSE)="","",VLOOKUP(Wed_W1[[#This Row],[Employee Name]],'Base Schedules'!$A:$AV,48,FALSE)),"")</f>
        <v/>
      </c>
      <c r="AX52" s="184" t="str">
        <f>IFERROR(IF(VLOOKUP(Tue_W1[[#This Row],[Employee Name]],'Base Schedules'!$A$160:$AW$203,49,FALSE)="","",VLOOKUP(Tue_W1[[#This Row],[Employee Name]],'Base Schedules'!$A$160:$AW$203,49,FALSE)),"")</f>
        <v/>
      </c>
      <c r="AY52" s="164" t="str">
        <f t="shared" si="2"/>
        <v/>
      </c>
    </row>
    <row r="53" spans="1:52" s="44" customFormat="1" hidden="1" thickBot="1" x14ac:dyDescent="0.25">
      <c r="A53" s="39" t="str">
        <f>IF(B53="","",INDEX(TeamList[],MATCH($B53,TeamList[[Employee Name]:[Employee Name]],0),MATCH("Manager",TeamList[#Headers],0)))</f>
        <v/>
      </c>
      <c r="B53" s="201"/>
      <c r="C53" s="257" t="str">
        <f>_xlfn.IFNA(VLOOKUP(Wed_W1[[#This Row],[Employee Name]],'Base Schedules'!A:B,2,FALSE),"")</f>
        <v/>
      </c>
      <c r="D53" s="274" t="str">
        <f>_xlfn.IFNA(VLOOKUP(Wed_W1[[#This Row],[Employee Name]],'Base Schedules'!A:C,3,FALSE),"")</f>
        <v/>
      </c>
      <c r="E53" s="274" t="str">
        <f>_xlfn.IFNA(VLOOKUP(Wed_W1[[#This Row],[Employee Name]],'Base Schedules'!A:D,4,FALSE),"")</f>
        <v/>
      </c>
      <c r="F53" s="142" t="str">
        <f>IF(Wed_W1[[#This Row],[Employee Name]]="","",IF(Wed_W1[[#This Row],[Dept]]="Supervisor",COUNTIFS($J53:$AX53,"*HL*",$J53:$AX53,"&lt;&gt;"&amp;"pHL"),COUNTIFS($J53:$AX53,"*HL*",$J53:$AX53,"&lt;&gt;"&amp;"*pHL*",$J53:$AX53,"&lt;&gt;"&amp;"pB1 HL",$J53:$AX53,"&lt;&gt;"&amp;"pB2 HL")-SUM(COUNTIFS($J53:$AX53,"*HL B1*",$J53:$AX53,"&lt;&gt;"&amp;"pHL B1")*0.5,COUNTIFS($J53:$AX53,"*HL B2*",$J53:$AX53,"&lt;&gt;"&amp;"pHL B2")*0.5,COUNTIFS($J53:$AX53,"*B1 HL*",$J53:$AX53,"&lt;&gt;"&amp;"pB1 HL")*0.5,COUNTIFS($J53:$AX53,"*B2 HL*",$J53:$AX53,"&lt;&gt;"&amp;"pB2 HL")*0.5)))</f>
        <v/>
      </c>
      <c r="G53" s="142" t="str">
        <f t="shared" si="0"/>
        <v/>
      </c>
      <c r="H53" s="142" t="str">
        <f t="shared" si="1"/>
        <v/>
      </c>
      <c r="I53" s="142" t="str">
        <f>IF(Wed_W1[[#This Row],[Employee Name]]="","",IF(Wed_W1[[#This Row],[Dept]]="Supervisor",SUM(COUNTIFS($J53:$AX53,"RTA*",$J53:$AX53,"&lt;&gt;"&amp;"pRTA"),COUNTIFS($J53:$AX53,"*CRTA*",$J53:$AX53,"&lt;&gt;"&amp;"pCRTA")),COUNTIFS($J53:$AX53,"*RNNR*",$J53:$AX53,"&lt;&gt;"&amp;"*pRNNR*",$J53:$AX53,"&lt;&gt;"&amp;"pB1 RNNR",$J53:$AX53,"&lt;&gt;"&amp;"pB2 RNNR")-SUM(COUNTIFS($J53:$AX53,"*RNNR B1*",$J53:$AX53,"&lt;&gt;"&amp;"pRNNR B1")*0.5,COUNTIFS($J53:$AX53,"*RNNR B2*",$J53:$AX53,"&lt;&gt;"&amp;"pRNNR B2")*0.5,COUNTIFS($J53:$AX53,"*B1 RNNR*",$J53:$AX53,"&lt;&gt;"&amp;"pB1 RNNR")*0.5,COUNTIFS($J53:$AX53,"*B2 RNNR*",$J53:$AX53,"&lt;&gt;"&amp;"pB2 RNNR")*0.5)))</f>
        <v/>
      </c>
      <c r="J53" s="184" t="str">
        <f>IFERROR(IF(VLOOKUP(Wed_W1[[#This Row],[Employee Name]],'Base Schedules'!$A:$I,9,FALSE)="","",VLOOKUP(Wed_W1[[#This Row],[Employee Name]],'Base Schedules'!$A:$I,9,FALSE)),"")</f>
        <v/>
      </c>
      <c r="K53" s="184" t="str">
        <f>IFERROR(IF(VLOOKUP(Wed_W1[[#This Row],[Employee Name]],'Base Schedules'!$A:$J,10,FALSE)="","",VLOOKUP(Wed_W1[[#This Row],[Employee Name]],'Base Schedules'!$A:$J,10,FALSE)),"")</f>
        <v/>
      </c>
      <c r="L53" s="184" t="str">
        <f>IFERROR(IF(VLOOKUP(Wed_W1[[#This Row],[Employee Name]],'Base Schedules'!$A:$K,11,FALSE)="","",VLOOKUP(Wed_W1[[#This Row],[Employee Name]],'Base Schedules'!$A:$K,11,FALSE)),"")</f>
        <v/>
      </c>
      <c r="M53" s="184" t="str">
        <f>IFERROR(IF(VLOOKUP(Wed_W1[[#This Row],[Employee Name]],'Base Schedules'!$A:$L,12,FALSE)="","",VLOOKUP(Wed_W1[[#This Row],[Employee Name]],'Base Schedules'!$A:$L,12,FALSE)),"")</f>
        <v/>
      </c>
      <c r="N53" s="184" t="str">
        <f>IFERROR(IF(VLOOKUP(Wed_W1[[#This Row],[Employee Name]],'Base Schedules'!$A:$M,13,FALSE)="","",VLOOKUP(Wed_W1[[#This Row],[Employee Name]],'Base Schedules'!$A:$M,13,FALSE)),"")</f>
        <v/>
      </c>
      <c r="O53" s="184" t="str">
        <f>IFERROR(IF(VLOOKUP(Wed_W1[[#This Row],[Employee Name]],'Base Schedules'!$A:$N,14,FALSE)="","",VLOOKUP(Wed_W1[[#This Row],[Employee Name]],'Base Schedules'!$A:$N,14,FALSE)),"")</f>
        <v/>
      </c>
      <c r="P53" s="184" t="str">
        <f>IFERROR(IF(VLOOKUP(Wed_W1[[#This Row],[Employee Name]],'Base Schedules'!$A:$O,15,FALSE)="","",VLOOKUP(Wed_W1[[#This Row],[Employee Name]],'Base Schedules'!$A:$O,15,FALSE)),"")</f>
        <v/>
      </c>
      <c r="Q53" s="184" t="str">
        <f>IFERROR(IF(VLOOKUP(Wed_W1[[#This Row],[Employee Name]],'Base Schedules'!$A:$P,16,FALSE)="","",VLOOKUP(Wed_W1[[#This Row],[Employee Name]],'Base Schedules'!$A:$P,16,FALSE)),"")</f>
        <v/>
      </c>
      <c r="R53" s="184" t="str">
        <f>IFERROR(IF(VLOOKUP(Wed_W1[[#This Row],[Employee Name]],'Base Schedules'!$A:$Q,17,FALSE)="","",VLOOKUP(Wed_W1[[#This Row],[Employee Name]],'Base Schedules'!$A:$Q,17,FALSE)),"")</f>
        <v/>
      </c>
      <c r="S53" s="184" t="str">
        <f>IFERROR(IF(VLOOKUP(Wed_W1[[#This Row],[Employee Name]],'Base Schedules'!$A:$R,18,FALSE)="","",VLOOKUP(Wed_W1[[#This Row],[Employee Name]],'Base Schedules'!$A:$R,18,FALSE)),"")</f>
        <v/>
      </c>
      <c r="T53" s="184" t="str">
        <f>IFERROR(IF(VLOOKUP(Wed_W1[[#This Row],[Employee Name]],'Base Schedules'!$A:$S,19,FALSE)="","",VLOOKUP(Wed_W1[[#This Row],[Employee Name]],'Base Schedules'!$A:$S,19,FALSE)),"")</f>
        <v/>
      </c>
      <c r="U53" s="184" t="str">
        <f>IFERROR(IF(VLOOKUP(Wed_W1[[#This Row],[Employee Name]],'Base Schedules'!$A:$T,20,FALSE)="","",VLOOKUP(Wed_W1[[#This Row],[Employee Name]],'Base Schedules'!$A:$T,20,FALSE)),"")</f>
        <v/>
      </c>
      <c r="V53" s="184" t="str">
        <f>IFERROR(IF(VLOOKUP(Wed_W1[[#This Row],[Employee Name]],'Base Schedules'!$A:$U,21,FALSE)="","",VLOOKUP(Wed_W1[[#This Row],[Employee Name]],'Base Schedules'!$A:$U,21,FALSE)),"")</f>
        <v/>
      </c>
      <c r="W53" s="184" t="str">
        <f>IFERROR(IF(VLOOKUP(Wed_W1[[#This Row],[Employee Name]],'Base Schedules'!$A:$V,22,FALSE)="","",VLOOKUP(Wed_W1[[#This Row],[Employee Name]],'Base Schedules'!$A:$V,22,FALSE)),"")</f>
        <v/>
      </c>
      <c r="X53" s="184" t="str">
        <f>IFERROR(IF(VLOOKUP(Wed_W1[[#This Row],[Employee Name]],'Base Schedules'!$A:$W,23,FALSE)="","",VLOOKUP(Wed_W1[[#This Row],[Employee Name]],'Base Schedules'!$A:$W,23,FALSE)),"")</f>
        <v/>
      </c>
      <c r="Y53" s="184" t="str">
        <f>IFERROR(IF(VLOOKUP(Wed_W1[[#This Row],[Employee Name]],'Base Schedules'!$A:$X,24,FALSE)="","",VLOOKUP(Wed_W1[[#This Row],[Employee Name]],'Base Schedules'!$A:$X,24,FALSE)),"")</f>
        <v/>
      </c>
      <c r="Z53" s="184" t="str">
        <f>IFERROR(IF(VLOOKUP(Wed_W1[[#This Row],[Employee Name]],'Base Schedules'!$A:$Y,25,FALSE)="","",VLOOKUP(Wed_W1[[#This Row],[Employee Name]],'Base Schedules'!$A:$Y,25,FALSE)),"")</f>
        <v/>
      </c>
      <c r="AA53" s="184" t="str">
        <f>IFERROR(IF(VLOOKUP(Wed_W1[[#This Row],[Employee Name]],'Base Schedules'!$A:$Z,26,FALSE)="","",VLOOKUP(Wed_W1[[#This Row],[Employee Name]],'Base Schedules'!$A:$Z,26,FALSE)),"")</f>
        <v/>
      </c>
      <c r="AB53" s="184" t="str">
        <f>IFERROR(IF(VLOOKUP(Wed_W1[[#This Row],[Employee Name]],'Base Schedules'!$A:$AA,27,FALSE)="","",VLOOKUP(Wed_W1[[#This Row],[Employee Name]],'Base Schedules'!$A:$AA,27,FALSE)),"")</f>
        <v/>
      </c>
      <c r="AC53" s="184" t="str">
        <f>IFERROR(IF(VLOOKUP(Wed_W1[[#This Row],[Employee Name]],'Base Schedules'!$A:$AB,28,FALSE)="","",VLOOKUP(Wed_W1[[#This Row],[Employee Name]],'Base Schedules'!$A:$AB,28,FALSE)),"")</f>
        <v/>
      </c>
      <c r="AD53" s="184" t="str">
        <f>IFERROR(IF(VLOOKUP(Wed_W1[[#This Row],[Employee Name]],'Base Schedules'!$A:$AC,29,FALSE)="","",VLOOKUP(Wed_W1[[#This Row],[Employee Name]],'Base Schedules'!$A:$AC,29,FALSE)),"")</f>
        <v/>
      </c>
      <c r="AE53" s="184" t="str">
        <f>IFERROR(IF(VLOOKUP(Wed_W1[[#This Row],[Employee Name]],'Base Schedules'!$A:$AD,30,FALSE)="","",VLOOKUP(Wed_W1[[#This Row],[Employee Name]],'Base Schedules'!$A:$AD,30,FALSE)),"")</f>
        <v/>
      </c>
      <c r="AF53" s="184" t="str">
        <f>IFERROR(IF(VLOOKUP(Wed_W1[[#This Row],[Employee Name]],'Base Schedules'!$A:$AE,31,FALSE)="","",VLOOKUP(Wed_W1[[#This Row],[Employee Name]],'Base Schedules'!$A:$AE,31,FALSE)),"")</f>
        <v/>
      </c>
      <c r="AG53" s="184" t="str">
        <f>IFERROR(IF(VLOOKUP(Wed_W1[[#This Row],[Employee Name]],'Base Schedules'!$A:$AF,32,FALSE)="","",VLOOKUP(Wed_W1[[#This Row],[Employee Name]],'Base Schedules'!$A:$AF,32,FALSE)),"")</f>
        <v/>
      </c>
      <c r="AH53" s="184" t="str">
        <f>IFERROR(IF(VLOOKUP(Wed_W1[[#This Row],[Employee Name]],'Base Schedules'!$A:$AG,33,FALSE)="","",VLOOKUP(Wed_W1[[#This Row],[Employee Name]],'Base Schedules'!$A:$AG,33,FALSE)),"")</f>
        <v/>
      </c>
      <c r="AI53" s="184" t="str">
        <f>IFERROR(IF(VLOOKUP(Wed_W1[[#This Row],[Employee Name]],'Base Schedules'!$A:$AH,34,FALSE)="","",VLOOKUP(Wed_W1[[#This Row],[Employee Name]],'Base Schedules'!$A:$AH,34,FALSE)),"")</f>
        <v/>
      </c>
      <c r="AJ53" s="184" t="str">
        <f>IFERROR(IF(VLOOKUP(Wed_W1[[#This Row],[Employee Name]],'Base Schedules'!$A:$AI,35,FALSE)="","",VLOOKUP(Wed_W1[[#This Row],[Employee Name]],'Base Schedules'!$A:$AI,35,FALSE)),"")</f>
        <v/>
      </c>
      <c r="AK53" s="184" t="str">
        <f>IFERROR(IF(VLOOKUP(Wed_W1[[#This Row],[Employee Name]],'Base Schedules'!$A:$AJ,36,FALSE)="","",VLOOKUP(Wed_W1[[#This Row],[Employee Name]],'Base Schedules'!$A:$AJ,36,FALSE)),"")</f>
        <v/>
      </c>
      <c r="AL53" s="184" t="str">
        <f>IFERROR(IF(VLOOKUP(Wed_W1[[#This Row],[Employee Name]],'Base Schedules'!$A:$AK,37,FALSE)="","",VLOOKUP(Wed_W1[[#This Row],[Employee Name]],'Base Schedules'!$A:$AK,37,FALSE)),"")</f>
        <v/>
      </c>
      <c r="AM53" s="184" t="str">
        <f>IFERROR(IF(VLOOKUP(Wed_W1[[#This Row],[Employee Name]],'Base Schedules'!$A:$AL,38,FALSE)="","",VLOOKUP(Wed_W1[[#This Row],[Employee Name]],'Base Schedules'!$A:$AL,38,FALSE)),"")</f>
        <v/>
      </c>
      <c r="AN53" s="184" t="str">
        <f>IFERROR(IF(VLOOKUP(Wed_W1[[#This Row],[Employee Name]],'Base Schedules'!$A:$AM,39,FALSE)="","",VLOOKUP(Wed_W1[[#This Row],[Employee Name]],'Base Schedules'!$A:$AM,39,FALSE)),"")</f>
        <v/>
      </c>
      <c r="AO53" s="184" t="str">
        <f>IFERROR(IF(VLOOKUP(Wed_W1[[#This Row],[Employee Name]],'Base Schedules'!$A:$AN,40,FALSE)="","",VLOOKUP(Wed_W1[[#This Row],[Employee Name]],'Base Schedules'!$A:$AN,40,FALSE)),"")</f>
        <v/>
      </c>
      <c r="AP53" s="184" t="str">
        <f>IFERROR(IF(VLOOKUP(Wed_W1[[#This Row],[Employee Name]],'Base Schedules'!$A:$AO,41,FALSE)="","",VLOOKUP(Wed_W1[[#This Row],[Employee Name]],'Base Schedules'!$A:$AO,41,FALSE)),"")</f>
        <v/>
      </c>
      <c r="AQ53" s="184" t="str">
        <f>IFERROR(IF(VLOOKUP(Wed_W1[[#This Row],[Employee Name]],'Base Schedules'!$A:$AP,42,FALSE)="","",VLOOKUP(Wed_W1[[#This Row],[Employee Name]],'Base Schedules'!$A:$AP,42,FALSE)),"")</f>
        <v/>
      </c>
      <c r="AR53" s="184" t="str">
        <f>IFERROR(IF(VLOOKUP(Wed_W1[[#This Row],[Employee Name]],'Base Schedules'!$A:$AQ,43,FALSE)="","",VLOOKUP(Wed_W1[[#This Row],[Employee Name]],'Base Schedules'!$A:$AQ,43,FALSE)),"")</f>
        <v/>
      </c>
      <c r="AS53" s="184" t="str">
        <f>IFERROR(IF(VLOOKUP(Wed_W1[[#This Row],[Employee Name]],'Base Schedules'!$A:$AR,44,FALSE)="","",VLOOKUP(Wed_W1[[#This Row],[Employee Name]],'Base Schedules'!$A:$AR,44,FALSE)),"")</f>
        <v/>
      </c>
      <c r="AT53" s="184" t="str">
        <f>IFERROR(IF(VLOOKUP(Wed_W1[[#This Row],[Employee Name]],'Base Schedules'!$A:$AS,45,FALSE)="","",VLOOKUP(Wed_W1[[#This Row],[Employee Name]],'Base Schedules'!$A:$AS,45,FALSE)),"")</f>
        <v/>
      </c>
      <c r="AU53" s="184" t="str">
        <f>IFERROR(IF(VLOOKUP(Wed_W1[[#This Row],[Employee Name]],'Base Schedules'!$A:$AT,46,FALSE)="","",VLOOKUP(Wed_W1[[#This Row],[Employee Name]],'Base Schedules'!$A:$AT,46,FALSE)),"")</f>
        <v/>
      </c>
      <c r="AV53" s="184" t="str">
        <f>IFERROR(IF(VLOOKUP(Wed_W1[[#This Row],[Employee Name]],'Base Schedules'!$A:$AU,47,FALSE)="","",VLOOKUP(Wed_W1[[#This Row],[Employee Name]],'Base Schedules'!$A:$AU,47,FALSE)),"")</f>
        <v/>
      </c>
      <c r="AW53" s="184" t="str">
        <f>IFERROR(IF(VLOOKUP(Wed_W1[[#This Row],[Employee Name]],'Base Schedules'!$A:$AV,48,FALSE)="","",VLOOKUP(Wed_W1[[#This Row],[Employee Name]],'Base Schedules'!$A:$AV,48,FALSE)),"")</f>
        <v/>
      </c>
      <c r="AX53" s="184" t="str">
        <f>IFERROR(IF(VLOOKUP(Tue_W1[[#This Row],[Employee Name]],'Base Schedules'!$A$160:$AW$203,49,FALSE)="","",VLOOKUP(Tue_W1[[#This Row],[Employee Name]],'Base Schedules'!$A$160:$AW$203,49,FALSE)),"")</f>
        <v/>
      </c>
      <c r="AY53" s="164" t="str">
        <f t="shared" si="2"/>
        <v/>
      </c>
    </row>
    <row r="54" spans="1:52" s="44" customFormat="1" hidden="1" thickBot="1" x14ac:dyDescent="0.25">
      <c r="A54" s="39" t="str">
        <f>IF(B54="","",INDEX(TeamList[],MATCH($B54,TeamList[[Employee Name]:[Employee Name]],0),MATCH("Manager",TeamList[#Headers],0)))</f>
        <v/>
      </c>
      <c r="B54" s="201"/>
      <c r="C54" s="257" t="str">
        <f>_xlfn.IFNA(VLOOKUP(Wed_W1[[#This Row],[Employee Name]],'Base Schedules'!A:B,2,FALSE),"")</f>
        <v/>
      </c>
      <c r="D54" s="274" t="str">
        <f>_xlfn.IFNA(VLOOKUP(Wed_W1[[#This Row],[Employee Name]],'Base Schedules'!A:C,3,FALSE),"")</f>
        <v/>
      </c>
      <c r="E54" s="274" t="str">
        <f>_xlfn.IFNA(VLOOKUP(Wed_W1[[#This Row],[Employee Name]],'Base Schedules'!A:D,4,FALSE),"")</f>
        <v/>
      </c>
      <c r="F54" s="142" t="str">
        <f>IF(Wed_W1[[#This Row],[Employee Name]]="","",IF(Wed_W1[[#This Row],[Dept]]="Supervisor",COUNTIFS($J54:$AX54,"*HL*",$J54:$AX54,"&lt;&gt;"&amp;"pHL"),COUNTIFS($J54:$AX54,"*HL*",$J54:$AX54,"&lt;&gt;"&amp;"*pHL*",$J54:$AX54,"&lt;&gt;"&amp;"pB1 HL",$J54:$AX54,"&lt;&gt;"&amp;"pB2 HL")-SUM(COUNTIFS($J54:$AX54,"*HL B1*",$J54:$AX54,"&lt;&gt;"&amp;"pHL B1")*0.5,COUNTIFS($J54:$AX54,"*HL B2*",$J54:$AX54,"&lt;&gt;"&amp;"pHL B2")*0.5,COUNTIFS($J54:$AX54,"*B1 HL*",$J54:$AX54,"&lt;&gt;"&amp;"pB1 HL")*0.5,COUNTIFS($J54:$AX54,"*B2 HL*",$J54:$AX54,"&lt;&gt;"&amp;"pB2 HL")*0.5)))</f>
        <v/>
      </c>
      <c r="G54" s="142" t="str">
        <f t="shared" si="0"/>
        <v/>
      </c>
      <c r="H54" s="142" t="str">
        <f t="shared" si="1"/>
        <v/>
      </c>
      <c r="I54" s="142" t="str">
        <f>IF(Wed_W1[[#This Row],[Employee Name]]="","",IF(Wed_W1[[#This Row],[Dept]]="Supervisor",SUM(COUNTIFS($J54:$AX54,"RTA*",$J54:$AX54,"&lt;&gt;"&amp;"pRTA"),COUNTIFS($J54:$AX54,"*CRTA*",$J54:$AX54,"&lt;&gt;"&amp;"pCRTA")),COUNTIFS($J54:$AX54,"*RNNR*",$J54:$AX54,"&lt;&gt;"&amp;"*pRNNR*",$J54:$AX54,"&lt;&gt;"&amp;"pB1 RNNR",$J54:$AX54,"&lt;&gt;"&amp;"pB2 RNNR")-SUM(COUNTIFS($J54:$AX54,"*RNNR B1*",$J54:$AX54,"&lt;&gt;"&amp;"pRNNR B1")*0.5,COUNTIFS($J54:$AX54,"*RNNR B2*",$J54:$AX54,"&lt;&gt;"&amp;"pRNNR B2")*0.5,COUNTIFS($J54:$AX54,"*B1 RNNR*",$J54:$AX54,"&lt;&gt;"&amp;"pB1 RNNR")*0.5,COUNTIFS($J54:$AX54,"*B2 RNNR*",$J54:$AX54,"&lt;&gt;"&amp;"pB2 RNNR")*0.5)))</f>
        <v/>
      </c>
      <c r="J54" s="184" t="str">
        <f>IFERROR(IF(VLOOKUP(Wed_W1[[#This Row],[Employee Name]],'Base Schedules'!$A:$I,9,FALSE)="","",VLOOKUP(Wed_W1[[#This Row],[Employee Name]],'Base Schedules'!$A:$I,9,FALSE)),"")</f>
        <v/>
      </c>
      <c r="K54" s="184" t="str">
        <f>IFERROR(IF(VLOOKUP(Wed_W1[[#This Row],[Employee Name]],'Base Schedules'!$A:$J,10,FALSE)="","",VLOOKUP(Wed_W1[[#This Row],[Employee Name]],'Base Schedules'!$A:$J,10,FALSE)),"")</f>
        <v/>
      </c>
      <c r="L54" s="184" t="str">
        <f>IFERROR(IF(VLOOKUP(Wed_W1[[#This Row],[Employee Name]],'Base Schedules'!$A:$K,11,FALSE)="","",VLOOKUP(Wed_W1[[#This Row],[Employee Name]],'Base Schedules'!$A:$K,11,FALSE)),"")</f>
        <v/>
      </c>
      <c r="M54" s="184" t="str">
        <f>IFERROR(IF(VLOOKUP(Wed_W1[[#This Row],[Employee Name]],'Base Schedules'!$A:$L,12,FALSE)="","",VLOOKUP(Wed_W1[[#This Row],[Employee Name]],'Base Schedules'!$A:$L,12,FALSE)),"")</f>
        <v/>
      </c>
      <c r="N54" s="184" t="str">
        <f>IFERROR(IF(VLOOKUP(Wed_W1[[#This Row],[Employee Name]],'Base Schedules'!$A:$M,13,FALSE)="","",VLOOKUP(Wed_W1[[#This Row],[Employee Name]],'Base Schedules'!$A:$M,13,FALSE)),"")</f>
        <v/>
      </c>
      <c r="O54" s="184" t="str">
        <f>IFERROR(IF(VLOOKUP(Wed_W1[[#This Row],[Employee Name]],'Base Schedules'!$A:$N,14,FALSE)="","",VLOOKUP(Wed_W1[[#This Row],[Employee Name]],'Base Schedules'!$A:$N,14,FALSE)),"")</f>
        <v/>
      </c>
      <c r="P54" s="184" t="str">
        <f>IFERROR(IF(VLOOKUP(Wed_W1[[#This Row],[Employee Name]],'Base Schedules'!$A:$O,15,FALSE)="","",VLOOKUP(Wed_W1[[#This Row],[Employee Name]],'Base Schedules'!$A:$O,15,FALSE)),"")</f>
        <v/>
      </c>
      <c r="Q54" s="184" t="str">
        <f>IFERROR(IF(VLOOKUP(Wed_W1[[#This Row],[Employee Name]],'Base Schedules'!$A:$P,16,FALSE)="","",VLOOKUP(Wed_W1[[#This Row],[Employee Name]],'Base Schedules'!$A:$P,16,FALSE)),"")</f>
        <v/>
      </c>
      <c r="R54" s="184" t="str">
        <f>IFERROR(IF(VLOOKUP(Wed_W1[[#This Row],[Employee Name]],'Base Schedules'!$A:$Q,17,FALSE)="","",VLOOKUP(Wed_W1[[#This Row],[Employee Name]],'Base Schedules'!$A:$Q,17,FALSE)),"")</f>
        <v/>
      </c>
      <c r="S54" s="184" t="str">
        <f>IFERROR(IF(VLOOKUP(Wed_W1[[#This Row],[Employee Name]],'Base Schedules'!$A:$R,18,FALSE)="","",VLOOKUP(Wed_W1[[#This Row],[Employee Name]],'Base Schedules'!$A:$R,18,FALSE)),"")</f>
        <v/>
      </c>
      <c r="T54" s="184" t="str">
        <f>IFERROR(IF(VLOOKUP(Wed_W1[[#This Row],[Employee Name]],'Base Schedules'!$A:$S,19,FALSE)="","",VLOOKUP(Wed_W1[[#This Row],[Employee Name]],'Base Schedules'!$A:$S,19,FALSE)),"")</f>
        <v/>
      </c>
      <c r="U54" s="184" t="str">
        <f>IFERROR(IF(VLOOKUP(Wed_W1[[#This Row],[Employee Name]],'Base Schedules'!$A:$T,20,FALSE)="","",VLOOKUP(Wed_W1[[#This Row],[Employee Name]],'Base Schedules'!$A:$T,20,FALSE)),"")</f>
        <v/>
      </c>
      <c r="V54" s="184" t="str">
        <f>IFERROR(IF(VLOOKUP(Wed_W1[[#This Row],[Employee Name]],'Base Schedules'!$A:$U,21,FALSE)="","",VLOOKUP(Wed_W1[[#This Row],[Employee Name]],'Base Schedules'!$A:$U,21,FALSE)),"")</f>
        <v/>
      </c>
      <c r="W54" s="184" t="str">
        <f>IFERROR(IF(VLOOKUP(Wed_W1[[#This Row],[Employee Name]],'Base Schedules'!$A:$V,22,FALSE)="","",VLOOKUP(Wed_W1[[#This Row],[Employee Name]],'Base Schedules'!$A:$V,22,FALSE)),"")</f>
        <v/>
      </c>
      <c r="X54" s="184" t="str">
        <f>IFERROR(IF(VLOOKUP(Wed_W1[[#This Row],[Employee Name]],'Base Schedules'!$A:$W,23,FALSE)="","",VLOOKUP(Wed_W1[[#This Row],[Employee Name]],'Base Schedules'!$A:$W,23,FALSE)),"")</f>
        <v/>
      </c>
      <c r="Y54" s="184" t="str">
        <f>IFERROR(IF(VLOOKUP(Wed_W1[[#This Row],[Employee Name]],'Base Schedules'!$A:$X,24,FALSE)="","",VLOOKUP(Wed_W1[[#This Row],[Employee Name]],'Base Schedules'!$A:$X,24,FALSE)),"")</f>
        <v/>
      </c>
      <c r="Z54" s="184" t="str">
        <f>IFERROR(IF(VLOOKUP(Wed_W1[[#This Row],[Employee Name]],'Base Schedules'!$A:$Y,25,FALSE)="","",VLOOKUP(Wed_W1[[#This Row],[Employee Name]],'Base Schedules'!$A:$Y,25,FALSE)),"")</f>
        <v/>
      </c>
      <c r="AA54" s="184" t="str">
        <f>IFERROR(IF(VLOOKUP(Wed_W1[[#This Row],[Employee Name]],'Base Schedules'!$A:$Z,26,FALSE)="","",VLOOKUP(Wed_W1[[#This Row],[Employee Name]],'Base Schedules'!$A:$Z,26,FALSE)),"")</f>
        <v/>
      </c>
      <c r="AB54" s="184" t="str">
        <f>IFERROR(IF(VLOOKUP(Wed_W1[[#This Row],[Employee Name]],'Base Schedules'!$A:$AA,27,FALSE)="","",VLOOKUP(Wed_W1[[#This Row],[Employee Name]],'Base Schedules'!$A:$AA,27,FALSE)),"")</f>
        <v/>
      </c>
      <c r="AC54" s="184" t="str">
        <f>IFERROR(IF(VLOOKUP(Wed_W1[[#This Row],[Employee Name]],'Base Schedules'!$A:$AB,28,FALSE)="","",VLOOKUP(Wed_W1[[#This Row],[Employee Name]],'Base Schedules'!$A:$AB,28,FALSE)),"")</f>
        <v/>
      </c>
      <c r="AD54" s="184" t="str">
        <f>IFERROR(IF(VLOOKUP(Wed_W1[[#This Row],[Employee Name]],'Base Schedules'!$A:$AC,29,FALSE)="","",VLOOKUP(Wed_W1[[#This Row],[Employee Name]],'Base Schedules'!$A:$AC,29,FALSE)),"")</f>
        <v/>
      </c>
      <c r="AE54" s="184" t="str">
        <f>IFERROR(IF(VLOOKUP(Wed_W1[[#This Row],[Employee Name]],'Base Schedules'!$A:$AD,30,FALSE)="","",VLOOKUP(Wed_W1[[#This Row],[Employee Name]],'Base Schedules'!$A:$AD,30,FALSE)),"")</f>
        <v/>
      </c>
      <c r="AF54" s="184" t="str">
        <f>IFERROR(IF(VLOOKUP(Wed_W1[[#This Row],[Employee Name]],'Base Schedules'!$A:$AE,31,FALSE)="","",VLOOKUP(Wed_W1[[#This Row],[Employee Name]],'Base Schedules'!$A:$AE,31,FALSE)),"")</f>
        <v/>
      </c>
      <c r="AG54" s="184" t="str">
        <f>IFERROR(IF(VLOOKUP(Wed_W1[[#This Row],[Employee Name]],'Base Schedules'!$A:$AF,32,FALSE)="","",VLOOKUP(Wed_W1[[#This Row],[Employee Name]],'Base Schedules'!$A:$AF,32,FALSE)),"")</f>
        <v/>
      </c>
      <c r="AH54" s="184" t="str">
        <f>IFERROR(IF(VLOOKUP(Wed_W1[[#This Row],[Employee Name]],'Base Schedules'!$A:$AG,33,FALSE)="","",VLOOKUP(Wed_W1[[#This Row],[Employee Name]],'Base Schedules'!$A:$AG,33,FALSE)),"")</f>
        <v/>
      </c>
      <c r="AI54" s="184" t="str">
        <f>IFERROR(IF(VLOOKUP(Wed_W1[[#This Row],[Employee Name]],'Base Schedules'!$A:$AH,34,FALSE)="","",VLOOKUP(Wed_W1[[#This Row],[Employee Name]],'Base Schedules'!$A:$AH,34,FALSE)),"")</f>
        <v/>
      </c>
      <c r="AJ54" s="184" t="str">
        <f>IFERROR(IF(VLOOKUP(Wed_W1[[#This Row],[Employee Name]],'Base Schedules'!$A:$AI,35,FALSE)="","",VLOOKUP(Wed_W1[[#This Row],[Employee Name]],'Base Schedules'!$A:$AI,35,FALSE)),"")</f>
        <v/>
      </c>
      <c r="AK54" s="184" t="str">
        <f>IFERROR(IF(VLOOKUP(Wed_W1[[#This Row],[Employee Name]],'Base Schedules'!$A:$AJ,36,FALSE)="","",VLOOKUP(Wed_W1[[#This Row],[Employee Name]],'Base Schedules'!$A:$AJ,36,FALSE)),"")</f>
        <v/>
      </c>
      <c r="AL54" s="184" t="str">
        <f>IFERROR(IF(VLOOKUP(Wed_W1[[#This Row],[Employee Name]],'Base Schedules'!$A:$AK,37,FALSE)="","",VLOOKUP(Wed_W1[[#This Row],[Employee Name]],'Base Schedules'!$A:$AK,37,FALSE)),"")</f>
        <v/>
      </c>
      <c r="AM54" s="184" t="str">
        <f>IFERROR(IF(VLOOKUP(Wed_W1[[#This Row],[Employee Name]],'Base Schedules'!$A:$AL,38,FALSE)="","",VLOOKUP(Wed_W1[[#This Row],[Employee Name]],'Base Schedules'!$A:$AL,38,FALSE)),"")</f>
        <v/>
      </c>
      <c r="AN54" s="184" t="str">
        <f>IFERROR(IF(VLOOKUP(Wed_W1[[#This Row],[Employee Name]],'Base Schedules'!$A:$AM,39,FALSE)="","",VLOOKUP(Wed_W1[[#This Row],[Employee Name]],'Base Schedules'!$A:$AM,39,FALSE)),"")</f>
        <v/>
      </c>
      <c r="AO54" s="184" t="str">
        <f>IFERROR(IF(VLOOKUP(Wed_W1[[#This Row],[Employee Name]],'Base Schedules'!$A:$AN,40,FALSE)="","",VLOOKUP(Wed_W1[[#This Row],[Employee Name]],'Base Schedules'!$A:$AN,40,FALSE)),"")</f>
        <v/>
      </c>
      <c r="AP54" s="184" t="str">
        <f>IFERROR(IF(VLOOKUP(Wed_W1[[#This Row],[Employee Name]],'Base Schedules'!$A:$AO,41,FALSE)="","",VLOOKUP(Wed_W1[[#This Row],[Employee Name]],'Base Schedules'!$A:$AO,41,FALSE)),"")</f>
        <v/>
      </c>
      <c r="AQ54" s="184" t="str">
        <f>IFERROR(IF(VLOOKUP(Wed_W1[[#This Row],[Employee Name]],'Base Schedules'!$A:$AP,42,FALSE)="","",VLOOKUP(Wed_W1[[#This Row],[Employee Name]],'Base Schedules'!$A:$AP,42,FALSE)),"")</f>
        <v/>
      </c>
      <c r="AR54" s="184" t="str">
        <f>IFERROR(IF(VLOOKUP(Wed_W1[[#This Row],[Employee Name]],'Base Schedules'!$A:$AQ,43,FALSE)="","",VLOOKUP(Wed_W1[[#This Row],[Employee Name]],'Base Schedules'!$A:$AQ,43,FALSE)),"")</f>
        <v/>
      </c>
      <c r="AS54" s="184" t="str">
        <f>IFERROR(IF(VLOOKUP(Wed_W1[[#This Row],[Employee Name]],'Base Schedules'!$A:$AR,44,FALSE)="","",VLOOKUP(Wed_W1[[#This Row],[Employee Name]],'Base Schedules'!$A:$AR,44,FALSE)),"")</f>
        <v/>
      </c>
      <c r="AT54" s="184" t="str">
        <f>IFERROR(IF(VLOOKUP(Wed_W1[[#This Row],[Employee Name]],'Base Schedules'!$A:$AS,45,FALSE)="","",VLOOKUP(Wed_W1[[#This Row],[Employee Name]],'Base Schedules'!$A:$AS,45,FALSE)),"")</f>
        <v/>
      </c>
      <c r="AU54" s="184" t="str">
        <f>IFERROR(IF(VLOOKUP(Wed_W1[[#This Row],[Employee Name]],'Base Schedules'!$A:$AT,46,FALSE)="","",VLOOKUP(Wed_W1[[#This Row],[Employee Name]],'Base Schedules'!$A:$AT,46,FALSE)),"")</f>
        <v/>
      </c>
      <c r="AV54" s="184" t="str">
        <f>IFERROR(IF(VLOOKUP(Wed_W1[[#This Row],[Employee Name]],'Base Schedules'!$A:$AU,47,FALSE)="","",VLOOKUP(Wed_W1[[#This Row],[Employee Name]],'Base Schedules'!$A:$AU,47,FALSE)),"")</f>
        <v/>
      </c>
      <c r="AW54" s="184" t="str">
        <f>IFERROR(IF(VLOOKUP(Wed_W1[[#This Row],[Employee Name]],'Base Schedules'!$A:$AV,48,FALSE)="","",VLOOKUP(Wed_W1[[#This Row],[Employee Name]],'Base Schedules'!$A:$AV,48,FALSE)),"")</f>
        <v/>
      </c>
      <c r="AX54" s="184" t="str">
        <f>IFERROR(IF(VLOOKUP(Tue_W1[[#This Row],[Employee Name]],'Base Schedules'!$A$160:$AW$203,49,FALSE)="","",VLOOKUP(Tue_W1[[#This Row],[Employee Name]],'Base Schedules'!$A$160:$AW$203,49,FALSE)),"")</f>
        <v/>
      </c>
      <c r="AY54" s="164" t="str">
        <f t="shared" si="2"/>
        <v/>
      </c>
    </row>
    <row r="55" spans="1:52" ht="13.5" hidden="1" thickBot="1" x14ac:dyDescent="0.25">
      <c r="B55" s="201"/>
      <c r="C55" s="257" t="str">
        <f>_xlfn.IFNA(VLOOKUP(Wed_W1[[#This Row],[Employee Name]],'Base Schedules'!A:B,2,FALSE),"")</f>
        <v/>
      </c>
      <c r="D55" s="274" t="str">
        <f>_xlfn.IFNA(VLOOKUP(Wed_W1[[#This Row],[Employee Name]],'Base Schedules'!A:C,3,FALSE),"")</f>
        <v/>
      </c>
      <c r="E55" s="274" t="str">
        <f>_xlfn.IFNA(VLOOKUP(Wed_W1[[#This Row],[Employee Name]],'Base Schedules'!A:D,4,FALSE),"")</f>
        <v/>
      </c>
      <c r="F55" s="142" t="str">
        <f>IF(Wed_W1[[#This Row],[Employee Name]]="","",IF(Wed_W1[[#This Row],[Dept]]="Supervisor",COUNTIFS($J55:$AX55,"*HL*",$J55:$AX55,"&lt;&gt;"&amp;"pHL"),COUNTIFS($J55:$AX55,"*HL*",$J55:$AX55,"&lt;&gt;"&amp;"*pHL*",$J55:$AX55,"&lt;&gt;"&amp;"pB1 HL",$J55:$AX55,"&lt;&gt;"&amp;"pB2 HL")-SUM(COUNTIFS($J55:$AX55,"*HL B1*",$J55:$AX55,"&lt;&gt;"&amp;"pHL B1")*0.5,COUNTIFS($J55:$AX55,"*HL B2*",$J55:$AX55,"&lt;&gt;"&amp;"pHL B2")*0.5,COUNTIFS($J55:$AX55,"*B1 HL*",$J55:$AX55,"&lt;&gt;"&amp;"pB1 HL")*0.5,COUNTIFS($J55:$AX55,"*B2 HL*",$J55:$AX55,"&lt;&gt;"&amp;"pB2 HL")*0.5)))</f>
        <v/>
      </c>
      <c r="G55" s="142" t="str">
        <f t="shared" si="0"/>
        <v/>
      </c>
      <c r="H55" s="142" t="str">
        <f t="shared" si="1"/>
        <v/>
      </c>
      <c r="I55" s="142" t="str">
        <f>IF(Wed_W1[[#This Row],[Employee Name]]="","",IF(Wed_W1[[#This Row],[Dept]]="Supervisor",SUM(COUNTIFS($J55:$AX55,"RTA*",$J55:$AX55,"&lt;&gt;"&amp;"pRTA"),COUNTIFS($J55:$AX55,"*CRTA*",$J55:$AX55,"&lt;&gt;"&amp;"pCRTA")),COUNTIFS($J55:$AX55,"*RNNR*",$J55:$AX55,"&lt;&gt;"&amp;"*pRNNR*",$J55:$AX55,"&lt;&gt;"&amp;"pB1 RNNR",$J55:$AX55,"&lt;&gt;"&amp;"pB2 RNNR")-SUM(COUNTIFS($J55:$AX55,"*RNNR B1*",$J55:$AX55,"&lt;&gt;"&amp;"pRNNR B1")*0.5,COUNTIFS($J55:$AX55,"*RNNR B2*",$J55:$AX55,"&lt;&gt;"&amp;"pRNNR B2")*0.5,COUNTIFS($J55:$AX55,"*B1 RNNR*",$J55:$AX55,"&lt;&gt;"&amp;"pB1 RNNR")*0.5,COUNTIFS($J55:$AX55,"*B2 RNNR*",$J55:$AX55,"&lt;&gt;"&amp;"pB2 RNNR")*0.5)))</f>
        <v/>
      </c>
      <c r="J55" s="184"/>
      <c r="K55" s="184"/>
      <c r="L55" s="184"/>
      <c r="M55" s="184"/>
      <c r="N55" s="184"/>
      <c r="O55" s="184"/>
      <c r="P55" s="184"/>
      <c r="Q55" s="184"/>
      <c r="R55" s="184"/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  <c r="AI55" s="184"/>
      <c r="AJ55" s="184"/>
      <c r="AK55" s="184"/>
      <c r="AL55" s="184"/>
      <c r="AM55" s="184"/>
      <c r="AN55" s="184"/>
      <c r="AO55" s="184"/>
      <c r="AP55" s="184"/>
      <c r="AQ55" s="184"/>
      <c r="AR55" s="184"/>
      <c r="AS55" s="184"/>
      <c r="AT55" s="184"/>
      <c r="AU55" s="184"/>
      <c r="AV55" s="184"/>
      <c r="AW55" s="184"/>
      <c r="AX55" s="184" t="str">
        <f>IFERROR(IF(VLOOKUP(Tue_W1[[#This Row],[Employee Name]],'Base Schedules'!$A$160:$AW$203,49,FALSE)="","",VLOOKUP(Tue_W1[[#This Row],[Employee Name]],'Base Schedules'!$A$160:$AW$203,49,FALSE)),"")</f>
        <v/>
      </c>
      <c r="AY55" s="301" t="str">
        <f t="shared" si="2"/>
        <v/>
      </c>
    </row>
    <row r="56" spans="1:52" ht="15.75" customHeight="1" thickBot="1" x14ac:dyDescent="0.25">
      <c r="B56" s="20"/>
      <c r="C56" s="21"/>
      <c r="D56" s="21"/>
      <c r="E56" s="21" t="s">
        <v>92</v>
      </c>
      <c r="F56" s="21">
        <f>SUM(F9:F54)</f>
        <v>107</v>
      </c>
      <c r="G56" s="21">
        <f>SUM(G9:G54)</f>
        <v>64</v>
      </c>
      <c r="H56" s="21">
        <f>SUM(H9:H54)</f>
        <v>96</v>
      </c>
      <c r="I56" s="21">
        <f>SUM(I9:I54)</f>
        <v>26</v>
      </c>
      <c r="J56" s="27">
        <v>500</v>
      </c>
      <c r="K56" s="27">
        <v>530</v>
      </c>
      <c r="L56" s="27">
        <v>600</v>
      </c>
      <c r="M56" s="27">
        <v>630</v>
      </c>
      <c r="N56" s="27">
        <v>700</v>
      </c>
      <c r="O56" s="27">
        <v>730</v>
      </c>
      <c r="P56" s="27">
        <v>800</v>
      </c>
      <c r="Q56" s="27">
        <v>830</v>
      </c>
      <c r="R56" s="27">
        <v>900</v>
      </c>
      <c r="S56" s="27">
        <v>930</v>
      </c>
      <c r="T56" s="27">
        <v>1000</v>
      </c>
      <c r="U56" s="27">
        <v>1030</v>
      </c>
      <c r="V56" s="27">
        <v>1100</v>
      </c>
      <c r="W56" s="27">
        <v>1130</v>
      </c>
      <c r="X56" s="27">
        <v>1200</v>
      </c>
      <c r="Y56" s="27">
        <v>1230</v>
      </c>
      <c r="Z56" s="27">
        <v>1300</v>
      </c>
      <c r="AA56" s="27">
        <v>1330</v>
      </c>
      <c r="AB56" s="27">
        <v>1400</v>
      </c>
      <c r="AC56" s="27">
        <v>1430</v>
      </c>
      <c r="AD56" s="27">
        <v>1500</v>
      </c>
      <c r="AE56" s="27">
        <v>1530</v>
      </c>
      <c r="AF56" s="27">
        <v>1600</v>
      </c>
      <c r="AG56" s="27">
        <v>1630</v>
      </c>
      <c r="AH56" s="27">
        <v>1700</v>
      </c>
      <c r="AI56" s="27">
        <v>1730</v>
      </c>
      <c r="AJ56" s="27">
        <v>1800</v>
      </c>
      <c r="AK56" s="27">
        <v>1830</v>
      </c>
      <c r="AL56" s="27">
        <v>1900</v>
      </c>
      <c r="AM56" s="27">
        <v>1930</v>
      </c>
      <c r="AN56" s="27">
        <v>2000</v>
      </c>
      <c r="AO56" s="27">
        <v>2030</v>
      </c>
      <c r="AP56" s="27">
        <v>2100</v>
      </c>
      <c r="AQ56" s="27">
        <v>2130</v>
      </c>
      <c r="AR56" s="27">
        <v>2200</v>
      </c>
      <c r="AS56" s="27">
        <v>2230</v>
      </c>
      <c r="AT56" s="27">
        <v>2300</v>
      </c>
      <c r="AU56" s="27">
        <v>2330</v>
      </c>
      <c r="AV56" s="27">
        <v>0</v>
      </c>
      <c r="AW56" s="27">
        <v>30</v>
      </c>
      <c r="AX56" s="221" t="s">
        <v>365</v>
      </c>
      <c r="AY56" s="222" t="s">
        <v>2</v>
      </c>
    </row>
    <row r="57" spans="1:52" ht="13.5" thickBot="1" x14ac:dyDescent="0.25">
      <c r="G57" s="223"/>
      <c r="H57" s="224"/>
      <c r="I57" s="225"/>
      <c r="J57" s="224"/>
      <c r="K57" s="224"/>
      <c r="L57" s="224"/>
      <c r="M57" s="224"/>
      <c r="N57" s="224"/>
      <c r="O57" s="224"/>
      <c r="P57" s="224"/>
      <c r="Q57" s="224"/>
      <c r="R57" s="224"/>
      <c r="S57" s="224"/>
      <c r="T57" s="224"/>
      <c r="U57" s="224"/>
      <c r="V57" s="224"/>
      <c r="W57" s="224"/>
      <c r="X57" s="224"/>
      <c r="Y57" s="224"/>
      <c r="Z57" s="224"/>
      <c r="AA57" s="224"/>
      <c r="AB57" s="224"/>
      <c r="AC57" s="224"/>
      <c r="AD57" s="224"/>
      <c r="AE57" s="224"/>
      <c r="AF57" s="224"/>
      <c r="AG57" s="224"/>
      <c r="AH57" s="224"/>
      <c r="AI57" s="224"/>
      <c r="AJ57" s="224"/>
      <c r="AK57" s="224"/>
      <c r="AL57" s="224"/>
      <c r="AM57" s="224"/>
      <c r="AN57" s="224"/>
      <c r="AO57" s="224"/>
      <c r="AP57" s="224"/>
      <c r="AQ57" s="224"/>
      <c r="AR57" s="224"/>
      <c r="AS57" s="224"/>
      <c r="AT57" s="224"/>
      <c r="AU57" s="224"/>
      <c r="AV57" s="224"/>
      <c r="AW57" s="225"/>
      <c r="AX57" s="226"/>
      <c r="AY57" s="227">
        <f t="shared" ref="AY57" si="3">G57</f>
        <v>0</v>
      </c>
    </row>
    <row r="58" spans="1:52" ht="18.75" x14ac:dyDescent="0.3">
      <c r="B58" s="484" t="s">
        <v>368</v>
      </c>
      <c r="C58" s="484"/>
      <c r="D58" s="453"/>
      <c r="E58" s="453"/>
      <c r="F58" s="453"/>
      <c r="G58" s="484" t="s">
        <v>368</v>
      </c>
      <c r="H58" s="484"/>
      <c r="I58" s="484"/>
      <c r="J58" s="455">
        <f>COUNTIF(J9:J54,"RNNR")</f>
        <v>0</v>
      </c>
      <c r="K58" s="455">
        <f t="shared" ref="K58:AW58" si="4">COUNTIF(K9:K54,"RNNR")</f>
        <v>0</v>
      </c>
      <c r="L58" s="455">
        <f t="shared" si="4"/>
        <v>0</v>
      </c>
      <c r="M58" s="455">
        <f t="shared" si="4"/>
        <v>0</v>
      </c>
      <c r="N58" s="455">
        <f t="shared" si="4"/>
        <v>0</v>
      </c>
      <c r="O58" s="455">
        <f t="shared" si="4"/>
        <v>0</v>
      </c>
      <c r="P58" s="455">
        <f t="shared" si="4"/>
        <v>1</v>
      </c>
      <c r="Q58" s="455">
        <f t="shared" si="4"/>
        <v>1</v>
      </c>
      <c r="R58" s="455">
        <f t="shared" si="4"/>
        <v>1</v>
      </c>
      <c r="S58" s="455">
        <f t="shared" si="4"/>
        <v>1</v>
      </c>
      <c r="T58" s="455">
        <f t="shared" si="4"/>
        <v>1</v>
      </c>
      <c r="U58" s="455">
        <f t="shared" si="4"/>
        <v>1</v>
      </c>
      <c r="V58" s="455">
        <f t="shared" si="4"/>
        <v>1</v>
      </c>
      <c r="W58" s="455">
        <f t="shared" si="4"/>
        <v>1</v>
      </c>
      <c r="X58" s="455">
        <f t="shared" si="4"/>
        <v>1</v>
      </c>
      <c r="Y58" s="455">
        <f t="shared" si="4"/>
        <v>1</v>
      </c>
      <c r="Z58" s="455">
        <f t="shared" si="4"/>
        <v>1</v>
      </c>
      <c r="AA58" s="455">
        <f t="shared" si="4"/>
        <v>1</v>
      </c>
      <c r="AB58" s="455">
        <f t="shared" si="4"/>
        <v>1</v>
      </c>
      <c r="AC58" s="455">
        <f t="shared" si="4"/>
        <v>1</v>
      </c>
      <c r="AD58" s="455">
        <f t="shared" si="4"/>
        <v>1</v>
      </c>
      <c r="AE58" s="455">
        <f t="shared" si="4"/>
        <v>1</v>
      </c>
      <c r="AF58" s="455">
        <f t="shared" si="4"/>
        <v>2</v>
      </c>
      <c r="AG58" s="455">
        <f t="shared" si="4"/>
        <v>2</v>
      </c>
      <c r="AH58" s="455">
        <f t="shared" si="4"/>
        <v>1</v>
      </c>
      <c r="AI58" s="455">
        <f t="shared" si="4"/>
        <v>1</v>
      </c>
      <c r="AJ58" s="455">
        <f t="shared" si="4"/>
        <v>1</v>
      </c>
      <c r="AK58" s="455">
        <f t="shared" si="4"/>
        <v>1</v>
      </c>
      <c r="AL58" s="455">
        <f t="shared" si="4"/>
        <v>1</v>
      </c>
      <c r="AM58" s="455">
        <f t="shared" si="4"/>
        <v>1</v>
      </c>
      <c r="AN58" s="455">
        <f t="shared" si="4"/>
        <v>0</v>
      </c>
      <c r="AO58" s="455">
        <f t="shared" si="4"/>
        <v>0</v>
      </c>
      <c r="AP58" s="455">
        <f t="shared" si="4"/>
        <v>0</v>
      </c>
      <c r="AQ58" s="455">
        <f t="shared" si="4"/>
        <v>0</v>
      </c>
      <c r="AR58" s="455">
        <f t="shared" si="4"/>
        <v>0</v>
      </c>
      <c r="AS58" s="455">
        <f t="shared" si="4"/>
        <v>0</v>
      </c>
      <c r="AT58" s="455">
        <f t="shared" si="4"/>
        <v>0</v>
      </c>
      <c r="AU58" s="455">
        <f t="shared" si="4"/>
        <v>0</v>
      </c>
      <c r="AV58" s="455">
        <f t="shared" si="4"/>
        <v>0</v>
      </c>
      <c r="AW58" s="455">
        <f t="shared" si="4"/>
        <v>0</v>
      </c>
      <c r="AX58" s="451">
        <f>AVERAGE(J58:AW58)</f>
        <v>0.65</v>
      </c>
      <c r="AY58" s="485" t="s">
        <v>368</v>
      </c>
      <c r="AZ58" s="485"/>
    </row>
    <row r="59" spans="1:52" ht="18.75" x14ac:dyDescent="0.3">
      <c r="B59" s="484" t="s">
        <v>581</v>
      </c>
      <c r="C59" s="484"/>
      <c r="D59" s="453"/>
      <c r="E59" s="453"/>
      <c r="F59" s="453"/>
      <c r="G59" s="484" t="s">
        <v>581</v>
      </c>
      <c r="H59" s="484"/>
      <c r="I59" s="484"/>
      <c r="J59" s="458">
        <f>COUNTIF(J9:J54,"HL")</f>
        <v>2</v>
      </c>
      <c r="K59" s="458">
        <f t="shared" ref="K59:AW59" si="5">COUNTIF(K9:K54,"HL")</f>
        <v>2</v>
      </c>
      <c r="L59" s="458">
        <f t="shared" si="5"/>
        <v>2</v>
      </c>
      <c r="M59" s="458">
        <f t="shared" si="5"/>
        <v>2</v>
      </c>
      <c r="N59" s="458">
        <f t="shared" si="5"/>
        <v>2</v>
      </c>
      <c r="O59" s="458">
        <f t="shared" si="5"/>
        <v>2</v>
      </c>
      <c r="P59" s="458">
        <f t="shared" si="5"/>
        <v>3</v>
      </c>
      <c r="Q59" s="458">
        <f t="shared" si="5"/>
        <v>3</v>
      </c>
      <c r="R59" s="458">
        <f t="shared" si="5"/>
        <v>2</v>
      </c>
      <c r="S59" s="458">
        <f t="shared" si="5"/>
        <v>2</v>
      </c>
      <c r="T59" s="458">
        <f t="shared" si="5"/>
        <v>2</v>
      </c>
      <c r="U59" s="458">
        <f t="shared" si="5"/>
        <v>2</v>
      </c>
      <c r="V59" s="458">
        <f t="shared" si="5"/>
        <v>4</v>
      </c>
      <c r="W59" s="458">
        <f t="shared" si="5"/>
        <v>4</v>
      </c>
      <c r="X59" s="458">
        <f t="shared" si="5"/>
        <v>3</v>
      </c>
      <c r="Y59" s="458">
        <f t="shared" si="5"/>
        <v>3</v>
      </c>
      <c r="Z59" s="458">
        <f t="shared" si="5"/>
        <v>3</v>
      </c>
      <c r="AA59" s="458">
        <f t="shared" si="5"/>
        <v>4</v>
      </c>
      <c r="AB59" s="458">
        <f t="shared" si="5"/>
        <v>4</v>
      </c>
      <c r="AC59" s="458">
        <f t="shared" si="5"/>
        <v>4</v>
      </c>
      <c r="AD59" s="458">
        <f t="shared" si="5"/>
        <v>4</v>
      </c>
      <c r="AE59" s="458">
        <f t="shared" si="5"/>
        <v>2</v>
      </c>
      <c r="AF59" s="458">
        <f t="shared" si="5"/>
        <v>2</v>
      </c>
      <c r="AG59" s="458">
        <f t="shared" si="5"/>
        <v>3</v>
      </c>
      <c r="AH59" s="458">
        <f t="shared" si="5"/>
        <v>2</v>
      </c>
      <c r="AI59" s="458">
        <f t="shared" si="5"/>
        <v>3</v>
      </c>
      <c r="AJ59" s="458">
        <f t="shared" si="5"/>
        <v>2</v>
      </c>
      <c r="AK59" s="458">
        <f t="shared" si="5"/>
        <v>3</v>
      </c>
      <c r="AL59" s="458">
        <f t="shared" si="5"/>
        <v>3</v>
      </c>
      <c r="AM59" s="458">
        <f t="shared" si="5"/>
        <v>3</v>
      </c>
      <c r="AN59" s="458">
        <f t="shared" si="5"/>
        <v>2</v>
      </c>
      <c r="AO59" s="458">
        <f t="shared" si="5"/>
        <v>2</v>
      </c>
      <c r="AP59" s="458">
        <f t="shared" si="5"/>
        <v>2</v>
      </c>
      <c r="AQ59" s="458">
        <f t="shared" si="5"/>
        <v>2</v>
      </c>
      <c r="AR59" s="458">
        <f t="shared" si="5"/>
        <v>2</v>
      </c>
      <c r="AS59" s="458">
        <f t="shared" si="5"/>
        <v>1</v>
      </c>
      <c r="AT59" s="458">
        <f t="shared" si="5"/>
        <v>1</v>
      </c>
      <c r="AU59" s="458">
        <f t="shared" si="5"/>
        <v>2</v>
      </c>
      <c r="AV59" s="458">
        <f t="shared" si="5"/>
        <v>2</v>
      </c>
      <c r="AW59" s="458">
        <f t="shared" si="5"/>
        <v>2</v>
      </c>
      <c r="AX59" s="452">
        <f>SUM(J59:AW59)</f>
        <v>100</v>
      </c>
      <c r="AY59" s="485" t="s">
        <v>581</v>
      </c>
      <c r="AZ59" s="485"/>
    </row>
    <row r="60" spans="1:52" ht="18.75" x14ac:dyDescent="0.3">
      <c r="B60" s="484" t="s">
        <v>588</v>
      </c>
      <c r="C60" s="484"/>
      <c r="D60" s="453"/>
      <c r="E60" s="453"/>
      <c r="F60" s="453"/>
      <c r="G60" s="484" t="s">
        <v>589</v>
      </c>
      <c r="H60" s="484"/>
      <c r="I60" s="484"/>
      <c r="J60" s="460">
        <f>[1]Weighted!$B$17</f>
        <v>1.05</v>
      </c>
      <c r="K60" s="460">
        <f>[1]Weighted!$B$17</f>
        <v>1.05</v>
      </c>
      <c r="L60" s="460">
        <f>[1]Weighted!$B$17</f>
        <v>1.05</v>
      </c>
      <c r="M60" s="460">
        <f>[1]Weighted!$B$17</f>
        <v>1.05</v>
      </c>
      <c r="N60" s="460">
        <f>[1]Weighted!$B$17</f>
        <v>1.05</v>
      </c>
      <c r="O60" s="460">
        <f>[1]Weighted!$B$17</f>
        <v>1.05</v>
      </c>
      <c r="P60" s="460">
        <f>[1]Weighted!$B$17</f>
        <v>1.05</v>
      </c>
      <c r="Q60" s="460">
        <f>[1]Weighted!$B$17</f>
        <v>1.05</v>
      </c>
      <c r="R60" s="460">
        <f>[1]Weighted!$B$17</f>
        <v>1.05</v>
      </c>
      <c r="S60" s="460">
        <f>[1]Weighted!$B$17</f>
        <v>1.05</v>
      </c>
      <c r="T60" s="460">
        <f>[1]Weighted!$B$17</f>
        <v>1.05</v>
      </c>
      <c r="U60" s="460">
        <f>[1]Weighted!$B$17</f>
        <v>1.05</v>
      </c>
      <c r="V60" s="460">
        <f>[1]Weighted!$B$17</f>
        <v>1.05</v>
      </c>
      <c r="W60" s="460">
        <f>[1]Weighted!$B$17</f>
        <v>1.05</v>
      </c>
      <c r="X60" s="460">
        <f>[1]Weighted!$B$17</f>
        <v>1.05</v>
      </c>
      <c r="Y60" s="460">
        <f>[1]Weighted!$B$17</f>
        <v>1.05</v>
      </c>
      <c r="Z60" s="460">
        <f>[1]Weighted!$B$17</f>
        <v>1.05</v>
      </c>
      <c r="AA60" s="460">
        <f>[1]Weighted!$B$17</f>
        <v>1.05</v>
      </c>
      <c r="AB60" s="460">
        <f>[1]Weighted!$B$17</f>
        <v>1.05</v>
      </c>
      <c r="AC60" s="460">
        <f>[1]Weighted!$B$17</f>
        <v>1.05</v>
      </c>
      <c r="AD60" s="460">
        <f>[1]Weighted!$B$17</f>
        <v>1.05</v>
      </c>
      <c r="AE60" s="460">
        <f>[1]Weighted!$B$17</f>
        <v>1.05</v>
      </c>
      <c r="AF60" s="460">
        <f>[1]Weighted!$B$17</f>
        <v>1.05</v>
      </c>
      <c r="AG60" s="460">
        <f>[1]Weighted!$B$17</f>
        <v>1.05</v>
      </c>
      <c r="AH60" s="460">
        <f>[1]Weighted!$B$17</f>
        <v>1.05</v>
      </c>
      <c r="AI60" s="460">
        <f>[1]Weighted!$B$17</f>
        <v>1.05</v>
      </c>
      <c r="AJ60" s="460">
        <f>[1]Weighted!$B$17</f>
        <v>1.05</v>
      </c>
      <c r="AK60" s="460">
        <f>[1]Weighted!$B$17</f>
        <v>1.05</v>
      </c>
      <c r="AL60" s="460">
        <f>[1]Weighted!$B$17</f>
        <v>1.05</v>
      </c>
      <c r="AM60" s="460">
        <f>[1]Weighted!$B$17</f>
        <v>1.05</v>
      </c>
      <c r="AN60" s="460">
        <f>[1]Weighted!$B$17</f>
        <v>1.05</v>
      </c>
      <c r="AO60" s="460">
        <f>[1]Weighted!$B$17</f>
        <v>1.05</v>
      </c>
      <c r="AP60" s="460">
        <f>[1]Weighted!$B$17</f>
        <v>1.05</v>
      </c>
      <c r="AQ60" s="460">
        <f>[1]Weighted!$B$17</f>
        <v>1.05</v>
      </c>
      <c r="AR60" s="460">
        <f>[1]Weighted!$B$17</f>
        <v>1.05</v>
      </c>
      <c r="AS60" s="460">
        <f>[1]Weighted!$B$17</f>
        <v>1.05</v>
      </c>
      <c r="AT60" s="460">
        <f>[1]Weighted!$B$17</f>
        <v>1.05</v>
      </c>
      <c r="AU60" s="460">
        <f>[1]Weighted!$B$17</f>
        <v>1.05</v>
      </c>
      <c r="AV60" s="460">
        <f>[1]Weighted!$B$17</f>
        <v>1.05</v>
      </c>
      <c r="AW60" s="460">
        <f>[1]Weighted!$B$17</f>
        <v>1.05</v>
      </c>
      <c r="AX60" s="452">
        <f>SUM(J60:AW60)</f>
        <v>41.999999999999986</v>
      </c>
      <c r="AY60" s="485" t="s">
        <v>588</v>
      </c>
      <c r="AZ60" s="485"/>
    </row>
    <row r="61" spans="1:52" ht="15.75" customHeight="1" x14ac:dyDescent="0.3">
      <c r="B61" s="484" t="s">
        <v>590</v>
      </c>
      <c r="C61" s="484"/>
      <c r="D61" s="453"/>
      <c r="E61" s="453"/>
      <c r="F61" s="453"/>
      <c r="G61" s="484" t="s">
        <v>590</v>
      </c>
      <c r="H61" s="484"/>
      <c r="I61" s="484"/>
      <c r="J61" s="460">
        <f>ROUNDUP(J60/2,0)</f>
        <v>1</v>
      </c>
      <c r="K61" s="460">
        <f t="shared" ref="K61:AW61" si="6">ROUNDUP(K60/2,0)</f>
        <v>1</v>
      </c>
      <c r="L61" s="460">
        <f t="shared" si="6"/>
        <v>1</v>
      </c>
      <c r="M61" s="460">
        <f t="shared" si="6"/>
        <v>1</v>
      </c>
      <c r="N61" s="460">
        <f t="shared" si="6"/>
        <v>1</v>
      </c>
      <c r="O61" s="460">
        <f t="shared" si="6"/>
        <v>1</v>
      </c>
      <c r="P61" s="460">
        <f t="shared" si="6"/>
        <v>1</v>
      </c>
      <c r="Q61" s="460">
        <f t="shared" si="6"/>
        <v>1</v>
      </c>
      <c r="R61" s="460">
        <f t="shared" si="6"/>
        <v>1</v>
      </c>
      <c r="S61" s="460">
        <f t="shared" si="6"/>
        <v>1</v>
      </c>
      <c r="T61" s="460">
        <f t="shared" si="6"/>
        <v>1</v>
      </c>
      <c r="U61" s="460">
        <f t="shared" si="6"/>
        <v>1</v>
      </c>
      <c r="V61" s="460">
        <f t="shared" si="6"/>
        <v>1</v>
      </c>
      <c r="W61" s="460">
        <f t="shared" si="6"/>
        <v>1</v>
      </c>
      <c r="X61" s="460">
        <f t="shared" si="6"/>
        <v>1</v>
      </c>
      <c r="Y61" s="460">
        <f t="shared" si="6"/>
        <v>1</v>
      </c>
      <c r="Z61" s="460">
        <f t="shared" si="6"/>
        <v>1</v>
      </c>
      <c r="AA61" s="460">
        <f t="shared" si="6"/>
        <v>1</v>
      </c>
      <c r="AB61" s="460">
        <f t="shared" si="6"/>
        <v>1</v>
      </c>
      <c r="AC61" s="460">
        <f t="shared" si="6"/>
        <v>1</v>
      </c>
      <c r="AD61" s="460">
        <f t="shared" si="6"/>
        <v>1</v>
      </c>
      <c r="AE61" s="460">
        <f t="shared" si="6"/>
        <v>1</v>
      </c>
      <c r="AF61" s="460">
        <f t="shared" si="6"/>
        <v>1</v>
      </c>
      <c r="AG61" s="460">
        <f t="shared" si="6"/>
        <v>1</v>
      </c>
      <c r="AH61" s="460">
        <f t="shared" si="6"/>
        <v>1</v>
      </c>
      <c r="AI61" s="460">
        <f t="shared" si="6"/>
        <v>1</v>
      </c>
      <c r="AJ61" s="460">
        <f t="shared" si="6"/>
        <v>1</v>
      </c>
      <c r="AK61" s="460">
        <f t="shared" si="6"/>
        <v>1</v>
      </c>
      <c r="AL61" s="460">
        <f t="shared" si="6"/>
        <v>1</v>
      </c>
      <c r="AM61" s="460">
        <f t="shared" si="6"/>
        <v>1</v>
      </c>
      <c r="AN61" s="460">
        <f t="shared" si="6"/>
        <v>1</v>
      </c>
      <c r="AO61" s="460">
        <f t="shared" si="6"/>
        <v>1</v>
      </c>
      <c r="AP61" s="460">
        <f t="shared" si="6"/>
        <v>1</v>
      </c>
      <c r="AQ61" s="460">
        <f t="shared" si="6"/>
        <v>1</v>
      </c>
      <c r="AR61" s="460">
        <f t="shared" si="6"/>
        <v>1</v>
      </c>
      <c r="AS61" s="460">
        <f t="shared" si="6"/>
        <v>1</v>
      </c>
      <c r="AT61" s="460">
        <f t="shared" si="6"/>
        <v>1</v>
      </c>
      <c r="AU61" s="460">
        <f t="shared" si="6"/>
        <v>1</v>
      </c>
      <c r="AV61" s="460">
        <f t="shared" si="6"/>
        <v>1</v>
      </c>
      <c r="AW61" s="460">
        <f t="shared" si="6"/>
        <v>1</v>
      </c>
      <c r="AX61" s="452">
        <f>SUM(J61:AW61)</f>
        <v>40</v>
      </c>
      <c r="AY61" s="485" t="s">
        <v>590</v>
      </c>
      <c r="AZ61" s="485"/>
    </row>
    <row r="62" spans="1:52" ht="15.75" customHeight="1" x14ac:dyDescent="0.3">
      <c r="B62" s="484" t="s">
        <v>591</v>
      </c>
      <c r="C62" s="484"/>
      <c r="D62" s="453"/>
      <c r="E62" s="453"/>
      <c r="F62" s="453"/>
      <c r="G62" s="484" t="s">
        <v>591</v>
      </c>
      <c r="H62" s="484"/>
      <c r="I62" s="484"/>
      <c r="J62" s="461">
        <f>J59-J61</f>
        <v>1</v>
      </c>
      <c r="K62" s="461">
        <f t="shared" ref="K62:AW62" si="7">K59-K61</f>
        <v>1</v>
      </c>
      <c r="L62" s="461">
        <f t="shared" si="7"/>
        <v>1</v>
      </c>
      <c r="M62" s="461">
        <f t="shared" si="7"/>
        <v>1</v>
      </c>
      <c r="N62" s="461">
        <f t="shared" si="7"/>
        <v>1</v>
      </c>
      <c r="O62" s="461">
        <f t="shared" si="7"/>
        <v>1</v>
      </c>
      <c r="P62" s="461">
        <f t="shared" si="7"/>
        <v>2</v>
      </c>
      <c r="Q62" s="461">
        <f t="shared" si="7"/>
        <v>2</v>
      </c>
      <c r="R62" s="461">
        <f t="shared" si="7"/>
        <v>1</v>
      </c>
      <c r="S62" s="461">
        <f t="shared" si="7"/>
        <v>1</v>
      </c>
      <c r="T62" s="461">
        <f t="shared" si="7"/>
        <v>1</v>
      </c>
      <c r="U62" s="461">
        <f t="shared" si="7"/>
        <v>1</v>
      </c>
      <c r="V62" s="461">
        <f t="shared" si="7"/>
        <v>3</v>
      </c>
      <c r="W62" s="461">
        <f t="shared" si="7"/>
        <v>3</v>
      </c>
      <c r="X62" s="461">
        <f t="shared" si="7"/>
        <v>2</v>
      </c>
      <c r="Y62" s="461">
        <f t="shared" si="7"/>
        <v>2</v>
      </c>
      <c r="Z62" s="461">
        <f t="shared" si="7"/>
        <v>2</v>
      </c>
      <c r="AA62" s="461">
        <f t="shared" si="7"/>
        <v>3</v>
      </c>
      <c r="AB62" s="461">
        <f t="shared" si="7"/>
        <v>3</v>
      </c>
      <c r="AC62" s="461">
        <f t="shared" si="7"/>
        <v>3</v>
      </c>
      <c r="AD62" s="461">
        <f t="shared" si="7"/>
        <v>3</v>
      </c>
      <c r="AE62" s="461">
        <f t="shared" si="7"/>
        <v>1</v>
      </c>
      <c r="AF62" s="461">
        <f t="shared" si="7"/>
        <v>1</v>
      </c>
      <c r="AG62" s="461">
        <f t="shared" si="7"/>
        <v>2</v>
      </c>
      <c r="AH62" s="461">
        <f t="shared" si="7"/>
        <v>1</v>
      </c>
      <c r="AI62" s="461">
        <f t="shared" si="7"/>
        <v>2</v>
      </c>
      <c r="AJ62" s="461">
        <f t="shared" si="7"/>
        <v>1</v>
      </c>
      <c r="AK62" s="461">
        <f t="shared" si="7"/>
        <v>2</v>
      </c>
      <c r="AL62" s="461">
        <f t="shared" si="7"/>
        <v>2</v>
      </c>
      <c r="AM62" s="461">
        <f t="shared" si="7"/>
        <v>2</v>
      </c>
      <c r="AN62" s="461">
        <f t="shared" si="7"/>
        <v>1</v>
      </c>
      <c r="AO62" s="461">
        <f t="shared" si="7"/>
        <v>1</v>
      </c>
      <c r="AP62" s="461">
        <f t="shared" si="7"/>
        <v>1</v>
      </c>
      <c r="AQ62" s="461">
        <f t="shared" si="7"/>
        <v>1</v>
      </c>
      <c r="AR62" s="461">
        <f t="shared" si="7"/>
        <v>1</v>
      </c>
      <c r="AS62" s="461">
        <f t="shared" si="7"/>
        <v>0</v>
      </c>
      <c r="AT62" s="461">
        <f t="shared" si="7"/>
        <v>0</v>
      </c>
      <c r="AU62" s="461">
        <f t="shared" si="7"/>
        <v>1</v>
      </c>
      <c r="AV62" s="461">
        <f t="shared" si="7"/>
        <v>1</v>
      </c>
      <c r="AW62" s="461">
        <f t="shared" si="7"/>
        <v>1</v>
      </c>
      <c r="AX62" s="454">
        <f>AVERAGE(J62:AW62)</f>
        <v>1.5</v>
      </c>
      <c r="AY62" s="486" t="s">
        <v>591</v>
      </c>
      <c r="AZ62" s="486"/>
    </row>
    <row r="63" spans="1:52" ht="15.75" customHeight="1" x14ac:dyDescent="0.2"/>
    <row r="64" spans="1:52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</sheetData>
  <sheetProtection autoFilter="0"/>
  <mergeCells count="18">
    <mergeCell ref="B61:C61"/>
    <mergeCell ref="G61:I61"/>
    <mergeCell ref="AY61:AZ61"/>
    <mergeCell ref="B62:C62"/>
    <mergeCell ref="G62:I62"/>
    <mergeCell ref="AY62:AZ62"/>
    <mergeCell ref="AY58:AZ58"/>
    <mergeCell ref="AY59:AZ59"/>
    <mergeCell ref="B60:C60"/>
    <mergeCell ref="G60:I60"/>
    <mergeCell ref="AY60:AZ60"/>
    <mergeCell ref="B3:C3"/>
    <mergeCell ref="E3:F3"/>
    <mergeCell ref="B58:C58"/>
    <mergeCell ref="B59:C59"/>
    <mergeCell ref="F6:I6"/>
    <mergeCell ref="G58:I58"/>
    <mergeCell ref="G59:I59"/>
  </mergeCells>
  <conditionalFormatting sqref="J9:AX55">
    <cfRule type="containsBlanks" dxfId="557" priority="15" stopIfTrue="1">
      <formula>LEN(TRIM(J9))=0</formula>
    </cfRule>
    <cfRule type="beginsWith" dxfId="556" priority="17" stopIfTrue="1" operator="beginsWith" text="u">
      <formula>LEFT(J9,LEN("u"))="u"</formula>
    </cfRule>
    <cfRule type="beginsWith" dxfId="555" priority="18" stopIfTrue="1" operator="beginsWith" text="p">
      <formula>LEFT(J9,LEN("p"))="p"</formula>
    </cfRule>
    <cfRule type="containsText" dxfId="554" priority="19" stopIfTrue="1" operator="containsText" text="B1">
      <formula>NOT(ISERROR(SEARCH("B1",J9)))</formula>
    </cfRule>
    <cfRule type="containsText" dxfId="553" priority="20" stopIfTrue="1" operator="containsText" text="B2">
      <formula>NOT(ISERROR(SEARCH("B2",J9)))</formula>
    </cfRule>
    <cfRule type="containsText" dxfId="552" priority="21" stopIfTrue="1" operator="containsText" text="Lunch">
      <formula>NOT(ISERROR(SEARCH("Lunch",J9)))</formula>
    </cfRule>
    <cfRule type="containsText" dxfId="551" priority="22" stopIfTrue="1" operator="containsText" text="Interview">
      <formula>NOT(ISERROR(SEARCH("Interview",J9)))</formula>
    </cfRule>
    <cfRule type="containsText" dxfId="550" priority="23" stopIfTrue="1" operator="containsText" text="Side by Side">
      <formula>NOT(ISERROR(SEARCH("Side by Side",J9)))</formula>
    </cfRule>
    <cfRule type="containsText" dxfId="549" priority="24" stopIfTrue="1" operator="containsText" text="COACHING">
      <formula>NOT(ISERROR(SEARCH("COACHING",J9)))</formula>
    </cfRule>
    <cfRule type="containsText" dxfId="548" priority="25" stopIfTrue="1" operator="containsText" text="TM">
      <formula>NOT(ISERROR(SEARCH("TM",J9)))</formula>
    </cfRule>
    <cfRule type="containsText" dxfId="547" priority="26" stopIfTrue="1" operator="containsText" text="RNNR">
      <formula>NOT(ISERROR(SEARCH("RNNR",J9)))</formula>
    </cfRule>
    <cfRule type="containsText" dxfId="546" priority="27" stopIfTrue="1" operator="containsText" text="ADM">
      <formula>NOT(ISERROR(SEARCH("ADM",J9)))</formula>
    </cfRule>
    <cfRule type="containsText" dxfId="545" priority="28" stopIfTrue="1" operator="containsText" text="HL">
      <formula>NOT(ISERROR(SEARCH("HL",J9)))</formula>
    </cfRule>
    <cfRule type="notContainsBlanks" dxfId="544" priority="29" stopIfTrue="1">
      <formula>LEN(TRIM(J9))&gt;0</formula>
    </cfRule>
  </conditionalFormatting>
  <conditionalFormatting sqref="J58:AW58">
    <cfRule type="cellIs" dxfId="543" priority="6" operator="greaterThanOrEqual">
      <formula>2</formula>
    </cfRule>
    <cfRule type="containsText" dxfId="542" priority="7" operator="containsText" text="1">
      <formula>NOT(ISERROR(SEARCH("1",J58)))</formula>
    </cfRule>
    <cfRule type="containsText" dxfId="541" priority="8" operator="containsText" text="0">
      <formula>NOT(ISERROR(SEARCH("0",J58)))</formula>
    </cfRule>
  </conditionalFormatting>
  <conditionalFormatting sqref="J59:AW59">
    <cfRule type="cellIs" dxfId="540" priority="3" operator="greaterThanOrEqual">
      <formula>2</formula>
    </cfRule>
    <cfRule type="containsText" dxfId="539" priority="4" operator="containsText" text="1">
      <formula>NOT(ISERROR(SEARCH("1",J59)))</formula>
    </cfRule>
    <cfRule type="containsText" dxfId="538" priority="5" operator="containsText" text="0">
      <formula>NOT(ISERROR(SEARCH("0",J59)))</formula>
    </cfRule>
  </conditionalFormatting>
  <conditionalFormatting sqref="J62:AW62">
    <cfRule type="colorScale" priority="1">
      <colorScale>
        <cfvo type="num" val="-0.05"/>
        <cfvo type="num" val="0"/>
        <cfvo type="num" val="0.05"/>
        <color rgb="FFF8696B"/>
        <color rgb="FFCDF3CD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stopIfTrue="1" operator="containsText" id="{28E07CB4-2445-4321-A0C7-1FEE8F679B2B}">
            <xm:f>NOT(ISERROR(SEARCH("-",J9)))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J9:AX55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/>
    <outlinePr summaryBelow="0" summaryRight="0"/>
  </sheetPr>
  <dimension ref="A1:BA99"/>
  <sheetViews>
    <sheetView workbookViewId="0">
      <pane xSplit="9" ySplit="8" topLeftCell="J9" activePane="bottomRight" state="frozen"/>
      <selection activeCell="BB1" sqref="BB1:XFD1048576"/>
      <selection pane="topRight" activeCell="BB1" sqref="BB1:XFD1048576"/>
      <selection pane="bottomLeft" activeCell="BB1" sqref="BB1:XFD1048576"/>
      <selection pane="bottomRight" activeCell="B3" sqref="B3:C3"/>
    </sheetView>
  </sheetViews>
  <sheetFormatPr defaultColWidth="0" defaultRowHeight="12.75" zeroHeight="1" x14ac:dyDescent="0.2"/>
  <cols>
    <col min="1" max="1" width="1.7109375" style="6" customWidth="1"/>
    <col min="2" max="2" width="20.28515625" style="6" bestFit="1" customWidth="1"/>
    <col min="3" max="3" width="10.7109375" style="6" customWidth="1"/>
    <col min="4" max="4" width="11.85546875" style="6" customWidth="1"/>
    <col min="5" max="5" width="11.42578125" style="6" customWidth="1"/>
    <col min="6" max="6" width="11.28515625" style="6" customWidth="1"/>
    <col min="7" max="7" width="12.28515625" style="6" customWidth="1"/>
    <col min="8" max="50" width="10.7109375" style="6" customWidth="1"/>
    <col min="51" max="51" width="23.5703125" style="6" customWidth="1"/>
    <col min="52" max="52" width="1.7109375" style="6" customWidth="1"/>
    <col min="53" max="53" width="9.140625" style="6" customWidth="1"/>
    <col min="54" max="16384" width="9.140625" style="6" hidden="1"/>
  </cols>
  <sheetData>
    <row r="1" spans="1:51" ht="6" customHeight="1" x14ac:dyDescent="0.2">
      <c r="D1" s="5"/>
    </row>
    <row r="2" spans="1:51" x14ac:dyDescent="0.2"/>
    <row r="3" spans="1:51" ht="24.95" customHeight="1" x14ac:dyDescent="0.2">
      <c r="B3" s="491" t="str">
        <f>TEXT(Day_5,"DDDD")&amp;" - "&amp;TEXT(Day_5,"mm/dd/yy")</f>
        <v>Thursday - 03/26/20</v>
      </c>
      <c r="C3" s="491"/>
      <c r="D3" s="106"/>
      <c r="K3" s="94" t="s">
        <v>124</v>
      </c>
      <c r="L3" s="152" t="s">
        <v>218</v>
      </c>
      <c r="M3" s="153" t="s">
        <v>220</v>
      </c>
      <c r="N3" s="71" t="s">
        <v>126</v>
      </c>
      <c r="O3" s="72" t="s">
        <v>130</v>
      </c>
      <c r="P3" s="73" t="s">
        <v>90</v>
      </c>
      <c r="Q3" s="139" t="s">
        <v>215</v>
      </c>
      <c r="R3" s="138" t="s">
        <v>211</v>
      </c>
      <c r="S3" s="137" t="s">
        <v>127</v>
      </c>
      <c r="T3" s="151" t="s">
        <v>139</v>
      </c>
      <c r="U3" s="69" t="s">
        <v>129</v>
      </c>
      <c r="V3" s="155" t="s">
        <v>146</v>
      </c>
      <c r="W3" s="157" t="s">
        <v>222</v>
      </c>
      <c r="X3" s="228" t="s">
        <v>366</v>
      </c>
      <c r="Y3" s="243" t="s">
        <v>371</v>
      </c>
      <c r="Z3" s="212"/>
      <c r="AA3" s="213"/>
      <c r="AB3" s="214"/>
      <c r="AD3" s="94" t="s">
        <v>124</v>
      </c>
      <c r="AE3" s="152" t="s">
        <v>218</v>
      </c>
      <c r="AF3" s="153" t="s">
        <v>220</v>
      </c>
      <c r="AG3" s="71" t="s">
        <v>126</v>
      </c>
      <c r="AH3" s="72" t="s">
        <v>130</v>
      </c>
      <c r="AI3" s="73" t="s">
        <v>90</v>
      </c>
      <c r="AJ3" s="139" t="s">
        <v>215</v>
      </c>
      <c r="AK3" s="138" t="s">
        <v>211</v>
      </c>
      <c r="AL3" s="137" t="s">
        <v>127</v>
      </c>
      <c r="AM3" s="151" t="s">
        <v>139</v>
      </c>
      <c r="AN3" s="69" t="s">
        <v>129</v>
      </c>
      <c r="AO3" s="155" t="s">
        <v>146</v>
      </c>
      <c r="AP3" s="157" t="s">
        <v>222</v>
      </c>
      <c r="AQ3" s="228" t="s">
        <v>366</v>
      </c>
      <c r="AR3" s="243" t="s">
        <v>371</v>
      </c>
    </row>
    <row r="4" spans="1:51" ht="24.95" customHeight="1" x14ac:dyDescent="0.2">
      <c r="B4" s="7"/>
      <c r="J4" s="18"/>
      <c r="K4" s="94" t="s">
        <v>125</v>
      </c>
      <c r="L4" s="154" t="s">
        <v>217</v>
      </c>
      <c r="M4" s="154" t="s">
        <v>221</v>
      </c>
      <c r="N4" s="70" t="s">
        <v>87</v>
      </c>
      <c r="O4" s="67" t="s">
        <v>89</v>
      </c>
      <c r="P4" s="67" t="s">
        <v>213</v>
      </c>
      <c r="Q4" s="67" t="s">
        <v>214</v>
      </c>
      <c r="R4" s="67" t="s">
        <v>212</v>
      </c>
      <c r="S4" s="67" t="s">
        <v>128</v>
      </c>
      <c r="T4" s="67" t="s">
        <v>138</v>
      </c>
      <c r="U4" s="67" t="s">
        <v>129</v>
      </c>
      <c r="V4" s="156" t="s">
        <v>145</v>
      </c>
      <c r="W4" s="98" t="s">
        <v>223</v>
      </c>
      <c r="X4" s="98" t="s">
        <v>367</v>
      </c>
      <c r="Y4" s="241" t="s">
        <v>372</v>
      </c>
      <c r="Z4" s="215"/>
      <c r="AA4" s="216"/>
      <c r="AB4" s="217"/>
      <c r="AD4" s="94" t="s">
        <v>125</v>
      </c>
      <c r="AE4" s="154" t="s">
        <v>217</v>
      </c>
      <c r="AF4" s="154" t="s">
        <v>221</v>
      </c>
      <c r="AG4" s="70" t="s">
        <v>87</v>
      </c>
      <c r="AH4" s="67" t="s">
        <v>89</v>
      </c>
      <c r="AI4" s="67" t="s">
        <v>213</v>
      </c>
      <c r="AJ4" s="67" t="s">
        <v>214</v>
      </c>
      <c r="AK4" s="67" t="s">
        <v>212</v>
      </c>
      <c r="AL4" s="67" t="s">
        <v>128</v>
      </c>
      <c r="AM4" s="67" t="s">
        <v>138</v>
      </c>
      <c r="AN4" s="67" t="s">
        <v>129</v>
      </c>
      <c r="AO4" s="156" t="s">
        <v>145</v>
      </c>
      <c r="AP4" s="98" t="s">
        <v>223</v>
      </c>
      <c r="AQ4" s="98" t="s">
        <v>367</v>
      </c>
      <c r="AR4" s="241" t="s">
        <v>372</v>
      </c>
    </row>
    <row r="5" spans="1:51" ht="6" customHeight="1" x14ac:dyDescent="0.2"/>
    <row r="6" spans="1:51" ht="17.25" customHeight="1" x14ac:dyDescent="0.2">
      <c r="F6" s="477" t="s">
        <v>132</v>
      </c>
      <c r="G6" s="478"/>
      <c r="H6" s="478"/>
      <c r="I6" s="479"/>
      <c r="J6" s="19"/>
      <c r="K6" s="19"/>
    </row>
    <row r="7" spans="1:51" ht="6" customHeight="1" thickBot="1" x14ac:dyDescent="0.25">
      <c r="J7" s="104" t="s">
        <v>93</v>
      </c>
      <c r="K7" s="104" t="s">
        <v>95</v>
      </c>
      <c r="L7" s="104" t="s">
        <v>97</v>
      </c>
      <c r="M7" s="104" t="s">
        <v>140</v>
      </c>
      <c r="N7" s="104" t="s">
        <v>109</v>
      </c>
      <c r="O7" s="104" t="s">
        <v>103</v>
      </c>
      <c r="P7" s="104" t="s">
        <v>121</v>
      </c>
      <c r="Q7" s="104" t="s">
        <v>113</v>
      </c>
      <c r="R7" s="104" t="s">
        <v>105</v>
      </c>
      <c r="S7" s="104" t="s">
        <v>107</v>
      </c>
      <c r="T7" s="104" t="s">
        <v>141</v>
      </c>
      <c r="U7" s="104" t="s">
        <v>101</v>
      </c>
      <c r="V7" s="104" t="s">
        <v>122</v>
      </c>
      <c r="W7" s="104" t="s">
        <v>116</v>
      </c>
      <c r="X7" s="104" t="s">
        <v>148</v>
      </c>
      <c r="Y7" s="104" t="s">
        <v>149</v>
      </c>
      <c r="Z7" s="104" t="s">
        <v>111</v>
      </c>
      <c r="AA7" s="104" t="s">
        <v>94</v>
      </c>
      <c r="AB7" s="104" t="s">
        <v>96</v>
      </c>
      <c r="AC7" s="104" t="s">
        <v>98</v>
      </c>
      <c r="AD7" s="104" t="s">
        <v>118</v>
      </c>
      <c r="AE7" s="104" t="s">
        <v>99</v>
      </c>
      <c r="AF7" s="104" t="s">
        <v>104</v>
      </c>
      <c r="AG7" s="104" t="s">
        <v>150</v>
      </c>
      <c r="AH7" s="104" t="s">
        <v>114</v>
      </c>
      <c r="AI7" s="104" t="s">
        <v>106</v>
      </c>
      <c r="AJ7" s="104" t="s">
        <v>108</v>
      </c>
      <c r="AK7" s="104" t="s">
        <v>142</v>
      </c>
      <c r="AL7" s="104" t="s">
        <v>102</v>
      </c>
      <c r="AM7" s="104" t="s">
        <v>143</v>
      </c>
      <c r="AN7" s="104" t="s">
        <v>123</v>
      </c>
      <c r="AO7" s="104" t="s">
        <v>117</v>
      </c>
      <c r="AP7" s="104" t="s">
        <v>151</v>
      </c>
      <c r="AQ7" s="104" t="s">
        <v>112</v>
      </c>
      <c r="AR7" s="104" t="s">
        <v>110</v>
      </c>
      <c r="AS7" s="104" t="s">
        <v>119</v>
      </c>
      <c r="AT7" s="104" t="s">
        <v>115</v>
      </c>
      <c r="AU7" s="104" t="s">
        <v>120</v>
      </c>
      <c r="AV7" s="104"/>
      <c r="AW7" s="104"/>
      <c r="AX7" s="105">
        <v>0</v>
      </c>
    </row>
    <row r="8" spans="1:51" ht="13.5" thickBot="1" x14ac:dyDescent="0.25">
      <c r="A8" s="15" t="s">
        <v>14</v>
      </c>
      <c r="B8" s="168" t="s">
        <v>2</v>
      </c>
      <c r="C8" s="169" t="s">
        <v>5</v>
      </c>
      <c r="D8" s="169" t="s">
        <v>84</v>
      </c>
      <c r="E8" s="169" t="s">
        <v>86</v>
      </c>
      <c r="F8" s="169" t="s">
        <v>87</v>
      </c>
      <c r="G8" s="169" t="s">
        <v>223</v>
      </c>
      <c r="H8" s="169" t="s">
        <v>89</v>
      </c>
      <c r="I8" s="169" t="s">
        <v>90</v>
      </c>
      <c r="J8" s="170" t="s">
        <v>93</v>
      </c>
      <c r="K8" s="170" t="s">
        <v>95</v>
      </c>
      <c r="L8" s="170" t="s">
        <v>97</v>
      </c>
      <c r="M8" s="170" t="s">
        <v>140</v>
      </c>
      <c r="N8" s="170" t="s">
        <v>109</v>
      </c>
      <c r="O8" s="170" t="s">
        <v>103</v>
      </c>
      <c r="P8" s="170" t="s">
        <v>121</v>
      </c>
      <c r="Q8" s="170" t="s">
        <v>113</v>
      </c>
      <c r="R8" s="170" t="s">
        <v>105</v>
      </c>
      <c r="S8" s="170" t="s">
        <v>107</v>
      </c>
      <c r="T8" s="170" t="s">
        <v>141</v>
      </c>
      <c r="U8" s="170" t="s">
        <v>101</v>
      </c>
      <c r="V8" s="170" t="s">
        <v>122</v>
      </c>
      <c r="W8" s="170" t="s">
        <v>116</v>
      </c>
      <c r="X8" s="170" t="s">
        <v>148</v>
      </c>
      <c r="Y8" s="170" t="s">
        <v>149</v>
      </c>
      <c r="Z8" s="170" t="s">
        <v>111</v>
      </c>
      <c r="AA8" s="170" t="s">
        <v>94</v>
      </c>
      <c r="AB8" s="170" t="s">
        <v>96</v>
      </c>
      <c r="AC8" s="170" t="s">
        <v>98</v>
      </c>
      <c r="AD8" s="170" t="s">
        <v>118</v>
      </c>
      <c r="AE8" s="170" t="s">
        <v>99</v>
      </c>
      <c r="AF8" s="170" t="s">
        <v>104</v>
      </c>
      <c r="AG8" s="170" t="s">
        <v>150</v>
      </c>
      <c r="AH8" s="170" t="s">
        <v>114</v>
      </c>
      <c r="AI8" s="170" t="s">
        <v>106</v>
      </c>
      <c r="AJ8" s="170" t="s">
        <v>108</v>
      </c>
      <c r="AK8" s="170" t="s">
        <v>142</v>
      </c>
      <c r="AL8" s="170" t="s">
        <v>102</v>
      </c>
      <c r="AM8" s="170" t="s">
        <v>143</v>
      </c>
      <c r="AN8" s="170" t="s">
        <v>123</v>
      </c>
      <c r="AO8" s="170" t="s">
        <v>117</v>
      </c>
      <c r="AP8" s="170" t="s">
        <v>151</v>
      </c>
      <c r="AQ8" s="170" t="s">
        <v>112</v>
      </c>
      <c r="AR8" s="170" t="s">
        <v>110</v>
      </c>
      <c r="AS8" s="170" t="s">
        <v>119</v>
      </c>
      <c r="AT8" s="170" t="s">
        <v>115</v>
      </c>
      <c r="AU8" s="170" t="s">
        <v>120</v>
      </c>
      <c r="AV8" s="199" t="s">
        <v>100</v>
      </c>
      <c r="AW8" s="199" t="s">
        <v>243</v>
      </c>
      <c r="AX8" s="199" t="s">
        <v>244</v>
      </c>
      <c r="AY8" s="171" t="s">
        <v>147</v>
      </c>
    </row>
    <row r="9" spans="1:51" s="44" customFormat="1" ht="12" x14ac:dyDescent="0.2">
      <c r="A9" s="39" t="str">
        <f>IF(B9="","",INDEX(TeamList[],MATCH($B9,TeamList[[Employee Name]:[Employee Name]],0),MATCH("Manager",TeamList[#Headers],0)))</f>
        <v>Olson, Katherine</v>
      </c>
      <c r="B9" s="201" t="s">
        <v>24</v>
      </c>
      <c r="C9" s="257" t="str">
        <f>_xlfn.IFNA(VLOOKUP(Thu_W1[[#This Row],[Employee Name]],'Base Schedules'!A:B,2,FALSE),"")</f>
        <v>Lead</v>
      </c>
      <c r="D9" s="274">
        <f>_xlfn.IFNA(VLOOKUP(Thu_W1[[#This Row],[Employee Name]],'Base Schedules'!A:C,3,FALSE),"")</f>
        <v>500</v>
      </c>
      <c r="E9" s="274">
        <f>_xlfn.IFNA(VLOOKUP(Thu_W1[[#This Row],[Employee Name]],'Base Schedules'!A:D,4,FALSE),"")</f>
        <v>1330</v>
      </c>
      <c r="F9" s="142">
        <f>IF(Thu_W1[[#This Row],[Employee Name]]="","",IF(Thu_W1[[#This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f>
        <v>9</v>
      </c>
      <c r="G9" s="142">
        <f t="shared" ref="G9:G29" si="0">IF(B9="","",COUNTIFS($J9:$AX9,"*Coaching*",$J9:$AX9,"&lt;&gt;"&amp;"pTM",$J9:$AX9,"&lt;&gt;"&amp;"uTM"))</f>
        <v>0</v>
      </c>
      <c r="H9" s="142">
        <f t="shared" ref="H9:H56" si="1">IF(B9="","",COUNTIFS($J9:$AX9,"*ADM*",$J9:$AX9,"&lt;&gt;"&amp;"pADM",$J9:$AX9,"&lt;&gt;"&amp;"uADM"))</f>
        <v>4</v>
      </c>
      <c r="I9" s="142">
        <f>IF(Thu_W1[[#This Row],[Employee Name]]="","",IF(Thu_W1[[#This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f>
        <v>2</v>
      </c>
      <c r="J9" s="184" t="str">
        <f>IFERROR(IF(VLOOKUP(Thu_W1[[#This Row],[Employee Name]],'Base Schedules'!$A$243:$AW$281,9,FALSE)="","",VLOOKUP(Thu_W1[[#This Row],[Employee Name]],'Base Schedules'!$A$243:$AW$281,9,FALSE)),"")</f>
        <v>HL</v>
      </c>
      <c r="K9" s="184" t="str">
        <f>IFERROR(IF(VLOOKUP(Thu_W1[[#This Row],[Employee Name]],'Base Schedules'!$A$243:$AW$281,10,FALSE)="","",VLOOKUP(Thu_W1[[#This Row],[Employee Name]],'Base Schedules'!$A$243:$AW$281,10,FALSE)),"")</f>
        <v>HL</v>
      </c>
      <c r="L9" s="184" t="str">
        <f>IFERROR(IF(VLOOKUP(Thu_W1[[#This Row],[Employee Name]],'Base Schedules'!$A$243:$AW$281,11,FALSE)="","",VLOOKUP(Thu_W1[[#This Row],[Employee Name]],'Base Schedules'!$A$243:$AW$281,11,FALSE)),"")</f>
        <v>HL</v>
      </c>
      <c r="M9" s="184" t="str">
        <f>IFERROR(IF(VLOOKUP(Thu_W1[[#This Row],[Employee Name]],'Base Schedules'!$A$243:$AW$281,12,FALSE)="","",VLOOKUP(Thu_W1[[#This Row],[Employee Name]],'Base Schedules'!$A$243:$AW$281,12,FALSE)),"")</f>
        <v>HL</v>
      </c>
      <c r="N9" s="184" t="str">
        <f>IFERROR(IF(VLOOKUP(Thu_W1[[#This Row],[Employee Name]],'Base Schedules'!$A$243:$AW$281,13,FALSE)="","",VLOOKUP(Thu_W1[[#This Row],[Employee Name]],'Base Schedules'!$A$243:$AW$281,13,FALSE)),"")</f>
        <v>HL B1</v>
      </c>
      <c r="O9" s="184" t="str">
        <f>IFERROR(IF(VLOOKUP(Thu_W1[[#This Row],[Employee Name]],'Base Schedules'!$A$243:$AW$281,14,FALSE)="","",VLOOKUP(Thu_W1[[#This Row],[Employee Name]],'Base Schedules'!$A$243:$AW$281,14,FALSE)),"")</f>
        <v>ADM</v>
      </c>
      <c r="P9" s="184" t="str">
        <f>IFERROR(IF(VLOOKUP(Thu_W1[[#This Row],[Employee Name]],'Base Schedules'!$A$243:$AW$281,15,FALSE)="","",VLOOKUP(Thu_W1[[#This Row],[Employee Name]],'Base Schedules'!$A$243:$AW$281,15,FALSE)),"")</f>
        <v>RNNR</v>
      </c>
      <c r="Q9" s="184" t="str">
        <f>IFERROR(IF(VLOOKUP(Thu_W1[[#This Row],[Employee Name]],'Base Schedules'!$A$243:$AW$281,16,FALSE)="","",VLOOKUP(Thu_W1[[#This Row],[Employee Name]],'Base Schedules'!$A$243:$AW$281,16,FALSE)),"")</f>
        <v>RNNR</v>
      </c>
      <c r="R9" s="184" t="str">
        <f>IFERROR(IF(VLOOKUP(Thu_W1[[#This Row],[Employee Name]],'Base Schedules'!$A$243:$AW$281,17,FALSE)="","",VLOOKUP(Thu_W1[[#This Row],[Employee Name]],'Base Schedules'!$A$243:$AW$281,17,FALSE)),"")</f>
        <v>LUNCH</v>
      </c>
      <c r="S9" s="184" t="str">
        <f>IFERROR(IF(VLOOKUP(Thu_W1[[#This Row],[Employee Name]],'Base Schedules'!$A$243:$AW$281,18,FALSE)="","",VLOOKUP(Thu_W1[[#This Row],[Employee Name]],'Base Schedules'!$A$243:$AW$281,18,FALSE)),"")</f>
        <v>ADM</v>
      </c>
      <c r="T9" s="184" t="str">
        <f>IFERROR(IF(VLOOKUP(Thu_W1[[#This Row],[Employee Name]],'Base Schedules'!$A$243:$AW$281,19,FALSE)="","",VLOOKUP(Thu_W1[[#This Row],[Employee Name]],'Base Schedules'!$A$243:$AW$281,19,FALSE)),"")</f>
        <v>ADM</v>
      </c>
      <c r="U9" s="184" t="str">
        <f>IFERROR(IF(VLOOKUP(Thu_W1[[#This Row],[Employee Name]],'Base Schedules'!$A$243:$AW$281,20,FALSE)="","",VLOOKUP(Thu_W1[[#This Row],[Employee Name]],'Base Schedules'!$A$243:$AW$281,20,FALSE)),"")</f>
        <v>ADM</v>
      </c>
      <c r="V9" s="184" t="str">
        <f>IFERROR(IF(VLOOKUP(Thu_W1[[#This Row],[Employee Name]],'Base Schedules'!$A$243:$AW$281,21,FALSE)="","",VLOOKUP(Thu_W1[[#This Row],[Employee Name]],'Base Schedules'!$A$243:$AW$281,21,FALSE)),"")</f>
        <v>B2 HL</v>
      </c>
      <c r="W9" s="184" t="str">
        <f>IFERROR(IF(VLOOKUP(Thu_W1[[#This Row],[Employee Name]],'Base Schedules'!$A$243:$AW$281,22,FALSE)="","",VLOOKUP(Thu_W1[[#This Row],[Employee Name]],'Base Schedules'!$A$243:$AW$281,22,FALSE)),"")</f>
        <v>HL</v>
      </c>
      <c r="X9" s="184" t="str">
        <f>IFERROR(IF(VLOOKUP(Thu_W1[[#This Row],[Employee Name]],'Base Schedules'!$A$243:$AW$281,23,FALSE)="","",VLOOKUP(Thu_W1[[#This Row],[Employee Name]],'Base Schedules'!$A$243:$AW$281,23,FALSE)),"")</f>
        <v>HL</v>
      </c>
      <c r="Y9" s="184" t="str">
        <f>IFERROR(IF(VLOOKUP(Thu_W1[[#This Row],[Employee Name]],'Base Schedules'!$A$243:$AW$281,24,FALSE)="","",VLOOKUP(Thu_W1[[#This Row],[Employee Name]],'Base Schedules'!$A$243:$AW$281,24,FALSE)),"")</f>
        <v>HL</v>
      </c>
      <c r="Z9" s="184" t="str">
        <f>IFERROR(IF(VLOOKUP(Thu_W1[[#This Row],[Employee Name]],'Base Schedules'!$A$243:$AW$281,25,FALSE)="","",VLOOKUP(Thu_W1[[#This Row],[Employee Name]],'Base Schedules'!$A$243:$AW$281,25,FALSE)),"")</f>
        <v>HL</v>
      </c>
      <c r="AA9" s="184" t="str">
        <f>IFERROR(IF(VLOOKUP(Thu_W1[[#This Row],[Employee Name]],'Base Schedules'!$A$243:$AW$281,26,FALSE)="","",VLOOKUP(Thu_W1[[#This Row],[Employee Name]],'Base Schedules'!$A$243:$AW$281,26,FALSE)),"")</f>
        <v/>
      </c>
      <c r="AB9" s="184" t="str">
        <f>IFERROR(IF(VLOOKUP(Thu_W1[[#This Row],[Employee Name]],'Base Schedules'!$A$243:$AW$281,27,FALSE)="","",VLOOKUP(Thu_W1[[#This Row],[Employee Name]],'Base Schedules'!$A$243:$AW$281,27,FALSE)),"")</f>
        <v/>
      </c>
      <c r="AC9" s="184" t="str">
        <f>IFERROR(IF(VLOOKUP(Thu_W1[[#This Row],[Employee Name]],'Base Schedules'!$A$243:$AW$281,28,FALSE)="","",VLOOKUP(Thu_W1[[#This Row],[Employee Name]],'Base Schedules'!$A$243:$AW$281,28,FALSE)),"")</f>
        <v/>
      </c>
      <c r="AD9" s="184" t="str">
        <f>IFERROR(IF(VLOOKUP(Thu_W1[[#This Row],[Employee Name]],'Base Schedules'!$A$243:$AW$281,29,FALSE)="","",VLOOKUP(Thu_W1[[#This Row],[Employee Name]],'Base Schedules'!$A$243:$AW$281,29,FALSE)),"")</f>
        <v/>
      </c>
      <c r="AE9" s="184" t="str">
        <f>IFERROR(IF(VLOOKUP(Thu_W1[[#This Row],[Employee Name]],'Base Schedules'!$A$243:$AW$281,30,FALSE)="","",VLOOKUP(Thu_W1[[#This Row],[Employee Name]],'Base Schedules'!$A$243:$AW$281,30,FALSE)),"")</f>
        <v/>
      </c>
      <c r="AF9" s="184" t="str">
        <f>IFERROR(IF(VLOOKUP(Thu_W1[[#This Row],[Employee Name]],'Base Schedules'!$A$243:$AW$281,31,FALSE)="","",VLOOKUP(Thu_W1[[#This Row],[Employee Name]],'Base Schedules'!$A$243:$AW$281,31,FALSE)),"")</f>
        <v/>
      </c>
      <c r="AG9" s="184" t="str">
        <f>IFERROR(IF(VLOOKUP(Thu_W1[[#This Row],[Employee Name]],'Base Schedules'!$A$243:$AW$281,32,FALSE)="","",VLOOKUP(Thu_W1[[#This Row],[Employee Name]],'Base Schedules'!$A$243:$AW$281,32,FALSE)),"")</f>
        <v/>
      </c>
      <c r="AH9" s="184" t="str">
        <f>IFERROR(IF(VLOOKUP(Thu_W1[[#This Row],[Employee Name]],'Base Schedules'!$A$243:$AW$281,33,FALSE)="","",VLOOKUP(Thu_W1[[#This Row],[Employee Name]],'Base Schedules'!$A$243:$AW$281,33,FALSE)),"")</f>
        <v/>
      </c>
      <c r="AI9" s="184" t="str">
        <f>IFERROR(IF(VLOOKUP(Thu_W1[[#This Row],[Employee Name]],'Base Schedules'!$A$243:$AW$281,34,FALSE)="","",VLOOKUP(Thu_W1[[#This Row],[Employee Name]],'Base Schedules'!$A$243:$AW$281,34,FALSE)),"")</f>
        <v/>
      </c>
      <c r="AJ9" s="184" t="str">
        <f>IFERROR(IF(VLOOKUP(Thu_W1[[#This Row],[Employee Name]],'Base Schedules'!$A$243:$AW$281,35,FALSE)="","",VLOOKUP(Thu_W1[[#This Row],[Employee Name]],'Base Schedules'!$A$243:$AW$281,35,FALSE)),"")</f>
        <v/>
      </c>
      <c r="AK9" s="184" t="str">
        <f>IFERROR(IF(VLOOKUP(Thu_W1[[#This Row],[Employee Name]],'Base Schedules'!$A$243:$AW$281,36,FALSE)="","",VLOOKUP(Thu_W1[[#This Row],[Employee Name]],'Base Schedules'!$A$243:$AW$281,36,FALSE)),"")</f>
        <v/>
      </c>
      <c r="AL9" s="184" t="str">
        <f>IFERROR(IF(VLOOKUP(Thu_W1[[#This Row],[Employee Name]],'Base Schedules'!$A$243:$AW$281,37,FALSE)="","",VLOOKUP(Thu_W1[[#This Row],[Employee Name]],'Base Schedules'!$A$243:$AW$281,37,FALSE)),"")</f>
        <v/>
      </c>
      <c r="AM9" s="184" t="str">
        <f>IFERROR(IF(VLOOKUP(Thu_W1[[#This Row],[Employee Name]],'Base Schedules'!$A$243:$AW$281,38,FALSE)="","",VLOOKUP(Thu_W1[[#This Row],[Employee Name]],'Base Schedules'!$A$243:$AW$281,38,FALSE)),"")</f>
        <v/>
      </c>
      <c r="AN9" s="184" t="str">
        <f>IFERROR(IF(VLOOKUP(Thu_W1[[#This Row],[Employee Name]],'Base Schedules'!$A$243:$AW$281,39,FALSE)="","",VLOOKUP(Thu_W1[[#This Row],[Employee Name]],'Base Schedules'!$A$243:$AW$281,39,FALSE)),"")</f>
        <v/>
      </c>
      <c r="AO9" s="184" t="str">
        <f>IFERROR(IF(VLOOKUP(Thu_W1[[#This Row],[Employee Name]],'Base Schedules'!$A$243:$AW$281,40,FALSE)="","",VLOOKUP(Thu_W1[[#This Row],[Employee Name]],'Base Schedules'!$A$243:$AW$281,40,FALSE)),"")</f>
        <v/>
      </c>
      <c r="AP9" s="184" t="str">
        <f>IFERROR(IF(VLOOKUP(Thu_W1[[#This Row],[Employee Name]],'Base Schedules'!$A$243:$AW$281,41,FALSE)="","",VLOOKUP(Thu_W1[[#This Row],[Employee Name]],'Base Schedules'!$A$243:$AW$281,41,FALSE)),"")</f>
        <v/>
      </c>
      <c r="AQ9" s="184" t="str">
        <f>IFERROR(IF(VLOOKUP(Thu_W1[[#This Row],[Employee Name]],'Base Schedules'!$A$243:$AW$281,42,FALSE)="","",VLOOKUP(Thu_W1[[#This Row],[Employee Name]],'Base Schedules'!$A$243:$AW$281,42,FALSE)),"")</f>
        <v/>
      </c>
      <c r="AR9" s="184" t="str">
        <f>IFERROR(IF(VLOOKUP(Thu_W1[[#This Row],[Employee Name]],'Base Schedules'!$A$243:$AW$281,43,FALSE)="","",VLOOKUP(Thu_W1[[#This Row],[Employee Name]],'Base Schedules'!$A$243:$AW$281,43,FALSE)),"")</f>
        <v/>
      </c>
      <c r="AS9" s="184" t="str">
        <f>IFERROR(IF(VLOOKUP(Thu_W1[[#This Row],[Employee Name]],'Base Schedules'!$A$243:$AW$281,44,FALSE)="","",VLOOKUP(Thu_W1[[#This Row],[Employee Name]],'Base Schedules'!$A$243:$AW$281,44,FALSE)),"")</f>
        <v/>
      </c>
      <c r="AT9" s="184" t="str">
        <f>IFERROR(IF(VLOOKUP(Thu_W1[[#This Row],[Employee Name]],'Base Schedules'!$A$243:$AW$281,45,FALSE)="","",VLOOKUP(Thu_W1[[#This Row],[Employee Name]],'Base Schedules'!$A$243:$AW$281,45,FALSE)),"")</f>
        <v/>
      </c>
      <c r="AU9" s="184" t="str">
        <f>IFERROR(IF(VLOOKUP(Thu_W1[[#This Row],[Employee Name]],'Base Schedules'!$A$243:$AW$281,46,FALSE)="","",VLOOKUP(Thu_W1[[#This Row],[Employee Name]],'Base Schedules'!$A$243:$AW$281,46,FALSE)),"")</f>
        <v/>
      </c>
      <c r="AV9" s="184" t="str">
        <f>IFERROR(IF(VLOOKUP(Thu_W1[[#This Row],[Employee Name]],'Base Schedules'!$A$243:$AW$281,47,FALSE)="","",VLOOKUP(Thu_W1[[#This Row],[Employee Name]],'Base Schedules'!$A$243:$AW$281,47,FALSE)),"")</f>
        <v/>
      </c>
      <c r="AW9" s="184" t="str">
        <f>IFERROR(IF(VLOOKUP(Thu_W1[[#This Row],[Employee Name]],'Base Schedules'!$A$243:$AW$281,48,FALSE)="","",VLOOKUP(Thu_W1[[#This Row],[Employee Name]],'Base Schedules'!$A$243:$AW$281,48,FALSE)),"")</f>
        <v/>
      </c>
      <c r="AX9" s="184" t="str">
        <f>IFERROR(IF(VLOOKUP(Thu_W1[[#This Row],[Employee Name]],'Base Schedules'!$A$243:$AW$281,49,FALSE)="","",VLOOKUP(Thu_W1[[#This Row],[Employee Name]],'Base Schedules'!$A$243:$AW$281,49,FALSE)),"")</f>
        <v/>
      </c>
      <c r="AY9" s="163" t="str">
        <f t="shared" ref="AY9:AY56" si="2">IF(B9="","",B9)</f>
        <v>Birrueta Arellano, Neftali</v>
      </c>
    </row>
    <row r="10" spans="1:51" s="44" customFormat="1" ht="12" x14ac:dyDescent="0.2">
      <c r="A10" s="39" t="str">
        <f>IF(B10="","",INDEX(TeamList[],MATCH($B10,TeamList[[Employee Name]:[Employee Name]],0),MATCH("Manager",TeamList[#Headers],0)))</f>
        <v>Olson, Katherine</v>
      </c>
      <c r="B10" s="201" t="s">
        <v>233</v>
      </c>
      <c r="C10" s="257" t="str">
        <f>_xlfn.IFNA(VLOOKUP(Thu_W1[[#This Row],[Employee Name]],'Base Schedules'!A:B,2,FALSE),"")</f>
        <v>Lead</v>
      </c>
      <c r="D10" s="274">
        <f>_xlfn.IFNA(VLOOKUP(Thu_W1[[#This Row],[Employee Name]],'Base Schedules'!A:C,3,FALSE),"")</f>
        <v>500</v>
      </c>
      <c r="E10" s="274">
        <f>_xlfn.IFNA(VLOOKUP(Thu_W1[[#This Row],[Employee Name]],'Base Schedules'!A:D,4,FALSE),"")</f>
        <v>1330</v>
      </c>
      <c r="F10" s="142">
        <f>IF(Thu_W1[[#This Row],[Employee Name]]="","",IF(Thu_W1[[#This Row],[Dept]]="Supervisor",COUNTIFS($J10:$AX10,"*HL*",$J10:$AX10,"&lt;&gt;"&amp;"pHL"),COUNTIFS($J10:$AX10,"*HL*",$J10:$AX10,"&lt;&gt;"&amp;"*pHL*",$J10:$AX10,"&lt;&gt;"&amp;"pB1 HL",$J10:$AX10,"&lt;&gt;"&amp;"pB2 HL")-SUM(COUNTIFS($J10:$AX10,"*HL B1*",$J10:$AX10,"&lt;&gt;"&amp;"pHL B1")*0.5,COUNTIFS($J10:$AX10,"*HL B2*",$J10:$AX10,"&lt;&gt;"&amp;"pHL B2")*0.5,COUNTIFS($J10:$AX10,"*B1 HL*",$J10:$AX10,"&lt;&gt;"&amp;"pB1 HL")*0.5,COUNTIFS($J10:$AX10,"*B2 HL*",$J10:$AX10,"&lt;&gt;"&amp;"pB2 HL")*0.5)))</f>
        <v>9</v>
      </c>
      <c r="G10" s="142">
        <f t="shared" si="0"/>
        <v>0</v>
      </c>
      <c r="H10" s="142">
        <f t="shared" si="1"/>
        <v>4</v>
      </c>
      <c r="I10" s="142">
        <f>IF(Thu_W1[[#This Row],[Employee Name]]="","",IF(Thu_W1[[#This Row],[Dept]]="Supervisor",SUM(COUNTIFS($J10:$AX10,"RTA*",$J10:$AX10,"&lt;&gt;"&amp;"pRTA"),COUNTIFS($J10:$AX10,"*CRTA*",$J10:$AX10,"&lt;&gt;"&amp;"pCRTA")),COUNTIFS($J10:$AX10,"*RNNR*",$J10:$AX10,"&lt;&gt;"&amp;"*pRNNR*",$J10:$AX10,"&lt;&gt;"&amp;"pB1 RNNR",$J10:$AX10,"&lt;&gt;"&amp;"pB2 RNNR")-SUM(COUNTIFS($J10:$AX10,"*RNNR B1*",$J10:$AX10,"&lt;&gt;"&amp;"pRNNR B1")*0.5,COUNTIFS($J10:$AX10,"*RNNR B2*",$J10:$AX10,"&lt;&gt;"&amp;"pRNNR B2")*0.5,COUNTIFS($J10:$AX10,"*B1 RNNR*",$J10:$AX10,"&lt;&gt;"&amp;"pB1 RNNR")*0.5,COUNTIFS($J10:$AX10,"*B2 RNNR*",$J10:$AX10,"&lt;&gt;"&amp;"pB2 RNNR")*0.5)))</f>
        <v>2</v>
      </c>
      <c r="J10" s="184" t="str">
        <f>IFERROR(IF(VLOOKUP(Thu_W1[[#This Row],[Employee Name]],'Base Schedules'!$A$243:$AW$281,9,FALSE)="","",VLOOKUP(Thu_W1[[#This Row],[Employee Name]],'Base Schedules'!$A$243:$AW$281,9,FALSE)),"")</f>
        <v>HL</v>
      </c>
      <c r="K10" s="184" t="str">
        <f>IFERROR(IF(VLOOKUP(Thu_W1[[#This Row],[Employee Name]],'Base Schedules'!$A$243:$AW$281,10,FALSE)="","",VLOOKUP(Thu_W1[[#This Row],[Employee Name]],'Base Schedules'!$A$243:$AW$281,10,FALSE)),"")</f>
        <v>HL</v>
      </c>
      <c r="L10" s="184" t="str">
        <f>IFERROR(IF(VLOOKUP(Thu_W1[[#This Row],[Employee Name]],'Base Schedules'!$A$243:$AW$281,11,FALSE)="","",VLOOKUP(Thu_W1[[#This Row],[Employee Name]],'Base Schedules'!$A$243:$AW$281,11,FALSE)),"")</f>
        <v>HL</v>
      </c>
      <c r="M10" s="184" t="str">
        <f>IFERROR(IF(VLOOKUP(Thu_W1[[#This Row],[Employee Name]],'Base Schedules'!$A$243:$AW$281,12,FALSE)="","",VLOOKUP(Thu_W1[[#This Row],[Employee Name]],'Base Schedules'!$A$243:$AW$281,12,FALSE)),"")</f>
        <v>HL B1</v>
      </c>
      <c r="N10" s="184" t="str">
        <f>IFERROR(IF(VLOOKUP(Thu_W1[[#This Row],[Employee Name]],'Base Schedules'!$A$243:$AW$281,13,FALSE)="","",VLOOKUP(Thu_W1[[#This Row],[Employee Name]],'Base Schedules'!$A$243:$AW$281,13,FALSE)),"")</f>
        <v>HL</v>
      </c>
      <c r="O10" s="184" t="str">
        <f>IFERROR(IF(VLOOKUP(Thu_W1[[#This Row],[Employee Name]],'Base Schedules'!$A$243:$AW$281,14,FALSE)="","",VLOOKUP(Thu_W1[[#This Row],[Employee Name]],'Base Schedules'!$A$243:$AW$281,14,FALSE)),"")</f>
        <v>ADM</v>
      </c>
      <c r="P10" s="184" t="str">
        <f>IFERROR(IF(VLOOKUP(Thu_W1[[#This Row],[Employee Name]],'Base Schedules'!$A$243:$AW$281,15,FALSE)="","",VLOOKUP(Thu_W1[[#This Row],[Employee Name]],'Base Schedules'!$A$243:$AW$281,15,FALSE)),"")</f>
        <v>ADM</v>
      </c>
      <c r="Q10" s="184" t="str">
        <f>IFERROR(IF(VLOOKUP(Thu_W1[[#This Row],[Employee Name]],'Base Schedules'!$A$243:$AW$281,16,FALSE)="","",VLOOKUP(Thu_W1[[#This Row],[Employee Name]],'Base Schedules'!$A$243:$AW$281,16,FALSE)),"")</f>
        <v>ADM</v>
      </c>
      <c r="R10" s="184" t="str">
        <f>IFERROR(IF(VLOOKUP(Thu_W1[[#This Row],[Employee Name]],'Base Schedules'!$A$243:$AW$281,17,FALSE)="","",VLOOKUP(Thu_W1[[#This Row],[Employee Name]],'Base Schedules'!$A$243:$AW$281,17,FALSE)),"")</f>
        <v>ADM</v>
      </c>
      <c r="S10" s="184" t="str">
        <f>IFERROR(IF(VLOOKUP(Thu_W1[[#This Row],[Employee Name]],'Base Schedules'!$A$243:$AW$281,18,FALSE)="","",VLOOKUP(Thu_W1[[#This Row],[Employee Name]],'Base Schedules'!$A$243:$AW$281,18,FALSE)),"")</f>
        <v>LUNCH</v>
      </c>
      <c r="T10" s="184" t="str">
        <f>IFERROR(IF(VLOOKUP(Thu_W1[[#This Row],[Employee Name]],'Base Schedules'!$A$243:$AW$281,19,FALSE)="","",VLOOKUP(Thu_W1[[#This Row],[Employee Name]],'Base Schedules'!$A$243:$AW$281,19,FALSE)),"")</f>
        <v>RNNR</v>
      </c>
      <c r="U10" s="184" t="str">
        <f>IFERROR(IF(VLOOKUP(Thu_W1[[#This Row],[Employee Name]],'Base Schedules'!$A$243:$AW$281,20,FALSE)="","",VLOOKUP(Thu_W1[[#This Row],[Employee Name]],'Base Schedules'!$A$243:$AW$281,20,FALSE)),"")</f>
        <v>RNNR</v>
      </c>
      <c r="V10" s="184" t="str">
        <f>IFERROR(IF(VLOOKUP(Thu_W1[[#This Row],[Employee Name]],'Base Schedules'!$A$243:$AW$281,21,FALSE)="","",VLOOKUP(Thu_W1[[#This Row],[Employee Name]],'Base Schedules'!$A$243:$AW$281,21,FALSE)),"")</f>
        <v>HL</v>
      </c>
      <c r="W10" s="184" t="str">
        <f>IFERROR(IF(VLOOKUP(Thu_W1[[#This Row],[Employee Name]],'Base Schedules'!$A$243:$AW$281,22,FALSE)="","",VLOOKUP(Thu_W1[[#This Row],[Employee Name]],'Base Schedules'!$A$243:$AW$281,22,FALSE)),"")</f>
        <v>B2 HL</v>
      </c>
      <c r="X10" s="184" t="str">
        <f>IFERROR(IF(VLOOKUP(Thu_W1[[#This Row],[Employee Name]],'Base Schedules'!$A$243:$AW$281,23,FALSE)="","",VLOOKUP(Thu_W1[[#This Row],[Employee Name]],'Base Schedules'!$A$243:$AW$281,23,FALSE)),"")</f>
        <v>HL</v>
      </c>
      <c r="Y10" s="184" t="str">
        <f>IFERROR(IF(VLOOKUP(Thu_W1[[#This Row],[Employee Name]],'Base Schedules'!$A$243:$AW$281,24,FALSE)="","",VLOOKUP(Thu_W1[[#This Row],[Employee Name]],'Base Schedules'!$A$243:$AW$281,24,FALSE)),"")</f>
        <v>HL</v>
      </c>
      <c r="Z10" s="184" t="str">
        <f>IFERROR(IF(VLOOKUP(Thu_W1[[#This Row],[Employee Name]],'Base Schedules'!$A$243:$AW$281,25,FALSE)="","",VLOOKUP(Thu_W1[[#This Row],[Employee Name]],'Base Schedules'!$A$243:$AW$281,25,FALSE)),"")</f>
        <v>HL</v>
      </c>
      <c r="AA10" s="184" t="str">
        <f>IFERROR(IF(VLOOKUP(Thu_W1[[#This Row],[Employee Name]],'Base Schedules'!$A$243:$AW$281,26,FALSE)="","",VLOOKUP(Thu_W1[[#This Row],[Employee Name]],'Base Schedules'!$A$243:$AW$281,26,FALSE)),"")</f>
        <v/>
      </c>
      <c r="AB10" s="184" t="str">
        <f>IFERROR(IF(VLOOKUP(Thu_W1[[#This Row],[Employee Name]],'Base Schedules'!$A$243:$AW$281,27,FALSE)="","",VLOOKUP(Thu_W1[[#This Row],[Employee Name]],'Base Schedules'!$A$243:$AW$281,27,FALSE)),"")</f>
        <v/>
      </c>
      <c r="AC10" s="184" t="str">
        <f>IFERROR(IF(VLOOKUP(Thu_W1[[#This Row],[Employee Name]],'Base Schedules'!$A$243:$AW$281,28,FALSE)="","",VLOOKUP(Thu_W1[[#This Row],[Employee Name]],'Base Schedules'!$A$243:$AW$281,28,FALSE)),"")</f>
        <v/>
      </c>
      <c r="AD10" s="184" t="str">
        <f>IFERROR(IF(VLOOKUP(Thu_W1[[#This Row],[Employee Name]],'Base Schedules'!$A$243:$AW$281,29,FALSE)="","",VLOOKUP(Thu_W1[[#This Row],[Employee Name]],'Base Schedules'!$A$243:$AW$281,29,FALSE)),"")</f>
        <v/>
      </c>
      <c r="AE10" s="184" t="str">
        <f>IFERROR(IF(VLOOKUP(Thu_W1[[#This Row],[Employee Name]],'Base Schedules'!$A$243:$AW$281,30,FALSE)="","",VLOOKUP(Thu_W1[[#This Row],[Employee Name]],'Base Schedules'!$A$243:$AW$281,30,FALSE)),"")</f>
        <v/>
      </c>
      <c r="AF10" s="184" t="str">
        <f>IFERROR(IF(VLOOKUP(Thu_W1[[#This Row],[Employee Name]],'Base Schedules'!$A$243:$AW$281,31,FALSE)="","",VLOOKUP(Thu_W1[[#This Row],[Employee Name]],'Base Schedules'!$A$243:$AW$281,31,FALSE)),"")</f>
        <v/>
      </c>
      <c r="AG10" s="184" t="str">
        <f>IFERROR(IF(VLOOKUP(Thu_W1[[#This Row],[Employee Name]],'Base Schedules'!$A$243:$AW$281,32,FALSE)="","",VLOOKUP(Thu_W1[[#This Row],[Employee Name]],'Base Schedules'!$A$243:$AW$281,32,FALSE)),"")</f>
        <v/>
      </c>
      <c r="AH10" s="184" t="str">
        <f>IFERROR(IF(VLOOKUP(Thu_W1[[#This Row],[Employee Name]],'Base Schedules'!$A$243:$AW$281,33,FALSE)="","",VLOOKUP(Thu_W1[[#This Row],[Employee Name]],'Base Schedules'!$A$243:$AW$281,33,FALSE)),"")</f>
        <v/>
      </c>
      <c r="AI10" s="184" t="str">
        <f>IFERROR(IF(VLOOKUP(Thu_W1[[#This Row],[Employee Name]],'Base Schedules'!$A$243:$AW$281,34,FALSE)="","",VLOOKUP(Thu_W1[[#This Row],[Employee Name]],'Base Schedules'!$A$243:$AW$281,34,FALSE)),"")</f>
        <v/>
      </c>
      <c r="AJ10" s="184" t="str">
        <f>IFERROR(IF(VLOOKUP(Thu_W1[[#This Row],[Employee Name]],'Base Schedules'!$A$243:$AW$281,35,FALSE)="","",VLOOKUP(Thu_W1[[#This Row],[Employee Name]],'Base Schedules'!$A$243:$AW$281,35,FALSE)),"")</f>
        <v/>
      </c>
      <c r="AK10" s="184" t="str">
        <f>IFERROR(IF(VLOOKUP(Thu_W1[[#This Row],[Employee Name]],'Base Schedules'!$A$243:$AW$281,36,FALSE)="","",VLOOKUP(Thu_W1[[#This Row],[Employee Name]],'Base Schedules'!$A$243:$AW$281,36,FALSE)),"")</f>
        <v/>
      </c>
      <c r="AL10" s="184" t="str">
        <f>IFERROR(IF(VLOOKUP(Thu_W1[[#This Row],[Employee Name]],'Base Schedules'!$A$243:$AW$281,37,FALSE)="","",VLOOKUP(Thu_W1[[#This Row],[Employee Name]],'Base Schedules'!$A$243:$AW$281,37,FALSE)),"")</f>
        <v/>
      </c>
      <c r="AM10" s="184" t="str">
        <f>IFERROR(IF(VLOOKUP(Thu_W1[[#This Row],[Employee Name]],'Base Schedules'!$A$243:$AW$281,38,FALSE)="","",VLOOKUP(Thu_W1[[#This Row],[Employee Name]],'Base Schedules'!$A$243:$AW$281,38,FALSE)),"")</f>
        <v/>
      </c>
      <c r="AN10" s="184" t="str">
        <f>IFERROR(IF(VLOOKUP(Thu_W1[[#This Row],[Employee Name]],'Base Schedules'!$A$243:$AW$281,39,FALSE)="","",VLOOKUP(Thu_W1[[#This Row],[Employee Name]],'Base Schedules'!$A$243:$AW$281,39,FALSE)),"")</f>
        <v/>
      </c>
      <c r="AO10" s="184" t="str">
        <f>IFERROR(IF(VLOOKUP(Thu_W1[[#This Row],[Employee Name]],'Base Schedules'!$A$243:$AW$281,40,FALSE)="","",VLOOKUP(Thu_W1[[#This Row],[Employee Name]],'Base Schedules'!$A$243:$AW$281,40,FALSE)),"")</f>
        <v/>
      </c>
      <c r="AP10" s="184" t="str">
        <f>IFERROR(IF(VLOOKUP(Thu_W1[[#This Row],[Employee Name]],'Base Schedules'!$A$243:$AW$281,41,FALSE)="","",VLOOKUP(Thu_W1[[#This Row],[Employee Name]],'Base Schedules'!$A$243:$AW$281,41,FALSE)),"")</f>
        <v/>
      </c>
      <c r="AQ10" s="184" t="str">
        <f>IFERROR(IF(VLOOKUP(Thu_W1[[#This Row],[Employee Name]],'Base Schedules'!$A$243:$AW$281,42,FALSE)="","",VLOOKUP(Thu_W1[[#This Row],[Employee Name]],'Base Schedules'!$A$243:$AW$281,42,FALSE)),"")</f>
        <v/>
      </c>
      <c r="AR10" s="184" t="str">
        <f>IFERROR(IF(VLOOKUP(Thu_W1[[#This Row],[Employee Name]],'Base Schedules'!$A$243:$AW$281,43,FALSE)="","",VLOOKUP(Thu_W1[[#This Row],[Employee Name]],'Base Schedules'!$A$243:$AW$281,43,FALSE)),"")</f>
        <v/>
      </c>
      <c r="AS10" s="184" t="str">
        <f>IFERROR(IF(VLOOKUP(Thu_W1[[#This Row],[Employee Name]],'Base Schedules'!$A$243:$AW$281,44,FALSE)="","",VLOOKUP(Thu_W1[[#This Row],[Employee Name]],'Base Schedules'!$A$243:$AW$281,44,FALSE)),"")</f>
        <v/>
      </c>
      <c r="AT10" s="184" t="str">
        <f>IFERROR(IF(VLOOKUP(Thu_W1[[#This Row],[Employee Name]],'Base Schedules'!$A$243:$AW$281,45,FALSE)="","",VLOOKUP(Thu_W1[[#This Row],[Employee Name]],'Base Schedules'!$A$243:$AW$281,45,FALSE)),"")</f>
        <v/>
      </c>
      <c r="AU10" s="184" t="str">
        <f>IFERROR(IF(VLOOKUP(Thu_W1[[#This Row],[Employee Name]],'Base Schedules'!$A$243:$AW$281,46,FALSE)="","",VLOOKUP(Thu_W1[[#This Row],[Employee Name]],'Base Schedules'!$A$243:$AW$281,46,FALSE)),"")</f>
        <v/>
      </c>
      <c r="AV10" s="184" t="str">
        <f>IFERROR(IF(VLOOKUP(Thu_W1[[#This Row],[Employee Name]],'Base Schedules'!$A$243:$AW$281,47,FALSE)="","",VLOOKUP(Thu_W1[[#This Row],[Employee Name]],'Base Schedules'!$A$243:$AW$281,47,FALSE)),"")</f>
        <v/>
      </c>
      <c r="AW10" s="184" t="str">
        <f>IFERROR(IF(VLOOKUP(Thu_W1[[#This Row],[Employee Name]],'Base Schedules'!$A$243:$AW$281,48,FALSE)="","",VLOOKUP(Thu_W1[[#This Row],[Employee Name]],'Base Schedules'!$A$243:$AW$281,48,FALSE)),"")</f>
        <v/>
      </c>
      <c r="AX10" s="184" t="str">
        <f>IFERROR(IF(VLOOKUP(Thu_W1[[#This Row],[Employee Name]],'Base Schedules'!$A$243:$AW$281,49,FALSE)="","",VLOOKUP(Thu_W1[[#This Row],[Employee Name]],'Base Schedules'!$A$243:$AW$281,49,FALSE)),"")</f>
        <v/>
      </c>
      <c r="AY10" s="164" t="str">
        <f t="shared" si="2"/>
        <v>Shiraki, Suzy</v>
      </c>
    </row>
    <row r="11" spans="1:51" s="44" customFormat="1" ht="12" x14ac:dyDescent="0.2">
      <c r="A11" s="39" t="str">
        <f>IF(B11="","",INDEX(TeamList[],MATCH($B11,TeamList[[Employee Name]:[Employee Name]],0),MATCH("Manager",TeamList[#Headers],0)))</f>
        <v>Paulson, Matthew</v>
      </c>
      <c r="B11" s="201" t="s">
        <v>46</v>
      </c>
      <c r="C11" s="257" t="str">
        <f>_xlfn.IFNA(VLOOKUP(Thu_W1[[#This Row],[Employee Name]],'Base Schedules'!A:B,2,FALSE),"")</f>
        <v>Supervisor</v>
      </c>
      <c r="D11" s="274">
        <f>_xlfn.IFNA(VLOOKUP(Thu_W1[[#This Row],[Employee Name]],'Base Schedules'!A:C,3,FALSE),"")</f>
        <v>500</v>
      </c>
      <c r="E11" s="274">
        <f>_xlfn.IFNA(VLOOKUP(Thu_W1[[#This Row],[Employee Name]],'Base Schedules'!A:D,4,FALSE),"")</f>
        <v>1400</v>
      </c>
      <c r="F11" s="142">
        <f>IF(Thu_W1[[#This Row],[Employee Name]]="","",IF(Thu_W1[[#This Row],[Dept]]="Supervisor",COUNTIFS($J11:$AX11,"*HL*",$J11:$AX11,"&lt;&gt;"&amp;"pHL"),COUNTIFS($J11:$AX11,"*HL*",$J11:$AX11,"&lt;&gt;"&amp;"*pHL*",$J11:$AX11,"&lt;&gt;"&amp;"pB1 HL",$J11:$AX11,"&lt;&gt;"&amp;"pB2 HL")-SUM(COUNTIFS($J11:$AX11,"*HL B1*",$J11:$AX11,"&lt;&gt;"&amp;"pHL B1")*0.5,COUNTIFS($J11:$AX11,"*HL B2*",$J11:$AX11,"&lt;&gt;"&amp;"pHL B2")*0.5,COUNTIFS($J11:$AX11,"*B1 HL*",$J11:$AX11,"&lt;&gt;"&amp;"pB1 HL")*0.5,COUNTIFS($J11:$AX11,"*B2 HL*",$J11:$AX11,"&lt;&gt;"&amp;"pB2 HL")*0.5)))</f>
        <v>0</v>
      </c>
      <c r="G11" s="142">
        <f t="shared" si="0"/>
        <v>4</v>
      </c>
      <c r="H11" s="142">
        <f t="shared" si="1"/>
        <v>0</v>
      </c>
      <c r="I11" s="142">
        <f>IF(Thu_W1[[#This Row],[Employee Name]]="","",IF(Thu_W1[[#This Row],[Dept]]="Supervisor",SUM(COUNTIFS($J11:$AX11,"RTA*",$J11:$AX11,"&lt;&gt;"&amp;"pRTA"),COUNTIFS($J11:$AX11,"*CRTA*",$J11:$AX11,"&lt;&gt;"&amp;"pCRTA")),COUNTIFS($J11:$AX11,"*RNNR*",$J11:$AX11,"&lt;&gt;"&amp;"*pRNNR*",$J11:$AX11,"&lt;&gt;"&amp;"pB1 RNNR",$J11:$AX11,"&lt;&gt;"&amp;"pB2 RNNR")-SUM(COUNTIFS($J11:$AX11,"*RNNR B1*",$J11:$AX11,"&lt;&gt;"&amp;"pRNNR B1")*0.5,COUNTIFS($J11:$AX11,"*RNNR B2*",$J11:$AX11,"&lt;&gt;"&amp;"pRNNR B2")*0.5,COUNTIFS($J11:$AX11,"*B1 RNNR*",$J11:$AX11,"&lt;&gt;"&amp;"pB1 RNNR")*0.5,COUNTIFS($J11:$AX11,"*B2 RNNR*",$J11:$AX11,"&lt;&gt;"&amp;"pB2 RNNR")*0.5)))</f>
        <v>0</v>
      </c>
      <c r="J11" s="184" t="str">
        <f>IFERROR(IF(VLOOKUP(Thu_W1[[#This Row],[Employee Name]],'Base Schedules'!$A$243:$AW$281,9,FALSE)="","",VLOOKUP(Thu_W1[[#This Row],[Employee Name]],'Base Schedules'!$A$243:$AW$281,9,FALSE)),"")</f>
        <v>-</v>
      </c>
      <c r="K11" s="184" t="str">
        <f>IFERROR(IF(VLOOKUP(Thu_W1[[#This Row],[Employee Name]],'Base Schedules'!$A$243:$AW$281,10,FALSE)="","",VLOOKUP(Thu_W1[[#This Row],[Employee Name]],'Base Schedules'!$A$243:$AW$281,10,FALSE)),"")</f>
        <v>Coaching</v>
      </c>
      <c r="L11" s="184" t="str">
        <f>IFERROR(IF(VLOOKUP(Thu_W1[[#This Row],[Employee Name]],'Base Schedules'!$A$243:$AW$281,11,FALSE)="","",VLOOKUP(Thu_W1[[#This Row],[Employee Name]],'Base Schedules'!$A$243:$AW$281,11,FALSE)),"")</f>
        <v>Coaching</v>
      </c>
      <c r="M11" s="184" t="str">
        <f>IFERROR(IF(VLOOKUP(Thu_W1[[#This Row],[Employee Name]],'Base Schedules'!$A$243:$AW$281,12,FALSE)="","",VLOOKUP(Thu_W1[[#This Row],[Employee Name]],'Base Schedules'!$A$243:$AW$281,12,FALSE)),"")</f>
        <v>Coaching</v>
      </c>
      <c r="N11" s="184" t="str">
        <f>IFERROR(IF(VLOOKUP(Thu_W1[[#This Row],[Employee Name]],'Base Schedules'!$A$243:$AW$281,13,FALSE)="","",VLOOKUP(Thu_W1[[#This Row],[Employee Name]],'Base Schedules'!$A$243:$AW$281,13,FALSE)),"")</f>
        <v>Coaching</v>
      </c>
      <c r="O11" s="184" t="str">
        <f>IFERROR(IF(VLOOKUP(Thu_W1[[#This Row],[Employee Name]],'Base Schedules'!$A$243:$AW$281,14,FALSE)="","",VLOOKUP(Thu_W1[[#This Row],[Employee Name]],'Base Schedules'!$A$243:$AW$281,14,FALSE)),"")</f>
        <v>-</v>
      </c>
      <c r="P11" s="184" t="str">
        <f>IFERROR(IF(VLOOKUP(Thu_W1[[#This Row],[Employee Name]],'Base Schedules'!$A$243:$AW$281,15,FALSE)="","",VLOOKUP(Thu_W1[[#This Row],[Employee Name]],'Base Schedules'!$A$243:$AW$281,15,FALSE)),"")</f>
        <v>-</v>
      </c>
      <c r="Q11" s="184" t="str">
        <f>IFERROR(IF(VLOOKUP(Thu_W1[[#This Row],[Employee Name]],'Base Schedules'!$A$243:$AW$281,16,FALSE)="","",VLOOKUP(Thu_W1[[#This Row],[Employee Name]],'Base Schedules'!$A$243:$AW$281,16,FALSE)),"")</f>
        <v>-</v>
      </c>
      <c r="R11" s="184" t="str">
        <f>IFERROR(IF(VLOOKUP(Thu_W1[[#This Row],[Employee Name]],'Base Schedules'!$A$243:$AW$281,17,FALSE)="","",VLOOKUP(Thu_W1[[#This Row],[Employee Name]],'Base Schedules'!$A$243:$AW$281,17,FALSE)),"")</f>
        <v>Interview</v>
      </c>
      <c r="S11" s="184" t="str">
        <f>IFERROR(IF(VLOOKUP(Thu_W1[[#This Row],[Employee Name]],'Base Schedules'!$A$243:$AW$281,18,FALSE)="","",VLOOKUP(Thu_W1[[#This Row],[Employee Name]],'Base Schedules'!$A$243:$AW$281,18,FALSE)),"")</f>
        <v>Interview</v>
      </c>
      <c r="T11" s="184" t="str">
        <f>IFERROR(IF(VLOOKUP(Thu_W1[[#This Row],[Employee Name]],'Base Schedules'!$A$243:$AW$281,19,FALSE)="","",VLOOKUP(Thu_W1[[#This Row],[Employee Name]],'Base Schedules'!$A$243:$AW$281,19,FALSE)),"")</f>
        <v>-</v>
      </c>
      <c r="U11" s="184" t="str">
        <f>IFERROR(IF(VLOOKUP(Thu_W1[[#This Row],[Employee Name]],'Base Schedules'!$A$243:$AW$281,20,FALSE)="","",VLOOKUP(Thu_W1[[#This Row],[Employee Name]],'Base Schedules'!$A$243:$AW$281,20,FALSE)),"")</f>
        <v>-</v>
      </c>
      <c r="V11" s="184" t="str">
        <f>IFERROR(IF(VLOOKUP(Thu_W1[[#This Row],[Employee Name]],'Base Schedules'!$A$243:$AW$281,21,FALSE)="","",VLOOKUP(Thu_W1[[#This Row],[Employee Name]],'Base Schedules'!$A$243:$AW$281,21,FALSE)),"")</f>
        <v>-</v>
      </c>
      <c r="W11" s="184" t="str">
        <f>IFERROR(IF(VLOOKUP(Thu_W1[[#This Row],[Employee Name]],'Base Schedules'!$A$243:$AW$281,22,FALSE)="","",VLOOKUP(Thu_W1[[#This Row],[Employee Name]],'Base Schedules'!$A$243:$AW$281,22,FALSE)),"")</f>
        <v>TM PREP</v>
      </c>
      <c r="X11" s="184" t="str">
        <f>IFERROR(IF(VLOOKUP(Thu_W1[[#This Row],[Employee Name]],'Base Schedules'!$A$243:$AW$281,23,FALSE)="","",VLOOKUP(Thu_W1[[#This Row],[Employee Name]],'Base Schedules'!$A$243:$AW$281,23,FALSE)),"")</f>
        <v>SENFT TM</v>
      </c>
      <c r="Y11" s="184" t="str">
        <f>IFERROR(IF(VLOOKUP(Thu_W1[[#This Row],[Employee Name]],'Base Schedules'!$A$243:$AW$281,24,FALSE)="","",VLOOKUP(Thu_W1[[#This Row],[Employee Name]],'Base Schedules'!$A$243:$AW$281,24,FALSE)),"")</f>
        <v>SENFT TM</v>
      </c>
      <c r="Z11" s="184" t="str">
        <f>IFERROR(IF(VLOOKUP(Thu_W1[[#This Row],[Employee Name]],'Base Schedules'!$A$243:$AW$281,25,FALSE)="","",VLOOKUP(Thu_W1[[#This Row],[Employee Name]],'Base Schedules'!$A$243:$AW$281,25,FALSE)),"")</f>
        <v>-</v>
      </c>
      <c r="AA11" s="184" t="str">
        <f>IFERROR(IF(VLOOKUP(Thu_W1[[#This Row],[Employee Name]],'Base Schedules'!$A$243:$AW$281,26,FALSE)="","",VLOOKUP(Thu_W1[[#This Row],[Employee Name]],'Base Schedules'!$A$243:$AW$281,26,FALSE)),"")</f>
        <v>-</v>
      </c>
      <c r="AB11" s="184" t="str">
        <f>IFERROR(IF(VLOOKUP(Thu_W1[[#This Row],[Employee Name]],'Base Schedules'!$A$243:$AW$281,27,FALSE)="","",VLOOKUP(Thu_W1[[#This Row],[Employee Name]],'Base Schedules'!$A$243:$AW$281,27,FALSE)),"")</f>
        <v/>
      </c>
      <c r="AC11" s="184" t="str">
        <f>IFERROR(IF(VLOOKUP(Thu_W1[[#This Row],[Employee Name]],'Base Schedules'!$A$243:$AW$281,28,FALSE)="","",VLOOKUP(Thu_W1[[#This Row],[Employee Name]],'Base Schedules'!$A$243:$AW$281,28,FALSE)),"")</f>
        <v/>
      </c>
      <c r="AD11" s="184" t="str">
        <f>IFERROR(IF(VLOOKUP(Thu_W1[[#This Row],[Employee Name]],'Base Schedules'!$A$243:$AW$281,29,FALSE)="","",VLOOKUP(Thu_W1[[#This Row],[Employee Name]],'Base Schedules'!$A$243:$AW$281,29,FALSE)),"")</f>
        <v/>
      </c>
      <c r="AE11" s="184" t="str">
        <f>IFERROR(IF(VLOOKUP(Thu_W1[[#This Row],[Employee Name]],'Base Schedules'!$A$243:$AW$281,30,FALSE)="","",VLOOKUP(Thu_W1[[#This Row],[Employee Name]],'Base Schedules'!$A$243:$AW$281,30,FALSE)),"")</f>
        <v/>
      </c>
      <c r="AF11" s="184" t="str">
        <f>IFERROR(IF(VLOOKUP(Thu_W1[[#This Row],[Employee Name]],'Base Schedules'!$A$243:$AW$281,31,FALSE)="","",VLOOKUP(Thu_W1[[#This Row],[Employee Name]],'Base Schedules'!$A$243:$AW$281,31,FALSE)),"")</f>
        <v/>
      </c>
      <c r="AG11" s="184" t="str">
        <f>IFERROR(IF(VLOOKUP(Thu_W1[[#This Row],[Employee Name]],'Base Schedules'!$A$243:$AW$281,32,FALSE)="","",VLOOKUP(Thu_W1[[#This Row],[Employee Name]],'Base Schedules'!$A$243:$AW$281,32,FALSE)),"")</f>
        <v/>
      </c>
      <c r="AH11" s="184" t="str">
        <f>IFERROR(IF(VLOOKUP(Thu_W1[[#This Row],[Employee Name]],'Base Schedules'!$A$243:$AW$281,33,FALSE)="","",VLOOKUP(Thu_W1[[#This Row],[Employee Name]],'Base Schedules'!$A$243:$AW$281,33,FALSE)),"")</f>
        <v/>
      </c>
      <c r="AI11" s="184" t="str">
        <f>IFERROR(IF(VLOOKUP(Thu_W1[[#This Row],[Employee Name]],'Base Schedules'!$A$243:$AW$281,34,FALSE)="","",VLOOKUP(Thu_W1[[#This Row],[Employee Name]],'Base Schedules'!$A$243:$AW$281,34,FALSE)),"")</f>
        <v/>
      </c>
      <c r="AJ11" s="184" t="str">
        <f>IFERROR(IF(VLOOKUP(Thu_W1[[#This Row],[Employee Name]],'Base Schedules'!$A$243:$AW$281,35,FALSE)="","",VLOOKUP(Thu_W1[[#This Row],[Employee Name]],'Base Schedules'!$A$243:$AW$281,35,FALSE)),"")</f>
        <v/>
      </c>
      <c r="AK11" s="184" t="str">
        <f>IFERROR(IF(VLOOKUP(Thu_W1[[#This Row],[Employee Name]],'Base Schedules'!$A$243:$AW$281,36,FALSE)="","",VLOOKUP(Thu_W1[[#This Row],[Employee Name]],'Base Schedules'!$A$243:$AW$281,36,FALSE)),"")</f>
        <v/>
      </c>
      <c r="AL11" s="184" t="str">
        <f>IFERROR(IF(VLOOKUP(Thu_W1[[#This Row],[Employee Name]],'Base Schedules'!$A$243:$AW$281,37,FALSE)="","",VLOOKUP(Thu_W1[[#This Row],[Employee Name]],'Base Schedules'!$A$243:$AW$281,37,FALSE)),"")</f>
        <v/>
      </c>
      <c r="AM11" s="184" t="str">
        <f>IFERROR(IF(VLOOKUP(Thu_W1[[#This Row],[Employee Name]],'Base Schedules'!$A$243:$AW$281,38,FALSE)="","",VLOOKUP(Thu_W1[[#This Row],[Employee Name]],'Base Schedules'!$A$243:$AW$281,38,FALSE)),"")</f>
        <v/>
      </c>
      <c r="AN11" s="184" t="str">
        <f>IFERROR(IF(VLOOKUP(Thu_W1[[#This Row],[Employee Name]],'Base Schedules'!$A$243:$AW$281,39,FALSE)="","",VLOOKUP(Thu_W1[[#This Row],[Employee Name]],'Base Schedules'!$A$243:$AW$281,39,FALSE)),"")</f>
        <v/>
      </c>
      <c r="AO11" s="184" t="str">
        <f>IFERROR(IF(VLOOKUP(Thu_W1[[#This Row],[Employee Name]],'Base Schedules'!$A$243:$AW$281,40,FALSE)="","",VLOOKUP(Thu_W1[[#This Row],[Employee Name]],'Base Schedules'!$A$243:$AW$281,40,FALSE)),"")</f>
        <v/>
      </c>
      <c r="AP11" s="184" t="str">
        <f>IFERROR(IF(VLOOKUP(Thu_W1[[#This Row],[Employee Name]],'Base Schedules'!$A$243:$AW$281,41,FALSE)="","",VLOOKUP(Thu_W1[[#This Row],[Employee Name]],'Base Schedules'!$A$243:$AW$281,41,FALSE)),"")</f>
        <v/>
      </c>
      <c r="AQ11" s="184" t="str">
        <f>IFERROR(IF(VLOOKUP(Thu_W1[[#This Row],[Employee Name]],'Base Schedules'!$A$243:$AW$281,42,FALSE)="","",VLOOKUP(Thu_W1[[#This Row],[Employee Name]],'Base Schedules'!$A$243:$AW$281,42,FALSE)),"")</f>
        <v/>
      </c>
      <c r="AR11" s="184" t="str">
        <f>IFERROR(IF(VLOOKUP(Thu_W1[[#This Row],[Employee Name]],'Base Schedules'!$A$243:$AW$281,43,FALSE)="","",VLOOKUP(Thu_W1[[#This Row],[Employee Name]],'Base Schedules'!$A$243:$AW$281,43,FALSE)),"")</f>
        <v/>
      </c>
      <c r="AS11" s="184" t="str">
        <f>IFERROR(IF(VLOOKUP(Thu_W1[[#This Row],[Employee Name]],'Base Schedules'!$A$243:$AW$281,44,FALSE)="","",VLOOKUP(Thu_W1[[#This Row],[Employee Name]],'Base Schedules'!$A$243:$AW$281,44,FALSE)),"")</f>
        <v/>
      </c>
      <c r="AT11" s="184" t="str">
        <f>IFERROR(IF(VLOOKUP(Thu_W1[[#This Row],[Employee Name]],'Base Schedules'!$A$243:$AW$281,45,FALSE)="","",VLOOKUP(Thu_W1[[#This Row],[Employee Name]],'Base Schedules'!$A$243:$AW$281,45,FALSE)),"")</f>
        <v/>
      </c>
      <c r="AU11" s="184" t="str">
        <f>IFERROR(IF(VLOOKUP(Thu_W1[[#This Row],[Employee Name]],'Base Schedules'!$A$243:$AW$281,46,FALSE)="","",VLOOKUP(Thu_W1[[#This Row],[Employee Name]],'Base Schedules'!$A$243:$AW$281,46,FALSE)),"")</f>
        <v/>
      </c>
      <c r="AV11" s="184" t="str">
        <f>IFERROR(IF(VLOOKUP(Thu_W1[[#This Row],[Employee Name]],'Base Schedules'!$A$243:$AW$281,47,FALSE)="","",VLOOKUP(Thu_W1[[#This Row],[Employee Name]],'Base Schedules'!$A$243:$AW$281,47,FALSE)),"")</f>
        <v/>
      </c>
      <c r="AW11" s="184" t="str">
        <f>IFERROR(IF(VLOOKUP(Thu_W1[[#This Row],[Employee Name]],'Base Schedules'!$A$243:$AW$281,48,FALSE)="","",VLOOKUP(Thu_W1[[#This Row],[Employee Name]],'Base Schedules'!$A$243:$AW$281,48,FALSE)),"")</f>
        <v/>
      </c>
      <c r="AX11" s="184" t="str">
        <f>IFERROR(IF(VLOOKUP(Thu_W1[[#This Row],[Employee Name]],'Base Schedules'!$A$243:$AW$281,49,FALSE)="","",VLOOKUP(Thu_W1[[#This Row],[Employee Name]],'Base Schedules'!$A$243:$AW$281,49,FALSE)),"")</f>
        <v/>
      </c>
      <c r="AY11" s="165" t="str">
        <f t="shared" si="2"/>
        <v>Senft, Thomas</v>
      </c>
    </row>
    <row r="12" spans="1:51" s="44" customFormat="1" ht="12" x14ac:dyDescent="0.2">
      <c r="A12" s="39" t="str">
        <f>IF(B12="","",INDEX(TeamList[],MATCH($B12,TeamList[[Employee Name]:[Employee Name]],0),MATCH("Manager",TeamList[#Headers],0)))</f>
        <v>Ahmed Hassan, Zahra</v>
      </c>
      <c r="B12" s="201" t="s">
        <v>25</v>
      </c>
      <c r="C12" s="257" t="str">
        <f>_xlfn.IFNA(VLOOKUP(Thu_W1[[#This Row],[Employee Name]],'Base Schedules'!A:B,2,FALSE),"")</f>
        <v>Supervisor</v>
      </c>
      <c r="D12" s="274">
        <f>_xlfn.IFNA(VLOOKUP(Thu_W1[[#This Row],[Employee Name]],'Base Schedules'!A:C,3,FALSE),"")</f>
        <v>500</v>
      </c>
      <c r="E12" s="274">
        <f>_xlfn.IFNA(VLOOKUP(Thu_W1[[#This Row],[Employee Name]],'Base Schedules'!A:D,4,FALSE),"")</f>
        <v>1400</v>
      </c>
      <c r="F12" s="142">
        <f>IF(Thu_W1[[#This Row],[Employee Name]]="","",IF(Thu_W1[[#This Row],[Dept]]="Supervisor",COUNTIFS($J12:$AX12,"*HL*",$J12:$AX12,"&lt;&gt;"&amp;"pHL"),COUNTIFS($J12:$AX12,"*HL*",$J12:$AX12,"&lt;&gt;"&amp;"*pHL*",$J12:$AX12,"&lt;&gt;"&amp;"pB1 HL",$J12:$AX12,"&lt;&gt;"&amp;"pB2 HL")-SUM(COUNTIFS($J12:$AX12,"*HL B1*",$J12:$AX12,"&lt;&gt;"&amp;"pHL B1")*0.5,COUNTIFS($J12:$AX12,"*HL B2*",$J12:$AX12,"&lt;&gt;"&amp;"pHL B2")*0.5,COUNTIFS($J12:$AX12,"*B1 HL*",$J12:$AX12,"&lt;&gt;"&amp;"pB1 HL")*0.5,COUNTIFS($J12:$AX12,"*B2 HL*",$J12:$AX12,"&lt;&gt;"&amp;"pB2 HL")*0.5)))</f>
        <v>0</v>
      </c>
      <c r="G12" s="142">
        <f t="shared" si="0"/>
        <v>4</v>
      </c>
      <c r="H12" s="142">
        <f t="shared" si="1"/>
        <v>0</v>
      </c>
      <c r="I12" s="142">
        <f>IF(Thu_W1[[#This Row],[Employee Name]]="","",IF(Thu_W1[[#This Row],[Dept]]="Supervisor",SUM(COUNTIFS($J12:$AX12,"RTA*",$J12:$AX12,"&lt;&gt;"&amp;"pRTA"),COUNTIFS($J12:$AX12,"*CRTA*",$J12:$AX12,"&lt;&gt;"&amp;"pCRTA")),COUNTIFS($J12:$AX12,"*RNNR*",$J12:$AX12,"&lt;&gt;"&amp;"*pRNNR*",$J12:$AX12,"&lt;&gt;"&amp;"pB1 RNNR",$J12:$AX12,"&lt;&gt;"&amp;"pB2 RNNR")-SUM(COUNTIFS($J12:$AX12,"*RNNR B1*",$J12:$AX12,"&lt;&gt;"&amp;"pRNNR B1")*0.5,COUNTIFS($J12:$AX12,"*RNNR B2*",$J12:$AX12,"&lt;&gt;"&amp;"pRNNR B2")*0.5,COUNTIFS($J12:$AX12,"*B1 RNNR*",$J12:$AX12,"&lt;&gt;"&amp;"pB1 RNNR")*0.5,COUNTIFS($J12:$AX12,"*B2 RNNR*",$J12:$AX12,"&lt;&gt;"&amp;"pB2 RNNR")*0.5)))</f>
        <v>0</v>
      </c>
      <c r="J12" s="184" t="str">
        <f>IFERROR(IF(VLOOKUP(Thu_W1[[#This Row],[Employee Name]],'Base Schedules'!$A$243:$AW$281,9,FALSE)="","",VLOOKUP(Thu_W1[[#This Row],[Employee Name]],'Base Schedules'!$A$243:$AW$281,9,FALSE)),"")</f>
        <v>-</v>
      </c>
      <c r="K12" s="184" t="str">
        <f>IFERROR(IF(VLOOKUP(Thu_W1[[#This Row],[Employee Name]],'Base Schedules'!$A$243:$AW$281,10,FALSE)="","",VLOOKUP(Thu_W1[[#This Row],[Employee Name]],'Base Schedules'!$A$243:$AW$281,10,FALSE)),"")</f>
        <v>-</v>
      </c>
      <c r="L12" s="184" t="str">
        <f>IFERROR(IF(VLOOKUP(Thu_W1[[#This Row],[Employee Name]],'Base Schedules'!$A$243:$AW$281,11,FALSE)="","",VLOOKUP(Thu_W1[[#This Row],[Employee Name]],'Base Schedules'!$A$243:$AW$281,11,FALSE)),"")</f>
        <v>-</v>
      </c>
      <c r="M12" s="184" t="str">
        <f>IFERROR(IF(VLOOKUP(Thu_W1[[#This Row],[Employee Name]],'Base Schedules'!$A$243:$AW$281,12,FALSE)="","",VLOOKUP(Thu_W1[[#This Row],[Employee Name]],'Base Schedules'!$A$243:$AW$281,12,FALSE)),"")</f>
        <v>Coaching</v>
      </c>
      <c r="N12" s="184" t="str">
        <f>IFERROR(IF(VLOOKUP(Thu_W1[[#This Row],[Employee Name]],'Base Schedules'!$A$243:$AW$281,13,FALSE)="","",VLOOKUP(Thu_W1[[#This Row],[Employee Name]],'Base Schedules'!$A$243:$AW$281,13,FALSE)),"")</f>
        <v>Coaching</v>
      </c>
      <c r="O12" s="184" t="str">
        <f>IFERROR(IF(VLOOKUP(Thu_W1[[#This Row],[Employee Name]],'Base Schedules'!$A$243:$AW$281,14,FALSE)="","",VLOOKUP(Thu_W1[[#This Row],[Employee Name]],'Base Schedules'!$A$243:$AW$281,14,FALSE)),"")</f>
        <v>Coaching</v>
      </c>
      <c r="P12" s="184" t="str">
        <f>IFERROR(IF(VLOOKUP(Thu_W1[[#This Row],[Employee Name]],'Base Schedules'!$A$243:$AW$281,15,FALSE)="","",VLOOKUP(Thu_W1[[#This Row],[Employee Name]],'Base Schedules'!$A$243:$AW$281,15,FALSE)),"")</f>
        <v>Coaching</v>
      </c>
      <c r="Q12" s="184" t="str">
        <f>IFERROR(IF(VLOOKUP(Thu_W1[[#This Row],[Employee Name]],'Base Schedules'!$A$243:$AW$281,16,FALSE)="","",VLOOKUP(Thu_W1[[#This Row],[Employee Name]],'Base Schedules'!$A$243:$AW$281,16,FALSE)),"")</f>
        <v>-</v>
      </c>
      <c r="R12" s="184" t="str">
        <f>IFERROR(IF(VLOOKUP(Thu_W1[[#This Row],[Employee Name]],'Base Schedules'!$A$243:$AW$281,17,FALSE)="","",VLOOKUP(Thu_W1[[#This Row],[Employee Name]],'Base Schedules'!$A$243:$AW$281,17,FALSE)),"")</f>
        <v>Interview</v>
      </c>
      <c r="S12" s="184" t="str">
        <f>IFERROR(IF(VLOOKUP(Thu_W1[[#This Row],[Employee Name]],'Base Schedules'!$A$243:$AW$281,18,FALSE)="","",VLOOKUP(Thu_W1[[#This Row],[Employee Name]],'Base Schedules'!$A$243:$AW$281,18,FALSE)),"")</f>
        <v>Interview</v>
      </c>
      <c r="T12" s="184" t="str">
        <f>IFERROR(IF(VLOOKUP(Thu_W1[[#This Row],[Employee Name]],'Base Schedules'!$A$243:$AW$281,19,FALSE)="","",VLOOKUP(Thu_W1[[#This Row],[Employee Name]],'Base Schedules'!$A$243:$AW$281,19,FALSE)),"")</f>
        <v>-</v>
      </c>
      <c r="U12" s="184" t="str">
        <f>IFERROR(IF(VLOOKUP(Thu_W1[[#This Row],[Employee Name]],'Base Schedules'!$A$243:$AW$281,20,FALSE)="","",VLOOKUP(Thu_W1[[#This Row],[Employee Name]],'Base Schedules'!$A$243:$AW$281,20,FALSE)),"")</f>
        <v>-</v>
      </c>
      <c r="V12" s="184" t="str">
        <f>IFERROR(IF(VLOOKUP(Thu_W1[[#This Row],[Employee Name]],'Base Schedules'!$A$243:$AW$281,21,FALSE)="","",VLOOKUP(Thu_W1[[#This Row],[Employee Name]],'Base Schedules'!$A$243:$AW$281,21,FALSE)),"")</f>
        <v>-</v>
      </c>
      <c r="W12" s="184" t="str">
        <f>IFERROR(IF(VLOOKUP(Thu_W1[[#This Row],[Employee Name]],'Base Schedules'!$A$243:$AW$281,22,FALSE)="","",VLOOKUP(Thu_W1[[#This Row],[Employee Name]],'Base Schedules'!$A$243:$AW$281,22,FALSE)),"")</f>
        <v>-</v>
      </c>
      <c r="X12" s="184" t="str">
        <f>IFERROR(IF(VLOOKUP(Thu_W1[[#This Row],[Employee Name]],'Base Schedules'!$A$243:$AW$281,23,FALSE)="","",VLOOKUP(Thu_W1[[#This Row],[Employee Name]],'Base Schedules'!$A$243:$AW$281,23,FALSE)),"")</f>
        <v>-</v>
      </c>
      <c r="Y12" s="184" t="str">
        <f>IFERROR(IF(VLOOKUP(Thu_W1[[#This Row],[Employee Name]],'Base Schedules'!$A$243:$AW$281,24,FALSE)="","",VLOOKUP(Thu_W1[[#This Row],[Employee Name]],'Base Schedules'!$A$243:$AW$281,24,FALSE)),"")</f>
        <v>-</v>
      </c>
      <c r="Z12" s="184" t="str">
        <f>IFERROR(IF(VLOOKUP(Thu_W1[[#This Row],[Employee Name]],'Base Schedules'!$A$243:$AW$281,25,FALSE)="","",VLOOKUP(Thu_W1[[#This Row],[Employee Name]],'Base Schedules'!$A$243:$AW$281,25,FALSE)),"")</f>
        <v>-</v>
      </c>
      <c r="AA12" s="184" t="str">
        <f>IFERROR(IF(VLOOKUP(Thu_W1[[#This Row],[Employee Name]],'Base Schedules'!$A$243:$AW$281,26,FALSE)="","",VLOOKUP(Thu_W1[[#This Row],[Employee Name]],'Base Schedules'!$A$243:$AW$281,26,FALSE)),"")</f>
        <v>-</v>
      </c>
      <c r="AB12" s="184" t="str">
        <f>IFERROR(IF(VLOOKUP(Thu_W1[[#This Row],[Employee Name]],'Base Schedules'!$A$243:$AW$281,27,FALSE)="","",VLOOKUP(Thu_W1[[#This Row],[Employee Name]],'Base Schedules'!$A$243:$AW$281,27,FALSE)),"")</f>
        <v/>
      </c>
      <c r="AC12" s="184" t="str">
        <f>IFERROR(IF(VLOOKUP(Thu_W1[[#This Row],[Employee Name]],'Base Schedules'!$A$243:$AW$281,28,FALSE)="","",VLOOKUP(Thu_W1[[#This Row],[Employee Name]],'Base Schedules'!$A$243:$AW$281,28,FALSE)),"")</f>
        <v/>
      </c>
      <c r="AD12" s="184" t="str">
        <f>IFERROR(IF(VLOOKUP(Thu_W1[[#This Row],[Employee Name]],'Base Schedules'!$A$243:$AW$281,29,FALSE)="","",VLOOKUP(Thu_W1[[#This Row],[Employee Name]],'Base Schedules'!$A$243:$AW$281,29,FALSE)),"")</f>
        <v/>
      </c>
      <c r="AE12" s="184" t="str">
        <f>IFERROR(IF(VLOOKUP(Thu_W1[[#This Row],[Employee Name]],'Base Schedules'!$A$243:$AW$281,30,FALSE)="","",VLOOKUP(Thu_W1[[#This Row],[Employee Name]],'Base Schedules'!$A$243:$AW$281,30,FALSE)),"")</f>
        <v/>
      </c>
      <c r="AF12" s="184" t="str">
        <f>IFERROR(IF(VLOOKUP(Thu_W1[[#This Row],[Employee Name]],'Base Schedules'!$A$243:$AW$281,31,FALSE)="","",VLOOKUP(Thu_W1[[#This Row],[Employee Name]],'Base Schedules'!$A$243:$AW$281,31,FALSE)),"")</f>
        <v/>
      </c>
      <c r="AG12" s="184" t="str">
        <f>IFERROR(IF(VLOOKUP(Thu_W1[[#This Row],[Employee Name]],'Base Schedules'!$A$243:$AW$281,32,FALSE)="","",VLOOKUP(Thu_W1[[#This Row],[Employee Name]],'Base Schedules'!$A$243:$AW$281,32,FALSE)),"")</f>
        <v/>
      </c>
      <c r="AH12" s="184" t="str">
        <f>IFERROR(IF(VLOOKUP(Thu_W1[[#This Row],[Employee Name]],'Base Schedules'!$A$243:$AW$281,33,FALSE)="","",VLOOKUP(Thu_W1[[#This Row],[Employee Name]],'Base Schedules'!$A$243:$AW$281,33,FALSE)),"")</f>
        <v/>
      </c>
      <c r="AI12" s="184" t="str">
        <f>IFERROR(IF(VLOOKUP(Thu_W1[[#This Row],[Employee Name]],'Base Schedules'!$A$243:$AW$281,34,FALSE)="","",VLOOKUP(Thu_W1[[#This Row],[Employee Name]],'Base Schedules'!$A$243:$AW$281,34,FALSE)),"")</f>
        <v/>
      </c>
      <c r="AJ12" s="184" t="str">
        <f>IFERROR(IF(VLOOKUP(Thu_W1[[#This Row],[Employee Name]],'Base Schedules'!$A$243:$AW$281,35,FALSE)="","",VLOOKUP(Thu_W1[[#This Row],[Employee Name]],'Base Schedules'!$A$243:$AW$281,35,FALSE)),"")</f>
        <v/>
      </c>
      <c r="AK12" s="184" t="str">
        <f>IFERROR(IF(VLOOKUP(Thu_W1[[#This Row],[Employee Name]],'Base Schedules'!$A$243:$AW$281,36,FALSE)="","",VLOOKUP(Thu_W1[[#This Row],[Employee Name]],'Base Schedules'!$A$243:$AW$281,36,FALSE)),"")</f>
        <v/>
      </c>
      <c r="AL12" s="184" t="str">
        <f>IFERROR(IF(VLOOKUP(Thu_W1[[#This Row],[Employee Name]],'Base Schedules'!$A$243:$AW$281,37,FALSE)="","",VLOOKUP(Thu_W1[[#This Row],[Employee Name]],'Base Schedules'!$A$243:$AW$281,37,FALSE)),"")</f>
        <v/>
      </c>
      <c r="AM12" s="184" t="str">
        <f>IFERROR(IF(VLOOKUP(Thu_W1[[#This Row],[Employee Name]],'Base Schedules'!$A$243:$AW$281,38,FALSE)="","",VLOOKUP(Thu_W1[[#This Row],[Employee Name]],'Base Schedules'!$A$243:$AW$281,38,FALSE)),"")</f>
        <v/>
      </c>
      <c r="AN12" s="184" t="str">
        <f>IFERROR(IF(VLOOKUP(Thu_W1[[#This Row],[Employee Name]],'Base Schedules'!$A$243:$AW$281,39,FALSE)="","",VLOOKUP(Thu_W1[[#This Row],[Employee Name]],'Base Schedules'!$A$243:$AW$281,39,FALSE)),"")</f>
        <v/>
      </c>
      <c r="AO12" s="184" t="str">
        <f>IFERROR(IF(VLOOKUP(Thu_W1[[#This Row],[Employee Name]],'Base Schedules'!$A$243:$AW$281,40,FALSE)="","",VLOOKUP(Thu_W1[[#This Row],[Employee Name]],'Base Schedules'!$A$243:$AW$281,40,FALSE)),"")</f>
        <v/>
      </c>
      <c r="AP12" s="184" t="str">
        <f>IFERROR(IF(VLOOKUP(Thu_W1[[#This Row],[Employee Name]],'Base Schedules'!$A$243:$AW$281,41,FALSE)="","",VLOOKUP(Thu_W1[[#This Row],[Employee Name]],'Base Schedules'!$A$243:$AW$281,41,FALSE)),"")</f>
        <v/>
      </c>
      <c r="AQ12" s="184" t="str">
        <f>IFERROR(IF(VLOOKUP(Thu_W1[[#This Row],[Employee Name]],'Base Schedules'!$A$243:$AW$281,42,FALSE)="","",VLOOKUP(Thu_W1[[#This Row],[Employee Name]],'Base Schedules'!$A$243:$AW$281,42,FALSE)),"")</f>
        <v/>
      </c>
      <c r="AR12" s="184" t="str">
        <f>IFERROR(IF(VLOOKUP(Thu_W1[[#This Row],[Employee Name]],'Base Schedules'!$A$243:$AW$281,43,FALSE)="","",VLOOKUP(Thu_W1[[#This Row],[Employee Name]],'Base Schedules'!$A$243:$AW$281,43,FALSE)),"")</f>
        <v/>
      </c>
      <c r="AS12" s="184" t="str">
        <f>IFERROR(IF(VLOOKUP(Thu_W1[[#This Row],[Employee Name]],'Base Schedules'!$A$243:$AW$281,44,FALSE)="","",VLOOKUP(Thu_W1[[#This Row],[Employee Name]],'Base Schedules'!$A$243:$AW$281,44,FALSE)),"")</f>
        <v/>
      </c>
      <c r="AT12" s="184" t="str">
        <f>IFERROR(IF(VLOOKUP(Thu_W1[[#This Row],[Employee Name]],'Base Schedules'!$A$243:$AW$281,45,FALSE)="","",VLOOKUP(Thu_W1[[#This Row],[Employee Name]],'Base Schedules'!$A$243:$AW$281,45,FALSE)),"")</f>
        <v/>
      </c>
      <c r="AU12" s="184" t="str">
        <f>IFERROR(IF(VLOOKUP(Thu_W1[[#This Row],[Employee Name]],'Base Schedules'!$A$243:$AW$281,46,FALSE)="","",VLOOKUP(Thu_W1[[#This Row],[Employee Name]],'Base Schedules'!$A$243:$AW$281,46,FALSE)),"")</f>
        <v/>
      </c>
      <c r="AV12" s="184" t="str">
        <f>IFERROR(IF(VLOOKUP(Thu_W1[[#This Row],[Employee Name]],'Base Schedules'!$A$243:$AW$281,47,FALSE)="","",VLOOKUP(Thu_W1[[#This Row],[Employee Name]],'Base Schedules'!$A$243:$AW$281,47,FALSE)),"")</f>
        <v/>
      </c>
      <c r="AW12" s="184" t="str">
        <f>IFERROR(IF(VLOOKUP(Thu_W1[[#This Row],[Employee Name]],'Base Schedules'!$A$243:$AW$281,48,FALSE)="","",VLOOKUP(Thu_W1[[#This Row],[Employee Name]],'Base Schedules'!$A$243:$AW$281,48,FALSE)),"")</f>
        <v/>
      </c>
      <c r="AX12" s="184" t="str">
        <f>IFERROR(IF(VLOOKUP(Thu_W1[[#This Row],[Employee Name]],'Base Schedules'!$A$243:$AW$281,49,FALSE)="","",VLOOKUP(Thu_W1[[#This Row],[Employee Name]],'Base Schedules'!$A$243:$AW$281,49,FALSE)),"")</f>
        <v/>
      </c>
      <c r="AY12" s="164" t="str">
        <f t="shared" si="2"/>
        <v>Oates, Eleanor</v>
      </c>
    </row>
    <row r="13" spans="1:51" s="44" customFormat="1" ht="12" x14ac:dyDescent="0.2">
      <c r="A13" s="39" t="str">
        <f>IF(B13="","",INDEX(TeamList[],MATCH($B13,TeamList[[Employee Name]:[Employee Name]],0),MATCH("Manager",TeamList[#Headers],0)))</f>
        <v>Olson, Katherine</v>
      </c>
      <c r="B13" s="201" t="s">
        <v>32</v>
      </c>
      <c r="C13" s="257" t="str">
        <f>_xlfn.IFNA(VLOOKUP(Thu_W1[[#This Row],[Employee Name]],'Base Schedules'!A:B,2,FALSE),"")</f>
        <v>Supervisor</v>
      </c>
      <c r="D13" s="274">
        <f>_xlfn.IFNA(VLOOKUP(Thu_W1[[#This Row],[Employee Name]],'Base Schedules'!A:C,3,FALSE),"")</f>
        <v>500</v>
      </c>
      <c r="E13" s="274">
        <f>_xlfn.IFNA(VLOOKUP(Thu_W1[[#This Row],[Employee Name]],'Base Schedules'!A:D,4,FALSE),"")</f>
        <v>1400</v>
      </c>
      <c r="F13" s="142">
        <f>IF(Thu_W1[[#This Row],[Employee Name]]="","",IF(Thu_W1[[#This Row],[Dept]]="Supervisor",COUNTIFS($J13:$AX13,"*HL*",$J13:$AX13,"&lt;&gt;"&amp;"pHL"),COUNTIFS($J13:$AX13,"*HL*",$J13:$AX13,"&lt;&gt;"&amp;"*pHL*",$J13:$AX13,"&lt;&gt;"&amp;"pB1 HL",$J13:$AX13,"&lt;&gt;"&amp;"pB2 HL")-SUM(COUNTIFS($J13:$AX13,"*HL B1*",$J13:$AX13,"&lt;&gt;"&amp;"pHL B1")*0.5,COUNTIFS($J13:$AX13,"*HL B2*",$J13:$AX13,"&lt;&gt;"&amp;"pHL B2")*0.5,COUNTIFS($J13:$AX13,"*B1 HL*",$J13:$AX13,"&lt;&gt;"&amp;"pB1 HL")*0.5,COUNTIFS($J13:$AX13,"*B2 HL*",$J13:$AX13,"&lt;&gt;"&amp;"pB2 HL")*0.5)))</f>
        <v>0</v>
      </c>
      <c r="G13" s="142">
        <f t="shared" si="0"/>
        <v>4</v>
      </c>
      <c r="H13" s="142">
        <f t="shared" si="1"/>
        <v>0</v>
      </c>
      <c r="I13" s="142">
        <f>IF(Thu_W1[[#This Row],[Employee Name]]="","",IF(Thu_W1[[#This Row],[Dept]]="Supervisor",SUM(COUNTIFS($J13:$AX13,"RTA*",$J13:$AX13,"&lt;&gt;"&amp;"pRTA"),COUNTIFS($J13:$AX13,"*CRTA*",$J13:$AX13,"&lt;&gt;"&amp;"pCRTA")),COUNTIFS($J13:$AX13,"*RNNR*",$J13:$AX13,"&lt;&gt;"&amp;"*pRNNR*",$J13:$AX13,"&lt;&gt;"&amp;"pB1 RNNR",$J13:$AX13,"&lt;&gt;"&amp;"pB2 RNNR")-SUM(COUNTIFS($J13:$AX13,"*RNNR B1*",$J13:$AX13,"&lt;&gt;"&amp;"pRNNR B1")*0.5,COUNTIFS($J13:$AX13,"*RNNR B2*",$J13:$AX13,"&lt;&gt;"&amp;"pRNNR B2")*0.5,COUNTIFS($J13:$AX13,"*B1 RNNR*",$J13:$AX13,"&lt;&gt;"&amp;"pB1 RNNR")*0.5,COUNTIFS($J13:$AX13,"*B2 RNNR*",$J13:$AX13,"&lt;&gt;"&amp;"pB2 RNNR")*0.5)))</f>
        <v>0</v>
      </c>
      <c r="J13" s="184" t="str">
        <f>IFERROR(IF(VLOOKUP(Thu_W1[[#This Row],[Employee Name]],'Base Schedules'!$A$243:$AW$281,9,FALSE)="","",VLOOKUP(Thu_W1[[#This Row],[Employee Name]],'Base Schedules'!$A$243:$AW$281,9,FALSE)),"")</f>
        <v>-</v>
      </c>
      <c r="K13" s="184" t="str">
        <f>IFERROR(IF(VLOOKUP(Thu_W1[[#This Row],[Employee Name]],'Base Schedules'!$A$243:$AW$281,10,FALSE)="","",VLOOKUP(Thu_W1[[#This Row],[Employee Name]],'Base Schedules'!$A$243:$AW$281,10,FALSE)),"")</f>
        <v>-</v>
      </c>
      <c r="L13" s="184" t="str">
        <f>IFERROR(IF(VLOOKUP(Thu_W1[[#This Row],[Employee Name]],'Base Schedules'!$A$243:$AW$281,11,FALSE)="","",VLOOKUP(Thu_W1[[#This Row],[Employee Name]],'Base Schedules'!$A$243:$AW$281,11,FALSE)),"")</f>
        <v>-</v>
      </c>
      <c r="M13" s="184" t="str">
        <f>IFERROR(IF(VLOOKUP(Thu_W1[[#This Row],[Employee Name]],'Base Schedules'!$A$243:$AW$281,12,FALSE)="","",VLOOKUP(Thu_W1[[#This Row],[Employee Name]],'Base Schedules'!$A$243:$AW$281,12,FALSE)),"")</f>
        <v>-</v>
      </c>
      <c r="N13" s="184" t="str">
        <f>IFERROR(IF(VLOOKUP(Thu_W1[[#This Row],[Employee Name]],'Base Schedules'!$A$243:$AW$281,13,FALSE)="","",VLOOKUP(Thu_W1[[#This Row],[Employee Name]],'Base Schedules'!$A$243:$AW$281,13,FALSE)),"")</f>
        <v>-</v>
      </c>
      <c r="O13" s="184" t="str">
        <f>IFERROR(IF(VLOOKUP(Thu_W1[[#This Row],[Employee Name]],'Base Schedules'!$A$243:$AW$281,14,FALSE)="","",VLOOKUP(Thu_W1[[#This Row],[Employee Name]],'Base Schedules'!$A$243:$AW$281,14,FALSE)),"")</f>
        <v>-</v>
      </c>
      <c r="P13" s="184" t="str">
        <f>IFERROR(IF(VLOOKUP(Thu_W1[[#This Row],[Employee Name]],'Base Schedules'!$A$243:$AW$281,15,FALSE)="","",VLOOKUP(Thu_W1[[#This Row],[Employee Name]],'Base Schedules'!$A$243:$AW$281,15,FALSE)),"")</f>
        <v>Interview</v>
      </c>
      <c r="Q13" s="184" t="str">
        <f>IFERROR(IF(VLOOKUP(Thu_W1[[#This Row],[Employee Name]],'Base Schedules'!$A$243:$AW$281,16,FALSE)="","",VLOOKUP(Thu_W1[[#This Row],[Employee Name]],'Base Schedules'!$A$243:$AW$281,16,FALSE)),"")</f>
        <v>Interview</v>
      </c>
      <c r="R13" s="184" t="str">
        <f>IFERROR(IF(VLOOKUP(Thu_W1[[#This Row],[Employee Name]],'Base Schedules'!$A$243:$AW$281,17,FALSE)="","",VLOOKUP(Thu_W1[[#This Row],[Employee Name]],'Base Schedules'!$A$243:$AW$281,17,FALSE)),"")</f>
        <v>-</v>
      </c>
      <c r="S13" s="184" t="str">
        <f>IFERROR(IF(VLOOKUP(Thu_W1[[#This Row],[Employee Name]],'Base Schedules'!$A$243:$AW$281,18,FALSE)="","",VLOOKUP(Thu_W1[[#This Row],[Employee Name]],'Base Schedules'!$A$243:$AW$281,18,FALSE)),"")</f>
        <v>-</v>
      </c>
      <c r="T13" s="184" t="str">
        <f>IFERROR(IF(VLOOKUP(Thu_W1[[#This Row],[Employee Name]],'Base Schedules'!$A$243:$AW$281,19,FALSE)="","",VLOOKUP(Thu_W1[[#This Row],[Employee Name]],'Base Schedules'!$A$243:$AW$281,19,FALSE)),"")</f>
        <v>Coaching</v>
      </c>
      <c r="U13" s="184" t="str">
        <f>IFERROR(IF(VLOOKUP(Thu_W1[[#This Row],[Employee Name]],'Base Schedules'!$A$243:$AW$281,20,FALSE)="","",VLOOKUP(Thu_W1[[#This Row],[Employee Name]],'Base Schedules'!$A$243:$AW$281,20,FALSE)),"")</f>
        <v>Coaching</v>
      </c>
      <c r="V13" s="184" t="str">
        <f>IFERROR(IF(VLOOKUP(Thu_W1[[#This Row],[Employee Name]],'Base Schedules'!$A$243:$AW$281,21,FALSE)="","",VLOOKUP(Thu_W1[[#This Row],[Employee Name]],'Base Schedules'!$A$243:$AW$281,21,FALSE)),"")</f>
        <v>Coaching</v>
      </c>
      <c r="W13" s="184" t="str">
        <f>IFERROR(IF(VLOOKUP(Thu_W1[[#This Row],[Employee Name]],'Base Schedules'!$A$243:$AW$281,22,FALSE)="","",VLOOKUP(Thu_W1[[#This Row],[Employee Name]],'Base Schedules'!$A$243:$AW$281,22,FALSE)),"")</f>
        <v>Coaching</v>
      </c>
      <c r="X13" s="184" t="str">
        <f>IFERROR(IF(VLOOKUP(Thu_W1[[#This Row],[Employee Name]],'Base Schedules'!$A$243:$AW$281,23,FALSE)="","",VLOOKUP(Thu_W1[[#This Row],[Employee Name]],'Base Schedules'!$A$243:$AW$281,23,FALSE)),"")</f>
        <v>-</v>
      </c>
      <c r="Y13" s="184" t="str">
        <f>IFERROR(IF(VLOOKUP(Thu_W1[[#This Row],[Employee Name]],'Base Schedules'!$A$243:$AW$281,24,FALSE)="","",VLOOKUP(Thu_W1[[#This Row],[Employee Name]],'Base Schedules'!$A$243:$AW$281,24,FALSE)),"")</f>
        <v>-</v>
      </c>
      <c r="Z13" s="184" t="str">
        <f>IFERROR(IF(VLOOKUP(Thu_W1[[#This Row],[Employee Name]],'Base Schedules'!$A$243:$AW$281,25,FALSE)="","",VLOOKUP(Thu_W1[[#This Row],[Employee Name]],'Base Schedules'!$A$243:$AW$281,25,FALSE)),"")</f>
        <v>-</v>
      </c>
      <c r="AA13" s="184" t="str">
        <f>IFERROR(IF(VLOOKUP(Thu_W1[[#This Row],[Employee Name]],'Base Schedules'!$A$243:$AW$281,26,FALSE)="","",VLOOKUP(Thu_W1[[#This Row],[Employee Name]],'Base Schedules'!$A$243:$AW$281,26,FALSE)),"")</f>
        <v>-</v>
      </c>
      <c r="AB13" s="184" t="str">
        <f>IFERROR(IF(VLOOKUP(Thu_W1[[#This Row],[Employee Name]],'Base Schedules'!$A$243:$AW$281,27,FALSE)="","",VLOOKUP(Thu_W1[[#This Row],[Employee Name]],'Base Schedules'!$A$243:$AW$281,27,FALSE)),"")</f>
        <v/>
      </c>
      <c r="AC13" s="184" t="str">
        <f>IFERROR(IF(VLOOKUP(Thu_W1[[#This Row],[Employee Name]],'Base Schedules'!$A$243:$AW$281,28,FALSE)="","",VLOOKUP(Thu_W1[[#This Row],[Employee Name]],'Base Schedules'!$A$243:$AW$281,28,FALSE)),"")</f>
        <v/>
      </c>
      <c r="AD13" s="184" t="str">
        <f>IFERROR(IF(VLOOKUP(Thu_W1[[#This Row],[Employee Name]],'Base Schedules'!$A$243:$AW$281,29,FALSE)="","",VLOOKUP(Thu_W1[[#This Row],[Employee Name]],'Base Schedules'!$A$243:$AW$281,29,FALSE)),"")</f>
        <v/>
      </c>
      <c r="AE13" s="184" t="str">
        <f>IFERROR(IF(VLOOKUP(Thu_W1[[#This Row],[Employee Name]],'Base Schedules'!$A$243:$AW$281,30,FALSE)="","",VLOOKUP(Thu_W1[[#This Row],[Employee Name]],'Base Schedules'!$A$243:$AW$281,30,FALSE)),"")</f>
        <v/>
      </c>
      <c r="AF13" s="184" t="str">
        <f>IFERROR(IF(VLOOKUP(Thu_W1[[#This Row],[Employee Name]],'Base Schedules'!$A$243:$AW$281,31,FALSE)="","",VLOOKUP(Thu_W1[[#This Row],[Employee Name]],'Base Schedules'!$A$243:$AW$281,31,FALSE)),"")</f>
        <v/>
      </c>
      <c r="AG13" s="184" t="str">
        <f>IFERROR(IF(VLOOKUP(Thu_W1[[#This Row],[Employee Name]],'Base Schedules'!$A$243:$AW$281,32,FALSE)="","",VLOOKUP(Thu_W1[[#This Row],[Employee Name]],'Base Schedules'!$A$243:$AW$281,32,FALSE)),"")</f>
        <v/>
      </c>
      <c r="AH13" s="184" t="str">
        <f>IFERROR(IF(VLOOKUP(Thu_W1[[#This Row],[Employee Name]],'Base Schedules'!$A$243:$AW$281,33,FALSE)="","",VLOOKUP(Thu_W1[[#This Row],[Employee Name]],'Base Schedules'!$A$243:$AW$281,33,FALSE)),"")</f>
        <v/>
      </c>
      <c r="AI13" s="184" t="str">
        <f>IFERROR(IF(VLOOKUP(Thu_W1[[#This Row],[Employee Name]],'Base Schedules'!$A$243:$AW$281,34,FALSE)="","",VLOOKUP(Thu_W1[[#This Row],[Employee Name]],'Base Schedules'!$A$243:$AW$281,34,FALSE)),"")</f>
        <v/>
      </c>
      <c r="AJ13" s="184" t="str">
        <f>IFERROR(IF(VLOOKUP(Thu_W1[[#This Row],[Employee Name]],'Base Schedules'!$A$243:$AW$281,35,FALSE)="","",VLOOKUP(Thu_W1[[#This Row],[Employee Name]],'Base Schedules'!$A$243:$AW$281,35,FALSE)),"")</f>
        <v/>
      </c>
      <c r="AK13" s="184" t="str">
        <f>IFERROR(IF(VLOOKUP(Thu_W1[[#This Row],[Employee Name]],'Base Schedules'!$A$243:$AW$281,36,FALSE)="","",VLOOKUP(Thu_W1[[#This Row],[Employee Name]],'Base Schedules'!$A$243:$AW$281,36,FALSE)),"")</f>
        <v/>
      </c>
      <c r="AL13" s="184" t="str">
        <f>IFERROR(IF(VLOOKUP(Thu_W1[[#This Row],[Employee Name]],'Base Schedules'!$A$243:$AW$281,37,FALSE)="","",VLOOKUP(Thu_W1[[#This Row],[Employee Name]],'Base Schedules'!$A$243:$AW$281,37,FALSE)),"")</f>
        <v/>
      </c>
      <c r="AM13" s="184" t="str">
        <f>IFERROR(IF(VLOOKUP(Thu_W1[[#This Row],[Employee Name]],'Base Schedules'!$A$243:$AW$281,38,FALSE)="","",VLOOKUP(Thu_W1[[#This Row],[Employee Name]],'Base Schedules'!$A$243:$AW$281,38,FALSE)),"")</f>
        <v/>
      </c>
      <c r="AN13" s="184" t="str">
        <f>IFERROR(IF(VLOOKUP(Thu_W1[[#This Row],[Employee Name]],'Base Schedules'!$A$243:$AW$281,39,FALSE)="","",VLOOKUP(Thu_W1[[#This Row],[Employee Name]],'Base Schedules'!$A$243:$AW$281,39,FALSE)),"")</f>
        <v/>
      </c>
      <c r="AO13" s="184" t="str">
        <f>IFERROR(IF(VLOOKUP(Thu_W1[[#This Row],[Employee Name]],'Base Schedules'!$A$243:$AW$281,40,FALSE)="","",VLOOKUP(Thu_W1[[#This Row],[Employee Name]],'Base Schedules'!$A$243:$AW$281,40,FALSE)),"")</f>
        <v/>
      </c>
      <c r="AP13" s="184" t="str">
        <f>IFERROR(IF(VLOOKUP(Thu_W1[[#This Row],[Employee Name]],'Base Schedules'!$A$243:$AW$281,41,FALSE)="","",VLOOKUP(Thu_W1[[#This Row],[Employee Name]],'Base Schedules'!$A$243:$AW$281,41,FALSE)),"")</f>
        <v/>
      </c>
      <c r="AQ13" s="184" t="str">
        <f>IFERROR(IF(VLOOKUP(Thu_W1[[#This Row],[Employee Name]],'Base Schedules'!$A$243:$AW$281,42,FALSE)="","",VLOOKUP(Thu_W1[[#This Row],[Employee Name]],'Base Schedules'!$A$243:$AW$281,42,FALSE)),"")</f>
        <v/>
      </c>
      <c r="AR13" s="184" t="str">
        <f>IFERROR(IF(VLOOKUP(Thu_W1[[#This Row],[Employee Name]],'Base Schedules'!$A$243:$AW$281,43,FALSE)="","",VLOOKUP(Thu_W1[[#This Row],[Employee Name]],'Base Schedules'!$A$243:$AW$281,43,FALSE)),"")</f>
        <v/>
      </c>
      <c r="AS13" s="184" t="str">
        <f>IFERROR(IF(VLOOKUP(Thu_W1[[#This Row],[Employee Name]],'Base Schedules'!$A$243:$AW$281,44,FALSE)="","",VLOOKUP(Thu_W1[[#This Row],[Employee Name]],'Base Schedules'!$A$243:$AW$281,44,FALSE)),"")</f>
        <v/>
      </c>
      <c r="AT13" s="184" t="str">
        <f>IFERROR(IF(VLOOKUP(Thu_W1[[#This Row],[Employee Name]],'Base Schedules'!$A$243:$AW$281,45,FALSE)="","",VLOOKUP(Thu_W1[[#This Row],[Employee Name]],'Base Schedules'!$A$243:$AW$281,45,FALSE)),"")</f>
        <v/>
      </c>
      <c r="AU13" s="184" t="str">
        <f>IFERROR(IF(VLOOKUP(Thu_W1[[#This Row],[Employee Name]],'Base Schedules'!$A$243:$AW$281,46,FALSE)="","",VLOOKUP(Thu_W1[[#This Row],[Employee Name]],'Base Schedules'!$A$243:$AW$281,46,FALSE)),"")</f>
        <v/>
      </c>
      <c r="AV13" s="184" t="str">
        <f>IFERROR(IF(VLOOKUP(Thu_W1[[#This Row],[Employee Name]],'Base Schedules'!$A$243:$AW$281,47,FALSE)="","",VLOOKUP(Thu_W1[[#This Row],[Employee Name]],'Base Schedules'!$A$243:$AW$281,47,FALSE)),"")</f>
        <v/>
      </c>
      <c r="AW13" s="184" t="str">
        <f>IFERROR(IF(VLOOKUP(Thu_W1[[#This Row],[Employee Name]],'Base Schedules'!$A$243:$AW$281,48,FALSE)="","",VLOOKUP(Thu_W1[[#This Row],[Employee Name]],'Base Schedules'!$A$243:$AW$281,48,FALSE)),"")</f>
        <v/>
      </c>
      <c r="AX13" s="184" t="str">
        <f>IFERROR(IF(VLOOKUP(Thu_W1[[#This Row],[Employee Name]],'Base Schedules'!$A$243:$AW$281,49,FALSE)="","",VLOOKUP(Thu_W1[[#This Row],[Employee Name]],'Base Schedules'!$A$243:$AW$281,49,FALSE)),"")</f>
        <v/>
      </c>
      <c r="AY13" s="164" t="str">
        <f t="shared" si="2"/>
        <v>Alvarez, Carlos</v>
      </c>
    </row>
    <row r="14" spans="1:51" s="44" customFormat="1" ht="12" x14ac:dyDescent="0.2">
      <c r="A14" s="39" t="str">
        <f>IF(B14="","",INDEX(TeamList[],MATCH($B14,TeamList[[Employee Name]:[Employee Name]],0),MATCH("Manager",TeamList[#Headers],0)))</f>
        <v>Olson, Katherine</v>
      </c>
      <c r="B14" s="201" t="s">
        <v>44</v>
      </c>
      <c r="C14" s="257" t="str">
        <f>_xlfn.IFNA(VLOOKUP(Thu_W1[[#This Row],[Employee Name]],'Base Schedules'!A:B,2,FALSE),"")</f>
        <v>Lead</v>
      </c>
      <c r="D14" s="274">
        <f>_xlfn.IFNA(VLOOKUP(Thu_W1[[#This Row],[Employee Name]],'Base Schedules'!A:C,3,FALSE),"")</f>
        <v>530</v>
      </c>
      <c r="E14" s="274">
        <f>_xlfn.IFNA(VLOOKUP(Thu_W1[[#This Row],[Employee Name]],'Base Schedules'!A:D,4,FALSE),"")</f>
        <v>1400</v>
      </c>
      <c r="F14" s="142">
        <f>IF(Thu_W1[[#This Row],[Employee Name]]="","",IF(Thu_W1[[#This Row],[Dept]]="Supervisor",COUNTIFS($J14:$AX14,"*HL*",$J14:$AX14,"&lt;&gt;"&amp;"pHL"),COUNTIFS($J14:$AX14,"*HL*",$J14:$AX14,"&lt;&gt;"&amp;"*pHL*",$J14:$AX14,"&lt;&gt;"&amp;"pB1 HL",$J14:$AX14,"&lt;&gt;"&amp;"pB2 HL")-SUM(COUNTIFS($J14:$AX14,"*HL B1*",$J14:$AX14,"&lt;&gt;"&amp;"pHL B1")*0.5,COUNTIFS($J14:$AX14,"*HL B2*",$J14:$AX14,"&lt;&gt;"&amp;"pHL B2")*0.5,COUNTIFS($J14:$AX14,"*B1 HL*",$J14:$AX14,"&lt;&gt;"&amp;"pB1 HL")*0.5,COUNTIFS($J14:$AX14,"*B2 HL*",$J14:$AX14,"&lt;&gt;"&amp;"pB2 HL")*0.5)))</f>
        <v>4.5</v>
      </c>
      <c r="G14" s="142">
        <f t="shared" si="0"/>
        <v>0</v>
      </c>
      <c r="H14" s="142">
        <f t="shared" si="1"/>
        <v>9</v>
      </c>
      <c r="I14" s="142">
        <f>IF(Thu_W1[[#This Row],[Employee Name]]="","",IF(Thu_W1[[#This Row],[Dept]]="Supervisor",SUM(COUNTIFS($J14:$AX14,"RTA*",$J14:$AX14,"&lt;&gt;"&amp;"pRTA"),COUNTIFS($J14:$AX14,"*CRTA*",$J14:$AX14,"&lt;&gt;"&amp;"pCRTA")),COUNTIFS($J14:$AX14,"*RNNR*",$J14:$AX14,"&lt;&gt;"&amp;"*pRNNR*",$J14:$AX14,"&lt;&gt;"&amp;"pB1 RNNR",$J14:$AX14,"&lt;&gt;"&amp;"pB2 RNNR")-SUM(COUNTIFS($J14:$AX14,"*RNNR B1*",$J14:$AX14,"&lt;&gt;"&amp;"pRNNR B1")*0.5,COUNTIFS($J14:$AX14,"*RNNR B2*",$J14:$AX14,"&lt;&gt;"&amp;"pRNNR B2")*0.5,COUNTIFS($J14:$AX14,"*B1 RNNR*",$J14:$AX14,"&lt;&gt;"&amp;"pB1 RNNR")*0.5,COUNTIFS($J14:$AX14,"*B2 RNNR*",$J14:$AX14,"&lt;&gt;"&amp;"pB2 RNNR")*0.5)))</f>
        <v>2</v>
      </c>
      <c r="J14" s="184" t="str">
        <f>IFERROR(IF(VLOOKUP(Thu_W1[[#This Row],[Employee Name]],'Base Schedules'!$A$243:$AW$281,9,FALSE)="","",VLOOKUP(Thu_W1[[#This Row],[Employee Name]],'Base Schedules'!$A$243:$AW$281,9,FALSE)),"")</f>
        <v/>
      </c>
      <c r="K14" s="184" t="str">
        <f>IFERROR(IF(VLOOKUP(Thu_W1[[#This Row],[Employee Name]],'Base Schedules'!$A$243:$AW$281,10,FALSE)="","",VLOOKUP(Thu_W1[[#This Row],[Employee Name]],'Base Schedules'!$A$243:$AW$281,10,FALSE)),"")</f>
        <v>ADM</v>
      </c>
      <c r="L14" s="184" t="str">
        <f>IFERROR(IF(VLOOKUP(Thu_W1[[#This Row],[Employee Name]],'Base Schedules'!$A$243:$AW$281,11,FALSE)="","",VLOOKUP(Thu_W1[[#This Row],[Employee Name]],'Base Schedules'!$A$243:$AW$281,11,FALSE)),"")</f>
        <v>ADM</v>
      </c>
      <c r="M14" s="184" t="str">
        <f>IFERROR(IF(VLOOKUP(Thu_W1[[#This Row],[Employee Name]],'Base Schedules'!$A$243:$AW$281,12,FALSE)="","",VLOOKUP(Thu_W1[[#This Row],[Employee Name]],'Base Schedules'!$A$243:$AW$281,12,FALSE)),"")</f>
        <v>ADM</v>
      </c>
      <c r="N14" s="184" t="str">
        <f>IFERROR(IF(VLOOKUP(Thu_W1[[#This Row],[Employee Name]],'Base Schedules'!$A$243:$AW$281,13,FALSE)="","",VLOOKUP(Thu_W1[[#This Row],[Employee Name]],'Base Schedules'!$A$243:$AW$281,13,FALSE)),"")</f>
        <v>ADM</v>
      </c>
      <c r="O14" s="184" t="str">
        <f>IFERROR(IF(VLOOKUP(Thu_W1[[#This Row],[Employee Name]],'Base Schedules'!$A$243:$AW$281,14,FALSE)="","",VLOOKUP(Thu_W1[[#This Row],[Employee Name]],'Base Schedules'!$A$243:$AW$281,14,FALSE)),"")</f>
        <v>B1 HL</v>
      </c>
      <c r="P14" s="184" t="str">
        <f>IFERROR(IF(VLOOKUP(Thu_W1[[#This Row],[Employee Name]],'Base Schedules'!$A$243:$AW$281,15,FALSE)="","",VLOOKUP(Thu_W1[[#This Row],[Employee Name]],'Base Schedules'!$A$243:$AW$281,15,FALSE)),"")</f>
        <v>HL</v>
      </c>
      <c r="Q14" s="184" t="str">
        <f>IFERROR(IF(VLOOKUP(Thu_W1[[#This Row],[Employee Name]],'Base Schedules'!$A$243:$AW$281,16,FALSE)="","",VLOOKUP(Thu_W1[[#This Row],[Employee Name]],'Base Schedules'!$A$243:$AW$281,16,FALSE)),"")</f>
        <v>HL</v>
      </c>
      <c r="R14" s="184" t="str">
        <f>IFERROR(IF(VLOOKUP(Thu_W1[[#This Row],[Employee Name]],'Base Schedules'!$A$243:$AW$281,17,FALSE)="","",VLOOKUP(Thu_W1[[#This Row],[Employee Name]],'Base Schedules'!$A$243:$AW$281,17,FALSE)),"")</f>
        <v>RNNR</v>
      </c>
      <c r="S14" s="184" t="str">
        <f>IFERROR(IF(VLOOKUP(Thu_W1[[#This Row],[Employee Name]],'Base Schedules'!$A$243:$AW$281,18,FALSE)="","",VLOOKUP(Thu_W1[[#This Row],[Employee Name]],'Base Schedules'!$A$243:$AW$281,18,FALSE)),"")</f>
        <v>RNNR</v>
      </c>
      <c r="T14" s="184" t="str">
        <f>IFERROR(IF(VLOOKUP(Thu_W1[[#This Row],[Employee Name]],'Base Schedules'!$A$243:$AW$281,19,FALSE)="","",VLOOKUP(Thu_W1[[#This Row],[Employee Name]],'Base Schedules'!$A$243:$AW$281,19,FALSE)),"")</f>
        <v>LUNCH</v>
      </c>
      <c r="U14" s="184" t="str">
        <f>IFERROR(IF(VLOOKUP(Thu_W1[[#This Row],[Employee Name]],'Base Schedules'!$A$243:$AW$281,20,FALSE)="","",VLOOKUP(Thu_W1[[#This Row],[Employee Name]],'Base Schedules'!$A$243:$AW$281,20,FALSE)),"")</f>
        <v>ADM</v>
      </c>
      <c r="V14" s="184" t="str">
        <f>IFERROR(IF(VLOOKUP(Thu_W1[[#This Row],[Employee Name]],'Base Schedules'!$A$243:$AW$281,21,FALSE)="","",VLOOKUP(Thu_W1[[#This Row],[Employee Name]],'Base Schedules'!$A$243:$AW$281,21,FALSE)),"")</f>
        <v>ADM</v>
      </c>
      <c r="W14" s="184" t="str">
        <f>IFERROR(IF(VLOOKUP(Thu_W1[[#This Row],[Employee Name]],'Base Schedules'!$A$243:$AW$281,22,FALSE)="","",VLOOKUP(Thu_W1[[#This Row],[Employee Name]],'Base Schedules'!$A$243:$AW$281,22,FALSE)),"")</f>
        <v>ADM B2</v>
      </c>
      <c r="X14" s="184" t="str">
        <f>IFERROR(IF(VLOOKUP(Thu_W1[[#This Row],[Employee Name]],'Base Schedules'!$A$243:$AW$281,23,FALSE)="","",VLOOKUP(Thu_W1[[#This Row],[Employee Name]],'Base Schedules'!$A$243:$AW$281,23,FALSE)),"")</f>
        <v>ADM</v>
      </c>
      <c r="Y14" s="184" t="str">
        <f>IFERROR(IF(VLOOKUP(Thu_W1[[#This Row],[Employee Name]],'Base Schedules'!$A$243:$AW$281,24,FALSE)="","",VLOOKUP(Thu_W1[[#This Row],[Employee Name]],'Base Schedules'!$A$243:$AW$281,24,FALSE)),"")</f>
        <v>ADM</v>
      </c>
      <c r="Z14" s="184" t="str">
        <f>IFERROR(IF(VLOOKUP(Thu_W1[[#This Row],[Employee Name]],'Base Schedules'!$A$243:$AW$281,25,FALSE)="","",VLOOKUP(Thu_W1[[#This Row],[Employee Name]],'Base Schedules'!$A$243:$AW$281,25,FALSE)),"")</f>
        <v>HL</v>
      </c>
      <c r="AA14" s="184" t="str">
        <f>IFERROR(IF(VLOOKUP(Thu_W1[[#This Row],[Employee Name]],'Base Schedules'!$A$243:$AW$281,26,FALSE)="","",VLOOKUP(Thu_W1[[#This Row],[Employee Name]],'Base Schedules'!$A$243:$AW$281,26,FALSE)),"")</f>
        <v>HL</v>
      </c>
      <c r="AB14" s="184" t="str">
        <f>IFERROR(IF(VLOOKUP(Thu_W1[[#This Row],[Employee Name]],'Base Schedules'!$A$243:$AW$281,27,FALSE)="","",VLOOKUP(Thu_W1[[#This Row],[Employee Name]],'Base Schedules'!$A$243:$AW$281,27,FALSE)),"")</f>
        <v/>
      </c>
      <c r="AC14" s="184" t="str">
        <f>IFERROR(IF(VLOOKUP(Thu_W1[[#This Row],[Employee Name]],'Base Schedules'!$A$243:$AW$281,28,FALSE)="","",VLOOKUP(Thu_W1[[#This Row],[Employee Name]],'Base Schedules'!$A$243:$AW$281,28,FALSE)),"")</f>
        <v/>
      </c>
      <c r="AD14" s="184" t="str">
        <f>IFERROR(IF(VLOOKUP(Thu_W1[[#This Row],[Employee Name]],'Base Schedules'!$A$243:$AW$281,29,FALSE)="","",VLOOKUP(Thu_W1[[#This Row],[Employee Name]],'Base Schedules'!$A$243:$AW$281,29,FALSE)),"")</f>
        <v/>
      </c>
      <c r="AE14" s="184" t="str">
        <f>IFERROR(IF(VLOOKUP(Thu_W1[[#This Row],[Employee Name]],'Base Schedules'!$A$243:$AW$281,30,FALSE)="","",VLOOKUP(Thu_W1[[#This Row],[Employee Name]],'Base Schedules'!$A$243:$AW$281,30,FALSE)),"")</f>
        <v/>
      </c>
      <c r="AF14" s="184" t="str">
        <f>IFERROR(IF(VLOOKUP(Thu_W1[[#This Row],[Employee Name]],'Base Schedules'!$A$243:$AW$281,31,FALSE)="","",VLOOKUP(Thu_W1[[#This Row],[Employee Name]],'Base Schedules'!$A$243:$AW$281,31,FALSE)),"")</f>
        <v/>
      </c>
      <c r="AG14" s="184" t="str">
        <f>IFERROR(IF(VLOOKUP(Thu_W1[[#This Row],[Employee Name]],'Base Schedules'!$A$243:$AW$281,32,FALSE)="","",VLOOKUP(Thu_W1[[#This Row],[Employee Name]],'Base Schedules'!$A$243:$AW$281,32,FALSE)),"")</f>
        <v/>
      </c>
      <c r="AH14" s="184" t="str">
        <f>IFERROR(IF(VLOOKUP(Thu_W1[[#This Row],[Employee Name]],'Base Schedules'!$A$243:$AW$281,33,FALSE)="","",VLOOKUP(Thu_W1[[#This Row],[Employee Name]],'Base Schedules'!$A$243:$AW$281,33,FALSE)),"")</f>
        <v/>
      </c>
      <c r="AI14" s="184" t="str">
        <f>IFERROR(IF(VLOOKUP(Thu_W1[[#This Row],[Employee Name]],'Base Schedules'!$A$243:$AW$281,34,FALSE)="","",VLOOKUP(Thu_W1[[#This Row],[Employee Name]],'Base Schedules'!$A$243:$AW$281,34,FALSE)),"")</f>
        <v/>
      </c>
      <c r="AJ14" s="184" t="str">
        <f>IFERROR(IF(VLOOKUP(Thu_W1[[#This Row],[Employee Name]],'Base Schedules'!$A$243:$AW$281,35,FALSE)="","",VLOOKUP(Thu_W1[[#This Row],[Employee Name]],'Base Schedules'!$A$243:$AW$281,35,FALSE)),"")</f>
        <v/>
      </c>
      <c r="AK14" s="184" t="str">
        <f>IFERROR(IF(VLOOKUP(Thu_W1[[#This Row],[Employee Name]],'Base Schedules'!$A$243:$AW$281,36,FALSE)="","",VLOOKUP(Thu_W1[[#This Row],[Employee Name]],'Base Schedules'!$A$243:$AW$281,36,FALSE)),"")</f>
        <v/>
      </c>
      <c r="AL14" s="184" t="str">
        <f>IFERROR(IF(VLOOKUP(Thu_W1[[#This Row],[Employee Name]],'Base Schedules'!$A$243:$AW$281,37,FALSE)="","",VLOOKUP(Thu_W1[[#This Row],[Employee Name]],'Base Schedules'!$A$243:$AW$281,37,FALSE)),"")</f>
        <v/>
      </c>
      <c r="AM14" s="184" t="str">
        <f>IFERROR(IF(VLOOKUP(Thu_W1[[#This Row],[Employee Name]],'Base Schedules'!$A$243:$AW$281,38,FALSE)="","",VLOOKUP(Thu_W1[[#This Row],[Employee Name]],'Base Schedules'!$A$243:$AW$281,38,FALSE)),"")</f>
        <v/>
      </c>
      <c r="AN14" s="184" t="str">
        <f>IFERROR(IF(VLOOKUP(Thu_W1[[#This Row],[Employee Name]],'Base Schedules'!$A$243:$AW$281,39,FALSE)="","",VLOOKUP(Thu_W1[[#This Row],[Employee Name]],'Base Schedules'!$A$243:$AW$281,39,FALSE)),"")</f>
        <v/>
      </c>
      <c r="AO14" s="184" t="str">
        <f>IFERROR(IF(VLOOKUP(Thu_W1[[#This Row],[Employee Name]],'Base Schedules'!$A$243:$AW$281,40,FALSE)="","",VLOOKUP(Thu_W1[[#This Row],[Employee Name]],'Base Schedules'!$A$243:$AW$281,40,FALSE)),"")</f>
        <v/>
      </c>
      <c r="AP14" s="184" t="str">
        <f>IFERROR(IF(VLOOKUP(Thu_W1[[#This Row],[Employee Name]],'Base Schedules'!$A$243:$AW$281,41,FALSE)="","",VLOOKUP(Thu_W1[[#This Row],[Employee Name]],'Base Schedules'!$A$243:$AW$281,41,FALSE)),"")</f>
        <v/>
      </c>
      <c r="AQ14" s="184" t="str">
        <f>IFERROR(IF(VLOOKUP(Thu_W1[[#This Row],[Employee Name]],'Base Schedules'!$A$243:$AW$281,42,FALSE)="","",VLOOKUP(Thu_W1[[#This Row],[Employee Name]],'Base Schedules'!$A$243:$AW$281,42,FALSE)),"")</f>
        <v/>
      </c>
      <c r="AR14" s="184" t="str">
        <f>IFERROR(IF(VLOOKUP(Thu_W1[[#This Row],[Employee Name]],'Base Schedules'!$A$243:$AW$281,43,FALSE)="","",VLOOKUP(Thu_W1[[#This Row],[Employee Name]],'Base Schedules'!$A$243:$AW$281,43,FALSE)),"")</f>
        <v/>
      </c>
      <c r="AS14" s="184" t="str">
        <f>IFERROR(IF(VLOOKUP(Thu_W1[[#This Row],[Employee Name]],'Base Schedules'!$A$243:$AW$281,44,FALSE)="","",VLOOKUP(Thu_W1[[#This Row],[Employee Name]],'Base Schedules'!$A$243:$AW$281,44,FALSE)),"")</f>
        <v/>
      </c>
      <c r="AT14" s="184" t="str">
        <f>IFERROR(IF(VLOOKUP(Thu_W1[[#This Row],[Employee Name]],'Base Schedules'!$A$243:$AW$281,45,FALSE)="","",VLOOKUP(Thu_W1[[#This Row],[Employee Name]],'Base Schedules'!$A$243:$AW$281,45,FALSE)),"")</f>
        <v/>
      </c>
      <c r="AU14" s="184" t="str">
        <f>IFERROR(IF(VLOOKUP(Thu_W1[[#This Row],[Employee Name]],'Base Schedules'!$A$243:$AW$281,46,FALSE)="","",VLOOKUP(Thu_W1[[#This Row],[Employee Name]],'Base Schedules'!$A$243:$AW$281,46,FALSE)),"")</f>
        <v/>
      </c>
      <c r="AV14" s="184" t="str">
        <f>IFERROR(IF(VLOOKUP(Thu_W1[[#This Row],[Employee Name]],'Base Schedules'!$A$243:$AW$281,47,FALSE)="","",VLOOKUP(Thu_W1[[#This Row],[Employee Name]],'Base Schedules'!$A$243:$AW$281,47,FALSE)),"")</f>
        <v/>
      </c>
      <c r="AW14" s="184" t="str">
        <f>IFERROR(IF(VLOOKUP(Thu_W1[[#This Row],[Employee Name]],'Base Schedules'!$A$243:$AW$281,48,FALSE)="","",VLOOKUP(Thu_W1[[#This Row],[Employee Name]],'Base Schedules'!$A$243:$AW$281,48,FALSE)),"")</f>
        <v/>
      </c>
      <c r="AX14" s="184" t="str">
        <f>IFERROR(IF(VLOOKUP(Thu_W1[[#This Row],[Employee Name]],'Base Schedules'!$A$243:$AW$281,49,FALSE)="","",VLOOKUP(Thu_W1[[#This Row],[Employee Name]],'Base Schedules'!$A$243:$AW$281,49,FALSE)),"")</f>
        <v/>
      </c>
      <c r="AY14" s="164" t="str">
        <f t="shared" si="2"/>
        <v>Albritton, Ahmed</v>
      </c>
    </row>
    <row r="15" spans="1:51" s="44" customFormat="1" ht="12" x14ac:dyDescent="0.2">
      <c r="A15" s="39" t="str">
        <f>IF(B15="","",INDEX(TeamList[],MATCH($B15,TeamList[[Employee Name]:[Employee Name]],0),MATCH("Manager",TeamList[#Headers],0)))</f>
        <v>Paulson, Matthew</v>
      </c>
      <c r="B15" s="201" t="s">
        <v>17</v>
      </c>
      <c r="C15" s="257" t="str">
        <f>_xlfn.IFNA(VLOOKUP(Thu_W1[[#This Row],[Employee Name]],'Base Schedules'!A:B,2,FALSE),"")</f>
        <v>Supervisor</v>
      </c>
      <c r="D15" s="274">
        <f>_xlfn.IFNA(VLOOKUP(Thu_W1[[#This Row],[Employee Name]],'Base Schedules'!A:C,3,FALSE),"")</f>
        <v>530</v>
      </c>
      <c r="E15" s="274">
        <f>_xlfn.IFNA(VLOOKUP(Thu_W1[[#This Row],[Employee Name]],'Base Schedules'!A:D,4,FALSE),"")</f>
        <v>1430</v>
      </c>
      <c r="F15" s="142">
        <f>IF(Thu_W1[[#This Row],[Employee Name]]="","",IF(Thu_W1[[#This Row],[Dept]]="Supervisor",COUNTIFS($J15:$AX15,"*HL*",$J15:$AX15,"&lt;&gt;"&amp;"pHL"),COUNTIFS($J15:$AX15,"*HL*",$J15:$AX15,"&lt;&gt;"&amp;"*pHL*",$J15:$AX15,"&lt;&gt;"&amp;"pB1 HL",$J15:$AX15,"&lt;&gt;"&amp;"pB2 HL")-SUM(COUNTIFS($J15:$AX15,"*HL B1*",$J15:$AX15,"&lt;&gt;"&amp;"pHL B1")*0.5,COUNTIFS($J15:$AX15,"*HL B2*",$J15:$AX15,"&lt;&gt;"&amp;"pHL B2")*0.5,COUNTIFS($J15:$AX15,"*B1 HL*",$J15:$AX15,"&lt;&gt;"&amp;"pB1 HL")*0.5,COUNTIFS($J15:$AX15,"*B2 HL*",$J15:$AX15,"&lt;&gt;"&amp;"pB2 HL")*0.5)))</f>
        <v>0</v>
      </c>
      <c r="G15" s="142">
        <f t="shared" si="0"/>
        <v>0</v>
      </c>
      <c r="H15" s="142">
        <f t="shared" si="1"/>
        <v>0</v>
      </c>
      <c r="I15" s="142">
        <f>IF(Thu_W1[[#This Row],[Employee Name]]="","",IF(Thu_W1[[#This Row],[Dept]]="Supervisor",SUM(COUNTIFS($J15:$AX15,"RTA*",$J15:$AX15,"&lt;&gt;"&amp;"pRTA"),COUNTIFS($J15:$AX15,"*CRTA*",$J15:$AX15,"&lt;&gt;"&amp;"pCRTA")),COUNTIFS($J15:$AX15,"*RNNR*",$J15:$AX15,"&lt;&gt;"&amp;"*pRNNR*",$J15:$AX15,"&lt;&gt;"&amp;"pB1 RNNR",$J15:$AX15,"&lt;&gt;"&amp;"pB2 RNNR")-SUM(COUNTIFS($J15:$AX15,"*RNNR B1*",$J15:$AX15,"&lt;&gt;"&amp;"pRNNR B1")*0.5,COUNTIFS($J15:$AX15,"*RNNR B2*",$J15:$AX15,"&lt;&gt;"&amp;"pRNNR B2")*0.5,COUNTIFS($J15:$AX15,"*B1 RNNR*",$J15:$AX15,"&lt;&gt;"&amp;"pB1 RNNR")*0.5,COUNTIFS($J15:$AX15,"*B2 RNNR*",$J15:$AX15,"&lt;&gt;"&amp;"pB2 RNNR")*0.5)))</f>
        <v>0</v>
      </c>
      <c r="J15" s="184" t="str">
        <f>IFERROR(IF(VLOOKUP(Thu_W1[[#This Row],[Employee Name]],'Base Schedules'!$A$243:$AW$281,9,FALSE)="","",VLOOKUP(Thu_W1[[#This Row],[Employee Name]],'Base Schedules'!$A$243:$AW$281,9,FALSE)),"")</f>
        <v/>
      </c>
      <c r="K15" s="184" t="str">
        <f>IFERROR(IF(VLOOKUP(Thu_W1[[#This Row],[Employee Name]],'Base Schedules'!$A$243:$AW$281,10,FALSE)="","",VLOOKUP(Thu_W1[[#This Row],[Employee Name]],'Base Schedules'!$A$243:$AW$281,10,FALSE)),"")</f>
        <v/>
      </c>
      <c r="L15" s="184" t="str">
        <f>IFERROR(IF(VLOOKUP(Thu_W1[[#This Row],[Employee Name]],'Base Schedules'!$A$243:$AW$281,11,FALSE)="","",VLOOKUP(Thu_W1[[#This Row],[Employee Name]],'Base Schedules'!$A$243:$AW$281,11,FALSE)),"")</f>
        <v/>
      </c>
      <c r="M15" s="184" t="str">
        <f>IFERROR(IF(VLOOKUP(Thu_W1[[#This Row],[Employee Name]],'Base Schedules'!$A$243:$AW$281,12,FALSE)="","",VLOOKUP(Thu_W1[[#This Row],[Employee Name]],'Base Schedules'!$A$243:$AW$281,12,FALSE)),"")</f>
        <v/>
      </c>
      <c r="N15" s="184" t="str">
        <f>IFERROR(IF(VLOOKUP(Thu_W1[[#This Row],[Employee Name]],'Base Schedules'!$A$243:$AW$281,13,FALSE)="","",VLOOKUP(Thu_W1[[#This Row],[Employee Name]],'Base Schedules'!$A$243:$AW$281,13,FALSE)),"")</f>
        <v/>
      </c>
      <c r="O15" s="184" t="str">
        <f>IFERROR(IF(VLOOKUP(Thu_W1[[#This Row],[Employee Name]],'Base Schedules'!$A$243:$AW$281,14,FALSE)="","",VLOOKUP(Thu_W1[[#This Row],[Employee Name]],'Base Schedules'!$A$243:$AW$281,14,FALSE)),"")</f>
        <v/>
      </c>
      <c r="P15" s="184" t="str">
        <f>IFERROR(IF(VLOOKUP(Thu_W1[[#This Row],[Employee Name]],'Base Schedules'!$A$243:$AW$281,15,FALSE)="","",VLOOKUP(Thu_W1[[#This Row],[Employee Name]],'Base Schedules'!$A$243:$AW$281,15,FALSE)),"")</f>
        <v/>
      </c>
      <c r="Q15" s="184" t="str">
        <f>IFERROR(IF(VLOOKUP(Thu_W1[[#This Row],[Employee Name]],'Base Schedules'!$A$243:$AW$281,16,FALSE)="","",VLOOKUP(Thu_W1[[#This Row],[Employee Name]],'Base Schedules'!$A$243:$AW$281,16,FALSE)),"")</f>
        <v/>
      </c>
      <c r="R15" s="184" t="str">
        <f>IFERROR(IF(VLOOKUP(Thu_W1[[#This Row],[Employee Name]],'Base Schedules'!$A$243:$AW$281,17,FALSE)="","",VLOOKUP(Thu_W1[[#This Row],[Employee Name]],'Base Schedules'!$A$243:$AW$281,17,FALSE)),"")</f>
        <v/>
      </c>
      <c r="S15" s="184" t="str">
        <f>IFERROR(IF(VLOOKUP(Thu_W1[[#This Row],[Employee Name]],'Base Schedules'!$A$243:$AW$281,18,FALSE)="","",VLOOKUP(Thu_W1[[#This Row],[Employee Name]],'Base Schedules'!$A$243:$AW$281,18,FALSE)),"")</f>
        <v/>
      </c>
      <c r="T15" s="184" t="str">
        <f>IFERROR(IF(VLOOKUP(Thu_W1[[#This Row],[Employee Name]],'Base Schedules'!$A$243:$AW$281,19,FALSE)="","",VLOOKUP(Thu_W1[[#This Row],[Employee Name]],'Base Schedules'!$A$243:$AW$281,19,FALSE)),"")</f>
        <v/>
      </c>
      <c r="U15" s="184" t="str">
        <f>IFERROR(IF(VLOOKUP(Thu_W1[[#This Row],[Employee Name]],'Base Schedules'!$A$243:$AW$281,20,FALSE)="","",VLOOKUP(Thu_W1[[#This Row],[Employee Name]],'Base Schedules'!$A$243:$AW$281,20,FALSE)),"")</f>
        <v/>
      </c>
      <c r="V15" s="184" t="str">
        <f>IFERROR(IF(VLOOKUP(Thu_W1[[#This Row],[Employee Name]],'Base Schedules'!$A$243:$AW$281,21,FALSE)="","",VLOOKUP(Thu_W1[[#This Row],[Employee Name]],'Base Schedules'!$A$243:$AW$281,21,FALSE)),"")</f>
        <v/>
      </c>
      <c r="W15" s="184" t="str">
        <f>IFERROR(IF(VLOOKUP(Thu_W1[[#This Row],[Employee Name]],'Base Schedules'!$A$243:$AW$281,22,FALSE)="","",VLOOKUP(Thu_W1[[#This Row],[Employee Name]],'Base Schedules'!$A$243:$AW$281,22,FALSE)),"")</f>
        <v/>
      </c>
      <c r="X15" s="184" t="str">
        <f>IFERROR(IF(VLOOKUP(Thu_W1[[#This Row],[Employee Name]],'Base Schedules'!$A$243:$AW$281,23,FALSE)="","",VLOOKUP(Thu_W1[[#This Row],[Employee Name]],'Base Schedules'!$A$243:$AW$281,23,FALSE)),"")</f>
        <v/>
      </c>
      <c r="Y15" s="184" t="str">
        <f>IFERROR(IF(VLOOKUP(Thu_W1[[#This Row],[Employee Name]],'Base Schedules'!$A$243:$AW$281,24,FALSE)="","",VLOOKUP(Thu_W1[[#This Row],[Employee Name]],'Base Schedules'!$A$243:$AW$281,24,FALSE)),"")</f>
        <v/>
      </c>
      <c r="Z15" s="184" t="str">
        <f>IFERROR(IF(VLOOKUP(Thu_W1[[#This Row],[Employee Name]],'Base Schedules'!$A$243:$AW$281,25,FALSE)="","",VLOOKUP(Thu_W1[[#This Row],[Employee Name]],'Base Schedules'!$A$243:$AW$281,25,FALSE)),"")</f>
        <v/>
      </c>
      <c r="AA15" s="184" t="str">
        <f>IFERROR(IF(VLOOKUP(Thu_W1[[#This Row],[Employee Name]],'Base Schedules'!$A$243:$AW$281,26,FALSE)="","",VLOOKUP(Thu_W1[[#This Row],[Employee Name]],'Base Schedules'!$A$243:$AW$281,26,FALSE)),"")</f>
        <v/>
      </c>
      <c r="AB15" s="184" t="str">
        <f>IFERROR(IF(VLOOKUP(Thu_W1[[#This Row],[Employee Name]],'Base Schedules'!$A$243:$AW$281,27,FALSE)="","",VLOOKUP(Thu_W1[[#This Row],[Employee Name]],'Base Schedules'!$A$243:$AW$281,27,FALSE)),"")</f>
        <v/>
      </c>
      <c r="AC15" s="184" t="str">
        <f>IFERROR(IF(VLOOKUP(Thu_W1[[#This Row],[Employee Name]],'Base Schedules'!$A$243:$AW$281,28,FALSE)="","",VLOOKUP(Thu_W1[[#This Row],[Employee Name]],'Base Schedules'!$A$243:$AW$281,28,FALSE)),"")</f>
        <v/>
      </c>
      <c r="AD15" s="184" t="str">
        <f>IFERROR(IF(VLOOKUP(Thu_W1[[#This Row],[Employee Name]],'Base Schedules'!$A$243:$AW$281,29,FALSE)="","",VLOOKUP(Thu_W1[[#This Row],[Employee Name]],'Base Schedules'!$A$243:$AW$281,29,FALSE)),"")</f>
        <v/>
      </c>
      <c r="AE15" s="184" t="str">
        <f>IFERROR(IF(VLOOKUP(Thu_W1[[#This Row],[Employee Name]],'Base Schedules'!$A$243:$AW$281,30,FALSE)="","",VLOOKUP(Thu_W1[[#This Row],[Employee Name]],'Base Schedules'!$A$243:$AW$281,30,FALSE)),"")</f>
        <v/>
      </c>
      <c r="AF15" s="184" t="str">
        <f>IFERROR(IF(VLOOKUP(Thu_W1[[#This Row],[Employee Name]],'Base Schedules'!$A$243:$AW$281,31,FALSE)="","",VLOOKUP(Thu_W1[[#This Row],[Employee Name]],'Base Schedules'!$A$243:$AW$281,31,FALSE)),"")</f>
        <v/>
      </c>
      <c r="AG15" s="184" t="str">
        <f>IFERROR(IF(VLOOKUP(Thu_W1[[#This Row],[Employee Name]],'Base Schedules'!$A$243:$AW$281,32,FALSE)="","",VLOOKUP(Thu_W1[[#This Row],[Employee Name]],'Base Schedules'!$A$243:$AW$281,32,FALSE)),"")</f>
        <v/>
      </c>
      <c r="AH15" s="184" t="str">
        <f>IFERROR(IF(VLOOKUP(Thu_W1[[#This Row],[Employee Name]],'Base Schedules'!$A$243:$AW$281,33,FALSE)="","",VLOOKUP(Thu_W1[[#This Row],[Employee Name]],'Base Schedules'!$A$243:$AW$281,33,FALSE)),"")</f>
        <v/>
      </c>
      <c r="AI15" s="184" t="str">
        <f>IFERROR(IF(VLOOKUP(Thu_W1[[#This Row],[Employee Name]],'Base Schedules'!$A$243:$AW$281,34,FALSE)="","",VLOOKUP(Thu_W1[[#This Row],[Employee Name]],'Base Schedules'!$A$243:$AW$281,34,FALSE)),"")</f>
        <v/>
      </c>
      <c r="AJ15" s="184" t="str">
        <f>IFERROR(IF(VLOOKUP(Thu_W1[[#This Row],[Employee Name]],'Base Schedules'!$A$243:$AW$281,35,FALSE)="","",VLOOKUP(Thu_W1[[#This Row],[Employee Name]],'Base Schedules'!$A$243:$AW$281,35,FALSE)),"")</f>
        <v/>
      </c>
      <c r="AK15" s="184" t="str">
        <f>IFERROR(IF(VLOOKUP(Thu_W1[[#This Row],[Employee Name]],'Base Schedules'!$A$243:$AW$281,36,FALSE)="","",VLOOKUP(Thu_W1[[#This Row],[Employee Name]],'Base Schedules'!$A$243:$AW$281,36,FALSE)),"")</f>
        <v/>
      </c>
      <c r="AL15" s="184" t="str">
        <f>IFERROR(IF(VLOOKUP(Thu_W1[[#This Row],[Employee Name]],'Base Schedules'!$A$243:$AW$281,37,FALSE)="","",VLOOKUP(Thu_W1[[#This Row],[Employee Name]],'Base Schedules'!$A$243:$AW$281,37,FALSE)),"")</f>
        <v/>
      </c>
      <c r="AM15" s="184" t="str">
        <f>IFERROR(IF(VLOOKUP(Thu_W1[[#This Row],[Employee Name]],'Base Schedules'!$A$243:$AW$281,38,FALSE)="","",VLOOKUP(Thu_W1[[#This Row],[Employee Name]],'Base Schedules'!$A$243:$AW$281,38,FALSE)),"")</f>
        <v/>
      </c>
      <c r="AN15" s="184" t="str">
        <f>IFERROR(IF(VLOOKUP(Thu_W1[[#This Row],[Employee Name]],'Base Schedules'!$A$243:$AW$281,39,FALSE)="","",VLOOKUP(Thu_W1[[#This Row],[Employee Name]],'Base Schedules'!$A$243:$AW$281,39,FALSE)),"")</f>
        <v/>
      </c>
      <c r="AO15" s="184" t="str">
        <f>IFERROR(IF(VLOOKUP(Thu_W1[[#This Row],[Employee Name]],'Base Schedules'!$A$243:$AW$281,40,FALSE)="","",VLOOKUP(Thu_W1[[#This Row],[Employee Name]],'Base Schedules'!$A$243:$AW$281,40,FALSE)),"")</f>
        <v/>
      </c>
      <c r="AP15" s="184" t="str">
        <f>IFERROR(IF(VLOOKUP(Thu_W1[[#This Row],[Employee Name]],'Base Schedules'!$A$243:$AW$281,41,FALSE)="","",VLOOKUP(Thu_W1[[#This Row],[Employee Name]],'Base Schedules'!$A$243:$AW$281,41,FALSE)),"")</f>
        <v/>
      </c>
      <c r="AQ15" s="184" t="str">
        <f>IFERROR(IF(VLOOKUP(Thu_W1[[#This Row],[Employee Name]],'Base Schedules'!$A$243:$AW$281,42,FALSE)="","",VLOOKUP(Thu_W1[[#This Row],[Employee Name]],'Base Schedules'!$A$243:$AW$281,42,FALSE)),"")</f>
        <v/>
      </c>
      <c r="AR15" s="184" t="str">
        <f>IFERROR(IF(VLOOKUP(Thu_W1[[#This Row],[Employee Name]],'Base Schedules'!$A$243:$AW$281,43,FALSE)="","",VLOOKUP(Thu_W1[[#This Row],[Employee Name]],'Base Schedules'!$A$243:$AW$281,43,FALSE)),"")</f>
        <v/>
      </c>
      <c r="AS15" s="184" t="str">
        <f>IFERROR(IF(VLOOKUP(Thu_W1[[#This Row],[Employee Name]],'Base Schedules'!$A$243:$AW$281,44,FALSE)="","",VLOOKUP(Thu_W1[[#This Row],[Employee Name]],'Base Schedules'!$A$243:$AW$281,44,FALSE)),"")</f>
        <v/>
      </c>
      <c r="AT15" s="184" t="str">
        <f>IFERROR(IF(VLOOKUP(Thu_W1[[#This Row],[Employee Name]],'Base Schedules'!$A$243:$AW$281,45,FALSE)="","",VLOOKUP(Thu_W1[[#This Row],[Employee Name]],'Base Schedules'!$A$243:$AW$281,45,FALSE)),"")</f>
        <v/>
      </c>
      <c r="AU15" s="184" t="str">
        <f>IFERROR(IF(VLOOKUP(Thu_W1[[#This Row],[Employee Name]],'Base Schedules'!$A$243:$AW$281,46,FALSE)="","",VLOOKUP(Thu_W1[[#This Row],[Employee Name]],'Base Schedules'!$A$243:$AW$281,46,FALSE)),"")</f>
        <v/>
      </c>
      <c r="AV15" s="184" t="str">
        <f>IFERROR(IF(VLOOKUP(Thu_W1[[#This Row],[Employee Name]],'Base Schedules'!$A$243:$AW$281,47,FALSE)="","",VLOOKUP(Thu_W1[[#This Row],[Employee Name]],'Base Schedules'!$A$243:$AW$281,47,FALSE)),"")</f>
        <v/>
      </c>
      <c r="AW15" s="184" t="str">
        <f>IFERROR(IF(VLOOKUP(Thu_W1[[#This Row],[Employee Name]],'Base Schedules'!$A$243:$AW$281,48,FALSE)="","",VLOOKUP(Thu_W1[[#This Row],[Employee Name]],'Base Schedules'!$A$243:$AW$281,48,FALSE)),"")</f>
        <v/>
      </c>
      <c r="AX15" s="184" t="str">
        <f>IFERROR(IF(VLOOKUP(Thu_W1[[#This Row],[Employee Name]],'Base Schedules'!$A$243:$AW$281,49,FALSE)="","",VLOOKUP(Thu_W1[[#This Row],[Employee Name]],'Base Schedules'!$A$243:$AW$281,49,FALSE)),"")</f>
        <v/>
      </c>
      <c r="AY15" s="164" t="str">
        <f t="shared" si="2"/>
        <v>Breen, Mark</v>
      </c>
    </row>
    <row r="16" spans="1:51" s="44" customFormat="1" ht="12" x14ac:dyDescent="0.2">
      <c r="A16" s="39" t="str">
        <f>IF(B16="","",INDEX(TeamList[],MATCH($B16,TeamList[[Employee Name]:[Employee Name]],0),MATCH("Manager",TeamList[#Headers],0)))</f>
        <v>Olson, Katherine</v>
      </c>
      <c r="B16" s="201" t="s">
        <v>19</v>
      </c>
      <c r="C16" s="257" t="str">
        <f>_xlfn.IFNA(VLOOKUP(Thu_W1[[#This Row],[Employee Name]],'Base Schedules'!A:B,2,FALSE),"")</f>
        <v>Lead</v>
      </c>
      <c r="D16" s="274">
        <f>_xlfn.IFNA(VLOOKUP(Thu_W1[[#This Row],[Employee Name]],'Base Schedules'!A:C,3,FALSE),"")</f>
        <v>600</v>
      </c>
      <c r="E16" s="274">
        <f>_xlfn.IFNA(VLOOKUP(Thu_W1[[#This Row],[Employee Name]],'Base Schedules'!A:D,4,FALSE),"")</f>
        <v>1430</v>
      </c>
      <c r="F16" s="142">
        <f>IF(Thu_W1[[#This Row],[Employee Name]]="","",IF(Thu_W1[[#This Row],[Dept]]="Supervisor",COUNTIFS($J16:$AX16,"*HL*",$J16:$AX16,"&lt;&gt;"&amp;"pHL"),COUNTIFS($J16:$AX16,"*HL*",$J16:$AX16,"&lt;&gt;"&amp;"*pHL*",$J16:$AX16,"&lt;&gt;"&amp;"pB1 HL",$J16:$AX16,"&lt;&gt;"&amp;"pB2 HL")-SUM(COUNTIFS($J16:$AX16,"*HL B1*",$J16:$AX16,"&lt;&gt;"&amp;"pHL B1")*0.5,COUNTIFS($J16:$AX16,"*HL B2*",$J16:$AX16,"&lt;&gt;"&amp;"pHL B2")*0.5,COUNTIFS($J16:$AX16,"*B1 HL*",$J16:$AX16,"&lt;&gt;"&amp;"pB1 HL")*0.5,COUNTIFS($J16:$AX16,"*B2 HL*",$J16:$AX16,"&lt;&gt;"&amp;"pB2 HL")*0.5)))</f>
        <v>6</v>
      </c>
      <c r="G16" s="142">
        <f t="shared" si="0"/>
        <v>0</v>
      </c>
      <c r="H16" s="142">
        <f t="shared" si="1"/>
        <v>8</v>
      </c>
      <c r="I16" s="142">
        <f>IF(Thu_W1[[#This Row],[Employee Name]]="","",IF(Thu_W1[[#This Row],[Dept]]="Supervisor",SUM(COUNTIFS($J16:$AX16,"RTA*",$J16:$AX16,"&lt;&gt;"&amp;"pRTA"),COUNTIFS($J16:$AX16,"*CRTA*",$J16:$AX16,"&lt;&gt;"&amp;"pCRTA")),COUNTIFS($J16:$AX16,"*RNNR*",$J16:$AX16,"&lt;&gt;"&amp;"*pRNNR*",$J16:$AX16,"&lt;&gt;"&amp;"pB1 RNNR",$J16:$AX16,"&lt;&gt;"&amp;"pB2 RNNR")-SUM(COUNTIFS($J16:$AX16,"*RNNR B1*",$J16:$AX16,"&lt;&gt;"&amp;"pRNNR B1")*0.5,COUNTIFS($J16:$AX16,"*RNNR B2*",$J16:$AX16,"&lt;&gt;"&amp;"pRNNR B2")*0.5,COUNTIFS($J16:$AX16,"*B1 RNNR*",$J16:$AX16,"&lt;&gt;"&amp;"pB1 RNNR")*0.5,COUNTIFS($J16:$AX16,"*B2 RNNR*",$J16:$AX16,"&lt;&gt;"&amp;"pB2 RNNR")*0.5)))</f>
        <v>2</v>
      </c>
      <c r="J16" s="184" t="str">
        <f>IFERROR(IF(VLOOKUP(Thu_W1[[#This Row],[Employee Name]],'Base Schedules'!$A$243:$AW$281,9,FALSE)="","",VLOOKUP(Thu_W1[[#This Row],[Employee Name]],'Base Schedules'!$A$243:$AW$281,9,FALSE)),"")</f>
        <v/>
      </c>
      <c r="K16" s="184" t="str">
        <f>IFERROR(IF(VLOOKUP(Thu_W1[[#This Row],[Employee Name]],'Base Schedules'!$A$243:$AW$281,10,FALSE)="","",VLOOKUP(Thu_W1[[#This Row],[Employee Name]],'Base Schedules'!$A$243:$AW$281,10,FALSE)),"")</f>
        <v/>
      </c>
      <c r="L16" s="184" t="str">
        <f>IFERROR(IF(VLOOKUP(Thu_W1[[#This Row],[Employee Name]],'Base Schedules'!$A$243:$AW$281,11,FALSE)="","",VLOOKUP(Thu_W1[[#This Row],[Employee Name]],'Base Schedules'!$A$243:$AW$281,11,FALSE)),"")</f>
        <v>ADM</v>
      </c>
      <c r="M16" s="184" t="str">
        <f>IFERROR(IF(VLOOKUP(Thu_W1[[#This Row],[Employee Name]],'Base Schedules'!$A$243:$AW$281,12,FALSE)="","",VLOOKUP(Thu_W1[[#This Row],[Employee Name]],'Base Schedules'!$A$243:$AW$281,12,FALSE)),"")</f>
        <v>HL</v>
      </c>
      <c r="N16" s="184" t="str">
        <f>IFERROR(IF(VLOOKUP(Thu_W1[[#This Row],[Employee Name]],'Base Schedules'!$A$243:$AW$281,13,FALSE)="","",VLOOKUP(Thu_W1[[#This Row],[Employee Name]],'Base Schedules'!$A$243:$AW$281,13,FALSE)),"")</f>
        <v>HL</v>
      </c>
      <c r="O16" s="184" t="str">
        <f>IFERROR(IF(VLOOKUP(Thu_W1[[#This Row],[Employee Name]],'Base Schedules'!$A$243:$AW$281,14,FALSE)="","",VLOOKUP(Thu_W1[[#This Row],[Employee Name]],'Base Schedules'!$A$243:$AW$281,14,FALSE)),"")</f>
        <v>ADM</v>
      </c>
      <c r="P16" s="184" t="str">
        <f>IFERROR(IF(VLOOKUP(Thu_W1[[#This Row],[Employee Name]],'Base Schedules'!$A$243:$AW$281,15,FALSE)="","",VLOOKUP(Thu_W1[[#This Row],[Employee Name]],'Base Schedules'!$A$243:$AW$281,15,FALSE)),"")</f>
        <v>B1 ADM</v>
      </c>
      <c r="Q16" s="184" t="str">
        <f>IFERROR(IF(VLOOKUP(Thu_W1[[#This Row],[Employee Name]],'Base Schedules'!$A$243:$AW$281,16,FALSE)="","",VLOOKUP(Thu_W1[[#This Row],[Employee Name]],'Base Schedules'!$A$243:$AW$281,16,FALSE)),"")</f>
        <v>ADM</v>
      </c>
      <c r="R16" s="184" t="str">
        <f>IFERROR(IF(VLOOKUP(Thu_W1[[#This Row],[Employee Name]],'Base Schedules'!$A$243:$AW$281,17,FALSE)="","",VLOOKUP(Thu_W1[[#This Row],[Employee Name]],'Base Schedules'!$A$243:$AW$281,17,FALSE)),"")</f>
        <v>HL</v>
      </c>
      <c r="S16" s="184" t="str">
        <f>IFERROR(IF(VLOOKUP(Thu_W1[[#This Row],[Employee Name]],'Base Schedules'!$A$243:$AW$281,18,FALSE)="","",VLOOKUP(Thu_W1[[#This Row],[Employee Name]],'Base Schedules'!$A$243:$AW$281,18,FALSE)),"")</f>
        <v>HL</v>
      </c>
      <c r="T16" s="184" t="str">
        <f>IFERROR(IF(VLOOKUP(Thu_W1[[#This Row],[Employee Name]],'Base Schedules'!$A$243:$AW$281,19,FALSE)="","",VLOOKUP(Thu_W1[[#This Row],[Employee Name]],'Base Schedules'!$A$243:$AW$281,19,FALSE)),"")</f>
        <v>ADM</v>
      </c>
      <c r="U16" s="184" t="str">
        <f>IFERROR(IF(VLOOKUP(Thu_W1[[#This Row],[Employee Name]],'Base Schedules'!$A$243:$AW$281,20,FALSE)="","",VLOOKUP(Thu_W1[[#This Row],[Employee Name]],'Base Schedules'!$A$243:$AW$281,20,FALSE)),"")</f>
        <v>LUNCH</v>
      </c>
      <c r="V16" s="184" t="str">
        <f>IFERROR(IF(VLOOKUP(Thu_W1[[#This Row],[Employee Name]],'Base Schedules'!$A$243:$AW$281,21,FALSE)="","",VLOOKUP(Thu_W1[[#This Row],[Employee Name]],'Base Schedules'!$A$243:$AW$281,21,FALSE)),"")</f>
        <v>RNNR</v>
      </c>
      <c r="W16" s="184" t="str">
        <f>IFERROR(IF(VLOOKUP(Thu_W1[[#This Row],[Employee Name]],'Base Schedules'!$A$243:$AW$281,22,FALSE)="","",VLOOKUP(Thu_W1[[#This Row],[Employee Name]],'Base Schedules'!$A$243:$AW$281,22,FALSE)),"")</f>
        <v>RNNR</v>
      </c>
      <c r="X16" s="184" t="str">
        <f>IFERROR(IF(VLOOKUP(Thu_W1[[#This Row],[Employee Name]],'Base Schedules'!$A$243:$AW$281,23,FALSE)="","",VLOOKUP(Thu_W1[[#This Row],[Employee Name]],'Base Schedules'!$A$243:$AW$281,23,FALSE)),"")</f>
        <v>ADM</v>
      </c>
      <c r="Y16" s="184" t="str">
        <f>IFERROR(IF(VLOOKUP(Thu_W1[[#This Row],[Employee Name]],'Base Schedules'!$A$243:$AW$281,24,FALSE)="","",VLOOKUP(Thu_W1[[#This Row],[Employee Name]],'Base Schedules'!$A$243:$AW$281,24,FALSE)),"")</f>
        <v>ADM</v>
      </c>
      <c r="Z16" s="184" t="str">
        <f>IFERROR(IF(VLOOKUP(Thu_W1[[#This Row],[Employee Name]],'Base Schedules'!$A$243:$AW$281,25,FALSE)="","",VLOOKUP(Thu_W1[[#This Row],[Employee Name]],'Base Schedules'!$A$243:$AW$281,25,FALSE)),"")</f>
        <v>ADM B2</v>
      </c>
      <c r="AA16" s="184" t="str">
        <f>IFERROR(IF(VLOOKUP(Thu_W1[[#This Row],[Employee Name]],'Base Schedules'!$A$243:$AW$281,26,FALSE)="","",VLOOKUP(Thu_W1[[#This Row],[Employee Name]],'Base Schedules'!$A$243:$AW$281,26,FALSE)),"")</f>
        <v>HL</v>
      </c>
      <c r="AB16" s="184" t="str">
        <f>IFERROR(IF(VLOOKUP(Thu_W1[[#This Row],[Employee Name]],'Base Schedules'!$A$243:$AW$281,27,FALSE)="","",VLOOKUP(Thu_W1[[#This Row],[Employee Name]],'Base Schedules'!$A$243:$AW$281,27,FALSE)),"")</f>
        <v>HL</v>
      </c>
      <c r="AC16" s="184" t="str">
        <f>IFERROR(IF(VLOOKUP(Thu_W1[[#This Row],[Employee Name]],'Base Schedules'!$A$243:$AW$281,28,FALSE)="","",VLOOKUP(Thu_W1[[#This Row],[Employee Name]],'Base Schedules'!$A$243:$AW$281,28,FALSE)),"")</f>
        <v/>
      </c>
      <c r="AD16" s="184" t="str">
        <f>IFERROR(IF(VLOOKUP(Thu_W1[[#This Row],[Employee Name]],'Base Schedules'!$A$243:$AW$281,29,FALSE)="","",VLOOKUP(Thu_W1[[#This Row],[Employee Name]],'Base Schedules'!$A$243:$AW$281,29,FALSE)),"")</f>
        <v/>
      </c>
      <c r="AE16" s="184" t="str">
        <f>IFERROR(IF(VLOOKUP(Thu_W1[[#This Row],[Employee Name]],'Base Schedules'!$A$243:$AW$281,30,FALSE)="","",VLOOKUP(Thu_W1[[#This Row],[Employee Name]],'Base Schedules'!$A$243:$AW$281,30,FALSE)),"")</f>
        <v/>
      </c>
      <c r="AF16" s="184" t="str">
        <f>IFERROR(IF(VLOOKUP(Thu_W1[[#This Row],[Employee Name]],'Base Schedules'!$A$243:$AW$281,31,FALSE)="","",VLOOKUP(Thu_W1[[#This Row],[Employee Name]],'Base Schedules'!$A$243:$AW$281,31,FALSE)),"")</f>
        <v/>
      </c>
      <c r="AG16" s="184" t="str">
        <f>IFERROR(IF(VLOOKUP(Thu_W1[[#This Row],[Employee Name]],'Base Schedules'!$A$243:$AW$281,32,FALSE)="","",VLOOKUP(Thu_W1[[#This Row],[Employee Name]],'Base Schedules'!$A$243:$AW$281,32,FALSE)),"")</f>
        <v/>
      </c>
      <c r="AH16" s="184" t="str">
        <f>IFERROR(IF(VLOOKUP(Thu_W1[[#This Row],[Employee Name]],'Base Schedules'!$A$243:$AW$281,33,FALSE)="","",VLOOKUP(Thu_W1[[#This Row],[Employee Name]],'Base Schedules'!$A$243:$AW$281,33,FALSE)),"")</f>
        <v/>
      </c>
      <c r="AI16" s="184" t="str">
        <f>IFERROR(IF(VLOOKUP(Thu_W1[[#This Row],[Employee Name]],'Base Schedules'!$A$243:$AW$281,34,FALSE)="","",VLOOKUP(Thu_W1[[#This Row],[Employee Name]],'Base Schedules'!$A$243:$AW$281,34,FALSE)),"")</f>
        <v/>
      </c>
      <c r="AJ16" s="184" t="str">
        <f>IFERROR(IF(VLOOKUP(Thu_W1[[#This Row],[Employee Name]],'Base Schedules'!$A$243:$AW$281,35,FALSE)="","",VLOOKUP(Thu_W1[[#This Row],[Employee Name]],'Base Schedules'!$A$243:$AW$281,35,FALSE)),"")</f>
        <v/>
      </c>
      <c r="AK16" s="184" t="str">
        <f>IFERROR(IF(VLOOKUP(Thu_W1[[#This Row],[Employee Name]],'Base Schedules'!$A$243:$AW$281,36,FALSE)="","",VLOOKUP(Thu_W1[[#This Row],[Employee Name]],'Base Schedules'!$A$243:$AW$281,36,FALSE)),"")</f>
        <v/>
      </c>
      <c r="AL16" s="184" t="str">
        <f>IFERROR(IF(VLOOKUP(Thu_W1[[#This Row],[Employee Name]],'Base Schedules'!$A$243:$AW$281,37,FALSE)="","",VLOOKUP(Thu_W1[[#This Row],[Employee Name]],'Base Schedules'!$A$243:$AW$281,37,FALSE)),"")</f>
        <v/>
      </c>
      <c r="AM16" s="184" t="str">
        <f>IFERROR(IF(VLOOKUP(Thu_W1[[#This Row],[Employee Name]],'Base Schedules'!$A$243:$AW$281,38,FALSE)="","",VLOOKUP(Thu_W1[[#This Row],[Employee Name]],'Base Schedules'!$A$243:$AW$281,38,FALSE)),"")</f>
        <v/>
      </c>
      <c r="AN16" s="184" t="str">
        <f>IFERROR(IF(VLOOKUP(Thu_W1[[#This Row],[Employee Name]],'Base Schedules'!$A$243:$AW$281,39,FALSE)="","",VLOOKUP(Thu_W1[[#This Row],[Employee Name]],'Base Schedules'!$A$243:$AW$281,39,FALSE)),"")</f>
        <v/>
      </c>
      <c r="AO16" s="184" t="str">
        <f>IFERROR(IF(VLOOKUP(Thu_W1[[#This Row],[Employee Name]],'Base Schedules'!$A$243:$AW$281,40,FALSE)="","",VLOOKUP(Thu_W1[[#This Row],[Employee Name]],'Base Schedules'!$A$243:$AW$281,40,FALSE)),"")</f>
        <v/>
      </c>
      <c r="AP16" s="184" t="str">
        <f>IFERROR(IF(VLOOKUP(Thu_W1[[#This Row],[Employee Name]],'Base Schedules'!$A$243:$AW$281,41,FALSE)="","",VLOOKUP(Thu_W1[[#This Row],[Employee Name]],'Base Schedules'!$A$243:$AW$281,41,FALSE)),"")</f>
        <v/>
      </c>
      <c r="AQ16" s="184" t="str">
        <f>IFERROR(IF(VLOOKUP(Thu_W1[[#This Row],[Employee Name]],'Base Schedules'!$A$243:$AW$281,42,FALSE)="","",VLOOKUP(Thu_W1[[#This Row],[Employee Name]],'Base Schedules'!$A$243:$AW$281,42,FALSE)),"")</f>
        <v/>
      </c>
      <c r="AR16" s="184" t="str">
        <f>IFERROR(IF(VLOOKUP(Thu_W1[[#This Row],[Employee Name]],'Base Schedules'!$A$243:$AW$281,43,FALSE)="","",VLOOKUP(Thu_W1[[#This Row],[Employee Name]],'Base Schedules'!$A$243:$AW$281,43,FALSE)),"")</f>
        <v/>
      </c>
      <c r="AS16" s="184" t="str">
        <f>IFERROR(IF(VLOOKUP(Thu_W1[[#This Row],[Employee Name]],'Base Schedules'!$A$243:$AW$281,44,FALSE)="","",VLOOKUP(Thu_W1[[#This Row],[Employee Name]],'Base Schedules'!$A$243:$AW$281,44,FALSE)),"")</f>
        <v/>
      </c>
      <c r="AT16" s="184" t="str">
        <f>IFERROR(IF(VLOOKUP(Thu_W1[[#This Row],[Employee Name]],'Base Schedules'!$A$243:$AW$281,45,FALSE)="","",VLOOKUP(Thu_W1[[#This Row],[Employee Name]],'Base Schedules'!$A$243:$AW$281,45,FALSE)),"")</f>
        <v/>
      </c>
      <c r="AU16" s="184" t="str">
        <f>IFERROR(IF(VLOOKUP(Thu_W1[[#This Row],[Employee Name]],'Base Schedules'!$A$243:$AW$281,46,FALSE)="","",VLOOKUP(Thu_W1[[#This Row],[Employee Name]],'Base Schedules'!$A$243:$AW$281,46,FALSE)),"")</f>
        <v/>
      </c>
      <c r="AV16" s="184" t="str">
        <f>IFERROR(IF(VLOOKUP(Thu_W1[[#This Row],[Employee Name]],'Base Schedules'!$A$243:$AW$281,47,FALSE)="","",VLOOKUP(Thu_W1[[#This Row],[Employee Name]],'Base Schedules'!$A$243:$AW$281,47,FALSE)),"")</f>
        <v/>
      </c>
      <c r="AW16" s="184" t="str">
        <f>IFERROR(IF(VLOOKUP(Thu_W1[[#This Row],[Employee Name]],'Base Schedules'!$A$243:$AW$281,48,FALSE)="","",VLOOKUP(Thu_W1[[#This Row],[Employee Name]],'Base Schedules'!$A$243:$AW$281,48,FALSE)),"")</f>
        <v/>
      </c>
      <c r="AX16" s="184" t="str">
        <f>IFERROR(IF(VLOOKUP(Thu_W1[[#This Row],[Employee Name]],'Base Schedules'!$A$243:$AW$281,49,FALSE)="","",VLOOKUP(Thu_W1[[#This Row],[Employee Name]],'Base Schedules'!$A$243:$AW$281,49,FALSE)),"")</f>
        <v/>
      </c>
      <c r="AY16" s="164" t="str">
        <f t="shared" si="2"/>
        <v>Albert, Christina</v>
      </c>
    </row>
    <row r="17" spans="1:51" s="44" customFormat="1" ht="12" x14ac:dyDescent="0.2">
      <c r="A17" s="39" t="str">
        <f>IF(B17="","",INDEX(TeamList[],MATCH($B17,TeamList[[Employee Name]:[Employee Name]],0),MATCH("Manager",TeamList[#Headers],0)))</f>
        <v>Paulson, Matthew</v>
      </c>
      <c r="B17" s="201" t="s">
        <v>20</v>
      </c>
      <c r="C17" s="257" t="str">
        <f>_xlfn.IFNA(VLOOKUP(Thu_W1[[#This Row],[Employee Name]],'Base Schedules'!A:B,2,FALSE),"")</f>
        <v>Supervisor</v>
      </c>
      <c r="D17" s="274">
        <f>_xlfn.IFNA(VLOOKUP(Thu_W1[[#This Row],[Employee Name]],'Base Schedules'!A:C,3,FALSE),"")</f>
        <v>600</v>
      </c>
      <c r="E17" s="274">
        <f>_xlfn.IFNA(VLOOKUP(Thu_W1[[#This Row],[Employee Name]],'Base Schedules'!A:D,4,FALSE),"")</f>
        <v>1500</v>
      </c>
      <c r="F17" s="142">
        <f>IF(Thu_W1[[#This Row],[Employee Name]]="","",IF(Thu_W1[[#This Row],[Dept]]="Supervisor",COUNTIFS($J17:$AX17,"*HL*",$J17:$AX17,"&lt;&gt;"&amp;"pHL"),COUNTIFS($J17:$AX17,"*HL*",$J17:$AX17,"&lt;&gt;"&amp;"*pHL*",$J17:$AX17,"&lt;&gt;"&amp;"pB1 HL",$J17:$AX17,"&lt;&gt;"&amp;"pB2 HL")-SUM(COUNTIFS($J17:$AX17,"*HL B1*",$J17:$AX17,"&lt;&gt;"&amp;"pHL B1")*0.5,COUNTIFS($J17:$AX17,"*HL B2*",$J17:$AX17,"&lt;&gt;"&amp;"pHL B2")*0.5,COUNTIFS($J17:$AX17,"*B1 HL*",$J17:$AX17,"&lt;&gt;"&amp;"pB1 HL")*0.5,COUNTIFS($J17:$AX17,"*B2 HL*",$J17:$AX17,"&lt;&gt;"&amp;"pB2 HL")*0.5)))</f>
        <v>0</v>
      </c>
      <c r="G17" s="142">
        <f t="shared" si="0"/>
        <v>4</v>
      </c>
      <c r="H17" s="142">
        <f t="shared" si="1"/>
        <v>0</v>
      </c>
      <c r="I17" s="142">
        <f>IF(Thu_W1[[#This Row],[Employee Name]]="","",IF(Thu_W1[[#This Row],[Dept]]="Supervisor",SUM(COUNTIFS($J17:$AX17,"RTA*",$J17:$AX17,"&lt;&gt;"&amp;"pRTA"),COUNTIFS($J17:$AX17,"*CRTA*",$J17:$AX17,"&lt;&gt;"&amp;"pCRTA")),COUNTIFS($J17:$AX17,"*RNNR*",$J17:$AX17,"&lt;&gt;"&amp;"*pRNNR*",$J17:$AX17,"&lt;&gt;"&amp;"pB1 RNNR",$J17:$AX17,"&lt;&gt;"&amp;"pB2 RNNR")-SUM(COUNTIFS($J17:$AX17,"*RNNR B1*",$J17:$AX17,"&lt;&gt;"&amp;"pRNNR B1")*0.5,COUNTIFS($J17:$AX17,"*RNNR B2*",$J17:$AX17,"&lt;&gt;"&amp;"pRNNR B2")*0.5,COUNTIFS($J17:$AX17,"*B1 RNNR*",$J17:$AX17,"&lt;&gt;"&amp;"pB1 RNNR")*0.5,COUNTIFS($J17:$AX17,"*B2 RNNR*",$J17:$AX17,"&lt;&gt;"&amp;"pB2 RNNR")*0.5)))</f>
        <v>0</v>
      </c>
      <c r="J17" s="184" t="str">
        <f>IFERROR(IF(VLOOKUP(Thu_W1[[#This Row],[Employee Name]],'Base Schedules'!$A$243:$AW$281,9,FALSE)="","",VLOOKUP(Thu_W1[[#This Row],[Employee Name]],'Base Schedules'!$A$243:$AW$281,9,FALSE)),"")</f>
        <v/>
      </c>
      <c r="K17" s="184" t="str">
        <f>IFERROR(IF(VLOOKUP(Thu_W1[[#This Row],[Employee Name]],'Base Schedules'!$A$243:$AW$281,10,FALSE)="","",VLOOKUP(Thu_W1[[#This Row],[Employee Name]],'Base Schedules'!$A$243:$AW$281,10,FALSE)),"")</f>
        <v/>
      </c>
      <c r="L17" s="184" t="str">
        <f>IFERROR(IF(VLOOKUP(Thu_W1[[#This Row],[Employee Name]],'Base Schedules'!$A$243:$AW$281,11,FALSE)="","",VLOOKUP(Thu_W1[[#This Row],[Employee Name]],'Base Schedules'!$A$243:$AW$281,11,FALSE)),"")</f>
        <v>-</v>
      </c>
      <c r="M17" s="184" t="str">
        <f>IFERROR(IF(VLOOKUP(Thu_W1[[#This Row],[Employee Name]],'Base Schedules'!$A$243:$AW$281,12,FALSE)="","",VLOOKUP(Thu_W1[[#This Row],[Employee Name]],'Base Schedules'!$A$243:$AW$281,12,FALSE)),"")</f>
        <v>-</v>
      </c>
      <c r="N17" s="184" t="str">
        <f>IFERROR(IF(VLOOKUP(Thu_W1[[#This Row],[Employee Name]],'Base Schedules'!$A$243:$AW$281,13,FALSE)="","",VLOOKUP(Thu_W1[[#This Row],[Employee Name]],'Base Schedules'!$A$243:$AW$281,13,FALSE)),"")</f>
        <v>-</v>
      </c>
      <c r="O17" s="184" t="str">
        <f>IFERROR(IF(VLOOKUP(Thu_W1[[#This Row],[Employee Name]],'Base Schedules'!$A$243:$AW$281,14,FALSE)="","",VLOOKUP(Thu_W1[[#This Row],[Employee Name]],'Base Schedules'!$A$243:$AW$281,14,FALSE)),"")</f>
        <v>-</v>
      </c>
      <c r="P17" s="184" t="str">
        <f>IFERROR(IF(VLOOKUP(Thu_W1[[#This Row],[Employee Name]],'Base Schedules'!$A$243:$AW$281,15,FALSE)="","",VLOOKUP(Thu_W1[[#This Row],[Employee Name]],'Base Schedules'!$A$243:$AW$281,15,FALSE)),"")</f>
        <v>-</v>
      </c>
      <c r="Q17" s="184" t="str">
        <f>IFERROR(IF(VLOOKUP(Thu_W1[[#This Row],[Employee Name]],'Base Schedules'!$A$243:$AW$281,16,FALSE)="","",VLOOKUP(Thu_W1[[#This Row],[Employee Name]],'Base Schedules'!$A$243:$AW$281,16,FALSE)),"")</f>
        <v>-</v>
      </c>
      <c r="R17" s="184" t="str">
        <f>IFERROR(IF(VLOOKUP(Thu_W1[[#This Row],[Employee Name]],'Base Schedules'!$A$243:$AW$281,17,FALSE)="","",VLOOKUP(Thu_W1[[#This Row],[Employee Name]],'Base Schedules'!$A$243:$AW$281,17,FALSE)),"")</f>
        <v>-</v>
      </c>
      <c r="S17" s="184" t="str">
        <f>IFERROR(IF(VLOOKUP(Thu_W1[[#This Row],[Employee Name]],'Base Schedules'!$A$243:$AW$281,18,FALSE)="","",VLOOKUP(Thu_W1[[#This Row],[Employee Name]],'Base Schedules'!$A$243:$AW$281,18,FALSE)),"")</f>
        <v>-</v>
      </c>
      <c r="T17" s="184" t="str">
        <f>IFERROR(IF(VLOOKUP(Thu_W1[[#This Row],[Employee Name]],'Base Schedules'!$A$243:$AW$281,19,FALSE)="","",VLOOKUP(Thu_W1[[#This Row],[Employee Name]],'Base Schedules'!$A$243:$AW$281,19,FALSE)),"")</f>
        <v>-</v>
      </c>
      <c r="U17" s="184" t="str">
        <f>IFERROR(IF(VLOOKUP(Thu_W1[[#This Row],[Employee Name]],'Base Schedules'!$A$243:$AW$281,20,FALSE)="","",VLOOKUP(Thu_W1[[#This Row],[Employee Name]],'Base Schedules'!$A$243:$AW$281,20,FALSE)),"")</f>
        <v>Coaching</v>
      </c>
      <c r="V17" s="184" t="str">
        <f>IFERROR(IF(VLOOKUP(Thu_W1[[#This Row],[Employee Name]],'Base Schedules'!$A$243:$AW$281,21,FALSE)="","",VLOOKUP(Thu_W1[[#This Row],[Employee Name]],'Base Schedules'!$A$243:$AW$281,21,FALSE)),"")</f>
        <v>Coaching</v>
      </c>
      <c r="W17" s="184" t="str">
        <f>IFERROR(IF(VLOOKUP(Thu_W1[[#This Row],[Employee Name]],'Base Schedules'!$A$243:$AW$281,22,FALSE)="","",VLOOKUP(Thu_W1[[#This Row],[Employee Name]],'Base Schedules'!$A$243:$AW$281,22,FALSE)),"")</f>
        <v>Coaching</v>
      </c>
      <c r="X17" s="184" t="str">
        <f>IFERROR(IF(VLOOKUP(Thu_W1[[#This Row],[Employee Name]],'Base Schedules'!$A$243:$AW$281,23,FALSE)="","",VLOOKUP(Thu_W1[[#This Row],[Employee Name]],'Base Schedules'!$A$243:$AW$281,23,FALSE)),"")</f>
        <v>Coaching</v>
      </c>
      <c r="Y17" s="184" t="str">
        <f>IFERROR(IF(VLOOKUP(Thu_W1[[#This Row],[Employee Name]],'Base Schedules'!$A$243:$AW$281,24,FALSE)="","",VLOOKUP(Thu_W1[[#This Row],[Employee Name]],'Base Schedules'!$A$243:$AW$281,24,FALSE)),"")</f>
        <v>-</v>
      </c>
      <c r="Z17" s="184" t="str">
        <f>IFERROR(IF(VLOOKUP(Thu_W1[[#This Row],[Employee Name]],'Base Schedules'!$A$243:$AW$281,25,FALSE)="","",VLOOKUP(Thu_W1[[#This Row],[Employee Name]],'Base Schedules'!$A$243:$AW$281,25,FALSE)),"")</f>
        <v>-</v>
      </c>
      <c r="AA17" s="184" t="str">
        <f>IFERROR(IF(VLOOKUP(Thu_W1[[#This Row],[Employee Name]],'Base Schedules'!$A$243:$AW$281,26,FALSE)="","",VLOOKUP(Thu_W1[[#This Row],[Employee Name]],'Base Schedules'!$A$243:$AW$281,26,FALSE)),"")</f>
        <v>-</v>
      </c>
      <c r="AB17" s="184" t="str">
        <f>IFERROR(IF(VLOOKUP(Thu_W1[[#This Row],[Employee Name]],'Base Schedules'!$A$243:$AW$281,27,FALSE)="","",VLOOKUP(Thu_W1[[#This Row],[Employee Name]],'Base Schedules'!$A$243:$AW$281,27,FALSE)),"")</f>
        <v>-</v>
      </c>
      <c r="AC17" s="184" t="str">
        <f>IFERROR(IF(VLOOKUP(Thu_W1[[#This Row],[Employee Name]],'Base Schedules'!$A$243:$AW$281,28,FALSE)="","",VLOOKUP(Thu_W1[[#This Row],[Employee Name]],'Base Schedules'!$A$243:$AW$281,28,FALSE)),"")</f>
        <v>-</v>
      </c>
      <c r="AD17" s="184" t="str">
        <f>IFERROR(IF(VLOOKUP(Thu_W1[[#This Row],[Employee Name]],'Base Schedules'!$A$243:$AW$281,29,FALSE)="","",VLOOKUP(Thu_W1[[#This Row],[Employee Name]],'Base Schedules'!$A$243:$AW$281,29,FALSE)),"")</f>
        <v/>
      </c>
      <c r="AE17" s="184" t="str">
        <f>IFERROR(IF(VLOOKUP(Thu_W1[[#This Row],[Employee Name]],'Base Schedules'!$A$243:$AW$281,30,FALSE)="","",VLOOKUP(Thu_W1[[#This Row],[Employee Name]],'Base Schedules'!$A$243:$AW$281,30,FALSE)),"")</f>
        <v/>
      </c>
      <c r="AF17" s="184" t="str">
        <f>IFERROR(IF(VLOOKUP(Thu_W1[[#This Row],[Employee Name]],'Base Schedules'!$A$243:$AW$281,31,FALSE)="","",VLOOKUP(Thu_W1[[#This Row],[Employee Name]],'Base Schedules'!$A$243:$AW$281,31,FALSE)),"")</f>
        <v/>
      </c>
      <c r="AG17" s="184" t="str">
        <f>IFERROR(IF(VLOOKUP(Thu_W1[[#This Row],[Employee Name]],'Base Schedules'!$A$243:$AW$281,32,FALSE)="","",VLOOKUP(Thu_W1[[#This Row],[Employee Name]],'Base Schedules'!$A$243:$AW$281,32,FALSE)),"")</f>
        <v/>
      </c>
      <c r="AH17" s="184" t="str">
        <f>IFERROR(IF(VLOOKUP(Thu_W1[[#This Row],[Employee Name]],'Base Schedules'!$A$243:$AW$281,33,FALSE)="","",VLOOKUP(Thu_W1[[#This Row],[Employee Name]],'Base Schedules'!$A$243:$AW$281,33,FALSE)),"")</f>
        <v/>
      </c>
      <c r="AI17" s="184" t="str">
        <f>IFERROR(IF(VLOOKUP(Thu_W1[[#This Row],[Employee Name]],'Base Schedules'!$A$243:$AW$281,34,FALSE)="","",VLOOKUP(Thu_W1[[#This Row],[Employee Name]],'Base Schedules'!$A$243:$AW$281,34,FALSE)),"")</f>
        <v/>
      </c>
      <c r="AJ17" s="184" t="str">
        <f>IFERROR(IF(VLOOKUP(Thu_W1[[#This Row],[Employee Name]],'Base Schedules'!$A$243:$AW$281,35,FALSE)="","",VLOOKUP(Thu_W1[[#This Row],[Employee Name]],'Base Schedules'!$A$243:$AW$281,35,FALSE)),"")</f>
        <v/>
      </c>
      <c r="AK17" s="184" t="str">
        <f>IFERROR(IF(VLOOKUP(Thu_W1[[#This Row],[Employee Name]],'Base Schedules'!$A$243:$AW$281,36,FALSE)="","",VLOOKUP(Thu_W1[[#This Row],[Employee Name]],'Base Schedules'!$A$243:$AW$281,36,FALSE)),"")</f>
        <v/>
      </c>
      <c r="AL17" s="184" t="str">
        <f>IFERROR(IF(VLOOKUP(Thu_W1[[#This Row],[Employee Name]],'Base Schedules'!$A$243:$AW$281,37,FALSE)="","",VLOOKUP(Thu_W1[[#This Row],[Employee Name]],'Base Schedules'!$A$243:$AW$281,37,FALSE)),"")</f>
        <v/>
      </c>
      <c r="AM17" s="184" t="str">
        <f>IFERROR(IF(VLOOKUP(Thu_W1[[#This Row],[Employee Name]],'Base Schedules'!$A$243:$AW$281,38,FALSE)="","",VLOOKUP(Thu_W1[[#This Row],[Employee Name]],'Base Schedules'!$A$243:$AW$281,38,FALSE)),"")</f>
        <v/>
      </c>
      <c r="AN17" s="184" t="str">
        <f>IFERROR(IF(VLOOKUP(Thu_W1[[#This Row],[Employee Name]],'Base Schedules'!$A$243:$AW$281,39,FALSE)="","",VLOOKUP(Thu_W1[[#This Row],[Employee Name]],'Base Schedules'!$A$243:$AW$281,39,FALSE)),"")</f>
        <v/>
      </c>
      <c r="AO17" s="184" t="str">
        <f>IFERROR(IF(VLOOKUP(Thu_W1[[#This Row],[Employee Name]],'Base Schedules'!$A$243:$AW$281,40,FALSE)="","",VLOOKUP(Thu_W1[[#This Row],[Employee Name]],'Base Schedules'!$A$243:$AW$281,40,FALSE)),"")</f>
        <v/>
      </c>
      <c r="AP17" s="184" t="str">
        <f>IFERROR(IF(VLOOKUP(Thu_W1[[#This Row],[Employee Name]],'Base Schedules'!$A$243:$AW$281,41,FALSE)="","",VLOOKUP(Thu_W1[[#This Row],[Employee Name]],'Base Schedules'!$A$243:$AW$281,41,FALSE)),"")</f>
        <v/>
      </c>
      <c r="AQ17" s="184" t="str">
        <f>IFERROR(IF(VLOOKUP(Thu_W1[[#This Row],[Employee Name]],'Base Schedules'!$A$243:$AW$281,42,FALSE)="","",VLOOKUP(Thu_W1[[#This Row],[Employee Name]],'Base Schedules'!$A$243:$AW$281,42,FALSE)),"")</f>
        <v/>
      </c>
      <c r="AR17" s="184" t="str">
        <f>IFERROR(IF(VLOOKUP(Thu_W1[[#This Row],[Employee Name]],'Base Schedules'!$A$243:$AW$281,43,FALSE)="","",VLOOKUP(Thu_W1[[#This Row],[Employee Name]],'Base Schedules'!$A$243:$AW$281,43,FALSE)),"")</f>
        <v/>
      </c>
      <c r="AS17" s="184" t="str">
        <f>IFERROR(IF(VLOOKUP(Thu_W1[[#This Row],[Employee Name]],'Base Schedules'!$A$243:$AW$281,44,FALSE)="","",VLOOKUP(Thu_W1[[#This Row],[Employee Name]],'Base Schedules'!$A$243:$AW$281,44,FALSE)),"")</f>
        <v/>
      </c>
      <c r="AT17" s="184" t="str">
        <f>IFERROR(IF(VLOOKUP(Thu_W1[[#This Row],[Employee Name]],'Base Schedules'!$A$243:$AW$281,45,FALSE)="","",VLOOKUP(Thu_W1[[#This Row],[Employee Name]],'Base Schedules'!$A$243:$AW$281,45,FALSE)),"")</f>
        <v/>
      </c>
      <c r="AU17" s="184" t="str">
        <f>IFERROR(IF(VLOOKUP(Thu_W1[[#This Row],[Employee Name]],'Base Schedules'!$A$243:$AW$281,46,FALSE)="","",VLOOKUP(Thu_W1[[#This Row],[Employee Name]],'Base Schedules'!$A$243:$AW$281,46,FALSE)),"")</f>
        <v/>
      </c>
      <c r="AV17" s="184" t="str">
        <f>IFERROR(IF(VLOOKUP(Thu_W1[[#This Row],[Employee Name]],'Base Schedules'!$A$243:$AW$281,47,FALSE)="","",VLOOKUP(Thu_W1[[#This Row],[Employee Name]],'Base Schedules'!$A$243:$AW$281,47,FALSE)),"")</f>
        <v/>
      </c>
      <c r="AW17" s="184" t="str">
        <f>IFERROR(IF(VLOOKUP(Thu_W1[[#This Row],[Employee Name]],'Base Schedules'!$A$243:$AW$281,48,FALSE)="","",VLOOKUP(Thu_W1[[#This Row],[Employee Name]],'Base Schedules'!$A$243:$AW$281,48,FALSE)),"")</f>
        <v/>
      </c>
      <c r="AX17" s="184" t="str">
        <f>IFERROR(IF(VLOOKUP(Thu_W1[[#This Row],[Employee Name]],'Base Schedules'!$A$243:$AW$281,49,FALSE)="","",VLOOKUP(Thu_W1[[#This Row],[Employee Name]],'Base Schedules'!$A$243:$AW$281,49,FALSE)),"")</f>
        <v/>
      </c>
      <c r="AY17" s="164" t="str">
        <f t="shared" si="2"/>
        <v>Germony, June</v>
      </c>
    </row>
    <row r="18" spans="1:51" s="44" customFormat="1" ht="12" x14ac:dyDescent="0.2">
      <c r="A18" s="39" t="e">
        <f>IF(B18="","",INDEX(TeamList[],MATCH($B18,TeamList[[Employee Name]:[Employee Name]],0),MATCH("Manager",TeamList[#Headers],0)))</f>
        <v>#N/A</v>
      </c>
      <c r="B18" s="201" t="s">
        <v>369</v>
      </c>
      <c r="C18" s="257" t="str">
        <f>_xlfn.IFNA(VLOOKUP(Thu_W1[[#This Row],[Employee Name]],'Base Schedules'!A:B,2,FALSE),"")</f>
        <v>Supervisor</v>
      </c>
      <c r="D18" s="274">
        <f>_xlfn.IFNA(VLOOKUP(Thu_W1[[#This Row],[Employee Name]],'Base Schedules'!A:C,3,FALSE),"")</f>
        <v>600</v>
      </c>
      <c r="E18" s="274">
        <f>_xlfn.IFNA(VLOOKUP(Thu_W1[[#This Row],[Employee Name]],'Base Schedules'!A:D,4,FALSE),"")</f>
        <v>1500</v>
      </c>
      <c r="F18" s="142">
        <f>IF(Thu_W1[[#This Row],[Employee Name]]="","",IF(Thu_W1[[#This Row],[Dept]]="Supervisor",COUNTIFS($J18:$AX18,"*HL*",$J18:$AX18,"&lt;&gt;"&amp;"pHL"),COUNTIFS($J18:$AX18,"*HL*",$J18:$AX18,"&lt;&gt;"&amp;"*pHL*",$J18:$AX18,"&lt;&gt;"&amp;"pB1 HL",$J18:$AX18,"&lt;&gt;"&amp;"pB2 HL")-SUM(COUNTIFS($J18:$AX18,"*HL B1*",$J18:$AX18,"&lt;&gt;"&amp;"pHL B1")*0.5,COUNTIFS($J18:$AX18,"*HL B2*",$J18:$AX18,"&lt;&gt;"&amp;"pHL B2")*0.5,COUNTIFS($J18:$AX18,"*B1 HL*",$J18:$AX18,"&lt;&gt;"&amp;"pB1 HL")*0.5,COUNTIFS($J18:$AX18,"*B2 HL*",$J18:$AX18,"&lt;&gt;"&amp;"pB2 HL")*0.5)))</f>
        <v>0</v>
      </c>
      <c r="G18" s="142">
        <f t="shared" si="0"/>
        <v>4</v>
      </c>
      <c r="H18" s="142">
        <f t="shared" si="1"/>
        <v>0</v>
      </c>
      <c r="I18" s="142">
        <f>IF(Thu_W1[[#This Row],[Employee Name]]="","",IF(Thu_W1[[#This Row],[Dept]]="Supervisor",SUM(COUNTIFS($J18:$AX18,"RTA*",$J18:$AX18,"&lt;&gt;"&amp;"pRTA"),COUNTIFS($J18:$AX18,"*CRTA*",$J18:$AX18,"&lt;&gt;"&amp;"pCRTA")),COUNTIFS($J18:$AX18,"*RNNR*",$J18:$AX18,"&lt;&gt;"&amp;"*pRNNR*",$J18:$AX18,"&lt;&gt;"&amp;"pB1 RNNR",$J18:$AX18,"&lt;&gt;"&amp;"pB2 RNNR")-SUM(COUNTIFS($J18:$AX18,"*RNNR B1*",$J18:$AX18,"&lt;&gt;"&amp;"pRNNR B1")*0.5,COUNTIFS($J18:$AX18,"*RNNR B2*",$J18:$AX18,"&lt;&gt;"&amp;"pRNNR B2")*0.5,COUNTIFS($J18:$AX18,"*B1 RNNR*",$J18:$AX18,"&lt;&gt;"&amp;"pB1 RNNR")*0.5,COUNTIFS($J18:$AX18,"*B2 RNNR*",$J18:$AX18,"&lt;&gt;"&amp;"pB2 RNNR")*0.5)))</f>
        <v>0</v>
      </c>
      <c r="J18" s="184" t="str">
        <f>IFERROR(IF(VLOOKUP(Thu_W1[[#This Row],[Employee Name]],'Base Schedules'!$A$243:$AW$281,9,FALSE)="","",VLOOKUP(Thu_W1[[#This Row],[Employee Name]],'Base Schedules'!$A$243:$AW$281,9,FALSE)),"")</f>
        <v/>
      </c>
      <c r="K18" s="184" t="str">
        <f>IFERROR(IF(VLOOKUP(Thu_W1[[#This Row],[Employee Name]],'Base Schedules'!$A$243:$AW$281,10,FALSE)="","",VLOOKUP(Thu_W1[[#This Row],[Employee Name]],'Base Schedules'!$A$243:$AW$281,10,FALSE)),"")</f>
        <v/>
      </c>
      <c r="L18" s="184" t="str">
        <f>IFERROR(IF(VLOOKUP(Thu_W1[[#This Row],[Employee Name]],'Base Schedules'!$A$243:$AW$281,11,FALSE)="","",VLOOKUP(Thu_W1[[#This Row],[Employee Name]],'Base Schedules'!$A$243:$AW$281,11,FALSE)),"")</f>
        <v>-</v>
      </c>
      <c r="M18" s="184" t="str">
        <f>IFERROR(IF(VLOOKUP(Thu_W1[[#This Row],[Employee Name]],'Base Schedules'!$A$243:$AW$281,12,FALSE)="","",VLOOKUP(Thu_W1[[#This Row],[Employee Name]],'Base Schedules'!$A$243:$AW$281,12,FALSE)),"")</f>
        <v>-</v>
      </c>
      <c r="N18" s="184" t="str">
        <f>IFERROR(IF(VLOOKUP(Thu_W1[[#This Row],[Employee Name]],'Base Schedules'!$A$243:$AW$281,13,FALSE)="","",VLOOKUP(Thu_W1[[#This Row],[Employee Name]],'Base Schedules'!$A$243:$AW$281,13,FALSE)),"")</f>
        <v>-</v>
      </c>
      <c r="O18" s="184" t="str">
        <f>IFERROR(IF(VLOOKUP(Thu_W1[[#This Row],[Employee Name]],'Base Schedules'!$A$243:$AW$281,14,FALSE)="","",VLOOKUP(Thu_W1[[#This Row],[Employee Name]],'Base Schedules'!$A$243:$AW$281,14,FALSE)),"")</f>
        <v>-</v>
      </c>
      <c r="P18" s="184" t="str">
        <f>IFERROR(IF(VLOOKUP(Thu_W1[[#This Row],[Employee Name]],'Base Schedules'!$A$243:$AW$281,15,FALSE)="","",VLOOKUP(Thu_W1[[#This Row],[Employee Name]],'Base Schedules'!$A$243:$AW$281,15,FALSE)),"")</f>
        <v>Coaching</v>
      </c>
      <c r="Q18" s="184" t="str">
        <f>IFERROR(IF(VLOOKUP(Thu_W1[[#This Row],[Employee Name]],'Base Schedules'!$A$243:$AW$281,16,FALSE)="","",VLOOKUP(Thu_W1[[#This Row],[Employee Name]],'Base Schedules'!$A$243:$AW$281,16,FALSE)),"")</f>
        <v>Coaching</v>
      </c>
      <c r="R18" s="184" t="str">
        <f>IFERROR(IF(VLOOKUP(Thu_W1[[#This Row],[Employee Name]],'Base Schedules'!$A$243:$AW$281,17,FALSE)="","",VLOOKUP(Thu_W1[[#This Row],[Employee Name]],'Base Schedules'!$A$243:$AW$281,17,FALSE)),"")</f>
        <v>Coaching</v>
      </c>
      <c r="S18" s="184" t="str">
        <f>IFERROR(IF(VLOOKUP(Thu_W1[[#This Row],[Employee Name]],'Base Schedules'!$A$243:$AW$281,18,FALSE)="","",VLOOKUP(Thu_W1[[#This Row],[Employee Name]],'Base Schedules'!$A$243:$AW$281,18,FALSE)),"")</f>
        <v>Coaching</v>
      </c>
      <c r="T18" s="184" t="str">
        <f>IFERROR(IF(VLOOKUP(Thu_W1[[#This Row],[Employee Name]],'Base Schedules'!$A$243:$AW$281,19,FALSE)="","",VLOOKUP(Thu_W1[[#This Row],[Employee Name]],'Base Schedules'!$A$243:$AW$281,19,FALSE)),"")</f>
        <v>Interview</v>
      </c>
      <c r="U18" s="184" t="str">
        <f>IFERROR(IF(VLOOKUP(Thu_W1[[#This Row],[Employee Name]],'Base Schedules'!$A$243:$AW$281,20,FALSE)="","",VLOOKUP(Thu_W1[[#This Row],[Employee Name]],'Base Schedules'!$A$243:$AW$281,20,FALSE)),"")</f>
        <v>Interview</v>
      </c>
      <c r="V18" s="184" t="str">
        <f>IFERROR(IF(VLOOKUP(Thu_W1[[#This Row],[Employee Name]],'Base Schedules'!$A$243:$AW$281,21,FALSE)="","",VLOOKUP(Thu_W1[[#This Row],[Employee Name]],'Base Schedules'!$A$243:$AW$281,21,FALSE)),"")</f>
        <v>-</v>
      </c>
      <c r="W18" s="184" t="str">
        <f>IFERROR(IF(VLOOKUP(Thu_W1[[#This Row],[Employee Name]],'Base Schedules'!$A$243:$AW$281,22,FALSE)="","",VLOOKUP(Thu_W1[[#This Row],[Employee Name]],'Base Schedules'!$A$243:$AW$281,22,FALSE)),"")</f>
        <v>-</v>
      </c>
      <c r="X18" s="184" t="str">
        <f>IFERROR(IF(VLOOKUP(Thu_W1[[#This Row],[Employee Name]],'Base Schedules'!$A$243:$AW$281,23,FALSE)="","",VLOOKUP(Thu_W1[[#This Row],[Employee Name]],'Base Schedules'!$A$243:$AW$281,23,FALSE)),"")</f>
        <v>-</v>
      </c>
      <c r="Y18" s="184" t="str">
        <f>IFERROR(IF(VLOOKUP(Thu_W1[[#This Row],[Employee Name]],'Base Schedules'!$A$243:$AW$281,24,FALSE)="","",VLOOKUP(Thu_W1[[#This Row],[Employee Name]],'Base Schedules'!$A$243:$AW$281,24,FALSE)),"")</f>
        <v>-</v>
      </c>
      <c r="Z18" s="184" t="str">
        <f>IFERROR(IF(VLOOKUP(Thu_W1[[#This Row],[Employee Name]],'Base Schedules'!$A$243:$AW$281,25,FALSE)="","",VLOOKUP(Thu_W1[[#This Row],[Employee Name]],'Base Schedules'!$A$243:$AW$281,25,FALSE)),"")</f>
        <v>-</v>
      </c>
      <c r="AA18" s="184" t="str">
        <f>IFERROR(IF(VLOOKUP(Thu_W1[[#This Row],[Employee Name]],'Base Schedules'!$A$243:$AW$281,26,FALSE)="","",VLOOKUP(Thu_W1[[#This Row],[Employee Name]],'Base Schedules'!$A$243:$AW$281,26,FALSE)),"")</f>
        <v>-</v>
      </c>
      <c r="AB18" s="184" t="str">
        <f>IFERROR(IF(VLOOKUP(Thu_W1[[#This Row],[Employee Name]],'Base Schedules'!$A$243:$AW$281,27,FALSE)="","",VLOOKUP(Thu_W1[[#This Row],[Employee Name]],'Base Schedules'!$A$243:$AW$281,27,FALSE)),"")</f>
        <v>-</v>
      </c>
      <c r="AC18" s="184" t="str">
        <f>IFERROR(IF(VLOOKUP(Thu_W1[[#This Row],[Employee Name]],'Base Schedules'!$A$243:$AW$281,28,FALSE)="","",VLOOKUP(Thu_W1[[#This Row],[Employee Name]],'Base Schedules'!$A$243:$AW$281,28,FALSE)),"")</f>
        <v>-</v>
      </c>
      <c r="AD18" s="184" t="str">
        <f>IFERROR(IF(VLOOKUP(Thu_W1[[#This Row],[Employee Name]],'Base Schedules'!$A$243:$AW$281,29,FALSE)="","",VLOOKUP(Thu_W1[[#This Row],[Employee Name]],'Base Schedules'!$A$243:$AW$281,29,FALSE)),"")</f>
        <v/>
      </c>
      <c r="AE18" s="184" t="str">
        <f>IFERROR(IF(VLOOKUP(Thu_W1[[#This Row],[Employee Name]],'Base Schedules'!$A$243:$AW$281,30,FALSE)="","",VLOOKUP(Thu_W1[[#This Row],[Employee Name]],'Base Schedules'!$A$243:$AW$281,30,FALSE)),"")</f>
        <v/>
      </c>
      <c r="AF18" s="184" t="str">
        <f>IFERROR(IF(VLOOKUP(Thu_W1[[#This Row],[Employee Name]],'Base Schedules'!$A$243:$AW$281,31,FALSE)="","",VLOOKUP(Thu_W1[[#This Row],[Employee Name]],'Base Schedules'!$A$243:$AW$281,31,FALSE)),"")</f>
        <v/>
      </c>
      <c r="AG18" s="184" t="str">
        <f>IFERROR(IF(VLOOKUP(Thu_W1[[#This Row],[Employee Name]],'Base Schedules'!$A$243:$AW$281,32,FALSE)="","",VLOOKUP(Thu_W1[[#This Row],[Employee Name]],'Base Schedules'!$A$243:$AW$281,32,FALSE)),"")</f>
        <v/>
      </c>
      <c r="AH18" s="184" t="str">
        <f>IFERROR(IF(VLOOKUP(Thu_W1[[#This Row],[Employee Name]],'Base Schedules'!$A$243:$AW$281,33,FALSE)="","",VLOOKUP(Thu_W1[[#This Row],[Employee Name]],'Base Schedules'!$A$243:$AW$281,33,FALSE)),"")</f>
        <v/>
      </c>
      <c r="AI18" s="184" t="str">
        <f>IFERROR(IF(VLOOKUP(Thu_W1[[#This Row],[Employee Name]],'Base Schedules'!$A$243:$AW$281,34,FALSE)="","",VLOOKUP(Thu_W1[[#This Row],[Employee Name]],'Base Schedules'!$A$243:$AW$281,34,FALSE)),"")</f>
        <v/>
      </c>
      <c r="AJ18" s="184" t="str">
        <f>IFERROR(IF(VLOOKUP(Thu_W1[[#This Row],[Employee Name]],'Base Schedules'!$A$243:$AW$281,35,FALSE)="","",VLOOKUP(Thu_W1[[#This Row],[Employee Name]],'Base Schedules'!$A$243:$AW$281,35,FALSE)),"")</f>
        <v/>
      </c>
      <c r="AK18" s="184" t="str">
        <f>IFERROR(IF(VLOOKUP(Thu_W1[[#This Row],[Employee Name]],'Base Schedules'!$A$243:$AW$281,36,FALSE)="","",VLOOKUP(Thu_W1[[#This Row],[Employee Name]],'Base Schedules'!$A$243:$AW$281,36,FALSE)),"")</f>
        <v/>
      </c>
      <c r="AL18" s="184" t="str">
        <f>IFERROR(IF(VLOOKUP(Thu_W1[[#This Row],[Employee Name]],'Base Schedules'!$A$243:$AW$281,37,FALSE)="","",VLOOKUP(Thu_W1[[#This Row],[Employee Name]],'Base Schedules'!$A$243:$AW$281,37,FALSE)),"")</f>
        <v/>
      </c>
      <c r="AM18" s="184" t="str">
        <f>IFERROR(IF(VLOOKUP(Thu_W1[[#This Row],[Employee Name]],'Base Schedules'!$A$243:$AW$281,38,FALSE)="","",VLOOKUP(Thu_W1[[#This Row],[Employee Name]],'Base Schedules'!$A$243:$AW$281,38,FALSE)),"")</f>
        <v/>
      </c>
      <c r="AN18" s="184" t="str">
        <f>IFERROR(IF(VLOOKUP(Thu_W1[[#This Row],[Employee Name]],'Base Schedules'!$A$243:$AW$281,39,FALSE)="","",VLOOKUP(Thu_W1[[#This Row],[Employee Name]],'Base Schedules'!$A$243:$AW$281,39,FALSE)),"")</f>
        <v/>
      </c>
      <c r="AO18" s="184" t="str">
        <f>IFERROR(IF(VLOOKUP(Thu_W1[[#This Row],[Employee Name]],'Base Schedules'!$A$243:$AW$281,40,FALSE)="","",VLOOKUP(Thu_W1[[#This Row],[Employee Name]],'Base Schedules'!$A$243:$AW$281,40,FALSE)),"")</f>
        <v/>
      </c>
      <c r="AP18" s="184" t="str">
        <f>IFERROR(IF(VLOOKUP(Thu_W1[[#This Row],[Employee Name]],'Base Schedules'!$A$243:$AW$281,41,FALSE)="","",VLOOKUP(Thu_W1[[#This Row],[Employee Name]],'Base Schedules'!$A$243:$AW$281,41,FALSE)),"")</f>
        <v/>
      </c>
      <c r="AQ18" s="184" t="str">
        <f>IFERROR(IF(VLOOKUP(Thu_W1[[#This Row],[Employee Name]],'Base Schedules'!$A$243:$AW$281,42,FALSE)="","",VLOOKUP(Thu_W1[[#This Row],[Employee Name]],'Base Schedules'!$A$243:$AW$281,42,FALSE)),"")</f>
        <v/>
      </c>
      <c r="AR18" s="184" t="str">
        <f>IFERROR(IF(VLOOKUP(Thu_W1[[#This Row],[Employee Name]],'Base Schedules'!$A$243:$AW$281,43,FALSE)="","",VLOOKUP(Thu_W1[[#This Row],[Employee Name]],'Base Schedules'!$A$243:$AW$281,43,FALSE)),"")</f>
        <v/>
      </c>
      <c r="AS18" s="184" t="str">
        <f>IFERROR(IF(VLOOKUP(Thu_W1[[#This Row],[Employee Name]],'Base Schedules'!$A$243:$AW$281,44,FALSE)="","",VLOOKUP(Thu_W1[[#This Row],[Employee Name]],'Base Schedules'!$A$243:$AW$281,44,FALSE)),"")</f>
        <v/>
      </c>
      <c r="AT18" s="184" t="str">
        <f>IFERROR(IF(VLOOKUP(Thu_W1[[#This Row],[Employee Name]],'Base Schedules'!$A$243:$AW$281,45,FALSE)="","",VLOOKUP(Thu_W1[[#This Row],[Employee Name]],'Base Schedules'!$A$243:$AW$281,45,FALSE)),"")</f>
        <v/>
      </c>
      <c r="AU18" s="184" t="str">
        <f>IFERROR(IF(VLOOKUP(Thu_W1[[#This Row],[Employee Name]],'Base Schedules'!$A$243:$AW$281,46,FALSE)="","",VLOOKUP(Thu_W1[[#This Row],[Employee Name]],'Base Schedules'!$A$243:$AW$281,46,FALSE)),"")</f>
        <v/>
      </c>
      <c r="AV18" s="184" t="str">
        <f>IFERROR(IF(VLOOKUP(Thu_W1[[#This Row],[Employee Name]],'Base Schedules'!$A$243:$AW$281,47,FALSE)="","",VLOOKUP(Thu_W1[[#This Row],[Employee Name]],'Base Schedules'!$A$243:$AW$281,47,FALSE)),"")</f>
        <v/>
      </c>
      <c r="AW18" s="184" t="str">
        <f>IFERROR(IF(VLOOKUP(Thu_W1[[#This Row],[Employee Name]],'Base Schedules'!$A$243:$AW$281,48,FALSE)="","",VLOOKUP(Thu_W1[[#This Row],[Employee Name]],'Base Schedules'!$A$243:$AW$281,48,FALSE)),"")</f>
        <v/>
      </c>
      <c r="AX18" s="184" t="str">
        <f>IFERROR(IF(VLOOKUP(Thu_W1[[#This Row],[Employee Name]],'Base Schedules'!$A$243:$AW$281,49,FALSE)="","",VLOOKUP(Thu_W1[[#This Row],[Employee Name]],'Base Schedules'!$A$243:$AW$281,49,FALSE)),"")</f>
        <v/>
      </c>
      <c r="AY18" s="164" t="str">
        <f t="shared" si="2"/>
        <v>Madamba, Rocky</v>
      </c>
    </row>
    <row r="19" spans="1:51" s="44" customFormat="1" ht="12" x14ac:dyDescent="0.2">
      <c r="A19" s="39" t="str">
        <f>IF(B19="","",INDEX(TeamList[],MATCH($B19,TeamList[[Employee Name]:[Employee Name]],0),MATCH("Manager",TeamList[#Headers],0)))</f>
        <v>Ahmed Hassan, Zahra</v>
      </c>
      <c r="B19" s="201" t="s">
        <v>51</v>
      </c>
      <c r="C19" s="257" t="str">
        <f>_xlfn.IFNA(VLOOKUP(Thu_W1[[#This Row],[Employee Name]],'Base Schedules'!A:B,2,FALSE),"")</f>
        <v>Supervisor</v>
      </c>
      <c r="D19" s="274">
        <f>_xlfn.IFNA(VLOOKUP(Thu_W1[[#This Row],[Employee Name]],'Base Schedules'!A:C,3,FALSE),"")</f>
        <v>700</v>
      </c>
      <c r="E19" s="274">
        <f>_xlfn.IFNA(VLOOKUP(Thu_W1[[#This Row],[Employee Name]],'Base Schedules'!A:D,4,FALSE),"")</f>
        <v>1600</v>
      </c>
      <c r="F19" s="142">
        <f>IF(Thu_W1[[#This Row],[Employee Name]]="","",IF(Thu_W1[[#This Row],[Dept]]="Supervisor",COUNTIFS($J19:$AX19,"*HL*",$J19:$AX19,"&lt;&gt;"&amp;"pHL"),COUNTIFS($J19:$AX19,"*HL*",$J19:$AX19,"&lt;&gt;"&amp;"*pHL*",$J19:$AX19,"&lt;&gt;"&amp;"pB1 HL",$J19:$AX19,"&lt;&gt;"&amp;"pB2 HL")-SUM(COUNTIFS($J19:$AX19,"*HL B1*",$J19:$AX19,"&lt;&gt;"&amp;"pHL B1")*0.5,COUNTIFS($J19:$AX19,"*HL B2*",$J19:$AX19,"&lt;&gt;"&amp;"pHL B2")*0.5,COUNTIFS($J19:$AX19,"*B1 HL*",$J19:$AX19,"&lt;&gt;"&amp;"pB1 HL")*0.5,COUNTIFS($J19:$AX19,"*B2 HL*",$J19:$AX19,"&lt;&gt;"&amp;"pB2 HL")*0.5)))</f>
        <v>0</v>
      </c>
      <c r="G19" s="142">
        <f t="shared" si="0"/>
        <v>5</v>
      </c>
      <c r="H19" s="142">
        <f t="shared" si="1"/>
        <v>0</v>
      </c>
      <c r="I19" s="142">
        <f>IF(Thu_W1[[#This Row],[Employee Name]]="","",IF(Thu_W1[[#This Row],[Dept]]="Supervisor",SUM(COUNTIFS($J19:$AX19,"RTA*",$J19:$AX19,"&lt;&gt;"&amp;"pRTA"),COUNTIFS($J19:$AX19,"*CRTA*",$J19:$AX19,"&lt;&gt;"&amp;"pCRTA")),COUNTIFS($J19:$AX19,"*RNNR*",$J19:$AX19,"&lt;&gt;"&amp;"*pRNNR*",$J19:$AX19,"&lt;&gt;"&amp;"pB1 RNNR",$J19:$AX19,"&lt;&gt;"&amp;"pB2 RNNR")-SUM(COUNTIFS($J19:$AX19,"*RNNR B1*",$J19:$AX19,"&lt;&gt;"&amp;"pRNNR B1")*0.5,COUNTIFS($J19:$AX19,"*RNNR B2*",$J19:$AX19,"&lt;&gt;"&amp;"pRNNR B2")*0.5,COUNTIFS($J19:$AX19,"*B1 RNNR*",$J19:$AX19,"&lt;&gt;"&amp;"pB1 RNNR")*0.5,COUNTIFS($J19:$AX19,"*B2 RNNR*",$J19:$AX19,"&lt;&gt;"&amp;"pB2 RNNR")*0.5)))</f>
        <v>0</v>
      </c>
      <c r="J19" s="184" t="str">
        <f>IFERROR(IF(VLOOKUP(Thu_W1[[#This Row],[Employee Name]],'Base Schedules'!$A$243:$AW$281,9,FALSE)="","",VLOOKUP(Thu_W1[[#This Row],[Employee Name]],'Base Schedules'!$A$243:$AW$281,9,FALSE)),"")</f>
        <v/>
      </c>
      <c r="K19" s="184" t="str">
        <f>IFERROR(IF(VLOOKUP(Thu_W1[[#This Row],[Employee Name]],'Base Schedules'!$A$243:$AW$281,10,FALSE)="","",VLOOKUP(Thu_W1[[#This Row],[Employee Name]],'Base Schedules'!$A$243:$AW$281,10,FALSE)),"")</f>
        <v/>
      </c>
      <c r="L19" s="184" t="str">
        <f>IFERROR(IF(VLOOKUP(Thu_W1[[#This Row],[Employee Name]],'Base Schedules'!$A$243:$AW$281,11,FALSE)="","",VLOOKUP(Thu_W1[[#This Row],[Employee Name]],'Base Schedules'!$A$243:$AW$281,11,FALSE)),"")</f>
        <v/>
      </c>
      <c r="M19" s="184" t="str">
        <f>IFERROR(IF(VLOOKUP(Thu_W1[[#This Row],[Employee Name]],'Base Schedules'!$A$243:$AW$281,12,FALSE)="","",VLOOKUP(Thu_W1[[#This Row],[Employee Name]],'Base Schedules'!$A$243:$AW$281,12,FALSE)),"")</f>
        <v/>
      </c>
      <c r="N19" s="184" t="str">
        <f>IFERROR(IF(VLOOKUP(Thu_W1[[#This Row],[Employee Name]],'Base Schedules'!$A$243:$AW$281,13,FALSE)="","",VLOOKUP(Thu_W1[[#This Row],[Employee Name]],'Base Schedules'!$A$243:$AW$281,13,FALSE)),"")</f>
        <v>-</v>
      </c>
      <c r="O19" s="184" t="str">
        <f>IFERROR(IF(VLOOKUP(Thu_W1[[#This Row],[Employee Name]],'Base Schedules'!$A$243:$AW$281,14,FALSE)="","",VLOOKUP(Thu_W1[[#This Row],[Employee Name]],'Base Schedules'!$A$243:$AW$281,14,FALSE)),"")</f>
        <v>-</v>
      </c>
      <c r="P19" s="184" t="str">
        <f>IFERROR(IF(VLOOKUP(Thu_W1[[#This Row],[Employee Name]],'Base Schedules'!$A$243:$AW$281,15,FALSE)="","",VLOOKUP(Thu_W1[[#This Row],[Employee Name]],'Base Schedules'!$A$243:$AW$281,15,FALSE)),"")</f>
        <v>-</v>
      </c>
      <c r="Q19" s="184" t="str">
        <f>IFERROR(IF(VLOOKUP(Thu_W1[[#This Row],[Employee Name]],'Base Schedules'!$A$243:$AW$281,16,FALSE)="","",VLOOKUP(Thu_W1[[#This Row],[Employee Name]],'Base Schedules'!$A$243:$AW$281,16,FALSE)),"")</f>
        <v>-</v>
      </c>
      <c r="R19" s="184" t="str">
        <f>IFERROR(IF(VLOOKUP(Thu_W1[[#This Row],[Employee Name]],'Base Schedules'!$A$243:$AW$281,17,FALSE)="","",VLOOKUP(Thu_W1[[#This Row],[Employee Name]],'Base Schedules'!$A$243:$AW$281,17,FALSE)),"")</f>
        <v>-</v>
      </c>
      <c r="S19" s="184" t="str">
        <f>IFERROR(IF(VLOOKUP(Thu_W1[[#This Row],[Employee Name]],'Base Schedules'!$A$243:$AW$281,18,FALSE)="","",VLOOKUP(Thu_W1[[#This Row],[Employee Name]],'Base Schedules'!$A$243:$AW$281,18,FALSE)),"")</f>
        <v>-</v>
      </c>
      <c r="T19" s="184" t="str">
        <f>IFERROR(IF(VLOOKUP(Thu_W1[[#This Row],[Employee Name]],'Base Schedules'!$A$243:$AW$281,19,FALSE)="","",VLOOKUP(Thu_W1[[#This Row],[Employee Name]],'Base Schedules'!$A$243:$AW$281,19,FALSE)),"")</f>
        <v>Interview</v>
      </c>
      <c r="U19" s="184" t="str">
        <f>IFERROR(IF(VLOOKUP(Thu_W1[[#This Row],[Employee Name]],'Base Schedules'!$A$243:$AW$281,20,FALSE)="","",VLOOKUP(Thu_W1[[#This Row],[Employee Name]],'Base Schedules'!$A$243:$AW$281,20,FALSE)),"")</f>
        <v>Interview</v>
      </c>
      <c r="V19" s="184" t="str">
        <f>IFERROR(IF(VLOOKUP(Thu_W1[[#This Row],[Employee Name]],'Base Schedules'!$A$243:$AW$281,21,FALSE)="","",VLOOKUP(Thu_W1[[#This Row],[Employee Name]],'Base Schedules'!$A$243:$AW$281,21,FALSE)),"")</f>
        <v>Coaching</v>
      </c>
      <c r="W19" s="184" t="str">
        <f>IFERROR(IF(VLOOKUP(Thu_W1[[#This Row],[Employee Name]],'Base Schedules'!$A$243:$AW$281,22,FALSE)="","",VLOOKUP(Thu_W1[[#This Row],[Employee Name]],'Base Schedules'!$A$243:$AW$281,22,FALSE)),"")</f>
        <v>Coaching</v>
      </c>
      <c r="X19" s="184" t="str">
        <f>IFERROR(IF(VLOOKUP(Thu_W1[[#This Row],[Employee Name]],'Base Schedules'!$A$243:$AW$281,23,FALSE)="","",VLOOKUP(Thu_W1[[#This Row],[Employee Name]],'Base Schedules'!$A$243:$AW$281,23,FALSE)),"")</f>
        <v>-</v>
      </c>
      <c r="Y19" s="184" t="str">
        <f>IFERROR(IF(VLOOKUP(Thu_W1[[#This Row],[Employee Name]],'Base Schedules'!$A$243:$AW$281,24,FALSE)="","",VLOOKUP(Thu_W1[[#This Row],[Employee Name]],'Base Schedules'!$A$243:$AW$281,24,FALSE)),"")</f>
        <v>-</v>
      </c>
      <c r="Z19" s="184" t="str">
        <f>IFERROR(IF(VLOOKUP(Thu_W1[[#This Row],[Employee Name]],'Base Schedules'!$A$243:$AW$281,25,FALSE)="","",VLOOKUP(Thu_W1[[#This Row],[Employee Name]],'Base Schedules'!$A$243:$AW$281,25,FALSE)),"")</f>
        <v>-</v>
      </c>
      <c r="AA19" s="184" t="str">
        <f>IFERROR(IF(VLOOKUP(Thu_W1[[#This Row],[Employee Name]],'Base Schedules'!$A$243:$AW$281,26,FALSE)="","",VLOOKUP(Thu_W1[[#This Row],[Employee Name]],'Base Schedules'!$A$243:$AW$281,26,FALSE)),"")</f>
        <v>Coaching</v>
      </c>
      <c r="AB19" s="184" t="str">
        <f>IFERROR(IF(VLOOKUP(Thu_W1[[#This Row],[Employee Name]],'Base Schedules'!$A$243:$AW$281,27,FALSE)="","",VLOOKUP(Thu_W1[[#This Row],[Employee Name]],'Base Schedules'!$A$243:$AW$281,27,FALSE)),"")</f>
        <v>Coaching</v>
      </c>
      <c r="AC19" s="184" t="str">
        <f>IFERROR(IF(VLOOKUP(Thu_W1[[#This Row],[Employee Name]],'Base Schedules'!$A$243:$AW$281,28,FALSE)="","",VLOOKUP(Thu_W1[[#This Row],[Employee Name]],'Base Schedules'!$A$243:$AW$281,28,FALSE)),"")</f>
        <v>Coaching</v>
      </c>
      <c r="AD19" s="184" t="str">
        <f>IFERROR(IF(VLOOKUP(Thu_W1[[#This Row],[Employee Name]],'Base Schedules'!$A$243:$AW$281,29,FALSE)="","",VLOOKUP(Thu_W1[[#This Row],[Employee Name]],'Base Schedules'!$A$243:$AW$281,29,FALSE)),"")</f>
        <v>-</v>
      </c>
      <c r="AE19" s="184" t="str">
        <f>IFERROR(IF(VLOOKUP(Thu_W1[[#This Row],[Employee Name]],'Base Schedules'!$A$243:$AW$281,30,FALSE)="","",VLOOKUP(Thu_W1[[#This Row],[Employee Name]],'Base Schedules'!$A$243:$AW$281,30,FALSE)),"")</f>
        <v>-</v>
      </c>
      <c r="AF19" s="184" t="str">
        <f>IFERROR(IF(VLOOKUP(Thu_W1[[#This Row],[Employee Name]],'Base Schedules'!$A$243:$AW$281,31,FALSE)="","",VLOOKUP(Thu_W1[[#This Row],[Employee Name]],'Base Schedules'!$A$243:$AW$281,31,FALSE)),"")</f>
        <v/>
      </c>
      <c r="AG19" s="184" t="str">
        <f>IFERROR(IF(VLOOKUP(Thu_W1[[#This Row],[Employee Name]],'Base Schedules'!$A$243:$AW$281,32,FALSE)="","",VLOOKUP(Thu_W1[[#This Row],[Employee Name]],'Base Schedules'!$A$243:$AW$281,32,FALSE)),"")</f>
        <v/>
      </c>
      <c r="AH19" s="184" t="str">
        <f>IFERROR(IF(VLOOKUP(Thu_W1[[#This Row],[Employee Name]],'Base Schedules'!$A$243:$AW$281,33,FALSE)="","",VLOOKUP(Thu_W1[[#This Row],[Employee Name]],'Base Schedules'!$A$243:$AW$281,33,FALSE)),"")</f>
        <v/>
      </c>
      <c r="AI19" s="184" t="str">
        <f>IFERROR(IF(VLOOKUP(Thu_W1[[#This Row],[Employee Name]],'Base Schedules'!$A$243:$AW$281,34,FALSE)="","",VLOOKUP(Thu_W1[[#This Row],[Employee Name]],'Base Schedules'!$A$243:$AW$281,34,FALSE)),"")</f>
        <v/>
      </c>
      <c r="AJ19" s="184" t="str">
        <f>IFERROR(IF(VLOOKUP(Thu_W1[[#This Row],[Employee Name]],'Base Schedules'!$A$243:$AW$281,35,FALSE)="","",VLOOKUP(Thu_W1[[#This Row],[Employee Name]],'Base Schedules'!$A$243:$AW$281,35,FALSE)),"")</f>
        <v/>
      </c>
      <c r="AK19" s="184" t="str">
        <f>IFERROR(IF(VLOOKUP(Thu_W1[[#This Row],[Employee Name]],'Base Schedules'!$A$243:$AW$281,36,FALSE)="","",VLOOKUP(Thu_W1[[#This Row],[Employee Name]],'Base Schedules'!$A$243:$AW$281,36,FALSE)),"")</f>
        <v/>
      </c>
      <c r="AL19" s="184" t="str">
        <f>IFERROR(IF(VLOOKUP(Thu_W1[[#This Row],[Employee Name]],'Base Schedules'!$A$243:$AW$281,37,FALSE)="","",VLOOKUP(Thu_W1[[#This Row],[Employee Name]],'Base Schedules'!$A$243:$AW$281,37,FALSE)),"")</f>
        <v/>
      </c>
      <c r="AM19" s="184" t="str">
        <f>IFERROR(IF(VLOOKUP(Thu_W1[[#This Row],[Employee Name]],'Base Schedules'!$A$243:$AW$281,38,FALSE)="","",VLOOKUP(Thu_W1[[#This Row],[Employee Name]],'Base Schedules'!$A$243:$AW$281,38,FALSE)),"")</f>
        <v/>
      </c>
      <c r="AN19" s="184" t="str">
        <f>IFERROR(IF(VLOOKUP(Thu_W1[[#This Row],[Employee Name]],'Base Schedules'!$A$243:$AW$281,39,FALSE)="","",VLOOKUP(Thu_W1[[#This Row],[Employee Name]],'Base Schedules'!$A$243:$AW$281,39,FALSE)),"")</f>
        <v/>
      </c>
      <c r="AO19" s="184" t="str">
        <f>IFERROR(IF(VLOOKUP(Thu_W1[[#This Row],[Employee Name]],'Base Schedules'!$A$243:$AW$281,40,FALSE)="","",VLOOKUP(Thu_W1[[#This Row],[Employee Name]],'Base Schedules'!$A$243:$AW$281,40,FALSE)),"")</f>
        <v/>
      </c>
      <c r="AP19" s="184" t="str">
        <f>IFERROR(IF(VLOOKUP(Thu_W1[[#This Row],[Employee Name]],'Base Schedules'!$A$243:$AW$281,41,FALSE)="","",VLOOKUP(Thu_W1[[#This Row],[Employee Name]],'Base Schedules'!$A$243:$AW$281,41,FALSE)),"")</f>
        <v/>
      </c>
      <c r="AQ19" s="184" t="str">
        <f>IFERROR(IF(VLOOKUP(Thu_W1[[#This Row],[Employee Name]],'Base Schedules'!$A$243:$AW$281,42,FALSE)="","",VLOOKUP(Thu_W1[[#This Row],[Employee Name]],'Base Schedules'!$A$243:$AW$281,42,FALSE)),"")</f>
        <v/>
      </c>
      <c r="AR19" s="184" t="str">
        <f>IFERROR(IF(VLOOKUP(Thu_W1[[#This Row],[Employee Name]],'Base Schedules'!$A$243:$AW$281,43,FALSE)="","",VLOOKUP(Thu_W1[[#This Row],[Employee Name]],'Base Schedules'!$A$243:$AW$281,43,FALSE)),"")</f>
        <v/>
      </c>
      <c r="AS19" s="184" t="str">
        <f>IFERROR(IF(VLOOKUP(Thu_W1[[#This Row],[Employee Name]],'Base Schedules'!$A$243:$AW$281,44,FALSE)="","",VLOOKUP(Thu_W1[[#This Row],[Employee Name]],'Base Schedules'!$A$243:$AW$281,44,FALSE)),"")</f>
        <v/>
      </c>
      <c r="AT19" s="184" t="str">
        <f>IFERROR(IF(VLOOKUP(Thu_W1[[#This Row],[Employee Name]],'Base Schedules'!$A$243:$AW$281,45,FALSE)="","",VLOOKUP(Thu_W1[[#This Row],[Employee Name]],'Base Schedules'!$A$243:$AW$281,45,FALSE)),"")</f>
        <v/>
      </c>
      <c r="AU19" s="184" t="str">
        <f>IFERROR(IF(VLOOKUP(Thu_W1[[#This Row],[Employee Name]],'Base Schedules'!$A$243:$AW$281,46,FALSE)="","",VLOOKUP(Thu_W1[[#This Row],[Employee Name]],'Base Schedules'!$A$243:$AW$281,46,FALSE)),"")</f>
        <v/>
      </c>
      <c r="AV19" s="184" t="str">
        <f>IFERROR(IF(VLOOKUP(Thu_W1[[#This Row],[Employee Name]],'Base Schedules'!$A$243:$AW$281,47,FALSE)="","",VLOOKUP(Thu_W1[[#This Row],[Employee Name]],'Base Schedules'!$A$243:$AW$281,47,FALSE)),"")</f>
        <v/>
      </c>
      <c r="AW19" s="184" t="str">
        <f>IFERROR(IF(VLOOKUP(Thu_W1[[#This Row],[Employee Name]],'Base Schedules'!$A$243:$AW$281,48,FALSE)="","",VLOOKUP(Thu_W1[[#This Row],[Employee Name]],'Base Schedules'!$A$243:$AW$281,48,FALSE)),"")</f>
        <v/>
      </c>
      <c r="AX19" s="184" t="str">
        <f>IFERROR(IF(VLOOKUP(Thu_W1[[#This Row],[Employee Name]],'Base Schedules'!$A$243:$AW$281,49,FALSE)="","",VLOOKUP(Thu_W1[[#This Row],[Employee Name]],'Base Schedules'!$A$243:$AW$281,49,FALSE)),"")</f>
        <v/>
      </c>
      <c r="AY19" s="164" t="str">
        <f t="shared" si="2"/>
        <v>Martin, Gary</v>
      </c>
    </row>
    <row r="20" spans="1:51" s="44" customFormat="1" ht="12" x14ac:dyDescent="0.2">
      <c r="A20" s="39" t="str">
        <f>IF(B20="","",INDEX(TeamList[],MATCH($B20,TeamList[[Employee Name]:[Employee Name]],0),MATCH("Manager",TeamList[#Headers],0)))</f>
        <v>Olson, Katherine</v>
      </c>
      <c r="B20" s="201" t="s">
        <v>22</v>
      </c>
      <c r="C20" s="257" t="str">
        <f>_xlfn.IFNA(VLOOKUP(Thu_W1[[#This Row],[Employee Name]],'Base Schedules'!A:B,2,FALSE),"")</f>
        <v>Lead</v>
      </c>
      <c r="D20" s="274">
        <f>_xlfn.IFNA(VLOOKUP(Thu_W1[[#This Row],[Employee Name]],'Base Schedules'!A:C,3,FALSE),"")</f>
        <v>700</v>
      </c>
      <c r="E20" s="274">
        <f>_xlfn.IFNA(VLOOKUP(Thu_W1[[#This Row],[Employee Name]],'Base Schedules'!A:D,4,FALSE),"")</f>
        <v>1600</v>
      </c>
      <c r="F20" s="142">
        <f>IF(Thu_W1[[#This Row],[Employee Name]]="","",IF(Thu_W1[[#This Row],[Dept]]="Supervisor",COUNTIFS($J20:$AX20,"*HL*",$J20:$AX20,"&lt;&gt;"&amp;"pHL"),COUNTIFS($J20:$AX20,"*HL*",$J20:$AX20,"&lt;&gt;"&amp;"*pHL*",$J20:$AX20,"&lt;&gt;"&amp;"pB1 HL",$J20:$AX20,"&lt;&gt;"&amp;"pB2 HL")-SUM(COUNTIFS($J20:$AX20,"*HL B1*",$J20:$AX20,"&lt;&gt;"&amp;"pHL B1")*0.5,COUNTIFS($J20:$AX20,"*HL B2*",$J20:$AX20,"&lt;&gt;"&amp;"pHL B2")*0.5,COUNTIFS($J20:$AX20,"*B1 HL*",$J20:$AX20,"&lt;&gt;"&amp;"pB1 HL")*0.5,COUNTIFS($J20:$AX20,"*B2 HL*",$J20:$AX20,"&lt;&gt;"&amp;"pB2 HL")*0.5)))</f>
        <v>9</v>
      </c>
      <c r="G20" s="142">
        <f t="shared" si="0"/>
        <v>0</v>
      </c>
      <c r="H20" s="142">
        <f t="shared" si="1"/>
        <v>7</v>
      </c>
      <c r="I20" s="142">
        <f>IF(Thu_W1[[#This Row],[Employee Name]]="","",IF(Thu_W1[[#This Row],[Dept]]="Supervisor",SUM(COUNTIFS($J20:$AX20,"RTA*",$J20:$AX20,"&lt;&gt;"&amp;"pRTA"),COUNTIFS($J20:$AX20,"*CRTA*",$J20:$AX20,"&lt;&gt;"&amp;"pCRTA")),COUNTIFS($J20:$AX20,"*RNNR*",$J20:$AX20,"&lt;&gt;"&amp;"*pRNNR*",$J20:$AX20,"&lt;&gt;"&amp;"pB1 RNNR",$J20:$AX20,"&lt;&gt;"&amp;"pB2 RNNR")-SUM(COUNTIFS($J20:$AX20,"*RNNR B1*",$J20:$AX20,"&lt;&gt;"&amp;"pRNNR B1")*0.5,COUNTIFS($J20:$AX20,"*RNNR B2*",$J20:$AX20,"&lt;&gt;"&amp;"pRNNR B2")*0.5,COUNTIFS($J20:$AX20,"*B1 RNNR*",$J20:$AX20,"&lt;&gt;"&amp;"pB1 RNNR")*0.5,COUNTIFS($J20:$AX20,"*B2 RNNR*",$J20:$AX20,"&lt;&gt;"&amp;"pB2 RNNR")*0.5)))</f>
        <v>0</v>
      </c>
      <c r="J20" s="184" t="str">
        <f>IFERROR(IF(VLOOKUP(Thu_W1[[#This Row],[Employee Name]],'Base Schedules'!$A$243:$AW$281,9,FALSE)="","",VLOOKUP(Thu_W1[[#This Row],[Employee Name]],'Base Schedules'!$A$243:$AW$281,9,FALSE)),"")</f>
        <v/>
      </c>
      <c r="K20" s="184" t="str">
        <f>IFERROR(IF(VLOOKUP(Thu_W1[[#This Row],[Employee Name]],'Base Schedules'!$A$243:$AW$281,10,FALSE)="","",VLOOKUP(Thu_W1[[#This Row],[Employee Name]],'Base Schedules'!$A$243:$AW$281,10,FALSE)),"")</f>
        <v/>
      </c>
      <c r="L20" s="184" t="str">
        <f>IFERROR(IF(VLOOKUP(Thu_W1[[#This Row],[Employee Name]],'Base Schedules'!$A$243:$AW$281,11,FALSE)="","",VLOOKUP(Thu_W1[[#This Row],[Employee Name]],'Base Schedules'!$A$243:$AW$281,11,FALSE)),"")</f>
        <v/>
      </c>
      <c r="M20" s="184" t="str">
        <f>IFERROR(IF(VLOOKUP(Thu_W1[[#This Row],[Employee Name]],'Base Schedules'!$A$243:$AW$281,12,FALSE)="","",VLOOKUP(Thu_W1[[#This Row],[Employee Name]],'Base Schedules'!$A$243:$AW$281,12,FALSE)),"")</f>
        <v/>
      </c>
      <c r="N20" s="184" t="str">
        <f>IFERROR(IF(VLOOKUP(Thu_W1[[#This Row],[Employee Name]],'Base Schedules'!$A$243:$AW$281,13,FALSE)="","",VLOOKUP(Thu_W1[[#This Row],[Employee Name]],'Base Schedules'!$A$243:$AW$281,13,FALSE)),"")</f>
        <v>HL</v>
      </c>
      <c r="O20" s="184" t="str">
        <f>IFERROR(IF(VLOOKUP(Thu_W1[[#This Row],[Employee Name]],'Base Schedules'!$A$243:$AW$281,14,FALSE)="","",VLOOKUP(Thu_W1[[#This Row],[Employee Name]],'Base Schedules'!$A$243:$AW$281,14,FALSE)),"")</f>
        <v>HL</v>
      </c>
      <c r="P20" s="184" t="str">
        <f>IFERROR(IF(VLOOKUP(Thu_W1[[#This Row],[Employee Name]],'Base Schedules'!$A$243:$AW$281,15,FALSE)="","",VLOOKUP(Thu_W1[[#This Row],[Employee Name]],'Base Schedules'!$A$243:$AW$281,15,FALSE)),"")</f>
        <v>HL</v>
      </c>
      <c r="Q20" s="184" t="str">
        <f>IFERROR(IF(VLOOKUP(Thu_W1[[#This Row],[Employee Name]],'Base Schedules'!$A$243:$AW$281,16,FALSE)="","",VLOOKUP(Thu_W1[[#This Row],[Employee Name]],'Base Schedules'!$A$243:$AW$281,16,FALSE)),"")</f>
        <v>HL</v>
      </c>
      <c r="R20" s="184" t="str">
        <f>IFERROR(IF(VLOOKUP(Thu_W1[[#This Row],[Employee Name]],'Base Schedules'!$A$243:$AW$281,17,FALSE)="","",VLOOKUP(Thu_W1[[#This Row],[Employee Name]],'Base Schedules'!$A$243:$AW$281,17,FALSE)),"")</f>
        <v>B1 ADM</v>
      </c>
      <c r="S20" s="184" t="str">
        <f>IFERROR(IF(VLOOKUP(Thu_W1[[#This Row],[Employee Name]],'Base Schedules'!$A$243:$AW$281,18,FALSE)="","",VLOOKUP(Thu_W1[[#This Row],[Employee Name]],'Base Schedules'!$A$243:$AW$281,18,FALSE)),"")</f>
        <v>ADM</v>
      </c>
      <c r="T20" s="184" t="str">
        <f>IFERROR(IF(VLOOKUP(Thu_W1[[#This Row],[Employee Name]],'Base Schedules'!$A$243:$AW$281,19,FALSE)="","",VLOOKUP(Thu_W1[[#This Row],[Employee Name]],'Base Schedules'!$A$243:$AW$281,19,FALSE)),"")</f>
        <v>ADM</v>
      </c>
      <c r="U20" s="184" t="str">
        <f>IFERROR(IF(VLOOKUP(Thu_W1[[#This Row],[Employee Name]],'Base Schedules'!$A$243:$AW$281,20,FALSE)="","",VLOOKUP(Thu_W1[[#This Row],[Employee Name]],'Base Schedules'!$A$243:$AW$281,20,FALSE)),"")</f>
        <v>ADM</v>
      </c>
      <c r="V20" s="184" t="str">
        <f>IFERROR(IF(VLOOKUP(Thu_W1[[#This Row],[Employee Name]],'Base Schedules'!$A$243:$AW$281,21,FALSE)="","",VLOOKUP(Thu_W1[[#This Row],[Employee Name]],'Base Schedules'!$A$243:$AW$281,21,FALSE)),"")</f>
        <v>HL</v>
      </c>
      <c r="W20" s="184" t="str">
        <f>IFERROR(IF(VLOOKUP(Thu_W1[[#This Row],[Employee Name]],'Base Schedules'!$A$243:$AW$281,22,FALSE)="","",VLOOKUP(Thu_W1[[#This Row],[Employee Name]],'Base Schedules'!$A$243:$AW$281,22,FALSE)),"")</f>
        <v>LUNCH</v>
      </c>
      <c r="X20" s="184" t="str">
        <f>IFERROR(IF(VLOOKUP(Thu_W1[[#This Row],[Employee Name]],'Base Schedules'!$A$243:$AW$281,23,FALSE)="","",VLOOKUP(Thu_W1[[#This Row],[Employee Name]],'Base Schedules'!$A$243:$AW$281,23,FALSE)),"")</f>
        <v>LUNCH</v>
      </c>
      <c r="Y20" s="184" t="str">
        <f>IFERROR(IF(VLOOKUP(Thu_W1[[#This Row],[Employee Name]],'Base Schedules'!$A$243:$AW$281,24,FALSE)="","",VLOOKUP(Thu_W1[[#This Row],[Employee Name]],'Base Schedules'!$A$243:$AW$281,24,FALSE)),"")</f>
        <v>ADM</v>
      </c>
      <c r="Z20" s="184" t="str">
        <f>IFERROR(IF(VLOOKUP(Thu_W1[[#This Row],[Employee Name]],'Base Schedules'!$A$243:$AW$281,25,FALSE)="","",VLOOKUP(Thu_W1[[#This Row],[Employee Name]],'Base Schedules'!$A$243:$AW$281,25,FALSE)),"")</f>
        <v>HL</v>
      </c>
      <c r="AA20" s="184" t="str">
        <f>IFERROR(IF(VLOOKUP(Thu_W1[[#This Row],[Employee Name]],'Base Schedules'!$A$243:$AW$281,26,FALSE)="","",VLOOKUP(Thu_W1[[#This Row],[Employee Name]],'Base Schedules'!$A$243:$AW$281,26,FALSE)),"")</f>
        <v>HL</v>
      </c>
      <c r="AB20" s="184" t="str">
        <f>IFERROR(IF(VLOOKUP(Thu_W1[[#This Row],[Employee Name]],'Base Schedules'!$A$243:$AW$281,27,FALSE)="","",VLOOKUP(Thu_W1[[#This Row],[Employee Name]],'Base Schedules'!$A$243:$AW$281,27,FALSE)),"")</f>
        <v>B2 ADM</v>
      </c>
      <c r="AC20" s="184" t="str">
        <f>IFERROR(IF(VLOOKUP(Thu_W1[[#This Row],[Employee Name]],'Base Schedules'!$A$243:$AW$281,28,FALSE)="","",VLOOKUP(Thu_W1[[#This Row],[Employee Name]],'Base Schedules'!$A$243:$AW$281,28,FALSE)),"")</f>
        <v>ADM</v>
      </c>
      <c r="AD20" s="184" t="str">
        <f>IFERROR(IF(VLOOKUP(Thu_W1[[#This Row],[Employee Name]],'Base Schedules'!$A$243:$AW$281,29,FALSE)="","",VLOOKUP(Thu_W1[[#This Row],[Employee Name]],'Base Schedules'!$A$243:$AW$281,29,FALSE)),"")</f>
        <v>HL</v>
      </c>
      <c r="AE20" s="184" t="str">
        <f>IFERROR(IF(VLOOKUP(Thu_W1[[#This Row],[Employee Name]],'Base Schedules'!$A$243:$AW$281,30,FALSE)="","",VLOOKUP(Thu_W1[[#This Row],[Employee Name]],'Base Schedules'!$A$243:$AW$281,30,FALSE)),"")</f>
        <v>HL</v>
      </c>
      <c r="AF20" s="184" t="str">
        <f>IFERROR(IF(VLOOKUP(Thu_W1[[#This Row],[Employee Name]],'Base Schedules'!$A$243:$AW$281,31,FALSE)="","",VLOOKUP(Thu_W1[[#This Row],[Employee Name]],'Base Schedules'!$A$243:$AW$281,31,FALSE)),"")</f>
        <v/>
      </c>
      <c r="AG20" s="184" t="str">
        <f>IFERROR(IF(VLOOKUP(Thu_W1[[#This Row],[Employee Name]],'Base Schedules'!$A$243:$AW$281,32,FALSE)="","",VLOOKUP(Thu_W1[[#This Row],[Employee Name]],'Base Schedules'!$A$243:$AW$281,32,FALSE)),"")</f>
        <v/>
      </c>
      <c r="AH20" s="184" t="str">
        <f>IFERROR(IF(VLOOKUP(Thu_W1[[#This Row],[Employee Name]],'Base Schedules'!$A$243:$AW$281,33,FALSE)="","",VLOOKUP(Thu_W1[[#This Row],[Employee Name]],'Base Schedules'!$A$243:$AW$281,33,FALSE)),"")</f>
        <v/>
      </c>
      <c r="AI20" s="184" t="str">
        <f>IFERROR(IF(VLOOKUP(Thu_W1[[#This Row],[Employee Name]],'Base Schedules'!$A$243:$AW$281,34,FALSE)="","",VLOOKUP(Thu_W1[[#This Row],[Employee Name]],'Base Schedules'!$A$243:$AW$281,34,FALSE)),"")</f>
        <v/>
      </c>
      <c r="AJ20" s="184" t="str">
        <f>IFERROR(IF(VLOOKUP(Thu_W1[[#This Row],[Employee Name]],'Base Schedules'!$A$243:$AW$281,35,FALSE)="","",VLOOKUP(Thu_W1[[#This Row],[Employee Name]],'Base Schedules'!$A$243:$AW$281,35,FALSE)),"")</f>
        <v/>
      </c>
      <c r="AK20" s="184" t="str">
        <f>IFERROR(IF(VLOOKUP(Thu_W1[[#This Row],[Employee Name]],'Base Schedules'!$A$243:$AW$281,36,FALSE)="","",VLOOKUP(Thu_W1[[#This Row],[Employee Name]],'Base Schedules'!$A$243:$AW$281,36,FALSE)),"")</f>
        <v/>
      </c>
      <c r="AL20" s="184" t="str">
        <f>IFERROR(IF(VLOOKUP(Thu_W1[[#This Row],[Employee Name]],'Base Schedules'!$A$243:$AW$281,37,FALSE)="","",VLOOKUP(Thu_W1[[#This Row],[Employee Name]],'Base Schedules'!$A$243:$AW$281,37,FALSE)),"")</f>
        <v/>
      </c>
      <c r="AM20" s="184" t="str">
        <f>IFERROR(IF(VLOOKUP(Thu_W1[[#This Row],[Employee Name]],'Base Schedules'!$A$243:$AW$281,38,FALSE)="","",VLOOKUP(Thu_W1[[#This Row],[Employee Name]],'Base Schedules'!$A$243:$AW$281,38,FALSE)),"")</f>
        <v/>
      </c>
      <c r="AN20" s="184" t="str">
        <f>IFERROR(IF(VLOOKUP(Thu_W1[[#This Row],[Employee Name]],'Base Schedules'!$A$243:$AW$281,39,FALSE)="","",VLOOKUP(Thu_W1[[#This Row],[Employee Name]],'Base Schedules'!$A$243:$AW$281,39,FALSE)),"")</f>
        <v/>
      </c>
      <c r="AO20" s="184" t="str">
        <f>IFERROR(IF(VLOOKUP(Thu_W1[[#This Row],[Employee Name]],'Base Schedules'!$A$243:$AW$281,40,FALSE)="","",VLOOKUP(Thu_W1[[#This Row],[Employee Name]],'Base Schedules'!$A$243:$AW$281,40,FALSE)),"")</f>
        <v/>
      </c>
      <c r="AP20" s="184" t="str">
        <f>IFERROR(IF(VLOOKUP(Thu_W1[[#This Row],[Employee Name]],'Base Schedules'!$A$243:$AW$281,41,FALSE)="","",VLOOKUP(Thu_W1[[#This Row],[Employee Name]],'Base Schedules'!$A$243:$AW$281,41,FALSE)),"")</f>
        <v/>
      </c>
      <c r="AQ20" s="184" t="str">
        <f>IFERROR(IF(VLOOKUP(Thu_W1[[#This Row],[Employee Name]],'Base Schedules'!$A$243:$AW$281,42,FALSE)="","",VLOOKUP(Thu_W1[[#This Row],[Employee Name]],'Base Schedules'!$A$243:$AW$281,42,FALSE)),"")</f>
        <v/>
      </c>
      <c r="AR20" s="184" t="str">
        <f>IFERROR(IF(VLOOKUP(Thu_W1[[#This Row],[Employee Name]],'Base Schedules'!$A$243:$AW$281,43,FALSE)="","",VLOOKUP(Thu_W1[[#This Row],[Employee Name]],'Base Schedules'!$A$243:$AW$281,43,FALSE)),"")</f>
        <v/>
      </c>
      <c r="AS20" s="184" t="str">
        <f>IFERROR(IF(VLOOKUP(Thu_W1[[#This Row],[Employee Name]],'Base Schedules'!$A$243:$AW$281,44,FALSE)="","",VLOOKUP(Thu_W1[[#This Row],[Employee Name]],'Base Schedules'!$A$243:$AW$281,44,FALSE)),"")</f>
        <v/>
      </c>
      <c r="AT20" s="184" t="str">
        <f>IFERROR(IF(VLOOKUP(Thu_W1[[#This Row],[Employee Name]],'Base Schedules'!$A$243:$AW$281,45,FALSE)="","",VLOOKUP(Thu_W1[[#This Row],[Employee Name]],'Base Schedules'!$A$243:$AW$281,45,FALSE)),"")</f>
        <v/>
      </c>
      <c r="AU20" s="184" t="str">
        <f>IFERROR(IF(VLOOKUP(Thu_W1[[#This Row],[Employee Name]],'Base Schedules'!$A$243:$AW$281,46,FALSE)="","",VLOOKUP(Thu_W1[[#This Row],[Employee Name]],'Base Schedules'!$A$243:$AW$281,46,FALSE)),"")</f>
        <v/>
      </c>
      <c r="AV20" s="184" t="str">
        <f>IFERROR(IF(VLOOKUP(Thu_W1[[#This Row],[Employee Name]],'Base Schedules'!$A$243:$AW$281,47,FALSE)="","",VLOOKUP(Thu_W1[[#This Row],[Employee Name]],'Base Schedules'!$A$243:$AW$281,47,FALSE)),"")</f>
        <v/>
      </c>
      <c r="AW20" s="184" t="str">
        <f>IFERROR(IF(VLOOKUP(Thu_W1[[#This Row],[Employee Name]],'Base Schedules'!$A$243:$AW$281,48,FALSE)="","",VLOOKUP(Thu_W1[[#This Row],[Employee Name]],'Base Schedules'!$A$243:$AW$281,48,FALSE)),"")</f>
        <v/>
      </c>
      <c r="AX20" s="184" t="str">
        <f>IFERROR(IF(VLOOKUP(Thu_W1[[#This Row],[Employee Name]],'Base Schedules'!$A$243:$AW$281,49,FALSE)="","",VLOOKUP(Thu_W1[[#This Row],[Employee Name]],'Base Schedules'!$A$243:$AW$281,49,FALSE)),"")</f>
        <v/>
      </c>
      <c r="AY20" s="164" t="str">
        <f t="shared" si="2"/>
        <v>Benish, Elisha</v>
      </c>
    </row>
    <row r="21" spans="1:51" s="44" customFormat="1" ht="12" x14ac:dyDescent="0.2">
      <c r="A21" s="39" t="str">
        <f>IF(B21="","",INDEX(TeamList[],MATCH($B21,TeamList[[Employee Name]:[Employee Name]],0),MATCH("Manager",TeamList[#Headers],0)))</f>
        <v>Olson, Katherine</v>
      </c>
      <c r="B21" s="201" t="s">
        <v>237</v>
      </c>
      <c r="C21" s="257" t="str">
        <f>_xlfn.IFNA(VLOOKUP(Thu_W1[[#This Row],[Employee Name]],'Base Schedules'!A:B,2,FALSE),"")</f>
        <v>Lead</v>
      </c>
      <c r="D21" s="274">
        <f>_xlfn.IFNA(VLOOKUP(Thu_W1[[#This Row],[Employee Name]],'Base Schedules'!A:C,3,FALSE),"")</f>
        <v>730</v>
      </c>
      <c r="E21" s="274">
        <f>_xlfn.IFNA(VLOOKUP(Thu_W1[[#This Row],[Employee Name]],'Base Schedules'!A:D,4,FALSE),"")</f>
        <v>1600</v>
      </c>
      <c r="F21" s="142">
        <f>IF(Thu_W1[[#This Row],[Employee Name]]="","",IF(Thu_W1[[#This Row],[Dept]]="Supervisor",COUNTIFS($J21:$AX21,"*HL*",$J21:$AX21,"&lt;&gt;"&amp;"pHL"),COUNTIFS($J21:$AX21,"*HL*",$J21:$AX21,"&lt;&gt;"&amp;"*pHL*",$J21:$AX21,"&lt;&gt;"&amp;"pB1 HL",$J21:$AX21,"&lt;&gt;"&amp;"pB2 HL")-SUM(COUNTIFS($J21:$AX21,"*HL B1*",$J21:$AX21,"&lt;&gt;"&amp;"pHL B1")*0.5,COUNTIFS($J21:$AX21,"*HL B2*",$J21:$AX21,"&lt;&gt;"&amp;"pHL B2")*0.5,COUNTIFS($J21:$AX21,"*B1 HL*",$J21:$AX21,"&lt;&gt;"&amp;"pB1 HL")*0.5,COUNTIFS($J21:$AX21,"*B2 HL*",$J21:$AX21,"&lt;&gt;"&amp;"pB2 HL")*0.5)))</f>
        <v>6</v>
      </c>
      <c r="G21" s="142">
        <f t="shared" si="0"/>
        <v>0</v>
      </c>
      <c r="H21" s="142">
        <f t="shared" si="1"/>
        <v>10</v>
      </c>
      <c r="I21" s="142">
        <f>IF(Thu_W1[[#This Row],[Employee Name]]="","",IF(Thu_W1[[#This Row],[Dept]]="Supervisor",SUM(COUNTIFS($J21:$AX21,"RTA*",$J21:$AX21,"&lt;&gt;"&amp;"pRTA"),COUNTIFS($J21:$AX21,"*CRTA*",$J21:$AX21,"&lt;&gt;"&amp;"pCRTA")),COUNTIFS($J21:$AX21,"*RNNR*",$J21:$AX21,"&lt;&gt;"&amp;"*pRNNR*",$J21:$AX21,"&lt;&gt;"&amp;"pB1 RNNR",$J21:$AX21,"&lt;&gt;"&amp;"pB2 RNNR")-SUM(COUNTIFS($J21:$AX21,"*RNNR B1*",$J21:$AX21,"&lt;&gt;"&amp;"pRNNR B1")*0.5,COUNTIFS($J21:$AX21,"*RNNR B2*",$J21:$AX21,"&lt;&gt;"&amp;"pRNNR B2")*0.5,COUNTIFS($J21:$AX21,"*B1 RNNR*",$J21:$AX21,"&lt;&gt;"&amp;"pB1 RNNR")*0.5,COUNTIFS($J21:$AX21,"*B2 RNNR*",$J21:$AX21,"&lt;&gt;"&amp;"pB2 RNNR")*0.5)))</f>
        <v>0</v>
      </c>
      <c r="J21" s="184" t="str">
        <f>IFERROR(IF(VLOOKUP(Thu_W1[[#This Row],[Employee Name]],'Base Schedules'!$A$243:$AW$281,9,FALSE)="","",VLOOKUP(Thu_W1[[#This Row],[Employee Name]],'Base Schedules'!$A$243:$AW$281,9,FALSE)),"")</f>
        <v/>
      </c>
      <c r="K21" s="184" t="str">
        <f>IFERROR(IF(VLOOKUP(Thu_W1[[#This Row],[Employee Name]],'Base Schedules'!$A$243:$AW$281,10,FALSE)="","",VLOOKUP(Thu_W1[[#This Row],[Employee Name]],'Base Schedules'!$A$243:$AW$281,10,FALSE)),"")</f>
        <v/>
      </c>
      <c r="L21" s="184" t="str">
        <f>IFERROR(IF(VLOOKUP(Thu_W1[[#This Row],[Employee Name]],'Base Schedules'!$A$243:$AW$281,11,FALSE)="","",VLOOKUP(Thu_W1[[#This Row],[Employee Name]],'Base Schedules'!$A$243:$AW$281,11,FALSE)),"")</f>
        <v/>
      </c>
      <c r="M21" s="184" t="str">
        <f>IFERROR(IF(VLOOKUP(Thu_W1[[#This Row],[Employee Name]],'Base Schedules'!$A$243:$AW$281,12,FALSE)="","",VLOOKUP(Thu_W1[[#This Row],[Employee Name]],'Base Schedules'!$A$243:$AW$281,12,FALSE)),"")</f>
        <v/>
      </c>
      <c r="N21" s="184" t="str">
        <f>IFERROR(IF(VLOOKUP(Thu_W1[[#This Row],[Employee Name]],'Base Schedules'!$A$243:$AW$281,13,FALSE)="","",VLOOKUP(Thu_W1[[#This Row],[Employee Name]],'Base Schedules'!$A$243:$AW$281,13,FALSE)),"")</f>
        <v/>
      </c>
      <c r="O21" s="184" t="str">
        <f>IFERROR(IF(VLOOKUP(Thu_W1[[#This Row],[Employee Name]],'Base Schedules'!$A$243:$AW$281,14,FALSE)="","",VLOOKUP(Thu_W1[[#This Row],[Employee Name]],'Base Schedules'!$A$243:$AW$281,14,FALSE)),"")</f>
        <v>HL</v>
      </c>
      <c r="P21" s="184" t="str">
        <f>IFERROR(IF(VLOOKUP(Thu_W1[[#This Row],[Employee Name]],'Base Schedules'!$A$243:$AW$281,15,FALSE)="","",VLOOKUP(Thu_W1[[#This Row],[Employee Name]],'Base Schedules'!$A$243:$AW$281,15,FALSE)),"")</f>
        <v>HL</v>
      </c>
      <c r="Q21" s="184" t="str">
        <f>IFERROR(IF(VLOOKUP(Thu_W1[[#This Row],[Employee Name]],'Base Schedules'!$A$243:$AW$281,16,FALSE)="","",VLOOKUP(Thu_W1[[#This Row],[Employee Name]],'Base Schedules'!$A$243:$AW$281,16,FALSE)),"")</f>
        <v>HL</v>
      </c>
      <c r="R21" s="184" t="str">
        <f>IFERROR(IF(VLOOKUP(Thu_W1[[#This Row],[Employee Name]],'Base Schedules'!$A$243:$AW$281,17,FALSE)="","",VLOOKUP(Thu_W1[[#This Row],[Employee Name]],'Base Schedules'!$A$243:$AW$281,17,FALSE)),"")</f>
        <v>ADM</v>
      </c>
      <c r="S21" s="184" t="str">
        <f>IFERROR(IF(VLOOKUP(Thu_W1[[#This Row],[Employee Name]],'Base Schedules'!$A$243:$AW$281,18,FALSE)="","",VLOOKUP(Thu_W1[[#This Row],[Employee Name]],'Base Schedules'!$A$243:$AW$281,18,FALSE)),"")</f>
        <v>B1 ADM</v>
      </c>
      <c r="T21" s="184" t="str">
        <f>IFERROR(IF(VLOOKUP(Thu_W1[[#This Row],[Employee Name]],'Base Schedules'!$A$243:$AW$281,19,FALSE)="","",VLOOKUP(Thu_W1[[#This Row],[Employee Name]],'Base Schedules'!$A$243:$AW$281,19,FALSE)),"")</f>
        <v>ADM</v>
      </c>
      <c r="U21" s="184" t="str">
        <f>IFERROR(IF(VLOOKUP(Thu_W1[[#This Row],[Employee Name]],'Base Schedules'!$A$243:$AW$281,20,FALSE)="","",VLOOKUP(Thu_W1[[#This Row],[Employee Name]],'Base Schedules'!$A$243:$AW$281,20,FALSE)),"")</f>
        <v>ADM</v>
      </c>
      <c r="V21" s="184" t="str">
        <f>IFERROR(IF(VLOOKUP(Thu_W1[[#This Row],[Employee Name]],'Base Schedules'!$A$243:$AW$281,21,FALSE)="","",VLOOKUP(Thu_W1[[#This Row],[Employee Name]],'Base Schedules'!$A$243:$AW$281,21,FALSE)),"")</f>
        <v>HL</v>
      </c>
      <c r="W21" s="184" t="str">
        <f>IFERROR(IF(VLOOKUP(Thu_W1[[#This Row],[Employee Name]],'Base Schedules'!$A$243:$AW$281,22,FALSE)="","",VLOOKUP(Thu_W1[[#This Row],[Employee Name]],'Base Schedules'!$A$243:$AW$281,22,FALSE)),"")</f>
        <v>HL</v>
      </c>
      <c r="X21" s="184" t="str">
        <f>IFERROR(IF(VLOOKUP(Thu_W1[[#This Row],[Employee Name]],'Base Schedules'!$A$243:$AW$281,23,FALSE)="","",VLOOKUP(Thu_W1[[#This Row],[Employee Name]],'Base Schedules'!$A$243:$AW$281,23,FALSE)),"")</f>
        <v>LUNCH</v>
      </c>
      <c r="Y21" s="184" t="str">
        <f>IFERROR(IF(VLOOKUP(Thu_W1[[#This Row],[Employee Name]],'Base Schedules'!$A$243:$AW$281,24,FALSE)="","",VLOOKUP(Thu_W1[[#This Row],[Employee Name]],'Base Schedules'!$A$243:$AW$281,24,FALSE)),"")</f>
        <v>HL</v>
      </c>
      <c r="Z21" s="184" t="str">
        <f>IFERROR(IF(VLOOKUP(Thu_W1[[#This Row],[Employee Name]],'Base Schedules'!$A$243:$AW$281,25,FALSE)="","",VLOOKUP(Thu_W1[[#This Row],[Employee Name]],'Base Schedules'!$A$243:$AW$281,25,FALSE)),"")</f>
        <v>ADM</v>
      </c>
      <c r="AA21" s="184" t="str">
        <f>IFERROR(IF(VLOOKUP(Thu_W1[[#This Row],[Employee Name]],'Base Schedules'!$A$243:$AW$281,26,FALSE)="","",VLOOKUP(Thu_W1[[#This Row],[Employee Name]],'Base Schedules'!$A$243:$AW$281,26,FALSE)),"")</f>
        <v>ADM</v>
      </c>
      <c r="AB21" s="184" t="str">
        <f>IFERROR(IF(VLOOKUP(Thu_W1[[#This Row],[Employee Name]],'Base Schedules'!$A$243:$AW$281,27,FALSE)="","",VLOOKUP(Thu_W1[[#This Row],[Employee Name]],'Base Schedules'!$A$243:$AW$281,27,FALSE)),"")</f>
        <v>ADM B2</v>
      </c>
      <c r="AC21" s="184" t="str">
        <f>IFERROR(IF(VLOOKUP(Thu_W1[[#This Row],[Employee Name]],'Base Schedules'!$A$243:$AW$281,28,FALSE)="","",VLOOKUP(Thu_W1[[#This Row],[Employee Name]],'Base Schedules'!$A$243:$AW$281,28,FALSE)),"")</f>
        <v>ADM</v>
      </c>
      <c r="AD21" s="184" t="str">
        <f>IFERROR(IF(VLOOKUP(Thu_W1[[#This Row],[Employee Name]],'Base Schedules'!$A$243:$AW$281,29,FALSE)="","",VLOOKUP(Thu_W1[[#This Row],[Employee Name]],'Base Schedules'!$A$243:$AW$281,29,FALSE)),"")</f>
        <v>ADM</v>
      </c>
      <c r="AE21" s="184" t="str">
        <f>IFERROR(IF(VLOOKUP(Thu_W1[[#This Row],[Employee Name]],'Base Schedules'!$A$243:$AW$281,30,FALSE)="","",VLOOKUP(Thu_W1[[#This Row],[Employee Name]],'Base Schedules'!$A$243:$AW$281,30,FALSE)),"")</f>
        <v>ADM</v>
      </c>
      <c r="AF21" s="184" t="str">
        <f>IFERROR(IF(VLOOKUP(Thu_W1[[#This Row],[Employee Name]],'Base Schedules'!$A$243:$AW$281,31,FALSE)="","",VLOOKUP(Thu_W1[[#This Row],[Employee Name]],'Base Schedules'!$A$243:$AW$281,31,FALSE)),"")</f>
        <v/>
      </c>
      <c r="AG21" s="184" t="str">
        <f>IFERROR(IF(VLOOKUP(Thu_W1[[#This Row],[Employee Name]],'Base Schedules'!$A$243:$AW$281,32,FALSE)="","",VLOOKUP(Thu_W1[[#This Row],[Employee Name]],'Base Schedules'!$A$243:$AW$281,32,FALSE)),"")</f>
        <v/>
      </c>
      <c r="AH21" s="184" t="str">
        <f>IFERROR(IF(VLOOKUP(Thu_W1[[#This Row],[Employee Name]],'Base Schedules'!$A$243:$AW$281,33,FALSE)="","",VLOOKUP(Thu_W1[[#This Row],[Employee Name]],'Base Schedules'!$A$243:$AW$281,33,FALSE)),"")</f>
        <v/>
      </c>
      <c r="AI21" s="184" t="str">
        <f>IFERROR(IF(VLOOKUP(Thu_W1[[#This Row],[Employee Name]],'Base Schedules'!$A$243:$AW$281,34,FALSE)="","",VLOOKUP(Thu_W1[[#This Row],[Employee Name]],'Base Schedules'!$A$243:$AW$281,34,FALSE)),"")</f>
        <v/>
      </c>
      <c r="AJ21" s="184" t="str">
        <f>IFERROR(IF(VLOOKUP(Thu_W1[[#This Row],[Employee Name]],'Base Schedules'!$A$243:$AW$281,35,FALSE)="","",VLOOKUP(Thu_W1[[#This Row],[Employee Name]],'Base Schedules'!$A$243:$AW$281,35,FALSE)),"")</f>
        <v/>
      </c>
      <c r="AK21" s="184" t="str">
        <f>IFERROR(IF(VLOOKUP(Thu_W1[[#This Row],[Employee Name]],'Base Schedules'!$A$243:$AW$281,36,FALSE)="","",VLOOKUP(Thu_W1[[#This Row],[Employee Name]],'Base Schedules'!$A$243:$AW$281,36,FALSE)),"")</f>
        <v/>
      </c>
      <c r="AL21" s="184" t="str">
        <f>IFERROR(IF(VLOOKUP(Thu_W1[[#This Row],[Employee Name]],'Base Schedules'!$A$243:$AW$281,37,FALSE)="","",VLOOKUP(Thu_W1[[#This Row],[Employee Name]],'Base Schedules'!$A$243:$AW$281,37,FALSE)),"")</f>
        <v/>
      </c>
      <c r="AM21" s="184" t="str">
        <f>IFERROR(IF(VLOOKUP(Thu_W1[[#This Row],[Employee Name]],'Base Schedules'!$A$243:$AW$281,38,FALSE)="","",VLOOKUP(Thu_W1[[#This Row],[Employee Name]],'Base Schedules'!$A$243:$AW$281,38,FALSE)),"")</f>
        <v/>
      </c>
      <c r="AN21" s="184" t="str">
        <f>IFERROR(IF(VLOOKUP(Thu_W1[[#This Row],[Employee Name]],'Base Schedules'!$A$243:$AW$281,39,FALSE)="","",VLOOKUP(Thu_W1[[#This Row],[Employee Name]],'Base Schedules'!$A$243:$AW$281,39,FALSE)),"")</f>
        <v/>
      </c>
      <c r="AO21" s="184" t="str">
        <f>IFERROR(IF(VLOOKUP(Thu_W1[[#This Row],[Employee Name]],'Base Schedules'!$A$243:$AW$281,40,FALSE)="","",VLOOKUP(Thu_W1[[#This Row],[Employee Name]],'Base Schedules'!$A$243:$AW$281,40,FALSE)),"")</f>
        <v/>
      </c>
      <c r="AP21" s="184" t="str">
        <f>IFERROR(IF(VLOOKUP(Thu_W1[[#This Row],[Employee Name]],'Base Schedules'!$A$243:$AW$281,41,FALSE)="","",VLOOKUP(Thu_W1[[#This Row],[Employee Name]],'Base Schedules'!$A$243:$AW$281,41,FALSE)),"")</f>
        <v/>
      </c>
      <c r="AQ21" s="184" t="str">
        <f>IFERROR(IF(VLOOKUP(Thu_W1[[#This Row],[Employee Name]],'Base Schedules'!$A$243:$AW$281,42,FALSE)="","",VLOOKUP(Thu_W1[[#This Row],[Employee Name]],'Base Schedules'!$A$243:$AW$281,42,FALSE)),"")</f>
        <v/>
      </c>
      <c r="AR21" s="184" t="str">
        <f>IFERROR(IF(VLOOKUP(Thu_W1[[#This Row],[Employee Name]],'Base Schedules'!$A$243:$AW$281,43,FALSE)="","",VLOOKUP(Thu_W1[[#This Row],[Employee Name]],'Base Schedules'!$A$243:$AW$281,43,FALSE)),"")</f>
        <v/>
      </c>
      <c r="AS21" s="184" t="str">
        <f>IFERROR(IF(VLOOKUP(Thu_W1[[#This Row],[Employee Name]],'Base Schedules'!$A$243:$AW$281,44,FALSE)="","",VLOOKUP(Thu_W1[[#This Row],[Employee Name]],'Base Schedules'!$A$243:$AW$281,44,FALSE)),"")</f>
        <v/>
      </c>
      <c r="AT21" s="184" t="str">
        <f>IFERROR(IF(VLOOKUP(Thu_W1[[#This Row],[Employee Name]],'Base Schedules'!$A$243:$AW$281,45,FALSE)="","",VLOOKUP(Thu_W1[[#This Row],[Employee Name]],'Base Schedules'!$A$243:$AW$281,45,FALSE)),"")</f>
        <v/>
      </c>
      <c r="AU21" s="184" t="str">
        <f>IFERROR(IF(VLOOKUP(Thu_W1[[#This Row],[Employee Name]],'Base Schedules'!$A$243:$AW$281,46,FALSE)="","",VLOOKUP(Thu_W1[[#This Row],[Employee Name]],'Base Schedules'!$A$243:$AW$281,46,FALSE)),"")</f>
        <v/>
      </c>
      <c r="AV21" s="184" t="str">
        <f>IFERROR(IF(VLOOKUP(Thu_W1[[#This Row],[Employee Name]],'Base Schedules'!$A$243:$AW$281,47,FALSE)="","",VLOOKUP(Thu_W1[[#This Row],[Employee Name]],'Base Schedules'!$A$243:$AW$281,47,FALSE)),"")</f>
        <v/>
      </c>
      <c r="AW21" s="184" t="str">
        <f>IFERROR(IF(VLOOKUP(Thu_W1[[#This Row],[Employee Name]],'Base Schedules'!$A$243:$AW$281,48,FALSE)="","",VLOOKUP(Thu_W1[[#This Row],[Employee Name]],'Base Schedules'!$A$243:$AW$281,48,FALSE)),"")</f>
        <v/>
      </c>
      <c r="AX21" s="184" t="str">
        <f>IFERROR(IF(VLOOKUP(Thu_W1[[#This Row],[Employee Name]],'Base Schedules'!$A$243:$AW$281,49,FALSE)="","",VLOOKUP(Thu_W1[[#This Row],[Employee Name]],'Base Schedules'!$A$243:$AW$281,49,FALSE)),"")</f>
        <v/>
      </c>
      <c r="AY21" s="164" t="str">
        <f t="shared" si="2"/>
        <v>Fine, Melissa</v>
      </c>
    </row>
    <row r="22" spans="1:51" s="44" customFormat="1" ht="12" x14ac:dyDescent="0.2">
      <c r="A22" s="39" t="str">
        <f>IF(B22="","",INDEX(TeamList[],MATCH($B22,TeamList[[Employee Name]:[Employee Name]],0),MATCH("Manager",TeamList[#Headers],0)))</f>
        <v>Paulson, Matthew</v>
      </c>
      <c r="B22" s="201" t="s">
        <v>33</v>
      </c>
      <c r="C22" s="257" t="str">
        <f>_xlfn.IFNA(VLOOKUP(Thu_W1[[#This Row],[Employee Name]],'Base Schedules'!A:B,2,FALSE),"")</f>
        <v>Supervisor</v>
      </c>
      <c r="D22" s="274">
        <f>_xlfn.IFNA(VLOOKUP(Thu_W1[[#This Row],[Employee Name]],'Base Schedules'!A:C,3,FALSE),"")</f>
        <v>730</v>
      </c>
      <c r="E22" s="274">
        <f>_xlfn.IFNA(VLOOKUP(Thu_W1[[#This Row],[Employee Name]],'Base Schedules'!A:D,4,FALSE),"")</f>
        <v>1630</v>
      </c>
      <c r="F22" s="142">
        <f>IF(Thu_W1[[#This Row],[Employee Name]]="","",IF(Thu_W1[[#This Row],[Dept]]="Supervisor",COUNTIFS($J22:$AX22,"*HL*",$J22:$AX22,"&lt;&gt;"&amp;"pHL"),COUNTIFS($J22:$AX22,"*HL*",$J22:$AX22,"&lt;&gt;"&amp;"*pHL*",$J22:$AX22,"&lt;&gt;"&amp;"pB1 HL",$J22:$AX22,"&lt;&gt;"&amp;"pB2 HL")-SUM(COUNTIFS($J22:$AX22,"*HL B1*",$J22:$AX22,"&lt;&gt;"&amp;"pHL B1")*0.5,COUNTIFS($J22:$AX22,"*HL B2*",$J22:$AX22,"&lt;&gt;"&amp;"pHL B2")*0.5,COUNTIFS($J22:$AX22,"*B1 HL*",$J22:$AX22,"&lt;&gt;"&amp;"pB1 HL")*0.5,COUNTIFS($J22:$AX22,"*B2 HL*",$J22:$AX22,"&lt;&gt;"&amp;"pB2 HL")*0.5)))</f>
        <v>0</v>
      </c>
      <c r="G22" s="142">
        <f t="shared" si="0"/>
        <v>4</v>
      </c>
      <c r="H22" s="142">
        <f t="shared" si="1"/>
        <v>0</v>
      </c>
      <c r="I22" s="142">
        <f>IF(Thu_W1[[#This Row],[Employee Name]]="","",IF(Thu_W1[[#This Row],[Dept]]="Supervisor",SUM(COUNTIFS($J22:$AX22,"RTA*",$J22:$AX22,"&lt;&gt;"&amp;"pRTA"),COUNTIFS($J22:$AX22,"*CRTA*",$J22:$AX22,"&lt;&gt;"&amp;"pCRTA")),COUNTIFS($J22:$AX22,"*RNNR*",$J22:$AX22,"&lt;&gt;"&amp;"*pRNNR*",$J22:$AX22,"&lt;&gt;"&amp;"pB1 RNNR",$J22:$AX22,"&lt;&gt;"&amp;"pB2 RNNR")-SUM(COUNTIFS($J22:$AX22,"*RNNR B1*",$J22:$AX22,"&lt;&gt;"&amp;"pRNNR B1")*0.5,COUNTIFS($J22:$AX22,"*RNNR B2*",$J22:$AX22,"&lt;&gt;"&amp;"pRNNR B2")*0.5,COUNTIFS($J22:$AX22,"*B1 RNNR*",$J22:$AX22,"&lt;&gt;"&amp;"pB1 RNNR")*0.5,COUNTIFS($J22:$AX22,"*B2 RNNR*",$J22:$AX22,"&lt;&gt;"&amp;"pB2 RNNR")*0.5)))</f>
        <v>0</v>
      </c>
      <c r="J22" s="184" t="str">
        <f>IFERROR(IF(VLOOKUP(Thu_W1[[#This Row],[Employee Name]],'Base Schedules'!$A$243:$AW$281,9,FALSE)="","",VLOOKUP(Thu_W1[[#This Row],[Employee Name]],'Base Schedules'!$A$243:$AW$281,9,FALSE)),"")</f>
        <v/>
      </c>
      <c r="K22" s="184" t="str">
        <f>IFERROR(IF(VLOOKUP(Thu_W1[[#This Row],[Employee Name]],'Base Schedules'!$A$243:$AW$281,10,FALSE)="","",VLOOKUP(Thu_W1[[#This Row],[Employee Name]],'Base Schedules'!$A$243:$AW$281,10,FALSE)),"")</f>
        <v/>
      </c>
      <c r="L22" s="184" t="str">
        <f>IFERROR(IF(VLOOKUP(Thu_W1[[#This Row],[Employee Name]],'Base Schedules'!$A$243:$AW$281,11,FALSE)="","",VLOOKUP(Thu_W1[[#This Row],[Employee Name]],'Base Schedules'!$A$243:$AW$281,11,FALSE)),"")</f>
        <v/>
      </c>
      <c r="M22" s="184" t="str">
        <f>IFERROR(IF(VLOOKUP(Thu_W1[[#This Row],[Employee Name]],'Base Schedules'!$A$243:$AW$281,12,FALSE)="","",VLOOKUP(Thu_W1[[#This Row],[Employee Name]],'Base Schedules'!$A$243:$AW$281,12,FALSE)),"")</f>
        <v/>
      </c>
      <c r="N22" s="184" t="str">
        <f>IFERROR(IF(VLOOKUP(Thu_W1[[#This Row],[Employee Name]],'Base Schedules'!$A$243:$AW$281,13,FALSE)="","",VLOOKUP(Thu_W1[[#This Row],[Employee Name]],'Base Schedules'!$A$243:$AW$281,13,FALSE)),"")</f>
        <v/>
      </c>
      <c r="O22" s="184" t="str">
        <f>IFERROR(IF(VLOOKUP(Thu_W1[[#This Row],[Employee Name]],'Base Schedules'!$A$243:$AW$281,14,FALSE)="","",VLOOKUP(Thu_W1[[#This Row],[Employee Name]],'Base Schedules'!$A$243:$AW$281,14,FALSE)),"")</f>
        <v>-</v>
      </c>
      <c r="P22" s="184" t="str">
        <f>IFERROR(IF(VLOOKUP(Thu_W1[[#This Row],[Employee Name]],'Base Schedules'!$A$243:$AW$281,15,FALSE)="","",VLOOKUP(Thu_W1[[#This Row],[Employee Name]],'Base Schedules'!$A$243:$AW$281,15,FALSE)),"")</f>
        <v>-</v>
      </c>
      <c r="Q22" s="184" t="str">
        <f>IFERROR(IF(VLOOKUP(Thu_W1[[#This Row],[Employee Name]],'Base Schedules'!$A$243:$AW$281,16,FALSE)="","",VLOOKUP(Thu_W1[[#This Row],[Employee Name]],'Base Schedules'!$A$243:$AW$281,16,FALSE)),"")</f>
        <v>-</v>
      </c>
      <c r="R22" s="184" t="str">
        <f>IFERROR(IF(VLOOKUP(Thu_W1[[#This Row],[Employee Name]],'Base Schedules'!$A$243:$AW$281,17,FALSE)="","",VLOOKUP(Thu_W1[[#This Row],[Employee Name]],'Base Schedules'!$A$243:$AW$281,17,FALSE)),"")</f>
        <v>-</v>
      </c>
      <c r="S22" s="184" t="str">
        <f>IFERROR(IF(VLOOKUP(Thu_W1[[#This Row],[Employee Name]],'Base Schedules'!$A$243:$AW$281,18,FALSE)="","",VLOOKUP(Thu_W1[[#This Row],[Employee Name]],'Base Schedules'!$A$243:$AW$281,18,FALSE)),"")</f>
        <v>-</v>
      </c>
      <c r="T22" s="184" t="str">
        <f>IFERROR(IF(VLOOKUP(Thu_W1[[#This Row],[Employee Name]],'Base Schedules'!$A$243:$AW$281,19,FALSE)="","",VLOOKUP(Thu_W1[[#This Row],[Employee Name]],'Base Schedules'!$A$243:$AW$281,19,FALSE)),"")</f>
        <v>-</v>
      </c>
      <c r="U22" s="184" t="str">
        <f>IFERROR(IF(VLOOKUP(Thu_W1[[#This Row],[Employee Name]],'Base Schedules'!$A$243:$AW$281,20,FALSE)="","",VLOOKUP(Thu_W1[[#This Row],[Employee Name]],'Base Schedules'!$A$243:$AW$281,20,FALSE)),"")</f>
        <v>-</v>
      </c>
      <c r="V22" s="184" t="str">
        <f>IFERROR(IF(VLOOKUP(Thu_W1[[#This Row],[Employee Name]],'Base Schedules'!$A$243:$AW$281,21,FALSE)="","",VLOOKUP(Thu_W1[[#This Row],[Employee Name]],'Base Schedules'!$A$243:$AW$281,21,FALSE)),"")</f>
        <v>Coaching</v>
      </c>
      <c r="W22" s="184" t="str">
        <f>IFERROR(IF(VLOOKUP(Thu_W1[[#This Row],[Employee Name]],'Base Schedules'!$A$243:$AW$281,22,FALSE)="","",VLOOKUP(Thu_W1[[#This Row],[Employee Name]],'Base Schedules'!$A$243:$AW$281,22,FALSE)),"")</f>
        <v>Coaching</v>
      </c>
      <c r="X22" s="184" t="str">
        <f>IFERROR(IF(VLOOKUP(Thu_W1[[#This Row],[Employee Name]],'Base Schedules'!$A$243:$AW$281,23,FALSE)="","",VLOOKUP(Thu_W1[[#This Row],[Employee Name]],'Base Schedules'!$A$243:$AW$281,23,FALSE)),"")</f>
        <v>Coaching</v>
      </c>
      <c r="Y22" s="184" t="str">
        <f>IFERROR(IF(VLOOKUP(Thu_W1[[#This Row],[Employee Name]],'Base Schedules'!$A$243:$AW$281,24,FALSE)="","",VLOOKUP(Thu_W1[[#This Row],[Employee Name]],'Base Schedules'!$A$243:$AW$281,24,FALSE)),"")</f>
        <v>Coaching</v>
      </c>
      <c r="Z22" s="184" t="str">
        <f>IFERROR(IF(VLOOKUP(Thu_W1[[#This Row],[Employee Name]],'Base Schedules'!$A$243:$AW$281,25,FALSE)="","",VLOOKUP(Thu_W1[[#This Row],[Employee Name]],'Base Schedules'!$A$243:$AW$281,25,FALSE)),"")</f>
        <v>Interview</v>
      </c>
      <c r="AA22" s="184" t="str">
        <f>IFERROR(IF(VLOOKUP(Thu_W1[[#This Row],[Employee Name]],'Base Schedules'!$A$243:$AW$281,26,FALSE)="","",VLOOKUP(Thu_W1[[#This Row],[Employee Name]],'Base Schedules'!$A$243:$AW$281,26,FALSE)),"")</f>
        <v>Interview</v>
      </c>
      <c r="AB22" s="184" t="str">
        <f>IFERROR(IF(VLOOKUP(Thu_W1[[#This Row],[Employee Name]],'Base Schedules'!$A$243:$AW$281,27,FALSE)="","",VLOOKUP(Thu_W1[[#This Row],[Employee Name]],'Base Schedules'!$A$243:$AW$281,27,FALSE)),"")</f>
        <v>-</v>
      </c>
      <c r="AC22" s="184" t="str">
        <f>IFERROR(IF(VLOOKUP(Thu_W1[[#This Row],[Employee Name]],'Base Schedules'!$A$243:$AW$281,28,FALSE)="","",VLOOKUP(Thu_W1[[#This Row],[Employee Name]],'Base Schedules'!$A$243:$AW$281,28,FALSE)),"")</f>
        <v>-</v>
      </c>
      <c r="AD22" s="184" t="str">
        <f>IFERROR(IF(VLOOKUP(Thu_W1[[#This Row],[Employee Name]],'Base Schedules'!$A$243:$AW$281,29,FALSE)="","",VLOOKUP(Thu_W1[[#This Row],[Employee Name]],'Base Schedules'!$A$243:$AW$281,29,FALSE)),"")</f>
        <v>-</v>
      </c>
      <c r="AE22" s="184" t="str">
        <f>IFERROR(IF(VLOOKUP(Thu_W1[[#This Row],[Employee Name]],'Base Schedules'!$A$243:$AW$281,30,FALSE)="","",VLOOKUP(Thu_W1[[#This Row],[Employee Name]],'Base Schedules'!$A$243:$AW$281,30,FALSE)),"")</f>
        <v>-</v>
      </c>
      <c r="AF22" s="184" t="str">
        <f>IFERROR(IF(VLOOKUP(Thu_W1[[#This Row],[Employee Name]],'Base Schedules'!$A$243:$AW$281,31,FALSE)="","",VLOOKUP(Thu_W1[[#This Row],[Employee Name]],'Base Schedules'!$A$243:$AW$281,31,FALSE)),"")</f>
        <v>-</v>
      </c>
      <c r="AG22" s="184" t="str">
        <f>IFERROR(IF(VLOOKUP(Thu_W1[[#This Row],[Employee Name]],'Base Schedules'!$A$243:$AW$281,32,FALSE)="","",VLOOKUP(Thu_W1[[#This Row],[Employee Name]],'Base Schedules'!$A$243:$AW$281,32,FALSE)),"")</f>
        <v/>
      </c>
      <c r="AH22" s="184" t="str">
        <f>IFERROR(IF(VLOOKUP(Thu_W1[[#This Row],[Employee Name]],'Base Schedules'!$A$243:$AW$281,33,FALSE)="","",VLOOKUP(Thu_W1[[#This Row],[Employee Name]],'Base Schedules'!$A$243:$AW$281,33,FALSE)),"")</f>
        <v/>
      </c>
      <c r="AI22" s="184" t="str">
        <f>IFERROR(IF(VLOOKUP(Thu_W1[[#This Row],[Employee Name]],'Base Schedules'!$A$243:$AW$281,34,FALSE)="","",VLOOKUP(Thu_W1[[#This Row],[Employee Name]],'Base Schedules'!$A$243:$AW$281,34,FALSE)),"")</f>
        <v/>
      </c>
      <c r="AJ22" s="184" t="str">
        <f>IFERROR(IF(VLOOKUP(Thu_W1[[#This Row],[Employee Name]],'Base Schedules'!$A$243:$AW$281,35,FALSE)="","",VLOOKUP(Thu_W1[[#This Row],[Employee Name]],'Base Schedules'!$A$243:$AW$281,35,FALSE)),"")</f>
        <v/>
      </c>
      <c r="AK22" s="184" t="str">
        <f>IFERROR(IF(VLOOKUP(Thu_W1[[#This Row],[Employee Name]],'Base Schedules'!$A$243:$AW$281,36,FALSE)="","",VLOOKUP(Thu_W1[[#This Row],[Employee Name]],'Base Schedules'!$A$243:$AW$281,36,FALSE)),"")</f>
        <v/>
      </c>
      <c r="AL22" s="184" t="str">
        <f>IFERROR(IF(VLOOKUP(Thu_W1[[#This Row],[Employee Name]],'Base Schedules'!$A$243:$AW$281,37,FALSE)="","",VLOOKUP(Thu_W1[[#This Row],[Employee Name]],'Base Schedules'!$A$243:$AW$281,37,FALSE)),"")</f>
        <v/>
      </c>
      <c r="AM22" s="184" t="str">
        <f>IFERROR(IF(VLOOKUP(Thu_W1[[#This Row],[Employee Name]],'Base Schedules'!$A$243:$AW$281,38,FALSE)="","",VLOOKUP(Thu_W1[[#This Row],[Employee Name]],'Base Schedules'!$A$243:$AW$281,38,FALSE)),"")</f>
        <v/>
      </c>
      <c r="AN22" s="184" t="str">
        <f>IFERROR(IF(VLOOKUP(Thu_W1[[#This Row],[Employee Name]],'Base Schedules'!$A$243:$AW$281,39,FALSE)="","",VLOOKUP(Thu_W1[[#This Row],[Employee Name]],'Base Schedules'!$A$243:$AW$281,39,FALSE)),"")</f>
        <v/>
      </c>
      <c r="AO22" s="184" t="str">
        <f>IFERROR(IF(VLOOKUP(Thu_W1[[#This Row],[Employee Name]],'Base Schedules'!$A$243:$AW$281,40,FALSE)="","",VLOOKUP(Thu_W1[[#This Row],[Employee Name]],'Base Schedules'!$A$243:$AW$281,40,FALSE)),"")</f>
        <v/>
      </c>
      <c r="AP22" s="184" t="str">
        <f>IFERROR(IF(VLOOKUP(Thu_W1[[#This Row],[Employee Name]],'Base Schedules'!$A$243:$AW$281,41,FALSE)="","",VLOOKUP(Thu_W1[[#This Row],[Employee Name]],'Base Schedules'!$A$243:$AW$281,41,FALSE)),"")</f>
        <v/>
      </c>
      <c r="AQ22" s="184" t="str">
        <f>IFERROR(IF(VLOOKUP(Thu_W1[[#This Row],[Employee Name]],'Base Schedules'!$A$243:$AW$281,42,FALSE)="","",VLOOKUP(Thu_W1[[#This Row],[Employee Name]],'Base Schedules'!$A$243:$AW$281,42,FALSE)),"")</f>
        <v/>
      </c>
      <c r="AR22" s="184" t="str">
        <f>IFERROR(IF(VLOOKUP(Thu_W1[[#This Row],[Employee Name]],'Base Schedules'!$A$243:$AW$281,43,FALSE)="","",VLOOKUP(Thu_W1[[#This Row],[Employee Name]],'Base Schedules'!$A$243:$AW$281,43,FALSE)),"")</f>
        <v/>
      </c>
      <c r="AS22" s="184" t="str">
        <f>IFERROR(IF(VLOOKUP(Thu_W1[[#This Row],[Employee Name]],'Base Schedules'!$A$243:$AW$281,44,FALSE)="","",VLOOKUP(Thu_W1[[#This Row],[Employee Name]],'Base Schedules'!$A$243:$AW$281,44,FALSE)),"")</f>
        <v/>
      </c>
      <c r="AT22" s="184" t="str">
        <f>IFERROR(IF(VLOOKUP(Thu_W1[[#This Row],[Employee Name]],'Base Schedules'!$A$243:$AW$281,45,FALSE)="","",VLOOKUP(Thu_W1[[#This Row],[Employee Name]],'Base Schedules'!$A$243:$AW$281,45,FALSE)),"")</f>
        <v/>
      </c>
      <c r="AU22" s="184" t="str">
        <f>IFERROR(IF(VLOOKUP(Thu_W1[[#This Row],[Employee Name]],'Base Schedules'!$A$243:$AW$281,46,FALSE)="","",VLOOKUP(Thu_W1[[#This Row],[Employee Name]],'Base Schedules'!$A$243:$AW$281,46,FALSE)),"")</f>
        <v/>
      </c>
      <c r="AV22" s="184" t="str">
        <f>IFERROR(IF(VLOOKUP(Thu_W1[[#This Row],[Employee Name]],'Base Schedules'!$A$243:$AW$281,47,FALSE)="","",VLOOKUP(Thu_W1[[#This Row],[Employee Name]],'Base Schedules'!$A$243:$AW$281,47,FALSE)),"")</f>
        <v/>
      </c>
      <c r="AW22" s="184" t="str">
        <f>IFERROR(IF(VLOOKUP(Thu_W1[[#This Row],[Employee Name]],'Base Schedules'!$A$243:$AW$281,48,FALSE)="","",VLOOKUP(Thu_W1[[#This Row],[Employee Name]],'Base Schedules'!$A$243:$AW$281,48,FALSE)),"")</f>
        <v/>
      </c>
      <c r="AX22" s="184" t="str">
        <f>IFERROR(IF(VLOOKUP(Thu_W1[[#This Row],[Employee Name]],'Base Schedules'!$A$243:$AW$281,49,FALSE)="","",VLOOKUP(Thu_W1[[#This Row],[Employee Name]],'Base Schedules'!$A$243:$AW$281,49,FALSE)),"")</f>
        <v/>
      </c>
      <c r="AY22" s="166" t="str">
        <f t="shared" si="2"/>
        <v>Parkin-Rego, Kimberlee</v>
      </c>
    </row>
    <row r="23" spans="1:51" s="44" customFormat="1" ht="13.5" customHeight="1" x14ac:dyDescent="0.2">
      <c r="A23" s="39" t="str">
        <f>IF(B23="","",INDEX(TeamList[],MATCH($B23,TeamList[[Employee Name]:[Employee Name]],0),MATCH("Manager",TeamList[#Headers],0)))</f>
        <v>Ahmed Hassan, Zahra</v>
      </c>
      <c r="B23" s="201" t="s">
        <v>70</v>
      </c>
      <c r="C23" s="257" t="str">
        <f>_xlfn.IFNA(VLOOKUP(Thu_W1[[#This Row],[Employee Name]],'Base Schedules'!A:B,2,FALSE),"")</f>
        <v>Supervisor</v>
      </c>
      <c r="D23" s="274">
        <f>_xlfn.IFNA(VLOOKUP(Thu_W1[[#This Row],[Employee Name]],'Base Schedules'!A:C,3,FALSE),"")</f>
        <v>800</v>
      </c>
      <c r="E23" s="274">
        <f>_xlfn.IFNA(VLOOKUP(Thu_W1[[#This Row],[Employee Name]],'Base Schedules'!A:D,4,FALSE),"")</f>
        <v>1700</v>
      </c>
      <c r="F23" s="142">
        <f>IF(Thu_W1[[#This Row],[Employee Name]]="","",IF(Thu_W1[[#This Row],[Dept]]="Supervisor",COUNTIFS($J23:$AX23,"*HL*",$J23:$AX23,"&lt;&gt;"&amp;"pHL"),COUNTIFS($J23:$AX23,"*HL*",$J23:$AX23,"&lt;&gt;"&amp;"*pHL*",$J23:$AX23,"&lt;&gt;"&amp;"pB1 HL",$J23:$AX23,"&lt;&gt;"&amp;"pB2 HL")-SUM(COUNTIFS($J23:$AX23,"*HL B1*",$J23:$AX23,"&lt;&gt;"&amp;"pHL B1")*0.5,COUNTIFS($J23:$AX23,"*HL B2*",$J23:$AX23,"&lt;&gt;"&amp;"pHL B2")*0.5,COUNTIFS($J23:$AX23,"*B1 HL*",$J23:$AX23,"&lt;&gt;"&amp;"pB1 HL")*0.5,COUNTIFS($J23:$AX23,"*B2 HL*",$J23:$AX23,"&lt;&gt;"&amp;"pB2 HL")*0.5)))</f>
        <v>0</v>
      </c>
      <c r="G23" s="142">
        <f t="shared" si="0"/>
        <v>4</v>
      </c>
      <c r="H23" s="142">
        <f t="shared" si="1"/>
        <v>0</v>
      </c>
      <c r="I23" s="142">
        <f>IF(Thu_W1[[#This Row],[Employee Name]]="","",IF(Thu_W1[[#This Row],[Dept]]="Supervisor",SUM(COUNTIFS($J23:$AX23,"RTA*",$J23:$AX23,"&lt;&gt;"&amp;"pRTA"),COUNTIFS($J23:$AX23,"*CRTA*",$J23:$AX23,"&lt;&gt;"&amp;"pCRTA")),COUNTIFS($J23:$AX23,"*RNNR*",$J23:$AX23,"&lt;&gt;"&amp;"*pRNNR*",$J23:$AX23,"&lt;&gt;"&amp;"pB1 RNNR",$J23:$AX23,"&lt;&gt;"&amp;"pB2 RNNR")-SUM(COUNTIFS($J23:$AX23,"*RNNR B1*",$J23:$AX23,"&lt;&gt;"&amp;"pRNNR B1")*0.5,COUNTIFS($J23:$AX23,"*RNNR B2*",$J23:$AX23,"&lt;&gt;"&amp;"pRNNR B2")*0.5,COUNTIFS($J23:$AX23,"*B1 RNNR*",$J23:$AX23,"&lt;&gt;"&amp;"pB1 RNNR")*0.5,COUNTIFS($J23:$AX23,"*B2 RNNR*",$J23:$AX23,"&lt;&gt;"&amp;"pB2 RNNR")*0.5)))</f>
        <v>0</v>
      </c>
      <c r="J23" s="184" t="str">
        <f>IFERROR(IF(VLOOKUP(Thu_W1[[#This Row],[Employee Name]],'Base Schedules'!$A$243:$AW$281,9,FALSE)="","",VLOOKUP(Thu_W1[[#This Row],[Employee Name]],'Base Schedules'!$A$243:$AW$281,9,FALSE)),"")</f>
        <v/>
      </c>
      <c r="K23" s="184" t="str">
        <f>IFERROR(IF(VLOOKUP(Thu_W1[[#This Row],[Employee Name]],'Base Schedules'!$A$243:$AW$281,10,FALSE)="","",VLOOKUP(Thu_W1[[#This Row],[Employee Name]],'Base Schedules'!$A$243:$AW$281,10,FALSE)),"")</f>
        <v/>
      </c>
      <c r="L23" s="184" t="str">
        <f>IFERROR(IF(VLOOKUP(Thu_W1[[#This Row],[Employee Name]],'Base Schedules'!$A$243:$AW$281,11,FALSE)="","",VLOOKUP(Thu_W1[[#This Row],[Employee Name]],'Base Schedules'!$A$243:$AW$281,11,FALSE)),"")</f>
        <v/>
      </c>
      <c r="M23" s="184" t="str">
        <f>IFERROR(IF(VLOOKUP(Thu_W1[[#This Row],[Employee Name]],'Base Schedules'!$A$243:$AW$281,12,FALSE)="","",VLOOKUP(Thu_W1[[#This Row],[Employee Name]],'Base Schedules'!$A$243:$AW$281,12,FALSE)),"")</f>
        <v/>
      </c>
      <c r="N23" s="184" t="str">
        <f>IFERROR(IF(VLOOKUP(Thu_W1[[#This Row],[Employee Name]],'Base Schedules'!$A$243:$AW$281,13,FALSE)="","",VLOOKUP(Thu_W1[[#This Row],[Employee Name]],'Base Schedules'!$A$243:$AW$281,13,FALSE)),"")</f>
        <v/>
      </c>
      <c r="O23" s="184" t="str">
        <f>IFERROR(IF(VLOOKUP(Thu_W1[[#This Row],[Employee Name]],'Base Schedules'!$A$243:$AW$281,14,FALSE)="","",VLOOKUP(Thu_W1[[#This Row],[Employee Name]],'Base Schedules'!$A$243:$AW$281,14,FALSE)),"")</f>
        <v/>
      </c>
      <c r="P23" s="184" t="str">
        <f>IFERROR(IF(VLOOKUP(Thu_W1[[#This Row],[Employee Name]],'Base Schedules'!$A$243:$AW$281,15,FALSE)="","",VLOOKUP(Thu_W1[[#This Row],[Employee Name]],'Base Schedules'!$A$243:$AW$281,15,FALSE)),"")</f>
        <v>-</v>
      </c>
      <c r="Q23" s="184" t="str">
        <f>IFERROR(IF(VLOOKUP(Thu_W1[[#This Row],[Employee Name]],'Base Schedules'!$A$243:$AW$281,16,FALSE)="","",VLOOKUP(Thu_W1[[#This Row],[Employee Name]],'Base Schedules'!$A$243:$AW$281,16,FALSE)),"")</f>
        <v>-</v>
      </c>
      <c r="R23" s="184" t="str">
        <f>IFERROR(IF(VLOOKUP(Thu_W1[[#This Row],[Employee Name]],'Base Schedules'!$A$243:$AW$281,17,FALSE)="","",VLOOKUP(Thu_W1[[#This Row],[Employee Name]],'Base Schedules'!$A$243:$AW$281,17,FALSE)),"")</f>
        <v>Coaching</v>
      </c>
      <c r="S23" s="184" t="str">
        <f>IFERROR(IF(VLOOKUP(Thu_W1[[#This Row],[Employee Name]],'Base Schedules'!$A$243:$AW$281,18,FALSE)="","",VLOOKUP(Thu_W1[[#This Row],[Employee Name]],'Base Schedules'!$A$243:$AW$281,18,FALSE)),"")</f>
        <v>Coaching</v>
      </c>
      <c r="T23" s="184" t="str">
        <f>IFERROR(IF(VLOOKUP(Thu_W1[[#This Row],[Employee Name]],'Base Schedules'!$A$243:$AW$281,19,FALSE)="","",VLOOKUP(Thu_W1[[#This Row],[Employee Name]],'Base Schedules'!$A$243:$AW$281,19,FALSE)),"")</f>
        <v>Coaching</v>
      </c>
      <c r="U23" s="184" t="str">
        <f>IFERROR(IF(VLOOKUP(Thu_W1[[#This Row],[Employee Name]],'Base Schedules'!$A$243:$AW$281,20,FALSE)="","",VLOOKUP(Thu_W1[[#This Row],[Employee Name]],'Base Schedules'!$A$243:$AW$281,20,FALSE)),"")</f>
        <v>Coaching</v>
      </c>
      <c r="V23" s="184" t="str">
        <f>IFERROR(IF(VLOOKUP(Thu_W1[[#This Row],[Employee Name]],'Base Schedules'!$A$243:$AW$281,21,FALSE)="","",VLOOKUP(Thu_W1[[#This Row],[Employee Name]],'Base Schedules'!$A$243:$AW$281,21,FALSE)),"")</f>
        <v>-</v>
      </c>
      <c r="W23" s="184" t="str">
        <f>IFERROR(IF(VLOOKUP(Thu_W1[[#This Row],[Employee Name]],'Base Schedules'!$A$243:$AW$281,22,FALSE)="","",VLOOKUP(Thu_W1[[#This Row],[Employee Name]],'Base Schedules'!$A$243:$AW$281,22,FALSE)),"")</f>
        <v>-</v>
      </c>
      <c r="X23" s="184" t="str">
        <f>IFERROR(IF(VLOOKUP(Thu_W1[[#This Row],[Employee Name]],'Base Schedules'!$A$243:$AW$281,23,FALSE)="","",VLOOKUP(Thu_W1[[#This Row],[Employee Name]],'Base Schedules'!$A$243:$AW$281,23,FALSE)),"")</f>
        <v>-</v>
      </c>
      <c r="Y23" s="184" t="str">
        <f>IFERROR(IF(VLOOKUP(Thu_W1[[#This Row],[Employee Name]],'Base Schedules'!$A$243:$AW$281,24,FALSE)="","",VLOOKUP(Thu_W1[[#This Row],[Employee Name]],'Base Schedules'!$A$243:$AW$281,24,FALSE)),"")</f>
        <v>-</v>
      </c>
      <c r="Z23" s="184" t="str">
        <f>IFERROR(IF(VLOOKUP(Thu_W1[[#This Row],[Employee Name]],'Base Schedules'!$A$243:$AW$281,25,FALSE)="","",VLOOKUP(Thu_W1[[#This Row],[Employee Name]],'Base Schedules'!$A$243:$AW$281,25,FALSE)),"")</f>
        <v>TM PREP</v>
      </c>
      <c r="AA23" s="184" t="str">
        <f>IFERROR(IF(VLOOKUP(Thu_W1[[#This Row],[Employee Name]],'Base Schedules'!$A$243:$AW$281,26,FALSE)="","",VLOOKUP(Thu_W1[[#This Row],[Employee Name]],'Base Schedules'!$A$243:$AW$281,26,FALSE)),"")</f>
        <v>VASBINDER TM</v>
      </c>
      <c r="AB23" s="184" t="str">
        <f>IFERROR(IF(VLOOKUP(Thu_W1[[#This Row],[Employee Name]],'Base Schedules'!$A$243:$AW$281,27,FALSE)="","",VLOOKUP(Thu_W1[[#This Row],[Employee Name]],'Base Schedules'!$A$243:$AW$281,27,FALSE)),"")</f>
        <v>VASBINDER TM</v>
      </c>
      <c r="AC23" s="184" t="str">
        <f>IFERROR(IF(VLOOKUP(Thu_W1[[#This Row],[Employee Name]],'Base Schedules'!$A$243:$AW$281,28,FALSE)="","",VLOOKUP(Thu_W1[[#This Row],[Employee Name]],'Base Schedules'!$A$243:$AW$281,28,FALSE)),"")</f>
        <v>-</v>
      </c>
      <c r="AD23" s="184" t="str">
        <f>IFERROR(IF(VLOOKUP(Thu_W1[[#This Row],[Employee Name]],'Base Schedules'!$A$243:$AW$281,29,FALSE)="","",VLOOKUP(Thu_W1[[#This Row],[Employee Name]],'Base Schedules'!$A$243:$AW$281,29,FALSE)),"")</f>
        <v>Interview</v>
      </c>
      <c r="AE23" s="184" t="str">
        <f>IFERROR(IF(VLOOKUP(Thu_W1[[#This Row],[Employee Name]],'Base Schedules'!$A$243:$AW$281,30,FALSE)="","",VLOOKUP(Thu_W1[[#This Row],[Employee Name]],'Base Schedules'!$A$243:$AW$281,30,FALSE)),"")</f>
        <v>Interview</v>
      </c>
      <c r="AF23" s="184" t="str">
        <f>IFERROR(IF(VLOOKUP(Thu_W1[[#This Row],[Employee Name]],'Base Schedules'!$A$243:$AW$281,31,FALSE)="","",VLOOKUP(Thu_W1[[#This Row],[Employee Name]],'Base Schedules'!$A$243:$AW$281,31,FALSE)),"")</f>
        <v>-</v>
      </c>
      <c r="AG23" s="184" t="str">
        <f>IFERROR(IF(VLOOKUP(Thu_W1[[#This Row],[Employee Name]],'Base Schedules'!$A$243:$AW$281,32,FALSE)="","",VLOOKUP(Thu_W1[[#This Row],[Employee Name]],'Base Schedules'!$A$243:$AW$281,32,FALSE)),"")</f>
        <v>-</v>
      </c>
      <c r="AH23" s="184" t="str">
        <f>IFERROR(IF(VLOOKUP(Thu_W1[[#This Row],[Employee Name]],'Base Schedules'!$A$243:$AW$281,33,FALSE)="","",VLOOKUP(Thu_W1[[#This Row],[Employee Name]],'Base Schedules'!$A$243:$AW$281,33,FALSE)),"")</f>
        <v/>
      </c>
      <c r="AI23" s="184" t="str">
        <f>IFERROR(IF(VLOOKUP(Thu_W1[[#This Row],[Employee Name]],'Base Schedules'!$A$243:$AW$281,34,FALSE)="","",VLOOKUP(Thu_W1[[#This Row],[Employee Name]],'Base Schedules'!$A$243:$AW$281,34,FALSE)),"")</f>
        <v/>
      </c>
      <c r="AJ23" s="184" t="str">
        <f>IFERROR(IF(VLOOKUP(Thu_W1[[#This Row],[Employee Name]],'Base Schedules'!$A$243:$AW$281,35,FALSE)="","",VLOOKUP(Thu_W1[[#This Row],[Employee Name]],'Base Schedules'!$A$243:$AW$281,35,FALSE)),"")</f>
        <v/>
      </c>
      <c r="AK23" s="184" t="str">
        <f>IFERROR(IF(VLOOKUP(Thu_W1[[#This Row],[Employee Name]],'Base Schedules'!$A$243:$AW$281,36,FALSE)="","",VLOOKUP(Thu_W1[[#This Row],[Employee Name]],'Base Schedules'!$A$243:$AW$281,36,FALSE)),"")</f>
        <v/>
      </c>
      <c r="AL23" s="184" t="str">
        <f>IFERROR(IF(VLOOKUP(Thu_W1[[#This Row],[Employee Name]],'Base Schedules'!$A$243:$AW$281,37,FALSE)="","",VLOOKUP(Thu_W1[[#This Row],[Employee Name]],'Base Schedules'!$A$243:$AW$281,37,FALSE)),"")</f>
        <v/>
      </c>
      <c r="AM23" s="184" t="str">
        <f>IFERROR(IF(VLOOKUP(Thu_W1[[#This Row],[Employee Name]],'Base Schedules'!$A$243:$AW$281,38,FALSE)="","",VLOOKUP(Thu_W1[[#This Row],[Employee Name]],'Base Schedules'!$A$243:$AW$281,38,FALSE)),"")</f>
        <v/>
      </c>
      <c r="AN23" s="184" t="str">
        <f>IFERROR(IF(VLOOKUP(Thu_W1[[#This Row],[Employee Name]],'Base Schedules'!$A$243:$AW$281,39,FALSE)="","",VLOOKUP(Thu_W1[[#This Row],[Employee Name]],'Base Schedules'!$A$243:$AW$281,39,FALSE)),"")</f>
        <v/>
      </c>
      <c r="AO23" s="184" t="str">
        <f>IFERROR(IF(VLOOKUP(Thu_W1[[#This Row],[Employee Name]],'Base Schedules'!$A$243:$AW$281,40,FALSE)="","",VLOOKUP(Thu_W1[[#This Row],[Employee Name]],'Base Schedules'!$A$243:$AW$281,40,FALSE)),"")</f>
        <v/>
      </c>
      <c r="AP23" s="184" t="str">
        <f>IFERROR(IF(VLOOKUP(Thu_W1[[#This Row],[Employee Name]],'Base Schedules'!$A$243:$AW$281,41,FALSE)="","",VLOOKUP(Thu_W1[[#This Row],[Employee Name]],'Base Schedules'!$A$243:$AW$281,41,FALSE)),"")</f>
        <v/>
      </c>
      <c r="AQ23" s="184" t="str">
        <f>IFERROR(IF(VLOOKUP(Thu_W1[[#This Row],[Employee Name]],'Base Schedules'!$A$243:$AW$281,42,FALSE)="","",VLOOKUP(Thu_W1[[#This Row],[Employee Name]],'Base Schedules'!$A$243:$AW$281,42,FALSE)),"")</f>
        <v/>
      </c>
      <c r="AR23" s="184" t="str">
        <f>IFERROR(IF(VLOOKUP(Thu_W1[[#This Row],[Employee Name]],'Base Schedules'!$A$243:$AW$281,43,FALSE)="","",VLOOKUP(Thu_W1[[#This Row],[Employee Name]],'Base Schedules'!$A$243:$AW$281,43,FALSE)),"")</f>
        <v/>
      </c>
      <c r="AS23" s="184" t="str">
        <f>IFERROR(IF(VLOOKUP(Thu_W1[[#This Row],[Employee Name]],'Base Schedules'!$A$243:$AW$281,44,FALSE)="","",VLOOKUP(Thu_W1[[#This Row],[Employee Name]],'Base Schedules'!$A$243:$AW$281,44,FALSE)),"")</f>
        <v/>
      </c>
      <c r="AT23" s="184" t="str">
        <f>IFERROR(IF(VLOOKUP(Thu_W1[[#This Row],[Employee Name]],'Base Schedules'!$A$243:$AW$281,45,FALSE)="","",VLOOKUP(Thu_W1[[#This Row],[Employee Name]],'Base Schedules'!$A$243:$AW$281,45,FALSE)),"")</f>
        <v/>
      </c>
      <c r="AU23" s="184" t="str">
        <f>IFERROR(IF(VLOOKUP(Thu_W1[[#This Row],[Employee Name]],'Base Schedules'!$A$243:$AW$281,46,FALSE)="","",VLOOKUP(Thu_W1[[#This Row],[Employee Name]],'Base Schedules'!$A$243:$AW$281,46,FALSE)),"")</f>
        <v/>
      </c>
      <c r="AV23" s="184" t="str">
        <f>IFERROR(IF(VLOOKUP(Thu_W1[[#This Row],[Employee Name]],'Base Schedules'!$A$243:$AW$281,47,FALSE)="","",VLOOKUP(Thu_W1[[#This Row],[Employee Name]],'Base Schedules'!$A$243:$AW$281,47,FALSE)),"")</f>
        <v/>
      </c>
      <c r="AW23" s="184" t="str">
        <f>IFERROR(IF(VLOOKUP(Thu_W1[[#This Row],[Employee Name]],'Base Schedules'!$A$243:$AW$281,48,FALSE)="","",VLOOKUP(Thu_W1[[#This Row],[Employee Name]],'Base Schedules'!$A$243:$AW$281,48,FALSE)),"")</f>
        <v/>
      </c>
      <c r="AX23" s="184" t="str">
        <f>IFERROR(IF(VLOOKUP(Thu_W1[[#This Row],[Employee Name]],'Base Schedules'!$A$243:$AW$281,49,FALSE)="","",VLOOKUP(Thu_W1[[#This Row],[Employee Name]],'Base Schedules'!$A$243:$AW$281,49,FALSE)),"")</f>
        <v/>
      </c>
      <c r="AY23" s="164" t="str">
        <f t="shared" si="2"/>
        <v>Vasbinder, Ryan</v>
      </c>
    </row>
    <row r="24" spans="1:51" s="44" customFormat="1" ht="12" x14ac:dyDescent="0.2">
      <c r="A24" s="39" t="str">
        <f>IF(B24="","",INDEX(TeamList[],MATCH($B24,TeamList[[Employee Name]:[Employee Name]],0),MATCH("Manager",TeamList[#Headers],0)))</f>
        <v>Olson, Katherine</v>
      </c>
      <c r="B24" s="202" t="s">
        <v>49</v>
      </c>
      <c r="C24" s="257" t="str">
        <f>_xlfn.IFNA(VLOOKUP(Thu_W1[[#This Row],[Employee Name]],'Base Schedules'!A:B,2,FALSE),"")</f>
        <v>Supervisor</v>
      </c>
      <c r="D24" s="274">
        <f>_xlfn.IFNA(VLOOKUP(Thu_W1[[#This Row],[Employee Name]],'Base Schedules'!A:C,3,FALSE),"")</f>
        <v>800</v>
      </c>
      <c r="E24" s="274">
        <f>_xlfn.IFNA(VLOOKUP(Thu_W1[[#This Row],[Employee Name]],'Base Schedules'!A:D,4,FALSE),"")</f>
        <v>1700</v>
      </c>
      <c r="F24" s="142">
        <f>IF(Thu_W1[[#This Row],[Employee Name]]="","",IF(Thu_W1[[#This Row],[Dept]]="Supervisor",COUNTIFS($J24:$AX24,"*HL*",$J24:$AX24,"&lt;&gt;"&amp;"pHL"),COUNTIFS($J24:$AX24,"*HL*",$J24:$AX24,"&lt;&gt;"&amp;"*pHL*",$J24:$AX24,"&lt;&gt;"&amp;"pB1 HL",$J24:$AX24,"&lt;&gt;"&amp;"pB2 HL")-SUM(COUNTIFS($J24:$AX24,"*HL B1*",$J24:$AX24,"&lt;&gt;"&amp;"pHL B1")*0.5,COUNTIFS($J24:$AX24,"*HL B2*",$J24:$AX24,"&lt;&gt;"&amp;"pHL B2")*0.5,COUNTIFS($J24:$AX24,"*B1 HL*",$J24:$AX24,"&lt;&gt;"&amp;"pB1 HL")*0.5,COUNTIFS($J24:$AX24,"*B2 HL*",$J24:$AX24,"&lt;&gt;"&amp;"pB2 HL")*0.5)))</f>
        <v>0</v>
      </c>
      <c r="G24" s="142">
        <f t="shared" si="0"/>
        <v>4</v>
      </c>
      <c r="H24" s="142">
        <f t="shared" si="1"/>
        <v>0</v>
      </c>
      <c r="I24" s="142">
        <f>IF(Thu_W1[[#This Row],[Employee Name]]="","",IF(Thu_W1[[#This Row],[Dept]]="Supervisor",SUM(COUNTIFS($J24:$AX24,"RTA*",$J24:$AX24,"&lt;&gt;"&amp;"pRTA"),COUNTIFS($J24:$AX24,"*CRTA*",$J24:$AX24,"&lt;&gt;"&amp;"pCRTA")),COUNTIFS($J24:$AX24,"*RNNR*",$J24:$AX24,"&lt;&gt;"&amp;"*pRNNR*",$J24:$AX24,"&lt;&gt;"&amp;"pB1 RNNR",$J24:$AX24,"&lt;&gt;"&amp;"pB2 RNNR")-SUM(COUNTIFS($J24:$AX24,"*RNNR B1*",$J24:$AX24,"&lt;&gt;"&amp;"pRNNR B1")*0.5,COUNTIFS($J24:$AX24,"*RNNR B2*",$J24:$AX24,"&lt;&gt;"&amp;"pRNNR B2")*0.5,COUNTIFS($J24:$AX24,"*B1 RNNR*",$J24:$AX24,"&lt;&gt;"&amp;"pB1 RNNR")*0.5,COUNTIFS($J24:$AX24,"*B2 RNNR*",$J24:$AX24,"&lt;&gt;"&amp;"pB2 RNNR")*0.5)))</f>
        <v>0</v>
      </c>
      <c r="J24" s="184" t="str">
        <f>IFERROR(IF(VLOOKUP(Thu_W1[[#This Row],[Employee Name]],'Base Schedules'!$A$243:$AW$281,9,FALSE)="","",VLOOKUP(Thu_W1[[#This Row],[Employee Name]],'Base Schedules'!$A$243:$AW$281,9,FALSE)),"")</f>
        <v/>
      </c>
      <c r="K24" s="184" t="str">
        <f>IFERROR(IF(VLOOKUP(Thu_W1[[#This Row],[Employee Name]],'Base Schedules'!$A$243:$AW$281,10,FALSE)="","",VLOOKUP(Thu_W1[[#This Row],[Employee Name]],'Base Schedules'!$A$243:$AW$281,10,FALSE)),"")</f>
        <v/>
      </c>
      <c r="L24" s="184" t="str">
        <f>IFERROR(IF(VLOOKUP(Thu_W1[[#This Row],[Employee Name]],'Base Schedules'!$A$243:$AW$281,11,FALSE)="","",VLOOKUP(Thu_W1[[#This Row],[Employee Name]],'Base Schedules'!$A$243:$AW$281,11,FALSE)),"")</f>
        <v/>
      </c>
      <c r="M24" s="184" t="str">
        <f>IFERROR(IF(VLOOKUP(Thu_W1[[#This Row],[Employee Name]],'Base Schedules'!$A$243:$AW$281,12,FALSE)="","",VLOOKUP(Thu_W1[[#This Row],[Employee Name]],'Base Schedules'!$A$243:$AW$281,12,FALSE)),"")</f>
        <v/>
      </c>
      <c r="N24" s="184" t="str">
        <f>IFERROR(IF(VLOOKUP(Thu_W1[[#This Row],[Employee Name]],'Base Schedules'!$A$243:$AW$281,13,FALSE)="","",VLOOKUP(Thu_W1[[#This Row],[Employee Name]],'Base Schedules'!$A$243:$AW$281,13,FALSE)),"")</f>
        <v/>
      </c>
      <c r="O24" s="184" t="str">
        <f>IFERROR(IF(VLOOKUP(Thu_W1[[#This Row],[Employee Name]],'Base Schedules'!$A$243:$AW$281,14,FALSE)="","",VLOOKUP(Thu_W1[[#This Row],[Employee Name]],'Base Schedules'!$A$243:$AW$281,14,FALSE)),"")</f>
        <v/>
      </c>
      <c r="P24" s="184" t="str">
        <f>IFERROR(IF(VLOOKUP(Thu_W1[[#This Row],[Employee Name]],'Base Schedules'!$A$243:$AW$281,15,FALSE)="","",VLOOKUP(Thu_W1[[#This Row],[Employee Name]],'Base Schedules'!$A$243:$AW$281,15,FALSE)),"")</f>
        <v>-</v>
      </c>
      <c r="Q24" s="184" t="str">
        <f>IFERROR(IF(VLOOKUP(Thu_W1[[#This Row],[Employee Name]],'Base Schedules'!$A$243:$AW$281,16,FALSE)="","",VLOOKUP(Thu_W1[[#This Row],[Employee Name]],'Base Schedules'!$A$243:$AW$281,16,FALSE)),"")</f>
        <v>-</v>
      </c>
      <c r="R24" s="184" t="str">
        <f>IFERROR(IF(VLOOKUP(Thu_W1[[#This Row],[Employee Name]],'Base Schedules'!$A$243:$AW$281,17,FALSE)="","",VLOOKUP(Thu_W1[[#This Row],[Employee Name]],'Base Schedules'!$A$243:$AW$281,17,FALSE)),"")</f>
        <v>-</v>
      </c>
      <c r="S24" s="184" t="str">
        <f>IFERROR(IF(VLOOKUP(Thu_W1[[#This Row],[Employee Name]],'Base Schedules'!$A$243:$AW$281,18,FALSE)="","",VLOOKUP(Thu_W1[[#This Row],[Employee Name]],'Base Schedules'!$A$243:$AW$281,18,FALSE)),"")</f>
        <v>Coaching</v>
      </c>
      <c r="T24" s="184" t="str">
        <f>IFERROR(IF(VLOOKUP(Thu_W1[[#This Row],[Employee Name]],'Base Schedules'!$A$243:$AW$281,19,FALSE)="","",VLOOKUP(Thu_W1[[#This Row],[Employee Name]],'Base Schedules'!$A$243:$AW$281,19,FALSE)),"")</f>
        <v>Coaching</v>
      </c>
      <c r="U24" s="184" t="str">
        <f>IFERROR(IF(VLOOKUP(Thu_W1[[#This Row],[Employee Name]],'Base Schedules'!$A$243:$AW$281,20,FALSE)="","",VLOOKUP(Thu_W1[[#This Row],[Employee Name]],'Base Schedules'!$A$243:$AW$281,20,FALSE)),"")</f>
        <v>Coaching</v>
      </c>
      <c r="V24" s="184" t="str">
        <f>IFERROR(IF(VLOOKUP(Thu_W1[[#This Row],[Employee Name]],'Base Schedules'!$A$243:$AW$281,21,FALSE)="","",VLOOKUP(Thu_W1[[#This Row],[Employee Name]],'Base Schedules'!$A$243:$AW$281,21,FALSE)),"")</f>
        <v>Coaching</v>
      </c>
      <c r="W24" s="184" t="str">
        <f>IFERROR(IF(VLOOKUP(Thu_W1[[#This Row],[Employee Name]],'Base Schedules'!$A$243:$AW$281,22,FALSE)="","",VLOOKUP(Thu_W1[[#This Row],[Employee Name]],'Base Schedules'!$A$243:$AW$281,22,FALSE)),"")</f>
        <v>-</v>
      </c>
      <c r="X24" s="184" t="str">
        <f>IFERROR(IF(VLOOKUP(Thu_W1[[#This Row],[Employee Name]],'Base Schedules'!$A$243:$AW$281,23,FALSE)="","",VLOOKUP(Thu_W1[[#This Row],[Employee Name]],'Base Schedules'!$A$243:$AW$281,23,FALSE)),"")</f>
        <v>-</v>
      </c>
      <c r="Y24" s="184" t="str">
        <f>IFERROR(IF(VLOOKUP(Thu_W1[[#This Row],[Employee Name]],'Base Schedules'!$A$243:$AW$281,24,FALSE)="","",VLOOKUP(Thu_W1[[#This Row],[Employee Name]],'Base Schedules'!$A$243:$AW$281,24,FALSE)),"")</f>
        <v>-</v>
      </c>
      <c r="Z24" s="184" t="str">
        <f>IFERROR(IF(VLOOKUP(Thu_W1[[#This Row],[Employee Name]],'Base Schedules'!$A$243:$AW$281,25,FALSE)="","",VLOOKUP(Thu_W1[[#This Row],[Employee Name]],'Base Schedules'!$A$243:$AW$281,25,FALSE)),"")</f>
        <v>-</v>
      </c>
      <c r="AA24" s="184" t="str">
        <f>IFERROR(IF(VLOOKUP(Thu_W1[[#This Row],[Employee Name]],'Base Schedules'!$A$243:$AW$281,26,FALSE)="","",VLOOKUP(Thu_W1[[#This Row],[Employee Name]],'Base Schedules'!$A$243:$AW$281,26,FALSE)),"")</f>
        <v>-</v>
      </c>
      <c r="AB24" s="184" t="str">
        <f>IFERROR(IF(VLOOKUP(Thu_W1[[#This Row],[Employee Name]],'Base Schedules'!$A$243:$AW$281,27,FALSE)="","",VLOOKUP(Thu_W1[[#This Row],[Employee Name]],'Base Schedules'!$A$243:$AW$281,27,FALSE)),"")</f>
        <v>TM PREP</v>
      </c>
      <c r="AC24" s="184" t="str">
        <f>IFERROR(IF(VLOOKUP(Thu_W1[[#This Row],[Employee Name]],'Base Schedules'!$A$243:$AW$281,28,FALSE)="","",VLOOKUP(Thu_W1[[#This Row],[Employee Name]],'Base Schedules'!$A$243:$AW$281,28,FALSE)),"")</f>
        <v>OLSON TM</v>
      </c>
      <c r="AD24" s="184" t="str">
        <f>IFERROR(IF(VLOOKUP(Thu_W1[[#This Row],[Employee Name]],'Base Schedules'!$A$243:$AW$281,29,FALSE)="","",VLOOKUP(Thu_W1[[#This Row],[Employee Name]],'Base Schedules'!$A$243:$AW$281,29,FALSE)),"")</f>
        <v>OLSON TM</v>
      </c>
      <c r="AE24" s="184" t="str">
        <f>IFERROR(IF(VLOOKUP(Thu_W1[[#This Row],[Employee Name]],'Base Schedules'!$A$243:$AW$281,30,FALSE)="","",VLOOKUP(Thu_W1[[#This Row],[Employee Name]],'Base Schedules'!$A$243:$AW$281,30,FALSE)),"")</f>
        <v>-</v>
      </c>
      <c r="AF24" s="184" t="str">
        <f>IFERROR(IF(VLOOKUP(Thu_W1[[#This Row],[Employee Name]],'Base Schedules'!$A$243:$AW$281,31,FALSE)="","",VLOOKUP(Thu_W1[[#This Row],[Employee Name]],'Base Schedules'!$A$243:$AW$281,31,FALSE)),"")</f>
        <v>-</v>
      </c>
      <c r="AG24" s="184" t="str">
        <f>IFERROR(IF(VLOOKUP(Thu_W1[[#This Row],[Employee Name]],'Base Schedules'!$A$243:$AW$281,32,FALSE)="","",VLOOKUP(Thu_W1[[#This Row],[Employee Name]],'Base Schedules'!$A$243:$AW$281,32,FALSE)),"")</f>
        <v>-</v>
      </c>
      <c r="AH24" s="184" t="str">
        <f>IFERROR(IF(VLOOKUP(Thu_W1[[#This Row],[Employee Name]],'Base Schedules'!$A$243:$AW$281,33,FALSE)="","",VLOOKUP(Thu_W1[[#This Row],[Employee Name]],'Base Schedules'!$A$243:$AW$281,33,FALSE)),"")</f>
        <v/>
      </c>
      <c r="AI24" s="184" t="str">
        <f>IFERROR(IF(VLOOKUP(Thu_W1[[#This Row],[Employee Name]],'Base Schedules'!$A$243:$AW$281,34,FALSE)="","",VLOOKUP(Thu_W1[[#This Row],[Employee Name]],'Base Schedules'!$A$243:$AW$281,34,FALSE)),"")</f>
        <v/>
      </c>
      <c r="AJ24" s="184" t="str">
        <f>IFERROR(IF(VLOOKUP(Thu_W1[[#This Row],[Employee Name]],'Base Schedules'!$A$243:$AW$281,35,FALSE)="","",VLOOKUP(Thu_W1[[#This Row],[Employee Name]],'Base Schedules'!$A$243:$AW$281,35,FALSE)),"")</f>
        <v/>
      </c>
      <c r="AK24" s="184" t="str">
        <f>IFERROR(IF(VLOOKUP(Thu_W1[[#This Row],[Employee Name]],'Base Schedules'!$A$243:$AW$281,36,FALSE)="","",VLOOKUP(Thu_W1[[#This Row],[Employee Name]],'Base Schedules'!$A$243:$AW$281,36,FALSE)),"")</f>
        <v/>
      </c>
      <c r="AL24" s="184" t="str">
        <f>IFERROR(IF(VLOOKUP(Thu_W1[[#This Row],[Employee Name]],'Base Schedules'!$A$243:$AW$281,37,FALSE)="","",VLOOKUP(Thu_W1[[#This Row],[Employee Name]],'Base Schedules'!$A$243:$AW$281,37,FALSE)),"")</f>
        <v/>
      </c>
      <c r="AM24" s="184" t="str">
        <f>IFERROR(IF(VLOOKUP(Thu_W1[[#This Row],[Employee Name]],'Base Schedules'!$A$243:$AW$281,38,FALSE)="","",VLOOKUP(Thu_W1[[#This Row],[Employee Name]],'Base Schedules'!$A$243:$AW$281,38,FALSE)),"")</f>
        <v/>
      </c>
      <c r="AN24" s="184" t="str">
        <f>IFERROR(IF(VLOOKUP(Thu_W1[[#This Row],[Employee Name]],'Base Schedules'!$A$243:$AW$281,39,FALSE)="","",VLOOKUP(Thu_W1[[#This Row],[Employee Name]],'Base Schedules'!$A$243:$AW$281,39,FALSE)),"")</f>
        <v/>
      </c>
      <c r="AO24" s="184" t="str">
        <f>IFERROR(IF(VLOOKUP(Thu_W1[[#This Row],[Employee Name]],'Base Schedules'!$A$243:$AW$281,40,FALSE)="","",VLOOKUP(Thu_W1[[#This Row],[Employee Name]],'Base Schedules'!$A$243:$AW$281,40,FALSE)),"")</f>
        <v/>
      </c>
      <c r="AP24" s="184" t="str">
        <f>IFERROR(IF(VLOOKUP(Thu_W1[[#This Row],[Employee Name]],'Base Schedules'!$A$243:$AW$281,41,FALSE)="","",VLOOKUP(Thu_W1[[#This Row],[Employee Name]],'Base Schedules'!$A$243:$AW$281,41,FALSE)),"")</f>
        <v/>
      </c>
      <c r="AQ24" s="184" t="str">
        <f>IFERROR(IF(VLOOKUP(Thu_W1[[#This Row],[Employee Name]],'Base Schedules'!$A$243:$AW$281,42,FALSE)="","",VLOOKUP(Thu_W1[[#This Row],[Employee Name]],'Base Schedules'!$A$243:$AW$281,42,FALSE)),"")</f>
        <v/>
      </c>
      <c r="AR24" s="184" t="str">
        <f>IFERROR(IF(VLOOKUP(Thu_W1[[#This Row],[Employee Name]],'Base Schedules'!$A$243:$AW$281,43,FALSE)="","",VLOOKUP(Thu_W1[[#This Row],[Employee Name]],'Base Schedules'!$A$243:$AW$281,43,FALSE)),"")</f>
        <v/>
      </c>
      <c r="AS24" s="184" t="str">
        <f>IFERROR(IF(VLOOKUP(Thu_W1[[#This Row],[Employee Name]],'Base Schedules'!$A$243:$AW$281,44,FALSE)="","",VLOOKUP(Thu_W1[[#This Row],[Employee Name]],'Base Schedules'!$A$243:$AW$281,44,FALSE)),"")</f>
        <v/>
      </c>
      <c r="AT24" s="184" t="str">
        <f>IFERROR(IF(VLOOKUP(Thu_W1[[#This Row],[Employee Name]],'Base Schedules'!$A$243:$AW$281,45,FALSE)="","",VLOOKUP(Thu_W1[[#This Row],[Employee Name]],'Base Schedules'!$A$243:$AW$281,45,FALSE)),"")</f>
        <v/>
      </c>
      <c r="AU24" s="184" t="str">
        <f>IFERROR(IF(VLOOKUP(Thu_W1[[#This Row],[Employee Name]],'Base Schedules'!$A$243:$AW$281,46,FALSE)="","",VLOOKUP(Thu_W1[[#This Row],[Employee Name]],'Base Schedules'!$A$243:$AW$281,46,FALSE)),"")</f>
        <v/>
      </c>
      <c r="AV24" s="184" t="str">
        <f>IFERROR(IF(VLOOKUP(Thu_W1[[#This Row],[Employee Name]],'Base Schedules'!$A$243:$AW$281,47,FALSE)="","",VLOOKUP(Thu_W1[[#This Row],[Employee Name]],'Base Schedules'!$A$243:$AW$281,47,FALSE)),"")</f>
        <v/>
      </c>
      <c r="AW24" s="184" t="str">
        <f>IFERROR(IF(VLOOKUP(Thu_W1[[#This Row],[Employee Name]],'Base Schedules'!$A$243:$AW$281,48,FALSE)="","",VLOOKUP(Thu_W1[[#This Row],[Employee Name]],'Base Schedules'!$A$243:$AW$281,48,FALSE)),"")</f>
        <v/>
      </c>
      <c r="AX24" s="184" t="str">
        <f>IFERROR(IF(VLOOKUP(Thu_W1[[#This Row],[Employee Name]],'Base Schedules'!$A$243:$AW$281,49,FALSE)="","",VLOOKUP(Thu_W1[[#This Row],[Employee Name]],'Base Schedules'!$A$243:$AW$281,49,FALSE)),"")</f>
        <v/>
      </c>
      <c r="AY24" s="164" t="str">
        <f t="shared" si="2"/>
        <v>Olson, Dan</v>
      </c>
    </row>
    <row r="25" spans="1:51" s="44" customFormat="1" ht="12" x14ac:dyDescent="0.2">
      <c r="A25" s="39" t="str">
        <f>IF(B25="","",INDEX(TeamList[],MATCH($B25,TeamList[[Employee Name]:[Employee Name]],0),MATCH("Manager",TeamList[#Headers],0)))</f>
        <v>Olson, Katherine</v>
      </c>
      <c r="B25" s="201" t="s">
        <v>231</v>
      </c>
      <c r="C25" s="257" t="str">
        <f>_xlfn.IFNA(VLOOKUP(Thu_W1[[#This Row],[Employee Name]],'Base Schedules'!A:B,2,FALSE),"")</f>
        <v>Lead</v>
      </c>
      <c r="D25" s="274">
        <f>_xlfn.IFNA(VLOOKUP(Thu_W1[[#This Row],[Employee Name]],'Base Schedules'!A:C,3,FALSE),"")</f>
        <v>900</v>
      </c>
      <c r="E25" s="274">
        <f>_xlfn.IFNA(VLOOKUP(Thu_W1[[#This Row],[Employee Name]],'Base Schedules'!A:D,4,FALSE),"")</f>
        <v>1730</v>
      </c>
      <c r="F25" s="142">
        <f>IF(Thu_W1[[#This Row],[Employee Name]]="","",IF(Thu_W1[[#This Row],[Dept]]="Supervisor",COUNTIFS($J25:$AX25,"*HL*",$J25:$AX25,"&lt;&gt;"&amp;"pHL"),COUNTIFS($J25:$AX25,"*HL*",$J25:$AX25,"&lt;&gt;"&amp;"*pHL*",$J25:$AX25,"&lt;&gt;"&amp;"pB1 HL",$J25:$AX25,"&lt;&gt;"&amp;"pB2 HL")-SUM(COUNTIFS($J25:$AX25,"*HL B1*",$J25:$AX25,"&lt;&gt;"&amp;"pHL B1")*0.5,COUNTIFS($J25:$AX25,"*HL B2*",$J25:$AX25,"&lt;&gt;"&amp;"pHL B2")*0.5,COUNTIFS($J25:$AX25,"*B1 HL*",$J25:$AX25,"&lt;&gt;"&amp;"pB1 HL")*0.5,COUNTIFS($J25:$AX25,"*B2 HL*",$J25:$AX25,"&lt;&gt;"&amp;"pB2 HL")*0.5)))</f>
        <v>5.5</v>
      </c>
      <c r="G25" s="142">
        <f t="shared" si="0"/>
        <v>0</v>
      </c>
      <c r="H25" s="142">
        <f t="shared" si="1"/>
        <v>8</v>
      </c>
      <c r="I25" s="142">
        <f>IF(Thu_W1[[#This Row],[Employee Name]]="","",IF(Thu_W1[[#This Row],[Dept]]="Supervisor",SUM(COUNTIFS($J25:$AX25,"RTA*",$J25:$AX25,"&lt;&gt;"&amp;"pRTA"),COUNTIFS($J25:$AX25,"*CRTA*",$J25:$AX25,"&lt;&gt;"&amp;"pCRTA")),COUNTIFS($J25:$AX25,"*RNNR*",$J25:$AX25,"&lt;&gt;"&amp;"*pRNNR*",$J25:$AX25,"&lt;&gt;"&amp;"pB1 RNNR",$J25:$AX25,"&lt;&gt;"&amp;"pB2 RNNR")-SUM(COUNTIFS($J25:$AX25,"*RNNR B1*",$J25:$AX25,"&lt;&gt;"&amp;"pRNNR B1")*0.5,COUNTIFS($J25:$AX25,"*RNNR B2*",$J25:$AX25,"&lt;&gt;"&amp;"pRNNR B2")*0.5,COUNTIFS($J25:$AX25,"*B1 RNNR*",$J25:$AX25,"&lt;&gt;"&amp;"pB1 RNNR")*0.5,COUNTIFS($J25:$AX25,"*B2 RNNR*",$J25:$AX25,"&lt;&gt;"&amp;"pB2 RNNR")*0.5)))</f>
        <v>2</v>
      </c>
      <c r="J25" s="184" t="str">
        <f>IFERROR(IF(VLOOKUP(Thu_W1[[#This Row],[Employee Name]],'Base Schedules'!$A$243:$AW$281,9,FALSE)="","",VLOOKUP(Thu_W1[[#This Row],[Employee Name]],'Base Schedules'!$A$243:$AW$281,9,FALSE)),"")</f>
        <v/>
      </c>
      <c r="K25" s="184" t="str">
        <f>IFERROR(IF(VLOOKUP(Thu_W1[[#This Row],[Employee Name]],'Base Schedules'!$A$243:$AW$281,10,FALSE)="","",VLOOKUP(Thu_W1[[#This Row],[Employee Name]],'Base Schedules'!$A$243:$AW$281,10,FALSE)),"")</f>
        <v/>
      </c>
      <c r="L25" s="184" t="str">
        <f>IFERROR(IF(VLOOKUP(Thu_W1[[#This Row],[Employee Name]],'Base Schedules'!$A$243:$AW$281,11,FALSE)="","",VLOOKUP(Thu_W1[[#This Row],[Employee Name]],'Base Schedules'!$A$243:$AW$281,11,FALSE)),"")</f>
        <v/>
      </c>
      <c r="M25" s="184" t="str">
        <f>IFERROR(IF(VLOOKUP(Thu_W1[[#This Row],[Employee Name]],'Base Schedules'!$A$243:$AW$281,12,FALSE)="","",VLOOKUP(Thu_W1[[#This Row],[Employee Name]],'Base Schedules'!$A$243:$AW$281,12,FALSE)),"")</f>
        <v/>
      </c>
      <c r="N25" s="184" t="str">
        <f>IFERROR(IF(VLOOKUP(Thu_W1[[#This Row],[Employee Name]],'Base Schedules'!$A$243:$AW$281,13,FALSE)="","",VLOOKUP(Thu_W1[[#This Row],[Employee Name]],'Base Schedules'!$A$243:$AW$281,13,FALSE)),"")</f>
        <v/>
      </c>
      <c r="O25" s="184" t="str">
        <f>IFERROR(IF(VLOOKUP(Thu_W1[[#This Row],[Employee Name]],'Base Schedules'!$A$243:$AW$281,14,FALSE)="","",VLOOKUP(Thu_W1[[#This Row],[Employee Name]],'Base Schedules'!$A$243:$AW$281,14,FALSE)),"")</f>
        <v/>
      </c>
      <c r="P25" s="184" t="str">
        <f>IFERROR(IF(VLOOKUP(Thu_W1[[#This Row],[Employee Name]],'Base Schedules'!$A$243:$AW$281,15,FALSE)="","",VLOOKUP(Thu_W1[[#This Row],[Employee Name]],'Base Schedules'!$A$243:$AW$281,15,FALSE)),"")</f>
        <v/>
      </c>
      <c r="Q25" s="184" t="str">
        <f>IFERROR(IF(VLOOKUP(Thu_W1[[#This Row],[Employee Name]],'Base Schedules'!$A$243:$AW$281,16,FALSE)="","",VLOOKUP(Thu_W1[[#This Row],[Employee Name]],'Base Schedules'!$A$243:$AW$281,16,FALSE)),"")</f>
        <v/>
      </c>
      <c r="R25" s="184" t="str">
        <f>IFERROR(IF(VLOOKUP(Thu_W1[[#This Row],[Employee Name]],'Base Schedules'!$A$243:$AW$281,17,FALSE)="","",VLOOKUP(Thu_W1[[#This Row],[Employee Name]],'Base Schedules'!$A$243:$AW$281,17,FALSE)),"")</f>
        <v>HL</v>
      </c>
      <c r="S25" s="184" t="str">
        <f>IFERROR(IF(VLOOKUP(Thu_W1[[#This Row],[Employee Name]],'Base Schedules'!$A$243:$AW$281,18,FALSE)="","",VLOOKUP(Thu_W1[[#This Row],[Employee Name]],'Base Schedules'!$A$243:$AW$281,18,FALSE)),"")</f>
        <v>HL</v>
      </c>
      <c r="T25" s="184" t="str">
        <f>IFERROR(IF(VLOOKUP(Thu_W1[[#This Row],[Employee Name]],'Base Schedules'!$A$243:$AW$281,19,FALSE)="","",VLOOKUP(Thu_W1[[#This Row],[Employee Name]],'Base Schedules'!$A$243:$AW$281,19,FALSE)),"")</f>
        <v>HL</v>
      </c>
      <c r="U25" s="184" t="str">
        <f>IFERROR(IF(VLOOKUP(Thu_W1[[#This Row],[Employee Name]],'Base Schedules'!$A$243:$AW$281,20,FALSE)="","",VLOOKUP(Thu_W1[[#This Row],[Employee Name]],'Base Schedules'!$A$243:$AW$281,20,FALSE)),"")</f>
        <v>HL B1</v>
      </c>
      <c r="V25" s="184" t="str">
        <f>IFERROR(IF(VLOOKUP(Thu_W1[[#This Row],[Employee Name]],'Base Schedules'!$A$243:$AW$281,21,FALSE)="","",VLOOKUP(Thu_W1[[#This Row],[Employee Name]],'Base Schedules'!$A$243:$AW$281,21,FALSE)),"")</f>
        <v>ADM</v>
      </c>
      <c r="W25" s="184" t="str">
        <f>IFERROR(IF(VLOOKUP(Thu_W1[[#This Row],[Employee Name]],'Base Schedules'!$A$243:$AW$281,22,FALSE)="","",VLOOKUP(Thu_W1[[#This Row],[Employee Name]],'Base Schedules'!$A$243:$AW$281,22,FALSE)),"")</f>
        <v>ADM</v>
      </c>
      <c r="X25" s="184" t="str">
        <f>IFERROR(IF(VLOOKUP(Thu_W1[[#This Row],[Employee Name]],'Base Schedules'!$A$243:$AW$281,23,FALSE)="","",VLOOKUP(Thu_W1[[#This Row],[Employee Name]],'Base Schedules'!$A$243:$AW$281,23,FALSE)),"")</f>
        <v>RNNR</v>
      </c>
      <c r="Y25" s="184" t="str">
        <f>IFERROR(IF(VLOOKUP(Thu_W1[[#This Row],[Employee Name]],'Base Schedules'!$A$243:$AW$281,24,FALSE)="","",VLOOKUP(Thu_W1[[#This Row],[Employee Name]],'Base Schedules'!$A$243:$AW$281,24,FALSE)),"")</f>
        <v>RNNR</v>
      </c>
      <c r="Z25" s="184" t="str">
        <f>IFERROR(IF(VLOOKUP(Thu_W1[[#This Row],[Employee Name]],'Base Schedules'!$A$243:$AW$281,25,FALSE)="","",VLOOKUP(Thu_W1[[#This Row],[Employee Name]],'Base Schedules'!$A$243:$AW$281,25,FALSE)),"")</f>
        <v>LUNCH</v>
      </c>
      <c r="AA25" s="184" t="str">
        <f>IFERROR(IF(VLOOKUP(Thu_W1[[#This Row],[Employee Name]],'Base Schedules'!$A$243:$AW$281,26,FALSE)="","",VLOOKUP(Thu_W1[[#This Row],[Employee Name]],'Base Schedules'!$A$243:$AW$281,26,FALSE)),"")</f>
        <v>ADM</v>
      </c>
      <c r="AB25" s="184" t="str">
        <f>IFERROR(IF(VLOOKUP(Thu_W1[[#This Row],[Employee Name]],'Base Schedules'!$A$243:$AW$281,27,FALSE)="","",VLOOKUP(Thu_W1[[#This Row],[Employee Name]],'Base Schedules'!$A$243:$AW$281,27,FALSE)),"")</f>
        <v>ADM</v>
      </c>
      <c r="AC25" s="184" t="str">
        <f>IFERROR(IF(VLOOKUP(Thu_W1[[#This Row],[Employee Name]],'Base Schedules'!$A$243:$AW$281,28,FALSE)="","",VLOOKUP(Thu_W1[[#This Row],[Employee Name]],'Base Schedules'!$A$243:$AW$281,28,FALSE)),"")</f>
        <v>HL</v>
      </c>
      <c r="AD25" s="184" t="str">
        <f>IFERROR(IF(VLOOKUP(Thu_W1[[#This Row],[Employee Name]],'Base Schedules'!$A$243:$AW$281,29,FALSE)="","",VLOOKUP(Thu_W1[[#This Row],[Employee Name]],'Base Schedules'!$A$243:$AW$281,29,FALSE)),"")</f>
        <v>HL</v>
      </c>
      <c r="AE25" s="184" t="str">
        <f>IFERROR(IF(VLOOKUP(Thu_W1[[#This Row],[Employee Name]],'Base Schedules'!$A$243:$AW$281,30,FALSE)="","",VLOOKUP(Thu_W1[[#This Row],[Employee Name]],'Base Schedules'!$A$243:$AW$281,30,FALSE)),"")</f>
        <v>B2 ADM</v>
      </c>
      <c r="AF25" s="184" t="str">
        <f>IFERROR(IF(VLOOKUP(Thu_W1[[#This Row],[Employee Name]],'Base Schedules'!$A$243:$AW$281,31,FALSE)="","",VLOOKUP(Thu_W1[[#This Row],[Employee Name]],'Base Schedules'!$A$243:$AW$281,31,FALSE)),"")</f>
        <v>ADM</v>
      </c>
      <c r="AG25" s="184" t="str">
        <f>IFERROR(IF(VLOOKUP(Thu_W1[[#This Row],[Employee Name]],'Base Schedules'!$A$243:$AW$281,32,FALSE)="","",VLOOKUP(Thu_W1[[#This Row],[Employee Name]],'Base Schedules'!$A$243:$AW$281,32,FALSE)),"")</f>
        <v>ADM</v>
      </c>
      <c r="AH25" s="184" t="str">
        <f>IFERROR(IF(VLOOKUP(Thu_W1[[#This Row],[Employee Name]],'Base Schedules'!$A$243:$AW$281,33,FALSE)="","",VLOOKUP(Thu_W1[[#This Row],[Employee Name]],'Base Schedules'!$A$243:$AW$281,33,FALSE)),"")</f>
        <v>ADM</v>
      </c>
      <c r="AI25" s="184" t="str">
        <f>IFERROR(IF(VLOOKUP(Thu_W1[[#This Row],[Employee Name]],'Base Schedules'!$A$243:$AW$281,34,FALSE)="","",VLOOKUP(Thu_W1[[#This Row],[Employee Name]],'Base Schedules'!$A$243:$AW$281,34,FALSE)),"")</f>
        <v/>
      </c>
      <c r="AJ25" s="184" t="str">
        <f>IFERROR(IF(VLOOKUP(Thu_W1[[#This Row],[Employee Name]],'Base Schedules'!$A$243:$AW$281,35,FALSE)="","",VLOOKUP(Thu_W1[[#This Row],[Employee Name]],'Base Schedules'!$A$243:$AW$281,35,FALSE)),"")</f>
        <v/>
      </c>
      <c r="AK25" s="184" t="str">
        <f>IFERROR(IF(VLOOKUP(Thu_W1[[#This Row],[Employee Name]],'Base Schedules'!$A$243:$AW$281,36,FALSE)="","",VLOOKUP(Thu_W1[[#This Row],[Employee Name]],'Base Schedules'!$A$243:$AW$281,36,FALSE)),"")</f>
        <v/>
      </c>
      <c r="AL25" s="184" t="str">
        <f>IFERROR(IF(VLOOKUP(Thu_W1[[#This Row],[Employee Name]],'Base Schedules'!$A$243:$AW$281,37,FALSE)="","",VLOOKUP(Thu_W1[[#This Row],[Employee Name]],'Base Schedules'!$A$243:$AW$281,37,FALSE)),"")</f>
        <v/>
      </c>
      <c r="AM25" s="184" t="str">
        <f>IFERROR(IF(VLOOKUP(Thu_W1[[#This Row],[Employee Name]],'Base Schedules'!$A$243:$AW$281,38,FALSE)="","",VLOOKUP(Thu_W1[[#This Row],[Employee Name]],'Base Schedules'!$A$243:$AW$281,38,FALSE)),"")</f>
        <v/>
      </c>
      <c r="AN25" s="184" t="str">
        <f>IFERROR(IF(VLOOKUP(Thu_W1[[#This Row],[Employee Name]],'Base Schedules'!$A$243:$AW$281,39,FALSE)="","",VLOOKUP(Thu_W1[[#This Row],[Employee Name]],'Base Schedules'!$A$243:$AW$281,39,FALSE)),"")</f>
        <v/>
      </c>
      <c r="AO25" s="184" t="str">
        <f>IFERROR(IF(VLOOKUP(Thu_W1[[#This Row],[Employee Name]],'Base Schedules'!$A$243:$AW$281,40,FALSE)="","",VLOOKUP(Thu_W1[[#This Row],[Employee Name]],'Base Schedules'!$A$243:$AW$281,40,FALSE)),"")</f>
        <v/>
      </c>
      <c r="AP25" s="184" t="str">
        <f>IFERROR(IF(VLOOKUP(Thu_W1[[#This Row],[Employee Name]],'Base Schedules'!$A$243:$AW$281,41,FALSE)="","",VLOOKUP(Thu_W1[[#This Row],[Employee Name]],'Base Schedules'!$A$243:$AW$281,41,FALSE)),"")</f>
        <v/>
      </c>
      <c r="AQ25" s="184" t="str">
        <f>IFERROR(IF(VLOOKUP(Thu_W1[[#This Row],[Employee Name]],'Base Schedules'!$A$243:$AW$281,42,FALSE)="","",VLOOKUP(Thu_W1[[#This Row],[Employee Name]],'Base Schedules'!$A$243:$AW$281,42,FALSE)),"")</f>
        <v/>
      </c>
      <c r="AR25" s="184" t="str">
        <f>IFERROR(IF(VLOOKUP(Thu_W1[[#This Row],[Employee Name]],'Base Schedules'!$A$243:$AW$281,43,FALSE)="","",VLOOKUP(Thu_W1[[#This Row],[Employee Name]],'Base Schedules'!$A$243:$AW$281,43,FALSE)),"")</f>
        <v/>
      </c>
      <c r="AS25" s="184" t="str">
        <f>IFERROR(IF(VLOOKUP(Thu_W1[[#This Row],[Employee Name]],'Base Schedules'!$A$243:$AW$281,44,FALSE)="","",VLOOKUP(Thu_W1[[#This Row],[Employee Name]],'Base Schedules'!$A$243:$AW$281,44,FALSE)),"")</f>
        <v/>
      </c>
      <c r="AT25" s="184" t="str">
        <f>IFERROR(IF(VLOOKUP(Thu_W1[[#This Row],[Employee Name]],'Base Schedules'!$A$243:$AW$281,45,FALSE)="","",VLOOKUP(Thu_W1[[#This Row],[Employee Name]],'Base Schedules'!$A$243:$AW$281,45,FALSE)),"")</f>
        <v/>
      </c>
      <c r="AU25" s="184" t="str">
        <f>IFERROR(IF(VLOOKUP(Thu_W1[[#This Row],[Employee Name]],'Base Schedules'!$A$243:$AW$281,46,FALSE)="","",VLOOKUP(Thu_W1[[#This Row],[Employee Name]],'Base Schedules'!$A$243:$AW$281,46,FALSE)),"")</f>
        <v/>
      </c>
      <c r="AV25" s="184" t="str">
        <f>IFERROR(IF(VLOOKUP(Thu_W1[[#This Row],[Employee Name]],'Base Schedules'!$A$243:$AW$281,47,FALSE)="","",VLOOKUP(Thu_W1[[#This Row],[Employee Name]],'Base Schedules'!$A$243:$AW$281,47,FALSE)),"")</f>
        <v/>
      </c>
      <c r="AW25" s="184" t="str">
        <f>IFERROR(IF(VLOOKUP(Thu_W1[[#This Row],[Employee Name]],'Base Schedules'!$A$243:$AW$281,48,FALSE)="","",VLOOKUP(Thu_W1[[#This Row],[Employee Name]],'Base Schedules'!$A$243:$AW$281,48,FALSE)),"")</f>
        <v/>
      </c>
      <c r="AX25" s="184" t="str">
        <f>IFERROR(IF(VLOOKUP(Thu_W1[[#This Row],[Employee Name]],'Base Schedules'!$A$243:$AW$281,49,FALSE)="","",VLOOKUP(Thu_W1[[#This Row],[Employee Name]],'Base Schedules'!$A$243:$AW$281,49,FALSE)),"")</f>
        <v/>
      </c>
      <c r="AY25" s="164" t="str">
        <f t="shared" si="2"/>
        <v>Fiskvik, Christopher</v>
      </c>
    </row>
    <row r="26" spans="1:51" s="44" customFormat="1" ht="12" x14ac:dyDescent="0.2">
      <c r="A26" s="39" t="s">
        <v>370</v>
      </c>
      <c r="B26" s="201" t="s">
        <v>27</v>
      </c>
      <c r="C26" s="257" t="str">
        <f>_xlfn.IFNA(VLOOKUP(Thu_W1[[#This Row],[Employee Name]],'Base Schedules'!A:B,2,FALSE),"")</f>
        <v>Supervisor</v>
      </c>
      <c r="D26" s="274">
        <f>_xlfn.IFNA(VLOOKUP(Thu_W1[[#This Row],[Employee Name]],'Base Schedules'!A:C,3,FALSE),"")</f>
        <v>930</v>
      </c>
      <c r="E26" s="274">
        <f>_xlfn.IFNA(VLOOKUP(Thu_W1[[#This Row],[Employee Name]],'Base Schedules'!A:D,4,FALSE),"")</f>
        <v>1830</v>
      </c>
      <c r="F26" s="142">
        <f>IF(Thu_W1[[#This Row],[Employee Name]]="","",IF(Thu_W1[[#This Row],[Dept]]="Supervisor",COUNTIFS($J26:$AX26,"*HL*",$J26:$AX26,"&lt;&gt;"&amp;"pHL"),COUNTIFS($J26:$AX26,"*HL*",$J26:$AX26,"&lt;&gt;"&amp;"*pHL*",$J26:$AX26,"&lt;&gt;"&amp;"pB1 HL",$J26:$AX26,"&lt;&gt;"&amp;"pB2 HL")-SUM(COUNTIFS($J26:$AX26,"*HL B1*",$J26:$AX26,"&lt;&gt;"&amp;"pHL B1")*0.5,COUNTIFS($J26:$AX26,"*HL B2*",$J26:$AX26,"&lt;&gt;"&amp;"pHL B2")*0.5,COUNTIFS($J26:$AX26,"*B1 HL*",$J26:$AX26,"&lt;&gt;"&amp;"pB1 HL")*0.5,COUNTIFS($J26:$AX26,"*B2 HL*",$J26:$AX26,"&lt;&gt;"&amp;"pB2 HL")*0.5)))</f>
        <v>0</v>
      </c>
      <c r="G26" s="142">
        <f t="shared" si="0"/>
        <v>4</v>
      </c>
      <c r="H26" s="142">
        <f t="shared" si="1"/>
        <v>0</v>
      </c>
      <c r="I26" s="142">
        <f>IF(Thu_W1[[#This Row],[Employee Name]]="","",IF(Thu_W1[[#This Row],[Dept]]="Supervisor",SUM(COUNTIFS($J26:$AX26,"RTA*",$J26:$AX26,"&lt;&gt;"&amp;"pRTA"),COUNTIFS($J26:$AX26,"*CRTA*",$J26:$AX26,"&lt;&gt;"&amp;"pCRTA")),COUNTIFS($J26:$AX26,"*RNNR*",$J26:$AX26,"&lt;&gt;"&amp;"*pRNNR*",$J26:$AX26,"&lt;&gt;"&amp;"pB1 RNNR",$J26:$AX26,"&lt;&gt;"&amp;"pB2 RNNR")-SUM(COUNTIFS($J26:$AX26,"*RNNR B1*",$J26:$AX26,"&lt;&gt;"&amp;"pRNNR B1")*0.5,COUNTIFS($J26:$AX26,"*RNNR B2*",$J26:$AX26,"&lt;&gt;"&amp;"pRNNR B2")*0.5,COUNTIFS($J26:$AX26,"*B1 RNNR*",$J26:$AX26,"&lt;&gt;"&amp;"pB1 RNNR")*0.5,COUNTIFS($J26:$AX26,"*B2 RNNR*",$J26:$AX26,"&lt;&gt;"&amp;"pB2 RNNR")*0.5)))</f>
        <v>0</v>
      </c>
      <c r="J26" s="184" t="str">
        <f>IFERROR(IF(VLOOKUP(Thu_W1[[#This Row],[Employee Name]],'Base Schedules'!$A$243:$AW$281,9,FALSE)="","",VLOOKUP(Thu_W1[[#This Row],[Employee Name]],'Base Schedules'!$A$243:$AW$281,9,FALSE)),"")</f>
        <v/>
      </c>
      <c r="K26" s="184" t="str">
        <f>IFERROR(IF(VLOOKUP(Thu_W1[[#This Row],[Employee Name]],'Base Schedules'!$A$243:$AW$281,10,FALSE)="","",VLOOKUP(Thu_W1[[#This Row],[Employee Name]],'Base Schedules'!$A$243:$AW$281,10,FALSE)),"")</f>
        <v/>
      </c>
      <c r="L26" s="184" t="str">
        <f>IFERROR(IF(VLOOKUP(Thu_W1[[#This Row],[Employee Name]],'Base Schedules'!$A$243:$AW$281,11,FALSE)="","",VLOOKUP(Thu_W1[[#This Row],[Employee Name]],'Base Schedules'!$A$243:$AW$281,11,FALSE)),"")</f>
        <v/>
      </c>
      <c r="M26" s="184" t="str">
        <f>IFERROR(IF(VLOOKUP(Thu_W1[[#This Row],[Employee Name]],'Base Schedules'!$A$243:$AW$281,12,FALSE)="","",VLOOKUP(Thu_W1[[#This Row],[Employee Name]],'Base Schedules'!$A$243:$AW$281,12,FALSE)),"")</f>
        <v/>
      </c>
      <c r="N26" s="184" t="str">
        <f>IFERROR(IF(VLOOKUP(Thu_W1[[#This Row],[Employee Name]],'Base Schedules'!$A$243:$AW$281,13,FALSE)="","",VLOOKUP(Thu_W1[[#This Row],[Employee Name]],'Base Schedules'!$A$243:$AW$281,13,FALSE)),"")</f>
        <v/>
      </c>
      <c r="O26" s="184" t="str">
        <f>IFERROR(IF(VLOOKUP(Thu_W1[[#This Row],[Employee Name]],'Base Schedules'!$A$243:$AW$281,14,FALSE)="","",VLOOKUP(Thu_W1[[#This Row],[Employee Name]],'Base Schedules'!$A$243:$AW$281,14,FALSE)),"")</f>
        <v/>
      </c>
      <c r="P26" s="184" t="str">
        <f>IFERROR(IF(VLOOKUP(Thu_W1[[#This Row],[Employee Name]],'Base Schedules'!$A$243:$AW$281,15,FALSE)="","",VLOOKUP(Thu_W1[[#This Row],[Employee Name]],'Base Schedules'!$A$243:$AW$281,15,FALSE)),"")</f>
        <v/>
      </c>
      <c r="Q26" s="184" t="str">
        <f>IFERROR(IF(VLOOKUP(Thu_W1[[#This Row],[Employee Name]],'Base Schedules'!$A$243:$AW$281,16,FALSE)="","",VLOOKUP(Thu_W1[[#This Row],[Employee Name]],'Base Schedules'!$A$243:$AW$281,16,FALSE)),"")</f>
        <v/>
      </c>
      <c r="R26" s="184" t="str">
        <f>IFERROR(IF(VLOOKUP(Thu_W1[[#This Row],[Employee Name]],'Base Schedules'!$A$243:$AW$281,17,FALSE)="","",VLOOKUP(Thu_W1[[#This Row],[Employee Name]],'Base Schedules'!$A$243:$AW$281,17,FALSE)),"")</f>
        <v/>
      </c>
      <c r="S26" s="184" t="str">
        <f>IFERROR(IF(VLOOKUP(Thu_W1[[#This Row],[Employee Name]],'Base Schedules'!$A$243:$AW$281,18,FALSE)="","",VLOOKUP(Thu_W1[[#This Row],[Employee Name]],'Base Schedules'!$A$243:$AW$281,18,FALSE)),"")</f>
        <v>-</v>
      </c>
      <c r="T26" s="184" t="str">
        <f>IFERROR(IF(VLOOKUP(Thu_W1[[#This Row],[Employee Name]],'Base Schedules'!$A$243:$AW$281,19,FALSE)="","",VLOOKUP(Thu_W1[[#This Row],[Employee Name]],'Base Schedules'!$A$243:$AW$281,19,FALSE)),"")</f>
        <v>-</v>
      </c>
      <c r="U26" s="184" t="str">
        <f>IFERROR(IF(VLOOKUP(Thu_W1[[#This Row],[Employee Name]],'Base Schedules'!$A$243:$AW$281,20,FALSE)="","",VLOOKUP(Thu_W1[[#This Row],[Employee Name]],'Base Schedules'!$A$243:$AW$281,20,FALSE)),"")</f>
        <v>TM PREP</v>
      </c>
      <c r="V26" s="184" t="str">
        <f>IFERROR(IF(VLOOKUP(Thu_W1[[#This Row],[Employee Name]],'Base Schedules'!$A$243:$AW$281,21,FALSE)="","",VLOOKUP(Thu_W1[[#This Row],[Employee Name]],'Base Schedules'!$A$243:$AW$281,21,FALSE)),"")</f>
        <v>MCLEAN TM</v>
      </c>
      <c r="W26" s="184" t="str">
        <f>IFERROR(IF(VLOOKUP(Thu_W1[[#This Row],[Employee Name]],'Base Schedules'!$A$243:$AW$281,22,FALSE)="","",VLOOKUP(Thu_W1[[#This Row],[Employee Name]],'Base Schedules'!$A$243:$AW$281,22,FALSE)),"")</f>
        <v>MCLEAN TM</v>
      </c>
      <c r="X26" s="184" t="str">
        <f>IFERROR(IF(VLOOKUP(Thu_W1[[#This Row],[Employee Name]],'Base Schedules'!$A$243:$AW$281,23,FALSE)="","",VLOOKUP(Thu_W1[[#This Row],[Employee Name]],'Base Schedules'!$A$243:$AW$281,23,FALSE)),"")</f>
        <v>-</v>
      </c>
      <c r="Y26" s="184" t="str">
        <f>IFERROR(IF(VLOOKUP(Thu_W1[[#This Row],[Employee Name]],'Base Schedules'!$A$243:$AW$281,24,FALSE)="","",VLOOKUP(Thu_W1[[#This Row],[Employee Name]],'Base Schedules'!$A$243:$AW$281,24,FALSE)),"")</f>
        <v>-</v>
      </c>
      <c r="Z26" s="184" t="str">
        <f>IFERROR(IF(VLOOKUP(Thu_W1[[#This Row],[Employee Name]],'Base Schedules'!$A$243:$AW$281,25,FALSE)="","",VLOOKUP(Thu_W1[[#This Row],[Employee Name]],'Base Schedules'!$A$243:$AW$281,25,FALSE)),"")</f>
        <v>Interview</v>
      </c>
      <c r="AA26" s="184" t="str">
        <f>IFERROR(IF(VLOOKUP(Thu_W1[[#This Row],[Employee Name]],'Base Schedules'!$A$243:$AW$281,26,FALSE)="","",VLOOKUP(Thu_W1[[#This Row],[Employee Name]],'Base Schedules'!$A$243:$AW$281,26,FALSE)),"")</f>
        <v>Interview</v>
      </c>
      <c r="AB26" s="184" t="str">
        <f>IFERROR(IF(VLOOKUP(Thu_W1[[#This Row],[Employee Name]],'Base Schedules'!$A$243:$AW$281,27,FALSE)="","",VLOOKUP(Thu_W1[[#This Row],[Employee Name]],'Base Schedules'!$A$243:$AW$281,27,FALSE)),"")</f>
        <v>Coaching</v>
      </c>
      <c r="AC26" s="184" t="str">
        <f>IFERROR(IF(VLOOKUP(Thu_W1[[#This Row],[Employee Name]],'Base Schedules'!$A$243:$AW$281,28,FALSE)="","",VLOOKUP(Thu_W1[[#This Row],[Employee Name]],'Base Schedules'!$A$243:$AW$281,28,FALSE)),"")</f>
        <v>Coaching</v>
      </c>
      <c r="AD26" s="184" t="str">
        <f>IFERROR(IF(VLOOKUP(Thu_W1[[#This Row],[Employee Name]],'Base Schedules'!$A$243:$AW$281,29,FALSE)="","",VLOOKUP(Thu_W1[[#This Row],[Employee Name]],'Base Schedules'!$A$243:$AW$281,29,FALSE)),"")</f>
        <v>Coaching</v>
      </c>
      <c r="AE26" s="184" t="str">
        <f>IFERROR(IF(VLOOKUP(Thu_W1[[#This Row],[Employee Name]],'Base Schedules'!$A$243:$AW$281,30,FALSE)="","",VLOOKUP(Thu_W1[[#This Row],[Employee Name]],'Base Schedules'!$A$243:$AW$281,30,FALSE)),"")</f>
        <v>Coaching</v>
      </c>
      <c r="AF26" s="184" t="str">
        <f>IFERROR(IF(VLOOKUP(Thu_W1[[#This Row],[Employee Name]],'Base Schedules'!$A$243:$AW$281,31,FALSE)="","",VLOOKUP(Thu_W1[[#This Row],[Employee Name]],'Base Schedules'!$A$243:$AW$281,31,FALSE)),"")</f>
        <v>-</v>
      </c>
      <c r="AG26" s="184" t="str">
        <f>IFERROR(IF(VLOOKUP(Thu_W1[[#This Row],[Employee Name]],'Base Schedules'!$A$243:$AW$281,32,FALSE)="","",VLOOKUP(Thu_W1[[#This Row],[Employee Name]],'Base Schedules'!$A$243:$AW$281,32,FALSE)),"")</f>
        <v>-</v>
      </c>
      <c r="AH26" s="184" t="str">
        <f>IFERROR(IF(VLOOKUP(Thu_W1[[#This Row],[Employee Name]],'Base Schedules'!$A$243:$AW$281,33,FALSE)="","",VLOOKUP(Thu_W1[[#This Row],[Employee Name]],'Base Schedules'!$A$243:$AW$281,33,FALSE)),"")</f>
        <v>-</v>
      </c>
      <c r="AI26" s="184" t="str">
        <f>IFERROR(IF(VLOOKUP(Thu_W1[[#This Row],[Employee Name]],'Base Schedules'!$A$243:$AW$281,34,FALSE)="","",VLOOKUP(Thu_W1[[#This Row],[Employee Name]],'Base Schedules'!$A$243:$AW$281,34,FALSE)),"")</f>
        <v>-</v>
      </c>
      <c r="AJ26" s="184" t="str">
        <f>IFERROR(IF(VLOOKUP(Thu_W1[[#This Row],[Employee Name]],'Base Schedules'!$A$243:$AW$281,35,FALSE)="","",VLOOKUP(Thu_W1[[#This Row],[Employee Name]],'Base Schedules'!$A$243:$AW$281,35,FALSE)),"")</f>
        <v>-</v>
      </c>
      <c r="AK26" s="184" t="str">
        <f>IFERROR(IF(VLOOKUP(Thu_W1[[#This Row],[Employee Name]],'Base Schedules'!$A$243:$AW$281,36,FALSE)="","",VLOOKUP(Thu_W1[[#This Row],[Employee Name]],'Base Schedules'!$A$243:$AW$281,36,FALSE)),"")</f>
        <v/>
      </c>
      <c r="AL26" s="184" t="str">
        <f>IFERROR(IF(VLOOKUP(Thu_W1[[#This Row],[Employee Name]],'Base Schedules'!$A$243:$AW$281,37,FALSE)="","",VLOOKUP(Thu_W1[[#This Row],[Employee Name]],'Base Schedules'!$A$243:$AW$281,37,FALSE)),"")</f>
        <v/>
      </c>
      <c r="AM26" s="184" t="str">
        <f>IFERROR(IF(VLOOKUP(Thu_W1[[#This Row],[Employee Name]],'Base Schedules'!$A$243:$AW$281,38,FALSE)="","",VLOOKUP(Thu_W1[[#This Row],[Employee Name]],'Base Schedules'!$A$243:$AW$281,38,FALSE)),"")</f>
        <v/>
      </c>
      <c r="AN26" s="184" t="str">
        <f>IFERROR(IF(VLOOKUP(Thu_W1[[#This Row],[Employee Name]],'Base Schedules'!$A$243:$AW$281,39,FALSE)="","",VLOOKUP(Thu_W1[[#This Row],[Employee Name]],'Base Schedules'!$A$243:$AW$281,39,FALSE)),"")</f>
        <v/>
      </c>
      <c r="AO26" s="184" t="str">
        <f>IFERROR(IF(VLOOKUP(Thu_W1[[#This Row],[Employee Name]],'Base Schedules'!$A$243:$AW$281,40,FALSE)="","",VLOOKUP(Thu_W1[[#This Row],[Employee Name]],'Base Schedules'!$A$243:$AW$281,40,FALSE)),"")</f>
        <v/>
      </c>
      <c r="AP26" s="184" t="str">
        <f>IFERROR(IF(VLOOKUP(Thu_W1[[#This Row],[Employee Name]],'Base Schedules'!$A$243:$AW$281,41,FALSE)="","",VLOOKUP(Thu_W1[[#This Row],[Employee Name]],'Base Schedules'!$A$243:$AW$281,41,FALSE)),"")</f>
        <v/>
      </c>
      <c r="AQ26" s="184" t="str">
        <f>IFERROR(IF(VLOOKUP(Thu_W1[[#This Row],[Employee Name]],'Base Schedules'!$A$243:$AW$281,42,FALSE)="","",VLOOKUP(Thu_W1[[#This Row],[Employee Name]],'Base Schedules'!$A$243:$AW$281,42,FALSE)),"")</f>
        <v/>
      </c>
      <c r="AR26" s="184" t="str">
        <f>IFERROR(IF(VLOOKUP(Thu_W1[[#This Row],[Employee Name]],'Base Schedules'!$A$243:$AW$281,43,FALSE)="","",VLOOKUP(Thu_W1[[#This Row],[Employee Name]],'Base Schedules'!$A$243:$AW$281,43,FALSE)),"")</f>
        <v/>
      </c>
      <c r="AS26" s="184" t="str">
        <f>IFERROR(IF(VLOOKUP(Thu_W1[[#This Row],[Employee Name]],'Base Schedules'!$A$243:$AW$281,44,FALSE)="","",VLOOKUP(Thu_W1[[#This Row],[Employee Name]],'Base Schedules'!$A$243:$AW$281,44,FALSE)),"")</f>
        <v/>
      </c>
      <c r="AT26" s="184" t="str">
        <f>IFERROR(IF(VLOOKUP(Thu_W1[[#This Row],[Employee Name]],'Base Schedules'!$A$243:$AW$281,45,FALSE)="","",VLOOKUP(Thu_W1[[#This Row],[Employee Name]],'Base Schedules'!$A$243:$AW$281,45,FALSE)),"")</f>
        <v/>
      </c>
      <c r="AU26" s="184" t="str">
        <f>IFERROR(IF(VLOOKUP(Thu_W1[[#This Row],[Employee Name]],'Base Schedules'!$A$243:$AW$281,46,FALSE)="","",VLOOKUP(Thu_W1[[#This Row],[Employee Name]],'Base Schedules'!$A$243:$AW$281,46,FALSE)),"")</f>
        <v/>
      </c>
      <c r="AV26" s="184" t="str">
        <f>IFERROR(IF(VLOOKUP(Thu_W1[[#This Row],[Employee Name]],'Base Schedules'!$A$243:$AW$281,47,FALSE)="","",VLOOKUP(Thu_W1[[#This Row],[Employee Name]],'Base Schedules'!$A$243:$AW$281,47,FALSE)),"")</f>
        <v/>
      </c>
      <c r="AW26" s="184" t="str">
        <f>IFERROR(IF(VLOOKUP(Thu_W1[[#This Row],[Employee Name]],'Base Schedules'!$A$243:$AW$281,48,FALSE)="","",VLOOKUP(Thu_W1[[#This Row],[Employee Name]],'Base Schedules'!$A$243:$AW$281,48,FALSE)),"")</f>
        <v/>
      </c>
      <c r="AX26" s="184" t="str">
        <f>IFERROR(IF(VLOOKUP(Thu_W1[[#This Row],[Employee Name]],'Base Schedules'!$A$243:$AW$281,49,FALSE)="","",VLOOKUP(Thu_W1[[#This Row],[Employee Name]],'Base Schedules'!$A$243:$AW$281,49,FALSE)),"")</f>
        <v/>
      </c>
      <c r="AY26" s="164" t="str">
        <f t="shared" si="2"/>
        <v>McLean, Michael</v>
      </c>
    </row>
    <row r="27" spans="1:51" s="44" customFormat="1" ht="12" x14ac:dyDescent="0.2">
      <c r="A27" s="39" t="str">
        <f>IF(B27="","",INDEX(TeamList[],MATCH($B27,TeamList[[Employee Name]:[Employee Name]],0),MATCH("Manager",TeamList[#Headers],0)))</f>
        <v>Olson, Katherine</v>
      </c>
      <c r="B27" s="201" t="s">
        <v>69</v>
      </c>
      <c r="C27" s="257" t="str">
        <f>_xlfn.IFNA(VLOOKUP(Thu_W1[[#This Row],[Employee Name]],'Base Schedules'!A:B,2,FALSE),"")</f>
        <v>Lead</v>
      </c>
      <c r="D27" s="274">
        <f>_xlfn.IFNA(VLOOKUP(Thu_W1[[#This Row],[Employee Name]],'Base Schedules'!A:C,3,FALSE),"")</f>
        <v>1000</v>
      </c>
      <c r="E27" s="274">
        <f>_xlfn.IFNA(VLOOKUP(Thu_W1[[#This Row],[Employee Name]],'Base Schedules'!A:D,4,FALSE),"")</f>
        <v>1900</v>
      </c>
      <c r="F27" s="142">
        <f>IF(Thu_W1[[#This Row],[Employee Name]]="","",IF(Thu_W1[[#This Row],[Dept]]="Supervisor",COUNTIFS($J27:$AX27,"*HL*",$J27:$AX27,"&lt;&gt;"&amp;"pHL"),COUNTIFS($J27:$AX27,"*HL*",$J27:$AX27,"&lt;&gt;"&amp;"*pHL*",$J27:$AX27,"&lt;&gt;"&amp;"pB1 HL",$J27:$AX27,"&lt;&gt;"&amp;"pB2 HL")-SUM(COUNTIFS($J27:$AX27,"*HL B1*",$J27:$AX27,"&lt;&gt;"&amp;"pHL B1")*0.5,COUNTIFS($J27:$AX27,"*HL B2*",$J27:$AX27,"&lt;&gt;"&amp;"pHL B2")*0.5,COUNTIFS($J27:$AX27,"*B1 HL*",$J27:$AX27,"&lt;&gt;"&amp;"pB1 HL")*0.5,COUNTIFS($J27:$AX27,"*B2 HL*",$J27:$AX27,"&lt;&gt;"&amp;"pB2 HL")*0.5)))</f>
        <v>5.5</v>
      </c>
      <c r="G27" s="142">
        <f t="shared" si="0"/>
        <v>0</v>
      </c>
      <c r="H27" s="142">
        <f t="shared" si="1"/>
        <v>8</v>
      </c>
      <c r="I27" s="142">
        <f>IF(Thu_W1[[#This Row],[Employee Name]]="","",IF(Thu_W1[[#This Row],[Dept]]="Supervisor",SUM(COUNTIFS($J27:$AX27,"RTA*",$J27:$AX27,"&lt;&gt;"&amp;"pRTA"),COUNTIFS($J27:$AX27,"*CRTA*",$J27:$AX27,"&lt;&gt;"&amp;"pCRTA")),COUNTIFS($J27:$AX27,"*RNNR*",$J27:$AX27,"&lt;&gt;"&amp;"*pRNNR*",$J27:$AX27,"&lt;&gt;"&amp;"pB1 RNNR",$J27:$AX27,"&lt;&gt;"&amp;"pB2 RNNR")-SUM(COUNTIFS($J27:$AX27,"*RNNR B1*",$J27:$AX27,"&lt;&gt;"&amp;"pRNNR B1")*0.5,COUNTIFS($J27:$AX27,"*RNNR B2*",$J27:$AX27,"&lt;&gt;"&amp;"pRNNR B2")*0.5,COUNTIFS($J27:$AX27,"*B1 RNNR*",$J27:$AX27,"&lt;&gt;"&amp;"pB1 RNNR")*0.5,COUNTIFS($J27:$AX27,"*B2 RNNR*",$J27:$AX27,"&lt;&gt;"&amp;"pB2 RNNR")*0.5)))</f>
        <v>2</v>
      </c>
      <c r="J27" s="184" t="str">
        <f>IFERROR(IF(VLOOKUP(Thu_W1[[#This Row],[Employee Name]],'Base Schedules'!$A$243:$AW$281,9,FALSE)="","",VLOOKUP(Thu_W1[[#This Row],[Employee Name]],'Base Schedules'!$A$243:$AW$281,9,FALSE)),"")</f>
        <v/>
      </c>
      <c r="K27" s="184" t="str">
        <f>IFERROR(IF(VLOOKUP(Thu_W1[[#This Row],[Employee Name]],'Base Schedules'!$A$243:$AW$281,10,FALSE)="","",VLOOKUP(Thu_W1[[#This Row],[Employee Name]],'Base Schedules'!$A$243:$AW$281,10,FALSE)),"")</f>
        <v/>
      </c>
      <c r="L27" s="184" t="str">
        <f>IFERROR(IF(VLOOKUP(Thu_W1[[#This Row],[Employee Name]],'Base Schedules'!$A$243:$AW$281,11,FALSE)="","",VLOOKUP(Thu_W1[[#This Row],[Employee Name]],'Base Schedules'!$A$243:$AW$281,11,FALSE)),"")</f>
        <v/>
      </c>
      <c r="M27" s="184" t="str">
        <f>IFERROR(IF(VLOOKUP(Thu_W1[[#This Row],[Employee Name]],'Base Schedules'!$A$243:$AW$281,12,FALSE)="","",VLOOKUP(Thu_W1[[#This Row],[Employee Name]],'Base Schedules'!$A$243:$AW$281,12,FALSE)),"")</f>
        <v/>
      </c>
      <c r="N27" s="184" t="str">
        <f>IFERROR(IF(VLOOKUP(Thu_W1[[#This Row],[Employee Name]],'Base Schedules'!$A$243:$AW$281,13,FALSE)="","",VLOOKUP(Thu_W1[[#This Row],[Employee Name]],'Base Schedules'!$A$243:$AW$281,13,FALSE)),"")</f>
        <v/>
      </c>
      <c r="O27" s="184" t="str">
        <f>IFERROR(IF(VLOOKUP(Thu_W1[[#This Row],[Employee Name]],'Base Schedules'!$A$243:$AW$281,14,FALSE)="","",VLOOKUP(Thu_W1[[#This Row],[Employee Name]],'Base Schedules'!$A$243:$AW$281,14,FALSE)),"")</f>
        <v/>
      </c>
      <c r="P27" s="184" t="str">
        <f>IFERROR(IF(VLOOKUP(Thu_W1[[#This Row],[Employee Name]],'Base Schedules'!$A$243:$AW$281,15,FALSE)="","",VLOOKUP(Thu_W1[[#This Row],[Employee Name]],'Base Schedules'!$A$243:$AW$281,15,FALSE)),"")</f>
        <v/>
      </c>
      <c r="Q27" s="184" t="str">
        <f>IFERROR(IF(VLOOKUP(Thu_W1[[#This Row],[Employee Name]],'Base Schedules'!$A$243:$AW$281,16,FALSE)="","",VLOOKUP(Thu_W1[[#This Row],[Employee Name]],'Base Schedules'!$A$243:$AW$281,16,FALSE)),"")</f>
        <v/>
      </c>
      <c r="R27" s="184" t="str">
        <f>IFERROR(IF(VLOOKUP(Thu_W1[[#This Row],[Employee Name]],'Base Schedules'!$A$243:$AW$281,17,FALSE)="","",VLOOKUP(Thu_W1[[#This Row],[Employee Name]],'Base Schedules'!$A$243:$AW$281,17,FALSE)),"")</f>
        <v/>
      </c>
      <c r="S27" s="184" t="str">
        <f>IFERROR(IF(VLOOKUP(Thu_W1[[#This Row],[Employee Name]],'Base Schedules'!$A$243:$AW$281,18,FALSE)="","",VLOOKUP(Thu_W1[[#This Row],[Employee Name]],'Base Schedules'!$A$243:$AW$281,18,FALSE)),"")</f>
        <v/>
      </c>
      <c r="T27" s="184" t="str">
        <f>IFERROR(IF(VLOOKUP(Thu_W1[[#This Row],[Employee Name]],'Base Schedules'!$A$243:$AW$281,19,FALSE)="","",VLOOKUP(Thu_W1[[#This Row],[Employee Name]],'Base Schedules'!$A$243:$AW$281,19,FALSE)),"")</f>
        <v>HL</v>
      </c>
      <c r="U27" s="184" t="str">
        <f>IFERROR(IF(VLOOKUP(Thu_W1[[#This Row],[Employee Name]],'Base Schedules'!$A$243:$AW$281,20,FALSE)="","",VLOOKUP(Thu_W1[[#This Row],[Employee Name]],'Base Schedules'!$A$243:$AW$281,20,FALSE)),"")</f>
        <v>HL</v>
      </c>
      <c r="V27" s="184" t="str">
        <f>IFERROR(IF(VLOOKUP(Thu_W1[[#This Row],[Employee Name]],'Base Schedules'!$A$243:$AW$281,21,FALSE)="","",VLOOKUP(Thu_W1[[#This Row],[Employee Name]],'Base Schedules'!$A$243:$AW$281,21,FALSE)),"")</f>
        <v>ADM</v>
      </c>
      <c r="W27" s="184" t="str">
        <f>IFERROR(IF(VLOOKUP(Thu_W1[[#This Row],[Employee Name]],'Base Schedules'!$A$243:$AW$281,22,FALSE)="","",VLOOKUP(Thu_W1[[#This Row],[Employee Name]],'Base Schedules'!$A$243:$AW$281,22,FALSE)),"")</f>
        <v>ADM</v>
      </c>
      <c r="X27" s="184" t="str">
        <f>IFERROR(IF(VLOOKUP(Thu_W1[[#This Row],[Employee Name]],'Base Schedules'!$A$243:$AW$281,23,FALSE)="","",VLOOKUP(Thu_W1[[#This Row],[Employee Name]],'Base Schedules'!$A$243:$AW$281,23,FALSE)),"")</f>
        <v>B1 HL</v>
      </c>
      <c r="Y27" s="184" t="str">
        <f>IFERROR(IF(VLOOKUP(Thu_W1[[#This Row],[Employee Name]],'Base Schedules'!$A$243:$AW$281,24,FALSE)="","",VLOOKUP(Thu_W1[[#This Row],[Employee Name]],'Base Schedules'!$A$243:$AW$281,24,FALSE)),"")</f>
        <v>HL</v>
      </c>
      <c r="Z27" s="184" t="str">
        <f>IFERROR(IF(VLOOKUP(Thu_W1[[#This Row],[Employee Name]],'Base Schedules'!$A$243:$AW$281,25,FALSE)="","",VLOOKUP(Thu_W1[[#This Row],[Employee Name]],'Base Schedules'!$A$243:$AW$281,25,FALSE)),"")</f>
        <v>ADM</v>
      </c>
      <c r="AA27" s="184" t="str">
        <f>IFERROR(IF(VLOOKUP(Thu_W1[[#This Row],[Employee Name]],'Base Schedules'!$A$243:$AW$281,26,FALSE)="","",VLOOKUP(Thu_W1[[#This Row],[Employee Name]],'Base Schedules'!$A$243:$AW$281,26,FALSE)),"")</f>
        <v>ADM</v>
      </c>
      <c r="AB27" s="184" t="str">
        <f>IFERROR(IF(VLOOKUP(Thu_W1[[#This Row],[Employee Name]],'Base Schedules'!$A$243:$AW$281,27,FALSE)="","",VLOOKUP(Thu_W1[[#This Row],[Employee Name]],'Base Schedules'!$A$243:$AW$281,27,FALSE)),"")</f>
        <v>LUNCH</v>
      </c>
      <c r="AC27" s="184" t="str">
        <f>IFERROR(IF(VLOOKUP(Thu_W1[[#This Row],[Employee Name]],'Base Schedules'!$A$243:$AW$281,28,FALSE)="","",VLOOKUP(Thu_W1[[#This Row],[Employee Name]],'Base Schedules'!$A$243:$AW$281,28,FALSE)),"")</f>
        <v>LUNCH</v>
      </c>
      <c r="AD27" s="184" t="str">
        <f>IFERROR(IF(VLOOKUP(Thu_W1[[#This Row],[Employee Name]],'Base Schedules'!$A$243:$AW$281,29,FALSE)="","",VLOOKUP(Thu_W1[[#This Row],[Employee Name]],'Base Schedules'!$A$243:$AW$281,29,FALSE)),"")</f>
        <v>RNNR</v>
      </c>
      <c r="AE27" s="184" t="str">
        <f>IFERROR(IF(VLOOKUP(Thu_W1[[#This Row],[Employee Name]],'Base Schedules'!$A$243:$AW$281,30,FALSE)="","",VLOOKUP(Thu_W1[[#This Row],[Employee Name]],'Base Schedules'!$A$243:$AW$281,30,FALSE)),"")</f>
        <v>RNNR</v>
      </c>
      <c r="AF27" s="184" t="str">
        <f>IFERROR(IF(VLOOKUP(Thu_W1[[#This Row],[Employee Name]],'Base Schedules'!$A$243:$AW$281,31,FALSE)="","",VLOOKUP(Thu_W1[[#This Row],[Employee Name]],'Base Schedules'!$A$243:$AW$281,31,FALSE)),"")</f>
        <v>HL</v>
      </c>
      <c r="AG27" s="184" t="str">
        <f>IFERROR(IF(VLOOKUP(Thu_W1[[#This Row],[Employee Name]],'Base Schedules'!$A$243:$AW$281,32,FALSE)="","",VLOOKUP(Thu_W1[[#This Row],[Employee Name]],'Base Schedules'!$A$243:$AW$281,32,FALSE)),"")</f>
        <v>HL</v>
      </c>
      <c r="AH27" s="184" t="str">
        <f>IFERROR(IF(VLOOKUP(Thu_W1[[#This Row],[Employee Name]],'Base Schedules'!$A$243:$AW$281,33,FALSE)="","",VLOOKUP(Thu_W1[[#This Row],[Employee Name]],'Base Schedules'!$A$243:$AW$281,33,FALSE)),"")</f>
        <v>ADM B2</v>
      </c>
      <c r="AI27" s="184" t="str">
        <f>IFERROR(IF(VLOOKUP(Thu_W1[[#This Row],[Employee Name]],'Base Schedules'!$A$243:$AW$281,34,FALSE)="","",VLOOKUP(Thu_W1[[#This Row],[Employee Name]],'Base Schedules'!$A$243:$AW$281,34,FALSE)),"")</f>
        <v>ADM</v>
      </c>
      <c r="AJ27" s="184" t="str">
        <f>IFERROR(IF(VLOOKUP(Thu_W1[[#This Row],[Employee Name]],'Base Schedules'!$A$243:$AW$281,35,FALSE)="","",VLOOKUP(Thu_W1[[#This Row],[Employee Name]],'Base Schedules'!$A$243:$AW$281,35,FALSE)),"")</f>
        <v>ADM</v>
      </c>
      <c r="AK27" s="184" t="str">
        <f>IFERROR(IF(VLOOKUP(Thu_W1[[#This Row],[Employee Name]],'Base Schedules'!$A$243:$AW$281,36,FALSE)="","",VLOOKUP(Thu_W1[[#This Row],[Employee Name]],'Base Schedules'!$A$243:$AW$281,36,FALSE)),"")</f>
        <v>ADM</v>
      </c>
      <c r="AL27" s="184" t="str">
        <f>IFERROR(IF(VLOOKUP(Thu_W1[[#This Row],[Employee Name]],'Base Schedules'!$A$243:$AW$281,37,FALSE)="","",VLOOKUP(Thu_W1[[#This Row],[Employee Name]],'Base Schedules'!$A$243:$AW$281,37,FALSE)),"")</f>
        <v/>
      </c>
      <c r="AM27" s="184" t="str">
        <f>IFERROR(IF(VLOOKUP(Thu_W1[[#This Row],[Employee Name]],'Base Schedules'!$A$243:$AW$281,38,FALSE)="","",VLOOKUP(Thu_W1[[#This Row],[Employee Name]],'Base Schedules'!$A$243:$AW$281,38,FALSE)),"")</f>
        <v/>
      </c>
      <c r="AN27" s="184" t="str">
        <f>IFERROR(IF(VLOOKUP(Thu_W1[[#This Row],[Employee Name]],'Base Schedules'!$A$243:$AW$281,39,FALSE)="","",VLOOKUP(Thu_W1[[#This Row],[Employee Name]],'Base Schedules'!$A$243:$AW$281,39,FALSE)),"")</f>
        <v/>
      </c>
      <c r="AO27" s="184" t="str">
        <f>IFERROR(IF(VLOOKUP(Thu_W1[[#This Row],[Employee Name]],'Base Schedules'!$A$243:$AW$281,40,FALSE)="","",VLOOKUP(Thu_W1[[#This Row],[Employee Name]],'Base Schedules'!$A$243:$AW$281,40,FALSE)),"")</f>
        <v/>
      </c>
      <c r="AP27" s="184" t="str">
        <f>IFERROR(IF(VLOOKUP(Thu_W1[[#This Row],[Employee Name]],'Base Schedules'!$A$243:$AW$281,41,FALSE)="","",VLOOKUP(Thu_W1[[#This Row],[Employee Name]],'Base Schedules'!$A$243:$AW$281,41,FALSE)),"")</f>
        <v/>
      </c>
      <c r="AQ27" s="184" t="str">
        <f>IFERROR(IF(VLOOKUP(Thu_W1[[#This Row],[Employee Name]],'Base Schedules'!$A$243:$AW$281,42,FALSE)="","",VLOOKUP(Thu_W1[[#This Row],[Employee Name]],'Base Schedules'!$A$243:$AW$281,42,FALSE)),"")</f>
        <v/>
      </c>
      <c r="AR27" s="184" t="str">
        <f>IFERROR(IF(VLOOKUP(Thu_W1[[#This Row],[Employee Name]],'Base Schedules'!$A$243:$AW$281,43,FALSE)="","",VLOOKUP(Thu_W1[[#This Row],[Employee Name]],'Base Schedules'!$A$243:$AW$281,43,FALSE)),"")</f>
        <v/>
      </c>
      <c r="AS27" s="184" t="str">
        <f>IFERROR(IF(VLOOKUP(Thu_W1[[#This Row],[Employee Name]],'Base Schedules'!$A$243:$AW$281,44,FALSE)="","",VLOOKUP(Thu_W1[[#This Row],[Employee Name]],'Base Schedules'!$A$243:$AW$281,44,FALSE)),"")</f>
        <v/>
      </c>
      <c r="AT27" s="184" t="str">
        <f>IFERROR(IF(VLOOKUP(Thu_W1[[#This Row],[Employee Name]],'Base Schedules'!$A$243:$AW$281,45,FALSE)="","",VLOOKUP(Thu_W1[[#This Row],[Employee Name]],'Base Schedules'!$A$243:$AW$281,45,FALSE)),"")</f>
        <v/>
      </c>
      <c r="AU27" s="184" t="str">
        <f>IFERROR(IF(VLOOKUP(Thu_W1[[#This Row],[Employee Name]],'Base Schedules'!$A$243:$AW$281,46,FALSE)="","",VLOOKUP(Thu_W1[[#This Row],[Employee Name]],'Base Schedules'!$A$243:$AW$281,46,FALSE)),"")</f>
        <v/>
      </c>
      <c r="AV27" s="184" t="str">
        <f>IFERROR(IF(VLOOKUP(Thu_W1[[#This Row],[Employee Name]],'Base Schedules'!$A$243:$AW$281,47,FALSE)="","",VLOOKUP(Thu_W1[[#This Row],[Employee Name]],'Base Schedules'!$A$243:$AW$281,47,FALSE)),"")</f>
        <v/>
      </c>
      <c r="AW27" s="184" t="str">
        <f>IFERROR(IF(VLOOKUP(Thu_W1[[#This Row],[Employee Name]],'Base Schedules'!$A$243:$AW$281,48,FALSE)="","",VLOOKUP(Thu_W1[[#This Row],[Employee Name]],'Base Schedules'!$A$243:$AW$281,48,FALSE)),"")</f>
        <v/>
      </c>
      <c r="AX27" s="184" t="str">
        <f>IFERROR(IF(VLOOKUP(Thu_W1[[#This Row],[Employee Name]],'Base Schedules'!$A$243:$AW$281,49,FALSE)="","",VLOOKUP(Thu_W1[[#This Row],[Employee Name]],'Base Schedules'!$A$243:$AW$281,49,FALSE)),"")</f>
        <v/>
      </c>
      <c r="AY27" s="164" t="str">
        <f t="shared" si="2"/>
        <v>Slagle, Natasha</v>
      </c>
    </row>
    <row r="28" spans="1:51" s="44" customFormat="1" ht="12" x14ac:dyDescent="0.2">
      <c r="A28" s="39" t="str">
        <f>IF(B28="","",INDEX(TeamList[],MATCH($B28,TeamList[[Employee Name]:[Employee Name]],0),MATCH("Manager",TeamList[#Headers],0)))</f>
        <v>Olson, Katherine</v>
      </c>
      <c r="B28" s="201" t="s">
        <v>67</v>
      </c>
      <c r="C28" s="257" t="str">
        <f>_xlfn.IFNA(VLOOKUP(Thu_W1[[#This Row],[Employee Name]],'Base Schedules'!A:B,2,FALSE),"")</f>
        <v>Lead</v>
      </c>
      <c r="D28" s="274">
        <f>_xlfn.IFNA(VLOOKUP(Thu_W1[[#This Row],[Employee Name]],'Base Schedules'!A:C,3,FALSE),"")</f>
        <v>1030</v>
      </c>
      <c r="E28" s="274">
        <f>_xlfn.IFNA(VLOOKUP(Thu_W1[[#This Row],[Employee Name]],'Base Schedules'!A:D,4,FALSE),"")</f>
        <v>1900</v>
      </c>
      <c r="F28" s="142">
        <f>IF(Thu_W1[[#This Row],[Employee Name]]="","",IF(Thu_W1[[#This Row],[Dept]]="Supervisor",COUNTIFS($J28:$AX28,"*HL*",$J28:$AX28,"&lt;&gt;"&amp;"pHL"),COUNTIFS($J28:$AX28,"*HL*",$J28:$AX28,"&lt;&gt;"&amp;"*pHL*",$J28:$AX28,"&lt;&gt;"&amp;"pB1 HL",$J28:$AX28,"&lt;&gt;"&amp;"pB2 HL")-SUM(COUNTIFS($J28:$AX28,"*HL B1*",$J28:$AX28,"&lt;&gt;"&amp;"pHL B1")*0.5,COUNTIFS($J28:$AX28,"*HL B2*",$J28:$AX28,"&lt;&gt;"&amp;"pHL B2")*0.5,COUNTIFS($J28:$AX28,"*B1 HL*",$J28:$AX28,"&lt;&gt;"&amp;"pB1 HL")*0.5,COUNTIFS($J28:$AX28,"*B2 HL*",$J28:$AX28,"&lt;&gt;"&amp;"pB2 HL")*0.5)))</f>
        <v>6.5</v>
      </c>
      <c r="G28" s="142">
        <f t="shared" si="0"/>
        <v>0</v>
      </c>
      <c r="H28" s="142">
        <f t="shared" si="1"/>
        <v>7</v>
      </c>
      <c r="I28" s="142">
        <f>IF(Thu_W1[[#This Row],[Employee Name]]="","",IF(Thu_W1[[#This Row],[Dept]]="Supervisor",SUM(COUNTIFS($J28:$AX28,"RTA*",$J28:$AX28,"&lt;&gt;"&amp;"pRTA"),COUNTIFS($J28:$AX28,"*CRTA*",$J28:$AX28,"&lt;&gt;"&amp;"pCRTA")),COUNTIFS($J28:$AX28,"*RNNR*",$J28:$AX28,"&lt;&gt;"&amp;"*pRNNR*",$J28:$AX28,"&lt;&gt;"&amp;"pB1 RNNR",$J28:$AX28,"&lt;&gt;"&amp;"pB2 RNNR")-SUM(COUNTIFS($J28:$AX28,"*RNNR B1*",$J28:$AX28,"&lt;&gt;"&amp;"pRNNR B1")*0.5,COUNTIFS($J28:$AX28,"*RNNR B2*",$J28:$AX28,"&lt;&gt;"&amp;"pRNNR B2")*0.5,COUNTIFS($J28:$AX28,"*B1 RNNR*",$J28:$AX28,"&lt;&gt;"&amp;"pB1 RNNR")*0.5,COUNTIFS($J28:$AX28,"*B2 RNNR*",$J28:$AX28,"&lt;&gt;"&amp;"pB2 RNNR")*0.5)))</f>
        <v>2</v>
      </c>
      <c r="J28" s="184" t="str">
        <f>IFERROR(IF(VLOOKUP(Thu_W1[[#This Row],[Employee Name]],'Base Schedules'!$A$243:$AW$281,9,FALSE)="","",VLOOKUP(Thu_W1[[#This Row],[Employee Name]],'Base Schedules'!$A$243:$AW$281,9,FALSE)),"")</f>
        <v/>
      </c>
      <c r="K28" s="184" t="str">
        <f>IFERROR(IF(VLOOKUP(Thu_W1[[#This Row],[Employee Name]],'Base Schedules'!$A$243:$AW$281,10,FALSE)="","",VLOOKUP(Thu_W1[[#This Row],[Employee Name]],'Base Schedules'!$A$243:$AW$281,10,FALSE)),"")</f>
        <v/>
      </c>
      <c r="L28" s="184" t="str">
        <f>IFERROR(IF(VLOOKUP(Thu_W1[[#This Row],[Employee Name]],'Base Schedules'!$A$243:$AW$281,11,FALSE)="","",VLOOKUP(Thu_W1[[#This Row],[Employee Name]],'Base Schedules'!$A$243:$AW$281,11,FALSE)),"")</f>
        <v/>
      </c>
      <c r="M28" s="184" t="str">
        <f>IFERROR(IF(VLOOKUP(Thu_W1[[#This Row],[Employee Name]],'Base Schedules'!$A$243:$AW$281,12,FALSE)="","",VLOOKUP(Thu_W1[[#This Row],[Employee Name]],'Base Schedules'!$A$243:$AW$281,12,FALSE)),"")</f>
        <v/>
      </c>
      <c r="N28" s="184" t="str">
        <f>IFERROR(IF(VLOOKUP(Thu_W1[[#This Row],[Employee Name]],'Base Schedules'!$A$243:$AW$281,13,FALSE)="","",VLOOKUP(Thu_W1[[#This Row],[Employee Name]],'Base Schedules'!$A$243:$AW$281,13,FALSE)),"")</f>
        <v/>
      </c>
      <c r="O28" s="184" t="str">
        <f>IFERROR(IF(VLOOKUP(Thu_W1[[#This Row],[Employee Name]],'Base Schedules'!$A$243:$AW$281,14,FALSE)="","",VLOOKUP(Thu_W1[[#This Row],[Employee Name]],'Base Schedules'!$A$243:$AW$281,14,FALSE)),"")</f>
        <v/>
      </c>
      <c r="P28" s="184" t="str">
        <f>IFERROR(IF(VLOOKUP(Thu_W1[[#This Row],[Employee Name]],'Base Schedules'!$A$243:$AW$281,15,FALSE)="","",VLOOKUP(Thu_W1[[#This Row],[Employee Name]],'Base Schedules'!$A$243:$AW$281,15,FALSE)),"")</f>
        <v/>
      </c>
      <c r="Q28" s="184" t="str">
        <f>IFERROR(IF(VLOOKUP(Thu_W1[[#This Row],[Employee Name]],'Base Schedules'!$A$243:$AW$281,16,FALSE)="","",VLOOKUP(Thu_W1[[#This Row],[Employee Name]],'Base Schedules'!$A$243:$AW$281,16,FALSE)),"")</f>
        <v/>
      </c>
      <c r="R28" s="184" t="str">
        <f>IFERROR(IF(VLOOKUP(Thu_W1[[#This Row],[Employee Name]],'Base Schedules'!$A$243:$AW$281,17,FALSE)="","",VLOOKUP(Thu_W1[[#This Row],[Employee Name]],'Base Schedules'!$A$243:$AW$281,17,FALSE)),"")</f>
        <v/>
      </c>
      <c r="S28" s="184" t="str">
        <f>IFERROR(IF(VLOOKUP(Thu_W1[[#This Row],[Employee Name]],'Base Schedules'!$A$243:$AW$281,18,FALSE)="","",VLOOKUP(Thu_W1[[#This Row],[Employee Name]],'Base Schedules'!$A$243:$AW$281,18,FALSE)),"")</f>
        <v/>
      </c>
      <c r="T28" s="184" t="str">
        <f>IFERROR(IF(VLOOKUP(Thu_W1[[#This Row],[Employee Name]],'Base Schedules'!$A$243:$AW$281,19,FALSE)="","",VLOOKUP(Thu_W1[[#This Row],[Employee Name]],'Base Schedules'!$A$243:$AW$281,19,FALSE)),"")</f>
        <v/>
      </c>
      <c r="U28" s="184" t="str">
        <f>IFERROR(IF(VLOOKUP(Thu_W1[[#This Row],[Employee Name]],'Base Schedules'!$A$243:$AW$281,20,FALSE)="","",VLOOKUP(Thu_W1[[#This Row],[Employee Name]],'Base Schedules'!$A$243:$AW$281,20,FALSE)),"")</f>
        <v>HL</v>
      </c>
      <c r="V28" s="184" t="str">
        <f>IFERROR(IF(VLOOKUP(Thu_W1[[#This Row],[Employee Name]],'Base Schedules'!$A$243:$AW$281,21,FALSE)="","",VLOOKUP(Thu_W1[[#This Row],[Employee Name]],'Base Schedules'!$A$243:$AW$281,21,FALSE)),"")</f>
        <v>HL</v>
      </c>
      <c r="W28" s="184" t="str">
        <f>IFERROR(IF(VLOOKUP(Thu_W1[[#This Row],[Employee Name]],'Base Schedules'!$A$243:$AW$281,22,FALSE)="","",VLOOKUP(Thu_W1[[#This Row],[Employee Name]],'Base Schedules'!$A$243:$AW$281,22,FALSE)),"")</f>
        <v>ADM</v>
      </c>
      <c r="X28" s="184" t="str">
        <f>IFERROR(IF(VLOOKUP(Thu_W1[[#This Row],[Employee Name]],'Base Schedules'!$A$243:$AW$281,23,FALSE)="","",VLOOKUP(Thu_W1[[#This Row],[Employee Name]],'Base Schedules'!$A$243:$AW$281,23,FALSE)),"")</f>
        <v>HL</v>
      </c>
      <c r="Y28" s="184" t="str">
        <f>IFERROR(IF(VLOOKUP(Thu_W1[[#This Row],[Employee Name]],'Base Schedules'!$A$243:$AW$281,24,FALSE)="","",VLOOKUP(Thu_W1[[#This Row],[Employee Name]],'Base Schedules'!$A$243:$AW$281,24,FALSE)),"")</f>
        <v>B1 HL</v>
      </c>
      <c r="Z28" s="184" t="str">
        <f>IFERROR(IF(VLOOKUP(Thu_W1[[#This Row],[Employee Name]],'Base Schedules'!$A$243:$AW$281,25,FALSE)="","",VLOOKUP(Thu_W1[[#This Row],[Employee Name]],'Base Schedules'!$A$243:$AW$281,25,FALSE)),"")</f>
        <v>ADM</v>
      </c>
      <c r="AA28" s="184" t="str">
        <f>IFERROR(IF(VLOOKUP(Thu_W1[[#This Row],[Employee Name]],'Base Schedules'!$A$243:$AW$281,26,FALSE)="","",VLOOKUP(Thu_W1[[#This Row],[Employee Name]],'Base Schedules'!$A$243:$AW$281,26,FALSE)),"")</f>
        <v>ADM</v>
      </c>
      <c r="AB28" s="184" t="str">
        <f>IFERROR(IF(VLOOKUP(Thu_W1[[#This Row],[Employee Name]],'Base Schedules'!$A$243:$AW$281,27,FALSE)="","",VLOOKUP(Thu_W1[[#This Row],[Employee Name]],'Base Schedules'!$A$243:$AW$281,27,FALSE)),"")</f>
        <v>HL</v>
      </c>
      <c r="AC28" s="184" t="str">
        <f>IFERROR(IF(VLOOKUP(Thu_W1[[#This Row],[Employee Name]],'Base Schedules'!$A$243:$AW$281,28,FALSE)="","",VLOOKUP(Thu_W1[[#This Row],[Employee Name]],'Base Schedules'!$A$243:$AW$281,28,FALSE)),"")</f>
        <v>LUNCH</v>
      </c>
      <c r="AD28" s="184" t="str">
        <f>IFERROR(IF(VLOOKUP(Thu_W1[[#This Row],[Employee Name]],'Base Schedules'!$A$243:$AW$281,29,FALSE)="","",VLOOKUP(Thu_W1[[#This Row],[Employee Name]],'Base Schedules'!$A$243:$AW$281,29,FALSE)),"")</f>
        <v>ADM</v>
      </c>
      <c r="AE28" s="184" t="str">
        <f>IFERROR(IF(VLOOKUP(Thu_W1[[#This Row],[Employee Name]],'Base Schedules'!$A$243:$AW$281,30,FALSE)="","",VLOOKUP(Thu_W1[[#This Row],[Employee Name]],'Base Schedules'!$A$243:$AW$281,30,FALSE)),"")</f>
        <v>ADM</v>
      </c>
      <c r="AF28" s="184" t="str">
        <f>IFERROR(IF(VLOOKUP(Thu_W1[[#This Row],[Employee Name]],'Base Schedules'!$A$243:$AW$281,31,FALSE)="","",VLOOKUP(Thu_W1[[#This Row],[Employee Name]],'Base Schedules'!$A$243:$AW$281,31,FALSE)),"")</f>
        <v>ADM</v>
      </c>
      <c r="AG28" s="184" t="str">
        <f>IFERROR(IF(VLOOKUP(Thu_W1[[#This Row],[Employee Name]],'Base Schedules'!$A$243:$AW$281,32,FALSE)="","",VLOOKUP(Thu_W1[[#This Row],[Employee Name]],'Base Schedules'!$A$243:$AW$281,32,FALSE)),"")</f>
        <v>HL</v>
      </c>
      <c r="AH28" s="184" t="str">
        <f>IFERROR(IF(VLOOKUP(Thu_W1[[#This Row],[Employee Name]],'Base Schedules'!$A$243:$AW$281,33,FALSE)="","",VLOOKUP(Thu_W1[[#This Row],[Employee Name]],'Base Schedules'!$A$243:$AW$281,33,FALSE)),"")</f>
        <v>B2 ADM</v>
      </c>
      <c r="AI28" s="184" t="str">
        <f>IFERROR(IF(VLOOKUP(Thu_W1[[#This Row],[Employee Name]],'Base Schedules'!$A$243:$AW$281,34,FALSE)="","",VLOOKUP(Thu_W1[[#This Row],[Employee Name]],'Base Schedules'!$A$243:$AW$281,34,FALSE)),"")</f>
        <v>HL</v>
      </c>
      <c r="AJ28" s="184" t="str">
        <f>IFERROR(IF(VLOOKUP(Thu_W1[[#This Row],[Employee Name]],'Base Schedules'!$A$243:$AW$281,35,FALSE)="","",VLOOKUP(Thu_W1[[#This Row],[Employee Name]],'Base Schedules'!$A$243:$AW$281,35,FALSE)),"")</f>
        <v>RNNR</v>
      </c>
      <c r="AK28" s="184" t="str">
        <f>IFERROR(IF(VLOOKUP(Thu_W1[[#This Row],[Employee Name]],'Base Schedules'!$A$243:$AW$281,36,FALSE)="","",VLOOKUP(Thu_W1[[#This Row],[Employee Name]],'Base Schedules'!$A$243:$AW$281,36,FALSE)),"")</f>
        <v>RNNR</v>
      </c>
      <c r="AL28" s="184" t="str">
        <f>IFERROR(IF(VLOOKUP(Thu_W1[[#This Row],[Employee Name]],'Base Schedules'!$A$243:$AW$281,37,FALSE)="","",VLOOKUP(Thu_W1[[#This Row],[Employee Name]],'Base Schedules'!$A$243:$AW$281,37,FALSE)),"")</f>
        <v/>
      </c>
      <c r="AM28" s="184" t="str">
        <f>IFERROR(IF(VLOOKUP(Thu_W1[[#This Row],[Employee Name]],'Base Schedules'!$A$243:$AW$281,38,FALSE)="","",VLOOKUP(Thu_W1[[#This Row],[Employee Name]],'Base Schedules'!$A$243:$AW$281,38,FALSE)),"")</f>
        <v/>
      </c>
      <c r="AN28" s="184" t="str">
        <f>IFERROR(IF(VLOOKUP(Thu_W1[[#This Row],[Employee Name]],'Base Schedules'!$A$243:$AW$281,39,FALSE)="","",VLOOKUP(Thu_W1[[#This Row],[Employee Name]],'Base Schedules'!$A$243:$AW$281,39,FALSE)),"")</f>
        <v/>
      </c>
      <c r="AO28" s="184" t="str">
        <f>IFERROR(IF(VLOOKUP(Thu_W1[[#This Row],[Employee Name]],'Base Schedules'!$A$243:$AW$281,40,FALSE)="","",VLOOKUP(Thu_W1[[#This Row],[Employee Name]],'Base Schedules'!$A$243:$AW$281,40,FALSE)),"")</f>
        <v/>
      </c>
      <c r="AP28" s="184" t="str">
        <f>IFERROR(IF(VLOOKUP(Thu_W1[[#This Row],[Employee Name]],'Base Schedules'!$A$243:$AW$281,41,FALSE)="","",VLOOKUP(Thu_W1[[#This Row],[Employee Name]],'Base Schedules'!$A$243:$AW$281,41,FALSE)),"")</f>
        <v/>
      </c>
      <c r="AQ28" s="184" t="str">
        <f>IFERROR(IF(VLOOKUP(Thu_W1[[#This Row],[Employee Name]],'Base Schedules'!$A$243:$AW$281,42,FALSE)="","",VLOOKUP(Thu_W1[[#This Row],[Employee Name]],'Base Schedules'!$A$243:$AW$281,42,FALSE)),"")</f>
        <v/>
      </c>
      <c r="AR28" s="184" t="str">
        <f>IFERROR(IF(VLOOKUP(Thu_W1[[#This Row],[Employee Name]],'Base Schedules'!$A$243:$AW$281,43,FALSE)="","",VLOOKUP(Thu_W1[[#This Row],[Employee Name]],'Base Schedules'!$A$243:$AW$281,43,FALSE)),"")</f>
        <v/>
      </c>
      <c r="AS28" s="184" t="str">
        <f>IFERROR(IF(VLOOKUP(Thu_W1[[#This Row],[Employee Name]],'Base Schedules'!$A$243:$AW$281,44,FALSE)="","",VLOOKUP(Thu_W1[[#This Row],[Employee Name]],'Base Schedules'!$A$243:$AW$281,44,FALSE)),"")</f>
        <v/>
      </c>
      <c r="AT28" s="184" t="str">
        <f>IFERROR(IF(VLOOKUP(Thu_W1[[#This Row],[Employee Name]],'Base Schedules'!$A$243:$AW$281,45,FALSE)="","",VLOOKUP(Thu_W1[[#This Row],[Employee Name]],'Base Schedules'!$A$243:$AW$281,45,FALSE)),"")</f>
        <v/>
      </c>
      <c r="AU28" s="184" t="str">
        <f>IFERROR(IF(VLOOKUP(Thu_W1[[#This Row],[Employee Name]],'Base Schedules'!$A$243:$AW$281,46,FALSE)="","",VLOOKUP(Thu_W1[[#This Row],[Employee Name]],'Base Schedules'!$A$243:$AW$281,46,FALSE)),"")</f>
        <v/>
      </c>
      <c r="AV28" s="184" t="str">
        <f>IFERROR(IF(VLOOKUP(Thu_W1[[#This Row],[Employee Name]],'Base Schedules'!$A$243:$AW$281,47,FALSE)="","",VLOOKUP(Thu_W1[[#This Row],[Employee Name]],'Base Schedules'!$A$243:$AW$281,47,FALSE)),"")</f>
        <v/>
      </c>
      <c r="AW28" s="184" t="str">
        <f>IFERROR(IF(VLOOKUP(Thu_W1[[#This Row],[Employee Name]],'Base Schedules'!$A$243:$AW$281,48,FALSE)="","",VLOOKUP(Thu_W1[[#This Row],[Employee Name]],'Base Schedules'!$A$243:$AW$281,48,FALSE)),"")</f>
        <v/>
      </c>
      <c r="AX28" s="184" t="str">
        <f>IFERROR(IF(VLOOKUP(Thu_W1[[#This Row],[Employee Name]],'Base Schedules'!$A$243:$AW$281,49,FALSE)="","",VLOOKUP(Thu_W1[[#This Row],[Employee Name]],'Base Schedules'!$A$243:$AW$281,49,FALSE)),"")</f>
        <v/>
      </c>
      <c r="AY28" s="166" t="str">
        <f t="shared" si="2"/>
        <v>Qualman, Sophy</v>
      </c>
    </row>
    <row r="29" spans="1:51" s="44" customFormat="1" ht="11.25" customHeight="1" x14ac:dyDescent="0.2">
      <c r="A29" s="39" t="str">
        <f>IF(B29="","",INDEX(TeamList[],MATCH($B29,TeamList[[Employee Name]:[Employee Name]],0),MATCH("Manager",TeamList[#Headers],0)))</f>
        <v>Olson, Katherine</v>
      </c>
      <c r="B29" s="201" t="s">
        <v>30</v>
      </c>
      <c r="C29" s="257" t="str">
        <f>_xlfn.IFNA(VLOOKUP(Thu_W1[[#This Row],[Employee Name]],'Base Schedules'!A:B,2,FALSE),"")</f>
        <v>Lead</v>
      </c>
      <c r="D29" s="274">
        <f>_xlfn.IFNA(VLOOKUP(Thu_W1[[#This Row],[Employee Name]],'Base Schedules'!A:C,3,FALSE),"")</f>
        <v>1100</v>
      </c>
      <c r="E29" s="274">
        <f>_xlfn.IFNA(VLOOKUP(Thu_W1[[#This Row],[Employee Name]],'Base Schedules'!A:D,4,FALSE),"")</f>
        <v>2000</v>
      </c>
      <c r="F29" s="142">
        <f>IF(Thu_W1[[#This Row],[Employee Name]]="","",IF(Thu_W1[[#This Row],[Dept]]="Supervisor",COUNTIFS($J29:$AX29,"*HL*",$J29:$AX29,"&lt;&gt;"&amp;"pHL"),COUNTIFS($J29:$AX29,"*HL*",$J29:$AX29,"&lt;&gt;"&amp;"*pHL*",$J29:$AX29,"&lt;&gt;"&amp;"pB1 HL",$J29:$AX29,"&lt;&gt;"&amp;"pB2 HL")-SUM(COUNTIFS($J29:$AX29,"*HL B1*",$J29:$AX29,"&lt;&gt;"&amp;"pHL B1")*0.5,COUNTIFS($J29:$AX29,"*HL B2*",$J29:$AX29,"&lt;&gt;"&amp;"pHL B2")*0.5,COUNTIFS($J29:$AX29,"*B1 HL*",$J29:$AX29,"&lt;&gt;"&amp;"pB1 HL")*0.5,COUNTIFS($J29:$AX29,"*B2 HL*",$J29:$AX29,"&lt;&gt;"&amp;"pB2 HL")*0.5)))</f>
        <v>6.5</v>
      </c>
      <c r="G29" s="142">
        <f t="shared" si="0"/>
        <v>0</v>
      </c>
      <c r="H29" s="142">
        <f t="shared" si="1"/>
        <v>7</v>
      </c>
      <c r="I29" s="142">
        <f>IF(Thu_W1[[#This Row],[Employee Name]]="","",IF(Thu_W1[[#This Row],[Dept]]="Supervisor",SUM(COUNTIFS($J29:$AX29,"RTA*",$J29:$AX29,"&lt;&gt;"&amp;"pRTA"),COUNTIFS($J29:$AX29,"*CRTA*",$J29:$AX29,"&lt;&gt;"&amp;"pCRTA")),COUNTIFS($J29:$AX29,"*RNNR*",$J29:$AX29,"&lt;&gt;"&amp;"*pRNNR*",$J29:$AX29,"&lt;&gt;"&amp;"pB1 RNNR",$J29:$AX29,"&lt;&gt;"&amp;"pB2 RNNR")-SUM(COUNTIFS($J29:$AX29,"*RNNR B1*",$J29:$AX29,"&lt;&gt;"&amp;"pRNNR B1")*0.5,COUNTIFS($J29:$AX29,"*RNNR B2*",$J29:$AX29,"&lt;&gt;"&amp;"pRNNR B2")*0.5,COUNTIFS($J29:$AX29,"*B1 RNNR*",$J29:$AX29,"&lt;&gt;"&amp;"pB1 RNNR")*0.5,COUNTIFS($J29:$AX29,"*B2 RNNR*",$J29:$AX29,"&lt;&gt;"&amp;"pB2 RNNR")*0.5)))</f>
        <v>2</v>
      </c>
      <c r="J29" s="184" t="str">
        <f>IFERROR(IF(VLOOKUP(Thu_W1[[#This Row],[Employee Name]],'Base Schedules'!$A$243:$AW$281,9,FALSE)="","",VLOOKUP(Thu_W1[[#This Row],[Employee Name]],'Base Schedules'!$A$243:$AW$281,9,FALSE)),"")</f>
        <v/>
      </c>
      <c r="K29" s="184" t="str">
        <f>IFERROR(IF(VLOOKUP(Thu_W1[[#This Row],[Employee Name]],'Base Schedules'!$A$243:$AW$281,10,FALSE)="","",VLOOKUP(Thu_W1[[#This Row],[Employee Name]],'Base Schedules'!$A$243:$AW$281,10,FALSE)),"")</f>
        <v/>
      </c>
      <c r="L29" s="184" t="str">
        <f>IFERROR(IF(VLOOKUP(Thu_W1[[#This Row],[Employee Name]],'Base Schedules'!$A$243:$AW$281,11,FALSE)="","",VLOOKUP(Thu_W1[[#This Row],[Employee Name]],'Base Schedules'!$A$243:$AW$281,11,FALSE)),"")</f>
        <v/>
      </c>
      <c r="M29" s="184" t="str">
        <f>IFERROR(IF(VLOOKUP(Thu_W1[[#This Row],[Employee Name]],'Base Schedules'!$A$243:$AW$281,12,FALSE)="","",VLOOKUP(Thu_W1[[#This Row],[Employee Name]],'Base Schedules'!$A$243:$AW$281,12,FALSE)),"")</f>
        <v/>
      </c>
      <c r="N29" s="184" t="str">
        <f>IFERROR(IF(VLOOKUP(Thu_W1[[#This Row],[Employee Name]],'Base Schedules'!$A$243:$AW$281,13,FALSE)="","",VLOOKUP(Thu_W1[[#This Row],[Employee Name]],'Base Schedules'!$A$243:$AW$281,13,FALSE)),"")</f>
        <v/>
      </c>
      <c r="O29" s="184" t="str">
        <f>IFERROR(IF(VLOOKUP(Thu_W1[[#This Row],[Employee Name]],'Base Schedules'!$A$243:$AW$281,14,FALSE)="","",VLOOKUP(Thu_W1[[#This Row],[Employee Name]],'Base Schedules'!$A$243:$AW$281,14,FALSE)),"")</f>
        <v/>
      </c>
      <c r="P29" s="184" t="str">
        <f>IFERROR(IF(VLOOKUP(Thu_W1[[#This Row],[Employee Name]],'Base Schedules'!$A$243:$AW$281,15,FALSE)="","",VLOOKUP(Thu_W1[[#This Row],[Employee Name]],'Base Schedules'!$A$243:$AW$281,15,FALSE)),"")</f>
        <v/>
      </c>
      <c r="Q29" s="184" t="str">
        <f>IFERROR(IF(VLOOKUP(Thu_W1[[#This Row],[Employee Name]],'Base Schedules'!$A$243:$AW$281,16,FALSE)="","",VLOOKUP(Thu_W1[[#This Row],[Employee Name]],'Base Schedules'!$A$243:$AW$281,16,FALSE)),"")</f>
        <v/>
      </c>
      <c r="R29" s="184" t="str">
        <f>IFERROR(IF(VLOOKUP(Thu_W1[[#This Row],[Employee Name]],'Base Schedules'!$A$243:$AW$281,17,FALSE)="","",VLOOKUP(Thu_W1[[#This Row],[Employee Name]],'Base Schedules'!$A$243:$AW$281,17,FALSE)),"")</f>
        <v/>
      </c>
      <c r="S29" s="184" t="str">
        <f>IFERROR(IF(VLOOKUP(Thu_W1[[#This Row],[Employee Name]],'Base Schedules'!$A$243:$AW$281,18,FALSE)="","",VLOOKUP(Thu_W1[[#This Row],[Employee Name]],'Base Schedules'!$A$243:$AW$281,18,FALSE)),"")</f>
        <v/>
      </c>
      <c r="T29" s="184" t="str">
        <f>IFERROR(IF(VLOOKUP(Thu_W1[[#This Row],[Employee Name]],'Base Schedules'!$A$243:$AW$281,19,FALSE)="","",VLOOKUP(Thu_W1[[#This Row],[Employee Name]],'Base Schedules'!$A$243:$AW$281,19,FALSE)),"")</f>
        <v/>
      </c>
      <c r="U29" s="184" t="str">
        <f>IFERROR(IF(VLOOKUP(Thu_W1[[#This Row],[Employee Name]],'Base Schedules'!$A$243:$AW$281,20,FALSE)="","",VLOOKUP(Thu_W1[[#This Row],[Employee Name]],'Base Schedules'!$A$243:$AW$281,20,FALSE)),"")</f>
        <v/>
      </c>
      <c r="V29" s="184" t="str">
        <f>IFERROR(IF(VLOOKUP(Thu_W1[[#This Row],[Employee Name]],'Base Schedules'!$A$243:$AW$281,21,FALSE)="","",VLOOKUP(Thu_W1[[#This Row],[Employee Name]],'Base Schedules'!$A$243:$AW$281,21,FALSE)),"")</f>
        <v>ADM</v>
      </c>
      <c r="W29" s="184" t="str">
        <f>IFERROR(IF(VLOOKUP(Thu_W1[[#This Row],[Employee Name]],'Base Schedules'!$A$243:$AW$281,22,FALSE)="","",VLOOKUP(Thu_W1[[#This Row],[Employee Name]],'Base Schedules'!$A$243:$AW$281,22,FALSE)),"")</f>
        <v>HL</v>
      </c>
      <c r="X29" s="184" t="str">
        <f>IFERROR(IF(VLOOKUP(Thu_W1[[#This Row],[Employee Name]],'Base Schedules'!$A$243:$AW$281,23,FALSE)="","",VLOOKUP(Thu_W1[[#This Row],[Employee Name]],'Base Schedules'!$A$243:$AW$281,23,FALSE)),"")</f>
        <v>ADM</v>
      </c>
      <c r="Y29" s="184" t="str">
        <f>IFERROR(IF(VLOOKUP(Thu_W1[[#This Row],[Employee Name]],'Base Schedules'!$A$243:$AW$281,24,FALSE)="","",VLOOKUP(Thu_W1[[#This Row],[Employee Name]],'Base Schedules'!$A$243:$AW$281,24,FALSE)),"")</f>
        <v>ADM</v>
      </c>
      <c r="Z29" s="184" t="str">
        <f>IFERROR(IF(VLOOKUP(Thu_W1[[#This Row],[Employee Name]],'Base Schedules'!$A$243:$AW$281,25,FALSE)="","",VLOOKUP(Thu_W1[[#This Row],[Employee Name]],'Base Schedules'!$A$243:$AW$281,25,FALSE)),"")</f>
        <v>ADM B1</v>
      </c>
      <c r="AA29" s="184" t="str">
        <f>IFERROR(IF(VLOOKUP(Thu_W1[[#This Row],[Employee Name]],'Base Schedules'!$A$243:$AW$281,26,FALSE)="","",VLOOKUP(Thu_W1[[#This Row],[Employee Name]],'Base Schedules'!$A$243:$AW$281,26,FALSE)),"")</f>
        <v>HL</v>
      </c>
      <c r="AB29" s="184" t="str">
        <f>IFERROR(IF(VLOOKUP(Thu_W1[[#This Row],[Employee Name]],'Base Schedules'!$A$243:$AW$281,27,FALSE)="","",VLOOKUP(Thu_W1[[#This Row],[Employee Name]],'Base Schedules'!$A$243:$AW$281,27,FALSE)),"")</f>
        <v>RNNR</v>
      </c>
      <c r="AC29" s="184" t="str">
        <f>IFERROR(IF(VLOOKUP(Thu_W1[[#This Row],[Employee Name]],'Base Schedules'!$A$243:$AW$281,28,FALSE)="","",VLOOKUP(Thu_W1[[#This Row],[Employee Name]],'Base Schedules'!$A$243:$AW$281,28,FALSE)),"")</f>
        <v>RNNR</v>
      </c>
      <c r="AD29" s="184" t="str">
        <f>IFERROR(IF(VLOOKUP(Thu_W1[[#This Row],[Employee Name]],'Base Schedules'!$A$243:$AW$281,29,FALSE)="","",VLOOKUP(Thu_W1[[#This Row],[Employee Name]],'Base Schedules'!$A$243:$AW$281,29,FALSE)),"")</f>
        <v>ADM</v>
      </c>
      <c r="AE29" s="184" t="str">
        <f>IFERROR(IF(VLOOKUP(Thu_W1[[#This Row],[Employee Name]],'Base Schedules'!$A$243:$AW$281,30,FALSE)="","",VLOOKUP(Thu_W1[[#This Row],[Employee Name]],'Base Schedules'!$A$243:$AW$281,30,FALSE)),"")</f>
        <v>LUNCH</v>
      </c>
      <c r="AF29" s="184" t="str">
        <f>IFERROR(IF(VLOOKUP(Thu_W1[[#This Row],[Employee Name]],'Base Schedules'!$A$243:$AW$281,31,FALSE)="","",VLOOKUP(Thu_W1[[#This Row],[Employee Name]],'Base Schedules'!$A$243:$AW$281,31,FALSE)),"")</f>
        <v>ADM</v>
      </c>
      <c r="AG29" s="184" t="str">
        <f>IFERROR(IF(VLOOKUP(Thu_W1[[#This Row],[Employee Name]],'Base Schedules'!$A$243:$AW$281,32,FALSE)="","",VLOOKUP(Thu_W1[[#This Row],[Employee Name]],'Base Schedules'!$A$243:$AW$281,32,FALSE)),"")</f>
        <v>ADM</v>
      </c>
      <c r="AH29" s="184" t="str">
        <f>IFERROR(IF(VLOOKUP(Thu_W1[[#This Row],[Employee Name]],'Base Schedules'!$A$243:$AW$281,33,FALSE)="","",VLOOKUP(Thu_W1[[#This Row],[Employee Name]],'Base Schedules'!$A$243:$AW$281,33,FALSE)),"")</f>
        <v>HL</v>
      </c>
      <c r="AI29" s="184" t="str">
        <f>IFERROR(IF(VLOOKUP(Thu_W1[[#This Row],[Employee Name]],'Base Schedules'!$A$243:$AW$281,34,FALSE)="","",VLOOKUP(Thu_W1[[#This Row],[Employee Name]],'Base Schedules'!$A$243:$AW$281,34,FALSE)),"")</f>
        <v>B2 HL</v>
      </c>
      <c r="AJ29" s="184" t="str">
        <f>IFERROR(IF(VLOOKUP(Thu_W1[[#This Row],[Employee Name]],'Base Schedules'!$A$243:$AW$281,35,FALSE)="","",VLOOKUP(Thu_W1[[#This Row],[Employee Name]],'Base Schedules'!$A$243:$AW$281,35,FALSE)),"")</f>
        <v>HL</v>
      </c>
      <c r="AK29" s="184" t="str">
        <f>IFERROR(IF(VLOOKUP(Thu_W1[[#This Row],[Employee Name]],'Base Schedules'!$A$243:$AW$281,36,FALSE)="","",VLOOKUP(Thu_W1[[#This Row],[Employee Name]],'Base Schedules'!$A$243:$AW$281,36,FALSE)),"")</f>
        <v>HL</v>
      </c>
      <c r="AL29" s="184" t="str">
        <f>IFERROR(IF(VLOOKUP(Thu_W1[[#This Row],[Employee Name]],'Base Schedules'!$A$243:$AW$281,37,FALSE)="","",VLOOKUP(Thu_W1[[#This Row],[Employee Name]],'Base Schedules'!$A$243:$AW$281,37,FALSE)),"")</f>
        <v>HL</v>
      </c>
      <c r="AM29" s="184" t="str">
        <f>IFERROR(IF(VLOOKUP(Thu_W1[[#This Row],[Employee Name]],'Base Schedules'!$A$243:$AW$281,38,FALSE)="","",VLOOKUP(Thu_W1[[#This Row],[Employee Name]],'Base Schedules'!$A$243:$AW$281,38,FALSE)),"")</f>
        <v/>
      </c>
      <c r="AN29" s="184" t="str">
        <f>IFERROR(IF(VLOOKUP(Thu_W1[[#This Row],[Employee Name]],'Base Schedules'!$A$243:$AW$281,39,FALSE)="","",VLOOKUP(Thu_W1[[#This Row],[Employee Name]],'Base Schedules'!$A$243:$AW$281,39,FALSE)),"")</f>
        <v/>
      </c>
      <c r="AO29" s="184" t="str">
        <f>IFERROR(IF(VLOOKUP(Thu_W1[[#This Row],[Employee Name]],'Base Schedules'!$A$243:$AW$281,40,FALSE)="","",VLOOKUP(Thu_W1[[#This Row],[Employee Name]],'Base Schedules'!$A$243:$AW$281,40,FALSE)),"")</f>
        <v/>
      </c>
      <c r="AP29" s="184" t="str">
        <f>IFERROR(IF(VLOOKUP(Thu_W1[[#This Row],[Employee Name]],'Base Schedules'!$A$243:$AW$281,41,FALSE)="","",VLOOKUP(Thu_W1[[#This Row],[Employee Name]],'Base Schedules'!$A$243:$AW$281,41,FALSE)),"")</f>
        <v/>
      </c>
      <c r="AQ29" s="184" t="str">
        <f>IFERROR(IF(VLOOKUP(Thu_W1[[#This Row],[Employee Name]],'Base Schedules'!$A$243:$AW$281,42,FALSE)="","",VLOOKUP(Thu_W1[[#This Row],[Employee Name]],'Base Schedules'!$A$243:$AW$281,42,FALSE)),"")</f>
        <v/>
      </c>
      <c r="AR29" s="184" t="str">
        <f>IFERROR(IF(VLOOKUP(Thu_W1[[#This Row],[Employee Name]],'Base Schedules'!$A$243:$AW$281,43,FALSE)="","",VLOOKUP(Thu_W1[[#This Row],[Employee Name]],'Base Schedules'!$A$243:$AW$281,43,FALSE)),"")</f>
        <v/>
      </c>
      <c r="AS29" s="184" t="str">
        <f>IFERROR(IF(VLOOKUP(Thu_W1[[#This Row],[Employee Name]],'Base Schedules'!$A$243:$AW$281,44,FALSE)="","",VLOOKUP(Thu_W1[[#This Row],[Employee Name]],'Base Schedules'!$A$243:$AW$281,44,FALSE)),"")</f>
        <v/>
      </c>
      <c r="AT29" s="184" t="str">
        <f>IFERROR(IF(VLOOKUP(Thu_W1[[#This Row],[Employee Name]],'Base Schedules'!$A$243:$AW$281,45,FALSE)="","",VLOOKUP(Thu_W1[[#This Row],[Employee Name]],'Base Schedules'!$A$243:$AW$281,45,FALSE)),"")</f>
        <v/>
      </c>
      <c r="AU29" s="184" t="str">
        <f>IFERROR(IF(VLOOKUP(Thu_W1[[#This Row],[Employee Name]],'Base Schedules'!$A$243:$AW$281,46,FALSE)="","",VLOOKUP(Thu_W1[[#This Row],[Employee Name]],'Base Schedules'!$A$243:$AW$281,46,FALSE)),"")</f>
        <v/>
      </c>
      <c r="AV29" s="184" t="str">
        <f>IFERROR(IF(VLOOKUP(Thu_W1[[#This Row],[Employee Name]],'Base Schedules'!$A$243:$AW$281,47,FALSE)="","",VLOOKUP(Thu_W1[[#This Row],[Employee Name]],'Base Schedules'!$A$243:$AW$281,47,FALSE)),"")</f>
        <v/>
      </c>
      <c r="AW29" s="184" t="str">
        <f>IFERROR(IF(VLOOKUP(Thu_W1[[#This Row],[Employee Name]],'Base Schedules'!$A$243:$AW$281,48,FALSE)="","",VLOOKUP(Thu_W1[[#This Row],[Employee Name]],'Base Schedules'!$A$243:$AW$281,48,FALSE)),"")</f>
        <v/>
      </c>
      <c r="AX29" s="184" t="str">
        <f>IFERROR(IF(VLOOKUP(Thu_W1[[#This Row],[Employee Name]],'Base Schedules'!$A$243:$AW$281,49,FALSE)="","",VLOOKUP(Thu_W1[[#This Row],[Employee Name]],'Base Schedules'!$A$243:$AW$281,49,FALSE)),"")</f>
        <v/>
      </c>
      <c r="AY29" s="164" t="str">
        <f t="shared" si="2"/>
        <v>Koistinen, Shaun</v>
      </c>
    </row>
    <row r="30" spans="1:51" s="44" customFormat="1" ht="12" x14ac:dyDescent="0.2">
      <c r="A30" s="39" t="e">
        <f>IF(B30="","",INDEX(TeamList[],MATCH($B30,TeamList[[Employee Name]:[Employee Name]],0),MATCH("Manager",TeamList[#Headers],0)))</f>
        <v>#N/A</v>
      </c>
      <c r="B30" s="202" t="s">
        <v>414</v>
      </c>
      <c r="C30" s="257" t="str">
        <f>_xlfn.IFNA(VLOOKUP(Thu_W1[[#This Row],[Employee Name]],'Base Schedules'!A:B,2,FALSE),"")</f>
        <v>Lead</v>
      </c>
      <c r="D30" s="274">
        <f>_xlfn.IFNA(VLOOKUP(Thu_W1[[#This Row],[Employee Name]],'Base Schedules'!A:C,3,FALSE),"")</f>
        <v>1130</v>
      </c>
      <c r="E30" s="274">
        <f>_xlfn.IFNA(VLOOKUP(Thu_W1[[#This Row],[Employee Name]],'Base Schedules'!A:D,4,FALSE),"")</f>
        <v>1930</v>
      </c>
      <c r="F30" s="142">
        <f>IF(Thu_W1[[#This Row],[Employee Name]]="","",IF(Thu_W1[[#This Row],[Dept]]="Supervisor",COUNTIFS($J30:$AX30,"*HL*",$J30:$AX30,"&lt;&gt;"&amp;"pHL"),COUNTIFS($J30:$AX30,"*HL*",$J30:$AX30,"&lt;&gt;"&amp;"*pHL*",$J30:$AX30,"&lt;&gt;"&amp;"pB1 HL",$J30:$AX30,"&lt;&gt;"&amp;"pB2 HL")-SUM(COUNTIFS($J30:$AX30,"*HL B1*",$J30:$AX30,"&lt;&gt;"&amp;"pHL B1")*0.5,COUNTIFS($J30:$AX30,"*HL B2*",$J30:$AX30,"&lt;&gt;"&amp;"pHL B2")*0.5,COUNTIFS($J30:$AX30,"*B1 HL*",$J30:$AX30,"&lt;&gt;"&amp;"pB1 HL")*0.5,COUNTIFS($J30:$AX30,"*B2 HL*",$J30:$AX30,"&lt;&gt;"&amp;"pB2 HL")*0.5)))</f>
        <v>9</v>
      </c>
      <c r="G30" s="142">
        <f>IF(B30="","",COUNTIFS($J30:$AX30,"*TM*",$J30:$AX30,"&lt;&gt;"&amp;"pTM",$J30:$AX30,"&lt;&gt;"&amp;"uTM"))</f>
        <v>0</v>
      </c>
      <c r="H30" s="142">
        <f t="shared" si="1"/>
        <v>7</v>
      </c>
      <c r="I30" s="142">
        <f>IF(Thu_W1[[#This Row],[Employee Name]]="","",IF(Thu_W1[[#This Row],[Dept]]="Supervisor",SUM(COUNTIFS($J30:$AX30,"RTA*",$J30:$AX30,"&lt;&gt;"&amp;"pRTA"),COUNTIFS($J30:$AX30,"*CRTA*",$J30:$AX30,"&lt;&gt;"&amp;"pCRTA")),COUNTIFS($J30:$AX30,"*RNNR*",$J30:$AX30,"&lt;&gt;"&amp;"*pRNNR*",$J30:$AX30,"&lt;&gt;"&amp;"pB1 RNNR",$J30:$AX30,"&lt;&gt;"&amp;"pB2 RNNR")-SUM(COUNTIFS($J30:$AX30,"*RNNR B1*",$J30:$AX30,"&lt;&gt;"&amp;"pRNNR B1")*0.5,COUNTIFS($J30:$AX30,"*RNNR B2*",$J30:$AX30,"&lt;&gt;"&amp;"pRNNR B2")*0.5,COUNTIFS($J30:$AX30,"*B1 RNNR*",$J30:$AX30,"&lt;&gt;"&amp;"pB1 RNNR")*0.5,COUNTIFS($J30:$AX30,"*B2 RNNR*",$J30:$AX30,"&lt;&gt;"&amp;"pB2 RNNR")*0.5)))</f>
        <v>0</v>
      </c>
      <c r="J30" s="184" t="str">
        <f>IFERROR(IF(VLOOKUP(Thu_W1[[#This Row],[Employee Name]],'Base Schedules'!$A$243:$AW$281,9,FALSE)="","",VLOOKUP(Thu_W1[[#This Row],[Employee Name]],'Base Schedules'!$A$243:$AW$281,9,FALSE)),"")</f>
        <v/>
      </c>
      <c r="K30" s="184" t="str">
        <f>IFERROR(IF(VLOOKUP(Thu_W1[[#This Row],[Employee Name]],'Base Schedules'!$A$243:$AW$281,10,FALSE)="","",VLOOKUP(Thu_W1[[#This Row],[Employee Name]],'Base Schedules'!$A$243:$AW$281,10,FALSE)),"")</f>
        <v/>
      </c>
      <c r="L30" s="184" t="str">
        <f>IFERROR(IF(VLOOKUP(Thu_W1[[#This Row],[Employee Name]],'Base Schedules'!$A$243:$AW$281,11,FALSE)="","",VLOOKUP(Thu_W1[[#This Row],[Employee Name]],'Base Schedules'!$A$243:$AW$281,11,FALSE)),"")</f>
        <v/>
      </c>
      <c r="M30" s="184" t="str">
        <f>IFERROR(IF(VLOOKUP(Thu_W1[[#This Row],[Employee Name]],'Base Schedules'!$A$243:$AW$281,12,FALSE)="","",VLOOKUP(Thu_W1[[#This Row],[Employee Name]],'Base Schedules'!$A$243:$AW$281,12,FALSE)),"")</f>
        <v/>
      </c>
      <c r="N30" s="184" t="str">
        <f>IFERROR(IF(VLOOKUP(Thu_W1[[#This Row],[Employee Name]],'Base Schedules'!$A$243:$AW$281,13,FALSE)="","",VLOOKUP(Thu_W1[[#This Row],[Employee Name]],'Base Schedules'!$A$243:$AW$281,13,FALSE)),"")</f>
        <v/>
      </c>
      <c r="O30" s="184" t="str">
        <f>IFERROR(IF(VLOOKUP(Thu_W1[[#This Row],[Employee Name]],'Base Schedules'!$A$243:$AW$281,14,FALSE)="","",VLOOKUP(Thu_W1[[#This Row],[Employee Name]],'Base Schedules'!$A$243:$AW$281,14,FALSE)),"")</f>
        <v/>
      </c>
      <c r="P30" s="184" t="str">
        <f>IFERROR(IF(VLOOKUP(Thu_W1[[#This Row],[Employee Name]],'Base Schedules'!$A$243:$AW$281,15,FALSE)="","",VLOOKUP(Thu_W1[[#This Row],[Employee Name]],'Base Schedules'!$A$243:$AW$281,15,FALSE)),"")</f>
        <v/>
      </c>
      <c r="Q30" s="184" t="str">
        <f>IFERROR(IF(VLOOKUP(Thu_W1[[#This Row],[Employee Name]],'Base Schedules'!$A$243:$AW$281,16,FALSE)="","",VLOOKUP(Thu_W1[[#This Row],[Employee Name]],'Base Schedules'!$A$243:$AW$281,16,FALSE)),"")</f>
        <v/>
      </c>
      <c r="R30" s="184" t="str">
        <f>IFERROR(IF(VLOOKUP(Thu_W1[[#This Row],[Employee Name]],'Base Schedules'!$A$243:$AW$281,17,FALSE)="","",VLOOKUP(Thu_W1[[#This Row],[Employee Name]],'Base Schedules'!$A$243:$AW$281,17,FALSE)),"")</f>
        <v/>
      </c>
      <c r="S30" s="184" t="str">
        <f>IFERROR(IF(VLOOKUP(Thu_W1[[#This Row],[Employee Name]],'Base Schedules'!$A$243:$AW$281,18,FALSE)="","",VLOOKUP(Thu_W1[[#This Row],[Employee Name]],'Base Schedules'!$A$243:$AW$281,18,FALSE)),"")</f>
        <v/>
      </c>
      <c r="T30" s="184" t="str">
        <f>IFERROR(IF(VLOOKUP(Thu_W1[[#This Row],[Employee Name]],'Base Schedules'!$A$243:$AW$281,19,FALSE)="","",VLOOKUP(Thu_W1[[#This Row],[Employee Name]],'Base Schedules'!$A$243:$AW$281,19,FALSE)),"")</f>
        <v/>
      </c>
      <c r="U30" s="184" t="str">
        <f>IFERROR(IF(VLOOKUP(Thu_W1[[#This Row],[Employee Name]],'Base Schedules'!$A$243:$AW$281,20,FALSE)="","",VLOOKUP(Thu_W1[[#This Row],[Employee Name]],'Base Schedules'!$A$243:$AW$281,20,FALSE)),"")</f>
        <v/>
      </c>
      <c r="V30" s="184" t="str">
        <f>IFERROR(IF(VLOOKUP(Thu_W1[[#This Row],[Employee Name]],'Base Schedules'!$A$243:$AW$281,21,FALSE)="","",VLOOKUP(Thu_W1[[#This Row],[Employee Name]],'Base Schedules'!$A$243:$AW$281,21,FALSE)),"")</f>
        <v/>
      </c>
      <c r="W30" s="184" t="str">
        <f>IFERROR(IF(VLOOKUP(Thu_W1[[#This Row],[Employee Name]],'Base Schedules'!$A$243:$AW$281,22,FALSE)="","",VLOOKUP(Thu_W1[[#This Row],[Employee Name]],'Base Schedules'!$A$243:$AW$281,22,FALSE)),"")</f>
        <v>ADM</v>
      </c>
      <c r="X30" s="184" t="str">
        <f>IFERROR(IF(VLOOKUP(Thu_W1[[#This Row],[Employee Name]],'Base Schedules'!$A$243:$AW$281,23,FALSE)="","",VLOOKUP(Thu_W1[[#This Row],[Employee Name]],'Base Schedules'!$A$243:$AW$281,23,FALSE)),"")</f>
        <v>ADM</v>
      </c>
      <c r="Y30" s="184" t="str">
        <f>IFERROR(IF(VLOOKUP(Thu_W1[[#This Row],[Employee Name]],'Base Schedules'!$A$243:$AW$281,24,FALSE)="","",VLOOKUP(Thu_W1[[#This Row],[Employee Name]],'Base Schedules'!$A$243:$AW$281,24,FALSE)),"")</f>
        <v>ADM</v>
      </c>
      <c r="Z30" s="184" t="str">
        <f>IFERROR(IF(VLOOKUP(Thu_W1[[#This Row],[Employee Name]],'Base Schedules'!$A$243:$AW$281,25,FALSE)="","",VLOOKUP(Thu_W1[[#This Row],[Employee Name]],'Base Schedules'!$A$243:$AW$281,25,FALSE)),"")</f>
        <v>ADM</v>
      </c>
      <c r="AA30" s="184" t="str">
        <f>IFERROR(IF(VLOOKUP(Thu_W1[[#This Row],[Employee Name]],'Base Schedules'!$A$243:$AW$281,26,FALSE)="","",VLOOKUP(Thu_W1[[#This Row],[Employee Name]],'Base Schedules'!$A$243:$AW$281,26,FALSE)),"")</f>
        <v>ADM B1</v>
      </c>
      <c r="AB30" s="184" t="str">
        <f>IFERROR(IF(VLOOKUP(Thu_W1[[#This Row],[Employee Name]],'Base Schedules'!$A$243:$AW$281,27,FALSE)="","",VLOOKUP(Thu_W1[[#This Row],[Employee Name]],'Base Schedules'!$A$243:$AW$281,27,FALSE)),"")</f>
        <v>HL</v>
      </c>
      <c r="AC30" s="184" t="str">
        <f>IFERROR(IF(VLOOKUP(Thu_W1[[#This Row],[Employee Name]],'Base Schedules'!$A$243:$AW$281,28,FALSE)="","",VLOOKUP(Thu_W1[[#This Row],[Employee Name]],'Base Schedules'!$A$243:$AW$281,28,FALSE)),"")</f>
        <v>HL</v>
      </c>
      <c r="AD30" s="184" t="str">
        <f>IFERROR(IF(VLOOKUP(Thu_W1[[#This Row],[Employee Name]],'Base Schedules'!$A$243:$AW$281,29,FALSE)="","",VLOOKUP(Thu_W1[[#This Row],[Employee Name]],'Base Schedules'!$A$243:$AW$281,29,FALSE)),"")</f>
        <v>HL</v>
      </c>
      <c r="AE30" s="184" t="str">
        <f>IFERROR(IF(VLOOKUP(Thu_W1[[#This Row],[Employee Name]],'Base Schedules'!$A$243:$AW$281,30,FALSE)="","",VLOOKUP(Thu_W1[[#This Row],[Employee Name]],'Base Schedules'!$A$243:$AW$281,30,FALSE)),"")</f>
        <v>HL</v>
      </c>
      <c r="AF30" s="184" t="str">
        <f>IFERROR(IF(VLOOKUP(Thu_W1[[#This Row],[Employee Name]],'Base Schedules'!$A$243:$AW$281,31,FALSE)="","",VLOOKUP(Thu_W1[[#This Row],[Employee Name]],'Base Schedules'!$A$243:$AW$281,31,FALSE)),"")</f>
        <v>LUNCH</v>
      </c>
      <c r="AG30" s="184" t="str">
        <f>IFERROR(IF(VLOOKUP(Thu_W1[[#This Row],[Employee Name]],'Base Schedules'!$A$243:$AW$281,32,FALSE)="","",VLOOKUP(Thu_W1[[#This Row],[Employee Name]],'Base Schedules'!$A$243:$AW$281,32,FALSE)),"")</f>
        <v>HL</v>
      </c>
      <c r="AH30" s="184" t="str">
        <f>IFERROR(IF(VLOOKUP(Thu_W1[[#This Row],[Employee Name]],'Base Schedules'!$A$243:$AW$281,33,FALSE)="","",VLOOKUP(Thu_W1[[#This Row],[Employee Name]],'Base Schedules'!$A$243:$AW$281,33,FALSE)),"")</f>
        <v>HL</v>
      </c>
      <c r="AI30" s="184" t="str">
        <f>IFERROR(IF(VLOOKUP(Thu_W1[[#This Row],[Employee Name]],'Base Schedules'!$A$243:$AW$281,34,FALSE)="","",VLOOKUP(Thu_W1[[#This Row],[Employee Name]],'Base Schedules'!$A$243:$AW$281,34,FALSE)),"")</f>
        <v>ADM B2</v>
      </c>
      <c r="AJ30" s="184" t="str">
        <f>IFERROR(IF(VLOOKUP(Thu_W1[[#This Row],[Employee Name]],'Base Schedules'!$A$243:$AW$281,35,FALSE)="","",VLOOKUP(Thu_W1[[#This Row],[Employee Name]],'Base Schedules'!$A$243:$AW$281,35,FALSE)),"")</f>
        <v>ADM</v>
      </c>
      <c r="AK30" s="184" t="str">
        <f>IFERROR(IF(VLOOKUP(Thu_W1[[#This Row],[Employee Name]],'Base Schedules'!$A$243:$AW$281,36,FALSE)="","",VLOOKUP(Thu_W1[[#This Row],[Employee Name]],'Base Schedules'!$A$243:$AW$281,36,FALSE)),"")</f>
        <v>HL</v>
      </c>
      <c r="AL30" s="184" t="str">
        <f>IFERROR(IF(VLOOKUP(Thu_W1[[#This Row],[Employee Name]],'Base Schedules'!$A$243:$AW$281,37,FALSE)="","",VLOOKUP(Thu_W1[[#This Row],[Employee Name]],'Base Schedules'!$A$243:$AW$281,37,FALSE)),"")</f>
        <v>HL</v>
      </c>
      <c r="AM30" s="184" t="str">
        <f>IFERROR(IF(VLOOKUP(Thu_W1[[#This Row],[Employee Name]],'Base Schedules'!$A$243:$AW$281,38,FALSE)="","",VLOOKUP(Thu_W1[[#This Row],[Employee Name]],'Base Schedules'!$A$243:$AW$281,38,FALSE)),"")</f>
        <v>HL</v>
      </c>
      <c r="AN30" s="184" t="str">
        <f>IFERROR(IF(VLOOKUP(Thu_W1[[#This Row],[Employee Name]],'Base Schedules'!$A$243:$AW$281,39,FALSE)="","",VLOOKUP(Thu_W1[[#This Row],[Employee Name]],'Base Schedules'!$A$243:$AW$281,39,FALSE)),"")</f>
        <v/>
      </c>
      <c r="AO30" s="184" t="str">
        <f>IFERROR(IF(VLOOKUP(Thu_W1[[#This Row],[Employee Name]],'Base Schedules'!$A$243:$AW$281,40,FALSE)="","",VLOOKUP(Thu_W1[[#This Row],[Employee Name]],'Base Schedules'!$A$243:$AW$281,40,FALSE)),"")</f>
        <v/>
      </c>
      <c r="AP30" s="184" t="str">
        <f>IFERROR(IF(VLOOKUP(Thu_W1[[#This Row],[Employee Name]],'Base Schedules'!$A$243:$AW$281,41,FALSE)="","",VLOOKUP(Thu_W1[[#This Row],[Employee Name]],'Base Schedules'!$A$243:$AW$281,41,FALSE)),"")</f>
        <v/>
      </c>
      <c r="AQ30" s="184" t="str">
        <f>IFERROR(IF(VLOOKUP(Thu_W1[[#This Row],[Employee Name]],'Base Schedules'!$A$243:$AW$281,42,FALSE)="","",VLOOKUP(Thu_W1[[#This Row],[Employee Name]],'Base Schedules'!$A$243:$AW$281,42,FALSE)),"")</f>
        <v/>
      </c>
      <c r="AR30" s="184" t="str">
        <f>IFERROR(IF(VLOOKUP(Thu_W1[[#This Row],[Employee Name]],'Base Schedules'!$A$243:$AW$281,43,FALSE)="","",VLOOKUP(Thu_W1[[#This Row],[Employee Name]],'Base Schedules'!$A$243:$AW$281,43,FALSE)),"")</f>
        <v/>
      </c>
      <c r="AS30" s="184" t="str">
        <f>IFERROR(IF(VLOOKUP(Thu_W1[[#This Row],[Employee Name]],'Base Schedules'!$A$243:$AW$281,44,FALSE)="","",VLOOKUP(Thu_W1[[#This Row],[Employee Name]],'Base Schedules'!$A$243:$AW$281,44,FALSE)),"")</f>
        <v/>
      </c>
      <c r="AT30" s="184" t="str">
        <f>IFERROR(IF(VLOOKUP(Thu_W1[[#This Row],[Employee Name]],'Base Schedules'!$A$243:$AW$281,45,FALSE)="","",VLOOKUP(Thu_W1[[#This Row],[Employee Name]],'Base Schedules'!$A$243:$AW$281,45,FALSE)),"")</f>
        <v/>
      </c>
      <c r="AU30" s="184" t="str">
        <f>IFERROR(IF(VLOOKUP(Thu_W1[[#This Row],[Employee Name]],'Base Schedules'!$A$243:$AW$281,46,FALSE)="","",VLOOKUP(Thu_W1[[#This Row],[Employee Name]],'Base Schedules'!$A$243:$AW$281,46,FALSE)),"")</f>
        <v/>
      </c>
      <c r="AV30" s="184" t="str">
        <f>IFERROR(IF(VLOOKUP(Thu_W1[[#This Row],[Employee Name]],'Base Schedules'!$A$243:$AW$281,47,FALSE)="","",VLOOKUP(Thu_W1[[#This Row],[Employee Name]],'Base Schedules'!$A$243:$AW$281,47,FALSE)),"")</f>
        <v/>
      </c>
      <c r="AW30" s="184" t="str">
        <f>IFERROR(IF(VLOOKUP(Thu_W1[[#This Row],[Employee Name]],'Base Schedules'!$A$243:$AW$281,48,FALSE)="","",VLOOKUP(Thu_W1[[#This Row],[Employee Name]],'Base Schedules'!$A$243:$AW$281,48,FALSE)),"")</f>
        <v/>
      </c>
      <c r="AX30" s="184" t="str">
        <f>IFERROR(IF(VLOOKUP(Thu_W1[[#This Row],[Employee Name]],'Base Schedules'!$A$243:$AW$281,49,FALSE)="","",VLOOKUP(Thu_W1[[#This Row],[Employee Name]],'Base Schedules'!$A$243:$AW$281,49,FALSE)),"")</f>
        <v/>
      </c>
      <c r="AY30" s="164" t="str">
        <f t="shared" si="2"/>
        <v>Condon, Heather</v>
      </c>
    </row>
    <row r="31" spans="1:51" s="44" customFormat="1" ht="12" x14ac:dyDescent="0.2">
      <c r="A31" s="39" t="str">
        <f>IF(B31="","",INDEX(TeamList[],MATCH($B31,TeamList[[Employee Name]:[Employee Name]],0),MATCH("Manager",TeamList[#Headers],0)))</f>
        <v>Olson, Katherine</v>
      </c>
      <c r="B31" s="201" t="s">
        <v>226</v>
      </c>
      <c r="C31" s="257" t="str">
        <f>_xlfn.IFNA(VLOOKUP(Thu_W1[[#This Row],[Employee Name]],'Base Schedules'!A:B,2,FALSE),"")</f>
        <v>Lead</v>
      </c>
      <c r="D31" s="274">
        <f>_xlfn.IFNA(VLOOKUP(Thu_W1[[#This Row],[Employee Name]],'Base Schedules'!A:C,3,FALSE),"")</f>
        <v>1200</v>
      </c>
      <c r="E31" s="274">
        <f>_xlfn.IFNA(VLOOKUP(Thu_W1[[#This Row],[Employee Name]],'Base Schedules'!A:D,4,FALSE),"")</f>
        <v>2030</v>
      </c>
      <c r="F31" s="142">
        <f>IF(Thu_W1[[#This Row],[Employee Name]]="","",IF(Thu_W1[[#This Row],[Dept]]="Supervisor",COUNTIFS($J31:$AX31,"*HL*",$J31:$AX31,"&lt;&gt;"&amp;"pHL"),COUNTIFS($J31:$AX31,"*HL*",$J31:$AX31,"&lt;&gt;"&amp;"*pHL*",$J31:$AX31,"&lt;&gt;"&amp;"pB1 HL",$J31:$AX31,"&lt;&gt;"&amp;"pB2 HL")-SUM(COUNTIFS($J31:$AX31,"*HL B1*",$J31:$AX31,"&lt;&gt;"&amp;"pHL B1")*0.5,COUNTIFS($J31:$AX31,"*HL B2*",$J31:$AX31,"&lt;&gt;"&amp;"pHL B2")*0.5,COUNTIFS($J31:$AX31,"*B1 HL*",$J31:$AX31,"&lt;&gt;"&amp;"pB1 HL")*0.5,COUNTIFS($J31:$AX31,"*B2 HL*",$J31:$AX31,"&lt;&gt;"&amp;"pB2 HL")*0.5)))</f>
        <v>7.5</v>
      </c>
      <c r="G31" s="142">
        <f t="shared" ref="G31:G41" si="3">IF(B31="","",COUNTIFS($J31:$AX31,"*Coaching*",$J31:$AX31,"&lt;&gt;"&amp;"pTM",$J31:$AX31,"&lt;&gt;"&amp;"uTM"))</f>
        <v>0</v>
      </c>
      <c r="H31" s="142">
        <f t="shared" si="1"/>
        <v>6</v>
      </c>
      <c r="I31" s="142">
        <f>IF(Thu_W1[[#This Row],[Employee Name]]="","",IF(Thu_W1[[#This Row],[Dept]]="Supervisor",SUM(COUNTIFS($J31:$AX31,"RTA*",$J31:$AX31,"&lt;&gt;"&amp;"pRTA"),COUNTIFS($J31:$AX31,"*CRTA*",$J31:$AX31,"&lt;&gt;"&amp;"pCRTA")),COUNTIFS($J31:$AX31,"*RNNR*",$J31:$AX31,"&lt;&gt;"&amp;"*pRNNR*",$J31:$AX31,"&lt;&gt;"&amp;"pB1 RNNR",$J31:$AX31,"&lt;&gt;"&amp;"pB2 RNNR")-SUM(COUNTIFS($J31:$AX31,"*RNNR B1*",$J31:$AX31,"&lt;&gt;"&amp;"pRNNR B1")*0.5,COUNTIFS($J31:$AX31,"*RNNR B2*",$J31:$AX31,"&lt;&gt;"&amp;"pRNNR B2")*0.5,COUNTIFS($J31:$AX31,"*B1 RNNR*",$J31:$AX31,"&lt;&gt;"&amp;"pB1 RNNR")*0.5,COUNTIFS($J31:$AX31,"*B2 RNNR*",$J31:$AX31,"&lt;&gt;"&amp;"pB2 RNNR")*0.5)))</f>
        <v>2</v>
      </c>
      <c r="J31" s="184" t="str">
        <f>IFERROR(IF(VLOOKUP(Thu_W1[[#This Row],[Employee Name]],'Base Schedules'!$A$243:$AW$281,9,FALSE)="","",VLOOKUP(Thu_W1[[#This Row],[Employee Name]],'Base Schedules'!$A$243:$AW$281,9,FALSE)),"")</f>
        <v/>
      </c>
      <c r="K31" s="184" t="str">
        <f>IFERROR(IF(VLOOKUP(Thu_W1[[#This Row],[Employee Name]],'Base Schedules'!$A$243:$AW$281,10,FALSE)="","",VLOOKUP(Thu_W1[[#This Row],[Employee Name]],'Base Schedules'!$A$243:$AW$281,10,FALSE)),"")</f>
        <v/>
      </c>
      <c r="L31" s="184" t="str">
        <f>IFERROR(IF(VLOOKUP(Thu_W1[[#This Row],[Employee Name]],'Base Schedules'!$A$243:$AW$281,11,FALSE)="","",VLOOKUP(Thu_W1[[#This Row],[Employee Name]],'Base Schedules'!$A$243:$AW$281,11,FALSE)),"")</f>
        <v/>
      </c>
      <c r="M31" s="184" t="str">
        <f>IFERROR(IF(VLOOKUP(Thu_W1[[#This Row],[Employee Name]],'Base Schedules'!$A$243:$AW$281,12,FALSE)="","",VLOOKUP(Thu_W1[[#This Row],[Employee Name]],'Base Schedules'!$A$243:$AW$281,12,FALSE)),"")</f>
        <v/>
      </c>
      <c r="N31" s="184" t="str">
        <f>IFERROR(IF(VLOOKUP(Thu_W1[[#This Row],[Employee Name]],'Base Schedules'!$A$243:$AW$281,13,FALSE)="","",VLOOKUP(Thu_W1[[#This Row],[Employee Name]],'Base Schedules'!$A$243:$AW$281,13,FALSE)),"")</f>
        <v/>
      </c>
      <c r="O31" s="184" t="str">
        <f>IFERROR(IF(VLOOKUP(Thu_W1[[#This Row],[Employee Name]],'Base Schedules'!$A$243:$AW$281,14,FALSE)="","",VLOOKUP(Thu_W1[[#This Row],[Employee Name]],'Base Schedules'!$A$243:$AW$281,14,FALSE)),"")</f>
        <v/>
      </c>
      <c r="P31" s="184" t="str">
        <f>IFERROR(IF(VLOOKUP(Thu_W1[[#This Row],[Employee Name]],'Base Schedules'!$A$243:$AW$281,15,FALSE)="","",VLOOKUP(Thu_W1[[#This Row],[Employee Name]],'Base Schedules'!$A$243:$AW$281,15,FALSE)),"")</f>
        <v/>
      </c>
      <c r="Q31" s="184" t="str">
        <f>IFERROR(IF(VLOOKUP(Thu_W1[[#This Row],[Employee Name]],'Base Schedules'!$A$243:$AW$281,16,FALSE)="","",VLOOKUP(Thu_W1[[#This Row],[Employee Name]],'Base Schedules'!$A$243:$AW$281,16,FALSE)),"")</f>
        <v/>
      </c>
      <c r="R31" s="184" t="str">
        <f>IFERROR(IF(VLOOKUP(Thu_W1[[#This Row],[Employee Name]],'Base Schedules'!$A$243:$AW$281,17,FALSE)="","",VLOOKUP(Thu_W1[[#This Row],[Employee Name]],'Base Schedules'!$A$243:$AW$281,17,FALSE)),"")</f>
        <v/>
      </c>
      <c r="S31" s="184" t="str">
        <f>IFERROR(IF(VLOOKUP(Thu_W1[[#This Row],[Employee Name]],'Base Schedules'!$A$243:$AW$281,18,FALSE)="","",VLOOKUP(Thu_W1[[#This Row],[Employee Name]],'Base Schedules'!$A$243:$AW$281,18,FALSE)),"")</f>
        <v/>
      </c>
      <c r="T31" s="184" t="str">
        <f>IFERROR(IF(VLOOKUP(Thu_W1[[#This Row],[Employee Name]],'Base Schedules'!$A$243:$AW$281,19,FALSE)="","",VLOOKUP(Thu_W1[[#This Row],[Employee Name]],'Base Schedules'!$A$243:$AW$281,19,FALSE)),"")</f>
        <v/>
      </c>
      <c r="U31" s="184" t="str">
        <f>IFERROR(IF(VLOOKUP(Thu_W1[[#This Row],[Employee Name]],'Base Schedules'!$A$243:$AW$281,20,FALSE)="","",VLOOKUP(Thu_W1[[#This Row],[Employee Name]],'Base Schedules'!$A$243:$AW$281,20,FALSE)),"")</f>
        <v/>
      </c>
      <c r="V31" s="184" t="str">
        <f>IFERROR(IF(VLOOKUP(Thu_W1[[#This Row],[Employee Name]],'Base Schedules'!$A$243:$AW$281,21,FALSE)="","",VLOOKUP(Thu_W1[[#This Row],[Employee Name]],'Base Schedules'!$A$243:$AW$281,21,FALSE)),"")</f>
        <v/>
      </c>
      <c r="W31" s="184" t="str">
        <f>IFERROR(IF(VLOOKUP(Thu_W1[[#This Row],[Employee Name]],'Base Schedules'!$A$243:$AW$281,22,FALSE)="","",VLOOKUP(Thu_W1[[#This Row],[Employee Name]],'Base Schedules'!$A$243:$AW$281,22,FALSE)),"")</f>
        <v/>
      </c>
      <c r="X31" s="184" t="str">
        <f>IFERROR(IF(VLOOKUP(Thu_W1[[#This Row],[Employee Name]],'Base Schedules'!$A$243:$AW$281,23,FALSE)="","",VLOOKUP(Thu_W1[[#This Row],[Employee Name]],'Base Schedules'!$A$243:$AW$281,23,FALSE)),"")</f>
        <v>ADM</v>
      </c>
      <c r="Y31" s="184" t="str">
        <f>IFERROR(IF(VLOOKUP(Thu_W1[[#This Row],[Employee Name]],'Base Schedules'!$A$243:$AW$281,24,FALSE)="","",VLOOKUP(Thu_W1[[#This Row],[Employee Name]],'Base Schedules'!$A$243:$AW$281,24,FALSE)),"")</f>
        <v>HL</v>
      </c>
      <c r="Z31" s="184" t="str">
        <f>IFERROR(IF(VLOOKUP(Thu_W1[[#This Row],[Employee Name]],'Base Schedules'!$A$243:$AW$281,25,FALSE)="","",VLOOKUP(Thu_W1[[#This Row],[Employee Name]],'Base Schedules'!$A$243:$AW$281,25,FALSE)),"")</f>
        <v>RNNR</v>
      </c>
      <c r="AA31" s="184" t="str">
        <f>IFERROR(IF(VLOOKUP(Thu_W1[[#This Row],[Employee Name]],'Base Schedules'!$A$243:$AW$281,26,FALSE)="","",VLOOKUP(Thu_W1[[#This Row],[Employee Name]],'Base Schedules'!$A$243:$AW$281,26,FALSE)),"")</f>
        <v>RNNR</v>
      </c>
      <c r="AB31" s="184" t="str">
        <f>IFERROR(IF(VLOOKUP(Thu_W1[[#This Row],[Employee Name]],'Base Schedules'!$A$243:$AW$281,27,FALSE)="","",VLOOKUP(Thu_W1[[#This Row],[Employee Name]],'Base Schedules'!$A$243:$AW$281,27,FALSE)),"")</f>
        <v>B1 ADM</v>
      </c>
      <c r="AC31" s="184" t="str">
        <f>IFERROR(IF(VLOOKUP(Thu_W1[[#This Row],[Employee Name]],'Base Schedules'!$A$243:$AW$281,28,FALSE)="","",VLOOKUP(Thu_W1[[#This Row],[Employee Name]],'Base Schedules'!$A$243:$AW$281,28,FALSE)),"")</f>
        <v>ADM</v>
      </c>
      <c r="AD31" s="184" t="str">
        <f>IFERROR(IF(VLOOKUP(Thu_W1[[#This Row],[Employee Name]],'Base Schedules'!$A$243:$AW$281,29,FALSE)="","",VLOOKUP(Thu_W1[[#This Row],[Employee Name]],'Base Schedules'!$A$243:$AW$281,29,FALSE)),"")</f>
        <v>HL</v>
      </c>
      <c r="AE31" s="184" t="str">
        <f>IFERROR(IF(VLOOKUP(Thu_W1[[#This Row],[Employee Name]],'Base Schedules'!$A$243:$AW$281,30,FALSE)="","",VLOOKUP(Thu_W1[[#This Row],[Employee Name]],'Base Schedules'!$A$243:$AW$281,30,FALSE)),"")</f>
        <v>HL</v>
      </c>
      <c r="AF31" s="184" t="str">
        <f>IFERROR(IF(VLOOKUP(Thu_W1[[#This Row],[Employee Name]],'Base Schedules'!$A$243:$AW$281,31,FALSE)="","",VLOOKUP(Thu_W1[[#This Row],[Employee Name]],'Base Schedules'!$A$243:$AW$281,31,FALSE)),"")</f>
        <v>HL</v>
      </c>
      <c r="AG31" s="184" t="str">
        <f>IFERROR(IF(VLOOKUP(Thu_W1[[#This Row],[Employee Name]],'Base Schedules'!$A$243:$AW$281,32,FALSE)="","",VLOOKUP(Thu_W1[[#This Row],[Employee Name]],'Base Schedules'!$A$243:$AW$281,32,FALSE)),"")</f>
        <v>LUNCH</v>
      </c>
      <c r="AH31" s="184" t="str">
        <f>IFERROR(IF(VLOOKUP(Thu_W1[[#This Row],[Employee Name]],'Base Schedules'!$A$243:$AW$281,33,FALSE)="","",VLOOKUP(Thu_W1[[#This Row],[Employee Name]],'Base Schedules'!$A$243:$AW$281,33,FALSE)),"")</f>
        <v>HL</v>
      </c>
      <c r="AI31" s="184" t="str">
        <f>IFERROR(IF(VLOOKUP(Thu_W1[[#This Row],[Employee Name]],'Base Schedules'!$A$243:$AW$281,34,FALSE)="","",VLOOKUP(Thu_W1[[#This Row],[Employee Name]],'Base Schedules'!$A$243:$AW$281,34,FALSE)),"")</f>
        <v>ADM</v>
      </c>
      <c r="AJ31" s="184" t="str">
        <f>IFERROR(IF(VLOOKUP(Thu_W1[[#This Row],[Employee Name]],'Base Schedules'!$A$243:$AW$281,35,FALSE)="","",VLOOKUP(Thu_W1[[#This Row],[Employee Name]],'Base Schedules'!$A$243:$AW$281,35,FALSE)),"")</f>
        <v>HL B2</v>
      </c>
      <c r="AK31" s="184" t="str">
        <f>IFERROR(IF(VLOOKUP(Thu_W1[[#This Row],[Employee Name]],'Base Schedules'!$A$243:$AW$281,36,FALSE)="","",VLOOKUP(Thu_W1[[#This Row],[Employee Name]],'Base Schedules'!$A$243:$AW$281,36,FALSE)),"")</f>
        <v>HL</v>
      </c>
      <c r="AL31" s="184" t="str">
        <f>IFERROR(IF(VLOOKUP(Thu_W1[[#This Row],[Employee Name]],'Base Schedules'!$A$243:$AW$281,37,FALSE)="","",VLOOKUP(Thu_W1[[#This Row],[Employee Name]],'Base Schedules'!$A$243:$AW$281,37,FALSE)),"")</f>
        <v>HL</v>
      </c>
      <c r="AM31" s="184" t="str">
        <f>IFERROR(IF(VLOOKUP(Thu_W1[[#This Row],[Employee Name]],'Base Schedules'!$A$243:$AW$281,38,FALSE)="","",VLOOKUP(Thu_W1[[#This Row],[Employee Name]],'Base Schedules'!$A$243:$AW$281,38,FALSE)),"")</f>
        <v>ADM</v>
      </c>
      <c r="AN31" s="184" t="str">
        <f>IFERROR(IF(VLOOKUP(Thu_W1[[#This Row],[Employee Name]],'Base Schedules'!$A$243:$AW$281,39,FALSE)="","",VLOOKUP(Thu_W1[[#This Row],[Employee Name]],'Base Schedules'!$A$243:$AW$281,39,FALSE)),"")</f>
        <v>ADM</v>
      </c>
      <c r="AO31" s="184" t="str">
        <f>IFERROR(IF(VLOOKUP(Thu_W1[[#This Row],[Employee Name]],'Base Schedules'!$A$243:$AW$281,40,FALSE)="","",VLOOKUP(Thu_W1[[#This Row],[Employee Name]],'Base Schedules'!$A$243:$AW$281,40,FALSE)),"")</f>
        <v/>
      </c>
      <c r="AP31" s="184" t="str">
        <f>IFERROR(IF(VLOOKUP(Thu_W1[[#This Row],[Employee Name]],'Base Schedules'!$A$243:$AW$281,41,FALSE)="","",VLOOKUP(Thu_W1[[#This Row],[Employee Name]],'Base Schedules'!$A$243:$AW$281,41,FALSE)),"")</f>
        <v/>
      </c>
      <c r="AQ31" s="184" t="str">
        <f>IFERROR(IF(VLOOKUP(Thu_W1[[#This Row],[Employee Name]],'Base Schedules'!$A$243:$AW$281,42,FALSE)="","",VLOOKUP(Thu_W1[[#This Row],[Employee Name]],'Base Schedules'!$A$243:$AW$281,42,FALSE)),"")</f>
        <v/>
      </c>
      <c r="AR31" s="184" t="str">
        <f>IFERROR(IF(VLOOKUP(Thu_W1[[#This Row],[Employee Name]],'Base Schedules'!$A$243:$AW$281,43,FALSE)="","",VLOOKUP(Thu_W1[[#This Row],[Employee Name]],'Base Schedules'!$A$243:$AW$281,43,FALSE)),"")</f>
        <v/>
      </c>
      <c r="AS31" s="184" t="str">
        <f>IFERROR(IF(VLOOKUP(Thu_W1[[#This Row],[Employee Name]],'Base Schedules'!$A$243:$AW$281,44,FALSE)="","",VLOOKUP(Thu_W1[[#This Row],[Employee Name]],'Base Schedules'!$A$243:$AW$281,44,FALSE)),"")</f>
        <v/>
      </c>
      <c r="AT31" s="184" t="str">
        <f>IFERROR(IF(VLOOKUP(Thu_W1[[#This Row],[Employee Name]],'Base Schedules'!$A$243:$AW$281,45,FALSE)="","",VLOOKUP(Thu_W1[[#This Row],[Employee Name]],'Base Schedules'!$A$243:$AW$281,45,FALSE)),"")</f>
        <v/>
      </c>
      <c r="AU31" s="184" t="str">
        <f>IFERROR(IF(VLOOKUP(Thu_W1[[#This Row],[Employee Name]],'Base Schedules'!$A$243:$AW$281,46,FALSE)="","",VLOOKUP(Thu_W1[[#This Row],[Employee Name]],'Base Schedules'!$A$243:$AW$281,46,FALSE)),"")</f>
        <v/>
      </c>
      <c r="AV31" s="184" t="str">
        <f>IFERROR(IF(VLOOKUP(Thu_W1[[#This Row],[Employee Name]],'Base Schedules'!$A$243:$AW$281,47,FALSE)="","",VLOOKUP(Thu_W1[[#This Row],[Employee Name]],'Base Schedules'!$A$243:$AW$281,47,FALSE)),"")</f>
        <v/>
      </c>
      <c r="AW31" s="184" t="str">
        <f>IFERROR(IF(VLOOKUP(Thu_W1[[#This Row],[Employee Name]],'Base Schedules'!$A$243:$AW$281,48,FALSE)="","",VLOOKUP(Thu_W1[[#This Row],[Employee Name]],'Base Schedules'!$A$243:$AW$281,48,FALSE)),"")</f>
        <v/>
      </c>
      <c r="AX31" s="184" t="str">
        <f>IFERROR(IF(VLOOKUP(Thu_W1[[#This Row],[Employee Name]],'Base Schedules'!$A$243:$AW$281,49,FALSE)="","",VLOOKUP(Thu_W1[[#This Row],[Employee Name]],'Base Schedules'!$A$243:$AW$281,49,FALSE)),"")</f>
        <v/>
      </c>
      <c r="AY31" s="166" t="str">
        <f t="shared" si="2"/>
        <v>Harding, Mickeya</v>
      </c>
    </row>
    <row r="32" spans="1:51" s="44" customFormat="1" ht="12" x14ac:dyDescent="0.2">
      <c r="A32" s="39" t="str">
        <f>IF(B32="","",INDEX(TeamList[],MATCH($B32,TeamList[[Employee Name]:[Employee Name]],0),MATCH("Manager",TeamList[#Headers],0)))</f>
        <v>Ahmed Hassan, Zahra</v>
      </c>
      <c r="B32" s="201" t="s">
        <v>63</v>
      </c>
      <c r="C32" s="257" t="str">
        <f>_xlfn.IFNA(VLOOKUP(Thu_W1[[#This Row],[Employee Name]],'Base Schedules'!A:B,2,FALSE),"")</f>
        <v>Supervisor</v>
      </c>
      <c r="D32" s="274">
        <f>_xlfn.IFNA(VLOOKUP(Thu_W1[[#This Row],[Employee Name]],'Base Schedules'!A:C,3,FALSE),"")</f>
        <v>1200</v>
      </c>
      <c r="E32" s="274">
        <f>_xlfn.IFNA(VLOOKUP(Thu_W1[[#This Row],[Employee Name]],'Base Schedules'!A:D,4,FALSE),"")</f>
        <v>2100</v>
      </c>
      <c r="F32" s="142">
        <f>IF(Thu_W1[[#This Row],[Employee Name]]="","",IF(Thu_W1[[#This Row],[Dept]]="Supervisor",COUNTIFS($J32:$AX32,"*HL*",$J32:$AX32,"&lt;&gt;"&amp;"pHL"),COUNTIFS($J32:$AX32,"*HL*",$J32:$AX32,"&lt;&gt;"&amp;"*pHL*",$J32:$AX32,"&lt;&gt;"&amp;"pB1 HL",$J32:$AX32,"&lt;&gt;"&amp;"pB2 HL")-SUM(COUNTIFS($J32:$AX32,"*HL B1*",$J32:$AX32,"&lt;&gt;"&amp;"pHL B1")*0.5,COUNTIFS($J32:$AX32,"*HL B2*",$J32:$AX32,"&lt;&gt;"&amp;"pHL B2")*0.5,COUNTIFS($J32:$AX32,"*B1 HL*",$J32:$AX32,"&lt;&gt;"&amp;"pB1 HL")*0.5,COUNTIFS($J32:$AX32,"*B2 HL*",$J32:$AX32,"&lt;&gt;"&amp;"pB2 HL")*0.5)))</f>
        <v>0</v>
      </c>
      <c r="G32" s="142">
        <f t="shared" si="3"/>
        <v>4</v>
      </c>
      <c r="H32" s="142">
        <f t="shared" si="1"/>
        <v>0</v>
      </c>
      <c r="I32" s="142">
        <f>IF(Thu_W1[[#This Row],[Employee Name]]="","",IF(Thu_W1[[#This Row],[Dept]]="Supervisor",SUM(COUNTIFS($J32:$AX32,"RTA*",$J32:$AX32,"&lt;&gt;"&amp;"pRTA"),COUNTIFS($J32:$AX32,"*CRTA*",$J32:$AX32,"&lt;&gt;"&amp;"pCRTA")),COUNTIFS($J32:$AX32,"*RNNR*",$J32:$AX32,"&lt;&gt;"&amp;"*pRNNR*",$J32:$AX32,"&lt;&gt;"&amp;"pB1 RNNR",$J32:$AX32,"&lt;&gt;"&amp;"pB2 RNNR")-SUM(COUNTIFS($J32:$AX32,"*RNNR B1*",$J32:$AX32,"&lt;&gt;"&amp;"pRNNR B1")*0.5,COUNTIFS($J32:$AX32,"*RNNR B2*",$J32:$AX32,"&lt;&gt;"&amp;"pRNNR B2")*0.5,COUNTIFS($J32:$AX32,"*B1 RNNR*",$J32:$AX32,"&lt;&gt;"&amp;"pB1 RNNR")*0.5,COUNTIFS($J32:$AX32,"*B2 RNNR*",$J32:$AX32,"&lt;&gt;"&amp;"pB2 RNNR")*0.5)))</f>
        <v>0</v>
      </c>
      <c r="J32" s="184" t="str">
        <f>IFERROR(IF(VLOOKUP(Thu_W1[[#This Row],[Employee Name]],'Base Schedules'!$A$243:$AW$281,9,FALSE)="","",VLOOKUP(Thu_W1[[#This Row],[Employee Name]],'Base Schedules'!$A$243:$AW$281,9,FALSE)),"")</f>
        <v/>
      </c>
      <c r="K32" s="184" t="str">
        <f>IFERROR(IF(VLOOKUP(Thu_W1[[#This Row],[Employee Name]],'Base Schedules'!$A$243:$AW$281,10,FALSE)="","",VLOOKUP(Thu_W1[[#This Row],[Employee Name]],'Base Schedules'!$A$243:$AW$281,10,FALSE)),"")</f>
        <v/>
      </c>
      <c r="L32" s="184" t="str">
        <f>IFERROR(IF(VLOOKUP(Thu_W1[[#This Row],[Employee Name]],'Base Schedules'!$A$243:$AW$281,11,FALSE)="","",VLOOKUP(Thu_W1[[#This Row],[Employee Name]],'Base Schedules'!$A$243:$AW$281,11,FALSE)),"")</f>
        <v/>
      </c>
      <c r="M32" s="184" t="str">
        <f>IFERROR(IF(VLOOKUP(Thu_W1[[#This Row],[Employee Name]],'Base Schedules'!$A$243:$AW$281,12,FALSE)="","",VLOOKUP(Thu_W1[[#This Row],[Employee Name]],'Base Schedules'!$A$243:$AW$281,12,FALSE)),"")</f>
        <v/>
      </c>
      <c r="N32" s="184" t="str">
        <f>IFERROR(IF(VLOOKUP(Thu_W1[[#This Row],[Employee Name]],'Base Schedules'!$A$243:$AW$281,13,FALSE)="","",VLOOKUP(Thu_W1[[#This Row],[Employee Name]],'Base Schedules'!$A$243:$AW$281,13,FALSE)),"")</f>
        <v/>
      </c>
      <c r="O32" s="184" t="str">
        <f>IFERROR(IF(VLOOKUP(Thu_W1[[#This Row],[Employee Name]],'Base Schedules'!$A$243:$AW$281,14,FALSE)="","",VLOOKUP(Thu_W1[[#This Row],[Employee Name]],'Base Schedules'!$A$243:$AW$281,14,FALSE)),"")</f>
        <v/>
      </c>
      <c r="P32" s="184" t="str">
        <f>IFERROR(IF(VLOOKUP(Thu_W1[[#This Row],[Employee Name]],'Base Schedules'!$A$243:$AW$281,15,FALSE)="","",VLOOKUP(Thu_W1[[#This Row],[Employee Name]],'Base Schedules'!$A$243:$AW$281,15,FALSE)),"")</f>
        <v/>
      </c>
      <c r="Q32" s="184" t="str">
        <f>IFERROR(IF(VLOOKUP(Thu_W1[[#This Row],[Employee Name]],'Base Schedules'!$A$243:$AW$281,16,FALSE)="","",VLOOKUP(Thu_W1[[#This Row],[Employee Name]],'Base Schedules'!$A$243:$AW$281,16,FALSE)),"")</f>
        <v/>
      </c>
      <c r="R32" s="184" t="str">
        <f>IFERROR(IF(VLOOKUP(Thu_W1[[#This Row],[Employee Name]],'Base Schedules'!$A$243:$AW$281,17,FALSE)="","",VLOOKUP(Thu_W1[[#This Row],[Employee Name]],'Base Schedules'!$A$243:$AW$281,17,FALSE)),"")</f>
        <v/>
      </c>
      <c r="S32" s="184" t="str">
        <f>IFERROR(IF(VLOOKUP(Thu_W1[[#This Row],[Employee Name]],'Base Schedules'!$A$243:$AW$281,18,FALSE)="","",VLOOKUP(Thu_W1[[#This Row],[Employee Name]],'Base Schedules'!$A$243:$AW$281,18,FALSE)),"")</f>
        <v/>
      </c>
      <c r="T32" s="184" t="str">
        <f>IFERROR(IF(VLOOKUP(Thu_W1[[#This Row],[Employee Name]],'Base Schedules'!$A$243:$AW$281,19,FALSE)="","",VLOOKUP(Thu_W1[[#This Row],[Employee Name]],'Base Schedules'!$A$243:$AW$281,19,FALSE)),"")</f>
        <v/>
      </c>
      <c r="U32" s="184" t="str">
        <f>IFERROR(IF(VLOOKUP(Thu_W1[[#This Row],[Employee Name]],'Base Schedules'!$A$243:$AW$281,20,FALSE)="","",VLOOKUP(Thu_W1[[#This Row],[Employee Name]],'Base Schedules'!$A$243:$AW$281,20,FALSE)),"")</f>
        <v/>
      </c>
      <c r="V32" s="184" t="str">
        <f>IFERROR(IF(VLOOKUP(Thu_W1[[#This Row],[Employee Name]],'Base Schedules'!$A$243:$AW$281,21,FALSE)="","",VLOOKUP(Thu_W1[[#This Row],[Employee Name]],'Base Schedules'!$A$243:$AW$281,21,FALSE)),"")</f>
        <v/>
      </c>
      <c r="W32" s="184" t="str">
        <f>IFERROR(IF(VLOOKUP(Thu_W1[[#This Row],[Employee Name]],'Base Schedules'!$A$243:$AW$281,22,FALSE)="","",VLOOKUP(Thu_W1[[#This Row],[Employee Name]],'Base Schedules'!$A$243:$AW$281,22,FALSE)),"")</f>
        <v/>
      </c>
      <c r="X32" s="184" t="str">
        <f>IFERROR(IF(VLOOKUP(Thu_W1[[#This Row],[Employee Name]],'Base Schedules'!$A$243:$AW$281,23,FALSE)="","",VLOOKUP(Thu_W1[[#This Row],[Employee Name]],'Base Schedules'!$A$243:$AW$281,23,FALSE)),"")</f>
        <v>-</v>
      </c>
      <c r="Y32" s="184" t="str">
        <f>IFERROR(IF(VLOOKUP(Thu_W1[[#This Row],[Employee Name]],'Base Schedules'!$A$243:$AW$281,24,FALSE)="","",VLOOKUP(Thu_W1[[#This Row],[Employee Name]],'Base Schedules'!$A$243:$AW$281,24,FALSE)),"")</f>
        <v>-</v>
      </c>
      <c r="Z32" s="184" t="str">
        <f>IFERROR(IF(VLOOKUP(Thu_W1[[#This Row],[Employee Name]],'Base Schedules'!$A$243:$AW$281,25,FALSE)="","",VLOOKUP(Thu_W1[[#This Row],[Employee Name]],'Base Schedules'!$A$243:$AW$281,25,FALSE)),"")</f>
        <v>-</v>
      </c>
      <c r="AA32" s="184" t="str">
        <f>IFERROR(IF(VLOOKUP(Thu_W1[[#This Row],[Employee Name]],'Base Schedules'!$A$243:$AW$281,26,FALSE)="","",VLOOKUP(Thu_W1[[#This Row],[Employee Name]],'Base Schedules'!$A$243:$AW$281,26,FALSE)),"")</f>
        <v>-</v>
      </c>
      <c r="AB32" s="184" t="str">
        <f>IFERROR(IF(VLOOKUP(Thu_W1[[#This Row],[Employee Name]],'Base Schedules'!$A$243:$AW$281,27,FALSE)="","",VLOOKUP(Thu_W1[[#This Row],[Employee Name]],'Base Schedules'!$A$243:$AW$281,27,FALSE)),"")</f>
        <v>Interview</v>
      </c>
      <c r="AC32" s="184" t="str">
        <f>IFERROR(IF(VLOOKUP(Thu_W1[[#This Row],[Employee Name]],'Base Schedules'!$A$243:$AW$281,28,FALSE)="","",VLOOKUP(Thu_W1[[#This Row],[Employee Name]],'Base Schedules'!$A$243:$AW$281,28,FALSE)),"")</f>
        <v>Interview</v>
      </c>
      <c r="AD32" s="184" t="str">
        <f>IFERROR(IF(VLOOKUP(Thu_W1[[#This Row],[Employee Name]],'Base Schedules'!$A$243:$AW$281,29,FALSE)="","",VLOOKUP(Thu_W1[[#This Row],[Employee Name]],'Base Schedules'!$A$243:$AW$281,29,FALSE)),"")</f>
        <v>-</v>
      </c>
      <c r="AE32" s="184" t="str">
        <f>IFERROR(IF(VLOOKUP(Thu_W1[[#This Row],[Employee Name]],'Base Schedules'!$A$243:$AW$281,30,FALSE)="","",VLOOKUP(Thu_W1[[#This Row],[Employee Name]],'Base Schedules'!$A$243:$AW$281,30,FALSE)),"")</f>
        <v>-</v>
      </c>
      <c r="AF32" s="184" t="str">
        <f>IFERROR(IF(VLOOKUP(Thu_W1[[#This Row],[Employee Name]],'Base Schedules'!$A$243:$AW$281,31,FALSE)="","",VLOOKUP(Thu_W1[[#This Row],[Employee Name]],'Base Schedules'!$A$243:$AW$281,31,FALSE)),"")</f>
        <v>-</v>
      </c>
      <c r="AG32" s="184" t="str">
        <f>IFERROR(IF(VLOOKUP(Thu_W1[[#This Row],[Employee Name]],'Base Schedules'!$A$243:$AW$281,32,FALSE)="","",VLOOKUP(Thu_W1[[#This Row],[Employee Name]],'Base Schedules'!$A$243:$AW$281,32,FALSE)),"")</f>
        <v>TM PREP</v>
      </c>
      <c r="AH32" s="184" t="str">
        <f>IFERROR(IF(VLOOKUP(Thu_W1[[#This Row],[Employee Name]],'Base Schedules'!$A$243:$AW$281,33,FALSE)="","",VLOOKUP(Thu_W1[[#This Row],[Employee Name]],'Base Schedules'!$A$243:$AW$281,33,FALSE)),"")</f>
        <v>CONNER TM</v>
      </c>
      <c r="AI32" s="184" t="str">
        <f>IFERROR(IF(VLOOKUP(Thu_W1[[#This Row],[Employee Name]],'Base Schedules'!$A$243:$AW$281,34,FALSE)="","",VLOOKUP(Thu_W1[[#This Row],[Employee Name]],'Base Schedules'!$A$243:$AW$281,34,FALSE)),"")</f>
        <v>CONNER TM</v>
      </c>
      <c r="AJ32" s="184" t="str">
        <f>IFERROR(IF(VLOOKUP(Thu_W1[[#This Row],[Employee Name]],'Base Schedules'!$A$243:$AW$281,35,FALSE)="","",VLOOKUP(Thu_W1[[#This Row],[Employee Name]],'Base Schedules'!$A$243:$AW$281,35,FALSE)),"")</f>
        <v>-</v>
      </c>
      <c r="AK32" s="184" t="str">
        <f>IFERROR(IF(VLOOKUP(Thu_W1[[#This Row],[Employee Name]],'Base Schedules'!$A$243:$AW$281,36,FALSE)="","",VLOOKUP(Thu_W1[[#This Row],[Employee Name]],'Base Schedules'!$A$243:$AW$281,36,FALSE)),"")</f>
        <v>Coaching</v>
      </c>
      <c r="AL32" s="184" t="str">
        <f>IFERROR(IF(VLOOKUP(Thu_W1[[#This Row],[Employee Name]],'Base Schedules'!$A$243:$AW$281,37,FALSE)="","",VLOOKUP(Thu_W1[[#This Row],[Employee Name]],'Base Schedules'!$A$243:$AW$281,37,FALSE)),"")</f>
        <v>Coaching</v>
      </c>
      <c r="AM32" s="184" t="str">
        <f>IFERROR(IF(VLOOKUP(Thu_W1[[#This Row],[Employee Name]],'Base Schedules'!$A$243:$AW$281,38,FALSE)="","",VLOOKUP(Thu_W1[[#This Row],[Employee Name]],'Base Schedules'!$A$243:$AW$281,38,FALSE)),"")</f>
        <v>Coaching</v>
      </c>
      <c r="AN32" s="184" t="str">
        <f>IFERROR(IF(VLOOKUP(Thu_W1[[#This Row],[Employee Name]],'Base Schedules'!$A$243:$AW$281,39,FALSE)="","",VLOOKUP(Thu_W1[[#This Row],[Employee Name]],'Base Schedules'!$A$243:$AW$281,39,FALSE)),"")</f>
        <v>Coaching</v>
      </c>
      <c r="AO32" s="184" t="str">
        <f>IFERROR(IF(VLOOKUP(Thu_W1[[#This Row],[Employee Name]],'Base Schedules'!$A$243:$AW$281,40,FALSE)="","",VLOOKUP(Thu_W1[[#This Row],[Employee Name]],'Base Schedules'!$A$243:$AW$281,40,FALSE)),"")</f>
        <v>-</v>
      </c>
      <c r="AP32" s="184" t="str">
        <f>IFERROR(IF(VLOOKUP(Thu_W1[[#This Row],[Employee Name]],'Base Schedules'!$A$243:$AW$281,41,FALSE)="","",VLOOKUP(Thu_W1[[#This Row],[Employee Name]],'Base Schedules'!$A$243:$AW$281,41,FALSE)),"")</f>
        <v/>
      </c>
      <c r="AQ32" s="184" t="str">
        <f>IFERROR(IF(VLOOKUP(Thu_W1[[#This Row],[Employee Name]],'Base Schedules'!$A$243:$AW$281,42,FALSE)="","",VLOOKUP(Thu_W1[[#This Row],[Employee Name]],'Base Schedules'!$A$243:$AW$281,42,FALSE)),"")</f>
        <v/>
      </c>
      <c r="AR32" s="184" t="str">
        <f>IFERROR(IF(VLOOKUP(Thu_W1[[#This Row],[Employee Name]],'Base Schedules'!$A$243:$AW$281,43,FALSE)="","",VLOOKUP(Thu_W1[[#This Row],[Employee Name]],'Base Schedules'!$A$243:$AW$281,43,FALSE)),"")</f>
        <v/>
      </c>
      <c r="AS32" s="184" t="str">
        <f>IFERROR(IF(VLOOKUP(Thu_W1[[#This Row],[Employee Name]],'Base Schedules'!$A$243:$AW$281,44,FALSE)="","",VLOOKUP(Thu_W1[[#This Row],[Employee Name]],'Base Schedules'!$A$243:$AW$281,44,FALSE)),"")</f>
        <v/>
      </c>
      <c r="AT32" s="184" t="str">
        <f>IFERROR(IF(VLOOKUP(Thu_W1[[#This Row],[Employee Name]],'Base Schedules'!$A$243:$AW$281,45,FALSE)="","",VLOOKUP(Thu_W1[[#This Row],[Employee Name]],'Base Schedules'!$A$243:$AW$281,45,FALSE)),"")</f>
        <v/>
      </c>
      <c r="AU32" s="184" t="str">
        <f>IFERROR(IF(VLOOKUP(Thu_W1[[#This Row],[Employee Name]],'Base Schedules'!$A$243:$AW$281,46,FALSE)="","",VLOOKUP(Thu_W1[[#This Row],[Employee Name]],'Base Schedules'!$A$243:$AW$281,46,FALSE)),"")</f>
        <v/>
      </c>
      <c r="AV32" s="184" t="str">
        <f>IFERROR(IF(VLOOKUP(Thu_W1[[#This Row],[Employee Name]],'Base Schedules'!$A$243:$AW$281,47,FALSE)="","",VLOOKUP(Thu_W1[[#This Row],[Employee Name]],'Base Schedules'!$A$243:$AW$281,47,FALSE)),"")</f>
        <v/>
      </c>
      <c r="AW32" s="184" t="str">
        <f>IFERROR(IF(VLOOKUP(Thu_W1[[#This Row],[Employee Name]],'Base Schedules'!$A$243:$AW$281,48,FALSE)="","",VLOOKUP(Thu_W1[[#This Row],[Employee Name]],'Base Schedules'!$A$243:$AW$281,48,FALSE)),"")</f>
        <v/>
      </c>
      <c r="AX32" s="184" t="str">
        <f>IFERROR(IF(VLOOKUP(Thu_W1[[#This Row],[Employee Name]],'Base Schedules'!$A$243:$AW$281,49,FALSE)="","",VLOOKUP(Thu_W1[[#This Row],[Employee Name]],'Base Schedules'!$A$243:$AW$281,49,FALSE)),"")</f>
        <v/>
      </c>
      <c r="AY32" s="164" t="str">
        <f t="shared" si="2"/>
        <v>Conner, Mark</v>
      </c>
    </row>
    <row r="33" spans="1:51" s="44" customFormat="1" ht="12" x14ac:dyDescent="0.2">
      <c r="A33" s="39" t="e">
        <f>IF(B33="","",INDEX(TeamList[],MATCH($B33,TeamList[[Employee Name]:[Employee Name]],0),MATCH("Manager",TeamList[#Headers],0)))</f>
        <v>#N/A</v>
      </c>
      <c r="B33" s="201" t="s">
        <v>587</v>
      </c>
      <c r="C33" s="257" t="str">
        <f>_xlfn.IFNA(VLOOKUP(Thu_W1[[#This Row],[Employee Name]],'Base Schedules'!A:B,2,FALSE),"")</f>
        <v>Lead</v>
      </c>
      <c r="D33" s="274">
        <f>_xlfn.IFNA(VLOOKUP(Thu_W1[[#This Row],[Employee Name]],'Base Schedules'!A:C,3,FALSE),"")</f>
        <v>1230</v>
      </c>
      <c r="E33" s="274">
        <f>_xlfn.IFNA(VLOOKUP(Thu_W1[[#This Row],[Employee Name]],'Base Schedules'!A:D,4,FALSE),"")</f>
        <v>2100</v>
      </c>
      <c r="F33" s="142">
        <f>IF(Thu_W1[[#This Row],[Employee Name]]="","",IF(Thu_W1[[#This Row],[Dept]]="Supervisor",COUNTIFS($J33:$AX33,"*HL*",$J33:$AX33,"&lt;&gt;"&amp;"pHL"),COUNTIFS($J33:$AX33,"*HL*",$J33:$AX33,"&lt;&gt;"&amp;"*pHL*",$J33:$AX33,"&lt;&gt;"&amp;"pB1 HL",$J33:$AX33,"&lt;&gt;"&amp;"pB2 HL")-SUM(COUNTIFS($J33:$AX33,"*HL B1*",$J33:$AX33,"&lt;&gt;"&amp;"pHL B1")*0.5,COUNTIFS($J33:$AX33,"*HL B2*",$J33:$AX33,"&lt;&gt;"&amp;"pHL B2")*0.5,COUNTIFS($J33:$AX33,"*B1 HL*",$J33:$AX33,"&lt;&gt;"&amp;"pB1 HL")*0.5,COUNTIFS($J33:$AX33,"*B2 HL*",$J33:$AX33,"&lt;&gt;"&amp;"pB2 HL")*0.5)))</f>
        <v>6.5</v>
      </c>
      <c r="G33" s="142">
        <f t="shared" si="3"/>
        <v>0</v>
      </c>
      <c r="H33" s="142">
        <f t="shared" si="1"/>
        <v>7</v>
      </c>
      <c r="I33" s="142">
        <f>IF(Thu_W1[[#This Row],[Employee Name]]="","",IF(Thu_W1[[#This Row],[Dept]]="Supervisor",SUM(COUNTIFS($J33:$AX33,"RTA*",$J33:$AX33,"&lt;&gt;"&amp;"pRTA"),COUNTIFS($J33:$AX33,"*CRTA*",$J33:$AX33,"&lt;&gt;"&amp;"pCRTA")),COUNTIFS($J33:$AX33,"*RNNR*",$J33:$AX33,"&lt;&gt;"&amp;"*pRNNR*",$J33:$AX33,"&lt;&gt;"&amp;"pB1 RNNR",$J33:$AX33,"&lt;&gt;"&amp;"pB2 RNNR")-SUM(COUNTIFS($J33:$AX33,"*RNNR B1*",$J33:$AX33,"&lt;&gt;"&amp;"pRNNR B1")*0.5,COUNTIFS($J33:$AX33,"*RNNR B2*",$J33:$AX33,"&lt;&gt;"&amp;"pRNNR B2")*0.5,COUNTIFS($J33:$AX33,"*B1 RNNR*",$J33:$AX33,"&lt;&gt;"&amp;"pB1 RNNR")*0.5,COUNTIFS($J33:$AX33,"*B2 RNNR*",$J33:$AX33,"&lt;&gt;"&amp;"pB2 RNNR")*0.5)))</f>
        <v>2</v>
      </c>
      <c r="J33" s="184" t="str">
        <f>IFERROR(IF(VLOOKUP(Thu_W1[[#This Row],[Employee Name]],'Base Schedules'!$A$243:$AW$281,9,FALSE)="","",VLOOKUP(Thu_W1[[#This Row],[Employee Name]],'Base Schedules'!$A$243:$AW$281,9,FALSE)),"")</f>
        <v/>
      </c>
      <c r="K33" s="184" t="str">
        <f>IFERROR(IF(VLOOKUP(Thu_W1[[#This Row],[Employee Name]],'Base Schedules'!$A$243:$AW$281,10,FALSE)="","",VLOOKUP(Thu_W1[[#This Row],[Employee Name]],'Base Schedules'!$A$243:$AW$281,10,FALSE)),"")</f>
        <v/>
      </c>
      <c r="L33" s="184" t="str">
        <f>IFERROR(IF(VLOOKUP(Thu_W1[[#This Row],[Employee Name]],'Base Schedules'!$A$243:$AW$281,11,FALSE)="","",VLOOKUP(Thu_W1[[#This Row],[Employee Name]],'Base Schedules'!$A$243:$AW$281,11,FALSE)),"")</f>
        <v/>
      </c>
      <c r="M33" s="184" t="str">
        <f>IFERROR(IF(VLOOKUP(Thu_W1[[#This Row],[Employee Name]],'Base Schedules'!$A$243:$AW$281,12,FALSE)="","",VLOOKUP(Thu_W1[[#This Row],[Employee Name]],'Base Schedules'!$A$243:$AW$281,12,FALSE)),"")</f>
        <v/>
      </c>
      <c r="N33" s="184" t="str">
        <f>IFERROR(IF(VLOOKUP(Thu_W1[[#This Row],[Employee Name]],'Base Schedules'!$A$243:$AW$281,13,FALSE)="","",VLOOKUP(Thu_W1[[#This Row],[Employee Name]],'Base Schedules'!$A$243:$AW$281,13,FALSE)),"")</f>
        <v/>
      </c>
      <c r="O33" s="184" t="str">
        <f>IFERROR(IF(VLOOKUP(Thu_W1[[#This Row],[Employee Name]],'Base Schedules'!$A$243:$AW$281,14,FALSE)="","",VLOOKUP(Thu_W1[[#This Row],[Employee Name]],'Base Schedules'!$A$243:$AW$281,14,FALSE)),"")</f>
        <v/>
      </c>
      <c r="P33" s="184" t="str">
        <f>IFERROR(IF(VLOOKUP(Thu_W1[[#This Row],[Employee Name]],'Base Schedules'!$A$243:$AW$281,15,FALSE)="","",VLOOKUP(Thu_W1[[#This Row],[Employee Name]],'Base Schedules'!$A$243:$AW$281,15,FALSE)),"")</f>
        <v/>
      </c>
      <c r="Q33" s="184" t="str">
        <f>IFERROR(IF(VLOOKUP(Thu_W1[[#This Row],[Employee Name]],'Base Schedules'!$A$243:$AW$281,16,FALSE)="","",VLOOKUP(Thu_W1[[#This Row],[Employee Name]],'Base Schedules'!$A$243:$AW$281,16,FALSE)),"")</f>
        <v/>
      </c>
      <c r="R33" s="184" t="str">
        <f>IFERROR(IF(VLOOKUP(Thu_W1[[#This Row],[Employee Name]],'Base Schedules'!$A$243:$AW$281,17,FALSE)="","",VLOOKUP(Thu_W1[[#This Row],[Employee Name]],'Base Schedules'!$A$243:$AW$281,17,FALSE)),"")</f>
        <v/>
      </c>
      <c r="S33" s="184" t="str">
        <f>IFERROR(IF(VLOOKUP(Thu_W1[[#This Row],[Employee Name]],'Base Schedules'!$A$243:$AW$281,18,FALSE)="","",VLOOKUP(Thu_W1[[#This Row],[Employee Name]],'Base Schedules'!$A$243:$AW$281,18,FALSE)),"")</f>
        <v/>
      </c>
      <c r="T33" s="184" t="str">
        <f>IFERROR(IF(VLOOKUP(Thu_W1[[#This Row],[Employee Name]],'Base Schedules'!$A$243:$AW$281,19,FALSE)="","",VLOOKUP(Thu_W1[[#This Row],[Employee Name]],'Base Schedules'!$A$243:$AW$281,19,FALSE)),"")</f>
        <v/>
      </c>
      <c r="U33" s="184" t="str">
        <f>IFERROR(IF(VLOOKUP(Thu_W1[[#This Row],[Employee Name]],'Base Schedules'!$A$243:$AW$281,20,FALSE)="","",VLOOKUP(Thu_W1[[#This Row],[Employee Name]],'Base Schedules'!$A$243:$AW$281,20,FALSE)),"")</f>
        <v/>
      </c>
      <c r="V33" s="184" t="str">
        <f>IFERROR(IF(VLOOKUP(Thu_W1[[#This Row],[Employee Name]],'Base Schedules'!$A$243:$AW$281,21,FALSE)="","",VLOOKUP(Thu_W1[[#This Row],[Employee Name]],'Base Schedules'!$A$243:$AW$281,21,FALSE)),"")</f>
        <v/>
      </c>
      <c r="W33" s="184" t="str">
        <f>IFERROR(IF(VLOOKUP(Thu_W1[[#This Row],[Employee Name]],'Base Schedules'!$A$243:$AW$281,22,FALSE)="","",VLOOKUP(Thu_W1[[#This Row],[Employee Name]],'Base Schedules'!$A$243:$AW$281,22,FALSE)),"")</f>
        <v/>
      </c>
      <c r="X33" s="184" t="str">
        <f>IFERROR(IF(VLOOKUP(Thu_W1[[#This Row],[Employee Name]],'Base Schedules'!$A$243:$AW$281,23,FALSE)="","",VLOOKUP(Thu_W1[[#This Row],[Employee Name]],'Base Schedules'!$A$243:$AW$281,23,FALSE)),"")</f>
        <v/>
      </c>
      <c r="Y33" s="184" t="str">
        <f>IFERROR(IF(VLOOKUP(Thu_W1[[#This Row],[Employee Name]],'Base Schedules'!$A$243:$AW$281,24,FALSE)="","",VLOOKUP(Thu_W1[[#This Row],[Employee Name]],'Base Schedules'!$A$243:$AW$281,24,FALSE)),"")</f>
        <v>HL</v>
      </c>
      <c r="Z33" s="184" t="str">
        <f>IFERROR(IF(VLOOKUP(Thu_W1[[#This Row],[Employee Name]],'Base Schedules'!$A$243:$AW$281,25,FALSE)="","",VLOOKUP(Thu_W1[[#This Row],[Employee Name]],'Base Schedules'!$A$243:$AW$281,25,FALSE)),"")</f>
        <v>HL</v>
      </c>
      <c r="AA33" s="184" t="str">
        <f>IFERROR(IF(VLOOKUP(Thu_W1[[#This Row],[Employee Name]],'Base Schedules'!$A$243:$AW$281,26,FALSE)="","",VLOOKUP(Thu_W1[[#This Row],[Employee Name]],'Base Schedules'!$A$243:$AW$281,26,FALSE)),"")</f>
        <v>HL B1</v>
      </c>
      <c r="AB33" s="184" t="str">
        <f>IFERROR(IF(VLOOKUP(Thu_W1[[#This Row],[Employee Name]],'Base Schedules'!$A$243:$AW$281,27,FALSE)="","",VLOOKUP(Thu_W1[[#This Row],[Employee Name]],'Base Schedules'!$A$243:$AW$281,27,FALSE)),"")</f>
        <v>HL</v>
      </c>
      <c r="AC33" s="184" t="str">
        <f>IFERROR(IF(VLOOKUP(Thu_W1[[#This Row],[Employee Name]],'Base Schedules'!$A$243:$AW$281,28,FALSE)="","",VLOOKUP(Thu_W1[[#This Row],[Employee Name]],'Base Schedules'!$A$243:$AW$281,28,FALSE)),"")</f>
        <v>HL</v>
      </c>
      <c r="AD33" s="184" t="str">
        <f>IFERROR(IF(VLOOKUP(Thu_W1[[#This Row],[Employee Name]],'Base Schedules'!$A$243:$AW$281,29,FALSE)="","",VLOOKUP(Thu_W1[[#This Row],[Employee Name]],'Base Schedules'!$A$243:$AW$281,29,FALSE)),"")</f>
        <v>ADM</v>
      </c>
      <c r="AE33" s="184" t="str">
        <f>IFERROR(IF(VLOOKUP(Thu_W1[[#This Row],[Employee Name]],'Base Schedules'!$A$243:$AW$281,30,FALSE)="","",VLOOKUP(Thu_W1[[#This Row],[Employee Name]],'Base Schedules'!$A$243:$AW$281,30,FALSE)),"")</f>
        <v>ADM</v>
      </c>
      <c r="AF33" s="184" t="str">
        <f>IFERROR(IF(VLOOKUP(Thu_W1[[#This Row],[Employee Name]],'Base Schedules'!$A$243:$AW$281,31,FALSE)="","",VLOOKUP(Thu_W1[[#This Row],[Employee Name]],'Base Schedules'!$A$243:$AW$281,31,FALSE)),"")</f>
        <v>LUNCH</v>
      </c>
      <c r="AG33" s="184" t="str">
        <f>IFERROR(IF(VLOOKUP(Thu_W1[[#This Row],[Employee Name]],'Base Schedules'!$A$243:$AW$281,32,FALSE)="","",VLOOKUP(Thu_W1[[#This Row],[Employee Name]],'Base Schedules'!$A$243:$AW$281,32,FALSE)),"")</f>
        <v>ADM</v>
      </c>
      <c r="AH33" s="184" t="str">
        <f>IFERROR(IF(VLOOKUP(Thu_W1[[#This Row],[Employee Name]],'Base Schedules'!$A$243:$AW$281,33,FALSE)="","",VLOOKUP(Thu_W1[[#This Row],[Employee Name]],'Base Schedules'!$A$243:$AW$281,33,FALSE)),"")</f>
        <v>RNNR</v>
      </c>
      <c r="AI33" s="184" t="str">
        <f>IFERROR(IF(VLOOKUP(Thu_W1[[#This Row],[Employee Name]],'Base Schedules'!$A$243:$AW$281,34,FALSE)="","",VLOOKUP(Thu_W1[[#This Row],[Employee Name]],'Base Schedules'!$A$243:$AW$281,34,FALSE)),"")</f>
        <v>RNNR</v>
      </c>
      <c r="AJ33" s="184" t="str">
        <f>IFERROR(IF(VLOOKUP(Thu_W1[[#This Row],[Employee Name]],'Base Schedules'!$A$243:$AW$281,35,FALSE)="","",VLOOKUP(Thu_W1[[#This Row],[Employee Name]],'Base Schedules'!$A$243:$AW$281,35,FALSE)),"")</f>
        <v>HL</v>
      </c>
      <c r="AK33" s="184" t="str">
        <f>IFERROR(IF(VLOOKUP(Thu_W1[[#This Row],[Employee Name]],'Base Schedules'!$A$243:$AW$281,36,FALSE)="","",VLOOKUP(Thu_W1[[#This Row],[Employee Name]],'Base Schedules'!$A$243:$AW$281,36,FALSE)),"")</f>
        <v>B2 ADM</v>
      </c>
      <c r="AL33" s="184" t="str">
        <f>IFERROR(IF(VLOOKUP(Thu_W1[[#This Row],[Employee Name]],'Base Schedules'!$A$243:$AW$281,37,FALSE)="","",VLOOKUP(Thu_W1[[#This Row],[Employee Name]],'Base Schedules'!$A$243:$AW$281,37,FALSE)),"")</f>
        <v>ADM</v>
      </c>
      <c r="AM33" s="184" t="str">
        <f>IFERROR(IF(VLOOKUP(Thu_W1[[#This Row],[Employee Name]],'Base Schedules'!$A$243:$AW$281,38,FALSE)="","",VLOOKUP(Thu_W1[[#This Row],[Employee Name]],'Base Schedules'!$A$243:$AW$281,38,FALSE)),"")</f>
        <v>ADM</v>
      </c>
      <c r="AN33" s="184" t="str">
        <f>IFERROR(IF(VLOOKUP(Thu_W1[[#This Row],[Employee Name]],'Base Schedules'!$A$243:$AW$281,39,FALSE)="","",VLOOKUP(Thu_W1[[#This Row],[Employee Name]],'Base Schedules'!$A$243:$AW$281,39,FALSE)),"")</f>
        <v>ADM</v>
      </c>
      <c r="AO33" s="184" t="str">
        <f>IFERROR(IF(VLOOKUP(Thu_W1[[#This Row],[Employee Name]],'Base Schedules'!$A$243:$AW$281,40,FALSE)="","",VLOOKUP(Thu_W1[[#This Row],[Employee Name]],'Base Schedules'!$A$243:$AW$281,40,FALSE)),"")</f>
        <v>HL</v>
      </c>
      <c r="AP33" s="184" t="str">
        <f>IFERROR(IF(VLOOKUP(Thu_W1[[#This Row],[Employee Name]],'Base Schedules'!$A$243:$AW$281,41,FALSE)="","",VLOOKUP(Thu_W1[[#This Row],[Employee Name]],'Base Schedules'!$A$243:$AW$281,41,FALSE)),"")</f>
        <v/>
      </c>
      <c r="AQ33" s="184" t="str">
        <f>IFERROR(IF(VLOOKUP(Thu_W1[[#This Row],[Employee Name]],'Base Schedules'!$A$243:$AW$281,42,FALSE)="","",VLOOKUP(Thu_W1[[#This Row],[Employee Name]],'Base Schedules'!$A$243:$AW$281,42,FALSE)),"")</f>
        <v/>
      </c>
      <c r="AR33" s="184" t="str">
        <f>IFERROR(IF(VLOOKUP(Thu_W1[[#This Row],[Employee Name]],'Base Schedules'!$A$243:$AW$281,43,FALSE)="","",VLOOKUP(Thu_W1[[#This Row],[Employee Name]],'Base Schedules'!$A$243:$AW$281,43,FALSE)),"")</f>
        <v/>
      </c>
      <c r="AS33" s="184" t="str">
        <f>IFERROR(IF(VLOOKUP(Thu_W1[[#This Row],[Employee Name]],'Base Schedules'!$A$243:$AW$281,44,FALSE)="","",VLOOKUP(Thu_W1[[#This Row],[Employee Name]],'Base Schedules'!$A$243:$AW$281,44,FALSE)),"")</f>
        <v/>
      </c>
      <c r="AT33" s="184" t="str">
        <f>IFERROR(IF(VLOOKUP(Thu_W1[[#This Row],[Employee Name]],'Base Schedules'!$A$243:$AW$281,45,FALSE)="","",VLOOKUP(Thu_W1[[#This Row],[Employee Name]],'Base Schedules'!$A$243:$AW$281,45,FALSE)),"")</f>
        <v/>
      </c>
      <c r="AU33" s="184" t="str">
        <f>IFERROR(IF(VLOOKUP(Thu_W1[[#This Row],[Employee Name]],'Base Schedules'!$A$243:$AW$281,46,FALSE)="","",VLOOKUP(Thu_W1[[#This Row],[Employee Name]],'Base Schedules'!$A$243:$AW$281,46,FALSE)),"")</f>
        <v/>
      </c>
      <c r="AV33" s="184" t="str">
        <f>IFERROR(IF(VLOOKUP(Thu_W1[[#This Row],[Employee Name]],'Base Schedules'!$A$243:$AW$281,47,FALSE)="","",VLOOKUP(Thu_W1[[#This Row],[Employee Name]],'Base Schedules'!$A$243:$AW$281,47,FALSE)),"")</f>
        <v/>
      </c>
      <c r="AW33" s="184" t="str">
        <f>IFERROR(IF(VLOOKUP(Thu_W1[[#This Row],[Employee Name]],'Base Schedules'!$A$243:$AW$281,48,FALSE)="","",VLOOKUP(Thu_W1[[#This Row],[Employee Name]],'Base Schedules'!$A$243:$AW$281,48,FALSE)),"")</f>
        <v/>
      </c>
      <c r="AX33" s="184" t="str">
        <f>IFERROR(IF(VLOOKUP(Thu_W1[[#This Row],[Employee Name]],'Base Schedules'!$A$243:$AW$281,49,FALSE)="","",VLOOKUP(Thu_W1[[#This Row],[Employee Name]],'Base Schedules'!$A$243:$AW$281,49,FALSE)),"")</f>
        <v/>
      </c>
      <c r="AY33" s="164" t="str">
        <f t="shared" si="2"/>
        <v>Mason, April</v>
      </c>
    </row>
    <row r="34" spans="1:51" s="44" customFormat="1" ht="12" x14ac:dyDescent="0.2">
      <c r="A34" s="39" t="str">
        <f>IF(B34="","",INDEX(TeamList[],MATCH($B34,TeamList[[Employee Name]:[Employee Name]],0),MATCH("Manager",TeamList[#Headers],0)))</f>
        <v>Paulson, Matthew</v>
      </c>
      <c r="B34" s="201" t="s">
        <v>66</v>
      </c>
      <c r="C34" s="257" t="str">
        <f>_xlfn.IFNA(VLOOKUP(Thu_W1[[#This Row],[Employee Name]],'Base Schedules'!A:B,2,FALSE),"")</f>
        <v>Supervisor</v>
      </c>
      <c r="D34" s="274">
        <f>_xlfn.IFNA(VLOOKUP(Thu_W1[[#This Row],[Employee Name]],'Base Schedules'!A:C,3,FALSE),"")</f>
        <v>1230</v>
      </c>
      <c r="E34" s="274">
        <f>_xlfn.IFNA(VLOOKUP(Thu_W1[[#This Row],[Employee Name]],'Base Schedules'!A:D,4,FALSE),"")</f>
        <v>2130</v>
      </c>
      <c r="F34" s="142">
        <f>IF(Thu_W1[[#This Row],[Employee Name]]="","",IF(Thu_W1[[#This Row],[Dept]]="Supervisor",COUNTIFS($J34:$AX34,"*HL*",$J34:$AX34,"&lt;&gt;"&amp;"pHL"),COUNTIFS($J34:$AX34,"*HL*",$J34:$AX34,"&lt;&gt;"&amp;"*pHL*",$J34:$AX34,"&lt;&gt;"&amp;"pB1 HL",$J34:$AX34,"&lt;&gt;"&amp;"pB2 HL")-SUM(COUNTIFS($J34:$AX34,"*HL B1*",$J34:$AX34,"&lt;&gt;"&amp;"pHL B1")*0.5,COUNTIFS($J34:$AX34,"*HL B2*",$J34:$AX34,"&lt;&gt;"&amp;"pHL B2")*0.5,COUNTIFS($J34:$AX34,"*B1 HL*",$J34:$AX34,"&lt;&gt;"&amp;"pB1 HL")*0.5,COUNTIFS($J34:$AX34,"*B2 HL*",$J34:$AX34,"&lt;&gt;"&amp;"pB2 HL")*0.5)))</f>
        <v>0</v>
      </c>
      <c r="G34" s="142">
        <f t="shared" si="3"/>
        <v>4</v>
      </c>
      <c r="H34" s="142">
        <f t="shared" si="1"/>
        <v>0</v>
      </c>
      <c r="I34" s="142">
        <f>IF(Thu_W1[[#This Row],[Employee Name]]="","",IF(Thu_W1[[#This Row],[Dept]]="Supervisor",SUM(COUNTIFS($J34:$AX34,"RTA*",$J34:$AX34,"&lt;&gt;"&amp;"pRTA"),COUNTIFS($J34:$AX34,"*CRTA*",$J34:$AX34,"&lt;&gt;"&amp;"pCRTA")),COUNTIFS($J34:$AX34,"*RNNR*",$J34:$AX34,"&lt;&gt;"&amp;"*pRNNR*",$J34:$AX34,"&lt;&gt;"&amp;"pB1 RNNR",$J34:$AX34,"&lt;&gt;"&amp;"pB2 RNNR")-SUM(COUNTIFS($J34:$AX34,"*RNNR B1*",$J34:$AX34,"&lt;&gt;"&amp;"pRNNR B1")*0.5,COUNTIFS($J34:$AX34,"*RNNR B2*",$J34:$AX34,"&lt;&gt;"&amp;"pRNNR B2")*0.5,COUNTIFS($J34:$AX34,"*B1 RNNR*",$J34:$AX34,"&lt;&gt;"&amp;"pB1 RNNR")*0.5,COUNTIFS($J34:$AX34,"*B2 RNNR*",$J34:$AX34,"&lt;&gt;"&amp;"pB2 RNNR")*0.5)))</f>
        <v>0</v>
      </c>
      <c r="J34" s="184" t="str">
        <f>IFERROR(IF(VLOOKUP(Thu_W1[[#This Row],[Employee Name]],'Base Schedules'!$A$243:$AW$281,9,FALSE)="","",VLOOKUP(Thu_W1[[#This Row],[Employee Name]],'Base Schedules'!$A$243:$AW$281,9,FALSE)),"")</f>
        <v/>
      </c>
      <c r="K34" s="184" t="str">
        <f>IFERROR(IF(VLOOKUP(Thu_W1[[#This Row],[Employee Name]],'Base Schedules'!$A$243:$AW$281,10,FALSE)="","",VLOOKUP(Thu_W1[[#This Row],[Employee Name]],'Base Schedules'!$A$243:$AW$281,10,FALSE)),"")</f>
        <v/>
      </c>
      <c r="L34" s="184" t="str">
        <f>IFERROR(IF(VLOOKUP(Thu_W1[[#This Row],[Employee Name]],'Base Schedules'!$A$243:$AW$281,11,FALSE)="","",VLOOKUP(Thu_W1[[#This Row],[Employee Name]],'Base Schedules'!$A$243:$AW$281,11,FALSE)),"")</f>
        <v/>
      </c>
      <c r="M34" s="184" t="str">
        <f>IFERROR(IF(VLOOKUP(Thu_W1[[#This Row],[Employee Name]],'Base Schedules'!$A$243:$AW$281,12,FALSE)="","",VLOOKUP(Thu_W1[[#This Row],[Employee Name]],'Base Schedules'!$A$243:$AW$281,12,FALSE)),"")</f>
        <v/>
      </c>
      <c r="N34" s="184" t="str">
        <f>IFERROR(IF(VLOOKUP(Thu_W1[[#This Row],[Employee Name]],'Base Schedules'!$A$243:$AW$281,13,FALSE)="","",VLOOKUP(Thu_W1[[#This Row],[Employee Name]],'Base Schedules'!$A$243:$AW$281,13,FALSE)),"")</f>
        <v/>
      </c>
      <c r="O34" s="184" t="str">
        <f>IFERROR(IF(VLOOKUP(Thu_W1[[#This Row],[Employee Name]],'Base Schedules'!$A$243:$AW$281,14,FALSE)="","",VLOOKUP(Thu_W1[[#This Row],[Employee Name]],'Base Schedules'!$A$243:$AW$281,14,FALSE)),"")</f>
        <v/>
      </c>
      <c r="P34" s="184" t="str">
        <f>IFERROR(IF(VLOOKUP(Thu_W1[[#This Row],[Employee Name]],'Base Schedules'!$A$243:$AW$281,15,FALSE)="","",VLOOKUP(Thu_W1[[#This Row],[Employee Name]],'Base Schedules'!$A$243:$AW$281,15,FALSE)),"")</f>
        <v/>
      </c>
      <c r="Q34" s="184" t="str">
        <f>IFERROR(IF(VLOOKUP(Thu_W1[[#This Row],[Employee Name]],'Base Schedules'!$A$243:$AW$281,16,FALSE)="","",VLOOKUP(Thu_W1[[#This Row],[Employee Name]],'Base Schedules'!$A$243:$AW$281,16,FALSE)),"")</f>
        <v/>
      </c>
      <c r="R34" s="184" t="str">
        <f>IFERROR(IF(VLOOKUP(Thu_W1[[#This Row],[Employee Name]],'Base Schedules'!$A$243:$AW$281,17,FALSE)="","",VLOOKUP(Thu_W1[[#This Row],[Employee Name]],'Base Schedules'!$A$243:$AW$281,17,FALSE)),"")</f>
        <v/>
      </c>
      <c r="S34" s="184" t="str">
        <f>IFERROR(IF(VLOOKUP(Thu_W1[[#This Row],[Employee Name]],'Base Schedules'!$A$243:$AW$281,18,FALSE)="","",VLOOKUP(Thu_W1[[#This Row],[Employee Name]],'Base Schedules'!$A$243:$AW$281,18,FALSE)),"")</f>
        <v/>
      </c>
      <c r="T34" s="184" t="str">
        <f>IFERROR(IF(VLOOKUP(Thu_W1[[#This Row],[Employee Name]],'Base Schedules'!$A$243:$AW$281,19,FALSE)="","",VLOOKUP(Thu_W1[[#This Row],[Employee Name]],'Base Schedules'!$A$243:$AW$281,19,FALSE)),"")</f>
        <v/>
      </c>
      <c r="U34" s="184" t="str">
        <f>IFERROR(IF(VLOOKUP(Thu_W1[[#This Row],[Employee Name]],'Base Schedules'!$A$243:$AW$281,20,FALSE)="","",VLOOKUP(Thu_W1[[#This Row],[Employee Name]],'Base Schedules'!$A$243:$AW$281,20,FALSE)),"")</f>
        <v/>
      </c>
      <c r="V34" s="184" t="str">
        <f>IFERROR(IF(VLOOKUP(Thu_W1[[#This Row],[Employee Name]],'Base Schedules'!$A$243:$AW$281,21,FALSE)="","",VLOOKUP(Thu_W1[[#This Row],[Employee Name]],'Base Schedules'!$A$243:$AW$281,21,FALSE)),"")</f>
        <v/>
      </c>
      <c r="W34" s="184" t="str">
        <f>IFERROR(IF(VLOOKUP(Thu_W1[[#This Row],[Employee Name]],'Base Schedules'!$A$243:$AW$281,22,FALSE)="","",VLOOKUP(Thu_W1[[#This Row],[Employee Name]],'Base Schedules'!$A$243:$AW$281,22,FALSE)),"")</f>
        <v/>
      </c>
      <c r="X34" s="184" t="str">
        <f>IFERROR(IF(VLOOKUP(Thu_W1[[#This Row],[Employee Name]],'Base Schedules'!$A$243:$AW$281,23,FALSE)="","",VLOOKUP(Thu_W1[[#This Row],[Employee Name]],'Base Schedules'!$A$243:$AW$281,23,FALSE)),"")</f>
        <v/>
      </c>
      <c r="Y34" s="184" t="str">
        <f>IFERROR(IF(VLOOKUP(Thu_W1[[#This Row],[Employee Name]],'Base Schedules'!$A$243:$AW$281,24,FALSE)="","",VLOOKUP(Thu_W1[[#This Row],[Employee Name]],'Base Schedules'!$A$243:$AW$281,24,FALSE)),"")</f>
        <v>-</v>
      </c>
      <c r="Z34" s="184" t="str">
        <f>IFERROR(IF(VLOOKUP(Thu_W1[[#This Row],[Employee Name]],'Base Schedules'!$A$243:$AW$281,25,FALSE)="","",VLOOKUP(Thu_W1[[#This Row],[Employee Name]],'Base Schedules'!$A$243:$AW$281,25,FALSE)),"")</f>
        <v>-</v>
      </c>
      <c r="AA34" s="184" t="str">
        <f>IFERROR(IF(VLOOKUP(Thu_W1[[#This Row],[Employee Name]],'Base Schedules'!$A$243:$AW$281,26,FALSE)="","",VLOOKUP(Thu_W1[[#This Row],[Employee Name]],'Base Schedules'!$A$243:$AW$281,26,FALSE)),"")</f>
        <v>-</v>
      </c>
      <c r="AB34" s="184" t="str">
        <f>IFERROR(IF(VLOOKUP(Thu_W1[[#This Row],[Employee Name]],'Base Schedules'!$A$243:$AW$281,27,FALSE)="","",VLOOKUP(Thu_W1[[#This Row],[Employee Name]],'Base Schedules'!$A$243:$AW$281,27,FALSE)),"")</f>
        <v>Interview</v>
      </c>
      <c r="AC34" s="184" t="str">
        <f>IFERROR(IF(VLOOKUP(Thu_W1[[#This Row],[Employee Name]],'Base Schedules'!$A$243:$AW$281,28,FALSE)="","",VLOOKUP(Thu_W1[[#This Row],[Employee Name]],'Base Schedules'!$A$243:$AW$281,28,FALSE)),"")</f>
        <v>Interview</v>
      </c>
      <c r="AD34" s="184" t="str">
        <f>IFERROR(IF(VLOOKUP(Thu_W1[[#This Row],[Employee Name]],'Base Schedules'!$A$243:$AW$281,29,FALSE)="","",VLOOKUP(Thu_W1[[#This Row],[Employee Name]],'Base Schedules'!$A$243:$AW$281,29,FALSE)),"")</f>
        <v>-</v>
      </c>
      <c r="AE34" s="184" t="str">
        <f>IFERROR(IF(VLOOKUP(Thu_W1[[#This Row],[Employee Name]],'Base Schedules'!$A$243:$AW$281,30,FALSE)="","",VLOOKUP(Thu_W1[[#This Row],[Employee Name]],'Base Schedules'!$A$243:$AW$281,30,FALSE)),"")</f>
        <v>-</v>
      </c>
      <c r="AF34" s="184" t="str">
        <f>IFERROR(IF(VLOOKUP(Thu_W1[[#This Row],[Employee Name]],'Base Schedules'!$A$243:$AW$281,31,FALSE)="","",VLOOKUP(Thu_W1[[#This Row],[Employee Name]],'Base Schedules'!$A$243:$AW$281,31,FALSE)),"")</f>
        <v>-</v>
      </c>
      <c r="AG34" s="184" t="str">
        <f>IFERROR(IF(VLOOKUP(Thu_W1[[#This Row],[Employee Name]],'Base Schedules'!$A$243:$AW$281,32,FALSE)="","",VLOOKUP(Thu_W1[[#This Row],[Employee Name]],'Base Schedules'!$A$243:$AW$281,32,FALSE)),"")</f>
        <v>Coaching</v>
      </c>
      <c r="AH34" s="184" t="str">
        <f>IFERROR(IF(VLOOKUP(Thu_W1[[#This Row],[Employee Name]],'Base Schedules'!$A$243:$AW$281,33,FALSE)="","",VLOOKUP(Thu_W1[[#This Row],[Employee Name]],'Base Schedules'!$A$243:$AW$281,33,FALSE)),"")</f>
        <v>Coaching</v>
      </c>
      <c r="AI34" s="184" t="str">
        <f>IFERROR(IF(VLOOKUP(Thu_W1[[#This Row],[Employee Name]],'Base Schedules'!$A$243:$AW$281,34,FALSE)="","",VLOOKUP(Thu_W1[[#This Row],[Employee Name]],'Base Schedules'!$A$243:$AW$281,34,FALSE)),"")</f>
        <v>Coaching</v>
      </c>
      <c r="AJ34" s="184" t="str">
        <f>IFERROR(IF(VLOOKUP(Thu_W1[[#This Row],[Employee Name]],'Base Schedules'!$A$243:$AW$281,35,FALSE)="","",VLOOKUP(Thu_W1[[#This Row],[Employee Name]],'Base Schedules'!$A$243:$AW$281,35,FALSE)),"")</f>
        <v>Coaching</v>
      </c>
      <c r="AK34" s="184" t="str">
        <f>IFERROR(IF(VLOOKUP(Thu_W1[[#This Row],[Employee Name]],'Base Schedules'!$A$243:$AW$281,36,FALSE)="","",VLOOKUP(Thu_W1[[#This Row],[Employee Name]],'Base Schedules'!$A$243:$AW$281,36,FALSE)),"")</f>
        <v>-</v>
      </c>
      <c r="AL34" s="184" t="str">
        <f>IFERROR(IF(VLOOKUP(Thu_W1[[#This Row],[Employee Name]],'Base Schedules'!$A$243:$AW$281,37,FALSE)="","",VLOOKUP(Thu_W1[[#This Row],[Employee Name]],'Base Schedules'!$A$243:$AW$281,37,FALSE)),"")</f>
        <v>-</v>
      </c>
      <c r="AM34" s="184" t="str">
        <f>IFERROR(IF(VLOOKUP(Thu_W1[[#This Row],[Employee Name]],'Base Schedules'!$A$243:$AW$281,38,FALSE)="","",VLOOKUP(Thu_W1[[#This Row],[Employee Name]],'Base Schedules'!$A$243:$AW$281,38,FALSE)),"")</f>
        <v>-</v>
      </c>
      <c r="AN34" s="184" t="str">
        <f>IFERROR(IF(VLOOKUP(Thu_W1[[#This Row],[Employee Name]],'Base Schedules'!$A$243:$AW$281,39,FALSE)="","",VLOOKUP(Thu_W1[[#This Row],[Employee Name]],'Base Schedules'!$A$243:$AW$281,39,FALSE)),"")</f>
        <v>-</v>
      </c>
      <c r="AO34" s="184" t="str">
        <f>IFERROR(IF(VLOOKUP(Thu_W1[[#This Row],[Employee Name]],'Base Schedules'!$A$243:$AW$281,40,FALSE)="","",VLOOKUP(Thu_W1[[#This Row],[Employee Name]],'Base Schedules'!$A$243:$AW$281,40,FALSE)),"")</f>
        <v>-</v>
      </c>
      <c r="AP34" s="184" t="str">
        <f>IFERROR(IF(VLOOKUP(Thu_W1[[#This Row],[Employee Name]],'Base Schedules'!$A$243:$AW$281,41,FALSE)="","",VLOOKUP(Thu_W1[[#This Row],[Employee Name]],'Base Schedules'!$A$243:$AW$281,41,FALSE)),"")</f>
        <v>-</v>
      </c>
      <c r="AQ34" s="184" t="str">
        <f>IFERROR(IF(VLOOKUP(Thu_W1[[#This Row],[Employee Name]],'Base Schedules'!$A$243:$AW$281,42,FALSE)="","",VLOOKUP(Thu_W1[[#This Row],[Employee Name]],'Base Schedules'!$A$243:$AW$281,42,FALSE)),"")</f>
        <v>-</v>
      </c>
      <c r="AR34" s="184" t="str">
        <f>IFERROR(IF(VLOOKUP(Thu_W1[[#This Row],[Employee Name]],'Base Schedules'!$A$243:$AW$281,43,FALSE)="","",VLOOKUP(Thu_W1[[#This Row],[Employee Name]],'Base Schedules'!$A$243:$AW$281,43,FALSE)),"")</f>
        <v/>
      </c>
      <c r="AS34" s="184" t="str">
        <f>IFERROR(IF(VLOOKUP(Thu_W1[[#This Row],[Employee Name]],'Base Schedules'!$A$243:$AW$281,44,FALSE)="","",VLOOKUP(Thu_W1[[#This Row],[Employee Name]],'Base Schedules'!$A$243:$AW$281,44,FALSE)),"")</f>
        <v/>
      </c>
      <c r="AT34" s="184" t="str">
        <f>IFERROR(IF(VLOOKUP(Thu_W1[[#This Row],[Employee Name]],'Base Schedules'!$A$243:$AW$281,45,FALSE)="","",VLOOKUP(Thu_W1[[#This Row],[Employee Name]],'Base Schedules'!$A$243:$AW$281,45,FALSE)),"")</f>
        <v/>
      </c>
      <c r="AU34" s="184" t="str">
        <f>IFERROR(IF(VLOOKUP(Thu_W1[[#This Row],[Employee Name]],'Base Schedules'!$A$243:$AW$281,46,FALSE)="","",VLOOKUP(Thu_W1[[#This Row],[Employee Name]],'Base Schedules'!$A$243:$AW$281,46,FALSE)),"")</f>
        <v/>
      </c>
      <c r="AV34" s="184" t="str">
        <f>IFERROR(IF(VLOOKUP(Thu_W1[[#This Row],[Employee Name]],'Base Schedules'!$A$243:$AW$281,47,FALSE)="","",VLOOKUP(Thu_W1[[#This Row],[Employee Name]],'Base Schedules'!$A$243:$AW$281,47,FALSE)),"")</f>
        <v/>
      </c>
      <c r="AW34" s="184" t="str">
        <f>IFERROR(IF(VLOOKUP(Thu_W1[[#This Row],[Employee Name]],'Base Schedules'!$A$243:$AW$281,48,FALSE)="","",VLOOKUP(Thu_W1[[#This Row],[Employee Name]],'Base Schedules'!$A$243:$AW$281,48,FALSE)),"")</f>
        <v/>
      </c>
      <c r="AX34" s="184" t="str">
        <f>IFERROR(IF(VLOOKUP(Thu_W1[[#This Row],[Employee Name]],'Base Schedules'!$A$243:$AW$281,49,FALSE)="","",VLOOKUP(Thu_W1[[#This Row],[Employee Name]],'Base Schedules'!$A$243:$AW$281,49,FALSE)),"")</f>
        <v/>
      </c>
      <c r="AY34" s="164" t="str">
        <f t="shared" si="2"/>
        <v>Aguilar, Angelica</v>
      </c>
    </row>
    <row r="35" spans="1:51" s="44" customFormat="1" ht="12" x14ac:dyDescent="0.2">
      <c r="A35" s="39" t="str">
        <f>IF(B35="","",INDEX(TeamList[],MATCH($B35,TeamList[[Employee Name]:[Employee Name]],0),MATCH("Manager",TeamList[#Headers],0)))</f>
        <v>Olson, Katherine</v>
      </c>
      <c r="B35" s="201" t="s">
        <v>29</v>
      </c>
      <c r="C35" s="257" t="str">
        <f>_xlfn.IFNA(VLOOKUP(Thu_W1[[#This Row],[Employee Name]],'Base Schedules'!A:B,2,FALSE),"")</f>
        <v>Lead</v>
      </c>
      <c r="D35" s="274">
        <f>_xlfn.IFNA(VLOOKUP(Thu_W1[[#This Row],[Employee Name]],'Base Schedules'!A:C,3,FALSE),"")</f>
        <v>1300</v>
      </c>
      <c r="E35" s="274">
        <f>_xlfn.IFNA(VLOOKUP(Thu_W1[[#This Row],[Employee Name]],'Base Schedules'!A:D,4,FALSE),"")</f>
        <v>2130</v>
      </c>
      <c r="F35" s="142">
        <f>IF(Thu_W1[[#This Row],[Employee Name]]="","",IF(Thu_W1[[#This Row],[Dept]]="Supervisor",COUNTIFS($J35:$AX35,"*HL*",$J35:$AX35,"&lt;&gt;"&amp;"pHL"),COUNTIFS($J35:$AX35,"*HL*",$J35:$AX35,"&lt;&gt;"&amp;"*pHL*",$J35:$AX35,"&lt;&gt;"&amp;"pB1 HL",$J35:$AX35,"&lt;&gt;"&amp;"pB2 HL")-SUM(COUNTIFS($J35:$AX35,"*HL B1*",$J35:$AX35,"&lt;&gt;"&amp;"pHL B1")*0.5,COUNTIFS($J35:$AX35,"*HL B2*",$J35:$AX35,"&lt;&gt;"&amp;"pHL B2")*0.5,COUNTIFS($J35:$AX35,"*B1 HL*",$J35:$AX35,"&lt;&gt;"&amp;"pB1 HL")*0.5,COUNTIFS($J35:$AX35,"*B2 HL*",$J35:$AX35,"&lt;&gt;"&amp;"pB2 HL")*0.5)))</f>
        <v>7.5</v>
      </c>
      <c r="G35" s="142">
        <f t="shared" si="3"/>
        <v>0</v>
      </c>
      <c r="H35" s="142">
        <f t="shared" si="1"/>
        <v>6</v>
      </c>
      <c r="I35" s="142">
        <f>IF(Thu_W1[[#This Row],[Employee Name]]="","",IF(Thu_W1[[#This Row],[Dept]]="Supervisor",SUM(COUNTIFS($J35:$AX35,"RTA*",$J35:$AX35,"&lt;&gt;"&amp;"pRTA"),COUNTIFS($J35:$AX35,"*CRTA*",$J35:$AX35,"&lt;&gt;"&amp;"pCRTA")),COUNTIFS($J35:$AX35,"*RNNR*",$J35:$AX35,"&lt;&gt;"&amp;"*pRNNR*",$J35:$AX35,"&lt;&gt;"&amp;"pB1 RNNR",$J35:$AX35,"&lt;&gt;"&amp;"pB2 RNNR")-SUM(COUNTIFS($J35:$AX35,"*RNNR B1*",$J35:$AX35,"&lt;&gt;"&amp;"pRNNR B1")*0.5,COUNTIFS($J35:$AX35,"*RNNR B2*",$J35:$AX35,"&lt;&gt;"&amp;"pRNNR B2")*0.5,COUNTIFS($J35:$AX35,"*B1 RNNR*",$J35:$AX35,"&lt;&gt;"&amp;"pB1 RNNR")*0.5,COUNTIFS($J35:$AX35,"*B2 RNNR*",$J35:$AX35,"&lt;&gt;"&amp;"pB2 RNNR")*0.5)))</f>
        <v>2</v>
      </c>
      <c r="J35" s="184" t="str">
        <f>IFERROR(IF(VLOOKUP(Thu_W1[[#This Row],[Employee Name]],'Base Schedules'!$A$243:$AW$281,9,FALSE)="","",VLOOKUP(Thu_W1[[#This Row],[Employee Name]],'Base Schedules'!$A$243:$AW$281,9,FALSE)),"")</f>
        <v/>
      </c>
      <c r="K35" s="184" t="str">
        <f>IFERROR(IF(VLOOKUP(Thu_W1[[#This Row],[Employee Name]],'Base Schedules'!$A$243:$AW$281,10,FALSE)="","",VLOOKUP(Thu_W1[[#This Row],[Employee Name]],'Base Schedules'!$A$243:$AW$281,10,FALSE)),"")</f>
        <v/>
      </c>
      <c r="L35" s="184" t="str">
        <f>IFERROR(IF(VLOOKUP(Thu_W1[[#This Row],[Employee Name]],'Base Schedules'!$A$243:$AW$281,11,FALSE)="","",VLOOKUP(Thu_W1[[#This Row],[Employee Name]],'Base Schedules'!$A$243:$AW$281,11,FALSE)),"")</f>
        <v/>
      </c>
      <c r="M35" s="184" t="str">
        <f>IFERROR(IF(VLOOKUP(Thu_W1[[#This Row],[Employee Name]],'Base Schedules'!$A$243:$AW$281,12,FALSE)="","",VLOOKUP(Thu_W1[[#This Row],[Employee Name]],'Base Schedules'!$A$243:$AW$281,12,FALSE)),"")</f>
        <v/>
      </c>
      <c r="N35" s="184" t="str">
        <f>IFERROR(IF(VLOOKUP(Thu_W1[[#This Row],[Employee Name]],'Base Schedules'!$A$243:$AW$281,13,FALSE)="","",VLOOKUP(Thu_W1[[#This Row],[Employee Name]],'Base Schedules'!$A$243:$AW$281,13,FALSE)),"")</f>
        <v/>
      </c>
      <c r="O35" s="184" t="str">
        <f>IFERROR(IF(VLOOKUP(Thu_W1[[#This Row],[Employee Name]],'Base Schedules'!$A$243:$AW$281,14,FALSE)="","",VLOOKUP(Thu_W1[[#This Row],[Employee Name]],'Base Schedules'!$A$243:$AW$281,14,FALSE)),"")</f>
        <v/>
      </c>
      <c r="P35" s="184" t="str">
        <f>IFERROR(IF(VLOOKUP(Thu_W1[[#This Row],[Employee Name]],'Base Schedules'!$A$243:$AW$281,15,FALSE)="","",VLOOKUP(Thu_W1[[#This Row],[Employee Name]],'Base Schedules'!$A$243:$AW$281,15,FALSE)),"")</f>
        <v/>
      </c>
      <c r="Q35" s="184" t="str">
        <f>IFERROR(IF(VLOOKUP(Thu_W1[[#This Row],[Employee Name]],'Base Schedules'!$A$243:$AW$281,16,FALSE)="","",VLOOKUP(Thu_W1[[#This Row],[Employee Name]],'Base Schedules'!$A$243:$AW$281,16,FALSE)),"")</f>
        <v/>
      </c>
      <c r="R35" s="184" t="str">
        <f>IFERROR(IF(VLOOKUP(Thu_W1[[#This Row],[Employee Name]],'Base Schedules'!$A$243:$AW$281,17,FALSE)="","",VLOOKUP(Thu_W1[[#This Row],[Employee Name]],'Base Schedules'!$A$243:$AW$281,17,FALSE)),"")</f>
        <v/>
      </c>
      <c r="S35" s="184" t="str">
        <f>IFERROR(IF(VLOOKUP(Thu_W1[[#This Row],[Employee Name]],'Base Schedules'!$A$243:$AW$281,18,FALSE)="","",VLOOKUP(Thu_W1[[#This Row],[Employee Name]],'Base Schedules'!$A$243:$AW$281,18,FALSE)),"")</f>
        <v/>
      </c>
      <c r="T35" s="184" t="str">
        <f>IFERROR(IF(VLOOKUP(Thu_W1[[#This Row],[Employee Name]],'Base Schedules'!$A$243:$AW$281,19,FALSE)="","",VLOOKUP(Thu_W1[[#This Row],[Employee Name]],'Base Schedules'!$A$243:$AW$281,19,FALSE)),"")</f>
        <v/>
      </c>
      <c r="U35" s="184" t="str">
        <f>IFERROR(IF(VLOOKUP(Thu_W1[[#This Row],[Employee Name]],'Base Schedules'!$A$243:$AW$281,20,FALSE)="","",VLOOKUP(Thu_W1[[#This Row],[Employee Name]],'Base Schedules'!$A$243:$AW$281,20,FALSE)),"")</f>
        <v/>
      </c>
      <c r="V35" s="184" t="str">
        <f>IFERROR(IF(VLOOKUP(Thu_W1[[#This Row],[Employee Name]],'Base Schedules'!$A$243:$AW$281,21,FALSE)="","",VLOOKUP(Thu_W1[[#This Row],[Employee Name]],'Base Schedules'!$A$243:$AW$281,21,FALSE)),"")</f>
        <v/>
      </c>
      <c r="W35" s="184" t="str">
        <f>IFERROR(IF(VLOOKUP(Thu_W1[[#This Row],[Employee Name]],'Base Schedules'!$A$243:$AW$281,22,FALSE)="","",VLOOKUP(Thu_W1[[#This Row],[Employee Name]],'Base Schedules'!$A$243:$AW$281,22,FALSE)),"")</f>
        <v/>
      </c>
      <c r="X35" s="184" t="str">
        <f>IFERROR(IF(VLOOKUP(Thu_W1[[#This Row],[Employee Name]],'Base Schedules'!$A$243:$AW$281,23,FALSE)="","",VLOOKUP(Thu_W1[[#This Row],[Employee Name]],'Base Schedules'!$A$243:$AW$281,23,FALSE)),"")</f>
        <v/>
      </c>
      <c r="Y35" s="184" t="str">
        <f>IFERROR(IF(VLOOKUP(Thu_W1[[#This Row],[Employee Name]],'Base Schedules'!$A$243:$AW$281,24,FALSE)="","",VLOOKUP(Thu_W1[[#This Row],[Employee Name]],'Base Schedules'!$A$243:$AW$281,24,FALSE)),"")</f>
        <v/>
      </c>
      <c r="Z35" s="184" t="str">
        <f>IFERROR(IF(VLOOKUP(Thu_W1[[#This Row],[Employee Name]],'Base Schedules'!$A$243:$AW$281,25,FALSE)="","",VLOOKUP(Thu_W1[[#This Row],[Employee Name]],'Base Schedules'!$A$243:$AW$281,25,FALSE)),"")</f>
        <v>ADM</v>
      </c>
      <c r="AA35" s="184" t="str">
        <f>IFERROR(IF(VLOOKUP(Thu_W1[[#This Row],[Employee Name]],'Base Schedules'!$A$243:$AW$281,26,FALSE)="","",VLOOKUP(Thu_W1[[#This Row],[Employee Name]],'Base Schedules'!$A$243:$AW$281,26,FALSE)),"")</f>
        <v>ADM</v>
      </c>
      <c r="AB35" s="184" t="str">
        <f>IFERROR(IF(VLOOKUP(Thu_W1[[#This Row],[Employee Name]],'Base Schedules'!$A$243:$AW$281,27,FALSE)="","",VLOOKUP(Thu_W1[[#This Row],[Employee Name]],'Base Schedules'!$A$243:$AW$281,27,FALSE)),"")</f>
        <v>ADM</v>
      </c>
      <c r="AC35" s="184" t="str">
        <f>IFERROR(IF(VLOOKUP(Thu_W1[[#This Row],[Employee Name]],'Base Schedules'!$A$243:$AW$281,28,FALSE)="","",VLOOKUP(Thu_W1[[#This Row],[Employee Name]],'Base Schedules'!$A$243:$AW$281,28,FALSE)),"")</f>
        <v>ADM</v>
      </c>
      <c r="AD35" s="184" t="str">
        <f>IFERROR(IF(VLOOKUP(Thu_W1[[#This Row],[Employee Name]],'Base Schedules'!$A$243:$AW$281,29,FALSE)="","",VLOOKUP(Thu_W1[[#This Row],[Employee Name]],'Base Schedules'!$A$243:$AW$281,29,FALSE)),"")</f>
        <v>B1 ADM</v>
      </c>
      <c r="AE35" s="184" t="str">
        <f>IFERROR(IF(VLOOKUP(Thu_W1[[#This Row],[Employee Name]],'Base Schedules'!$A$243:$AW$281,30,FALSE)="","",VLOOKUP(Thu_W1[[#This Row],[Employee Name]],'Base Schedules'!$A$243:$AW$281,30,FALSE)),"")</f>
        <v>ADM</v>
      </c>
      <c r="AF35" s="184" t="str">
        <f>IFERROR(IF(VLOOKUP(Thu_W1[[#This Row],[Employee Name]],'Base Schedules'!$A$243:$AW$281,31,FALSE)="","",VLOOKUP(Thu_W1[[#This Row],[Employee Name]],'Base Schedules'!$A$243:$AW$281,31,FALSE)),"")</f>
        <v>RNNR</v>
      </c>
      <c r="AG35" s="184" t="str">
        <f>IFERROR(IF(VLOOKUP(Thu_W1[[#This Row],[Employee Name]],'Base Schedules'!$A$243:$AW$281,32,FALSE)="","",VLOOKUP(Thu_W1[[#This Row],[Employee Name]],'Base Schedules'!$A$243:$AW$281,32,FALSE)),"")</f>
        <v>RNNR</v>
      </c>
      <c r="AH35" s="184" t="str">
        <f>IFERROR(IF(VLOOKUP(Thu_W1[[#This Row],[Employee Name]],'Base Schedules'!$A$243:$AW$281,33,FALSE)="","",VLOOKUP(Thu_W1[[#This Row],[Employee Name]],'Base Schedules'!$A$243:$AW$281,33,FALSE)),"")</f>
        <v>LUNCH</v>
      </c>
      <c r="AI35" s="184" t="str">
        <f>IFERROR(IF(VLOOKUP(Thu_W1[[#This Row],[Employee Name]],'Base Schedules'!$A$243:$AW$281,34,FALSE)="","",VLOOKUP(Thu_W1[[#This Row],[Employee Name]],'Base Schedules'!$A$243:$AW$281,34,FALSE)),"")</f>
        <v>HL</v>
      </c>
      <c r="AJ35" s="184" t="str">
        <f>IFERROR(IF(VLOOKUP(Thu_W1[[#This Row],[Employee Name]],'Base Schedules'!$A$243:$AW$281,35,FALSE)="","",VLOOKUP(Thu_W1[[#This Row],[Employee Name]],'Base Schedules'!$A$243:$AW$281,35,FALSE)),"")</f>
        <v>HL</v>
      </c>
      <c r="AK35" s="184" t="str">
        <f>IFERROR(IF(VLOOKUP(Thu_W1[[#This Row],[Employee Name]],'Base Schedules'!$A$243:$AW$281,36,FALSE)="","",VLOOKUP(Thu_W1[[#This Row],[Employee Name]],'Base Schedules'!$A$243:$AW$281,36,FALSE)),"")</f>
        <v>HL</v>
      </c>
      <c r="AL35" s="184" t="str">
        <f>IFERROR(IF(VLOOKUP(Thu_W1[[#This Row],[Employee Name]],'Base Schedules'!$A$243:$AW$281,37,FALSE)="","",VLOOKUP(Thu_W1[[#This Row],[Employee Name]],'Base Schedules'!$A$243:$AW$281,37,FALSE)),"")</f>
        <v>HL B2</v>
      </c>
      <c r="AM35" s="184" t="str">
        <f>IFERROR(IF(VLOOKUP(Thu_W1[[#This Row],[Employee Name]],'Base Schedules'!$A$243:$AW$281,38,FALSE)="","",VLOOKUP(Thu_W1[[#This Row],[Employee Name]],'Base Schedules'!$A$243:$AW$281,38,FALSE)),"")</f>
        <v>HL</v>
      </c>
      <c r="AN35" s="184" t="str">
        <f>IFERROR(IF(VLOOKUP(Thu_W1[[#This Row],[Employee Name]],'Base Schedules'!$A$243:$AW$281,39,FALSE)="","",VLOOKUP(Thu_W1[[#This Row],[Employee Name]],'Base Schedules'!$A$243:$AW$281,39,FALSE)),"")</f>
        <v>HL</v>
      </c>
      <c r="AO35" s="184" t="str">
        <f>IFERROR(IF(VLOOKUP(Thu_W1[[#This Row],[Employee Name]],'Base Schedules'!$A$243:$AW$281,40,FALSE)="","",VLOOKUP(Thu_W1[[#This Row],[Employee Name]],'Base Schedules'!$A$243:$AW$281,40,FALSE)),"")</f>
        <v>HL</v>
      </c>
      <c r="AP35" s="184" t="str">
        <f>IFERROR(IF(VLOOKUP(Thu_W1[[#This Row],[Employee Name]],'Base Schedules'!$A$243:$AW$281,41,FALSE)="","",VLOOKUP(Thu_W1[[#This Row],[Employee Name]],'Base Schedules'!$A$243:$AW$281,41,FALSE)),"")</f>
        <v>HL</v>
      </c>
      <c r="AQ35" s="184" t="str">
        <f>IFERROR(IF(VLOOKUP(Thu_W1[[#This Row],[Employee Name]],'Base Schedules'!$A$243:$AW$281,42,FALSE)="","",VLOOKUP(Thu_W1[[#This Row],[Employee Name]],'Base Schedules'!$A$243:$AW$281,42,FALSE)),"")</f>
        <v/>
      </c>
      <c r="AR35" s="184" t="str">
        <f>IFERROR(IF(VLOOKUP(Thu_W1[[#This Row],[Employee Name]],'Base Schedules'!$A$243:$AW$281,43,FALSE)="","",VLOOKUP(Thu_W1[[#This Row],[Employee Name]],'Base Schedules'!$A$243:$AW$281,43,FALSE)),"")</f>
        <v/>
      </c>
      <c r="AS35" s="184" t="str">
        <f>IFERROR(IF(VLOOKUP(Thu_W1[[#This Row],[Employee Name]],'Base Schedules'!$A$243:$AW$281,44,FALSE)="","",VLOOKUP(Thu_W1[[#This Row],[Employee Name]],'Base Schedules'!$A$243:$AW$281,44,FALSE)),"")</f>
        <v/>
      </c>
      <c r="AT35" s="184" t="str">
        <f>IFERROR(IF(VLOOKUP(Thu_W1[[#This Row],[Employee Name]],'Base Schedules'!$A$243:$AW$281,45,FALSE)="","",VLOOKUP(Thu_W1[[#This Row],[Employee Name]],'Base Schedules'!$A$243:$AW$281,45,FALSE)),"")</f>
        <v/>
      </c>
      <c r="AU35" s="184" t="str">
        <f>IFERROR(IF(VLOOKUP(Thu_W1[[#This Row],[Employee Name]],'Base Schedules'!$A$243:$AW$281,46,FALSE)="","",VLOOKUP(Thu_W1[[#This Row],[Employee Name]],'Base Schedules'!$A$243:$AW$281,46,FALSE)),"")</f>
        <v/>
      </c>
      <c r="AV35" s="184" t="str">
        <f>IFERROR(IF(VLOOKUP(Thu_W1[[#This Row],[Employee Name]],'Base Schedules'!$A$243:$AW$281,47,FALSE)="","",VLOOKUP(Thu_W1[[#This Row],[Employee Name]],'Base Schedules'!$A$243:$AW$281,47,FALSE)),"")</f>
        <v/>
      </c>
      <c r="AW35" s="184" t="str">
        <f>IFERROR(IF(VLOOKUP(Thu_W1[[#This Row],[Employee Name]],'Base Schedules'!$A$243:$AW$281,48,FALSE)="","",VLOOKUP(Thu_W1[[#This Row],[Employee Name]],'Base Schedules'!$A$243:$AW$281,48,FALSE)),"")</f>
        <v/>
      </c>
      <c r="AX35" s="184" t="str">
        <f>IFERROR(IF(VLOOKUP(Thu_W1[[#This Row],[Employee Name]],'Base Schedules'!$A$243:$AW$281,49,FALSE)="","",VLOOKUP(Thu_W1[[#This Row],[Employee Name]],'Base Schedules'!$A$243:$AW$281,49,FALSE)),"")</f>
        <v/>
      </c>
      <c r="AY35" s="164" t="str">
        <f t="shared" si="2"/>
        <v>Mood, Ken</v>
      </c>
    </row>
    <row r="36" spans="1:51" s="44" customFormat="1" ht="12" x14ac:dyDescent="0.2">
      <c r="A36" s="39" t="str">
        <f>IF(B36="","",INDEX(TeamList[],MATCH($B36,TeamList[[Employee Name]:[Employee Name]],0),MATCH("Manager",TeamList[#Headers],0)))</f>
        <v>Olson, Katherine</v>
      </c>
      <c r="B36" s="201" t="s">
        <v>57</v>
      </c>
      <c r="C36" s="257" t="str">
        <f>_xlfn.IFNA(VLOOKUP(Thu_W1[[#This Row],[Employee Name]],'Base Schedules'!A:B,2,FALSE),"")</f>
        <v>Supervisor</v>
      </c>
      <c r="D36" s="274">
        <f>_xlfn.IFNA(VLOOKUP(Thu_W1[[#This Row],[Employee Name]],'Base Schedules'!A:C,3,FALSE),"")</f>
        <v>1300</v>
      </c>
      <c r="E36" s="274">
        <f>_xlfn.IFNA(VLOOKUP(Thu_W1[[#This Row],[Employee Name]],'Base Schedules'!A:D,4,FALSE),"")</f>
        <v>2200</v>
      </c>
      <c r="F36" s="142">
        <f>IF(Thu_W1[[#This Row],[Employee Name]]="","",IF(Thu_W1[[#This Row],[Dept]]="Supervisor",COUNTIFS($J36:$AX36,"*HL*",$J36:$AX36,"&lt;&gt;"&amp;"pHL"),COUNTIFS($J36:$AX36,"*HL*",$J36:$AX36,"&lt;&gt;"&amp;"*pHL*",$J36:$AX36,"&lt;&gt;"&amp;"pB1 HL",$J36:$AX36,"&lt;&gt;"&amp;"pB2 HL")-SUM(COUNTIFS($J36:$AX36,"*HL B1*",$J36:$AX36,"&lt;&gt;"&amp;"pHL B1")*0.5,COUNTIFS($J36:$AX36,"*HL B2*",$J36:$AX36,"&lt;&gt;"&amp;"pHL B2")*0.5,COUNTIFS($J36:$AX36,"*B1 HL*",$J36:$AX36,"&lt;&gt;"&amp;"pB1 HL")*0.5,COUNTIFS($J36:$AX36,"*B2 HL*",$J36:$AX36,"&lt;&gt;"&amp;"pB2 HL")*0.5)))</f>
        <v>0</v>
      </c>
      <c r="G36" s="142">
        <f t="shared" si="3"/>
        <v>4</v>
      </c>
      <c r="H36" s="142">
        <f t="shared" si="1"/>
        <v>0</v>
      </c>
      <c r="I36" s="142">
        <f>IF(Thu_W1[[#This Row],[Employee Name]]="","",IF(Thu_W1[[#This Row],[Dept]]="Supervisor",SUM(COUNTIFS($J36:$AX36,"RTA*",$J36:$AX36,"&lt;&gt;"&amp;"pRTA"),COUNTIFS($J36:$AX36,"*CRTA*",$J36:$AX36,"&lt;&gt;"&amp;"pCRTA")),COUNTIFS($J36:$AX36,"*RNNR*",$J36:$AX36,"&lt;&gt;"&amp;"*pRNNR*",$J36:$AX36,"&lt;&gt;"&amp;"pB1 RNNR",$J36:$AX36,"&lt;&gt;"&amp;"pB2 RNNR")-SUM(COUNTIFS($J36:$AX36,"*RNNR B1*",$J36:$AX36,"&lt;&gt;"&amp;"pRNNR B1")*0.5,COUNTIFS($J36:$AX36,"*RNNR B2*",$J36:$AX36,"&lt;&gt;"&amp;"pRNNR B2")*0.5,COUNTIFS($J36:$AX36,"*B1 RNNR*",$J36:$AX36,"&lt;&gt;"&amp;"pB1 RNNR")*0.5,COUNTIFS($J36:$AX36,"*B2 RNNR*",$J36:$AX36,"&lt;&gt;"&amp;"pB2 RNNR")*0.5)))</f>
        <v>0</v>
      </c>
      <c r="J36" s="184" t="str">
        <f>IFERROR(IF(VLOOKUP(Thu_W1[[#This Row],[Employee Name]],'Base Schedules'!$A$243:$AW$281,9,FALSE)="","",VLOOKUP(Thu_W1[[#This Row],[Employee Name]],'Base Schedules'!$A$243:$AW$281,9,FALSE)),"")</f>
        <v/>
      </c>
      <c r="K36" s="184" t="str">
        <f>IFERROR(IF(VLOOKUP(Thu_W1[[#This Row],[Employee Name]],'Base Schedules'!$A$243:$AW$281,10,FALSE)="","",VLOOKUP(Thu_W1[[#This Row],[Employee Name]],'Base Schedules'!$A$243:$AW$281,10,FALSE)),"")</f>
        <v/>
      </c>
      <c r="L36" s="184" t="str">
        <f>IFERROR(IF(VLOOKUP(Thu_W1[[#This Row],[Employee Name]],'Base Schedules'!$A$243:$AW$281,11,FALSE)="","",VLOOKUP(Thu_W1[[#This Row],[Employee Name]],'Base Schedules'!$A$243:$AW$281,11,FALSE)),"")</f>
        <v/>
      </c>
      <c r="M36" s="184" t="str">
        <f>IFERROR(IF(VLOOKUP(Thu_W1[[#This Row],[Employee Name]],'Base Schedules'!$A$243:$AW$281,12,FALSE)="","",VLOOKUP(Thu_W1[[#This Row],[Employee Name]],'Base Schedules'!$A$243:$AW$281,12,FALSE)),"")</f>
        <v/>
      </c>
      <c r="N36" s="184" t="str">
        <f>IFERROR(IF(VLOOKUP(Thu_W1[[#This Row],[Employee Name]],'Base Schedules'!$A$243:$AW$281,13,FALSE)="","",VLOOKUP(Thu_W1[[#This Row],[Employee Name]],'Base Schedules'!$A$243:$AW$281,13,FALSE)),"")</f>
        <v/>
      </c>
      <c r="O36" s="184" t="str">
        <f>IFERROR(IF(VLOOKUP(Thu_W1[[#This Row],[Employee Name]],'Base Schedules'!$A$243:$AW$281,14,FALSE)="","",VLOOKUP(Thu_W1[[#This Row],[Employee Name]],'Base Schedules'!$A$243:$AW$281,14,FALSE)),"")</f>
        <v/>
      </c>
      <c r="P36" s="184" t="str">
        <f>IFERROR(IF(VLOOKUP(Thu_W1[[#This Row],[Employee Name]],'Base Schedules'!$A$243:$AW$281,15,FALSE)="","",VLOOKUP(Thu_W1[[#This Row],[Employee Name]],'Base Schedules'!$A$243:$AW$281,15,FALSE)),"")</f>
        <v/>
      </c>
      <c r="Q36" s="184" t="str">
        <f>IFERROR(IF(VLOOKUP(Thu_W1[[#This Row],[Employee Name]],'Base Schedules'!$A$243:$AW$281,16,FALSE)="","",VLOOKUP(Thu_W1[[#This Row],[Employee Name]],'Base Schedules'!$A$243:$AW$281,16,FALSE)),"")</f>
        <v/>
      </c>
      <c r="R36" s="184" t="str">
        <f>IFERROR(IF(VLOOKUP(Thu_W1[[#This Row],[Employee Name]],'Base Schedules'!$A$243:$AW$281,17,FALSE)="","",VLOOKUP(Thu_W1[[#This Row],[Employee Name]],'Base Schedules'!$A$243:$AW$281,17,FALSE)),"")</f>
        <v/>
      </c>
      <c r="S36" s="184" t="str">
        <f>IFERROR(IF(VLOOKUP(Thu_W1[[#This Row],[Employee Name]],'Base Schedules'!$A$243:$AW$281,18,FALSE)="","",VLOOKUP(Thu_W1[[#This Row],[Employee Name]],'Base Schedules'!$A$243:$AW$281,18,FALSE)),"")</f>
        <v/>
      </c>
      <c r="T36" s="184" t="str">
        <f>IFERROR(IF(VLOOKUP(Thu_W1[[#This Row],[Employee Name]],'Base Schedules'!$A$243:$AW$281,19,FALSE)="","",VLOOKUP(Thu_W1[[#This Row],[Employee Name]],'Base Schedules'!$A$243:$AW$281,19,FALSE)),"")</f>
        <v/>
      </c>
      <c r="U36" s="184" t="str">
        <f>IFERROR(IF(VLOOKUP(Thu_W1[[#This Row],[Employee Name]],'Base Schedules'!$A$243:$AW$281,20,FALSE)="","",VLOOKUP(Thu_W1[[#This Row],[Employee Name]],'Base Schedules'!$A$243:$AW$281,20,FALSE)),"")</f>
        <v/>
      </c>
      <c r="V36" s="184" t="str">
        <f>IFERROR(IF(VLOOKUP(Thu_W1[[#This Row],[Employee Name]],'Base Schedules'!$A$243:$AW$281,21,FALSE)="","",VLOOKUP(Thu_W1[[#This Row],[Employee Name]],'Base Schedules'!$A$243:$AW$281,21,FALSE)),"")</f>
        <v/>
      </c>
      <c r="W36" s="184" t="str">
        <f>IFERROR(IF(VLOOKUP(Thu_W1[[#This Row],[Employee Name]],'Base Schedules'!$A$243:$AW$281,22,FALSE)="","",VLOOKUP(Thu_W1[[#This Row],[Employee Name]],'Base Schedules'!$A$243:$AW$281,22,FALSE)),"")</f>
        <v/>
      </c>
      <c r="X36" s="184" t="str">
        <f>IFERROR(IF(VLOOKUP(Thu_W1[[#This Row],[Employee Name]],'Base Schedules'!$A$243:$AW$281,23,FALSE)="","",VLOOKUP(Thu_W1[[#This Row],[Employee Name]],'Base Schedules'!$A$243:$AW$281,23,FALSE)),"")</f>
        <v/>
      </c>
      <c r="Y36" s="184" t="str">
        <f>IFERROR(IF(VLOOKUP(Thu_W1[[#This Row],[Employee Name]],'Base Schedules'!$A$243:$AW$281,24,FALSE)="","",VLOOKUP(Thu_W1[[#This Row],[Employee Name]],'Base Schedules'!$A$243:$AW$281,24,FALSE)),"")</f>
        <v/>
      </c>
      <c r="Z36" s="184" t="str">
        <f>IFERROR(IF(VLOOKUP(Thu_W1[[#This Row],[Employee Name]],'Base Schedules'!$A$243:$AW$281,25,FALSE)="","",VLOOKUP(Thu_W1[[#This Row],[Employee Name]],'Base Schedules'!$A$243:$AW$281,25,FALSE)),"")</f>
        <v>-</v>
      </c>
      <c r="AA36" s="184" t="str">
        <f>IFERROR(IF(VLOOKUP(Thu_W1[[#This Row],[Employee Name]],'Base Schedules'!$A$243:$AW$281,26,FALSE)="","",VLOOKUP(Thu_W1[[#This Row],[Employee Name]],'Base Schedules'!$A$243:$AW$281,26,FALSE)),"")</f>
        <v>-</v>
      </c>
      <c r="AB36" s="184" t="str">
        <f>IFERROR(IF(VLOOKUP(Thu_W1[[#This Row],[Employee Name]],'Base Schedules'!$A$243:$AW$281,27,FALSE)="","",VLOOKUP(Thu_W1[[#This Row],[Employee Name]],'Base Schedules'!$A$243:$AW$281,27,FALSE)),"")</f>
        <v>-</v>
      </c>
      <c r="AC36" s="184" t="str">
        <f>IFERROR(IF(VLOOKUP(Thu_W1[[#This Row],[Employee Name]],'Base Schedules'!$A$243:$AW$281,28,FALSE)="","",VLOOKUP(Thu_W1[[#This Row],[Employee Name]],'Base Schedules'!$A$243:$AW$281,28,FALSE)),"")</f>
        <v>-</v>
      </c>
      <c r="AD36" s="184" t="str">
        <f>IFERROR(IF(VLOOKUP(Thu_W1[[#This Row],[Employee Name]],'Base Schedules'!$A$243:$AW$281,29,FALSE)="","",VLOOKUP(Thu_W1[[#This Row],[Employee Name]],'Base Schedules'!$A$243:$AW$281,29,FALSE)),"")</f>
        <v>Coaching</v>
      </c>
      <c r="AE36" s="184" t="str">
        <f>IFERROR(IF(VLOOKUP(Thu_W1[[#This Row],[Employee Name]],'Base Schedules'!$A$243:$AW$281,30,FALSE)="","",VLOOKUP(Thu_W1[[#This Row],[Employee Name]],'Base Schedules'!$A$243:$AW$281,30,FALSE)),"")</f>
        <v>Coaching</v>
      </c>
      <c r="AF36" s="184" t="str">
        <f>IFERROR(IF(VLOOKUP(Thu_W1[[#This Row],[Employee Name]],'Base Schedules'!$A$243:$AW$281,31,FALSE)="","",VLOOKUP(Thu_W1[[#This Row],[Employee Name]],'Base Schedules'!$A$243:$AW$281,31,FALSE)),"")</f>
        <v>Coaching</v>
      </c>
      <c r="AG36" s="184" t="str">
        <f>IFERROR(IF(VLOOKUP(Thu_W1[[#This Row],[Employee Name]],'Base Schedules'!$A$243:$AW$281,32,FALSE)="","",VLOOKUP(Thu_W1[[#This Row],[Employee Name]],'Base Schedules'!$A$243:$AW$281,32,FALSE)),"")</f>
        <v>Coaching</v>
      </c>
      <c r="AH36" s="184" t="str">
        <f>IFERROR(IF(VLOOKUP(Thu_W1[[#This Row],[Employee Name]],'Base Schedules'!$A$243:$AW$281,33,FALSE)="","",VLOOKUP(Thu_W1[[#This Row],[Employee Name]],'Base Schedules'!$A$243:$AW$281,33,FALSE)),"")</f>
        <v>-</v>
      </c>
      <c r="AI36" s="184" t="str">
        <f>IFERROR(IF(VLOOKUP(Thu_W1[[#This Row],[Employee Name]],'Base Schedules'!$A$243:$AW$281,34,FALSE)="","",VLOOKUP(Thu_W1[[#This Row],[Employee Name]],'Base Schedules'!$A$243:$AW$281,34,FALSE)),"")</f>
        <v>-</v>
      </c>
      <c r="AJ36" s="184" t="str">
        <f>IFERROR(IF(VLOOKUP(Thu_W1[[#This Row],[Employee Name]],'Base Schedules'!$A$243:$AW$281,35,FALSE)="","",VLOOKUP(Thu_W1[[#This Row],[Employee Name]],'Base Schedules'!$A$243:$AW$281,35,FALSE)),"")</f>
        <v>-</v>
      </c>
      <c r="AK36" s="184" t="str">
        <f>IFERROR(IF(VLOOKUP(Thu_W1[[#This Row],[Employee Name]],'Base Schedules'!$A$243:$AW$281,36,FALSE)="","",VLOOKUP(Thu_W1[[#This Row],[Employee Name]],'Base Schedules'!$A$243:$AW$281,36,FALSE)),"")</f>
        <v>TM PREP</v>
      </c>
      <c r="AL36" s="184" t="str">
        <f>IFERROR(IF(VLOOKUP(Thu_W1[[#This Row],[Employee Name]],'Base Schedules'!$A$243:$AW$281,37,FALSE)="","",VLOOKUP(Thu_W1[[#This Row],[Employee Name]],'Base Schedules'!$A$243:$AW$281,37,FALSE)),"")</f>
        <v>Cultice TM</v>
      </c>
      <c r="AM36" s="184" t="str">
        <f>IFERROR(IF(VLOOKUP(Thu_W1[[#This Row],[Employee Name]],'Base Schedules'!$A$243:$AW$281,38,FALSE)="","",VLOOKUP(Thu_W1[[#This Row],[Employee Name]],'Base Schedules'!$A$243:$AW$281,38,FALSE)),"")</f>
        <v>Cultice TM</v>
      </c>
      <c r="AN36" s="184" t="str">
        <f>IFERROR(IF(VLOOKUP(Thu_W1[[#This Row],[Employee Name]],'Base Schedules'!$A$243:$AW$281,39,FALSE)="","",VLOOKUP(Thu_W1[[#This Row],[Employee Name]],'Base Schedules'!$A$243:$AW$281,39,FALSE)),"")</f>
        <v>-</v>
      </c>
      <c r="AO36" s="184" t="str">
        <f>IFERROR(IF(VLOOKUP(Thu_W1[[#This Row],[Employee Name]],'Base Schedules'!$A$243:$AW$281,40,FALSE)="","",VLOOKUP(Thu_W1[[#This Row],[Employee Name]],'Base Schedules'!$A$243:$AW$281,40,FALSE)),"")</f>
        <v>-</v>
      </c>
      <c r="AP36" s="184" t="str">
        <f>IFERROR(IF(VLOOKUP(Thu_W1[[#This Row],[Employee Name]],'Base Schedules'!$A$243:$AW$281,41,FALSE)="","",VLOOKUP(Thu_W1[[#This Row],[Employee Name]],'Base Schedules'!$A$243:$AW$281,41,FALSE)),"")</f>
        <v>-</v>
      </c>
      <c r="AQ36" s="184" t="str">
        <f>IFERROR(IF(VLOOKUP(Thu_W1[[#This Row],[Employee Name]],'Base Schedules'!$A$243:$AW$281,42,FALSE)="","",VLOOKUP(Thu_W1[[#This Row],[Employee Name]],'Base Schedules'!$A$243:$AW$281,42,FALSE)),"")</f>
        <v>-</v>
      </c>
      <c r="AR36" s="184" t="str">
        <f>IFERROR(IF(VLOOKUP(Thu_W1[[#This Row],[Employee Name]],'Base Schedules'!$A$243:$AW$281,43,FALSE)="","",VLOOKUP(Thu_W1[[#This Row],[Employee Name]],'Base Schedules'!$A$243:$AW$281,43,FALSE)),"")</f>
        <v/>
      </c>
      <c r="AS36" s="184" t="str">
        <f>IFERROR(IF(VLOOKUP(Thu_W1[[#This Row],[Employee Name]],'Base Schedules'!$A$243:$AW$281,44,FALSE)="","",VLOOKUP(Thu_W1[[#This Row],[Employee Name]],'Base Schedules'!$A$243:$AW$281,44,FALSE)),"")</f>
        <v/>
      </c>
      <c r="AT36" s="184" t="str">
        <f>IFERROR(IF(VLOOKUP(Thu_W1[[#This Row],[Employee Name]],'Base Schedules'!$A$243:$AW$281,45,FALSE)="","",VLOOKUP(Thu_W1[[#This Row],[Employee Name]],'Base Schedules'!$A$243:$AW$281,45,FALSE)),"")</f>
        <v/>
      </c>
      <c r="AU36" s="184" t="str">
        <f>IFERROR(IF(VLOOKUP(Thu_W1[[#This Row],[Employee Name]],'Base Schedules'!$A$243:$AW$281,46,FALSE)="","",VLOOKUP(Thu_W1[[#This Row],[Employee Name]],'Base Schedules'!$A$243:$AW$281,46,FALSE)),"")</f>
        <v/>
      </c>
      <c r="AV36" s="184" t="str">
        <f>IFERROR(IF(VLOOKUP(Thu_W1[[#This Row],[Employee Name]],'Base Schedules'!$A$243:$AW$281,47,FALSE)="","",VLOOKUP(Thu_W1[[#This Row],[Employee Name]],'Base Schedules'!$A$243:$AW$281,47,FALSE)),"")</f>
        <v/>
      </c>
      <c r="AW36" s="184" t="str">
        <f>IFERROR(IF(VLOOKUP(Thu_W1[[#This Row],[Employee Name]],'Base Schedules'!$A$243:$AW$281,48,FALSE)="","",VLOOKUP(Thu_W1[[#This Row],[Employee Name]],'Base Schedules'!$A$243:$AW$281,48,FALSE)),"")</f>
        <v/>
      </c>
      <c r="AX36" s="184" t="str">
        <f>IFERROR(IF(VLOOKUP(Thu_W1[[#This Row],[Employee Name]],'Base Schedules'!$A$243:$AW$281,49,FALSE)="","",VLOOKUP(Thu_W1[[#This Row],[Employee Name]],'Base Schedules'!$A$243:$AW$281,49,FALSE)),"")</f>
        <v/>
      </c>
      <c r="AY36" s="164" t="str">
        <f t="shared" si="2"/>
        <v>Cultice, Diana</v>
      </c>
    </row>
    <row r="37" spans="1:51" s="44" customFormat="1" ht="12" x14ac:dyDescent="0.2">
      <c r="A37" s="39" t="str">
        <f>IF(B37="","",INDEX(TeamList[],MATCH($B37,TeamList[[Employee Name]:[Employee Name]],0),MATCH("Manager",TeamList[#Headers],0)))</f>
        <v>Paulson, Matthew</v>
      </c>
      <c r="B37" s="201" t="s">
        <v>59</v>
      </c>
      <c r="C37" s="257" t="str">
        <f>_xlfn.IFNA(VLOOKUP(Thu_W1[[#This Row],[Employee Name]],'Base Schedules'!A:B,2,FALSE),"")</f>
        <v>Supervisor</v>
      </c>
      <c r="D37" s="274">
        <f>_xlfn.IFNA(VLOOKUP(Thu_W1[[#This Row],[Employee Name]],'Base Schedules'!A:C,3,FALSE),"")</f>
        <v>1300</v>
      </c>
      <c r="E37" s="274">
        <f>_xlfn.IFNA(VLOOKUP(Thu_W1[[#This Row],[Employee Name]],'Base Schedules'!A:D,4,FALSE),"")</f>
        <v>2200</v>
      </c>
      <c r="F37" s="142">
        <f>IF(Thu_W1[[#This Row],[Employee Name]]="","",IF(Thu_W1[[#This Row],[Dept]]="Supervisor",COUNTIFS($J37:$AX37,"*HL*",$J37:$AX37,"&lt;&gt;"&amp;"pHL"),COUNTIFS($J37:$AX37,"*HL*",$J37:$AX37,"&lt;&gt;"&amp;"*pHL*",$J37:$AX37,"&lt;&gt;"&amp;"pB1 HL",$J37:$AX37,"&lt;&gt;"&amp;"pB2 HL")-SUM(COUNTIFS($J37:$AX37,"*HL B1*",$J37:$AX37,"&lt;&gt;"&amp;"pHL B1")*0.5,COUNTIFS($J37:$AX37,"*HL B2*",$J37:$AX37,"&lt;&gt;"&amp;"pHL B2")*0.5,COUNTIFS($J37:$AX37,"*B1 HL*",$J37:$AX37,"&lt;&gt;"&amp;"pB1 HL")*0.5,COUNTIFS($J37:$AX37,"*B2 HL*",$J37:$AX37,"&lt;&gt;"&amp;"pB2 HL")*0.5)))</f>
        <v>0</v>
      </c>
      <c r="G37" s="142">
        <f t="shared" si="3"/>
        <v>0</v>
      </c>
      <c r="H37" s="142">
        <f t="shared" si="1"/>
        <v>0</v>
      </c>
      <c r="I37" s="142">
        <f>IF(Thu_W1[[#This Row],[Employee Name]]="","",IF(Thu_W1[[#This Row],[Dept]]="Supervisor",SUM(COUNTIFS($J37:$AX37,"RTA*",$J37:$AX37,"&lt;&gt;"&amp;"pRTA"),COUNTIFS($J37:$AX37,"*CRTA*",$J37:$AX37,"&lt;&gt;"&amp;"pCRTA")),COUNTIFS($J37:$AX37,"*RNNR*",$J37:$AX37,"&lt;&gt;"&amp;"*pRNNR*",$J37:$AX37,"&lt;&gt;"&amp;"pB1 RNNR",$J37:$AX37,"&lt;&gt;"&amp;"pB2 RNNR")-SUM(COUNTIFS($J37:$AX37,"*RNNR B1*",$J37:$AX37,"&lt;&gt;"&amp;"pRNNR B1")*0.5,COUNTIFS($J37:$AX37,"*RNNR B2*",$J37:$AX37,"&lt;&gt;"&amp;"pRNNR B2")*0.5,COUNTIFS($J37:$AX37,"*B1 RNNR*",$J37:$AX37,"&lt;&gt;"&amp;"pB1 RNNR")*0.5,COUNTIFS($J37:$AX37,"*B2 RNNR*",$J37:$AX37,"&lt;&gt;"&amp;"pB2 RNNR")*0.5)))</f>
        <v>0</v>
      </c>
      <c r="J37" s="184" t="str">
        <f>IFERROR(IF(VLOOKUP(Thu_W1[[#This Row],[Employee Name]],'Base Schedules'!$A$243:$AW$281,9,FALSE)="","",VLOOKUP(Thu_W1[[#This Row],[Employee Name]],'Base Schedules'!$A$243:$AW$281,9,FALSE)),"")</f>
        <v/>
      </c>
      <c r="K37" s="184" t="str">
        <f>IFERROR(IF(VLOOKUP(Thu_W1[[#This Row],[Employee Name]],'Base Schedules'!$A$243:$AW$281,10,FALSE)="","",VLOOKUP(Thu_W1[[#This Row],[Employee Name]],'Base Schedules'!$A$243:$AW$281,10,FALSE)),"")</f>
        <v/>
      </c>
      <c r="L37" s="184" t="str">
        <f>IFERROR(IF(VLOOKUP(Thu_W1[[#This Row],[Employee Name]],'Base Schedules'!$A$243:$AW$281,11,FALSE)="","",VLOOKUP(Thu_W1[[#This Row],[Employee Name]],'Base Schedules'!$A$243:$AW$281,11,FALSE)),"")</f>
        <v/>
      </c>
      <c r="M37" s="184" t="str">
        <f>IFERROR(IF(VLOOKUP(Thu_W1[[#This Row],[Employee Name]],'Base Schedules'!$A$243:$AW$281,12,FALSE)="","",VLOOKUP(Thu_W1[[#This Row],[Employee Name]],'Base Schedules'!$A$243:$AW$281,12,FALSE)),"")</f>
        <v/>
      </c>
      <c r="N37" s="184" t="str">
        <f>IFERROR(IF(VLOOKUP(Thu_W1[[#This Row],[Employee Name]],'Base Schedules'!$A$243:$AW$281,13,FALSE)="","",VLOOKUP(Thu_W1[[#This Row],[Employee Name]],'Base Schedules'!$A$243:$AW$281,13,FALSE)),"")</f>
        <v/>
      </c>
      <c r="O37" s="184" t="str">
        <f>IFERROR(IF(VLOOKUP(Thu_W1[[#This Row],[Employee Name]],'Base Schedules'!$A$243:$AW$281,14,FALSE)="","",VLOOKUP(Thu_W1[[#This Row],[Employee Name]],'Base Schedules'!$A$243:$AW$281,14,FALSE)),"")</f>
        <v/>
      </c>
      <c r="P37" s="184" t="str">
        <f>IFERROR(IF(VLOOKUP(Thu_W1[[#This Row],[Employee Name]],'Base Schedules'!$A$243:$AW$281,15,FALSE)="","",VLOOKUP(Thu_W1[[#This Row],[Employee Name]],'Base Schedules'!$A$243:$AW$281,15,FALSE)),"")</f>
        <v/>
      </c>
      <c r="Q37" s="184" t="str">
        <f>IFERROR(IF(VLOOKUP(Thu_W1[[#This Row],[Employee Name]],'Base Schedules'!$A$243:$AW$281,16,FALSE)="","",VLOOKUP(Thu_W1[[#This Row],[Employee Name]],'Base Schedules'!$A$243:$AW$281,16,FALSE)),"")</f>
        <v/>
      </c>
      <c r="R37" s="184" t="str">
        <f>IFERROR(IF(VLOOKUP(Thu_W1[[#This Row],[Employee Name]],'Base Schedules'!$A$243:$AW$281,17,FALSE)="","",VLOOKUP(Thu_W1[[#This Row],[Employee Name]],'Base Schedules'!$A$243:$AW$281,17,FALSE)),"")</f>
        <v/>
      </c>
      <c r="S37" s="184" t="str">
        <f>IFERROR(IF(VLOOKUP(Thu_W1[[#This Row],[Employee Name]],'Base Schedules'!$A$243:$AW$281,18,FALSE)="","",VLOOKUP(Thu_W1[[#This Row],[Employee Name]],'Base Schedules'!$A$243:$AW$281,18,FALSE)),"")</f>
        <v/>
      </c>
      <c r="T37" s="184" t="str">
        <f>IFERROR(IF(VLOOKUP(Thu_W1[[#This Row],[Employee Name]],'Base Schedules'!$A$243:$AW$281,19,FALSE)="","",VLOOKUP(Thu_W1[[#This Row],[Employee Name]],'Base Schedules'!$A$243:$AW$281,19,FALSE)),"")</f>
        <v/>
      </c>
      <c r="U37" s="184" t="str">
        <f>IFERROR(IF(VLOOKUP(Thu_W1[[#This Row],[Employee Name]],'Base Schedules'!$A$243:$AW$281,20,FALSE)="","",VLOOKUP(Thu_W1[[#This Row],[Employee Name]],'Base Schedules'!$A$243:$AW$281,20,FALSE)),"")</f>
        <v/>
      </c>
      <c r="V37" s="184" t="str">
        <f>IFERROR(IF(VLOOKUP(Thu_W1[[#This Row],[Employee Name]],'Base Schedules'!$A$243:$AW$281,21,FALSE)="","",VLOOKUP(Thu_W1[[#This Row],[Employee Name]],'Base Schedules'!$A$243:$AW$281,21,FALSE)),"")</f>
        <v/>
      </c>
      <c r="W37" s="184" t="str">
        <f>IFERROR(IF(VLOOKUP(Thu_W1[[#This Row],[Employee Name]],'Base Schedules'!$A$243:$AW$281,22,FALSE)="","",VLOOKUP(Thu_W1[[#This Row],[Employee Name]],'Base Schedules'!$A$243:$AW$281,22,FALSE)),"")</f>
        <v/>
      </c>
      <c r="X37" s="184" t="str">
        <f>IFERROR(IF(VLOOKUP(Thu_W1[[#This Row],[Employee Name]],'Base Schedules'!$A$243:$AW$281,23,FALSE)="","",VLOOKUP(Thu_W1[[#This Row],[Employee Name]],'Base Schedules'!$A$243:$AW$281,23,FALSE)),"")</f>
        <v/>
      </c>
      <c r="Y37" s="184" t="str">
        <f>IFERROR(IF(VLOOKUP(Thu_W1[[#This Row],[Employee Name]],'Base Schedules'!$A$243:$AW$281,24,FALSE)="","",VLOOKUP(Thu_W1[[#This Row],[Employee Name]],'Base Schedules'!$A$243:$AW$281,24,FALSE)),"")</f>
        <v/>
      </c>
      <c r="Z37" s="184" t="str">
        <f>IFERROR(IF(VLOOKUP(Thu_W1[[#This Row],[Employee Name]],'Base Schedules'!$A$243:$AW$281,25,FALSE)="","",VLOOKUP(Thu_W1[[#This Row],[Employee Name]],'Base Schedules'!$A$243:$AW$281,25,FALSE)),"")</f>
        <v>-</v>
      </c>
      <c r="AA37" s="184" t="str">
        <f>IFERROR(IF(VLOOKUP(Thu_W1[[#This Row],[Employee Name]],'Base Schedules'!$A$243:$AW$281,26,FALSE)="","",VLOOKUP(Thu_W1[[#This Row],[Employee Name]],'Base Schedules'!$A$243:$AW$281,26,FALSE)),"")</f>
        <v>-</v>
      </c>
      <c r="AB37" s="184" t="str">
        <f>IFERROR(IF(VLOOKUP(Thu_W1[[#This Row],[Employee Name]],'Base Schedules'!$A$243:$AW$281,27,FALSE)="","",VLOOKUP(Thu_W1[[#This Row],[Employee Name]],'Base Schedules'!$A$243:$AW$281,27,FALSE)),"")</f>
        <v>-</v>
      </c>
      <c r="AC37" s="184" t="str">
        <f>IFERROR(IF(VLOOKUP(Thu_W1[[#This Row],[Employee Name]],'Base Schedules'!$A$243:$AW$281,28,FALSE)="","",VLOOKUP(Thu_W1[[#This Row],[Employee Name]],'Base Schedules'!$A$243:$AW$281,28,FALSE)),"")</f>
        <v>-</v>
      </c>
      <c r="AD37" s="184" t="str">
        <f>IFERROR(IF(VLOOKUP(Thu_W1[[#This Row],[Employee Name]],'Base Schedules'!$A$243:$AW$281,29,FALSE)="","",VLOOKUP(Thu_W1[[#This Row],[Employee Name]],'Base Schedules'!$A$243:$AW$281,29,FALSE)),"")</f>
        <v>Interview</v>
      </c>
      <c r="AE37" s="184" t="str">
        <f>IFERROR(IF(VLOOKUP(Thu_W1[[#This Row],[Employee Name]],'Base Schedules'!$A$243:$AW$281,30,FALSE)="","",VLOOKUP(Thu_W1[[#This Row],[Employee Name]],'Base Schedules'!$A$243:$AW$281,30,FALSE)),"")</f>
        <v>Interview</v>
      </c>
      <c r="AF37" s="184" t="str">
        <f>IFERROR(IF(VLOOKUP(Thu_W1[[#This Row],[Employee Name]],'Base Schedules'!$A$243:$AW$281,31,FALSE)="","",VLOOKUP(Thu_W1[[#This Row],[Employee Name]],'Base Schedules'!$A$243:$AW$281,31,FALSE)),"")</f>
        <v>-</v>
      </c>
      <c r="AG37" s="184" t="str">
        <f>IFERROR(IF(VLOOKUP(Thu_W1[[#This Row],[Employee Name]],'Base Schedules'!$A$243:$AW$281,32,FALSE)="","",VLOOKUP(Thu_W1[[#This Row],[Employee Name]],'Base Schedules'!$A$243:$AW$281,32,FALSE)),"")</f>
        <v>-</v>
      </c>
      <c r="AH37" s="184" t="str">
        <f>IFERROR(IF(VLOOKUP(Thu_W1[[#This Row],[Employee Name]],'Base Schedules'!$A$243:$AW$281,33,FALSE)="","",VLOOKUP(Thu_W1[[#This Row],[Employee Name]],'Base Schedules'!$A$243:$AW$281,33,FALSE)),"")</f>
        <v>-</v>
      </c>
      <c r="AI37" s="184" t="str">
        <f>IFERROR(IF(VLOOKUP(Thu_W1[[#This Row],[Employee Name]],'Base Schedules'!$A$243:$AW$281,34,FALSE)="","",VLOOKUP(Thu_W1[[#This Row],[Employee Name]],'Base Schedules'!$A$243:$AW$281,34,FALSE)),"")</f>
        <v>-</v>
      </c>
      <c r="AJ37" s="184" t="str">
        <f>IFERROR(IF(VLOOKUP(Thu_W1[[#This Row],[Employee Name]],'Base Schedules'!$A$243:$AW$281,35,FALSE)="","",VLOOKUP(Thu_W1[[#This Row],[Employee Name]],'Base Schedules'!$A$243:$AW$281,35,FALSE)),"")</f>
        <v>-</v>
      </c>
      <c r="AK37" s="184" t="str">
        <f>IFERROR(IF(VLOOKUP(Thu_W1[[#This Row],[Employee Name]],'Base Schedules'!$A$243:$AW$281,36,FALSE)="","",VLOOKUP(Thu_W1[[#This Row],[Employee Name]],'Base Schedules'!$A$243:$AW$281,36,FALSE)),"")</f>
        <v>-</v>
      </c>
      <c r="AL37" s="184" t="str">
        <f>IFERROR(IF(VLOOKUP(Thu_W1[[#This Row],[Employee Name]],'Base Schedules'!$A$243:$AW$281,37,FALSE)="","",VLOOKUP(Thu_W1[[#This Row],[Employee Name]],'Base Schedules'!$A$243:$AW$281,37,FALSE)),"")</f>
        <v>-</v>
      </c>
      <c r="AM37" s="184" t="str">
        <f>IFERROR(IF(VLOOKUP(Thu_W1[[#This Row],[Employee Name]],'Base Schedules'!$A$243:$AW$281,38,FALSE)="","",VLOOKUP(Thu_W1[[#This Row],[Employee Name]],'Base Schedules'!$A$243:$AW$281,38,FALSE)),"")</f>
        <v>-</v>
      </c>
      <c r="AN37" s="184" t="str">
        <f>IFERROR(IF(VLOOKUP(Thu_W1[[#This Row],[Employee Name]],'Base Schedules'!$A$243:$AW$281,39,FALSE)="","",VLOOKUP(Thu_W1[[#This Row],[Employee Name]],'Base Schedules'!$A$243:$AW$281,39,FALSE)),"")</f>
        <v>-</v>
      </c>
      <c r="AO37" s="184" t="str">
        <f>IFERROR(IF(VLOOKUP(Thu_W1[[#This Row],[Employee Name]],'Base Schedules'!$A$243:$AW$281,40,FALSE)="","",VLOOKUP(Thu_W1[[#This Row],[Employee Name]],'Base Schedules'!$A$243:$AW$281,40,FALSE)),"")</f>
        <v>-</v>
      </c>
      <c r="AP37" s="184" t="str">
        <f>IFERROR(IF(VLOOKUP(Thu_W1[[#This Row],[Employee Name]],'Base Schedules'!$A$243:$AW$281,41,FALSE)="","",VLOOKUP(Thu_W1[[#This Row],[Employee Name]],'Base Schedules'!$A$243:$AW$281,41,FALSE)),"")</f>
        <v>-</v>
      </c>
      <c r="AQ37" s="184" t="str">
        <f>IFERROR(IF(VLOOKUP(Thu_W1[[#This Row],[Employee Name]],'Base Schedules'!$A$243:$AW$281,42,FALSE)="","",VLOOKUP(Thu_W1[[#This Row],[Employee Name]],'Base Schedules'!$A$243:$AW$281,42,FALSE)),"")</f>
        <v>-</v>
      </c>
      <c r="AR37" s="184" t="str">
        <f>IFERROR(IF(VLOOKUP(Thu_W1[[#This Row],[Employee Name]],'Base Schedules'!$A$243:$AW$281,43,FALSE)="","",VLOOKUP(Thu_W1[[#This Row],[Employee Name]],'Base Schedules'!$A$243:$AW$281,43,FALSE)),"")</f>
        <v/>
      </c>
      <c r="AS37" s="184" t="str">
        <f>IFERROR(IF(VLOOKUP(Thu_W1[[#This Row],[Employee Name]],'Base Schedules'!$A$243:$AW$281,44,FALSE)="","",VLOOKUP(Thu_W1[[#This Row],[Employee Name]],'Base Schedules'!$A$243:$AW$281,44,FALSE)),"")</f>
        <v/>
      </c>
      <c r="AT37" s="184" t="str">
        <f>IFERROR(IF(VLOOKUP(Thu_W1[[#This Row],[Employee Name]],'Base Schedules'!$A$243:$AW$281,45,FALSE)="","",VLOOKUP(Thu_W1[[#This Row],[Employee Name]],'Base Schedules'!$A$243:$AW$281,45,FALSE)),"")</f>
        <v/>
      </c>
      <c r="AU37" s="184" t="str">
        <f>IFERROR(IF(VLOOKUP(Thu_W1[[#This Row],[Employee Name]],'Base Schedules'!$A$243:$AW$281,46,FALSE)="","",VLOOKUP(Thu_W1[[#This Row],[Employee Name]],'Base Schedules'!$A$243:$AW$281,46,FALSE)),"")</f>
        <v/>
      </c>
      <c r="AV37" s="184" t="str">
        <f>IFERROR(IF(VLOOKUP(Thu_W1[[#This Row],[Employee Name]],'Base Schedules'!$A$243:$AW$281,47,FALSE)="","",VLOOKUP(Thu_W1[[#This Row],[Employee Name]],'Base Schedules'!$A$243:$AW$281,47,FALSE)),"")</f>
        <v/>
      </c>
      <c r="AW37" s="184" t="str">
        <f>IFERROR(IF(VLOOKUP(Thu_W1[[#This Row],[Employee Name]],'Base Schedules'!$A$243:$AW$281,48,FALSE)="","",VLOOKUP(Thu_W1[[#This Row],[Employee Name]],'Base Schedules'!$A$243:$AW$281,48,FALSE)),"")</f>
        <v/>
      </c>
      <c r="AX37" s="184" t="str">
        <f>IFERROR(IF(VLOOKUP(Thu_W1[[#This Row],[Employee Name]],'Base Schedules'!$A$243:$AW$281,49,FALSE)="","",VLOOKUP(Thu_W1[[#This Row],[Employee Name]],'Base Schedules'!$A$243:$AW$281,49,FALSE)),"")</f>
        <v/>
      </c>
      <c r="AY37" s="166" t="str">
        <f t="shared" si="2"/>
        <v>Banuelos, Lincoln</v>
      </c>
    </row>
    <row r="38" spans="1:51" s="44" customFormat="1" ht="12" x14ac:dyDescent="0.2">
      <c r="A38" s="39" t="e">
        <f>IF(B38="","",INDEX(TeamList[],MATCH($B38,TeamList[[Employee Name]:[Employee Name]],0),MATCH("Manager",TeamList[#Headers],0)))</f>
        <v>#N/A</v>
      </c>
      <c r="B38" s="201" t="s">
        <v>586</v>
      </c>
      <c r="C38" s="257" t="str">
        <f>_xlfn.IFNA(VLOOKUP(Thu_W1[[#This Row],[Employee Name]],'Base Schedules'!A:B,2,FALSE),"")</f>
        <v>Lead</v>
      </c>
      <c r="D38" s="274">
        <f>_xlfn.IFNA(VLOOKUP(Thu_W1[[#This Row],[Employee Name]],'Base Schedules'!A:C,3,FALSE),"")</f>
        <v>1330</v>
      </c>
      <c r="E38" s="274">
        <f>_xlfn.IFNA(VLOOKUP(Thu_W1[[#This Row],[Employee Name]],'Base Schedules'!A:D,4,FALSE),"")</f>
        <v>2200</v>
      </c>
      <c r="F38" s="142">
        <f>IF(Thu_W1[[#This Row],[Employee Name]]="","",IF(Thu_W1[[#This Row],[Dept]]="Supervisor",COUNTIFS($J38:$AX38,"*HL*",$J38:$AX38,"&lt;&gt;"&amp;"pHL"),COUNTIFS($J38:$AX38,"*HL*",$J38:$AX38,"&lt;&gt;"&amp;"*pHL*",$J38:$AX38,"&lt;&gt;"&amp;"pB1 HL",$J38:$AX38,"&lt;&gt;"&amp;"pB2 HL")-SUM(COUNTIFS($J38:$AX38,"*HL B1*",$J38:$AX38,"&lt;&gt;"&amp;"pHL B1")*0.5,COUNTIFS($J38:$AX38,"*HL B2*",$J38:$AX38,"&lt;&gt;"&amp;"pHL B2")*0.5,COUNTIFS($J38:$AX38,"*B1 HL*",$J38:$AX38,"&lt;&gt;"&amp;"pB1 HL")*0.5,COUNTIFS($J38:$AX38,"*B2 HL*",$J38:$AX38,"&lt;&gt;"&amp;"pB2 HL")*0.5)))</f>
        <v>7.5</v>
      </c>
      <c r="G38" s="142">
        <f t="shared" si="3"/>
        <v>0</v>
      </c>
      <c r="H38" s="142">
        <f t="shared" si="1"/>
        <v>8</v>
      </c>
      <c r="I38" s="142">
        <f>IF(Thu_W1[[#This Row],[Employee Name]]="","",IF(Thu_W1[[#This Row],[Dept]]="Supervisor",SUM(COUNTIFS($J38:$AX38,"RTA*",$J38:$AX38,"&lt;&gt;"&amp;"pRTA"),COUNTIFS($J38:$AX38,"*CRTA*",$J38:$AX38,"&lt;&gt;"&amp;"pCRTA")),COUNTIFS($J38:$AX38,"*RNNR*",$J38:$AX38,"&lt;&gt;"&amp;"*pRNNR*",$J38:$AX38,"&lt;&gt;"&amp;"pB1 RNNR",$J38:$AX38,"&lt;&gt;"&amp;"pB2 RNNR")-SUM(COUNTIFS($J38:$AX38,"*RNNR B1*",$J38:$AX38,"&lt;&gt;"&amp;"pRNNR B1")*0.5,COUNTIFS($J38:$AX38,"*RNNR B2*",$J38:$AX38,"&lt;&gt;"&amp;"pRNNR B2")*0.5,COUNTIFS($J38:$AX38,"*B1 RNNR*",$J38:$AX38,"&lt;&gt;"&amp;"pB1 RNNR")*0.5,COUNTIFS($J38:$AX38,"*B2 RNNR*",$J38:$AX38,"&lt;&gt;"&amp;"pB2 RNNR")*0.5)))</f>
        <v>0</v>
      </c>
      <c r="J38" s="184" t="str">
        <f>IFERROR(IF(VLOOKUP(Thu_W1[[#This Row],[Employee Name]],'Base Schedules'!$A$243:$AW$281,9,FALSE)="","",VLOOKUP(Thu_W1[[#This Row],[Employee Name]],'Base Schedules'!$A$243:$AW$281,9,FALSE)),"")</f>
        <v/>
      </c>
      <c r="K38" s="184" t="str">
        <f>IFERROR(IF(VLOOKUP(Thu_W1[[#This Row],[Employee Name]],'Base Schedules'!$A$243:$AW$281,10,FALSE)="","",VLOOKUP(Thu_W1[[#This Row],[Employee Name]],'Base Schedules'!$A$243:$AW$281,10,FALSE)),"")</f>
        <v/>
      </c>
      <c r="L38" s="184" t="str">
        <f>IFERROR(IF(VLOOKUP(Thu_W1[[#This Row],[Employee Name]],'Base Schedules'!$A$243:$AW$281,11,FALSE)="","",VLOOKUP(Thu_W1[[#This Row],[Employee Name]],'Base Schedules'!$A$243:$AW$281,11,FALSE)),"")</f>
        <v/>
      </c>
      <c r="M38" s="184" t="str">
        <f>IFERROR(IF(VLOOKUP(Thu_W1[[#This Row],[Employee Name]],'Base Schedules'!$A$243:$AW$281,12,FALSE)="","",VLOOKUP(Thu_W1[[#This Row],[Employee Name]],'Base Schedules'!$A$243:$AW$281,12,FALSE)),"")</f>
        <v/>
      </c>
      <c r="N38" s="184" t="str">
        <f>IFERROR(IF(VLOOKUP(Thu_W1[[#This Row],[Employee Name]],'Base Schedules'!$A$243:$AW$281,13,FALSE)="","",VLOOKUP(Thu_W1[[#This Row],[Employee Name]],'Base Schedules'!$A$243:$AW$281,13,FALSE)),"")</f>
        <v/>
      </c>
      <c r="O38" s="184" t="str">
        <f>IFERROR(IF(VLOOKUP(Thu_W1[[#This Row],[Employee Name]],'Base Schedules'!$A$243:$AW$281,14,FALSE)="","",VLOOKUP(Thu_W1[[#This Row],[Employee Name]],'Base Schedules'!$A$243:$AW$281,14,FALSE)),"")</f>
        <v/>
      </c>
      <c r="P38" s="184" t="str">
        <f>IFERROR(IF(VLOOKUP(Thu_W1[[#This Row],[Employee Name]],'Base Schedules'!$A$243:$AW$281,15,FALSE)="","",VLOOKUP(Thu_W1[[#This Row],[Employee Name]],'Base Schedules'!$A$243:$AW$281,15,FALSE)),"")</f>
        <v/>
      </c>
      <c r="Q38" s="184" t="str">
        <f>IFERROR(IF(VLOOKUP(Thu_W1[[#This Row],[Employee Name]],'Base Schedules'!$A$243:$AW$281,16,FALSE)="","",VLOOKUP(Thu_W1[[#This Row],[Employee Name]],'Base Schedules'!$A$243:$AW$281,16,FALSE)),"")</f>
        <v/>
      </c>
      <c r="R38" s="184" t="str">
        <f>IFERROR(IF(VLOOKUP(Thu_W1[[#This Row],[Employee Name]],'Base Schedules'!$A$243:$AW$281,17,FALSE)="","",VLOOKUP(Thu_W1[[#This Row],[Employee Name]],'Base Schedules'!$A$243:$AW$281,17,FALSE)),"")</f>
        <v/>
      </c>
      <c r="S38" s="184" t="str">
        <f>IFERROR(IF(VLOOKUP(Thu_W1[[#This Row],[Employee Name]],'Base Schedules'!$A$243:$AW$281,18,FALSE)="","",VLOOKUP(Thu_W1[[#This Row],[Employee Name]],'Base Schedules'!$A$243:$AW$281,18,FALSE)),"")</f>
        <v/>
      </c>
      <c r="T38" s="184" t="str">
        <f>IFERROR(IF(VLOOKUP(Thu_W1[[#This Row],[Employee Name]],'Base Schedules'!$A$243:$AW$281,19,FALSE)="","",VLOOKUP(Thu_W1[[#This Row],[Employee Name]],'Base Schedules'!$A$243:$AW$281,19,FALSE)),"")</f>
        <v/>
      </c>
      <c r="U38" s="184" t="str">
        <f>IFERROR(IF(VLOOKUP(Thu_W1[[#This Row],[Employee Name]],'Base Schedules'!$A$243:$AW$281,20,FALSE)="","",VLOOKUP(Thu_W1[[#This Row],[Employee Name]],'Base Schedules'!$A$243:$AW$281,20,FALSE)),"")</f>
        <v/>
      </c>
      <c r="V38" s="184" t="str">
        <f>IFERROR(IF(VLOOKUP(Thu_W1[[#This Row],[Employee Name]],'Base Schedules'!$A$243:$AW$281,21,FALSE)="","",VLOOKUP(Thu_W1[[#This Row],[Employee Name]],'Base Schedules'!$A$243:$AW$281,21,FALSE)),"")</f>
        <v/>
      </c>
      <c r="W38" s="184" t="str">
        <f>IFERROR(IF(VLOOKUP(Thu_W1[[#This Row],[Employee Name]],'Base Schedules'!$A$243:$AW$281,22,FALSE)="","",VLOOKUP(Thu_W1[[#This Row],[Employee Name]],'Base Schedules'!$A$243:$AW$281,22,FALSE)),"")</f>
        <v/>
      </c>
      <c r="X38" s="184" t="str">
        <f>IFERROR(IF(VLOOKUP(Thu_W1[[#This Row],[Employee Name]],'Base Schedules'!$A$243:$AW$281,23,FALSE)="","",VLOOKUP(Thu_W1[[#This Row],[Employee Name]],'Base Schedules'!$A$243:$AW$281,23,FALSE)),"")</f>
        <v/>
      </c>
      <c r="Y38" s="184" t="str">
        <f>IFERROR(IF(VLOOKUP(Thu_W1[[#This Row],[Employee Name]],'Base Schedules'!$A$243:$AW$281,24,FALSE)="","",VLOOKUP(Thu_W1[[#This Row],[Employee Name]],'Base Schedules'!$A$243:$AW$281,24,FALSE)),"")</f>
        <v/>
      </c>
      <c r="Z38" s="184" t="str">
        <f>IFERROR(IF(VLOOKUP(Thu_W1[[#This Row],[Employee Name]],'Base Schedules'!$A$243:$AW$281,25,FALSE)="","",VLOOKUP(Thu_W1[[#This Row],[Employee Name]],'Base Schedules'!$A$243:$AW$281,25,FALSE)),"")</f>
        <v/>
      </c>
      <c r="AA38" s="184" t="str">
        <f>IFERROR(IF(VLOOKUP(Thu_W1[[#This Row],[Employee Name]],'Base Schedules'!$A$243:$AW$281,26,FALSE)="","",VLOOKUP(Thu_W1[[#This Row],[Employee Name]],'Base Schedules'!$A$243:$AW$281,26,FALSE)),"")</f>
        <v>HL</v>
      </c>
      <c r="AB38" s="184" t="str">
        <f>IFERROR(IF(VLOOKUP(Thu_W1[[#This Row],[Employee Name]],'Base Schedules'!$A$243:$AW$281,27,FALSE)="","",VLOOKUP(Thu_W1[[#This Row],[Employee Name]],'Base Schedules'!$A$243:$AW$281,27,FALSE)),"")</f>
        <v>HL</v>
      </c>
      <c r="AC38" s="184" t="str">
        <f>IFERROR(IF(VLOOKUP(Thu_W1[[#This Row],[Employee Name]],'Base Schedules'!$A$243:$AW$281,28,FALSE)="","",VLOOKUP(Thu_W1[[#This Row],[Employee Name]],'Base Schedules'!$A$243:$AW$281,28,FALSE)),"")</f>
        <v>HL</v>
      </c>
      <c r="AD38" s="184" t="str">
        <f>IFERROR(IF(VLOOKUP(Thu_W1[[#This Row],[Employee Name]],'Base Schedules'!$A$243:$AW$281,29,FALSE)="","",VLOOKUP(Thu_W1[[#This Row],[Employee Name]],'Base Schedules'!$A$243:$AW$281,29,FALSE)),"")</f>
        <v>HL</v>
      </c>
      <c r="AE38" s="184" t="str">
        <f>IFERROR(IF(VLOOKUP(Thu_W1[[#This Row],[Employee Name]],'Base Schedules'!$A$243:$AW$281,30,FALSE)="","",VLOOKUP(Thu_W1[[#This Row],[Employee Name]],'Base Schedules'!$A$243:$AW$281,30,FALSE)),"")</f>
        <v>B1 ADM</v>
      </c>
      <c r="AF38" s="184" t="str">
        <f>IFERROR(IF(VLOOKUP(Thu_W1[[#This Row],[Employee Name]],'Base Schedules'!$A$243:$AW$281,31,FALSE)="","",VLOOKUP(Thu_W1[[#This Row],[Employee Name]],'Base Schedules'!$A$243:$AW$281,31,FALSE)),"")</f>
        <v>ADM</v>
      </c>
      <c r="AG38" s="184" t="str">
        <f>IFERROR(IF(VLOOKUP(Thu_W1[[#This Row],[Employee Name]],'Base Schedules'!$A$243:$AW$281,32,FALSE)="","",VLOOKUP(Thu_W1[[#This Row],[Employee Name]],'Base Schedules'!$A$243:$AW$281,32,FALSE)),"")</f>
        <v>ADM</v>
      </c>
      <c r="AH38" s="184" t="str">
        <f>IFERROR(IF(VLOOKUP(Thu_W1[[#This Row],[Employee Name]],'Base Schedules'!$A$243:$AW$281,33,FALSE)="","",VLOOKUP(Thu_W1[[#This Row],[Employee Name]],'Base Schedules'!$A$243:$AW$281,33,FALSE)),"")</f>
        <v>ADM</v>
      </c>
      <c r="AI38" s="184" t="str">
        <f>IFERROR(IF(VLOOKUP(Thu_W1[[#This Row],[Employee Name]],'Base Schedules'!$A$243:$AW$281,34,FALSE)="","",VLOOKUP(Thu_W1[[#This Row],[Employee Name]],'Base Schedules'!$A$243:$AW$281,34,FALSE)),"")</f>
        <v>ADM</v>
      </c>
      <c r="AJ38" s="184" t="str">
        <f>IFERROR(IF(VLOOKUP(Thu_W1[[#This Row],[Employee Name]],'Base Schedules'!$A$243:$AW$281,35,FALSE)="","",VLOOKUP(Thu_W1[[#This Row],[Employee Name]],'Base Schedules'!$A$243:$AW$281,35,FALSE)),"")</f>
        <v>LUNCH</v>
      </c>
      <c r="AK38" s="184" t="str">
        <f>IFERROR(IF(VLOOKUP(Thu_W1[[#This Row],[Employee Name]],'Base Schedules'!$A$243:$AW$281,36,FALSE)="","",VLOOKUP(Thu_W1[[#This Row],[Employee Name]],'Base Schedules'!$A$243:$AW$281,36,FALSE)),"")</f>
        <v>HL</v>
      </c>
      <c r="AL38" s="184" t="str">
        <f>IFERROR(IF(VLOOKUP(Thu_W1[[#This Row],[Employee Name]],'Base Schedules'!$A$243:$AW$281,37,FALSE)="","",VLOOKUP(Thu_W1[[#This Row],[Employee Name]],'Base Schedules'!$A$243:$AW$281,37,FALSE)),"")</f>
        <v>HL</v>
      </c>
      <c r="AM38" s="184" t="str">
        <f>IFERROR(IF(VLOOKUP(Thu_W1[[#This Row],[Employee Name]],'Base Schedules'!$A$243:$AW$281,38,FALSE)="","",VLOOKUP(Thu_W1[[#This Row],[Employee Name]],'Base Schedules'!$A$243:$AW$281,38,FALSE)),"")</f>
        <v>HL</v>
      </c>
      <c r="AN38" s="184" t="str">
        <f>IFERROR(IF(VLOOKUP(Thu_W1[[#This Row],[Employee Name]],'Base Schedules'!$A$243:$AW$281,39,FALSE)="","",VLOOKUP(Thu_W1[[#This Row],[Employee Name]],'Base Schedules'!$A$243:$AW$281,39,FALSE)),"")</f>
        <v>HL B2</v>
      </c>
      <c r="AO38" s="184" t="str">
        <f>IFERROR(IF(VLOOKUP(Thu_W1[[#This Row],[Employee Name]],'Base Schedules'!$A$243:$AW$281,40,FALSE)="","",VLOOKUP(Thu_W1[[#This Row],[Employee Name]],'Base Schedules'!$A$243:$AW$281,40,FALSE)),"")</f>
        <v>ADM</v>
      </c>
      <c r="AP38" s="184" t="str">
        <f>IFERROR(IF(VLOOKUP(Thu_W1[[#This Row],[Employee Name]],'Base Schedules'!$A$243:$AW$281,41,FALSE)="","",VLOOKUP(Thu_W1[[#This Row],[Employee Name]],'Base Schedules'!$A$243:$AW$281,41,FALSE)),"")</f>
        <v>ADM</v>
      </c>
      <c r="AQ38" s="184" t="str">
        <f>IFERROR(IF(VLOOKUP(Thu_W1[[#This Row],[Employee Name]],'Base Schedules'!$A$243:$AW$281,42,FALSE)="","",VLOOKUP(Thu_W1[[#This Row],[Employee Name]],'Base Schedules'!$A$243:$AW$281,42,FALSE)),"")</f>
        <v>ADM</v>
      </c>
      <c r="AR38" s="184" t="str">
        <f>IFERROR(IF(VLOOKUP(Thu_W1[[#This Row],[Employee Name]],'Base Schedules'!$A$243:$AW$281,43,FALSE)="","",VLOOKUP(Thu_W1[[#This Row],[Employee Name]],'Base Schedules'!$A$243:$AW$281,43,FALSE)),"")</f>
        <v/>
      </c>
      <c r="AS38" s="184" t="str">
        <f>IFERROR(IF(VLOOKUP(Thu_W1[[#This Row],[Employee Name]],'Base Schedules'!$A$243:$AW$281,44,FALSE)="","",VLOOKUP(Thu_W1[[#This Row],[Employee Name]],'Base Schedules'!$A$243:$AW$281,44,FALSE)),"")</f>
        <v/>
      </c>
      <c r="AT38" s="184" t="str">
        <f>IFERROR(IF(VLOOKUP(Thu_W1[[#This Row],[Employee Name]],'Base Schedules'!$A$243:$AW$281,45,FALSE)="","",VLOOKUP(Thu_W1[[#This Row],[Employee Name]],'Base Schedules'!$A$243:$AW$281,45,FALSE)),"")</f>
        <v/>
      </c>
      <c r="AU38" s="184" t="str">
        <f>IFERROR(IF(VLOOKUP(Thu_W1[[#This Row],[Employee Name]],'Base Schedules'!$A$243:$AW$281,46,FALSE)="","",VLOOKUP(Thu_W1[[#This Row],[Employee Name]],'Base Schedules'!$A$243:$AW$281,46,FALSE)),"")</f>
        <v/>
      </c>
      <c r="AV38" s="184" t="str">
        <f>IFERROR(IF(VLOOKUP(Thu_W1[[#This Row],[Employee Name]],'Base Schedules'!$A$243:$AW$281,47,FALSE)="","",VLOOKUP(Thu_W1[[#This Row],[Employee Name]],'Base Schedules'!$A$243:$AW$281,47,FALSE)),"")</f>
        <v/>
      </c>
      <c r="AW38" s="184" t="str">
        <f>IFERROR(IF(VLOOKUP(Thu_W1[[#This Row],[Employee Name]],'Base Schedules'!$A$243:$AW$281,48,FALSE)="","",VLOOKUP(Thu_W1[[#This Row],[Employee Name]],'Base Schedules'!$A$243:$AW$281,48,FALSE)),"")</f>
        <v/>
      </c>
      <c r="AX38" s="184" t="str">
        <f>IFERROR(IF(VLOOKUP(Thu_W1[[#This Row],[Employee Name]],'Base Schedules'!$A$243:$AW$281,49,FALSE)="","",VLOOKUP(Thu_W1[[#This Row],[Employee Name]],'Base Schedules'!$A$243:$AW$281,49,FALSE)),"")</f>
        <v/>
      </c>
      <c r="AY38" s="164" t="str">
        <f t="shared" si="2"/>
        <v>Harris, Austin</v>
      </c>
    </row>
    <row r="39" spans="1:51" s="44" customFormat="1" ht="12" x14ac:dyDescent="0.2">
      <c r="A39" s="39" t="str">
        <f>IF(B39="","",INDEX(TeamList[],MATCH($B39,TeamList[[Employee Name]:[Employee Name]],0),MATCH("Manager",TeamList[#Headers],0)))</f>
        <v>Ahmed Hassan, Zahra</v>
      </c>
      <c r="B39" s="201" t="s">
        <v>245</v>
      </c>
      <c r="C39" s="257" t="str">
        <f>_xlfn.IFNA(VLOOKUP(Thu_W1[[#This Row],[Employee Name]],'Base Schedules'!A:B,2,FALSE),"")</f>
        <v>Supervisor</v>
      </c>
      <c r="D39" s="274">
        <f>_xlfn.IFNA(VLOOKUP(Thu_W1[[#This Row],[Employee Name]],'Base Schedules'!A:C,3,FALSE),"")</f>
        <v>1400</v>
      </c>
      <c r="E39" s="274">
        <f>_xlfn.IFNA(VLOOKUP(Thu_W1[[#This Row],[Employee Name]],'Base Schedules'!A:D,4,FALSE),"")</f>
        <v>100</v>
      </c>
      <c r="F39" s="142">
        <f>IF(Thu_W1[[#This Row],[Employee Name]]="","",IF(Thu_W1[[#This Row],[Dept]]="Supervisor",COUNTIFS($J39:$AX39,"*HL*",$J39:$AX39,"&lt;&gt;"&amp;"pHL"),COUNTIFS($J39:$AX39,"*HL*",$J39:$AX39,"&lt;&gt;"&amp;"*pHL*",$J39:$AX39,"&lt;&gt;"&amp;"pB1 HL",$J39:$AX39,"&lt;&gt;"&amp;"pB2 HL")-SUM(COUNTIFS($J39:$AX39,"*HL B1*",$J39:$AX39,"&lt;&gt;"&amp;"pHL B1")*0.5,COUNTIFS($J39:$AX39,"*HL B2*",$J39:$AX39,"&lt;&gt;"&amp;"pHL B2")*0.5,COUNTIFS($J39:$AX39,"*B1 HL*",$J39:$AX39,"&lt;&gt;"&amp;"pB1 HL")*0.5,COUNTIFS($J39:$AX39,"*B2 HL*",$J39:$AX39,"&lt;&gt;"&amp;"pB2 HL")*0.5)))</f>
        <v>0</v>
      </c>
      <c r="G39" s="142">
        <f t="shared" si="3"/>
        <v>4</v>
      </c>
      <c r="H39" s="142">
        <f t="shared" si="1"/>
        <v>0</v>
      </c>
      <c r="I39" s="142">
        <f>IF(Thu_W1[[#This Row],[Employee Name]]="","",IF(Thu_W1[[#This Row],[Dept]]="Supervisor",SUM(COUNTIFS($J39:$AX39,"RTA*",$J39:$AX39,"&lt;&gt;"&amp;"pRTA"),COUNTIFS($J39:$AX39,"*CRTA*",$J39:$AX39,"&lt;&gt;"&amp;"pCRTA")),COUNTIFS($J39:$AX39,"*RNNR*",$J39:$AX39,"&lt;&gt;"&amp;"*pRNNR*",$J39:$AX39,"&lt;&gt;"&amp;"pB1 RNNR",$J39:$AX39,"&lt;&gt;"&amp;"pB2 RNNR")-SUM(COUNTIFS($J39:$AX39,"*RNNR B1*",$J39:$AX39,"&lt;&gt;"&amp;"pRNNR B1")*0.5,COUNTIFS($J39:$AX39,"*RNNR B2*",$J39:$AX39,"&lt;&gt;"&amp;"pRNNR B2")*0.5,COUNTIFS($J39:$AX39,"*B1 RNNR*",$J39:$AX39,"&lt;&gt;"&amp;"pB1 RNNR")*0.5,COUNTIFS($J39:$AX39,"*B2 RNNR*",$J39:$AX39,"&lt;&gt;"&amp;"pB2 RNNR")*0.5)))</f>
        <v>0</v>
      </c>
      <c r="J39" s="184" t="str">
        <f>IFERROR(IF(VLOOKUP(Thu_W1[[#This Row],[Employee Name]],'Base Schedules'!$A$243:$AW$281,9,FALSE)="","",VLOOKUP(Thu_W1[[#This Row],[Employee Name]],'Base Schedules'!$A$243:$AW$281,9,FALSE)),"")</f>
        <v/>
      </c>
      <c r="K39" s="184" t="str">
        <f>IFERROR(IF(VLOOKUP(Thu_W1[[#This Row],[Employee Name]],'Base Schedules'!$A$243:$AW$281,10,FALSE)="","",VLOOKUP(Thu_W1[[#This Row],[Employee Name]],'Base Schedules'!$A$243:$AW$281,10,FALSE)),"")</f>
        <v/>
      </c>
      <c r="L39" s="184" t="str">
        <f>IFERROR(IF(VLOOKUP(Thu_W1[[#This Row],[Employee Name]],'Base Schedules'!$A$243:$AW$281,11,FALSE)="","",VLOOKUP(Thu_W1[[#This Row],[Employee Name]],'Base Schedules'!$A$243:$AW$281,11,FALSE)),"")</f>
        <v/>
      </c>
      <c r="M39" s="184" t="str">
        <f>IFERROR(IF(VLOOKUP(Thu_W1[[#This Row],[Employee Name]],'Base Schedules'!$A$243:$AW$281,12,FALSE)="","",VLOOKUP(Thu_W1[[#This Row],[Employee Name]],'Base Schedules'!$A$243:$AW$281,12,FALSE)),"")</f>
        <v/>
      </c>
      <c r="N39" s="184" t="str">
        <f>IFERROR(IF(VLOOKUP(Thu_W1[[#This Row],[Employee Name]],'Base Schedules'!$A$243:$AW$281,13,FALSE)="","",VLOOKUP(Thu_W1[[#This Row],[Employee Name]],'Base Schedules'!$A$243:$AW$281,13,FALSE)),"")</f>
        <v/>
      </c>
      <c r="O39" s="184" t="str">
        <f>IFERROR(IF(VLOOKUP(Thu_W1[[#This Row],[Employee Name]],'Base Schedules'!$A$243:$AW$281,14,FALSE)="","",VLOOKUP(Thu_W1[[#This Row],[Employee Name]],'Base Schedules'!$A$243:$AW$281,14,FALSE)),"")</f>
        <v/>
      </c>
      <c r="P39" s="184" t="str">
        <f>IFERROR(IF(VLOOKUP(Thu_W1[[#This Row],[Employee Name]],'Base Schedules'!$A$243:$AW$281,15,FALSE)="","",VLOOKUP(Thu_W1[[#This Row],[Employee Name]],'Base Schedules'!$A$243:$AW$281,15,FALSE)),"")</f>
        <v/>
      </c>
      <c r="Q39" s="184" t="str">
        <f>IFERROR(IF(VLOOKUP(Thu_W1[[#This Row],[Employee Name]],'Base Schedules'!$A$243:$AW$281,16,FALSE)="","",VLOOKUP(Thu_W1[[#This Row],[Employee Name]],'Base Schedules'!$A$243:$AW$281,16,FALSE)),"")</f>
        <v/>
      </c>
      <c r="R39" s="184" t="str">
        <f>IFERROR(IF(VLOOKUP(Thu_W1[[#This Row],[Employee Name]],'Base Schedules'!$A$243:$AW$281,17,FALSE)="","",VLOOKUP(Thu_W1[[#This Row],[Employee Name]],'Base Schedules'!$A$243:$AW$281,17,FALSE)),"")</f>
        <v/>
      </c>
      <c r="S39" s="184" t="str">
        <f>IFERROR(IF(VLOOKUP(Thu_W1[[#This Row],[Employee Name]],'Base Schedules'!$A$243:$AW$281,18,FALSE)="","",VLOOKUP(Thu_W1[[#This Row],[Employee Name]],'Base Schedules'!$A$243:$AW$281,18,FALSE)),"")</f>
        <v/>
      </c>
      <c r="T39" s="184" t="str">
        <f>IFERROR(IF(VLOOKUP(Thu_W1[[#This Row],[Employee Name]],'Base Schedules'!$A$243:$AW$281,19,FALSE)="","",VLOOKUP(Thu_W1[[#This Row],[Employee Name]],'Base Schedules'!$A$243:$AW$281,19,FALSE)),"")</f>
        <v/>
      </c>
      <c r="U39" s="184" t="str">
        <f>IFERROR(IF(VLOOKUP(Thu_W1[[#This Row],[Employee Name]],'Base Schedules'!$A$243:$AW$281,20,FALSE)="","",VLOOKUP(Thu_W1[[#This Row],[Employee Name]],'Base Schedules'!$A$243:$AW$281,20,FALSE)),"")</f>
        <v/>
      </c>
      <c r="V39" s="184" t="str">
        <f>IFERROR(IF(VLOOKUP(Thu_W1[[#This Row],[Employee Name]],'Base Schedules'!$A$243:$AW$281,21,FALSE)="","",VLOOKUP(Thu_W1[[#This Row],[Employee Name]],'Base Schedules'!$A$243:$AW$281,21,FALSE)),"")</f>
        <v/>
      </c>
      <c r="W39" s="184" t="str">
        <f>IFERROR(IF(VLOOKUP(Thu_W1[[#This Row],[Employee Name]],'Base Schedules'!$A$243:$AW$281,22,FALSE)="","",VLOOKUP(Thu_W1[[#This Row],[Employee Name]],'Base Schedules'!$A$243:$AW$281,22,FALSE)),"")</f>
        <v/>
      </c>
      <c r="X39" s="184" t="str">
        <f>IFERROR(IF(VLOOKUP(Thu_W1[[#This Row],[Employee Name]],'Base Schedules'!$A$243:$AW$281,23,FALSE)="","",VLOOKUP(Thu_W1[[#This Row],[Employee Name]],'Base Schedules'!$A$243:$AW$281,23,FALSE)),"")</f>
        <v/>
      </c>
      <c r="Y39" s="184" t="str">
        <f>IFERROR(IF(VLOOKUP(Thu_W1[[#This Row],[Employee Name]],'Base Schedules'!$A$243:$AW$281,24,FALSE)="","",VLOOKUP(Thu_W1[[#This Row],[Employee Name]],'Base Schedules'!$A$243:$AW$281,24,FALSE)),"")</f>
        <v/>
      </c>
      <c r="Z39" s="184" t="str">
        <f>IFERROR(IF(VLOOKUP(Thu_W1[[#This Row],[Employee Name]],'Base Schedules'!$A$243:$AW$281,25,FALSE)="","",VLOOKUP(Thu_W1[[#This Row],[Employee Name]],'Base Schedules'!$A$243:$AW$281,25,FALSE)),"")</f>
        <v/>
      </c>
      <c r="AA39" s="184" t="str">
        <f>IFERROR(IF(VLOOKUP(Thu_W1[[#This Row],[Employee Name]],'Base Schedules'!$A$243:$AW$281,26,FALSE)="","",VLOOKUP(Thu_W1[[#This Row],[Employee Name]],'Base Schedules'!$A$243:$AW$281,26,FALSE)),"")</f>
        <v/>
      </c>
      <c r="AB39" s="184" t="str">
        <f>IFERROR(IF(VLOOKUP(Thu_W1[[#This Row],[Employee Name]],'Base Schedules'!$A$243:$AW$281,27,FALSE)="","",VLOOKUP(Thu_W1[[#This Row],[Employee Name]],'Base Schedules'!$A$243:$AW$281,27,FALSE)),"")</f>
        <v>-</v>
      </c>
      <c r="AC39" s="184" t="str">
        <f>IFERROR(IF(VLOOKUP(Thu_W1[[#This Row],[Employee Name]],'Base Schedules'!$A$243:$AW$281,28,FALSE)="","",VLOOKUP(Thu_W1[[#This Row],[Employee Name]],'Base Schedules'!$A$243:$AW$281,28,FALSE)),"")</f>
        <v>-</v>
      </c>
      <c r="AD39" s="184" t="str">
        <f>IFERROR(IF(VLOOKUP(Thu_W1[[#This Row],[Employee Name]],'Base Schedules'!$A$243:$AW$281,29,FALSE)="","",VLOOKUP(Thu_W1[[#This Row],[Employee Name]],'Base Schedules'!$A$243:$AW$281,29,FALSE)),"")</f>
        <v>Coaching</v>
      </c>
      <c r="AE39" s="184" t="str">
        <f>IFERROR(IF(VLOOKUP(Thu_W1[[#This Row],[Employee Name]],'Base Schedules'!$A$243:$AW$281,30,FALSE)="","",VLOOKUP(Thu_W1[[#This Row],[Employee Name]],'Base Schedules'!$A$243:$AW$281,30,FALSE)),"")</f>
        <v>Coaching</v>
      </c>
      <c r="AF39" s="184" t="str">
        <f>IFERROR(IF(VLOOKUP(Thu_W1[[#This Row],[Employee Name]],'Base Schedules'!$A$243:$AW$281,31,FALSE)="","",VLOOKUP(Thu_W1[[#This Row],[Employee Name]],'Base Schedules'!$A$243:$AW$281,31,FALSE)),"")</f>
        <v>Coaching</v>
      </c>
      <c r="AG39" s="184" t="str">
        <f>IFERROR(IF(VLOOKUP(Thu_W1[[#This Row],[Employee Name]],'Base Schedules'!$A$243:$AW$281,32,FALSE)="","",VLOOKUP(Thu_W1[[#This Row],[Employee Name]],'Base Schedules'!$A$243:$AW$281,32,FALSE)),"")</f>
        <v>Coaching</v>
      </c>
      <c r="AH39" s="184" t="str">
        <f>IFERROR(IF(VLOOKUP(Thu_W1[[#This Row],[Employee Name]],'Base Schedules'!$A$243:$AW$281,33,FALSE)="","",VLOOKUP(Thu_W1[[#This Row],[Employee Name]],'Base Schedules'!$A$243:$AW$281,33,FALSE)),"")</f>
        <v>Interview</v>
      </c>
      <c r="AI39" s="184" t="str">
        <f>IFERROR(IF(VLOOKUP(Thu_W1[[#This Row],[Employee Name]],'Base Schedules'!$A$243:$AW$281,34,FALSE)="","",VLOOKUP(Thu_W1[[#This Row],[Employee Name]],'Base Schedules'!$A$243:$AW$281,34,FALSE)),"")</f>
        <v>Interview</v>
      </c>
      <c r="AJ39" s="184" t="str">
        <f>IFERROR(IF(VLOOKUP(Thu_W1[[#This Row],[Employee Name]],'Base Schedules'!$A$243:$AW$281,35,FALSE)="","",VLOOKUP(Thu_W1[[#This Row],[Employee Name]],'Base Schedules'!$A$243:$AW$281,35,FALSE)),"")</f>
        <v>-</v>
      </c>
      <c r="AK39" s="184" t="str">
        <f>IFERROR(IF(VLOOKUP(Thu_W1[[#This Row],[Employee Name]],'Base Schedules'!$A$243:$AW$281,36,FALSE)="","",VLOOKUP(Thu_W1[[#This Row],[Employee Name]],'Base Schedules'!$A$243:$AW$281,36,FALSE)),"")</f>
        <v>-</v>
      </c>
      <c r="AL39" s="184" t="str">
        <f>IFERROR(IF(VLOOKUP(Thu_W1[[#This Row],[Employee Name]],'Base Schedules'!$A$243:$AW$281,37,FALSE)="","",VLOOKUP(Thu_W1[[#This Row],[Employee Name]],'Base Schedules'!$A$243:$AW$281,37,FALSE)),"")</f>
        <v>-</v>
      </c>
      <c r="AM39" s="184" t="str">
        <f>IFERROR(IF(VLOOKUP(Thu_W1[[#This Row],[Employee Name]],'Base Schedules'!$A$243:$AW$281,38,FALSE)="","",VLOOKUP(Thu_W1[[#This Row],[Employee Name]],'Base Schedules'!$A$243:$AW$281,38,FALSE)),"")</f>
        <v>-</v>
      </c>
      <c r="AN39" s="184" t="str">
        <f>IFERROR(IF(VLOOKUP(Thu_W1[[#This Row],[Employee Name]],'Base Schedules'!$A$243:$AW$281,39,FALSE)="","",VLOOKUP(Thu_W1[[#This Row],[Employee Name]],'Base Schedules'!$A$243:$AW$281,39,FALSE)),"")</f>
        <v>-</v>
      </c>
      <c r="AO39" s="184" t="str">
        <f>IFERROR(IF(VLOOKUP(Thu_W1[[#This Row],[Employee Name]],'Base Schedules'!$A$243:$AW$281,40,FALSE)="","",VLOOKUP(Thu_W1[[#This Row],[Employee Name]],'Base Schedules'!$A$243:$AW$281,40,FALSE)),"")</f>
        <v>TM PREP</v>
      </c>
      <c r="AP39" s="184" t="str">
        <f>IFERROR(IF(VLOOKUP(Thu_W1[[#This Row],[Employee Name]],'Base Schedules'!$A$243:$AW$281,41,FALSE)="","",VLOOKUP(Thu_W1[[#This Row],[Employee Name]],'Base Schedules'!$A$243:$AW$281,41,FALSE)),"")</f>
        <v>DONACA TM</v>
      </c>
      <c r="AQ39" s="184" t="str">
        <f>IFERROR(IF(VLOOKUP(Thu_W1[[#This Row],[Employee Name]],'Base Schedules'!$A$243:$AW$281,42,FALSE)="","",VLOOKUP(Thu_W1[[#This Row],[Employee Name]],'Base Schedules'!$A$243:$AW$281,42,FALSE)),"")</f>
        <v>DONACA TM</v>
      </c>
      <c r="AR39" s="184" t="str">
        <f>IFERROR(IF(VLOOKUP(Thu_W1[[#This Row],[Employee Name]],'Base Schedules'!$A$243:$AW$281,43,FALSE)="","",VLOOKUP(Thu_W1[[#This Row],[Employee Name]],'Base Schedules'!$A$243:$AW$281,43,FALSE)),"")</f>
        <v>-</v>
      </c>
      <c r="AS39" s="184" t="str">
        <f>IFERROR(IF(VLOOKUP(Thu_W1[[#This Row],[Employee Name]],'Base Schedules'!$A$243:$AW$281,44,FALSE)="","",VLOOKUP(Thu_W1[[#This Row],[Employee Name]],'Base Schedules'!$A$243:$AW$281,44,FALSE)),"")</f>
        <v>-</v>
      </c>
      <c r="AT39" s="184" t="str">
        <f>IFERROR(IF(VLOOKUP(Thu_W1[[#This Row],[Employee Name]],'Base Schedules'!$A$243:$AW$281,45,FALSE)="","",VLOOKUP(Thu_W1[[#This Row],[Employee Name]],'Base Schedules'!$A$243:$AW$281,45,FALSE)),"")</f>
        <v>-</v>
      </c>
      <c r="AU39" s="184" t="str">
        <f>IFERROR(IF(VLOOKUP(Thu_W1[[#This Row],[Employee Name]],'Base Schedules'!$A$243:$AW$281,46,FALSE)="","",VLOOKUP(Thu_W1[[#This Row],[Employee Name]],'Base Schedules'!$A$243:$AW$281,46,FALSE)),"")</f>
        <v>-</v>
      </c>
      <c r="AV39" s="184" t="str">
        <f>IFERROR(IF(VLOOKUP(Thu_W1[[#This Row],[Employee Name]],'Base Schedules'!$A$243:$AW$281,47,FALSE)="","",VLOOKUP(Thu_W1[[#This Row],[Employee Name]],'Base Schedules'!$A$243:$AW$281,47,FALSE)),"")</f>
        <v>-</v>
      </c>
      <c r="AW39" s="184" t="str">
        <f>IFERROR(IF(VLOOKUP(Thu_W1[[#This Row],[Employee Name]],'Base Schedules'!$A$243:$AW$281,48,FALSE)="","",VLOOKUP(Thu_W1[[#This Row],[Employee Name]],'Base Schedules'!$A$243:$AW$281,48,FALSE)),"")</f>
        <v>-</v>
      </c>
      <c r="AX39" s="184" t="str">
        <f>IFERROR(IF(VLOOKUP(Thu_W1[[#This Row],[Employee Name]],'Base Schedules'!$A$243:$AW$281,49,FALSE)="","",VLOOKUP(Thu_W1[[#This Row],[Employee Name]],'Base Schedules'!$A$243:$AW$281,49,FALSE)),"")</f>
        <v/>
      </c>
      <c r="AY39" s="164" t="str">
        <f t="shared" si="2"/>
        <v>Donaca, Jeff</v>
      </c>
    </row>
    <row r="40" spans="1:51" s="44" customFormat="1" ht="12" x14ac:dyDescent="0.2">
      <c r="A40" s="39" t="str">
        <f>IF(B40="","",INDEX(TeamList[],MATCH($B40,TeamList[[Employee Name]:[Employee Name]],0),MATCH("Manager",TeamList[#Headers],0)))</f>
        <v>Olson, Katherine</v>
      </c>
      <c r="B40" s="201" t="s">
        <v>52</v>
      </c>
      <c r="C40" s="257" t="str">
        <f>_xlfn.IFNA(VLOOKUP(Thu_W1[[#This Row],[Employee Name]],'Base Schedules'!A:B,2,FALSE),"")</f>
        <v>Supervisor</v>
      </c>
      <c r="D40" s="274">
        <f>_xlfn.IFNA(VLOOKUP(Thu_W1[[#This Row],[Employee Name]],'Base Schedules'!A:C,3,FALSE),"")</f>
        <v>1600</v>
      </c>
      <c r="E40" s="274">
        <f>_xlfn.IFNA(VLOOKUP(Thu_W1[[#This Row],[Employee Name]],'Base Schedules'!A:D,4,FALSE),"")</f>
        <v>100</v>
      </c>
      <c r="F40" s="142">
        <f>IF(Thu_W1[[#This Row],[Employee Name]]="","",IF(Thu_W1[[#This Row],[Dept]]="Supervisor",COUNTIFS($J40:$AX40,"*HL*",$J40:$AX40,"&lt;&gt;"&amp;"pHL"),COUNTIFS($J40:$AX40,"*HL*",$J40:$AX40,"&lt;&gt;"&amp;"*pHL*",$J40:$AX40,"&lt;&gt;"&amp;"pB1 HL",$J40:$AX40,"&lt;&gt;"&amp;"pB2 HL")-SUM(COUNTIFS($J40:$AX40,"*HL B1*",$J40:$AX40,"&lt;&gt;"&amp;"pHL B1")*0.5,COUNTIFS($J40:$AX40,"*HL B2*",$J40:$AX40,"&lt;&gt;"&amp;"pHL B2")*0.5,COUNTIFS($J40:$AX40,"*B1 HL*",$J40:$AX40,"&lt;&gt;"&amp;"pB1 HL")*0.5,COUNTIFS($J40:$AX40,"*B2 HL*",$J40:$AX40,"&lt;&gt;"&amp;"pB2 HL")*0.5)))</f>
        <v>0</v>
      </c>
      <c r="G40" s="142">
        <f t="shared" si="3"/>
        <v>4</v>
      </c>
      <c r="H40" s="142">
        <f t="shared" si="1"/>
        <v>0</v>
      </c>
      <c r="I40" s="142">
        <f>IF(Thu_W1[[#This Row],[Employee Name]]="","",IF(Thu_W1[[#This Row],[Dept]]="Supervisor",SUM(COUNTIFS($J40:$AX40,"RTA*",$J40:$AX40,"&lt;&gt;"&amp;"pRTA"),COUNTIFS($J40:$AX40,"*CRTA*",$J40:$AX40,"&lt;&gt;"&amp;"pCRTA")),COUNTIFS($J40:$AX40,"*RNNR*",$J40:$AX40,"&lt;&gt;"&amp;"*pRNNR*",$J40:$AX40,"&lt;&gt;"&amp;"pB1 RNNR",$J40:$AX40,"&lt;&gt;"&amp;"pB2 RNNR")-SUM(COUNTIFS($J40:$AX40,"*RNNR B1*",$J40:$AX40,"&lt;&gt;"&amp;"pRNNR B1")*0.5,COUNTIFS($J40:$AX40,"*RNNR B2*",$J40:$AX40,"&lt;&gt;"&amp;"pRNNR B2")*0.5,COUNTIFS($J40:$AX40,"*B1 RNNR*",$J40:$AX40,"&lt;&gt;"&amp;"pB1 RNNR")*0.5,COUNTIFS($J40:$AX40,"*B2 RNNR*",$J40:$AX40,"&lt;&gt;"&amp;"pB2 RNNR")*0.5)))</f>
        <v>0</v>
      </c>
      <c r="J40" s="184" t="str">
        <f>IFERROR(IF(VLOOKUP(Thu_W1[[#This Row],[Employee Name]],'Base Schedules'!$A$243:$AW$281,9,FALSE)="","",VLOOKUP(Thu_W1[[#This Row],[Employee Name]],'Base Schedules'!$A$243:$AW$281,9,FALSE)),"")</f>
        <v/>
      </c>
      <c r="K40" s="184" t="str">
        <f>IFERROR(IF(VLOOKUP(Thu_W1[[#This Row],[Employee Name]],'Base Schedules'!$A$243:$AW$281,10,FALSE)="","",VLOOKUP(Thu_W1[[#This Row],[Employee Name]],'Base Schedules'!$A$243:$AW$281,10,FALSE)),"")</f>
        <v/>
      </c>
      <c r="L40" s="184" t="str">
        <f>IFERROR(IF(VLOOKUP(Thu_W1[[#This Row],[Employee Name]],'Base Schedules'!$A$243:$AW$281,11,FALSE)="","",VLOOKUP(Thu_W1[[#This Row],[Employee Name]],'Base Schedules'!$A$243:$AW$281,11,FALSE)),"")</f>
        <v/>
      </c>
      <c r="M40" s="184" t="str">
        <f>IFERROR(IF(VLOOKUP(Thu_W1[[#This Row],[Employee Name]],'Base Schedules'!$A$243:$AW$281,12,FALSE)="","",VLOOKUP(Thu_W1[[#This Row],[Employee Name]],'Base Schedules'!$A$243:$AW$281,12,FALSE)),"")</f>
        <v/>
      </c>
      <c r="N40" s="184" t="str">
        <f>IFERROR(IF(VLOOKUP(Thu_W1[[#This Row],[Employee Name]],'Base Schedules'!$A$243:$AW$281,13,FALSE)="","",VLOOKUP(Thu_W1[[#This Row],[Employee Name]],'Base Schedules'!$A$243:$AW$281,13,FALSE)),"")</f>
        <v/>
      </c>
      <c r="O40" s="184" t="str">
        <f>IFERROR(IF(VLOOKUP(Thu_W1[[#This Row],[Employee Name]],'Base Schedules'!$A$243:$AW$281,14,FALSE)="","",VLOOKUP(Thu_W1[[#This Row],[Employee Name]],'Base Schedules'!$A$243:$AW$281,14,FALSE)),"")</f>
        <v/>
      </c>
      <c r="P40" s="184" t="str">
        <f>IFERROR(IF(VLOOKUP(Thu_W1[[#This Row],[Employee Name]],'Base Schedules'!$A$243:$AW$281,15,FALSE)="","",VLOOKUP(Thu_W1[[#This Row],[Employee Name]],'Base Schedules'!$A$243:$AW$281,15,FALSE)),"")</f>
        <v/>
      </c>
      <c r="Q40" s="184" t="str">
        <f>IFERROR(IF(VLOOKUP(Thu_W1[[#This Row],[Employee Name]],'Base Schedules'!$A$243:$AW$281,16,FALSE)="","",VLOOKUP(Thu_W1[[#This Row],[Employee Name]],'Base Schedules'!$A$243:$AW$281,16,FALSE)),"")</f>
        <v/>
      </c>
      <c r="R40" s="184" t="str">
        <f>IFERROR(IF(VLOOKUP(Thu_W1[[#This Row],[Employee Name]],'Base Schedules'!$A$243:$AW$281,17,FALSE)="","",VLOOKUP(Thu_W1[[#This Row],[Employee Name]],'Base Schedules'!$A$243:$AW$281,17,FALSE)),"")</f>
        <v/>
      </c>
      <c r="S40" s="184" t="str">
        <f>IFERROR(IF(VLOOKUP(Thu_W1[[#This Row],[Employee Name]],'Base Schedules'!$A$243:$AW$281,18,FALSE)="","",VLOOKUP(Thu_W1[[#This Row],[Employee Name]],'Base Schedules'!$A$243:$AW$281,18,FALSE)),"")</f>
        <v/>
      </c>
      <c r="T40" s="184" t="str">
        <f>IFERROR(IF(VLOOKUP(Thu_W1[[#This Row],[Employee Name]],'Base Schedules'!$A$243:$AW$281,19,FALSE)="","",VLOOKUP(Thu_W1[[#This Row],[Employee Name]],'Base Schedules'!$A$243:$AW$281,19,FALSE)),"")</f>
        <v/>
      </c>
      <c r="U40" s="184" t="str">
        <f>IFERROR(IF(VLOOKUP(Thu_W1[[#This Row],[Employee Name]],'Base Schedules'!$A$243:$AW$281,20,FALSE)="","",VLOOKUP(Thu_W1[[#This Row],[Employee Name]],'Base Schedules'!$A$243:$AW$281,20,FALSE)),"")</f>
        <v/>
      </c>
      <c r="V40" s="184" t="str">
        <f>IFERROR(IF(VLOOKUP(Thu_W1[[#This Row],[Employee Name]],'Base Schedules'!$A$243:$AW$281,21,FALSE)="","",VLOOKUP(Thu_W1[[#This Row],[Employee Name]],'Base Schedules'!$A$243:$AW$281,21,FALSE)),"")</f>
        <v/>
      </c>
      <c r="W40" s="184" t="str">
        <f>IFERROR(IF(VLOOKUP(Thu_W1[[#This Row],[Employee Name]],'Base Schedules'!$A$243:$AW$281,22,FALSE)="","",VLOOKUP(Thu_W1[[#This Row],[Employee Name]],'Base Schedules'!$A$243:$AW$281,22,FALSE)),"")</f>
        <v/>
      </c>
      <c r="X40" s="184" t="str">
        <f>IFERROR(IF(VLOOKUP(Thu_W1[[#This Row],[Employee Name]],'Base Schedules'!$A$243:$AW$281,23,FALSE)="","",VLOOKUP(Thu_W1[[#This Row],[Employee Name]],'Base Schedules'!$A$243:$AW$281,23,FALSE)),"")</f>
        <v/>
      </c>
      <c r="Y40" s="184" t="str">
        <f>IFERROR(IF(VLOOKUP(Thu_W1[[#This Row],[Employee Name]],'Base Schedules'!$A$243:$AW$281,24,FALSE)="","",VLOOKUP(Thu_W1[[#This Row],[Employee Name]],'Base Schedules'!$A$243:$AW$281,24,FALSE)),"")</f>
        <v/>
      </c>
      <c r="Z40" s="184" t="str">
        <f>IFERROR(IF(VLOOKUP(Thu_W1[[#This Row],[Employee Name]],'Base Schedules'!$A$243:$AW$281,25,FALSE)="","",VLOOKUP(Thu_W1[[#This Row],[Employee Name]],'Base Schedules'!$A$243:$AW$281,25,FALSE)),"")</f>
        <v/>
      </c>
      <c r="AA40" s="184" t="str">
        <f>IFERROR(IF(VLOOKUP(Thu_W1[[#This Row],[Employee Name]],'Base Schedules'!$A$243:$AW$281,26,FALSE)="","",VLOOKUP(Thu_W1[[#This Row],[Employee Name]],'Base Schedules'!$A$243:$AW$281,26,FALSE)),"")</f>
        <v/>
      </c>
      <c r="AB40" s="184" t="str">
        <f>IFERROR(IF(VLOOKUP(Thu_W1[[#This Row],[Employee Name]],'Base Schedules'!$A$243:$AW$281,27,FALSE)="","",VLOOKUP(Thu_W1[[#This Row],[Employee Name]],'Base Schedules'!$A$243:$AW$281,27,FALSE)),"")</f>
        <v/>
      </c>
      <c r="AC40" s="184" t="str">
        <f>IFERROR(IF(VLOOKUP(Thu_W1[[#This Row],[Employee Name]],'Base Schedules'!$A$243:$AW$281,28,FALSE)="","",VLOOKUP(Thu_W1[[#This Row],[Employee Name]],'Base Schedules'!$A$243:$AW$281,28,FALSE)),"")</f>
        <v/>
      </c>
      <c r="AD40" s="184" t="str">
        <f>IFERROR(IF(VLOOKUP(Thu_W1[[#This Row],[Employee Name]],'Base Schedules'!$A$243:$AW$281,29,FALSE)="","",VLOOKUP(Thu_W1[[#This Row],[Employee Name]],'Base Schedules'!$A$243:$AW$281,29,FALSE)),"")</f>
        <v/>
      </c>
      <c r="AE40" s="184" t="str">
        <f>IFERROR(IF(VLOOKUP(Thu_W1[[#This Row],[Employee Name]],'Base Schedules'!$A$243:$AW$281,30,FALSE)="","",VLOOKUP(Thu_W1[[#This Row],[Employee Name]],'Base Schedules'!$A$243:$AW$281,30,FALSE)),"")</f>
        <v/>
      </c>
      <c r="AF40" s="184" t="str">
        <f>IFERROR(IF(VLOOKUP(Thu_W1[[#This Row],[Employee Name]],'Base Schedules'!$A$243:$AW$281,31,FALSE)="","",VLOOKUP(Thu_W1[[#This Row],[Employee Name]],'Base Schedules'!$A$243:$AW$281,31,FALSE)),"")</f>
        <v>-</v>
      </c>
      <c r="AG40" s="184" t="str">
        <f>IFERROR(IF(VLOOKUP(Thu_W1[[#This Row],[Employee Name]],'Base Schedules'!$A$243:$AW$281,32,FALSE)="","",VLOOKUP(Thu_W1[[#This Row],[Employee Name]],'Base Schedules'!$A$243:$AW$281,32,FALSE)),"")</f>
        <v>-</v>
      </c>
      <c r="AH40" s="184" t="str">
        <f>IFERROR(IF(VLOOKUP(Thu_W1[[#This Row],[Employee Name]],'Base Schedules'!$A$243:$AW$281,33,FALSE)="","",VLOOKUP(Thu_W1[[#This Row],[Employee Name]],'Base Schedules'!$A$243:$AW$281,33,FALSE)),"")</f>
        <v>Interview</v>
      </c>
      <c r="AI40" s="184" t="str">
        <f>IFERROR(IF(VLOOKUP(Thu_W1[[#This Row],[Employee Name]],'Base Schedules'!$A$243:$AW$281,34,FALSE)="","",VLOOKUP(Thu_W1[[#This Row],[Employee Name]],'Base Schedules'!$A$243:$AW$281,34,FALSE)),"")</f>
        <v>Interview</v>
      </c>
      <c r="AJ40" s="184" t="str">
        <f>IFERROR(IF(VLOOKUP(Thu_W1[[#This Row],[Employee Name]],'Base Schedules'!$A$243:$AW$281,35,FALSE)="","",VLOOKUP(Thu_W1[[#This Row],[Employee Name]],'Base Schedules'!$A$243:$AW$281,35,FALSE)),"")</f>
        <v>-</v>
      </c>
      <c r="AK40" s="184" t="str">
        <f>IFERROR(IF(VLOOKUP(Thu_W1[[#This Row],[Employee Name]],'Base Schedules'!$A$243:$AW$281,36,FALSE)="","",VLOOKUP(Thu_W1[[#This Row],[Employee Name]],'Base Schedules'!$A$243:$AW$281,36,FALSE)),"")</f>
        <v>-</v>
      </c>
      <c r="AL40" s="184" t="str">
        <f>IFERROR(IF(VLOOKUP(Thu_W1[[#This Row],[Employee Name]],'Base Schedules'!$A$243:$AW$281,37,FALSE)="","",VLOOKUP(Thu_W1[[#This Row],[Employee Name]],'Base Schedules'!$A$243:$AW$281,37,FALSE)),"")</f>
        <v>-</v>
      </c>
      <c r="AM40" s="184" t="str">
        <f>IFERROR(IF(VLOOKUP(Thu_W1[[#This Row],[Employee Name]],'Base Schedules'!$A$243:$AW$281,38,FALSE)="","",VLOOKUP(Thu_W1[[#This Row],[Employee Name]],'Base Schedules'!$A$243:$AW$281,38,FALSE)),"")</f>
        <v>-</v>
      </c>
      <c r="AN40" s="184" t="str">
        <f>IFERROR(IF(VLOOKUP(Thu_W1[[#This Row],[Employee Name]],'Base Schedules'!$A$243:$AW$281,39,FALSE)="","",VLOOKUP(Thu_W1[[#This Row],[Employee Name]],'Base Schedules'!$A$243:$AW$281,39,FALSE)),"")</f>
        <v>Coaching</v>
      </c>
      <c r="AO40" s="184" t="str">
        <f>IFERROR(IF(VLOOKUP(Thu_W1[[#This Row],[Employee Name]],'Base Schedules'!$A$243:$AW$281,40,FALSE)="","",VLOOKUP(Thu_W1[[#This Row],[Employee Name]],'Base Schedules'!$A$243:$AW$281,40,FALSE)),"")</f>
        <v>Coaching</v>
      </c>
      <c r="AP40" s="184" t="str">
        <f>IFERROR(IF(VLOOKUP(Thu_W1[[#This Row],[Employee Name]],'Base Schedules'!$A$243:$AW$281,41,FALSE)="","",VLOOKUP(Thu_W1[[#This Row],[Employee Name]],'Base Schedules'!$A$243:$AW$281,41,FALSE)),"")</f>
        <v>Coaching</v>
      </c>
      <c r="AQ40" s="184" t="str">
        <f>IFERROR(IF(VLOOKUP(Thu_W1[[#This Row],[Employee Name]],'Base Schedules'!$A$243:$AW$281,42,FALSE)="","",VLOOKUP(Thu_W1[[#This Row],[Employee Name]],'Base Schedules'!$A$243:$AW$281,42,FALSE)),"")</f>
        <v>Coaching</v>
      </c>
      <c r="AR40" s="184" t="str">
        <f>IFERROR(IF(VLOOKUP(Thu_W1[[#This Row],[Employee Name]],'Base Schedules'!$A$243:$AW$281,43,FALSE)="","",VLOOKUP(Thu_W1[[#This Row],[Employee Name]],'Base Schedules'!$A$243:$AW$281,43,FALSE)),"")</f>
        <v>-</v>
      </c>
      <c r="AS40" s="184" t="str">
        <f>IFERROR(IF(VLOOKUP(Thu_W1[[#This Row],[Employee Name]],'Base Schedules'!$A$243:$AW$281,44,FALSE)="","",VLOOKUP(Thu_W1[[#This Row],[Employee Name]],'Base Schedules'!$A$243:$AW$281,44,FALSE)),"")</f>
        <v>-</v>
      </c>
      <c r="AT40" s="184" t="str">
        <f>IFERROR(IF(VLOOKUP(Thu_W1[[#This Row],[Employee Name]],'Base Schedules'!$A$243:$AW$281,45,FALSE)="","",VLOOKUP(Thu_W1[[#This Row],[Employee Name]],'Base Schedules'!$A$243:$AW$281,45,FALSE)),"")</f>
        <v>-</v>
      </c>
      <c r="AU40" s="184" t="str">
        <f>IFERROR(IF(VLOOKUP(Thu_W1[[#This Row],[Employee Name]],'Base Schedules'!$A$243:$AW$281,46,FALSE)="","",VLOOKUP(Thu_W1[[#This Row],[Employee Name]],'Base Schedules'!$A$243:$AW$281,46,FALSE)),"")</f>
        <v>-</v>
      </c>
      <c r="AV40" s="184" t="str">
        <f>IFERROR(IF(VLOOKUP(Thu_W1[[#This Row],[Employee Name]],'Base Schedules'!$A$243:$AW$281,47,FALSE)="","",VLOOKUP(Thu_W1[[#This Row],[Employee Name]],'Base Schedules'!$A$243:$AW$281,47,FALSE)),"")</f>
        <v>-</v>
      </c>
      <c r="AW40" s="184" t="str">
        <f>IFERROR(IF(VLOOKUP(Thu_W1[[#This Row],[Employee Name]],'Base Schedules'!$A$243:$AW$281,48,FALSE)="","",VLOOKUP(Thu_W1[[#This Row],[Employee Name]],'Base Schedules'!$A$243:$AW$281,48,FALSE)),"")</f>
        <v>-</v>
      </c>
      <c r="AX40" s="184" t="str">
        <f>IFERROR(IF(VLOOKUP(Thu_W1[[#This Row],[Employee Name]],'Base Schedules'!$A$243:$AW$281,49,FALSE)="","",VLOOKUP(Thu_W1[[#This Row],[Employee Name]],'Base Schedules'!$A$243:$AW$281,49,FALSE)),"")</f>
        <v/>
      </c>
      <c r="AY40" s="164" t="str">
        <f t="shared" si="2"/>
        <v>Zornick, David</v>
      </c>
    </row>
    <row r="41" spans="1:51" s="44" customFormat="1" thickBot="1" x14ac:dyDescent="0.25">
      <c r="A41" s="39" t="str">
        <f>IF(B41="","",INDEX(TeamList[],MATCH($B41,TeamList[[Employee Name]:[Employee Name]],0),MATCH("Manager",TeamList[#Headers],0)))</f>
        <v>Olson, Katherine</v>
      </c>
      <c r="B41" s="201" t="s">
        <v>229</v>
      </c>
      <c r="C41" s="257" t="str">
        <f>_xlfn.IFNA(VLOOKUP(Thu_W1[[#This Row],[Employee Name]],'Base Schedules'!A:B,2,FALSE),"")</f>
        <v>Lead</v>
      </c>
      <c r="D41" s="274">
        <f>_xlfn.IFNA(VLOOKUP(Thu_W1[[#This Row],[Employee Name]],'Base Schedules'!A:C,3,FALSE),"")</f>
        <v>1630</v>
      </c>
      <c r="E41" s="274">
        <f>_xlfn.IFNA(VLOOKUP(Thu_W1[[#This Row],[Employee Name]],'Base Schedules'!A:D,4,FALSE),"")</f>
        <v>100</v>
      </c>
      <c r="F41" s="142">
        <f>IF(Thu_W1[[#This Row],[Employee Name]]="","",IF(Thu_W1[[#This Row],[Dept]]="Supervisor",COUNTIFS($J41:$AX41,"*HL*",$J41:$AX41,"&lt;&gt;"&amp;"pHL"),COUNTIFS($J41:$AX41,"*HL*",$J41:$AX41,"&lt;&gt;"&amp;"*pHL*",$J41:$AX41,"&lt;&gt;"&amp;"pB1 HL",$J41:$AX41,"&lt;&gt;"&amp;"pB2 HL")-SUM(COUNTIFS($J41:$AX41,"*HL B1*",$J41:$AX41,"&lt;&gt;"&amp;"pHL B1")*0.5,COUNTIFS($J41:$AX41,"*HL B2*",$J41:$AX41,"&lt;&gt;"&amp;"pHL B2")*0.5,COUNTIFS($J41:$AX41,"*B1 HL*",$J41:$AX41,"&lt;&gt;"&amp;"pB1 HL")*0.5,COUNTIFS($J41:$AX41,"*B2 HL*",$J41:$AX41,"&lt;&gt;"&amp;"pB2 HL")*0.5)))</f>
        <v>8.5</v>
      </c>
      <c r="G41" s="142">
        <f t="shared" si="3"/>
        <v>0</v>
      </c>
      <c r="H41" s="142">
        <f t="shared" si="1"/>
        <v>5</v>
      </c>
      <c r="I41" s="142">
        <f>IF(Thu_W1[[#This Row],[Employee Name]]="","",IF(Thu_W1[[#This Row],[Dept]]="Supervisor",SUM(COUNTIFS($J41:$AX41,"RTA*",$J41:$AX41,"&lt;&gt;"&amp;"pRTA"),COUNTIFS($J41:$AX41,"*CRTA*",$J41:$AX41,"&lt;&gt;"&amp;"pCRTA")),COUNTIFS($J41:$AX41,"*RNNR*",$J41:$AX41,"&lt;&gt;"&amp;"*pRNNR*",$J41:$AX41,"&lt;&gt;"&amp;"pB1 RNNR",$J41:$AX41,"&lt;&gt;"&amp;"pB2 RNNR")-SUM(COUNTIFS($J41:$AX41,"*RNNR B1*",$J41:$AX41,"&lt;&gt;"&amp;"pRNNR B1")*0.5,COUNTIFS($J41:$AX41,"*RNNR B2*",$J41:$AX41,"&lt;&gt;"&amp;"pRNNR B2")*0.5,COUNTIFS($J41:$AX41,"*B1 RNNR*",$J41:$AX41,"&lt;&gt;"&amp;"pB1 RNNR")*0.5,COUNTIFS($J41:$AX41,"*B2 RNNR*",$J41:$AX41,"&lt;&gt;"&amp;"pB2 RNNR")*0.5)))</f>
        <v>2</v>
      </c>
      <c r="J41" s="184" t="str">
        <f>IFERROR(IF(VLOOKUP(Thu_W1[[#This Row],[Employee Name]],'Base Schedules'!$A$243:$AW$281,9,FALSE)="","",VLOOKUP(Thu_W1[[#This Row],[Employee Name]],'Base Schedules'!$A$243:$AW$281,9,FALSE)),"")</f>
        <v/>
      </c>
      <c r="K41" s="184" t="str">
        <f>IFERROR(IF(VLOOKUP(Thu_W1[[#This Row],[Employee Name]],'Base Schedules'!$A$243:$AW$281,10,FALSE)="","",VLOOKUP(Thu_W1[[#This Row],[Employee Name]],'Base Schedules'!$A$243:$AW$281,10,FALSE)),"")</f>
        <v/>
      </c>
      <c r="L41" s="184" t="str">
        <f>IFERROR(IF(VLOOKUP(Thu_W1[[#This Row],[Employee Name]],'Base Schedules'!$A$243:$AW$281,11,FALSE)="","",VLOOKUP(Thu_W1[[#This Row],[Employee Name]],'Base Schedules'!$A$243:$AW$281,11,FALSE)),"")</f>
        <v/>
      </c>
      <c r="M41" s="184" t="str">
        <f>IFERROR(IF(VLOOKUP(Thu_W1[[#This Row],[Employee Name]],'Base Schedules'!$A$243:$AW$281,12,FALSE)="","",VLOOKUP(Thu_W1[[#This Row],[Employee Name]],'Base Schedules'!$A$243:$AW$281,12,FALSE)),"")</f>
        <v/>
      </c>
      <c r="N41" s="184" t="str">
        <f>IFERROR(IF(VLOOKUP(Thu_W1[[#This Row],[Employee Name]],'Base Schedules'!$A$243:$AW$281,13,FALSE)="","",VLOOKUP(Thu_W1[[#This Row],[Employee Name]],'Base Schedules'!$A$243:$AW$281,13,FALSE)),"")</f>
        <v/>
      </c>
      <c r="O41" s="184" t="str">
        <f>IFERROR(IF(VLOOKUP(Thu_W1[[#This Row],[Employee Name]],'Base Schedules'!$A$243:$AW$281,14,FALSE)="","",VLOOKUP(Thu_W1[[#This Row],[Employee Name]],'Base Schedules'!$A$243:$AW$281,14,FALSE)),"")</f>
        <v/>
      </c>
      <c r="P41" s="184" t="str">
        <f>IFERROR(IF(VLOOKUP(Thu_W1[[#This Row],[Employee Name]],'Base Schedules'!$A$243:$AW$281,15,FALSE)="","",VLOOKUP(Thu_W1[[#This Row],[Employee Name]],'Base Schedules'!$A$243:$AW$281,15,FALSE)),"")</f>
        <v/>
      </c>
      <c r="Q41" s="184" t="str">
        <f>IFERROR(IF(VLOOKUP(Thu_W1[[#This Row],[Employee Name]],'Base Schedules'!$A$243:$AW$281,16,FALSE)="","",VLOOKUP(Thu_W1[[#This Row],[Employee Name]],'Base Schedules'!$A$243:$AW$281,16,FALSE)),"")</f>
        <v/>
      </c>
      <c r="R41" s="184" t="str">
        <f>IFERROR(IF(VLOOKUP(Thu_W1[[#This Row],[Employee Name]],'Base Schedules'!$A$243:$AW$281,17,FALSE)="","",VLOOKUP(Thu_W1[[#This Row],[Employee Name]],'Base Schedules'!$A$243:$AW$281,17,FALSE)),"")</f>
        <v/>
      </c>
      <c r="S41" s="184" t="str">
        <f>IFERROR(IF(VLOOKUP(Thu_W1[[#This Row],[Employee Name]],'Base Schedules'!$A$243:$AW$281,18,FALSE)="","",VLOOKUP(Thu_W1[[#This Row],[Employee Name]],'Base Schedules'!$A$243:$AW$281,18,FALSE)),"")</f>
        <v/>
      </c>
      <c r="T41" s="184" t="str">
        <f>IFERROR(IF(VLOOKUP(Thu_W1[[#This Row],[Employee Name]],'Base Schedules'!$A$243:$AW$281,19,FALSE)="","",VLOOKUP(Thu_W1[[#This Row],[Employee Name]],'Base Schedules'!$A$243:$AW$281,19,FALSE)),"")</f>
        <v/>
      </c>
      <c r="U41" s="184" t="str">
        <f>IFERROR(IF(VLOOKUP(Thu_W1[[#This Row],[Employee Name]],'Base Schedules'!$A$243:$AW$281,20,FALSE)="","",VLOOKUP(Thu_W1[[#This Row],[Employee Name]],'Base Schedules'!$A$243:$AW$281,20,FALSE)),"")</f>
        <v/>
      </c>
      <c r="V41" s="184" t="str">
        <f>IFERROR(IF(VLOOKUP(Thu_W1[[#This Row],[Employee Name]],'Base Schedules'!$A$243:$AW$281,21,FALSE)="","",VLOOKUP(Thu_W1[[#This Row],[Employee Name]],'Base Schedules'!$A$243:$AW$281,21,FALSE)),"")</f>
        <v/>
      </c>
      <c r="W41" s="184" t="str">
        <f>IFERROR(IF(VLOOKUP(Thu_W1[[#This Row],[Employee Name]],'Base Schedules'!$A$243:$AW$281,22,FALSE)="","",VLOOKUP(Thu_W1[[#This Row],[Employee Name]],'Base Schedules'!$A$243:$AW$281,22,FALSE)),"")</f>
        <v/>
      </c>
      <c r="X41" s="184" t="str">
        <f>IFERROR(IF(VLOOKUP(Thu_W1[[#This Row],[Employee Name]],'Base Schedules'!$A$243:$AW$281,23,FALSE)="","",VLOOKUP(Thu_W1[[#This Row],[Employee Name]],'Base Schedules'!$A$243:$AW$281,23,FALSE)),"")</f>
        <v/>
      </c>
      <c r="Y41" s="184" t="str">
        <f>IFERROR(IF(VLOOKUP(Thu_W1[[#This Row],[Employee Name]],'Base Schedules'!$A$243:$AW$281,24,FALSE)="","",VLOOKUP(Thu_W1[[#This Row],[Employee Name]],'Base Schedules'!$A$243:$AW$281,24,FALSE)),"")</f>
        <v/>
      </c>
      <c r="Z41" s="184" t="str">
        <f>IFERROR(IF(VLOOKUP(Thu_W1[[#This Row],[Employee Name]],'Base Schedules'!$A$243:$AW$281,25,FALSE)="","",VLOOKUP(Thu_W1[[#This Row],[Employee Name]],'Base Schedules'!$A$243:$AW$281,25,FALSE)),"")</f>
        <v/>
      </c>
      <c r="AA41" s="184" t="str">
        <f>IFERROR(IF(VLOOKUP(Thu_W1[[#This Row],[Employee Name]],'Base Schedules'!$A$243:$AW$281,26,FALSE)="","",VLOOKUP(Thu_W1[[#This Row],[Employee Name]],'Base Schedules'!$A$243:$AW$281,26,FALSE)),"")</f>
        <v/>
      </c>
      <c r="AB41" s="184" t="str">
        <f>IFERROR(IF(VLOOKUP(Thu_W1[[#This Row],[Employee Name]],'Base Schedules'!$A$243:$AW$281,27,FALSE)="","",VLOOKUP(Thu_W1[[#This Row],[Employee Name]],'Base Schedules'!$A$243:$AW$281,27,FALSE)),"")</f>
        <v/>
      </c>
      <c r="AC41" s="184" t="str">
        <f>IFERROR(IF(VLOOKUP(Thu_W1[[#This Row],[Employee Name]],'Base Schedules'!$A$243:$AW$281,28,FALSE)="","",VLOOKUP(Thu_W1[[#This Row],[Employee Name]],'Base Schedules'!$A$243:$AW$281,28,FALSE)),"")</f>
        <v/>
      </c>
      <c r="AD41" s="184" t="str">
        <f>IFERROR(IF(VLOOKUP(Thu_W1[[#This Row],[Employee Name]],'Base Schedules'!$A$243:$AW$281,29,FALSE)="","",VLOOKUP(Thu_W1[[#This Row],[Employee Name]],'Base Schedules'!$A$243:$AW$281,29,FALSE)),"")</f>
        <v/>
      </c>
      <c r="AE41" s="184" t="str">
        <f>IFERROR(IF(VLOOKUP(Thu_W1[[#This Row],[Employee Name]],'Base Schedules'!$A$243:$AW$281,30,FALSE)="","",VLOOKUP(Thu_W1[[#This Row],[Employee Name]],'Base Schedules'!$A$243:$AW$281,30,FALSE)),"")</f>
        <v/>
      </c>
      <c r="AF41" s="184" t="str">
        <f>IFERROR(IF(VLOOKUP(Thu_W1[[#This Row],[Employee Name]],'Base Schedules'!$A$243:$AW$281,31,FALSE)="","",VLOOKUP(Thu_W1[[#This Row],[Employee Name]],'Base Schedules'!$A$243:$AW$281,31,FALSE)),"")</f>
        <v/>
      </c>
      <c r="AG41" s="184" t="str">
        <f>IFERROR(IF(VLOOKUP(Thu_W1[[#This Row],[Employee Name]],'Base Schedules'!$A$243:$AW$281,32,FALSE)="","",VLOOKUP(Thu_W1[[#This Row],[Employee Name]],'Base Schedules'!$A$243:$AW$281,32,FALSE)),"")</f>
        <v>ADM</v>
      </c>
      <c r="AH41" s="184" t="str">
        <f>IFERROR(IF(VLOOKUP(Thu_W1[[#This Row],[Employee Name]],'Base Schedules'!$A$243:$AW$281,33,FALSE)="","",VLOOKUP(Thu_W1[[#This Row],[Employee Name]],'Base Schedules'!$A$243:$AW$281,33,FALSE)),"")</f>
        <v>ADM</v>
      </c>
      <c r="AI41" s="184" t="str">
        <f>IFERROR(IF(VLOOKUP(Thu_W1[[#This Row],[Employee Name]],'Base Schedules'!$A$243:$AW$281,34,FALSE)="","",VLOOKUP(Thu_W1[[#This Row],[Employee Name]],'Base Schedules'!$A$243:$AW$281,34,FALSE)),"")</f>
        <v>ADM</v>
      </c>
      <c r="AJ41" s="184" t="str">
        <f>IFERROR(IF(VLOOKUP(Thu_W1[[#This Row],[Employee Name]],'Base Schedules'!$A$243:$AW$281,35,FALSE)="","",VLOOKUP(Thu_W1[[#This Row],[Employee Name]],'Base Schedules'!$A$243:$AW$281,35,FALSE)),"")</f>
        <v>ADM</v>
      </c>
      <c r="AK41" s="184" t="str">
        <f>IFERROR(IF(VLOOKUP(Thu_W1[[#This Row],[Employee Name]],'Base Schedules'!$A$243:$AW$281,36,FALSE)="","",VLOOKUP(Thu_W1[[#This Row],[Employee Name]],'Base Schedules'!$A$243:$AW$281,36,FALSE)),"")</f>
        <v>ADM B1</v>
      </c>
      <c r="AL41" s="184" t="str">
        <f>IFERROR(IF(VLOOKUP(Thu_W1[[#This Row],[Employee Name]],'Base Schedules'!$A$243:$AW$281,37,FALSE)="","",VLOOKUP(Thu_W1[[#This Row],[Employee Name]],'Base Schedules'!$A$243:$AW$281,37,FALSE)),"")</f>
        <v>RNNR</v>
      </c>
      <c r="AM41" s="184" t="str">
        <f>IFERROR(IF(VLOOKUP(Thu_W1[[#This Row],[Employee Name]],'Base Schedules'!$A$243:$AW$281,38,FALSE)="","",VLOOKUP(Thu_W1[[#This Row],[Employee Name]],'Base Schedules'!$A$243:$AW$281,38,FALSE)),"")</f>
        <v>RNNR</v>
      </c>
      <c r="AN41" s="184" t="str">
        <f>IFERROR(IF(VLOOKUP(Thu_W1[[#This Row],[Employee Name]],'Base Schedules'!$A$243:$AW$281,39,FALSE)="","",VLOOKUP(Thu_W1[[#This Row],[Employee Name]],'Base Schedules'!$A$243:$AW$281,39,FALSE)),"")</f>
        <v>HL</v>
      </c>
      <c r="AO41" s="184" t="str">
        <f>IFERROR(IF(VLOOKUP(Thu_W1[[#This Row],[Employee Name]],'Base Schedules'!$A$243:$AW$281,40,FALSE)="","",VLOOKUP(Thu_W1[[#This Row],[Employee Name]],'Base Schedules'!$A$243:$AW$281,40,FALSE)),"")</f>
        <v>LUNCH</v>
      </c>
      <c r="AP41" s="184" t="str">
        <f>IFERROR(IF(VLOOKUP(Thu_W1[[#This Row],[Employee Name]],'Base Schedules'!$A$243:$AW$281,41,FALSE)="","",VLOOKUP(Thu_W1[[#This Row],[Employee Name]],'Base Schedules'!$A$243:$AW$281,41,FALSE)),"")</f>
        <v>HL</v>
      </c>
      <c r="AQ41" s="184" t="str">
        <f>IFERROR(IF(VLOOKUP(Thu_W1[[#This Row],[Employee Name]],'Base Schedules'!$A$243:$AW$281,42,FALSE)="","",VLOOKUP(Thu_W1[[#This Row],[Employee Name]],'Base Schedules'!$A$243:$AW$281,42,FALSE)),"")</f>
        <v>HL</v>
      </c>
      <c r="AR41" s="184" t="str">
        <f>IFERROR(IF(VLOOKUP(Thu_W1[[#This Row],[Employee Name]],'Base Schedules'!$A$243:$AW$281,43,FALSE)="","",VLOOKUP(Thu_W1[[#This Row],[Employee Name]],'Base Schedules'!$A$243:$AW$281,43,FALSE)),"")</f>
        <v>HL</v>
      </c>
      <c r="AS41" s="184" t="str">
        <f>IFERROR(IF(VLOOKUP(Thu_W1[[#This Row],[Employee Name]],'Base Schedules'!$A$243:$AW$281,44,FALSE)="","",VLOOKUP(Thu_W1[[#This Row],[Employee Name]],'Base Schedules'!$A$243:$AW$281,44,FALSE)),"")</f>
        <v>B1 HL</v>
      </c>
      <c r="AT41" s="184" t="str">
        <f>IFERROR(IF(VLOOKUP(Thu_W1[[#This Row],[Employee Name]],'Base Schedules'!$A$243:$AW$281,45,FALSE)="","",VLOOKUP(Thu_W1[[#This Row],[Employee Name]],'Base Schedules'!$A$243:$AW$281,45,FALSE)),"")</f>
        <v>HL</v>
      </c>
      <c r="AU41" s="184" t="str">
        <f>IFERROR(IF(VLOOKUP(Thu_W1[[#This Row],[Employee Name]],'Base Schedules'!$A$243:$AW$281,46,FALSE)="","",VLOOKUP(Thu_W1[[#This Row],[Employee Name]],'Base Schedules'!$A$243:$AW$281,46,FALSE)),"")</f>
        <v>hl</v>
      </c>
      <c r="AV41" s="184" t="str">
        <f>IFERROR(IF(VLOOKUP(Thu_W1[[#This Row],[Employee Name]],'Base Schedules'!$A$243:$AW$281,47,FALSE)="","",VLOOKUP(Thu_W1[[#This Row],[Employee Name]],'Base Schedules'!$A$243:$AW$281,47,FALSE)),"")</f>
        <v>HL</v>
      </c>
      <c r="AW41" s="184" t="str">
        <f>IFERROR(IF(VLOOKUP(Thu_W1[[#This Row],[Employee Name]],'Base Schedules'!$A$243:$AW$281,48,FALSE)="","",VLOOKUP(Thu_W1[[#This Row],[Employee Name]],'Base Schedules'!$A$243:$AW$281,48,FALSE)),"")</f>
        <v>HL</v>
      </c>
      <c r="AX41" s="184" t="str">
        <f>IFERROR(IF(VLOOKUP(Thu_W1[[#This Row],[Employee Name]],'Base Schedules'!$A$243:$AW$281,49,FALSE)="","",VLOOKUP(Thu_W1[[#This Row],[Employee Name]],'Base Schedules'!$A$243:$AW$281,49,FALSE)),"")</f>
        <v/>
      </c>
      <c r="AY41" s="166" t="str">
        <f t="shared" si="2"/>
        <v>Fairbrother, Amy</v>
      </c>
    </row>
    <row r="42" spans="1:51" s="44" customFormat="1" hidden="1" thickBot="1" x14ac:dyDescent="0.25">
      <c r="A42" s="39" t="str">
        <f>IF(B42="","",INDEX(TeamList[],MATCH($B42,TeamList[[Employee Name]:[Employee Name]],0),MATCH("Manager",TeamList[#Headers],0)))</f>
        <v/>
      </c>
      <c r="B42" s="201"/>
      <c r="C42" s="257" t="str">
        <f>_xlfn.IFNA(VLOOKUP(Thu_W1[[#This Row],[Employee Name]],'Base Schedules'!A:B,2,FALSE),"")</f>
        <v/>
      </c>
      <c r="D42" s="274" t="str">
        <f>_xlfn.IFNA(VLOOKUP(Thu_W1[[#This Row],[Employee Name]],'Base Schedules'!A:C,3,FALSE),"")</f>
        <v/>
      </c>
      <c r="E42" s="274" t="str">
        <f>_xlfn.IFNA(VLOOKUP(Thu_W1[[#This Row],[Employee Name]],'Base Schedules'!A:D,4,FALSE),"")</f>
        <v/>
      </c>
      <c r="F42" s="142" t="str">
        <f>IF(Thu_W1[[#This Row],[Employee Name]]="","",IF(Thu_W1[[#This Row],[Dept]]="Supervisor",COUNTIFS($J42:$AX42,"*HL*",$J42:$AX42,"&lt;&gt;"&amp;"pHL"),COUNTIFS($J42:$AX42,"*HL*",$J42:$AX42,"&lt;&gt;"&amp;"*pHL*",$J42:$AX42,"&lt;&gt;"&amp;"pB1 HL",$J42:$AX42,"&lt;&gt;"&amp;"pB2 HL")-SUM(COUNTIFS($J42:$AX42,"*HL B1*",$J42:$AX42,"&lt;&gt;"&amp;"pHL B1")*0.5,COUNTIFS($J42:$AX42,"*HL B2*",$J42:$AX42,"&lt;&gt;"&amp;"pHL B2")*0.5,COUNTIFS($J42:$AX42,"*B1 HL*",$J42:$AX42,"&lt;&gt;"&amp;"pB1 HL")*0.5,COUNTIFS($J42:$AX42,"*B2 HL*",$J42:$AX42,"&lt;&gt;"&amp;"pB2 HL")*0.5)))</f>
        <v/>
      </c>
      <c r="G42" s="142" t="str">
        <f t="shared" ref="G42:G56" si="4">IF(B42="","",COUNTIFS($J42:$AX42,"*TM*",$J42:$AX42,"&lt;&gt;"&amp;"pTM",$J42:$AX42,"&lt;&gt;"&amp;"uTM"))</f>
        <v/>
      </c>
      <c r="H42" s="142" t="str">
        <f t="shared" si="1"/>
        <v/>
      </c>
      <c r="I42" s="142" t="str">
        <f>IF(Thu_W1[[#This Row],[Employee Name]]="","",IF(Thu_W1[[#This Row],[Dept]]="Supervisor",SUM(COUNTIFS($J42:$AX42,"RTA*",$J42:$AX42,"&lt;&gt;"&amp;"pRTA"),COUNTIFS($J42:$AX42,"*CRTA*",$J42:$AX42,"&lt;&gt;"&amp;"pCRTA")),COUNTIFS($J42:$AX42,"*RNNR*",$J42:$AX42,"&lt;&gt;"&amp;"*pRNNR*",$J42:$AX42,"&lt;&gt;"&amp;"pB1 RNNR",$J42:$AX42,"&lt;&gt;"&amp;"pB2 RNNR")-SUM(COUNTIFS($J42:$AX42,"*RNNR B1*",$J42:$AX42,"&lt;&gt;"&amp;"pRNNR B1")*0.5,COUNTIFS($J42:$AX42,"*RNNR B2*",$J42:$AX42,"&lt;&gt;"&amp;"pRNNR B2")*0.5,COUNTIFS($J42:$AX42,"*B1 RNNR*",$J42:$AX42,"&lt;&gt;"&amp;"pB1 RNNR")*0.5,COUNTIFS($J42:$AX42,"*B2 RNNR*",$J42:$AX42,"&lt;&gt;"&amp;"pB2 RNNR")*0.5)))</f>
        <v/>
      </c>
      <c r="J42" s="184" t="str">
        <f>IFERROR(IF(VLOOKUP(Thu_W1[[#This Row],[Employee Name]],'Base Schedules'!$A$243:$AW$281,9,FALSE)="","",VLOOKUP(Thu_W1[[#This Row],[Employee Name]],'Base Schedules'!$A$243:$AW$281,9,FALSE)),"")</f>
        <v/>
      </c>
      <c r="K42" s="184" t="str">
        <f>IFERROR(IF(VLOOKUP(Thu_W1[[#This Row],[Employee Name]],'Base Schedules'!$A$243:$AW$281,10,FALSE)="","",VLOOKUP(Thu_W1[[#This Row],[Employee Name]],'Base Schedules'!$A$243:$AW$281,10,FALSE)),"")</f>
        <v/>
      </c>
      <c r="L42" s="184" t="str">
        <f>IFERROR(IF(VLOOKUP(Thu_W1[[#This Row],[Employee Name]],'Base Schedules'!$A$243:$AW$281,11,FALSE)="","",VLOOKUP(Thu_W1[[#This Row],[Employee Name]],'Base Schedules'!$A$243:$AW$281,11,FALSE)),"")</f>
        <v/>
      </c>
      <c r="M42" s="184" t="str">
        <f>IFERROR(IF(VLOOKUP(Thu_W1[[#This Row],[Employee Name]],'Base Schedules'!$A$243:$AW$281,12,FALSE)="","",VLOOKUP(Thu_W1[[#This Row],[Employee Name]],'Base Schedules'!$A$243:$AW$281,12,FALSE)),"")</f>
        <v/>
      </c>
      <c r="N42" s="184" t="str">
        <f>IFERROR(IF(VLOOKUP(Thu_W1[[#This Row],[Employee Name]],'Base Schedules'!$A$243:$AW$281,13,FALSE)="","",VLOOKUP(Thu_W1[[#This Row],[Employee Name]],'Base Schedules'!$A$243:$AW$281,13,FALSE)),"")</f>
        <v/>
      </c>
      <c r="O42" s="184" t="str">
        <f>IFERROR(IF(VLOOKUP(Thu_W1[[#This Row],[Employee Name]],'Base Schedules'!$A$243:$AW$281,14,FALSE)="","",VLOOKUP(Thu_W1[[#This Row],[Employee Name]],'Base Schedules'!$A$243:$AW$281,14,FALSE)),"")</f>
        <v/>
      </c>
      <c r="P42" s="184" t="str">
        <f>IFERROR(IF(VLOOKUP(Thu_W1[[#This Row],[Employee Name]],'Base Schedules'!$A$243:$AW$281,15,FALSE)="","",VLOOKUP(Thu_W1[[#This Row],[Employee Name]],'Base Schedules'!$A$243:$AW$281,15,FALSE)),"")</f>
        <v/>
      </c>
      <c r="Q42" s="184" t="str">
        <f>IFERROR(IF(VLOOKUP(Thu_W1[[#This Row],[Employee Name]],'Base Schedules'!$A$243:$AW$281,16,FALSE)="","",VLOOKUP(Thu_W1[[#This Row],[Employee Name]],'Base Schedules'!$A$243:$AW$281,16,FALSE)),"")</f>
        <v/>
      </c>
      <c r="R42" s="184" t="str">
        <f>IFERROR(IF(VLOOKUP(Thu_W1[[#This Row],[Employee Name]],'Base Schedules'!$A$243:$AW$281,17,FALSE)="","",VLOOKUP(Thu_W1[[#This Row],[Employee Name]],'Base Schedules'!$A$243:$AW$281,17,FALSE)),"")</f>
        <v/>
      </c>
      <c r="S42" s="184" t="str">
        <f>IFERROR(IF(VLOOKUP(Thu_W1[[#This Row],[Employee Name]],'Base Schedules'!$A$243:$AW$281,18,FALSE)="","",VLOOKUP(Thu_W1[[#This Row],[Employee Name]],'Base Schedules'!$A$243:$AW$281,18,FALSE)),"")</f>
        <v/>
      </c>
      <c r="T42" s="184" t="str">
        <f>IFERROR(IF(VLOOKUP(Thu_W1[[#This Row],[Employee Name]],'Base Schedules'!$A$243:$AW$281,19,FALSE)="","",VLOOKUP(Thu_W1[[#This Row],[Employee Name]],'Base Schedules'!$A$243:$AW$281,19,FALSE)),"")</f>
        <v/>
      </c>
      <c r="U42" s="184" t="str">
        <f>IFERROR(IF(VLOOKUP(Thu_W1[[#This Row],[Employee Name]],'Base Schedules'!$A$243:$AW$281,20,FALSE)="","",VLOOKUP(Thu_W1[[#This Row],[Employee Name]],'Base Schedules'!$A$243:$AW$281,20,FALSE)),"")</f>
        <v/>
      </c>
      <c r="V42" s="184" t="str">
        <f>IFERROR(IF(VLOOKUP(Thu_W1[[#This Row],[Employee Name]],'Base Schedules'!$A$243:$AW$281,21,FALSE)="","",VLOOKUP(Thu_W1[[#This Row],[Employee Name]],'Base Schedules'!$A$243:$AW$281,21,FALSE)),"")</f>
        <v/>
      </c>
      <c r="W42" s="184" t="str">
        <f>IFERROR(IF(VLOOKUP(Thu_W1[[#This Row],[Employee Name]],'Base Schedules'!$A$243:$AW$281,22,FALSE)="","",VLOOKUP(Thu_W1[[#This Row],[Employee Name]],'Base Schedules'!$A$243:$AW$281,22,FALSE)),"")</f>
        <v/>
      </c>
      <c r="X42" s="184" t="str">
        <f>IFERROR(IF(VLOOKUP(Thu_W1[[#This Row],[Employee Name]],'Base Schedules'!$A$243:$AW$281,23,FALSE)="","",VLOOKUP(Thu_W1[[#This Row],[Employee Name]],'Base Schedules'!$A$243:$AW$281,23,FALSE)),"")</f>
        <v/>
      </c>
      <c r="Y42" s="184" t="str">
        <f>IFERROR(IF(VLOOKUP(Thu_W1[[#This Row],[Employee Name]],'Base Schedules'!$A$243:$AW$281,24,FALSE)="","",VLOOKUP(Thu_W1[[#This Row],[Employee Name]],'Base Schedules'!$A$243:$AW$281,24,FALSE)),"")</f>
        <v/>
      </c>
      <c r="Z42" s="184" t="str">
        <f>IFERROR(IF(VLOOKUP(Thu_W1[[#This Row],[Employee Name]],'Base Schedules'!$A$243:$AW$281,25,FALSE)="","",VLOOKUP(Thu_W1[[#This Row],[Employee Name]],'Base Schedules'!$A$243:$AW$281,25,FALSE)),"")</f>
        <v/>
      </c>
      <c r="AA42" s="184" t="str">
        <f>IFERROR(IF(VLOOKUP(Thu_W1[[#This Row],[Employee Name]],'Base Schedules'!$A$243:$AW$281,26,FALSE)="","",VLOOKUP(Thu_W1[[#This Row],[Employee Name]],'Base Schedules'!$A$243:$AW$281,26,FALSE)),"")</f>
        <v/>
      </c>
      <c r="AB42" s="184" t="str">
        <f>IFERROR(IF(VLOOKUP(Thu_W1[[#This Row],[Employee Name]],'Base Schedules'!$A$243:$AW$281,27,FALSE)="","",VLOOKUP(Thu_W1[[#This Row],[Employee Name]],'Base Schedules'!$A$243:$AW$281,27,FALSE)),"")</f>
        <v/>
      </c>
      <c r="AC42" s="184" t="str">
        <f>IFERROR(IF(VLOOKUP(Thu_W1[[#This Row],[Employee Name]],'Base Schedules'!$A$243:$AW$281,28,FALSE)="","",VLOOKUP(Thu_W1[[#This Row],[Employee Name]],'Base Schedules'!$A$243:$AW$281,28,FALSE)),"")</f>
        <v/>
      </c>
      <c r="AD42" s="184" t="str">
        <f>IFERROR(IF(VLOOKUP(Thu_W1[[#This Row],[Employee Name]],'Base Schedules'!$A$243:$AW$281,29,FALSE)="","",VLOOKUP(Thu_W1[[#This Row],[Employee Name]],'Base Schedules'!$A$243:$AW$281,29,FALSE)),"")</f>
        <v/>
      </c>
      <c r="AE42" s="184" t="str">
        <f>IFERROR(IF(VLOOKUP(Thu_W1[[#This Row],[Employee Name]],'Base Schedules'!$A$243:$AW$281,30,FALSE)="","",VLOOKUP(Thu_W1[[#This Row],[Employee Name]],'Base Schedules'!$A$243:$AW$281,30,FALSE)),"")</f>
        <v/>
      </c>
      <c r="AF42" s="184" t="str">
        <f>IFERROR(IF(VLOOKUP(Thu_W1[[#This Row],[Employee Name]],'Base Schedules'!$A$243:$AW$281,31,FALSE)="","",VLOOKUP(Thu_W1[[#This Row],[Employee Name]],'Base Schedules'!$A$243:$AW$281,31,FALSE)),"")</f>
        <v/>
      </c>
      <c r="AG42" s="184" t="str">
        <f>IFERROR(IF(VLOOKUP(Thu_W1[[#This Row],[Employee Name]],'Base Schedules'!$A$243:$AW$281,32,FALSE)="","",VLOOKUP(Thu_W1[[#This Row],[Employee Name]],'Base Schedules'!$A$243:$AW$281,32,FALSE)),"")</f>
        <v/>
      </c>
      <c r="AH42" s="184" t="str">
        <f>IFERROR(IF(VLOOKUP(Thu_W1[[#This Row],[Employee Name]],'Base Schedules'!$A$243:$AW$281,33,FALSE)="","",VLOOKUP(Thu_W1[[#This Row],[Employee Name]],'Base Schedules'!$A$243:$AW$281,33,FALSE)),"")</f>
        <v/>
      </c>
      <c r="AI42" s="184" t="str">
        <f>IFERROR(IF(VLOOKUP(Thu_W1[[#This Row],[Employee Name]],'Base Schedules'!$A$243:$AW$281,34,FALSE)="","",VLOOKUP(Thu_W1[[#This Row],[Employee Name]],'Base Schedules'!$A$243:$AW$281,34,FALSE)),"")</f>
        <v/>
      </c>
      <c r="AJ42" s="184" t="str">
        <f>IFERROR(IF(VLOOKUP(Thu_W1[[#This Row],[Employee Name]],'Base Schedules'!$A$243:$AW$281,35,FALSE)="","",VLOOKUP(Thu_W1[[#This Row],[Employee Name]],'Base Schedules'!$A$243:$AW$281,35,FALSE)),"")</f>
        <v/>
      </c>
      <c r="AK42" s="184" t="str">
        <f>IFERROR(IF(VLOOKUP(Thu_W1[[#This Row],[Employee Name]],'Base Schedules'!$A$243:$AW$281,36,FALSE)="","",VLOOKUP(Thu_W1[[#This Row],[Employee Name]],'Base Schedules'!$A$243:$AW$281,36,FALSE)),"")</f>
        <v/>
      </c>
      <c r="AL42" s="184" t="str">
        <f>IFERROR(IF(VLOOKUP(Thu_W1[[#This Row],[Employee Name]],'Base Schedules'!$A$243:$AW$281,37,FALSE)="","",VLOOKUP(Thu_W1[[#This Row],[Employee Name]],'Base Schedules'!$A$243:$AW$281,37,FALSE)),"")</f>
        <v/>
      </c>
      <c r="AM42" s="184" t="str">
        <f>IFERROR(IF(VLOOKUP(Thu_W1[[#This Row],[Employee Name]],'Base Schedules'!$A$243:$AW$281,38,FALSE)="","",VLOOKUP(Thu_W1[[#This Row],[Employee Name]],'Base Schedules'!$A$243:$AW$281,38,FALSE)),"")</f>
        <v/>
      </c>
      <c r="AN42" s="184" t="str">
        <f>IFERROR(IF(VLOOKUP(Thu_W1[[#This Row],[Employee Name]],'Base Schedules'!$A$243:$AW$281,39,FALSE)="","",VLOOKUP(Thu_W1[[#This Row],[Employee Name]],'Base Schedules'!$A$243:$AW$281,39,FALSE)),"")</f>
        <v/>
      </c>
      <c r="AO42" s="184" t="str">
        <f>IFERROR(IF(VLOOKUP(Thu_W1[[#This Row],[Employee Name]],'Base Schedules'!$A$243:$AW$281,40,FALSE)="","",VLOOKUP(Thu_W1[[#This Row],[Employee Name]],'Base Schedules'!$A$243:$AW$281,40,FALSE)),"")</f>
        <v/>
      </c>
      <c r="AP42" s="184" t="str">
        <f>IFERROR(IF(VLOOKUP(Thu_W1[[#This Row],[Employee Name]],'Base Schedules'!$A$243:$AW$281,41,FALSE)="","",VLOOKUP(Thu_W1[[#This Row],[Employee Name]],'Base Schedules'!$A$243:$AW$281,41,FALSE)),"")</f>
        <v/>
      </c>
      <c r="AQ42" s="184" t="str">
        <f>IFERROR(IF(VLOOKUP(Thu_W1[[#This Row],[Employee Name]],'Base Schedules'!$A$243:$AW$281,42,FALSE)="","",VLOOKUP(Thu_W1[[#This Row],[Employee Name]],'Base Schedules'!$A$243:$AW$281,42,FALSE)),"")</f>
        <v/>
      </c>
      <c r="AR42" s="184" t="str">
        <f>IFERROR(IF(VLOOKUP(Thu_W1[[#This Row],[Employee Name]],'Base Schedules'!$A$243:$AW$281,43,FALSE)="","",VLOOKUP(Thu_W1[[#This Row],[Employee Name]],'Base Schedules'!$A$243:$AW$281,43,FALSE)),"")</f>
        <v/>
      </c>
      <c r="AS42" s="184" t="str">
        <f>IFERROR(IF(VLOOKUP(Thu_W1[[#This Row],[Employee Name]],'Base Schedules'!$A$243:$AW$281,44,FALSE)="","",VLOOKUP(Thu_W1[[#This Row],[Employee Name]],'Base Schedules'!$A$243:$AW$281,44,FALSE)),"")</f>
        <v/>
      </c>
      <c r="AT42" s="184" t="str">
        <f>IFERROR(IF(VLOOKUP(Thu_W1[[#This Row],[Employee Name]],'Base Schedules'!$A$243:$AW$281,45,FALSE)="","",VLOOKUP(Thu_W1[[#This Row],[Employee Name]],'Base Schedules'!$A$243:$AW$281,45,FALSE)),"")</f>
        <v/>
      </c>
      <c r="AU42" s="184" t="str">
        <f>IFERROR(IF(VLOOKUP(Thu_W1[[#This Row],[Employee Name]],'Base Schedules'!$A$243:$AW$281,46,FALSE)="","",VLOOKUP(Thu_W1[[#This Row],[Employee Name]],'Base Schedules'!$A$243:$AW$281,46,FALSE)),"")</f>
        <v/>
      </c>
      <c r="AV42" s="184" t="str">
        <f>IFERROR(IF(VLOOKUP(Thu_W1[[#This Row],[Employee Name]],'Base Schedules'!$A$243:$AW$281,47,FALSE)="","",VLOOKUP(Thu_W1[[#This Row],[Employee Name]],'Base Schedules'!$A$243:$AW$281,47,FALSE)),"")</f>
        <v/>
      </c>
      <c r="AW42" s="184" t="str">
        <f>IFERROR(IF(VLOOKUP(Thu_W1[[#This Row],[Employee Name]],'Base Schedules'!$A$243:$AW$281,48,FALSE)="","",VLOOKUP(Thu_W1[[#This Row],[Employee Name]],'Base Schedules'!$A$243:$AW$281,48,FALSE)),"")</f>
        <v/>
      </c>
      <c r="AX42" s="184" t="str">
        <f>IFERROR(IF(VLOOKUP(Thu_W1[[#This Row],[Employee Name]],'Base Schedules'!$A$243:$AW$281,49,FALSE)="","",VLOOKUP(Thu_W1[[#This Row],[Employee Name]],'Base Schedules'!$A$243:$AW$281,49,FALSE)),"")</f>
        <v/>
      </c>
      <c r="AY42" s="165" t="str">
        <f t="shared" si="2"/>
        <v/>
      </c>
    </row>
    <row r="43" spans="1:51" s="44" customFormat="1" hidden="1" thickBot="1" x14ac:dyDescent="0.25">
      <c r="A43" s="39" t="str">
        <f>IF(B43="","",INDEX(TeamList[],MATCH($B43,TeamList[[Employee Name]:[Employee Name]],0),MATCH("Manager",TeamList[#Headers],0)))</f>
        <v/>
      </c>
      <c r="B43" s="201"/>
      <c r="C43" s="257" t="str">
        <f>_xlfn.IFNA(VLOOKUP(Thu_W1[[#This Row],[Employee Name]],'Base Schedules'!A:B,2,FALSE),"")</f>
        <v/>
      </c>
      <c r="D43" s="274" t="str">
        <f>_xlfn.IFNA(VLOOKUP(Thu_W1[[#This Row],[Employee Name]],'Base Schedules'!A:C,3,FALSE),"")</f>
        <v/>
      </c>
      <c r="E43" s="274" t="str">
        <f>_xlfn.IFNA(VLOOKUP(Thu_W1[[#This Row],[Employee Name]],'Base Schedules'!A:D,4,FALSE),"")</f>
        <v/>
      </c>
      <c r="F43" s="142" t="str">
        <f>IF(Thu_W1[[#This Row],[Employee Name]]="","",IF(Thu_W1[[#This Row],[Dept]]="Supervisor",COUNTIFS($J43:$AX43,"*HL*",$J43:$AX43,"&lt;&gt;"&amp;"pHL"),COUNTIFS($J43:$AX43,"*HL*",$J43:$AX43,"&lt;&gt;"&amp;"*pHL*",$J43:$AX43,"&lt;&gt;"&amp;"pB1 HL",$J43:$AX43,"&lt;&gt;"&amp;"pB2 HL")-SUM(COUNTIFS($J43:$AX43,"*HL B1*",$J43:$AX43,"&lt;&gt;"&amp;"pHL B1")*0.5,COUNTIFS($J43:$AX43,"*HL B2*",$J43:$AX43,"&lt;&gt;"&amp;"pHL B2")*0.5,COUNTIFS($J43:$AX43,"*B1 HL*",$J43:$AX43,"&lt;&gt;"&amp;"pB1 HL")*0.5,COUNTIFS($J43:$AX43,"*B2 HL*",$J43:$AX43,"&lt;&gt;"&amp;"pB2 HL")*0.5)))</f>
        <v/>
      </c>
      <c r="G43" s="142" t="str">
        <f t="shared" si="4"/>
        <v/>
      </c>
      <c r="H43" s="142" t="str">
        <f t="shared" si="1"/>
        <v/>
      </c>
      <c r="I43" s="142" t="str">
        <f>IF(Thu_W1[[#This Row],[Employee Name]]="","",IF(Thu_W1[[#This Row],[Dept]]="Supervisor",SUM(COUNTIFS($J43:$AX43,"RTA*",$J43:$AX43,"&lt;&gt;"&amp;"pRTA"),COUNTIFS($J43:$AX43,"*CRTA*",$J43:$AX43,"&lt;&gt;"&amp;"pCRTA")),COUNTIFS($J43:$AX43,"*RNNR*",$J43:$AX43,"&lt;&gt;"&amp;"*pRNNR*",$J43:$AX43,"&lt;&gt;"&amp;"pB1 RNNR",$J43:$AX43,"&lt;&gt;"&amp;"pB2 RNNR")-SUM(COUNTIFS($J43:$AX43,"*RNNR B1*",$J43:$AX43,"&lt;&gt;"&amp;"pRNNR B1")*0.5,COUNTIFS($J43:$AX43,"*RNNR B2*",$J43:$AX43,"&lt;&gt;"&amp;"pRNNR B2")*0.5,COUNTIFS($J43:$AX43,"*B1 RNNR*",$J43:$AX43,"&lt;&gt;"&amp;"pB1 RNNR")*0.5,COUNTIFS($J43:$AX43,"*B2 RNNR*",$J43:$AX43,"&lt;&gt;"&amp;"pB2 RNNR")*0.5)))</f>
        <v/>
      </c>
      <c r="J43" s="184" t="str">
        <f>IFERROR(IF(VLOOKUP(Thu_W1[[#This Row],[Employee Name]],'Base Schedules'!$A$243:$AW$281,9,FALSE)="","",VLOOKUP(Thu_W1[[#This Row],[Employee Name]],'Base Schedules'!$A$243:$AW$281,9,FALSE)),"")</f>
        <v/>
      </c>
      <c r="K43" s="184" t="str">
        <f>IFERROR(IF(VLOOKUP(Thu_W1[[#This Row],[Employee Name]],'Base Schedules'!$A$243:$AW$281,10,FALSE)="","",VLOOKUP(Thu_W1[[#This Row],[Employee Name]],'Base Schedules'!$A$243:$AW$281,10,FALSE)),"")</f>
        <v/>
      </c>
      <c r="L43" s="184" t="str">
        <f>IFERROR(IF(VLOOKUP(Thu_W1[[#This Row],[Employee Name]],'Base Schedules'!$A$243:$AW$281,11,FALSE)="","",VLOOKUP(Thu_W1[[#This Row],[Employee Name]],'Base Schedules'!$A$243:$AW$281,11,FALSE)),"")</f>
        <v/>
      </c>
      <c r="M43" s="184" t="str">
        <f>IFERROR(IF(VLOOKUP(Thu_W1[[#This Row],[Employee Name]],'Base Schedules'!$A$243:$AW$281,12,FALSE)="","",VLOOKUP(Thu_W1[[#This Row],[Employee Name]],'Base Schedules'!$A$243:$AW$281,12,FALSE)),"")</f>
        <v/>
      </c>
      <c r="N43" s="184" t="str">
        <f>IFERROR(IF(VLOOKUP(Thu_W1[[#This Row],[Employee Name]],'Base Schedules'!$A$243:$AW$281,13,FALSE)="","",VLOOKUP(Thu_W1[[#This Row],[Employee Name]],'Base Schedules'!$A$243:$AW$281,13,FALSE)),"")</f>
        <v/>
      </c>
      <c r="O43" s="184" t="str">
        <f>IFERROR(IF(VLOOKUP(Thu_W1[[#This Row],[Employee Name]],'Base Schedules'!$A$243:$AW$281,14,FALSE)="","",VLOOKUP(Thu_W1[[#This Row],[Employee Name]],'Base Schedules'!$A$243:$AW$281,14,FALSE)),"")</f>
        <v/>
      </c>
      <c r="P43" s="184" t="str">
        <f>IFERROR(IF(VLOOKUP(Thu_W1[[#This Row],[Employee Name]],'Base Schedules'!$A$243:$AW$281,15,FALSE)="","",VLOOKUP(Thu_W1[[#This Row],[Employee Name]],'Base Schedules'!$A$243:$AW$281,15,FALSE)),"")</f>
        <v/>
      </c>
      <c r="Q43" s="184" t="str">
        <f>IFERROR(IF(VLOOKUP(Thu_W1[[#This Row],[Employee Name]],'Base Schedules'!$A$243:$AW$281,16,FALSE)="","",VLOOKUP(Thu_W1[[#This Row],[Employee Name]],'Base Schedules'!$A$243:$AW$281,16,FALSE)),"")</f>
        <v/>
      </c>
      <c r="R43" s="184" t="str">
        <f>IFERROR(IF(VLOOKUP(Thu_W1[[#This Row],[Employee Name]],'Base Schedules'!$A$243:$AW$281,17,FALSE)="","",VLOOKUP(Thu_W1[[#This Row],[Employee Name]],'Base Schedules'!$A$243:$AW$281,17,FALSE)),"")</f>
        <v/>
      </c>
      <c r="S43" s="184" t="str">
        <f>IFERROR(IF(VLOOKUP(Thu_W1[[#This Row],[Employee Name]],'Base Schedules'!$A$243:$AW$281,18,FALSE)="","",VLOOKUP(Thu_W1[[#This Row],[Employee Name]],'Base Schedules'!$A$243:$AW$281,18,FALSE)),"")</f>
        <v/>
      </c>
      <c r="T43" s="184" t="str">
        <f>IFERROR(IF(VLOOKUP(Thu_W1[[#This Row],[Employee Name]],'Base Schedules'!$A$243:$AW$281,19,FALSE)="","",VLOOKUP(Thu_W1[[#This Row],[Employee Name]],'Base Schedules'!$A$243:$AW$281,19,FALSE)),"")</f>
        <v/>
      </c>
      <c r="U43" s="184" t="str">
        <f>IFERROR(IF(VLOOKUP(Thu_W1[[#This Row],[Employee Name]],'Base Schedules'!$A$243:$AW$281,20,FALSE)="","",VLOOKUP(Thu_W1[[#This Row],[Employee Name]],'Base Schedules'!$A$243:$AW$281,20,FALSE)),"")</f>
        <v/>
      </c>
      <c r="V43" s="184" t="str">
        <f>IFERROR(IF(VLOOKUP(Thu_W1[[#This Row],[Employee Name]],'Base Schedules'!$A$243:$AW$281,21,FALSE)="","",VLOOKUP(Thu_W1[[#This Row],[Employee Name]],'Base Schedules'!$A$243:$AW$281,21,FALSE)),"")</f>
        <v/>
      </c>
      <c r="W43" s="184" t="str">
        <f>IFERROR(IF(VLOOKUP(Thu_W1[[#This Row],[Employee Name]],'Base Schedules'!$A$243:$AW$281,22,FALSE)="","",VLOOKUP(Thu_W1[[#This Row],[Employee Name]],'Base Schedules'!$A$243:$AW$281,22,FALSE)),"")</f>
        <v/>
      </c>
      <c r="X43" s="184" t="str">
        <f>IFERROR(IF(VLOOKUP(Thu_W1[[#This Row],[Employee Name]],'Base Schedules'!$A$243:$AW$281,23,FALSE)="","",VLOOKUP(Thu_W1[[#This Row],[Employee Name]],'Base Schedules'!$A$243:$AW$281,23,FALSE)),"")</f>
        <v/>
      </c>
      <c r="Y43" s="184" t="str">
        <f>IFERROR(IF(VLOOKUP(Thu_W1[[#This Row],[Employee Name]],'Base Schedules'!$A$243:$AW$281,24,FALSE)="","",VLOOKUP(Thu_W1[[#This Row],[Employee Name]],'Base Schedules'!$A$243:$AW$281,24,FALSE)),"")</f>
        <v/>
      </c>
      <c r="Z43" s="184" t="str">
        <f>IFERROR(IF(VLOOKUP(Thu_W1[[#This Row],[Employee Name]],'Base Schedules'!$A$243:$AW$281,25,FALSE)="","",VLOOKUP(Thu_W1[[#This Row],[Employee Name]],'Base Schedules'!$A$243:$AW$281,25,FALSE)),"")</f>
        <v/>
      </c>
      <c r="AA43" s="184" t="str">
        <f>IFERROR(IF(VLOOKUP(Thu_W1[[#This Row],[Employee Name]],'Base Schedules'!$A$243:$AW$281,26,FALSE)="","",VLOOKUP(Thu_W1[[#This Row],[Employee Name]],'Base Schedules'!$A$243:$AW$281,26,FALSE)),"")</f>
        <v/>
      </c>
      <c r="AB43" s="184" t="str">
        <f>IFERROR(IF(VLOOKUP(Thu_W1[[#This Row],[Employee Name]],'Base Schedules'!$A$243:$AW$281,27,FALSE)="","",VLOOKUP(Thu_W1[[#This Row],[Employee Name]],'Base Schedules'!$A$243:$AW$281,27,FALSE)),"")</f>
        <v/>
      </c>
      <c r="AC43" s="184" t="str">
        <f>IFERROR(IF(VLOOKUP(Thu_W1[[#This Row],[Employee Name]],'Base Schedules'!$A$243:$AW$281,28,FALSE)="","",VLOOKUP(Thu_W1[[#This Row],[Employee Name]],'Base Schedules'!$A$243:$AW$281,28,FALSE)),"")</f>
        <v/>
      </c>
      <c r="AD43" s="184" t="str">
        <f>IFERROR(IF(VLOOKUP(Thu_W1[[#This Row],[Employee Name]],'Base Schedules'!$A$243:$AW$281,29,FALSE)="","",VLOOKUP(Thu_W1[[#This Row],[Employee Name]],'Base Schedules'!$A$243:$AW$281,29,FALSE)),"")</f>
        <v/>
      </c>
      <c r="AE43" s="184" t="str">
        <f>IFERROR(IF(VLOOKUP(Thu_W1[[#This Row],[Employee Name]],'Base Schedules'!$A$243:$AW$281,30,FALSE)="","",VLOOKUP(Thu_W1[[#This Row],[Employee Name]],'Base Schedules'!$A$243:$AW$281,30,FALSE)),"")</f>
        <v/>
      </c>
      <c r="AF43" s="184" t="str">
        <f>IFERROR(IF(VLOOKUP(Thu_W1[[#This Row],[Employee Name]],'Base Schedules'!$A$243:$AW$281,31,FALSE)="","",VLOOKUP(Thu_W1[[#This Row],[Employee Name]],'Base Schedules'!$A$243:$AW$281,31,FALSE)),"")</f>
        <v/>
      </c>
      <c r="AG43" s="184" t="str">
        <f>IFERROR(IF(VLOOKUP(Thu_W1[[#This Row],[Employee Name]],'Base Schedules'!$A$243:$AW$281,32,FALSE)="","",VLOOKUP(Thu_W1[[#This Row],[Employee Name]],'Base Schedules'!$A$243:$AW$281,32,FALSE)),"")</f>
        <v/>
      </c>
      <c r="AH43" s="184" t="str">
        <f>IFERROR(IF(VLOOKUP(Thu_W1[[#This Row],[Employee Name]],'Base Schedules'!$A$243:$AW$281,33,FALSE)="","",VLOOKUP(Thu_W1[[#This Row],[Employee Name]],'Base Schedules'!$A$243:$AW$281,33,FALSE)),"")</f>
        <v/>
      </c>
      <c r="AI43" s="184" t="str">
        <f>IFERROR(IF(VLOOKUP(Thu_W1[[#This Row],[Employee Name]],'Base Schedules'!$A$243:$AW$281,34,FALSE)="","",VLOOKUP(Thu_W1[[#This Row],[Employee Name]],'Base Schedules'!$A$243:$AW$281,34,FALSE)),"")</f>
        <v/>
      </c>
      <c r="AJ43" s="184" t="str">
        <f>IFERROR(IF(VLOOKUP(Thu_W1[[#This Row],[Employee Name]],'Base Schedules'!$A$243:$AW$281,35,FALSE)="","",VLOOKUP(Thu_W1[[#This Row],[Employee Name]],'Base Schedules'!$A$243:$AW$281,35,FALSE)),"")</f>
        <v/>
      </c>
      <c r="AK43" s="184" t="str">
        <f>IFERROR(IF(VLOOKUP(Thu_W1[[#This Row],[Employee Name]],'Base Schedules'!$A$243:$AW$281,36,FALSE)="","",VLOOKUP(Thu_W1[[#This Row],[Employee Name]],'Base Schedules'!$A$243:$AW$281,36,FALSE)),"")</f>
        <v/>
      </c>
      <c r="AL43" s="184" t="str">
        <f>IFERROR(IF(VLOOKUP(Thu_W1[[#This Row],[Employee Name]],'Base Schedules'!$A$243:$AW$281,37,FALSE)="","",VLOOKUP(Thu_W1[[#This Row],[Employee Name]],'Base Schedules'!$A$243:$AW$281,37,FALSE)),"")</f>
        <v/>
      </c>
      <c r="AM43" s="184" t="str">
        <f>IFERROR(IF(VLOOKUP(Thu_W1[[#This Row],[Employee Name]],'Base Schedules'!$A$243:$AW$281,38,FALSE)="","",VLOOKUP(Thu_W1[[#This Row],[Employee Name]],'Base Schedules'!$A$243:$AW$281,38,FALSE)),"")</f>
        <v/>
      </c>
      <c r="AN43" s="184" t="str">
        <f>IFERROR(IF(VLOOKUP(Thu_W1[[#This Row],[Employee Name]],'Base Schedules'!$A$243:$AW$281,39,FALSE)="","",VLOOKUP(Thu_W1[[#This Row],[Employee Name]],'Base Schedules'!$A$243:$AW$281,39,FALSE)),"")</f>
        <v/>
      </c>
      <c r="AO43" s="184" t="str">
        <f>IFERROR(IF(VLOOKUP(Thu_W1[[#This Row],[Employee Name]],'Base Schedules'!$A$243:$AW$281,40,FALSE)="","",VLOOKUP(Thu_W1[[#This Row],[Employee Name]],'Base Schedules'!$A$243:$AW$281,40,FALSE)),"")</f>
        <v/>
      </c>
      <c r="AP43" s="184" t="str">
        <f>IFERROR(IF(VLOOKUP(Thu_W1[[#This Row],[Employee Name]],'Base Schedules'!$A$243:$AW$281,41,FALSE)="","",VLOOKUP(Thu_W1[[#This Row],[Employee Name]],'Base Schedules'!$A$243:$AW$281,41,FALSE)),"")</f>
        <v/>
      </c>
      <c r="AQ43" s="184" t="str">
        <f>IFERROR(IF(VLOOKUP(Thu_W1[[#This Row],[Employee Name]],'Base Schedules'!$A$243:$AW$281,42,FALSE)="","",VLOOKUP(Thu_W1[[#This Row],[Employee Name]],'Base Schedules'!$A$243:$AW$281,42,FALSE)),"")</f>
        <v/>
      </c>
      <c r="AR43" s="184" t="str">
        <f>IFERROR(IF(VLOOKUP(Thu_W1[[#This Row],[Employee Name]],'Base Schedules'!$A$243:$AW$281,43,FALSE)="","",VLOOKUP(Thu_W1[[#This Row],[Employee Name]],'Base Schedules'!$A$243:$AW$281,43,FALSE)),"")</f>
        <v/>
      </c>
      <c r="AS43" s="184" t="str">
        <f>IFERROR(IF(VLOOKUP(Thu_W1[[#This Row],[Employee Name]],'Base Schedules'!$A$243:$AW$281,44,FALSE)="","",VLOOKUP(Thu_W1[[#This Row],[Employee Name]],'Base Schedules'!$A$243:$AW$281,44,FALSE)),"")</f>
        <v/>
      </c>
      <c r="AT43" s="184" t="str">
        <f>IFERROR(IF(VLOOKUP(Thu_W1[[#This Row],[Employee Name]],'Base Schedules'!$A$243:$AW$281,45,FALSE)="","",VLOOKUP(Thu_W1[[#This Row],[Employee Name]],'Base Schedules'!$A$243:$AW$281,45,FALSE)),"")</f>
        <v/>
      </c>
      <c r="AU43" s="184" t="str">
        <f>IFERROR(IF(VLOOKUP(Thu_W1[[#This Row],[Employee Name]],'Base Schedules'!$A$243:$AW$281,46,FALSE)="","",VLOOKUP(Thu_W1[[#This Row],[Employee Name]],'Base Schedules'!$A$243:$AW$281,46,FALSE)),"")</f>
        <v/>
      </c>
      <c r="AV43" s="184" t="str">
        <f>IFERROR(IF(VLOOKUP(Thu_W1[[#This Row],[Employee Name]],'Base Schedules'!$A$243:$AW$281,47,FALSE)="","",VLOOKUP(Thu_W1[[#This Row],[Employee Name]],'Base Schedules'!$A$243:$AW$281,47,FALSE)),"")</f>
        <v/>
      </c>
      <c r="AW43" s="184" t="str">
        <f>IFERROR(IF(VLOOKUP(Thu_W1[[#This Row],[Employee Name]],'Base Schedules'!$A$243:$AW$281,48,FALSE)="","",VLOOKUP(Thu_W1[[#This Row],[Employee Name]],'Base Schedules'!$A$243:$AW$281,48,FALSE)),"")</f>
        <v/>
      </c>
      <c r="AX43" s="184" t="str">
        <f>IFERROR(IF(VLOOKUP(Thu_W1[[#This Row],[Employee Name]],'Base Schedules'!$A$243:$AW$281,49,FALSE)="","",VLOOKUP(Thu_W1[[#This Row],[Employee Name]],'Base Schedules'!$A$243:$AW$281,49,FALSE)),"")</f>
        <v/>
      </c>
      <c r="AY43" s="164" t="str">
        <f t="shared" si="2"/>
        <v/>
      </c>
    </row>
    <row r="44" spans="1:51" s="44" customFormat="1" hidden="1" thickBot="1" x14ac:dyDescent="0.25">
      <c r="A44" s="39" t="str">
        <f>IF(B44="","",INDEX(TeamList[],MATCH($B44,TeamList[[Employee Name]:[Employee Name]],0),MATCH("Manager",TeamList[#Headers],0)))</f>
        <v/>
      </c>
      <c r="B44" s="201"/>
      <c r="C44" s="257" t="str">
        <f>_xlfn.IFNA(VLOOKUP(Thu_W1[[#This Row],[Employee Name]],'Base Schedules'!A:B,2,FALSE),"")</f>
        <v/>
      </c>
      <c r="D44" s="274" t="str">
        <f>_xlfn.IFNA(VLOOKUP(Thu_W1[[#This Row],[Employee Name]],'Base Schedules'!A:C,3,FALSE),"")</f>
        <v/>
      </c>
      <c r="E44" s="274" t="str">
        <f>_xlfn.IFNA(VLOOKUP(Thu_W1[[#This Row],[Employee Name]],'Base Schedules'!A:D,4,FALSE),"")</f>
        <v/>
      </c>
      <c r="F44" s="142" t="str">
        <f>IF(Thu_W1[[#This Row],[Employee Name]]="","",IF(Thu_W1[[#This Row],[Dept]]="Supervisor",COUNTIFS($J44:$AX44,"*HL*",$J44:$AX44,"&lt;&gt;"&amp;"pHL"),COUNTIFS($J44:$AX44,"*HL*",$J44:$AX44,"&lt;&gt;"&amp;"*pHL*",$J44:$AX44,"&lt;&gt;"&amp;"pB1 HL",$J44:$AX44,"&lt;&gt;"&amp;"pB2 HL")-SUM(COUNTIFS($J44:$AX44,"*HL B1*",$J44:$AX44,"&lt;&gt;"&amp;"pHL B1")*0.5,COUNTIFS($J44:$AX44,"*HL B2*",$J44:$AX44,"&lt;&gt;"&amp;"pHL B2")*0.5,COUNTIFS($J44:$AX44,"*B1 HL*",$J44:$AX44,"&lt;&gt;"&amp;"pB1 HL")*0.5,COUNTIFS($J44:$AX44,"*B2 HL*",$J44:$AX44,"&lt;&gt;"&amp;"pB2 HL")*0.5)))</f>
        <v/>
      </c>
      <c r="G44" s="142" t="str">
        <f t="shared" si="4"/>
        <v/>
      </c>
      <c r="H44" s="142" t="str">
        <f t="shared" si="1"/>
        <v/>
      </c>
      <c r="I44" s="142" t="str">
        <f>IF(Thu_W1[[#This Row],[Employee Name]]="","",IF(Thu_W1[[#This Row],[Dept]]="Supervisor",SUM(COUNTIFS($J44:$AX44,"RTA*",$J44:$AX44,"&lt;&gt;"&amp;"pRTA"),COUNTIFS($J44:$AX44,"*CRTA*",$J44:$AX44,"&lt;&gt;"&amp;"pCRTA")),COUNTIFS($J44:$AX44,"*RNNR*",$J44:$AX44,"&lt;&gt;"&amp;"*pRNNR*",$J44:$AX44,"&lt;&gt;"&amp;"pB1 RNNR",$J44:$AX44,"&lt;&gt;"&amp;"pB2 RNNR")-SUM(COUNTIFS($J44:$AX44,"*RNNR B1*",$J44:$AX44,"&lt;&gt;"&amp;"pRNNR B1")*0.5,COUNTIFS($J44:$AX44,"*RNNR B2*",$J44:$AX44,"&lt;&gt;"&amp;"pRNNR B2")*0.5,COUNTIFS($J44:$AX44,"*B1 RNNR*",$J44:$AX44,"&lt;&gt;"&amp;"pB1 RNNR")*0.5,COUNTIFS($J44:$AX44,"*B2 RNNR*",$J44:$AX44,"&lt;&gt;"&amp;"pB2 RNNR")*0.5)))</f>
        <v/>
      </c>
      <c r="J44" s="184" t="str">
        <f>IFERROR(IF(VLOOKUP(Thu_W1[[#This Row],[Employee Name]],'Base Schedules'!$A$243:$AW$281,9,FALSE)="","",VLOOKUP(Thu_W1[[#This Row],[Employee Name]],'Base Schedules'!$A$243:$AW$281,9,FALSE)),"")</f>
        <v/>
      </c>
      <c r="K44" s="184" t="str">
        <f>IFERROR(IF(VLOOKUP(Thu_W1[[#This Row],[Employee Name]],'Base Schedules'!$A$243:$AW$281,10,FALSE)="","",VLOOKUP(Thu_W1[[#This Row],[Employee Name]],'Base Schedules'!$A$243:$AW$281,10,FALSE)),"")</f>
        <v/>
      </c>
      <c r="L44" s="184" t="str">
        <f>IFERROR(IF(VLOOKUP(Thu_W1[[#This Row],[Employee Name]],'Base Schedules'!$A$243:$AW$281,11,FALSE)="","",VLOOKUP(Thu_W1[[#This Row],[Employee Name]],'Base Schedules'!$A$243:$AW$281,11,FALSE)),"")</f>
        <v/>
      </c>
      <c r="M44" s="184" t="str">
        <f>IFERROR(IF(VLOOKUP(Thu_W1[[#This Row],[Employee Name]],'Base Schedules'!$A$243:$AW$281,12,FALSE)="","",VLOOKUP(Thu_W1[[#This Row],[Employee Name]],'Base Schedules'!$A$243:$AW$281,12,FALSE)),"")</f>
        <v/>
      </c>
      <c r="N44" s="184" t="str">
        <f>IFERROR(IF(VLOOKUP(Thu_W1[[#This Row],[Employee Name]],'Base Schedules'!$A$243:$AW$281,13,FALSE)="","",VLOOKUP(Thu_W1[[#This Row],[Employee Name]],'Base Schedules'!$A$243:$AW$281,13,FALSE)),"")</f>
        <v/>
      </c>
      <c r="O44" s="184" t="str">
        <f>IFERROR(IF(VLOOKUP(Thu_W1[[#This Row],[Employee Name]],'Base Schedules'!$A$243:$AW$281,14,FALSE)="","",VLOOKUP(Thu_W1[[#This Row],[Employee Name]],'Base Schedules'!$A$243:$AW$281,14,FALSE)),"")</f>
        <v/>
      </c>
      <c r="P44" s="184" t="str">
        <f>IFERROR(IF(VLOOKUP(Thu_W1[[#This Row],[Employee Name]],'Base Schedules'!$A$243:$AW$281,15,FALSE)="","",VLOOKUP(Thu_W1[[#This Row],[Employee Name]],'Base Schedules'!$A$243:$AW$281,15,FALSE)),"")</f>
        <v/>
      </c>
      <c r="Q44" s="184" t="str">
        <f>IFERROR(IF(VLOOKUP(Thu_W1[[#This Row],[Employee Name]],'Base Schedules'!$A$243:$AW$281,16,FALSE)="","",VLOOKUP(Thu_W1[[#This Row],[Employee Name]],'Base Schedules'!$A$243:$AW$281,16,FALSE)),"")</f>
        <v/>
      </c>
      <c r="R44" s="184" t="str">
        <f>IFERROR(IF(VLOOKUP(Thu_W1[[#This Row],[Employee Name]],'Base Schedules'!$A$243:$AW$281,17,FALSE)="","",VLOOKUP(Thu_W1[[#This Row],[Employee Name]],'Base Schedules'!$A$243:$AW$281,17,FALSE)),"")</f>
        <v/>
      </c>
      <c r="S44" s="184" t="str">
        <f>IFERROR(IF(VLOOKUP(Thu_W1[[#This Row],[Employee Name]],'Base Schedules'!$A$243:$AW$281,18,FALSE)="","",VLOOKUP(Thu_W1[[#This Row],[Employee Name]],'Base Schedules'!$A$243:$AW$281,18,FALSE)),"")</f>
        <v/>
      </c>
      <c r="T44" s="184" t="str">
        <f>IFERROR(IF(VLOOKUP(Thu_W1[[#This Row],[Employee Name]],'Base Schedules'!$A$243:$AW$281,19,FALSE)="","",VLOOKUP(Thu_W1[[#This Row],[Employee Name]],'Base Schedules'!$A$243:$AW$281,19,FALSE)),"")</f>
        <v/>
      </c>
      <c r="U44" s="184" t="str">
        <f>IFERROR(IF(VLOOKUP(Thu_W1[[#This Row],[Employee Name]],'Base Schedules'!$A$243:$AW$281,20,FALSE)="","",VLOOKUP(Thu_W1[[#This Row],[Employee Name]],'Base Schedules'!$A$243:$AW$281,20,FALSE)),"")</f>
        <v/>
      </c>
      <c r="V44" s="184" t="str">
        <f>IFERROR(IF(VLOOKUP(Thu_W1[[#This Row],[Employee Name]],'Base Schedules'!$A$243:$AW$281,21,FALSE)="","",VLOOKUP(Thu_W1[[#This Row],[Employee Name]],'Base Schedules'!$A$243:$AW$281,21,FALSE)),"")</f>
        <v/>
      </c>
      <c r="W44" s="184" t="str">
        <f>IFERROR(IF(VLOOKUP(Thu_W1[[#This Row],[Employee Name]],'Base Schedules'!$A$243:$AW$281,22,FALSE)="","",VLOOKUP(Thu_W1[[#This Row],[Employee Name]],'Base Schedules'!$A$243:$AW$281,22,FALSE)),"")</f>
        <v/>
      </c>
      <c r="X44" s="184" t="str">
        <f>IFERROR(IF(VLOOKUP(Thu_W1[[#This Row],[Employee Name]],'Base Schedules'!$A$243:$AW$281,23,FALSE)="","",VLOOKUP(Thu_W1[[#This Row],[Employee Name]],'Base Schedules'!$A$243:$AW$281,23,FALSE)),"")</f>
        <v/>
      </c>
      <c r="Y44" s="184" t="str">
        <f>IFERROR(IF(VLOOKUP(Thu_W1[[#This Row],[Employee Name]],'Base Schedules'!$A$243:$AW$281,24,FALSE)="","",VLOOKUP(Thu_W1[[#This Row],[Employee Name]],'Base Schedules'!$A$243:$AW$281,24,FALSE)),"")</f>
        <v/>
      </c>
      <c r="Z44" s="184" t="str">
        <f>IFERROR(IF(VLOOKUP(Thu_W1[[#This Row],[Employee Name]],'Base Schedules'!$A$243:$AW$281,25,FALSE)="","",VLOOKUP(Thu_W1[[#This Row],[Employee Name]],'Base Schedules'!$A$243:$AW$281,25,FALSE)),"")</f>
        <v/>
      </c>
      <c r="AA44" s="184" t="str">
        <f>IFERROR(IF(VLOOKUP(Thu_W1[[#This Row],[Employee Name]],'Base Schedules'!$A$243:$AW$281,26,FALSE)="","",VLOOKUP(Thu_W1[[#This Row],[Employee Name]],'Base Schedules'!$A$243:$AW$281,26,FALSE)),"")</f>
        <v/>
      </c>
      <c r="AB44" s="184" t="str">
        <f>IFERROR(IF(VLOOKUP(Thu_W1[[#This Row],[Employee Name]],'Base Schedules'!$A$243:$AW$281,27,FALSE)="","",VLOOKUP(Thu_W1[[#This Row],[Employee Name]],'Base Schedules'!$A$243:$AW$281,27,FALSE)),"")</f>
        <v/>
      </c>
      <c r="AC44" s="184" t="str">
        <f>IFERROR(IF(VLOOKUP(Thu_W1[[#This Row],[Employee Name]],'Base Schedules'!$A$243:$AW$281,28,FALSE)="","",VLOOKUP(Thu_W1[[#This Row],[Employee Name]],'Base Schedules'!$A$243:$AW$281,28,FALSE)),"")</f>
        <v/>
      </c>
      <c r="AD44" s="184" t="str">
        <f>IFERROR(IF(VLOOKUP(Thu_W1[[#This Row],[Employee Name]],'Base Schedules'!$A$243:$AW$281,29,FALSE)="","",VLOOKUP(Thu_W1[[#This Row],[Employee Name]],'Base Schedules'!$A$243:$AW$281,29,FALSE)),"")</f>
        <v/>
      </c>
      <c r="AE44" s="184" t="str">
        <f>IFERROR(IF(VLOOKUP(Thu_W1[[#This Row],[Employee Name]],'Base Schedules'!$A$243:$AW$281,30,FALSE)="","",VLOOKUP(Thu_W1[[#This Row],[Employee Name]],'Base Schedules'!$A$243:$AW$281,30,FALSE)),"")</f>
        <v/>
      </c>
      <c r="AF44" s="184" t="str">
        <f>IFERROR(IF(VLOOKUP(Thu_W1[[#This Row],[Employee Name]],'Base Schedules'!$A$243:$AW$281,31,FALSE)="","",VLOOKUP(Thu_W1[[#This Row],[Employee Name]],'Base Schedules'!$A$243:$AW$281,31,FALSE)),"")</f>
        <v/>
      </c>
      <c r="AG44" s="184" t="str">
        <f>IFERROR(IF(VLOOKUP(Thu_W1[[#This Row],[Employee Name]],'Base Schedules'!$A$243:$AW$281,32,FALSE)="","",VLOOKUP(Thu_W1[[#This Row],[Employee Name]],'Base Schedules'!$A$243:$AW$281,32,FALSE)),"")</f>
        <v/>
      </c>
      <c r="AH44" s="184" t="str">
        <f>IFERROR(IF(VLOOKUP(Thu_W1[[#This Row],[Employee Name]],'Base Schedules'!$A$243:$AW$281,33,FALSE)="","",VLOOKUP(Thu_W1[[#This Row],[Employee Name]],'Base Schedules'!$A$243:$AW$281,33,FALSE)),"")</f>
        <v/>
      </c>
      <c r="AI44" s="184" t="str">
        <f>IFERROR(IF(VLOOKUP(Thu_W1[[#This Row],[Employee Name]],'Base Schedules'!$A$243:$AW$281,34,FALSE)="","",VLOOKUP(Thu_W1[[#This Row],[Employee Name]],'Base Schedules'!$A$243:$AW$281,34,FALSE)),"")</f>
        <v/>
      </c>
      <c r="AJ44" s="184" t="str">
        <f>IFERROR(IF(VLOOKUP(Thu_W1[[#This Row],[Employee Name]],'Base Schedules'!$A$243:$AW$281,35,FALSE)="","",VLOOKUP(Thu_W1[[#This Row],[Employee Name]],'Base Schedules'!$A$243:$AW$281,35,FALSE)),"")</f>
        <v/>
      </c>
      <c r="AK44" s="184" t="str">
        <f>IFERROR(IF(VLOOKUP(Thu_W1[[#This Row],[Employee Name]],'Base Schedules'!$A$243:$AW$281,36,FALSE)="","",VLOOKUP(Thu_W1[[#This Row],[Employee Name]],'Base Schedules'!$A$243:$AW$281,36,FALSE)),"")</f>
        <v/>
      </c>
      <c r="AL44" s="184" t="str">
        <f>IFERROR(IF(VLOOKUP(Thu_W1[[#This Row],[Employee Name]],'Base Schedules'!$A$243:$AW$281,37,FALSE)="","",VLOOKUP(Thu_W1[[#This Row],[Employee Name]],'Base Schedules'!$A$243:$AW$281,37,FALSE)),"")</f>
        <v/>
      </c>
      <c r="AM44" s="184" t="str">
        <f>IFERROR(IF(VLOOKUP(Thu_W1[[#This Row],[Employee Name]],'Base Schedules'!$A$243:$AW$281,38,FALSE)="","",VLOOKUP(Thu_W1[[#This Row],[Employee Name]],'Base Schedules'!$A$243:$AW$281,38,FALSE)),"")</f>
        <v/>
      </c>
      <c r="AN44" s="184" t="str">
        <f>IFERROR(IF(VLOOKUP(Thu_W1[[#This Row],[Employee Name]],'Base Schedules'!$A$243:$AW$281,39,FALSE)="","",VLOOKUP(Thu_W1[[#This Row],[Employee Name]],'Base Schedules'!$A$243:$AW$281,39,FALSE)),"")</f>
        <v/>
      </c>
      <c r="AO44" s="184" t="str">
        <f>IFERROR(IF(VLOOKUP(Thu_W1[[#This Row],[Employee Name]],'Base Schedules'!$A$243:$AW$281,40,FALSE)="","",VLOOKUP(Thu_W1[[#This Row],[Employee Name]],'Base Schedules'!$A$243:$AW$281,40,FALSE)),"")</f>
        <v/>
      </c>
      <c r="AP44" s="184" t="str">
        <f>IFERROR(IF(VLOOKUP(Thu_W1[[#This Row],[Employee Name]],'Base Schedules'!$A$243:$AW$281,41,FALSE)="","",VLOOKUP(Thu_W1[[#This Row],[Employee Name]],'Base Schedules'!$A$243:$AW$281,41,FALSE)),"")</f>
        <v/>
      </c>
      <c r="AQ44" s="184" t="str">
        <f>IFERROR(IF(VLOOKUP(Thu_W1[[#This Row],[Employee Name]],'Base Schedules'!$A$243:$AW$281,42,FALSE)="","",VLOOKUP(Thu_W1[[#This Row],[Employee Name]],'Base Schedules'!$A$243:$AW$281,42,FALSE)),"")</f>
        <v/>
      </c>
      <c r="AR44" s="184" t="str">
        <f>IFERROR(IF(VLOOKUP(Thu_W1[[#This Row],[Employee Name]],'Base Schedules'!$A$243:$AW$281,43,FALSE)="","",VLOOKUP(Thu_W1[[#This Row],[Employee Name]],'Base Schedules'!$A$243:$AW$281,43,FALSE)),"")</f>
        <v/>
      </c>
      <c r="AS44" s="184" t="str">
        <f>IFERROR(IF(VLOOKUP(Thu_W1[[#This Row],[Employee Name]],'Base Schedules'!$A$243:$AW$281,44,FALSE)="","",VLOOKUP(Thu_W1[[#This Row],[Employee Name]],'Base Schedules'!$A$243:$AW$281,44,FALSE)),"")</f>
        <v/>
      </c>
      <c r="AT44" s="184" t="str">
        <f>IFERROR(IF(VLOOKUP(Thu_W1[[#This Row],[Employee Name]],'Base Schedules'!$A$243:$AW$281,45,FALSE)="","",VLOOKUP(Thu_W1[[#This Row],[Employee Name]],'Base Schedules'!$A$243:$AW$281,45,FALSE)),"")</f>
        <v/>
      </c>
      <c r="AU44" s="184" t="str">
        <f>IFERROR(IF(VLOOKUP(Thu_W1[[#This Row],[Employee Name]],'Base Schedules'!$A$243:$AW$281,46,FALSE)="","",VLOOKUP(Thu_W1[[#This Row],[Employee Name]],'Base Schedules'!$A$243:$AW$281,46,FALSE)),"")</f>
        <v/>
      </c>
      <c r="AV44" s="184" t="str">
        <f>IFERROR(IF(VLOOKUP(Thu_W1[[#This Row],[Employee Name]],'Base Schedules'!$A$243:$AW$281,47,FALSE)="","",VLOOKUP(Thu_W1[[#This Row],[Employee Name]],'Base Schedules'!$A$243:$AW$281,47,FALSE)),"")</f>
        <v/>
      </c>
      <c r="AW44" s="184" t="str">
        <f>IFERROR(IF(VLOOKUP(Thu_W1[[#This Row],[Employee Name]],'Base Schedules'!$A$243:$AW$281,48,FALSE)="","",VLOOKUP(Thu_W1[[#This Row],[Employee Name]],'Base Schedules'!$A$243:$AW$281,48,FALSE)),"")</f>
        <v/>
      </c>
      <c r="AX44" s="184" t="str">
        <f>IFERROR(IF(VLOOKUP(Thu_W1[[#This Row],[Employee Name]],'Base Schedules'!$A$243:$AW$281,49,FALSE)="","",VLOOKUP(Thu_W1[[#This Row],[Employee Name]],'Base Schedules'!$A$243:$AW$281,49,FALSE)),"")</f>
        <v/>
      </c>
      <c r="AY44" s="164" t="str">
        <f t="shared" si="2"/>
        <v/>
      </c>
    </row>
    <row r="45" spans="1:51" s="44" customFormat="1" hidden="1" thickBot="1" x14ac:dyDescent="0.25">
      <c r="A45" s="39" t="str">
        <f>IF(B45="","",INDEX(TeamList[],MATCH($B45,TeamList[[Employee Name]:[Employee Name]],0),MATCH("Manager",TeamList[#Headers],0)))</f>
        <v/>
      </c>
      <c r="B45" s="201"/>
      <c r="C45" s="257" t="str">
        <f>_xlfn.IFNA(VLOOKUP(Thu_W1[[#This Row],[Employee Name]],'Base Schedules'!A:B,2,FALSE),"")</f>
        <v/>
      </c>
      <c r="D45" s="274" t="str">
        <f>_xlfn.IFNA(VLOOKUP(Thu_W1[[#This Row],[Employee Name]],'Base Schedules'!A:C,3,FALSE),"")</f>
        <v/>
      </c>
      <c r="E45" s="274" t="str">
        <f>_xlfn.IFNA(VLOOKUP(Thu_W1[[#This Row],[Employee Name]],'Base Schedules'!A:D,4,FALSE),"")</f>
        <v/>
      </c>
      <c r="F45" s="142" t="str">
        <f>IF(Thu_W1[[#This Row],[Employee Name]]="","",IF(Thu_W1[[#This Row],[Dept]]="Supervisor",COUNTIFS($J45:$AX45,"*HL*",$J45:$AX45,"&lt;&gt;"&amp;"pHL"),COUNTIFS($J45:$AX45,"*HL*",$J45:$AX45,"&lt;&gt;"&amp;"*pHL*",$J45:$AX45,"&lt;&gt;"&amp;"pB1 HL",$J45:$AX45,"&lt;&gt;"&amp;"pB2 HL")-SUM(COUNTIFS($J45:$AX45,"*HL B1*",$J45:$AX45,"&lt;&gt;"&amp;"pHL B1")*0.5,COUNTIFS($J45:$AX45,"*HL B2*",$J45:$AX45,"&lt;&gt;"&amp;"pHL B2")*0.5,COUNTIFS($J45:$AX45,"*B1 HL*",$J45:$AX45,"&lt;&gt;"&amp;"pB1 HL")*0.5,COUNTIFS($J45:$AX45,"*B2 HL*",$J45:$AX45,"&lt;&gt;"&amp;"pB2 HL")*0.5)))</f>
        <v/>
      </c>
      <c r="G45" s="142" t="str">
        <f t="shared" si="4"/>
        <v/>
      </c>
      <c r="H45" s="142" t="str">
        <f t="shared" si="1"/>
        <v/>
      </c>
      <c r="I45" s="142" t="str">
        <f>IF(Thu_W1[[#This Row],[Employee Name]]="","",IF(Thu_W1[[#This Row],[Dept]]="Supervisor",SUM(COUNTIFS($J45:$AX45,"RTA*",$J45:$AX45,"&lt;&gt;"&amp;"pRTA"),COUNTIFS($J45:$AX45,"*CRTA*",$J45:$AX45,"&lt;&gt;"&amp;"pCRTA")),COUNTIFS($J45:$AX45,"*RNNR*",$J45:$AX45,"&lt;&gt;"&amp;"*pRNNR*",$J45:$AX45,"&lt;&gt;"&amp;"pB1 RNNR",$J45:$AX45,"&lt;&gt;"&amp;"pB2 RNNR")-SUM(COUNTIFS($J45:$AX45,"*RNNR B1*",$J45:$AX45,"&lt;&gt;"&amp;"pRNNR B1")*0.5,COUNTIFS($J45:$AX45,"*RNNR B2*",$J45:$AX45,"&lt;&gt;"&amp;"pRNNR B2")*0.5,COUNTIFS($J45:$AX45,"*B1 RNNR*",$J45:$AX45,"&lt;&gt;"&amp;"pB1 RNNR")*0.5,COUNTIFS($J45:$AX45,"*B2 RNNR*",$J45:$AX45,"&lt;&gt;"&amp;"pB2 RNNR")*0.5)))</f>
        <v/>
      </c>
      <c r="J45" s="184" t="str">
        <f>IFERROR(IF(VLOOKUP(Thu_W1[[#This Row],[Employee Name]],'Base Schedules'!$A$243:$AW$281,9,FALSE)="","",VLOOKUP(Thu_W1[[#This Row],[Employee Name]],'Base Schedules'!$A$243:$AW$281,9,FALSE)),"")</f>
        <v/>
      </c>
      <c r="K45" s="184" t="str">
        <f>IFERROR(IF(VLOOKUP(Thu_W1[[#This Row],[Employee Name]],'Base Schedules'!$A$243:$AW$281,10,FALSE)="","",VLOOKUP(Thu_W1[[#This Row],[Employee Name]],'Base Schedules'!$A$243:$AW$281,10,FALSE)),"")</f>
        <v/>
      </c>
      <c r="L45" s="184" t="str">
        <f>IFERROR(IF(VLOOKUP(Thu_W1[[#This Row],[Employee Name]],'Base Schedules'!$A$243:$AW$281,11,FALSE)="","",VLOOKUP(Thu_W1[[#This Row],[Employee Name]],'Base Schedules'!$A$243:$AW$281,11,FALSE)),"")</f>
        <v/>
      </c>
      <c r="M45" s="184" t="str">
        <f>IFERROR(IF(VLOOKUP(Thu_W1[[#This Row],[Employee Name]],'Base Schedules'!$A$243:$AW$281,12,FALSE)="","",VLOOKUP(Thu_W1[[#This Row],[Employee Name]],'Base Schedules'!$A$243:$AW$281,12,FALSE)),"")</f>
        <v/>
      </c>
      <c r="N45" s="184" t="str">
        <f>IFERROR(IF(VLOOKUP(Thu_W1[[#This Row],[Employee Name]],'Base Schedules'!$A$243:$AW$281,13,FALSE)="","",VLOOKUP(Thu_W1[[#This Row],[Employee Name]],'Base Schedules'!$A$243:$AW$281,13,FALSE)),"")</f>
        <v/>
      </c>
      <c r="O45" s="184" t="str">
        <f>IFERROR(IF(VLOOKUP(Thu_W1[[#This Row],[Employee Name]],'Base Schedules'!$A$243:$AW$281,14,FALSE)="","",VLOOKUP(Thu_W1[[#This Row],[Employee Name]],'Base Schedules'!$A$243:$AW$281,14,FALSE)),"")</f>
        <v/>
      </c>
      <c r="P45" s="184" t="str">
        <f>IFERROR(IF(VLOOKUP(Thu_W1[[#This Row],[Employee Name]],'Base Schedules'!$A$243:$AW$281,15,FALSE)="","",VLOOKUP(Thu_W1[[#This Row],[Employee Name]],'Base Schedules'!$A$243:$AW$281,15,FALSE)),"")</f>
        <v/>
      </c>
      <c r="Q45" s="184" t="str">
        <f>IFERROR(IF(VLOOKUP(Thu_W1[[#This Row],[Employee Name]],'Base Schedules'!$A$243:$AW$281,16,FALSE)="","",VLOOKUP(Thu_W1[[#This Row],[Employee Name]],'Base Schedules'!$A$243:$AW$281,16,FALSE)),"")</f>
        <v/>
      </c>
      <c r="R45" s="184" t="str">
        <f>IFERROR(IF(VLOOKUP(Thu_W1[[#This Row],[Employee Name]],'Base Schedules'!$A$243:$AW$281,17,FALSE)="","",VLOOKUP(Thu_W1[[#This Row],[Employee Name]],'Base Schedules'!$A$243:$AW$281,17,FALSE)),"")</f>
        <v/>
      </c>
      <c r="S45" s="184" t="str">
        <f>IFERROR(IF(VLOOKUP(Thu_W1[[#This Row],[Employee Name]],'Base Schedules'!$A$243:$AW$281,18,FALSE)="","",VLOOKUP(Thu_W1[[#This Row],[Employee Name]],'Base Schedules'!$A$243:$AW$281,18,FALSE)),"")</f>
        <v/>
      </c>
      <c r="T45" s="184" t="str">
        <f>IFERROR(IF(VLOOKUP(Thu_W1[[#This Row],[Employee Name]],'Base Schedules'!$A$243:$AW$281,19,FALSE)="","",VLOOKUP(Thu_W1[[#This Row],[Employee Name]],'Base Schedules'!$A$243:$AW$281,19,FALSE)),"")</f>
        <v/>
      </c>
      <c r="U45" s="184" t="str">
        <f>IFERROR(IF(VLOOKUP(Thu_W1[[#This Row],[Employee Name]],'Base Schedules'!$A$243:$AW$281,20,FALSE)="","",VLOOKUP(Thu_W1[[#This Row],[Employee Name]],'Base Schedules'!$A$243:$AW$281,20,FALSE)),"")</f>
        <v/>
      </c>
      <c r="V45" s="184" t="str">
        <f>IFERROR(IF(VLOOKUP(Thu_W1[[#This Row],[Employee Name]],'Base Schedules'!$A$243:$AW$281,21,FALSE)="","",VLOOKUP(Thu_W1[[#This Row],[Employee Name]],'Base Schedules'!$A$243:$AW$281,21,FALSE)),"")</f>
        <v/>
      </c>
      <c r="W45" s="184" t="str">
        <f>IFERROR(IF(VLOOKUP(Thu_W1[[#This Row],[Employee Name]],'Base Schedules'!$A$243:$AW$281,22,FALSE)="","",VLOOKUP(Thu_W1[[#This Row],[Employee Name]],'Base Schedules'!$A$243:$AW$281,22,FALSE)),"")</f>
        <v/>
      </c>
      <c r="X45" s="184" t="str">
        <f>IFERROR(IF(VLOOKUP(Thu_W1[[#This Row],[Employee Name]],'Base Schedules'!$A$243:$AW$281,23,FALSE)="","",VLOOKUP(Thu_W1[[#This Row],[Employee Name]],'Base Schedules'!$A$243:$AW$281,23,FALSE)),"")</f>
        <v/>
      </c>
      <c r="Y45" s="184" t="str">
        <f>IFERROR(IF(VLOOKUP(Thu_W1[[#This Row],[Employee Name]],'Base Schedules'!$A$243:$AW$281,24,FALSE)="","",VLOOKUP(Thu_W1[[#This Row],[Employee Name]],'Base Schedules'!$A$243:$AW$281,24,FALSE)),"")</f>
        <v/>
      </c>
      <c r="Z45" s="184" t="str">
        <f>IFERROR(IF(VLOOKUP(Thu_W1[[#This Row],[Employee Name]],'Base Schedules'!$A$243:$AW$281,25,FALSE)="","",VLOOKUP(Thu_W1[[#This Row],[Employee Name]],'Base Schedules'!$A$243:$AW$281,25,FALSE)),"")</f>
        <v/>
      </c>
      <c r="AA45" s="184" t="str">
        <f>IFERROR(IF(VLOOKUP(Thu_W1[[#This Row],[Employee Name]],'Base Schedules'!$A$243:$AW$281,26,FALSE)="","",VLOOKUP(Thu_W1[[#This Row],[Employee Name]],'Base Schedules'!$A$243:$AW$281,26,FALSE)),"")</f>
        <v/>
      </c>
      <c r="AB45" s="184" t="str">
        <f>IFERROR(IF(VLOOKUP(Thu_W1[[#This Row],[Employee Name]],'Base Schedules'!$A$243:$AW$281,27,FALSE)="","",VLOOKUP(Thu_W1[[#This Row],[Employee Name]],'Base Schedules'!$A$243:$AW$281,27,FALSE)),"")</f>
        <v/>
      </c>
      <c r="AC45" s="184" t="str">
        <f>IFERROR(IF(VLOOKUP(Thu_W1[[#This Row],[Employee Name]],'Base Schedules'!$A$243:$AW$281,28,FALSE)="","",VLOOKUP(Thu_W1[[#This Row],[Employee Name]],'Base Schedules'!$A$243:$AW$281,28,FALSE)),"")</f>
        <v/>
      </c>
      <c r="AD45" s="184" t="str">
        <f>IFERROR(IF(VLOOKUP(Thu_W1[[#This Row],[Employee Name]],'Base Schedules'!$A$243:$AW$281,29,FALSE)="","",VLOOKUP(Thu_W1[[#This Row],[Employee Name]],'Base Schedules'!$A$243:$AW$281,29,FALSE)),"")</f>
        <v/>
      </c>
      <c r="AE45" s="184" t="str">
        <f>IFERROR(IF(VLOOKUP(Thu_W1[[#This Row],[Employee Name]],'Base Schedules'!$A$243:$AW$281,30,FALSE)="","",VLOOKUP(Thu_W1[[#This Row],[Employee Name]],'Base Schedules'!$A$243:$AW$281,30,FALSE)),"")</f>
        <v/>
      </c>
      <c r="AF45" s="184" t="str">
        <f>IFERROR(IF(VLOOKUP(Thu_W1[[#This Row],[Employee Name]],'Base Schedules'!$A$243:$AW$281,31,FALSE)="","",VLOOKUP(Thu_W1[[#This Row],[Employee Name]],'Base Schedules'!$A$243:$AW$281,31,FALSE)),"")</f>
        <v/>
      </c>
      <c r="AG45" s="184" t="str">
        <f>IFERROR(IF(VLOOKUP(Thu_W1[[#This Row],[Employee Name]],'Base Schedules'!$A$243:$AW$281,32,FALSE)="","",VLOOKUP(Thu_W1[[#This Row],[Employee Name]],'Base Schedules'!$A$243:$AW$281,32,FALSE)),"")</f>
        <v/>
      </c>
      <c r="AH45" s="184" t="str">
        <f>IFERROR(IF(VLOOKUP(Thu_W1[[#This Row],[Employee Name]],'Base Schedules'!$A$243:$AW$281,33,FALSE)="","",VLOOKUP(Thu_W1[[#This Row],[Employee Name]],'Base Schedules'!$A$243:$AW$281,33,FALSE)),"")</f>
        <v/>
      </c>
      <c r="AI45" s="184" t="str">
        <f>IFERROR(IF(VLOOKUP(Thu_W1[[#This Row],[Employee Name]],'Base Schedules'!$A$243:$AW$281,34,FALSE)="","",VLOOKUP(Thu_W1[[#This Row],[Employee Name]],'Base Schedules'!$A$243:$AW$281,34,FALSE)),"")</f>
        <v/>
      </c>
      <c r="AJ45" s="184" t="str">
        <f>IFERROR(IF(VLOOKUP(Thu_W1[[#This Row],[Employee Name]],'Base Schedules'!$A$243:$AW$281,35,FALSE)="","",VLOOKUP(Thu_W1[[#This Row],[Employee Name]],'Base Schedules'!$A$243:$AW$281,35,FALSE)),"")</f>
        <v/>
      </c>
      <c r="AK45" s="184" t="str">
        <f>IFERROR(IF(VLOOKUP(Thu_W1[[#This Row],[Employee Name]],'Base Schedules'!$A$243:$AW$281,36,FALSE)="","",VLOOKUP(Thu_W1[[#This Row],[Employee Name]],'Base Schedules'!$A$243:$AW$281,36,FALSE)),"")</f>
        <v/>
      </c>
      <c r="AL45" s="184" t="str">
        <f>IFERROR(IF(VLOOKUP(Thu_W1[[#This Row],[Employee Name]],'Base Schedules'!$A$243:$AW$281,37,FALSE)="","",VLOOKUP(Thu_W1[[#This Row],[Employee Name]],'Base Schedules'!$A$243:$AW$281,37,FALSE)),"")</f>
        <v/>
      </c>
      <c r="AM45" s="184" t="str">
        <f>IFERROR(IF(VLOOKUP(Thu_W1[[#This Row],[Employee Name]],'Base Schedules'!$A$243:$AW$281,38,FALSE)="","",VLOOKUP(Thu_W1[[#This Row],[Employee Name]],'Base Schedules'!$A$243:$AW$281,38,FALSE)),"")</f>
        <v/>
      </c>
      <c r="AN45" s="184" t="str">
        <f>IFERROR(IF(VLOOKUP(Thu_W1[[#This Row],[Employee Name]],'Base Schedules'!$A$243:$AW$281,39,FALSE)="","",VLOOKUP(Thu_W1[[#This Row],[Employee Name]],'Base Schedules'!$A$243:$AW$281,39,FALSE)),"")</f>
        <v/>
      </c>
      <c r="AO45" s="184" t="str">
        <f>IFERROR(IF(VLOOKUP(Thu_W1[[#This Row],[Employee Name]],'Base Schedules'!$A$243:$AW$281,40,FALSE)="","",VLOOKUP(Thu_W1[[#This Row],[Employee Name]],'Base Schedules'!$A$243:$AW$281,40,FALSE)),"")</f>
        <v/>
      </c>
      <c r="AP45" s="184" t="str">
        <f>IFERROR(IF(VLOOKUP(Thu_W1[[#This Row],[Employee Name]],'Base Schedules'!$A$243:$AW$281,41,FALSE)="","",VLOOKUP(Thu_W1[[#This Row],[Employee Name]],'Base Schedules'!$A$243:$AW$281,41,FALSE)),"")</f>
        <v/>
      </c>
      <c r="AQ45" s="184" t="str">
        <f>IFERROR(IF(VLOOKUP(Thu_W1[[#This Row],[Employee Name]],'Base Schedules'!$A$243:$AW$281,42,FALSE)="","",VLOOKUP(Thu_W1[[#This Row],[Employee Name]],'Base Schedules'!$A$243:$AW$281,42,FALSE)),"")</f>
        <v/>
      </c>
      <c r="AR45" s="184" t="str">
        <f>IFERROR(IF(VLOOKUP(Thu_W1[[#This Row],[Employee Name]],'Base Schedules'!$A$243:$AW$281,43,FALSE)="","",VLOOKUP(Thu_W1[[#This Row],[Employee Name]],'Base Schedules'!$A$243:$AW$281,43,FALSE)),"")</f>
        <v/>
      </c>
      <c r="AS45" s="184" t="str">
        <f>IFERROR(IF(VLOOKUP(Thu_W1[[#This Row],[Employee Name]],'Base Schedules'!$A$243:$AW$281,44,FALSE)="","",VLOOKUP(Thu_W1[[#This Row],[Employee Name]],'Base Schedules'!$A$243:$AW$281,44,FALSE)),"")</f>
        <v/>
      </c>
      <c r="AT45" s="184" t="str">
        <f>IFERROR(IF(VLOOKUP(Thu_W1[[#This Row],[Employee Name]],'Base Schedules'!$A$243:$AW$281,45,FALSE)="","",VLOOKUP(Thu_W1[[#This Row],[Employee Name]],'Base Schedules'!$A$243:$AW$281,45,FALSE)),"")</f>
        <v/>
      </c>
      <c r="AU45" s="184" t="str">
        <f>IFERROR(IF(VLOOKUP(Thu_W1[[#This Row],[Employee Name]],'Base Schedules'!$A$243:$AW$281,46,FALSE)="","",VLOOKUP(Thu_W1[[#This Row],[Employee Name]],'Base Schedules'!$A$243:$AW$281,46,FALSE)),"")</f>
        <v/>
      </c>
      <c r="AV45" s="184" t="str">
        <f>IFERROR(IF(VLOOKUP(Thu_W1[[#This Row],[Employee Name]],'Base Schedules'!$A$243:$AW$281,47,FALSE)="","",VLOOKUP(Thu_W1[[#This Row],[Employee Name]],'Base Schedules'!$A$243:$AW$281,47,FALSE)),"")</f>
        <v/>
      </c>
      <c r="AW45" s="184" t="str">
        <f>IFERROR(IF(VLOOKUP(Thu_W1[[#This Row],[Employee Name]],'Base Schedules'!$A$243:$AW$281,48,FALSE)="","",VLOOKUP(Thu_W1[[#This Row],[Employee Name]],'Base Schedules'!$A$243:$AW$281,48,FALSE)),"")</f>
        <v/>
      </c>
      <c r="AX45" s="184" t="str">
        <f>IFERROR(IF(VLOOKUP(Thu_W1[[#This Row],[Employee Name]],'Base Schedules'!$A$243:$AW$281,49,FALSE)="","",VLOOKUP(Thu_W1[[#This Row],[Employee Name]],'Base Schedules'!$A$243:$AW$281,49,FALSE)),"")</f>
        <v/>
      </c>
      <c r="AY45" s="164" t="str">
        <f t="shared" si="2"/>
        <v/>
      </c>
    </row>
    <row r="46" spans="1:51" s="44" customFormat="1" hidden="1" thickBot="1" x14ac:dyDescent="0.25">
      <c r="A46" s="39" t="str">
        <f>IF(B46="","",INDEX(TeamList[],MATCH($B46,TeamList[[Employee Name]:[Employee Name]],0),MATCH("Manager",TeamList[#Headers],0)))</f>
        <v/>
      </c>
      <c r="B46" s="201"/>
      <c r="C46" s="257" t="str">
        <f>_xlfn.IFNA(VLOOKUP(Thu_W1[[#This Row],[Employee Name]],'Base Schedules'!A:B,2,FALSE),"")</f>
        <v/>
      </c>
      <c r="D46" s="274" t="str">
        <f>_xlfn.IFNA(VLOOKUP(Thu_W1[[#This Row],[Employee Name]],'Base Schedules'!A:C,3,FALSE),"")</f>
        <v/>
      </c>
      <c r="E46" s="274" t="str">
        <f>_xlfn.IFNA(VLOOKUP(Thu_W1[[#This Row],[Employee Name]],'Base Schedules'!A:D,4,FALSE),"")</f>
        <v/>
      </c>
      <c r="F46" s="142" t="str">
        <f>IF(Thu_W1[[#This Row],[Employee Name]]="","",IF(Thu_W1[[#This Row],[Dept]]="Supervisor",COUNTIFS($J46:$AX46,"*HL*",$J46:$AX46,"&lt;&gt;"&amp;"pHL"),COUNTIFS($J46:$AX46,"*HL*",$J46:$AX46,"&lt;&gt;"&amp;"*pHL*",$J46:$AX46,"&lt;&gt;"&amp;"pB1 HL",$J46:$AX46,"&lt;&gt;"&amp;"pB2 HL")-SUM(COUNTIFS($J46:$AX46,"*HL B1*",$J46:$AX46,"&lt;&gt;"&amp;"pHL B1")*0.5,COUNTIFS($J46:$AX46,"*HL B2*",$J46:$AX46,"&lt;&gt;"&amp;"pHL B2")*0.5,COUNTIFS($J46:$AX46,"*B1 HL*",$J46:$AX46,"&lt;&gt;"&amp;"pB1 HL")*0.5,COUNTIFS($J46:$AX46,"*B2 HL*",$J46:$AX46,"&lt;&gt;"&amp;"pB2 HL")*0.5)))</f>
        <v/>
      </c>
      <c r="G46" s="142" t="str">
        <f t="shared" si="4"/>
        <v/>
      </c>
      <c r="H46" s="142" t="str">
        <f t="shared" si="1"/>
        <v/>
      </c>
      <c r="I46" s="142" t="str">
        <f>IF(Thu_W1[[#This Row],[Employee Name]]="","",IF(Thu_W1[[#This Row],[Dept]]="Supervisor",SUM(COUNTIFS($J46:$AX46,"RTA*",$J46:$AX46,"&lt;&gt;"&amp;"pRTA"),COUNTIFS($J46:$AX46,"*CRTA*",$J46:$AX46,"&lt;&gt;"&amp;"pCRTA")),COUNTIFS($J46:$AX46,"*RNNR*",$J46:$AX46,"&lt;&gt;"&amp;"*pRNNR*",$J46:$AX46,"&lt;&gt;"&amp;"pB1 RNNR",$J46:$AX46,"&lt;&gt;"&amp;"pB2 RNNR")-SUM(COUNTIFS($J46:$AX46,"*RNNR B1*",$J46:$AX46,"&lt;&gt;"&amp;"pRNNR B1")*0.5,COUNTIFS($J46:$AX46,"*RNNR B2*",$J46:$AX46,"&lt;&gt;"&amp;"pRNNR B2")*0.5,COUNTIFS($J46:$AX46,"*B1 RNNR*",$J46:$AX46,"&lt;&gt;"&amp;"pB1 RNNR")*0.5,COUNTIFS($J46:$AX46,"*B2 RNNR*",$J46:$AX46,"&lt;&gt;"&amp;"pB2 RNNR")*0.5)))</f>
        <v/>
      </c>
      <c r="J46" s="184" t="str">
        <f>IFERROR(IF(VLOOKUP(Thu_W1[[#This Row],[Employee Name]],'Base Schedules'!$A$243:$AW$281,9,FALSE)="","",VLOOKUP(Thu_W1[[#This Row],[Employee Name]],'Base Schedules'!$A$243:$AW$281,9,FALSE)),"")</f>
        <v/>
      </c>
      <c r="K46" s="184" t="str">
        <f>IFERROR(IF(VLOOKUP(Thu_W1[[#This Row],[Employee Name]],'Base Schedules'!$A$243:$AW$281,10,FALSE)="","",VLOOKUP(Thu_W1[[#This Row],[Employee Name]],'Base Schedules'!$A$243:$AW$281,10,FALSE)),"")</f>
        <v/>
      </c>
      <c r="L46" s="184" t="str">
        <f>IFERROR(IF(VLOOKUP(Thu_W1[[#This Row],[Employee Name]],'Base Schedules'!$A$243:$AW$281,11,FALSE)="","",VLOOKUP(Thu_W1[[#This Row],[Employee Name]],'Base Schedules'!$A$243:$AW$281,11,FALSE)),"")</f>
        <v/>
      </c>
      <c r="M46" s="184" t="str">
        <f>IFERROR(IF(VLOOKUP(Thu_W1[[#This Row],[Employee Name]],'Base Schedules'!$A$243:$AW$281,12,FALSE)="","",VLOOKUP(Thu_W1[[#This Row],[Employee Name]],'Base Schedules'!$A$243:$AW$281,12,FALSE)),"")</f>
        <v/>
      </c>
      <c r="N46" s="184" t="str">
        <f>IFERROR(IF(VLOOKUP(Thu_W1[[#This Row],[Employee Name]],'Base Schedules'!$A$243:$AW$281,13,FALSE)="","",VLOOKUP(Thu_W1[[#This Row],[Employee Name]],'Base Schedules'!$A$243:$AW$281,13,FALSE)),"")</f>
        <v/>
      </c>
      <c r="O46" s="184" t="str">
        <f>IFERROR(IF(VLOOKUP(Thu_W1[[#This Row],[Employee Name]],'Base Schedules'!$A$243:$AW$281,14,FALSE)="","",VLOOKUP(Thu_W1[[#This Row],[Employee Name]],'Base Schedules'!$A$243:$AW$281,14,FALSE)),"")</f>
        <v/>
      </c>
      <c r="P46" s="184" t="str">
        <f>IFERROR(IF(VLOOKUP(Thu_W1[[#This Row],[Employee Name]],'Base Schedules'!$A$243:$AW$281,15,FALSE)="","",VLOOKUP(Thu_W1[[#This Row],[Employee Name]],'Base Schedules'!$A$243:$AW$281,15,FALSE)),"")</f>
        <v/>
      </c>
      <c r="Q46" s="184" t="str">
        <f>IFERROR(IF(VLOOKUP(Thu_W1[[#This Row],[Employee Name]],'Base Schedules'!$A$243:$AW$281,16,FALSE)="","",VLOOKUP(Thu_W1[[#This Row],[Employee Name]],'Base Schedules'!$A$243:$AW$281,16,FALSE)),"")</f>
        <v/>
      </c>
      <c r="R46" s="184" t="str">
        <f>IFERROR(IF(VLOOKUP(Thu_W1[[#This Row],[Employee Name]],'Base Schedules'!$A$243:$AW$281,17,FALSE)="","",VLOOKUP(Thu_W1[[#This Row],[Employee Name]],'Base Schedules'!$A$243:$AW$281,17,FALSE)),"")</f>
        <v/>
      </c>
      <c r="S46" s="184" t="str">
        <f>IFERROR(IF(VLOOKUP(Thu_W1[[#This Row],[Employee Name]],'Base Schedules'!$A$243:$AW$281,18,FALSE)="","",VLOOKUP(Thu_W1[[#This Row],[Employee Name]],'Base Schedules'!$A$243:$AW$281,18,FALSE)),"")</f>
        <v/>
      </c>
      <c r="T46" s="184" t="str">
        <f>IFERROR(IF(VLOOKUP(Thu_W1[[#This Row],[Employee Name]],'Base Schedules'!$A$243:$AW$281,19,FALSE)="","",VLOOKUP(Thu_W1[[#This Row],[Employee Name]],'Base Schedules'!$A$243:$AW$281,19,FALSE)),"")</f>
        <v/>
      </c>
      <c r="U46" s="184" t="str">
        <f>IFERROR(IF(VLOOKUP(Thu_W1[[#This Row],[Employee Name]],'Base Schedules'!$A$243:$AW$281,20,FALSE)="","",VLOOKUP(Thu_W1[[#This Row],[Employee Name]],'Base Schedules'!$A$243:$AW$281,20,FALSE)),"")</f>
        <v/>
      </c>
      <c r="V46" s="184" t="str">
        <f>IFERROR(IF(VLOOKUP(Thu_W1[[#This Row],[Employee Name]],'Base Schedules'!$A$243:$AW$281,21,FALSE)="","",VLOOKUP(Thu_W1[[#This Row],[Employee Name]],'Base Schedules'!$A$243:$AW$281,21,FALSE)),"")</f>
        <v/>
      </c>
      <c r="W46" s="184" t="str">
        <f>IFERROR(IF(VLOOKUP(Thu_W1[[#This Row],[Employee Name]],'Base Schedules'!$A$243:$AW$281,22,FALSE)="","",VLOOKUP(Thu_W1[[#This Row],[Employee Name]],'Base Schedules'!$A$243:$AW$281,22,FALSE)),"")</f>
        <v/>
      </c>
      <c r="X46" s="184" t="str">
        <f>IFERROR(IF(VLOOKUP(Thu_W1[[#This Row],[Employee Name]],'Base Schedules'!$A$243:$AW$281,23,FALSE)="","",VLOOKUP(Thu_W1[[#This Row],[Employee Name]],'Base Schedules'!$A$243:$AW$281,23,FALSE)),"")</f>
        <v/>
      </c>
      <c r="Y46" s="184" t="str">
        <f>IFERROR(IF(VLOOKUP(Thu_W1[[#This Row],[Employee Name]],'Base Schedules'!$A$243:$AW$281,24,FALSE)="","",VLOOKUP(Thu_W1[[#This Row],[Employee Name]],'Base Schedules'!$A$243:$AW$281,24,FALSE)),"")</f>
        <v/>
      </c>
      <c r="Z46" s="184" t="str">
        <f>IFERROR(IF(VLOOKUP(Thu_W1[[#This Row],[Employee Name]],'Base Schedules'!$A$243:$AW$281,25,FALSE)="","",VLOOKUP(Thu_W1[[#This Row],[Employee Name]],'Base Schedules'!$A$243:$AW$281,25,FALSE)),"")</f>
        <v/>
      </c>
      <c r="AA46" s="184" t="str">
        <f>IFERROR(IF(VLOOKUP(Thu_W1[[#This Row],[Employee Name]],'Base Schedules'!$A$243:$AW$281,26,FALSE)="","",VLOOKUP(Thu_W1[[#This Row],[Employee Name]],'Base Schedules'!$A$243:$AW$281,26,FALSE)),"")</f>
        <v/>
      </c>
      <c r="AB46" s="184" t="str">
        <f>IFERROR(IF(VLOOKUP(Thu_W1[[#This Row],[Employee Name]],'Base Schedules'!$A$243:$AW$281,27,FALSE)="","",VLOOKUP(Thu_W1[[#This Row],[Employee Name]],'Base Schedules'!$A$243:$AW$281,27,FALSE)),"")</f>
        <v/>
      </c>
      <c r="AC46" s="184" t="str">
        <f>IFERROR(IF(VLOOKUP(Thu_W1[[#This Row],[Employee Name]],'Base Schedules'!$A$243:$AW$281,28,FALSE)="","",VLOOKUP(Thu_W1[[#This Row],[Employee Name]],'Base Schedules'!$A$243:$AW$281,28,FALSE)),"")</f>
        <v/>
      </c>
      <c r="AD46" s="184" t="str">
        <f>IFERROR(IF(VLOOKUP(Thu_W1[[#This Row],[Employee Name]],'Base Schedules'!$A$243:$AW$281,29,FALSE)="","",VLOOKUP(Thu_W1[[#This Row],[Employee Name]],'Base Schedules'!$A$243:$AW$281,29,FALSE)),"")</f>
        <v/>
      </c>
      <c r="AE46" s="184" t="str">
        <f>IFERROR(IF(VLOOKUP(Thu_W1[[#This Row],[Employee Name]],'Base Schedules'!$A$243:$AW$281,30,FALSE)="","",VLOOKUP(Thu_W1[[#This Row],[Employee Name]],'Base Schedules'!$A$243:$AW$281,30,FALSE)),"")</f>
        <v/>
      </c>
      <c r="AF46" s="184" t="str">
        <f>IFERROR(IF(VLOOKUP(Thu_W1[[#This Row],[Employee Name]],'Base Schedules'!$A$243:$AW$281,31,FALSE)="","",VLOOKUP(Thu_W1[[#This Row],[Employee Name]],'Base Schedules'!$A$243:$AW$281,31,FALSE)),"")</f>
        <v/>
      </c>
      <c r="AG46" s="184" t="str">
        <f>IFERROR(IF(VLOOKUP(Thu_W1[[#This Row],[Employee Name]],'Base Schedules'!$A$243:$AW$281,32,FALSE)="","",VLOOKUP(Thu_W1[[#This Row],[Employee Name]],'Base Schedules'!$A$243:$AW$281,32,FALSE)),"")</f>
        <v/>
      </c>
      <c r="AH46" s="184" t="str">
        <f>IFERROR(IF(VLOOKUP(Thu_W1[[#This Row],[Employee Name]],'Base Schedules'!$A$243:$AW$281,33,FALSE)="","",VLOOKUP(Thu_W1[[#This Row],[Employee Name]],'Base Schedules'!$A$243:$AW$281,33,FALSE)),"")</f>
        <v/>
      </c>
      <c r="AI46" s="184" t="str">
        <f>IFERROR(IF(VLOOKUP(Thu_W1[[#This Row],[Employee Name]],'Base Schedules'!$A$243:$AW$281,34,FALSE)="","",VLOOKUP(Thu_W1[[#This Row],[Employee Name]],'Base Schedules'!$A$243:$AW$281,34,FALSE)),"")</f>
        <v/>
      </c>
      <c r="AJ46" s="184" t="str">
        <f>IFERROR(IF(VLOOKUP(Thu_W1[[#This Row],[Employee Name]],'Base Schedules'!$A$243:$AW$281,35,FALSE)="","",VLOOKUP(Thu_W1[[#This Row],[Employee Name]],'Base Schedules'!$A$243:$AW$281,35,FALSE)),"")</f>
        <v/>
      </c>
      <c r="AK46" s="184" t="str">
        <f>IFERROR(IF(VLOOKUP(Thu_W1[[#This Row],[Employee Name]],'Base Schedules'!$A$243:$AW$281,36,FALSE)="","",VLOOKUP(Thu_W1[[#This Row],[Employee Name]],'Base Schedules'!$A$243:$AW$281,36,FALSE)),"")</f>
        <v/>
      </c>
      <c r="AL46" s="184" t="str">
        <f>IFERROR(IF(VLOOKUP(Thu_W1[[#This Row],[Employee Name]],'Base Schedules'!$A$243:$AW$281,37,FALSE)="","",VLOOKUP(Thu_W1[[#This Row],[Employee Name]],'Base Schedules'!$A$243:$AW$281,37,FALSE)),"")</f>
        <v/>
      </c>
      <c r="AM46" s="184" t="str">
        <f>IFERROR(IF(VLOOKUP(Thu_W1[[#This Row],[Employee Name]],'Base Schedules'!$A$243:$AW$281,38,FALSE)="","",VLOOKUP(Thu_W1[[#This Row],[Employee Name]],'Base Schedules'!$A$243:$AW$281,38,FALSE)),"")</f>
        <v/>
      </c>
      <c r="AN46" s="184" t="str">
        <f>IFERROR(IF(VLOOKUP(Thu_W1[[#This Row],[Employee Name]],'Base Schedules'!$A$243:$AW$281,39,FALSE)="","",VLOOKUP(Thu_W1[[#This Row],[Employee Name]],'Base Schedules'!$A$243:$AW$281,39,FALSE)),"")</f>
        <v/>
      </c>
      <c r="AO46" s="184" t="str">
        <f>IFERROR(IF(VLOOKUP(Thu_W1[[#This Row],[Employee Name]],'Base Schedules'!$A$243:$AW$281,40,FALSE)="","",VLOOKUP(Thu_W1[[#This Row],[Employee Name]],'Base Schedules'!$A$243:$AW$281,40,FALSE)),"")</f>
        <v/>
      </c>
      <c r="AP46" s="184" t="str">
        <f>IFERROR(IF(VLOOKUP(Thu_W1[[#This Row],[Employee Name]],'Base Schedules'!$A$243:$AW$281,41,FALSE)="","",VLOOKUP(Thu_W1[[#This Row],[Employee Name]],'Base Schedules'!$A$243:$AW$281,41,FALSE)),"")</f>
        <v/>
      </c>
      <c r="AQ46" s="184" t="str">
        <f>IFERROR(IF(VLOOKUP(Thu_W1[[#This Row],[Employee Name]],'Base Schedules'!$A$243:$AW$281,42,FALSE)="","",VLOOKUP(Thu_W1[[#This Row],[Employee Name]],'Base Schedules'!$A$243:$AW$281,42,FALSE)),"")</f>
        <v/>
      </c>
      <c r="AR46" s="184" t="str">
        <f>IFERROR(IF(VLOOKUP(Thu_W1[[#This Row],[Employee Name]],'Base Schedules'!$A$243:$AW$281,43,FALSE)="","",VLOOKUP(Thu_W1[[#This Row],[Employee Name]],'Base Schedules'!$A$243:$AW$281,43,FALSE)),"")</f>
        <v/>
      </c>
      <c r="AS46" s="184" t="str">
        <f>IFERROR(IF(VLOOKUP(Thu_W1[[#This Row],[Employee Name]],'Base Schedules'!$A$243:$AW$281,44,FALSE)="","",VLOOKUP(Thu_W1[[#This Row],[Employee Name]],'Base Schedules'!$A$243:$AW$281,44,FALSE)),"")</f>
        <v/>
      </c>
      <c r="AT46" s="184" t="str">
        <f>IFERROR(IF(VLOOKUP(Thu_W1[[#This Row],[Employee Name]],'Base Schedules'!$A$243:$AW$281,45,FALSE)="","",VLOOKUP(Thu_W1[[#This Row],[Employee Name]],'Base Schedules'!$A$243:$AW$281,45,FALSE)),"")</f>
        <v/>
      </c>
      <c r="AU46" s="184" t="str">
        <f>IFERROR(IF(VLOOKUP(Thu_W1[[#This Row],[Employee Name]],'Base Schedules'!$A$243:$AW$281,46,FALSE)="","",VLOOKUP(Thu_W1[[#This Row],[Employee Name]],'Base Schedules'!$A$243:$AW$281,46,FALSE)),"")</f>
        <v/>
      </c>
      <c r="AV46" s="184" t="str">
        <f>IFERROR(IF(VLOOKUP(Thu_W1[[#This Row],[Employee Name]],'Base Schedules'!$A$243:$AW$281,47,FALSE)="","",VLOOKUP(Thu_W1[[#This Row],[Employee Name]],'Base Schedules'!$A$243:$AW$281,47,FALSE)),"")</f>
        <v/>
      </c>
      <c r="AW46" s="184" t="str">
        <f>IFERROR(IF(VLOOKUP(Thu_W1[[#This Row],[Employee Name]],'Base Schedules'!$A$243:$AW$281,48,FALSE)="","",VLOOKUP(Thu_W1[[#This Row],[Employee Name]],'Base Schedules'!$A$243:$AW$281,48,FALSE)),"")</f>
        <v/>
      </c>
      <c r="AX46" s="184" t="str">
        <f>IFERROR(IF(VLOOKUP(Thu_W1[[#This Row],[Employee Name]],'Base Schedules'!$A$243:$AW$281,49,FALSE)="","",VLOOKUP(Thu_W1[[#This Row],[Employee Name]],'Base Schedules'!$A$243:$AW$281,49,FALSE)),"")</f>
        <v/>
      </c>
      <c r="AY46" s="166" t="str">
        <f t="shared" si="2"/>
        <v/>
      </c>
    </row>
    <row r="47" spans="1:51" s="44" customFormat="1" hidden="1" thickBot="1" x14ac:dyDescent="0.25">
      <c r="A47" s="39" t="str">
        <f>IF(B47="","",INDEX(TeamList[],MATCH($B47,TeamList[[Employee Name]:[Employee Name]],0),MATCH("Manager",TeamList[#Headers],0)))</f>
        <v/>
      </c>
      <c r="B47" s="201"/>
      <c r="C47" s="257" t="str">
        <f>_xlfn.IFNA(VLOOKUP(Thu_W1[[#This Row],[Employee Name]],'Base Schedules'!A:B,2,FALSE),"")</f>
        <v/>
      </c>
      <c r="D47" s="274" t="str">
        <f>_xlfn.IFNA(VLOOKUP(Thu_W1[[#This Row],[Employee Name]],'Base Schedules'!A:C,3,FALSE),"")</f>
        <v/>
      </c>
      <c r="E47" s="274" t="str">
        <f>_xlfn.IFNA(VLOOKUP(Thu_W1[[#This Row],[Employee Name]],'Base Schedules'!A:D,4,FALSE),"")</f>
        <v/>
      </c>
      <c r="F47" s="142" t="str">
        <f>IF(Thu_W1[[#This Row],[Employee Name]]="","",IF(Thu_W1[[#This Row],[Dept]]="Supervisor",COUNTIFS($J47:$AX47,"*HL*",$J47:$AX47,"&lt;&gt;"&amp;"pHL"),COUNTIFS($J47:$AX47,"*HL*",$J47:$AX47,"&lt;&gt;"&amp;"*pHL*",$J47:$AX47,"&lt;&gt;"&amp;"pB1 HL",$J47:$AX47,"&lt;&gt;"&amp;"pB2 HL")-SUM(COUNTIFS($J47:$AX47,"*HL B1*",$J47:$AX47,"&lt;&gt;"&amp;"pHL B1")*0.5,COUNTIFS($J47:$AX47,"*HL B2*",$J47:$AX47,"&lt;&gt;"&amp;"pHL B2")*0.5,COUNTIFS($J47:$AX47,"*B1 HL*",$J47:$AX47,"&lt;&gt;"&amp;"pB1 HL")*0.5,COUNTIFS($J47:$AX47,"*B2 HL*",$J47:$AX47,"&lt;&gt;"&amp;"pB2 HL")*0.5)))</f>
        <v/>
      </c>
      <c r="G47" s="142" t="str">
        <f t="shared" si="4"/>
        <v/>
      </c>
      <c r="H47" s="142" t="str">
        <f t="shared" si="1"/>
        <v/>
      </c>
      <c r="I47" s="142" t="str">
        <f>IF(Thu_W1[[#This Row],[Employee Name]]="","",IF(Thu_W1[[#This Row],[Dept]]="Supervisor",SUM(COUNTIFS($J47:$AX47,"RTA*",$J47:$AX47,"&lt;&gt;"&amp;"pRTA"),COUNTIFS($J47:$AX47,"*CRTA*",$J47:$AX47,"&lt;&gt;"&amp;"pCRTA")),COUNTIFS($J47:$AX47,"*RNNR*",$J47:$AX47,"&lt;&gt;"&amp;"*pRNNR*",$J47:$AX47,"&lt;&gt;"&amp;"pB1 RNNR",$J47:$AX47,"&lt;&gt;"&amp;"pB2 RNNR")-SUM(COUNTIFS($J47:$AX47,"*RNNR B1*",$J47:$AX47,"&lt;&gt;"&amp;"pRNNR B1")*0.5,COUNTIFS($J47:$AX47,"*RNNR B2*",$J47:$AX47,"&lt;&gt;"&amp;"pRNNR B2")*0.5,COUNTIFS($J47:$AX47,"*B1 RNNR*",$J47:$AX47,"&lt;&gt;"&amp;"pB1 RNNR")*0.5,COUNTIFS($J47:$AX47,"*B2 RNNR*",$J47:$AX47,"&lt;&gt;"&amp;"pB2 RNNR")*0.5)))</f>
        <v/>
      </c>
      <c r="J47" s="184" t="str">
        <f>IFERROR(IF(VLOOKUP(Thu_W1[[#This Row],[Employee Name]],'Base Schedules'!$A$243:$AW$281,9,FALSE)="","",VLOOKUP(Thu_W1[[#This Row],[Employee Name]],'Base Schedules'!$A$243:$AW$281,9,FALSE)),"")</f>
        <v/>
      </c>
      <c r="K47" s="184" t="str">
        <f>IFERROR(IF(VLOOKUP(Thu_W1[[#This Row],[Employee Name]],'Base Schedules'!$A$243:$AW$281,10,FALSE)="","",VLOOKUP(Thu_W1[[#This Row],[Employee Name]],'Base Schedules'!$A$243:$AW$281,10,FALSE)),"")</f>
        <v/>
      </c>
      <c r="L47" s="184" t="str">
        <f>IFERROR(IF(VLOOKUP(Thu_W1[[#This Row],[Employee Name]],'Base Schedules'!$A$243:$AW$281,11,FALSE)="","",VLOOKUP(Thu_W1[[#This Row],[Employee Name]],'Base Schedules'!$A$243:$AW$281,11,FALSE)),"")</f>
        <v/>
      </c>
      <c r="M47" s="184" t="str">
        <f>IFERROR(IF(VLOOKUP(Thu_W1[[#This Row],[Employee Name]],'Base Schedules'!$A$243:$AW$281,12,FALSE)="","",VLOOKUP(Thu_W1[[#This Row],[Employee Name]],'Base Schedules'!$A$243:$AW$281,12,FALSE)),"")</f>
        <v/>
      </c>
      <c r="N47" s="184" t="str">
        <f>IFERROR(IF(VLOOKUP(Thu_W1[[#This Row],[Employee Name]],'Base Schedules'!$A$243:$AW$281,13,FALSE)="","",VLOOKUP(Thu_W1[[#This Row],[Employee Name]],'Base Schedules'!$A$243:$AW$281,13,FALSE)),"")</f>
        <v/>
      </c>
      <c r="O47" s="184" t="str">
        <f>IFERROR(IF(VLOOKUP(Thu_W1[[#This Row],[Employee Name]],'Base Schedules'!$A$243:$AW$281,14,FALSE)="","",VLOOKUP(Thu_W1[[#This Row],[Employee Name]],'Base Schedules'!$A$243:$AW$281,14,FALSE)),"")</f>
        <v/>
      </c>
      <c r="P47" s="184" t="str">
        <f>IFERROR(IF(VLOOKUP(Thu_W1[[#This Row],[Employee Name]],'Base Schedules'!$A$243:$AW$281,15,FALSE)="","",VLOOKUP(Thu_W1[[#This Row],[Employee Name]],'Base Schedules'!$A$243:$AW$281,15,FALSE)),"")</f>
        <v/>
      </c>
      <c r="Q47" s="184" t="str">
        <f>IFERROR(IF(VLOOKUP(Thu_W1[[#This Row],[Employee Name]],'Base Schedules'!$A$243:$AW$281,16,FALSE)="","",VLOOKUP(Thu_W1[[#This Row],[Employee Name]],'Base Schedules'!$A$243:$AW$281,16,FALSE)),"")</f>
        <v/>
      </c>
      <c r="R47" s="184" t="str">
        <f>IFERROR(IF(VLOOKUP(Thu_W1[[#This Row],[Employee Name]],'Base Schedules'!$A$243:$AW$281,17,FALSE)="","",VLOOKUP(Thu_W1[[#This Row],[Employee Name]],'Base Schedules'!$A$243:$AW$281,17,FALSE)),"")</f>
        <v/>
      </c>
      <c r="S47" s="184" t="str">
        <f>IFERROR(IF(VLOOKUP(Thu_W1[[#This Row],[Employee Name]],'Base Schedules'!$A$243:$AW$281,18,FALSE)="","",VLOOKUP(Thu_W1[[#This Row],[Employee Name]],'Base Schedules'!$A$243:$AW$281,18,FALSE)),"")</f>
        <v/>
      </c>
      <c r="T47" s="184" t="str">
        <f>IFERROR(IF(VLOOKUP(Thu_W1[[#This Row],[Employee Name]],'Base Schedules'!$A$243:$AW$281,19,FALSE)="","",VLOOKUP(Thu_W1[[#This Row],[Employee Name]],'Base Schedules'!$A$243:$AW$281,19,FALSE)),"")</f>
        <v/>
      </c>
      <c r="U47" s="184" t="str">
        <f>IFERROR(IF(VLOOKUP(Thu_W1[[#This Row],[Employee Name]],'Base Schedules'!$A$243:$AW$281,20,FALSE)="","",VLOOKUP(Thu_W1[[#This Row],[Employee Name]],'Base Schedules'!$A$243:$AW$281,20,FALSE)),"")</f>
        <v/>
      </c>
      <c r="V47" s="184" t="str">
        <f>IFERROR(IF(VLOOKUP(Thu_W1[[#This Row],[Employee Name]],'Base Schedules'!$A$243:$AW$281,21,FALSE)="","",VLOOKUP(Thu_W1[[#This Row],[Employee Name]],'Base Schedules'!$A$243:$AW$281,21,FALSE)),"")</f>
        <v/>
      </c>
      <c r="W47" s="184" t="str">
        <f>IFERROR(IF(VLOOKUP(Thu_W1[[#This Row],[Employee Name]],'Base Schedules'!$A$243:$AW$281,22,FALSE)="","",VLOOKUP(Thu_W1[[#This Row],[Employee Name]],'Base Schedules'!$A$243:$AW$281,22,FALSE)),"")</f>
        <v/>
      </c>
      <c r="X47" s="184" t="str">
        <f>IFERROR(IF(VLOOKUP(Thu_W1[[#This Row],[Employee Name]],'Base Schedules'!$A$243:$AW$281,23,FALSE)="","",VLOOKUP(Thu_W1[[#This Row],[Employee Name]],'Base Schedules'!$A$243:$AW$281,23,FALSE)),"")</f>
        <v/>
      </c>
      <c r="Y47" s="184" t="str">
        <f>IFERROR(IF(VLOOKUP(Thu_W1[[#This Row],[Employee Name]],'Base Schedules'!$A$243:$AW$281,24,FALSE)="","",VLOOKUP(Thu_W1[[#This Row],[Employee Name]],'Base Schedules'!$A$243:$AW$281,24,FALSE)),"")</f>
        <v/>
      </c>
      <c r="Z47" s="184" t="str">
        <f>IFERROR(IF(VLOOKUP(Thu_W1[[#This Row],[Employee Name]],'Base Schedules'!$A$243:$AW$281,25,FALSE)="","",VLOOKUP(Thu_W1[[#This Row],[Employee Name]],'Base Schedules'!$A$243:$AW$281,25,FALSE)),"")</f>
        <v/>
      </c>
      <c r="AA47" s="184" t="str">
        <f>IFERROR(IF(VLOOKUP(Thu_W1[[#This Row],[Employee Name]],'Base Schedules'!$A$243:$AW$281,26,FALSE)="","",VLOOKUP(Thu_W1[[#This Row],[Employee Name]],'Base Schedules'!$A$243:$AW$281,26,FALSE)),"")</f>
        <v/>
      </c>
      <c r="AB47" s="184" t="str">
        <f>IFERROR(IF(VLOOKUP(Thu_W1[[#This Row],[Employee Name]],'Base Schedules'!$A$243:$AW$281,27,FALSE)="","",VLOOKUP(Thu_W1[[#This Row],[Employee Name]],'Base Schedules'!$A$243:$AW$281,27,FALSE)),"")</f>
        <v/>
      </c>
      <c r="AC47" s="184" t="str">
        <f>IFERROR(IF(VLOOKUP(Thu_W1[[#This Row],[Employee Name]],'Base Schedules'!$A$243:$AW$281,28,FALSE)="","",VLOOKUP(Thu_W1[[#This Row],[Employee Name]],'Base Schedules'!$A$243:$AW$281,28,FALSE)),"")</f>
        <v/>
      </c>
      <c r="AD47" s="184" t="str">
        <f>IFERROR(IF(VLOOKUP(Thu_W1[[#This Row],[Employee Name]],'Base Schedules'!$A$243:$AW$281,29,FALSE)="","",VLOOKUP(Thu_W1[[#This Row],[Employee Name]],'Base Schedules'!$A$243:$AW$281,29,FALSE)),"")</f>
        <v/>
      </c>
      <c r="AE47" s="184" t="str">
        <f>IFERROR(IF(VLOOKUP(Thu_W1[[#This Row],[Employee Name]],'Base Schedules'!$A$243:$AW$281,30,FALSE)="","",VLOOKUP(Thu_W1[[#This Row],[Employee Name]],'Base Schedules'!$A$243:$AW$281,30,FALSE)),"")</f>
        <v/>
      </c>
      <c r="AF47" s="184" t="str">
        <f>IFERROR(IF(VLOOKUP(Thu_W1[[#This Row],[Employee Name]],'Base Schedules'!$A$243:$AW$281,31,FALSE)="","",VLOOKUP(Thu_W1[[#This Row],[Employee Name]],'Base Schedules'!$A$243:$AW$281,31,FALSE)),"")</f>
        <v/>
      </c>
      <c r="AG47" s="184" t="str">
        <f>IFERROR(IF(VLOOKUP(Thu_W1[[#This Row],[Employee Name]],'Base Schedules'!$A$243:$AW$281,32,FALSE)="","",VLOOKUP(Thu_W1[[#This Row],[Employee Name]],'Base Schedules'!$A$243:$AW$281,32,FALSE)),"")</f>
        <v/>
      </c>
      <c r="AH47" s="184" t="str">
        <f>IFERROR(IF(VLOOKUP(Thu_W1[[#This Row],[Employee Name]],'Base Schedules'!$A$243:$AW$281,33,FALSE)="","",VLOOKUP(Thu_W1[[#This Row],[Employee Name]],'Base Schedules'!$A$243:$AW$281,33,FALSE)),"")</f>
        <v/>
      </c>
      <c r="AI47" s="184" t="str">
        <f>IFERROR(IF(VLOOKUP(Thu_W1[[#This Row],[Employee Name]],'Base Schedules'!$A$243:$AW$281,34,FALSE)="","",VLOOKUP(Thu_W1[[#This Row],[Employee Name]],'Base Schedules'!$A$243:$AW$281,34,FALSE)),"")</f>
        <v/>
      </c>
      <c r="AJ47" s="184" t="str">
        <f>IFERROR(IF(VLOOKUP(Thu_W1[[#This Row],[Employee Name]],'Base Schedules'!$A$243:$AW$281,35,FALSE)="","",VLOOKUP(Thu_W1[[#This Row],[Employee Name]],'Base Schedules'!$A$243:$AW$281,35,FALSE)),"")</f>
        <v/>
      </c>
      <c r="AK47" s="184" t="str">
        <f>IFERROR(IF(VLOOKUP(Thu_W1[[#This Row],[Employee Name]],'Base Schedules'!$A$243:$AW$281,36,FALSE)="","",VLOOKUP(Thu_W1[[#This Row],[Employee Name]],'Base Schedules'!$A$243:$AW$281,36,FALSE)),"")</f>
        <v/>
      </c>
      <c r="AL47" s="184" t="str">
        <f>IFERROR(IF(VLOOKUP(Thu_W1[[#This Row],[Employee Name]],'Base Schedules'!$A$243:$AW$281,37,FALSE)="","",VLOOKUP(Thu_W1[[#This Row],[Employee Name]],'Base Schedules'!$A$243:$AW$281,37,FALSE)),"")</f>
        <v/>
      </c>
      <c r="AM47" s="184" t="str">
        <f>IFERROR(IF(VLOOKUP(Thu_W1[[#This Row],[Employee Name]],'Base Schedules'!$A$243:$AW$281,38,FALSE)="","",VLOOKUP(Thu_W1[[#This Row],[Employee Name]],'Base Schedules'!$A$243:$AW$281,38,FALSE)),"")</f>
        <v/>
      </c>
      <c r="AN47" s="184" t="str">
        <f>IFERROR(IF(VLOOKUP(Thu_W1[[#This Row],[Employee Name]],'Base Schedules'!$A$243:$AW$281,39,FALSE)="","",VLOOKUP(Thu_W1[[#This Row],[Employee Name]],'Base Schedules'!$A$243:$AW$281,39,FALSE)),"")</f>
        <v/>
      </c>
      <c r="AO47" s="184" t="str">
        <f>IFERROR(IF(VLOOKUP(Thu_W1[[#This Row],[Employee Name]],'Base Schedules'!$A$243:$AW$281,40,FALSE)="","",VLOOKUP(Thu_W1[[#This Row],[Employee Name]],'Base Schedules'!$A$243:$AW$281,40,FALSE)),"")</f>
        <v/>
      </c>
      <c r="AP47" s="184" t="str">
        <f>IFERROR(IF(VLOOKUP(Thu_W1[[#This Row],[Employee Name]],'Base Schedules'!$A$243:$AW$281,41,FALSE)="","",VLOOKUP(Thu_W1[[#This Row],[Employee Name]],'Base Schedules'!$A$243:$AW$281,41,FALSE)),"")</f>
        <v/>
      </c>
      <c r="AQ47" s="184" t="str">
        <f>IFERROR(IF(VLOOKUP(Thu_W1[[#This Row],[Employee Name]],'Base Schedules'!$A$243:$AW$281,42,FALSE)="","",VLOOKUP(Thu_W1[[#This Row],[Employee Name]],'Base Schedules'!$A$243:$AW$281,42,FALSE)),"")</f>
        <v/>
      </c>
      <c r="AR47" s="184" t="str">
        <f>IFERROR(IF(VLOOKUP(Thu_W1[[#This Row],[Employee Name]],'Base Schedules'!$A$243:$AW$281,43,FALSE)="","",VLOOKUP(Thu_W1[[#This Row],[Employee Name]],'Base Schedules'!$A$243:$AW$281,43,FALSE)),"")</f>
        <v/>
      </c>
      <c r="AS47" s="184" t="str">
        <f>IFERROR(IF(VLOOKUP(Thu_W1[[#This Row],[Employee Name]],'Base Schedules'!$A$243:$AW$281,44,FALSE)="","",VLOOKUP(Thu_W1[[#This Row],[Employee Name]],'Base Schedules'!$A$243:$AW$281,44,FALSE)),"")</f>
        <v/>
      </c>
      <c r="AT47" s="184" t="str">
        <f>IFERROR(IF(VLOOKUP(Thu_W1[[#This Row],[Employee Name]],'Base Schedules'!$A$243:$AW$281,45,FALSE)="","",VLOOKUP(Thu_W1[[#This Row],[Employee Name]],'Base Schedules'!$A$243:$AW$281,45,FALSE)),"")</f>
        <v/>
      </c>
      <c r="AU47" s="184" t="str">
        <f>IFERROR(IF(VLOOKUP(Thu_W1[[#This Row],[Employee Name]],'Base Schedules'!$A$243:$AW$281,46,FALSE)="","",VLOOKUP(Thu_W1[[#This Row],[Employee Name]],'Base Schedules'!$A$243:$AW$281,46,FALSE)),"")</f>
        <v/>
      </c>
      <c r="AV47" s="184" t="str">
        <f>IFERROR(IF(VLOOKUP(Thu_W1[[#This Row],[Employee Name]],'Base Schedules'!$A$243:$AW$281,47,FALSE)="","",VLOOKUP(Thu_W1[[#This Row],[Employee Name]],'Base Schedules'!$A$243:$AW$281,47,FALSE)),"")</f>
        <v/>
      </c>
      <c r="AW47" s="184" t="str">
        <f>IFERROR(IF(VLOOKUP(Thu_W1[[#This Row],[Employee Name]],'Base Schedules'!$A$243:$AW$281,48,FALSE)="","",VLOOKUP(Thu_W1[[#This Row],[Employee Name]],'Base Schedules'!$A$243:$AW$281,48,FALSE)),"")</f>
        <v/>
      </c>
      <c r="AX47" s="184" t="str">
        <f>IFERROR(IF(VLOOKUP(Thu_W1[[#This Row],[Employee Name]],'Base Schedules'!$A$243:$AW$281,49,FALSE)="","",VLOOKUP(Thu_W1[[#This Row],[Employee Name]],'Base Schedules'!$A$243:$AW$281,49,FALSE)),"")</f>
        <v/>
      </c>
      <c r="AY47" s="164" t="str">
        <f t="shared" si="2"/>
        <v/>
      </c>
    </row>
    <row r="48" spans="1:51" s="44" customFormat="1" hidden="1" thickBot="1" x14ac:dyDescent="0.25">
      <c r="A48" s="39" t="str">
        <f>IF(B48="","",INDEX(TeamList[],MATCH($B48,TeamList[[Employee Name]:[Employee Name]],0),MATCH("Manager",TeamList[#Headers],0)))</f>
        <v/>
      </c>
      <c r="B48" s="201"/>
      <c r="C48" s="257" t="str">
        <f>_xlfn.IFNA(VLOOKUP(Thu_W1[[#This Row],[Employee Name]],'Base Schedules'!A:B,2,FALSE),"")</f>
        <v/>
      </c>
      <c r="D48" s="274" t="str">
        <f>_xlfn.IFNA(VLOOKUP(Thu_W1[[#This Row],[Employee Name]],'Base Schedules'!A:C,3,FALSE),"")</f>
        <v/>
      </c>
      <c r="E48" s="274" t="str">
        <f>_xlfn.IFNA(VLOOKUP(Thu_W1[[#This Row],[Employee Name]],'Base Schedules'!A:D,4,FALSE),"")</f>
        <v/>
      </c>
      <c r="F48" s="142" t="str">
        <f>IF(Thu_W1[[#This Row],[Employee Name]]="","",IF(Thu_W1[[#This Row],[Dept]]="Supervisor",COUNTIFS($J48:$AX48,"*HL*",$J48:$AX48,"&lt;&gt;"&amp;"pHL"),COUNTIFS($J48:$AX48,"*HL*",$J48:$AX48,"&lt;&gt;"&amp;"*pHL*",$J48:$AX48,"&lt;&gt;"&amp;"pB1 HL",$J48:$AX48,"&lt;&gt;"&amp;"pB2 HL")-SUM(COUNTIFS($J48:$AX48,"*HL B1*",$J48:$AX48,"&lt;&gt;"&amp;"pHL B1")*0.5,COUNTIFS($J48:$AX48,"*HL B2*",$J48:$AX48,"&lt;&gt;"&amp;"pHL B2")*0.5,COUNTIFS($J48:$AX48,"*B1 HL*",$J48:$AX48,"&lt;&gt;"&amp;"pB1 HL")*0.5,COUNTIFS($J48:$AX48,"*B2 HL*",$J48:$AX48,"&lt;&gt;"&amp;"pB2 HL")*0.5)))</f>
        <v/>
      </c>
      <c r="G48" s="142" t="str">
        <f t="shared" si="4"/>
        <v/>
      </c>
      <c r="H48" s="142" t="str">
        <f t="shared" si="1"/>
        <v/>
      </c>
      <c r="I48" s="142" t="str">
        <f>IF(Thu_W1[[#This Row],[Employee Name]]="","",IF(Thu_W1[[#This Row],[Dept]]="Supervisor",SUM(COUNTIFS($J48:$AX48,"RTA*",$J48:$AX48,"&lt;&gt;"&amp;"pRTA"),COUNTIFS($J48:$AX48,"*CRTA*",$J48:$AX48,"&lt;&gt;"&amp;"pCRTA")),COUNTIFS($J48:$AX48,"*RNNR*",$J48:$AX48,"&lt;&gt;"&amp;"*pRNNR*",$J48:$AX48,"&lt;&gt;"&amp;"pB1 RNNR",$J48:$AX48,"&lt;&gt;"&amp;"pB2 RNNR")-SUM(COUNTIFS($J48:$AX48,"*RNNR B1*",$J48:$AX48,"&lt;&gt;"&amp;"pRNNR B1")*0.5,COUNTIFS($J48:$AX48,"*RNNR B2*",$J48:$AX48,"&lt;&gt;"&amp;"pRNNR B2")*0.5,COUNTIFS($J48:$AX48,"*B1 RNNR*",$J48:$AX48,"&lt;&gt;"&amp;"pB1 RNNR")*0.5,COUNTIFS($J48:$AX48,"*B2 RNNR*",$J48:$AX48,"&lt;&gt;"&amp;"pB2 RNNR")*0.5)))</f>
        <v/>
      </c>
      <c r="J48" s="184" t="str">
        <f>IFERROR(IF(VLOOKUP(Thu_W1[[#This Row],[Employee Name]],'Base Schedules'!$A$243:$AW$281,9,FALSE)="","",VLOOKUP(Thu_W1[[#This Row],[Employee Name]],'Base Schedules'!$A$243:$AW$281,9,FALSE)),"")</f>
        <v/>
      </c>
      <c r="K48" s="184" t="str">
        <f>IFERROR(IF(VLOOKUP(Thu_W1[[#This Row],[Employee Name]],'Base Schedules'!$A$243:$AW$281,10,FALSE)="","",VLOOKUP(Thu_W1[[#This Row],[Employee Name]],'Base Schedules'!$A$243:$AW$281,10,FALSE)),"")</f>
        <v/>
      </c>
      <c r="L48" s="184" t="str">
        <f>IFERROR(IF(VLOOKUP(Thu_W1[[#This Row],[Employee Name]],'Base Schedules'!$A$243:$AW$281,11,FALSE)="","",VLOOKUP(Thu_W1[[#This Row],[Employee Name]],'Base Schedules'!$A$243:$AW$281,11,FALSE)),"")</f>
        <v/>
      </c>
      <c r="M48" s="184" t="str">
        <f>IFERROR(IF(VLOOKUP(Thu_W1[[#This Row],[Employee Name]],'Base Schedules'!$A$243:$AW$281,12,FALSE)="","",VLOOKUP(Thu_W1[[#This Row],[Employee Name]],'Base Schedules'!$A$243:$AW$281,12,FALSE)),"")</f>
        <v/>
      </c>
      <c r="N48" s="184" t="str">
        <f>IFERROR(IF(VLOOKUP(Thu_W1[[#This Row],[Employee Name]],'Base Schedules'!$A$243:$AW$281,13,FALSE)="","",VLOOKUP(Thu_W1[[#This Row],[Employee Name]],'Base Schedules'!$A$243:$AW$281,13,FALSE)),"")</f>
        <v/>
      </c>
      <c r="O48" s="184" t="str">
        <f>IFERROR(IF(VLOOKUP(Thu_W1[[#This Row],[Employee Name]],'Base Schedules'!$A$243:$AW$281,14,FALSE)="","",VLOOKUP(Thu_W1[[#This Row],[Employee Name]],'Base Schedules'!$A$243:$AW$281,14,FALSE)),"")</f>
        <v/>
      </c>
      <c r="P48" s="184" t="str">
        <f>IFERROR(IF(VLOOKUP(Thu_W1[[#This Row],[Employee Name]],'Base Schedules'!$A$243:$AW$281,15,FALSE)="","",VLOOKUP(Thu_W1[[#This Row],[Employee Name]],'Base Schedules'!$A$243:$AW$281,15,FALSE)),"")</f>
        <v/>
      </c>
      <c r="Q48" s="184" t="str">
        <f>IFERROR(IF(VLOOKUP(Thu_W1[[#This Row],[Employee Name]],'Base Schedules'!$A$243:$AW$281,16,FALSE)="","",VLOOKUP(Thu_W1[[#This Row],[Employee Name]],'Base Schedules'!$A$243:$AW$281,16,FALSE)),"")</f>
        <v/>
      </c>
      <c r="R48" s="184" t="str">
        <f>IFERROR(IF(VLOOKUP(Thu_W1[[#This Row],[Employee Name]],'Base Schedules'!$A$243:$AW$281,17,FALSE)="","",VLOOKUP(Thu_W1[[#This Row],[Employee Name]],'Base Schedules'!$A$243:$AW$281,17,FALSE)),"")</f>
        <v/>
      </c>
      <c r="S48" s="184" t="str">
        <f>IFERROR(IF(VLOOKUP(Thu_W1[[#This Row],[Employee Name]],'Base Schedules'!$A$243:$AW$281,18,FALSE)="","",VLOOKUP(Thu_W1[[#This Row],[Employee Name]],'Base Schedules'!$A$243:$AW$281,18,FALSE)),"")</f>
        <v/>
      </c>
      <c r="T48" s="184" t="str">
        <f>IFERROR(IF(VLOOKUP(Thu_W1[[#This Row],[Employee Name]],'Base Schedules'!$A$243:$AW$281,19,FALSE)="","",VLOOKUP(Thu_W1[[#This Row],[Employee Name]],'Base Schedules'!$A$243:$AW$281,19,FALSE)),"")</f>
        <v/>
      </c>
      <c r="U48" s="184" t="str">
        <f>IFERROR(IF(VLOOKUP(Thu_W1[[#This Row],[Employee Name]],'Base Schedules'!$A$243:$AW$281,20,FALSE)="","",VLOOKUP(Thu_W1[[#This Row],[Employee Name]],'Base Schedules'!$A$243:$AW$281,20,FALSE)),"")</f>
        <v/>
      </c>
      <c r="V48" s="184" t="str">
        <f>IFERROR(IF(VLOOKUP(Thu_W1[[#This Row],[Employee Name]],'Base Schedules'!$A$243:$AW$281,21,FALSE)="","",VLOOKUP(Thu_W1[[#This Row],[Employee Name]],'Base Schedules'!$A$243:$AW$281,21,FALSE)),"")</f>
        <v/>
      </c>
      <c r="W48" s="184" t="str">
        <f>IFERROR(IF(VLOOKUP(Thu_W1[[#This Row],[Employee Name]],'Base Schedules'!$A$243:$AW$281,22,FALSE)="","",VLOOKUP(Thu_W1[[#This Row],[Employee Name]],'Base Schedules'!$A$243:$AW$281,22,FALSE)),"")</f>
        <v/>
      </c>
      <c r="X48" s="184" t="str">
        <f>IFERROR(IF(VLOOKUP(Thu_W1[[#This Row],[Employee Name]],'Base Schedules'!$A$243:$AW$281,23,FALSE)="","",VLOOKUP(Thu_W1[[#This Row],[Employee Name]],'Base Schedules'!$A$243:$AW$281,23,FALSE)),"")</f>
        <v/>
      </c>
      <c r="Y48" s="184" t="str">
        <f>IFERROR(IF(VLOOKUP(Thu_W1[[#This Row],[Employee Name]],'Base Schedules'!$A$243:$AW$281,24,FALSE)="","",VLOOKUP(Thu_W1[[#This Row],[Employee Name]],'Base Schedules'!$A$243:$AW$281,24,FALSE)),"")</f>
        <v/>
      </c>
      <c r="Z48" s="184" t="str">
        <f>IFERROR(IF(VLOOKUP(Thu_W1[[#This Row],[Employee Name]],'Base Schedules'!$A$243:$AW$281,25,FALSE)="","",VLOOKUP(Thu_W1[[#This Row],[Employee Name]],'Base Schedules'!$A$243:$AW$281,25,FALSE)),"")</f>
        <v/>
      </c>
      <c r="AA48" s="184" t="str">
        <f>IFERROR(IF(VLOOKUP(Thu_W1[[#This Row],[Employee Name]],'Base Schedules'!$A$243:$AW$281,26,FALSE)="","",VLOOKUP(Thu_W1[[#This Row],[Employee Name]],'Base Schedules'!$A$243:$AW$281,26,FALSE)),"")</f>
        <v/>
      </c>
      <c r="AB48" s="184" t="str">
        <f>IFERROR(IF(VLOOKUP(Thu_W1[[#This Row],[Employee Name]],'Base Schedules'!$A$243:$AW$281,27,FALSE)="","",VLOOKUP(Thu_W1[[#This Row],[Employee Name]],'Base Schedules'!$A$243:$AW$281,27,FALSE)),"")</f>
        <v/>
      </c>
      <c r="AC48" s="184" t="str">
        <f>IFERROR(IF(VLOOKUP(Thu_W1[[#This Row],[Employee Name]],'Base Schedules'!$A$243:$AW$281,28,FALSE)="","",VLOOKUP(Thu_W1[[#This Row],[Employee Name]],'Base Schedules'!$A$243:$AW$281,28,FALSE)),"")</f>
        <v/>
      </c>
      <c r="AD48" s="184" t="str">
        <f>IFERROR(IF(VLOOKUP(Thu_W1[[#This Row],[Employee Name]],'Base Schedules'!$A$243:$AW$281,29,FALSE)="","",VLOOKUP(Thu_W1[[#This Row],[Employee Name]],'Base Schedules'!$A$243:$AW$281,29,FALSE)),"")</f>
        <v/>
      </c>
      <c r="AE48" s="184" t="str">
        <f>IFERROR(IF(VLOOKUP(Thu_W1[[#This Row],[Employee Name]],'Base Schedules'!$A$243:$AW$281,30,FALSE)="","",VLOOKUP(Thu_W1[[#This Row],[Employee Name]],'Base Schedules'!$A$243:$AW$281,30,FALSE)),"")</f>
        <v/>
      </c>
      <c r="AF48" s="184" t="str">
        <f>IFERROR(IF(VLOOKUP(Thu_W1[[#This Row],[Employee Name]],'Base Schedules'!$A$243:$AW$281,31,FALSE)="","",VLOOKUP(Thu_W1[[#This Row],[Employee Name]],'Base Schedules'!$A$243:$AW$281,31,FALSE)),"")</f>
        <v/>
      </c>
      <c r="AG48" s="184" t="str">
        <f>IFERROR(IF(VLOOKUP(Thu_W1[[#This Row],[Employee Name]],'Base Schedules'!$A$243:$AW$281,32,FALSE)="","",VLOOKUP(Thu_W1[[#This Row],[Employee Name]],'Base Schedules'!$A$243:$AW$281,32,FALSE)),"")</f>
        <v/>
      </c>
      <c r="AH48" s="184" t="str">
        <f>IFERROR(IF(VLOOKUP(Thu_W1[[#This Row],[Employee Name]],'Base Schedules'!$A$243:$AW$281,33,FALSE)="","",VLOOKUP(Thu_W1[[#This Row],[Employee Name]],'Base Schedules'!$A$243:$AW$281,33,FALSE)),"")</f>
        <v/>
      </c>
      <c r="AI48" s="184" t="str">
        <f>IFERROR(IF(VLOOKUP(Thu_W1[[#This Row],[Employee Name]],'Base Schedules'!$A$243:$AW$281,34,FALSE)="","",VLOOKUP(Thu_W1[[#This Row],[Employee Name]],'Base Schedules'!$A$243:$AW$281,34,FALSE)),"")</f>
        <v/>
      </c>
      <c r="AJ48" s="184" t="str">
        <f>IFERROR(IF(VLOOKUP(Thu_W1[[#This Row],[Employee Name]],'Base Schedules'!$A$243:$AW$281,35,FALSE)="","",VLOOKUP(Thu_W1[[#This Row],[Employee Name]],'Base Schedules'!$A$243:$AW$281,35,FALSE)),"")</f>
        <v/>
      </c>
      <c r="AK48" s="184" t="str">
        <f>IFERROR(IF(VLOOKUP(Thu_W1[[#This Row],[Employee Name]],'Base Schedules'!$A$243:$AW$281,36,FALSE)="","",VLOOKUP(Thu_W1[[#This Row],[Employee Name]],'Base Schedules'!$A$243:$AW$281,36,FALSE)),"")</f>
        <v/>
      </c>
      <c r="AL48" s="184" t="str">
        <f>IFERROR(IF(VLOOKUP(Thu_W1[[#This Row],[Employee Name]],'Base Schedules'!$A$243:$AW$281,37,FALSE)="","",VLOOKUP(Thu_W1[[#This Row],[Employee Name]],'Base Schedules'!$A$243:$AW$281,37,FALSE)),"")</f>
        <v/>
      </c>
      <c r="AM48" s="184" t="str">
        <f>IFERROR(IF(VLOOKUP(Thu_W1[[#This Row],[Employee Name]],'Base Schedules'!$A$243:$AW$281,38,FALSE)="","",VLOOKUP(Thu_W1[[#This Row],[Employee Name]],'Base Schedules'!$A$243:$AW$281,38,FALSE)),"")</f>
        <v/>
      </c>
      <c r="AN48" s="184" t="str">
        <f>IFERROR(IF(VLOOKUP(Thu_W1[[#This Row],[Employee Name]],'Base Schedules'!$A$243:$AW$281,39,FALSE)="","",VLOOKUP(Thu_W1[[#This Row],[Employee Name]],'Base Schedules'!$A$243:$AW$281,39,FALSE)),"")</f>
        <v/>
      </c>
      <c r="AO48" s="184" t="str">
        <f>IFERROR(IF(VLOOKUP(Thu_W1[[#This Row],[Employee Name]],'Base Schedules'!$A$243:$AW$281,40,FALSE)="","",VLOOKUP(Thu_W1[[#This Row],[Employee Name]],'Base Schedules'!$A$243:$AW$281,40,FALSE)),"")</f>
        <v/>
      </c>
      <c r="AP48" s="184" t="str">
        <f>IFERROR(IF(VLOOKUP(Thu_W1[[#This Row],[Employee Name]],'Base Schedules'!$A$243:$AW$281,41,FALSE)="","",VLOOKUP(Thu_W1[[#This Row],[Employee Name]],'Base Schedules'!$A$243:$AW$281,41,FALSE)),"")</f>
        <v/>
      </c>
      <c r="AQ48" s="184" t="str">
        <f>IFERROR(IF(VLOOKUP(Thu_W1[[#This Row],[Employee Name]],'Base Schedules'!$A$243:$AW$281,42,FALSE)="","",VLOOKUP(Thu_W1[[#This Row],[Employee Name]],'Base Schedules'!$A$243:$AW$281,42,FALSE)),"")</f>
        <v/>
      </c>
      <c r="AR48" s="184" t="str">
        <f>IFERROR(IF(VLOOKUP(Thu_W1[[#This Row],[Employee Name]],'Base Schedules'!$A$243:$AW$281,43,FALSE)="","",VLOOKUP(Thu_W1[[#This Row],[Employee Name]],'Base Schedules'!$A$243:$AW$281,43,FALSE)),"")</f>
        <v/>
      </c>
      <c r="AS48" s="184" t="str">
        <f>IFERROR(IF(VLOOKUP(Thu_W1[[#This Row],[Employee Name]],'Base Schedules'!$A$243:$AW$281,44,FALSE)="","",VLOOKUP(Thu_W1[[#This Row],[Employee Name]],'Base Schedules'!$A$243:$AW$281,44,FALSE)),"")</f>
        <v/>
      </c>
      <c r="AT48" s="184" t="str">
        <f>IFERROR(IF(VLOOKUP(Thu_W1[[#This Row],[Employee Name]],'Base Schedules'!$A$243:$AW$281,45,FALSE)="","",VLOOKUP(Thu_W1[[#This Row],[Employee Name]],'Base Schedules'!$A$243:$AW$281,45,FALSE)),"")</f>
        <v/>
      </c>
      <c r="AU48" s="184" t="str">
        <f>IFERROR(IF(VLOOKUP(Thu_W1[[#This Row],[Employee Name]],'Base Schedules'!$A$243:$AW$281,46,FALSE)="","",VLOOKUP(Thu_W1[[#This Row],[Employee Name]],'Base Schedules'!$A$243:$AW$281,46,FALSE)),"")</f>
        <v/>
      </c>
      <c r="AV48" s="184" t="str">
        <f>IFERROR(IF(VLOOKUP(Thu_W1[[#This Row],[Employee Name]],'Base Schedules'!$A$243:$AW$281,47,FALSE)="","",VLOOKUP(Thu_W1[[#This Row],[Employee Name]],'Base Schedules'!$A$243:$AW$281,47,FALSE)),"")</f>
        <v/>
      </c>
      <c r="AW48" s="184" t="str">
        <f>IFERROR(IF(VLOOKUP(Thu_W1[[#This Row],[Employee Name]],'Base Schedules'!$A$243:$AW$281,48,FALSE)="","",VLOOKUP(Thu_W1[[#This Row],[Employee Name]],'Base Schedules'!$A$243:$AW$281,48,FALSE)),"")</f>
        <v/>
      </c>
      <c r="AX48" s="184" t="str">
        <f>IFERROR(IF(VLOOKUP(Thu_W1[[#This Row],[Employee Name]],'Base Schedules'!$A$243:$AW$281,49,FALSE)="","",VLOOKUP(Thu_W1[[#This Row],[Employee Name]],'Base Schedules'!$A$243:$AW$281,49,FALSE)),"")</f>
        <v/>
      </c>
      <c r="AY48" s="164" t="str">
        <f t="shared" si="2"/>
        <v/>
      </c>
    </row>
    <row r="49" spans="1:52" s="44" customFormat="1" hidden="1" thickBot="1" x14ac:dyDescent="0.25">
      <c r="A49" s="39" t="str">
        <f>IF(B49="","",INDEX(TeamList[],MATCH($B49,TeamList[[Employee Name]:[Employee Name]],0),MATCH("Manager",TeamList[#Headers],0)))</f>
        <v/>
      </c>
      <c r="B49" s="201"/>
      <c r="C49" s="257" t="str">
        <f>_xlfn.IFNA(VLOOKUP(Thu_W1[[#This Row],[Employee Name]],'Base Schedules'!A:B,2,FALSE),"")</f>
        <v/>
      </c>
      <c r="D49" s="274" t="str">
        <f>_xlfn.IFNA(VLOOKUP(Thu_W1[[#This Row],[Employee Name]],'Base Schedules'!A:C,3,FALSE),"")</f>
        <v/>
      </c>
      <c r="E49" s="274" t="str">
        <f>_xlfn.IFNA(VLOOKUP(Thu_W1[[#This Row],[Employee Name]],'Base Schedules'!A:D,4,FALSE),"")</f>
        <v/>
      </c>
      <c r="F49" s="142" t="str">
        <f>IF(Thu_W1[[#This Row],[Employee Name]]="","",IF(Thu_W1[[#This Row],[Dept]]="Supervisor",COUNTIFS($J49:$AX49,"*HL*",$J49:$AX49,"&lt;&gt;"&amp;"pHL"),COUNTIFS($J49:$AX49,"*HL*",$J49:$AX49,"&lt;&gt;"&amp;"*pHL*",$J49:$AX49,"&lt;&gt;"&amp;"pB1 HL",$J49:$AX49,"&lt;&gt;"&amp;"pB2 HL")-SUM(COUNTIFS($J49:$AX49,"*HL B1*",$J49:$AX49,"&lt;&gt;"&amp;"pHL B1")*0.5,COUNTIFS($J49:$AX49,"*HL B2*",$J49:$AX49,"&lt;&gt;"&amp;"pHL B2")*0.5,COUNTIFS($J49:$AX49,"*B1 HL*",$J49:$AX49,"&lt;&gt;"&amp;"pB1 HL")*0.5,COUNTIFS($J49:$AX49,"*B2 HL*",$J49:$AX49,"&lt;&gt;"&amp;"pB2 HL")*0.5)))</f>
        <v/>
      </c>
      <c r="G49" s="142" t="str">
        <f t="shared" si="4"/>
        <v/>
      </c>
      <c r="H49" s="142" t="str">
        <f t="shared" si="1"/>
        <v/>
      </c>
      <c r="I49" s="142" t="str">
        <f>IF(Thu_W1[[#This Row],[Employee Name]]="","",IF(Thu_W1[[#This Row],[Dept]]="Supervisor",SUM(COUNTIFS($J49:$AX49,"RTA*",$J49:$AX49,"&lt;&gt;"&amp;"pRTA"),COUNTIFS($J49:$AX49,"*CRTA*",$J49:$AX49,"&lt;&gt;"&amp;"pCRTA")),COUNTIFS($J49:$AX49,"*RNNR*",$J49:$AX49,"&lt;&gt;"&amp;"*pRNNR*",$J49:$AX49,"&lt;&gt;"&amp;"pB1 RNNR",$J49:$AX49,"&lt;&gt;"&amp;"pB2 RNNR")-SUM(COUNTIFS($J49:$AX49,"*RNNR B1*",$J49:$AX49,"&lt;&gt;"&amp;"pRNNR B1")*0.5,COUNTIFS($J49:$AX49,"*RNNR B2*",$J49:$AX49,"&lt;&gt;"&amp;"pRNNR B2")*0.5,COUNTIFS($J49:$AX49,"*B1 RNNR*",$J49:$AX49,"&lt;&gt;"&amp;"pB1 RNNR")*0.5,COUNTIFS($J49:$AX49,"*B2 RNNR*",$J49:$AX49,"&lt;&gt;"&amp;"pB2 RNNR")*0.5)))</f>
        <v/>
      </c>
      <c r="J49" s="184" t="str">
        <f>IFERROR(IF(VLOOKUP(Thu_W1[[#This Row],[Employee Name]],'Base Schedules'!$A$243:$AW$281,9,FALSE)="","",VLOOKUP(Thu_W1[[#This Row],[Employee Name]],'Base Schedules'!$A$243:$AW$281,9,FALSE)),"")</f>
        <v/>
      </c>
      <c r="K49" s="184" t="str">
        <f>IFERROR(IF(VLOOKUP(Thu_W1[[#This Row],[Employee Name]],'Base Schedules'!$A$243:$AW$281,10,FALSE)="","",VLOOKUP(Thu_W1[[#This Row],[Employee Name]],'Base Schedules'!$A$243:$AW$281,10,FALSE)),"")</f>
        <v/>
      </c>
      <c r="L49" s="184" t="str">
        <f>IFERROR(IF(VLOOKUP(Thu_W1[[#This Row],[Employee Name]],'Base Schedules'!$A$243:$AW$281,11,FALSE)="","",VLOOKUP(Thu_W1[[#This Row],[Employee Name]],'Base Schedules'!$A$243:$AW$281,11,FALSE)),"")</f>
        <v/>
      </c>
      <c r="M49" s="184" t="str">
        <f>IFERROR(IF(VLOOKUP(Thu_W1[[#This Row],[Employee Name]],'Base Schedules'!$A$243:$AW$281,12,FALSE)="","",VLOOKUP(Thu_W1[[#This Row],[Employee Name]],'Base Schedules'!$A$243:$AW$281,12,FALSE)),"")</f>
        <v/>
      </c>
      <c r="N49" s="184" t="str">
        <f>IFERROR(IF(VLOOKUP(Thu_W1[[#This Row],[Employee Name]],'Base Schedules'!$A$243:$AW$281,13,FALSE)="","",VLOOKUP(Thu_W1[[#This Row],[Employee Name]],'Base Schedules'!$A$243:$AW$281,13,FALSE)),"")</f>
        <v/>
      </c>
      <c r="O49" s="184" t="str">
        <f>IFERROR(IF(VLOOKUP(Thu_W1[[#This Row],[Employee Name]],'Base Schedules'!$A$243:$AW$281,14,FALSE)="","",VLOOKUP(Thu_W1[[#This Row],[Employee Name]],'Base Schedules'!$A$243:$AW$281,14,FALSE)),"")</f>
        <v/>
      </c>
      <c r="P49" s="184" t="str">
        <f>IFERROR(IF(VLOOKUP(Thu_W1[[#This Row],[Employee Name]],'Base Schedules'!$A$243:$AW$281,15,FALSE)="","",VLOOKUP(Thu_W1[[#This Row],[Employee Name]],'Base Schedules'!$A$243:$AW$281,15,FALSE)),"")</f>
        <v/>
      </c>
      <c r="Q49" s="184" t="str">
        <f>IFERROR(IF(VLOOKUP(Thu_W1[[#This Row],[Employee Name]],'Base Schedules'!$A$243:$AW$281,16,FALSE)="","",VLOOKUP(Thu_W1[[#This Row],[Employee Name]],'Base Schedules'!$A$243:$AW$281,16,FALSE)),"")</f>
        <v/>
      </c>
      <c r="R49" s="184" t="str">
        <f>IFERROR(IF(VLOOKUP(Thu_W1[[#This Row],[Employee Name]],'Base Schedules'!$A$243:$AW$281,17,FALSE)="","",VLOOKUP(Thu_W1[[#This Row],[Employee Name]],'Base Schedules'!$A$243:$AW$281,17,FALSE)),"")</f>
        <v/>
      </c>
      <c r="S49" s="184" t="str">
        <f>IFERROR(IF(VLOOKUP(Thu_W1[[#This Row],[Employee Name]],'Base Schedules'!$A$243:$AW$281,18,FALSE)="","",VLOOKUP(Thu_W1[[#This Row],[Employee Name]],'Base Schedules'!$A$243:$AW$281,18,FALSE)),"")</f>
        <v/>
      </c>
      <c r="T49" s="184" t="str">
        <f>IFERROR(IF(VLOOKUP(Thu_W1[[#This Row],[Employee Name]],'Base Schedules'!$A$243:$AW$281,19,FALSE)="","",VLOOKUP(Thu_W1[[#This Row],[Employee Name]],'Base Schedules'!$A$243:$AW$281,19,FALSE)),"")</f>
        <v/>
      </c>
      <c r="U49" s="184" t="str">
        <f>IFERROR(IF(VLOOKUP(Thu_W1[[#This Row],[Employee Name]],'Base Schedules'!$A$243:$AW$281,20,FALSE)="","",VLOOKUP(Thu_W1[[#This Row],[Employee Name]],'Base Schedules'!$A$243:$AW$281,20,FALSE)),"")</f>
        <v/>
      </c>
      <c r="V49" s="184" t="str">
        <f>IFERROR(IF(VLOOKUP(Thu_W1[[#This Row],[Employee Name]],'Base Schedules'!$A$243:$AW$281,21,FALSE)="","",VLOOKUP(Thu_W1[[#This Row],[Employee Name]],'Base Schedules'!$A$243:$AW$281,21,FALSE)),"")</f>
        <v/>
      </c>
      <c r="W49" s="184" t="str">
        <f>IFERROR(IF(VLOOKUP(Thu_W1[[#This Row],[Employee Name]],'Base Schedules'!$A$243:$AW$281,22,FALSE)="","",VLOOKUP(Thu_W1[[#This Row],[Employee Name]],'Base Schedules'!$A$243:$AW$281,22,FALSE)),"")</f>
        <v/>
      </c>
      <c r="X49" s="184" t="str">
        <f>IFERROR(IF(VLOOKUP(Thu_W1[[#This Row],[Employee Name]],'Base Schedules'!$A$243:$AW$281,23,FALSE)="","",VLOOKUP(Thu_W1[[#This Row],[Employee Name]],'Base Schedules'!$A$243:$AW$281,23,FALSE)),"")</f>
        <v/>
      </c>
      <c r="Y49" s="184" t="str">
        <f>IFERROR(IF(VLOOKUP(Thu_W1[[#This Row],[Employee Name]],'Base Schedules'!$A$243:$AW$281,24,FALSE)="","",VLOOKUP(Thu_W1[[#This Row],[Employee Name]],'Base Schedules'!$A$243:$AW$281,24,FALSE)),"")</f>
        <v/>
      </c>
      <c r="Z49" s="184" t="str">
        <f>IFERROR(IF(VLOOKUP(Thu_W1[[#This Row],[Employee Name]],'Base Schedules'!$A$243:$AW$281,25,FALSE)="","",VLOOKUP(Thu_W1[[#This Row],[Employee Name]],'Base Schedules'!$A$243:$AW$281,25,FALSE)),"")</f>
        <v/>
      </c>
      <c r="AA49" s="184" t="str">
        <f>IFERROR(IF(VLOOKUP(Thu_W1[[#This Row],[Employee Name]],'Base Schedules'!$A$243:$AW$281,26,FALSE)="","",VLOOKUP(Thu_W1[[#This Row],[Employee Name]],'Base Schedules'!$A$243:$AW$281,26,FALSE)),"")</f>
        <v/>
      </c>
      <c r="AB49" s="184" t="str">
        <f>IFERROR(IF(VLOOKUP(Thu_W1[[#This Row],[Employee Name]],'Base Schedules'!$A$243:$AW$281,27,FALSE)="","",VLOOKUP(Thu_W1[[#This Row],[Employee Name]],'Base Schedules'!$A$243:$AW$281,27,FALSE)),"")</f>
        <v/>
      </c>
      <c r="AC49" s="184" t="str">
        <f>IFERROR(IF(VLOOKUP(Thu_W1[[#This Row],[Employee Name]],'Base Schedules'!$A$243:$AW$281,28,FALSE)="","",VLOOKUP(Thu_W1[[#This Row],[Employee Name]],'Base Schedules'!$A$243:$AW$281,28,FALSE)),"")</f>
        <v/>
      </c>
      <c r="AD49" s="184" t="str">
        <f>IFERROR(IF(VLOOKUP(Thu_W1[[#This Row],[Employee Name]],'Base Schedules'!$A$243:$AW$281,29,FALSE)="","",VLOOKUP(Thu_W1[[#This Row],[Employee Name]],'Base Schedules'!$A$243:$AW$281,29,FALSE)),"")</f>
        <v/>
      </c>
      <c r="AE49" s="184" t="str">
        <f>IFERROR(IF(VLOOKUP(Thu_W1[[#This Row],[Employee Name]],'Base Schedules'!$A$243:$AW$281,30,FALSE)="","",VLOOKUP(Thu_W1[[#This Row],[Employee Name]],'Base Schedules'!$A$243:$AW$281,30,FALSE)),"")</f>
        <v/>
      </c>
      <c r="AF49" s="184" t="str">
        <f>IFERROR(IF(VLOOKUP(Thu_W1[[#This Row],[Employee Name]],'Base Schedules'!$A$243:$AW$281,31,FALSE)="","",VLOOKUP(Thu_W1[[#This Row],[Employee Name]],'Base Schedules'!$A$243:$AW$281,31,FALSE)),"")</f>
        <v/>
      </c>
      <c r="AG49" s="184" t="str">
        <f>IFERROR(IF(VLOOKUP(Thu_W1[[#This Row],[Employee Name]],'Base Schedules'!$A$243:$AW$281,32,FALSE)="","",VLOOKUP(Thu_W1[[#This Row],[Employee Name]],'Base Schedules'!$A$243:$AW$281,32,FALSE)),"")</f>
        <v/>
      </c>
      <c r="AH49" s="184" t="str">
        <f>IFERROR(IF(VLOOKUP(Thu_W1[[#This Row],[Employee Name]],'Base Schedules'!$A$243:$AW$281,33,FALSE)="","",VLOOKUP(Thu_W1[[#This Row],[Employee Name]],'Base Schedules'!$A$243:$AW$281,33,FALSE)),"")</f>
        <v/>
      </c>
      <c r="AI49" s="184" t="str">
        <f>IFERROR(IF(VLOOKUP(Thu_W1[[#This Row],[Employee Name]],'Base Schedules'!$A$243:$AW$281,34,FALSE)="","",VLOOKUP(Thu_W1[[#This Row],[Employee Name]],'Base Schedules'!$A$243:$AW$281,34,FALSE)),"")</f>
        <v/>
      </c>
      <c r="AJ49" s="184" t="str">
        <f>IFERROR(IF(VLOOKUP(Thu_W1[[#This Row],[Employee Name]],'Base Schedules'!$A$243:$AW$281,35,FALSE)="","",VLOOKUP(Thu_W1[[#This Row],[Employee Name]],'Base Schedules'!$A$243:$AW$281,35,FALSE)),"")</f>
        <v/>
      </c>
      <c r="AK49" s="184" t="str">
        <f>IFERROR(IF(VLOOKUP(Thu_W1[[#This Row],[Employee Name]],'Base Schedules'!$A$243:$AW$281,36,FALSE)="","",VLOOKUP(Thu_W1[[#This Row],[Employee Name]],'Base Schedules'!$A$243:$AW$281,36,FALSE)),"")</f>
        <v/>
      </c>
      <c r="AL49" s="184" t="str">
        <f>IFERROR(IF(VLOOKUP(Thu_W1[[#This Row],[Employee Name]],'Base Schedules'!$A$243:$AW$281,37,FALSE)="","",VLOOKUP(Thu_W1[[#This Row],[Employee Name]],'Base Schedules'!$A$243:$AW$281,37,FALSE)),"")</f>
        <v/>
      </c>
      <c r="AM49" s="184" t="str">
        <f>IFERROR(IF(VLOOKUP(Thu_W1[[#This Row],[Employee Name]],'Base Schedules'!$A$243:$AW$281,38,FALSE)="","",VLOOKUP(Thu_W1[[#This Row],[Employee Name]],'Base Schedules'!$A$243:$AW$281,38,FALSE)),"")</f>
        <v/>
      </c>
      <c r="AN49" s="184" t="str">
        <f>IFERROR(IF(VLOOKUP(Thu_W1[[#This Row],[Employee Name]],'Base Schedules'!$A$243:$AW$281,39,FALSE)="","",VLOOKUP(Thu_W1[[#This Row],[Employee Name]],'Base Schedules'!$A$243:$AW$281,39,FALSE)),"")</f>
        <v/>
      </c>
      <c r="AO49" s="184" t="str">
        <f>IFERROR(IF(VLOOKUP(Thu_W1[[#This Row],[Employee Name]],'Base Schedules'!$A$243:$AW$281,40,FALSE)="","",VLOOKUP(Thu_W1[[#This Row],[Employee Name]],'Base Schedules'!$A$243:$AW$281,40,FALSE)),"")</f>
        <v/>
      </c>
      <c r="AP49" s="184" t="str">
        <f>IFERROR(IF(VLOOKUP(Thu_W1[[#This Row],[Employee Name]],'Base Schedules'!$A$243:$AW$281,41,FALSE)="","",VLOOKUP(Thu_W1[[#This Row],[Employee Name]],'Base Schedules'!$A$243:$AW$281,41,FALSE)),"")</f>
        <v/>
      </c>
      <c r="AQ49" s="184" t="str">
        <f>IFERROR(IF(VLOOKUP(Thu_W1[[#This Row],[Employee Name]],'Base Schedules'!$A$243:$AW$281,42,FALSE)="","",VLOOKUP(Thu_W1[[#This Row],[Employee Name]],'Base Schedules'!$A$243:$AW$281,42,FALSE)),"")</f>
        <v/>
      </c>
      <c r="AR49" s="184" t="str">
        <f>IFERROR(IF(VLOOKUP(Thu_W1[[#This Row],[Employee Name]],'Base Schedules'!$A$243:$AW$281,43,FALSE)="","",VLOOKUP(Thu_W1[[#This Row],[Employee Name]],'Base Schedules'!$A$243:$AW$281,43,FALSE)),"")</f>
        <v/>
      </c>
      <c r="AS49" s="184" t="str">
        <f>IFERROR(IF(VLOOKUP(Thu_W1[[#This Row],[Employee Name]],'Base Schedules'!$A$243:$AW$281,44,FALSE)="","",VLOOKUP(Thu_W1[[#This Row],[Employee Name]],'Base Schedules'!$A$243:$AW$281,44,FALSE)),"")</f>
        <v/>
      </c>
      <c r="AT49" s="184" t="str">
        <f>IFERROR(IF(VLOOKUP(Thu_W1[[#This Row],[Employee Name]],'Base Schedules'!$A$243:$AW$281,45,FALSE)="","",VLOOKUP(Thu_W1[[#This Row],[Employee Name]],'Base Schedules'!$A$243:$AW$281,45,FALSE)),"")</f>
        <v/>
      </c>
      <c r="AU49" s="184" t="str">
        <f>IFERROR(IF(VLOOKUP(Thu_W1[[#This Row],[Employee Name]],'Base Schedules'!$A$243:$AW$281,46,FALSE)="","",VLOOKUP(Thu_W1[[#This Row],[Employee Name]],'Base Schedules'!$A$243:$AW$281,46,FALSE)),"")</f>
        <v/>
      </c>
      <c r="AV49" s="184" t="str">
        <f>IFERROR(IF(VLOOKUP(Thu_W1[[#This Row],[Employee Name]],'Base Schedules'!$A$243:$AW$281,47,FALSE)="","",VLOOKUP(Thu_W1[[#This Row],[Employee Name]],'Base Schedules'!$A$243:$AW$281,47,FALSE)),"")</f>
        <v/>
      </c>
      <c r="AW49" s="184" t="str">
        <f>IFERROR(IF(VLOOKUP(Thu_W1[[#This Row],[Employee Name]],'Base Schedules'!$A$243:$AW$281,48,FALSE)="","",VLOOKUP(Thu_W1[[#This Row],[Employee Name]],'Base Schedules'!$A$243:$AW$281,48,FALSE)),"")</f>
        <v/>
      </c>
      <c r="AX49" s="184" t="str">
        <f>IFERROR(IF(VLOOKUP(Thu_W1[[#This Row],[Employee Name]],'Base Schedules'!$A$243:$AW$281,49,FALSE)="","",VLOOKUP(Thu_W1[[#This Row],[Employee Name]],'Base Schedules'!$A$243:$AW$281,49,FALSE)),"")</f>
        <v/>
      </c>
      <c r="AY49" s="164" t="str">
        <f t="shared" si="2"/>
        <v/>
      </c>
    </row>
    <row r="50" spans="1:52" s="44" customFormat="1" hidden="1" thickBot="1" x14ac:dyDescent="0.25">
      <c r="A50" s="39" t="str">
        <f>IF(B50="","",INDEX(TeamList[],MATCH($B50,TeamList[[Employee Name]:[Employee Name]],0),MATCH("Manager",TeamList[#Headers],0)))</f>
        <v/>
      </c>
      <c r="B50" s="201"/>
      <c r="C50" s="257" t="str">
        <f>_xlfn.IFNA(VLOOKUP(Thu_W1[[#This Row],[Employee Name]],'Base Schedules'!A:B,2,FALSE),"")</f>
        <v/>
      </c>
      <c r="D50" s="274" t="str">
        <f>_xlfn.IFNA(VLOOKUP(Thu_W1[[#This Row],[Employee Name]],'Base Schedules'!A:C,3,FALSE),"")</f>
        <v/>
      </c>
      <c r="E50" s="274" t="str">
        <f>_xlfn.IFNA(VLOOKUP(Thu_W1[[#This Row],[Employee Name]],'Base Schedules'!A:D,4,FALSE),"")</f>
        <v/>
      </c>
      <c r="F50" s="142" t="str">
        <f>IF(Thu_W1[[#This Row],[Employee Name]]="","",IF(Thu_W1[[#This Row],[Dept]]="Supervisor",COUNTIFS($J50:$AX50,"*HL*",$J50:$AX50,"&lt;&gt;"&amp;"pHL"),COUNTIFS($J50:$AX50,"*HL*",$J50:$AX50,"&lt;&gt;"&amp;"*pHL*",$J50:$AX50,"&lt;&gt;"&amp;"pB1 HL",$J50:$AX50,"&lt;&gt;"&amp;"pB2 HL")-SUM(COUNTIFS($J50:$AX50,"*HL B1*",$J50:$AX50,"&lt;&gt;"&amp;"pHL B1")*0.5,COUNTIFS($J50:$AX50,"*HL B2*",$J50:$AX50,"&lt;&gt;"&amp;"pHL B2")*0.5,COUNTIFS($J50:$AX50,"*B1 HL*",$J50:$AX50,"&lt;&gt;"&amp;"pB1 HL")*0.5,COUNTIFS($J50:$AX50,"*B2 HL*",$J50:$AX50,"&lt;&gt;"&amp;"pB2 HL")*0.5)))</f>
        <v/>
      </c>
      <c r="G50" s="142" t="str">
        <f t="shared" si="4"/>
        <v/>
      </c>
      <c r="H50" s="142" t="str">
        <f t="shared" si="1"/>
        <v/>
      </c>
      <c r="I50" s="142" t="str">
        <f>IF(Thu_W1[[#This Row],[Employee Name]]="","",IF(Thu_W1[[#This Row],[Dept]]="Supervisor",SUM(COUNTIFS($J50:$AX50,"RTA*",$J50:$AX50,"&lt;&gt;"&amp;"pRTA"),COUNTIFS($J50:$AX50,"*CRTA*",$J50:$AX50,"&lt;&gt;"&amp;"pCRTA")),COUNTIFS($J50:$AX50,"*RNNR*",$J50:$AX50,"&lt;&gt;"&amp;"*pRNNR*",$J50:$AX50,"&lt;&gt;"&amp;"pB1 RNNR",$J50:$AX50,"&lt;&gt;"&amp;"pB2 RNNR")-SUM(COUNTIFS($J50:$AX50,"*RNNR B1*",$J50:$AX50,"&lt;&gt;"&amp;"pRNNR B1")*0.5,COUNTIFS($J50:$AX50,"*RNNR B2*",$J50:$AX50,"&lt;&gt;"&amp;"pRNNR B2")*0.5,COUNTIFS($J50:$AX50,"*B1 RNNR*",$J50:$AX50,"&lt;&gt;"&amp;"pB1 RNNR")*0.5,COUNTIFS($J50:$AX50,"*B2 RNNR*",$J50:$AX50,"&lt;&gt;"&amp;"pB2 RNNR")*0.5)))</f>
        <v/>
      </c>
      <c r="J50" s="184" t="str">
        <f>IFERROR(IF(VLOOKUP(Thu_W1[[#This Row],[Employee Name]],'Base Schedules'!$A$243:$AW$281,9,FALSE)="","",VLOOKUP(Thu_W1[[#This Row],[Employee Name]],'Base Schedules'!$A$243:$AW$281,9,FALSE)),"")</f>
        <v/>
      </c>
      <c r="K50" s="184" t="str">
        <f>IFERROR(IF(VLOOKUP(Thu_W1[[#This Row],[Employee Name]],'Base Schedules'!$A$243:$AW$281,10,FALSE)="","",VLOOKUP(Thu_W1[[#This Row],[Employee Name]],'Base Schedules'!$A$243:$AW$281,10,FALSE)),"")</f>
        <v/>
      </c>
      <c r="L50" s="184" t="str">
        <f>IFERROR(IF(VLOOKUP(Thu_W1[[#This Row],[Employee Name]],'Base Schedules'!$A$243:$AW$281,11,FALSE)="","",VLOOKUP(Thu_W1[[#This Row],[Employee Name]],'Base Schedules'!$A$243:$AW$281,11,FALSE)),"")</f>
        <v/>
      </c>
      <c r="M50" s="184" t="str">
        <f>IFERROR(IF(VLOOKUP(Thu_W1[[#This Row],[Employee Name]],'Base Schedules'!$A$243:$AW$281,12,FALSE)="","",VLOOKUP(Thu_W1[[#This Row],[Employee Name]],'Base Schedules'!$A$243:$AW$281,12,FALSE)),"")</f>
        <v/>
      </c>
      <c r="N50" s="184" t="str">
        <f>IFERROR(IF(VLOOKUP(Thu_W1[[#This Row],[Employee Name]],'Base Schedules'!$A$243:$AW$281,13,FALSE)="","",VLOOKUP(Thu_W1[[#This Row],[Employee Name]],'Base Schedules'!$A$243:$AW$281,13,FALSE)),"")</f>
        <v/>
      </c>
      <c r="O50" s="184" t="str">
        <f>IFERROR(IF(VLOOKUP(Thu_W1[[#This Row],[Employee Name]],'Base Schedules'!$A$243:$AW$281,14,FALSE)="","",VLOOKUP(Thu_W1[[#This Row],[Employee Name]],'Base Schedules'!$A$243:$AW$281,14,FALSE)),"")</f>
        <v/>
      </c>
      <c r="P50" s="184" t="str">
        <f>IFERROR(IF(VLOOKUP(Thu_W1[[#This Row],[Employee Name]],'Base Schedules'!$A$243:$AW$281,15,FALSE)="","",VLOOKUP(Thu_W1[[#This Row],[Employee Name]],'Base Schedules'!$A$243:$AW$281,15,FALSE)),"")</f>
        <v/>
      </c>
      <c r="Q50" s="184" t="str">
        <f>IFERROR(IF(VLOOKUP(Thu_W1[[#This Row],[Employee Name]],'Base Schedules'!$A$243:$AW$281,16,FALSE)="","",VLOOKUP(Thu_W1[[#This Row],[Employee Name]],'Base Schedules'!$A$243:$AW$281,16,FALSE)),"")</f>
        <v/>
      </c>
      <c r="R50" s="184" t="str">
        <f>IFERROR(IF(VLOOKUP(Thu_W1[[#This Row],[Employee Name]],'Base Schedules'!$A$243:$AW$281,17,FALSE)="","",VLOOKUP(Thu_W1[[#This Row],[Employee Name]],'Base Schedules'!$A$243:$AW$281,17,FALSE)),"")</f>
        <v/>
      </c>
      <c r="S50" s="184" t="str">
        <f>IFERROR(IF(VLOOKUP(Thu_W1[[#This Row],[Employee Name]],'Base Schedules'!$A$243:$AW$281,18,FALSE)="","",VLOOKUP(Thu_W1[[#This Row],[Employee Name]],'Base Schedules'!$A$243:$AW$281,18,FALSE)),"")</f>
        <v/>
      </c>
      <c r="T50" s="184" t="str">
        <f>IFERROR(IF(VLOOKUP(Thu_W1[[#This Row],[Employee Name]],'Base Schedules'!$A$243:$AW$281,19,FALSE)="","",VLOOKUP(Thu_W1[[#This Row],[Employee Name]],'Base Schedules'!$A$243:$AW$281,19,FALSE)),"")</f>
        <v/>
      </c>
      <c r="U50" s="184" t="str">
        <f>IFERROR(IF(VLOOKUP(Thu_W1[[#This Row],[Employee Name]],'Base Schedules'!$A$243:$AW$281,20,FALSE)="","",VLOOKUP(Thu_W1[[#This Row],[Employee Name]],'Base Schedules'!$A$243:$AW$281,20,FALSE)),"")</f>
        <v/>
      </c>
      <c r="V50" s="184" t="str">
        <f>IFERROR(IF(VLOOKUP(Thu_W1[[#This Row],[Employee Name]],'Base Schedules'!$A$243:$AW$281,21,FALSE)="","",VLOOKUP(Thu_W1[[#This Row],[Employee Name]],'Base Schedules'!$A$243:$AW$281,21,FALSE)),"")</f>
        <v/>
      </c>
      <c r="W50" s="184" t="str">
        <f>IFERROR(IF(VLOOKUP(Thu_W1[[#This Row],[Employee Name]],'Base Schedules'!$A$243:$AW$281,22,FALSE)="","",VLOOKUP(Thu_W1[[#This Row],[Employee Name]],'Base Schedules'!$A$243:$AW$281,22,FALSE)),"")</f>
        <v/>
      </c>
      <c r="X50" s="184" t="str">
        <f>IFERROR(IF(VLOOKUP(Thu_W1[[#This Row],[Employee Name]],'Base Schedules'!$A$243:$AW$281,23,FALSE)="","",VLOOKUP(Thu_W1[[#This Row],[Employee Name]],'Base Schedules'!$A$243:$AW$281,23,FALSE)),"")</f>
        <v/>
      </c>
      <c r="Y50" s="184" t="str">
        <f>IFERROR(IF(VLOOKUP(Thu_W1[[#This Row],[Employee Name]],'Base Schedules'!$A$243:$AW$281,24,FALSE)="","",VLOOKUP(Thu_W1[[#This Row],[Employee Name]],'Base Schedules'!$A$243:$AW$281,24,FALSE)),"")</f>
        <v/>
      </c>
      <c r="Z50" s="184" t="str">
        <f>IFERROR(IF(VLOOKUP(Thu_W1[[#This Row],[Employee Name]],'Base Schedules'!$A$243:$AW$281,25,FALSE)="","",VLOOKUP(Thu_W1[[#This Row],[Employee Name]],'Base Schedules'!$A$243:$AW$281,25,FALSE)),"")</f>
        <v/>
      </c>
      <c r="AA50" s="184" t="str">
        <f>IFERROR(IF(VLOOKUP(Thu_W1[[#This Row],[Employee Name]],'Base Schedules'!$A$243:$AW$281,26,FALSE)="","",VLOOKUP(Thu_W1[[#This Row],[Employee Name]],'Base Schedules'!$A$243:$AW$281,26,FALSE)),"")</f>
        <v/>
      </c>
      <c r="AB50" s="184" t="str">
        <f>IFERROR(IF(VLOOKUP(Thu_W1[[#This Row],[Employee Name]],'Base Schedules'!$A$243:$AW$281,27,FALSE)="","",VLOOKUP(Thu_W1[[#This Row],[Employee Name]],'Base Schedules'!$A$243:$AW$281,27,FALSE)),"")</f>
        <v/>
      </c>
      <c r="AC50" s="184" t="str">
        <f>IFERROR(IF(VLOOKUP(Thu_W1[[#This Row],[Employee Name]],'Base Schedules'!$A$243:$AW$281,28,FALSE)="","",VLOOKUP(Thu_W1[[#This Row],[Employee Name]],'Base Schedules'!$A$243:$AW$281,28,FALSE)),"")</f>
        <v/>
      </c>
      <c r="AD50" s="184" t="str">
        <f>IFERROR(IF(VLOOKUP(Thu_W1[[#This Row],[Employee Name]],'Base Schedules'!$A$243:$AW$281,29,FALSE)="","",VLOOKUP(Thu_W1[[#This Row],[Employee Name]],'Base Schedules'!$A$243:$AW$281,29,FALSE)),"")</f>
        <v/>
      </c>
      <c r="AE50" s="184" t="str">
        <f>IFERROR(IF(VLOOKUP(Thu_W1[[#This Row],[Employee Name]],'Base Schedules'!$A$243:$AW$281,30,FALSE)="","",VLOOKUP(Thu_W1[[#This Row],[Employee Name]],'Base Schedules'!$A$243:$AW$281,30,FALSE)),"")</f>
        <v/>
      </c>
      <c r="AF50" s="184" t="str">
        <f>IFERROR(IF(VLOOKUP(Thu_W1[[#This Row],[Employee Name]],'Base Schedules'!$A$243:$AW$281,31,FALSE)="","",VLOOKUP(Thu_W1[[#This Row],[Employee Name]],'Base Schedules'!$A$243:$AW$281,31,FALSE)),"")</f>
        <v/>
      </c>
      <c r="AG50" s="184" t="str">
        <f>IFERROR(IF(VLOOKUP(Thu_W1[[#This Row],[Employee Name]],'Base Schedules'!$A$243:$AW$281,32,FALSE)="","",VLOOKUP(Thu_W1[[#This Row],[Employee Name]],'Base Schedules'!$A$243:$AW$281,32,FALSE)),"")</f>
        <v/>
      </c>
      <c r="AH50" s="184" t="str">
        <f>IFERROR(IF(VLOOKUP(Thu_W1[[#This Row],[Employee Name]],'Base Schedules'!$A$243:$AW$281,33,FALSE)="","",VLOOKUP(Thu_W1[[#This Row],[Employee Name]],'Base Schedules'!$A$243:$AW$281,33,FALSE)),"")</f>
        <v/>
      </c>
      <c r="AI50" s="184" t="str">
        <f>IFERROR(IF(VLOOKUP(Thu_W1[[#This Row],[Employee Name]],'Base Schedules'!$A$243:$AW$281,34,FALSE)="","",VLOOKUP(Thu_W1[[#This Row],[Employee Name]],'Base Schedules'!$A$243:$AW$281,34,FALSE)),"")</f>
        <v/>
      </c>
      <c r="AJ50" s="184" t="str">
        <f>IFERROR(IF(VLOOKUP(Thu_W1[[#This Row],[Employee Name]],'Base Schedules'!$A$243:$AW$281,35,FALSE)="","",VLOOKUP(Thu_W1[[#This Row],[Employee Name]],'Base Schedules'!$A$243:$AW$281,35,FALSE)),"")</f>
        <v/>
      </c>
      <c r="AK50" s="184" t="str">
        <f>IFERROR(IF(VLOOKUP(Thu_W1[[#This Row],[Employee Name]],'Base Schedules'!$A$243:$AW$281,36,FALSE)="","",VLOOKUP(Thu_W1[[#This Row],[Employee Name]],'Base Schedules'!$A$243:$AW$281,36,FALSE)),"")</f>
        <v/>
      </c>
      <c r="AL50" s="184" t="str">
        <f>IFERROR(IF(VLOOKUP(Thu_W1[[#This Row],[Employee Name]],'Base Schedules'!$A$243:$AW$281,37,FALSE)="","",VLOOKUP(Thu_W1[[#This Row],[Employee Name]],'Base Schedules'!$A$243:$AW$281,37,FALSE)),"")</f>
        <v/>
      </c>
      <c r="AM50" s="184" t="str">
        <f>IFERROR(IF(VLOOKUP(Thu_W1[[#This Row],[Employee Name]],'Base Schedules'!$A$243:$AW$281,38,FALSE)="","",VLOOKUP(Thu_W1[[#This Row],[Employee Name]],'Base Schedules'!$A$243:$AW$281,38,FALSE)),"")</f>
        <v/>
      </c>
      <c r="AN50" s="184" t="str">
        <f>IFERROR(IF(VLOOKUP(Thu_W1[[#This Row],[Employee Name]],'Base Schedules'!$A$243:$AW$281,39,FALSE)="","",VLOOKUP(Thu_W1[[#This Row],[Employee Name]],'Base Schedules'!$A$243:$AW$281,39,FALSE)),"")</f>
        <v/>
      </c>
      <c r="AO50" s="184" t="str">
        <f>IFERROR(IF(VLOOKUP(Thu_W1[[#This Row],[Employee Name]],'Base Schedules'!$A$243:$AW$281,40,FALSE)="","",VLOOKUP(Thu_W1[[#This Row],[Employee Name]],'Base Schedules'!$A$243:$AW$281,40,FALSE)),"")</f>
        <v/>
      </c>
      <c r="AP50" s="184" t="str">
        <f>IFERROR(IF(VLOOKUP(Thu_W1[[#This Row],[Employee Name]],'Base Schedules'!$A$243:$AW$281,41,FALSE)="","",VLOOKUP(Thu_W1[[#This Row],[Employee Name]],'Base Schedules'!$A$243:$AW$281,41,FALSE)),"")</f>
        <v/>
      </c>
      <c r="AQ50" s="184" t="str">
        <f>IFERROR(IF(VLOOKUP(Thu_W1[[#This Row],[Employee Name]],'Base Schedules'!$A$243:$AW$281,42,FALSE)="","",VLOOKUP(Thu_W1[[#This Row],[Employee Name]],'Base Schedules'!$A$243:$AW$281,42,FALSE)),"")</f>
        <v/>
      </c>
      <c r="AR50" s="184" t="str">
        <f>IFERROR(IF(VLOOKUP(Thu_W1[[#This Row],[Employee Name]],'Base Schedules'!$A$243:$AW$281,43,FALSE)="","",VLOOKUP(Thu_W1[[#This Row],[Employee Name]],'Base Schedules'!$A$243:$AW$281,43,FALSE)),"")</f>
        <v/>
      </c>
      <c r="AS50" s="184" t="str">
        <f>IFERROR(IF(VLOOKUP(Thu_W1[[#This Row],[Employee Name]],'Base Schedules'!$A$243:$AW$281,44,FALSE)="","",VLOOKUP(Thu_W1[[#This Row],[Employee Name]],'Base Schedules'!$A$243:$AW$281,44,FALSE)),"")</f>
        <v/>
      </c>
      <c r="AT50" s="184" t="str">
        <f>IFERROR(IF(VLOOKUP(Thu_W1[[#This Row],[Employee Name]],'Base Schedules'!$A$243:$AW$281,45,FALSE)="","",VLOOKUP(Thu_W1[[#This Row],[Employee Name]],'Base Schedules'!$A$243:$AW$281,45,FALSE)),"")</f>
        <v/>
      </c>
      <c r="AU50" s="184" t="str">
        <f>IFERROR(IF(VLOOKUP(Thu_W1[[#This Row],[Employee Name]],'Base Schedules'!$A$243:$AW$281,46,FALSE)="","",VLOOKUP(Thu_W1[[#This Row],[Employee Name]],'Base Schedules'!$A$243:$AW$281,46,FALSE)),"")</f>
        <v/>
      </c>
      <c r="AV50" s="184" t="str">
        <f>IFERROR(IF(VLOOKUP(Thu_W1[[#This Row],[Employee Name]],'Base Schedules'!$A$243:$AW$281,47,FALSE)="","",VLOOKUP(Thu_W1[[#This Row],[Employee Name]],'Base Schedules'!$A$243:$AW$281,47,FALSE)),"")</f>
        <v/>
      </c>
      <c r="AW50" s="184" t="str">
        <f>IFERROR(IF(VLOOKUP(Thu_W1[[#This Row],[Employee Name]],'Base Schedules'!$A$243:$AW$281,48,FALSE)="","",VLOOKUP(Thu_W1[[#This Row],[Employee Name]],'Base Schedules'!$A$243:$AW$281,48,FALSE)),"")</f>
        <v/>
      </c>
      <c r="AX50" s="184" t="str">
        <f>IFERROR(IF(VLOOKUP(Thu_W1[[#This Row],[Employee Name]],'Base Schedules'!$A$243:$AW$281,49,FALSE)="","",VLOOKUP(Thu_W1[[#This Row],[Employee Name]],'Base Schedules'!$A$243:$AW$281,49,FALSE)),"")</f>
        <v/>
      </c>
      <c r="AY50" s="164" t="str">
        <f t="shared" si="2"/>
        <v/>
      </c>
    </row>
    <row r="51" spans="1:52" s="44" customFormat="1" hidden="1" thickBot="1" x14ac:dyDescent="0.25">
      <c r="A51" s="39" t="str">
        <f>IF(B51="","",INDEX(TeamList[],MATCH($B51,TeamList[[Employee Name]:[Employee Name]],0),MATCH("Manager",TeamList[#Headers],0)))</f>
        <v/>
      </c>
      <c r="B51" s="201"/>
      <c r="C51" s="257" t="str">
        <f>_xlfn.IFNA(VLOOKUP(Thu_W1[[#This Row],[Employee Name]],'Base Schedules'!A:B,2,FALSE),"")</f>
        <v/>
      </c>
      <c r="D51" s="274" t="str">
        <f>_xlfn.IFNA(VLOOKUP(Thu_W1[[#This Row],[Employee Name]],'Base Schedules'!A:C,3,FALSE),"")</f>
        <v/>
      </c>
      <c r="E51" s="274" t="str">
        <f>_xlfn.IFNA(VLOOKUP(Thu_W1[[#This Row],[Employee Name]],'Base Schedules'!A:D,4,FALSE),"")</f>
        <v/>
      </c>
      <c r="F51" s="142" t="str">
        <f>IF(Thu_W1[[#This Row],[Employee Name]]="","",IF(Thu_W1[[#This Row],[Dept]]="Supervisor",COUNTIFS($J51:$AX51,"*HL*",$J51:$AX51,"&lt;&gt;"&amp;"pHL"),COUNTIFS($J51:$AX51,"*HL*",$J51:$AX51,"&lt;&gt;"&amp;"*pHL*",$J51:$AX51,"&lt;&gt;"&amp;"pB1 HL",$J51:$AX51,"&lt;&gt;"&amp;"pB2 HL")-SUM(COUNTIFS($J51:$AX51,"*HL B1*",$J51:$AX51,"&lt;&gt;"&amp;"pHL B1")*0.5,COUNTIFS($J51:$AX51,"*HL B2*",$J51:$AX51,"&lt;&gt;"&amp;"pHL B2")*0.5,COUNTIFS($J51:$AX51,"*B1 HL*",$J51:$AX51,"&lt;&gt;"&amp;"pB1 HL")*0.5,COUNTIFS($J51:$AX51,"*B2 HL*",$J51:$AX51,"&lt;&gt;"&amp;"pB2 HL")*0.5)))</f>
        <v/>
      </c>
      <c r="G51" s="142" t="str">
        <f t="shared" si="4"/>
        <v/>
      </c>
      <c r="H51" s="142" t="str">
        <f t="shared" si="1"/>
        <v/>
      </c>
      <c r="I51" s="142" t="str">
        <f>IF(Thu_W1[[#This Row],[Employee Name]]="","",IF(Thu_W1[[#This Row],[Dept]]="Supervisor",SUM(COUNTIFS($J51:$AX51,"RTA*",$J51:$AX51,"&lt;&gt;"&amp;"pRTA"),COUNTIFS($J51:$AX51,"*CRTA*",$J51:$AX51,"&lt;&gt;"&amp;"pCRTA")),COUNTIFS($J51:$AX51,"*RNNR*",$J51:$AX51,"&lt;&gt;"&amp;"*pRNNR*",$J51:$AX51,"&lt;&gt;"&amp;"pB1 RNNR",$J51:$AX51,"&lt;&gt;"&amp;"pB2 RNNR")-SUM(COUNTIFS($J51:$AX51,"*RNNR B1*",$J51:$AX51,"&lt;&gt;"&amp;"pRNNR B1")*0.5,COUNTIFS($J51:$AX51,"*RNNR B2*",$J51:$AX51,"&lt;&gt;"&amp;"pRNNR B2")*0.5,COUNTIFS($J51:$AX51,"*B1 RNNR*",$J51:$AX51,"&lt;&gt;"&amp;"pB1 RNNR")*0.5,COUNTIFS($J51:$AX51,"*B2 RNNR*",$J51:$AX51,"&lt;&gt;"&amp;"pB2 RNNR")*0.5)))</f>
        <v/>
      </c>
      <c r="J51" s="184" t="str">
        <f>IFERROR(IF(VLOOKUP(Thu_W1[[#This Row],[Employee Name]],'Base Schedules'!$A$243:$AW$281,9,FALSE)="","",VLOOKUP(Thu_W1[[#This Row],[Employee Name]],'Base Schedules'!$A$243:$AW$281,9,FALSE)),"")</f>
        <v/>
      </c>
      <c r="K51" s="184" t="str">
        <f>IFERROR(IF(VLOOKUP(Thu_W1[[#This Row],[Employee Name]],'Base Schedules'!$A$243:$AW$281,10,FALSE)="","",VLOOKUP(Thu_W1[[#This Row],[Employee Name]],'Base Schedules'!$A$243:$AW$281,10,FALSE)),"")</f>
        <v/>
      </c>
      <c r="L51" s="184" t="str">
        <f>IFERROR(IF(VLOOKUP(Thu_W1[[#This Row],[Employee Name]],'Base Schedules'!$A$243:$AW$281,11,FALSE)="","",VLOOKUP(Thu_W1[[#This Row],[Employee Name]],'Base Schedules'!$A$243:$AW$281,11,FALSE)),"")</f>
        <v/>
      </c>
      <c r="M51" s="184" t="str">
        <f>IFERROR(IF(VLOOKUP(Thu_W1[[#This Row],[Employee Name]],'Base Schedules'!$A$243:$AW$281,12,FALSE)="","",VLOOKUP(Thu_W1[[#This Row],[Employee Name]],'Base Schedules'!$A$243:$AW$281,12,FALSE)),"")</f>
        <v/>
      </c>
      <c r="N51" s="184" t="str">
        <f>IFERROR(IF(VLOOKUP(Thu_W1[[#This Row],[Employee Name]],'Base Schedules'!$A$243:$AW$281,13,FALSE)="","",VLOOKUP(Thu_W1[[#This Row],[Employee Name]],'Base Schedules'!$A$243:$AW$281,13,FALSE)),"")</f>
        <v/>
      </c>
      <c r="O51" s="184" t="str">
        <f>IFERROR(IF(VLOOKUP(Thu_W1[[#This Row],[Employee Name]],'Base Schedules'!$A$243:$AW$281,14,FALSE)="","",VLOOKUP(Thu_W1[[#This Row],[Employee Name]],'Base Schedules'!$A$243:$AW$281,14,FALSE)),"")</f>
        <v/>
      </c>
      <c r="P51" s="184" t="str">
        <f>IFERROR(IF(VLOOKUP(Thu_W1[[#This Row],[Employee Name]],'Base Schedules'!$A$243:$AW$281,15,FALSE)="","",VLOOKUP(Thu_W1[[#This Row],[Employee Name]],'Base Schedules'!$A$243:$AW$281,15,FALSE)),"")</f>
        <v/>
      </c>
      <c r="Q51" s="184" t="str">
        <f>IFERROR(IF(VLOOKUP(Thu_W1[[#This Row],[Employee Name]],'Base Schedules'!$A$243:$AW$281,16,FALSE)="","",VLOOKUP(Thu_W1[[#This Row],[Employee Name]],'Base Schedules'!$A$243:$AW$281,16,FALSE)),"")</f>
        <v/>
      </c>
      <c r="R51" s="184" t="str">
        <f>IFERROR(IF(VLOOKUP(Thu_W1[[#This Row],[Employee Name]],'Base Schedules'!$A$243:$AW$281,17,FALSE)="","",VLOOKUP(Thu_W1[[#This Row],[Employee Name]],'Base Schedules'!$A$243:$AW$281,17,FALSE)),"")</f>
        <v/>
      </c>
      <c r="S51" s="184" t="str">
        <f>IFERROR(IF(VLOOKUP(Thu_W1[[#This Row],[Employee Name]],'Base Schedules'!$A$243:$AW$281,18,FALSE)="","",VLOOKUP(Thu_W1[[#This Row],[Employee Name]],'Base Schedules'!$A$243:$AW$281,18,FALSE)),"")</f>
        <v/>
      </c>
      <c r="T51" s="184" t="str">
        <f>IFERROR(IF(VLOOKUP(Thu_W1[[#This Row],[Employee Name]],'Base Schedules'!$A$243:$AW$281,19,FALSE)="","",VLOOKUP(Thu_W1[[#This Row],[Employee Name]],'Base Schedules'!$A$243:$AW$281,19,FALSE)),"")</f>
        <v/>
      </c>
      <c r="U51" s="184" t="str">
        <f>IFERROR(IF(VLOOKUP(Thu_W1[[#This Row],[Employee Name]],'Base Schedules'!$A$243:$AW$281,20,FALSE)="","",VLOOKUP(Thu_W1[[#This Row],[Employee Name]],'Base Schedules'!$A$243:$AW$281,20,FALSE)),"")</f>
        <v/>
      </c>
      <c r="V51" s="184" t="str">
        <f>IFERROR(IF(VLOOKUP(Thu_W1[[#This Row],[Employee Name]],'Base Schedules'!$A$243:$AW$281,21,FALSE)="","",VLOOKUP(Thu_W1[[#This Row],[Employee Name]],'Base Schedules'!$A$243:$AW$281,21,FALSE)),"")</f>
        <v/>
      </c>
      <c r="W51" s="184" t="str">
        <f>IFERROR(IF(VLOOKUP(Thu_W1[[#This Row],[Employee Name]],'Base Schedules'!$A$243:$AW$281,22,FALSE)="","",VLOOKUP(Thu_W1[[#This Row],[Employee Name]],'Base Schedules'!$A$243:$AW$281,22,FALSE)),"")</f>
        <v/>
      </c>
      <c r="X51" s="184" t="str">
        <f>IFERROR(IF(VLOOKUP(Thu_W1[[#This Row],[Employee Name]],'Base Schedules'!$A$243:$AW$281,23,FALSE)="","",VLOOKUP(Thu_W1[[#This Row],[Employee Name]],'Base Schedules'!$A$243:$AW$281,23,FALSE)),"")</f>
        <v/>
      </c>
      <c r="Y51" s="184" t="str">
        <f>IFERROR(IF(VLOOKUP(Thu_W1[[#This Row],[Employee Name]],'Base Schedules'!$A$243:$AW$281,24,FALSE)="","",VLOOKUP(Thu_W1[[#This Row],[Employee Name]],'Base Schedules'!$A$243:$AW$281,24,FALSE)),"")</f>
        <v/>
      </c>
      <c r="Z51" s="184" t="str">
        <f>IFERROR(IF(VLOOKUP(Thu_W1[[#This Row],[Employee Name]],'Base Schedules'!$A$243:$AW$281,25,FALSE)="","",VLOOKUP(Thu_W1[[#This Row],[Employee Name]],'Base Schedules'!$A$243:$AW$281,25,FALSE)),"")</f>
        <v/>
      </c>
      <c r="AA51" s="184" t="str">
        <f>IFERROR(IF(VLOOKUP(Thu_W1[[#This Row],[Employee Name]],'Base Schedules'!$A$243:$AW$281,26,FALSE)="","",VLOOKUP(Thu_W1[[#This Row],[Employee Name]],'Base Schedules'!$A$243:$AW$281,26,FALSE)),"")</f>
        <v/>
      </c>
      <c r="AB51" s="184" t="str">
        <f>IFERROR(IF(VLOOKUP(Thu_W1[[#This Row],[Employee Name]],'Base Schedules'!$A$243:$AW$281,27,FALSE)="","",VLOOKUP(Thu_W1[[#This Row],[Employee Name]],'Base Schedules'!$A$243:$AW$281,27,FALSE)),"")</f>
        <v/>
      </c>
      <c r="AC51" s="184" t="str">
        <f>IFERROR(IF(VLOOKUP(Thu_W1[[#This Row],[Employee Name]],'Base Schedules'!$A$243:$AW$281,28,FALSE)="","",VLOOKUP(Thu_W1[[#This Row],[Employee Name]],'Base Schedules'!$A$243:$AW$281,28,FALSE)),"")</f>
        <v/>
      </c>
      <c r="AD51" s="184" t="str">
        <f>IFERROR(IF(VLOOKUP(Thu_W1[[#This Row],[Employee Name]],'Base Schedules'!$A$243:$AW$281,29,FALSE)="","",VLOOKUP(Thu_W1[[#This Row],[Employee Name]],'Base Schedules'!$A$243:$AW$281,29,FALSE)),"")</f>
        <v/>
      </c>
      <c r="AE51" s="184" t="str">
        <f>IFERROR(IF(VLOOKUP(Thu_W1[[#This Row],[Employee Name]],'Base Schedules'!$A$243:$AW$281,30,FALSE)="","",VLOOKUP(Thu_W1[[#This Row],[Employee Name]],'Base Schedules'!$A$243:$AW$281,30,FALSE)),"")</f>
        <v/>
      </c>
      <c r="AF51" s="184" t="str">
        <f>IFERROR(IF(VLOOKUP(Thu_W1[[#This Row],[Employee Name]],'Base Schedules'!$A$243:$AW$281,31,FALSE)="","",VLOOKUP(Thu_W1[[#This Row],[Employee Name]],'Base Schedules'!$A$243:$AW$281,31,FALSE)),"")</f>
        <v/>
      </c>
      <c r="AG51" s="184" t="str">
        <f>IFERROR(IF(VLOOKUP(Thu_W1[[#This Row],[Employee Name]],'Base Schedules'!$A$243:$AW$281,32,FALSE)="","",VLOOKUP(Thu_W1[[#This Row],[Employee Name]],'Base Schedules'!$A$243:$AW$281,32,FALSE)),"")</f>
        <v/>
      </c>
      <c r="AH51" s="184" t="str">
        <f>IFERROR(IF(VLOOKUP(Thu_W1[[#This Row],[Employee Name]],'Base Schedules'!$A$243:$AW$281,33,FALSE)="","",VLOOKUP(Thu_W1[[#This Row],[Employee Name]],'Base Schedules'!$A$243:$AW$281,33,FALSE)),"")</f>
        <v/>
      </c>
      <c r="AI51" s="184" t="str">
        <f>IFERROR(IF(VLOOKUP(Thu_W1[[#This Row],[Employee Name]],'Base Schedules'!$A$243:$AW$281,34,FALSE)="","",VLOOKUP(Thu_W1[[#This Row],[Employee Name]],'Base Schedules'!$A$243:$AW$281,34,FALSE)),"")</f>
        <v/>
      </c>
      <c r="AJ51" s="184" t="str">
        <f>IFERROR(IF(VLOOKUP(Thu_W1[[#This Row],[Employee Name]],'Base Schedules'!$A$243:$AW$281,35,FALSE)="","",VLOOKUP(Thu_W1[[#This Row],[Employee Name]],'Base Schedules'!$A$243:$AW$281,35,FALSE)),"")</f>
        <v/>
      </c>
      <c r="AK51" s="184" t="str">
        <f>IFERROR(IF(VLOOKUP(Thu_W1[[#This Row],[Employee Name]],'Base Schedules'!$A$243:$AW$281,36,FALSE)="","",VLOOKUP(Thu_W1[[#This Row],[Employee Name]],'Base Schedules'!$A$243:$AW$281,36,FALSE)),"")</f>
        <v/>
      </c>
      <c r="AL51" s="184" t="str">
        <f>IFERROR(IF(VLOOKUP(Thu_W1[[#This Row],[Employee Name]],'Base Schedules'!$A$243:$AW$281,37,FALSE)="","",VLOOKUP(Thu_W1[[#This Row],[Employee Name]],'Base Schedules'!$A$243:$AW$281,37,FALSE)),"")</f>
        <v/>
      </c>
      <c r="AM51" s="184" t="str">
        <f>IFERROR(IF(VLOOKUP(Thu_W1[[#This Row],[Employee Name]],'Base Schedules'!$A$243:$AW$281,38,FALSE)="","",VLOOKUP(Thu_W1[[#This Row],[Employee Name]],'Base Schedules'!$A$243:$AW$281,38,FALSE)),"")</f>
        <v/>
      </c>
      <c r="AN51" s="184" t="str">
        <f>IFERROR(IF(VLOOKUP(Thu_W1[[#This Row],[Employee Name]],'Base Schedules'!$A$243:$AW$281,39,FALSE)="","",VLOOKUP(Thu_W1[[#This Row],[Employee Name]],'Base Schedules'!$A$243:$AW$281,39,FALSE)),"")</f>
        <v/>
      </c>
      <c r="AO51" s="184" t="str">
        <f>IFERROR(IF(VLOOKUP(Thu_W1[[#This Row],[Employee Name]],'Base Schedules'!$A$243:$AW$281,40,FALSE)="","",VLOOKUP(Thu_W1[[#This Row],[Employee Name]],'Base Schedules'!$A$243:$AW$281,40,FALSE)),"")</f>
        <v/>
      </c>
      <c r="AP51" s="184" t="str">
        <f>IFERROR(IF(VLOOKUP(Thu_W1[[#This Row],[Employee Name]],'Base Schedules'!$A$243:$AW$281,41,FALSE)="","",VLOOKUP(Thu_W1[[#This Row],[Employee Name]],'Base Schedules'!$A$243:$AW$281,41,FALSE)),"")</f>
        <v/>
      </c>
      <c r="AQ51" s="184" t="str">
        <f>IFERROR(IF(VLOOKUP(Thu_W1[[#This Row],[Employee Name]],'Base Schedules'!$A$243:$AW$281,42,FALSE)="","",VLOOKUP(Thu_W1[[#This Row],[Employee Name]],'Base Schedules'!$A$243:$AW$281,42,FALSE)),"")</f>
        <v/>
      </c>
      <c r="AR51" s="184" t="str">
        <f>IFERROR(IF(VLOOKUP(Thu_W1[[#This Row],[Employee Name]],'Base Schedules'!$A$243:$AW$281,43,FALSE)="","",VLOOKUP(Thu_W1[[#This Row],[Employee Name]],'Base Schedules'!$A$243:$AW$281,43,FALSE)),"")</f>
        <v/>
      </c>
      <c r="AS51" s="184" t="str">
        <f>IFERROR(IF(VLOOKUP(Thu_W1[[#This Row],[Employee Name]],'Base Schedules'!$A$243:$AW$281,44,FALSE)="","",VLOOKUP(Thu_W1[[#This Row],[Employee Name]],'Base Schedules'!$A$243:$AW$281,44,FALSE)),"")</f>
        <v/>
      </c>
      <c r="AT51" s="184" t="str">
        <f>IFERROR(IF(VLOOKUP(Thu_W1[[#This Row],[Employee Name]],'Base Schedules'!$A$243:$AW$281,45,FALSE)="","",VLOOKUP(Thu_W1[[#This Row],[Employee Name]],'Base Schedules'!$A$243:$AW$281,45,FALSE)),"")</f>
        <v/>
      </c>
      <c r="AU51" s="184" t="str">
        <f>IFERROR(IF(VLOOKUP(Thu_W1[[#This Row],[Employee Name]],'Base Schedules'!$A$243:$AW$281,46,FALSE)="","",VLOOKUP(Thu_W1[[#This Row],[Employee Name]],'Base Schedules'!$A$243:$AW$281,46,FALSE)),"")</f>
        <v/>
      </c>
      <c r="AV51" s="184" t="str">
        <f>IFERROR(IF(VLOOKUP(Thu_W1[[#This Row],[Employee Name]],'Base Schedules'!$A$243:$AW$281,47,FALSE)="","",VLOOKUP(Thu_W1[[#This Row],[Employee Name]],'Base Schedules'!$A$243:$AW$281,47,FALSE)),"")</f>
        <v/>
      </c>
      <c r="AW51" s="184" t="str">
        <f>IFERROR(IF(VLOOKUP(Thu_W1[[#This Row],[Employee Name]],'Base Schedules'!$A$243:$AW$281,48,FALSE)="","",VLOOKUP(Thu_W1[[#This Row],[Employee Name]],'Base Schedules'!$A$243:$AW$281,48,FALSE)),"")</f>
        <v/>
      </c>
      <c r="AX51" s="184" t="str">
        <f>IFERROR(IF(VLOOKUP(Thu_W1[[#This Row],[Employee Name]],'Base Schedules'!$A$243:$AW$281,49,FALSE)="","",VLOOKUP(Thu_W1[[#This Row],[Employee Name]],'Base Schedules'!$A$243:$AW$281,49,FALSE)),"")</f>
        <v/>
      </c>
      <c r="AY51" s="164" t="str">
        <f t="shared" si="2"/>
        <v/>
      </c>
    </row>
    <row r="52" spans="1:52" s="44" customFormat="1" hidden="1" thickBot="1" x14ac:dyDescent="0.25">
      <c r="A52" s="39" t="str">
        <f>IF(B52="","",INDEX(TeamList[],MATCH($B52,TeamList[[Employee Name]:[Employee Name]],0),MATCH("Manager",TeamList[#Headers],0)))</f>
        <v/>
      </c>
      <c r="B52" s="201"/>
      <c r="C52" s="257" t="str">
        <f>_xlfn.IFNA(VLOOKUP(Thu_W1[[#This Row],[Employee Name]],'Base Schedules'!A:B,2,FALSE),"")</f>
        <v/>
      </c>
      <c r="D52" s="274" t="str">
        <f>_xlfn.IFNA(VLOOKUP(Thu_W1[[#This Row],[Employee Name]],'Base Schedules'!A:C,3,FALSE),"")</f>
        <v/>
      </c>
      <c r="E52" s="274" t="str">
        <f>_xlfn.IFNA(VLOOKUP(Thu_W1[[#This Row],[Employee Name]],'Base Schedules'!A:D,4,FALSE),"")</f>
        <v/>
      </c>
      <c r="F52" s="142" t="str">
        <f>IF(Thu_W1[[#This Row],[Employee Name]]="","",IF(Thu_W1[[#This Row],[Dept]]="Supervisor",COUNTIFS($J52:$AX52,"*HL*",$J52:$AX52,"&lt;&gt;"&amp;"pHL"),COUNTIFS($J52:$AX52,"*HL*",$J52:$AX52,"&lt;&gt;"&amp;"*pHL*",$J52:$AX52,"&lt;&gt;"&amp;"pB1 HL",$J52:$AX52,"&lt;&gt;"&amp;"pB2 HL")-SUM(COUNTIFS($J52:$AX52,"*HL B1*",$J52:$AX52,"&lt;&gt;"&amp;"pHL B1")*0.5,COUNTIFS($J52:$AX52,"*HL B2*",$J52:$AX52,"&lt;&gt;"&amp;"pHL B2")*0.5,COUNTIFS($J52:$AX52,"*B1 HL*",$J52:$AX52,"&lt;&gt;"&amp;"pB1 HL")*0.5,COUNTIFS($J52:$AX52,"*B2 HL*",$J52:$AX52,"&lt;&gt;"&amp;"pB2 HL")*0.5)))</f>
        <v/>
      </c>
      <c r="G52" s="142" t="str">
        <f t="shared" si="4"/>
        <v/>
      </c>
      <c r="H52" s="142" t="str">
        <f t="shared" si="1"/>
        <v/>
      </c>
      <c r="I52" s="142" t="str">
        <f>IF(Thu_W1[[#This Row],[Employee Name]]="","",IF(Thu_W1[[#This Row],[Dept]]="Supervisor",SUM(COUNTIFS($J52:$AX52,"RTA*",$J52:$AX52,"&lt;&gt;"&amp;"pRTA"),COUNTIFS($J52:$AX52,"*CRTA*",$J52:$AX52,"&lt;&gt;"&amp;"pCRTA")),COUNTIFS($J52:$AX52,"*RNNR*",$J52:$AX52,"&lt;&gt;"&amp;"*pRNNR*",$J52:$AX52,"&lt;&gt;"&amp;"pB1 RNNR",$J52:$AX52,"&lt;&gt;"&amp;"pB2 RNNR")-SUM(COUNTIFS($J52:$AX52,"*RNNR B1*",$J52:$AX52,"&lt;&gt;"&amp;"pRNNR B1")*0.5,COUNTIFS($J52:$AX52,"*RNNR B2*",$J52:$AX52,"&lt;&gt;"&amp;"pRNNR B2")*0.5,COUNTIFS($J52:$AX52,"*B1 RNNR*",$J52:$AX52,"&lt;&gt;"&amp;"pB1 RNNR")*0.5,COUNTIFS($J52:$AX52,"*B2 RNNR*",$J52:$AX52,"&lt;&gt;"&amp;"pB2 RNNR")*0.5)))</f>
        <v/>
      </c>
      <c r="J52" s="184" t="str">
        <f>IFERROR(IF(VLOOKUP(Thu_W1[[#This Row],[Employee Name]],'Base Schedules'!$A:$I,9,FALSE)="","",VLOOKUP(Thu_W1[[#This Row],[Employee Name]],'Base Schedules'!$A:$I,9,FALSE)),"")</f>
        <v/>
      </c>
      <c r="K52" s="184" t="str">
        <f>IFERROR(IF(VLOOKUP(Thu_W1[[#This Row],[Employee Name]],'Base Schedules'!$A:$J,10,FALSE)="","",VLOOKUP(Thu_W1[[#This Row],[Employee Name]],'Base Schedules'!$A:$J,10,FALSE)),"")</f>
        <v/>
      </c>
      <c r="L52" s="184" t="str">
        <f>IFERROR(IF(VLOOKUP(Thu_W1[[#This Row],[Employee Name]],'Base Schedules'!$A:$K,11,FALSE)="","",VLOOKUP(Thu_W1[[#This Row],[Employee Name]],'Base Schedules'!$A:$K,11,FALSE)),"")</f>
        <v/>
      </c>
      <c r="M52" s="184" t="str">
        <f>IFERROR(IF(VLOOKUP(Thu_W1[[#This Row],[Employee Name]],'Base Schedules'!$A:$L,12,FALSE)="","",VLOOKUP(Thu_W1[[#This Row],[Employee Name]],'Base Schedules'!$A:$L,12,FALSE)),"")</f>
        <v/>
      </c>
      <c r="N52" s="184" t="str">
        <f>IFERROR(IF(VLOOKUP(Thu_W1[[#This Row],[Employee Name]],'Base Schedules'!$A:$M,13,FALSE)="","",VLOOKUP(Thu_W1[[#This Row],[Employee Name]],'Base Schedules'!$A:$M,13,FALSE)),"")</f>
        <v/>
      </c>
      <c r="O52" s="184" t="str">
        <f>IFERROR(IF(VLOOKUP(Thu_W1[[#This Row],[Employee Name]],'Base Schedules'!$A:$N,14,FALSE)="","",VLOOKUP(Thu_W1[[#This Row],[Employee Name]],'Base Schedules'!$A:$N,14,FALSE)),"")</f>
        <v/>
      </c>
      <c r="P52" s="184" t="str">
        <f>IFERROR(IF(VLOOKUP(Thu_W1[[#This Row],[Employee Name]],'Base Schedules'!$A:$O,15,FALSE)="","",VLOOKUP(Thu_W1[[#This Row],[Employee Name]],'Base Schedules'!$A:$O,15,FALSE)),"")</f>
        <v/>
      </c>
      <c r="Q52" s="184" t="str">
        <f>IFERROR(IF(VLOOKUP(Thu_W1[[#This Row],[Employee Name]],'Base Schedules'!$A:$P,16,FALSE)="","",VLOOKUP(Thu_W1[[#This Row],[Employee Name]],'Base Schedules'!$A:$P,16,FALSE)),"")</f>
        <v/>
      </c>
      <c r="R52" s="184" t="str">
        <f>IFERROR(IF(VLOOKUP(Thu_W1[[#This Row],[Employee Name]],'Base Schedules'!$A:$Q,17,FALSE)="","",VLOOKUP(Thu_W1[[#This Row],[Employee Name]],'Base Schedules'!$A:$Q,17,FALSE)),"")</f>
        <v/>
      </c>
      <c r="S52" s="184" t="str">
        <f>IFERROR(IF(VLOOKUP(Thu_W1[[#This Row],[Employee Name]],'Base Schedules'!$A:$R,18,FALSE)="","",VLOOKUP(Thu_W1[[#This Row],[Employee Name]],'Base Schedules'!$A:$R,18,FALSE)),"")</f>
        <v/>
      </c>
      <c r="T52" s="184" t="str">
        <f>IFERROR(IF(VLOOKUP(Thu_W1[[#This Row],[Employee Name]],'Base Schedules'!$A:$S,19,FALSE)="","",VLOOKUP(Thu_W1[[#This Row],[Employee Name]],'Base Schedules'!$A:$S,19,FALSE)),"")</f>
        <v/>
      </c>
      <c r="U52" s="184" t="str">
        <f>IFERROR(IF(VLOOKUP(Thu_W1[[#This Row],[Employee Name]],'Base Schedules'!$A:$T,20,FALSE)="","",VLOOKUP(Thu_W1[[#This Row],[Employee Name]],'Base Schedules'!$A:$T,20,FALSE)),"")</f>
        <v/>
      </c>
      <c r="V52" s="184" t="str">
        <f>IFERROR(IF(VLOOKUP(Thu_W1[[#This Row],[Employee Name]],'Base Schedules'!$A:$U,21,FALSE)="","",VLOOKUP(Thu_W1[[#This Row],[Employee Name]],'Base Schedules'!$A:$U,21,FALSE)),"")</f>
        <v/>
      </c>
      <c r="W52" s="184" t="str">
        <f>IFERROR(IF(VLOOKUP(Thu_W1[[#This Row],[Employee Name]],'Base Schedules'!$A:$V,22,FALSE)="","",VLOOKUP(Thu_W1[[#This Row],[Employee Name]],'Base Schedules'!$A:$V,22,FALSE)),"")</f>
        <v/>
      </c>
      <c r="X52" s="184" t="str">
        <f>IFERROR(IF(VLOOKUP(Thu_W1[[#This Row],[Employee Name]],'Base Schedules'!$A:$W,23,FALSE)="","",VLOOKUP(Thu_W1[[#This Row],[Employee Name]],'Base Schedules'!$A:$W,23,FALSE)),"")</f>
        <v/>
      </c>
      <c r="Y52" s="184" t="str">
        <f>IFERROR(IF(VLOOKUP(Thu_W1[[#This Row],[Employee Name]],'Base Schedules'!$A:$X,24,FALSE)="","",VLOOKUP(Thu_W1[[#This Row],[Employee Name]],'Base Schedules'!$A:$X,24,FALSE)),"")</f>
        <v/>
      </c>
      <c r="Z52" s="184" t="str">
        <f>IFERROR(IF(VLOOKUP(Thu_W1[[#This Row],[Employee Name]],'Base Schedules'!$A:$Y,25,FALSE)="","",VLOOKUP(Thu_W1[[#This Row],[Employee Name]],'Base Schedules'!$A:$Y,25,FALSE)),"")</f>
        <v/>
      </c>
      <c r="AA52" s="184" t="str">
        <f>IFERROR(IF(VLOOKUP(Thu_W1[[#This Row],[Employee Name]],'Base Schedules'!$A:$Z,26,FALSE)="","",VLOOKUP(Thu_W1[[#This Row],[Employee Name]],'Base Schedules'!$A:$Z,26,FALSE)),"")</f>
        <v/>
      </c>
      <c r="AB52" s="184" t="str">
        <f>IFERROR(IF(VLOOKUP(Thu_W1[[#This Row],[Employee Name]],'Base Schedules'!$A:$AA,27,FALSE)="","",VLOOKUP(Thu_W1[[#This Row],[Employee Name]],'Base Schedules'!$A:$AA,27,FALSE)),"")</f>
        <v/>
      </c>
      <c r="AC52" s="184" t="str">
        <f>IFERROR(IF(VLOOKUP(Thu_W1[[#This Row],[Employee Name]],'Base Schedules'!$A:$AB,28,FALSE)="","",VLOOKUP(Thu_W1[[#This Row],[Employee Name]],'Base Schedules'!$A:$AB,28,FALSE)),"")</f>
        <v/>
      </c>
      <c r="AD52" s="184" t="str">
        <f>IFERROR(IF(VLOOKUP(Thu_W1[[#This Row],[Employee Name]],'Base Schedules'!$A:$AC,29,FALSE)="","",VLOOKUP(Thu_W1[[#This Row],[Employee Name]],'Base Schedules'!$A:$AC,29,FALSE)),"")</f>
        <v/>
      </c>
      <c r="AE52" s="184" t="str">
        <f>IFERROR(IF(VLOOKUP(Thu_W1[[#This Row],[Employee Name]],'Base Schedules'!$A:$AD,30,FALSE)="","",VLOOKUP(Thu_W1[[#This Row],[Employee Name]],'Base Schedules'!$A:$AD,30,FALSE)),"")</f>
        <v/>
      </c>
      <c r="AF52" s="184" t="str">
        <f>IFERROR(IF(VLOOKUP(Thu_W1[[#This Row],[Employee Name]],'Base Schedules'!$A:$AE,31,FALSE)="","",VLOOKUP(Thu_W1[[#This Row],[Employee Name]],'Base Schedules'!$A:$AE,31,FALSE)),"")</f>
        <v/>
      </c>
      <c r="AG52" s="184" t="str">
        <f>IFERROR(IF(VLOOKUP(Thu_W1[[#This Row],[Employee Name]],'Base Schedules'!$A:$AF,32,FALSE)="","",VLOOKUP(Thu_W1[[#This Row],[Employee Name]],'Base Schedules'!$A:$AF,32,FALSE)),"")</f>
        <v/>
      </c>
      <c r="AH52" s="184" t="str">
        <f>IFERROR(IF(VLOOKUP(Thu_W1[[#This Row],[Employee Name]],'Base Schedules'!$A:$AG,33,FALSE)="","",VLOOKUP(Thu_W1[[#This Row],[Employee Name]],'Base Schedules'!$A:$AG,33,FALSE)),"")</f>
        <v/>
      </c>
      <c r="AI52" s="184" t="str">
        <f>IFERROR(IF(VLOOKUP(Thu_W1[[#This Row],[Employee Name]],'Base Schedules'!$A:$AH,34,FALSE)="","",VLOOKUP(Thu_W1[[#This Row],[Employee Name]],'Base Schedules'!$A:$AH,34,FALSE)),"")</f>
        <v/>
      </c>
      <c r="AJ52" s="184" t="str">
        <f>IFERROR(IF(VLOOKUP(Thu_W1[[#This Row],[Employee Name]],'Base Schedules'!$A:$AI,35,FALSE)="","",VLOOKUP(Thu_W1[[#This Row],[Employee Name]],'Base Schedules'!$A:$AI,35,FALSE)),"")</f>
        <v/>
      </c>
      <c r="AK52" s="184" t="str">
        <f>IFERROR(IF(VLOOKUP(Thu_W1[[#This Row],[Employee Name]],'Base Schedules'!$A:$AJ,36,FALSE)="","",VLOOKUP(Thu_W1[[#This Row],[Employee Name]],'Base Schedules'!$A:$AJ,36,FALSE)),"")</f>
        <v/>
      </c>
      <c r="AL52" s="184" t="str">
        <f>IFERROR(IF(VLOOKUP(Thu_W1[[#This Row],[Employee Name]],'Base Schedules'!$A:$AK,37,FALSE)="","",VLOOKUP(Thu_W1[[#This Row],[Employee Name]],'Base Schedules'!$A:$AK,37,FALSE)),"")</f>
        <v/>
      </c>
      <c r="AM52" s="184" t="str">
        <f>IFERROR(IF(VLOOKUP(Thu_W1[[#This Row],[Employee Name]],'Base Schedules'!$A:$AL,38,FALSE)="","",VLOOKUP(Thu_W1[[#This Row],[Employee Name]],'Base Schedules'!$A:$AL,38,FALSE)),"")</f>
        <v/>
      </c>
      <c r="AN52" s="184" t="str">
        <f>IFERROR(IF(VLOOKUP(Thu_W1[[#This Row],[Employee Name]],'Base Schedules'!$A:$AM,39,FALSE)="","",VLOOKUP(Thu_W1[[#This Row],[Employee Name]],'Base Schedules'!$A:$AM,39,FALSE)),"")</f>
        <v/>
      </c>
      <c r="AO52" s="184" t="str">
        <f>IFERROR(IF(VLOOKUP(Thu_W1[[#This Row],[Employee Name]],'Base Schedules'!$A:$AN,40,FALSE)="","",VLOOKUP(Thu_W1[[#This Row],[Employee Name]],'Base Schedules'!$A:$AN,40,FALSE)),"")</f>
        <v/>
      </c>
      <c r="AP52" s="184" t="str">
        <f>IFERROR(IF(VLOOKUP(Thu_W1[[#This Row],[Employee Name]],'Base Schedules'!$A:$AO,41,FALSE)="","",VLOOKUP(Thu_W1[[#This Row],[Employee Name]],'Base Schedules'!$A:$AO,41,FALSE)),"")</f>
        <v/>
      </c>
      <c r="AQ52" s="184" t="str">
        <f>IFERROR(IF(VLOOKUP(Thu_W1[[#This Row],[Employee Name]],'Base Schedules'!$A:$AP,42,FALSE)="","",VLOOKUP(Thu_W1[[#This Row],[Employee Name]],'Base Schedules'!$A:$AP,42,FALSE)),"")</f>
        <v/>
      </c>
      <c r="AR52" s="184" t="str">
        <f>IFERROR(IF(VLOOKUP(Thu_W1[[#This Row],[Employee Name]],'Base Schedules'!$A:$AQ,43,FALSE)="","",VLOOKUP(Thu_W1[[#This Row],[Employee Name]],'Base Schedules'!$A:$AQ,43,FALSE)),"")</f>
        <v/>
      </c>
      <c r="AS52" s="184" t="str">
        <f>IFERROR(IF(VLOOKUP(Thu_W1[[#This Row],[Employee Name]],'Base Schedules'!$A:$AR,44,FALSE)="","",VLOOKUP(Thu_W1[[#This Row],[Employee Name]],'Base Schedules'!$A:$AR,44,FALSE)),"")</f>
        <v/>
      </c>
      <c r="AT52" s="184" t="str">
        <f>IFERROR(IF(VLOOKUP(Thu_W1[[#This Row],[Employee Name]],'Base Schedules'!$A:$AS,45,FALSE)="","",VLOOKUP(Thu_W1[[#This Row],[Employee Name]],'Base Schedules'!$A:$AS,45,FALSE)),"")</f>
        <v/>
      </c>
      <c r="AU52" s="184" t="str">
        <f>IFERROR(IF(VLOOKUP(Thu_W1[[#This Row],[Employee Name]],'Base Schedules'!$A:$AT,46,FALSE)="","",VLOOKUP(Thu_W1[[#This Row],[Employee Name]],'Base Schedules'!$A:$AT,46,FALSE)),"")</f>
        <v/>
      </c>
      <c r="AV52" s="184" t="str">
        <f>IFERROR(IF(VLOOKUP(Thu_W1[[#This Row],[Employee Name]],'Base Schedules'!$A:$AU,47,FALSE)="","",VLOOKUP(Thu_W1[[#This Row],[Employee Name]],'Base Schedules'!$A:$AU,47,FALSE)),"")</f>
        <v/>
      </c>
      <c r="AW52" s="184" t="str">
        <f>IFERROR(IF(VLOOKUP(Thu_W1[[#This Row],[Employee Name]],'Base Schedules'!$A:$AV,48,FALSE)="","",VLOOKUP(Thu_W1[[#This Row],[Employee Name]],'Base Schedules'!$A:$AV,48,FALSE)),"")</f>
        <v/>
      </c>
      <c r="AX52" s="184" t="str">
        <f>IFERROR(IF(VLOOKUP(Wed_W1[[#This Row],[Employee Name]],'Base Schedules'!$A$243:$AW$281,49,FALSE)="","",VLOOKUP(Wed_W1[[#This Row],[Employee Name]],'Base Schedules'!$A$243:$AW$281,49,FALSE)),"")</f>
        <v/>
      </c>
      <c r="AY52" s="166" t="str">
        <f t="shared" si="2"/>
        <v/>
      </c>
    </row>
    <row r="53" spans="1:52" s="44" customFormat="1" hidden="1" thickBot="1" x14ac:dyDescent="0.25">
      <c r="A53" s="39" t="str">
        <f>IF(B53="","",INDEX(TeamList[],MATCH($B53,TeamList[[Employee Name]:[Employee Name]],0),MATCH("Manager",TeamList[#Headers],0)))</f>
        <v/>
      </c>
      <c r="B53" s="201"/>
      <c r="C53" s="257" t="str">
        <f>_xlfn.IFNA(VLOOKUP(Thu_W1[[#This Row],[Employee Name]],'Base Schedules'!A:B,2,FALSE),"")</f>
        <v/>
      </c>
      <c r="D53" s="274" t="str">
        <f>_xlfn.IFNA(VLOOKUP(Thu_W1[[#This Row],[Employee Name]],'Base Schedules'!A:C,3,FALSE),"")</f>
        <v/>
      </c>
      <c r="E53" s="274" t="str">
        <f>_xlfn.IFNA(VLOOKUP(Thu_W1[[#This Row],[Employee Name]],'Base Schedules'!A:D,4,FALSE),"")</f>
        <v/>
      </c>
      <c r="F53" s="142" t="str">
        <f>IF(Thu_W1[[#This Row],[Employee Name]]="","",IF(Thu_W1[[#This Row],[Dept]]="Supervisor",COUNTIFS($J53:$AX53,"*HL*",$J53:$AX53,"&lt;&gt;"&amp;"pHL"),COUNTIFS($J53:$AX53,"*HL*",$J53:$AX53,"&lt;&gt;"&amp;"*pHL*",$J53:$AX53,"&lt;&gt;"&amp;"pB1 HL",$J53:$AX53,"&lt;&gt;"&amp;"pB2 HL")-SUM(COUNTIFS($J53:$AX53,"*HL B1*",$J53:$AX53,"&lt;&gt;"&amp;"pHL B1")*0.5,COUNTIFS($J53:$AX53,"*HL B2*",$J53:$AX53,"&lt;&gt;"&amp;"pHL B2")*0.5,COUNTIFS($J53:$AX53,"*B1 HL*",$J53:$AX53,"&lt;&gt;"&amp;"pB1 HL")*0.5,COUNTIFS($J53:$AX53,"*B2 HL*",$J53:$AX53,"&lt;&gt;"&amp;"pB2 HL")*0.5)))</f>
        <v/>
      </c>
      <c r="G53" s="142" t="str">
        <f t="shared" si="4"/>
        <v/>
      </c>
      <c r="H53" s="142" t="str">
        <f t="shared" si="1"/>
        <v/>
      </c>
      <c r="I53" s="142" t="str">
        <f>IF(Thu_W1[[#This Row],[Employee Name]]="","",IF(Thu_W1[[#This Row],[Dept]]="Supervisor",SUM(COUNTIFS($J53:$AX53,"RTA*",$J53:$AX53,"&lt;&gt;"&amp;"pRTA"),COUNTIFS($J53:$AX53,"*CRTA*",$J53:$AX53,"&lt;&gt;"&amp;"pCRTA")),COUNTIFS($J53:$AX53,"*RNNR*",$J53:$AX53,"&lt;&gt;"&amp;"*pRNNR*",$J53:$AX53,"&lt;&gt;"&amp;"pB1 RNNR",$J53:$AX53,"&lt;&gt;"&amp;"pB2 RNNR")-SUM(COUNTIFS($J53:$AX53,"*RNNR B1*",$J53:$AX53,"&lt;&gt;"&amp;"pRNNR B1")*0.5,COUNTIFS($J53:$AX53,"*RNNR B2*",$J53:$AX53,"&lt;&gt;"&amp;"pRNNR B2")*0.5,COUNTIFS($J53:$AX53,"*B1 RNNR*",$J53:$AX53,"&lt;&gt;"&amp;"pB1 RNNR")*0.5,COUNTIFS($J53:$AX53,"*B2 RNNR*",$J53:$AX53,"&lt;&gt;"&amp;"pB2 RNNR")*0.5)))</f>
        <v/>
      </c>
      <c r="J53" s="184" t="str">
        <f>IFERROR(IF(VLOOKUP(Thu_W1[[#This Row],[Employee Name]],'Base Schedules'!$A:$I,9,FALSE)="","",VLOOKUP(Thu_W1[[#This Row],[Employee Name]],'Base Schedules'!$A:$I,9,FALSE)),"")</f>
        <v/>
      </c>
      <c r="K53" s="184" t="str">
        <f>IFERROR(IF(VLOOKUP(Thu_W1[[#This Row],[Employee Name]],'Base Schedules'!$A:$J,10,FALSE)="","",VLOOKUP(Thu_W1[[#This Row],[Employee Name]],'Base Schedules'!$A:$J,10,FALSE)),"")</f>
        <v/>
      </c>
      <c r="L53" s="184" t="str">
        <f>IFERROR(IF(VLOOKUP(Thu_W1[[#This Row],[Employee Name]],'Base Schedules'!$A:$K,11,FALSE)="","",VLOOKUP(Thu_W1[[#This Row],[Employee Name]],'Base Schedules'!$A:$K,11,FALSE)),"")</f>
        <v/>
      </c>
      <c r="M53" s="184" t="str">
        <f>IFERROR(IF(VLOOKUP(Thu_W1[[#This Row],[Employee Name]],'Base Schedules'!$A:$L,12,FALSE)="","",VLOOKUP(Thu_W1[[#This Row],[Employee Name]],'Base Schedules'!$A:$L,12,FALSE)),"")</f>
        <v/>
      </c>
      <c r="N53" s="184" t="str">
        <f>IFERROR(IF(VLOOKUP(Thu_W1[[#This Row],[Employee Name]],'Base Schedules'!$A:$M,13,FALSE)="","",VLOOKUP(Thu_W1[[#This Row],[Employee Name]],'Base Schedules'!$A:$M,13,FALSE)),"")</f>
        <v/>
      </c>
      <c r="O53" s="184" t="str">
        <f>IFERROR(IF(VLOOKUP(Thu_W1[[#This Row],[Employee Name]],'Base Schedules'!$A:$N,14,FALSE)="","",VLOOKUP(Thu_W1[[#This Row],[Employee Name]],'Base Schedules'!$A:$N,14,FALSE)),"")</f>
        <v/>
      </c>
      <c r="P53" s="184" t="str">
        <f>IFERROR(IF(VLOOKUP(Thu_W1[[#This Row],[Employee Name]],'Base Schedules'!$A:$O,15,FALSE)="","",VLOOKUP(Thu_W1[[#This Row],[Employee Name]],'Base Schedules'!$A:$O,15,FALSE)),"")</f>
        <v/>
      </c>
      <c r="Q53" s="184" t="str">
        <f>IFERROR(IF(VLOOKUP(Thu_W1[[#This Row],[Employee Name]],'Base Schedules'!$A:$P,16,FALSE)="","",VLOOKUP(Thu_W1[[#This Row],[Employee Name]],'Base Schedules'!$A:$P,16,FALSE)),"")</f>
        <v/>
      </c>
      <c r="R53" s="184" t="str">
        <f>IFERROR(IF(VLOOKUP(Thu_W1[[#This Row],[Employee Name]],'Base Schedules'!$A:$Q,17,FALSE)="","",VLOOKUP(Thu_W1[[#This Row],[Employee Name]],'Base Schedules'!$A:$Q,17,FALSE)),"")</f>
        <v/>
      </c>
      <c r="S53" s="184" t="str">
        <f>IFERROR(IF(VLOOKUP(Thu_W1[[#This Row],[Employee Name]],'Base Schedules'!$A:$R,18,FALSE)="","",VLOOKUP(Thu_W1[[#This Row],[Employee Name]],'Base Schedules'!$A:$R,18,FALSE)),"")</f>
        <v/>
      </c>
      <c r="T53" s="184" t="str">
        <f>IFERROR(IF(VLOOKUP(Thu_W1[[#This Row],[Employee Name]],'Base Schedules'!$A:$S,19,FALSE)="","",VLOOKUP(Thu_W1[[#This Row],[Employee Name]],'Base Schedules'!$A:$S,19,FALSE)),"")</f>
        <v/>
      </c>
      <c r="U53" s="184" t="str">
        <f>IFERROR(IF(VLOOKUP(Thu_W1[[#This Row],[Employee Name]],'Base Schedules'!$A:$T,20,FALSE)="","",VLOOKUP(Thu_W1[[#This Row],[Employee Name]],'Base Schedules'!$A:$T,20,FALSE)),"")</f>
        <v/>
      </c>
      <c r="V53" s="184" t="str">
        <f>IFERROR(IF(VLOOKUP(Thu_W1[[#This Row],[Employee Name]],'Base Schedules'!$A:$U,21,FALSE)="","",VLOOKUP(Thu_W1[[#This Row],[Employee Name]],'Base Schedules'!$A:$U,21,FALSE)),"")</f>
        <v/>
      </c>
      <c r="W53" s="184" t="str">
        <f>IFERROR(IF(VLOOKUP(Thu_W1[[#This Row],[Employee Name]],'Base Schedules'!$A:$V,22,FALSE)="","",VLOOKUP(Thu_W1[[#This Row],[Employee Name]],'Base Schedules'!$A:$V,22,FALSE)),"")</f>
        <v/>
      </c>
      <c r="X53" s="184" t="str">
        <f>IFERROR(IF(VLOOKUP(Thu_W1[[#This Row],[Employee Name]],'Base Schedules'!$A:$W,23,FALSE)="","",VLOOKUP(Thu_W1[[#This Row],[Employee Name]],'Base Schedules'!$A:$W,23,FALSE)),"")</f>
        <v/>
      </c>
      <c r="Y53" s="184" t="str">
        <f>IFERROR(IF(VLOOKUP(Thu_W1[[#This Row],[Employee Name]],'Base Schedules'!$A:$X,24,FALSE)="","",VLOOKUP(Thu_W1[[#This Row],[Employee Name]],'Base Schedules'!$A:$X,24,FALSE)),"")</f>
        <v/>
      </c>
      <c r="Z53" s="184" t="str">
        <f>IFERROR(IF(VLOOKUP(Thu_W1[[#This Row],[Employee Name]],'Base Schedules'!$A:$Y,25,FALSE)="","",VLOOKUP(Thu_W1[[#This Row],[Employee Name]],'Base Schedules'!$A:$Y,25,FALSE)),"")</f>
        <v/>
      </c>
      <c r="AA53" s="184" t="str">
        <f>IFERROR(IF(VLOOKUP(Thu_W1[[#This Row],[Employee Name]],'Base Schedules'!$A:$Z,26,FALSE)="","",VLOOKUP(Thu_W1[[#This Row],[Employee Name]],'Base Schedules'!$A:$Z,26,FALSE)),"")</f>
        <v/>
      </c>
      <c r="AB53" s="184" t="str">
        <f>IFERROR(IF(VLOOKUP(Thu_W1[[#This Row],[Employee Name]],'Base Schedules'!$A:$AA,27,FALSE)="","",VLOOKUP(Thu_W1[[#This Row],[Employee Name]],'Base Schedules'!$A:$AA,27,FALSE)),"")</f>
        <v/>
      </c>
      <c r="AC53" s="184" t="str">
        <f>IFERROR(IF(VLOOKUP(Thu_W1[[#This Row],[Employee Name]],'Base Schedules'!$A:$AB,28,FALSE)="","",VLOOKUP(Thu_W1[[#This Row],[Employee Name]],'Base Schedules'!$A:$AB,28,FALSE)),"")</f>
        <v/>
      </c>
      <c r="AD53" s="184" t="str">
        <f>IFERROR(IF(VLOOKUP(Thu_W1[[#This Row],[Employee Name]],'Base Schedules'!$A:$AC,29,FALSE)="","",VLOOKUP(Thu_W1[[#This Row],[Employee Name]],'Base Schedules'!$A:$AC,29,FALSE)),"")</f>
        <v/>
      </c>
      <c r="AE53" s="184" t="str">
        <f>IFERROR(IF(VLOOKUP(Thu_W1[[#This Row],[Employee Name]],'Base Schedules'!$A:$AD,30,FALSE)="","",VLOOKUP(Thu_W1[[#This Row],[Employee Name]],'Base Schedules'!$A:$AD,30,FALSE)),"")</f>
        <v/>
      </c>
      <c r="AF53" s="184" t="str">
        <f>IFERROR(IF(VLOOKUP(Thu_W1[[#This Row],[Employee Name]],'Base Schedules'!$A:$AE,31,FALSE)="","",VLOOKUP(Thu_W1[[#This Row],[Employee Name]],'Base Schedules'!$A:$AE,31,FALSE)),"")</f>
        <v/>
      </c>
      <c r="AG53" s="184" t="str">
        <f>IFERROR(IF(VLOOKUP(Thu_W1[[#This Row],[Employee Name]],'Base Schedules'!$A:$AF,32,FALSE)="","",VLOOKUP(Thu_W1[[#This Row],[Employee Name]],'Base Schedules'!$A:$AF,32,FALSE)),"")</f>
        <v/>
      </c>
      <c r="AH53" s="184" t="str">
        <f>IFERROR(IF(VLOOKUP(Thu_W1[[#This Row],[Employee Name]],'Base Schedules'!$A:$AG,33,FALSE)="","",VLOOKUP(Thu_W1[[#This Row],[Employee Name]],'Base Schedules'!$A:$AG,33,FALSE)),"")</f>
        <v/>
      </c>
      <c r="AI53" s="184" t="str">
        <f>IFERROR(IF(VLOOKUP(Thu_W1[[#This Row],[Employee Name]],'Base Schedules'!$A:$AH,34,FALSE)="","",VLOOKUP(Thu_W1[[#This Row],[Employee Name]],'Base Schedules'!$A:$AH,34,FALSE)),"")</f>
        <v/>
      </c>
      <c r="AJ53" s="184" t="str">
        <f>IFERROR(IF(VLOOKUP(Thu_W1[[#This Row],[Employee Name]],'Base Schedules'!$A:$AI,35,FALSE)="","",VLOOKUP(Thu_W1[[#This Row],[Employee Name]],'Base Schedules'!$A:$AI,35,FALSE)),"")</f>
        <v/>
      </c>
      <c r="AK53" s="184" t="str">
        <f>IFERROR(IF(VLOOKUP(Thu_W1[[#This Row],[Employee Name]],'Base Schedules'!$A:$AJ,36,FALSE)="","",VLOOKUP(Thu_W1[[#This Row],[Employee Name]],'Base Schedules'!$A:$AJ,36,FALSE)),"")</f>
        <v/>
      </c>
      <c r="AL53" s="184" t="str">
        <f>IFERROR(IF(VLOOKUP(Thu_W1[[#This Row],[Employee Name]],'Base Schedules'!$A:$AK,37,FALSE)="","",VLOOKUP(Thu_W1[[#This Row],[Employee Name]],'Base Schedules'!$A:$AK,37,FALSE)),"")</f>
        <v/>
      </c>
      <c r="AM53" s="184" t="str">
        <f>IFERROR(IF(VLOOKUP(Thu_W1[[#This Row],[Employee Name]],'Base Schedules'!$A:$AL,38,FALSE)="","",VLOOKUP(Thu_W1[[#This Row],[Employee Name]],'Base Schedules'!$A:$AL,38,FALSE)),"")</f>
        <v/>
      </c>
      <c r="AN53" s="184" t="str">
        <f>IFERROR(IF(VLOOKUP(Thu_W1[[#This Row],[Employee Name]],'Base Schedules'!$A:$AM,39,FALSE)="","",VLOOKUP(Thu_W1[[#This Row],[Employee Name]],'Base Schedules'!$A:$AM,39,FALSE)),"")</f>
        <v/>
      </c>
      <c r="AO53" s="184" t="str">
        <f>IFERROR(IF(VLOOKUP(Thu_W1[[#This Row],[Employee Name]],'Base Schedules'!$A:$AN,40,FALSE)="","",VLOOKUP(Thu_W1[[#This Row],[Employee Name]],'Base Schedules'!$A:$AN,40,FALSE)),"")</f>
        <v/>
      </c>
      <c r="AP53" s="184" t="str">
        <f>IFERROR(IF(VLOOKUP(Thu_W1[[#This Row],[Employee Name]],'Base Schedules'!$A:$AO,41,FALSE)="","",VLOOKUP(Thu_W1[[#This Row],[Employee Name]],'Base Schedules'!$A:$AO,41,FALSE)),"")</f>
        <v/>
      </c>
      <c r="AQ53" s="184" t="str">
        <f>IFERROR(IF(VLOOKUP(Thu_W1[[#This Row],[Employee Name]],'Base Schedules'!$A:$AP,42,FALSE)="","",VLOOKUP(Thu_W1[[#This Row],[Employee Name]],'Base Schedules'!$A:$AP,42,FALSE)),"")</f>
        <v/>
      </c>
      <c r="AR53" s="184" t="str">
        <f>IFERROR(IF(VLOOKUP(Thu_W1[[#This Row],[Employee Name]],'Base Schedules'!$A:$AQ,43,FALSE)="","",VLOOKUP(Thu_W1[[#This Row],[Employee Name]],'Base Schedules'!$A:$AQ,43,FALSE)),"")</f>
        <v/>
      </c>
      <c r="AS53" s="184" t="str">
        <f>IFERROR(IF(VLOOKUP(Thu_W1[[#This Row],[Employee Name]],'Base Schedules'!$A:$AR,44,FALSE)="","",VLOOKUP(Thu_W1[[#This Row],[Employee Name]],'Base Schedules'!$A:$AR,44,FALSE)),"")</f>
        <v/>
      </c>
      <c r="AT53" s="184" t="str">
        <f>IFERROR(IF(VLOOKUP(Thu_W1[[#This Row],[Employee Name]],'Base Schedules'!$A:$AS,45,FALSE)="","",VLOOKUP(Thu_W1[[#This Row],[Employee Name]],'Base Schedules'!$A:$AS,45,FALSE)),"")</f>
        <v/>
      </c>
      <c r="AU53" s="184" t="str">
        <f>IFERROR(IF(VLOOKUP(Thu_W1[[#This Row],[Employee Name]],'Base Schedules'!$A:$AT,46,FALSE)="","",VLOOKUP(Thu_W1[[#This Row],[Employee Name]],'Base Schedules'!$A:$AT,46,FALSE)),"")</f>
        <v/>
      </c>
      <c r="AV53" s="184" t="str">
        <f>IFERROR(IF(VLOOKUP(Thu_W1[[#This Row],[Employee Name]],'Base Schedules'!$A:$AU,47,FALSE)="","",VLOOKUP(Thu_W1[[#This Row],[Employee Name]],'Base Schedules'!$A:$AU,47,FALSE)),"")</f>
        <v/>
      </c>
      <c r="AW53" s="184" t="str">
        <f>IFERROR(IF(VLOOKUP(Thu_W1[[#This Row],[Employee Name]],'Base Schedules'!$A:$AV,48,FALSE)="","",VLOOKUP(Thu_W1[[#This Row],[Employee Name]],'Base Schedules'!$A:$AV,48,FALSE)),"")</f>
        <v/>
      </c>
      <c r="AX53" s="184" t="str">
        <f>IFERROR(IF(VLOOKUP(Wed_W1[[#This Row],[Employee Name]],'Base Schedules'!$A$243:$AW$281,49,FALSE)="","",VLOOKUP(Wed_W1[[#This Row],[Employee Name]],'Base Schedules'!$A$243:$AW$281,49,FALSE)),"")</f>
        <v/>
      </c>
      <c r="AY53" s="164" t="str">
        <f t="shared" si="2"/>
        <v/>
      </c>
    </row>
    <row r="54" spans="1:52" s="44" customFormat="1" hidden="1" thickBot="1" x14ac:dyDescent="0.25">
      <c r="A54" s="39" t="str">
        <f>IF(B54="","",INDEX(TeamList[],MATCH($B54,TeamList[[Employee Name]:[Employee Name]],0),MATCH("Manager",TeamList[#Headers],0)))</f>
        <v/>
      </c>
      <c r="B54" s="201"/>
      <c r="C54" s="257" t="str">
        <f>_xlfn.IFNA(VLOOKUP(Thu_W1[[#This Row],[Employee Name]],'Base Schedules'!A:B,2,FALSE),"")</f>
        <v/>
      </c>
      <c r="D54" s="274" t="str">
        <f>_xlfn.IFNA(VLOOKUP(Thu_W1[[#This Row],[Employee Name]],'Base Schedules'!A:C,3,FALSE),"")</f>
        <v/>
      </c>
      <c r="E54" s="274" t="str">
        <f>_xlfn.IFNA(VLOOKUP(Thu_W1[[#This Row],[Employee Name]],'Base Schedules'!A:D,4,FALSE),"")</f>
        <v/>
      </c>
      <c r="F54" s="142" t="str">
        <f>IF(Thu_W1[[#This Row],[Employee Name]]="","",IF(Thu_W1[[#This Row],[Dept]]="Supervisor",COUNTIFS($J54:$AX54,"*HL*",$J54:$AX54,"&lt;&gt;"&amp;"pHL"),COUNTIFS($J54:$AX54,"*HL*",$J54:$AX54,"&lt;&gt;"&amp;"*pHL*",$J54:$AX54,"&lt;&gt;"&amp;"pB1 HL",$J54:$AX54,"&lt;&gt;"&amp;"pB2 HL")-SUM(COUNTIFS($J54:$AX54,"*HL B1*",$J54:$AX54,"&lt;&gt;"&amp;"pHL B1")*0.5,COUNTIFS($J54:$AX54,"*HL B2*",$J54:$AX54,"&lt;&gt;"&amp;"pHL B2")*0.5,COUNTIFS($J54:$AX54,"*B1 HL*",$J54:$AX54,"&lt;&gt;"&amp;"pB1 HL")*0.5,COUNTIFS($J54:$AX54,"*B2 HL*",$J54:$AX54,"&lt;&gt;"&amp;"pB2 HL")*0.5)))</f>
        <v/>
      </c>
      <c r="G54" s="142" t="str">
        <f t="shared" si="4"/>
        <v/>
      </c>
      <c r="H54" s="142" t="str">
        <f t="shared" si="1"/>
        <v/>
      </c>
      <c r="I54" s="142" t="str">
        <f>IF(Thu_W1[[#This Row],[Employee Name]]="","",IF(Thu_W1[[#This Row],[Dept]]="Supervisor",SUM(COUNTIFS($J54:$AX54,"RTA*",$J54:$AX54,"&lt;&gt;"&amp;"pRTA"),COUNTIFS($J54:$AX54,"*CRTA*",$J54:$AX54,"&lt;&gt;"&amp;"pCRTA")),COUNTIFS($J54:$AX54,"*RNNR*",$J54:$AX54,"&lt;&gt;"&amp;"*pRNNR*",$J54:$AX54,"&lt;&gt;"&amp;"pB1 RNNR",$J54:$AX54,"&lt;&gt;"&amp;"pB2 RNNR")-SUM(COUNTIFS($J54:$AX54,"*RNNR B1*",$J54:$AX54,"&lt;&gt;"&amp;"pRNNR B1")*0.5,COUNTIFS($J54:$AX54,"*RNNR B2*",$J54:$AX54,"&lt;&gt;"&amp;"pRNNR B2")*0.5,COUNTIFS($J54:$AX54,"*B1 RNNR*",$J54:$AX54,"&lt;&gt;"&amp;"pB1 RNNR")*0.5,COUNTIFS($J54:$AX54,"*B2 RNNR*",$J54:$AX54,"&lt;&gt;"&amp;"pB2 RNNR")*0.5)))</f>
        <v/>
      </c>
      <c r="J54" s="184" t="str">
        <f>IFERROR(IF(VLOOKUP(Thu_W1[[#This Row],[Employee Name]],'Base Schedules'!$A:$I,9,FALSE)="","",VLOOKUP(Thu_W1[[#This Row],[Employee Name]],'Base Schedules'!$A:$I,9,FALSE)),"")</f>
        <v/>
      </c>
      <c r="K54" s="184" t="str">
        <f>IFERROR(IF(VLOOKUP(Thu_W1[[#This Row],[Employee Name]],'Base Schedules'!$A:$J,10,FALSE)="","",VLOOKUP(Thu_W1[[#This Row],[Employee Name]],'Base Schedules'!$A:$J,10,FALSE)),"")</f>
        <v/>
      </c>
      <c r="L54" s="184" t="str">
        <f>IFERROR(IF(VLOOKUP(Thu_W1[[#This Row],[Employee Name]],'Base Schedules'!$A:$K,11,FALSE)="","",VLOOKUP(Thu_W1[[#This Row],[Employee Name]],'Base Schedules'!$A:$K,11,FALSE)),"")</f>
        <v/>
      </c>
      <c r="M54" s="184" t="str">
        <f>IFERROR(IF(VLOOKUP(Thu_W1[[#This Row],[Employee Name]],'Base Schedules'!$A:$L,12,FALSE)="","",VLOOKUP(Thu_W1[[#This Row],[Employee Name]],'Base Schedules'!$A:$L,12,FALSE)),"")</f>
        <v/>
      </c>
      <c r="N54" s="184" t="str">
        <f>IFERROR(IF(VLOOKUP(Thu_W1[[#This Row],[Employee Name]],'Base Schedules'!$A:$M,13,FALSE)="","",VLOOKUP(Thu_W1[[#This Row],[Employee Name]],'Base Schedules'!$A:$M,13,FALSE)),"")</f>
        <v/>
      </c>
      <c r="O54" s="184" t="str">
        <f>IFERROR(IF(VLOOKUP(Thu_W1[[#This Row],[Employee Name]],'Base Schedules'!$A:$N,14,FALSE)="","",VLOOKUP(Thu_W1[[#This Row],[Employee Name]],'Base Schedules'!$A:$N,14,FALSE)),"")</f>
        <v/>
      </c>
      <c r="P54" s="184" t="str">
        <f>IFERROR(IF(VLOOKUP(Thu_W1[[#This Row],[Employee Name]],'Base Schedules'!$A:$O,15,FALSE)="","",VLOOKUP(Thu_W1[[#This Row],[Employee Name]],'Base Schedules'!$A:$O,15,FALSE)),"")</f>
        <v/>
      </c>
      <c r="Q54" s="184" t="str">
        <f>IFERROR(IF(VLOOKUP(Thu_W1[[#This Row],[Employee Name]],'Base Schedules'!$A:$P,16,FALSE)="","",VLOOKUP(Thu_W1[[#This Row],[Employee Name]],'Base Schedules'!$A:$P,16,FALSE)),"")</f>
        <v/>
      </c>
      <c r="R54" s="184" t="str">
        <f>IFERROR(IF(VLOOKUP(Thu_W1[[#This Row],[Employee Name]],'Base Schedules'!$A:$Q,17,FALSE)="","",VLOOKUP(Thu_W1[[#This Row],[Employee Name]],'Base Schedules'!$A:$Q,17,FALSE)),"")</f>
        <v/>
      </c>
      <c r="S54" s="184" t="str">
        <f>IFERROR(IF(VLOOKUP(Thu_W1[[#This Row],[Employee Name]],'Base Schedules'!$A:$R,18,FALSE)="","",VLOOKUP(Thu_W1[[#This Row],[Employee Name]],'Base Schedules'!$A:$R,18,FALSE)),"")</f>
        <v/>
      </c>
      <c r="T54" s="184" t="str">
        <f>IFERROR(IF(VLOOKUP(Thu_W1[[#This Row],[Employee Name]],'Base Schedules'!$A:$S,19,FALSE)="","",VLOOKUP(Thu_W1[[#This Row],[Employee Name]],'Base Schedules'!$A:$S,19,FALSE)),"")</f>
        <v/>
      </c>
      <c r="U54" s="184" t="str">
        <f>IFERROR(IF(VLOOKUP(Thu_W1[[#This Row],[Employee Name]],'Base Schedules'!$A:$T,20,FALSE)="","",VLOOKUP(Thu_W1[[#This Row],[Employee Name]],'Base Schedules'!$A:$T,20,FALSE)),"")</f>
        <v/>
      </c>
      <c r="V54" s="184" t="str">
        <f>IFERROR(IF(VLOOKUP(Thu_W1[[#This Row],[Employee Name]],'Base Schedules'!$A:$U,21,FALSE)="","",VLOOKUP(Thu_W1[[#This Row],[Employee Name]],'Base Schedules'!$A:$U,21,FALSE)),"")</f>
        <v/>
      </c>
      <c r="W54" s="184" t="str">
        <f>IFERROR(IF(VLOOKUP(Thu_W1[[#This Row],[Employee Name]],'Base Schedules'!$A:$V,22,FALSE)="","",VLOOKUP(Thu_W1[[#This Row],[Employee Name]],'Base Schedules'!$A:$V,22,FALSE)),"")</f>
        <v/>
      </c>
      <c r="X54" s="184" t="str">
        <f>IFERROR(IF(VLOOKUP(Thu_W1[[#This Row],[Employee Name]],'Base Schedules'!$A:$W,23,FALSE)="","",VLOOKUP(Thu_W1[[#This Row],[Employee Name]],'Base Schedules'!$A:$W,23,FALSE)),"")</f>
        <v/>
      </c>
      <c r="Y54" s="184" t="str">
        <f>IFERROR(IF(VLOOKUP(Thu_W1[[#This Row],[Employee Name]],'Base Schedules'!$A:$X,24,FALSE)="","",VLOOKUP(Thu_W1[[#This Row],[Employee Name]],'Base Schedules'!$A:$X,24,FALSE)),"")</f>
        <v/>
      </c>
      <c r="Z54" s="184" t="str">
        <f>IFERROR(IF(VLOOKUP(Thu_W1[[#This Row],[Employee Name]],'Base Schedules'!$A:$Y,25,FALSE)="","",VLOOKUP(Thu_W1[[#This Row],[Employee Name]],'Base Schedules'!$A:$Y,25,FALSE)),"")</f>
        <v/>
      </c>
      <c r="AA54" s="184" t="str">
        <f>IFERROR(IF(VLOOKUP(Thu_W1[[#This Row],[Employee Name]],'Base Schedules'!$A:$Z,26,FALSE)="","",VLOOKUP(Thu_W1[[#This Row],[Employee Name]],'Base Schedules'!$A:$Z,26,FALSE)),"")</f>
        <v/>
      </c>
      <c r="AB54" s="184" t="str">
        <f>IFERROR(IF(VLOOKUP(Thu_W1[[#This Row],[Employee Name]],'Base Schedules'!$A:$AA,27,FALSE)="","",VLOOKUP(Thu_W1[[#This Row],[Employee Name]],'Base Schedules'!$A:$AA,27,FALSE)),"")</f>
        <v/>
      </c>
      <c r="AC54" s="184" t="str">
        <f>IFERROR(IF(VLOOKUP(Thu_W1[[#This Row],[Employee Name]],'Base Schedules'!$A:$AB,28,FALSE)="","",VLOOKUP(Thu_W1[[#This Row],[Employee Name]],'Base Schedules'!$A:$AB,28,FALSE)),"")</f>
        <v/>
      </c>
      <c r="AD54" s="184" t="str">
        <f>IFERROR(IF(VLOOKUP(Thu_W1[[#This Row],[Employee Name]],'Base Schedules'!$A:$AC,29,FALSE)="","",VLOOKUP(Thu_W1[[#This Row],[Employee Name]],'Base Schedules'!$A:$AC,29,FALSE)),"")</f>
        <v/>
      </c>
      <c r="AE54" s="184" t="str">
        <f>IFERROR(IF(VLOOKUP(Thu_W1[[#This Row],[Employee Name]],'Base Schedules'!$A:$AD,30,FALSE)="","",VLOOKUP(Thu_W1[[#This Row],[Employee Name]],'Base Schedules'!$A:$AD,30,FALSE)),"")</f>
        <v/>
      </c>
      <c r="AF54" s="184" t="str">
        <f>IFERROR(IF(VLOOKUP(Thu_W1[[#This Row],[Employee Name]],'Base Schedules'!$A:$AE,31,FALSE)="","",VLOOKUP(Thu_W1[[#This Row],[Employee Name]],'Base Schedules'!$A:$AE,31,FALSE)),"")</f>
        <v/>
      </c>
      <c r="AG54" s="184" t="str">
        <f>IFERROR(IF(VLOOKUP(Thu_W1[[#This Row],[Employee Name]],'Base Schedules'!$A:$AF,32,FALSE)="","",VLOOKUP(Thu_W1[[#This Row],[Employee Name]],'Base Schedules'!$A:$AF,32,FALSE)),"")</f>
        <v/>
      </c>
      <c r="AH54" s="184" t="str">
        <f>IFERROR(IF(VLOOKUP(Thu_W1[[#This Row],[Employee Name]],'Base Schedules'!$A:$AG,33,FALSE)="","",VLOOKUP(Thu_W1[[#This Row],[Employee Name]],'Base Schedules'!$A:$AG,33,FALSE)),"")</f>
        <v/>
      </c>
      <c r="AI54" s="184" t="str">
        <f>IFERROR(IF(VLOOKUP(Thu_W1[[#This Row],[Employee Name]],'Base Schedules'!$A:$AH,34,FALSE)="","",VLOOKUP(Thu_W1[[#This Row],[Employee Name]],'Base Schedules'!$A:$AH,34,FALSE)),"")</f>
        <v/>
      </c>
      <c r="AJ54" s="184" t="str">
        <f>IFERROR(IF(VLOOKUP(Thu_W1[[#This Row],[Employee Name]],'Base Schedules'!$A:$AI,35,FALSE)="","",VLOOKUP(Thu_W1[[#This Row],[Employee Name]],'Base Schedules'!$A:$AI,35,FALSE)),"")</f>
        <v/>
      </c>
      <c r="AK54" s="184" t="str">
        <f>IFERROR(IF(VLOOKUP(Thu_W1[[#This Row],[Employee Name]],'Base Schedules'!$A:$AJ,36,FALSE)="","",VLOOKUP(Thu_W1[[#This Row],[Employee Name]],'Base Schedules'!$A:$AJ,36,FALSE)),"")</f>
        <v/>
      </c>
      <c r="AL54" s="184" t="str">
        <f>IFERROR(IF(VLOOKUP(Thu_W1[[#This Row],[Employee Name]],'Base Schedules'!$A:$AK,37,FALSE)="","",VLOOKUP(Thu_W1[[#This Row],[Employee Name]],'Base Schedules'!$A:$AK,37,FALSE)),"")</f>
        <v/>
      </c>
      <c r="AM54" s="184" t="str">
        <f>IFERROR(IF(VLOOKUP(Thu_W1[[#This Row],[Employee Name]],'Base Schedules'!$A:$AL,38,FALSE)="","",VLOOKUP(Thu_W1[[#This Row],[Employee Name]],'Base Schedules'!$A:$AL,38,FALSE)),"")</f>
        <v/>
      </c>
      <c r="AN54" s="184" t="str">
        <f>IFERROR(IF(VLOOKUP(Thu_W1[[#This Row],[Employee Name]],'Base Schedules'!$A:$AM,39,FALSE)="","",VLOOKUP(Thu_W1[[#This Row],[Employee Name]],'Base Schedules'!$A:$AM,39,FALSE)),"")</f>
        <v/>
      </c>
      <c r="AO54" s="184" t="str">
        <f>IFERROR(IF(VLOOKUP(Thu_W1[[#This Row],[Employee Name]],'Base Schedules'!$A:$AN,40,FALSE)="","",VLOOKUP(Thu_W1[[#This Row],[Employee Name]],'Base Schedules'!$A:$AN,40,FALSE)),"")</f>
        <v/>
      </c>
      <c r="AP54" s="184" t="str">
        <f>IFERROR(IF(VLOOKUP(Thu_W1[[#This Row],[Employee Name]],'Base Schedules'!$A:$AO,41,FALSE)="","",VLOOKUP(Thu_W1[[#This Row],[Employee Name]],'Base Schedules'!$A:$AO,41,FALSE)),"")</f>
        <v/>
      </c>
      <c r="AQ54" s="184" t="str">
        <f>IFERROR(IF(VLOOKUP(Thu_W1[[#This Row],[Employee Name]],'Base Schedules'!$A:$AP,42,FALSE)="","",VLOOKUP(Thu_W1[[#This Row],[Employee Name]],'Base Schedules'!$A:$AP,42,FALSE)),"")</f>
        <v/>
      </c>
      <c r="AR54" s="184" t="str">
        <f>IFERROR(IF(VLOOKUP(Thu_W1[[#This Row],[Employee Name]],'Base Schedules'!$A:$AQ,43,FALSE)="","",VLOOKUP(Thu_W1[[#This Row],[Employee Name]],'Base Schedules'!$A:$AQ,43,FALSE)),"")</f>
        <v/>
      </c>
      <c r="AS54" s="184" t="str">
        <f>IFERROR(IF(VLOOKUP(Thu_W1[[#This Row],[Employee Name]],'Base Schedules'!$A:$AR,44,FALSE)="","",VLOOKUP(Thu_W1[[#This Row],[Employee Name]],'Base Schedules'!$A:$AR,44,FALSE)),"")</f>
        <v/>
      </c>
      <c r="AT54" s="184" t="str">
        <f>IFERROR(IF(VLOOKUP(Thu_W1[[#This Row],[Employee Name]],'Base Schedules'!$A:$AS,45,FALSE)="","",VLOOKUP(Thu_W1[[#This Row],[Employee Name]],'Base Schedules'!$A:$AS,45,FALSE)),"")</f>
        <v/>
      </c>
      <c r="AU54" s="184" t="str">
        <f>IFERROR(IF(VLOOKUP(Thu_W1[[#This Row],[Employee Name]],'Base Schedules'!$A:$AT,46,FALSE)="","",VLOOKUP(Thu_W1[[#This Row],[Employee Name]],'Base Schedules'!$A:$AT,46,FALSE)),"")</f>
        <v/>
      </c>
      <c r="AV54" s="184" t="str">
        <f>IFERROR(IF(VLOOKUP(Thu_W1[[#This Row],[Employee Name]],'Base Schedules'!$A:$AU,47,FALSE)="","",VLOOKUP(Thu_W1[[#This Row],[Employee Name]],'Base Schedules'!$A:$AU,47,FALSE)),"")</f>
        <v/>
      </c>
      <c r="AW54" s="184" t="str">
        <f>IFERROR(IF(VLOOKUP(Thu_W1[[#This Row],[Employee Name]],'Base Schedules'!$A:$AV,48,FALSE)="","",VLOOKUP(Thu_W1[[#This Row],[Employee Name]],'Base Schedules'!$A:$AV,48,FALSE)),"")</f>
        <v/>
      </c>
      <c r="AX54" s="184" t="str">
        <f>IFERROR(IF(VLOOKUP(Wed_W1[[#This Row],[Employee Name]],'Base Schedules'!$A$243:$AW$281,49,FALSE)="","",VLOOKUP(Wed_W1[[#This Row],[Employee Name]],'Base Schedules'!$A$243:$AW$281,49,FALSE)),"")</f>
        <v/>
      </c>
      <c r="AY54" s="165" t="str">
        <f t="shared" si="2"/>
        <v/>
      </c>
    </row>
    <row r="55" spans="1:52" s="44" customFormat="1" hidden="1" thickBot="1" x14ac:dyDescent="0.25">
      <c r="A55" s="39" t="str">
        <f>IF(B55="","",INDEX(TeamList[],MATCH($B55,TeamList[[Employee Name]:[Employee Name]],0),MATCH("Manager",TeamList[#Headers],0)))</f>
        <v/>
      </c>
      <c r="B55" s="201"/>
      <c r="C55" s="257" t="str">
        <f>_xlfn.IFNA(VLOOKUP(Thu_W1[[#This Row],[Employee Name]],'Base Schedules'!A:B,2,FALSE),"")</f>
        <v/>
      </c>
      <c r="D55" s="274" t="str">
        <f>_xlfn.IFNA(VLOOKUP(Thu_W1[[#This Row],[Employee Name]],'Base Schedules'!A:C,3,FALSE),"")</f>
        <v/>
      </c>
      <c r="E55" s="274" t="str">
        <f>_xlfn.IFNA(VLOOKUP(Thu_W1[[#This Row],[Employee Name]],'Base Schedules'!A:D,4,FALSE),"")</f>
        <v/>
      </c>
      <c r="F55" s="142" t="str">
        <f>IF(Thu_W1[[#This Row],[Employee Name]]="","",IF(Thu_W1[[#This Row],[Dept]]="Supervisor",COUNTIFS($J55:$AX55,"*HL*",$J55:$AX55,"&lt;&gt;"&amp;"pHL"),COUNTIFS($J55:$AX55,"*HL*",$J55:$AX55,"&lt;&gt;"&amp;"*pHL*",$J55:$AX55,"&lt;&gt;"&amp;"pB1 HL",$J55:$AX55,"&lt;&gt;"&amp;"pB2 HL")-SUM(COUNTIFS($J55:$AX55,"*HL B1*",$J55:$AX55,"&lt;&gt;"&amp;"pHL B1")*0.5,COUNTIFS($J55:$AX55,"*HL B2*",$J55:$AX55,"&lt;&gt;"&amp;"pHL B2")*0.5,COUNTIFS($J55:$AX55,"*B1 HL*",$J55:$AX55,"&lt;&gt;"&amp;"pB1 HL")*0.5,COUNTIFS($J55:$AX55,"*B2 HL*",$J55:$AX55,"&lt;&gt;"&amp;"pB2 HL")*0.5)))</f>
        <v/>
      </c>
      <c r="G55" s="142" t="str">
        <f t="shared" si="4"/>
        <v/>
      </c>
      <c r="H55" s="142" t="str">
        <f t="shared" si="1"/>
        <v/>
      </c>
      <c r="I55" s="142" t="str">
        <f>IF(Thu_W1[[#This Row],[Employee Name]]="","",IF(Thu_W1[[#This Row],[Dept]]="Supervisor",SUM(COUNTIFS($J55:$AX55,"RTA*",$J55:$AX55,"&lt;&gt;"&amp;"pRTA"),COUNTIFS($J55:$AX55,"*CRTA*",$J55:$AX55,"&lt;&gt;"&amp;"pCRTA")),COUNTIFS($J55:$AX55,"*RNNR*",$J55:$AX55,"&lt;&gt;"&amp;"*pRNNR*",$J55:$AX55,"&lt;&gt;"&amp;"pB1 RNNR",$J55:$AX55,"&lt;&gt;"&amp;"pB2 RNNR")-SUM(COUNTIFS($J55:$AX55,"*RNNR B1*",$J55:$AX55,"&lt;&gt;"&amp;"pRNNR B1")*0.5,COUNTIFS($J55:$AX55,"*RNNR B2*",$J55:$AX55,"&lt;&gt;"&amp;"pRNNR B2")*0.5,COUNTIFS($J55:$AX55,"*B1 RNNR*",$J55:$AX55,"&lt;&gt;"&amp;"pB1 RNNR")*0.5,COUNTIFS($J55:$AX55,"*B2 RNNR*",$J55:$AX55,"&lt;&gt;"&amp;"pB2 RNNR")*0.5)))</f>
        <v/>
      </c>
      <c r="J55" s="184" t="str">
        <f>IFERROR(IF(VLOOKUP(Thu_W1[[#This Row],[Employee Name]],'Base Schedules'!$A:$I,9,FALSE)="","",VLOOKUP(Thu_W1[[#This Row],[Employee Name]],'Base Schedules'!$A:$I,9,FALSE)),"")</f>
        <v/>
      </c>
      <c r="K55" s="184" t="str">
        <f>IFERROR(IF(VLOOKUP(Thu_W1[[#This Row],[Employee Name]],'Base Schedules'!$A:$J,10,FALSE)="","",VLOOKUP(Thu_W1[[#This Row],[Employee Name]],'Base Schedules'!$A:$J,10,FALSE)),"")</f>
        <v/>
      </c>
      <c r="L55" s="184" t="str">
        <f>IFERROR(IF(VLOOKUP(Thu_W1[[#This Row],[Employee Name]],'Base Schedules'!$A:$K,11,FALSE)="","",VLOOKUP(Thu_W1[[#This Row],[Employee Name]],'Base Schedules'!$A:$K,11,FALSE)),"")</f>
        <v/>
      </c>
      <c r="M55" s="184" t="str">
        <f>IFERROR(IF(VLOOKUP(Thu_W1[[#This Row],[Employee Name]],'Base Schedules'!$A:$L,12,FALSE)="","",VLOOKUP(Thu_W1[[#This Row],[Employee Name]],'Base Schedules'!$A:$L,12,FALSE)),"")</f>
        <v/>
      </c>
      <c r="N55" s="184" t="str">
        <f>IFERROR(IF(VLOOKUP(Thu_W1[[#This Row],[Employee Name]],'Base Schedules'!$A:$M,13,FALSE)="","",VLOOKUP(Thu_W1[[#This Row],[Employee Name]],'Base Schedules'!$A:$M,13,FALSE)),"")</f>
        <v/>
      </c>
      <c r="O55" s="184" t="str">
        <f>IFERROR(IF(VLOOKUP(Thu_W1[[#This Row],[Employee Name]],'Base Schedules'!$A:$N,14,FALSE)="","",VLOOKUP(Thu_W1[[#This Row],[Employee Name]],'Base Schedules'!$A:$N,14,FALSE)),"")</f>
        <v/>
      </c>
      <c r="P55" s="184" t="str">
        <f>IFERROR(IF(VLOOKUP(Thu_W1[[#This Row],[Employee Name]],'Base Schedules'!$A:$O,15,FALSE)="","",VLOOKUP(Thu_W1[[#This Row],[Employee Name]],'Base Schedules'!$A:$O,15,FALSE)),"")</f>
        <v/>
      </c>
      <c r="Q55" s="184" t="str">
        <f>IFERROR(IF(VLOOKUP(Thu_W1[[#This Row],[Employee Name]],'Base Schedules'!$A:$P,16,FALSE)="","",VLOOKUP(Thu_W1[[#This Row],[Employee Name]],'Base Schedules'!$A:$P,16,FALSE)),"")</f>
        <v/>
      </c>
      <c r="R55" s="184" t="str">
        <f>IFERROR(IF(VLOOKUP(Thu_W1[[#This Row],[Employee Name]],'Base Schedules'!$A:$Q,17,FALSE)="","",VLOOKUP(Thu_W1[[#This Row],[Employee Name]],'Base Schedules'!$A:$Q,17,FALSE)),"")</f>
        <v/>
      </c>
      <c r="S55" s="184" t="str">
        <f>IFERROR(IF(VLOOKUP(Thu_W1[[#This Row],[Employee Name]],'Base Schedules'!$A:$R,18,FALSE)="","",VLOOKUP(Thu_W1[[#This Row],[Employee Name]],'Base Schedules'!$A:$R,18,FALSE)),"")</f>
        <v/>
      </c>
      <c r="T55" s="184" t="str">
        <f>IFERROR(IF(VLOOKUP(Thu_W1[[#This Row],[Employee Name]],'Base Schedules'!$A:$S,19,FALSE)="","",VLOOKUP(Thu_W1[[#This Row],[Employee Name]],'Base Schedules'!$A:$S,19,FALSE)),"")</f>
        <v/>
      </c>
      <c r="U55" s="184" t="str">
        <f>IFERROR(IF(VLOOKUP(Thu_W1[[#This Row],[Employee Name]],'Base Schedules'!$A:$T,20,FALSE)="","",VLOOKUP(Thu_W1[[#This Row],[Employee Name]],'Base Schedules'!$A:$T,20,FALSE)),"")</f>
        <v/>
      </c>
      <c r="V55" s="184" t="str">
        <f>IFERROR(IF(VLOOKUP(Thu_W1[[#This Row],[Employee Name]],'Base Schedules'!$A:$U,21,FALSE)="","",VLOOKUP(Thu_W1[[#This Row],[Employee Name]],'Base Schedules'!$A:$U,21,FALSE)),"")</f>
        <v/>
      </c>
      <c r="W55" s="184" t="str">
        <f>IFERROR(IF(VLOOKUP(Thu_W1[[#This Row],[Employee Name]],'Base Schedules'!$A:$V,22,FALSE)="","",VLOOKUP(Thu_W1[[#This Row],[Employee Name]],'Base Schedules'!$A:$V,22,FALSE)),"")</f>
        <v/>
      </c>
      <c r="X55" s="184" t="str">
        <f>IFERROR(IF(VLOOKUP(Thu_W1[[#This Row],[Employee Name]],'Base Schedules'!$A:$W,23,FALSE)="","",VLOOKUP(Thu_W1[[#This Row],[Employee Name]],'Base Schedules'!$A:$W,23,FALSE)),"")</f>
        <v/>
      </c>
      <c r="Y55" s="184" t="str">
        <f>IFERROR(IF(VLOOKUP(Thu_W1[[#This Row],[Employee Name]],'Base Schedules'!$A:$X,24,FALSE)="","",VLOOKUP(Thu_W1[[#This Row],[Employee Name]],'Base Schedules'!$A:$X,24,FALSE)),"")</f>
        <v/>
      </c>
      <c r="Z55" s="184" t="str">
        <f>IFERROR(IF(VLOOKUP(Thu_W1[[#This Row],[Employee Name]],'Base Schedules'!$A:$Y,25,FALSE)="","",VLOOKUP(Thu_W1[[#This Row],[Employee Name]],'Base Schedules'!$A:$Y,25,FALSE)),"")</f>
        <v/>
      </c>
      <c r="AA55" s="184" t="str">
        <f>IFERROR(IF(VLOOKUP(Thu_W1[[#This Row],[Employee Name]],'Base Schedules'!$A:$Z,26,FALSE)="","",VLOOKUP(Thu_W1[[#This Row],[Employee Name]],'Base Schedules'!$A:$Z,26,FALSE)),"")</f>
        <v/>
      </c>
      <c r="AB55" s="184" t="str">
        <f>IFERROR(IF(VLOOKUP(Thu_W1[[#This Row],[Employee Name]],'Base Schedules'!$A:$AA,27,FALSE)="","",VLOOKUP(Thu_W1[[#This Row],[Employee Name]],'Base Schedules'!$A:$AA,27,FALSE)),"")</f>
        <v/>
      </c>
      <c r="AC55" s="184" t="str">
        <f>IFERROR(IF(VLOOKUP(Thu_W1[[#This Row],[Employee Name]],'Base Schedules'!$A:$AB,28,FALSE)="","",VLOOKUP(Thu_W1[[#This Row],[Employee Name]],'Base Schedules'!$A:$AB,28,FALSE)),"")</f>
        <v/>
      </c>
      <c r="AD55" s="184" t="str">
        <f>IFERROR(IF(VLOOKUP(Thu_W1[[#This Row],[Employee Name]],'Base Schedules'!$A:$AC,29,FALSE)="","",VLOOKUP(Thu_W1[[#This Row],[Employee Name]],'Base Schedules'!$A:$AC,29,FALSE)),"")</f>
        <v/>
      </c>
      <c r="AE55" s="184" t="str">
        <f>IFERROR(IF(VLOOKUP(Thu_W1[[#This Row],[Employee Name]],'Base Schedules'!$A:$AD,30,FALSE)="","",VLOOKUP(Thu_W1[[#This Row],[Employee Name]],'Base Schedules'!$A:$AD,30,FALSE)),"")</f>
        <v/>
      </c>
      <c r="AF55" s="184" t="str">
        <f>IFERROR(IF(VLOOKUP(Thu_W1[[#This Row],[Employee Name]],'Base Schedules'!$A:$AE,31,FALSE)="","",VLOOKUP(Thu_W1[[#This Row],[Employee Name]],'Base Schedules'!$A:$AE,31,FALSE)),"")</f>
        <v/>
      </c>
      <c r="AG55" s="184" t="str">
        <f>IFERROR(IF(VLOOKUP(Thu_W1[[#This Row],[Employee Name]],'Base Schedules'!$A:$AF,32,FALSE)="","",VLOOKUP(Thu_W1[[#This Row],[Employee Name]],'Base Schedules'!$A:$AF,32,FALSE)),"")</f>
        <v/>
      </c>
      <c r="AH55" s="184" t="str">
        <f>IFERROR(IF(VLOOKUP(Thu_W1[[#This Row],[Employee Name]],'Base Schedules'!$A:$AG,33,FALSE)="","",VLOOKUP(Thu_W1[[#This Row],[Employee Name]],'Base Schedules'!$A:$AG,33,FALSE)),"")</f>
        <v/>
      </c>
      <c r="AI55" s="184" t="str">
        <f>IFERROR(IF(VLOOKUP(Thu_W1[[#This Row],[Employee Name]],'Base Schedules'!$A:$AH,34,FALSE)="","",VLOOKUP(Thu_W1[[#This Row],[Employee Name]],'Base Schedules'!$A:$AH,34,FALSE)),"")</f>
        <v/>
      </c>
      <c r="AJ55" s="184" t="str">
        <f>IFERROR(IF(VLOOKUP(Thu_W1[[#This Row],[Employee Name]],'Base Schedules'!$A:$AI,35,FALSE)="","",VLOOKUP(Thu_W1[[#This Row],[Employee Name]],'Base Schedules'!$A:$AI,35,FALSE)),"")</f>
        <v/>
      </c>
      <c r="AK55" s="184" t="str">
        <f>IFERROR(IF(VLOOKUP(Thu_W1[[#This Row],[Employee Name]],'Base Schedules'!$A:$AJ,36,FALSE)="","",VLOOKUP(Thu_W1[[#This Row],[Employee Name]],'Base Schedules'!$A:$AJ,36,FALSE)),"")</f>
        <v/>
      </c>
      <c r="AL55" s="184" t="str">
        <f>IFERROR(IF(VLOOKUP(Thu_W1[[#This Row],[Employee Name]],'Base Schedules'!$A:$AK,37,FALSE)="","",VLOOKUP(Thu_W1[[#This Row],[Employee Name]],'Base Schedules'!$A:$AK,37,FALSE)),"")</f>
        <v/>
      </c>
      <c r="AM55" s="184" t="str">
        <f>IFERROR(IF(VLOOKUP(Thu_W1[[#This Row],[Employee Name]],'Base Schedules'!$A:$AL,38,FALSE)="","",VLOOKUP(Thu_W1[[#This Row],[Employee Name]],'Base Schedules'!$A:$AL,38,FALSE)),"")</f>
        <v/>
      </c>
      <c r="AN55" s="184" t="str">
        <f>IFERROR(IF(VLOOKUP(Thu_W1[[#This Row],[Employee Name]],'Base Schedules'!$A:$AM,39,FALSE)="","",VLOOKUP(Thu_W1[[#This Row],[Employee Name]],'Base Schedules'!$A:$AM,39,FALSE)),"")</f>
        <v/>
      </c>
      <c r="AO55" s="184" t="str">
        <f>IFERROR(IF(VLOOKUP(Thu_W1[[#This Row],[Employee Name]],'Base Schedules'!$A:$AN,40,FALSE)="","",VLOOKUP(Thu_W1[[#This Row],[Employee Name]],'Base Schedules'!$A:$AN,40,FALSE)),"")</f>
        <v/>
      </c>
      <c r="AP55" s="184" t="str">
        <f>IFERROR(IF(VLOOKUP(Thu_W1[[#This Row],[Employee Name]],'Base Schedules'!$A:$AO,41,FALSE)="","",VLOOKUP(Thu_W1[[#This Row],[Employee Name]],'Base Schedules'!$A:$AO,41,FALSE)),"")</f>
        <v/>
      </c>
      <c r="AQ55" s="184" t="str">
        <f>IFERROR(IF(VLOOKUP(Thu_W1[[#This Row],[Employee Name]],'Base Schedules'!$A:$AP,42,FALSE)="","",VLOOKUP(Thu_W1[[#This Row],[Employee Name]],'Base Schedules'!$A:$AP,42,FALSE)),"")</f>
        <v/>
      </c>
      <c r="AR55" s="184" t="str">
        <f>IFERROR(IF(VLOOKUP(Thu_W1[[#This Row],[Employee Name]],'Base Schedules'!$A:$AQ,43,FALSE)="","",VLOOKUP(Thu_W1[[#This Row],[Employee Name]],'Base Schedules'!$A:$AQ,43,FALSE)),"")</f>
        <v/>
      </c>
      <c r="AS55" s="184" t="str">
        <f>IFERROR(IF(VLOOKUP(Thu_W1[[#This Row],[Employee Name]],'Base Schedules'!$A:$AR,44,FALSE)="","",VLOOKUP(Thu_W1[[#This Row],[Employee Name]],'Base Schedules'!$A:$AR,44,FALSE)),"")</f>
        <v/>
      </c>
      <c r="AT55" s="184" t="str">
        <f>IFERROR(IF(VLOOKUP(Thu_W1[[#This Row],[Employee Name]],'Base Schedules'!$A:$AS,45,FALSE)="","",VLOOKUP(Thu_W1[[#This Row],[Employee Name]],'Base Schedules'!$A:$AS,45,FALSE)),"")</f>
        <v/>
      </c>
      <c r="AU55" s="184" t="str">
        <f>IFERROR(IF(VLOOKUP(Thu_W1[[#This Row],[Employee Name]],'Base Schedules'!$A:$AT,46,FALSE)="","",VLOOKUP(Thu_W1[[#This Row],[Employee Name]],'Base Schedules'!$A:$AT,46,FALSE)),"")</f>
        <v/>
      </c>
      <c r="AV55" s="184" t="str">
        <f>IFERROR(IF(VLOOKUP(Thu_W1[[#This Row],[Employee Name]],'Base Schedules'!$A:$AU,47,FALSE)="","",VLOOKUP(Thu_W1[[#This Row],[Employee Name]],'Base Schedules'!$A:$AU,47,FALSE)),"")</f>
        <v/>
      </c>
      <c r="AW55" s="184" t="str">
        <f>IFERROR(IF(VLOOKUP(Thu_W1[[#This Row],[Employee Name]],'Base Schedules'!$A:$AV,48,FALSE)="","",VLOOKUP(Thu_W1[[#This Row],[Employee Name]],'Base Schedules'!$A:$AV,48,FALSE)),"")</f>
        <v/>
      </c>
      <c r="AX55" s="184" t="str">
        <f>IFERROR(IF(VLOOKUP(Wed_W1[[#This Row],[Employee Name]],'Base Schedules'!$A$243:$AW$281,49,FALSE)="","",VLOOKUP(Wed_W1[[#This Row],[Employee Name]],'Base Schedules'!$A$243:$AW$281,49,FALSE)),"")</f>
        <v/>
      </c>
      <c r="AY55" s="164" t="str">
        <f t="shared" si="2"/>
        <v/>
      </c>
    </row>
    <row r="56" spans="1:52" s="44" customFormat="1" hidden="1" thickBot="1" x14ac:dyDescent="0.25">
      <c r="A56" s="39" t="str">
        <f>IF(B56="","",INDEX(TeamList[],MATCH($B56,TeamList[[Employee Name]:[Employee Name]],0),MATCH("Manager",TeamList[#Headers],0)))</f>
        <v/>
      </c>
      <c r="B56" s="201"/>
      <c r="C56" s="257" t="str">
        <f>_xlfn.IFNA(VLOOKUP(Thu_W1[[#This Row],[Employee Name]],'Base Schedules'!A:B,2,FALSE),"")</f>
        <v/>
      </c>
      <c r="D56" s="274" t="str">
        <f>_xlfn.IFNA(VLOOKUP(Thu_W1[[#This Row],[Employee Name]],'Base Schedules'!A:C,3,FALSE),"")</f>
        <v/>
      </c>
      <c r="E56" s="274" t="str">
        <f>_xlfn.IFNA(VLOOKUP(Thu_W1[[#This Row],[Employee Name]],'Base Schedules'!A:D,4,FALSE),"")</f>
        <v/>
      </c>
      <c r="F56" s="142" t="str">
        <f>IF(Thu_W1[[#This Row],[Employee Name]]="","",IF(Thu_W1[[#This Row],[Dept]]="Supervisor",COUNTIFS($J56:$AX56,"*HL*",$J56:$AX56,"&lt;&gt;"&amp;"pHL"),COUNTIFS($J56:$AX56,"*HL*",$J56:$AX56,"&lt;&gt;"&amp;"*pHL*",$J56:$AX56,"&lt;&gt;"&amp;"pB1 HL",$J56:$AX56,"&lt;&gt;"&amp;"pB2 HL")-SUM(COUNTIFS($J56:$AX56,"*HL B1*",$J56:$AX56,"&lt;&gt;"&amp;"pHL B1")*0.5,COUNTIFS($J56:$AX56,"*HL B2*",$J56:$AX56,"&lt;&gt;"&amp;"pHL B2")*0.5,COUNTIFS($J56:$AX56,"*B1 HL*",$J56:$AX56,"&lt;&gt;"&amp;"pB1 HL")*0.5,COUNTIFS($J56:$AX56,"*B2 HL*",$J56:$AX56,"&lt;&gt;"&amp;"pB2 HL")*0.5)))</f>
        <v/>
      </c>
      <c r="G56" s="142" t="str">
        <f t="shared" si="4"/>
        <v/>
      </c>
      <c r="H56" s="142" t="str">
        <f t="shared" si="1"/>
        <v/>
      </c>
      <c r="I56" s="142" t="str">
        <f>IF(Thu_W1[[#This Row],[Employee Name]]="","",IF(Thu_W1[[#This Row],[Dept]]="Supervisor",SUM(COUNTIFS($J56:$AX56,"RTA*",$J56:$AX56,"&lt;&gt;"&amp;"pRTA"),COUNTIFS($J56:$AX56,"*CRTA*",$J56:$AX56,"&lt;&gt;"&amp;"pCRTA")),COUNTIFS($J56:$AX56,"*RNNR*",$J56:$AX56,"&lt;&gt;"&amp;"*pRNNR*",$J56:$AX56,"&lt;&gt;"&amp;"pB1 RNNR",$J56:$AX56,"&lt;&gt;"&amp;"pB2 RNNR")-SUM(COUNTIFS($J56:$AX56,"*RNNR B1*",$J56:$AX56,"&lt;&gt;"&amp;"pRNNR B1")*0.5,COUNTIFS($J56:$AX56,"*RNNR B2*",$J56:$AX56,"&lt;&gt;"&amp;"pRNNR B2")*0.5,COUNTIFS($J56:$AX56,"*B1 RNNR*",$J56:$AX56,"&lt;&gt;"&amp;"pB1 RNNR")*0.5,COUNTIFS($J56:$AX56,"*B2 RNNR*",$J56:$AX56,"&lt;&gt;"&amp;"pB2 RNNR")*0.5)))</f>
        <v/>
      </c>
      <c r="J56" s="184" t="str">
        <f>IFERROR(IF(VLOOKUP(Thu_W1[[#This Row],[Employee Name]],'Base Schedules'!$A:$I,9,FALSE)="","",VLOOKUP(Thu_W1[[#This Row],[Employee Name]],'Base Schedules'!$A:$I,9,FALSE)),"")</f>
        <v/>
      </c>
      <c r="K56" s="184" t="str">
        <f>IFERROR(IF(VLOOKUP(Thu_W1[[#This Row],[Employee Name]],'Base Schedules'!$A:$J,10,FALSE)="","",VLOOKUP(Thu_W1[[#This Row],[Employee Name]],'Base Schedules'!$A:$J,10,FALSE)),"")</f>
        <v/>
      </c>
      <c r="L56" s="184" t="str">
        <f>IFERROR(IF(VLOOKUP(Thu_W1[[#This Row],[Employee Name]],'Base Schedules'!$A:$K,11,FALSE)="","",VLOOKUP(Thu_W1[[#This Row],[Employee Name]],'Base Schedules'!$A:$K,11,FALSE)),"")</f>
        <v/>
      </c>
      <c r="M56" s="184" t="str">
        <f>IFERROR(IF(VLOOKUP(Thu_W1[[#This Row],[Employee Name]],'Base Schedules'!$A:$L,12,FALSE)="","",VLOOKUP(Thu_W1[[#This Row],[Employee Name]],'Base Schedules'!$A:$L,12,FALSE)),"")</f>
        <v/>
      </c>
      <c r="N56" s="184" t="str">
        <f>IFERROR(IF(VLOOKUP(Thu_W1[[#This Row],[Employee Name]],'Base Schedules'!$A:$M,13,FALSE)="","",VLOOKUP(Thu_W1[[#This Row],[Employee Name]],'Base Schedules'!$A:$M,13,FALSE)),"")</f>
        <v/>
      </c>
      <c r="O56" s="184" t="str">
        <f>IFERROR(IF(VLOOKUP(Thu_W1[[#This Row],[Employee Name]],'Base Schedules'!$A:$N,14,FALSE)="","",VLOOKUP(Thu_W1[[#This Row],[Employee Name]],'Base Schedules'!$A:$N,14,FALSE)),"")</f>
        <v/>
      </c>
      <c r="P56" s="184" t="str">
        <f>IFERROR(IF(VLOOKUP(Thu_W1[[#This Row],[Employee Name]],'Base Schedules'!$A:$O,15,FALSE)="","",VLOOKUP(Thu_W1[[#This Row],[Employee Name]],'Base Schedules'!$A:$O,15,FALSE)),"")</f>
        <v/>
      </c>
      <c r="Q56" s="184" t="str">
        <f>IFERROR(IF(VLOOKUP(Thu_W1[[#This Row],[Employee Name]],'Base Schedules'!$A:$P,16,FALSE)="","",VLOOKUP(Thu_W1[[#This Row],[Employee Name]],'Base Schedules'!$A:$P,16,FALSE)),"")</f>
        <v/>
      </c>
      <c r="R56" s="184" t="str">
        <f>IFERROR(IF(VLOOKUP(Thu_W1[[#This Row],[Employee Name]],'Base Schedules'!$A:$Q,17,FALSE)="","",VLOOKUP(Thu_W1[[#This Row],[Employee Name]],'Base Schedules'!$A:$Q,17,FALSE)),"")</f>
        <v/>
      </c>
      <c r="S56" s="184" t="str">
        <f>IFERROR(IF(VLOOKUP(Thu_W1[[#This Row],[Employee Name]],'Base Schedules'!$A:$R,18,FALSE)="","",VLOOKUP(Thu_W1[[#This Row],[Employee Name]],'Base Schedules'!$A:$R,18,FALSE)),"")</f>
        <v/>
      </c>
      <c r="T56" s="184" t="str">
        <f>IFERROR(IF(VLOOKUP(Thu_W1[[#This Row],[Employee Name]],'Base Schedules'!$A:$S,19,FALSE)="","",VLOOKUP(Thu_W1[[#This Row],[Employee Name]],'Base Schedules'!$A:$S,19,FALSE)),"")</f>
        <v/>
      </c>
      <c r="U56" s="184" t="str">
        <f>IFERROR(IF(VLOOKUP(Thu_W1[[#This Row],[Employee Name]],'Base Schedules'!$A:$T,20,FALSE)="","",VLOOKUP(Thu_W1[[#This Row],[Employee Name]],'Base Schedules'!$A:$T,20,FALSE)),"")</f>
        <v/>
      </c>
      <c r="V56" s="184" t="str">
        <f>IFERROR(IF(VLOOKUP(Thu_W1[[#This Row],[Employee Name]],'Base Schedules'!$A:$U,21,FALSE)="","",VLOOKUP(Thu_W1[[#This Row],[Employee Name]],'Base Schedules'!$A:$U,21,FALSE)),"")</f>
        <v/>
      </c>
      <c r="W56" s="184" t="str">
        <f>IFERROR(IF(VLOOKUP(Thu_W1[[#This Row],[Employee Name]],'Base Schedules'!$A:$V,22,FALSE)="","",VLOOKUP(Thu_W1[[#This Row],[Employee Name]],'Base Schedules'!$A:$V,22,FALSE)),"")</f>
        <v/>
      </c>
      <c r="X56" s="184" t="str">
        <f>IFERROR(IF(VLOOKUP(Thu_W1[[#This Row],[Employee Name]],'Base Schedules'!$A:$W,23,FALSE)="","",VLOOKUP(Thu_W1[[#This Row],[Employee Name]],'Base Schedules'!$A:$W,23,FALSE)),"")</f>
        <v/>
      </c>
      <c r="Y56" s="184" t="str">
        <f>IFERROR(IF(VLOOKUP(Thu_W1[[#This Row],[Employee Name]],'Base Schedules'!$A:$X,24,FALSE)="","",VLOOKUP(Thu_W1[[#This Row],[Employee Name]],'Base Schedules'!$A:$X,24,FALSE)),"")</f>
        <v/>
      </c>
      <c r="Z56" s="184" t="str">
        <f>IFERROR(IF(VLOOKUP(Thu_W1[[#This Row],[Employee Name]],'Base Schedules'!$A:$Y,25,FALSE)="","",VLOOKUP(Thu_W1[[#This Row],[Employee Name]],'Base Schedules'!$A:$Y,25,FALSE)),"")</f>
        <v/>
      </c>
      <c r="AA56" s="184" t="str">
        <f>IFERROR(IF(VLOOKUP(Thu_W1[[#This Row],[Employee Name]],'Base Schedules'!$A:$Z,26,FALSE)="","",VLOOKUP(Thu_W1[[#This Row],[Employee Name]],'Base Schedules'!$A:$Z,26,FALSE)),"")</f>
        <v/>
      </c>
      <c r="AB56" s="184" t="str">
        <f>IFERROR(IF(VLOOKUP(Thu_W1[[#This Row],[Employee Name]],'Base Schedules'!$A:$AA,27,FALSE)="","",VLOOKUP(Thu_W1[[#This Row],[Employee Name]],'Base Schedules'!$A:$AA,27,FALSE)),"")</f>
        <v/>
      </c>
      <c r="AC56" s="184" t="str">
        <f>IFERROR(IF(VLOOKUP(Thu_W1[[#This Row],[Employee Name]],'Base Schedules'!$A:$AB,28,FALSE)="","",VLOOKUP(Thu_W1[[#This Row],[Employee Name]],'Base Schedules'!$A:$AB,28,FALSE)),"")</f>
        <v/>
      </c>
      <c r="AD56" s="184" t="str">
        <f>IFERROR(IF(VLOOKUP(Thu_W1[[#This Row],[Employee Name]],'Base Schedules'!$A:$AC,29,FALSE)="","",VLOOKUP(Thu_W1[[#This Row],[Employee Name]],'Base Schedules'!$A:$AC,29,FALSE)),"")</f>
        <v/>
      </c>
      <c r="AE56" s="184" t="str">
        <f>IFERROR(IF(VLOOKUP(Thu_W1[[#This Row],[Employee Name]],'Base Schedules'!$A:$AD,30,FALSE)="","",VLOOKUP(Thu_W1[[#This Row],[Employee Name]],'Base Schedules'!$A:$AD,30,FALSE)),"")</f>
        <v/>
      </c>
      <c r="AF56" s="184" t="str">
        <f>IFERROR(IF(VLOOKUP(Thu_W1[[#This Row],[Employee Name]],'Base Schedules'!$A:$AE,31,FALSE)="","",VLOOKUP(Thu_W1[[#This Row],[Employee Name]],'Base Schedules'!$A:$AE,31,FALSE)),"")</f>
        <v/>
      </c>
      <c r="AG56" s="184" t="str">
        <f>IFERROR(IF(VLOOKUP(Thu_W1[[#This Row],[Employee Name]],'Base Schedules'!$A:$AF,32,FALSE)="","",VLOOKUP(Thu_W1[[#This Row],[Employee Name]],'Base Schedules'!$A:$AF,32,FALSE)),"")</f>
        <v/>
      </c>
      <c r="AH56" s="184" t="str">
        <f>IFERROR(IF(VLOOKUP(Thu_W1[[#This Row],[Employee Name]],'Base Schedules'!$A:$AG,33,FALSE)="","",VLOOKUP(Thu_W1[[#This Row],[Employee Name]],'Base Schedules'!$A:$AG,33,FALSE)),"")</f>
        <v/>
      </c>
      <c r="AI56" s="184" t="str">
        <f>IFERROR(IF(VLOOKUP(Thu_W1[[#This Row],[Employee Name]],'Base Schedules'!$A:$AH,34,FALSE)="","",VLOOKUP(Thu_W1[[#This Row],[Employee Name]],'Base Schedules'!$A:$AH,34,FALSE)),"")</f>
        <v/>
      </c>
      <c r="AJ56" s="184" t="str">
        <f>IFERROR(IF(VLOOKUP(Thu_W1[[#This Row],[Employee Name]],'Base Schedules'!$A:$AI,35,FALSE)="","",VLOOKUP(Thu_W1[[#This Row],[Employee Name]],'Base Schedules'!$A:$AI,35,FALSE)),"")</f>
        <v/>
      </c>
      <c r="AK56" s="184" t="str">
        <f>IFERROR(IF(VLOOKUP(Thu_W1[[#This Row],[Employee Name]],'Base Schedules'!$A:$AJ,36,FALSE)="","",VLOOKUP(Thu_W1[[#This Row],[Employee Name]],'Base Schedules'!$A:$AJ,36,FALSE)),"")</f>
        <v/>
      </c>
      <c r="AL56" s="184" t="str">
        <f>IFERROR(IF(VLOOKUP(Thu_W1[[#This Row],[Employee Name]],'Base Schedules'!$A:$AK,37,FALSE)="","",VLOOKUP(Thu_W1[[#This Row],[Employee Name]],'Base Schedules'!$A:$AK,37,FALSE)),"")</f>
        <v/>
      </c>
      <c r="AM56" s="184" t="str">
        <f>IFERROR(IF(VLOOKUP(Thu_W1[[#This Row],[Employee Name]],'Base Schedules'!$A:$AL,38,FALSE)="","",VLOOKUP(Thu_W1[[#This Row],[Employee Name]],'Base Schedules'!$A:$AL,38,FALSE)),"")</f>
        <v/>
      </c>
      <c r="AN56" s="184" t="str">
        <f>IFERROR(IF(VLOOKUP(Thu_W1[[#This Row],[Employee Name]],'Base Schedules'!$A:$AM,39,FALSE)="","",VLOOKUP(Thu_W1[[#This Row],[Employee Name]],'Base Schedules'!$A:$AM,39,FALSE)),"")</f>
        <v/>
      </c>
      <c r="AO56" s="184" t="str">
        <f>IFERROR(IF(VLOOKUP(Thu_W1[[#This Row],[Employee Name]],'Base Schedules'!$A:$AN,40,FALSE)="","",VLOOKUP(Thu_W1[[#This Row],[Employee Name]],'Base Schedules'!$A:$AN,40,FALSE)),"")</f>
        <v/>
      </c>
      <c r="AP56" s="184" t="str">
        <f>IFERROR(IF(VLOOKUP(Thu_W1[[#This Row],[Employee Name]],'Base Schedules'!$A:$AO,41,FALSE)="","",VLOOKUP(Thu_W1[[#This Row],[Employee Name]],'Base Schedules'!$A:$AO,41,FALSE)),"")</f>
        <v/>
      </c>
      <c r="AQ56" s="184" t="str">
        <f>IFERROR(IF(VLOOKUP(Thu_W1[[#This Row],[Employee Name]],'Base Schedules'!$A:$AP,42,FALSE)="","",VLOOKUP(Thu_W1[[#This Row],[Employee Name]],'Base Schedules'!$A:$AP,42,FALSE)),"")</f>
        <v/>
      </c>
      <c r="AR56" s="184" t="str">
        <f>IFERROR(IF(VLOOKUP(Thu_W1[[#This Row],[Employee Name]],'Base Schedules'!$A:$AQ,43,FALSE)="","",VLOOKUP(Thu_W1[[#This Row],[Employee Name]],'Base Schedules'!$A:$AQ,43,FALSE)),"")</f>
        <v/>
      </c>
      <c r="AS56" s="184" t="str">
        <f>IFERROR(IF(VLOOKUP(Thu_W1[[#This Row],[Employee Name]],'Base Schedules'!$A:$AR,44,FALSE)="","",VLOOKUP(Thu_W1[[#This Row],[Employee Name]],'Base Schedules'!$A:$AR,44,FALSE)),"")</f>
        <v/>
      </c>
      <c r="AT56" s="184" t="str">
        <f>IFERROR(IF(VLOOKUP(Thu_W1[[#This Row],[Employee Name]],'Base Schedules'!$A:$AS,45,FALSE)="","",VLOOKUP(Thu_W1[[#This Row],[Employee Name]],'Base Schedules'!$A:$AS,45,FALSE)),"")</f>
        <v/>
      </c>
      <c r="AU56" s="184" t="str">
        <f>IFERROR(IF(VLOOKUP(Thu_W1[[#This Row],[Employee Name]],'Base Schedules'!$A:$AT,46,FALSE)="","",VLOOKUP(Thu_W1[[#This Row],[Employee Name]],'Base Schedules'!$A:$AT,46,FALSE)),"")</f>
        <v/>
      </c>
      <c r="AV56" s="184" t="str">
        <f>IFERROR(IF(VLOOKUP(Thu_W1[[#This Row],[Employee Name]],'Base Schedules'!$A:$AU,47,FALSE)="","",VLOOKUP(Thu_W1[[#This Row],[Employee Name]],'Base Schedules'!$A:$AU,47,FALSE)),"")</f>
        <v/>
      </c>
      <c r="AW56" s="184" t="str">
        <f>IFERROR(IF(VLOOKUP(Thu_W1[[#This Row],[Employee Name]],'Base Schedules'!$A:$AV,48,FALSE)="","",VLOOKUP(Thu_W1[[#This Row],[Employee Name]],'Base Schedules'!$A:$AV,48,FALSE)),"")</f>
        <v/>
      </c>
      <c r="AX56" s="184" t="str">
        <f>IFERROR(IF(VLOOKUP(Wed_W1[[#This Row],[Employee Name]],'Base Schedules'!$A$243:$AW$281,49,FALSE)="","",VLOOKUP(Wed_W1[[#This Row],[Employee Name]],'Base Schedules'!$A$243:$AW$281,49,FALSE)),"")</f>
        <v/>
      </c>
      <c r="AY56" s="164" t="str">
        <f t="shared" si="2"/>
        <v/>
      </c>
    </row>
    <row r="57" spans="1:52" ht="7.5" customHeight="1" thickBot="1" x14ac:dyDescent="0.25">
      <c r="B57" s="363"/>
      <c r="C57" s="363"/>
      <c r="D57" s="364"/>
      <c r="E57" s="364"/>
      <c r="F57" s="360"/>
      <c r="G57" s="30"/>
      <c r="H57" s="30"/>
      <c r="I57" s="30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3"/>
    </row>
    <row r="58" spans="1:52" ht="12.75" customHeight="1" thickBot="1" x14ac:dyDescent="0.25">
      <c r="B58" s="20"/>
      <c r="C58" s="21"/>
      <c r="D58" s="21"/>
      <c r="E58" s="21" t="s">
        <v>92</v>
      </c>
      <c r="F58" s="22">
        <f>SUM(F9:F56)</f>
        <v>114</v>
      </c>
      <c r="G58" s="362">
        <f>SUM(G9:G56)</f>
        <v>61</v>
      </c>
      <c r="H58" s="21">
        <f>SUM(H9:H56)</f>
        <v>111</v>
      </c>
      <c r="I58" s="21">
        <f>SUM(I9:I56)</f>
        <v>24</v>
      </c>
      <c r="J58" s="27">
        <v>500</v>
      </c>
      <c r="K58" s="27">
        <v>530</v>
      </c>
      <c r="L58" s="27">
        <v>600</v>
      </c>
      <c r="M58" s="27">
        <v>630</v>
      </c>
      <c r="N58" s="27">
        <v>700</v>
      </c>
      <c r="O58" s="27">
        <v>730</v>
      </c>
      <c r="P58" s="27">
        <v>800</v>
      </c>
      <c r="Q58" s="27">
        <v>830</v>
      </c>
      <c r="R58" s="27">
        <v>900</v>
      </c>
      <c r="S58" s="27">
        <v>930</v>
      </c>
      <c r="T58" s="27">
        <v>1000</v>
      </c>
      <c r="U58" s="27">
        <v>1030</v>
      </c>
      <c r="V58" s="27">
        <v>1100</v>
      </c>
      <c r="W58" s="27">
        <v>1130</v>
      </c>
      <c r="X58" s="27">
        <v>1200</v>
      </c>
      <c r="Y58" s="27">
        <v>1230</v>
      </c>
      <c r="Z58" s="27">
        <v>1300</v>
      </c>
      <c r="AA58" s="27">
        <v>1330</v>
      </c>
      <c r="AB58" s="27">
        <v>1400</v>
      </c>
      <c r="AC58" s="27">
        <v>1430</v>
      </c>
      <c r="AD58" s="27">
        <v>1500</v>
      </c>
      <c r="AE58" s="27">
        <v>1530</v>
      </c>
      <c r="AF58" s="27">
        <v>1600</v>
      </c>
      <c r="AG58" s="27">
        <v>1630</v>
      </c>
      <c r="AH58" s="27">
        <v>1700</v>
      </c>
      <c r="AI58" s="27">
        <v>1730</v>
      </c>
      <c r="AJ58" s="27">
        <v>1800</v>
      </c>
      <c r="AK58" s="27">
        <v>1830</v>
      </c>
      <c r="AL58" s="27">
        <v>1900</v>
      </c>
      <c r="AM58" s="27">
        <v>1930</v>
      </c>
      <c r="AN58" s="27">
        <v>2000</v>
      </c>
      <c r="AO58" s="27">
        <v>2030</v>
      </c>
      <c r="AP58" s="27">
        <v>2100</v>
      </c>
      <c r="AQ58" s="27">
        <v>2130</v>
      </c>
      <c r="AR58" s="27">
        <v>2200</v>
      </c>
      <c r="AS58" s="27">
        <v>2230</v>
      </c>
      <c r="AT58" s="27">
        <v>2300</v>
      </c>
      <c r="AU58" s="27">
        <v>2330</v>
      </c>
      <c r="AV58" s="27">
        <v>0</v>
      </c>
      <c r="AW58" s="27">
        <v>30</v>
      </c>
      <c r="AX58" s="221" t="s">
        <v>365</v>
      </c>
      <c r="AY58" s="222" t="s">
        <v>2</v>
      </c>
    </row>
    <row r="59" spans="1:52" ht="6" customHeight="1" thickBot="1" x14ac:dyDescent="0.25">
      <c r="F59" s="258"/>
      <c r="G59" s="224"/>
      <c r="H59" s="224"/>
      <c r="I59" s="225"/>
      <c r="J59" s="224"/>
      <c r="K59" s="224"/>
      <c r="L59" s="224"/>
      <c r="M59" s="224"/>
      <c r="N59" s="224"/>
      <c r="O59" s="224"/>
      <c r="P59" s="224"/>
      <c r="Q59" s="224"/>
      <c r="R59" s="224"/>
      <c r="S59" s="224"/>
      <c r="T59" s="224"/>
      <c r="U59" s="224"/>
      <c r="V59" s="224"/>
      <c r="W59" s="224"/>
      <c r="X59" s="224"/>
      <c r="Y59" s="224"/>
      <c r="Z59" s="224"/>
      <c r="AA59" s="224"/>
      <c r="AB59" s="224"/>
      <c r="AC59" s="224"/>
      <c r="AD59" s="224"/>
      <c r="AE59" s="224"/>
      <c r="AF59" s="224"/>
      <c r="AG59" s="224"/>
      <c r="AH59" s="224"/>
      <c r="AI59" s="224"/>
      <c r="AJ59" s="224"/>
      <c r="AK59" s="224"/>
      <c r="AL59" s="224"/>
      <c r="AM59" s="224"/>
      <c r="AN59" s="224"/>
      <c r="AO59" s="224"/>
      <c r="AP59" s="224"/>
      <c r="AQ59" s="224"/>
      <c r="AR59" s="224"/>
      <c r="AS59" s="224"/>
      <c r="AT59" s="224"/>
      <c r="AU59" s="224"/>
      <c r="AV59" s="224"/>
      <c r="AW59" s="225"/>
      <c r="AX59" s="226">
        <f>SUM(J59:AW59)</f>
        <v>0</v>
      </c>
      <c r="AY59" s="227">
        <f t="shared" ref="AY59" si="5">G59</f>
        <v>0</v>
      </c>
    </row>
    <row r="60" spans="1:52" ht="18.75" x14ac:dyDescent="0.3">
      <c r="B60" s="484" t="s">
        <v>368</v>
      </c>
      <c r="C60" s="484"/>
      <c r="D60" s="453"/>
      <c r="E60" s="453"/>
      <c r="F60" s="453"/>
      <c r="G60" s="484" t="s">
        <v>368</v>
      </c>
      <c r="H60" s="484"/>
      <c r="I60" s="484"/>
      <c r="J60" s="455">
        <f>COUNTIF(J9:J56,"RNNR")</f>
        <v>0</v>
      </c>
      <c r="K60" s="455">
        <f t="shared" ref="K60:AW60" si="6">COUNTIF(K9:K56,"RNNR")</f>
        <v>0</v>
      </c>
      <c r="L60" s="455">
        <f t="shared" si="6"/>
        <v>0</v>
      </c>
      <c r="M60" s="455">
        <f t="shared" si="6"/>
        <v>0</v>
      </c>
      <c r="N60" s="455">
        <f t="shared" si="6"/>
        <v>0</v>
      </c>
      <c r="O60" s="455">
        <f t="shared" si="6"/>
        <v>0</v>
      </c>
      <c r="P60" s="455">
        <f t="shared" si="6"/>
        <v>1</v>
      </c>
      <c r="Q60" s="455">
        <f t="shared" si="6"/>
        <v>1</v>
      </c>
      <c r="R60" s="455">
        <f t="shared" si="6"/>
        <v>1</v>
      </c>
      <c r="S60" s="455">
        <f t="shared" si="6"/>
        <v>1</v>
      </c>
      <c r="T60" s="455">
        <f t="shared" si="6"/>
        <v>1</v>
      </c>
      <c r="U60" s="455">
        <f t="shared" si="6"/>
        <v>1</v>
      </c>
      <c r="V60" s="455">
        <f t="shared" si="6"/>
        <v>1</v>
      </c>
      <c r="W60" s="455">
        <f t="shared" si="6"/>
        <v>1</v>
      </c>
      <c r="X60" s="455">
        <f t="shared" si="6"/>
        <v>1</v>
      </c>
      <c r="Y60" s="455">
        <f t="shared" si="6"/>
        <v>1</v>
      </c>
      <c r="Z60" s="455">
        <f t="shared" si="6"/>
        <v>1</v>
      </c>
      <c r="AA60" s="455">
        <f t="shared" si="6"/>
        <v>1</v>
      </c>
      <c r="AB60" s="455">
        <f t="shared" si="6"/>
        <v>1</v>
      </c>
      <c r="AC60" s="455">
        <f t="shared" si="6"/>
        <v>1</v>
      </c>
      <c r="AD60" s="455">
        <f t="shared" si="6"/>
        <v>1</v>
      </c>
      <c r="AE60" s="455">
        <f t="shared" si="6"/>
        <v>1</v>
      </c>
      <c r="AF60" s="455">
        <f t="shared" si="6"/>
        <v>1</v>
      </c>
      <c r="AG60" s="455">
        <f t="shared" si="6"/>
        <v>1</v>
      </c>
      <c r="AH60" s="455">
        <f t="shared" si="6"/>
        <v>1</v>
      </c>
      <c r="AI60" s="455">
        <f t="shared" si="6"/>
        <v>1</v>
      </c>
      <c r="AJ60" s="455">
        <f t="shared" si="6"/>
        <v>1</v>
      </c>
      <c r="AK60" s="455">
        <f t="shared" si="6"/>
        <v>1</v>
      </c>
      <c r="AL60" s="455">
        <f t="shared" si="6"/>
        <v>1</v>
      </c>
      <c r="AM60" s="455">
        <f t="shared" si="6"/>
        <v>1</v>
      </c>
      <c r="AN60" s="455">
        <f t="shared" si="6"/>
        <v>0</v>
      </c>
      <c r="AO60" s="455">
        <f t="shared" si="6"/>
        <v>0</v>
      </c>
      <c r="AP60" s="455">
        <f t="shared" si="6"/>
        <v>0</v>
      </c>
      <c r="AQ60" s="455">
        <f t="shared" si="6"/>
        <v>0</v>
      </c>
      <c r="AR60" s="455">
        <f t="shared" si="6"/>
        <v>0</v>
      </c>
      <c r="AS60" s="455">
        <f t="shared" si="6"/>
        <v>0</v>
      </c>
      <c r="AT60" s="455">
        <f t="shared" si="6"/>
        <v>0</v>
      </c>
      <c r="AU60" s="455">
        <f t="shared" si="6"/>
        <v>0</v>
      </c>
      <c r="AV60" s="455">
        <f t="shared" si="6"/>
        <v>0</v>
      </c>
      <c r="AW60" s="455">
        <f t="shared" si="6"/>
        <v>0</v>
      </c>
      <c r="AX60" s="451">
        <f>AVERAGE(J60:AW60)</f>
        <v>0.6</v>
      </c>
      <c r="AY60" s="485" t="s">
        <v>368</v>
      </c>
      <c r="AZ60" s="485"/>
    </row>
    <row r="61" spans="1:52" ht="18.75" x14ac:dyDescent="0.3">
      <c r="B61" s="484" t="s">
        <v>581</v>
      </c>
      <c r="C61" s="484"/>
      <c r="D61" s="453"/>
      <c r="E61" s="453"/>
      <c r="F61" s="453"/>
      <c r="G61" s="484" t="s">
        <v>581</v>
      </c>
      <c r="H61" s="484"/>
      <c r="I61" s="484"/>
      <c r="J61" s="458">
        <f>COUNTIF(J9:J56,"HL")</f>
        <v>2</v>
      </c>
      <c r="K61" s="458">
        <f t="shared" ref="K61:AW61" si="7">COUNTIF(K9:K56,"HL")</f>
        <v>2</v>
      </c>
      <c r="L61" s="458">
        <f t="shared" si="7"/>
        <v>2</v>
      </c>
      <c r="M61" s="458">
        <f t="shared" si="7"/>
        <v>2</v>
      </c>
      <c r="N61" s="458">
        <f t="shared" si="7"/>
        <v>3</v>
      </c>
      <c r="O61" s="458">
        <f t="shared" si="7"/>
        <v>2</v>
      </c>
      <c r="P61" s="458">
        <f t="shared" si="7"/>
        <v>3</v>
      </c>
      <c r="Q61" s="458">
        <f t="shared" si="7"/>
        <v>3</v>
      </c>
      <c r="R61" s="458">
        <f t="shared" si="7"/>
        <v>2</v>
      </c>
      <c r="S61" s="458">
        <f t="shared" si="7"/>
        <v>2</v>
      </c>
      <c r="T61" s="458">
        <f t="shared" si="7"/>
        <v>2</v>
      </c>
      <c r="U61" s="458">
        <f t="shared" si="7"/>
        <v>2</v>
      </c>
      <c r="V61" s="458">
        <f t="shared" si="7"/>
        <v>4</v>
      </c>
      <c r="W61" s="458">
        <f t="shared" si="7"/>
        <v>3</v>
      </c>
      <c r="X61" s="458">
        <f t="shared" si="7"/>
        <v>3</v>
      </c>
      <c r="Y61" s="458">
        <f t="shared" si="7"/>
        <v>6</v>
      </c>
      <c r="Z61" s="458">
        <f t="shared" si="7"/>
        <v>5</v>
      </c>
      <c r="AA61" s="458">
        <f t="shared" si="7"/>
        <v>5</v>
      </c>
      <c r="AB61" s="458">
        <f t="shared" si="7"/>
        <v>5</v>
      </c>
      <c r="AC61" s="458">
        <f t="shared" si="7"/>
        <v>4</v>
      </c>
      <c r="AD61" s="458">
        <f t="shared" si="7"/>
        <v>5</v>
      </c>
      <c r="AE61" s="458">
        <f t="shared" si="7"/>
        <v>3</v>
      </c>
      <c r="AF61" s="458">
        <f t="shared" si="7"/>
        <v>2</v>
      </c>
      <c r="AG61" s="458">
        <f t="shared" si="7"/>
        <v>3</v>
      </c>
      <c r="AH61" s="458">
        <f t="shared" si="7"/>
        <v>3</v>
      </c>
      <c r="AI61" s="458">
        <f t="shared" si="7"/>
        <v>2</v>
      </c>
      <c r="AJ61" s="458">
        <f t="shared" si="7"/>
        <v>3</v>
      </c>
      <c r="AK61" s="458">
        <f t="shared" si="7"/>
        <v>5</v>
      </c>
      <c r="AL61" s="458">
        <f t="shared" si="7"/>
        <v>4</v>
      </c>
      <c r="AM61" s="458">
        <f t="shared" si="7"/>
        <v>3</v>
      </c>
      <c r="AN61" s="458">
        <f t="shared" si="7"/>
        <v>2</v>
      </c>
      <c r="AO61" s="458">
        <f t="shared" si="7"/>
        <v>2</v>
      </c>
      <c r="AP61" s="458">
        <f t="shared" si="7"/>
        <v>2</v>
      </c>
      <c r="AQ61" s="458">
        <f t="shared" si="7"/>
        <v>1</v>
      </c>
      <c r="AR61" s="458">
        <f t="shared" si="7"/>
        <v>1</v>
      </c>
      <c r="AS61" s="458">
        <f t="shared" si="7"/>
        <v>0</v>
      </c>
      <c r="AT61" s="458">
        <f t="shared" si="7"/>
        <v>1</v>
      </c>
      <c r="AU61" s="458">
        <f t="shared" si="7"/>
        <v>1</v>
      </c>
      <c r="AV61" s="458">
        <f t="shared" si="7"/>
        <v>1</v>
      </c>
      <c r="AW61" s="458">
        <f t="shared" si="7"/>
        <v>1</v>
      </c>
      <c r="AX61" s="452">
        <f>SUM(J61:AW61)</f>
        <v>107</v>
      </c>
      <c r="AY61" s="485" t="s">
        <v>581</v>
      </c>
      <c r="AZ61" s="485"/>
    </row>
    <row r="62" spans="1:52" ht="18.75" x14ac:dyDescent="0.3">
      <c r="B62" s="484" t="s">
        <v>588</v>
      </c>
      <c r="C62" s="484"/>
      <c r="D62" s="453"/>
      <c r="E62" s="453"/>
      <c r="F62" s="453"/>
      <c r="G62" s="484" t="s">
        <v>589</v>
      </c>
      <c r="H62" s="484"/>
      <c r="I62" s="484"/>
      <c r="J62" s="460">
        <f>[1]Weighted!$B$20</f>
        <v>1.05</v>
      </c>
      <c r="K62" s="460">
        <f>[1]Weighted!$B$20</f>
        <v>1.05</v>
      </c>
      <c r="L62" s="460">
        <f>[1]Weighted!$B$20</f>
        <v>1.05</v>
      </c>
      <c r="M62" s="460">
        <f>[1]Weighted!$B$20</f>
        <v>1.05</v>
      </c>
      <c r="N62" s="460">
        <f>[1]Weighted!$B$20</f>
        <v>1.05</v>
      </c>
      <c r="O62" s="460">
        <f>[1]Weighted!$B$20</f>
        <v>1.05</v>
      </c>
      <c r="P62" s="460">
        <f>[1]Weighted!$B$20</f>
        <v>1.05</v>
      </c>
      <c r="Q62" s="460">
        <f>[1]Weighted!$B$20</f>
        <v>1.05</v>
      </c>
      <c r="R62" s="460">
        <f>[1]Weighted!$B$20</f>
        <v>1.05</v>
      </c>
      <c r="S62" s="460">
        <f>[1]Weighted!$B$20</f>
        <v>1.05</v>
      </c>
      <c r="T62" s="460">
        <f>[1]Weighted!$B$20</f>
        <v>1.05</v>
      </c>
      <c r="U62" s="460">
        <f>[1]Weighted!$B$20</f>
        <v>1.05</v>
      </c>
      <c r="V62" s="460">
        <f>[1]Weighted!$B$20</f>
        <v>1.05</v>
      </c>
      <c r="W62" s="460">
        <f>[1]Weighted!$B$20</f>
        <v>1.05</v>
      </c>
      <c r="X62" s="460">
        <f>[1]Weighted!$B$20</f>
        <v>1.05</v>
      </c>
      <c r="Y62" s="460">
        <f>[1]Weighted!$B$20</f>
        <v>1.05</v>
      </c>
      <c r="Z62" s="460">
        <f>[1]Weighted!$B$20</f>
        <v>1.05</v>
      </c>
      <c r="AA62" s="460">
        <f>[1]Weighted!$B$20</f>
        <v>1.05</v>
      </c>
      <c r="AB62" s="460">
        <f>[1]Weighted!$B$20</f>
        <v>1.05</v>
      </c>
      <c r="AC62" s="460">
        <f>[1]Weighted!$B$20</f>
        <v>1.05</v>
      </c>
      <c r="AD62" s="460">
        <f>[1]Weighted!$B$20</f>
        <v>1.05</v>
      </c>
      <c r="AE62" s="460">
        <f>[1]Weighted!$B$20</f>
        <v>1.05</v>
      </c>
      <c r="AF62" s="460">
        <f>[1]Weighted!$B$20</f>
        <v>1.05</v>
      </c>
      <c r="AG62" s="460">
        <f>[1]Weighted!$B$20</f>
        <v>1.05</v>
      </c>
      <c r="AH62" s="460">
        <f>[1]Weighted!$B$20</f>
        <v>1.05</v>
      </c>
      <c r="AI62" s="460">
        <f>[1]Weighted!$B$20</f>
        <v>1.05</v>
      </c>
      <c r="AJ62" s="460">
        <f>[1]Weighted!$B$20</f>
        <v>1.05</v>
      </c>
      <c r="AK62" s="460">
        <f>[1]Weighted!$B$20</f>
        <v>1.05</v>
      </c>
      <c r="AL62" s="460">
        <f>[1]Weighted!$B$20</f>
        <v>1.05</v>
      </c>
      <c r="AM62" s="460">
        <f>[1]Weighted!$B$20</f>
        <v>1.05</v>
      </c>
      <c r="AN62" s="460">
        <f>[1]Weighted!$B$20</f>
        <v>1.05</v>
      </c>
      <c r="AO62" s="460">
        <f>[1]Weighted!$B$20</f>
        <v>1.05</v>
      </c>
      <c r="AP62" s="460">
        <f>[1]Weighted!$B$20</f>
        <v>1.05</v>
      </c>
      <c r="AQ62" s="460">
        <f>[1]Weighted!$B$20</f>
        <v>1.05</v>
      </c>
      <c r="AR62" s="460">
        <f>[1]Weighted!$B$20</f>
        <v>1.05</v>
      </c>
      <c r="AS62" s="460">
        <f>[1]Weighted!$B$20</f>
        <v>1.05</v>
      </c>
      <c r="AT62" s="460">
        <f>[1]Weighted!$B$20</f>
        <v>1.05</v>
      </c>
      <c r="AU62" s="460">
        <f>[1]Weighted!$B$20</f>
        <v>1.05</v>
      </c>
      <c r="AV62" s="460">
        <f>[1]Weighted!$B$20</f>
        <v>1.05</v>
      </c>
      <c r="AW62" s="460">
        <f>[1]Weighted!$B$20</f>
        <v>1.05</v>
      </c>
      <c r="AX62" s="452">
        <f>SUM(J62:AW62)</f>
        <v>41.999999999999986</v>
      </c>
      <c r="AY62" s="485" t="s">
        <v>588</v>
      </c>
      <c r="AZ62" s="485"/>
    </row>
    <row r="63" spans="1:52" ht="18.75" x14ac:dyDescent="0.3">
      <c r="B63" s="484" t="s">
        <v>590</v>
      </c>
      <c r="C63" s="484"/>
      <c r="D63" s="453"/>
      <c r="E63" s="453"/>
      <c r="F63" s="453"/>
      <c r="G63" s="484" t="s">
        <v>590</v>
      </c>
      <c r="H63" s="484"/>
      <c r="I63" s="484"/>
      <c r="J63" s="460">
        <f>ROUNDUP(J62/2,0)</f>
        <v>1</v>
      </c>
      <c r="K63" s="460">
        <f t="shared" ref="K63:AW63" si="8">ROUNDUP(K62/2,0)</f>
        <v>1</v>
      </c>
      <c r="L63" s="460">
        <f t="shared" si="8"/>
        <v>1</v>
      </c>
      <c r="M63" s="460">
        <f t="shared" si="8"/>
        <v>1</v>
      </c>
      <c r="N63" s="460">
        <f t="shared" si="8"/>
        <v>1</v>
      </c>
      <c r="O63" s="460">
        <f t="shared" si="8"/>
        <v>1</v>
      </c>
      <c r="P63" s="460">
        <f t="shared" si="8"/>
        <v>1</v>
      </c>
      <c r="Q63" s="460">
        <f t="shared" si="8"/>
        <v>1</v>
      </c>
      <c r="R63" s="460">
        <f t="shared" si="8"/>
        <v>1</v>
      </c>
      <c r="S63" s="460">
        <f t="shared" si="8"/>
        <v>1</v>
      </c>
      <c r="T63" s="460">
        <f t="shared" si="8"/>
        <v>1</v>
      </c>
      <c r="U63" s="460">
        <f t="shared" si="8"/>
        <v>1</v>
      </c>
      <c r="V63" s="460">
        <f t="shared" si="8"/>
        <v>1</v>
      </c>
      <c r="W63" s="460">
        <f t="shared" si="8"/>
        <v>1</v>
      </c>
      <c r="X63" s="460">
        <f t="shared" si="8"/>
        <v>1</v>
      </c>
      <c r="Y63" s="460">
        <f t="shared" si="8"/>
        <v>1</v>
      </c>
      <c r="Z63" s="460">
        <f t="shared" si="8"/>
        <v>1</v>
      </c>
      <c r="AA63" s="460">
        <f t="shared" si="8"/>
        <v>1</v>
      </c>
      <c r="AB63" s="460">
        <f t="shared" si="8"/>
        <v>1</v>
      </c>
      <c r="AC63" s="460">
        <f t="shared" si="8"/>
        <v>1</v>
      </c>
      <c r="AD63" s="460">
        <f t="shared" si="8"/>
        <v>1</v>
      </c>
      <c r="AE63" s="460">
        <f t="shared" si="8"/>
        <v>1</v>
      </c>
      <c r="AF63" s="460">
        <f t="shared" si="8"/>
        <v>1</v>
      </c>
      <c r="AG63" s="460">
        <f t="shared" si="8"/>
        <v>1</v>
      </c>
      <c r="AH63" s="460">
        <f t="shared" si="8"/>
        <v>1</v>
      </c>
      <c r="AI63" s="460">
        <f t="shared" si="8"/>
        <v>1</v>
      </c>
      <c r="AJ63" s="460">
        <f t="shared" si="8"/>
        <v>1</v>
      </c>
      <c r="AK63" s="460">
        <f t="shared" si="8"/>
        <v>1</v>
      </c>
      <c r="AL63" s="460">
        <f t="shared" si="8"/>
        <v>1</v>
      </c>
      <c r="AM63" s="460">
        <f t="shared" si="8"/>
        <v>1</v>
      </c>
      <c r="AN63" s="460">
        <f t="shared" si="8"/>
        <v>1</v>
      </c>
      <c r="AO63" s="460">
        <f t="shared" si="8"/>
        <v>1</v>
      </c>
      <c r="AP63" s="460">
        <f t="shared" si="8"/>
        <v>1</v>
      </c>
      <c r="AQ63" s="460">
        <f t="shared" si="8"/>
        <v>1</v>
      </c>
      <c r="AR63" s="460">
        <f t="shared" si="8"/>
        <v>1</v>
      </c>
      <c r="AS63" s="460">
        <f t="shared" si="8"/>
        <v>1</v>
      </c>
      <c r="AT63" s="460">
        <f t="shared" si="8"/>
        <v>1</v>
      </c>
      <c r="AU63" s="460">
        <f t="shared" si="8"/>
        <v>1</v>
      </c>
      <c r="AV63" s="460">
        <f t="shared" si="8"/>
        <v>1</v>
      </c>
      <c r="AW63" s="460">
        <f t="shared" si="8"/>
        <v>1</v>
      </c>
      <c r="AX63" s="452">
        <f>SUM(J63:AW63)</f>
        <v>40</v>
      </c>
      <c r="AY63" s="485" t="s">
        <v>590</v>
      </c>
      <c r="AZ63" s="485"/>
    </row>
    <row r="64" spans="1:52" ht="15.75" customHeight="1" x14ac:dyDescent="0.3">
      <c r="B64" s="484" t="s">
        <v>591</v>
      </c>
      <c r="C64" s="484"/>
      <c r="D64" s="453"/>
      <c r="E64" s="453"/>
      <c r="F64" s="453"/>
      <c r="G64" s="484" t="s">
        <v>591</v>
      </c>
      <c r="H64" s="484"/>
      <c r="I64" s="484"/>
      <c r="J64" s="461">
        <f>J61-J63</f>
        <v>1</v>
      </c>
      <c r="K64" s="461">
        <f t="shared" ref="K64:AW64" si="9">K61-K63</f>
        <v>1</v>
      </c>
      <c r="L64" s="461">
        <f t="shared" si="9"/>
        <v>1</v>
      </c>
      <c r="M64" s="461">
        <f t="shared" si="9"/>
        <v>1</v>
      </c>
      <c r="N64" s="461">
        <f t="shared" si="9"/>
        <v>2</v>
      </c>
      <c r="O64" s="461">
        <f t="shared" si="9"/>
        <v>1</v>
      </c>
      <c r="P64" s="461">
        <f t="shared" si="9"/>
        <v>2</v>
      </c>
      <c r="Q64" s="461">
        <f t="shared" si="9"/>
        <v>2</v>
      </c>
      <c r="R64" s="461">
        <f t="shared" si="9"/>
        <v>1</v>
      </c>
      <c r="S64" s="461">
        <f t="shared" si="9"/>
        <v>1</v>
      </c>
      <c r="T64" s="461">
        <f t="shared" si="9"/>
        <v>1</v>
      </c>
      <c r="U64" s="461">
        <f t="shared" si="9"/>
        <v>1</v>
      </c>
      <c r="V64" s="461">
        <f t="shared" si="9"/>
        <v>3</v>
      </c>
      <c r="W64" s="461">
        <f t="shared" si="9"/>
        <v>2</v>
      </c>
      <c r="X64" s="461">
        <f t="shared" si="9"/>
        <v>2</v>
      </c>
      <c r="Y64" s="461">
        <f t="shared" si="9"/>
        <v>5</v>
      </c>
      <c r="Z64" s="461">
        <f t="shared" si="9"/>
        <v>4</v>
      </c>
      <c r="AA64" s="461">
        <f t="shared" si="9"/>
        <v>4</v>
      </c>
      <c r="AB64" s="461">
        <f t="shared" si="9"/>
        <v>4</v>
      </c>
      <c r="AC64" s="461">
        <f t="shared" si="9"/>
        <v>3</v>
      </c>
      <c r="AD64" s="461">
        <f t="shared" si="9"/>
        <v>4</v>
      </c>
      <c r="AE64" s="461">
        <f t="shared" si="9"/>
        <v>2</v>
      </c>
      <c r="AF64" s="461">
        <f t="shared" si="9"/>
        <v>1</v>
      </c>
      <c r="AG64" s="461">
        <f t="shared" si="9"/>
        <v>2</v>
      </c>
      <c r="AH64" s="461">
        <f t="shared" si="9"/>
        <v>2</v>
      </c>
      <c r="AI64" s="461">
        <f t="shared" si="9"/>
        <v>1</v>
      </c>
      <c r="AJ64" s="461">
        <f t="shared" si="9"/>
        <v>2</v>
      </c>
      <c r="AK64" s="461">
        <f t="shared" si="9"/>
        <v>4</v>
      </c>
      <c r="AL64" s="461">
        <f t="shared" si="9"/>
        <v>3</v>
      </c>
      <c r="AM64" s="461">
        <f t="shared" si="9"/>
        <v>2</v>
      </c>
      <c r="AN64" s="461">
        <f t="shared" si="9"/>
        <v>1</v>
      </c>
      <c r="AO64" s="461">
        <f t="shared" si="9"/>
        <v>1</v>
      </c>
      <c r="AP64" s="461">
        <f t="shared" si="9"/>
        <v>1</v>
      </c>
      <c r="AQ64" s="461">
        <f t="shared" si="9"/>
        <v>0</v>
      </c>
      <c r="AR64" s="461">
        <f t="shared" si="9"/>
        <v>0</v>
      </c>
      <c r="AS64" s="461">
        <f t="shared" si="9"/>
        <v>-1</v>
      </c>
      <c r="AT64" s="461">
        <f t="shared" si="9"/>
        <v>0</v>
      </c>
      <c r="AU64" s="461">
        <f t="shared" si="9"/>
        <v>0</v>
      </c>
      <c r="AV64" s="461">
        <f t="shared" si="9"/>
        <v>0</v>
      </c>
      <c r="AW64" s="461">
        <f t="shared" si="9"/>
        <v>0</v>
      </c>
      <c r="AX64" s="454">
        <f>AVERAGE(J64:AW64)</f>
        <v>1.675</v>
      </c>
      <c r="AY64" s="486" t="s">
        <v>591</v>
      </c>
      <c r="AZ64" s="486"/>
    </row>
    <row r="65" ht="15.75" customHeight="1" x14ac:dyDescent="0.2"/>
    <row r="66" ht="15.75" customHeight="1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</sheetData>
  <sheetProtection autoFilter="0"/>
  <mergeCells count="17">
    <mergeCell ref="B63:C63"/>
    <mergeCell ref="G63:I63"/>
    <mergeCell ref="AY63:AZ63"/>
    <mergeCell ref="B64:C64"/>
    <mergeCell ref="G64:I64"/>
    <mergeCell ref="AY64:AZ64"/>
    <mergeCell ref="AY60:AZ60"/>
    <mergeCell ref="AY61:AZ61"/>
    <mergeCell ref="B62:C62"/>
    <mergeCell ref="G62:I62"/>
    <mergeCell ref="AY62:AZ62"/>
    <mergeCell ref="B3:C3"/>
    <mergeCell ref="B60:C60"/>
    <mergeCell ref="B61:C61"/>
    <mergeCell ref="F6:I6"/>
    <mergeCell ref="G60:I60"/>
    <mergeCell ref="G61:I61"/>
  </mergeCells>
  <conditionalFormatting sqref="J9:AX56">
    <cfRule type="containsBlanks" dxfId="536" priority="15" stopIfTrue="1">
      <formula>LEN(TRIM(J9))=0</formula>
    </cfRule>
    <cfRule type="beginsWith" dxfId="535" priority="17" stopIfTrue="1" operator="beginsWith" text="u">
      <formula>LEFT(J9,LEN("u"))="u"</formula>
    </cfRule>
    <cfRule type="beginsWith" dxfId="534" priority="18" stopIfTrue="1" operator="beginsWith" text="p">
      <formula>LEFT(J9,LEN("p"))="p"</formula>
    </cfRule>
    <cfRule type="containsText" dxfId="533" priority="19" stopIfTrue="1" operator="containsText" text="B1">
      <formula>NOT(ISERROR(SEARCH("B1",J9)))</formula>
    </cfRule>
    <cfRule type="containsText" dxfId="532" priority="20" stopIfTrue="1" operator="containsText" text="B2">
      <formula>NOT(ISERROR(SEARCH("B2",J9)))</formula>
    </cfRule>
    <cfRule type="containsText" dxfId="531" priority="21" stopIfTrue="1" operator="containsText" text="Lunch">
      <formula>NOT(ISERROR(SEARCH("Lunch",J9)))</formula>
    </cfRule>
    <cfRule type="containsText" dxfId="530" priority="22" stopIfTrue="1" operator="containsText" text="Interview">
      <formula>NOT(ISERROR(SEARCH("Interview",J9)))</formula>
    </cfRule>
    <cfRule type="containsText" dxfId="529" priority="23" stopIfTrue="1" operator="containsText" text="Side by Side">
      <formula>NOT(ISERROR(SEARCH("Side by Side",J9)))</formula>
    </cfRule>
    <cfRule type="containsText" dxfId="528" priority="24" stopIfTrue="1" operator="containsText" text="COACHING">
      <formula>NOT(ISERROR(SEARCH("COACHING",J9)))</formula>
    </cfRule>
    <cfRule type="containsText" dxfId="527" priority="25" stopIfTrue="1" operator="containsText" text="TM">
      <formula>NOT(ISERROR(SEARCH("TM",J9)))</formula>
    </cfRule>
    <cfRule type="containsText" dxfId="526" priority="26" stopIfTrue="1" operator="containsText" text="RNNR">
      <formula>NOT(ISERROR(SEARCH("RNNR",J9)))</formula>
    </cfRule>
    <cfRule type="containsText" dxfId="525" priority="27" stopIfTrue="1" operator="containsText" text="ADM">
      <formula>NOT(ISERROR(SEARCH("ADM",J9)))</formula>
    </cfRule>
    <cfRule type="containsText" dxfId="524" priority="28" stopIfTrue="1" operator="containsText" text="HL">
      <formula>NOT(ISERROR(SEARCH("HL",J9)))</formula>
    </cfRule>
    <cfRule type="notContainsBlanks" dxfId="523" priority="29" stopIfTrue="1">
      <formula>LEN(TRIM(J9))&gt;0</formula>
    </cfRule>
  </conditionalFormatting>
  <conditionalFormatting sqref="J60:AW60">
    <cfRule type="cellIs" dxfId="522" priority="6" operator="greaterThanOrEqual">
      <formula>2</formula>
    </cfRule>
    <cfRule type="containsText" dxfId="521" priority="7" operator="containsText" text="1">
      <formula>NOT(ISERROR(SEARCH("1",J60)))</formula>
    </cfRule>
    <cfRule type="containsText" dxfId="520" priority="8" operator="containsText" text="0">
      <formula>NOT(ISERROR(SEARCH("0",J60)))</formula>
    </cfRule>
  </conditionalFormatting>
  <conditionalFormatting sqref="J61:AW61">
    <cfRule type="cellIs" dxfId="519" priority="3" operator="greaterThanOrEqual">
      <formula>2</formula>
    </cfRule>
    <cfRule type="containsText" dxfId="518" priority="4" operator="containsText" text="1">
      <formula>NOT(ISERROR(SEARCH("1",J61)))</formula>
    </cfRule>
    <cfRule type="containsText" dxfId="517" priority="5" operator="containsText" text="0">
      <formula>NOT(ISERROR(SEARCH("0",J61)))</formula>
    </cfRule>
  </conditionalFormatting>
  <conditionalFormatting sqref="J64:AW64">
    <cfRule type="colorScale" priority="1">
      <colorScale>
        <cfvo type="num" val="-0.05"/>
        <cfvo type="num" val="0"/>
        <cfvo type="num" val="0.05"/>
        <color rgb="FFF8696B"/>
        <color rgb="FFCDF3CD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stopIfTrue="1" operator="containsText" id="{FDB47EE9-9586-45C3-9809-4B6458EC7624}">
            <xm:f>NOT(ISERROR(SEARCH("-",J9)))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J9:AX56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6" tint="0.59999389629810485"/>
    <outlinePr summaryBelow="0" summaryRight="0"/>
  </sheetPr>
  <dimension ref="A1:BA99"/>
  <sheetViews>
    <sheetView topLeftCell="A7" workbookViewId="0">
      <pane xSplit="9" topLeftCell="J1" activePane="topRight" state="frozen"/>
      <selection activeCell="BB1" sqref="BB1:XFD1048576"/>
      <selection pane="topRight" activeCell="B3" sqref="B3:C3"/>
    </sheetView>
  </sheetViews>
  <sheetFormatPr defaultColWidth="0" defaultRowHeight="12.75" zeroHeight="1" x14ac:dyDescent="0.2"/>
  <cols>
    <col min="1" max="1" width="1.7109375" style="6" customWidth="1"/>
    <col min="2" max="2" width="20.28515625" style="6" bestFit="1" customWidth="1"/>
    <col min="3" max="3" width="10.7109375" style="6" customWidth="1"/>
    <col min="4" max="4" width="11.85546875" style="6" customWidth="1"/>
    <col min="5" max="5" width="11.42578125" style="6" customWidth="1"/>
    <col min="6" max="6" width="11.28515625" style="6" customWidth="1"/>
    <col min="7" max="7" width="12.28515625" style="6" customWidth="1"/>
    <col min="8" max="9" width="10.7109375" style="6" customWidth="1"/>
    <col min="10" max="49" width="9.28515625" style="6" customWidth="1"/>
    <col min="50" max="50" width="10.42578125" style="6" customWidth="1"/>
    <col min="51" max="51" width="23.5703125" style="6" customWidth="1"/>
    <col min="52" max="52" width="1.7109375" style="6" customWidth="1"/>
    <col min="53" max="53" width="9.140625" style="6" customWidth="1"/>
    <col min="54" max="16384" width="9.140625" style="6" hidden="1"/>
  </cols>
  <sheetData>
    <row r="1" spans="1:51" ht="6" customHeight="1" x14ac:dyDescent="0.2">
      <c r="D1" s="5"/>
    </row>
    <row r="2" spans="1:51" x14ac:dyDescent="0.2"/>
    <row r="3" spans="1:51" ht="24.95" customHeight="1" x14ac:dyDescent="0.2">
      <c r="B3" s="480" t="str">
        <f>TEXT(Day_13,"DDDD")&amp;" - "&amp;TEXT(Day_13,"mm/dd/yy")</f>
        <v>Friday - 03/27/20</v>
      </c>
      <c r="C3" s="480"/>
      <c r="D3" s="106"/>
      <c r="K3" s="94" t="s">
        <v>124</v>
      </c>
      <c r="L3" s="152" t="s">
        <v>218</v>
      </c>
      <c r="M3" s="153" t="s">
        <v>220</v>
      </c>
      <c r="N3" s="71" t="s">
        <v>126</v>
      </c>
      <c r="O3" s="72" t="s">
        <v>130</v>
      </c>
      <c r="P3" s="73" t="s">
        <v>90</v>
      </c>
      <c r="Q3" s="139" t="s">
        <v>215</v>
      </c>
      <c r="R3" s="138" t="s">
        <v>211</v>
      </c>
      <c r="S3" s="137" t="s">
        <v>127</v>
      </c>
      <c r="T3" s="151" t="s">
        <v>139</v>
      </c>
      <c r="U3" s="69" t="s">
        <v>129</v>
      </c>
      <c r="V3" s="155" t="s">
        <v>146</v>
      </c>
      <c r="W3" s="157" t="s">
        <v>222</v>
      </c>
      <c r="X3" s="228" t="s">
        <v>366</v>
      </c>
      <c r="Y3" s="243" t="s">
        <v>371</v>
      </c>
      <c r="Z3" s="212"/>
      <c r="AA3" s="213"/>
      <c r="AB3" s="214"/>
      <c r="AD3" s="94" t="s">
        <v>124</v>
      </c>
      <c r="AE3" s="152" t="s">
        <v>218</v>
      </c>
      <c r="AF3" s="153" t="s">
        <v>220</v>
      </c>
      <c r="AG3" s="71" t="s">
        <v>126</v>
      </c>
      <c r="AH3" s="72" t="s">
        <v>130</v>
      </c>
      <c r="AI3" s="73" t="s">
        <v>90</v>
      </c>
      <c r="AJ3" s="139" t="s">
        <v>215</v>
      </c>
      <c r="AK3" s="138" t="s">
        <v>211</v>
      </c>
      <c r="AL3" s="137" t="s">
        <v>127</v>
      </c>
      <c r="AM3" s="151" t="s">
        <v>139</v>
      </c>
      <c r="AN3" s="69" t="s">
        <v>129</v>
      </c>
      <c r="AO3" s="155" t="s">
        <v>146</v>
      </c>
      <c r="AP3" s="157" t="s">
        <v>222</v>
      </c>
      <c r="AQ3" s="228" t="s">
        <v>366</v>
      </c>
      <c r="AR3" s="243" t="s">
        <v>371</v>
      </c>
    </row>
    <row r="4" spans="1:51" ht="24.95" customHeight="1" x14ac:dyDescent="0.2">
      <c r="B4" s="7"/>
      <c r="J4" s="18"/>
      <c r="K4" s="94" t="s">
        <v>125</v>
      </c>
      <c r="L4" s="154" t="s">
        <v>217</v>
      </c>
      <c r="M4" s="154" t="s">
        <v>221</v>
      </c>
      <c r="N4" s="70" t="s">
        <v>87</v>
      </c>
      <c r="O4" s="67" t="s">
        <v>89</v>
      </c>
      <c r="P4" s="67" t="s">
        <v>213</v>
      </c>
      <c r="Q4" s="67" t="s">
        <v>214</v>
      </c>
      <c r="R4" s="67" t="s">
        <v>212</v>
      </c>
      <c r="S4" s="67" t="s">
        <v>128</v>
      </c>
      <c r="T4" s="67" t="s">
        <v>138</v>
      </c>
      <c r="U4" s="67" t="s">
        <v>129</v>
      </c>
      <c r="V4" s="156" t="s">
        <v>145</v>
      </c>
      <c r="W4" s="98" t="s">
        <v>223</v>
      </c>
      <c r="X4" s="98" t="s">
        <v>367</v>
      </c>
      <c r="Y4" s="241" t="s">
        <v>372</v>
      </c>
      <c r="Z4" s="215"/>
      <c r="AA4" s="216"/>
      <c r="AB4" s="217"/>
      <c r="AD4" s="94" t="s">
        <v>125</v>
      </c>
      <c r="AE4" s="154" t="s">
        <v>217</v>
      </c>
      <c r="AF4" s="154" t="s">
        <v>221</v>
      </c>
      <c r="AG4" s="70" t="s">
        <v>87</v>
      </c>
      <c r="AH4" s="67" t="s">
        <v>89</v>
      </c>
      <c r="AI4" s="67" t="s">
        <v>213</v>
      </c>
      <c r="AJ4" s="67" t="s">
        <v>214</v>
      </c>
      <c r="AK4" s="67" t="s">
        <v>212</v>
      </c>
      <c r="AL4" s="67" t="s">
        <v>128</v>
      </c>
      <c r="AM4" s="67" t="s">
        <v>138</v>
      </c>
      <c r="AN4" s="67" t="s">
        <v>129</v>
      </c>
      <c r="AO4" s="156" t="s">
        <v>145</v>
      </c>
      <c r="AP4" s="98" t="s">
        <v>223</v>
      </c>
      <c r="AQ4" s="98" t="s">
        <v>367</v>
      </c>
      <c r="AR4" s="241" t="s">
        <v>372</v>
      </c>
    </row>
    <row r="5" spans="1:51" ht="6" customHeight="1" x14ac:dyDescent="0.2"/>
    <row r="6" spans="1:51" ht="17.25" customHeight="1" x14ac:dyDescent="0.2">
      <c r="F6" s="477" t="s">
        <v>132</v>
      </c>
      <c r="G6" s="478"/>
      <c r="H6" s="478"/>
      <c r="I6" s="479"/>
      <c r="J6" s="19"/>
      <c r="K6" s="19"/>
    </row>
    <row r="7" spans="1:51" ht="6" customHeight="1" thickBot="1" x14ac:dyDescent="0.25">
      <c r="J7" s="104" t="s">
        <v>93</v>
      </c>
      <c r="K7" s="104" t="s">
        <v>95</v>
      </c>
      <c r="L7" s="104" t="s">
        <v>97</v>
      </c>
      <c r="M7" s="104" t="s">
        <v>140</v>
      </c>
      <c r="N7" s="104" t="s">
        <v>109</v>
      </c>
      <c r="O7" s="104" t="s">
        <v>103</v>
      </c>
      <c r="P7" s="104" t="s">
        <v>121</v>
      </c>
      <c r="Q7" s="104" t="s">
        <v>113</v>
      </c>
      <c r="R7" s="104" t="s">
        <v>105</v>
      </c>
      <c r="S7" s="104" t="s">
        <v>107</v>
      </c>
      <c r="T7" s="104" t="s">
        <v>141</v>
      </c>
      <c r="U7" s="104" t="s">
        <v>101</v>
      </c>
      <c r="V7" s="104" t="s">
        <v>122</v>
      </c>
      <c r="W7" s="104" t="s">
        <v>116</v>
      </c>
      <c r="X7" s="104" t="s">
        <v>148</v>
      </c>
      <c r="Y7" s="104" t="s">
        <v>149</v>
      </c>
      <c r="Z7" s="104" t="s">
        <v>111</v>
      </c>
      <c r="AA7" s="104" t="s">
        <v>94</v>
      </c>
      <c r="AB7" s="104" t="s">
        <v>96</v>
      </c>
      <c r="AC7" s="104" t="s">
        <v>98</v>
      </c>
      <c r="AD7" s="104" t="s">
        <v>118</v>
      </c>
      <c r="AE7" s="104" t="s">
        <v>99</v>
      </c>
      <c r="AF7" s="104" t="s">
        <v>104</v>
      </c>
      <c r="AG7" s="104" t="s">
        <v>150</v>
      </c>
      <c r="AH7" s="104" t="s">
        <v>114</v>
      </c>
      <c r="AI7" s="104" t="s">
        <v>106</v>
      </c>
      <c r="AJ7" s="104" t="s">
        <v>108</v>
      </c>
      <c r="AK7" s="104" t="s">
        <v>142</v>
      </c>
      <c r="AL7" s="104" t="s">
        <v>102</v>
      </c>
      <c r="AM7" s="104" t="s">
        <v>143</v>
      </c>
      <c r="AN7" s="104" t="s">
        <v>123</v>
      </c>
      <c r="AO7" s="104" t="s">
        <v>117</v>
      </c>
      <c r="AP7" s="104" t="s">
        <v>151</v>
      </c>
      <c r="AQ7" s="104" t="s">
        <v>112</v>
      </c>
      <c r="AR7" s="104" t="s">
        <v>110</v>
      </c>
      <c r="AS7" s="104" t="s">
        <v>119</v>
      </c>
      <c r="AT7" s="104" t="s">
        <v>115</v>
      </c>
      <c r="AU7" s="104" t="s">
        <v>120</v>
      </c>
      <c r="AV7" s="104"/>
      <c r="AW7" s="104"/>
      <c r="AX7" s="105">
        <v>0</v>
      </c>
    </row>
    <row r="8" spans="1:51" ht="13.5" thickBot="1" x14ac:dyDescent="0.25">
      <c r="A8" s="15" t="s">
        <v>14</v>
      </c>
      <c r="B8" s="168" t="s">
        <v>2</v>
      </c>
      <c r="C8" s="169" t="s">
        <v>5</v>
      </c>
      <c r="D8" s="169" t="s">
        <v>84</v>
      </c>
      <c r="E8" s="169" t="s">
        <v>86</v>
      </c>
      <c r="F8" s="169" t="s">
        <v>87</v>
      </c>
      <c r="G8" s="169" t="s">
        <v>223</v>
      </c>
      <c r="H8" s="169" t="s">
        <v>89</v>
      </c>
      <c r="I8" s="169" t="s">
        <v>90</v>
      </c>
      <c r="J8" s="170" t="s">
        <v>93</v>
      </c>
      <c r="K8" s="170" t="s">
        <v>95</v>
      </c>
      <c r="L8" s="170" t="s">
        <v>97</v>
      </c>
      <c r="M8" s="170" t="s">
        <v>140</v>
      </c>
      <c r="N8" s="170" t="s">
        <v>109</v>
      </c>
      <c r="O8" s="170" t="s">
        <v>103</v>
      </c>
      <c r="P8" s="170" t="s">
        <v>121</v>
      </c>
      <c r="Q8" s="170" t="s">
        <v>113</v>
      </c>
      <c r="R8" s="170" t="s">
        <v>105</v>
      </c>
      <c r="S8" s="170" t="s">
        <v>107</v>
      </c>
      <c r="T8" s="170" t="s">
        <v>141</v>
      </c>
      <c r="U8" s="170" t="s">
        <v>101</v>
      </c>
      <c r="V8" s="170" t="s">
        <v>122</v>
      </c>
      <c r="W8" s="170" t="s">
        <v>116</v>
      </c>
      <c r="X8" s="170" t="s">
        <v>148</v>
      </c>
      <c r="Y8" s="170" t="s">
        <v>149</v>
      </c>
      <c r="Z8" s="170" t="s">
        <v>111</v>
      </c>
      <c r="AA8" s="170" t="s">
        <v>94</v>
      </c>
      <c r="AB8" s="170" t="s">
        <v>96</v>
      </c>
      <c r="AC8" s="170" t="s">
        <v>98</v>
      </c>
      <c r="AD8" s="170" t="s">
        <v>118</v>
      </c>
      <c r="AE8" s="170" t="s">
        <v>99</v>
      </c>
      <c r="AF8" s="170" t="s">
        <v>104</v>
      </c>
      <c r="AG8" s="170" t="s">
        <v>150</v>
      </c>
      <c r="AH8" s="170" t="s">
        <v>114</v>
      </c>
      <c r="AI8" s="170" t="s">
        <v>106</v>
      </c>
      <c r="AJ8" s="170" t="s">
        <v>108</v>
      </c>
      <c r="AK8" s="170" t="s">
        <v>142</v>
      </c>
      <c r="AL8" s="170" t="s">
        <v>102</v>
      </c>
      <c r="AM8" s="170" t="s">
        <v>143</v>
      </c>
      <c r="AN8" s="170" t="s">
        <v>123</v>
      </c>
      <c r="AO8" s="170" t="s">
        <v>117</v>
      </c>
      <c r="AP8" s="170" t="s">
        <v>151</v>
      </c>
      <c r="AQ8" s="170" t="s">
        <v>112</v>
      </c>
      <c r="AR8" s="170" t="s">
        <v>110</v>
      </c>
      <c r="AS8" s="170" t="s">
        <v>119</v>
      </c>
      <c r="AT8" s="170" t="s">
        <v>115</v>
      </c>
      <c r="AU8" s="170" t="s">
        <v>120</v>
      </c>
      <c r="AV8" s="199" t="s">
        <v>100</v>
      </c>
      <c r="AW8" s="199" t="s">
        <v>243</v>
      </c>
      <c r="AX8" s="199" t="s">
        <v>244</v>
      </c>
      <c r="AY8" s="171" t="s">
        <v>147</v>
      </c>
    </row>
    <row r="9" spans="1:51" s="44" customFormat="1" ht="11.25" customHeight="1" x14ac:dyDescent="0.2">
      <c r="A9" s="39" t="str">
        <f>IF(B9="","",INDEX(TeamList[],MATCH($B9,TeamList[[Employee Name]:[Employee Name]],0),MATCH("Manager",TeamList[#Headers],0)))</f>
        <v>Olson, Katherine</v>
      </c>
      <c r="B9" s="201" t="s">
        <v>32</v>
      </c>
      <c r="C9" s="257" t="str">
        <f>_xlfn.IFNA(VLOOKUP(Fri_W2[[#This Row],[Employee Name]],'Base Schedules'!A:B,2,FALSE),"")</f>
        <v>Supervisor</v>
      </c>
      <c r="D9" s="274">
        <f>_xlfn.IFNA(VLOOKUP(Fri_W2[[#This Row],[Employee Name]],'Base Schedules'!A:C,3,FALSE),"")</f>
        <v>500</v>
      </c>
      <c r="E9" s="274">
        <f>_xlfn.IFNA(VLOOKUP(Fri_W2[[#This Row],[Employee Name]],'Base Schedules'!A:D,4,FALSE),"")</f>
        <v>1400</v>
      </c>
      <c r="F9" s="142">
        <f>IF(Fri_W2[[#This Row],[Employee Name]]="","",IF(Fri_W2[[#This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f>
        <v>0</v>
      </c>
      <c r="G9" s="142">
        <f t="shared" ref="G9:G49" si="0">IF(B9="","",COUNTIFS($J9:$AX9,"*Coaching*",$J9:$AX9,"&lt;&gt;"&amp;"pTM",$J9:$AX9,"&lt;&gt;"&amp;"uTM"))</f>
        <v>4</v>
      </c>
      <c r="H9" s="142">
        <f t="shared" ref="H9:H49" si="1">IF(B9="","",COUNTIFS($J9:$AX9,"*ADM*",$J9:$AX9,"&lt;&gt;"&amp;"pADM",$J9:$AX9,"&lt;&gt;"&amp;"uADM"))</f>
        <v>0</v>
      </c>
      <c r="I9" s="142">
        <f>IF(Fri_W2[[#This Row],[Employee Name]]="","",IF(Fri_W2[[#This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f>
        <v>0</v>
      </c>
      <c r="J9" s="184" t="str">
        <f>IFERROR(IF(VLOOKUP(Fri_W2[[#This Row],[Employee Name]],'Base Schedules'!$A$1:$AW$44,9,FALSE)="","",VLOOKUP(Fri_W2[[#This Row],[Employee Name]],'Base Schedules'!$A$1:$AW$44,9,FALSE)),"")</f>
        <v>-</v>
      </c>
      <c r="K9" s="184" t="str">
        <f>IFERROR(IF(VLOOKUP(Fri_W2[[#This Row],[Employee Name]],'Base Schedules'!$A$1:$AW$44,10,FALSE)="","",VLOOKUP(Fri_W2[[#This Row],[Employee Name]],'Base Schedules'!$A$1:$AW$44,10,FALSE)),"")</f>
        <v>-</v>
      </c>
      <c r="L9" s="184" t="str">
        <f>IFERROR(IF(VLOOKUP(Fri_W2[[#This Row],[Employee Name]],'Base Schedules'!$A$1:$AW$44,11,FALSE)="","",VLOOKUP(Fri_W2[[#This Row],[Employee Name]],'Base Schedules'!$A$1:$AW$44,11,FALSE)),"")</f>
        <v>-</v>
      </c>
      <c r="M9" s="184" t="str">
        <f>IFERROR(IF(VLOOKUP(Fri_W2[[#This Row],[Employee Name]],'Base Schedules'!$A$1:$AW$44,12,FALSE)="","",VLOOKUP(Fri_W2[[#This Row],[Employee Name]],'Base Schedules'!$A$1:$AW$44,12,FALSE)),"")</f>
        <v>-</v>
      </c>
      <c r="N9" s="184" t="str">
        <f>IFERROR(IF(VLOOKUP(Fri_W2[[#This Row],[Employee Name]],'Base Schedules'!$A$1:$AW$44,13,FALSE)="","",VLOOKUP(Fri_W2[[#This Row],[Employee Name]],'Base Schedules'!$A$1:$AW$44,13,FALSE)),"")</f>
        <v>-</v>
      </c>
      <c r="O9" s="184" t="str">
        <f>IFERROR(IF(VLOOKUP(Fri_W2[[#This Row],[Employee Name]],'Base Schedules'!$A$1:$AW$44,14,FALSE)="","",VLOOKUP(Fri_W2[[#This Row],[Employee Name]],'Base Schedules'!$A$1:$AW$44,14,FALSE)),"")</f>
        <v>-</v>
      </c>
      <c r="P9" s="184" t="str">
        <f>IFERROR(IF(VLOOKUP(Fri_W2[[#This Row],[Employee Name]],'Base Schedules'!$A$1:$AW$44,15,FALSE)="","",VLOOKUP(Fri_W2[[#This Row],[Employee Name]],'Base Schedules'!$A$1:$AW$44,15,FALSE)),"")</f>
        <v>Interview</v>
      </c>
      <c r="Q9" s="184" t="str">
        <f>IFERROR(IF(VLOOKUP(Fri_W2[[#This Row],[Employee Name]],'Base Schedules'!$A$1:$AW$44,16,FALSE)="","",VLOOKUP(Fri_W2[[#This Row],[Employee Name]],'Base Schedules'!$A$1:$AW$44,16,FALSE)),"")</f>
        <v>Interview</v>
      </c>
      <c r="R9" s="184" t="str">
        <f>IFERROR(IF(VLOOKUP(Fri_W2[[#This Row],[Employee Name]],'Base Schedules'!$A$1:$AW$44,17,FALSE)="","",VLOOKUP(Fri_W2[[#This Row],[Employee Name]],'Base Schedules'!$A$1:$AW$44,17,FALSE)),"")</f>
        <v>-</v>
      </c>
      <c r="S9" s="184" t="str">
        <f>IFERROR(IF(VLOOKUP(Fri_W2[[#This Row],[Employee Name]],'Base Schedules'!$A$1:$AW$44,18,FALSE)="","",VLOOKUP(Fri_W2[[#This Row],[Employee Name]],'Base Schedules'!$A$1:$AW$44,18,FALSE)),"")</f>
        <v>-</v>
      </c>
      <c r="T9" s="184" t="str">
        <f>IFERROR(IF(VLOOKUP(Fri_W2[[#This Row],[Employee Name]],'Base Schedules'!$A$1:$AW$44,19,FALSE)="","",VLOOKUP(Fri_W2[[#This Row],[Employee Name]],'Base Schedules'!$A$1:$AW$44,19,FALSE)),"")</f>
        <v>Coaching</v>
      </c>
      <c r="U9" s="184" t="str">
        <f>IFERROR(IF(VLOOKUP(Fri_W2[[#This Row],[Employee Name]],'Base Schedules'!$A$1:$AW$44,20,FALSE)="","",VLOOKUP(Fri_W2[[#This Row],[Employee Name]],'Base Schedules'!$A$1:$AW$44,20,FALSE)),"")</f>
        <v>Coaching</v>
      </c>
      <c r="V9" s="184" t="str">
        <f>IFERROR(IF(VLOOKUP(Fri_W2[[#This Row],[Employee Name]],'Base Schedules'!$A$1:$AW$44,21,FALSE)="","",VLOOKUP(Fri_W2[[#This Row],[Employee Name]],'Base Schedules'!$A$1:$AW$44,21,FALSE)),"")</f>
        <v>Coaching</v>
      </c>
      <c r="W9" s="184" t="str">
        <f>IFERROR(IF(VLOOKUP(Fri_W2[[#This Row],[Employee Name]],'Base Schedules'!$A$1:$AW$44,22,FALSE)="","",VLOOKUP(Fri_W2[[#This Row],[Employee Name]],'Base Schedules'!$A$1:$AW$44,22,FALSE)),"")</f>
        <v>Coaching</v>
      </c>
      <c r="X9" s="184" t="str">
        <f>IFERROR(IF(VLOOKUP(Fri_W2[[#This Row],[Employee Name]],'Base Schedules'!$A$1:$AW$44,23,FALSE)="","",VLOOKUP(Fri_W2[[#This Row],[Employee Name]],'Base Schedules'!$A$1:$AW$44,23,FALSE)),"")</f>
        <v>-</v>
      </c>
      <c r="Y9" s="184" t="str">
        <f>IFERROR(IF(VLOOKUP(Fri_W2[[#This Row],[Employee Name]],'Base Schedules'!$A$1:$AW$44,24,FALSE)="","",VLOOKUP(Fri_W2[[#This Row],[Employee Name]],'Base Schedules'!$A$1:$AW$44,24,FALSE)),"")</f>
        <v>TM PREP</v>
      </c>
      <c r="Z9" s="184" t="str">
        <f>IFERROR(IF(VLOOKUP(Fri_W2[[#This Row],[Employee Name]],'Base Schedules'!$A$1:$AW$44,25,FALSE)="","",VLOOKUP(Fri_W2[[#This Row],[Employee Name]],'Base Schedules'!$A$1:$AW$44,25,FALSE)),"")</f>
        <v>ALVAREZ TM</v>
      </c>
      <c r="AA9" s="184" t="str">
        <f>IFERROR(IF(VLOOKUP(Fri_W2[[#This Row],[Employee Name]],'Base Schedules'!$A$1:$AW$44,26,FALSE)="","",VLOOKUP(Fri_W2[[#This Row],[Employee Name]],'Base Schedules'!$A$1:$AW$44,26,FALSE)),"")</f>
        <v>ALVAREZ TM</v>
      </c>
      <c r="AB9" s="184" t="str">
        <f>IFERROR(IF(VLOOKUP(Fri_W2[[#This Row],[Employee Name]],'Base Schedules'!$A$1:$AW$44,27,FALSE)="","",VLOOKUP(Fri_W2[[#This Row],[Employee Name]],'Base Schedules'!$A$1:$AW$44,27,FALSE)),"")</f>
        <v/>
      </c>
      <c r="AC9" s="184" t="str">
        <f>IFERROR(IF(VLOOKUP(Fri_W2[[#This Row],[Employee Name]],'Base Schedules'!$A$1:$AW$44,28,FALSE)="","",VLOOKUP(Fri_W2[[#This Row],[Employee Name]],'Base Schedules'!$A$1:$AW$44,28,FALSE)),"")</f>
        <v/>
      </c>
      <c r="AD9" s="184" t="str">
        <f>IFERROR(IF(VLOOKUP(Fri_W2[[#This Row],[Employee Name]],'Base Schedules'!$A$1:$AW$44,29,FALSE)="","",VLOOKUP(Fri_W2[[#This Row],[Employee Name]],'Base Schedules'!$A$1:$AW$44,29,FALSE)),"")</f>
        <v/>
      </c>
      <c r="AE9" s="184" t="str">
        <f>IFERROR(IF(VLOOKUP(Fri_W2[[#This Row],[Employee Name]],'Base Schedules'!$A$1:$AW$44,30,FALSE)="","",VLOOKUP(Fri_W2[[#This Row],[Employee Name]],'Base Schedules'!$A$1:$AW$44,30,FALSE)),"")</f>
        <v/>
      </c>
      <c r="AF9" s="184" t="str">
        <f>IFERROR(IF(VLOOKUP(Fri_W2[[#This Row],[Employee Name]],'Base Schedules'!$A$1:$AW$44,31,FALSE)="","",VLOOKUP(Fri_W2[[#This Row],[Employee Name]],'Base Schedules'!$A$1:$AW$44,31,FALSE)),"")</f>
        <v/>
      </c>
      <c r="AG9" s="184" t="str">
        <f>IFERROR(IF(VLOOKUP(Fri_W2[[#This Row],[Employee Name]],'Base Schedules'!$A$1:$AW$44,32,FALSE)="","",VLOOKUP(Fri_W2[[#This Row],[Employee Name]],'Base Schedules'!$A$1:$AW$44,32,FALSE)),"")</f>
        <v/>
      </c>
      <c r="AH9" s="184" t="str">
        <f>IFERROR(IF(VLOOKUP(Fri_W2[[#This Row],[Employee Name]],'Base Schedules'!$A$1:$AW$44,33,FALSE)="","",VLOOKUP(Fri_W2[[#This Row],[Employee Name]],'Base Schedules'!$A$1:$AW$44,33,FALSE)),"")</f>
        <v/>
      </c>
      <c r="AI9" s="184" t="str">
        <f>IFERROR(IF(VLOOKUP(Fri_W2[[#This Row],[Employee Name]],'Base Schedules'!$A$1:$AW$44,34,FALSE)="","",VLOOKUP(Fri_W2[[#This Row],[Employee Name]],'Base Schedules'!$A$1:$AW$44,34,FALSE)),"")</f>
        <v/>
      </c>
      <c r="AJ9" s="184" t="str">
        <f>IFERROR(IF(VLOOKUP(Fri_W2[[#This Row],[Employee Name]],'Base Schedules'!$A$1:$AW$44,35,FALSE)="","",VLOOKUP(Fri_W2[[#This Row],[Employee Name]],'Base Schedules'!$A$1:$AW$44,35,FALSE)),"")</f>
        <v/>
      </c>
      <c r="AK9" s="184" t="str">
        <f>IFERROR(IF(VLOOKUP(Fri_W2[[#This Row],[Employee Name]],'Base Schedules'!$A$1:$AW$44,36,FALSE)="","",VLOOKUP(Fri_W2[[#This Row],[Employee Name]],'Base Schedules'!$A$1:$AW$44,36,FALSE)),"")</f>
        <v/>
      </c>
      <c r="AL9" s="184" t="str">
        <f>IFERROR(IF(VLOOKUP(Fri_W2[[#This Row],[Employee Name]],'Base Schedules'!$A$1:$AW$44,37,FALSE)="","",VLOOKUP(Fri_W2[[#This Row],[Employee Name]],'Base Schedules'!$A$1:$AW$44,37,FALSE)),"")</f>
        <v/>
      </c>
      <c r="AM9" s="184" t="str">
        <f>IFERROR(IF(VLOOKUP(Fri_W2[[#This Row],[Employee Name]],'Base Schedules'!$A$1:$AW$44,38,FALSE)="","",VLOOKUP(Fri_W2[[#This Row],[Employee Name]],'Base Schedules'!$A$1:$AW$44,38,FALSE)),"")</f>
        <v/>
      </c>
      <c r="AN9" s="184" t="str">
        <f>IFERROR(IF(VLOOKUP(Fri_W2[[#This Row],[Employee Name]],'Base Schedules'!$A$1:$AW$44,39,FALSE)="","",VLOOKUP(Fri_W2[[#This Row],[Employee Name]],'Base Schedules'!$A$1:$AW$44,39,FALSE)),"")</f>
        <v/>
      </c>
      <c r="AO9" s="184" t="str">
        <f>IFERROR(IF(VLOOKUP(Fri_W2[[#This Row],[Employee Name]],'Base Schedules'!$A$1:$AW$44,40,FALSE)="","",VLOOKUP(Fri_W2[[#This Row],[Employee Name]],'Base Schedules'!$A$1:$AW$44,40,FALSE)),"")</f>
        <v/>
      </c>
      <c r="AP9" s="184" t="str">
        <f>IFERROR(IF(VLOOKUP(Fri_W2[[#This Row],[Employee Name]],'Base Schedules'!$A$1:$AW$44,41,FALSE)="","",VLOOKUP(Fri_W2[[#This Row],[Employee Name]],'Base Schedules'!$A$1:$AW$44,41,FALSE)),"")</f>
        <v/>
      </c>
      <c r="AQ9" s="184" t="str">
        <f>IFERROR(IF(VLOOKUP(Fri_W2[[#This Row],[Employee Name]],'Base Schedules'!$A$1:$AW$44,42,FALSE)="","",VLOOKUP(Fri_W2[[#This Row],[Employee Name]],'Base Schedules'!$A$1:$AW$44,42,FALSE)),"")</f>
        <v/>
      </c>
      <c r="AR9" s="184" t="str">
        <f>IFERROR(IF(VLOOKUP(Fri_W2[[#This Row],[Employee Name]],'Base Schedules'!$A$1:$AW$44,43,FALSE)="","",VLOOKUP(Fri_W2[[#This Row],[Employee Name]],'Base Schedules'!$A$1:$AW$44,43,FALSE)),"")</f>
        <v/>
      </c>
      <c r="AS9" s="184" t="str">
        <f>IFERROR(IF(VLOOKUP(Fri_W2[[#This Row],[Employee Name]],'Base Schedules'!$A$1:$AW$44,44,FALSE)="","",VLOOKUP(Fri_W2[[#This Row],[Employee Name]],'Base Schedules'!$A$1:$AW$44,44,FALSE)),"")</f>
        <v/>
      </c>
      <c r="AT9" s="184" t="str">
        <f>IFERROR(IF(VLOOKUP(Fri_W2[[#This Row],[Employee Name]],'Base Schedules'!$A$1:$AW$44,45,FALSE)="","",VLOOKUP(Fri_W2[[#This Row],[Employee Name]],'Base Schedules'!$A$1:$AW$44,45,FALSE)),"")</f>
        <v/>
      </c>
      <c r="AU9" s="184" t="str">
        <f>IFERROR(IF(VLOOKUP(Fri_W2[[#This Row],[Employee Name]],'Base Schedules'!$A$1:$AW$44,46,FALSE)="","",VLOOKUP(Fri_W2[[#This Row],[Employee Name]],'Base Schedules'!$A$1:$AW$44,46,FALSE)),"")</f>
        <v/>
      </c>
      <c r="AV9" s="184" t="str">
        <f>IFERROR(IF(VLOOKUP(Fri_W2[[#This Row],[Employee Name]],'Base Schedules'!$A$1:$AW$44,47,FALSE)="","",VLOOKUP(Fri_W2[[#This Row],[Employee Name]],'Base Schedules'!$A$1:$AW$44,47,FALSE)),"")</f>
        <v/>
      </c>
      <c r="AW9" s="184" t="str">
        <f>IFERROR(IF(VLOOKUP(Fri_W2[[#This Row],[Employee Name]],'Base Schedules'!$A$1:$AW$44,48,FALSE)="","",VLOOKUP(Fri_W2[[#This Row],[Employee Name]],'Base Schedules'!$A$1:$AW$44,48,FALSE)),"")</f>
        <v/>
      </c>
      <c r="AX9" s="184" t="str">
        <f>IFERROR(IF(VLOOKUP(Fri_W2[[#This Row],[Employee Name]],'Base Schedules'!$A$1:$AW$44,49,FALSE)="","",VLOOKUP(Fri_W2[[#This Row],[Employee Name]],'Base Schedules'!$A$1:$AW$44,49,FALSE)),"")</f>
        <v/>
      </c>
      <c r="AY9" s="158" t="str">
        <f t="shared" ref="AY9:AY49" si="2">IF(B9="","",B9)</f>
        <v>Alvarez, Carlos</v>
      </c>
    </row>
    <row r="10" spans="1:51" s="44" customFormat="1" ht="11.25" customHeight="1" x14ac:dyDescent="0.2">
      <c r="A10" s="39" t="str">
        <f>IF(B10="","",INDEX(TeamList[],MATCH($B10,TeamList[[Employee Name]:[Employee Name]],0),MATCH("Manager",TeamList[#Headers],0)))</f>
        <v>Olson, Katherine</v>
      </c>
      <c r="B10" s="201" t="s">
        <v>24</v>
      </c>
      <c r="C10" s="257" t="str">
        <f>_xlfn.IFNA(VLOOKUP(Fri_W2[[#This Row],[Employee Name]],'Base Schedules'!A:B,2,FALSE),"")</f>
        <v>Lead</v>
      </c>
      <c r="D10" s="274">
        <f>_xlfn.IFNA(VLOOKUP(Fri_W2[[#This Row],[Employee Name]],'Base Schedules'!A:C,3,FALSE),"")</f>
        <v>500</v>
      </c>
      <c r="E10" s="274">
        <f>_xlfn.IFNA(VLOOKUP(Fri_W2[[#This Row],[Employee Name]],'Base Schedules'!A:D,4,FALSE),"")</f>
        <v>1330</v>
      </c>
      <c r="F10" s="142">
        <f>IF(Fri_W2[[#This Row],[Employee Name]]="","",IF(Fri_W2[[#This Row],[Dept]]="Supervisor",COUNTIFS($J10:$AX10,"*HL*",$J10:$AX10,"&lt;&gt;"&amp;"pHL"),COUNTIFS($J10:$AX10,"*HL*",$J10:$AX10,"&lt;&gt;"&amp;"*pHL*",$J10:$AX10,"&lt;&gt;"&amp;"pB1 HL",$J10:$AX10,"&lt;&gt;"&amp;"pB2 HL")-SUM(COUNTIFS($J10:$AX10,"*HL B1*",$J10:$AX10,"&lt;&gt;"&amp;"pHL B1")*0.5,COUNTIFS($J10:$AX10,"*HL B2*",$J10:$AX10,"&lt;&gt;"&amp;"pHL B2")*0.5,COUNTIFS($J10:$AX10,"*B1 HL*",$J10:$AX10,"&lt;&gt;"&amp;"pB1 HL")*0.5,COUNTIFS($J10:$AX10,"*B2 HL*",$J10:$AX10,"&lt;&gt;"&amp;"pB2 HL")*0.5)))</f>
        <v>8.5</v>
      </c>
      <c r="G10" s="142">
        <f t="shared" si="0"/>
        <v>0</v>
      </c>
      <c r="H10" s="142">
        <f t="shared" si="1"/>
        <v>5</v>
      </c>
      <c r="I10" s="142">
        <f>IF(Fri_W2[[#This Row],[Employee Name]]="","",IF(Fri_W2[[#This Row],[Dept]]="Supervisor",SUM(COUNTIFS($J10:$AX10,"RTA*",$J10:$AX10,"&lt;&gt;"&amp;"pRTA"),COUNTIFS($J10:$AX10,"*CRTA*",$J10:$AX10,"&lt;&gt;"&amp;"pCRTA")),COUNTIFS($J10:$AX10,"*RNNR*",$J10:$AX10,"&lt;&gt;"&amp;"*pRNNR*",$J10:$AX10,"&lt;&gt;"&amp;"pB1 RNNR",$J10:$AX10,"&lt;&gt;"&amp;"pB2 RNNR")-SUM(COUNTIFS($J10:$AX10,"*RNNR B1*",$J10:$AX10,"&lt;&gt;"&amp;"pRNNR B1")*0.5,COUNTIFS($J10:$AX10,"*RNNR B2*",$J10:$AX10,"&lt;&gt;"&amp;"pRNNR B2")*0.5,COUNTIFS($J10:$AX10,"*B1 RNNR*",$J10:$AX10,"&lt;&gt;"&amp;"pB1 RNNR")*0.5,COUNTIFS($J10:$AX10,"*B2 RNNR*",$J10:$AX10,"&lt;&gt;"&amp;"pB2 RNNR")*0.5)))</f>
        <v>2</v>
      </c>
      <c r="J10" s="184" t="str">
        <f>IFERROR(IF(VLOOKUP(Fri_W2[[#This Row],[Employee Name]],'Base Schedules'!$A$1:$AW$44,9,FALSE)="","",VLOOKUP(Fri_W2[[#This Row],[Employee Name]],'Base Schedules'!$A$1:$AW$44,9,FALSE)),"")</f>
        <v>HL</v>
      </c>
      <c r="K10" s="184" t="str">
        <f>IFERROR(IF(VLOOKUP(Fri_W2[[#This Row],[Employee Name]],'Base Schedules'!$A$1:$AW$44,10,FALSE)="","",VLOOKUP(Fri_W2[[#This Row],[Employee Name]],'Base Schedules'!$A$1:$AW$44,10,FALSE)),"")</f>
        <v>HL</v>
      </c>
      <c r="L10" s="184" t="str">
        <f>IFERROR(IF(VLOOKUP(Fri_W2[[#This Row],[Employee Name]],'Base Schedules'!$A$1:$AW$44,11,FALSE)="","",VLOOKUP(Fri_W2[[#This Row],[Employee Name]],'Base Schedules'!$A$1:$AW$44,11,FALSE)),"")</f>
        <v>HL</v>
      </c>
      <c r="M10" s="184" t="str">
        <f>IFERROR(IF(VLOOKUP(Fri_W2[[#This Row],[Employee Name]],'Base Schedules'!$A$1:$AW$44,12,FALSE)="","",VLOOKUP(Fri_W2[[#This Row],[Employee Name]],'Base Schedules'!$A$1:$AW$44,12,FALSE)),"")</f>
        <v>HL</v>
      </c>
      <c r="N10" s="184" t="str">
        <f>IFERROR(IF(VLOOKUP(Fri_W2[[#This Row],[Employee Name]],'Base Schedules'!$A$1:$AW$44,13,FALSE)="","",VLOOKUP(Fri_W2[[#This Row],[Employee Name]],'Base Schedules'!$A$1:$AW$44,13,FALSE)),"")</f>
        <v>HL B1</v>
      </c>
      <c r="O10" s="184" t="str">
        <f>IFERROR(IF(VLOOKUP(Fri_W2[[#This Row],[Employee Name]],'Base Schedules'!$A$1:$AW$44,14,FALSE)="","",VLOOKUP(Fri_W2[[#This Row],[Employee Name]],'Base Schedules'!$A$1:$AW$44,14,FALSE)),"")</f>
        <v>ADM</v>
      </c>
      <c r="P10" s="184" t="str">
        <f>IFERROR(IF(VLOOKUP(Fri_W2[[#This Row],[Employee Name]],'Base Schedules'!$A$1:$AW$44,15,FALSE)="","",VLOOKUP(Fri_W2[[#This Row],[Employee Name]],'Base Schedules'!$A$1:$AW$44,15,FALSE)),"")</f>
        <v>RNNR</v>
      </c>
      <c r="Q10" s="184" t="str">
        <f>IFERROR(IF(VLOOKUP(Fri_W2[[#This Row],[Employee Name]],'Base Schedules'!$A$1:$AW$44,16,FALSE)="","",VLOOKUP(Fri_W2[[#This Row],[Employee Name]],'Base Schedules'!$A$1:$AW$44,16,FALSE)),"")</f>
        <v>RNNR</v>
      </c>
      <c r="R10" s="184" t="str">
        <f>IFERROR(IF(VLOOKUP(Fri_W2[[#This Row],[Employee Name]],'Base Schedules'!$A$1:$AW$44,17,FALSE)="","",VLOOKUP(Fri_W2[[#This Row],[Employee Name]],'Base Schedules'!$A$1:$AW$44,17,FALSE)),"")</f>
        <v>LUNCH</v>
      </c>
      <c r="S10" s="184" t="str">
        <f>IFERROR(IF(VLOOKUP(Fri_W2[[#This Row],[Employee Name]],'Base Schedules'!$A$1:$AW$44,18,FALSE)="","",VLOOKUP(Fri_W2[[#This Row],[Employee Name]],'Base Schedules'!$A$1:$AW$44,18,FALSE)),"")</f>
        <v>ADM</v>
      </c>
      <c r="T10" s="184" t="str">
        <f>IFERROR(IF(VLOOKUP(Fri_W2[[#This Row],[Employee Name]],'Base Schedules'!$A$1:$AW$44,19,FALSE)="","",VLOOKUP(Fri_W2[[#This Row],[Employee Name]],'Base Schedules'!$A$1:$AW$44,19,FALSE)),"")</f>
        <v>ADM</v>
      </c>
      <c r="U10" s="184" t="str">
        <f>IFERROR(IF(VLOOKUP(Fri_W2[[#This Row],[Employee Name]],'Base Schedules'!$A$1:$AW$44,20,FALSE)="","",VLOOKUP(Fri_W2[[#This Row],[Employee Name]],'Base Schedules'!$A$1:$AW$44,20,FALSE)),"")</f>
        <v>ADM</v>
      </c>
      <c r="V10" s="184" t="str">
        <f>IFERROR(IF(VLOOKUP(Fri_W2[[#This Row],[Employee Name]],'Base Schedules'!$A$1:$AW$44,21,FALSE)="","",VLOOKUP(Fri_W2[[#This Row],[Employee Name]],'Base Schedules'!$A$1:$AW$44,21,FALSE)),"")</f>
        <v>ADM B2</v>
      </c>
      <c r="W10" s="184" t="str">
        <f>IFERROR(IF(VLOOKUP(Fri_W2[[#This Row],[Employee Name]],'Base Schedules'!$A$1:$AW$44,22,FALSE)="","",VLOOKUP(Fri_W2[[#This Row],[Employee Name]],'Base Schedules'!$A$1:$AW$44,22,FALSE)),"")</f>
        <v>HL</v>
      </c>
      <c r="X10" s="184" t="str">
        <f>IFERROR(IF(VLOOKUP(Fri_W2[[#This Row],[Employee Name]],'Base Schedules'!$A$1:$AW$44,23,FALSE)="","",VLOOKUP(Fri_W2[[#This Row],[Employee Name]],'Base Schedules'!$A$1:$AW$44,23,FALSE)),"")</f>
        <v>HL</v>
      </c>
      <c r="Y10" s="184" t="str">
        <f>IFERROR(IF(VLOOKUP(Fri_W2[[#This Row],[Employee Name]],'Base Schedules'!$A$1:$AW$44,24,FALSE)="","",VLOOKUP(Fri_W2[[#This Row],[Employee Name]],'Base Schedules'!$A$1:$AW$44,24,FALSE)),"")</f>
        <v>HL</v>
      </c>
      <c r="Z10" s="184" t="str">
        <f>IFERROR(IF(VLOOKUP(Fri_W2[[#This Row],[Employee Name]],'Base Schedules'!$A$1:$AW$44,25,FALSE)="","",VLOOKUP(Fri_W2[[#This Row],[Employee Name]],'Base Schedules'!$A$1:$AW$44,25,FALSE)),"")</f>
        <v>HL</v>
      </c>
      <c r="AA10" s="184" t="str">
        <f>IFERROR(IF(VLOOKUP(Fri_W2[[#This Row],[Employee Name]],'Base Schedules'!$A$1:$AW$44,26,FALSE)="","",VLOOKUP(Fri_W2[[#This Row],[Employee Name]],'Base Schedules'!$A$1:$AW$44,26,FALSE)),"")</f>
        <v/>
      </c>
      <c r="AB10" s="184" t="str">
        <f>IFERROR(IF(VLOOKUP(Fri_W2[[#This Row],[Employee Name]],'Base Schedules'!$A$1:$AW$44,27,FALSE)="","",VLOOKUP(Fri_W2[[#This Row],[Employee Name]],'Base Schedules'!$A$1:$AW$44,27,FALSE)),"")</f>
        <v/>
      </c>
      <c r="AC10" s="184" t="str">
        <f>IFERROR(IF(VLOOKUP(Fri_W2[[#This Row],[Employee Name]],'Base Schedules'!$A$1:$AW$44,28,FALSE)="","",VLOOKUP(Fri_W2[[#This Row],[Employee Name]],'Base Schedules'!$A$1:$AW$44,28,FALSE)),"")</f>
        <v/>
      </c>
      <c r="AD10" s="184" t="str">
        <f>IFERROR(IF(VLOOKUP(Fri_W2[[#This Row],[Employee Name]],'Base Schedules'!$A$1:$AW$44,29,FALSE)="","",VLOOKUP(Fri_W2[[#This Row],[Employee Name]],'Base Schedules'!$A$1:$AW$44,29,FALSE)),"")</f>
        <v/>
      </c>
      <c r="AE10" s="184" t="str">
        <f>IFERROR(IF(VLOOKUP(Fri_W2[[#This Row],[Employee Name]],'Base Schedules'!$A$1:$AW$44,30,FALSE)="","",VLOOKUP(Fri_W2[[#This Row],[Employee Name]],'Base Schedules'!$A$1:$AW$44,30,FALSE)),"")</f>
        <v/>
      </c>
      <c r="AF10" s="184" t="str">
        <f>IFERROR(IF(VLOOKUP(Fri_W2[[#This Row],[Employee Name]],'Base Schedules'!$A$1:$AW$44,31,FALSE)="","",VLOOKUP(Fri_W2[[#This Row],[Employee Name]],'Base Schedules'!$A$1:$AW$44,31,FALSE)),"")</f>
        <v/>
      </c>
      <c r="AG10" s="184" t="str">
        <f>IFERROR(IF(VLOOKUP(Fri_W2[[#This Row],[Employee Name]],'Base Schedules'!$A$1:$AW$44,32,FALSE)="","",VLOOKUP(Fri_W2[[#This Row],[Employee Name]],'Base Schedules'!$A$1:$AW$44,32,FALSE)),"")</f>
        <v/>
      </c>
      <c r="AH10" s="184" t="str">
        <f>IFERROR(IF(VLOOKUP(Fri_W2[[#This Row],[Employee Name]],'Base Schedules'!$A$1:$AW$44,33,FALSE)="","",VLOOKUP(Fri_W2[[#This Row],[Employee Name]],'Base Schedules'!$A$1:$AW$44,33,FALSE)),"")</f>
        <v/>
      </c>
      <c r="AI10" s="184" t="str">
        <f>IFERROR(IF(VLOOKUP(Fri_W2[[#This Row],[Employee Name]],'Base Schedules'!$A$1:$AW$44,34,FALSE)="","",VLOOKUP(Fri_W2[[#This Row],[Employee Name]],'Base Schedules'!$A$1:$AW$44,34,FALSE)),"")</f>
        <v/>
      </c>
      <c r="AJ10" s="184" t="str">
        <f>IFERROR(IF(VLOOKUP(Fri_W2[[#This Row],[Employee Name]],'Base Schedules'!$A$1:$AW$44,35,FALSE)="","",VLOOKUP(Fri_W2[[#This Row],[Employee Name]],'Base Schedules'!$A$1:$AW$44,35,FALSE)),"")</f>
        <v/>
      </c>
      <c r="AK10" s="184" t="str">
        <f>IFERROR(IF(VLOOKUP(Fri_W2[[#This Row],[Employee Name]],'Base Schedules'!$A$1:$AW$44,36,FALSE)="","",VLOOKUP(Fri_W2[[#This Row],[Employee Name]],'Base Schedules'!$A$1:$AW$44,36,FALSE)),"")</f>
        <v/>
      </c>
      <c r="AL10" s="184" t="str">
        <f>IFERROR(IF(VLOOKUP(Fri_W2[[#This Row],[Employee Name]],'Base Schedules'!$A$1:$AW$44,37,FALSE)="","",VLOOKUP(Fri_W2[[#This Row],[Employee Name]],'Base Schedules'!$A$1:$AW$44,37,FALSE)),"")</f>
        <v/>
      </c>
      <c r="AM10" s="184" t="str">
        <f>IFERROR(IF(VLOOKUP(Fri_W2[[#This Row],[Employee Name]],'Base Schedules'!$A$1:$AW$44,38,FALSE)="","",VLOOKUP(Fri_W2[[#This Row],[Employee Name]],'Base Schedules'!$A$1:$AW$44,38,FALSE)),"")</f>
        <v/>
      </c>
      <c r="AN10" s="184" t="str">
        <f>IFERROR(IF(VLOOKUP(Fri_W2[[#This Row],[Employee Name]],'Base Schedules'!$A$1:$AW$44,39,FALSE)="","",VLOOKUP(Fri_W2[[#This Row],[Employee Name]],'Base Schedules'!$A$1:$AW$44,39,FALSE)),"")</f>
        <v/>
      </c>
      <c r="AO10" s="184" t="str">
        <f>IFERROR(IF(VLOOKUP(Fri_W2[[#This Row],[Employee Name]],'Base Schedules'!$A$1:$AW$44,40,FALSE)="","",VLOOKUP(Fri_W2[[#This Row],[Employee Name]],'Base Schedules'!$A$1:$AW$44,40,FALSE)),"")</f>
        <v/>
      </c>
      <c r="AP10" s="184" t="str">
        <f>IFERROR(IF(VLOOKUP(Fri_W2[[#This Row],[Employee Name]],'Base Schedules'!$A$1:$AW$44,41,FALSE)="","",VLOOKUP(Fri_W2[[#This Row],[Employee Name]],'Base Schedules'!$A$1:$AW$44,41,FALSE)),"")</f>
        <v/>
      </c>
      <c r="AQ10" s="184" t="str">
        <f>IFERROR(IF(VLOOKUP(Fri_W2[[#This Row],[Employee Name]],'Base Schedules'!$A$1:$AW$44,42,FALSE)="","",VLOOKUP(Fri_W2[[#This Row],[Employee Name]],'Base Schedules'!$A$1:$AW$44,42,FALSE)),"")</f>
        <v/>
      </c>
      <c r="AR10" s="184" t="str">
        <f>IFERROR(IF(VLOOKUP(Fri_W2[[#This Row],[Employee Name]],'Base Schedules'!$A$1:$AW$44,43,FALSE)="","",VLOOKUP(Fri_W2[[#This Row],[Employee Name]],'Base Schedules'!$A$1:$AW$44,43,FALSE)),"")</f>
        <v/>
      </c>
      <c r="AS10" s="184" t="str">
        <f>IFERROR(IF(VLOOKUP(Fri_W2[[#This Row],[Employee Name]],'Base Schedules'!$A$1:$AW$44,44,FALSE)="","",VLOOKUP(Fri_W2[[#This Row],[Employee Name]],'Base Schedules'!$A$1:$AW$44,44,FALSE)),"")</f>
        <v/>
      </c>
      <c r="AT10" s="184" t="str">
        <f>IFERROR(IF(VLOOKUP(Fri_W2[[#This Row],[Employee Name]],'Base Schedules'!$A$1:$AW$44,45,FALSE)="","",VLOOKUP(Fri_W2[[#This Row],[Employee Name]],'Base Schedules'!$A$1:$AW$44,45,FALSE)),"")</f>
        <v/>
      </c>
      <c r="AU10" s="184" t="str">
        <f>IFERROR(IF(VLOOKUP(Fri_W2[[#This Row],[Employee Name]],'Base Schedules'!$A$1:$AW$44,46,FALSE)="","",VLOOKUP(Fri_W2[[#This Row],[Employee Name]],'Base Schedules'!$A$1:$AW$44,46,FALSE)),"")</f>
        <v/>
      </c>
      <c r="AV10" s="184" t="str">
        <f>IFERROR(IF(VLOOKUP(Fri_W2[[#This Row],[Employee Name]],'Base Schedules'!$A$1:$AW$44,47,FALSE)="","",VLOOKUP(Fri_W2[[#This Row],[Employee Name]],'Base Schedules'!$A$1:$AW$44,47,FALSE)),"")</f>
        <v/>
      </c>
      <c r="AW10" s="184" t="str">
        <f>IFERROR(IF(VLOOKUP(Fri_W2[[#This Row],[Employee Name]],'Base Schedules'!$A$1:$AW$44,48,FALSE)="","",VLOOKUP(Fri_W2[[#This Row],[Employee Name]],'Base Schedules'!$A$1:$AW$44,48,FALSE)),"")</f>
        <v/>
      </c>
      <c r="AX10" s="184" t="str">
        <f>IFERROR(IF(VLOOKUP(Fri_W2[[#This Row],[Employee Name]],'Base Schedules'!$A$1:$AW$44,49,FALSE)="","",VLOOKUP(Fri_W2[[#This Row],[Employee Name]],'Base Schedules'!$A$1:$AW$44,49,FALSE)),"")</f>
        <v/>
      </c>
      <c r="AY10" s="159" t="str">
        <f t="shared" si="2"/>
        <v>Birrueta Arellano, Neftali</v>
      </c>
    </row>
    <row r="11" spans="1:51" s="44" customFormat="1" ht="11.25" customHeight="1" x14ac:dyDescent="0.2">
      <c r="A11" s="39" t="str">
        <f>IF(B11="","",INDEX(TeamList[],MATCH($B11,TeamList[[Employee Name]:[Employee Name]],0),MATCH("Manager",TeamList[#Headers],0)))</f>
        <v>Ahmed Hassan, Zahra</v>
      </c>
      <c r="B11" s="201" t="s">
        <v>25</v>
      </c>
      <c r="C11" s="257" t="str">
        <f>_xlfn.IFNA(VLOOKUP(Fri_W2[[#This Row],[Employee Name]],'Base Schedules'!A:B,2,FALSE),"")</f>
        <v>Supervisor</v>
      </c>
      <c r="D11" s="274">
        <f>_xlfn.IFNA(VLOOKUP(Fri_W2[[#This Row],[Employee Name]],'Base Schedules'!A:C,3,FALSE),"")</f>
        <v>500</v>
      </c>
      <c r="E11" s="274">
        <f>_xlfn.IFNA(VLOOKUP(Fri_W2[[#This Row],[Employee Name]],'Base Schedules'!A:D,4,FALSE),"")</f>
        <v>1400</v>
      </c>
      <c r="F11" s="142">
        <f>IF(Fri_W2[[#This Row],[Employee Name]]="","",IF(Fri_W2[[#This Row],[Dept]]="Supervisor",COUNTIFS($J11:$AX11,"*HL*",$J11:$AX11,"&lt;&gt;"&amp;"pHL"),COUNTIFS($J11:$AX11,"*HL*",$J11:$AX11,"&lt;&gt;"&amp;"*pHL*",$J11:$AX11,"&lt;&gt;"&amp;"pB1 HL",$J11:$AX11,"&lt;&gt;"&amp;"pB2 HL")-SUM(COUNTIFS($J11:$AX11,"*HL B1*",$J11:$AX11,"&lt;&gt;"&amp;"pHL B1")*0.5,COUNTIFS($J11:$AX11,"*HL B2*",$J11:$AX11,"&lt;&gt;"&amp;"pHL B2")*0.5,COUNTIFS($J11:$AX11,"*B1 HL*",$J11:$AX11,"&lt;&gt;"&amp;"pB1 HL")*0.5,COUNTIFS($J11:$AX11,"*B2 HL*",$J11:$AX11,"&lt;&gt;"&amp;"pB2 HL")*0.5)))</f>
        <v>0</v>
      </c>
      <c r="G11" s="142">
        <f t="shared" si="0"/>
        <v>3</v>
      </c>
      <c r="H11" s="142">
        <f t="shared" si="1"/>
        <v>0</v>
      </c>
      <c r="I11" s="142">
        <f>IF(Fri_W2[[#This Row],[Employee Name]]="","",IF(Fri_W2[[#This Row],[Dept]]="Supervisor",SUM(COUNTIFS($J11:$AX11,"RTA*",$J11:$AX11,"&lt;&gt;"&amp;"pRTA"),COUNTIFS($J11:$AX11,"*CRTA*",$J11:$AX11,"&lt;&gt;"&amp;"pCRTA")),COUNTIFS($J11:$AX11,"*RNNR*",$J11:$AX11,"&lt;&gt;"&amp;"*pRNNR*",$J11:$AX11,"&lt;&gt;"&amp;"pB1 RNNR",$J11:$AX11,"&lt;&gt;"&amp;"pB2 RNNR")-SUM(COUNTIFS($J11:$AX11,"*RNNR B1*",$J11:$AX11,"&lt;&gt;"&amp;"pRNNR B1")*0.5,COUNTIFS($J11:$AX11,"*RNNR B2*",$J11:$AX11,"&lt;&gt;"&amp;"pRNNR B2")*0.5,COUNTIFS($J11:$AX11,"*B1 RNNR*",$J11:$AX11,"&lt;&gt;"&amp;"pB1 RNNR")*0.5,COUNTIFS($J11:$AX11,"*B2 RNNR*",$J11:$AX11,"&lt;&gt;"&amp;"pB2 RNNR")*0.5)))</f>
        <v>0</v>
      </c>
      <c r="J11" s="184" t="str">
        <f>IFERROR(IF(VLOOKUP(Fri_W2[[#This Row],[Employee Name]],'Base Schedules'!$A$1:$AW$44,9,FALSE)="","",VLOOKUP(Fri_W2[[#This Row],[Employee Name]],'Base Schedules'!$A$1:$AW$44,9,FALSE)),"")</f>
        <v>-</v>
      </c>
      <c r="K11" s="184" t="str">
        <f>IFERROR(IF(VLOOKUP(Fri_W2[[#This Row],[Employee Name]],'Base Schedules'!$A$1:$AW$44,10,FALSE)="","",VLOOKUP(Fri_W2[[#This Row],[Employee Name]],'Base Schedules'!$A$1:$AW$44,10,FALSE)),"")</f>
        <v>-</v>
      </c>
      <c r="L11" s="184" t="str">
        <f>IFERROR(IF(VLOOKUP(Fri_W2[[#This Row],[Employee Name]],'Base Schedules'!$A$1:$AW$44,11,FALSE)="","",VLOOKUP(Fri_W2[[#This Row],[Employee Name]],'Base Schedules'!$A$1:$AW$44,11,FALSE)),"")</f>
        <v>-</v>
      </c>
      <c r="M11" s="184" t="str">
        <f>IFERROR(IF(VLOOKUP(Fri_W2[[#This Row],[Employee Name]],'Base Schedules'!$A$1:$AW$44,12,FALSE)="","",VLOOKUP(Fri_W2[[#This Row],[Employee Name]],'Base Schedules'!$A$1:$AW$44,12,FALSE)),"")</f>
        <v>-</v>
      </c>
      <c r="N11" s="184" t="str">
        <f>IFERROR(IF(VLOOKUP(Fri_W2[[#This Row],[Employee Name]],'Base Schedules'!$A$1:$AW$44,13,FALSE)="","",VLOOKUP(Fri_W2[[#This Row],[Employee Name]],'Base Schedules'!$A$1:$AW$44,13,FALSE)),"")</f>
        <v>-</v>
      </c>
      <c r="O11" s="184" t="str">
        <f>IFERROR(IF(VLOOKUP(Fri_W2[[#This Row],[Employee Name]],'Base Schedules'!$A$1:$AW$44,14,FALSE)="","",VLOOKUP(Fri_W2[[#This Row],[Employee Name]],'Base Schedules'!$A$1:$AW$44,14,FALSE)),"")</f>
        <v>-</v>
      </c>
      <c r="P11" s="184" t="str">
        <f>IFERROR(IF(VLOOKUP(Fri_W2[[#This Row],[Employee Name]],'Base Schedules'!$A$1:$AW$44,15,FALSE)="","",VLOOKUP(Fri_W2[[#This Row],[Employee Name]],'Base Schedules'!$A$1:$AW$44,15,FALSE)),"")</f>
        <v>Interview</v>
      </c>
      <c r="Q11" s="184" t="str">
        <f>IFERROR(IF(VLOOKUP(Fri_W2[[#This Row],[Employee Name]],'Base Schedules'!$A$1:$AW$44,16,FALSE)="","",VLOOKUP(Fri_W2[[#This Row],[Employee Name]],'Base Schedules'!$A$1:$AW$44,16,FALSE)),"")</f>
        <v>Interview</v>
      </c>
      <c r="R11" s="184" t="str">
        <f>IFERROR(IF(VLOOKUP(Fri_W2[[#This Row],[Employee Name]],'Base Schedules'!$A$1:$AW$44,17,FALSE)="","",VLOOKUP(Fri_W2[[#This Row],[Employee Name]],'Base Schedules'!$A$1:$AW$44,17,FALSE)),"")</f>
        <v>-</v>
      </c>
      <c r="S11" s="184" t="str">
        <f>IFERROR(IF(VLOOKUP(Fri_W2[[#This Row],[Employee Name]],'Base Schedules'!$A$1:$AW$44,18,FALSE)="","",VLOOKUP(Fri_W2[[#This Row],[Employee Name]],'Base Schedules'!$A$1:$AW$44,18,FALSE)),"")</f>
        <v>Coaching</v>
      </c>
      <c r="T11" s="184" t="str">
        <f>IFERROR(IF(VLOOKUP(Fri_W2[[#This Row],[Employee Name]],'Base Schedules'!$A$1:$AW$44,19,FALSE)="","",VLOOKUP(Fri_W2[[#This Row],[Employee Name]],'Base Schedules'!$A$1:$AW$44,19,FALSE)),"")</f>
        <v>Coaching</v>
      </c>
      <c r="U11" s="184" t="str">
        <f>IFERROR(IF(VLOOKUP(Fri_W2[[#This Row],[Employee Name]],'Base Schedules'!$A$1:$AW$44,20,FALSE)="","",VLOOKUP(Fri_W2[[#This Row],[Employee Name]],'Base Schedules'!$A$1:$AW$44,20,FALSE)),"")</f>
        <v>Coaching</v>
      </c>
      <c r="V11" s="184" t="str">
        <f>IFERROR(IF(VLOOKUP(Fri_W2[[#This Row],[Employee Name]],'Base Schedules'!$A$1:$AW$44,21,FALSE)="","",VLOOKUP(Fri_W2[[#This Row],[Employee Name]],'Base Schedules'!$A$1:$AW$44,21,FALSE)),"")</f>
        <v>-</v>
      </c>
      <c r="W11" s="184" t="str">
        <f>IFERROR(IF(VLOOKUP(Fri_W2[[#This Row],[Employee Name]],'Base Schedules'!$A$1:$AW$44,22,FALSE)="","",VLOOKUP(Fri_W2[[#This Row],[Employee Name]],'Base Schedules'!$A$1:$AW$44,22,FALSE)),"")</f>
        <v>TM PREP</v>
      </c>
      <c r="X11" s="184" t="str">
        <f>IFERROR(IF(VLOOKUP(Fri_W2[[#This Row],[Employee Name]],'Base Schedules'!$A$1:$AW$44,23,FALSE)="","",VLOOKUP(Fri_W2[[#This Row],[Employee Name]],'Base Schedules'!$A$1:$AW$44,23,FALSE)),"")</f>
        <v>OATES TM</v>
      </c>
      <c r="Y11" s="184" t="str">
        <f>IFERROR(IF(VLOOKUP(Fri_W2[[#This Row],[Employee Name]],'Base Schedules'!$A$1:$AW$44,24,FALSE)="","",VLOOKUP(Fri_W2[[#This Row],[Employee Name]],'Base Schedules'!$A$1:$AW$44,24,FALSE)),"")</f>
        <v>OATES TM</v>
      </c>
      <c r="Z11" s="184" t="str">
        <f>IFERROR(IF(VLOOKUP(Fri_W2[[#This Row],[Employee Name]],'Base Schedules'!$A$1:$AW$44,25,FALSE)="","",VLOOKUP(Fri_W2[[#This Row],[Employee Name]],'Base Schedules'!$A$1:$AW$44,25,FALSE)),"")</f>
        <v>-</v>
      </c>
      <c r="AA11" s="184" t="str">
        <f>IFERROR(IF(VLOOKUP(Fri_W2[[#This Row],[Employee Name]],'Base Schedules'!$A$1:$AW$44,26,FALSE)="","",VLOOKUP(Fri_W2[[#This Row],[Employee Name]],'Base Schedules'!$A$1:$AW$44,26,FALSE)),"")</f>
        <v>-</v>
      </c>
      <c r="AB11" s="184" t="str">
        <f>IFERROR(IF(VLOOKUP(Fri_W2[[#This Row],[Employee Name]],'Base Schedules'!$A$1:$AW$44,27,FALSE)="","",VLOOKUP(Fri_W2[[#This Row],[Employee Name]],'Base Schedules'!$A$1:$AW$44,27,FALSE)),"")</f>
        <v/>
      </c>
      <c r="AC11" s="184" t="str">
        <f>IFERROR(IF(VLOOKUP(Fri_W2[[#This Row],[Employee Name]],'Base Schedules'!$A$1:$AW$44,28,FALSE)="","",VLOOKUP(Fri_W2[[#This Row],[Employee Name]],'Base Schedules'!$A$1:$AW$44,28,FALSE)),"")</f>
        <v/>
      </c>
      <c r="AD11" s="184" t="str">
        <f>IFERROR(IF(VLOOKUP(Fri_W2[[#This Row],[Employee Name]],'Base Schedules'!$A$1:$AW$44,29,FALSE)="","",VLOOKUP(Fri_W2[[#This Row],[Employee Name]],'Base Schedules'!$A$1:$AW$44,29,FALSE)),"")</f>
        <v/>
      </c>
      <c r="AE11" s="184" t="str">
        <f>IFERROR(IF(VLOOKUP(Fri_W2[[#This Row],[Employee Name]],'Base Schedules'!$A$1:$AW$44,30,FALSE)="","",VLOOKUP(Fri_W2[[#This Row],[Employee Name]],'Base Schedules'!$A$1:$AW$44,30,FALSE)),"")</f>
        <v/>
      </c>
      <c r="AF11" s="184" t="str">
        <f>IFERROR(IF(VLOOKUP(Fri_W2[[#This Row],[Employee Name]],'Base Schedules'!$A$1:$AW$44,31,FALSE)="","",VLOOKUP(Fri_W2[[#This Row],[Employee Name]],'Base Schedules'!$A$1:$AW$44,31,FALSE)),"")</f>
        <v/>
      </c>
      <c r="AG11" s="184" t="str">
        <f>IFERROR(IF(VLOOKUP(Fri_W2[[#This Row],[Employee Name]],'Base Schedules'!$A$1:$AW$44,32,FALSE)="","",VLOOKUP(Fri_W2[[#This Row],[Employee Name]],'Base Schedules'!$A$1:$AW$44,32,FALSE)),"")</f>
        <v/>
      </c>
      <c r="AH11" s="184" t="str">
        <f>IFERROR(IF(VLOOKUP(Fri_W2[[#This Row],[Employee Name]],'Base Schedules'!$A$1:$AW$44,33,FALSE)="","",VLOOKUP(Fri_W2[[#This Row],[Employee Name]],'Base Schedules'!$A$1:$AW$44,33,FALSE)),"")</f>
        <v/>
      </c>
      <c r="AI11" s="184" t="str">
        <f>IFERROR(IF(VLOOKUP(Fri_W2[[#This Row],[Employee Name]],'Base Schedules'!$A$1:$AW$44,34,FALSE)="","",VLOOKUP(Fri_W2[[#This Row],[Employee Name]],'Base Schedules'!$A$1:$AW$44,34,FALSE)),"")</f>
        <v/>
      </c>
      <c r="AJ11" s="184" t="str">
        <f>IFERROR(IF(VLOOKUP(Fri_W2[[#This Row],[Employee Name]],'Base Schedules'!$A$1:$AW$44,35,FALSE)="","",VLOOKUP(Fri_W2[[#This Row],[Employee Name]],'Base Schedules'!$A$1:$AW$44,35,FALSE)),"")</f>
        <v/>
      </c>
      <c r="AK11" s="184" t="str">
        <f>IFERROR(IF(VLOOKUP(Fri_W2[[#This Row],[Employee Name]],'Base Schedules'!$A$1:$AW$44,36,FALSE)="","",VLOOKUP(Fri_W2[[#This Row],[Employee Name]],'Base Schedules'!$A$1:$AW$44,36,FALSE)),"")</f>
        <v/>
      </c>
      <c r="AL11" s="184" t="str">
        <f>IFERROR(IF(VLOOKUP(Fri_W2[[#This Row],[Employee Name]],'Base Schedules'!$A$1:$AW$44,37,FALSE)="","",VLOOKUP(Fri_W2[[#This Row],[Employee Name]],'Base Schedules'!$A$1:$AW$44,37,FALSE)),"")</f>
        <v/>
      </c>
      <c r="AM11" s="184" t="str">
        <f>IFERROR(IF(VLOOKUP(Fri_W2[[#This Row],[Employee Name]],'Base Schedules'!$A$1:$AW$44,38,FALSE)="","",VLOOKUP(Fri_W2[[#This Row],[Employee Name]],'Base Schedules'!$A$1:$AW$44,38,FALSE)),"")</f>
        <v/>
      </c>
      <c r="AN11" s="184" t="str">
        <f>IFERROR(IF(VLOOKUP(Fri_W2[[#This Row],[Employee Name]],'Base Schedules'!$A$1:$AW$44,39,FALSE)="","",VLOOKUP(Fri_W2[[#This Row],[Employee Name]],'Base Schedules'!$A$1:$AW$44,39,FALSE)),"")</f>
        <v/>
      </c>
      <c r="AO11" s="184" t="str">
        <f>IFERROR(IF(VLOOKUP(Fri_W2[[#This Row],[Employee Name]],'Base Schedules'!$A$1:$AW$44,40,FALSE)="","",VLOOKUP(Fri_W2[[#This Row],[Employee Name]],'Base Schedules'!$A$1:$AW$44,40,FALSE)),"")</f>
        <v/>
      </c>
      <c r="AP11" s="184" t="str">
        <f>IFERROR(IF(VLOOKUP(Fri_W2[[#This Row],[Employee Name]],'Base Schedules'!$A$1:$AW$44,41,FALSE)="","",VLOOKUP(Fri_W2[[#This Row],[Employee Name]],'Base Schedules'!$A$1:$AW$44,41,FALSE)),"")</f>
        <v/>
      </c>
      <c r="AQ11" s="184" t="str">
        <f>IFERROR(IF(VLOOKUP(Fri_W2[[#This Row],[Employee Name]],'Base Schedules'!$A$1:$AW$44,42,FALSE)="","",VLOOKUP(Fri_W2[[#This Row],[Employee Name]],'Base Schedules'!$A$1:$AW$44,42,FALSE)),"")</f>
        <v/>
      </c>
      <c r="AR11" s="184" t="str">
        <f>IFERROR(IF(VLOOKUP(Fri_W2[[#This Row],[Employee Name]],'Base Schedules'!$A$1:$AW$44,43,FALSE)="","",VLOOKUP(Fri_W2[[#This Row],[Employee Name]],'Base Schedules'!$A$1:$AW$44,43,FALSE)),"")</f>
        <v/>
      </c>
      <c r="AS11" s="184" t="str">
        <f>IFERROR(IF(VLOOKUP(Fri_W2[[#This Row],[Employee Name]],'Base Schedules'!$A$1:$AW$44,44,FALSE)="","",VLOOKUP(Fri_W2[[#This Row],[Employee Name]],'Base Schedules'!$A$1:$AW$44,44,FALSE)),"")</f>
        <v/>
      </c>
      <c r="AT11" s="184" t="str">
        <f>IFERROR(IF(VLOOKUP(Fri_W2[[#This Row],[Employee Name]],'Base Schedules'!$A$1:$AW$44,45,FALSE)="","",VLOOKUP(Fri_W2[[#This Row],[Employee Name]],'Base Schedules'!$A$1:$AW$44,45,FALSE)),"")</f>
        <v/>
      </c>
      <c r="AU11" s="184" t="str">
        <f>IFERROR(IF(VLOOKUP(Fri_W2[[#This Row],[Employee Name]],'Base Schedules'!$A$1:$AW$44,46,FALSE)="","",VLOOKUP(Fri_W2[[#This Row],[Employee Name]],'Base Schedules'!$A$1:$AW$44,46,FALSE)),"")</f>
        <v/>
      </c>
      <c r="AV11" s="184" t="str">
        <f>IFERROR(IF(VLOOKUP(Fri_W2[[#This Row],[Employee Name]],'Base Schedules'!$A$1:$AW$44,47,FALSE)="","",VLOOKUP(Fri_W2[[#This Row],[Employee Name]],'Base Schedules'!$A$1:$AW$44,47,FALSE)),"")</f>
        <v/>
      </c>
      <c r="AW11" s="184" t="str">
        <f>IFERROR(IF(VLOOKUP(Fri_W2[[#This Row],[Employee Name]],'Base Schedules'!$A$1:$AW$44,48,FALSE)="","",VLOOKUP(Fri_W2[[#This Row],[Employee Name]],'Base Schedules'!$A$1:$AW$44,48,FALSE)),"")</f>
        <v/>
      </c>
      <c r="AX11" s="184" t="str">
        <f>IFERROR(IF(VLOOKUP(Fri_W2[[#This Row],[Employee Name]],'Base Schedules'!$A$1:$AW$44,49,FALSE)="","",VLOOKUP(Fri_W2[[#This Row],[Employee Name]],'Base Schedules'!$A$1:$AW$44,49,FALSE)),"")</f>
        <v/>
      </c>
      <c r="AY11" s="159" t="str">
        <f t="shared" si="2"/>
        <v>Oates, Eleanor</v>
      </c>
    </row>
    <row r="12" spans="1:51" s="44" customFormat="1" ht="11.25" customHeight="1" x14ac:dyDescent="0.2">
      <c r="A12" s="39" t="str">
        <f>IF(B12="","",INDEX(TeamList[],MATCH($B12,TeamList[[Employee Name]:[Employee Name]],0),MATCH("Manager",TeamList[#Headers],0)))</f>
        <v>Olson, Katherine</v>
      </c>
      <c r="B12" s="201" t="s">
        <v>233</v>
      </c>
      <c r="C12" s="257" t="str">
        <f>_xlfn.IFNA(VLOOKUP(Fri_W2[[#This Row],[Employee Name]],'Base Schedules'!A:B,2,FALSE),"")</f>
        <v>Lead</v>
      </c>
      <c r="D12" s="274">
        <f>_xlfn.IFNA(VLOOKUP(Fri_W2[[#This Row],[Employee Name]],'Base Schedules'!A:C,3,FALSE),"")</f>
        <v>500</v>
      </c>
      <c r="E12" s="274">
        <f>_xlfn.IFNA(VLOOKUP(Fri_W2[[#This Row],[Employee Name]],'Base Schedules'!A:D,4,FALSE),"")</f>
        <v>1330</v>
      </c>
      <c r="F12" s="142">
        <f>IF(Fri_W2[[#This Row],[Employee Name]]="","",IF(Fri_W2[[#This Row],[Dept]]="Supervisor",COUNTIFS($J12:$AX12,"*HL*",$J12:$AX12,"&lt;&gt;"&amp;"pHL"),COUNTIFS($J12:$AX12,"*HL*",$J12:$AX12,"&lt;&gt;"&amp;"*pHL*",$J12:$AX12,"&lt;&gt;"&amp;"pB1 HL",$J12:$AX12,"&lt;&gt;"&amp;"pB2 HL")-SUM(COUNTIFS($J12:$AX12,"*HL B1*",$J12:$AX12,"&lt;&gt;"&amp;"pHL B1")*0.5,COUNTIFS($J12:$AX12,"*HL B2*",$J12:$AX12,"&lt;&gt;"&amp;"pHL B2")*0.5,COUNTIFS($J12:$AX12,"*B1 HL*",$J12:$AX12,"&lt;&gt;"&amp;"pB1 HL")*0.5,COUNTIFS($J12:$AX12,"*B2 HL*",$J12:$AX12,"&lt;&gt;"&amp;"pB2 HL")*0.5)))</f>
        <v>7</v>
      </c>
      <c r="G12" s="142">
        <f t="shared" si="0"/>
        <v>0</v>
      </c>
      <c r="H12" s="142">
        <f t="shared" si="1"/>
        <v>4</v>
      </c>
      <c r="I12" s="142">
        <f>IF(Fri_W2[[#This Row],[Employee Name]]="","",IF(Fri_W2[[#This Row],[Dept]]="Supervisor",SUM(COUNTIFS($J12:$AX12,"RTA*",$J12:$AX12,"&lt;&gt;"&amp;"pRTA"),COUNTIFS($J12:$AX12,"*CRTA*",$J12:$AX12,"&lt;&gt;"&amp;"pCRTA")),COUNTIFS($J12:$AX12,"*RNNR*",$J12:$AX12,"&lt;&gt;"&amp;"*pRNNR*",$J12:$AX12,"&lt;&gt;"&amp;"pB1 RNNR",$J12:$AX12,"&lt;&gt;"&amp;"pB2 RNNR")-SUM(COUNTIFS($J12:$AX12,"*RNNR B1*",$J12:$AX12,"&lt;&gt;"&amp;"pRNNR B1")*0.5,COUNTIFS($J12:$AX12,"*RNNR B2*",$J12:$AX12,"&lt;&gt;"&amp;"pRNNR B2")*0.5,COUNTIFS($J12:$AX12,"*B1 RNNR*",$J12:$AX12,"&lt;&gt;"&amp;"pB1 RNNR")*0.5,COUNTIFS($J12:$AX12,"*B2 RNNR*",$J12:$AX12,"&lt;&gt;"&amp;"pB2 RNNR")*0.5)))</f>
        <v>2</v>
      </c>
      <c r="J12" s="184" t="str">
        <f>IFERROR(IF(VLOOKUP(Fri_W2[[#This Row],[Employee Name]],'Base Schedules'!$A$1:$AW$44,9,FALSE)="","",VLOOKUP(Fri_W2[[#This Row],[Employee Name]],'Base Schedules'!$A$1:$AW$44,9,FALSE)),"")</f>
        <v>HL</v>
      </c>
      <c r="K12" s="184" t="str">
        <f>IFERROR(IF(VLOOKUP(Fri_W2[[#This Row],[Employee Name]],'Base Schedules'!$A$1:$AW$44,10,FALSE)="","",VLOOKUP(Fri_W2[[#This Row],[Employee Name]],'Base Schedules'!$A$1:$AW$44,10,FALSE)),"")</f>
        <v>HL</v>
      </c>
      <c r="L12" s="184" t="str">
        <f>IFERROR(IF(VLOOKUP(Fri_W2[[#This Row],[Employee Name]],'Base Schedules'!$A$1:$AW$44,11,FALSE)="","",VLOOKUP(Fri_W2[[#This Row],[Employee Name]],'Base Schedules'!$A$1:$AW$44,11,FALSE)),"")</f>
        <v>HL</v>
      </c>
      <c r="M12" s="184" t="str">
        <f>IFERROR(IF(VLOOKUP(Fri_W2[[#This Row],[Employee Name]],'Base Schedules'!$A$1:$AW$44,12,FALSE)="","",VLOOKUP(Fri_W2[[#This Row],[Employee Name]],'Base Schedules'!$A$1:$AW$44,12,FALSE)),"")</f>
        <v>HL</v>
      </c>
      <c r="N12" s="184" t="str">
        <f>IFERROR(IF(VLOOKUP(Fri_W2[[#This Row],[Employee Name]],'Base Schedules'!$A$1:$AW$44,13,FALSE)="","",VLOOKUP(Fri_W2[[#This Row],[Employee Name]],'Base Schedules'!$A$1:$AW$44,13,FALSE)),"")</f>
        <v>B1 HL</v>
      </c>
      <c r="O12" s="184" t="str">
        <f>IFERROR(IF(VLOOKUP(Fri_W2[[#This Row],[Employee Name]],'Base Schedules'!$A$1:$AW$44,14,FALSE)="","",VLOOKUP(Fri_W2[[#This Row],[Employee Name]],'Base Schedules'!$A$1:$AW$44,14,FALSE)),"")</f>
        <v>ADM</v>
      </c>
      <c r="P12" s="184" t="str">
        <f>IFERROR(IF(VLOOKUP(Fri_W2[[#This Row],[Employee Name]],'Base Schedules'!$A$1:$AW$44,15,FALSE)="","",VLOOKUP(Fri_W2[[#This Row],[Employee Name]],'Base Schedules'!$A$1:$AW$44,15,FALSE)),"")</f>
        <v>ADM</v>
      </c>
      <c r="Q12" s="184" t="str">
        <f>IFERROR(IF(VLOOKUP(Fri_W2[[#This Row],[Employee Name]],'Base Schedules'!$A$1:$AW$44,16,FALSE)="","",VLOOKUP(Fri_W2[[#This Row],[Employee Name]],'Base Schedules'!$A$1:$AW$44,16,FALSE)),"")</f>
        <v>ADM</v>
      </c>
      <c r="R12" s="184" t="str">
        <f>IFERROR(IF(VLOOKUP(Fri_W2[[#This Row],[Employee Name]],'Base Schedules'!$A$1:$AW$44,17,FALSE)="","",VLOOKUP(Fri_W2[[#This Row],[Employee Name]],'Base Schedules'!$A$1:$AW$44,17,FALSE)),"")</f>
        <v>ADM</v>
      </c>
      <c r="S12" s="184" t="str">
        <f>IFERROR(IF(VLOOKUP(Fri_W2[[#This Row],[Employee Name]],'Base Schedules'!$A$1:$AW$44,18,FALSE)="","",VLOOKUP(Fri_W2[[#This Row],[Employee Name]],'Base Schedules'!$A$1:$AW$44,18,FALSE)),"")</f>
        <v>LUNCH</v>
      </c>
      <c r="T12" s="184" t="str">
        <f>IFERROR(IF(VLOOKUP(Fri_W2[[#This Row],[Employee Name]],'Base Schedules'!$A$1:$AW$44,19,FALSE)="","",VLOOKUP(Fri_W2[[#This Row],[Employee Name]],'Base Schedules'!$A$1:$AW$44,19,FALSE)),"")</f>
        <v>RNNR</v>
      </c>
      <c r="U12" s="184" t="str">
        <f>IFERROR(IF(VLOOKUP(Fri_W2[[#This Row],[Employee Name]],'Base Schedules'!$A$1:$AW$44,20,FALSE)="","",VLOOKUP(Fri_W2[[#This Row],[Employee Name]],'Base Schedules'!$A$1:$AW$44,20,FALSE)),"")</f>
        <v>RNNR</v>
      </c>
      <c r="V12" s="184" t="str">
        <f>IFERROR(IF(VLOOKUP(Fri_W2[[#This Row],[Employee Name]],'Base Schedules'!$A$1:$AW$44,21,FALSE)="","",VLOOKUP(Fri_W2[[#This Row],[Employee Name]],'Base Schedules'!$A$1:$AW$44,21,FALSE)),"")</f>
        <v>HL</v>
      </c>
      <c r="W12" s="184" t="str">
        <f>IFERROR(IF(VLOOKUP(Fri_W2[[#This Row],[Employee Name]],'Base Schedules'!$A$1:$AW$44,22,FALSE)="","",VLOOKUP(Fri_W2[[#This Row],[Employee Name]],'Base Schedules'!$A$1:$AW$44,22,FALSE)),"")</f>
        <v>B2 HL</v>
      </c>
      <c r="X12" s="184" t="str">
        <f>IFERROR(IF(VLOOKUP(Fri_W2[[#This Row],[Employee Name]],'Base Schedules'!$A$1:$AW$44,23,FALSE)="","",VLOOKUP(Fri_W2[[#This Row],[Employee Name]],'Base Schedules'!$A$1:$AW$44,23,FALSE)),"")</f>
        <v>HL</v>
      </c>
      <c r="Y12" s="184" t="str">
        <f>IFERROR(IF(VLOOKUP(Fri_W2[[#This Row],[Employee Name]],'Base Schedules'!$A$1:$AW$44,24,FALSE)="","",VLOOKUP(Fri_W2[[#This Row],[Employee Name]],'Base Schedules'!$A$1:$AW$44,24,FALSE)),"")</f>
        <v>PROJECT</v>
      </c>
      <c r="Z12" s="184" t="str">
        <f>IFERROR(IF(VLOOKUP(Fri_W2[[#This Row],[Employee Name]],'Base Schedules'!$A$1:$AW$44,25,FALSE)="","",VLOOKUP(Fri_W2[[#This Row],[Employee Name]],'Base Schedules'!$A$1:$AW$44,25,FALSE)),"")</f>
        <v>PROJECT</v>
      </c>
      <c r="AA12" s="184" t="str">
        <f>IFERROR(IF(VLOOKUP(Fri_W2[[#This Row],[Employee Name]],'Base Schedules'!$A$1:$AW$44,26,FALSE)="","",VLOOKUP(Fri_W2[[#This Row],[Employee Name]],'Base Schedules'!$A$1:$AW$44,26,FALSE)),"")</f>
        <v/>
      </c>
      <c r="AB12" s="184" t="str">
        <f>IFERROR(IF(VLOOKUP(Fri_W2[[#This Row],[Employee Name]],'Base Schedules'!$A$1:$AW$44,27,FALSE)="","",VLOOKUP(Fri_W2[[#This Row],[Employee Name]],'Base Schedules'!$A$1:$AW$44,27,FALSE)),"")</f>
        <v/>
      </c>
      <c r="AC12" s="184" t="str">
        <f>IFERROR(IF(VLOOKUP(Fri_W2[[#This Row],[Employee Name]],'Base Schedules'!$A$1:$AW$44,28,FALSE)="","",VLOOKUP(Fri_W2[[#This Row],[Employee Name]],'Base Schedules'!$A$1:$AW$44,28,FALSE)),"")</f>
        <v/>
      </c>
      <c r="AD12" s="184" t="str">
        <f>IFERROR(IF(VLOOKUP(Fri_W2[[#This Row],[Employee Name]],'Base Schedules'!$A$1:$AW$44,29,FALSE)="","",VLOOKUP(Fri_W2[[#This Row],[Employee Name]],'Base Schedules'!$A$1:$AW$44,29,FALSE)),"")</f>
        <v/>
      </c>
      <c r="AE12" s="184" t="str">
        <f>IFERROR(IF(VLOOKUP(Fri_W2[[#This Row],[Employee Name]],'Base Schedules'!$A$1:$AW$44,30,FALSE)="","",VLOOKUP(Fri_W2[[#This Row],[Employee Name]],'Base Schedules'!$A$1:$AW$44,30,FALSE)),"")</f>
        <v/>
      </c>
      <c r="AF12" s="184" t="str">
        <f>IFERROR(IF(VLOOKUP(Fri_W2[[#This Row],[Employee Name]],'Base Schedules'!$A$1:$AW$44,31,FALSE)="","",VLOOKUP(Fri_W2[[#This Row],[Employee Name]],'Base Schedules'!$A$1:$AW$44,31,FALSE)),"")</f>
        <v/>
      </c>
      <c r="AG12" s="184" t="str">
        <f>IFERROR(IF(VLOOKUP(Fri_W2[[#This Row],[Employee Name]],'Base Schedules'!$A$1:$AW$44,32,FALSE)="","",VLOOKUP(Fri_W2[[#This Row],[Employee Name]],'Base Schedules'!$A$1:$AW$44,32,FALSE)),"")</f>
        <v/>
      </c>
      <c r="AH12" s="184" t="str">
        <f>IFERROR(IF(VLOOKUP(Fri_W2[[#This Row],[Employee Name]],'Base Schedules'!$A$1:$AW$44,33,FALSE)="","",VLOOKUP(Fri_W2[[#This Row],[Employee Name]],'Base Schedules'!$A$1:$AW$44,33,FALSE)),"")</f>
        <v/>
      </c>
      <c r="AI12" s="184" t="str">
        <f>IFERROR(IF(VLOOKUP(Fri_W2[[#This Row],[Employee Name]],'Base Schedules'!$A$1:$AW$44,34,FALSE)="","",VLOOKUP(Fri_W2[[#This Row],[Employee Name]],'Base Schedules'!$A$1:$AW$44,34,FALSE)),"")</f>
        <v/>
      </c>
      <c r="AJ12" s="184" t="str">
        <f>IFERROR(IF(VLOOKUP(Fri_W2[[#This Row],[Employee Name]],'Base Schedules'!$A$1:$AW$44,35,FALSE)="","",VLOOKUP(Fri_W2[[#This Row],[Employee Name]],'Base Schedules'!$A$1:$AW$44,35,FALSE)),"")</f>
        <v/>
      </c>
      <c r="AK12" s="184" t="str">
        <f>IFERROR(IF(VLOOKUP(Fri_W2[[#This Row],[Employee Name]],'Base Schedules'!$A$1:$AW$44,36,FALSE)="","",VLOOKUP(Fri_W2[[#This Row],[Employee Name]],'Base Schedules'!$A$1:$AW$44,36,FALSE)),"")</f>
        <v/>
      </c>
      <c r="AL12" s="184" t="str">
        <f>IFERROR(IF(VLOOKUP(Fri_W2[[#This Row],[Employee Name]],'Base Schedules'!$A$1:$AW$44,37,FALSE)="","",VLOOKUP(Fri_W2[[#This Row],[Employee Name]],'Base Schedules'!$A$1:$AW$44,37,FALSE)),"")</f>
        <v/>
      </c>
      <c r="AM12" s="184" t="str">
        <f>IFERROR(IF(VLOOKUP(Fri_W2[[#This Row],[Employee Name]],'Base Schedules'!$A$1:$AW$44,38,FALSE)="","",VLOOKUP(Fri_W2[[#This Row],[Employee Name]],'Base Schedules'!$A$1:$AW$44,38,FALSE)),"")</f>
        <v/>
      </c>
      <c r="AN12" s="184" t="str">
        <f>IFERROR(IF(VLOOKUP(Fri_W2[[#This Row],[Employee Name]],'Base Schedules'!$A$1:$AW$44,39,FALSE)="","",VLOOKUP(Fri_W2[[#This Row],[Employee Name]],'Base Schedules'!$A$1:$AW$44,39,FALSE)),"")</f>
        <v/>
      </c>
      <c r="AO12" s="184" t="str">
        <f>IFERROR(IF(VLOOKUP(Fri_W2[[#This Row],[Employee Name]],'Base Schedules'!$A$1:$AW$44,40,FALSE)="","",VLOOKUP(Fri_W2[[#This Row],[Employee Name]],'Base Schedules'!$A$1:$AW$44,40,FALSE)),"")</f>
        <v/>
      </c>
      <c r="AP12" s="184" t="str">
        <f>IFERROR(IF(VLOOKUP(Fri_W2[[#This Row],[Employee Name]],'Base Schedules'!$A$1:$AW$44,41,FALSE)="","",VLOOKUP(Fri_W2[[#This Row],[Employee Name]],'Base Schedules'!$A$1:$AW$44,41,FALSE)),"")</f>
        <v/>
      </c>
      <c r="AQ12" s="184" t="str">
        <f>IFERROR(IF(VLOOKUP(Fri_W2[[#This Row],[Employee Name]],'Base Schedules'!$A$1:$AW$44,42,FALSE)="","",VLOOKUP(Fri_W2[[#This Row],[Employee Name]],'Base Schedules'!$A$1:$AW$44,42,FALSE)),"")</f>
        <v/>
      </c>
      <c r="AR12" s="184" t="str">
        <f>IFERROR(IF(VLOOKUP(Fri_W2[[#This Row],[Employee Name]],'Base Schedules'!$A$1:$AW$44,43,FALSE)="","",VLOOKUP(Fri_W2[[#This Row],[Employee Name]],'Base Schedules'!$A$1:$AW$44,43,FALSE)),"")</f>
        <v/>
      </c>
      <c r="AS12" s="184" t="str">
        <f>IFERROR(IF(VLOOKUP(Fri_W2[[#This Row],[Employee Name]],'Base Schedules'!$A$1:$AW$44,44,FALSE)="","",VLOOKUP(Fri_W2[[#This Row],[Employee Name]],'Base Schedules'!$A$1:$AW$44,44,FALSE)),"")</f>
        <v/>
      </c>
      <c r="AT12" s="184" t="str">
        <f>IFERROR(IF(VLOOKUP(Fri_W2[[#This Row],[Employee Name]],'Base Schedules'!$A$1:$AW$44,45,FALSE)="","",VLOOKUP(Fri_W2[[#This Row],[Employee Name]],'Base Schedules'!$A$1:$AW$44,45,FALSE)),"")</f>
        <v/>
      </c>
      <c r="AU12" s="184" t="str">
        <f>IFERROR(IF(VLOOKUP(Fri_W2[[#This Row],[Employee Name]],'Base Schedules'!$A$1:$AW$44,46,FALSE)="","",VLOOKUP(Fri_W2[[#This Row],[Employee Name]],'Base Schedules'!$A$1:$AW$44,46,FALSE)),"")</f>
        <v/>
      </c>
      <c r="AV12" s="184" t="str">
        <f>IFERROR(IF(VLOOKUP(Fri_W2[[#This Row],[Employee Name]],'Base Schedules'!$A$1:$AW$44,47,FALSE)="","",VLOOKUP(Fri_W2[[#This Row],[Employee Name]],'Base Schedules'!$A$1:$AW$44,47,FALSE)),"")</f>
        <v/>
      </c>
      <c r="AW12" s="184" t="str">
        <f>IFERROR(IF(VLOOKUP(Fri_W2[[#This Row],[Employee Name]],'Base Schedules'!$A$1:$AW$44,48,FALSE)="","",VLOOKUP(Fri_W2[[#This Row],[Employee Name]],'Base Schedules'!$A$1:$AW$44,48,FALSE)),"")</f>
        <v/>
      </c>
      <c r="AX12" s="184" t="str">
        <f>IFERROR(IF(VLOOKUP(Fri_W2[[#This Row],[Employee Name]],'Base Schedules'!$A$1:$AW$44,49,FALSE)="","",VLOOKUP(Fri_W2[[#This Row],[Employee Name]],'Base Schedules'!$A$1:$AW$44,49,FALSE)),"")</f>
        <v/>
      </c>
      <c r="AY12" s="159" t="str">
        <f t="shared" si="2"/>
        <v>Shiraki, Suzy</v>
      </c>
    </row>
    <row r="13" spans="1:51" s="44" customFormat="1" ht="11.25" customHeight="1" x14ac:dyDescent="0.2">
      <c r="A13" s="39" t="str">
        <f>IF(B13="","",INDEX(TeamList[],MATCH($B13,TeamList[[Employee Name]:[Employee Name]],0),MATCH("Manager",TeamList[#Headers],0)))</f>
        <v>Olson, Katherine</v>
      </c>
      <c r="B13" s="201" t="s">
        <v>44</v>
      </c>
      <c r="C13" s="257" t="str">
        <f>_xlfn.IFNA(VLOOKUP(Fri_W2[[#This Row],[Employee Name]],'Base Schedules'!A:B,2,FALSE),"")</f>
        <v>Lead</v>
      </c>
      <c r="D13" s="274">
        <f>_xlfn.IFNA(VLOOKUP(Fri_W2[[#This Row],[Employee Name]],'Base Schedules'!A:C,3,FALSE),"")</f>
        <v>530</v>
      </c>
      <c r="E13" s="274">
        <f>_xlfn.IFNA(VLOOKUP(Fri_W2[[#This Row],[Employee Name]],'Base Schedules'!A:D,4,FALSE),"")</f>
        <v>1400</v>
      </c>
      <c r="F13" s="142">
        <f>IF(Fri_W2[[#This Row],[Employee Name]]="","",IF(Fri_W2[[#This Row],[Dept]]="Supervisor",COUNTIFS($J13:$AX13,"*HL*",$J13:$AX13,"&lt;&gt;"&amp;"pHL"),COUNTIFS($J13:$AX13,"*HL*",$J13:$AX13,"&lt;&gt;"&amp;"*pHL*",$J13:$AX13,"&lt;&gt;"&amp;"pB1 HL",$J13:$AX13,"&lt;&gt;"&amp;"pB2 HL")-SUM(COUNTIFS($J13:$AX13,"*HL B1*",$J13:$AX13,"&lt;&gt;"&amp;"pHL B1")*0.5,COUNTIFS($J13:$AX13,"*HL B2*",$J13:$AX13,"&lt;&gt;"&amp;"pHL B2")*0.5,COUNTIFS($J13:$AX13,"*B1 HL*",$J13:$AX13,"&lt;&gt;"&amp;"pB1 HL")*0.5,COUNTIFS($J13:$AX13,"*B2 HL*",$J13:$AX13,"&lt;&gt;"&amp;"pB2 HL")*0.5)))</f>
        <v>4.5</v>
      </c>
      <c r="G13" s="142">
        <f t="shared" si="0"/>
        <v>0</v>
      </c>
      <c r="H13" s="142">
        <f t="shared" si="1"/>
        <v>7</v>
      </c>
      <c r="I13" s="142">
        <f>IF(Fri_W2[[#This Row],[Employee Name]]="","",IF(Fri_W2[[#This Row],[Dept]]="Supervisor",SUM(COUNTIFS($J13:$AX13,"RTA*",$J13:$AX13,"&lt;&gt;"&amp;"pRTA"),COUNTIFS($J13:$AX13,"*CRTA*",$J13:$AX13,"&lt;&gt;"&amp;"pCRTA")),COUNTIFS($J13:$AX13,"*RNNR*",$J13:$AX13,"&lt;&gt;"&amp;"*pRNNR*",$J13:$AX13,"&lt;&gt;"&amp;"pB1 RNNR",$J13:$AX13,"&lt;&gt;"&amp;"pB2 RNNR")-SUM(COUNTIFS($J13:$AX13,"*RNNR B1*",$J13:$AX13,"&lt;&gt;"&amp;"pRNNR B1")*0.5,COUNTIFS($J13:$AX13,"*RNNR B2*",$J13:$AX13,"&lt;&gt;"&amp;"pRNNR B2")*0.5,COUNTIFS($J13:$AX13,"*B1 RNNR*",$J13:$AX13,"&lt;&gt;"&amp;"pB1 RNNR")*0.5,COUNTIFS($J13:$AX13,"*B2 RNNR*",$J13:$AX13,"&lt;&gt;"&amp;"pB2 RNNR")*0.5)))</f>
        <v>2</v>
      </c>
      <c r="J13" s="184" t="str">
        <f>IFERROR(IF(VLOOKUP(Fri_W2[[#This Row],[Employee Name]],'Base Schedules'!$A$1:$AW$44,9,FALSE)="","",VLOOKUP(Fri_W2[[#This Row],[Employee Name]],'Base Schedules'!$A$1:$AW$44,9,FALSE)),"")</f>
        <v/>
      </c>
      <c r="K13" s="184" t="str">
        <f>IFERROR(IF(VLOOKUP(Fri_W2[[#This Row],[Employee Name]],'Base Schedules'!$A$1:$AW$44,10,FALSE)="","",VLOOKUP(Fri_W2[[#This Row],[Employee Name]],'Base Schedules'!$A$1:$AW$44,10,FALSE)),"")</f>
        <v>ADM</v>
      </c>
      <c r="L13" s="184" t="str">
        <f>IFERROR(IF(VLOOKUP(Fri_W2[[#This Row],[Employee Name]],'Base Schedules'!$A$1:$AW$44,11,FALSE)="","",VLOOKUP(Fri_W2[[#This Row],[Employee Name]],'Base Schedules'!$A$1:$AW$44,11,FALSE)),"")</f>
        <v>ADM</v>
      </c>
      <c r="M13" s="184" t="str">
        <f>IFERROR(IF(VLOOKUP(Fri_W2[[#This Row],[Employee Name]],'Base Schedules'!$A$1:$AW$44,12,FALSE)="","",VLOOKUP(Fri_W2[[#This Row],[Employee Name]],'Base Schedules'!$A$1:$AW$44,12,FALSE)),"")</f>
        <v>ADM</v>
      </c>
      <c r="N13" s="184" t="str">
        <f>IFERROR(IF(VLOOKUP(Fri_W2[[#This Row],[Employee Name]],'Base Schedules'!$A$1:$AW$44,13,FALSE)="","",VLOOKUP(Fri_W2[[#This Row],[Employee Name]],'Base Schedules'!$A$1:$AW$44,13,FALSE)),"")</f>
        <v>ADM</v>
      </c>
      <c r="O13" s="184" t="str">
        <f>IFERROR(IF(VLOOKUP(Fri_W2[[#This Row],[Employee Name]],'Base Schedules'!$A$1:$AW$44,14,FALSE)="","",VLOOKUP(Fri_W2[[#This Row],[Employee Name]],'Base Schedules'!$A$1:$AW$44,14,FALSE)),"")</f>
        <v>B1 HL</v>
      </c>
      <c r="P13" s="184" t="str">
        <f>IFERROR(IF(VLOOKUP(Fri_W2[[#This Row],[Employee Name]],'Base Schedules'!$A$1:$AW$44,15,FALSE)="","",VLOOKUP(Fri_W2[[#This Row],[Employee Name]],'Base Schedules'!$A$1:$AW$44,15,FALSE)),"")</f>
        <v>HL</v>
      </c>
      <c r="Q13" s="184" t="str">
        <f>IFERROR(IF(VLOOKUP(Fri_W2[[#This Row],[Employee Name]],'Base Schedules'!$A$1:$AW$44,16,FALSE)="","",VLOOKUP(Fri_W2[[#This Row],[Employee Name]],'Base Schedules'!$A$1:$AW$44,16,FALSE)),"")</f>
        <v>HL</v>
      </c>
      <c r="R13" s="184" t="str">
        <f>IFERROR(IF(VLOOKUP(Fri_W2[[#This Row],[Employee Name]],'Base Schedules'!$A$1:$AW$44,17,FALSE)="","",VLOOKUP(Fri_W2[[#This Row],[Employee Name]],'Base Schedules'!$A$1:$AW$44,17,FALSE)),"")</f>
        <v>HL</v>
      </c>
      <c r="S13" s="184" t="str">
        <f>IFERROR(IF(VLOOKUP(Fri_W2[[#This Row],[Employee Name]],'Base Schedules'!$A$1:$AW$44,18,FALSE)="","",VLOOKUP(Fri_W2[[#This Row],[Employee Name]],'Base Schedules'!$A$1:$AW$44,18,FALSE)),"")</f>
        <v>HL</v>
      </c>
      <c r="T13" s="184" t="str">
        <f>IFERROR(IF(VLOOKUP(Fri_W2[[#This Row],[Employee Name]],'Base Schedules'!$A$1:$AW$44,19,FALSE)="","",VLOOKUP(Fri_W2[[#This Row],[Employee Name]],'Base Schedules'!$A$1:$AW$44,19,FALSE)),"")</f>
        <v>LUNCH</v>
      </c>
      <c r="U13" s="184" t="str">
        <f>IFERROR(IF(VLOOKUP(Fri_W2[[#This Row],[Employee Name]],'Base Schedules'!$A$1:$AW$44,20,FALSE)="","",VLOOKUP(Fri_W2[[#This Row],[Employee Name]],'Base Schedules'!$A$1:$AW$44,20,FALSE)),"")</f>
        <v>ADM</v>
      </c>
      <c r="V13" s="184" t="str">
        <f>IFERROR(IF(VLOOKUP(Fri_W2[[#This Row],[Employee Name]],'Base Schedules'!$A$1:$AW$44,21,FALSE)="","",VLOOKUP(Fri_W2[[#This Row],[Employee Name]],'Base Schedules'!$A$1:$AW$44,21,FALSE)),"")</f>
        <v>ADM</v>
      </c>
      <c r="W13" s="184" t="str">
        <f>IFERROR(IF(VLOOKUP(Fri_W2[[#This Row],[Employee Name]],'Base Schedules'!$A$1:$AW$44,22,FALSE)="","",VLOOKUP(Fri_W2[[#This Row],[Employee Name]],'Base Schedules'!$A$1:$AW$44,22,FALSE)),"")</f>
        <v>ADM B2</v>
      </c>
      <c r="X13" s="184" t="str">
        <f>IFERROR(IF(VLOOKUP(Fri_W2[[#This Row],[Employee Name]],'Base Schedules'!$A$1:$AW$44,23,FALSE)="","",VLOOKUP(Fri_W2[[#This Row],[Employee Name]],'Base Schedules'!$A$1:$AW$44,23,FALSE)),"")</f>
        <v>RNNR</v>
      </c>
      <c r="Y13" s="184" t="str">
        <f>IFERROR(IF(VLOOKUP(Fri_W2[[#This Row],[Employee Name]],'Base Schedules'!$A$1:$AW$44,24,FALSE)="","",VLOOKUP(Fri_W2[[#This Row],[Employee Name]],'Base Schedules'!$A$1:$AW$44,24,FALSE)),"")</f>
        <v>RNNR</v>
      </c>
      <c r="Z13" s="184" t="str">
        <f>IFERROR(IF(VLOOKUP(Fri_W2[[#This Row],[Employee Name]],'Base Schedules'!$A$1:$AW$44,25,FALSE)="","",VLOOKUP(Fri_W2[[#This Row],[Employee Name]],'Base Schedules'!$A$1:$AW$44,25,FALSE)),"")</f>
        <v>PROJECT</v>
      </c>
      <c r="AA13" s="184" t="str">
        <f>IFERROR(IF(VLOOKUP(Fri_W2[[#This Row],[Employee Name]],'Base Schedules'!$A$1:$AW$44,26,FALSE)="","",VLOOKUP(Fri_W2[[#This Row],[Employee Name]],'Base Schedules'!$A$1:$AW$44,26,FALSE)),"")</f>
        <v>PROJECT</v>
      </c>
      <c r="AB13" s="184" t="str">
        <f>IFERROR(IF(VLOOKUP(Fri_W2[[#This Row],[Employee Name]],'Base Schedules'!$A$1:$AW$44,27,FALSE)="","",VLOOKUP(Fri_W2[[#This Row],[Employee Name]],'Base Schedules'!$A$1:$AW$44,27,FALSE)),"")</f>
        <v/>
      </c>
      <c r="AC13" s="184" t="str">
        <f>IFERROR(IF(VLOOKUP(Fri_W2[[#This Row],[Employee Name]],'Base Schedules'!$A$1:$AW$44,28,FALSE)="","",VLOOKUP(Fri_W2[[#This Row],[Employee Name]],'Base Schedules'!$A$1:$AW$44,28,FALSE)),"")</f>
        <v/>
      </c>
      <c r="AD13" s="184" t="str">
        <f>IFERROR(IF(VLOOKUP(Fri_W2[[#This Row],[Employee Name]],'Base Schedules'!$A$1:$AW$44,29,FALSE)="","",VLOOKUP(Fri_W2[[#This Row],[Employee Name]],'Base Schedules'!$A$1:$AW$44,29,FALSE)),"")</f>
        <v/>
      </c>
      <c r="AE13" s="184" t="str">
        <f>IFERROR(IF(VLOOKUP(Fri_W2[[#This Row],[Employee Name]],'Base Schedules'!$A$1:$AW$44,30,FALSE)="","",VLOOKUP(Fri_W2[[#This Row],[Employee Name]],'Base Schedules'!$A$1:$AW$44,30,FALSE)),"")</f>
        <v/>
      </c>
      <c r="AF13" s="184" t="str">
        <f>IFERROR(IF(VLOOKUP(Fri_W2[[#This Row],[Employee Name]],'Base Schedules'!$A$1:$AW$44,31,FALSE)="","",VLOOKUP(Fri_W2[[#This Row],[Employee Name]],'Base Schedules'!$A$1:$AW$44,31,FALSE)),"")</f>
        <v/>
      </c>
      <c r="AG13" s="184" t="str">
        <f>IFERROR(IF(VLOOKUP(Fri_W2[[#This Row],[Employee Name]],'Base Schedules'!$A$1:$AW$44,32,FALSE)="","",VLOOKUP(Fri_W2[[#This Row],[Employee Name]],'Base Schedules'!$A$1:$AW$44,32,FALSE)),"")</f>
        <v/>
      </c>
      <c r="AH13" s="184" t="str">
        <f>IFERROR(IF(VLOOKUP(Fri_W2[[#This Row],[Employee Name]],'Base Schedules'!$A$1:$AW$44,33,FALSE)="","",VLOOKUP(Fri_W2[[#This Row],[Employee Name]],'Base Schedules'!$A$1:$AW$44,33,FALSE)),"")</f>
        <v/>
      </c>
      <c r="AI13" s="184" t="str">
        <f>IFERROR(IF(VLOOKUP(Fri_W2[[#This Row],[Employee Name]],'Base Schedules'!$A$1:$AW$44,34,FALSE)="","",VLOOKUP(Fri_W2[[#This Row],[Employee Name]],'Base Schedules'!$A$1:$AW$44,34,FALSE)),"")</f>
        <v/>
      </c>
      <c r="AJ13" s="184" t="str">
        <f>IFERROR(IF(VLOOKUP(Fri_W2[[#This Row],[Employee Name]],'Base Schedules'!$A$1:$AW$44,35,FALSE)="","",VLOOKUP(Fri_W2[[#This Row],[Employee Name]],'Base Schedules'!$A$1:$AW$44,35,FALSE)),"")</f>
        <v/>
      </c>
      <c r="AK13" s="184" t="str">
        <f>IFERROR(IF(VLOOKUP(Fri_W2[[#This Row],[Employee Name]],'Base Schedules'!$A$1:$AW$44,36,FALSE)="","",VLOOKUP(Fri_W2[[#This Row],[Employee Name]],'Base Schedules'!$A$1:$AW$44,36,FALSE)),"")</f>
        <v/>
      </c>
      <c r="AL13" s="184" t="str">
        <f>IFERROR(IF(VLOOKUP(Fri_W2[[#This Row],[Employee Name]],'Base Schedules'!$A$1:$AW$44,37,FALSE)="","",VLOOKUP(Fri_W2[[#This Row],[Employee Name]],'Base Schedules'!$A$1:$AW$44,37,FALSE)),"")</f>
        <v/>
      </c>
      <c r="AM13" s="184" t="str">
        <f>IFERROR(IF(VLOOKUP(Fri_W2[[#This Row],[Employee Name]],'Base Schedules'!$A$1:$AW$44,38,FALSE)="","",VLOOKUP(Fri_W2[[#This Row],[Employee Name]],'Base Schedules'!$A$1:$AW$44,38,FALSE)),"")</f>
        <v/>
      </c>
      <c r="AN13" s="184" t="str">
        <f>IFERROR(IF(VLOOKUP(Fri_W2[[#This Row],[Employee Name]],'Base Schedules'!$A$1:$AW$44,39,FALSE)="","",VLOOKUP(Fri_W2[[#This Row],[Employee Name]],'Base Schedules'!$A$1:$AW$44,39,FALSE)),"")</f>
        <v/>
      </c>
      <c r="AO13" s="184" t="str">
        <f>IFERROR(IF(VLOOKUP(Fri_W2[[#This Row],[Employee Name]],'Base Schedules'!$A$1:$AW$44,40,FALSE)="","",VLOOKUP(Fri_W2[[#This Row],[Employee Name]],'Base Schedules'!$A$1:$AW$44,40,FALSE)),"")</f>
        <v/>
      </c>
      <c r="AP13" s="184" t="str">
        <f>IFERROR(IF(VLOOKUP(Fri_W2[[#This Row],[Employee Name]],'Base Schedules'!$A$1:$AW$44,41,FALSE)="","",VLOOKUP(Fri_W2[[#This Row],[Employee Name]],'Base Schedules'!$A$1:$AW$44,41,FALSE)),"")</f>
        <v/>
      </c>
      <c r="AQ13" s="184" t="str">
        <f>IFERROR(IF(VLOOKUP(Fri_W2[[#This Row],[Employee Name]],'Base Schedules'!$A$1:$AW$44,42,FALSE)="","",VLOOKUP(Fri_W2[[#This Row],[Employee Name]],'Base Schedules'!$A$1:$AW$44,42,FALSE)),"")</f>
        <v/>
      </c>
      <c r="AR13" s="184" t="str">
        <f>IFERROR(IF(VLOOKUP(Fri_W2[[#This Row],[Employee Name]],'Base Schedules'!$A$1:$AW$44,43,FALSE)="","",VLOOKUP(Fri_W2[[#This Row],[Employee Name]],'Base Schedules'!$A$1:$AW$44,43,FALSE)),"")</f>
        <v/>
      </c>
      <c r="AS13" s="184" t="str">
        <f>IFERROR(IF(VLOOKUP(Fri_W2[[#This Row],[Employee Name]],'Base Schedules'!$A$1:$AW$44,44,FALSE)="","",VLOOKUP(Fri_W2[[#This Row],[Employee Name]],'Base Schedules'!$A$1:$AW$44,44,FALSE)),"")</f>
        <v/>
      </c>
      <c r="AT13" s="184" t="str">
        <f>IFERROR(IF(VLOOKUP(Fri_W2[[#This Row],[Employee Name]],'Base Schedules'!$A$1:$AW$44,45,FALSE)="","",VLOOKUP(Fri_W2[[#This Row],[Employee Name]],'Base Schedules'!$A$1:$AW$44,45,FALSE)),"")</f>
        <v/>
      </c>
      <c r="AU13" s="184" t="str">
        <f>IFERROR(IF(VLOOKUP(Fri_W2[[#This Row],[Employee Name]],'Base Schedules'!$A$1:$AW$44,46,FALSE)="","",VLOOKUP(Fri_W2[[#This Row],[Employee Name]],'Base Schedules'!$A$1:$AW$44,46,FALSE)),"")</f>
        <v/>
      </c>
      <c r="AV13" s="184" t="str">
        <f>IFERROR(IF(VLOOKUP(Fri_W2[[#This Row],[Employee Name]],'Base Schedules'!$A$1:$AW$44,47,FALSE)="","",VLOOKUP(Fri_W2[[#This Row],[Employee Name]],'Base Schedules'!$A$1:$AW$44,47,FALSE)),"")</f>
        <v/>
      </c>
      <c r="AW13" s="184" t="str">
        <f>IFERROR(IF(VLOOKUP(Fri_W2[[#This Row],[Employee Name]],'Base Schedules'!$A$1:$AW$44,48,FALSE)="","",VLOOKUP(Fri_W2[[#This Row],[Employee Name]],'Base Schedules'!$A$1:$AW$44,48,FALSE)),"")</f>
        <v/>
      </c>
      <c r="AX13" s="184" t="str">
        <f>IFERROR(IF(VLOOKUP(Fri_W2[[#This Row],[Employee Name]],'Base Schedules'!$A$1:$AW$44,49,FALSE)="","",VLOOKUP(Fri_W2[[#This Row],[Employee Name]],'Base Schedules'!$A$1:$AW$44,49,FALSE)),"")</f>
        <v/>
      </c>
      <c r="AY13" s="160" t="str">
        <f t="shared" si="2"/>
        <v>Albritton, Ahmed</v>
      </c>
    </row>
    <row r="14" spans="1:51" s="44" customFormat="1" ht="11.25" customHeight="1" x14ac:dyDescent="0.2">
      <c r="A14" s="39" t="str">
        <f>IF(B14="","",INDEX(TeamList[],MATCH($B14,TeamList[[Employee Name]:[Employee Name]],0),MATCH("Manager",TeamList[#Headers],0)))</f>
        <v>Paulson, Matthew</v>
      </c>
      <c r="B14" s="201" t="s">
        <v>17</v>
      </c>
      <c r="C14" s="257" t="str">
        <f>_xlfn.IFNA(VLOOKUP(Fri_W2[[#This Row],[Employee Name]],'Base Schedules'!A:B,2,FALSE),"")</f>
        <v>Supervisor</v>
      </c>
      <c r="D14" s="274">
        <f>_xlfn.IFNA(VLOOKUP(Fri_W2[[#This Row],[Employee Name]],'Base Schedules'!A:C,3,FALSE),"")</f>
        <v>530</v>
      </c>
      <c r="E14" s="274">
        <f>_xlfn.IFNA(VLOOKUP(Fri_W2[[#This Row],[Employee Name]],'Base Schedules'!A:D,4,FALSE),"")</f>
        <v>1430</v>
      </c>
      <c r="F14" s="142">
        <f>IF(Fri_W2[[#This Row],[Employee Name]]="","",IF(Fri_W2[[#This Row],[Dept]]="Supervisor",COUNTIFS($J14:$AX14,"*HL*",$J14:$AX14,"&lt;&gt;"&amp;"pHL"),COUNTIFS($J14:$AX14,"*HL*",$J14:$AX14,"&lt;&gt;"&amp;"*pHL*",$J14:$AX14,"&lt;&gt;"&amp;"pB1 HL",$J14:$AX14,"&lt;&gt;"&amp;"pB2 HL")-SUM(COUNTIFS($J14:$AX14,"*HL B1*",$J14:$AX14,"&lt;&gt;"&amp;"pHL B1")*0.5,COUNTIFS($J14:$AX14,"*HL B2*",$J14:$AX14,"&lt;&gt;"&amp;"pHL B2")*0.5,COUNTIFS($J14:$AX14,"*B1 HL*",$J14:$AX14,"&lt;&gt;"&amp;"pB1 HL")*0.5,COUNTIFS($J14:$AX14,"*B2 HL*",$J14:$AX14,"&lt;&gt;"&amp;"pB2 HL")*0.5)))</f>
        <v>0</v>
      </c>
      <c r="G14" s="142">
        <f t="shared" si="0"/>
        <v>0</v>
      </c>
      <c r="H14" s="142">
        <f t="shared" si="1"/>
        <v>0</v>
      </c>
      <c r="I14" s="142">
        <f>IF(Fri_W2[[#This Row],[Employee Name]]="","",IF(Fri_W2[[#This Row],[Dept]]="Supervisor",SUM(COUNTIFS($J14:$AX14,"RTA*",$J14:$AX14,"&lt;&gt;"&amp;"pRTA"),COUNTIFS($J14:$AX14,"*CRTA*",$J14:$AX14,"&lt;&gt;"&amp;"pCRTA")),COUNTIFS($J14:$AX14,"*RNNR*",$J14:$AX14,"&lt;&gt;"&amp;"*pRNNR*",$J14:$AX14,"&lt;&gt;"&amp;"pB1 RNNR",$J14:$AX14,"&lt;&gt;"&amp;"pB2 RNNR")-SUM(COUNTIFS($J14:$AX14,"*RNNR B1*",$J14:$AX14,"&lt;&gt;"&amp;"pRNNR B1")*0.5,COUNTIFS($J14:$AX14,"*RNNR B2*",$J14:$AX14,"&lt;&gt;"&amp;"pRNNR B2")*0.5,COUNTIFS($J14:$AX14,"*B1 RNNR*",$J14:$AX14,"&lt;&gt;"&amp;"pB1 RNNR")*0.5,COUNTIFS($J14:$AX14,"*B2 RNNR*",$J14:$AX14,"&lt;&gt;"&amp;"pB2 RNNR")*0.5)))</f>
        <v>0</v>
      </c>
      <c r="J14" s="184" t="str">
        <f>IFERROR(IF(VLOOKUP(Fri_W2[[#This Row],[Employee Name]],'Base Schedules'!$A$1:$AW$44,9,FALSE)="","",VLOOKUP(Fri_W2[[#This Row],[Employee Name]],'Base Schedules'!$A$1:$AW$44,9,FALSE)),"")</f>
        <v/>
      </c>
      <c r="K14" s="184" t="str">
        <f>IFERROR(IF(VLOOKUP(Fri_W2[[#This Row],[Employee Name]],'Base Schedules'!$A$1:$AW$44,10,FALSE)="","",VLOOKUP(Fri_W2[[#This Row],[Employee Name]],'Base Schedules'!$A$1:$AW$44,10,FALSE)),"")</f>
        <v/>
      </c>
      <c r="L14" s="184" t="str">
        <f>IFERROR(IF(VLOOKUP(Fri_W2[[#This Row],[Employee Name]],'Base Schedules'!$A$1:$AW$44,11,FALSE)="","",VLOOKUP(Fri_W2[[#This Row],[Employee Name]],'Base Schedules'!$A$1:$AW$44,11,FALSE)),"")</f>
        <v/>
      </c>
      <c r="M14" s="184" t="str">
        <f>IFERROR(IF(VLOOKUP(Fri_W2[[#This Row],[Employee Name]],'Base Schedules'!$A$1:$AW$44,12,FALSE)="","",VLOOKUP(Fri_W2[[#This Row],[Employee Name]],'Base Schedules'!$A$1:$AW$44,12,FALSE)),"")</f>
        <v/>
      </c>
      <c r="N14" s="184" t="str">
        <f>IFERROR(IF(VLOOKUP(Fri_W2[[#This Row],[Employee Name]],'Base Schedules'!$A$1:$AW$44,13,FALSE)="","",VLOOKUP(Fri_W2[[#This Row],[Employee Name]],'Base Schedules'!$A$1:$AW$44,13,FALSE)),"")</f>
        <v/>
      </c>
      <c r="O14" s="184" t="str">
        <f>IFERROR(IF(VLOOKUP(Fri_W2[[#This Row],[Employee Name]],'Base Schedules'!$A$1:$AW$44,14,FALSE)="","",VLOOKUP(Fri_W2[[#This Row],[Employee Name]],'Base Schedules'!$A$1:$AW$44,14,FALSE)),"")</f>
        <v/>
      </c>
      <c r="P14" s="184" t="str">
        <f>IFERROR(IF(VLOOKUP(Fri_W2[[#This Row],[Employee Name]],'Base Schedules'!$A$1:$AW$44,15,FALSE)="","",VLOOKUP(Fri_W2[[#This Row],[Employee Name]],'Base Schedules'!$A$1:$AW$44,15,FALSE)),"")</f>
        <v/>
      </c>
      <c r="Q14" s="184" t="str">
        <f>IFERROR(IF(VLOOKUP(Fri_W2[[#This Row],[Employee Name]],'Base Schedules'!$A$1:$AW$44,16,FALSE)="","",VLOOKUP(Fri_W2[[#This Row],[Employee Name]],'Base Schedules'!$A$1:$AW$44,16,FALSE)),"")</f>
        <v/>
      </c>
      <c r="R14" s="184" t="str">
        <f>IFERROR(IF(VLOOKUP(Fri_W2[[#This Row],[Employee Name]],'Base Schedules'!$A$1:$AW$44,17,FALSE)="","",VLOOKUP(Fri_W2[[#This Row],[Employee Name]],'Base Schedules'!$A$1:$AW$44,17,FALSE)),"")</f>
        <v/>
      </c>
      <c r="S14" s="184" t="str">
        <f>IFERROR(IF(VLOOKUP(Fri_W2[[#This Row],[Employee Name]],'Base Schedules'!$A$1:$AW$44,18,FALSE)="","",VLOOKUP(Fri_W2[[#This Row],[Employee Name]],'Base Schedules'!$A$1:$AW$44,18,FALSE)),"")</f>
        <v/>
      </c>
      <c r="T14" s="184" t="str">
        <f>IFERROR(IF(VLOOKUP(Fri_W2[[#This Row],[Employee Name]],'Base Schedules'!$A$1:$AW$44,19,FALSE)="","",VLOOKUP(Fri_W2[[#This Row],[Employee Name]],'Base Schedules'!$A$1:$AW$44,19,FALSE)),"")</f>
        <v/>
      </c>
      <c r="U14" s="184" t="str">
        <f>IFERROR(IF(VLOOKUP(Fri_W2[[#This Row],[Employee Name]],'Base Schedules'!$A$1:$AW$44,20,FALSE)="","",VLOOKUP(Fri_W2[[#This Row],[Employee Name]],'Base Schedules'!$A$1:$AW$44,20,FALSE)),"")</f>
        <v/>
      </c>
      <c r="V14" s="184" t="str">
        <f>IFERROR(IF(VLOOKUP(Fri_W2[[#This Row],[Employee Name]],'Base Schedules'!$A$1:$AW$44,21,FALSE)="","",VLOOKUP(Fri_W2[[#This Row],[Employee Name]],'Base Schedules'!$A$1:$AW$44,21,FALSE)),"")</f>
        <v/>
      </c>
      <c r="W14" s="184" t="str">
        <f>IFERROR(IF(VLOOKUP(Fri_W2[[#This Row],[Employee Name]],'Base Schedules'!$A$1:$AW$44,22,FALSE)="","",VLOOKUP(Fri_W2[[#This Row],[Employee Name]],'Base Schedules'!$A$1:$AW$44,22,FALSE)),"")</f>
        <v/>
      </c>
      <c r="X14" s="184" t="str">
        <f>IFERROR(IF(VLOOKUP(Fri_W2[[#This Row],[Employee Name]],'Base Schedules'!$A$1:$AW$44,23,FALSE)="","",VLOOKUP(Fri_W2[[#This Row],[Employee Name]],'Base Schedules'!$A$1:$AW$44,23,FALSE)),"")</f>
        <v/>
      </c>
      <c r="Y14" s="184" t="str">
        <f>IFERROR(IF(VLOOKUP(Fri_W2[[#This Row],[Employee Name]],'Base Schedules'!$A$1:$AW$44,24,FALSE)="","",VLOOKUP(Fri_W2[[#This Row],[Employee Name]],'Base Schedules'!$A$1:$AW$44,24,FALSE)),"")</f>
        <v/>
      </c>
      <c r="Z14" s="184" t="str">
        <f>IFERROR(IF(VLOOKUP(Fri_W2[[#This Row],[Employee Name]],'Base Schedules'!$A$1:$AW$44,25,FALSE)="","",VLOOKUP(Fri_W2[[#This Row],[Employee Name]],'Base Schedules'!$A$1:$AW$44,25,FALSE)),"")</f>
        <v/>
      </c>
      <c r="AA14" s="184" t="str">
        <f>IFERROR(IF(VLOOKUP(Fri_W2[[#This Row],[Employee Name]],'Base Schedules'!$A$1:$AW$44,26,FALSE)="","",VLOOKUP(Fri_W2[[#This Row],[Employee Name]],'Base Schedules'!$A$1:$AW$44,26,FALSE)),"")</f>
        <v/>
      </c>
      <c r="AB14" s="184" t="str">
        <f>IFERROR(IF(VLOOKUP(Fri_W2[[#This Row],[Employee Name]],'Base Schedules'!$A$1:$AW$44,27,FALSE)="","",VLOOKUP(Fri_W2[[#This Row],[Employee Name]],'Base Schedules'!$A$1:$AW$44,27,FALSE)),"")</f>
        <v/>
      </c>
      <c r="AC14" s="184" t="str">
        <f>IFERROR(IF(VLOOKUP(Fri_W2[[#This Row],[Employee Name]],'Base Schedules'!$A$1:$AW$44,28,FALSE)="","",VLOOKUP(Fri_W2[[#This Row],[Employee Name]],'Base Schedules'!$A$1:$AW$44,28,FALSE)),"")</f>
        <v/>
      </c>
      <c r="AD14" s="184" t="str">
        <f>IFERROR(IF(VLOOKUP(Fri_W2[[#This Row],[Employee Name]],'Base Schedules'!$A$1:$AW$44,29,FALSE)="","",VLOOKUP(Fri_W2[[#This Row],[Employee Name]],'Base Schedules'!$A$1:$AW$44,29,FALSE)),"")</f>
        <v/>
      </c>
      <c r="AE14" s="184" t="str">
        <f>IFERROR(IF(VLOOKUP(Fri_W2[[#This Row],[Employee Name]],'Base Schedules'!$A$1:$AW$44,30,FALSE)="","",VLOOKUP(Fri_W2[[#This Row],[Employee Name]],'Base Schedules'!$A$1:$AW$44,30,FALSE)),"")</f>
        <v/>
      </c>
      <c r="AF14" s="184" t="str">
        <f>IFERROR(IF(VLOOKUP(Fri_W2[[#This Row],[Employee Name]],'Base Schedules'!$A$1:$AW$44,31,FALSE)="","",VLOOKUP(Fri_W2[[#This Row],[Employee Name]],'Base Schedules'!$A$1:$AW$44,31,FALSE)),"")</f>
        <v/>
      </c>
      <c r="AG14" s="184" t="str">
        <f>IFERROR(IF(VLOOKUP(Fri_W2[[#This Row],[Employee Name]],'Base Schedules'!$A$1:$AW$44,32,FALSE)="","",VLOOKUP(Fri_W2[[#This Row],[Employee Name]],'Base Schedules'!$A$1:$AW$44,32,FALSE)),"")</f>
        <v/>
      </c>
      <c r="AH14" s="184" t="str">
        <f>IFERROR(IF(VLOOKUP(Fri_W2[[#This Row],[Employee Name]],'Base Schedules'!$A$1:$AW$44,33,FALSE)="","",VLOOKUP(Fri_W2[[#This Row],[Employee Name]],'Base Schedules'!$A$1:$AW$44,33,FALSE)),"")</f>
        <v/>
      </c>
      <c r="AI14" s="184" t="str">
        <f>IFERROR(IF(VLOOKUP(Fri_W2[[#This Row],[Employee Name]],'Base Schedules'!$A$1:$AW$44,34,FALSE)="","",VLOOKUP(Fri_W2[[#This Row],[Employee Name]],'Base Schedules'!$A$1:$AW$44,34,FALSE)),"")</f>
        <v/>
      </c>
      <c r="AJ14" s="184" t="str">
        <f>IFERROR(IF(VLOOKUP(Fri_W2[[#This Row],[Employee Name]],'Base Schedules'!$A$1:$AW$44,35,FALSE)="","",VLOOKUP(Fri_W2[[#This Row],[Employee Name]],'Base Schedules'!$A$1:$AW$44,35,FALSE)),"")</f>
        <v/>
      </c>
      <c r="AK14" s="184" t="str">
        <f>IFERROR(IF(VLOOKUP(Fri_W2[[#This Row],[Employee Name]],'Base Schedules'!$A$1:$AW$44,36,FALSE)="","",VLOOKUP(Fri_W2[[#This Row],[Employee Name]],'Base Schedules'!$A$1:$AW$44,36,FALSE)),"")</f>
        <v/>
      </c>
      <c r="AL14" s="184" t="str">
        <f>IFERROR(IF(VLOOKUP(Fri_W2[[#This Row],[Employee Name]],'Base Schedules'!$A$1:$AW$44,37,FALSE)="","",VLOOKUP(Fri_W2[[#This Row],[Employee Name]],'Base Schedules'!$A$1:$AW$44,37,FALSE)),"")</f>
        <v/>
      </c>
      <c r="AM14" s="184" t="str">
        <f>IFERROR(IF(VLOOKUP(Fri_W2[[#This Row],[Employee Name]],'Base Schedules'!$A$1:$AW$44,38,FALSE)="","",VLOOKUP(Fri_W2[[#This Row],[Employee Name]],'Base Schedules'!$A$1:$AW$44,38,FALSE)),"")</f>
        <v/>
      </c>
      <c r="AN14" s="184" t="str">
        <f>IFERROR(IF(VLOOKUP(Fri_W2[[#This Row],[Employee Name]],'Base Schedules'!$A$1:$AW$44,39,FALSE)="","",VLOOKUP(Fri_W2[[#This Row],[Employee Name]],'Base Schedules'!$A$1:$AW$44,39,FALSE)),"")</f>
        <v/>
      </c>
      <c r="AO14" s="184" t="str">
        <f>IFERROR(IF(VLOOKUP(Fri_W2[[#This Row],[Employee Name]],'Base Schedules'!$A$1:$AW$44,40,FALSE)="","",VLOOKUP(Fri_W2[[#This Row],[Employee Name]],'Base Schedules'!$A$1:$AW$44,40,FALSE)),"")</f>
        <v/>
      </c>
      <c r="AP14" s="184" t="str">
        <f>IFERROR(IF(VLOOKUP(Fri_W2[[#This Row],[Employee Name]],'Base Schedules'!$A$1:$AW$44,41,FALSE)="","",VLOOKUP(Fri_W2[[#This Row],[Employee Name]],'Base Schedules'!$A$1:$AW$44,41,FALSE)),"")</f>
        <v/>
      </c>
      <c r="AQ14" s="184" t="str">
        <f>IFERROR(IF(VLOOKUP(Fri_W2[[#This Row],[Employee Name]],'Base Schedules'!$A$1:$AW$44,42,FALSE)="","",VLOOKUP(Fri_W2[[#This Row],[Employee Name]],'Base Schedules'!$A$1:$AW$44,42,FALSE)),"")</f>
        <v/>
      </c>
      <c r="AR14" s="184" t="str">
        <f>IFERROR(IF(VLOOKUP(Fri_W2[[#This Row],[Employee Name]],'Base Schedules'!$A$1:$AW$44,43,FALSE)="","",VLOOKUP(Fri_W2[[#This Row],[Employee Name]],'Base Schedules'!$A$1:$AW$44,43,FALSE)),"")</f>
        <v/>
      </c>
      <c r="AS14" s="184" t="str">
        <f>IFERROR(IF(VLOOKUP(Fri_W2[[#This Row],[Employee Name]],'Base Schedules'!$A$1:$AW$44,44,FALSE)="","",VLOOKUP(Fri_W2[[#This Row],[Employee Name]],'Base Schedules'!$A$1:$AW$44,44,FALSE)),"")</f>
        <v/>
      </c>
      <c r="AT14" s="184" t="str">
        <f>IFERROR(IF(VLOOKUP(Fri_W2[[#This Row],[Employee Name]],'Base Schedules'!$A$1:$AW$44,45,FALSE)="","",VLOOKUP(Fri_W2[[#This Row],[Employee Name]],'Base Schedules'!$A$1:$AW$44,45,FALSE)),"")</f>
        <v/>
      </c>
      <c r="AU14" s="184" t="str">
        <f>IFERROR(IF(VLOOKUP(Fri_W2[[#This Row],[Employee Name]],'Base Schedules'!$A$1:$AW$44,46,FALSE)="","",VLOOKUP(Fri_W2[[#This Row],[Employee Name]],'Base Schedules'!$A$1:$AW$44,46,FALSE)),"")</f>
        <v/>
      </c>
      <c r="AV14" s="184" t="str">
        <f>IFERROR(IF(VLOOKUP(Fri_W2[[#This Row],[Employee Name]],'Base Schedules'!$A$1:$AW$44,47,FALSE)="","",VLOOKUP(Fri_W2[[#This Row],[Employee Name]],'Base Schedules'!$A$1:$AW$44,47,FALSE)),"")</f>
        <v/>
      </c>
      <c r="AW14" s="184" t="str">
        <f>IFERROR(IF(VLOOKUP(Fri_W2[[#This Row],[Employee Name]],'Base Schedules'!$A$1:$AW$44,48,FALSE)="","",VLOOKUP(Fri_W2[[#This Row],[Employee Name]],'Base Schedules'!$A$1:$AW$44,48,FALSE)),"")</f>
        <v/>
      </c>
      <c r="AX14" s="184" t="str">
        <f>IFERROR(IF(VLOOKUP(Fri_W2[[#This Row],[Employee Name]],'Base Schedules'!$A$1:$AW$44,49,FALSE)="","",VLOOKUP(Fri_W2[[#This Row],[Employee Name]],'Base Schedules'!$A$1:$AW$44,49,FALSE)),"")</f>
        <v/>
      </c>
      <c r="AY14" s="159" t="str">
        <f t="shared" si="2"/>
        <v>Breen, Mark</v>
      </c>
    </row>
    <row r="15" spans="1:51" s="44" customFormat="1" ht="11.25" customHeight="1" x14ac:dyDescent="0.2">
      <c r="A15" s="39" t="str">
        <f>IF(B15="","",INDEX(TeamList[],MATCH($B15,TeamList[[Employee Name]:[Employee Name]],0),MATCH("Manager",TeamList[#Headers],0)))</f>
        <v>Olson, Katherine</v>
      </c>
      <c r="B15" s="201" t="s">
        <v>230</v>
      </c>
      <c r="C15" s="257" t="str">
        <f>_xlfn.IFNA(VLOOKUP(Fri_W2[[#This Row],[Employee Name]],'Base Schedules'!A:B,2,FALSE),"")</f>
        <v>Lead</v>
      </c>
      <c r="D15" s="274">
        <f>_xlfn.IFNA(VLOOKUP(Fri_W2[[#This Row],[Employee Name]],'Base Schedules'!A:C,3,FALSE),"")</f>
        <v>530</v>
      </c>
      <c r="E15" s="274">
        <f>_xlfn.IFNA(VLOOKUP(Fri_W2[[#This Row],[Employee Name]],'Base Schedules'!A:D,4,FALSE),"")</f>
        <v>1430</v>
      </c>
      <c r="F15" s="142">
        <f>IF(Fri_W2[[#This Row],[Employee Name]]="","",IF(Fri_W2[[#This Row],[Dept]]="Supervisor",COUNTIFS($J15:$AX15,"*HL*",$J15:$AX15,"&lt;&gt;"&amp;"pHL"),COUNTIFS($J15:$AX15,"*HL*",$J15:$AX15,"&lt;&gt;"&amp;"*pHL*",$J15:$AX15,"&lt;&gt;"&amp;"pB1 HL",$J15:$AX15,"&lt;&gt;"&amp;"pB2 HL")-SUM(COUNTIFS($J15:$AX15,"*HL B1*",$J15:$AX15,"&lt;&gt;"&amp;"pHL B1")*0.5,COUNTIFS($J15:$AX15,"*HL B2*",$J15:$AX15,"&lt;&gt;"&amp;"pHL B2")*0.5,COUNTIFS($J15:$AX15,"*B1 HL*",$J15:$AX15,"&lt;&gt;"&amp;"pB1 HL")*0.5,COUNTIFS($J15:$AX15,"*B2 HL*",$J15:$AX15,"&lt;&gt;"&amp;"pB2 HL")*0.5)))</f>
        <v>8</v>
      </c>
      <c r="G15" s="142">
        <f t="shared" si="0"/>
        <v>0</v>
      </c>
      <c r="H15" s="142">
        <f t="shared" si="1"/>
        <v>5</v>
      </c>
      <c r="I15" s="142">
        <f>IF(Fri_W2[[#This Row],[Employee Name]]="","",IF(Fri_W2[[#This Row],[Dept]]="Supervisor",SUM(COUNTIFS($J15:$AX15,"RTA*",$J15:$AX15,"&lt;&gt;"&amp;"pRTA"),COUNTIFS($J15:$AX15,"*CRTA*",$J15:$AX15,"&lt;&gt;"&amp;"pCRTA")),COUNTIFS($J15:$AX15,"*RNNR*",$J15:$AX15,"&lt;&gt;"&amp;"*pRNNR*",$J15:$AX15,"&lt;&gt;"&amp;"pB1 RNNR",$J15:$AX15,"&lt;&gt;"&amp;"pB2 RNNR")-SUM(COUNTIFS($J15:$AX15,"*RNNR B1*",$J15:$AX15,"&lt;&gt;"&amp;"pRNNR B1")*0.5,COUNTIFS($J15:$AX15,"*RNNR B2*",$J15:$AX15,"&lt;&gt;"&amp;"pRNNR B2")*0.5,COUNTIFS($J15:$AX15,"*B1 RNNR*",$J15:$AX15,"&lt;&gt;"&amp;"pB1 RNNR")*0.5,COUNTIFS($J15:$AX15,"*B2 RNNR*",$J15:$AX15,"&lt;&gt;"&amp;"pB2 RNNR")*0.5)))</f>
        <v>2</v>
      </c>
      <c r="J15" s="184" t="str">
        <f>IFERROR(IF(VLOOKUP(Fri_W2[[#This Row],[Employee Name]],'Base Schedules'!$A$1:$AW$44,9,FALSE)="","",VLOOKUP(Fri_W2[[#This Row],[Employee Name]],'Base Schedules'!$A$1:$AW$44,9,FALSE)),"")</f>
        <v/>
      </c>
      <c r="K15" s="184" t="str">
        <f>IFERROR(IF(VLOOKUP(Fri_W2[[#This Row],[Employee Name]],'Base Schedules'!$A$1:$AW$44,10,FALSE)="","",VLOOKUP(Fri_W2[[#This Row],[Employee Name]],'Base Schedules'!$A$1:$AW$44,10,FALSE)),"")</f>
        <v>HL</v>
      </c>
      <c r="L15" s="184" t="str">
        <f>IFERROR(IF(VLOOKUP(Fri_W2[[#This Row],[Employee Name]],'Base Schedules'!$A$1:$AW$44,11,FALSE)="","",VLOOKUP(Fri_W2[[#This Row],[Employee Name]],'Base Schedules'!$A$1:$AW$44,11,FALSE)),"")</f>
        <v>HL</v>
      </c>
      <c r="M15" s="184" t="str">
        <f>IFERROR(IF(VLOOKUP(Fri_W2[[#This Row],[Employee Name]],'Base Schedules'!$A$1:$AW$44,12,FALSE)="","",VLOOKUP(Fri_W2[[#This Row],[Employee Name]],'Base Schedules'!$A$1:$AW$44,12,FALSE)),"")</f>
        <v>HL</v>
      </c>
      <c r="N15" s="184" t="str">
        <f>IFERROR(IF(VLOOKUP(Fri_W2[[#This Row],[Employee Name]],'Base Schedules'!$A$1:$AW$44,13,FALSE)="","",VLOOKUP(Fri_W2[[#This Row],[Employee Name]],'Base Schedules'!$A$1:$AW$44,13,FALSE)),"")</f>
        <v>HL</v>
      </c>
      <c r="O15" s="184" t="str">
        <f>IFERROR(IF(VLOOKUP(Fri_W2[[#This Row],[Employee Name]],'Base Schedules'!$A$1:$AW$44,14,FALSE)="","",VLOOKUP(Fri_W2[[#This Row],[Employee Name]],'Base Schedules'!$A$1:$AW$44,14,FALSE)),"")</f>
        <v>HL B1</v>
      </c>
      <c r="P15" s="184" t="str">
        <f>IFERROR(IF(VLOOKUP(Fri_W2[[#This Row],[Employee Name]],'Base Schedules'!$A$1:$AW$44,15,FALSE)="","",VLOOKUP(Fri_W2[[#This Row],[Employee Name]],'Base Schedules'!$A$1:$AW$44,15,FALSE)),"")</f>
        <v>ADM</v>
      </c>
      <c r="Q15" s="184" t="str">
        <f>IFERROR(IF(VLOOKUP(Fri_W2[[#This Row],[Employee Name]],'Base Schedules'!$A$1:$AW$44,16,FALSE)="","",VLOOKUP(Fri_W2[[#This Row],[Employee Name]],'Base Schedules'!$A$1:$AW$44,16,FALSE)),"")</f>
        <v>ADM</v>
      </c>
      <c r="R15" s="184" t="str">
        <f>IFERROR(IF(VLOOKUP(Fri_W2[[#This Row],[Employee Name]],'Base Schedules'!$A$1:$AW$44,17,FALSE)="","",VLOOKUP(Fri_W2[[#This Row],[Employee Name]],'Base Schedules'!$A$1:$AW$44,17,FALSE)),"")</f>
        <v>ADM</v>
      </c>
      <c r="S15" s="184" t="str">
        <f>IFERROR(IF(VLOOKUP(Fri_W2[[#This Row],[Employee Name]],'Base Schedules'!$A$1:$AW$44,18,FALSE)="","",VLOOKUP(Fri_W2[[#This Row],[Employee Name]],'Base Schedules'!$A$1:$AW$44,18,FALSE)),"")</f>
        <v>ADM</v>
      </c>
      <c r="T15" s="184" t="str">
        <f>IFERROR(IF(VLOOKUP(Fri_W2[[#This Row],[Employee Name]],'Base Schedules'!$A$1:$AW$44,19,FALSE)="","",VLOOKUP(Fri_W2[[#This Row],[Employee Name]],'Base Schedules'!$A$1:$AW$44,19,FALSE)),"")</f>
        <v>ADM</v>
      </c>
      <c r="U15" s="184" t="str">
        <f>IFERROR(IF(VLOOKUP(Fri_W2[[#This Row],[Employee Name]],'Base Schedules'!$A$1:$AW$44,20,FALSE)="","",VLOOKUP(Fri_W2[[#This Row],[Employee Name]],'Base Schedules'!$A$1:$AW$44,20,FALSE)),"")</f>
        <v>LUNCH</v>
      </c>
      <c r="V15" s="184" t="str">
        <f>IFERROR(IF(VLOOKUP(Fri_W2[[#This Row],[Employee Name]],'Base Schedules'!$A$1:$AW$44,21,FALSE)="","",VLOOKUP(Fri_W2[[#This Row],[Employee Name]],'Base Schedules'!$A$1:$AW$44,21,FALSE)),"")</f>
        <v>LUNCH</v>
      </c>
      <c r="W15" s="184" t="str">
        <f>IFERROR(IF(VLOOKUP(Fri_W2[[#This Row],[Employee Name]],'Base Schedules'!$A$1:$AW$44,22,FALSE)="","",VLOOKUP(Fri_W2[[#This Row],[Employee Name]],'Base Schedules'!$A$1:$AW$44,22,FALSE)),"")</f>
        <v>HL</v>
      </c>
      <c r="X15" s="184" t="str">
        <f>IFERROR(IF(VLOOKUP(Fri_W2[[#This Row],[Employee Name]],'Base Schedules'!$A$1:$AW$44,23,FALSE)="","",VLOOKUP(Fri_W2[[#This Row],[Employee Name]],'Base Schedules'!$A$1:$AW$44,23,FALSE)),"")</f>
        <v>HL</v>
      </c>
      <c r="Y15" s="184" t="str">
        <f>IFERROR(IF(VLOOKUP(Fri_W2[[#This Row],[Employee Name]],'Base Schedules'!$A$1:$AW$44,24,FALSE)="","",VLOOKUP(Fri_W2[[#This Row],[Employee Name]],'Base Schedules'!$A$1:$AW$44,24,FALSE)),"")</f>
        <v>HL B2</v>
      </c>
      <c r="Z15" s="184" t="str">
        <f>IFERROR(IF(VLOOKUP(Fri_W2[[#This Row],[Employee Name]],'Base Schedules'!$A$1:$AW$44,25,FALSE)="","",VLOOKUP(Fri_W2[[#This Row],[Employee Name]],'Base Schedules'!$A$1:$AW$44,25,FALSE)),"")</f>
        <v>RNNR</v>
      </c>
      <c r="AA15" s="184" t="str">
        <f>IFERROR(IF(VLOOKUP(Fri_W2[[#This Row],[Employee Name]],'Base Schedules'!$A$1:$AW$44,26,FALSE)="","",VLOOKUP(Fri_W2[[#This Row],[Employee Name]],'Base Schedules'!$A$1:$AW$44,26,FALSE)),"")</f>
        <v>RNNR</v>
      </c>
      <c r="AB15" s="184" t="str">
        <f>IFERROR(IF(VLOOKUP(Fri_W2[[#This Row],[Employee Name]],'Base Schedules'!$A$1:$AW$44,27,FALSE)="","",VLOOKUP(Fri_W2[[#This Row],[Employee Name]],'Base Schedules'!$A$1:$AW$44,27,FALSE)),"")</f>
        <v>HL</v>
      </c>
      <c r="AC15" s="184" t="str">
        <f>IFERROR(IF(VLOOKUP(Fri_W2[[#This Row],[Employee Name]],'Base Schedules'!$A$1:$AW$44,28,FALSE)="","",VLOOKUP(Fri_W2[[#This Row],[Employee Name]],'Base Schedules'!$A$1:$AW$44,28,FALSE)),"")</f>
        <v/>
      </c>
      <c r="AD15" s="184" t="str">
        <f>IFERROR(IF(VLOOKUP(Fri_W2[[#This Row],[Employee Name]],'Base Schedules'!$A$1:$AW$44,29,FALSE)="","",VLOOKUP(Fri_W2[[#This Row],[Employee Name]],'Base Schedules'!$A$1:$AW$44,29,FALSE)),"")</f>
        <v/>
      </c>
      <c r="AE15" s="184" t="str">
        <f>IFERROR(IF(VLOOKUP(Fri_W2[[#This Row],[Employee Name]],'Base Schedules'!$A$1:$AW$44,30,FALSE)="","",VLOOKUP(Fri_W2[[#This Row],[Employee Name]],'Base Schedules'!$A$1:$AW$44,30,FALSE)),"")</f>
        <v/>
      </c>
      <c r="AF15" s="184" t="str">
        <f>IFERROR(IF(VLOOKUP(Fri_W2[[#This Row],[Employee Name]],'Base Schedules'!$A$1:$AW$44,31,FALSE)="","",VLOOKUP(Fri_W2[[#This Row],[Employee Name]],'Base Schedules'!$A$1:$AW$44,31,FALSE)),"")</f>
        <v/>
      </c>
      <c r="AG15" s="184" t="str">
        <f>IFERROR(IF(VLOOKUP(Fri_W2[[#This Row],[Employee Name]],'Base Schedules'!$A$1:$AW$44,32,FALSE)="","",VLOOKUP(Fri_W2[[#This Row],[Employee Name]],'Base Schedules'!$A$1:$AW$44,32,FALSE)),"")</f>
        <v/>
      </c>
      <c r="AH15" s="184" t="str">
        <f>IFERROR(IF(VLOOKUP(Fri_W2[[#This Row],[Employee Name]],'Base Schedules'!$A$1:$AW$44,33,FALSE)="","",VLOOKUP(Fri_W2[[#This Row],[Employee Name]],'Base Schedules'!$A$1:$AW$44,33,FALSE)),"")</f>
        <v/>
      </c>
      <c r="AI15" s="184" t="str">
        <f>IFERROR(IF(VLOOKUP(Fri_W2[[#This Row],[Employee Name]],'Base Schedules'!$A$1:$AW$44,34,FALSE)="","",VLOOKUP(Fri_W2[[#This Row],[Employee Name]],'Base Schedules'!$A$1:$AW$44,34,FALSE)),"")</f>
        <v/>
      </c>
      <c r="AJ15" s="184" t="str">
        <f>IFERROR(IF(VLOOKUP(Fri_W2[[#This Row],[Employee Name]],'Base Schedules'!$A$1:$AW$44,35,FALSE)="","",VLOOKUP(Fri_W2[[#This Row],[Employee Name]],'Base Schedules'!$A$1:$AW$44,35,FALSE)),"")</f>
        <v/>
      </c>
      <c r="AK15" s="184" t="str">
        <f>IFERROR(IF(VLOOKUP(Fri_W2[[#This Row],[Employee Name]],'Base Schedules'!$A$1:$AW$44,36,FALSE)="","",VLOOKUP(Fri_W2[[#This Row],[Employee Name]],'Base Schedules'!$A$1:$AW$44,36,FALSE)),"")</f>
        <v/>
      </c>
      <c r="AL15" s="184" t="str">
        <f>IFERROR(IF(VLOOKUP(Fri_W2[[#This Row],[Employee Name]],'Base Schedules'!$A$1:$AW$44,37,FALSE)="","",VLOOKUP(Fri_W2[[#This Row],[Employee Name]],'Base Schedules'!$A$1:$AW$44,37,FALSE)),"")</f>
        <v/>
      </c>
      <c r="AM15" s="184" t="str">
        <f>IFERROR(IF(VLOOKUP(Fri_W2[[#This Row],[Employee Name]],'Base Schedules'!$A$1:$AW$44,38,FALSE)="","",VLOOKUP(Fri_W2[[#This Row],[Employee Name]],'Base Schedules'!$A$1:$AW$44,38,FALSE)),"")</f>
        <v/>
      </c>
      <c r="AN15" s="184" t="str">
        <f>IFERROR(IF(VLOOKUP(Fri_W2[[#This Row],[Employee Name]],'Base Schedules'!$A$1:$AW$44,39,FALSE)="","",VLOOKUP(Fri_W2[[#This Row],[Employee Name]],'Base Schedules'!$A$1:$AW$44,39,FALSE)),"")</f>
        <v/>
      </c>
      <c r="AO15" s="184" t="str">
        <f>IFERROR(IF(VLOOKUP(Fri_W2[[#This Row],[Employee Name]],'Base Schedules'!$A$1:$AW$44,40,FALSE)="","",VLOOKUP(Fri_W2[[#This Row],[Employee Name]],'Base Schedules'!$A$1:$AW$44,40,FALSE)),"")</f>
        <v/>
      </c>
      <c r="AP15" s="184" t="str">
        <f>IFERROR(IF(VLOOKUP(Fri_W2[[#This Row],[Employee Name]],'Base Schedules'!$A$1:$AW$44,41,FALSE)="","",VLOOKUP(Fri_W2[[#This Row],[Employee Name]],'Base Schedules'!$A$1:$AW$44,41,FALSE)),"")</f>
        <v/>
      </c>
      <c r="AQ15" s="184" t="str">
        <f>IFERROR(IF(VLOOKUP(Fri_W2[[#This Row],[Employee Name]],'Base Schedules'!$A$1:$AW$44,42,FALSE)="","",VLOOKUP(Fri_W2[[#This Row],[Employee Name]],'Base Schedules'!$A$1:$AW$44,42,FALSE)),"")</f>
        <v/>
      </c>
      <c r="AR15" s="184" t="str">
        <f>IFERROR(IF(VLOOKUP(Fri_W2[[#This Row],[Employee Name]],'Base Schedules'!$A$1:$AW$44,43,FALSE)="","",VLOOKUP(Fri_W2[[#This Row],[Employee Name]],'Base Schedules'!$A$1:$AW$44,43,FALSE)),"")</f>
        <v/>
      </c>
      <c r="AS15" s="184" t="str">
        <f>IFERROR(IF(VLOOKUP(Fri_W2[[#This Row],[Employee Name]],'Base Schedules'!$A$1:$AW$44,44,FALSE)="","",VLOOKUP(Fri_W2[[#This Row],[Employee Name]],'Base Schedules'!$A$1:$AW$44,44,FALSE)),"")</f>
        <v/>
      </c>
      <c r="AT15" s="184" t="str">
        <f>IFERROR(IF(VLOOKUP(Fri_W2[[#This Row],[Employee Name]],'Base Schedules'!$A$1:$AW$44,45,FALSE)="","",VLOOKUP(Fri_W2[[#This Row],[Employee Name]],'Base Schedules'!$A$1:$AW$44,45,FALSE)),"")</f>
        <v/>
      </c>
      <c r="AU15" s="184" t="str">
        <f>IFERROR(IF(VLOOKUP(Fri_W2[[#This Row],[Employee Name]],'Base Schedules'!$A$1:$AW$44,46,FALSE)="","",VLOOKUP(Fri_W2[[#This Row],[Employee Name]],'Base Schedules'!$A$1:$AW$44,46,FALSE)),"")</f>
        <v/>
      </c>
      <c r="AV15" s="184" t="str">
        <f>IFERROR(IF(VLOOKUP(Fri_W2[[#This Row],[Employee Name]],'Base Schedules'!$A$1:$AW$44,47,FALSE)="","",VLOOKUP(Fri_W2[[#This Row],[Employee Name]],'Base Schedules'!$A$1:$AW$44,47,FALSE)),"")</f>
        <v/>
      </c>
      <c r="AW15" s="184" t="str">
        <f>IFERROR(IF(VLOOKUP(Fri_W2[[#This Row],[Employee Name]],'Base Schedules'!$A$1:$AW$44,48,FALSE)="","",VLOOKUP(Fri_W2[[#This Row],[Employee Name]],'Base Schedules'!$A$1:$AW$44,48,FALSE)),"")</f>
        <v/>
      </c>
      <c r="AX15" s="184" t="str">
        <f>IFERROR(IF(VLOOKUP(Fri_W2[[#This Row],[Employee Name]],'Base Schedules'!$A$1:$AW$44,49,FALSE)="","",VLOOKUP(Fri_W2[[#This Row],[Employee Name]],'Base Schedules'!$A$1:$AW$44,49,FALSE)),"")</f>
        <v/>
      </c>
      <c r="AY15" s="161" t="str">
        <f t="shared" si="2"/>
        <v>Suarez, Alyssa</v>
      </c>
    </row>
    <row r="16" spans="1:51" s="44" customFormat="1" ht="11.25" customHeight="1" x14ac:dyDescent="0.2">
      <c r="A16" s="39" t="str">
        <f>IF(B16="","",INDEX(TeamList[],MATCH($B16,TeamList[[Employee Name]:[Employee Name]],0),MATCH("Manager",TeamList[#Headers],0)))</f>
        <v>Olson, Katherine</v>
      </c>
      <c r="B16" s="201" t="s">
        <v>19</v>
      </c>
      <c r="C16" s="257" t="str">
        <f>_xlfn.IFNA(VLOOKUP(Fri_W2[[#This Row],[Employee Name]],'Base Schedules'!A:B,2,FALSE),"")</f>
        <v>Lead</v>
      </c>
      <c r="D16" s="274">
        <f>_xlfn.IFNA(VLOOKUP(Fri_W2[[#This Row],[Employee Name]],'Base Schedules'!A:C,3,FALSE),"")</f>
        <v>600</v>
      </c>
      <c r="E16" s="274">
        <f>_xlfn.IFNA(VLOOKUP(Fri_W2[[#This Row],[Employee Name]],'Base Schedules'!A:D,4,FALSE),"")</f>
        <v>1430</v>
      </c>
      <c r="F16" s="142">
        <f>IF(Fri_W2[[#This Row],[Employee Name]]="","",IF(Fri_W2[[#This Row],[Dept]]="Supervisor",COUNTIFS($J16:$AX16,"*HL*",$J16:$AX16,"&lt;&gt;"&amp;"pHL"),COUNTIFS($J16:$AX16,"*HL*",$J16:$AX16,"&lt;&gt;"&amp;"*pHL*",$J16:$AX16,"&lt;&gt;"&amp;"pB1 HL",$J16:$AX16,"&lt;&gt;"&amp;"pB2 HL")-SUM(COUNTIFS($J16:$AX16,"*HL B1*",$J16:$AX16,"&lt;&gt;"&amp;"pHL B1")*0.5,COUNTIFS($J16:$AX16,"*HL B2*",$J16:$AX16,"&lt;&gt;"&amp;"pHL B2")*0.5,COUNTIFS($J16:$AX16,"*B1 HL*",$J16:$AX16,"&lt;&gt;"&amp;"pB1 HL")*0.5,COUNTIFS($J16:$AX16,"*B2 HL*",$J16:$AX16,"&lt;&gt;"&amp;"pB2 HL")*0.5)))</f>
        <v>7.5</v>
      </c>
      <c r="G16" s="142">
        <f t="shared" si="0"/>
        <v>0</v>
      </c>
      <c r="H16" s="142">
        <f t="shared" si="1"/>
        <v>6</v>
      </c>
      <c r="I16" s="142">
        <f>IF(Fri_W2[[#This Row],[Employee Name]]="","",IF(Fri_W2[[#This Row],[Dept]]="Supervisor",SUM(COUNTIFS($J16:$AX16,"RTA*",$J16:$AX16,"&lt;&gt;"&amp;"pRTA"),COUNTIFS($J16:$AX16,"*CRTA*",$J16:$AX16,"&lt;&gt;"&amp;"pCRTA")),COUNTIFS($J16:$AX16,"*RNNR*",$J16:$AX16,"&lt;&gt;"&amp;"*pRNNR*",$J16:$AX16,"&lt;&gt;"&amp;"pB1 RNNR",$J16:$AX16,"&lt;&gt;"&amp;"pB2 RNNR")-SUM(COUNTIFS($J16:$AX16,"*RNNR B1*",$J16:$AX16,"&lt;&gt;"&amp;"pRNNR B1")*0.5,COUNTIFS($J16:$AX16,"*RNNR B2*",$J16:$AX16,"&lt;&gt;"&amp;"pRNNR B2")*0.5,COUNTIFS($J16:$AX16,"*B1 RNNR*",$J16:$AX16,"&lt;&gt;"&amp;"pB1 RNNR")*0.5,COUNTIFS($J16:$AX16,"*B2 RNNR*",$J16:$AX16,"&lt;&gt;"&amp;"pB2 RNNR")*0.5)))</f>
        <v>2</v>
      </c>
      <c r="J16" s="184" t="str">
        <f>IFERROR(IF(VLOOKUP(Fri_W2[[#This Row],[Employee Name]],'Base Schedules'!$A$1:$AW$44,9,FALSE)="","",VLOOKUP(Fri_W2[[#This Row],[Employee Name]],'Base Schedules'!$A$1:$AW$44,9,FALSE)),"")</f>
        <v/>
      </c>
      <c r="K16" s="184" t="str">
        <f>IFERROR(IF(VLOOKUP(Fri_W2[[#This Row],[Employee Name]],'Base Schedules'!$A$1:$AW$44,10,FALSE)="","",VLOOKUP(Fri_W2[[#This Row],[Employee Name]],'Base Schedules'!$A$1:$AW$44,10,FALSE)),"")</f>
        <v/>
      </c>
      <c r="L16" s="184" t="str">
        <f>IFERROR(IF(VLOOKUP(Fri_W2[[#This Row],[Employee Name]],'Base Schedules'!$A$1:$AW$44,11,FALSE)="","",VLOOKUP(Fri_W2[[#This Row],[Employee Name]],'Base Schedules'!$A$1:$AW$44,11,FALSE)),"")</f>
        <v>ADM</v>
      </c>
      <c r="M16" s="184" t="str">
        <f>IFERROR(IF(VLOOKUP(Fri_W2[[#This Row],[Employee Name]],'Base Schedules'!$A$1:$AW$44,12,FALSE)="","",VLOOKUP(Fri_W2[[#This Row],[Employee Name]],'Base Schedules'!$A$1:$AW$44,12,FALSE)),"")</f>
        <v>ADM</v>
      </c>
      <c r="N16" s="184" t="str">
        <f>IFERROR(IF(VLOOKUP(Fri_W2[[#This Row],[Employee Name]],'Base Schedules'!$A$1:$AW$44,13,FALSE)="","",VLOOKUP(Fri_W2[[#This Row],[Employee Name]],'Base Schedules'!$A$1:$AW$44,13,FALSE)),"")</f>
        <v>ADM</v>
      </c>
      <c r="O16" s="184" t="str">
        <f>IFERROR(IF(VLOOKUP(Fri_W2[[#This Row],[Employee Name]],'Base Schedules'!$A$1:$AW$44,14,FALSE)="","",VLOOKUP(Fri_W2[[#This Row],[Employee Name]],'Base Schedules'!$A$1:$AW$44,14,FALSE)),"")</f>
        <v>ADM</v>
      </c>
      <c r="P16" s="184" t="str">
        <f>IFERROR(IF(VLOOKUP(Fri_W2[[#This Row],[Employee Name]],'Base Schedules'!$A$1:$AW$44,15,FALSE)="","",VLOOKUP(Fri_W2[[#This Row],[Employee Name]],'Base Schedules'!$A$1:$AW$44,15,FALSE)),"")</f>
        <v>ADM B1</v>
      </c>
      <c r="Q16" s="184" t="str">
        <f>IFERROR(IF(VLOOKUP(Fri_W2[[#This Row],[Employee Name]],'Base Schedules'!$A$1:$AW$44,16,FALSE)="","",VLOOKUP(Fri_W2[[#This Row],[Employee Name]],'Base Schedules'!$A$1:$AW$44,16,FALSE)),"")</f>
        <v>HL</v>
      </c>
      <c r="R16" s="184" t="str">
        <f>IFERROR(IF(VLOOKUP(Fri_W2[[#This Row],[Employee Name]],'Base Schedules'!$A$1:$AW$44,17,FALSE)="","",VLOOKUP(Fri_W2[[#This Row],[Employee Name]],'Base Schedules'!$A$1:$AW$44,17,FALSE)),"")</f>
        <v>HL</v>
      </c>
      <c r="S16" s="184" t="str">
        <f>IFERROR(IF(VLOOKUP(Fri_W2[[#This Row],[Employee Name]],'Base Schedules'!$A$1:$AW$44,18,FALSE)="","",VLOOKUP(Fri_W2[[#This Row],[Employee Name]],'Base Schedules'!$A$1:$AW$44,18,FALSE)),"")</f>
        <v>HL</v>
      </c>
      <c r="T16" s="184" t="str">
        <f>IFERROR(IF(VLOOKUP(Fri_W2[[#This Row],[Employee Name]],'Base Schedules'!$A$1:$AW$44,19,FALSE)="","",VLOOKUP(Fri_W2[[#This Row],[Employee Name]],'Base Schedules'!$A$1:$AW$44,19,FALSE)),"")</f>
        <v>HL</v>
      </c>
      <c r="U16" s="184" t="str">
        <f>IFERROR(IF(VLOOKUP(Fri_W2[[#This Row],[Employee Name]],'Base Schedules'!$A$1:$AW$44,20,FALSE)="","",VLOOKUP(Fri_W2[[#This Row],[Employee Name]],'Base Schedules'!$A$1:$AW$44,20,FALSE)),"")</f>
        <v>LUNCH</v>
      </c>
      <c r="V16" s="184" t="str">
        <f>IFERROR(IF(VLOOKUP(Fri_W2[[#This Row],[Employee Name]],'Base Schedules'!$A$1:$AW$44,21,FALSE)="","",VLOOKUP(Fri_W2[[#This Row],[Employee Name]],'Base Schedules'!$A$1:$AW$44,21,FALSE)),"")</f>
        <v>RNNR</v>
      </c>
      <c r="W16" s="184" t="str">
        <f>IFERROR(IF(VLOOKUP(Fri_W2[[#This Row],[Employee Name]],'Base Schedules'!$A$1:$AW$44,22,FALSE)="","",VLOOKUP(Fri_W2[[#This Row],[Employee Name]],'Base Schedules'!$A$1:$AW$44,22,FALSE)),"")</f>
        <v>RNNR</v>
      </c>
      <c r="X16" s="184" t="str">
        <f>IFERROR(IF(VLOOKUP(Fri_W2[[#This Row],[Employee Name]],'Base Schedules'!$A$1:$AW$44,23,FALSE)="","",VLOOKUP(Fri_W2[[#This Row],[Employee Name]],'Base Schedules'!$A$1:$AW$44,23,FALSE)),"")</f>
        <v>ADM</v>
      </c>
      <c r="Y16" s="184" t="str">
        <f>IFERROR(IF(VLOOKUP(Fri_W2[[#This Row],[Employee Name]],'Base Schedules'!$A$1:$AW$44,24,FALSE)="","",VLOOKUP(Fri_W2[[#This Row],[Employee Name]],'Base Schedules'!$A$1:$AW$44,24,FALSE)),"")</f>
        <v>B2 HL</v>
      </c>
      <c r="Z16" s="184" t="str">
        <f>IFERROR(IF(VLOOKUP(Fri_W2[[#This Row],[Employee Name]],'Base Schedules'!$A$1:$AW$44,25,FALSE)="","",VLOOKUP(Fri_W2[[#This Row],[Employee Name]],'Base Schedules'!$A$1:$AW$44,25,FALSE)),"")</f>
        <v>HL</v>
      </c>
      <c r="AA16" s="184" t="str">
        <f>IFERROR(IF(VLOOKUP(Fri_W2[[#This Row],[Employee Name]],'Base Schedules'!$A$1:$AW$44,26,FALSE)="","",VLOOKUP(Fri_W2[[#This Row],[Employee Name]],'Base Schedules'!$A$1:$AW$44,26,FALSE)),"")</f>
        <v>HL</v>
      </c>
      <c r="AB16" s="184" t="str">
        <f>IFERROR(IF(VLOOKUP(Fri_W2[[#This Row],[Employee Name]],'Base Schedules'!$A$1:$AW$44,27,FALSE)="","",VLOOKUP(Fri_W2[[#This Row],[Employee Name]],'Base Schedules'!$A$1:$AW$44,27,FALSE)),"")</f>
        <v>HL</v>
      </c>
      <c r="AC16" s="184" t="str">
        <f>IFERROR(IF(VLOOKUP(Fri_W2[[#This Row],[Employee Name]],'Base Schedules'!$A$1:$AW$44,28,FALSE)="","",VLOOKUP(Fri_W2[[#This Row],[Employee Name]],'Base Schedules'!$A$1:$AW$44,28,FALSE)),"")</f>
        <v/>
      </c>
      <c r="AD16" s="184" t="str">
        <f>IFERROR(IF(VLOOKUP(Fri_W2[[#This Row],[Employee Name]],'Base Schedules'!$A$1:$AW$44,29,FALSE)="","",VLOOKUP(Fri_W2[[#This Row],[Employee Name]],'Base Schedules'!$A$1:$AW$44,29,FALSE)),"")</f>
        <v/>
      </c>
      <c r="AE16" s="184" t="str">
        <f>IFERROR(IF(VLOOKUP(Fri_W2[[#This Row],[Employee Name]],'Base Schedules'!$A$1:$AW$44,30,FALSE)="","",VLOOKUP(Fri_W2[[#This Row],[Employee Name]],'Base Schedules'!$A$1:$AW$44,30,FALSE)),"")</f>
        <v/>
      </c>
      <c r="AF16" s="184" t="str">
        <f>IFERROR(IF(VLOOKUP(Fri_W2[[#This Row],[Employee Name]],'Base Schedules'!$A$1:$AW$44,31,FALSE)="","",VLOOKUP(Fri_W2[[#This Row],[Employee Name]],'Base Schedules'!$A$1:$AW$44,31,FALSE)),"")</f>
        <v/>
      </c>
      <c r="AG16" s="184" t="str">
        <f>IFERROR(IF(VLOOKUP(Fri_W2[[#This Row],[Employee Name]],'Base Schedules'!$A$1:$AW$44,32,FALSE)="","",VLOOKUP(Fri_W2[[#This Row],[Employee Name]],'Base Schedules'!$A$1:$AW$44,32,FALSE)),"")</f>
        <v/>
      </c>
      <c r="AH16" s="184" t="str">
        <f>IFERROR(IF(VLOOKUP(Fri_W2[[#This Row],[Employee Name]],'Base Schedules'!$A$1:$AW$44,33,FALSE)="","",VLOOKUP(Fri_W2[[#This Row],[Employee Name]],'Base Schedules'!$A$1:$AW$44,33,FALSE)),"")</f>
        <v/>
      </c>
      <c r="AI16" s="184" t="str">
        <f>IFERROR(IF(VLOOKUP(Fri_W2[[#This Row],[Employee Name]],'Base Schedules'!$A$1:$AW$44,34,FALSE)="","",VLOOKUP(Fri_W2[[#This Row],[Employee Name]],'Base Schedules'!$A$1:$AW$44,34,FALSE)),"")</f>
        <v/>
      </c>
      <c r="AJ16" s="184" t="str">
        <f>IFERROR(IF(VLOOKUP(Fri_W2[[#This Row],[Employee Name]],'Base Schedules'!$A$1:$AW$44,35,FALSE)="","",VLOOKUP(Fri_W2[[#This Row],[Employee Name]],'Base Schedules'!$A$1:$AW$44,35,FALSE)),"")</f>
        <v/>
      </c>
      <c r="AK16" s="184" t="str">
        <f>IFERROR(IF(VLOOKUP(Fri_W2[[#This Row],[Employee Name]],'Base Schedules'!$A$1:$AW$44,36,FALSE)="","",VLOOKUP(Fri_W2[[#This Row],[Employee Name]],'Base Schedules'!$A$1:$AW$44,36,FALSE)),"")</f>
        <v/>
      </c>
      <c r="AL16" s="184" t="str">
        <f>IFERROR(IF(VLOOKUP(Fri_W2[[#This Row],[Employee Name]],'Base Schedules'!$A$1:$AW$44,37,FALSE)="","",VLOOKUP(Fri_W2[[#This Row],[Employee Name]],'Base Schedules'!$A$1:$AW$44,37,FALSE)),"")</f>
        <v/>
      </c>
      <c r="AM16" s="184" t="str">
        <f>IFERROR(IF(VLOOKUP(Fri_W2[[#This Row],[Employee Name]],'Base Schedules'!$A$1:$AW$44,38,FALSE)="","",VLOOKUP(Fri_W2[[#This Row],[Employee Name]],'Base Schedules'!$A$1:$AW$44,38,FALSE)),"")</f>
        <v/>
      </c>
      <c r="AN16" s="184" t="str">
        <f>IFERROR(IF(VLOOKUP(Fri_W2[[#This Row],[Employee Name]],'Base Schedules'!$A$1:$AW$44,39,FALSE)="","",VLOOKUP(Fri_W2[[#This Row],[Employee Name]],'Base Schedules'!$A$1:$AW$44,39,FALSE)),"")</f>
        <v/>
      </c>
      <c r="AO16" s="184" t="str">
        <f>IFERROR(IF(VLOOKUP(Fri_W2[[#This Row],[Employee Name]],'Base Schedules'!$A$1:$AW$44,40,FALSE)="","",VLOOKUP(Fri_W2[[#This Row],[Employee Name]],'Base Schedules'!$A$1:$AW$44,40,FALSE)),"")</f>
        <v/>
      </c>
      <c r="AP16" s="184" t="str">
        <f>IFERROR(IF(VLOOKUP(Fri_W2[[#This Row],[Employee Name]],'Base Schedules'!$A$1:$AW$44,41,FALSE)="","",VLOOKUP(Fri_W2[[#This Row],[Employee Name]],'Base Schedules'!$A$1:$AW$44,41,FALSE)),"")</f>
        <v/>
      </c>
      <c r="AQ16" s="184" t="str">
        <f>IFERROR(IF(VLOOKUP(Fri_W2[[#This Row],[Employee Name]],'Base Schedules'!$A$1:$AW$44,42,FALSE)="","",VLOOKUP(Fri_W2[[#This Row],[Employee Name]],'Base Schedules'!$A$1:$AW$44,42,FALSE)),"")</f>
        <v/>
      </c>
      <c r="AR16" s="184" t="str">
        <f>IFERROR(IF(VLOOKUP(Fri_W2[[#This Row],[Employee Name]],'Base Schedules'!$A$1:$AW$44,43,FALSE)="","",VLOOKUP(Fri_W2[[#This Row],[Employee Name]],'Base Schedules'!$A$1:$AW$44,43,FALSE)),"")</f>
        <v/>
      </c>
      <c r="AS16" s="184" t="str">
        <f>IFERROR(IF(VLOOKUP(Fri_W2[[#This Row],[Employee Name]],'Base Schedules'!$A$1:$AW$44,44,FALSE)="","",VLOOKUP(Fri_W2[[#This Row],[Employee Name]],'Base Schedules'!$A$1:$AW$44,44,FALSE)),"")</f>
        <v/>
      </c>
      <c r="AT16" s="184" t="str">
        <f>IFERROR(IF(VLOOKUP(Fri_W2[[#This Row],[Employee Name]],'Base Schedules'!$A$1:$AW$44,45,FALSE)="","",VLOOKUP(Fri_W2[[#This Row],[Employee Name]],'Base Schedules'!$A$1:$AW$44,45,FALSE)),"")</f>
        <v/>
      </c>
      <c r="AU16" s="184" t="str">
        <f>IFERROR(IF(VLOOKUP(Fri_W2[[#This Row],[Employee Name]],'Base Schedules'!$A$1:$AW$44,46,FALSE)="","",VLOOKUP(Fri_W2[[#This Row],[Employee Name]],'Base Schedules'!$A$1:$AW$44,46,FALSE)),"")</f>
        <v/>
      </c>
      <c r="AV16" s="184" t="str">
        <f>IFERROR(IF(VLOOKUP(Fri_W2[[#This Row],[Employee Name]],'Base Schedules'!$A$1:$AW$44,47,FALSE)="","",VLOOKUP(Fri_W2[[#This Row],[Employee Name]],'Base Schedules'!$A$1:$AW$44,47,FALSE)),"")</f>
        <v/>
      </c>
      <c r="AW16" s="184" t="str">
        <f>IFERROR(IF(VLOOKUP(Fri_W2[[#This Row],[Employee Name]],'Base Schedules'!$A$1:$AW$44,48,FALSE)="","",VLOOKUP(Fri_W2[[#This Row],[Employee Name]],'Base Schedules'!$A$1:$AW$44,48,FALSE)),"")</f>
        <v/>
      </c>
      <c r="AX16" s="184" t="str">
        <f>IFERROR(IF(VLOOKUP(Fri_W2[[#This Row],[Employee Name]],'Base Schedules'!$A$1:$AW$44,49,FALSE)="","",VLOOKUP(Fri_W2[[#This Row],[Employee Name]],'Base Schedules'!$A$1:$AW$44,49,FALSE)),"")</f>
        <v/>
      </c>
      <c r="AY16" s="159" t="str">
        <f t="shared" si="2"/>
        <v>Albert, Christina</v>
      </c>
    </row>
    <row r="17" spans="1:51" s="44" customFormat="1" ht="11.25" customHeight="1" x14ac:dyDescent="0.2">
      <c r="A17" s="39" t="str">
        <f>IF(B17="","",INDEX(TeamList[],MATCH($B17,TeamList[[Employee Name]:[Employee Name]],0),MATCH("Manager",TeamList[#Headers],0)))</f>
        <v>Paulson, Matthew</v>
      </c>
      <c r="B17" s="201" t="s">
        <v>20</v>
      </c>
      <c r="C17" s="257" t="str">
        <f>_xlfn.IFNA(VLOOKUP(Fri_W2[[#This Row],[Employee Name]],'Base Schedules'!A:B,2,FALSE),"")</f>
        <v>Supervisor</v>
      </c>
      <c r="D17" s="274">
        <f>_xlfn.IFNA(VLOOKUP(Fri_W2[[#This Row],[Employee Name]],'Base Schedules'!A:C,3,FALSE),"")</f>
        <v>600</v>
      </c>
      <c r="E17" s="274">
        <f>_xlfn.IFNA(VLOOKUP(Fri_W2[[#This Row],[Employee Name]],'Base Schedules'!A:D,4,FALSE),"")</f>
        <v>1500</v>
      </c>
      <c r="F17" s="142">
        <f>IF(Fri_W2[[#This Row],[Employee Name]]="","",IF(Fri_W2[[#This Row],[Dept]]="Supervisor",COUNTIFS($J17:$AX17,"*HL*",$J17:$AX17,"&lt;&gt;"&amp;"pHL"),COUNTIFS($J17:$AX17,"*HL*",$J17:$AX17,"&lt;&gt;"&amp;"*pHL*",$J17:$AX17,"&lt;&gt;"&amp;"pB1 HL",$J17:$AX17,"&lt;&gt;"&amp;"pB2 HL")-SUM(COUNTIFS($J17:$AX17,"*HL B1*",$J17:$AX17,"&lt;&gt;"&amp;"pHL B1")*0.5,COUNTIFS($J17:$AX17,"*HL B2*",$J17:$AX17,"&lt;&gt;"&amp;"pHL B2")*0.5,COUNTIFS($J17:$AX17,"*B1 HL*",$J17:$AX17,"&lt;&gt;"&amp;"pB1 HL")*0.5,COUNTIFS($J17:$AX17,"*B2 HL*",$J17:$AX17,"&lt;&gt;"&amp;"pB2 HL")*0.5)))</f>
        <v>0</v>
      </c>
      <c r="G17" s="142">
        <f t="shared" si="0"/>
        <v>4</v>
      </c>
      <c r="H17" s="142">
        <f t="shared" si="1"/>
        <v>0</v>
      </c>
      <c r="I17" s="142">
        <f>IF(Fri_W2[[#This Row],[Employee Name]]="","",IF(Fri_W2[[#This Row],[Dept]]="Supervisor",SUM(COUNTIFS($J17:$AX17,"RTA*",$J17:$AX17,"&lt;&gt;"&amp;"pRTA"),COUNTIFS($J17:$AX17,"*CRTA*",$J17:$AX17,"&lt;&gt;"&amp;"pCRTA")),COUNTIFS($J17:$AX17,"*RNNR*",$J17:$AX17,"&lt;&gt;"&amp;"*pRNNR*",$J17:$AX17,"&lt;&gt;"&amp;"pB1 RNNR",$J17:$AX17,"&lt;&gt;"&amp;"pB2 RNNR")-SUM(COUNTIFS($J17:$AX17,"*RNNR B1*",$J17:$AX17,"&lt;&gt;"&amp;"pRNNR B1")*0.5,COUNTIFS($J17:$AX17,"*RNNR B2*",$J17:$AX17,"&lt;&gt;"&amp;"pRNNR B2")*0.5,COUNTIFS($J17:$AX17,"*B1 RNNR*",$J17:$AX17,"&lt;&gt;"&amp;"pB1 RNNR")*0.5,COUNTIFS($J17:$AX17,"*B2 RNNR*",$J17:$AX17,"&lt;&gt;"&amp;"pB2 RNNR")*0.5)))</f>
        <v>0</v>
      </c>
      <c r="J17" s="184" t="str">
        <f>IFERROR(IF(VLOOKUP(Fri_W2[[#This Row],[Employee Name]],'Base Schedules'!$A$1:$AW$44,9,FALSE)="","",VLOOKUP(Fri_W2[[#This Row],[Employee Name]],'Base Schedules'!$A$1:$AW$44,9,FALSE)),"")</f>
        <v/>
      </c>
      <c r="K17" s="184" t="str">
        <f>IFERROR(IF(VLOOKUP(Fri_W2[[#This Row],[Employee Name]],'Base Schedules'!$A$1:$AW$44,10,FALSE)="","",VLOOKUP(Fri_W2[[#This Row],[Employee Name]],'Base Schedules'!$A$1:$AW$44,10,FALSE)),"")</f>
        <v/>
      </c>
      <c r="L17" s="184" t="str">
        <f>IFERROR(IF(VLOOKUP(Fri_W2[[#This Row],[Employee Name]],'Base Schedules'!$A$1:$AW$44,11,FALSE)="","",VLOOKUP(Fri_W2[[#This Row],[Employee Name]],'Base Schedules'!$A$1:$AW$44,11,FALSE)),"")</f>
        <v>-</v>
      </c>
      <c r="M17" s="184" t="str">
        <f>IFERROR(IF(VLOOKUP(Fri_W2[[#This Row],[Employee Name]],'Base Schedules'!$A$1:$AW$44,12,FALSE)="","",VLOOKUP(Fri_W2[[#This Row],[Employee Name]],'Base Schedules'!$A$1:$AW$44,12,FALSE)),"")</f>
        <v>-</v>
      </c>
      <c r="N17" s="184" t="str">
        <f>IFERROR(IF(VLOOKUP(Fri_W2[[#This Row],[Employee Name]],'Base Schedules'!$A$1:$AW$44,13,FALSE)="","",VLOOKUP(Fri_W2[[#This Row],[Employee Name]],'Base Schedules'!$A$1:$AW$44,13,FALSE)),"")</f>
        <v>-</v>
      </c>
      <c r="O17" s="184" t="str">
        <f>IFERROR(IF(VLOOKUP(Fri_W2[[#This Row],[Employee Name]],'Base Schedules'!$A$1:$AW$44,14,FALSE)="","",VLOOKUP(Fri_W2[[#This Row],[Employee Name]],'Base Schedules'!$A$1:$AW$44,14,FALSE)),"")</f>
        <v>-</v>
      </c>
      <c r="P17" s="184" t="str">
        <f>IFERROR(IF(VLOOKUP(Fri_W2[[#This Row],[Employee Name]],'Base Schedules'!$A$1:$AW$44,15,FALSE)="","",VLOOKUP(Fri_W2[[#This Row],[Employee Name]],'Base Schedules'!$A$1:$AW$44,15,FALSE)),"")</f>
        <v>-</v>
      </c>
      <c r="Q17" s="184" t="str">
        <f>IFERROR(IF(VLOOKUP(Fri_W2[[#This Row],[Employee Name]],'Base Schedules'!$A$1:$AW$44,16,FALSE)="","",VLOOKUP(Fri_W2[[#This Row],[Employee Name]],'Base Schedules'!$A$1:$AW$44,16,FALSE)),"")</f>
        <v>-</v>
      </c>
      <c r="R17" s="184" t="str">
        <f>IFERROR(IF(VLOOKUP(Fri_W2[[#This Row],[Employee Name]],'Base Schedules'!$A$1:$AW$44,17,FALSE)="","",VLOOKUP(Fri_W2[[#This Row],[Employee Name]],'Base Schedules'!$A$1:$AW$44,17,FALSE)),"")</f>
        <v>-</v>
      </c>
      <c r="S17" s="184" t="str">
        <f>IFERROR(IF(VLOOKUP(Fri_W2[[#This Row],[Employee Name]],'Base Schedules'!$A$1:$AW$44,18,FALSE)="","",VLOOKUP(Fri_W2[[#This Row],[Employee Name]],'Base Schedules'!$A$1:$AW$44,18,FALSE)),"")</f>
        <v>-</v>
      </c>
      <c r="T17" s="184" t="str">
        <f>IFERROR(IF(VLOOKUP(Fri_W2[[#This Row],[Employee Name]],'Base Schedules'!$A$1:$AW$44,19,FALSE)="","",VLOOKUP(Fri_W2[[#This Row],[Employee Name]],'Base Schedules'!$A$1:$AW$44,19,FALSE)),"")</f>
        <v>Interview</v>
      </c>
      <c r="U17" s="184" t="str">
        <f>IFERROR(IF(VLOOKUP(Fri_W2[[#This Row],[Employee Name]],'Base Schedules'!$A$1:$AW$44,20,FALSE)="","",VLOOKUP(Fri_W2[[#This Row],[Employee Name]],'Base Schedules'!$A$1:$AW$44,20,FALSE)),"")</f>
        <v>Interview</v>
      </c>
      <c r="V17" s="184" t="str">
        <f>IFERROR(IF(VLOOKUP(Fri_W2[[#This Row],[Employee Name]],'Base Schedules'!$A$1:$AW$44,21,FALSE)="","",VLOOKUP(Fri_W2[[#This Row],[Employee Name]],'Base Schedules'!$A$1:$AW$44,21,FALSE)),"")</f>
        <v>-</v>
      </c>
      <c r="W17" s="184" t="str">
        <f>IFERROR(IF(VLOOKUP(Fri_W2[[#This Row],[Employee Name]],'Base Schedules'!$A$1:$AW$44,22,FALSE)="","",VLOOKUP(Fri_W2[[#This Row],[Employee Name]],'Base Schedules'!$A$1:$AW$44,22,FALSE)),"")</f>
        <v>-</v>
      </c>
      <c r="X17" s="184" t="str">
        <f>IFERROR(IF(VLOOKUP(Fri_W2[[#This Row],[Employee Name]],'Base Schedules'!$A$1:$AW$44,23,FALSE)="","",VLOOKUP(Fri_W2[[#This Row],[Employee Name]],'Base Schedules'!$A$1:$AW$44,23,FALSE)),"")</f>
        <v>-</v>
      </c>
      <c r="Y17" s="184" t="str">
        <f>IFERROR(IF(VLOOKUP(Fri_W2[[#This Row],[Employee Name]],'Base Schedules'!$A$1:$AW$44,24,FALSE)="","",VLOOKUP(Fri_W2[[#This Row],[Employee Name]],'Base Schedules'!$A$1:$AW$44,24,FALSE)),"")</f>
        <v>Coaching</v>
      </c>
      <c r="Z17" s="184" t="str">
        <f>IFERROR(IF(VLOOKUP(Fri_W2[[#This Row],[Employee Name]],'Base Schedules'!$A$1:$AW$44,25,FALSE)="","",VLOOKUP(Fri_W2[[#This Row],[Employee Name]],'Base Schedules'!$A$1:$AW$44,25,FALSE)),"")</f>
        <v>Coaching</v>
      </c>
      <c r="AA17" s="184" t="str">
        <f>IFERROR(IF(VLOOKUP(Fri_W2[[#This Row],[Employee Name]],'Base Schedules'!$A$1:$AW$44,26,FALSE)="","",VLOOKUP(Fri_W2[[#This Row],[Employee Name]],'Base Schedules'!$A$1:$AW$44,26,FALSE)),"")</f>
        <v>Coaching</v>
      </c>
      <c r="AB17" s="184" t="str">
        <f>IFERROR(IF(VLOOKUP(Fri_W2[[#This Row],[Employee Name]],'Base Schedules'!$A$1:$AW$44,27,FALSE)="","",VLOOKUP(Fri_W2[[#This Row],[Employee Name]],'Base Schedules'!$A$1:$AW$44,27,FALSE)),"")</f>
        <v>Coaching</v>
      </c>
      <c r="AC17" s="184" t="str">
        <f>IFERROR(IF(VLOOKUP(Fri_W2[[#This Row],[Employee Name]],'Base Schedules'!$A$1:$AW$44,28,FALSE)="","",VLOOKUP(Fri_W2[[#This Row],[Employee Name]],'Base Schedules'!$A$1:$AW$44,28,FALSE)),"")</f>
        <v>-</v>
      </c>
      <c r="AD17" s="184" t="str">
        <f>IFERROR(IF(VLOOKUP(Fri_W2[[#This Row],[Employee Name]],'Base Schedules'!$A$1:$AW$44,29,FALSE)="","",VLOOKUP(Fri_W2[[#This Row],[Employee Name]],'Base Schedules'!$A$1:$AW$44,29,FALSE)),"")</f>
        <v/>
      </c>
      <c r="AE17" s="184" t="str">
        <f>IFERROR(IF(VLOOKUP(Fri_W2[[#This Row],[Employee Name]],'Base Schedules'!$A$1:$AW$44,30,FALSE)="","",VLOOKUP(Fri_W2[[#This Row],[Employee Name]],'Base Schedules'!$A$1:$AW$44,30,FALSE)),"")</f>
        <v/>
      </c>
      <c r="AF17" s="184" t="str">
        <f>IFERROR(IF(VLOOKUP(Fri_W2[[#This Row],[Employee Name]],'Base Schedules'!$A$1:$AW$44,31,FALSE)="","",VLOOKUP(Fri_W2[[#This Row],[Employee Name]],'Base Schedules'!$A$1:$AW$44,31,FALSE)),"")</f>
        <v/>
      </c>
      <c r="AG17" s="184" t="str">
        <f>IFERROR(IF(VLOOKUP(Fri_W2[[#This Row],[Employee Name]],'Base Schedules'!$A$1:$AW$44,32,FALSE)="","",VLOOKUP(Fri_W2[[#This Row],[Employee Name]],'Base Schedules'!$A$1:$AW$44,32,FALSE)),"")</f>
        <v/>
      </c>
      <c r="AH17" s="184" t="str">
        <f>IFERROR(IF(VLOOKUP(Fri_W2[[#This Row],[Employee Name]],'Base Schedules'!$A$1:$AW$44,33,FALSE)="","",VLOOKUP(Fri_W2[[#This Row],[Employee Name]],'Base Schedules'!$A$1:$AW$44,33,FALSE)),"")</f>
        <v/>
      </c>
      <c r="AI17" s="184" t="str">
        <f>IFERROR(IF(VLOOKUP(Fri_W2[[#This Row],[Employee Name]],'Base Schedules'!$A$1:$AW$44,34,FALSE)="","",VLOOKUP(Fri_W2[[#This Row],[Employee Name]],'Base Schedules'!$A$1:$AW$44,34,FALSE)),"")</f>
        <v/>
      </c>
      <c r="AJ17" s="184" t="str">
        <f>IFERROR(IF(VLOOKUP(Fri_W2[[#This Row],[Employee Name]],'Base Schedules'!$A$1:$AW$44,35,FALSE)="","",VLOOKUP(Fri_W2[[#This Row],[Employee Name]],'Base Schedules'!$A$1:$AW$44,35,FALSE)),"")</f>
        <v/>
      </c>
      <c r="AK17" s="184" t="str">
        <f>IFERROR(IF(VLOOKUP(Fri_W2[[#This Row],[Employee Name]],'Base Schedules'!$A$1:$AW$44,36,FALSE)="","",VLOOKUP(Fri_W2[[#This Row],[Employee Name]],'Base Schedules'!$A$1:$AW$44,36,FALSE)),"")</f>
        <v/>
      </c>
      <c r="AL17" s="184" t="str">
        <f>IFERROR(IF(VLOOKUP(Fri_W2[[#This Row],[Employee Name]],'Base Schedules'!$A$1:$AW$44,37,FALSE)="","",VLOOKUP(Fri_W2[[#This Row],[Employee Name]],'Base Schedules'!$A$1:$AW$44,37,FALSE)),"")</f>
        <v/>
      </c>
      <c r="AM17" s="184" t="str">
        <f>IFERROR(IF(VLOOKUP(Fri_W2[[#This Row],[Employee Name]],'Base Schedules'!$A$1:$AW$44,38,FALSE)="","",VLOOKUP(Fri_W2[[#This Row],[Employee Name]],'Base Schedules'!$A$1:$AW$44,38,FALSE)),"")</f>
        <v/>
      </c>
      <c r="AN17" s="184" t="str">
        <f>IFERROR(IF(VLOOKUP(Fri_W2[[#This Row],[Employee Name]],'Base Schedules'!$A$1:$AW$44,39,FALSE)="","",VLOOKUP(Fri_W2[[#This Row],[Employee Name]],'Base Schedules'!$A$1:$AW$44,39,FALSE)),"")</f>
        <v/>
      </c>
      <c r="AO17" s="184" t="str">
        <f>IFERROR(IF(VLOOKUP(Fri_W2[[#This Row],[Employee Name]],'Base Schedules'!$A$1:$AW$44,40,FALSE)="","",VLOOKUP(Fri_W2[[#This Row],[Employee Name]],'Base Schedules'!$A$1:$AW$44,40,FALSE)),"")</f>
        <v/>
      </c>
      <c r="AP17" s="184" t="str">
        <f>IFERROR(IF(VLOOKUP(Fri_W2[[#This Row],[Employee Name]],'Base Schedules'!$A$1:$AW$44,41,FALSE)="","",VLOOKUP(Fri_W2[[#This Row],[Employee Name]],'Base Schedules'!$A$1:$AW$44,41,FALSE)),"")</f>
        <v/>
      </c>
      <c r="AQ17" s="184" t="str">
        <f>IFERROR(IF(VLOOKUP(Fri_W2[[#This Row],[Employee Name]],'Base Schedules'!$A$1:$AW$44,42,FALSE)="","",VLOOKUP(Fri_W2[[#This Row],[Employee Name]],'Base Schedules'!$A$1:$AW$44,42,FALSE)),"")</f>
        <v/>
      </c>
      <c r="AR17" s="184" t="str">
        <f>IFERROR(IF(VLOOKUP(Fri_W2[[#This Row],[Employee Name]],'Base Schedules'!$A$1:$AW$44,43,FALSE)="","",VLOOKUP(Fri_W2[[#This Row],[Employee Name]],'Base Schedules'!$A$1:$AW$44,43,FALSE)),"")</f>
        <v/>
      </c>
      <c r="AS17" s="184" t="str">
        <f>IFERROR(IF(VLOOKUP(Fri_W2[[#This Row],[Employee Name]],'Base Schedules'!$A$1:$AW$44,44,FALSE)="","",VLOOKUP(Fri_W2[[#This Row],[Employee Name]],'Base Schedules'!$A$1:$AW$44,44,FALSE)),"")</f>
        <v/>
      </c>
      <c r="AT17" s="184" t="str">
        <f>IFERROR(IF(VLOOKUP(Fri_W2[[#This Row],[Employee Name]],'Base Schedules'!$A$1:$AW$44,45,FALSE)="","",VLOOKUP(Fri_W2[[#This Row],[Employee Name]],'Base Schedules'!$A$1:$AW$44,45,FALSE)),"")</f>
        <v/>
      </c>
      <c r="AU17" s="184" t="str">
        <f>IFERROR(IF(VLOOKUP(Fri_W2[[#This Row],[Employee Name]],'Base Schedules'!$A$1:$AW$44,46,FALSE)="","",VLOOKUP(Fri_W2[[#This Row],[Employee Name]],'Base Schedules'!$A$1:$AW$44,46,FALSE)),"")</f>
        <v/>
      </c>
      <c r="AV17" s="184" t="str">
        <f>IFERROR(IF(VLOOKUP(Fri_W2[[#This Row],[Employee Name]],'Base Schedules'!$A$1:$AW$44,47,FALSE)="","",VLOOKUP(Fri_W2[[#This Row],[Employee Name]],'Base Schedules'!$A$1:$AW$44,47,FALSE)),"")</f>
        <v/>
      </c>
      <c r="AW17" s="184" t="str">
        <f>IFERROR(IF(VLOOKUP(Fri_W2[[#This Row],[Employee Name]],'Base Schedules'!$A$1:$AW$44,48,FALSE)="","",VLOOKUP(Fri_W2[[#This Row],[Employee Name]],'Base Schedules'!$A$1:$AW$44,48,FALSE)),"")</f>
        <v/>
      </c>
      <c r="AX17" s="184" t="str">
        <f>IFERROR(IF(VLOOKUP(Fri_W2[[#This Row],[Employee Name]],'Base Schedules'!$A$1:$AW$44,49,FALSE)="","",VLOOKUP(Fri_W2[[#This Row],[Employee Name]],'Base Schedules'!$A$1:$AW$44,49,FALSE)),"")</f>
        <v/>
      </c>
      <c r="AY17" s="159" t="str">
        <f t="shared" si="2"/>
        <v>Germony, June</v>
      </c>
    </row>
    <row r="18" spans="1:51" s="44" customFormat="1" ht="11.25" customHeight="1" x14ac:dyDescent="0.2">
      <c r="A18" s="39" t="e">
        <f>IF(B18="","",INDEX(TeamList[],MATCH($B18,TeamList[[Employee Name]:[Employee Name]],0),MATCH("Manager",TeamList[#Headers],0)))</f>
        <v>#N/A</v>
      </c>
      <c r="B18" s="201" t="s">
        <v>369</v>
      </c>
      <c r="C18" s="257" t="str">
        <f>_xlfn.IFNA(VLOOKUP(Fri_W2[[#This Row],[Employee Name]],'Base Schedules'!A:B,2,FALSE),"")</f>
        <v>Supervisor</v>
      </c>
      <c r="D18" s="274">
        <f>_xlfn.IFNA(VLOOKUP(Fri_W2[[#This Row],[Employee Name]],'Base Schedules'!A:C,3,FALSE),"")</f>
        <v>600</v>
      </c>
      <c r="E18" s="274">
        <f>_xlfn.IFNA(VLOOKUP(Fri_W2[[#This Row],[Employee Name]],'Base Schedules'!A:D,4,FALSE),"")</f>
        <v>1500</v>
      </c>
      <c r="F18" s="142">
        <f>IF(Fri_W2[[#This Row],[Employee Name]]="","",IF(Fri_W2[[#This Row],[Dept]]="Supervisor",COUNTIFS($J18:$AX18,"*HL*",$J18:$AX18,"&lt;&gt;"&amp;"pHL"),COUNTIFS($J18:$AX18,"*HL*",$J18:$AX18,"&lt;&gt;"&amp;"*pHL*",$J18:$AX18,"&lt;&gt;"&amp;"pB1 HL",$J18:$AX18,"&lt;&gt;"&amp;"pB2 HL")-SUM(COUNTIFS($J18:$AX18,"*HL B1*",$J18:$AX18,"&lt;&gt;"&amp;"pHL B1")*0.5,COUNTIFS($J18:$AX18,"*HL B2*",$J18:$AX18,"&lt;&gt;"&amp;"pHL B2")*0.5,COUNTIFS($J18:$AX18,"*B1 HL*",$J18:$AX18,"&lt;&gt;"&amp;"pB1 HL")*0.5,COUNTIFS($J18:$AX18,"*B2 HL*",$J18:$AX18,"&lt;&gt;"&amp;"pB2 HL")*0.5)))</f>
        <v>0</v>
      </c>
      <c r="G18" s="142">
        <f t="shared" si="0"/>
        <v>4</v>
      </c>
      <c r="H18" s="142">
        <f t="shared" si="1"/>
        <v>0</v>
      </c>
      <c r="I18" s="142">
        <f>IF(Fri_W2[[#This Row],[Employee Name]]="","",IF(Fri_W2[[#This Row],[Dept]]="Supervisor",SUM(COUNTIFS($J18:$AX18,"RTA*",$J18:$AX18,"&lt;&gt;"&amp;"pRTA"),COUNTIFS($J18:$AX18,"*CRTA*",$J18:$AX18,"&lt;&gt;"&amp;"pCRTA")),COUNTIFS($J18:$AX18,"*RNNR*",$J18:$AX18,"&lt;&gt;"&amp;"*pRNNR*",$J18:$AX18,"&lt;&gt;"&amp;"pB1 RNNR",$J18:$AX18,"&lt;&gt;"&amp;"pB2 RNNR")-SUM(COUNTIFS($J18:$AX18,"*RNNR B1*",$J18:$AX18,"&lt;&gt;"&amp;"pRNNR B1")*0.5,COUNTIFS($J18:$AX18,"*RNNR B2*",$J18:$AX18,"&lt;&gt;"&amp;"pRNNR B2")*0.5,COUNTIFS($J18:$AX18,"*B1 RNNR*",$J18:$AX18,"&lt;&gt;"&amp;"pB1 RNNR")*0.5,COUNTIFS($J18:$AX18,"*B2 RNNR*",$J18:$AX18,"&lt;&gt;"&amp;"pB2 RNNR")*0.5)))</f>
        <v>0</v>
      </c>
      <c r="J18" s="184" t="str">
        <f>IFERROR(IF(VLOOKUP(Fri_W2[[#This Row],[Employee Name]],'Base Schedules'!$A$1:$AW$44,9,FALSE)="","",VLOOKUP(Fri_W2[[#This Row],[Employee Name]],'Base Schedules'!$A$1:$AW$44,9,FALSE)),"")</f>
        <v/>
      </c>
      <c r="K18" s="184" t="str">
        <f>IFERROR(IF(VLOOKUP(Fri_W2[[#This Row],[Employee Name]],'Base Schedules'!$A$1:$AW$44,10,FALSE)="","",VLOOKUP(Fri_W2[[#This Row],[Employee Name]],'Base Schedules'!$A$1:$AW$44,10,FALSE)),"")</f>
        <v/>
      </c>
      <c r="L18" s="184" t="str">
        <f>IFERROR(IF(VLOOKUP(Fri_W2[[#This Row],[Employee Name]],'Base Schedules'!$A$1:$AW$44,11,FALSE)="","",VLOOKUP(Fri_W2[[#This Row],[Employee Name]],'Base Schedules'!$A$1:$AW$44,11,FALSE)),"")</f>
        <v>-</v>
      </c>
      <c r="M18" s="184" t="str">
        <f>IFERROR(IF(VLOOKUP(Fri_W2[[#This Row],[Employee Name]],'Base Schedules'!$A$1:$AW$44,12,FALSE)="","",VLOOKUP(Fri_W2[[#This Row],[Employee Name]],'Base Schedules'!$A$1:$AW$44,12,FALSE)),"")</f>
        <v>-</v>
      </c>
      <c r="N18" s="184" t="str">
        <f>IFERROR(IF(VLOOKUP(Fri_W2[[#This Row],[Employee Name]],'Base Schedules'!$A$1:$AW$44,13,FALSE)="","",VLOOKUP(Fri_W2[[#This Row],[Employee Name]],'Base Schedules'!$A$1:$AW$44,13,FALSE)),"")</f>
        <v>-</v>
      </c>
      <c r="O18" s="184" t="str">
        <f>IFERROR(IF(VLOOKUP(Fri_W2[[#This Row],[Employee Name]],'Base Schedules'!$A$1:$AW$44,14,FALSE)="","",VLOOKUP(Fri_W2[[#This Row],[Employee Name]],'Base Schedules'!$A$1:$AW$44,14,FALSE)),"")</f>
        <v>-</v>
      </c>
      <c r="P18" s="184" t="str">
        <f>IFERROR(IF(VLOOKUP(Fri_W2[[#This Row],[Employee Name]],'Base Schedules'!$A$1:$AW$44,15,FALSE)="","",VLOOKUP(Fri_W2[[#This Row],[Employee Name]],'Base Schedules'!$A$1:$AW$44,15,FALSE)),"")</f>
        <v>-</v>
      </c>
      <c r="Q18" s="184" t="str">
        <f>IFERROR(IF(VLOOKUP(Fri_W2[[#This Row],[Employee Name]],'Base Schedules'!$A$1:$AW$44,16,FALSE)="","",VLOOKUP(Fri_W2[[#This Row],[Employee Name]],'Base Schedules'!$A$1:$AW$44,16,FALSE)),"")</f>
        <v>-</v>
      </c>
      <c r="R18" s="184" t="str">
        <f>IFERROR(IF(VLOOKUP(Fri_W2[[#This Row],[Employee Name]],'Base Schedules'!$A$1:$AW$44,17,FALSE)="","",VLOOKUP(Fri_W2[[#This Row],[Employee Name]],'Base Schedules'!$A$1:$AW$44,17,FALSE)),"")</f>
        <v>Interview</v>
      </c>
      <c r="S18" s="184" t="str">
        <f>IFERROR(IF(VLOOKUP(Fri_W2[[#This Row],[Employee Name]],'Base Schedules'!$A$1:$AW$44,18,FALSE)="","",VLOOKUP(Fri_W2[[#This Row],[Employee Name]],'Base Schedules'!$A$1:$AW$44,18,FALSE)),"")</f>
        <v>Interview</v>
      </c>
      <c r="T18" s="184" t="str">
        <f>IFERROR(IF(VLOOKUP(Fri_W2[[#This Row],[Employee Name]],'Base Schedules'!$A$1:$AW$44,19,FALSE)="","",VLOOKUP(Fri_W2[[#This Row],[Employee Name]],'Base Schedules'!$A$1:$AW$44,19,FALSE)),"")</f>
        <v>-</v>
      </c>
      <c r="U18" s="184" t="str">
        <f>IFERROR(IF(VLOOKUP(Fri_W2[[#This Row],[Employee Name]],'Base Schedules'!$A$1:$AW$44,20,FALSE)="","",VLOOKUP(Fri_W2[[#This Row],[Employee Name]],'Base Schedules'!$A$1:$AW$44,20,FALSE)),"")</f>
        <v>-</v>
      </c>
      <c r="V18" s="184" t="str">
        <f>IFERROR(IF(VLOOKUP(Fri_W2[[#This Row],[Employee Name]],'Base Schedules'!$A$1:$AW$44,21,FALSE)="","",VLOOKUP(Fri_W2[[#This Row],[Employee Name]],'Base Schedules'!$A$1:$AW$44,21,FALSE)),"")</f>
        <v>-</v>
      </c>
      <c r="W18" s="184" t="str">
        <f>IFERROR(IF(VLOOKUP(Fri_W2[[#This Row],[Employee Name]],'Base Schedules'!$A$1:$AW$44,22,FALSE)="","",VLOOKUP(Fri_W2[[#This Row],[Employee Name]],'Base Schedules'!$A$1:$AW$44,22,FALSE)),"")</f>
        <v>-</v>
      </c>
      <c r="X18" s="184" t="str">
        <f>IFERROR(IF(VLOOKUP(Fri_W2[[#This Row],[Employee Name]],'Base Schedules'!$A$1:$AW$44,23,FALSE)="","",VLOOKUP(Fri_W2[[#This Row],[Employee Name]],'Base Schedules'!$A$1:$AW$44,23,FALSE)),"")</f>
        <v>Coaching</v>
      </c>
      <c r="Y18" s="184" t="str">
        <f>IFERROR(IF(VLOOKUP(Fri_W2[[#This Row],[Employee Name]],'Base Schedules'!$A$1:$AW$44,24,FALSE)="","",VLOOKUP(Fri_W2[[#This Row],[Employee Name]],'Base Schedules'!$A$1:$AW$44,24,FALSE)),"")</f>
        <v>Coaching</v>
      </c>
      <c r="Z18" s="184" t="str">
        <f>IFERROR(IF(VLOOKUP(Fri_W2[[#This Row],[Employee Name]],'Base Schedules'!$A$1:$AW$44,25,FALSE)="","",VLOOKUP(Fri_W2[[#This Row],[Employee Name]],'Base Schedules'!$A$1:$AW$44,25,FALSE)),"")</f>
        <v>Coaching</v>
      </c>
      <c r="AA18" s="184" t="str">
        <f>IFERROR(IF(VLOOKUP(Fri_W2[[#This Row],[Employee Name]],'Base Schedules'!$A$1:$AW$44,26,FALSE)="","",VLOOKUP(Fri_W2[[#This Row],[Employee Name]],'Base Schedules'!$A$1:$AW$44,26,FALSE)),"")</f>
        <v>Coaching</v>
      </c>
      <c r="AB18" s="184" t="str">
        <f>IFERROR(IF(VLOOKUP(Fri_W2[[#This Row],[Employee Name]],'Base Schedules'!$A$1:$AW$44,27,FALSE)="","",VLOOKUP(Fri_W2[[#This Row],[Employee Name]],'Base Schedules'!$A$1:$AW$44,27,FALSE)),"")</f>
        <v>-</v>
      </c>
      <c r="AC18" s="184" t="str">
        <f>IFERROR(IF(VLOOKUP(Fri_W2[[#This Row],[Employee Name]],'Base Schedules'!$A$1:$AW$44,28,FALSE)="","",VLOOKUP(Fri_W2[[#This Row],[Employee Name]],'Base Schedules'!$A$1:$AW$44,28,FALSE)),"")</f>
        <v>-</v>
      </c>
      <c r="AD18" s="184" t="str">
        <f>IFERROR(IF(VLOOKUP(Fri_W2[[#This Row],[Employee Name]],'Base Schedules'!$A$1:$AW$44,29,FALSE)="","",VLOOKUP(Fri_W2[[#This Row],[Employee Name]],'Base Schedules'!$A$1:$AW$44,29,FALSE)),"")</f>
        <v/>
      </c>
      <c r="AE18" s="184" t="str">
        <f>IFERROR(IF(VLOOKUP(Fri_W2[[#This Row],[Employee Name]],'Base Schedules'!$A$1:$AW$44,30,FALSE)="","",VLOOKUP(Fri_W2[[#This Row],[Employee Name]],'Base Schedules'!$A$1:$AW$44,30,FALSE)),"")</f>
        <v/>
      </c>
      <c r="AF18" s="184" t="str">
        <f>IFERROR(IF(VLOOKUP(Fri_W2[[#This Row],[Employee Name]],'Base Schedules'!$A$1:$AW$44,31,FALSE)="","",VLOOKUP(Fri_W2[[#This Row],[Employee Name]],'Base Schedules'!$A$1:$AW$44,31,FALSE)),"")</f>
        <v/>
      </c>
      <c r="AG18" s="184" t="str">
        <f>IFERROR(IF(VLOOKUP(Fri_W2[[#This Row],[Employee Name]],'Base Schedules'!$A$1:$AW$44,32,FALSE)="","",VLOOKUP(Fri_W2[[#This Row],[Employee Name]],'Base Schedules'!$A$1:$AW$44,32,FALSE)),"")</f>
        <v/>
      </c>
      <c r="AH18" s="184" t="str">
        <f>IFERROR(IF(VLOOKUP(Fri_W2[[#This Row],[Employee Name]],'Base Schedules'!$A$1:$AW$44,33,FALSE)="","",VLOOKUP(Fri_W2[[#This Row],[Employee Name]],'Base Schedules'!$A$1:$AW$44,33,FALSE)),"")</f>
        <v/>
      </c>
      <c r="AI18" s="184" t="str">
        <f>IFERROR(IF(VLOOKUP(Fri_W2[[#This Row],[Employee Name]],'Base Schedules'!$A$1:$AW$44,34,FALSE)="","",VLOOKUP(Fri_W2[[#This Row],[Employee Name]],'Base Schedules'!$A$1:$AW$44,34,FALSE)),"")</f>
        <v/>
      </c>
      <c r="AJ18" s="184" t="str">
        <f>IFERROR(IF(VLOOKUP(Fri_W2[[#This Row],[Employee Name]],'Base Schedules'!$A$1:$AW$44,35,FALSE)="","",VLOOKUP(Fri_W2[[#This Row],[Employee Name]],'Base Schedules'!$A$1:$AW$44,35,FALSE)),"")</f>
        <v/>
      </c>
      <c r="AK18" s="184" t="str">
        <f>IFERROR(IF(VLOOKUP(Fri_W2[[#This Row],[Employee Name]],'Base Schedules'!$A$1:$AW$44,36,FALSE)="","",VLOOKUP(Fri_W2[[#This Row],[Employee Name]],'Base Schedules'!$A$1:$AW$44,36,FALSE)),"")</f>
        <v/>
      </c>
      <c r="AL18" s="184" t="str">
        <f>IFERROR(IF(VLOOKUP(Fri_W2[[#This Row],[Employee Name]],'Base Schedules'!$A$1:$AW$44,37,FALSE)="","",VLOOKUP(Fri_W2[[#This Row],[Employee Name]],'Base Schedules'!$A$1:$AW$44,37,FALSE)),"")</f>
        <v/>
      </c>
      <c r="AM18" s="184" t="str">
        <f>IFERROR(IF(VLOOKUP(Fri_W2[[#This Row],[Employee Name]],'Base Schedules'!$A$1:$AW$44,38,FALSE)="","",VLOOKUP(Fri_W2[[#This Row],[Employee Name]],'Base Schedules'!$A$1:$AW$44,38,FALSE)),"")</f>
        <v/>
      </c>
      <c r="AN18" s="184" t="str">
        <f>IFERROR(IF(VLOOKUP(Fri_W2[[#This Row],[Employee Name]],'Base Schedules'!$A$1:$AW$44,39,FALSE)="","",VLOOKUP(Fri_W2[[#This Row],[Employee Name]],'Base Schedules'!$A$1:$AW$44,39,FALSE)),"")</f>
        <v/>
      </c>
      <c r="AO18" s="184" t="str">
        <f>IFERROR(IF(VLOOKUP(Fri_W2[[#This Row],[Employee Name]],'Base Schedules'!$A$1:$AW$44,40,FALSE)="","",VLOOKUP(Fri_W2[[#This Row],[Employee Name]],'Base Schedules'!$A$1:$AW$44,40,FALSE)),"")</f>
        <v/>
      </c>
      <c r="AP18" s="184" t="str">
        <f>IFERROR(IF(VLOOKUP(Fri_W2[[#This Row],[Employee Name]],'Base Schedules'!$A$1:$AW$44,41,FALSE)="","",VLOOKUP(Fri_W2[[#This Row],[Employee Name]],'Base Schedules'!$A$1:$AW$44,41,FALSE)),"")</f>
        <v/>
      </c>
      <c r="AQ18" s="184" t="str">
        <f>IFERROR(IF(VLOOKUP(Fri_W2[[#This Row],[Employee Name]],'Base Schedules'!$A$1:$AW$44,42,FALSE)="","",VLOOKUP(Fri_W2[[#This Row],[Employee Name]],'Base Schedules'!$A$1:$AW$44,42,FALSE)),"")</f>
        <v/>
      </c>
      <c r="AR18" s="184" t="str">
        <f>IFERROR(IF(VLOOKUP(Fri_W2[[#This Row],[Employee Name]],'Base Schedules'!$A$1:$AW$44,43,FALSE)="","",VLOOKUP(Fri_W2[[#This Row],[Employee Name]],'Base Schedules'!$A$1:$AW$44,43,FALSE)),"")</f>
        <v/>
      </c>
      <c r="AS18" s="184" t="str">
        <f>IFERROR(IF(VLOOKUP(Fri_W2[[#This Row],[Employee Name]],'Base Schedules'!$A$1:$AW$44,44,FALSE)="","",VLOOKUP(Fri_W2[[#This Row],[Employee Name]],'Base Schedules'!$A$1:$AW$44,44,FALSE)),"")</f>
        <v/>
      </c>
      <c r="AT18" s="184" t="str">
        <f>IFERROR(IF(VLOOKUP(Fri_W2[[#This Row],[Employee Name]],'Base Schedules'!$A$1:$AW$44,45,FALSE)="","",VLOOKUP(Fri_W2[[#This Row],[Employee Name]],'Base Schedules'!$A$1:$AW$44,45,FALSE)),"")</f>
        <v/>
      </c>
      <c r="AU18" s="184" t="str">
        <f>IFERROR(IF(VLOOKUP(Fri_W2[[#This Row],[Employee Name]],'Base Schedules'!$A$1:$AW$44,46,FALSE)="","",VLOOKUP(Fri_W2[[#This Row],[Employee Name]],'Base Schedules'!$A$1:$AW$44,46,FALSE)),"")</f>
        <v/>
      </c>
      <c r="AV18" s="184" t="str">
        <f>IFERROR(IF(VLOOKUP(Fri_W2[[#This Row],[Employee Name]],'Base Schedules'!$A$1:$AW$44,47,FALSE)="","",VLOOKUP(Fri_W2[[#This Row],[Employee Name]],'Base Schedules'!$A$1:$AW$44,47,FALSE)),"")</f>
        <v/>
      </c>
      <c r="AW18" s="184" t="str">
        <f>IFERROR(IF(VLOOKUP(Fri_W2[[#This Row],[Employee Name]],'Base Schedules'!$A$1:$AW$44,48,FALSE)="","",VLOOKUP(Fri_W2[[#This Row],[Employee Name]],'Base Schedules'!$A$1:$AW$44,48,FALSE)),"")</f>
        <v/>
      </c>
      <c r="AX18" s="184" t="str">
        <f>IFERROR(IF(VLOOKUP(Fri_W2[[#This Row],[Employee Name]],'Base Schedules'!$A$1:$AW$44,49,FALSE)="","",VLOOKUP(Fri_W2[[#This Row],[Employee Name]],'Base Schedules'!$A$1:$AW$44,49,FALSE)),"")</f>
        <v/>
      </c>
      <c r="AY18" s="160" t="str">
        <f t="shared" si="2"/>
        <v>Madamba, Rocky</v>
      </c>
    </row>
    <row r="19" spans="1:51" s="44" customFormat="1" ht="11.25" customHeight="1" x14ac:dyDescent="0.2">
      <c r="A19" s="39" t="str">
        <f>IF(B19="","",INDEX(TeamList[],MATCH($B19,TeamList[[Employee Name]:[Employee Name]],0),MATCH("Manager",TeamList[#Headers],0)))</f>
        <v>Olson, Katherine</v>
      </c>
      <c r="B19" s="201" t="s">
        <v>34</v>
      </c>
      <c r="C19" s="257" t="str">
        <f>_xlfn.IFNA(VLOOKUP(Fri_W2[[#This Row],[Employee Name]],'Base Schedules'!A:B,2,FALSE),"")</f>
        <v>Lead</v>
      </c>
      <c r="D19" s="274">
        <f>_xlfn.IFNA(VLOOKUP(Fri_W2[[#This Row],[Employee Name]],'Base Schedules'!A:C,3,FALSE),"")</f>
        <v>630</v>
      </c>
      <c r="E19" s="274">
        <f>_xlfn.IFNA(VLOOKUP(Fri_W2[[#This Row],[Employee Name]],'Base Schedules'!A:D,4,FALSE),"")</f>
        <v>1500</v>
      </c>
      <c r="F19" s="142">
        <f>IF(Fri_W2[[#This Row],[Employee Name]]="","",IF(Fri_W2[[#This Row],[Dept]]="Supervisor",COUNTIFS($J19:$AX19,"*HL*",$J19:$AX19,"&lt;&gt;"&amp;"pHL"),COUNTIFS($J19:$AX19,"*HL*",$J19:$AX19,"&lt;&gt;"&amp;"*pHL*",$J19:$AX19,"&lt;&gt;"&amp;"pB1 HL",$J19:$AX19,"&lt;&gt;"&amp;"pB2 HL")-SUM(COUNTIFS($J19:$AX19,"*HL B1*",$J19:$AX19,"&lt;&gt;"&amp;"pHL B1")*0.5,COUNTIFS($J19:$AX19,"*HL B2*",$J19:$AX19,"&lt;&gt;"&amp;"pHL B2")*0.5,COUNTIFS($J19:$AX19,"*B1 HL*",$J19:$AX19,"&lt;&gt;"&amp;"pB1 HL")*0.5,COUNTIFS($J19:$AX19,"*B2 HL*",$J19:$AX19,"&lt;&gt;"&amp;"pB2 HL")*0.5)))</f>
        <v>4.5</v>
      </c>
      <c r="G19" s="142">
        <f t="shared" si="0"/>
        <v>0</v>
      </c>
      <c r="H19" s="142">
        <f t="shared" si="1"/>
        <v>7</v>
      </c>
      <c r="I19" s="142">
        <f>IF(Fri_W2[[#This Row],[Employee Name]]="","",IF(Fri_W2[[#This Row],[Dept]]="Supervisor",SUM(COUNTIFS($J19:$AX19,"RTA*",$J19:$AX19,"&lt;&gt;"&amp;"pRTA"),COUNTIFS($J19:$AX19,"*CRTA*",$J19:$AX19,"&lt;&gt;"&amp;"pCRTA")),COUNTIFS($J19:$AX19,"*RNNR*",$J19:$AX19,"&lt;&gt;"&amp;"*pRNNR*",$J19:$AX19,"&lt;&gt;"&amp;"pB1 RNNR",$J19:$AX19,"&lt;&gt;"&amp;"pB2 RNNR")-SUM(COUNTIFS($J19:$AX19,"*RNNR B1*",$J19:$AX19,"&lt;&gt;"&amp;"pRNNR B1")*0.5,COUNTIFS($J19:$AX19,"*RNNR B2*",$J19:$AX19,"&lt;&gt;"&amp;"pRNNR B2")*0.5,COUNTIFS($J19:$AX19,"*B1 RNNR*",$J19:$AX19,"&lt;&gt;"&amp;"pB1 RNNR")*0.5,COUNTIFS($J19:$AX19,"*B2 RNNR*",$J19:$AX19,"&lt;&gt;"&amp;"pB2 RNNR")*0.5)))</f>
        <v>2</v>
      </c>
      <c r="J19" s="184" t="str">
        <f>IFERROR(IF(VLOOKUP(Fri_W2[[#This Row],[Employee Name]],'Base Schedules'!$A$1:$AW$44,9,FALSE)="","",VLOOKUP(Fri_W2[[#This Row],[Employee Name]],'Base Schedules'!$A$1:$AW$44,9,FALSE)),"")</f>
        <v/>
      </c>
      <c r="K19" s="184" t="str">
        <f>IFERROR(IF(VLOOKUP(Fri_W2[[#This Row],[Employee Name]],'Base Schedules'!$A$1:$AW$44,10,FALSE)="","",VLOOKUP(Fri_W2[[#This Row],[Employee Name]],'Base Schedules'!$A$1:$AW$44,10,FALSE)),"")</f>
        <v/>
      </c>
      <c r="L19" s="184" t="str">
        <f>IFERROR(IF(VLOOKUP(Fri_W2[[#This Row],[Employee Name]],'Base Schedules'!$A$1:$AW$44,11,FALSE)="","",VLOOKUP(Fri_W2[[#This Row],[Employee Name]],'Base Schedules'!$A$1:$AW$44,11,FALSE)),"")</f>
        <v/>
      </c>
      <c r="M19" s="184" t="str">
        <f>IFERROR(IF(VLOOKUP(Fri_W2[[#This Row],[Employee Name]],'Base Schedules'!$A$1:$AW$44,12,FALSE)="","",VLOOKUP(Fri_W2[[#This Row],[Employee Name]],'Base Schedules'!$A$1:$AW$44,12,FALSE)),"")</f>
        <v>HL</v>
      </c>
      <c r="N19" s="184" t="str">
        <f>IFERROR(IF(VLOOKUP(Fri_W2[[#This Row],[Employee Name]],'Base Schedules'!$A$1:$AW$44,13,FALSE)="","",VLOOKUP(Fri_W2[[#This Row],[Employee Name]],'Base Schedules'!$A$1:$AW$44,13,FALSE)),"")</f>
        <v>HL</v>
      </c>
      <c r="O19" s="184" t="str">
        <f>IFERROR(IF(VLOOKUP(Fri_W2[[#This Row],[Employee Name]],'Base Schedules'!$A$1:$AW$44,14,FALSE)="","",VLOOKUP(Fri_W2[[#This Row],[Employee Name]],'Base Schedules'!$A$1:$AW$44,14,FALSE)),"")</f>
        <v>HL</v>
      </c>
      <c r="P19" s="184" t="str">
        <f>IFERROR(IF(VLOOKUP(Fri_W2[[#This Row],[Employee Name]],'Base Schedules'!$A$1:$AW$44,15,FALSE)="","",VLOOKUP(Fri_W2[[#This Row],[Employee Name]],'Base Schedules'!$A$1:$AW$44,15,FALSE)),"")</f>
        <v>HL</v>
      </c>
      <c r="Q19" s="184" t="str">
        <f>IFERROR(IF(VLOOKUP(Fri_W2[[#This Row],[Employee Name]],'Base Schedules'!$A$1:$AW$44,16,FALSE)="","",VLOOKUP(Fri_W2[[#This Row],[Employee Name]],'Base Schedules'!$A$1:$AW$44,16,FALSE)),"")</f>
        <v>HL B1</v>
      </c>
      <c r="R19" s="184" t="str">
        <f>IFERROR(IF(VLOOKUP(Fri_W2[[#This Row],[Employee Name]],'Base Schedules'!$A$1:$AW$44,17,FALSE)="","",VLOOKUP(Fri_W2[[#This Row],[Employee Name]],'Base Schedules'!$A$1:$AW$44,17,FALSE)),"")</f>
        <v>RNNR</v>
      </c>
      <c r="S19" s="184" t="str">
        <f>IFERROR(IF(VLOOKUP(Fri_W2[[#This Row],[Employee Name]],'Base Schedules'!$A$1:$AW$44,18,FALSE)="","",VLOOKUP(Fri_W2[[#This Row],[Employee Name]],'Base Schedules'!$A$1:$AW$44,18,FALSE)),"")</f>
        <v>RNNR</v>
      </c>
      <c r="T19" s="184" t="str">
        <f>IFERROR(IF(VLOOKUP(Fri_W2[[#This Row],[Employee Name]],'Base Schedules'!$A$1:$AW$44,19,FALSE)="","",VLOOKUP(Fri_W2[[#This Row],[Employee Name]],'Base Schedules'!$A$1:$AW$44,19,FALSE)),"")</f>
        <v>ADM</v>
      </c>
      <c r="U19" s="184" t="str">
        <f>IFERROR(IF(VLOOKUP(Fri_W2[[#This Row],[Employee Name]],'Base Schedules'!$A$1:$AW$44,20,FALSE)="","",VLOOKUP(Fri_W2[[#This Row],[Employee Name]],'Base Schedules'!$A$1:$AW$44,20,FALSE)),"")</f>
        <v>ADM</v>
      </c>
      <c r="V19" s="184" t="str">
        <f>IFERROR(IF(VLOOKUP(Fri_W2[[#This Row],[Employee Name]],'Base Schedules'!$A$1:$AW$44,21,FALSE)="","",VLOOKUP(Fri_W2[[#This Row],[Employee Name]],'Base Schedules'!$A$1:$AW$44,21,FALSE)),"")</f>
        <v>LUNCH</v>
      </c>
      <c r="W19" s="184" t="str">
        <f>IFERROR(IF(VLOOKUP(Fri_W2[[#This Row],[Employee Name]],'Base Schedules'!$A$1:$AW$44,22,FALSE)="","",VLOOKUP(Fri_W2[[#This Row],[Employee Name]],'Base Schedules'!$A$1:$AW$44,22,FALSE)),"")</f>
        <v>ADM</v>
      </c>
      <c r="X19" s="184" t="str">
        <f>IFERROR(IF(VLOOKUP(Fri_W2[[#This Row],[Employee Name]],'Base Schedules'!$A$1:$AW$44,23,FALSE)="","",VLOOKUP(Fri_W2[[#This Row],[Employee Name]],'Base Schedules'!$A$1:$AW$44,23,FALSE)),"")</f>
        <v>ADM</v>
      </c>
      <c r="Y19" s="184" t="str">
        <f>IFERROR(IF(VLOOKUP(Fri_W2[[#This Row],[Employee Name]],'Base Schedules'!$A$1:$AW$44,24,FALSE)="","",VLOOKUP(Fri_W2[[#This Row],[Employee Name]],'Base Schedules'!$A$1:$AW$44,24,FALSE)),"")</f>
        <v>ADM</v>
      </c>
      <c r="Z19" s="184" t="str">
        <f>IFERROR(IF(VLOOKUP(Fri_W2[[#This Row],[Employee Name]],'Base Schedules'!$A$1:$AW$44,25,FALSE)="","",VLOOKUP(Fri_W2[[#This Row],[Employee Name]],'Base Schedules'!$A$1:$AW$44,25,FALSE)),"")</f>
        <v>ADM B2</v>
      </c>
      <c r="AA19" s="184" t="str">
        <f>IFERROR(IF(VLOOKUP(Fri_W2[[#This Row],[Employee Name]],'Base Schedules'!$A$1:$AW$44,26,FALSE)="","",VLOOKUP(Fri_W2[[#This Row],[Employee Name]],'Base Schedules'!$A$1:$AW$44,26,FALSE)),"")</f>
        <v>PROJECT</v>
      </c>
      <c r="AB19" s="184" t="str">
        <f>IFERROR(IF(VLOOKUP(Fri_W2[[#This Row],[Employee Name]],'Base Schedules'!$A$1:$AW$44,27,FALSE)="","",VLOOKUP(Fri_W2[[#This Row],[Employee Name]],'Base Schedules'!$A$1:$AW$44,27,FALSE)),"")</f>
        <v>PROJECT</v>
      </c>
      <c r="AC19" s="184" t="str">
        <f>IFERROR(IF(VLOOKUP(Fri_W2[[#This Row],[Employee Name]],'Base Schedules'!$A$1:$AW$44,28,FALSE)="","",VLOOKUP(Fri_W2[[#This Row],[Employee Name]],'Base Schedules'!$A$1:$AW$44,28,FALSE)),"")</f>
        <v>ADM</v>
      </c>
      <c r="AD19" s="184" t="str">
        <f>IFERROR(IF(VLOOKUP(Fri_W2[[#This Row],[Employee Name]],'Base Schedules'!$A$1:$AW$44,29,FALSE)="","",VLOOKUP(Fri_W2[[#This Row],[Employee Name]],'Base Schedules'!$A$1:$AW$44,29,FALSE)),"")</f>
        <v/>
      </c>
      <c r="AE19" s="184" t="str">
        <f>IFERROR(IF(VLOOKUP(Fri_W2[[#This Row],[Employee Name]],'Base Schedules'!$A$1:$AW$44,30,FALSE)="","",VLOOKUP(Fri_W2[[#This Row],[Employee Name]],'Base Schedules'!$A$1:$AW$44,30,FALSE)),"")</f>
        <v/>
      </c>
      <c r="AF19" s="184" t="str">
        <f>IFERROR(IF(VLOOKUP(Fri_W2[[#This Row],[Employee Name]],'Base Schedules'!$A$1:$AW$44,31,FALSE)="","",VLOOKUP(Fri_W2[[#This Row],[Employee Name]],'Base Schedules'!$A$1:$AW$44,31,FALSE)),"")</f>
        <v/>
      </c>
      <c r="AG19" s="184" t="str">
        <f>IFERROR(IF(VLOOKUP(Fri_W2[[#This Row],[Employee Name]],'Base Schedules'!$A$1:$AW$44,32,FALSE)="","",VLOOKUP(Fri_W2[[#This Row],[Employee Name]],'Base Schedules'!$A$1:$AW$44,32,FALSE)),"")</f>
        <v/>
      </c>
      <c r="AH19" s="184" t="str">
        <f>IFERROR(IF(VLOOKUP(Fri_W2[[#This Row],[Employee Name]],'Base Schedules'!$A$1:$AW$44,33,FALSE)="","",VLOOKUP(Fri_W2[[#This Row],[Employee Name]],'Base Schedules'!$A$1:$AW$44,33,FALSE)),"")</f>
        <v/>
      </c>
      <c r="AI19" s="184" t="str">
        <f>IFERROR(IF(VLOOKUP(Fri_W2[[#This Row],[Employee Name]],'Base Schedules'!$A$1:$AW$44,34,FALSE)="","",VLOOKUP(Fri_W2[[#This Row],[Employee Name]],'Base Schedules'!$A$1:$AW$44,34,FALSE)),"")</f>
        <v/>
      </c>
      <c r="AJ19" s="184" t="str">
        <f>IFERROR(IF(VLOOKUP(Fri_W2[[#This Row],[Employee Name]],'Base Schedules'!$A$1:$AW$44,35,FALSE)="","",VLOOKUP(Fri_W2[[#This Row],[Employee Name]],'Base Schedules'!$A$1:$AW$44,35,FALSE)),"")</f>
        <v/>
      </c>
      <c r="AK19" s="184" t="str">
        <f>IFERROR(IF(VLOOKUP(Fri_W2[[#This Row],[Employee Name]],'Base Schedules'!$A$1:$AW$44,36,FALSE)="","",VLOOKUP(Fri_W2[[#This Row],[Employee Name]],'Base Schedules'!$A$1:$AW$44,36,FALSE)),"")</f>
        <v/>
      </c>
      <c r="AL19" s="184" t="str">
        <f>IFERROR(IF(VLOOKUP(Fri_W2[[#This Row],[Employee Name]],'Base Schedules'!$A$1:$AW$44,37,FALSE)="","",VLOOKUP(Fri_W2[[#This Row],[Employee Name]],'Base Schedules'!$A$1:$AW$44,37,FALSE)),"")</f>
        <v/>
      </c>
      <c r="AM19" s="184" t="str">
        <f>IFERROR(IF(VLOOKUP(Fri_W2[[#This Row],[Employee Name]],'Base Schedules'!$A$1:$AW$44,38,FALSE)="","",VLOOKUP(Fri_W2[[#This Row],[Employee Name]],'Base Schedules'!$A$1:$AW$44,38,FALSE)),"")</f>
        <v/>
      </c>
      <c r="AN19" s="184" t="str">
        <f>IFERROR(IF(VLOOKUP(Fri_W2[[#This Row],[Employee Name]],'Base Schedules'!$A$1:$AW$44,39,FALSE)="","",VLOOKUP(Fri_W2[[#This Row],[Employee Name]],'Base Schedules'!$A$1:$AW$44,39,FALSE)),"")</f>
        <v/>
      </c>
      <c r="AO19" s="184" t="str">
        <f>IFERROR(IF(VLOOKUP(Fri_W2[[#This Row],[Employee Name]],'Base Schedules'!$A$1:$AW$44,40,FALSE)="","",VLOOKUP(Fri_W2[[#This Row],[Employee Name]],'Base Schedules'!$A$1:$AW$44,40,FALSE)),"")</f>
        <v/>
      </c>
      <c r="AP19" s="184" t="str">
        <f>IFERROR(IF(VLOOKUP(Fri_W2[[#This Row],[Employee Name]],'Base Schedules'!$A$1:$AW$44,41,FALSE)="","",VLOOKUP(Fri_W2[[#This Row],[Employee Name]],'Base Schedules'!$A$1:$AW$44,41,FALSE)),"")</f>
        <v/>
      </c>
      <c r="AQ19" s="184" t="str">
        <f>IFERROR(IF(VLOOKUP(Fri_W2[[#This Row],[Employee Name]],'Base Schedules'!$A$1:$AW$44,42,FALSE)="","",VLOOKUP(Fri_W2[[#This Row],[Employee Name]],'Base Schedules'!$A$1:$AW$44,42,FALSE)),"")</f>
        <v/>
      </c>
      <c r="AR19" s="184" t="str">
        <f>IFERROR(IF(VLOOKUP(Fri_W2[[#This Row],[Employee Name]],'Base Schedules'!$A$1:$AW$44,43,FALSE)="","",VLOOKUP(Fri_W2[[#This Row],[Employee Name]],'Base Schedules'!$A$1:$AW$44,43,FALSE)),"")</f>
        <v/>
      </c>
      <c r="AS19" s="184" t="str">
        <f>IFERROR(IF(VLOOKUP(Fri_W2[[#This Row],[Employee Name]],'Base Schedules'!$A$1:$AW$44,44,FALSE)="","",VLOOKUP(Fri_W2[[#This Row],[Employee Name]],'Base Schedules'!$A$1:$AW$44,44,FALSE)),"")</f>
        <v/>
      </c>
      <c r="AT19" s="184" t="str">
        <f>IFERROR(IF(VLOOKUP(Fri_W2[[#This Row],[Employee Name]],'Base Schedules'!$A$1:$AW$44,45,FALSE)="","",VLOOKUP(Fri_W2[[#This Row],[Employee Name]],'Base Schedules'!$A$1:$AW$44,45,FALSE)),"")</f>
        <v/>
      </c>
      <c r="AU19" s="184" t="str">
        <f>IFERROR(IF(VLOOKUP(Fri_W2[[#This Row],[Employee Name]],'Base Schedules'!$A$1:$AW$44,46,FALSE)="","",VLOOKUP(Fri_W2[[#This Row],[Employee Name]],'Base Schedules'!$A$1:$AW$44,46,FALSE)),"")</f>
        <v/>
      </c>
      <c r="AV19" s="184" t="str">
        <f>IFERROR(IF(VLOOKUP(Fri_W2[[#This Row],[Employee Name]],'Base Schedules'!$A$1:$AW$44,47,FALSE)="","",VLOOKUP(Fri_W2[[#This Row],[Employee Name]],'Base Schedules'!$A$1:$AW$44,47,FALSE)),"")</f>
        <v/>
      </c>
      <c r="AW19" s="184" t="str">
        <f>IFERROR(IF(VLOOKUP(Fri_W2[[#This Row],[Employee Name]],'Base Schedules'!$A$1:$AW$44,48,FALSE)="","",VLOOKUP(Fri_W2[[#This Row],[Employee Name]],'Base Schedules'!$A$1:$AW$44,48,FALSE)),"")</f>
        <v/>
      </c>
      <c r="AX19" s="184" t="str">
        <f>IFERROR(IF(VLOOKUP(Fri_W2[[#This Row],[Employee Name]],'Base Schedules'!$A$1:$AW$44,49,FALSE)="","",VLOOKUP(Fri_W2[[#This Row],[Employee Name]],'Base Schedules'!$A$1:$AW$44,49,FALSE)),"")</f>
        <v/>
      </c>
      <c r="AY19" s="160" t="str">
        <f t="shared" si="2"/>
        <v>Greene, Alicia</v>
      </c>
    </row>
    <row r="20" spans="1:51" s="44" customFormat="1" ht="11.25" customHeight="1" x14ac:dyDescent="0.2">
      <c r="A20" s="39" t="str">
        <f>IF(B20="","",INDEX(TeamList[],MATCH($B20,TeamList[[Employee Name]:[Employee Name]],0),MATCH("Manager",TeamList[#Headers],0)))</f>
        <v>Paulson, Matthew</v>
      </c>
      <c r="B20" s="201" t="s">
        <v>39</v>
      </c>
      <c r="C20" s="257" t="str">
        <f>_xlfn.IFNA(VLOOKUP(Fri_W2[[#This Row],[Employee Name]],'Base Schedules'!A:B,2,FALSE),"")</f>
        <v>Supervisor</v>
      </c>
      <c r="D20" s="274">
        <f>_xlfn.IFNA(VLOOKUP(Fri_W2[[#This Row],[Employee Name]],'Base Schedules'!A:C,3,FALSE),"")</f>
        <v>630</v>
      </c>
      <c r="E20" s="274">
        <f>_xlfn.IFNA(VLOOKUP(Fri_W2[[#This Row],[Employee Name]],'Base Schedules'!A:D,4,FALSE),"")</f>
        <v>1530</v>
      </c>
      <c r="F20" s="142">
        <f>IF(Fri_W2[[#This Row],[Employee Name]]="","",IF(Fri_W2[[#This Row],[Dept]]="Supervisor",COUNTIFS($J20:$AX20,"*HL*",$J20:$AX20,"&lt;&gt;"&amp;"pHL"),COUNTIFS($J20:$AX20,"*HL*",$J20:$AX20,"&lt;&gt;"&amp;"*pHL*",$J20:$AX20,"&lt;&gt;"&amp;"pB1 HL",$J20:$AX20,"&lt;&gt;"&amp;"pB2 HL")-SUM(COUNTIFS($J20:$AX20,"*HL B1*",$J20:$AX20,"&lt;&gt;"&amp;"pHL B1")*0.5,COUNTIFS($J20:$AX20,"*HL B2*",$J20:$AX20,"&lt;&gt;"&amp;"pHL B2")*0.5,COUNTIFS($J20:$AX20,"*B1 HL*",$J20:$AX20,"&lt;&gt;"&amp;"pB1 HL")*0.5,COUNTIFS($J20:$AX20,"*B2 HL*",$J20:$AX20,"&lt;&gt;"&amp;"pB2 HL")*0.5)))</f>
        <v>0</v>
      </c>
      <c r="G20" s="142">
        <f t="shared" si="0"/>
        <v>3</v>
      </c>
      <c r="H20" s="142">
        <f t="shared" si="1"/>
        <v>0</v>
      </c>
      <c r="I20" s="142">
        <f>IF(Fri_W2[[#This Row],[Employee Name]]="","",IF(Fri_W2[[#This Row],[Dept]]="Supervisor",SUM(COUNTIFS($J20:$AX20,"RTA*",$J20:$AX20,"&lt;&gt;"&amp;"pRTA"),COUNTIFS($J20:$AX20,"*CRTA*",$J20:$AX20,"&lt;&gt;"&amp;"pCRTA")),COUNTIFS($J20:$AX20,"*RNNR*",$J20:$AX20,"&lt;&gt;"&amp;"*pRNNR*",$J20:$AX20,"&lt;&gt;"&amp;"pB1 RNNR",$J20:$AX20,"&lt;&gt;"&amp;"pB2 RNNR")-SUM(COUNTIFS($J20:$AX20,"*RNNR B1*",$J20:$AX20,"&lt;&gt;"&amp;"pRNNR B1")*0.5,COUNTIFS($J20:$AX20,"*RNNR B2*",$J20:$AX20,"&lt;&gt;"&amp;"pRNNR B2")*0.5,COUNTIFS($J20:$AX20,"*B1 RNNR*",$J20:$AX20,"&lt;&gt;"&amp;"pB1 RNNR")*0.5,COUNTIFS($J20:$AX20,"*B2 RNNR*",$J20:$AX20,"&lt;&gt;"&amp;"pB2 RNNR")*0.5)))</f>
        <v>0</v>
      </c>
      <c r="J20" s="184" t="str">
        <f>IFERROR(IF(VLOOKUP(Fri_W2[[#This Row],[Employee Name]],'Base Schedules'!$A$1:$AW$44,9,FALSE)="","",VLOOKUP(Fri_W2[[#This Row],[Employee Name]],'Base Schedules'!$A$1:$AW$44,9,FALSE)),"")</f>
        <v/>
      </c>
      <c r="K20" s="184" t="str">
        <f>IFERROR(IF(VLOOKUP(Fri_W2[[#This Row],[Employee Name]],'Base Schedules'!$A$1:$AW$44,10,FALSE)="","",VLOOKUP(Fri_W2[[#This Row],[Employee Name]],'Base Schedules'!$A$1:$AW$44,10,FALSE)),"")</f>
        <v/>
      </c>
      <c r="L20" s="184" t="str">
        <f>IFERROR(IF(VLOOKUP(Fri_W2[[#This Row],[Employee Name]],'Base Schedules'!$A$1:$AW$44,11,FALSE)="","",VLOOKUP(Fri_W2[[#This Row],[Employee Name]],'Base Schedules'!$A$1:$AW$44,11,FALSE)),"")</f>
        <v/>
      </c>
      <c r="M20" s="184" t="str">
        <f>IFERROR(IF(VLOOKUP(Fri_W2[[#This Row],[Employee Name]],'Base Schedules'!$A$1:$AW$44,12,FALSE)="","",VLOOKUP(Fri_W2[[#This Row],[Employee Name]],'Base Schedules'!$A$1:$AW$44,12,FALSE)),"")</f>
        <v>-</v>
      </c>
      <c r="N20" s="184" t="str">
        <f>IFERROR(IF(VLOOKUP(Fri_W2[[#This Row],[Employee Name]],'Base Schedules'!$A$1:$AW$44,13,FALSE)="","",VLOOKUP(Fri_W2[[#This Row],[Employee Name]],'Base Schedules'!$A$1:$AW$44,13,FALSE)),"")</f>
        <v>-</v>
      </c>
      <c r="O20" s="184" t="str">
        <f>IFERROR(IF(VLOOKUP(Fri_W2[[#This Row],[Employee Name]],'Base Schedules'!$A$1:$AW$44,14,FALSE)="","",VLOOKUP(Fri_W2[[#This Row],[Employee Name]],'Base Schedules'!$A$1:$AW$44,14,FALSE)),"")</f>
        <v>-</v>
      </c>
      <c r="P20" s="184" t="str">
        <f>IFERROR(IF(VLOOKUP(Fri_W2[[#This Row],[Employee Name]],'Base Schedules'!$A$1:$AW$44,15,FALSE)="","",VLOOKUP(Fri_W2[[#This Row],[Employee Name]],'Base Schedules'!$A$1:$AW$44,15,FALSE)),"")</f>
        <v>-</v>
      </c>
      <c r="Q20" s="184" t="str">
        <f>IFERROR(IF(VLOOKUP(Fri_W2[[#This Row],[Employee Name]],'Base Schedules'!$A$1:$AW$44,16,FALSE)="","",VLOOKUP(Fri_W2[[#This Row],[Employee Name]],'Base Schedules'!$A$1:$AW$44,16,FALSE)),"")</f>
        <v>-</v>
      </c>
      <c r="R20" s="184" t="str">
        <f>IFERROR(IF(VLOOKUP(Fri_W2[[#This Row],[Employee Name]],'Base Schedules'!$A$1:$AW$44,17,FALSE)="","",VLOOKUP(Fri_W2[[#This Row],[Employee Name]],'Base Schedules'!$A$1:$AW$44,17,FALSE)),"")</f>
        <v>-</v>
      </c>
      <c r="S20" s="184" t="str">
        <f>IFERROR(IF(VLOOKUP(Fri_W2[[#This Row],[Employee Name]],'Base Schedules'!$A$1:$AW$44,18,FALSE)="","",VLOOKUP(Fri_W2[[#This Row],[Employee Name]],'Base Schedules'!$A$1:$AW$44,18,FALSE)),"")</f>
        <v>-</v>
      </c>
      <c r="T20" s="184" t="str">
        <f>IFERROR(IF(VLOOKUP(Fri_W2[[#This Row],[Employee Name]],'Base Schedules'!$A$1:$AW$44,19,FALSE)="","",VLOOKUP(Fri_W2[[#This Row],[Employee Name]],'Base Schedules'!$A$1:$AW$44,19,FALSE)),"")</f>
        <v>Interview</v>
      </c>
      <c r="U20" s="184" t="str">
        <f>IFERROR(IF(VLOOKUP(Fri_W2[[#This Row],[Employee Name]],'Base Schedules'!$A$1:$AW$44,20,FALSE)="","",VLOOKUP(Fri_W2[[#This Row],[Employee Name]],'Base Schedules'!$A$1:$AW$44,20,FALSE)),"")</f>
        <v>Interview</v>
      </c>
      <c r="V20" s="184" t="str">
        <f>IFERROR(IF(VLOOKUP(Fri_W2[[#This Row],[Employee Name]],'Base Schedules'!$A$1:$AW$44,21,FALSE)="","",VLOOKUP(Fri_W2[[#This Row],[Employee Name]],'Base Schedules'!$A$1:$AW$44,21,FALSE)),"")</f>
        <v>-</v>
      </c>
      <c r="W20" s="184" t="str">
        <f>IFERROR(IF(VLOOKUP(Fri_W2[[#This Row],[Employee Name]],'Base Schedules'!$A$1:$AW$44,22,FALSE)="","",VLOOKUP(Fri_W2[[#This Row],[Employee Name]],'Base Schedules'!$A$1:$AW$44,22,FALSE)),"")</f>
        <v>-</v>
      </c>
      <c r="X20" s="184" t="str">
        <f>IFERROR(IF(VLOOKUP(Fri_W2[[#This Row],[Employee Name]],'Base Schedules'!$A$1:$AW$44,23,FALSE)="","",VLOOKUP(Fri_W2[[#This Row],[Employee Name]],'Base Schedules'!$A$1:$AW$44,23,FALSE)),"")</f>
        <v>-</v>
      </c>
      <c r="Y20" s="184" t="str">
        <f>IFERROR(IF(VLOOKUP(Fri_W2[[#This Row],[Employee Name]],'Base Schedules'!$A$1:$AW$44,24,FALSE)="","",VLOOKUP(Fri_W2[[#This Row],[Employee Name]],'Base Schedules'!$A$1:$AW$44,24,FALSE)),"")</f>
        <v>-</v>
      </c>
      <c r="Z20" s="184" t="str">
        <f>IFERROR(IF(VLOOKUP(Fri_W2[[#This Row],[Employee Name]],'Base Schedules'!$A$1:$AW$44,25,FALSE)="","",VLOOKUP(Fri_W2[[#This Row],[Employee Name]],'Base Schedules'!$A$1:$AW$44,25,FALSE)),"")</f>
        <v>Coaching</v>
      </c>
      <c r="AA20" s="184" t="str">
        <f>IFERROR(IF(VLOOKUP(Fri_W2[[#This Row],[Employee Name]],'Base Schedules'!$A$1:$AW$44,26,FALSE)="","",VLOOKUP(Fri_W2[[#This Row],[Employee Name]],'Base Schedules'!$A$1:$AW$44,26,FALSE)),"")</f>
        <v>Coaching</v>
      </c>
      <c r="AB20" s="184" t="str">
        <f>IFERROR(IF(VLOOKUP(Fri_W2[[#This Row],[Employee Name]],'Base Schedules'!$A$1:$AW$44,27,FALSE)="","",VLOOKUP(Fri_W2[[#This Row],[Employee Name]],'Base Schedules'!$A$1:$AW$44,27,FALSE)),"")</f>
        <v>Coaching</v>
      </c>
      <c r="AC20" s="184" t="str">
        <f>IFERROR(IF(VLOOKUP(Fri_W2[[#This Row],[Employee Name]],'Base Schedules'!$A$1:$AW$44,28,FALSE)="","",VLOOKUP(Fri_W2[[#This Row],[Employee Name]],'Base Schedules'!$A$1:$AW$44,28,FALSE)),"")</f>
        <v>-</v>
      </c>
      <c r="AD20" s="184" t="str">
        <f>IFERROR(IF(VLOOKUP(Fri_W2[[#This Row],[Employee Name]],'Base Schedules'!$A$1:$AW$44,29,FALSE)="","",VLOOKUP(Fri_W2[[#This Row],[Employee Name]],'Base Schedules'!$A$1:$AW$44,29,FALSE)),"")</f>
        <v>-</v>
      </c>
      <c r="AE20" s="184" t="str">
        <f>IFERROR(IF(VLOOKUP(Fri_W2[[#This Row],[Employee Name]],'Base Schedules'!$A$1:$AW$44,30,FALSE)="","",VLOOKUP(Fri_W2[[#This Row],[Employee Name]],'Base Schedules'!$A$1:$AW$44,30,FALSE)),"")</f>
        <v/>
      </c>
      <c r="AF20" s="184" t="str">
        <f>IFERROR(IF(VLOOKUP(Fri_W2[[#This Row],[Employee Name]],'Base Schedules'!$A$1:$AW$44,31,FALSE)="","",VLOOKUP(Fri_W2[[#This Row],[Employee Name]],'Base Schedules'!$A$1:$AW$44,31,FALSE)),"")</f>
        <v/>
      </c>
      <c r="AG20" s="184" t="str">
        <f>IFERROR(IF(VLOOKUP(Fri_W2[[#This Row],[Employee Name]],'Base Schedules'!$A$1:$AW$44,32,FALSE)="","",VLOOKUP(Fri_W2[[#This Row],[Employee Name]],'Base Schedules'!$A$1:$AW$44,32,FALSE)),"")</f>
        <v/>
      </c>
      <c r="AH20" s="184" t="str">
        <f>IFERROR(IF(VLOOKUP(Fri_W2[[#This Row],[Employee Name]],'Base Schedules'!$A$1:$AW$44,33,FALSE)="","",VLOOKUP(Fri_W2[[#This Row],[Employee Name]],'Base Schedules'!$A$1:$AW$44,33,FALSE)),"")</f>
        <v/>
      </c>
      <c r="AI20" s="184" t="str">
        <f>IFERROR(IF(VLOOKUP(Fri_W2[[#This Row],[Employee Name]],'Base Schedules'!$A$1:$AW$44,34,FALSE)="","",VLOOKUP(Fri_W2[[#This Row],[Employee Name]],'Base Schedules'!$A$1:$AW$44,34,FALSE)),"")</f>
        <v/>
      </c>
      <c r="AJ20" s="184" t="str">
        <f>IFERROR(IF(VLOOKUP(Fri_W2[[#This Row],[Employee Name]],'Base Schedules'!$A$1:$AW$44,35,FALSE)="","",VLOOKUP(Fri_W2[[#This Row],[Employee Name]],'Base Schedules'!$A$1:$AW$44,35,FALSE)),"")</f>
        <v/>
      </c>
      <c r="AK20" s="184" t="str">
        <f>IFERROR(IF(VLOOKUP(Fri_W2[[#This Row],[Employee Name]],'Base Schedules'!$A$1:$AW$44,36,FALSE)="","",VLOOKUP(Fri_W2[[#This Row],[Employee Name]],'Base Schedules'!$A$1:$AW$44,36,FALSE)),"")</f>
        <v/>
      </c>
      <c r="AL20" s="184" t="str">
        <f>IFERROR(IF(VLOOKUP(Fri_W2[[#This Row],[Employee Name]],'Base Schedules'!$A$1:$AW$44,37,FALSE)="","",VLOOKUP(Fri_W2[[#This Row],[Employee Name]],'Base Schedules'!$A$1:$AW$44,37,FALSE)),"")</f>
        <v/>
      </c>
      <c r="AM20" s="184" t="str">
        <f>IFERROR(IF(VLOOKUP(Fri_W2[[#This Row],[Employee Name]],'Base Schedules'!$A$1:$AW$44,38,FALSE)="","",VLOOKUP(Fri_W2[[#This Row],[Employee Name]],'Base Schedules'!$A$1:$AW$44,38,FALSE)),"")</f>
        <v/>
      </c>
      <c r="AN20" s="184" t="str">
        <f>IFERROR(IF(VLOOKUP(Fri_W2[[#This Row],[Employee Name]],'Base Schedules'!$A$1:$AW$44,39,FALSE)="","",VLOOKUP(Fri_W2[[#This Row],[Employee Name]],'Base Schedules'!$A$1:$AW$44,39,FALSE)),"")</f>
        <v/>
      </c>
      <c r="AO20" s="184" t="str">
        <f>IFERROR(IF(VLOOKUP(Fri_W2[[#This Row],[Employee Name]],'Base Schedules'!$A$1:$AW$44,40,FALSE)="","",VLOOKUP(Fri_W2[[#This Row],[Employee Name]],'Base Schedules'!$A$1:$AW$44,40,FALSE)),"")</f>
        <v/>
      </c>
      <c r="AP20" s="184" t="str">
        <f>IFERROR(IF(VLOOKUP(Fri_W2[[#This Row],[Employee Name]],'Base Schedules'!$A$1:$AW$44,41,FALSE)="","",VLOOKUP(Fri_W2[[#This Row],[Employee Name]],'Base Schedules'!$A$1:$AW$44,41,FALSE)),"")</f>
        <v/>
      </c>
      <c r="AQ20" s="184" t="str">
        <f>IFERROR(IF(VLOOKUP(Fri_W2[[#This Row],[Employee Name]],'Base Schedules'!$A$1:$AW$44,42,FALSE)="","",VLOOKUP(Fri_W2[[#This Row],[Employee Name]],'Base Schedules'!$A$1:$AW$44,42,FALSE)),"")</f>
        <v/>
      </c>
      <c r="AR20" s="184" t="str">
        <f>IFERROR(IF(VLOOKUP(Fri_W2[[#This Row],[Employee Name]],'Base Schedules'!$A$1:$AW$44,43,FALSE)="","",VLOOKUP(Fri_W2[[#This Row],[Employee Name]],'Base Schedules'!$A$1:$AW$44,43,FALSE)),"")</f>
        <v/>
      </c>
      <c r="AS20" s="184" t="str">
        <f>IFERROR(IF(VLOOKUP(Fri_W2[[#This Row],[Employee Name]],'Base Schedules'!$A$1:$AW$44,44,FALSE)="","",VLOOKUP(Fri_W2[[#This Row],[Employee Name]],'Base Schedules'!$A$1:$AW$44,44,FALSE)),"")</f>
        <v/>
      </c>
      <c r="AT20" s="184" t="str">
        <f>IFERROR(IF(VLOOKUP(Fri_W2[[#This Row],[Employee Name]],'Base Schedules'!$A$1:$AW$44,45,FALSE)="","",VLOOKUP(Fri_W2[[#This Row],[Employee Name]],'Base Schedules'!$A$1:$AW$44,45,FALSE)),"")</f>
        <v/>
      </c>
      <c r="AU20" s="184" t="str">
        <f>IFERROR(IF(VLOOKUP(Fri_W2[[#This Row],[Employee Name]],'Base Schedules'!$A$1:$AW$44,46,FALSE)="","",VLOOKUP(Fri_W2[[#This Row],[Employee Name]],'Base Schedules'!$A$1:$AW$44,46,FALSE)),"")</f>
        <v/>
      </c>
      <c r="AV20" s="184" t="str">
        <f>IFERROR(IF(VLOOKUP(Fri_W2[[#This Row],[Employee Name]],'Base Schedules'!$A$1:$AW$44,47,FALSE)="","",VLOOKUP(Fri_W2[[#This Row],[Employee Name]],'Base Schedules'!$A$1:$AW$44,47,FALSE)),"")</f>
        <v/>
      </c>
      <c r="AW20" s="184" t="str">
        <f>IFERROR(IF(VLOOKUP(Fri_W2[[#This Row],[Employee Name]],'Base Schedules'!$A$1:$AW$44,48,FALSE)="","",VLOOKUP(Fri_W2[[#This Row],[Employee Name]],'Base Schedules'!$A$1:$AW$44,48,FALSE)),"")</f>
        <v/>
      </c>
      <c r="AX20" s="184" t="str">
        <f>IFERROR(IF(VLOOKUP(Fri_W2[[#This Row],[Employee Name]],'Base Schedules'!$A$1:$AW$44,49,FALSE)="","",VLOOKUP(Fri_W2[[#This Row],[Employee Name]],'Base Schedules'!$A$1:$AW$44,49,FALSE)),"")</f>
        <v/>
      </c>
      <c r="AY20" s="160" t="str">
        <f t="shared" si="2"/>
        <v>Ulrich, Michael</v>
      </c>
    </row>
    <row r="21" spans="1:51" s="44" customFormat="1" ht="11.25" customHeight="1" x14ac:dyDescent="0.2">
      <c r="A21" s="39" t="str">
        <f>IF(B21="","",INDEX(TeamList[],MATCH($B21,TeamList[[Employee Name]:[Employee Name]],0),MATCH("Manager",TeamList[#Headers],0)))</f>
        <v>Olson, Katherine</v>
      </c>
      <c r="B21" s="201" t="s">
        <v>22</v>
      </c>
      <c r="C21" s="257" t="str">
        <f>_xlfn.IFNA(VLOOKUP(Fri_W2[[#This Row],[Employee Name]],'Base Schedules'!A:B,2,FALSE),"")</f>
        <v>Lead</v>
      </c>
      <c r="D21" s="274">
        <f>_xlfn.IFNA(VLOOKUP(Fri_W2[[#This Row],[Employee Name]],'Base Schedules'!A:C,3,FALSE),"")</f>
        <v>700</v>
      </c>
      <c r="E21" s="274">
        <f>_xlfn.IFNA(VLOOKUP(Fri_W2[[#This Row],[Employee Name]],'Base Schedules'!A:D,4,FALSE),"")</f>
        <v>1600</v>
      </c>
      <c r="F21" s="142">
        <f>IF(Fri_W2[[#This Row],[Employee Name]]="","",IF(Fri_W2[[#This Row],[Dept]]="Supervisor",COUNTIFS($J21:$AX21,"*HL*",$J21:$AX21,"&lt;&gt;"&amp;"pHL"),COUNTIFS($J21:$AX21,"*HL*",$J21:$AX21,"&lt;&gt;"&amp;"*pHL*",$J21:$AX21,"&lt;&gt;"&amp;"pB1 HL",$J21:$AX21,"&lt;&gt;"&amp;"pB2 HL")-SUM(COUNTIFS($J21:$AX21,"*HL B1*",$J21:$AX21,"&lt;&gt;"&amp;"pHL B1")*0.5,COUNTIFS($J21:$AX21,"*HL B2*",$J21:$AX21,"&lt;&gt;"&amp;"pHL B2")*0.5,COUNTIFS($J21:$AX21,"*B1 HL*",$J21:$AX21,"&lt;&gt;"&amp;"pB1 HL")*0.5,COUNTIFS($J21:$AX21,"*B2 HL*",$J21:$AX21,"&lt;&gt;"&amp;"pB2 HL")*0.5)))</f>
        <v>6.5</v>
      </c>
      <c r="G21" s="142">
        <f t="shared" si="0"/>
        <v>0</v>
      </c>
      <c r="H21" s="142">
        <f t="shared" si="1"/>
        <v>7</v>
      </c>
      <c r="I21" s="142">
        <f>IF(Fri_W2[[#This Row],[Employee Name]]="","",IF(Fri_W2[[#This Row],[Dept]]="Supervisor",SUM(COUNTIFS($J21:$AX21,"RTA*",$J21:$AX21,"&lt;&gt;"&amp;"pRTA"),COUNTIFS($J21:$AX21,"*CRTA*",$J21:$AX21,"&lt;&gt;"&amp;"pCRTA")),COUNTIFS($J21:$AX21,"*RNNR*",$J21:$AX21,"&lt;&gt;"&amp;"*pRNNR*",$J21:$AX21,"&lt;&gt;"&amp;"pB1 RNNR",$J21:$AX21,"&lt;&gt;"&amp;"pB2 RNNR")-SUM(COUNTIFS($J21:$AX21,"*RNNR B1*",$J21:$AX21,"&lt;&gt;"&amp;"pRNNR B1")*0.5,COUNTIFS($J21:$AX21,"*RNNR B2*",$J21:$AX21,"&lt;&gt;"&amp;"pRNNR B2")*0.5,COUNTIFS($J21:$AX21,"*B1 RNNR*",$J21:$AX21,"&lt;&gt;"&amp;"pB1 RNNR")*0.5,COUNTIFS($J21:$AX21,"*B2 RNNR*",$J21:$AX21,"&lt;&gt;"&amp;"pB2 RNNR")*0.5)))</f>
        <v>0</v>
      </c>
      <c r="J21" s="184" t="str">
        <f>IFERROR(IF(VLOOKUP(Fri_W2[[#This Row],[Employee Name]],'Base Schedules'!$A$1:$AW$44,9,FALSE)="","",VLOOKUP(Fri_W2[[#This Row],[Employee Name]],'Base Schedules'!$A$1:$AW$44,9,FALSE)),"")</f>
        <v/>
      </c>
      <c r="K21" s="184" t="str">
        <f>IFERROR(IF(VLOOKUP(Fri_W2[[#This Row],[Employee Name]],'Base Schedules'!$A$1:$AW$44,10,FALSE)="","",VLOOKUP(Fri_W2[[#This Row],[Employee Name]],'Base Schedules'!$A$1:$AW$44,10,FALSE)),"")</f>
        <v/>
      </c>
      <c r="L21" s="184" t="str">
        <f>IFERROR(IF(VLOOKUP(Fri_W2[[#This Row],[Employee Name]],'Base Schedules'!$A$1:$AW$44,11,FALSE)="","",VLOOKUP(Fri_W2[[#This Row],[Employee Name]],'Base Schedules'!$A$1:$AW$44,11,FALSE)),"")</f>
        <v/>
      </c>
      <c r="M21" s="184" t="str">
        <f>IFERROR(IF(VLOOKUP(Fri_W2[[#This Row],[Employee Name]],'Base Schedules'!$A$1:$AW$44,12,FALSE)="","",VLOOKUP(Fri_W2[[#This Row],[Employee Name]],'Base Schedules'!$A$1:$AW$44,12,FALSE)),"")</f>
        <v/>
      </c>
      <c r="N21" s="184" t="str">
        <f>IFERROR(IF(VLOOKUP(Fri_W2[[#This Row],[Employee Name]],'Base Schedules'!$A$1:$AW$44,13,FALSE)="","",VLOOKUP(Fri_W2[[#This Row],[Employee Name]],'Base Schedules'!$A$1:$AW$44,13,FALSE)),"")</f>
        <v>HL</v>
      </c>
      <c r="O21" s="184" t="str">
        <f>IFERROR(IF(VLOOKUP(Fri_W2[[#This Row],[Employee Name]],'Base Schedules'!$A$1:$AW$44,14,FALSE)="","",VLOOKUP(Fri_W2[[#This Row],[Employee Name]],'Base Schedules'!$A$1:$AW$44,14,FALSE)),"")</f>
        <v>HL</v>
      </c>
      <c r="P21" s="184" t="str">
        <f>IFERROR(IF(VLOOKUP(Fri_W2[[#This Row],[Employee Name]],'Base Schedules'!$A$1:$AW$44,15,FALSE)="","",VLOOKUP(Fri_W2[[#This Row],[Employee Name]],'Base Schedules'!$A$1:$AW$44,15,FALSE)),"")</f>
        <v>HL</v>
      </c>
      <c r="Q21" s="184" t="str">
        <f>IFERROR(IF(VLOOKUP(Fri_W2[[#This Row],[Employee Name]],'Base Schedules'!$A$1:$AW$44,16,FALSE)="","",VLOOKUP(Fri_W2[[#This Row],[Employee Name]],'Base Schedules'!$A$1:$AW$44,16,FALSE)),"")</f>
        <v>HL</v>
      </c>
      <c r="R21" s="184" t="str">
        <f>IFERROR(IF(VLOOKUP(Fri_W2[[#This Row],[Employee Name]],'Base Schedules'!$A$1:$AW$44,17,FALSE)="","",VLOOKUP(Fri_W2[[#This Row],[Employee Name]],'Base Schedules'!$A$1:$AW$44,17,FALSE)),"")</f>
        <v>ADM B1</v>
      </c>
      <c r="S21" s="184" t="str">
        <f>IFERROR(IF(VLOOKUP(Fri_W2[[#This Row],[Employee Name]],'Base Schedules'!$A$1:$AW$44,18,FALSE)="","",VLOOKUP(Fri_W2[[#This Row],[Employee Name]],'Base Schedules'!$A$1:$AW$44,18,FALSE)),"")</f>
        <v>ADM</v>
      </c>
      <c r="T21" s="184" t="str">
        <f>IFERROR(IF(VLOOKUP(Fri_W2[[#This Row],[Employee Name]],'Base Schedules'!$A$1:$AW$44,19,FALSE)="","",VLOOKUP(Fri_W2[[#This Row],[Employee Name]],'Base Schedules'!$A$1:$AW$44,19,FALSE)),"")</f>
        <v>ADM</v>
      </c>
      <c r="U21" s="184" t="str">
        <f>IFERROR(IF(VLOOKUP(Fri_W2[[#This Row],[Employee Name]],'Base Schedules'!$A$1:$AW$44,20,FALSE)="","",VLOOKUP(Fri_W2[[#This Row],[Employee Name]],'Base Schedules'!$A$1:$AW$44,20,FALSE)),"")</f>
        <v>ADM</v>
      </c>
      <c r="V21" s="184" t="str">
        <f>IFERROR(IF(VLOOKUP(Fri_W2[[#This Row],[Employee Name]],'Base Schedules'!$A$1:$AW$44,21,FALSE)="","",VLOOKUP(Fri_W2[[#This Row],[Employee Name]],'Base Schedules'!$A$1:$AW$44,21,FALSE)),"")</f>
        <v>ADM</v>
      </c>
      <c r="W21" s="184" t="str">
        <f>IFERROR(IF(VLOOKUP(Fri_W2[[#This Row],[Employee Name]],'Base Schedules'!$A$1:$AW$44,22,FALSE)="","",VLOOKUP(Fri_W2[[#This Row],[Employee Name]],'Base Schedules'!$A$1:$AW$44,22,FALSE)),"")</f>
        <v>LUNCH</v>
      </c>
      <c r="X21" s="184" t="str">
        <f>IFERROR(IF(VLOOKUP(Fri_W2[[#This Row],[Employee Name]],'Base Schedules'!$A$1:$AW$44,23,FALSE)="","",VLOOKUP(Fri_W2[[#This Row],[Employee Name]],'Base Schedules'!$A$1:$AW$44,23,FALSE)),"")</f>
        <v>LUNCH</v>
      </c>
      <c r="Y21" s="184" t="str">
        <f>IFERROR(IF(VLOOKUP(Fri_W2[[#This Row],[Employee Name]],'Base Schedules'!$A$1:$AW$44,24,FALSE)="","",VLOOKUP(Fri_W2[[#This Row],[Employee Name]],'Base Schedules'!$A$1:$AW$44,24,FALSE)),"")</f>
        <v>PROJECT</v>
      </c>
      <c r="Z21" s="184" t="str">
        <f>IFERROR(IF(VLOOKUP(Fri_W2[[#This Row],[Employee Name]],'Base Schedules'!$A$1:$AW$44,25,FALSE)="","",VLOOKUP(Fri_W2[[#This Row],[Employee Name]],'Base Schedules'!$A$1:$AW$44,25,FALSE)),"")</f>
        <v>PROJECT</v>
      </c>
      <c r="AA21" s="184" t="str">
        <f>IFERROR(IF(VLOOKUP(Fri_W2[[#This Row],[Employee Name]],'Base Schedules'!$A$1:$AW$44,26,FALSE)="","",VLOOKUP(Fri_W2[[#This Row],[Employee Name]],'Base Schedules'!$A$1:$AW$44,26,FALSE)),"")</f>
        <v>HL</v>
      </c>
      <c r="AB21" s="184" t="str">
        <f>IFERROR(IF(VLOOKUP(Fri_W2[[#This Row],[Employee Name]],'Base Schedules'!$A$1:$AW$44,27,FALSE)="","",VLOOKUP(Fri_W2[[#This Row],[Employee Name]],'Base Schedules'!$A$1:$AW$44,27,FALSE)),"")</f>
        <v>B2 HL</v>
      </c>
      <c r="AC21" s="184" t="str">
        <f>IFERROR(IF(VLOOKUP(Fri_W2[[#This Row],[Employee Name]],'Base Schedules'!$A$1:$AW$44,28,FALSE)="","",VLOOKUP(Fri_W2[[#This Row],[Employee Name]],'Base Schedules'!$A$1:$AW$44,28,FALSE)),"")</f>
        <v>HL</v>
      </c>
      <c r="AD21" s="184" t="str">
        <f>IFERROR(IF(VLOOKUP(Fri_W2[[#This Row],[Employee Name]],'Base Schedules'!$A$1:$AW$44,29,FALSE)="","",VLOOKUP(Fri_W2[[#This Row],[Employee Name]],'Base Schedules'!$A$1:$AW$44,29,FALSE)),"")</f>
        <v>ADM</v>
      </c>
      <c r="AE21" s="184" t="str">
        <f>IFERROR(IF(VLOOKUP(Fri_W2[[#This Row],[Employee Name]],'Base Schedules'!$A$1:$AW$44,30,FALSE)="","",VLOOKUP(Fri_W2[[#This Row],[Employee Name]],'Base Schedules'!$A$1:$AW$44,30,FALSE)),"")</f>
        <v>ADM</v>
      </c>
      <c r="AF21" s="184" t="str">
        <f>IFERROR(IF(VLOOKUP(Fri_W2[[#This Row],[Employee Name]],'Base Schedules'!$A$1:$AW$44,31,FALSE)="","",VLOOKUP(Fri_W2[[#This Row],[Employee Name]],'Base Schedules'!$A$1:$AW$44,31,FALSE)),"")</f>
        <v/>
      </c>
      <c r="AG21" s="184" t="str">
        <f>IFERROR(IF(VLOOKUP(Fri_W2[[#This Row],[Employee Name]],'Base Schedules'!$A$1:$AW$44,32,FALSE)="","",VLOOKUP(Fri_W2[[#This Row],[Employee Name]],'Base Schedules'!$A$1:$AW$44,32,FALSE)),"")</f>
        <v/>
      </c>
      <c r="AH21" s="184" t="str">
        <f>IFERROR(IF(VLOOKUP(Fri_W2[[#This Row],[Employee Name]],'Base Schedules'!$A$1:$AW$44,33,FALSE)="","",VLOOKUP(Fri_W2[[#This Row],[Employee Name]],'Base Schedules'!$A$1:$AW$44,33,FALSE)),"")</f>
        <v/>
      </c>
      <c r="AI21" s="184" t="str">
        <f>IFERROR(IF(VLOOKUP(Fri_W2[[#This Row],[Employee Name]],'Base Schedules'!$A$1:$AW$44,34,FALSE)="","",VLOOKUP(Fri_W2[[#This Row],[Employee Name]],'Base Schedules'!$A$1:$AW$44,34,FALSE)),"")</f>
        <v/>
      </c>
      <c r="AJ21" s="184" t="str">
        <f>IFERROR(IF(VLOOKUP(Fri_W2[[#This Row],[Employee Name]],'Base Schedules'!$A$1:$AW$44,35,FALSE)="","",VLOOKUP(Fri_W2[[#This Row],[Employee Name]],'Base Schedules'!$A$1:$AW$44,35,FALSE)),"")</f>
        <v/>
      </c>
      <c r="AK21" s="184" t="str">
        <f>IFERROR(IF(VLOOKUP(Fri_W2[[#This Row],[Employee Name]],'Base Schedules'!$A$1:$AW$44,36,FALSE)="","",VLOOKUP(Fri_W2[[#This Row],[Employee Name]],'Base Schedules'!$A$1:$AW$44,36,FALSE)),"")</f>
        <v/>
      </c>
      <c r="AL21" s="184" t="str">
        <f>IFERROR(IF(VLOOKUP(Fri_W2[[#This Row],[Employee Name]],'Base Schedules'!$A$1:$AW$44,37,FALSE)="","",VLOOKUP(Fri_W2[[#This Row],[Employee Name]],'Base Schedules'!$A$1:$AW$44,37,FALSE)),"")</f>
        <v/>
      </c>
      <c r="AM21" s="184" t="str">
        <f>IFERROR(IF(VLOOKUP(Fri_W2[[#This Row],[Employee Name]],'Base Schedules'!$A$1:$AW$44,38,FALSE)="","",VLOOKUP(Fri_W2[[#This Row],[Employee Name]],'Base Schedules'!$A$1:$AW$44,38,FALSE)),"")</f>
        <v/>
      </c>
      <c r="AN21" s="184" t="str">
        <f>IFERROR(IF(VLOOKUP(Fri_W2[[#This Row],[Employee Name]],'Base Schedules'!$A$1:$AW$44,39,FALSE)="","",VLOOKUP(Fri_W2[[#This Row],[Employee Name]],'Base Schedules'!$A$1:$AW$44,39,FALSE)),"")</f>
        <v/>
      </c>
      <c r="AO21" s="184" t="str">
        <f>IFERROR(IF(VLOOKUP(Fri_W2[[#This Row],[Employee Name]],'Base Schedules'!$A$1:$AW$44,40,FALSE)="","",VLOOKUP(Fri_W2[[#This Row],[Employee Name]],'Base Schedules'!$A$1:$AW$44,40,FALSE)),"")</f>
        <v/>
      </c>
      <c r="AP21" s="184" t="str">
        <f>IFERROR(IF(VLOOKUP(Fri_W2[[#This Row],[Employee Name]],'Base Schedules'!$A$1:$AW$44,41,FALSE)="","",VLOOKUP(Fri_W2[[#This Row],[Employee Name]],'Base Schedules'!$A$1:$AW$44,41,FALSE)),"")</f>
        <v/>
      </c>
      <c r="AQ21" s="184" t="str">
        <f>IFERROR(IF(VLOOKUP(Fri_W2[[#This Row],[Employee Name]],'Base Schedules'!$A$1:$AW$44,42,FALSE)="","",VLOOKUP(Fri_W2[[#This Row],[Employee Name]],'Base Schedules'!$A$1:$AW$44,42,FALSE)),"")</f>
        <v/>
      </c>
      <c r="AR21" s="184" t="str">
        <f>IFERROR(IF(VLOOKUP(Fri_W2[[#This Row],[Employee Name]],'Base Schedules'!$A$1:$AW$44,43,FALSE)="","",VLOOKUP(Fri_W2[[#This Row],[Employee Name]],'Base Schedules'!$A$1:$AW$44,43,FALSE)),"")</f>
        <v/>
      </c>
      <c r="AS21" s="184" t="str">
        <f>IFERROR(IF(VLOOKUP(Fri_W2[[#This Row],[Employee Name]],'Base Schedules'!$A$1:$AW$44,44,FALSE)="","",VLOOKUP(Fri_W2[[#This Row],[Employee Name]],'Base Schedules'!$A$1:$AW$44,44,FALSE)),"")</f>
        <v/>
      </c>
      <c r="AT21" s="184" t="str">
        <f>IFERROR(IF(VLOOKUP(Fri_W2[[#This Row],[Employee Name]],'Base Schedules'!$A$1:$AW$44,45,FALSE)="","",VLOOKUP(Fri_W2[[#This Row],[Employee Name]],'Base Schedules'!$A$1:$AW$44,45,FALSE)),"")</f>
        <v/>
      </c>
      <c r="AU21" s="184" t="str">
        <f>IFERROR(IF(VLOOKUP(Fri_W2[[#This Row],[Employee Name]],'Base Schedules'!$A$1:$AW$44,46,FALSE)="","",VLOOKUP(Fri_W2[[#This Row],[Employee Name]],'Base Schedules'!$A$1:$AW$44,46,FALSE)),"")</f>
        <v/>
      </c>
      <c r="AV21" s="184" t="str">
        <f>IFERROR(IF(VLOOKUP(Fri_W2[[#This Row],[Employee Name]],'Base Schedules'!$A$1:$AW$44,47,FALSE)="","",VLOOKUP(Fri_W2[[#This Row],[Employee Name]],'Base Schedules'!$A$1:$AW$44,47,FALSE)),"")</f>
        <v/>
      </c>
      <c r="AW21" s="184" t="str">
        <f>IFERROR(IF(VLOOKUP(Fri_W2[[#This Row],[Employee Name]],'Base Schedules'!$A$1:$AW$44,48,FALSE)="","",VLOOKUP(Fri_W2[[#This Row],[Employee Name]],'Base Schedules'!$A$1:$AW$44,48,FALSE)),"")</f>
        <v/>
      </c>
      <c r="AX21" s="184" t="str">
        <f>IFERROR(IF(VLOOKUP(Fri_W2[[#This Row],[Employee Name]],'Base Schedules'!$A$1:$AW$44,49,FALSE)="","",VLOOKUP(Fri_W2[[#This Row],[Employee Name]],'Base Schedules'!$A$1:$AW$44,49,FALSE)),"")</f>
        <v/>
      </c>
      <c r="AY21" s="159" t="str">
        <f t="shared" si="2"/>
        <v>Benish, Elisha</v>
      </c>
    </row>
    <row r="22" spans="1:51" s="44" customFormat="1" ht="11.25" customHeight="1" x14ac:dyDescent="0.2">
      <c r="A22" s="39" t="str">
        <f>IF(B22="","",INDEX(TeamList[],MATCH($B22,TeamList[[Employee Name]:[Employee Name]],0),MATCH("Manager",TeamList[#Headers],0)))</f>
        <v>Ahmed Hassan, Zahra</v>
      </c>
      <c r="B22" s="201" t="s">
        <v>51</v>
      </c>
      <c r="C22" s="257" t="str">
        <f>_xlfn.IFNA(VLOOKUP(Fri_W2[[#This Row],[Employee Name]],'Base Schedules'!A:B,2,FALSE),"")</f>
        <v>Supervisor</v>
      </c>
      <c r="D22" s="274">
        <f>_xlfn.IFNA(VLOOKUP(Fri_W2[[#This Row],[Employee Name]],'Base Schedules'!A:C,3,FALSE),"")</f>
        <v>700</v>
      </c>
      <c r="E22" s="274">
        <f>_xlfn.IFNA(VLOOKUP(Fri_W2[[#This Row],[Employee Name]],'Base Schedules'!A:D,4,FALSE),"")</f>
        <v>1600</v>
      </c>
      <c r="F22" s="142">
        <f>IF(Fri_W2[[#This Row],[Employee Name]]="","",IF(Fri_W2[[#This Row],[Dept]]="Supervisor",COUNTIFS($J22:$AX22,"*HL*",$J22:$AX22,"&lt;&gt;"&amp;"pHL"),COUNTIFS($J22:$AX22,"*HL*",$J22:$AX22,"&lt;&gt;"&amp;"*pHL*",$J22:$AX22,"&lt;&gt;"&amp;"pB1 HL",$J22:$AX22,"&lt;&gt;"&amp;"pB2 HL")-SUM(COUNTIFS($J22:$AX22,"*HL B1*",$J22:$AX22,"&lt;&gt;"&amp;"pHL B1")*0.5,COUNTIFS($J22:$AX22,"*HL B2*",$J22:$AX22,"&lt;&gt;"&amp;"pHL B2")*0.5,COUNTIFS($J22:$AX22,"*B1 HL*",$J22:$AX22,"&lt;&gt;"&amp;"pB1 HL")*0.5,COUNTIFS($J22:$AX22,"*B2 HL*",$J22:$AX22,"&lt;&gt;"&amp;"pB2 HL")*0.5)))</f>
        <v>0</v>
      </c>
      <c r="G22" s="142">
        <f t="shared" si="0"/>
        <v>4</v>
      </c>
      <c r="H22" s="142">
        <f t="shared" si="1"/>
        <v>0</v>
      </c>
      <c r="I22" s="142">
        <f>IF(Fri_W2[[#This Row],[Employee Name]]="","",IF(Fri_W2[[#This Row],[Dept]]="Supervisor",SUM(COUNTIFS($J22:$AX22,"RTA*",$J22:$AX22,"&lt;&gt;"&amp;"pRTA"),COUNTIFS($J22:$AX22,"*CRTA*",$J22:$AX22,"&lt;&gt;"&amp;"pCRTA")),COUNTIFS($J22:$AX22,"*RNNR*",$J22:$AX22,"&lt;&gt;"&amp;"*pRNNR*",$J22:$AX22,"&lt;&gt;"&amp;"pB1 RNNR",$J22:$AX22,"&lt;&gt;"&amp;"pB2 RNNR")-SUM(COUNTIFS($J22:$AX22,"*RNNR B1*",$J22:$AX22,"&lt;&gt;"&amp;"pRNNR B1")*0.5,COUNTIFS($J22:$AX22,"*RNNR B2*",$J22:$AX22,"&lt;&gt;"&amp;"pRNNR B2")*0.5,COUNTIFS($J22:$AX22,"*B1 RNNR*",$J22:$AX22,"&lt;&gt;"&amp;"pB1 RNNR")*0.5,COUNTIFS($J22:$AX22,"*B2 RNNR*",$J22:$AX22,"&lt;&gt;"&amp;"pB2 RNNR")*0.5)))</f>
        <v>0</v>
      </c>
      <c r="J22" s="184" t="str">
        <f>IFERROR(IF(VLOOKUP(Fri_W2[[#This Row],[Employee Name]],'Base Schedules'!$A$1:$AW$44,9,FALSE)="","",VLOOKUP(Fri_W2[[#This Row],[Employee Name]],'Base Schedules'!$A$1:$AW$44,9,FALSE)),"")</f>
        <v/>
      </c>
      <c r="K22" s="184" t="str">
        <f>IFERROR(IF(VLOOKUP(Fri_W2[[#This Row],[Employee Name]],'Base Schedules'!$A$1:$AW$44,10,FALSE)="","",VLOOKUP(Fri_W2[[#This Row],[Employee Name]],'Base Schedules'!$A$1:$AW$44,10,FALSE)),"")</f>
        <v/>
      </c>
      <c r="L22" s="184" t="str">
        <f>IFERROR(IF(VLOOKUP(Fri_W2[[#This Row],[Employee Name]],'Base Schedules'!$A$1:$AW$44,11,FALSE)="","",VLOOKUP(Fri_W2[[#This Row],[Employee Name]],'Base Schedules'!$A$1:$AW$44,11,FALSE)),"")</f>
        <v/>
      </c>
      <c r="M22" s="184" t="str">
        <f>IFERROR(IF(VLOOKUP(Fri_W2[[#This Row],[Employee Name]],'Base Schedules'!$A$1:$AW$44,12,FALSE)="","",VLOOKUP(Fri_W2[[#This Row],[Employee Name]],'Base Schedules'!$A$1:$AW$44,12,FALSE)),"")</f>
        <v/>
      </c>
      <c r="N22" s="184" t="str">
        <f>IFERROR(IF(VLOOKUP(Fri_W2[[#This Row],[Employee Name]],'Base Schedules'!$A$1:$AW$44,13,FALSE)="","",VLOOKUP(Fri_W2[[#This Row],[Employee Name]],'Base Schedules'!$A$1:$AW$44,13,FALSE)),"")</f>
        <v>-</v>
      </c>
      <c r="O22" s="184" t="str">
        <f>IFERROR(IF(VLOOKUP(Fri_W2[[#This Row],[Employee Name]],'Base Schedules'!$A$1:$AW$44,14,FALSE)="","",VLOOKUP(Fri_W2[[#This Row],[Employee Name]],'Base Schedules'!$A$1:$AW$44,14,FALSE)),"")</f>
        <v>-</v>
      </c>
      <c r="P22" s="184" t="str">
        <f>IFERROR(IF(VLOOKUP(Fri_W2[[#This Row],[Employee Name]],'Base Schedules'!$A$1:$AW$44,15,FALSE)="","",VLOOKUP(Fri_W2[[#This Row],[Employee Name]],'Base Schedules'!$A$1:$AW$44,15,FALSE)),"")</f>
        <v>-</v>
      </c>
      <c r="Q22" s="184" t="str">
        <f>IFERROR(IF(VLOOKUP(Fri_W2[[#This Row],[Employee Name]],'Base Schedules'!$A$1:$AW$44,16,FALSE)="","",VLOOKUP(Fri_W2[[#This Row],[Employee Name]],'Base Schedules'!$A$1:$AW$44,16,FALSE)),"")</f>
        <v>-</v>
      </c>
      <c r="R22" s="184" t="str">
        <f>IFERROR(IF(VLOOKUP(Fri_W2[[#This Row],[Employee Name]],'Base Schedules'!$A$1:$AW$44,17,FALSE)="","",VLOOKUP(Fri_W2[[#This Row],[Employee Name]],'Base Schedules'!$A$1:$AW$44,17,FALSE)),"")</f>
        <v>-</v>
      </c>
      <c r="S22" s="184" t="str">
        <f>IFERROR(IF(VLOOKUP(Fri_W2[[#This Row],[Employee Name]],'Base Schedules'!$A$1:$AW$44,18,FALSE)="","",VLOOKUP(Fri_W2[[#This Row],[Employee Name]],'Base Schedules'!$A$1:$AW$44,18,FALSE)),"")</f>
        <v>-</v>
      </c>
      <c r="T22" s="184" t="str">
        <f>IFERROR(IF(VLOOKUP(Fri_W2[[#This Row],[Employee Name]],'Base Schedules'!$A$1:$AW$44,19,FALSE)="","",VLOOKUP(Fri_W2[[#This Row],[Employee Name]],'Base Schedules'!$A$1:$AW$44,19,FALSE)),"")</f>
        <v>-</v>
      </c>
      <c r="U22" s="184" t="str">
        <f>IFERROR(IF(VLOOKUP(Fri_W2[[#This Row],[Employee Name]],'Base Schedules'!$A$1:$AW$44,20,FALSE)="","",VLOOKUP(Fri_W2[[#This Row],[Employee Name]],'Base Schedules'!$A$1:$AW$44,20,FALSE)),"")</f>
        <v>-</v>
      </c>
      <c r="V22" s="184" t="str">
        <f>IFERROR(IF(VLOOKUP(Fri_W2[[#This Row],[Employee Name]],'Base Schedules'!$A$1:$AW$44,21,FALSE)="","",VLOOKUP(Fri_W2[[#This Row],[Employee Name]],'Base Schedules'!$A$1:$AW$44,21,FALSE)),"")</f>
        <v>Interview</v>
      </c>
      <c r="W22" s="184" t="str">
        <f>IFERROR(IF(VLOOKUP(Fri_W2[[#This Row],[Employee Name]],'Base Schedules'!$A$1:$AW$44,22,FALSE)="","",VLOOKUP(Fri_W2[[#This Row],[Employee Name]],'Base Schedules'!$A$1:$AW$44,22,FALSE)),"")</f>
        <v>Interview</v>
      </c>
      <c r="X22" s="184" t="str">
        <f>IFERROR(IF(VLOOKUP(Fri_W2[[#This Row],[Employee Name]],'Base Schedules'!$A$1:$AW$44,23,FALSE)="","",VLOOKUP(Fri_W2[[#This Row],[Employee Name]],'Base Schedules'!$A$1:$AW$44,23,FALSE)),"")</f>
        <v>-</v>
      </c>
      <c r="Y22" s="184" t="str">
        <f>IFERROR(IF(VLOOKUP(Fri_W2[[#This Row],[Employee Name]],'Base Schedules'!$A$1:$AW$44,24,FALSE)="","",VLOOKUP(Fri_W2[[#This Row],[Employee Name]],'Base Schedules'!$A$1:$AW$44,24,FALSE)),"")</f>
        <v>-</v>
      </c>
      <c r="Z22" s="184" t="str">
        <f>IFERROR(IF(VLOOKUP(Fri_W2[[#This Row],[Employee Name]],'Base Schedules'!$A$1:$AW$44,25,FALSE)="","",VLOOKUP(Fri_W2[[#This Row],[Employee Name]],'Base Schedules'!$A$1:$AW$44,25,FALSE)),"")</f>
        <v>-</v>
      </c>
      <c r="AA22" s="184" t="str">
        <f>IFERROR(IF(VLOOKUP(Fri_W2[[#This Row],[Employee Name]],'Base Schedules'!$A$1:$AW$44,26,FALSE)="","",VLOOKUP(Fri_W2[[#This Row],[Employee Name]],'Base Schedules'!$A$1:$AW$44,26,FALSE)),"")</f>
        <v>Coaching</v>
      </c>
      <c r="AB22" s="184" t="str">
        <f>IFERROR(IF(VLOOKUP(Fri_W2[[#This Row],[Employee Name]],'Base Schedules'!$A$1:$AW$44,27,FALSE)="","",VLOOKUP(Fri_W2[[#This Row],[Employee Name]],'Base Schedules'!$A$1:$AW$44,27,FALSE)),"")</f>
        <v>Coaching</v>
      </c>
      <c r="AC22" s="184" t="str">
        <f>IFERROR(IF(VLOOKUP(Fri_W2[[#This Row],[Employee Name]],'Base Schedules'!$A$1:$AW$44,28,FALSE)="","",VLOOKUP(Fri_W2[[#This Row],[Employee Name]],'Base Schedules'!$A$1:$AW$44,28,FALSE)),"")</f>
        <v>Coaching</v>
      </c>
      <c r="AD22" s="184" t="str">
        <f>IFERROR(IF(VLOOKUP(Fri_W2[[#This Row],[Employee Name]],'Base Schedules'!$A$1:$AW$44,29,FALSE)="","",VLOOKUP(Fri_W2[[#This Row],[Employee Name]],'Base Schedules'!$A$1:$AW$44,29,FALSE)),"")</f>
        <v>Coaching</v>
      </c>
      <c r="AE22" s="184" t="str">
        <f>IFERROR(IF(VLOOKUP(Fri_W2[[#This Row],[Employee Name]],'Base Schedules'!$A$1:$AW$44,30,FALSE)="","",VLOOKUP(Fri_W2[[#This Row],[Employee Name]],'Base Schedules'!$A$1:$AW$44,30,FALSE)),"")</f>
        <v>-</v>
      </c>
      <c r="AF22" s="184" t="str">
        <f>IFERROR(IF(VLOOKUP(Fri_W2[[#This Row],[Employee Name]],'Base Schedules'!$A$1:$AW$44,31,FALSE)="","",VLOOKUP(Fri_W2[[#This Row],[Employee Name]],'Base Schedules'!$A$1:$AW$44,31,FALSE)),"")</f>
        <v/>
      </c>
      <c r="AG22" s="184" t="str">
        <f>IFERROR(IF(VLOOKUP(Fri_W2[[#This Row],[Employee Name]],'Base Schedules'!$A$1:$AW$44,32,FALSE)="","",VLOOKUP(Fri_W2[[#This Row],[Employee Name]],'Base Schedules'!$A$1:$AW$44,32,FALSE)),"")</f>
        <v/>
      </c>
      <c r="AH22" s="184" t="str">
        <f>IFERROR(IF(VLOOKUP(Fri_W2[[#This Row],[Employee Name]],'Base Schedules'!$A$1:$AW$44,33,FALSE)="","",VLOOKUP(Fri_W2[[#This Row],[Employee Name]],'Base Schedules'!$A$1:$AW$44,33,FALSE)),"")</f>
        <v/>
      </c>
      <c r="AI22" s="184" t="str">
        <f>IFERROR(IF(VLOOKUP(Fri_W2[[#This Row],[Employee Name]],'Base Schedules'!$A$1:$AW$44,34,FALSE)="","",VLOOKUP(Fri_W2[[#This Row],[Employee Name]],'Base Schedules'!$A$1:$AW$44,34,FALSE)),"")</f>
        <v/>
      </c>
      <c r="AJ22" s="184" t="str">
        <f>IFERROR(IF(VLOOKUP(Fri_W2[[#This Row],[Employee Name]],'Base Schedules'!$A$1:$AW$44,35,FALSE)="","",VLOOKUP(Fri_W2[[#This Row],[Employee Name]],'Base Schedules'!$A$1:$AW$44,35,FALSE)),"")</f>
        <v/>
      </c>
      <c r="AK22" s="184" t="str">
        <f>IFERROR(IF(VLOOKUP(Fri_W2[[#This Row],[Employee Name]],'Base Schedules'!$A$1:$AW$44,36,FALSE)="","",VLOOKUP(Fri_W2[[#This Row],[Employee Name]],'Base Schedules'!$A$1:$AW$44,36,FALSE)),"")</f>
        <v/>
      </c>
      <c r="AL22" s="184" t="str">
        <f>IFERROR(IF(VLOOKUP(Fri_W2[[#This Row],[Employee Name]],'Base Schedules'!$A$1:$AW$44,37,FALSE)="","",VLOOKUP(Fri_W2[[#This Row],[Employee Name]],'Base Schedules'!$A$1:$AW$44,37,FALSE)),"")</f>
        <v/>
      </c>
      <c r="AM22" s="184" t="str">
        <f>IFERROR(IF(VLOOKUP(Fri_W2[[#This Row],[Employee Name]],'Base Schedules'!$A$1:$AW$44,38,FALSE)="","",VLOOKUP(Fri_W2[[#This Row],[Employee Name]],'Base Schedules'!$A$1:$AW$44,38,FALSE)),"")</f>
        <v/>
      </c>
      <c r="AN22" s="184" t="str">
        <f>IFERROR(IF(VLOOKUP(Fri_W2[[#This Row],[Employee Name]],'Base Schedules'!$A$1:$AW$44,39,FALSE)="","",VLOOKUP(Fri_W2[[#This Row],[Employee Name]],'Base Schedules'!$A$1:$AW$44,39,FALSE)),"")</f>
        <v/>
      </c>
      <c r="AO22" s="184" t="str">
        <f>IFERROR(IF(VLOOKUP(Fri_W2[[#This Row],[Employee Name]],'Base Schedules'!$A$1:$AW$44,40,FALSE)="","",VLOOKUP(Fri_W2[[#This Row],[Employee Name]],'Base Schedules'!$A$1:$AW$44,40,FALSE)),"")</f>
        <v/>
      </c>
      <c r="AP22" s="184" t="str">
        <f>IFERROR(IF(VLOOKUP(Fri_W2[[#This Row],[Employee Name]],'Base Schedules'!$A$1:$AW$44,41,FALSE)="","",VLOOKUP(Fri_W2[[#This Row],[Employee Name]],'Base Schedules'!$A$1:$AW$44,41,FALSE)),"")</f>
        <v/>
      </c>
      <c r="AQ22" s="184" t="str">
        <f>IFERROR(IF(VLOOKUP(Fri_W2[[#This Row],[Employee Name]],'Base Schedules'!$A$1:$AW$44,42,FALSE)="","",VLOOKUP(Fri_W2[[#This Row],[Employee Name]],'Base Schedules'!$A$1:$AW$44,42,FALSE)),"")</f>
        <v/>
      </c>
      <c r="AR22" s="184" t="str">
        <f>IFERROR(IF(VLOOKUP(Fri_W2[[#This Row],[Employee Name]],'Base Schedules'!$A$1:$AW$44,43,FALSE)="","",VLOOKUP(Fri_W2[[#This Row],[Employee Name]],'Base Schedules'!$A$1:$AW$44,43,FALSE)),"")</f>
        <v/>
      </c>
      <c r="AS22" s="184" t="str">
        <f>IFERROR(IF(VLOOKUP(Fri_W2[[#This Row],[Employee Name]],'Base Schedules'!$A$1:$AW$44,44,FALSE)="","",VLOOKUP(Fri_W2[[#This Row],[Employee Name]],'Base Schedules'!$A$1:$AW$44,44,FALSE)),"")</f>
        <v/>
      </c>
      <c r="AT22" s="184" t="str">
        <f>IFERROR(IF(VLOOKUP(Fri_W2[[#This Row],[Employee Name]],'Base Schedules'!$A$1:$AW$44,45,FALSE)="","",VLOOKUP(Fri_W2[[#This Row],[Employee Name]],'Base Schedules'!$A$1:$AW$44,45,FALSE)),"")</f>
        <v/>
      </c>
      <c r="AU22" s="184" t="str">
        <f>IFERROR(IF(VLOOKUP(Fri_W2[[#This Row],[Employee Name]],'Base Schedules'!$A$1:$AW$44,46,FALSE)="","",VLOOKUP(Fri_W2[[#This Row],[Employee Name]],'Base Schedules'!$A$1:$AW$44,46,FALSE)),"")</f>
        <v/>
      </c>
      <c r="AV22" s="184" t="str">
        <f>IFERROR(IF(VLOOKUP(Fri_W2[[#This Row],[Employee Name]],'Base Schedules'!$A$1:$AW$44,47,FALSE)="","",VLOOKUP(Fri_W2[[#This Row],[Employee Name]],'Base Schedules'!$A$1:$AW$44,47,FALSE)),"")</f>
        <v/>
      </c>
      <c r="AW22" s="184" t="str">
        <f>IFERROR(IF(VLOOKUP(Fri_W2[[#This Row],[Employee Name]],'Base Schedules'!$A$1:$AW$44,48,FALSE)="","",VLOOKUP(Fri_W2[[#This Row],[Employee Name]],'Base Schedules'!$A$1:$AW$44,48,FALSE)),"")</f>
        <v/>
      </c>
      <c r="AX22" s="184" t="str">
        <f>IFERROR(IF(VLOOKUP(Fri_W2[[#This Row],[Employee Name]],'Base Schedules'!$A$1:$AW$44,49,FALSE)="","",VLOOKUP(Fri_W2[[#This Row],[Employee Name]],'Base Schedules'!$A$1:$AW$44,49,FALSE)),"")</f>
        <v/>
      </c>
      <c r="AY22" s="161" t="str">
        <f t="shared" si="2"/>
        <v>Martin, Gary</v>
      </c>
    </row>
    <row r="23" spans="1:51" s="44" customFormat="1" ht="11.25" customHeight="1" x14ac:dyDescent="0.2">
      <c r="A23" s="39" t="str">
        <f>IF(B23="","",INDEX(TeamList[],MATCH($B23,TeamList[[Employee Name]:[Employee Name]],0),MATCH("Manager",TeamList[#Headers],0)))</f>
        <v>Paulson, Matthew</v>
      </c>
      <c r="B23" s="201" t="s">
        <v>31</v>
      </c>
      <c r="C23" s="257" t="str">
        <f>_xlfn.IFNA(VLOOKUP(Fri_W2[[#This Row],[Employee Name]],'Base Schedules'!A:B,2,FALSE),"")</f>
        <v>Supervisor</v>
      </c>
      <c r="D23" s="274">
        <f>_xlfn.IFNA(VLOOKUP(Fri_W2[[#This Row],[Employee Name]],'Base Schedules'!A:C,3,FALSE),"")</f>
        <v>730</v>
      </c>
      <c r="E23" s="274">
        <f>_xlfn.IFNA(VLOOKUP(Fri_W2[[#This Row],[Employee Name]],'Base Schedules'!A:D,4,FALSE),"")</f>
        <v>1630</v>
      </c>
      <c r="F23" s="142">
        <f>IF(Fri_W2[[#This Row],[Employee Name]]="","",IF(Fri_W2[[#This Row],[Dept]]="Supervisor",COUNTIFS($J23:$AX23,"*HL*",$J23:$AX23,"&lt;&gt;"&amp;"pHL"),COUNTIFS($J23:$AX23,"*HL*",$J23:$AX23,"&lt;&gt;"&amp;"*pHL*",$J23:$AX23,"&lt;&gt;"&amp;"pB1 HL",$J23:$AX23,"&lt;&gt;"&amp;"pB2 HL")-SUM(COUNTIFS($J23:$AX23,"*HL B1*",$J23:$AX23,"&lt;&gt;"&amp;"pHL B1")*0.5,COUNTIFS($J23:$AX23,"*HL B2*",$J23:$AX23,"&lt;&gt;"&amp;"pHL B2")*0.5,COUNTIFS($J23:$AX23,"*B1 HL*",$J23:$AX23,"&lt;&gt;"&amp;"pB1 HL")*0.5,COUNTIFS($J23:$AX23,"*B2 HL*",$J23:$AX23,"&lt;&gt;"&amp;"pB2 HL")*0.5)))</f>
        <v>0</v>
      </c>
      <c r="G23" s="142">
        <f t="shared" si="0"/>
        <v>4</v>
      </c>
      <c r="H23" s="142">
        <f t="shared" si="1"/>
        <v>0</v>
      </c>
      <c r="I23" s="142">
        <f>IF(Fri_W2[[#This Row],[Employee Name]]="","",IF(Fri_W2[[#This Row],[Dept]]="Supervisor",SUM(COUNTIFS($J23:$AX23,"RTA*",$J23:$AX23,"&lt;&gt;"&amp;"pRTA"),COUNTIFS($J23:$AX23,"*CRTA*",$J23:$AX23,"&lt;&gt;"&amp;"pCRTA")),COUNTIFS($J23:$AX23,"*RNNR*",$J23:$AX23,"&lt;&gt;"&amp;"*pRNNR*",$J23:$AX23,"&lt;&gt;"&amp;"pB1 RNNR",$J23:$AX23,"&lt;&gt;"&amp;"pB2 RNNR")-SUM(COUNTIFS($J23:$AX23,"*RNNR B1*",$J23:$AX23,"&lt;&gt;"&amp;"pRNNR B1")*0.5,COUNTIFS($J23:$AX23,"*RNNR B2*",$J23:$AX23,"&lt;&gt;"&amp;"pRNNR B2")*0.5,COUNTIFS($J23:$AX23,"*B1 RNNR*",$J23:$AX23,"&lt;&gt;"&amp;"pB1 RNNR")*0.5,COUNTIFS($J23:$AX23,"*B2 RNNR*",$J23:$AX23,"&lt;&gt;"&amp;"pB2 RNNR")*0.5)))</f>
        <v>0</v>
      </c>
      <c r="J23" s="184" t="str">
        <f>IFERROR(IF(VLOOKUP(Fri_W2[[#This Row],[Employee Name]],'Base Schedules'!$A$1:$AW$44,9,FALSE)="","",VLOOKUP(Fri_W2[[#This Row],[Employee Name]],'Base Schedules'!$A$1:$AW$44,9,FALSE)),"")</f>
        <v/>
      </c>
      <c r="K23" s="184" t="str">
        <f>IFERROR(IF(VLOOKUP(Fri_W2[[#This Row],[Employee Name]],'Base Schedules'!$A$1:$AW$44,10,FALSE)="","",VLOOKUP(Fri_W2[[#This Row],[Employee Name]],'Base Schedules'!$A$1:$AW$44,10,FALSE)),"")</f>
        <v/>
      </c>
      <c r="L23" s="184" t="str">
        <f>IFERROR(IF(VLOOKUP(Fri_W2[[#This Row],[Employee Name]],'Base Schedules'!$A$1:$AW$44,11,FALSE)="","",VLOOKUP(Fri_W2[[#This Row],[Employee Name]],'Base Schedules'!$A$1:$AW$44,11,FALSE)),"")</f>
        <v/>
      </c>
      <c r="M23" s="184" t="str">
        <f>IFERROR(IF(VLOOKUP(Fri_W2[[#This Row],[Employee Name]],'Base Schedules'!$A$1:$AW$44,12,FALSE)="","",VLOOKUP(Fri_W2[[#This Row],[Employee Name]],'Base Schedules'!$A$1:$AW$44,12,FALSE)),"")</f>
        <v/>
      </c>
      <c r="N23" s="184" t="str">
        <f>IFERROR(IF(VLOOKUP(Fri_W2[[#This Row],[Employee Name]],'Base Schedules'!$A$1:$AW$44,13,FALSE)="","",VLOOKUP(Fri_W2[[#This Row],[Employee Name]],'Base Schedules'!$A$1:$AW$44,13,FALSE)),"")</f>
        <v/>
      </c>
      <c r="O23" s="184" t="str">
        <f>IFERROR(IF(VLOOKUP(Fri_W2[[#This Row],[Employee Name]],'Base Schedules'!$A$1:$AW$44,14,FALSE)="","",VLOOKUP(Fri_W2[[#This Row],[Employee Name]],'Base Schedules'!$A$1:$AW$44,14,FALSE)),"")</f>
        <v>-</v>
      </c>
      <c r="P23" s="184" t="str">
        <f>IFERROR(IF(VLOOKUP(Fri_W2[[#This Row],[Employee Name]],'Base Schedules'!$A$1:$AW$44,15,FALSE)="","",VLOOKUP(Fri_W2[[#This Row],[Employee Name]],'Base Schedules'!$A$1:$AW$44,15,FALSE)),"")</f>
        <v>-</v>
      </c>
      <c r="Q23" s="184" t="str">
        <f>IFERROR(IF(VLOOKUP(Fri_W2[[#This Row],[Employee Name]],'Base Schedules'!$A$1:$AW$44,16,FALSE)="","",VLOOKUP(Fri_W2[[#This Row],[Employee Name]],'Base Schedules'!$A$1:$AW$44,16,FALSE)),"")</f>
        <v>-</v>
      </c>
      <c r="R23" s="184" t="str">
        <f>IFERROR(IF(VLOOKUP(Fri_W2[[#This Row],[Employee Name]],'Base Schedules'!$A$1:$AW$44,17,FALSE)="","",VLOOKUP(Fri_W2[[#This Row],[Employee Name]],'Base Schedules'!$A$1:$AW$44,17,FALSE)),"")</f>
        <v>-</v>
      </c>
      <c r="S23" s="184" t="str">
        <f>IFERROR(IF(VLOOKUP(Fri_W2[[#This Row],[Employee Name]],'Base Schedules'!$A$1:$AW$44,18,FALSE)="","",VLOOKUP(Fri_W2[[#This Row],[Employee Name]],'Base Schedules'!$A$1:$AW$44,18,FALSE)),"")</f>
        <v>-</v>
      </c>
      <c r="T23" s="184" t="str">
        <f>IFERROR(IF(VLOOKUP(Fri_W2[[#This Row],[Employee Name]],'Base Schedules'!$A$1:$AW$44,19,FALSE)="","",VLOOKUP(Fri_W2[[#This Row],[Employee Name]],'Base Schedules'!$A$1:$AW$44,19,FALSE)),"")</f>
        <v>-</v>
      </c>
      <c r="U23" s="184" t="str">
        <f>IFERROR(IF(VLOOKUP(Fri_W2[[#This Row],[Employee Name]],'Base Schedules'!$A$1:$AW$44,20,FALSE)="","",VLOOKUP(Fri_W2[[#This Row],[Employee Name]],'Base Schedules'!$A$1:$AW$44,20,FALSE)),"")</f>
        <v>-</v>
      </c>
      <c r="V23" s="184" t="str">
        <f>IFERROR(IF(VLOOKUP(Fri_W2[[#This Row],[Employee Name]],'Base Schedules'!$A$1:$AW$44,21,FALSE)="","",VLOOKUP(Fri_W2[[#This Row],[Employee Name]],'Base Schedules'!$A$1:$AW$44,21,FALSE)),"")</f>
        <v>Interview</v>
      </c>
      <c r="W23" s="184" t="str">
        <f>IFERROR(IF(VLOOKUP(Fri_W2[[#This Row],[Employee Name]],'Base Schedules'!$A$1:$AW$44,22,FALSE)="","",VLOOKUP(Fri_W2[[#This Row],[Employee Name]],'Base Schedules'!$A$1:$AW$44,22,FALSE)),"")</f>
        <v>Interview</v>
      </c>
      <c r="X23" s="184" t="str">
        <f>IFERROR(IF(VLOOKUP(Fri_W2[[#This Row],[Employee Name]],'Base Schedules'!$A$1:$AW$44,23,FALSE)="","",VLOOKUP(Fri_W2[[#This Row],[Employee Name]],'Base Schedules'!$A$1:$AW$44,23,FALSE)),"")</f>
        <v>-</v>
      </c>
      <c r="Y23" s="184" t="str">
        <f>IFERROR(IF(VLOOKUP(Fri_W2[[#This Row],[Employee Name]],'Base Schedules'!$A$1:$AW$44,24,FALSE)="","",VLOOKUP(Fri_W2[[#This Row],[Employee Name]],'Base Schedules'!$A$1:$AW$44,24,FALSE)),"")</f>
        <v>-</v>
      </c>
      <c r="Z23" s="184" t="str">
        <f>IFERROR(IF(VLOOKUP(Fri_W2[[#This Row],[Employee Name]],'Base Schedules'!$A$1:$AW$44,25,FALSE)="","",VLOOKUP(Fri_W2[[#This Row],[Employee Name]],'Base Schedules'!$A$1:$AW$44,25,FALSE)),"")</f>
        <v>-</v>
      </c>
      <c r="AA23" s="184" t="str">
        <f>IFERROR(IF(VLOOKUP(Fri_W2[[#This Row],[Employee Name]],'Base Schedules'!$A$1:$AW$44,26,FALSE)="","",VLOOKUP(Fri_W2[[#This Row],[Employee Name]],'Base Schedules'!$A$1:$AW$44,26,FALSE)),"")</f>
        <v>-</v>
      </c>
      <c r="AB23" s="184" t="str">
        <f>IFERROR(IF(VLOOKUP(Fri_W2[[#This Row],[Employee Name]],'Base Schedules'!$A$1:$AW$44,27,FALSE)="","",VLOOKUP(Fri_W2[[#This Row],[Employee Name]],'Base Schedules'!$A$1:$AW$44,27,FALSE)),"")</f>
        <v>Coaching</v>
      </c>
      <c r="AC23" s="184" t="str">
        <f>IFERROR(IF(VLOOKUP(Fri_W2[[#This Row],[Employee Name]],'Base Schedules'!$A$1:$AW$44,28,FALSE)="","",VLOOKUP(Fri_W2[[#This Row],[Employee Name]],'Base Schedules'!$A$1:$AW$44,28,FALSE)),"")</f>
        <v>Coaching</v>
      </c>
      <c r="AD23" s="184" t="str">
        <f>IFERROR(IF(VLOOKUP(Fri_W2[[#This Row],[Employee Name]],'Base Schedules'!$A$1:$AW$44,29,FALSE)="","",VLOOKUP(Fri_W2[[#This Row],[Employee Name]],'Base Schedules'!$A$1:$AW$44,29,FALSE)),"")</f>
        <v>Coaching</v>
      </c>
      <c r="AE23" s="184" t="str">
        <f>IFERROR(IF(VLOOKUP(Fri_W2[[#This Row],[Employee Name]],'Base Schedules'!$A$1:$AW$44,30,FALSE)="","",VLOOKUP(Fri_W2[[#This Row],[Employee Name]],'Base Schedules'!$A$1:$AW$44,30,FALSE)),"")</f>
        <v>Coaching</v>
      </c>
      <c r="AF23" s="184" t="str">
        <f>IFERROR(IF(VLOOKUP(Fri_W2[[#This Row],[Employee Name]],'Base Schedules'!$A$1:$AW$44,31,FALSE)="","",VLOOKUP(Fri_W2[[#This Row],[Employee Name]],'Base Schedules'!$A$1:$AW$44,31,FALSE)),"")</f>
        <v>-</v>
      </c>
      <c r="AG23" s="184" t="str">
        <f>IFERROR(IF(VLOOKUP(Fri_W2[[#This Row],[Employee Name]],'Base Schedules'!$A$1:$AW$44,32,FALSE)="","",VLOOKUP(Fri_W2[[#This Row],[Employee Name]],'Base Schedules'!$A$1:$AW$44,32,FALSE)),"")</f>
        <v/>
      </c>
      <c r="AH23" s="184" t="str">
        <f>IFERROR(IF(VLOOKUP(Fri_W2[[#This Row],[Employee Name]],'Base Schedules'!$A$1:$AW$44,33,FALSE)="","",VLOOKUP(Fri_W2[[#This Row],[Employee Name]],'Base Schedules'!$A$1:$AW$44,33,FALSE)),"")</f>
        <v/>
      </c>
      <c r="AI23" s="184" t="str">
        <f>IFERROR(IF(VLOOKUP(Fri_W2[[#This Row],[Employee Name]],'Base Schedules'!$A$1:$AW$44,34,FALSE)="","",VLOOKUP(Fri_W2[[#This Row],[Employee Name]],'Base Schedules'!$A$1:$AW$44,34,FALSE)),"")</f>
        <v/>
      </c>
      <c r="AJ23" s="184" t="str">
        <f>IFERROR(IF(VLOOKUP(Fri_W2[[#This Row],[Employee Name]],'Base Schedules'!$A$1:$AW$44,35,FALSE)="","",VLOOKUP(Fri_W2[[#This Row],[Employee Name]],'Base Schedules'!$A$1:$AW$44,35,FALSE)),"")</f>
        <v/>
      </c>
      <c r="AK23" s="184" t="str">
        <f>IFERROR(IF(VLOOKUP(Fri_W2[[#This Row],[Employee Name]],'Base Schedules'!$A$1:$AW$44,36,FALSE)="","",VLOOKUP(Fri_W2[[#This Row],[Employee Name]],'Base Schedules'!$A$1:$AW$44,36,FALSE)),"")</f>
        <v/>
      </c>
      <c r="AL23" s="184" t="str">
        <f>IFERROR(IF(VLOOKUP(Fri_W2[[#This Row],[Employee Name]],'Base Schedules'!$A$1:$AW$44,37,FALSE)="","",VLOOKUP(Fri_W2[[#This Row],[Employee Name]],'Base Schedules'!$A$1:$AW$44,37,FALSE)),"")</f>
        <v/>
      </c>
      <c r="AM23" s="184" t="str">
        <f>IFERROR(IF(VLOOKUP(Fri_W2[[#This Row],[Employee Name]],'Base Schedules'!$A$1:$AW$44,38,FALSE)="","",VLOOKUP(Fri_W2[[#This Row],[Employee Name]],'Base Schedules'!$A$1:$AW$44,38,FALSE)),"")</f>
        <v/>
      </c>
      <c r="AN23" s="184" t="str">
        <f>IFERROR(IF(VLOOKUP(Fri_W2[[#This Row],[Employee Name]],'Base Schedules'!$A$1:$AW$44,39,FALSE)="","",VLOOKUP(Fri_W2[[#This Row],[Employee Name]],'Base Schedules'!$A$1:$AW$44,39,FALSE)),"")</f>
        <v/>
      </c>
      <c r="AO23" s="184" t="str">
        <f>IFERROR(IF(VLOOKUP(Fri_W2[[#This Row],[Employee Name]],'Base Schedules'!$A$1:$AW$44,40,FALSE)="","",VLOOKUP(Fri_W2[[#This Row],[Employee Name]],'Base Schedules'!$A$1:$AW$44,40,FALSE)),"")</f>
        <v/>
      </c>
      <c r="AP23" s="184" t="str">
        <f>IFERROR(IF(VLOOKUP(Fri_W2[[#This Row],[Employee Name]],'Base Schedules'!$A$1:$AW$44,41,FALSE)="","",VLOOKUP(Fri_W2[[#This Row],[Employee Name]],'Base Schedules'!$A$1:$AW$44,41,FALSE)),"")</f>
        <v/>
      </c>
      <c r="AQ23" s="184" t="str">
        <f>IFERROR(IF(VLOOKUP(Fri_W2[[#This Row],[Employee Name]],'Base Schedules'!$A$1:$AW$44,42,FALSE)="","",VLOOKUP(Fri_W2[[#This Row],[Employee Name]],'Base Schedules'!$A$1:$AW$44,42,FALSE)),"")</f>
        <v/>
      </c>
      <c r="AR23" s="184" t="str">
        <f>IFERROR(IF(VLOOKUP(Fri_W2[[#This Row],[Employee Name]],'Base Schedules'!$A$1:$AW$44,43,FALSE)="","",VLOOKUP(Fri_W2[[#This Row],[Employee Name]],'Base Schedules'!$A$1:$AW$44,43,FALSE)),"")</f>
        <v/>
      </c>
      <c r="AS23" s="184" t="str">
        <f>IFERROR(IF(VLOOKUP(Fri_W2[[#This Row],[Employee Name]],'Base Schedules'!$A$1:$AW$44,44,FALSE)="","",VLOOKUP(Fri_W2[[#This Row],[Employee Name]],'Base Schedules'!$A$1:$AW$44,44,FALSE)),"")</f>
        <v/>
      </c>
      <c r="AT23" s="184" t="str">
        <f>IFERROR(IF(VLOOKUP(Fri_W2[[#This Row],[Employee Name]],'Base Schedules'!$A$1:$AW$44,45,FALSE)="","",VLOOKUP(Fri_W2[[#This Row],[Employee Name]],'Base Schedules'!$A$1:$AW$44,45,FALSE)),"")</f>
        <v/>
      </c>
      <c r="AU23" s="184" t="str">
        <f>IFERROR(IF(VLOOKUP(Fri_W2[[#This Row],[Employee Name]],'Base Schedules'!$A$1:$AW$44,46,FALSE)="","",VLOOKUP(Fri_W2[[#This Row],[Employee Name]],'Base Schedules'!$A$1:$AW$44,46,FALSE)),"")</f>
        <v/>
      </c>
      <c r="AV23" s="184" t="str">
        <f>IFERROR(IF(VLOOKUP(Fri_W2[[#This Row],[Employee Name]],'Base Schedules'!$A$1:$AW$44,47,FALSE)="","",VLOOKUP(Fri_W2[[#This Row],[Employee Name]],'Base Schedules'!$A$1:$AW$44,47,FALSE)),"")</f>
        <v/>
      </c>
      <c r="AW23" s="184" t="str">
        <f>IFERROR(IF(VLOOKUP(Fri_W2[[#This Row],[Employee Name]],'Base Schedules'!$A$1:$AW$44,48,FALSE)="","",VLOOKUP(Fri_W2[[#This Row],[Employee Name]],'Base Schedules'!$A$1:$AW$44,48,FALSE)),"")</f>
        <v/>
      </c>
      <c r="AX23" s="184" t="str">
        <f>IFERROR(IF(VLOOKUP(Fri_W2[[#This Row],[Employee Name]],'Base Schedules'!$A$1:$AW$44,49,FALSE)="","",VLOOKUP(Fri_W2[[#This Row],[Employee Name]],'Base Schedules'!$A$1:$AW$44,49,FALSE)),"")</f>
        <v/>
      </c>
      <c r="AY23" s="159" t="str">
        <f t="shared" si="2"/>
        <v>Garcia, Valentin</v>
      </c>
    </row>
    <row r="24" spans="1:51" s="44" customFormat="1" ht="11.25" customHeight="1" x14ac:dyDescent="0.2">
      <c r="A24" s="39" t="str">
        <f>IF(B24="","",INDEX(TeamList[],MATCH($B24,TeamList[[Employee Name]:[Employee Name]],0),MATCH("Manager",TeamList[#Headers],0)))</f>
        <v>Paulson, Matthew</v>
      </c>
      <c r="B24" s="201" t="s">
        <v>33</v>
      </c>
      <c r="C24" s="257" t="str">
        <f>_xlfn.IFNA(VLOOKUP(Fri_W2[[#This Row],[Employee Name]],'Base Schedules'!A:B,2,FALSE),"")</f>
        <v>Supervisor</v>
      </c>
      <c r="D24" s="274">
        <f>_xlfn.IFNA(VLOOKUP(Fri_W2[[#This Row],[Employee Name]],'Base Schedules'!A:C,3,FALSE),"")</f>
        <v>730</v>
      </c>
      <c r="E24" s="274">
        <f>_xlfn.IFNA(VLOOKUP(Fri_W2[[#This Row],[Employee Name]],'Base Schedules'!A:D,4,FALSE),"")</f>
        <v>1630</v>
      </c>
      <c r="F24" s="142">
        <f>IF(Fri_W2[[#This Row],[Employee Name]]="","",IF(Fri_W2[[#This Row],[Dept]]="Supervisor",COUNTIFS($J24:$AX24,"*HL*",$J24:$AX24,"&lt;&gt;"&amp;"pHL"),COUNTIFS($J24:$AX24,"*HL*",$J24:$AX24,"&lt;&gt;"&amp;"*pHL*",$J24:$AX24,"&lt;&gt;"&amp;"pB1 HL",$J24:$AX24,"&lt;&gt;"&amp;"pB2 HL")-SUM(COUNTIFS($J24:$AX24,"*HL B1*",$J24:$AX24,"&lt;&gt;"&amp;"pHL B1")*0.5,COUNTIFS($J24:$AX24,"*HL B2*",$J24:$AX24,"&lt;&gt;"&amp;"pHL B2")*0.5,COUNTIFS($J24:$AX24,"*B1 HL*",$J24:$AX24,"&lt;&gt;"&amp;"pB1 HL")*0.5,COUNTIFS($J24:$AX24,"*B2 HL*",$J24:$AX24,"&lt;&gt;"&amp;"pB2 HL")*0.5)))</f>
        <v>0</v>
      </c>
      <c r="G24" s="142">
        <f t="shared" si="0"/>
        <v>4</v>
      </c>
      <c r="H24" s="142">
        <f t="shared" si="1"/>
        <v>0</v>
      </c>
      <c r="I24" s="142">
        <f>IF(Fri_W2[[#This Row],[Employee Name]]="","",IF(Fri_W2[[#This Row],[Dept]]="Supervisor",SUM(COUNTIFS($J24:$AX24,"RTA*",$J24:$AX24,"&lt;&gt;"&amp;"pRTA"),COUNTIFS($J24:$AX24,"*CRTA*",$J24:$AX24,"&lt;&gt;"&amp;"pCRTA")),COUNTIFS($J24:$AX24,"*RNNR*",$J24:$AX24,"&lt;&gt;"&amp;"*pRNNR*",$J24:$AX24,"&lt;&gt;"&amp;"pB1 RNNR",$J24:$AX24,"&lt;&gt;"&amp;"pB2 RNNR")-SUM(COUNTIFS($J24:$AX24,"*RNNR B1*",$J24:$AX24,"&lt;&gt;"&amp;"pRNNR B1")*0.5,COUNTIFS($J24:$AX24,"*RNNR B2*",$J24:$AX24,"&lt;&gt;"&amp;"pRNNR B2")*0.5,COUNTIFS($J24:$AX24,"*B1 RNNR*",$J24:$AX24,"&lt;&gt;"&amp;"pB1 RNNR")*0.5,COUNTIFS($J24:$AX24,"*B2 RNNR*",$J24:$AX24,"&lt;&gt;"&amp;"pB2 RNNR")*0.5)))</f>
        <v>0</v>
      </c>
      <c r="J24" s="184" t="str">
        <f>IFERROR(IF(VLOOKUP(Fri_W2[[#This Row],[Employee Name]],'Base Schedules'!$A$1:$AW$44,9,FALSE)="","",VLOOKUP(Fri_W2[[#This Row],[Employee Name]],'Base Schedules'!$A$1:$AW$44,9,FALSE)),"")</f>
        <v/>
      </c>
      <c r="K24" s="184" t="str">
        <f>IFERROR(IF(VLOOKUP(Fri_W2[[#This Row],[Employee Name]],'Base Schedules'!$A$1:$AW$44,10,FALSE)="","",VLOOKUP(Fri_W2[[#This Row],[Employee Name]],'Base Schedules'!$A$1:$AW$44,10,FALSE)),"")</f>
        <v/>
      </c>
      <c r="L24" s="184" t="str">
        <f>IFERROR(IF(VLOOKUP(Fri_W2[[#This Row],[Employee Name]],'Base Schedules'!$A$1:$AW$44,11,FALSE)="","",VLOOKUP(Fri_W2[[#This Row],[Employee Name]],'Base Schedules'!$A$1:$AW$44,11,FALSE)),"")</f>
        <v/>
      </c>
      <c r="M24" s="184" t="str">
        <f>IFERROR(IF(VLOOKUP(Fri_W2[[#This Row],[Employee Name]],'Base Schedules'!$A$1:$AW$44,12,FALSE)="","",VLOOKUP(Fri_W2[[#This Row],[Employee Name]],'Base Schedules'!$A$1:$AW$44,12,FALSE)),"")</f>
        <v/>
      </c>
      <c r="N24" s="184" t="str">
        <f>IFERROR(IF(VLOOKUP(Fri_W2[[#This Row],[Employee Name]],'Base Schedules'!$A$1:$AW$44,13,FALSE)="","",VLOOKUP(Fri_W2[[#This Row],[Employee Name]],'Base Schedules'!$A$1:$AW$44,13,FALSE)),"")</f>
        <v/>
      </c>
      <c r="O24" s="184" t="str">
        <f>IFERROR(IF(VLOOKUP(Fri_W2[[#This Row],[Employee Name]],'Base Schedules'!$A$1:$AW$44,14,FALSE)="","",VLOOKUP(Fri_W2[[#This Row],[Employee Name]],'Base Schedules'!$A$1:$AW$44,14,FALSE)),"")</f>
        <v>-</v>
      </c>
      <c r="P24" s="184" t="str">
        <f>IFERROR(IF(VLOOKUP(Fri_W2[[#This Row],[Employee Name]],'Base Schedules'!$A$1:$AW$44,15,FALSE)="","",VLOOKUP(Fri_W2[[#This Row],[Employee Name]],'Base Schedules'!$A$1:$AW$44,15,FALSE)),"")</f>
        <v>-</v>
      </c>
      <c r="Q24" s="184" t="str">
        <f>IFERROR(IF(VLOOKUP(Fri_W2[[#This Row],[Employee Name]],'Base Schedules'!$A$1:$AW$44,16,FALSE)="","",VLOOKUP(Fri_W2[[#This Row],[Employee Name]],'Base Schedules'!$A$1:$AW$44,16,FALSE)),"")</f>
        <v>-</v>
      </c>
      <c r="R24" s="184" t="str">
        <f>IFERROR(IF(VLOOKUP(Fri_W2[[#This Row],[Employee Name]],'Base Schedules'!$A$1:$AW$44,17,FALSE)="","",VLOOKUP(Fri_W2[[#This Row],[Employee Name]],'Base Schedules'!$A$1:$AW$44,17,FALSE)),"")</f>
        <v>-</v>
      </c>
      <c r="S24" s="184" t="str">
        <f>IFERROR(IF(VLOOKUP(Fri_W2[[#This Row],[Employee Name]],'Base Schedules'!$A$1:$AW$44,18,FALSE)="","",VLOOKUP(Fri_W2[[#This Row],[Employee Name]],'Base Schedules'!$A$1:$AW$44,18,FALSE)),"")</f>
        <v>-</v>
      </c>
      <c r="T24" s="184" t="str">
        <f>IFERROR(IF(VLOOKUP(Fri_W2[[#This Row],[Employee Name]],'Base Schedules'!$A$1:$AW$44,19,FALSE)="","",VLOOKUP(Fri_W2[[#This Row],[Employee Name]],'Base Schedules'!$A$1:$AW$44,19,FALSE)),"")</f>
        <v>-</v>
      </c>
      <c r="U24" s="184" t="str">
        <f>IFERROR(IF(VLOOKUP(Fri_W2[[#This Row],[Employee Name]],'Base Schedules'!$A$1:$AW$44,20,FALSE)="","",VLOOKUP(Fri_W2[[#This Row],[Employee Name]],'Base Schedules'!$A$1:$AW$44,20,FALSE)),"")</f>
        <v>-</v>
      </c>
      <c r="V24" s="184" t="str">
        <f>IFERROR(IF(VLOOKUP(Fri_W2[[#This Row],[Employee Name]],'Base Schedules'!$A$1:$AW$44,21,FALSE)="","",VLOOKUP(Fri_W2[[#This Row],[Employee Name]],'Base Schedules'!$A$1:$AW$44,21,FALSE)),"")</f>
        <v>-</v>
      </c>
      <c r="W24" s="184" t="str">
        <f>IFERROR(IF(VLOOKUP(Fri_W2[[#This Row],[Employee Name]],'Base Schedules'!$A$1:$AW$44,22,FALSE)="","",VLOOKUP(Fri_W2[[#This Row],[Employee Name]],'Base Schedules'!$A$1:$AW$44,22,FALSE)),"")</f>
        <v>-</v>
      </c>
      <c r="X24" s="184" t="str">
        <f>IFERROR(IF(VLOOKUP(Fri_W2[[#This Row],[Employee Name]],'Base Schedules'!$A$1:$AW$44,23,FALSE)="","",VLOOKUP(Fri_W2[[#This Row],[Employee Name]],'Base Schedules'!$A$1:$AW$44,23,FALSE)),"")</f>
        <v>Interview</v>
      </c>
      <c r="Y24" s="184" t="str">
        <f>IFERROR(IF(VLOOKUP(Fri_W2[[#This Row],[Employee Name]],'Base Schedules'!$A$1:$AW$44,24,FALSE)="","",VLOOKUP(Fri_W2[[#This Row],[Employee Name]],'Base Schedules'!$A$1:$AW$44,24,FALSE)),"")</f>
        <v>Interview</v>
      </c>
      <c r="Z24" s="184" t="str">
        <f>IFERROR(IF(VLOOKUP(Fri_W2[[#This Row],[Employee Name]],'Base Schedules'!$A$1:$AW$44,25,FALSE)="","",VLOOKUP(Fri_W2[[#This Row],[Employee Name]],'Base Schedules'!$A$1:$AW$44,25,FALSE)),"")</f>
        <v>-</v>
      </c>
      <c r="AA24" s="184" t="str">
        <f>IFERROR(IF(VLOOKUP(Fri_W2[[#This Row],[Employee Name]],'Base Schedules'!$A$1:$AW$44,26,FALSE)="","",VLOOKUP(Fri_W2[[#This Row],[Employee Name]],'Base Schedules'!$A$1:$AW$44,26,FALSE)),"")</f>
        <v>-</v>
      </c>
      <c r="AB24" s="184" t="str">
        <f>IFERROR(IF(VLOOKUP(Fri_W2[[#This Row],[Employee Name]],'Base Schedules'!$A$1:$AW$44,27,FALSE)="","",VLOOKUP(Fri_W2[[#This Row],[Employee Name]],'Base Schedules'!$A$1:$AW$44,27,FALSE)),"")</f>
        <v>-</v>
      </c>
      <c r="AC24" s="184" t="str">
        <f>IFERROR(IF(VLOOKUP(Fri_W2[[#This Row],[Employee Name]],'Base Schedules'!$A$1:$AW$44,28,FALSE)="","",VLOOKUP(Fri_W2[[#This Row],[Employee Name]],'Base Schedules'!$A$1:$AW$44,28,FALSE)),"")</f>
        <v>Coaching</v>
      </c>
      <c r="AD24" s="184" t="str">
        <f>IFERROR(IF(VLOOKUP(Fri_W2[[#This Row],[Employee Name]],'Base Schedules'!$A$1:$AW$44,29,FALSE)="","",VLOOKUP(Fri_W2[[#This Row],[Employee Name]],'Base Schedules'!$A$1:$AW$44,29,FALSE)),"")</f>
        <v>Coaching</v>
      </c>
      <c r="AE24" s="184" t="str">
        <f>IFERROR(IF(VLOOKUP(Fri_W2[[#This Row],[Employee Name]],'Base Schedules'!$A$1:$AW$44,30,FALSE)="","",VLOOKUP(Fri_W2[[#This Row],[Employee Name]],'Base Schedules'!$A$1:$AW$44,30,FALSE)),"")</f>
        <v>Coaching</v>
      </c>
      <c r="AF24" s="184" t="str">
        <f>IFERROR(IF(VLOOKUP(Fri_W2[[#This Row],[Employee Name]],'Base Schedules'!$A$1:$AW$44,31,FALSE)="","",VLOOKUP(Fri_W2[[#This Row],[Employee Name]],'Base Schedules'!$A$1:$AW$44,31,FALSE)),"")</f>
        <v>Coaching</v>
      </c>
      <c r="AG24" s="184" t="str">
        <f>IFERROR(IF(VLOOKUP(Fri_W2[[#This Row],[Employee Name]],'Base Schedules'!$A$1:$AW$44,32,FALSE)="","",VLOOKUP(Fri_W2[[#This Row],[Employee Name]],'Base Schedules'!$A$1:$AW$44,32,FALSE)),"")</f>
        <v/>
      </c>
      <c r="AH24" s="184" t="str">
        <f>IFERROR(IF(VLOOKUP(Fri_W2[[#This Row],[Employee Name]],'Base Schedules'!$A$1:$AW$44,33,FALSE)="","",VLOOKUP(Fri_W2[[#This Row],[Employee Name]],'Base Schedules'!$A$1:$AW$44,33,FALSE)),"")</f>
        <v/>
      </c>
      <c r="AI24" s="184" t="str">
        <f>IFERROR(IF(VLOOKUP(Fri_W2[[#This Row],[Employee Name]],'Base Schedules'!$A$1:$AW$44,34,FALSE)="","",VLOOKUP(Fri_W2[[#This Row],[Employee Name]],'Base Schedules'!$A$1:$AW$44,34,FALSE)),"")</f>
        <v/>
      </c>
      <c r="AJ24" s="184" t="str">
        <f>IFERROR(IF(VLOOKUP(Fri_W2[[#This Row],[Employee Name]],'Base Schedules'!$A$1:$AW$44,35,FALSE)="","",VLOOKUP(Fri_W2[[#This Row],[Employee Name]],'Base Schedules'!$A$1:$AW$44,35,FALSE)),"")</f>
        <v/>
      </c>
      <c r="AK24" s="184" t="str">
        <f>IFERROR(IF(VLOOKUP(Fri_W2[[#This Row],[Employee Name]],'Base Schedules'!$A$1:$AW$44,36,FALSE)="","",VLOOKUP(Fri_W2[[#This Row],[Employee Name]],'Base Schedules'!$A$1:$AW$44,36,FALSE)),"")</f>
        <v/>
      </c>
      <c r="AL24" s="184" t="str">
        <f>IFERROR(IF(VLOOKUP(Fri_W2[[#This Row],[Employee Name]],'Base Schedules'!$A$1:$AW$44,37,FALSE)="","",VLOOKUP(Fri_W2[[#This Row],[Employee Name]],'Base Schedules'!$A$1:$AW$44,37,FALSE)),"")</f>
        <v/>
      </c>
      <c r="AM24" s="184" t="str">
        <f>IFERROR(IF(VLOOKUP(Fri_W2[[#This Row],[Employee Name]],'Base Schedules'!$A$1:$AW$44,38,FALSE)="","",VLOOKUP(Fri_W2[[#This Row],[Employee Name]],'Base Schedules'!$A$1:$AW$44,38,FALSE)),"")</f>
        <v/>
      </c>
      <c r="AN24" s="184" t="str">
        <f>IFERROR(IF(VLOOKUP(Fri_W2[[#This Row],[Employee Name]],'Base Schedules'!$A$1:$AW$44,39,FALSE)="","",VLOOKUP(Fri_W2[[#This Row],[Employee Name]],'Base Schedules'!$A$1:$AW$44,39,FALSE)),"")</f>
        <v/>
      </c>
      <c r="AO24" s="184" t="str">
        <f>IFERROR(IF(VLOOKUP(Fri_W2[[#This Row],[Employee Name]],'Base Schedules'!$A$1:$AW$44,40,FALSE)="","",VLOOKUP(Fri_W2[[#This Row],[Employee Name]],'Base Schedules'!$A$1:$AW$44,40,FALSE)),"")</f>
        <v/>
      </c>
      <c r="AP24" s="184" t="str">
        <f>IFERROR(IF(VLOOKUP(Fri_W2[[#This Row],[Employee Name]],'Base Schedules'!$A$1:$AW$44,41,FALSE)="","",VLOOKUP(Fri_W2[[#This Row],[Employee Name]],'Base Schedules'!$A$1:$AW$44,41,FALSE)),"")</f>
        <v/>
      </c>
      <c r="AQ24" s="184" t="str">
        <f>IFERROR(IF(VLOOKUP(Fri_W2[[#This Row],[Employee Name]],'Base Schedules'!$A$1:$AW$44,42,FALSE)="","",VLOOKUP(Fri_W2[[#This Row],[Employee Name]],'Base Schedules'!$A$1:$AW$44,42,FALSE)),"")</f>
        <v/>
      </c>
      <c r="AR24" s="184" t="str">
        <f>IFERROR(IF(VLOOKUP(Fri_W2[[#This Row],[Employee Name]],'Base Schedules'!$A$1:$AW$44,43,FALSE)="","",VLOOKUP(Fri_W2[[#This Row],[Employee Name]],'Base Schedules'!$A$1:$AW$44,43,FALSE)),"")</f>
        <v/>
      </c>
      <c r="AS24" s="184" t="str">
        <f>IFERROR(IF(VLOOKUP(Fri_W2[[#This Row],[Employee Name]],'Base Schedules'!$A$1:$AW$44,44,FALSE)="","",VLOOKUP(Fri_W2[[#This Row],[Employee Name]],'Base Schedules'!$A$1:$AW$44,44,FALSE)),"")</f>
        <v/>
      </c>
      <c r="AT24" s="184" t="str">
        <f>IFERROR(IF(VLOOKUP(Fri_W2[[#This Row],[Employee Name]],'Base Schedules'!$A$1:$AW$44,45,FALSE)="","",VLOOKUP(Fri_W2[[#This Row],[Employee Name]],'Base Schedules'!$A$1:$AW$44,45,FALSE)),"")</f>
        <v/>
      </c>
      <c r="AU24" s="184" t="str">
        <f>IFERROR(IF(VLOOKUP(Fri_W2[[#This Row],[Employee Name]],'Base Schedules'!$A$1:$AW$44,46,FALSE)="","",VLOOKUP(Fri_W2[[#This Row],[Employee Name]],'Base Schedules'!$A$1:$AW$44,46,FALSE)),"")</f>
        <v/>
      </c>
      <c r="AV24" s="184" t="str">
        <f>IFERROR(IF(VLOOKUP(Fri_W2[[#This Row],[Employee Name]],'Base Schedules'!$A$1:$AW$44,47,FALSE)="","",VLOOKUP(Fri_W2[[#This Row],[Employee Name]],'Base Schedules'!$A$1:$AW$44,47,FALSE)),"")</f>
        <v/>
      </c>
      <c r="AW24" s="184" t="str">
        <f>IFERROR(IF(VLOOKUP(Fri_W2[[#This Row],[Employee Name]],'Base Schedules'!$A$1:$AW$44,48,FALSE)="","",VLOOKUP(Fri_W2[[#This Row],[Employee Name]],'Base Schedules'!$A$1:$AW$44,48,FALSE)),"")</f>
        <v/>
      </c>
      <c r="AX24" s="184" t="str">
        <f>IFERROR(IF(VLOOKUP(Fri_W2[[#This Row],[Employee Name]],'Base Schedules'!$A$1:$AW$44,49,FALSE)="","",VLOOKUP(Fri_W2[[#This Row],[Employee Name]],'Base Schedules'!$A$1:$AW$44,49,FALSE)),"")</f>
        <v/>
      </c>
      <c r="AY24" s="159" t="str">
        <f t="shared" si="2"/>
        <v>Parkin-Rego, Kimberlee</v>
      </c>
    </row>
    <row r="25" spans="1:51" s="44" customFormat="1" ht="11.25" customHeight="1" x14ac:dyDescent="0.2">
      <c r="A25" s="39" t="str">
        <f>IF(B25="","",INDEX(TeamList[],MATCH($B25,TeamList[[Employee Name]:[Employee Name]],0),MATCH("Manager",TeamList[#Headers],0)))</f>
        <v>Olson, Katherine</v>
      </c>
      <c r="B25" s="201" t="s">
        <v>49</v>
      </c>
      <c r="C25" s="257" t="str">
        <f>_xlfn.IFNA(VLOOKUP(Fri_W2[[#This Row],[Employee Name]],'Base Schedules'!A:B,2,FALSE),"")</f>
        <v>Supervisor</v>
      </c>
      <c r="D25" s="274">
        <f>_xlfn.IFNA(VLOOKUP(Fri_W2[[#This Row],[Employee Name]],'Base Schedules'!A:C,3,FALSE),"")</f>
        <v>800</v>
      </c>
      <c r="E25" s="274">
        <f>_xlfn.IFNA(VLOOKUP(Fri_W2[[#This Row],[Employee Name]],'Base Schedules'!A:D,4,FALSE),"")</f>
        <v>1700</v>
      </c>
      <c r="F25" s="142">
        <f>IF(Fri_W2[[#This Row],[Employee Name]]="","",IF(Fri_W2[[#This Row],[Dept]]="Supervisor",COUNTIFS($J25:$AX25,"*HL*",$J25:$AX25,"&lt;&gt;"&amp;"pHL"),COUNTIFS($J25:$AX25,"*HL*",$J25:$AX25,"&lt;&gt;"&amp;"*pHL*",$J25:$AX25,"&lt;&gt;"&amp;"pB1 HL",$J25:$AX25,"&lt;&gt;"&amp;"pB2 HL")-SUM(COUNTIFS($J25:$AX25,"*HL B1*",$J25:$AX25,"&lt;&gt;"&amp;"pHL B1")*0.5,COUNTIFS($J25:$AX25,"*HL B2*",$J25:$AX25,"&lt;&gt;"&amp;"pHL B2")*0.5,COUNTIFS($J25:$AX25,"*B1 HL*",$J25:$AX25,"&lt;&gt;"&amp;"pB1 HL")*0.5,COUNTIFS($J25:$AX25,"*B2 HL*",$J25:$AX25,"&lt;&gt;"&amp;"pB2 HL")*0.5)))</f>
        <v>0</v>
      </c>
      <c r="G25" s="142">
        <f t="shared" si="0"/>
        <v>4</v>
      </c>
      <c r="H25" s="142">
        <f t="shared" si="1"/>
        <v>0</v>
      </c>
      <c r="I25" s="142">
        <f>IF(Fri_W2[[#This Row],[Employee Name]]="","",IF(Fri_W2[[#This Row],[Dept]]="Supervisor",SUM(COUNTIFS($J25:$AX25,"RTA*",$J25:$AX25,"&lt;&gt;"&amp;"pRTA"),COUNTIFS($J25:$AX25,"*CRTA*",$J25:$AX25,"&lt;&gt;"&amp;"pCRTA")),COUNTIFS($J25:$AX25,"*RNNR*",$J25:$AX25,"&lt;&gt;"&amp;"*pRNNR*",$J25:$AX25,"&lt;&gt;"&amp;"pB1 RNNR",$J25:$AX25,"&lt;&gt;"&amp;"pB2 RNNR")-SUM(COUNTIFS($J25:$AX25,"*RNNR B1*",$J25:$AX25,"&lt;&gt;"&amp;"pRNNR B1")*0.5,COUNTIFS($J25:$AX25,"*RNNR B2*",$J25:$AX25,"&lt;&gt;"&amp;"pRNNR B2")*0.5,COUNTIFS($J25:$AX25,"*B1 RNNR*",$J25:$AX25,"&lt;&gt;"&amp;"pB1 RNNR")*0.5,COUNTIFS($J25:$AX25,"*B2 RNNR*",$J25:$AX25,"&lt;&gt;"&amp;"pB2 RNNR")*0.5)))</f>
        <v>0</v>
      </c>
      <c r="J25" s="184" t="str">
        <f>IFERROR(IF(VLOOKUP(Fri_W2[[#This Row],[Employee Name]],'Base Schedules'!$A$1:$AW$44,9,FALSE)="","",VLOOKUP(Fri_W2[[#This Row],[Employee Name]],'Base Schedules'!$A$1:$AW$44,9,FALSE)),"")</f>
        <v/>
      </c>
      <c r="K25" s="184" t="str">
        <f>IFERROR(IF(VLOOKUP(Fri_W2[[#This Row],[Employee Name]],'Base Schedules'!$A$1:$AW$44,10,FALSE)="","",VLOOKUP(Fri_W2[[#This Row],[Employee Name]],'Base Schedules'!$A$1:$AW$44,10,FALSE)),"")</f>
        <v/>
      </c>
      <c r="L25" s="184" t="str">
        <f>IFERROR(IF(VLOOKUP(Fri_W2[[#This Row],[Employee Name]],'Base Schedules'!$A$1:$AW$44,11,FALSE)="","",VLOOKUP(Fri_W2[[#This Row],[Employee Name]],'Base Schedules'!$A$1:$AW$44,11,FALSE)),"")</f>
        <v/>
      </c>
      <c r="M25" s="184" t="str">
        <f>IFERROR(IF(VLOOKUP(Fri_W2[[#This Row],[Employee Name]],'Base Schedules'!$A$1:$AW$44,12,FALSE)="","",VLOOKUP(Fri_W2[[#This Row],[Employee Name]],'Base Schedules'!$A$1:$AW$44,12,FALSE)),"")</f>
        <v/>
      </c>
      <c r="N25" s="184" t="str">
        <f>IFERROR(IF(VLOOKUP(Fri_W2[[#This Row],[Employee Name]],'Base Schedules'!$A$1:$AW$44,13,FALSE)="","",VLOOKUP(Fri_W2[[#This Row],[Employee Name]],'Base Schedules'!$A$1:$AW$44,13,FALSE)),"")</f>
        <v/>
      </c>
      <c r="O25" s="184" t="str">
        <f>IFERROR(IF(VLOOKUP(Fri_W2[[#This Row],[Employee Name]],'Base Schedules'!$A$1:$AW$44,14,FALSE)="","",VLOOKUP(Fri_W2[[#This Row],[Employee Name]],'Base Schedules'!$A$1:$AW$44,14,FALSE)),"")</f>
        <v/>
      </c>
      <c r="P25" s="184" t="str">
        <f>IFERROR(IF(VLOOKUP(Fri_W2[[#This Row],[Employee Name]],'Base Schedules'!$A$1:$AW$44,15,FALSE)="","",VLOOKUP(Fri_W2[[#This Row],[Employee Name]],'Base Schedules'!$A$1:$AW$44,15,FALSE)),"")</f>
        <v>-</v>
      </c>
      <c r="Q25" s="184" t="str">
        <f>IFERROR(IF(VLOOKUP(Fri_W2[[#This Row],[Employee Name]],'Base Schedules'!$A$1:$AW$44,16,FALSE)="","",VLOOKUP(Fri_W2[[#This Row],[Employee Name]],'Base Schedules'!$A$1:$AW$44,16,FALSE)),"")</f>
        <v>-</v>
      </c>
      <c r="R25" s="184" t="str">
        <f>IFERROR(IF(VLOOKUP(Fri_W2[[#This Row],[Employee Name]],'Base Schedules'!$A$1:$AW$44,17,FALSE)="","",VLOOKUP(Fri_W2[[#This Row],[Employee Name]],'Base Schedules'!$A$1:$AW$44,17,FALSE)),"")</f>
        <v>-</v>
      </c>
      <c r="S25" s="184" t="str">
        <f>IFERROR(IF(VLOOKUP(Fri_W2[[#This Row],[Employee Name]],'Base Schedules'!$A$1:$AW$44,18,FALSE)="","",VLOOKUP(Fri_W2[[#This Row],[Employee Name]],'Base Schedules'!$A$1:$AW$44,18,FALSE)),"")</f>
        <v>-</v>
      </c>
      <c r="T25" s="184" t="str">
        <f>IFERROR(IF(VLOOKUP(Fri_W2[[#This Row],[Employee Name]],'Base Schedules'!$A$1:$AW$44,19,FALSE)="","",VLOOKUP(Fri_W2[[#This Row],[Employee Name]],'Base Schedules'!$A$1:$AW$44,19,FALSE)),"")</f>
        <v>-</v>
      </c>
      <c r="U25" s="184" t="str">
        <f>IFERROR(IF(VLOOKUP(Fri_W2[[#This Row],[Employee Name]],'Base Schedules'!$A$1:$AW$44,20,FALSE)="","",VLOOKUP(Fri_W2[[#This Row],[Employee Name]],'Base Schedules'!$A$1:$AW$44,20,FALSE)),"")</f>
        <v>-</v>
      </c>
      <c r="V25" s="184" t="str">
        <f>IFERROR(IF(VLOOKUP(Fri_W2[[#This Row],[Employee Name]],'Base Schedules'!$A$1:$AW$44,21,FALSE)="","",VLOOKUP(Fri_W2[[#This Row],[Employee Name]],'Base Schedules'!$A$1:$AW$44,21,FALSE)),"")</f>
        <v>-</v>
      </c>
      <c r="W25" s="184" t="str">
        <f>IFERROR(IF(VLOOKUP(Fri_W2[[#This Row],[Employee Name]],'Base Schedules'!$A$1:$AW$44,22,FALSE)="","",VLOOKUP(Fri_W2[[#This Row],[Employee Name]],'Base Schedules'!$A$1:$AW$44,22,FALSE)),"")</f>
        <v>-</v>
      </c>
      <c r="X25" s="184" t="str">
        <f>IFERROR(IF(VLOOKUP(Fri_W2[[#This Row],[Employee Name]],'Base Schedules'!$A$1:$AW$44,23,FALSE)="","",VLOOKUP(Fri_W2[[#This Row],[Employee Name]],'Base Schedules'!$A$1:$AW$44,23,FALSE)),"")</f>
        <v>-</v>
      </c>
      <c r="Y25" s="184" t="str">
        <f>IFERROR(IF(VLOOKUP(Fri_W2[[#This Row],[Employee Name]],'Base Schedules'!$A$1:$AW$44,24,FALSE)="","",VLOOKUP(Fri_W2[[#This Row],[Employee Name]],'Base Schedules'!$A$1:$AW$44,24,FALSE)),"")</f>
        <v>-</v>
      </c>
      <c r="Z25" s="184" t="str">
        <f>IFERROR(IF(VLOOKUP(Fri_W2[[#This Row],[Employee Name]],'Base Schedules'!$A$1:$AW$44,25,FALSE)="","",VLOOKUP(Fri_W2[[#This Row],[Employee Name]],'Base Schedules'!$A$1:$AW$44,25,FALSE)),"")</f>
        <v>Coaching</v>
      </c>
      <c r="AA25" s="184" t="str">
        <f>IFERROR(IF(VLOOKUP(Fri_W2[[#This Row],[Employee Name]],'Base Schedules'!$A$1:$AW$44,26,FALSE)="","",VLOOKUP(Fri_W2[[#This Row],[Employee Name]],'Base Schedules'!$A$1:$AW$44,26,FALSE)),"")</f>
        <v>Coaching</v>
      </c>
      <c r="AB25" s="184" t="str">
        <f>IFERROR(IF(VLOOKUP(Fri_W2[[#This Row],[Employee Name]],'Base Schedules'!$A$1:$AW$44,27,FALSE)="","",VLOOKUP(Fri_W2[[#This Row],[Employee Name]],'Base Schedules'!$A$1:$AW$44,27,FALSE)),"")</f>
        <v>Coaching</v>
      </c>
      <c r="AC25" s="184" t="str">
        <f>IFERROR(IF(VLOOKUP(Fri_W2[[#This Row],[Employee Name]],'Base Schedules'!$A$1:$AW$44,28,FALSE)="","",VLOOKUP(Fri_W2[[#This Row],[Employee Name]],'Base Schedules'!$A$1:$AW$44,28,FALSE)),"")</f>
        <v>Coaching</v>
      </c>
      <c r="AD25" s="184" t="str">
        <f>IFERROR(IF(VLOOKUP(Fri_W2[[#This Row],[Employee Name]],'Base Schedules'!$A$1:$AW$44,29,FALSE)="","",VLOOKUP(Fri_W2[[#This Row],[Employee Name]],'Base Schedules'!$A$1:$AW$44,29,FALSE)),"")</f>
        <v>-</v>
      </c>
      <c r="AE25" s="184" t="str">
        <f>IFERROR(IF(VLOOKUP(Fri_W2[[#This Row],[Employee Name]],'Base Schedules'!$A$1:$AW$44,30,FALSE)="","",VLOOKUP(Fri_W2[[#This Row],[Employee Name]],'Base Schedules'!$A$1:$AW$44,30,FALSE)),"")</f>
        <v>-</v>
      </c>
      <c r="AF25" s="184" t="str">
        <f>IFERROR(IF(VLOOKUP(Fri_W2[[#This Row],[Employee Name]],'Base Schedules'!$A$1:$AW$44,31,FALSE)="","",VLOOKUP(Fri_W2[[#This Row],[Employee Name]],'Base Schedules'!$A$1:$AW$44,31,FALSE)),"")</f>
        <v>-</v>
      </c>
      <c r="AG25" s="184" t="str">
        <f>IFERROR(IF(VLOOKUP(Fri_W2[[#This Row],[Employee Name]],'Base Schedules'!$A$1:$AW$44,32,FALSE)="","",VLOOKUP(Fri_W2[[#This Row],[Employee Name]],'Base Schedules'!$A$1:$AW$44,32,FALSE)),"")</f>
        <v>-</v>
      </c>
      <c r="AH25" s="184" t="str">
        <f>IFERROR(IF(VLOOKUP(Fri_W2[[#This Row],[Employee Name]],'Base Schedules'!$A$1:$AW$44,33,FALSE)="","",VLOOKUP(Fri_W2[[#This Row],[Employee Name]],'Base Schedules'!$A$1:$AW$44,33,FALSE)),"")</f>
        <v/>
      </c>
      <c r="AI25" s="184" t="str">
        <f>IFERROR(IF(VLOOKUP(Fri_W2[[#This Row],[Employee Name]],'Base Schedules'!$A$1:$AW$44,34,FALSE)="","",VLOOKUP(Fri_W2[[#This Row],[Employee Name]],'Base Schedules'!$A$1:$AW$44,34,FALSE)),"")</f>
        <v/>
      </c>
      <c r="AJ25" s="184" t="str">
        <f>IFERROR(IF(VLOOKUP(Fri_W2[[#This Row],[Employee Name]],'Base Schedules'!$A$1:$AW$44,35,FALSE)="","",VLOOKUP(Fri_W2[[#This Row],[Employee Name]],'Base Schedules'!$A$1:$AW$44,35,FALSE)),"")</f>
        <v/>
      </c>
      <c r="AK25" s="184" t="str">
        <f>IFERROR(IF(VLOOKUP(Fri_W2[[#This Row],[Employee Name]],'Base Schedules'!$A$1:$AW$44,36,FALSE)="","",VLOOKUP(Fri_W2[[#This Row],[Employee Name]],'Base Schedules'!$A$1:$AW$44,36,FALSE)),"")</f>
        <v/>
      </c>
      <c r="AL25" s="184" t="str">
        <f>IFERROR(IF(VLOOKUP(Fri_W2[[#This Row],[Employee Name]],'Base Schedules'!$A$1:$AW$44,37,FALSE)="","",VLOOKUP(Fri_W2[[#This Row],[Employee Name]],'Base Schedules'!$A$1:$AW$44,37,FALSE)),"")</f>
        <v/>
      </c>
      <c r="AM25" s="184" t="str">
        <f>IFERROR(IF(VLOOKUP(Fri_W2[[#This Row],[Employee Name]],'Base Schedules'!$A$1:$AW$44,38,FALSE)="","",VLOOKUP(Fri_W2[[#This Row],[Employee Name]],'Base Schedules'!$A$1:$AW$44,38,FALSE)),"")</f>
        <v/>
      </c>
      <c r="AN25" s="184" t="str">
        <f>IFERROR(IF(VLOOKUP(Fri_W2[[#This Row],[Employee Name]],'Base Schedules'!$A$1:$AW$44,39,FALSE)="","",VLOOKUP(Fri_W2[[#This Row],[Employee Name]],'Base Schedules'!$A$1:$AW$44,39,FALSE)),"")</f>
        <v/>
      </c>
      <c r="AO25" s="184" t="str">
        <f>IFERROR(IF(VLOOKUP(Fri_W2[[#This Row],[Employee Name]],'Base Schedules'!$A$1:$AW$44,40,FALSE)="","",VLOOKUP(Fri_W2[[#This Row],[Employee Name]],'Base Schedules'!$A$1:$AW$44,40,FALSE)),"")</f>
        <v/>
      </c>
      <c r="AP25" s="184" t="str">
        <f>IFERROR(IF(VLOOKUP(Fri_W2[[#This Row],[Employee Name]],'Base Schedules'!$A$1:$AW$44,41,FALSE)="","",VLOOKUP(Fri_W2[[#This Row],[Employee Name]],'Base Schedules'!$A$1:$AW$44,41,FALSE)),"")</f>
        <v/>
      </c>
      <c r="AQ25" s="184" t="str">
        <f>IFERROR(IF(VLOOKUP(Fri_W2[[#This Row],[Employee Name]],'Base Schedules'!$A$1:$AW$44,42,FALSE)="","",VLOOKUP(Fri_W2[[#This Row],[Employee Name]],'Base Schedules'!$A$1:$AW$44,42,FALSE)),"")</f>
        <v/>
      </c>
      <c r="AR25" s="184" t="str">
        <f>IFERROR(IF(VLOOKUP(Fri_W2[[#This Row],[Employee Name]],'Base Schedules'!$A$1:$AW$44,43,FALSE)="","",VLOOKUP(Fri_W2[[#This Row],[Employee Name]],'Base Schedules'!$A$1:$AW$44,43,FALSE)),"")</f>
        <v/>
      </c>
      <c r="AS25" s="184" t="str">
        <f>IFERROR(IF(VLOOKUP(Fri_W2[[#This Row],[Employee Name]],'Base Schedules'!$A$1:$AW$44,44,FALSE)="","",VLOOKUP(Fri_W2[[#This Row],[Employee Name]],'Base Schedules'!$A$1:$AW$44,44,FALSE)),"")</f>
        <v/>
      </c>
      <c r="AT25" s="184" t="str">
        <f>IFERROR(IF(VLOOKUP(Fri_W2[[#This Row],[Employee Name]],'Base Schedules'!$A$1:$AW$44,45,FALSE)="","",VLOOKUP(Fri_W2[[#This Row],[Employee Name]],'Base Schedules'!$A$1:$AW$44,45,FALSE)),"")</f>
        <v/>
      </c>
      <c r="AU25" s="184" t="str">
        <f>IFERROR(IF(VLOOKUP(Fri_W2[[#This Row],[Employee Name]],'Base Schedules'!$A$1:$AW$44,46,FALSE)="","",VLOOKUP(Fri_W2[[#This Row],[Employee Name]],'Base Schedules'!$A$1:$AW$44,46,FALSE)),"")</f>
        <v/>
      </c>
      <c r="AV25" s="184" t="str">
        <f>IFERROR(IF(VLOOKUP(Fri_W2[[#This Row],[Employee Name]],'Base Schedules'!$A$1:$AW$44,47,FALSE)="","",VLOOKUP(Fri_W2[[#This Row],[Employee Name]],'Base Schedules'!$A$1:$AW$44,47,FALSE)),"")</f>
        <v/>
      </c>
      <c r="AW25" s="184" t="str">
        <f>IFERROR(IF(VLOOKUP(Fri_W2[[#This Row],[Employee Name]],'Base Schedules'!$A$1:$AW$44,48,FALSE)="","",VLOOKUP(Fri_W2[[#This Row],[Employee Name]],'Base Schedules'!$A$1:$AW$44,48,FALSE)),"")</f>
        <v/>
      </c>
      <c r="AX25" s="184" t="str">
        <f>IFERROR(IF(VLOOKUP(Fri_W2[[#This Row],[Employee Name]],'Base Schedules'!$A$1:$AW$44,49,FALSE)="","",VLOOKUP(Fri_W2[[#This Row],[Employee Name]],'Base Schedules'!$A$1:$AW$44,49,FALSE)),"")</f>
        <v/>
      </c>
      <c r="AY25" s="159" t="str">
        <f t="shared" si="2"/>
        <v>Olson, Dan</v>
      </c>
    </row>
    <row r="26" spans="1:51" s="44" customFormat="1" ht="11.25" customHeight="1" x14ac:dyDescent="0.2">
      <c r="A26" s="39" t="str">
        <f>IF(B26="","",INDEX(TeamList[],MATCH($B26,TeamList[[Employee Name]:[Employee Name]],0),MATCH("Manager",TeamList[#Headers],0)))</f>
        <v>Ahmed Hassan, Zahra</v>
      </c>
      <c r="B26" s="201" t="s">
        <v>53</v>
      </c>
      <c r="C26" s="257" t="str">
        <f>_xlfn.IFNA(VLOOKUP(Fri_W2[[#This Row],[Employee Name]],'Base Schedules'!A:B,2,FALSE),"")</f>
        <v>Supervisor</v>
      </c>
      <c r="D26" s="274">
        <f>_xlfn.IFNA(VLOOKUP(Fri_W2[[#This Row],[Employee Name]],'Base Schedules'!A:C,3,FALSE),"")</f>
        <v>830</v>
      </c>
      <c r="E26" s="274">
        <f>_xlfn.IFNA(VLOOKUP(Fri_W2[[#This Row],[Employee Name]],'Base Schedules'!A:D,4,FALSE),"")</f>
        <v>1730</v>
      </c>
      <c r="F26" s="142">
        <f>IF(Fri_W2[[#This Row],[Employee Name]]="","",IF(Fri_W2[[#This Row],[Dept]]="Supervisor",COUNTIFS($J26:$AX26,"*HL*",$J26:$AX26,"&lt;&gt;"&amp;"pHL"),COUNTIFS($J26:$AX26,"*HL*",$J26:$AX26,"&lt;&gt;"&amp;"*pHL*",$J26:$AX26,"&lt;&gt;"&amp;"pB1 HL",$J26:$AX26,"&lt;&gt;"&amp;"pB2 HL")-SUM(COUNTIFS($J26:$AX26,"*HL B1*",$J26:$AX26,"&lt;&gt;"&amp;"pHL B1")*0.5,COUNTIFS($J26:$AX26,"*HL B2*",$J26:$AX26,"&lt;&gt;"&amp;"pHL B2")*0.5,COUNTIFS($J26:$AX26,"*B1 HL*",$J26:$AX26,"&lt;&gt;"&amp;"pB1 HL")*0.5,COUNTIFS($J26:$AX26,"*B2 HL*",$J26:$AX26,"&lt;&gt;"&amp;"pB2 HL")*0.5)))</f>
        <v>0</v>
      </c>
      <c r="G26" s="142">
        <f t="shared" si="0"/>
        <v>4</v>
      </c>
      <c r="H26" s="142">
        <f t="shared" si="1"/>
        <v>0</v>
      </c>
      <c r="I26" s="142">
        <f>IF(Fri_W2[[#This Row],[Employee Name]]="","",IF(Fri_W2[[#This Row],[Dept]]="Supervisor",SUM(COUNTIFS($J26:$AX26,"RTA*",$J26:$AX26,"&lt;&gt;"&amp;"pRTA"),COUNTIFS($J26:$AX26,"*CRTA*",$J26:$AX26,"&lt;&gt;"&amp;"pCRTA")),COUNTIFS($J26:$AX26,"*RNNR*",$J26:$AX26,"&lt;&gt;"&amp;"*pRNNR*",$J26:$AX26,"&lt;&gt;"&amp;"pB1 RNNR",$J26:$AX26,"&lt;&gt;"&amp;"pB2 RNNR")-SUM(COUNTIFS($J26:$AX26,"*RNNR B1*",$J26:$AX26,"&lt;&gt;"&amp;"pRNNR B1")*0.5,COUNTIFS($J26:$AX26,"*RNNR B2*",$J26:$AX26,"&lt;&gt;"&amp;"pRNNR B2")*0.5,COUNTIFS($J26:$AX26,"*B1 RNNR*",$J26:$AX26,"&lt;&gt;"&amp;"pB1 RNNR")*0.5,COUNTIFS($J26:$AX26,"*B2 RNNR*",$J26:$AX26,"&lt;&gt;"&amp;"pB2 RNNR")*0.5)))</f>
        <v>0</v>
      </c>
      <c r="J26" s="184" t="str">
        <f>IFERROR(IF(VLOOKUP(Fri_W2[[#This Row],[Employee Name]],'Base Schedules'!$A$1:$AW$44,9,FALSE)="","",VLOOKUP(Fri_W2[[#This Row],[Employee Name]],'Base Schedules'!$A$1:$AW$44,9,FALSE)),"")</f>
        <v/>
      </c>
      <c r="K26" s="184" t="str">
        <f>IFERROR(IF(VLOOKUP(Fri_W2[[#This Row],[Employee Name]],'Base Schedules'!$A$1:$AW$44,10,FALSE)="","",VLOOKUP(Fri_W2[[#This Row],[Employee Name]],'Base Schedules'!$A$1:$AW$44,10,FALSE)),"")</f>
        <v/>
      </c>
      <c r="L26" s="184" t="str">
        <f>IFERROR(IF(VLOOKUP(Fri_W2[[#This Row],[Employee Name]],'Base Schedules'!$A$1:$AW$44,11,FALSE)="","",VLOOKUP(Fri_W2[[#This Row],[Employee Name]],'Base Schedules'!$A$1:$AW$44,11,FALSE)),"")</f>
        <v/>
      </c>
      <c r="M26" s="184" t="str">
        <f>IFERROR(IF(VLOOKUP(Fri_W2[[#This Row],[Employee Name]],'Base Schedules'!$A$1:$AW$44,12,FALSE)="","",VLOOKUP(Fri_W2[[#This Row],[Employee Name]],'Base Schedules'!$A$1:$AW$44,12,FALSE)),"")</f>
        <v/>
      </c>
      <c r="N26" s="184" t="str">
        <f>IFERROR(IF(VLOOKUP(Fri_W2[[#This Row],[Employee Name]],'Base Schedules'!$A$1:$AW$44,13,FALSE)="","",VLOOKUP(Fri_W2[[#This Row],[Employee Name]],'Base Schedules'!$A$1:$AW$44,13,FALSE)),"")</f>
        <v/>
      </c>
      <c r="O26" s="184" t="str">
        <f>IFERROR(IF(VLOOKUP(Fri_W2[[#This Row],[Employee Name]],'Base Schedules'!$A$1:$AW$44,14,FALSE)="","",VLOOKUP(Fri_W2[[#This Row],[Employee Name]],'Base Schedules'!$A$1:$AW$44,14,FALSE)),"")</f>
        <v/>
      </c>
      <c r="P26" s="184" t="str">
        <f>IFERROR(IF(VLOOKUP(Fri_W2[[#This Row],[Employee Name]],'Base Schedules'!$A$1:$AW$44,15,FALSE)="","",VLOOKUP(Fri_W2[[#This Row],[Employee Name]],'Base Schedules'!$A$1:$AW$44,15,FALSE)),"")</f>
        <v/>
      </c>
      <c r="Q26" s="184" t="str">
        <f>IFERROR(IF(VLOOKUP(Fri_W2[[#This Row],[Employee Name]],'Base Schedules'!$A$1:$AW$44,16,FALSE)="","",VLOOKUP(Fri_W2[[#This Row],[Employee Name]],'Base Schedules'!$A$1:$AW$44,16,FALSE)),"")</f>
        <v>-</v>
      </c>
      <c r="R26" s="184" t="str">
        <f>IFERROR(IF(VLOOKUP(Fri_W2[[#This Row],[Employee Name]],'Base Schedules'!$A$1:$AW$44,17,FALSE)="","",VLOOKUP(Fri_W2[[#This Row],[Employee Name]],'Base Schedules'!$A$1:$AW$44,17,FALSE)),"")</f>
        <v>-</v>
      </c>
      <c r="S26" s="184" t="str">
        <f>IFERROR(IF(VLOOKUP(Fri_W2[[#This Row],[Employee Name]],'Base Schedules'!$A$1:$AW$44,18,FALSE)="","",VLOOKUP(Fri_W2[[#This Row],[Employee Name]],'Base Schedules'!$A$1:$AW$44,18,FALSE)),"")</f>
        <v>-</v>
      </c>
      <c r="T26" s="184" t="str">
        <f>IFERROR(IF(VLOOKUP(Fri_W2[[#This Row],[Employee Name]],'Base Schedules'!$A$1:$AW$44,19,FALSE)="","",VLOOKUP(Fri_W2[[#This Row],[Employee Name]],'Base Schedules'!$A$1:$AW$44,19,FALSE)),"")</f>
        <v>-</v>
      </c>
      <c r="U26" s="184" t="str">
        <f>IFERROR(IF(VLOOKUP(Fri_W2[[#This Row],[Employee Name]],'Base Schedules'!$A$1:$AW$44,20,FALSE)="","",VLOOKUP(Fri_W2[[#This Row],[Employee Name]],'Base Schedules'!$A$1:$AW$44,20,FALSE)),"")</f>
        <v>TM PREP</v>
      </c>
      <c r="V26" s="184" t="str">
        <f>IFERROR(IF(VLOOKUP(Fri_W2[[#This Row],[Employee Name]],'Base Schedules'!$A$1:$AW$44,21,FALSE)="","",VLOOKUP(Fri_W2[[#This Row],[Employee Name]],'Base Schedules'!$A$1:$AW$44,21,FALSE)),"")</f>
        <v>STEVENS TM</v>
      </c>
      <c r="W26" s="184" t="str">
        <f>IFERROR(IF(VLOOKUP(Fri_W2[[#This Row],[Employee Name]],'Base Schedules'!$A$1:$AW$44,22,FALSE)="","",VLOOKUP(Fri_W2[[#This Row],[Employee Name]],'Base Schedules'!$A$1:$AW$44,22,FALSE)),"")</f>
        <v>STEVENS TM</v>
      </c>
      <c r="X26" s="184" t="str">
        <f>IFERROR(IF(VLOOKUP(Fri_W2[[#This Row],[Employee Name]],'Base Schedules'!$A$1:$AW$44,23,FALSE)="","",VLOOKUP(Fri_W2[[#This Row],[Employee Name]],'Base Schedules'!$A$1:$AW$44,23,FALSE)),"")</f>
        <v>Interview</v>
      </c>
      <c r="Y26" s="184" t="str">
        <f>IFERROR(IF(VLOOKUP(Fri_W2[[#This Row],[Employee Name]],'Base Schedules'!$A$1:$AW$44,24,FALSE)="","",VLOOKUP(Fri_W2[[#This Row],[Employee Name]],'Base Schedules'!$A$1:$AW$44,24,FALSE)),"")</f>
        <v>Interview</v>
      </c>
      <c r="Z26" s="184" t="str">
        <f>IFERROR(IF(VLOOKUP(Fri_W2[[#This Row],[Employee Name]],'Base Schedules'!$A$1:$AW$44,25,FALSE)="","",VLOOKUP(Fri_W2[[#This Row],[Employee Name]],'Base Schedules'!$A$1:$AW$44,25,FALSE)),"")</f>
        <v>-</v>
      </c>
      <c r="AA26" s="184" t="str">
        <f>IFERROR(IF(VLOOKUP(Fri_W2[[#This Row],[Employee Name]],'Base Schedules'!$A$1:$AW$44,26,FALSE)="","",VLOOKUP(Fri_W2[[#This Row],[Employee Name]],'Base Schedules'!$A$1:$AW$44,26,FALSE)),"")</f>
        <v>-</v>
      </c>
      <c r="AB26" s="184" t="str">
        <f>IFERROR(IF(VLOOKUP(Fri_W2[[#This Row],[Employee Name]],'Base Schedules'!$A$1:$AW$44,27,FALSE)="","",VLOOKUP(Fri_W2[[#This Row],[Employee Name]],'Base Schedules'!$A$1:$AW$44,27,FALSE)),"")</f>
        <v>-</v>
      </c>
      <c r="AC26" s="184" t="str">
        <f>IFERROR(IF(VLOOKUP(Fri_W2[[#This Row],[Employee Name]],'Base Schedules'!$A$1:$AW$44,28,FALSE)="","",VLOOKUP(Fri_W2[[#This Row],[Employee Name]],'Base Schedules'!$A$1:$AW$44,28,FALSE)),"")</f>
        <v>-</v>
      </c>
      <c r="AD26" s="184" t="str">
        <f>IFERROR(IF(VLOOKUP(Fri_W2[[#This Row],[Employee Name]],'Base Schedules'!$A$1:$AW$44,29,FALSE)="","",VLOOKUP(Fri_W2[[#This Row],[Employee Name]],'Base Schedules'!$A$1:$AW$44,29,FALSE)),"")</f>
        <v>Coaching</v>
      </c>
      <c r="AE26" s="184" t="str">
        <f>IFERROR(IF(VLOOKUP(Fri_W2[[#This Row],[Employee Name]],'Base Schedules'!$A$1:$AW$44,30,FALSE)="","",VLOOKUP(Fri_W2[[#This Row],[Employee Name]],'Base Schedules'!$A$1:$AW$44,30,FALSE)),"")</f>
        <v>Coaching</v>
      </c>
      <c r="AF26" s="184" t="str">
        <f>IFERROR(IF(VLOOKUP(Fri_W2[[#This Row],[Employee Name]],'Base Schedules'!$A$1:$AW$44,31,FALSE)="","",VLOOKUP(Fri_W2[[#This Row],[Employee Name]],'Base Schedules'!$A$1:$AW$44,31,FALSE)),"")</f>
        <v>Coaching</v>
      </c>
      <c r="AG26" s="184" t="str">
        <f>IFERROR(IF(VLOOKUP(Fri_W2[[#This Row],[Employee Name]],'Base Schedules'!$A$1:$AW$44,32,FALSE)="","",VLOOKUP(Fri_W2[[#This Row],[Employee Name]],'Base Schedules'!$A$1:$AW$44,32,FALSE)),"")</f>
        <v>Coaching</v>
      </c>
      <c r="AH26" s="184" t="str">
        <f>IFERROR(IF(VLOOKUP(Fri_W2[[#This Row],[Employee Name]],'Base Schedules'!$A$1:$AW$44,33,FALSE)="","",VLOOKUP(Fri_W2[[#This Row],[Employee Name]],'Base Schedules'!$A$1:$AW$44,33,FALSE)),"")</f>
        <v>-</v>
      </c>
      <c r="AI26" s="184" t="str">
        <f>IFERROR(IF(VLOOKUP(Fri_W2[[#This Row],[Employee Name]],'Base Schedules'!$A$1:$AW$44,34,FALSE)="","",VLOOKUP(Fri_W2[[#This Row],[Employee Name]],'Base Schedules'!$A$1:$AW$44,34,FALSE)),"")</f>
        <v/>
      </c>
      <c r="AJ26" s="184" t="str">
        <f>IFERROR(IF(VLOOKUP(Fri_W2[[#This Row],[Employee Name]],'Base Schedules'!$A$1:$AW$44,35,FALSE)="","",VLOOKUP(Fri_W2[[#This Row],[Employee Name]],'Base Schedules'!$A$1:$AW$44,35,FALSE)),"")</f>
        <v/>
      </c>
      <c r="AK26" s="184" t="str">
        <f>IFERROR(IF(VLOOKUP(Fri_W2[[#This Row],[Employee Name]],'Base Schedules'!$A$1:$AW$44,36,FALSE)="","",VLOOKUP(Fri_W2[[#This Row],[Employee Name]],'Base Schedules'!$A$1:$AW$44,36,FALSE)),"")</f>
        <v/>
      </c>
      <c r="AL26" s="184" t="str">
        <f>IFERROR(IF(VLOOKUP(Fri_W2[[#This Row],[Employee Name]],'Base Schedules'!$A$1:$AW$44,37,FALSE)="","",VLOOKUP(Fri_W2[[#This Row],[Employee Name]],'Base Schedules'!$A$1:$AW$44,37,FALSE)),"")</f>
        <v/>
      </c>
      <c r="AM26" s="184" t="str">
        <f>IFERROR(IF(VLOOKUP(Fri_W2[[#This Row],[Employee Name]],'Base Schedules'!$A$1:$AW$44,38,FALSE)="","",VLOOKUP(Fri_W2[[#This Row],[Employee Name]],'Base Schedules'!$A$1:$AW$44,38,FALSE)),"")</f>
        <v/>
      </c>
      <c r="AN26" s="184" t="str">
        <f>IFERROR(IF(VLOOKUP(Fri_W2[[#This Row],[Employee Name]],'Base Schedules'!$A$1:$AW$44,39,FALSE)="","",VLOOKUP(Fri_W2[[#This Row],[Employee Name]],'Base Schedules'!$A$1:$AW$44,39,FALSE)),"")</f>
        <v/>
      </c>
      <c r="AO26" s="184" t="str">
        <f>IFERROR(IF(VLOOKUP(Fri_W2[[#This Row],[Employee Name]],'Base Schedules'!$A$1:$AW$44,40,FALSE)="","",VLOOKUP(Fri_W2[[#This Row],[Employee Name]],'Base Schedules'!$A$1:$AW$44,40,FALSE)),"")</f>
        <v/>
      </c>
      <c r="AP26" s="184" t="str">
        <f>IFERROR(IF(VLOOKUP(Fri_W2[[#This Row],[Employee Name]],'Base Schedules'!$A$1:$AW$44,41,FALSE)="","",VLOOKUP(Fri_W2[[#This Row],[Employee Name]],'Base Schedules'!$A$1:$AW$44,41,FALSE)),"")</f>
        <v/>
      </c>
      <c r="AQ26" s="184" t="str">
        <f>IFERROR(IF(VLOOKUP(Fri_W2[[#This Row],[Employee Name]],'Base Schedules'!$A$1:$AW$44,42,FALSE)="","",VLOOKUP(Fri_W2[[#This Row],[Employee Name]],'Base Schedules'!$A$1:$AW$44,42,FALSE)),"")</f>
        <v/>
      </c>
      <c r="AR26" s="184" t="str">
        <f>IFERROR(IF(VLOOKUP(Fri_W2[[#This Row],[Employee Name]],'Base Schedules'!$A$1:$AW$44,43,FALSE)="","",VLOOKUP(Fri_W2[[#This Row],[Employee Name]],'Base Schedules'!$A$1:$AW$44,43,FALSE)),"")</f>
        <v/>
      </c>
      <c r="AS26" s="184" t="str">
        <f>IFERROR(IF(VLOOKUP(Fri_W2[[#This Row],[Employee Name]],'Base Schedules'!$A$1:$AW$44,44,FALSE)="","",VLOOKUP(Fri_W2[[#This Row],[Employee Name]],'Base Schedules'!$A$1:$AW$44,44,FALSE)),"")</f>
        <v/>
      </c>
      <c r="AT26" s="184" t="str">
        <f>IFERROR(IF(VLOOKUP(Fri_W2[[#This Row],[Employee Name]],'Base Schedules'!$A$1:$AW$44,45,FALSE)="","",VLOOKUP(Fri_W2[[#This Row],[Employee Name]],'Base Schedules'!$A$1:$AW$44,45,FALSE)),"")</f>
        <v/>
      </c>
      <c r="AU26" s="184" t="str">
        <f>IFERROR(IF(VLOOKUP(Fri_W2[[#This Row],[Employee Name]],'Base Schedules'!$A$1:$AW$44,46,FALSE)="","",VLOOKUP(Fri_W2[[#This Row],[Employee Name]],'Base Schedules'!$A$1:$AW$44,46,FALSE)),"")</f>
        <v/>
      </c>
      <c r="AV26" s="184" t="str">
        <f>IFERROR(IF(VLOOKUP(Fri_W2[[#This Row],[Employee Name]],'Base Schedules'!$A$1:$AW$44,47,FALSE)="","",VLOOKUP(Fri_W2[[#This Row],[Employee Name]],'Base Schedules'!$A$1:$AW$44,47,FALSE)),"")</f>
        <v/>
      </c>
      <c r="AW26" s="184" t="str">
        <f>IFERROR(IF(VLOOKUP(Fri_W2[[#This Row],[Employee Name]],'Base Schedules'!$A$1:$AW$44,48,FALSE)="","",VLOOKUP(Fri_W2[[#This Row],[Employee Name]],'Base Schedules'!$A$1:$AW$44,48,FALSE)),"")</f>
        <v/>
      </c>
      <c r="AX26" s="184" t="str">
        <f>IFERROR(IF(VLOOKUP(Fri_W2[[#This Row],[Employee Name]],'Base Schedules'!$A$1:$AW$44,49,FALSE)="","",VLOOKUP(Fri_W2[[#This Row],[Employee Name]],'Base Schedules'!$A$1:$AW$44,49,FALSE)),"")</f>
        <v/>
      </c>
      <c r="AY26" s="159" t="str">
        <f t="shared" si="2"/>
        <v>Stevens, Amanda</v>
      </c>
    </row>
    <row r="27" spans="1:51" s="44" customFormat="1" ht="11.25" customHeight="1" x14ac:dyDescent="0.2">
      <c r="A27" s="39" t="str">
        <f>IF(B27="","",INDEX(TeamList[],MATCH($B27,TeamList[[Employee Name]:[Employee Name]],0),MATCH("Manager",TeamList[#Headers],0)))</f>
        <v>Olson, Katherine</v>
      </c>
      <c r="B27" s="201" t="s">
        <v>231</v>
      </c>
      <c r="C27" s="257" t="str">
        <f>_xlfn.IFNA(VLOOKUP(Fri_W2[[#This Row],[Employee Name]],'Base Schedules'!A:B,2,FALSE),"")</f>
        <v>Lead</v>
      </c>
      <c r="D27" s="274">
        <f>_xlfn.IFNA(VLOOKUP(Fri_W2[[#This Row],[Employee Name]],'Base Schedules'!A:C,3,FALSE),"")</f>
        <v>900</v>
      </c>
      <c r="E27" s="274">
        <f>_xlfn.IFNA(VLOOKUP(Fri_W2[[#This Row],[Employee Name]],'Base Schedules'!A:D,4,FALSE),"")</f>
        <v>1730</v>
      </c>
      <c r="F27" s="142">
        <f>IF(Fri_W2[[#This Row],[Employee Name]]="","",IF(Fri_W2[[#This Row],[Dept]]="Supervisor",COUNTIFS($J27:$AX27,"*HL*",$J27:$AX27,"&lt;&gt;"&amp;"pHL"),COUNTIFS($J27:$AX27,"*HL*",$J27:$AX27,"&lt;&gt;"&amp;"*pHL*",$J27:$AX27,"&lt;&gt;"&amp;"pB1 HL",$J27:$AX27,"&lt;&gt;"&amp;"pB2 HL")-SUM(COUNTIFS($J27:$AX27,"*HL B1*",$J27:$AX27,"&lt;&gt;"&amp;"pHL B1")*0.5,COUNTIFS($J27:$AX27,"*HL B2*",$J27:$AX27,"&lt;&gt;"&amp;"pHL B2")*0.5,COUNTIFS($J27:$AX27,"*B1 HL*",$J27:$AX27,"&lt;&gt;"&amp;"pB1 HL")*0.5,COUNTIFS($J27:$AX27,"*B2 HL*",$J27:$AX27,"&lt;&gt;"&amp;"pB2 HL")*0.5)))</f>
        <v>7.5</v>
      </c>
      <c r="G27" s="142">
        <f t="shared" si="0"/>
        <v>0</v>
      </c>
      <c r="H27" s="142">
        <f t="shared" si="1"/>
        <v>4</v>
      </c>
      <c r="I27" s="142">
        <f>IF(Fri_W2[[#This Row],[Employee Name]]="","",IF(Fri_W2[[#This Row],[Dept]]="Supervisor",SUM(COUNTIFS($J27:$AX27,"RTA*",$J27:$AX27,"&lt;&gt;"&amp;"pRTA"),COUNTIFS($J27:$AX27,"*CRTA*",$J27:$AX27,"&lt;&gt;"&amp;"pCRTA")),COUNTIFS($J27:$AX27,"*RNNR*",$J27:$AX27,"&lt;&gt;"&amp;"*pRNNR*",$J27:$AX27,"&lt;&gt;"&amp;"pB1 RNNR",$J27:$AX27,"&lt;&gt;"&amp;"pB2 RNNR")-SUM(COUNTIFS($J27:$AX27,"*RNNR B1*",$J27:$AX27,"&lt;&gt;"&amp;"pRNNR B1")*0.5,COUNTIFS($J27:$AX27,"*RNNR B2*",$J27:$AX27,"&lt;&gt;"&amp;"pRNNR B2")*0.5,COUNTIFS($J27:$AX27,"*B1 RNNR*",$J27:$AX27,"&lt;&gt;"&amp;"pB1 RNNR")*0.5,COUNTIFS($J27:$AX27,"*B2 RNNR*",$J27:$AX27,"&lt;&gt;"&amp;"pB2 RNNR")*0.5)))</f>
        <v>2</v>
      </c>
      <c r="J27" s="184" t="str">
        <f>IFERROR(IF(VLOOKUP(Fri_W2[[#This Row],[Employee Name]],'Base Schedules'!$A$1:$AW$44,9,FALSE)="","",VLOOKUP(Fri_W2[[#This Row],[Employee Name]],'Base Schedules'!$A$1:$AW$44,9,FALSE)),"")</f>
        <v/>
      </c>
      <c r="K27" s="184" t="str">
        <f>IFERROR(IF(VLOOKUP(Fri_W2[[#This Row],[Employee Name]],'Base Schedules'!$A$1:$AW$44,10,FALSE)="","",VLOOKUP(Fri_W2[[#This Row],[Employee Name]],'Base Schedules'!$A$1:$AW$44,10,FALSE)),"")</f>
        <v/>
      </c>
      <c r="L27" s="184" t="str">
        <f>IFERROR(IF(VLOOKUP(Fri_W2[[#This Row],[Employee Name]],'Base Schedules'!$A$1:$AW$44,11,FALSE)="","",VLOOKUP(Fri_W2[[#This Row],[Employee Name]],'Base Schedules'!$A$1:$AW$44,11,FALSE)),"")</f>
        <v/>
      </c>
      <c r="M27" s="184" t="str">
        <f>IFERROR(IF(VLOOKUP(Fri_W2[[#This Row],[Employee Name]],'Base Schedules'!$A$1:$AW$44,12,FALSE)="","",VLOOKUP(Fri_W2[[#This Row],[Employee Name]],'Base Schedules'!$A$1:$AW$44,12,FALSE)),"")</f>
        <v/>
      </c>
      <c r="N27" s="184" t="str">
        <f>IFERROR(IF(VLOOKUP(Fri_W2[[#This Row],[Employee Name]],'Base Schedules'!$A$1:$AW$44,13,FALSE)="","",VLOOKUP(Fri_W2[[#This Row],[Employee Name]],'Base Schedules'!$A$1:$AW$44,13,FALSE)),"")</f>
        <v/>
      </c>
      <c r="O27" s="184" t="str">
        <f>IFERROR(IF(VLOOKUP(Fri_W2[[#This Row],[Employee Name]],'Base Schedules'!$A$1:$AW$44,14,FALSE)="","",VLOOKUP(Fri_W2[[#This Row],[Employee Name]],'Base Schedules'!$A$1:$AW$44,14,FALSE)),"")</f>
        <v/>
      </c>
      <c r="P27" s="184" t="str">
        <f>IFERROR(IF(VLOOKUP(Fri_W2[[#This Row],[Employee Name]],'Base Schedules'!$A$1:$AW$44,15,FALSE)="","",VLOOKUP(Fri_W2[[#This Row],[Employee Name]],'Base Schedules'!$A$1:$AW$44,15,FALSE)),"")</f>
        <v/>
      </c>
      <c r="Q27" s="184" t="str">
        <f>IFERROR(IF(VLOOKUP(Fri_W2[[#This Row],[Employee Name]],'Base Schedules'!$A$1:$AW$44,16,FALSE)="","",VLOOKUP(Fri_W2[[#This Row],[Employee Name]],'Base Schedules'!$A$1:$AW$44,16,FALSE)),"")</f>
        <v/>
      </c>
      <c r="R27" s="184" t="str">
        <f>IFERROR(IF(VLOOKUP(Fri_W2[[#This Row],[Employee Name]],'Base Schedules'!$A$1:$AW$44,17,FALSE)="","",VLOOKUP(Fri_W2[[#This Row],[Employee Name]],'Base Schedules'!$A$1:$AW$44,17,FALSE)),"")</f>
        <v>HL</v>
      </c>
      <c r="S27" s="184" t="str">
        <f>IFERROR(IF(VLOOKUP(Fri_W2[[#This Row],[Employee Name]],'Base Schedules'!$A$1:$AW$44,18,FALSE)="","",VLOOKUP(Fri_W2[[#This Row],[Employee Name]],'Base Schedules'!$A$1:$AW$44,18,FALSE)),"")</f>
        <v>HL</v>
      </c>
      <c r="T27" s="184" t="str">
        <f>IFERROR(IF(VLOOKUP(Fri_W2[[#This Row],[Employee Name]],'Base Schedules'!$A$1:$AW$44,19,FALSE)="","",VLOOKUP(Fri_W2[[#This Row],[Employee Name]],'Base Schedules'!$A$1:$AW$44,19,FALSE)),"")</f>
        <v>HL</v>
      </c>
      <c r="U27" s="184" t="str">
        <f>IFERROR(IF(VLOOKUP(Fri_W2[[#This Row],[Employee Name]],'Base Schedules'!$A$1:$AW$44,20,FALSE)="","",VLOOKUP(Fri_W2[[#This Row],[Employee Name]],'Base Schedules'!$A$1:$AW$44,20,FALSE)),"")</f>
        <v>HL B1</v>
      </c>
      <c r="V27" s="184" t="str">
        <f>IFERROR(IF(VLOOKUP(Fri_W2[[#This Row],[Employee Name]],'Base Schedules'!$A$1:$AW$44,21,FALSE)="","",VLOOKUP(Fri_W2[[#This Row],[Employee Name]],'Base Schedules'!$A$1:$AW$44,21,FALSE)),"")</f>
        <v>ADM</v>
      </c>
      <c r="W27" s="184" t="str">
        <f>IFERROR(IF(VLOOKUP(Fri_W2[[#This Row],[Employee Name]],'Base Schedules'!$A$1:$AW$44,22,FALSE)="","",VLOOKUP(Fri_W2[[#This Row],[Employee Name]],'Base Schedules'!$A$1:$AW$44,22,FALSE)),"")</f>
        <v>ADM</v>
      </c>
      <c r="X27" s="184" t="str">
        <f>IFERROR(IF(VLOOKUP(Fri_W2[[#This Row],[Employee Name]],'Base Schedules'!$A$1:$AW$44,23,FALSE)="","",VLOOKUP(Fri_W2[[#This Row],[Employee Name]],'Base Schedules'!$A$1:$AW$44,23,FALSE)),"")</f>
        <v>PROJECT</v>
      </c>
      <c r="Y27" s="184" t="str">
        <f>IFERROR(IF(VLOOKUP(Fri_W2[[#This Row],[Employee Name]],'Base Schedules'!$A$1:$AW$44,24,FALSE)="","",VLOOKUP(Fri_W2[[#This Row],[Employee Name]],'Base Schedules'!$A$1:$AW$44,24,FALSE)),"")</f>
        <v>PROJECT</v>
      </c>
      <c r="Z27" s="184" t="str">
        <f>IFERROR(IF(VLOOKUP(Fri_W2[[#This Row],[Employee Name]],'Base Schedules'!$A$1:$AW$44,25,FALSE)="","",VLOOKUP(Fri_W2[[#This Row],[Employee Name]],'Base Schedules'!$A$1:$AW$44,25,FALSE)),"")</f>
        <v>LUNCH</v>
      </c>
      <c r="AA27" s="184" t="str">
        <f>IFERROR(IF(VLOOKUP(Fri_W2[[#This Row],[Employee Name]],'Base Schedules'!$A$1:$AW$44,26,FALSE)="","",VLOOKUP(Fri_W2[[#This Row],[Employee Name]],'Base Schedules'!$A$1:$AW$44,26,FALSE)),"")</f>
        <v>HL</v>
      </c>
      <c r="AB27" s="184" t="str">
        <f>IFERROR(IF(VLOOKUP(Fri_W2[[#This Row],[Employee Name]],'Base Schedules'!$A$1:$AW$44,27,FALSE)="","",VLOOKUP(Fri_W2[[#This Row],[Employee Name]],'Base Schedules'!$A$1:$AW$44,27,FALSE)),"")</f>
        <v>HL</v>
      </c>
      <c r="AC27" s="184" t="str">
        <f>IFERROR(IF(VLOOKUP(Fri_W2[[#This Row],[Employee Name]],'Base Schedules'!$A$1:$AW$44,28,FALSE)="","",VLOOKUP(Fri_W2[[#This Row],[Employee Name]],'Base Schedules'!$A$1:$AW$44,28,FALSE)),"")</f>
        <v>HL</v>
      </c>
      <c r="AD27" s="184" t="str">
        <f>IFERROR(IF(VLOOKUP(Fri_W2[[#This Row],[Employee Name]],'Base Schedules'!$A$1:$AW$44,29,FALSE)="","",VLOOKUP(Fri_W2[[#This Row],[Employee Name]],'Base Schedules'!$A$1:$AW$44,29,FALSE)),"")</f>
        <v>HL</v>
      </c>
      <c r="AE27" s="184" t="str">
        <f>IFERROR(IF(VLOOKUP(Fri_W2[[#This Row],[Employee Name]],'Base Schedules'!$A$1:$AW$44,30,FALSE)="","",VLOOKUP(Fri_W2[[#This Row],[Employee Name]],'Base Schedules'!$A$1:$AW$44,30,FALSE)),"")</f>
        <v>B2 ADM</v>
      </c>
      <c r="AF27" s="184" t="str">
        <f>IFERROR(IF(VLOOKUP(Fri_W2[[#This Row],[Employee Name]],'Base Schedules'!$A$1:$AW$44,31,FALSE)="","",VLOOKUP(Fri_W2[[#This Row],[Employee Name]],'Base Schedules'!$A$1:$AW$44,31,FALSE)),"")</f>
        <v>RNNR</v>
      </c>
      <c r="AG27" s="184" t="str">
        <f>IFERROR(IF(VLOOKUP(Fri_W2[[#This Row],[Employee Name]],'Base Schedules'!$A$1:$AW$44,32,FALSE)="","",VLOOKUP(Fri_W2[[#This Row],[Employee Name]],'Base Schedules'!$A$1:$AW$44,32,FALSE)),"")</f>
        <v>RNNR</v>
      </c>
      <c r="AH27" s="184" t="str">
        <f>IFERROR(IF(VLOOKUP(Fri_W2[[#This Row],[Employee Name]],'Base Schedules'!$A$1:$AW$44,33,FALSE)="","",VLOOKUP(Fri_W2[[#This Row],[Employee Name]],'Base Schedules'!$A$1:$AW$44,33,FALSE)),"")</f>
        <v>ADM</v>
      </c>
      <c r="AI27" s="184" t="str">
        <f>IFERROR(IF(VLOOKUP(Fri_W2[[#This Row],[Employee Name]],'Base Schedules'!$A$1:$AW$44,34,FALSE)="","",VLOOKUP(Fri_W2[[#This Row],[Employee Name]],'Base Schedules'!$A$1:$AW$44,34,FALSE)),"")</f>
        <v/>
      </c>
      <c r="AJ27" s="184" t="str">
        <f>IFERROR(IF(VLOOKUP(Fri_W2[[#This Row],[Employee Name]],'Base Schedules'!$A$1:$AW$44,35,FALSE)="","",VLOOKUP(Fri_W2[[#This Row],[Employee Name]],'Base Schedules'!$A$1:$AW$44,35,FALSE)),"")</f>
        <v/>
      </c>
      <c r="AK27" s="184" t="str">
        <f>IFERROR(IF(VLOOKUP(Fri_W2[[#This Row],[Employee Name]],'Base Schedules'!$A$1:$AW$44,36,FALSE)="","",VLOOKUP(Fri_W2[[#This Row],[Employee Name]],'Base Schedules'!$A$1:$AW$44,36,FALSE)),"")</f>
        <v/>
      </c>
      <c r="AL27" s="184" t="str">
        <f>IFERROR(IF(VLOOKUP(Fri_W2[[#This Row],[Employee Name]],'Base Schedules'!$A$1:$AW$44,37,FALSE)="","",VLOOKUP(Fri_W2[[#This Row],[Employee Name]],'Base Schedules'!$A$1:$AW$44,37,FALSE)),"")</f>
        <v/>
      </c>
      <c r="AM27" s="184" t="str">
        <f>IFERROR(IF(VLOOKUP(Fri_W2[[#This Row],[Employee Name]],'Base Schedules'!$A$1:$AW$44,38,FALSE)="","",VLOOKUP(Fri_W2[[#This Row],[Employee Name]],'Base Schedules'!$A$1:$AW$44,38,FALSE)),"")</f>
        <v/>
      </c>
      <c r="AN27" s="184" t="str">
        <f>IFERROR(IF(VLOOKUP(Fri_W2[[#This Row],[Employee Name]],'Base Schedules'!$A$1:$AW$44,39,FALSE)="","",VLOOKUP(Fri_W2[[#This Row],[Employee Name]],'Base Schedules'!$A$1:$AW$44,39,FALSE)),"")</f>
        <v/>
      </c>
      <c r="AO27" s="184" t="str">
        <f>IFERROR(IF(VLOOKUP(Fri_W2[[#This Row],[Employee Name]],'Base Schedules'!$A$1:$AW$44,40,FALSE)="","",VLOOKUP(Fri_W2[[#This Row],[Employee Name]],'Base Schedules'!$A$1:$AW$44,40,FALSE)),"")</f>
        <v/>
      </c>
      <c r="AP27" s="184" t="str">
        <f>IFERROR(IF(VLOOKUP(Fri_W2[[#This Row],[Employee Name]],'Base Schedules'!$A$1:$AW$44,41,FALSE)="","",VLOOKUP(Fri_W2[[#This Row],[Employee Name]],'Base Schedules'!$A$1:$AW$44,41,FALSE)),"")</f>
        <v/>
      </c>
      <c r="AQ27" s="184" t="str">
        <f>IFERROR(IF(VLOOKUP(Fri_W2[[#This Row],[Employee Name]],'Base Schedules'!$A$1:$AW$44,42,FALSE)="","",VLOOKUP(Fri_W2[[#This Row],[Employee Name]],'Base Schedules'!$A$1:$AW$44,42,FALSE)),"")</f>
        <v/>
      </c>
      <c r="AR27" s="184" t="str">
        <f>IFERROR(IF(VLOOKUP(Fri_W2[[#This Row],[Employee Name]],'Base Schedules'!$A$1:$AW$44,43,FALSE)="","",VLOOKUP(Fri_W2[[#This Row],[Employee Name]],'Base Schedules'!$A$1:$AW$44,43,FALSE)),"")</f>
        <v/>
      </c>
      <c r="AS27" s="184" t="str">
        <f>IFERROR(IF(VLOOKUP(Fri_W2[[#This Row],[Employee Name]],'Base Schedules'!$A$1:$AW$44,44,FALSE)="","",VLOOKUP(Fri_W2[[#This Row],[Employee Name]],'Base Schedules'!$A$1:$AW$44,44,FALSE)),"")</f>
        <v/>
      </c>
      <c r="AT27" s="184" t="str">
        <f>IFERROR(IF(VLOOKUP(Fri_W2[[#This Row],[Employee Name]],'Base Schedules'!$A$1:$AW$44,45,FALSE)="","",VLOOKUP(Fri_W2[[#This Row],[Employee Name]],'Base Schedules'!$A$1:$AW$44,45,FALSE)),"")</f>
        <v/>
      </c>
      <c r="AU27" s="184" t="str">
        <f>IFERROR(IF(VLOOKUP(Fri_W2[[#This Row],[Employee Name]],'Base Schedules'!$A$1:$AW$44,46,FALSE)="","",VLOOKUP(Fri_W2[[#This Row],[Employee Name]],'Base Schedules'!$A$1:$AW$44,46,FALSE)),"")</f>
        <v/>
      </c>
      <c r="AV27" s="184" t="str">
        <f>IFERROR(IF(VLOOKUP(Fri_W2[[#This Row],[Employee Name]],'Base Schedules'!$A$1:$AW$44,47,FALSE)="","",VLOOKUP(Fri_W2[[#This Row],[Employee Name]],'Base Schedules'!$A$1:$AW$44,47,FALSE)),"")</f>
        <v/>
      </c>
      <c r="AW27" s="184" t="str">
        <f>IFERROR(IF(VLOOKUP(Fri_W2[[#This Row],[Employee Name]],'Base Schedules'!$A$1:$AW$44,48,FALSE)="","",VLOOKUP(Fri_W2[[#This Row],[Employee Name]],'Base Schedules'!$A$1:$AW$44,48,FALSE)),"")</f>
        <v/>
      </c>
      <c r="AX27" s="184" t="str">
        <f>IFERROR(IF(VLOOKUP(Fri_W2[[#This Row],[Employee Name]],'Base Schedules'!$A$1:$AW$44,49,FALSE)="","",VLOOKUP(Fri_W2[[#This Row],[Employee Name]],'Base Schedules'!$A$1:$AW$44,49,FALSE)),"")</f>
        <v/>
      </c>
      <c r="AY27" s="159" t="str">
        <f t="shared" si="2"/>
        <v>Fiskvik, Christopher</v>
      </c>
    </row>
    <row r="28" spans="1:51" s="44" customFormat="1" ht="11.25" customHeight="1" x14ac:dyDescent="0.2">
      <c r="A28" s="39" t="str">
        <f>IF(B28="","",INDEX(TeamList[],MATCH($B28,TeamList[[Employee Name]:[Employee Name]],0),MATCH("Manager",TeamList[#Headers],0)))</f>
        <v>Ahmed Hassan, Zahra</v>
      </c>
      <c r="B28" s="201" t="s">
        <v>27</v>
      </c>
      <c r="C28" s="257" t="str">
        <f>_xlfn.IFNA(VLOOKUP(Fri_W2[[#This Row],[Employee Name]],'Base Schedules'!A:B,2,FALSE),"")</f>
        <v>Supervisor</v>
      </c>
      <c r="D28" s="274">
        <f>_xlfn.IFNA(VLOOKUP(Fri_W2[[#This Row],[Employee Name]],'Base Schedules'!A:C,3,FALSE),"")</f>
        <v>930</v>
      </c>
      <c r="E28" s="274">
        <f>_xlfn.IFNA(VLOOKUP(Fri_W2[[#This Row],[Employee Name]],'Base Schedules'!A:D,4,FALSE),"")</f>
        <v>1830</v>
      </c>
      <c r="F28" s="142">
        <f>IF(Fri_W2[[#This Row],[Employee Name]]="","",IF(Fri_W2[[#This Row],[Dept]]="Supervisor",COUNTIFS($J28:$AX28,"*HL*",$J28:$AX28,"&lt;&gt;"&amp;"pHL"),COUNTIFS($J28:$AX28,"*HL*",$J28:$AX28,"&lt;&gt;"&amp;"*pHL*",$J28:$AX28,"&lt;&gt;"&amp;"pB1 HL",$J28:$AX28,"&lt;&gt;"&amp;"pB2 HL")-SUM(COUNTIFS($J28:$AX28,"*HL B1*",$J28:$AX28,"&lt;&gt;"&amp;"pHL B1")*0.5,COUNTIFS($J28:$AX28,"*HL B2*",$J28:$AX28,"&lt;&gt;"&amp;"pHL B2")*0.5,COUNTIFS($J28:$AX28,"*B1 HL*",$J28:$AX28,"&lt;&gt;"&amp;"pB1 HL")*0.5,COUNTIFS($J28:$AX28,"*B2 HL*",$J28:$AX28,"&lt;&gt;"&amp;"pB2 HL")*0.5)))</f>
        <v>0</v>
      </c>
      <c r="G28" s="142">
        <f t="shared" si="0"/>
        <v>4</v>
      </c>
      <c r="H28" s="142">
        <f t="shared" si="1"/>
        <v>0</v>
      </c>
      <c r="I28" s="142">
        <f>IF(Fri_W2[[#This Row],[Employee Name]]="","",IF(Fri_W2[[#This Row],[Dept]]="Supervisor",SUM(COUNTIFS($J28:$AX28,"RTA*",$J28:$AX28,"&lt;&gt;"&amp;"pRTA"),COUNTIFS($J28:$AX28,"*CRTA*",$J28:$AX28,"&lt;&gt;"&amp;"pCRTA")),COUNTIFS($J28:$AX28,"*RNNR*",$J28:$AX28,"&lt;&gt;"&amp;"*pRNNR*",$J28:$AX28,"&lt;&gt;"&amp;"pB1 RNNR",$J28:$AX28,"&lt;&gt;"&amp;"pB2 RNNR")-SUM(COUNTIFS($J28:$AX28,"*RNNR B1*",$J28:$AX28,"&lt;&gt;"&amp;"pRNNR B1")*0.5,COUNTIFS($J28:$AX28,"*RNNR B2*",$J28:$AX28,"&lt;&gt;"&amp;"pRNNR B2")*0.5,COUNTIFS($J28:$AX28,"*B1 RNNR*",$J28:$AX28,"&lt;&gt;"&amp;"pB1 RNNR")*0.5,COUNTIFS($J28:$AX28,"*B2 RNNR*",$J28:$AX28,"&lt;&gt;"&amp;"pB2 RNNR")*0.5)))</f>
        <v>0</v>
      </c>
      <c r="J28" s="184" t="str">
        <f>IFERROR(IF(VLOOKUP(Fri_W2[[#This Row],[Employee Name]],'Base Schedules'!$A$1:$AW$44,9,FALSE)="","",VLOOKUP(Fri_W2[[#This Row],[Employee Name]],'Base Schedules'!$A$1:$AW$44,9,FALSE)),"")</f>
        <v/>
      </c>
      <c r="K28" s="184" t="str">
        <f>IFERROR(IF(VLOOKUP(Fri_W2[[#This Row],[Employee Name]],'Base Schedules'!$A$1:$AW$44,10,FALSE)="","",VLOOKUP(Fri_W2[[#This Row],[Employee Name]],'Base Schedules'!$A$1:$AW$44,10,FALSE)),"")</f>
        <v/>
      </c>
      <c r="L28" s="184" t="str">
        <f>IFERROR(IF(VLOOKUP(Fri_W2[[#This Row],[Employee Name]],'Base Schedules'!$A$1:$AW$44,11,FALSE)="","",VLOOKUP(Fri_W2[[#This Row],[Employee Name]],'Base Schedules'!$A$1:$AW$44,11,FALSE)),"")</f>
        <v/>
      </c>
      <c r="M28" s="184" t="str">
        <f>IFERROR(IF(VLOOKUP(Fri_W2[[#This Row],[Employee Name]],'Base Schedules'!$A$1:$AW$44,12,FALSE)="","",VLOOKUP(Fri_W2[[#This Row],[Employee Name]],'Base Schedules'!$A$1:$AW$44,12,FALSE)),"")</f>
        <v/>
      </c>
      <c r="N28" s="184" t="str">
        <f>IFERROR(IF(VLOOKUP(Fri_W2[[#This Row],[Employee Name]],'Base Schedules'!$A$1:$AW$44,13,FALSE)="","",VLOOKUP(Fri_W2[[#This Row],[Employee Name]],'Base Schedules'!$A$1:$AW$44,13,FALSE)),"")</f>
        <v/>
      </c>
      <c r="O28" s="184" t="str">
        <f>IFERROR(IF(VLOOKUP(Fri_W2[[#This Row],[Employee Name]],'Base Schedules'!$A$1:$AW$44,14,FALSE)="","",VLOOKUP(Fri_W2[[#This Row],[Employee Name]],'Base Schedules'!$A$1:$AW$44,14,FALSE)),"")</f>
        <v/>
      </c>
      <c r="P28" s="184" t="str">
        <f>IFERROR(IF(VLOOKUP(Fri_W2[[#This Row],[Employee Name]],'Base Schedules'!$A$1:$AW$44,15,FALSE)="","",VLOOKUP(Fri_W2[[#This Row],[Employee Name]],'Base Schedules'!$A$1:$AW$44,15,FALSE)),"")</f>
        <v/>
      </c>
      <c r="Q28" s="184" t="str">
        <f>IFERROR(IF(VLOOKUP(Fri_W2[[#This Row],[Employee Name]],'Base Schedules'!$A$1:$AW$44,16,FALSE)="","",VLOOKUP(Fri_W2[[#This Row],[Employee Name]],'Base Schedules'!$A$1:$AW$44,16,FALSE)),"")</f>
        <v/>
      </c>
      <c r="R28" s="184" t="str">
        <f>IFERROR(IF(VLOOKUP(Fri_W2[[#This Row],[Employee Name]],'Base Schedules'!$A$1:$AW$44,17,FALSE)="","",VLOOKUP(Fri_W2[[#This Row],[Employee Name]],'Base Schedules'!$A$1:$AW$44,17,FALSE)),"")</f>
        <v/>
      </c>
      <c r="S28" s="184" t="str">
        <f>IFERROR(IF(VLOOKUP(Fri_W2[[#This Row],[Employee Name]],'Base Schedules'!$A$1:$AW$44,18,FALSE)="","",VLOOKUP(Fri_W2[[#This Row],[Employee Name]],'Base Schedules'!$A$1:$AW$44,18,FALSE)),"")</f>
        <v>-</v>
      </c>
      <c r="T28" s="184" t="str">
        <f>IFERROR(IF(VLOOKUP(Fri_W2[[#This Row],[Employee Name]],'Base Schedules'!$A$1:$AW$44,19,FALSE)="","",VLOOKUP(Fri_W2[[#This Row],[Employee Name]],'Base Schedules'!$A$1:$AW$44,19,FALSE)),"")</f>
        <v>-</v>
      </c>
      <c r="U28" s="184" t="str">
        <f>IFERROR(IF(VLOOKUP(Fri_W2[[#This Row],[Employee Name]],'Base Schedules'!$A$1:$AW$44,20,FALSE)="","",VLOOKUP(Fri_W2[[#This Row],[Employee Name]],'Base Schedules'!$A$1:$AW$44,20,FALSE)),"")</f>
        <v>-</v>
      </c>
      <c r="V28" s="184" t="str">
        <f>IFERROR(IF(VLOOKUP(Fri_W2[[#This Row],[Employee Name]],'Base Schedules'!$A$1:$AW$44,21,FALSE)="","",VLOOKUP(Fri_W2[[#This Row],[Employee Name]],'Base Schedules'!$A$1:$AW$44,21,FALSE)),"")</f>
        <v>-</v>
      </c>
      <c r="W28" s="184" t="str">
        <f>IFERROR(IF(VLOOKUP(Fri_W2[[#This Row],[Employee Name]],'Base Schedules'!$A$1:$AW$44,22,FALSE)="","",VLOOKUP(Fri_W2[[#This Row],[Employee Name]],'Base Schedules'!$A$1:$AW$44,22,FALSE)),"")</f>
        <v>-</v>
      </c>
      <c r="X28" s="184" t="str">
        <f>IFERROR(IF(VLOOKUP(Fri_W2[[#This Row],[Employee Name]],'Base Schedules'!$A$1:$AW$44,23,FALSE)="","",VLOOKUP(Fri_W2[[#This Row],[Employee Name]],'Base Schedules'!$A$1:$AW$44,23,FALSE)),"")</f>
        <v>-</v>
      </c>
      <c r="Y28" s="184" t="str">
        <f>IFERROR(IF(VLOOKUP(Fri_W2[[#This Row],[Employee Name]],'Base Schedules'!$A$1:$AW$44,24,FALSE)="","",VLOOKUP(Fri_W2[[#This Row],[Employee Name]],'Base Schedules'!$A$1:$AW$44,24,FALSE)),"")</f>
        <v>-</v>
      </c>
      <c r="Z28" s="184" t="str">
        <f>IFERROR(IF(VLOOKUP(Fri_W2[[#This Row],[Employee Name]],'Base Schedules'!$A$1:$AW$44,25,FALSE)="","",VLOOKUP(Fri_W2[[#This Row],[Employee Name]],'Base Schedules'!$A$1:$AW$44,25,FALSE)),"")</f>
        <v>-</v>
      </c>
      <c r="AA28" s="184" t="str">
        <f>IFERROR(IF(VLOOKUP(Fri_W2[[#This Row],[Employee Name]],'Base Schedules'!$A$1:$AW$44,26,FALSE)="","",VLOOKUP(Fri_W2[[#This Row],[Employee Name]],'Base Schedules'!$A$1:$AW$44,26,FALSE)),"")</f>
        <v>-</v>
      </c>
      <c r="AB28" s="184" t="str">
        <f>IFERROR(IF(VLOOKUP(Fri_W2[[#This Row],[Employee Name]],'Base Schedules'!$A$1:$AW$44,27,FALSE)="","",VLOOKUP(Fri_W2[[#This Row],[Employee Name]],'Base Schedules'!$A$1:$AW$44,27,FALSE)),"")</f>
        <v>Interview</v>
      </c>
      <c r="AC28" s="184" t="str">
        <f>IFERROR(IF(VLOOKUP(Fri_W2[[#This Row],[Employee Name]],'Base Schedules'!$A$1:$AW$44,28,FALSE)="","",VLOOKUP(Fri_W2[[#This Row],[Employee Name]],'Base Schedules'!$A$1:$AW$44,28,FALSE)),"")</f>
        <v>Interview</v>
      </c>
      <c r="AD28" s="184" t="str">
        <f>IFERROR(IF(VLOOKUP(Fri_W2[[#This Row],[Employee Name]],'Base Schedules'!$A$1:$AW$44,29,FALSE)="","",VLOOKUP(Fri_W2[[#This Row],[Employee Name]],'Base Schedules'!$A$1:$AW$44,29,FALSE)),"")</f>
        <v>-</v>
      </c>
      <c r="AE28" s="184" t="str">
        <f>IFERROR(IF(VLOOKUP(Fri_W2[[#This Row],[Employee Name]],'Base Schedules'!$A$1:$AW$44,30,FALSE)="","",VLOOKUP(Fri_W2[[#This Row],[Employee Name]],'Base Schedules'!$A$1:$AW$44,30,FALSE)),"")</f>
        <v>-</v>
      </c>
      <c r="AF28" s="184" t="str">
        <f>IFERROR(IF(VLOOKUP(Fri_W2[[#This Row],[Employee Name]],'Base Schedules'!$A$1:$AW$44,31,FALSE)="","",VLOOKUP(Fri_W2[[#This Row],[Employee Name]],'Base Schedules'!$A$1:$AW$44,31,FALSE)),"")</f>
        <v>Coaching</v>
      </c>
      <c r="AG28" s="184" t="str">
        <f>IFERROR(IF(VLOOKUP(Fri_W2[[#This Row],[Employee Name]],'Base Schedules'!$A$1:$AW$44,32,FALSE)="","",VLOOKUP(Fri_W2[[#This Row],[Employee Name]],'Base Schedules'!$A$1:$AW$44,32,FALSE)),"")</f>
        <v>Coaching</v>
      </c>
      <c r="AH28" s="184" t="str">
        <f>IFERROR(IF(VLOOKUP(Fri_W2[[#This Row],[Employee Name]],'Base Schedules'!$A$1:$AW$44,33,FALSE)="","",VLOOKUP(Fri_W2[[#This Row],[Employee Name]],'Base Schedules'!$A$1:$AW$44,33,FALSE)),"")</f>
        <v>Coaching</v>
      </c>
      <c r="AI28" s="184" t="str">
        <f>IFERROR(IF(VLOOKUP(Fri_W2[[#This Row],[Employee Name]],'Base Schedules'!$A$1:$AW$44,34,FALSE)="","",VLOOKUP(Fri_W2[[#This Row],[Employee Name]],'Base Schedules'!$A$1:$AW$44,34,FALSE)),"")</f>
        <v>Coaching</v>
      </c>
      <c r="AJ28" s="184" t="str">
        <f>IFERROR(IF(VLOOKUP(Fri_W2[[#This Row],[Employee Name]],'Base Schedules'!$A$1:$AW$44,35,FALSE)="","",VLOOKUP(Fri_W2[[#This Row],[Employee Name]],'Base Schedules'!$A$1:$AW$44,35,FALSE)),"")</f>
        <v>-</v>
      </c>
      <c r="AK28" s="184" t="str">
        <f>IFERROR(IF(VLOOKUP(Fri_W2[[#This Row],[Employee Name]],'Base Schedules'!$A$1:$AW$44,36,FALSE)="","",VLOOKUP(Fri_W2[[#This Row],[Employee Name]],'Base Schedules'!$A$1:$AW$44,36,FALSE)),"")</f>
        <v/>
      </c>
      <c r="AL28" s="184" t="str">
        <f>IFERROR(IF(VLOOKUP(Fri_W2[[#This Row],[Employee Name]],'Base Schedules'!$A$1:$AW$44,37,FALSE)="","",VLOOKUP(Fri_W2[[#This Row],[Employee Name]],'Base Schedules'!$A$1:$AW$44,37,FALSE)),"")</f>
        <v/>
      </c>
      <c r="AM28" s="184" t="str">
        <f>IFERROR(IF(VLOOKUP(Fri_W2[[#This Row],[Employee Name]],'Base Schedules'!$A$1:$AW$44,38,FALSE)="","",VLOOKUP(Fri_W2[[#This Row],[Employee Name]],'Base Schedules'!$A$1:$AW$44,38,FALSE)),"")</f>
        <v/>
      </c>
      <c r="AN28" s="184" t="str">
        <f>IFERROR(IF(VLOOKUP(Fri_W2[[#This Row],[Employee Name]],'Base Schedules'!$A$1:$AW$44,39,FALSE)="","",VLOOKUP(Fri_W2[[#This Row],[Employee Name]],'Base Schedules'!$A$1:$AW$44,39,FALSE)),"")</f>
        <v/>
      </c>
      <c r="AO28" s="184" t="str">
        <f>IFERROR(IF(VLOOKUP(Fri_W2[[#This Row],[Employee Name]],'Base Schedules'!$A$1:$AW$44,40,FALSE)="","",VLOOKUP(Fri_W2[[#This Row],[Employee Name]],'Base Schedules'!$A$1:$AW$44,40,FALSE)),"")</f>
        <v/>
      </c>
      <c r="AP28" s="184" t="str">
        <f>IFERROR(IF(VLOOKUP(Fri_W2[[#This Row],[Employee Name]],'Base Schedules'!$A$1:$AW$44,41,FALSE)="","",VLOOKUP(Fri_W2[[#This Row],[Employee Name]],'Base Schedules'!$A$1:$AW$44,41,FALSE)),"")</f>
        <v/>
      </c>
      <c r="AQ28" s="184" t="str">
        <f>IFERROR(IF(VLOOKUP(Fri_W2[[#This Row],[Employee Name]],'Base Schedules'!$A$1:$AW$44,42,FALSE)="","",VLOOKUP(Fri_W2[[#This Row],[Employee Name]],'Base Schedules'!$A$1:$AW$44,42,FALSE)),"")</f>
        <v/>
      </c>
      <c r="AR28" s="184" t="str">
        <f>IFERROR(IF(VLOOKUP(Fri_W2[[#This Row],[Employee Name]],'Base Schedules'!$A$1:$AW$44,43,FALSE)="","",VLOOKUP(Fri_W2[[#This Row],[Employee Name]],'Base Schedules'!$A$1:$AW$44,43,FALSE)),"")</f>
        <v/>
      </c>
      <c r="AS28" s="184" t="str">
        <f>IFERROR(IF(VLOOKUP(Fri_W2[[#This Row],[Employee Name]],'Base Schedules'!$A$1:$AW$44,44,FALSE)="","",VLOOKUP(Fri_W2[[#This Row],[Employee Name]],'Base Schedules'!$A$1:$AW$44,44,FALSE)),"")</f>
        <v/>
      </c>
      <c r="AT28" s="184" t="str">
        <f>IFERROR(IF(VLOOKUP(Fri_W2[[#This Row],[Employee Name]],'Base Schedules'!$A$1:$AW$44,45,FALSE)="","",VLOOKUP(Fri_W2[[#This Row],[Employee Name]],'Base Schedules'!$A$1:$AW$44,45,FALSE)),"")</f>
        <v/>
      </c>
      <c r="AU28" s="184" t="str">
        <f>IFERROR(IF(VLOOKUP(Fri_W2[[#This Row],[Employee Name]],'Base Schedules'!$A$1:$AW$44,46,FALSE)="","",VLOOKUP(Fri_W2[[#This Row],[Employee Name]],'Base Schedules'!$A$1:$AW$44,46,FALSE)),"")</f>
        <v/>
      </c>
      <c r="AV28" s="184" t="str">
        <f>IFERROR(IF(VLOOKUP(Fri_W2[[#This Row],[Employee Name]],'Base Schedules'!$A$1:$AW$44,47,FALSE)="","",VLOOKUP(Fri_W2[[#This Row],[Employee Name]],'Base Schedules'!$A$1:$AW$44,47,FALSE)),"")</f>
        <v/>
      </c>
      <c r="AW28" s="184" t="str">
        <f>IFERROR(IF(VLOOKUP(Fri_W2[[#This Row],[Employee Name]],'Base Schedules'!$A$1:$AW$44,48,FALSE)="","",VLOOKUP(Fri_W2[[#This Row],[Employee Name]],'Base Schedules'!$A$1:$AW$44,48,FALSE)),"")</f>
        <v/>
      </c>
      <c r="AX28" s="184" t="str">
        <f>IFERROR(IF(VLOOKUP(Fri_W2[[#This Row],[Employee Name]],'Base Schedules'!$A$1:$AW$44,49,FALSE)="","",VLOOKUP(Fri_W2[[#This Row],[Employee Name]],'Base Schedules'!$A$1:$AW$44,49,FALSE)),"")</f>
        <v/>
      </c>
      <c r="AY28" s="161" t="str">
        <f t="shared" si="2"/>
        <v>McLean, Michael</v>
      </c>
    </row>
    <row r="29" spans="1:51" s="44" customFormat="1" ht="11.25" customHeight="1" x14ac:dyDescent="0.2">
      <c r="A29" s="39" t="str">
        <f>IF(B29="","",INDEX(TeamList[],MATCH($B29,TeamList[[Employee Name]:[Employee Name]],0),MATCH("Manager",TeamList[#Headers],0)))</f>
        <v>Olson, Katherine</v>
      </c>
      <c r="B29" s="201" t="s">
        <v>69</v>
      </c>
      <c r="C29" s="257" t="str">
        <f>_xlfn.IFNA(VLOOKUP(Fri_W2[[#This Row],[Employee Name]],'Base Schedules'!A:B,2,FALSE),"")</f>
        <v>Lead</v>
      </c>
      <c r="D29" s="274">
        <f>_xlfn.IFNA(VLOOKUP(Fri_W2[[#This Row],[Employee Name]],'Base Schedules'!A:C,3,FALSE),"")</f>
        <v>1000</v>
      </c>
      <c r="E29" s="274">
        <f>_xlfn.IFNA(VLOOKUP(Fri_W2[[#This Row],[Employee Name]],'Base Schedules'!A:D,4,FALSE),"")</f>
        <v>1900</v>
      </c>
      <c r="F29" s="142">
        <f>IF(Fri_W2[[#This Row],[Employee Name]]="","",IF(Fri_W2[[#This Row],[Dept]]="Supervisor",COUNTIFS($J29:$AX29,"*HL*",$J29:$AX29,"&lt;&gt;"&amp;"pHL"),COUNTIFS($J29:$AX29,"*HL*",$J29:$AX29,"&lt;&gt;"&amp;"*pHL*",$J29:$AX29,"&lt;&gt;"&amp;"pB1 HL",$J29:$AX29,"&lt;&gt;"&amp;"pB2 HL")-SUM(COUNTIFS($J29:$AX29,"*HL B1*",$J29:$AX29,"&lt;&gt;"&amp;"pHL B1")*0.5,COUNTIFS($J29:$AX29,"*HL B2*",$J29:$AX29,"&lt;&gt;"&amp;"pHL B2")*0.5,COUNTIFS($J29:$AX29,"*B1 HL*",$J29:$AX29,"&lt;&gt;"&amp;"pB1 HL")*0.5,COUNTIFS($J29:$AX29,"*B2 HL*",$J29:$AX29,"&lt;&gt;"&amp;"pB2 HL")*0.5)))</f>
        <v>8</v>
      </c>
      <c r="G29" s="142">
        <f t="shared" si="0"/>
        <v>0</v>
      </c>
      <c r="H29" s="142">
        <f t="shared" si="1"/>
        <v>5</v>
      </c>
      <c r="I29" s="142">
        <f>IF(Fri_W2[[#This Row],[Employee Name]]="","",IF(Fri_W2[[#This Row],[Dept]]="Supervisor",SUM(COUNTIFS($J29:$AX29,"RTA*",$J29:$AX29,"&lt;&gt;"&amp;"pRTA"),COUNTIFS($J29:$AX29,"*CRTA*",$J29:$AX29,"&lt;&gt;"&amp;"pCRTA")),COUNTIFS($J29:$AX29,"*RNNR*",$J29:$AX29,"&lt;&gt;"&amp;"*pRNNR*",$J29:$AX29,"&lt;&gt;"&amp;"pB1 RNNR",$J29:$AX29,"&lt;&gt;"&amp;"pB2 RNNR")-SUM(COUNTIFS($J29:$AX29,"*RNNR B1*",$J29:$AX29,"&lt;&gt;"&amp;"pRNNR B1")*0.5,COUNTIFS($J29:$AX29,"*RNNR B2*",$J29:$AX29,"&lt;&gt;"&amp;"pRNNR B2")*0.5,COUNTIFS($J29:$AX29,"*B1 RNNR*",$J29:$AX29,"&lt;&gt;"&amp;"pB1 RNNR")*0.5,COUNTIFS($J29:$AX29,"*B2 RNNR*",$J29:$AX29,"&lt;&gt;"&amp;"pB2 RNNR")*0.5)))</f>
        <v>2</v>
      </c>
      <c r="J29" s="184" t="str">
        <f>IFERROR(IF(VLOOKUP(Fri_W2[[#This Row],[Employee Name]],'Base Schedules'!$A$1:$AW$44,9,FALSE)="","",VLOOKUP(Fri_W2[[#This Row],[Employee Name]],'Base Schedules'!$A$1:$AW$44,9,FALSE)),"")</f>
        <v/>
      </c>
      <c r="K29" s="184" t="str">
        <f>IFERROR(IF(VLOOKUP(Fri_W2[[#This Row],[Employee Name]],'Base Schedules'!$A$1:$AW$44,10,FALSE)="","",VLOOKUP(Fri_W2[[#This Row],[Employee Name]],'Base Schedules'!$A$1:$AW$44,10,FALSE)),"")</f>
        <v/>
      </c>
      <c r="L29" s="184" t="str">
        <f>IFERROR(IF(VLOOKUP(Fri_W2[[#This Row],[Employee Name]],'Base Schedules'!$A$1:$AW$44,11,FALSE)="","",VLOOKUP(Fri_W2[[#This Row],[Employee Name]],'Base Schedules'!$A$1:$AW$44,11,FALSE)),"")</f>
        <v/>
      </c>
      <c r="M29" s="184" t="str">
        <f>IFERROR(IF(VLOOKUP(Fri_W2[[#This Row],[Employee Name]],'Base Schedules'!$A$1:$AW$44,12,FALSE)="","",VLOOKUP(Fri_W2[[#This Row],[Employee Name]],'Base Schedules'!$A$1:$AW$44,12,FALSE)),"")</f>
        <v/>
      </c>
      <c r="N29" s="184" t="str">
        <f>IFERROR(IF(VLOOKUP(Fri_W2[[#This Row],[Employee Name]],'Base Schedules'!$A$1:$AW$44,13,FALSE)="","",VLOOKUP(Fri_W2[[#This Row],[Employee Name]],'Base Schedules'!$A$1:$AW$44,13,FALSE)),"")</f>
        <v/>
      </c>
      <c r="O29" s="184" t="str">
        <f>IFERROR(IF(VLOOKUP(Fri_W2[[#This Row],[Employee Name]],'Base Schedules'!$A$1:$AW$44,14,FALSE)="","",VLOOKUP(Fri_W2[[#This Row],[Employee Name]],'Base Schedules'!$A$1:$AW$44,14,FALSE)),"")</f>
        <v/>
      </c>
      <c r="P29" s="184" t="str">
        <f>IFERROR(IF(VLOOKUP(Fri_W2[[#This Row],[Employee Name]],'Base Schedules'!$A$1:$AW$44,15,FALSE)="","",VLOOKUP(Fri_W2[[#This Row],[Employee Name]],'Base Schedules'!$A$1:$AW$44,15,FALSE)),"")</f>
        <v/>
      </c>
      <c r="Q29" s="184" t="str">
        <f>IFERROR(IF(VLOOKUP(Fri_W2[[#This Row],[Employee Name]],'Base Schedules'!$A$1:$AW$44,16,FALSE)="","",VLOOKUP(Fri_W2[[#This Row],[Employee Name]],'Base Schedules'!$A$1:$AW$44,16,FALSE)),"")</f>
        <v/>
      </c>
      <c r="R29" s="184" t="str">
        <f>IFERROR(IF(VLOOKUP(Fri_W2[[#This Row],[Employee Name]],'Base Schedules'!$A$1:$AW$44,17,FALSE)="","",VLOOKUP(Fri_W2[[#This Row],[Employee Name]],'Base Schedules'!$A$1:$AW$44,17,FALSE)),"")</f>
        <v/>
      </c>
      <c r="S29" s="184" t="str">
        <f>IFERROR(IF(VLOOKUP(Fri_W2[[#This Row],[Employee Name]],'Base Schedules'!$A$1:$AW$44,18,FALSE)="","",VLOOKUP(Fri_W2[[#This Row],[Employee Name]],'Base Schedules'!$A$1:$AW$44,18,FALSE)),"")</f>
        <v/>
      </c>
      <c r="T29" s="184" t="str">
        <f>IFERROR(IF(VLOOKUP(Fri_W2[[#This Row],[Employee Name]],'Base Schedules'!$A$1:$AW$44,19,FALSE)="","",VLOOKUP(Fri_W2[[#This Row],[Employee Name]],'Base Schedules'!$A$1:$AW$44,19,FALSE)),"")</f>
        <v>HL</v>
      </c>
      <c r="U29" s="184" t="str">
        <f>IFERROR(IF(VLOOKUP(Fri_W2[[#This Row],[Employee Name]],'Base Schedules'!$A$1:$AW$44,20,FALSE)="","",VLOOKUP(Fri_W2[[#This Row],[Employee Name]],'Base Schedules'!$A$1:$AW$44,20,FALSE)),"")</f>
        <v>HL</v>
      </c>
      <c r="V29" s="184" t="str">
        <f>IFERROR(IF(VLOOKUP(Fri_W2[[#This Row],[Employee Name]],'Base Schedules'!$A$1:$AW$44,21,FALSE)="","",VLOOKUP(Fri_W2[[#This Row],[Employee Name]],'Base Schedules'!$A$1:$AW$44,21,FALSE)),"")</f>
        <v>HL</v>
      </c>
      <c r="W29" s="184" t="str">
        <f>IFERROR(IF(VLOOKUP(Fri_W2[[#This Row],[Employee Name]],'Base Schedules'!$A$1:$AW$44,22,FALSE)="","",VLOOKUP(Fri_W2[[#This Row],[Employee Name]],'Base Schedules'!$A$1:$AW$44,22,FALSE)),"")</f>
        <v>HL</v>
      </c>
      <c r="X29" s="184" t="str">
        <f>IFERROR(IF(VLOOKUP(Fri_W2[[#This Row],[Employee Name]],'Base Schedules'!$A$1:$AW$44,23,FALSE)="","",VLOOKUP(Fri_W2[[#This Row],[Employee Name]],'Base Schedules'!$A$1:$AW$44,23,FALSE)),"")</f>
        <v>HL B1</v>
      </c>
      <c r="Y29" s="184" t="str">
        <f>IFERROR(IF(VLOOKUP(Fri_W2[[#This Row],[Employee Name]],'Base Schedules'!$A$1:$AW$44,24,FALSE)="","",VLOOKUP(Fri_W2[[#This Row],[Employee Name]],'Base Schedules'!$A$1:$AW$44,24,FALSE)),"")</f>
        <v>ADM</v>
      </c>
      <c r="Z29" s="184" t="str">
        <f>IFERROR(IF(VLOOKUP(Fri_W2[[#This Row],[Employee Name]],'Base Schedules'!$A$1:$AW$44,25,FALSE)="","",VLOOKUP(Fri_W2[[#This Row],[Employee Name]],'Base Schedules'!$A$1:$AW$44,25,FALSE)),"")</f>
        <v>ADM</v>
      </c>
      <c r="AA29" s="184" t="str">
        <f>IFERROR(IF(VLOOKUP(Fri_W2[[#This Row],[Employee Name]],'Base Schedules'!$A$1:$AW$44,26,FALSE)="","",VLOOKUP(Fri_W2[[#This Row],[Employee Name]],'Base Schedules'!$A$1:$AW$44,26,FALSE)),"")</f>
        <v>ADM</v>
      </c>
      <c r="AB29" s="184" t="str">
        <f>IFERROR(IF(VLOOKUP(Fri_W2[[#This Row],[Employee Name]],'Base Schedules'!$A$1:$AW$44,27,FALSE)="","",VLOOKUP(Fri_W2[[#This Row],[Employee Name]],'Base Schedules'!$A$1:$AW$44,27,FALSE)),"")</f>
        <v>ADM</v>
      </c>
      <c r="AC29" s="184" t="str">
        <f>IFERROR(IF(VLOOKUP(Fri_W2[[#This Row],[Employee Name]],'Base Schedules'!$A$1:$AW$44,28,FALSE)="","",VLOOKUP(Fri_W2[[#This Row],[Employee Name]],'Base Schedules'!$A$1:$AW$44,28,FALSE)),"")</f>
        <v>LUNCH</v>
      </c>
      <c r="AD29" s="184" t="str">
        <f>IFERROR(IF(VLOOKUP(Fri_W2[[#This Row],[Employee Name]],'Base Schedules'!$A$1:$AW$44,29,FALSE)="","",VLOOKUP(Fri_W2[[#This Row],[Employee Name]],'Base Schedules'!$A$1:$AW$44,29,FALSE)),"")</f>
        <v>LUNCH</v>
      </c>
      <c r="AE29" s="184" t="str">
        <f>IFERROR(IF(VLOOKUP(Fri_W2[[#This Row],[Employee Name]],'Base Schedules'!$A$1:$AW$44,30,FALSE)="","",VLOOKUP(Fri_W2[[#This Row],[Employee Name]],'Base Schedules'!$A$1:$AW$44,30,FALSE)),"")</f>
        <v>ADM</v>
      </c>
      <c r="AF29" s="184" t="str">
        <f>IFERROR(IF(VLOOKUP(Fri_W2[[#This Row],[Employee Name]],'Base Schedules'!$A$1:$AW$44,31,FALSE)="","",VLOOKUP(Fri_W2[[#This Row],[Employee Name]],'Base Schedules'!$A$1:$AW$44,31,FALSE)),"")</f>
        <v>HL</v>
      </c>
      <c r="AG29" s="184" t="str">
        <f>IFERROR(IF(VLOOKUP(Fri_W2[[#This Row],[Employee Name]],'Base Schedules'!$A$1:$AW$44,32,FALSE)="","",VLOOKUP(Fri_W2[[#This Row],[Employee Name]],'Base Schedules'!$A$1:$AW$44,32,FALSE)),"")</f>
        <v>HL</v>
      </c>
      <c r="AH29" s="184" t="str">
        <f>IFERROR(IF(VLOOKUP(Fri_W2[[#This Row],[Employee Name]],'Base Schedules'!$A$1:$AW$44,33,FALSE)="","",VLOOKUP(Fri_W2[[#This Row],[Employee Name]],'Base Schedules'!$A$1:$AW$44,33,FALSE)),"")</f>
        <v>B2 HL</v>
      </c>
      <c r="AI29" s="184" t="str">
        <f>IFERROR(IF(VLOOKUP(Fri_W2[[#This Row],[Employee Name]],'Base Schedules'!$A$1:$AW$44,34,FALSE)="","",VLOOKUP(Fri_W2[[#This Row],[Employee Name]],'Base Schedules'!$A$1:$AW$44,34,FALSE)),"")</f>
        <v>HL</v>
      </c>
      <c r="AJ29" s="184" t="str">
        <f>IFERROR(IF(VLOOKUP(Fri_W2[[#This Row],[Employee Name]],'Base Schedules'!$A$1:$AW$44,35,FALSE)="","",VLOOKUP(Fri_W2[[#This Row],[Employee Name]],'Base Schedules'!$A$1:$AW$44,35,FALSE)),"")</f>
        <v>RNNR</v>
      </c>
      <c r="AK29" s="184" t="str">
        <f>IFERROR(IF(VLOOKUP(Fri_W2[[#This Row],[Employee Name]],'Base Schedules'!$A$1:$AW$44,36,FALSE)="","",VLOOKUP(Fri_W2[[#This Row],[Employee Name]],'Base Schedules'!$A$1:$AW$44,36,FALSE)),"")</f>
        <v>RNNR</v>
      </c>
      <c r="AL29" s="184" t="str">
        <f>IFERROR(IF(VLOOKUP(Fri_W2[[#This Row],[Employee Name]],'Base Schedules'!$A$1:$AW$44,37,FALSE)="","",VLOOKUP(Fri_W2[[#This Row],[Employee Name]],'Base Schedules'!$A$1:$AW$44,37,FALSE)),"")</f>
        <v/>
      </c>
      <c r="AM29" s="184" t="str">
        <f>IFERROR(IF(VLOOKUP(Fri_W2[[#This Row],[Employee Name]],'Base Schedules'!$A$1:$AW$44,38,FALSE)="","",VLOOKUP(Fri_W2[[#This Row],[Employee Name]],'Base Schedules'!$A$1:$AW$44,38,FALSE)),"")</f>
        <v/>
      </c>
      <c r="AN29" s="184" t="str">
        <f>IFERROR(IF(VLOOKUP(Fri_W2[[#This Row],[Employee Name]],'Base Schedules'!$A$1:$AW$44,39,FALSE)="","",VLOOKUP(Fri_W2[[#This Row],[Employee Name]],'Base Schedules'!$A$1:$AW$44,39,FALSE)),"")</f>
        <v/>
      </c>
      <c r="AO29" s="184" t="str">
        <f>IFERROR(IF(VLOOKUP(Fri_W2[[#This Row],[Employee Name]],'Base Schedules'!$A$1:$AW$44,40,FALSE)="","",VLOOKUP(Fri_W2[[#This Row],[Employee Name]],'Base Schedules'!$A$1:$AW$44,40,FALSE)),"")</f>
        <v/>
      </c>
      <c r="AP29" s="184" t="str">
        <f>IFERROR(IF(VLOOKUP(Fri_W2[[#This Row],[Employee Name]],'Base Schedules'!$A$1:$AW$44,41,FALSE)="","",VLOOKUP(Fri_W2[[#This Row],[Employee Name]],'Base Schedules'!$A$1:$AW$44,41,FALSE)),"")</f>
        <v/>
      </c>
      <c r="AQ29" s="184" t="str">
        <f>IFERROR(IF(VLOOKUP(Fri_W2[[#This Row],[Employee Name]],'Base Schedules'!$A$1:$AW$44,42,FALSE)="","",VLOOKUP(Fri_W2[[#This Row],[Employee Name]],'Base Schedules'!$A$1:$AW$44,42,FALSE)),"")</f>
        <v/>
      </c>
      <c r="AR29" s="184" t="str">
        <f>IFERROR(IF(VLOOKUP(Fri_W2[[#This Row],[Employee Name]],'Base Schedules'!$A$1:$AW$44,43,FALSE)="","",VLOOKUP(Fri_W2[[#This Row],[Employee Name]],'Base Schedules'!$A$1:$AW$44,43,FALSE)),"")</f>
        <v/>
      </c>
      <c r="AS29" s="184" t="str">
        <f>IFERROR(IF(VLOOKUP(Fri_W2[[#This Row],[Employee Name]],'Base Schedules'!$A$1:$AW$44,44,FALSE)="","",VLOOKUP(Fri_W2[[#This Row],[Employee Name]],'Base Schedules'!$A$1:$AW$44,44,FALSE)),"")</f>
        <v/>
      </c>
      <c r="AT29" s="184" t="str">
        <f>IFERROR(IF(VLOOKUP(Fri_W2[[#This Row],[Employee Name]],'Base Schedules'!$A$1:$AW$44,45,FALSE)="","",VLOOKUP(Fri_W2[[#This Row],[Employee Name]],'Base Schedules'!$A$1:$AW$44,45,FALSE)),"")</f>
        <v/>
      </c>
      <c r="AU29" s="184" t="str">
        <f>IFERROR(IF(VLOOKUP(Fri_W2[[#This Row],[Employee Name]],'Base Schedules'!$A$1:$AW$44,46,FALSE)="","",VLOOKUP(Fri_W2[[#This Row],[Employee Name]],'Base Schedules'!$A$1:$AW$44,46,FALSE)),"")</f>
        <v/>
      </c>
      <c r="AV29" s="184" t="str">
        <f>IFERROR(IF(VLOOKUP(Fri_W2[[#This Row],[Employee Name]],'Base Schedules'!$A$1:$AW$44,47,FALSE)="","",VLOOKUP(Fri_W2[[#This Row],[Employee Name]],'Base Schedules'!$A$1:$AW$44,47,FALSE)),"")</f>
        <v/>
      </c>
      <c r="AW29" s="184" t="str">
        <f>IFERROR(IF(VLOOKUP(Fri_W2[[#This Row],[Employee Name]],'Base Schedules'!$A$1:$AW$44,48,FALSE)="","",VLOOKUP(Fri_W2[[#This Row],[Employee Name]],'Base Schedules'!$A$1:$AW$44,48,FALSE)),"")</f>
        <v/>
      </c>
      <c r="AX29" s="184" t="str">
        <f>IFERROR(IF(VLOOKUP(Fri_W2[[#This Row],[Employee Name]],'Base Schedules'!$A$1:$AW$44,49,FALSE)="","",VLOOKUP(Fri_W2[[#This Row],[Employee Name]],'Base Schedules'!$A$1:$AW$44,49,FALSE)),"")</f>
        <v/>
      </c>
      <c r="AY29" s="186" t="str">
        <f t="shared" si="2"/>
        <v>Slagle, Natasha</v>
      </c>
    </row>
    <row r="30" spans="1:51" s="44" customFormat="1" ht="11.25" customHeight="1" x14ac:dyDescent="0.2">
      <c r="A30" s="39" t="str">
        <f>IF(B30="","",INDEX(TeamList[],MATCH($B30,TeamList[[Employee Name]:[Employee Name]],0),MATCH("Manager",TeamList[#Headers],0)))</f>
        <v>Olson, Katherine</v>
      </c>
      <c r="B30" s="201" t="s">
        <v>67</v>
      </c>
      <c r="C30" s="257" t="str">
        <f>_xlfn.IFNA(VLOOKUP(Fri_W2[[#This Row],[Employee Name]],'Base Schedules'!A:B,2,FALSE),"")</f>
        <v>Lead</v>
      </c>
      <c r="D30" s="274">
        <f>_xlfn.IFNA(VLOOKUP(Fri_W2[[#This Row],[Employee Name]],'Base Schedules'!A:C,3,FALSE),"")</f>
        <v>1030</v>
      </c>
      <c r="E30" s="274">
        <f>_xlfn.IFNA(VLOOKUP(Fri_W2[[#This Row],[Employee Name]],'Base Schedules'!A:D,4,FALSE),"")</f>
        <v>1900</v>
      </c>
      <c r="F30" s="142">
        <f>IF(Fri_W2[[#This Row],[Employee Name]]="","",IF(Fri_W2[[#This Row],[Dept]]="Supervisor",COUNTIFS($J30:$AX30,"*HL*",$J30:$AX30,"&lt;&gt;"&amp;"pHL"),COUNTIFS($J30:$AX30,"*HL*",$J30:$AX30,"&lt;&gt;"&amp;"*pHL*",$J30:$AX30,"&lt;&gt;"&amp;"pB1 HL",$J30:$AX30,"&lt;&gt;"&amp;"pB2 HL")-SUM(COUNTIFS($J30:$AX30,"*HL B1*",$J30:$AX30,"&lt;&gt;"&amp;"pHL B1")*0.5,COUNTIFS($J30:$AX30,"*HL B2*",$J30:$AX30,"&lt;&gt;"&amp;"pHL B2")*0.5,COUNTIFS($J30:$AX30,"*B1 HL*",$J30:$AX30,"&lt;&gt;"&amp;"pB1 HL")*0.5,COUNTIFS($J30:$AX30,"*B2 HL*",$J30:$AX30,"&lt;&gt;"&amp;"pB2 HL")*0.5)))</f>
        <v>9</v>
      </c>
      <c r="G30" s="142">
        <f t="shared" si="0"/>
        <v>0</v>
      </c>
      <c r="H30" s="142">
        <f t="shared" si="1"/>
        <v>6</v>
      </c>
      <c r="I30" s="142">
        <f>IF(Fri_W2[[#This Row],[Employee Name]]="","",IF(Fri_W2[[#This Row],[Dept]]="Supervisor",SUM(COUNTIFS($J30:$AX30,"RTA*",$J30:$AX30,"&lt;&gt;"&amp;"pRTA"),COUNTIFS($J30:$AX30,"*CRTA*",$J30:$AX30,"&lt;&gt;"&amp;"pCRTA")),COUNTIFS($J30:$AX30,"*RNNR*",$J30:$AX30,"&lt;&gt;"&amp;"*pRNNR*",$J30:$AX30,"&lt;&gt;"&amp;"pB1 RNNR",$J30:$AX30,"&lt;&gt;"&amp;"pB2 RNNR")-SUM(COUNTIFS($J30:$AX30,"*RNNR B1*",$J30:$AX30,"&lt;&gt;"&amp;"pRNNR B1")*0.5,COUNTIFS($J30:$AX30,"*RNNR B2*",$J30:$AX30,"&lt;&gt;"&amp;"pRNNR B2")*0.5,COUNTIFS($J30:$AX30,"*B1 RNNR*",$J30:$AX30,"&lt;&gt;"&amp;"pB1 RNNR")*0.5,COUNTIFS($J30:$AX30,"*B2 RNNR*",$J30:$AX30,"&lt;&gt;"&amp;"pB2 RNNR")*0.5)))</f>
        <v>0</v>
      </c>
      <c r="J30" s="184" t="str">
        <f>IFERROR(IF(VLOOKUP(Fri_W2[[#This Row],[Employee Name]],'Base Schedules'!$A$1:$AW$44,9,FALSE)="","",VLOOKUP(Fri_W2[[#This Row],[Employee Name]],'Base Schedules'!$A$1:$AW$44,9,FALSE)),"")</f>
        <v/>
      </c>
      <c r="K30" s="184" t="str">
        <f>IFERROR(IF(VLOOKUP(Fri_W2[[#This Row],[Employee Name]],'Base Schedules'!$A$1:$AW$44,10,FALSE)="","",VLOOKUP(Fri_W2[[#This Row],[Employee Name]],'Base Schedules'!$A$1:$AW$44,10,FALSE)),"")</f>
        <v/>
      </c>
      <c r="L30" s="184" t="str">
        <f>IFERROR(IF(VLOOKUP(Fri_W2[[#This Row],[Employee Name]],'Base Schedules'!$A$1:$AW$44,11,FALSE)="","",VLOOKUP(Fri_W2[[#This Row],[Employee Name]],'Base Schedules'!$A$1:$AW$44,11,FALSE)),"")</f>
        <v/>
      </c>
      <c r="M30" s="184" t="str">
        <f>IFERROR(IF(VLOOKUP(Fri_W2[[#This Row],[Employee Name]],'Base Schedules'!$A$1:$AW$44,12,FALSE)="","",VLOOKUP(Fri_W2[[#This Row],[Employee Name]],'Base Schedules'!$A$1:$AW$44,12,FALSE)),"")</f>
        <v/>
      </c>
      <c r="N30" s="184" t="str">
        <f>IFERROR(IF(VLOOKUP(Fri_W2[[#This Row],[Employee Name]],'Base Schedules'!$A$1:$AW$44,13,FALSE)="","",VLOOKUP(Fri_W2[[#This Row],[Employee Name]],'Base Schedules'!$A$1:$AW$44,13,FALSE)),"")</f>
        <v/>
      </c>
      <c r="O30" s="184" t="str">
        <f>IFERROR(IF(VLOOKUP(Fri_W2[[#This Row],[Employee Name]],'Base Schedules'!$A$1:$AW$44,14,FALSE)="","",VLOOKUP(Fri_W2[[#This Row],[Employee Name]],'Base Schedules'!$A$1:$AW$44,14,FALSE)),"")</f>
        <v/>
      </c>
      <c r="P30" s="184" t="str">
        <f>IFERROR(IF(VLOOKUP(Fri_W2[[#This Row],[Employee Name]],'Base Schedules'!$A$1:$AW$44,15,FALSE)="","",VLOOKUP(Fri_W2[[#This Row],[Employee Name]],'Base Schedules'!$A$1:$AW$44,15,FALSE)),"")</f>
        <v/>
      </c>
      <c r="Q30" s="184" t="str">
        <f>IFERROR(IF(VLOOKUP(Fri_W2[[#This Row],[Employee Name]],'Base Schedules'!$A$1:$AW$44,16,FALSE)="","",VLOOKUP(Fri_W2[[#This Row],[Employee Name]],'Base Schedules'!$A$1:$AW$44,16,FALSE)),"")</f>
        <v/>
      </c>
      <c r="R30" s="184" t="str">
        <f>IFERROR(IF(VLOOKUP(Fri_W2[[#This Row],[Employee Name]],'Base Schedules'!$A$1:$AW$44,17,FALSE)="","",VLOOKUP(Fri_W2[[#This Row],[Employee Name]],'Base Schedules'!$A$1:$AW$44,17,FALSE)),"")</f>
        <v/>
      </c>
      <c r="S30" s="184" t="str">
        <f>IFERROR(IF(VLOOKUP(Fri_W2[[#This Row],[Employee Name]],'Base Schedules'!$A$1:$AW$44,18,FALSE)="","",VLOOKUP(Fri_W2[[#This Row],[Employee Name]],'Base Schedules'!$A$1:$AW$44,18,FALSE)),"")</f>
        <v/>
      </c>
      <c r="T30" s="184" t="str">
        <f>IFERROR(IF(VLOOKUP(Fri_W2[[#This Row],[Employee Name]],'Base Schedules'!$A$1:$AW$44,19,FALSE)="","",VLOOKUP(Fri_W2[[#This Row],[Employee Name]],'Base Schedules'!$A$1:$AW$44,19,FALSE)),"")</f>
        <v/>
      </c>
      <c r="U30" s="184" t="str">
        <f>IFERROR(IF(VLOOKUP(Fri_W2[[#This Row],[Employee Name]],'Base Schedules'!$A$1:$AW$44,20,FALSE)="","",VLOOKUP(Fri_W2[[#This Row],[Employee Name]],'Base Schedules'!$A$1:$AW$44,20,FALSE)),"")</f>
        <v>HL</v>
      </c>
      <c r="V30" s="184" t="str">
        <f>IFERROR(IF(VLOOKUP(Fri_W2[[#This Row],[Employee Name]],'Base Schedules'!$A$1:$AW$44,21,FALSE)="","",VLOOKUP(Fri_W2[[#This Row],[Employee Name]],'Base Schedules'!$A$1:$AW$44,21,FALSE)),"")</f>
        <v>HL</v>
      </c>
      <c r="W30" s="184" t="str">
        <f>IFERROR(IF(VLOOKUP(Fri_W2[[#This Row],[Employee Name]],'Base Schedules'!$A$1:$AW$44,22,FALSE)="","",VLOOKUP(Fri_W2[[#This Row],[Employee Name]],'Base Schedules'!$A$1:$AW$44,22,FALSE)),"")</f>
        <v>HL</v>
      </c>
      <c r="X30" s="184" t="str">
        <f>IFERROR(IF(VLOOKUP(Fri_W2[[#This Row],[Employee Name]],'Base Schedules'!$A$1:$AW$44,23,FALSE)="","",VLOOKUP(Fri_W2[[#This Row],[Employee Name]],'Base Schedules'!$A$1:$AW$44,23,FALSE)),"")</f>
        <v>HL</v>
      </c>
      <c r="Y30" s="184" t="str">
        <f>IFERROR(IF(VLOOKUP(Fri_W2[[#This Row],[Employee Name]],'Base Schedules'!$A$1:$AW$44,24,FALSE)="","",VLOOKUP(Fri_W2[[#This Row],[Employee Name]],'Base Schedules'!$A$1:$AW$44,24,FALSE)),"")</f>
        <v>HL B1</v>
      </c>
      <c r="Z30" s="184" t="str">
        <f>IFERROR(IF(VLOOKUP(Fri_W2[[#This Row],[Employee Name]],'Base Schedules'!$A$1:$AW$44,25,FALSE)="","",VLOOKUP(Fri_W2[[#This Row],[Employee Name]],'Base Schedules'!$A$1:$AW$44,25,FALSE)),"")</f>
        <v>ADM</v>
      </c>
      <c r="AA30" s="184" t="str">
        <f>IFERROR(IF(VLOOKUP(Fri_W2[[#This Row],[Employee Name]],'Base Schedules'!$A$1:$AW$44,26,FALSE)="","",VLOOKUP(Fri_W2[[#This Row],[Employee Name]],'Base Schedules'!$A$1:$AW$44,26,FALSE)),"")</f>
        <v>ADM</v>
      </c>
      <c r="AB30" s="184" t="str">
        <f>IFERROR(IF(VLOOKUP(Fri_W2[[#This Row],[Employee Name]],'Base Schedules'!$A$1:$AW$44,27,FALSE)="","",VLOOKUP(Fri_W2[[#This Row],[Employee Name]],'Base Schedules'!$A$1:$AW$44,27,FALSE)),"")</f>
        <v>ADM</v>
      </c>
      <c r="AC30" s="184" t="str">
        <f>IFERROR(IF(VLOOKUP(Fri_W2[[#This Row],[Employee Name]],'Base Schedules'!$A$1:$AW$44,28,FALSE)="","",VLOOKUP(Fri_W2[[#This Row],[Employee Name]],'Base Schedules'!$A$1:$AW$44,28,FALSE)),"")</f>
        <v>ADM</v>
      </c>
      <c r="AD30" s="184" t="str">
        <f>IFERROR(IF(VLOOKUP(Fri_W2[[#This Row],[Employee Name]],'Base Schedules'!$A$1:$AW$44,29,FALSE)="","",VLOOKUP(Fri_W2[[#This Row],[Employee Name]],'Base Schedules'!$A$1:$AW$44,29,FALSE)),"")</f>
        <v>LUNCH</v>
      </c>
      <c r="AE30" s="184" t="str">
        <f>IFERROR(IF(VLOOKUP(Fri_W2[[#This Row],[Employee Name]],'Base Schedules'!$A$1:$AW$44,30,FALSE)="","",VLOOKUP(Fri_W2[[#This Row],[Employee Name]],'Base Schedules'!$A$1:$AW$44,30,FALSE)),"")</f>
        <v>ADM</v>
      </c>
      <c r="AF30" s="184" t="str">
        <f>IFERROR(IF(VLOOKUP(Fri_W2[[#This Row],[Employee Name]],'Base Schedules'!$A$1:$AW$44,31,FALSE)="","",VLOOKUP(Fri_W2[[#This Row],[Employee Name]],'Base Schedules'!$A$1:$AW$44,31,FALSE)),"")</f>
        <v>ADM</v>
      </c>
      <c r="AG30" s="184" t="str">
        <f>IFERROR(IF(VLOOKUP(Fri_W2[[#This Row],[Employee Name]],'Base Schedules'!$A$1:$AW$44,32,FALSE)="","",VLOOKUP(Fri_W2[[#This Row],[Employee Name]],'Base Schedules'!$A$1:$AW$44,32,FALSE)),"")</f>
        <v>B2 HL</v>
      </c>
      <c r="AH30" s="184" t="str">
        <f>IFERROR(IF(VLOOKUP(Fri_W2[[#This Row],[Employee Name]],'Base Schedules'!$A$1:$AW$44,33,FALSE)="","",VLOOKUP(Fri_W2[[#This Row],[Employee Name]],'Base Schedules'!$A$1:$AW$44,33,FALSE)),"")</f>
        <v>HL</v>
      </c>
      <c r="AI30" s="184" t="str">
        <f>IFERROR(IF(VLOOKUP(Fri_W2[[#This Row],[Employee Name]],'Base Schedules'!$A$1:$AW$44,34,FALSE)="","",VLOOKUP(Fri_W2[[#This Row],[Employee Name]],'Base Schedules'!$A$1:$AW$44,34,FALSE)),"")</f>
        <v>HL</v>
      </c>
      <c r="AJ30" s="184" t="str">
        <f>IFERROR(IF(VLOOKUP(Fri_W2[[#This Row],[Employee Name]],'Base Schedules'!$A$1:$AW$44,35,FALSE)="","",VLOOKUP(Fri_W2[[#This Row],[Employee Name]],'Base Schedules'!$A$1:$AW$44,35,FALSE)),"")</f>
        <v>HL</v>
      </c>
      <c r="AK30" s="184" t="str">
        <f>IFERROR(IF(VLOOKUP(Fri_W2[[#This Row],[Employee Name]],'Base Schedules'!$A$1:$AW$44,36,FALSE)="","",VLOOKUP(Fri_W2[[#This Row],[Employee Name]],'Base Schedules'!$A$1:$AW$44,36,FALSE)),"")</f>
        <v>HL</v>
      </c>
      <c r="AL30" s="184" t="str">
        <f>IFERROR(IF(VLOOKUP(Fri_W2[[#This Row],[Employee Name]],'Base Schedules'!$A$1:$AW$44,37,FALSE)="","",VLOOKUP(Fri_W2[[#This Row],[Employee Name]],'Base Schedules'!$A$1:$AW$44,37,FALSE)),"")</f>
        <v/>
      </c>
      <c r="AM30" s="184" t="str">
        <f>IFERROR(IF(VLOOKUP(Fri_W2[[#This Row],[Employee Name]],'Base Schedules'!$A$1:$AW$44,38,FALSE)="","",VLOOKUP(Fri_W2[[#This Row],[Employee Name]],'Base Schedules'!$A$1:$AW$44,38,FALSE)),"")</f>
        <v/>
      </c>
      <c r="AN30" s="184" t="str">
        <f>IFERROR(IF(VLOOKUP(Fri_W2[[#This Row],[Employee Name]],'Base Schedules'!$A$1:$AW$44,39,FALSE)="","",VLOOKUP(Fri_W2[[#This Row],[Employee Name]],'Base Schedules'!$A$1:$AW$44,39,FALSE)),"")</f>
        <v/>
      </c>
      <c r="AO30" s="184" t="str">
        <f>IFERROR(IF(VLOOKUP(Fri_W2[[#This Row],[Employee Name]],'Base Schedules'!$A$1:$AW$44,40,FALSE)="","",VLOOKUP(Fri_W2[[#This Row],[Employee Name]],'Base Schedules'!$A$1:$AW$44,40,FALSE)),"")</f>
        <v/>
      </c>
      <c r="AP30" s="184" t="str">
        <f>IFERROR(IF(VLOOKUP(Fri_W2[[#This Row],[Employee Name]],'Base Schedules'!$A$1:$AW$44,41,FALSE)="","",VLOOKUP(Fri_W2[[#This Row],[Employee Name]],'Base Schedules'!$A$1:$AW$44,41,FALSE)),"")</f>
        <v/>
      </c>
      <c r="AQ30" s="184" t="str">
        <f>IFERROR(IF(VLOOKUP(Fri_W2[[#This Row],[Employee Name]],'Base Schedules'!$A$1:$AW$44,42,FALSE)="","",VLOOKUP(Fri_W2[[#This Row],[Employee Name]],'Base Schedules'!$A$1:$AW$44,42,FALSE)),"")</f>
        <v/>
      </c>
      <c r="AR30" s="184" t="str">
        <f>IFERROR(IF(VLOOKUP(Fri_W2[[#This Row],[Employee Name]],'Base Schedules'!$A$1:$AW$44,43,FALSE)="","",VLOOKUP(Fri_W2[[#This Row],[Employee Name]],'Base Schedules'!$A$1:$AW$44,43,FALSE)),"")</f>
        <v/>
      </c>
      <c r="AS30" s="184" t="str">
        <f>IFERROR(IF(VLOOKUP(Fri_W2[[#This Row],[Employee Name]],'Base Schedules'!$A$1:$AW$44,44,FALSE)="","",VLOOKUP(Fri_W2[[#This Row],[Employee Name]],'Base Schedules'!$A$1:$AW$44,44,FALSE)),"")</f>
        <v/>
      </c>
      <c r="AT30" s="184" t="str">
        <f>IFERROR(IF(VLOOKUP(Fri_W2[[#This Row],[Employee Name]],'Base Schedules'!$A$1:$AW$44,45,FALSE)="","",VLOOKUP(Fri_W2[[#This Row],[Employee Name]],'Base Schedules'!$A$1:$AW$44,45,FALSE)),"")</f>
        <v/>
      </c>
      <c r="AU30" s="184" t="str">
        <f>IFERROR(IF(VLOOKUP(Fri_W2[[#This Row],[Employee Name]],'Base Schedules'!$A$1:$AW$44,46,FALSE)="","",VLOOKUP(Fri_W2[[#This Row],[Employee Name]],'Base Schedules'!$A$1:$AW$44,46,FALSE)),"")</f>
        <v/>
      </c>
      <c r="AV30" s="184" t="str">
        <f>IFERROR(IF(VLOOKUP(Fri_W2[[#This Row],[Employee Name]],'Base Schedules'!$A$1:$AW$44,47,FALSE)="","",VLOOKUP(Fri_W2[[#This Row],[Employee Name]],'Base Schedules'!$A$1:$AW$44,47,FALSE)),"")</f>
        <v/>
      </c>
      <c r="AW30" s="184" t="str">
        <f>IFERROR(IF(VLOOKUP(Fri_W2[[#This Row],[Employee Name]],'Base Schedules'!$A$1:$AW$44,48,FALSE)="","",VLOOKUP(Fri_W2[[#This Row],[Employee Name]],'Base Schedules'!$A$1:$AW$44,48,FALSE)),"")</f>
        <v/>
      </c>
      <c r="AX30" s="184" t="str">
        <f>IFERROR(IF(VLOOKUP(Fri_W2[[#This Row],[Employee Name]],'Base Schedules'!$A$1:$AW$44,49,FALSE)="","",VLOOKUP(Fri_W2[[#This Row],[Employee Name]],'Base Schedules'!$A$1:$AW$44,49,FALSE)),"")</f>
        <v/>
      </c>
      <c r="AY30" s="159" t="str">
        <f t="shared" si="2"/>
        <v>Qualman, Sophy</v>
      </c>
    </row>
    <row r="31" spans="1:51" s="44" customFormat="1" ht="11.25" customHeight="1" x14ac:dyDescent="0.2">
      <c r="A31" s="39" t="str">
        <f>IF(B31="","",INDEX(TeamList[],MATCH($B31,TeamList[[Employee Name]:[Employee Name]],0),MATCH("Manager",TeamList[#Headers],0)))</f>
        <v>Olson, Katherine</v>
      </c>
      <c r="B31" s="201" t="s">
        <v>30</v>
      </c>
      <c r="C31" s="257" t="str">
        <f>_xlfn.IFNA(VLOOKUP(Fri_W2[[#This Row],[Employee Name]],'Base Schedules'!A:B,2,FALSE),"")</f>
        <v>Lead</v>
      </c>
      <c r="D31" s="274">
        <f>_xlfn.IFNA(VLOOKUP(Fri_W2[[#This Row],[Employee Name]],'Base Schedules'!A:C,3,FALSE),"")</f>
        <v>1100</v>
      </c>
      <c r="E31" s="274">
        <f>_xlfn.IFNA(VLOOKUP(Fri_W2[[#This Row],[Employee Name]],'Base Schedules'!A:D,4,FALSE),"")</f>
        <v>2000</v>
      </c>
      <c r="F31" s="142">
        <f>IF(Fri_W2[[#This Row],[Employee Name]]="","",IF(Fri_W2[[#This Row],[Dept]]="Supervisor",COUNTIFS($J31:$AX31,"*HL*",$J31:$AX31,"&lt;&gt;"&amp;"pHL"),COUNTIFS($J31:$AX31,"*HL*",$J31:$AX31,"&lt;&gt;"&amp;"*pHL*",$J31:$AX31,"&lt;&gt;"&amp;"pB1 HL",$J31:$AX31,"&lt;&gt;"&amp;"pB2 HL")-SUM(COUNTIFS($J31:$AX31,"*HL B1*",$J31:$AX31,"&lt;&gt;"&amp;"pHL B1")*0.5,COUNTIFS($J31:$AX31,"*HL B2*",$J31:$AX31,"&lt;&gt;"&amp;"pHL B2")*0.5,COUNTIFS($J31:$AX31,"*B1 HL*",$J31:$AX31,"&lt;&gt;"&amp;"pB1 HL")*0.5,COUNTIFS($J31:$AX31,"*B2 HL*",$J31:$AX31,"&lt;&gt;"&amp;"pB2 HL")*0.5)))</f>
        <v>7.5</v>
      </c>
      <c r="G31" s="142">
        <f t="shared" si="0"/>
        <v>0</v>
      </c>
      <c r="H31" s="142">
        <f t="shared" si="1"/>
        <v>8</v>
      </c>
      <c r="I31" s="142">
        <f>IF(Fri_W2[[#This Row],[Employee Name]]="","",IF(Fri_W2[[#This Row],[Dept]]="Supervisor",SUM(COUNTIFS($J31:$AX31,"RTA*",$J31:$AX31,"&lt;&gt;"&amp;"pRTA"),COUNTIFS($J31:$AX31,"*CRTA*",$J31:$AX31,"&lt;&gt;"&amp;"pCRTA")),COUNTIFS($J31:$AX31,"*RNNR*",$J31:$AX31,"&lt;&gt;"&amp;"*pRNNR*",$J31:$AX31,"&lt;&gt;"&amp;"pB1 RNNR",$J31:$AX31,"&lt;&gt;"&amp;"pB2 RNNR")-SUM(COUNTIFS($J31:$AX31,"*RNNR B1*",$J31:$AX31,"&lt;&gt;"&amp;"pRNNR B1")*0.5,COUNTIFS($J31:$AX31,"*RNNR B2*",$J31:$AX31,"&lt;&gt;"&amp;"pRNNR B2")*0.5,COUNTIFS($J31:$AX31,"*B1 RNNR*",$J31:$AX31,"&lt;&gt;"&amp;"pB1 RNNR")*0.5,COUNTIFS($J31:$AX31,"*B2 RNNR*",$J31:$AX31,"&lt;&gt;"&amp;"pB2 RNNR")*0.5)))</f>
        <v>0</v>
      </c>
      <c r="J31" s="184" t="str">
        <f>IFERROR(IF(VLOOKUP(Fri_W2[[#This Row],[Employee Name]],'Base Schedules'!$A$1:$AW$44,9,FALSE)="","",VLOOKUP(Fri_W2[[#This Row],[Employee Name]],'Base Schedules'!$A$1:$AW$44,9,FALSE)),"")</f>
        <v/>
      </c>
      <c r="K31" s="184" t="str">
        <f>IFERROR(IF(VLOOKUP(Fri_W2[[#This Row],[Employee Name]],'Base Schedules'!$A$1:$AW$44,10,FALSE)="","",VLOOKUP(Fri_W2[[#This Row],[Employee Name]],'Base Schedules'!$A$1:$AW$44,10,FALSE)),"")</f>
        <v/>
      </c>
      <c r="L31" s="184" t="str">
        <f>IFERROR(IF(VLOOKUP(Fri_W2[[#This Row],[Employee Name]],'Base Schedules'!$A$1:$AW$44,11,FALSE)="","",VLOOKUP(Fri_W2[[#This Row],[Employee Name]],'Base Schedules'!$A$1:$AW$44,11,FALSE)),"")</f>
        <v/>
      </c>
      <c r="M31" s="184" t="str">
        <f>IFERROR(IF(VLOOKUP(Fri_W2[[#This Row],[Employee Name]],'Base Schedules'!$A$1:$AW$44,12,FALSE)="","",VLOOKUP(Fri_W2[[#This Row],[Employee Name]],'Base Schedules'!$A$1:$AW$44,12,FALSE)),"")</f>
        <v/>
      </c>
      <c r="N31" s="184" t="str">
        <f>IFERROR(IF(VLOOKUP(Fri_W2[[#This Row],[Employee Name]],'Base Schedules'!$A$1:$AW$44,13,FALSE)="","",VLOOKUP(Fri_W2[[#This Row],[Employee Name]],'Base Schedules'!$A$1:$AW$44,13,FALSE)),"")</f>
        <v/>
      </c>
      <c r="O31" s="184" t="str">
        <f>IFERROR(IF(VLOOKUP(Fri_W2[[#This Row],[Employee Name]],'Base Schedules'!$A$1:$AW$44,14,FALSE)="","",VLOOKUP(Fri_W2[[#This Row],[Employee Name]],'Base Schedules'!$A$1:$AW$44,14,FALSE)),"")</f>
        <v/>
      </c>
      <c r="P31" s="184" t="str">
        <f>IFERROR(IF(VLOOKUP(Fri_W2[[#This Row],[Employee Name]],'Base Schedules'!$A$1:$AW$44,15,FALSE)="","",VLOOKUP(Fri_W2[[#This Row],[Employee Name]],'Base Schedules'!$A$1:$AW$44,15,FALSE)),"")</f>
        <v/>
      </c>
      <c r="Q31" s="184" t="str">
        <f>IFERROR(IF(VLOOKUP(Fri_W2[[#This Row],[Employee Name]],'Base Schedules'!$A$1:$AW$44,16,FALSE)="","",VLOOKUP(Fri_W2[[#This Row],[Employee Name]],'Base Schedules'!$A$1:$AW$44,16,FALSE)),"")</f>
        <v/>
      </c>
      <c r="R31" s="184" t="str">
        <f>IFERROR(IF(VLOOKUP(Fri_W2[[#This Row],[Employee Name]],'Base Schedules'!$A$1:$AW$44,17,FALSE)="","",VLOOKUP(Fri_W2[[#This Row],[Employee Name]],'Base Schedules'!$A$1:$AW$44,17,FALSE)),"")</f>
        <v/>
      </c>
      <c r="S31" s="184" t="str">
        <f>IFERROR(IF(VLOOKUP(Fri_W2[[#This Row],[Employee Name]],'Base Schedules'!$A$1:$AW$44,18,FALSE)="","",VLOOKUP(Fri_W2[[#This Row],[Employee Name]],'Base Schedules'!$A$1:$AW$44,18,FALSE)),"")</f>
        <v/>
      </c>
      <c r="T31" s="184" t="str">
        <f>IFERROR(IF(VLOOKUP(Fri_W2[[#This Row],[Employee Name]],'Base Schedules'!$A$1:$AW$44,19,FALSE)="","",VLOOKUP(Fri_W2[[#This Row],[Employee Name]],'Base Schedules'!$A$1:$AW$44,19,FALSE)),"")</f>
        <v/>
      </c>
      <c r="U31" s="184" t="str">
        <f>IFERROR(IF(VLOOKUP(Fri_W2[[#This Row],[Employee Name]],'Base Schedules'!$A$1:$AW$44,20,FALSE)="","",VLOOKUP(Fri_W2[[#This Row],[Employee Name]],'Base Schedules'!$A$1:$AW$44,20,FALSE)),"")</f>
        <v/>
      </c>
      <c r="V31" s="184" t="str">
        <f>IFERROR(IF(VLOOKUP(Fri_W2[[#This Row],[Employee Name]],'Base Schedules'!$A$1:$AW$44,21,FALSE)="","",VLOOKUP(Fri_W2[[#This Row],[Employee Name]],'Base Schedules'!$A$1:$AW$44,21,FALSE)),"")</f>
        <v>HL</v>
      </c>
      <c r="W31" s="184" t="str">
        <f>IFERROR(IF(VLOOKUP(Fri_W2[[#This Row],[Employee Name]],'Base Schedules'!$A$1:$AW$44,22,FALSE)="","",VLOOKUP(Fri_W2[[#This Row],[Employee Name]],'Base Schedules'!$A$1:$AW$44,22,FALSE)),"")</f>
        <v>HL</v>
      </c>
      <c r="X31" s="184" t="str">
        <f>IFERROR(IF(VLOOKUP(Fri_W2[[#This Row],[Employee Name]],'Base Schedules'!$A$1:$AW$44,23,FALSE)="","",VLOOKUP(Fri_W2[[#This Row],[Employee Name]],'Base Schedules'!$A$1:$AW$44,23,FALSE)),"")</f>
        <v>HL</v>
      </c>
      <c r="Y31" s="184" t="str">
        <f>IFERROR(IF(VLOOKUP(Fri_W2[[#This Row],[Employee Name]],'Base Schedules'!$A$1:$AW$44,24,FALSE)="","",VLOOKUP(Fri_W2[[#This Row],[Employee Name]],'Base Schedules'!$A$1:$AW$44,24,FALSE)),"")</f>
        <v>HL</v>
      </c>
      <c r="Z31" s="184" t="str">
        <f>IFERROR(IF(VLOOKUP(Fri_W2[[#This Row],[Employee Name]],'Base Schedules'!$A$1:$AW$44,25,FALSE)="","",VLOOKUP(Fri_W2[[#This Row],[Employee Name]],'Base Schedules'!$A$1:$AW$44,25,FALSE)),"")</f>
        <v>B1 ADM</v>
      </c>
      <c r="AA31" s="184" t="str">
        <f>IFERROR(IF(VLOOKUP(Fri_W2[[#This Row],[Employee Name]],'Base Schedules'!$A$1:$AW$44,26,FALSE)="","",VLOOKUP(Fri_W2[[#This Row],[Employee Name]],'Base Schedules'!$A$1:$AW$44,26,FALSE)),"")</f>
        <v>ADM</v>
      </c>
      <c r="AB31" s="184" t="str">
        <f>IFERROR(IF(VLOOKUP(Fri_W2[[#This Row],[Employee Name]],'Base Schedules'!$A$1:$AW$44,27,FALSE)="","",VLOOKUP(Fri_W2[[#This Row],[Employee Name]],'Base Schedules'!$A$1:$AW$44,27,FALSE)),"")</f>
        <v>ADM</v>
      </c>
      <c r="AC31" s="184" t="str">
        <f>IFERROR(IF(VLOOKUP(Fri_W2[[#This Row],[Employee Name]],'Base Schedules'!$A$1:$AW$44,28,FALSE)="","",VLOOKUP(Fri_W2[[#This Row],[Employee Name]],'Base Schedules'!$A$1:$AW$44,28,FALSE)),"")</f>
        <v>ADM</v>
      </c>
      <c r="AD31" s="184" t="str">
        <f>IFERROR(IF(VLOOKUP(Fri_W2[[#This Row],[Employee Name]],'Base Schedules'!$A$1:$AW$44,29,FALSE)="","",VLOOKUP(Fri_W2[[#This Row],[Employee Name]],'Base Schedules'!$A$1:$AW$44,29,FALSE)),"")</f>
        <v>ADM</v>
      </c>
      <c r="AE31" s="184" t="str">
        <f>IFERROR(IF(VLOOKUP(Fri_W2[[#This Row],[Employee Name]],'Base Schedules'!$A$1:$AW$44,30,FALSE)="","",VLOOKUP(Fri_W2[[#This Row],[Employee Name]],'Base Schedules'!$A$1:$AW$44,30,FALSE)),"")</f>
        <v>LUNCH</v>
      </c>
      <c r="AF31" s="184" t="str">
        <f>IFERROR(IF(VLOOKUP(Fri_W2[[#This Row],[Employee Name]],'Base Schedules'!$A$1:$AW$44,31,FALSE)="","",VLOOKUP(Fri_W2[[#This Row],[Employee Name]],'Base Schedules'!$A$1:$AW$44,31,FALSE)),"")</f>
        <v>HL</v>
      </c>
      <c r="AG31" s="184" t="str">
        <f>IFERROR(IF(VLOOKUP(Fri_W2[[#This Row],[Employee Name]],'Base Schedules'!$A$1:$AW$44,32,FALSE)="","",VLOOKUP(Fri_W2[[#This Row],[Employee Name]],'Base Schedules'!$A$1:$AW$44,32,FALSE)),"")</f>
        <v>HL</v>
      </c>
      <c r="AH31" s="184" t="str">
        <f>IFERROR(IF(VLOOKUP(Fri_W2[[#This Row],[Employee Name]],'Base Schedules'!$A$1:$AW$44,33,FALSE)="","",VLOOKUP(Fri_W2[[#This Row],[Employee Name]],'Base Schedules'!$A$1:$AW$44,33,FALSE)),"")</f>
        <v>HL</v>
      </c>
      <c r="AI31" s="184" t="str">
        <f>IFERROR(IF(VLOOKUP(Fri_W2[[#This Row],[Employee Name]],'Base Schedules'!$A$1:$AW$44,34,FALSE)="","",VLOOKUP(Fri_W2[[#This Row],[Employee Name]],'Base Schedules'!$A$1:$AW$44,34,FALSE)),"")</f>
        <v>HL B2</v>
      </c>
      <c r="AJ31" s="184" t="str">
        <f>IFERROR(IF(VLOOKUP(Fri_W2[[#This Row],[Employee Name]],'Base Schedules'!$A$1:$AW$44,35,FALSE)="","",VLOOKUP(Fri_W2[[#This Row],[Employee Name]],'Base Schedules'!$A$1:$AW$44,35,FALSE)),"")</f>
        <v>ADM</v>
      </c>
      <c r="AK31" s="184" t="str">
        <f>IFERROR(IF(VLOOKUP(Fri_W2[[#This Row],[Employee Name]],'Base Schedules'!$A$1:$AW$44,36,FALSE)="","",VLOOKUP(Fri_W2[[#This Row],[Employee Name]],'Base Schedules'!$A$1:$AW$44,36,FALSE)),"")</f>
        <v>ADM</v>
      </c>
      <c r="AL31" s="184" t="str">
        <f>IFERROR(IF(VLOOKUP(Fri_W2[[#This Row],[Employee Name]],'Base Schedules'!$A$1:$AW$44,37,FALSE)="","",VLOOKUP(Fri_W2[[#This Row],[Employee Name]],'Base Schedules'!$A$1:$AW$44,37,FALSE)),"")</f>
        <v>ADM</v>
      </c>
      <c r="AM31" s="184" t="str">
        <f>IFERROR(IF(VLOOKUP(Fri_W2[[#This Row],[Employee Name]],'Base Schedules'!$A$1:$AW$44,38,FALSE)="","",VLOOKUP(Fri_W2[[#This Row],[Employee Name]],'Base Schedules'!$A$1:$AW$44,38,FALSE)),"")</f>
        <v/>
      </c>
      <c r="AN31" s="184" t="str">
        <f>IFERROR(IF(VLOOKUP(Fri_W2[[#This Row],[Employee Name]],'Base Schedules'!$A$1:$AW$44,39,FALSE)="","",VLOOKUP(Fri_W2[[#This Row],[Employee Name]],'Base Schedules'!$A$1:$AW$44,39,FALSE)),"")</f>
        <v/>
      </c>
      <c r="AO31" s="184" t="str">
        <f>IFERROR(IF(VLOOKUP(Fri_W2[[#This Row],[Employee Name]],'Base Schedules'!$A$1:$AW$44,40,FALSE)="","",VLOOKUP(Fri_W2[[#This Row],[Employee Name]],'Base Schedules'!$A$1:$AW$44,40,FALSE)),"")</f>
        <v/>
      </c>
      <c r="AP31" s="184" t="str">
        <f>IFERROR(IF(VLOOKUP(Fri_W2[[#This Row],[Employee Name]],'Base Schedules'!$A$1:$AW$44,41,FALSE)="","",VLOOKUP(Fri_W2[[#This Row],[Employee Name]],'Base Schedules'!$A$1:$AW$44,41,FALSE)),"")</f>
        <v/>
      </c>
      <c r="AQ31" s="184" t="str">
        <f>IFERROR(IF(VLOOKUP(Fri_W2[[#This Row],[Employee Name]],'Base Schedules'!$A$1:$AW$44,42,FALSE)="","",VLOOKUP(Fri_W2[[#This Row],[Employee Name]],'Base Schedules'!$A$1:$AW$44,42,FALSE)),"")</f>
        <v/>
      </c>
      <c r="AR31" s="184" t="str">
        <f>IFERROR(IF(VLOOKUP(Fri_W2[[#This Row],[Employee Name]],'Base Schedules'!$A$1:$AW$44,43,FALSE)="","",VLOOKUP(Fri_W2[[#This Row],[Employee Name]],'Base Schedules'!$A$1:$AW$44,43,FALSE)),"")</f>
        <v/>
      </c>
      <c r="AS31" s="184" t="str">
        <f>IFERROR(IF(VLOOKUP(Fri_W2[[#This Row],[Employee Name]],'Base Schedules'!$A$1:$AW$44,44,FALSE)="","",VLOOKUP(Fri_W2[[#This Row],[Employee Name]],'Base Schedules'!$A$1:$AW$44,44,FALSE)),"")</f>
        <v/>
      </c>
      <c r="AT31" s="184" t="str">
        <f>IFERROR(IF(VLOOKUP(Fri_W2[[#This Row],[Employee Name]],'Base Schedules'!$A$1:$AW$44,45,FALSE)="","",VLOOKUP(Fri_W2[[#This Row],[Employee Name]],'Base Schedules'!$A$1:$AW$44,45,FALSE)),"")</f>
        <v/>
      </c>
      <c r="AU31" s="184" t="str">
        <f>IFERROR(IF(VLOOKUP(Fri_W2[[#This Row],[Employee Name]],'Base Schedules'!$A$1:$AW$44,46,FALSE)="","",VLOOKUP(Fri_W2[[#This Row],[Employee Name]],'Base Schedules'!$A$1:$AW$44,46,FALSE)),"")</f>
        <v/>
      </c>
      <c r="AV31" s="184" t="str">
        <f>IFERROR(IF(VLOOKUP(Fri_W2[[#This Row],[Employee Name]],'Base Schedules'!$A$1:$AW$44,47,FALSE)="","",VLOOKUP(Fri_W2[[#This Row],[Employee Name]],'Base Schedules'!$A$1:$AW$44,47,FALSE)),"")</f>
        <v/>
      </c>
      <c r="AW31" s="184" t="str">
        <f>IFERROR(IF(VLOOKUP(Fri_W2[[#This Row],[Employee Name]],'Base Schedules'!$A$1:$AW$44,48,FALSE)="","",VLOOKUP(Fri_W2[[#This Row],[Employee Name]],'Base Schedules'!$A$1:$AW$44,48,FALSE)),"")</f>
        <v/>
      </c>
      <c r="AX31" s="184" t="str">
        <f>IFERROR(IF(VLOOKUP(Fri_W2[[#This Row],[Employee Name]],'Base Schedules'!$A$1:$AW$44,49,FALSE)="","",VLOOKUP(Fri_W2[[#This Row],[Employee Name]],'Base Schedules'!$A$1:$AW$44,49,FALSE)),"")</f>
        <v/>
      </c>
      <c r="AY31" s="160" t="str">
        <f t="shared" si="2"/>
        <v>Koistinen, Shaun</v>
      </c>
    </row>
    <row r="32" spans="1:51" s="44" customFormat="1" ht="11.25" customHeight="1" x14ac:dyDescent="0.2">
      <c r="A32" s="39" t="str">
        <f>IF(B32="","",INDEX(TeamList[],MATCH($B32,TeamList[[Employee Name]:[Employee Name]],0),MATCH("Manager",TeamList[#Headers],0)))</f>
        <v>Olson, Katherine</v>
      </c>
      <c r="B32" s="201" t="s">
        <v>236</v>
      </c>
      <c r="C32" s="257" t="str">
        <f>_xlfn.IFNA(VLOOKUP(Fri_W2[[#This Row],[Employee Name]],'Base Schedules'!A:B,2,FALSE),"")</f>
        <v>Lead</v>
      </c>
      <c r="D32" s="274">
        <f>_xlfn.IFNA(VLOOKUP(Fri_W2[[#This Row],[Employee Name]],'Base Schedules'!A:C,3,FALSE),"")</f>
        <v>1130</v>
      </c>
      <c r="E32" s="274">
        <f>_xlfn.IFNA(VLOOKUP(Fri_W2[[#This Row],[Employee Name]],'Base Schedules'!A:D,4,FALSE),"")</f>
        <v>2000</v>
      </c>
      <c r="F32" s="142">
        <f>IF(Fri_W2[[#This Row],[Employee Name]]="","",IF(Fri_W2[[#This Row],[Dept]]="Supervisor",COUNTIFS($J32:$AX32,"*HL*",$J32:$AX32,"&lt;&gt;"&amp;"pHL"),COUNTIFS($J32:$AX32,"*HL*",$J32:$AX32,"&lt;&gt;"&amp;"*pHL*",$J32:$AX32,"&lt;&gt;"&amp;"pB1 HL",$J32:$AX32,"&lt;&gt;"&amp;"pB2 HL")-SUM(COUNTIFS($J32:$AX32,"*HL B1*",$J32:$AX32,"&lt;&gt;"&amp;"pHL B1")*0.5,COUNTIFS($J32:$AX32,"*HL B2*",$J32:$AX32,"&lt;&gt;"&amp;"pHL B2")*0.5,COUNTIFS($J32:$AX32,"*B1 HL*",$J32:$AX32,"&lt;&gt;"&amp;"pB1 HL")*0.5,COUNTIFS($J32:$AX32,"*B2 HL*",$J32:$AX32,"&lt;&gt;"&amp;"pB2 HL")*0.5)))</f>
        <v>6</v>
      </c>
      <c r="G32" s="142">
        <f t="shared" si="0"/>
        <v>0</v>
      </c>
      <c r="H32" s="142">
        <f t="shared" si="1"/>
        <v>8</v>
      </c>
      <c r="I32" s="142">
        <f>IF(Fri_W2[[#This Row],[Employee Name]]="","",IF(Fri_W2[[#This Row],[Dept]]="Supervisor",SUM(COUNTIFS($J32:$AX32,"RTA*",$J32:$AX32,"&lt;&gt;"&amp;"pRTA"),COUNTIFS($J32:$AX32,"*CRTA*",$J32:$AX32,"&lt;&gt;"&amp;"pCRTA")),COUNTIFS($J32:$AX32,"*RNNR*",$J32:$AX32,"&lt;&gt;"&amp;"*pRNNR*",$J32:$AX32,"&lt;&gt;"&amp;"pB1 RNNR",$J32:$AX32,"&lt;&gt;"&amp;"pB2 RNNR")-SUM(COUNTIFS($J32:$AX32,"*RNNR B1*",$J32:$AX32,"&lt;&gt;"&amp;"pRNNR B1")*0.5,COUNTIFS($J32:$AX32,"*RNNR B2*",$J32:$AX32,"&lt;&gt;"&amp;"pRNNR B2")*0.5,COUNTIFS($J32:$AX32,"*B1 RNNR*",$J32:$AX32,"&lt;&gt;"&amp;"pB1 RNNR")*0.5,COUNTIFS($J32:$AX32,"*B2 RNNR*",$J32:$AX32,"&lt;&gt;"&amp;"pB2 RNNR")*0.5)))</f>
        <v>2</v>
      </c>
      <c r="J32" s="184" t="str">
        <f>IFERROR(IF(VLOOKUP(Fri_W2[[#This Row],[Employee Name]],'Base Schedules'!$A$1:$AW$44,9,FALSE)="","",VLOOKUP(Fri_W2[[#This Row],[Employee Name]],'Base Schedules'!$A$1:$AW$44,9,FALSE)),"")</f>
        <v/>
      </c>
      <c r="K32" s="184" t="str">
        <f>IFERROR(IF(VLOOKUP(Fri_W2[[#This Row],[Employee Name]],'Base Schedules'!$A$1:$AW$44,10,FALSE)="","",VLOOKUP(Fri_W2[[#This Row],[Employee Name]],'Base Schedules'!$A$1:$AW$44,10,FALSE)),"")</f>
        <v/>
      </c>
      <c r="L32" s="184" t="str">
        <f>IFERROR(IF(VLOOKUP(Fri_W2[[#This Row],[Employee Name]],'Base Schedules'!$A$1:$AW$44,11,FALSE)="","",VLOOKUP(Fri_W2[[#This Row],[Employee Name]],'Base Schedules'!$A$1:$AW$44,11,FALSE)),"")</f>
        <v/>
      </c>
      <c r="M32" s="184" t="str">
        <f>IFERROR(IF(VLOOKUP(Fri_W2[[#This Row],[Employee Name]],'Base Schedules'!$A$1:$AW$44,12,FALSE)="","",VLOOKUP(Fri_W2[[#This Row],[Employee Name]],'Base Schedules'!$A$1:$AW$44,12,FALSE)),"")</f>
        <v/>
      </c>
      <c r="N32" s="184" t="str">
        <f>IFERROR(IF(VLOOKUP(Fri_W2[[#This Row],[Employee Name]],'Base Schedules'!$A$1:$AW$44,13,FALSE)="","",VLOOKUP(Fri_W2[[#This Row],[Employee Name]],'Base Schedules'!$A$1:$AW$44,13,FALSE)),"")</f>
        <v/>
      </c>
      <c r="O32" s="184" t="str">
        <f>IFERROR(IF(VLOOKUP(Fri_W2[[#This Row],[Employee Name]],'Base Schedules'!$A$1:$AW$44,14,FALSE)="","",VLOOKUP(Fri_W2[[#This Row],[Employee Name]],'Base Schedules'!$A$1:$AW$44,14,FALSE)),"")</f>
        <v/>
      </c>
      <c r="P32" s="184" t="str">
        <f>IFERROR(IF(VLOOKUP(Fri_W2[[#This Row],[Employee Name]],'Base Schedules'!$A$1:$AW$44,15,FALSE)="","",VLOOKUP(Fri_W2[[#This Row],[Employee Name]],'Base Schedules'!$A$1:$AW$44,15,FALSE)),"")</f>
        <v/>
      </c>
      <c r="Q32" s="184" t="str">
        <f>IFERROR(IF(VLOOKUP(Fri_W2[[#This Row],[Employee Name]],'Base Schedules'!$A$1:$AW$44,16,FALSE)="","",VLOOKUP(Fri_W2[[#This Row],[Employee Name]],'Base Schedules'!$A$1:$AW$44,16,FALSE)),"")</f>
        <v/>
      </c>
      <c r="R32" s="184" t="str">
        <f>IFERROR(IF(VLOOKUP(Fri_W2[[#This Row],[Employee Name]],'Base Schedules'!$A$1:$AW$44,17,FALSE)="","",VLOOKUP(Fri_W2[[#This Row],[Employee Name]],'Base Schedules'!$A$1:$AW$44,17,FALSE)),"")</f>
        <v/>
      </c>
      <c r="S32" s="184" t="str">
        <f>IFERROR(IF(VLOOKUP(Fri_W2[[#This Row],[Employee Name]],'Base Schedules'!$A$1:$AW$44,18,FALSE)="","",VLOOKUP(Fri_W2[[#This Row],[Employee Name]],'Base Schedules'!$A$1:$AW$44,18,FALSE)),"")</f>
        <v/>
      </c>
      <c r="T32" s="184" t="str">
        <f>IFERROR(IF(VLOOKUP(Fri_W2[[#This Row],[Employee Name]],'Base Schedules'!$A$1:$AW$44,19,FALSE)="","",VLOOKUP(Fri_W2[[#This Row],[Employee Name]],'Base Schedules'!$A$1:$AW$44,19,FALSE)),"")</f>
        <v/>
      </c>
      <c r="U32" s="184" t="str">
        <f>IFERROR(IF(VLOOKUP(Fri_W2[[#This Row],[Employee Name]],'Base Schedules'!$A$1:$AW$44,20,FALSE)="","",VLOOKUP(Fri_W2[[#This Row],[Employee Name]],'Base Schedules'!$A$1:$AW$44,20,FALSE)),"")</f>
        <v/>
      </c>
      <c r="V32" s="184" t="str">
        <f>IFERROR(IF(VLOOKUP(Fri_W2[[#This Row],[Employee Name]],'Base Schedules'!$A$1:$AW$44,21,FALSE)="","",VLOOKUP(Fri_W2[[#This Row],[Employee Name]],'Base Schedules'!$A$1:$AW$44,21,FALSE)),"")</f>
        <v/>
      </c>
      <c r="W32" s="184" t="str">
        <f>IFERROR(IF(VLOOKUP(Fri_W2[[#This Row],[Employee Name]],'Base Schedules'!$A$1:$AW$44,22,FALSE)="","",VLOOKUP(Fri_W2[[#This Row],[Employee Name]],'Base Schedules'!$A$1:$AW$44,22,FALSE)),"")</f>
        <v>ADM</v>
      </c>
      <c r="X32" s="184" t="str">
        <f>IFERROR(IF(VLOOKUP(Fri_W2[[#This Row],[Employee Name]],'Base Schedules'!$A$1:$AW$44,23,FALSE)="","",VLOOKUP(Fri_W2[[#This Row],[Employee Name]],'Base Schedules'!$A$1:$AW$44,23,FALSE)),"")</f>
        <v>ADM</v>
      </c>
      <c r="Y32" s="184" t="str">
        <f>IFERROR(IF(VLOOKUP(Fri_W2[[#This Row],[Employee Name]],'Base Schedules'!$A$1:$AW$44,24,FALSE)="","",VLOOKUP(Fri_W2[[#This Row],[Employee Name]],'Base Schedules'!$A$1:$AW$44,24,FALSE)),"")</f>
        <v>ADM</v>
      </c>
      <c r="Z32" s="184" t="str">
        <f>IFERROR(IF(VLOOKUP(Fri_W2[[#This Row],[Employee Name]],'Base Schedules'!$A$1:$AW$44,25,FALSE)="","",VLOOKUP(Fri_W2[[#This Row],[Employee Name]],'Base Schedules'!$A$1:$AW$44,25,FALSE)),"")</f>
        <v>ADM</v>
      </c>
      <c r="AA32" s="184" t="str">
        <f>IFERROR(IF(VLOOKUP(Fri_W2[[#This Row],[Employee Name]],'Base Schedules'!$A$1:$AW$44,26,FALSE)="","",VLOOKUP(Fri_W2[[#This Row],[Employee Name]],'Base Schedules'!$A$1:$AW$44,26,FALSE)),"")</f>
        <v>ADM B1</v>
      </c>
      <c r="AB32" s="184" t="str">
        <f>IFERROR(IF(VLOOKUP(Fri_W2[[#This Row],[Employee Name]],'Base Schedules'!$A$1:$AW$44,27,FALSE)="","",VLOOKUP(Fri_W2[[#This Row],[Employee Name]],'Base Schedules'!$A$1:$AW$44,27,FALSE)),"")</f>
        <v>RNNR</v>
      </c>
      <c r="AC32" s="184" t="str">
        <f>IFERROR(IF(VLOOKUP(Fri_W2[[#This Row],[Employee Name]],'Base Schedules'!$A$1:$AW$44,28,FALSE)="","",VLOOKUP(Fri_W2[[#This Row],[Employee Name]],'Base Schedules'!$A$1:$AW$44,28,FALSE)),"")</f>
        <v>RNNR</v>
      </c>
      <c r="AD32" s="184" t="str">
        <f>IFERROR(IF(VLOOKUP(Fri_W2[[#This Row],[Employee Name]],'Base Schedules'!$A$1:$AW$44,29,FALSE)="","",VLOOKUP(Fri_W2[[#This Row],[Employee Name]],'Base Schedules'!$A$1:$AW$44,29,FALSE)),"")</f>
        <v>HL</v>
      </c>
      <c r="AE32" s="184" t="str">
        <f>IFERROR(IF(VLOOKUP(Fri_W2[[#This Row],[Employee Name]],'Base Schedules'!$A$1:$AW$44,30,FALSE)="","",VLOOKUP(Fri_W2[[#This Row],[Employee Name]],'Base Schedules'!$A$1:$AW$44,30,FALSE)),"")</f>
        <v>HL</v>
      </c>
      <c r="AF32" s="184" t="str">
        <f>IFERROR(IF(VLOOKUP(Fri_W2[[#This Row],[Employee Name]],'Base Schedules'!$A$1:$AW$44,31,FALSE)="","",VLOOKUP(Fri_W2[[#This Row],[Employee Name]],'Base Schedules'!$A$1:$AW$44,31,FALSE)),"")</f>
        <v>LUNCH</v>
      </c>
      <c r="AG32" s="184" t="str">
        <f>IFERROR(IF(VLOOKUP(Fri_W2[[#This Row],[Employee Name]],'Base Schedules'!$A$1:$AW$44,32,FALSE)="","",VLOOKUP(Fri_W2[[#This Row],[Employee Name]],'Base Schedules'!$A$1:$AW$44,32,FALSE)),"")</f>
        <v>HL</v>
      </c>
      <c r="AH32" s="184" t="str">
        <f>IFERROR(IF(VLOOKUP(Fri_W2[[#This Row],[Employee Name]],'Base Schedules'!$A$1:$AW$44,33,FALSE)="","",VLOOKUP(Fri_W2[[#This Row],[Employee Name]],'Base Schedules'!$A$1:$AW$44,33,FALSE)),"")</f>
        <v>HL</v>
      </c>
      <c r="AI32" s="184" t="str">
        <f>IFERROR(IF(VLOOKUP(Fri_W2[[#This Row],[Employee Name]],'Base Schedules'!$A$1:$AW$44,34,FALSE)="","",VLOOKUP(Fri_W2[[#This Row],[Employee Name]],'Base Schedules'!$A$1:$AW$44,34,FALSE)),"")</f>
        <v>HL</v>
      </c>
      <c r="AJ32" s="184" t="str">
        <f>IFERROR(IF(VLOOKUP(Fri_W2[[#This Row],[Employee Name]],'Base Schedules'!$A$1:$AW$44,35,FALSE)="","",VLOOKUP(Fri_W2[[#This Row],[Employee Name]],'Base Schedules'!$A$1:$AW$44,35,FALSE)),"")</f>
        <v>B2 ADM</v>
      </c>
      <c r="AK32" s="184" t="str">
        <f>IFERROR(IF(VLOOKUP(Fri_W2[[#This Row],[Employee Name]],'Base Schedules'!$A$1:$AW$44,36,FALSE)="","",VLOOKUP(Fri_W2[[#This Row],[Employee Name]],'Base Schedules'!$A$1:$AW$44,36,FALSE)),"")</f>
        <v>ADM</v>
      </c>
      <c r="AL32" s="184" t="str">
        <f>IFERROR(IF(VLOOKUP(Fri_W2[[#This Row],[Employee Name]],'Base Schedules'!$A$1:$AW$44,37,FALSE)="","",VLOOKUP(Fri_W2[[#This Row],[Employee Name]],'Base Schedules'!$A$1:$AW$44,37,FALSE)),"")</f>
        <v>ADM</v>
      </c>
      <c r="AM32" s="184" t="str">
        <f>IFERROR(IF(VLOOKUP(Fri_W2[[#This Row],[Employee Name]],'Base Schedules'!$A$1:$AW$44,38,FALSE)="","",VLOOKUP(Fri_W2[[#This Row],[Employee Name]],'Base Schedules'!$A$1:$AW$44,38,FALSE)),"")</f>
        <v>HL</v>
      </c>
      <c r="AN32" s="184" t="str">
        <f>IFERROR(IF(VLOOKUP(Fri_W2[[#This Row],[Employee Name]],'Base Schedules'!$A$1:$AW$44,39,FALSE)="","",VLOOKUP(Fri_W2[[#This Row],[Employee Name]],'Base Schedules'!$A$1:$AW$44,39,FALSE)),"")</f>
        <v/>
      </c>
      <c r="AO32" s="184" t="str">
        <f>IFERROR(IF(VLOOKUP(Fri_W2[[#This Row],[Employee Name]],'Base Schedules'!$A$1:$AW$44,40,FALSE)="","",VLOOKUP(Fri_W2[[#This Row],[Employee Name]],'Base Schedules'!$A$1:$AW$44,40,FALSE)),"")</f>
        <v/>
      </c>
      <c r="AP32" s="184" t="str">
        <f>IFERROR(IF(VLOOKUP(Fri_W2[[#This Row],[Employee Name]],'Base Schedules'!$A$1:$AW$44,41,FALSE)="","",VLOOKUP(Fri_W2[[#This Row],[Employee Name]],'Base Schedules'!$A$1:$AW$44,41,FALSE)),"")</f>
        <v/>
      </c>
      <c r="AQ32" s="184" t="str">
        <f>IFERROR(IF(VLOOKUP(Fri_W2[[#This Row],[Employee Name]],'Base Schedules'!$A$1:$AW$44,42,FALSE)="","",VLOOKUP(Fri_W2[[#This Row],[Employee Name]],'Base Schedules'!$A$1:$AW$44,42,FALSE)),"")</f>
        <v/>
      </c>
      <c r="AR32" s="184" t="str">
        <f>IFERROR(IF(VLOOKUP(Fri_W2[[#This Row],[Employee Name]],'Base Schedules'!$A$1:$AW$44,43,FALSE)="","",VLOOKUP(Fri_W2[[#This Row],[Employee Name]],'Base Schedules'!$A$1:$AW$44,43,FALSE)),"")</f>
        <v/>
      </c>
      <c r="AS32" s="184" t="str">
        <f>IFERROR(IF(VLOOKUP(Fri_W2[[#This Row],[Employee Name]],'Base Schedules'!$A$1:$AW$44,44,FALSE)="","",VLOOKUP(Fri_W2[[#This Row],[Employee Name]],'Base Schedules'!$A$1:$AW$44,44,FALSE)),"")</f>
        <v/>
      </c>
      <c r="AT32" s="184" t="str">
        <f>IFERROR(IF(VLOOKUP(Fri_W2[[#This Row],[Employee Name]],'Base Schedules'!$A$1:$AW$44,45,FALSE)="","",VLOOKUP(Fri_W2[[#This Row],[Employee Name]],'Base Schedules'!$A$1:$AW$44,45,FALSE)),"")</f>
        <v/>
      </c>
      <c r="AU32" s="184" t="str">
        <f>IFERROR(IF(VLOOKUP(Fri_W2[[#This Row],[Employee Name]],'Base Schedules'!$A$1:$AW$44,46,FALSE)="","",VLOOKUP(Fri_W2[[#This Row],[Employee Name]],'Base Schedules'!$A$1:$AW$44,46,FALSE)),"")</f>
        <v/>
      </c>
      <c r="AV32" s="184" t="str">
        <f>IFERROR(IF(VLOOKUP(Fri_W2[[#This Row],[Employee Name]],'Base Schedules'!$A$1:$AW$44,47,FALSE)="","",VLOOKUP(Fri_W2[[#This Row],[Employee Name]],'Base Schedules'!$A$1:$AW$44,47,FALSE)),"")</f>
        <v/>
      </c>
      <c r="AW32" s="184" t="str">
        <f>IFERROR(IF(VLOOKUP(Fri_W2[[#This Row],[Employee Name]],'Base Schedules'!$A$1:$AW$44,48,FALSE)="","",VLOOKUP(Fri_W2[[#This Row],[Employee Name]],'Base Schedules'!$A$1:$AW$44,48,FALSE)),"")</f>
        <v/>
      </c>
      <c r="AX32" s="184" t="str">
        <f>IFERROR(IF(VLOOKUP(Fri_W2[[#This Row],[Employee Name]],'Base Schedules'!$A$1:$AW$44,49,FALSE)="","",VLOOKUP(Fri_W2[[#This Row],[Employee Name]],'Base Schedules'!$A$1:$AW$44,49,FALSE)),"")</f>
        <v/>
      </c>
      <c r="AY32" s="159" t="str">
        <f t="shared" si="2"/>
        <v>Goss, Ian</v>
      </c>
    </row>
    <row r="33" spans="1:51" s="44" customFormat="1" ht="11.25" customHeight="1" x14ac:dyDescent="0.2">
      <c r="A33" s="39" t="e">
        <f>IF(B33="","",INDEX(TeamList[],MATCH($B33,TeamList[[Employee Name]:[Employee Name]],0),MATCH("Manager",TeamList[#Headers],0)))</f>
        <v>#N/A</v>
      </c>
      <c r="B33" s="202" t="s">
        <v>414</v>
      </c>
      <c r="C33" s="257" t="str">
        <f>_xlfn.IFNA(VLOOKUP(Fri_W2[[#This Row],[Employee Name]],'Base Schedules'!A:B,2,FALSE),"")</f>
        <v>Lead</v>
      </c>
      <c r="D33" s="274">
        <f>_xlfn.IFNA(VLOOKUP(Fri_W2[[#This Row],[Employee Name]],'Base Schedules'!A:C,3,FALSE),"")</f>
        <v>1130</v>
      </c>
      <c r="E33" s="274">
        <f>_xlfn.IFNA(VLOOKUP(Fri_W2[[#This Row],[Employee Name]],'Base Schedules'!A:D,4,FALSE),"")</f>
        <v>1930</v>
      </c>
      <c r="F33" s="142">
        <f>IF(Fri_W2[[#This Row],[Employee Name]]="","",IF(Fri_W2[[#This Row],[Dept]]="Supervisor",COUNTIFS($J33:$AX33,"*HL*",$J33:$AX33,"&lt;&gt;"&amp;"pHL"),COUNTIFS($J33:$AX33,"*HL*",$J33:$AX33,"&lt;&gt;"&amp;"*pHL*",$J33:$AX33,"&lt;&gt;"&amp;"pB1 HL",$J33:$AX33,"&lt;&gt;"&amp;"pB2 HL")-SUM(COUNTIFS($J33:$AX33,"*HL B1*",$J33:$AX33,"&lt;&gt;"&amp;"pHL B1")*0.5,COUNTIFS($J33:$AX33,"*HL B2*",$J33:$AX33,"&lt;&gt;"&amp;"pHL B2")*0.5,COUNTIFS($J33:$AX33,"*B1 HL*",$J33:$AX33,"&lt;&gt;"&amp;"pB1 HL")*0.5,COUNTIFS($J33:$AX33,"*B2 HL*",$J33:$AX33,"&lt;&gt;"&amp;"pB2 HL")*0.5)))</f>
        <v>6.5</v>
      </c>
      <c r="G33" s="142">
        <f t="shared" si="0"/>
        <v>0</v>
      </c>
      <c r="H33" s="142">
        <f t="shared" si="1"/>
        <v>9</v>
      </c>
      <c r="I33" s="142">
        <f>IF(Fri_W2[[#This Row],[Employee Name]]="","",IF(Fri_W2[[#This Row],[Dept]]="Supervisor",SUM(COUNTIFS($J33:$AX33,"RTA*",$J33:$AX33,"&lt;&gt;"&amp;"pRTA"),COUNTIFS($J33:$AX33,"*CRTA*",$J33:$AX33,"&lt;&gt;"&amp;"pCRTA")),COUNTIFS($J33:$AX33,"*RNNR*",$J33:$AX33,"&lt;&gt;"&amp;"*pRNNR*",$J33:$AX33,"&lt;&gt;"&amp;"pB1 RNNR",$J33:$AX33,"&lt;&gt;"&amp;"pB2 RNNR")-SUM(COUNTIFS($J33:$AX33,"*RNNR B1*",$J33:$AX33,"&lt;&gt;"&amp;"pRNNR B1")*0.5,COUNTIFS($J33:$AX33,"*RNNR B2*",$J33:$AX33,"&lt;&gt;"&amp;"pRNNR B2")*0.5,COUNTIFS($J33:$AX33,"*B1 RNNR*",$J33:$AX33,"&lt;&gt;"&amp;"pB1 RNNR")*0.5,COUNTIFS($J33:$AX33,"*B2 RNNR*",$J33:$AX33,"&lt;&gt;"&amp;"pB2 RNNR")*0.5)))</f>
        <v>0</v>
      </c>
      <c r="J33" s="184" t="str">
        <f>IFERROR(IF(VLOOKUP(Fri_W2[[#This Row],[Employee Name]],'Base Schedules'!$A:$I,9,FALSE)="","",VLOOKUP(Fri_W2[[#This Row],[Employee Name]],'Base Schedules'!$A:$I,9,FALSE)),"")</f>
        <v/>
      </c>
      <c r="K33" s="184" t="str">
        <f>IFERROR(IF(VLOOKUP(Fri_W2[[#This Row],[Employee Name]],'Base Schedules'!$A:$J,10,FALSE)="","",VLOOKUP(Fri_W2[[#This Row],[Employee Name]],'Base Schedules'!$A:$J,10,FALSE)),"")</f>
        <v/>
      </c>
      <c r="L33" s="184" t="str">
        <f>IFERROR(IF(VLOOKUP(Fri_W2[[#This Row],[Employee Name]],'Base Schedules'!$A:$K,11,FALSE)="","",VLOOKUP(Fri_W2[[#This Row],[Employee Name]],'Base Schedules'!$A:$K,11,FALSE)),"")</f>
        <v/>
      </c>
      <c r="M33" s="184" t="str">
        <f>IFERROR(IF(VLOOKUP(Fri_W2[[#This Row],[Employee Name]],'Base Schedules'!$A:$L,12,FALSE)="","",VLOOKUP(Fri_W2[[#This Row],[Employee Name]],'Base Schedules'!$A:$L,12,FALSE)),"")</f>
        <v/>
      </c>
      <c r="N33" s="184" t="str">
        <f>IFERROR(IF(VLOOKUP(Fri_W2[[#This Row],[Employee Name]],'Base Schedules'!$A:$M,13,FALSE)="","",VLOOKUP(Fri_W2[[#This Row],[Employee Name]],'Base Schedules'!$A:$M,13,FALSE)),"")</f>
        <v/>
      </c>
      <c r="O33" s="184" t="str">
        <f>IFERROR(IF(VLOOKUP(Fri_W2[[#This Row],[Employee Name]],'Base Schedules'!$A:$N,14,FALSE)="","",VLOOKUP(Fri_W2[[#This Row],[Employee Name]],'Base Schedules'!$A:$N,14,FALSE)),"")</f>
        <v/>
      </c>
      <c r="P33" s="184" t="str">
        <f>IFERROR(IF(VLOOKUP(Fri_W2[[#This Row],[Employee Name]],'Base Schedules'!$A:$O,15,FALSE)="","",VLOOKUP(Fri_W2[[#This Row],[Employee Name]],'Base Schedules'!$A:$O,15,FALSE)),"")</f>
        <v/>
      </c>
      <c r="Q33" s="184" t="str">
        <f>IFERROR(IF(VLOOKUP(Fri_W2[[#This Row],[Employee Name]],'Base Schedules'!$A:$P,16,FALSE)="","",VLOOKUP(Fri_W2[[#This Row],[Employee Name]],'Base Schedules'!$A:$P,16,FALSE)),"")</f>
        <v/>
      </c>
      <c r="R33" s="184" t="str">
        <f>IFERROR(IF(VLOOKUP(Fri_W2[[#This Row],[Employee Name]],'Base Schedules'!$A:$Q,17,FALSE)="","",VLOOKUP(Fri_W2[[#This Row],[Employee Name]],'Base Schedules'!$A:$Q,17,FALSE)),"")</f>
        <v/>
      </c>
      <c r="S33" s="184" t="str">
        <f>IFERROR(IF(VLOOKUP(Fri_W2[[#This Row],[Employee Name]],'Base Schedules'!$A:$R,18,FALSE)="","",VLOOKUP(Fri_W2[[#This Row],[Employee Name]],'Base Schedules'!$A:$R,18,FALSE)),"")</f>
        <v/>
      </c>
      <c r="T33" s="184" t="str">
        <f>IFERROR(IF(VLOOKUP(Fri_W2[[#This Row],[Employee Name]],'Base Schedules'!$A:$S,19,FALSE)="","",VLOOKUP(Fri_W2[[#This Row],[Employee Name]],'Base Schedules'!$A:$S,19,FALSE)),"")</f>
        <v/>
      </c>
      <c r="U33" s="184" t="str">
        <f>IFERROR(IF(VLOOKUP(Fri_W2[[#This Row],[Employee Name]],'Base Schedules'!$A:$T,20,FALSE)="","",VLOOKUP(Fri_W2[[#This Row],[Employee Name]],'Base Schedules'!$A:$T,20,FALSE)),"")</f>
        <v/>
      </c>
      <c r="V33" s="184" t="str">
        <f>IFERROR(IF(VLOOKUP(Fri_W2[[#This Row],[Employee Name]],'Base Schedules'!$A:$U,21,FALSE)="","",VLOOKUP(Fri_W2[[#This Row],[Employee Name]],'Base Schedules'!$A:$U,21,FALSE)),"")</f>
        <v/>
      </c>
      <c r="W33" s="184" t="str">
        <f>IFERROR(IF(VLOOKUP(Fri_W2[[#This Row],[Employee Name]],'Base Schedules'!$A:$V,22,FALSE)="","",VLOOKUP(Fri_W2[[#This Row],[Employee Name]],'Base Schedules'!$A:$V,22,FALSE)),"")</f>
        <v>ADM</v>
      </c>
      <c r="X33" s="184" t="str">
        <f>IFERROR(IF(VLOOKUP(Fri_W2[[#This Row],[Employee Name]],'Base Schedules'!$A:$W,23,FALSE)="","",VLOOKUP(Fri_W2[[#This Row],[Employee Name]],'Base Schedules'!$A:$W,23,FALSE)),"")</f>
        <v>ADM</v>
      </c>
      <c r="Y33" s="184" t="str">
        <f>IFERROR(IF(VLOOKUP(Fri_W2[[#This Row],[Employee Name]],'Base Schedules'!$A:$X,24,FALSE)="","",VLOOKUP(Fri_W2[[#This Row],[Employee Name]],'Base Schedules'!$A:$X,24,FALSE)),"")</f>
        <v>ADM</v>
      </c>
      <c r="Z33" s="184" t="str">
        <f>IFERROR(IF(VLOOKUP(Fri_W2[[#This Row],[Employee Name]],'Base Schedules'!$A:$Y,25,FALSE)="","",VLOOKUP(Fri_W2[[#This Row],[Employee Name]],'Base Schedules'!$A:$Y,25,FALSE)),"")</f>
        <v>ADM</v>
      </c>
      <c r="AA33" s="184" t="str">
        <f>IFERROR(IF(VLOOKUP(Fri_W2[[#This Row],[Employee Name]],'Base Schedules'!$A:$Z,26,FALSE)="","",VLOOKUP(Fri_W2[[#This Row],[Employee Name]],'Base Schedules'!$A:$Z,26,FALSE)),"")</f>
        <v>ADM B1</v>
      </c>
      <c r="AB33" s="184" t="str">
        <f>IFERROR(IF(VLOOKUP(Fri_W2[[#This Row],[Employee Name]],'Base Schedules'!$A:$AA,27,FALSE)="","",VLOOKUP(Fri_W2[[#This Row],[Employee Name]],'Base Schedules'!$A:$AA,27,FALSE)),"")</f>
        <v>HL</v>
      </c>
      <c r="AC33" s="184" t="str">
        <f>IFERROR(IF(VLOOKUP(Fri_W2[[#This Row],[Employee Name]],'Base Schedules'!$A:$AB,28,FALSE)="","",VLOOKUP(Fri_W2[[#This Row],[Employee Name]],'Base Schedules'!$A:$AB,28,FALSE)),"")</f>
        <v>HL</v>
      </c>
      <c r="AD33" s="184" t="str">
        <f>IFERROR(IF(VLOOKUP(Fri_W2[[#This Row],[Employee Name]],'Base Schedules'!$A:$AC,29,FALSE)="","",VLOOKUP(Fri_W2[[#This Row],[Employee Name]],'Base Schedules'!$A:$AC,29,FALSE)),"")</f>
        <v>HL</v>
      </c>
      <c r="AE33" s="184" t="str">
        <f>IFERROR(IF(VLOOKUP(Fri_W2[[#This Row],[Employee Name]],'Base Schedules'!$A:$AD,30,FALSE)="","",VLOOKUP(Fri_W2[[#This Row],[Employee Name]],'Base Schedules'!$A:$AD,30,FALSE)),"")</f>
        <v>ADM</v>
      </c>
      <c r="AF33" s="184" t="str">
        <f>IFERROR(IF(VLOOKUP(Fri_W2[[#This Row],[Employee Name]],'Base Schedules'!$A:$AE,31,FALSE)="","",VLOOKUP(Fri_W2[[#This Row],[Employee Name]],'Base Schedules'!$A:$AE,31,FALSE)),"")</f>
        <v>ADM</v>
      </c>
      <c r="AG33" s="184" t="str">
        <f>IFERROR(IF(VLOOKUP(Fri_W2[[#This Row],[Employee Name]],'Base Schedules'!$A:$AF,32,FALSE)="","",VLOOKUP(Fri_W2[[#This Row],[Employee Name]],'Base Schedules'!$A:$AF,32,FALSE)),"")</f>
        <v>LUNCH</v>
      </c>
      <c r="AH33" s="184" t="str">
        <f>IFERROR(IF(VLOOKUP(Fri_W2[[#This Row],[Employee Name]],'Base Schedules'!$A:$AG,33,FALSE)="","",VLOOKUP(Fri_W2[[#This Row],[Employee Name]],'Base Schedules'!$A:$AG,33,FALSE)),"")</f>
        <v>ADM</v>
      </c>
      <c r="AI33" s="184" t="str">
        <f>IFERROR(IF(VLOOKUP(Fri_W2[[#This Row],[Employee Name]],'Base Schedules'!$A:$AH,34,FALSE)="","",VLOOKUP(Fri_W2[[#This Row],[Employee Name]],'Base Schedules'!$A:$AH,34,FALSE)),"")</f>
        <v>ADM</v>
      </c>
      <c r="AJ33" s="184" t="str">
        <f>IFERROR(IF(VLOOKUP(Fri_W2[[#This Row],[Employee Name]],'Base Schedules'!$A:$AI,35,FALSE)="","",VLOOKUP(Fri_W2[[#This Row],[Employee Name]],'Base Schedules'!$A:$AI,35,FALSE)),"")</f>
        <v>HL</v>
      </c>
      <c r="AK33" s="184" t="str">
        <f>IFERROR(IF(VLOOKUP(Fri_W2[[#This Row],[Employee Name]],'Base Schedules'!$A:$AJ,36,FALSE)="","",VLOOKUP(Fri_W2[[#This Row],[Employee Name]],'Base Schedules'!$A:$AJ,36,FALSE)),"")</f>
        <v>B2 HL</v>
      </c>
      <c r="AL33" s="184" t="str">
        <f>IFERROR(IF(VLOOKUP(Fri_W2[[#This Row],[Employee Name]],'Base Schedules'!$A:$AK,37,FALSE)="","",VLOOKUP(Fri_W2[[#This Row],[Employee Name]],'Base Schedules'!$A:$AK,37,FALSE)),"")</f>
        <v>HL</v>
      </c>
      <c r="AM33" s="184" t="str">
        <f>IFERROR(IF(VLOOKUP(Fri_W2[[#This Row],[Employee Name]],'Base Schedules'!$A:$AL,38,FALSE)="","",VLOOKUP(Fri_W2[[#This Row],[Employee Name]],'Base Schedules'!$A:$AL,38,FALSE)),"")</f>
        <v>HL</v>
      </c>
      <c r="AN33" s="184" t="str">
        <f>IFERROR(IF(VLOOKUP(Fri_W2[[#This Row],[Employee Name]],'Base Schedules'!$A:$AM,39,FALSE)="","",VLOOKUP(Fri_W2[[#This Row],[Employee Name]],'Base Schedules'!$A:$AM,39,FALSE)),"")</f>
        <v/>
      </c>
      <c r="AO33" s="184" t="str">
        <f>IFERROR(IF(VLOOKUP(Fri_W2[[#This Row],[Employee Name]],'Base Schedules'!$A:$AN,40,FALSE)="","",VLOOKUP(Fri_W2[[#This Row],[Employee Name]],'Base Schedules'!$A:$AN,40,FALSE)),"")</f>
        <v/>
      </c>
      <c r="AP33" s="184" t="str">
        <f>IFERROR(IF(VLOOKUP(Fri_W2[[#This Row],[Employee Name]],'Base Schedules'!$A:$AO,41,FALSE)="","",VLOOKUP(Fri_W2[[#This Row],[Employee Name]],'Base Schedules'!$A:$AO,41,FALSE)),"")</f>
        <v/>
      </c>
      <c r="AQ33" s="184" t="str">
        <f>IFERROR(IF(VLOOKUP(Fri_W2[[#This Row],[Employee Name]],'Base Schedules'!$A:$AP,42,FALSE)="","",VLOOKUP(Fri_W2[[#This Row],[Employee Name]],'Base Schedules'!$A:$AP,42,FALSE)),"")</f>
        <v/>
      </c>
      <c r="AR33" s="184" t="str">
        <f>IFERROR(IF(VLOOKUP(Fri_W2[[#This Row],[Employee Name]],'Base Schedules'!$A:$AQ,43,FALSE)="","",VLOOKUP(Fri_W2[[#This Row],[Employee Name]],'Base Schedules'!$A:$AQ,43,FALSE)),"")</f>
        <v/>
      </c>
      <c r="AS33" s="184" t="str">
        <f>IFERROR(IF(VLOOKUP(Fri_W2[[#This Row],[Employee Name]],'Base Schedules'!$A:$AR,44,FALSE)="","",VLOOKUP(Fri_W2[[#This Row],[Employee Name]],'Base Schedules'!$A:$AR,44,FALSE)),"")</f>
        <v/>
      </c>
      <c r="AT33" s="184" t="str">
        <f>IFERROR(IF(VLOOKUP(Fri_W2[[#This Row],[Employee Name]],'Base Schedules'!$A:$AS,45,FALSE)="","",VLOOKUP(Fri_W2[[#This Row],[Employee Name]],'Base Schedules'!$A:$AS,45,FALSE)),"")</f>
        <v/>
      </c>
      <c r="AU33" s="184" t="str">
        <f>IFERROR(IF(VLOOKUP(Fri_W2[[#This Row],[Employee Name]],'Base Schedules'!$A:$AT,46,FALSE)="","",VLOOKUP(Fri_W2[[#This Row],[Employee Name]],'Base Schedules'!$A:$AT,46,FALSE)),"")</f>
        <v/>
      </c>
      <c r="AV33" s="184" t="str">
        <f>IFERROR(IF(VLOOKUP(Fri_W2[[#This Row],[Employee Name]],'Base Schedules'!$A:$AU,47,FALSE)="","",VLOOKUP(Fri_W2[[#This Row],[Employee Name]],'Base Schedules'!$A:$AU,47,FALSE)),"")</f>
        <v/>
      </c>
      <c r="AW33" s="184" t="str">
        <f>IFERROR(IF(VLOOKUP(Fri_W2[[#This Row],[Employee Name]],'Base Schedules'!$A:$AV,48,FALSE)="","",VLOOKUP(Fri_W2[[#This Row],[Employee Name]],'Base Schedules'!$A:$AV,48,FALSE)),"")</f>
        <v/>
      </c>
      <c r="AX33" s="184" t="str">
        <f>IFERROR(IF(VLOOKUP(Fri_W1[[#This Row],[Employee Name]],'Base Schedules'!$A$1:$AW$44,49,FALSE)="","",VLOOKUP(Fri_W1[[#This Row],[Employee Name]],'Base Schedules'!$A$1:$AW$44,49,FALSE)),"")</f>
        <v/>
      </c>
      <c r="AY33" s="160" t="str">
        <f t="shared" si="2"/>
        <v>Condon, Heather</v>
      </c>
    </row>
    <row r="34" spans="1:51" s="44" customFormat="1" ht="11.25" customHeight="1" x14ac:dyDescent="0.2">
      <c r="A34" s="39" t="str">
        <f>IF(B34="","",INDEX(TeamList[],MATCH($B34,TeamList[[Employee Name]:[Employee Name]],0),MATCH("Manager",TeamList[#Headers],0)))</f>
        <v>Ahmed Hassan, Zahra</v>
      </c>
      <c r="B34" s="201" t="s">
        <v>63</v>
      </c>
      <c r="C34" s="257" t="str">
        <f>_xlfn.IFNA(VLOOKUP(Fri_W2[[#This Row],[Employee Name]],'Base Schedules'!A:B,2,FALSE),"")</f>
        <v>Supervisor</v>
      </c>
      <c r="D34" s="274">
        <f>_xlfn.IFNA(VLOOKUP(Fri_W2[[#This Row],[Employee Name]],'Base Schedules'!A:C,3,FALSE),"")</f>
        <v>1200</v>
      </c>
      <c r="E34" s="274">
        <f>_xlfn.IFNA(VLOOKUP(Fri_W2[[#This Row],[Employee Name]],'Base Schedules'!A:D,4,FALSE),"")</f>
        <v>2100</v>
      </c>
      <c r="F34" s="142">
        <f>IF(Fri_W2[[#This Row],[Employee Name]]="","",IF(Fri_W2[[#This Row],[Dept]]="Supervisor",COUNTIFS($J34:$AX34,"*HL*",$J34:$AX34,"&lt;&gt;"&amp;"pHL"),COUNTIFS($J34:$AX34,"*HL*",$J34:$AX34,"&lt;&gt;"&amp;"*pHL*",$J34:$AX34,"&lt;&gt;"&amp;"pB1 HL",$J34:$AX34,"&lt;&gt;"&amp;"pB2 HL")-SUM(COUNTIFS($J34:$AX34,"*HL B1*",$J34:$AX34,"&lt;&gt;"&amp;"pHL B1")*0.5,COUNTIFS($J34:$AX34,"*HL B2*",$J34:$AX34,"&lt;&gt;"&amp;"pHL B2")*0.5,COUNTIFS($J34:$AX34,"*B1 HL*",$J34:$AX34,"&lt;&gt;"&amp;"pB1 HL")*0.5,COUNTIFS($J34:$AX34,"*B2 HL*",$J34:$AX34,"&lt;&gt;"&amp;"pB2 HL")*0.5)))</f>
        <v>0</v>
      </c>
      <c r="G34" s="142">
        <f t="shared" si="0"/>
        <v>4</v>
      </c>
      <c r="H34" s="142">
        <f t="shared" si="1"/>
        <v>0</v>
      </c>
      <c r="I34" s="142">
        <f>IF(Fri_W2[[#This Row],[Employee Name]]="","",IF(Fri_W2[[#This Row],[Dept]]="Supervisor",SUM(COUNTIFS($J34:$AX34,"RTA*",$J34:$AX34,"&lt;&gt;"&amp;"pRTA"),COUNTIFS($J34:$AX34,"*CRTA*",$J34:$AX34,"&lt;&gt;"&amp;"pCRTA")),COUNTIFS($J34:$AX34,"*RNNR*",$J34:$AX34,"&lt;&gt;"&amp;"*pRNNR*",$J34:$AX34,"&lt;&gt;"&amp;"pB1 RNNR",$J34:$AX34,"&lt;&gt;"&amp;"pB2 RNNR")-SUM(COUNTIFS($J34:$AX34,"*RNNR B1*",$J34:$AX34,"&lt;&gt;"&amp;"pRNNR B1")*0.5,COUNTIFS($J34:$AX34,"*RNNR B2*",$J34:$AX34,"&lt;&gt;"&amp;"pRNNR B2")*0.5,COUNTIFS($J34:$AX34,"*B1 RNNR*",$J34:$AX34,"&lt;&gt;"&amp;"pB1 RNNR")*0.5,COUNTIFS($J34:$AX34,"*B2 RNNR*",$J34:$AX34,"&lt;&gt;"&amp;"pB2 RNNR")*0.5)))</f>
        <v>0</v>
      </c>
      <c r="J34" s="184" t="str">
        <f>IFERROR(IF(VLOOKUP(Fri_W2[[#This Row],[Employee Name]],'Base Schedules'!$A$1:$AW$44,9,FALSE)="","",VLOOKUP(Fri_W2[[#This Row],[Employee Name]],'Base Schedules'!$A$1:$AW$44,9,FALSE)),"")</f>
        <v/>
      </c>
      <c r="K34" s="184" t="str">
        <f>IFERROR(IF(VLOOKUP(Fri_W2[[#This Row],[Employee Name]],'Base Schedules'!$A$1:$AW$44,10,FALSE)="","",VLOOKUP(Fri_W2[[#This Row],[Employee Name]],'Base Schedules'!$A$1:$AW$44,10,FALSE)),"")</f>
        <v/>
      </c>
      <c r="L34" s="184" t="str">
        <f>IFERROR(IF(VLOOKUP(Fri_W2[[#This Row],[Employee Name]],'Base Schedules'!$A$1:$AW$44,11,FALSE)="","",VLOOKUP(Fri_W2[[#This Row],[Employee Name]],'Base Schedules'!$A$1:$AW$44,11,FALSE)),"")</f>
        <v/>
      </c>
      <c r="M34" s="184" t="str">
        <f>IFERROR(IF(VLOOKUP(Fri_W2[[#This Row],[Employee Name]],'Base Schedules'!$A$1:$AW$44,12,FALSE)="","",VLOOKUP(Fri_W2[[#This Row],[Employee Name]],'Base Schedules'!$A$1:$AW$44,12,FALSE)),"")</f>
        <v/>
      </c>
      <c r="N34" s="184" t="str">
        <f>IFERROR(IF(VLOOKUP(Fri_W2[[#This Row],[Employee Name]],'Base Schedules'!$A$1:$AW$44,13,FALSE)="","",VLOOKUP(Fri_W2[[#This Row],[Employee Name]],'Base Schedules'!$A$1:$AW$44,13,FALSE)),"")</f>
        <v/>
      </c>
      <c r="O34" s="184" t="str">
        <f>IFERROR(IF(VLOOKUP(Fri_W2[[#This Row],[Employee Name]],'Base Schedules'!$A$1:$AW$44,14,FALSE)="","",VLOOKUP(Fri_W2[[#This Row],[Employee Name]],'Base Schedules'!$A$1:$AW$44,14,FALSE)),"")</f>
        <v/>
      </c>
      <c r="P34" s="184" t="str">
        <f>IFERROR(IF(VLOOKUP(Fri_W2[[#This Row],[Employee Name]],'Base Schedules'!$A$1:$AW$44,15,FALSE)="","",VLOOKUP(Fri_W2[[#This Row],[Employee Name]],'Base Schedules'!$A$1:$AW$44,15,FALSE)),"")</f>
        <v/>
      </c>
      <c r="Q34" s="184" t="str">
        <f>IFERROR(IF(VLOOKUP(Fri_W2[[#This Row],[Employee Name]],'Base Schedules'!$A$1:$AW$44,16,FALSE)="","",VLOOKUP(Fri_W2[[#This Row],[Employee Name]],'Base Schedules'!$A$1:$AW$44,16,FALSE)),"")</f>
        <v/>
      </c>
      <c r="R34" s="184" t="str">
        <f>IFERROR(IF(VLOOKUP(Fri_W2[[#This Row],[Employee Name]],'Base Schedules'!$A$1:$AW$44,17,FALSE)="","",VLOOKUP(Fri_W2[[#This Row],[Employee Name]],'Base Schedules'!$A$1:$AW$44,17,FALSE)),"")</f>
        <v/>
      </c>
      <c r="S34" s="184" t="str">
        <f>IFERROR(IF(VLOOKUP(Fri_W2[[#This Row],[Employee Name]],'Base Schedules'!$A$1:$AW$44,18,FALSE)="","",VLOOKUP(Fri_W2[[#This Row],[Employee Name]],'Base Schedules'!$A$1:$AW$44,18,FALSE)),"")</f>
        <v/>
      </c>
      <c r="T34" s="184" t="str">
        <f>IFERROR(IF(VLOOKUP(Fri_W2[[#This Row],[Employee Name]],'Base Schedules'!$A$1:$AW$44,19,FALSE)="","",VLOOKUP(Fri_W2[[#This Row],[Employee Name]],'Base Schedules'!$A$1:$AW$44,19,FALSE)),"")</f>
        <v/>
      </c>
      <c r="U34" s="184" t="str">
        <f>IFERROR(IF(VLOOKUP(Fri_W2[[#This Row],[Employee Name]],'Base Schedules'!$A$1:$AW$44,20,FALSE)="","",VLOOKUP(Fri_W2[[#This Row],[Employee Name]],'Base Schedules'!$A$1:$AW$44,20,FALSE)),"")</f>
        <v/>
      </c>
      <c r="V34" s="184" t="str">
        <f>IFERROR(IF(VLOOKUP(Fri_W2[[#This Row],[Employee Name]],'Base Schedules'!$A$1:$AW$44,21,FALSE)="","",VLOOKUP(Fri_W2[[#This Row],[Employee Name]],'Base Schedules'!$A$1:$AW$44,21,FALSE)),"")</f>
        <v/>
      </c>
      <c r="W34" s="184" t="str">
        <f>IFERROR(IF(VLOOKUP(Fri_W2[[#This Row],[Employee Name]],'Base Schedules'!$A$1:$AW$44,22,FALSE)="","",VLOOKUP(Fri_W2[[#This Row],[Employee Name]],'Base Schedules'!$A$1:$AW$44,22,FALSE)),"")</f>
        <v/>
      </c>
      <c r="X34" s="184" t="str">
        <f>IFERROR(IF(VLOOKUP(Fri_W2[[#This Row],[Employee Name]],'Base Schedules'!$A$1:$AW$44,23,FALSE)="","",VLOOKUP(Fri_W2[[#This Row],[Employee Name]],'Base Schedules'!$A$1:$AW$44,23,FALSE)),"")</f>
        <v>-</v>
      </c>
      <c r="Y34" s="184" t="str">
        <f>IFERROR(IF(VLOOKUP(Fri_W2[[#This Row],[Employee Name]],'Base Schedules'!$A$1:$AW$44,24,FALSE)="","",VLOOKUP(Fri_W2[[#This Row],[Employee Name]],'Base Schedules'!$A$1:$AW$44,24,FALSE)),"")</f>
        <v>-</v>
      </c>
      <c r="Z34" s="184" t="str">
        <f>IFERROR(IF(VLOOKUP(Fri_W2[[#This Row],[Employee Name]],'Base Schedules'!$A$1:$AW$44,25,FALSE)="","",VLOOKUP(Fri_W2[[#This Row],[Employee Name]],'Base Schedules'!$A$1:$AW$44,25,FALSE)),"")</f>
        <v>-</v>
      </c>
      <c r="AA34" s="184" t="str">
        <f>IFERROR(IF(VLOOKUP(Fri_W2[[#This Row],[Employee Name]],'Base Schedules'!$A$1:$AW$44,26,FALSE)="","",VLOOKUP(Fri_W2[[#This Row],[Employee Name]],'Base Schedules'!$A$1:$AW$44,26,FALSE)),"")</f>
        <v>-</v>
      </c>
      <c r="AB34" s="184" t="str">
        <f>IFERROR(IF(VLOOKUP(Fri_W2[[#This Row],[Employee Name]],'Base Schedules'!$A$1:$AW$44,27,FALSE)="","",VLOOKUP(Fri_W2[[#This Row],[Employee Name]],'Base Schedules'!$A$1:$AW$44,27,FALSE)),"")</f>
        <v>Interview</v>
      </c>
      <c r="AC34" s="184" t="str">
        <f>IFERROR(IF(VLOOKUP(Fri_W2[[#This Row],[Employee Name]],'Base Schedules'!$A$1:$AW$44,28,FALSE)="","",VLOOKUP(Fri_W2[[#This Row],[Employee Name]],'Base Schedules'!$A$1:$AW$44,28,FALSE)),"")</f>
        <v>Interview</v>
      </c>
      <c r="AD34" s="184" t="str">
        <f>IFERROR(IF(VLOOKUP(Fri_W2[[#This Row],[Employee Name]],'Base Schedules'!$A$1:$AW$44,29,FALSE)="","",VLOOKUP(Fri_W2[[#This Row],[Employee Name]],'Base Schedules'!$A$1:$AW$44,29,FALSE)),"")</f>
        <v>-</v>
      </c>
      <c r="AE34" s="184" t="str">
        <f>IFERROR(IF(VLOOKUP(Fri_W2[[#This Row],[Employee Name]],'Base Schedules'!$A$1:$AW$44,30,FALSE)="","",VLOOKUP(Fri_W2[[#This Row],[Employee Name]],'Base Schedules'!$A$1:$AW$44,30,FALSE)),"")</f>
        <v>-</v>
      </c>
      <c r="AF34" s="184" t="str">
        <f>IFERROR(IF(VLOOKUP(Fri_W2[[#This Row],[Employee Name]],'Base Schedules'!$A$1:$AW$44,31,FALSE)="","",VLOOKUP(Fri_W2[[#This Row],[Employee Name]],'Base Schedules'!$A$1:$AW$44,31,FALSE)),"")</f>
        <v>-</v>
      </c>
      <c r="AG34" s="184" t="str">
        <f>IFERROR(IF(VLOOKUP(Fri_W2[[#This Row],[Employee Name]],'Base Schedules'!$A$1:$AW$44,32,FALSE)="","",VLOOKUP(Fri_W2[[#This Row],[Employee Name]],'Base Schedules'!$A$1:$AW$44,32,FALSE)),"")</f>
        <v>Coaching</v>
      </c>
      <c r="AH34" s="184" t="str">
        <f>IFERROR(IF(VLOOKUP(Fri_W2[[#This Row],[Employee Name]],'Base Schedules'!$A$1:$AW$44,33,FALSE)="","",VLOOKUP(Fri_W2[[#This Row],[Employee Name]],'Base Schedules'!$A$1:$AW$44,33,FALSE)),"")</f>
        <v>Coaching</v>
      </c>
      <c r="AI34" s="184" t="str">
        <f>IFERROR(IF(VLOOKUP(Fri_W2[[#This Row],[Employee Name]],'Base Schedules'!$A$1:$AW$44,34,FALSE)="","",VLOOKUP(Fri_W2[[#This Row],[Employee Name]],'Base Schedules'!$A$1:$AW$44,34,FALSE)),"")</f>
        <v>Coaching</v>
      </c>
      <c r="AJ34" s="184" t="str">
        <f>IFERROR(IF(VLOOKUP(Fri_W2[[#This Row],[Employee Name]],'Base Schedules'!$A$1:$AW$44,35,FALSE)="","",VLOOKUP(Fri_W2[[#This Row],[Employee Name]],'Base Schedules'!$A$1:$AW$44,35,FALSE)),"")</f>
        <v>Coaching</v>
      </c>
      <c r="AK34" s="184" t="str">
        <f>IFERROR(IF(VLOOKUP(Fri_W2[[#This Row],[Employee Name]],'Base Schedules'!$A$1:$AW$44,36,FALSE)="","",VLOOKUP(Fri_W2[[#This Row],[Employee Name]],'Base Schedules'!$A$1:$AW$44,36,FALSE)),"")</f>
        <v>-</v>
      </c>
      <c r="AL34" s="184" t="str">
        <f>IFERROR(IF(VLOOKUP(Fri_W2[[#This Row],[Employee Name]],'Base Schedules'!$A$1:$AW$44,37,FALSE)="","",VLOOKUP(Fri_W2[[#This Row],[Employee Name]],'Base Schedules'!$A$1:$AW$44,37,FALSE)),"")</f>
        <v>-</v>
      </c>
      <c r="AM34" s="184" t="str">
        <f>IFERROR(IF(VLOOKUP(Fri_W2[[#This Row],[Employee Name]],'Base Schedules'!$A$1:$AW$44,38,FALSE)="","",VLOOKUP(Fri_W2[[#This Row],[Employee Name]],'Base Schedules'!$A$1:$AW$44,38,FALSE)),"")</f>
        <v>-</v>
      </c>
      <c r="AN34" s="184" t="str">
        <f>IFERROR(IF(VLOOKUP(Fri_W2[[#This Row],[Employee Name]],'Base Schedules'!$A$1:$AW$44,39,FALSE)="","",VLOOKUP(Fri_W2[[#This Row],[Employee Name]],'Base Schedules'!$A$1:$AW$44,39,FALSE)),"")</f>
        <v>-</v>
      </c>
      <c r="AO34" s="184" t="str">
        <f>IFERROR(IF(VLOOKUP(Fri_W2[[#This Row],[Employee Name]],'Base Schedules'!$A$1:$AW$44,40,FALSE)="","",VLOOKUP(Fri_W2[[#This Row],[Employee Name]],'Base Schedules'!$A$1:$AW$44,40,FALSE)),"")</f>
        <v>-</v>
      </c>
      <c r="AP34" s="184" t="str">
        <f>IFERROR(IF(VLOOKUP(Fri_W2[[#This Row],[Employee Name]],'Base Schedules'!$A$1:$AW$44,41,FALSE)="","",VLOOKUP(Fri_W2[[#This Row],[Employee Name]],'Base Schedules'!$A$1:$AW$44,41,FALSE)),"")</f>
        <v/>
      </c>
      <c r="AQ34" s="184" t="str">
        <f>IFERROR(IF(VLOOKUP(Fri_W2[[#This Row],[Employee Name]],'Base Schedules'!$A$1:$AW$44,42,FALSE)="","",VLOOKUP(Fri_W2[[#This Row],[Employee Name]],'Base Schedules'!$A$1:$AW$44,42,FALSE)),"")</f>
        <v/>
      </c>
      <c r="AR34" s="184" t="str">
        <f>IFERROR(IF(VLOOKUP(Fri_W2[[#This Row],[Employee Name]],'Base Schedules'!$A$1:$AW$44,43,FALSE)="","",VLOOKUP(Fri_W2[[#This Row],[Employee Name]],'Base Schedules'!$A$1:$AW$44,43,FALSE)),"")</f>
        <v/>
      </c>
      <c r="AS34" s="184" t="str">
        <f>IFERROR(IF(VLOOKUP(Fri_W2[[#This Row],[Employee Name]],'Base Schedules'!$A$1:$AW$44,44,FALSE)="","",VLOOKUP(Fri_W2[[#This Row],[Employee Name]],'Base Schedules'!$A$1:$AW$44,44,FALSE)),"")</f>
        <v/>
      </c>
      <c r="AT34" s="184" t="str">
        <f>IFERROR(IF(VLOOKUP(Fri_W2[[#This Row],[Employee Name]],'Base Schedules'!$A$1:$AW$44,45,FALSE)="","",VLOOKUP(Fri_W2[[#This Row],[Employee Name]],'Base Schedules'!$A$1:$AW$44,45,FALSE)),"")</f>
        <v/>
      </c>
      <c r="AU34" s="184" t="str">
        <f>IFERROR(IF(VLOOKUP(Fri_W2[[#This Row],[Employee Name]],'Base Schedules'!$A$1:$AW$44,46,FALSE)="","",VLOOKUP(Fri_W2[[#This Row],[Employee Name]],'Base Schedules'!$A$1:$AW$44,46,FALSE)),"")</f>
        <v/>
      </c>
      <c r="AV34" s="184" t="str">
        <f>IFERROR(IF(VLOOKUP(Fri_W2[[#This Row],[Employee Name]],'Base Schedules'!$A$1:$AW$44,47,FALSE)="","",VLOOKUP(Fri_W2[[#This Row],[Employee Name]],'Base Schedules'!$A$1:$AW$44,47,FALSE)),"")</f>
        <v/>
      </c>
      <c r="AW34" s="184" t="str">
        <f>IFERROR(IF(VLOOKUP(Fri_W2[[#This Row],[Employee Name]],'Base Schedules'!$A$1:$AW$44,48,FALSE)="","",VLOOKUP(Fri_W2[[#This Row],[Employee Name]],'Base Schedules'!$A$1:$AW$44,48,FALSE)),"")</f>
        <v/>
      </c>
      <c r="AX34" s="184" t="str">
        <f>IFERROR(IF(VLOOKUP(Fri_W2[[#This Row],[Employee Name]],'Base Schedules'!$A$1:$AW$44,49,FALSE)="","",VLOOKUP(Fri_W2[[#This Row],[Employee Name]],'Base Schedules'!$A$1:$AW$44,49,FALSE)),"")</f>
        <v/>
      </c>
      <c r="AY34" s="159" t="str">
        <f t="shared" si="2"/>
        <v>Conner, Mark</v>
      </c>
    </row>
    <row r="35" spans="1:51" s="44" customFormat="1" ht="11.25" customHeight="1" x14ac:dyDescent="0.2">
      <c r="A35" s="39" t="str">
        <f>IF(B35="","",INDEX(TeamList[],MATCH($B35,TeamList[[Employee Name]:[Employee Name]],0),MATCH("Manager",TeamList[#Headers],0)))</f>
        <v>Olson, Katherine</v>
      </c>
      <c r="B35" s="201" t="s">
        <v>50</v>
      </c>
      <c r="C35" s="257" t="str">
        <f>_xlfn.IFNA(VLOOKUP(Fri_W2[[#This Row],[Employee Name]],'Base Schedules'!A:B,2,FALSE),"")</f>
        <v>Lead</v>
      </c>
      <c r="D35" s="274">
        <f>_xlfn.IFNA(VLOOKUP(Fri_W2[[#This Row],[Employee Name]],'Base Schedules'!A:C,3,FALSE),"")</f>
        <v>1200</v>
      </c>
      <c r="E35" s="274">
        <f>_xlfn.IFNA(VLOOKUP(Fri_W2[[#This Row],[Employee Name]],'Base Schedules'!A:D,4,FALSE),"")</f>
        <v>2230</v>
      </c>
      <c r="F35" s="142">
        <f>IF(Fri_W2[[#This Row],[Employee Name]]="","",IF(Fri_W2[[#This Row],[Dept]]="Supervisor",COUNTIFS($J35:$AX35,"*HL*",$J35:$AX35,"&lt;&gt;"&amp;"pHL"),COUNTIFS($J35:$AX35,"*HL*",$J35:$AX35,"&lt;&gt;"&amp;"*pHL*",$J35:$AX35,"&lt;&gt;"&amp;"pB1 HL",$J35:$AX35,"&lt;&gt;"&amp;"pB2 HL")-SUM(COUNTIFS($J35:$AX35,"*HL B1*",$J35:$AX35,"&lt;&gt;"&amp;"pHL B1")*0.5,COUNTIFS($J35:$AX35,"*HL B2*",$J35:$AX35,"&lt;&gt;"&amp;"pHL B2")*0.5,COUNTIFS($J35:$AX35,"*B1 HL*",$J35:$AX35,"&lt;&gt;"&amp;"pB1 HL")*0.5,COUNTIFS($J35:$AX35,"*B2 HL*",$J35:$AX35,"&lt;&gt;"&amp;"pB2 HL")*0.5)))</f>
        <v>10</v>
      </c>
      <c r="G35" s="142">
        <f t="shared" si="0"/>
        <v>0</v>
      </c>
      <c r="H35" s="142">
        <f t="shared" si="1"/>
        <v>9</v>
      </c>
      <c r="I35" s="142">
        <f>IF(Fri_W2[[#This Row],[Employee Name]]="","",IF(Fri_W2[[#This Row],[Dept]]="Supervisor",SUM(COUNTIFS($J35:$AX35,"RTA*",$J35:$AX35,"&lt;&gt;"&amp;"pRTA"),COUNTIFS($J35:$AX35,"*CRTA*",$J35:$AX35,"&lt;&gt;"&amp;"pCRTA")),COUNTIFS($J35:$AX35,"*RNNR*",$J35:$AX35,"&lt;&gt;"&amp;"*pRNNR*",$J35:$AX35,"&lt;&gt;"&amp;"pB1 RNNR",$J35:$AX35,"&lt;&gt;"&amp;"pB2 RNNR")-SUM(COUNTIFS($J35:$AX35,"*RNNR B1*",$J35:$AX35,"&lt;&gt;"&amp;"pRNNR B1")*0.5,COUNTIFS($J35:$AX35,"*RNNR B2*",$J35:$AX35,"&lt;&gt;"&amp;"pRNNR B2")*0.5,COUNTIFS($J35:$AX35,"*B1 RNNR*",$J35:$AX35,"&lt;&gt;"&amp;"pB1 RNNR")*0.5,COUNTIFS($J35:$AX35,"*B2 RNNR*",$J35:$AX35,"&lt;&gt;"&amp;"pB2 RNNR")*0.5)))</f>
        <v>0</v>
      </c>
      <c r="J35" s="184" t="str">
        <f>IFERROR(IF(VLOOKUP(Fri_W2[[#This Row],[Employee Name]],'Base Schedules'!$A$1:$AW$44,9,FALSE)="","",VLOOKUP(Fri_W2[[#This Row],[Employee Name]],'Base Schedules'!$A$1:$AW$44,9,FALSE)),"")</f>
        <v/>
      </c>
      <c r="K35" s="184" t="str">
        <f>IFERROR(IF(VLOOKUP(Fri_W2[[#This Row],[Employee Name]],'Base Schedules'!$A$1:$AW$44,10,FALSE)="","",VLOOKUP(Fri_W2[[#This Row],[Employee Name]],'Base Schedules'!$A$1:$AW$44,10,FALSE)),"")</f>
        <v/>
      </c>
      <c r="L35" s="184" t="str">
        <f>IFERROR(IF(VLOOKUP(Fri_W2[[#This Row],[Employee Name]],'Base Schedules'!$A$1:$AW$44,11,FALSE)="","",VLOOKUP(Fri_W2[[#This Row],[Employee Name]],'Base Schedules'!$A$1:$AW$44,11,FALSE)),"")</f>
        <v/>
      </c>
      <c r="M35" s="184" t="str">
        <f>IFERROR(IF(VLOOKUP(Fri_W2[[#This Row],[Employee Name]],'Base Schedules'!$A$1:$AW$44,12,FALSE)="","",VLOOKUP(Fri_W2[[#This Row],[Employee Name]],'Base Schedules'!$A$1:$AW$44,12,FALSE)),"")</f>
        <v/>
      </c>
      <c r="N35" s="184" t="str">
        <f>IFERROR(IF(VLOOKUP(Fri_W2[[#This Row],[Employee Name]],'Base Schedules'!$A$1:$AW$44,13,FALSE)="","",VLOOKUP(Fri_W2[[#This Row],[Employee Name]],'Base Schedules'!$A$1:$AW$44,13,FALSE)),"")</f>
        <v/>
      </c>
      <c r="O35" s="184" t="str">
        <f>IFERROR(IF(VLOOKUP(Fri_W2[[#This Row],[Employee Name]],'Base Schedules'!$A$1:$AW$44,14,FALSE)="","",VLOOKUP(Fri_W2[[#This Row],[Employee Name]],'Base Schedules'!$A$1:$AW$44,14,FALSE)),"")</f>
        <v/>
      </c>
      <c r="P35" s="184" t="str">
        <f>IFERROR(IF(VLOOKUP(Fri_W2[[#This Row],[Employee Name]],'Base Schedules'!$A$1:$AW$44,15,FALSE)="","",VLOOKUP(Fri_W2[[#This Row],[Employee Name]],'Base Schedules'!$A$1:$AW$44,15,FALSE)),"")</f>
        <v/>
      </c>
      <c r="Q35" s="184" t="str">
        <f>IFERROR(IF(VLOOKUP(Fri_W2[[#This Row],[Employee Name]],'Base Schedules'!$A$1:$AW$44,16,FALSE)="","",VLOOKUP(Fri_W2[[#This Row],[Employee Name]],'Base Schedules'!$A$1:$AW$44,16,FALSE)),"")</f>
        <v/>
      </c>
      <c r="R35" s="184" t="str">
        <f>IFERROR(IF(VLOOKUP(Fri_W2[[#This Row],[Employee Name]],'Base Schedules'!$A$1:$AW$44,17,FALSE)="","",VLOOKUP(Fri_W2[[#This Row],[Employee Name]],'Base Schedules'!$A$1:$AW$44,17,FALSE)),"")</f>
        <v/>
      </c>
      <c r="S35" s="184" t="str">
        <f>IFERROR(IF(VLOOKUP(Fri_W2[[#This Row],[Employee Name]],'Base Schedules'!$A$1:$AW$44,18,FALSE)="","",VLOOKUP(Fri_W2[[#This Row],[Employee Name]],'Base Schedules'!$A$1:$AW$44,18,FALSE)),"")</f>
        <v/>
      </c>
      <c r="T35" s="184" t="str">
        <f>IFERROR(IF(VLOOKUP(Fri_W2[[#This Row],[Employee Name]],'Base Schedules'!$A$1:$AW$44,19,FALSE)="","",VLOOKUP(Fri_W2[[#This Row],[Employee Name]],'Base Schedules'!$A$1:$AW$44,19,FALSE)),"")</f>
        <v/>
      </c>
      <c r="U35" s="184" t="str">
        <f>IFERROR(IF(VLOOKUP(Fri_W2[[#This Row],[Employee Name]],'Base Schedules'!$A$1:$AW$44,20,FALSE)="","",VLOOKUP(Fri_W2[[#This Row],[Employee Name]],'Base Schedules'!$A$1:$AW$44,20,FALSE)),"")</f>
        <v/>
      </c>
      <c r="V35" s="184" t="str">
        <f>IFERROR(IF(VLOOKUP(Fri_W2[[#This Row],[Employee Name]],'Base Schedules'!$A$1:$AW$44,21,FALSE)="","",VLOOKUP(Fri_W2[[#This Row],[Employee Name]],'Base Schedules'!$A$1:$AW$44,21,FALSE)),"")</f>
        <v/>
      </c>
      <c r="W35" s="184" t="str">
        <f>IFERROR(IF(VLOOKUP(Fri_W2[[#This Row],[Employee Name]],'Base Schedules'!$A$1:$AW$44,22,FALSE)="","",VLOOKUP(Fri_W2[[#This Row],[Employee Name]],'Base Schedules'!$A$1:$AW$44,22,FALSE)),"")</f>
        <v/>
      </c>
      <c r="X35" s="184" t="str">
        <f>IFERROR(IF(VLOOKUP(Fri_W2[[#This Row],[Employee Name]],'Base Schedules'!$A$1:$AW$44,23,FALSE)="","",VLOOKUP(Fri_W2[[#This Row],[Employee Name]],'Base Schedules'!$A$1:$AW$44,23,FALSE)),"")</f>
        <v>HL</v>
      </c>
      <c r="Y35" s="184" t="str">
        <f>IFERROR(IF(VLOOKUP(Fri_W2[[#This Row],[Employee Name]],'Base Schedules'!$A$1:$AW$44,24,FALSE)="","",VLOOKUP(Fri_W2[[#This Row],[Employee Name]],'Base Schedules'!$A$1:$AW$44,24,FALSE)),"")</f>
        <v>ADM</v>
      </c>
      <c r="Z35" s="184" t="str">
        <f>IFERROR(IF(VLOOKUP(Fri_W2[[#This Row],[Employee Name]],'Base Schedules'!$A$1:$AW$44,25,FALSE)="","",VLOOKUP(Fri_W2[[#This Row],[Employee Name]],'Base Schedules'!$A$1:$AW$44,25,FALSE)),"")</f>
        <v>ADM</v>
      </c>
      <c r="AA35" s="184" t="str">
        <f>IFERROR(IF(VLOOKUP(Fri_W2[[#This Row],[Employee Name]],'Base Schedules'!$A$1:$AW$44,26,FALSE)="","",VLOOKUP(Fri_W2[[#This Row],[Employee Name]],'Base Schedules'!$A$1:$AW$44,26,FALSE)),"")</f>
        <v>ADM</v>
      </c>
      <c r="AB35" s="184" t="str">
        <f>IFERROR(IF(VLOOKUP(Fri_W2[[#This Row],[Employee Name]],'Base Schedules'!$A$1:$AW$44,27,FALSE)="","",VLOOKUP(Fri_W2[[#This Row],[Employee Name]],'Base Schedules'!$A$1:$AW$44,27,FALSE)),"")</f>
        <v>ADM</v>
      </c>
      <c r="AC35" s="184" t="str">
        <f>IFERROR(IF(VLOOKUP(Fri_W2[[#This Row],[Employee Name]],'Base Schedules'!$A$1:$AW$44,28,FALSE)="","",VLOOKUP(Fri_W2[[#This Row],[Employee Name]],'Base Schedules'!$A$1:$AW$44,28,FALSE)),"")</f>
        <v>B1 HL</v>
      </c>
      <c r="AD35" s="184" t="str">
        <f>IFERROR(IF(VLOOKUP(Fri_W2[[#This Row],[Employee Name]],'Base Schedules'!$A$1:$AW$44,29,FALSE)="","",VLOOKUP(Fri_W2[[#This Row],[Employee Name]],'Base Schedules'!$A$1:$AW$44,29,FALSE)),"")</f>
        <v>HL</v>
      </c>
      <c r="AE35" s="184" t="str">
        <f>IFERROR(IF(VLOOKUP(Fri_W2[[#This Row],[Employee Name]],'Base Schedules'!$A$1:$AW$44,30,FALSE)="","",VLOOKUP(Fri_W2[[#This Row],[Employee Name]],'Base Schedules'!$A$1:$AW$44,30,FALSE)),"")</f>
        <v>HL</v>
      </c>
      <c r="AF35" s="184" t="str">
        <f>IFERROR(IF(VLOOKUP(Fri_W2[[#This Row],[Employee Name]],'Base Schedules'!$A$1:$AW$44,31,FALSE)="","",VLOOKUP(Fri_W2[[#This Row],[Employee Name]],'Base Schedules'!$A$1:$AW$44,31,FALSE)),"")</f>
        <v>HL</v>
      </c>
      <c r="AG35" s="184" t="str">
        <f>IFERROR(IF(VLOOKUP(Fri_W2[[#This Row],[Employee Name]],'Base Schedules'!$A$1:$AW$44,32,FALSE)="","",VLOOKUP(Fri_W2[[#This Row],[Employee Name]],'Base Schedules'!$A$1:$AW$44,32,FALSE)),"")</f>
        <v>HL</v>
      </c>
      <c r="AH35" s="184" t="str">
        <f>IFERROR(IF(VLOOKUP(Fri_W2[[#This Row],[Employee Name]],'Base Schedules'!$A$1:$AW$44,33,FALSE)="","",VLOOKUP(Fri_W2[[#This Row],[Employee Name]],'Base Schedules'!$A$1:$AW$44,33,FALSE)),"")</f>
        <v>LUNCH</v>
      </c>
      <c r="AI35" s="184" t="str">
        <f>IFERROR(IF(VLOOKUP(Fri_W2[[#This Row],[Employee Name]],'Base Schedules'!$A$1:$AW$44,34,FALSE)="","",VLOOKUP(Fri_W2[[#This Row],[Employee Name]],'Base Schedules'!$A$1:$AW$44,34,FALSE)),"")</f>
        <v>LUNCH</v>
      </c>
      <c r="AJ35" s="184" t="str">
        <f>IFERROR(IF(VLOOKUP(Fri_W2[[#This Row],[Employee Name]],'Base Schedules'!$A$1:$AW$44,35,FALSE)="","",VLOOKUP(Fri_W2[[#This Row],[Employee Name]],'Base Schedules'!$A$1:$AW$44,35,FALSE)),"")</f>
        <v>ADM</v>
      </c>
      <c r="AK35" s="184" t="str">
        <f>IFERROR(IF(VLOOKUP(Fri_W2[[#This Row],[Employee Name]],'Base Schedules'!$A$1:$AW$44,36,FALSE)="","",VLOOKUP(Fri_W2[[#This Row],[Employee Name]],'Base Schedules'!$A$1:$AW$44,36,FALSE)),"")</f>
        <v>ADM</v>
      </c>
      <c r="AL35" s="184" t="str">
        <f>IFERROR(IF(VLOOKUP(Fri_W2[[#This Row],[Employee Name]],'Base Schedules'!$A$1:$AW$44,37,FALSE)="","",VLOOKUP(Fri_W2[[#This Row],[Employee Name]],'Base Schedules'!$A$1:$AW$44,37,FALSE)),"")</f>
        <v>ADM</v>
      </c>
      <c r="AM35" s="184" t="str">
        <f>IFERROR(IF(VLOOKUP(Fri_W2[[#This Row],[Employee Name]],'Base Schedules'!$A$1:$AW$44,38,FALSE)="","",VLOOKUP(Fri_W2[[#This Row],[Employee Name]],'Base Schedules'!$A$1:$AW$44,38,FALSE)),"")</f>
        <v>ADM</v>
      </c>
      <c r="AN35" s="184" t="str">
        <f>IFERROR(IF(VLOOKUP(Fri_W2[[#This Row],[Employee Name]],'Base Schedules'!$A$1:$AW$44,39,FALSE)="","",VLOOKUP(Fri_W2[[#This Row],[Employee Name]],'Base Schedules'!$A$1:$AW$44,39,FALSE)),"")</f>
        <v>ADM</v>
      </c>
      <c r="AO35" s="184" t="str">
        <f>IFERROR(IF(VLOOKUP(Fri_W2[[#This Row],[Employee Name]],'Base Schedules'!$A$1:$AW$44,40,FALSE)="","",VLOOKUP(Fri_W2[[#This Row],[Employee Name]],'Base Schedules'!$A$1:$AW$44,40,FALSE)),"")</f>
        <v>B2 HL</v>
      </c>
      <c r="AP35" s="184" t="str">
        <f>IFERROR(IF(VLOOKUP(Fri_W2[[#This Row],[Employee Name]],'Base Schedules'!$A$1:$AW$44,41,FALSE)="","",VLOOKUP(Fri_W2[[#This Row],[Employee Name]],'Base Schedules'!$A$1:$AW$44,41,FALSE)),"")</f>
        <v>HL</v>
      </c>
      <c r="AQ35" s="184" t="str">
        <f>IFERROR(IF(VLOOKUP(Fri_W2[[#This Row],[Employee Name]],'Base Schedules'!$A$1:$AW$44,42,FALSE)="","",VLOOKUP(Fri_W2[[#This Row],[Employee Name]],'Base Schedules'!$A$1:$AW$44,42,FALSE)),"")</f>
        <v>HL</v>
      </c>
      <c r="AR35" s="184" t="str">
        <f>IFERROR(IF(VLOOKUP(Fri_W2[[#This Row],[Employee Name]],'Base Schedules'!$A$1:$AW$44,43,FALSE)="","",VLOOKUP(Fri_W2[[#This Row],[Employee Name]],'Base Schedules'!$A$1:$AW$44,43,FALSE)),"")</f>
        <v>HL</v>
      </c>
      <c r="AS35" s="184" t="str">
        <f>IFERROR(IF(VLOOKUP(Fri_W2[[#This Row],[Employee Name]],'Base Schedules'!$A$1:$AW$44,44,FALSE)="","",VLOOKUP(Fri_W2[[#This Row],[Employee Name]],'Base Schedules'!$A$1:$AW$44,44,FALSE)),"")</f>
        <v>HL</v>
      </c>
      <c r="AT35" s="184" t="str">
        <f>IFERROR(IF(VLOOKUP(Fri_W2[[#This Row],[Employee Name]],'Base Schedules'!$A$1:$AW$44,45,FALSE)="","",VLOOKUP(Fri_W2[[#This Row],[Employee Name]],'Base Schedules'!$A$1:$AW$44,45,FALSE)),"")</f>
        <v/>
      </c>
      <c r="AU35" s="184" t="str">
        <f>IFERROR(IF(VLOOKUP(Fri_W2[[#This Row],[Employee Name]],'Base Schedules'!$A$1:$AW$44,46,FALSE)="","",VLOOKUP(Fri_W2[[#This Row],[Employee Name]],'Base Schedules'!$A$1:$AW$44,46,FALSE)),"")</f>
        <v/>
      </c>
      <c r="AV35" s="184" t="str">
        <f>IFERROR(IF(VLOOKUP(Fri_W2[[#This Row],[Employee Name]],'Base Schedules'!$A$1:$AW$44,47,FALSE)="","",VLOOKUP(Fri_W2[[#This Row],[Employee Name]],'Base Schedules'!$A$1:$AW$44,47,FALSE)),"")</f>
        <v/>
      </c>
      <c r="AW35" s="184" t="str">
        <f>IFERROR(IF(VLOOKUP(Fri_W2[[#This Row],[Employee Name]],'Base Schedules'!$A$1:$AW$44,48,FALSE)="","",VLOOKUP(Fri_W2[[#This Row],[Employee Name]],'Base Schedules'!$A$1:$AW$44,48,FALSE)),"")</f>
        <v/>
      </c>
      <c r="AX35" s="184" t="str">
        <f>IFERROR(IF(VLOOKUP(Fri_W2[[#This Row],[Employee Name]],'Base Schedules'!$A$1:$AW$44,49,FALSE)="","",VLOOKUP(Fri_W2[[#This Row],[Employee Name]],'Base Schedules'!$A$1:$AW$44,49,FALSE)),"")</f>
        <v/>
      </c>
      <c r="AY35" s="159" t="str">
        <f t="shared" si="2"/>
        <v>Floirendo, Nicholas</v>
      </c>
    </row>
    <row r="36" spans="1:51" s="44" customFormat="1" ht="11.25" customHeight="1" x14ac:dyDescent="0.2">
      <c r="A36" s="39" t="str">
        <f>IF(B36="","",INDEX(TeamList[],MATCH($B36,TeamList[[Employee Name]:[Employee Name]],0),MATCH("Manager",TeamList[#Headers],0)))</f>
        <v>Olson, Katherine</v>
      </c>
      <c r="B36" s="201" t="s">
        <v>226</v>
      </c>
      <c r="C36" s="257" t="str">
        <f>_xlfn.IFNA(VLOOKUP(Fri_W2[[#This Row],[Employee Name]],'Base Schedules'!A:B,2,FALSE),"")</f>
        <v>Lead</v>
      </c>
      <c r="D36" s="274">
        <f>_xlfn.IFNA(VLOOKUP(Fri_W2[[#This Row],[Employee Name]],'Base Schedules'!A:C,3,FALSE),"")</f>
        <v>1200</v>
      </c>
      <c r="E36" s="274">
        <f>_xlfn.IFNA(VLOOKUP(Fri_W2[[#This Row],[Employee Name]],'Base Schedules'!A:D,4,FALSE),"")</f>
        <v>2030</v>
      </c>
      <c r="F36" s="142">
        <f>IF(Fri_W2[[#This Row],[Employee Name]]="","",IF(Fri_W2[[#This Row],[Dept]]="Supervisor",COUNTIFS($J36:$AX36,"*HL*",$J36:$AX36,"&lt;&gt;"&amp;"pHL"),COUNTIFS($J36:$AX36,"*HL*",$J36:$AX36,"&lt;&gt;"&amp;"*pHL*",$J36:$AX36,"&lt;&gt;"&amp;"pB1 HL",$J36:$AX36,"&lt;&gt;"&amp;"pB2 HL")-SUM(COUNTIFS($J36:$AX36,"*HL B1*",$J36:$AX36,"&lt;&gt;"&amp;"pHL B1")*0.5,COUNTIFS($J36:$AX36,"*HL B2*",$J36:$AX36,"&lt;&gt;"&amp;"pHL B2")*0.5,COUNTIFS($J36:$AX36,"*B1 HL*",$J36:$AX36,"&lt;&gt;"&amp;"pB1 HL")*0.5,COUNTIFS($J36:$AX36,"*B2 HL*",$J36:$AX36,"&lt;&gt;"&amp;"pB2 HL")*0.5)))</f>
        <v>8.5</v>
      </c>
      <c r="G36" s="142">
        <f t="shared" si="0"/>
        <v>0</v>
      </c>
      <c r="H36" s="142">
        <f t="shared" si="1"/>
        <v>7</v>
      </c>
      <c r="I36" s="142">
        <f>IF(Fri_W2[[#This Row],[Employee Name]]="","",IF(Fri_W2[[#This Row],[Dept]]="Supervisor",SUM(COUNTIFS($J36:$AX36,"RTA*",$J36:$AX36,"&lt;&gt;"&amp;"pRTA"),COUNTIFS($J36:$AX36,"*CRTA*",$J36:$AX36,"&lt;&gt;"&amp;"pCRTA")),COUNTIFS($J36:$AX36,"*RNNR*",$J36:$AX36,"&lt;&gt;"&amp;"*pRNNR*",$J36:$AX36,"&lt;&gt;"&amp;"pB1 RNNR",$J36:$AX36,"&lt;&gt;"&amp;"pB2 RNNR")-SUM(COUNTIFS($J36:$AX36,"*RNNR B1*",$J36:$AX36,"&lt;&gt;"&amp;"pRNNR B1")*0.5,COUNTIFS($J36:$AX36,"*RNNR B2*",$J36:$AX36,"&lt;&gt;"&amp;"pRNNR B2")*0.5,COUNTIFS($J36:$AX36,"*B1 RNNR*",$J36:$AX36,"&lt;&gt;"&amp;"pB1 RNNR")*0.5,COUNTIFS($J36:$AX36,"*B2 RNNR*",$J36:$AX36,"&lt;&gt;"&amp;"pB2 RNNR")*0.5)))</f>
        <v>0</v>
      </c>
      <c r="J36" s="184" t="str">
        <f>IFERROR(IF(VLOOKUP(Fri_W2[[#This Row],[Employee Name]],'Base Schedules'!$A$1:$AW$44,9,FALSE)="","",VLOOKUP(Fri_W2[[#This Row],[Employee Name]],'Base Schedules'!$A$1:$AW$44,9,FALSE)),"")</f>
        <v/>
      </c>
      <c r="K36" s="184" t="str">
        <f>IFERROR(IF(VLOOKUP(Fri_W2[[#This Row],[Employee Name]],'Base Schedules'!$A$1:$AW$44,10,FALSE)="","",VLOOKUP(Fri_W2[[#This Row],[Employee Name]],'Base Schedules'!$A$1:$AW$44,10,FALSE)),"")</f>
        <v/>
      </c>
      <c r="L36" s="184" t="str">
        <f>IFERROR(IF(VLOOKUP(Fri_W2[[#This Row],[Employee Name]],'Base Schedules'!$A$1:$AW$44,11,FALSE)="","",VLOOKUP(Fri_W2[[#This Row],[Employee Name]],'Base Schedules'!$A$1:$AW$44,11,FALSE)),"")</f>
        <v/>
      </c>
      <c r="M36" s="184" t="str">
        <f>IFERROR(IF(VLOOKUP(Fri_W2[[#This Row],[Employee Name]],'Base Schedules'!$A$1:$AW$44,12,FALSE)="","",VLOOKUP(Fri_W2[[#This Row],[Employee Name]],'Base Schedules'!$A$1:$AW$44,12,FALSE)),"")</f>
        <v/>
      </c>
      <c r="N36" s="184" t="str">
        <f>IFERROR(IF(VLOOKUP(Fri_W2[[#This Row],[Employee Name]],'Base Schedules'!$A$1:$AW$44,13,FALSE)="","",VLOOKUP(Fri_W2[[#This Row],[Employee Name]],'Base Schedules'!$A$1:$AW$44,13,FALSE)),"")</f>
        <v/>
      </c>
      <c r="O36" s="184" t="str">
        <f>IFERROR(IF(VLOOKUP(Fri_W2[[#This Row],[Employee Name]],'Base Schedules'!$A$1:$AW$44,14,FALSE)="","",VLOOKUP(Fri_W2[[#This Row],[Employee Name]],'Base Schedules'!$A$1:$AW$44,14,FALSE)),"")</f>
        <v/>
      </c>
      <c r="P36" s="184" t="str">
        <f>IFERROR(IF(VLOOKUP(Fri_W2[[#This Row],[Employee Name]],'Base Schedules'!$A$1:$AW$44,15,FALSE)="","",VLOOKUP(Fri_W2[[#This Row],[Employee Name]],'Base Schedules'!$A$1:$AW$44,15,FALSE)),"")</f>
        <v/>
      </c>
      <c r="Q36" s="184" t="str">
        <f>IFERROR(IF(VLOOKUP(Fri_W2[[#This Row],[Employee Name]],'Base Schedules'!$A$1:$AW$44,16,FALSE)="","",VLOOKUP(Fri_W2[[#This Row],[Employee Name]],'Base Schedules'!$A$1:$AW$44,16,FALSE)),"")</f>
        <v/>
      </c>
      <c r="R36" s="184" t="str">
        <f>IFERROR(IF(VLOOKUP(Fri_W2[[#This Row],[Employee Name]],'Base Schedules'!$A$1:$AW$44,17,FALSE)="","",VLOOKUP(Fri_W2[[#This Row],[Employee Name]],'Base Schedules'!$A$1:$AW$44,17,FALSE)),"")</f>
        <v/>
      </c>
      <c r="S36" s="184" t="str">
        <f>IFERROR(IF(VLOOKUP(Fri_W2[[#This Row],[Employee Name]],'Base Schedules'!$A$1:$AW$44,18,FALSE)="","",VLOOKUP(Fri_W2[[#This Row],[Employee Name]],'Base Schedules'!$A$1:$AW$44,18,FALSE)),"")</f>
        <v/>
      </c>
      <c r="T36" s="184" t="str">
        <f>IFERROR(IF(VLOOKUP(Fri_W2[[#This Row],[Employee Name]],'Base Schedules'!$A$1:$AW$44,19,FALSE)="","",VLOOKUP(Fri_W2[[#This Row],[Employee Name]],'Base Schedules'!$A$1:$AW$44,19,FALSE)),"")</f>
        <v/>
      </c>
      <c r="U36" s="184" t="str">
        <f>IFERROR(IF(VLOOKUP(Fri_W2[[#This Row],[Employee Name]],'Base Schedules'!$A$1:$AW$44,20,FALSE)="","",VLOOKUP(Fri_W2[[#This Row],[Employee Name]],'Base Schedules'!$A$1:$AW$44,20,FALSE)),"")</f>
        <v/>
      </c>
      <c r="V36" s="184" t="str">
        <f>IFERROR(IF(VLOOKUP(Fri_W2[[#This Row],[Employee Name]],'Base Schedules'!$A$1:$AW$44,21,FALSE)="","",VLOOKUP(Fri_W2[[#This Row],[Employee Name]],'Base Schedules'!$A$1:$AW$44,21,FALSE)),"")</f>
        <v/>
      </c>
      <c r="W36" s="184" t="str">
        <f>IFERROR(IF(VLOOKUP(Fri_W2[[#This Row],[Employee Name]],'Base Schedules'!$A$1:$AW$44,22,FALSE)="","",VLOOKUP(Fri_W2[[#This Row],[Employee Name]],'Base Schedules'!$A$1:$AW$44,22,FALSE)),"")</f>
        <v/>
      </c>
      <c r="X36" s="184" t="str">
        <f>IFERROR(IF(VLOOKUP(Fri_W2[[#This Row],[Employee Name]],'Base Schedules'!$A$1:$AW$44,23,FALSE)="","",VLOOKUP(Fri_W2[[#This Row],[Employee Name]],'Base Schedules'!$A$1:$AW$44,23,FALSE)),"")</f>
        <v>HL</v>
      </c>
      <c r="Y36" s="184" t="str">
        <f>IFERROR(IF(VLOOKUP(Fri_W2[[#This Row],[Employee Name]],'Base Schedules'!$A$1:$AW$44,24,FALSE)="","",VLOOKUP(Fri_W2[[#This Row],[Employee Name]],'Base Schedules'!$A$1:$AW$44,24,FALSE)),"")</f>
        <v>HL</v>
      </c>
      <c r="Z36" s="184" t="str">
        <f>IFERROR(IF(VLOOKUP(Fri_W2[[#This Row],[Employee Name]],'Base Schedules'!$A$1:$AW$44,25,FALSE)="","",VLOOKUP(Fri_W2[[#This Row],[Employee Name]],'Base Schedules'!$A$1:$AW$44,25,FALSE)),"")</f>
        <v>HL</v>
      </c>
      <c r="AA36" s="184" t="str">
        <f>IFERROR(IF(VLOOKUP(Fri_W2[[#This Row],[Employee Name]],'Base Schedules'!$A$1:$AW$44,26,FALSE)="","",VLOOKUP(Fri_W2[[#This Row],[Employee Name]],'Base Schedules'!$A$1:$AW$44,26,FALSE)),"")</f>
        <v>HL</v>
      </c>
      <c r="AB36" s="184" t="str">
        <f>IFERROR(IF(VLOOKUP(Fri_W2[[#This Row],[Employee Name]],'Base Schedules'!$A$1:$AW$44,27,FALSE)="","",VLOOKUP(Fri_W2[[#This Row],[Employee Name]],'Base Schedules'!$A$1:$AW$44,27,FALSE)),"")</f>
        <v>ADM B1</v>
      </c>
      <c r="AC36" s="184" t="str">
        <f>IFERROR(IF(VLOOKUP(Fri_W2[[#This Row],[Employee Name]],'Base Schedules'!$A$1:$AW$44,28,FALSE)="","",VLOOKUP(Fri_W2[[#This Row],[Employee Name]],'Base Schedules'!$A$1:$AW$44,28,FALSE)),"")</f>
        <v>ADM</v>
      </c>
      <c r="AD36" s="184" t="str">
        <f>IFERROR(IF(VLOOKUP(Fri_W2[[#This Row],[Employee Name]],'Base Schedules'!$A$1:$AW$44,29,FALSE)="","",VLOOKUP(Fri_W2[[#This Row],[Employee Name]],'Base Schedules'!$A$1:$AW$44,29,FALSE)),"")</f>
        <v>ADM</v>
      </c>
      <c r="AE36" s="184" t="str">
        <f>IFERROR(IF(VLOOKUP(Fri_W2[[#This Row],[Employee Name]],'Base Schedules'!$A$1:$AW$44,30,FALSE)="","",VLOOKUP(Fri_W2[[#This Row],[Employee Name]],'Base Schedules'!$A$1:$AW$44,30,FALSE)),"")</f>
        <v>ADM</v>
      </c>
      <c r="AF36" s="184" t="str">
        <f>IFERROR(IF(VLOOKUP(Fri_W2[[#This Row],[Employee Name]],'Base Schedules'!$A$1:$AW$44,31,FALSE)="","",VLOOKUP(Fri_W2[[#This Row],[Employee Name]],'Base Schedules'!$A$1:$AW$44,31,FALSE)),"")</f>
        <v>LUNCH</v>
      </c>
      <c r="AG36" s="184" t="str">
        <f>IFERROR(IF(VLOOKUP(Fri_W2[[#This Row],[Employee Name]],'Base Schedules'!$A$1:$AW$44,32,FALSE)="","",VLOOKUP(Fri_W2[[#This Row],[Employee Name]],'Base Schedules'!$A$1:$AW$44,32,FALSE)),"")</f>
        <v>ADM</v>
      </c>
      <c r="AH36" s="184" t="str">
        <f>IFERROR(IF(VLOOKUP(Fri_W2[[#This Row],[Employee Name]],'Base Schedules'!$A$1:$AW$44,33,FALSE)="","",VLOOKUP(Fri_W2[[#This Row],[Employee Name]],'Base Schedules'!$A$1:$AW$44,33,FALSE)),"")</f>
        <v>ADM</v>
      </c>
      <c r="AI36" s="184" t="str">
        <f>IFERROR(IF(VLOOKUP(Fri_W2[[#This Row],[Employee Name]],'Base Schedules'!$A$1:$AW$44,34,FALSE)="","",VLOOKUP(Fri_W2[[#This Row],[Employee Name]],'Base Schedules'!$A$1:$AW$44,34,FALSE)),"")</f>
        <v>ADM</v>
      </c>
      <c r="AJ36" s="184" t="str">
        <f>IFERROR(IF(VLOOKUP(Fri_W2[[#This Row],[Employee Name]],'Base Schedules'!$A$1:$AW$44,35,FALSE)="","",VLOOKUP(Fri_W2[[#This Row],[Employee Name]],'Base Schedules'!$A$1:$AW$44,35,FALSE)),"")</f>
        <v>B2 HL</v>
      </c>
      <c r="AK36" s="184" t="str">
        <f>IFERROR(IF(VLOOKUP(Fri_W2[[#This Row],[Employee Name]],'Base Schedules'!$A$1:$AW$44,36,FALSE)="","",VLOOKUP(Fri_W2[[#This Row],[Employee Name]],'Base Schedules'!$A$1:$AW$44,36,FALSE)),"")</f>
        <v>HL</v>
      </c>
      <c r="AL36" s="184" t="str">
        <f>IFERROR(IF(VLOOKUP(Fri_W2[[#This Row],[Employee Name]],'Base Schedules'!$A$1:$AW$44,37,FALSE)="","",VLOOKUP(Fri_W2[[#This Row],[Employee Name]],'Base Schedules'!$A$1:$AW$44,37,FALSE)),"")</f>
        <v>HL</v>
      </c>
      <c r="AM36" s="184" t="str">
        <f>IFERROR(IF(VLOOKUP(Fri_W2[[#This Row],[Employee Name]],'Base Schedules'!$A$1:$AW$44,38,FALSE)="","",VLOOKUP(Fri_W2[[#This Row],[Employee Name]],'Base Schedules'!$A$1:$AW$44,38,FALSE)),"")</f>
        <v>HL</v>
      </c>
      <c r="AN36" s="184" t="str">
        <f>IFERROR(IF(VLOOKUP(Fri_W2[[#This Row],[Employee Name]],'Base Schedules'!$A$1:$AW$44,39,FALSE)="","",VLOOKUP(Fri_W2[[#This Row],[Employee Name]],'Base Schedules'!$A$1:$AW$44,39,FALSE)),"")</f>
        <v>HL</v>
      </c>
      <c r="AO36" s="184" t="str">
        <f>IFERROR(IF(VLOOKUP(Fri_W2[[#This Row],[Employee Name]],'Base Schedules'!$A$1:$AW$44,40,FALSE)="","",VLOOKUP(Fri_W2[[#This Row],[Employee Name]],'Base Schedules'!$A$1:$AW$44,40,FALSE)),"")</f>
        <v/>
      </c>
      <c r="AP36" s="184" t="str">
        <f>IFERROR(IF(VLOOKUP(Fri_W2[[#This Row],[Employee Name]],'Base Schedules'!$A$1:$AW$44,41,FALSE)="","",VLOOKUP(Fri_W2[[#This Row],[Employee Name]],'Base Schedules'!$A$1:$AW$44,41,FALSE)),"")</f>
        <v/>
      </c>
      <c r="AQ36" s="184" t="str">
        <f>IFERROR(IF(VLOOKUP(Fri_W2[[#This Row],[Employee Name]],'Base Schedules'!$A$1:$AW$44,42,FALSE)="","",VLOOKUP(Fri_W2[[#This Row],[Employee Name]],'Base Schedules'!$A$1:$AW$44,42,FALSE)),"")</f>
        <v/>
      </c>
      <c r="AR36" s="184" t="str">
        <f>IFERROR(IF(VLOOKUP(Fri_W2[[#This Row],[Employee Name]],'Base Schedules'!$A$1:$AW$44,43,FALSE)="","",VLOOKUP(Fri_W2[[#This Row],[Employee Name]],'Base Schedules'!$A$1:$AW$44,43,FALSE)),"")</f>
        <v/>
      </c>
      <c r="AS36" s="184" t="str">
        <f>IFERROR(IF(VLOOKUP(Fri_W2[[#This Row],[Employee Name]],'Base Schedules'!$A$1:$AW$44,44,FALSE)="","",VLOOKUP(Fri_W2[[#This Row],[Employee Name]],'Base Schedules'!$A$1:$AW$44,44,FALSE)),"")</f>
        <v/>
      </c>
      <c r="AT36" s="184" t="str">
        <f>IFERROR(IF(VLOOKUP(Fri_W2[[#This Row],[Employee Name]],'Base Schedules'!$A$1:$AW$44,45,FALSE)="","",VLOOKUP(Fri_W2[[#This Row],[Employee Name]],'Base Schedules'!$A$1:$AW$44,45,FALSE)),"")</f>
        <v/>
      </c>
      <c r="AU36" s="184" t="str">
        <f>IFERROR(IF(VLOOKUP(Fri_W2[[#This Row],[Employee Name]],'Base Schedules'!$A$1:$AW$44,46,FALSE)="","",VLOOKUP(Fri_W2[[#This Row],[Employee Name]],'Base Schedules'!$A$1:$AW$44,46,FALSE)),"")</f>
        <v/>
      </c>
      <c r="AV36" s="184" t="str">
        <f>IFERROR(IF(VLOOKUP(Fri_W2[[#This Row],[Employee Name]],'Base Schedules'!$A$1:$AW$44,47,FALSE)="","",VLOOKUP(Fri_W2[[#This Row],[Employee Name]],'Base Schedules'!$A$1:$AW$44,47,FALSE)),"")</f>
        <v/>
      </c>
      <c r="AW36" s="184" t="str">
        <f>IFERROR(IF(VLOOKUP(Fri_W2[[#This Row],[Employee Name]],'Base Schedules'!$A$1:$AW$44,48,FALSE)="","",VLOOKUP(Fri_W2[[#This Row],[Employee Name]],'Base Schedules'!$A$1:$AW$44,48,FALSE)),"")</f>
        <v/>
      </c>
      <c r="AX36" s="184" t="str">
        <f>IFERROR(IF(VLOOKUP(Fri_W2[[#This Row],[Employee Name]],'Base Schedules'!$A$1:$AW$44,49,FALSE)="","",VLOOKUP(Fri_W2[[#This Row],[Employee Name]],'Base Schedules'!$A$1:$AW$44,49,FALSE)),"")</f>
        <v/>
      </c>
      <c r="AY36" s="159" t="str">
        <f t="shared" si="2"/>
        <v>Harding, Mickeya</v>
      </c>
    </row>
    <row r="37" spans="1:51" s="44" customFormat="1" ht="11.25" customHeight="1" x14ac:dyDescent="0.2">
      <c r="A37" s="39" t="str">
        <f>IF(B37="","",INDEX(TeamList[],MATCH($B37,TeamList[[Employee Name]:[Employee Name]],0),MATCH("Manager",TeamList[#Headers],0)))</f>
        <v>Paulson, Matthew</v>
      </c>
      <c r="B37" s="201" t="s">
        <v>66</v>
      </c>
      <c r="C37" s="257" t="str">
        <f>_xlfn.IFNA(VLOOKUP(Fri_W2[[#This Row],[Employee Name]],'Base Schedules'!A:B,2,FALSE),"")</f>
        <v>Supervisor</v>
      </c>
      <c r="D37" s="274">
        <f>_xlfn.IFNA(VLOOKUP(Fri_W2[[#This Row],[Employee Name]],'Base Schedules'!A:C,3,FALSE),"")</f>
        <v>1230</v>
      </c>
      <c r="E37" s="274">
        <f>_xlfn.IFNA(VLOOKUP(Fri_W2[[#This Row],[Employee Name]],'Base Schedules'!A:D,4,FALSE),"")</f>
        <v>2130</v>
      </c>
      <c r="F37" s="142">
        <f>IF(Fri_W2[[#This Row],[Employee Name]]="","",IF(Fri_W2[[#This Row],[Dept]]="Supervisor",COUNTIFS($J37:$AX37,"*HL*",$J37:$AX37,"&lt;&gt;"&amp;"pHL"),COUNTIFS($J37:$AX37,"*HL*",$J37:$AX37,"&lt;&gt;"&amp;"*pHL*",$J37:$AX37,"&lt;&gt;"&amp;"pB1 HL",$J37:$AX37,"&lt;&gt;"&amp;"pB2 HL")-SUM(COUNTIFS($J37:$AX37,"*HL B1*",$J37:$AX37,"&lt;&gt;"&amp;"pHL B1")*0.5,COUNTIFS($J37:$AX37,"*HL B2*",$J37:$AX37,"&lt;&gt;"&amp;"pHL B2")*0.5,COUNTIFS($J37:$AX37,"*B1 HL*",$J37:$AX37,"&lt;&gt;"&amp;"pB1 HL")*0.5,COUNTIFS($J37:$AX37,"*B2 HL*",$J37:$AX37,"&lt;&gt;"&amp;"pB2 HL")*0.5)))</f>
        <v>0</v>
      </c>
      <c r="G37" s="142">
        <f t="shared" si="0"/>
        <v>4</v>
      </c>
      <c r="H37" s="142">
        <f t="shared" si="1"/>
        <v>0</v>
      </c>
      <c r="I37" s="142">
        <f>IF(Fri_W2[[#This Row],[Employee Name]]="","",IF(Fri_W2[[#This Row],[Dept]]="Supervisor",SUM(COUNTIFS($J37:$AX37,"RTA*",$J37:$AX37,"&lt;&gt;"&amp;"pRTA"),COUNTIFS($J37:$AX37,"*CRTA*",$J37:$AX37,"&lt;&gt;"&amp;"pCRTA")),COUNTIFS($J37:$AX37,"*RNNR*",$J37:$AX37,"&lt;&gt;"&amp;"*pRNNR*",$J37:$AX37,"&lt;&gt;"&amp;"pB1 RNNR",$J37:$AX37,"&lt;&gt;"&amp;"pB2 RNNR")-SUM(COUNTIFS($J37:$AX37,"*RNNR B1*",$J37:$AX37,"&lt;&gt;"&amp;"pRNNR B1")*0.5,COUNTIFS($J37:$AX37,"*RNNR B2*",$J37:$AX37,"&lt;&gt;"&amp;"pRNNR B2")*0.5,COUNTIFS($J37:$AX37,"*B1 RNNR*",$J37:$AX37,"&lt;&gt;"&amp;"pB1 RNNR")*0.5,COUNTIFS($J37:$AX37,"*B2 RNNR*",$J37:$AX37,"&lt;&gt;"&amp;"pB2 RNNR")*0.5)))</f>
        <v>0</v>
      </c>
      <c r="J37" s="184" t="str">
        <f>IFERROR(IF(VLOOKUP(Fri_W2[[#This Row],[Employee Name]],'Base Schedules'!$A$1:$AW$44,9,FALSE)="","",VLOOKUP(Fri_W2[[#This Row],[Employee Name]],'Base Schedules'!$A$1:$AW$44,9,FALSE)),"")</f>
        <v/>
      </c>
      <c r="K37" s="184" t="str">
        <f>IFERROR(IF(VLOOKUP(Fri_W2[[#This Row],[Employee Name]],'Base Schedules'!$A$1:$AW$44,10,FALSE)="","",VLOOKUP(Fri_W2[[#This Row],[Employee Name]],'Base Schedules'!$A$1:$AW$44,10,FALSE)),"")</f>
        <v/>
      </c>
      <c r="L37" s="184" t="str">
        <f>IFERROR(IF(VLOOKUP(Fri_W2[[#This Row],[Employee Name]],'Base Schedules'!$A$1:$AW$44,11,FALSE)="","",VLOOKUP(Fri_W2[[#This Row],[Employee Name]],'Base Schedules'!$A$1:$AW$44,11,FALSE)),"")</f>
        <v/>
      </c>
      <c r="M37" s="184" t="str">
        <f>IFERROR(IF(VLOOKUP(Fri_W2[[#This Row],[Employee Name]],'Base Schedules'!$A$1:$AW$44,12,FALSE)="","",VLOOKUP(Fri_W2[[#This Row],[Employee Name]],'Base Schedules'!$A$1:$AW$44,12,FALSE)),"")</f>
        <v/>
      </c>
      <c r="N37" s="184" t="str">
        <f>IFERROR(IF(VLOOKUP(Fri_W2[[#This Row],[Employee Name]],'Base Schedules'!$A$1:$AW$44,13,FALSE)="","",VLOOKUP(Fri_W2[[#This Row],[Employee Name]],'Base Schedules'!$A$1:$AW$44,13,FALSE)),"")</f>
        <v/>
      </c>
      <c r="O37" s="184" t="str">
        <f>IFERROR(IF(VLOOKUP(Fri_W2[[#This Row],[Employee Name]],'Base Schedules'!$A$1:$AW$44,14,FALSE)="","",VLOOKUP(Fri_W2[[#This Row],[Employee Name]],'Base Schedules'!$A$1:$AW$44,14,FALSE)),"")</f>
        <v/>
      </c>
      <c r="P37" s="184" t="str">
        <f>IFERROR(IF(VLOOKUP(Fri_W2[[#This Row],[Employee Name]],'Base Schedules'!$A$1:$AW$44,15,FALSE)="","",VLOOKUP(Fri_W2[[#This Row],[Employee Name]],'Base Schedules'!$A$1:$AW$44,15,FALSE)),"")</f>
        <v/>
      </c>
      <c r="Q37" s="184" t="str">
        <f>IFERROR(IF(VLOOKUP(Fri_W2[[#This Row],[Employee Name]],'Base Schedules'!$A$1:$AW$44,16,FALSE)="","",VLOOKUP(Fri_W2[[#This Row],[Employee Name]],'Base Schedules'!$A$1:$AW$44,16,FALSE)),"")</f>
        <v/>
      </c>
      <c r="R37" s="184" t="str">
        <f>IFERROR(IF(VLOOKUP(Fri_W2[[#This Row],[Employee Name]],'Base Schedules'!$A$1:$AW$44,17,FALSE)="","",VLOOKUP(Fri_W2[[#This Row],[Employee Name]],'Base Schedules'!$A$1:$AW$44,17,FALSE)),"")</f>
        <v/>
      </c>
      <c r="S37" s="184" t="str">
        <f>IFERROR(IF(VLOOKUP(Fri_W2[[#This Row],[Employee Name]],'Base Schedules'!$A$1:$AW$44,18,FALSE)="","",VLOOKUP(Fri_W2[[#This Row],[Employee Name]],'Base Schedules'!$A$1:$AW$44,18,FALSE)),"")</f>
        <v/>
      </c>
      <c r="T37" s="184" t="str">
        <f>IFERROR(IF(VLOOKUP(Fri_W2[[#This Row],[Employee Name]],'Base Schedules'!$A$1:$AW$44,19,FALSE)="","",VLOOKUP(Fri_W2[[#This Row],[Employee Name]],'Base Schedules'!$A$1:$AW$44,19,FALSE)),"")</f>
        <v/>
      </c>
      <c r="U37" s="184" t="str">
        <f>IFERROR(IF(VLOOKUP(Fri_W2[[#This Row],[Employee Name]],'Base Schedules'!$A$1:$AW$44,20,FALSE)="","",VLOOKUP(Fri_W2[[#This Row],[Employee Name]],'Base Schedules'!$A$1:$AW$44,20,FALSE)),"")</f>
        <v/>
      </c>
      <c r="V37" s="184" t="str">
        <f>IFERROR(IF(VLOOKUP(Fri_W2[[#This Row],[Employee Name]],'Base Schedules'!$A$1:$AW$44,21,FALSE)="","",VLOOKUP(Fri_W2[[#This Row],[Employee Name]],'Base Schedules'!$A$1:$AW$44,21,FALSE)),"")</f>
        <v/>
      </c>
      <c r="W37" s="184" t="str">
        <f>IFERROR(IF(VLOOKUP(Fri_W2[[#This Row],[Employee Name]],'Base Schedules'!$A$1:$AW$44,22,FALSE)="","",VLOOKUP(Fri_W2[[#This Row],[Employee Name]],'Base Schedules'!$A$1:$AW$44,22,FALSE)),"")</f>
        <v/>
      </c>
      <c r="X37" s="184" t="str">
        <f>IFERROR(IF(VLOOKUP(Fri_W2[[#This Row],[Employee Name]],'Base Schedules'!$A$1:$AW$44,23,FALSE)="","",VLOOKUP(Fri_W2[[#This Row],[Employee Name]],'Base Schedules'!$A$1:$AW$44,23,FALSE)),"")</f>
        <v/>
      </c>
      <c r="Y37" s="184" t="str">
        <f>IFERROR(IF(VLOOKUP(Fri_W2[[#This Row],[Employee Name]],'Base Schedules'!$A$1:$AW$44,24,FALSE)="","",VLOOKUP(Fri_W2[[#This Row],[Employee Name]],'Base Schedules'!$A$1:$AW$44,24,FALSE)),"")</f>
        <v>-</v>
      </c>
      <c r="Z37" s="184" t="str">
        <f>IFERROR(IF(VLOOKUP(Fri_W2[[#This Row],[Employee Name]],'Base Schedules'!$A$1:$AW$44,25,FALSE)="","",VLOOKUP(Fri_W2[[#This Row],[Employee Name]],'Base Schedules'!$A$1:$AW$44,25,FALSE)),"")</f>
        <v>-</v>
      </c>
      <c r="AA37" s="184" t="str">
        <f>IFERROR(IF(VLOOKUP(Fri_W2[[#This Row],[Employee Name]],'Base Schedules'!$A$1:$AW$44,26,FALSE)="","",VLOOKUP(Fri_W2[[#This Row],[Employee Name]],'Base Schedules'!$A$1:$AW$44,26,FALSE)),"")</f>
        <v>-</v>
      </c>
      <c r="AB37" s="184" t="str">
        <f>IFERROR(IF(VLOOKUP(Fri_W2[[#This Row],[Employee Name]],'Base Schedules'!$A$1:$AW$44,27,FALSE)="","",VLOOKUP(Fri_W2[[#This Row],[Employee Name]],'Base Schedules'!$A$1:$AW$44,27,FALSE)),"")</f>
        <v>-</v>
      </c>
      <c r="AC37" s="184" t="str">
        <f>IFERROR(IF(VLOOKUP(Fri_W2[[#This Row],[Employee Name]],'Base Schedules'!$A$1:$AW$44,28,FALSE)="","",VLOOKUP(Fri_W2[[#This Row],[Employee Name]],'Base Schedules'!$A$1:$AW$44,28,FALSE)),"")</f>
        <v>-</v>
      </c>
      <c r="AD37" s="184" t="str">
        <f>IFERROR(IF(VLOOKUP(Fri_W2[[#This Row],[Employee Name]],'Base Schedules'!$A$1:$AW$44,29,FALSE)="","",VLOOKUP(Fri_W2[[#This Row],[Employee Name]],'Base Schedules'!$A$1:$AW$44,29,FALSE)),"")</f>
        <v>Interview</v>
      </c>
      <c r="AE37" s="184" t="str">
        <f>IFERROR(IF(VLOOKUP(Fri_W2[[#This Row],[Employee Name]],'Base Schedules'!$A$1:$AW$44,30,FALSE)="","",VLOOKUP(Fri_W2[[#This Row],[Employee Name]],'Base Schedules'!$A$1:$AW$44,30,FALSE)),"")</f>
        <v>Interview</v>
      </c>
      <c r="AF37" s="184" t="str">
        <f>IFERROR(IF(VLOOKUP(Fri_W2[[#This Row],[Employee Name]],'Base Schedules'!$A$1:$AW$44,31,FALSE)="","",VLOOKUP(Fri_W2[[#This Row],[Employee Name]],'Base Schedules'!$A$1:$AW$44,31,FALSE)),"")</f>
        <v>-</v>
      </c>
      <c r="AG37" s="184" t="str">
        <f>IFERROR(IF(VLOOKUP(Fri_W2[[#This Row],[Employee Name]],'Base Schedules'!$A$1:$AW$44,32,FALSE)="","",VLOOKUP(Fri_W2[[#This Row],[Employee Name]],'Base Schedules'!$A$1:$AW$44,32,FALSE)),"")</f>
        <v>-</v>
      </c>
      <c r="AH37" s="184" t="str">
        <f>IFERROR(IF(VLOOKUP(Fri_W2[[#This Row],[Employee Name]],'Base Schedules'!$A$1:$AW$44,33,FALSE)="","",VLOOKUP(Fri_W2[[#This Row],[Employee Name]],'Base Schedules'!$A$1:$AW$44,33,FALSE)),"")</f>
        <v>-</v>
      </c>
      <c r="AI37" s="184" t="str">
        <f>IFERROR(IF(VLOOKUP(Fri_W2[[#This Row],[Employee Name]],'Base Schedules'!$A$1:$AW$44,34,FALSE)="","",VLOOKUP(Fri_W2[[#This Row],[Employee Name]],'Base Schedules'!$A$1:$AW$44,34,FALSE)),"")</f>
        <v>-</v>
      </c>
      <c r="AJ37" s="184" t="str">
        <f>IFERROR(IF(VLOOKUP(Fri_W2[[#This Row],[Employee Name]],'Base Schedules'!$A$1:$AW$44,35,FALSE)="","",VLOOKUP(Fri_W2[[#This Row],[Employee Name]],'Base Schedules'!$A$1:$AW$44,35,FALSE)),"")</f>
        <v>-</v>
      </c>
      <c r="AK37" s="184" t="str">
        <f>IFERROR(IF(VLOOKUP(Fri_W2[[#This Row],[Employee Name]],'Base Schedules'!$A$1:$AW$44,36,FALSE)="","",VLOOKUP(Fri_W2[[#This Row],[Employee Name]],'Base Schedules'!$A$1:$AW$44,36,FALSE)),"")</f>
        <v>Coaching</v>
      </c>
      <c r="AL37" s="184" t="str">
        <f>IFERROR(IF(VLOOKUP(Fri_W2[[#This Row],[Employee Name]],'Base Schedules'!$A$1:$AW$44,37,FALSE)="","",VLOOKUP(Fri_W2[[#This Row],[Employee Name]],'Base Schedules'!$A$1:$AW$44,37,FALSE)),"")</f>
        <v>Coaching</v>
      </c>
      <c r="AM37" s="184" t="str">
        <f>IFERROR(IF(VLOOKUP(Fri_W2[[#This Row],[Employee Name]],'Base Schedules'!$A$1:$AW$44,38,FALSE)="","",VLOOKUP(Fri_W2[[#This Row],[Employee Name]],'Base Schedules'!$A$1:$AW$44,38,FALSE)),"")</f>
        <v>Coaching</v>
      </c>
      <c r="AN37" s="184" t="str">
        <f>IFERROR(IF(VLOOKUP(Fri_W2[[#This Row],[Employee Name]],'Base Schedules'!$A$1:$AW$44,39,FALSE)="","",VLOOKUP(Fri_W2[[#This Row],[Employee Name]],'Base Schedules'!$A$1:$AW$44,39,FALSE)),"")</f>
        <v>Coaching</v>
      </c>
      <c r="AO37" s="184" t="str">
        <f>IFERROR(IF(VLOOKUP(Fri_W2[[#This Row],[Employee Name]],'Base Schedules'!$A$1:$AW$44,40,FALSE)="","",VLOOKUP(Fri_W2[[#This Row],[Employee Name]],'Base Schedules'!$A$1:$AW$44,40,FALSE)),"")</f>
        <v>-</v>
      </c>
      <c r="AP37" s="184" t="str">
        <f>IFERROR(IF(VLOOKUP(Fri_W2[[#This Row],[Employee Name]],'Base Schedules'!$A$1:$AW$44,41,FALSE)="","",VLOOKUP(Fri_W2[[#This Row],[Employee Name]],'Base Schedules'!$A$1:$AW$44,41,FALSE)),"")</f>
        <v>-</v>
      </c>
      <c r="AQ37" s="184" t="str">
        <f>IFERROR(IF(VLOOKUP(Fri_W2[[#This Row],[Employee Name]],'Base Schedules'!$A$1:$AW$44,42,FALSE)="","",VLOOKUP(Fri_W2[[#This Row],[Employee Name]],'Base Schedules'!$A$1:$AW$44,42,FALSE)),"")</f>
        <v>-</v>
      </c>
      <c r="AR37" s="184" t="str">
        <f>IFERROR(IF(VLOOKUP(Fri_W2[[#This Row],[Employee Name]],'Base Schedules'!$A$1:$AW$44,43,FALSE)="","",VLOOKUP(Fri_W2[[#This Row],[Employee Name]],'Base Schedules'!$A$1:$AW$44,43,FALSE)),"")</f>
        <v/>
      </c>
      <c r="AS37" s="184" t="str">
        <f>IFERROR(IF(VLOOKUP(Fri_W2[[#This Row],[Employee Name]],'Base Schedules'!$A$1:$AW$44,44,FALSE)="","",VLOOKUP(Fri_W2[[#This Row],[Employee Name]],'Base Schedules'!$A$1:$AW$44,44,FALSE)),"")</f>
        <v/>
      </c>
      <c r="AT37" s="184" t="str">
        <f>IFERROR(IF(VLOOKUP(Fri_W2[[#This Row],[Employee Name]],'Base Schedules'!$A$1:$AW$44,45,FALSE)="","",VLOOKUP(Fri_W2[[#This Row],[Employee Name]],'Base Schedules'!$A$1:$AW$44,45,FALSE)),"")</f>
        <v/>
      </c>
      <c r="AU37" s="184" t="str">
        <f>IFERROR(IF(VLOOKUP(Fri_W2[[#This Row],[Employee Name]],'Base Schedules'!$A$1:$AW$44,46,FALSE)="","",VLOOKUP(Fri_W2[[#This Row],[Employee Name]],'Base Schedules'!$A$1:$AW$44,46,FALSE)),"")</f>
        <v/>
      </c>
      <c r="AV37" s="184" t="str">
        <f>IFERROR(IF(VLOOKUP(Fri_W2[[#This Row],[Employee Name]],'Base Schedules'!$A$1:$AW$44,47,FALSE)="","",VLOOKUP(Fri_W2[[#This Row],[Employee Name]],'Base Schedules'!$A$1:$AW$44,47,FALSE)),"")</f>
        <v/>
      </c>
      <c r="AW37" s="184" t="str">
        <f>IFERROR(IF(VLOOKUP(Fri_W2[[#This Row],[Employee Name]],'Base Schedules'!$A$1:$AW$44,48,FALSE)="","",VLOOKUP(Fri_W2[[#This Row],[Employee Name]],'Base Schedules'!$A$1:$AW$44,48,FALSE)),"")</f>
        <v/>
      </c>
      <c r="AX37" s="184" t="str">
        <f>IFERROR(IF(VLOOKUP(Fri_W2[[#This Row],[Employee Name]],'Base Schedules'!$A$1:$AW$44,49,FALSE)="","",VLOOKUP(Fri_W2[[#This Row],[Employee Name]],'Base Schedules'!$A$1:$AW$44,49,FALSE)),"")</f>
        <v/>
      </c>
      <c r="AY37" s="159" t="str">
        <f t="shared" si="2"/>
        <v>Aguilar, Angelica</v>
      </c>
    </row>
    <row r="38" spans="1:51" s="44" customFormat="1" ht="11.25" customHeight="1" x14ac:dyDescent="0.2">
      <c r="A38" s="39" t="str">
        <f>IF(B38="","",INDEX(TeamList[],MATCH($B38,TeamList[[Employee Name]:[Employee Name]],0),MATCH("Manager",TeamList[#Headers],0)))</f>
        <v>Ahmed Hassan, Zahra</v>
      </c>
      <c r="B38" s="202" t="s">
        <v>23</v>
      </c>
      <c r="C38" s="257" t="str">
        <f>_xlfn.IFNA(VLOOKUP(Fri_W2[[#This Row],[Employee Name]],'Base Schedules'!A:B,2,FALSE),"")</f>
        <v>Supervisor</v>
      </c>
      <c r="D38" s="274">
        <f>_xlfn.IFNA(VLOOKUP(Fri_W2[[#This Row],[Employee Name]],'Base Schedules'!A:C,3,FALSE),"")</f>
        <v>1230</v>
      </c>
      <c r="E38" s="274">
        <f>_xlfn.IFNA(VLOOKUP(Fri_W2[[#This Row],[Employee Name]],'Base Schedules'!A:D,4,FALSE),"")</f>
        <v>2130</v>
      </c>
      <c r="F38" s="142">
        <f>IF(Fri_W2[[#This Row],[Employee Name]]="","",IF(Fri_W2[[#This Row],[Dept]]="Supervisor",COUNTIFS($J38:$AX38,"*HL*",$J38:$AX38,"&lt;&gt;"&amp;"pHL"),COUNTIFS($J38:$AX38,"*HL*",$J38:$AX38,"&lt;&gt;"&amp;"*pHL*",$J38:$AX38,"&lt;&gt;"&amp;"pB1 HL",$J38:$AX38,"&lt;&gt;"&amp;"pB2 HL")-SUM(COUNTIFS($J38:$AX38,"*HL B1*",$J38:$AX38,"&lt;&gt;"&amp;"pHL B1")*0.5,COUNTIFS($J38:$AX38,"*HL B2*",$J38:$AX38,"&lt;&gt;"&amp;"pHL B2")*0.5,COUNTIFS($J38:$AX38,"*B1 HL*",$J38:$AX38,"&lt;&gt;"&amp;"pB1 HL")*0.5,COUNTIFS($J38:$AX38,"*B2 HL*",$J38:$AX38,"&lt;&gt;"&amp;"pB2 HL")*0.5)))</f>
        <v>0</v>
      </c>
      <c r="G38" s="142">
        <f t="shared" si="0"/>
        <v>4</v>
      </c>
      <c r="H38" s="142">
        <f t="shared" si="1"/>
        <v>0</v>
      </c>
      <c r="I38" s="142">
        <f>IF(Fri_W2[[#This Row],[Employee Name]]="","",IF(Fri_W2[[#This Row],[Dept]]="Supervisor",SUM(COUNTIFS($J38:$AX38,"RTA*",$J38:$AX38,"&lt;&gt;"&amp;"pRTA"),COUNTIFS($J38:$AX38,"*CRTA*",$J38:$AX38,"&lt;&gt;"&amp;"pCRTA")),COUNTIFS($J38:$AX38,"*RNNR*",$J38:$AX38,"&lt;&gt;"&amp;"*pRNNR*",$J38:$AX38,"&lt;&gt;"&amp;"pB1 RNNR",$J38:$AX38,"&lt;&gt;"&amp;"pB2 RNNR")-SUM(COUNTIFS($J38:$AX38,"*RNNR B1*",$J38:$AX38,"&lt;&gt;"&amp;"pRNNR B1")*0.5,COUNTIFS($J38:$AX38,"*RNNR B2*",$J38:$AX38,"&lt;&gt;"&amp;"pRNNR B2")*0.5,COUNTIFS($J38:$AX38,"*B1 RNNR*",$J38:$AX38,"&lt;&gt;"&amp;"pB1 RNNR")*0.5,COUNTIFS($J38:$AX38,"*B2 RNNR*",$J38:$AX38,"&lt;&gt;"&amp;"pB2 RNNR")*0.5)))</f>
        <v>0</v>
      </c>
      <c r="J38" s="184" t="str">
        <f>IFERROR(IF(VLOOKUP(Fri_W2[[#This Row],[Employee Name]],'Base Schedules'!$A$1:$AW$44,9,FALSE)="","",VLOOKUP(Fri_W2[[#This Row],[Employee Name]],'Base Schedules'!$A$1:$AW$44,9,FALSE)),"")</f>
        <v/>
      </c>
      <c r="K38" s="184" t="str">
        <f>IFERROR(IF(VLOOKUP(Fri_W2[[#This Row],[Employee Name]],'Base Schedules'!$A$1:$AW$44,10,FALSE)="","",VLOOKUP(Fri_W2[[#This Row],[Employee Name]],'Base Schedules'!$A$1:$AW$44,10,FALSE)),"")</f>
        <v/>
      </c>
      <c r="L38" s="184" t="str">
        <f>IFERROR(IF(VLOOKUP(Fri_W2[[#This Row],[Employee Name]],'Base Schedules'!$A$1:$AW$44,11,FALSE)="","",VLOOKUP(Fri_W2[[#This Row],[Employee Name]],'Base Schedules'!$A$1:$AW$44,11,FALSE)),"")</f>
        <v/>
      </c>
      <c r="M38" s="184" t="str">
        <f>IFERROR(IF(VLOOKUP(Fri_W2[[#This Row],[Employee Name]],'Base Schedules'!$A$1:$AW$44,12,FALSE)="","",VLOOKUP(Fri_W2[[#This Row],[Employee Name]],'Base Schedules'!$A$1:$AW$44,12,FALSE)),"")</f>
        <v/>
      </c>
      <c r="N38" s="184" t="str">
        <f>IFERROR(IF(VLOOKUP(Fri_W2[[#This Row],[Employee Name]],'Base Schedules'!$A$1:$AW$44,13,FALSE)="","",VLOOKUP(Fri_W2[[#This Row],[Employee Name]],'Base Schedules'!$A$1:$AW$44,13,FALSE)),"")</f>
        <v/>
      </c>
      <c r="O38" s="184" t="str">
        <f>IFERROR(IF(VLOOKUP(Fri_W2[[#This Row],[Employee Name]],'Base Schedules'!$A$1:$AW$44,14,FALSE)="","",VLOOKUP(Fri_W2[[#This Row],[Employee Name]],'Base Schedules'!$A$1:$AW$44,14,FALSE)),"")</f>
        <v/>
      </c>
      <c r="P38" s="184" t="str">
        <f>IFERROR(IF(VLOOKUP(Fri_W2[[#This Row],[Employee Name]],'Base Schedules'!$A$1:$AW$44,15,FALSE)="","",VLOOKUP(Fri_W2[[#This Row],[Employee Name]],'Base Schedules'!$A$1:$AW$44,15,FALSE)),"")</f>
        <v/>
      </c>
      <c r="Q38" s="184" t="str">
        <f>IFERROR(IF(VLOOKUP(Fri_W2[[#This Row],[Employee Name]],'Base Schedules'!$A$1:$AW$44,16,FALSE)="","",VLOOKUP(Fri_W2[[#This Row],[Employee Name]],'Base Schedules'!$A$1:$AW$44,16,FALSE)),"")</f>
        <v/>
      </c>
      <c r="R38" s="184" t="str">
        <f>IFERROR(IF(VLOOKUP(Fri_W2[[#This Row],[Employee Name]],'Base Schedules'!$A$1:$AW$44,17,FALSE)="","",VLOOKUP(Fri_W2[[#This Row],[Employee Name]],'Base Schedules'!$A$1:$AW$44,17,FALSE)),"")</f>
        <v/>
      </c>
      <c r="S38" s="184" t="str">
        <f>IFERROR(IF(VLOOKUP(Fri_W2[[#This Row],[Employee Name]],'Base Schedules'!$A$1:$AW$44,18,FALSE)="","",VLOOKUP(Fri_W2[[#This Row],[Employee Name]],'Base Schedules'!$A$1:$AW$44,18,FALSE)),"")</f>
        <v/>
      </c>
      <c r="T38" s="184" t="str">
        <f>IFERROR(IF(VLOOKUP(Fri_W2[[#This Row],[Employee Name]],'Base Schedules'!$A$1:$AW$44,19,FALSE)="","",VLOOKUP(Fri_W2[[#This Row],[Employee Name]],'Base Schedules'!$A$1:$AW$44,19,FALSE)),"")</f>
        <v/>
      </c>
      <c r="U38" s="184" t="str">
        <f>IFERROR(IF(VLOOKUP(Fri_W2[[#This Row],[Employee Name]],'Base Schedules'!$A$1:$AW$44,20,FALSE)="","",VLOOKUP(Fri_W2[[#This Row],[Employee Name]],'Base Schedules'!$A$1:$AW$44,20,FALSE)),"")</f>
        <v/>
      </c>
      <c r="V38" s="184" t="str">
        <f>IFERROR(IF(VLOOKUP(Fri_W2[[#This Row],[Employee Name]],'Base Schedules'!$A$1:$AW$44,21,FALSE)="","",VLOOKUP(Fri_W2[[#This Row],[Employee Name]],'Base Schedules'!$A$1:$AW$44,21,FALSE)),"")</f>
        <v/>
      </c>
      <c r="W38" s="184" t="str">
        <f>IFERROR(IF(VLOOKUP(Fri_W2[[#This Row],[Employee Name]],'Base Schedules'!$A$1:$AW$44,22,FALSE)="","",VLOOKUP(Fri_W2[[#This Row],[Employee Name]],'Base Schedules'!$A$1:$AW$44,22,FALSE)),"")</f>
        <v/>
      </c>
      <c r="X38" s="184" t="str">
        <f>IFERROR(IF(VLOOKUP(Fri_W2[[#This Row],[Employee Name]],'Base Schedules'!$A$1:$AW$44,23,FALSE)="","",VLOOKUP(Fri_W2[[#This Row],[Employee Name]],'Base Schedules'!$A$1:$AW$44,23,FALSE)),"")</f>
        <v/>
      </c>
      <c r="Y38" s="184" t="str">
        <f>IFERROR(IF(VLOOKUP(Fri_W2[[#This Row],[Employee Name]],'Base Schedules'!$A$1:$AW$44,24,FALSE)="","",VLOOKUP(Fri_W2[[#This Row],[Employee Name]],'Base Schedules'!$A$1:$AW$44,24,FALSE)),"")</f>
        <v>-</v>
      </c>
      <c r="Z38" s="184" t="str">
        <f>IFERROR(IF(VLOOKUP(Fri_W2[[#This Row],[Employee Name]],'Base Schedules'!$A$1:$AW$44,25,FALSE)="","",VLOOKUP(Fri_W2[[#This Row],[Employee Name]],'Base Schedules'!$A$1:$AW$44,25,FALSE)),"")</f>
        <v>Coaching</v>
      </c>
      <c r="AA38" s="184" t="str">
        <f>IFERROR(IF(VLOOKUP(Fri_W2[[#This Row],[Employee Name]],'Base Schedules'!$A$1:$AW$44,26,FALSE)="","",VLOOKUP(Fri_W2[[#This Row],[Employee Name]],'Base Schedules'!$A$1:$AW$44,26,FALSE)),"")</f>
        <v>Coaching</v>
      </c>
      <c r="AB38" s="184" t="str">
        <f>IFERROR(IF(VLOOKUP(Fri_W2[[#This Row],[Employee Name]],'Base Schedules'!$A$1:$AW$44,27,FALSE)="","",VLOOKUP(Fri_W2[[#This Row],[Employee Name]],'Base Schedules'!$A$1:$AW$44,27,FALSE)),"")</f>
        <v>Coaching</v>
      </c>
      <c r="AC38" s="184" t="str">
        <f>IFERROR(IF(VLOOKUP(Fri_W2[[#This Row],[Employee Name]],'Base Schedules'!$A$1:$AW$44,28,FALSE)="","",VLOOKUP(Fri_W2[[#This Row],[Employee Name]],'Base Schedules'!$A$1:$AW$44,28,FALSE)),"")</f>
        <v>Coaching</v>
      </c>
      <c r="AD38" s="184" t="str">
        <f>IFERROR(IF(VLOOKUP(Fri_W2[[#This Row],[Employee Name]],'Base Schedules'!$A$1:$AW$44,29,FALSE)="","",VLOOKUP(Fri_W2[[#This Row],[Employee Name]],'Base Schedules'!$A$1:$AW$44,29,FALSE)),"")</f>
        <v>-</v>
      </c>
      <c r="AE38" s="184" t="str">
        <f>IFERROR(IF(VLOOKUP(Fri_W2[[#This Row],[Employee Name]],'Base Schedules'!$A$1:$AW$44,30,FALSE)="","",VLOOKUP(Fri_W2[[#This Row],[Employee Name]],'Base Schedules'!$A$1:$AW$44,30,FALSE)),"")</f>
        <v>-</v>
      </c>
      <c r="AF38" s="184" t="str">
        <f>IFERROR(IF(VLOOKUP(Fri_W2[[#This Row],[Employee Name]],'Base Schedules'!$A$1:$AW$44,31,FALSE)="","",VLOOKUP(Fri_W2[[#This Row],[Employee Name]],'Base Schedules'!$A$1:$AW$44,31,FALSE)),"")</f>
        <v>Interview</v>
      </c>
      <c r="AG38" s="184" t="str">
        <f>IFERROR(IF(VLOOKUP(Fri_W2[[#This Row],[Employee Name]],'Base Schedules'!$A$1:$AW$44,32,FALSE)="","",VLOOKUP(Fri_W2[[#This Row],[Employee Name]],'Base Schedules'!$A$1:$AW$44,32,FALSE)),"")</f>
        <v>Interview</v>
      </c>
      <c r="AH38" s="184" t="str">
        <f>IFERROR(IF(VLOOKUP(Fri_W2[[#This Row],[Employee Name]],'Base Schedules'!$A$1:$AW$44,33,FALSE)="","",VLOOKUP(Fri_W2[[#This Row],[Employee Name]],'Base Schedules'!$A$1:$AW$44,33,FALSE)),"")</f>
        <v>-</v>
      </c>
      <c r="AI38" s="184" t="str">
        <f>IFERROR(IF(VLOOKUP(Fri_W2[[#This Row],[Employee Name]],'Base Schedules'!$A$1:$AW$44,34,FALSE)="","",VLOOKUP(Fri_W2[[#This Row],[Employee Name]],'Base Schedules'!$A$1:$AW$44,34,FALSE)),"")</f>
        <v>-</v>
      </c>
      <c r="AJ38" s="184" t="str">
        <f>IFERROR(IF(VLOOKUP(Fri_W2[[#This Row],[Employee Name]],'Base Schedules'!$A$1:$AW$44,35,FALSE)="","",VLOOKUP(Fri_W2[[#This Row],[Employee Name]],'Base Schedules'!$A$1:$AW$44,35,FALSE)),"")</f>
        <v>-</v>
      </c>
      <c r="AK38" s="184" t="str">
        <f>IFERROR(IF(VLOOKUP(Fri_W2[[#This Row],[Employee Name]],'Base Schedules'!$A$1:$AW$44,36,FALSE)="","",VLOOKUP(Fri_W2[[#This Row],[Employee Name]],'Base Schedules'!$A$1:$AW$44,36,FALSE)),"")</f>
        <v>-</v>
      </c>
      <c r="AL38" s="184" t="str">
        <f>IFERROR(IF(VLOOKUP(Fri_W2[[#This Row],[Employee Name]],'Base Schedules'!$A$1:$AW$44,37,FALSE)="","",VLOOKUP(Fri_W2[[#This Row],[Employee Name]],'Base Schedules'!$A$1:$AW$44,37,FALSE)),"")</f>
        <v>-</v>
      </c>
      <c r="AM38" s="184" t="str">
        <f>IFERROR(IF(VLOOKUP(Fri_W2[[#This Row],[Employee Name]],'Base Schedules'!$A$1:$AW$44,38,FALSE)="","",VLOOKUP(Fri_W2[[#This Row],[Employee Name]],'Base Schedules'!$A$1:$AW$44,38,FALSE)),"")</f>
        <v>-</v>
      </c>
      <c r="AN38" s="184" t="str">
        <f>IFERROR(IF(VLOOKUP(Fri_W2[[#This Row],[Employee Name]],'Base Schedules'!$A$1:$AW$44,39,FALSE)="","",VLOOKUP(Fri_W2[[#This Row],[Employee Name]],'Base Schedules'!$A$1:$AW$44,39,FALSE)),"")</f>
        <v>-</v>
      </c>
      <c r="AO38" s="184" t="str">
        <f>IFERROR(IF(VLOOKUP(Fri_W2[[#This Row],[Employee Name]],'Base Schedules'!$A$1:$AW$44,40,FALSE)="","",VLOOKUP(Fri_W2[[#This Row],[Employee Name]],'Base Schedules'!$A$1:$AW$44,40,FALSE)),"")</f>
        <v>-</v>
      </c>
      <c r="AP38" s="184" t="str">
        <f>IFERROR(IF(VLOOKUP(Fri_W2[[#This Row],[Employee Name]],'Base Schedules'!$A$1:$AW$44,41,FALSE)="","",VLOOKUP(Fri_W2[[#This Row],[Employee Name]],'Base Schedules'!$A$1:$AW$44,41,FALSE)),"")</f>
        <v>-</v>
      </c>
      <c r="AQ38" s="184" t="str">
        <f>IFERROR(IF(VLOOKUP(Fri_W2[[#This Row],[Employee Name]],'Base Schedules'!$A$1:$AW$44,42,FALSE)="","",VLOOKUP(Fri_W2[[#This Row],[Employee Name]],'Base Schedules'!$A$1:$AW$44,42,FALSE)),"")</f>
        <v/>
      </c>
      <c r="AR38" s="184" t="str">
        <f>IFERROR(IF(VLOOKUP(Fri_W2[[#This Row],[Employee Name]],'Base Schedules'!$A$1:$AW$44,43,FALSE)="","",VLOOKUP(Fri_W2[[#This Row],[Employee Name]],'Base Schedules'!$A$1:$AW$44,43,FALSE)),"")</f>
        <v/>
      </c>
      <c r="AS38" s="184" t="str">
        <f>IFERROR(IF(VLOOKUP(Fri_W2[[#This Row],[Employee Name]],'Base Schedules'!$A$1:$AW$44,44,FALSE)="","",VLOOKUP(Fri_W2[[#This Row],[Employee Name]],'Base Schedules'!$A$1:$AW$44,44,FALSE)),"")</f>
        <v/>
      </c>
      <c r="AT38" s="184" t="str">
        <f>IFERROR(IF(VLOOKUP(Fri_W2[[#This Row],[Employee Name]],'Base Schedules'!$A$1:$AW$44,45,FALSE)="","",VLOOKUP(Fri_W2[[#This Row],[Employee Name]],'Base Schedules'!$A$1:$AW$44,45,FALSE)),"")</f>
        <v/>
      </c>
      <c r="AU38" s="184" t="str">
        <f>IFERROR(IF(VLOOKUP(Fri_W2[[#This Row],[Employee Name]],'Base Schedules'!$A$1:$AW$44,46,FALSE)="","",VLOOKUP(Fri_W2[[#This Row],[Employee Name]],'Base Schedules'!$A$1:$AW$44,46,FALSE)),"")</f>
        <v/>
      </c>
      <c r="AV38" s="184" t="str">
        <f>IFERROR(IF(VLOOKUP(Fri_W2[[#This Row],[Employee Name]],'Base Schedules'!$A$1:$AW$44,47,FALSE)="","",VLOOKUP(Fri_W2[[#This Row],[Employee Name]],'Base Schedules'!$A$1:$AW$44,47,FALSE)),"")</f>
        <v/>
      </c>
      <c r="AW38" s="184" t="str">
        <f>IFERROR(IF(VLOOKUP(Fri_W2[[#This Row],[Employee Name]],'Base Schedules'!$A$1:$AW$44,48,FALSE)="","",VLOOKUP(Fri_W2[[#This Row],[Employee Name]],'Base Schedules'!$A$1:$AW$44,48,FALSE)),"")</f>
        <v/>
      </c>
      <c r="AX38" s="184" t="str">
        <f>IFERROR(IF(VLOOKUP(Fri_W2[[#This Row],[Employee Name]],'Base Schedules'!$A$1:$AW$44,49,FALSE)="","",VLOOKUP(Fri_W2[[#This Row],[Employee Name]],'Base Schedules'!$A$1:$AW$44,49,FALSE)),"")</f>
        <v/>
      </c>
      <c r="AY38" s="161" t="str">
        <f t="shared" si="2"/>
        <v>McFall, Erin</v>
      </c>
    </row>
    <row r="39" spans="1:51" s="44" customFormat="1" ht="11.25" customHeight="1" x14ac:dyDescent="0.2">
      <c r="A39" s="39" t="str">
        <f>IF(B39="","",INDEX(TeamList[],MATCH($B39,TeamList[[Employee Name]:[Employee Name]],0),MATCH("Manager",TeamList[#Headers],0)))</f>
        <v>Olson, Katherine</v>
      </c>
      <c r="B39" s="201" t="s">
        <v>238</v>
      </c>
      <c r="C39" s="257" t="str">
        <f>_xlfn.IFNA(VLOOKUP(Fri_W2[[#This Row],[Employee Name]],'Base Schedules'!A:B,2,FALSE),"")</f>
        <v>Lead</v>
      </c>
      <c r="D39" s="274">
        <f>_xlfn.IFNA(VLOOKUP(Fri_W2[[#This Row],[Employee Name]],'Base Schedules'!A:C,3,FALSE),"")</f>
        <v>1230</v>
      </c>
      <c r="E39" s="274">
        <f>_xlfn.IFNA(VLOOKUP(Fri_W2[[#This Row],[Employee Name]],'Base Schedules'!A:D,4,FALSE),"")</f>
        <v>2100</v>
      </c>
      <c r="F39" s="142">
        <f>IF(Fri_W2[[#This Row],[Employee Name]]="","",IF(Fri_W2[[#This Row],[Dept]]="Supervisor",COUNTIFS($J39:$AX39,"*HL*",$J39:$AX39,"&lt;&gt;"&amp;"pHL"),COUNTIFS($J39:$AX39,"*HL*",$J39:$AX39,"&lt;&gt;"&amp;"*pHL*",$J39:$AX39,"&lt;&gt;"&amp;"pB1 HL",$J39:$AX39,"&lt;&gt;"&amp;"pB2 HL")-SUM(COUNTIFS($J39:$AX39,"*HL B1*",$J39:$AX39,"&lt;&gt;"&amp;"pHL B1")*0.5,COUNTIFS($J39:$AX39,"*HL B2*",$J39:$AX39,"&lt;&gt;"&amp;"pHL B2")*0.5,COUNTIFS($J39:$AX39,"*B1 HL*",$J39:$AX39,"&lt;&gt;"&amp;"pB1 HL")*0.5,COUNTIFS($J39:$AX39,"*B2 HL*",$J39:$AX39,"&lt;&gt;"&amp;"pB2 HL")*0.5)))</f>
        <v>8</v>
      </c>
      <c r="G39" s="142">
        <f t="shared" si="0"/>
        <v>0</v>
      </c>
      <c r="H39" s="142">
        <f t="shared" si="1"/>
        <v>6</v>
      </c>
      <c r="I39" s="142">
        <f>IF(Fri_W2[[#This Row],[Employee Name]]="","",IF(Fri_W2[[#This Row],[Dept]]="Supervisor",SUM(COUNTIFS($J39:$AX39,"RTA*",$J39:$AX39,"&lt;&gt;"&amp;"pRTA"),COUNTIFS($J39:$AX39,"*CRTA*",$J39:$AX39,"&lt;&gt;"&amp;"pCRTA")),COUNTIFS($J39:$AX39,"*RNNR*",$J39:$AX39,"&lt;&gt;"&amp;"*pRNNR*",$J39:$AX39,"&lt;&gt;"&amp;"pB1 RNNR",$J39:$AX39,"&lt;&gt;"&amp;"pB2 RNNR")-SUM(COUNTIFS($J39:$AX39,"*RNNR B1*",$J39:$AX39,"&lt;&gt;"&amp;"pRNNR B1")*0.5,COUNTIFS($J39:$AX39,"*RNNR B2*",$J39:$AX39,"&lt;&gt;"&amp;"pRNNR B2")*0.5,COUNTIFS($J39:$AX39,"*B1 RNNR*",$J39:$AX39,"&lt;&gt;"&amp;"pB1 RNNR")*0.5,COUNTIFS($J39:$AX39,"*B2 RNNR*",$J39:$AX39,"&lt;&gt;"&amp;"pB2 RNNR")*0.5)))</f>
        <v>2</v>
      </c>
      <c r="J39" s="184" t="str">
        <f>IFERROR(IF(VLOOKUP(Fri_W2[[#This Row],[Employee Name]],'Base Schedules'!$A$1:$AW$44,9,FALSE)="","",VLOOKUP(Fri_W2[[#This Row],[Employee Name]],'Base Schedules'!$A$1:$AW$44,9,FALSE)),"")</f>
        <v/>
      </c>
      <c r="K39" s="184" t="str">
        <f>IFERROR(IF(VLOOKUP(Fri_W2[[#This Row],[Employee Name]],'Base Schedules'!$A$1:$AW$44,10,FALSE)="","",VLOOKUP(Fri_W2[[#This Row],[Employee Name]],'Base Schedules'!$A$1:$AW$44,10,FALSE)),"")</f>
        <v/>
      </c>
      <c r="L39" s="184" t="str">
        <f>IFERROR(IF(VLOOKUP(Fri_W2[[#This Row],[Employee Name]],'Base Schedules'!$A$1:$AW$44,11,FALSE)="","",VLOOKUP(Fri_W2[[#This Row],[Employee Name]],'Base Schedules'!$A$1:$AW$44,11,FALSE)),"")</f>
        <v/>
      </c>
      <c r="M39" s="184" t="str">
        <f>IFERROR(IF(VLOOKUP(Fri_W2[[#This Row],[Employee Name]],'Base Schedules'!$A$1:$AW$44,12,FALSE)="","",VLOOKUP(Fri_W2[[#This Row],[Employee Name]],'Base Schedules'!$A$1:$AW$44,12,FALSE)),"")</f>
        <v/>
      </c>
      <c r="N39" s="184" t="str">
        <f>IFERROR(IF(VLOOKUP(Fri_W2[[#This Row],[Employee Name]],'Base Schedules'!$A$1:$AW$44,13,FALSE)="","",VLOOKUP(Fri_W2[[#This Row],[Employee Name]],'Base Schedules'!$A$1:$AW$44,13,FALSE)),"")</f>
        <v/>
      </c>
      <c r="O39" s="184" t="str">
        <f>IFERROR(IF(VLOOKUP(Fri_W2[[#This Row],[Employee Name]],'Base Schedules'!$A$1:$AW$44,14,FALSE)="","",VLOOKUP(Fri_W2[[#This Row],[Employee Name]],'Base Schedules'!$A$1:$AW$44,14,FALSE)),"")</f>
        <v/>
      </c>
      <c r="P39" s="184" t="str">
        <f>IFERROR(IF(VLOOKUP(Fri_W2[[#This Row],[Employee Name]],'Base Schedules'!$A$1:$AW$44,15,FALSE)="","",VLOOKUP(Fri_W2[[#This Row],[Employee Name]],'Base Schedules'!$A$1:$AW$44,15,FALSE)),"")</f>
        <v/>
      </c>
      <c r="Q39" s="184" t="str">
        <f>IFERROR(IF(VLOOKUP(Fri_W2[[#This Row],[Employee Name]],'Base Schedules'!$A$1:$AW$44,16,FALSE)="","",VLOOKUP(Fri_W2[[#This Row],[Employee Name]],'Base Schedules'!$A$1:$AW$44,16,FALSE)),"")</f>
        <v/>
      </c>
      <c r="R39" s="184" t="str">
        <f>IFERROR(IF(VLOOKUP(Fri_W2[[#This Row],[Employee Name]],'Base Schedules'!$A$1:$AW$44,17,FALSE)="","",VLOOKUP(Fri_W2[[#This Row],[Employee Name]],'Base Schedules'!$A$1:$AW$44,17,FALSE)),"")</f>
        <v/>
      </c>
      <c r="S39" s="184" t="str">
        <f>IFERROR(IF(VLOOKUP(Fri_W2[[#This Row],[Employee Name]],'Base Schedules'!$A$1:$AW$44,18,FALSE)="","",VLOOKUP(Fri_W2[[#This Row],[Employee Name]],'Base Schedules'!$A$1:$AW$44,18,FALSE)),"")</f>
        <v/>
      </c>
      <c r="T39" s="184" t="str">
        <f>IFERROR(IF(VLOOKUP(Fri_W2[[#This Row],[Employee Name]],'Base Schedules'!$A$1:$AW$44,19,FALSE)="","",VLOOKUP(Fri_W2[[#This Row],[Employee Name]],'Base Schedules'!$A$1:$AW$44,19,FALSE)),"")</f>
        <v/>
      </c>
      <c r="U39" s="184" t="str">
        <f>IFERROR(IF(VLOOKUP(Fri_W2[[#This Row],[Employee Name]],'Base Schedules'!$A$1:$AW$44,20,FALSE)="","",VLOOKUP(Fri_W2[[#This Row],[Employee Name]],'Base Schedules'!$A$1:$AW$44,20,FALSE)),"")</f>
        <v/>
      </c>
      <c r="V39" s="184" t="str">
        <f>IFERROR(IF(VLOOKUP(Fri_W2[[#This Row],[Employee Name]],'Base Schedules'!$A$1:$AW$44,21,FALSE)="","",VLOOKUP(Fri_W2[[#This Row],[Employee Name]],'Base Schedules'!$A$1:$AW$44,21,FALSE)),"")</f>
        <v/>
      </c>
      <c r="W39" s="184" t="str">
        <f>IFERROR(IF(VLOOKUP(Fri_W2[[#This Row],[Employee Name]],'Base Schedules'!$A$1:$AW$44,22,FALSE)="","",VLOOKUP(Fri_W2[[#This Row],[Employee Name]],'Base Schedules'!$A$1:$AW$44,22,FALSE)),"")</f>
        <v/>
      </c>
      <c r="X39" s="184" t="str">
        <f>IFERROR(IF(VLOOKUP(Fri_W2[[#This Row],[Employee Name]],'Base Schedules'!$A$1:$AW$44,23,FALSE)="","",VLOOKUP(Fri_W2[[#This Row],[Employee Name]],'Base Schedules'!$A$1:$AW$44,23,FALSE)),"")</f>
        <v/>
      </c>
      <c r="Y39" s="184" t="str">
        <f>IFERROR(IF(VLOOKUP(Fri_W2[[#This Row],[Employee Name]],'Base Schedules'!$A$1:$AW$44,24,FALSE)="","",VLOOKUP(Fri_W2[[#This Row],[Employee Name]],'Base Schedules'!$A$1:$AW$44,24,FALSE)),"")</f>
        <v>ADM</v>
      </c>
      <c r="Z39" s="184" t="str">
        <f>IFERROR(IF(VLOOKUP(Fri_W2[[#This Row],[Employee Name]],'Base Schedules'!$A$1:$AW$44,25,FALSE)="","",VLOOKUP(Fri_W2[[#This Row],[Employee Name]],'Base Schedules'!$A$1:$AW$44,25,FALSE)),"")</f>
        <v>ADM</v>
      </c>
      <c r="AA39" s="184" t="str">
        <f>IFERROR(IF(VLOOKUP(Fri_W2[[#This Row],[Employee Name]],'Base Schedules'!$A$1:$AW$44,26,FALSE)="","",VLOOKUP(Fri_W2[[#This Row],[Employee Name]],'Base Schedules'!$A$1:$AW$44,26,FALSE)),"")</f>
        <v>ADM</v>
      </c>
      <c r="AB39" s="184" t="str">
        <f>IFERROR(IF(VLOOKUP(Fri_W2[[#This Row],[Employee Name]],'Base Schedules'!$A$1:$AW$44,27,FALSE)="","",VLOOKUP(Fri_W2[[#This Row],[Employee Name]],'Base Schedules'!$A$1:$AW$44,27,FALSE)),"")</f>
        <v>ADM B1</v>
      </c>
      <c r="AC39" s="184" t="str">
        <f>IFERROR(IF(VLOOKUP(Fri_W2[[#This Row],[Employee Name]],'Base Schedules'!$A$1:$AW$44,28,FALSE)="","",VLOOKUP(Fri_W2[[#This Row],[Employee Name]],'Base Schedules'!$A$1:$AW$44,28,FALSE)),"")</f>
        <v>HL</v>
      </c>
      <c r="AD39" s="184" t="str">
        <f>IFERROR(IF(VLOOKUP(Fri_W2[[#This Row],[Employee Name]],'Base Schedules'!$A$1:$AW$44,29,FALSE)="","",VLOOKUP(Fri_W2[[#This Row],[Employee Name]],'Base Schedules'!$A$1:$AW$44,29,FALSE)),"")</f>
        <v>HL</v>
      </c>
      <c r="AE39" s="184" t="str">
        <f>IFERROR(IF(VLOOKUP(Fri_W2[[#This Row],[Employee Name]],'Base Schedules'!$A$1:$AW$44,30,FALSE)="","",VLOOKUP(Fri_W2[[#This Row],[Employee Name]],'Base Schedules'!$A$1:$AW$44,30,FALSE)),"")</f>
        <v>HL</v>
      </c>
      <c r="AF39" s="184" t="str">
        <f>IFERROR(IF(VLOOKUP(Fri_W2[[#This Row],[Employee Name]],'Base Schedules'!$A$1:$AW$44,31,FALSE)="","",VLOOKUP(Fri_W2[[#This Row],[Employee Name]],'Base Schedules'!$A$1:$AW$44,31,FALSE)),"")</f>
        <v>HL</v>
      </c>
      <c r="AG39" s="184" t="str">
        <f>IFERROR(IF(VLOOKUP(Fri_W2[[#This Row],[Employee Name]],'Base Schedules'!$A$1:$AW$44,32,FALSE)="","",VLOOKUP(Fri_W2[[#This Row],[Employee Name]],'Base Schedules'!$A$1:$AW$44,32,FALSE)),"")</f>
        <v>LUNCH</v>
      </c>
      <c r="AH39" s="184" t="str">
        <f>IFERROR(IF(VLOOKUP(Fri_W2[[#This Row],[Employee Name]],'Base Schedules'!$A$1:$AW$44,33,FALSE)="","",VLOOKUP(Fri_W2[[#This Row],[Employee Name]],'Base Schedules'!$A$1:$AW$44,33,FALSE)),"")</f>
        <v>RNNR</v>
      </c>
      <c r="AI39" s="184" t="str">
        <f>IFERROR(IF(VLOOKUP(Fri_W2[[#This Row],[Employee Name]],'Base Schedules'!$A$1:$AW$44,34,FALSE)="","",VLOOKUP(Fri_W2[[#This Row],[Employee Name]],'Base Schedules'!$A$1:$AW$44,34,FALSE)),"")</f>
        <v>RNNR</v>
      </c>
      <c r="AJ39" s="184" t="str">
        <f>IFERROR(IF(VLOOKUP(Fri_W2[[#This Row],[Employee Name]],'Base Schedules'!$A$1:$AW$44,35,FALSE)="","",VLOOKUP(Fri_W2[[#This Row],[Employee Name]],'Base Schedules'!$A$1:$AW$44,35,FALSE)),"")</f>
        <v>ADM</v>
      </c>
      <c r="AK39" s="184" t="str">
        <f>IFERROR(IF(VLOOKUP(Fri_W2[[#This Row],[Employee Name]],'Base Schedules'!$A$1:$AW$44,36,FALSE)="","",VLOOKUP(Fri_W2[[#This Row],[Employee Name]],'Base Schedules'!$A$1:$AW$44,36,FALSE)),"")</f>
        <v>ADM B2</v>
      </c>
      <c r="AL39" s="184" t="str">
        <f>IFERROR(IF(VLOOKUP(Fri_W2[[#This Row],[Employee Name]],'Base Schedules'!$A$1:$AW$44,37,FALSE)="","",VLOOKUP(Fri_W2[[#This Row],[Employee Name]],'Base Schedules'!$A$1:$AW$44,37,FALSE)),"")</f>
        <v>HL</v>
      </c>
      <c r="AM39" s="184" t="str">
        <f>IFERROR(IF(VLOOKUP(Fri_W2[[#This Row],[Employee Name]],'Base Schedules'!$A$1:$AW$44,38,FALSE)="","",VLOOKUP(Fri_W2[[#This Row],[Employee Name]],'Base Schedules'!$A$1:$AW$44,38,FALSE)),"")</f>
        <v>HL</v>
      </c>
      <c r="AN39" s="184" t="str">
        <f>IFERROR(IF(VLOOKUP(Fri_W2[[#This Row],[Employee Name]],'Base Schedules'!$A$1:$AW$44,39,FALSE)="","",VLOOKUP(Fri_W2[[#This Row],[Employee Name]],'Base Schedules'!$A$1:$AW$44,39,FALSE)),"")</f>
        <v>HL</v>
      </c>
      <c r="AO39" s="184" t="str">
        <f>IFERROR(IF(VLOOKUP(Fri_W2[[#This Row],[Employee Name]],'Base Schedules'!$A$1:$AW$44,40,FALSE)="","",VLOOKUP(Fri_W2[[#This Row],[Employee Name]],'Base Schedules'!$A$1:$AW$44,40,FALSE)),"")</f>
        <v>HL</v>
      </c>
      <c r="AP39" s="184" t="str">
        <f>IFERROR(IF(VLOOKUP(Fri_W2[[#This Row],[Employee Name]],'Base Schedules'!$A$1:$AW$44,41,FALSE)="","",VLOOKUP(Fri_W2[[#This Row],[Employee Name]],'Base Schedules'!$A$1:$AW$44,41,FALSE)),"")</f>
        <v/>
      </c>
      <c r="AQ39" s="184" t="str">
        <f>IFERROR(IF(VLOOKUP(Fri_W2[[#This Row],[Employee Name]],'Base Schedules'!$A$1:$AW$44,42,FALSE)="","",VLOOKUP(Fri_W2[[#This Row],[Employee Name]],'Base Schedules'!$A$1:$AW$44,42,FALSE)),"")</f>
        <v/>
      </c>
      <c r="AR39" s="184" t="str">
        <f>IFERROR(IF(VLOOKUP(Fri_W2[[#This Row],[Employee Name]],'Base Schedules'!$A$1:$AW$44,43,FALSE)="","",VLOOKUP(Fri_W2[[#This Row],[Employee Name]],'Base Schedules'!$A$1:$AW$44,43,FALSE)),"")</f>
        <v/>
      </c>
      <c r="AS39" s="184" t="str">
        <f>IFERROR(IF(VLOOKUP(Fri_W2[[#This Row],[Employee Name]],'Base Schedules'!$A$1:$AW$44,44,FALSE)="","",VLOOKUP(Fri_W2[[#This Row],[Employee Name]],'Base Schedules'!$A$1:$AW$44,44,FALSE)),"")</f>
        <v/>
      </c>
      <c r="AT39" s="184" t="str">
        <f>IFERROR(IF(VLOOKUP(Fri_W2[[#This Row],[Employee Name]],'Base Schedules'!$A$1:$AW$44,45,FALSE)="","",VLOOKUP(Fri_W2[[#This Row],[Employee Name]],'Base Schedules'!$A$1:$AW$44,45,FALSE)),"")</f>
        <v/>
      </c>
      <c r="AU39" s="184" t="str">
        <f>IFERROR(IF(VLOOKUP(Fri_W2[[#This Row],[Employee Name]],'Base Schedules'!$A$1:$AW$44,46,FALSE)="","",VLOOKUP(Fri_W2[[#This Row],[Employee Name]],'Base Schedules'!$A$1:$AW$44,46,FALSE)),"")</f>
        <v/>
      </c>
      <c r="AV39" s="184" t="str">
        <f>IFERROR(IF(VLOOKUP(Fri_W2[[#This Row],[Employee Name]],'Base Schedules'!$A$1:$AW$44,47,FALSE)="","",VLOOKUP(Fri_W2[[#This Row],[Employee Name]],'Base Schedules'!$A$1:$AW$44,47,FALSE)),"")</f>
        <v/>
      </c>
      <c r="AW39" s="184" t="str">
        <f>IFERROR(IF(VLOOKUP(Fri_W2[[#This Row],[Employee Name]],'Base Schedules'!$A$1:$AW$44,48,FALSE)="","",VLOOKUP(Fri_W2[[#This Row],[Employee Name]],'Base Schedules'!$A$1:$AW$44,48,FALSE)),"")</f>
        <v/>
      </c>
      <c r="AX39" s="184" t="str">
        <f>IFERROR(IF(VLOOKUP(Fri_W2[[#This Row],[Employee Name]],'Base Schedules'!$A$1:$AW$44,49,FALSE)="","",VLOOKUP(Fri_W2[[#This Row],[Employee Name]],'Base Schedules'!$A$1:$AW$44,49,FALSE)),"")</f>
        <v/>
      </c>
      <c r="AY39" s="160" t="str">
        <f t="shared" si="2"/>
        <v>Suhama, Ryan</v>
      </c>
    </row>
    <row r="40" spans="1:51" s="44" customFormat="1" ht="11.25" customHeight="1" x14ac:dyDescent="0.2">
      <c r="A40" s="39" t="e">
        <f>IF(B40="","",INDEX(TeamList[],MATCH($B40,TeamList[[Employee Name]:[Employee Name]],0),MATCH("Manager",TeamList[#Headers],0)))</f>
        <v>#N/A</v>
      </c>
      <c r="B40" s="201" t="s">
        <v>587</v>
      </c>
      <c r="C40" s="257" t="str">
        <f>_xlfn.IFNA(VLOOKUP(Fri_W2[[#This Row],[Employee Name]],'Base Schedules'!A:B,2,FALSE),"")</f>
        <v>Lead</v>
      </c>
      <c r="D40" s="274">
        <f>_xlfn.IFNA(VLOOKUP(Fri_W2[[#This Row],[Employee Name]],'Base Schedules'!A:C,3,FALSE),"")</f>
        <v>1230</v>
      </c>
      <c r="E40" s="274">
        <f>_xlfn.IFNA(VLOOKUP(Fri_W2[[#This Row],[Employee Name]],'Base Schedules'!A:D,4,FALSE),"")</f>
        <v>2100</v>
      </c>
      <c r="F40" s="142">
        <f>IF(Fri_W2[[#This Row],[Employee Name]]="","",IF(Fri_W2[[#This Row],[Dept]]="Supervisor",COUNTIFS($J40:$AX40,"*HL*",$J40:$AX40,"&lt;&gt;"&amp;"pHL"),COUNTIFS($J40:$AX40,"*HL*",$J40:$AX40,"&lt;&gt;"&amp;"*pHL*",$J40:$AX40,"&lt;&gt;"&amp;"pB1 HL",$J40:$AX40,"&lt;&gt;"&amp;"pB2 HL")-SUM(COUNTIFS($J40:$AX40,"*HL B1*",$J40:$AX40,"&lt;&gt;"&amp;"pHL B1")*0.5,COUNTIFS($J40:$AX40,"*HL B2*",$J40:$AX40,"&lt;&gt;"&amp;"pHL B2")*0.5,COUNTIFS($J40:$AX40,"*B1 HL*",$J40:$AX40,"&lt;&gt;"&amp;"pB1 HL")*0.5,COUNTIFS($J40:$AX40,"*B2 HL*",$J40:$AX40,"&lt;&gt;"&amp;"pB2 HL")*0.5)))</f>
        <v>8.5</v>
      </c>
      <c r="G40" s="142">
        <f t="shared" si="0"/>
        <v>0</v>
      </c>
      <c r="H40" s="142">
        <f t="shared" si="1"/>
        <v>5</v>
      </c>
      <c r="I40" s="142">
        <f>IF(Fri_W2[[#This Row],[Employee Name]]="","",IF(Fri_W2[[#This Row],[Dept]]="Supervisor",SUM(COUNTIFS($J40:$AX40,"RTA*",$J40:$AX40,"&lt;&gt;"&amp;"pRTA"),COUNTIFS($J40:$AX40,"*CRTA*",$J40:$AX40,"&lt;&gt;"&amp;"pCRTA")),COUNTIFS($J40:$AX40,"*RNNR*",$J40:$AX40,"&lt;&gt;"&amp;"*pRNNR*",$J40:$AX40,"&lt;&gt;"&amp;"pB1 RNNR",$J40:$AX40,"&lt;&gt;"&amp;"pB2 RNNR")-SUM(COUNTIFS($J40:$AX40,"*RNNR B1*",$J40:$AX40,"&lt;&gt;"&amp;"pRNNR B1")*0.5,COUNTIFS($J40:$AX40,"*RNNR B2*",$J40:$AX40,"&lt;&gt;"&amp;"pRNNR B2")*0.5,COUNTIFS($J40:$AX40,"*B1 RNNR*",$J40:$AX40,"&lt;&gt;"&amp;"pB1 RNNR")*0.5,COUNTIFS($J40:$AX40,"*B2 RNNR*",$J40:$AX40,"&lt;&gt;"&amp;"pB2 RNNR")*0.5)))</f>
        <v>2</v>
      </c>
      <c r="J40" s="184" t="str">
        <f>IFERROR(IF(VLOOKUP(Fri_W2[[#This Row],[Employee Name]],'Base Schedules'!$A$1:$AW$44,9,FALSE)="","",VLOOKUP(Fri_W2[[#This Row],[Employee Name]],'Base Schedules'!$A$1:$AW$44,9,FALSE)),"")</f>
        <v/>
      </c>
      <c r="K40" s="184" t="str">
        <f>IFERROR(IF(VLOOKUP(Fri_W2[[#This Row],[Employee Name]],'Base Schedules'!$A$1:$AW$44,10,FALSE)="","",VLOOKUP(Fri_W2[[#This Row],[Employee Name]],'Base Schedules'!$A$1:$AW$44,10,FALSE)),"")</f>
        <v/>
      </c>
      <c r="L40" s="184" t="str">
        <f>IFERROR(IF(VLOOKUP(Fri_W2[[#This Row],[Employee Name]],'Base Schedules'!$A$1:$AW$44,11,FALSE)="","",VLOOKUP(Fri_W2[[#This Row],[Employee Name]],'Base Schedules'!$A$1:$AW$44,11,FALSE)),"")</f>
        <v/>
      </c>
      <c r="M40" s="184" t="str">
        <f>IFERROR(IF(VLOOKUP(Fri_W2[[#This Row],[Employee Name]],'Base Schedules'!$A$1:$AW$44,12,FALSE)="","",VLOOKUP(Fri_W2[[#This Row],[Employee Name]],'Base Schedules'!$A$1:$AW$44,12,FALSE)),"")</f>
        <v/>
      </c>
      <c r="N40" s="184" t="str">
        <f>IFERROR(IF(VLOOKUP(Fri_W2[[#This Row],[Employee Name]],'Base Schedules'!$A$1:$AW$44,13,FALSE)="","",VLOOKUP(Fri_W2[[#This Row],[Employee Name]],'Base Schedules'!$A$1:$AW$44,13,FALSE)),"")</f>
        <v/>
      </c>
      <c r="O40" s="184" t="str">
        <f>IFERROR(IF(VLOOKUP(Fri_W2[[#This Row],[Employee Name]],'Base Schedules'!$A$1:$AW$44,14,FALSE)="","",VLOOKUP(Fri_W2[[#This Row],[Employee Name]],'Base Schedules'!$A$1:$AW$44,14,FALSE)),"")</f>
        <v/>
      </c>
      <c r="P40" s="184" t="str">
        <f>IFERROR(IF(VLOOKUP(Fri_W2[[#This Row],[Employee Name]],'Base Schedules'!$A$1:$AW$44,15,FALSE)="","",VLOOKUP(Fri_W2[[#This Row],[Employee Name]],'Base Schedules'!$A$1:$AW$44,15,FALSE)),"")</f>
        <v/>
      </c>
      <c r="Q40" s="184" t="str">
        <f>IFERROR(IF(VLOOKUP(Fri_W2[[#This Row],[Employee Name]],'Base Schedules'!$A$1:$AW$44,16,FALSE)="","",VLOOKUP(Fri_W2[[#This Row],[Employee Name]],'Base Schedules'!$A$1:$AW$44,16,FALSE)),"")</f>
        <v/>
      </c>
      <c r="R40" s="184" t="str">
        <f>IFERROR(IF(VLOOKUP(Fri_W2[[#This Row],[Employee Name]],'Base Schedules'!$A$1:$AW$44,17,FALSE)="","",VLOOKUP(Fri_W2[[#This Row],[Employee Name]],'Base Schedules'!$A$1:$AW$44,17,FALSE)),"")</f>
        <v/>
      </c>
      <c r="S40" s="184" t="str">
        <f>IFERROR(IF(VLOOKUP(Fri_W2[[#This Row],[Employee Name]],'Base Schedules'!$A$1:$AW$44,18,FALSE)="","",VLOOKUP(Fri_W2[[#This Row],[Employee Name]],'Base Schedules'!$A$1:$AW$44,18,FALSE)),"")</f>
        <v/>
      </c>
      <c r="T40" s="184" t="str">
        <f>IFERROR(IF(VLOOKUP(Fri_W2[[#This Row],[Employee Name]],'Base Schedules'!$A$1:$AW$44,19,FALSE)="","",VLOOKUP(Fri_W2[[#This Row],[Employee Name]],'Base Schedules'!$A$1:$AW$44,19,FALSE)),"")</f>
        <v/>
      </c>
      <c r="U40" s="184" t="str">
        <f>IFERROR(IF(VLOOKUP(Fri_W2[[#This Row],[Employee Name]],'Base Schedules'!$A$1:$AW$44,20,FALSE)="","",VLOOKUP(Fri_W2[[#This Row],[Employee Name]],'Base Schedules'!$A$1:$AW$44,20,FALSE)),"")</f>
        <v/>
      </c>
      <c r="V40" s="184" t="str">
        <f>IFERROR(IF(VLOOKUP(Fri_W2[[#This Row],[Employee Name]],'Base Schedules'!$A$1:$AW$44,21,FALSE)="","",VLOOKUP(Fri_W2[[#This Row],[Employee Name]],'Base Schedules'!$A$1:$AW$44,21,FALSE)),"")</f>
        <v/>
      </c>
      <c r="W40" s="184" t="str">
        <f>IFERROR(IF(VLOOKUP(Fri_W2[[#This Row],[Employee Name]],'Base Schedules'!$A$1:$AW$44,22,FALSE)="","",VLOOKUP(Fri_W2[[#This Row],[Employee Name]],'Base Schedules'!$A$1:$AW$44,22,FALSE)),"")</f>
        <v/>
      </c>
      <c r="X40" s="184" t="str">
        <f>IFERROR(IF(VLOOKUP(Fri_W2[[#This Row],[Employee Name]],'Base Schedules'!$A$1:$AW$44,23,FALSE)="","",VLOOKUP(Fri_W2[[#This Row],[Employee Name]],'Base Schedules'!$A$1:$AW$44,23,FALSE)),"")</f>
        <v/>
      </c>
      <c r="Y40" s="184" t="str">
        <f>IFERROR(IF(VLOOKUP(Fri_W2[[#This Row],[Employee Name]],'Base Schedules'!$A$1:$AW$44,24,FALSE)="","",VLOOKUP(Fri_W2[[#This Row],[Employee Name]],'Base Schedules'!$A$1:$AW$44,24,FALSE)),"")</f>
        <v>HL</v>
      </c>
      <c r="Z40" s="184" t="str">
        <f>IFERROR(IF(VLOOKUP(Fri_W2[[#This Row],[Employee Name]],'Base Schedules'!$A$1:$AW$44,25,FALSE)="","",VLOOKUP(Fri_W2[[#This Row],[Employee Name]],'Base Schedules'!$A$1:$AW$44,25,FALSE)),"")</f>
        <v>HL</v>
      </c>
      <c r="AA40" s="184" t="str">
        <f>IFERROR(IF(VLOOKUP(Fri_W2[[#This Row],[Employee Name]],'Base Schedules'!$A$1:$AW$44,26,FALSE)="","",VLOOKUP(Fri_W2[[#This Row],[Employee Name]],'Base Schedules'!$A$1:$AW$44,26,FALSE)),"")</f>
        <v>HL B1</v>
      </c>
      <c r="AB40" s="184" t="str">
        <f>IFERROR(IF(VLOOKUP(Fri_W2[[#This Row],[Employee Name]],'Base Schedules'!$A$1:$AW$44,27,FALSE)="","",VLOOKUP(Fri_W2[[#This Row],[Employee Name]],'Base Schedules'!$A$1:$AW$44,27,FALSE)),"")</f>
        <v>HL</v>
      </c>
      <c r="AC40" s="184" t="str">
        <f>IFERROR(IF(VLOOKUP(Fri_W2[[#This Row],[Employee Name]],'Base Schedules'!$A$1:$AW$44,28,FALSE)="","",VLOOKUP(Fri_W2[[#This Row],[Employee Name]],'Base Schedules'!$A$1:$AW$44,28,FALSE)),"")</f>
        <v>HL</v>
      </c>
      <c r="AD40" s="184" t="str">
        <f>IFERROR(IF(VLOOKUP(Fri_W2[[#This Row],[Employee Name]],'Base Schedules'!$A$1:$AW$44,29,FALSE)="","",VLOOKUP(Fri_W2[[#This Row],[Employee Name]],'Base Schedules'!$A$1:$AW$44,29,FALSE)),"")</f>
        <v>RNNR</v>
      </c>
      <c r="AE40" s="184" t="str">
        <f>IFERROR(IF(VLOOKUP(Fri_W2[[#This Row],[Employee Name]],'Base Schedules'!$A$1:$AW$44,30,FALSE)="","",VLOOKUP(Fri_W2[[#This Row],[Employee Name]],'Base Schedules'!$A$1:$AW$44,30,FALSE)),"")</f>
        <v>RNNR</v>
      </c>
      <c r="AF40" s="184" t="str">
        <f>IFERROR(IF(VLOOKUP(Fri_W2[[#This Row],[Employee Name]],'Base Schedules'!$A$1:$AW$44,31,FALSE)="","",VLOOKUP(Fri_W2[[#This Row],[Employee Name]],'Base Schedules'!$A$1:$AW$44,31,FALSE)),"")</f>
        <v>LUNCH</v>
      </c>
      <c r="AG40" s="184" t="str">
        <f>IFERROR(IF(VLOOKUP(Fri_W2[[#This Row],[Employee Name]],'Base Schedules'!$A$1:$AW$44,32,FALSE)="","",VLOOKUP(Fri_W2[[#This Row],[Employee Name]],'Base Schedules'!$A$1:$AW$44,32,FALSE)),"")</f>
        <v>ADM</v>
      </c>
      <c r="AH40" s="184" t="str">
        <f>IFERROR(IF(VLOOKUP(Fri_W2[[#This Row],[Employee Name]],'Base Schedules'!$A$1:$AW$44,33,FALSE)="","",VLOOKUP(Fri_W2[[#This Row],[Employee Name]],'Base Schedules'!$A$1:$AW$44,33,FALSE)),"")</f>
        <v>HL</v>
      </c>
      <c r="AI40" s="184" t="str">
        <f>IFERROR(IF(VLOOKUP(Fri_W2[[#This Row],[Employee Name]],'Base Schedules'!$A$1:$AW$44,34,FALSE)="","",VLOOKUP(Fri_W2[[#This Row],[Employee Name]],'Base Schedules'!$A$1:$AW$44,34,FALSE)),"")</f>
        <v>HL</v>
      </c>
      <c r="AJ40" s="184" t="str">
        <f>IFERROR(IF(VLOOKUP(Fri_W2[[#This Row],[Employee Name]],'Base Schedules'!$A$1:$AW$44,35,FALSE)="","",VLOOKUP(Fri_W2[[#This Row],[Employee Name]],'Base Schedules'!$A$1:$AW$44,35,FALSE)),"")</f>
        <v>HL</v>
      </c>
      <c r="AK40" s="184" t="str">
        <f>IFERROR(IF(VLOOKUP(Fri_W2[[#This Row],[Employee Name]],'Base Schedules'!$A$1:$AW$44,36,FALSE)="","",VLOOKUP(Fri_W2[[#This Row],[Employee Name]],'Base Schedules'!$A$1:$AW$44,36,FALSE)),"")</f>
        <v>ADM</v>
      </c>
      <c r="AL40" s="184" t="str">
        <f>IFERROR(IF(VLOOKUP(Fri_W2[[#This Row],[Employee Name]],'Base Schedules'!$A$1:$AW$44,37,FALSE)="","",VLOOKUP(Fri_W2[[#This Row],[Employee Name]],'Base Schedules'!$A$1:$AW$44,37,FALSE)),"")</f>
        <v>B1 ADM</v>
      </c>
      <c r="AM40" s="184" t="str">
        <f>IFERROR(IF(VLOOKUP(Fri_W2[[#This Row],[Employee Name]],'Base Schedules'!$A$1:$AW$44,38,FALSE)="","",VLOOKUP(Fri_W2[[#This Row],[Employee Name]],'Base Schedules'!$A$1:$AW$44,38,FALSE)),"")</f>
        <v>ADM</v>
      </c>
      <c r="AN40" s="184" t="str">
        <f>IFERROR(IF(VLOOKUP(Fri_W2[[#This Row],[Employee Name]],'Base Schedules'!$A$1:$AW$44,39,FALSE)="","",VLOOKUP(Fri_W2[[#This Row],[Employee Name]],'Base Schedules'!$A$1:$AW$44,39,FALSE)),"")</f>
        <v>ADM</v>
      </c>
      <c r="AO40" s="184" t="str">
        <f>IFERROR(IF(VLOOKUP(Fri_W2[[#This Row],[Employee Name]],'Base Schedules'!$A$1:$AW$44,40,FALSE)="","",VLOOKUP(Fri_W2[[#This Row],[Employee Name]],'Base Schedules'!$A$1:$AW$44,40,FALSE)),"")</f>
        <v>HL</v>
      </c>
      <c r="AP40" s="184" t="str">
        <f>IFERROR(IF(VLOOKUP(Fri_W2[[#This Row],[Employee Name]],'Base Schedules'!$A$1:$AW$44,41,FALSE)="","",VLOOKUP(Fri_W2[[#This Row],[Employee Name]],'Base Schedules'!$A$1:$AW$44,41,FALSE)),"")</f>
        <v/>
      </c>
      <c r="AQ40" s="184" t="str">
        <f>IFERROR(IF(VLOOKUP(Fri_W2[[#This Row],[Employee Name]],'Base Schedules'!$A$1:$AW$44,42,FALSE)="","",VLOOKUP(Fri_W2[[#This Row],[Employee Name]],'Base Schedules'!$A$1:$AW$44,42,FALSE)),"")</f>
        <v/>
      </c>
      <c r="AR40" s="184" t="str">
        <f>IFERROR(IF(VLOOKUP(Fri_W2[[#This Row],[Employee Name]],'Base Schedules'!$A$1:$AW$44,43,FALSE)="","",VLOOKUP(Fri_W2[[#This Row],[Employee Name]],'Base Schedules'!$A$1:$AW$44,43,FALSE)),"")</f>
        <v/>
      </c>
      <c r="AS40" s="184" t="str">
        <f>IFERROR(IF(VLOOKUP(Fri_W2[[#This Row],[Employee Name]],'Base Schedules'!$A$1:$AW$44,44,FALSE)="","",VLOOKUP(Fri_W2[[#This Row],[Employee Name]],'Base Schedules'!$A$1:$AW$44,44,FALSE)),"")</f>
        <v/>
      </c>
      <c r="AT40" s="184" t="str">
        <f>IFERROR(IF(VLOOKUP(Fri_W2[[#This Row],[Employee Name]],'Base Schedules'!$A$1:$AW$44,45,FALSE)="","",VLOOKUP(Fri_W2[[#This Row],[Employee Name]],'Base Schedules'!$A$1:$AW$44,45,FALSE)),"")</f>
        <v/>
      </c>
      <c r="AU40" s="184" t="str">
        <f>IFERROR(IF(VLOOKUP(Fri_W2[[#This Row],[Employee Name]],'Base Schedules'!$A$1:$AW$44,46,FALSE)="","",VLOOKUP(Fri_W2[[#This Row],[Employee Name]],'Base Schedules'!$A$1:$AW$44,46,FALSE)),"")</f>
        <v/>
      </c>
      <c r="AV40" s="184" t="str">
        <f>IFERROR(IF(VLOOKUP(Fri_W2[[#This Row],[Employee Name]],'Base Schedules'!$A$1:$AW$44,47,FALSE)="","",VLOOKUP(Fri_W2[[#This Row],[Employee Name]],'Base Schedules'!$A$1:$AW$44,47,FALSE)),"")</f>
        <v/>
      </c>
      <c r="AW40" s="184" t="str">
        <f>IFERROR(IF(VLOOKUP(Fri_W2[[#This Row],[Employee Name]],'Base Schedules'!$A$1:$AW$44,48,FALSE)="","",VLOOKUP(Fri_W2[[#This Row],[Employee Name]],'Base Schedules'!$A$1:$AW$44,48,FALSE)),"")</f>
        <v/>
      </c>
      <c r="AX40" s="184" t="str">
        <f>IFERROR(IF(VLOOKUP(Fri_W2[[#This Row],[Employee Name]],'Base Schedules'!$A$1:$AW$44,49,FALSE)="","",VLOOKUP(Fri_W2[[#This Row],[Employee Name]],'Base Schedules'!$A$1:$AW$44,49,FALSE)),"")</f>
        <v/>
      </c>
      <c r="AY40" s="159" t="str">
        <f t="shared" si="2"/>
        <v>Mason, April</v>
      </c>
    </row>
    <row r="41" spans="1:51" s="44" customFormat="1" ht="11.25" customHeight="1" x14ac:dyDescent="0.2">
      <c r="A41" s="39" t="str">
        <f>IF(B41="","",INDEX(TeamList[],MATCH($B41,TeamList[[Employee Name]:[Employee Name]],0),MATCH("Manager",TeamList[#Headers],0)))</f>
        <v>Paulson, Matthew</v>
      </c>
      <c r="B41" s="201" t="s">
        <v>59</v>
      </c>
      <c r="C41" s="257" t="str">
        <f>_xlfn.IFNA(VLOOKUP(Fri_W2[[#This Row],[Employee Name]],'Base Schedules'!A:B,2,FALSE),"")</f>
        <v>Supervisor</v>
      </c>
      <c r="D41" s="274">
        <f>_xlfn.IFNA(VLOOKUP(Fri_W2[[#This Row],[Employee Name]],'Base Schedules'!A:C,3,FALSE),"")</f>
        <v>1300</v>
      </c>
      <c r="E41" s="274">
        <f>_xlfn.IFNA(VLOOKUP(Fri_W2[[#This Row],[Employee Name]],'Base Schedules'!A:D,4,FALSE),"")</f>
        <v>2200</v>
      </c>
      <c r="F41" s="142">
        <f>IF(Fri_W2[[#This Row],[Employee Name]]="","",IF(Fri_W2[[#This Row],[Dept]]="Supervisor",COUNTIFS($J41:$AX41,"*HL*",$J41:$AX41,"&lt;&gt;"&amp;"pHL"),COUNTIFS($J41:$AX41,"*HL*",$J41:$AX41,"&lt;&gt;"&amp;"*pHL*",$J41:$AX41,"&lt;&gt;"&amp;"pB1 HL",$J41:$AX41,"&lt;&gt;"&amp;"pB2 HL")-SUM(COUNTIFS($J41:$AX41,"*HL B1*",$J41:$AX41,"&lt;&gt;"&amp;"pHL B1")*0.5,COUNTIFS($J41:$AX41,"*HL B2*",$J41:$AX41,"&lt;&gt;"&amp;"pHL B2")*0.5,COUNTIFS($J41:$AX41,"*B1 HL*",$J41:$AX41,"&lt;&gt;"&amp;"pB1 HL")*0.5,COUNTIFS($J41:$AX41,"*B2 HL*",$J41:$AX41,"&lt;&gt;"&amp;"pB2 HL")*0.5)))</f>
        <v>0</v>
      </c>
      <c r="G41" s="142">
        <f t="shared" si="0"/>
        <v>4</v>
      </c>
      <c r="H41" s="142">
        <f t="shared" si="1"/>
        <v>0</v>
      </c>
      <c r="I41" s="142">
        <f>IF(Fri_W2[[#This Row],[Employee Name]]="","",IF(Fri_W2[[#This Row],[Dept]]="Supervisor",SUM(COUNTIFS($J41:$AX41,"RTA*",$J41:$AX41,"&lt;&gt;"&amp;"pRTA"),COUNTIFS($J41:$AX41,"*CRTA*",$J41:$AX41,"&lt;&gt;"&amp;"pCRTA")),COUNTIFS($J41:$AX41,"*RNNR*",$J41:$AX41,"&lt;&gt;"&amp;"*pRNNR*",$J41:$AX41,"&lt;&gt;"&amp;"pB1 RNNR",$J41:$AX41,"&lt;&gt;"&amp;"pB2 RNNR")-SUM(COUNTIFS($J41:$AX41,"*RNNR B1*",$J41:$AX41,"&lt;&gt;"&amp;"pRNNR B1")*0.5,COUNTIFS($J41:$AX41,"*RNNR B2*",$J41:$AX41,"&lt;&gt;"&amp;"pRNNR B2")*0.5,COUNTIFS($J41:$AX41,"*B1 RNNR*",$J41:$AX41,"&lt;&gt;"&amp;"pB1 RNNR")*0.5,COUNTIFS($J41:$AX41,"*B2 RNNR*",$J41:$AX41,"&lt;&gt;"&amp;"pB2 RNNR")*0.5)))</f>
        <v>0</v>
      </c>
      <c r="J41" s="184" t="str">
        <f>IFERROR(IF(VLOOKUP(Fri_W2[[#This Row],[Employee Name]],'Base Schedules'!$A$1:$AW$44,9,FALSE)="","",VLOOKUP(Fri_W2[[#This Row],[Employee Name]],'Base Schedules'!$A$1:$AW$44,9,FALSE)),"")</f>
        <v/>
      </c>
      <c r="K41" s="184" t="str">
        <f>IFERROR(IF(VLOOKUP(Fri_W2[[#This Row],[Employee Name]],'Base Schedules'!$A$1:$AW$44,10,FALSE)="","",VLOOKUP(Fri_W2[[#This Row],[Employee Name]],'Base Schedules'!$A$1:$AW$44,10,FALSE)),"")</f>
        <v/>
      </c>
      <c r="L41" s="184" t="str">
        <f>IFERROR(IF(VLOOKUP(Fri_W2[[#This Row],[Employee Name]],'Base Schedules'!$A$1:$AW$44,11,FALSE)="","",VLOOKUP(Fri_W2[[#This Row],[Employee Name]],'Base Schedules'!$A$1:$AW$44,11,FALSE)),"")</f>
        <v/>
      </c>
      <c r="M41" s="184" t="str">
        <f>IFERROR(IF(VLOOKUP(Fri_W2[[#This Row],[Employee Name]],'Base Schedules'!$A$1:$AW$44,12,FALSE)="","",VLOOKUP(Fri_W2[[#This Row],[Employee Name]],'Base Schedules'!$A$1:$AW$44,12,FALSE)),"")</f>
        <v/>
      </c>
      <c r="N41" s="184" t="str">
        <f>IFERROR(IF(VLOOKUP(Fri_W2[[#This Row],[Employee Name]],'Base Schedules'!$A$1:$AW$44,13,FALSE)="","",VLOOKUP(Fri_W2[[#This Row],[Employee Name]],'Base Schedules'!$A$1:$AW$44,13,FALSE)),"")</f>
        <v/>
      </c>
      <c r="O41" s="184" t="str">
        <f>IFERROR(IF(VLOOKUP(Fri_W2[[#This Row],[Employee Name]],'Base Schedules'!$A$1:$AW$44,14,FALSE)="","",VLOOKUP(Fri_W2[[#This Row],[Employee Name]],'Base Schedules'!$A$1:$AW$44,14,FALSE)),"")</f>
        <v/>
      </c>
      <c r="P41" s="184" t="str">
        <f>IFERROR(IF(VLOOKUP(Fri_W2[[#This Row],[Employee Name]],'Base Schedules'!$A$1:$AW$44,15,FALSE)="","",VLOOKUP(Fri_W2[[#This Row],[Employee Name]],'Base Schedules'!$A$1:$AW$44,15,FALSE)),"")</f>
        <v/>
      </c>
      <c r="Q41" s="184" t="str">
        <f>IFERROR(IF(VLOOKUP(Fri_W2[[#This Row],[Employee Name]],'Base Schedules'!$A$1:$AW$44,16,FALSE)="","",VLOOKUP(Fri_W2[[#This Row],[Employee Name]],'Base Schedules'!$A$1:$AW$44,16,FALSE)),"")</f>
        <v/>
      </c>
      <c r="R41" s="184" t="str">
        <f>IFERROR(IF(VLOOKUP(Fri_W2[[#This Row],[Employee Name]],'Base Schedules'!$A$1:$AW$44,17,FALSE)="","",VLOOKUP(Fri_W2[[#This Row],[Employee Name]],'Base Schedules'!$A$1:$AW$44,17,FALSE)),"")</f>
        <v/>
      </c>
      <c r="S41" s="184" t="str">
        <f>IFERROR(IF(VLOOKUP(Fri_W2[[#This Row],[Employee Name]],'Base Schedules'!$A$1:$AW$44,18,FALSE)="","",VLOOKUP(Fri_W2[[#This Row],[Employee Name]],'Base Schedules'!$A$1:$AW$44,18,FALSE)),"")</f>
        <v/>
      </c>
      <c r="T41" s="184" t="str">
        <f>IFERROR(IF(VLOOKUP(Fri_W2[[#This Row],[Employee Name]],'Base Schedules'!$A$1:$AW$44,19,FALSE)="","",VLOOKUP(Fri_W2[[#This Row],[Employee Name]],'Base Schedules'!$A$1:$AW$44,19,FALSE)),"")</f>
        <v/>
      </c>
      <c r="U41" s="184" t="str">
        <f>IFERROR(IF(VLOOKUP(Fri_W2[[#This Row],[Employee Name]],'Base Schedules'!$A$1:$AW$44,20,FALSE)="","",VLOOKUP(Fri_W2[[#This Row],[Employee Name]],'Base Schedules'!$A$1:$AW$44,20,FALSE)),"")</f>
        <v/>
      </c>
      <c r="V41" s="184" t="str">
        <f>IFERROR(IF(VLOOKUP(Fri_W2[[#This Row],[Employee Name]],'Base Schedules'!$A$1:$AW$44,21,FALSE)="","",VLOOKUP(Fri_W2[[#This Row],[Employee Name]],'Base Schedules'!$A$1:$AW$44,21,FALSE)),"")</f>
        <v/>
      </c>
      <c r="W41" s="184" t="str">
        <f>IFERROR(IF(VLOOKUP(Fri_W2[[#This Row],[Employee Name]],'Base Schedules'!$A$1:$AW$44,22,FALSE)="","",VLOOKUP(Fri_W2[[#This Row],[Employee Name]],'Base Schedules'!$A$1:$AW$44,22,FALSE)),"")</f>
        <v/>
      </c>
      <c r="X41" s="184" t="str">
        <f>IFERROR(IF(VLOOKUP(Fri_W2[[#This Row],[Employee Name]],'Base Schedules'!$A$1:$AW$44,23,FALSE)="","",VLOOKUP(Fri_W2[[#This Row],[Employee Name]],'Base Schedules'!$A$1:$AW$44,23,FALSE)),"")</f>
        <v/>
      </c>
      <c r="Y41" s="184" t="str">
        <f>IFERROR(IF(VLOOKUP(Fri_W2[[#This Row],[Employee Name]],'Base Schedules'!$A$1:$AW$44,24,FALSE)="","",VLOOKUP(Fri_W2[[#This Row],[Employee Name]],'Base Schedules'!$A$1:$AW$44,24,FALSE)),"")</f>
        <v/>
      </c>
      <c r="Z41" s="184" t="str">
        <f>IFERROR(IF(VLOOKUP(Fri_W2[[#This Row],[Employee Name]],'Base Schedules'!$A$1:$AW$44,25,FALSE)="","",VLOOKUP(Fri_W2[[#This Row],[Employee Name]],'Base Schedules'!$A$1:$AW$44,25,FALSE)),"")</f>
        <v>-</v>
      </c>
      <c r="AA41" s="184" t="str">
        <f>IFERROR(IF(VLOOKUP(Fri_W2[[#This Row],[Employee Name]],'Base Schedules'!$A$1:$AW$44,26,FALSE)="","",VLOOKUP(Fri_W2[[#This Row],[Employee Name]],'Base Schedules'!$A$1:$AW$44,26,FALSE)),"")</f>
        <v>-</v>
      </c>
      <c r="AB41" s="184" t="str">
        <f>IFERROR(IF(VLOOKUP(Fri_W2[[#This Row],[Employee Name]],'Base Schedules'!$A$1:$AW$44,27,FALSE)="","",VLOOKUP(Fri_W2[[#This Row],[Employee Name]],'Base Schedules'!$A$1:$AW$44,27,FALSE)),"")</f>
        <v>-</v>
      </c>
      <c r="AC41" s="184" t="str">
        <f>IFERROR(IF(VLOOKUP(Fri_W2[[#This Row],[Employee Name]],'Base Schedules'!$A$1:$AW$44,28,FALSE)="","",VLOOKUP(Fri_W2[[#This Row],[Employee Name]],'Base Schedules'!$A$1:$AW$44,28,FALSE)),"")</f>
        <v>-</v>
      </c>
      <c r="AD41" s="184" t="str">
        <f>IFERROR(IF(VLOOKUP(Fri_W2[[#This Row],[Employee Name]],'Base Schedules'!$A$1:$AW$44,29,FALSE)="","",VLOOKUP(Fri_W2[[#This Row],[Employee Name]],'Base Schedules'!$A$1:$AW$44,29,FALSE)),"")</f>
        <v>-</v>
      </c>
      <c r="AE41" s="184" t="str">
        <f>IFERROR(IF(VLOOKUP(Fri_W2[[#This Row],[Employee Name]],'Base Schedules'!$A$1:$AW$44,30,FALSE)="","",VLOOKUP(Fri_W2[[#This Row],[Employee Name]],'Base Schedules'!$A$1:$AW$44,30,FALSE)),"")</f>
        <v>-</v>
      </c>
      <c r="AF41" s="184" t="str">
        <f>IFERROR(IF(VLOOKUP(Fri_W2[[#This Row],[Employee Name]],'Base Schedules'!$A$1:$AW$44,31,FALSE)="","",VLOOKUP(Fri_W2[[#This Row],[Employee Name]],'Base Schedules'!$A$1:$AW$44,31,FALSE)),"")</f>
        <v>Interview</v>
      </c>
      <c r="AG41" s="184" t="str">
        <f>IFERROR(IF(VLOOKUP(Fri_W2[[#This Row],[Employee Name]],'Base Schedules'!$A$1:$AW$44,32,FALSE)="","",VLOOKUP(Fri_W2[[#This Row],[Employee Name]],'Base Schedules'!$A$1:$AW$44,32,FALSE)),"")</f>
        <v>Interview</v>
      </c>
      <c r="AH41" s="184" t="str">
        <f>IFERROR(IF(VLOOKUP(Fri_W2[[#This Row],[Employee Name]],'Base Schedules'!$A$1:$AW$44,33,FALSE)="","",VLOOKUP(Fri_W2[[#This Row],[Employee Name]],'Base Schedules'!$A$1:$AW$44,33,FALSE)),"")</f>
        <v>-</v>
      </c>
      <c r="AI41" s="184" t="str">
        <f>IFERROR(IF(VLOOKUP(Fri_W2[[#This Row],[Employee Name]],'Base Schedules'!$A$1:$AW$44,34,FALSE)="","",VLOOKUP(Fri_W2[[#This Row],[Employee Name]],'Base Schedules'!$A$1:$AW$44,34,FALSE)),"")</f>
        <v>-</v>
      </c>
      <c r="AJ41" s="184" t="str">
        <f>IFERROR(IF(VLOOKUP(Fri_W2[[#This Row],[Employee Name]],'Base Schedules'!$A$1:$AW$44,35,FALSE)="","",VLOOKUP(Fri_W2[[#This Row],[Employee Name]],'Base Schedules'!$A$1:$AW$44,35,FALSE)),"")</f>
        <v>-</v>
      </c>
      <c r="AK41" s="184" t="str">
        <f>IFERROR(IF(VLOOKUP(Fri_W2[[#This Row],[Employee Name]],'Base Schedules'!$A$1:$AW$44,36,FALSE)="","",VLOOKUP(Fri_W2[[#This Row],[Employee Name]],'Base Schedules'!$A$1:$AW$44,36,FALSE)),"")</f>
        <v>-</v>
      </c>
      <c r="AL41" s="184" t="str">
        <f>IFERROR(IF(VLOOKUP(Fri_W2[[#This Row],[Employee Name]],'Base Schedules'!$A$1:$AW$44,37,FALSE)="","",VLOOKUP(Fri_W2[[#This Row],[Employee Name]],'Base Schedules'!$A$1:$AW$44,37,FALSE)),"")</f>
        <v>Coaching</v>
      </c>
      <c r="AM41" s="184" t="str">
        <f>IFERROR(IF(VLOOKUP(Fri_W2[[#This Row],[Employee Name]],'Base Schedules'!$A$1:$AW$44,38,FALSE)="","",VLOOKUP(Fri_W2[[#This Row],[Employee Name]],'Base Schedules'!$A$1:$AW$44,38,FALSE)),"")</f>
        <v>Coaching</v>
      </c>
      <c r="AN41" s="184" t="str">
        <f>IFERROR(IF(VLOOKUP(Fri_W2[[#This Row],[Employee Name]],'Base Schedules'!$A$1:$AW$44,39,FALSE)="","",VLOOKUP(Fri_W2[[#This Row],[Employee Name]],'Base Schedules'!$A$1:$AW$44,39,FALSE)),"")</f>
        <v>Coaching</v>
      </c>
      <c r="AO41" s="184" t="str">
        <f>IFERROR(IF(VLOOKUP(Fri_W2[[#This Row],[Employee Name]],'Base Schedules'!$A$1:$AW$44,40,FALSE)="","",VLOOKUP(Fri_W2[[#This Row],[Employee Name]],'Base Schedules'!$A$1:$AW$44,40,FALSE)),"")</f>
        <v>Coaching</v>
      </c>
      <c r="AP41" s="184" t="str">
        <f>IFERROR(IF(VLOOKUP(Fri_W2[[#This Row],[Employee Name]],'Base Schedules'!$A$1:$AW$44,41,FALSE)="","",VLOOKUP(Fri_W2[[#This Row],[Employee Name]],'Base Schedules'!$A$1:$AW$44,41,FALSE)),"")</f>
        <v>-</v>
      </c>
      <c r="AQ41" s="184" t="str">
        <f>IFERROR(IF(VLOOKUP(Fri_W2[[#This Row],[Employee Name]],'Base Schedules'!$A$1:$AW$44,42,FALSE)="","",VLOOKUP(Fri_W2[[#This Row],[Employee Name]],'Base Schedules'!$A$1:$AW$44,42,FALSE)),"")</f>
        <v>-</v>
      </c>
      <c r="AR41" s="184" t="str">
        <f>IFERROR(IF(VLOOKUP(Fri_W2[[#This Row],[Employee Name]],'Base Schedules'!$A$1:$AW$44,43,FALSE)="","",VLOOKUP(Fri_W2[[#This Row],[Employee Name]],'Base Schedules'!$A$1:$AW$44,43,FALSE)),"")</f>
        <v/>
      </c>
      <c r="AS41" s="184" t="str">
        <f>IFERROR(IF(VLOOKUP(Fri_W2[[#This Row],[Employee Name]],'Base Schedules'!$A$1:$AW$44,44,FALSE)="","",VLOOKUP(Fri_W2[[#This Row],[Employee Name]],'Base Schedules'!$A$1:$AW$44,44,FALSE)),"")</f>
        <v/>
      </c>
      <c r="AT41" s="184" t="str">
        <f>IFERROR(IF(VLOOKUP(Fri_W2[[#This Row],[Employee Name]],'Base Schedules'!$A$1:$AW$44,45,FALSE)="","",VLOOKUP(Fri_W2[[#This Row],[Employee Name]],'Base Schedules'!$A$1:$AW$44,45,FALSE)),"")</f>
        <v/>
      </c>
      <c r="AU41" s="184" t="str">
        <f>IFERROR(IF(VLOOKUP(Fri_W2[[#This Row],[Employee Name]],'Base Schedules'!$A$1:$AW$44,46,FALSE)="","",VLOOKUP(Fri_W2[[#This Row],[Employee Name]],'Base Schedules'!$A$1:$AW$44,46,FALSE)),"")</f>
        <v/>
      </c>
      <c r="AV41" s="184" t="str">
        <f>IFERROR(IF(VLOOKUP(Fri_W2[[#This Row],[Employee Name]],'Base Schedules'!$A$1:$AW$44,47,FALSE)="","",VLOOKUP(Fri_W2[[#This Row],[Employee Name]],'Base Schedules'!$A$1:$AW$44,47,FALSE)),"")</f>
        <v/>
      </c>
      <c r="AW41" s="184" t="str">
        <f>IFERROR(IF(VLOOKUP(Fri_W2[[#This Row],[Employee Name]],'Base Schedules'!$A$1:$AW$44,48,FALSE)="","",VLOOKUP(Fri_W2[[#This Row],[Employee Name]],'Base Schedules'!$A$1:$AW$44,48,FALSE)),"")</f>
        <v/>
      </c>
      <c r="AX41" s="184" t="str">
        <f>IFERROR(IF(VLOOKUP(Fri_W2[[#This Row],[Employee Name]],'Base Schedules'!$A$1:$AW$44,49,FALSE)="","",VLOOKUP(Fri_W2[[#This Row],[Employee Name]],'Base Schedules'!$A$1:$AW$44,49,FALSE)),"")</f>
        <v/>
      </c>
      <c r="AY41" s="160" t="str">
        <f t="shared" si="2"/>
        <v>Banuelos, Lincoln</v>
      </c>
    </row>
    <row r="42" spans="1:51" s="44" customFormat="1" ht="11.25" customHeight="1" x14ac:dyDescent="0.2">
      <c r="A42" s="39" t="e">
        <f>IF(B42="","",INDEX(TeamList[],MATCH($B42,TeamList[[Employee Name]:[Employee Name]],0),MATCH("Manager",TeamList[#Headers],0)))</f>
        <v>#N/A</v>
      </c>
      <c r="B42" s="201" t="s">
        <v>586</v>
      </c>
      <c r="C42" s="257" t="str">
        <f>_xlfn.IFNA(VLOOKUP(Fri_W2[[#This Row],[Employee Name]],'Base Schedules'!A:B,2,FALSE),"")</f>
        <v>Lead</v>
      </c>
      <c r="D42" s="274">
        <f>_xlfn.IFNA(VLOOKUP(Fri_W2[[#This Row],[Employee Name]],'Base Schedules'!A:C,3,FALSE),"")</f>
        <v>1330</v>
      </c>
      <c r="E42" s="274">
        <f>_xlfn.IFNA(VLOOKUP(Fri_W2[[#This Row],[Employee Name]],'Base Schedules'!A:D,4,FALSE),"")</f>
        <v>2200</v>
      </c>
      <c r="F42" s="142">
        <f>IF(Fri_W2[[#This Row],[Employee Name]]="","",IF(Fri_W2[[#This Row],[Dept]]="Supervisor",COUNTIFS($J42:$AX42,"*HL*",$J42:$AX42,"&lt;&gt;"&amp;"pHL"),COUNTIFS($J42:$AX42,"*HL*",$J42:$AX42,"&lt;&gt;"&amp;"*pHL*",$J42:$AX42,"&lt;&gt;"&amp;"pB1 HL",$J42:$AX42,"&lt;&gt;"&amp;"pB2 HL")-SUM(COUNTIFS($J42:$AX42,"*HL B1*",$J42:$AX42,"&lt;&gt;"&amp;"pHL B1")*0.5,COUNTIFS($J42:$AX42,"*HL B2*",$J42:$AX42,"&lt;&gt;"&amp;"pHL B2")*0.5,COUNTIFS($J42:$AX42,"*B1 HL*",$J42:$AX42,"&lt;&gt;"&amp;"pB1 HL")*0.5,COUNTIFS($J42:$AX42,"*B2 HL*",$J42:$AX42,"&lt;&gt;"&amp;"pB2 HL")*0.5)))</f>
        <v>5</v>
      </c>
      <c r="G42" s="142">
        <f t="shared" si="0"/>
        <v>0</v>
      </c>
      <c r="H42" s="142">
        <f t="shared" si="1"/>
        <v>9</v>
      </c>
      <c r="I42" s="142">
        <f>IF(Fri_W2[[#This Row],[Employee Name]]="","",IF(Fri_W2[[#This Row],[Dept]]="Supervisor",SUM(COUNTIFS($J42:$AX42,"RTA*",$J42:$AX42,"&lt;&gt;"&amp;"pRTA"),COUNTIFS($J42:$AX42,"*CRTA*",$J42:$AX42,"&lt;&gt;"&amp;"pCRTA")),COUNTIFS($J42:$AX42,"*RNNR*",$J42:$AX42,"&lt;&gt;"&amp;"*pRNNR*",$J42:$AX42,"&lt;&gt;"&amp;"pB1 RNNR",$J42:$AX42,"&lt;&gt;"&amp;"pB2 RNNR")-SUM(COUNTIFS($J42:$AX42,"*RNNR B1*",$J42:$AX42,"&lt;&gt;"&amp;"pRNNR B1")*0.5,COUNTIFS($J42:$AX42,"*RNNR B2*",$J42:$AX42,"&lt;&gt;"&amp;"pRNNR B2")*0.5,COUNTIFS($J42:$AX42,"*B1 RNNR*",$J42:$AX42,"&lt;&gt;"&amp;"pB1 RNNR")*0.5,COUNTIFS($J42:$AX42,"*B2 RNNR*",$J42:$AX42,"&lt;&gt;"&amp;"pB2 RNNR")*0.5)))</f>
        <v>2</v>
      </c>
      <c r="J42" s="184" t="str">
        <f>IFERROR(IF(VLOOKUP(Fri_W2[[#This Row],[Employee Name]],'Base Schedules'!$A:$I,9,FALSE)="","",VLOOKUP(Fri_W2[[#This Row],[Employee Name]],'Base Schedules'!$A:$I,9,FALSE)),"")</f>
        <v/>
      </c>
      <c r="K42" s="184" t="str">
        <f>IFERROR(IF(VLOOKUP(Fri_W2[[#This Row],[Employee Name]],'Base Schedules'!$A:$J,10,FALSE)="","",VLOOKUP(Fri_W2[[#This Row],[Employee Name]],'Base Schedules'!$A:$J,10,FALSE)),"")</f>
        <v/>
      </c>
      <c r="L42" s="184" t="str">
        <f>IFERROR(IF(VLOOKUP(Fri_W2[[#This Row],[Employee Name]],'Base Schedules'!$A:$K,11,FALSE)="","",VLOOKUP(Fri_W2[[#This Row],[Employee Name]],'Base Schedules'!$A:$K,11,FALSE)),"")</f>
        <v/>
      </c>
      <c r="M42" s="184" t="str">
        <f>IFERROR(IF(VLOOKUP(Fri_W2[[#This Row],[Employee Name]],'Base Schedules'!$A:$L,12,FALSE)="","",VLOOKUP(Fri_W2[[#This Row],[Employee Name]],'Base Schedules'!$A:$L,12,FALSE)),"")</f>
        <v/>
      </c>
      <c r="N42" s="184" t="str">
        <f>IFERROR(IF(VLOOKUP(Fri_W2[[#This Row],[Employee Name]],'Base Schedules'!$A:$M,13,FALSE)="","",VLOOKUP(Fri_W2[[#This Row],[Employee Name]],'Base Schedules'!$A:$M,13,FALSE)),"")</f>
        <v/>
      </c>
      <c r="O42" s="184" t="str">
        <f>IFERROR(IF(VLOOKUP(Fri_W2[[#This Row],[Employee Name]],'Base Schedules'!$A:$N,14,FALSE)="","",VLOOKUP(Fri_W2[[#This Row],[Employee Name]],'Base Schedules'!$A:$N,14,FALSE)),"")</f>
        <v/>
      </c>
      <c r="P42" s="184" t="str">
        <f>IFERROR(IF(VLOOKUP(Fri_W2[[#This Row],[Employee Name]],'Base Schedules'!$A:$O,15,FALSE)="","",VLOOKUP(Fri_W2[[#This Row],[Employee Name]],'Base Schedules'!$A:$O,15,FALSE)),"")</f>
        <v/>
      </c>
      <c r="Q42" s="184" t="str">
        <f>IFERROR(IF(VLOOKUP(Fri_W2[[#This Row],[Employee Name]],'Base Schedules'!$A:$P,16,FALSE)="","",VLOOKUP(Fri_W2[[#This Row],[Employee Name]],'Base Schedules'!$A:$P,16,FALSE)),"")</f>
        <v/>
      </c>
      <c r="R42" s="184" t="str">
        <f>IFERROR(IF(VLOOKUP(Fri_W2[[#This Row],[Employee Name]],'Base Schedules'!$A:$Q,17,FALSE)="","",VLOOKUP(Fri_W2[[#This Row],[Employee Name]],'Base Schedules'!$A:$Q,17,FALSE)),"")</f>
        <v/>
      </c>
      <c r="S42" s="184" t="str">
        <f>IFERROR(IF(VLOOKUP(Fri_W2[[#This Row],[Employee Name]],'Base Schedules'!$A:$R,18,FALSE)="","",VLOOKUP(Fri_W2[[#This Row],[Employee Name]],'Base Schedules'!$A:$R,18,FALSE)),"")</f>
        <v/>
      </c>
      <c r="T42" s="184" t="str">
        <f>IFERROR(IF(VLOOKUP(Fri_W2[[#This Row],[Employee Name]],'Base Schedules'!$A:$S,19,FALSE)="","",VLOOKUP(Fri_W2[[#This Row],[Employee Name]],'Base Schedules'!$A:$S,19,FALSE)),"")</f>
        <v/>
      </c>
      <c r="U42" s="184" t="str">
        <f>IFERROR(IF(VLOOKUP(Fri_W2[[#This Row],[Employee Name]],'Base Schedules'!$A:$T,20,FALSE)="","",VLOOKUP(Fri_W2[[#This Row],[Employee Name]],'Base Schedules'!$A:$T,20,FALSE)),"")</f>
        <v/>
      </c>
      <c r="V42" s="184" t="str">
        <f>IFERROR(IF(VLOOKUP(Fri_W2[[#This Row],[Employee Name]],'Base Schedules'!$A:$U,21,FALSE)="","",VLOOKUP(Fri_W2[[#This Row],[Employee Name]],'Base Schedules'!$A:$U,21,FALSE)),"")</f>
        <v/>
      </c>
      <c r="W42" s="184" t="str">
        <f>IFERROR(IF(VLOOKUP(Fri_W2[[#This Row],[Employee Name]],'Base Schedules'!$A:$V,22,FALSE)="","",VLOOKUP(Fri_W2[[#This Row],[Employee Name]],'Base Schedules'!$A:$V,22,FALSE)),"")</f>
        <v/>
      </c>
      <c r="X42" s="184" t="str">
        <f>IFERROR(IF(VLOOKUP(Fri_W2[[#This Row],[Employee Name]],'Base Schedules'!$A:$W,23,FALSE)="","",VLOOKUP(Fri_W2[[#This Row],[Employee Name]],'Base Schedules'!$A:$W,23,FALSE)),"")</f>
        <v/>
      </c>
      <c r="Y42" s="184" t="str">
        <f>IFERROR(IF(VLOOKUP(Fri_W2[[#This Row],[Employee Name]],'Base Schedules'!$A:$X,24,FALSE)="","",VLOOKUP(Fri_W2[[#This Row],[Employee Name]],'Base Schedules'!$A:$X,24,FALSE)),"")</f>
        <v/>
      </c>
      <c r="Z42" s="184" t="str">
        <f>IFERROR(IF(VLOOKUP(Fri_W2[[#This Row],[Employee Name]],'Base Schedules'!$A:$Y,25,FALSE)="","",VLOOKUP(Fri_W2[[#This Row],[Employee Name]],'Base Schedules'!$A:$Y,25,FALSE)),"")</f>
        <v/>
      </c>
      <c r="AA42" s="184" t="str">
        <f>IFERROR(IF(VLOOKUP(Fri_W2[[#This Row],[Employee Name]],'Base Schedules'!$A:$Z,26,FALSE)="","",VLOOKUP(Fri_W2[[#This Row],[Employee Name]],'Base Schedules'!$A:$Z,26,FALSE)),"")</f>
        <v>HL</v>
      </c>
      <c r="AB42" s="184" t="str">
        <f>IFERROR(IF(VLOOKUP(Fri_W2[[#This Row],[Employee Name]],'Base Schedules'!$A:$AA,27,FALSE)="","",VLOOKUP(Fri_W2[[#This Row],[Employee Name]],'Base Schedules'!$A:$AA,27,FALSE)),"")</f>
        <v>HL</v>
      </c>
      <c r="AC42" s="184" t="str">
        <f>IFERROR(IF(VLOOKUP(Fri_W2[[#This Row],[Employee Name]],'Base Schedules'!$A:$AB,28,FALSE)="","",VLOOKUP(Fri_W2[[#This Row],[Employee Name]],'Base Schedules'!$A:$AB,28,FALSE)),"")</f>
        <v>HL</v>
      </c>
      <c r="AD42" s="184" t="str">
        <f>IFERROR(IF(VLOOKUP(Fri_W2[[#This Row],[Employee Name]],'Base Schedules'!$A:$AC,29,FALSE)="","",VLOOKUP(Fri_W2[[#This Row],[Employee Name]],'Base Schedules'!$A:$AC,29,FALSE)),"")</f>
        <v>HL</v>
      </c>
      <c r="AE42" s="184" t="str">
        <f>IFERROR(IF(VLOOKUP(Fri_W2[[#This Row],[Employee Name]],'Base Schedules'!$A:$AD,30,FALSE)="","",VLOOKUP(Fri_W2[[#This Row],[Employee Name]],'Base Schedules'!$A:$AD,30,FALSE)),"")</f>
        <v>B1 ADM</v>
      </c>
      <c r="AF42" s="184" t="str">
        <f>IFERROR(IF(VLOOKUP(Fri_W2[[#This Row],[Employee Name]],'Base Schedules'!$A:$AE,31,FALSE)="","",VLOOKUP(Fri_W2[[#This Row],[Employee Name]],'Base Schedules'!$A:$AE,31,FALSE)),"")</f>
        <v>ADM</v>
      </c>
      <c r="AG42" s="184" t="str">
        <f>IFERROR(IF(VLOOKUP(Fri_W2[[#This Row],[Employee Name]],'Base Schedules'!$A:$AF,32,FALSE)="","",VLOOKUP(Fri_W2[[#This Row],[Employee Name]],'Base Schedules'!$A:$AF,32,FALSE)),"")</f>
        <v>ADM</v>
      </c>
      <c r="AH42" s="184" t="str">
        <f>IFERROR(IF(VLOOKUP(Fri_W2[[#This Row],[Employee Name]],'Base Schedules'!$A:$AG,33,FALSE)="","",VLOOKUP(Fri_W2[[#This Row],[Employee Name]],'Base Schedules'!$A:$AG,33,FALSE)),"")</f>
        <v>ADM</v>
      </c>
      <c r="AI42" s="184" t="str">
        <f>IFERROR(IF(VLOOKUP(Fri_W2[[#This Row],[Employee Name]],'Base Schedules'!$A:$AH,34,FALSE)="","",VLOOKUP(Fri_W2[[#This Row],[Employee Name]],'Base Schedules'!$A:$AH,34,FALSE)),"")</f>
        <v>ADM</v>
      </c>
      <c r="AJ42" s="184" t="str">
        <f>IFERROR(IF(VLOOKUP(Fri_W2[[#This Row],[Employee Name]],'Base Schedules'!$A:$AI,35,FALSE)="","",VLOOKUP(Fri_W2[[#This Row],[Employee Name]],'Base Schedules'!$A:$AI,35,FALSE)),"")</f>
        <v>LUNCH</v>
      </c>
      <c r="AK42" s="184" t="str">
        <f>IFERROR(IF(VLOOKUP(Fri_W2[[#This Row],[Employee Name]],'Base Schedules'!$A:$AJ,36,FALSE)="","",VLOOKUP(Fri_W2[[#This Row],[Employee Name]],'Base Schedules'!$A:$AJ,36,FALSE)),"")</f>
        <v>HL</v>
      </c>
      <c r="AL42" s="184" t="str">
        <f>IFERROR(IF(VLOOKUP(Fri_W2[[#This Row],[Employee Name]],'Base Schedules'!$A:$AK,37,FALSE)="","",VLOOKUP(Fri_W2[[#This Row],[Employee Name]],'Base Schedules'!$A:$AK,37,FALSE)),"")</f>
        <v>RNNR</v>
      </c>
      <c r="AM42" s="184" t="str">
        <f>IFERROR(IF(VLOOKUP(Fri_W2[[#This Row],[Employee Name]],'Base Schedules'!$A:$AL,38,FALSE)="","",VLOOKUP(Fri_W2[[#This Row],[Employee Name]],'Base Schedules'!$A:$AL,38,FALSE)),"")</f>
        <v>RNNR</v>
      </c>
      <c r="AN42" s="184" t="str">
        <f>IFERROR(IF(VLOOKUP(Fri_W2[[#This Row],[Employee Name]],'Base Schedules'!$A:$AM,39,FALSE)="","",VLOOKUP(Fri_W2[[#This Row],[Employee Name]],'Base Schedules'!$A:$AM,39,FALSE)),"")</f>
        <v>B2 ADM</v>
      </c>
      <c r="AO42" s="184" t="str">
        <f>IFERROR(IF(VLOOKUP(Fri_W2[[#This Row],[Employee Name]],'Base Schedules'!$A:$AN,40,FALSE)="","",VLOOKUP(Fri_W2[[#This Row],[Employee Name]],'Base Schedules'!$A:$AN,40,FALSE)),"")</f>
        <v>ADM</v>
      </c>
      <c r="AP42" s="184" t="str">
        <f>IFERROR(IF(VLOOKUP(Fri_W2[[#This Row],[Employee Name]],'Base Schedules'!$A:$AO,41,FALSE)="","",VLOOKUP(Fri_W2[[#This Row],[Employee Name]],'Base Schedules'!$A:$AO,41,FALSE)),"")</f>
        <v>ADM</v>
      </c>
      <c r="AQ42" s="184" t="str">
        <f>IFERROR(IF(VLOOKUP(Fri_W2[[#This Row],[Employee Name]],'Base Schedules'!$A:$AP,42,FALSE)="","",VLOOKUP(Fri_W2[[#This Row],[Employee Name]],'Base Schedules'!$A:$AP,42,FALSE)),"")</f>
        <v>ADM</v>
      </c>
      <c r="AR42" s="184" t="str">
        <f>IFERROR(IF(VLOOKUP(Fri_W2[[#This Row],[Employee Name]],'Base Schedules'!$A:$AQ,43,FALSE)="","",VLOOKUP(Fri_W2[[#This Row],[Employee Name]],'Base Schedules'!$A:$AQ,43,FALSE)),"")</f>
        <v/>
      </c>
      <c r="AS42" s="184" t="str">
        <f>IFERROR(IF(VLOOKUP(Fri_W2[[#This Row],[Employee Name]],'Base Schedules'!$A:$AR,44,FALSE)="","",VLOOKUP(Fri_W2[[#This Row],[Employee Name]],'Base Schedules'!$A:$AR,44,FALSE)),"")</f>
        <v/>
      </c>
      <c r="AT42" s="184" t="str">
        <f>IFERROR(IF(VLOOKUP(Fri_W2[[#This Row],[Employee Name]],'Base Schedules'!$A:$AS,45,FALSE)="","",VLOOKUP(Fri_W2[[#This Row],[Employee Name]],'Base Schedules'!$A:$AS,45,FALSE)),"")</f>
        <v/>
      </c>
      <c r="AU42" s="184" t="str">
        <f>IFERROR(IF(VLOOKUP(Fri_W2[[#This Row],[Employee Name]],'Base Schedules'!$A:$AT,46,FALSE)="","",VLOOKUP(Fri_W2[[#This Row],[Employee Name]],'Base Schedules'!$A:$AT,46,FALSE)),"")</f>
        <v/>
      </c>
      <c r="AV42" s="184" t="str">
        <f>IFERROR(IF(VLOOKUP(Fri_W2[[#This Row],[Employee Name]],'Base Schedules'!$A:$AU,47,FALSE)="","",VLOOKUP(Fri_W2[[#This Row],[Employee Name]],'Base Schedules'!$A:$AU,47,FALSE)),"")</f>
        <v/>
      </c>
      <c r="AW42" s="184" t="str">
        <f>IFERROR(IF(VLOOKUP(Fri_W2[[#This Row],[Employee Name]],'Base Schedules'!$A:$AV,48,FALSE)="","",VLOOKUP(Fri_W2[[#This Row],[Employee Name]],'Base Schedules'!$A:$AV,48,FALSE)),"")</f>
        <v/>
      </c>
      <c r="AX42" s="184" t="str">
        <f>IFERROR(IF(VLOOKUP(Fri_W1[[#This Row],[Employee Name]],'Base Schedules'!$A$1:$AW$44,49,FALSE)="","",VLOOKUP(Fri_W1[[#This Row],[Employee Name]],'Base Schedules'!$A$1:$AW$44,49,FALSE)),"")</f>
        <v/>
      </c>
      <c r="AY42" s="159" t="str">
        <f t="shared" si="2"/>
        <v>Harris, Austin</v>
      </c>
    </row>
    <row r="43" spans="1:51" s="44" customFormat="1" ht="11.25" customHeight="1" x14ac:dyDescent="0.2">
      <c r="A43" s="39" t="str">
        <f>IF(B43="","",INDEX(TeamList[],MATCH($B43,TeamList[[Employee Name]:[Employee Name]],0),MATCH("Manager",TeamList[#Headers],0)))</f>
        <v>Ahmed Hassan, Zahra</v>
      </c>
      <c r="B43" s="201" t="s">
        <v>245</v>
      </c>
      <c r="C43" s="257" t="str">
        <f>_xlfn.IFNA(VLOOKUP(Fri_W2[[#This Row],[Employee Name]],'Base Schedules'!A:B,2,FALSE),"")</f>
        <v>Supervisor</v>
      </c>
      <c r="D43" s="274">
        <f>_xlfn.IFNA(VLOOKUP(Fri_W2[[#This Row],[Employee Name]],'Base Schedules'!A:C,3,FALSE),"")</f>
        <v>1400</v>
      </c>
      <c r="E43" s="274">
        <f>_xlfn.IFNA(VLOOKUP(Fri_W2[[#This Row],[Employee Name]],'Base Schedules'!A:D,4,FALSE),"")</f>
        <v>100</v>
      </c>
      <c r="F43" s="142">
        <f>IF(Fri_W2[[#This Row],[Employee Name]]="","",IF(Fri_W2[[#This Row],[Dept]]="Supervisor",COUNTIFS($J43:$AX43,"*HL*",$J43:$AX43,"&lt;&gt;"&amp;"pHL"),COUNTIFS($J43:$AX43,"*HL*",$J43:$AX43,"&lt;&gt;"&amp;"*pHL*",$J43:$AX43,"&lt;&gt;"&amp;"pB1 HL",$J43:$AX43,"&lt;&gt;"&amp;"pB2 HL")-SUM(COUNTIFS($J43:$AX43,"*HL B1*",$J43:$AX43,"&lt;&gt;"&amp;"pHL B1")*0.5,COUNTIFS($J43:$AX43,"*HL B2*",$J43:$AX43,"&lt;&gt;"&amp;"pHL B2")*0.5,COUNTIFS($J43:$AX43,"*B1 HL*",$J43:$AX43,"&lt;&gt;"&amp;"pB1 HL")*0.5,COUNTIFS($J43:$AX43,"*B2 HL*",$J43:$AX43,"&lt;&gt;"&amp;"pB2 HL")*0.5)))</f>
        <v>0</v>
      </c>
      <c r="G43" s="142">
        <f t="shared" si="0"/>
        <v>4</v>
      </c>
      <c r="H43" s="142">
        <f t="shared" si="1"/>
        <v>0</v>
      </c>
      <c r="I43" s="142">
        <f>IF(Fri_W2[[#This Row],[Employee Name]]="","",IF(Fri_W2[[#This Row],[Dept]]="Supervisor",SUM(COUNTIFS($J43:$AX43,"RTA*",$J43:$AX43,"&lt;&gt;"&amp;"pRTA"),COUNTIFS($J43:$AX43,"*CRTA*",$J43:$AX43,"&lt;&gt;"&amp;"pCRTA")),COUNTIFS($J43:$AX43,"*RNNR*",$J43:$AX43,"&lt;&gt;"&amp;"*pRNNR*",$J43:$AX43,"&lt;&gt;"&amp;"pB1 RNNR",$J43:$AX43,"&lt;&gt;"&amp;"pB2 RNNR")-SUM(COUNTIFS($J43:$AX43,"*RNNR B1*",$J43:$AX43,"&lt;&gt;"&amp;"pRNNR B1")*0.5,COUNTIFS($J43:$AX43,"*RNNR B2*",$J43:$AX43,"&lt;&gt;"&amp;"pRNNR B2")*0.5,COUNTIFS($J43:$AX43,"*B1 RNNR*",$J43:$AX43,"&lt;&gt;"&amp;"pB1 RNNR")*0.5,COUNTIFS($J43:$AX43,"*B2 RNNR*",$J43:$AX43,"&lt;&gt;"&amp;"pB2 RNNR")*0.5)))</f>
        <v>0</v>
      </c>
      <c r="J43" s="184" t="str">
        <f>IFERROR(IF(VLOOKUP(Fri_W2[[#This Row],[Employee Name]],'Base Schedules'!$A$1:$AW$44,9,FALSE)="","",VLOOKUP(Fri_W2[[#This Row],[Employee Name]],'Base Schedules'!$A$1:$AW$44,9,FALSE)),"")</f>
        <v/>
      </c>
      <c r="K43" s="184" t="str">
        <f>IFERROR(IF(VLOOKUP(Fri_W2[[#This Row],[Employee Name]],'Base Schedules'!$A$1:$AW$44,10,FALSE)="","",VLOOKUP(Fri_W2[[#This Row],[Employee Name]],'Base Schedules'!$A$1:$AW$44,10,FALSE)),"")</f>
        <v/>
      </c>
      <c r="L43" s="184" t="str">
        <f>IFERROR(IF(VLOOKUP(Fri_W2[[#This Row],[Employee Name]],'Base Schedules'!$A$1:$AW$44,11,FALSE)="","",VLOOKUP(Fri_W2[[#This Row],[Employee Name]],'Base Schedules'!$A$1:$AW$44,11,FALSE)),"")</f>
        <v/>
      </c>
      <c r="M43" s="184" t="str">
        <f>IFERROR(IF(VLOOKUP(Fri_W2[[#This Row],[Employee Name]],'Base Schedules'!$A$1:$AW$44,12,FALSE)="","",VLOOKUP(Fri_W2[[#This Row],[Employee Name]],'Base Schedules'!$A$1:$AW$44,12,FALSE)),"")</f>
        <v/>
      </c>
      <c r="N43" s="184" t="str">
        <f>IFERROR(IF(VLOOKUP(Fri_W2[[#This Row],[Employee Name]],'Base Schedules'!$A$1:$AW$44,13,FALSE)="","",VLOOKUP(Fri_W2[[#This Row],[Employee Name]],'Base Schedules'!$A$1:$AW$44,13,FALSE)),"")</f>
        <v/>
      </c>
      <c r="O43" s="184" t="str">
        <f>IFERROR(IF(VLOOKUP(Fri_W2[[#This Row],[Employee Name]],'Base Schedules'!$A$1:$AW$44,14,FALSE)="","",VLOOKUP(Fri_W2[[#This Row],[Employee Name]],'Base Schedules'!$A$1:$AW$44,14,FALSE)),"")</f>
        <v/>
      </c>
      <c r="P43" s="184" t="str">
        <f>IFERROR(IF(VLOOKUP(Fri_W2[[#This Row],[Employee Name]],'Base Schedules'!$A$1:$AW$44,15,FALSE)="","",VLOOKUP(Fri_W2[[#This Row],[Employee Name]],'Base Schedules'!$A$1:$AW$44,15,FALSE)),"")</f>
        <v/>
      </c>
      <c r="Q43" s="184" t="str">
        <f>IFERROR(IF(VLOOKUP(Fri_W2[[#This Row],[Employee Name]],'Base Schedules'!$A$1:$AW$44,16,FALSE)="","",VLOOKUP(Fri_W2[[#This Row],[Employee Name]],'Base Schedules'!$A$1:$AW$44,16,FALSE)),"")</f>
        <v/>
      </c>
      <c r="R43" s="184" t="str">
        <f>IFERROR(IF(VLOOKUP(Fri_W2[[#This Row],[Employee Name]],'Base Schedules'!$A$1:$AW$44,17,FALSE)="","",VLOOKUP(Fri_W2[[#This Row],[Employee Name]],'Base Schedules'!$A$1:$AW$44,17,FALSE)),"")</f>
        <v/>
      </c>
      <c r="S43" s="184" t="str">
        <f>IFERROR(IF(VLOOKUP(Fri_W2[[#This Row],[Employee Name]],'Base Schedules'!$A$1:$AW$44,18,FALSE)="","",VLOOKUP(Fri_W2[[#This Row],[Employee Name]],'Base Schedules'!$A$1:$AW$44,18,FALSE)),"")</f>
        <v/>
      </c>
      <c r="T43" s="184" t="str">
        <f>IFERROR(IF(VLOOKUP(Fri_W2[[#This Row],[Employee Name]],'Base Schedules'!$A$1:$AW$44,19,FALSE)="","",VLOOKUP(Fri_W2[[#This Row],[Employee Name]],'Base Schedules'!$A$1:$AW$44,19,FALSE)),"")</f>
        <v/>
      </c>
      <c r="U43" s="184" t="str">
        <f>IFERROR(IF(VLOOKUP(Fri_W2[[#This Row],[Employee Name]],'Base Schedules'!$A$1:$AW$44,20,FALSE)="","",VLOOKUP(Fri_W2[[#This Row],[Employee Name]],'Base Schedules'!$A$1:$AW$44,20,FALSE)),"")</f>
        <v/>
      </c>
      <c r="V43" s="184" t="str">
        <f>IFERROR(IF(VLOOKUP(Fri_W2[[#This Row],[Employee Name]],'Base Schedules'!$A$1:$AW$44,21,FALSE)="","",VLOOKUP(Fri_W2[[#This Row],[Employee Name]],'Base Schedules'!$A$1:$AW$44,21,FALSE)),"")</f>
        <v/>
      </c>
      <c r="W43" s="184" t="str">
        <f>IFERROR(IF(VLOOKUP(Fri_W2[[#This Row],[Employee Name]],'Base Schedules'!$A$1:$AW$44,22,FALSE)="","",VLOOKUP(Fri_W2[[#This Row],[Employee Name]],'Base Schedules'!$A$1:$AW$44,22,FALSE)),"")</f>
        <v/>
      </c>
      <c r="X43" s="184" t="str">
        <f>IFERROR(IF(VLOOKUP(Fri_W2[[#This Row],[Employee Name]],'Base Schedules'!$A$1:$AW$44,23,FALSE)="","",VLOOKUP(Fri_W2[[#This Row],[Employee Name]],'Base Schedules'!$A$1:$AW$44,23,FALSE)),"")</f>
        <v/>
      </c>
      <c r="Y43" s="184" t="str">
        <f>IFERROR(IF(VLOOKUP(Fri_W2[[#This Row],[Employee Name]],'Base Schedules'!$A$1:$AW$44,24,FALSE)="","",VLOOKUP(Fri_W2[[#This Row],[Employee Name]],'Base Schedules'!$A$1:$AW$44,24,FALSE)),"")</f>
        <v/>
      </c>
      <c r="Z43" s="184" t="str">
        <f>IFERROR(IF(VLOOKUP(Fri_W2[[#This Row],[Employee Name]],'Base Schedules'!$A$1:$AW$44,25,FALSE)="","",VLOOKUP(Fri_W2[[#This Row],[Employee Name]],'Base Schedules'!$A$1:$AW$44,25,FALSE)),"")</f>
        <v/>
      </c>
      <c r="AA43" s="184" t="str">
        <f>IFERROR(IF(VLOOKUP(Fri_W2[[#This Row],[Employee Name]],'Base Schedules'!$A$1:$AW$44,26,FALSE)="","",VLOOKUP(Fri_W2[[#This Row],[Employee Name]],'Base Schedules'!$A$1:$AW$44,26,FALSE)),"")</f>
        <v/>
      </c>
      <c r="AB43" s="184" t="str">
        <f>IFERROR(IF(VLOOKUP(Fri_W2[[#This Row],[Employee Name]],'Base Schedules'!$A$1:$AW$44,27,FALSE)="","",VLOOKUP(Fri_W2[[#This Row],[Employee Name]],'Base Schedules'!$A$1:$AW$44,27,FALSE)),"")</f>
        <v>-</v>
      </c>
      <c r="AC43" s="184" t="str">
        <f>IFERROR(IF(VLOOKUP(Fri_W2[[#This Row],[Employee Name]],'Base Schedules'!$A$1:$AW$44,28,FALSE)="","",VLOOKUP(Fri_W2[[#This Row],[Employee Name]],'Base Schedules'!$A$1:$AW$44,28,FALSE)),"")</f>
        <v>-</v>
      </c>
      <c r="AD43" s="184" t="str">
        <f>IFERROR(IF(VLOOKUP(Fri_W2[[#This Row],[Employee Name]],'Base Schedules'!$A$1:$AW$44,29,FALSE)="","",VLOOKUP(Fri_W2[[#This Row],[Employee Name]],'Base Schedules'!$A$1:$AW$44,29,FALSE)),"")</f>
        <v>-</v>
      </c>
      <c r="AE43" s="184" t="str">
        <f>IFERROR(IF(VLOOKUP(Fri_W2[[#This Row],[Employee Name]],'Base Schedules'!$A$1:$AW$44,30,FALSE)="","",VLOOKUP(Fri_W2[[#This Row],[Employee Name]],'Base Schedules'!$A$1:$AW$44,30,FALSE)),"")</f>
        <v>-</v>
      </c>
      <c r="AF43" s="184" t="str">
        <f>IFERROR(IF(VLOOKUP(Fri_W2[[#This Row],[Employee Name]],'Base Schedules'!$A$1:$AW$44,31,FALSE)="","",VLOOKUP(Fri_W2[[#This Row],[Employee Name]],'Base Schedules'!$A$1:$AW$44,31,FALSE)),"")</f>
        <v>-</v>
      </c>
      <c r="AG43" s="184" t="str">
        <f>IFERROR(IF(VLOOKUP(Fri_W2[[#This Row],[Employee Name]],'Base Schedules'!$A$1:$AW$44,32,FALSE)="","",VLOOKUP(Fri_W2[[#This Row],[Employee Name]],'Base Schedules'!$A$1:$AW$44,32,FALSE)),"")</f>
        <v>-</v>
      </c>
      <c r="AH43" s="184" t="str">
        <f>IFERROR(IF(VLOOKUP(Fri_W2[[#This Row],[Employee Name]],'Base Schedules'!$A$1:$AW$44,33,FALSE)="","",VLOOKUP(Fri_W2[[#This Row],[Employee Name]],'Base Schedules'!$A$1:$AW$44,33,FALSE)),"")</f>
        <v>-</v>
      </c>
      <c r="AI43" s="184" t="str">
        <f>IFERROR(IF(VLOOKUP(Fri_W2[[#This Row],[Employee Name]],'Base Schedules'!$A$1:$AW$44,34,FALSE)="","",VLOOKUP(Fri_W2[[#This Row],[Employee Name]],'Base Schedules'!$A$1:$AW$44,34,FALSE)),"")</f>
        <v>-</v>
      </c>
      <c r="AJ43" s="184" t="str">
        <f>IFERROR(IF(VLOOKUP(Fri_W2[[#This Row],[Employee Name]],'Base Schedules'!$A$1:$AW$44,35,FALSE)="","",VLOOKUP(Fri_W2[[#This Row],[Employee Name]],'Base Schedules'!$A$1:$AW$44,35,FALSE)),"")</f>
        <v>-</v>
      </c>
      <c r="AK43" s="184" t="str">
        <f>IFERROR(IF(VLOOKUP(Fri_W2[[#This Row],[Employee Name]],'Base Schedules'!$A$1:$AW$44,36,FALSE)="","",VLOOKUP(Fri_W2[[#This Row],[Employee Name]],'Base Schedules'!$A$1:$AW$44,36,FALSE)),"")</f>
        <v>-</v>
      </c>
      <c r="AL43" s="184" t="str">
        <f>IFERROR(IF(VLOOKUP(Fri_W2[[#This Row],[Employee Name]],'Base Schedules'!$A$1:$AW$44,37,FALSE)="","",VLOOKUP(Fri_W2[[#This Row],[Employee Name]],'Base Schedules'!$A$1:$AW$44,37,FALSE)),"")</f>
        <v>-</v>
      </c>
      <c r="AM43" s="184" t="str">
        <f>IFERROR(IF(VLOOKUP(Fri_W2[[#This Row],[Employee Name]],'Base Schedules'!$A$1:$AW$44,38,FALSE)="","",VLOOKUP(Fri_W2[[#This Row],[Employee Name]],'Base Schedules'!$A$1:$AW$44,38,FALSE)),"")</f>
        <v>-</v>
      </c>
      <c r="AN43" s="184" t="str">
        <f>IFERROR(IF(VLOOKUP(Fri_W2[[#This Row],[Employee Name]],'Base Schedules'!$A$1:$AW$44,39,FALSE)="","",VLOOKUP(Fri_W2[[#This Row],[Employee Name]],'Base Schedules'!$A$1:$AW$44,39,FALSE)),"")</f>
        <v>Coaching</v>
      </c>
      <c r="AO43" s="184" t="str">
        <f>IFERROR(IF(VLOOKUP(Fri_W2[[#This Row],[Employee Name]],'Base Schedules'!$A$1:$AW$44,40,FALSE)="","",VLOOKUP(Fri_W2[[#This Row],[Employee Name]],'Base Schedules'!$A$1:$AW$44,40,FALSE)),"")</f>
        <v>Coaching</v>
      </c>
      <c r="AP43" s="184" t="str">
        <f>IFERROR(IF(VLOOKUP(Fri_W2[[#This Row],[Employee Name]],'Base Schedules'!$A$1:$AW$44,41,FALSE)="","",VLOOKUP(Fri_W2[[#This Row],[Employee Name]],'Base Schedules'!$A$1:$AW$44,41,FALSE)),"")</f>
        <v>Coaching</v>
      </c>
      <c r="AQ43" s="184" t="str">
        <f>IFERROR(IF(VLOOKUP(Fri_W2[[#This Row],[Employee Name]],'Base Schedules'!$A$1:$AW$44,42,FALSE)="","",VLOOKUP(Fri_W2[[#This Row],[Employee Name]],'Base Schedules'!$A$1:$AW$44,42,FALSE)),"")</f>
        <v>Coaching</v>
      </c>
      <c r="AR43" s="184" t="str">
        <f>IFERROR(IF(VLOOKUP(Fri_W2[[#This Row],[Employee Name]],'Base Schedules'!$A$1:$AW$44,43,FALSE)="","",VLOOKUP(Fri_W2[[#This Row],[Employee Name]],'Base Schedules'!$A$1:$AW$44,43,FALSE)),"")</f>
        <v>-</v>
      </c>
      <c r="AS43" s="184" t="str">
        <f>IFERROR(IF(VLOOKUP(Fri_W2[[#This Row],[Employee Name]],'Base Schedules'!$A$1:$AW$44,44,FALSE)="","",VLOOKUP(Fri_W2[[#This Row],[Employee Name]],'Base Schedules'!$A$1:$AW$44,44,FALSE)),"")</f>
        <v>-</v>
      </c>
      <c r="AT43" s="184" t="str">
        <f>IFERROR(IF(VLOOKUP(Fri_W2[[#This Row],[Employee Name]],'Base Schedules'!$A$1:$AW$44,45,FALSE)="","",VLOOKUP(Fri_W2[[#This Row],[Employee Name]],'Base Schedules'!$A$1:$AW$44,45,FALSE)),"")</f>
        <v>-</v>
      </c>
      <c r="AU43" s="184" t="str">
        <f>IFERROR(IF(VLOOKUP(Fri_W2[[#This Row],[Employee Name]],'Base Schedules'!$A$1:$AW$44,46,FALSE)="","",VLOOKUP(Fri_W2[[#This Row],[Employee Name]],'Base Schedules'!$A$1:$AW$44,46,FALSE)),"")</f>
        <v>-</v>
      </c>
      <c r="AV43" s="184" t="str">
        <f>IFERROR(IF(VLOOKUP(Fri_W2[[#This Row],[Employee Name]],'Base Schedules'!$A$1:$AW$44,47,FALSE)="","",VLOOKUP(Fri_W2[[#This Row],[Employee Name]],'Base Schedules'!$A$1:$AW$44,47,FALSE)),"")</f>
        <v>-</v>
      </c>
      <c r="AW43" s="184" t="str">
        <f>IFERROR(IF(VLOOKUP(Fri_W2[[#This Row],[Employee Name]],'Base Schedules'!$A$1:$AW$44,48,FALSE)="","",VLOOKUP(Fri_W2[[#This Row],[Employee Name]],'Base Schedules'!$A$1:$AW$44,48,FALSE)),"")</f>
        <v>-</v>
      </c>
      <c r="AX43" s="184" t="str">
        <f>IFERROR(IF(VLOOKUP(Fri_W2[[#This Row],[Employee Name]],'Base Schedules'!$A$1:$AW$44,49,FALSE)="","",VLOOKUP(Fri_W2[[#This Row],[Employee Name]],'Base Schedules'!$A$1:$AW$44,49,FALSE)),"")</f>
        <v/>
      </c>
      <c r="AY43" s="159" t="str">
        <f t="shared" si="2"/>
        <v>Donaca, Jeff</v>
      </c>
    </row>
    <row r="44" spans="1:51" s="44" customFormat="1" ht="12" customHeight="1" x14ac:dyDescent="0.2">
      <c r="A44" s="39" t="str">
        <f>IF(B44="","",INDEX(TeamList[],MATCH($B44,TeamList[[Employee Name]:[Employee Name]],0),MATCH("Manager",TeamList[#Headers],0)))</f>
        <v>Olson, Katherine</v>
      </c>
      <c r="B44" s="201" t="s">
        <v>235</v>
      </c>
      <c r="C44" s="257" t="str">
        <f>_xlfn.IFNA(VLOOKUP(Fri_W2[[#This Row],[Employee Name]],'Base Schedules'!A:B,2,FALSE),"")</f>
        <v>Lead</v>
      </c>
      <c r="D44" s="274">
        <f>_xlfn.IFNA(VLOOKUP(Fri_W2[[#This Row],[Employee Name]],'Base Schedules'!A:C,3,FALSE),"")</f>
        <v>1530</v>
      </c>
      <c r="E44" s="274">
        <f>_xlfn.IFNA(VLOOKUP(Fri_W2[[#This Row],[Employee Name]],'Base Schedules'!A:D,4,FALSE),"")</f>
        <v>0</v>
      </c>
      <c r="F44" s="142">
        <f>IF(Fri_W2[[#This Row],[Employee Name]]="","",IF(Fri_W2[[#This Row],[Dept]]="Supervisor",COUNTIFS($J44:$AX44,"*HL*",$J44:$AX44,"&lt;&gt;"&amp;"pHL"),COUNTIFS($J44:$AX44,"*HL*",$J44:$AX44,"&lt;&gt;"&amp;"*pHL*",$J44:$AX44,"&lt;&gt;"&amp;"pB1 HL",$J44:$AX44,"&lt;&gt;"&amp;"pB2 HL")-SUM(COUNTIFS($J44:$AX44,"*HL B1*",$J44:$AX44,"&lt;&gt;"&amp;"pHL B1")*0.5,COUNTIFS($J44:$AX44,"*HL B2*",$J44:$AX44,"&lt;&gt;"&amp;"pHL B2")*0.5,COUNTIFS($J44:$AX44,"*B1 HL*",$J44:$AX44,"&lt;&gt;"&amp;"pB1 HL")*0.5,COUNTIFS($J44:$AX44,"*B2 HL*",$J44:$AX44,"&lt;&gt;"&amp;"pB2 HL")*0.5)))</f>
        <v>7.5</v>
      </c>
      <c r="G44" s="142">
        <f t="shared" si="0"/>
        <v>0</v>
      </c>
      <c r="H44" s="142">
        <f t="shared" si="1"/>
        <v>8</v>
      </c>
      <c r="I44" s="142">
        <f>IF(Fri_W2[[#This Row],[Employee Name]]="","",IF(Fri_W2[[#This Row],[Dept]]="Supervisor",SUM(COUNTIFS($J44:$AX44,"RTA*",$J44:$AX44,"&lt;&gt;"&amp;"pRTA"),COUNTIFS($J44:$AX44,"*CRTA*",$J44:$AX44,"&lt;&gt;"&amp;"pCRTA")),COUNTIFS($J44:$AX44,"*RNNR*",$J44:$AX44,"&lt;&gt;"&amp;"*pRNNR*",$J44:$AX44,"&lt;&gt;"&amp;"pB1 RNNR",$J44:$AX44,"&lt;&gt;"&amp;"pB2 RNNR")-SUM(COUNTIFS($J44:$AX44,"*RNNR B1*",$J44:$AX44,"&lt;&gt;"&amp;"pRNNR B1")*0.5,COUNTIFS($J44:$AX44,"*RNNR B2*",$J44:$AX44,"&lt;&gt;"&amp;"pRNNR B2")*0.5,COUNTIFS($J44:$AX44,"*B1 RNNR*",$J44:$AX44,"&lt;&gt;"&amp;"pB1 RNNR")*0.5,COUNTIFS($J44:$AX44,"*B2 RNNR*",$J44:$AX44,"&lt;&gt;"&amp;"pB2 RNNR")*0.5)))</f>
        <v>0</v>
      </c>
      <c r="J44" s="184" t="str">
        <f>IFERROR(IF(VLOOKUP(Fri_W2[[#This Row],[Employee Name]],'Base Schedules'!$A$1:$AW$44,9,FALSE)="","",VLOOKUP(Fri_W2[[#This Row],[Employee Name]],'Base Schedules'!$A$1:$AW$44,9,FALSE)),"")</f>
        <v/>
      </c>
      <c r="K44" s="184" t="str">
        <f>IFERROR(IF(VLOOKUP(Fri_W2[[#This Row],[Employee Name]],'Base Schedules'!$A$1:$AW$44,10,FALSE)="","",VLOOKUP(Fri_W2[[#This Row],[Employee Name]],'Base Schedules'!$A$1:$AW$44,10,FALSE)),"")</f>
        <v/>
      </c>
      <c r="L44" s="184" t="str">
        <f>IFERROR(IF(VLOOKUP(Fri_W2[[#This Row],[Employee Name]],'Base Schedules'!$A$1:$AW$44,11,FALSE)="","",VLOOKUP(Fri_W2[[#This Row],[Employee Name]],'Base Schedules'!$A$1:$AW$44,11,FALSE)),"")</f>
        <v/>
      </c>
      <c r="M44" s="184" t="str">
        <f>IFERROR(IF(VLOOKUP(Fri_W2[[#This Row],[Employee Name]],'Base Schedules'!$A$1:$AW$44,12,FALSE)="","",VLOOKUP(Fri_W2[[#This Row],[Employee Name]],'Base Schedules'!$A$1:$AW$44,12,FALSE)),"")</f>
        <v/>
      </c>
      <c r="N44" s="184" t="str">
        <f>IFERROR(IF(VLOOKUP(Fri_W2[[#This Row],[Employee Name]],'Base Schedules'!$A$1:$AW$44,13,FALSE)="","",VLOOKUP(Fri_W2[[#This Row],[Employee Name]],'Base Schedules'!$A$1:$AW$44,13,FALSE)),"")</f>
        <v/>
      </c>
      <c r="O44" s="184" t="str">
        <f>IFERROR(IF(VLOOKUP(Fri_W2[[#This Row],[Employee Name]],'Base Schedules'!$A$1:$AW$44,14,FALSE)="","",VLOOKUP(Fri_W2[[#This Row],[Employee Name]],'Base Schedules'!$A$1:$AW$44,14,FALSE)),"")</f>
        <v/>
      </c>
      <c r="P44" s="184" t="str">
        <f>IFERROR(IF(VLOOKUP(Fri_W2[[#This Row],[Employee Name]],'Base Schedules'!$A$1:$AW$44,15,FALSE)="","",VLOOKUP(Fri_W2[[#This Row],[Employee Name]],'Base Schedules'!$A$1:$AW$44,15,FALSE)),"")</f>
        <v/>
      </c>
      <c r="Q44" s="184" t="str">
        <f>IFERROR(IF(VLOOKUP(Fri_W2[[#This Row],[Employee Name]],'Base Schedules'!$A$1:$AW$44,16,FALSE)="","",VLOOKUP(Fri_W2[[#This Row],[Employee Name]],'Base Schedules'!$A$1:$AW$44,16,FALSE)),"")</f>
        <v/>
      </c>
      <c r="R44" s="184" t="str">
        <f>IFERROR(IF(VLOOKUP(Fri_W2[[#This Row],[Employee Name]],'Base Schedules'!$A$1:$AW$44,17,FALSE)="","",VLOOKUP(Fri_W2[[#This Row],[Employee Name]],'Base Schedules'!$A$1:$AW$44,17,FALSE)),"")</f>
        <v/>
      </c>
      <c r="S44" s="184" t="str">
        <f>IFERROR(IF(VLOOKUP(Fri_W2[[#This Row],[Employee Name]],'Base Schedules'!$A$1:$AW$44,18,FALSE)="","",VLOOKUP(Fri_W2[[#This Row],[Employee Name]],'Base Schedules'!$A$1:$AW$44,18,FALSE)),"")</f>
        <v/>
      </c>
      <c r="T44" s="184" t="str">
        <f>IFERROR(IF(VLOOKUP(Fri_W2[[#This Row],[Employee Name]],'Base Schedules'!$A$1:$AW$44,19,FALSE)="","",VLOOKUP(Fri_W2[[#This Row],[Employee Name]],'Base Schedules'!$A$1:$AW$44,19,FALSE)),"")</f>
        <v/>
      </c>
      <c r="U44" s="184" t="str">
        <f>IFERROR(IF(VLOOKUP(Fri_W2[[#This Row],[Employee Name]],'Base Schedules'!$A$1:$AW$44,20,FALSE)="","",VLOOKUP(Fri_W2[[#This Row],[Employee Name]],'Base Schedules'!$A$1:$AW$44,20,FALSE)),"")</f>
        <v/>
      </c>
      <c r="V44" s="184" t="str">
        <f>IFERROR(IF(VLOOKUP(Fri_W2[[#This Row],[Employee Name]],'Base Schedules'!$A$1:$AW$44,21,FALSE)="","",VLOOKUP(Fri_W2[[#This Row],[Employee Name]],'Base Schedules'!$A$1:$AW$44,21,FALSE)),"")</f>
        <v/>
      </c>
      <c r="W44" s="184" t="str">
        <f>IFERROR(IF(VLOOKUP(Fri_W2[[#This Row],[Employee Name]],'Base Schedules'!$A$1:$AW$44,22,FALSE)="","",VLOOKUP(Fri_W2[[#This Row],[Employee Name]],'Base Schedules'!$A$1:$AW$44,22,FALSE)),"")</f>
        <v/>
      </c>
      <c r="X44" s="184" t="str">
        <f>IFERROR(IF(VLOOKUP(Fri_W2[[#This Row],[Employee Name]],'Base Schedules'!$A$1:$AW$44,23,FALSE)="","",VLOOKUP(Fri_W2[[#This Row],[Employee Name]],'Base Schedules'!$A$1:$AW$44,23,FALSE)),"")</f>
        <v/>
      </c>
      <c r="Y44" s="184" t="str">
        <f>IFERROR(IF(VLOOKUP(Fri_W2[[#This Row],[Employee Name]],'Base Schedules'!$A$1:$AW$44,24,FALSE)="","",VLOOKUP(Fri_W2[[#This Row],[Employee Name]],'Base Schedules'!$A$1:$AW$44,24,FALSE)),"")</f>
        <v/>
      </c>
      <c r="Z44" s="184" t="str">
        <f>IFERROR(IF(VLOOKUP(Fri_W2[[#This Row],[Employee Name]],'Base Schedules'!$A$1:$AW$44,25,FALSE)="","",VLOOKUP(Fri_W2[[#This Row],[Employee Name]],'Base Schedules'!$A$1:$AW$44,25,FALSE)),"")</f>
        <v/>
      </c>
      <c r="AA44" s="184" t="str">
        <f>IFERROR(IF(VLOOKUP(Fri_W2[[#This Row],[Employee Name]],'Base Schedules'!$A$1:$AW$44,26,FALSE)="","",VLOOKUP(Fri_W2[[#This Row],[Employee Name]],'Base Schedules'!$A$1:$AW$44,26,FALSE)),"")</f>
        <v/>
      </c>
      <c r="AB44" s="184" t="str">
        <f>IFERROR(IF(VLOOKUP(Fri_W2[[#This Row],[Employee Name]],'Base Schedules'!$A$1:$AW$44,27,FALSE)="","",VLOOKUP(Fri_W2[[#This Row],[Employee Name]],'Base Schedules'!$A$1:$AW$44,27,FALSE)),"")</f>
        <v/>
      </c>
      <c r="AC44" s="184" t="str">
        <f>IFERROR(IF(VLOOKUP(Fri_W2[[#This Row],[Employee Name]],'Base Schedules'!$A$1:$AW$44,28,FALSE)="","",VLOOKUP(Fri_W2[[#This Row],[Employee Name]],'Base Schedules'!$A$1:$AW$44,28,FALSE)),"")</f>
        <v/>
      </c>
      <c r="AD44" s="184" t="str">
        <f>IFERROR(IF(VLOOKUP(Fri_W2[[#This Row],[Employee Name]],'Base Schedules'!$A$1:$AW$44,29,FALSE)="","",VLOOKUP(Fri_W2[[#This Row],[Employee Name]],'Base Schedules'!$A$1:$AW$44,29,FALSE)),"")</f>
        <v/>
      </c>
      <c r="AE44" s="184" t="str">
        <f>IFERROR(IF(VLOOKUP(Fri_W2[[#This Row],[Employee Name]],'Base Schedules'!$A$1:$AW$44,30,FALSE)="","",VLOOKUP(Fri_W2[[#This Row],[Employee Name]],'Base Schedules'!$A$1:$AW$44,30,FALSE)),"")</f>
        <v>ADM</v>
      </c>
      <c r="AF44" s="184" t="str">
        <f>IFERROR(IF(VLOOKUP(Fri_W2[[#This Row],[Employee Name]],'Base Schedules'!$A$1:$AW$44,31,FALSE)="","",VLOOKUP(Fri_W2[[#This Row],[Employee Name]],'Base Schedules'!$A$1:$AW$44,31,FALSE)),"")</f>
        <v>ADM</v>
      </c>
      <c r="AG44" s="184" t="str">
        <f>IFERROR(IF(VLOOKUP(Fri_W2[[#This Row],[Employee Name]],'Base Schedules'!$A$1:$AW$44,32,FALSE)="","",VLOOKUP(Fri_W2[[#This Row],[Employee Name]],'Base Schedules'!$A$1:$AW$44,32,FALSE)),"")</f>
        <v>ADM</v>
      </c>
      <c r="AH44" s="184" t="str">
        <f>IFERROR(IF(VLOOKUP(Fri_W2[[#This Row],[Employee Name]],'Base Schedules'!$A$1:$AW$44,33,FALSE)="","",VLOOKUP(Fri_W2[[#This Row],[Employee Name]],'Base Schedules'!$A$1:$AW$44,33,FALSE)),"")</f>
        <v>ADM</v>
      </c>
      <c r="AI44" s="184" t="str">
        <f>IFERROR(IF(VLOOKUP(Fri_W2[[#This Row],[Employee Name]],'Base Schedules'!$A$1:$AW$44,34,FALSE)="","",VLOOKUP(Fri_W2[[#This Row],[Employee Name]],'Base Schedules'!$A$1:$AW$44,34,FALSE)),"")</f>
        <v>B1 ADM</v>
      </c>
      <c r="AJ44" s="184" t="str">
        <f>IFERROR(IF(VLOOKUP(Fri_W2[[#This Row],[Employee Name]],'Base Schedules'!$A$1:$AW$44,35,FALSE)="","",VLOOKUP(Fri_W2[[#This Row],[Employee Name]],'Base Schedules'!$A$1:$AW$44,35,FALSE)),"")</f>
        <v>ADM</v>
      </c>
      <c r="AK44" s="184" t="str">
        <f>IFERROR(IF(VLOOKUP(Fri_W2[[#This Row],[Employee Name]],'Base Schedules'!$A$1:$AW$44,36,FALSE)="","",VLOOKUP(Fri_W2[[#This Row],[Employee Name]],'Base Schedules'!$A$1:$AW$44,36,FALSE)),"")</f>
        <v>ADM</v>
      </c>
      <c r="AL44" s="184" t="str">
        <f>IFERROR(IF(VLOOKUP(Fri_W2[[#This Row],[Employee Name]],'Base Schedules'!$A$1:$AW$44,37,FALSE)="","",VLOOKUP(Fri_W2[[#This Row],[Employee Name]],'Base Schedules'!$A$1:$AW$44,37,FALSE)),"")</f>
        <v>ADM</v>
      </c>
      <c r="AM44" s="184" t="str">
        <f>IFERROR(IF(VLOOKUP(Fri_W2[[#This Row],[Employee Name]],'Base Schedules'!$A$1:$AW$44,38,FALSE)="","",VLOOKUP(Fri_W2[[#This Row],[Employee Name]],'Base Schedules'!$A$1:$AW$44,38,FALSE)),"")</f>
        <v>LUNCH</v>
      </c>
      <c r="AN44" s="184" t="str">
        <f>IFERROR(IF(VLOOKUP(Fri_W2[[#This Row],[Employee Name]],'Base Schedules'!$A$1:$AW$44,39,FALSE)="","",VLOOKUP(Fri_W2[[#This Row],[Employee Name]],'Base Schedules'!$A$1:$AW$44,39,FALSE)),"")</f>
        <v>HL</v>
      </c>
      <c r="AO44" s="184" t="str">
        <f>IFERROR(IF(VLOOKUP(Fri_W2[[#This Row],[Employee Name]],'Base Schedules'!$A$1:$AW$44,40,FALSE)="","",VLOOKUP(Fri_W2[[#This Row],[Employee Name]],'Base Schedules'!$A$1:$AW$44,40,FALSE)),"")</f>
        <v>HL</v>
      </c>
      <c r="AP44" s="184" t="str">
        <f>IFERROR(IF(VLOOKUP(Fri_W2[[#This Row],[Employee Name]],'Base Schedules'!$A$1:$AW$44,41,FALSE)="","",VLOOKUP(Fri_W2[[#This Row],[Employee Name]],'Base Schedules'!$A$1:$AW$44,41,FALSE)),"")</f>
        <v>HL</v>
      </c>
      <c r="AQ44" s="184" t="str">
        <f>IFERROR(IF(VLOOKUP(Fri_W2[[#This Row],[Employee Name]],'Base Schedules'!$A$1:$AW$44,42,FALSE)="","",VLOOKUP(Fri_W2[[#This Row],[Employee Name]],'Base Schedules'!$A$1:$AW$44,42,FALSE)),"")</f>
        <v>HL</v>
      </c>
      <c r="AR44" s="184" t="str">
        <f>IFERROR(IF(VLOOKUP(Fri_W2[[#This Row],[Employee Name]],'Base Schedules'!$A$1:$AW$44,43,FALSE)="","",VLOOKUP(Fri_W2[[#This Row],[Employee Name]],'Base Schedules'!$A$1:$AW$44,43,FALSE)),"")</f>
        <v>HL B2</v>
      </c>
      <c r="AS44" s="184" t="str">
        <f>IFERROR(IF(VLOOKUP(Fri_W2[[#This Row],[Employee Name]],'Base Schedules'!$A$1:$AW$44,44,FALSE)="","",VLOOKUP(Fri_W2[[#This Row],[Employee Name]],'Base Schedules'!$A$1:$AW$44,44,FALSE)),"")</f>
        <v>HL</v>
      </c>
      <c r="AT44" s="184" t="str">
        <f>IFERROR(IF(VLOOKUP(Fri_W2[[#This Row],[Employee Name]],'Base Schedules'!$A$1:$AW$44,45,FALSE)="","",VLOOKUP(Fri_W2[[#This Row],[Employee Name]],'Base Schedules'!$A$1:$AW$44,45,FALSE)),"")</f>
        <v>HL</v>
      </c>
      <c r="AU44" s="184" t="str">
        <f>IFERROR(IF(VLOOKUP(Fri_W2[[#This Row],[Employee Name]],'Base Schedules'!$A$1:$AW$44,46,FALSE)="","",VLOOKUP(Fri_W2[[#This Row],[Employee Name]],'Base Schedules'!$A$1:$AW$44,46,FALSE)),"")</f>
        <v>HL</v>
      </c>
      <c r="AV44" s="184" t="str">
        <f>IFERROR(IF(VLOOKUP(Fri_W2[[#This Row],[Employee Name]],'Base Schedules'!$A$1:$AW$44,47,FALSE)="","",VLOOKUP(Fri_W2[[#This Row],[Employee Name]],'Base Schedules'!$A$1:$AW$44,47,FALSE)),"")</f>
        <v/>
      </c>
      <c r="AW44" s="184" t="str">
        <f>IFERROR(IF(VLOOKUP(Fri_W2[[#This Row],[Employee Name]],'Base Schedules'!$A$1:$AW$44,48,FALSE)="","",VLOOKUP(Fri_W2[[#This Row],[Employee Name]],'Base Schedules'!$A$1:$AW$44,48,FALSE)),"")</f>
        <v/>
      </c>
      <c r="AX44" s="184" t="str">
        <f>IFERROR(IF(VLOOKUP(Fri_W2[[#This Row],[Employee Name]],'Base Schedules'!$A$1:$AW$44,49,FALSE)="","",VLOOKUP(Fri_W2[[#This Row],[Employee Name]],'Base Schedules'!$A$1:$AW$44,49,FALSE)),"")</f>
        <v/>
      </c>
      <c r="AY44" s="275" t="str">
        <f t="shared" si="2"/>
        <v>Britton, Michael</v>
      </c>
    </row>
    <row r="45" spans="1:51" s="44" customFormat="1" ht="12" customHeight="1" thickBot="1" x14ac:dyDescent="0.25">
      <c r="A45" s="39" t="str">
        <f>IF(B45="","",INDEX(TeamList[],MATCH($B45,TeamList[[Employee Name]:[Employee Name]],0),MATCH("Manager",TeamList[#Headers],0)))</f>
        <v>Olson, Katherine</v>
      </c>
      <c r="B45" s="201" t="s">
        <v>229</v>
      </c>
      <c r="C45" s="257" t="str">
        <f>_xlfn.IFNA(VLOOKUP(Fri_W2[[#This Row],[Employee Name]],'Base Schedules'!A:B,2,FALSE),"")</f>
        <v>Lead</v>
      </c>
      <c r="D45" s="274">
        <f>_xlfn.IFNA(VLOOKUP(Fri_W2[[#This Row],[Employee Name]],'Base Schedules'!A:C,3,FALSE),"")</f>
        <v>1630</v>
      </c>
      <c r="E45" s="274">
        <f>_xlfn.IFNA(VLOOKUP(Fri_W2[[#This Row],[Employee Name]],'Base Schedules'!A:D,4,FALSE),"")</f>
        <v>100</v>
      </c>
      <c r="F45" s="142">
        <f>IF(Fri_W2[[#This Row],[Employee Name]]="","",IF(Fri_W2[[#This Row],[Dept]]="Supervisor",COUNTIFS($J45:$AX45,"*HL*",$J45:$AX45,"&lt;&gt;"&amp;"pHL"),COUNTIFS($J45:$AX45,"*HL*",$J45:$AX45,"&lt;&gt;"&amp;"*pHL*",$J45:$AX45,"&lt;&gt;"&amp;"pB1 HL",$J45:$AX45,"&lt;&gt;"&amp;"pB2 HL")-SUM(COUNTIFS($J45:$AX45,"*HL B1*",$J45:$AX45,"&lt;&gt;"&amp;"pHL B1")*0.5,COUNTIFS($J45:$AX45,"*HL B2*",$J45:$AX45,"&lt;&gt;"&amp;"pHL B2")*0.5,COUNTIFS($J45:$AX45,"*B1 HL*",$J45:$AX45,"&lt;&gt;"&amp;"pB1 HL")*0.5,COUNTIFS($J45:$AX45,"*B2 HL*",$J45:$AX45,"&lt;&gt;"&amp;"pB2 HL")*0.5)))</f>
        <v>7.5</v>
      </c>
      <c r="G45" s="142">
        <f t="shared" si="0"/>
        <v>0</v>
      </c>
      <c r="H45" s="142">
        <f t="shared" si="1"/>
        <v>8</v>
      </c>
      <c r="I45" s="142">
        <f>IF(Fri_W2[[#This Row],[Employee Name]]="","",IF(Fri_W2[[#This Row],[Dept]]="Supervisor",SUM(COUNTIFS($J45:$AX45,"RTA*",$J45:$AX45,"&lt;&gt;"&amp;"pRTA"),COUNTIFS($J45:$AX45,"*CRTA*",$J45:$AX45,"&lt;&gt;"&amp;"pCRTA")),COUNTIFS($J45:$AX45,"*RNNR*",$J45:$AX45,"&lt;&gt;"&amp;"*pRNNR*",$J45:$AX45,"&lt;&gt;"&amp;"pB1 RNNR",$J45:$AX45,"&lt;&gt;"&amp;"pB2 RNNR")-SUM(COUNTIFS($J45:$AX45,"*RNNR B1*",$J45:$AX45,"&lt;&gt;"&amp;"pRNNR B1")*0.5,COUNTIFS($J45:$AX45,"*RNNR B2*",$J45:$AX45,"&lt;&gt;"&amp;"pRNNR B2")*0.5,COUNTIFS($J45:$AX45,"*B1 RNNR*",$J45:$AX45,"&lt;&gt;"&amp;"pB1 RNNR")*0.5,COUNTIFS($J45:$AX45,"*B2 RNNR*",$J45:$AX45,"&lt;&gt;"&amp;"pB2 RNNR")*0.5)))</f>
        <v>0</v>
      </c>
      <c r="J45" s="184" t="str">
        <f>IFERROR(IF(VLOOKUP(Fri_W2[[#This Row],[Employee Name]],'Base Schedules'!$A$1:$AW$44,9,FALSE)="","",VLOOKUP(Fri_W2[[#This Row],[Employee Name]],'Base Schedules'!$A$1:$AW$44,9,FALSE)),"")</f>
        <v/>
      </c>
      <c r="K45" s="184" t="str">
        <f>IFERROR(IF(VLOOKUP(Fri_W2[[#This Row],[Employee Name]],'Base Schedules'!$A$1:$AW$44,10,FALSE)="","",VLOOKUP(Fri_W2[[#This Row],[Employee Name]],'Base Schedules'!$A$1:$AW$44,10,FALSE)),"")</f>
        <v/>
      </c>
      <c r="L45" s="184" t="str">
        <f>IFERROR(IF(VLOOKUP(Fri_W2[[#This Row],[Employee Name]],'Base Schedules'!$A$1:$AW$44,11,FALSE)="","",VLOOKUP(Fri_W2[[#This Row],[Employee Name]],'Base Schedules'!$A$1:$AW$44,11,FALSE)),"")</f>
        <v/>
      </c>
      <c r="M45" s="184" t="str">
        <f>IFERROR(IF(VLOOKUP(Fri_W2[[#This Row],[Employee Name]],'Base Schedules'!$A$1:$AW$44,12,FALSE)="","",VLOOKUP(Fri_W2[[#This Row],[Employee Name]],'Base Schedules'!$A$1:$AW$44,12,FALSE)),"")</f>
        <v/>
      </c>
      <c r="N45" s="184" t="str">
        <f>IFERROR(IF(VLOOKUP(Fri_W2[[#This Row],[Employee Name]],'Base Schedules'!$A$1:$AW$44,13,FALSE)="","",VLOOKUP(Fri_W2[[#This Row],[Employee Name]],'Base Schedules'!$A$1:$AW$44,13,FALSE)),"")</f>
        <v/>
      </c>
      <c r="O45" s="184" t="str">
        <f>IFERROR(IF(VLOOKUP(Fri_W2[[#This Row],[Employee Name]],'Base Schedules'!$A$1:$AW$44,14,FALSE)="","",VLOOKUP(Fri_W2[[#This Row],[Employee Name]],'Base Schedules'!$A$1:$AW$44,14,FALSE)),"")</f>
        <v/>
      </c>
      <c r="P45" s="184" t="str">
        <f>IFERROR(IF(VLOOKUP(Fri_W2[[#This Row],[Employee Name]],'Base Schedules'!$A$1:$AW$44,15,FALSE)="","",VLOOKUP(Fri_W2[[#This Row],[Employee Name]],'Base Schedules'!$A$1:$AW$44,15,FALSE)),"")</f>
        <v/>
      </c>
      <c r="Q45" s="184" t="str">
        <f>IFERROR(IF(VLOOKUP(Fri_W2[[#This Row],[Employee Name]],'Base Schedules'!$A$1:$AW$44,16,FALSE)="","",VLOOKUP(Fri_W2[[#This Row],[Employee Name]],'Base Schedules'!$A$1:$AW$44,16,FALSE)),"")</f>
        <v/>
      </c>
      <c r="R45" s="184" t="str">
        <f>IFERROR(IF(VLOOKUP(Fri_W2[[#This Row],[Employee Name]],'Base Schedules'!$A$1:$AW$44,17,FALSE)="","",VLOOKUP(Fri_W2[[#This Row],[Employee Name]],'Base Schedules'!$A$1:$AW$44,17,FALSE)),"")</f>
        <v/>
      </c>
      <c r="S45" s="184" t="str">
        <f>IFERROR(IF(VLOOKUP(Fri_W2[[#This Row],[Employee Name]],'Base Schedules'!$A$1:$AW$44,18,FALSE)="","",VLOOKUP(Fri_W2[[#This Row],[Employee Name]],'Base Schedules'!$A$1:$AW$44,18,FALSE)),"")</f>
        <v/>
      </c>
      <c r="T45" s="184" t="str">
        <f>IFERROR(IF(VLOOKUP(Fri_W2[[#This Row],[Employee Name]],'Base Schedules'!$A$1:$AW$44,19,FALSE)="","",VLOOKUP(Fri_W2[[#This Row],[Employee Name]],'Base Schedules'!$A$1:$AW$44,19,FALSE)),"")</f>
        <v/>
      </c>
      <c r="U45" s="184" t="str">
        <f>IFERROR(IF(VLOOKUP(Fri_W2[[#This Row],[Employee Name]],'Base Schedules'!$A$1:$AW$44,20,FALSE)="","",VLOOKUP(Fri_W2[[#This Row],[Employee Name]],'Base Schedules'!$A$1:$AW$44,20,FALSE)),"")</f>
        <v/>
      </c>
      <c r="V45" s="184" t="str">
        <f>IFERROR(IF(VLOOKUP(Fri_W2[[#This Row],[Employee Name]],'Base Schedules'!$A$1:$AW$44,21,FALSE)="","",VLOOKUP(Fri_W2[[#This Row],[Employee Name]],'Base Schedules'!$A$1:$AW$44,21,FALSE)),"")</f>
        <v/>
      </c>
      <c r="W45" s="184" t="str">
        <f>IFERROR(IF(VLOOKUP(Fri_W2[[#This Row],[Employee Name]],'Base Schedules'!$A$1:$AW$44,22,FALSE)="","",VLOOKUP(Fri_W2[[#This Row],[Employee Name]],'Base Schedules'!$A$1:$AW$44,22,FALSE)),"")</f>
        <v/>
      </c>
      <c r="X45" s="184" t="str">
        <f>IFERROR(IF(VLOOKUP(Fri_W2[[#This Row],[Employee Name]],'Base Schedules'!$A$1:$AW$44,23,FALSE)="","",VLOOKUP(Fri_W2[[#This Row],[Employee Name]],'Base Schedules'!$A$1:$AW$44,23,FALSE)),"")</f>
        <v/>
      </c>
      <c r="Y45" s="184" t="str">
        <f>IFERROR(IF(VLOOKUP(Fri_W2[[#This Row],[Employee Name]],'Base Schedules'!$A$1:$AW$44,24,FALSE)="","",VLOOKUP(Fri_W2[[#This Row],[Employee Name]],'Base Schedules'!$A$1:$AW$44,24,FALSE)),"")</f>
        <v/>
      </c>
      <c r="Z45" s="184" t="str">
        <f>IFERROR(IF(VLOOKUP(Fri_W2[[#This Row],[Employee Name]],'Base Schedules'!$A$1:$AW$44,25,FALSE)="","",VLOOKUP(Fri_W2[[#This Row],[Employee Name]],'Base Schedules'!$A$1:$AW$44,25,FALSE)),"")</f>
        <v/>
      </c>
      <c r="AA45" s="184" t="str">
        <f>IFERROR(IF(VLOOKUP(Fri_W2[[#This Row],[Employee Name]],'Base Schedules'!$A$1:$AW$44,26,FALSE)="","",VLOOKUP(Fri_W2[[#This Row],[Employee Name]],'Base Schedules'!$A$1:$AW$44,26,FALSE)),"")</f>
        <v/>
      </c>
      <c r="AB45" s="184" t="str">
        <f>IFERROR(IF(VLOOKUP(Fri_W2[[#This Row],[Employee Name]],'Base Schedules'!$A$1:$AW$44,27,FALSE)="","",VLOOKUP(Fri_W2[[#This Row],[Employee Name]],'Base Schedules'!$A$1:$AW$44,27,FALSE)),"")</f>
        <v/>
      </c>
      <c r="AC45" s="184" t="str">
        <f>IFERROR(IF(VLOOKUP(Fri_W2[[#This Row],[Employee Name]],'Base Schedules'!$A$1:$AW$44,28,FALSE)="","",VLOOKUP(Fri_W2[[#This Row],[Employee Name]],'Base Schedules'!$A$1:$AW$44,28,FALSE)),"")</f>
        <v/>
      </c>
      <c r="AD45" s="184" t="str">
        <f>IFERROR(IF(VLOOKUP(Fri_W2[[#This Row],[Employee Name]],'Base Schedules'!$A$1:$AW$44,29,FALSE)="","",VLOOKUP(Fri_W2[[#This Row],[Employee Name]],'Base Schedules'!$A$1:$AW$44,29,FALSE)),"")</f>
        <v/>
      </c>
      <c r="AE45" s="184" t="str">
        <f>IFERROR(IF(VLOOKUP(Fri_W2[[#This Row],[Employee Name]],'Base Schedules'!$A$1:$AW$44,30,FALSE)="","",VLOOKUP(Fri_W2[[#This Row],[Employee Name]],'Base Schedules'!$A$1:$AW$44,30,FALSE)),"")</f>
        <v/>
      </c>
      <c r="AF45" s="184" t="str">
        <f>IFERROR(IF(VLOOKUP(Fri_W2[[#This Row],[Employee Name]],'Base Schedules'!$A$1:$AW$44,31,FALSE)="","",VLOOKUP(Fri_W2[[#This Row],[Employee Name]],'Base Schedules'!$A$1:$AW$44,31,FALSE)),"")</f>
        <v/>
      </c>
      <c r="AG45" s="184" t="str">
        <f>IFERROR(IF(VLOOKUP(Fri_W2[[#This Row],[Employee Name]],'Base Schedules'!$A$1:$AW$44,32,FALSE)="","",VLOOKUP(Fri_W2[[#This Row],[Employee Name]],'Base Schedules'!$A$1:$AW$44,32,FALSE)),"")</f>
        <v>ADM</v>
      </c>
      <c r="AH45" s="184" t="str">
        <f>IFERROR(IF(VLOOKUP(Fri_W2[[#This Row],[Employee Name]],'Base Schedules'!$A$1:$AW$44,33,FALSE)="","",VLOOKUP(Fri_W2[[#This Row],[Employee Name]],'Base Schedules'!$A$1:$AW$44,33,FALSE)),"")</f>
        <v>ADM</v>
      </c>
      <c r="AI45" s="184" t="str">
        <f>IFERROR(IF(VLOOKUP(Fri_W2[[#This Row],[Employee Name]],'Base Schedules'!$A$1:$AW$44,34,FALSE)="","",VLOOKUP(Fri_W2[[#This Row],[Employee Name]],'Base Schedules'!$A$1:$AW$44,34,FALSE)),"")</f>
        <v>ADM</v>
      </c>
      <c r="AJ45" s="184" t="str">
        <f>IFERROR(IF(VLOOKUP(Fri_W2[[#This Row],[Employee Name]],'Base Schedules'!$A$1:$AW$44,35,FALSE)="","",VLOOKUP(Fri_W2[[#This Row],[Employee Name]],'Base Schedules'!$A$1:$AW$44,35,FALSE)),"")</f>
        <v>ADM B1</v>
      </c>
      <c r="AK45" s="184" t="str">
        <f>IFERROR(IF(VLOOKUP(Fri_W2[[#This Row],[Employee Name]],'Base Schedules'!$A$1:$AW$44,36,FALSE)="","",VLOOKUP(Fri_W2[[#This Row],[Employee Name]],'Base Schedules'!$A$1:$AW$44,36,FALSE)),"")</f>
        <v>ADM</v>
      </c>
      <c r="AL45" s="184" t="str">
        <f>IFERROR(IF(VLOOKUP(Fri_W2[[#This Row],[Employee Name]],'Base Schedules'!$A$1:$AW$44,37,FALSE)="","",VLOOKUP(Fri_W2[[#This Row],[Employee Name]],'Base Schedules'!$A$1:$AW$44,37,FALSE)),"")</f>
        <v>ADM</v>
      </c>
      <c r="AM45" s="184" t="str">
        <f>IFERROR(IF(VLOOKUP(Fri_W2[[#This Row],[Employee Name]],'Base Schedules'!$A$1:$AW$44,38,FALSE)="","",VLOOKUP(Fri_W2[[#This Row],[Employee Name]],'Base Schedules'!$A$1:$AW$44,38,FALSE)),"")</f>
        <v>ADM</v>
      </c>
      <c r="AN45" s="184" t="str">
        <f>IFERROR(IF(VLOOKUP(Fri_W2[[#This Row],[Employee Name]],'Base Schedules'!$A$1:$AW$44,39,FALSE)="","",VLOOKUP(Fri_W2[[#This Row],[Employee Name]],'Base Schedules'!$A$1:$AW$44,39,FALSE)),"")</f>
        <v>LUNCH</v>
      </c>
      <c r="AO45" s="184" t="str">
        <f>IFERROR(IF(VLOOKUP(Fri_W2[[#This Row],[Employee Name]],'Base Schedules'!$A$1:$AW$44,40,FALSE)="","",VLOOKUP(Fri_W2[[#This Row],[Employee Name]],'Base Schedules'!$A$1:$AW$44,40,FALSE)),"")</f>
        <v>ADM</v>
      </c>
      <c r="AP45" s="184" t="str">
        <f>IFERROR(IF(VLOOKUP(Fri_W2[[#This Row],[Employee Name]],'Base Schedules'!$A$1:$AW$44,41,FALSE)="","",VLOOKUP(Fri_W2[[#This Row],[Employee Name]],'Base Schedules'!$A$1:$AW$44,41,FALSE)),"")</f>
        <v>HL</v>
      </c>
      <c r="AQ45" s="184" t="str">
        <f>IFERROR(IF(VLOOKUP(Fri_W2[[#This Row],[Employee Name]],'Base Schedules'!$A$1:$AW$44,42,FALSE)="","",VLOOKUP(Fri_W2[[#This Row],[Employee Name]],'Base Schedules'!$A$1:$AW$44,42,FALSE)),"")</f>
        <v>HL</v>
      </c>
      <c r="AR45" s="184" t="str">
        <f>IFERROR(IF(VLOOKUP(Fri_W2[[#This Row],[Employee Name]],'Base Schedules'!$A$1:$AW$44,43,FALSE)="","",VLOOKUP(Fri_W2[[#This Row],[Employee Name]],'Base Schedules'!$A$1:$AW$44,43,FALSE)),"")</f>
        <v>HL</v>
      </c>
      <c r="AS45" s="184" t="str">
        <f>IFERROR(IF(VLOOKUP(Fri_W2[[#This Row],[Employee Name]],'Base Schedules'!$A$1:$AW$44,44,FALSE)="","",VLOOKUP(Fri_W2[[#This Row],[Employee Name]],'Base Schedules'!$A$1:$AW$44,44,FALSE)),"")</f>
        <v>B2 HL</v>
      </c>
      <c r="AT45" s="184" t="str">
        <f>IFERROR(IF(VLOOKUP(Fri_W2[[#This Row],[Employee Name]],'Base Schedules'!$A$1:$AW$44,45,FALSE)="","",VLOOKUP(Fri_W2[[#This Row],[Employee Name]],'Base Schedules'!$A$1:$AW$44,45,FALSE)),"")</f>
        <v>HL</v>
      </c>
      <c r="AU45" s="184" t="str">
        <f>IFERROR(IF(VLOOKUP(Fri_W2[[#This Row],[Employee Name]],'Base Schedules'!$A$1:$AW$44,46,FALSE)="","",VLOOKUP(Fri_W2[[#This Row],[Employee Name]],'Base Schedules'!$A$1:$AW$44,46,FALSE)),"")</f>
        <v>HL</v>
      </c>
      <c r="AV45" s="184" t="str">
        <f>IFERROR(IF(VLOOKUP(Fri_W2[[#This Row],[Employee Name]],'Base Schedules'!$A$1:$AW$44,47,FALSE)="","",VLOOKUP(Fri_W2[[#This Row],[Employee Name]],'Base Schedules'!$A$1:$AW$44,47,FALSE)),"")</f>
        <v>HL</v>
      </c>
      <c r="AW45" s="184" t="str">
        <f>IFERROR(IF(VLOOKUP(Fri_W2[[#This Row],[Employee Name]],'Base Schedules'!$A$1:$AW$44,48,FALSE)="","",VLOOKUP(Fri_W2[[#This Row],[Employee Name]],'Base Schedules'!$A$1:$AW$44,48,FALSE)),"")</f>
        <v>HL</v>
      </c>
      <c r="AX45" s="184" t="str">
        <f>IFERROR(IF(VLOOKUP(Fri_W2[[#This Row],[Employee Name]],'Base Schedules'!$A$1:$AW$44,49,FALSE)="","",VLOOKUP(Fri_W2[[#This Row],[Employee Name]],'Base Schedules'!$A$1:$AW$44,49,FALSE)),"")</f>
        <v/>
      </c>
      <c r="AY45" s="159" t="str">
        <f t="shared" si="2"/>
        <v>Fairbrother, Amy</v>
      </c>
    </row>
    <row r="46" spans="1:51" s="44" customFormat="1" ht="12" hidden="1" customHeight="1" x14ac:dyDescent="0.2">
      <c r="A46" s="39" t="str">
        <f>IF(B46="","",INDEX(TeamList[],MATCH($B46,TeamList[[Employee Name]:[Employee Name]],0),MATCH("Manager",TeamList[#Headers],0)))</f>
        <v/>
      </c>
      <c r="B46" s="201"/>
      <c r="C46" s="257" t="str">
        <f>_xlfn.IFNA(VLOOKUP(Fri_W2[[#This Row],[Employee Name]],'Base Schedules'!A:B,2,FALSE),"")</f>
        <v/>
      </c>
      <c r="D46" s="274" t="str">
        <f>_xlfn.IFNA(VLOOKUP(Fri_W2[[#This Row],[Employee Name]],'Base Schedules'!A:C,3,FALSE),"")</f>
        <v/>
      </c>
      <c r="E46" s="274" t="str">
        <f>_xlfn.IFNA(VLOOKUP(Fri_W2[[#This Row],[Employee Name]],'Base Schedules'!A:D,4,FALSE),"")</f>
        <v/>
      </c>
      <c r="F46" s="142" t="str">
        <f>IF(Fri_W2[[#This Row],[Employee Name]]="","",IF(Fri_W2[[#This Row],[Dept]]="Supervisor",COUNTIFS($J46:$AX46,"*HL*",$J46:$AX46,"&lt;&gt;"&amp;"pHL"),COUNTIFS($J46:$AX46,"*HL*",$J46:$AX46,"&lt;&gt;"&amp;"*pHL*",$J46:$AX46,"&lt;&gt;"&amp;"pB1 HL",$J46:$AX46,"&lt;&gt;"&amp;"pB2 HL")-SUM(COUNTIFS($J46:$AX46,"*HL B1*",$J46:$AX46,"&lt;&gt;"&amp;"pHL B1")*0.5,COUNTIFS($J46:$AX46,"*HL B2*",$J46:$AX46,"&lt;&gt;"&amp;"pHL B2")*0.5,COUNTIFS($J46:$AX46,"*B1 HL*",$J46:$AX46,"&lt;&gt;"&amp;"pB1 HL")*0.5,COUNTIFS($J46:$AX46,"*B2 HL*",$J46:$AX46,"&lt;&gt;"&amp;"pB2 HL")*0.5)))</f>
        <v/>
      </c>
      <c r="G46" s="142" t="str">
        <f t="shared" si="0"/>
        <v/>
      </c>
      <c r="H46" s="142" t="str">
        <f t="shared" si="1"/>
        <v/>
      </c>
      <c r="I46" s="142" t="str">
        <f>IF(Fri_W2[[#This Row],[Employee Name]]="","",IF(Fri_W2[[#This Row],[Dept]]="Supervisor",SUM(COUNTIFS($J46:$AX46,"RTA*",$J46:$AX46,"&lt;&gt;"&amp;"pRTA"),COUNTIFS($J46:$AX46,"*CRTA*",$J46:$AX46,"&lt;&gt;"&amp;"pCRTA")),COUNTIFS($J46:$AX46,"*RNNR*",$J46:$AX46,"&lt;&gt;"&amp;"*pRNNR*",$J46:$AX46,"&lt;&gt;"&amp;"pB1 RNNR",$J46:$AX46,"&lt;&gt;"&amp;"pB2 RNNR")-SUM(COUNTIFS($J46:$AX46,"*RNNR B1*",$J46:$AX46,"&lt;&gt;"&amp;"pRNNR B1")*0.5,COUNTIFS($J46:$AX46,"*RNNR B2*",$J46:$AX46,"&lt;&gt;"&amp;"pRNNR B2")*0.5,COUNTIFS($J46:$AX46,"*B1 RNNR*",$J46:$AX46,"&lt;&gt;"&amp;"pB1 RNNR")*0.5,COUNTIFS($J46:$AX46,"*B2 RNNR*",$J46:$AX46,"&lt;&gt;"&amp;"pB2 RNNR")*0.5)))</f>
        <v/>
      </c>
      <c r="J46" s="184" t="str">
        <f>IFERROR(IF(VLOOKUP(Fri_W2[[#This Row],[Employee Name]],'Base Schedules'!$A:$I,9,FALSE)="","",VLOOKUP(Fri_W2[[#This Row],[Employee Name]],'Base Schedules'!$A:$I,9,FALSE)),"")</f>
        <v/>
      </c>
      <c r="K46" s="184" t="str">
        <f>IFERROR(IF(VLOOKUP(Fri_W2[[#This Row],[Employee Name]],'Base Schedules'!$A:$J,10,FALSE)="","",VLOOKUP(Fri_W2[[#This Row],[Employee Name]],'Base Schedules'!$A:$J,10,FALSE)),"")</f>
        <v/>
      </c>
      <c r="L46" s="184" t="str">
        <f>IFERROR(IF(VLOOKUP(Fri_W2[[#This Row],[Employee Name]],'Base Schedules'!$A:$K,11,FALSE)="","",VLOOKUP(Fri_W2[[#This Row],[Employee Name]],'Base Schedules'!$A:$K,11,FALSE)),"")</f>
        <v/>
      </c>
      <c r="M46" s="184" t="str">
        <f>IFERROR(IF(VLOOKUP(Fri_W2[[#This Row],[Employee Name]],'Base Schedules'!$A:$L,12,FALSE)="","",VLOOKUP(Fri_W2[[#This Row],[Employee Name]],'Base Schedules'!$A:$L,12,FALSE)),"")</f>
        <v/>
      </c>
      <c r="N46" s="184" t="str">
        <f>IFERROR(IF(VLOOKUP(Fri_W2[[#This Row],[Employee Name]],'Base Schedules'!$A:$M,13,FALSE)="","",VLOOKUP(Fri_W2[[#This Row],[Employee Name]],'Base Schedules'!$A:$M,13,FALSE)),"")</f>
        <v/>
      </c>
      <c r="O46" s="184" t="str">
        <f>IFERROR(IF(VLOOKUP(Fri_W2[[#This Row],[Employee Name]],'Base Schedules'!$A:$N,14,FALSE)="","",VLOOKUP(Fri_W2[[#This Row],[Employee Name]],'Base Schedules'!$A:$N,14,FALSE)),"")</f>
        <v/>
      </c>
      <c r="P46" s="184" t="str">
        <f>IFERROR(IF(VLOOKUP(Fri_W2[[#This Row],[Employee Name]],'Base Schedules'!$A:$O,15,FALSE)="","",VLOOKUP(Fri_W2[[#This Row],[Employee Name]],'Base Schedules'!$A:$O,15,FALSE)),"")</f>
        <v/>
      </c>
      <c r="Q46" s="184" t="str">
        <f>IFERROR(IF(VLOOKUP(Fri_W2[[#This Row],[Employee Name]],'Base Schedules'!$A:$P,16,FALSE)="","",VLOOKUP(Fri_W2[[#This Row],[Employee Name]],'Base Schedules'!$A:$P,16,FALSE)),"")</f>
        <v/>
      </c>
      <c r="R46" s="184" t="str">
        <f>IFERROR(IF(VLOOKUP(Fri_W2[[#This Row],[Employee Name]],'Base Schedules'!$A:$Q,17,FALSE)="","",VLOOKUP(Fri_W2[[#This Row],[Employee Name]],'Base Schedules'!$A:$Q,17,FALSE)),"")</f>
        <v/>
      </c>
      <c r="S46" s="184" t="str">
        <f>IFERROR(IF(VLOOKUP(Fri_W2[[#This Row],[Employee Name]],'Base Schedules'!$A:$R,18,FALSE)="","",VLOOKUP(Fri_W2[[#This Row],[Employee Name]],'Base Schedules'!$A:$R,18,FALSE)),"")</f>
        <v/>
      </c>
      <c r="T46" s="184" t="str">
        <f>IFERROR(IF(VLOOKUP(Fri_W2[[#This Row],[Employee Name]],'Base Schedules'!$A:$S,19,FALSE)="","",VLOOKUP(Fri_W2[[#This Row],[Employee Name]],'Base Schedules'!$A:$S,19,FALSE)),"")</f>
        <v/>
      </c>
      <c r="U46" s="184" t="str">
        <f>IFERROR(IF(VLOOKUP(Fri_W2[[#This Row],[Employee Name]],'Base Schedules'!$A:$T,20,FALSE)="","",VLOOKUP(Fri_W2[[#This Row],[Employee Name]],'Base Schedules'!$A:$T,20,FALSE)),"")</f>
        <v/>
      </c>
      <c r="V46" s="184" t="str">
        <f>IFERROR(IF(VLOOKUP(Fri_W2[[#This Row],[Employee Name]],'Base Schedules'!$A:$U,21,FALSE)="","",VLOOKUP(Fri_W2[[#This Row],[Employee Name]],'Base Schedules'!$A:$U,21,FALSE)),"")</f>
        <v/>
      </c>
      <c r="W46" s="184" t="str">
        <f>IFERROR(IF(VLOOKUP(Fri_W2[[#This Row],[Employee Name]],'Base Schedules'!$A:$V,22,FALSE)="","",VLOOKUP(Fri_W2[[#This Row],[Employee Name]],'Base Schedules'!$A:$V,22,FALSE)),"")</f>
        <v/>
      </c>
      <c r="X46" s="184" t="str">
        <f>IFERROR(IF(VLOOKUP(Fri_W2[[#This Row],[Employee Name]],'Base Schedules'!$A:$W,23,FALSE)="","",VLOOKUP(Fri_W2[[#This Row],[Employee Name]],'Base Schedules'!$A:$W,23,FALSE)),"")</f>
        <v/>
      </c>
      <c r="Y46" s="184" t="str">
        <f>IFERROR(IF(VLOOKUP(Fri_W2[[#This Row],[Employee Name]],'Base Schedules'!$A:$X,24,FALSE)="","",VLOOKUP(Fri_W2[[#This Row],[Employee Name]],'Base Schedules'!$A:$X,24,FALSE)),"")</f>
        <v/>
      </c>
      <c r="Z46" s="184" t="str">
        <f>IFERROR(IF(VLOOKUP(Fri_W2[[#This Row],[Employee Name]],'Base Schedules'!$A:$Y,25,FALSE)="","",VLOOKUP(Fri_W2[[#This Row],[Employee Name]],'Base Schedules'!$A:$Y,25,FALSE)),"")</f>
        <v/>
      </c>
      <c r="AA46" s="184" t="str">
        <f>IFERROR(IF(VLOOKUP(Fri_W2[[#This Row],[Employee Name]],'Base Schedules'!$A:$Z,26,FALSE)="","",VLOOKUP(Fri_W2[[#This Row],[Employee Name]],'Base Schedules'!$A:$Z,26,FALSE)),"")</f>
        <v/>
      </c>
      <c r="AB46" s="184" t="str">
        <f>IFERROR(IF(VLOOKUP(Fri_W2[[#This Row],[Employee Name]],'Base Schedules'!$A:$AA,27,FALSE)="","",VLOOKUP(Fri_W2[[#This Row],[Employee Name]],'Base Schedules'!$A:$AA,27,FALSE)),"")</f>
        <v/>
      </c>
      <c r="AC46" s="184" t="str">
        <f>IFERROR(IF(VLOOKUP(Fri_W2[[#This Row],[Employee Name]],'Base Schedules'!$A:$AB,28,FALSE)="","",VLOOKUP(Fri_W2[[#This Row],[Employee Name]],'Base Schedules'!$A:$AB,28,FALSE)),"")</f>
        <v/>
      </c>
      <c r="AD46" s="184" t="str">
        <f>IFERROR(IF(VLOOKUP(Fri_W2[[#This Row],[Employee Name]],'Base Schedules'!$A:$AC,29,FALSE)="","",VLOOKUP(Fri_W2[[#This Row],[Employee Name]],'Base Schedules'!$A:$AC,29,FALSE)),"")</f>
        <v/>
      </c>
      <c r="AE46" s="184" t="str">
        <f>IFERROR(IF(VLOOKUP(Fri_W2[[#This Row],[Employee Name]],'Base Schedules'!$A:$AD,30,FALSE)="","",VLOOKUP(Fri_W2[[#This Row],[Employee Name]],'Base Schedules'!$A:$AD,30,FALSE)),"")</f>
        <v/>
      </c>
      <c r="AF46" s="184" t="str">
        <f>IFERROR(IF(VLOOKUP(Fri_W2[[#This Row],[Employee Name]],'Base Schedules'!$A:$AE,31,FALSE)="","",VLOOKUP(Fri_W2[[#This Row],[Employee Name]],'Base Schedules'!$A:$AE,31,FALSE)),"")</f>
        <v/>
      </c>
      <c r="AG46" s="184" t="str">
        <f>IFERROR(IF(VLOOKUP(Fri_W2[[#This Row],[Employee Name]],'Base Schedules'!$A:$AF,32,FALSE)="","",VLOOKUP(Fri_W2[[#This Row],[Employee Name]],'Base Schedules'!$A:$AF,32,FALSE)),"")</f>
        <v/>
      </c>
      <c r="AH46" s="184" t="str">
        <f>IFERROR(IF(VLOOKUP(Fri_W2[[#This Row],[Employee Name]],'Base Schedules'!$A:$AG,33,FALSE)="","",VLOOKUP(Fri_W2[[#This Row],[Employee Name]],'Base Schedules'!$A:$AG,33,FALSE)),"")</f>
        <v/>
      </c>
      <c r="AI46" s="184" t="str">
        <f>IFERROR(IF(VLOOKUP(Fri_W2[[#This Row],[Employee Name]],'Base Schedules'!$A:$AH,34,FALSE)="","",VLOOKUP(Fri_W2[[#This Row],[Employee Name]],'Base Schedules'!$A:$AH,34,FALSE)),"")</f>
        <v/>
      </c>
      <c r="AJ46" s="184" t="str">
        <f>IFERROR(IF(VLOOKUP(Fri_W2[[#This Row],[Employee Name]],'Base Schedules'!$A:$AI,35,FALSE)="","",VLOOKUP(Fri_W2[[#This Row],[Employee Name]],'Base Schedules'!$A:$AI,35,FALSE)),"")</f>
        <v/>
      </c>
      <c r="AK46" s="184" t="str">
        <f>IFERROR(IF(VLOOKUP(Fri_W2[[#This Row],[Employee Name]],'Base Schedules'!$A:$AJ,36,FALSE)="","",VLOOKUP(Fri_W2[[#This Row],[Employee Name]],'Base Schedules'!$A:$AJ,36,FALSE)),"")</f>
        <v/>
      </c>
      <c r="AL46" s="184" t="str">
        <f>IFERROR(IF(VLOOKUP(Fri_W2[[#This Row],[Employee Name]],'Base Schedules'!$A:$AK,37,FALSE)="","",VLOOKUP(Fri_W2[[#This Row],[Employee Name]],'Base Schedules'!$A:$AK,37,FALSE)),"")</f>
        <v/>
      </c>
      <c r="AM46" s="184" t="str">
        <f>IFERROR(IF(VLOOKUP(Fri_W2[[#This Row],[Employee Name]],'Base Schedules'!$A:$AL,38,FALSE)="","",VLOOKUP(Fri_W2[[#This Row],[Employee Name]],'Base Schedules'!$A:$AL,38,FALSE)),"")</f>
        <v/>
      </c>
      <c r="AN46" s="184" t="str">
        <f>IFERROR(IF(VLOOKUP(Fri_W2[[#This Row],[Employee Name]],'Base Schedules'!$A:$AM,39,FALSE)="","",VLOOKUP(Fri_W2[[#This Row],[Employee Name]],'Base Schedules'!$A:$AM,39,FALSE)),"")</f>
        <v/>
      </c>
      <c r="AO46" s="184" t="str">
        <f>IFERROR(IF(VLOOKUP(Fri_W2[[#This Row],[Employee Name]],'Base Schedules'!$A:$AN,40,FALSE)="","",VLOOKUP(Fri_W2[[#This Row],[Employee Name]],'Base Schedules'!$A:$AN,40,FALSE)),"")</f>
        <v/>
      </c>
      <c r="AP46" s="184" t="str">
        <f>IFERROR(IF(VLOOKUP(Fri_W2[[#This Row],[Employee Name]],'Base Schedules'!$A:$AO,41,FALSE)="","",VLOOKUP(Fri_W2[[#This Row],[Employee Name]],'Base Schedules'!$A:$AO,41,FALSE)),"")</f>
        <v/>
      </c>
      <c r="AQ46" s="184" t="str">
        <f>IFERROR(IF(VLOOKUP(Fri_W2[[#This Row],[Employee Name]],'Base Schedules'!$A:$AP,42,FALSE)="","",VLOOKUP(Fri_W2[[#This Row],[Employee Name]],'Base Schedules'!$A:$AP,42,FALSE)),"")</f>
        <v/>
      </c>
      <c r="AR46" s="184" t="str">
        <f>IFERROR(IF(VLOOKUP(Fri_W2[[#This Row],[Employee Name]],'Base Schedules'!$A:$AQ,43,FALSE)="","",VLOOKUP(Fri_W2[[#This Row],[Employee Name]],'Base Schedules'!$A:$AQ,43,FALSE)),"")</f>
        <v/>
      </c>
      <c r="AS46" s="184" t="str">
        <f>IFERROR(IF(VLOOKUP(Fri_W2[[#This Row],[Employee Name]],'Base Schedules'!$A:$AR,44,FALSE)="","",VLOOKUP(Fri_W2[[#This Row],[Employee Name]],'Base Schedules'!$A:$AR,44,FALSE)),"")</f>
        <v/>
      </c>
      <c r="AT46" s="184" t="str">
        <f>IFERROR(IF(VLOOKUP(Fri_W2[[#This Row],[Employee Name]],'Base Schedules'!$A:$AS,45,FALSE)="","",VLOOKUP(Fri_W2[[#This Row],[Employee Name]],'Base Schedules'!$A:$AS,45,FALSE)),"")</f>
        <v/>
      </c>
      <c r="AU46" s="184" t="str">
        <f>IFERROR(IF(VLOOKUP(Fri_W2[[#This Row],[Employee Name]],'Base Schedules'!$A:$AT,46,FALSE)="","",VLOOKUP(Fri_W2[[#This Row],[Employee Name]],'Base Schedules'!$A:$AT,46,FALSE)),"")</f>
        <v/>
      </c>
      <c r="AV46" s="184" t="str">
        <f>IFERROR(IF(VLOOKUP(Fri_W2[[#This Row],[Employee Name]],'Base Schedules'!$A:$AU,47,FALSE)="","",VLOOKUP(Fri_W2[[#This Row],[Employee Name]],'Base Schedules'!$A:$AU,47,FALSE)),"")</f>
        <v/>
      </c>
      <c r="AW46" s="184" t="str">
        <f>IFERROR(IF(VLOOKUP(Fri_W2[[#This Row],[Employee Name]],'Base Schedules'!$A:$AV,48,FALSE)="","",VLOOKUP(Fri_W2[[#This Row],[Employee Name]],'Base Schedules'!$A:$AV,48,FALSE)),"")</f>
        <v/>
      </c>
      <c r="AX46" s="184" t="str">
        <f>IFERROR(IF(VLOOKUP(Fri_W1[[#This Row],[Employee Name]],'Base Schedules'!$A$1:$AW$44,49,FALSE)="","",VLOOKUP(Fri_W1[[#This Row],[Employee Name]],'Base Schedules'!$A$1:$AW$44,49,FALSE)),"")</f>
        <v/>
      </c>
      <c r="AY46" s="160" t="str">
        <f t="shared" si="2"/>
        <v/>
      </c>
    </row>
    <row r="47" spans="1:51" s="44" customFormat="1" ht="12" hidden="1" customHeight="1" x14ac:dyDescent="0.2">
      <c r="A47" s="39" t="str">
        <f>IF(B47="","",INDEX(TeamList[],MATCH($B47,TeamList[[Employee Name]:[Employee Name]],0),MATCH("Manager",TeamList[#Headers],0)))</f>
        <v/>
      </c>
      <c r="B47" s="201"/>
      <c r="C47" s="257" t="str">
        <f>_xlfn.IFNA(VLOOKUP(Fri_W2[[#This Row],[Employee Name]],'Base Schedules'!A:B,2,FALSE),"")</f>
        <v/>
      </c>
      <c r="D47" s="274" t="str">
        <f>_xlfn.IFNA(VLOOKUP(Fri_W2[[#This Row],[Employee Name]],'Base Schedules'!A:C,3,FALSE),"")</f>
        <v/>
      </c>
      <c r="E47" s="274" t="str">
        <f>_xlfn.IFNA(VLOOKUP(Fri_W2[[#This Row],[Employee Name]],'Base Schedules'!A:D,4,FALSE),"")</f>
        <v/>
      </c>
      <c r="F47" s="142" t="str">
        <f>IF(Fri_W2[[#This Row],[Employee Name]]="","",IF(Fri_W2[[#This Row],[Dept]]="Supervisor",COUNTIFS($J47:$AX47,"*HL*",$J47:$AX47,"&lt;&gt;"&amp;"pHL"),COUNTIFS($J47:$AX47,"*HL*",$J47:$AX47,"&lt;&gt;"&amp;"*pHL*",$J47:$AX47,"&lt;&gt;"&amp;"pB1 HL",$J47:$AX47,"&lt;&gt;"&amp;"pB2 HL")-SUM(COUNTIFS($J47:$AX47,"*HL B1*",$J47:$AX47,"&lt;&gt;"&amp;"pHL B1")*0.5,COUNTIFS($J47:$AX47,"*HL B2*",$J47:$AX47,"&lt;&gt;"&amp;"pHL B2")*0.5,COUNTIFS($J47:$AX47,"*B1 HL*",$J47:$AX47,"&lt;&gt;"&amp;"pB1 HL")*0.5,COUNTIFS($J47:$AX47,"*B2 HL*",$J47:$AX47,"&lt;&gt;"&amp;"pB2 HL")*0.5)))</f>
        <v/>
      </c>
      <c r="G47" s="142" t="str">
        <f t="shared" si="0"/>
        <v/>
      </c>
      <c r="H47" s="142" t="str">
        <f t="shared" si="1"/>
        <v/>
      </c>
      <c r="I47" s="142" t="str">
        <f>IF(Fri_W2[[#This Row],[Employee Name]]="","",IF(Fri_W2[[#This Row],[Dept]]="Supervisor",SUM(COUNTIFS($J47:$AX47,"RTA*",$J47:$AX47,"&lt;&gt;"&amp;"pRTA"),COUNTIFS($J47:$AX47,"*CRTA*",$J47:$AX47,"&lt;&gt;"&amp;"pCRTA")),COUNTIFS($J47:$AX47,"*RNNR*",$J47:$AX47,"&lt;&gt;"&amp;"*pRNNR*",$J47:$AX47,"&lt;&gt;"&amp;"pB1 RNNR",$J47:$AX47,"&lt;&gt;"&amp;"pB2 RNNR")-SUM(COUNTIFS($J47:$AX47,"*RNNR B1*",$J47:$AX47,"&lt;&gt;"&amp;"pRNNR B1")*0.5,COUNTIFS($J47:$AX47,"*RNNR B2*",$J47:$AX47,"&lt;&gt;"&amp;"pRNNR B2")*0.5,COUNTIFS($J47:$AX47,"*B1 RNNR*",$J47:$AX47,"&lt;&gt;"&amp;"pB1 RNNR")*0.5,COUNTIFS($J47:$AX47,"*B2 RNNR*",$J47:$AX47,"&lt;&gt;"&amp;"pB2 RNNR")*0.5)))</f>
        <v/>
      </c>
      <c r="J47" s="184" t="str">
        <f>IFERROR(IF(VLOOKUP(Fri_W2[[#This Row],[Employee Name]],'Base Schedules'!$A:$I,9,FALSE)="","",VLOOKUP(Fri_W2[[#This Row],[Employee Name]],'Base Schedules'!$A:$I,9,FALSE)),"")</f>
        <v/>
      </c>
      <c r="K47" s="184" t="str">
        <f>IFERROR(IF(VLOOKUP(Fri_W2[[#This Row],[Employee Name]],'Base Schedules'!$A:$J,10,FALSE)="","",VLOOKUP(Fri_W2[[#This Row],[Employee Name]],'Base Schedules'!$A:$J,10,FALSE)),"")</f>
        <v/>
      </c>
      <c r="L47" s="184" t="str">
        <f>IFERROR(IF(VLOOKUP(Fri_W2[[#This Row],[Employee Name]],'Base Schedules'!$A:$K,11,FALSE)="","",VLOOKUP(Fri_W2[[#This Row],[Employee Name]],'Base Schedules'!$A:$K,11,FALSE)),"")</f>
        <v/>
      </c>
      <c r="M47" s="184" t="str">
        <f>IFERROR(IF(VLOOKUP(Fri_W2[[#This Row],[Employee Name]],'Base Schedules'!$A:$L,12,FALSE)="","",VLOOKUP(Fri_W2[[#This Row],[Employee Name]],'Base Schedules'!$A:$L,12,FALSE)),"")</f>
        <v/>
      </c>
      <c r="N47" s="184" t="str">
        <f>IFERROR(IF(VLOOKUP(Fri_W2[[#This Row],[Employee Name]],'Base Schedules'!$A:$M,13,FALSE)="","",VLOOKUP(Fri_W2[[#This Row],[Employee Name]],'Base Schedules'!$A:$M,13,FALSE)),"")</f>
        <v/>
      </c>
      <c r="O47" s="184" t="str">
        <f>IFERROR(IF(VLOOKUP(Fri_W2[[#This Row],[Employee Name]],'Base Schedules'!$A:$N,14,FALSE)="","",VLOOKUP(Fri_W2[[#This Row],[Employee Name]],'Base Schedules'!$A:$N,14,FALSE)),"")</f>
        <v/>
      </c>
      <c r="P47" s="184" t="str">
        <f>IFERROR(IF(VLOOKUP(Fri_W2[[#This Row],[Employee Name]],'Base Schedules'!$A:$O,15,FALSE)="","",VLOOKUP(Fri_W2[[#This Row],[Employee Name]],'Base Schedules'!$A:$O,15,FALSE)),"")</f>
        <v/>
      </c>
      <c r="Q47" s="184" t="str">
        <f>IFERROR(IF(VLOOKUP(Fri_W2[[#This Row],[Employee Name]],'Base Schedules'!$A:$P,16,FALSE)="","",VLOOKUP(Fri_W2[[#This Row],[Employee Name]],'Base Schedules'!$A:$P,16,FALSE)),"")</f>
        <v/>
      </c>
      <c r="R47" s="184" t="str">
        <f>IFERROR(IF(VLOOKUP(Fri_W2[[#This Row],[Employee Name]],'Base Schedules'!$A:$Q,17,FALSE)="","",VLOOKUP(Fri_W2[[#This Row],[Employee Name]],'Base Schedules'!$A:$Q,17,FALSE)),"")</f>
        <v/>
      </c>
      <c r="S47" s="184" t="str">
        <f>IFERROR(IF(VLOOKUP(Fri_W2[[#This Row],[Employee Name]],'Base Schedules'!$A:$R,18,FALSE)="","",VLOOKUP(Fri_W2[[#This Row],[Employee Name]],'Base Schedules'!$A:$R,18,FALSE)),"")</f>
        <v/>
      </c>
      <c r="T47" s="184" t="str">
        <f>IFERROR(IF(VLOOKUP(Fri_W2[[#This Row],[Employee Name]],'Base Schedules'!$A:$S,19,FALSE)="","",VLOOKUP(Fri_W2[[#This Row],[Employee Name]],'Base Schedules'!$A:$S,19,FALSE)),"")</f>
        <v/>
      </c>
      <c r="U47" s="184" t="str">
        <f>IFERROR(IF(VLOOKUP(Fri_W2[[#This Row],[Employee Name]],'Base Schedules'!$A:$T,20,FALSE)="","",VLOOKUP(Fri_W2[[#This Row],[Employee Name]],'Base Schedules'!$A:$T,20,FALSE)),"")</f>
        <v/>
      </c>
      <c r="V47" s="184" t="str">
        <f>IFERROR(IF(VLOOKUP(Fri_W2[[#This Row],[Employee Name]],'Base Schedules'!$A:$U,21,FALSE)="","",VLOOKUP(Fri_W2[[#This Row],[Employee Name]],'Base Schedules'!$A:$U,21,FALSE)),"")</f>
        <v/>
      </c>
      <c r="W47" s="184" t="str">
        <f>IFERROR(IF(VLOOKUP(Fri_W2[[#This Row],[Employee Name]],'Base Schedules'!$A:$V,22,FALSE)="","",VLOOKUP(Fri_W2[[#This Row],[Employee Name]],'Base Schedules'!$A:$V,22,FALSE)),"")</f>
        <v/>
      </c>
      <c r="X47" s="184" t="str">
        <f>IFERROR(IF(VLOOKUP(Fri_W2[[#This Row],[Employee Name]],'Base Schedules'!$A:$W,23,FALSE)="","",VLOOKUP(Fri_W2[[#This Row],[Employee Name]],'Base Schedules'!$A:$W,23,FALSE)),"")</f>
        <v/>
      </c>
      <c r="Y47" s="184" t="str">
        <f>IFERROR(IF(VLOOKUP(Fri_W2[[#This Row],[Employee Name]],'Base Schedules'!$A:$X,24,FALSE)="","",VLOOKUP(Fri_W2[[#This Row],[Employee Name]],'Base Schedules'!$A:$X,24,FALSE)),"")</f>
        <v/>
      </c>
      <c r="Z47" s="184" t="str">
        <f>IFERROR(IF(VLOOKUP(Fri_W2[[#This Row],[Employee Name]],'Base Schedules'!$A:$Y,25,FALSE)="","",VLOOKUP(Fri_W2[[#This Row],[Employee Name]],'Base Schedules'!$A:$Y,25,FALSE)),"")</f>
        <v/>
      </c>
      <c r="AA47" s="184" t="str">
        <f>IFERROR(IF(VLOOKUP(Fri_W2[[#This Row],[Employee Name]],'Base Schedules'!$A:$Z,26,FALSE)="","",VLOOKUP(Fri_W2[[#This Row],[Employee Name]],'Base Schedules'!$A:$Z,26,FALSE)),"")</f>
        <v/>
      </c>
      <c r="AB47" s="184" t="str">
        <f>IFERROR(IF(VLOOKUP(Fri_W2[[#This Row],[Employee Name]],'Base Schedules'!$A:$AA,27,FALSE)="","",VLOOKUP(Fri_W2[[#This Row],[Employee Name]],'Base Schedules'!$A:$AA,27,FALSE)),"")</f>
        <v/>
      </c>
      <c r="AC47" s="184" t="str">
        <f>IFERROR(IF(VLOOKUP(Fri_W2[[#This Row],[Employee Name]],'Base Schedules'!$A:$AB,28,FALSE)="","",VLOOKUP(Fri_W2[[#This Row],[Employee Name]],'Base Schedules'!$A:$AB,28,FALSE)),"")</f>
        <v/>
      </c>
      <c r="AD47" s="184" t="str">
        <f>IFERROR(IF(VLOOKUP(Fri_W2[[#This Row],[Employee Name]],'Base Schedules'!$A:$AC,29,FALSE)="","",VLOOKUP(Fri_W2[[#This Row],[Employee Name]],'Base Schedules'!$A:$AC,29,FALSE)),"")</f>
        <v/>
      </c>
      <c r="AE47" s="184" t="str">
        <f>IFERROR(IF(VLOOKUP(Fri_W2[[#This Row],[Employee Name]],'Base Schedules'!$A:$AD,30,FALSE)="","",VLOOKUP(Fri_W2[[#This Row],[Employee Name]],'Base Schedules'!$A:$AD,30,FALSE)),"")</f>
        <v/>
      </c>
      <c r="AF47" s="184" t="str">
        <f>IFERROR(IF(VLOOKUP(Fri_W2[[#This Row],[Employee Name]],'Base Schedules'!$A:$AE,31,FALSE)="","",VLOOKUP(Fri_W2[[#This Row],[Employee Name]],'Base Schedules'!$A:$AE,31,FALSE)),"")</f>
        <v/>
      </c>
      <c r="AG47" s="184" t="str">
        <f>IFERROR(IF(VLOOKUP(Fri_W2[[#This Row],[Employee Name]],'Base Schedules'!$A:$AF,32,FALSE)="","",VLOOKUP(Fri_W2[[#This Row],[Employee Name]],'Base Schedules'!$A:$AF,32,FALSE)),"")</f>
        <v/>
      </c>
      <c r="AH47" s="184" t="str">
        <f>IFERROR(IF(VLOOKUP(Fri_W2[[#This Row],[Employee Name]],'Base Schedules'!$A:$AG,33,FALSE)="","",VLOOKUP(Fri_W2[[#This Row],[Employee Name]],'Base Schedules'!$A:$AG,33,FALSE)),"")</f>
        <v/>
      </c>
      <c r="AI47" s="184" t="str">
        <f>IFERROR(IF(VLOOKUP(Fri_W2[[#This Row],[Employee Name]],'Base Schedules'!$A:$AH,34,FALSE)="","",VLOOKUP(Fri_W2[[#This Row],[Employee Name]],'Base Schedules'!$A:$AH,34,FALSE)),"")</f>
        <v/>
      </c>
      <c r="AJ47" s="184" t="str">
        <f>IFERROR(IF(VLOOKUP(Fri_W2[[#This Row],[Employee Name]],'Base Schedules'!$A:$AI,35,FALSE)="","",VLOOKUP(Fri_W2[[#This Row],[Employee Name]],'Base Schedules'!$A:$AI,35,FALSE)),"")</f>
        <v/>
      </c>
      <c r="AK47" s="184" t="str">
        <f>IFERROR(IF(VLOOKUP(Fri_W2[[#This Row],[Employee Name]],'Base Schedules'!$A:$AJ,36,FALSE)="","",VLOOKUP(Fri_W2[[#This Row],[Employee Name]],'Base Schedules'!$A:$AJ,36,FALSE)),"")</f>
        <v/>
      </c>
      <c r="AL47" s="184" t="str">
        <f>IFERROR(IF(VLOOKUP(Fri_W2[[#This Row],[Employee Name]],'Base Schedules'!$A:$AK,37,FALSE)="","",VLOOKUP(Fri_W2[[#This Row],[Employee Name]],'Base Schedules'!$A:$AK,37,FALSE)),"")</f>
        <v/>
      </c>
      <c r="AM47" s="184" t="str">
        <f>IFERROR(IF(VLOOKUP(Fri_W2[[#This Row],[Employee Name]],'Base Schedules'!$A:$AL,38,FALSE)="","",VLOOKUP(Fri_W2[[#This Row],[Employee Name]],'Base Schedules'!$A:$AL,38,FALSE)),"")</f>
        <v/>
      </c>
      <c r="AN47" s="184" t="str">
        <f>IFERROR(IF(VLOOKUP(Fri_W2[[#This Row],[Employee Name]],'Base Schedules'!$A:$AM,39,FALSE)="","",VLOOKUP(Fri_W2[[#This Row],[Employee Name]],'Base Schedules'!$A:$AM,39,FALSE)),"")</f>
        <v/>
      </c>
      <c r="AO47" s="184" t="str">
        <f>IFERROR(IF(VLOOKUP(Fri_W2[[#This Row],[Employee Name]],'Base Schedules'!$A:$AN,40,FALSE)="","",VLOOKUP(Fri_W2[[#This Row],[Employee Name]],'Base Schedules'!$A:$AN,40,FALSE)),"")</f>
        <v/>
      </c>
      <c r="AP47" s="184" t="str">
        <f>IFERROR(IF(VLOOKUP(Fri_W2[[#This Row],[Employee Name]],'Base Schedules'!$A:$AO,41,FALSE)="","",VLOOKUP(Fri_W2[[#This Row],[Employee Name]],'Base Schedules'!$A:$AO,41,FALSE)),"")</f>
        <v/>
      </c>
      <c r="AQ47" s="184" t="str">
        <f>IFERROR(IF(VLOOKUP(Fri_W2[[#This Row],[Employee Name]],'Base Schedules'!$A:$AP,42,FALSE)="","",VLOOKUP(Fri_W2[[#This Row],[Employee Name]],'Base Schedules'!$A:$AP,42,FALSE)),"")</f>
        <v/>
      </c>
      <c r="AR47" s="184" t="str">
        <f>IFERROR(IF(VLOOKUP(Fri_W2[[#This Row],[Employee Name]],'Base Schedules'!$A:$AQ,43,FALSE)="","",VLOOKUP(Fri_W2[[#This Row],[Employee Name]],'Base Schedules'!$A:$AQ,43,FALSE)),"")</f>
        <v/>
      </c>
      <c r="AS47" s="184" t="str">
        <f>IFERROR(IF(VLOOKUP(Fri_W2[[#This Row],[Employee Name]],'Base Schedules'!$A:$AR,44,FALSE)="","",VLOOKUP(Fri_W2[[#This Row],[Employee Name]],'Base Schedules'!$A:$AR,44,FALSE)),"")</f>
        <v/>
      </c>
      <c r="AT47" s="184" t="str">
        <f>IFERROR(IF(VLOOKUP(Fri_W2[[#This Row],[Employee Name]],'Base Schedules'!$A:$AS,45,FALSE)="","",VLOOKUP(Fri_W2[[#This Row],[Employee Name]],'Base Schedules'!$A:$AS,45,FALSE)),"")</f>
        <v/>
      </c>
      <c r="AU47" s="184" t="str">
        <f>IFERROR(IF(VLOOKUP(Fri_W2[[#This Row],[Employee Name]],'Base Schedules'!$A:$AT,46,FALSE)="","",VLOOKUP(Fri_W2[[#This Row],[Employee Name]],'Base Schedules'!$A:$AT,46,FALSE)),"")</f>
        <v/>
      </c>
      <c r="AV47" s="184" t="str">
        <f>IFERROR(IF(VLOOKUP(Fri_W2[[#This Row],[Employee Name]],'Base Schedules'!$A:$AU,47,FALSE)="","",VLOOKUP(Fri_W2[[#This Row],[Employee Name]],'Base Schedules'!$A:$AU,47,FALSE)),"")</f>
        <v/>
      </c>
      <c r="AW47" s="184" t="str">
        <f>IFERROR(IF(VLOOKUP(Fri_W2[[#This Row],[Employee Name]],'Base Schedules'!$A:$AV,48,FALSE)="","",VLOOKUP(Fri_W2[[#This Row],[Employee Name]],'Base Schedules'!$A:$AV,48,FALSE)),"")</f>
        <v/>
      </c>
      <c r="AX47" s="184" t="str">
        <f>IFERROR(IF(VLOOKUP(Fri_W1[[#This Row],[Employee Name]],'Base Schedules'!$A$1:$AW$44,49,FALSE)="","",VLOOKUP(Fri_W1[[#This Row],[Employee Name]],'Base Schedules'!$A$1:$AW$44,49,FALSE)),"")</f>
        <v/>
      </c>
      <c r="AY47" s="159" t="str">
        <f t="shared" si="2"/>
        <v/>
      </c>
    </row>
    <row r="48" spans="1:51" ht="12" hidden="1" customHeight="1" thickBot="1" x14ac:dyDescent="0.25">
      <c r="A48" s="39" t="str">
        <f>IF(B48="","",INDEX(TeamList[],MATCH($B48,TeamList[[Employee Name]:[Employee Name]],0),MATCH("Manager",TeamList[#Headers],0)))</f>
        <v/>
      </c>
      <c r="B48" s="203"/>
      <c r="C48" s="257" t="str">
        <f>_xlfn.IFNA(VLOOKUP(Fri_W2[[#This Row],[Employee Name]],'Base Schedules'!A:B,2,FALSE),"")</f>
        <v/>
      </c>
      <c r="D48" s="274" t="str">
        <f>_xlfn.IFNA(VLOOKUP(Fri_W2[[#This Row],[Employee Name]],'Base Schedules'!A:C,3,FALSE),"")</f>
        <v/>
      </c>
      <c r="E48" s="274" t="str">
        <f>_xlfn.IFNA(VLOOKUP(Fri_W2[[#This Row],[Employee Name]],'Base Schedules'!A:D,4,FALSE),"")</f>
        <v/>
      </c>
      <c r="F48" s="142" t="str">
        <f>IF(Fri_W2[[#This Row],[Employee Name]]="","",IF(Fri_W2[[#This Row],[Dept]]="Supervisor",COUNTIFS($J48:$AX48,"*HL*",$J48:$AX48,"&lt;&gt;"&amp;"pHL"),COUNTIFS($J48:$AX48,"*HL*",$J48:$AX48,"&lt;&gt;"&amp;"*pHL*",$J48:$AX48,"&lt;&gt;"&amp;"pB1 HL",$J48:$AX48,"&lt;&gt;"&amp;"pB2 HL")-SUM(COUNTIFS($J48:$AX48,"*HL B1*",$J48:$AX48,"&lt;&gt;"&amp;"pHL B1")*0.5,COUNTIFS($J48:$AX48,"*HL B2*",$J48:$AX48,"&lt;&gt;"&amp;"pHL B2")*0.5,COUNTIFS($J48:$AX48,"*B1 HL*",$J48:$AX48,"&lt;&gt;"&amp;"pB1 HL")*0.5,COUNTIFS($J48:$AX48,"*B2 HL*",$J48:$AX48,"&lt;&gt;"&amp;"pB2 HL")*0.5)))</f>
        <v/>
      </c>
      <c r="G48" s="142" t="str">
        <f t="shared" si="0"/>
        <v/>
      </c>
      <c r="H48" s="142" t="str">
        <f t="shared" si="1"/>
        <v/>
      </c>
      <c r="I48" s="142" t="str">
        <f>IF(Fri_W2[[#This Row],[Employee Name]]="","",IF(Fri_W2[[#This Row],[Dept]]="Supervisor",SUM(COUNTIFS($J48:$AX48,"RTA*",$J48:$AX48,"&lt;&gt;"&amp;"pRTA"),COUNTIFS($J48:$AX48,"*CRTA*",$J48:$AX48,"&lt;&gt;"&amp;"pCRTA")),COUNTIFS($J48:$AX48,"*RNNR*",$J48:$AX48,"&lt;&gt;"&amp;"*pRNNR*",$J48:$AX48,"&lt;&gt;"&amp;"pB1 RNNR",$J48:$AX48,"&lt;&gt;"&amp;"pB2 RNNR")-SUM(COUNTIFS($J48:$AX48,"*RNNR B1*",$J48:$AX48,"&lt;&gt;"&amp;"pRNNR B1")*0.5,COUNTIFS($J48:$AX48,"*RNNR B2*",$J48:$AX48,"&lt;&gt;"&amp;"pRNNR B2")*0.5,COUNTIFS($J48:$AX48,"*B1 RNNR*",$J48:$AX48,"&lt;&gt;"&amp;"pB1 RNNR")*0.5,COUNTIFS($J48:$AX48,"*B2 RNNR*",$J48:$AX48,"&lt;&gt;"&amp;"pB2 RNNR")*0.5)))</f>
        <v/>
      </c>
      <c r="J48" s="184"/>
      <c r="K48" s="184"/>
      <c r="L48" s="184"/>
      <c r="M48" s="184"/>
      <c r="N48" s="184"/>
      <c r="O48" s="184"/>
      <c r="P48" s="184"/>
      <c r="Q48" s="184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4"/>
      <c r="AI48" s="184"/>
      <c r="AJ48" s="184"/>
      <c r="AK48" s="184"/>
      <c r="AL48" s="184"/>
      <c r="AM48" s="184"/>
      <c r="AN48" s="184"/>
      <c r="AO48" s="184"/>
      <c r="AP48" s="184"/>
      <c r="AQ48" s="184"/>
      <c r="AR48" s="184"/>
      <c r="AS48" s="184"/>
      <c r="AT48" s="184"/>
      <c r="AU48" s="184"/>
      <c r="AV48" s="184"/>
      <c r="AW48" s="184"/>
      <c r="AX48" s="184" t="str">
        <f>IFERROR(IF(VLOOKUP(Fri_W1[[#This Row],[Employee Name]],'Base Schedules'!$A$1:$AW$44,49,FALSE)="","",VLOOKUP(Fri_W1[[#This Row],[Employee Name]],'Base Schedules'!$A$1:$AW$44,49,FALSE)),"")</f>
        <v/>
      </c>
      <c r="AY48" s="335" t="str">
        <f t="shared" si="2"/>
        <v/>
      </c>
    </row>
    <row r="49" spans="2:52" ht="6" hidden="1" customHeight="1" thickBot="1" x14ac:dyDescent="0.25">
      <c r="B49" s="201"/>
      <c r="C49" s="150"/>
      <c r="D49" s="55"/>
      <c r="E49" s="141"/>
      <c r="F49" s="142" t="str">
        <f>IF(Fri_W2[[#This Row],[Employee Name]]="","",IF(Fri_W2[[#This Row],[Dept]]="Supervisor",COUNTIFS($J49:$AX49,"*HL*",$J49:$AX49,"&lt;&gt;"&amp;"pHL"),COUNTIFS($J49:$AX49,"*HL*",$J49:$AX49,"&lt;&gt;"&amp;"*pHL*",$J49:$AX49,"&lt;&gt;"&amp;"pB1 HL",$J49:$AX49,"&lt;&gt;"&amp;"pB2 HL")-SUM(COUNTIFS($J49:$AX49,"*HL B1*",$J49:$AX49,"&lt;&gt;"&amp;"pHL B1")*0.5,COUNTIFS($J49:$AX49,"*HL B2*",$J49:$AX49,"&lt;&gt;"&amp;"pHL B2")*0.5,COUNTIFS($J49:$AX49,"*B1 HL*",$J49:$AX49,"&lt;&gt;"&amp;"pB1 HL")*0.5,COUNTIFS($J49:$AX49,"*B2 HL*",$J49:$AX49,"&lt;&gt;"&amp;"pB2 HL")*0.5)))</f>
        <v/>
      </c>
      <c r="G49" s="142" t="str">
        <f t="shared" si="0"/>
        <v/>
      </c>
      <c r="H49" s="142" t="str">
        <f t="shared" si="1"/>
        <v/>
      </c>
      <c r="I49" s="142" t="str">
        <f>IF(Fri_W2[[#This Row],[Employee Name]]="","",IF(Fri_W2[[#This Row],[Dept]]="Supervisor",SUM(COUNTIFS($J49:$AX49,"RTA*",$J49:$AX49,"&lt;&gt;"&amp;"pRTA"),COUNTIFS($J49:$AX49,"*CRTA*",$J49:$AX49,"&lt;&gt;"&amp;"pCRTA")),COUNTIFS($J49:$AX49,"*RNNR*",$J49:$AX49,"&lt;&gt;"&amp;"*pRNNR*",$J49:$AX49,"&lt;&gt;"&amp;"pB1 RNNR",$J49:$AX49,"&lt;&gt;"&amp;"pB2 RNNR")-SUM(COUNTIFS($J49:$AX49,"*RNNR B1*",$J49:$AX49,"&lt;&gt;"&amp;"pRNNR B1")*0.5,COUNTIFS($J49:$AX49,"*RNNR B2*",$J49:$AX49,"&lt;&gt;"&amp;"pRNNR B2")*0.5,COUNTIFS($J49:$AX49,"*B1 RNNR*",$J49:$AX49,"&lt;&gt;"&amp;"pB1 RNNR")*0.5,COUNTIFS($J49:$AX49,"*B2 RNNR*",$J49:$AX49,"&lt;&gt;"&amp;"pB2 RNNR")*0.5)))</f>
        <v/>
      </c>
      <c r="J49" s="184"/>
      <c r="K49" s="184"/>
      <c r="L49" s="184"/>
      <c r="M49" s="184"/>
      <c r="N49" s="184"/>
      <c r="O49" s="184"/>
      <c r="P49" s="184"/>
      <c r="Q49" s="184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/>
      <c r="AC49" s="184"/>
      <c r="AD49" s="184"/>
      <c r="AE49" s="184"/>
      <c r="AF49" s="184"/>
      <c r="AG49" s="184"/>
      <c r="AH49" s="184"/>
      <c r="AI49" s="184"/>
      <c r="AJ49" s="184"/>
      <c r="AK49" s="184"/>
      <c r="AL49" s="184"/>
      <c r="AM49" s="184"/>
      <c r="AN49" s="184"/>
      <c r="AO49" s="184"/>
      <c r="AP49" s="184"/>
      <c r="AQ49" s="184"/>
      <c r="AR49" s="184"/>
      <c r="AS49" s="184"/>
      <c r="AT49" s="184"/>
      <c r="AU49" s="184"/>
      <c r="AV49" s="184"/>
      <c r="AW49" s="184"/>
      <c r="AX49" s="184" t="str">
        <f>IFERROR(IF(VLOOKUP(Fri_W1[[#This Row],[Employee Name]],'Base Schedules'!$A$1:$AW$44,49,FALSE)="","",VLOOKUP(Fri_W1[[#This Row],[Employee Name]],'Base Schedules'!$A$1:$AW$44,49,FALSE)),"")</f>
        <v/>
      </c>
      <c r="AY49" s="159" t="str">
        <f t="shared" si="2"/>
        <v/>
      </c>
    </row>
    <row r="50" spans="2:52" ht="12.75" customHeight="1" thickBot="1" x14ac:dyDescent="0.25">
      <c r="B50" s="20"/>
      <c r="C50" s="21"/>
      <c r="D50" s="21"/>
      <c r="E50" s="21" t="s">
        <v>92</v>
      </c>
      <c r="F50" s="21">
        <f>SUM(F9:F48)</f>
        <v>146</v>
      </c>
      <c r="G50" s="21">
        <f>SUM(G9:G48)</f>
        <v>62</v>
      </c>
      <c r="H50" s="21">
        <f>SUM(H9:H48)</f>
        <v>133</v>
      </c>
      <c r="I50" s="21">
        <f>SUM(I9:I48)</f>
        <v>24</v>
      </c>
      <c r="J50" s="27">
        <v>500</v>
      </c>
      <c r="K50" s="27">
        <v>530</v>
      </c>
      <c r="L50" s="27">
        <v>600</v>
      </c>
      <c r="M50" s="27">
        <v>630</v>
      </c>
      <c r="N50" s="27">
        <v>700</v>
      </c>
      <c r="O50" s="27">
        <v>730</v>
      </c>
      <c r="P50" s="27">
        <v>800</v>
      </c>
      <c r="Q50" s="27">
        <v>830</v>
      </c>
      <c r="R50" s="27">
        <v>900</v>
      </c>
      <c r="S50" s="27">
        <v>930</v>
      </c>
      <c r="T50" s="27">
        <v>1000</v>
      </c>
      <c r="U50" s="27">
        <v>1030</v>
      </c>
      <c r="V50" s="27">
        <v>1100</v>
      </c>
      <c r="W50" s="27">
        <v>1130</v>
      </c>
      <c r="X50" s="27">
        <v>1200</v>
      </c>
      <c r="Y50" s="27">
        <v>1230</v>
      </c>
      <c r="Z50" s="27">
        <v>1300</v>
      </c>
      <c r="AA50" s="27">
        <v>1330</v>
      </c>
      <c r="AB50" s="27">
        <v>1400</v>
      </c>
      <c r="AC50" s="27">
        <v>1430</v>
      </c>
      <c r="AD50" s="27">
        <v>1500</v>
      </c>
      <c r="AE50" s="27">
        <v>1530</v>
      </c>
      <c r="AF50" s="27">
        <v>1600</v>
      </c>
      <c r="AG50" s="27">
        <v>1630</v>
      </c>
      <c r="AH50" s="27">
        <v>1700</v>
      </c>
      <c r="AI50" s="27">
        <v>1730</v>
      </c>
      <c r="AJ50" s="27">
        <v>1800</v>
      </c>
      <c r="AK50" s="27">
        <v>1830</v>
      </c>
      <c r="AL50" s="27">
        <v>1900</v>
      </c>
      <c r="AM50" s="27">
        <v>1930</v>
      </c>
      <c r="AN50" s="27">
        <v>2000</v>
      </c>
      <c r="AO50" s="27">
        <v>2030</v>
      </c>
      <c r="AP50" s="27">
        <v>2100</v>
      </c>
      <c r="AQ50" s="27">
        <v>2130</v>
      </c>
      <c r="AR50" s="27">
        <v>2200</v>
      </c>
      <c r="AS50" s="27">
        <v>2230</v>
      </c>
      <c r="AT50" s="27">
        <v>2300</v>
      </c>
      <c r="AU50" s="27">
        <v>2330</v>
      </c>
      <c r="AV50" s="27">
        <v>0</v>
      </c>
      <c r="AW50" s="27">
        <v>30</v>
      </c>
      <c r="AX50" s="221" t="s">
        <v>365</v>
      </c>
      <c r="AY50" s="222" t="s">
        <v>2</v>
      </c>
    </row>
    <row r="51" spans="2:52" ht="6" customHeight="1" thickBot="1" x14ac:dyDescent="0.25">
      <c r="G51" s="223"/>
      <c r="H51" s="224"/>
      <c r="I51" s="225"/>
      <c r="J51" s="224"/>
      <c r="K51" s="224"/>
      <c r="L51" s="224"/>
      <c r="M51" s="224"/>
      <c r="N51" s="224"/>
      <c r="O51" s="224"/>
      <c r="P51" s="224"/>
      <c r="Q51" s="224"/>
      <c r="R51" s="224"/>
      <c r="S51" s="224"/>
      <c r="T51" s="224"/>
      <c r="U51" s="224"/>
      <c r="V51" s="224"/>
      <c r="W51" s="224"/>
      <c r="X51" s="224"/>
      <c r="Y51" s="224"/>
      <c r="Z51" s="224"/>
      <c r="AA51" s="224"/>
      <c r="AB51" s="224"/>
      <c r="AC51" s="224"/>
      <c r="AD51" s="224"/>
      <c r="AE51" s="224"/>
      <c r="AF51" s="224"/>
      <c r="AG51" s="224"/>
      <c r="AH51" s="224"/>
      <c r="AI51" s="224"/>
      <c r="AJ51" s="224"/>
      <c r="AK51" s="224"/>
      <c r="AL51" s="224"/>
      <c r="AM51" s="224"/>
      <c r="AN51" s="224"/>
      <c r="AO51" s="224"/>
      <c r="AP51" s="224"/>
      <c r="AQ51" s="224"/>
      <c r="AR51" s="224"/>
      <c r="AS51" s="224"/>
      <c r="AT51" s="224"/>
      <c r="AU51" s="224"/>
      <c r="AV51" s="224"/>
      <c r="AW51" s="225"/>
      <c r="AX51" s="226"/>
      <c r="AY51" s="227">
        <f t="shared" ref="AY51" si="3">G51</f>
        <v>0</v>
      </c>
    </row>
    <row r="52" spans="2:52" ht="18.75" x14ac:dyDescent="0.3">
      <c r="B52" s="484" t="s">
        <v>368</v>
      </c>
      <c r="C52" s="484"/>
      <c r="D52" s="453"/>
      <c r="E52" s="453"/>
      <c r="F52" s="453"/>
      <c r="G52" s="484" t="s">
        <v>368</v>
      </c>
      <c r="H52" s="484"/>
      <c r="I52" s="484"/>
      <c r="J52" s="455">
        <f>COUNTIF(J9:J48,"RNNR")</f>
        <v>0</v>
      </c>
      <c r="K52" s="455">
        <f t="shared" ref="K52:AW52" si="4">COUNTIF(K9:K48,"RNNR")</f>
        <v>0</v>
      </c>
      <c r="L52" s="455">
        <f t="shared" si="4"/>
        <v>0</v>
      </c>
      <c r="M52" s="455">
        <f t="shared" si="4"/>
        <v>0</v>
      </c>
      <c r="N52" s="455">
        <f t="shared" si="4"/>
        <v>0</v>
      </c>
      <c r="O52" s="455">
        <f t="shared" si="4"/>
        <v>0</v>
      </c>
      <c r="P52" s="455">
        <f t="shared" si="4"/>
        <v>1</v>
      </c>
      <c r="Q52" s="455">
        <f t="shared" si="4"/>
        <v>1</v>
      </c>
      <c r="R52" s="455">
        <f t="shared" si="4"/>
        <v>1</v>
      </c>
      <c r="S52" s="455">
        <f t="shared" si="4"/>
        <v>1</v>
      </c>
      <c r="T52" s="455">
        <f t="shared" si="4"/>
        <v>1</v>
      </c>
      <c r="U52" s="455">
        <f t="shared" si="4"/>
        <v>1</v>
      </c>
      <c r="V52" s="455">
        <f t="shared" si="4"/>
        <v>1</v>
      </c>
      <c r="W52" s="455">
        <f t="shared" si="4"/>
        <v>1</v>
      </c>
      <c r="X52" s="455">
        <f t="shared" si="4"/>
        <v>1</v>
      </c>
      <c r="Y52" s="455">
        <f t="shared" si="4"/>
        <v>1</v>
      </c>
      <c r="Z52" s="455">
        <f t="shared" si="4"/>
        <v>1</v>
      </c>
      <c r="AA52" s="455">
        <f t="shared" si="4"/>
        <v>1</v>
      </c>
      <c r="AB52" s="455">
        <f t="shared" si="4"/>
        <v>1</v>
      </c>
      <c r="AC52" s="455">
        <f t="shared" si="4"/>
        <v>1</v>
      </c>
      <c r="AD52" s="455">
        <f t="shared" si="4"/>
        <v>1</v>
      </c>
      <c r="AE52" s="455">
        <f t="shared" si="4"/>
        <v>1</v>
      </c>
      <c r="AF52" s="455">
        <f t="shared" si="4"/>
        <v>1</v>
      </c>
      <c r="AG52" s="455">
        <f t="shared" si="4"/>
        <v>1</v>
      </c>
      <c r="AH52" s="455">
        <f t="shared" si="4"/>
        <v>1</v>
      </c>
      <c r="AI52" s="455">
        <f t="shared" si="4"/>
        <v>1</v>
      </c>
      <c r="AJ52" s="455">
        <f t="shared" si="4"/>
        <v>1</v>
      </c>
      <c r="AK52" s="455">
        <f t="shared" si="4"/>
        <v>1</v>
      </c>
      <c r="AL52" s="455">
        <f t="shared" si="4"/>
        <v>1</v>
      </c>
      <c r="AM52" s="455">
        <f t="shared" si="4"/>
        <v>1</v>
      </c>
      <c r="AN52" s="455">
        <f t="shared" si="4"/>
        <v>0</v>
      </c>
      <c r="AO52" s="455">
        <f t="shared" si="4"/>
        <v>0</v>
      </c>
      <c r="AP52" s="455">
        <f t="shared" si="4"/>
        <v>0</v>
      </c>
      <c r="AQ52" s="455">
        <f t="shared" si="4"/>
        <v>0</v>
      </c>
      <c r="AR52" s="455">
        <f t="shared" si="4"/>
        <v>0</v>
      </c>
      <c r="AS52" s="455">
        <f t="shared" si="4"/>
        <v>0</v>
      </c>
      <c r="AT52" s="455">
        <f t="shared" si="4"/>
        <v>0</v>
      </c>
      <c r="AU52" s="455">
        <f t="shared" si="4"/>
        <v>0</v>
      </c>
      <c r="AV52" s="455">
        <f t="shared" si="4"/>
        <v>0</v>
      </c>
      <c r="AW52" s="455">
        <f t="shared" si="4"/>
        <v>0</v>
      </c>
      <c r="AX52" s="451">
        <f>AVERAGE(J52:AW52)</f>
        <v>0.6</v>
      </c>
      <c r="AY52" s="485" t="s">
        <v>368</v>
      </c>
      <c r="AZ52" s="485"/>
    </row>
    <row r="53" spans="2:52" ht="18.75" x14ac:dyDescent="0.3">
      <c r="B53" s="484" t="s">
        <v>581</v>
      </c>
      <c r="C53" s="484"/>
      <c r="D53" s="453"/>
      <c r="E53" s="453"/>
      <c r="F53" s="453"/>
      <c r="G53" s="484" t="s">
        <v>581</v>
      </c>
      <c r="H53" s="484"/>
      <c r="I53" s="484"/>
      <c r="J53" s="458">
        <f>COUNTIF(J9:J48,"HL")</f>
        <v>2</v>
      </c>
      <c r="K53" s="458">
        <f t="shared" ref="K53:AW53" si="5">COUNTIF(K9:K48,"HL")</f>
        <v>3</v>
      </c>
      <c r="L53" s="458">
        <f t="shared" si="5"/>
        <v>3</v>
      </c>
      <c r="M53" s="458">
        <f t="shared" si="5"/>
        <v>4</v>
      </c>
      <c r="N53" s="458">
        <f t="shared" si="5"/>
        <v>3</v>
      </c>
      <c r="O53" s="458">
        <f t="shared" si="5"/>
        <v>2</v>
      </c>
      <c r="P53" s="458">
        <f t="shared" si="5"/>
        <v>3</v>
      </c>
      <c r="Q53" s="458">
        <f t="shared" si="5"/>
        <v>3</v>
      </c>
      <c r="R53" s="458">
        <f t="shared" si="5"/>
        <v>3</v>
      </c>
      <c r="S53" s="458">
        <f t="shared" si="5"/>
        <v>3</v>
      </c>
      <c r="T53" s="458">
        <f t="shared" si="5"/>
        <v>3</v>
      </c>
      <c r="U53" s="458">
        <f t="shared" si="5"/>
        <v>2</v>
      </c>
      <c r="V53" s="458">
        <f t="shared" si="5"/>
        <v>4</v>
      </c>
      <c r="W53" s="458">
        <f t="shared" si="5"/>
        <v>5</v>
      </c>
      <c r="X53" s="458">
        <f t="shared" si="5"/>
        <v>7</v>
      </c>
      <c r="Y53" s="458">
        <f t="shared" si="5"/>
        <v>4</v>
      </c>
      <c r="Z53" s="458">
        <f t="shared" si="5"/>
        <v>4</v>
      </c>
      <c r="AA53" s="458">
        <f t="shared" si="5"/>
        <v>5</v>
      </c>
      <c r="AB53" s="458">
        <f t="shared" si="5"/>
        <v>6</v>
      </c>
      <c r="AC53" s="458">
        <f t="shared" si="5"/>
        <v>6</v>
      </c>
      <c r="AD53" s="458">
        <f t="shared" si="5"/>
        <v>6</v>
      </c>
      <c r="AE53" s="458">
        <f t="shared" si="5"/>
        <v>3</v>
      </c>
      <c r="AF53" s="458">
        <f t="shared" si="5"/>
        <v>4</v>
      </c>
      <c r="AG53" s="458">
        <f t="shared" si="5"/>
        <v>4</v>
      </c>
      <c r="AH53" s="458">
        <f t="shared" si="5"/>
        <v>4</v>
      </c>
      <c r="AI53" s="458">
        <f t="shared" si="5"/>
        <v>4</v>
      </c>
      <c r="AJ53" s="458">
        <f t="shared" si="5"/>
        <v>3</v>
      </c>
      <c r="AK53" s="458">
        <f t="shared" si="5"/>
        <v>3</v>
      </c>
      <c r="AL53" s="458">
        <f t="shared" si="5"/>
        <v>3</v>
      </c>
      <c r="AM53" s="458">
        <f t="shared" si="5"/>
        <v>4</v>
      </c>
      <c r="AN53" s="458">
        <f t="shared" si="5"/>
        <v>3</v>
      </c>
      <c r="AO53" s="458">
        <f t="shared" si="5"/>
        <v>3</v>
      </c>
      <c r="AP53" s="458">
        <f t="shared" si="5"/>
        <v>3</v>
      </c>
      <c r="AQ53" s="458">
        <f t="shared" si="5"/>
        <v>3</v>
      </c>
      <c r="AR53" s="458">
        <f t="shared" si="5"/>
        <v>2</v>
      </c>
      <c r="AS53" s="458">
        <f t="shared" si="5"/>
        <v>2</v>
      </c>
      <c r="AT53" s="458">
        <f t="shared" si="5"/>
        <v>2</v>
      </c>
      <c r="AU53" s="458">
        <f t="shared" si="5"/>
        <v>2</v>
      </c>
      <c r="AV53" s="458">
        <f t="shared" si="5"/>
        <v>1</v>
      </c>
      <c r="AW53" s="458">
        <f t="shared" si="5"/>
        <v>1</v>
      </c>
      <c r="AX53" s="452">
        <f>SUM(J53:AW53)</f>
        <v>135</v>
      </c>
      <c r="AY53" s="485" t="s">
        <v>581</v>
      </c>
      <c r="AZ53" s="485"/>
    </row>
    <row r="54" spans="2:52" ht="18.75" x14ac:dyDescent="0.3">
      <c r="B54" s="484" t="s">
        <v>588</v>
      </c>
      <c r="C54" s="484"/>
      <c r="D54" s="453"/>
      <c r="E54" s="453"/>
      <c r="F54" s="453"/>
      <c r="G54" s="484" t="s">
        <v>589</v>
      </c>
      <c r="H54" s="484"/>
      <c r="I54" s="484"/>
      <c r="J54" s="460">
        <f>[1]Weighted!$B$24</f>
        <v>1.1000000000000001</v>
      </c>
      <c r="K54" s="460">
        <f>[1]Weighted!$B$24</f>
        <v>1.1000000000000001</v>
      </c>
      <c r="L54" s="460">
        <f>[1]Weighted!$B$24</f>
        <v>1.1000000000000001</v>
      </c>
      <c r="M54" s="460">
        <f>[1]Weighted!$B$24</f>
        <v>1.1000000000000001</v>
      </c>
      <c r="N54" s="460">
        <f>[1]Weighted!$B$24</f>
        <v>1.1000000000000001</v>
      </c>
      <c r="O54" s="460">
        <f>[1]Weighted!$B$24</f>
        <v>1.1000000000000001</v>
      </c>
      <c r="P54" s="460">
        <f>[1]Weighted!$B$24</f>
        <v>1.1000000000000001</v>
      </c>
      <c r="Q54" s="460">
        <f>[1]Weighted!$B$24</f>
        <v>1.1000000000000001</v>
      </c>
      <c r="R54" s="460">
        <f>[1]Weighted!$B$24</f>
        <v>1.1000000000000001</v>
      </c>
      <c r="S54" s="460">
        <f>[1]Weighted!$B$24</f>
        <v>1.1000000000000001</v>
      </c>
      <c r="T54" s="460">
        <f>[1]Weighted!$B$24</f>
        <v>1.1000000000000001</v>
      </c>
      <c r="U54" s="460">
        <f>[1]Weighted!$B$24</f>
        <v>1.1000000000000001</v>
      </c>
      <c r="V54" s="460">
        <f>[1]Weighted!$B$24</f>
        <v>1.1000000000000001</v>
      </c>
      <c r="W54" s="460">
        <f>[1]Weighted!$B$24</f>
        <v>1.1000000000000001</v>
      </c>
      <c r="X54" s="460">
        <f>[1]Weighted!$B$24</f>
        <v>1.1000000000000001</v>
      </c>
      <c r="Y54" s="460">
        <f>[1]Weighted!$B$24</f>
        <v>1.1000000000000001</v>
      </c>
      <c r="Z54" s="460">
        <f>[1]Weighted!$B$24</f>
        <v>1.1000000000000001</v>
      </c>
      <c r="AA54" s="460">
        <f>[1]Weighted!$B$24</f>
        <v>1.1000000000000001</v>
      </c>
      <c r="AB54" s="460">
        <f>[1]Weighted!$B$24</f>
        <v>1.1000000000000001</v>
      </c>
      <c r="AC54" s="460">
        <f>[1]Weighted!$B$24</f>
        <v>1.1000000000000001</v>
      </c>
      <c r="AD54" s="460">
        <f>[1]Weighted!$B$24</f>
        <v>1.1000000000000001</v>
      </c>
      <c r="AE54" s="460">
        <f>[1]Weighted!$B$24</f>
        <v>1.1000000000000001</v>
      </c>
      <c r="AF54" s="460">
        <f>[1]Weighted!$B$24</f>
        <v>1.1000000000000001</v>
      </c>
      <c r="AG54" s="460">
        <f>[1]Weighted!$B$24</f>
        <v>1.1000000000000001</v>
      </c>
      <c r="AH54" s="460">
        <f>[1]Weighted!$B$24</f>
        <v>1.1000000000000001</v>
      </c>
      <c r="AI54" s="460">
        <f>[1]Weighted!$B$24</f>
        <v>1.1000000000000001</v>
      </c>
      <c r="AJ54" s="460">
        <f>[1]Weighted!$B$24</f>
        <v>1.1000000000000001</v>
      </c>
      <c r="AK54" s="460">
        <f>[1]Weighted!$B$24</f>
        <v>1.1000000000000001</v>
      </c>
      <c r="AL54" s="460">
        <f>[1]Weighted!$B$24</f>
        <v>1.1000000000000001</v>
      </c>
      <c r="AM54" s="460">
        <f>[1]Weighted!$B$24</f>
        <v>1.1000000000000001</v>
      </c>
      <c r="AN54" s="460">
        <f>[1]Weighted!$B$24</f>
        <v>1.1000000000000001</v>
      </c>
      <c r="AO54" s="460">
        <f>[1]Weighted!$B$24</f>
        <v>1.1000000000000001</v>
      </c>
      <c r="AP54" s="460">
        <f>[1]Weighted!$B$24</f>
        <v>1.1000000000000001</v>
      </c>
      <c r="AQ54" s="460">
        <f>[1]Weighted!$B$24</f>
        <v>1.1000000000000001</v>
      </c>
      <c r="AR54" s="460">
        <f>[1]Weighted!$B$24</f>
        <v>1.1000000000000001</v>
      </c>
      <c r="AS54" s="460">
        <f>[1]Weighted!$B$24</f>
        <v>1.1000000000000001</v>
      </c>
      <c r="AT54" s="460">
        <f>[1]Weighted!$B$24</f>
        <v>1.1000000000000001</v>
      </c>
      <c r="AU54" s="460">
        <f>[1]Weighted!$B$24</f>
        <v>1.1000000000000001</v>
      </c>
      <c r="AV54" s="460">
        <f>[1]Weighted!$B$24</f>
        <v>1.1000000000000001</v>
      </c>
      <c r="AW54" s="460">
        <f>[1]Weighted!$B$24</f>
        <v>1.1000000000000001</v>
      </c>
      <c r="AX54" s="452">
        <f>SUM(J54:AW54)</f>
        <v>44.000000000000028</v>
      </c>
      <c r="AY54" s="485" t="s">
        <v>588</v>
      </c>
      <c r="AZ54" s="485"/>
    </row>
    <row r="55" spans="2:52" ht="18.75" x14ac:dyDescent="0.3">
      <c r="B55" s="484" t="s">
        <v>590</v>
      </c>
      <c r="C55" s="484"/>
      <c r="D55" s="453"/>
      <c r="E55" s="453"/>
      <c r="F55" s="453"/>
      <c r="G55" s="484" t="s">
        <v>590</v>
      </c>
      <c r="H55" s="484"/>
      <c r="I55" s="484"/>
      <c r="J55" s="460">
        <f>ROUNDUP(J54/2,0)</f>
        <v>1</v>
      </c>
      <c r="K55" s="460">
        <f>ROUNDUP(K54/2,0)</f>
        <v>1</v>
      </c>
      <c r="L55" s="460">
        <f t="shared" ref="L55:AW55" si="6">ROUNDUP(L54/2,0)</f>
        <v>1</v>
      </c>
      <c r="M55" s="460">
        <f t="shared" si="6"/>
        <v>1</v>
      </c>
      <c r="N55" s="460">
        <f t="shared" si="6"/>
        <v>1</v>
      </c>
      <c r="O55" s="460">
        <f t="shared" si="6"/>
        <v>1</v>
      </c>
      <c r="P55" s="460">
        <f t="shared" si="6"/>
        <v>1</v>
      </c>
      <c r="Q55" s="460">
        <f t="shared" si="6"/>
        <v>1</v>
      </c>
      <c r="R55" s="460">
        <f t="shared" si="6"/>
        <v>1</v>
      </c>
      <c r="S55" s="460">
        <f t="shared" si="6"/>
        <v>1</v>
      </c>
      <c r="T55" s="460">
        <f t="shared" si="6"/>
        <v>1</v>
      </c>
      <c r="U55" s="460">
        <f t="shared" si="6"/>
        <v>1</v>
      </c>
      <c r="V55" s="460">
        <f t="shared" si="6"/>
        <v>1</v>
      </c>
      <c r="W55" s="460">
        <f t="shared" si="6"/>
        <v>1</v>
      </c>
      <c r="X55" s="460">
        <f t="shared" si="6"/>
        <v>1</v>
      </c>
      <c r="Y55" s="460">
        <f t="shared" si="6"/>
        <v>1</v>
      </c>
      <c r="Z55" s="460">
        <f t="shared" si="6"/>
        <v>1</v>
      </c>
      <c r="AA55" s="460">
        <f t="shared" si="6"/>
        <v>1</v>
      </c>
      <c r="AB55" s="460">
        <f t="shared" si="6"/>
        <v>1</v>
      </c>
      <c r="AC55" s="460">
        <f t="shared" si="6"/>
        <v>1</v>
      </c>
      <c r="AD55" s="460">
        <f t="shared" si="6"/>
        <v>1</v>
      </c>
      <c r="AE55" s="460">
        <f t="shared" si="6"/>
        <v>1</v>
      </c>
      <c r="AF55" s="460">
        <f t="shared" si="6"/>
        <v>1</v>
      </c>
      <c r="AG55" s="460">
        <f t="shared" si="6"/>
        <v>1</v>
      </c>
      <c r="AH55" s="460">
        <f t="shared" si="6"/>
        <v>1</v>
      </c>
      <c r="AI55" s="460">
        <f t="shared" si="6"/>
        <v>1</v>
      </c>
      <c r="AJ55" s="460">
        <f t="shared" si="6"/>
        <v>1</v>
      </c>
      <c r="AK55" s="460">
        <f t="shared" si="6"/>
        <v>1</v>
      </c>
      <c r="AL55" s="460">
        <f t="shared" si="6"/>
        <v>1</v>
      </c>
      <c r="AM55" s="460">
        <f t="shared" si="6"/>
        <v>1</v>
      </c>
      <c r="AN55" s="460">
        <f t="shared" si="6"/>
        <v>1</v>
      </c>
      <c r="AO55" s="460">
        <f t="shared" si="6"/>
        <v>1</v>
      </c>
      <c r="AP55" s="460">
        <f t="shared" si="6"/>
        <v>1</v>
      </c>
      <c r="AQ55" s="460">
        <f t="shared" si="6"/>
        <v>1</v>
      </c>
      <c r="AR55" s="460">
        <f t="shared" si="6"/>
        <v>1</v>
      </c>
      <c r="AS55" s="460">
        <f t="shared" si="6"/>
        <v>1</v>
      </c>
      <c r="AT55" s="460">
        <f t="shared" si="6"/>
        <v>1</v>
      </c>
      <c r="AU55" s="460">
        <f t="shared" si="6"/>
        <v>1</v>
      </c>
      <c r="AV55" s="460">
        <f t="shared" si="6"/>
        <v>1</v>
      </c>
      <c r="AW55" s="460">
        <f t="shared" si="6"/>
        <v>1</v>
      </c>
      <c r="AX55" s="452">
        <f>SUM(J55:AW55)</f>
        <v>40</v>
      </c>
      <c r="AY55" s="485" t="s">
        <v>590</v>
      </c>
      <c r="AZ55" s="485"/>
    </row>
    <row r="56" spans="2:52" ht="15.75" customHeight="1" x14ac:dyDescent="0.3">
      <c r="B56" s="484" t="s">
        <v>591</v>
      </c>
      <c r="C56" s="484"/>
      <c r="D56" s="453"/>
      <c r="E56" s="453"/>
      <c r="F56" s="453"/>
      <c r="G56" s="484" t="s">
        <v>591</v>
      </c>
      <c r="H56" s="484"/>
      <c r="I56" s="484"/>
      <c r="J56" s="461">
        <f>J53-J55</f>
        <v>1</v>
      </c>
      <c r="K56" s="461">
        <f t="shared" ref="K56:AW56" si="7">K53-K55</f>
        <v>2</v>
      </c>
      <c r="L56" s="461">
        <f t="shared" si="7"/>
        <v>2</v>
      </c>
      <c r="M56" s="461">
        <f t="shared" si="7"/>
        <v>3</v>
      </c>
      <c r="N56" s="461">
        <f t="shared" si="7"/>
        <v>2</v>
      </c>
      <c r="O56" s="461">
        <f t="shared" si="7"/>
        <v>1</v>
      </c>
      <c r="P56" s="461">
        <f t="shared" si="7"/>
        <v>2</v>
      </c>
      <c r="Q56" s="461">
        <f t="shared" si="7"/>
        <v>2</v>
      </c>
      <c r="R56" s="461">
        <f t="shared" si="7"/>
        <v>2</v>
      </c>
      <c r="S56" s="461">
        <f t="shared" si="7"/>
        <v>2</v>
      </c>
      <c r="T56" s="461">
        <f t="shared" si="7"/>
        <v>2</v>
      </c>
      <c r="U56" s="461">
        <f t="shared" si="7"/>
        <v>1</v>
      </c>
      <c r="V56" s="461">
        <f t="shared" si="7"/>
        <v>3</v>
      </c>
      <c r="W56" s="461">
        <f t="shared" si="7"/>
        <v>4</v>
      </c>
      <c r="X56" s="461">
        <f t="shared" si="7"/>
        <v>6</v>
      </c>
      <c r="Y56" s="461">
        <f t="shared" si="7"/>
        <v>3</v>
      </c>
      <c r="Z56" s="461">
        <f t="shared" si="7"/>
        <v>3</v>
      </c>
      <c r="AA56" s="461">
        <f t="shared" si="7"/>
        <v>4</v>
      </c>
      <c r="AB56" s="461">
        <f t="shared" si="7"/>
        <v>5</v>
      </c>
      <c r="AC56" s="461">
        <f t="shared" si="7"/>
        <v>5</v>
      </c>
      <c r="AD56" s="461">
        <f t="shared" si="7"/>
        <v>5</v>
      </c>
      <c r="AE56" s="461">
        <f t="shared" si="7"/>
        <v>2</v>
      </c>
      <c r="AF56" s="461">
        <f t="shared" si="7"/>
        <v>3</v>
      </c>
      <c r="AG56" s="461">
        <f t="shared" si="7"/>
        <v>3</v>
      </c>
      <c r="AH56" s="461">
        <f t="shared" si="7"/>
        <v>3</v>
      </c>
      <c r="AI56" s="461">
        <f t="shared" si="7"/>
        <v>3</v>
      </c>
      <c r="AJ56" s="461">
        <f t="shared" si="7"/>
        <v>2</v>
      </c>
      <c r="AK56" s="461">
        <f t="shared" si="7"/>
        <v>2</v>
      </c>
      <c r="AL56" s="461">
        <f t="shared" si="7"/>
        <v>2</v>
      </c>
      <c r="AM56" s="461">
        <f t="shared" si="7"/>
        <v>3</v>
      </c>
      <c r="AN56" s="461">
        <f t="shared" si="7"/>
        <v>2</v>
      </c>
      <c r="AO56" s="461">
        <f t="shared" si="7"/>
        <v>2</v>
      </c>
      <c r="AP56" s="461">
        <f t="shared" si="7"/>
        <v>2</v>
      </c>
      <c r="AQ56" s="461">
        <f t="shared" si="7"/>
        <v>2</v>
      </c>
      <c r="AR56" s="461">
        <f t="shared" si="7"/>
        <v>1</v>
      </c>
      <c r="AS56" s="461">
        <f t="shared" si="7"/>
        <v>1</v>
      </c>
      <c r="AT56" s="461">
        <f t="shared" si="7"/>
        <v>1</v>
      </c>
      <c r="AU56" s="461">
        <f t="shared" si="7"/>
        <v>1</v>
      </c>
      <c r="AV56" s="461">
        <f t="shared" si="7"/>
        <v>0</v>
      </c>
      <c r="AW56" s="461">
        <f t="shared" si="7"/>
        <v>0</v>
      </c>
      <c r="AX56" s="454">
        <f>AVERAGE(J56:AW56)</f>
        <v>2.375</v>
      </c>
      <c r="AY56" s="486" t="s">
        <v>591</v>
      </c>
      <c r="AZ56" s="486"/>
    </row>
    <row r="57" spans="2:52" ht="15.75" customHeight="1" x14ac:dyDescent="0.2"/>
    <row r="58" spans="2:52" ht="15.75" customHeight="1" x14ac:dyDescent="0.2"/>
    <row r="59" spans="2:52" ht="12" customHeight="1" x14ac:dyDescent="0.2"/>
    <row r="60" spans="2:52" x14ac:dyDescent="0.2"/>
    <row r="61" spans="2:52" x14ac:dyDescent="0.2"/>
    <row r="62" spans="2:52" x14ac:dyDescent="0.2"/>
    <row r="63" spans="2:52" x14ac:dyDescent="0.2"/>
    <row r="64" spans="2:52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</sheetData>
  <sheetProtection autoFilter="0"/>
  <mergeCells count="17">
    <mergeCell ref="B55:C55"/>
    <mergeCell ref="G55:I55"/>
    <mergeCell ref="AY55:AZ55"/>
    <mergeCell ref="B56:C56"/>
    <mergeCell ref="G56:I56"/>
    <mergeCell ref="AY56:AZ56"/>
    <mergeCell ref="AY52:AZ52"/>
    <mergeCell ref="AY53:AZ53"/>
    <mergeCell ref="B54:C54"/>
    <mergeCell ref="G54:I54"/>
    <mergeCell ref="AY54:AZ54"/>
    <mergeCell ref="B3:C3"/>
    <mergeCell ref="F6:I6"/>
    <mergeCell ref="G52:I52"/>
    <mergeCell ref="G53:I53"/>
    <mergeCell ref="B52:C52"/>
    <mergeCell ref="B53:C53"/>
  </mergeCells>
  <conditionalFormatting sqref="J9:AX49">
    <cfRule type="containsBlanks" dxfId="515" priority="22" stopIfTrue="1">
      <formula>LEN(TRIM(J9))=0</formula>
    </cfRule>
    <cfRule type="beginsWith" dxfId="514" priority="24" stopIfTrue="1" operator="beginsWith" text="u">
      <formula>LEFT(J9,LEN("u"))="u"</formula>
    </cfRule>
    <cfRule type="beginsWith" dxfId="513" priority="25" stopIfTrue="1" operator="beginsWith" text="p">
      <formula>LEFT(J9,LEN("p"))="p"</formula>
    </cfRule>
    <cfRule type="containsText" dxfId="512" priority="26" stopIfTrue="1" operator="containsText" text="B1">
      <formula>NOT(ISERROR(SEARCH("B1",J9)))</formula>
    </cfRule>
    <cfRule type="containsText" dxfId="511" priority="27" stopIfTrue="1" operator="containsText" text="B2">
      <formula>NOT(ISERROR(SEARCH("B2",J9)))</formula>
    </cfRule>
    <cfRule type="containsText" dxfId="510" priority="28" stopIfTrue="1" operator="containsText" text="Lunch">
      <formula>NOT(ISERROR(SEARCH("Lunch",J9)))</formula>
    </cfRule>
    <cfRule type="containsText" dxfId="509" priority="29" stopIfTrue="1" operator="containsText" text="Interview">
      <formula>NOT(ISERROR(SEARCH("Interview",J9)))</formula>
    </cfRule>
    <cfRule type="containsText" dxfId="508" priority="30" stopIfTrue="1" operator="containsText" text="Side by Side">
      <formula>NOT(ISERROR(SEARCH("Side by Side",J9)))</formula>
    </cfRule>
    <cfRule type="containsText" dxfId="507" priority="31" stopIfTrue="1" operator="containsText" text="COACHING">
      <formula>NOT(ISERROR(SEARCH("COACHING",J9)))</formula>
    </cfRule>
    <cfRule type="containsText" dxfId="506" priority="32" stopIfTrue="1" operator="containsText" text="TM">
      <formula>NOT(ISERROR(SEARCH("TM",J9)))</formula>
    </cfRule>
    <cfRule type="containsText" dxfId="505" priority="33" stopIfTrue="1" operator="containsText" text="RNNR">
      <formula>NOT(ISERROR(SEARCH("RNNR",J9)))</formula>
    </cfRule>
    <cfRule type="containsText" dxfId="504" priority="34" stopIfTrue="1" operator="containsText" text="ADM">
      <formula>NOT(ISERROR(SEARCH("ADM",J9)))</formula>
    </cfRule>
    <cfRule type="containsText" dxfId="503" priority="35" stopIfTrue="1" operator="containsText" text="HL">
      <formula>NOT(ISERROR(SEARCH("HL",J9)))</formula>
    </cfRule>
    <cfRule type="notContainsBlanks" dxfId="502" priority="36" stopIfTrue="1">
      <formula>LEN(TRIM(J9))&gt;0</formula>
    </cfRule>
  </conditionalFormatting>
  <conditionalFormatting sqref="J52:AW52">
    <cfRule type="cellIs" dxfId="501" priority="6" operator="greaterThanOrEqual">
      <formula>2</formula>
    </cfRule>
    <cfRule type="containsText" dxfId="500" priority="7" operator="containsText" text="1">
      <formula>NOT(ISERROR(SEARCH("1",J52)))</formula>
    </cfRule>
    <cfRule type="containsText" dxfId="499" priority="8" operator="containsText" text="0">
      <formula>NOT(ISERROR(SEARCH("0",J52)))</formula>
    </cfRule>
  </conditionalFormatting>
  <conditionalFormatting sqref="J53:AW53">
    <cfRule type="cellIs" dxfId="498" priority="3" operator="greaterThanOrEqual">
      <formula>2</formula>
    </cfRule>
    <cfRule type="containsText" dxfId="497" priority="4" operator="containsText" text="1">
      <formula>NOT(ISERROR(SEARCH("1",J53)))</formula>
    </cfRule>
    <cfRule type="containsText" dxfId="496" priority="5" operator="containsText" text="0">
      <formula>NOT(ISERROR(SEARCH("0",J53)))</formula>
    </cfRule>
  </conditionalFormatting>
  <conditionalFormatting sqref="J56:AW56">
    <cfRule type="colorScale" priority="1">
      <colorScale>
        <cfvo type="num" val="-0.05"/>
        <cfvo type="num" val="0"/>
        <cfvo type="num" val="0.05"/>
        <color rgb="FFF8696B"/>
        <color rgb="FFCDF3CD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3" stopIfTrue="1" operator="containsText" id="{A0D7BDA6-5BAF-452E-8FAA-E447BDB1D6FF}">
            <xm:f>NOT(ISERROR(SEARCH("-",J9)))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J9:AX49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6" tint="0.59999389629810485"/>
    <outlinePr summaryBelow="0" summaryRight="0"/>
  </sheetPr>
  <dimension ref="A1:BA99"/>
  <sheetViews>
    <sheetView workbookViewId="0">
      <pane xSplit="9" ySplit="8" topLeftCell="J9" activePane="bottomRight" state="frozen"/>
      <selection activeCell="BB1" sqref="BB1:XFD1048576"/>
      <selection pane="topRight" activeCell="BB1" sqref="BB1:XFD1048576"/>
      <selection pane="bottomLeft" activeCell="BB1" sqref="BB1:XFD1048576"/>
      <selection pane="bottomRight" activeCell="B3" sqref="B3:C3"/>
    </sheetView>
  </sheetViews>
  <sheetFormatPr defaultColWidth="0" defaultRowHeight="12.75" zeroHeight="1" x14ac:dyDescent="0.2"/>
  <cols>
    <col min="1" max="1" width="1.7109375" style="6" customWidth="1"/>
    <col min="2" max="2" width="20.28515625" style="6" bestFit="1" customWidth="1"/>
    <col min="3" max="3" width="10.7109375" style="6" customWidth="1"/>
    <col min="4" max="4" width="11.85546875" style="6" customWidth="1"/>
    <col min="5" max="5" width="11.42578125" style="6" customWidth="1"/>
    <col min="6" max="6" width="11.28515625" style="6" customWidth="1"/>
    <col min="7" max="7" width="12.28515625" style="6" customWidth="1"/>
    <col min="8" max="50" width="10.7109375" style="6" customWidth="1"/>
    <col min="51" max="51" width="23.5703125" style="6" customWidth="1"/>
    <col min="52" max="52" width="1.7109375" style="6" customWidth="1"/>
    <col min="53" max="53" width="9.140625" style="6" customWidth="1"/>
    <col min="54" max="16384" width="9.140625" style="6" hidden="1"/>
  </cols>
  <sheetData>
    <row r="1" spans="1:51" ht="6" customHeight="1" x14ac:dyDescent="0.2">
      <c r="D1" s="5"/>
    </row>
    <row r="2" spans="1:51" x14ac:dyDescent="0.2"/>
    <row r="3" spans="1:51" ht="24.95" customHeight="1" x14ac:dyDescent="0.2">
      <c r="B3" s="480" t="str">
        <f>TEXT(Day_14,"DDDD")&amp;" - "&amp;TEXT(Day_14,"mm/dd/yy")</f>
        <v>Saturday - 03/28/20</v>
      </c>
      <c r="C3" s="480"/>
      <c r="D3" s="106"/>
      <c r="K3" s="94" t="s">
        <v>124</v>
      </c>
      <c r="L3" s="152" t="s">
        <v>218</v>
      </c>
      <c r="M3" s="153" t="s">
        <v>220</v>
      </c>
      <c r="N3" s="71" t="s">
        <v>126</v>
      </c>
      <c r="O3" s="72" t="s">
        <v>130</v>
      </c>
      <c r="P3" s="73" t="s">
        <v>90</v>
      </c>
      <c r="Q3" s="139" t="s">
        <v>215</v>
      </c>
      <c r="R3" s="138" t="s">
        <v>211</v>
      </c>
      <c r="S3" s="137" t="s">
        <v>127</v>
      </c>
      <c r="T3" s="151" t="s">
        <v>139</v>
      </c>
      <c r="U3" s="69" t="s">
        <v>129</v>
      </c>
      <c r="V3" s="155" t="s">
        <v>146</v>
      </c>
      <c r="W3" s="157" t="s">
        <v>222</v>
      </c>
      <c r="X3" s="228" t="s">
        <v>366</v>
      </c>
      <c r="Y3" s="211"/>
      <c r="Z3" s="212"/>
      <c r="AA3" s="213"/>
      <c r="AB3" s="214"/>
      <c r="AD3" s="94" t="s">
        <v>124</v>
      </c>
      <c r="AE3" s="152" t="s">
        <v>218</v>
      </c>
      <c r="AF3" s="153" t="s">
        <v>220</v>
      </c>
      <c r="AG3" s="71" t="s">
        <v>126</v>
      </c>
      <c r="AH3" s="72" t="s">
        <v>130</v>
      </c>
      <c r="AI3" s="73" t="s">
        <v>90</v>
      </c>
      <c r="AJ3" s="139" t="s">
        <v>215</v>
      </c>
      <c r="AK3" s="138" t="s">
        <v>211</v>
      </c>
      <c r="AL3" s="137" t="s">
        <v>127</v>
      </c>
      <c r="AM3" s="151" t="s">
        <v>139</v>
      </c>
      <c r="AN3" s="69" t="s">
        <v>129</v>
      </c>
      <c r="AO3" s="155" t="s">
        <v>146</v>
      </c>
      <c r="AP3" s="157" t="s">
        <v>222</v>
      </c>
      <c r="AQ3" s="228" t="s">
        <v>366</v>
      </c>
    </row>
    <row r="4" spans="1:51" ht="24.95" customHeight="1" x14ac:dyDescent="0.2">
      <c r="B4" s="7"/>
      <c r="J4" s="18"/>
      <c r="K4" s="94" t="s">
        <v>125</v>
      </c>
      <c r="L4" s="154" t="s">
        <v>217</v>
      </c>
      <c r="M4" s="154" t="s">
        <v>221</v>
      </c>
      <c r="N4" s="70" t="s">
        <v>87</v>
      </c>
      <c r="O4" s="67" t="s">
        <v>89</v>
      </c>
      <c r="P4" s="67" t="s">
        <v>213</v>
      </c>
      <c r="Q4" s="67" t="s">
        <v>214</v>
      </c>
      <c r="R4" s="67" t="s">
        <v>212</v>
      </c>
      <c r="S4" s="67" t="s">
        <v>128</v>
      </c>
      <c r="T4" s="67" t="s">
        <v>138</v>
      </c>
      <c r="U4" s="67" t="s">
        <v>129</v>
      </c>
      <c r="V4" s="156" t="s">
        <v>145</v>
      </c>
      <c r="W4" s="98" t="s">
        <v>223</v>
      </c>
      <c r="X4" s="98" t="s">
        <v>367</v>
      </c>
      <c r="Y4" s="214"/>
      <c r="Z4" s="215"/>
      <c r="AA4" s="216"/>
      <c r="AB4" s="217"/>
      <c r="AD4" s="94" t="s">
        <v>125</v>
      </c>
      <c r="AE4" s="154" t="s">
        <v>217</v>
      </c>
      <c r="AF4" s="154" t="s">
        <v>221</v>
      </c>
      <c r="AG4" s="70" t="s">
        <v>87</v>
      </c>
      <c r="AH4" s="67" t="s">
        <v>89</v>
      </c>
      <c r="AI4" s="67" t="s">
        <v>213</v>
      </c>
      <c r="AJ4" s="67" t="s">
        <v>214</v>
      </c>
      <c r="AK4" s="67" t="s">
        <v>212</v>
      </c>
      <c r="AL4" s="67" t="s">
        <v>128</v>
      </c>
      <c r="AM4" s="67" t="s">
        <v>138</v>
      </c>
      <c r="AN4" s="67" t="s">
        <v>129</v>
      </c>
      <c r="AO4" s="156" t="s">
        <v>145</v>
      </c>
      <c r="AP4" s="98" t="s">
        <v>223</v>
      </c>
      <c r="AQ4" s="98" t="s">
        <v>367</v>
      </c>
    </row>
    <row r="5" spans="1:51" ht="6" customHeight="1" x14ac:dyDescent="0.2"/>
    <row r="6" spans="1:51" ht="17.25" customHeight="1" x14ac:dyDescent="0.2">
      <c r="F6" s="477" t="s">
        <v>132</v>
      </c>
      <c r="G6" s="478"/>
      <c r="H6" s="478"/>
      <c r="I6" s="479"/>
      <c r="J6" s="19"/>
      <c r="K6" s="19"/>
    </row>
    <row r="7" spans="1:51" ht="6" customHeight="1" thickBot="1" x14ac:dyDescent="0.25">
      <c r="J7" s="104" t="s">
        <v>93</v>
      </c>
      <c r="K7" s="104" t="s">
        <v>95</v>
      </c>
      <c r="L7" s="104" t="s">
        <v>97</v>
      </c>
      <c r="M7" s="104" t="s">
        <v>140</v>
      </c>
      <c r="N7" s="104" t="s">
        <v>109</v>
      </c>
      <c r="O7" s="104" t="s">
        <v>103</v>
      </c>
      <c r="P7" s="104" t="s">
        <v>121</v>
      </c>
      <c r="Q7" s="104" t="s">
        <v>113</v>
      </c>
      <c r="R7" s="104" t="s">
        <v>105</v>
      </c>
      <c r="S7" s="104" t="s">
        <v>107</v>
      </c>
      <c r="T7" s="104" t="s">
        <v>141</v>
      </c>
      <c r="U7" s="104" t="s">
        <v>101</v>
      </c>
      <c r="V7" s="104" t="s">
        <v>122</v>
      </c>
      <c r="W7" s="104" t="s">
        <v>116</v>
      </c>
      <c r="X7" s="104" t="s">
        <v>148</v>
      </c>
      <c r="Y7" s="104" t="s">
        <v>149</v>
      </c>
      <c r="Z7" s="104" t="s">
        <v>111</v>
      </c>
      <c r="AA7" s="104" t="s">
        <v>94</v>
      </c>
      <c r="AB7" s="104" t="s">
        <v>96</v>
      </c>
      <c r="AC7" s="104" t="s">
        <v>98</v>
      </c>
      <c r="AD7" s="104" t="s">
        <v>118</v>
      </c>
      <c r="AE7" s="104" t="s">
        <v>99</v>
      </c>
      <c r="AF7" s="104" t="s">
        <v>104</v>
      </c>
      <c r="AG7" s="104" t="s">
        <v>150</v>
      </c>
      <c r="AH7" s="104" t="s">
        <v>114</v>
      </c>
      <c r="AI7" s="104" t="s">
        <v>106</v>
      </c>
      <c r="AJ7" s="104" t="s">
        <v>108</v>
      </c>
      <c r="AK7" s="104" t="s">
        <v>142</v>
      </c>
      <c r="AL7" s="104" t="s">
        <v>102</v>
      </c>
      <c r="AM7" s="104" t="s">
        <v>143</v>
      </c>
      <c r="AN7" s="104" t="s">
        <v>123</v>
      </c>
      <c r="AO7" s="104" t="s">
        <v>117</v>
      </c>
      <c r="AP7" s="104" t="s">
        <v>151</v>
      </c>
      <c r="AQ7" s="104" t="s">
        <v>112</v>
      </c>
      <c r="AR7" s="104" t="s">
        <v>110</v>
      </c>
      <c r="AS7" s="104" t="s">
        <v>119</v>
      </c>
      <c r="AT7" s="104" t="s">
        <v>115</v>
      </c>
      <c r="AU7" s="104" t="s">
        <v>120</v>
      </c>
      <c r="AV7" s="104"/>
      <c r="AW7" s="104"/>
      <c r="AX7" s="105">
        <v>0</v>
      </c>
    </row>
    <row r="8" spans="1:51" ht="13.5" thickBot="1" x14ac:dyDescent="0.25">
      <c r="A8" s="15" t="s">
        <v>14</v>
      </c>
      <c r="B8" s="168" t="s">
        <v>2</v>
      </c>
      <c r="C8" s="169" t="s">
        <v>5</v>
      </c>
      <c r="D8" s="169" t="s">
        <v>84</v>
      </c>
      <c r="E8" s="169" t="s">
        <v>86</v>
      </c>
      <c r="F8" s="169" t="s">
        <v>87</v>
      </c>
      <c r="G8" s="169" t="s">
        <v>223</v>
      </c>
      <c r="H8" s="169" t="s">
        <v>89</v>
      </c>
      <c r="I8" s="169" t="s">
        <v>90</v>
      </c>
      <c r="J8" s="170" t="s">
        <v>93</v>
      </c>
      <c r="K8" s="170" t="s">
        <v>95</v>
      </c>
      <c r="L8" s="170" t="s">
        <v>97</v>
      </c>
      <c r="M8" s="170" t="s">
        <v>140</v>
      </c>
      <c r="N8" s="170" t="s">
        <v>109</v>
      </c>
      <c r="O8" s="170" t="s">
        <v>103</v>
      </c>
      <c r="P8" s="170" t="s">
        <v>121</v>
      </c>
      <c r="Q8" s="170" t="s">
        <v>113</v>
      </c>
      <c r="R8" s="170" t="s">
        <v>105</v>
      </c>
      <c r="S8" s="170" t="s">
        <v>107</v>
      </c>
      <c r="T8" s="170" t="s">
        <v>141</v>
      </c>
      <c r="U8" s="170" t="s">
        <v>101</v>
      </c>
      <c r="V8" s="170" t="s">
        <v>122</v>
      </c>
      <c r="W8" s="170" t="s">
        <v>116</v>
      </c>
      <c r="X8" s="170" t="s">
        <v>148</v>
      </c>
      <c r="Y8" s="170" t="s">
        <v>149</v>
      </c>
      <c r="Z8" s="170" t="s">
        <v>111</v>
      </c>
      <c r="AA8" s="170" t="s">
        <v>94</v>
      </c>
      <c r="AB8" s="170" t="s">
        <v>96</v>
      </c>
      <c r="AC8" s="170" t="s">
        <v>98</v>
      </c>
      <c r="AD8" s="170" t="s">
        <v>118</v>
      </c>
      <c r="AE8" s="170" t="s">
        <v>99</v>
      </c>
      <c r="AF8" s="170" t="s">
        <v>104</v>
      </c>
      <c r="AG8" s="170" t="s">
        <v>150</v>
      </c>
      <c r="AH8" s="170" t="s">
        <v>114</v>
      </c>
      <c r="AI8" s="170" t="s">
        <v>106</v>
      </c>
      <c r="AJ8" s="170" t="s">
        <v>108</v>
      </c>
      <c r="AK8" s="170" t="s">
        <v>142</v>
      </c>
      <c r="AL8" s="170" t="s">
        <v>102</v>
      </c>
      <c r="AM8" s="170" t="s">
        <v>143</v>
      </c>
      <c r="AN8" s="170" t="s">
        <v>123</v>
      </c>
      <c r="AO8" s="170" t="s">
        <v>117</v>
      </c>
      <c r="AP8" s="170" t="s">
        <v>151</v>
      </c>
      <c r="AQ8" s="170" t="s">
        <v>112</v>
      </c>
      <c r="AR8" s="170" t="s">
        <v>110</v>
      </c>
      <c r="AS8" s="170" t="s">
        <v>119</v>
      </c>
      <c r="AT8" s="170" t="s">
        <v>115</v>
      </c>
      <c r="AU8" s="170" t="s">
        <v>120</v>
      </c>
      <c r="AV8" s="199" t="s">
        <v>100</v>
      </c>
      <c r="AW8" s="199" t="s">
        <v>243</v>
      </c>
      <c r="AX8" s="199" t="s">
        <v>244</v>
      </c>
      <c r="AY8" s="171" t="s">
        <v>147</v>
      </c>
    </row>
    <row r="9" spans="1:51" s="44" customFormat="1" ht="12" customHeight="1" x14ac:dyDescent="0.2">
      <c r="A9" s="39" t="str">
        <f>IF(B9="","",INDEX(TeamList[],MATCH($B9,TeamList[[Employee Name]:[Employee Name]],0),MATCH("Manager",TeamList[#Headers],0)))</f>
        <v>Olson, Katherine</v>
      </c>
      <c r="B9" s="201" t="s">
        <v>233</v>
      </c>
      <c r="C9" s="257" t="str">
        <f>_xlfn.IFNA(VLOOKUP(Sat_W2[[#This Row],[Employee Name]],'Base Schedules'!A:B,2,FALSE),"")</f>
        <v>Lead</v>
      </c>
      <c r="D9" s="274">
        <f>_xlfn.IFNA(VLOOKUP(Sat_W2[[#This Row],[Employee Name]],'Base Schedules'!A:C,3,FALSE),"")</f>
        <v>500</v>
      </c>
      <c r="E9" s="274">
        <f>_xlfn.IFNA(VLOOKUP(Sat_W2[[#This Row],[Employee Name]],'Base Schedules'!A:D,4,FALSE),"")</f>
        <v>1330</v>
      </c>
      <c r="F9" s="142">
        <f>IF(Sat_W2[[#This Row],[Employee Name]]="","",IF(Sat_W2[[#This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f>
        <v>7</v>
      </c>
      <c r="G9" s="142">
        <f t="shared" ref="G9:G46" si="0">IF(B9="","",COUNTIFS($J9:$AX9,"*Coaching*",$J9:$AX9,"&lt;&gt;"&amp;"pTM",$J9:$AX9,"&lt;&gt;"&amp;"uTM"))</f>
        <v>0</v>
      </c>
      <c r="H9" s="142">
        <f t="shared" ref="H9:H46" si="1">IF(B9="","",COUNTIFS($J9:$AX9,"*ADM*",$J9:$AX9,"&lt;&gt;"&amp;"pADM",$J9:$AX9,"&lt;&gt;"&amp;"uADM"))</f>
        <v>6</v>
      </c>
      <c r="I9" s="142">
        <f>IF(Sat_W2[[#This Row],[Employee Name]]="","",IF(Sat_W2[[#This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f>
        <v>2</v>
      </c>
      <c r="J9" s="184" t="str">
        <f>IFERROR(IF(VLOOKUP(Sat_W2[[#This Row],[Employee Name]],'Base Schedules'!$A$46:$AW$77,9,FALSE)="","",VLOOKUP(Sat_W2[[#This Row],[Employee Name]],'Base Schedules'!$A$46:$AW$77,9,FALSE)),"")</f>
        <v>HL</v>
      </c>
      <c r="K9" s="184" t="str">
        <f>IFERROR(IF(VLOOKUP(Sat_W2[[#This Row],[Employee Name]],'Base Schedules'!$A$46:$AW$77,10,FALSE)="","",VLOOKUP(Sat_W2[[#This Row],[Employee Name]],'Base Schedules'!$A$46:$AW$77,10,FALSE)),"")</f>
        <v>HL</v>
      </c>
      <c r="L9" s="184" t="str">
        <f>IFERROR(IF(VLOOKUP(Sat_W2[[#This Row],[Employee Name]],'Base Schedules'!$A$46:$AW$77,11,FALSE)="","",VLOOKUP(Sat_W2[[#This Row],[Employee Name]],'Base Schedules'!$A$46:$AW$77,11,FALSE)),"")</f>
        <v>HL</v>
      </c>
      <c r="M9" s="184" t="str">
        <f>IFERROR(IF(VLOOKUP(Sat_W2[[#This Row],[Employee Name]],'Base Schedules'!$A$46:$AW$77,12,FALSE)="","",VLOOKUP(Sat_W2[[#This Row],[Employee Name]],'Base Schedules'!$A$46:$AW$77,12,FALSE)),"")</f>
        <v>HL</v>
      </c>
      <c r="N9" s="184" t="str">
        <f>IFERROR(IF(VLOOKUP(Sat_W2[[#This Row],[Employee Name]],'Base Schedules'!$A$46:$AW$77,13,FALSE)="","",VLOOKUP(Sat_W2[[#This Row],[Employee Name]],'Base Schedules'!$A$46:$AW$77,13,FALSE)),"")</f>
        <v>B1 HL</v>
      </c>
      <c r="O9" s="184" t="str">
        <f>IFERROR(IF(VLOOKUP(Sat_W2[[#This Row],[Employee Name]],'Base Schedules'!$A$46:$AW$77,14,FALSE)="","",VLOOKUP(Sat_W2[[#This Row],[Employee Name]],'Base Schedules'!$A$46:$AW$77,14,FALSE)),"")</f>
        <v>ADM</v>
      </c>
      <c r="P9" s="184" t="str">
        <f>IFERROR(IF(VLOOKUP(Sat_W2[[#This Row],[Employee Name]],'Base Schedules'!$A$46:$AW$77,15,FALSE)="","",VLOOKUP(Sat_W2[[#This Row],[Employee Name]],'Base Schedules'!$A$46:$AW$77,15,FALSE)),"")</f>
        <v>ADM</v>
      </c>
      <c r="Q9" s="184" t="str">
        <f>IFERROR(IF(VLOOKUP(Sat_W2[[#This Row],[Employee Name]],'Base Schedules'!$A$46:$AW$77,16,FALSE)="","",VLOOKUP(Sat_W2[[#This Row],[Employee Name]],'Base Schedules'!$A$46:$AW$77,16,FALSE)),"")</f>
        <v>ADM</v>
      </c>
      <c r="R9" s="184" t="str">
        <f>IFERROR(IF(VLOOKUP(Sat_W2[[#This Row],[Employee Name]],'Base Schedules'!$A$46:$AW$77,17,FALSE)="","",VLOOKUP(Sat_W2[[#This Row],[Employee Name]],'Base Schedules'!$A$46:$AW$77,17,FALSE)),"")</f>
        <v>LUNCH</v>
      </c>
      <c r="S9" s="184" t="str">
        <f>IFERROR(IF(VLOOKUP(Sat_W2[[#This Row],[Employee Name]],'Base Schedules'!$A$46:$AW$77,18,FALSE)="","",VLOOKUP(Sat_W2[[#This Row],[Employee Name]],'Base Schedules'!$A$46:$AW$77,18,FALSE)),"")</f>
        <v>ADM</v>
      </c>
      <c r="T9" s="184" t="str">
        <f>IFERROR(IF(VLOOKUP(Sat_W2[[#This Row],[Employee Name]],'Base Schedules'!$A$46:$AW$77,19,FALSE)="","",VLOOKUP(Sat_W2[[#This Row],[Employee Name]],'Base Schedules'!$A$46:$AW$77,19,FALSE)),"")</f>
        <v>ADM</v>
      </c>
      <c r="U9" s="184" t="str">
        <f>IFERROR(IF(VLOOKUP(Sat_W2[[#This Row],[Employee Name]],'Base Schedules'!$A$46:$AW$77,20,FALSE)="","",VLOOKUP(Sat_W2[[#This Row],[Employee Name]],'Base Schedules'!$A$46:$AW$77,20,FALSE)),"")</f>
        <v>ADM</v>
      </c>
      <c r="V9" s="184" t="str">
        <f>IFERROR(IF(VLOOKUP(Sat_W2[[#This Row],[Employee Name]],'Base Schedules'!$A$46:$AW$77,21,FALSE)="","",VLOOKUP(Sat_W2[[#This Row],[Employee Name]],'Base Schedules'!$A$46:$AW$77,21,FALSE)),"")</f>
        <v>HL</v>
      </c>
      <c r="W9" s="184" t="str">
        <f>IFERROR(IF(VLOOKUP(Sat_W2[[#This Row],[Employee Name]],'Base Schedules'!$A$46:$AW$77,22,FALSE)="","",VLOOKUP(Sat_W2[[#This Row],[Employee Name]],'Base Schedules'!$A$46:$AW$77,22,FALSE)),"")</f>
        <v>B2 HL</v>
      </c>
      <c r="X9" s="184" t="str">
        <f>IFERROR(IF(VLOOKUP(Sat_W2[[#This Row],[Employee Name]],'Base Schedules'!$A$46:$AW$77,23,FALSE)="","",VLOOKUP(Sat_W2[[#This Row],[Employee Name]],'Base Schedules'!$A$46:$AW$77,23,FALSE)),"")</f>
        <v>RNNR</v>
      </c>
      <c r="Y9" s="184" t="str">
        <f>IFERROR(IF(VLOOKUP(Sat_W2[[#This Row],[Employee Name]],'Base Schedules'!$A$46:$AW$77,24,FALSE)="","",VLOOKUP(Sat_W2[[#This Row],[Employee Name]],'Base Schedules'!$A$46:$AW$77,24,FALSE)),"")</f>
        <v>RNNR</v>
      </c>
      <c r="Z9" s="184" t="str">
        <f>IFERROR(IF(VLOOKUP(Sat_W2[[#This Row],[Employee Name]],'Base Schedules'!$A$46:$AW$77,25,FALSE)="","",VLOOKUP(Sat_W2[[#This Row],[Employee Name]],'Base Schedules'!$A$46:$AW$77,25,FALSE)),"")</f>
        <v>HL</v>
      </c>
      <c r="AA9" s="184" t="str">
        <f>IFERROR(IF(VLOOKUP(Sat_W2[[#This Row],[Employee Name]],'Base Schedules'!$A$46:$AW$77,26,FALSE)="","",VLOOKUP(Sat_W2[[#This Row],[Employee Name]],'Base Schedules'!$A$46:$AW$77,26,FALSE)),"")</f>
        <v/>
      </c>
      <c r="AB9" s="184" t="str">
        <f>IFERROR(IF(VLOOKUP(Sat_W2[[#This Row],[Employee Name]],'Base Schedules'!$A$46:$AW$77,27,FALSE)="","",VLOOKUP(Sat_W2[[#This Row],[Employee Name]],'Base Schedules'!$A$46:$AW$77,27,FALSE)),"")</f>
        <v/>
      </c>
      <c r="AC9" s="184" t="str">
        <f>IFERROR(IF(VLOOKUP(Sat_W2[[#This Row],[Employee Name]],'Base Schedules'!$A$46:$AW$77,28,FALSE)="","",VLOOKUP(Sat_W2[[#This Row],[Employee Name]],'Base Schedules'!$A$46:$AW$77,28,FALSE)),"")</f>
        <v/>
      </c>
      <c r="AD9" s="184" t="str">
        <f>IFERROR(IF(VLOOKUP(Sat_W2[[#This Row],[Employee Name]],'Base Schedules'!$A$46:$AW$77,29,FALSE)="","",VLOOKUP(Sat_W2[[#This Row],[Employee Name]],'Base Schedules'!$A$46:$AW$77,29,FALSE)),"")</f>
        <v/>
      </c>
      <c r="AE9" s="184" t="str">
        <f>IFERROR(IF(VLOOKUP(Sat_W2[[#This Row],[Employee Name]],'Base Schedules'!$A$46:$AW$77,30,FALSE)="","",VLOOKUP(Sat_W2[[#This Row],[Employee Name]],'Base Schedules'!$A$46:$AW$77,30,FALSE)),"")</f>
        <v/>
      </c>
      <c r="AF9" s="184" t="str">
        <f>IFERROR(IF(VLOOKUP(Sat_W2[[#This Row],[Employee Name]],'Base Schedules'!$A$46:$AW$77,31,FALSE)="","",VLOOKUP(Sat_W2[[#This Row],[Employee Name]],'Base Schedules'!$A$46:$AW$77,31,FALSE)),"")</f>
        <v/>
      </c>
      <c r="AG9" s="184" t="str">
        <f>IFERROR(IF(VLOOKUP(Sat_W2[[#This Row],[Employee Name]],'Base Schedules'!$A$46:$AW$77,32,FALSE)="","",VLOOKUP(Sat_W2[[#This Row],[Employee Name]],'Base Schedules'!$A$46:$AW$77,32,FALSE)),"")</f>
        <v/>
      </c>
      <c r="AH9" s="184" t="str">
        <f>IFERROR(IF(VLOOKUP(Sat_W2[[#This Row],[Employee Name]],'Base Schedules'!$A$46:$AW$77,33,FALSE)="","",VLOOKUP(Sat_W2[[#This Row],[Employee Name]],'Base Schedules'!$A$46:$AW$77,33,FALSE)),"")</f>
        <v/>
      </c>
      <c r="AI9" s="184" t="str">
        <f>IFERROR(IF(VLOOKUP(Sat_W2[[#This Row],[Employee Name]],'Base Schedules'!$A$46:$AW$77,34,FALSE)="","",VLOOKUP(Sat_W2[[#This Row],[Employee Name]],'Base Schedules'!$A$46:$AW$77,34,FALSE)),"")</f>
        <v/>
      </c>
      <c r="AJ9" s="184" t="str">
        <f>IFERROR(IF(VLOOKUP(Sat_W2[[#This Row],[Employee Name]],'Base Schedules'!$A$46:$AW$77,35,FALSE)="","",VLOOKUP(Sat_W2[[#This Row],[Employee Name]],'Base Schedules'!$A$46:$AW$77,35,FALSE)),"")</f>
        <v/>
      </c>
      <c r="AK9" s="184" t="str">
        <f>IFERROR(IF(VLOOKUP(Sat_W2[[#This Row],[Employee Name]],'Base Schedules'!$A$46:$AW$77,36,FALSE)="","",VLOOKUP(Sat_W2[[#This Row],[Employee Name]],'Base Schedules'!$A$46:$AW$77,36,FALSE)),"")</f>
        <v/>
      </c>
      <c r="AL9" s="184" t="str">
        <f>IFERROR(IF(VLOOKUP(Sat_W2[[#This Row],[Employee Name]],'Base Schedules'!$A$46:$AW$77,37,FALSE)="","",VLOOKUP(Sat_W2[[#This Row],[Employee Name]],'Base Schedules'!$A$46:$AW$77,37,FALSE)),"")</f>
        <v/>
      </c>
      <c r="AM9" s="184" t="str">
        <f>IFERROR(IF(VLOOKUP(Sat_W2[[#This Row],[Employee Name]],'Base Schedules'!$A$46:$AW$77,38,FALSE)="","",VLOOKUP(Sat_W2[[#This Row],[Employee Name]],'Base Schedules'!$A$46:$AW$77,38,FALSE)),"")</f>
        <v/>
      </c>
      <c r="AN9" s="184" t="str">
        <f>IFERROR(IF(VLOOKUP(Sat_W2[[#This Row],[Employee Name]],'Base Schedules'!$A$46:$AW$77,39,FALSE)="","",VLOOKUP(Sat_W2[[#This Row],[Employee Name]],'Base Schedules'!$A$46:$AW$77,39,FALSE)),"")</f>
        <v/>
      </c>
      <c r="AO9" s="184" t="str">
        <f>IFERROR(IF(VLOOKUP(Sat_W2[[#This Row],[Employee Name]],'Base Schedules'!$A$46:$AW$77,40,FALSE)="","",VLOOKUP(Sat_W2[[#This Row],[Employee Name]],'Base Schedules'!$A$46:$AW$77,40,FALSE)),"")</f>
        <v/>
      </c>
      <c r="AP9" s="184" t="str">
        <f>IFERROR(IF(VLOOKUP(Sat_W2[[#This Row],[Employee Name]],'Base Schedules'!$A$46:$AW$77,41,FALSE)="","",VLOOKUP(Sat_W2[[#This Row],[Employee Name]],'Base Schedules'!$A$46:$AW$77,41,FALSE)),"")</f>
        <v/>
      </c>
      <c r="AQ9" s="184" t="str">
        <f>IFERROR(IF(VLOOKUP(Sat_W2[[#This Row],[Employee Name]],'Base Schedules'!$A$46:$AW$77,42,FALSE)="","",VLOOKUP(Sat_W2[[#This Row],[Employee Name]],'Base Schedules'!$A$46:$AW$77,42,FALSE)),"")</f>
        <v/>
      </c>
      <c r="AR9" s="184" t="str">
        <f>IFERROR(IF(VLOOKUP(Sat_W2[[#This Row],[Employee Name]],'Base Schedules'!$A$46:$AW$77,43,FALSE)="","",VLOOKUP(Sat_W2[[#This Row],[Employee Name]],'Base Schedules'!$A$46:$AW$77,43,FALSE)),"")</f>
        <v/>
      </c>
      <c r="AS9" s="184" t="str">
        <f>IFERROR(IF(VLOOKUP(Sat_W2[[#This Row],[Employee Name]],'Base Schedules'!$A$46:$AW$77,44,FALSE)="","",VLOOKUP(Sat_W2[[#This Row],[Employee Name]],'Base Schedules'!$A$46:$AW$77,44,FALSE)),"")</f>
        <v/>
      </c>
      <c r="AT9" s="184" t="str">
        <f>IFERROR(IF(VLOOKUP(Sat_W2[[#This Row],[Employee Name]],'Base Schedules'!$A$46:$AW$77,45,FALSE)="","",VLOOKUP(Sat_W2[[#This Row],[Employee Name]],'Base Schedules'!$A$46:$AW$77,45,FALSE)),"")</f>
        <v/>
      </c>
      <c r="AU9" s="184" t="str">
        <f>IFERROR(IF(VLOOKUP(Sat_W2[[#This Row],[Employee Name]],'Base Schedules'!$A$46:$AW$77,46,FALSE)="","",VLOOKUP(Sat_W2[[#This Row],[Employee Name]],'Base Schedules'!$A$46:$AW$77,46,FALSE)),"")</f>
        <v/>
      </c>
      <c r="AV9" s="184" t="str">
        <f>IFERROR(IF(VLOOKUP(Sat_W2[[#This Row],[Employee Name]],'Base Schedules'!$A$46:$AW$77,47,FALSE)="","",VLOOKUP(Sat_W2[[#This Row],[Employee Name]],'Base Schedules'!$A$46:$AW$77,47,FALSE)),"")</f>
        <v/>
      </c>
      <c r="AW9" s="184" t="str">
        <f>IFERROR(IF(VLOOKUP(Sat_W2[[#This Row],[Employee Name]],'Base Schedules'!$A$46:$AW$77,48,FALSE)="","",VLOOKUP(Sat_W2[[#This Row],[Employee Name]],'Base Schedules'!$A$46:$AW$77,48,FALSE)),"")</f>
        <v/>
      </c>
      <c r="AX9" s="184" t="str">
        <f>IFERROR(IF(VLOOKUP(Sat_W2[[#This Row],[Employee Name]],'Base Schedules'!$A$46:$AW$77,49,FALSE)="","",VLOOKUP(Sat_W2[[#This Row],[Employee Name]],'Base Schedules'!$A$46:$AW$77,49,FALSE)),"")</f>
        <v/>
      </c>
      <c r="AY9" s="196" t="str">
        <f t="shared" ref="AY9:AY46" si="2">IF(B9="","",B9)</f>
        <v>Shiraki, Suzy</v>
      </c>
    </row>
    <row r="10" spans="1:51" s="44" customFormat="1" ht="12" customHeight="1" x14ac:dyDescent="0.2">
      <c r="A10" s="39" t="str">
        <f>IF(B10="","",INDEX(TeamList[],MATCH($B10,TeamList[[Employee Name]:[Employee Name]],0),MATCH("Manager",TeamList[#Headers],0)))</f>
        <v>Olson, Katherine</v>
      </c>
      <c r="B10" s="201" t="s">
        <v>32</v>
      </c>
      <c r="C10" s="257" t="str">
        <f>_xlfn.IFNA(VLOOKUP(Sat_W2[[#This Row],[Employee Name]],'Base Schedules'!A:B,2,FALSE),"")</f>
        <v>Supervisor</v>
      </c>
      <c r="D10" s="274">
        <f>_xlfn.IFNA(VLOOKUP(Sat_W2[[#This Row],[Employee Name]],'Base Schedules'!A:C,3,FALSE),"")</f>
        <v>500</v>
      </c>
      <c r="E10" s="274">
        <f>_xlfn.IFNA(VLOOKUP(Sat_W2[[#This Row],[Employee Name]],'Base Schedules'!A:D,4,FALSE),"")</f>
        <v>1400</v>
      </c>
      <c r="F10" s="142">
        <f>IF(Sat_W2[[#This Row],[Employee Name]]="","",IF(Sat_W2[[#This Row],[Dept]]="Supervisor",COUNTIFS($J10:$AX10,"*HL*",$J10:$AX10,"&lt;&gt;"&amp;"pHL"),COUNTIFS($J10:$AX10,"*HL*",$J10:$AX10,"&lt;&gt;"&amp;"*pHL*",$J10:$AX10,"&lt;&gt;"&amp;"pB1 HL",$J10:$AX10,"&lt;&gt;"&amp;"pB2 HL")-SUM(COUNTIFS($J10:$AX10,"*HL B1*",$J10:$AX10,"&lt;&gt;"&amp;"pHL B1")*0.5,COUNTIFS($J10:$AX10,"*HL B2*",$J10:$AX10,"&lt;&gt;"&amp;"pHL B2")*0.5,COUNTIFS($J10:$AX10,"*B1 HL*",$J10:$AX10,"&lt;&gt;"&amp;"pB1 HL")*0.5,COUNTIFS($J10:$AX10,"*B2 HL*",$J10:$AX10,"&lt;&gt;"&amp;"pB2 HL")*0.5)))</f>
        <v>0</v>
      </c>
      <c r="G10" s="142">
        <f t="shared" si="0"/>
        <v>4</v>
      </c>
      <c r="H10" s="142">
        <f t="shared" si="1"/>
        <v>0</v>
      </c>
      <c r="I10" s="142">
        <f>IF(Sat_W2[[#This Row],[Employee Name]]="","",IF(Sat_W2[[#This Row],[Dept]]="Supervisor",SUM(COUNTIFS($J10:$AX10,"RTA*",$J10:$AX10,"&lt;&gt;"&amp;"pRTA"),COUNTIFS($J10:$AX10,"*CRTA*",$J10:$AX10,"&lt;&gt;"&amp;"pCRTA")),COUNTIFS($J10:$AX10,"*RNNR*",$J10:$AX10,"&lt;&gt;"&amp;"*pRNNR*",$J10:$AX10,"&lt;&gt;"&amp;"pB1 RNNR",$J10:$AX10,"&lt;&gt;"&amp;"pB2 RNNR")-SUM(COUNTIFS($J10:$AX10,"*RNNR B1*",$J10:$AX10,"&lt;&gt;"&amp;"pRNNR B1")*0.5,COUNTIFS($J10:$AX10,"*RNNR B2*",$J10:$AX10,"&lt;&gt;"&amp;"pRNNR B2")*0.5,COUNTIFS($J10:$AX10,"*B1 RNNR*",$J10:$AX10,"&lt;&gt;"&amp;"pB1 RNNR")*0.5,COUNTIFS($J10:$AX10,"*B2 RNNR*",$J10:$AX10,"&lt;&gt;"&amp;"pB2 RNNR")*0.5)))</f>
        <v>0</v>
      </c>
      <c r="J10" s="184" t="str">
        <f>IFERROR(IF(VLOOKUP(Sat_W2[[#This Row],[Employee Name]],'Base Schedules'!$A$46:$AW$77,9,FALSE)="","",VLOOKUP(Sat_W2[[#This Row],[Employee Name]],'Base Schedules'!$A$46:$AW$77,9,FALSE)),"")</f>
        <v>-</v>
      </c>
      <c r="K10" s="184" t="str">
        <f>IFERROR(IF(VLOOKUP(Sat_W2[[#This Row],[Employee Name]],'Base Schedules'!$A$46:$AW$77,10,FALSE)="","",VLOOKUP(Sat_W2[[#This Row],[Employee Name]],'Base Schedules'!$A$46:$AW$77,10,FALSE)),"")</f>
        <v>-</v>
      </c>
      <c r="L10" s="184" t="str">
        <f>IFERROR(IF(VLOOKUP(Sat_W2[[#This Row],[Employee Name]],'Base Schedules'!$A$46:$AW$77,11,FALSE)="","",VLOOKUP(Sat_W2[[#This Row],[Employee Name]],'Base Schedules'!$A$46:$AW$77,11,FALSE)),"")</f>
        <v>-</v>
      </c>
      <c r="M10" s="184" t="str">
        <f>IFERROR(IF(VLOOKUP(Sat_W2[[#This Row],[Employee Name]],'Base Schedules'!$A$46:$AW$77,12,FALSE)="","",VLOOKUP(Sat_W2[[#This Row],[Employee Name]],'Base Schedules'!$A$46:$AW$77,12,FALSE)),"")</f>
        <v>-</v>
      </c>
      <c r="N10" s="184" t="str">
        <f>IFERROR(IF(VLOOKUP(Sat_W2[[#This Row],[Employee Name]],'Base Schedules'!$A$46:$AW$77,13,FALSE)="","",VLOOKUP(Sat_W2[[#This Row],[Employee Name]],'Base Schedules'!$A$46:$AW$77,13,FALSE)),"")</f>
        <v>-</v>
      </c>
      <c r="O10" s="184" t="str">
        <f>IFERROR(IF(VLOOKUP(Sat_W2[[#This Row],[Employee Name]],'Base Schedules'!$A$46:$AW$77,14,FALSE)="","",VLOOKUP(Sat_W2[[#This Row],[Employee Name]],'Base Schedules'!$A$46:$AW$77,14,FALSE)),"")</f>
        <v>-</v>
      </c>
      <c r="P10" s="184" t="str">
        <f>IFERROR(IF(VLOOKUP(Sat_W2[[#This Row],[Employee Name]],'Base Schedules'!$A$46:$AW$77,15,FALSE)="","",VLOOKUP(Sat_W2[[#This Row],[Employee Name]],'Base Schedules'!$A$46:$AW$77,15,FALSE)),"")</f>
        <v>Interview</v>
      </c>
      <c r="Q10" s="184" t="str">
        <f>IFERROR(IF(VLOOKUP(Sat_W2[[#This Row],[Employee Name]],'Base Schedules'!$A$46:$AW$77,16,FALSE)="","",VLOOKUP(Sat_W2[[#This Row],[Employee Name]],'Base Schedules'!$A$46:$AW$77,16,FALSE)),"")</f>
        <v>Interview</v>
      </c>
      <c r="R10" s="184" t="str">
        <f>IFERROR(IF(VLOOKUP(Sat_W2[[#This Row],[Employee Name]],'Base Schedules'!$A$46:$AW$77,17,FALSE)="","",VLOOKUP(Sat_W2[[#This Row],[Employee Name]],'Base Schedules'!$A$46:$AW$77,17,FALSE)),"")</f>
        <v>-</v>
      </c>
      <c r="S10" s="184" t="str">
        <f>IFERROR(IF(VLOOKUP(Sat_W2[[#This Row],[Employee Name]],'Base Schedules'!$A$46:$AW$77,18,FALSE)="","",VLOOKUP(Sat_W2[[#This Row],[Employee Name]],'Base Schedules'!$A$46:$AW$77,18,FALSE)),"")</f>
        <v>-</v>
      </c>
      <c r="T10" s="184" t="str">
        <f>IFERROR(IF(VLOOKUP(Sat_W2[[#This Row],[Employee Name]],'Base Schedules'!$A$46:$AW$77,19,FALSE)="","",VLOOKUP(Sat_W2[[#This Row],[Employee Name]],'Base Schedules'!$A$46:$AW$77,19,FALSE)),"")</f>
        <v>-</v>
      </c>
      <c r="U10" s="184" t="str">
        <f>IFERROR(IF(VLOOKUP(Sat_W2[[#This Row],[Employee Name]],'Base Schedules'!$A$46:$AW$77,20,FALSE)="","",VLOOKUP(Sat_W2[[#This Row],[Employee Name]],'Base Schedules'!$A$46:$AW$77,20,FALSE)),"")</f>
        <v>-</v>
      </c>
      <c r="V10" s="184" t="str">
        <f>IFERROR(IF(VLOOKUP(Sat_W2[[#This Row],[Employee Name]],'Base Schedules'!$A$46:$AW$77,21,FALSE)="","",VLOOKUP(Sat_W2[[#This Row],[Employee Name]],'Base Schedules'!$A$46:$AW$77,21,FALSE)),"")</f>
        <v>Coaching</v>
      </c>
      <c r="W10" s="184" t="str">
        <f>IFERROR(IF(VLOOKUP(Sat_W2[[#This Row],[Employee Name]],'Base Schedules'!$A$46:$AW$77,22,FALSE)="","",VLOOKUP(Sat_W2[[#This Row],[Employee Name]],'Base Schedules'!$A$46:$AW$77,22,FALSE)),"")</f>
        <v>Coaching</v>
      </c>
      <c r="X10" s="184" t="str">
        <f>IFERROR(IF(VLOOKUP(Sat_W2[[#This Row],[Employee Name]],'Base Schedules'!$A$46:$AW$77,23,FALSE)="","",VLOOKUP(Sat_W2[[#This Row],[Employee Name]],'Base Schedules'!$A$46:$AW$77,23,FALSE)),"")</f>
        <v>Coaching</v>
      </c>
      <c r="Y10" s="184" t="str">
        <f>IFERROR(IF(VLOOKUP(Sat_W2[[#This Row],[Employee Name]],'Base Schedules'!$A$46:$AW$77,24,FALSE)="","",VLOOKUP(Sat_W2[[#This Row],[Employee Name]],'Base Schedules'!$A$46:$AW$77,24,FALSE)),"")</f>
        <v>Coaching</v>
      </c>
      <c r="Z10" s="184" t="str">
        <f>IFERROR(IF(VLOOKUP(Sat_W2[[#This Row],[Employee Name]],'Base Schedules'!$A$46:$AW$77,25,FALSE)="","",VLOOKUP(Sat_W2[[#This Row],[Employee Name]],'Base Schedules'!$A$46:$AW$77,25,FALSE)),"")</f>
        <v>-</v>
      </c>
      <c r="AA10" s="184" t="str">
        <f>IFERROR(IF(VLOOKUP(Sat_W2[[#This Row],[Employee Name]],'Base Schedules'!$A$46:$AW$77,26,FALSE)="","",VLOOKUP(Sat_W2[[#This Row],[Employee Name]],'Base Schedules'!$A$46:$AW$77,26,FALSE)),"")</f>
        <v>-</v>
      </c>
      <c r="AB10" s="184" t="str">
        <f>IFERROR(IF(VLOOKUP(Sat_W2[[#This Row],[Employee Name]],'Base Schedules'!$A$46:$AW$77,27,FALSE)="","",VLOOKUP(Sat_W2[[#This Row],[Employee Name]],'Base Schedules'!$A$46:$AW$77,27,FALSE)),"")</f>
        <v/>
      </c>
      <c r="AC10" s="184" t="str">
        <f>IFERROR(IF(VLOOKUP(Sat_W2[[#This Row],[Employee Name]],'Base Schedules'!$A$46:$AW$77,28,FALSE)="","",VLOOKUP(Sat_W2[[#This Row],[Employee Name]],'Base Schedules'!$A$46:$AW$77,28,FALSE)),"")</f>
        <v/>
      </c>
      <c r="AD10" s="184" t="str">
        <f>IFERROR(IF(VLOOKUP(Sat_W2[[#This Row],[Employee Name]],'Base Schedules'!$A$46:$AW$77,29,FALSE)="","",VLOOKUP(Sat_W2[[#This Row],[Employee Name]],'Base Schedules'!$A$46:$AW$77,29,FALSE)),"")</f>
        <v/>
      </c>
      <c r="AE10" s="184" t="str">
        <f>IFERROR(IF(VLOOKUP(Sat_W2[[#This Row],[Employee Name]],'Base Schedules'!$A$46:$AW$77,30,FALSE)="","",VLOOKUP(Sat_W2[[#This Row],[Employee Name]],'Base Schedules'!$A$46:$AW$77,30,FALSE)),"")</f>
        <v/>
      </c>
      <c r="AF10" s="184" t="str">
        <f>IFERROR(IF(VLOOKUP(Sat_W2[[#This Row],[Employee Name]],'Base Schedules'!$A$46:$AW$77,31,FALSE)="","",VLOOKUP(Sat_W2[[#This Row],[Employee Name]],'Base Schedules'!$A$46:$AW$77,31,FALSE)),"")</f>
        <v/>
      </c>
      <c r="AG10" s="184" t="str">
        <f>IFERROR(IF(VLOOKUP(Sat_W2[[#This Row],[Employee Name]],'Base Schedules'!$A$46:$AW$77,32,FALSE)="","",VLOOKUP(Sat_W2[[#This Row],[Employee Name]],'Base Schedules'!$A$46:$AW$77,32,FALSE)),"")</f>
        <v/>
      </c>
      <c r="AH10" s="184" t="str">
        <f>IFERROR(IF(VLOOKUP(Sat_W2[[#This Row],[Employee Name]],'Base Schedules'!$A$46:$AW$77,33,FALSE)="","",VLOOKUP(Sat_W2[[#This Row],[Employee Name]],'Base Schedules'!$A$46:$AW$77,33,FALSE)),"")</f>
        <v/>
      </c>
      <c r="AI10" s="184" t="str">
        <f>IFERROR(IF(VLOOKUP(Sat_W2[[#This Row],[Employee Name]],'Base Schedules'!$A$46:$AW$77,34,FALSE)="","",VLOOKUP(Sat_W2[[#This Row],[Employee Name]],'Base Schedules'!$A$46:$AW$77,34,FALSE)),"")</f>
        <v/>
      </c>
      <c r="AJ10" s="184" t="str">
        <f>IFERROR(IF(VLOOKUP(Sat_W2[[#This Row],[Employee Name]],'Base Schedules'!$A$46:$AW$77,35,FALSE)="","",VLOOKUP(Sat_W2[[#This Row],[Employee Name]],'Base Schedules'!$A$46:$AW$77,35,FALSE)),"")</f>
        <v/>
      </c>
      <c r="AK10" s="184" t="str">
        <f>IFERROR(IF(VLOOKUP(Sat_W2[[#This Row],[Employee Name]],'Base Schedules'!$A$46:$AW$77,36,FALSE)="","",VLOOKUP(Sat_W2[[#This Row],[Employee Name]],'Base Schedules'!$A$46:$AW$77,36,FALSE)),"")</f>
        <v/>
      </c>
      <c r="AL10" s="184" t="str">
        <f>IFERROR(IF(VLOOKUP(Sat_W2[[#This Row],[Employee Name]],'Base Schedules'!$A$46:$AW$77,37,FALSE)="","",VLOOKUP(Sat_W2[[#This Row],[Employee Name]],'Base Schedules'!$A$46:$AW$77,37,FALSE)),"")</f>
        <v/>
      </c>
      <c r="AM10" s="184" t="str">
        <f>IFERROR(IF(VLOOKUP(Sat_W2[[#This Row],[Employee Name]],'Base Schedules'!$A$46:$AW$77,38,FALSE)="","",VLOOKUP(Sat_W2[[#This Row],[Employee Name]],'Base Schedules'!$A$46:$AW$77,38,FALSE)),"")</f>
        <v/>
      </c>
      <c r="AN10" s="184" t="str">
        <f>IFERROR(IF(VLOOKUP(Sat_W2[[#This Row],[Employee Name]],'Base Schedules'!$A$46:$AW$77,39,FALSE)="","",VLOOKUP(Sat_W2[[#This Row],[Employee Name]],'Base Schedules'!$A$46:$AW$77,39,FALSE)),"")</f>
        <v/>
      </c>
      <c r="AO10" s="184" t="str">
        <f>IFERROR(IF(VLOOKUP(Sat_W2[[#This Row],[Employee Name]],'Base Schedules'!$A$46:$AW$77,40,FALSE)="","",VLOOKUP(Sat_W2[[#This Row],[Employee Name]],'Base Schedules'!$A$46:$AW$77,40,FALSE)),"")</f>
        <v/>
      </c>
      <c r="AP10" s="184" t="str">
        <f>IFERROR(IF(VLOOKUP(Sat_W2[[#This Row],[Employee Name]],'Base Schedules'!$A$46:$AW$77,41,FALSE)="","",VLOOKUP(Sat_W2[[#This Row],[Employee Name]],'Base Schedules'!$A$46:$AW$77,41,FALSE)),"")</f>
        <v/>
      </c>
      <c r="AQ10" s="184" t="str">
        <f>IFERROR(IF(VLOOKUP(Sat_W2[[#This Row],[Employee Name]],'Base Schedules'!$A$46:$AW$77,42,FALSE)="","",VLOOKUP(Sat_W2[[#This Row],[Employee Name]],'Base Schedules'!$A$46:$AW$77,42,FALSE)),"")</f>
        <v/>
      </c>
      <c r="AR10" s="184" t="str">
        <f>IFERROR(IF(VLOOKUP(Sat_W2[[#This Row],[Employee Name]],'Base Schedules'!$A$46:$AW$77,43,FALSE)="","",VLOOKUP(Sat_W2[[#This Row],[Employee Name]],'Base Schedules'!$A$46:$AW$77,43,FALSE)),"")</f>
        <v/>
      </c>
      <c r="AS10" s="184" t="str">
        <f>IFERROR(IF(VLOOKUP(Sat_W2[[#This Row],[Employee Name]],'Base Schedules'!$A$46:$AW$77,44,FALSE)="","",VLOOKUP(Sat_W2[[#This Row],[Employee Name]],'Base Schedules'!$A$46:$AW$77,44,FALSE)),"")</f>
        <v/>
      </c>
      <c r="AT10" s="184" t="str">
        <f>IFERROR(IF(VLOOKUP(Sat_W2[[#This Row],[Employee Name]],'Base Schedules'!$A$46:$AW$77,45,FALSE)="","",VLOOKUP(Sat_W2[[#This Row],[Employee Name]],'Base Schedules'!$A$46:$AW$77,45,FALSE)),"")</f>
        <v/>
      </c>
      <c r="AU10" s="184" t="str">
        <f>IFERROR(IF(VLOOKUP(Sat_W2[[#This Row],[Employee Name]],'Base Schedules'!$A$46:$AW$77,46,FALSE)="","",VLOOKUP(Sat_W2[[#This Row],[Employee Name]],'Base Schedules'!$A$46:$AW$77,46,FALSE)),"")</f>
        <v/>
      </c>
      <c r="AV10" s="184" t="str">
        <f>IFERROR(IF(VLOOKUP(Sat_W2[[#This Row],[Employee Name]],'Base Schedules'!$A$46:$AW$77,47,FALSE)="","",VLOOKUP(Sat_W2[[#This Row],[Employee Name]],'Base Schedules'!$A$46:$AW$77,47,FALSE)),"")</f>
        <v/>
      </c>
      <c r="AW10" s="184" t="str">
        <f>IFERROR(IF(VLOOKUP(Sat_W2[[#This Row],[Employee Name]],'Base Schedules'!$A$46:$AW$77,48,FALSE)="","",VLOOKUP(Sat_W2[[#This Row],[Employee Name]],'Base Schedules'!$A$46:$AW$77,48,FALSE)),"")</f>
        <v/>
      </c>
      <c r="AX10" s="184" t="str">
        <f>IFERROR(IF(VLOOKUP(Sat_W2[[#This Row],[Employee Name]],'Base Schedules'!$A$46:$AW$77,49,FALSE)="","",VLOOKUP(Sat_W2[[#This Row],[Employee Name]],'Base Schedules'!$A$46:$AW$77,49,FALSE)),"")</f>
        <v/>
      </c>
      <c r="AY10" s="160" t="str">
        <f t="shared" si="2"/>
        <v>Alvarez, Carlos</v>
      </c>
    </row>
    <row r="11" spans="1:51" s="44" customFormat="1" ht="12" customHeight="1" x14ac:dyDescent="0.2">
      <c r="A11" s="39" t="str">
        <f>IF(B11="","",INDEX(TeamList[],MATCH($B11,TeamList[[Employee Name]:[Employee Name]],0),MATCH("Manager",TeamList[#Headers],0)))</f>
        <v>Ahmed Hassan, Zahra</v>
      </c>
      <c r="B11" s="201" t="s">
        <v>25</v>
      </c>
      <c r="C11" s="257" t="str">
        <f>_xlfn.IFNA(VLOOKUP(Sat_W2[[#This Row],[Employee Name]],'Base Schedules'!A:B,2,FALSE),"")</f>
        <v>Supervisor</v>
      </c>
      <c r="D11" s="274">
        <f>_xlfn.IFNA(VLOOKUP(Sat_W2[[#This Row],[Employee Name]],'Base Schedules'!A:C,3,FALSE),"")</f>
        <v>500</v>
      </c>
      <c r="E11" s="274">
        <f>_xlfn.IFNA(VLOOKUP(Sat_W2[[#This Row],[Employee Name]],'Base Schedules'!A:D,4,FALSE),"")</f>
        <v>1400</v>
      </c>
      <c r="F11" s="142">
        <f>IF(Sat_W2[[#This Row],[Employee Name]]="","",IF(Sat_W2[[#This Row],[Dept]]="Supervisor",COUNTIFS($J11:$AX11,"*HL*",$J11:$AX11,"&lt;&gt;"&amp;"pHL"),COUNTIFS($J11:$AX11,"*HL*",$J11:$AX11,"&lt;&gt;"&amp;"*pHL*",$J11:$AX11,"&lt;&gt;"&amp;"pB1 HL",$J11:$AX11,"&lt;&gt;"&amp;"pB2 HL")-SUM(COUNTIFS($J11:$AX11,"*HL B1*",$J11:$AX11,"&lt;&gt;"&amp;"pHL B1")*0.5,COUNTIFS($J11:$AX11,"*HL B2*",$J11:$AX11,"&lt;&gt;"&amp;"pHL B2")*0.5,COUNTIFS($J11:$AX11,"*B1 HL*",$J11:$AX11,"&lt;&gt;"&amp;"pB1 HL")*0.5,COUNTIFS($J11:$AX11,"*B2 HL*",$J11:$AX11,"&lt;&gt;"&amp;"pB2 HL")*0.5)))</f>
        <v>0</v>
      </c>
      <c r="G11" s="142">
        <f t="shared" si="0"/>
        <v>4</v>
      </c>
      <c r="H11" s="142">
        <f t="shared" si="1"/>
        <v>0</v>
      </c>
      <c r="I11" s="142">
        <f>IF(Sat_W2[[#This Row],[Employee Name]]="","",IF(Sat_W2[[#This Row],[Dept]]="Supervisor",SUM(COUNTIFS($J11:$AX11,"RTA*",$J11:$AX11,"&lt;&gt;"&amp;"pRTA"),COUNTIFS($J11:$AX11,"*CRTA*",$J11:$AX11,"&lt;&gt;"&amp;"pCRTA")),COUNTIFS($J11:$AX11,"*RNNR*",$J11:$AX11,"&lt;&gt;"&amp;"*pRNNR*",$J11:$AX11,"&lt;&gt;"&amp;"pB1 RNNR",$J11:$AX11,"&lt;&gt;"&amp;"pB2 RNNR")-SUM(COUNTIFS($J11:$AX11,"*RNNR B1*",$J11:$AX11,"&lt;&gt;"&amp;"pRNNR B1")*0.5,COUNTIFS($J11:$AX11,"*RNNR B2*",$J11:$AX11,"&lt;&gt;"&amp;"pRNNR B2")*0.5,COUNTIFS($J11:$AX11,"*B1 RNNR*",$J11:$AX11,"&lt;&gt;"&amp;"pB1 RNNR")*0.5,COUNTIFS($J11:$AX11,"*B2 RNNR*",$J11:$AX11,"&lt;&gt;"&amp;"pB2 RNNR")*0.5)))</f>
        <v>0</v>
      </c>
      <c r="J11" s="184" t="str">
        <f>IFERROR(IF(VLOOKUP(Sat_W2[[#This Row],[Employee Name]],'Base Schedules'!$A$46:$AW$77,9,FALSE)="","",VLOOKUP(Sat_W2[[#This Row],[Employee Name]],'Base Schedules'!$A$46:$AW$77,9,FALSE)),"")</f>
        <v>-</v>
      </c>
      <c r="K11" s="184" t="str">
        <f>IFERROR(IF(VLOOKUP(Sat_W2[[#This Row],[Employee Name]],'Base Schedules'!$A$46:$AW$77,10,FALSE)="","",VLOOKUP(Sat_W2[[#This Row],[Employee Name]],'Base Schedules'!$A$46:$AW$77,10,FALSE)),"")</f>
        <v>-</v>
      </c>
      <c r="L11" s="184" t="str">
        <f>IFERROR(IF(VLOOKUP(Sat_W2[[#This Row],[Employee Name]],'Base Schedules'!$A$46:$AW$77,11,FALSE)="","",VLOOKUP(Sat_W2[[#This Row],[Employee Name]],'Base Schedules'!$A$46:$AW$77,11,FALSE)),"")</f>
        <v>-</v>
      </c>
      <c r="M11" s="184" t="str">
        <f>IFERROR(IF(VLOOKUP(Sat_W2[[#This Row],[Employee Name]],'Base Schedules'!$A$46:$AW$77,12,FALSE)="","",VLOOKUP(Sat_W2[[#This Row],[Employee Name]],'Base Schedules'!$A$46:$AW$77,12,FALSE)),"")</f>
        <v>-</v>
      </c>
      <c r="N11" s="184" t="str">
        <f>IFERROR(IF(VLOOKUP(Sat_W2[[#This Row],[Employee Name]],'Base Schedules'!$A$46:$AW$77,13,FALSE)="","",VLOOKUP(Sat_W2[[#This Row],[Employee Name]],'Base Schedules'!$A$46:$AW$77,13,FALSE)),"")</f>
        <v>-</v>
      </c>
      <c r="O11" s="184" t="str">
        <f>IFERROR(IF(VLOOKUP(Sat_W2[[#This Row],[Employee Name]],'Base Schedules'!$A$46:$AW$77,14,FALSE)="","",VLOOKUP(Sat_W2[[#This Row],[Employee Name]],'Base Schedules'!$A$46:$AW$77,14,FALSE)),"")</f>
        <v>-</v>
      </c>
      <c r="P11" s="184" t="str">
        <f>IFERROR(IF(VLOOKUP(Sat_W2[[#This Row],[Employee Name]],'Base Schedules'!$A$46:$AW$77,15,FALSE)="","",VLOOKUP(Sat_W2[[#This Row],[Employee Name]],'Base Schedules'!$A$46:$AW$77,15,FALSE)),"")</f>
        <v>Interview</v>
      </c>
      <c r="Q11" s="184" t="str">
        <f>IFERROR(IF(VLOOKUP(Sat_W2[[#This Row],[Employee Name]],'Base Schedules'!$A$46:$AW$77,16,FALSE)="","",VLOOKUP(Sat_W2[[#This Row],[Employee Name]],'Base Schedules'!$A$46:$AW$77,16,FALSE)),"")</f>
        <v>Interview</v>
      </c>
      <c r="R11" s="184" t="str">
        <f>IFERROR(IF(VLOOKUP(Sat_W2[[#This Row],[Employee Name]],'Base Schedules'!$A$46:$AW$77,17,FALSE)="","",VLOOKUP(Sat_W2[[#This Row],[Employee Name]],'Base Schedules'!$A$46:$AW$77,17,FALSE)),"")</f>
        <v>-</v>
      </c>
      <c r="S11" s="184" t="str">
        <f>IFERROR(IF(VLOOKUP(Sat_W2[[#This Row],[Employee Name]],'Base Schedules'!$A$46:$AW$77,18,FALSE)="","",VLOOKUP(Sat_W2[[#This Row],[Employee Name]],'Base Schedules'!$A$46:$AW$77,18,FALSE)),"")</f>
        <v>-</v>
      </c>
      <c r="T11" s="184" t="str">
        <f>IFERROR(IF(VLOOKUP(Sat_W2[[#This Row],[Employee Name]],'Base Schedules'!$A$46:$AW$77,19,FALSE)="","",VLOOKUP(Sat_W2[[#This Row],[Employee Name]],'Base Schedules'!$A$46:$AW$77,19,FALSE)),"")</f>
        <v>-</v>
      </c>
      <c r="U11" s="184" t="str">
        <f>IFERROR(IF(VLOOKUP(Sat_W2[[#This Row],[Employee Name]],'Base Schedules'!$A$46:$AW$77,20,FALSE)="","",VLOOKUP(Sat_W2[[#This Row],[Employee Name]],'Base Schedules'!$A$46:$AW$77,20,FALSE)),"")</f>
        <v>-</v>
      </c>
      <c r="V11" s="184" t="str">
        <f>IFERROR(IF(VLOOKUP(Sat_W2[[#This Row],[Employee Name]],'Base Schedules'!$A$46:$AW$77,21,FALSE)="","",VLOOKUP(Sat_W2[[#This Row],[Employee Name]],'Base Schedules'!$A$46:$AW$77,21,FALSE)),"")</f>
        <v>Coaching</v>
      </c>
      <c r="W11" s="184" t="str">
        <f>IFERROR(IF(VLOOKUP(Sat_W2[[#This Row],[Employee Name]],'Base Schedules'!$A$46:$AW$77,22,FALSE)="","",VLOOKUP(Sat_W2[[#This Row],[Employee Name]],'Base Schedules'!$A$46:$AW$77,22,FALSE)),"")</f>
        <v>Coaching</v>
      </c>
      <c r="X11" s="184" t="str">
        <f>IFERROR(IF(VLOOKUP(Sat_W2[[#This Row],[Employee Name]],'Base Schedules'!$A$46:$AW$77,23,FALSE)="","",VLOOKUP(Sat_W2[[#This Row],[Employee Name]],'Base Schedules'!$A$46:$AW$77,23,FALSE)),"")</f>
        <v>Coaching</v>
      </c>
      <c r="Y11" s="184" t="str">
        <f>IFERROR(IF(VLOOKUP(Sat_W2[[#This Row],[Employee Name]],'Base Schedules'!$A$46:$AW$77,24,FALSE)="","",VLOOKUP(Sat_W2[[#This Row],[Employee Name]],'Base Schedules'!$A$46:$AW$77,24,FALSE)),"")</f>
        <v>Coaching</v>
      </c>
      <c r="Z11" s="184" t="str">
        <f>IFERROR(IF(VLOOKUP(Sat_W2[[#This Row],[Employee Name]],'Base Schedules'!$A$46:$AW$77,25,FALSE)="","",VLOOKUP(Sat_W2[[#This Row],[Employee Name]],'Base Schedules'!$A$46:$AW$77,25,FALSE)),"")</f>
        <v>-</v>
      </c>
      <c r="AA11" s="184" t="str">
        <f>IFERROR(IF(VLOOKUP(Sat_W2[[#This Row],[Employee Name]],'Base Schedules'!$A$46:$AW$77,26,FALSE)="","",VLOOKUP(Sat_W2[[#This Row],[Employee Name]],'Base Schedules'!$A$46:$AW$77,26,FALSE)),"")</f>
        <v>-</v>
      </c>
      <c r="AB11" s="184" t="str">
        <f>IFERROR(IF(VLOOKUP(Sat_W2[[#This Row],[Employee Name]],'Base Schedules'!$A$46:$AW$77,27,FALSE)="","",VLOOKUP(Sat_W2[[#This Row],[Employee Name]],'Base Schedules'!$A$46:$AW$77,27,FALSE)),"")</f>
        <v/>
      </c>
      <c r="AC11" s="184" t="str">
        <f>IFERROR(IF(VLOOKUP(Sat_W2[[#This Row],[Employee Name]],'Base Schedules'!$A$46:$AW$77,28,FALSE)="","",VLOOKUP(Sat_W2[[#This Row],[Employee Name]],'Base Schedules'!$A$46:$AW$77,28,FALSE)),"")</f>
        <v/>
      </c>
      <c r="AD11" s="184" t="str">
        <f>IFERROR(IF(VLOOKUP(Sat_W2[[#This Row],[Employee Name]],'Base Schedules'!$A$46:$AW$77,29,FALSE)="","",VLOOKUP(Sat_W2[[#This Row],[Employee Name]],'Base Schedules'!$A$46:$AW$77,29,FALSE)),"")</f>
        <v/>
      </c>
      <c r="AE11" s="184" t="str">
        <f>IFERROR(IF(VLOOKUP(Sat_W2[[#This Row],[Employee Name]],'Base Schedules'!$A$46:$AW$77,30,FALSE)="","",VLOOKUP(Sat_W2[[#This Row],[Employee Name]],'Base Schedules'!$A$46:$AW$77,30,FALSE)),"")</f>
        <v/>
      </c>
      <c r="AF11" s="184" t="str">
        <f>IFERROR(IF(VLOOKUP(Sat_W2[[#This Row],[Employee Name]],'Base Schedules'!$A$46:$AW$77,31,FALSE)="","",VLOOKUP(Sat_W2[[#This Row],[Employee Name]],'Base Schedules'!$A$46:$AW$77,31,FALSE)),"")</f>
        <v/>
      </c>
      <c r="AG11" s="184" t="str">
        <f>IFERROR(IF(VLOOKUP(Sat_W2[[#This Row],[Employee Name]],'Base Schedules'!$A$46:$AW$77,32,FALSE)="","",VLOOKUP(Sat_W2[[#This Row],[Employee Name]],'Base Schedules'!$A$46:$AW$77,32,FALSE)),"")</f>
        <v/>
      </c>
      <c r="AH11" s="184" t="str">
        <f>IFERROR(IF(VLOOKUP(Sat_W2[[#This Row],[Employee Name]],'Base Schedules'!$A$46:$AW$77,33,FALSE)="","",VLOOKUP(Sat_W2[[#This Row],[Employee Name]],'Base Schedules'!$A$46:$AW$77,33,FALSE)),"")</f>
        <v/>
      </c>
      <c r="AI11" s="184" t="str">
        <f>IFERROR(IF(VLOOKUP(Sat_W2[[#This Row],[Employee Name]],'Base Schedules'!$A$46:$AW$77,34,FALSE)="","",VLOOKUP(Sat_W2[[#This Row],[Employee Name]],'Base Schedules'!$A$46:$AW$77,34,FALSE)),"")</f>
        <v/>
      </c>
      <c r="AJ11" s="184" t="str">
        <f>IFERROR(IF(VLOOKUP(Sat_W2[[#This Row],[Employee Name]],'Base Schedules'!$A$46:$AW$77,35,FALSE)="","",VLOOKUP(Sat_W2[[#This Row],[Employee Name]],'Base Schedules'!$A$46:$AW$77,35,FALSE)),"")</f>
        <v/>
      </c>
      <c r="AK11" s="184" t="str">
        <f>IFERROR(IF(VLOOKUP(Sat_W2[[#This Row],[Employee Name]],'Base Schedules'!$A$46:$AW$77,36,FALSE)="","",VLOOKUP(Sat_W2[[#This Row],[Employee Name]],'Base Schedules'!$A$46:$AW$77,36,FALSE)),"")</f>
        <v/>
      </c>
      <c r="AL11" s="184" t="str">
        <f>IFERROR(IF(VLOOKUP(Sat_W2[[#This Row],[Employee Name]],'Base Schedules'!$A$46:$AW$77,37,FALSE)="","",VLOOKUP(Sat_W2[[#This Row],[Employee Name]],'Base Schedules'!$A$46:$AW$77,37,FALSE)),"")</f>
        <v/>
      </c>
      <c r="AM11" s="184" t="str">
        <f>IFERROR(IF(VLOOKUP(Sat_W2[[#This Row],[Employee Name]],'Base Schedules'!$A$46:$AW$77,38,FALSE)="","",VLOOKUP(Sat_W2[[#This Row],[Employee Name]],'Base Schedules'!$A$46:$AW$77,38,FALSE)),"")</f>
        <v/>
      </c>
      <c r="AN11" s="184" t="str">
        <f>IFERROR(IF(VLOOKUP(Sat_W2[[#This Row],[Employee Name]],'Base Schedules'!$A$46:$AW$77,39,FALSE)="","",VLOOKUP(Sat_W2[[#This Row],[Employee Name]],'Base Schedules'!$A$46:$AW$77,39,FALSE)),"")</f>
        <v/>
      </c>
      <c r="AO11" s="184" t="str">
        <f>IFERROR(IF(VLOOKUP(Sat_W2[[#This Row],[Employee Name]],'Base Schedules'!$A$46:$AW$77,40,FALSE)="","",VLOOKUP(Sat_W2[[#This Row],[Employee Name]],'Base Schedules'!$A$46:$AW$77,40,FALSE)),"")</f>
        <v/>
      </c>
      <c r="AP11" s="184" t="str">
        <f>IFERROR(IF(VLOOKUP(Sat_W2[[#This Row],[Employee Name]],'Base Schedules'!$A$46:$AW$77,41,FALSE)="","",VLOOKUP(Sat_W2[[#This Row],[Employee Name]],'Base Schedules'!$A$46:$AW$77,41,FALSE)),"")</f>
        <v/>
      </c>
      <c r="AQ11" s="184" t="str">
        <f>IFERROR(IF(VLOOKUP(Sat_W2[[#This Row],[Employee Name]],'Base Schedules'!$A$46:$AW$77,42,FALSE)="","",VLOOKUP(Sat_W2[[#This Row],[Employee Name]],'Base Schedules'!$A$46:$AW$77,42,FALSE)),"")</f>
        <v/>
      </c>
      <c r="AR11" s="184" t="str">
        <f>IFERROR(IF(VLOOKUP(Sat_W2[[#This Row],[Employee Name]],'Base Schedules'!$A$46:$AW$77,43,FALSE)="","",VLOOKUP(Sat_W2[[#This Row],[Employee Name]],'Base Schedules'!$A$46:$AW$77,43,FALSE)),"")</f>
        <v/>
      </c>
      <c r="AS11" s="184" t="str">
        <f>IFERROR(IF(VLOOKUP(Sat_W2[[#This Row],[Employee Name]],'Base Schedules'!$A$46:$AW$77,44,FALSE)="","",VLOOKUP(Sat_W2[[#This Row],[Employee Name]],'Base Schedules'!$A$46:$AW$77,44,FALSE)),"")</f>
        <v/>
      </c>
      <c r="AT11" s="184" t="str">
        <f>IFERROR(IF(VLOOKUP(Sat_W2[[#This Row],[Employee Name]],'Base Schedules'!$A$46:$AW$77,45,FALSE)="","",VLOOKUP(Sat_W2[[#This Row],[Employee Name]],'Base Schedules'!$A$46:$AW$77,45,FALSE)),"")</f>
        <v/>
      </c>
      <c r="AU11" s="184" t="str">
        <f>IFERROR(IF(VLOOKUP(Sat_W2[[#This Row],[Employee Name]],'Base Schedules'!$A$46:$AW$77,46,FALSE)="","",VLOOKUP(Sat_W2[[#This Row],[Employee Name]],'Base Schedules'!$A$46:$AW$77,46,FALSE)),"")</f>
        <v/>
      </c>
      <c r="AV11" s="184" t="str">
        <f>IFERROR(IF(VLOOKUP(Sat_W2[[#This Row],[Employee Name]],'Base Schedules'!$A$46:$AW$77,47,FALSE)="","",VLOOKUP(Sat_W2[[#This Row],[Employee Name]],'Base Schedules'!$A$46:$AW$77,47,FALSE)),"")</f>
        <v/>
      </c>
      <c r="AW11" s="184" t="str">
        <f>IFERROR(IF(VLOOKUP(Sat_W2[[#This Row],[Employee Name]],'Base Schedules'!$A$46:$AW$77,48,FALSE)="","",VLOOKUP(Sat_W2[[#This Row],[Employee Name]],'Base Schedules'!$A$46:$AW$77,48,FALSE)),"")</f>
        <v/>
      </c>
      <c r="AX11" s="184" t="str">
        <f>IFERROR(IF(VLOOKUP(Sat_W2[[#This Row],[Employee Name]],'Base Schedules'!$A$46:$AW$77,49,FALSE)="","",VLOOKUP(Sat_W2[[#This Row],[Employee Name]],'Base Schedules'!$A$46:$AW$77,49,FALSE)),"")</f>
        <v/>
      </c>
      <c r="AY11" s="159" t="str">
        <f t="shared" si="2"/>
        <v>Oates, Eleanor</v>
      </c>
    </row>
    <row r="12" spans="1:51" s="44" customFormat="1" ht="12" customHeight="1" x14ac:dyDescent="0.2">
      <c r="A12" s="39" t="str">
        <f>IF(B12="","",INDEX(TeamList[],MATCH($B12,TeamList[[Employee Name]:[Employee Name]],0),MATCH("Manager",TeamList[#Headers],0)))</f>
        <v>Olson, Katherine</v>
      </c>
      <c r="B12" s="201" t="s">
        <v>230</v>
      </c>
      <c r="C12" s="257" t="str">
        <f>_xlfn.IFNA(VLOOKUP(Sat_W2[[#This Row],[Employee Name]],'Base Schedules'!A:B,2,FALSE),"")</f>
        <v>Lead</v>
      </c>
      <c r="D12" s="274">
        <f>_xlfn.IFNA(VLOOKUP(Sat_W2[[#This Row],[Employee Name]],'Base Schedules'!A:C,3,FALSE),"")</f>
        <v>530</v>
      </c>
      <c r="E12" s="274">
        <f>_xlfn.IFNA(VLOOKUP(Sat_W2[[#This Row],[Employee Name]],'Base Schedules'!A:D,4,FALSE),"")</f>
        <v>1430</v>
      </c>
      <c r="F12" s="142">
        <f>IF(Sat_W2[[#This Row],[Employee Name]]="","",IF(Sat_W2[[#This Row],[Dept]]="Supervisor",COUNTIFS($J12:$AX12,"*HL*",$J12:$AX12,"&lt;&gt;"&amp;"pHL"),COUNTIFS($J12:$AX12,"*HL*",$J12:$AX12,"&lt;&gt;"&amp;"*pHL*",$J12:$AX12,"&lt;&gt;"&amp;"pB1 HL",$J12:$AX12,"&lt;&gt;"&amp;"pB2 HL")-SUM(COUNTIFS($J12:$AX12,"*HL B1*",$J12:$AX12,"&lt;&gt;"&amp;"pHL B1")*0.5,COUNTIFS($J12:$AX12,"*HL B2*",$J12:$AX12,"&lt;&gt;"&amp;"pHL B2")*0.5,COUNTIFS($J12:$AX12,"*B1 HL*",$J12:$AX12,"&lt;&gt;"&amp;"pB1 HL")*0.5,COUNTIFS($J12:$AX12,"*B2 HL*",$J12:$AX12,"&lt;&gt;"&amp;"pB2 HL")*0.5)))</f>
        <v>6.5</v>
      </c>
      <c r="G12" s="142">
        <f t="shared" si="0"/>
        <v>0</v>
      </c>
      <c r="H12" s="142">
        <f t="shared" si="1"/>
        <v>7</v>
      </c>
      <c r="I12" s="142">
        <f>IF(Sat_W2[[#This Row],[Employee Name]]="","",IF(Sat_W2[[#This Row],[Dept]]="Supervisor",SUM(COUNTIFS($J12:$AX12,"RTA*",$J12:$AX12,"&lt;&gt;"&amp;"pRTA"),COUNTIFS($J12:$AX12,"*CRTA*",$J12:$AX12,"&lt;&gt;"&amp;"pCRTA")),COUNTIFS($J12:$AX12,"*RNNR*",$J12:$AX12,"&lt;&gt;"&amp;"*pRNNR*",$J12:$AX12,"&lt;&gt;"&amp;"pB1 RNNR",$J12:$AX12,"&lt;&gt;"&amp;"pB2 RNNR")-SUM(COUNTIFS($J12:$AX12,"*RNNR B1*",$J12:$AX12,"&lt;&gt;"&amp;"pRNNR B1")*0.5,COUNTIFS($J12:$AX12,"*RNNR B2*",$J12:$AX12,"&lt;&gt;"&amp;"pRNNR B2")*0.5,COUNTIFS($J12:$AX12,"*B1 RNNR*",$J12:$AX12,"&lt;&gt;"&amp;"pB1 RNNR")*0.5,COUNTIFS($J12:$AX12,"*B2 RNNR*",$J12:$AX12,"&lt;&gt;"&amp;"pB2 RNNR")*0.5)))</f>
        <v>2</v>
      </c>
      <c r="J12" s="184" t="str">
        <f>IFERROR(IF(VLOOKUP(Sat_W2[[#This Row],[Employee Name]],'Base Schedules'!$A$46:$AW$77,9,FALSE)="","",VLOOKUP(Sat_W2[[#This Row],[Employee Name]],'Base Schedules'!$A$46:$AW$77,9,FALSE)),"")</f>
        <v/>
      </c>
      <c r="K12" s="184" t="str">
        <f>IFERROR(IF(VLOOKUP(Sat_W2[[#This Row],[Employee Name]],'Base Schedules'!$A$46:$AW$77,10,FALSE)="","",VLOOKUP(Sat_W2[[#This Row],[Employee Name]],'Base Schedules'!$A$46:$AW$77,10,FALSE)),"")</f>
        <v>HL</v>
      </c>
      <c r="L12" s="184" t="str">
        <f>IFERROR(IF(VLOOKUP(Sat_W2[[#This Row],[Employee Name]],'Base Schedules'!$A$46:$AW$77,11,FALSE)="","",VLOOKUP(Sat_W2[[#This Row],[Employee Name]],'Base Schedules'!$A$46:$AW$77,11,FALSE)),"")</f>
        <v>HL</v>
      </c>
      <c r="M12" s="184" t="str">
        <f>IFERROR(IF(VLOOKUP(Sat_W2[[#This Row],[Employee Name]],'Base Schedules'!$A$46:$AW$77,12,FALSE)="","",VLOOKUP(Sat_W2[[#This Row],[Employee Name]],'Base Schedules'!$A$46:$AW$77,12,FALSE)),"")</f>
        <v>ADM</v>
      </c>
      <c r="N12" s="184" t="str">
        <f>IFERROR(IF(VLOOKUP(Sat_W2[[#This Row],[Employee Name]],'Base Schedules'!$A$46:$AW$77,13,FALSE)="","",VLOOKUP(Sat_W2[[#This Row],[Employee Name]],'Base Schedules'!$A$46:$AW$77,13,FALSE)),"")</f>
        <v>ADM</v>
      </c>
      <c r="O12" s="184" t="str">
        <f>IFERROR(IF(VLOOKUP(Sat_W2[[#This Row],[Employee Name]],'Base Schedules'!$A$46:$AW$77,14,FALSE)="","",VLOOKUP(Sat_W2[[#This Row],[Employee Name]],'Base Schedules'!$A$46:$AW$77,14,FALSE)),"")</f>
        <v>ADM B1</v>
      </c>
      <c r="P12" s="184" t="str">
        <f>IFERROR(IF(VLOOKUP(Sat_W2[[#This Row],[Employee Name]],'Base Schedules'!$A$46:$AW$77,15,FALSE)="","",VLOOKUP(Sat_W2[[#This Row],[Employee Name]],'Base Schedules'!$A$46:$AW$77,15,FALSE)),"")</f>
        <v>RNNR</v>
      </c>
      <c r="Q12" s="184" t="str">
        <f>IFERROR(IF(VLOOKUP(Sat_W2[[#This Row],[Employee Name]],'Base Schedules'!$A$46:$AW$77,16,FALSE)="","",VLOOKUP(Sat_W2[[#This Row],[Employee Name]],'Base Schedules'!$A$46:$AW$77,16,FALSE)),"")</f>
        <v>RNNR</v>
      </c>
      <c r="R12" s="184" t="str">
        <f>IFERROR(IF(VLOOKUP(Sat_W2[[#This Row],[Employee Name]],'Base Schedules'!$A$46:$AW$77,17,FALSE)="","",VLOOKUP(Sat_W2[[#This Row],[Employee Name]],'Base Schedules'!$A$46:$AW$77,17,FALSE)),"")</f>
        <v>HL</v>
      </c>
      <c r="S12" s="184" t="str">
        <f>IFERROR(IF(VLOOKUP(Sat_W2[[#This Row],[Employee Name]],'Base Schedules'!$A$46:$AW$77,18,FALSE)="","",VLOOKUP(Sat_W2[[#This Row],[Employee Name]],'Base Schedules'!$A$46:$AW$77,18,FALSE)),"")</f>
        <v>LUNCH</v>
      </c>
      <c r="T12" s="184" t="str">
        <f>IFERROR(IF(VLOOKUP(Sat_W2[[#This Row],[Employee Name]],'Base Schedules'!$A$46:$AW$77,19,FALSE)="","",VLOOKUP(Sat_W2[[#This Row],[Employee Name]],'Base Schedules'!$A$46:$AW$77,19,FALSE)),"")</f>
        <v>LUNCH</v>
      </c>
      <c r="U12" s="184" t="str">
        <f>IFERROR(IF(VLOOKUP(Sat_W2[[#This Row],[Employee Name]],'Base Schedules'!$A$46:$AW$77,20,FALSE)="","",VLOOKUP(Sat_W2[[#This Row],[Employee Name]],'Base Schedules'!$A$46:$AW$77,20,FALSE)),"")</f>
        <v>ADM</v>
      </c>
      <c r="V12" s="184" t="str">
        <f>IFERROR(IF(VLOOKUP(Sat_W2[[#This Row],[Employee Name]],'Base Schedules'!$A$46:$AW$77,21,FALSE)="","",VLOOKUP(Sat_W2[[#This Row],[Employee Name]],'Base Schedules'!$A$46:$AW$77,21,FALSE)),"")</f>
        <v>ADM</v>
      </c>
      <c r="W12" s="184" t="str">
        <f>IFERROR(IF(VLOOKUP(Sat_W2[[#This Row],[Employee Name]],'Base Schedules'!$A$46:$AW$77,22,FALSE)="","",VLOOKUP(Sat_W2[[#This Row],[Employee Name]],'Base Schedules'!$A$46:$AW$77,22,FALSE)),"")</f>
        <v>HL</v>
      </c>
      <c r="X12" s="184" t="str">
        <f>IFERROR(IF(VLOOKUP(Sat_W2[[#This Row],[Employee Name]],'Base Schedules'!$A$46:$AW$77,23,FALSE)="","",VLOOKUP(Sat_W2[[#This Row],[Employee Name]],'Base Schedules'!$A$46:$AW$77,23,FALSE)),"")</f>
        <v>HL</v>
      </c>
      <c r="Y12" s="184" t="str">
        <f>IFERROR(IF(VLOOKUP(Sat_W2[[#This Row],[Employee Name]],'Base Schedules'!$A$46:$AW$77,24,FALSE)="","",VLOOKUP(Sat_W2[[#This Row],[Employee Name]],'Base Schedules'!$A$46:$AW$77,24,FALSE)),"")</f>
        <v>HL B2</v>
      </c>
      <c r="Z12" s="184" t="str">
        <f>IFERROR(IF(VLOOKUP(Sat_W2[[#This Row],[Employee Name]],'Base Schedules'!$A$46:$AW$77,25,FALSE)="","",VLOOKUP(Sat_W2[[#This Row],[Employee Name]],'Base Schedules'!$A$46:$AW$77,25,FALSE)),"")</f>
        <v>HL</v>
      </c>
      <c r="AA12" s="184" t="str">
        <f>IFERROR(IF(VLOOKUP(Sat_W2[[#This Row],[Employee Name]],'Base Schedules'!$A$46:$AW$77,26,FALSE)="","",VLOOKUP(Sat_W2[[#This Row],[Employee Name]],'Base Schedules'!$A$46:$AW$77,26,FALSE)),"")</f>
        <v>ADM</v>
      </c>
      <c r="AB12" s="184" t="str">
        <f>IFERROR(IF(VLOOKUP(Sat_W2[[#This Row],[Employee Name]],'Base Schedules'!$A$46:$AW$77,27,FALSE)="","",VLOOKUP(Sat_W2[[#This Row],[Employee Name]],'Base Schedules'!$A$46:$AW$77,27,FALSE)),"")</f>
        <v>ADM</v>
      </c>
      <c r="AC12" s="184" t="str">
        <f>IFERROR(IF(VLOOKUP(Sat_W2[[#This Row],[Employee Name]],'Base Schedules'!$A$46:$AW$77,28,FALSE)="","",VLOOKUP(Sat_W2[[#This Row],[Employee Name]],'Base Schedules'!$A$46:$AW$77,28,FALSE)),"")</f>
        <v/>
      </c>
      <c r="AD12" s="184" t="str">
        <f>IFERROR(IF(VLOOKUP(Sat_W2[[#This Row],[Employee Name]],'Base Schedules'!$A$46:$AW$77,29,FALSE)="","",VLOOKUP(Sat_W2[[#This Row],[Employee Name]],'Base Schedules'!$A$46:$AW$77,29,FALSE)),"")</f>
        <v/>
      </c>
      <c r="AE12" s="184" t="str">
        <f>IFERROR(IF(VLOOKUP(Sat_W2[[#This Row],[Employee Name]],'Base Schedules'!$A$46:$AW$77,30,FALSE)="","",VLOOKUP(Sat_W2[[#This Row],[Employee Name]],'Base Schedules'!$A$46:$AW$77,30,FALSE)),"")</f>
        <v/>
      </c>
      <c r="AF12" s="184" t="str">
        <f>IFERROR(IF(VLOOKUP(Sat_W2[[#This Row],[Employee Name]],'Base Schedules'!$A$46:$AW$77,31,FALSE)="","",VLOOKUP(Sat_W2[[#This Row],[Employee Name]],'Base Schedules'!$A$46:$AW$77,31,FALSE)),"")</f>
        <v/>
      </c>
      <c r="AG12" s="184" t="str">
        <f>IFERROR(IF(VLOOKUP(Sat_W2[[#This Row],[Employee Name]],'Base Schedules'!$A$46:$AW$77,32,FALSE)="","",VLOOKUP(Sat_W2[[#This Row],[Employee Name]],'Base Schedules'!$A$46:$AW$77,32,FALSE)),"")</f>
        <v/>
      </c>
      <c r="AH12" s="184" t="str">
        <f>IFERROR(IF(VLOOKUP(Sat_W2[[#This Row],[Employee Name]],'Base Schedules'!$A$46:$AW$77,33,FALSE)="","",VLOOKUP(Sat_W2[[#This Row],[Employee Name]],'Base Schedules'!$A$46:$AW$77,33,FALSE)),"")</f>
        <v/>
      </c>
      <c r="AI12" s="184" t="str">
        <f>IFERROR(IF(VLOOKUP(Sat_W2[[#This Row],[Employee Name]],'Base Schedules'!$A$46:$AW$77,34,FALSE)="","",VLOOKUP(Sat_W2[[#This Row],[Employee Name]],'Base Schedules'!$A$46:$AW$77,34,FALSE)),"")</f>
        <v/>
      </c>
      <c r="AJ12" s="184" t="str">
        <f>IFERROR(IF(VLOOKUP(Sat_W2[[#This Row],[Employee Name]],'Base Schedules'!$A$46:$AW$77,35,FALSE)="","",VLOOKUP(Sat_W2[[#This Row],[Employee Name]],'Base Schedules'!$A$46:$AW$77,35,FALSE)),"")</f>
        <v/>
      </c>
      <c r="AK12" s="184" t="str">
        <f>IFERROR(IF(VLOOKUP(Sat_W2[[#This Row],[Employee Name]],'Base Schedules'!$A$46:$AW$77,36,FALSE)="","",VLOOKUP(Sat_W2[[#This Row],[Employee Name]],'Base Schedules'!$A$46:$AW$77,36,FALSE)),"")</f>
        <v/>
      </c>
      <c r="AL12" s="184" t="str">
        <f>IFERROR(IF(VLOOKUP(Sat_W2[[#This Row],[Employee Name]],'Base Schedules'!$A$46:$AW$77,37,FALSE)="","",VLOOKUP(Sat_W2[[#This Row],[Employee Name]],'Base Schedules'!$A$46:$AW$77,37,FALSE)),"")</f>
        <v/>
      </c>
      <c r="AM12" s="184" t="str">
        <f>IFERROR(IF(VLOOKUP(Sat_W2[[#This Row],[Employee Name]],'Base Schedules'!$A$46:$AW$77,38,FALSE)="","",VLOOKUP(Sat_W2[[#This Row],[Employee Name]],'Base Schedules'!$A$46:$AW$77,38,FALSE)),"")</f>
        <v/>
      </c>
      <c r="AN12" s="184" t="str">
        <f>IFERROR(IF(VLOOKUP(Sat_W2[[#This Row],[Employee Name]],'Base Schedules'!$A$46:$AW$77,39,FALSE)="","",VLOOKUP(Sat_W2[[#This Row],[Employee Name]],'Base Schedules'!$A$46:$AW$77,39,FALSE)),"")</f>
        <v/>
      </c>
      <c r="AO12" s="184" t="str">
        <f>IFERROR(IF(VLOOKUP(Sat_W2[[#This Row],[Employee Name]],'Base Schedules'!$A$46:$AW$77,40,FALSE)="","",VLOOKUP(Sat_W2[[#This Row],[Employee Name]],'Base Schedules'!$A$46:$AW$77,40,FALSE)),"")</f>
        <v/>
      </c>
      <c r="AP12" s="184" t="str">
        <f>IFERROR(IF(VLOOKUP(Sat_W2[[#This Row],[Employee Name]],'Base Schedules'!$A$46:$AW$77,41,FALSE)="","",VLOOKUP(Sat_W2[[#This Row],[Employee Name]],'Base Schedules'!$A$46:$AW$77,41,FALSE)),"")</f>
        <v/>
      </c>
      <c r="AQ12" s="184" t="str">
        <f>IFERROR(IF(VLOOKUP(Sat_W2[[#This Row],[Employee Name]],'Base Schedules'!$A$46:$AW$77,42,FALSE)="","",VLOOKUP(Sat_W2[[#This Row],[Employee Name]],'Base Schedules'!$A$46:$AW$77,42,FALSE)),"")</f>
        <v/>
      </c>
      <c r="AR12" s="184" t="str">
        <f>IFERROR(IF(VLOOKUP(Sat_W2[[#This Row],[Employee Name]],'Base Schedules'!$A$46:$AW$77,43,FALSE)="","",VLOOKUP(Sat_W2[[#This Row],[Employee Name]],'Base Schedules'!$A$46:$AW$77,43,FALSE)),"")</f>
        <v/>
      </c>
      <c r="AS12" s="184" t="str">
        <f>IFERROR(IF(VLOOKUP(Sat_W2[[#This Row],[Employee Name]],'Base Schedules'!$A$46:$AW$77,44,FALSE)="","",VLOOKUP(Sat_W2[[#This Row],[Employee Name]],'Base Schedules'!$A$46:$AW$77,44,FALSE)),"")</f>
        <v/>
      </c>
      <c r="AT12" s="184" t="str">
        <f>IFERROR(IF(VLOOKUP(Sat_W2[[#This Row],[Employee Name]],'Base Schedules'!$A$46:$AW$77,45,FALSE)="","",VLOOKUP(Sat_W2[[#This Row],[Employee Name]],'Base Schedules'!$A$46:$AW$77,45,FALSE)),"")</f>
        <v/>
      </c>
      <c r="AU12" s="184" t="str">
        <f>IFERROR(IF(VLOOKUP(Sat_W2[[#This Row],[Employee Name]],'Base Schedules'!$A$46:$AW$77,46,FALSE)="","",VLOOKUP(Sat_W2[[#This Row],[Employee Name]],'Base Schedules'!$A$46:$AW$77,46,FALSE)),"")</f>
        <v/>
      </c>
      <c r="AV12" s="184" t="str">
        <f>IFERROR(IF(VLOOKUP(Sat_W2[[#This Row],[Employee Name]],'Base Schedules'!$A$46:$AW$77,47,FALSE)="","",VLOOKUP(Sat_W2[[#This Row],[Employee Name]],'Base Schedules'!$A$46:$AW$77,47,FALSE)),"")</f>
        <v/>
      </c>
      <c r="AW12" s="184" t="str">
        <f>IFERROR(IF(VLOOKUP(Sat_W2[[#This Row],[Employee Name]],'Base Schedules'!$A$46:$AW$77,48,FALSE)="","",VLOOKUP(Sat_W2[[#This Row],[Employee Name]],'Base Schedules'!$A$46:$AW$77,48,FALSE)),"")</f>
        <v/>
      </c>
      <c r="AX12" s="184" t="str">
        <f>IFERROR(IF(VLOOKUP(Sat_W2[[#This Row],[Employee Name]],'Base Schedules'!$A$46:$AW$77,49,FALSE)="","",VLOOKUP(Sat_W2[[#This Row],[Employee Name]],'Base Schedules'!$A$46:$AW$77,49,FALSE)),"")</f>
        <v/>
      </c>
      <c r="AY12" s="159" t="str">
        <f t="shared" si="2"/>
        <v>Suarez, Alyssa</v>
      </c>
    </row>
    <row r="13" spans="1:51" s="44" customFormat="1" ht="12" customHeight="1" x14ac:dyDescent="0.2">
      <c r="A13" s="39" t="e">
        <f>IF(B13="","",INDEX(TeamList[],MATCH($B13,TeamList[[Employee Name]:[Employee Name]],0),MATCH("Manager",TeamList[#Headers],0)))</f>
        <v>#N/A</v>
      </c>
      <c r="B13" s="201" t="s">
        <v>369</v>
      </c>
      <c r="C13" s="257" t="str">
        <f>_xlfn.IFNA(VLOOKUP(Sat_W2[[#This Row],[Employee Name]],'Base Schedules'!A:B,2,FALSE),"")</f>
        <v>Supervisor</v>
      </c>
      <c r="D13" s="274">
        <f>_xlfn.IFNA(VLOOKUP(Sat_W2[[#This Row],[Employee Name]],'Base Schedules'!A:C,3,FALSE),"")</f>
        <v>600</v>
      </c>
      <c r="E13" s="274">
        <f>_xlfn.IFNA(VLOOKUP(Sat_W2[[#This Row],[Employee Name]],'Base Schedules'!A:D,4,FALSE),"")</f>
        <v>1500</v>
      </c>
      <c r="F13" s="142">
        <f>IF(Sat_W2[[#This Row],[Employee Name]]="","",IF(Sat_W2[[#This Row],[Dept]]="Supervisor",COUNTIFS($J13:$AX13,"*HL*",$J13:$AX13,"&lt;&gt;"&amp;"pHL"),COUNTIFS($J13:$AX13,"*HL*",$J13:$AX13,"&lt;&gt;"&amp;"*pHL*",$J13:$AX13,"&lt;&gt;"&amp;"pB1 HL",$J13:$AX13,"&lt;&gt;"&amp;"pB2 HL")-SUM(COUNTIFS($J13:$AX13,"*HL B1*",$J13:$AX13,"&lt;&gt;"&amp;"pHL B1")*0.5,COUNTIFS($J13:$AX13,"*HL B2*",$J13:$AX13,"&lt;&gt;"&amp;"pHL B2")*0.5,COUNTIFS($J13:$AX13,"*B1 HL*",$J13:$AX13,"&lt;&gt;"&amp;"pB1 HL")*0.5,COUNTIFS($J13:$AX13,"*B2 HL*",$J13:$AX13,"&lt;&gt;"&amp;"pB2 HL")*0.5)))</f>
        <v>0</v>
      </c>
      <c r="G13" s="142">
        <f t="shared" si="0"/>
        <v>4</v>
      </c>
      <c r="H13" s="142">
        <f t="shared" si="1"/>
        <v>0</v>
      </c>
      <c r="I13" s="142">
        <f>IF(Sat_W2[[#This Row],[Employee Name]]="","",IF(Sat_W2[[#This Row],[Dept]]="Supervisor",SUM(COUNTIFS($J13:$AX13,"RTA*",$J13:$AX13,"&lt;&gt;"&amp;"pRTA"),COUNTIFS($J13:$AX13,"*CRTA*",$J13:$AX13,"&lt;&gt;"&amp;"pCRTA")),COUNTIFS($J13:$AX13,"*RNNR*",$J13:$AX13,"&lt;&gt;"&amp;"*pRNNR*",$J13:$AX13,"&lt;&gt;"&amp;"pB1 RNNR",$J13:$AX13,"&lt;&gt;"&amp;"pB2 RNNR")-SUM(COUNTIFS($J13:$AX13,"*RNNR B1*",$J13:$AX13,"&lt;&gt;"&amp;"pRNNR B1")*0.5,COUNTIFS($J13:$AX13,"*RNNR B2*",$J13:$AX13,"&lt;&gt;"&amp;"pRNNR B2")*0.5,COUNTIFS($J13:$AX13,"*B1 RNNR*",$J13:$AX13,"&lt;&gt;"&amp;"pB1 RNNR")*0.5,COUNTIFS($J13:$AX13,"*B2 RNNR*",$J13:$AX13,"&lt;&gt;"&amp;"pB2 RNNR")*0.5)))</f>
        <v>0</v>
      </c>
      <c r="J13" s="184" t="str">
        <f>IFERROR(IF(VLOOKUP(Sat_W2[[#This Row],[Employee Name]],'Base Schedules'!$A$46:$AW$77,9,FALSE)="","",VLOOKUP(Sat_W2[[#This Row],[Employee Name]],'Base Schedules'!$A$46:$AW$77,9,FALSE)),"")</f>
        <v/>
      </c>
      <c r="K13" s="184" t="str">
        <f>IFERROR(IF(VLOOKUP(Sat_W2[[#This Row],[Employee Name]],'Base Schedules'!$A$46:$AW$77,10,FALSE)="","",VLOOKUP(Sat_W2[[#This Row],[Employee Name]],'Base Schedules'!$A$46:$AW$77,10,FALSE)),"")</f>
        <v/>
      </c>
      <c r="L13" s="184" t="str">
        <f>IFERROR(IF(VLOOKUP(Sat_W2[[#This Row],[Employee Name]],'Base Schedules'!$A$46:$AW$77,11,FALSE)="","",VLOOKUP(Sat_W2[[#This Row],[Employee Name]],'Base Schedules'!$A$46:$AW$77,11,FALSE)),"")</f>
        <v>-</v>
      </c>
      <c r="M13" s="184" t="str">
        <f>IFERROR(IF(VLOOKUP(Sat_W2[[#This Row],[Employee Name]],'Base Schedules'!$A$46:$AW$77,12,FALSE)="","",VLOOKUP(Sat_W2[[#This Row],[Employee Name]],'Base Schedules'!$A$46:$AW$77,12,FALSE)),"")</f>
        <v>-</v>
      </c>
      <c r="N13" s="184" t="str">
        <f>IFERROR(IF(VLOOKUP(Sat_W2[[#This Row],[Employee Name]],'Base Schedules'!$A$46:$AW$77,13,FALSE)="","",VLOOKUP(Sat_W2[[#This Row],[Employee Name]],'Base Schedules'!$A$46:$AW$77,13,FALSE)),"")</f>
        <v>-</v>
      </c>
      <c r="O13" s="184" t="str">
        <f>IFERROR(IF(VLOOKUP(Sat_W2[[#This Row],[Employee Name]],'Base Schedules'!$A$46:$AW$77,14,FALSE)="","",VLOOKUP(Sat_W2[[#This Row],[Employee Name]],'Base Schedules'!$A$46:$AW$77,14,FALSE)),"")</f>
        <v>-</v>
      </c>
      <c r="P13" s="184" t="str">
        <f>IFERROR(IF(VLOOKUP(Sat_W2[[#This Row],[Employee Name]],'Base Schedules'!$A$46:$AW$77,15,FALSE)="","",VLOOKUP(Sat_W2[[#This Row],[Employee Name]],'Base Schedules'!$A$46:$AW$77,15,FALSE)),"")</f>
        <v>-</v>
      </c>
      <c r="Q13" s="184" t="str">
        <f>IFERROR(IF(VLOOKUP(Sat_W2[[#This Row],[Employee Name]],'Base Schedules'!$A$46:$AW$77,16,FALSE)="","",VLOOKUP(Sat_W2[[#This Row],[Employee Name]],'Base Schedules'!$A$46:$AW$77,16,FALSE)),"")</f>
        <v>-</v>
      </c>
      <c r="R13" s="184" t="str">
        <f>IFERROR(IF(VLOOKUP(Sat_W2[[#This Row],[Employee Name]],'Base Schedules'!$A$46:$AW$77,17,FALSE)="","",VLOOKUP(Sat_W2[[#This Row],[Employee Name]],'Base Schedules'!$A$46:$AW$77,17,FALSE)),"")</f>
        <v>Interview</v>
      </c>
      <c r="S13" s="184" t="str">
        <f>IFERROR(IF(VLOOKUP(Sat_W2[[#This Row],[Employee Name]],'Base Schedules'!$A$46:$AW$77,18,FALSE)="","",VLOOKUP(Sat_W2[[#This Row],[Employee Name]],'Base Schedules'!$A$46:$AW$77,18,FALSE)),"")</f>
        <v>Interview</v>
      </c>
      <c r="T13" s="184" t="str">
        <f>IFERROR(IF(VLOOKUP(Sat_W2[[#This Row],[Employee Name]],'Base Schedules'!$A$46:$AW$77,19,FALSE)="","",VLOOKUP(Sat_W2[[#This Row],[Employee Name]],'Base Schedules'!$A$46:$AW$77,19,FALSE)),"")</f>
        <v>-</v>
      </c>
      <c r="U13" s="184" t="str">
        <f>IFERROR(IF(VLOOKUP(Sat_W2[[#This Row],[Employee Name]],'Base Schedules'!$A$46:$AW$77,20,FALSE)="","",VLOOKUP(Sat_W2[[#This Row],[Employee Name]],'Base Schedules'!$A$46:$AW$77,20,FALSE)),"")</f>
        <v>-</v>
      </c>
      <c r="V13" s="184" t="str">
        <f>IFERROR(IF(VLOOKUP(Sat_W2[[#This Row],[Employee Name]],'Base Schedules'!$A$46:$AW$77,21,FALSE)="","",VLOOKUP(Sat_W2[[#This Row],[Employee Name]],'Base Schedules'!$A$46:$AW$77,21,FALSE)),"")</f>
        <v>-</v>
      </c>
      <c r="W13" s="184" t="str">
        <f>IFERROR(IF(VLOOKUP(Sat_W2[[#This Row],[Employee Name]],'Base Schedules'!$A$46:$AW$77,22,FALSE)="","",VLOOKUP(Sat_W2[[#This Row],[Employee Name]],'Base Schedules'!$A$46:$AW$77,22,FALSE)),"")</f>
        <v>Coaching</v>
      </c>
      <c r="X13" s="184" t="str">
        <f>IFERROR(IF(VLOOKUP(Sat_W2[[#This Row],[Employee Name]],'Base Schedules'!$A$46:$AW$77,23,FALSE)="","",VLOOKUP(Sat_W2[[#This Row],[Employee Name]],'Base Schedules'!$A$46:$AW$77,23,FALSE)),"")</f>
        <v>Coaching</v>
      </c>
      <c r="Y13" s="184" t="str">
        <f>IFERROR(IF(VLOOKUP(Sat_W2[[#This Row],[Employee Name]],'Base Schedules'!$A$46:$AW$77,24,FALSE)="","",VLOOKUP(Sat_W2[[#This Row],[Employee Name]],'Base Schedules'!$A$46:$AW$77,24,FALSE)),"")</f>
        <v>Coaching</v>
      </c>
      <c r="Z13" s="184" t="str">
        <f>IFERROR(IF(VLOOKUP(Sat_W2[[#This Row],[Employee Name]],'Base Schedules'!$A$46:$AW$77,25,FALSE)="","",VLOOKUP(Sat_W2[[#This Row],[Employee Name]],'Base Schedules'!$A$46:$AW$77,25,FALSE)),"")</f>
        <v>Coaching</v>
      </c>
      <c r="AA13" s="184" t="str">
        <f>IFERROR(IF(VLOOKUP(Sat_W2[[#This Row],[Employee Name]],'Base Schedules'!$A$46:$AW$77,26,FALSE)="","",VLOOKUP(Sat_W2[[#This Row],[Employee Name]],'Base Schedules'!$A$46:$AW$77,26,FALSE)),"")</f>
        <v>-</v>
      </c>
      <c r="AB13" s="184" t="str">
        <f>IFERROR(IF(VLOOKUP(Sat_W2[[#This Row],[Employee Name]],'Base Schedules'!$A$46:$AW$77,27,FALSE)="","",VLOOKUP(Sat_W2[[#This Row],[Employee Name]],'Base Schedules'!$A$46:$AW$77,27,FALSE)),"")</f>
        <v>-</v>
      </c>
      <c r="AC13" s="184" t="str">
        <f>IFERROR(IF(VLOOKUP(Sat_W2[[#This Row],[Employee Name]],'Base Schedules'!$A$46:$AW$77,28,FALSE)="","",VLOOKUP(Sat_W2[[#This Row],[Employee Name]],'Base Schedules'!$A$46:$AW$77,28,FALSE)),"")</f>
        <v>-</v>
      </c>
      <c r="AD13" s="184" t="str">
        <f>IFERROR(IF(VLOOKUP(Sat_W2[[#This Row],[Employee Name]],'Base Schedules'!$A$46:$AW$77,29,FALSE)="","",VLOOKUP(Sat_W2[[#This Row],[Employee Name]],'Base Schedules'!$A$46:$AW$77,29,FALSE)),"")</f>
        <v/>
      </c>
      <c r="AE13" s="184" t="str">
        <f>IFERROR(IF(VLOOKUP(Sat_W2[[#This Row],[Employee Name]],'Base Schedules'!$A$46:$AW$77,30,FALSE)="","",VLOOKUP(Sat_W2[[#This Row],[Employee Name]],'Base Schedules'!$A$46:$AW$77,30,FALSE)),"")</f>
        <v/>
      </c>
      <c r="AF13" s="184" t="str">
        <f>IFERROR(IF(VLOOKUP(Sat_W2[[#This Row],[Employee Name]],'Base Schedules'!$A$46:$AW$77,31,FALSE)="","",VLOOKUP(Sat_W2[[#This Row],[Employee Name]],'Base Schedules'!$A$46:$AW$77,31,FALSE)),"")</f>
        <v/>
      </c>
      <c r="AG13" s="184" t="str">
        <f>IFERROR(IF(VLOOKUP(Sat_W2[[#This Row],[Employee Name]],'Base Schedules'!$A$46:$AW$77,32,FALSE)="","",VLOOKUP(Sat_W2[[#This Row],[Employee Name]],'Base Schedules'!$A$46:$AW$77,32,FALSE)),"")</f>
        <v/>
      </c>
      <c r="AH13" s="184" t="str">
        <f>IFERROR(IF(VLOOKUP(Sat_W2[[#This Row],[Employee Name]],'Base Schedules'!$A$46:$AW$77,33,FALSE)="","",VLOOKUP(Sat_W2[[#This Row],[Employee Name]],'Base Schedules'!$A$46:$AW$77,33,FALSE)),"")</f>
        <v/>
      </c>
      <c r="AI13" s="184" t="str">
        <f>IFERROR(IF(VLOOKUP(Sat_W2[[#This Row],[Employee Name]],'Base Schedules'!$A$46:$AW$77,34,FALSE)="","",VLOOKUP(Sat_W2[[#This Row],[Employee Name]],'Base Schedules'!$A$46:$AW$77,34,FALSE)),"")</f>
        <v/>
      </c>
      <c r="AJ13" s="184" t="str">
        <f>IFERROR(IF(VLOOKUP(Sat_W2[[#This Row],[Employee Name]],'Base Schedules'!$A$46:$AW$77,35,FALSE)="","",VLOOKUP(Sat_W2[[#This Row],[Employee Name]],'Base Schedules'!$A$46:$AW$77,35,FALSE)),"")</f>
        <v/>
      </c>
      <c r="AK13" s="184" t="str">
        <f>IFERROR(IF(VLOOKUP(Sat_W2[[#This Row],[Employee Name]],'Base Schedules'!$A$46:$AW$77,36,FALSE)="","",VLOOKUP(Sat_W2[[#This Row],[Employee Name]],'Base Schedules'!$A$46:$AW$77,36,FALSE)),"")</f>
        <v/>
      </c>
      <c r="AL13" s="184" t="str">
        <f>IFERROR(IF(VLOOKUP(Sat_W2[[#This Row],[Employee Name]],'Base Schedules'!$A$46:$AW$77,37,FALSE)="","",VLOOKUP(Sat_W2[[#This Row],[Employee Name]],'Base Schedules'!$A$46:$AW$77,37,FALSE)),"")</f>
        <v/>
      </c>
      <c r="AM13" s="184" t="str">
        <f>IFERROR(IF(VLOOKUP(Sat_W2[[#This Row],[Employee Name]],'Base Schedules'!$A$46:$AW$77,38,FALSE)="","",VLOOKUP(Sat_W2[[#This Row],[Employee Name]],'Base Schedules'!$A$46:$AW$77,38,FALSE)),"")</f>
        <v/>
      </c>
      <c r="AN13" s="184" t="str">
        <f>IFERROR(IF(VLOOKUP(Sat_W2[[#This Row],[Employee Name]],'Base Schedules'!$A$46:$AW$77,39,FALSE)="","",VLOOKUP(Sat_W2[[#This Row],[Employee Name]],'Base Schedules'!$A$46:$AW$77,39,FALSE)),"")</f>
        <v/>
      </c>
      <c r="AO13" s="184" t="str">
        <f>IFERROR(IF(VLOOKUP(Sat_W2[[#This Row],[Employee Name]],'Base Schedules'!$A$46:$AW$77,40,FALSE)="","",VLOOKUP(Sat_W2[[#This Row],[Employee Name]],'Base Schedules'!$A$46:$AW$77,40,FALSE)),"")</f>
        <v/>
      </c>
      <c r="AP13" s="184" t="str">
        <f>IFERROR(IF(VLOOKUP(Sat_W2[[#This Row],[Employee Name]],'Base Schedules'!$A$46:$AW$77,41,FALSE)="","",VLOOKUP(Sat_W2[[#This Row],[Employee Name]],'Base Schedules'!$A$46:$AW$77,41,FALSE)),"")</f>
        <v/>
      </c>
      <c r="AQ13" s="184" t="str">
        <f>IFERROR(IF(VLOOKUP(Sat_W2[[#This Row],[Employee Name]],'Base Schedules'!$A$46:$AW$77,42,FALSE)="","",VLOOKUP(Sat_W2[[#This Row],[Employee Name]],'Base Schedules'!$A$46:$AW$77,42,FALSE)),"")</f>
        <v/>
      </c>
      <c r="AR13" s="184" t="str">
        <f>IFERROR(IF(VLOOKUP(Sat_W2[[#This Row],[Employee Name]],'Base Schedules'!$A$46:$AW$77,43,FALSE)="","",VLOOKUP(Sat_W2[[#This Row],[Employee Name]],'Base Schedules'!$A$46:$AW$77,43,FALSE)),"")</f>
        <v/>
      </c>
      <c r="AS13" s="184" t="str">
        <f>IFERROR(IF(VLOOKUP(Sat_W2[[#This Row],[Employee Name]],'Base Schedules'!$A$46:$AW$77,44,FALSE)="","",VLOOKUP(Sat_W2[[#This Row],[Employee Name]],'Base Schedules'!$A$46:$AW$77,44,FALSE)),"")</f>
        <v/>
      </c>
      <c r="AT13" s="184" t="str">
        <f>IFERROR(IF(VLOOKUP(Sat_W2[[#This Row],[Employee Name]],'Base Schedules'!$A$46:$AW$77,45,FALSE)="","",VLOOKUP(Sat_W2[[#This Row],[Employee Name]],'Base Schedules'!$A$46:$AW$77,45,FALSE)),"")</f>
        <v/>
      </c>
      <c r="AU13" s="184" t="str">
        <f>IFERROR(IF(VLOOKUP(Sat_W2[[#This Row],[Employee Name]],'Base Schedules'!$A$46:$AW$77,46,FALSE)="","",VLOOKUP(Sat_W2[[#This Row],[Employee Name]],'Base Schedules'!$A$46:$AW$77,46,FALSE)),"")</f>
        <v/>
      </c>
      <c r="AV13" s="184" t="str">
        <f>IFERROR(IF(VLOOKUP(Sat_W2[[#This Row],[Employee Name]],'Base Schedules'!$A$46:$AW$77,47,FALSE)="","",VLOOKUP(Sat_W2[[#This Row],[Employee Name]],'Base Schedules'!$A$46:$AW$77,47,FALSE)),"")</f>
        <v/>
      </c>
      <c r="AW13" s="184" t="str">
        <f>IFERROR(IF(VLOOKUP(Sat_W2[[#This Row],[Employee Name]],'Base Schedules'!$A$46:$AW$77,48,FALSE)="","",VLOOKUP(Sat_W2[[#This Row],[Employee Name]],'Base Schedules'!$A$46:$AW$77,48,FALSE)),"")</f>
        <v/>
      </c>
      <c r="AX13" s="184" t="str">
        <f>IFERROR(IF(VLOOKUP(Sat_W2[[#This Row],[Employee Name]],'Base Schedules'!$A$46:$AW$77,49,FALSE)="","",VLOOKUP(Sat_W2[[#This Row],[Employee Name]],'Base Schedules'!$A$46:$AW$77,49,FALSE)),"")</f>
        <v/>
      </c>
      <c r="AY13" s="159" t="str">
        <f t="shared" si="2"/>
        <v>Madamba, Rocky</v>
      </c>
    </row>
    <row r="14" spans="1:51" s="44" customFormat="1" ht="12" customHeight="1" x14ac:dyDescent="0.2">
      <c r="A14" s="39" t="str">
        <f>IF(B14="","",INDEX(TeamList[],MATCH($B14,TeamList[[Employee Name]:[Employee Name]],0),MATCH("Manager",TeamList[#Headers],0)))</f>
        <v>Olson, Katherine</v>
      </c>
      <c r="B14" s="201" t="s">
        <v>34</v>
      </c>
      <c r="C14" s="257" t="str">
        <f>_xlfn.IFNA(VLOOKUP(Sat_W2[[#This Row],[Employee Name]],'Base Schedules'!A:B,2,FALSE),"")</f>
        <v>Lead</v>
      </c>
      <c r="D14" s="274">
        <f>_xlfn.IFNA(VLOOKUP(Sat_W2[[#This Row],[Employee Name]],'Base Schedules'!A:C,3,FALSE),"")</f>
        <v>630</v>
      </c>
      <c r="E14" s="274">
        <f>_xlfn.IFNA(VLOOKUP(Sat_W2[[#This Row],[Employee Name]],'Base Schedules'!A:D,4,FALSE),"")</f>
        <v>1500</v>
      </c>
      <c r="F14" s="142">
        <f>IF(Sat_W2[[#This Row],[Employee Name]]="","",IF(Sat_W2[[#This Row],[Dept]]="Supervisor",COUNTIFS($J14:$AX14,"*HL*",$J14:$AX14,"&lt;&gt;"&amp;"pHL"),COUNTIFS($J14:$AX14,"*HL*",$J14:$AX14,"&lt;&gt;"&amp;"*pHL*",$J14:$AX14,"&lt;&gt;"&amp;"pB1 HL",$J14:$AX14,"&lt;&gt;"&amp;"pB2 HL")-SUM(COUNTIFS($J14:$AX14,"*HL B1*",$J14:$AX14,"&lt;&gt;"&amp;"pHL B1")*0.5,COUNTIFS($J14:$AX14,"*HL B2*",$J14:$AX14,"&lt;&gt;"&amp;"pHL B2")*0.5,COUNTIFS($J14:$AX14,"*B1 HL*",$J14:$AX14,"&lt;&gt;"&amp;"pB1 HL")*0.5,COUNTIFS($J14:$AX14,"*B2 HL*",$J14:$AX14,"&lt;&gt;"&amp;"pB2 HL")*0.5)))</f>
        <v>8.5</v>
      </c>
      <c r="G14" s="142">
        <f t="shared" si="0"/>
        <v>0</v>
      </c>
      <c r="H14" s="142">
        <f t="shared" si="1"/>
        <v>7</v>
      </c>
      <c r="I14" s="142">
        <f>IF(Sat_W2[[#This Row],[Employee Name]]="","",IF(Sat_W2[[#This Row],[Dept]]="Supervisor",SUM(COUNTIFS($J14:$AX14,"RTA*",$J14:$AX14,"&lt;&gt;"&amp;"pRTA"),COUNTIFS($J14:$AX14,"*CRTA*",$J14:$AX14,"&lt;&gt;"&amp;"pCRTA")),COUNTIFS($J14:$AX14,"*RNNR*",$J14:$AX14,"&lt;&gt;"&amp;"*pRNNR*",$J14:$AX14,"&lt;&gt;"&amp;"pB1 RNNR",$J14:$AX14,"&lt;&gt;"&amp;"pB2 RNNR")-SUM(COUNTIFS($J14:$AX14,"*RNNR B1*",$J14:$AX14,"&lt;&gt;"&amp;"pRNNR B1")*0.5,COUNTIFS($J14:$AX14,"*RNNR B2*",$J14:$AX14,"&lt;&gt;"&amp;"pRNNR B2")*0.5,COUNTIFS($J14:$AX14,"*B1 RNNR*",$J14:$AX14,"&lt;&gt;"&amp;"pB1 RNNR")*0.5,COUNTIFS($J14:$AX14,"*B2 RNNR*",$J14:$AX14,"&lt;&gt;"&amp;"pB2 RNNR")*0.5)))</f>
        <v>0</v>
      </c>
      <c r="J14" s="184" t="str">
        <f>IFERROR(IF(VLOOKUP(Sat_W2[[#This Row],[Employee Name]],'Base Schedules'!$A$46:$AW$77,9,FALSE)="","",VLOOKUP(Sat_W2[[#This Row],[Employee Name]],'Base Schedules'!$A$46:$AW$77,9,FALSE)),"")</f>
        <v/>
      </c>
      <c r="K14" s="184" t="str">
        <f>IFERROR(IF(VLOOKUP(Sat_W2[[#This Row],[Employee Name]],'Base Schedules'!$A$46:$AW$77,10,FALSE)="","",VLOOKUP(Sat_W2[[#This Row],[Employee Name]],'Base Schedules'!$A$46:$AW$77,10,FALSE)),"")</f>
        <v/>
      </c>
      <c r="L14" s="184" t="str">
        <f>IFERROR(IF(VLOOKUP(Sat_W2[[#This Row],[Employee Name]],'Base Schedules'!$A$46:$AW$77,11,FALSE)="","",VLOOKUP(Sat_W2[[#This Row],[Employee Name]],'Base Schedules'!$A$46:$AW$77,11,FALSE)),"")</f>
        <v/>
      </c>
      <c r="M14" s="184" t="str">
        <f>IFERROR(IF(VLOOKUP(Sat_W2[[#This Row],[Employee Name]],'Base Schedules'!$A$46:$AW$77,12,FALSE)="","",VLOOKUP(Sat_W2[[#This Row],[Employee Name]],'Base Schedules'!$A$46:$AW$77,12,FALSE)),"")</f>
        <v>HL</v>
      </c>
      <c r="N14" s="184" t="str">
        <f>IFERROR(IF(VLOOKUP(Sat_W2[[#This Row],[Employee Name]],'Base Schedules'!$A$46:$AW$77,13,FALSE)="","",VLOOKUP(Sat_W2[[#This Row],[Employee Name]],'Base Schedules'!$A$46:$AW$77,13,FALSE)),"")</f>
        <v>HL</v>
      </c>
      <c r="O14" s="184" t="str">
        <f>IFERROR(IF(VLOOKUP(Sat_W2[[#This Row],[Employee Name]],'Base Schedules'!$A$46:$AW$77,14,FALSE)="","",VLOOKUP(Sat_W2[[#This Row],[Employee Name]],'Base Schedules'!$A$46:$AW$77,14,FALSE)),"")</f>
        <v>HL</v>
      </c>
      <c r="P14" s="184" t="str">
        <f>IFERROR(IF(VLOOKUP(Sat_W2[[#This Row],[Employee Name]],'Base Schedules'!$A$46:$AW$77,15,FALSE)="","",VLOOKUP(Sat_W2[[#This Row],[Employee Name]],'Base Schedules'!$A$46:$AW$77,15,FALSE)),"")</f>
        <v>HL</v>
      </c>
      <c r="Q14" s="184" t="str">
        <f>IFERROR(IF(VLOOKUP(Sat_W2[[#This Row],[Employee Name]],'Base Schedules'!$A$46:$AW$77,16,FALSE)="","",VLOOKUP(Sat_W2[[#This Row],[Employee Name]],'Base Schedules'!$A$46:$AW$77,16,FALSE)),"")</f>
        <v>HL B1</v>
      </c>
      <c r="R14" s="184" t="str">
        <f>IFERROR(IF(VLOOKUP(Sat_W2[[#This Row],[Employee Name]],'Base Schedules'!$A$46:$AW$77,17,FALSE)="","",VLOOKUP(Sat_W2[[#This Row],[Employee Name]],'Base Schedules'!$A$46:$AW$77,17,FALSE)),"")</f>
        <v>HL</v>
      </c>
      <c r="S14" s="184" t="str">
        <f>IFERROR(IF(VLOOKUP(Sat_W2[[#This Row],[Employee Name]],'Base Schedules'!$A$46:$AW$77,18,FALSE)="","",VLOOKUP(Sat_W2[[#This Row],[Employee Name]],'Base Schedules'!$A$46:$AW$77,18,FALSE)),"")</f>
        <v>HL</v>
      </c>
      <c r="T14" s="184" t="str">
        <f>IFERROR(IF(VLOOKUP(Sat_W2[[#This Row],[Employee Name]],'Base Schedules'!$A$46:$AW$77,19,FALSE)="","",VLOOKUP(Sat_W2[[#This Row],[Employee Name]],'Base Schedules'!$A$46:$AW$77,19,FALSE)),"")</f>
        <v>HL</v>
      </c>
      <c r="U14" s="184" t="str">
        <f>IFERROR(IF(VLOOKUP(Sat_W2[[#This Row],[Employee Name]],'Base Schedules'!$A$46:$AW$77,20,FALSE)="","",VLOOKUP(Sat_W2[[#This Row],[Employee Name]],'Base Schedules'!$A$46:$AW$77,20,FALSE)),"")</f>
        <v>HL</v>
      </c>
      <c r="V14" s="184" t="str">
        <f>IFERROR(IF(VLOOKUP(Sat_W2[[#This Row],[Employee Name]],'Base Schedules'!$A$46:$AW$77,21,FALSE)="","",VLOOKUP(Sat_W2[[#This Row],[Employee Name]],'Base Schedules'!$A$46:$AW$77,21,FALSE)),"")</f>
        <v>LUNCH</v>
      </c>
      <c r="W14" s="184" t="str">
        <f>IFERROR(IF(VLOOKUP(Sat_W2[[#This Row],[Employee Name]],'Base Schedules'!$A$46:$AW$77,22,FALSE)="","",VLOOKUP(Sat_W2[[#This Row],[Employee Name]],'Base Schedules'!$A$46:$AW$77,22,FALSE)),"")</f>
        <v>ADM</v>
      </c>
      <c r="X14" s="184" t="str">
        <f>IFERROR(IF(VLOOKUP(Sat_W2[[#This Row],[Employee Name]],'Base Schedules'!$A$46:$AW$77,23,FALSE)="","",VLOOKUP(Sat_W2[[#This Row],[Employee Name]],'Base Schedules'!$A$46:$AW$77,23,FALSE)),"")</f>
        <v>ADM</v>
      </c>
      <c r="Y14" s="184" t="str">
        <f>IFERROR(IF(VLOOKUP(Sat_W2[[#This Row],[Employee Name]],'Base Schedules'!$A$46:$AW$77,24,FALSE)="","",VLOOKUP(Sat_W2[[#This Row],[Employee Name]],'Base Schedules'!$A$46:$AW$77,24,FALSE)),"")</f>
        <v>ADM B2</v>
      </c>
      <c r="Z14" s="184" t="str">
        <f>IFERROR(IF(VLOOKUP(Sat_W2[[#This Row],[Employee Name]],'Base Schedules'!$A$46:$AW$77,25,FALSE)="","",VLOOKUP(Sat_W2[[#This Row],[Employee Name]],'Base Schedules'!$A$46:$AW$77,25,FALSE)),"")</f>
        <v>ADM</v>
      </c>
      <c r="AA14" s="184" t="str">
        <f>IFERROR(IF(VLOOKUP(Sat_W2[[#This Row],[Employee Name]],'Base Schedules'!$A$46:$AW$77,26,FALSE)="","",VLOOKUP(Sat_W2[[#This Row],[Employee Name]],'Base Schedules'!$A$46:$AW$77,26,FALSE)),"")</f>
        <v>ADM</v>
      </c>
      <c r="AB14" s="184" t="str">
        <f>IFERROR(IF(VLOOKUP(Sat_W2[[#This Row],[Employee Name]],'Base Schedules'!$A$46:$AW$77,27,FALSE)="","",VLOOKUP(Sat_W2[[#This Row],[Employee Name]],'Base Schedules'!$A$46:$AW$77,27,FALSE)),"")</f>
        <v>ADM</v>
      </c>
      <c r="AC14" s="184" t="str">
        <f>IFERROR(IF(VLOOKUP(Sat_W2[[#This Row],[Employee Name]],'Base Schedules'!$A$46:$AW$77,28,FALSE)="","",VLOOKUP(Sat_W2[[#This Row],[Employee Name]],'Base Schedules'!$A$46:$AW$77,28,FALSE)),"")</f>
        <v>ADM</v>
      </c>
      <c r="AD14" s="184" t="str">
        <f>IFERROR(IF(VLOOKUP(Sat_W2[[#This Row],[Employee Name]],'Base Schedules'!$A$46:$AW$77,29,FALSE)="","",VLOOKUP(Sat_W2[[#This Row],[Employee Name]],'Base Schedules'!$A$46:$AW$77,29,FALSE)),"")</f>
        <v/>
      </c>
      <c r="AE14" s="184" t="str">
        <f>IFERROR(IF(VLOOKUP(Sat_W2[[#This Row],[Employee Name]],'Base Schedules'!$A$46:$AW$77,30,FALSE)="","",VLOOKUP(Sat_W2[[#This Row],[Employee Name]],'Base Schedules'!$A$46:$AW$77,30,FALSE)),"")</f>
        <v/>
      </c>
      <c r="AF14" s="184" t="str">
        <f>IFERROR(IF(VLOOKUP(Sat_W2[[#This Row],[Employee Name]],'Base Schedules'!$A$46:$AW$77,31,FALSE)="","",VLOOKUP(Sat_W2[[#This Row],[Employee Name]],'Base Schedules'!$A$46:$AW$77,31,FALSE)),"")</f>
        <v/>
      </c>
      <c r="AG14" s="184" t="str">
        <f>IFERROR(IF(VLOOKUP(Sat_W2[[#This Row],[Employee Name]],'Base Schedules'!$A$46:$AW$77,32,FALSE)="","",VLOOKUP(Sat_W2[[#This Row],[Employee Name]],'Base Schedules'!$A$46:$AW$77,32,FALSE)),"")</f>
        <v/>
      </c>
      <c r="AH14" s="184" t="str">
        <f>IFERROR(IF(VLOOKUP(Sat_W2[[#This Row],[Employee Name]],'Base Schedules'!$A$46:$AW$77,33,FALSE)="","",VLOOKUP(Sat_W2[[#This Row],[Employee Name]],'Base Schedules'!$A$46:$AW$77,33,FALSE)),"")</f>
        <v/>
      </c>
      <c r="AI14" s="184" t="str">
        <f>IFERROR(IF(VLOOKUP(Sat_W2[[#This Row],[Employee Name]],'Base Schedules'!$A$46:$AW$77,34,FALSE)="","",VLOOKUP(Sat_W2[[#This Row],[Employee Name]],'Base Schedules'!$A$46:$AW$77,34,FALSE)),"")</f>
        <v/>
      </c>
      <c r="AJ14" s="184" t="str">
        <f>IFERROR(IF(VLOOKUP(Sat_W2[[#This Row],[Employee Name]],'Base Schedules'!$A$46:$AW$77,35,FALSE)="","",VLOOKUP(Sat_W2[[#This Row],[Employee Name]],'Base Schedules'!$A$46:$AW$77,35,FALSE)),"")</f>
        <v/>
      </c>
      <c r="AK14" s="184" t="str">
        <f>IFERROR(IF(VLOOKUP(Sat_W2[[#This Row],[Employee Name]],'Base Schedules'!$A$46:$AW$77,36,FALSE)="","",VLOOKUP(Sat_W2[[#This Row],[Employee Name]],'Base Schedules'!$A$46:$AW$77,36,FALSE)),"")</f>
        <v/>
      </c>
      <c r="AL14" s="184" t="str">
        <f>IFERROR(IF(VLOOKUP(Sat_W2[[#This Row],[Employee Name]],'Base Schedules'!$A$46:$AW$77,37,FALSE)="","",VLOOKUP(Sat_W2[[#This Row],[Employee Name]],'Base Schedules'!$A$46:$AW$77,37,FALSE)),"")</f>
        <v/>
      </c>
      <c r="AM14" s="184" t="str">
        <f>IFERROR(IF(VLOOKUP(Sat_W2[[#This Row],[Employee Name]],'Base Schedules'!$A$46:$AW$77,38,FALSE)="","",VLOOKUP(Sat_W2[[#This Row],[Employee Name]],'Base Schedules'!$A$46:$AW$77,38,FALSE)),"")</f>
        <v/>
      </c>
      <c r="AN14" s="184" t="str">
        <f>IFERROR(IF(VLOOKUP(Sat_W2[[#This Row],[Employee Name]],'Base Schedules'!$A$46:$AW$77,39,FALSE)="","",VLOOKUP(Sat_W2[[#This Row],[Employee Name]],'Base Schedules'!$A$46:$AW$77,39,FALSE)),"")</f>
        <v/>
      </c>
      <c r="AO14" s="184" t="str">
        <f>IFERROR(IF(VLOOKUP(Sat_W2[[#This Row],[Employee Name]],'Base Schedules'!$A$46:$AW$77,40,FALSE)="","",VLOOKUP(Sat_W2[[#This Row],[Employee Name]],'Base Schedules'!$A$46:$AW$77,40,FALSE)),"")</f>
        <v/>
      </c>
      <c r="AP14" s="184" t="str">
        <f>IFERROR(IF(VLOOKUP(Sat_W2[[#This Row],[Employee Name]],'Base Schedules'!$A$46:$AW$77,41,FALSE)="","",VLOOKUP(Sat_W2[[#This Row],[Employee Name]],'Base Schedules'!$A$46:$AW$77,41,FALSE)),"")</f>
        <v/>
      </c>
      <c r="AQ14" s="184" t="str">
        <f>IFERROR(IF(VLOOKUP(Sat_W2[[#This Row],[Employee Name]],'Base Schedules'!$A$46:$AW$77,42,FALSE)="","",VLOOKUP(Sat_W2[[#This Row],[Employee Name]],'Base Schedules'!$A$46:$AW$77,42,FALSE)),"")</f>
        <v/>
      </c>
      <c r="AR14" s="184" t="str">
        <f>IFERROR(IF(VLOOKUP(Sat_W2[[#This Row],[Employee Name]],'Base Schedules'!$A$46:$AW$77,43,FALSE)="","",VLOOKUP(Sat_W2[[#This Row],[Employee Name]],'Base Schedules'!$A$46:$AW$77,43,FALSE)),"")</f>
        <v/>
      </c>
      <c r="AS14" s="184" t="str">
        <f>IFERROR(IF(VLOOKUP(Sat_W2[[#This Row],[Employee Name]],'Base Schedules'!$A$46:$AW$77,44,FALSE)="","",VLOOKUP(Sat_W2[[#This Row],[Employee Name]],'Base Schedules'!$A$46:$AW$77,44,FALSE)),"")</f>
        <v/>
      </c>
      <c r="AT14" s="184" t="str">
        <f>IFERROR(IF(VLOOKUP(Sat_W2[[#This Row],[Employee Name]],'Base Schedules'!$A$46:$AW$77,45,FALSE)="","",VLOOKUP(Sat_W2[[#This Row],[Employee Name]],'Base Schedules'!$A$46:$AW$77,45,FALSE)),"")</f>
        <v/>
      </c>
      <c r="AU14" s="184" t="str">
        <f>IFERROR(IF(VLOOKUP(Sat_W2[[#This Row],[Employee Name]],'Base Schedules'!$A$46:$AW$77,46,FALSE)="","",VLOOKUP(Sat_W2[[#This Row],[Employee Name]],'Base Schedules'!$A$46:$AW$77,46,FALSE)),"")</f>
        <v/>
      </c>
      <c r="AV14" s="184" t="str">
        <f>IFERROR(IF(VLOOKUP(Sat_W2[[#This Row],[Employee Name]],'Base Schedules'!$A$46:$AW$77,47,FALSE)="","",VLOOKUP(Sat_W2[[#This Row],[Employee Name]],'Base Schedules'!$A$46:$AW$77,47,FALSE)),"")</f>
        <v/>
      </c>
      <c r="AW14" s="184" t="str">
        <f>IFERROR(IF(VLOOKUP(Sat_W2[[#This Row],[Employee Name]],'Base Schedules'!$A$46:$AW$77,48,FALSE)="","",VLOOKUP(Sat_W2[[#This Row],[Employee Name]],'Base Schedules'!$A$46:$AW$77,48,FALSE)),"")</f>
        <v/>
      </c>
      <c r="AX14" s="184" t="str">
        <f>IFERROR(IF(VLOOKUP(Sat_W2[[#This Row],[Employee Name]],'Base Schedules'!$A$46:$AW$77,49,FALSE)="","",VLOOKUP(Sat_W2[[#This Row],[Employee Name]],'Base Schedules'!$A$46:$AW$77,49,FALSE)),"")</f>
        <v/>
      </c>
      <c r="AY14" s="159" t="str">
        <f t="shared" si="2"/>
        <v>Greene, Alicia</v>
      </c>
    </row>
    <row r="15" spans="1:51" s="44" customFormat="1" ht="12" customHeight="1" x14ac:dyDescent="0.2">
      <c r="A15" s="39" t="str">
        <f>IF(B15="","",INDEX(TeamList[],MATCH($B15,TeamList[[Employee Name]:[Employee Name]],0),MATCH("Manager",TeamList[#Headers],0)))</f>
        <v>Paulson, Matthew</v>
      </c>
      <c r="B15" s="201" t="s">
        <v>39</v>
      </c>
      <c r="C15" s="257" t="str">
        <f>_xlfn.IFNA(VLOOKUP(Sat_W2[[#This Row],[Employee Name]],'Base Schedules'!A:B,2,FALSE),"")</f>
        <v>Supervisor</v>
      </c>
      <c r="D15" s="274">
        <f>_xlfn.IFNA(VLOOKUP(Sat_W2[[#This Row],[Employee Name]],'Base Schedules'!A:C,3,FALSE),"")</f>
        <v>630</v>
      </c>
      <c r="E15" s="274">
        <f>_xlfn.IFNA(VLOOKUP(Sat_W2[[#This Row],[Employee Name]],'Base Schedules'!A:D,4,FALSE),"")</f>
        <v>1530</v>
      </c>
      <c r="F15" s="142">
        <f>IF(Sat_W2[[#This Row],[Employee Name]]="","",IF(Sat_W2[[#This Row],[Dept]]="Supervisor",COUNTIFS($J15:$AX15,"*HL*",$J15:$AX15,"&lt;&gt;"&amp;"pHL"),COUNTIFS($J15:$AX15,"*HL*",$J15:$AX15,"&lt;&gt;"&amp;"*pHL*",$J15:$AX15,"&lt;&gt;"&amp;"pB1 HL",$J15:$AX15,"&lt;&gt;"&amp;"pB2 HL")-SUM(COUNTIFS($J15:$AX15,"*HL B1*",$J15:$AX15,"&lt;&gt;"&amp;"pHL B1")*0.5,COUNTIFS($J15:$AX15,"*HL B2*",$J15:$AX15,"&lt;&gt;"&amp;"pHL B2")*0.5,COUNTIFS($J15:$AX15,"*B1 HL*",$J15:$AX15,"&lt;&gt;"&amp;"pB1 HL")*0.5,COUNTIFS($J15:$AX15,"*B2 HL*",$J15:$AX15,"&lt;&gt;"&amp;"pB2 HL")*0.5)))</f>
        <v>0</v>
      </c>
      <c r="G15" s="142">
        <f t="shared" si="0"/>
        <v>4</v>
      </c>
      <c r="H15" s="142">
        <f t="shared" si="1"/>
        <v>0</v>
      </c>
      <c r="I15" s="142">
        <f>IF(Sat_W2[[#This Row],[Employee Name]]="","",IF(Sat_W2[[#This Row],[Dept]]="Supervisor",SUM(COUNTIFS($J15:$AX15,"RTA*",$J15:$AX15,"&lt;&gt;"&amp;"pRTA"),COUNTIFS($J15:$AX15,"*CRTA*",$J15:$AX15,"&lt;&gt;"&amp;"pCRTA")),COUNTIFS($J15:$AX15,"*RNNR*",$J15:$AX15,"&lt;&gt;"&amp;"*pRNNR*",$J15:$AX15,"&lt;&gt;"&amp;"pB1 RNNR",$J15:$AX15,"&lt;&gt;"&amp;"pB2 RNNR")-SUM(COUNTIFS($J15:$AX15,"*RNNR B1*",$J15:$AX15,"&lt;&gt;"&amp;"pRNNR B1")*0.5,COUNTIFS($J15:$AX15,"*RNNR B2*",$J15:$AX15,"&lt;&gt;"&amp;"pRNNR B2")*0.5,COUNTIFS($J15:$AX15,"*B1 RNNR*",$J15:$AX15,"&lt;&gt;"&amp;"pB1 RNNR")*0.5,COUNTIFS($J15:$AX15,"*B2 RNNR*",$J15:$AX15,"&lt;&gt;"&amp;"pB2 RNNR")*0.5)))</f>
        <v>0</v>
      </c>
      <c r="J15" s="184" t="str">
        <f>IFERROR(IF(VLOOKUP(Sat_W2[[#This Row],[Employee Name]],'Base Schedules'!$A$46:$AW$77,9,FALSE)="","",VLOOKUP(Sat_W2[[#This Row],[Employee Name]],'Base Schedules'!$A$46:$AW$77,9,FALSE)),"")</f>
        <v/>
      </c>
      <c r="K15" s="184" t="str">
        <f>IFERROR(IF(VLOOKUP(Sat_W2[[#This Row],[Employee Name]],'Base Schedules'!$A$46:$AW$77,10,FALSE)="","",VLOOKUP(Sat_W2[[#This Row],[Employee Name]],'Base Schedules'!$A$46:$AW$77,10,FALSE)),"")</f>
        <v/>
      </c>
      <c r="L15" s="184" t="str">
        <f>IFERROR(IF(VLOOKUP(Sat_W2[[#This Row],[Employee Name]],'Base Schedules'!$A$46:$AW$77,11,FALSE)="","",VLOOKUP(Sat_W2[[#This Row],[Employee Name]],'Base Schedules'!$A$46:$AW$77,11,FALSE)),"")</f>
        <v/>
      </c>
      <c r="M15" s="184" t="str">
        <f>IFERROR(IF(VLOOKUP(Sat_W2[[#This Row],[Employee Name]],'Base Schedules'!$A$46:$AW$77,12,FALSE)="","",VLOOKUP(Sat_W2[[#This Row],[Employee Name]],'Base Schedules'!$A$46:$AW$77,12,FALSE)),"")</f>
        <v>-</v>
      </c>
      <c r="N15" s="184" t="str">
        <f>IFERROR(IF(VLOOKUP(Sat_W2[[#This Row],[Employee Name]],'Base Schedules'!$A$46:$AW$77,13,FALSE)="","",VLOOKUP(Sat_W2[[#This Row],[Employee Name]],'Base Schedules'!$A$46:$AW$77,13,FALSE)),"")</f>
        <v>-</v>
      </c>
      <c r="O15" s="184" t="str">
        <f>IFERROR(IF(VLOOKUP(Sat_W2[[#This Row],[Employee Name]],'Base Schedules'!$A$46:$AW$77,14,FALSE)="","",VLOOKUP(Sat_W2[[#This Row],[Employee Name]],'Base Schedules'!$A$46:$AW$77,14,FALSE)),"")</f>
        <v>-</v>
      </c>
      <c r="P15" s="184" t="str">
        <f>IFERROR(IF(VLOOKUP(Sat_W2[[#This Row],[Employee Name]],'Base Schedules'!$A$46:$AW$77,15,FALSE)="","",VLOOKUP(Sat_W2[[#This Row],[Employee Name]],'Base Schedules'!$A$46:$AW$77,15,FALSE)),"")</f>
        <v>-</v>
      </c>
      <c r="Q15" s="184" t="str">
        <f>IFERROR(IF(VLOOKUP(Sat_W2[[#This Row],[Employee Name]],'Base Schedules'!$A$46:$AW$77,16,FALSE)="","",VLOOKUP(Sat_W2[[#This Row],[Employee Name]],'Base Schedules'!$A$46:$AW$77,16,FALSE)),"")</f>
        <v>-</v>
      </c>
      <c r="R15" s="184" t="str">
        <f>IFERROR(IF(VLOOKUP(Sat_W2[[#This Row],[Employee Name]],'Base Schedules'!$A$46:$AW$77,17,FALSE)="","",VLOOKUP(Sat_W2[[#This Row],[Employee Name]],'Base Schedules'!$A$46:$AW$77,17,FALSE)),"")</f>
        <v>Interview</v>
      </c>
      <c r="S15" s="184" t="str">
        <f>IFERROR(IF(VLOOKUP(Sat_W2[[#This Row],[Employee Name]],'Base Schedules'!$A$46:$AW$77,18,FALSE)="","",VLOOKUP(Sat_W2[[#This Row],[Employee Name]],'Base Schedules'!$A$46:$AW$77,18,FALSE)),"")</f>
        <v>Interview</v>
      </c>
      <c r="T15" s="184" t="str">
        <f>IFERROR(IF(VLOOKUP(Sat_W2[[#This Row],[Employee Name]],'Base Schedules'!$A$46:$AW$77,19,FALSE)="","",VLOOKUP(Sat_W2[[#This Row],[Employee Name]],'Base Schedules'!$A$46:$AW$77,19,FALSE)),"")</f>
        <v>-</v>
      </c>
      <c r="U15" s="184" t="str">
        <f>IFERROR(IF(VLOOKUP(Sat_W2[[#This Row],[Employee Name]],'Base Schedules'!$A$46:$AW$77,20,FALSE)="","",VLOOKUP(Sat_W2[[#This Row],[Employee Name]],'Base Schedules'!$A$46:$AW$77,20,FALSE)),"")</f>
        <v>TM PREP</v>
      </c>
      <c r="V15" s="184" t="str">
        <f>IFERROR(IF(VLOOKUP(Sat_W2[[#This Row],[Employee Name]],'Base Schedules'!$A$46:$AW$77,21,FALSE)="","",VLOOKUP(Sat_W2[[#This Row],[Employee Name]],'Base Schedules'!$A$46:$AW$77,21,FALSE)),"")</f>
        <v>TM ULRICH</v>
      </c>
      <c r="W15" s="184" t="str">
        <f>IFERROR(IF(VLOOKUP(Sat_W2[[#This Row],[Employee Name]],'Base Schedules'!$A$46:$AW$77,22,FALSE)="","",VLOOKUP(Sat_W2[[#This Row],[Employee Name]],'Base Schedules'!$A$46:$AW$77,22,FALSE)),"")</f>
        <v>TM ULRICH</v>
      </c>
      <c r="X15" s="184" t="str">
        <f>IFERROR(IF(VLOOKUP(Sat_W2[[#This Row],[Employee Name]],'Base Schedules'!$A$46:$AW$77,23,FALSE)="","",VLOOKUP(Sat_W2[[#This Row],[Employee Name]],'Base Schedules'!$A$46:$AW$77,23,FALSE)),"")</f>
        <v>-</v>
      </c>
      <c r="Y15" s="184" t="str">
        <f>IFERROR(IF(VLOOKUP(Sat_W2[[#This Row],[Employee Name]],'Base Schedules'!$A$46:$AW$77,24,FALSE)="","",VLOOKUP(Sat_W2[[#This Row],[Employee Name]],'Base Schedules'!$A$46:$AW$77,24,FALSE)),"")</f>
        <v>-</v>
      </c>
      <c r="Z15" s="184" t="str">
        <f>IFERROR(IF(VLOOKUP(Sat_W2[[#This Row],[Employee Name]],'Base Schedules'!$A$46:$AW$77,25,FALSE)="","",VLOOKUP(Sat_W2[[#This Row],[Employee Name]],'Base Schedules'!$A$46:$AW$77,25,FALSE)),"")</f>
        <v>Coaching</v>
      </c>
      <c r="AA15" s="184" t="str">
        <f>IFERROR(IF(VLOOKUP(Sat_W2[[#This Row],[Employee Name]],'Base Schedules'!$A$46:$AW$77,26,FALSE)="","",VLOOKUP(Sat_W2[[#This Row],[Employee Name]],'Base Schedules'!$A$46:$AW$77,26,FALSE)),"")</f>
        <v>Coaching</v>
      </c>
      <c r="AB15" s="184" t="str">
        <f>IFERROR(IF(VLOOKUP(Sat_W2[[#This Row],[Employee Name]],'Base Schedules'!$A$46:$AW$77,27,FALSE)="","",VLOOKUP(Sat_W2[[#This Row],[Employee Name]],'Base Schedules'!$A$46:$AW$77,27,FALSE)),"")</f>
        <v>Coaching</v>
      </c>
      <c r="AC15" s="184" t="str">
        <f>IFERROR(IF(VLOOKUP(Sat_W2[[#This Row],[Employee Name]],'Base Schedules'!$A$46:$AW$77,28,FALSE)="","",VLOOKUP(Sat_W2[[#This Row],[Employee Name]],'Base Schedules'!$A$46:$AW$77,28,FALSE)),"")</f>
        <v>Coaching</v>
      </c>
      <c r="AD15" s="184" t="str">
        <f>IFERROR(IF(VLOOKUP(Sat_W2[[#This Row],[Employee Name]],'Base Schedules'!$A$46:$AW$77,29,FALSE)="","",VLOOKUP(Sat_W2[[#This Row],[Employee Name]],'Base Schedules'!$A$46:$AW$77,29,FALSE)),"")</f>
        <v>-</v>
      </c>
      <c r="AE15" s="184" t="str">
        <f>IFERROR(IF(VLOOKUP(Sat_W2[[#This Row],[Employee Name]],'Base Schedules'!$A$46:$AW$77,30,FALSE)="","",VLOOKUP(Sat_W2[[#This Row],[Employee Name]],'Base Schedules'!$A$46:$AW$77,30,FALSE)),"")</f>
        <v/>
      </c>
      <c r="AF15" s="184" t="str">
        <f>IFERROR(IF(VLOOKUP(Sat_W2[[#This Row],[Employee Name]],'Base Schedules'!$A$46:$AW$77,31,FALSE)="","",VLOOKUP(Sat_W2[[#This Row],[Employee Name]],'Base Schedules'!$A$46:$AW$77,31,FALSE)),"")</f>
        <v/>
      </c>
      <c r="AG15" s="184" t="str">
        <f>IFERROR(IF(VLOOKUP(Sat_W2[[#This Row],[Employee Name]],'Base Schedules'!$A$46:$AW$77,32,FALSE)="","",VLOOKUP(Sat_W2[[#This Row],[Employee Name]],'Base Schedules'!$A$46:$AW$77,32,FALSE)),"")</f>
        <v/>
      </c>
      <c r="AH15" s="184" t="str">
        <f>IFERROR(IF(VLOOKUP(Sat_W2[[#This Row],[Employee Name]],'Base Schedules'!$A$46:$AW$77,33,FALSE)="","",VLOOKUP(Sat_W2[[#This Row],[Employee Name]],'Base Schedules'!$A$46:$AW$77,33,FALSE)),"")</f>
        <v/>
      </c>
      <c r="AI15" s="184" t="str">
        <f>IFERROR(IF(VLOOKUP(Sat_W2[[#This Row],[Employee Name]],'Base Schedules'!$A$46:$AW$77,34,FALSE)="","",VLOOKUP(Sat_W2[[#This Row],[Employee Name]],'Base Schedules'!$A$46:$AW$77,34,FALSE)),"")</f>
        <v/>
      </c>
      <c r="AJ15" s="184" t="str">
        <f>IFERROR(IF(VLOOKUP(Sat_W2[[#This Row],[Employee Name]],'Base Schedules'!$A$46:$AW$77,35,FALSE)="","",VLOOKUP(Sat_W2[[#This Row],[Employee Name]],'Base Schedules'!$A$46:$AW$77,35,FALSE)),"")</f>
        <v/>
      </c>
      <c r="AK15" s="184" t="str">
        <f>IFERROR(IF(VLOOKUP(Sat_W2[[#This Row],[Employee Name]],'Base Schedules'!$A$46:$AW$77,36,FALSE)="","",VLOOKUP(Sat_W2[[#This Row],[Employee Name]],'Base Schedules'!$A$46:$AW$77,36,FALSE)),"")</f>
        <v/>
      </c>
      <c r="AL15" s="184" t="str">
        <f>IFERROR(IF(VLOOKUP(Sat_W2[[#This Row],[Employee Name]],'Base Schedules'!$A$46:$AW$77,37,FALSE)="","",VLOOKUP(Sat_W2[[#This Row],[Employee Name]],'Base Schedules'!$A$46:$AW$77,37,FALSE)),"")</f>
        <v/>
      </c>
      <c r="AM15" s="184" t="str">
        <f>IFERROR(IF(VLOOKUP(Sat_W2[[#This Row],[Employee Name]],'Base Schedules'!$A$46:$AW$77,38,FALSE)="","",VLOOKUP(Sat_W2[[#This Row],[Employee Name]],'Base Schedules'!$A$46:$AW$77,38,FALSE)),"")</f>
        <v/>
      </c>
      <c r="AN15" s="184" t="str">
        <f>IFERROR(IF(VLOOKUP(Sat_W2[[#This Row],[Employee Name]],'Base Schedules'!$A$46:$AW$77,39,FALSE)="","",VLOOKUP(Sat_W2[[#This Row],[Employee Name]],'Base Schedules'!$A$46:$AW$77,39,FALSE)),"")</f>
        <v/>
      </c>
      <c r="AO15" s="184" t="str">
        <f>IFERROR(IF(VLOOKUP(Sat_W2[[#This Row],[Employee Name]],'Base Schedules'!$A$46:$AW$77,40,FALSE)="","",VLOOKUP(Sat_W2[[#This Row],[Employee Name]],'Base Schedules'!$A$46:$AW$77,40,FALSE)),"")</f>
        <v/>
      </c>
      <c r="AP15" s="184" t="str">
        <f>IFERROR(IF(VLOOKUP(Sat_W2[[#This Row],[Employee Name]],'Base Schedules'!$A$46:$AW$77,41,FALSE)="","",VLOOKUP(Sat_W2[[#This Row],[Employee Name]],'Base Schedules'!$A$46:$AW$77,41,FALSE)),"")</f>
        <v/>
      </c>
      <c r="AQ15" s="184" t="str">
        <f>IFERROR(IF(VLOOKUP(Sat_W2[[#This Row],[Employee Name]],'Base Schedules'!$A$46:$AW$77,42,FALSE)="","",VLOOKUP(Sat_W2[[#This Row],[Employee Name]],'Base Schedules'!$A$46:$AW$77,42,FALSE)),"")</f>
        <v/>
      </c>
      <c r="AR15" s="184" t="str">
        <f>IFERROR(IF(VLOOKUP(Sat_W2[[#This Row],[Employee Name]],'Base Schedules'!$A$46:$AW$77,43,FALSE)="","",VLOOKUP(Sat_W2[[#This Row],[Employee Name]],'Base Schedules'!$A$46:$AW$77,43,FALSE)),"")</f>
        <v/>
      </c>
      <c r="AS15" s="184" t="str">
        <f>IFERROR(IF(VLOOKUP(Sat_W2[[#This Row],[Employee Name]],'Base Schedules'!$A$46:$AW$77,44,FALSE)="","",VLOOKUP(Sat_W2[[#This Row],[Employee Name]],'Base Schedules'!$A$46:$AW$77,44,FALSE)),"")</f>
        <v/>
      </c>
      <c r="AT15" s="184" t="str">
        <f>IFERROR(IF(VLOOKUP(Sat_W2[[#This Row],[Employee Name]],'Base Schedules'!$A$46:$AW$77,45,FALSE)="","",VLOOKUP(Sat_W2[[#This Row],[Employee Name]],'Base Schedules'!$A$46:$AW$77,45,FALSE)),"")</f>
        <v/>
      </c>
      <c r="AU15" s="184" t="str">
        <f>IFERROR(IF(VLOOKUP(Sat_W2[[#This Row],[Employee Name]],'Base Schedules'!$A$46:$AW$77,46,FALSE)="","",VLOOKUP(Sat_W2[[#This Row],[Employee Name]],'Base Schedules'!$A$46:$AW$77,46,FALSE)),"")</f>
        <v/>
      </c>
      <c r="AV15" s="184" t="str">
        <f>IFERROR(IF(VLOOKUP(Sat_W2[[#This Row],[Employee Name]],'Base Schedules'!$A$46:$AW$77,47,FALSE)="","",VLOOKUP(Sat_W2[[#This Row],[Employee Name]],'Base Schedules'!$A$46:$AW$77,47,FALSE)),"")</f>
        <v/>
      </c>
      <c r="AW15" s="184" t="str">
        <f>IFERROR(IF(VLOOKUP(Sat_W2[[#This Row],[Employee Name]],'Base Schedules'!$A$46:$AW$77,48,FALSE)="","",VLOOKUP(Sat_W2[[#This Row],[Employee Name]],'Base Schedules'!$A$46:$AW$77,48,FALSE)),"")</f>
        <v/>
      </c>
      <c r="AX15" s="184" t="str">
        <f>IFERROR(IF(VLOOKUP(Sat_W2[[#This Row],[Employee Name]],'Base Schedules'!$A$46:$AW$77,49,FALSE)="","",VLOOKUP(Sat_W2[[#This Row],[Employee Name]],'Base Schedules'!$A$46:$AW$77,49,FALSE)),"")</f>
        <v/>
      </c>
      <c r="AY15" s="159" t="str">
        <f t="shared" si="2"/>
        <v>Ulrich, Michael</v>
      </c>
    </row>
    <row r="16" spans="1:51" s="44" customFormat="1" ht="12" customHeight="1" x14ac:dyDescent="0.2">
      <c r="A16" s="39" t="str">
        <f>IF(B16="","",INDEX(TeamList[],MATCH($B16,TeamList[[Employee Name]:[Employee Name]],0),MATCH("Manager",TeamList[#Headers],0)))</f>
        <v>Olson, Katherine</v>
      </c>
      <c r="B16" s="201" t="s">
        <v>22</v>
      </c>
      <c r="C16" s="257" t="str">
        <f>_xlfn.IFNA(VLOOKUP(Sat_W2[[#This Row],[Employee Name]],'Base Schedules'!A:B,2,FALSE),"")</f>
        <v>Lead</v>
      </c>
      <c r="D16" s="274">
        <f>_xlfn.IFNA(VLOOKUP(Sat_W2[[#This Row],[Employee Name]],'Base Schedules'!A:C,3,FALSE),"")</f>
        <v>700</v>
      </c>
      <c r="E16" s="274">
        <f>_xlfn.IFNA(VLOOKUP(Sat_W2[[#This Row],[Employee Name]],'Base Schedules'!A:D,4,FALSE),"")</f>
        <v>1600</v>
      </c>
      <c r="F16" s="142">
        <f>IF(Sat_W2[[#This Row],[Employee Name]]="","",IF(Sat_W2[[#This Row],[Dept]]="Supervisor",COUNTIFS($J16:$AX16,"*HL*",$J16:$AX16,"&lt;&gt;"&amp;"pHL"),COUNTIFS($J16:$AX16,"*HL*",$J16:$AX16,"&lt;&gt;"&amp;"*pHL*",$J16:$AX16,"&lt;&gt;"&amp;"pB1 HL",$J16:$AX16,"&lt;&gt;"&amp;"pB2 HL")-SUM(COUNTIFS($J16:$AX16,"*HL B1*",$J16:$AX16,"&lt;&gt;"&amp;"pHL B1")*0.5,COUNTIFS($J16:$AX16,"*HL B2*",$J16:$AX16,"&lt;&gt;"&amp;"pHL B2")*0.5,COUNTIFS($J16:$AX16,"*B1 HL*",$J16:$AX16,"&lt;&gt;"&amp;"pB1 HL")*0.5,COUNTIFS($J16:$AX16,"*B2 HL*",$J16:$AX16,"&lt;&gt;"&amp;"pB2 HL")*0.5)))</f>
        <v>6.5</v>
      </c>
      <c r="G16" s="142">
        <f t="shared" si="0"/>
        <v>0</v>
      </c>
      <c r="H16" s="142">
        <f t="shared" si="1"/>
        <v>7</v>
      </c>
      <c r="I16" s="142">
        <f>IF(Sat_W2[[#This Row],[Employee Name]]="","",IF(Sat_W2[[#This Row],[Dept]]="Supervisor",SUM(COUNTIFS($J16:$AX16,"RTA*",$J16:$AX16,"&lt;&gt;"&amp;"pRTA"),COUNTIFS($J16:$AX16,"*CRTA*",$J16:$AX16,"&lt;&gt;"&amp;"pCRTA")),COUNTIFS($J16:$AX16,"*RNNR*",$J16:$AX16,"&lt;&gt;"&amp;"*pRNNR*",$J16:$AX16,"&lt;&gt;"&amp;"pB1 RNNR",$J16:$AX16,"&lt;&gt;"&amp;"pB2 RNNR")-SUM(COUNTIFS($J16:$AX16,"*RNNR B1*",$J16:$AX16,"&lt;&gt;"&amp;"pRNNR B1")*0.5,COUNTIFS($J16:$AX16,"*RNNR B2*",$J16:$AX16,"&lt;&gt;"&amp;"pRNNR B2")*0.5,COUNTIFS($J16:$AX16,"*B1 RNNR*",$J16:$AX16,"&lt;&gt;"&amp;"pB1 RNNR")*0.5,COUNTIFS($J16:$AX16,"*B2 RNNR*",$J16:$AX16,"&lt;&gt;"&amp;"pB2 RNNR")*0.5)))</f>
        <v>2</v>
      </c>
      <c r="J16" s="184" t="str">
        <f>IFERROR(IF(VLOOKUP(Sat_W2[[#This Row],[Employee Name]],'Base Schedules'!$A$46:$AW$77,9,FALSE)="","",VLOOKUP(Sat_W2[[#This Row],[Employee Name]],'Base Schedules'!$A$46:$AW$77,9,FALSE)),"")</f>
        <v/>
      </c>
      <c r="K16" s="184" t="str">
        <f>IFERROR(IF(VLOOKUP(Sat_W2[[#This Row],[Employee Name]],'Base Schedules'!$A$46:$AW$77,10,FALSE)="","",VLOOKUP(Sat_W2[[#This Row],[Employee Name]],'Base Schedules'!$A$46:$AW$77,10,FALSE)),"")</f>
        <v/>
      </c>
      <c r="L16" s="184" t="str">
        <f>IFERROR(IF(VLOOKUP(Sat_W2[[#This Row],[Employee Name]],'Base Schedules'!$A$46:$AW$77,11,FALSE)="","",VLOOKUP(Sat_W2[[#This Row],[Employee Name]],'Base Schedules'!$A$46:$AW$77,11,FALSE)),"")</f>
        <v/>
      </c>
      <c r="M16" s="184" t="str">
        <f>IFERROR(IF(VLOOKUP(Sat_W2[[#This Row],[Employee Name]],'Base Schedules'!$A$46:$AW$77,12,FALSE)="","",VLOOKUP(Sat_W2[[#This Row],[Employee Name]],'Base Schedules'!$A$46:$AW$77,12,FALSE)),"")</f>
        <v/>
      </c>
      <c r="N16" s="184" t="str">
        <f>IFERROR(IF(VLOOKUP(Sat_W2[[#This Row],[Employee Name]],'Base Schedules'!$A$46:$AW$77,13,FALSE)="","",VLOOKUP(Sat_W2[[#This Row],[Employee Name]],'Base Schedules'!$A$46:$AW$77,13,FALSE)),"")</f>
        <v>HL</v>
      </c>
      <c r="O16" s="184" t="str">
        <f>IFERROR(IF(VLOOKUP(Sat_W2[[#This Row],[Employee Name]],'Base Schedules'!$A$46:$AW$77,14,FALSE)="","",VLOOKUP(Sat_W2[[#This Row],[Employee Name]],'Base Schedules'!$A$46:$AW$77,14,FALSE)),"")</f>
        <v>HL</v>
      </c>
      <c r="P16" s="184" t="str">
        <f>IFERROR(IF(VLOOKUP(Sat_W2[[#This Row],[Employee Name]],'Base Schedules'!$A$46:$AW$77,15,FALSE)="","",VLOOKUP(Sat_W2[[#This Row],[Employee Name]],'Base Schedules'!$A$46:$AW$77,15,FALSE)),"")</f>
        <v>HL</v>
      </c>
      <c r="Q16" s="184" t="str">
        <f>IFERROR(IF(VLOOKUP(Sat_W2[[#This Row],[Employee Name]],'Base Schedules'!$A$46:$AW$77,16,FALSE)="","",VLOOKUP(Sat_W2[[#This Row],[Employee Name]],'Base Schedules'!$A$46:$AW$77,16,FALSE)),"")</f>
        <v>HL</v>
      </c>
      <c r="R16" s="184" t="str">
        <f>IFERROR(IF(VLOOKUP(Sat_W2[[#This Row],[Employee Name]],'Base Schedules'!$A$46:$AW$77,17,FALSE)="","",VLOOKUP(Sat_W2[[#This Row],[Employee Name]],'Base Schedules'!$A$46:$AW$77,17,FALSE)),"")</f>
        <v>HL B1</v>
      </c>
      <c r="S16" s="184" t="str">
        <f>IFERROR(IF(VLOOKUP(Sat_W2[[#This Row],[Employee Name]],'Base Schedules'!$A$46:$AW$77,18,FALSE)="","",VLOOKUP(Sat_W2[[#This Row],[Employee Name]],'Base Schedules'!$A$46:$AW$77,18,FALSE)),"")</f>
        <v>ADM</v>
      </c>
      <c r="T16" s="184" t="str">
        <f>IFERROR(IF(VLOOKUP(Sat_W2[[#This Row],[Employee Name]],'Base Schedules'!$A$46:$AW$77,19,FALSE)="","",VLOOKUP(Sat_W2[[#This Row],[Employee Name]],'Base Schedules'!$A$46:$AW$77,19,FALSE)),"")</f>
        <v>RNNR</v>
      </c>
      <c r="U16" s="184" t="str">
        <f>IFERROR(IF(VLOOKUP(Sat_W2[[#This Row],[Employee Name]],'Base Schedules'!$A$46:$AW$77,20,FALSE)="","",VLOOKUP(Sat_W2[[#This Row],[Employee Name]],'Base Schedules'!$A$46:$AW$77,20,FALSE)),"")</f>
        <v>RNNR</v>
      </c>
      <c r="V16" s="184" t="str">
        <f>IFERROR(IF(VLOOKUP(Sat_W2[[#This Row],[Employee Name]],'Base Schedules'!$A$46:$AW$77,21,FALSE)="","",VLOOKUP(Sat_W2[[#This Row],[Employee Name]],'Base Schedules'!$A$46:$AW$77,21,FALSE)),"")</f>
        <v>ADM</v>
      </c>
      <c r="W16" s="184" t="str">
        <f>IFERROR(IF(VLOOKUP(Sat_W2[[#This Row],[Employee Name]],'Base Schedules'!$A$46:$AW$77,22,FALSE)="","",VLOOKUP(Sat_W2[[#This Row],[Employee Name]],'Base Schedules'!$A$46:$AW$77,22,FALSE)),"")</f>
        <v>LUNCH</v>
      </c>
      <c r="X16" s="184" t="str">
        <f>IFERROR(IF(VLOOKUP(Sat_W2[[#This Row],[Employee Name]],'Base Schedules'!$A$46:$AW$77,23,FALSE)="","",VLOOKUP(Sat_W2[[#This Row],[Employee Name]],'Base Schedules'!$A$46:$AW$77,23,FALSE)),"")</f>
        <v>LUNCH</v>
      </c>
      <c r="Y16" s="184" t="str">
        <f>IFERROR(IF(VLOOKUP(Sat_W2[[#This Row],[Employee Name]],'Base Schedules'!$A$46:$AW$77,24,FALSE)="","",VLOOKUP(Sat_W2[[#This Row],[Employee Name]],'Base Schedules'!$A$46:$AW$77,24,FALSE)),"")</f>
        <v>HL</v>
      </c>
      <c r="Z16" s="184" t="str">
        <f>IFERROR(IF(VLOOKUP(Sat_W2[[#This Row],[Employee Name]],'Base Schedules'!$A$46:$AW$77,25,FALSE)="","",VLOOKUP(Sat_W2[[#This Row],[Employee Name]],'Base Schedules'!$A$46:$AW$77,25,FALSE)),"")</f>
        <v>HL</v>
      </c>
      <c r="AA16" s="184" t="str">
        <f>IFERROR(IF(VLOOKUP(Sat_W2[[#This Row],[Employee Name]],'Base Schedules'!$A$46:$AW$77,26,FALSE)="","",VLOOKUP(Sat_W2[[#This Row],[Employee Name]],'Base Schedules'!$A$46:$AW$77,26,FALSE)),"")</f>
        <v>ADM</v>
      </c>
      <c r="AB16" s="184" t="str">
        <f>IFERROR(IF(VLOOKUP(Sat_W2[[#This Row],[Employee Name]],'Base Schedules'!$A$46:$AW$77,27,FALSE)="","",VLOOKUP(Sat_W2[[#This Row],[Employee Name]],'Base Schedules'!$A$46:$AW$77,27,FALSE)),"")</f>
        <v>ADM</v>
      </c>
      <c r="AC16" s="184" t="str">
        <f>IFERROR(IF(VLOOKUP(Sat_W2[[#This Row],[Employee Name]],'Base Schedules'!$A$46:$AW$77,28,FALSE)="","",VLOOKUP(Sat_W2[[#This Row],[Employee Name]],'Base Schedules'!$A$46:$AW$77,28,FALSE)),"")</f>
        <v>ADM B2</v>
      </c>
      <c r="AD16" s="184" t="str">
        <f>IFERROR(IF(VLOOKUP(Sat_W2[[#This Row],[Employee Name]],'Base Schedules'!$A$46:$AW$77,29,FALSE)="","",VLOOKUP(Sat_W2[[#This Row],[Employee Name]],'Base Schedules'!$A$46:$AW$77,29,FALSE)),"")</f>
        <v>ADM</v>
      </c>
      <c r="AE16" s="184" t="str">
        <f>IFERROR(IF(VLOOKUP(Sat_W2[[#This Row],[Employee Name]],'Base Schedules'!$A$46:$AW$77,30,FALSE)="","",VLOOKUP(Sat_W2[[#This Row],[Employee Name]],'Base Schedules'!$A$46:$AW$77,30,FALSE)),"")</f>
        <v>ADM</v>
      </c>
      <c r="AF16" s="184" t="str">
        <f>IFERROR(IF(VLOOKUP(Sat_W2[[#This Row],[Employee Name]],'Base Schedules'!$A$46:$AW$77,31,FALSE)="","",VLOOKUP(Sat_W2[[#This Row],[Employee Name]],'Base Schedules'!$A$46:$AW$77,31,FALSE)),"")</f>
        <v/>
      </c>
      <c r="AG16" s="184" t="str">
        <f>IFERROR(IF(VLOOKUP(Sat_W2[[#This Row],[Employee Name]],'Base Schedules'!$A$46:$AW$77,32,FALSE)="","",VLOOKUP(Sat_W2[[#This Row],[Employee Name]],'Base Schedules'!$A$46:$AW$77,32,FALSE)),"")</f>
        <v/>
      </c>
      <c r="AH16" s="184" t="str">
        <f>IFERROR(IF(VLOOKUP(Sat_W2[[#This Row],[Employee Name]],'Base Schedules'!$A$46:$AW$77,33,FALSE)="","",VLOOKUP(Sat_W2[[#This Row],[Employee Name]],'Base Schedules'!$A$46:$AW$77,33,FALSE)),"")</f>
        <v/>
      </c>
      <c r="AI16" s="184" t="str">
        <f>IFERROR(IF(VLOOKUP(Sat_W2[[#This Row],[Employee Name]],'Base Schedules'!$A$46:$AW$77,34,FALSE)="","",VLOOKUP(Sat_W2[[#This Row],[Employee Name]],'Base Schedules'!$A$46:$AW$77,34,FALSE)),"")</f>
        <v/>
      </c>
      <c r="AJ16" s="184" t="str">
        <f>IFERROR(IF(VLOOKUP(Sat_W2[[#This Row],[Employee Name]],'Base Schedules'!$A$46:$AW$77,35,FALSE)="","",VLOOKUP(Sat_W2[[#This Row],[Employee Name]],'Base Schedules'!$A$46:$AW$77,35,FALSE)),"")</f>
        <v/>
      </c>
      <c r="AK16" s="184" t="str">
        <f>IFERROR(IF(VLOOKUP(Sat_W2[[#This Row],[Employee Name]],'Base Schedules'!$A$46:$AW$77,36,FALSE)="","",VLOOKUP(Sat_W2[[#This Row],[Employee Name]],'Base Schedules'!$A$46:$AW$77,36,FALSE)),"")</f>
        <v/>
      </c>
      <c r="AL16" s="184" t="str">
        <f>IFERROR(IF(VLOOKUP(Sat_W2[[#This Row],[Employee Name]],'Base Schedules'!$A$46:$AW$77,37,FALSE)="","",VLOOKUP(Sat_W2[[#This Row],[Employee Name]],'Base Schedules'!$A$46:$AW$77,37,FALSE)),"")</f>
        <v/>
      </c>
      <c r="AM16" s="184" t="str">
        <f>IFERROR(IF(VLOOKUP(Sat_W2[[#This Row],[Employee Name]],'Base Schedules'!$A$46:$AW$77,38,FALSE)="","",VLOOKUP(Sat_W2[[#This Row],[Employee Name]],'Base Schedules'!$A$46:$AW$77,38,FALSE)),"")</f>
        <v/>
      </c>
      <c r="AN16" s="184" t="str">
        <f>IFERROR(IF(VLOOKUP(Sat_W2[[#This Row],[Employee Name]],'Base Schedules'!$A$46:$AW$77,39,FALSE)="","",VLOOKUP(Sat_W2[[#This Row],[Employee Name]],'Base Schedules'!$A$46:$AW$77,39,FALSE)),"")</f>
        <v/>
      </c>
      <c r="AO16" s="184" t="str">
        <f>IFERROR(IF(VLOOKUP(Sat_W2[[#This Row],[Employee Name]],'Base Schedules'!$A$46:$AW$77,40,FALSE)="","",VLOOKUP(Sat_W2[[#This Row],[Employee Name]],'Base Schedules'!$A$46:$AW$77,40,FALSE)),"")</f>
        <v/>
      </c>
      <c r="AP16" s="184" t="str">
        <f>IFERROR(IF(VLOOKUP(Sat_W2[[#This Row],[Employee Name]],'Base Schedules'!$A$46:$AW$77,41,FALSE)="","",VLOOKUP(Sat_W2[[#This Row],[Employee Name]],'Base Schedules'!$A$46:$AW$77,41,FALSE)),"")</f>
        <v/>
      </c>
      <c r="AQ16" s="184" t="str">
        <f>IFERROR(IF(VLOOKUP(Sat_W2[[#This Row],[Employee Name]],'Base Schedules'!$A$46:$AW$77,42,FALSE)="","",VLOOKUP(Sat_W2[[#This Row],[Employee Name]],'Base Schedules'!$A$46:$AW$77,42,FALSE)),"")</f>
        <v/>
      </c>
      <c r="AR16" s="184" t="str">
        <f>IFERROR(IF(VLOOKUP(Sat_W2[[#This Row],[Employee Name]],'Base Schedules'!$A$46:$AW$77,43,FALSE)="","",VLOOKUP(Sat_W2[[#This Row],[Employee Name]],'Base Schedules'!$A$46:$AW$77,43,FALSE)),"")</f>
        <v/>
      </c>
      <c r="AS16" s="184" t="str">
        <f>IFERROR(IF(VLOOKUP(Sat_W2[[#This Row],[Employee Name]],'Base Schedules'!$A$46:$AW$77,44,FALSE)="","",VLOOKUP(Sat_W2[[#This Row],[Employee Name]],'Base Schedules'!$A$46:$AW$77,44,FALSE)),"")</f>
        <v/>
      </c>
      <c r="AT16" s="184" t="str">
        <f>IFERROR(IF(VLOOKUP(Sat_W2[[#This Row],[Employee Name]],'Base Schedules'!$A$46:$AW$77,45,FALSE)="","",VLOOKUP(Sat_W2[[#This Row],[Employee Name]],'Base Schedules'!$A$46:$AW$77,45,FALSE)),"")</f>
        <v/>
      </c>
      <c r="AU16" s="184" t="str">
        <f>IFERROR(IF(VLOOKUP(Sat_W2[[#This Row],[Employee Name]],'Base Schedules'!$A$46:$AW$77,46,FALSE)="","",VLOOKUP(Sat_W2[[#This Row],[Employee Name]],'Base Schedules'!$A$46:$AW$77,46,FALSE)),"")</f>
        <v/>
      </c>
      <c r="AV16" s="184" t="str">
        <f>IFERROR(IF(VLOOKUP(Sat_W2[[#This Row],[Employee Name]],'Base Schedules'!$A$46:$AW$77,47,FALSE)="","",VLOOKUP(Sat_W2[[#This Row],[Employee Name]],'Base Schedules'!$A$46:$AW$77,47,FALSE)),"")</f>
        <v/>
      </c>
      <c r="AW16" s="184" t="str">
        <f>IFERROR(IF(VLOOKUP(Sat_W2[[#This Row],[Employee Name]],'Base Schedules'!$A$46:$AW$77,48,FALSE)="","",VLOOKUP(Sat_W2[[#This Row],[Employee Name]],'Base Schedules'!$A$46:$AW$77,48,FALSE)),"")</f>
        <v/>
      </c>
      <c r="AX16" s="184" t="str">
        <f>IFERROR(IF(VLOOKUP(Sat_W2[[#This Row],[Employee Name]],'Base Schedules'!$A$46:$AW$77,49,FALSE)="","",VLOOKUP(Sat_W2[[#This Row],[Employee Name]],'Base Schedules'!$A$46:$AW$77,49,FALSE)),"")</f>
        <v/>
      </c>
      <c r="AY16" s="161" t="str">
        <f t="shared" si="2"/>
        <v>Benish, Elisha</v>
      </c>
    </row>
    <row r="17" spans="1:51" s="44" customFormat="1" ht="12" customHeight="1" x14ac:dyDescent="0.2">
      <c r="A17" s="39" t="str">
        <f>IF(B17="","",INDEX(TeamList[],MATCH($B17,TeamList[[Employee Name]:[Employee Name]],0),MATCH("Manager",TeamList[#Headers],0)))</f>
        <v>Paulson, Matthew</v>
      </c>
      <c r="B17" s="201" t="s">
        <v>31</v>
      </c>
      <c r="C17" s="257" t="str">
        <f>_xlfn.IFNA(VLOOKUP(Sat_W2[[#This Row],[Employee Name]],'Base Schedules'!A:B,2,FALSE),"")</f>
        <v>Supervisor</v>
      </c>
      <c r="D17" s="274">
        <f>_xlfn.IFNA(VLOOKUP(Sat_W2[[#This Row],[Employee Name]],'Base Schedules'!A:C,3,FALSE),"")</f>
        <v>730</v>
      </c>
      <c r="E17" s="274">
        <f>_xlfn.IFNA(VLOOKUP(Sat_W2[[#This Row],[Employee Name]],'Base Schedules'!A:D,4,FALSE),"")</f>
        <v>1630</v>
      </c>
      <c r="F17" s="142">
        <f>IF(Sat_W2[[#This Row],[Employee Name]]="","",IF(Sat_W2[[#This Row],[Dept]]="Supervisor",COUNTIFS($J17:$AX17,"*HL*",$J17:$AX17,"&lt;&gt;"&amp;"pHL"),COUNTIFS($J17:$AX17,"*HL*",$J17:$AX17,"&lt;&gt;"&amp;"*pHL*",$J17:$AX17,"&lt;&gt;"&amp;"pB1 HL",$J17:$AX17,"&lt;&gt;"&amp;"pB2 HL")-SUM(COUNTIFS($J17:$AX17,"*HL B1*",$J17:$AX17,"&lt;&gt;"&amp;"pHL B1")*0.5,COUNTIFS($J17:$AX17,"*HL B2*",$J17:$AX17,"&lt;&gt;"&amp;"pHL B2")*0.5,COUNTIFS($J17:$AX17,"*B1 HL*",$J17:$AX17,"&lt;&gt;"&amp;"pB1 HL")*0.5,COUNTIFS($J17:$AX17,"*B2 HL*",$J17:$AX17,"&lt;&gt;"&amp;"pB2 HL")*0.5)))</f>
        <v>0</v>
      </c>
      <c r="G17" s="142">
        <f t="shared" si="0"/>
        <v>4</v>
      </c>
      <c r="H17" s="142">
        <f t="shared" si="1"/>
        <v>0</v>
      </c>
      <c r="I17" s="142">
        <f>IF(Sat_W2[[#This Row],[Employee Name]]="","",IF(Sat_W2[[#This Row],[Dept]]="Supervisor",SUM(COUNTIFS($J17:$AX17,"RTA*",$J17:$AX17,"&lt;&gt;"&amp;"pRTA"),COUNTIFS($J17:$AX17,"*CRTA*",$J17:$AX17,"&lt;&gt;"&amp;"pCRTA")),COUNTIFS($J17:$AX17,"*RNNR*",$J17:$AX17,"&lt;&gt;"&amp;"*pRNNR*",$J17:$AX17,"&lt;&gt;"&amp;"pB1 RNNR",$J17:$AX17,"&lt;&gt;"&amp;"pB2 RNNR")-SUM(COUNTIFS($J17:$AX17,"*RNNR B1*",$J17:$AX17,"&lt;&gt;"&amp;"pRNNR B1")*0.5,COUNTIFS($J17:$AX17,"*RNNR B2*",$J17:$AX17,"&lt;&gt;"&amp;"pRNNR B2")*0.5,COUNTIFS($J17:$AX17,"*B1 RNNR*",$J17:$AX17,"&lt;&gt;"&amp;"pB1 RNNR")*0.5,COUNTIFS($J17:$AX17,"*B2 RNNR*",$J17:$AX17,"&lt;&gt;"&amp;"pB2 RNNR")*0.5)))</f>
        <v>0</v>
      </c>
      <c r="J17" s="184" t="str">
        <f>IFERROR(IF(VLOOKUP(Sat_W2[[#This Row],[Employee Name]],'Base Schedules'!$A$46:$AW$77,9,FALSE)="","",VLOOKUP(Sat_W2[[#This Row],[Employee Name]],'Base Schedules'!$A$46:$AW$77,9,FALSE)),"")</f>
        <v/>
      </c>
      <c r="K17" s="184" t="str">
        <f>IFERROR(IF(VLOOKUP(Sat_W2[[#This Row],[Employee Name]],'Base Schedules'!$A$46:$AW$77,10,FALSE)="","",VLOOKUP(Sat_W2[[#This Row],[Employee Name]],'Base Schedules'!$A$46:$AW$77,10,FALSE)),"")</f>
        <v/>
      </c>
      <c r="L17" s="184" t="str">
        <f>IFERROR(IF(VLOOKUP(Sat_W2[[#This Row],[Employee Name]],'Base Schedules'!$A$46:$AW$77,11,FALSE)="","",VLOOKUP(Sat_W2[[#This Row],[Employee Name]],'Base Schedules'!$A$46:$AW$77,11,FALSE)),"")</f>
        <v/>
      </c>
      <c r="M17" s="184" t="str">
        <f>IFERROR(IF(VLOOKUP(Sat_W2[[#This Row],[Employee Name]],'Base Schedules'!$A$46:$AW$77,12,FALSE)="","",VLOOKUP(Sat_W2[[#This Row],[Employee Name]],'Base Schedules'!$A$46:$AW$77,12,FALSE)),"")</f>
        <v/>
      </c>
      <c r="N17" s="184" t="str">
        <f>IFERROR(IF(VLOOKUP(Sat_W2[[#This Row],[Employee Name]],'Base Schedules'!$A$46:$AW$77,13,FALSE)="","",VLOOKUP(Sat_W2[[#This Row],[Employee Name]],'Base Schedules'!$A$46:$AW$77,13,FALSE)),"")</f>
        <v/>
      </c>
      <c r="O17" s="184" t="str">
        <f>IFERROR(IF(VLOOKUP(Sat_W2[[#This Row],[Employee Name]],'Base Schedules'!$A$46:$AW$77,14,FALSE)="","",VLOOKUP(Sat_W2[[#This Row],[Employee Name]],'Base Schedules'!$A$46:$AW$77,14,FALSE)),"")</f>
        <v>-</v>
      </c>
      <c r="P17" s="184" t="str">
        <f>IFERROR(IF(VLOOKUP(Sat_W2[[#This Row],[Employee Name]],'Base Schedules'!$A$46:$AW$77,15,FALSE)="","",VLOOKUP(Sat_W2[[#This Row],[Employee Name]],'Base Schedules'!$A$46:$AW$77,15,FALSE)),"")</f>
        <v>-</v>
      </c>
      <c r="Q17" s="184" t="str">
        <f>IFERROR(IF(VLOOKUP(Sat_W2[[#This Row],[Employee Name]],'Base Schedules'!$A$46:$AW$77,16,FALSE)="","",VLOOKUP(Sat_W2[[#This Row],[Employee Name]],'Base Schedules'!$A$46:$AW$77,16,FALSE)),"")</f>
        <v>-</v>
      </c>
      <c r="R17" s="184" t="str">
        <f>IFERROR(IF(VLOOKUP(Sat_W2[[#This Row],[Employee Name]],'Base Schedules'!$A$46:$AW$77,17,FALSE)="","",VLOOKUP(Sat_W2[[#This Row],[Employee Name]],'Base Schedules'!$A$46:$AW$77,17,FALSE)),"")</f>
        <v>-</v>
      </c>
      <c r="S17" s="184" t="str">
        <f>IFERROR(IF(VLOOKUP(Sat_W2[[#This Row],[Employee Name]],'Base Schedules'!$A$46:$AW$77,18,FALSE)="","",VLOOKUP(Sat_W2[[#This Row],[Employee Name]],'Base Schedules'!$A$46:$AW$77,18,FALSE)),"")</f>
        <v>-</v>
      </c>
      <c r="T17" s="184" t="str">
        <f>IFERROR(IF(VLOOKUP(Sat_W2[[#This Row],[Employee Name]],'Base Schedules'!$A$46:$AW$77,19,FALSE)="","",VLOOKUP(Sat_W2[[#This Row],[Employee Name]],'Base Schedules'!$A$46:$AW$77,19,FALSE)),"")</f>
        <v>Interview</v>
      </c>
      <c r="U17" s="184" t="str">
        <f>IFERROR(IF(VLOOKUP(Sat_W2[[#This Row],[Employee Name]],'Base Schedules'!$A$46:$AW$77,20,FALSE)="","",VLOOKUP(Sat_W2[[#This Row],[Employee Name]],'Base Schedules'!$A$46:$AW$77,20,FALSE)),"")</f>
        <v>Interview</v>
      </c>
      <c r="V17" s="184" t="str">
        <f>IFERROR(IF(VLOOKUP(Sat_W2[[#This Row],[Employee Name]],'Base Schedules'!$A$46:$AW$77,21,FALSE)="","",VLOOKUP(Sat_W2[[#This Row],[Employee Name]],'Base Schedules'!$A$46:$AW$77,21,FALSE)),"")</f>
        <v>-</v>
      </c>
      <c r="W17" s="184" t="str">
        <f>IFERROR(IF(VLOOKUP(Sat_W2[[#This Row],[Employee Name]],'Base Schedules'!$A$46:$AW$77,22,FALSE)="","",VLOOKUP(Sat_W2[[#This Row],[Employee Name]],'Base Schedules'!$A$46:$AW$77,22,FALSE)),"")</f>
        <v>-</v>
      </c>
      <c r="X17" s="184" t="str">
        <f>IFERROR(IF(VLOOKUP(Sat_W2[[#This Row],[Employee Name]],'Base Schedules'!$A$46:$AW$77,23,FALSE)="","",VLOOKUP(Sat_W2[[#This Row],[Employee Name]],'Base Schedules'!$A$46:$AW$77,23,FALSE)),"")</f>
        <v>-</v>
      </c>
      <c r="Y17" s="184" t="str">
        <f>IFERROR(IF(VLOOKUP(Sat_W2[[#This Row],[Employee Name]],'Base Schedules'!$A$46:$AW$77,24,FALSE)="","",VLOOKUP(Sat_W2[[#This Row],[Employee Name]],'Base Schedules'!$A$46:$AW$77,24,FALSE)),"")</f>
        <v>-</v>
      </c>
      <c r="Z17" s="184" t="str">
        <f>IFERROR(IF(VLOOKUP(Sat_W2[[#This Row],[Employee Name]],'Base Schedules'!$A$46:$AW$77,25,FALSE)="","",VLOOKUP(Sat_W2[[#This Row],[Employee Name]],'Base Schedules'!$A$46:$AW$77,25,FALSE)),"")</f>
        <v>Coaching</v>
      </c>
      <c r="AA17" s="184" t="str">
        <f>IFERROR(IF(VLOOKUP(Sat_W2[[#This Row],[Employee Name]],'Base Schedules'!$A$46:$AW$77,26,FALSE)="","",VLOOKUP(Sat_W2[[#This Row],[Employee Name]],'Base Schedules'!$A$46:$AW$77,26,FALSE)),"")</f>
        <v>Coaching</v>
      </c>
      <c r="AB17" s="184" t="str">
        <f>IFERROR(IF(VLOOKUP(Sat_W2[[#This Row],[Employee Name]],'Base Schedules'!$A$46:$AW$77,27,FALSE)="","",VLOOKUP(Sat_W2[[#This Row],[Employee Name]],'Base Schedules'!$A$46:$AW$77,27,FALSE)),"")</f>
        <v>Coaching</v>
      </c>
      <c r="AC17" s="184" t="str">
        <f>IFERROR(IF(VLOOKUP(Sat_W2[[#This Row],[Employee Name]],'Base Schedules'!$A$46:$AW$77,28,FALSE)="","",VLOOKUP(Sat_W2[[#This Row],[Employee Name]],'Base Schedules'!$A$46:$AW$77,28,FALSE)),"")</f>
        <v>Coaching</v>
      </c>
      <c r="AD17" s="184" t="str">
        <f>IFERROR(IF(VLOOKUP(Sat_W2[[#This Row],[Employee Name]],'Base Schedules'!$A$46:$AW$77,29,FALSE)="","",VLOOKUP(Sat_W2[[#This Row],[Employee Name]],'Base Schedules'!$A$46:$AW$77,29,FALSE)),"")</f>
        <v>-</v>
      </c>
      <c r="AE17" s="184" t="str">
        <f>IFERROR(IF(VLOOKUP(Sat_W2[[#This Row],[Employee Name]],'Base Schedules'!$A$46:$AW$77,30,FALSE)="","",VLOOKUP(Sat_W2[[#This Row],[Employee Name]],'Base Schedules'!$A$46:$AW$77,30,FALSE)),"")</f>
        <v>-</v>
      </c>
      <c r="AF17" s="184" t="str">
        <f>IFERROR(IF(VLOOKUP(Sat_W2[[#This Row],[Employee Name]],'Base Schedules'!$A$46:$AW$77,31,FALSE)="","",VLOOKUP(Sat_W2[[#This Row],[Employee Name]],'Base Schedules'!$A$46:$AW$77,31,FALSE)),"")</f>
        <v>-</v>
      </c>
      <c r="AG17" s="184" t="str">
        <f>IFERROR(IF(VLOOKUP(Sat_W2[[#This Row],[Employee Name]],'Base Schedules'!$A$46:$AW$77,32,FALSE)="","",VLOOKUP(Sat_W2[[#This Row],[Employee Name]],'Base Schedules'!$A$46:$AW$77,32,FALSE)),"")</f>
        <v/>
      </c>
      <c r="AH17" s="184" t="str">
        <f>IFERROR(IF(VLOOKUP(Sat_W2[[#This Row],[Employee Name]],'Base Schedules'!$A$46:$AW$77,33,FALSE)="","",VLOOKUP(Sat_W2[[#This Row],[Employee Name]],'Base Schedules'!$A$46:$AW$77,33,FALSE)),"")</f>
        <v/>
      </c>
      <c r="AI17" s="184" t="str">
        <f>IFERROR(IF(VLOOKUP(Sat_W2[[#This Row],[Employee Name]],'Base Schedules'!$A$46:$AW$77,34,FALSE)="","",VLOOKUP(Sat_W2[[#This Row],[Employee Name]],'Base Schedules'!$A$46:$AW$77,34,FALSE)),"")</f>
        <v/>
      </c>
      <c r="AJ17" s="184" t="str">
        <f>IFERROR(IF(VLOOKUP(Sat_W2[[#This Row],[Employee Name]],'Base Schedules'!$A$46:$AW$77,35,FALSE)="","",VLOOKUP(Sat_W2[[#This Row],[Employee Name]],'Base Schedules'!$A$46:$AW$77,35,FALSE)),"")</f>
        <v/>
      </c>
      <c r="AK17" s="184" t="str">
        <f>IFERROR(IF(VLOOKUP(Sat_W2[[#This Row],[Employee Name]],'Base Schedules'!$A$46:$AW$77,36,FALSE)="","",VLOOKUP(Sat_W2[[#This Row],[Employee Name]],'Base Schedules'!$A$46:$AW$77,36,FALSE)),"")</f>
        <v/>
      </c>
      <c r="AL17" s="184" t="str">
        <f>IFERROR(IF(VLOOKUP(Sat_W2[[#This Row],[Employee Name]],'Base Schedules'!$A$46:$AW$77,37,FALSE)="","",VLOOKUP(Sat_W2[[#This Row],[Employee Name]],'Base Schedules'!$A$46:$AW$77,37,FALSE)),"")</f>
        <v/>
      </c>
      <c r="AM17" s="184" t="str">
        <f>IFERROR(IF(VLOOKUP(Sat_W2[[#This Row],[Employee Name]],'Base Schedules'!$A$46:$AW$77,38,FALSE)="","",VLOOKUP(Sat_W2[[#This Row],[Employee Name]],'Base Schedules'!$A$46:$AW$77,38,FALSE)),"")</f>
        <v/>
      </c>
      <c r="AN17" s="184" t="str">
        <f>IFERROR(IF(VLOOKUP(Sat_W2[[#This Row],[Employee Name]],'Base Schedules'!$A$46:$AW$77,39,FALSE)="","",VLOOKUP(Sat_W2[[#This Row],[Employee Name]],'Base Schedules'!$A$46:$AW$77,39,FALSE)),"")</f>
        <v/>
      </c>
      <c r="AO17" s="184" t="str">
        <f>IFERROR(IF(VLOOKUP(Sat_W2[[#This Row],[Employee Name]],'Base Schedules'!$A$46:$AW$77,40,FALSE)="","",VLOOKUP(Sat_W2[[#This Row],[Employee Name]],'Base Schedules'!$A$46:$AW$77,40,FALSE)),"")</f>
        <v/>
      </c>
      <c r="AP17" s="184" t="str">
        <f>IFERROR(IF(VLOOKUP(Sat_W2[[#This Row],[Employee Name]],'Base Schedules'!$A$46:$AW$77,41,FALSE)="","",VLOOKUP(Sat_W2[[#This Row],[Employee Name]],'Base Schedules'!$A$46:$AW$77,41,FALSE)),"")</f>
        <v/>
      </c>
      <c r="AQ17" s="184" t="str">
        <f>IFERROR(IF(VLOOKUP(Sat_W2[[#This Row],[Employee Name]],'Base Schedules'!$A$46:$AW$77,42,FALSE)="","",VLOOKUP(Sat_W2[[#This Row],[Employee Name]],'Base Schedules'!$A$46:$AW$77,42,FALSE)),"")</f>
        <v/>
      </c>
      <c r="AR17" s="184" t="str">
        <f>IFERROR(IF(VLOOKUP(Sat_W2[[#This Row],[Employee Name]],'Base Schedules'!$A$46:$AW$77,43,FALSE)="","",VLOOKUP(Sat_W2[[#This Row],[Employee Name]],'Base Schedules'!$A$46:$AW$77,43,FALSE)),"")</f>
        <v/>
      </c>
      <c r="AS17" s="184" t="str">
        <f>IFERROR(IF(VLOOKUP(Sat_W2[[#This Row],[Employee Name]],'Base Schedules'!$A$46:$AW$77,44,FALSE)="","",VLOOKUP(Sat_W2[[#This Row],[Employee Name]],'Base Schedules'!$A$46:$AW$77,44,FALSE)),"")</f>
        <v/>
      </c>
      <c r="AT17" s="184" t="str">
        <f>IFERROR(IF(VLOOKUP(Sat_W2[[#This Row],[Employee Name]],'Base Schedules'!$A$46:$AW$77,45,FALSE)="","",VLOOKUP(Sat_W2[[#This Row],[Employee Name]],'Base Schedules'!$A$46:$AW$77,45,FALSE)),"")</f>
        <v/>
      </c>
      <c r="AU17" s="184" t="str">
        <f>IFERROR(IF(VLOOKUP(Sat_W2[[#This Row],[Employee Name]],'Base Schedules'!$A$46:$AW$77,46,FALSE)="","",VLOOKUP(Sat_W2[[#This Row],[Employee Name]],'Base Schedules'!$A$46:$AW$77,46,FALSE)),"")</f>
        <v/>
      </c>
      <c r="AV17" s="184" t="str">
        <f>IFERROR(IF(VLOOKUP(Sat_W2[[#This Row],[Employee Name]],'Base Schedules'!$A$46:$AW$77,47,FALSE)="","",VLOOKUP(Sat_W2[[#This Row],[Employee Name]],'Base Schedules'!$A$46:$AW$77,47,FALSE)),"")</f>
        <v/>
      </c>
      <c r="AW17" s="184" t="str">
        <f>IFERROR(IF(VLOOKUP(Sat_W2[[#This Row],[Employee Name]],'Base Schedules'!$A$46:$AW$77,48,FALSE)="","",VLOOKUP(Sat_W2[[#This Row],[Employee Name]],'Base Schedules'!$A$46:$AW$77,48,FALSE)),"")</f>
        <v/>
      </c>
      <c r="AX17" s="184" t="str">
        <f>IFERROR(IF(VLOOKUP(Sat_W2[[#This Row],[Employee Name]],'Base Schedules'!$A$46:$AW$77,49,FALSE)="","",VLOOKUP(Sat_W2[[#This Row],[Employee Name]],'Base Schedules'!$A$46:$AW$77,49,FALSE)),"")</f>
        <v/>
      </c>
      <c r="AY17" s="161" t="str">
        <f t="shared" si="2"/>
        <v>Garcia, Valentin</v>
      </c>
    </row>
    <row r="18" spans="1:51" s="44" customFormat="1" ht="12" customHeight="1" x14ac:dyDescent="0.2">
      <c r="A18" s="39" t="str">
        <f>IF(B18="","",INDEX(TeamList[],MATCH($B18,TeamList[[Employee Name]:[Employee Name]],0),MATCH("Manager",TeamList[#Headers],0)))</f>
        <v>Olson, Katherine</v>
      </c>
      <c r="B18" s="201" t="s">
        <v>41</v>
      </c>
      <c r="C18" s="257" t="str">
        <f>_xlfn.IFNA(VLOOKUP(Sat_W2[[#This Row],[Employee Name]],'Base Schedules'!A:B,2,FALSE),"")</f>
        <v>Lead</v>
      </c>
      <c r="D18" s="274">
        <f>_xlfn.IFNA(VLOOKUP(Sat_W2[[#This Row],[Employee Name]],'Base Schedules'!A:C,3,FALSE),"")</f>
        <v>800</v>
      </c>
      <c r="E18" s="274">
        <f>_xlfn.IFNA(VLOOKUP(Sat_W2[[#This Row],[Employee Name]],'Base Schedules'!A:D,4,FALSE),"")</f>
        <v>1630</v>
      </c>
      <c r="F18" s="142">
        <f>IF(Sat_W2[[#This Row],[Employee Name]]="","",IF(Sat_W2[[#This Row],[Dept]]="Supervisor",COUNTIFS($J18:$AX18,"*HL*",$J18:$AX18,"&lt;&gt;"&amp;"pHL"),COUNTIFS($J18:$AX18,"*HL*",$J18:$AX18,"&lt;&gt;"&amp;"*pHL*",$J18:$AX18,"&lt;&gt;"&amp;"pB1 HL",$J18:$AX18,"&lt;&gt;"&amp;"pB2 HL")-SUM(COUNTIFS($J18:$AX18,"*HL B1*",$J18:$AX18,"&lt;&gt;"&amp;"pHL B1")*0.5,COUNTIFS($J18:$AX18,"*HL B2*",$J18:$AX18,"&lt;&gt;"&amp;"pHL B2")*0.5,COUNTIFS($J18:$AX18,"*B1 HL*",$J18:$AX18,"&lt;&gt;"&amp;"pB1 HL")*0.5,COUNTIFS($J18:$AX18,"*B2 HL*",$J18:$AX18,"&lt;&gt;"&amp;"pB2 HL")*0.5)))</f>
        <v>6.5</v>
      </c>
      <c r="G18" s="142">
        <f t="shared" si="0"/>
        <v>0</v>
      </c>
      <c r="H18" s="142">
        <f t="shared" si="1"/>
        <v>7</v>
      </c>
      <c r="I18" s="142">
        <f>IF(Sat_W2[[#This Row],[Employee Name]]="","",IF(Sat_W2[[#This Row],[Dept]]="Supervisor",SUM(COUNTIFS($J18:$AX18,"RTA*",$J18:$AX18,"&lt;&gt;"&amp;"pRTA"),COUNTIFS($J18:$AX18,"*CRTA*",$J18:$AX18,"&lt;&gt;"&amp;"pCRTA")),COUNTIFS($J18:$AX18,"*RNNR*",$J18:$AX18,"&lt;&gt;"&amp;"*pRNNR*",$J18:$AX18,"&lt;&gt;"&amp;"pB1 RNNR",$J18:$AX18,"&lt;&gt;"&amp;"pB2 RNNR")-SUM(COUNTIFS($J18:$AX18,"*RNNR B1*",$J18:$AX18,"&lt;&gt;"&amp;"pRNNR B1")*0.5,COUNTIFS($J18:$AX18,"*RNNR B2*",$J18:$AX18,"&lt;&gt;"&amp;"pRNNR B2")*0.5,COUNTIFS($J18:$AX18,"*B1 RNNR*",$J18:$AX18,"&lt;&gt;"&amp;"pB1 RNNR")*0.5,COUNTIFS($J18:$AX18,"*B2 RNNR*",$J18:$AX18,"&lt;&gt;"&amp;"pB2 RNNR")*0.5)))</f>
        <v>2</v>
      </c>
      <c r="J18" s="184" t="str">
        <f>IFERROR(IF(VLOOKUP(Sat_W2[[#This Row],[Employee Name]],'Base Schedules'!$A$46:$AW$77,9,FALSE)="","",VLOOKUP(Sat_W2[[#This Row],[Employee Name]],'Base Schedules'!$A$46:$AW$77,9,FALSE)),"")</f>
        <v/>
      </c>
      <c r="K18" s="184" t="str">
        <f>IFERROR(IF(VLOOKUP(Sat_W2[[#This Row],[Employee Name]],'Base Schedules'!$A$46:$AW$77,10,FALSE)="","",VLOOKUP(Sat_W2[[#This Row],[Employee Name]],'Base Schedules'!$A$46:$AW$77,10,FALSE)),"")</f>
        <v/>
      </c>
      <c r="L18" s="184" t="str">
        <f>IFERROR(IF(VLOOKUP(Sat_W2[[#This Row],[Employee Name]],'Base Schedules'!$A$46:$AW$77,11,FALSE)="","",VLOOKUP(Sat_W2[[#This Row],[Employee Name]],'Base Schedules'!$A$46:$AW$77,11,FALSE)),"")</f>
        <v/>
      </c>
      <c r="M18" s="184" t="str">
        <f>IFERROR(IF(VLOOKUP(Sat_W2[[#This Row],[Employee Name]],'Base Schedules'!$A$46:$AW$77,12,FALSE)="","",VLOOKUP(Sat_W2[[#This Row],[Employee Name]],'Base Schedules'!$A$46:$AW$77,12,FALSE)),"")</f>
        <v/>
      </c>
      <c r="N18" s="184" t="str">
        <f>IFERROR(IF(VLOOKUP(Sat_W2[[#This Row],[Employee Name]],'Base Schedules'!$A$46:$AW$77,13,FALSE)="","",VLOOKUP(Sat_W2[[#This Row],[Employee Name]],'Base Schedules'!$A$46:$AW$77,13,FALSE)),"")</f>
        <v/>
      </c>
      <c r="O18" s="184" t="str">
        <f>IFERROR(IF(VLOOKUP(Sat_W2[[#This Row],[Employee Name]],'Base Schedules'!$A$46:$AW$77,14,FALSE)="","",VLOOKUP(Sat_W2[[#This Row],[Employee Name]],'Base Schedules'!$A$46:$AW$77,14,FALSE)),"")</f>
        <v/>
      </c>
      <c r="P18" s="184" t="str">
        <f>IFERROR(IF(VLOOKUP(Sat_W2[[#This Row],[Employee Name]],'Base Schedules'!$A$46:$AW$77,15,FALSE)="","",VLOOKUP(Sat_W2[[#This Row],[Employee Name]],'Base Schedules'!$A$46:$AW$77,15,FALSE)),"")</f>
        <v>HL</v>
      </c>
      <c r="Q18" s="184" t="str">
        <f>IFERROR(IF(VLOOKUP(Sat_W2[[#This Row],[Employee Name]],'Base Schedules'!$A$46:$AW$77,16,FALSE)="","",VLOOKUP(Sat_W2[[#This Row],[Employee Name]],'Base Schedules'!$A$46:$AW$77,16,FALSE)),"")</f>
        <v>HL</v>
      </c>
      <c r="R18" s="184" t="str">
        <f>IFERROR(IF(VLOOKUP(Sat_W2[[#This Row],[Employee Name]],'Base Schedules'!$A$46:$AW$77,17,FALSE)="","",VLOOKUP(Sat_W2[[#This Row],[Employee Name]],'Base Schedules'!$A$46:$AW$77,17,FALSE)),"")</f>
        <v>ADM</v>
      </c>
      <c r="S18" s="184" t="str">
        <f>IFERROR(IF(VLOOKUP(Sat_W2[[#This Row],[Employee Name]],'Base Schedules'!$A$46:$AW$77,18,FALSE)="","",VLOOKUP(Sat_W2[[#This Row],[Employee Name]],'Base Schedules'!$A$46:$AW$77,18,FALSE)),"")</f>
        <v>ADM</v>
      </c>
      <c r="T18" s="184" t="str">
        <f>IFERROR(IF(VLOOKUP(Sat_W2[[#This Row],[Employee Name]],'Base Schedules'!$A$46:$AW$77,19,FALSE)="","",VLOOKUP(Sat_W2[[#This Row],[Employee Name]],'Base Schedules'!$A$46:$AW$77,19,FALSE)),"")</f>
        <v>B1 HL</v>
      </c>
      <c r="U18" s="184" t="str">
        <f>IFERROR(IF(VLOOKUP(Sat_W2[[#This Row],[Employee Name]],'Base Schedules'!$A$46:$AW$77,20,FALSE)="","",VLOOKUP(Sat_W2[[#This Row],[Employee Name]],'Base Schedules'!$A$46:$AW$77,20,FALSE)),"")</f>
        <v>HL</v>
      </c>
      <c r="V18" s="184" t="str">
        <f>IFERROR(IF(VLOOKUP(Sat_W2[[#This Row],[Employee Name]],'Base Schedules'!$A$46:$AW$77,21,FALSE)="","",VLOOKUP(Sat_W2[[#This Row],[Employee Name]],'Base Schedules'!$A$46:$AW$77,21,FALSE)),"")</f>
        <v>HL</v>
      </c>
      <c r="W18" s="184" t="str">
        <f>IFERROR(IF(VLOOKUP(Sat_W2[[#This Row],[Employee Name]],'Base Schedules'!$A$46:$AW$77,22,FALSE)="","",VLOOKUP(Sat_W2[[#This Row],[Employee Name]],'Base Schedules'!$A$46:$AW$77,22,FALSE)),"")</f>
        <v>HL</v>
      </c>
      <c r="X18" s="184" t="str">
        <f>IFERROR(IF(VLOOKUP(Sat_W2[[#This Row],[Employee Name]],'Base Schedules'!$A$46:$AW$77,23,FALSE)="","",VLOOKUP(Sat_W2[[#This Row],[Employee Name]],'Base Schedules'!$A$46:$AW$77,23,FALSE)),"")</f>
        <v>ADM</v>
      </c>
      <c r="Y18" s="184" t="str">
        <f>IFERROR(IF(VLOOKUP(Sat_W2[[#This Row],[Employee Name]],'Base Schedules'!$A$46:$AW$77,24,FALSE)="","",VLOOKUP(Sat_W2[[#This Row],[Employee Name]],'Base Schedules'!$A$46:$AW$77,24,FALSE)),"")</f>
        <v>LUNCH</v>
      </c>
      <c r="Z18" s="184" t="str">
        <f>IFERROR(IF(VLOOKUP(Sat_W2[[#This Row],[Employee Name]],'Base Schedules'!$A$46:$AW$77,25,FALSE)="","",VLOOKUP(Sat_W2[[#This Row],[Employee Name]],'Base Schedules'!$A$46:$AW$77,25,FALSE)),"")</f>
        <v>RNNR</v>
      </c>
      <c r="AA18" s="184" t="str">
        <f>IFERROR(IF(VLOOKUP(Sat_W2[[#This Row],[Employee Name]],'Base Schedules'!$A$46:$AW$77,26,FALSE)="","",VLOOKUP(Sat_W2[[#This Row],[Employee Name]],'Base Schedules'!$A$46:$AW$77,26,FALSE)),"")</f>
        <v>RNNR</v>
      </c>
      <c r="AB18" s="184" t="str">
        <f>IFERROR(IF(VLOOKUP(Sat_W2[[#This Row],[Employee Name]],'Base Schedules'!$A$46:$AW$77,27,FALSE)="","",VLOOKUP(Sat_W2[[#This Row],[Employee Name]],'Base Schedules'!$A$46:$AW$77,27,FALSE)),"")</f>
        <v>HL</v>
      </c>
      <c r="AC18" s="184" t="str">
        <f>IFERROR(IF(VLOOKUP(Sat_W2[[#This Row],[Employee Name]],'Base Schedules'!$A$46:$AW$77,28,FALSE)="","",VLOOKUP(Sat_W2[[#This Row],[Employee Name]],'Base Schedules'!$A$46:$AW$77,28,FALSE)),"")</f>
        <v>ADM B2</v>
      </c>
      <c r="AD18" s="184" t="str">
        <f>IFERROR(IF(VLOOKUP(Sat_W2[[#This Row],[Employee Name]],'Base Schedules'!$A$46:$AW$77,29,FALSE)="","",VLOOKUP(Sat_W2[[#This Row],[Employee Name]],'Base Schedules'!$A$46:$AW$77,29,FALSE)),"")</f>
        <v>ADM</v>
      </c>
      <c r="AE18" s="184" t="str">
        <f>IFERROR(IF(VLOOKUP(Sat_W2[[#This Row],[Employee Name]],'Base Schedules'!$A$46:$AW$77,30,FALSE)="","",VLOOKUP(Sat_W2[[#This Row],[Employee Name]],'Base Schedules'!$A$46:$AW$77,30,FALSE)),"")</f>
        <v>ADM</v>
      </c>
      <c r="AF18" s="184" t="str">
        <f>IFERROR(IF(VLOOKUP(Sat_W2[[#This Row],[Employee Name]],'Base Schedules'!$A$46:$AW$77,31,FALSE)="","",VLOOKUP(Sat_W2[[#This Row],[Employee Name]],'Base Schedules'!$A$46:$AW$77,31,FALSE)),"")</f>
        <v>ADM</v>
      </c>
      <c r="AG18" s="184" t="str">
        <f>IFERROR(IF(VLOOKUP(Sat_W2[[#This Row],[Employee Name]],'Base Schedules'!$A$46:$AW$77,32,FALSE)="","",VLOOKUP(Sat_W2[[#This Row],[Employee Name]],'Base Schedules'!$A$46:$AW$77,32,FALSE)),"")</f>
        <v/>
      </c>
      <c r="AH18" s="184" t="str">
        <f>IFERROR(IF(VLOOKUP(Sat_W2[[#This Row],[Employee Name]],'Base Schedules'!$A$46:$AW$77,33,FALSE)="","",VLOOKUP(Sat_W2[[#This Row],[Employee Name]],'Base Schedules'!$A$46:$AW$77,33,FALSE)),"")</f>
        <v/>
      </c>
      <c r="AI18" s="184" t="str">
        <f>IFERROR(IF(VLOOKUP(Sat_W2[[#This Row],[Employee Name]],'Base Schedules'!$A$46:$AW$77,34,FALSE)="","",VLOOKUP(Sat_W2[[#This Row],[Employee Name]],'Base Schedules'!$A$46:$AW$77,34,FALSE)),"")</f>
        <v/>
      </c>
      <c r="AJ18" s="184" t="str">
        <f>IFERROR(IF(VLOOKUP(Sat_W2[[#This Row],[Employee Name]],'Base Schedules'!$A$46:$AW$77,35,FALSE)="","",VLOOKUP(Sat_W2[[#This Row],[Employee Name]],'Base Schedules'!$A$46:$AW$77,35,FALSE)),"")</f>
        <v/>
      </c>
      <c r="AK18" s="184" t="str">
        <f>IFERROR(IF(VLOOKUP(Sat_W2[[#This Row],[Employee Name]],'Base Schedules'!$A$46:$AW$77,36,FALSE)="","",VLOOKUP(Sat_W2[[#This Row],[Employee Name]],'Base Schedules'!$A$46:$AW$77,36,FALSE)),"")</f>
        <v/>
      </c>
      <c r="AL18" s="184" t="str">
        <f>IFERROR(IF(VLOOKUP(Sat_W2[[#This Row],[Employee Name]],'Base Schedules'!$A$46:$AW$77,37,FALSE)="","",VLOOKUP(Sat_W2[[#This Row],[Employee Name]],'Base Schedules'!$A$46:$AW$77,37,FALSE)),"")</f>
        <v/>
      </c>
      <c r="AM18" s="184" t="str">
        <f>IFERROR(IF(VLOOKUP(Sat_W2[[#This Row],[Employee Name]],'Base Schedules'!$A$46:$AW$77,38,FALSE)="","",VLOOKUP(Sat_W2[[#This Row],[Employee Name]],'Base Schedules'!$A$46:$AW$77,38,FALSE)),"")</f>
        <v/>
      </c>
      <c r="AN18" s="184" t="str">
        <f>IFERROR(IF(VLOOKUP(Sat_W2[[#This Row],[Employee Name]],'Base Schedules'!$A$46:$AW$77,39,FALSE)="","",VLOOKUP(Sat_W2[[#This Row],[Employee Name]],'Base Schedules'!$A$46:$AW$77,39,FALSE)),"")</f>
        <v/>
      </c>
      <c r="AO18" s="184" t="str">
        <f>IFERROR(IF(VLOOKUP(Sat_W2[[#This Row],[Employee Name]],'Base Schedules'!$A$46:$AW$77,40,FALSE)="","",VLOOKUP(Sat_W2[[#This Row],[Employee Name]],'Base Schedules'!$A$46:$AW$77,40,FALSE)),"")</f>
        <v/>
      </c>
      <c r="AP18" s="184" t="str">
        <f>IFERROR(IF(VLOOKUP(Sat_W2[[#This Row],[Employee Name]],'Base Schedules'!$A$46:$AW$77,41,FALSE)="","",VLOOKUP(Sat_W2[[#This Row],[Employee Name]],'Base Schedules'!$A$46:$AW$77,41,FALSE)),"")</f>
        <v/>
      </c>
      <c r="AQ18" s="184" t="str">
        <f>IFERROR(IF(VLOOKUP(Sat_W2[[#This Row],[Employee Name]],'Base Schedules'!$A$46:$AW$77,42,FALSE)="","",VLOOKUP(Sat_W2[[#This Row],[Employee Name]],'Base Schedules'!$A$46:$AW$77,42,FALSE)),"")</f>
        <v/>
      </c>
      <c r="AR18" s="184" t="str">
        <f>IFERROR(IF(VLOOKUP(Sat_W2[[#This Row],[Employee Name]],'Base Schedules'!$A$46:$AW$77,43,FALSE)="","",VLOOKUP(Sat_W2[[#This Row],[Employee Name]],'Base Schedules'!$A$46:$AW$77,43,FALSE)),"")</f>
        <v/>
      </c>
      <c r="AS18" s="184" t="str">
        <f>IFERROR(IF(VLOOKUP(Sat_W2[[#This Row],[Employee Name]],'Base Schedules'!$A$46:$AW$77,44,FALSE)="","",VLOOKUP(Sat_W2[[#This Row],[Employee Name]],'Base Schedules'!$A$46:$AW$77,44,FALSE)),"")</f>
        <v/>
      </c>
      <c r="AT18" s="184" t="str">
        <f>IFERROR(IF(VLOOKUP(Sat_W2[[#This Row],[Employee Name]],'Base Schedules'!$A$46:$AW$77,45,FALSE)="","",VLOOKUP(Sat_W2[[#This Row],[Employee Name]],'Base Schedules'!$A$46:$AW$77,45,FALSE)),"")</f>
        <v/>
      </c>
      <c r="AU18" s="184" t="str">
        <f>IFERROR(IF(VLOOKUP(Sat_W2[[#This Row],[Employee Name]],'Base Schedules'!$A$46:$AW$77,46,FALSE)="","",VLOOKUP(Sat_W2[[#This Row],[Employee Name]],'Base Schedules'!$A$46:$AW$77,46,FALSE)),"")</f>
        <v/>
      </c>
      <c r="AV18" s="184" t="str">
        <f>IFERROR(IF(VLOOKUP(Sat_W2[[#This Row],[Employee Name]],'Base Schedules'!$A$46:$AW$77,47,FALSE)="","",VLOOKUP(Sat_W2[[#This Row],[Employee Name]],'Base Schedules'!$A$46:$AW$77,47,FALSE)),"")</f>
        <v/>
      </c>
      <c r="AW18" s="184" t="str">
        <f>IFERROR(IF(VLOOKUP(Sat_W2[[#This Row],[Employee Name]],'Base Schedules'!$A$46:$AW$77,48,FALSE)="","",VLOOKUP(Sat_W2[[#This Row],[Employee Name]],'Base Schedules'!$A$46:$AW$77,48,FALSE)),"")</f>
        <v/>
      </c>
      <c r="AX18" s="184" t="str">
        <f>IFERROR(IF(VLOOKUP(Sat_W2[[#This Row],[Employee Name]],'Base Schedules'!$A$46:$AW$77,49,FALSE)="","",VLOOKUP(Sat_W2[[#This Row],[Employee Name]],'Base Schedules'!$A$46:$AW$77,49,FALSE)),"")</f>
        <v/>
      </c>
      <c r="AY18" s="159" t="str">
        <f t="shared" si="2"/>
        <v>Harley, Timothy</v>
      </c>
    </row>
    <row r="19" spans="1:51" s="44" customFormat="1" ht="12" customHeight="1" x14ac:dyDescent="0.2">
      <c r="A19" s="39" t="str">
        <f>IF(B19="","",INDEX(TeamList[],MATCH($B19,TeamList[[Employee Name]:[Employee Name]],0),MATCH("Manager",TeamList[#Headers],0)))</f>
        <v>Olson, Katherine</v>
      </c>
      <c r="B19" s="201" t="s">
        <v>49</v>
      </c>
      <c r="C19" s="257" t="str">
        <f>_xlfn.IFNA(VLOOKUP(Sat_W2[[#This Row],[Employee Name]],'Base Schedules'!A:B,2,FALSE),"")</f>
        <v>Supervisor</v>
      </c>
      <c r="D19" s="274">
        <f>_xlfn.IFNA(VLOOKUP(Sat_W2[[#This Row],[Employee Name]],'Base Schedules'!A:C,3,FALSE),"")</f>
        <v>800</v>
      </c>
      <c r="E19" s="274">
        <f>_xlfn.IFNA(VLOOKUP(Sat_W2[[#This Row],[Employee Name]],'Base Schedules'!A:D,4,FALSE),"")</f>
        <v>1700</v>
      </c>
      <c r="F19" s="142">
        <f>IF(Sat_W2[[#This Row],[Employee Name]]="","",IF(Sat_W2[[#This Row],[Dept]]="Supervisor",COUNTIFS($J19:$AX19,"*HL*",$J19:$AX19,"&lt;&gt;"&amp;"pHL"),COUNTIFS($J19:$AX19,"*HL*",$J19:$AX19,"&lt;&gt;"&amp;"*pHL*",$J19:$AX19,"&lt;&gt;"&amp;"pB1 HL",$J19:$AX19,"&lt;&gt;"&amp;"pB2 HL")-SUM(COUNTIFS($J19:$AX19,"*HL B1*",$J19:$AX19,"&lt;&gt;"&amp;"pHL B1")*0.5,COUNTIFS($J19:$AX19,"*HL B2*",$J19:$AX19,"&lt;&gt;"&amp;"pHL B2")*0.5,COUNTIFS($J19:$AX19,"*B1 HL*",$J19:$AX19,"&lt;&gt;"&amp;"pB1 HL")*0.5,COUNTIFS($J19:$AX19,"*B2 HL*",$J19:$AX19,"&lt;&gt;"&amp;"pB2 HL")*0.5)))</f>
        <v>0</v>
      </c>
      <c r="G19" s="142">
        <f t="shared" si="0"/>
        <v>3</v>
      </c>
      <c r="H19" s="142">
        <f t="shared" si="1"/>
        <v>0</v>
      </c>
      <c r="I19" s="142">
        <f>IF(Sat_W2[[#This Row],[Employee Name]]="","",IF(Sat_W2[[#This Row],[Dept]]="Supervisor",SUM(COUNTIFS($J19:$AX19,"RTA*",$J19:$AX19,"&lt;&gt;"&amp;"pRTA"),COUNTIFS($J19:$AX19,"*CRTA*",$J19:$AX19,"&lt;&gt;"&amp;"pCRTA")),COUNTIFS($J19:$AX19,"*RNNR*",$J19:$AX19,"&lt;&gt;"&amp;"*pRNNR*",$J19:$AX19,"&lt;&gt;"&amp;"pB1 RNNR",$J19:$AX19,"&lt;&gt;"&amp;"pB2 RNNR")-SUM(COUNTIFS($J19:$AX19,"*RNNR B1*",$J19:$AX19,"&lt;&gt;"&amp;"pRNNR B1")*0.5,COUNTIFS($J19:$AX19,"*RNNR B2*",$J19:$AX19,"&lt;&gt;"&amp;"pRNNR B2")*0.5,COUNTIFS($J19:$AX19,"*B1 RNNR*",$J19:$AX19,"&lt;&gt;"&amp;"pB1 RNNR")*0.5,COUNTIFS($J19:$AX19,"*B2 RNNR*",$J19:$AX19,"&lt;&gt;"&amp;"pB2 RNNR")*0.5)))</f>
        <v>0</v>
      </c>
      <c r="J19" s="184" t="str">
        <f>IFERROR(IF(VLOOKUP(Sat_W2[[#This Row],[Employee Name]],'Base Schedules'!$A$46:$AW$77,9,FALSE)="","",VLOOKUP(Sat_W2[[#This Row],[Employee Name]],'Base Schedules'!$A$46:$AW$77,9,FALSE)),"")</f>
        <v/>
      </c>
      <c r="K19" s="184" t="str">
        <f>IFERROR(IF(VLOOKUP(Sat_W2[[#This Row],[Employee Name]],'Base Schedules'!$A$46:$AW$77,10,FALSE)="","",VLOOKUP(Sat_W2[[#This Row],[Employee Name]],'Base Schedules'!$A$46:$AW$77,10,FALSE)),"")</f>
        <v/>
      </c>
      <c r="L19" s="184" t="str">
        <f>IFERROR(IF(VLOOKUP(Sat_W2[[#This Row],[Employee Name]],'Base Schedules'!$A$46:$AW$77,11,FALSE)="","",VLOOKUP(Sat_W2[[#This Row],[Employee Name]],'Base Schedules'!$A$46:$AW$77,11,FALSE)),"")</f>
        <v/>
      </c>
      <c r="M19" s="184" t="str">
        <f>IFERROR(IF(VLOOKUP(Sat_W2[[#This Row],[Employee Name]],'Base Schedules'!$A$46:$AW$77,12,FALSE)="","",VLOOKUP(Sat_W2[[#This Row],[Employee Name]],'Base Schedules'!$A$46:$AW$77,12,FALSE)),"")</f>
        <v/>
      </c>
      <c r="N19" s="184" t="str">
        <f>IFERROR(IF(VLOOKUP(Sat_W2[[#This Row],[Employee Name]],'Base Schedules'!$A$46:$AW$77,13,FALSE)="","",VLOOKUP(Sat_W2[[#This Row],[Employee Name]],'Base Schedules'!$A$46:$AW$77,13,FALSE)),"")</f>
        <v/>
      </c>
      <c r="O19" s="184" t="str">
        <f>IFERROR(IF(VLOOKUP(Sat_W2[[#This Row],[Employee Name]],'Base Schedules'!$A$46:$AW$77,14,FALSE)="","",VLOOKUP(Sat_W2[[#This Row],[Employee Name]],'Base Schedules'!$A$46:$AW$77,14,FALSE)),"")</f>
        <v/>
      </c>
      <c r="P19" s="184" t="str">
        <f>IFERROR(IF(VLOOKUP(Sat_W2[[#This Row],[Employee Name]],'Base Schedules'!$A$46:$AW$77,15,FALSE)="","",VLOOKUP(Sat_W2[[#This Row],[Employee Name]],'Base Schedules'!$A$46:$AW$77,15,FALSE)),"")</f>
        <v>-</v>
      </c>
      <c r="Q19" s="184" t="str">
        <f>IFERROR(IF(VLOOKUP(Sat_W2[[#This Row],[Employee Name]],'Base Schedules'!$A$46:$AW$77,16,FALSE)="","",VLOOKUP(Sat_W2[[#This Row],[Employee Name]],'Base Schedules'!$A$46:$AW$77,16,FALSE)),"")</f>
        <v>-</v>
      </c>
      <c r="R19" s="184" t="str">
        <f>IFERROR(IF(VLOOKUP(Sat_W2[[#This Row],[Employee Name]],'Base Schedules'!$A$46:$AW$77,17,FALSE)="","",VLOOKUP(Sat_W2[[#This Row],[Employee Name]],'Base Schedules'!$A$46:$AW$77,17,FALSE)),"")</f>
        <v>-</v>
      </c>
      <c r="S19" s="184" t="str">
        <f>IFERROR(IF(VLOOKUP(Sat_W2[[#This Row],[Employee Name]],'Base Schedules'!$A$46:$AW$77,18,FALSE)="","",VLOOKUP(Sat_W2[[#This Row],[Employee Name]],'Base Schedules'!$A$46:$AW$77,18,FALSE)),"")</f>
        <v>-</v>
      </c>
      <c r="T19" s="184" t="str">
        <f>IFERROR(IF(VLOOKUP(Sat_W2[[#This Row],[Employee Name]],'Base Schedules'!$A$46:$AW$77,19,FALSE)="","",VLOOKUP(Sat_W2[[#This Row],[Employee Name]],'Base Schedules'!$A$46:$AW$77,19,FALSE)),"")</f>
        <v>-</v>
      </c>
      <c r="U19" s="184" t="str">
        <f>IFERROR(IF(VLOOKUP(Sat_W2[[#This Row],[Employee Name]],'Base Schedules'!$A$46:$AW$77,20,FALSE)="","",VLOOKUP(Sat_W2[[#This Row],[Employee Name]],'Base Schedules'!$A$46:$AW$77,20,FALSE)),"")</f>
        <v>-</v>
      </c>
      <c r="V19" s="184" t="str">
        <f>IFERROR(IF(VLOOKUP(Sat_W2[[#This Row],[Employee Name]],'Base Schedules'!$A$46:$AW$77,21,FALSE)="","",VLOOKUP(Sat_W2[[#This Row],[Employee Name]],'Base Schedules'!$A$46:$AW$77,21,FALSE)),"")</f>
        <v>-</v>
      </c>
      <c r="W19" s="184" t="str">
        <f>IFERROR(IF(VLOOKUP(Sat_W2[[#This Row],[Employee Name]],'Base Schedules'!$A$46:$AW$77,22,FALSE)="","",VLOOKUP(Sat_W2[[#This Row],[Employee Name]],'Base Schedules'!$A$46:$AW$77,22,FALSE)),"")</f>
        <v>-</v>
      </c>
      <c r="X19" s="184" t="str">
        <f>IFERROR(IF(VLOOKUP(Sat_W2[[#This Row],[Employee Name]],'Base Schedules'!$A$46:$AW$77,23,FALSE)="","",VLOOKUP(Sat_W2[[#This Row],[Employee Name]],'Base Schedules'!$A$46:$AW$77,23,FALSE)),"")</f>
        <v>-</v>
      </c>
      <c r="Y19" s="184" t="str">
        <f>IFERROR(IF(VLOOKUP(Sat_W2[[#This Row],[Employee Name]],'Base Schedules'!$A$46:$AW$77,24,FALSE)="","",VLOOKUP(Sat_W2[[#This Row],[Employee Name]],'Base Schedules'!$A$46:$AW$77,24,FALSE)),"")</f>
        <v>-</v>
      </c>
      <c r="Z19" s="184" t="str">
        <f>IFERROR(IF(VLOOKUP(Sat_W2[[#This Row],[Employee Name]],'Base Schedules'!$A$46:$AW$77,25,FALSE)="","",VLOOKUP(Sat_W2[[#This Row],[Employee Name]],'Base Schedules'!$A$46:$AW$77,25,FALSE)),"")</f>
        <v>-</v>
      </c>
      <c r="AA19" s="184" t="str">
        <f>IFERROR(IF(VLOOKUP(Sat_W2[[#This Row],[Employee Name]],'Base Schedules'!$A$46:$AW$77,26,FALSE)="","",VLOOKUP(Sat_W2[[#This Row],[Employee Name]],'Base Schedules'!$A$46:$AW$77,26,FALSE)),"")</f>
        <v>Interview</v>
      </c>
      <c r="AB19" s="184" t="str">
        <f>IFERROR(IF(VLOOKUP(Sat_W2[[#This Row],[Employee Name]],'Base Schedules'!$A$46:$AW$77,27,FALSE)="","",VLOOKUP(Sat_W2[[#This Row],[Employee Name]],'Base Schedules'!$A$46:$AW$77,27,FALSE)),"")</f>
        <v>Interview</v>
      </c>
      <c r="AC19" s="184" t="str">
        <f>IFERROR(IF(VLOOKUP(Sat_W2[[#This Row],[Employee Name]],'Base Schedules'!$A$46:$AW$77,28,FALSE)="","",VLOOKUP(Sat_W2[[#This Row],[Employee Name]],'Base Schedules'!$A$46:$AW$77,28,FALSE)),"")</f>
        <v>-</v>
      </c>
      <c r="AD19" s="184" t="str">
        <f>IFERROR(IF(VLOOKUP(Sat_W2[[#This Row],[Employee Name]],'Base Schedules'!$A$46:$AW$77,29,FALSE)="","",VLOOKUP(Sat_W2[[#This Row],[Employee Name]],'Base Schedules'!$A$46:$AW$77,29,FALSE)),"")</f>
        <v>-</v>
      </c>
      <c r="AE19" s="184" t="str">
        <f>IFERROR(IF(VLOOKUP(Sat_W2[[#This Row],[Employee Name]],'Base Schedules'!$A$46:$AW$77,30,FALSE)="","",VLOOKUP(Sat_W2[[#This Row],[Employee Name]],'Base Schedules'!$A$46:$AW$77,30,FALSE)),"")</f>
        <v>Coaching</v>
      </c>
      <c r="AF19" s="184" t="str">
        <f>IFERROR(IF(VLOOKUP(Sat_W2[[#This Row],[Employee Name]],'Base Schedules'!$A$46:$AW$77,31,FALSE)="","",VLOOKUP(Sat_W2[[#This Row],[Employee Name]],'Base Schedules'!$A$46:$AW$77,31,FALSE)),"")</f>
        <v>Coaching</v>
      </c>
      <c r="AG19" s="184" t="str">
        <f>IFERROR(IF(VLOOKUP(Sat_W2[[#This Row],[Employee Name]],'Base Schedules'!$A$46:$AW$77,32,FALSE)="","",VLOOKUP(Sat_W2[[#This Row],[Employee Name]],'Base Schedules'!$A$46:$AW$77,32,FALSE)),"")</f>
        <v>Coaching</v>
      </c>
      <c r="AH19" s="184" t="str">
        <f>IFERROR(IF(VLOOKUP(Sat_W2[[#This Row],[Employee Name]],'Base Schedules'!$A$46:$AW$77,33,FALSE)="","",VLOOKUP(Sat_W2[[#This Row],[Employee Name]],'Base Schedules'!$A$46:$AW$77,33,FALSE)),"")</f>
        <v/>
      </c>
      <c r="AI19" s="184" t="str">
        <f>IFERROR(IF(VLOOKUP(Sat_W2[[#This Row],[Employee Name]],'Base Schedules'!$A$46:$AW$77,34,FALSE)="","",VLOOKUP(Sat_W2[[#This Row],[Employee Name]],'Base Schedules'!$A$46:$AW$77,34,FALSE)),"")</f>
        <v/>
      </c>
      <c r="AJ19" s="184" t="str">
        <f>IFERROR(IF(VLOOKUP(Sat_W2[[#This Row],[Employee Name]],'Base Schedules'!$A$46:$AW$77,35,FALSE)="","",VLOOKUP(Sat_W2[[#This Row],[Employee Name]],'Base Schedules'!$A$46:$AW$77,35,FALSE)),"")</f>
        <v/>
      </c>
      <c r="AK19" s="184" t="str">
        <f>IFERROR(IF(VLOOKUP(Sat_W2[[#This Row],[Employee Name]],'Base Schedules'!$A$46:$AW$77,36,FALSE)="","",VLOOKUP(Sat_W2[[#This Row],[Employee Name]],'Base Schedules'!$A$46:$AW$77,36,FALSE)),"")</f>
        <v/>
      </c>
      <c r="AL19" s="184" t="str">
        <f>IFERROR(IF(VLOOKUP(Sat_W2[[#This Row],[Employee Name]],'Base Schedules'!$A$46:$AW$77,37,FALSE)="","",VLOOKUP(Sat_W2[[#This Row],[Employee Name]],'Base Schedules'!$A$46:$AW$77,37,FALSE)),"")</f>
        <v/>
      </c>
      <c r="AM19" s="184" t="str">
        <f>IFERROR(IF(VLOOKUP(Sat_W2[[#This Row],[Employee Name]],'Base Schedules'!$A$46:$AW$77,38,FALSE)="","",VLOOKUP(Sat_W2[[#This Row],[Employee Name]],'Base Schedules'!$A$46:$AW$77,38,FALSE)),"")</f>
        <v/>
      </c>
      <c r="AN19" s="184" t="str">
        <f>IFERROR(IF(VLOOKUP(Sat_W2[[#This Row],[Employee Name]],'Base Schedules'!$A$46:$AW$77,39,FALSE)="","",VLOOKUP(Sat_W2[[#This Row],[Employee Name]],'Base Schedules'!$A$46:$AW$77,39,FALSE)),"")</f>
        <v/>
      </c>
      <c r="AO19" s="184" t="str">
        <f>IFERROR(IF(VLOOKUP(Sat_W2[[#This Row],[Employee Name]],'Base Schedules'!$A$46:$AW$77,40,FALSE)="","",VLOOKUP(Sat_W2[[#This Row],[Employee Name]],'Base Schedules'!$A$46:$AW$77,40,FALSE)),"")</f>
        <v/>
      </c>
      <c r="AP19" s="184" t="str">
        <f>IFERROR(IF(VLOOKUP(Sat_W2[[#This Row],[Employee Name]],'Base Schedules'!$A$46:$AW$77,41,FALSE)="","",VLOOKUP(Sat_W2[[#This Row],[Employee Name]],'Base Schedules'!$A$46:$AW$77,41,FALSE)),"")</f>
        <v/>
      </c>
      <c r="AQ19" s="184" t="str">
        <f>IFERROR(IF(VLOOKUP(Sat_W2[[#This Row],[Employee Name]],'Base Schedules'!$A$46:$AW$77,42,FALSE)="","",VLOOKUP(Sat_W2[[#This Row],[Employee Name]],'Base Schedules'!$A$46:$AW$77,42,FALSE)),"")</f>
        <v/>
      </c>
      <c r="AR19" s="184" t="str">
        <f>IFERROR(IF(VLOOKUP(Sat_W2[[#This Row],[Employee Name]],'Base Schedules'!$A$46:$AW$77,43,FALSE)="","",VLOOKUP(Sat_W2[[#This Row],[Employee Name]],'Base Schedules'!$A$46:$AW$77,43,FALSE)),"")</f>
        <v/>
      </c>
      <c r="AS19" s="184" t="str">
        <f>IFERROR(IF(VLOOKUP(Sat_W2[[#This Row],[Employee Name]],'Base Schedules'!$A$46:$AW$77,44,FALSE)="","",VLOOKUP(Sat_W2[[#This Row],[Employee Name]],'Base Schedules'!$A$46:$AW$77,44,FALSE)),"")</f>
        <v/>
      </c>
      <c r="AT19" s="184" t="str">
        <f>IFERROR(IF(VLOOKUP(Sat_W2[[#This Row],[Employee Name]],'Base Schedules'!$A$46:$AW$77,45,FALSE)="","",VLOOKUP(Sat_W2[[#This Row],[Employee Name]],'Base Schedules'!$A$46:$AW$77,45,FALSE)),"")</f>
        <v/>
      </c>
      <c r="AU19" s="184" t="str">
        <f>IFERROR(IF(VLOOKUP(Sat_W2[[#This Row],[Employee Name]],'Base Schedules'!$A$46:$AW$77,46,FALSE)="","",VLOOKUP(Sat_W2[[#This Row],[Employee Name]],'Base Schedules'!$A$46:$AW$77,46,FALSE)),"")</f>
        <v/>
      </c>
      <c r="AV19" s="184" t="str">
        <f>IFERROR(IF(VLOOKUP(Sat_W2[[#This Row],[Employee Name]],'Base Schedules'!$A$46:$AW$77,47,FALSE)="","",VLOOKUP(Sat_W2[[#This Row],[Employee Name]],'Base Schedules'!$A$46:$AW$77,47,FALSE)),"")</f>
        <v/>
      </c>
      <c r="AW19" s="184" t="str">
        <f>IFERROR(IF(VLOOKUP(Sat_W2[[#This Row],[Employee Name]],'Base Schedules'!$A$46:$AW$77,48,FALSE)="","",VLOOKUP(Sat_W2[[#This Row],[Employee Name]],'Base Schedules'!$A$46:$AW$77,48,FALSE)),"")</f>
        <v/>
      </c>
      <c r="AX19" s="184" t="str">
        <f>IFERROR(IF(VLOOKUP(Sat_W2[[#This Row],[Employee Name]],'Base Schedules'!$A$46:$AW$77,49,FALSE)="","",VLOOKUP(Sat_W2[[#This Row],[Employee Name]],'Base Schedules'!$A$46:$AW$77,49,FALSE)),"")</f>
        <v/>
      </c>
      <c r="AY19" s="159" t="str">
        <f t="shared" si="2"/>
        <v>Olson, Dan</v>
      </c>
    </row>
    <row r="20" spans="1:51" s="44" customFormat="1" ht="12" customHeight="1" x14ac:dyDescent="0.2">
      <c r="A20" s="39" t="str">
        <f>IF(B20="","",INDEX(TeamList[],MATCH($B20,TeamList[[Employee Name]:[Employee Name]],0),MATCH("Manager",TeamList[#Headers],0)))</f>
        <v>Ahmed Hassan, Zahra</v>
      </c>
      <c r="B20" s="201" t="s">
        <v>53</v>
      </c>
      <c r="C20" s="257" t="str">
        <f>_xlfn.IFNA(VLOOKUP(Sat_W2[[#This Row],[Employee Name]],'Base Schedules'!A:B,2,FALSE),"")</f>
        <v>Supervisor</v>
      </c>
      <c r="D20" s="274">
        <f>_xlfn.IFNA(VLOOKUP(Sat_W2[[#This Row],[Employee Name]],'Base Schedules'!A:C,3,FALSE),"")</f>
        <v>830</v>
      </c>
      <c r="E20" s="274">
        <f>_xlfn.IFNA(VLOOKUP(Sat_W2[[#This Row],[Employee Name]],'Base Schedules'!A:D,4,FALSE),"")</f>
        <v>1730</v>
      </c>
      <c r="F20" s="142">
        <f>IF(Sat_W2[[#This Row],[Employee Name]]="","",IF(Sat_W2[[#This Row],[Dept]]="Supervisor",COUNTIFS($J20:$AX20,"*HL*",$J20:$AX20,"&lt;&gt;"&amp;"pHL"),COUNTIFS($J20:$AX20,"*HL*",$J20:$AX20,"&lt;&gt;"&amp;"*pHL*",$J20:$AX20,"&lt;&gt;"&amp;"pB1 HL",$J20:$AX20,"&lt;&gt;"&amp;"pB2 HL")-SUM(COUNTIFS($J20:$AX20,"*HL B1*",$J20:$AX20,"&lt;&gt;"&amp;"pHL B1")*0.5,COUNTIFS($J20:$AX20,"*HL B2*",$J20:$AX20,"&lt;&gt;"&amp;"pHL B2")*0.5,COUNTIFS($J20:$AX20,"*B1 HL*",$J20:$AX20,"&lt;&gt;"&amp;"pB1 HL")*0.5,COUNTIFS($J20:$AX20,"*B2 HL*",$J20:$AX20,"&lt;&gt;"&amp;"pB2 HL")*0.5)))</f>
        <v>0</v>
      </c>
      <c r="G20" s="142">
        <f t="shared" si="0"/>
        <v>4</v>
      </c>
      <c r="H20" s="142">
        <f t="shared" si="1"/>
        <v>0</v>
      </c>
      <c r="I20" s="142">
        <f>IF(Sat_W2[[#This Row],[Employee Name]]="","",IF(Sat_W2[[#This Row],[Dept]]="Supervisor",SUM(COUNTIFS($J20:$AX20,"RTA*",$J20:$AX20,"&lt;&gt;"&amp;"pRTA"),COUNTIFS($J20:$AX20,"*CRTA*",$J20:$AX20,"&lt;&gt;"&amp;"pCRTA")),COUNTIFS($J20:$AX20,"*RNNR*",$J20:$AX20,"&lt;&gt;"&amp;"*pRNNR*",$J20:$AX20,"&lt;&gt;"&amp;"pB1 RNNR",$J20:$AX20,"&lt;&gt;"&amp;"pB2 RNNR")-SUM(COUNTIFS($J20:$AX20,"*RNNR B1*",$J20:$AX20,"&lt;&gt;"&amp;"pRNNR B1")*0.5,COUNTIFS($J20:$AX20,"*RNNR B2*",$J20:$AX20,"&lt;&gt;"&amp;"pRNNR B2")*0.5,COUNTIFS($J20:$AX20,"*B1 RNNR*",$J20:$AX20,"&lt;&gt;"&amp;"pB1 RNNR")*0.5,COUNTIFS($J20:$AX20,"*B2 RNNR*",$J20:$AX20,"&lt;&gt;"&amp;"pB2 RNNR")*0.5)))</f>
        <v>0</v>
      </c>
      <c r="J20" s="184" t="str">
        <f>IFERROR(IF(VLOOKUP(Sat_W2[[#This Row],[Employee Name]],'Base Schedules'!$A$46:$AW$77,9,FALSE)="","",VLOOKUP(Sat_W2[[#This Row],[Employee Name]],'Base Schedules'!$A$46:$AW$77,9,FALSE)),"")</f>
        <v/>
      </c>
      <c r="K20" s="184" t="str">
        <f>IFERROR(IF(VLOOKUP(Sat_W2[[#This Row],[Employee Name]],'Base Schedules'!$A$46:$AW$77,10,FALSE)="","",VLOOKUP(Sat_W2[[#This Row],[Employee Name]],'Base Schedules'!$A$46:$AW$77,10,FALSE)),"")</f>
        <v/>
      </c>
      <c r="L20" s="184" t="str">
        <f>IFERROR(IF(VLOOKUP(Sat_W2[[#This Row],[Employee Name]],'Base Schedules'!$A$46:$AW$77,11,FALSE)="","",VLOOKUP(Sat_W2[[#This Row],[Employee Name]],'Base Schedules'!$A$46:$AW$77,11,FALSE)),"")</f>
        <v/>
      </c>
      <c r="M20" s="184" t="str">
        <f>IFERROR(IF(VLOOKUP(Sat_W2[[#This Row],[Employee Name]],'Base Schedules'!$A$46:$AW$77,12,FALSE)="","",VLOOKUP(Sat_W2[[#This Row],[Employee Name]],'Base Schedules'!$A$46:$AW$77,12,FALSE)),"")</f>
        <v/>
      </c>
      <c r="N20" s="184" t="str">
        <f>IFERROR(IF(VLOOKUP(Sat_W2[[#This Row],[Employee Name]],'Base Schedules'!$A$46:$AW$77,13,FALSE)="","",VLOOKUP(Sat_W2[[#This Row],[Employee Name]],'Base Schedules'!$A$46:$AW$77,13,FALSE)),"")</f>
        <v/>
      </c>
      <c r="O20" s="184" t="str">
        <f>IFERROR(IF(VLOOKUP(Sat_W2[[#This Row],[Employee Name]],'Base Schedules'!$A$46:$AW$77,14,FALSE)="","",VLOOKUP(Sat_W2[[#This Row],[Employee Name]],'Base Schedules'!$A$46:$AW$77,14,FALSE)),"")</f>
        <v/>
      </c>
      <c r="P20" s="184" t="str">
        <f>IFERROR(IF(VLOOKUP(Sat_W2[[#This Row],[Employee Name]],'Base Schedules'!$A$46:$AW$77,15,FALSE)="","",VLOOKUP(Sat_W2[[#This Row],[Employee Name]],'Base Schedules'!$A$46:$AW$77,15,FALSE)),"")</f>
        <v/>
      </c>
      <c r="Q20" s="184" t="str">
        <f>IFERROR(IF(VLOOKUP(Sat_W2[[#This Row],[Employee Name]],'Base Schedules'!$A$46:$AW$77,16,FALSE)="","",VLOOKUP(Sat_W2[[#This Row],[Employee Name]],'Base Schedules'!$A$46:$AW$77,16,FALSE)),"")</f>
        <v>-</v>
      </c>
      <c r="R20" s="184" t="str">
        <f>IFERROR(IF(VLOOKUP(Sat_W2[[#This Row],[Employee Name]],'Base Schedules'!$A$46:$AW$77,17,FALSE)="","",VLOOKUP(Sat_W2[[#This Row],[Employee Name]],'Base Schedules'!$A$46:$AW$77,17,FALSE)),"")</f>
        <v>-</v>
      </c>
      <c r="S20" s="184" t="str">
        <f>IFERROR(IF(VLOOKUP(Sat_W2[[#This Row],[Employee Name]],'Base Schedules'!$A$46:$AW$77,18,FALSE)="","",VLOOKUP(Sat_W2[[#This Row],[Employee Name]],'Base Schedules'!$A$46:$AW$77,18,FALSE)),"")</f>
        <v>-</v>
      </c>
      <c r="T20" s="184" t="str">
        <f>IFERROR(IF(VLOOKUP(Sat_W2[[#This Row],[Employee Name]],'Base Schedules'!$A$46:$AW$77,19,FALSE)="","",VLOOKUP(Sat_W2[[#This Row],[Employee Name]],'Base Schedules'!$A$46:$AW$77,19,FALSE)),"")</f>
        <v>Interview</v>
      </c>
      <c r="U20" s="184" t="str">
        <f>IFERROR(IF(VLOOKUP(Sat_W2[[#This Row],[Employee Name]],'Base Schedules'!$A$46:$AW$77,20,FALSE)="","",VLOOKUP(Sat_W2[[#This Row],[Employee Name]],'Base Schedules'!$A$46:$AW$77,20,FALSE)),"")</f>
        <v>Interview</v>
      </c>
      <c r="V20" s="184" t="str">
        <f>IFERROR(IF(VLOOKUP(Sat_W2[[#This Row],[Employee Name]],'Base Schedules'!$A$46:$AW$77,21,FALSE)="","",VLOOKUP(Sat_W2[[#This Row],[Employee Name]],'Base Schedules'!$A$46:$AW$77,21,FALSE)),"")</f>
        <v>-</v>
      </c>
      <c r="W20" s="184" t="str">
        <f>IFERROR(IF(VLOOKUP(Sat_W2[[#This Row],[Employee Name]],'Base Schedules'!$A$46:$AW$77,22,FALSE)="","",VLOOKUP(Sat_W2[[#This Row],[Employee Name]],'Base Schedules'!$A$46:$AW$77,22,FALSE)),"")</f>
        <v>-</v>
      </c>
      <c r="X20" s="184" t="str">
        <f>IFERROR(IF(VLOOKUP(Sat_W2[[#This Row],[Employee Name]],'Base Schedules'!$A$46:$AW$77,23,FALSE)="","",VLOOKUP(Sat_W2[[#This Row],[Employee Name]],'Base Schedules'!$A$46:$AW$77,23,FALSE)),"")</f>
        <v>-</v>
      </c>
      <c r="Y20" s="184" t="str">
        <f>IFERROR(IF(VLOOKUP(Sat_W2[[#This Row],[Employee Name]],'Base Schedules'!$A$46:$AW$77,24,FALSE)="","",VLOOKUP(Sat_W2[[#This Row],[Employee Name]],'Base Schedules'!$A$46:$AW$77,24,FALSE)),"")</f>
        <v>-</v>
      </c>
      <c r="Z20" s="184" t="str">
        <f>IFERROR(IF(VLOOKUP(Sat_W2[[#This Row],[Employee Name]],'Base Schedules'!$A$46:$AW$77,25,FALSE)="","",VLOOKUP(Sat_W2[[#This Row],[Employee Name]],'Base Schedules'!$A$46:$AW$77,25,FALSE)),"")</f>
        <v>-</v>
      </c>
      <c r="AA20" s="184" t="str">
        <f>IFERROR(IF(VLOOKUP(Sat_W2[[#This Row],[Employee Name]],'Base Schedules'!$A$46:$AW$77,26,FALSE)="","",VLOOKUP(Sat_W2[[#This Row],[Employee Name]],'Base Schedules'!$A$46:$AW$77,26,FALSE)),"")</f>
        <v>-</v>
      </c>
      <c r="AB20" s="184" t="str">
        <f>IFERROR(IF(VLOOKUP(Sat_W2[[#This Row],[Employee Name]],'Base Schedules'!$A$46:$AW$77,27,FALSE)="","",VLOOKUP(Sat_W2[[#This Row],[Employee Name]],'Base Schedules'!$A$46:$AW$77,27,FALSE)),"")</f>
        <v>Coaching</v>
      </c>
      <c r="AC20" s="184" t="str">
        <f>IFERROR(IF(VLOOKUP(Sat_W2[[#This Row],[Employee Name]],'Base Schedules'!$A$46:$AW$77,28,FALSE)="","",VLOOKUP(Sat_W2[[#This Row],[Employee Name]],'Base Schedules'!$A$46:$AW$77,28,FALSE)),"")</f>
        <v>Coaching</v>
      </c>
      <c r="AD20" s="184" t="str">
        <f>IFERROR(IF(VLOOKUP(Sat_W2[[#This Row],[Employee Name]],'Base Schedules'!$A$46:$AW$77,29,FALSE)="","",VLOOKUP(Sat_W2[[#This Row],[Employee Name]],'Base Schedules'!$A$46:$AW$77,29,FALSE)),"")</f>
        <v>Coaching</v>
      </c>
      <c r="AE20" s="184" t="str">
        <f>IFERROR(IF(VLOOKUP(Sat_W2[[#This Row],[Employee Name]],'Base Schedules'!$A$46:$AW$77,30,FALSE)="","",VLOOKUP(Sat_W2[[#This Row],[Employee Name]],'Base Schedules'!$A$46:$AW$77,30,FALSE)),"")</f>
        <v>Coaching</v>
      </c>
      <c r="AF20" s="184" t="str">
        <f>IFERROR(IF(VLOOKUP(Sat_W2[[#This Row],[Employee Name]],'Base Schedules'!$A$46:$AW$77,31,FALSE)="","",VLOOKUP(Sat_W2[[#This Row],[Employee Name]],'Base Schedules'!$A$46:$AW$77,31,FALSE)),"")</f>
        <v>-</v>
      </c>
      <c r="AG20" s="184" t="str">
        <f>IFERROR(IF(VLOOKUP(Sat_W2[[#This Row],[Employee Name]],'Base Schedules'!$A$46:$AW$77,32,FALSE)="","",VLOOKUP(Sat_W2[[#This Row],[Employee Name]],'Base Schedules'!$A$46:$AW$77,32,FALSE)),"")</f>
        <v>-</v>
      </c>
      <c r="AH20" s="184" t="str">
        <f>IFERROR(IF(VLOOKUP(Sat_W2[[#This Row],[Employee Name]],'Base Schedules'!$A$46:$AW$77,33,FALSE)="","",VLOOKUP(Sat_W2[[#This Row],[Employee Name]],'Base Schedules'!$A$46:$AW$77,33,FALSE)),"")</f>
        <v>-</v>
      </c>
      <c r="AI20" s="184" t="str">
        <f>IFERROR(IF(VLOOKUP(Sat_W2[[#This Row],[Employee Name]],'Base Schedules'!$A$46:$AW$77,34,FALSE)="","",VLOOKUP(Sat_W2[[#This Row],[Employee Name]],'Base Schedules'!$A$46:$AW$77,34,FALSE)),"")</f>
        <v/>
      </c>
      <c r="AJ20" s="184" t="str">
        <f>IFERROR(IF(VLOOKUP(Sat_W2[[#This Row],[Employee Name]],'Base Schedules'!$A$46:$AW$77,35,FALSE)="","",VLOOKUP(Sat_W2[[#This Row],[Employee Name]],'Base Schedules'!$A$46:$AW$77,35,FALSE)),"")</f>
        <v/>
      </c>
      <c r="AK20" s="184" t="str">
        <f>IFERROR(IF(VLOOKUP(Sat_W2[[#This Row],[Employee Name]],'Base Schedules'!$A$46:$AW$77,36,FALSE)="","",VLOOKUP(Sat_W2[[#This Row],[Employee Name]],'Base Schedules'!$A$46:$AW$77,36,FALSE)),"")</f>
        <v/>
      </c>
      <c r="AL20" s="184" t="str">
        <f>IFERROR(IF(VLOOKUP(Sat_W2[[#This Row],[Employee Name]],'Base Schedules'!$A$46:$AW$77,37,FALSE)="","",VLOOKUP(Sat_W2[[#This Row],[Employee Name]],'Base Schedules'!$A$46:$AW$77,37,FALSE)),"")</f>
        <v/>
      </c>
      <c r="AM20" s="184" t="str">
        <f>IFERROR(IF(VLOOKUP(Sat_W2[[#This Row],[Employee Name]],'Base Schedules'!$A$46:$AW$77,38,FALSE)="","",VLOOKUP(Sat_W2[[#This Row],[Employee Name]],'Base Schedules'!$A$46:$AW$77,38,FALSE)),"")</f>
        <v/>
      </c>
      <c r="AN20" s="184" t="str">
        <f>IFERROR(IF(VLOOKUP(Sat_W2[[#This Row],[Employee Name]],'Base Schedules'!$A$46:$AW$77,39,FALSE)="","",VLOOKUP(Sat_W2[[#This Row],[Employee Name]],'Base Schedules'!$A$46:$AW$77,39,FALSE)),"")</f>
        <v/>
      </c>
      <c r="AO20" s="184" t="str">
        <f>IFERROR(IF(VLOOKUP(Sat_W2[[#This Row],[Employee Name]],'Base Schedules'!$A$46:$AW$77,40,FALSE)="","",VLOOKUP(Sat_W2[[#This Row],[Employee Name]],'Base Schedules'!$A$46:$AW$77,40,FALSE)),"")</f>
        <v/>
      </c>
      <c r="AP20" s="184" t="str">
        <f>IFERROR(IF(VLOOKUP(Sat_W2[[#This Row],[Employee Name]],'Base Schedules'!$A$46:$AW$77,41,FALSE)="","",VLOOKUP(Sat_W2[[#This Row],[Employee Name]],'Base Schedules'!$A$46:$AW$77,41,FALSE)),"")</f>
        <v/>
      </c>
      <c r="AQ20" s="184" t="str">
        <f>IFERROR(IF(VLOOKUP(Sat_W2[[#This Row],[Employee Name]],'Base Schedules'!$A$46:$AW$77,42,FALSE)="","",VLOOKUP(Sat_W2[[#This Row],[Employee Name]],'Base Schedules'!$A$46:$AW$77,42,FALSE)),"")</f>
        <v/>
      </c>
      <c r="AR20" s="184" t="str">
        <f>IFERROR(IF(VLOOKUP(Sat_W2[[#This Row],[Employee Name]],'Base Schedules'!$A$46:$AW$77,43,FALSE)="","",VLOOKUP(Sat_W2[[#This Row],[Employee Name]],'Base Schedules'!$A$46:$AW$77,43,FALSE)),"")</f>
        <v/>
      </c>
      <c r="AS20" s="184" t="str">
        <f>IFERROR(IF(VLOOKUP(Sat_W2[[#This Row],[Employee Name]],'Base Schedules'!$A$46:$AW$77,44,FALSE)="","",VLOOKUP(Sat_W2[[#This Row],[Employee Name]],'Base Schedules'!$A$46:$AW$77,44,FALSE)),"")</f>
        <v/>
      </c>
      <c r="AT20" s="184" t="str">
        <f>IFERROR(IF(VLOOKUP(Sat_W2[[#This Row],[Employee Name]],'Base Schedules'!$A$46:$AW$77,45,FALSE)="","",VLOOKUP(Sat_W2[[#This Row],[Employee Name]],'Base Schedules'!$A$46:$AW$77,45,FALSE)),"")</f>
        <v/>
      </c>
      <c r="AU20" s="184" t="str">
        <f>IFERROR(IF(VLOOKUP(Sat_W2[[#This Row],[Employee Name]],'Base Schedules'!$A$46:$AW$77,46,FALSE)="","",VLOOKUP(Sat_W2[[#This Row],[Employee Name]],'Base Schedules'!$A$46:$AW$77,46,FALSE)),"")</f>
        <v/>
      </c>
      <c r="AV20" s="184" t="str">
        <f>IFERROR(IF(VLOOKUP(Sat_W2[[#This Row],[Employee Name]],'Base Schedules'!$A$46:$AW$77,47,FALSE)="","",VLOOKUP(Sat_W2[[#This Row],[Employee Name]],'Base Schedules'!$A$46:$AW$77,47,FALSE)),"")</f>
        <v/>
      </c>
      <c r="AW20" s="184" t="str">
        <f>IFERROR(IF(VLOOKUP(Sat_W2[[#This Row],[Employee Name]],'Base Schedules'!$A$46:$AW$77,48,FALSE)="","",VLOOKUP(Sat_W2[[#This Row],[Employee Name]],'Base Schedules'!$A$46:$AW$77,48,FALSE)),"")</f>
        <v/>
      </c>
      <c r="AX20" s="184" t="str">
        <f>IFERROR(IF(VLOOKUP(Sat_W2[[#This Row],[Employee Name]],'Base Schedules'!$A$46:$AW$77,49,FALSE)="","",VLOOKUP(Sat_W2[[#This Row],[Employee Name]],'Base Schedules'!$A$46:$AW$77,49,FALSE)),"")</f>
        <v/>
      </c>
      <c r="AY20" s="159" t="str">
        <f t="shared" si="2"/>
        <v>Stevens, Amanda</v>
      </c>
    </row>
    <row r="21" spans="1:51" s="44" customFormat="1" ht="12" customHeight="1" x14ac:dyDescent="0.2">
      <c r="A21" s="39" t="str">
        <f>IF(B21="","",INDEX(TeamList[],MATCH($B21,TeamList[[Employee Name]:[Employee Name]],0),MATCH("Manager",TeamList[#Headers],0)))</f>
        <v>Olson, Katherine</v>
      </c>
      <c r="B21" s="201" t="s">
        <v>231</v>
      </c>
      <c r="C21" s="257" t="str">
        <f>_xlfn.IFNA(VLOOKUP(Sat_W2[[#This Row],[Employee Name]],'Base Schedules'!A:B,2,FALSE),"")</f>
        <v>Lead</v>
      </c>
      <c r="D21" s="274">
        <f>_xlfn.IFNA(VLOOKUP(Sat_W2[[#This Row],[Employee Name]],'Base Schedules'!A:C,3,FALSE),"")</f>
        <v>900</v>
      </c>
      <c r="E21" s="274">
        <f>_xlfn.IFNA(VLOOKUP(Sat_W2[[#This Row],[Employee Name]],'Base Schedules'!A:D,4,FALSE),"")</f>
        <v>1730</v>
      </c>
      <c r="F21" s="142">
        <f>IF(Sat_W2[[#This Row],[Employee Name]]="","",IF(Sat_W2[[#This Row],[Dept]]="Supervisor",COUNTIFS($J21:$AX21,"*HL*",$J21:$AX21,"&lt;&gt;"&amp;"pHL"),COUNTIFS($J21:$AX21,"*HL*",$J21:$AX21,"&lt;&gt;"&amp;"*pHL*",$J21:$AX21,"&lt;&gt;"&amp;"pB1 HL",$J21:$AX21,"&lt;&gt;"&amp;"pB2 HL")-SUM(COUNTIFS($J21:$AX21,"*HL B1*",$J21:$AX21,"&lt;&gt;"&amp;"pHL B1")*0.5,COUNTIFS($J21:$AX21,"*HL B2*",$J21:$AX21,"&lt;&gt;"&amp;"pHL B2")*0.5,COUNTIFS($J21:$AX21,"*B1 HL*",$J21:$AX21,"&lt;&gt;"&amp;"pB1 HL")*0.5,COUNTIFS($J21:$AX21,"*B2 HL*",$J21:$AX21,"&lt;&gt;"&amp;"pB2 HL")*0.5)))</f>
        <v>6.5</v>
      </c>
      <c r="G21" s="142">
        <f t="shared" si="0"/>
        <v>0</v>
      </c>
      <c r="H21" s="142">
        <f t="shared" si="1"/>
        <v>7</v>
      </c>
      <c r="I21" s="142">
        <f>IF(Sat_W2[[#This Row],[Employee Name]]="","",IF(Sat_W2[[#This Row],[Dept]]="Supervisor",SUM(COUNTIFS($J21:$AX21,"RTA*",$J21:$AX21,"&lt;&gt;"&amp;"pRTA"),COUNTIFS($J21:$AX21,"*CRTA*",$J21:$AX21,"&lt;&gt;"&amp;"pCRTA")),COUNTIFS($J21:$AX21,"*RNNR*",$J21:$AX21,"&lt;&gt;"&amp;"*pRNNR*",$J21:$AX21,"&lt;&gt;"&amp;"pB1 RNNR",$J21:$AX21,"&lt;&gt;"&amp;"pB2 RNNR")-SUM(COUNTIFS($J21:$AX21,"*RNNR B1*",$J21:$AX21,"&lt;&gt;"&amp;"pRNNR B1")*0.5,COUNTIFS($J21:$AX21,"*RNNR B2*",$J21:$AX21,"&lt;&gt;"&amp;"pRNNR B2")*0.5,COUNTIFS($J21:$AX21,"*B1 RNNR*",$J21:$AX21,"&lt;&gt;"&amp;"pB1 RNNR")*0.5,COUNTIFS($J21:$AX21,"*B2 RNNR*",$J21:$AX21,"&lt;&gt;"&amp;"pB2 RNNR")*0.5)))</f>
        <v>2</v>
      </c>
      <c r="J21" s="184" t="str">
        <f>IFERROR(IF(VLOOKUP(Sat_W2[[#This Row],[Employee Name]],'Base Schedules'!$A$46:$AW$77,9,FALSE)="","",VLOOKUP(Sat_W2[[#This Row],[Employee Name]],'Base Schedules'!$A$46:$AW$77,9,FALSE)),"")</f>
        <v/>
      </c>
      <c r="K21" s="184" t="str">
        <f>IFERROR(IF(VLOOKUP(Sat_W2[[#This Row],[Employee Name]],'Base Schedules'!$A$46:$AW$77,10,FALSE)="","",VLOOKUP(Sat_W2[[#This Row],[Employee Name]],'Base Schedules'!$A$46:$AW$77,10,FALSE)),"")</f>
        <v/>
      </c>
      <c r="L21" s="184" t="str">
        <f>IFERROR(IF(VLOOKUP(Sat_W2[[#This Row],[Employee Name]],'Base Schedules'!$A$46:$AW$77,11,FALSE)="","",VLOOKUP(Sat_W2[[#This Row],[Employee Name]],'Base Schedules'!$A$46:$AW$77,11,FALSE)),"")</f>
        <v/>
      </c>
      <c r="M21" s="184" t="str">
        <f>IFERROR(IF(VLOOKUP(Sat_W2[[#This Row],[Employee Name]],'Base Schedules'!$A$46:$AW$77,12,FALSE)="","",VLOOKUP(Sat_W2[[#This Row],[Employee Name]],'Base Schedules'!$A$46:$AW$77,12,FALSE)),"")</f>
        <v/>
      </c>
      <c r="N21" s="184" t="str">
        <f>IFERROR(IF(VLOOKUP(Sat_W2[[#This Row],[Employee Name]],'Base Schedules'!$A$46:$AW$77,13,FALSE)="","",VLOOKUP(Sat_W2[[#This Row],[Employee Name]],'Base Schedules'!$A$46:$AW$77,13,FALSE)),"")</f>
        <v/>
      </c>
      <c r="O21" s="184" t="str">
        <f>IFERROR(IF(VLOOKUP(Sat_W2[[#This Row],[Employee Name]],'Base Schedules'!$A$46:$AW$77,14,FALSE)="","",VLOOKUP(Sat_W2[[#This Row],[Employee Name]],'Base Schedules'!$A$46:$AW$77,14,FALSE)),"")</f>
        <v/>
      </c>
      <c r="P21" s="184" t="str">
        <f>IFERROR(IF(VLOOKUP(Sat_W2[[#This Row],[Employee Name]],'Base Schedules'!$A$46:$AW$77,15,FALSE)="","",VLOOKUP(Sat_W2[[#This Row],[Employee Name]],'Base Schedules'!$A$46:$AW$77,15,FALSE)),"")</f>
        <v/>
      </c>
      <c r="Q21" s="184" t="str">
        <f>IFERROR(IF(VLOOKUP(Sat_W2[[#This Row],[Employee Name]],'Base Schedules'!$A$46:$AW$77,16,FALSE)="","",VLOOKUP(Sat_W2[[#This Row],[Employee Name]],'Base Schedules'!$A$46:$AW$77,16,FALSE)),"")</f>
        <v/>
      </c>
      <c r="R21" s="184" t="str">
        <f>IFERROR(IF(VLOOKUP(Sat_W2[[#This Row],[Employee Name]],'Base Schedules'!$A$46:$AW$77,17,FALSE)="","",VLOOKUP(Sat_W2[[#This Row],[Employee Name]],'Base Schedules'!$A$46:$AW$77,17,FALSE)),"")</f>
        <v>HL</v>
      </c>
      <c r="S21" s="184" t="str">
        <f>IFERROR(IF(VLOOKUP(Sat_W2[[#This Row],[Employee Name]],'Base Schedules'!$A$46:$AW$77,18,FALSE)="","",VLOOKUP(Sat_W2[[#This Row],[Employee Name]],'Base Schedules'!$A$46:$AW$77,18,FALSE)),"")</f>
        <v>HL</v>
      </c>
      <c r="T21" s="184" t="str">
        <f>IFERROR(IF(VLOOKUP(Sat_W2[[#This Row],[Employee Name]],'Base Schedules'!$A$46:$AW$77,19,FALSE)="","",VLOOKUP(Sat_W2[[#This Row],[Employee Name]],'Base Schedules'!$A$46:$AW$77,19,FALSE)),"")</f>
        <v>HL</v>
      </c>
      <c r="U21" s="184" t="str">
        <f>IFERROR(IF(VLOOKUP(Sat_W2[[#This Row],[Employee Name]],'Base Schedules'!$A$46:$AW$77,20,FALSE)="","",VLOOKUP(Sat_W2[[#This Row],[Employee Name]],'Base Schedules'!$A$46:$AW$77,20,FALSE)),"")</f>
        <v>HL B1</v>
      </c>
      <c r="V21" s="184" t="str">
        <f>IFERROR(IF(VLOOKUP(Sat_W2[[#This Row],[Employee Name]],'Base Schedules'!$A$46:$AW$77,21,FALSE)="","",VLOOKUP(Sat_W2[[#This Row],[Employee Name]],'Base Schedules'!$A$46:$AW$77,21,FALSE)),"")</f>
        <v>HL</v>
      </c>
      <c r="W21" s="184" t="str">
        <f>IFERROR(IF(VLOOKUP(Sat_W2[[#This Row],[Employee Name]],'Base Schedules'!$A$46:$AW$77,22,FALSE)="","",VLOOKUP(Sat_W2[[#This Row],[Employee Name]],'Base Schedules'!$A$46:$AW$77,22,FALSE)),"")</f>
        <v>HL</v>
      </c>
      <c r="X21" s="184" t="str">
        <f>IFERROR(IF(VLOOKUP(Sat_W2[[#This Row],[Employee Name]],'Base Schedules'!$A$46:$AW$77,23,FALSE)="","",VLOOKUP(Sat_W2[[#This Row],[Employee Name]],'Base Schedules'!$A$46:$AW$77,23,FALSE)),"")</f>
        <v>ADM</v>
      </c>
      <c r="Y21" s="184" t="str">
        <f>IFERROR(IF(VLOOKUP(Sat_W2[[#This Row],[Employee Name]],'Base Schedules'!$A$46:$AW$77,24,FALSE)="","",VLOOKUP(Sat_W2[[#This Row],[Employee Name]],'Base Schedules'!$A$46:$AW$77,24,FALSE)),"")</f>
        <v>ADM</v>
      </c>
      <c r="Z21" s="184" t="str">
        <f>IFERROR(IF(VLOOKUP(Sat_W2[[#This Row],[Employee Name]],'Base Schedules'!$A$46:$AW$77,25,FALSE)="","",VLOOKUP(Sat_W2[[#This Row],[Employee Name]],'Base Schedules'!$A$46:$AW$77,25,FALSE)),"")</f>
        <v>LUNCH</v>
      </c>
      <c r="AA21" s="184" t="str">
        <f>IFERROR(IF(VLOOKUP(Sat_W2[[#This Row],[Employee Name]],'Base Schedules'!$A$46:$AW$77,26,FALSE)="","",VLOOKUP(Sat_W2[[#This Row],[Employee Name]],'Base Schedules'!$A$46:$AW$77,26,FALSE)),"")</f>
        <v>ADM</v>
      </c>
      <c r="AB21" s="184" t="str">
        <f>IFERROR(IF(VLOOKUP(Sat_W2[[#This Row],[Employee Name]],'Base Schedules'!$A$46:$AW$77,27,FALSE)="","",VLOOKUP(Sat_W2[[#This Row],[Employee Name]],'Base Schedules'!$A$46:$AW$77,27,FALSE)),"")</f>
        <v>ADM</v>
      </c>
      <c r="AC21" s="184" t="str">
        <f>IFERROR(IF(VLOOKUP(Sat_W2[[#This Row],[Employee Name]],'Base Schedules'!$A$46:$AW$77,28,FALSE)="","",VLOOKUP(Sat_W2[[#This Row],[Employee Name]],'Base Schedules'!$A$46:$AW$77,28,FALSE)),"")</f>
        <v>HL</v>
      </c>
      <c r="AD21" s="184" t="str">
        <f>IFERROR(IF(VLOOKUP(Sat_W2[[#This Row],[Employee Name]],'Base Schedules'!$A$46:$AW$77,29,FALSE)="","",VLOOKUP(Sat_W2[[#This Row],[Employee Name]],'Base Schedules'!$A$46:$AW$77,29,FALSE)),"")</f>
        <v>ADM</v>
      </c>
      <c r="AE21" s="184" t="str">
        <f>IFERROR(IF(VLOOKUP(Sat_W2[[#This Row],[Employee Name]],'Base Schedules'!$A$46:$AW$77,30,FALSE)="","",VLOOKUP(Sat_W2[[#This Row],[Employee Name]],'Base Schedules'!$A$46:$AW$77,30,FALSE)),"")</f>
        <v>ADM B2</v>
      </c>
      <c r="AF21" s="184" t="str">
        <f>IFERROR(IF(VLOOKUP(Sat_W2[[#This Row],[Employee Name]],'Base Schedules'!$A$46:$AW$77,31,FALSE)="","",VLOOKUP(Sat_W2[[#This Row],[Employee Name]],'Base Schedules'!$A$46:$AW$77,31,FALSE)),"")</f>
        <v>RNNR</v>
      </c>
      <c r="AG21" s="184" t="str">
        <f>IFERROR(IF(VLOOKUP(Sat_W2[[#This Row],[Employee Name]],'Base Schedules'!$A$46:$AW$77,32,FALSE)="","",VLOOKUP(Sat_W2[[#This Row],[Employee Name]],'Base Schedules'!$A$46:$AW$77,32,FALSE)),"")</f>
        <v>RNNR</v>
      </c>
      <c r="AH21" s="184" t="str">
        <f>IFERROR(IF(VLOOKUP(Sat_W2[[#This Row],[Employee Name]],'Base Schedules'!$A$46:$AW$77,33,FALSE)="","",VLOOKUP(Sat_W2[[#This Row],[Employee Name]],'Base Schedules'!$A$46:$AW$77,33,FALSE)),"")</f>
        <v>ADM</v>
      </c>
      <c r="AI21" s="184" t="str">
        <f>IFERROR(IF(VLOOKUP(Sat_W2[[#This Row],[Employee Name]],'Base Schedules'!$A$46:$AW$77,34,FALSE)="","",VLOOKUP(Sat_W2[[#This Row],[Employee Name]],'Base Schedules'!$A$46:$AW$77,34,FALSE)),"")</f>
        <v/>
      </c>
      <c r="AJ21" s="184" t="str">
        <f>IFERROR(IF(VLOOKUP(Sat_W2[[#This Row],[Employee Name]],'Base Schedules'!$A$46:$AW$77,35,FALSE)="","",VLOOKUP(Sat_W2[[#This Row],[Employee Name]],'Base Schedules'!$A$46:$AW$77,35,FALSE)),"")</f>
        <v/>
      </c>
      <c r="AK21" s="184" t="str">
        <f>IFERROR(IF(VLOOKUP(Sat_W2[[#This Row],[Employee Name]],'Base Schedules'!$A$46:$AW$77,36,FALSE)="","",VLOOKUP(Sat_W2[[#This Row],[Employee Name]],'Base Schedules'!$A$46:$AW$77,36,FALSE)),"")</f>
        <v/>
      </c>
      <c r="AL21" s="184" t="str">
        <f>IFERROR(IF(VLOOKUP(Sat_W2[[#This Row],[Employee Name]],'Base Schedules'!$A$46:$AW$77,37,FALSE)="","",VLOOKUP(Sat_W2[[#This Row],[Employee Name]],'Base Schedules'!$A$46:$AW$77,37,FALSE)),"")</f>
        <v/>
      </c>
      <c r="AM21" s="184" t="str">
        <f>IFERROR(IF(VLOOKUP(Sat_W2[[#This Row],[Employee Name]],'Base Schedules'!$A$46:$AW$77,38,FALSE)="","",VLOOKUP(Sat_W2[[#This Row],[Employee Name]],'Base Schedules'!$A$46:$AW$77,38,FALSE)),"")</f>
        <v/>
      </c>
      <c r="AN21" s="184" t="str">
        <f>IFERROR(IF(VLOOKUP(Sat_W2[[#This Row],[Employee Name]],'Base Schedules'!$A$46:$AW$77,39,FALSE)="","",VLOOKUP(Sat_W2[[#This Row],[Employee Name]],'Base Schedules'!$A$46:$AW$77,39,FALSE)),"")</f>
        <v/>
      </c>
      <c r="AO21" s="184" t="str">
        <f>IFERROR(IF(VLOOKUP(Sat_W2[[#This Row],[Employee Name]],'Base Schedules'!$A$46:$AW$77,40,FALSE)="","",VLOOKUP(Sat_W2[[#This Row],[Employee Name]],'Base Schedules'!$A$46:$AW$77,40,FALSE)),"")</f>
        <v/>
      </c>
      <c r="AP21" s="184" t="str">
        <f>IFERROR(IF(VLOOKUP(Sat_W2[[#This Row],[Employee Name]],'Base Schedules'!$A$46:$AW$77,41,FALSE)="","",VLOOKUP(Sat_W2[[#This Row],[Employee Name]],'Base Schedules'!$A$46:$AW$77,41,FALSE)),"")</f>
        <v/>
      </c>
      <c r="AQ21" s="184" t="str">
        <f>IFERROR(IF(VLOOKUP(Sat_W2[[#This Row],[Employee Name]],'Base Schedules'!$A$46:$AW$77,42,FALSE)="","",VLOOKUP(Sat_W2[[#This Row],[Employee Name]],'Base Schedules'!$A$46:$AW$77,42,FALSE)),"")</f>
        <v/>
      </c>
      <c r="AR21" s="184" t="str">
        <f>IFERROR(IF(VLOOKUP(Sat_W2[[#This Row],[Employee Name]],'Base Schedules'!$A$46:$AW$77,43,FALSE)="","",VLOOKUP(Sat_W2[[#This Row],[Employee Name]],'Base Schedules'!$A$46:$AW$77,43,FALSE)),"")</f>
        <v/>
      </c>
      <c r="AS21" s="184" t="str">
        <f>IFERROR(IF(VLOOKUP(Sat_W2[[#This Row],[Employee Name]],'Base Schedules'!$A$46:$AW$77,44,FALSE)="","",VLOOKUP(Sat_W2[[#This Row],[Employee Name]],'Base Schedules'!$A$46:$AW$77,44,FALSE)),"")</f>
        <v/>
      </c>
      <c r="AT21" s="184" t="str">
        <f>IFERROR(IF(VLOOKUP(Sat_W2[[#This Row],[Employee Name]],'Base Schedules'!$A$46:$AW$77,45,FALSE)="","",VLOOKUP(Sat_W2[[#This Row],[Employee Name]],'Base Schedules'!$A$46:$AW$77,45,FALSE)),"")</f>
        <v/>
      </c>
      <c r="AU21" s="184" t="str">
        <f>IFERROR(IF(VLOOKUP(Sat_W2[[#This Row],[Employee Name]],'Base Schedules'!$A$46:$AW$77,46,FALSE)="","",VLOOKUP(Sat_W2[[#This Row],[Employee Name]],'Base Schedules'!$A$46:$AW$77,46,FALSE)),"")</f>
        <v/>
      </c>
      <c r="AV21" s="184" t="str">
        <f>IFERROR(IF(VLOOKUP(Sat_W2[[#This Row],[Employee Name]],'Base Schedules'!$A$46:$AW$77,47,FALSE)="","",VLOOKUP(Sat_W2[[#This Row],[Employee Name]],'Base Schedules'!$A$46:$AW$77,47,FALSE)),"")</f>
        <v/>
      </c>
      <c r="AW21" s="184" t="str">
        <f>IFERROR(IF(VLOOKUP(Sat_W2[[#This Row],[Employee Name]],'Base Schedules'!$A$46:$AW$77,48,FALSE)="","",VLOOKUP(Sat_W2[[#This Row],[Employee Name]],'Base Schedules'!$A$46:$AW$77,48,FALSE)),"")</f>
        <v/>
      </c>
      <c r="AX21" s="184" t="str">
        <f>IFERROR(IF(VLOOKUP(Sat_W2[[#This Row],[Employee Name]],'Base Schedules'!$A$46:$AW$77,49,FALSE)="","",VLOOKUP(Sat_W2[[#This Row],[Employee Name]],'Base Schedules'!$A$46:$AW$77,49,FALSE)),"")</f>
        <v/>
      </c>
      <c r="AY21" s="159" t="str">
        <f t="shared" si="2"/>
        <v>Fiskvik, Christopher</v>
      </c>
    </row>
    <row r="22" spans="1:51" s="44" customFormat="1" ht="12" customHeight="1" x14ac:dyDescent="0.2">
      <c r="A22" s="39" t="str">
        <f>IF(B22="","",INDEX(TeamList[],MATCH($B22,TeamList[[Employee Name]:[Employee Name]],0),MATCH("Manager",TeamList[#Headers],0)))</f>
        <v>Olson, Katherine</v>
      </c>
      <c r="B22" s="201" t="s">
        <v>69</v>
      </c>
      <c r="C22" s="257" t="str">
        <f>_xlfn.IFNA(VLOOKUP(Sat_W2[[#This Row],[Employee Name]],'Base Schedules'!A:B,2,FALSE),"")</f>
        <v>Lead</v>
      </c>
      <c r="D22" s="274">
        <f>_xlfn.IFNA(VLOOKUP(Sat_W2[[#This Row],[Employee Name]],'Base Schedules'!A:C,3,FALSE),"")</f>
        <v>1000</v>
      </c>
      <c r="E22" s="274">
        <f>_xlfn.IFNA(VLOOKUP(Sat_W2[[#This Row],[Employee Name]],'Base Schedules'!A:D,4,FALSE),"")</f>
        <v>1900</v>
      </c>
      <c r="F22" s="142">
        <f>IF(Sat_W2[[#This Row],[Employee Name]]="","",IF(Sat_W2[[#This Row],[Dept]]="Supervisor",COUNTIFS($J22:$AX22,"*HL*",$J22:$AX22,"&lt;&gt;"&amp;"pHL"),COUNTIFS($J22:$AX22,"*HL*",$J22:$AX22,"&lt;&gt;"&amp;"*pHL*",$J22:$AX22,"&lt;&gt;"&amp;"pB1 HL",$J22:$AX22,"&lt;&gt;"&amp;"pB2 HL")-SUM(COUNTIFS($J22:$AX22,"*HL B1*",$J22:$AX22,"&lt;&gt;"&amp;"pHL B1")*0.5,COUNTIFS($J22:$AX22,"*HL B2*",$J22:$AX22,"&lt;&gt;"&amp;"pHL B2")*0.5,COUNTIFS($J22:$AX22,"*B1 HL*",$J22:$AX22,"&lt;&gt;"&amp;"pB1 HL")*0.5,COUNTIFS($J22:$AX22,"*B2 HL*",$J22:$AX22,"&lt;&gt;"&amp;"pB2 HL")*0.5)))</f>
        <v>5.5</v>
      </c>
      <c r="G22" s="142">
        <f t="shared" si="0"/>
        <v>0</v>
      </c>
      <c r="H22" s="142">
        <f t="shared" si="1"/>
        <v>6</v>
      </c>
      <c r="I22" s="142">
        <f>IF(Sat_W2[[#This Row],[Employee Name]]="","",IF(Sat_W2[[#This Row],[Dept]]="Supervisor",SUM(COUNTIFS($J22:$AX22,"RTA*",$J22:$AX22,"&lt;&gt;"&amp;"pRTA"),COUNTIFS($J22:$AX22,"*CRTA*",$J22:$AX22,"&lt;&gt;"&amp;"pCRTA")),COUNTIFS($J22:$AX22,"*RNNR*",$J22:$AX22,"&lt;&gt;"&amp;"*pRNNR*",$J22:$AX22,"&lt;&gt;"&amp;"pB1 RNNR",$J22:$AX22,"&lt;&gt;"&amp;"pB2 RNNR")-SUM(COUNTIFS($J22:$AX22,"*RNNR B1*",$J22:$AX22,"&lt;&gt;"&amp;"pRNNR B1")*0.5,COUNTIFS($J22:$AX22,"*RNNR B2*",$J22:$AX22,"&lt;&gt;"&amp;"pRNNR B2")*0.5,COUNTIFS($J22:$AX22,"*B1 RNNR*",$J22:$AX22,"&lt;&gt;"&amp;"pB1 RNNR")*0.5,COUNTIFS($J22:$AX22,"*B2 RNNR*",$J22:$AX22,"&lt;&gt;"&amp;"pB2 RNNR")*0.5)))</f>
        <v>2</v>
      </c>
      <c r="J22" s="184" t="str">
        <f>IFERROR(IF(VLOOKUP(Sat_W2[[#This Row],[Employee Name]],'Base Schedules'!$A$46:$AW$77,9,FALSE)="","",VLOOKUP(Sat_W2[[#This Row],[Employee Name]],'Base Schedules'!$A$46:$AW$77,9,FALSE)),"")</f>
        <v/>
      </c>
      <c r="K22" s="184" t="str">
        <f>IFERROR(IF(VLOOKUP(Sat_W2[[#This Row],[Employee Name]],'Base Schedules'!$A$46:$AW$77,10,FALSE)="","",VLOOKUP(Sat_W2[[#This Row],[Employee Name]],'Base Schedules'!$A$46:$AW$77,10,FALSE)),"")</f>
        <v/>
      </c>
      <c r="L22" s="184" t="str">
        <f>IFERROR(IF(VLOOKUP(Sat_W2[[#This Row],[Employee Name]],'Base Schedules'!$A$46:$AW$77,11,FALSE)="","",VLOOKUP(Sat_W2[[#This Row],[Employee Name]],'Base Schedules'!$A$46:$AW$77,11,FALSE)),"")</f>
        <v/>
      </c>
      <c r="M22" s="184" t="str">
        <f>IFERROR(IF(VLOOKUP(Sat_W2[[#This Row],[Employee Name]],'Base Schedules'!$A$46:$AW$77,12,FALSE)="","",VLOOKUP(Sat_W2[[#This Row],[Employee Name]],'Base Schedules'!$A$46:$AW$77,12,FALSE)),"")</f>
        <v/>
      </c>
      <c r="N22" s="184" t="str">
        <f>IFERROR(IF(VLOOKUP(Sat_W2[[#This Row],[Employee Name]],'Base Schedules'!$A$46:$AW$77,13,FALSE)="","",VLOOKUP(Sat_W2[[#This Row],[Employee Name]],'Base Schedules'!$A$46:$AW$77,13,FALSE)),"")</f>
        <v/>
      </c>
      <c r="O22" s="184" t="str">
        <f>IFERROR(IF(VLOOKUP(Sat_W2[[#This Row],[Employee Name]],'Base Schedules'!$A$46:$AW$77,14,FALSE)="","",VLOOKUP(Sat_W2[[#This Row],[Employee Name]],'Base Schedules'!$A$46:$AW$77,14,FALSE)),"")</f>
        <v/>
      </c>
      <c r="P22" s="184" t="str">
        <f>IFERROR(IF(VLOOKUP(Sat_W2[[#This Row],[Employee Name]],'Base Schedules'!$A$46:$AW$77,15,FALSE)="","",VLOOKUP(Sat_W2[[#This Row],[Employee Name]],'Base Schedules'!$A$46:$AW$77,15,FALSE)),"")</f>
        <v/>
      </c>
      <c r="Q22" s="184" t="str">
        <f>IFERROR(IF(VLOOKUP(Sat_W2[[#This Row],[Employee Name]],'Base Schedules'!$A$46:$AW$77,16,FALSE)="","",VLOOKUP(Sat_W2[[#This Row],[Employee Name]],'Base Schedules'!$A$46:$AW$77,16,FALSE)),"")</f>
        <v/>
      </c>
      <c r="R22" s="184" t="str">
        <f>IFERROR(IF(VLOOKUP(Sat_W2[[#This Row],[Employee Name]],'Base Schedules'!$A$46:$AW$77,17,FALSE)="","",VLOOKUP(Sat_W2[[#This Row],[Employee Name]],'Base Schedules'!$A$46:$AW$77,17,FALSE)),"")</f>
        <v/>
      </c>
      <c r="S22" s="184" t="str">
        <f>IFERROR(IF(VLOOKUP(Sat_W2[[#This Row],[Employee Name]],'Base Schedules'!$A$46:$AW$77,18,FALSE)="","",VLOOKUP(Sat_W2[[#This Row],[Employee Name]],'Base Schedules'!$A$46:$AW$77,18,FALSE)),"")</f>
        <v/>
      </c>
      <c r="T22" s="184" t="str">
        <f>IFERROR(IF(VLOOKUP(Sat_W2[[#This Row],[Employee Name]],'Base Schedules'!$A$46:$AW$77,19,FALSE)="","",VLOOKUP(Sat_W2[[#This Row],[Employee Name]],'Base Schedules'!$A$46:$AW$77,19,FALSE)),"")</f>
        <v>ADM</v>
      </c>
      <c r="U22" s="184" t="str">
        <f>IFERROR(IF(VLOOKUP(Sat_W2[[#This Row],[Employee Name]],'Base Schedules'!$A$46:$AW$77,20,FALSE)="","",VLOOKUP(Sat_W2[[#This Row],[Employee Name]],'Base Schedules'!$A$46:$AW$77,20,FALSE)),"")</f>
        <v>ADM</v>
      </c>
      <c r="V22" s="184" t="str">
        <f>IFERROR(IF(VLOOKUP(Sat_W2[[#This Row],[Employee Name]],'Base Schedules'!$A$46:$AW$77,21,FALSE)="","",VLOOKUP(Sat_W2[[#This Row],[Employee Name]],'Base Schedules'!$A$46:$AW$77,21,FALSE)),"")</f>
        <v>RNNR</v>
      </c>
      <c r="W22" s="184" t="str">
        <f>IFERROR(IF(VLOOKUP(Sat_W2[[#This Row],[Employee Name]],'Base Schedules'!$A$46:$AW$77,22,FALSE)="","",VLOOKUP(Sat_W2[[#This Row],[Employee Name]],'Base Schedules'!$A$46:$AW$77,22,FALSE)),"")</f>
        <v>RNNR</v>
      </c>
      <c r="X22" s="184" t="str">
        <f>IFERROR(IF(VLOOKUP(Sat_W2[[#This Row],[Employee Name]],'Base Schedules'!$A$46:$AW$77,23,FALSE)="","",VLOOKUP(Sat_W2[[#This Row],[Employee Name]],'Base Schedules'!$A$46:$AW$77,23,FALSE)),"")</f>
        <v>HL B1</v>
      </c>
      <c r="Y22" s="184" t="str">
        <f>IFERROR(IF(VLOOKUP(Sat_W2[[#This Row],[Employee Name]],'Base Schedules'!$A$46:$AW$77,24,FALSE)="","",VLOOKUP(Sat_W2[[#This Row],[Employee Name]],'Base Schedules'!$A$46:$AW$77,24,FALSE)),"")</f>
        <v>ADM</v>
      </c>
      <c r="Z22" s="184" t="str">
        <f>IFERROR(IF(VLOOKUP(Sat_W2[[#This Row],[Employee Name]],'Base Schedules'!$A$46:$AW$77,25,FALSE)="","",VLOOKUP(Sat_W2[[#This Row],[Employee Name]],'Base Schedules'!$A$46:$AW$77,25,FALSE)),"")</f>
        <v>HL</v>
      </c>
      <c r="AA22" s="184" t="str">
        <f>IFERROR(IF(VLOOKUP(Sat_W2[[#This Row],[Employee Name]],'Base Schedules'!$A$46:$AW$77,26,FALSE)="","",VLOOKUP(Sat_W2[[#This Row],[Employee Name]],'Base Schedules'!$A$46:$AW$77,26,FALSE)),"")</f>
        <v>PROJECT</v>
      </c>
      <c r="AB22" s="184" t="str">
        <f>IFERROR(IF(VLOOKUP(Sat_W2[[#This Row],[Employee Name]],'Base Schedules'!$A$46:$AW$77,27,FALSE)="","",VLOOKUP(Sat_W2[[#This Row],[Employee Name]],'Base Schedules'!$A$46:$AW$77,27,FALSE)),"")</f>
        <v>PROJECT</v>
      </c>
      <c r="AC22" s="184" t="str">
        <f>IFERROR(IF(VLOOKUP(Sat_W2[[#This Row],[Employee Name]],'Base Schedules'!$A$46:$AW$77,28,FALSE)="","",VLOOKUP(Sat_W2[[#This Row],[Employee Name]],'Base Schedules'!$A$46:$AW$77,28,FALSE)),"")</f>
        <v>LUNCH</v>
      </c>
      <c r="AD22" s="184" t="str">
        <f>IFERROR(IF(VLOOKUP(Sat_W2[[#This Row],[Employee Name]],'Base Schedules'!$A$46:$AW$77,29,FALSE)="","",VLOOKUP(Sat_W2[[#This Row],[Employee Name]],'Base Schedules'!$A$46:$AW$77,29,FALSE)),"")</f>
        <v>LUNCH</v>
      </c>
      <c r="AE22" s="184" t="str">
        <f>IFERROR(IF(VLOOKUP(Sat_W2[[#This Row],[Employee Name]],'Base Schedules'!$A$46:$AW$77,30,FALSE)="","",VLOOKUP(Sat_W2[[#This Row],[Employee Name]],'Base Schedules'!$A$46:$AW$77,30,FALSE)),"")</f>
        <v>HL</v>
      </c>
      <c r="AF22" s="184" t="str">
        <f>IFERROR(IF(VLOOKUP(Sat_W2[[#This Row],[Employee Name]],'Base Schedules'!$A$46:$AW$77,31,FALSE)="","",VLOOKUP(Sat_W2[[#This Row],[Employee Name]],'Base Schedules'!$A$46:$AW$77,31,FALSE)),"")</f>
        <v>HL</v>
      </c>
      <c r="AG22" s="184" t="str">
        <f>IFERROR(IF(VLOOKUP(Sat_W2[[#This Row],[Employee Name]],'Base Schedules'!$A$46:$AW$77,32,FALSE)="","",VLOOKUP(Sat_W2[[#This Row],[Employee Name]],'Base Schedules'!$A$46:$AW$77,32,FALSE)),"")</f>
        <v>HL</v>
      </c>
      <c r="AH22" s="184" t="str">
        <f>IFERROR(IF(VLOOKUP(Sat_W2[[#This Row],[Employee Name]],'Base Schedules'!$A$46:$AW$77,33,FALSE)="","",VLOOKUP(Sat_W2[[#This Row],[Employee Name]],'Base Schedules'!$A$46:$AW$77,33,FALSE)),"")</f>
        <v>B2 ADM</v>
      </c>
      <c r="AI22" s="184" t="str">
        <f>IFERROR(IF(VLOOKUP(Sat_W2[[#This Row],[Employee Name]],'Base Schedules'!$A$46:$AW$77,34,FALSE)="","",VLOOKUP(Sat_W2[[#This Row],[Employee Name]],'Base Schedules'!$A$46:$AW$77,34,FALSE)),"")</f>
        <v>ADM</v>
      </c>
      <c r="AJ22" s="184" t="str">
        <f>IFERROR(IF(VLOOKUP(Sat_W2[[#This Row],[Employee Name]],'Base Schedules'!$A$46:$AW$77,35,FALSE)="","",VLOOKUP(Sat_W2[[#This Row],[Employee Name]],'Base Schedules'!$A$46:$AW$77,35,FALSE)),"")</f>
        <v>HL</v>
      </c>
      <c r="AK22" s="184" t="str">
        <f>IFERROR(IF(VLOOKUP(Sat_W2[[#This Row],[Employee Name]],'Base Schedules'!$A$46:$AW$77,36,FALSE)="","",VLOOKUP(Sat_W2[[#This Row],[Employee Name]],'Base Schedules'!$A$46:$AW$77,36,FALSE)),"")</f>
        <v>ADM</v>
      </c>
      <c r="AL22" s="184" t="str">
        <f>IFERROR(IF(VLOOKUP(Sat_W2[[#This Row],[Employee Name]],'Base Schedules'!$A$46:$AW$77,37,FALSE)="","",VLOOKUP(Sat_W2[[#This Row],[Employee Name]],'Base Schedules'!$A$46:$AW$77,37,FALSE)),"")</f>
        <v/>
      </c>
      <c r="AM22" s="184" t="str">
        <f>IFERROR(IF(VLOOKUP(Sat_W2[[#This Row],[Employee Name]],'Base Schedules'!$A$46:$AW$77,38,FALSE)="","",VLOOKUP(Sat_W2[[#This Row],[Employee Name]],'Base Schedules'!$A$46:$AW$77,38,FALSE)),"")</f>
        <v/>
      </c>
      <c r="AN22" s="184" t="str">
        <f>IFERROR(IF(VLOOKUP(Sat_W2[[#This Row],[Employee Name]],'Base Schedules'!$A$46:$AW$77,39,FALSE)="","",VLOOKUP(Sat_W2[[#This Row],[Employee Name]],'Base Schedules'!$A$46:$AW$77,39,FALSE)),"")</f>
        <v/>
      </c>
      <c r="AO22" s="184" t="str">
        <f>IFERROR(IF(VLOOKUP(Sat_W2[[#This Row],[Employee Name]],'Base Schedules'!$A$46:$AW$77,40,FALSE)="","",VLOOKUP(Sat_W2[[#This Row],[Employee Name]],'Base Schedules'!$A$46:$AW$77,40,FALSE)),"")</f>
        <v/>
      </c>
      <c r="AP22" s="184" t="str">
        <f>IFERROR(IF(VLOOKUP(Sat_W2[[#This Row],[Employee Name]],'Base Schedules'!$A$46:$AW$77,41,FALSE)="","",VLOOKUP(Sat_W2[[#This Row],[Employee Name]],'Base Schedules'!$A$46:$AW$77,41,FALSE)),"")</f>
        <v/>
      </c>
      <c r="AQ22" s="184" t="str">
        <f>IFERROR(IF(VLOOKUP(Sat_W2[[#This Row],[Employee Name]],'Base Schedules'!$A$46:$AW$77,42,FALSE)="","",VLOOKUP(Sat_W2[[#This Row],[Employee Name]],'Base Schedules'!$A$46:$AW$77,42,FALSE)),"")</f>
        <v/>
      </c>
      <c r="AR22" s="184" t="str">
        <f>IFERROR(IF(VLOOKUP(Sat_W2[[#This Row],[Employee Name]],'Base Schedules'!$A$46:$AW$77,43,FALSE)="","",VLOOKUP(Sat_W2[[#This Row],[Employee Name]],'Base Schedules'!$A$46:$AW$77,43,FALSE)),"")</f>
        <v/>
      </c>
      <c r="AS22" s="184" t="str">
        <f>IFERROR(IF(VLOOKUP(Sat_W2[[#This Row],[Employee Name]],'Base Schedules'!$A$46:$AW$77,44,FALSE)="","",VLOOKUP(Sat_W2[[#This Row],[Employee Name]],'Base Schedules'!$A$46:$AW$77,44,FALSE)),"")</f>
        <v/>
      </c>
      <c r="AT22" s="184" t="str">
        <f>IFERROR(IF(VLOOKUP(Sat_W2[[#This Row],[Employee Name]],'Base Schedules'!$A$46:$AW$77,45,FALSE)="","",VLOOKUP(Sat_W2[[#This Row],[Employee Name]],'Base Schedules'!$A$46:$AW$77,45,FALSE)),"")</f>
        <v/>
      </c>
      <c r="AU22" s="184" t="str">
        <f>IFERROR(IF(VLOOKUP(Sat_W2[[#This Row],[Employee Name]],'Base Schedules'!$A$46:$AW$77,46,FALSE)="","",VLOOKUP(Sat_W2[[#This Row],[Employee Name]],'Base Schedules'!$A$46:$AW$77,46,FALSE)),"")</f>
        <v/>
      </c>
      <c r="AV22" s="184" t="str">
        <f>IFERROR(IF(VLOOKUP(Sat_W2[[#This Row],[Employee Name]],'Base Schedules'!$A$46:$AW$77,47,FALSE)="","",VLOOKUP(Sat_W2[[#This Row],[Employee Name]],'Base Schedules'!$A$46:$AW$77,47,FALSE)),"")</f>
        <v/>
      </c>
      <c r="AW22" s="184" t="str">
        <f>IFERROR(IF(VLOOKUP(Sat_W2[[#This Row],[Employee Name]],'Base Schedules'!$A$46:$AW$77,48,FALSE)="","",VLOOKUP(Sat_W2[[#This Row],[Employee Name]],'Base Schedules'!$A$46:$AW$77,48,FALSE)),"")</f>
        <v/>
      </c>
      <c r="AX22" s="184" t="str">
        <f>IFERROR(IF(VLOOKUP(Sat_W2[[#This Row],[Employee Name]],'Base Schedules'!$A$46:$AW$77,49,FALSE)="","",VLOOKUP(Sat_W2[[#This Row],[Employee Name]],'Base Schedules'!$A$46:$AW$77,49,FALSE)),"")</f>
        <v/>
      </c>
      <c r="AY22" s="159" t="str">
        <f t="shared" si="2"/>
        <v>Slagle, Natasha</v>
      </c>
    </row>
    <row r="23" spans="1:51" s="44" customFormat="1" ht="12" customHeight="1" x14ac:dyDescent="0.2">
      <c r="A23" s="39" t="str">
        <f>IF(B23="","",INDEX(TeamList[],MATCH($B23,TeamList[[Employee Name]:[Employee Name]],0),MATCH("Manager",TeamList[#Headers],0)))</f>
        <v>Olson, Katherine</v>
      </c>
      <c r="B23" s="201" t="s">
        <v>236</v>
      </c>
      <c r="C23" s="257" t="str">
        <f>_xlfn.IFNA(VLOOKUP(Sat_W2[[#This Row],[Employee Name]],'Base Schedules'!A:B,2,FALSE),"")</f>
        <v>Lead</v>
      </c>
      <c r="D23" s="274">
        <f>_xlfn.IFNA(VLOOKUP(Sat_W2[[#This Row],[Employee Name]],'Base Schedules'!A:C,3,FALSE),"")</f>
        <v>1130</v>
      </c>
      <c r="E23" s="274">
        <f>_xlfn.IFNA(VLOOKUP(Sat_W2[[#This Row],[Employee Name]],'Base Schedules'!A:D,4,FALSE),"")</f>
        <v>2000</v>
      </c>
      <c r="F23" s="142">
        <f>IF(Sat_W2[[#This Row],[Employee Name]]="","",IF(Sat_W2[[#This Row],[Dept]]="Supervisor",COUNTIFS($J23:$AX23,"*HL*",$J23:$AX23,"&lt;&gt;"&amp;"pHL"),COUNTIFS($J23:$AX23,"*HL*",$J23:$AX23,"&lt;&gt;"&amp;"*pHL*",$J23:$AX23,"&lt;&gt;"&amp;"pB1 HL",$J23:$AX23,"&lt;&gt;"&amp;"pB2 HL")-SUM(COUNTIFS($J23:$AX23,"*HL B1*",$J23:$AX23,"&lt;&gt;"&amp;"pHL B1")*0.5,COUNTIFS($J23:$AX23,"*HL B2*",$J23:$AX23,"&lt;&gt;"&amp;"pHL B2")*0.5,COUNTIFS($J23:$AX23,"*B1 HL*",$J23:$AX23,"&lt;&gt;"&amp;"pB1 HL")*0.5,COUNTIFS($J23:$AX23,"*B2 HL*",$J23:$AX23,"&lt;&gt;"&amp;"pB2 HL")*0.5)))</f>
        <v>5.5</v>
      </c>
      <c r="G23" s="142">
        <f t="shared" si="0"/>
        <v>0</v>
      </c>
      <c r="H23" s="142">
        <f t="shared" si="1"/>
        <v>6</v>
      </c>
      <c r="I23" s="142">
        <f>IF(Sat_W2[[#This Row],[Employee Name]]="","",IF(Sat_W2[[#This Row],[Dept]]="Supervisor",SUM(COUNTIFS($J23:$AX23,"RTA*",$J23:$AX23,"&lt;&gt;"&amp;"pRTA"),COUNTIFS($J23:$AX23,"*CRTA*",$J23:$AX23,"&lt;&gt;"&amp;"pCRTA")),COUNTIFS($J23:$AX23,"*RNNR*",$J23:$AX23,"&lt;&gt;"&amp;"*pRNNR*",$J23:$AX23,"&lt;&gt;"&amp;"pB1 RNNR",$J23:$AX23,"&lt;&gt;"&amp;"pB2 RNNR")-SUM(COUNTIFS($J23:$AX23,"*RNNR B1*",$J23:$AX23,"&lt;&gt;"&amp;"pRNNR B1")*0.5,COUNTIFS($J23:$AX23,"*RNNR B2*",$J23:$AX23,"&lt;&gt;"&amp;"pRNNR B2")*0.5,COUNTIFS($J23:$AX23,"*B1 RNNR*",$J23:$AX23,"&lt;&gt;"&amp;"pB1 RNNR")*0.5,COUNTIFS($J23:$AX23,"*B2 RNNR*",$J23:$AX23,"&lt;&gt;"&amp;"pB2 RNNR")*0.5)))</f>
        <v>2</v>
      </c>
      <c r="J23" s="184" t="str">
        <f>IFERROR(IF(VLOOKUP(Sat_W2[[#This Row],[Employee Name]],'Base Schedules'!$A$46:$AW$77,9,FALSE)="","",VLOOKUP(Sat_W2[[#This Row],[Employee Name]],'Base Schedules'!$A$46:$AW$77,9,FALSE)),"")</f>
        <v/>
      </c>
      <c r="K23" s="184" t="str">
        <f>IFERROR(IF(VLOOKUP(Sat_W2[[#This Row],[Employee Name]],'Base Schedules'!$A$46:$AW$77,10,FALSE)="","",VLOOKUP(Sat_W2[[#This Row],[Employee Name]],'Base Schedules'!$A$46:$AW$77,10,FALSE)),"")</f>
        <v/>
      </c>
      <c r="L23" s="184" t="str">
        <f>IFERROR(IF(VLOOKUP(Sat_W2[[#This Row],[Employee Name]],'Base Schedules'!$A$46:$AW$77,11,FALSE)="","",VLOOKUP(Sat_W2[[#This Row],[Employee Name]],'Base Schedules'!$A$46:$AW$77,11,FALSE)),"")</f>
        <v/>
      </c>
      <c r="M23" s="184" t="str">
        <f>IFERROR(IF(VLOOKUP(Sat_W2[[#This Row],[Employee Name]],'Base Schedules'!$A$46:$AW$77,12,FALSE)="","",VLOOKUP(Sat_W2[[#This Row],[Employee Name]],'Base Schedules'!$A$46:$AW$77,12,FALSE)),"")</f>
        <v/>
      </c>
      <c r="N23" s="184" t="str">
        <f>IFERROR(IF(VLOOKUP(Sat_W2[[#This Row],[Employee Name]],'Base Schedules'!$A$46:$AW$77,13,FALSE)="","",VLOOKUP(Sat_W2[[#This Row],[Employee Name]],'Base Schedules'!$A$46:$AW$77,13,FALSE)),"")</f>
        <v/>
      </c>
      <c r="O23" s="184" t="str">
        <f>IFERROR(IF(VLOOKUP(Sat_W2[[#This Row],[Employee Name]],'Base Schedules'!$A$46:$AW$77,14,FALSE)="","",VLOOKUP(Sat_W2[[#This Row],[Employee Name]],'Base Schedules'!$A$46:$AW$77,14,FALSE)),"")</f>
        <v/>
      </c>
      <c r="P23" s="184" t="str">
        <f>IFERROR(IF(VLOOKUP(Sat_W2[[#This Row],[Employee Name]],'Base Schedules'!$A$46:$AW$77,15,FALSE)="","",VLOOKUP(Sat_W2[[#This Row],[Employee Name]],'Base Schedules'!$A$46:$AW$77,15,FALSE)),"")</f>
        <v/>
      </c>
      <c r="Q23" s="184" t="str">
        <f>IFERROR(IF(VLOOKUP(Sat_W2[[#This Row],[Employee Name]],'Base Schedules'!$A$46:$AW$77,16,FALSE)="","",VLOOKUP(Sat_W2[[#This Row],[Employee Name]],'Base Schedules'!$A$46:$AW$77,16,FALSE)),"")</f>
        <v/>
      </c>
      <c r="R23" s="184" t="str">
        <f>IFERROR(IF(VLOOKUP(Sat_W2[[#This Row],[Employee Name]],'Base Schedules'!$A$46:$AW$77,17,FALSE)="","",VLOOKUP(Sat_W2[[#This Row],[Employee Name]],'Base Schedules'!$A$46:$AW$77,17,FALSE)),"")</f>
        <v/>
      </c>
      <c r="S23" s="184" t="str">
        <f>IFERROR(IF(VLOOKUP(Sat_W2[[#This Row],[Employee Name]],'Base Schedules'!$A$46:$AW$77,18,FALSE)="","",VLOOKUP(Sat_W2[[#This Row],[Employee Name]],'Base Schedules'!$A$46:$AW$77,18,FALSE)),"")</f>
        <v/>
      </c>
      <c r="T23" s="184" t="str">
        <f>IFERROR(IF(VLOOKUP(Sat_W2[[#This Row],[Employee Name]],'Base Schedules'!$A$46:$AW$77,19,FALSE)="","",VLOOKUP(Sat_W2[[#This Row],[Employee Name]],'Base Schedules'!$A$46:$AW$77,19,FALSE)),"")</f>
        <v/>
      </c>
      <c r="U23" s="184" t="str">
        <f>IFERROR(IF(VLOOKUP(Sat_W2[[#This Row],[Employee Name]],'Base Schedules'!$A$46:$AW$77,20,FALSE)="","",VLOOKUP(Sat_W2[[#This Row],[Employee Name]],'Base Schedules'!$A$46:$AW$77,20,FALSE)),"")</f>
        <v/>
      </c>
      <c r="V23" s="184" t="str">
        <f>IFERROR(IF(VLOOKUP(Sat_W2[[#This Row],[Employee Name]],'Base Schedules'!$A$46:$AW$77,21,FALSE)="","",VLOOKUP(Sat_W2[[#This Row],[Employee Name]],'Base Schedules'!$A$46:$AW$77,21,FALSE)),"")</f>
        <v/>
      </c>
      <c r="W23" s="184" t="str">
        <f>IFERROR(IF(VLOOKUP(Sat_W2[[#This Row],[Employee Name]],'Base Schedules'!$A$46:$AW$77,22,FALSE)="","",VLOOKUP(Sat_W2[[#This Row],[Employee Name]],'Base Schedules'!$A$46:$AW$77,22,FALSE)),"")</f>
        <v>ADM</v>
      </c>
      <c r="X23" s="184" t="str">
        <f>IFERROR(IF(VLOOKUP(Sat_W2[[#This Row],[Employee Name]],'Base Schedules'!$A$46:$AW$77,23,FALSE)="","",VLOOKUP(Sat_W2[[#This Row],[Employee Name]],'Base Schedules'!$A$46:$AW$77,23,FALSE)),"")</f>
        <v>PROJECT</v>
      </c>
      <c r="Y23" s="184" t="str">
        <f>IFERROR(IF(VLOOKUP(Sat_W2[[#This Row],[Employee Name]],'Base Schedules'!$A$46:$AW$77,24,FALSE)="","",VLOOKUP(Sat_W2[[#This Row],[Employee Name]],'Base Schedules'!$A$46:$AW$77,24,FALSE)),"")</f>
        <v>PROJECT</v>
      </c>
      <c r="Z23" s="184" t="str">
        <f>IFERROR(IF(VLOOKUP(Sat_W2[[#This Row],[Employee Name]],'Base Schedules'!$A$46:$AW$77,25,FALSE)="","",VLOOKUP(Sat_W2[[#This Row],[Employee Name]],'Base Schedules'!$A$46:$AW$77,25,FALSE)),"")</f>
        <v>HL B1</v>
      </c>
      <c r="AA23" s="184" t="str">
        <f>IFERROR(IF(VLOOKUP(Sat_W2[[#This Row],[Employee Name]],'Base Schedules'!$A$46:$AW$77,26,FALSE)="","",VLOOKUP(Sat_W2[[#This Row],[Employee Name]],'Base Schedules'!$A$46:$AW$77,26,FALSE)),"")</f>
        <v>ADM</v>
      </c>
      <c r="AB23" s="184" t="str">
        <f>IFERROR(IF(VLOOKUP(Sat_W2[[#This Row],[Employee Name]],'Base Schedules'!$A$46:$AW$77,27,FALSE)="","",VLOOKUP(Sat_W2[[#This Row],[Employee Name]],'Base Schedules'!$A$46:$AW$77,27,FALSE)),"")</f>
        <v>RNNR</v>
      </c>
      <c r="AC23" s="184" t="str">
        <f>IFERROR(IF(VLOOKUP(Sat_W2[[#This Row],[Employee Name]],'Base Schedules'!$A$46:$AW$77,28,FALSE)="","",VLOOKUP(Sat_W2[[#This Row],[Employee Name]],'Base Schedules'!$A$46:$AW$77,28,FALSE)),"")</f>
        <v>RNNR</v>
      </c>
      <c r="AD23" s="184" t="str">
        <f>IFERROR(IF(VLOOKUP(Sat_W2[[#This Row],[Employee Name]],'Base Schedules'!$A$46:$AW$77,29,FALSE)="","",VLOOKUP(Sat_W2[[#This Row],[Employee Name]],'Base Schedules'!$A$46:$AW$77,29,FALSE)),"")</f>
        <v>ADM</v>
      </c>
      <c r="AE23" s="184" t="str">
        <f>IFERROR(IF(VLOOKUP(Sat_W2[[#This Row],[Employee Name]],'Base Schedules'!$A$46:$AW$77,30,FALSE)="","",VLOOKUP(Sat_W2[[#This Row],[Employee Name]],'Base Schedules'!$A$46:$AW$77,30,FALSE)),"")</f>
        <v>LUNCH</v>
      </c>
      <c r="AF23" s="184" t="str">
        <f>IFERROR(IF(VLOOKUP(Sat_W2[[#This Row],[Employee Name]],'Base Schedules'!$A$46:$AW$77,31,FALSE)="","",VLOOKUP(Sat_W2[[#This Row],[Employee Name]],'Base Schedules'!$A$46:$AW$77,31,FALSE)),"")</f>
        <v>HL</v>
      </c>
      <c r="AG23" s="184" t="str">
        <f>IFERROR(IF(VLOOKUP(Sat_W2[[#This Row],[Employee Name]],'Base Schedules'!$A$46:$AW$77,32,FALSE)="","",VLOOKUP(Sat_W2[[#This Row],[Employee Name]],'Base Schedules'!$A$46:$AW$77,32,FALSE)),"")</f>
        <v>HL</v>
      </c>
      <c r="AH23" s="184" t="str">
        <f>IFERROR(IF(VLOOKUP(Sat_W2[[#This Row],[Employee Name]],'Base Schedules'!$A$46:$AW$77,33,FALSE)="","",VLOOKUP(Sat_W2[[#This Row],[Employee Name]],'Base Schedules'!$A$46:$AW$77,33,FALSE)),"")</f>
        <v>HL</v>
      </c>
      <c r="AI23" s="184" t="str">
        <f>IFERROR(IF(VLOOKUP(Sat_W2[[#This Row],[Employee Name]],'Base Schedules'!$A$46:$AW$77,34,FALSE)="","",VLOOKUP(Sat_W2[[#This Row],[Employee Name]],'Base Schedules'!$A$46:$AW$77,34,FALSE)),"")</f>
        <v>HL</v>
      </c>
      <c r="AJ23" s="184" t="str">
        <f>IFERROR(IF(VLOOKUP(Sat_W2[[#This Row],[Employee Name]],'Base Schedules'!$A$46:$AW$77,35,FALSE)="","",VLOOKUP(Sat_W2[[#This Row],[Employee Name]],'Base Schedules'!$A$46:$AW$77,35,FALSE)),"")</f>
        <v>B2 ADM</v>
      </c>
      <c r="AK23" s="184" t="str">
        <f>IFERROR(IF(VLOOKUP(Sat_W2[[#This Row],[Employee Name]],'Base Schedules'!$A$46:$AW$77,36,FALSE)="","",VLOOKUP(Sat_W2[[#This Row],[Employee Name]],'Base Schedules'!$A$46:$AW$77,36,FALSE)),"")</f>
        <v>ADM</v>
      </c>
      <c r="AL23" s="184" t="str">
        <f>IFERROR(IF(VLOOKUP(Sat_W2[[#This Row],[Employee Name]],'Base Schedules'!$A$46:$AW$77,37,FALSE)="","",VLOOKUP(Sat_W2[[#This Row],[Employee Name]],'Base Schedules'!$A$46:$AW$77,37,FALSE)),"")</f>
        <v>ADM</v>
      </c>
      <c r="AM23" s="184" t="str">
        <f>IFERROR(IF(VLOOKUP(Sat_W2[[#This Row],[Employee Name]],'Base Schedules'!$A$46:$AW$77,38,FALSE)="","",VLOOKUP(Sat_W2[[#This Row],[Employee Name]],'Base Schedules'!$A$46:$AW$77,38,FALSE)),"")</f>
        <v>HL</v>
      </c>
      <c r="AN23" s="184" t="str">
        <f>IFERROR(IF(VLOOKUP(Sat_W2[[#This Row],[Employee Name]],'Base Schedules'!$A$46:$AW$77,39,FALSE)="","",VLOOKUP(Sat_W2[[#This Row],[Employee Name]],'Base Schedules'!$A$46:$AW$77,39,FALSE)),"")</f>
        <v/>
      </c>
      <c r="AO23" s="184" t="str">
        <f>IFERROR(IF(VLOOKUP(Sat_W2[[#This Row],[Employee Name]],'Base Schedules'!$A$46:$AW$77,40,FALSE)="","",VLOOKUP(Sat_W2[[#This Row],[Employee Name]],'Base Schedules'!$A$46:$AW$77,40,FALSE)),"")</f>
        <v/>
      </c>
      <c r="AP23" s="184" t="str">
        <f>IFERROR(IF(VLOOKUP(Sat_W2[[#This Row],[Employee Name]],'Base Schedules'!$A$46:$AW$77,41,FALSE)="","",VLOOKUP(Sat_W2[[#This Row],[Employee Name]],'Base Schedules'!$A$46:$AW$77,41,FALSE)),"")</f>
        <v/>
      </c>
      <c r="AQ23" s="184" t="str">
        <f>IFERROR(IF(VLOOKUP(Sat_W2[[#This Row],[Employee Name]],'Base Schedules'!$A$46:$AW$77,42,FALSE)="","",VLOOKUP(Sat_W2[[#This Row],[Employee Name]],'Base Schedules'!$A$46:$AW$77,42,FALSE)),"")</f>
        <v/>
      </c>
      <c r="AR23" s="184" t="str">
        <f>IFERROR(IF(VLOOKUP(Sat_W2[[#This Row],[Employee Name]],'Base Schedules'!$A$46:$AW$77,43,FALSE)="","",VLOOKUP(Sat_W2[[#This Row],[Employee Name]],'Base Schedules'!$A$46:$AW$77,43,FALSE)),"")</f>
        <v/>
      </c>
      <c r="AS23" s="184" t="str">
        <f>IFERROR(IF(VLOOKUP(Sat_W2[[#This Row],[Employee Name]],'Base Schedules'!$A$46:$AW$77,44,FALSE)="","",VLOOKUP(Sat_W2[[#This Row],[Employee Name]],'Base Schedules'!$A$46:$AW$77,44,FALSE)),"")</f>
        <v/>
      </c>
      <c r="AT23" s="184" t="str">
        <f>IFERROR(IF(VLOOKUP(Sat_W2[[#This Row],[Employee Name]],'Base Schedules'!$A$46:$AW$77,45,FALSE)="","",VLOOKUP(Sat_W2[[#This Row],[Employee Name]],'Base Schedules'!$A$46:$AW$77,45,FALSE)),"")</f>
        <v/>
      </c>
      <c r="AU23" s="184" t="str">
        <f>IFERROR(IF(VLOOKUP(Sat_W2[[#This Row],[Employee Name]],'Base Schedules'!$A$46:$AW$77,46,FALSE)="","",VLOOKUP(Sat_W2[[#This Row],[Employee Name]],'Base Schedules'!$A$46:$AW$77,46,FALSE)),"")</f>
        <v/>
      </c>
      <c r="AV23" s="184" t="str">
        <f>IFERROR(IF(VLOOKUP(Sat_W2[[#This Row],[Employee Name]],'Base Schedules'!$A$46:$AW$77,47,FALSE)="","",VLOOKUP(Sat_W2[[#This Row],[Employee Name]],'Base Schedules'!$A$46:$AW$77,47,FALSE)),"")</f>
        <v/>
      </c>
      <c r="AW23" s="184" t="str">
        <f>IFERROR(IF(VLOOKUP(Sat_W2[[#This Row],[Employee Name]],'Base Schedules'!$A$46:$AW$77,48,FALSE)="","",VLOOKUP(Sat_W2[[#This Row],[Employee Name]],'Base Schedules'!$A$46:$AW$77,48,FALSE)),"")</f>
        <v/>
      </c>
      <c r="AX23" s="184" t="str">
        <f>IFERROR(IF(VLOOKUP(Sat_W2[[#This Row],[Employee Name]],'Base Schedules'!$A$46:$AW$77,49,FALSE)="","",VLOOKUP(Sat_W2[[#This Row],[Employee Name]],'Base Schedules'!$A$46:$AW$77,49,FALSE)),"")</f>
        <v/>
      </c>
      <c r="AY23" s="160" t="str">
        <f t="shared" si="2"/>
        <v>Goss, Ian</v>
      </c>
    </row>
    <row r="24" spans="1:51" s="44" customFormat="1" ht="12" customHeight="1" x14ac:dyDescent="0.2">
      <c r="A24" s="39" t="e">
        <f>IF(B24="","",INDEX(TeamList[],MATCH($B24,TeamList[[Employee Name]:[Employee Name]],0),MATCH("Manager",TeamList[#Headers],0)))</f>
        <v>#N/A</v>
      </c>
      <c r="B24" s="202" t="s">
        <v>414</v>
      </c>
      <c r="C24" s="257" t="str">
        <f>_xlfn.IFNA(VLOOKUP(Sat_W2[[#This Row],[Employee Name]],'Base Schedules'!A:B,2,FALSE),"")</f>
        <v>Lead</v>
      </c>
      <c r="D24" s="274">
        <f>_xlfn.IFNA(VLOOKUP(Sat_W2[[#This Row],[Employee Name]],'Base Schedules'!A:C,3,FALSE),"")</f>
        <v>1130</v>
      </c>
      <c r="E24" s="274">
        <f>_xlfn.IFNA(VLOOKUP(Sat_W2[[#This Row],[Employee Name]],'Base Schedules'!A:D,4,FALSE),"")</f>
        <v>1930</v>
      </c>
      <c r="F24" s="142">
        <f>IF(Sat_W2[[#This Row],[Employee Name]]="","",IF(Sat_W2[[#This Row],[Dept]]="Supervisor",COUNTIFS($J24:$AX24,"*HL*",$J24:$AX24,"&lt;&gt;"&amp;"pHL"),COUNTIFS($J24:$AX24,"*HL*",$J24:$AX24,"&lt;&gt;"&amp;"*pHL*",$J24:$AX24,"&lt;&gt;"&amp;"pB1 HL",$J24:$AX24,"&lt;&gt;"&amp;"pB2 HL")-SUM(COUNTIFS($J24:$AX24,"*HL B1*",$J24:$AX24,"&lt;&gt;"&amp;"pHL B1")*0.5,COUNTIFS($J24:$AX24,"*HL B2*",$J24:$AX24,"&lt;&gt;"&amp;"pHL B2")*0.5,COUNTIFS($J24:$AX24,"*B1 HL*",$J24:$AX24,"&lt;&gt;"&amp;"pB1 HL")*0.5,COUNTIFS($J24:$AX24,"*B2 HL*",$J24:$AX24,"&lt;&gt;"&amp;"pB2 HL")*0.5)))</f>
        <v>6.5</v>
      </c>
      <c r="G24" s="142">
        <f t="shared" si="0"/>
        <v>0</v>
      </c>
      <c r="H24" s="142">
        <f t="shared" si="1"/>
        <v>9</v>
      </c>
      <c r="I24" s="142">
        <f>IF(Sat_W2[[#This Row],[Employee Name]]="","",IF(Sat_W2[[#This Row],[Dept]]="Supervisor",SUM(COUNTIFS($J24:$AX24,"RTA*",$J24:$AX24,"&lt;&gt;"&amp;"pRTA"),COUNTIFS($J24:$AX24,"*CRTA*",$J24:$AX24,"&lt;&gt;"&amp;"pCRTA")),COUNTIFS($J24:$AX24,"*RNNR*",$J24:$AX24,"&lt;&gt;"&amp;"*pRNNR*",$J24:$AX24,"&lt;&gt;"&amp;"pB1 RNNR",$J24:$AX24,"&lt;&gt;"&amp;"pB2 RNNR")-SUM(COUNTIFS($J24:$AX24,"*RNNR B1*",$J24:$AX24,"&lt;&gt;"&amp;"pRNNR B1")*0.5,COUNTIFS($J24:$AX24,"*RNNR B2*",$J24:$AX24,"&lt;&gt;"&amp;"pRNNR B2")*0.5,COUNTIFS($J24:$AX24,"*B1 RNNR*",$J24:$AX24,"&lt;&gt;"&amp;"pB1 RNNR")*0.5,COUNTIFS($J24:$AX24,"*B2 RNNR*",$J24:$AX24,"&lt;&gt;"&amp;"pB2 RNNR")*0.5)))</f>
        <v>0</v>
      </c>
      <c r="J24" s="184" t="str">
        <f>IFERROR(IF(VLOOKUP(Sat_W2[[#This Row],[Employee Name]],'Base Schedules'!$A:$I,9,FALSE)="","",VLOOKUP(Sat_W2[[#This Row],[Employee Name]],'Base Schedules'!$A:$I,9,FALSE)),"")</f>
        <v/>
      </c>
      <c r="K24" s="184" t="str">
        <f>IFERROR(IF(VLOOKUP(Sat_W2[[#This Row],[Employee Name]],'Base Schedules'!$A:$J,10,FALSE)="","",VLOOKUP(Sat_W2[[#This Row],[Employee Name]],'Base Schedules'!$A:$J,10,FALSE)),"")</f>
        <v/>
      </c>
      <c r="L24" s="184" t="str">
        <f>IFERROR(IF(VLOOKUP(Sat_W2[[#This Row],[Employee Name]],'Base Schedules'!$A:$K,11,FALSE)="","",VLOOKUP(Sat_W2[[#This Row],[Employee Name]],'Base Schedules'!$A:$K,11,FALSE)),"")</f>
        <v/>
      </c>
      <c r="M24" s="184" t="str">
        <f>IFERROR(IF(VLOOKUP(Sat_W2[[#This Row],[Employee Name]],'Base Schedules'!$A:$L,12,FALSE)="","",VLOOKUP(Sat_W2[[#This Row],[Employee Name]],'Base Schedules'!$A:$L,12,FALSE)),"")</f>
        <v/>
      </c>
      <c r="N24" s="184" t="str">
        <f>IFERROR(IF(VLOOKUP(Sat_W2[[#This Row],[Employee Name]],'Base Schedules'!$A:$M,13,FALSE)="","",VLOOKUP(Sat_W2[[#This Row],[Employee Name]],'Base Schedules'!$A:$M,13,FALSE)),"")</f>
        <v/>
      </c>
      <c r="O24" s="184" t="str">
        <f>IFERROR(IF(VLOOKUP(Sat_W2[[#This Row],[Employee Name]],'Base Schedules'!$A:$N,14,FALSE)="","",VLOOKUP(Sat_W2[[#This Row],[Employee Name]],'Base Schedules'!$A:$N,14,FALSE)),"")</f>
        <v/>
      </c>
      <c r="P24" s="184" t="str">
        <f>IFERROR(IF(VLOOKUP(Sat_W2[[#This Row],[Employee Name]],'Base Schedules'!$A:$O,15,FALSE)="","",VLOOKUP(Sat_W2[[#This Row],[Employee Name]],'Base Schedules'!$A:$O,15,FALSE)),"")</f>
        <v/>
      </c>
      <c r="Q24" s="184" t="str">
        <f>IFERROR(IF(VLOOKUP(Sat_W2[[#This Row],[Employee Name]],'Base Schedules'!$A:$P,16,FALSE)="","",VLOOKUP(Sat_W2[[#This Row],[Employee Name]],'Base Schedules'!$A:$P,16,FALSE)),"")</f>
        <v/>
      </c>
      <c r="R24" s="184" t="str">
        <f>IFERROR(IF(VLOOKUP(Sat_W2[[#This Row],[Employee Name]],'Base Schedules'!$A:$Q,17,FALSE)="","",VLOOKUP(Sat_W2[[#This Row],[Employee Name]],'Base Schedules'!$A:$Q,17,FALSE)),"")</f>
        <v/>
      </c>
      <c r="S24" s="184" t="str">
        <f>IFERROR(IF(VLOOKUP(Sat_W2[[#This Row],[Employee Name]],'Base Schedules'!$A:$R,18,FALSE)="","",VLOOKUP(Sat_W2[[#This Row],[Employee Name]],'Base Schedules'!$A:$R,18,FALSE)),"")</f>
        <v/>
      </c>
      <c r="T24" s="184" t="str">
        <f>IFERROR(IF(VLOOKUP(Sat_W2[[#This Row],[Employee Name]],'Base Schedules'!$A:$S,19,FALSE)="","",VLOOKUP(Sat_W2[[#This Row],[Employee Name]],'Base Schedules'!$A:$S,19,FALSE)),"")</f>
        <v/>
      </c>
      <c r="U24" s="184" t="str">
        <f>IFERROR(IF(VLOOKUP(Sat_W2[[#This Row],[Employee Name]],'Base Schedules'!$A:$T,20,FALSE)="","",VLOOKUP(Sat_W2[[#This Row],[Employee Name]],'Base Schedules'!$A:$T,20,FALSE)),"")</f>
        <v/>
      </c>
      <c r="V24" s="184" t="str">
        <f>IFERROR(IF(VLOOKUP(Sat_W2[[#This Row],[Employee Name]],'Base Schedules'!$A:$U,21,FALSE)="","",VLOOKUP(Sat_W2[[#This Row],[Employee Name]],'Base Schedules'!$A:$U,21,FALSE)),"")</f>
        <v/>
      </c>
      <c r="W24" s="184" t="str">
        <f>IFERROR(IF(VLOOKUP(Sat_W2[[#This Row],[Employee Name]],'Base Schedules'!$A:$V,22,FALSE)="","",VLOOKUP(Sat_W2[[#This Row],[Employee Name]],'Base Schedules'!$A:$V,22,FALSE)),"")</f>
        <v>ADM</v>
      </c>
      <c r="X24" s="184" t="str">
        <f>IFERROR(IF(VLOOKUP(Sat_W2[[#This Row],[Employee Name]],'Base Schedules'!$A:$W,23,FALSE)="","",VLOOKUP(Sat_W2[[#This Row],[Employee Name]],'Base Schedules'!$A:$W,23,FALSE)),"")</f>
        <v>ADM</v>
      </c>
      <c r="Y24" s="184" t="str">
        <f>IFERROR(IF(VLOOKUP(Sat_W2[[#This Row],[Employee Name]],'Base Schedules'!$A:$X,24,FALSE)="","",VLOOKUP(Sat_W2[[#This Row],[Employee Name]],'Base Schedules'!$A:$X,24,FALSE)),"")</f>
        <v>ADM</v>
      </c>
      <c r="Z24" s="184" t="str">
        <f>IFERROR(IF(VLOOKUP(Sat_W2[[#This Row],[Employee Name]],'Base Schedules'!$A:$Y,25,FALSE)="","",VLOOKUP(Sat_W2[[#This Row],[Employee Name]],'Base Schedules'!$A:$Y,25,FALSE)),"")</f>
        <v>ADM</v>
      </c>
      <c r="AA24" s="184" t="str">
        <f>IFERROR(IF(VLOOKUP(Sat_W2[[#This Row],[Employee Name]],'Base Schedules'!$A:$Z,26,FALSE)="","",VLOOKUP(Sat_W2[[#This Row],[Employee Name]],'Base Schedules'!$A:$Z,26,FALSE)),"")</f>
        <v>ADM B1</v>
      </c>
      <c r="AB24" s="184" t="str">
        <f>IFERROR(IF(VLOOKUP(Sat_W2[[#This Row],[Employee Name]],'Base Schedules'!$A:$AA,27,FALSE)="","",VLOOKUP(Sat_W2[[#This Row],[Employee Name]],'Base Schedules'!$A:$AA,27,FALSE)),"")</f>
        <v>HL</v>
      </c>
      <c r="AC24" s="184" t="str">
        <f>IFERROR(IF(VLOOKUP(Sat_W2[[#This Row],[Employee Name]],'Base Schedules'!$A:$AB,28,FALSE)="","",VLOOKUP(Sat_W2[[#This Row],[Employee Name]],'Base Schedules'!$A:$AB,28,FALSE)),"")</f>
        <v>HL</v>
      </c>
      <c r="AD24" s="184" t="str">
        <f>IFERROR(IF(VLOOKUP(Sat_W2[[#This Row],[Employee Name]],'Base Schedules'!$A:$AC,29,FALSE)="","",VLOOKUP(Sat_W2[[#This Row],[Employee Name]],'Base Schedules'!$A:$AC,29,FALSE)),"")</f>
        <v>HL</v>
      </c>
      <c r="AE24" s="184" t="str">
        <f>IFERROR(IF(VLOOKUP(Sat_W2[[#This Row],[Employee Name]],'Base Schedules'!$A:$AD,30,FALSE)="","",VLOOKUP(Sat_W2[[#This Row],[Employee Name]],'Base Schedules'!$A:$AD,30,FALSE)),"")</f>
        <v>ADM</v>
      </c>
      <c r="AF24" s="184" t="str">
        <f>IFERROR(IF(VLOOKUP(Sat_W2[[#This Row],[Employee Name]],'Base Schedules'!$A:$AE,31,FALSE)="","",VLOOKUP(Sat_W2[[#This Row],[Employee Name]],'Base Schedules'!$A:$AE,31,FALSE)),"")</f>
        <v>ADM</v>
      </c>
      <c r="AG24" s="184" t="str">
        <f>IFERROR(IF(VLOOKUP(Sat_W2[[#This Row],[Employee Name]],'Base Schedules'!$A:$AF,32,FALSE)="","",VLOOKUP(Sat_W2[[#This Row],[Employee Name]],'Base Schedules'!$A:$AF,32,FALSE)),"")</f>
        <v>LUNCH</v>
      </c>
      <c r="AH24" s="184" t="str">
        <f>IFERROR(IF(VLOOKUP(Sat_W2[[#This Row],[Employee Name]],'Base Schedules'!$A:$AG,33,FALSE)="","",VLOOKUP(Sat_W2[[#This Row],[Employee Name]],'Base Schedules'!$A:$AG,33,FALSE)),"")</f>
        <v>ADM</v>
      </c>
      <c r="AI24" s="184" t="str">
        <f>IFERROR(IF(VLOOKUP(Sat_W2[[#This Row],[Employee Name]],'Base Schedules'!$A:$AH,34,FALSE)="","",VLOOKUP(Sat_W2[[#This Row],[Employee Name]],'Base Schedules'!$A:$AH,34,FALSE)),"")</f>
        <v>ADM</v>
      </c>
      <c r="AJ24" s="184" t="str">
        <f>IFERROR(IF(VLOOKUP(Sat_W2[[#This Row],[Employee Name]],'Base Schedules'!$A:$AI,35,FALSE)="","",VLOOKUP(Sat_W2[[#This Row],[Employee Name]],'Base Schedules'!$A:$AI,35,FALSE)),"")</f>
        <v>HL</v>
      </c>
      <c r="AK24" s="184" t="str">
        <f>IFERROR(IF(VLOOKUP(Sat_W2[[#This Row],[Employee Name]],'Base Schedules'!$A:$AJ,36,FALSE)="","",VLOOKUP(Sat_W2[[#This Row],[Employee Name]],'Base Schedules'!$A:$AJ,36,FALSE)),"")</f>
        <v>B2 HL</v>
      </c>
      <c r="AL24" s="184" t="str">
        <f>IFERROR(IF(VLOOKUP(Sat_W2[[#This Row],[Employee Name]],'Base Schedules'!$A:$AK,37,FALSE)="","",VLOOKUP(Sat_W2[[#This Row],[Employee Name]],'Base Schedules'!$A:$AK,37,FALSE)),"")</f>
        <v>HL</v>
      </c>
      <c r="AM24" s="184" t="str">
        <f>IFERROR(IF(VLOOKUP(Sat_W2[[#This Row],[Employee Name]],'Base Schedules'!$A:$AL,38,FALSE)="","",VLOOKUP(Sat_W2[[#This Row],[Employee Name]],'Base Schedules'!$A:$AL,38,FALSE)),"")</f>
        <v>HL</v>
      </c>
      <c r="AN24" s="184" t="str">
        <f>IFERROR(IF(VLOOKUP(Sat_W2[[#This Row],[Employee Name]],'Base Schedules'!$A:$AM,39,FALSE)="","",VLOOKUP(Sat_W2[[#This Row],[Employee Name]],'Base Schedules'!$A:$AM,39,FALSE)),"")</f>
        <v/>
      </c>
      <c r="AO24" s="184" t="str">
        <f>IFERROR(IF(VLOOKUP(Sat_W2[[#This Row],[Employee Name]],'Base Schedules'!$A:$AN,40,FALSE)="","",VLOOKUP(Sat_W2[[#This Row],[Employee Name]],'Base Schedules'!$A:$AN,40,FALSE)),"")</f>
        <v/>
      </c>
      <c r="AP24" s="184" t="str">
        <f>IFERROR(IF(VLOOKUP(Sat_W2[[#This Row],[Employee Name]],'Base Schedules'!$A:$AO,41,FALSE)="","",VLOOKUP(Sat_W2[[#This Row],[Employee Name]],'Base Schedules'!$A:$AO,41,FALSE)),"")</f>
        <v/>
      </c>
      <c r="AQ24" s="184" t="str">
        <f>IFERROR(IF(VLOOKUP(Sat_W2[[#This Row],[Employee Name]],'Base Schedules'!$A:$AP,42,FALSE)="","",VLOOKUP(Sat_W2[[#This Row],[Employee Name]],'Base Schedules'!$A:$AP,42,FALSE)),"")</f>
        <v/>
      </c>
      <c r="AR24" s="184" t="str">
        <f>IFERROR(IF(VLOOKUP(Sat_W2[[#This Row],[Employee Name]],'Base Schedules'!$A:$AQ,43,FALSE)="","",VLOOKUP(Sat_W2[[#This Row],[Employee Name]],'Base Schedules'!$A:$AQ,43,FALSE)),"")</f>
        <v/>
      </c>
      <c r="AS24" s="184" t="str">
        <f>IFERROR(IF(VLOOKUP(Sat_W2[[#This Row],[Employee Name]],'Base Schedules'!$A:$AR,44,FALSE)="","",VLOOKUP(Sat_W2[[#This Row],[Employee Name]],'Base Schedules'!$A:$AR,44,FALSE)),"")</f>
        <v/>
      </c>
      <c r="AT24" s="184" t="str">
        <f>IFERROR(IF(VLOOKUP(Sat_W2[[#This Row],[Employee Name]],'Base Schedules'!$A:$AS,45,FALSE)="","",VLOOKUP(Sat_W2[[#This Row],[Employee Name]],'Base Schedules'!$A:$AS,45,FALSE)),"")</f>
        <v/>
      </c>
      <c r="AU24" s="184" t="str">
        <f>IFERROR(IF(VLOOKUP(Sat_W2[[#This Row],[Employee Name]],'Base Schedules'!$A:$AT,46,FALSE)="","",VLOOKUP(Sat_W2[[#This Row],[Employee Name]],'Base Schedules'!$A:$AT,46,FALSE)),"")</f>
        <v/>
      </c>
      <c r="AV24" s="184" t="str">
        <f>IFERROR(IF(VLOOKUP(Sat_W2[[#This Row],[Employee Name]],'Base Schedules'!$A:$AU,47,FALSE)="","",VLOOKUP(Sat_W2[[#This Row],[Employee Name]],'Base Schedules'!$A:$AU,47,FALSE)),"")</f>
        <v/>
      </c>
      <c r="AW24" s="184" t="str">
        <f>IFERROR(IF(VLOOKUP(Sat_W2[[#This Row],[Employee Name]],'Base Schedules'!$A:$AV,48,FALSE)="","",VLOOKUP(Sat_W2[[#This Row],[Employee Name]],'Base Schedules'!$A:$AV,48,FALSE)),"")</f>
        <v/>
      </c>
      <c r="AX24" s="184" t="str">
        <f>IFERROR(IF(VLOOKUP(Sat_W1[[#This Row],[Employee Name]],'Base Schedules'!$A$46:$AW$77,49,FALSE)="","",VLOOKUP(Sat_W1[[#This Row],[Employee Name]],'Base Schedules'!$A$46:$AW$77,49,FALSE)),"")</f>
        <v/>
      </c>
      <c r="AY24" s="160" t="str">
        <f t="shared" si="2"/>
        <v>Condon, Heather</v>
      </c>
    </row>
    <row r="25" spans="1:51" s="44" customFormat="1" ht="12" customHeight="1" x14ac:dyDescent="0.2">
      <c r="A25" s="39" t="str">
        <f>IF(B25="","",INDEX(TeamList[],MATCH($B25,TeamList[[Employee Name]:[Employee Name]],0),MATCH("Manager",TeamList[#Headers],0)))</f>
        <v>Olson, Katherine</v>
      </c>
      <c r="B25" s="201" t="s">
        <v>226</v>
      </c>
      <c r="C25" s="257" t="str">
        <f>_xlfn.IFNA(VLOOKUP(Sat_W2[[#This Row],[Employee Name]],'Base Schedules'!A:B,2,FALSE),"")</f>
        <v>Lead</v>
      </c>
      <c r="D25" s="274">
        <f>_xlfn.IFNA(VLOOKUP(Sat_W2[[#This Row],[Employee Name]],'Base Schedules'!A:C,3,FALSE),"")</f>
        <v>1200</v>
      </c>
      <c r="E25" s="274">
        <f>_xlfn.IFNA(VLOOKUP(Sat_W2[[#This Row],[Employee Name]],'Base Schedules'!A:D,4,FALSE),"")</f>
        <v>2030</v>
      </c>
      <c r="F25" s="142">
        <f>IF(Sat_W2[[#This Row],[Employee Name]]="","",IF(Sat_W2[[#This Row],[Dept]]="Supervisor",COUNTIFS($J25:$AX25,"*HL*",$J25:$AX25,"&lt;&gt;"&amp;"pHL"),COUNTIFS($J25:$AX25,"*HL*",$J25:$AX25,"&lt;&gt;"&amp;"*pHL*",$J25:$AX25,"&lt;&gt;"&amp;"pB1 HL",$J25:$AX25,"&lt;&gt;"&amp;"pB2 HL")-SUM(COUNTIFS($J25:$AX25,"*HL B1*",$J25:$AX25,"&lt;&gt;"&amp;"pHL B1")*0.5,COUNTIFS($J25:$AX25,"*HL B2*",$J25:$AX25,"&lt;&gt;"&amp;"pHL B2")*0.5,COUNTIFS($J25:$AX25,"*B1 HL*",$J25:$AX25,"&lt;&gt;"&amp;"pB1 HL")*0.5,COUNTIFS($J25:$AX25,"*B2 HL*",$J25:$AX25,"&lt;&gt;"&amp;"pB2 HL")*0.5)))</f>
        <v>6.5</v>
      </c>
      <c r="G25" s="142">
        <f t="shared" si="0"/>
        <v>0</v>
      </c>
      <c r="H25" s="142">
        <f t="shared" si="1"/>
        <v>7</v>
      </c>
      <c r="I25" s="142">
        <f>IF(Sat_W2[[#This Row],[Employee Name]]="","",IF(Sat_W2[[#This Row],[Dept]]="Supervisor",SUM(COUNTIFS($J25:$AX25,"RTA*",$J25:$AX25,"&lt;&gt;"&amp;"pRTA"),COUNTIFS($J25:$AX25,"*CRTA*",$J25:$AX25,"&lt;&gt;"&amp;"pCRTA")),COUNTIFS($J25:$AX25,"*RNNR*",$J25:$AX25,"&lt;&gt;"&amp;"*pRNNR*",$J25:$AX25,"&lt;&gt;"&amp;"pB1 RNNR",$J25:$AX25,"&lt;&gt;"&amp;"pB2 RNNR")-SUM(COUNTIFS($J25:$AX25,"*RNNR B1*",$J25:$AX25,"&lt;&gt;"&amp;"pRNNR B1")*0.5,COUNTIFS($J25:$AX25,"*RNNR B2*",$J25:$AX25,"&lt;&gt;"&amp;"pRNNR B2")*0.5,COUNTIFS($J25:$AX25,"*B1 RNNR*",$J25:$AX25,"&lt;&gt;"&amp;"pB1 RNNR")*0.5,COUNTIFS($J25:$AX25,"*B2 RNNR*",$J25:$AX25,"&lt;&gt;"&amp;"pB2 RNNR")*0.5)))</f>
        <v>0</v>
      </c>
      <c r="J25" s="184" t="str">
        <f>IFERROR(IF(VLOOKUP(Sat_W2[[#This Row],[Employee Name]],'Base Schedules'!$A$46:$AW$77,9,FALSE)="","",VLOOKUP(Sat_W2[[#This Row],[Employee Name]],'Base Schedules'!$A$46:$AW$77,9,FALSE)),"")</f>
        <v/>
      </c>
      <c r="K25" s="184" t="str">
        <f>IFERROR(IF(VLOOKUP(Sat_W2[[#This Row],[Employee Name]],'Base Schedules'!$A$46:$AW$77,10,FALSE)="","",VLOOKUP(Sat_W2[[#This Row],[Employee Name]],'Base Schedules'!$A$46:$AW$77,10,FALSE)),"")</f>
        <v/>
      </c>
      <c r="L25" s="184" t="str">
        <f>IFERROR(IF(VLOOKUP(Sat_W2[[#This Row],[Employee Name]],'Base Schedules'!$A$46:$AW$77,11,FALSE)="","",VLOOKUP(Sat_W2[[#This Row],[Employee Name]],'Base Schedules'!$A$46:$AW$77,11,FALSE)),"")</f>
        <v/>
      </c>
      <c r="M25" s="184" t="str">
        <f>IFERROR(IF(VLOOKUP(Sat_W2[[#This Row],[Employee Name]],'Base Schedules'!$A$46:$AW$77,12,FALSE)="","",VLOOKUP(Sat_W2[[#This Row],[Employee Name]],'Base Schedules'!$A$46:$AW$77,12,FALSE)),"")</f>
        <v/>
      </c>
      <c r="N25" s="184" t="str">
        <f>IFERROR(IF(VLOOKUP(Sat_W2[[#This Row],[Employee Name]],'Base Schedules'!$A$46:$AW$77,13,FALSE)="","",VLOOKUP(Sat_W2[[#This Row],[Employee Name]],'Base Schedules'!$A$46:$AW$77,13,FALSE)),"")</f>
        <v/>
      </c>
      <c r="O25" s="184" t="str">
        <f>IFERROR(IF(VLOOKUP(Sat_W2[[#This Row],[Employee Name]],'Base Schedules'!$A$46:$AW$77,14,FALSE)="","",VLOOKUP(Sat_W2[[#This Row],[Employee Name]],'Base Schedules'!$A$46:$AW$77,14,FALSE)),"")</f>
        <v/>
      </c>
      <c r="P25" s="184" t="str">
        <f>IFERROR(IF(VLOOKUP(Sat_W2[[#This Row],[Employee Name]],'Base Schedules'!$A$46:$AW$77,15,FALSE)="","",VLOOKUP(Sat_W2[[#This Row],[Employee Name]],'Base Schedules'!$A$46:$AW$77,15,FALSE)),"")</f>
        <v/>
      </c>
      <c r="Q25" s="184" t="str">
        <f>IFERROR(IF(VLOOKUP(Sat_W2[[#This Row],[Employee Name]],'Base Schedules'!$A$46:$AW$77,16,FALSE)="","",VLOOKUP(Sat_W2[[#This Row],[Employee Name]],'Base Schedules'!$A$46:$AW$77,16,FALSE)),"")</f>
        <v/>
      </c>
      <c r="R25" s="184" t="str">
        <f>IFERROR(IF(VLOOKUP(Sat_W2[[#This Row],[Employee Name]],'Base Schedules'!$A$46:$AW$77,17,FALSE)="","",VLOOKUP(Sat_W2[[#This Row],[Employee Name]],'Base Schedules'!$A$46:$AW$77,17,FALSE)),"")</f>
        <v/>
      </c>
      <c r="S25" s="184" t="str">
        <f>IFERROR(IF(VLOOKUP(Sat_W2[[#This Row],[Employee Name]],'Base Schedules'!$A$46:$AW$77,18,FALSE)="","",VLOOKUP(Sat_W2[[#This Row],[Employee Name]],'Base Schedules'!$A$46:$AW$77,18,FALSE)),"")</f>
        <v/>
      </c>
      <c r="T25" s="184" t="str">
        <f>IFERROR(IF(VLOOKUP(Sat_W2[[#This Row],[Employee Name]],'Base Schedules'!$A$46:$AW$77,19,FALSE)="","",VLOOKUP(Sat_W2[[#This Row],[Employee Name]],'Base Schedules'!$A$46:$AW$77,19,FALSE)),"")</f>
        <v/>
      </c>
      <c r="U25" s="184" t="str">
        <f>IFERROR(IF(VLOOKUP(Sat_W2[[#This Row],[Employee Name]],'Base Schedules'!$A$46:$AW$77,20,FALSE)="","",VLOOKUP(Sat_W2[[#This Row],[Employee Name]],'Base Schedules'!$A$46:$AW$77,20,FALSE)),"")</f>
        <v/>
      </c>
      <c r="V25" s="184" t="str">
        <f>IFERROR(IF(VLOOKUP(Sat_W2[[#This Row],[Employee Name]],'Base Schedules'!$A$46:$AW$77,21,FALSE)="","",VLOOKUP(Sat_W2[[#This Row],[Employee Name]],'Base Schedules'!$A$46:$AW$77,21,FALSE)),"")</f>
        <v/>
      </c>
      <c r="W25" s="184" t="str">
        <f>IFERROR(IF(VLOOKUP(Sat_W2[[#This Row],[Employee Name]],'Base Schedules'!$A$46:$AW$77,22,FALSE)="","",VLOOKUP(Sat_W2[[#This Row],[Employee Name]],'Base Schedules'!$A$46:$AW$77,22,FALSE)),"")</f>
        <v/>
      </c>
      <c r="X25" s="184" t="str">
        <f>IFERROR(IF(VLOOKUP(Sat_W2[[#This Row],[Employee Name]],'Base Schedules'!$A$46:$AW$77,23,FALSE)="","",VLOOKUP(Sat_W2[[#This Row],[Employee Name]],'Base Schedules'!$A$46:$AW$77,23,FALSE)),"")</f>
        <v>HL</v>
      </c>
      <c r="Y25" s="184" t="str">
        <f>IFERROR(IF(VLOOKUP(Sat_W2[[#This Row],[Employee Name]],'Base Schedules'!$A$46:$AW$77,24,FALSE)="","",VLOOKUP(Sat_W2[[#This Row],[Employee Name]],'Base Schedules'!$A$46:$AW$77,24,FALSE)),"")</f>
        <v>HL</v>
      </c>
      <c r="Z25" s="184" t="str">
        <f>IFERROR(IF(VLOOKUP(Sat_W2[[#This Row],[Employee Name]],'Base Schedules'!$A$46:$AW$77,25,FALSE)="","",VLOOKUP(Sat_W2[[#This Row],[Employee Name]],'Base Schedules'!$A$46:$AW$77,25,FALSE)),"")</f>
        <v>ADM</v>
      </c>
      <c r="AA25" s="184" t="str">
        <f>IFERROR(IF(VLOOKUP(Sat_W2[[#This Row],[Employee Name]],'Base Schedules'!$A$46:$AW$77,26,FALSE)="","",VLOOKUP(Sat_W2[[#This Row],[Employee Name]],'Base Schedules'!$A$46:$AW$77,26,FALSE)),"")</f>
        <v>ADM</v>
      </c>
      <c r="AB25" s="184" t="str">
        <f>IFERROR(IF(VLOOKUP(Sat_W2[[#This Row],[Employee Name]],'Base Schedules'!$A$46:$AW$77,27,FALSE)="","",VLOOKUP(Sat_W2[[#This Row],[Employee Name]],'Base Schedules'!$A$46:$AW$77,27,FALSE)),"")</f>
        <v>ADM B1</v>
      </c>
      <c r="AC25" s="184" t="str">
        <f>IFERROR(IF(VLOOKUP(Sat_W2[[#This Row],[Employee Name]],'Base Schedules'!$A$46:$AW$77,28,FALSE)="","",VLOOKUP(Sat_W2[[#This Row],[Employee Name]],'Base Schedules'!$A$46:$AW$77,28,FALSE)),"")</f>
        <v>HL</v>
      </c>
      <c r="AD25" s="184" t="str">
        <f>IFERROR(IF(VLOOKUP(Sat_W2[[#This Row],[Employee Name]],'Base Schedules'!$A$46:$AW$77,29,FALSE)="","",VLOOKUP(Sat_W2[[#This Row],[Employee Name]],'Base Schedules'!$A$46:$AW$77,29,FALSE)),"")</f>
        <v>PROJECT</v>
      </c>
      <c r="AE25" s="184" t="str">
        <f>IFERROR(IF(VLOOKUP(Sat_W2[[#This Row],[Employee Name]],'Base Schedules'!$A$46:$AW$77,30,FALSE)="","",VLOOKUP(Sat_W2[[#This Row],[Employee Name]],'Base Schedules'!$A$46:$AW$77,30,FALSE)),"")</f>
        <v>PROJECT</v>
      </c>
      <c r="AF25" s="184" t="str">
        <f>IFERROR(IF(VLOOKUP(Sat_W2[[#This Row],[Employee Name]],'Base Schedules'!$A$46:$AW$77,31,FALSE)="","",VLOOKUP(Sat_W2[[#This Row],[Employee Name]],'Base Schedules'!$A$46:$AW$77,31,FALSE)),"")</f>
        <v>LUNCH</v>
      </c>
      <c r="AG25" s="184" t="str">
        <f>IFERROR(IF(VLOOKUP(Sat_W2[[#This Row],[Employee Name]],'Base Schedules'!$A$46:$AW$77,32,FALSE)="","",VLOOKUP(Sat_W2[[#This Row],[Employee Name]],'Base Schedules'!$A$46:$AW$77,32,FALSE)),"")</f>
        <v>ADM</v>
      </c>
      <c r="AH25" s="184" t="str">
        <f>IFERROR(IF(VLOOKUP(Sat_W2[[#This Row],[Employee Name]],'Base Schedules'!$A$46:$AW$77,33,FALSE)="","",VLOOKUP(Sat_W2[[#This Row],[Employee Name]],'Base Schedules'!$A$46:$AW$77,33,FALSE)),"")</f>
        <v>ADM</v>
      </c>
      <c r="AI25" s="184" t="str">
        <f>IFERROR(IF(VLOOKUP(Sat_W2[[#This Row],[Employee Name]],'Base Schedules'!$A$46:$AW$77,34,FALSE)="","",VLOOKUP(Sat_W2[[#This Row],[Employee Name]],'Base Schedules'!$A$46:$AW$77,34,FALSE)),"")</f>
        <v>ADM</v>
      </c>
      <c r="AJ25" s="184" t="str">
        <f>IFERROR(IF(VLOOKUP(Sat_W2[[#This Row],[Employee Name]],'Base Schedules'!$A$46:$AW$77,35,FALSE)="","",VLOOKUP(Sat_W2[[#This Row],[Employee Name]],'Base Schedules'!$A$46:$AW$77,35,FALSE)),"")</f>
        <v>HL B2</v>
      </c>
      <c r="AK25" s="184" t="str">
        <f>IFERROR(IF(VLOOKUP(Sat_W2[[#This Row],[Employee Name]],'Base Schedules'!$A$46:$AW$77,36,FALSE)="","",VLOOKUP(Sat_W2[[#This Row],[Employee Name]],'Base Schedules'!$A$46:$AW$77,36,FALSE)),"")</f>
        <v>HL</v>
      </c>
      <c r="AL25" s="184" t="str">
        <f>IFERROR(IF(VLOOKUP(Sat_W2[[#This Row],[Employee Name]],'Base Schedules'!$A$46:$AW$77,37,FALSE)="","",VLOOKUP(Sat_W2[[#This Row],[Employee Name]],'Base Schedules'!$A$46:$AW$77,37,FALSE)),"")</f>
        <v>HL</v>
      </c>
      <c r="AM25" s="184" t="str">
        <f>IFERROR(IF(VLOOKUP(Sat_W2[[#This Row],[Employee Name]],'Base Schedules'!$A$46:$AW$77,38,FALSE)="","",VLOOKUP(Sat_W2[[#This Row],[Employee Name]],'Base Schedules'!$A$46:$AW$77,38,FALSE)),"")</f>
        <v>ADM</v>
      </c>
      <c r="AN25" s="184" t="str">
        <f>IFERROR(IF(VLOOKUP(Sat_W2[[#This Row],[Employee Name]],'Base Schedules'!$A$46:$AW$77,39,FALSE)="","",VLOOKUP(Sat_W2[[#This Row],[Employee Name]],'Base Schedules'!$A$46:$AW$77,39,FALSE)),"")</f>
        <v>HL</v>
      </c>
      <c r="AO25" s="184" t="str">
        <f>IFERROR(IF(VLOOKUP(Sat_W2[[#This Row],[Employee Name]],'Base Schedules'!$A$46:$AW$77,40,FALSE)="","",VLOOKUP(Sat_W2[[#This Row],[Employee Name]],'Base Schedules'!$A$46:$AW$77,40,FALSE)),"")</f>
        <v/>
      </c>
      <c r="AP25" s="184" t="str">
        <f>IFERROR(IF(VLOOKUP(Sat_W2[[#This Row],[Employee Name]],'Base Schedules'!$A$46:$AW$77,41,FALSE)="","",VLOOKUP(Sat_W2[[#This Row],[Employee Name]],'Base Schedules'!$A$46:$AW$77,41,FALSE)),"")</f>
        <v/>
      </c>
      <c r="AQ25" s="184" t="str">
        <f>IFERROR(IF(VLOOKUP(Sat_W2[[#This Row],[Employee Name]],'Base Schedules'!$A$46:$AW$77,42,FALSE)="","",VLOOKUP(Sat_W2[[#This Row],[Employee Name]],'Base Schedules'!$A$46:$AW$77,42,FALSE)),"")</f>
        <v/>
      </c>
      <c r="AR25" s="184" t="str">
        <f>IFERROR(IF(VLOOKUP(Sat_W2[[#This Row],[Employee Name]],'Base Schedules'!$A$46:$AW$77,43,FALSE)="","",VLOOKUP(Sat_W2[[#This Row],[Employee Name]],'Base Schedules'!$A$46:$AW$77,43,FALSE)),"")</f>
        <v/>
      </c>
      <c r="AS25" s="184" t="str">
        <f>IFERROR(IF(VLOOKUP(Sat_W2[[#This Row],[Employee Name]],'Base Schedules'!$A$46:$AW$77,44,FALSE)="","",VLOOKUP(Sat_W2[[#This Row],[Employee Name]],'Base Schedules'!$A$46:$AW$77,44,FALSE)),"")</f>
        <v/>
      </c>
      <c r="AT25" s="184" t="str">
        <f>IFERROR(IF(VLOOKUP(Sat_W2[[#This Row],[Employee Name]],'Base Schedules'!$A$46:$AW$77,45,FALSE)="","",VLOOKUP(Sat_W2[[#This Row],[Employee Name]],'Base Schedules'!$A$46:$AW$77,45,FALSE)),"")</f>
        <v/>
      </c>
      <c r="AU25" s="184" t="str">
        <f>IFERROR(IF(VLOOKUP(Sat_W2[[#This Row],[Employee Name]],'Base Schedules'!$A$46:$AW$77,46,FALSE)="","",VLOOKUP(Sat_W2[[#This Row],[Employee Name]],'Base Schedules'!$A$46:$AW$77,46,FALSE)),"")</f>
        <v/>
      </c>
      <c r="AV25" s="184" t="str">
        <f>IFERROR(IF(VLOOKUP(Sat_W2[[#This Row],[Employee Name]],'Base Schedules'!$A$46:$AW$77,47,FALSE)="","",VLOOKUP(Sat_W2[[#This Row],[Employee Name]],'Base Schedules'!$A$46:$AW$77,47,FALSE)),"")</f>
        <v/>
      </c>
      <c r="AW25" s="184" t="str">
        <f>IFERROR(IF(VLOOKUP(Sat_W2[[#This Row],[Employee Name]],'Base Schedules'!$A$46:$AW$77,48,FALSE)="","",VLOOKUP(Sat_W2[[#This Row],[Employee Name]],'Base Schedules'!$A$46:$AW$77,48,FALSE)),"")</f>
        <v/>
      </c>
      <c r="AX25" s="184" t="str">
        <f>IFERROR(IF(VLOOKUP(Sat_W2[[#This Row],[Employee Name]],'Base Schedules'!$A$46:$AW$77,49,FALSE)="","",VLOOKUP(Sat_W2[[#This Row],[Employee Name]],'Base Schedules'!$A$46:$AW$77,49,FALSE)),"")</f>
        <v/>
      </c>
      <c r="AY25" s="161" t="str">
        <f t="shared" si="2"/>
        <v>Harding, Mickeya</v>
      </c>
    </row>
    <row r="26" spans="1:51" s="44" customFormat="1" ht="12" customHeight="1" x14ac:dyDescent="0.2">
      <c r="A26" s="39" t="str">
        <f>IF(B26="","",INDEX(TeamList[],MATCH($B26,TeamList[[Employee Name]:[Employee Name]],0),MATCH("Manager",TeamList[#Headers],0)))</f>
        <v>Olson, Katherine</v>
      </c>
      <c r="B26" s="201" t="s">
        <v>50</v>
      </c>
      <c r="C26" s="257" t="str">
        <f>_xlfn.IFNA(VLOOKUP(Sat_W2[[#This Row],[Employee Name]],'Base Schedules'!A:B,2,FALSE),"")</f>
        <v>Lead</v>
      </c>
      <c r="D26" s="274">
        <f>_xlfn.IFNA(VLOOKUP(Sat_W2[[#This Row],[Employee Name]],'Base Schedules'!A:C,3,FALSE),"")</f>
        <v>1200</v>
      </c>
      <c r="E26" s="274">
        <f>_xlfn.IFNA(VLOOKUP(Sat_W2[[#This Row],[Employee Name]],'Base Schedules'!A:D,4,FALSE),"")</f>
        <v>2230</v>
      </c>
      <c r="F26" s="142">
        <f>IF(Sat_W2[[#This Row],[Employee Name]]="","",IF(Sat_W2[[#This Row],[Dept]]="Supervisor",COUNTIFS($J26:$AX26,"*HL*",$J26:$AX26,"&lt;&gt;"&amp;"pHL"),COUNTIFS($J26:$AX26,"*HL*",$J26:$AX26,"&lt;&gt;"&amp;"*pHL*",$J26:$AX26,"&lt;&gt;"&amp;"pB1 HL",$J26:$AX26,"&lt;&gt;"&amp;"pB2 HL")-SUM(COUNTIFS($J26:$AX26,"*HL B1*",$J26:$AX26,"&lt;&gt;"&amp;"pHL B1")*0.5,COUNTIFS($J26:$AX26,"*HL B2*",$J26:$AX26,"&lt;&gt;"&amp;"pHL B2")*0.5,COUNTIFS($J26:$AX26,"*B1 HL*",$J26:$AX26,"&lt;&gt;"&amp;"pB1 HL")*0.5,COUNTIFS($J26:$AX26,"*B2 HL*",$J26:$AX26,"&lt;&gt;"&amp;"pB2 HL")*0.5)))</f>
        <v>8.5</v>
      </c>
      <c r="G26" s="142">
        <f t="shared" si="0"/>
        <v>0</v>
      </c>
      <c r="H26" s="142">
        <f t="shared" si="1"/>
        <v>9</v>
      </c>
      <c r="I26" s="142">
        <f>IF(Sat_W2[[#This Row],[Employee Name]]="","",IF(Sat_W2[[#This Row],[Dept]]="Supervisor",SUM(COUNTIFS($J26:$AX26,"RTA*",$J26:$AX26,"&lt;&gt;"&amp;"pRTA"),COUNTIFS($J26:$AX26,"*CRTA*",$J26:$AX26,"&lt;&gt;"&amp;"pCRTA")),COUNTIFS($J26:$AX26,"*RNNR*",$J26:$AX26,"&lt;&gt;"&amp;"*pRNNR*",$J26:$AX26,"&lt;&gt;"&amp;"pB1 RNNR",$J26:$AX26,"&lt;&gt;"&amp;"pB2 RNNR")-SUM(COUNTIFS($J26:$AX26,"*RNNR B1*",$J26:$AX26,"&lt;&gt;"&amp;"pRNNR B1")*0.5,COUNTIFS($J26:$AX26,"*RNNR B2*",$J26:$AX26,"&lt;&gt;"&amp;"pRNNR B2")*0.5,COUNTIFS($J26:$AX26,"*B1 RNNR*",$J26:$AX26,"&lt;&gt;"&amp;"pB1 RNNR")*0.5,COUNTIFS($J26:$AX26,"*B2 RNNR*",$J26:$AX26,"&lt;&gt;"&amp;"pB2 RNNR")*0.5)))</f>
        <v>2</v>
      </c>
      <c r="J26" s="184" t="str">
        <f>IFERROR(IF(VLOOKUP(Sat_W2[[#This Row],[Employee Name]],'Base Schedules'!$A$46:$AW$77,9,FALSE)="","",VLOOKUP(Sat_W2[[#This Row],[Employee Name]],'Base Schedules'!$A$46:$AW$77,9,FALSE)),"")</f>
        <v/>
      </c>
      <c r="K26" s="184" t="str">
        <f>IFERROR(IF(VLOOKUP(Sat_W2[[#This Row],[Employee Name]],'Base Schedules'!$A$46:$AW$77,10,FALSE)="","",VLOOKUP(Sat_W2[[#This Row],[Employee Name]],'Base Schedules'!$A$46:$AW$77,10,FALSE)),"")</f>
        <v/>
      </c>
      <c r="L26" s="184" t="str">
        <f>IFERROR(IF(VLOOKUP(Sat_W2[[#This Row],[Employee Name]],'Base Schedules'!$A$46:$AW$77,11,FALSE)="","",VLOOKUP(Sat_W2[[#This Row],[Employee Name]],'Base Schedules'!$A$46:$AW$77,11,FALSE)),"")</f>
        <v/>
      </c>
      <c r="M26" s="184" t="str">
        <f>IFERROR(IF(VLOOKUP(Sat_W2[[#This Row],[Employee Name]],'Base Schedules'!$A$46:$AW$77,12,FALSE)="","",VLOOKUP(Sat_W2[[#This Row],[Employee Name]],'Base Schedules'!$A$46:$AW$77,12,FALSE)),"")</f>
        <v/>
      </c>
      <c r="N26" s="184" t="str">
        <f>IFERROR(IF(VLOOKUP(Sat_W2[[#This Row],[Employee Name]],'Base Schedules'!$A$46:$AW$77,13,FALSE)="","",VLOOKUP(Sat_W2[[#This Row],[Employee Name]],'Base Schedules'!$A$46:$AW$77,13,FALSE)),"")</f>
        <v/>
      </c>
      <c r="O26" s="184" t="str">
        <f>IFERROR(IF(VLOOKUP(Sat_W2[[#This Row],[Employee Name]],'Base Schedules'!$A$46:$AW$77,14,FALSE)="","",VLOOKUP(Sat_W2[[#This Row],[Employee Name]],'Base Schedules'!$A$46:$AW$77,14,FALSE)),"")</f>
        <v/>
      </c>
      <c r="P26" s="184" t="str">
        <f>IFERROR(IF(VLOOKUP(Sat_W2[[#This Row],[Employee Name]],'Base Schedules'!$A$46:$AW$77,15,FALSE)="","",VLOOKUP(Sat_W2[[#This Row],[Employee Name]],'Base Schedules'!$A$46:$AW$77,15,FALSE)),"")</f>
        <v/>
      </c>
      <c r="Q26" s="184" t="str">
        <f>IFERROR(IF(VLOOKUP(Sat_W2[[#This Row],[Employee Name]],'Base Schedules'!$A$46:$AW$77,16,FALSE)="","",VLOOKUP(Sat_W2[[#This Row],[Employee Name]],'Base Schedules'!$A$46:$AW$77,16,FALSE)),"")</f>
        <v/>
      </c>
      <c r="R26" s="184" t="str">
        <f>IFERROR(IF(VLOOKUP(Sat_W2[[#This Row],[Employee Name]],'Base Schedules'!$A$46:$AW$77,17,FALSE)="","",VLOOKUP(Sat_W2[[#This Row],[Employee Name]],'Base Schedules'!$A$46:$AW$77,17,FALSE)),"")</f>
        <v/>
      </c>
      <c r="S26" s="184" t="str">
        <f>IFERROR(IF(VLOOKUP(Sat_W2[[#This Row],[Employee Name]],'Base Schedules'!$A$46:$AW$77,18,FALSE)="","",VLOOKUP(Sat_W2[[#This Row],[Employee Name]],'Base Schedules'!$A$46:$AW$77,18,FALSE)),"")</f>
        <v/>
      </c>
      <c r="T26" s="184" t="str">
        <f>IFERROR(IF(VLOOKUP(Sat_W2[[#This Row],[Employee Name]],'Base Schedules'!$A$46:$AW$77,19,FALSE)="","",VLOOKUP(Sat_W2[[#This Row],[Employee Name]],'Base Schedules'!$A$46:$AW$77,19,FALSE)),"")</f>
        <v/>
      </c>
      <c r="U26" s="184" t="str">
        <f>IFERROR(IF(VLOOKUP(Sat_W2[[#This Row],[Employee Name]],'Base Schedules'!$A$46:$AW$77,20,FALSE)="","",VLOOKUP(Sat_W2[[#This Row],[Employee Name]],'Base Schedules'!$A$46:$AW$77,20,FALSE)),"")</f>
        <v/>
      </c>
      <c r="V26" s="184" t="str">
        <f>IFERROR(IF(VLOOKUP(Sat_W2[[#This Row],[Employee Name]],'Base Schedules'!$A$46:$AW$77,21,FALSE)="","",VLOOKUP(Sat_W2[[#This Row],[Employee Name]],'Base Schedules'!$A$46:$AW$77,21,FALSE)),"")</f>
        <v/>
      </c>
      <c r="W26" s="184" t="str">
        <f>IFERROR(IF(VLOOKUP(Sat_W2[[#This Row],[Employee Name]],'Base Schedules'!$A$46:$AW$77,22,FALSE)="","",VLOOKUP(Sat_W2[[#This Row],[Employee Name]],'Base Schedules'!$A$46:$AW$77,22,FALSE)),"")</f>
        <v/>
      </c>
      <c r="X26" s="184" t="str">
        <f>IFERROR(IF(VLOOKUP(Sat_W2[[#This Row],[Employee Name]],'Base Schedules'!$A$46:$AW$77,23,FALSE)="","",VLOOKUP(Sat_W2[[#This Row],[Employee Name]],'Base Schedules'!$A$46:$AW$77,23,FALSE)),"")</f>
        <v>ADM</v>
      </c>
      <c r="Y26" s="184" t="str">
        <f>IFERROR(IF(VLOOKUP(Sat_W2[[#This Row],[Employee Name]],'Base Schedules'!$A$46:$AW$77,24,FALSE)="","",VLOOKUP(Sat_W2[[#This Row],[Employee Name]],'Base Schedules'!$A$46:$AW$77,24,FALSE)),"")</f>
        <v>ADM</v>
      </c>
      <c r="Z26" s="184" t="str">
        <f>IFERROR(IF(VLOOKUP(Sat_W2[[#This Row],[Employee Name]],'Base Schedules'!$A$46:$AW$77,25,FALSE)="","",VLOOKUP(Sat_W2[[#This Row],[Employee Name]],'Base Schedules'!$A$46:$AW$77,25,FALSE)),"")</f>
        <v>ADM</v>
      </c>
      <c r="AA26" s="184" t="str">
        <f>IFERROR(IF(VLOOKUP(Sat_W2[[#This Row],[Employee Name]],'Base Schedules'!$A$46:$AW$77,26,FALSE)="","",VLOOKUP(Sat_W2[[#This Row],[Employee Name]],'Base Schedules'!$A$46:$AW$77,26,FALSE)),"")</f>
        <v>ADM</v>
      </c>
      <c r="AB26" s="184" t="str">
        <f>IFERROR(IF(VLOOKUP(Sat_W2[[#This Row],[Employee Name]],'Base Schedules'!$A$46:$AW$77,27,FALSE)="","",VLOOKUP(Sat_W2[[#This Row],[Employee Name]],'Base Schedules'!$A$46:$AW$77,27,FALSE)),"")</f>
        <v>ADM</v>
      </c>
      <c r="AC26" s="184" t="str">
        <f>IFERROR(IF(VLOOKUP(Sat_W2[[#This Row],[Employee Name]],'Base Schedules'!$A$46:$AW$77,28,FALSE)="","",VLOOKUP(Sat_W2[[#This Row],[Employee Name]],'Base Schedules'!$A$46:$AW$77,28,FALSE)),"")</f>
        <v>B1 HL</v>
      </c>
      <c r="AD26" s="184" t="str">
        <f>IFERROR(IF(VLOOKUP(Sat_W2[[#This Row],[Employee Name]],'Base Schedules'!$A$46:$AW$77,29,FALSE)="","",VLOOKUP(Sat_W2[[#This Row],[Employee Name]],'Base Schedules'!$A$46:$AW$77,29,FALSE)),"")</f>
        <v>HL</v>
      </c>
      <c r="AE26" s="184" t="str">
        <f>IFERROR(IF(VLOOKUP(Sat_W2[[#This Row],[Employee Name]],'Base Schedules'!$A$46:$AW$77,30,FALSE)="","",VLOOKUP(Sat_W2[[#This Row],[Employee Name]],'Base Schedules'!$A$46:$AW$77,30,FALSE)),"")</f>
        <v>HL</v>
      </c>
      <c r="AF26" s="184" t="str">
        <f>IFERROR(IF(VLOOKUP(Sat_W2[[#This Row],[Employee Name]],'Base Schedules'!$A$46:$AW$77,31,FALSE)="","",VLOOKUP(Sat_W2[[#This Row],[Employee Name]],'Base Schedules'!$A$46:$AW$77,31,FALSE)),"")</f>
        <v>HL</v>
      </c>
      <c r="AG26" s="184" t="str">
        <f>IFERROR(IF(VLOOKUP(Sat_W2[[#This Row],[Employee Name]],'Base Schedules'!$A$46:$AW$77,32,FALSE)="","",VLOOKUP(Sat_W2[[#This Row],[Employee Name]],'Base Schedules'!$A$46:$AW$77,32,FALSE)),"")</f>
        <v>HL</v>
      </c>
      <c r="AH26" s="184" t="str">
        <f>IFERROR(IF(VLOOKUP(Sat_W2[[#This Row],[Employee Name]],'Base Schedules'!$A$46:$AW$77,33,FALSE)="","",VLOOKUP(Sat_W2[[#This Row],[Employee Name]],'Base Schedules'!$A$46:$AW$77,33,FALSE)),"")</f>
        <v>LUNCH</v>
      </c>
      <c r="AI26" s="184" t="str">
        <f>IFERROR(IF(VLOOKUP(Sat_W2[[#This Row],[Employee Name]],'Base Schedules'!$A$46:$AW$77,34,FALSE)="","",VLOOKUP(Sat_W2[[#This Row],[Employee Name]],'Base Schedules'!$A$46:$AW$77,34,FALSE)),"")</f>
        <v>LUNCH</v>
      </c>
      <c r="AJ26" s="184" t="str">
        <f>IFERROR(IF(VLOOKUP(Sat_W2[[#This Row],[Employee Name]],'Base Schedules'!$A$46:$AW$77,35,FALSE)="","",VLOOKUP(Sat_W2[[#This Row],[Employee Name]],'Base Schedules'!$A$46:$AW$77,35,FALSE)),"")</f>
        <v>HL</v>
      </c>
      <c r="AK26" s="184" t="str">
        <f>IFERROR(IF(VLOOKUP(Sat_W2[[#This Row],[Employee Name]],'Base Schedules'!$A$46:$AW$77,36,FALSE)="","",VLOOKUP(Sat_W2[[#This Row],[Employee Name]],'Base Schedules'!$A$46:$AW$77,36,FALSE)),"")</f>
        <v>ADM</v>
      </c>
      <c r="AL26" s="184" t="str">
        <f>IFERROR(IF(VLOOKUP(Sat_W2[[#This Row],[Employee Name]],'Base Schedules'!$A$46:$AW$77,37,FALSE)="","",VLOOKUP(Sat_W2[[#This Row],[Employee Name]],'Base Schedules'!$A$46:$AW$77,37,FALSE)),"")</f>
        <v>RNNR</v>
      </c>
      <c r="AM26" s="184" t="str">
        <f>IFERROR(IF(VLOOKUP(Sat_W2[[#This Row],[Employee Name]],'Base Schedules'!$A$46:$AW$77,38,FALSE)="","",VLOOKUP(Sat_W2[[#This Row],[Employee Name]],'Base Schedules'!$A$46:$AW$77,38,FALSE)),"")</f>
        <v>RNNR</v>
      </c>
      <c r="AN26" s="184" t="str">
        <f>IFERROR(IF(VLOOKUP(Sat_W2[[#This Row],[Employee Name]],'Base Schedules'!$A$46:$AW$77,39,FALSE)="","",VLOOKUP(Sat_W2[[#This Row],[Employee Name]],'Base Schedules'!$A$46:$AW$77,39,FALSE)),"")</f>
        <v>ADM B2</v>
      </c>
      <c r="AO26" s="184" t="str">
        <f>IFERROR(IF(VLOOKUP(Sat_W2[[#This Row],[Employee Name]],'Base Schedules'!$A$46:$AW$77,40,FALSE)="","",VLOOKUP(Sat_W2[[#This Row],[Employee Name]],'Base Schedules'!$A$46:$AW$77,40,FALSE)),"")</f>
        <v>ADM</v>
      </c>
      <c r="AP26" s="184" t="str">
        <f>IFERROR(IF(VLOOKUP(Sat_W2[[#This Row],[Employee Name]],'Base Schedules'!$A$46:$AW$77,41,FALSE)="","",VLOOKUP(Sat_W2[[#This Row],[Employee Name]],'Base Schedules'!$A$46:$AW$77,41,FALSE)),"")</f>
        <v>HL</v>
      </c>
      <c r="AQ26" s="184" t="str">
        <f>IFERROR(IF(VLOOKUP(Sat_W2[[#This Row],[Employee Name]],'Base Schedules'!$A$46:$AW$77,42,FALSE)="","",VLOOKUP(Sat_W2[[#This Row],[Employee Name]],'Base Schedules'!$A$46:$AW$77,42,FALSE)),"")</f>
        <v>HL</v>
      </c>
      <c r="AR26" s="184" t="str">
        <f>IFERROR(IF(VLOOKUP(Sat_W2[[#This Row],[Employee Name]],'Base Schedules'!$A$46:$AW$77,43,FALSE)="","",VLOOKUP(Sat_W2[[#This Row],[Employee Name]],'Base Schedules'!$A$46:$AW$77,43,FALSE)),"")</f>
        <v>HL</v>
      </c>
      <c r="AS26" s="184" t="str">
        <f>IFERROR(IF(VLOOKUP(Sat_W2[[#This Row],[Employee Name]],'Base Schedules'!$A$46:$AW$77,44,FALSE)="","",VLOOKUP(Sat_W2[[#This Row],[Employee Name]],'Base Schedules'!$A$46:$AW$77,44,FALSE)),"")</f>
        <v>ADM</v>
      </c>
      <c r="AT26" s="184" t="str">
        <f>IFERROR(IF(VLOOKUP(Sat_W2[[#This Row],[Employee Name]],'Base Schedules'!$A$46:$AW$77,45,FALSE)="","",VLOOKUP(Sat_W2[[#This Row],[Employee Name]],'Base Schedules'!$A$46:$AW$77,45,FALSE)),"")</f>
        <v/>
      </c>
      <c r="AU26" s="184" t="str">
        <f>IFERROR(IF(VLOOKUP(Sat_W2[[#This Row],[Employee Name]],'Base Schedules'!$A$46:$AW$77,46,FALSE)="","",VLOOKUP(Sat_W2[[#This Row],[Employee Name]],'Base Schedules'!$A$46:$AW$77,46,FALSE)),"")</f>
        <v/>
      </c>
      <c r="AV26" s="184" t="str">
        <f>IFERROR(IF(VLOOKUP(Sat_W2[[#This Row],[Employee Name]],'Base Schedules'!$A$46:$AW$77,47,FALSE)="","",VLOOKUP(Sat_W2[[#This Row],[Employee Name]],'Base Schedules'!$A$46:$AW$77,47,FALSE)),"")</f>
        <v/>
      </c>
      <c r="AW26" s="184" t="str">
        <f>IFERROR(IF(VLOOKUP(Sat_W2[[#This Row],[Employee Name]],'Base Schedules'!$A$46:$AW$77,48,FALSE)="","",VLOOKUP(Sat_W2[[#This Row],[Employee Name]],'Base Schedules'!$A$46:$AW$77,48,FALSE)),"")</f>
        <v/>
      </c>
      <c r="AX26" s="184" t="str">
        <f>IFERROR(IF(VLOOKUP(Sat_W2[[#This Row],[Employee Name]],'Base Schedules'!$A$46:$AW$77,49,FALSE)="","",VLOOKUP(Sat_W2[[#This Row],[Employee Name]],'Base Schedules'!$A$46:$AW$77,49,FALSE)),"")</f>
        <v/>
      </c>
      <c r="AY26" s="159" t="str">
        <f t="shared" si="2"/>
        <v>Floirendo, Nicholas</v>
      </c>
    </row>
    <row r="27" spans="1:51" s="44" customFormat="1" ht="12" customHeight="1" x14ac:dyDescent="0.2">
      <c r="A27" s="39" t="str">
        <f>IF(B27="","",INDEX(TeamList[],MATCH($B27,TeamList[[Employee Name]:[Employee Name]],0),MATCH("Manager",TeamList[#Headers],0)))</f>
        <v>Olson, Katherine</v>
      </c>
      <c r="B27" s="201" t="s">
        <v>227</v>
      </c>
      <c r="C27" s="257" t="str">
        <f>_xlfn.IFNA(VLOOKUP(Sat_W2[[#This Row],[Employee Name]],'Base Schedules'!A:B,2,FALSE),"")</f>
        <v>Supervisor</v>
      </c>
      <c r="D27" s="274">
        <f>_xlfn.IFNA(VLOOKUP(Sat_W2[[#This Row],[Employee Name]],'Base Schedules'!A:C,3,FALSE),"")</f>
        <v>1230</v>
      </c>
      <c r="E27" s="274">
        <f>_xlfn.IFNA(VLOOKUP(Sat_W2[[#This Row],[Employee Name]],'Base Schedules'!A:D,4,FALSE),"")</f>
        <v>2130</v>
      </c>
      <c r="F27" s="142">
        <f>IF(Sat_W2[[#This Row],[Employee Name]]="","",IF(Sat_W2[[#This Row],[Dept]]="Supervisor",COUNTIFS($J27:$AX27,"*HL*",$J27:$AX27,"&lt;&gt;"&amp;"pHL"),COUNTIFS($J27:$AX27,"*HL*",$J27:$AX27,"&lt;&gt;"&amp;"*pHL*",$J27:$AX27,"&lt;&gt;"&amp;"pB1 HL",$J27:$AX27,"&lt;&gt;"&amp;"pB2 HL")-SUM(COUNTIFS($J27:$AX27,"*HL B1*",$J27:$AX27,"&lt;&gt;"&amp;"pHL B1")*0.5,COUNTIFS($J27:$AX27,"*HL B2*",$J27:$AX27,"&lt;&gt;"&amp;"pHL B2")*0.5,COUNTIFS($J27:$AX27,"*B1 HL*",$J27:$AX27,"&lt;&gt;"&amp;"pB1 HL")*0.5,COUNTIFS($J27:$AX27,"*B2 HL*",$J27:$AX27,"&lt;&gt;"&amp;"pB2 HL")*0.5)))</f>
        <v>0</v>
      </c>
      <c r="G27" s="142">
        <f t="shared" si="0"/>
        <v>0</v>
      </c>
      <c r="H27" s="142">
        <f t="shared" si="1"/>
        <v>0</v>
      </c>
      <c r="I27" s="142">
        <f>IF(Sat_W2[[#This Row],[Employee Name]]="","",IF(Sat_W2[[#This Row],[Dept]]="Supervisor",SUM(COUNTIFS($J27:$AX27,"RTA*",$J27:$AX27,"&lt;&gt;"&amp;"pRTA"),COUNTIFS($J27:$AX27,"*CRTA*",$J27:$AX27,"&lt;&gt;"&amp;"pCRTA")),COUNTIFS($J27:$AX27,"*RNNR*",$J27:$AX27,"&lt;&gt;"&amp;"*pRNNR*",$J27:$AX27,"&lt;&gt;"&amp;"pB1 RNNR",$J27:$AX27,"&lt;&gt;"&amp;"pB2 RNNR")-SUM(COUNTIFS($J27:$AX27,"*RNNR B1*",$J27:$AX27,"&lt;&gt;"&amp;"pRNNR B1")*0.5,COUNTIFS($J27:$AX27,"*RNNR B2*",$J27:$AX27,"&lt;&gt;"&amp;"pRNNR B2")*0.5,COUNTIFS($J27:$AX27,"*B1 RNNR*",$J27:$AX27,"&lt;&gt;"&amp;"pB1 RNNR")*0.5,COUNTIFS($J27:$AX27,"*B2 RNNR*",$J27:$AX27,"&lt;&gt;"&amp;"pB2 RNNR")*0.5)))</f>
        <v>0</v>
      </c>
      <c r="J27" s="184" t="str">
        <f>IFERROR(IF(VLOOKUP(Sat_W2[[#This Row],[Employee Name]],'Base Schedules'!$A$46:$AW$77,9,FALSE)="","",VLOOKUP(Sat_W2[[#This Row],[Employee Name]],'Base Schedules'!$A$46:$AW$77,9,FALSE)),"")</f>
        <v/>
      </c>
      <c r="K27" s="184" t="str">
        <f>IFERROR(IF(VLOOKUP(Sat_W2[[#This Row],[Employee Name]],'Base Schedules'!$A$46:$AW$77,10,FALSE)="","",VLOOKUP(Sat_W2[[#This Row],[Employee Name]],'Base Schedules'!$A$46:$AW$77,10,FALSE)),"")</f>
        <v/>
      </c>
      <c r="L27" s="184" t="str">
        <f>IFERROR(IF(VLOOKUP(Sat_W2[[#This Row],[Employee Name]],'Base Schedules'!$A$46:$AW$77,11,FALSE)="","",VLOOKUP(Sat_W2[[#This Row],[Employee Name]],'Base Schedules'!$A$46:$AW$77,11,FALSE)),"")</f>
        <v/>
      </c>
      <c r="M27" s="184" t="str">
        <f>IFERROR(IF(VLOOKUP(Sat_W2[[#This Row],[Employee Name]],'Base Schedules'!$A$46:$AW$77,12,FALSE)="","",VLOOKUP(Sat_W2[[#This Row],[Employee Name]],'Base Schedules'!$A$46:$AW$77,12,FALSE)),"")</f>
        <v/>
      </c>
      <c r="N27" s="184" t="str">
        <f>IFERROR(IF(VLOOKUP(Sat_W2[[#This Row],[Employee Name]],'Base Schedules'!$A$46:$AW$77,13,FALSE)="","",VLOOKUP(Sat_W2[[#This Row],[Employee Name]],'Base Schedules'!$A$46:$AW$77,13,FALSE)),"")</f>
        <v/>
      </c>
      <c r="O27" s="184" t="str">
        <f>IFERROR(IF(VLOOKUP(Sat_W2[[#This Row],[Employee Name]],'Base Schedules'!$A$46:$AW$77,14,FALSE)="","",VLOOKUP(Sat_W2[[#This Row],[Employee Name]],'Base Schedules'!$A$46:$AW$77,14,FALSE)),"")</f>
        <v/>
      </c>
      <c r="P27" s="184" t="str">
        <f>IFERROR(IF(VLOOKUP(Sat_W2[[#This Row],[Employee Name]],'Base Schedules'!$A$46:$AW$77,15,FALSE)="","",VLOOKUP(Sat_W2[[#This Row],[Employee Name]],'Base Schedules'!$A$46:$AW$77,15,FALSE)),"")</f>
        <v/>
      </c>
      <c r="Q27" s="184" t="str">
        <f>IFERROR(IF(VLOOKUP(Sat_W2[[#This Row],[Employee Name]],'Base Schedules'!$A$46:$AW$77,16,FALSE)="","",VLOOKUP(Sat_W2[[#This Row],[Employee Name]],'Base Schedules'!$A$46:$AW$77,16,FALSE)),"")</f>
        <v/>
      </c>
      <c r="R27" s="184" t="str">
        <f>IFERROR(IF(VLOOKUP(Sat_W2[[#This Row],[Employee Name]],'Base Schedules'!$A$46:$AW$77,17,FALSE)="","",VLOOKUP(Sat_W2[[#This Row],[Employee Name]],'Base Schedules'!$A$46:$AW$77,17,FALSE)),"")</f>
        <v/>
      </c>
      <c r="S27" s="184" t="str">
        <f>IFERROR(IF(VLOOKUP(Sat_W2[[#This Row],[Employee Name]],'Base Schedules'!$A$46:$AW$77,18,FALSE)="","",VLOOKUP(Sat_W2[[#This Row],[Employee Name]],'Base Schedules'!$A$46:$AW$77,18,FALSE)),"")</f>
        <v/>
      </c>
      <c r="T27" s="184" t="str">
        <f>IFERROR(IF(VLOOKUP(Sat_W2[[#This Row],[Employee Name]],'Base Schedules'!$A$46:$AW$77,19,FALSE)="","",VLOOKUP(Sat_W2[[#This Row],[Employee Name]],'Base Schedules'!$A$46:$AW$77,19,FALSE)),"")</f>
        <v/>
      </c>
      <c r="U27" s="184" t="str">
        <f>IFERROR(IF(VLOOKUP(Sat_W2[[#This Row],[Employee Name]],'Base Schedules'!$A$46:$AW$77,20,FALSE)="","",VLOOKUP(Sat_W2[[#This Row],[Employee Name]],'Base Schedules'!$A$46:$AW$77,20,FALSE)),"")</f>
        <v/>
      </c>
      <c r="V27" s="184" t="str">
        <f>IFERROR(IF(VLOOKUP(Sat_W2[[#This Row],[Employee Name]],'Base Schedules'!$A$46:$AW$77,21,FALSE)="","",VLOOKUP(Sat_W2[[#This Row],[Employee Name]],'Base Schedules'!$A$46:$AW$77,21,FALSE)),"")</f>
        <v/>
      </c>
      <c r="W27" s="184" t="str">
        <f>IFERROR(IF(VLOOKUP(Sat_W2[[#This Row],[Employee Name]],'Base Schedules'!$A$46:$AW$77,22,FALSE)="","",VLOOKUP(Sat_W2[[#This Row],[Employee Name]],'Base Schedules'!$A$46:$AW$77,22,FALSE)),"")</f>
        <v/>
      </c>
      <c r="X27" s="184" t="str">
        <f>IFERROR(IF(VLOOKUP(Sat_W2[[#This Row],[Employee Name]],'Base Schedules'!$A$46:$AW$77,23,FALSE)="","",VLOOKUP(Sat_W2[[#This Row],[Employee Name]],'Base Schedules'!$A$46:$AW$77,23,FALSE)),"")</f>
        <v/>
      </c>
      <c r="Y27" s="184" t="str">
        <f>IFERROR(IF(VLOOKUP(Sat_W2[[#This Row],[Employee Name]],'Base Schedules'!$A$46:$AW$77,24,FALSE)="","",VLOOKUP(Sat_W2[[#This Row],[Employee Name]],'Base Schedules'!$A$46:$AW$77,24,FALSE)),"")</f>
        <v/>
      </c>
      <c r="Z27" s="184" t="str">
        <f>IFERROR(IF(VLOOKUP(Sat_W2[[#This Row],[Employee Name]],'Base Schedules'!$A$46:$AW$77,25,FALSE)="","",VLOOKUP(Sat_W2[[#This Row],[Employee Name]],'Base Schedules'!$A$46:$AW$77,25,FALSE)),"")</f>
        <v/>
      </c>
      <c r="AA27" s="184" t="str">
        <f>IFERROR(IF(VLOOKUP(Sat_W2[[#This Row],[Employee Name]],'Base Schedules'!$A$46:$AW$77,26,FALSE)="","",VLOOKUP(Sat_W2[[#This Row],[Employee Name]],'Base Schedules'!$A$46:$AW$77,26,FALSE)),"")</f>
        <v/>
      </c>
      <c r="AB27" s="184" t="str">
        <f>IFERROR(IF(VLOOKUP(Sat_W2[[#This Row],[Employee Name]],'Base Schedules'!$A$46:$AW$77,27,FALSE)="","",VLOOKUP(Sat_W2[[#This Row],[Employee Name]],'Base Schedules'!$A$46:$AW$77,27,FALSE)),"")</f>
        <v/>
      </c>
      <c r="AC27" s="184" t="str">
        <f>IFERROR(IF(VLOOKUP(Sat_W2[[#This Row],[Employee Name]],'Base Schedules'!$A$46:$AW$77,28,FALSE)="","",VLOOKUP(Sat_W2[[#This Row],[Employee Name]],'Base Schedules'!$A$46:$AW$77,28,FALSE)),"")</f>
        <v/>
      </c>
      <c r="AD27" s="184" t="str">
        <f>IFERROR(IF(VLOOKUP(Sat_W2[[#This Row],[Employee Name]],'Base Schedules'!$A$46:$AW$77,29,FALSE)="","",VLOOKUP(Sat_W2[[#This Row],[Employee Name]],'Base Schedules'!$A$46:$AW$77,29,FALSE)),"")</f>
        <v/>
      </c>
      <c r="AE27" s="184" t="str">
        <f>IFERROR(IF(VLOOKUP(Sat_W2[[#This Row],[Employee Name]],'Base Schedules'!$A$46:$AW$77,30,FALSE)="","",VLOOKUP(Sat_W2[[#This Row],[Employee Name]],'Base Schedules'!$A$46:$AW$77,30,FALSE)),"")</f>
        <v/>
      </c>
      <c r="AF27" s="184" t="str">
        <f>IFERROR(IF(VLOOKUP(Sat_W2[[#This Row],[Employee Name]],'Base Schedules'!$A$46:$AW$77,31,FALSE)="","",VLOOKUP(Sat_W2[[#This Row],[Employee Name]],'Base Schedules'!$A$46:$AW$77,31,FALSE)),"")</f>
        <v/>
      </c>
      <c r="AG27" s="184" t="str">
        <f>IFERROR(IF(VLOOKUP(Sat_W2[[#This Row],[Employee Name]],'Base Schedules'!$A$46:$AW$77,32,FALSE)="","",VLOOKUP(Sat_W2[[#This Row],[Employee Name]],'Base Schedules'!$A$46:$AW$77,32,FALSE)),"")</f>
        <v/>
      </c>
      <c r="AH27" s="184" t="str">
        <f>IFERROR(IF(VLOOKUP(Sat_W2[[#This Row],[Employee Name]],'Base Schedules'!$A$46:$AW$77,33,FALSE)="","",VLOOKUP(Sat_W2[[#This Row],[Employee Name]],'Base Schedules'!$A$46:$AW$77,33,FALSE)),"")</f>
        <v/>
      </c>
      <c r="AI27" s="184" t="str">
        <f>IFERROR(IF(VLOOKUP(Sat_W2[[#This Row],[Employee Name]],'Base Schedules'!$A$46:$AW$77,34,FALSE)="","",VLOOKUP(Sat_W2[[#This Row],[Employee Name]],'Base Schedules'!$A$46:$AW$77,34,FALSE)),"")</f>
        <v/>
      </c>
      <c r="AJ27" s="184" t="str">
        <f>IFERROR(IF(VLOOKUP(Sat_W2[[#This Row],[Employee Name]],'Base Schedules'!$A$46:$AW$77,35,FALSE)="","",VLOOKUP(Sat_W2[[#This Row],[Employee Name]],'Base Schedules'!$A$46:$AW$77,35,FALSE)),"")</f>
        <v/>
      </c>
      <c r="AK27" s="184" t="str">
        <f>IFERROR(IF(VLOOKUP(Sat_W2[[#This Row],[Employee Name]],'Base Schedules'!$A$46:$AW$77,36,FALSE)="","",VLOOKUP(Sat_W2[[#This Row],[Employee Name]],'Base Schedules'!$A$46:$AW$77,36,FALSE)),"")</f>
        <v/>
      </c>
      <c r="AL27" s="184" t="str">
        <f>IFERROR(IF(VLOOKUP(Sat_W2[[#This Row],[Employee Name]],'Base Schedules'!$A$46:$AW$77,37,FALSE)="","",VLOOKUP(Sat_W2[[#This Row],[Employee Name]],'Base Schedules'!$A$46:$AW$77,37,FALSE)),"")</f>
        <v/>
      </c>
      <c r="AM27" s="184" t="str">
        <f>IFERROR(IF(VLOOKUP(Sat_W2[[#This Row],[Employee Name]],'Base Schedules'!$A$46:$AW$77,38,FALSE)="","",VLOOKUP(Sat_W2[[#This Row],[Employee Name]],'Base Schedules'!$A$46:$AW$77,38,FALSE)),"")</f>
        <v/>
      </c>
      <c r="AN27" s="184" t="str">
        <f>IFERROR(IF(VLOOKUP(Sat_W2[[#This Row],[Employee Name]],'Base Schedules'!$A$46:$AW$77,39,FALSE)="","",VLOOKUP(Sat_W2[[#This Row],[Employee Name]],'Base Schedules'!$A$46:$AW$77,39,FALSE)),"")</f>
        <v/>
      </c>
      <c r="AO27" s="184" t="str">
        <f>IFERROR(IF(VLOOKUP(Sat_W2[[#This Row],[Employee Name]],'Base Schedules'!$A$46:$AW$77,40,FALSE)="","",VLOOKUP(Sat_W2[[#This Row],[Employee Name]],'Base Schedules'!$A$46:$AW$77,40,FALSE)),"")</f>
        <v/>
      </c>
      <c r="AP27" s="184" t="str">
        <f>IFERROR(IF(VLOOKUP(Sat_W2[[#This Row],[Employee Name]],'Base Schedules'!$A$46:$AW$77,41,FALSE)="","",VLOOKUP(Sat_W2[[#This Row],[Employee Name]],'Base Schedules'!$A$46:$AW$77,41,FALSE)),"")</f>
        <v/>
      </c>
      <c r="AQ27" s="184" t="str">
        <f>IFERROR(IF(VLOOKUP(Sat_W2[[#This Row],[Employee Name]],'Base Schedules'!$A$46:$AW$77,42,FALSE)="","",VLOOKUP(Sat_W2[[#This Row],[Employee Name]],'Base Schedules'!$A$46:$AW$77,42,FALSE)),"")</f>
        <v/>
      </c>
      <c r="AR27" s="184" t="str">
        <f>IFERROR(IF(VLOOKUP(Sat_W2[[#This Row],[Employee Name]],'Base Schedules'!$A$46:$AW$77,43,FALSE)="","",VLOOKUP(Sat_W2[[#This Row],[Employee Name]],'Base Schedules'!$A$46:$AW$77,43,FALSE)),"")</f>
        <v/>
      </c>
      <c r="AS27" s="184" t="str">
        <f>IFERROR(IF(VLOOKUP(Sat_W2[[#This Row],[Employee Name]],'Base Schedules'!$A$46:$AW$77,44,FALSE)="","",VLOOKUP(Sat_W2[[#This Row],[Employee Name]],'Base Schedules'!$A$46:$AW$77,44,FALSE)),"")</f>
        <v/>
      </c>
      <c r="AT27" s="184" t="str">
        <f>IFERROR(IF(VLOOKUP(Sat_W2[[#This Row],[Employee Name]],'Base Schedules'!$A$46:$AW$77,45,FALSE)="","",VLOOKUP(Sat_W2[[#This Row],[Employee Name]],'Base Schedules'!$A$46:$AW$77,45,FALSE)),"")</f>
        <v/>
      </c>
      <c r="AU27" s="184" t="str">
        <f>IFERROR(IF(VLOOKUP(Sat_W2[[#This Row],[Employee Name]],'Base Schedules'!$A$46:$AW$77,46,FALSE)="","",VLOOKUP(Sat_W2[[#This Row],[Employee Name]],'Base Schedules'!$A$46:$AW$77,46,FALSE)),"")</f>
        <v/>
      </c>
      <c r="AV27" s="184" t="str">
        <f>IFERROR(IF(VLOOKUP(Sat_W2[[#This Row],[Employee Name]],'Base Schedules'!$A$46:$AW$77,47,FALSE)="","",VLOOKUP(Sat_W2[[#This Row],[Employee Name]],'Base Schedules'!$A$46:$AW$77,47,FALSE)),"")</f>
        <v/>
      </c>
      <c r="AW27" s="184" t="str">
        <f>IFERROR(IF(VLOOKUP(Sat_W2[[#This Row],[Employee Name]],'Base Schedules'!$A$46:$AW$77,48,FALSE)="","",VLOOKUP(Sat_W2[[#This Row],[Employee Name]],'Base Schedules'!$A$46:$AW$77,48,FALSE)),"")</f>
        <v/>
      </c>
      <c r="AX27" s="184" t="str">
        <f>IFERROR(IF(VLOOKUP(Sat_W2[[#This Row],[Employee Name]],'Base Schedules'!$A$46:$AW$77,49,FALSE)="","",VLOOKUP(Sat_W2[[#This Row],[Employee Name]],'Base Schedules'!$A$46:$AW$77,49,FALSE)),"")</f>
        <v/>
      </c>
      <c r="AY27" s="160" t="str">
        <f t="shared" si="2"/>
        <v>Ostby, Paige</v>
      </c>
    </row>
    <row r="28" spans="1:51" s="44" customFormat="1" ht="12" customHeight="1" x14ac:dyDescent="0.2">
      <c r="A28" s="39" t="str">
        <f>IF(B28="","",INDEX(TeamList[],MATCH($B28,TeamList[[Employee Name]:[Employee Name]],0),MATCH("Manager",TeamList[#Headers],0)))</f>
        <v>Olson, Katherine</v>
      </c>
      <c r="B28" s="201" t="s">
        <v>238</v>
      </c>
      <c r="C28" s="257" t="str">
        <f>_xlfn.IFNA(VLOOKUP(Sat_W2[[#This Row],[Employee Name]],'Base Schedules'!A:B,2,FALSE),"")</f>
        <v>Lead</v>
      </c>
      <c r="D28" s="274">
        <f>_xlfn.IFNA(VLOOKUP(Sat_W2[[#This Row],[Employee Name]],'Base Schedules'!A:C,3,FALSE),"")</f>
        <v>1230</v>
      </c>
      <c r="E28" s="274">
        <f>_xlfn.IFNA(VLOOKUP(Sat_W2[[#This Row],[Employee Name]],'Base Schedules'!A:D,4,FALSE),"")</f>
        <v>2100</v>
      </c>
      <c r="F28" s="142">
        <f>IF(Sat_W2[[#This Row],[Employee Name]]="","",IF(Sat_W2[[#This Row],[Dept]]="Supervisor",COUNTIFS($J28:$AX28,"*HL*",$J28:$AX28,"&lt;&gt;"&amp;"pHL"),COUNTIFS($J28:$AX28,"*HL*",$J28:$AX28,"&lt;&gt;"&amp;"*pHL*",$J28:$AX28,"&lt;&gt;"&amp;"pB1 HL",$J28:$AX28,"&lt;&gt;"&amp;"pB2 HL")-SUM(COUNTIFS($J28:$AX28,"*HL B1*",$J28:$AX28,"&lt;&gt;"&amp;"pHL B1")*0.5,COUNTIFS($J28:$AX28,"*HL B2*",$J28:$AX28,"&lt;&gt;"&amp;"pHL B2")*0.5,COUNTIFS($J28:$AX28,"*B1 HL*",$J28:$AX28,"&lt;&gt;"&amp;"pB1 HL")*0.5,COUNTIFS($J28:$AX28,"*B2 HL*",$J28:$AX28,"&lt;&gt;"&amp;"pB2 HL")*0.5)))</f>
        <v>6</v>
      </c>
      <c r="G28" s="142">
        <f t="shared" si="0"/>
        <v>0</v>
      </c>
      <c r="H28" s="142">
        <f t="shared" si="1"/>
        <v>8</v>
      </c>
      <c r="I28" s="142">
        <f>IF(Sat_W2[[#This Row],[Employee Name]]="","",IF(Sat_W2[[#This Row],[Dept]]="Supervisor",SUM(COUNTIFS($J28:$AX28,"RTA*",$J28:$AX28,"&lt;&gt;"&amp;"pRTA"),COUNTIFS($J28:$AX28,"*CRTA*",$J28:$AX28,"&lt;&gt;"&amp;"pCRTA")),COUNTIFS($J28:$AX28,"*RNNR*",$J28:$AX28,"&lt;&gt;"&amp;"*pRNNR*",$J28:$AX28,"&lt;&gt;"&amp;"pB1 RNNR",$J28:$AX28,"&lt;&gt;"&amp;"pB2 RNNR")-SUM(COUNTIFS($J28:$AX28,"*RNNR B1*",$J28:$AX28,"&lt;&gt;"&amp;"pRNNR B1")*0.5,COUNTIFS($J28:$AX28,"*RNNR B2*",$J28:$AX28,"&lt;&gt;"&amp;"pRNNR B2")*0.5,COUNTIFS($J28:$AX28,"*B1 RNNR*",$J28:$AX28,"&lt;&gt;"&amp;"pB1 RNNR")*0.5,COUNTIFS($J28:$AX28,"*B2 RNNR*",$J28:$AX28,"&lt;&gt;"&amp;"pB2 RNNR")*0.5)))</f>
        <v>2</v>
      </c>
      <c r="J28" s="184" t="str">
        <f>IFERROR(IF(VLOOKUP(Sat_W2[[#This Row],[Employee Name]],'Base Schedules'!$A$46:$AW$77,9,FALSE)="","",VLOOKUP(Sat_W2[[#This Row],[Employee Name]],'Base Schedules'!$A$46:$AW$77,9,FALSE)),"")</f>
        <v/>
      </c>
      <c r="K28" s="184" t="str">
        <f>IFERROR(IF(VLOOKUP(Sat_W2[[#This Row],[Employee Name]],'Base Schedules'!$A$46:$AW$77,10,FALSE)="","",VLOOKUP(Sat_W2[[#This Row],[Employee Name]],'Base Schedules'!$A$46:$AW$77,10,FALSE)),"")</f>
        <v/>
      </c>
      <c r="L28" s="184" t="str">
        <f>IFERROR(IF(VLOOKUP(Sat_W2[[#This Row],[Employee Name]],'Base Schedules'!$A$46:$AW$77,11,FALSE)="","",VLOOKUP(Sat_W2[[#This Row],[Employee Name]],'Base Schedules'!$A$46:$AW$77,11,FALSE)),"")</f>
        <v/>
      </c>
      <c r="M28" s="184" t="str">
        <f>IFERROR(IF(VLOOKUP(Sat_W2[[#This Row],[Employee Name]],'Base Schedules'!$A$46:$AW$77,12,FALSE)="","",VLOOKUP(Sat_W2[[#This Row],[Employee Name]],'Base Schedules'!$A$46:$AW$77,12,FALSE)),"")</f>
        <v/>
      </c>
      <c r="N28" s="184" t="str">
        <f>IFERROR(IF(VLOOKUP(Sat_W2[[#This Row],[Employee Name]],'Base Schedules'!$A$46:$AW$77,13,FALSE)="","",VLOOKUP(Sat_W2[[#This Row],[Employee Name]],'Base Schedules'!$A$46:$AW$77,13,FALSE)),"")</f>
        <v/>
      </c>
      <c r="O28" s="184" t="str">
        <f>IFERROR(IF(VLOOKUP(Sat_W2[[#This Row],[Employee Name]],'Base Schedules'!$A$46:$AW$77,14,FALSE)="","",VLOOKUP(Sat_W2[[#This Row],[Employee Name]],'Base Schedules'!$A$46:$AW$77,14,FALSE)),"")</f>
        <v/>
      </c>
      <c r="P28" s="184" t="str">
        <f>IFERROR(IF(VLOOKUP(Sat_W2[[#This Row],[Employee Name]],'Base Schedules'!$A$46:$AW$77,15,FALSE)="","",VLOOKUP(Sat_W2[[#This Row],[Employee Name]],'Base Schedules'!$A$46:$AW$77,15,FALSE)),"")</f>
        <v/>
      </c>
      <c r="Q28" s="184" t="str">
        <f>IFERROR(IF(VLOOKUP(Sat_W2[[#This Row],[Employee Name]],'Base Schedules'!$A$46:$AW$77,16,FALSE)="","",VLOOKUP(Sat_W2[[#This Row],[Employee Name]],'Base Schedules'!$A$46:$AW$77,16,FALSE)),"")</f>
        <v/>
      </c>
      <c r="R28" s="184" t="str">
        <f>IFERROR(IF(VLOOKUP(Sat_W2[[#This Row],[Employee Name]],'Base Schedules'!$A$46:$AW$77,17,FALSE)="","",VLOOKUP(Sat_W2[[#This Row],[Employee Name]],'Base Schedules'!$A$46:$AW$77,17,FALSE)),"")</f>
        <v/>
      </c>
      <c r="S28" s="184" t="str">
        <f>IFERROR(IF(VLOOKUP(Sat_W2[[#This Row],[Employee Name]],'Base Schedules'!$A$46:$AW$77,18,FALSE)="","",VLOOKUP(Sat_W2[[#This Row],[Employee Name]],'Base Schedules'!$A$46:$AW$77,18,FALSE)),"")</f>
        <v/>
      </c>
      <c r="T28" s="184" t="str">
        <f>IFERROR(IF(VLOOKUP(Sat_W2[[#This Row],[Employee Name]],'Base Schedules'!$A$46:$AW$77,19,FALSE)="","",VLOOKUP(Sat_W2[[#This Row],[Employee Name]],'Base Schedules'!$A$46:$AW$77,19,FALSE)),"")</f>
        <v/>
      </c>
      <c r="U28" s="184" t="str">
        <f>IFERROR(IF(VLOOKUP(Sat_W2[[#This Row],[Employee Name]],'Base Schedules'!$A$46:$AW$77,20,FALSE)="","",VLOOKUP(Sat_W2[[#This Row],[Employee Name]],'Base Schedules'!$A$46:$AW$77,20,FALSE)),"")</f>
        <v/>
      </c>
      <c r="V28" s="184" t="str">
        <f>IFERROR(IF(VLOOKUP(Sat_W2[[#This Row],[Employee Name]],'Base Schedules'!$A$46:$AW$77,21,FALSE)="","",VLOOKUP(Sat_W2[[#This Row],[Employee Name]],'Base Schedules'!$A$46:$AW$77,21,FALSE)),"")</f>
        <v/>
      </c>
      <c r="W28" s="184" t="str">
        <f>IFERROR(IF(VLOOKUP(Sat_W2[[#This Row],[Employee Name]],'Base Schedules'!$A$46:$AW$77,22,FALSE)="","",VLOOKUP(Sat_W2[[#This Row],[Employee Name]],'Base Schedules'!$A$46:$AW$77,22,FALSE)),"")</f>
        <v/>
      </c>
      <c r="X28" s="184" t="str">
        <f>IFERROR(IF(VLOOKUP(Sat_W2[[#This Row],[Employee Name]],'Base Schedules'!$A$46:$AW$77,23,FALSE)="","",VLOOKUP(Sat_W2[[#This Row],[Employee Name]],'Base Schedules'!$A$46:$AW$77,23,FALSE)),"")</f>
        <v/>
      </c>
      <c r="Y28" s="184" t="str">
        <f>IFERROR(IF(VLOOKUP(Sat_W2[[#This Row],[Employee Name]],'Base Schedules'!$A$46:$AW$77,24,FALSE)="","",VLOOKUP(Sat_W2[[#This Row],[Employee Name]],'Base Schedules'!$A$46:$AW$77,24,FALSE)),"")</f>
        <v>HL</v>
      </c>
      <c r="Z28" s="184" t="str">
        <f>IFERROR(IF(VLOOKUP(Sat_W2[[#This Row],[Employee Name]],'Base Schedules'!$A$46:$AW$77,25,FALSE)="","",VLOOKUP(Sat_W2[[#This Row],[Employee Name]],'Base Schedules'!$A$46:$AW$77,25,FALSE)),"")</f>
        <v>HL</v>
      </c>
      <c r="AA28" s="184" t="str">
        <f>IFERROR(IF(VLOOKUP(Sat_W2[[#This Row],[Employee Name]],'Base Schedules'!$A$46:$AW$77,26,FALSE)="","",VLOOKUP(Sat_W2[[#This Row],[Employee Name]],'Base Schedules'!$A$46:$AW$77,26,FALSE)),"")</f>
        <v>HL</v>
      </c>
      <c r="AB28" s="184" t="str">
        <f>IFERROR(IF(VLOOKUP(Sat_W2[[#This Row],[Employee Name]],'Base Schedules'!$A$46:$AW$77,27,FALSE)="","",VLOOKUP(Sat_W2[[#This Row],[Employee Name]],'Base Schedules'!$A$46:$AW$77,27,FALSE)),"")</f>
        <v>B1 ADM</v>
      </c>
      <c r="AC28" s="184" t="str">
        <f>IFERROR(IF(VLOOKUP(Sat_W2[[#This Row],[Employee Name]],'Base Schedules'!$A$46:$AW$77,28,FALSE)="","",VLOOKUP(Sat_W2[[#This Row],[Employee Name]],'Base Schedules'!$A$46:$AW$77,28,FALSE)),"")</f>
        <v>ADM</v>
      </c>
      <c r="AD28" s="184" t="str">
        <f>IFERROR(IF(VLOOKUP(Sat_W2[[#This Row],[Employee Name]],'Base Schedules'!$A$46:$AW$77,29,FALSE)="","",VLOOKUP(Sat_W2[[#This Row],[Employee Name]],'Base Schedules'!$A$46:$AW$77,29,FALSE)),"")</f>
        <v>ADM</v>
      </c>
      <c r="AE28" s="184" t="str">
        <f>IFERROR(IF(VLOOKUP(Sat_W2[[#This Row],[Employee Name]],'Base Schedules'!$A$46:$AW$77,30,FALSE)="","",VLOOKUP(Sat_W2[[#This Row],[Employee Name]],'Base Schedules'!$A$46:$AW$77,30,FALSE)),"")</f>
        <v>ADM</v>
      </c>
      <c r="AF28" s="184" t="str">
        <f>IFERROR(IF(VLOOKUP(Sat_W2[[#This Row],[Employee Name]],'Base Schedules'!$A$46:$AW$77,31,FALSE)="","",VLOOKUP(Sat_W2[[#This Row],[Employee Name]],'Base Schedules'!$A$46:$AW$77,31,FALSE)),"")</f>
        <v>ADM</v>
      </c>
      <c r="AG28" s="184" t="str">
        <f>IFERROR(IF(VLOOKUP(Sat_W2[[#This Row],[Employee Name]],'Base Schedules'!$A$46:$AW$77,32,FALSE)="","",VLOOKUP(Sat_W2[[#This Row],[Employee Name]],'Base Schedules'!$A$46:$AW$77,32,FALSE)),"")</f>
        <v>LUNCH</v>
      </c>
      <c r="AH28" s="184" t="str">
        <f>IFERROR(IF(VLOOKUP(Sat_W2[[#This Row],[Employee Name]],'Base Schedules'!$A$46:$AW$77,33,FALSE)="","",VLOOKUP(Sat_W2[[#This Row],[Employee Name]],'Base Schedules'!$A$46:$AW$77,33,FALSE)),"")</f>
        <v>RNNR</v>
      </c>
      <c r="AI28" s="184" t="str">
        <f>IFERROR(IF(VLOOKUP(Sat_W2[[#This Row],[Employee Name]],'Base Schedules'!$A$46:$AW$77,34,FALSE)="","",VLOOKUP(Sat_W2[[#This Row],[Employee Name]],'Base Schedules'!$A$46:$AW$77,34,FALSE)),"")</f>
        <v>RNNR</v>
      </c>
      <c r="AJ28" s="184" t="str">
        <f>IFERROR(IF(VLOOKUP(Sat_W2[[#This Row],[Employee Name]],'Base Schedules'!$A$46:$AW$77,35,FALSE)="","",VLOOKUP(Sat_W2[[#This Row],[Employee Name]],'Base Schedules'!$A$46:$AW$77,35,FALSE)),"")</f>
        <v>ADM</v>
      </c>
      <c r="AK28" s="184" t="str">
        <f>IFERROR(IF(VLOOKUP(Sat_W2[[#This Row],[Employee Name]],'Base Schedules'!$A$46:$AW$77,36,FALSE)="","",VLOOKUP(Sat_W2[[#This Row],[Employee Name]],'Base Schedules'!$A$46:$AW$77,36,FALSE)),"")</f>
        <v>ADM B2</v>
      </c>
      <c r="AL28" s="184" t="str">
        <f>IFERROR(IF(VLOOKUP(Sat_W2[[#This Row],[Employee Name]],'Base Schedules'!$A$46:$AW$77,37,FALSE)="","",VLOOKUP(Sat_W2[[#This Row],[Employee Name]],'Base Schedules'!$A$46:$AW$77,37,FALSE)),"")</f>
        <v>ADM</v>
      </c>
      <c r="AM28" s="184" t="str">
        <f>IFERROR(IF(VLOOKUP(Sat_W2[[#This Row],[Employee Name]],'Base Schedules'!$A$46:$AW$77,38,FALSE)="","",VLOOKUP(Sat_W2[[#This Row],[Employee Name]],'Base Schedules'!$A$46:$AW$77,38,FALSE)),"")</f>
        <v>HL</v>
      </c>
      <c r="AN28" s="184" t="str">
        <f>IFERROR(IF(VLOOKUP(Sat_W2[[#This Row],[Employee Name]],'Base Schedules'!$A$46:$AW$77,39,FALSE)="","",VLOOKUP(Sat_W2[[#This Row],[Employee Name]],'Base Schedules'!$A$46:$AW$77,39,FALSE)),"")</f>
        <v>HL</v>
      </c>
      <c r="AO28" s="184" t="str">
        <f>IFERROR(IF(VLOOKUP(Sat_W2[[#This Row],[Employee Name]],'Base Schedules'!$A$46:$AW$77,40,FALSE)="","",VLOOKUP(Sat_W2[[#This Row],[Employee Name]],'Base Schedules'!$A$46:$AW$77,40,FALSE)),"")</f>
        <v>HL</v>
      </c>
      <c r="AP28" s="184" t="str">
        <f>IFERROR(IF(VLOOKUP(Sat_W2[[#This Row],[Employee Name]],'Base Schedules'!$A$46:$AW$77,41,FALSE)="","",VLOOKUP(Sat_W2[[#This Row],[Employee Name]],'Base Schedules'!$A$46:$AW$77,41,FALSE)),"")</f>
        <v/>
      </c>
      <c r="AQ28" s="184" t="str">
        <f>IFERROR(IF(VLOOKUP(Sat_W2[[#This Row],[Employee Name]],'Base Schedules'!$A$46:$AW$77,42,FALSE)="","",VLOOKUP(Sat_W2[[#This Row],[Employee Name]],'Base Schedules'!$A$46:$AW$77,42,FALSE)),"")</f>
        <v/>
      </c>
      <c r="AR28" s="184" t="str">
        <f>IFERROR(IF(VLOOKUP(Sat_W2[[#This Row],[Employee Name]],'Base Schedules'!$A$46:$AW$77,43,FALSE)="","",VLOOKUP(Sat_W2[[#This Row],[Employee Name]],'Base Schedules'!$A$46:$AW$77,43,FALSE)),"")</f>
        <v/>
      </c>
      <c r="AS28" s="184" t="str">
        <f>IFERROR(IF(VLOOKUP(Sat_W2[[#This Row],[Employee Name]],'Base Schedules'!$A$46:$AW$77,44,FALSE)="","",VLOOKUP(Sat_W2[[#This Row],[Employee Name]],'Base Schedules'!$A$46:$AW$77,44,FALSE)),"")</f>
        <v/>
      </c>
      <c r="AT28" s="184" t="str">
        <f>IFERROR(IF(VLOOKUP(Sat_W2[[#This Row],[Employee Name]],'Base Schedules'!$A$46:$AW$77,45,FALSE)="","",VLOOKUP(Sat_W2[[#This Row],[Employee Name]],'Base Schedules'!$A$46:$AW$77,45,FALSE)),"")</f>
        <v/>
      </c>
      <c r="AU28" s="184" t="str">
        <f>IFERROR(IF(VLOOKUP(Sat_W2[[#This Row],[Employee Name]],'Base Schedules'!$A$46:$AW$77,46,FALSE)="","",VLOOKUP(Sat_W2[[#This Row],[Employee Name]],'Base Schedules'!$A$46:$AW$77,46,FALSE)),"")</f>
        <v/>
      </c>
      <c r="AV28" s="184" t="str">
        <f>IFERROR(IF(VLOOKUP(Sat_W2[[#This Row],[Employee Name]],'Base Schedules'!$A$46:$AW$77,47,FALSE)="","",VLOOKUP(Sat_W2[[#This Row],[Employee Name]],'Base Schedules'!$A$46:$AW$77,47,FALSE)),"")</f>
        <v/>
      </c>
      <c r="AW28" s="184" t="str">
        <f>IFERROR(IF(VLOOKUP(Sat_W2[[#This Row],[Employee Name]],'Base Schedules'!$A$46:$AW$77,48,FALSE)="","",VLOOKUP(Sat_W2[[#This Row],[Employee Name]],'Base Schedules'!$A$46:$AW$77,48,FALSE)),"")</f>
        <v/>
      </c>
      <c r="AX28" s="184" t="str">
        <f>IFERROR(IF(VLOOKUP(Sat_W2[[#This Row],[Employee Name]],'Base Schedules'!$A$46:$AW$77,49,FALSE)="","",VLOOKUP(Sat_W2[[#This Row],[Employee Name]],'Base Schedules'!$A$46:$AW$77,49,FALSE)),"")</f>
        <v/>
      </c>
      <c r="AY28" s="160" t="str">
        <f t="shared" si="2"/>
        <v>Suhama, Ryan</v>
      </c>
    </row>
    <row r="29" spans="1:51" s="44" customFormat="1" ht="12" customHeight="1" x14ac:dyDescent="0.2">
      <c r="A29" s="39" t="str">
        <f>IF(B29="","",INDEX(TeamList[],MATCH($B29,TeamList[[Employee Name]:[Employee Name]],0),MATCH("Manager",TeamList[#Headers],0)))</f>
        <v>Ahmed Hassan, Zahra</v>
      </c>
      <c r="B29" s="201" t="s">
        <v>23</v>
      </c>
      <c r="C29" s="257" t="str">
        <f>_xlfn.IFNA(VLOOKUP(Sat_W2[[#This Row],[Employee Name]],'Base Schedules'!A:B,2,FALSE),"")</f>
        <v>Supervisor</v>
      </c>
      <c r="D29" s="274">
        <f>_xlfn.IFNA(VLOOKUP(Sat_W2[[#This Row],[Employee Name]],'Base Schedules'!A:C,3,FALSE),"")</f>
        <v>1230</v>
      </c>
      <c r="E29" s="274">
        <f>_xlfn.IFNA(VLOOKUP(Sat_W2[[#This Row],[Employee Name]],'Base Schedules'!A:D,4,FALSE),"")</f>
        <v>2130</v>
      </c>
      <c r="F29" s="142">
        <f>IF(Sat_W2[[#This Row],[Employee Name]]="","",IF(Sat_W2[[#This Row],[Dept]]="Supervisor",COUNTIFS($J29:$AX29,"*HL*",$J29:$AX29,"&lt;&gt;"&amp;"pHL"),COUNTIFS($J29:$AX29,"*HL*",$J29:$AX29,"&lt;&gt;"&amp;"*pHL*",$J29:$AX29,"&lt;&gt;"&amp;"pB1 HL",$J29:$AX29,"&lt;&gt;"&amp;"pB2 HL")-SUM(COUNTIFS($J29:$AX29,"*HL B1*",$J29:$AX29,"&lt;&gt;"&amp;"pHL B1")*0.5,COUNTIFS($J29:$AX29,"*HL B2*",$J29:$AX29,"&lt;&gt;"&amp;"pHL B2")*0.5,COUNTIFS($J29:$AX29,"*B1 HL*",$J29:$AX29,"&lt;&gt;"&amp;"pB1 HL")*0.5,COUNTIFS($J29:$AX29,"*B2 HL*",$J29:$AX29,"&lt;&gt;"&amp;"pB2 HL")*0.5)))</f>
        <v>0</v>
      </c>
      <c r="G29" s="142">
        <f t="shared" si="0"/>
        <v>4</v>
      </c>
      <c r="H29" s="142">
        <f t="shared" si="1"/>
        <v>0</v>
      </c>
      <c r="I29" s="142">
        <f>IF(Sat_W2[[#This Row],[Employee Name]]="","",IF(Sat_W2[[#This Row],[Dept]]="Supervisor",SUM(COUNTIFS($J29:$AX29,"RTA*",$J29:$AX29,"&lt;&gt;"&amp;"pRTA"),COUNTIFS($J29:$AX29,"*CRTA*",$J29:$AX29,"&lt;&gt;"&amp;"pCRTA")),COUNTIFS($J29:$AX29,"*RNNR*",$J29:$AX29,"&lt;&gt;"&amp;"*pRNNR*",$J29:$AX29,"&lt;&gt;"&amp;"pB1 RNNR",$J29:$AX29,"&lt;&gt;"&amp;"pB2 RNNR")-SUM(COUNTIFS($J29:$AX29,"*RNNR B1*",$J29:$AX29,"&lt;&gt;"&amp;"pRNNR B1")*0.5,COUNTIFS($J29:$AX29,"*RNNR B2*",$J29:$AX29,"&lt;&gt;"&amp;"pRNNR B2")*0.5,COUNTIFS($J29:$AX29,"*B1 RNNR*",$J29:$AX29,"&lt;&gt;"&amp;"pB1 RNNR")*0.5,COUNTIFS($J29:$AX29,"*B2 RNNR*",$J29:$AX29,"&lt;&gt;"&amp;"pB2 RNNR")*0.5)))</f>
        <v>0</v>
      </c>
      <c r="J29" s="184" t="str">
        <f>IFERROR(IF(VLOOKUP(Sat_W2[[#This Row],[Employee Name]],'Base Schedules'!$A$46:$AW$77,9,FALSE)="","",VLOOKUP(Sat_W2[[#This Row],[Employee Name]],'Base Schedules'!$A$46:$AW$77,9,FALSE)),"")</f>
        <v/>
      </c>
      <c r="K29" s="184" t="str">
        <f>IFERROR(IF(VLOOKUP(Sat_W2[[#This Row],[Employee Name]],'Base Schedules'!$A$46:$AW$77,10,FALSE)="","",VLOOKUP(Sat_W2[[#This Row],[Employee Name]],'Base Schedules'!$A$46:$AW$77,10,FALSE)),"")</f>
        <v/>
      </c>
      <c r="L29" s="184" t="str">
        <f>IFERROR(IF(VLOOKUP(Sat_W2[[#This Row],[Employee Name]],'Base Schedules'!$A$46:$AW$77,11,FALSE)="","",VLOOKUP(Sat_W2[[#This Row],[Employee Name]],'Base Schedules'!$A$46:$AW$77,11,FALSE)),"")</f>
        <v/>
      </c>
      <c r="M29" s="184" t="str">
        <f>IFERROR(IF(VLOOKUP(Sat_W2[[#This Row],[Employee Name]],'Base Schedules'!$A$46:$AW$77,12,FALSE)="","",VLOOKUP(Sat_W2[[#This Row],[Employee Name]],'Base Schedules'!$A$46:$AW$77,12,FALSE)),"")</f>
        <v/>
      </c>
      <c r="N29" s="184" t="str">
        <f>IFERROR(IF(VLOOKUP(Sat_W2[[#This Row],[Employee Name]],'Base Schedules'!$A$46:$AW$77,13,FALSE)="","",VLOOKUP(Sat_W2[[#This Row],[Employee Name]],'Base Schedules'!$A$46:$AW$77,13,FALSE)),"")</f>
        <v/>
      </c>
      <c r="O29" s="184" t="str">
        <f>IFERROR(IF(VLOOKUP(Sat_W2[[#This Row],[Employee Name]],'Base Schedules'!$A$46:$AW$77,14,FALSE)="","",VLOOKUP(Sat_W2[[#This Row],[Employee Name]],'Base Schedules'!$A$46:$AW$77,14,FALSE)),"")</f>
        <v/>
      </c>
      <c r="P29" s="184" t="str">
        <f>IFERROR(IF(VLOOKUP(Sat_W2[[#This Row],[Employee Name]],'Base Schedules'!$A$46:$AW$77,15,FALSE)="","",VLOOKUP(Sat_W2[[#This Row],[Employee Name]],'Base Schedules'!$A$46:$AW$77,15,FALSE)),"")</f>
        <v/>
      </c>
      <c r="Q29" s="184" t="str">
        <f>IFERROR(IF(VLOOKUP(Sat_W2[[#This Row],[Employee Name]],'Base Schedules'!$A$46:$AW$77,16,FALSE)="","",VLOOKUP(Sat_W2[[#This Row],[Employee Name]],'Base Schedules'!$A$46:$AW$77,16,FALSE)),"")</f>
        <v/>
      </c>
      <c r="R29" s="184" t="str">
        <f>IFERROR(IF(VLOOKUP(Sat_W2[[#This Row],[Employee Name]],'Base Schedules'!$A$46:$AW$77,17,FALSE)="","",VLOOKUP(Sat_W2[[#This Row],[Employee Name]],'Base Schedules'!$A$46:$AW$77,17,FALSE)),"")</f>
        <v/>
      </c>
      <c r="S29" s="184" t="str">
        <f>IFERROR(IF(VLOOKUP(Sat_W2[[#This Row],[Employee Name]],'Base Schedules'!$A$46:$AW$77,18,FALSE)="","",VLOOKUP(Sat_W2[[#This Row],[Employee Name]],'Base Schedules'!$A$46:$AW$77,18,FALSE)),"")</f>
        <v/>
      </c>
      <c r="T29" s="184" t="str">
        <f>IFERROR(IF(VLOOKUP(Sat_W2[[#This Row],[Employee Name]],'Base Schedules'!$A$46:$AW$77,19,FALSE)="","",VLOOKUP(Sat_W2[[#This Row],[Employee Name]],'Base Schedules'!$A$46:$AW$77,19,FALSE)),"")</f>
        <v/>
      </c>
      <c r="U29" s="184" t="str">
        <f>IFERROR(IF(VLOOKUP(Sat_W2[[#This Row],[Employee Name]],'Base Schedules'!$A$46:$AW$77,20,FALSE)="","",VLOOKUP(Sat_W2[[#This Row],[Employee Name]],'Base Schedules'!$A$46:$AW$77,20,FALSE)),"")</f>
        <v/>
      </c>
      <c r="V29" s="184" t="str">
        <f>IFERROR(IF(VLOOKUP(Sat_W2[[#This Row],[Employee Name]],'Base Schedules'!$A$46:$AW$77,21,FALSE)="","",VLOOKUP(Sat_W2[[#This Row],[Employee Name]],'Base Schedules'!$A$46:$AW$77,21,FALSE)),"")</f>
        <v/>
      </c>
      <c r="W29" s="184" t="str">
        <f>IFERROR(IF(VLOOKUP(Sat_W2[[#This Row],[Employee Name]],'Base Schedules'!$A$46:$AW$77,22,FALSE)="","",VLOOKUP(Sat_W2[[#This Row],[Employee Name]],'Base Schedules'!$A$46:$AW$77,22,FALSE)),"")</f>
        <v/>
      </c>
      <c r="X29" s="184" t="str">
        <f>IFERROR(IF(VLOOKUP(Sat_W2[[#This Row],[Employee Name]],'Base Schedules'!$A$46:$AW$77,23,FALSE)="","",VLOOKUP(Sat_W2[[#This Row],[Employee Name]],'Base Schedules'!$A$46:$AW$77,23,FALSE)),"")</f>
        <v/>
      </c>
      <c r="Y29" s="184" t="str">
        <f>IFERROR(IF(VLOOKUP(Sat_W2[[#This Row],[Employee Name]],'Base Schedules'!$A$46:$AW$77,24,FALSE)="","",VLOOKUP(Sat_W2[[#This Row],[Employee Name]],'Base Schedules'!$A$46:$AW$77,24,FALSE)),"")</f>
        <v>-</v>
      </c>
      <c r="Z29" s="184" t="str">
        <f>IFERROR(IF(VLOOKUP(Sat_W2[[#This Row],[Employee Name]],'Base Schedules'!$A$46:$AW$77,25,FALSE)="","",VLOOKUP(Sat_W2[[#This Row],[Employee Name]],'Base Schedules'!$A$46:$AW$77,25,FALSE)),"")</f>
        <v>-</v>
      </c>
      <c r="AA29" s="184" t="str">
        <f>IFERROR(IF(VLOOKUP(Sat_W2[[#This Row],[Employee Name]],'Base Schedules'!$A$46:$AW$77,26,FALSE)="","",VLOOKUP(Sat_W2[[#This Row],[Employee Name]],'Base Schedules'!$A$46:$AW$77,26,FALSE)),"")</f>
        <v>-</v>
      </c>
      <c r="AB29" s="184" t="str">
        <f>IFERROR(IF(VLOOKUP(Sat_W2[[#This Row],[Employee Name]],'Base Schedules'!$A$46:$AW$77,27,FALSE)="","",VLOOKUP(Sat_W2[[#This Row],[Employee Name]],'Base Schedules'!$A$46:$AW$77,27,FALSE)),"")</f>
        <v>-</v>
      </c>
      <c r="AC29" s="184" t="str">
        <f>IFERROR(IF(VLOOKUP(Sat_W2[[#This Row],[Employee Name]],'Base Schedules'!$A$46:$AW$77,28,FALSE)="","",VLOOKUP(Sat_W2[[#This Row],[Employee Name]],'Base Schedules'!$A$46:$AW$77,28,FALSE)),"")</f>
        <v>TM PREP</v>
      </c>
      <c r="AD29" s="184" t="str">
        <f>IFERROR(IF(VLOOKUP(Sat_W2[[#This Row],[Employee Name]],'Base Schedules'!$A$46:$AW$77,29,FALSE)="","",VLOOKUP(Sat_W2[[#This Row],[Employee Name]],'Base Schedules'!$A$46:$AW$77,29,FALSE)),"")</f>
        <v>MCFALL TM</v>
      </c>
      <c r="AE29" s="184" t="str">
        <f>IFERROR(IF(VLOOKUP(Sat_W2[[#This Row],[Employee Name]],'Base Schedules'!$A$46:$AW$77,30,FALSE)="","",VLOOKUP(Sat_W2[[#This Row],[Employee Name]],'Base Schedules'!$A$46:$AW$77,30,FALSE)),"")</f>
        <v>MCFALL TM</v>
      </c>
      <c r="AF29" s="184" t="str">
        <f>IFERROR(IF(VLOOKUP(Sat_W2[[#This Row],[Employee Name]],'Base Schedules'!$A$46:$AW$77,31,FALSE)="","",VLOOKUP(Sat_W2[[#This Row],[Employee Name]],'Base Schedules'!$A$46:$AW$77,31,FALSE)),"")</f>
        <v>-</v>
      </c>
      <c r="AG29" s="184" t="str">
        <f>IFERROR(IF(VLOOKUP(Sat_W2[[#This Row],[Employee Name]],'Base Schedules'!$A$46:$AW$77,32,FALSE)="","",VLOOKUP(Sat_W2[[#This Row],[Employee Name]],'Base Schedules'!$A$46:$AW$77,32,FALSE)),"")</f>
        <v>-</v>
      </c>
      <c r="AH29" s="184" t="str">
        <f>IFERROR(IF(VLOOKUP(Sat_W2[[#This Row],[Employee Name]],'Base Schedules'!$A$46:$AW$77,33,FALSE)="","",VLOOKUP(Sat_W2[[#This Row],[Employee Name]],'Base Schedules'!$A$46:$AW$77,33,FALSE)),"")</f>
        <v>Coaching</v>
      </c>
      <c r="AI29" s="184" t="str">
        <f>IFERROR(IF(VLOOKUP(Sat_W2[[#This Row],[Employee Name]],'Base Schedules'!$A$46:$AW$77,34,FALSE)="","",VLOOKUP(Sat_W2[[#This Row],[Employee Name]],'Base Schedules'!$A$46:$AW$77,34,FALSE)),"")</f>
        <v>Coaching</v>
      </c>
      <c r="AJ29" s="184" t="str">
        <f>IFERROR(IF(VLOOKUP(Sat_W2[[#This Row],[Employee Name]],'Base Schedules'!$A$46:$AW$77,35,FALSE)="","",VLOOKUP(Sat_W2[[#This Row],[Employee Name]],'Base Schedules'!$A$46:$AW$77,35,FALSE)),"")</f>
        <v>Coaching</v>
      </c>
      <c r="AK29" s="184" t="str">
        <f>IFERROR(IF(VLOOKUP(Sat_W2[[#This Row],[Employee Name]],'Base Schedules'!$A$46:$AW$77,36,FALSE)="","",VLOOKUP(Sat_W2[[#This Row],[Employee Name]],'Base Schedules'!$A$46:$AW$77,36,FALSE)),"")</f>
        <v>Coaching</v>
      </c>
      <c r="AL29" s="184" t="str">
        <f>IFERROR(IF(VLOOKUP(Sat_W2[[#This Row],[Employee Name]],'Base Schedules'!$A$46:$AW$77,37,FALSE)="","",VLOOKUP(Sat_W2[[#This Row],[Employee Name]],'Base Schedules'!$A$46:$AW$77,37,FALSE)),"")</f>
        <v>-</v>
      </c>
      <c r="AM29" s="184" t="str">
        <f>IFERROR(IF(VLOOKUP(Sat_W2[[#This Row],[Employee Name]],'Base Schedules'!$A$46:$AW$77,38,FALSE)="","",VLOOKUP(Sat_W2[[#This Row],[Employee Name]],'Base Schedules'!$A$46:$AW$77,38,FALSE)),"")</f>
        <v>-</v>
      </c>
      <c r="AN29" s="184" t="str">
        <f>IFERROR(IF(VLOOKUP(Sat_W2[[#This Row],[Employee Name]],'Base Schedules'!$A$46:$AW$77,39,FALSE)="","",VLOOKUP(Sat_W2[[#This Row],[Employee Name]],'Base Schedules'!$A$46:$AW$77,39,FALSE)),"")</f>
        <v>-</v>
      </c>
      <c r="AO29" s="184" t="str">
        <f>IFERROR(IF(VLOOKUP(Sat_W2[[#This Row],[Employee Name]],'Base Schedules'!$A$46:$AW$77,40,FALSE)="","",VLOOKUP(Sat_W2[[#This Row],[Employee Name]],'Base Schedules'!$A$46:$AW$77,40,FALSE)),"")</f>
        <v>-</v>
      </c>
      <c r="AP29" s="184" t="str">
        <f>IFERROR(IF(VLOOKUP(Sat_W2[[#This Row],[Employee Name]],'Base Schedules'!$A$46:$AW$77,41,FALSE)="","",VLOOKUP(Sat_W2[[#This Row],[Employee Name]],'Base Schedules'!$A$46:$AW$77,41,FALSE)),"")</f>
        <v>-</v>
      </c>
      <c r="AQ29" s="184" t="str">
        <f>IFERROR(IF(VLOOKUP(Sat_W2[[#This Row],[Employee Name]],'Base Schedules'!$A$46:$AW$77,42,FALSE)="","",VLOOKUP(Sat_W2[[#This Row],[Employee Name]],'Base Schedules'!$A$46:$AW$77,42,FALSE)),"")</f>
        <v/>
      </c>
      <c r="AR29" s="184" t="str">
        <f>IFERROR(IF(VLOOKUP(Sat_W2[[#This Row],[Employee Name]],'Base Schedules'!$A$46:$AW$77,43,FALSE)="","",VLOOKUP(Sat_W2[[#This Row],[Employee Name]],'Base Schedules'!$A$46:$AW$77,43,FALSE)),"")</f>
        <v/>
      </c>
      <c r="AS29" s="184" t="str">
        <f>IFERROR(IF(VLOOKUP(Sat_W2[[#This Row],[Employee Name]],'Base Schedules'!$A$46:$AW$77,44,FALSE)="","",VLOOKUP(Sat_W2[[#This Row],[Employee Name]],'Base Schedules'!$A$46:$AW$77,44,FALSE)),"")</f>
        <v/>
      </c>
      <c r="AT29" s="184" t="str">
        <f>IFERROR(IF(VLOOKUP(Sat_W2[[#This Row],[Employee Name]],'Base Schedules'!$A$46:$AW$77,45,FALSE)="","",VLOOKUP(Sat_W2[[#This Row],[Employee Name]],'Base Schedules'!$A$46:$AW$77,45,FALSE)),"")</f>
        <v/>
      </c>
      <c r="AU29" s="184" t="str">
        <f>IFERROR(IF(VLOOKUP(Sat_W2[[#This Row],[Employee Name]],'Base Schedules'!$A$46:$AW$77,46,FALSE)="","",VLOOKUP(Sat_W2[[#This Row],[Employee Name]],'Base Schedules'!$A$46:$AW$77,46,FALSE)),"")</f>
        <v/>
      </c>
      <c r="AV29" s="184" t="str">
        <f>IFERROR(IF(VLOOKUP(Sat_W2[[#This Row],[Employee Name]],'Base Schedules'!$A$46:$AW$77,47,FALSE)="","",VLOOKUP(Sat_W2[[#This Row],[Employee Name]],'Base Schedules'!$A$46:$AW$77,47,FALSE)),"")</f>
        <v/>
      </c>
      <c r="AW29" s="184" t="str">
        <f>IFERROR(IF(VLOOKUP(Sat_W2[[#This Row],[Employee Name]],'Base Schedules'!$A$46:$AW$77,48,FALSE)="","",VLOOKUP(Sat_W2[[#This Row],[Employee Name]],'Base Schedules'!$A$46:$AW$77,48,FALSE)),"")</f>
        <v/>
      </c>
      <c r="AX29" s="184" t="str">
        <f>IFERROR(IF(VLOOKUP(Sat_W2[[#This Row],[Employee Name]],'Base Schedules'!$A$46:$AW$77,49,FALSE)="","",VLOOKUP(Sat_W2[[#This Row],[Employee Name]],'Base Schedules'!$A$46:$AW$77,49,FALSE)),"")</f>
        <v/>
      </c>
      <c r="AY29" s="160" t="str">
        <f t="shared" si="2"/>
        <v>McFall, Erin</v>
      </c>
    </row>
    <row r="30" spans="1:51" s="44" customFormat="1" ht="12" customHeight="1" x14ac:dyDescent="0.2">
      <c r="A30" s="39" t="e">
        <f>IF(B30="","",INDEX(TeamList[],MATCH($B30,TeamList[[Employee Name]:[Employee Name]],0),MATCH("Manager",TeamList[#Headers],0)))</f>
        <v>#N/A</v>
      </c>
      <c r="B30" s="201" t="s">
        <v>587</v>
      </c>
      <c r="C30" s="257" t="str">
        <f>_xlfn.IFNA(VLOOKUP(Sat_W2[[#This Row],[Employee Name]],'Base Schedules'!A:B,2,FALSE),"")</f>
        <v>Lead</v>
      </c>
      <c r="D30" s="274">
        <f>_xlfn.IFNA(VLOOKUP(Sat_W2[[#This Row],[Employee Name]],'Base Schedules'!A:C,3,FALSE),"")</f>
        <v>1230</v>
      </c>
      <c r="E30" s="274">
        <f>_xlfn.IFNA(VLOOKUP(Sat_W2[[#This Row],[Employee Name]],'Base Schedules'!A:D,4,FALSE),"")</f>
        <v>2100</v>
      </c>
      <c r="F30" s="142">
        <f>IF(Sat_W2[[#This Row],[Employee Name]]="","",IF(Sat_W2[[#This Row],[Dept]]="Supervisor",COUNTIFS($J30:$AX30,"*HL*",$J30:$AX30,"&lt;&gt;"&amp;"pHL"),COUNTIFS($J30:$AX30,"*HL*",$J30:$AX30,"&lt;&gt;"&amp;"*pHL*",$J30:$AX30,"&lt;&gt;"&amp;"pB1 HL",$J30:$AX30,"&lt;&gt;"&amp;"pB2 HL")-SUM(COUNTIFS($J30:$AX30,"*HL B1*",$J30:$AX30,"&lt;&gt;"&amp;"pHL B1")*0.5,COUNTIFS($J30:$AX30,"*HL B2*",$J30:$AX30,"&lt;&gt;"&amp;"pHL B2")*0.5,COUNTIFS($J30:$AX30,"*B1 HL*",$J30:$AX30,"&lt;&gt;"&amp;"pB1 HL")*0.5,COUNTIFS($J30:$AX30,"*B2 HL*",$J30:$AX30,"&lt;&gt;"&amp;"pB2 HL")*0.5)))</f>
        <v>7.5</v>
      </c>
      <c r="G30" s="142">
        <f t="shared" si="0"/>
        <v>0</v>
      </c>
      <c r="H30" s="142">
        <f t="shared" si="1"/>
        <v>6</v>
      </c>
      <c r="I30" s="142">
        <f>IF(Sat_W2[[#This Row],[Employee Name]]="","",IF(Sat_W2[[#This Row],[Dept]]="Supervisor",SUM(COUNTIFS($J30:$AX30,"RTA*",$J30:$AX30,"&lt;&gt;"&amp;"pRTA"),COUNTIFS($J30:$AX30,"*CRTA*",$J30:$AX30,"&lt;&gt;"&amp;"pCRTA")),COUNTIFS($J30:$AX30,"*RNNR*",$J30:$AX30,"&lt;&gt;"&amp;"*pRNNR*",$J30:$AX30,"&lt;&gt;"&amp;"pB1 RNNR",$J30:$AX30,"&lt;&gt;"&amp;"pB2 RNNR")-SUM(COUNTIFS($J30:$AX30,"*RNNR B1*",$J30:$AX30,"&lt;&gt;"&amp;"pRNNR B1")*0.5,COUNTIFS($J30:$AX30,"*RNNR B2*",$J30:$AX30,"&lt;&gt;"&amp;"pRNNR B2")*0.5,COUNTIFS($J30:$AX30,"*B1 RNNR*",$J30:$AX30,"&lt;&gt;"&amp;"pB1 RNNR")*0.5,COUNTIFS($J30:$AX30,"*B2 RNNR*",$J30:$AX30,"&lt;&gt;"&amp;"pB2 RNNR")*0.5)))</f>
        <v>2</v>
      </c>
      <c r="J30" s="184" t="str">
        <f>IFERROR(IF(VLOOKUP(Sat_W2[[#This Row],[Employee Name]],'Base Schedules'!$A$46:$AW$77,9,FALSE)="","",VLOOKUP(Sat_W2[[#This Row],[Employee Name]],'Base Schedules'!$A$46:$AW$77,9,FALSE)),"")</f>
        <v/>
      </c>
      <c r="K30" s="184" t="str">
        <f>IFERROR(IF(VLOOKUP(Sat_W2[[#This Row],[Employee Name]],'Base Schedules'!$A$46:$AW$77,10,FALSE)="","",VLOOKUP(Sat_W2[[#This Row],[Employee Name]],'Base Schedules'!$A$46:$AW$77,10,FALSE)),"")</f>
        <v/>
      </c>
      <c r="L30" s="184" t="str">
        <f>IFERROR(IF(VLOOKUP(Sat_W2[[#This Row],[Employee Name]],'Base Schedules'!$A$46:$AW$77,11,FALSE)="","",VLOOKUP(Sat_W2[[#This Row],[Employee Name]],'Base Schedules'!$A$46:$AW$77,11,FALSE)),"")</f>
        <v/>
      </c>
      <c r="M30" s="184" t="str">
        <f>IFERROR(IF(VLOOKUP(Sat_W2[[#This Row],[Employee Name]],'Base Schedules'!$A$46:$AW$77,12,FALSE)="","",VLOOKUP(Sat_W2[[#This Row],[Employee Name]],'Base Schedules'!$A$46:$AW$77,12,FALSE)),"")</f>
        <v/>
      </c>
      <c r="N30" s="184" t="str">
        <f>IFERROR(IF(VLOOKUP(Sat_W2[[#This Row],[Employee Name]],'Base Schedules'!$A$46:$AW$77,13,FALSE)="","",VLOOKUP(Sat_W2[[#This Row],[Employee Name]],'Base Schedules'!$A$46:$AW$77,13,FALSE)),"")</f>
        <v/>
      </c>
      <c r="O30" s="184" t="str">
        <f>IFERROR(IF(VLOOKUP(Sat_W2[[#This Row],[Employee Name]],'Base Schedules'!$A$46:$AW$77,14,FALSE)="","",VLOOKUP(Sat_W2[[#This Row],[Employee Name]],'Base Schedules'!$A$46:$AW$77,14,FALSE)),"")</f>
        <v/>
      </c>
      <c r="P30" s="184" t="str">
        <f>IFERROR(IF(VLOOKUP(Sat_W2[[#This Row],[Employee Name]],'Base Schedules'!$A$46:$AW$77,15,FALSE)="","",VLOOKUP(Sat_W2[[#This Row],[Employee Name]],'Base Schedules'!$A$46:$AW$77,15,FALSE)),"")</f>
        <v/>
      </c>
      <c r="Q30" s="184" t="str">
        <f>IFERROR(IF(VLOOKUP(Sat_W2[[#This Row],[Employee Name]],'Base Schedules'!$A$46:$AW$77,16,FALSE)="","",VLOOKUP(Sat_W2[[#This Row],[Employee Name]],'Base Schedules'!$A$46:$AW$77,16,FALSE)),"")</f>
        <v/>
      </c>
      <c r="R30" s="184" t="str">
        <f>IFERROR(IF(VLOOKUP(Sat_W2[[#This Row],[Employee Name]],'Base Schedules'!$A$46:$AW$77,17,FALSE)="","",VLOOKUP(Sat_W2[[#This Row],[Employee Name]],'Base Schedules'!$A$46:$AW$77,17,FALSE)),"")</f>
        <v/>
      </c>
      <c r="S30" s="184" t="str">
        <f>IFERROR(IF(VLOOKUP(Sat_W2[[#This Row],[Employee Name]],'Base Schedules'!$A$46:$AW$77,18,FALSE)="","",VLOOKUP(Sat_W2[[#This Row],[Employee Name]],'Base Schedules'!$A$46:$AW$77,18,FALSE)),"")</f>
        <v/>
      </c>
      <c r="T30" s="184" t="str">
        <f>IFERROR(IF(VLOOKUP(Sat_W2[[#This Row],[Employee Name]],'Base Schedules'!$A$46:$AW$77,19,FALSE)="","",VLOOKUP(Sat_W2[[#This Row],[Employee Name]],'Base Schedules'!$A$46:$AW$77,19,FALSE)),"")</f>
        <v/>
      </c>
      <c r="U30" s="184" t="str">
        <f>IFERROR(IF(VLOOKUP(Sat_W2[[#This Row],[Employee Name]],'Base Schedules'!$A$46:$AW$77,20,FALSE)="","",VLOOKUP(Sat_W2[[#This Row],[Employee Name]],'Base Schedules'!$A$46:$AW$77,20,FALSE)),"")</f>
        <v/>
      </c>
      <c r="V30" s="184" t="str">
        <f>IFERROR(IF(VLOOKUP(Sat_W2[[#This Row],[Employee Name]],'Base Schedules'!$A$46:$AW$77,21,FALSE)="","",VLOOKUP(Sat_W2[[#This Row],[Employee Name]],'Base Schedules'!$A$46:$AW$77,21,FALSE)),"")</f>
        <v/>
      </c>
      <c r="W30" s="184" t="str">
        <f>IFERROR(IF(VLOOKUP(Sat_W2[[#This Row],[Employee Name]],'Base Schedules'!$A$46:$AW$77,22,FALSE)="","",VLOOKUP(Sat_W2[[#This Row],[Employee Name]],'Base Schedules'!$A$46:$AW$77,22,FALSE)),"")</f>
        <v/>
      </c>
      <c r="X30" s="184" t="str">
        <f>IFERROR(IF(VLOOKUP(Sat_W2[[#This Row],[Employee Name]],'Base Schedules'!$A$46:$AW$77,23,FALSE)="","",VLOOKUP(Sat_W2[[#This Row],[Employee Name]],'Base Schedules'!$A$46:$AW$77,23,FALSE)),"")</f>
        <v/>
      </c>
      <c r="Y30" s="184" t="str">
        <f>IFERROR(IF(VLOOKUP(Sat_W2[[#This Row],[Employee Name]],'Base Schedules'!$A$46:$AW$77,24,FALSE)="","",VLOOKUP(Sat_W2[[#This Row],[Employee Name]],'Base Schedules'!$A$46:$AW$77,24,FALSE)),"")</f>
        <v>HL</v>
      </c>
      <c r="Z30" s="184" t="str">
        <f>IFERROR(IF(VLOOKUP(Sat_W2[[#This Row],[Employee Name]],'Base Schedules'!$A$46:$AW$77,25,FALSE)="","",VLOOKUP(Sat_W2[[#This Row],[Employee Name]],'Base Schedules'!$A$46:$AW$77,25,FALSE)),"")</f>
        <v>HL</v>
      </c>
      <c r="AA30" s="184" t="str">
        <f>IFERROR(IF(VLOOKUP(Sat_W2[[#This Row],[Employee Name]],'Base Schedules'!$A$46:$AW$77,26,FALSE)="","",VLOOKUP(Sat_W2[[#This Row],[Employee Name]],'Base Schedules'!$A$46:$AW$77,26,FALSE)),"")</f>
        <v>HL B1</v>
      </c>
      <c r="AB30" s="184" t="str">
        <f>IFERROR(IF(VLOOKUP(Sat_W2[[#This Row],[Employee Name]],'Base Schedules'!$A$46:$AW$77,27,FALSE)="","",VLOOKUP(Sat_W2[[#This Row],[Employee Name]],'Base Schedules'!$A$46:$AW$77,27,FALSE)),"")</f>
        <v>HL</v>
      </c>
      <c r="AC30" s="184" t="str">
        <f>IFERROR(IF(VLOOKUP(Sat_W2[[#This Row],[Employee Name]],'Base Schedules'!$A$46:$AW$77,28,FALSE)="","",VLOOKUP(Sat_W2[[#This Row],[Employee Name]],'Base Schedules'!$A$46:$AW$77,28,FALSE)),"")</f>
        <v>ADM</v>
      </c>
      <c r="AD30" s="184" t="str">
        <f>IFERROR(IF(VLOOKUP(Sat_W2[[#This Row],[Employee Name]],'Base Schedules'!$A$46:$AW$77,29,FALSE)="","",VLOOKUP(Sat_W2[[#This Row],[Employee Name]],'Base Schedules'!$A$46:$AW$77,29,FALSE)),"")</f>
        <v>RNNR</v>
      </c>
      <c r="AE30" s="184" t="str">
        <f>IFERROR(IF(VLOOKUP(Sat_W2[[#This Row],[Employee Name]],'Base Schedules'!$A$46:$AW$77,30,FALSE)="","",VLOOKUP(Sat_W2[[#This Row],[Employee Name]],'Base Schedules'!$A$46:$AW$77,30,FALSE)),"")</f>
        <v>RNNR</v>
      </c>
      <c r="AF30" s="184" t="str">
        <f>IFERROR(IF(VLOOKUP(Sat_W2[[#This Row],[Employee Name]],'Base Schedules'!$A$46:$AW$77,31,FALSE)="","",VLOOKUP(Sat_W2[[#This Row],[Employee Name]],'Base Schedules'!$A$46:$AW$77,31,FALSE)),"")</f>
        <v>LUNCH</v>
      </c>
      <c r="AG30" s="184" t="str">
        <f>IFERROR(IF(VLOOKUP(Sat_W2[[#This Row],[Employee Name]],'Base Schedules'!$A$46:$AW$77,32,FALSE)="","",VLOOKUP(Sat_W2[[#This Row],[Employee Name]],'Base Schedules'!$A$46:$AW$77,32,FALSE)),"")</f>
        <v>ADM</v>
      </c>
      <c r="AH30" s="184" t="str">
        <f>IFERROR(IF(VLOOKUP(Sat_W2[[#This Row],[Employee Name]],'Base Schedules'!$A$46:$AW$77,33,FALSE)="","",VLOOKUP(Sat_W2[[#This Row],[Employee Name]],'Base Schedules'!$A$46:$AW$77,33,FALSE)),"")</f>
        <v>HL</v>
      </c>
      <c r="AI30" s="184" t="str">
        <f>IFERROR(IF(VLOOKUP(Sat_W2[[#This Row],[Employee Name]],'Base Schedules'!$A$46:$AW$77,34,FALSE)="","",VLOOKUP(Sat_W2[[#This Row],[Employee Name]],'Base Schedules'!$A$46:$AW$77,34,FALSE)),"")</f>
        <v>HL</v>
      </c>
      <c r="AJ30" s="184" t="str">
        <f>IFERROR(IF(VLOOKUP(Sat_W2[[#This Row],[Employee Name]],'Base Schedules'!$A$46:$AW$77,35,FALSE)="","",VLOOKUP(Sat_W2[[#This Row],[Employee Name]],'Base Schedules'!$A$46:$AW$77,35,FALSE)),"")</f>
        <v>HL</v>
      </c>
      <c r="AK30" s="184" t="str">
        <f>IFERROR(IF(VLOOKUP(Sat_W2[[#This Row],[Employee Name]],'Base Schedules'!$A$46:$AW$77,36,FALSE)="","",VLOOKUP(Sat_W2[[#This Row],[Employee Name]],'Base Schedules'!$A$46:$AW$77,36,FALSE)),"")</f>
        <v>ADM</v>
      </c>
      <c r="AL30" s="184" t="str">
        <f>IFERROR(IF(VLOOKUP(Sat_W2[[#This Row],[Employee Name]],'Base Schedules'!$A$46:$AW$77,37,FALSE)="","",VLOOKUP(Sat_W2[[#This Row],[Employee Name]],'Base Schedules'!$A$46:$AW$77,37,FALSE)),"")</f>
        <v>B2 ADM</v>
      </c>
      <c r="AM30" s="184" t="str">
        <f>IFERROR(IF(VLOOKUP(Sat_W2[[#This Row],[Employee Name]],'Base Schedules'!$A$46:$AW$77,38,FALSE)="","",VLOOKUP(Sat_W2[[#This Row],[Employee Name]],'Base Schedules'!$A$46:$AW$77,38,FALSE)),"")</f>
        <v>ADM</v>
      </c>
      <c r="AN30" s="184" t="str">
        <f>IFERROR(IF(VLOOKUP(Sat_W2[[#This Row],[Employee Name]],'Base Schedules'!$A$46:$AW$77,39,FALSE)="","",VLOOKUP(Sat_W2[[#This Row],[Employee Name]],'Base Schedules'!$A$46:$AW$77,39,FALSE)),"")</f>
        <v>ADM</v>
      </c>
      <c r="AO30" s="184" t="str">
        <f>IFERROR(IF(VLOOKUP(Sat_W2[[#This Row],[Employee Name]],'Base Schedules'!$A$46:$AW$77,40,FALSE)="","",VLOOKUP(Sat_W2[[#This Row],[Employee Name]],'Base Schedules'!$A$46:$AW$77,40,FALSE)),"")</f>
        <v>HL</v>
      </c>
      <c r="AP30" s="184" t="str">
        <f>IFERROR(IF(VLOOKUP(Sat_W2[[#This Row],[Employee Name]],'Base Schedules'!$A$46:$AW$77,41,FALSE)="","",VLOOKUP(Sat_W2[[#This Row],[Employee Name]],'Base Schedules'!$A$46:$AW$77,41,FALSE)),"")</f>
        <v/>
      </c>
      <c r="AQ30" s="184" t="str">
        <f>IFERROR(IF(VLOOKUP(Sat_W2[[#This Row],[Employee Name]],'Base Schedules'!$A$46:$AW$77,42,FALSE)="","",VLOOKUP(Sat_W2[[#This Row],[Employee Name]],'Base Schedules'!$A$46:$AW$77,42,FALSE)),"")</f>
        <v/>
      </c>
      <c r="AR30" s="184" t="str">
        <f>IFERROR(IF(VLOOKUP(Sat_W2[[#This Row],[Employee Name]],'Base Schedules'!$A$46:$AW$77,43,FALSE)="","",VLOOKUP(Sat_W2[[#This Row],[Employee Name]],'Base Schedules'!$A$46:$AW$77,43,FALSE)),"")</f>
        <v/>
      </c>
      <c r="AS30" s="184" t="str">
        <f>IFERROR(IF(VLOOKUP(Sat_W2[[#This Row],[Employee Name]],'Base Schedules'!$A$46:$AW$77,44,FALSE)="","",VLOOKUP(Sat_W2[[#This Row],[Employee Name]],'Base Schedules'!$A$46:$AW$77,44,FALSE)),"")</f>
        <v/>
      </c>
      <c r="AT30" s="184" t="str">
        <f>IFERROR(IF(VLOOKUP(Sat_W2[[#This Row],[Employee Name]],'Base Schedules'!$A$46:$AW$77,45,FALSE)="","",VLOOKUP(Sat_W2[[#This Row],[Employee Name]],'Base Schedules'!$A$46:$AW$77,45,FALSE)),"")</f>
        <v/>
      </c>
      <c r="AU30" s="184" t="str">
        <f>IFERROR(IF(VLOOKUP(Sat_W2[[#This Row],[Employee Name]],'Base Schedules'!$A$46:$AW$77,46,FALSE)="","",VLOOKUP(Sat_W2[[#This Row],[Employee Name]],'Base Schedules'!$A$46:$AW$77,46,FALSE)),"")</f>
        <v/>
      </c>
      <c r="AV30" s="184" t="str">
        <f>IFERROR(IF(VLOOKUP(Sat_W2[[#This Row],[Employee Name]],'Base Schedules'!$A$46:$AW$77,47,FALSE)="","",VLOOKUP(Sat_W2[[#This Row],[Employee Name]],'Base Schedules'!$A$46:$AW$77,47,FALSE)),"")</f>
        <v/>
      </c>
      <c r="AW30" s="184" t="str">
        <f>IFERROR(IF(VLOOKUP(Sat_W2[[#This Row],[Employee Name]],'Base Schedules'!$A$46:$AW$77,48,FALSE)="","",VLOOKUP(Sat_W2[[#This Row],[Employee Name]],'Base Schedules'!$A$46:$AW$77,48,FALSE)),"")</f>
        <v/>
      </c>
      <c r="AX30" s="184" t="str">
        <f>IFERROR(IF(VLOOKUP(Sat_W2[[#This Row],[Employee Name]],'Base Schedules'!$A$46:$AW$77,49,FALSE)="","",VLOOKUP(Sat_W2[[#This Row],[Employee Name]],'Base Schedules'!$A$46:$AW$77,49,FALSE)),"")</f>
        <v/>
      </c>
      <c r="AY30" s="160" t="str">
        <f t="shared" si="2"/>
        <v>Mason, April</v>
      </c>
    </row>
    <row r="31" spans="1:51" s="44" customFormat="1" ht="12" customHeight="1" x14ac:dyDescent="0.2">
      <c r="A31" s="39" t="str">
        <f>IF(B31="","",INDEX(TeamList[],MATCH($B31,TeamList[[Employee Name]:[Employee Name]],0),MATCH("Manager",TeamList[#Headers],0)))</f>
        <v>Olson, Katherine</v>
      </c>
      <c r="B31" s="201" t="s">
        <v>57</v>
      </c>
      <c r="C31" s="257" t="str">
        <f>_xlfn.IFNA(VLOOKUP(Sat_W2[[#This Row],[Employee Name]],'Base Schedules'!A:B,2,FALSE),"")</f>
        <v>Supervisor</v>
      </c>
      <c r="D31" s="274">
        <f>_xlfn.IFNA(VLOOKUP(Sat_W2[[#This Row],[Employee Name]],'Base Schedules'!A:C,3,FALSE),"")</f>
        <v>1300</v>
      </c>
      <c r="E31" s="274">
        <f>_xlfn.IFNA(VLOOKUP(Sat_W2[[#This Row],[Employee Name]],'Base Schedules'!A:D,4,FALSE),"")</f>
        <v>2200</v>
      </c>
      <c r="F31" s="142">
        <f>IF(Sat_W2[[#This Row],[Employee Name]]="","",IF(Sat_W2[[#This Row],[Dept]]="Supervisor",COUNTIFS($J31:$AX31,"*HL*",$J31:$AX31,"&lt;&gt;"&amp;"pHL"),COUNTIFS($J31:$AX31,"*HL*",$J31:$AX31,"&lt;&gt;"&amp;"*pHL*",$J31:$AX31,"&lt;&gt;"&amp;"pB1 HL",$J31:$AX31,"&lt;&gt;"&amp;"pB2 HL")-SUM(COUNTIFS($J31:$AX31,"*HL B1*",$J31:$AX31,"&lt;&gt;"&amp;"pHL B1")*0.5,COUNTIFS($J31:$AX31,"*HL B2*",$J31:$AX31,"&lt;&gt;"&amp;"pHL B2")*0.5,COUNTIFS($J31:$AX31,"*B1 HL*",$J31:$AX31,"&lt;&gt;"&amp;"pB1 HL")*0.5,COUNTIFS($J31:$AX31,"*B2 HL*",$J31:$AX31,"&lt;&gt;"&amp;"pB2 HL")*0.5)))</f>
        <v>0</v>
      </c>
      <c r="G31" s="142">
        <f t="shared" si="0"/>
        <v>5</v>
      </c>
      <c r="H31" s="142">
        <f t="shared" si="1"/>
        <v>0</v>
      </c>
      <c r="I31" s="142">
        <f>IF(Sat_W2[[#This Row],[Employee Name]]="","",IF(Sat_W2[[#This Row],[Dept]]="Supervisor",SUM(COUNTIFS($J31:$AX31,"RTA*",$J31:$AX31,"&lt;&gt;"&amp;"pRTA"),COUNTIFS($J31:$AX31,"*CRTA*",$J31:$AX31,"&lt;&gt;"&amp;"pCRTA")),COUNTIFS($J31:$AX31,"*RNNR*",$J31:$AX31,"&lt;&gt;"&amp;"*pRNNR*",$J31:$AX31,"&lt;&gt;"&amp;"pB1 RNNR",$J31:$AX31,"&lt;&gt;"&amp;"pB2 RNNR")-SUM(COUNTIFS($J31:$AX31,"*RNNR B1*",$J31:$AX31,"&lt;&gt;"&amp;"pRNNR B1")*0.5,COUNTIFS($J31:$AX31,"*RNNR B2*",$J31:$AX31,"&lt;&gt;"&amp;"pRNNR B2")*0.5,COUNTIFS($J31:$AX31,"*B1 RNNR*",$J31:$AX31,"&lt;&gt;"&amp;"pB1 RNNR")*0.5,COUNTIFS($J31:$AX31,"*B2 RNNR*",$J31:$AX31,"&lt;&gt;"&amp;"pB2 RNNR")*0.5)))</f>
        <v>0</v>
      </c>
      <c r="J31" s="184" t="str">
        <f>IFERROR(IF(VLOOKUP(Sat_W2[[#This Row],[Employee Name]],'Base Schedules'!$A$46:$AW$77,9,FALSE)="","",VLOOKUP(Sat_W2[[#This Row],[Employee Name]],'Base Schedules'!$A$46:$AW$77,9,FALSE)),"")</f>
        <v/>
      </c>
      <c r="K31" s="184" t="str">
        <f>IFERROR(IF(VLOOKUP(Sat_W2[[#This Row],[Employee Name]],'Base Schedules'!$A$46:$AW$77,10,FALSE)="","",VLOOKUP(Sat_W2[[#This Row],[Employee Name]],'Base Schedules'!$A$46:$AW$77,10,FALSE)),"")</f>
        <v/>
      </c>
      <c r="L31" s="184" t="str">
        <f>IFERROR(IF(VLOOKUP(Sat_W2[[#This Row],[Employee Name]],'Base Schedules'!$A$46:$AW$77,11,FALSE)="","",VLOOKUP(Sat_W2[[#This Row],[Employee Name]],'Base Schedules'!$A$46:$AW$77,11,FALSE)),"")</f>
        <v/>
      </c>
      <c r="M31" s="184" t="str">
        <f>IFERROR(IF(VLOOKUP(Sat_W2[[#This Row],[Employee Name]],'Base Schedules'!$A$46:$AW$77,12,FALSE)="","",VLOOKUP(Sat_W2[[#This Row],[Employee Name]],'Base Schedules'!$A$46:$AW$77,12,FALSE)),"")</f>
        <v/>
      </c>
      <c r="N31" s="184" t="str">
        <f>IFERROR(IF(VLOOKUP(Sat_W2[[#This Row],[Employee Name]],'Base Schedules'!$A$46:$AW$77,13,FALSE)="","",VLOOKUP(Sat_W2[[#This Row],[Employee Name]],'Base Schedules'!$A$46:$AW$77,13,FALSE)),"")</f>
        <v/>
      </c>
      <c r="O31" s="184" t="str">
        <f>IFERROR(IF(VLOOKUP(Sat_W2[[#This Row],[Employee Name]],'Base Schedules'!$A$46:$AW$77,14,FALSE)="","",VLOOKUP(Sat_W2[[#This Row],[Employee Name]],'Base Schedules'!$A$46:$AW$77,14,FALSE)),"")</f>
        <v/>
      </c>
      <c r="P31" s="184" t="str">
        <f>IFERROR(IF(VLOOKUP(Sat_W2[[#This Row],[Employee Name]],'Base Schedules'!$A$46:$AW$77,15,FALSE)="","",VLOOKUP(Sat_W2[[#This Row],[Employee Name]],'Base Schedules'!$A$46:$AW$77,15,FALSE)),"")</f>
        <v/>
      </c>
      <c r="Q31" s="184" t="str">
        <f>IFERROR(IF(VLOOKUP(Sat_W2[[#This Row],[Employee Name]],'Base Schedules'!$A$46:$AW$77,16,FALSE)="","",VLOOKUP(Sat_W2[[#This Row],[Employee Name]],'Base Schedules'!$A$46:$AW$77,16,FALSE)),"")</f>
        <v/>
      </c>
      <c r="R31" s="184" t="str">
        <f>IFERROR(IF(VLOOKUP(Sat_W2[[#This Row],[Employee Name]],'Base Schedules'!$A$46:$AW$77,17,FALSE)="","",VLOOKUP(Sat_W2[[#This Row],[Employee Name]],'Base Schedules'!$A$46:$AW$77,17,FALSE)),"")</f>
        <v/>
      </c>
      <c r="S31" s="184" t="str">
        <f>IFERROR(IF(VLOOKUP(Sat_W2[[#This Row],[Employee Name]],'Base Schedules'!$A$46:$AW$77,18,FALSE)="","",VLOOKUP(Sat_W2[[#This Row],[Employee Name]],'Base Schedules'!$A$46:$AW$77,18,FALSE)),"")</f>
        <v/>
      </c>
      <c r="T31" s="184" t="str">
        <f>IFERROR(IF(VLOOKUP(Sat_W2[[#This Row],[Employee Name]],'Base Schedules'!$A$46:$AW$77,19,FALSE)="","",VLOOKUP(Sat_W2[[#This Row],[Employee Name]],'Base Schedules'!$A$46:$AW$77,19,FALSE)),"")</f>
        <v/>
      </c>
      <c r="U31" s="184" t="str">
        <f>IFERROR(IF(VLOOKUP(Sat_W2[[#This Row],[Employee Name]],'Base Schedules'!$A$46:$AW$77,20,FALSE)="","",VLOOKUP(Sat_W2[[#This Row],[Employee Name]],'Base Schedules'!$A$46:$AW$77,20,FALSE)),"")</f>
        <v/>
      </c>
      <c r="V31" s="184" t="str">
        <f>IFERROR(IF(VLOOKUP(Sat_W2[[#This Row],[Employee Name]],'Base Schedules'!$A$46:$AW$77,21,FALSE)="","",VLOOKUP(Sat_W2[[#This Row],[Employee Name]],'Base Schedules'!$A$46:$AW$77,21,FALSE)),"")</f>
        <v/>
      </c>
      <c r="W31" s="184" t="str">
        <f>IFERROR(IF(VLOOKUP(Sat_W2[[#This Row],[Employee Name]],'Base Schedules'!$A$46:$AW$77,22,FALSE)="","",VLOOKUP(Sat_W2[[#This Row],[Employee Name]],'Base Schedules'!$A$46:$AW$77,22,FALSE)),"")</f>
        <v/>
      </c>
      <c r="X31" s="184" t="str">
        <f>IFERROR(IF(VLOOKUP(Sat_W2[[#This Row],[Employee Name]],'Base Schedules'!$A$46:$AW$77,23,FALSE)="","",VLOOKUP(Sat_W2[[#This Row],[Employee Name]],'Base Schedules'!$A$46:$AW$77,23,FALSE)),"")</f>
        <v/>
      </c>
      <c r="Y31" s="184" t="str">
        <f>IFERROR(IF(VLOOKUP(Sat_W2[[#This Row],[Employee Name]],'Base Schedules'!$A$46:$AW$77,24,FALSE)="","",VLOOKUP(Sat_W2[[#This Row],[Employee Name]],'Base Schedules'!$A$46:$AW$77,24,FALSE)),"")</f>
        <v/>
      </c>
      <c r="Z31" s="184" t="str">
        <f>IFERROR(IF(VLOOKUP(Sat_W2[[#This Row],[Employee Name]],'Base Schedules'!$A$46:$AW$77,25,FALSE)="","",VLOOKUP(Sat_W2[[#This Row],[Employee Name]],'Base Schedules'!$A$46:$AW$77,25,FALSE)),"")</f>
        <v>-</v>
      </c>
      <c r="AA31" s="184" t="str">
        <f>IFERROR(IF(VLOOKUP(Sat_W2[[#This Row],[Employee Name]],'Base Schedules'!$A$46:$AW$77,26,FALSE)="","",VLOOKUP(Sat_W2[[#This Row],[Employee Name]],'Base Schedules'!$A$46:$AW$77,26,FALSE)),"")</f>
        <v>Interview</v>
      </c>
      <c r="AB31" s="184" t="str">
        <f>IFERROR(IF(VLOOKUP(Sat_W2[[#This Row],[Employee Name]],'Base Schedules'!$A$46:$AW$77,27,FALSE)="","",VLOOKUP(Sat_W2[[#This Row],[Employee Name]],'Base Schedules'!$A$46:$AW$77,27,FALSE)),"")</f>
        <v>Interview</v>
      </c>
      <c r="AC31" s="184" t="str">
        <f>IFERROR(IF(VLOOKUP(Sat_W2[[#This Row],[Employee Name]],'Base Schedules'!$A$46:$AW$77,28,FALSE)="","",VLOOKUP(Sat_W2[[#This Row],[Employee Name]],'Base Schedules'!$A$46:$AW$77,28,FALSE)),"")</f>
        <v>-</v>
      </c>
      <c r="AD31" s="184" t="str">
        <f>IFERROR(IF(VLOOKUP(Sat_W2[[#This Row],[Employee Name]],'Base Schedules'!$A$46:$AW$77,29,FALSE)="","",VLOOKUP(Sat_W2[[#This Row],[Employee Name]],'Base Schedules'!$A$46:$AW$77,29,FALSE)),"")</f>
        <v>-</v>
      </c>
      <c r="AE31" s="184" t="str">
        <f>IFERROR(IF(VLOOKUP(Sat_W2[[#This Row],[Employee Name]],'Base Schedules'!$A$46:$AW$77,30,FALSE)="","",VLOOKUP(Sat_W2[[#This Row],[Employee Name]],'Base Schedules'!$A$46:$AW$77,30,FALSE)),"")</f>
        <v>-</v>
      </c>
      <c r="AF31" s="184" t="str">
        <f>IFERROR(IF(VLOOKUP(Sat_W2[[#This Row],[Employee Name]],'Base Schedules'!$A$46:$AW$77,31,FALSE)="","",VLOOKUP(Sat_W2[[#This Row],[Employee Name]],'Base Schedules'!$A$46:$AW$77,31,FALSE)),"")</f>
        <v>-</v>
      </c>
      <c r="AG31" s="184" t="str">
        <f>IFERROR(IF(VLOOKUP(Sat_W2[[#This Row],[Employee Name]],'Base Schedules'!$A$46:$AW$77,32,FALSE)="","",VLOOKUP(Sat_W2[[#This Row],[Employee Name]],'Base Schedules'!$A$46:$AW$77,32,FALSE)),"")</f>
        <v>-</v>
      </c>
      <c r="AH31" s="184" t="str">
        <f>IFERROR(IF(VLOOKUP(Sat_W2[[#This Row],[Employee Name]],'Base Schedules'!$A$46:$AW$77,33,FALSE)="","",VLOOKUP(Sat_W2[[#This Row],[Employee Name]],'Base Schedules'!$A$46:$AW$77,33,FALSE)),"")</f>
        <v>-</v>
      </c>
      <c r="AI31" s="184" t="str">
        <f>IFERROR(IF(VLOOKUP(Sat_W2[[#This Row],[Employee Name]],'Base Schedules'!$A$46:$AW$77,34,FALSE)="","",VLOOKUP(Sat_W2[[#This Row],[Employee Name]],'Base Schedules'!$A$46:$AW$77,34,FALSE)),"")</f>
        <v>-</v>
      </c>
      <c r="AJ31" s="184" t="str">
        <f>IFERROR(IF(VLOOKUP(Sat_W2[[#This Row],[Employee Name]],'Base Schedules'!$A$46:$AW$77,35,FALSE)="","",VLOOKUP(Sat_W2[[#This Row],[Employee Name]],'Base Schedules'!$A$46:$AW$77,35,FALSE)),"")</f>
        <v>Coaching</v>
      </c>
      <c r="AK31" s="184" t="str">
        <f>IFERROR(IF(VLOOKUP(Sat_W2[[#This Row],[Employee Name]],'Base Schedules'!$A$46:$AW$77,36,FALSE)="","",VLOOKUP(Sat_W2[[#This Row],[Employee Name]],'Base Schedules'!$A$46:$AW$77,36,FALSE)),"")</f>
        <v>Coaching</v>
      </c>
      <c r="AL31" s="184" t="str">
        <f>IFERROR(IF(VLOOKUP(Sat_W2[[#This Row],[Employee Name]],'Base Schedules'!$A$46:$AW$77,37,FALSE)="","",VLOOKUP(Sat_W2[[#This Row],[Employee Name]],'Base Schedules'!$A$46:$AW$77,37,FALSE)),"")</f>
        <v>Coaching</v>
      </c>
      <c r="AM31" s="184" t="str">
        <f>IFERROR(IF(VLOOKUP(Sat_W2[[#This Row],[Employee Name]],'Base Schedules'!$A$46:$AW$77,38,FALSE)="","",VLOOKUP(Sat_W2[[#This Row],[Employee Name]],'Base Schedules'!$A$46:$AW$77,38,FALSE)),"")</f>
        <v>Coaching</v>
      </c>
      <c r="AN31" s="184" t="str">
        <f>IFERROR(IF(VLOOKUP(Sat_W2[[#This Row],[Employee Name]],'Base Schedules'!$A$46:$AW$77,39,FALSE)="","",VLOOKUP(Sat_W2[[#This Row],[Employee Name]],'Base Schedules'!$A$46:$AW$77,39,FALSE)),"")</f>
        <v>Coaching</v>
      </c>
      <c r="AO31" s="184" t="str">
        <f>IFERROR(IF(VLOOKUP(Sat_W2[[#This Row],[Employee Name]],'Base Schedules'!$A$46:$AW$77,40,FALSE)="","",VLOOKUP(Sat_W2[[#This Row],[Employee Name]],'Base Schedules'!$A$46:$AW$77,40,FALSE)),"")</f>
        <v>-</v>
      </c>
      <c r="AP31" s="184" t="str">
        <f>IFERROR(IF(VLOOKUP(Sat_W2[[#This Row],[Employee Name]],'Base Schedules'!$A$46:$AW$77,41,FALSE)="","",VLOOKUP(Sat_W2[[#This Row],[Employee Name]],'Base Schedules'!$A$46:$AW$77,41,FALSE)),"")</f>
        <v>-</v>
      </c>
      <c r="AQ31" s="184" t="str">
        <f>IFERROR(IF(VLOOKUP(Sat_W2[[#This Row],[Employee Name]],'Base Schedules'!$A$46:$AW$77,42,FALSE)="","",VLOOKUP(Sat_W2[[#This Row],[Employee Name]],'Base Schedules'!$A$46:$AW$77,42,FALSE)),"")</f>
        <v>-</v>
      </c>
      <c r="AR31" s="184" t="str">
        <f>IFERROR(IF(VLOOKUP(Sat_W2[[#This Row],[Employee Name]],'Base Schedules'!$A$46:$AW$77,43,FALSE)="","",VLOOKUP(Sat_W2[[#This Row],[Employee Name]],'Base Schedules'!$A$46:$AW$77,43,FALSE)),"")</f>
        <v/>
      </c>
      <c r="AS31" s="184" t="str">
        <f>IFERROR(IF(VLOOKUP(Sat_W2[[#This Row],[Employee Name]],'Base Schedules'!$A$46:$AW$77,44,FALSE)="","",VLOOKUP(Sat_W2[[#This Row],[Employee Name]],'Base Schedules'!$A$46:$AW$77,44,FALSE)),"")</f>
        <v/>
      </c>
      <c r="AT31" s="184" t="str">
        <f>IFERROR(IF(VLOOKUP(Sat_W2[[#This Row],[Employee Name]],'Base Schedules'!$A$46:$AW$77,45,FALSE)="","",VLOOKUP(Sat_W2[[#This Row],[Employee Name]],'Base Schedules'!$A$46:$AW$77,45,FALSE)),"")</f>
        <v/>
      </c>
      <c r="AU31" s="184" t="str">
        <f>IFERROR(IF(VLOOKUP(Sat_W2[[#This Row],[Employee Name]],'Base Schedules'!$A$46:$AW$77,46,FALSE)="","",VLOOKUP(Sat_W2[[#This Row],[Employee Name]],'Base Schedules'!$A$46:$AW$77,46,FALSE)),"")</f>
        <v/>
      </c>
      <c r="AV31" s="184" t="str">
        <f>IFERROR(IF(VLOOKUP(Sat_W2[[#This Row],[Employee Name]],'Base Schedules'!$A$46:$AW$77,47,FALSE)="","",VLOOKUP(Sat_W2[[#This Row],[Employee Name]],'Base Schedules'!$A$46:$AW$77,47,FALSE)),"")</f>
        <v/>
      </c>
      <c r="AW31" s="184" t="str">
        <f>IFERROR(IF(VLOOKUP(Sat_W2[[#This Row],[Employee Name]],'Base Schedules'!$A$46:$AW$77,48,FALSE)="","",VLOOKUP(Sat_W2[[#This Row],[Employee Name]],'Base Schedules'!$A$46:$AW$77,48,FALSE)),"")</f>
        <v/>
      </c>
      <c r="AX31" s="184" t="str">
        <f>IFERROR(IF(VLOOKUP(Sat_W2[[#This Row],[Employee Name]],'Base Schedules'!$A$46:$AW$77,49,FALSE)="","",VLOOKUP(Sat_W2[[#This Row],[Employee Name]],'Base Schedules'!$A$46:$AW$77,49,FALSE)),"")</f>
        <v/>
      </c>
      <c r="AY31" s="159" t="str">
        <f t="shared" si="2"/>
        <v>Cultice, Diana</v>
      </c>
    </row>
    <row r="32" spans="1:51" s="44" customFormat="1" ht="12" customHeight="1" x14ac:dyDescent="0.2">
      <c r="A32" s="39" t="str">
        <f>IF(B32="","",INDEX(TeamList[],MATCH($B32,TeamList[[Employee Name]:[Employee Name]],0),MATCH("Manager",TeamList[#Headers],0)))</f>
        <v>Paulson, Matthew</v>
      </c>
      <c r="B32" s="201" t="s">
        <v>59</v>
      </c>
      <c r="C32" s="257" t="str">
        <f>_xlfn.IFNA(VLOOKUP(Sat_W2[[#This Row],[Employee Name]],'Base Schedules'!A:B,2,FALSE),"")</f>
        <v>Supervisor</v>
      </c>
      <c r="D32" s="274">
        <f>_xlfn.IFNA(VLOOKUP(Sat_W2[[#This Row],[Employee Name]],'Base Schedules'!A:C,3,FALSE),"")</f>
        <v>1300</v>
      </c>
      <c r="E32" s="274">
        <f>_xlfn.IFNA(VLOOKUP(Sat_W2[[#This Row],[Employee Name]],'Base Schedules'!A:D,4,FALSE),"")</f>
        <v>2200</v>
      </c>
      <c r="F32" s="142">
        <f>IF(Sat_W2[[#This Row],[Employee Name]]="","",IF(Sat_W2[[#This Row],[Dept]]="Supervisor",COUNTIFS($J32:$AX32,"*HL*",$J32:$AX32,"&lt;&gt;"&amp;"pHL"),COUNTIFS($J32:$AX32,"*HL*",$J32:$AX32,"&lt;&gt;"&amp;"*pHL*",$J32:$AX32,"&lt;&gt;"&amp;"pB1 HL",$J32:$AX32,"&lt;&gt;"&amp;"pB2 HL")-SUM(COUNTIFS($J32:$AX32,"*HL B1*",$J32:$AX32,"&lt;&gt;"&amp;"pHL B1")*0.5,COUNTIFS($J32:$AX32,"*HL B2*",$J32:$AX32,"&lt;&gt;"&amp;"pHL B2")*0.5,COUNTIFS($J32:$AX32,"*B1 HL*",$J32:$AX32,"&lt;&gt;"&amp;"pB1 HL")*0.5,COUNTIFS($J32:$AX32,"*B2 HL*",$J32:$AX32,"&lt;&gt;"&amp;"pB2 HL")*0.5)))</f>
        <v>0</v>
      </c>
      <c r="G32" s="142">
        <f t="shared" si="0"/>
        <v>5</v>
      </c>
      <c r="H32" s="142">
        <f t="shared" si="1"/>
        <v>0</v>
      </c>
      <c r="I32" s="142">
        <f>IF(Sat_W2[[#This Row],[Employee Name]]="","",IF(Sat_W2[[#This Row],[Dept]]="Supervisor",SUM(COUNTIFS($J32:$AX32,"RTA*",$J32:$AX32,"&lt;&gt;"&amp;"pRTA"),COUNTIFS($J32:$AX32,"*CRTA*",$J32:$AX32,"&lt;&gt;"&amp;"pCRTA")),COUNTIFS($J32:$AX32,"*RNNR*",$J32:$AX32,"&lt;&gt;"&amp;"*pRNNR*",$J32:$AX32,"&lt;&gt;"&amp;"pB1 RNNR",$J32:$AX32,"&lt;&gt;"&amp;"pB2 RNNR")-SUM(COUNTIFS($J32:$AX32,"*RNNR B1*",$J32:$AX32,"&lt;&gt;"&amp;"pRNNR B1")*0.5,COUNTIFS($J32:$AX32,"*RNNR B2*",$J32:$AX32,"&lt;&gt;"&amp;"pRNNR B2")*0.5,COUNTIFS($J32:$AX32,"*B1 RNNR*",$J32:$AX32,"&lt;&gt;"&amp;"pB1 RNNR")*0.5,COUNTIFS($J32:$AX32,"*B2 RNNR*",$J32:$AX32,"&lt;&gt;"&amp;"pB2 RNNR")*0.5)))</f>
        <v>0</v>
      </c>
      <c r="J32" s="184" t="str">
        <f>IFERROR(IF(VLOOKUP(Sat_W2[[#This Row],[Employee Name]],'Base Schedules'!$A$46:$AW$77,9,FALSE)="","",VLOOKUP(Sat_W2[[#This Row],[Employee Name]],'Base Schedules'!$A$46:$AW$77,9,FALSE)),"")</f>
        <v/>
      </c>
      <c r="K32" s="184" t="str">
        <f>IFERROR(IF(VLOOKUP(Sat_W2[[#This Row],[Employee Name]],'Base Schedules'!$A$46:$AW$77,10,FALSE)="","",VLOOKUP(Sat_W2[[#This Row],[Employee Name]],'Base Schedules'!$A$46:$AW$77,10,FALSE)),"")</f>
        <v/>
      </c>
      <c r="L32" s="184" t="str">
        <f>IFERROR(IF(VLOOKUP(Sat_W2[[#This Row],[Employee Name]],'Base Schedules'!$A$46:$AW$77,11,FALSE)="","",VLOOKUP(Sat_W2[[#This Row],[Employee Name]],'Base Schedules'!$A$46:$AW$77,11,FALSE)),"")</f>
        <v/>
      </c>
      <c r="M32" s="184" t="str">
        <f>IFERROR(IF(VLOOKUP(Sat_W2[[#This Row],[Employee Name]],'Base Schedules'!$A$46:$AW$77,12,FALSE)="","",VLOOKUP(Sat_W2[[#This Row],[Employee Name]],'Base Schedules'!$A$46:$AW$77,12,FALSE)),"")</f>
        <v/>
      </c>
      <c r="N32" s="184" t="str">
        <f>IFERROR(IF(VLOOKUP(Sat_W2[[#This Row],[Employee Name]],'Base Schedules'!$A$46:$AW$77,13,FALSE)="","",VLOOKUP(Sat_W2[[#This Row],[Employee Name]],'Base Schedules'!$A$46:$AW$77,13,FALSE)),"")</f>
        <v/>
      </c>
      <c r="O32" s="184" t="str">
        <f>IFERROR(IF(VLOOKUP(Sat_W2[[#This Row],[Employee Name]],'Base Schedules'!$A$46:$AW$77,14,FALSE)="","",VLOOKUP(Sat_W2[[#This Row],[Employee Name]],'Base Schedules'!$A$46:$AW$77,14,FALSE)),"")</f>
        <v/>
      </c>
      <c r="P32" s="184" t="str">
        <f>IFERROR(IF(VLOOKUP(Sat_W2[[#This Row],[Employee Name]],'Base Schedules'!$A$46:$AW$77,15,FALSE)="","",VLOOKUP(Sat_W2[[#This Row],[Employee Name]],'Base Schedules'!$A$46:$AW$77,15,FALSE)),"")</f>
        <v/>
      </c>
      <c r="Q32" s="184" t="str">
        <f>IFERROR(IF(VLOOKUP(Sat_W2[[#This Row],[Employee Name]],'Base Schedules'!$A$46:$AW$77,16,FALSE)="","",VLOOKUP(Sat_W2[[#This Row],[Employee Name]],'Base Schedules'!$A$46:$AW$77,16,FALSE)),"")</f>
        <v/>
      </c>
      <c r="R32" s="184" t="str">
        <f>IFERROR(IF(VLOOKUP(Sat_W2[[#This Row],[Employee Name]],'Base Schedules'!$A$46:$AW$77,17,FALSE)="","",VLOOKUP(Sat_W2[[#This Row],[Employee Name]],'Base Schedules'!$A$46:$AW$77,17,FALSE)),"")</f>
        <v/>
      </c>
      <c r="S32" s="184" t="str">
        <f>IFERROR(IF(VLOOKUP(Sat_W2[[#This Row],[Employee Name]],'Base Schedules'!$A$46:$AW$77,18,FALSE)="","",VLOOKUP(Sat_W2[[#This Row],[Employee Name]],'Base Schedules'!$A$46:$AW$77,18,FALSE)),"")</f>
        <v/>
      </c>
      <c r="T32" s="184" t="str">
        <f>IFERROR(IF(VLOOKUP(Sat_W2[[#This Row],[Employee Name]],'Base Schedules'!$A$46:$AW$77,19,FALSE)="","",VLOOKUP(Sat_W2[[#This Row],[Employee Name]],'Base Schedules'!$A$46:$AW$77,19,FALSE)),"")</f>
        <v/>
      </c>
      <c r="U32" s="184" t="str">
        <f>IFERROR(IF(VLOOKUP(Sat_W2[[#This Row],[Employee Name]],'Base Schedules'!$A$46:$AW$77,20,FALSE)="","",VLOOKUP(Sat_W2[[#This Row],[Employee Name]],'Base Schedules'!$A$46:$AW$77,20,FALSE)),"")</f>
        <v/>
      </c>
      <c r="V32" s="184" t="str">
        <f>IFERROR(IF(VLOOKUP(Sat_W2[[#This Row],[Employee Name]],'Base Schedules'!$A$46:$AW$77,21,FALSE)="","",VLOOKUP(Sat_W2[[#This Row],[Employee Name]],'Base Schedules'!$A$46:$AW$77,21,FALSE)),"")</f>
        <v/>
      </c>
      <c r="W32" s="184" t="str">
        <f>IFERROR(IF(VLOOKUP(Sat_W2[[#This Row],[Employee Name]],'Base Schedules'!$A$46:$AW$77,22,FALSE)="","",VLOOKUP(Sat_W2[[#This Row],[Employee Name]],'Base Schedules'!$A$46:$AW$77,22,FALSE)),"")</f>
        <v/>
      </c>
      <c r="X32" s="184" t="str">
        <f>IFERROR(IF(VLOOKUP(Sat_W2[[#This Row],[Employee Name]],'Base Schedules'!$A$46:$AW$77,23,FALSE)="","",VLOOKUP(Sat_W2[[#This Row],[Employee Name]],'Base Schedules'!$A$46:$AW$77,23,FALSE)),"")</f>
        <v/>
      </c>
      <c r="Y32" s="184" t="str">
        <f>IFERROR(IF(VLOOKUP(Sat_W2[[#This Row],[Employee Name]],'Base Schedules'!$A$46:$AW$77,24,FALSE)="","",VLOOKUP(Sat_W2[[#This Row],[Employee Name]],'Base Schedules'!$A$46:$AW$77,24,FALSE)),"")</f>
        <v/>
      </c>
      <c r="Z32" s="184" t="str">
        <f>IFERROR(IF(VLOOKUP(Sat_W2[[#This Row],[Employee Name]],'Base Schedules'!$A$46:$AW$77,25,FALSE)="","",VLOOKUP(Sat_W2[[#This Row],[Employee Name]],'Base Schedules'!$A$46:$AW$77,25,FALSE)),"")</f>
        <v>-</v>
      </c>
      <c r="AA32" s="184" t="str">
        <f>IFERROR(IF(VLOOKUP(Sat_W2[[#This Row],[Employee Name]],'Base Schedules'!$A$46:$AW$77,26,FALSE)="","",VLOOKUP(Sat_W2[[#This Row],[Employee Name]],'Base Schedules'!$A$46:$AW$77,26,FALSE)),"")</f>
        <v>-</v>
      </c>
      <c r="AB32" s="184" t="str">
        <f>IFERROR(IF(VLOOKUP(Sat_W2[[#This Row],[Employee Name]],'Base Schedules'!$A$46:$AW$77,27,FALSE)="","",VLOOKUP(Sat_W2[[#This Row],[Employee Name]],'Base Schedules'!$A$46:$AW$77,27,FALSE)),"")</f>
        <v>-</v>
      </c>
      <c r="AC32" s="184" t="str">
        <f>IFERROR(IF(VLOOKUP(Sat_W2[[#This Row],[Employee Name]],'Base Schedules'!$A$46:$AW$77,28,FALSE)="","",VLOOKUP(Sat_W2[[#This Row],[Employee Name]],'Base Schedules'!$A$46:$AW$77,28,FALSE)),"")</f>
        <v>Coaching</v>
      </c>
      <c r="AD32" s="184" t="str">
        <f>IFERROR(IF(VLOOKUP(Sat_W2[[#This Row],[Employee Name]],'Base Schedules'!$A$46:$AW$77,29,FALSE)="","",VLOOKUP(Sat_W2[[#This Row],[Employee Name]],'Base Schedules'!$A$46:$AW$77,29,FALSE)),"")</f>
        <v>Coaching</v>
      </c>
      <c r="AE32" s="184" t="str">
        <f>IFERROR(IF(VLOOKUP(Sat_W2[[#This Row],[Employee Name]],'Base Schedules'!$A$46:$AW$77,30,FALSE)="","",VLOOKUP(Sat_W2[[#This Row],[Employee Name]],'Base Schedules'!$A$46:$AW$77,30,FALSE)),"")</f>
        <v>-</v>
      </c>
      <c r="AF32" s="184" t="str">
        <f>IFERROR(IF(VLOOKUP(Sat_W2[[#This Row],[Employee Name]],'Base Schedules'!$A$46:$AW$77,31,FALSE)="","",VLOOKUP(Sat_W2[[#This Row],[Employee Name]],'Base Schedules'!$A$46:$AW$77,31,FALSE)),"")</f>
        <v>Interview</v>
      </c>
      <c r="AG32" s="184" t="str">
        <f>IFERROR(IF(VLOOKUP(Sat_W2[[#This Row],[Employee Name]],'Base Schedules'!$A$46:$AW$77,32,FALSE)="","",VLOOKUP(Sat_W2[[#This Row],[Employee Name]],'Base Schedules'!$A$46:$AW$77,32,FALSE)),"")</f>
        <v>Interview</v>
      </c>
      <c r="AH32" s="184" t="str">
        <f>IFERROR(IF(VLOOKUP(Sat_W2[[#This Row],[Employee Name]],'Base Schedules'!$A$46:$AW$77,33,FALSE)="","",VLOOKUP(Sat_W2[[#This Row],[Employee Name]],'Base Schedules'!$A$46:$AW$77,33,FALSE)),"")</f>
        <v>-</v>
      </c>
      <c r="AI32" s="184" t="str">
        <f>IFERROR(IF(VLOOKUP(Sat_W2[[#This Row],[Employee Name]],'Base Schedules'!$A$46:$AW$77,34,FALSE)="","",VLOOKUP(Sat_W2[[#This Row],[Employee Name]],'Base Schedules'!$A$46:$AW$77,34,FALSE)),"")</f>
        <v>-</v>
      </c>
      <c r="AJ32" s="184" t="str">
        <f>IFERROR(IF(VLOOKUP(Sat_W2[[#This Row],[Employee Name]],'Base Schedules'!$A$46:$AW$77,35,FALSE)="","",VLOOKUP(Sat_W2[[#This Row],[Employee Name]],'Base Schedules'!$A$46:$AW$77,35,FALSE)),"")</f>
        <v>-</v>
      </c>
      <c r="AK32" s="184" t="str">
        <f>IFERROR(IF(VLOOKUP(Sat_W2[[#This Row],[Employee Name]],'Base Schedules'!$A$46:$AW$77,36,FALSE)="","",VLOOKUP(Sat_W2[[#This Row],[Employee Name]],'Base Schedules'!$A$46:$AW$77,36,FALSE)),"")</f>
        <v>-</v>
      </c>
      <c r="AL32" s="184" t="str">
        <f>IFERROR(IF(VLOOKUP(Sat_W2[[#This Row],[Employee Name]],'Base Schedules'!$A$46:$AW$77,37,FALSE)="","",VLOOKUP(Sat_W2[[#This Row],[Employee Name]],'Base Schedules'!$A$46:$AW$77,37,FALSE)),"")</f>
        <v>-</v>
      </c>
      <c r="AM32" s="184" t="str">
        <f>IFERROR(IF(VLOOKUP(Sat_W2[[#This Row],[Employee Name]],'Base Schedules'!$A$46:$AW$77,38,FALSE)="","",VLOOKUP(Sat_W2[[#This Row],[Employee Name]],'Base Schedules'!$A$46:$AW$77,38,FALSE)),"")</f>
        <v>Coaching</v>
      </c>
      <c r="AN32" s="184" t="str">
        <f>IFERROR(IF(VLOOKUP(Sat_W2[[#This Row],[Employee Name]],'Base Schedules'!$A$46:$AW$77,39,FALSE)="","",VLOOKUP(Sat_W2[[#This Row],[Employee Name]],'Base Schedules'!$A$46:$AW$77,39,FALSE)),"")</f>
        <v>Coaching</v>
      </c>
      <c r="AO32" s="184" t="str">
        <f>IFERROR(IF(VLOOKUP(Sat_W2[[#This Row],[Employee Name]],'Base Schedules'!$A$46:$AW$77,40,FALSE)="","",VLOOKUP(Sat_W2[[#This Row],[Employee Name]],'Base Schedules'!$A$46:$AW$77,40,FALSE)),"")</f>
        <v>Coaching</v>
      </c>
      <c r="AP32" s="184" t="str">
        <f>IFERROR(IF(VLOOKUP(Sat_W2[[#This Row],[Employee Name]],'Base Schedules'!$A$46:$AW$77,41,FALSE)="","",VLOOKUP(Sat_W2[[#This Row],[Employee Name]],'Base Schedules'!$A$46:$AW$77,41,FALSE)),"")</f>
        <v>-</v>
      </c>
      <c r="AQ32" s="184" t="str">
        <f>IFERROR(IF(VLOOKUP(Sat_W2[[#This Row],[Employee Name]],'Base Schedules'!$A$46:$AW$77,42,FALSE)="","",VLOOKUP(Sat_W2[[#This Row],[Employee Name]],'Base Schedules'!$A$46:$AW$77,42,FALSE)),"")</f>
        <v>-</v>
      </c>
      <c r="AR32" s="184" t="str">
        <f>IFERROR(IF(VLOOKUP(Sat_W2[[#This Row],[Employee Name]],'Base Schedules'!$A$46:$AW$77,43,FALSE)="","",VLOOKUP(Sat_W2[[#This Row],[Employee Name]],'Base Schedules'!$A$46:$AW$77,43,FALSE)),"")</f>
        <v/>
      </c>
      <c r="AS32" s="184" t="str">
        <f>IFERROR(IF(VLOOKUP(Sat_W2[[#This Row],[Employee Name]],'Base Schedules'!$A$46:$AW$77,44,FALSE)="","",VLOOKUP(Sat_W2[[#This Row],[Employee Name]],'Base Schedules'!$A$46:$AW$77,44,FALSE)),"")</f>
        <v/>
      </c>
      <c r="AT32" s="184" t="str">
        <f>IFERROR(IF(VLOOKUP(Sat_W2[[#This Row],[Employee Name]],'Base Schedules'!$A$46:$AW$77,45,FALSE)="","",VLOOKUP(Sat_W2[[#This Row],[Employee Name]],'Base Schedules'!$A$46:$AW$77,45,FALSE)),"")</f>
        <v/>
      </c>
      <c r="AU32" s="184" t="str">
        <f>IFERROR(IF(VLOOKUP(Sat_W2[[#This Row],[Employee Name]],'Base Schedules'!$A$46:$AW$77,46,FALSE)="","",VLOOKUP(Sat_W2[[#This Row],[Employee Name]],'Base Schedules'!$A$46:$AW$77,46,FALSE)),"")</f>
        <v/>
      </c>
      <c r="AV32" s="184" t="str">
        <f>IFERROR(IF(VLOOKUP(Sat_W2[[#This Row],[Employee Name]],'Base Schedules'!$A$46:$AW$77,47,FALSE)="","",VLOOKUP(Sat_W2[[#This Row],[Employee Name]],'Base Schedules'!$A$46:$AW$77,47,FALSE)),"")</f>
        <v/>
      </c>
      <c r="AW32" s="184" t="str">
        <f>IFERROR(IF(VLOOKUP(Sat_W2[[#This Row],[Employee Name]],'Base Schedules'!$A$46:$AW$77,48,FALSE)="","",VLOOKUP(Sat_W2[[#This Row],[Employee Name]],'Base Schedules'!$A$46:$AW$77,48,FALSE)),"")</f>
        <v/>
      </c>
      <c r="AX32" s="184" t="str">
        <f>IFERROR(IF(VLOOKUP(Sat_W2[[#This Row],[Employee Name]],'Base Schedules'!$A$46:$AW$77,49,FALSE)="","",VLOOKUP(Sat_W2[[#This Row],[Employee Name]],'Base Schedules'!$A$46:$AW$77,49,FALSE)),"")</f>
        <v/>
      </c>
      <c r="AY32" s="159" t="str">
        <f t="shared" si="2"/>
        <v>Banuelos, Lincoln</v>
      </c>
    </row>
    <row r="33" spans="1:51" s="44" customFormat="1" ht="12" customHeight="1" x14ac:dyDescent="0.2">
      <c r="A33" s="39" t="e">
        <f>IF(B33="","",INDEX(TeamList[],MATCH($B33,TeamList[[Employee Name]:[Employee Name]],0),MATCH("Manager",TeamList[#Headers],0)))</f>
        <v>#N/A</v>
      </c>
      <c r="B33" s="201" t="s">
        <v>586</v>
      </c>
      <c r="C33" s="257" t="str">
        <f>_xlfn.IFNA(VLOOKUP(Sat_W2[[#This Row],[Employee Name]],'Base Schedules'!A:B,2,FALSE),"")</f>
        <v>Lead</v>
      </c>
      <c r="D33" s="274">
        <f>_xlfn.IFNA(VLOOKUP(Sat_W2[[#This Row],[Employee Name]],'Base Schedules'!A:C,3,FALSE),"")</f>
        <v>1330</v>
      </c>
      <c r="E33" s="274">
        <f>_xlfn.IFNA(VLOOKUP(Sat_W2[[#This Row],[Employee Name]],'Base Schedules'!A:D,4,FALSE),"")</f>
        <v>2200</v>
      </c>
      <c r="F33" s="142">
        <f>IF(Sat_W2[[#This Row],[Employee Name]]="","",IF(Sat_W2[[#This Row],[Dept]]="Supervisor",COUNTIFS($J33:$AX33,"*HL*",$J33:$AX33,"&lt;&gt;"&amp;"pHL"),COUNTIFS($J33:$AX33,"*HL*",$J33:$AX33,"&lt;&gt;"&amp;"*pHL*",$J33:$AX33,"&lt;&gt;"&amp;"pB1 HL",$J33:$AX33,"&lt;&gt;"&amp;"pB2 HL")-SUM(COUNTIFS($J33:$AX33,"*HL B1*",$J33:$AX33,"&lt;&gt;"&amp;"pHL B1")*0.5,COUNTIFS($J33:$AX33,"*HL B2*",$J33:$AX33,"&lt;&gt;"&amp;"pHL B2")*0.5,COUNTIFS($J33:$AX33,"*B1 HL*",$J33:$AX33,"&lt;&gt;"&amp;"pB1 HL")*0.5,COUNTIFS($J33:$AX33,"*B2 HL*",$J33:$AX33,"&lt;&gt;"&amp;"pB2 HL")*0.5)))</f>
        <v>8.5</v>
      </c>
      <c r="G33" s="142">
        <f t="shared" si="0"/>
        <v>0</v>
      </c>
      <c r="H33" s="142">
        <f t="shared" si="1"/>
        <v>7</v>
      </c>
      <c r="I33" s="142">
        <f>IF(Sat_W2[[#This Row],[Employee Name]]="","",IF(Sat_W2[[#This Row],[Dept]]="Supervisor",SUM(COUNTIFS($J33:$AX33,"RTA*",$J33:$AX33,"&lt;&gt;"&amp;"pRTA"),COUNTIFS($J33:$AX33,"*CRTA*",$J33:$AX33,"&lt;&gt;"&amp;"pCRTA")),COUNTIFS($J33:$AX33,"*RNNR*",$J33:$AX33,"&lt;&gt;"&amp;"*pRNNR*",$J33:$AX33,"&lt;&gt;"&amp;"pB1 RNNR",$J33:$AX33,"&lt;&gt;"&amp;"pB2 RNNR")-SUM(COUNTIFS($J33:$AX33,"*RNNR B1*",$J33:$AX33,"&lt;&gt;"&amp;"pRNNR B1")*0.5,COUNTIFS($J33:$AX33,"*RNNR B2*",$J33:$AX33,"&lt;&gt;"&amp;"pRNNR B2")*0.5,COUNTIFS($J33:$AX33,"*B1 RNNR*",$J33:$AX33,"&lt;&gt;"&amp;"pB1 RNNR")*0.5,COUNTIFS($J33:$AX33,"*B2 RNNR*",$J33:$AX33,"&lt;&gt;"&amp;"pB2 RNNR")*0.5)))</f>
        <v>0</v>
      </c>
      <c r="J33" s="184" t="str">
        <f>IFERROR(IF(VLOOKUP(Sat_W2[[#This Row],[Employee Name]],'Base Schedules'!$A$46:$AW$77,9,FALSE)="","",VLOOKUP(Sat_W2[[#This Row],[Employee Name]],'Base Schedules'!$A$46:$AW$77,9,FALSE)),"")</f>
        <v/>
      </c>
      <c r="K33" s="184" t="str">
        <f>IFERROR(IF(VLOOKUP(Sat_W2[[#This Row],[Employee Name]],'Base Schedules'!$A$46:$AW$77,10,FALSE)="","",VLOOKUP(Sat_W2[[#This Row],[Employee Name]],'Base Schedules'!$A$46:$AW$77,10,FALSE)),"")</f>
        <v/>
      </c>
      <c r="L33" s="184" t="str">
        <f>IFERROR(IF(VLOOKUP(Sat_W2[[#This Row],[Employee Name]],'Base Schedules'!$A$46:$AW$77,11,FALSE)="","",VLOOKUP(Sat_W2[[#This Row],[Employee Name]],'Base Schedules'!$A$46:$AW$77,11,FALSE)),"")</f>
        <v/>
      </c>
      <c r="M33" s="184" t="str">
        <f>IFERROR(IF(VLOOKUP(Sat_W2[[#This Row],[Employee Name]],'Base Schedules'!$A$46:$AW$77,12,FALSE)="","",VLOOKUP(Sat_W2[[#This Row],[Employee Name]],'Base Schedules'!$A$46:$AW$77,12,FALSE)),"")</f>
        <v/>
      </c>
      <c r="N33" s="184" t="str">
        <f>IFERROR(IF(VLOOKUP(Sat_W2[[#This Row],[Employee Name]],'Base Schedules'!$A$46:$AW$77,13,FALSE)="","",VLOOKUP(Sat_W2[[#This Row],[Employee Name]],'Base Schedules'!$A$46:$AW$77,13,FALSE)),"")</f>
        <v/>
      </c>
      <c r="O33" s="184" t="str">
        <f>IFERROR(IF(VLOOKUP(Sat_W2[[#This Row],[Employee Name]],'Base Schedules'!$A$46:$AW$77,14,FALSE)="","",VLOOKUP(Sat_W2[[#This Row],[Employee Name]],'Base Schedules'!$A$46:$AW$77,14,FALSE)),"")</f>
        <v/>
      </c>
      <c r="P33" s="184" t="str">
        <f>IFERROR(IF(VLOOKUP(Sat_W2[[#This Row],[Employee Name]],'Base Schedules'!$A$46:$AW$77,15,FALSE)="","",VLOOKUP(Sat_W2[[#This Row],[Employee Name]],'Base Schedules'!$A$46:$AW$77,15,FALSE)),"")</f>
        <v/>
      </c>
      <c r="Q33" s="184" t="str">
        <f>IFERROR(IF(VLOOKUP(Sat_W2[[#This Row],[Employee Name]],'Base Schedules'!$A$46:$AW$77,16,FALSE)="","",VLOOKUP(Sat_W2[[#This Row],[Employee Name]],'Base Schedules'!$A$46:$AW$77,16,FALSE)),"")</f>
        <v/>
      </c>
      <c r="R33" s="184" t="str">
        <f>IFERROR(IF(VLOOKUP(Sat_W2[[#This Row],[Employee Name]],'Base Schedules'!$A$46:$AW$77,17,FALSE)="","",VLOOKUP(Sat_W2[[#This Row],[Employee Name]],'Base Schedules'!$A$46:$AW$77,17,FALSE)),"")</f>
        <v/>
      </c>
      <c r="S33" s="184" t="str">
        <f>IFERROR(IF(VLOOKUP(Sat_W2[[#This Row],[Employee Name]],'Base Schedules'!$A$46:$AW$77,18,FALSE)="","",VLOOKUP(Sat_W2[[#This Row],[Employee Name]],'Base Schedules'!$A$46:$AW$77,18,FALSE)),"")</f>
        <v/>
      </c>
      <c r="T33" s="184" t="str">
        <f>IFERROR(IF(VLOOKUP(Sat_W2[[#This Row],[Employee Name]],'Base Schedules'!$A$46:$AW$77,19,FALSE)="","",VLOOKUP(Sat_W2[[#This Row],[Employee Name]],'Base Schedules'!$A$46:$AW$77,19,FALSE)),"")</f>
        <v/>
      </c>
      <c r="U33" s="184" t="str">
        <f>IFERROR(IF(VLOOKUP(Sat_W2[[#This Row],[Employee Name]],'Base Schedules'!$A$46:$AW$77,20,FALSE)="","",VLOOKUP(Sat_W2[[#This Row],[Employee Name]],'Base Schedules'!$A$46:$AW$77,20,FALSE)),"")</f>
        <v/>
      </c>
      <c r="V33" s="184" t="str">
        <f>IFERROR(IF(VLOOKUP(Sat_W2[[#This Row],[Employee Name]],'Base Schedules'!$A$46:$AW$77,21,FALSE)="","",VLOOKUP(Sat_W2[[#This Row],[Employee Name]],'Base Schedules'!$A$46:$AW$77,21,FALSE)),"")</f>
        <v/>
      </c>
      <c r="W33" s="184" t="str">
        <f>IFERROR(IF(VLOOKUP(Sat_W2[[#This Row],[Employee Name]],'Base Schedules'!$A$46:$AW$77,22,FALSE)="","",VLOOKUP(Sat_W2[[#This Row],[Employee Name]],'Base Schedules'!$A$46:$AW$77,22,FALSE)),"")</f>
        <v/>
      </c>
      <c r="X33" s="184" t="str">
        <f>IFERROR(IF(VLOOKUP(Sat_W2[[#This Row],[Employee Name]],'Base Schedules'!$A$46:$AW$77,23,FALSE)="","",VLOOKUP(Sat_W2[[#This Row],[Employee Name]],'Base Schedules'!$A$46:$AW$77,23,FALSE)),"")</f>
        <v/>
      </c>
      <c r="Y33" s="184" t="str">
        <f>IFERROR(IF(VLOOKUP(Sat_W2[[#This Row],[Employee Name]],'Base Schedules'!$A$46:$AW$77,24,FALSE)="","",VLOOKUP(Sat_W2[[#This Row],[Employee Name]],'Base Schedules'!$A$46:$AW$77,24,FALSE)),"")</f>
        <v/>
      </c>
      <c r="Z33" s="184" t="str">
        <f>IFERROR(IF(VLOOKUP(Sat_W2[[#This Row],[Employee Name]],'Base Schedules'!$A$46:$AW$77,25,FALSE)="","",VLOOKUP(Sat_W2[[#This Row],[Employee Name]],'Base Schedules'!$A$46:$AW$77,25,FALSE)),"")</f>
        <v/>
      </c>
      <c r="AA33" s="184" t="str">
        <f>IFERROR(IF(VLOOKUP(Sat_W2[[#This Row],[Employee Name]],'Base Schedules'!$A$46:$AW$77,26,FALSE)="","",VLOOKUP(Sat_W2[[#This Row],[Employee Name]],'Base Schedules'!$A$46:$AW$77,26,FALSE)),"")</f>
        <v>HL</v>
      </c>
      <c r="AB33" s="184" t="str">
        <f>IFERROR(IF(VLOOKUP(Sat_W2[[#This Row],[Employee Name]],'Base Schedules'!$A$46:$AW$77,27,FALSE)="","",VLOOKUP(Sat_W2[[#This Row],[Employee Name]],'Base Schedules'!$A$46:$AW$77,27,FALSE)),"")</f>
        <v>HL</v>
      </c>
      <c r="AC33" s="184" t="str">
        <f>IFERROR(IF(VLOOKUP(Sat_W2[[#This Row],[Employee Name]],'Base Schedules'!$A$46:$AW$77,28,FALSE)="","",VLOOKUP(Sat_W2[[#This Row],[Employee Name]],'Base Schedules'!$A$46:$AW$77,28,FALSE)),"")</f>
        <v>HL</v>
      </c>
      <c r="AD33" s="184" t="str">
        <f>IFERROR(IF(VLOOKUP(Sat_W2[[#This Row],[Employee Name]],'Base Schedules'!$A$46:$AW$77,29,FALSE)="","",VLOOKUP(Sat_W2[[#This Row],[Employee Name]],'Base Schedules'!$A$46:$AW$77,29,FALSE)),"")</f>
        <v>HL</v>
      </c>
      <c r="AE33" s="184" t="str">
        <f>IFERROR(IF(VLOOKUP(Sat_W2[[#This Row],[Employee Name]],'Base Schedules'!$A$46:$AW$77,30,FALSE)="","",VLOOKUP(Sat_W2[[#This Row],[Employee Name]],'Base Schedules'!$A$46:$AW$77,30,FALSE)),"")</f>
        <v>B1 ADM</v>
      </c>
      <c r="AF33" s="184" t="str">
        <f>IFERROR(IF(VLOOKUP(Sat_W2[[#This Row],[Employee Name]],'Base Schedules'!$A$46:$AW$77,31,FALSE)="","",VLOOKUP(Sat_W2[[#This Row],[Employee Name]],'Base Schedules'!$A$46:$AW$77,31,FALSE)),"")</f>
        <v>ADM</v>
      </c>
      <c r="AG33" s="184" t="str">
        <f>IFERROR(IF(VLOOKUP(Sat_W2[[#This Row],[Employee Name]],'Base Schedules'!$A$46:$AW$77,32,FALSE)="","",VLOOKUP(Sat_W2[[#This Row],[Employee Name]],'Base Schedules'!$A$46:$AW$77,32,FALSE)),"")</f>
        <v>ADM</v>
      </c>
      <c r="AH33" s="184" t="str">
        <f>IFERROR(IF(VLOOKUP(Sat_W2[[#This Row],[Employee Name]],'Base Schedules'!$A$46:$AW$77,33,FALSE)="","",VLOOKUP(Sat_W2[[#This Row],[Employee Name]],'Base Schedules'!$A$46:$AW$77,33,FALSE)),"")</f>
        <v>ADM</v>
      </c>
      <c r="AI33" s="184" t="str">
        <f>IFERROR(IF(VLOOKUP(Sat_W2[[#This Row],[Employee Name]],'Base Schedules'!$A$46:$AW$77,34,FALSE)="","",VLOOKUP(Sat_W2[[#This Row],[Employee Name]],'Base Schedules'!$A$46:$AW$77,34,FALSE)),"")</f>
        <v>HL</v>
      </c>
      <c r="AJ33" s="184" t="str">
        <f>IFERROR(IF(VLOOKUP(Sat_W2[[#This Row],[Employee Name]],'Base Schedules'!$A$46:$AW$77,35,FALSE)="","",VLOOKUP(Sat_W2[[#This Row],[Employee Name]],'Base Schedules'!$A$46:$AW$77,35,FALSE)),"")</f>
        <v>LUNCH</v>
      </c>
      <c r="AK33" s="184" t="str">
        <f>IFERROR(IF(VLOOKUP(Sat_W2[[#This Row],[Employee Name]],'Base Schedules'!$A$46:$AW$77,36,FALSE)="","",VLOOKUP(Sat_W2[[#This Row],[Employee Name]],'Base Schedules'!$A$46:$AW$77,36,FALSE)),"")</f>
        <v>HL</v>
      </c>
      <c r="AL33" s="184" t="str">
        <f>IFERROR(IF(VLOOKUP(Sat_W2[[#This Row],[Employee Name]],'Base Schedules'!$A$46:$AW$77,37,FALSE)="","",VLOOKUP(Sat_W2[[#This Row],[Employee Name]],'Base Schedules'!$A$46:$AW$77,37,FALSE)),"")</f>
        <v>HL</v>
      </c>
      <c r="AM33" s="184" t="str">
        <f>IFERROR(IF(VLOOKUP(Sat_W2[[#This Row],[Employee Name]],'Base Schedules'!$A$46:$AW$77,38,FALSE)="","",VLOOKUP(Sat_W2[[#This Row],[Employee Name]],'Base Schedules'!$A$46:$AW$77,38,FALSE)),"")</f>
        <v>HL</v>
      </c>
      <c r="AN33" s="184" t="str">
        <f>IFERROR(IF(VLOOKUP(Sat_W2[[#This Row],[Employee Name]],'Base Schedules'!$A$46:$AW$77,39,FALSE)="","",VLOOKUP(Sat_W2[[#This Row],[Employee Name]],'Base Schedules'!$A$46:$AW$77,39,FALSE)),"")</f>
        <v>HL B2</v>
      </c>
      <c r="AO33" s="184" t="str">
        <f>IFERROR(IF(VLOOKUP(Sat_W2[[#This Row],[Employee Name]],'Base Schedules'!$A$46:$AW$77,40,FALSE)="","",VLOOKUP(Sat_W2[[#This Row],[Employee Name]],'Base Schedules'!$A$46:$AW$77,40,FALSE)),"")</f>
        <v>ADM</v>
      </c>
      <c r="AP33" s="184" t="str">
        <f>IFERROR(IF(VLOOKUP(Sat_W2[[#This Row],[Employee Name]],'Base Schedules'!$A$46:$AW$77,41,FALSE)="","",VLOOKUP(Sat_W2[[#This Row],[Employee Name]],'Base Schedules'!$A$46:$AW$77,41,FALSE)),"")</f>
        <v>ADM</v>
      </c>
      <c r="AQ33" s="184" t="str">
        <f>IFERROR(IF(VLOOKUP(Sat_W2[[#This Row],[Employee Name]],'Base Schedules'!$A$46:$AW$77,42,FALSE)="","",VLOOKUP(Sat_W2[[#This Row],[Employee Name]],'Base Schedules'!$A$46:$AW$77,42,FALSE)),"")</f>
        <v>ADM</v>
      </c>
      <c r="AR33" s="184" t="str">
        <f>IFERROR(IF(VLOOKUP(Sat_W2[[#This Row],[Employee Name]],'Base Schedules'!$A$46:$AW$77,43,FALSE)="","",VLOOKUP(Sat_W2[[#This Row],[Employee Name]],'Base Schedules'!$A$46:$AW$77,43,FALSE)),"")</f>
        <v/>
      </c>
      <c r="AS33" s="184" t="str">
        <f>IFERROR(IF(VLOOKUP(Sat_W2[[#This Row],[Employee Name]],'Base Schedules'!$A$46:$AW$77,44,FALSE)="","",VLOOKUP(Sat_W2[[#This Row],[Employee Name]],'Base Schedules'!$A$46:$AW$77,44,FALSE)),"")</f>
        <v/>
      </c>
      <c r="AT33" s="184" t="str">
        <f>IFERROR(IF(VLOOKUP(Sat_W2[[#This Row],[Employee Name]],'Base Schedules'!$A$46:$AW$77,45,FALSE)="","",VLOOKUP(Sat_W2[[#This Row],[Employee Name]],'Base Schedules'!$A$46:$AW$77,45,FALSE)),"")</f>
        <v/>
      </c>
      <c r="AU33" s="184" t="str">
        <f>IFERROR(IF(VLOOKUP(Sat_W2[[#This Row],[Employee Name]],'Base Schedules'!$A$46:$AW$77,46,FALSE)="","",VLOOKUP(Sat_W2[[#This Row],[Employee Name]],'Base Schedules'!$A$46:$AW$77,46,FALSE)),"")</f>
        <v/>
      </c>
      <c r="AV33" s="184" t="str">
        <f>IFERROR(IF(VLOOKUP(Sat_W2[[#This Row],[Employee Name]],'Base Schedules'!$A$46:$AW$77,47,FALSE)="","",VLOOKUP(Sat_W2[[#This Row],[Employee Name]],'Base Schedules'!$A$46:$AW$77,47,FALSE)),"")</f>
        <v/>
      </c>
      <c r="AW33" s="184" t="str">
        <f>IFERROR(IF(VLOOKUP(Sat_W2[[#This Row],[Employee Name]],'Base Schedules'!$A$46:$AW$77,48,FALSE)="","",VLOOKUP(Sat_W2[[#This Row],[Employee Name]],'Base Schedules'!$A$46:$AW$77,48,FALSE)),"")</f>
        <v/>
      </c>
      <c r="AX33" s="184" t="str">
        <f>IFERROR(IF(VLOOKUP(Sat_W2[[#This Row],[Employee Name]],'Base Schedules'!$A$46:$AW$77,49,FALSE)="","",VLOOKUP(Sat_W2[[#This Row],[Employee Name]],'Base Schedules'!$A$46:$AW$77,49,FALSE)),"")</f>
        <v/>
      </c>
      <c r="AY33" s="160" t="str">
        <f t="shared" si="2"/>
        <v>Harris, Austin</v>
      </c>
    </row>
    <row r="34" spans="1:51" s="44" customFormat="1" ht="12" customHeight="1" x14ac:dyDescent="0.2">
      <c r="A34" s="39" t="str">
        <f>IF(B34="","",INDEX(TeamList[],MATCH($B34,TeamList[[Employee Name]:[Employee Name]],0),MATCH("Manager",TeamList[#Headers],0)))</f>
        <v>Olson, Katherine</v>
      </c>
      <c r="B34" s="201" t="s">
        <v>45</v>
      </c>
      <c r="C34" s="257" t="str">
        <f>_xlfn.IFNA(VLOOKUP(Sat_W2[[#This Row],[Employee Name]],'Base Schedules'!A:B,2,FALSE),"")</f>
        <v>Supervisor</v>
      </c>
      <c r="D34" s="274">
        <f>_xlfn.IFNA(VLOOKUP(Sat_W2[[#This Row],[Employee Name]],'Base Schedules'!A:C,3,FALSE),"")</f>
        <v>1400</v>
      </c>
      <c r="E34" s="274">
        <f>_xlfn.IFNA(VLOOKUP(Sat_W2[[#This Row],[Employee Name]],'Base Schedules'!A:D,4,FALSE),"")</f>
        <v>100</v>
      </c>
      <c r="F34" s="142">
        <f>IF(Sat_W2[[#This Row],[Employee Name]]="","",IF(Sat_W2[[#This Row],[Dept]]="Supervisor",COUNTIFS($J34:$AX34,"*HL*",$J34:$AX34,"&lt;&gt;"&amp;"pHL"),COUNTIFS($J34:$AX34,"*HL*",$J34:$AX34,"&lt;&gt;"&amp;"*pHL*",$J34:$AX34,"&lt;&gt;"&amp;"pB1 HL",$J34:$AX34,"&lt;&gt;"&amp;"pB2 HL")-SUM(COUNTIFS($J34:$AX34,"*HL B1*",$J34:$AX34,"&lt;&gt;"&amp;"pHL B1")*0.5,COUNTIFS($J34:$AX34,"*HL B2*",$J34:$AX34,"&lt;&gt;"&amp;"pHL B2")*0.5,COUNTIFS($J34:$AX34,"*B1 HL*",$J34:$AX34,"&lt;&gt;"&amp;"pB1 HL")*0.5,COUNTIFS($J34:$AX34,"*B2 HL*",$J34:$AX34,"&lt;&gt;"&amp;"pB2 HL")*0.5)))</f>
        <v>0</v>
      </c>
      <c r="G34" s="142">
        <f t="shared" si="0"/>
        <v>5</v>
      </c>
      <c r="H34" s="142">
        <f t="shared" si="1"/>
        <v>0</v>
      </c>
      <c r="I34" s="142">
        <f>IF(Sat_W2[[#This Row],[Employee Name]]="","",IF(Sat_W2[[#This Row],[Dept]]="Supervisor",SUM(COUNTIFS($J34:$AX34,"RTA*",$J34:$AX34,"&lt;&gt;"&amp;"pRTA"),COUNTIFS($J34:$AX34,"*CRTA*",$J34:$AX34,"&lt;&gt;"&amp;"pCRTA")),COUNTIFS($J34:$AX34,"*RNNR*",$J34:$AX34,"&lt;&gt;"&amp;"*pRNNR*",$J34:$AX34,"&lt;&gt;"&amp;"pB1 RNNR",$J34:$AX34,"&lt;&gt;"&amp;"pB2 RNNR")-SUM(COUNTIFS($J34:$AX34,"*RNNR B1*",$J34:$AX34,"&lt;&gt;"&amp;"pRNNR B1")*0.5,COUNTIFS($J34:$AX34,"*RNNR B2*",$J34:$AX34,"&lt;&gt;"&amp;"pRNNR B2")*0.5,COUNTIFS($J34:$AX34,"*B1 RNNR*",$J34:$AX34,"&lt;&gt;"&amp;"pB1 RNNR")*0.5,COUNTIFS($J34:$AX34,"*B2 RNNR*",$J34:$AX34,"&lt;&gt;"&amp;"pB2 RNNR")*0.5)))</f>
        <v>0</v>
      </c>
      <c r="J34" s="184" t="str">
        <f>IFERROR(IF(VLOOKUP(Sat_W2[[#This Row],[Employee Name]],'Base Schedules'!$A$46:$AW$77,9,FALSE)="","",VLOOKUP(Sat_W2[[#This Row],[Employee Name]],'Base Schedules'!$A$46:$AW$77,9,FALSE)),"")</f>
        <v/>
      </c>
      <c r="K34" s="184" t="str">
        <f>IFERROR(IF(VLOOKUP(Sat_W2[[#This Row],[Employee Name]],'Base Schedules'!$A$46:$AW$77,10,FALSE)="","",VLOOKUP(Sat_W2[[#This Row],[Employee Name]],'Base Schedules'!$A$46:$AW$77,10,FALSE)),"")</f>
        <v/>
      </c>
      <c r="L34" s="184" t="str">
        <f>IFERROR(IF(VLOOKUP(Sat_W2[[#This Row],[Employee Name]],'Base Schedules'!$A$46:$AW$77,11,FALSE)="","",VLOOKUP(Sat_W2[[#This Row],[Employee Name]],'Base Schedules'!$A$46:$AW$77,11,FALSE)),"")</f>
        <v/>
      </c>
      <c r="M34" s="184" t="str">
        <f>IFERROR(IF(VLOOKUP(Sat_W2[[#This Row],[Employee Name]],'Base Schedules'!$A$46:$AW$77,12,FALSE)="","",VLOOKUP(Sat_W2[[#This Row],[Employee Name]],'Base Schedules'!$A$46:$AW$77,12,FALSE)),"")</f>
        <v/>
      </c>
      <c r="N34" s="184" t="str">
        <f>IFERROR(IF(VLOOKUP(Sat_W2[[#This Row],[Employee Name]],'Base Schedules'!$A$46:$AW$77,13,FALSE)="","",VLOOKUP(Sat_W2[[#This Row],[Employee Name]],'Base Schedules'!$A$46:$AW$77,13,FALSE)),"")</f>
        <v/>
      </c>
      <c r="O34" s="184" t="str">
        <f>IFERROR(IF(VLOOKUP(Sat_W2[[#This Row],[Employee Name]],'Base Schedules'!$A$46:$AW$77,14,FALSE)="","",VLOOKUP(Sat_W2[[#This Row],[Employee Name]],'Base Schedules'!$A$46:$AW$77,14,FALSE)),"")</f>
        <v/>
      </c>
      <c r="P34" s="184" t="str">
        <f>IFERROR(IF(VLOOKUP(Sat_W2[[#This Row],[Employee Name]],'Base Schedules'!$A$46:$AW$77,15,FALSE)="","",VLOOKUP(Sat_W2[[#This Row],[Employee Name]],'Base Schedules'!$A$46:$AW$77,15,FALSE)),"")</f>
        <v/>
      </c>
      <c r="Q34" s="184" t="str">
        <f>IFERROR(IF(VLOOKUP(Sat_W2[[#This Row],[Employee Name]],'Base Schedules'!$A$46:$AW$77,16,FALSE)="","",VLOOKUP(Sat_W2[[#This Row],[Employee Name]],'Base Schedules'!$A$46:$AW$77,16,FALSE)),"")</f>
        <v/>
      </c>
      <c r="R34" s="184" t="str">
        <f>IFERROR(IF(VLOOKUP(Sat_W2[[#This Row],[Employee Name]],'Base Schedules'!$A$46:$AW$77,17,FALSE)="","",VLOOKUP(Sat_W2[[#This Row],[Employee Name]],'Base Schedules'!$A$46:$AW$77,17,FALSE)),"")</f>
        <v/>
      </c>
      <c r="S34" s="184" t="str">
        <f>IFERROR(IF(VLOOKUP(Sat_W2[[#This Row],[Employee Name]],'Base Schedules'!$A$46:$AW$77,18,FALSE)="","",VLOOKUP(Sat_W2[[#This Row],[Employee Name]],'Base Schedules'!$A$46:$AW$77,18,FALSE)),"")</f>
        <v/>
      </c>
      <c r="T34" s="184" t="str">
        <f>IFERROR(IF(VLOOKUP(Sat_W2[[#This Row],[Employee Name]],'Base Schedules'!$A$46:$AW$77,19,FALSE)="","",VLOOKUP(Sat_W2[[#This Row],[Employee Name]],'Base Schedules'!$A$46:$AW$77,19,FALSE)),"")</f>
        <v/>
      </c>
      <c r="U34" s="184" t="str">
        <f>IFERROR(IF(VLOOKUP(Sat_W2[[#This Row],[Employee Name]],'Base Schedules'!$A$46:$AW$77,20,FALSE)="","",VLOOKUP(Sat_W2[[#This Row],[Employee Name]],'Base Schedules'!$A$46:$AW$77,20,FALSE)),"")</f>
        <v/>
      </c>
      <c r="V34" s="184" t="str">
        <f>IFERROR(IF(VLOOKUP(Sat_W2[[#This Row],[Employee Name]],'Base Schedules'!$A$46:$AW$77,21,FALSE)="","",VLOOKUP(Sat_W2[[#This Row],[Employee Name]],'Base Schedules'!$A$46:$AW$77,21,FALSE)),"")</f>
        <v/>
      </c>
      <c r="W34" s="184" t="str">
        <f>IFERROR(IF(VLOOKUP(Sat_W2[[#This Row],[Employee Name]],'Base Schedules'!$A$46:$AW$77,22,FALSE)="","",VLOOKUP(Sat_W2[[#This Row],[Employee Name]],'Base Schedules'!$A$46:$AW$77,22,FALSE)),"")</f>
        <v/>
      </c>
      <c r="X34" s="184" t="str">
        <f>IFERROR(IF(VLOOKUP(Sat_W2[[#This Row],[Employee Name]],'Base Schedules'!$A$46:$AW$77,23,FALSE)="","",VLOOKUP(Sat_W2[[#This Row],[Employee Name]],'Base Schedules'!$A$46:$AW$77,23,FALSE)),"")</f>
        <v/>
      </c>
      <c r="Y34" s="184" t="str">
        <f>IFERROR(IF(VLOOKUP(Sat_W2[[#This Row],[Employee Name]],'Base Schedules'!$A$46:$AW$77,24,FALSE)="","",VLOOKUP(Sat_W2[[#This Row],[Employee Name]],'Base Schedules'!$A$46:$AW$77,24,FALSE)),"")</f>
        <v/>
      </c>
      <c r="Z34" s="184" t="str">
        <f>IFERROR(IF(VLOOKUP(Sat_W2[[#This Row],[Employee Name]],'Base Schedules'!$A$46:$AW$77,25,FALSE)="","",VLOOKUP(Sat_W2[[#This Row],[Employee Name]],'Base Schedules'!$A$46:$AW$77,25,FALSE)),"")</f>
        <v/>
      </c>
      <c r="AA34" s="184" t="str">
        <f>IFERROR(IF(VLOOKUP(Sat_W2[[#This Row],[Employee Name]],'Base Schedules'!$A$46:$AW$77,26,FALSE)="","",VLOOKUP(Sat_W2[[#This Row],[Employee Name]],'Base Schedules'!$A$46:$AW$77,26,FALSE)),"")</f>
        <v/>
      </c>
      <c r="AB34" s="184" t="str">
        <f>IFERROR(IF(VLOOKUP(Sat_W2[[#This Row],[Employee Name]],'Base Schedules'!$A$46:$AW$77,27,FALSE)="","",VLOOKUP(Sat_W2[[#This Row],[Employee Name]],'Base Schedules'!$A$46:$AW$77,27,FALSE)),"")</f>
        <v>-</v>
      </c>
      <c r="AC34" s="184" t="str">
        <f>IFERROR(IF(VLOOKUP(Sat_W2[[#This Row],[Employee Name]],'Base Schedules'!$A$46:$AW$77,28,FALSE)="","",VLOOKUP(Sat_W2[[#This Row],[Employee Name]],'Base Schedules'!$A$46:$AW$77,28,FALSE)),"")</f>
        <v>-</v>
      </c>
      <c r="AD34" s="184" t="str">
        <f>IFERROR(IF(VLOOKUP(Sat_W2[[#This Row],[Employee Name]],'Base Schedules'!$A$46:$AW$77,29,FALSE)="","",VLOOKUP(Sat_W2[[#This Row],[Employee Name]],'Base Schedules'!$A$46:$AW$77,29,FALSE)),"")</f>
        <v>Coaching</v>
      </c>
      <c r="AE34" s="184" t="str">
        <f>IFERROR(IF(VLOOKUP(Sat_W2[[#This Row],[Employee Name]],'Base Schedules'!$A$46:$AW$77,30,FALSE)="","",VLOOKUP(Sat_W2[[#This Row],[Employee Name]],'Base Schedules'!$A$46:$AW$77,30,FALSE)),"")</f>
        <v>Coaching</v>
      </c>
      <c r="AF34" s="184" t="str">
        <f>IFERROR(IF(VLOOKUP(Sat_W2[[#This Row],[Employee Name]],'Base Schedules'!$A$46:$AW$77,31,FALSE)="","",VLOOKUP(Sat_W2[[#This Row],[Employee Name]],'Base Schedules'!$A$46:$AW$77,31,FALSE)),"")</f>
        <v>Interview</v>
      </c>
      <c r="AG34" s="184" t="str">
        <f>IFERROR(IF(VLOOKUP(Sat_W2[[#This Row],[Employee Name]],'Base Schedules'!$A$46:$AW$77,32,FALSE)="","",VLOOKUP(Sat_W2[[#This Row],[Employee Name]],'Base Schedules'!$A$46:$AW$77,32,FALSE)),"")</f>
        <v>Interview</v>
      </c>
      <c r="AH34" s="184" t="str">
        <f>IFERROR(IF(VLOOKUP(Sat_W2[[#This Row],[Employee Name]],'Base Schedules'!$A$46:$AW$77,33,FALSE)="","",VLOOKUP(Sat_W2[[#This Row],[Employee Name]],'Base Schedules'!$A$46:$AW$77,33,FALSE)),"")</f>
        <v>-</v>
      </c>
      <c r="AI34" s="184" t="str">
        <f>IFERROR(IF(VLOOKUP(Sat_W2[[#This Row],[Employee Name]],'Base Schedules'!$A$46:$AW$77,34,FALSE)="","",VLOOKUP(Sat_W2[[#This Row],[Employee Name]],'Base Schedules'!$A$46:$AW$77,34,FALSE)),"")</f>
        <v>TM PREP</v>
      </c>
      <c r="AJ34" s="184" t="str">
        <f>IFERROR(IF(VLOOKUP(Sat_W2[[#This Row],[Employee Name]],'Base Schedules'!$A$46:$AW$77,35,FALSE)="","",VLOOKUP(Sat_W2[[#This Row],[Employee Name]],'Base Schedules'!$A$46:$AW$77,35,FALSE)),"")</f>
        <v>N MCLEAN TM</v>
      </c>
      <c r="AK34" s="184" t="str">
        <f>IFERROR(IF(VLOOKUP(Sat_W2[[#This Row],[Employee Name]],'Base Schedules'!$A$46:$AW$77,36,FALSE)="","",VLOOKUP(Sat_W2[[#This Row],[Employee Name]],'Base Schedules'!$A$46:$AW$77,36,FALSE)),"")</f>
        <v>N MCLEAN TM</v>
      </c>
      <c r="AL34" s="184" t="str">
        <f>IFERROR(IF(VLOOKUP(Sat_W2[[#This Row],[Employee Name]],'Base Schedules'!$A$46:$AW$77,37,FALSE)="","",VLOOKUP(Sat_W2[[#This Row],[Employee Name]],'Base Schedules'!$A$46:$AW$77,37,FALSE)),"")</f>
        <v>-</v>
      </c>
      <c r="AM34" s="184" t="str">
        <f>IFERROR(IF(VLOOKUP(Sat_W2[[#This Row],[Employee Name]],'Base Schedules'!$A$46:$AW$77,38,FALSE)="","",VLOOKUP(Sat_W2[[#This Row],[Employee Name]],'Base Schedules'!$A$46:$AW$77,38,FALSE)),"")</f>
        <v>-</v>
      </c>
      <c r="AN34" s="184" t="str">
        <f>IFERROR(IF(VLOOKUP(Sat_W2[[#This Row],[Employee Name]],'Base Schedules'!$A$46:$AW$77,39,FALSE)="","",VLOOKUP(Sat_W2[[#This Row],[Employee Name]],'Base Schedules'!$A$46:$AW$77,39,FALSE)),"")</f>
        <v>Coaching</v>
      </c>
      <c r="AO34" s="184" t="str">
        <f>IFERROR(IF(VLOOKUP(Sat_W2[[#This Row],[Employee Name]],'Base Schedules'!$A$46:$AW$77,40,FALSE)="","",VLOOKUP(Sat_W2[[#This Row],[Employee Name]],'Base Schedules'!$A$46:$AW$77,40,FALSE)),"")</f>
        <v>Coaching</v>
      </c>
      <c r="AP34" s="184" t="str">
        <f>IFERROR(IF(VLOOKUP(Sat_W2[[#This Row],[Employee Name]],'Base Schedules'!$A$46:$AW$77,41,FALSE)="","",VLOOKUP(Sat_W2[[#This Row],[Employee Name]],'Base Schedules'!$A$46:$AW$77,41,FALSE)),"")</f>
        <v>Coaching</v>
      </c>
      <c r="AQ34" s="184" t="str">
        <f>IFERROR(IF(VLOOKUP(Sat_W2[[#This Row],[Employee Name]],'Base Schedules'!$A$46:$AW$77,42,FALSE)="","",VLOOKUP(Sat_W2[[#This Row],[Employee Name]],'Base Schedules'!$A$46:$AW$77,42,FALSE)),"")</f>
        <v>-</v>
      </c>
      <c r="AR34" s="184" t="str">
        <f>IFERROR(IF(VLOOKUP(Sat_W2[[#This Row],[Employee Name]],'Base Schedules'!$A$46:$AW$77,43,FALSE)="","",VLOOKUP(Sat_W2[[#This Row],[Employee Name]],'Base Schedules'!$A$46:$AW$77,43,FALSE)),"")</f>
        <v>-</v>
      </c>
      <c r="AS34" s="184" t="str">
        <f>IFERROR(IF(VLOOKUP(Sat_W2[[#This Row],[Employee Name]],'Base Schedules'!$A$46:$AW$77,44,FALSE)="","",VLOOKUP(Sat_W2[[#This Row],[Employee Name]],'Base Schedules'!$A$46:$AW$77,44,FALSE)),"")</f>
        <v>-</v>
      </c>
      <c r="AT34" s="184" t="str">
        <f>IFERROR(IF(VLOOKUP(Sat_W2[[#This Row],[Employee Name]],'Base Schedules'!$A$46:$AW$77,45,FALSE)="","",VLOOKUP(Sat_W2[[#This Row],[Employee Name]],'Base Schedules'!$A$46:$AW$77,45,FALSE)),"")</f>
        <v>-</v>
      </c>
      <c r="AU34" s="184" t="str">
        <f>IFERROR(IF(VLOOKUP(Sat_W2[[#This Row],[Employee Name]],'Base Schedules'!$A$46:$AW$77,46,FALSE)="","",VLOOKUP(Sat_W2[[#This Row],[Employee Name]],'Base Schedules'!$A$46:$AW$77,46,FALSE)),"")</f>
        <v>-</v>
      </c>
      <c r="AV34" s="184" t="str">
        <f>IFERROR(IF(VLOOKUP(Sat_W2[[#This Row],[Employee Name]],'Base Schedules'!$A$46:$AW$77,47,FALSE)="","",VLOOKUP(Sat_W2[[#This Row],[Employee Name]],'Base Schedules'!$A$46:$AW$77,47,FALSE)),"")</f>
        <v>-</v>
      </c>
      <c r="AW34" s="184" t="str">
        <f>IFERROR(IF(VLOOKUP(Sat_W2[[#This Row],[Employee Name]],'Base Schedules'!$A$46:$AW$77,48,FALSE)="","",VLOOKUP(Sat_W2[[#This Row],[Employee Name]],'Base Schedules'!$A$46:$AW$77,48,FALSE)),"")</f>
        <v>-</v>
      </c>
      <c r="AX34" s="184" t="str">
        <f>IFERROR(IF(VLOOKUP(Sat_W2[[#This Row],[Employee Name]],'Base Schedules'!$A$46:$AW$77,49,FALSE)="","",VLOOKUP(Sat_W2[[#This Row],[Employee Name]],'Base Schedules'!$A$46:$AW$77,49,FALSE)),"")</f>
        <v/>
      </c>
      <c r="AY34" s="161" t="str">
        <f t="shared" si="2"/>
        <v>McLean, Neva</v>
      </c>
    </row>
    <row r="35" spans="1:51" s="44" customFormat="1" ht="12" customHeight="1" x14ac:dyDescent="0.2">
      <c r="A35" s="39" t="str">
        <f>IF(B35="","",INDEX(TeamList[],MATCH($B35,TeamList[[Employee Name]:[Employee Name]],0),MATCH("Manager",TeamList[#Headers],0)))</f>
        <v>Olson, Katherine</v>
      </c>
      <c r="B35" s="201" t="s">
        <v>235</v>
      </c>
      <c r="C35" s="257" t="str">
        <f>_xlfn.IFNA(VLOOKUP(Sat_W2[[#This Row],[Employee Name]],'Base Schedules'!A:B,2,FALSE),"")</f>
        <v>Lead</v>
      </c>
      <c r="D35" s="274">
        <f>_xlfn.IFNA(VLOOKUP(Sat_W2[[#This Row],[Employee Name]],'Base Schedules'!A:C,3,FALSE),"")</f>
        <v>1530</v>
      </c>
      <c r="E35" s="274">
        <f>_xlfn.IFNA(VLOOKUP(Sat_W2[[#This Row],[Employee Name]],'Base Schedules'!A:D,4,FALSE),"")</f>
        <v>0</v>
      </c>
      <c r="F35" s="142">
        <f>IF(Sat_W2[[#This Row],[Employee Name]]="","",IF(Sat_W2[[#This Row],[Dept]]="Supervisor",COUNTIFS($J35:$AX35,"*HL*",$J35:$AX35,"&lt;&gt;"&amp;"pHL"),COUNTIFS($J35:$AX35,"*HL*",$J35:$AX35,"&lt;&gt;"&amp;"*pHL*",$J35:$AX35,"&lt;&gt;"&amp;"pB1 HL",$J35:$AX35,"&lt;&gt;"&amp;"pB2 HL")-SUM(COUNTIFS($J35:$AX35,"*HL B1*",$J35:$AX35,"&lt;&gt;"&amp;"pHL B1")*0.5,COUNTIFS($J35:$AX35,"*HL B2*",$J35:$AX35,"&lt;&gt;"&amp;"pHL B2")*0.5,COUNTIFS($J35:$AX35,"*B1 HL*",$J35:$AX35,"&lt;&gt;"&amp;"pB1 HL")*0.5,COUNTIFS($J35:$AX35,"*B2 HL*",$J35:$AX35,"&lt;&gt;"&amp;"pB2 HL")*0.5)))</f>
        <v>7.5</v>
      </c>
      <c r="G35" s="142">
        <f t="shared" si="0"/>
        <v>0</v>
      </c>
      <c r="H35" s="142">
        <f t="shared" si="1"/>
        <v>8</v>
      </c>
      <c r="I35" s="142">
        <f>IF(Sat_W2[[#This Row],[Employee Name]]="","",IF(Sat_W2[[#This Row],[Dept]]="Supervisor",SUM(COUNTIFS($J35:$AX35,"RTA*",$J35:$AX35,"&lt;&gt;"&amp;"pRTA"),COUNTIFS($J35:$AX35,"*CRTA*",$J35:$AX35,"&lt;&gt;"&amp;"pCRTA")),COUNTIFS($J35:$AX35,"*RNNR*",$J35:$AX35,"&lt;&gt;"&amp;"*pRNNR*",$J35:$AX35,"&lt;&gt;"&amp;"pB1 RNNR",$J35:$AX35,"&lt;&gt;"&amp;"pB2 RNNR")-SUM(COUNTIFS($J35:$AX35,"*RNNR B1*",$J35:$AX35,"&lt;&gt;"&amp;"pRNNR B1")*0.5,COUNTIFS($J35:$AX35,"*RNNR B2*",$J35:$AX35,"&lt;&gt;"&amp;"pRNNR B2")*0.5,COUNTIFS($J35:$AX35,"*B1 RNNR*",$J35:$AX35,"&lt;&gt;"&amp;"pB1 RNNR")*0.5,COUNTIFS($J35:$AX35,"*B2 RNNR*",$J35:$AX35,"&lt;&gt;"&amp;"pB2 RNNR")*0.5)))</f>
        <v>0</v>
      </c>
      <c r="J35" s="184" t="str">
        <f>IFERROR(IF(VLOOKUP(Sat_W2[[#This Row],[Employee Name]],'Base Schedules'!$A$46:$AW$77,9,FALSE)="","",VLOOKUP(Sat_W2[[#This Row],[Employee Name]],'Base Schedules'!$A$46:$AW$77,9,FALSE)),"")</f>
        <v/>
      </c>
      <c r="K35" s="184" t="str">
        <f>IFERROR(IF(VLOOKUP(Sat_W2[[#This Row],[Employee Name]],'Base Schedules'!$A$46:$AW$77,10,FALSE)="","",VLOOKUP(Sat_W2[[#This Row],[Employee Name]],'Base Schedules'!$A$46:$AW$77,10,FALSE)),"")</f>
        <v/>
      </c>
      <c r="L35" s="184" t="str">
        <f>IFERROR(IF(VLOOKUP(Sat_W2[[#This Row],[Employee Name]],'Base Schedules'!$A$46:$AW$77,11,FALSE)="","",VLOOKUP(Sat_W2[[#This Row],[Employee Name]],'Base Schedules'!$A$46:$AW$77,11,FALSE)),"")</f>
        <v/>
      </c>
      <c r="M35" s="184" t="str">
        <f>IFERROR(IF(VLOOKUP(Sat_W2[[#This Row],[Employee Name]],'Base Schedules'!$A$46:$AW$77,12,FALSE)="","",VLOOKUP(Sat_W2[[#This Row],[Employee Name]],'Base Schedules'!$A$46:$AW$77,12,FALSE)),"")</f>
        <v/>
      </c>
      <c r="N35" s="184" t="str">
        <f>IFERROR(IF(VLOOKUP(Sat_W2[[#This Row],[Employee Name]],'Base Schedules'!$A$46:$AW$77,13,FALSE)="","",VLOOKUP(Sat_W2[[#This Row],[Employee Name]],'Base Schedules'!$A$46:$AW$77,13,FALSE)),"")</f>
        <v/>
      </c>
      <c r="O35" s="184" t="str">
        <f>IFERROR(IF(VLOOKUP(Sat_W2[[#This Row],[Employee Name]],'Base Schedules'!$A$46:$AW$77,14,FALSE)="","",VLOOKUP(Sat_W2[[#This Row],[Employee Name]],'Base Schedules'!$A$46:$AW$77,14,FALSE)),"")</f>
        <v/>
      </c>
      <c r="P35" s="184" t="str">
        <f>IFERROR(IF(VLOOKUP(Sat_W2[[#This Row],[Employee Name]],'Base Schedules'!$A$46:$AW$77,15,FALSE)="","",VLOOKUP(Sat_W2[[#This Row],[Employee Name]],'Base Schedules'!$A$46:$AW$77,15,FALSE)),"")</f>
        <v/>
      </c>
      <c r="Q35" s="184" t="str">
        <f>IFERROR(IF(VLOOKUP(Sat_W2[[#This Row],[Employee Name]],'Base Schedules'!$A$46:$AW$77,16,FALSE)="","",VLOOKUP(Sat_W2[[#This Row],[Employee Name]],'Base Schedules'!$A$46:$AW$77,16,FALSE)),"")</f>
        <v/>
      </c>
      <c r="R35" s="184" t="str">
        <f>IFERROR(IF(VLOOKUP(Sat_W2[[#This Row],[Employee Name]],'Base Schedules'!$A$46:$AW$77,17,FALSE)="","",VLOOKUP(Sat_W2[[#This Row],[Employee Name]],'Base Schedules'!$A$46:$AW$77,17,FALSE)),"")</f>
        <v/>
      </c>
      <c r="S35" s="184" t="str">
        <f>IFERROR(IF(VLOOKUP(Sat_W2[[#This Row],[Employee Name]],'Base Schedules'!$A$46:$AW$77,18,FALSE)="","",VLOOKUP(Sat_W2[[#This Row],[Employee Name]],'Base Schedules'!$A$46:$AW$77,18,FALSE)),"")</f>
        <v/>
      </c>
      <c r="T35" s="184" t="str">
        <f>IFERROR(IF(VLOOKUP(Sat_W2[[#This Row],[Employee Name]],'Base Schedules'!$A$46:$AW$77,19,FALSE)="","",VLOOKUP(Sat_W2[[#This Row],[Employee Name]],'Base Schedules'!$A$46:$AW$77,19,FALSE)),"")</f>
        <v/>
      </c>
      <c r="U35" s="184" t="str">
        <f>IFERROR(IF(VLOOKUP(Sat_W2[[#This Row],[Employee Name]],'Base Schedules'!$A$46:$AW$77,20,FALSE)="","",VLOOKUP(Sat_W2[[#This Row],[Employee Name]],'Base Schedules'!$A$46:$AW$77,20,FALSE)),"")</f>
        <v/>
      </c>
      <c r="V35" s="184" t="str">
        <f>IFERROR(IF(VLOOKUP(Sat_W2[[#This Row],[Employee Name]],'Base Schedules'!$A$46:$AW$77,21,FALSE)="","",VLOOKUP(Sat_W2[[#This Row],[Employee Name]],'Base Schedules'!$A$46:$AW$77,21,FALSE)),"")</f>
        <v/>
      </c>
      <c r="W35" s="184" t="str">
        <f>IFERROR(IF(VLOOKUP(Sat_W2[[#This Row],[Employee Name]],'Base Schedules'!$A$46:$AW$77,22,FALSE)="","",VLOOKUP(Sat_W2[[#This Row],[Employee Name]],'Base Schedules'!$A$46:$AW$77,22,FALSE)),"")</f>
        <v/>
      </c>
      <c r="X35" s="184" t="str">
        <f>IFERROR(IF(VLOOKUP(Sat_W2[[#This Row],[Employee Name]],'Base Schedules'!$A$46:$AW$77,23,FALSE)="","",VLOOKUP(Sat_W2[[#This Row],[Employee Name]],'Base Schedules'!$A$46:$AW$77,23,FALSE)),"")</f>
        <v/>
      </c>
      <c r="Y35" s="184" t="str">
        <f>IFERROR(IF(VLOOKUP(Sat_W2[[#This Row],[Employee Name]],'Base Schedules'!$A$46:$AW$77,24,FALSE)="","",VLOOKUP(Sat_W2[[#This Row],[Employee Name]],'Base Schedules'!$A$46:$AW$77,24,FALSE)),"")</f>
        <v/>
      </c>
      <c r="Z35" s="184" t="str">
        <f>IFERROR(IF(VLOOKUP(Sat_W2[[#This Row],[Employee Name]],'Base Schedules'!$A$46:$AW$77,25,FALSE)="","",VLOOKUP(Sat_W2[[#This Row],[Employee Name]],'Base Schedules'!$A$46:$AW$77,25,FALSE)),"")</f>
        <v/>
      </c>
      <c r="AA35" s="184" t="str">
        <f>IFERROR(IF(VLOOKUP(Sat_W2[[#This Row],[Employee Name]],'Base Schedules'!$A$46:$AW$77,26,FALSE)="","",VLOOKUP(Sat_W2[[#This Row],[Employee Name]],'Base Schedules'!$A$46:$AW$77,26,FALSE)),"")</f>
        <v/>
      </c>
      <c r="AB35" s="184" t="str">
        <f>IFERROR(IF(VLOOKUP(Sat_W2[[#This Row],[Employee Name]],'Base Schedules'!$A$46:$AW$77,27,FALSE)="","",VLOOKUP(Sat_W2[[#This Row],[Employee Name]],'Base Schedules'!$A$46:$AW$77,27,FALSE)),"")</f>
        <v/>
      </c>
      <c r="AC35" s="184" t="str">
        <f>IFERROR(IF(VLOOKUP(Sat_W2[[#This Row],[Employee Name]],'Base Schedules'!$A$46:$AW$77,28,FALSE)="","",VLOOKUP(Sat_W2[[#This Row],[Employee Name]],'Base Schedules'!$A$46:$AW$77,28,FALSE)),"")</f>
        <v/>
      </c>
      <c r="AD35" s="184" t="str">
        <f>IFERROR(IF(VLOOKUP(Sat_W2[[#This Row],[Employee Name]],'Base Schedules'!$A$46:$AW$77,29,FALSE)="","",VLOOKUP(Sat_W2[[#This Row],[Employee Name]],'Base Schedules'!$A$46:$AW$77,29,FALSE)),"")</f>
        <v/>
      </c>
      <c r="AE35" s="184" t="str">
        <f>IFERROR(IF(VLOOKUP(Sat_W2[[#This Row],[Employee Name]],'Base Schedules'!$A$46:$AW$77,30,FALSE)="","",VLOOKUP(Sat_W2[[#This Row],[Employee Name]],'Base Schedules'!$A$46:$AW$77,30,FALSE)),"")</f>
        <v>ADM</v>
      </c>
      <c r="AF35" s="184" t="str">
        <f>IFERROR(IF(VLOOKUP(Sat_W2[[#This Row],[Employee Name]],'Base Schedules'!$A$46:$AW$77,31,FALSE)="","",VLOOKUP(Sat_W2[[#This Row],[Employee Name]],'Base Schedules'!$A$46:$AW$77,31,FALSE)),"")</f>
        <v>ADM</v>
      </c>
      <c r="AG35" s="184" t="str">
        <f>IFERROR(IF(VLOOKUP(Sat_W2[[#This Row],[Employee Name]],'Base Schedules'!$A$46:$AW$77,32,FALSE)="","",VLOOKUP(Sat_W2[[#This Row],[Employee Name]],'Base Schedules'!$A$46:$AW$77,32,FALSE)),"")</f>
        <v>ADM</v>
      </c>
      <c r="AH35" s="184" t="str">
        <f>IFERROR(IF(VLOOKUP(Sat_W2[[#This Row],[Employee Name]],'Base Schedules'!$A$46:$AW$77,33,FALSE)="","",VLOOKUP(Sat_W2[[#This Row],[Employee Name]],'Base Schedules'!$A$46:$AW$77,33,FALSE)),"")</f>
        <v>ADM</v>
      </c>
      <c r="AI35" s="184" t="str">
        <f>IFERROR(IF(VLOOKUP(Sat_W2[[#This Row],[Employee Name]],'Base Schedules'!$A$46:$AW$77,34,FALSE)="","",VLOOKUP(Sat_W2[[#This Row],[Employee Name]],'Base Schedules'!$A$46:$AW$77,34,FALSE)),"")</f>
        <v>B1 ADM</v>
      </c>
      <c r="AJ35" s="184" t="str">
        <f>IFERROR(IF(VLOOKUP(Sat_W2[[#This Row],[Employee Name]],'Base Schedules'!$A$46:$AW$77,35,FALSE)="","",VLOOKUP(Sat_W2[[#This Row],[Employee Name]],'Base Schedules'!$A$46:$AW$77,35,FALSE)),"")</f>
        <v>ADM</v>
      </c>
      <c r="AK35" s="184" t="str">
        <f>IFERROR(IF(VLOOKUP(Sat_W2[[#This Row],[Employee Name]],'Base Schedules'!$A$46:$AW$77,36,FALSE)="","",VLOOKUP(Sat_W2[[#This Row],[Employee Name]],'Base Schedules'!$A$46:$AW$77,36,FALSE)),"")</f>
        <v>HL</v>
      </c>
      <c r="AL35" s="184" t="str">
        <f>IFERROR(IF(VLOOKUP(Sat_W2[[#This Row],[Employee Name]],'Base Schedules'!$A$46:$AW$77,37,FALSE)="","",VLOOKUP(Sat_W2[[#This Row],[Employee Name]],'Base Schedules'!$A$46:$AW$77,37,FALSE)),"")</f>
        <v>HL</v>
      </c>
      <c r="AM35" s="184" t="str">
        <f>IFERROR(IF(VLOOKUP(Sat_W2[[#This Row],[Employee Name]],'Base Schedules'!$A$46:$AW$77,38,FALSE)="","",VLOOKUP(Sat_W2[[#This Row],[Employee Name]],'Base Schedules'!$A$46:$AW$77,38,FALSE)),"")</f>
        <v>LUNCH</v>
      </c>
      <c r="AN35" s="184" t="str">
        <f>IFERROR(IF(VLOOKUP(Sat_W2[[#This Row],[Employee Name]],'Base Schedules'!$A$46:$AW$77,39,FALSE)="","",VLOOKUP(Sat_W2[[#This Row],[Employee Name]],'Base Schedules'!$A$46:$AW$77,39,FALSE)),"")</f>
        <v>ADM</v>
      </c>
      <c r="AO35" s="184" t="str">
        <f>IFERROR(IF(VLOOKUP(Sat_W2[[#This Row],[Employee Name]],'Base Schedules'!$A$46:$AW$77,40,FALSE)="","",VLOOKUP(Sat_W2[[#This Row],[Employee Name]],'Base Schedules'!$A$46:$AW$77,40,FALSE)),"")</f>
        <v>ADM</v>
      </c>
      <c r="AP35" s="184" t="str">
        <f>IFERROR(IF(VLOOKUP(Sat_W2[[#This Row],[Employee Name]],'Base Schedules'!$A$46:$AW$77,41,FALSE)="","",VLOOKUP(Sat_W2[[#This Row],[Employee Name]],'Base Schedules'!$A$46:$AW$77,41,FALSE)),"")</f>
        <v>HL</v>
      </c>
      <c r="AQ35" s="184" t="str">
        <f>IFERROR(IF(VLOOKUP(Sat_W2[[#This Row],[Employee Name]],'Base Schedules'!$A$46:$AW$77,42,FALSE)="","",VLOOKUP(Sat_W2[[#This Row],[Employee Name]],'Base Schedules'!$A$46:$AW$77,42,FALSE)),"")</f>
        <v>HL</v>
      </c>
      <c r="AR35" s="184" t="str">
        <f>IFERROR(IF(VLOOKUP(Sat_W2[[#This Row],[Employee Name]],'Base Schedules'!$A$46:$AW$77,43,FALSE)="","",VLOOKUP(Sat_W2[[#This Row],[Employee Name]],'Base Schedules'!$A$46:$AW$77,43,FALSE)),"")</f>
        <v>HL B2</v>
      </c>
      <c r="AS35" s="184" t="str">
        <f>IFERROR(IF(VLOOKUP(Sat_W2[[#This Row],[Employee Name]],'Base Schedules'!$A$46:$AW$77,44,FALSE)="","",VLOOKUP(Sat_W2[[#This Row],[Employee Name]],'Base Schedules'!$A$46:$AW$77,44,FALSE)),"")</f>
        <v>HL</v>
      </c>
      <c r="AT35" s="184" t="str">
        <f>IFERROR(IF(VLOOKUP(Sat_W2[[#This Row],[Employee Name]],'Base Schedules'!$A$46:$AW$77,45,FALSE)="","",VLOOKUP(Sat_W2[[#This Row],[Employee Name]],'Base Schedules'!$A$46:$AW$77,45,FALSE)),"")</f>
        <v>HL</v>
      </c>
      <c r="AU35" s="184" t="str">
        <f>IFERROR(IF(VLOOKUP(Sat_W2[[#This Row],[Employee Name]],'Base Schedules'!$A$46:$AW$77,46,FALSE)="","",VLOOKUP(Sat_W2[[#This Row],[Employee Name]],'Base Schedules'!$A$46:$AW$77,46,FALSE)),"")</f>
        <v>HL</v>
      </c>
      <c r="AV35" s="184" t="str">
        <f>IFERROR(IF(VLOOKUP(Sat_W2[[#This Row],[Employee Name]],'Base Schedules'!$A$46:$AW$77,47,FALSE)="","",VLOOKUP(Sat_W2[[#This Row],[Employee Name]],'Base Schedules'!$A$46:$AW$77,47,FALSE)),"")</f>
        <v/>
      </c>
      <c r="AW35" s="184" t="str">
        <f>IFERROR(IF(VLOOKUP(Sat_W2[[#This Row],[Employee Name]],'Base Schedules'!$A$46:$AW$77,48,FALSE)="","",VLOOKUP(Sat_W2[[#This Row],[Employee Name]],'Base Schedules'!$A$46:$AW$77,48,FALSE)),"")</f>
        <v/>
      </c>
      <c r="AX35" s="184" t="str">
        <f>IFERROR(IF(VLOOKUP(Sat_W2[[#This Row],[Employee Name]],'Base Schedules'!$A$46:$AW$77,49,FALSE)="","",VLOOKUP(Sat_W2[[#This Row],[Employee Name]],'Base Schedules'!$A$46:$AW$77,49,FALSE)),"")</f>
        <v/>
      </c>
      <c r="AY35" s="161" t="str">
        <f t="shared" si="2"/>
        <v>Britton, Michael</v>
      </c>
    </row>
    <row r="36" spans="1:51" s="44" customFormat="1" ht="12" customHeight="1" x14ac:dyDescent="0.2">
      <c r="A36" s="39" t="str">
        <f>IF(B36="","",INDEX(TeamList[],MATCH($B36,TeamList[[Employee Name]:[Employee Name]],0),MATCH("Manager",TeamList[#Headers],0)))</f>
        <v>Olson, Katherine</v>
      </c>
      <c r="B36" s="201" t="s">
        <v>232</v>
      </c>
      <c r="C36" s="257" t="str">
        <f>_xlfn.IFNA(VLOOKUP(Sat_W2[[#This Row],[Employee Name]],'Base Schedules'!A:B,2,FALSE),"")</f>
        <v>Lead</v>
      </c>
      <c r="D36" s="274">
        <f>_xlfn.IFNA(VLOOKUP(Sat_W2[[#This Row],[Employee Name]],'Base Schedules'!A:C,3,FALSE),"")</f>
        <v>1600</v>
      </c>
      <c r="E36" s="274">
        <f>_xlfn.IFNA(VLOOKUP(Sat_W2[[#This Row],[Employee Name]],'Base Schedules'!A:D,4,FALSE),"")</f>
        <v>100</v>
      </c>
      <c r="F36" s="142">
        <f>IF(Sat_W2[[#This Row],[Employee Name]]="","",IF(Sat_W2[[#This Row],[Dept]]="Supervisor",COUNTIFS($J36:$AX36,"*HL*",$J36:$AX36,"&lt;&gt;"&amp;"pHL"),COUNTIFS($J36:$AX36,"*HL*",$J36:$AX36,"&lt;&gt;"&amp;"*pHL*",$J36:$AX36,"&lt;&gt;"&amp;"pB1 HL",$J36:$AX36,"&lt;&gt;"&amp;"pB2 HL")-SUM(COUNTIFS($J36:$AX36,"*HL B1*",$J36:$AX36,"&lt;&gt;"&amp;"pHL B1")*0.5,COUNTIFS($J36:$AX36,"*HL B2*",$J36:$AX36,"&lt;&gt;"&amp;"pHL B2")*0.5,COUNTIFS($J36:$AX36,"*B1 HL*",$J36:$AX36,"&lt;&gt;"&amp;"pB1 HL")*0.5,COUNTIFS($J36:$AX36,"*B2 HL*",$J36:$AX36,"&lt;&gt;"&amp;"pB2 HL")*0.5)))</f>
        <v>7</v>
      </c>
      <c r="G36" s="142">
        <f t="shared" si="0"/>
        <v>0</v>
      </c>
      <c r="H36" s="142">
        <f t="shared" si="1"/>
        <v>6</v>
      </c>
      <c r="I36" s="142">
        <f>IF(Sat_W2[[#This Row],[Employee Name]]="","",IF(Sat_W2[[#This Row],[Dept]]="Supervisor",SUM(COUNTIFS($J36:$AX36,"RTA*",$J36:$AX36,"&lt;&gt;"&amp;"pRTA"),COUNTIFS($J36:$AX36,"*CRTA*",$J36:$AX36,"&lt;&gt;"&amp;"pCRTA")),COUNTIFS($J36:$AX36,"*RNNR*",$J36:$AX36,"&lt;&gt;"&amp;"*pRNNR*",$J36:$AX36,"&lt;&gt;"&amp;"pB1 RNNR",$J36:$AX36,"&lt;&gt;"&amp;"pB2 RNNR")-SUM(COUNTIFS($J36:$AX36,"*RNNR B1*",$J36:$AX36,"&lt;&gt;"&amp;"pRNNR B1")*0.5,COUNTIFS($J36:$AX36,"*RNNR B2*",$J36:$AX36,"&lt;&gt;"&amp;"pRNNR B2")*0.5,COUNTIFS($J36:$AX36,"*B1 RNNR*",$J36:$AX36,"&lt;&gt;"&amp;"pB1 RNNR")*0.5,COUNTIFS($J36:$AX36,"*B2 RNNR*",$J36:$AX36,"&lt;&gt;"&amp;"pB2 RNNR")*0.5)))</f>
        <v>2</v>
      </c>
      <c r="J36" s="184" t="str">
        <f>IFERROR(IF(VLOOKUP(Sat_W2[[#This Row],[Employee Name]],'Base Schedules'!$A$46:$AW$77,9,FALSE)="","",VLOOKUP(Sat_W2[[#This Row],[Employee Name]],'Base Schedules'!$A$46:$AW$77,9,FALSE)),"")</f>
        <v/>
      </c>
      <c r="K36" s="184" t="str">
        <f>IFERROR(IF(VLOOKUP(Sat_W2[[#This Row],[Employee Name]],'Base Schedules'!$A$46:$AW$77,10,FALSE)="","",VLOOKUP(Sat_W2[[#This Row],[Employee Name]],'Base Schedules'!$A$46:$AW$77,10,FALSE)),"")</f>
        <v/>
      </c>
      <c r="L36" s="184" t="str">
        <f>IFERROR(IF(VLOOKUP(Sat_W2[[#This Row],[Employee Name]],'Base Schedules'!$A$46:$AW$77,11,FALSE)="","",VLOOKUP(Sat_W2[[#This Row],[Employee Name]],'Base Schedules'!$A$46:$AW$77,11,FALSE)),"")</f>
        <v/>
      </c>
      <c r="M36" s="184" t="str">
        <f>IFERROR(IF(VLOOKUP(Sat_W2[[#This Row],[Employee Name]],'Base Schedules'!$A$46:$AW$77,12,FALSE)="","",VLOOKUP(Sat_W2[[#This Row],[Employee Name]],'Base Schedules'!$A$46:$AW$77,12,FALSE)),"")</f>
        <v/>
      </c>
      <c r="N36" s="184" t="str">
        <f>IFERROR(IF(VLOOKUP(Sat_W2[[#This Row],[Employee Name]],'Base Schedules'!$A$46:$AW$77,13,FALSE)="","",VLOOKUP(Sat_W2[[#This Row],[Employee Name]],'Base Schedules'!$A$46:$AW$77,13,FALSE)),"")</f>
        <v/>
      </c>
      <c r="O36" s="184" t="str">
        <f>IFERROR(IF(VLOOKUP(Sat_W2[[#This Row],[Employee Name]],'Base Schedules'!$A$46:$AW$77,14,FALSE)="","",VLOOKUP(Sat_W2[[#This Row],[Employee Name]],'Base Schedules'!$A$46:$AW$77,14,FALSE)),"")</f>
        <v/>
      </c>
      <c r="P36" s="184" t="str">
        <f>IFERROR(IF(VLOOKUP(Sat_W2[[#This Row],[Employee Name]],'Base Schedules'!$A$46:$AW$77,15,FALSE)="","",VLOOKUP(Sat_W2[[#This Row],[Employee Name]],'Base Schedules'!$A$46:$AW$77,15,FALSE)),"")</f>
        <v/>
      </c>
      <c r="Q36" s="184" t="str">
        <f>IFERROR(IF(VLOOKUP(Sat_W2[[#This Row],[Employee Name]],'Base Schedules'!$A$46:$AW$77,16,FALSE)="","",VLOOKUP(Sat_W2[[#This Row],[Employee Name]],'Base Schedules'!$A$46:$AW$77,16,FALSE)),"")</f>
        <v/>
      </c>
      <c r="R36" s="184" t="str">
        <f>IFERROR(IF(VLOOKUP(Sat_W2[[#This Row],[Employee Name]],'Base Schedules'!$A$46:$AW$77,17,FALSE)="","",VLOOKUP(Sat_W2[[#This Row],[Employee Name]],'Base Schedules'!$A$46:$AW$77,17,FALSE)),"")</f>
        <v/>
      </c>
      <c r="S36" s="184" t="str">
        <f>IFERROR(IF(VLOOKUP(Sat_W2[[#This Row],[Employee Name]],'Base Schedules'!$A$46:$AW$77,18,FALSE)="","",VLOOKUP(Sat_W2[[#This Row],[Employee Name]],'Base Schedules'!$A$46:$AW$77,18,FALSE)),"")</f>
        <v/>
      </c>
      <c r="T36" s="184" t="str">
        <f>IFERROR(IF(VLOOKUP(Sat_W2[[#This Row],[Employee Name]],'Base Schedules'!$A$46:$AW$77,19,FALSE)="","",VLOOKUP(Sat_W2[[#This Row],[Employee Name]],'Base Schedules'!$A$46:$AW$77,19,FALSE)),"")</f>
        <v/>
      </c>
      <c r="U36" s="184" t="str">
        <f>IFERROR(IF(VLOOKUP(Sat_W2[[#This Row],[Employee Name]],'Base Schedules'!$A$46:$AW$77,20,FALSE)="","",VLOOKUP(Sat_W2[[#This Row],[Employee Name]],'Base Schedules'!$A$46:$AW$77,20,FALSE)),"")</f>
        <v/>
      </c>
      <c r="V36" s="184" t="str">
        <f>IFERROR(IF(VLOOKUP(Sat_W2[[#This Row],[Employee Name]],'Base Schedules'!$A$46:$AW$77,21,FALSE)="","",VLOOKUP(Sat_W2[[#This Row],[Employee Name]],'Base Schedules'!$A$46:$AW$77,21,FALSE)),"")</f>
        <v/>
      </c>
      <c r="W36" s="184" t="str">
        <f>IFERROR(IF(VLOOKUP(Sat_W2[[#This Row],[Employee Name]],'Base Schedules'!$A$46:$AW$77,22,FALSE)="","",VLOOKUP(Sat_W2[[#This Row],[Employee Name]],'Base Schedules'!$A$46:$AW$77,22,FALSE)),"")</f>
        <v/>
      </c>
      <c r="X36" s="184" t="str">
        <f>IFERROR(IF(VLOOKUP(Sat_W2[[#This Row],[Employee Name]],'Base Schedules'!$A$46:$AW$77,23,FALSE)="","",VLOOKUP(Sat_W2[[#This Row],[Employee Name]],'Base Schedules'!$A$46:$AW$77,23,FALSE)),"")</f>
        <v/>
      </c>
      <c r="Y36" s="184" t="str">
        <f>IFERROR(IF(VLOOKUP(Sat_W2[[#This Row],[Employee Name]],'Base Schedules'!$A$46:$AW$77,24,FALSE)="","",VLOOKUP(Sat_W2[[#This Row],[Employee Name]],'Base Schedules'!$A$46:$AW$77,24,FALSE)),"")</f>
        <v/>
      </c>
      <c r="Z36" s="184" t="str">
        <f>IFERROR(IF(VLOOKUP(Sat_W2[[#This Row],[Employee Name]],'Base Schedules'!$A$46:$AW$77,25,FALSE)="","",VLOOKUP(Sat_W2[[#This Row],[Employee Name]],'Base Schedules'!$A$46:$AW$77,25,FALSE)),"")</f>
        <v/>
      </c>
      <c r="AA36" s="184" t="str">
        <f>IFERROR(IF(VLOOKUP(Sat_W2[[#This Row],[Employee Name]],'Base Schedules'!$A$46:$AW$77,26,FALSE)="","",VLOOKUP(Sat_W2[[#This Row],[Employee Name]],'Base Schedules'!$A$46:$AW$77,26,FALSE)),"")</f>
        <v/>
      </c>
      <c r="AB36" s="184" t="str">
        <f>IFERROR(IF(VLOOKUP(Sat_W2[[#This Row],[Employee Name]],'Base Schedules'!$A$46:$AW$77,27,FALSE)="","",VLOOKUP(Sat_W2[[#This Row],[Employee Name]],'Base Schedules'!$A$46:$AW$77,27,FALSE)),"")</f>
        <v/>
      </c>
      <c r="AC36" s="184" t="str">
        <f>IFERROR(IF(VLOOKUP(Sat_W2[[#This Row],[Employee Name]],'Base Schedules'!$A$46:$AW$77,28,FALSE)="","",VLOOKUP(Sat_W2[[#This Row],[Employee Name]],'Base Schedules'!$A$46:$AW$77,28,FALSE)),"")</f>
        <v/>
      </c>
      <c r="AD36" s="184" t="str">
        <f>IFERROR(IF(VLOOKUP(Sat_W2[[#This Row],[Employee Name]],'Base Schedules'!$A$46:$AW$77,29,FALSE)="","",VLOOKUP(Sat_W2[[#This Row],[Employee Name]],'Base Schedules'!$A$46:$AW$77,29,FALSE)),"")</f>
        <v/>
      </c>
      <c r="AE36" s="184" t="str">
        <f>IFERROR(IF(VLOOKUP(Sat_W2[[#This Row],[Employee Name]],'Base Schedules'!$A$46:$AW$77,30,FALSE)="","",VLOOKUP(Sat_W2[[#This Row],[Employee Name]],'Base Schedules'!$A$46:$AW$77,30,FALSE)),"")</f>
        <v/>
      </c>
      <c r="AF36" s="184" t="str">
        <f>IFERROR(IF(VLOOKUP(Sat_W2[[#This Row],[Employee Name]],'Base Schedules'!$A$46:$AW$77,31,FALSE)="","",VLOOKUP(Sat_W2[[#This Row],[Employee Name]],'Base Schedules'!$A$46:$AW$77,31,FALSE)),"")</f>
        <v>ADM</v>
      </c>
      <c r="AG36" s="184" t="str">
        <f>IFERROR(IF(VLOOKUP(Sat_W2[[#This Row],[Employee Name]],'Base Schedules'!$A$46:$AW$77,32,FALSE)="","",VLOOKUP(Sat_W2[[#This Row],[Employee Name]],'Base Schedules'!$A$46:$AW$77,32,FALSE)),"")</f>
        <v>ADM</v>
      </c>
      <c r="AH36" s="184" t="str">
        <f>IFERROR(IF(VLOOKUP(Sat_W2[[#This Row],[Employee Name]],'Base Schedules'!$A$46:$AW$77,33,FALSE)="","",VLOOKUP(Sat_W2[[#This Row],[Employee Name]],'Base Schedules'!$A$46:$AW$77,33,FALSE)),"")</f>
        <v>ADM</v>
      </c>
      <c r="AI36" s="184" t="str">
        <f>IFERROR(IF(VLOOKUP(Sat_W2[[#This Row],[Employee Name]],'Base Schedules'!$A$46:$AW$77,34,FALSE)="","",VLOOKUP(Sat_W2[[#This Row],[Employee Name]],'Base Schedules'!$A$46:$AW$77,34,FALSE)),"")</f>
        <v>HL B1</v>
      </c>
      <c r="AJ36" s="184" t="str">
        <f>IFERROR(IF(VLOOKUP(Sat_W2[[#This Row],[Employee Name]],'Base Schedules'!$A$46:$AW$77,35,FALSE)="","",VLOOKUP(Sat_W2[[#This Row],[Employee Name]],'Base Schedules'!$A$46:$AW$77,35,FALSE)),"")</f>
        <v>RNNR</v>
      </c>
      <c r="AK36" s="184" t="str">
        <f>IFERROR(IF(VLOOKUP(Sat_W2[[#This Row],[Employee Name]],'Base Schedules'!$A$46:$AW$77,36,FALSE)="","",VLOOKUP(Sat_W2[[#This Row],[Employee Name]],'Base Schedules'!$A$46:$AW$77,36,FALSE)),"")</f>
        <v>RNNR</v>
      </c>
      <c r="AL36" s="184" t="str">
        <f>IFERROR(IF(VLOOKUP(Sat_W2[[#This Row],[Employee Name]],'Base Schedules'!$A$46:$AW$77,37,FALSE)="","",VLOOKUP(Sat_W2[[#This Row],[Employee Name]],'Base Schedules'!$A$46:$AW$77,37,FALSE)),"")</f>
        <v>ADM</v>
      </c>
      <c r="AM36" s="184" t="str">
        <f>IFERROR(IF(VLOOKUP(Sat_W2[[#This Row],[Employee Name]],'Base Schedules'!$A$46:$AW$77,38,FALSE)="","",VLOOKUP(Sat_W2[[#This Row],[Employee Name]],'Base Schedules'!$A$46:$AW$77,38,FALSE)),"")</f>
        <v>LUNCH</v>
      </c>
      <c r="AN36" s="184" t="str">
        <f>IFERROR(IF(VLOOKUP(Sat_W2[[#This Row],[Employee Name]],'Base Schedules'!$A$46:$AW$77,39,FALSE)="","",VLOOKUP(Sat_W2[[#This Row],[Employee Name]],'Base Schedules'!$A$46:$AW$77,39,FALSE)),"")</f>
        <v>LUNCH</v>
      </c>
      <c r="AO36" s="184" t="str">
        <f>IFERROR(IF(VLOOKUP(Sat_W2[[#This Row],[Employee Name]],'Base Schedules'!$A$46:$AW$77,40,FALSE)="","",VLOOKUP(Sat_W2[[#This Row],[Employee Name]],'Base Schedules'!$A$46:$AW$77,40,FALSE)),"")</f>
        <v>HL</v>
      </c>
      <c r="AP36" s="184" t="str">
        <f>IFERROR(IF(VLOOKUP(Sat_W2[[#This Row],[Employee Name]],'Base Schedules'!$A$46:$AW$77,41,FALSE)="","",VLOOKUP(Sat_W2[[#This Row],[Employee Name]],'Base Schedules'!$A$46:$AW$77,41,FALSE)),"")</f>
        <v>ADM</v>
      </c>
      <c r="AQ36" s="184" t="str">
        <f>IFERROR(IF(VLOOKUP(Sat_W2[[#This Row],[Employee Name]],'Base Schedules'!$A$46:$AW$77,42,FALSE)="","",VLOOKUP(Sat_W2[[#This Row],[Employee Name]],'Base Schedules'!$A$46:$AW$77,42,FALSE)),"")</f>
        <v>ADM</v>
      </c>
      <c r="AR36" s="184" t="str">
        <f>IFERROR(IF(VLOOKUP(Sat_W2[[#This Row],[Employee Name]],'Base Schedules'!$A$46:$AW$77,43,FALSE)="","",VLOOKUP(Sat_W2[[#This Row],[Employee Name]],'Base Schedules'!$A$46:$AW$77,43,FALSE)),"")</f>
        <v>HL</v>
      </c>
      <c r="AS36" s="184" t="str">
        <f>IFERROR(IF(VLOOKUP(Sat_W2[[#This Row],[Employee Name]],'Base Schedules'!$A$46:$AW$77,44,FALSE)="","",VLOOKUP(Sat_W2[[#This Row],[Employee Name]],'Base Schedules'!$A$46:$AW$77,44,FALSE)),"")</f>
        <v>HL</v>
      </c>
      <c r="AT36" s="184" t="str">
        <f>IFERROR(IF(VLOOKUP(Sat_W2[[#This Row],[Employee Name]],'Base Schedules'!$A$46:$AW$77,45,FALSE)="","",VLOOKUP(Sat_W2[[#This Row],[Employee Name]],'Base Schedules'!$A$46:$AW$77,45,FALSE)),"")</f>
        <v>B2 HL</v>
      </c>
      <c r="AU36" s="184" t="str">
        <f>IFERROR(IF(VLOOKUP(Sat_W2[[#This Row],[Employee Name]],'Base Schedules'!$A$46:$AW$77,46,FALSE)="","",VLOOKUP(Sat_W2[[#This Row],[Employee Name]],'Base Schedules'!$A$46:$AW$77,46,FALSE)),"")</f>
        <v>HL</v>
      </c>
      <c r="AV36" s="184" t="str">
        <f>IFERROR(IF(VLOOKUP(Sat_W2[[#This Row],[Employee Name]],'Base Schedules'!$A$46:$AW$77,47,FALSE)="","",VLOOKUP(Sat_W2[[#This Row],[Employee Name]],'Base Schedules'!$A$46:$AW$77,47,FALSE)),"")</f>
        <v>HL</v>
      </c>
      <c r="AW36" s="184" t="str">
        <f>IFERROR(IF(VLOOKUP(Sat_W2[[#This Row],[Employee Name]],'Base Schedules'!$A$46:$AW$77,48,FALSE)="","",VLOOKUP(Sat_W2[[#This Row],[Employee Name]],'Base Schedules'!$A$46:$AW$77,48,FALSE)),"")</f>
        <v>HL</v>
      </c>
      <c r="AX36" s="184" t="str">
        <f>IFERROR(IF(VLOOKUP(Sat_W2[[#This Row],[Employee Name]],'Base Schedules'!$A$46:$AW$77,49,FALSE)="","",VLOOKUP(Sat_W2[[#This Row],[Employee Name]],'Base Schedules'!$A$46:$AW$77,49,FALSE)),"")</f>
        <v/>
      </c>
      <c r="AY36" s="160" t="str">
        <f t="shared" si="2"/>
        <v>Wonser, Shannon</v>
      </c>
    </row>
    <row r="37" spans="1:51" s="44" customFormat="1" ht="12" hidden="1" customHeight="1" x14ac:dyDescent="0.2">
      <c r="A37" s="39" t="str">
        <f>IF(B37="","",INDEX(TeamList[],MATCH($B37,TeamList[[Employee Name]:[Employee Name]],0),MATCH("Manager",TeamList[#Headers],0)))</f>
        <v/>
      </c>
      <c r="B37" s="201"/>
      <c r="C37" s="257" t="str">
        <f>_xlfn.IFNA(VLOOKUP(Sat_W2[[#This Row],[Employee Name]],'Base Schedules'!A:B,2,FALSE),"")</f>
        <v/>
      </c>
      <c r="D37" s="274" t="str">
        <f>_xlfn.IFNA(VLOOKUP(Sat_W2[[#This Row],[Employee Name]],'Base Schedules'!A:C,3,FALSE),"")</f>
        <v/>
      </c>
      <c r="E37" s="274" t="str">
        <f>_xlfn.IFNA(VLOOKUP(Sat_W2[[#This Row],[Employee Name]],'Base Schedules'!A:D,4,FALSE),"")</f>
        <v/>
      </c>
      <c r="F37" s="142" t="str">
        <f>IF(Sat_W2[[#This Row],[Employee Name]]="","",IF(Sat_W2[[#This Row],[Dept]]="Supervisor",COUNTIFS($J37:$AX37,"*HL*",$J37:$AX37,"&lt;&gt;"&amp;"pHL"),COUNTIFS($J37:$AX37,"*HL*",$J37:$AX37,"&lt;&gt;"&amp;"*pHL*",$J37:$AX37,"&lt;&gt;"&amp;"pB1 HL",$J37:$AX37,"&lt;&gt;"&amp;"pB2 HL")-SUM(COUNTIFS($J37:$AX37,"*HL B1*",$J37:$AX37,"&lt;&gt;"&amp;"pHL B1")*0.5,COUNTIFS($J37:$AX37,"*HL B2*",$J37:$AX37,"&lt;&gt;"&amp;"pHL B2")*0.5,COUNTIFS($J37:$AX37,"*B1 HL*",$J37:$AX37,"&lt;&gt;"&amp;"pB1 HL")*0.5,COUNTIFS($J37:$AX37,"*B2 HL*",$J37:$AX37,"&lt;&gt;"&amp;"pB2 HL")*0.5)))</f>
        <v/>
      </c>
      <c r="G37" s="142" t="str">
        <f t="shared" si="0"/>
        <v/>
      </c>
      <c r="H37" s="142" t="str">
        <f t="shared" si="1"/>
        <v/>
      </c>
      <c r="I37" s="142" t="str">
        <f>IF(Sat_W2[[#This Row],[Employee Name]]="","",IF(Sat_W2[[#This Row],[Dept]]="Supervisor",SUM(COUNTIFS($J37:$AX37,"RTA*",$J37:$AX37,"&lt;&gt;"&amp;"pRTA"),COUNTIFS($J37:$AX37,"*CRTA*",$J37:$AX37,"&lt;&gt;"&amp;"pCRTA")),COUNTIFS($J37:$AX37,"*RNNR*",$J37:$AX37,"&lt;&gt;"&amp;"*pRNNR*",$J37:$AX37,"&lt;&gt;"&amp;"pB1 RNNR",$J37:$AX37,"&lt;&gt;"&amp;"pB2 RNNR")-SUM(COUNTIFS($J37:$AX37,"*RNNR B1*",$J37:$AX37,"&lt;&gt;"&amp;"pRNNR B1")*0.5,COUNTIFS($J37:$AX37,"*RNNR B2*",$J37:$AX37,"&lt;&gt;"&amp;"pRNNR B2")*0.5,COUNTIFS($J37:$AX37,"*B1 RNNR*",$J37:$AX37,"&lt;&gt;"&amp;"pB1 RNNR")*0.5,COUNTIFS($J37:$AX37,"*B2 RNNR*",$J37:$AX37,"&lt;&gt;"&amp;"pB2 RNNR")*0.5)))</f>
        <v/>
      </c>
      <c r="J37" s="184" t="str">
        <f>IFERROR(IF(VLOOKUP(Sat_W2[[#This Row],[Employee Name]],'Base Schedules'!$A:$I,9,FALSE)="","",VLOOKUP(Sat_W2[[#This Row],[Employee Name]],'Base Schedules'!$A:$I,9,FALSE)),"")</f>
        <v/>
      </c>
      <c r="K37" s="184" t="str">
        <f>IFERROR(IF(VLOOKUP(Sat_W2[[#This Row],[Employee Name]],'Base Schedules'!$A:$J,10,FALSE)="","",VLOOKUP(Sat_W2[[#This Row],[Employee Name]],'Base Schedules'!$A:$J,10,FALSE)),"")</f>
        <v/>
      </c>
      <c r="L37" s="184" t="str">
        <f>IFERROR(IF(VLOOKUP(Sat_W2[[#This Row],[Employee Name]],'Base Schedules'!$A:$K,11,FALSE)="","",VLOOKUP(Sat_W2[[#This Row],[Employee Name]],'Base Schedules'!$A:$K,11,FALSE)),"")</f>
        <v/>
      </c>
      <c r="M37" s="184" t="str">
        <f>IFERROR(IF(VLOOKUP(Sat_W2[[#This Row],[Employee Name]],'Base Schedules'!$A:$L,12,FALSE)="","",VLOOKUP(Sat_W2[[#This Row],[Employee Name]],'Base Schedules'!$A:$L,12,FALSE)),"")</f>
        <v/>
      </c>
      <c r="N37" s="184" t="str">
        <f>IFERROR(IF(VLOOKUP(Sat_W2[[#This Row],[Employee Name]],'Base Schedules'!$A:$M,13,FALSE)="","",VLOOKUP(Sat_W2[[#This Row],[Employee Name]],'Base Schedules'!$A:$M,13,FALSE)),"")</f>
        <v/>
      </c>
      <c r="O37" s="184" t="str">
        <f>IFERROR(IF(VLOOKUP(Sat_W2[[#This Row],[Employee Name]],'Base Schedules'!$A:$N,14,FALSE)="","",VLOOKUP(Sat_W2[[#This Row],[Employee Name]],'Base Schedules'!$A:$N,14,FALSE)),"")</f>
        <v/>
      </c>
      <c r="P37" s="184" t="str">
        <f>IFERROR(IF(VLOOKUP(Sat_W2[[#This Row],[Employee Name]],'Base Schedules'!$A:$O,15,FALSE)="","",VLOOKUP(Sat_W2[[#This Row],[Employee Name]],'Base Schedules'!$A:$O,15,FALSE)),"")</f>
        <v/>
      </c>
      <c r="Q37" s="184" t="str">
        <f>IFERROR(IF(VLOOKUP(Sat_W2[[#This Row],[Employee Name]],'Base Schedules'!$A:$P,16,FALSE)="","",VLOOKUP(Sat_W2[[#This Row],[Employee Name]],'Base Schedules'!$A:$P,16,FALSE)),"")</f>
        <v/>
      </c>
      <c r="R37" s="184" t="str">
        <f>IFERROR(IF(VLOOKUP(Sat_W2[[#This Row],[Employee Name]],'Base Schedules'!$A:$Q,17,FALSE)="","",VLOOKUP(Sat_W2[[#This Row],[Employee Name]],'Base Schedules'!$A:$Q,17,FALSE)),"")</f>
        <v/>
      </c>
      <c r="S37" s="184" t="str">
        <f>IFERROR(IF(VLOOKUP(Sat_W2[[#This Row],[Employee Name]],'Base Schedules'!$A:$R,18,FALSE)="","",VLOOKUP(Sat_W2[[#This Row],[Employee Name]],'Base Schedules'!$A:$R,18,FALSE)),"")</f>
        <v/>
      </c>
      <c r="T37" s="184" t="str">
        <f>IFERROR(IF(VLOOKUP(Sat_W2[[#This Row],[Employee Name]],'Base Schedules'!$A:$S,19,FALSE)="","",VLOOKUP(Sat_W2[[#This Row],[Employee Name]],'Base Schedules'!$A:$S,19,FALSE)),"")</f>
        <v/>
      </c>
      <c r="U37" s="184" t="str">
        <f>IFERROR(IF(VLOOKUP(Sat_W2[[#This Row],[Employee Name]],'Base Schedules'!$A:$T,20,FALSE)="","",VLOOKUP(Sat_W2[[#This Row],[Employee Name]],'Base Schedules'!$A:$T,20,FALSE)),"")</f>
        <v/>
      </c>
      <c r="V37" s="184" t="str">
        <f>IFERROR(IF(VLOOKUP(Sat_W2[[#This Row],[Employee Name]],'Base Schedules'!$A:$U,21,FALSE)="","",VLOOKUP(Sat_W2[[#This Row],[Employee Name]],'Base Schedules'!$A:$U,21,FALSE)),"")</f>
        <v/>
      </c>
      <c r="W37" s="184" t="str">
        <f>IFERROR(IF(VLOOKUP(Sat_W2[[#This Row],[Employee Name]],'Base Schedules'!$A:$V,22,FALSE)="","",VLOOKUP(Sat_W2[[#This Row],[Employee Name]],'Base Schedules'!$A:$V,22,FALSE)),"")</f>
        <v/>
      </c>
      <c r="X37" s="184" t="str">
        <f>IFERROR(IF(VLOOKUP(Sat_W2[[#This Row],[Employee Name]],'Base Schedules'!$A:$W,23,FALSE)="","",VLOOKUP(Sat_W2[[#This Row],[Employee Name]],'Base Schedules'!$A:$W,23,FALSE)),"")</f>
        <v/>
      </c>
      <c r="Y37" s="184" t="str">
        <f>IFERROR(IF(VLOOKUP(Sat_W2[[#This Row],[Employee Name]],'Base Schedules'!$A:$X,24,FALSE)="","",VLOOKUP(Sat_W2[[#This Row],[Employee Name]],'Base Schedules'!$A:$X,24,FALSE)),"")</f>
        <v/>
      </c>
      <c r="Z37" s="184" t="str">
        <f>IFERROR(IF(VLOOKUP(Sat_W2[[#This Row],[Employee Name]],'Base Schedules'!$A:$Y,25,FALSE)="","",VLOOKUP(Sat_W2[[#This Row],[Employee Name]],'Base Schedules'!$A:$Y,25,FALSE)),"")</f>
        <v/>
      </c>
      <c r="AA37" s="184" t="str">
        <f>IFERROR(IF(VLOOKUP(Sat_W2[[#This Row],[Employee Name]],'Base Schedules'!$A:$Z,26,FALSE)="","",VLOOKUP(Sat_W2[[#This Row],[Employee Name]],'Base Schedules'!$A:$Z,26,FALSE)),"")</f>
        <v/>
      </c>
      <c r="AB37" s="184" t="str">
        <f>IFERROR(IF(VLOOKUP(Sat_W2[[#This Row],[Employee Name]],'Base Schedules'!$A:$AA,27,FALSE)="","",VLOOKUP(Sat_W2[[#This Row],[Employee Name]],'Base Schedules'!$A:$AA,27,FALSE)),"")</f>
        <v/>
      </c>
      <c r="AC37" s="184" t="str">
        <f>IFERROR(IF(VLOOKUP(Sat_W2[[#This Row],[Employee Name]],'Base Schedules'!$A:$AB,28,FALSE)="","",VLOOKUP(Sat_W2[[#This Row],[Employee Name]],'Base Schedules'!$A:$AB,28,FALSE)),"")</f>
        <v/>
      </c>
      <c r="AD37" s="184" t="str">
        <f>IFERROR(IF(VLOOKUP(Sat_W2[[#This Row],[Employee Name]],'Base Schedules'!$A:$AC,29,FALSE)="","",VLOOKUP(Sat_W2[[#This Row],[Employee Name]],'Base Schedules'!$A:$AC,29,FALSE)),"")</f>
        <v/>
      </c>
      <c r="AE37" s="184" t="str">
        <f>IFERROR(IF(VLOOKUP(Sat_W2[[#This Row],[Employee Name]],'Base Schedules'!$A:$AD,30,FALSE)="","",VLOOKUP(Sat_W2[[#This Row],[Employee Name]],'Base Schedules'!$A:$AD,30,FALSE)),"")</f>
        <v/>
      </c>
      <c r="AF37" s="184" t="str">
        <f>IFERROR(IF(VLOOKUP(Sat_W2[[#This Row],[Employee Name]],'Base Schedules'!$A:$AE,31,FALSE)="","",VLOOKUP(Sat_W2[[#This Row],[Employee Name]],'Base Schedules'!$A:$AE,31,FALSE)),"")</f>
        <v/>
      </c>
      <c r="AG37" s="184" t="str">
        <f>IFERROR(IF(VLOOKUP(Sat_W2[[#This Row],[Employee Name]],'Base Schedules'!$A:$AF,32,FALSE)="","",VLOOKUP(Sat_W2[[#This Row],[Employee Name]],'Base Schedules'!$A:$AF,32,FALSE)),"")</f>
        <v/>
      </c>
      <c r="AH37" s="184" t="str">
        <f>IFERROR(IF(VLOOKUP(Sat_W2[[#This Row],[Employee Name]],'Base Schedules'!$A:$AG,33,FALSE)="","",VLOOKUP(Sat_W2[[#This Row],[Employee Name]],'Base Schedules'!$A:$AG,33,FALSE)),"")</f>
        <v/>
      </c>
      <c r="AI37" s="184" t="str">
        <f>IFERROR(IF(VLOOKUP(Sat_W2[[#This Row],[Employee Name]],'Base Schedules'!$A:$AH,34,FALSE)="","",VLOOKUP(Sat_W2[[#This Row],[Employee Name]],'Base Schedules'!$A:$AH,34,FALSE)),"")</f>
        <v/>
      </c>
      <c r="AJ37" s="184" t="str">
        <f>IFERROR(IF(VLOOKUP(Sat_W2[[#This Row],[Employee Name]],'Base Schedules'!$A:$AI,35,FALSE)="","",VLOOKUP(Sat_W2[[#This Row],[Employee Name]],'Base Schedules'!$A:$AI,35,FALSE)),"")</f>
        <v/>
      </c>
      <c r="AK37" s="184" t="str">
        <f>IFERROR(IF(VLOOKUP(Sat_W2[[#This Row],[Employee Name]],'Base Schedules'!$A:$AJ,36,FALSE)="","",VLOOKUP(Sat_W2[[#This Row],[Employee Name]],'Base Schedules'!$A:$AJ,36,FALSE)),"")</f>
        <v/>
      </c>
      <c r="AL37" s="184" t="str">
        <f>IFERROR(IF(VLOOKUP(Sat_W2[[#This Row],[Employee Name]],'Base Schedules'!$A:$AK,37,FALSE)="","",VLOOKUP(Sat_W2[[#This Row],[Employee Name]],'Base Schedules'!$A:$AK,37,FALSE)),"")</f>
        <v/>
      </c>
      <c r="AM37" s="184" t="str">
        <f>IFERROR(IF(VLOOKUP(Sat_W2[[#This Row],[Employee Name]],'Base Schedules'!$A:$AL,38,FALSE)="","",VLOOKUP(Sat_W2[[#This Row],[Employee Name]],'Base Schedules'!$A:$AL,38,FALSE)),"")</f>
        <v/>
      </c>
      <c r="AN37" s="184" t="str">
        <f>IFERROR(IF(VLOOKUP(Sat_W2[[#This Row],[Employee Name]],'Base Schedules'!$A:$AM,39,FALSE)="","",VLOOKUP(Sat_W2[[#This Row],[Employee Name]],'Base Schedules'!$A:$AM,39,FALSE)),"")</f>
        <v/>
      </c>
      <c r="AO37" s="184" t="str">
        <f>IFERROR(IF(VLOOKUP(Sat_W2[[#This Row],[Employee Name]],'Base Schedules'!$A:$AN,40,FALSE)="","",VLOOKUP(Sat_W2[[#This Row],[Employee Name]],'Base Schedules'!$A:$AN,40,FALSE)),"")</f>
        <v/>
      </c>
      <c r="AP37" s="184" t="str">
        <f>IFERROR(IF(VLOOKUP(Sat_W2[[#This Row],[Employee Name]],'Base Schedules'!$A:$AO,41,FALSE)="","",VLOOKUP(Sat_W2[[#This Row],[Employee Name]],'Base Schedules'!$A:$AO,41,FALSE)),"")</f>
        <v/>
      </c>
      <c r="AQ37" s="184" t="str">
        <f>IFERROR(IF(VLOOKUP(Sat_W2[[#This Row],[Employee Name]],'Base Schedules'!$A:$AP,42,FALSE)="","",VLOOKUP(Sat_W2[[#This Row],[Employee Name]],'Base Schedules'!$A:$AP,42,FALSE)),"")</f>
        <v/>
      </c>
      <c r="AR37" s="184" t="str">
        <f>IFERROR(IF(VLOOKUP(Sat_W2[[#This Row],[Employee Name]],'Base Schedules'!$A:$AQ,43,FALSE)="","",VLOOKUP(Sat_W2[[#This Row],[Employee Name]],'Base Schedules'!$A:$AQ,43,FALSE)),"")</f>
        <v/>
      </c>
      <c r="AS37" s="184" t="str">
        <f>IFERROR(IF(VLOOKUP(Sat_W2[[#This Row],[Employee Name]],'Base Schedules'!$A:$AR,44,FALSE)="","",VLOOKUP(Sat_W2[[#This Row],[Employee Name]],'Base Schedules'!$A:$AR,44,FALSE)),"")</f>
        <v/>
      </c>
      <c r="AT37" s="184" t="str">
        <f>IFERROR(IF(VLOOKUP(Sat_W2[[#This Row],[Employee Name]],'Base Schedules'!$A:$AS,45,FALSE)="","",VLOOKUP(Sat_W2[[#This Row],[Employee Name]],'Base Schedules'!$A:$AS,45,FALSE)),"")</f>
        <v/>
      </c>
      <c r="AU37" s="184" t="str">
        <f>IFERROR(IF(VLOOKUP(Sat_W2[[#This Row],[Employee Name]],'Base Schedules'!$A:$AT,46,FALSE)="","",VLOOKUP(Sat_W2[[#This Row],[Employee Name]],'Base Schedules'!$A:$AT,46,FALSE)),"")</f>
        <v/>
      </c>
      <c r="AV37" s="184" t="str">
        <f>IFERROR(IF(VLOOKUP(Sat_W2[[#This Row],[Employee Name]],'Base Schedules'!$A:$AU,47,FALSE)="","",VLOOKUP(Sat_W2[[#This Row],[Employee Name]],'Base Schedules'!$A:$AU,47,FALSE)),"")</f>
        <v/>
      </c>
      <c r="AW37" s="184" t="str">
        <f>IFERROR(IF(VLOOKUP(Sat_W2[[#This Row],[Employee Name]],'Base Schedules'!$A:$AV,48,FALSE)="","",VLOOKUP(Sat_W2[[#This Row],[Employee Name]],'Base Schedules'!$A:$AV,48,FALSE)),"")</f>
        <v/>
      </c>
      <c r="AX37" s="184" t="str">
        <f>IFERROR(IF(VLOOKUP(Sat_W1[[#This Row],[Employee Name]],'Base Schedules'!$A$46:$AW$77,49,FALSE)="","",VLOOKUP(Sat_W1[[#This Row],[Employee Name]],'Base Schedules'!$A$46:$AW$77,49,FALSE)),"")</f>
        <v/>
      </c>
      <c r="AY37" s="159" t="str">
        <f t="shared" si="2"/>
        <v/>
      </c>
    </row>
    <row r="38" spans="1:51" s="44" customFormat="1" ht="12" hidden="1" customHeight="1" x14ac:dyDescent="0.2">
      <c r="A38" s="39" t="str">
        <f>IF(B38="","",INDEX(TeamList[],MATCH($B38,TeamList[[Employee Name]:[Employee Name]],0),MATCH("Manager",TeamList[#Headers],0)))</f>
        <v/>
      </c>
      <c r="B38" s="201"/>
      <c r="C38" s="257" t="str">
        <f>_xlfn.IFNA(VLOOKUP(Sat_W2[[#This Row],[Employee Name]],'Base Schedules'!A:B,2,FALSE),"")</f>
        <v/>
      </c>
      <c r="D38" s="274" t="str">
        <f>_xlfn.IFNA(VLOOKUP(Sat_W2[[#This Row],[Employee Name]],'Base Schedules'!A:C,3,FALSE),"")</f>
        <v/>
      </c>
      <c r="E38" s="274" t="str">
        <f>_xlfn.IFNA(VLOOKUP(Sat_W2[[#This Row],[Employee Name]],'Base Schedules'!A:D,4,FALSE),"")</f>
        <v/>
      </c>
      <c r="F38" s="142" t="str">
        <f>IF(Sat_W2[[#This Row],[Employee Name]]="","",IF(Sat_W2[[#This Row],[Dept]]="Supervisor",COUNTIFS($J38:$AX38,"*HL*",$J38:$AX38,"&lt;&gt;"&amp;"pHL"),COUNTIFS($J38:$AX38,"*HL*",$J38:$AX38,"&lt;&gt;"&amp;"*pHL*",$J38:$AX38,"&lt;&gt;"&amp;"pB1 HL",$J38:$AX38,"&lt;&gt;"&amp;"pB2 HL")-SUM(COUNTIFS($J38:$AX38,"*HL B1*",$J38:$AX38,"&lt;&gt;"&amp;"pHL B1")*0.5,COUNTIFS($J38:$AX38,"*HL B2*",$J38:$AX38,"&lt;&gt;"&amp;"pHL B2")*0.5,COUNTIFS($J38:$AX38,"*B1 HL*",$J38:$AX38,"&lt;&gt;"&amp;"pB1 HL")*0.5,COUNTIFS($J38:$AX38,"*B2 HL*",$J38:$AX38,"&lt;&gt;"&amp;"pB2 HL")*0.5)))</f>
        <v/>
      </c>
      <c r="G38" s="142" t="str">
        <f t="shared" si="0"/>
        <v/>
      </c>
      <c r="H38" s="142" t="str">
        <f t="shared" si="1"/>
        <v/>
      </c>
      <c r="I38" s="142" t="str">
        <f>IF(Sat_W2[[#This Row],[Employee Name]]="","",IF(Sat_W2[[#This Row],[Dept]]="Supervisor",SUM(COUNTIFS($J38:$AX38,"RTA*",$J38:$AX38,"&lt;&gt;"&amp;"pRTA"),COUNTIFS($J38:$AX38,"*CRTA*",$J38:$AX38,"&lt;&gt;"&amp;"pCRTA")),COUNTIFS($J38:$AX38,"*RNNR*",$J38:$AX38,"&lt;&gt;"&amp;"*pRNNR*",$J38:$AX38,"&lt;&gt;"&amp;"pB1 RNNR",$J38:$AX38,"&lt;&gt;"&amp;"pB2 RNNR")-SUM(COUNTIFS($J38:$AX38,"*RNNR B1*",$J38:$AX38,"&lt;&gt;"&amp;"pRNNR B1")*0.5,COUNTIFS($J38:$AX38,"*RNNR B2*",$J38:$AX38,"&lt;&gt;"&amp;"pRNNR B2")*0.5,COUNTIFS($J38:$AX38,"*B1 RNNR*",$J38:$AX38,"&lt;&gt;"&amp;"pB1 RNNR")*0.5,COUNTIFS($J38:$AX38,"*B2 RNNR*",$J38:$AX38,"&lt;&gt;"&amp;"pB2 RNNR")*0.5)))</f>
        <v/>
      </c>
      <c r="J38" s="184" t="str">
        <f>IFERROR(IF(VLOOKUP(Sat_W2[[#This Row],[Employee Name]],'Base Schedules'!$A:$I,9,FALSE)="","",VLOOKUP(Sat_W2[[#This Row],[Employee Name]],'Base Schedules'!$A:$I,9,FALSE)),"")</f>
        <v/>
      </c>
      <c r="K38" s="184" t="str">
        <f>IFERROR(IF(VLOOKUP(Sat_W2[[#This Row],[Employee Name]],'Base Schedules'!$A:$J,10,FALSE)="","",VLOOKUP(Sat_W2[[#This Row],[Employee Name]],'Base Schedules'!$A:$J,10,FALSE)),"")</f>
        <v/>
      </c>
      <c r="L38" s="184" t="str">
        <f>IFERROR(IF(VLOOKUP(Sat_W2[[#This Row],[Employee Name]],'Base Schedules'!$A:$K,11,FALSE)="","",VLOOKUP(Sat_W2[[#This Row],[Employee Name]],'Base Schedules'!$A:$K,11,FALSE)),"")</f>
        <v/>
      </c>
      <c r="M38" s="184" t="str">
        <f>IFERROR(IF(VLOOKUP(Sat_W2[[#This Row],[Employee Name]],'Base Schedules'!$A:$L,12,FALSE)="","",VLOOKUP(Sat_W2[[#This Row],[Employee Name]],'Base Schedules'!$A:$L,12,FALSE)),"")</f>
        <v/>
      </c>
      <c r="N38" s="184" t="str">
        <f>IFERROR(IF(VLOOKUP(Sat_W2[[#This Row],[Employee Name]],'Base Schedules'!$A:$M,13,FALSE)="","",VLOOKUP(Sat_W2[[#This Row],[Employee Name]],'Base Schedules'!$A:$M,13,FALSE)),"")</f>
        <v/>
      </c>
      <c r="O38" s="184" t="str">
        <f>IFERROR(IF(VLOOKUP(Sat_W2[[#This Row],[Employee Name]],'Base Schedules'!$A:$N,14,FALSE)="","",VLOOKUP(Sat_W2[[#This Row],[Employee Name]],'Base Schedules'!$A:$N,14,FALSE)),"")</f>
        <v/>
      </c>
      <c r="P38" s="184" t="str">
        <f>IFERROR(IF(VLOOKUP(Sat_W2[[#This Row],[Employee Name]],'Base Schedules'!$A:$O,15,FALSE)="","",VLOOKUP(Sat_W2[[#This Row],[Employee Name]],'Base Schedules'!$A:$O,15,FALSE)),"")</f>
        <v/>
      </c>
      <c r="Q38" s="184" t="str">
        <f>IFERROR(IF(VLOOKUP(Sat_W2[[#This Row],[Employee Name]],'Base Schedules'!$A:$P,16,FALSE)="","",VLOOKUP(Sat_W2[[#This Row],[Employee Name]],'Base Schedules'!$A:$P,16,FALSE)),"")</f>
        <v/>
      </c>
      <c r="R38" s="184" t="str">
        <f>IFERROR(IF(VLOOKUP(Sat_W2[[#This Row],[Employee Name]],'Base Schedules'!$A:$Q,17,FALSE)="","",VLOOKUP(Sat_W2[[#This Row],[Employee Name]],'Base Schedules'!$A:$Q,17,FALSE)),"")</f>
        <v/>
      </c>
      <c r="S38" s="184" t="str">
        <f>IFERROR(IF(VLOOKUP(Sat_W2[[#This Row],[Employee Name]],'Base Schedules'!$A:$R,18,FALSE)="","",VLOOKUP(Sat_W2[[#This Row],[Employee Name]],'Base Schedules'!$A:$R,18,FALSE)),"")</f>
        <v/>
      </c>
      <c r="T38" s="184" t="str">
        <f>IFERROR(IF(VLOOKUP(Sat_W2[[#This Row],[Employee Name]],'Base Schedules'!$A:$S,19,FALSE)="","",VLOOKUP(Sat_W2[[#This Row],[Employee Name]],'Base Schedules'!$A:$S,19,FALSE)),"")</f>
        <v/>
      </c>
      <c r="U38" s="184" t="str">
        <f>IFERROR(IF(VLOOKUP(Sat_W2[[#This Row],[Employee Name]],'Base Schedules'!$A:$T,20,FALSE)="","",VLOOKUP(Sat_W2[[#This Row],[Employee Name]],'Base Schedules'!$A:$T,20,FALSE)),"")</f>
        <v/>
      </c>
      <c r="V38" s="184" t="str">
        <f>IFERROR(IF(VLOOKUP(Sat_W2[[#This Row],[Employee Name]],'Base Schedules'!$A:$U,21,FALSE)="","",VLOOKUP(Sat_W2[[#This Row],[Employee Name]],'Base Schedules'!$A:$U,21,FALSE)),"")</f>
        <v/>
      </c>
      <c r="W38" s="184" t="str">
        <f>IFERROR(IF(VLOOKUP(Sat_W2[[#This Row],[Employee Name]],'Base Schedules'!$A:$V,22,FALSE)="","",VLOOKUP(Sat_W2[[#This Row],[Employee Name]],'Base Schedules'!$A:$V,22,FALSE)),"")</f>
        <v/>
      </c>
      <c r="X38" s="184" t="str">
        <f>IFERROR(IF(VLOOKUP(Sat_W2[[#This Row],[Employee Name]],'Base Schedules'!$A:$W,23,FALSE)="","",VLOOKUP(Sat_W2[[#This Row],[Employee Name]],'Base Schedules'!$A:$W,23,FALSE)),"")</f>
        <v/>
      </c>
      <c r="Y38" s="184" t="str">
        <f>IFERROR(IF(VLOOKUP(Sat_W2[[#This Row],[Employee Name]],'Base Schedules'!$A:$X,24,FALSE)="","",VLOOKUP(Sat_W2[[#This Row],[Employee Name]],'Base Schedules'!$A:$X,24,FALSE)),"")</f>
        <v/>
      </c>
      <c r="Z38" s="184" t="str">
        <f>IFERROR(IF(VLOOKUP(Sat_W2[[#This Row],[Employee Name]],'Base Schedules'!$A:$Y,25,FALSE)="","",VLOOKUP(Sat_W2[[#This Row],[Employee Name]],'Base Schedules'!$A:$Y,25,FALSE)),"")</f>
        <v/>
      </c>
      <c r="AA38" s="184" t="str">
        <f>IFERROR(IF(VLOOKUP(Sat_W2[[#This Row],[Employee Name]],'Base Schedules'!$A:$Z,26,FALSE)="","",VLOOKUP(Sat_W2[[#This Row],[Employee Name]],'Base Schedules'!$A:$Z,26,FALSE)),"")</f>
        <v/>
      </c>
      <c r="AB38" s="184" t="str">
        <f>IFERROR(IF(VLOOKUP(Sat_W2[[#This Row],[Employee Name]],'Base Schedules'!$A:$AA,27,FALSE)="","",VLOOKUP(Sat_W2[[#This Row],[Employee Name]],'Base Schedules'!$A:$AA,27,FALSE)),"")</f>
        <v/>
      </c>
      <c r="AC38" s="184" t="str">
        <f>IFERROR(IF(VLOOKUP(Sat_W2[[#This Row],[Employee Name]],'Base Schedules'!$A:$AB,28,FALSE)="","",VLOOKUP(Sat_W2[[#This Row],[Employee Name]],'Base Schedules'!$A:$AB,28,FALSE)),"")</f>
        <v/>
      </c>
      <c r="AD38" s="184" t="str">
        <f>IFERROR(IF(VLOOKUP(Sat_W2[[#This Row],[Employee Name]],'Base Schedules'!$A:$AC,29,FALSE)="","",VLOOKUP(Sat_W2[[#This Row],[Employee Name]],'Base Schedules'!$A:$AC,29,FALSE)),"")</f>
        <v/>
      </c>
      <c r="AE38" s="184" t="str">
        <f>IFERROR(IF(VLOOKUP(Sat_W2[[#This Row],[Employee Name]],'Base Schedules'!$A:$AD,30,FALSE)="","",VLOOKUP(Sat_W2[[#This Row],[Employee Name]],'Base Schedules'!$A:$AD,30,FALSE)),"")</f>
        <v/>
      </c>
      <c r="AF38" s="184" t="str">
        <f>IFERROR(IF(VLOOKUP(Sat_W2[[#This Row],[Employee Name]],'Base Schedules'!$A:$AE,31,FALSE)="","",VLOOKUP(Sat_W2[[#This Row],[Employee Name]],'Base Schedules'!$A:$AE,31,FALSE)),"")</f>
        <v/>
      </c>
      <c r="AG38" s="184" t="str">
        <f>IFERROR(IF(VLOOKUP(Sat_W2[[#This Row],[Employee Name]],'Base Schedules'!$A:$AF,32,FALSE)="","",VLOOKUP(Sat_W2[[#This Row],[Employee Name]],'Base Schedules'!$A:$AF,32,FALSE)),"")</f>
        <v/>
      </c>
      <c r="AH38" s="184" t="str">
        <f>IFERROR(IF(VLOOKUP(Sat_W2[[#This Row],[Employee Name]],'Base Schedules'!$A:$AG,33,FALSE)="","",VLOOKUP(Sat_W2[[#This Row],[Employee Name]],'Base Schedules'!$A:$AG,33,FALSE)),"")</f>
        <v/>
      </c>
      <c r="AI38" s="184" t="str">
        <f>IFERROR(IF(VLOOKUP(Sat_W2[[#This Row],[Employee Name]],'Base Schedules'!$A:$AH,34,FALSE)="","",VLOOKUP(Sat_W2[[#This Row],[Employee Name]],'Base Schedules'!$A:$AH,34,FALSE)),"")</f>
        <v/>
      </c>
      <c r="AJ38" s="184" t="str">
        <f>IFERROR(IF(VLOOKUP(Sat_W2[[#This Row],[Employee Name]],'Base Schedules'!$A:$AI,35,FALSE)="","",VLOOKUP(Sat_W2[[#This Row],[Employee Name]],'Base Schedules'!$A:$AI,35,FALSE)),"")</f>
        <v/>
      </c>
      <c r="AK38" s="184" t="str">
        <f>IFERROR(IF(VLOOKUP(Sat_W2[[#This Row],[Employee Name]],'Base Schedules'!$A:$AJ,36,FALSE)="","",VLOOKUP(Sat_W2[[#This Row],[Employee Name]],'Base Schedules'!$A:$AJ,36,FALSE)),"")</f>
        <v/>
      </c>
      <c r="AL38" s="184" t="str">
        <f>IFERROR(IF(VLOOKUP(Sat_W2[[#This Row],[Employee Name]],'Base Schedules'!$A:$AK,37,FALSE)="","",VLOOKUP(Sat_W2[[#This Row],[Employee Name]],'Base Schedules'!$A:$AK,37,FALSE)),"")</f>
        <v/>
      </c>
      <c r="AM38" s="184" t="str">
        <f>IFERROR(IF(VLOOKUP(Sat_W2[[#This Row],[Employee Name]],'Base Schedules'!$A:$AL,38,FALSE)="","",VLOOKUP(Sat_W2[[#This Row],[Employee Name]],'Base Schedules'!$A:$AL,38,FALSE)),"")</f>
        <v/>
      </c>
      <c r="AN38" s="184" t="str">
        <f>IFERROR(IF(VLOOKUP(Sat_W2[[#This Row],[Employee Name]],'Base Schedules'!$A:$AM,39,FALSE)="","",VLOOKUP(Sat_W2[[#This Row],[Employee Name]],'Base Schedules'!$A:$AM,39,FALSE)),"")</f>
        <v/>
      </c>
      <c r="AO38" s="184" t="str">
        <f>IFERROR(IF(VLOOKUP(Sat_W2[[#This Row],[Employee Name]],'Base Schedules'!$A:$AN,40,FALSE)="","",VLOOKUP(Sat_W2[[#This Row],[Employee Name]],'Base Schedules'!$A:$AN,40,FALSE)),"")</f>
        <v/>
      </c>
      <c r="AP38" s="184" t="str">
        <f>IFERROR(IF(VLOOKUP(Sat_W2[[#This Row],[Employee Name]],'Base Schedules'!$A:$AO,41,FALSE)="","",VLOOKUP(Sat_W2[[#This Row],[Employee Name]],'Base Schedules'!$A:$AO,41,FALSE)),"")</f>
        <v/>
      </c>
      <c r="AQ38" s="184" t="str">
        <f>IFERROR(IF(VLOOKUP(Sat_W2[[#This Row],[Employee Name]],'Base Schedules'!$A:$AP,42,FALSE)="","",VLOOKUP(Sat_W2[[#This Row],[Employee Name]],'Base Schedules'!$A:$AP,42,FALSE)),"")</f>
        <v/>
      </c>
      <c r="AR38" s="184" t="str">
        <f>IFERROR(IF(VLOOKUP(Sat_W2[[#This Row],[Employee Name]],'Base Schedules'!$A:$AQ,43,FALSE)="","",VLOOKUP(Sat_W2[[#This Row],[Employee Name]],'Base Schedules'!$A:$AQ,43,FALSE)),"")</f>
        <v/>
      </c>
      <c r="AS38" s="184" t="str">
        <f>IFERROR(IF(VLOOKUP(Sat_W2[[#This Row],[Employee Name]],'Base Schedules'!$A:$AR,44,FALSE)="","",VLOOKUP(Sat_W2[[#This Row],[Employee Name]],'Base Schedules'!$A:$AR,44,FALSE)),"")</f>
        <v/>
      </c>
      <c r="AT38" s="184" t="str">
        <f>IFERROR(IF(VLOOKUP(Sat_W2[[#This Row],[Employee Name]],'Base Schedules'!$A:$AS,45,FALSE)="","",VLOOKUP(Sat_W2[[#This Row],[Employee Name]],'Base Schedules'!$A:$AS,45,FALSE)),"")</f>
        <v/>
      </c>
      <c r="AU38" s="184" t="str">
        <f>IFERROR(IF(VLOOKUP(Sat_W2[[#This Row],[Employee Name]],'Base Schedules'!$A:$AT,46,FALSE)="","",VLOOKUP(Sat_W2[[#This Row],[Employee Name]],'Base Schedules'!$A:$AT,46,FALSE)),"")</f>
        <v/>
      </c>
      <c r="AV38" s="184" t="str">
        <f>IFERROR(IF(VLOOKUP(Sat_W2[[#This Row],[Employee Name]],'Base Schedules'!$A:$AU,47,FALSE)="","",VLOOKUP(Sat_W2[[#This Row],[Employee Name]],'Base Schedules'!$A:$AU,47,FALSE)),"")</f>
        <v/>
      </c>
      <c r="AW38" s="184" t="str">
        <f>IFERROR(IF(VLOOKUP(Sat_W2[[#This Row],[Employee Name]],'Base Schedules'!$A:$AV,48,FALSE)="","",VLOOKUP(Sat_W2[[#This Row],[Employee Name]],'Base Schedules'!$A:$AV,48,FALSE)),"")</f>
        <v/>
      </c>
      <c r="AX38" s="184" t="str">
        <f>IFERROR(IF(VLOOKUP(Sat_W1[[#This Row],[Employee Name]],'Base Schedules'!$A$46:$AW$77,49,FALSE)="","",VLOOKUP(Sat_W1[[#This Row],[Employee Name]],'Base Schedules'!$A$46:$AW$77,49,FALSE)),"")</f>
        <v/>
      </c>
      <c r="AY38" s="160" t="str">
        <f t="shared" si="2"/>
        <v/>
      </c>
    </row>
    <row r="39" spans="1:51" s="44" customFormat="1" ht="12" hidden="1" customHeight="1" x14ac:dyDescent="0.2">
      <c r="A39" s="39" t="str">
        <f>IF(B39="","",INDEX(TeamList[],MATCH($B39,TeamList[[Employee Name]:[Employee Name]],0),MATCH("Manager",TeamList[#Headers],0)))</f>
        <v/>
      </c>
      <c r="B39" s="201"/>
      <c r="C39" s="257" t="str">
        <f>_xlfn.IFNA(VLOOKUP(Sat_W2[[#This Row],[Employee Name]],'Base Schedules'!A:B,2,FALSE),"")</f>
        <v/>
      </c>
      <c r="D39" s="274" t="str">
        <f>_xlfn.IFNA(VLOOKUP(Sat_W2[[#This Row],[Employee Name]],'Base Schedules'!A:C,3,FALSE),"")</f>
        <v/>
      </c>
      <c r="E39" s="274" t="str">
        <f>_xlfn.IFNA(VLOOKUP(Sat_W2[[#This Row],[Employee Name]],'Base Schedules'!A:D,4,FALSE),"")</f>
        <v/>
      </c>
      <c r="F39" s="142" t="str">
        <f>IF(Sat_W2[[#This Row],[Employee Name]]="","",IF(Sat_W2[[#This Row],[Dept]]="Supervisor",COUNTIFS($J39:$AX39,"*HL*",$J39:$AX39,"&lt;&gt;"&amp;"pHL"),COUNTIFS($J39:$AX39,"*HL*",$J39:$AX39,"&lt;&gt;"&amp;"*pHL*",$J39:$AX39,"&lt;&gt;"&amp;"pB1 HL",$J39:$AX39,"&lt;&gt;"&amp;"pB2 HL")-SUM(COUNTIFS($J39:$AX39,"*HL B1*",$J39:$AX39,"&lt;&gt;"&amp;"pHL B1")*0.5,COUNTIFS($J39:$AX39,"*HL B2*",$J39:$AX39,"&lt;&gt;"&amp;"pHL B2")*0.5,COUNTIFS($J39:$AX39,"*B1 HL*",$J39:$AX39,"&lt;&gt;"&amp;"pB1 HL")*0.5,COUNTIFS($J39:$AX39,"*B2 HL*",$J39:$AX39,"&lt;&gt;"&amp;"pB2 HL")*0.5)))</f>
        <v/>
      </c>
      <c r="G39" s="142" t="str">
        <f t="shared" si="0"/>
        <v/>
      </c>
      <c r="H39" s="142" t="str">
        <f t="shared" si="1"/>
        <v/>
      </c>
      <c r="I39" s="142" t="str">
        <f>IF(Sat_W2[[#This Row],[Employee Name]]="","",IF(Sat_W2[[#This Row],[Dept]]="Supervisor",SUM(COUNTIFS($J39:$AX39,"RTA*",$J39:$AX39,"&lt;&gt;"&amp;"pRTA"),COUNTIFS($J39:$AX39,"*CRTA*",$J39:$AX39,"&lt;&gt;"&amp;"pCRTA")),COUNTIFS($J39:$AX39,"*RNNR*",$J39:$AX39,"&lt;&gt;"&amp;"*pRNNR*",$J39:$AX39,"&lt;&gt;"&amp;"pB1 RNNR",$J39:$AX39,"&lt;&gt;"&amp;"pB2 RNNR")-SUM(COUNTIFS($J39:$AX39,"*RNNR B1*",$J39:$AX39,"&lt;&gt;"&amp;"pRNNR B1")*0.5,COUNTIFS($J39:$AX39,"*RNNR B2*",$J39:$AX39,"&lt;&gt;"&amp;"pRNNR B2")*0.5,COUNTIFS($J39:$AX39,"*B1 RNNR*",$J39:$AX39,"&lt;&gt;"&amp;"pB1 RNNR")*0.5,COUNTIFS($J39:$AX39,"*B2 RNNR*",$J39:$AX39,"&lt;&gt;"&amp;"pB2 RNNR")*0.5)))</f>
        <v/>
      </c>
      <c r="J39" s="184" t="str">
        <f>IFERROR(IF(VLOOKUP(Sat_W2[[#This Row],[Employee Name]],'Base Schedules'!$A:$I,9,FALSE)="","",VLOOKUP(Sat_W2[[#This Row],[Employee Name]],'Base Schedules'!$A:$I,9,FALSE)),"")</f>
        <v/>
      </c>
      <c r="K39" s="184" t="str">
        <f>IFERROR(IF(VLOOKUP(Sat_W2[[#This Row],[Employee Name]],'Base Schedules'!$A:$J,10,FALSE)="","",VLOOKUP(Sat_W2[[#This Row],[Employee Name]],'Base Schedules'!$A:$J,10,FALSE)),"")</f>
        <v/>
      </c>
      <c r="L39" s="184" t="str">
        <f>IFERROR(IF(VLOOKUP(Sat_W2[[#This Row],[Employee Name]],'Base Schedules'!$A:$K,11,FALSE)="","",VLOOKUP(Sat_W2[[#This Row],[Employee Name]],'Base Schedules'!$A:$K,11,FALSE)),"")</f>
        <v/>
      </c>
      <c r="M39" s="184" t="str">
        <f>IFERROR(IF(VLOOKUP(Sat_W2[[#This Row],[Employee Name]],'Base Schedules'!$A:$L,12,FALSE)="","",VLOOKUP(Sat_W2[[#This Row],[Employee Name]],'Base Schedules'!$A:$L,12,FALSE)),"")</f>
        <v/>
      </c>
      <c r="N39" s="184" t="str">
        <f>IFERROR(IF(VLOOKUP(Sat_W2[[#This Row],[Employee Name]],'Base Schedules'!$A:$M,13,FALSE)="","",VLOOKUP(Sat_W2[[#This Row],[Employee Name]],'Base Schedules'!$A:$M,13,FALSE)),"")</f>
        <v/>
      </c>
      <c r="O39" s="184" t="str">
        <f>IFERROR(IF(VLOOKUP(Sat_W2[[#This Row],[Employee Name]],'Base Schedules'!$A:$N,14,FALSE)="","",VLOOKUP(Sat_W2[[#This Row],[Employee Name]],'Base Schedules'!$A:$N,14,FALSE)),"")</f>
        <v/>
      </c>
      <c r="P39" s="184" t="str">
        <f>IFERROR(IF(VLOOKUP(Sat_W2[[#This Row],[Employee Name]],'Base Schedules'!$A:$O,15,FALSE)="","",VLOOKUP(Sat_W2[[#This Row],[Employee Name]],'Base Schedules'!$A:$O,15,FALSE)),"")</f>
        <v/>
      </c>
      <c r="Q39" s="184" t="str">
        <f>IFERROR(IF(VLOOKUP(Sat_W2[[#This Row],[Employee Name]],'Base Schedules'!$A:$P,16,FALSE)="","",VLOOKUP(Sat_W2[[#This Row],[Employee Name]],'Base Schedules'!$A:$P,16,FALSE)),"")</f>
        <v/>
      </c>
      <c r="R39" s="184" t="str">
        <f>IFERROR(IF(VLOOKUP(Sat_W2[[#This Row],[Employee Name]],'Base Schedules'!$A:$Q,17,FALSE)="","",VLOOKUP(Sat_W2[[#This Row],[Employee Name]],'Base Schedules'!$A:$Q,17,FALSE)),"")</f>
        <v/>
      </c>
      <c r="S39" s="184" t="str">
        <f>IFERROR(IF(VLOOKUP(Sat_W2[[#This Row],[Employee Name]],'Base Schedules'!$A:$R,18,FALSE)="","",VLOOKUP(Sat_W2[[#This Row],[Employee Name]],'Base Schedules'!$A:$R,18,FALSE)),"")</f>
        <v/>
      </c>
      <c r="T39" s="184" t="str">
        <f>IFERROR(IF(VLOOKUP(Sat_W2[[#This Row],[Employee Name]],'Base Schedules'!$A:$S,19,FALSE)="","",VLOOKUP(Sat_W2[[#This Row],[Employee Name]],'Base Schedules'!$A:$S,19,FALSE)),"")</f>
        <v/>
      </c>
      <c r="U39" s="184" t="str">
        <f>IFERROR(IF(VLOOKUP(Sat_W2[[#This Row],[Employee Name]],'Base Schedules'!$A:$T,20,FALSE)="","",VLOOKUP(Sat_W2[[#This Row],[Employee Name]],'Base Schedules'!$A:$T,20,FALSE)),"")</f>
        <v/>
      </c>
      <c r="V39" s="184" t="str">
        <f>IFERROR(IF(VLOOKUP(Sat_W2[[#This Row],[Employee Name]],'Base Schedules'!$A:$U,21,FALSE)="","",VLOOKUP(Sat_W2[[#This Row],[Employee Name]],'Base Schedules'!$A:$U,21,FALSE)),"")</f>
        <v/>
      </c>
      <c r="W39" s="184" t="str">
        <f>IFERROR(IF(VLOOKUP(Sat_W2[[#This Row],[Employee Name]],'Base Schedules'!$A:$V,22,FALSE)="","",VLOOKUP(Sat_W2[[#This Row],[Employee Name]],'Base Schedules'!$A:$V,22,FALSE)),"")</f>
        <v/>
      </c>
      <c r="X39" s="184" t="str">
        <f>IFERROR(IF(VLOOKUP(Sat_W2[[#This Row],[Employee Name]],'Base Schedules'!$A:$W,23,FALSE)="","",VLOOKUP(Sat_W2[[#This Row],[Employee Name]],'Base Schedules'!$A:$W,23,FALSE)),"")</f>
        <v/>
      </c>
      <c r="Y39" s="184" t="str">
        <f>IFERROR(IF(VLOOKUP(Sat_W2[[#This Row],[Employee Name]],'Base Schedules'!$A:$X,24,FALSE)="","",VLOOKUP(Sat_W2[[#This Row],[Employee Name]],'Base Schedules'!$A:$X,24,FALSE)),"")</f>
        <v/>
      </c>
      <c r="Z39" s="184" t="str">
        <f>IFERROR(IF(VLOOKUP(Sat_W2[[#This Row],[Employee Name]],'Base Schedules'!$A:$Y,25,FALSE)="","",VLOOKUP(Sat_W2[[#This Row],[Employee Name]],'Base Schedules'!$A:$Y,25,FALSE)),"")</f>
        <v/>
      </c>
      <c r="AA39" s="184" t="str">
        <f>IFERROR(IF(VLOOKUP(Sat_W2[[#This Row],[Employee Name]],'Base Schedules'!$A:$Z,26,FALSE)="","",VLOOKUP(Sat_W2[[#This Row],[Employee Name]],'Base Schedules'!$A:$Z,26,FALSE)),"")</f>
        <v/>
      </c>
      <c r="AB39" s="184" t="str">
        <f>IFERROR(IF(VLOOKUP(Sat_W2[[#This Row],[Employee Name]],'Base Schedules'!$A:$AA,27,FALSE)="","",VLOOKUP(Sat_W2[[#This Row],[Employee Name]],'Base Schedules'!$A:$AA,27,FALSE)),"")</f>
        <v/>
      </c>
      <c r="AC39" s="184" t="str">
        <f>IFERROR(IF(VLOOKUP(Sat_W2[[#This Row],[Employee Name]],'Base Schedules'!$A:$AB,28,FALSE)="","",VLOOKUP(Sat_W2[[#This Row],[Employee Name]],'Base Schedules'!$A:$AB,28,FALSE)),"")</f>
        <v/>
      </c>
      <c r="AD39" s="184" t="str">
        <f>IFERROR(IF(VLOOKUP(Sat_W2[[#This Row],[Employee Name]],'Base Schedules'!$A:$AC,29,FALSE)="","",VLOOKUP(Sat_W2[[#This Row],[Employee Name]],'Base Schedules'!$A:$AC,29,FALSE)),"")</f>
        <v/>
      </c>
      <c r="AE39" s="184" t="str">
        <f>IFERROR(IF(VLOOKUP(Sat_W2[[#This Row],[Employee Name]],'Base Schedules'!$A:$AD,30,FALSE)="","",VLOOKUP(Sat_W2[[#This Row],[Employee Name]],'Base Schedules'!$A:$AD,30,FALSE)),"")</f>
        <v/>
      </c>
      <c r="AF39" s="184" t="str">
        <f>IFERROR(IF(VLOOKUP(Sat_W2[[#This Row],[Employee Name]],'Base Schedules'!$A:$AE,31,FALSE)="","",VLOOKUP(Sat_W2[[#This Row],[Employee Name]],'Base Schedules'!$A:$AE,31,FALSE)),"")</f>
        <v/>
      </c>
      <c r="AG39" s="184" t="str">
        <f>IFERROR(IF(VLOOKUP(Sat_W2[[#This Row],[Employee Name]],'Base Schedules'!$A:$AF,32,FALSE)="","",VLOOKUP(Sat_W2[[#This Row],[Employee Name]],'Base Schedules'!$A:$AF,32,FALSE)),"")</f>
        <v/>
      </c>
      <c r="AH39" s="184" t="str">
        <f>IFERROR(IF(VLOOKUP(Sat_W2[[#This Row],[Employee Name]],'Base Schedules'!$A:$AG,33,FALSE)="","",VLOOKUP(Sat_W2[[#This Row],[Employee Name]],'Base Schedules'!$A:$AG,33,FALSE)),"")</f>
        <v/>
      </c>
      <c r="AI39" s="184" t="str">
        <f>IFERROR(IF(VLOOKUP(Sat_W2[[#This Row],[Employee Name]],'Base Schedules'!$A:$AH,34,FALSE)="","",VLOOKUP(Sat_W2[[#This Row],[Employee Name]],'Base Schedules'!$A:$AH,34,FALSE)),"")</f>
        <v/>
      </c>
      <c r="AJ39" s="184" t="str">
        <f>IFERROR(IF(VLOOKUP(Sat_W2[[#This Row],[Employee Name]],'Base Schedules'!$A:$AI,35,FALSE)="","",VLOOKUP(Sat_W2[[#This Row],[Employee Name]],'Base Schedules'!$A:$AI,35,FALSE)),"")</f>
        <v/>
      </c>
      <c r="AK39" s="184" t="str">
        <f>IFERROR(IF(VLOOKUP(Sat_W2[[#This Row],[Employee Name]],'Base Schedules'!$A:$AJ,36,FALSE)="","",VLOOKUP(Sat_W2[[#This Row],[Employee Name]],'Base Schedules'!$A:$AJ,36,FALSE)),"")</f>
        <v/>
      </c>
      <c r="AL39" s="184" t="str">
        <f>IFERROR(IF(VLOOKUP(Sat_W2[[#This Row],[Employee Name]],'Base Schedules'!$A:$AK,37,FALSE)="","",VLOOKUP(Sat_W2[[#This Row],[Employee Name]],'Base Schedules'!$A:$AK,37,FALSE)),"")</f>
        <v/>
      </c>
      <c r="AM39" s="184" t="str">
        <f>IFERROR(IF(VLOOKUP(Sat_W2[[#This Row],[Employee Name]],'Base Schedules'!$A:$AL,38,FALSE)="","",VLOOKUP(Sat_W2[[#This Row],[Employee Name]],'Base Schedules'!$A:$AL,38,FALSE)),"")</f>
        <v/>
      </c>
      <c r="AN39" s="184" t="str">
        <f>IFERROR(IF(VLOOKUP(Sat_W2[[#This Row],[Employee Name]],'Base Schedules'!$A:$AM,39,FALSE)="","",VLOOKUP(Sat_W2[[#This Row],[Employee Name]],'Base Schedules'!$A:$AM,39,FALSE)),"")</f>
        <v/>
      </c>
      <c r="AO39" s="184" t="str">
        <f>IFERROR(IF(VLOOKUP(Sat_W2[[#This Row],[Employee Name]],'Base Schedules'!$A:$AN,40,FALSE)="","",VLOOKUP(Sat_W2[[#This Row],[Employee Name]],'Base Schedules'!$A:$AN,40,FALSE)),"")</f>
        <v/>
      </c>
      <c r="AP39" s="184" t="str">
        <f>IFERROR(IF(VLOOKUP(Sat_W2[[#This Row],[Employee Name]],'Base Schedules'!$A:$AO,41,FALSE)="","",VLOOKUP(Sat_W2[[#This Row],[Employee Name]],'Base Schedules'!$A:$AO,41,FALSE)),"")</f>
        <v/>
      </c>
      <c r="AQ39" s="184" t="str">
        <f>IFERROR(IF(VLOOKUP(Sat_W2[[#This Row],[Employee Name]],'Base Schedules'!$A:$AP,42,FALSE)="","",VLOOKUP(Sat_W2[[#This Row],[Employee Name]],'Base Schedules'!$A:$AP,42,FALSE)),"")</f>
        <v/>
      </c>
      <c r="AR39" s="184" t="str">
        <f>IFERROR(IF(VLOOKUP(Sat_W2[[#This Row],[Employee Name]],'Base Schedules'!$A:$AQ,43,FALSE)="","",VLOOKUP(Sat_W2[[#This Row],[Employee Name]],'Base Schedules'!$A:$AQ,43,FALSE)),"")</f>
        <v/>
      </c>
      <c r="AS39" s="184" t="str">
        <f>IFERROR(IF(VLOOKUP(Sat_W2[[#This Row],[Employee Name]],'Base Schedules'!$A:$AR,44,FALSE)="","",VLOOKUP(Sat_W2[[#This Row],[Employee Name]],'Base Schedules'!$A:$AR,44,FALSE)),"")</f>
        <v/>
      </c>
      <c r="AT39" s="184" t="str">
        <f>IFERROR(IF(VLOOKUP(Sat_W2[[#This Row],[Employee Name]],'Base Schedules'!$A:$AS,45,FALSE)="","",VLOOKUP(Sat_W2[[#This Row],[Employee Name]],'Base Schedules'!$A:$AS,45,FALSE)),"")</f>
        <v/>
      </c>
      <c r="AU39" s="184" t="str">
        <f>IFERROR(IF(VLOOKUP(Sat_W2[[#This Row],[Employee Name]],'Base Schedules'!$A:$AT,46,FALSE)="","",VLOOKUP(Sat_W2[[#This Row],[Employee Name]],'Base Schedules'!$A:$AT,46,FALSE)),"")</f>
        <v/>
      </c>
      <c r="AV39" s="184" t="str">
        <f>IFERROR(IF(VLOOKUP(Sat_W2[[#This Row],[Employee Name]],'Base Schedules'!$A:$AU,47,FALSE)="","",VLOOKUP(Sat_W2[[#This Row],[Employee Name]],'Base Schedules'!$A:$AU,47,FALSE)),"")</f>
        <v/>
      </c>
      <c r="AW39" s="184" t="str">
        <f>IFERROR(IF(VLOOKUP(Sat_W2[[#This Row],[Employee Name]],'Base Schedules'!$A:$AV,48,FALSE)="","",VLOOKUP(Sat_W2[[#This Row],[Employee Name]],'Base Schedules'!$A:$AV,48,FALSE)),"")</f>
        <v/>
      </c>
      <c r="AX39" s="184" t="str">
        <f>IFERROR(IF(VLOOKUP(Sat_W1[[#This Row],[Employee Name]],'Base Schedules'!$A$46:$AW$77,49,FALSE)="","",VLOOKUP(Sat_W1[[#This Row],[Employee Name]],'Base Schedules'!$A$46:$AW$77,49,FALSE)),"")</f>
        <v/>
      </c>
      <c r="AY39" s="160" t="str">
        <f t="shared" si="2"/>
        <v/>
      </c>
    </row>
    <row r="40" spans="1:51" s="44" customFormat="1" ht="12" hidden="1" customHeight="1" x14ac:dyDescent="0.2">
      <c r="A40" s="39" t="str">
        <f>IF(B40="","",INDEX(TeamList[],MATCH($B40,TeamList[[Employee Name]:[Employee Name]],0),MATCH("Manager",TeamList[#Headers],0)))</f>
        <v/>
      </c>
      <c r="B40" s="201"/>
      <c r="C40" s="257" t="str">
        <f>_xlfn.IFNA(VLOOKUP(Sat_W2[[#This Row],[Employee Name]],'Base Schedules'!A:B,2,FALSE),"")</f>
        <v/>
      </c>
      <c r="D40" s="274" t="str">
        <f>_xlfn.IFNA(VLOOKUP(Sat_W2[[#This Row],[Employee Name]],'Base Schedules'!A:C,3,FALSE),"")</f>
        <v/>
      </c>
      <c r="E40" s="274" t="str">
        <f>_xlfn.IFNA(VLOOKUP(Sat_W2[[#This Row],[Employee Name]],'Base Schedules'!A:D,4,FALSE),"")</f>
        <v/>
      </c>
      <c r="F40" s="142" t="str">
        <f>IF(Sat_W2[[#This Row],[Employee Name]]="","",IF(Sat_W2[[#This Row],[Dept]]="Supervisor",COUNTIFS($J40:$AX40,"*HL*",$J40:$AX40,"&lt;&gt;"&amp;"pHL"),COUNTIFS($J40:$AX40,"*HL*",$J40:$AX40,"&lt;&gt;"&amp;"*pHL*",$J40:$AX40,"&lt;&gt;"&amp;"pB1 HL",$J40:$AX40,"&lt;&gt;"&amp;"pB2 HL")-SUM(COUNTIFS($J40:$AX40,"*HL B1*",$J40:$AX40,"&lt;&gt;"&amp;"pHL B1")*0.5,COUNTIFS($J40:$AX40,"*HL B2*",$J40:$AX40,"&lt;&gt;"&amp;"pHL B2")*0.5,COUNTIFS($J40:$AX40,"*B1 HL*",$J40:$AX40,"&lt;&gt;"&amp;"pB1 HL")*0.5,COUNTIFS($J40:$AX40,"*B2 HL*",$J40:$AX40,"&lt;&gt;"&amp;"pB2 HL")*0.5)))</f>
        <v/>
      </c>
      <c r="G40" s="142" t="str">
        <f t="shared" si="0"/>
        <v/>
      </c>
      <c r="H40" s="142" t="str">
        <f t="shared" si="1"/>
        <v/>
      </c>
      <c r="I40" s="142" t="str">
        <f>IF(Sat_W2[[#This Row],[Employee Name]]="","",IF(Sat_W2[[#This Row],[Dept]]="Supervisor",SUM(COUNTIFS($J40:$AX40,"RTA*",$J40:$AX40,"&lt;&gt;"&amp;"pRTA"),COUNTIFS($J40:$AX40,"*CRTA*",$J40:$AX40,"&lt;&gt;"&amp;"pCRTA")),COUNTIFS($J40:$AX40,"*RNNR*",$J40:$AX40,"&lt;&gt;"&amp;"*pRNNR*",$J40:$AX40,"&lt;&gt;"&amp;"pB1 RNNR",$J40:$AX40,"&lt;&gt;"&amp;"pB2 RNNR")-SUM(COUNTIFS($J40:$AX40,"*RNNR B1*",$J40:$AX40,"&lt;&gt;"&amp;"pRNNR B1")*0.5,COUNTIFS($J40:$AX40,"*RNNR B2*",$J40:$AX40,"&lt;&gt;"&amp;"pRNNR B2")*0.5,COUNTIFS($J40:$AX40,"*B1 RNNR*",$J40:$AX40,"&lt;&gt;"&amp;"pB1 RNNR")*0.5,COUNTIFS($J40:$AX40,"*B2 RNNR*",$J40:$AX40,"&lt;&gt;"&amp;"pB2 RNNR")*0.5)))</f>
        <v/>
      </c>
      <c r="J40" s="184" t="str">
        <f>IFERROR(IF(VLOOKUP(Sat_W2[[#This Row],[Employee Name]],'Base Schedules'!$A:$I,9,FALSE)="","",VLOOKUP(Sat_W2[[#This Row],[Employee Name]],'Base Schedules'!$A:$I,9,FALSE)),"")</f>
        <v/>
      </c>
      <c r="K40" s="184" t="str">
        <f>IFERROR(IF(VLOOKUP(Sat_W2[[#This Row],[Employee Name]],'Base Schedules'!$A:$J,10,FALSE)="","",VLOOKUP(Sat_W2[[#This Row],[Employee Name]],'Base Schedules'!$A:$J,10,FALSE)),"")</f>
        <v/>
      </c>
      <c r="L40" s="184" t="str">
        <f>IFERROR(IF(VLOOKUP(Sat_W2[[#This Row],[Employee Name]],'Base Schedules'!$A:$K,11,FALSE)="","",VLOOKUP(Sat_W2[[#This Row],[Employee Name]],'Base Schedules'!$A:$K,11,FALSE)),"")</f>
        <v/>
      </c>
      <c r="M40" s="184" t="str">
        <f>IFERROR(IF(VLOOKUP(Sat_W2[[#This Row],[Employee Name]],'Base Schedules'!$A:$L,12,FALSE)="","",VLOOKUP(Sat_W2[[#This Row],[Employee Name]],'Base Schedules'!$A:$L,12,FALSE)),"")</f>
        <v/>
      </c>
      <c r="N40" s="184" t="str">
        <f>IFERROR(IF(VLOOKUP(Sat_W2[[#This Row],[Employee Name]],'Base Schedules'!$A:$M,13,FALSE)="","",VLOOKUP(Sat_W2[[#This Row],[Employee Name]],'Base Schedules'!$A:$M,13,FALSE)),"")</f>
        <v/>
      </c>
      <c r="O40" s="184" t="str">
        <f>IFERROR(IF(VLOOKUP(Sat_W2[[#This Row],[Employee Name]],'Base Schedules'!$A:$N,14,FALSE)="","",VLOOKUP(Sat_W2[[#This Row],[Employee Name]],'Base Schedules'!$A:$N,14,FALSE)),"")</f>
        <v/>
      </c>
      <c r="P40" s="184" t="str">
        <f>IFERROR(IF(VLOOKUP(Sat_W2[[#This Row],[Employee Name]],'Base Schedules'!$A:$O,15,FALSE)="","",VLOOKUP(Sat_W2[[#This Row],[Employee Name]],'Base Schedules'!$A:$O,15,FALSE)),"")</f>
        <v/>
      </c>
      <c r="Q40" s="184" t="str">
        <f>IFERROR(IF(VLOOKUP(Sat_W2[[#This Row],[Employee Name]],'Base Schedules'!$A:$P,16,FALSE)="","",VLOOKUP(Sat_W2[[#This Row],[Employee Name]],'Base Schedules'!$A:$P,16,FALSE)),"")</f>
        <v/>
      </c>
      <c r="R40" s="184" t="str">
        <f>IFERROR(IF(VLOOKUP(Sat_W2[[#This Row],[Employee Name]],'Base Schedules'!$A:$Q,17,FALSE)="","",VLOOKUP(Sat_W2[[#This Row],[Employee Name]],'Base Schedules'!$A:$Q,17,FALSE)),"")</f>
        <v/>
      </c>
      <c r="S40" s="184" t="str">
        <f>IFERROR(IF(VLOOKUP(Sat_W2[[#This Row],[Employee Name]],'Base Schedules'!$A:$R,18,FALSE)="","",VLOOKUP(Sat_W2[[#This Row],[Employee Name]],'Base Schedules'!$A:$R,18,FALSE)),"")</f>
        <v/>
      </c>
      <c r="T40" s="184" t="str">
        <f>IFERROR(IF(VLOOKUP(Sat_W2[[#This Row],[Employee Name]],'Base Schedules'!$A:$S,19,FALSE)="","",VLOOKUP(Sat_W2[[#This Row],[Employee Name]],'Base Schedules'!$A:$S,19,FALSE)),"")</f>
        <v/>
      </c>
      <c r="U40" s="184" t="str">
        <f>IFERROR(IF(VLOOKUP(Sat_W2[[#This Row],[Employee Name]],'Base Schedules'!$A:$T,20,FALSE)="","",VLOOKUP(Sat_W2[[#This Row],[Employee Name]],'Base Schedules'!$A:$T,20,FALSE)),"")</f>
        <v/>
      </c>
      <c r="V40" s="184" t="str">
        <f>IFERROR(IF(VLOOKUP(Sat_W2[[#This Row],[Employee Name]],'Base Schedules'!$A:$U,21,FALSE)="","",VLOOKUP(Sat_W2[[#This Row],[Employee Name]],'Base Schedules'!$A:$U,21,FALSE)),"")</f>
        <v/>
      </c>
      <c r="W40" s="184" t="str">
        <f>IFERROR(IF(VLOOKUP(Sat_W2[[#This Row],[Employee Name]],'Base Schedules'!$A:$V,22,FALSE)="","",VLOOKUP(Sat_W2[[#This Row],[Employee Name]],'Base Schedules'!$A:$V,22,FALSE)),"")</f>
        <v/>
      </c>
      <c r="X40" s="184" t="str">
        <f>IFERROR(IF(VLOOKUP(Sat_W2[[#This Row],[Employee Name]],'Base Schedules'!$A:$W,23,FALSE)="","",VLOOKUP(Sat_W2[[#This Row],[Employee Name]],'Base Schedules'!$A:$W,23,FALSE)),"")</f>
        <v/>
      </c>
      <c r="Y40" s="184" t="str">
        <f>IFERROR(IF(VLOOKUP(Sat_W2[[#This Row],[Employee Name]],'Base Schedules'!$A:$X,24,FALSE)="","",VLOOKUP(Sat_W2[[#This Row],[Employee Name]],'Base Schedules'!$A:$X,24,FALSE)),"")</f>
        <v/>
      </c>
      <c r="Z40" s="184" t="str">
        <f>IFERROR(IF(VLOOKUP(Sat_W2[[#This Row],[Employee Name]],'Base Schedules'!$A:$Y,25,FALSE)="","",VLOOKUP(Sat_W2[[#This Row],[Employee Name]],'Base Schedules'!$A:$Y,25,FALSE)),"")</f>
        <v/>
      </c>
      <c r="AA40" s="184" t="str">
        <f>IFERROR(IF(VLOOKUP(Sat_W2[[#This Row],[Employee Name]],'Base Schedules'!$A:$Z,26,FALSE)="","",VLOOKUP(Sat_W2[[#This Row],[Employee Name]],'Base Schedules'!$A:$Z,26,FALSE)),"")</f>
        <v/>
      </c>
      <c r="AB40" s="184" t="str">
        <f>IFERROR(IF(VLOOKUP(Sat_W2[[#This Row],[Employee Name]],'Base Schedules'!$A:$AA,27,FALSE)="","",VLOOKUP(Sat_W2[[#This Row],[Employee Name]],'Base Schedules'!$A:$AA,27,FALSE)),"")</f>
        <v/>
      </c>
      <c r="AC40" s="184" t="str">
        <f>IFERROR(IF(VLOOKUP(Sat_W2[[#This Row],[Employee Name]],'Base Schedules'!$A:$AB,28,FALSE)="","",VLOOKUP(Sat_W2[[#This Row],[Employee Name]],'Base Schedules'!$A:$AB,28,FALSE)),"")</f>
        <v/>
      </c>
      <c r="AD40" s="184" t="str">
        <f>IFERROR(IF(VLOOKUP(Sat_W2[[#This Row],[Employee Name]],'Base Schedules'!$A:$AC,29,FALSE)="","",VLOOKUP(Sat_W2[[#This Row],[Employee Name]],'Base Schedules'!$A:$AC,29,FALSE)),"")</f>
        <v/>
      </c>
      <c r="AE40" s="184" t="str">
        <f>IFERROR(IF(VLOOKUP(Sat_W2[[#This Row],[Employee Name]],'Base Schedules'!$A:$AD,30,FALSE)="","",VLOOKUP(Sat_W2[[#This Row],[Employee Name]],'Base Schedules'!$A:$AD,30,FALSE)),"")</f>
        <v/>
      </c>
      <c r="AF40" s="184" t="str">
        <f>IFERROR(IF(VLOOKUP(Sat_W2[[#This Row],[Employee Name]],'Base Schedules'!$A:$AE,31,FALSE)="","",VLOOKUP(Sat_W2[[#This Row],[Employee Name]],'Base Schedules'!$A:$AE,31,FALSE)),"")</f>
        <v/>
      </c>
      <c r="AG40" s="184" t="str">
        <f>IFERROR(IF(VLOOKUP(Sat_W2[[#This Row],[Employee Name]],'Base Schedules'!$A:$AF,32,FALSE)="","",VLOOKUP(Sat_W2[[#This Row],[Employee Name]],'Base Schedules'!$A:$AF,32,FALSE)),"")</f>
        <v/>
      </c>
      <c r="AH40" s="184" t="str">
        <f>IFERROR(IF(VLOOKUP(Sat_W2[[#This Row],[Employee Name]],'Base Schedules'!$A:$AG,33,FALSE)="","",VLOOKUP(Sat_W2[[#This Row],[Employee Name]],'Base Schedules'!$A:$AG,33,FALSE)),"")</f>
        <v/>
      </c>
      <c r="AI40" s="184" t="str">
        <f>IFERROR(IF(VLOOKUP(Sat_W2[[#This Row],[Employee Name]],'Base Schedules'!$A:$AH,34,FALSE)="","",VLOOKUP(Sat_W2[[#This Row],[Employee Name]],'Base Schedules'!$A:$AH,34,FALSE)),"")</f>
        <v/>
      </c>
      <c r="AJ40" s="184" t="str">
        <f>IFERROR(IF(VLOOKUP(Sat_W2[[#This Row],[Employee Name]],'Base Schedules'!$A:$AI,35,FALSE)="","",VLOOKUP(Sat_W2[[#This Row],[Employee Name]],'Base Schedules'!$A:$AI,35,FALSE)),"")</f>
        <v/>
      </c>
      <c r="AK40" s="184" t="str">
        <f>IFERROR(IF(VLOOKUP(Sat_W2[[#This Row],[Employee Name]],'Base Schedules'!$A:$AJ,36,FALSE)="","",VLOOKUP(Sat_W2[[#This Row],[Employee Name]],'Base Schedules'!$A:$AJ,36,FALSE)),"")</f>
        <v/>
      </c>
      <c r="AL40" s="184" t="str">
        <f>IFERROR(IF(VLOOKUP(Sat_W2[[#This Row],[Employee Name]],'Base Schedules'!$A:$AK,37,FALSE)="","",VLOOKUP(Sat_W2[[#This Row],[Employee Name]],'Base Schedules'!$A:$AK,37,FALSE)),"")</f>
        <v/>
      </c>
      <c r="AM40" s="184" t="str">
        <f>IFERROR(IF(VLOOKUP(Sat_W2[[#This Row],[Employee Name]],'Base Schedules'!$A:$AL,38,FALSE)="","",VLOOKUP(Sat_W2[[#This Row],[Employee Name]],'Base Schedules'!$A:$AL,38,FALSE)),"")</f>
        <v/>
      </c>
      <c r="AN40" s="184" t="str">
        <f>IFERROR(IF(VLOOKUP(Sat_W2[[#This Row],[Employee Name]],'Base Schedules'!$A:$AM,39,FALSE)="","",VLOOKUP(Sat_W2[[#This Row],[Employee Name]],'Base Schedules'!$A:$AM,39,FALSE)),"")</f>
        <v/>
      </c>
      <c r="AO40" s="184" t="str">
        <f>IFERROR(IF(VLOOKUP(Sat_W2[[#This Row],[Employee Name]],'Base Schedules'!$A:$AN,40,FALSE)="","",VLOOKUP(Sat_W2[[#This Row],[Employee Name]],'Base Schedules'!$A:$AN,40,FALSE)),"")</f>
        <v/>
      </c>
      <c r="AP40" s="184" t="str">
        <f>IFERROR(IF(VLOOKUP(Sat_W2[[#This Row],[Employee Name]],'Base Schedules'!$A:$AO,41,FALSE)="","",VLOOKUP(Sat_W2[[#This Row],[Employee Name]],'Base Schedules'!$A:$AO,41,FALSE)),"")</f>
        <v/>
      </c>
      <c r="AQ40" s="184" t="str">
        <f>IFERROR(IF(VLOOKUP(Sat_W2[[#This Row],[Employee Name]],'Base Schedules'!$A:$AP,42,FALSE)="","",VLOOKUP(Sat_W2[[#This Row],[Employee Name]],'Base Schedules'!$A:$AP,42,FALSE)),"")</f>
        <v/>
      </c>
      <c r="AR40" s="184" t="str">
        <f>IFERROR(IF(VLOOKUP(Sat_W2[[#This Row],[Employee Name]],'Base Schedules'!$A:$AQ,43,FALSE)="","",VLOOKUP(Sat_W2[[#This Row],[Employee Name]],'Base Schedules'!$A:$AQ,43,FALSE)),"")</f>
        <v/>
      </c>
      <c r="AS40" s="184" t="str">
        <f>IFERROR(IF(VLOOKUP(Sat_W2[[#This Row],[Employee Name]],'Base Schedules'!$A:$AR,44,FALSE)="","",VLOOKUP(Sat_W2[[#This Row],[Employee Name]],'Base Schedules'!$A:$AR,44,FALSE)),"")</f>
        <v/>
      </c>
      <c r="AT40" s="184" t="str">
        <f>IFERROR(IF(VLOOKUP(Sat_W2[[#This Row],[Employee Name]],'Base Schedules'!$A:$AS,45,FALSE)="","",VLOOKUP(Sat_W2[[#This Row],[Employee Name]],'Base Schedules'!$A:$AS,45,FALSE)),"")</f>
        <v/>
      </c>
      <c r="AU40" s="184" t="str">
        <f>IFERROR(IF(VLOOKUP(Sat_W2[[#This Row],[Employee Name]],'Base Schedules'!$A:$AT,46,FALSE)="","",VLOOKUP(Sat_W2[[#This Row],[Employee Name]],'Base Schedules'!$A:$AT,46,FALSE)),"")</f>
        <v/>
      </c>
      <c r="AV40" s="184" t="str">
        <f>IFERROR(IF(VLOOKUP(Sat_W2[[#This Row],[Employee Name]],'Base Schedules'!$A:$AU,47,FALSE)="","",VLOOKUP(Sat_W2[[#This Row],[Employee Name]],'Base Schedules'!$A:$AU,47,FALSE)),"")</f>
        <v/>
      </c>
      <c r="AW40" s="184" t="str">
        <f>IFERROR(IF(VLOOKUP(Sat_W2[[#This Row],[Employee Name]],'Base Schedules'!$A:$AV,48,FALSE)="","",VLOOKUP(Sat_W2[[#This Row],[Employee Name]],'Base Schedules'!$A:$AV,48,FALSE)),"")</f>
        <v/>
      </c>
      <c r="AX40" s="184" t="str">
        <f>IFERROR(IF(VLOOKUP(Sat_W1[[#This Row],[Employee Name]],'Base Schedules'!$A$46:$AW$77,49,FALSE)="","",VLOOKUP(Sat_W1[[#This Row],[Employee Name]],'Base Schedules'!$A$46:$AW$77,49,FALSE)),"")</f>
        <v/>
      </c>
      <c r="AY40" s="159" t="str">
        <f t="shared" si="2"/>
        <v/>
      </c>
    </row>
    <row r="41" spans="1:51" s="44" customFormat="1" ht="12" hidden="1" customHeight="1" x14ac:dyDescent="0.2">
      <c r="A41" s="39" t="str">
        <f>IF(B41="","",INDEX(TeamList[],MATCH($B41,TeamList[[Employee Name]:[Employee Name]],0),MATCH("Manager",TeamList[#Headers],0)))</f>
        <v/>
      </c>
      <c r="B41" s="201"/>
      <c r="C41" s="257" t="str">
        <f>_xlfn.IFNA(VLOOKUP(Sat_W2[[#This Row],[Employee Name]],'Base Schedules'!A:B,2,FALSE),"")</f>
        <v/>
      </c>
      <c r="D41" s="274" t="str">
        <f>_xlfn.IFNA(VLOOKUP(Sat_W2[[#This Row],[Employee Name]],'Base Schedules'!A:C,3,FALSE),"")</f>
        <v/>
      </c>
      <c r="E41" s="274" t="str">
        <f>_xlfn.IFNA(VLOOKUP(Sat_W2[[#This Row],[Employee Name]],'Base Schedules'!A:D,4,FALSE),"")</f>
        <v/>
      </c>
      <c r="F41" s="142" t="str">
        <f>IF(Sat_W2[[#This Row],[Employee Name]]="","",IF(Sat_W2[[#This Row],[Dept]]="Supervisor",COUNTIFS($J41:$AX41,"*HL*",$J41:$AX41,"&lt;&gt;"&amp;"pHL"),COUNTIFS($J41:$AX41,"*HL*",$J41:$AX41,"&lt;&gt;"&amp;"*pHL*",$J41:$AX41,"&lt;&gt;"&amp;"pB1 HL",$J41:$AX41,"&lt;&gt;"&amp;"pB2 HL")-SUM(COUNTIFS($J41:$AX41,"*HL B1*",$J41:$AX41,"&lt;&gt;"&amp;"pHL B1")*0.5,COUNTIFS($J41:$AX41,"*HL B2*",$J41:$AX41,"&lt;&gt;"&amp;"pHL B2")*0.5,COUNTIFS($J41:$AX41,"*B1 HL*",$J41:$AX41,"&lt;&gt;"&amp;"pB1 HL")*0.5,COUNTIFS($J41:$AX41,"*B2 HL*",$J41:$AX41,"&lt;&gt;"&amp;"pB2 HL")*0.5)))</f>
        <v/>
      </c>
      <c r="G41" s="142" t="str">
        <f t="shared" si="0"/>
        <v/>
      </c>
      <c r="H41" s="142" t="str">
        <f t="shared" si="1"/>
        <v/>
      </c>
      <c r="I41" s="142" t="str">
        <f>IF(Sat_W2[[#This Row],[Employee Name]]="","",IF(Sat_W2[[#This Row],[Dept]]="Supervisor",SUM(COUNTIFS($J41:$AX41,"RTA*",$J41:$AX41,"&lt;&gt;"&amp;"pRTA"),COUNTIFS($J41:$AX41,"*CRTA*",$J41:$AX41,"&lt;&gt;"&amp;"pCRTA")),COUNTIFS($J41:$AX41,"*RNNR*",$J41:$AX41,"&lt;&gt;"&amp;"*pRNNR*",$J41:$AX41,"&lt;&gt;"&amp;"pB1 RNNR",$J41:$AX41,"&lt;&gt;"&amp;"pB2 RNNR")-SUM(COUNTIFS($J41:$AX41,"*RNNR B1*",$J41:$AX41,"&lt;&gt;"&amp;"pRNNR B1")*0.5,COUNTIFS($J41:$AX41,"*RNNR B2*",$J41:$AX41,"&lt;&gt;"&amp;"pRNNR B2")*0.5,COUNTIFS($J41:$AX41,"*B1 RNNR*",$J41:$AX41,"&lt;&gt;"&amp;"pB1 RNNR")*0.5,COUNTIFS($J41:$AX41,"*B2 RNNR*",$J41:$AX41,"&lt;&gt;"&amp;"pB2 RNNR")*0.5)))</f>
        <v/>
      </c>
      <c r="J41" s="184" t="str">
        <f>IFERROR(IF(VLOOKUP(Sat_W2[[#This Row],[Employee Name]],'Base Schedules'!$A:$I,9,FALSE)="","",VLOOKUP(Sat_W2[[#This Row],[Employee Name]],'Base Schedules'!$A:$I,9,FALSE)),"")</f>
        <v/>
      </c>
      <c r="K41" s="184" t="str">
        <f>IFERROR(IF(VLOOKUP(Sat_W2[[#This Row],[Employee Name]],'Base Schedules'!$A:$J,10,FALSE)="","",VLOOKUP(Sat_W2[[#This Row],[Employee Name]],'Base Schedules'!$A:$J,10,FALSE)),"")</f>
        <v/>
      </c>
      <c r="L41" s="184" t="str">
        <f>IFERROR(IF(VLOOKUP(Sat_W2[[#This Row],[Employee Name]],'Base Schedules'!$A:$K,11,FALSE)="","",VLOOKUP(Sat_W2[[#This Row],[Employee Name]],'Base Schedules'!$A:$K,11,FALSE)),"")</f>
        <v/>
      </c>
      <c r="M41" s="184" t="str">
        <f>IFERROR(IF(VLOOKUP(Sat_W2[[#This Row],[Employee Name]],'Base Schedules'!$A:$L,12,FALSE)="","",VLOOKUP(Sat_W2[[#This Row],[Employee Name]],'Base Schedules'!$A:$L,12,FALSE)),"")</f>
        <v/>
      </c>
      <c r="N41" s="184" t="str">
        <f>IFERROR(IF(VLOOKUP(Sat_W2[[#This Row],[Employee Name]],'Base Schedules'!$A:$M,13,FALSE)="","",VLOOKUP(Sat_W2[[#This Row],[Employee Name]],'Base Schedules'!$A:$M,13,FALSE)),"")</f>
        <v/>
      </c>
      <c r="O41" s="184" t="str">
        <f>IFERROR(IF(VLOOKUP(Sat_W2[[#This Row],[Employee Name]],'Base Schedules'!$A:$N,14,FALSE)="","",VLOOKUP(Sat_W2[[#This Row],[Employee Name]],'Base Schedules'!$A:$N,14,FALSE)),"")</f>
        <v/>
      </c>
      <c r="P41" s="184" t="str">
        <f>IFERROR(IF(VLOOKUP(Sat_W2[[#This Row],[Employee Name]],'Base Schedules'!$A:$O,15,FALSE)="","",VLOOKUP(Sat_W2[[#This Row],[Employee Name]],'Base Schedules'!$A:$O,15,FALSE)),"")</f>
        <v/>
      </c>
      <c r="Q41" s="184" t="str">
        <f>IFERROR(IF(VLOOKUP(Sat_W2[[#This Row],[Employee Name]],'Base Schedules'!$A:$P,16,FALSE)="","",VLOOKUP(Sat_W2[[#This Row],[Employee Name]],'Base Schedules'!$A:$P,16,FALSE)),"")</f>
        <v/>
      </c>
      <c r="R41" s="184" t="str">
        <f>IFERROR(IF(VLOOKUP(Sat_W2[[#This Row],[Employee Name]],'Base Schedules'!$A:$Q,17,FALSE)="","",VLOOKUP(Sat_W2[[#This Row],[Employee Name]],'Base Schedules'!$A:$Q,17,FALSE)),"")</f>
        <v/>
      </c>
      <c r="S41" s="184" t="str">
        <f>IFERROR(IF(VLOOKUP(Sat_W2[[#This Row],[Employee Name]],'Base Schedules'!$A:$R,18,FALSE)="","",VLOOKUP(Sat_W2[[#This Row],[Employee Name]],'Base Schedules'!$A:$R,18,FALSE)),"")</f>
        <v/>
      </c>
      <c r="T41" s="184" t="str">
        <f>IFERROR(IF(VLOOKUP(Sat_W2[[#This Row],[Employee Name]],'Base Schedules'!$A:$S,19,FALSE)="","",VLOOKUP(Sat_W2[[#This Row],[Employee Name]],'Base Schedules'!$A:$S,19,FALSE)),"")</f>
        <v/>
      </c>
      <c r="U41" s="184" t="str">
        <f>IFERROR(IF(VLOOKUP(Sat_W2[[#This Row],[Employee Name]],'Base Schedules'!$A:$T,20,FALSE)="","",VLOOKUP(Sat_W2[[#This Row],[Employee Name]],'Base Schedules'!$A:$T,20,FALSE)),"")</f>
        <v/>
      </c>
      <c r="V41" s="184" t="str">
        <f>IFERROR(IF(VLOOKUP(Sat_W2[[#This Row],[Employee Name]],'Base Schedules'!$A:$U,21,FALSE)="","",VLOOKUP(Sat_W2[[#This Row],[Employee Name]],'Base Schedules'!$A:$U,21,FALSE)),"")</f>
        <v/>
      </c>
      <c r="W41" s="184" t="str">
        <f>IFERROR(IF(VLOOKUP(Sat_W2[[#This Row],[Employee Name]],'Base Schedules'!$A:$V,22,FALSE)="","",VLOOKUP(Sat_W2[[#This Row],[Employee Name]],'Base Schedules'!$A:$V,22,FALSE)),"")</f>
        <v/>
      </c>
      <c r="X41" s="184" t="str">
        <f>IFERROR(IF(VLOOKUP(Sat_W2[[#This Row],[Employee Name]],'Base Schedules'!$A:$W,23,FALSE)="","",VLOOKUP(Sat_W2[[#This Row],[Employee Name]],'Base Schedules'!$A:$W,23,FALSE)),"")</f>
        <v/>
      </c>
      <c r="Y41" s="184" t="str">
        <f>IFERROR(IF(VLOOKUP(Sat_W2[[#This Row],[Employee Name]],'Base Schedules'!$A:$X,24,FALSE)="","",VLOOKUP(Sat_W2[[#This Row],[Employee Name]],'Base Schedules'!$A:$X,24,FALSE)),"")</f>
        <v/>
      </c>
      <c r="Z41" s="184" t="str">
        <f>IFERROR(IF(VLOOKUP(Sat_W2[[#This Row],[Employee Name]],'Base Schedules'!$A:$Y,25,FALSE)="","",VLOOKUP(Sat_W2[[#This Row],[Employee Name]],'Base Schedules'!$A:$Y,25,FALSE)),"")</f>
        <v/>
      </c>
      <c r="AA41" s="184" t="str">
        <f>IFERROR(IF(VLOOKUP(Sat_W2[[#This Row],[Employee Name]],'Base Schedules'!$A:$Z,26,FALSE)="","",VLOOKUP(Sat_W2[[#This Row],[Employee Name]],'Base Schedules'!$A:$Z,26,FALSE)),"")</f>
        <v/>
      </c>
      <c r="AB41" s="184" t="str">
        <f>IFERROR(IF(VLOOKUP(Sat_W2[[#This Row],[Employee Name]],'Base Schedules'!$A:$AA,27,FALSE)="","",VLOOKUP(Sat_W2[[#This Row],[Employee Name]],'Base Schedules'!$A:$AA,27,FALSE)),"")</f>
        <v/>
      </c>
      <c r="AC41" s="184" t="str">
        <f>IFERROR(IF(VLOOKUP(Sat_W2[[#This Row],[Employee Name]],'Base Schedules'!$A:$AB,28,FALSE)="","",VLOOKUP(Sat_W2[[#This Row],[Employee Name]],'Base Schedules'!$A:$AB,28,FALSE)),"")</f>
        <v/>
      </c>
      <c r="AD41" s="184" t="str">
        <f>IFERROR(IF(VLOOKUP(Sat_W2[[#This Row],[Employee Name]],'Base Schedules'!$A:$AC,29,FALSE)="","",VLOOKUP(Sat_W2[[#This Row],[Employee Name]],'Base Schedules'!$A:$AC,29,FALSE)),"")</f>
        <v/>
      </c>
      <c r="AE41" s="184" t="str">
        <f>IFERROR(IF(VLOOKUP(Sat_W2[[#This Row],[Employee Name]],'Base Schedules'!$A:$AD,30,FALSE)="","",VLOOKUP(Sat_W2[[#This Row],[Employee Name]],'Base Schedules'!$A:$AD,30,FALSE)),"")</f>
        <v/>
      </c>
      <c r="AF41" s="184" t="str">
        <f>IFERROR(IF(VLOOKUP(Sat_W2[[#This Row],[Employee Name]],'Base Schedules'!$A:$AE,31,FALSE)="","",VLOOKUP(Sat_W2[[#This Row],[Employee Name]],'Base Schedules'!$A:$AE,31,FALSE)),"")</f>
        <v/>
      </c>
      <c r="AG41" s="184" t="str">
        <f>IFERROR(IF(VLOOKUP(Sat_W2[[#This Row],[Employee Name]],'Base Schedules'!$A:$AF,32,FALSE)="","",VLOOKUP(Sat_W2[[#This Row],[Employee Name]],'Base Schedules'!$A:$AF,32,FALSE)),"")</f>
        <v/>
      </c>
      <c r="AH41" s="184" t="str">
        <f>IFERROR(IF(VLOOKUP(Sat_W2[[#This Row],[Employee Name]],'Base Schedules'!$A:$AG,33,FALSE)="","",VLOOKUP(Sat_W2[[#This Row],[Employee Name]],'Base Schedules'!$A:$AG,33,FALSE)),"")</f>
        <v/>
      </c>
      <c r="AI41" s="184" t="str">
        <f>IFERROR(IF(VLOOKUP(Sat_W2[[#This Row],[Employee Name]],'Base Schedules'!$A:$AH,34,FALSE)="","",VLOOKUP(Sat_W2[[#This Row],[Employee Name]],'Base Schedules'!$A:$AH,34,FALSE)),"")</f>
        <v/>
      </c>
      <c r="AJ41" s="184" t="str">
        <f>IFERROR(IF(VLOOKUP(Sat_W2[[#This Row],[Employee Name]],'Base Schedules'!$A:$AI,35,FALSE)="","",VLOOKUP(Sat_W2[[#This Row],[Employee Name]],'Base Schedules'!$A:$AI,35,FALSE)),"")</f>
        <v/>
      </c>
      <c r="AK41" s="184" t="str">
        <f>IFERROR(IF(VLOOKUP(Sat_W2[[#This Row],[Employee Name]],'Base Schedules'!$A:$AJ,36,FALSE)="","",VLOOKUP(Sat_W2[[#This Row],[Employee Name]],'Base Schedules'!$A:$AJ,36,FALSE)),"")</f>
        <v/>
      </c>
      <c r="AL41" s="184" t="str">
        <f>IFERROR(IF(VLOOKUP(Sat_W2[[#This Row],[Employee Name]],'Base Schedules'!$A:$AK,37,FALSE)="","",VLOOKUP(Sat_W2[[#This Row],[Employee Name]],'Base Schedules'!$A:$AK,37,FALSE)),"")</f>
        <v/>
      </c>
      <c r="AM41" s="184" t="str">
        <f>IFERROR(IF(VLOOKUP(Sat_W2[[#This Row],[Employee Name]],'Base Schedules'!$A:$AL,38,FALSE)="","",VLOOKUP(Sat_W2[[#This Row],[Employee Name]],'Base Schedules'!$A:$AL,38,FALSE)),"")</f>
        <v/>
      </c>
      <c r="AN41" s="184" t="str">
        <f>IFERROR(IF(VLOOKUP(Sat_W2[[#This Row],[Employee Name]],'Base Schedules'!$A:$AM,39,FALSE)="","",VLOOKUP(Sat_W2[[#This Row],[Employee Name]],'Base Schedules'!$A:$AM,39,FALSE)),"")</f>
        <v/>
      </c>
      <c r="AO41" s="184" t="str">
        <f>IFERROR(IF(VLOOKUP(Sat_W2[[#This Row],[Employee Name]],'Base Schedules'!$A:$AN,40,FALSE)="","",VLOOKUP(Sat_W2[[#This Row],[Employee Name]],'Base Schedules'!$A:$AN,40,FALSE)),"")</f>
        <v/>
      </c>
      <c r="AP41" s="184" t="str">
        <f>IFERROR(IF(VLOOKUP(Sat_W2[[#This Row],[Employee Name]],'Base Schedules'!$A:$AO,41,FALSE)="","",VLOOKUP(Sat_W2[[#This Row],[Employee Name]],'Base Schedules'!$A:$AO,41,FALSE)),"")</f>
        <v/>
      </c>
      <c r="AQ41" s="184" t="str">
        <f>IFERROR(IF(VLOOKUP(Sat_W2[[#This Row],[Employee Name]],'Base Schedules'!$A:$AP,42,FALSE)="","",VLOOKUP(Sat_W2[[#This Row],[Employee Name]],'Base Schedules'!$A:$AP,42,FALSE)),"")</f>
        <v/>
      </c>
      <c r="AR41" s="184" t="str">
        <f>IFERROR(IF(VLOOKUP(Sat_W2[[#This Row],[Employee Name]],'Base Schedules'!$A:$AQ,43,FALSE)="","",VLOOKUP(Sat_W2[[#This Row],[Employee Name]],'Base Schedules'!$A:$AQ,43,FALSE)),"")</f>
        <v/>
      </c>
      <c r="AS41" s="184" t="str">
        <f>IFERROR(IF(VLOOKUP(Sat_W2[[#This Row],[Employee Name]],'Base Schedules'!$A:$AR,44,FALSE)="","",VLOOKUP(Sat_W2[[#This Row],[Employee Name]],'Base Schedules'!$A:$AR,44,FALSE)),"")</f>
        <v/>
      </c>
      <c r="AT41" s="184" t="str">
        <f>IFERROR(IF(VLOOKUP(Sat_W2[[#This Row],[Employee Name]],'Base Schedules'!$A:$AS,45,FALSE)="","",VLOOKUP(Sat_W2[[#This Row],[Employee Name]],'Base Schedules'!$A:$AS,45,FALSE)),"")</f>
        <v/>
      </c>
      <c r="AU41" s="184" t="str">
        <f>IFERROR(IF(VLOOKUP(Sat_W2[[#This Row],[Employee Name]],'Base Schedules'!$A:$AT,46,FALSE)="","",VLOOKUP(Sat_W2[[#This Row],[Employee Name]],'Base Schedules'!$A:$AT,46,FALSE)),"")</f>
        <v/>
      </c>
      <c r="AV41" s="184" t="str">
        <f>IFERROR(IF(VLOOKUP(Sat_W2[[#This Row],[Employee Name]],'Base Schedules'!$A:$AU,47,FALSE)="","",VLOOKUP(Sat_W2[[#This Row],[Employee Name]],'Base Schedules'!$A:$AU,47,FALSE)),"")</f>
        <v/>
      </c>
      <c r="AW41" s="184" t="str">
        <f>IFERROR(IF(VLOOKUP(Sat_W2[[#This Row],[Employee Name]],'Base Schedules'!$A:$AV,48,FALSE)="","",VLOOKUP(Sat_W2[[#This Row],[Employee Name]],'Base Schedules'!$A:$AV,48,FALSE)),"")</f>
        <v/>
      </c>
      <c r="AX41" s="184" t="str">
        <f>IFERROR(IF(VLOOKUP(Sat_W1[[#This Row],[Employee Name]],'Base Schedules'!$A$46:$AW$77,49,FALSE)="","",VLOOKUP(Sat_W1[[#This Row],[Employee Name]],'Base Schedules'!$A$46:$AW$77,49,FALSE)),"")</f>
        <v/>
      </c>
      <c r="AY41" s="160" t="str">
        <f t="shared" si="2"/>
        <v/>
      </c>
    </row>
    <row r="42" spans="1:51" s="44" customFormat="1" ht="12" hidden="1" customHeight="1" x14ac:dyDescent="0.2">
      <c r="A42" s="39" t="str">
        <f>IF(B42="","",INDEX(TeamList[],MATCH($B42,TeamList[[Employee Name]:[Employee Name]],0),MATCH("Manager",TeamList[#Headers],0)))</f>
        <v/>
      </c>
      <c r="B42" s="201"/>
      <c r="C42" s="257" t="str">
        <f>_xlfn.IFNA(VLOOKUP(Sat_W2[[#This Row],[Employee Name]],'Base Schedules'!A:B,2,FALSE),"")</f>
        <v/>
      </c>
      <c r="D42" s="274" t="str">
        <f>_xlfn.IFNA(VLOOKUP(Sat_W2[[#This Row],[Employee Name]],'Base Schedules'!A:C,3,FALSE),"")</f>
        <v/>
      </c>
      <c r="E42" s="274" t="str">
        <f>_xlfn.IFNA(VLOOKUP(Sat_W2[[#This Row],[Employee Name]],'Base Schedules'!A:D,4,FALSE),"")</f>
        <v/>
      </c>
      <c r="F42" s="142" t="str">
        <f>IF(Sat_W2[[#This Row],[Employee Name]]="","",IF(Sat_W2[[#This Row],[Dept]]="Supervisor",COUNTIFS($J42:$AX42,"*HL*",$J42:$AX42,"&lt;&gt;"&amp;"pHL"),COUNTIFS($J42:$AX42,"*HL*",$J42:$AX42,"&lt;&gt;"&amp;"*pHL*",$J42:$AX42,"&lt;&gt;"&amp;"pB1 HL",$J42:$AX42,"&lt;&gt;"&amp;"pB2 HL")-SUM(COUNTIFS($J42:$AX42,"*HL B1*",$J42:$AX42,"&lt;&gt;"&amp;"pHL B1")*0.5,COUNTIFS($J42:$AX42,"*HL B2*",$J42:$AX42,"&lt;&gt;"&amp;"pHL B2")*0.5,COUNTIFS($J42:$AX42,"*B1 HL*",$J42:$AX42,"&lt;&gt;"&amp;"pB1 HL")*0.5,COUNTIFS($J42:$AX42,"*B2 HL*",$J42:$AX42,"&lt;&gt;"&amp;"pB2 HL")*0.5)))</f>
        <v/>
      </c>
      <c r="G42" s="142" t="str">
        <f t="shared" si="0"/>
        <v/>
      </c>
      <c r="H42" s="142" t="str">
        <f t="shared" si="1"/>
        <v/>
      </c>
      <c r="I42" s="142" t="str">
        <f>IF(Sat_W2[[#This Row],[Employee Name]]="","",IF(Sat_W2[[#This Row],[Dept]]="Supervisor",SUM(COUNTIFS($J42:$AX42,"RTA*",$J42:$AX42,"&lt;&gt;"&amp;"pRTA"),COUNTIFS($J42:$AX42,"*CRTA*",$J42:$AX42,"&lt;&gt;"&amp;"pCRTA")),COUNTIFS($J42:$AX42,"*RNNR*",$J42:$AX42,"&lt;&gt;"&amp;"*pRNNR*",$J42:$AX42,"&lt;&gt;"&amp;"pB1 RNNR",$J42:$AX42,"&lt;&gt;"&amp;"pB2 RNNR")-SUM(COUNTIFS($J42:$AX42,"*RNNR B1*",$J42:$AX42,"&lt;&gt;"&amp;"pRNNR B1")*0.5,COUNTIFS($J42:$AX42,"*RNNR B2*",$J42:$AX42,"&lt;&gt;"&amp;"pRNNR B2")*0.5,COUNTIFS($J42:$AX42,"*B1 RNNR*",$J42:$AX42,"&lt;&gt;"&amp;"pB1 RNNR")*0.5,COUNTIFS($J42:$AX42,"*B2 RNNR*",$J42:$AX42,"&lt;&gt;"&amp;"pB2 RNNR")*0.5)))</f>
        <v/>
      </c>
      <c r="J42" s="184" t="str">
        <f>IFERROR(IF(VLOOKUP(Sat_W2[[#This Row],[Employee Name]],'Base Schedules'!$A:$I,9,FALSE)="","",VLOOKUP(Sat_W2[[#This Row],[Employee Name]],'Base Schedules'!$A:$I,9,FALSE)),"")</f>
        <v/>
      </c>
      <c r="K42" s="184" t="str">
        <f>IFERROR(IF(VLOOKUP(Sat_W2[[#This Row],[Employee Name]],'Base Schedules'!$A:$J,10,FALSE)="","",VLOOKUP(Sat_W2[[#This Row],[Employee Name]],'Base Schedules'!$A:$J,10,FALSE)),"")</f>
        <v/>
      </c>
      <c r="L42" s="184" t="str">
        <f>IFERROR(IF(VLOOKUP(Sat_W2[[#This Row],[Employee Name]],'Base Schedules'!$A:$K,11,FALSE)="","",VLOOKUP(Sat_W2[[#This Row],[Employee Name]],'Base Schedules'!$A:$K,11,FALSE)),"")</f>
        <v/>
      </c>
      <c r="M42" s="184" t="str">
        <f>IFERROR(IF(VLOOKUP(Sat_W2[[#This Row],[Employee Name]],'Base Schedules'!$A:$L,12,FALSE)="","",VLOOKUP(Sat_W2[[#This Row],[Employee Name]],'Base Schedules'!$A:$L,12,FALSE)),"")</f>
        <v/>
      </c>
      <c r="N42" s="184" t="str">
        <f>IFERROR(IF(VLOOKUP(Sat_W2[[#This Row],[Employee Name]],'Base Schedules'!$A:$M,13,FALSE)="","",VLOOKUP(Sat_W2[[#This Row],[Employee Name]],'Base Schedules'!$A:$M,13,FALSE)),"")</f>
        <v/>
      </c>
      <c r="O42" s="184" t="str">
        <f>IFERROR(IF(VLOOKUP(Sat_W2[[#This Row],[Employee Name]],'Base Schedules'!$A:$N,14,FALSE)="","",VLOOKUP(Sat_W2[[#This Row],[Employee Name]],'Base Schedules'!$A:$N,14,FALSE)),"")</f>
        <v/>
      </c>
      <c r="P42" s="184" t="str">
        <f>IFERROR(IF(VLOOKUP(Sat_W2[[#This Row],[Employee Name]],'Base Schedules'!$A:$O,15,FALSE)="","",VLOOKUP(Sat_W2[[#This Row],[Employee Name]],'Base Schedules'!$A:$O,15,FALSE)),"")</f>
        <v/>
      </c>
      <c r="Q42" s="184" t="str">
        <f>IFERROR(IF(VLOOKUP(Sat_W2[[#This Row],[Employee Name]],'Base Schedules'!$A:$P,16,FALSE)="","",VLOOKUP(Sat_W2[[#This Row],[Employee Name]],'Base Schedules'!$A:$P,16,FALSE)),"")</f>
        <v/>
      </c>
      <c r="R42" s="184" t="str">
        <f>IFERROR(IF(VLOOKUP(Sat_W2[[#This Row],[Employee Name]],'Base Schedules'!$A:$Q,17,FALSE)="","",VLOOKUP(Sat_W2[[#This Row],[Employee Name]],'Base Schedules'!$A:$Q,17,FALSE)),"")</f>
        <v/>
      </c>
      <c r="S42" s="184" t="str">
        <f>IFERROR(IF(VLOOKUP(Sat_W2[[#This Row],[Employee Name]],'Base Schedules'!$A:$R,18,FALSE)="","",VLOOKUP(Sat_W2[[#This Row],[Employee Name]],'Base Schedules'!$A:$R,18,FALSE)),"")</f>
        <v/>
      </c>
      <c r="T42" s="184" t="str">
        <f>IFERROR(IF(VLOOKUP(Sat_W2[[#This Row],[Employee Name]],'Base Schedules'!$A:$S,19,FALSE)="","",VLOOKUP(Sat_W2[[#This Row],[Employee Name]],'Base Schedules'!$A:$S,19,FALSE)),"")</f>
        <v/>
      </c>
      <c r="U42" s="184" t="str">
        <f>IFERROR(IF(VLOOKUP(Sat_W2[[#This Row],[Employee Name]],'Base Schedules'!$A:$T,20,FALSE)="","",VLOOKUP(Sat_W2[[#This Row],[Employee Name]],'Base Schedules'!$A:$T,20,FALSE)),"")</f>
        <v/>
      </c>
      <c r="V42" s="184" t="str">
        <f>IFERROR(IF(VLOOKUP(Sat_W2[[#This Row],[Employee Name]],'Base Schedules'!$A:$U,21,FALSE)="","",VLOOKUP(Sat_W2[[#This Row],[Employee Name]],'Base Schedules'!$A:$U,21,FALSE)),"")</f>
        <v/>
      </c>
      <c r="W42" s="184" t="str">
        <f>IFERROR(IF(VLOOKUP(Sat_W2[[#This Row],[Employee Name]],'Base Schedules'!$A:$V,22,FALSE)="","",VLOOKUP(Sat_W2[[#This Row],[Employee Name]],'Base Schedules'!$A:$V,22,FALSE)),"")</f>
        <v/>
      </c>
      <c r="X42" s="184" t="str">
        <f>IFERROR(IF(VLOOKUP(Sat_W2[[#This Row],[Employee Name]],'Base Schedules'!$A:$W,23,FALSE)="","",VLOOKUP(Sat_W2[[#This Row],[Employee Name]],'Base Schedules'!$A:$W,23,FALSE)),"")</f>
        <v/>
      </c>
      <c r="Y42" s="184" t="str">
        <f>IFERROR(IF(VLOOKUP(Sat_W2[[#This Row],[Employee Name]],'Base Schedules'!$A:$X,24,FALSE)="","",VLOOKUP(Sat_W2[[#This Row],[Employee Name]],'Base Schedules'!$A:$X,24,FALSE)),"")</f>
        <v/>
      </c>
      <c r="Z42" s="184" t="str">
        <f>IFERROR(IF(VLOOKUP(Sat_W2[[#This Row],[Employee Name]],'Base Schedules'!$A:$Y,25,FALSE)="","",VLOOKUP(Sat_W2[[#This Row],[Employee Name]],'Base Schedules'!$A:$Y,25,FALSE)),"")</f>
        <v/>
      </c>
      <c r="AA42" s="184" t="str">
        <f>IFERROR(IF(VLOOKUP(Sat_W2[[#This Row],[Employee Name]],'Base Schedules'!$A:$Z,26,FALSE)="","",VLOOKUP(Sat_W2[[#This Row],[Employee Name]],'Base Schedules'!$A:$Z,26,FALSE)),"")</f>
        <v/>
      </c>
      <c r="AB42" s="184" t="str">
        <f>IFERROR(IF(VLOOKUP(Sat_W2[[#This Row],[Employee Name]],'Base Schedules'!$A:$AA,27,FALSE)="","",VLOOKUP(Sat_W2[[#This Row],[Employee Name]],'Base Schedules'!$A:$AA,27,FALSE)),"")</f>
        <v/>
      </c>
      <c r="AC42" s="184" t="str">
        <f>IFERROR(IF(VLOOKUP(Sat_W2[[#This Row],[Employee Name]],'Base Schedules'!$A:$AB,28,FALSE)="","",VLOOKUP(Sat_W2[[#This Row],[Employee Name]],'Base Schedules'!$A:$AB,28,FALSE)),"")</f>
        <v/>
      </c>
      <c r="AD42" s="184" t="str">
        <f>IFERROR(IF(VLOOKUP(Sat_W2[[#This Row],[Employee Name]],'Base Schedules'!$A:$AC,29,FALSE)="","",VLOOKUP(Sat_W2[[#This Row],[Employee Name]],'Base Schedules'!$A:$AC,29,FALSE)),"")</f>
        <v/>
      </c>
      <c r="AE42" s="184" t="str">
        <f>IFERROR(IF(VLOOKUP(Sat_W2[[#This Row],[Employee Name]],'Base Schedules'!$A:$AD,30,FALSE)="","",VLOOKUP(Sat_W2[[#This Row],[Employee Name]],'Base Schedules'!$A:$AD,30,FALSE)),"")</f>
        <v/>
      </c>
      <c r="AF42" s="184" t="str">
        <f>IFERROR(IF(VLOOKUP(Sat_W2[[#This Row],[Employee Name]],'Base Schedules'!$A:$AE,31,FALSE)="","",VLOOKUP(Sat_W2[[#This Row],[Employee Name]],'Base Schedules'!$A:$AE,31,FALSE)),"")</f>
        <v/>
      </c>
      <c r="AG42" s="184" t="str">
        <f>IFERROR(IF(VLOOKUP(Sat_W2[[#This Row],[Employee Name]],'Base Schedules'!$A:$AF,32,FALSE)="","",VLOOKUP(Sat_W2[[#This Row],[Employee Name]],'Base Schedules'!$A:$AF,32,FALSE)),"")</f>
        <v/>
      </c>
      <c r="AH42" s="184" t="str">
        <f>IFERROR(IF(VLOOKUP(Sat_W2[[#This Row],[Employee Name]],'Base Schedules'!$A:$AG,33,FALSE)="","",VLOOKUP(Sat_W2[[#This Row],[Employee Name]],'Base Schedules'!$A:$AG,33,FALSE)),"")</f>
        <v/>
      </c>
      <c r="AI42" s="184" t="str">
        <f>IFERROR(IF(VLOOKUP(Sat_W2[[#This Row],[Employee Name]],'Base Schedules'!$A:$AH,34,FALSE)="","",VLOOKUP(Sat_W2[[#This Row],[Employee Name]],'Base Schedules'!$A:$AH,34,FALSE)),"")</f>
        <v/>
      </c>
      <c r="AJ42" s="184" t="str">
        <f>IFERROR(IF(VLOOKUP(Sat_W2[[#This Row],[Employee Name]],'Base Schedules'!$A:$AI,35,FALSE)="","",VLOOKUP(Sat_W2[[#This Row],[Employee Name]],'Base Schedules'!$A:$AI,35,FALSE)),"")</f>
        <v/>
      </c>
      <c r="AK42" s="184" t="str">
        <f>IFERROR(IF(VLOOKUP(Sat_W2[[#This Row],[Employee Name]],'Base Schedules'!$A:$AJ,36,FALSE)="","",VLOOKUP(Sat_W2[[#This Row],[Employee Name]],'Base Schedules'!$A:$AJ,36,FALSE)),"")</f>
        <v/>
      </c>
      <c r="AL42" s="184" t="str">
        <f>IFERROR(IF(VLOOKUP(Sat_W2[[#This Row],[Employee Name]],'Base Schedules'!$A:$AK,37,FALSE)="","",VLOOKUP(Sat_W2[[#This Row],[Employee Name]],'Base Schedules'!$A:$AK,37,FALSE)),"")</f>
        <v/>
      </c>
      <c r="AM42" s="184" t="str">
        <f>IFERROR(IF(VLOOKUP(Sat_W2[[#This Row],[Employee Name]],'Base Schedules'!$A:$AL,38,FALSE)="","",VLOOKUP(Sat_W2[[#This Row],[Employee Name]],'Base Schedules'!$A:$AL,38,FALSE)),"")</f>
        <v/>
      </c>
      <c r="AN42" s="184" t="str">
        <f>IFERROR(IF(VLOOKUP(Sat_W2[[#This Row],[Employee Name]],'Base Schedules'!$A:$AM,39,FALSE)="","",VLOOKUP(Sat_W2[[#This Row],[Employee Name]],'Base Schedules'!$A:$AM,39,FALSE)),"")</f>
        <v/>
      </c>
      <c r="AO42" s="184" t="str">
        <f>IFERROR(IF(VLOOKUP(Sat_W2[[#This Row],[Employee Name]],'Base Schedules'!$A:$AN,40,FALSE)="","",VLOOKUP(Sat_W2[[#This Row],[Employee Name]],'Base Schedules'!$A:$AN,40,FALSE)),"")</f>
        <v/>
      </c>
      <c r="AP42" s="184" t="str">
        <f>IFERROR(IF(VLOOKUP(Sat_W2[[#This Row],[Employee Name]],'Base Schedules'!$A:$AO,41,FALSE)="","",VLOOKUP(Sat_W2[[#This Row],[Employee Name]],'Base Schedules'!$A:$AO,41,FALSE)),"")</f>
        <v/>
      </c>
      <c r="AQ42" s="184" t="str">
        <f>IFERROR(IF(VLOOKUP(Sat_W2[[#This Row],[Employee Name]],'Base Schedules'!$A:$AP,42,FALSE)="","",VLOOKUP(Sat_W2[[#This Row],[Employee Name]],'Base Schedules'!$A:$AP,42,FALSE)),"")</f>
        <v/>
      </c>
      <c r="AR42" s="184" t="str">
        <f>IFERROR(IF(VLOOKUP(Sat_W2[[#This Row],[Employee Name]],'Base Schedules'!$A:$AQ,43,FALSE)="","",VLOOKUP(Sat_W2[[#This Row],[Employee Name]],'Base Schedules'!$A:$AQ,43,FALSE)),"")</f>
        <v/>
      </c>
      <c r="AS42" s="184" t="str">
        <f>IFERROR(IF(VLOOKUP(Sat_W2[[#This Row],[Employee Name]],'Base Schedules'!$A:$AR,44,FALSE)="","",VLOOKUP(Sat_W2[[#This Row],[Employee Name]],'Base Schedules'!$A:$AR,44,FALSE)),"")</f>
        <v/>
      </c>
      <c r="AT42" s="184" t="str">
        <f>IFERROR(IF(VLOOKUP(Sat_W2[[#This Row],[Employee Name]],'Base Schedules'!$A:$AS,45,FALSE)="","",VLOOKUP(Sat_W2[[#This Row],[Employee Name]],'Base Schedules'!$A:$AS,45,FALSE)),"")</f>
        <v/>
      </c>
      <c r="AU42" s="184" t="str">
        <f>IFERROR(IF(VLOOKUP(Sat_W2[[#This Row],[Employee Name]],'Base Schedules'!$A:$AT,46,FALSE)="","",VLOOKUP(Sat_W2[[#This Row],[Employee Name]],'Base Schedules'!$A:$AT,46,FALSE)),"")</f>
        <v/>
      </c>
      <c r="AV42" s="184" t="str">
        <f>IFERROR(IF(VLOOKUP(Sat_W2[[#This Row],[Employee Name]],'Base Schedules'!$A:$AU,47,FALSE)="","",VLOOKUP(Sat_W2[[#This Row],[Employee Name]],'Base Schedules'!$A:$AU,47,FALSE)),"")</f>
        <v/>
      </c>
      <c r="AW42" s="184" t="str">
        <f>IFERROR(IF(VLOOKUP(Sat_W2[[#This Row],[Employee Name]],'Base Schedules'!$A:$AV,48,FALSE)="","",VLOOKUP(Sat_W2[[#This Row],[Employee Name]],'Base Schedules'!$A:$AV,48,FALSE)),"")</f>
        <v/>
      </c>
      <c r="AX42" s="184" t="str">
        <f>IFERROR(IF(VLOOKUP(Sat_W1[[#This Row],[Employee Name]],'Base Schedules'!$A$46:$AW$77,49,FALSE)="","",VLOOKUP(Sat_W1[[#This Row],[Employee Name]],'Base Schedules'!$A$46:$AW$77,49,FALSE)),"")</f>
        <v/>
      </c>
      <c r="AY42" s="160" t="str">
        <f t="shared" si="2"/>
        <v/>
      </c>
    </row>
    <row r="43" spans="1:51" s="44" customFormat="1" ht="12" hidden="1" customHeight="1" x14ac:dyDescent="0.2">
      <c r="A43" s="39" t="str">
        <f>IF(B43="","",INDEX(TeamList[],MATCH($B43,TeamList[[Employee Name]:[Employee Name]],0),MATCH("Manager",TeamList[#Headers],0)))</f>
        <v/>
      </c>
      <c r="B43" s="201"/>
      <c r="C43" s="257" t="str">
        <f>_xlfn.IFNA(VLOOKUP(Sat_W2[[#This Row],[Employee Name]],'Base Schedules'!A:B,2,FALSE),"")</f>
        <v/>
      </c>
      <c r="D43" s="274" t="str">
        <f>_xlfn.IFNA(VLOOKUP(Sat_W2[[#This Row],[Employee Name]],'Base Schedules'!A:C,3,FALSE),"")</f>
        <v/>
      </c>
      <c r="E43" s="274" t="str">
        <f>_xlfn.IFNA(VLOOKUP(Sat_W2[[#This Row],[Employee Name]],'Base Schedules'!A:D,4,FALSE),"")</f>
        <v/>
      </c>
      <c r="F43" s="142" t="str">
        <f>IF(Sat_W2[[#This Row],[Employee Name]]="","",IF(Sat_W2[[#This Row],[Dept]]="Supervisor",COUNTIFS($J43:$AX43,"*HL*",$J43:$AX43,"&lt;&gt;"&amp;"pHL"),COUNTIFS($J43:$AX43,"*HL*",$J43:$AX43,"&lt;&gt;"&amp;"*pHL*",$J43:$AX43,"&lt;&gt;"&amp;"pB1 HL",$J43:$AX43,"&lt;&gt;"&amp;"pB2 HL")-SUM(COUNTIFS($J43:$AX43,"*HL B1*",$J43:$AX43,"&lt;&gt;"&amp;"pHL B1")*0.5,COUNTIFS($J43:$AX43,"*HL B2*",$J43:$AX43,"&lt;&gt;"&amp;"pHL B2")*0.5,COUNTIFS($J43:$AX43,"*B1 HL*",$J43:$AX43,"&lt;&gt;"&amp;"pB1 HL")*0.5,COUNTIFS($J43:$AX43,"*B2 HL*",$J43:$AX43,"&lt;&gt;"&amp;"pB2 HL")*0.5)))</f>
        <v/>
      </c>
      <c r="G43" s="142" t="str">
        <f t="shared" si="0"/>
        <v/>
      </c>
      <c r="H43" s="142" t="str">
        <f t="shared" si="1"/>
        <v/>
      </c>
      <c r="I43" s="142" t="str">
        <f>IF(Sat_W2[[#This Row],[Employee Name]]="","",IF(Sat_W2[[#This Row],[Dept]]="Supervisor",SUM(COUNTIFS($J43:$AX43,"RTA*",$J43:$AX43,"&lt;&gt;"&amp;"pRTA"),COUNTIFS($J43:$AX43,"*CRTA*",$J43:$AX43,"&lt;&gt;"&amp;"pCRTA")),COUNTIFS($J43:$AX43,"*RNNR*",$J43:$AX43,"&lt;&gt;"&amp;"*pRNNR*",$J43:$AX43,"&lt;&gt;"&amp;"pB1 RNNR",$J43:$AX43,"&lt;&gt;"&amp;"pB2 RNNR")-SUM(COUNTIFS($J43:$AX43,"*RNNR B1*",$J43:$AX43,"&lt;&gt;"&amp;"pRNNR B1")*0.5,COUNTIFS($J43:$AX43,"*RNNR B2*",$J43:$AX43,"&lt;&gt;"&amp;"pRNNR B2")*0.5,COUNTIFS($J43:$AX43,"*B1 RNNR*",$J43:$AX43,"&lt;&gt;"&amp;"pB1 RNNR")*0.5,COUNTIFS($J43:$AX43,"*B2 RNNR*",$J43:$AX43,"&lt;&gt;"&amp;"pB2 RNNR")*0.5)))</f>
        <v/>
      </c>
      <c r="J43" s="184" t="str">
        <f>IFERROR(IF(VLOOKUP(Sat_W2[[#This Row],[Employee Name]],'Base Schedules'!$A:$I,9,FALSE)="","",VLOOKUP(Sat_W2[[#This Row],[Employee Name]],'Base Schedules'!$A:$I,9,FALSE)),"")</f>
        <v/>
      </c>
      <c r="K43" s="184" t="str">
        <f>IFERROR(IF(VLOOKUP(Sat_W2[[#This Row],[Employee Name]],'Base Schedules'!$A:$J,10,FALSE)="","",VLOOKUP(Sat_W2[[#This Row],[Employee Name]],'Base Schedules'!$A:$J,10,FALSE)),"")</f>
        <v/>
      </c>
      <c r="L43" s="184" t="str">
        <f>IFERROR(IF(VLOOKUP(Sat_W2[[#This Row],[Employee Name]],'Base Schedules'!$A:$K,11,FALSE)="","",VLOOKUP(Sat_W2[[#This Row],[Employee Name]],'Base Schedules'!$A:$K,11,FALSE)),"")</f>
        <v/>
      </c>
      <c r="M43" s="184" t="str">
        <f>IFERROR(IF(VLOOKUP(Sat_W2[[#This Row],[Employee Name]],'Base Schedules'!$A:$L,12,FALSE)="","",VLOOKUP(Sat_W2[[#This Row],[Employee Name]],'Base Schedules'!$A:$L,12,FALSE)),"")</f>
        <v/>
      </c>
      <c r="N43" s="184" t="str">
        <f>IFERROR(IF(VLOOKUP(Sat_W2[[#This Row],[Employee Name]],'Base Schedules'!$A:$M,13,FALSE)="","",VLOOKUP(Sat_W2[[#This Row],[Employee Name]],'Base Schedules'!$A:$M,13,FALSE)),"")</f>
        <v/>
      </c>
      <c r="O43" s="184" t="str">
        <f>IFERROR(IF(VLOOKUP(Sat_W2[[#This Row],[Employee Name]],'Base Schedules'!$A:$N,14,FALSE)="","",VLOOKUP(Sat_W2[[#This Row],[Employee Name]],'Base Schedules'!$A:$N,14,FALSE)),"")</f>
        <v/>
      </c>
      <c r="P43" s="184" t="str">
        <f>IFERROR(IF(VLOOKUP(Sat_W2[[#This Row],[Employee Name]],'Base Schedules'!$A:$O,15,FALSE)="","",VLOOKUP(Sat_W2[[#This Row],[Employee Name]],'Base Schedules'!$A:$O,15,FALSE)),"")</f>
        <v/>
      </c>
      <c r="Q43" s="184" t="str">
        <f>IFERROR(IF(VLOOKUP(Sat_W2[[#This Row],[Employee Name]],'Base Schedules'!$A:$P,16,FALSE)="","",VLOOKUP(Sat_W2[[#This Row],[Employee Name]],'Base Schedules'!$A:$P,16,FALSE)),"")</f>
        <v/>
      </c>
      <c r="R43" s="184" t="str">
        <f>IFERROR(IF(VLOOKUP(Sat_W2[[#This Row],[Employee Name]],'Base Schedules'!$A:$Q,17,FALSE)="","",VLOOKUP(Sat_W2[[#This Row],[Employee Name]],'Base Schedules'!$A:$Q,17,FALSE)),"")</f>
        <v/>
      </c>
      <c r="S43" s="184" t="str">
        <f>IFERROR(IF(VLOOKUP(Sat_W2[[#This Row],[Employee Name]],'Base Schedules'!$A:$R,18,FALSE)="","",VLOOKUP(Sat_W2[[#This Row],[Employee Name]],'Base Schedules'!$A:$R,18,FALSE)),"")</f>
        <v/>
      </c>
      <c r="T43" s="184" t="str">
        <f>IFERROR(IF(VLOOKUP(Sat_W2[[#This Row],[Employee Name]],'Base Schedules'!$A:$S,19,FALSE)="","",VLOOKUP(Sat_W2[[#This Row],[Employee Name]],'Base Schedules'!$A:$S,19,FALSE)),"")</f>
        <v/>
      </c>
      <c r="U43" s="184" t="str">
        <f>IFERROR(IF(VLOOKUP(Sat_W2[[#This Row],[Employee Name]],'Base Schedules'!$A:$T,20,FALSE)="","",VLOOKUP(Sat_W2[[#This Row],[Employee Name]],'Base Schedules'!$A:$T,20,FALSE)),"")</f>
        <v/>
      </c>
      <c r="V43" s="184" t="str">
        <f>IFERROR(IF(VLOOKUP(Sat_W2[[#This Row],[Employee Name]],'Base Schedules'!$A:$U,21,FALSE)="","",VLOOKUP(Sat_W2[[#This Row],[Employee Name]],'Base Schedules'!$A:$U,21,FALSE)),"")</f>
        <v/>
      </c>
      <c r="W43" s="184" t="str">
        <f>IFERROR(IF(VLOOKUP(Sat_W2[[#This Row],[Employee Name]],'Base Schedules'!$A:$V,22,FALSE)="","",VLOOKUP(Sat_W2[[#This Row],[Employee Name]],'Base Schedules'!$A:$V,22,FALSE)),"")</f>
        <v/>
      </c>
      <c r="X43" s="184" t="str">
        <f>IFERROR(IF(VLOOKUP(Sat_W2[[#This Row],[Employee Name]],'Base Schedules'!$A:$W,23,FALSE)="","",VLOOKUP(Sat_W2[[#This Row],[Employee Name]],'Base Schedules'!$A:$W,23,FALSE)),"")</f>
        <v/>
      </c>
      <c r="Y43" s="184" t="str">
        <f>IFERROR(IF(VLOOKUP(Sat_W2[[#This Row],[Employee Name]],'Base Schedules'!$A:$X,24,FALSE)="","",VLOOKUP(Sat_W2[[#This Row],[Employee Name]],'Base Schedules'!$A:$X,24,FALSE)),"")</f>
        <v/>
      </c>
      <c r="Z43" s="184" t="str">
        <f>IFERROR(IF(VLOOKUP(Sat_W2[[#This Row],[Employee Name]],'Base Schedules'!$A:$Y,25,FALSE)="","",VLOOKUP(Sat_W2[[#This Row],[Employee Name]],'Base Schedules'!$A:$Y,25,FALSE)),"")</f>
        <v/>
      </c>
      <c r="AA43" s="184" t="str">
        <f>IFERROR(IF(VLOOKUP(Sat_W2[[#This Row],[Employee Name]],'Base Schedules'!$A:$Z,26,FALSE)="","",VLOOKUP(Sat_W2[[#This Row],[Employee Name]],'Base Schedules'!$A:$Z,26,FALSE)),"")</f>
        <v/>
      </c>
      <c r="AB43" s="184" t="str">
        <f>IFERROR(IF(VLOOKUP(Sat_W2[[#This Row],[Employee Name]],'Base Schedules'!$A:$AA,27,FALSE)="","",VLOOKUP(Sat_W2[[#This Row],[Employee Name]],'Base Schedules'!$A:$AA,27,FALSE)),"")</f>
        <v/>
      </c>
      <c r="AC43" s="184" t="str">
        <f>IFERROR(IF(VLOOKUP(Sat_W2[[#This Row],[Employee Name]],'Base Schedules'!$A:$AB,28,FALSE)="","",VLOOKUP(Sat_W2[[#This Row],[Employee Name]],'Base Schedules'!$A:$AB,28,FALSE)),"")</f>
        <v/>
      </c>
      <c r="AD43" s="184" t="str">
        <f>IFERROR(IF(VLOOKUP(Sat_W2[[#This Row],[Employee Name]],'Base Schedules'!$A:$AC,29,FALSE)="","",VLOOKUP(Sat_W2[[#This Row],[Employee Name]],'Base Schedules'!$A:$AC,29,FALSE)),"")</f>
        <v/>
      </c>
      <c r="AE43" s="184" t="str">
        <f>IFERROR(IF(VLOOKUP(Sat_W2[[#This Row],[Employee Name]],'Base Schedules'!$A:$AD,30,FALSE)="","",VLOOKUP(Sat_W2[[#This Row],[Employee Name]],'Base Schedules'!$A:$AD,30,FALSE)),"")</f>
        <v/>
      </c>
      <c r="AF43" s="184" t="str">
        <f>IFERROR(IF(VLOOKUP(Sat_W2[[#This Row],[Employee Name]],'Base Schedules'!$A:$AE,31,FALSE)="","",VLOOKUP(Sat_W2[[#This Row],[Employee Name]],'Base Schedules'!$A:$AE,31,FALSE)),"")</f>
        <v/>
      </c>
      <c r="AG43" s="184" t="str">
        <f>IFERROR(IF(VLOOKUP(Sat_W2[[#This Row],[Employee Name]],'Base Schedules'!$A:$AF,32,FALSE)="","",VLOOKUP(Sat_W2[[#This Row],[Employee Name]],'Base Schedules'!$A:$AF,32,FALSE)),"")</f>
        <v/>
      </c>
      <c r="AH43" s="184" t="str">
        <f>IFERROR(IF(VLOOKUP(Sat_W2[[#This Row],[Employee Name]],'Base Schedules'!$A:$AG,33,FALSE)="","",VLOOKUP(Sat_W2[[#This Row],[Employee Name]],'Base Schedules'!$A:$AG,33,FALSE)),"")</f>
        <v/>
      </c>
      <c r="AI43" s="184" t="str">
        <f>IFERROR(IF(VLOOKUP(Sat_W2[[#This Row],[Employee Name]],'Base Schedules'!$A:$AH,34,FALSE)="","",VLOOKUP(Sat_W2[[#This Row],[Employee Name]],'Base Schedules'!$A:$AH,34,FALSE)),"")</f>
        <v/>
      </c>
      <c r="AJ43" s="184" t="str">
        <f>IFERROR(IF(VLOOKUP(Sat_W2[[#This Row],[Employee Name]],'Base Schedules'!$A:$AI,35,FALSE)="","",VLOOKUP(Sat_W2[[#This Row],[Employee Name]],'Base Schedules'!$A:$AI,35,FALSE)),"")</f>
        <v/>
      </c>
      <c r="AK43" s="184" t="str">
        <f>IFERROR(IF(VLOOKUP(Sat_W2[[#This Row],[Employee Name]],'Base Schedules'!$A:$AJ,36,FALSE)="","",VLOOKUP(Sat_W2[[#This Row],[Employee Name]],'Base Schedules'!$A:$AJ,36,FALSE)),"")</f>
        <v/>
      </c>
      <c r="AL43" s="184" t="str">
        <f>IFERROR(IF(VLOOKUP(Sat_W2[[#This Row],[Employee Name]],'Base Schedules'!$A:$AK,37,FALSE)="","",VLOOKUP(Sat_W2[[#This Row],[Employee Name]],'Base Schedules'!$A:$AK,37,FALSE)),"")</f>
        <v/>
      </c>
      <c r="AM43" s="184" t="str">
        <f>IFERROR(IF(VLOOKUP(Sat_W2[[#This Row],[Employee Name]],'Base Schedules'!$A:$AL,38,FALSE)="","",VLOOKUP(Sat_W2[[#This Row],[Employee Name]],'Base Schedules'!$A:$AL,38,FALSE)),"")</f>
        <v/>
      </c>
      <c r="AN43" s="184" t="str">
        <f>IFERROR(IF(VLOOKUP(Sat_W2[[#This Row],[Employee Name]],'Base Schedules'!$A:$AM,39,FALSE)="","",VLOOKUP(Sat_W2[[#This Row],[Employee Name]],'Base Schedules'!$A:$AM,39,FALSE)),"")</f>
        <v/>
      </c>
      <c r="AO43" s="184" t="str">
        <f>IFERROR(IF(VLOOKUP(Sat_W2[[#This Row],[Employee Name]],'Base Schedules'!$A:$AN,40,FALSE)="","",VLOOKUP(Sat_W2[[#This Row],[Employee Name]],'Base Schedules'!$A:$AN,40,FALSE)),"")</f>
        <v/>
      </c>
      <c r="AP43" s="184" t="str">
        <f>IFERROR(IF(VLOOKUP(Sat_W2[[#This Row],[Employee Name]],'Base Schedules'!$A:$AO,41,FALSE)="","",VLOOKUP(Sat_W2[[#This Row],[Employee Name]],'Base Schedules'!$A:$AO,41,FALSE)),"")</f>
        <v/>
      </c>
      <c r="AQ43" s="184" t="str">
        <f>IFERROR(IF(VLOOKUP(Sat_W2[[#This Row],[Employee Name]],'Base Schedules'!$A:$AP,42,FALSE)="","",VLOOKUP(Sat_W2[[#This Row],[Employee Name]],'Base Schedules'!$A:$AP,42,FALSE)),"")</f>
        <v/>
      </c>
      <c r="AR43" s="184" t="str">
        <f>IFERROR(IF(VLOOKUP(Sat_W2[[#This Row],[Employee Name]],'Base Schedules'!$A:$AQ,43,FALSE)="","",VLOOKUP(Sat_W2[[#This Row],[Employee Name]],'Base Schedules'!$A:$AQ,43,FALSE)),"")</f>
        <v/>
      </c>
      <c r="AS43" s="184" t="str">
        <f>IFERROR(IF(VLOOKUP(Sat_W2[[#This Row],[Employee Name]],'Base Schedules'!$A:$AR,44,FALSE)="","",VLOOKUP(Sat_W2[[#This Row],[Employee Name]],'Base Schedules'!$A:$AR,44,FALSE)),"")</f>
        <v/>
      </c>
      <c r="AT43" s="184" t="str">
        <f>IFERROR(IF(VLOOKUP(Sat_W2[[#This Row],[Employee Name]],'Base Schedules'!$A:$AS,45,FALSE)="","",VLOOKUP(Sat_W2[[#This Row],[Employee Name]],'Base Schedules'!$A:$AS,45,FALSE)),"")</f>
        <v/>
      </c>
      <c r="AU43" s="184" t="str">
        <f>IFERROR(IF(VLOOKUP(Sat_W2[[#This Row],[Employee Name]],'Base Schedules'!$A:$AT,46,FALSE)="","",VLOOKUP(Sat_W2[[#This Row],[Employee Name]],'Base Schedules'!$A:$AT,46,FALSE)),"")</f>
        <v/>
      </c>
      <c r="AV43" s="184" t="str">
        <f>IFERROR(IF(VLOOKUP(Sat_W2[[#This Row],[Employee Name]],'Base Schedules'!$A:$AU,47,FALSE)="","",VLOOKUP(Sat_W2[[#This Row],[Employee Name]],'Base Schedules'!$A:$AU,47,FALSE)),"")</f>
        <v/>
      </c>
      <c r="AW43" s="184" t="str">
        <f>IFERROR(IF(VLOOKUP(Sat_W2[[#This Row],[Employee Name]],'Base Schedules'!$A:$AV,48,FALSE)="","",VLOOKUP(Sat_W2[[#This Row],[Employee Name]],'Base Schedules'!$A:$AV,48,FALSE)),"")</f>
        <v/>
      </c>
      <c r="AX43" s="184" t="str">
        <f>IFERROR(IF(VLOOKUP(Sat_W1[[#This Row],[Employee Name]],'Base Schedules'!$A$46:$AW$77,49,FALSE)="","",VLOOKUP(Sat_W1[[#This Row],[Employee Name]],'Base Schedules'!$A$46:$AW$77,49,FALSE)),"")</f>
        <v/>
      </c>
      <c r="AY43" s="159" t="str">
        <f t="shared" si="2"/>
        <v/>
      </c>
    </row>
    <row r="44" spans="1:51" s="44" customFormat="1" ht="12" hidden="1" customHeight="1" x14ac:dyDescent="0.2">
      <c r="A44" s="39" t="str">
        <f>IF(B44="","",INDEX(TeamList[],MATCH($B44,TeamList[[Employee Name]:[Employee Name]],0),MATCH("Manager",TeamList[#Headers],0)))</f>
        <v/>
      </c>
      <c r="B44" s="201"/>
      <c r="C44" s="257" t="str">
        <f>_xlfn.IFNA(VLOOKUP(Sat_W2[[#This Row],[Employee Name]],'Base Schedules'!A:B,2,FALSE),"")</f>
        <v/>
      </c>
      <c r="D44" s="274" t="str">
        <f>_xlfn.IFNA(VLOOKUP(Sat_W2[[#This Row],[Employee Name]],'Base Schedules'!A:C,3,FALSE),"")</f>
        <v/>
      </c>
      <c r="E44" s="274" t="str">
        <f>_xlfn.IFNA(VLOOKUP(Sat_W2[[#This Row],[Employee Name]],'Base Schedules'!A:D,4,FALSE),"")</f>
        <v/>
      </c>
      <c r="F44" s="142" t="str">
        <f>IF(Sat_W2[[#This Row],[Employee Name]]="","",IF(Sat_W2[[#This Row],[Dept]]="Supervisor",COUNTIFS($J44:$AX44,"*HL*",$J44:$AX44,"&lt;&gt;"&amp;"pHL"),COUNTIFS($J44:$AX44,"*HL*",$J44:$AX44,"&lt;&gt;"&amp;"*pHL*",$J44:$AX44,"&lt;&gt;"&amp;"pB1 HL",$J44:$AX44,"&lt;&gt;"&amp;"pB2 HL")-SUM(COUNTIFS($J44:$AX44,"*HL B1*",$J44:$AX44,"&lt;&gt;"&amp;"pHL B1")*0.5,COUNTIFS($J44:$AX44,"*HL B2*",$J44:$AX44,"&lt;&gt;"&amp;"pHL B2")*0.5,COUNTIFS($J44:$AX44,"*B1 HL*",$J44:$AX44,"&lt;&gt;"&amp;"pB1 HL")*0.5,COUNTIFS($J44:$AX44,"*B2 HL*",$J44:$AX44,"&lt;&gt;"&amp;"pB2 HL")*0.5)))</f>
        <v/>
      </c>
      <c r="G44" s="142" t="str">
        <f t="shared" si="0"/>
        <v/>
      </c>
      <c r="H44" s="142" t="str">
        <f t="shared" si="1"/>
        <v/>
      </c>
      <c r="I44" s="142" t="str">
        <f>IF(Sat_W2[[#This Row],[Employee Name]]="","",IF(Sat_W2[[#This Row],[Dept]]="Supervisor",SUM(COUNTIFS($J44:$AX44,"RTA*",$J44:$AX44,"&lt;&gt;"&amp;"pRTA"),COUNTIFS($J44:$AX44,"*CRTA*",$J44:$AX44,"&lt;&gt;"&amp;"pCRTA")),COUNTIFS($J44:$AX44,"*RNNR*",$J44:$AX44,"&lt;&gt;"&amp;"*pRNNR*",$J44:$AX44,"&lt;&gt;"&amp;"pB1 RNNR",$J44:$AX44,"&lt;&gt;"&amp;"pB2 RNNR")-SUM(COUNTIFS($J44:$AX44,"*RNNR B1*",$J44:$AX44,"&lt;&gt;"&amp;"pRNNR B1")*0.5,COUNTIFS($J44:$AX44,"*RNNR B2*",$J44:$AX44,"&lt;&gt;"&amp;"pRNNR B2")*0.5,COUNTIFS($J44:$AX44,"*B1 RNNR*",$J44:$AX44,"&lt;&gt;"&amp;"pB1 RNNR")*0.5,COUNTIFS($J44:$AX44,"*B2 RNNR*",$J44:$AX44,"&lt;&gt;"&amp;"pB2 RNNR")*0.5)))</f>
        <v/>
      </c>
      <c r="J44" s="184" t="str">
        <f>IFERROR(IF(VLOOKUP(Sat_W2[[#This Row],[Employee Name]],'Base Schedules'!$A:$I,9,FALSE)="","",VLOOKUP(Sat_W2[[#This Row],[Employee Name]],'Base Schedules'!$A:$I,9,FALSE)),"")</f>
        <v/>
      </c>
      <c r="K44" s="184" t="str">
        <f>IFERROR(IF(VLOOKUP(Sat_W2[[#This Row],[Employee Name]],'Base Schedules'!$A:$J,10,FALSE)="","",VLOOKUP(Sat_W2[[#This Row],[Employee Name]],'Base Schedules'!$A:$J,10,FALSE)),"")</f>
        <v/>
      </c>
      <c r="L44" s="184" t="str">
        <f>IFERROR(IF(VLOOKUP(Sat_W2[[#This Row],[Employee Name]],'Base Schedules'!$A:$K,11,FALSE)="","",VLOOKUP(Sat_W2[[#This Row],[Employee Name]],'Base Schedules'!$A:$K,11,FALSE)),"")</f>
        <v/>
      </c>
      <c r="M44" s="184" t="str">
        <f>IFERROR(IF(VLOOKUP(Sat_W2[[#This Row],[Employee Name]],'Base Schedules'!$A:$L,12,FALSE)="","",VLOOKUP(Sat_W2[[#This Row],[Employee Name]],'Base Schedules'!$A:$L,12,FALSE)),"")</f>
        <v/>
      </c>
      <c r="N44" s="184" t="str">
        <f>IFERROR(IF(VLOOKUP(Sat_W2[[#This Row],[Employee Name]],'Base Schedules'!$A:$M,13,FALSE)="","",VLOOKUP(Sat_W2[[#This Row],[Employee Name]],'Base Schedules'!$A:$M,13,FALSE)),"")</f>
        <v/>
      </c>
      <c r="O44" s="184" t="str">
        <f>IFERROR(IF(VLOOKUP(Sat_W2[[#This Row],[Employee Name]],'Base Schedules'!$A:$N,14,FALSE)="","",VLOOKUP(Sat_W2[[#This Row],[Employee Name]],'Base Schedules'!$A:$N,14,FALSE)),"")</f>
        <v/>
      </c>
      <c r="P44" s="184" t="str">
        <f>IFERROR(IF(VLOOKUP(Sat_W2[[#This Row],[Employee Name]],'Base Schedules'!$A:$O,15,FALSE)="","",VLOOKUP(Sat_W2[[#This Row],[Employee Name]],'Base Schedules'!$A:$O,15,FALSE)),"")</f>
        <v/>
      </c>
      <c r="Q44" s="184" t="str">
        <f>IFERROR(IF(VLOOKUP(Sat_W2[[#This Row],[Employee Name]],'Base Schedules'!$A:$P,16,FALSE)="","",VLOOKUP(Sat_W2[[#This Row],[Employee Name]],'Base Schedules'!$A:$P,16,FALSE)),"")</f>
        <v/>
      </c>
      <c r="R44" s="184" t="str">
        <f>IFERROR(IF(VLOOKUP(Sat_W2[[#This Row],[Employee Name]],'Base Schedules'!$A:$Q,17,FALSE)="","",VLOOKUP(Sat_W2[[#This Row],[Employee Name]],'Base Schedules'!$A:$Q,17,FALSE)),"")</f>
        <v/>
      </c>
      <c r="S44" s="184" t="str">
        <f>IFERROR(IF(VLOOKUP(Sat_W2[[#This Row],[Employee Name]],'Base Schedules'!$A:$R,18,FALSE)="","",VLOOKUP(Sat_W2[[#This Row],[Employee Name]],'Base Schedules'!$A:$R,18,FALSE)),"")</f>
        <v/>
      </c>
      <c r="T44" s="184" t="str">
        <f>IFERROR(IF(VLOOKUP(Sat_W2[[#This Row],[Employee Name]],'Base Schedules'!$A:$S,19,FALSE)="","",VLOOKUP(Sat_W2[[#This Row],[Employee Name]],'Base Schedules'!$A:$S,19,FALSE)),"")</f>
        <v/>
      </c>
      <c r="U44" s="184" t="str">
        <f>IFERROR(IF(VLOOKUP(Sat_W2[[#This Row],[Employee Name]],'Base Schedules'!$A:$T,20,FALSE)="","",VLOOKUP(Sat_W2[[#This Row],[Employee Name]],'Base Schedules'!$A:$T,20,FALSE)),"")</f>
        <v/>
      </c>
      <c r="V44" s="184" t="str">
        <f>IFERROR(IF(VLOOKUP(Sat_W2[[#This Row],[Employee Name]],'Base Schedules'!$A:$U,21,FALSE)="","",VLOOKUP(Sat_W2[[#This Row],[Employee Name]],'Base Schedules'!$A:$U,21,FALSE)),"")</f>
        <v/>
      </c>
      <c r="W44" s="184" t="str">
        <f>IFERROR(IF(VLOOKUP(Sat_W2[[#This Row],[Employee Name]],'Base Schedules'!$A:$V,22,FALSE)="","",VLOOKUP(Sat_W2[[#This Row],[Employee Name]],'Base Schedules'!$A:$V,22,FALSE)),"")</f>
        <v/>
      </c>
      <c r="X44" s="184" t="str">
        <f>IFERROR(IF(VLOOKUP(Sat_W2[[#This Row],[Employee Name]],'Base Schedules'!$A:$W,23,FALSE)="","",VLOOKUP(Sat_W2[[#This Row],[Employee Name]],'Base Schedules'!$A:$W,23,FALSE)),"")</f>
        <v/>
      </c>
      <c r="Y44" s="184" t="str">
        <f>IFERROR(IF(VLOOKUP(Sat_W2[[#This Row],[Employee Name]],'Base Schedules'!$A:$X,24,FALSE)="","",VLOOKUP(Sat_W2[[#This Row],[Employee Name]],'Base Schedules'!$A:$X,24,FALSE)),"")</f>
        <v/>
      </c>
      <c r="Z44" s="184" t="str">
        <f>IFERROR(IF(VLOOKUP(Sat_W2[[#This Row],[Employee Name]],'Base Schedules'!$A:$Y,25,FALSE)="","",VLOOKUP(Sat_W2[[#This Row],[Employee Name]],'Base Schedules'!$A:$Y,25,FALSE)),"")</f>
        <v/>
      </c>
      <c r="AA44" s="184" t="str">
        <f>IFERROR(IF(VLOOKUP(Sat_W2[[#This Row],[Employee Name]],'Base Schedules'!$A:$Z,26,FALSE)="","",VLOOKUP(Sat_W2[[#This Row],[Employee Name]],'Base Schedules'!$A:$Z,26,FALSE)),"")</f>
        <v/>
      </c>
      <c r="AB44" s="184" t="str">
        <f>IFERROR(IF(VLOOKUP(Sat_W2[[#This Row],[Employee Name]],'Base Schedules'!$A:$AA,27,FALSE)="","",VLOOKUP(Sat_W2[[#This Row],[Employee Name]],'Base Schedules'!$A:$AA,27,FALSE)),"")</f>
        <v/>
      </c>
      <c r="AC44" s="184" t="str">
        <f>IFERROR(IF(VLOOKUP(Sat_W2[[#This Row],[Employee Name]],'Base Schedules'!$A:$AB,28,FALSE)="","",VLOOKUP(Sat_W2[[#This Row],[Employee Name]],'Base Schedules'!$A:$AB,28,FALSE)),"")</f>
        <v/>
      </c>
      <c r="AD44" s="184" t="str">
        <f>IFERROR(IF(VLOOKUP(Sat_W2[[#This Row],[Employee Name]],'Base Schedules'!$A:$AC,29,FALSE)="","",VLOOKUP(Sat_W2[[#This Row],[Employee Name]],'Base Schedules'!$A:$AC,29,FALSE)),"")</f>
        <v/>
      </c>
      <c r="AE44" s="184" t="str">
        <f>IFERROR(IF(VLOOKUP(Sat_W2[[#This Row],[Employee Name]],'Base Schedules'!$A:$AD,30,FALSE)="","",VLOOKUP(Sat_W2[[#This Row],[Employee Name]],'Base Schedules'!$A:$AD,30,FALSE)),"")</f>
        <v/>
      </c>
      <c r="AF44" s="184" t="str">
        <f>IFERROR(IF(VLOOKUP(Sat_W2[[#This Row],[Employee Name]],'Base Schedules'!$A:$AE,31,FALSE)="","",VLOOKUP(Sat_W2[[#This Row],[Employee Name]],'Base Schedules'!$A:$AE,31,FALSE)),"")</f>
        <v/>
      </c>
      <c r="AG44" s="184" t="str">
        <f>IFERROR(IF(VLOOKUP(Sat_W2[[#This Row],[Employee Name]],'Base Schedules'!$A:$AF,32,FALSE)="","",VLOOKUP(Sat_W2[[#This Row],[Employee Name]],'Base Schedules'!$A:$AF,32,FALSE)),"")</f>
        <v/>
      </c>
      <c r="AH44" s="184" t="str">
        <f>IFERROR(IF(VLOOKUP(Sat_W2[[#This Row],[Employee Name]],'Base Schedules'!$A:$AG,33,FALSE)="","",VLOOKUP(Sat_W2[[#This Row],[Employee Name]],'Base Schedules'!$A:$AG,33,FALSE)),"")</f>
        <v/>
      </c>
      <c r="AI44" s="184" t="str">
        <f>IFERROR(IF(VLOOKUP(Sat_W2[[#This Row],[Employee Name]],'Base Schedules'!$A:$AH,34,FALSE)="","",VLOOKUP(Sat_W2[[#This Row],[Employee Name]],'Base Schedules'!$A:$AH,34,FALSE)),"")</f>
        <v/>
      </c>
      <c r="AJ44" s="184" t="str">
        <f>IFERROR(IF(VLOOKUP(Sat_W2[[#This Row],[Employee Name]],'Base Schedules'!$A:$AI,35,FALSE)="","",VLOOKUP(Sat_W2[[#This Row],[Employee Name]],'Base Schedules'!$A:$AI,35,FALSE)),"")</f>
        <v/>
      </c>
      <c r="AK44" s="184" t="str">
        <f>IFERROR(IF(VLOOKUP(Sat_W2[[#This Row],[Employee Name]],'Base Schedules'!$A:$AJ,36,FALSE)="","",VLOOKUP(Sat_W2[[#This Row],[Employee Name]],'Base Schedules'!$A:$AJ,36,FALSE)),"")</f>
        <v/>
      </c>
      <c r="AL44" s="184" t="str">
        <f>IFERROR(IF(VLOOKUP(Sat_W2[[#This Row],[Employee Name]],'Base Schedules'!$A:$AK,37,FALSE)="","",VLOOKUP(Sat_W2[[#This Row],[Employee Name]],'Base Schedules'!$A:$AK,37,FALSE)),"")</f>
        <v/>
      </c>
      <c r="AM44" s="184" t="str">
        <f>IFERROR(IF(VLOOKUP(Sat_W2[[#This Row],[Employee Name]],'Base Schedules'!$A:$AL,38,FALSE)="","",VLOOKUP(Sat_W2[[#This Row],[Employee Name]],'Base Schedules'!$A:$AL,38,FALSE)),"")</f>
        <v/>
      </c>
      <c r="AN44" s="184" t="str">
        <f>IFERROR(IF(VLOOKUP(Sat_W2[[#This Row],[Employee Name]],'Base Schedules'!$A:$AM,39,FALSE)="","",VLOOKUP(Sat_W2[[#This Row],[Employee Name]],'Base Schedules'!$A:$AM,39,FALSE)),"")</f>
        <v/>
      </c>
      <c r="AO44" s="184" t="str">
        <f>IFERROR(IF(VLOOKUP(Sat_W2[[#This Row],[Employee Name]],'Base Schedules'!$A:$AN,40,FALSE)="","",VLOOKUP(Sat_W2[[#This Row],[Employee Name]],'Base Schedules'!$A:$AN,40,FALSE)),"")</f>
        <v/>
      </c>
      <c r="AP44" s="184" t="str">
        <f>IFERROR(IF(VLOOKUP(Sat_W2[[#This Row],[Employee Name]],'Base Schedules'!$A:$AO,41,FALSE)="","",VLOOKUP(Sat_W2[[#This Row],[Employee Name]],'Base Schedules'!$A:$AO,41,FALSE)),"")</f>
        <v/>
      </c>
      <c r="AQ44" s="184" t="str">
        <f>IFERROR(IF(VLOOKUP(Sat_W2[[#This Row],[Employee Name]],'Base Schedules'!$A:$AP,42,FALSE)="","",VLOOKUP(Sat_W2[[#This Row],[Employee Name]],'Base Schedules'!$A:$AP,42,FALSE)),"")</f>
        <v/>
      </c>
      <c r="AR44" s="184" t="str">
        <f>IFERROR(IF(VLOOKUP(Sat_W2[[#This Row],[Employee Name]],'Base Schedules'!$A:$AQ,43,FALSE)="","",VLOOKUP(Sat_W2[[#This Row],[Employee Name]],'Base Schedules'!$A:$AQ,43,FALSE)),"")</f>
        <v/>
      </c>
      <c r="AS44" s="184" t="str">
        <f>IFERROR(IF(VLOOKUP(Sat_W2[[#This Row],[Employee Name]],'Base Schedules'!$A:$AR,44,FALSE)="","",VLOOKUP(Sat_W2[[#This Row],[Employee Name]],'Base Schedules'!$A:$AR,44,FALSE)),"")</f>
        <v/>
      </c>
      <c r="AT44" s="184" t="str">
        <f>IFERROR(IF(VLOOKUP(Sat_W2[[#This Row],[Employee Name]],'Base Schedules'!$A:$AS,45,FALSE)="","",VLOOKUP(Sat_W2[[#This Row],[Employee Name]],'Base Schedules'!$A:$AS,45,FALSE)),"")</f>
        <v/>
      </c>
      <c r="AU44" s="184" t="str">
        <f>IFERROR(IF(VLOOKUP(Sat_W2[[#This Row],[Employee Name]],'Base Schedules'!$A:$AT,46,FALSE)="","",VLOOKUP(Sat_W2[[#This Row],[Employee Name]],'Base Schedules'!$A:$AT,46,FALSE)),"")</f>
        <v/>
      </c>
      <c r="AV44" s="184" t="str">
        <f>IFERROR(IF(VLOOKUP(Sat_W2[[#This Row],[Employee Name]],'Base Schedules'!$A:$AU,47,FALSE)="","",VLOOKUP(Sat_W2[[#This Row],[Employee Name]],'Base Schedules'!$A:$AU,47,FALSE)),"")</f>
        <v/>
      </c>
      <c r="AW44" s="184" t="str">
        <f>IFERROR(IF(VLOOKUP(Sat_W2[[#This Row],[Employee Name]],'Base Schedules'!$A:$AV,48,FALSE)="","",VLOOKUP(Sat_W2[[#This Row],[Employee Name]],'Base Schedules'!$A:$AV,48,FALSE)),"")</f>
        <v/>
      </c>
      <c r="AX44" s="184" t="str">
        <f>IFERROR(IF(VLOOKUP(Sat_W1[[#This Row],[Employee Name]],'Base Schedules'!$A$46:$AW$77,49,FALSE)="","",VLOOKUP(Sat_W1[[#This Row],[Employee Name]],'Base Schedules'!$A$46:$AW$77,49,FALSE)),"")</f>
        <v/>
      </c>
      <c r="AY44" s="159" t="str">
        <f t="shared" si="2"/>
        <v/>
      </c>
    </row>
    <row r="45" spans="1:51" s="44" customFormat="1" ht="12" hidden="1" customHeight="1" x14ac:dyDescent="0.2">
      <c r="A45" s="39" t="str">
        <f>IF(B45="","",INDEX(TeamList[],MATCH($B45,TeamList[[Employee Name]:[Employee Name]],0),MATCH("Manager",TeamList[#Headers],0)))</f>
        <v/>
      </c>
      <c r="B45" s="201"/>
      <c r="C45" s="257" t="str">
        <f>_xlfn.IFNA(VLOOKUP(Sat_W2[[#This Row],[Employee Name]],'Base Schedules'!A:B,2,FALSE),"")</f>
        <v/>
      </c>
      <c r="D45" s="274" t="str">
        <f>_xlfn.IFNA(VLOOKUP(Sat_W2[[#This Row],[Employee Name]],'Base Schedules'!A:C,3,FALSE),"")</f>
        <v/>
      </c>
      <c r="E45" s="274" t="str">
        <f>_xlfn.IFNA(VLOOKUP(Sat_W2[[#This Row],[Employee Name]],'Base Schedules'!A:D,4,FALSE),"")</f>
        <v/>
      </c>
      <c r="F45" s="142" t="str">
        <f>IF(Sat_W2[[#This Row],[Employee Name]]="","",IF(Sat_W2[[#This Row],[Dept]]="Supervisor",COUNTIFS($J45:$AX45,"*HL*",$J45:$AX45,"&lt;&gt;"&amp;"pHL"),COUNTIFS($J45:$AX45,"*HL*",$J45:$AX45,"&lt;&gt;"&amp;"*pHL*",$J45:$AX45,"&lt;&gt;"&amp;"pB1 HL",$J45:$AX45,"&lt;&gt;"&amp;"pB2 HL")-SUM(COUNTIFS($J45:$AX45,"*HL B1*",$J45:$AX45,"&lt;&gt;"&amp;"pHL B1")*0.5,COUNTIFS($J45:$AX45,"*HL B2*",$J45:$AX45,"&lt;&gt;"&amp;"pHL B2")*0.5,COUNTIFS($J45:$AX45,"*B1 HL*",$J45:$AX45,"&lt;&gt;"&amp;"pB1 HL")*0.5,COUNTIFS($J45:$AX45,"*B2 HL*",$J45:$AX45,"&lt;&gt;"&amp;"pB2 HL")*0.5)))</f>
        <v/>
      </c>
      <c r="G45" s="142" t="str">
        <f t="shared" si="0"/>
        <v/>
      </c>
      <c r="H45" s="142" t="str">
        <f t="shared" si="1"/>
        <v/>
      </c>
      <c r="I45" s="142" t="str">
        <f>IF(Sat_W2[[#This Row],[Employee Name]]="","",IF(Sat_W2[[#This Row],[Dept]]="Supervisor",SUM(COUNTIFS($J45:$AX45,"RTA*",$J45:$AX45,"&lt;&gt;"&amp;"pRTA"),COUNTIFS($J45:$AX45,"*CRTA*",$J45:$AX45,"&lt;&gt;"&amp;"pCRTA")),COUNTIFS($J45:$AX45,"*RNNR*",$J45:$AX45,"&lt;&gt;"&amp;"*pRNNR*",$J45:$AX45,"&lt;&gt;"&amp;"pB1 RNNR",$J45:$AX45,"&lt;&gt;"&amp;"pB2 RNNR")-SUM(COUNTIFS($J45:$AX45,"*RNNR B1*",$J45:$AX45,"&lt;&gt;"&amp;"pRNNR B1")*0.5,COUNTIFS($J45:$AX45,"*RNNR B2*",$J45:$AX45,"&lt;&gt;"&amp;"pRNNR B2")*0.5,COUNTIFS($J45:$AX45,"*B1 RNNR*",$J45:$AX45,"&lt;&gt;"&amp;"pB1 RNNR")*0.5,COUNTIFS($J45:$AX45,"*B2 RNNR*",$J45:$AX45,"&lt;&gt;"&amp;"pB2 RNNR")*0.5)))</f>
        <v/>
      </c>
      <c r="J45" s="184" t="str">
        <f>IFERROR(IF(VLOOKUP(Sat_W2[[#This Row],[Employee Name]],'Base Schedules'!$A:$I,9,FALSE)="","",VLOOKUP(Sat_W2[[#This Row],[Employee Name]],'Base Schedules'!$A:$I,9,FALSE)),"")</f>
        <v/>
      </c>
      <c r="K45" s="184" t="str">
        <f>IFERROR(IF(VLOOKUP(Sat_W2[[#This Row],[Employee Name]],'Base Schedules'!$A:$J,10,FALSE)="","",VLOOKUP(Sat_W2[[#This Row],[Employee Name]],'Base Schedules'!$A:$J,10,FALSE)),"")</f>
        <v/>
      </c>
      <c r="L45" s="184" t="str">
        <f>IFERROR(IF(VLOOKUP(Sat_W2[[#This Row],[Employee Name]],'Base Schedules'!$A:$K,11,FALSE)="","",VLOOKUP(Sat_W2[[#This Row],[Employee Name]],'Base Schedules'!$A:$K,11,FALSE)),"")</f>
        <v/>
      </c>
      <c r="M45" s="184" t="str">
        <f>IFERROR(IF(VLOOKUP(Sat_W2[[#This Row],[Employee Name]],'Base Schedules'!$A:$L,12,FALSE)="","",VLOOKUP(Sat_W2[[#This Row],[Employee Name]],'Base Schedules'!$A:$L,12,FALSE)),"")</f>
        <v/>
      </c>
      <c r="N45" s="184" t="str">
        <f>IFERROR(IF(VLOOKUP(Sat_W2[[#This Row],[Employee Name]],'Base Schedules'!$A:$M,13,FALSE)="","",VLOOKUP(Sat_W2[[#This Row],[Employee Name]],'Base Schedules'!$A:$M,13,FALSE)),"")</f>
        <v/>
      </c>
      <c r="O45" s="184" t="str">
        <f>IFERROR(IF(VLOOKUP(Sat_W2[[#This Row],[Employee Name]],'Base Schedules'!$A:$N,14,FALSE)="","",VLOOKUP(Sat_W2[[#This Row],[Employee Name]],'Base Schedules'!$A:$N,14,FALSE)),"")</f>
        <v/>
      </c>
      <c r="P45" s="184" t="str">
        <f>IFERROR(IF(VLOOKUP(Sat_W2[[#This Row],[Employee Name]],'Base Schedules'!$A:$O,15,FALSE)="","",VLOOKUP(Sat_W2[[#This Row],[Employee Name]],'Base Schedules'!$A:$O,15,FALSE)),"")</f>
        <v/>
      </c>
      <c r="Q45" s="184" t="str">
        <f>IFERROR(IF(VLOOKUP(Sat_W2[[#This Row],[Employee Name]],'Base Schedules'!$A:$P,16,FALSE)="","",VLOOKUP(Sat_W2[[#This Row],[Employee Name]],'Base Schedules'!$A:$P,16,FALSE)),"")</f>
        <v/>
      </c>
      <c r="R45" s="184" t="str">
        <f>IFERROR(IF(VLOOKUP(Sat_W2[[#This Row],[Employee Name]],'Base Schedules'!$A:$Q,17,FALSE)="","",VLOOKUP(Sat_W2[[#This Row],[Employee Name]],'Base Schedules'!$A:$Q,17,FALSE)),"")</f>
        <v/>
      </c>
      <c r="S45" s="184" t="str">
        <f>IFERROR(IF(VLOOKUP(Sat_W2[[#This Row],[Employee Name]],'Base Schedules'!$A:$R,18,FALSE)="","",VLOOKUP(Sat_W2[[#This Row],[Employee Name]],'Base Schedules'!$A:$R,18,FALSE)),"")</f>
        <v/>
      </c>
      <c r="T45" s="184" t="str">
        <f>IFERROR(IF(VLOOKUP(Sat_W2[[#This Row],[Employee Name]],'Base Schedules'!$A:$S,19,FALSE)="","",VLOOKUP(Sat_W2[[#This Row],[Employee Name]],'Base Schedules'!$A:$S,19,FALSE)),"")</f>
        <v/>
      </c>
      <c r="U45" s="184" t="str">
        <f>IFERROR(IF(VLOOKUP(Sat_W2[[#This Row],[Employee Name]],'Base Schedules'!$A:$T,20,FALSE)="","",VLOOKUP(Sat_W2[[#This Row],[Employee Name]],'Base Schedules'!$A:$T,20,FALSE)),"")</f>
        <v/>
      </c>
      <c r="V45" s="184" t="str">
        <f>IFERROR(IF(VLOOKUP(Sat_W2[[#This Row],[Employee Name]],'Base Schedules'!$A:$U,21,FALSE)="","",VLOOKUP(Sat_W2[[#This Row],[Employee Name]],'Base Schedules'!$A:$U,21,FALSE)),"")</f>
        <v/>
      </c>
      <c r="W45" s="184" t="str">
        <f>IFERROR(IF(VLOOKUP(Sat_W2[[#This Row],[Employee Name]],'Base Schedules'!$A:$V,22,FALSE)="","",VLOOKUP(Sat_W2[[#This Row],[Employee Name]],'Base Schedules'!$A:$V,22,FALSE)),"")</f>
        <v/>
      </c>
      <c r="X45" s="184" t="str">
        <f>IFERROR(IF(VLOOKUP(Sat_W2[[#This Row],[Employee Name]],'Base Schedules'!$A:$W,23,FALSE)="","",VLOOKUP(Sat_W2[[#This Row],[Employee Name]],'Base Schedules'!$A:$W,23,FALSE)),"")</f>
        <v/>
      </c>
      <c r="Y45" s="184" t="str">
        <f>IFERROR(IF(VLOOKUP(Sat_W2[[#This Row],[Employee Name]],'Base Schedules'!$A:$X,24,FALSE)="","",VLOOKUP(Sat_W2[[#This Row],[Employee Name]],'Base Schedules'!$A:$X,24,FALSE)),"")</f>
        <v/>
      </c>
      <c r="Z45" s="184" t="str">
        <f>IFERROR(IF(VLOOKUP(Sat_W2[[#This Row],[Employee Name]],'Base Schedules'!$A:$Y,25,FALSE)="","",VLOOKUP(Sat_W2[[#This Row],[Employee Name]],'Base Schedules'!$A:$Y,25,FALSE)),"")</f>
        <v/>
      </c>
      <c r="AA45" s="184" t="str">
        <f>IFERROR(IF(VLOOKUP(Sat_W2[[#This Row],[Employee Name]],'Base Schedules'!$A:$Z,26,FALSE)="","",VLOOKUP(Sat_W2[[#This Row],[Employee Name]],'Base Schedules'!$A:$Z,26,FALSE)),"")</f>
        <v/>
      </c>
      <c r="AB45" s="184" t="str">
        <f>IFERROR(IF(VLOOKUP(Sat_W2[[#This Row],[Employee Name]],'Base Schedules'!$A:$AA,27,FALSE)="","",VLOOKUP(Sat_W2[[#This Row],[Employee Name]],'Base Schedules'!$A:$AA,27,FALSE)),"")</f>
        <v/>
      </c>
      <c r="AC45" s="184" t="str">
        <f>IFERROR(IF(VLOOKUP(Sat_W2[[#This Row],[Employee Name]],'Base Schedules'!$A:$AB,28,FALSE)="","",VLOOKUP(Sat_W2[[#This Row],[Employee Name]],'Base Schedules'!$A:$AB,28,FALSE)),"")</f>
        <v/>
      </c>
      <c r="AD45" s="184" t="str">
        <f>IFERROR(IF(VLOOKUP(Sat_W2[[#This Row],[Employee Name]],'Base Schedules'!$A:$AC,29,FALSE)="","",VLOOKUP(Sat_W2[[#This Row],[Employee Name]],'Base Schedules'!$A:$AC,29,FALSE)),"")</f>
        <v/>
      </c>
      <c r="AE45" s="184" t="str">
        <f>IFERROR(IF(VLOOKUP(Sat_W2[[#This Row],[Employee Name]],'Base Schedules'!$A:$AD,30,FALSE)="","",VLOOKUP(Sat_W2[[#This Row],[Employee Name]],'Base Schedules'!$A:$AD,30,FALSE)),"")</f>
        <v/>
      </c>
      <c r="AF45" s="184" t="str">
        <f>IFERROR(IF(VLOOKUP(Sat_W2[[#This Row],[Employee Name]],'Base Schedules'!$A:$AE,31,FALSE)="","",VLOOKUP(Sat_W2[[#This Row],[Employee Name]],'Base Schedules'!$A:$AE,31,FALSE)),"")</f>
        <v/>
      </c>
      <c r="AG45" s="184" t="str">
        <f>IFERROR(IF(VLOOKUP(Sat_W2[[#This Row],[Employee Name]],'Base Schedules'!$A:$AF,32,FALSE)="","",VLOOKUP(Sat_W2[[#This Row],[Employee Name]],'Base Schedules'!$A:$AF,32,FALSE)),"")</f>
        <v/>
      </c>
      <c r="AH45" s="184" t="str">
        <f>IFERROR(IF(VLOOKUP(Sat_W2[[#This Row],[Employee Name]],'Base Schedules'!$A:$AG,33,FALSE)="","",VLOOKUP(Sat_W2[[#This Row],[Employee Name]],'Base Schedules'!$A:$AG,33,FALSE)),"")</f>
        <v/>
      </c>
      <c r="AI45" s="184" t="str">
        <f>IFERROR(IF(VLOOKUP(Sat_W2[[#This Row],[Employee Name]],'Base Schedules'!$A:$AH,34,FALSE)="","",VLOOKUP(Sat_W2[[#This Row],[Employee Name]],'Base Schedules'!$A:$AH,34,FALSE)),"")</f>
        <v/>
      </c>
      <c r="AJ45" s="184" t="str">
        <f>IFERROR(IF(VLOOKUP(Sat_W2[[#This Row],[Employee Name]],'Base Schedules'!$A:$AI,35,FALSE)="","",VLOOKUP(Sat_W2[[#This Row],[Employee Name]],'Base Schedules'!$A:$AI,35,FALSE)),"")</f>
        <v/>
      </c>
      <c r="AK45" s="184" t="str">
        <f>IFERROR(IF(VLOOKUP(Sat_W2[[#This Row],[Employee Name]],'Base Schedules'!$A:$AJ,36,FALSE)="","",VLOOKUP(Sat_W2[[#This Row],[Employee Name]],'Base Schedules'!$A:$AJ,36,FALSE)),"")</f>
        <v/>
      </c>
      <c r="AL45" s="184" t="str">
        <f>IFERROR(IF(VLOOKUP(Sat_W2[[#This Row],[Employee Name]],'Base Schedules'!$A:$AK,37,FALSE)="","",VLOOKUP(Sat_W2[[#This Row],[Employee Name]],'Base Schedules'!$A:$AK,37,FALSE)),"")</f>
        <v/>
      </c>
      <c r="AM45" s="184" t="str">
        <f>IFERROR(IF(VLOOKUP(Sat_W2[[#This Row],[Employee Name]],'Base Schedules'!$A:$AL,38,FALSE)="","",VLOOKUP(Sat_W2[[#This Row],[Employee Name]],'Base Schedules'!$A:$AL,38,FALSE)),"")</f>
        <v/>
      </c>
      <c r="AN45" s="184" t="str">
        <f>IFERROR(IF(VLOOKUP(Sat_W2[[#This Row],[Employee Name]],'Base Schedules'!$A:$AM,39,FALSE)="","",VLOOKUP(Sat_W2[[#This Row],[Employee Name]],'Base Schedules'!$A:$AM,39,FALSE)),"")</f>
        <v/>
      </c>
      <c r="AO45" s="184" t="str">
        <f>IFERROR(IF(VLOOKUP(Sat_W2[[#This Row],[Employee Name]],'Base Schedules'!$A:$AN,40,FALSE)="","",VLOOKUP(Sat_W2[[#This Row],[Employee Name]],'Base Schedules'!$A:$AN,40,FALSE)),"")</f>
        <v/>
      </c>
      <c r="AP45" s="184" t="str">
        <f>IFERROR(IF(VLOOKUP(Sat_W2[[#This Row],[Employee Name]],'Base Schedules'!$A:$AO,41,FALSE)="","",VLOOKUP(Sat_W2[[#This Row],[Employee Name]],'Base Schedules'!$A:$AO,41,FALSE)),"")</f>
        <v/>
      </c>
      <c r="AQ45" s="184" t="str">
        <f>IFERROR(IF(VLOOKUP(Sat_W2[[#This Row],[Employee Name]],'Base Schedules'!$A:$AP,42,FALSE)="","",VLOOKUP(Sat_W2[[#This Row],[Employee Name]],'Base Schedules'!$A:$AP,42,FALSE)),"")</f>
        <v/>
      </c>
      <c r="AR45" s="184" t="str">
        <f>IFERROR(IF(VLOOKUP(Sat_W2[[#This Row],[Employee Name]],'Base Schedules'!$A:$AQ,43,FALSE)="","",VLOOKUP(Sat_W2[[#This Row],[Employee Name]],'Base Schedules'!$A:$AQ,43,FALSE)),"")</f>
        <v/>
      </c>
      <c r="AS45" s="184" t="str">
        <f>IFERROR(IF(VLOOKUP(Sat_W2[[#This Row],[Employee Name]],'Base Schedules'!$A:$AR,44,FALSE)="","",VLOOKUP(Sat_W2[[#This Row],[Employee Name]],'Base Schedules'!$A:$AR,44,FALSE)),"")</f>
        <v/>
      </c>
      <c r="AT45" s="184" t="str">
        <f>IFERROR(IF(VLOOKUP(Sat_W2[[#This Row],[Employee Name]],'Base Schedules'!$A:$AS,45,FALSE)="","",VLOOKUP(Sat_W2[[#This Row],[Employee Name]],'Base Schedules'!$A:$AS,45,FALSE)),"")</f>
        <v/>
      </c>
      <c r="AU45" s="184" t="str">
        <f>IFERROR(IF(VLOOKUP(Sat_W2[[#This Row],[Employee Name]],'Base Schedules'!$A:$AT,46,FALSE)="","",VLOOKUP(Sat_W2[[#This Row],[Employee Name]],'Base Schedules'!$A:$AT,46,FALSE)),"")</f>
        <v/>
      </c>
      <c r="AV45" s="184" t="str">
        <f>IFERROR(IF(VLOOKUP(Sat_W2[[#This Row],[Employee Name]],'Base Schedules'!$A:$AU,47,FALSE)="","",VLOOKUP(Sat_W2[[#This Row],[Employee Name]],'Base Schedules'!$A:$AU,47,FALSE)),"")</f>
        <v/>
      </c>
      <c r="AW45" s="184" t="str">
        <f>IFERROR(IF(VLOOKUP(Sat_W2[[#This Row],[Employee Name]],'Base Schedules'!$A:$AV,48,FALSE)="","",VLOOKUP(Sat_W2[[#This Row],[Employee Name]],'Base Schedules'!$A:$AV,48,FALSE)),"")</f>
        <v/>
      </c>
      <c r="AX45" s="184" t="str">
        <f>IFERROR(IF(VLOOKUP(Sat_W1[[#This Row],[Employee Name]],'Base Schedules'!$A$46:$AW$77,49,FALSE)="","",VLOOKUP(Sat_W1[[#This Row],[Employee Name]],'Base Schedules'!$A$46:$AW$77,49,FALSE)),"")</f>
        <v/>
      </c>
      <c r="AY45" s="159" t="str">
        <f t="shared" si="2"/>
        <v/>
      </c>
    </row>
    <row r="46" spans="1:51" ht="12" hidden="1" customHeight="1" thickBot="1" x14ac:dyDescent="0.25">
      <c r="A46" s="39" t="str">
        <f>IF(B46="","",INDEX(TeamList[],MATCH($B46,TeamList[[Employee Name]:[Employee Name]],0),MATCH("Manager",TeamList[#Headers],0)))</f>
        <v/>
      </c>
      <c r="B46" s="203"/>
      <c r="C46" s="189"/>
      <c r="D46" s="62"/>
      <c r="E46" s="92"/>
      <c r="F46" s="63" t="str">
        <f>IF(Sat_W2[[#This Row],[Employee Name]]="","",IF(Sat_W2[[#This Row],[Dept]]="Supervisor",COUNTIFS($J46:$AX46,"*HL*",$J46:$AX46,"&lt;&gt;"&amp;"pHL"),COUNTIFS($J46:$AX46,"*HL*",$J46:$AX46,"&lt;&gt;"&amp;"*pHL*",$J46:$AX46,"&lt;&gt;"&amp;"pB1 HL",$J46:$AX46,"&lt;&gt;"&amp;"pB2 HL")-SUM(COUNTIFS($J46:$AX46,"*HL B1*",$J46:$AX46,"&lt;&gt;"&amp;"pHL B1")*0.5,COUNTIFS($J46:$AX46,"*HL B2*",$J46:$AX46,"&lt;&gt;"&amp;"pHL B2")*0.5,COUNTIFS($J46:$AX46,"*B1 HL*",$J46:$AX46,"&lt;&gt;"&amp;"pB1 HL")*0.5,COUNTIFS($J46:$AX46,"*B2 HL*",$J46:$AX46,"&lt;&gt;"&amp;"pB2 HL")*0.5)))</f>
        <v/>
      </c>
      <c r="G46" s="63" t="str">
        <f t="shared" si="0"/>
        <v/>
      </c>
      <c r="H46" s="63" t="str">
        <f t="shared" si="1"/>
        <v/>
      </c>
      <c r="I46" s="63" t="str">
        <f>IF(Sat_W2[[#This Row],[Employee Name]]="","",IF(Sat_W2[[#This Row],[Dept]]="Supervisor",SUM(COUNTIFS($J46:$AX46,"RTA*",$J46:$AX46,"&lt;&gt;"&amp;"pRTA"),COUNTIFS($J46:$AX46,"*CRTA*",$J46:$AX46,"&lt;&gt;"&amp;"pCRTA")),COUNTIFS($J46:$AX46,"*RNNR*",$J46:$AX46,"&lt;&gt;"&amp;"*pRNNR*",$J46:$AX46,"&lt;&gt;"&amp;"pB1 RNNR",$J46:$AX46,"&lt;&gt;"&amp;"pB2 RNNR")-SUM(COUNTIFS($J46:$AX46,"*RNNR B1*",$J46:$AX46,"&lt;&gt;"&amp;"pRNNR B1")*0.5,COUNTIFS($J46:$AX46,"*RNNR B2*",$J46:$AX46,"&lt;&gt;"&amp;"pRNNR B2")*0.5,COUNTIFS($J46:$AX46,"*B1 RNNR*",$J46:$AX46,"&lt;&gt;"&amp;"pB1 RNNR")*0.5,COUNTIFS($J46:$AX46,"*B2 RNNR*",$J46:$AX46,"&lt;&gt;"&amp;"pB2 RNNR")*0.5)))</f>
        <v/>
      </c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4"/>
      <c r="AI46" s="184"/>
      <c r="AJ46" s="184"/>
      <c r="AK46" s="184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 t="str">
        <f>IFERROR(IF(VLOOKUP(Sat_W1[[#This Row],[Employee Name]],'Base Schedules'!$A$46:$AW$77,49,FALSE)="","",VLOOKUP(Sat_W1[[#This Row],[Employee Name]],'Base Schedules'!$A$46:$AW$77,49,FALSE)),"")</f>
        <v/>
      </c>
      <c r="AY46" s="200" t="str">
        <f t="shared" si="2"/>
        <v/>
      </c>
    </row>
    <row r="47" spans="1:51" ht="6" customHeight="1" thickBot="1" x14ac:dyDescent="0.25">
      <c r="A47" s="39" t="str">
        <f>IF(B46="","",INDEX(TeamList[],MATCH($B46,TeamList[[Employee Name]:[Employee Name]],0),MATCH("Manager",TeamList[#Headers],0)))</f>
        <v/>
      </c>
      <c r="B47" s="28"/>
      <c r="C47" s="28"/>
      <c r="D47" s="29"/>
      <c r="E47" s="29"/>
      <c r="F47" s="30"/>
      <c r="G47" s="30"/>
      <c r="H47" s="30"/>
      <c r="I47" s="30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8"/>
    </row>
    <row r="48" spans="1:51" ht="13.5" thickBot="1" x14ac:dyDescent="0.25">
      <c r="B48" s="20"/>
      <c r="C48" s="21"/>
      <c r="D48" s="21"/>
      <c r="E48" s="21" t="s">
        <v>92</v>
      </c>
      <c r="F48" s="21">
        <f>SUM(F9:F46)</f>
        <v>110.5</v>
      </c>
      <c r="G48" s="21">
        <f>SUM(G9:G46)</f>
        <v>46</v>
      </c>
      <c r="H48" s="21">
        <f>SUM(H9:H46)</f>
        <v>113</v>
      </c>
      <c r="I48" s="21">
        <f>SUM(I9:I46)</f>
        <v>22</v>
      </c>
      <c r="J48" s="27" t="str">
        <f>Sat_W2[[#Headers],[0500]]</f>
        <v>0500</v>
      </c>
      <c r="K48" s="27" t="str">
        <f>Sat_W2[[#Headers],[0530]]</f>
        <v>0530</v>
      </c>
      <c r="L48" s="27" t="str">
        <f>Sat_W2[[#Headers],[0600]]</f>
        <v>0600</v>
      </c>
      <c r="M48" s="27" t="str">
        <f>Sat_W2[[#Headers],[0630]]</f>
        <v>0630</v>
      </c>
      <c r="N48" s="27" t="str">
        <f>Sat_W2[[#Headers],[0700]]</f>
        <v>0700</v>
      </c>
      <c r="O48" s="27" t="str">
        <f>Sat_W2[[#Headers],[0730]]</f>
        <v>0730</v>
      </c>
      <c r="P48" s="27" t="str">
        <f>Sat_W2[[#Headers],[0800]]</f>
        <v>0800</v>
      </c>
      <c r="Q48" s="27" t="str">
        <f>Sat_W2[[#Headers],[0830]]</f>
        <v>0830</v>
      </c>
      <c r="R48" s="27" t="str">
        <f>Sat_W2[[#Headers],[0900]]</f>
        <v>0900</v>
      </c>
      <c r="S48" s="27" t="str">
        <f>Sat_W2[[#Headers],[0930]]</f>
        <v>0930</v>
      </c>
      <c r="T48" s="27" t="str">
        <f>Sat_W2[[#Headers],[1000]]</f>
        <v>1000</v>
      </c>
      <c r="U48" s="27" t="str">
        <f>Sat_W2[[#Headers],[1030]]</f>
        <v>1030</v>
      </c>
      <c r="V48" s="27" t="str">
        <f>Sat_W2[[#Headers],[1100]]</f>
        <v>1100</v>
      </c>
      <c r="W48" s="27" t="str">
        <f>Sat_W2[[#Headers],[1130]]</f>
        <v>1130</v>
      </c>
      <c r="X48" s="27" t="str">
        <f>Sat_W2[[#Headers],[1200]]</f>
        <v>1200</v>
      </c>
      <c r="Y48" s="27" t="str">
        <f>Sat_W2[[#Headers],[1230]]</f>
        <v>1230</v>
      </c>
      <c r="Z48" s="27" t="str">
        <f>Sat_W2[[#Headers],[1300]]</f>
        <v>1300</v>
      </c>
      <c r="AA48" s="27" t="str">
        <f>Sat_W2[[#Headers],[1330]]</f>
        <v>1330</v>
      </c>
      <c r="AB48" s="27" t="str">
        <f>Sat_W2[[#Headers],[1400]]</f>
        <v>1400</v>
      </c>
      <c r="AC48" s="27" t="str">
        <f>Sat_W2[[#Headers],[1430]]</f>
        <v>1430</v>
      </c>
      <c r="AD48" s="27" t="str">
        <f>Sat_W2[[#Headers],[1500]]</f>
        <v>1500</v>
      </c>
      <c r="AE48" s="27" t="str">
        <f>Sat_W2[[#Headers],[1530]]</f>
        <v>1530</v>
      </c>
      <c r="AF48" s="27" t="str">
        <f>Sat_W2[[#Headers],[1600]]</f>
        <v>1600</v>
      </c>
      <c r="AG48" s="27" t="str">
        <f>Sat_W2[[#Headers],[1630]]</f>
        <v>1630</v>
      </c>
      <c r="AH48" s="27" t="str">
        <f>Sat_W2[[#Headers],[1700]]</f>
        <v>1700</v>
      </c>
      <c r="AI48" s="27" t="str">
        <f>Sat_W2[[#Headers],[1730]]</f>
        <v>1730</v>
      </c>
      <c r="AJ48" s="27" t="str">
        <f>Sat_W2[[#Headers],[1800]]</f>
        <v>1800</v>
      </c>
      <c r="AK48" s="27" t="str">
        <f>Sat_W2[[#Headers],[1830]]</f>
        <v>1830</v>
      </c>
      <c r="AL48" s="27" t="str">
        <f>Sat_W2[[#Headers],[1900]]</f>
        <v>1900</v>
      </c>
      <c r="AM48" s="27" t="str">
        <f>Sat_W2[[#Headers],[1930]]</f>
        <v>1930</v>
      </c>
      <c r="AN48" s="27" t="str">
        <f>Sat_W2[[#Headers],[2000]]</f>
        <v>2000</v>
      </c>
      <c r="AO48" s="27" t="str">
        <f>Sat_W2[[#Headers],[2030]]</f>
        <v>2030</v>
      </c>
      <c r="AP48" s="27" t="str">
        <f>Sat_W2[[#Headers],[2100]]</f>
        <v>2100</v>
      </c>
      <c r="AQ48" s="27" t="str">
        <f>Sat_W2[[#Headers],[2130]]</f>
        <v>2130</v>
      </c>
      <c r="AR48" s="27" t="str">
        <f>Sat_W2[[#Headers],[2200]]</f>
        <v>2200</v>
      </c>
      <c r="AS48" s="27" t="str">
        <f>Sat_W2[[#Headers],[2230]]</f>
        <v>2230</v>
      </c>
      <c r="AT48" s="27" t="str">
        <f>Sat_W2[[#Headers],[2300]]</f>
        <v>2300</v>
      </c>
      <c r="AU48" s="27" t="str">
        <f>Sat_W2[[#Headers],[2330]]</f>
        <v>2330</v>
      </c>
      <c r="AV48" s="27" t="str">
        <f>Sat_W2[[#Headers],[0000]]</f>
        <v>0000</v>
      </c>
      <c r="AW48" s="27" t="str">
        <f>Sat_W2[[#Headers],[0030]]</f>
        <v>0030</v>
      </c>
      <c r="AX48" s="27" t="str">
        <f>Sat_W2[[#Headers],[0100]]</f>
        <v>0100</v>
      </c>
      <c r="AY48" s="222" t="s">
        <v>2</v>
      </c>
    </row>
    <row r="49" spans="2:53" ht="6" customHeight="1" thickBot="1" x14ac:dyDescent="0.25">
      <c r="G49" s="223"/>
      <c r="H49" s="224"/>
      <c r="I49" s="225"/>
      <c r="J49" s="224"/>
      <c r="K49" s="224"/>
      <c r="L49" s="224"/>
      <c r="M49" s="224"/>
      <c r="N49" s="224"/>
      <c r="O49" s="224"/>
      <c r="P49" s="224"/>
      <c r="Q49" s="224"/>
      <c r="R49" s="224"/>
      <c r="S49" s="224"/>
      <c r="T49" s="224"/>
      <c r="U49" s="224"/>
      <c r="V49" s="224"/>
      <c r="W49" s="224"/>
      <c r="X49" s="224"/>
      <c r="Y49" s="224"/>
      <c r="Z49" s="224"/>
      <c r="AA49" s="224"/>
      <c r="AB49" s="224"/>
      <c r="AC49" s="224"/>
      <c r="AD49" s="224"/>
      <c r="AE49" s="224"/>
      <c r="AF49" s="224"/>
      <c r="AG49" s="224"/>
      <c r="AH49" s="224"/>
      <c r="AI49" s="224"/>
      <c r="AJ49" s="224"/>
      <c r="AK49" s="224"/>
      <c r="AL49" s="224"/>
      <c r="AM49" s="224"/>
      <c r="AN49" s="224"/>
      <c r="AO49" s="224"/>
      <c r="AP49" s="224"/>
      <c r="AQ49" s="224"/>
      <c r="AR49" s="224"/>
      <c r="AS49" s="224"/>
      <c r="AT49" s="224"/>
      <c r="AU49" s="224"/>
      <c r="AV49" s="224"/>
      <c r="AW49" s="225"/>
      <c r="AX49" s="226">
        <f>SUM(J49:AW49)</f>
        <v>0</v>
      </c>
      <c r="AY49" s="227">
        <f t="shared" ref="AY49" si="3">G49</f>
        <v>0</v>
      </c>
    </row>
    <row r="50" spans="2:53" ht="18.75" x14ac:dyDescent="0.3">
      <c r="B50" s="484" t="s">
        <v>368</v>
      </c>
      <c r="C50" s="484"/>
      <c r="D50" s="453"/>
      <c r="E50" s="453"/>
      <c r="F50" s="453"/>
      <c r="G50" s="484" t="s">
        <v>368</v>
      </c>
      <c r="H50" s="484"/>
      <c r="I50" s="484"/>
      <c r="J50" s="455">
        <f>COUNTIF(J9:J46,"RNNR")</f>
        <v>0</v>
      </c>
      <c r="K50" s="455">
        <f t="shared" ref="K50:AW50" si="4">COUNTIF(K9:K46,"RNNR")</f>
        <v>0</v>
      </c>
      <c r="L50" s="455">
        <f t="shared" si="4"/>
        <v>0</v>
      </c>
      <c r="M50" s="455">
        <f t="shared" si="4"/>
        <v>0</v>
      </c>
      <c r="N50" s="455">
        <f t="shared" si="4"/>
        <v>0</v>
      </c>
      <c r="O50" s="455">
        <f t="shared" si="4"/>
        <v>0</v>
      </c>
      <c r="P50" s="455">
        <f t="shared" si="4"/>
        <v>1</v>
      </c>
      <c r="Q50" s="455">
        <f t="shared" si="4"/>
        <v>1</v>
      </c>
      <c r="R50" s="455">
        <f t="shared" si="4"/>
        <v>0</v>
      </c>
      <c r="S50" s="455">
        <f t="shared" si="4"/>
        <v>0</v>
      </c>
      <c r="T50" s="455">
        <f t="shared" si="4"/>
        <v>1</v>
      </c>
      <c r="U50" s="455">
        <f t="shared" si="4"/>
        <v>1</v>
      </c>
      <c r="V50" s="455">
        <f t="shared" si="4"/>
        <v>1</v>
      </c>
      <c r="W50" s="455">
        <f t="shared" si="4"/>
        <v>1</v>
      </c>
      <c r="X50" s="455">
        <f t="shared" si="4"/>
        <v>1</v>
      </c>
      <c r="Y50" s="455">
        <f t="shared" si="4"/>
        <v>1</v>
      </c>
      <c r="Z50" s="455">
        <f t="shared" si="4"/>
        <v>1</v>
      </c>
      <c r="AA50" s="455">
        <f t="shared" si="4"/>
        <v>1</v>
      </c>
      <c r="AB50" s="455">
        <f t="shared" si="4"/>
        <v>1</v>
      </c>
      <c r="AC50" s="455">
        <f t="shared" si="4"/>
        <v>1</v>
      </c>
      <c r="AD50" s="455">
        <f t="shared" si="4"/>
        <v>1</v>
      </c>
      <c r="AE50" s="455">
        <f t="shared" si="4"/>
        <v>1</v>
      </c>
      <c r="AF50" s="455">
        <f t="shared" si="4"/>
        <v>1</v>
      </c>
      <c r="AG50" s="455">
        <f t="shared" si="4"/>
        <v>1</v>
      </c>
      <c r="AH50" s="455">
        <f t="shared" si="4"/>
        <v>1</v>
      </c>
      <c r="AI50" s="455">
        <f t="shared" si="4"/>
        <v>1</v>
      </c>
      <c r="AJ50" s="455">
        <f t="shared" si="4"/>
        <v>1</v>
      </c>
      <c r="AK50" s="455">
        <f t="shared" si="4"/>
        <v>1</v>
      </c>
      <c r="AL50" s="455">
        <f t="shared" si="4"/>
        <v>1</v>
      </c>
      <c r="AM50" s="455">
        <f t="shared" si="4"/>
        <v>1</v>
      </c>
      <c r="AN50" s="455">
        <f t="shared" si="4"/>
        <v>0</v>
      </c>
      <c r="AO50" s="455">
        <f t="shared" si="4"/>
        <v>0</v>
      </c>
      <c r="AP50" s="455">
        <f t="shared" si="4"/>
        <v>0</v>
      </c>
      <c r="AQ50" s="455">
        <f t="shared" si="4"/>
        <v>0</v>
      </c>
      <c r="AR50" s="455">
        <f t="shared" si="4"/>
        <v>0</v>
      </c>
      <c r="AS50" s="455">
        <f t="shared" si="4"/>
        <v>0</v>
      </c>
      <c r="AT50" s="455">
        <f t="shared" si="4"/>
        <v>0</v>
      </c>
      <c r="AU50" s="455">
        <f t="shared" si="4"/>
        <v>0</v>
      </c>
      <c r="AV50" s="455">
        <f t="shared" si="4"/>
        <v>0</v>
      </c>
      <c r="AW50" s="455">
        <f t="shared" si="4"/>
        <v>0</v>
      </c>
      <c r="AX50" s="451">
        <f>AVERAGE(J50:AW50)</f>
        <v>0.55000000000000004</v>
      </c>
      <c r="AY50" s="485" t="s">
        <v>368</v>
      </c>
      <c r="AZ50" s="485"/>
      <c r="BA50" s="35">
        <v>0</v>
      </c>
    </row>
    <row r="51" spans="2:53" ht="15.75" customHeight="1" x14ac:dyDescent="0.3">
      <c r="B51" s="484" t="s">
        <v>581</v>
      </c>
      <c r="C51" s="484"/>
      <c r="D51" s="453"/>
      <c r="E51" s="453"/>
      <c r="F51" s="453"/>
      <c r="G51" s="484" t="s">
        <v>581</v>
      </c>
      <c r="H51" s="484"/>
      <c r="I51" s="484"/>
      <c r="J51" s="458">
        <f>COUNTIF(J9:J46,"HL")</f>
        <v>1</v>
      </c>
      <c r="K51" s="458">
        <f t="shared" ref="K51:AW51" si="5">COUNTIF(K9:K46,"HL")</f>
        <v>2</v>
      </c>
      <c r="L51" s="458">
        <f t="shared" si="5"/>
        <v>2</v>
      </c>
      <c r="M51" s="458">
        <f t="shared" si="5"/>
        <v>2</v>
      </c>
      <c r="N51" s="458">
        <f t="shared" si="5"/>
        <v>2</v>
      </c>
      <c r="O51" s="458">
        <f t="shared" si="5"/>
        <v>2</v>
      </c>
      <c r="P51" s="458">
        <f t="shared" si="5"/>
        <v>3</v>
      </c>
      <c r="Q51" s="458">
        <f t="shared" si="5"/>
        <v>2</v>
      </c>
      <c r="R51" s="458">
        <f t="shared" si="5"/>
        <v>3</v>
      </c>
      <c r="S51" s="458">
        <f t="shared" si="5"/>
        <v>2</v>
      </c>
      <c r="T51" s="458">
        <f t="shared" si="5"/>
        <v>2</v>
      </c>
      <c r="U51" s="458">
        <f t="shared" si="5"/>
        <v>2</v>
      </c>
      <c r="V51" s="458">
        <f t="shared" si="5"/>
        <v>3</v>
      </c>
      <c r="W51" s="458">
        <f t="shared" si="5"/>
        <v>3</v>
      </c>
      <c r="X51" s="458">
        <f t="shared" si="5"/>
        <v>2</v>
      </c>
      <c r="Y51" s="458">
        <f t="shared" si="5"/>
        <v>4</v>
      </c>
      <c r="Z51" s="458">
        <f t="shared" si="5"/>
        <v>6</v>
      </c>
      <c r="AA51" s="458">
        <f t="shared" si="5"/>
        <v>2</v>
      </c>
      <c r="AB51" s="458">
        <f t="shared" si="5"/>
        <v>4</v>
      </c>
      <c r="AC51" s="458">
        <f t="shared" si="5"/>
        <v>4</v>
      </c>
      <c r="AD51" s="458">
        <f t="shared" si="5"/>
        <v>3</v>
      </c>
      <c r="AE51" s="458">
        <f t="shared" si="5"/>
        <v>2</v>
      </c>
      <c r="AF51" s="458">
        <f t="shared" si="5"/>
        <v>3</v>
      </c>
      <c r="AG51" s="458">
        <f t="shared" si="5"/>
        <v>3</v>
      </c>
      <c r="AH51" s="458">
        <f t="shared" si="5"/>
        <v>2</v>
      </c>
      <c r="AI51" s="458">
        <f t="shared" si="5"/>
        <v>3</v>
      </c>
      <c r="AJ51" s="458">
        <f t="shared" si="5"/>
        <v>4</v>
      </c>
      <c r="AK51" s="458">
        <f t="shared" si="5"/>
        <v>3</v>
      </c>
      <c r="AL51" s="458">
        <f t="shared" si="5"/>
        <v>4</v>
      </c>
      <c r="AM51" s="458">
        <f t="shared" si="5"/>
        <v>4</v>
      </c>
      <c r="AN51" s="458">
        <f t="shared" si="5"/>
        <v>2</v>
      </c>
      <c r="AO51" s="458">
        <f t="shared" si="5"/>
        <v>3</v>
      </c>
      <c r="AP51" s="458">
        <f t="shared" si="5"/>
        <v>2</v>
      </c>
      <c r="AQ51" s="458">
        <f t="shared" si="5"/>
        <v>2</v>
      </c>
      <c r="AR51" s="458">
        <f t="shared" si="5"/>
        <v>2</v>
      </c>
      <c r="AS51" s="458">
        <f t="shared" si="5"/>
        <v>2</v>
      </c>
      <c r="AT51" s="458">
        <f t="shared" si="5"/>
        <v>1</v>
      </c>
      <c r="AU51" s="458">
        <f t="shared" si="5"/>
        <v>2</v>
      </c>
      <c r="AV51" s="458">
        <f t="shared" si="5"/>
        <v>1</v>
      </c>
      <c r="AW51" s="458">
        <f t="shared" si="5"/>
        <v>1</v>
      </c>
      <c r="AX51" s="452">
        <f>SUM(J51:AW51)</f>
        <v>102</v>
      </c>
      <c r="AY51" s="485" t="s">
        <v>581</v>
      </c>
      <c r="AZ51" s="485"/>
    </row>
    <row r="52" spans="2:53" ht="18.75" x14ac:dyDescent="0.3">
      <c r="B52" s="484" t="s">
        <v>588</v>
      </c>
      <c r="C52" s="484"/>
      <c r="D52" s="453"/>
      <c r="E52" s="453"/>
      <c r="F52" s="453"/>
      <c r="G52" s="484" t="s">
        <v>589</v>
      </c>
      <c r="H52" s="484"/>
      <c r="I52" s="484"/>
      <c r="J52" s="460">
        <f>[1]Weighted!$B$27</f>
        <v>1.1000000000000001</v>
      </c>
      <c r="K52" s="460">
        <f>[1]Weighted!C$5</f>
        <v>1.05</v>
      </c>
      <c r="L52" s="460">
        <f>[1]Weighted!D$5</f>
        <v>1.05</v>
      </c>
      <c r="M52" s="460">
        <f>[1]Weighted!E$5</f>
        <v>1.05</v>
      </c>
      <c r="N52" s="460">
        <f>[1]Weighted!F$5</f>
        <v>1.05</v>
      </c>
      <c r="O52" s="460">
        <f>[1]Weighted!G$5</f>
        <v>1.05</v>
      </c>
      <c r="P52" s="460">
        <f>[1]Weighted!H$5</f>
        <v>2.1</v>
      </c>
      <c r="Q52" s="460">
        <f>[1]Weighted!I$5</f>
        <v>1.05</v>
      </c>
      <c r="R52" s="460">
        <f>[1]Weighted!J$5</f>
        <v>2.1</v>
      </c>
      <c r="S52" s="460">
        <f>[1]Weighted!K$5</f>
        <v>2.1</v>
      </c>
      <c r="T52" s="460">
        <f>[1]Weighted!L$5</f>
        <v>2.1</v>
      </c>
      <c r="U52" s="460">
        <f>[1]Weighted!M$5</f>
        <v>1.05</v>
      </c>
      <c r="V52" s="460">
        <f>[1]Weighted!N$5</f>
        <v>1.05</v>
      </c>
      <c r="W52" s="460">
        <f>[1]Weighted!O$5</f>
        <v>2.1</v>
      </c>
      <c r="X52" s="460">
        <f>[1]Weighted!P$5</f>
        <v>2.1</v>
      </c>
      <c r="Y52" s="460">
        <f>[1]Weighted!Q$5</f>
        <v>3.1500000000000004</v>
      </c>
      <c r="Z52" s="460">
        <f>[1]Weighted!R$5</f>
        <v>3.1500000000000004</v>
      </c>
      <c r="AA52" s="460">
        <f>[1]Weighted!S$5</f>
        <v>2.1</v>
      </c>
      <c r="AB52" s="460">
        <f>[1]Weighted!T$5</f>
        <v>2.1</v>
      </c>
      <c r="AC52" s="460">
        <f>[1]Weighted!U$5</f>
        <v>2.1</v>
      </c>
      <c r="AD52" s="460">
        <f>[1]Weighted!V$5</f>
        <v>3.1500000000000004</v>
      </c>
      <c r="AE52" s="460">
        <f>[1]Weighted!W$5</f>
        <v>1.05</v>
      </c>
      <c r="AF52" s="460">
        <f>[1]Weighted!X$5</f>
        <v>1.05</v>
      </c>
      <c r="AG52" s="460">
        <f>[1]Weighted!Y$5</f>
        <v>2.1</v>
      </c>
      <c r="AH52" s="460">
        <f>[1]Weighted!Z$5</f>
        <v>1.05</v>
      </c>
      <c r="AI52" s="460">
        <f>[1]Weighted!AA$5</f>
        <v>2.1</v>
      </c>
      <c r="AJ52" s="460">
        <f>[1]Weighted!AB$5</f>
        <v>2.1</v>
      </c>
      <c r="AK52" s="460">
        <f>[1]Weighted!AC$5</f>
        <v>2.1</v>
      </c>
      <c r="AL52" s="460">
        <f>[1]Weighted!AD$5</f>
        <v>1.05</v>
      </c>
      <c r="AM52" s="460">
        <f>[1]Weighted!AE$5</f>
        <v>1.05</v>
      </c>
      <c r="AN52" s="460">
        <f>[1]Weighted!AF$5</f>
        <v>1.05</v>
      </c>
      <c r="AO52" s="460">
        <f>[1]Weighted!AG$5</f>
        <v>2.1</v>
      </c>
      <c r="AP52" s="460">
        <f>[1]Weighted!AH$5</f>
        <v>1.05</v>
      </c>
      <c r="AQ52" s="460">
        <f>[1]Weighted!AI$5</f>
        <v>1.05</v>
      </c>
      <c r="AR52" s="460">
        <f>[1]Weighted!AJ$5</f>
        <v>1.05</v>
      </c>
      <c r="AS52" s="460">
        <f>[1]Weighted!AK$5</f>
        <v>1.05</v>
      </c>
      <c r="AT52" s="460">
        <f>[1]Weighted!AL$5</f>
        <v>1.05</v>
      </c>
      <c r="AU52" s="460">
        <f>[1]Weighted!AM$5</f>
        <v>1.05</v>
      </c>
      <c r="AV52" s="460">
        <f>[1]Weighted!AN$5</f>
        <v>1.05</v>
      </c>
      <c r="AW52" s="460">
        <f>[1]Weighted!AO$5</f>
        <v>1.05</v>
      </c>
      <c r="AX52" s="452">
        <f>SUM(J52:AW52)</f>
        <v>63.049999999999969</v>
      </c>
      <c r="AY52" s="485" t="s">
        <v>588</v>
      </c>
      <c r="AZ52" s="485"/>
    </row>
    <row r="53" spans="2:53" ht="19.5" thickBot="1" x14ac:dyDescent="0.35">
      <c r="B53" s="484" t="s">
        <v>590</v>
      </c>
      <c r="C53" s="484"/>
      <c r="D53" s="453"/>
      <c r="E53" s="453"/>
      <c r="F53" s="453"/>
      <c r="G53" s="484" t="s">
        <v>590</v>
      </c>
      <c r="H53" s="484"/>
      <c r="I53" s="484"/>
      <c r="J53" s="460">
        <f>ROUNDUP(J52/2,0)</f>
        <v>1</v>
      </c>
      <c r="K53" s="460">
        <f t="shared" ref="K53:AW53" si="6">ROUNDUP(K52/2,0)</f>
        <v>1</v>
      </c>
      <c r="L53" s="460">
        <f t="shared" si="6"/>
        <v>1</v>
      </c>
      <c r="M53" s="460">
        <f t="shared" si="6"/>
        <v>1</v>
      </c>
      <c r="N53" s="460">
        <f t="shared" si="6"/>
        <v>1</v>
      </c>
      <c r="O53" s="460">
        <f t="shared" si="6"/>
        <v>1</v>
      </c>
      <c r="P53" s="460">
        <f t="shared" si="6"/>
        <v>2</v>
      </c>
      <c r="Q53" s="460">
        <f t="shared" si="6"/>
        <v>1</v>
      </c>
      <c r="R53" s="460">
        <f t="shared" si="6"/>
        <v>2</v>
      </c>
      <c r="S53" s="460">
        <f t="shared" si="6"/>
        <v>2</v>
      </c>
      <c r="T53" s="460">
        <f t="shared" si="6"/>
        <v>2</v>
      </c>
      <c r="U53" s="460">
        <f t="shared" si="6"/>
        <v>1</v>
      </c>
      <c r="V53" s="460">
        <f t="shared" si="6"/>
        <v>1</v>
      </c>
      <c r="W53" s="460">
        <f t="shared" si="6"/>
        <v>2</v>
      </c>
      <c r="X53" s="460">
        <f t="shared" si="6"/>
        <v>2</v>
      </c>
      <c r="Y53" s="460">
        <f t="shared" si="6"/>
        <v>2</v>
      </c>
      <c r="Z53" s="460">
        <f t="shared" si="6"/>
        <v>2</v>
      </c>
      <c r="AA53" s="460">
        <f t="shared" si="6"/>
        <v>2</v>
      </c>
      <c r="AB53" s="460">
        <f t="shared" si="6"/>
        <v>2</v>
      </c>
      <c r="AC53" s="460">
        <f t="shared" si="6"/>
        <v>2</v>
      </c>
      <c r="AD53" s="460">
        <f t="shared" si="6"/>
        <v>2</v>
      </c>
      <c r="AE53" s="460">
        <f t="shared" si="6"/>
        <v>1</v>
      </c>
      <c r="AF53" s="460">
        <f t="shared" si="6"/>
        <v>1</v>
      </c>
      <c r="AG53" s="460">
        <f t="shared" si="6"/>
        <v>2</v>
      </c>
      <c r="AH53" s="460">
        <f t="shared" si="6"/>
        <v>1</v>
      </c>
      <c r="AI53" s="460">
        <f t="shared" si="6"/>
        <v>2</v>
      </c>
      <c r="AJ53" s="460">
        <f t="shared" si="6"/>
        <v>2</v>
      </c>
      <c r="AK53" s="460">
        <f t="shared" si="6"/>
        <v>2</v>
      </c>
      <c r="AL53" s="460">
        <f t="shared" si="6"/>
        <v>1</v>
      </c>
      <c r="AM53" s="460">
        <f t="shared" si="6"/>
        <v>1</v>
      </c>
      <c r="AN53" s="460">
        <f t="shared" si="6"/>
        <v>1</v>
      </c>
      <c r="AO53" s="460">
        <f t="shared" si="6"/>
        <v>2</v>
      </c>
      <c r="AP53" s="460">
        <f t="shared" si="6"/>
        <v>1</v>
      </c>
      <c r="AQ53" s="460">
        <f t="shared" si="6"/>
        <v>1</v>
      </c>
      <c r="AR53" s="460">
        <f t="shared" si="6"/>
        <v>1</v>
      </c>
      <c r="AS53" s="460">
        <f t="shared" si="6"/>
        <v>1</v>
      </c>
      <c r="AT53" s="460">
        <f t="shared" si="6"/>
        <v>1</v>
      </c>
      <c r="AU53" s="460">
        <f t="shared" si="6"/>
        <v>1</v>
      </c>
      <c r="AV53" s="460">
        <f t="shared" si="6"/>
        <v>1</v>
      </c>
      <c r="AW53" s="460">
        <f t="shared" si="6"/>
        <v>1</v>
      </c>
      <c r="AX53" s="452">
        <f>SUM(J53:AW53)</f>
        <v>57</v>
      </c>
      <c r="AY53" s="485" t="s">
        <v>590</v>
      </c>
      <c r="AZ53" s="485"/>
    </row>
    <row r="54" spans="2:53" ht="18.75" x14ac:dyDescent="0.3">
      <c r="B54" s="484" t="s">
        <v>591</v>
      </c>
      <c r="C54" s="484"/>
      <c r="D54" s="453"/>
      <c r="E54" s="453"/>
      <c r="F54" s="453"/>
      <c r="G54" s="484" t="s">
        <v>591</v>
      </c>
      <c r="H54" s="484"/>
      <c r="I54" s="484"/>
      <c r="J54" s="461">
        <f>J51-J53</f>
        <v>0</v>
      </c>
      <c r="K54" s="461">
        <f t="shared" ref="K54:AW54" si="7">K51-K53</f>
        <v>1</v>
      </c>
      <c r="L54" s="461">
        <f t="shared" si="7"/>
        <v>1</v>
      </c>
      <c r="M54" s="461">
        <f t="shared" si="7"/>
        <v>1</v>
      </c>
      <c r="N54" s="461">
        <f t="shared" si="7"/>
        <v>1</v>
      </c>
      <c r="O54" s="461">
        <f t="shared" si="7"/>
        <v>1</v>
      </c>
      <c r="P54" s="461">
        <f t="shared" si="7"/>
        <v>1</v>
      </c>
      <c r="Q54" s="461">
        <f t="shared" si="7"/>
        <v>1</v>
      </c>
      <c r="R54" s="461">
        <f t="shared" si="7"/>
        <v>1</v>
      </c>
      <c r="S54" s="461">
        <f t="shared" si="7"/>
        <v>0</v>
      </c>
      <c r="T54" s="461">
        <f t="shared" si="7"/>
        <v>0</v>
      </c>
      <c r="U54" s="461">
        <f t="shared" si="7"/>
        <v>1</v>
      </c>
      <c r="V54" s="461">
        <f t="shared" si="7"/>
        <v>2</v>
      </c>
      <c r="W54" s="461">
        <f t="shared" si="7"/>
        <v>1</v>
      </c>
      <c r="X54" s="461">
        <f t="shared" si="7"/>
        <v>0</v>
      </c>
      <c r="Y54" s="461">
        <f t="shared" si="7"/>
        <v>2</v>
      </c>
      <c r="Z54" s="461">
        <f t="shared" si="7"/>
        <v>4</v>
      </c>
      <c r="AA54" s="461">
        <f t="shared" si="7"/>
        <v>0</v>
      </c>
      <c r="AB54" s="461">
        <f t="shared" si="7"/>
        <v>2</v>
      </c>
      <c r="AC54" s="461">
        <f t="shared" si="7"/>
        <v>2</v>
      </c>
      <c r="AD54" s="461">
        <f t="shared" si="7"/>
        <v>1</v>
      </c>
      <c r="AE54" s="461">
        <f t="shared" si="7"/>
        <v>1</v>
      </c>
      <c r="AF54" s="461">
        <f t="shared" si="7"/>
        <v>2</v>
      </c>
      <c r="AG54" s="461">
        <f t="shared" si="7"/>
        <v>1</v>
      </c>
      <c r="AH54" s="461">
        <f t="shared" si="7"/>
        <v>1</v>
      </c>
      <c r="AI54" s="461">
        <f t="shared" si="7"/>
        <v>1</v>
      </c>
      <c r="AJ54" s="461">
        <f t="shared" si="7"/>
        <v>2</v>
      </c>
      <c r="AK54" s="461">
        <f t="shared" si="7"/>
        <v>1</v>
      </c>
      <c r="AL54" s="461">
        <f t="shared" si="7"/>
        <v>3</v>
      </c>
      <c r="AM54" s="461">
        <f t="shared" si="7"/>
        <v>3</v>
      </c>
      <c r="AN54" s="461">
        <f t="shared" si="7"/>
        <v>1</v>
      </c>
      <c r="AO54" s="461">
        <f t="shared" si="7"/>
        <v>1</v>
      </c>
      <c r="AP54" s="461">
        <f t="shared" si="7"/>
        <v>1</v>
      </c>
      <c r="AQ54" s="461">
        <f t="shared" si="7"/>
        <v>1</v>
      </c>
      <c r="AR54" s="461">
        <f t="shared" si="7"/>
        <v>1</v>
      </c>
      <c r="AS54" s="461">
        <f t="shared" si="7"/>
        <v>1</v>
      </c>
      <c r="AT54" s="461">
        <f t="shared" si="7"/>
        <v>0</v>
      </c>
      <c r="AU54" s="461">
        <f t="shared" si="7"/>
        <v>1</v>
      </c>
      <c r="AV54" s="461">
        <f t="shared" si="7"/>
        <v>0</v>
      </c>
      <c r="AW54" s="461">
        <f t="shared" si="7"/>
        <v>0</v>
      </c>
      <c r="AX54" s="454">
        <f>AVERAGE(J54:AW54)</f>
        <v>1.125</v>
      </c>
      <c r="AY54" s="486" t="s">
        <v>591</v>
      </c>
      <c r="AZ54" s="486"/>
      <c r="BA54" s="35">
        <v>1</v>
      </c>
    </row>
    <row r="55" spans="2:53" x14ac:dyDescent="0.2"/>
    <row r="56" spans="2:53" x14ac:dyDescent="0.2"/>
    <row r="57" spans="2:53" x14ac:dyDescent="0.2"/>
    <row r="58" spans="2:53" x14ac:dyDescent="0.2"/>
    <row r="59" spans="2:53" x14ac:dyDescent="0.2"/>
    <row r="60" spans="2:53" x14ac:dyDescent="0.2"/>
    <row r="61" spans="2:53" x14ac:dyDescent="0.2"/>
    <row r="62" spans="2:53" x14ac:dyDescent="0.2"/>
    <row r="63" spans="2:53" x14ac:dyDescent="0.2"/>
    <row r="64" spans="2:53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</sheetData>
  <sheetProtection autoFilter="0"/>
  <mergeCells count="17">
    <mergeCell ref="B53:C53"/>
    <mergeCell ref="G53:I53"/>
    <mergeCell ref="AY53:AZ53"/>
    <mergeCell ref="B54:C54"/>
    <mergeCell ref="G54:I54"/>
    <mergeCell ref="AY54:AZ54"/>
    <mergeCell ref="AY50:AZ50"/>
    <mergeCell ref="AY51:AZ51"/>
    <mergeCell ref="B52:C52"/>
    <mergeCell ref="G52:I52"/>
    <mergeCell ref="AY52:AZ52"/>
    <mergeCell ref="B3:C3"/>
    <mergeCell ref="F6:I6"/>
    <mergeCell ref="G51:I51"/>
    <mergeCell ref="G50:I50"/>
    <mergeCell ref="B50:C50"/>
    <mergeCell ref="B51:C51"/>
  </mergeCells>
  <conditionalFormatting sqref="BA50">
    <cfRule type="colorScale" priority="3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">
    <cfRule type="colorScale" priority="3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9:AX46">
    <cfRule type="containsBlanks" dxfId="494" priority="28" stopIfTrue="1">
      <formula>LEN(TRIM(J9))=0</formula>
    </cfRule>
    <cfRule type="beginsWith" dxfId="493" priority="30" stopIfTrue="1" operator="beginsWith" text="u">
      <formula>LEFT(J9,LEN("u"))="u"</formula>
    </cfRule>
    <cfRule type="beginsWith" dxfId="492" priority="31" stopIfTrue="1" operator="beginsWith" text="p">
      <formula>LEFT(J9,LEN("p"))="p"</formula>
    </cfRule>
    <cfRule type="containsText" dxfId="491" priority="32" stopIfTrue="1" operator="containsText" text="B1">
      <formula>NOT(ISERROR(SEARCH("B1",J9)))</formula>
    </cfRule>
    <cfRule type="containsText" dxfId="490" priority="33" stopIfTrue="1" operator="containsText" text="B2">
      <formula>NOT(ISERROR(SEARCH("B2",J9)))</formula>
    </cfRule>
    <cfRule type="containsText" dxfId="489" priority="34" stopIfTrue="1" operator="containsText" text="Lunch">
      <formula>NOT(ISERROR(SEARCH("Lunch",J9)))</formula>
    </cfRule>
    <cfRule type="containsText" dxfId="488" priority="35" stopIfTrue="1" operator="containsText" text="Interview">
      <formula>NOT(ISERROR(SEARCH("Interview",J9)))</formula>
    </cfRule>
    <cfRule type="containsText" dxfId="487" priority="36" stopIfTrue="1" operator="containsText" text="Side by Side">
      <formula>NOT(ISERROR(SEARCH("Side by Side",J9)))</formula>
    </cfRule>
    <cfRule type="containsText" dxfId="486" priority="37" stopIfTrue="1" operator="containsText" text="COACHING">
      <formula>NOT(ISERROR(SEARCH("COACHING",J9)))</formula>
    </cfRule>
    <cfRule type="containsText" dxfId="485" priority="38" stopIfTrue="1" operator="containsText" text="TM">
      <formula>NOT(ISERROR(SEARCH("TM",J9)))</formula>
    </cfRule>
    <cfRule type="containsText" dxfId="484" priority="39" stopIfTrue="1" operator="containsText" text="RNNR">
      <formula>NOT(ISERROR(SEARCH("RNNR",J9)))</formula>
    </cfRule>
    <cfRule type="containsText" dxfId="483" priority="40" stopIfTrue="1" operator="containsText" text="ADM">
      <formula>NOT(ISERROR(SEARCH("ADM",J9)))</formula>
    </cfRule>
    <cfRule type="containsText" dxfId="482" priority="41" stopIfTrue="1" operator="containsText" text="HL">
      <formula>NOT(ISERROR(SEARCH("HL",J9)))</formula>
    </cfRule>
    <cfRule type="notContainsBlanks" dxfId="481" priority="42" stopIfTrue="1">
      <formula>LEN(TRIM(J9))&gt;0</formula>
    </cfRule>
  </conditionalFormatting>
  <conditionalFormatting sqref="J50:AW50">
    <cfRule type="cellIs" dxfId="480" priority="6" operator="greaterThanOrEqual">
      <formula>2</formula>
    </cfRule>
    <cfRule type="containsText" dxfId="479" priority="7" operator="containsText" text="1">
      <formula>NOT(ISERROR(SEARCH("1",J50)))</formula>
    </cfRule>
    <cfRule type="containsText" dxfId="478" priority="8" operator="containsText" text="0">
      <formula>NOT(ISERROR(SEARCH("0",J50)))</formula>
    </cfRule>
  </conditionalFormatting>
  <conditionalFormatting sqref="J51:AW51">
    <cfRule type="cellIs" dxfId="477" priority="3" operator="greaterThanOrEqual">
      <formula>2</formula>
    </cfRule>
    <cfRule type="containsText" dxfId="476" priority="4" operator="containsText" text="1">
      <formula>NOT(ISERROR(SEARCH("1",J51)))</formula>
    </cfRule>
    <cfRule type="containsText" dxfId="475" priority="5" operator="containsText" text="0">
      <formula>NOT(ISERROR(SEARCH("0",J51)))</formula>
    </cfRule>
  </conditionalFormatting>
  <conditionalFormatting sqref="J54:AW54">
    <cfRule type="colorScale" priority="1">
      <colorScale>
        <cfvo type="num" val="-0.05"/>
        <cfvo type="num" val="0"/>
        <cfvo type="num" val="0.05"/>
        <color rgb="FFF8696B"/>
        <color rgb="FFCDF3CD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" stopIfTrue="1" operator="containsText" id="{7B049ACA-0804-4C4E-A45D-A0D5A4D037AE}">
            <xm:f>NOT(ISERROR(SEARCH("-",J9)))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J9:AX46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6" tint="0.59999389629810485"/>
    <outlinePr summaryBelow="0" summaryRight="0"/>
  </sheetPr>
  <dimension ref="A1:BA99"/>
  <sheetViews>
    <sheetView zoomScaleNormal="100" workbookViewId="0">
      <pane xSplit="9" ySplit="8" topLeftCell="J9" activePane="bottomRight" state="frozen"/>
      <selection activeCell="BB1" sqref="BB1:XFD1048576"/>
      <selection pane="topRight" activeCell="BB1" sqref="BB1:XFD1048576"/>
      <selection pane="bottomLeft" activeCell="BB1" sqref="BB1:XFD1048576"/>
      <selection pane="bottomRight" activeCell="B3" sqref="B3:C3"/>
    </sheetView>
  </sheetViews>
  <sheetFormatPr defaultColWidth="0" defaultRowHeight="12.75" zeroHeight="1" x14ac:dyDescent="0.2"/>
  <cols>
    <col min="1" max="1" width="1.7109375" style="6" customWidth="1"/>
    <col min="2" max="2" width="20.28515625" style="6" bestFit="1" customWidth="1"/>
    <col min="3" max="3" width="10.7109375" style="6" customWidth="1"/>
    <col min="4" max="4" width="11.85546875" style="6" customWidth="1"/>
    <col min="5" max="5" width="11.42578125" style="6" customWidth="1"/>
    <col min="6" max="6" width="11.28515625" style="6" customWidth="1"/>
    <col min="7" max="7" width="12.28515625" style="6" customWidth="1"/>
    <col min="8" max="50" width="10.7109375" style="6" customWidth="1"/>
    <col min="51" max="51" width="23.5703125" style="6" customWidth="1"/>
    <col min="52" max="52" width="1.7109375" style="6" customWidth="1"/>
    <col min="53" max="53" width="9.140625" style="6" customWidth="1"/>
    <col min="54" max="16384" width="9.140625" style="6" hidden="1"/>
  </cols>
  <sheetData>
    <row r="1" spans="1:53" ht="6" customHeight="1" x14ac:dyDescent="0.2">
      <c r="D1" s="5"/>
    </row>
    <row r="2" spans="1:53" x14ac:dyDescent="0.2"/>
    <row r="3" spans="1:53" ht="24.95" customHeight="1" x14ac:dyDescent="0.2">
      <c r="B3" s="480" t="str">
        <f>TEXT(Day_8,"DDDD")&amp;" - "&amp;TEXT(Day_8,"mm/dd/yy")</f>
        <v>Sunday - 03/29/20</v>
      </c>
      <c r="C3" s="480"/>
      <c r="D3" s="106"/>
      <c r="K3" s="94" t="s">
        <v>124</v>
      </c>
      <c r="L3" s="152" t="s">
        <v>218</v>
      </c>
      <c r="M3" s="153" t="s">
        <v>220</v>
      </c>
      <c r="N3" s="71" t="s">
        <v>126</v>
      </c>
      <c r="O3" s="72" t="s">
        <v>130</v>
      </c>
      <c r="P3" s="73" t="s">
        <v>90</v>
      </c>
      <c r="Q3" s="139" t="s">
        <v>215</v>
      </c>
      <c r="R3" s="138" t="s">
        <v>211</v>
      </c>
      <c r="S3" s="137" t="s">
        <v>127</v>
      </c>
      <c r="T3" s="151" t="s">
        <v>139</v>
      </c>
      <c r="U3" s="69" t="s">
        <v>129</v>
      </c>
      <c r="V3" s="155" t="s">
        <v>146</v>
      </c>
      <c r="W3" s="157" t="s">
        <v>222</v>
      </c>
      <c r="X3" s="228" t="s">
        <v>366</v>
      </c>
      <c r="Y3" s="211"/>
      <c r="Z3" s="212"/>
      <c r="AA3" s="213"/>
      <c r="AB3" s="214"/>
      <c r="AD3" s="94" t="s">
        <v>124</v>
      </c>
      <c r="AE3" s="152" t="s">
        <v>218</v>
      </c>
      <c r="AF3" s="153" t="s">
        <v>220</v>
      </c>
      <c r="AG3" s="71" t="s">
        <v>126</v>
      </c>
      <c r="AH3" s="72" t="s">
        <v>130</v>
      </c>
      <c r="AI3" s="73" t="s">
        <v>90</v>
      </c>
      <c r="AJ3" s="139" t="s">
        <v>215</v>
      </c>
      <c r="AK3" s="138" t="s">
        <v>211</v>
      </c>
      <c r="AL3" s="137" t="s">
        <v>127</v>
      </c>
      <c r="AM3" s="151" t="s">
        <v>139</v>
      </c>
      <c r="AN3" s="69" t="s">
        <v>129</v>
      </c>
      <c r="AO3" s="155" t="s">
        <v>146</v>
      </c>
      <c r="AP3" s="157" t="s">
        <v>222</v>
      </c>
      <c r="AQ3" s="228" t="s">
        <v>366</v>
      </c>
    </row>
    <row r="4" spans="1:53" ht="24.95" customHeight="1" x14ac:dyDescent="0.2">
      <c r="B4" s="7"/>
      <c r="J4" s="18"/>
      <c r="K4" s="94" t="s">
        <v>125</v>
      </c>
      <c r="L4" s="154" t="s">
        <v>217</v>
      </c>
      <c r="M4" s="154" t="s">
        <v>221</v>
      </c>
      <c r="N4" s="70" t="s">
        <v>87</v>
      </c>
      <c r="O4" s="67" t="s">
        <v>89</v>
      </c>
      <c r="P4" s="67" t="s">
        <v>213</v>
      </c>
      <c r="Q4" s="67" t="s">
        <v>214</v>
      </c>
      <c r="R4" s="67" t="s">
        <v>212</v>
      </c>
      <c r="S4" s="67" t="s">
        <v>128</v>
      </c>
      <c r="T4" s="67" t="s">
        <v>138</v>
      </c>
      <c r="U4" s="67" t="s">
        <v>129</v>
      </c>
      <c r="V4" s="156" t="s">
        <v>145</v>
      </c>
      <c r="W4" s="98" t="s">
        <v>223</v>
      </c>
      <c r="X4" s="98" t="s">
        <v>367</v>
      </c>
      <c r="Y4" s="214"/>
      <c r="Z4" s="215"/>
      <c r="AA4" s="216"/>
      <c r="AB4" s="217"/>
      <c r="AD4" s="94" t="s">
        <v>125</v>
      </c>
      <c r="AE4" s="154" t="s">
        <v>217</v>
      </c>
      <c r="AF4" s="154" t="s">
        <v>221</v>
      </c>
      <c r="AG4" s="70" t="s">
        <v>87</v>
      </c>
      <c r="AH4" s="67" t="s">
        <v>89</v>
      </c>
      <c r="AI4" s="67" t="s">
        <v>213</v>
      </c>
      <c r="AJ4" s="67" t="s">
        <v>214</v>
      </c>
      <c r="AK4" s="67" t="s">
        <v>212</v>
      </c>
      <c r="AL4" s="67" t="s">
        <v>128</v>
      </c>
      <c r="AM4" s="67" t="s">
        <v>138</v>
      </c>
      <c r="AN4" s="67" t="s">
        <v>129</v>
      </c>
      <c r="AO4" s="156" t="s">
        <v>145</v>
      </c>
      <c r="AP4" s="98" t="s">
        <v>223</v>
      </c>
      <c r="AQ4" s="98" t="s">
        <v>367</v>
      </c>
    </row>
    <row r="5" spans="1:53" ht="6" customHeight="1" x14ac:dyDescent="0.2"/>
    <row r="6" spans="1:53" ht="17.25" customHeight="1" x14ac:dyDescent="0.2">
      <c r="F6" s="477" t="s">
        <v>132</v>
      </c>
      <c r="G6" s="478"/>
      <c r="H6" s="478"/>
      <c r="I6" s="479"/>
      <c r="J6" s="19"/>
      <c r="K6" s="19"/>
    </row>
    <row r="7" spans="1:53" ht="6" customHeight="1" thickBot="1" x14ac:dyDescent="0.25">
      <c r="J7" s="104" t="s">
        <v>93</v>
      </c>
      <c r="K7" s="104" t="s">
        <v>95</v>
      </c>
      <c r="L7" s="104" t="s">
        <v>97</v>
      </c>
      <c r="M7" s="104" t="s">
        <v>140</v>
      </c>
      <c r="N7" s="104" t="s">
        <v>109</v>
      </c>
      <c r="O7" s="104" t="s">
        <v>103</v>
      </c>
      <c r="P7" s="104" t="s">
        <v>121</v>
      </c>
      <c r="Q7" s="104" t="s">
        <v>113</v>
      </c>
      <c r="R7" s="104" t="s">
        <v>105</v>
      </c>
      <c r="S7" s="104" t="s">
        <v>107</v>
      </c>
      <c r="T7" s="104" t="s">
        <v>141</v>
      </c>
      <c r="U7" s="104" t="s">
        <v>101</v>
      </c>
      <c r="V7" s="104" t="s">
        <v>122</v>
      </c>
      <c r="W7" s="104" t="s">
        <v>116</v>
      </c>
      <c r="X7" s="104" t="s">
        <v>148</v>
      </c>
      <c r="Y7" s="104" t="s">
        <v>149</v>
      </c>
      <c r="Z7" s="104" t="s">
        <v>111</v>
      </c>
      <c r="AA7" s="104" t="s">
        <v>94</v>
      </c>
      <c r="AB7" s="104" t="s">
        <v>96</v>
      </c>
      <c r="AC7" s="104" t="s">
        <v>98</v>
      </c>
      <c r="AD7" s="104" t="s">
        <v>118</v>
      </c>
      <c r="AE7" s="104" t="s">
        <v>99</v>
      </c>
      <c r="AF7" s="104" t="s">
        <v>104</v>
      </c>
      <c r="AG7" s="104" t="s">
        <v>150</v>
      </c>
      <c r="AH7" s="104" t="s">
        <v>114</v>
      </c>
      <c r="AI7" s="104" t="s">
        <v>106</v>
      </c>
      <c r="AJ7" s="104" t="s">
        <v>108</v>
      </c>
      <c r="AK7" s="104" t="s">
        <v>142</v>
      </c>
      <c r="AL7" s="104" t="s">
        <v>102</v>
      </c>
      <c r="AM7" s="104" t="s">
        <v>143</v>
      </c>
      <c r="AN7" s="104" t="s">
        <v>123</v>
      </c>
      <c r="AO7" s="104" t="s">
        <v>117</v>
      </c>
      <c r="AP7" s="104" t="s">
        <v>151</v>
      </c>
      <c r="AQ7" s="104" t="s">
        <v>112</v>
      </c>
      <c r="AR7" s="104" t="s">
        <v>110</v>
      </c>
      <c r="AS7" s="104" t="s">
        <v>119</v>
      </c>
      <c r="AT7" s="104" t="s">
        <v>115</v>
      </c>
      <c r="AU7" s="104" t="s">
        <v>120</v>
      </c>
      <c r="AV7" s="104"/>
      <c r="AW7" s="104"/>
      <c r="AX7" s="105">
        <v>0</v>
      </c>
    </row>
    <row r="8" spans="1:53" ht="13.5" thickBot="1" x14ac:dyDescent="0.25">
      <c r="A8" s="15" t="s">
        <v>14</v>
      </c>
      <c r="B8" s="168" t="s">
        <v>2</v>
      </c>
      <c r="C8" s="169" t="s">
        <v>5</v>
      </c>
      <c r="D8" s="169" t="s">
        <v>84</v>
      </c>
      <c r="E8" s="169" t="s">
        <v>86</v>
      </c>
      <c r="F8" s="169" t="s">
        <v>87</v>
      </c>
      <c r="G8" s="284" t="s">
        <v>223</v>
      </c>
      <c r="H8" s="169" t="s">
        <v>89</v>
      </c>
      <c r="I8" s="284" t="s">
        <v>90</v>
      </c>
      <c r="J8" s="170" t="s">
        <v>93</v>
      </c>
      <c r="K8" s="170" t="s">
        <v>95</v>
      </c>
      <c r="L8" s="170" t="s">
        <v>97</v>
      </c>
      <c r="M8" s="170" t="s">
        <v>140</v>
      </c>
      <c r="N8" s="170" t="s">
        <v>109</v>
      </c>
      <c r="O8" s="170" t="s">
        <v>103</v>
      </c>
      <c r="P8" s="170" t="s">
        <v>121</v>
      </c>
      <c r="Q8" s="170" t="s">
        <v>113</v>
      </c>
      <c r="R8" s="170" t="s">
        <v>105</v>
      </c>
      <c r="S8" s="170" t="s">
        <v>107</v>
      </c>
      <c r="T8" s="170" t="s">
        <v>141</v>
      </c>
      <c r="U8" s="170" t="s">
        <v>101</v>
      </c>
      <c r="V8" s="170" t="s">
        <v>122</v>
      </c>
      <c r="W8" s="170" t="s">
        <v>116</v>
      </c>
      <c r="X8" s="170" t="s">
        <v>148</v>
      </c>
      <c r="Y8" s="170" t="s">
        <v>149</v>
      </c>
      <c r="Z8" s="170" t="s">
        <v>111</v>
      </c>
      <c r="AA8" s="170" t="s">
        <v>94</v>
      </c>
      <c r="AB8" s="170" t="s">
        <v>96</v>
      </c>
      <c r="AC8" s="170" t="s">
        <v>98</v>
      </c>
      <c r="AD8" s="170" t="s">
        <v>118</v>
      </c>
      <c r="AE8" s="170" t="s">
        <v>99</v>
      </c>
      <c r="AF8" s="170" t="s">
        <v>104</v>
      </c>
      <c r="AG8" s="170" t="s">
        <v>150</v>
      </c>
      <c r="AH8" s="170" t="s">
        <v>114</v>
      </c>
      <c r="AI8" s="170" t="s">
        <v>106</v>
      </c>
      <c r="AJ8" s="170" t="s">
        <v>108</v>
      </c>
      <c r="AK8" s="170" t="s">
        <v>142</v>
      </c>
      <c r="AL8" s="170" t="s">
        <v>102</v>
      </c>
      <c r="AM8" s="170" t="s">
        <v>143</v>
      </c>
      <c r="AN8" s="170" t="s">
        <v>123</v>
      </c>
      <c r="AO8" s="170" t="s">
        <v>117</v>
      </c>
      <c r="AP8" s="170" t="s">
        <v>151</v>
      </c>
      <c r="AQ8" s="170" t="s">
        <v>112</v>
      </c>
      <c r="AR8" s="170" t="s">
        <v>110</v>
      </c>
      <c r="AS8" s="170" t="s">
        <v>119</v>
      </c>
      <c r="AT8" s="170" t="s">
        <v>115</v>
      </c>
      <c r="AU8" s="170" t="s">
        <v>120</v>
      </c>
      <c r="AV8" s="199" t="s">
        <v>100</v>
      </c>
      <c r="AW8" s="199" t="s">
        <v>243</v>
      </c>
      <c r="AX8" s="199" t="s">
        <v>244</v>
      </c>
      <c r="AY8" s="171" t="s">
        <v>147</v>
      </c>
    </row>
    <row r="9" spans="1:53" s="44" customFormat="1" ht="12" customHeight="1" x14ac:dyDescent="0.2">
      <c r="A9" s="39" t="str">
        <f>IF(B9="","",INDEX(TeamList[],MATCH($B9,TeamList[[Employee Name]:[Employee Name]],0),MATCH("Manager",TeamList[#Headers],0)))</f>
        <v>Olson, Katherine</v>
      </c>
      <c r="B9" s="350" t="s">
        <v>233</v>
      </c>
      <c r="C9" s="351" t="str">
        <f>_xlfn.IFNA(VLOOKUP(Sun_W2[[#This Row],[Employee Name]],'Base Schedules'!A:B,2,FALSE),"")</f>
        <v>Lead</v>
      </c>
      <c r="D9" s="352">
        <f>_xlfn.IFNA(VLOOKUP(Sun_W2[[#This Row],[Employee Name]],'Base Schedules'!A:C,3,FALSE),"")</f>
        <v>500</v>
      </c>
      <c r="E9" s="353">
        <f>_xlfn.IFNA(VLOOKUP(Sun_W2[[#This Row],[Employee Name]],'Base Schedules'!A:D,4,FALSE),"")</f>
        <v>1330</v>
      </c>
      <c r="F9" s="356">
        <f>IF(Sun_W2[[#This Row],[Employee Name]]="","",IF(Sun_W2[[#This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f>
        <v>7</v>
      </c>
      <c r="G9" s="142">
        <f t="shared" ref="G9:G32" si="0">IF(B9="","",COUNTIFS($J9:$AX9,"*Coaching*",$J9:$AX9,"&lt;&gt;"&amp;"pTM",$J9:$AX9,"&lt;&gt;"&amp;"uTM"))</f>
        <v>0</v>
      </c>
      <c r="H9" s="357">
        <f t="shared" ref="H9:H48" si="1">IF(B9="","",COUNTIFS($J9:$AX9,"*ADM*",$J9:$AX9,"&lt;&gt;"&amp;"pADM",$J9:$AX9,"&lt;&gt;"&amp;"uADM"))</f>
        <v>6</v>
      </c>
      <c r="I9" s="142">
        <f>IF(Sun_W2[[#This Row],[Employee Name]]="","",IF(Sun_W2[[#This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f>
        <v>2</v>
      </c>
      <c r="J9" s="184" t="str">
        <f>IFERROR(IF(VLOOKUP(Sun_W2[[#This Row],[Employee Name]],'Base Schedules'!$A$46:$AW$77,9,FALSE)="","",VLOOKUP(Sun_W2[[#This Row],[Employee Name]],'Base Schedules'!$A$46:$AW$77,9,FALSE)),"")</f>
        <v>HL</v>
      </c>
      <c r="K9" s="184" t="str">
        <f>IFERROR(IF(VLOOKUP(Sun_W2[[#This Row],[Employee Name]],'Base Schedules'!$A$46:$AW$77,10,FALSE)="","",VLOOKUP(Sun_W2[[#This Row],[Employee Name]],'Base Schedules'!$A$46:$AW$77,10,FALSE)),"")</f>
        <v>HL</v>
      </c>
      <c r="L9" s="184" t="str">
        <f>IFERROR(IF(VLOOKUP(Sun_W2[[#This Row],[Employee Name]],'Base Schedules'!$A$46:$AW$77,11,FALSE)="","",VLOOKUP(Sun_W2[[#This Row],[Employee Name]],'Base Schedules'!$A$46:$AW$77,11,FALSE)),"")</f>
        <v>HL</v>
      </c>
      <c r="M9" s="184" t="str">
        <f>IFERROR(IF(VLOOKUP(Sun_W2[[#This Row],[Employee Name]],'Base Schedules'!$A$46:$AW$77,12,FALSE)="","",VLOOKUP(Sun_W2[[#This Row],[Employee Name]],'Base Schedules'!$A$46:$AW$77,12,FALSE)),"")</f>
        <v>HL</v>
      </c>
      <c r="N9" s="184" t="str">
        <f>IFERROR(IF(VLOOKUP(Sun_W2[[#This Row],[Employee Name]],'Base Schedules'!$A$46:$AW$77,13,FALSE)="","",VLOOKUP(Sun_W2[[#This Row],[Employee Name]],'Base Schedules'!$A$46:$AW$77,13,FALSE)),"")</f>
        <v>B1 HL</v>
      </c>
      <c r="O9" s="184" t="str">
        <f>IFERROR(IF(VLOOKUP(Sun_W2[[#This Row],[Employee Name]],'Base Schedules'!$A$46:$AW$77,14,FALSE)="","",VLOOKUP(Sun_W2[[#This Row],[Employee Name]],'Base Schedules'!$A$46:$AW$77,14,FALSE)),"")</f>
        <v>ADM</v>
      </c>
      <c r="P9" s="184" t="str">
        <f>IFERROR(IF(VLOOKUP(Sun_W2[[#This Row],[Employee Name]],'Base Schedules'!$A$46:$AW$77,15,FALSE)="","",VLOOKUP(Sun_W2[[#This Row],[Employee Name]],'Base Schedules'!$A$46:$AW$77,15,FALSE)),"")</f>
        <v>ADM</v>
      </c>
      <c r="Q9" s="184" t="str">
        <f>IFERROR(IF(VLOOKUP(Sun_W2[[#This Row],[Employee Name]],'Base Schedules'!$A$46:$AW$77,16,FALSE)="","",VLOOKUP(Sun_W2[[#This Row],[Employee Name]],'Base Schedules'!$A$46:$AW$77,16,FALSE)),"")</f>
        <v>ADM</v>
      </c>
      <c r="R9" s="184" t="str">
        <f>IFERROR(IF(VLOOKUP(Sun_W2[[#This Row],[Employee Name]],'Base Schedules'!$A$46:$AW$77,17,FALSE)="","",VLOOKUP(Sun_W2[[#This Row],[Employee Name]],'Base Schedules'!$A$46:$AW$77,17,FALSE)),"")</f>
        <v>LUNCH</v>
      </c>
      <c r="S9" s="184" t="str">
        <f>IFERROR(IF(VLOOKUP(Sun_W2[[#This Row],[Employee Name]],'Base Schedules'!$A$46:$AW$77,18,FALSE)="","",VLOOKUP(Sun_W2[[#This Row],[Employee Name]],'Base Schedules'!$A$46:$AW$77,18,FALSE)),"")</f>
        <v>ADM</v>
      </c>
      <c r="T9" s="184" t="str">
        <f>IFERROR(IF(VLOOKUP(Sun_W2[[#This Row],[Employee Name]],'Base Schedules'!$A$46:$AW$77,19,FALSE)="","",VLOOKUP(Sun_W2[[#This Row],[Employee Name]],'Base Schedules'!$A$46:$AW$77,19,FALSE)),"")</f>
        <v>ADM</v>
      </c>
      <c r="U9" s="184" t="str">
        <f>IFERROR(IF(VLOOKUP(Sun_W2[[#This Row],[Employee Name]],'Base Schedules'!$A$46:$AW$77,20,FALSE)="","",VLOOKUP(Sun_W2[[#This Row],[Employee Name]],'Base Schedules'!$A$46:$AW$77,20,FALSE)),"")</f>
        <v>ADM</v>
      </c>
      <c r="V9" s="184" t="str">
        <f>IFERROR(IF(VLOOKUP(Sun_W2[[#This Row],[Employee Name]],'Base Schedules'!$A$46:$AW$77,21,FALSE)="","",VLOOKUP(Sun_W2[[#This Row],[Employee Name]],'Base Schedules'!$A$46:$AW$77,21,FALSE)),"")</f>
        <v>HL</v>
      </c>
      <c r="W9" s="184" t="str">
        <f>IFERROR(IF(VLOOKUP(Sun_W2[[#This Row],[Employee Name]],'Base Schedules'!$A$46:$AW$77,22,FALSE)="","",VLOOKUP(Sun_W2[[#This Row],[Employee Name]],'Base Schedules'!$A$46:$AW$77,22,FALSE)),"")</f>
        <v>B2 HL</v>
      </c>
      <c r="X9" s="184" t="str">
        <f>IFERROR(IF(VLOOKUP(Sun_W2[[#This Row],[Employee Name]],'Base Schedules'!$A$46:$AW$77,23,FALSE)="","",VLOOKUP(Sun_W2[[#This Row],[Employee Name]],'Base Schedules'!$A$46:$AW$77,23,FALSE)),"")</f>
        <v>RNNR</v>
      </c>
      <c r="Y9" s="184" t="str">
        <f>IFERROR(IF(VLOOKUP(Sun_W2[[#This Row],[Employee Name]],'Base Schedules'!$A$46:$AW$77,24,FALSE)="","",VLOOKUP(Sun_W2[[#This Row],[Employee Name]],'Base Schedules'!$A$46:$AW$77,24,FALSE)),"")</f>
        <v>RNNR</v>
      </c>
      <c r="Z9" s="184" t="str">
        <f>IFERROR(IF(VLOOKUP(Sun_W2[[#This Row],[Employee Name]],'Base Schedules'!$A$46:$AW$77,25,FALSE)="","",VLOOKUP(Sun_W2[[#This Row],[Employee Name]],'Base Schedules'!$A$46:$AW$77,25,FALSE)),"")</f>
        <v>HL</v>
      </c>
      <c r="AA9" s="184" t="str">
        <f>IFERROR(IF(VLOOKUP(Sun_W2[[#This Row],[Employee Name]],'Base Schedules'!$A$46:$AW$77,26,FALSE)="","",VLOOKUP(Sun_W2[[#This Row],[Employee Name]],'Base Schedules'!$A$46:$AW$77,26,FALSE)),"")</f>
        <v/>
      </c>
      <c r="AB9" s="184" t="str">
        <f>IFERROR(IF(VLOOKUP(Sun_W2[[#This Row],[Employee Name]],'Base Schedules'!$A$46:$AW$77,27,FALSE)="","",VLOOKUP(Sun_W2[[#This Row],[Employee Name]],'Base Schedules'!$A$46:$AW$77,27,FALSE)),"")</f>
        <v/>
      </c>
      <c r="AC9" s="184" t="str">
        <f>IFERROR(IF(VLOOKUP(Sun_W2[[#This Row],[Employee Name]],'Base Schedules'!$A$46:$AW$77,28,FALSE)="","",VLOOKUP(Sun_W2[[#This Row],[Employee Name]],'Base Schedules'!$A$46:$AW$77,28,FALSE)),"")</f>
        <v/>
      </c>
      <c r="AD9" s="184" t="str">
        <f>IFERROR(IF(VLOOKUP(Sun_W2[[#This Row],[Employee Name]],'Base Schedules'!$A$46:$AW$77,29,FALSE)="","",VLOOKUP(Sun_W2[[#This Row],[Employee Name]],'Base Schedules'!$A$46:$AW$77,29,FALSE)),"")</f>
        <v/>
      </c>
      <c r="AE9" s="184" t="str">
        <f>IFERROR(IF(VLOOKUP(Sun_W2[[#This Row],[Employee Name]],'Base Schedules'!$A$46:$AW$77,30,FALSE)="","",VLOOKUP(Sun_W2[[#This Row],[Employee Name]],'Base Schedules'!$A$46:$AW$77,30,FALSE)),"")</f>
        <v/>
      </c>
      <c r="AF9" s="184" t="str">
        <f>IFERROR(IF(VLOOKUP(Sun_W2[[#This Row],[Employee Name]],'Base Schedules'!$A$46:$AW$77,31,FALSE)="","",VLOOKUP(Sun_W2[[#This Row],[Employee Name]],'Base Schedules'!$A$46:$AW$77,31,FALSE)),"")</f>
        <v/>
      </c>
      <c r="AG9" s="184" t="str">
        <f>IFERROR(IF(VLOOKUP(Sun_W2[[#This Row],[Employee Name]],'Base Schedules'!$A$46:$AW$77,32,FALSE)="","",VLOOKUP(Sun_W2[[#This Row],[Employee Name]],'Base Schedules'!$A$46:$AW$77,32,FALSE)),"")</f>
        <v/>
      </c>
      <c r="AH9" s="184" t="str">
        <f>IFERROR(IF(VLOOKUP(Sun_W2[[#This Row],[Employee Name]],'Base Schedules'!$A$46:$AW$77,33,FALSE)="","",VLOOKUP(Sun_W2[[#This Row],[Employee Name]],'Base Schedules'!$A$46:$AW$77,33,FALSE)),"")</f>
        <v/>
      </c>
      <c r="AI9" s="184" t="str">
        <f>IFERROR(IF(VLOOKUP(Sun_W2[[#This Row],[Employee Name]],'Base Schedules'!$A$46:$AW$77,34,FALSE)="","",VLOOKUP(Sun_W2[[#This Row],[Employee Name]],'Base Schedules'!$A$46:$AW$77,34,FALSE)),"")</f>
        <v/>
      </c>
      <c r="AJ9" s="184" t="str">
        <f>IFERROR(IF(VLOOKUP(Sun_W2[[#This Row],[Employee Name]],'Base Schedules'!$A$46:$AW$77,35,FALSE)="","",VLOOKUP(Sun_W2[[#This Row],[Employee Name]],'Base Schedules'!$A$46:$AW$77,35,FALSE)),"")</f>
        <v/>
      </c>
      <c r="AK9" s="184" t="str">
        <f>IFERROR(IF(VLOOKUP(Sun_W2[[#This Row],[Employee Name]],'Base Schedules'!$A$46:$AW$77,36,FALSE)="","",VLOOKUP(Sun_W2[[#This Row],[Employee Name]],'Base Schedules'!$A$46:$AW$77,36,FALSE)),"")</f>
        <v/>
      </c>
      <c r="AL9" s="184" t="str">
        <f>IFERROR(IF(VLOOKUP(Sun_W2[[#This Row],[Employee Name]],'Base Schedules'!$A$46:$AW$77,37,FALSE)="","",VLOOKUP(Sun_W2[[#This Row],[Employee Name]],'Base Schedules'!$A$46:$AW$77,37,FALSE)),"")</f>
        <v/>
      </c>
      <c r="AM9" s="184" t="str">
        <f>IFERROR(IF(VLOOKUP(Sun_W2[[#This Row],[Employee Name]],'Base Schedules'!$A$46:$AW$77,38,FALSE)="","",VLOOKUP(Sun_W2[[#This Row],[Employee Name]],'Base Schedules'!$A$46:$AW$77,38,FALSE)),"")</f>
        <v/>
      </c>
      <c r="AN9" s="184" t="str">
        <f>IFERROR(IF(VLOOKUP(Sun_W2[[#This Row],[Employee Name]],'Base Schedules'!$A$46:$AW$77,39,FALSE)="","",VLOOKUP(Sun_W2[[#This Row],[Employee Name]],'Base Schedules'!$A$46:$AW$77,39,FALSE)),"")</f>
        <v/>
      </c>
      <c r="AO9" s="184" t="str">
        <f>IFERROR(IF(VLOOKUP(Sun_W2[[#This Row],[Employee Name]],'Base Schedules'!$A$46:$AW$77,40,FALSE)="","",VLOOKUP(Sun_W2[[#This Row],[Employee Name]],'Base Schedules'!$A$46:$AW$77,40,FALSE)),"")</f>
        <v/>
      </c>
      <c r="AP9" s="184" t="str">
        <f>IFERROR(IF(VLOOKUP(Sun_W2[[#This Row],[Employee Name]],'Base Schedules'!$A$46:$AW$77,41,FALSE)="","",VLOOKUP(Sun_W2[[#This Row],[Employee Name]],'Base Schedules'!$A$46:$AW$77,41,FALSE)),"")</f>
        <v/>
      </c>
      <c r="AQ9" s="184" t="str">
        <f>IFERROR(IF(VLOOKUP(Sun_W2[[#This Row],[Employee Name]],'Base Schedules'!$A$46:$AW$77,42,FALSE)="","",VLOOKUP(Sun_W2[[#This Row],[Employee Name]],'Base Schedules'!$A$46:$AW$77,42,FALSE)),"")</f>
        <v/>
      </c>
      <c r="AR9" s="184" t="str">
        <f>IFERROR(IF(VLOOKUP(Sun_W2[[#This Row],[Employee Name]],'Base Schedules'!$A$46:$AW$77,43,FALSE)="","",VLOOKUP(Sun_W2[[#This Row],[Employee Name]],'Base Schedules'!$A$46:$AW$77,43,FALSE)),"")</f>
        <v/>
      </c>
      <c r="AS9" s="184" t="str">
        <f>IFERROR(IF(VLOOKUP(Sun_W2[[#This Row],[Employee Name]],'Base Schedules'!$A$46:$AW$77,44,FALSE)="","",VLOOKUP(Sun_W2[[#This Row],[Employee Name]],'Base Schedules'!$A$46:$AW$77,44,FALSE)),"")</f>
        <v/>
      </c>
      <c r="AT9" s="184" t="str">
        <f>IFERROR(IF(VLOOKUP(Sun_W2[[#This Row],[Employee Name]],'Base Schedules'!$A$46:$AW$77,45,FALSE)="","",VLOOKUP(Sun_W2[[#This Row],[Employee Name]],'Base Schedules'!$A$46:$AW$77,45,FALSE)),"")</f>
        <v/>
      </c>
      <c r="AU9" s="184" t="str">
        <f>IFERROR(IF(VLOOKUP(Sun_W2[[#This Row],[Employee Name]],'Base Schedules'!$A$46:$AW$77,46,FALSE)="","",VLOOKUP(Sun_W2[[#This Row],[Employee Name]],'Base Schedules'!$A$46:$AW$77,46,FALSE)),"")</f>
        <v/>
      </c>
      <c r="AV9" s="184" t="str">
        <f>IFERROR(IF(VLOOKUP(Sun_W2[[#This Row],[Employee Name]],'Base Schedules'!$A$46:$AW$77,47,FALSE)="","",VLOOKUP(Sun_W2[[#This Row],[Employee Name]],'Base Schedules'!$A$46:$AW$77,47,FALSE)),"")</f>
        <v/>
      </c>
      <c r="AW9" s="184" t="str">
        <f>IFERROR(IF(VLOOKUP(Sun_W2[[#This Row],[Employee Name]],'Base Schedules'!$A$46:$AW$77,48,FALSE)="","",VLOOKUP(Sun_W2[[#This Row],[Employee Name]],'Base Schedules'!$A$46:$AW$77,48,FALSE)),"")</f>
        <v/>
      </c>
      <c r="AX9" s="184" t="str">
        <f>IFERROR(IF(VLOOKUP(Sun_W2[[#This Row],[Employee Name]],'Base Schedules'!$A$46:$AW$77,49,FALSE)="","",VLOOKUP(Sun_W2[[#This Row],[Employee Name]],'Base Schedules'!$A$46:$AW$77,49,FALSE)),"")</f>
        <v/>
      </c>
      <c r="AY9" s="159" t="str">
        <f t="shared" ref="AY9:AY48" si="2">IF(B9="","",B9)</f>
        <v>Shiraki, Suzy</v>
      </c>
      <c r="AZ9" s="184" t="str">
        <f>IFERROR(IF(VLOOKUP(Sun_W1[[#This Row],[Employee Name]],'Base Schedules'!$A$79:$AW$111,48,FALSE)="","",VLOOKUP(Sun_W1[[#This Row],[Employee Name]],'Base Schedules'!$A$79:$AW$111,48,FALSE)),"")</f>
        <v/>
      </c>
      <c r="BA9" s="184" t="str">
        <f>IFERROR(IF(VLOOKUP(Sun_W1[[#This Row],[Employee Name]],'Base Schedules'!$A$79:$AW$111,49,FALSE)="","",VLOOKUP(Sun_W1[[#This Row],[Employee Name]],'Base Schedules'!$A$79:$AW$111,49,FALSE)),"")</f>
        <v/>
      </c>
    </row>
    <row r="10" spans="1:53" s="44" customFormat="1" ht="12" customHeight="1" x14ac:dyDescent="0.2">
      <c r="A10" s="39" t="str">
        <f>IF(B10="","",INDEX(TeamList[],MATCH($B10,TeamList[[Employee Name]:[Employee Name]],0),MATCH("Manager",TeamList[#Headers],0)))</f>
        <v>Olson, Katherine</v>
      </c>
      <c r="B10" s="201" t="s">
        <v>32</v>
      </c>
      <c r="C10" s="257" t="str">
        <f>_xlfn.IFNA(VLOOKUP(Sun_W2[[#This Row],[Employee Name]],'Base Schedules'!A:B,2,FALSE),"")</f>
        <v>Supervisor</v>
      </c>
      <c r="D10" s="274">
        <f>_xlfn.IFNA(VLOOKUP(Sun_W2[[#This Row],[Employee Name]],'Base Schedules'!A:C,3,FALSE),"")</f>
        <v>500</v>
      </c>
      <c r="E10" s="354">
        <f>_xlfn.IFNA(VLOOKUP(Sun_W2[[#This Row],[Employee Name]],'Base Schedules'!A:D,4,FALSE),"")</f>
        <v>1400</v>
      </c>
      <c r="F10" s="358">
        <f>IF(Sun_W2[[#This Row],[Employee Name]]="","",IF(Sun_W2[[#This Row],[Dept]]="Supervisor",COUNTIFS($J10:$AX10,"*HL*",$J10:$AX10,"&lt;&gt;"&amp;"pHL"),COUNTIFS($J10:$AX10,"*HL*",$J10:$AX10,"&lt;&gt;"&amp;"*pHL*",$J10:$AX10,"&lt;&gt;"&amp;"pB1 HL",$J10:$AX10,"&lt;&gt;"&amp;"pB2 HL")-SUM(COUNTIFS($J10:$AX10,"*HL B1*",$J10:$AX10,"&lt;&gt;"&amp;"pHL B1")*0.5,COUNTIFS($J10:$AX10,"*HL B2*",$J10:$AX10,"&lt;&gt;"&amp;"pHL B2")*0.5,COUNTIFS($J10:$AX10,"*B1 HL*",$J10:$AX10,"&lt;&gt;"&amp;"pB1 HL")*0.5,COUNTIFS($J10:$AX10,"*B2 HL*",$J10:$AX10,"&lt;&gt;"&amp;"pB2 HL")*0.5)))</f>
        <v>0</v>
      </c>
      <c r="G10" s="142">
        <f t="shared" si="0"/>
        <v>3</v>
      </c>
      <c r="H10" s="142">
        <f t="shared" si="1"/>
        <v>0</v>
      </c>
      <c r="I10" s="142">
        <f>IF(Sun_W2[[#This Row],[Employee Name]]="","",IF(Sun_W2[[#This Row],[Dept]]="Supervisor",SUM(COUNTIFS($J10:$AX10,"RTA*",$J10:$AX10,"&lt;&gt;"&amp;"pRTA"),COUNTIFS($J10:$AX10,"*CRTA*",$J10:$AX10,"&lt;&gt;"&amp;"pCRTA")),COUNTIFS($J10:$AX10,"*RNNR*",$J10:$AX10,"&lt;&gt;"&amp;"*pRNNR*",$J10:$AX10,"&lt;&gt;"&amp;"pB1 RNNR",$J10:$AX10,"&lt;&gt;"&amp;"pB2 RNNR")-SUM(COUNTIFS($J10:$AX10,"*RNNR B1*",$J10:$AX10,"&lt;&gt;"&amp;"pRNNR B1")*0.5,COUNTIFS($J10:$AX10,"*RNNR B2*",$J10:$AX10,"&lt;&gt;"&amp;"pRNNR B2")*0.5,COUNTIFS($J10:$AX10,"*B1 RNNR*",$J10:$AX10,"&lt;&gt;"&amp;"pB1 RNNR")*0.5,COUNTIFS($J10:$AX10,"*B2 RNNR*",$J10:$AX10,"&lt;&gt;"&amp;"pB2 RNNR")*0.5)))</f>
        <v>0</v>
      </c>
      <c r="J10" s="184" t="str">
        <f>IFERROR(IF(VLOOKUP(Sun_W2[[#This Row],[Employee Name]],'Base Schedules'!$A$46:$AW$77,9,FALSE)="","",VLOOKUP(Sun_W2[[#This Row],[Employee Name]],'Base Schedules'!$A$46:$AW$77,9,FALSE)),"")</f>
        <v>-</v>
      </c>
      <c r="K10" s="184" t="str">
        <f>IFERROR(IF(VLOOKUP(Sun_W2[[#This Row],[Employee Name]],'Base Schedules'!$A$46:$AW$77,10,FALSE)="","",VLOOKUP(Sun_W2[[#This Row],[Employee Name]],'Base Schedules'!$A$46:$AW$77,10,FALSE)),"")</f>
        <v>-</v>
      </c>
      <c r="L10" s="184" t="str">
        <f>IFERROR(IF(VLOOKUP(Sun_W2[[#This Row],[Employee Name]],'Base Schedules'!$A$46:$AW$77,11,FALSE)="","",VLOOKUP(Sun_W2[[#This Row],[Employee Name]],'Base Schedules'!$A$46:$AW$77,11,FALSE)),"")</f>
        <v>-</v>
      </c>
      <c r="M10" s="184" t="str">
        <f>IFERROR(IF(VLOOKUP(Sun_W2[[#This Row],[Employee Name]],'Base Schedules'!$A$46:$AW$77,12,FALSE)="","",VLOOKUP(Sun_W2[[#This Row],[Employee Name]],'Base Schedules'!$A$46:$AW$77,12,FALSE)),"")</f>
        <v>-</v>
      </c>
      <c r="N10" s="184" t="str">
        <f>IFERROR(IF(VLOOKUP(Sun_W2[[#This Row],[Employee Name]],'Base Schedules'!$A$46:$AW$77,13,FALSE)="","",VLOOKUP(Sun_W2[[#This Row],[Employee Name]],'Base Schedules'!$A$46:$AW$77,13,FALSE)),"")</f>
        <v>-</v>
      </c>
      <c r="O10" s="184" t="str">
        <f>IFERROR(IF(VLOOKUP(Sun_W2[[#This Row],[Employee Name]],'Base Schedules'!$A$46:$AW$77,14,FALSE)="","",VLOOKUP(Sun_W2[[#This Row],[Employee Name]],'Base Schedules'!$A$46:$AW$77,14,FALSE)),"")</f>
        <v>-</v>
      </c>
      <c r="P10" s="184" t="str">
        <f>IFERROR(IF(VLOOKUP(Sun_W2[[#This Row],[Employee Name]],'Base Schedules'!$A$46:$AW$77,15,FALSE)="","",VLOOKUP(Sun_W2[[#This Row],[Employee Name]],'Base Schedules'!$A$46:$AW$77,15,FALSE)),"")</f>
        <v>Interview</v>
      </c>
      <c r="Q10" s="184" t="str">
        <f>IFERROR(IF(VLOOKUP(Sun_W2[[#This Row],[Employee Name]],'Base Schedules'!$A$46:$AW$77,16,FALSE)="","",VLOOKUP(Sun_W2[[#This Row],[Employee Name]],'Base Schedules'!$A$46:$AW$77,16,FALSE)),"")</f>
        <v>Interview</v>
      </c>
      <c r="R10" s="184" t="str">
        <f>IFERROR(IF(VLOOKUP(Sun_W2[[#This Row],[Employee Name]],'Base Schedules'!$A$46:$AW$77,17,FALSE)="","",VLOOKUP(Sun_W2[[#This Row],[Employee Name]],'Base Schedules'!$A$46:$AW$77,17,FALSE)),"")</f>
        <v>-</v>
      </c>
      <c r="S10" s="184" t="str">
        <f>IFERROR(IF(VLOOKUP(Sun_W2[[#This Row],[Employee Name]],'Base Schedules'!$A$46:$AW$77,18,FALSE)="","",VLOOKUP(Sun_W2[[#This Row],[Employee Name]],'Base Schedules'!$A$46:$AW$77,18,FALSE)),"")</f>
        <v>-</v>
      </c>
      <c r="T10" s="184" t="str">
        <f>IFERROR(IF(VLOOKUP(Sun_W2[[#This Row],[Employee Name]],'Base Schedules'!$A$46:$AW$77,19,FALSE)="","",VLOOKUP(Sun_W2[[#This Row],[Employee Name]],'Base Schedules'!$A$46:$AW$77,19,FALSE)),"")</f>
        <v>-</v>
      </c>
      <c r="U10" s="184" t="str">
        <f>IFERROR(IF(VLOOKUP(Sun_W2[[#This Row],[Employee Name]],'Base Schedules'!$A$46:$AW$77,20,FALSE)="","",VLOOKUP(Sun_W2[[#This Row],[Employee Name]],'Base Schedules'!$A$46:$AW$77,20,FALSE)),"")</f>
        <v>-</v>
      </c>
      <c r="V10" s="184" t="str">
        <f>IFERROR(IF(VLOOKUP(Sun_W2[[#This Row],[Employee Name]],'Base Schedules'!$A$46:$AW$77,21,FALSE)="","",VLOOKUP(Sun_W2[[#This Row],[Employee Name]],'Base Schedules'!$A$46:$AW$77,21,FALSE)),"")</f>
        <v>Coaching</v>
      </c>
      <c r="W10" s="184" t="str">
        <f>IFERROR(IF(VLOOKUP(Sun_W2[[#This Row],[Employee Name]],'Base Schedules'!$A$46:$AW$77,22,FALSE)="","",VLOOKUP(Sun_W2[[#This Row],[Employee Name]],'Base Schedules'!$A$46:$AW$77,22,FALSE)),"")</f>
        <v>Coaching</v>
      </c>
      <c r="X10" s="184" t="str">
        <f>IFERROR(IF(VLOOKUP(Sun_W2[[#This Row],[Employee Name]],'Base Schedules'!$A$46:$AW$77,23,FALSE)="","",VLOOKUP(Sun_W2[[#This Row],[Employee Name]],'Base Schedules'!$A$46:$AW$77,23,FALSE)),"")</f>
        <v>Coaching</v>
      </c>
      <c r="Y10" s="184" t="str">
        <f>IFERROR(IF(VLOOKUP(Sun_W2[[#This Row],[Employee Name]],'Base Schedules'!$A$79:$AW$111,24,FALSE)="","",VLOOKUP(Sun_W2[[#This Row],[Employee Name]],'Base Schedules'!$A$79:$AW$111,24,FALSE)),"")</f>
        <v>-</v>
      </c>
      <c r="Z10" s="184"/>
      <c r="AA10" s="184"/>
      <c r="AB10" s="184" t="str">
        <f>IFERROR(IF(VLOOKUP(Sun_W2[[#This Row],[Employee Name]],'Base Schedules'!$A$79:$AW$111,27,FALSE)="","",VLOOKUP(Sun_W2[[#This Row],[Employee Name]],'Base Schedules'!$A$79:$AW$111,27,FALSE)),"")</f>
        <v/>
      </c>
      <c r="AC10" s="184" t="str">
        <f>IFERROR(IF(VLOOKUP(Sun_W2[[#This Row],[Employee Name]],'Base Schedules'!$A$79:$AW$111,28,FALSE)="","",VLOOKUP(Sun_W2[[#This Row],[Employee Name]],'Base Schedules'!$A$79:$AW$111,28,FALSE)),"")</f>
        <v>-</v>
      </c>
      <c r="AD10" s="184" t="str">
        <f>IFERROR(IF(VLOOKUP(Sun_W2[[#This Row],[Employee Name]],'Base Schedules'!$A$79:$AW$111,29,FALSE)="","",VLOOKUP(Sun_W2[[#This Row],[Employee Name]],'Base Schedules'!$A$79:$AW$111,29,FALSE)),"")</f>
        <v>-</v>
      </c>
      <c r="AE10" s="184" t="str">
        <f>IFERROR(IF(VLOOKUP(Sun_W2[[#This Row],[Employee Name]],'Base Schedules'!$A$79:$AW$111,30,FALSE)="","",VLOOKUP(Sun_W2[[#This Row],[Employee Name]],'Base Schedules'!$A$79:$AW$111,30,FALSE)),"")</f>
        <v>-</v>
      </c>
      <c r="AF10" s="184" t="str">
        <f>IFERROR(IF(VLOOKUP(Sun_W2[[#This Row],[Employee Name]],'Base Schedules'!$A$79:$AW$111,31,FALSE)="","",VLOOKUP(Sun_W2[[#This Row],[Employee Name]],'Base Schedules'!$A$79:$AW$111,31,FALSE)),"")</f>
        <v/>
      </c>
      <c r="AG10" s="184" t="str">
        <f>IFERROR(IF(VLOOKUP(Sun_W2[[#This Row],[Employee Name]],'Base Schedules'!$A$46:$AW$77,32,FALSE)="","",VLOOKUP(Sun_W2[[#This Row],[Employee Name]],'Base Schedules'!$A$46:$AW$77,32,FALSE)),"")</f>
        <v/>
      </c>
      <c r="AH10" s="184" t="str">
        <f>IFERROR(IF(VLOOKUP(Sun_W2[[#This Row],[Employee Name]],'Base Schedules'!$A$46:$AW$77,33,FALSE)="","",VLOOKUP(Sun_W2[[#This Row],[Employee Name]],'Base Schedules'!$A$46:$AW$77,33,FALSE)),"")</f>
        <v/>
      </c>
      <c r="AI10" s="184" t="str">
        <f>IFERROR(IF(VLOOKUP(Sun_W2[[#This Row],[Employee Name]],'Base Schedules'!$A$46:$AW$77,34,FALSE)="","",VLOOKUP(Sun_W2[[#This Row],[Employee Name]],'Base Schedules'!$A$46:$AW$77,34,FALSE)),"")</f>
        <v/>
      </c>
      <c r="AJ10" s="184" t="str">
        <f>IFERROR(IF(VLOOKUP(Sun_W2[[#This Row],[Employee Name]],'Base Schedules'!$A$46:$AW$77,35,FALSE)="","",VLOOKUP(Sun_W2[[#This Row],[Employee Name]],'Base Schedules'!$A$46:$AW$77,35,FALSE)),"")</f>
        <v/>
      </c>
      <c r="AK10" s="184" t="str">
        <f>IFERROR(IF(VLOOKUP(Sun_W2[[#This Row],[Employee Name]],'Base Schedules'!$A$46:$AW$77,36,FALSE)="","",VLOOKUP(Sun_W2[[#This Row],[Employee Name]],'Base Schedules'!$A$46:$AW$77,36,FALSE)),"")</f>
        <v/>
      </c>
      <c r="AL10" s="184" t="str">
        <f>IFERROR(IF(VLOOKUP(Sun_W2[[#This Row],[Employee Name]],'Base Schedules'!$A$46:$AW$77,37,FALSE)="","",VLOOKUP(Sun_W2[[#This Row],[Employee Name]],'Base Schedules'!$A$46:$AW$77,37,FALSE)),"")</f>
        <v/>
      </c>
      <c r="AM10" s="184" t="str">
        <f>IFERROR(IF(VLOOKUP(Sun_W2[[#This Row],[Employee Name]],'Base Schedules'!$A$46:$AW$77,38,FALSE)="","",VLOOKUP(Sun_W2[[#This Row],[Employee Name]],'Base Schedules'!$A$46:$AW$77,38,FALSE)),"")</f>
        <v/>
      </c>
      <c r="AN10" s="184" t="str">
        <f>IFERROR(IF(VLOOKUP(Sun_W2[[#This Row],[Employee Name]],'Base Schedules'!$A$46:$AW$77,39,FALSE)="","",VLOOKUP(Sun_W2[[#This Row],[Employee Name]],'Base Schedules'!$A$46:$AW$77,39,FALSE)),"")</f>
        <v/>
      </c>
      <c r="AO10" s="184" t="str">
        <f>IFERROR(IF(VLOOKUP(Sun_W2[[#This Row],[Employee Name]],'Base Schedules'!$A$46:$AW$77,40,FALSE)="","",VLOOKUP(Sun_W2[[#This Row],[Employee Name]],'Base Schedules'!$A$46:$AW$77,40,FALSE)),"")</f>
        <v/>
      </c>
      <c r="AP10" s="184" t="str">
        <f>IFERROR(IF(VLOOKUP(Sun_W2[[#This Row],[Employee Name]],'Base Schedules'!$A$46:$AW$77,41,FALSE)="","",VLOOKUP(Sun_W2[[#This Row],[Employee Name]],'Base Schedules'!$A$46:$AW$77,41,FALSE)),"")</f>
        <v/>
      </c>
      <c r="AQ10" s="184" t="str">
        <f>IFERROR(IF(VLOOKUP(Sun_W2[[#This Row],[Employee Name]],'Base Schedules'!$A$46:$AW$77,42,FALSE)="","",VLOOKUP(Sun_W2[[#This Row],[Employee Name]],'Base Schedules'!$A$46:$AW$77,42,FALSE)),"")</f>
        <v/>
      </c>
      <c r="AR10" s="184" t="str">
        <f>IFERROR(IF(VLOOKUP(Sun_W2[[#This Row],[Employee Name]],'Base Schedules'!$A$46:$AW$77,43,FALSE)="","",VLOOKUP(Sun_W2[[#This Row],[Employee Name]],'Base Schedules'!$A$46:$AW$77,43,FALSE)),"")</f>
        <v/>
      </c>
      <c r="AS10" s="184" t="str">
        <f>IFERROR(IF(VLOOKUP(Sun_W2[[#This Row],[Employee Name]],'Base Schedules'!$A$46:$AW$77,44,FALSE)="","",VLOOKUP(Sun_W2[[#This Row],[Employee Name]],'Base Schedules'!$A$46:$AW$77,44,FALSE)),"")</f>
        <v/>
      </c>
      <c r="AT10" s="184" t="str">
        <f>IFERROR(IF(VLOOKUP(Sun_W2[[#This Row],[Employee Name]],'Base Schedules'!$A$46:$AW$77,45,FALSE)="","",VLOOKUP(Sun_W2[[#This Row],[Employee Name]],'Base Schedules'!$A$46:$AW$77,45,FALSE)),"")</f>
        <v/>
      </c>
      <c r="AU10" s="184" t="str">
        <f>IFERROR(IF(VLOOKUP(Sun_W2[[#This Row],[Employee Name]],'Base Schedules'!$A$46:$AW$77,46,FALSE)="","",VLOOKUP(Sun_W2[[#This Row],[Employee Name]],'Base Schedules'!$A$46:$AW$77,46,FALSE)),"")</f>
        <v/>
      </c>
      <c r="AV10" s="184" t="str">
        <f>IFERROR(IF(VLOOKUP(Sun_W2[[#This Row],[Employee Name]],'Base Schedules'!$A$46:$AW$77,47,FALSE)="","",VLOOKUP(Sun_W2[[#This Row],[Employee Name]],'Base Schedules'!$A$46:$AW$77,47,FALSE)),"")</f>
        <v/>
      </c>
      <c r="AW10" s="184" t="str">
        <f>IFERROR(IF(VLOOKUP(Sun_W2[[#This Row],[Employee Name]],'Base Schedules'!$A$46:$AW$77,48,FALSE)="","",VLOOKUP(Sun_W2[[#This Row],[Employee Name]],'Base Schedules'!$A$46:$AW$77,48,FALSE)),"")</f>
        <v/>
      </c>
      <c r="AX10" s="184" t="str">
        <f>IFERROR(IF(VLOOKUP(Sun_W2[[#This Row],[Employee Name]],'Base Schedules'!$A$46:$AW$77,49,FALSE)="","",VLOOKUP(Sun_W2[[#This Row],[Employee Name]],'Base Schedules'!$A$46:$AW$77,49,FALSE)),"")</f>
        <v/>
      </c>
      <c r="AY10" s="159" t="str">
        <f t="shared" si="2"/>
        <v>Alvarez, Carlos</v>
      </c>
      <c r="AZ10" s="184" t="str">
        <f>IFERROR(IF(VLOOKUP(Sun_W1[[#This Row],[Employee Name]],'Base Schedules'!$A$79:$AW$111,48,FALSE)="","",VLOOKUP(Sun_W1[[#This Row],[Employee Name]],'Base Schedules'!$A$79:$AW$111,48,FALSE)),"")</f>
        <v/>
      </c>
      <c r="BA10" s="184" t="str">
        <f>IFERROR(IF(VLOOKUP(Sun_W1[[#This Row],[Employee Name]],'Base Schedules'!$A$79:$AW$111,49,FALSE)="","",VLOOKUP(Sun_W1[[#This Row],[Employee Name]],'Base Schedules'!$A$79:$AW$111,49,FALSE)),"")</f>
        <v/>
      </c>
    </row>
    <row r="11" spans="1:53" s="44" customFormat="1" ht="12" customHeight="1" x14ac:dyDescent="0.2">
      <c r="A11" s="39" t="str">
        <f>IF(B11="","",INDEX(TeamList[],MATCH($B11,TeamList[[Employee Name]:[Employee Name]],0),MATCH("Manager",TeamList[#Headers],0)))</f>
        <v>Paulson, Matthew</v>
      </c>
      <c r="B11" s="201" t="s">
        <v>46</v>
      </c>
      <c r="C11" s="257" t="str">
        <f>_xlfn.IFNA(VLOOKUP(Sun_W2[[#This Row],[Employee Name]],'Base Schedules'!A:B,2,FALSE),"")</f>
        <v>Supervisor</v>
      </c>
      <c r="D11" s="274">
        <f>_xlfn.IFNA(VLOOKUP(Sun_W2[[#This Row],[Employee Name]],'Base Schedules'!A:C,3,FALSE),"")</f>
        <v>500</v>
      </c>
      <c r="E11" s="354">
        <f>_xlfn.IFNA(VLOOKUP(Sun_W2[[#This Row],[Employee Name]],'Base Schedules'!A:D,4,FALSE),"")</f>
        <v>1400</v>
      </c>
      <c r="F11" s="358">
        <f>IF(Sun_W2[[#This Row],[Employee Name]]="","",IF(Sun_W2[[#This Row],[Dept]]="Supervisor",COUNTIFS($J11:$AX11,"*HL*",$J11:$AX11,"&lt;&gt;"&amp;"pHL"),COUNTIFS($J11:$AX11,"*HL*",$J11:$AX11,"&lt;&gt;"&amp;"*pHL*",$J11:$AX11,"&lt;&gt;"&amp;"pB1 HL",$J11:$AX11,"&lt;&gt;"&amp;"pB2 HL")-SUM(COUNTIFS($J11:$AX11,"*HL B1*",$J11:$AX11,"&lt;&gt;"&amp;"pHL B1")*0.5,COUNTIFS($J11:$AX11,"*HL B2*",$J11:$AX11,"&lt;&gt;"&amp;"pHL B2")*0.5,COUNTIFS($J11:$AX11,"*B1 HL*",$J11:$AX11,"&lt;&gt;"&amp;"pB1 HL")*0.5,COUNTIFS($J11:$AX11,"*B2 HL*",$J11:$AX11,"&lt;&gt;"&amp;"pB2 HL")*0.5)))</f>
        <v>0</v>
      </c>
      <c r="G11" s="142">
        <f t="shared" si="0"/>
        <v>4</v>
      </c>
      <c r="H11" s="142">
        <f t="shared" si="1"/>
        <v>0</v>
      </c>
      <c r="I11" s="142">
        <f>IF(Sun_W2[[#This Row],[Employee Name]]="","",IF(Sun_W2[[#This Row],[Dept]]="Supervisor",SUM(COUNTIFS($J11:$AX11,"RTA*",$J11:$AX11,"&lt;&gt;"&amp;"pRTA"),COUNTIFS($J11:$AX11,"*CRTA*",$J11:$AX11,"&lt;&gt;"&amp;"pCRTA")),COUNTIFS($J11:$AX11,"*RNNR*",$J11:$AX11,"&lt;&gt;"&amp;"*pRNNR*",$J11:$AX11,"&lt;&gt;"&amp;"pB1 RNNR",$J11:$AX11,"&lt;&gt;"&amp;"pB2 RNNR")-SUM(COUNTIFS($J11:$AX11,"*RNNR B1*",$J11:$AX11,"&lt;&gt;"&amp;"pRNNR B1")*0.5,COUNTIFS($J11:$AX11,"*RNNR B2*",$J11:$AX11,"&lt;&gt;"&amp;"pRNNR B2")*0.5,COUNTIFS($J11:$AX11,"*B1 RNNR*",$J11:$AX11,"&lt;&gt;"&amp;"pB1 RNNR")*0.5,COUNTIFS($J11:$AX11,"*B2 RNNR*",$J11:$AX11,"&lt;&gt;"&amp;"pB2 RNNR")*0.5)))</f>
        <v>0</v>
      </c>
      <c r="J11" s="184" t="str">
        <f>IFERROR(IF(VLOOKUP(Sun_W2[[#This Row],[Employee Name]],'Base Schedules'!$A$79:$AW$111,9,FALSE)="","",VLOOKUP(Sun_W2[[#This Row],[Employee Name]],'Base Schedules'!$A$79:$AW$111,9,FALSE)),"")</f>
        <v>-</v>
      </c>
      <c r="K11" s="184" t="str">
        <f>IFERROR(IF(VLOOKUP(Sun_W2[[#This Row],[Employee Name]],'Base Schedules'!$A$79:$AW$111,10,FALSE)="","",VLOOKUP(Sun_W2[[#This Row],[Employee Name]],'Base Schedules'!$A$79:$AW$111,10,FALSE)),"")</f>
        <v>-</v>
      </c>
      <c r="L11" s="184" t="str">
        <f>IFERROR(IF(VLOOKUP(Sun_W2[[#This Row],[Employee Name]],'Base Schedules'!$A$79:$AW$111,11,FALSE)="","",VLOOKUP(Sun_W2[[#This Row],[Employee Name]],'Base Schedules'!$A$79:$AW$111,11,FALSE)),"")</f>
        <v>-</v>
      </c>
      <c r="M11" s="184" t="str">
        <f>IFERROR(IF(VLOOKUP(Sun_W2[[#This Row],[Employee Name]],'Base Schedules'!$A$79:$AW$111,12,FALSE)="","",VLOOKUP(Sun_W2[[#This Row],[Employee Name]],'Base Schedules'!$A$79:$AW$111,12,FALSE)),"")</f>
        <v>-</v>
      </c>
      <c r="N11" s="184" t="str">
        <f>IFERROR(IF(VLOOKUP(Sun_W2[[#This Row],[Employee Name]],'Base Schedules'!$A$79:$AW$111,13,FALSE)="","",VLOOKUP(Sun_W2[[#This Row],[Employee Name]],'Base Schedules'!$A$79:$AW$111,13,FALSE)),"")</f>
        <v>-</v>
      </c>
      <c r="O11" s="184" t="str">
        <f>IFERROR(IF(VLOOKUP(Sun_W2[[#This Row],[Employee Name]],'Base Schedules'!$A$79:$AW$111,14,FALSE)="","",VLOOKUP(Sun_W2[[#This Row],[Employee Name]],'Base Schedules'!$A$79:$AW$111,14,FALSE)),"")</f>
        <v>-</v>
      </c>
      <c r="P11" s="184" t="str">
        <f>IFERROR(IF(VLOOKUP(Sun_W2[[#This Row],[Employee Name]],'Base Schedules'!$A$79:$AW$111,15,FALSE)="","",VLOOKUP(Sun_W2[[#This Row],[Employee Name]],'Base Schedules'!$A$79:$AW$111,15,FALSE)),"")</f>
        <v>-</v>
      </c>
      <c r="Q11" s="184" t="str">
        <f>IFERROR(IF(VLOOKUP(Sun_W2[[#This Row],[Employee Name]],'Base Schedules'!$A$79:$AW$111,16,FALSE)="","",VLOOKUP(Sun_W2[[#This Row],[Employee Name]],'Base Schedules'!$A$79:$AW$111,16,FALSE)),"")</f>
        <v>-</v>
      </c>
      <c r="R11" s="184" t="str">
        <f>IFERROR(IF(VLOOKUP(Sun_W2[[#This Row],[Employee Name]],'Base Schedules'!$A$79:$AW$111,17,FALSE)="","",VLOOKUP(Sun_W2[[#This Row],[Employee Name]],'Base Schedules'!$A$79:$AW$111,17,FALSE)),"")</f>
        <v>-</v>
      </c>
      <c r="S11" s="184" t="str">
        <f>IFERROR(IF(VLOOKUP(Sun_W2[[#This Row],[Employee Name]],'Base Schedules'!$A$79:$AW$111,18,FALSE)="","",VLOOKUP(Sun_W2[[#This Row],[Employee Name]],'Base Schedules'!$A$79:$AW$111,18,FALSE)),"")</f>
        <v>-</v>
      </c>
      <c r="T11" s="184" t="str">
        <f>IFERROR(IF(VLOOKUP(Sun_W2[[#This Row],[Employee Name]],'Base Schedules'!$A$79:$AW$111,19,FALSE)="","",VLOOKUP(Sun_W2[[#This Row],[Employee Name]],'Base Schedules'!$A$79:$AW$111,19,FALSE)),"")</f>
        <v>-</v>
      </c>
      <c r="U11" s="184" t="str">
        <f>IFERROR(IF(VLOOKUP(Sun_W2[[#This Row],[Employee Name]],'Base Schedules'!$A$79:$AW$111,20,FALSE)="","",VLOOKUP(Sun_W2[[#This Row],[Employee Name]],'Base Schedules'!$A$79:$AW$111,20,FALSE)),"")</f>
        <v>-</v>
      </c>
      <c r="V11" s="184" t="str">
        <f>IFERROR(IF(VLOOKUP(Sun_W2[[#This Row],[Employee Name]],'Base Schedules'!$A$79:$AW$111,21,FALSE)="","",VLOOKUP(Sun_W2[[#This Row],[Employee Name]],'Base Schedules'!$A$79:$AW$111,21,FALSE)),"")</f>
        <v>-</v>
      </c>
      <c r="W11" s="184" t="str">
        <f>IFERROR(IF(VLOOKUP(Sun_W2[[#This Row],[Employee Name]],'Base Schedules'!$A$79:$AW$111,22,FALSE)="","",VLOOKUP(Sun_W2[[#This Row],[Employee Name]],'Base Schedules'!$A$79:$AW$111,22,FALSE)),"")</f>
        <v>Coaching</v>
      </c>
      <c r="X11" s="184" t="str">
        <f>IFERROR(IF(VLOOKUP(Sun_W2[[#This Row],[Employee Name]],'Base Schedules'!$A$79:$AW$111,23,FALSE)="","",VLOOKUP(Sun_W2[[#This Row],[Employee Name]],'Base Schedules'!$A$79:$AW$111,23,FALSE)),"")</f>
        <v>Coaching</v>
      </c>
      <c r="Y11" s="184" t="str">
        <f>IFERROR(IF(VLOOKUP(Sun_W2[[#This Row],[Employee Name]],'Base Schedules'!$A$79:$AW$111,24,FALSE)="","",VLOOKUP(Sun_W2[[#This Row],[Employee Name]],'Base Schedules'!$A$79:$AW$111,24,FALSE)),"")</f>
        <v>Coaching</v>
      </c>
      <c r="Z11" s="184" t="str">
        <f>IFERROR(IF(VLOOKUP(Sun_W2[[#This Row],[Employee Name]],'Base Schedules'!$A$79:$AW$111,25,FALSE)="","",VLOOKUP(Sun_W2[[#This Row],[Employee Name]],'Base Schedules'!$A$79:$AW$111,25,FALSE)),"")</f>
        <v>Coaching</v>
      </c>
      <c r="AA11" s="184" t="str">
        <f>IFERROR(IF(VLOOKUP(Sun_W2[[#This Row],[Employee Name]],'Base Schedules'!$A$79:$AW$111,26,FALSE)="","",VLOOKUP(Sun_W2[[#This Row],[Employee Name]],'Base Schedules'!$A$79:$AW$111,26,FALSE)),"")</f>
        <v>-</v>
      </c>
      <c r="AB11" s="184" t="str">
        <f>IFERROR(IF(VLOOKUP(Sun_W2[[#This Row],[Employee Name]],'Base Schedules'!$A$79:$AW$111,27,FALSE)="","",VLOOKUP(Sun_W2[[#This Row],[Employee Name]],'Base Schedules'!$A$79:$AW$111,27,FALSE)),"")</f>
        <v/>
      </c>
      <c r="AC11" s="184" t="str">
        <f>IFERROR(IF(VLOOKUP(Sun_W2[[#This Row],[Employee Name]],'Base Schedules'!$A$79:$AW$111,28,FALSE)="","",VLOOKUP(Sun_W2[[#This Row],[Employee Name]],'Base Schedules'!$A$79:$AW$111,28,FALSE)),"")</f>
        <v/>
      </c>
      <c r="AD11" s="184" t="str">
        <f>IFERROR(IF(VLOOKUP(Sun_W2[[#This Row],[Employee Name]],'Base Schedules'!$A$79:$AW$111,29,FALSE)="","",VLOOKUP(Sun_W2[[#This Row],[Employee Name]],'Base Schedules'!$A$79:$AW$111,29,FALSE)),"")</f>
        <v/>
      </c>
      <c r="AE11" s="184" t="str">
        <f>IFERROR(IF(VLOOKUP(Sun_W2[[#This Row],[Employee Name]],'Base Schedules'!$A$79:$AW$111,30,FALSE)="","",VLOOKUP(Sun_W2[[#This Row],[Employee Name]],'Base Schedules'!$A$79:$AW$111,30,FALSE)),"")</f>
        <v/>
      </c>
      <c r="AF11" s="184" t="str">
        <f>IFERROR(IF(VLOOKUP(Sun_W2[[#This Row],[Employee Name]],'Base Schedules'!$A$79:$AW$111,31,FALSE)="","",VLOOKUP(Sun_W2[[#This Row],[Employee Name]],'Base Schedules'!$A$79:$AW$111,31,FALSE)),"")</f>
        <v/>
      </c>
      <c r="AG11" s="184" t="str">
        <f>IFERROR(IF(VLOOKUP(Sun_W2[[#This Row],[Employee Name]],'Base Schedules'!$A$79:$AW$111,32,FALSE)="","",VLOOKUP(Sun_W2[[#This Row],[Employee Name]],'Base Schedules'!$A$79:$AW$111,32,FALSE)),"")</f>
        <v/>
      </c>
      <c r="AH11" s="184" t="str">
        <f>IFERROR(IF(VLOOKUP(Sun_W2[[#This Row],[Employee Name]],'Base Schedules'!$A$79:$AW$111,33,FALSE)="","",VLOOKUP(Sun_W2[[#This Row],[Employee Name]],'Base Schedules'!$A$79:$AW$111,33,FALSE)),"")</f>
        <v/>
      </c>
      <c r="AI11" s="184" t="str">
        <f>IFERROR(IF(VLOOKUP(Sun_W2[[#This Row],[Employee Name]],'Base Schedules'!$A$79:$AW$111,34,FALSE)="","",VLOOKUP(Sun_W2[[#This Row],[Employee Name]],'Base Schedules'!$A$79:$AW$111,34,FALSE)),"")</f>
        <v/>
      </c>
      <c r="AJ11" s="184" t="str">
        <f>IFERROR(IF(VLOOKUP(Sun_W2[[#This Row],[Employee Name]],'Base Schedules'!$A$79:$AW$111,35,FALSE)="","",VLOOKUP(Sun_W2[[#This Row],[Employee Name]],'Base Schedules'!$A$79:$AW$111,35,FALSE)),"")</f>
        <v/>
      </c>
      <c r="AK11" s="184" t="str">
        <f>IFERROR(IF(VLOOKUP(Sun_W2[[#This Row],[Employee Name]],'Base Schedules'!$A$79:$AW$111,36,FALSE)="","",VLOOKUP(Sun_W2[[#This Row],[Employee Name]],'Base Schedules'!$A$79:$AW$111,36,FALSE)),"")</f>
        <v/>
      </c>
      <c r="AL11" s="184" t="str">
        <f>IFERROR(IF(VLOOKUP(Sun_W2[[#This Row],[Employee Name]],'Base Schedules'!$A$79:$AW$111,37,FALSE)="","",VLOOKUP(Sun_W2[[#This Row],[Employee Name]],'Base Schedules'!$A$79:$AW$111,37,FALSE)),"")</f>
        <v/>
      </c>
      <c r="AM11" s="184" t="str">
        <f>IFERROR(IF(VLOOKUP(Sun_W2[[#This Row],[Employee Name]],'Base Schedules'!$A$79:$AW$111,38,FALSE)="","",VLOOKUP(Sun_W2[[#This Row],[Employee Name]],'Base Schedules'!$A$79:$AW$111,38,FALSE)),"")</f>
        <v/>
      </c>
      <c r="AN11" s="184" t="str">
        <f>IFERROR(IF(VLOOKUP(Sun_W2[[#This Row],[Employee Name]],'Base Schedules'!$A$79:$AW$111,39,FALSE)="","",VLOOKUP(Sun_W2[[#This Row],[Employee Name]],'Base Schedules'!$A$79:$AW$111,39,FALSE)),"")</f>
        <v/>
      </c>
      <c r="AO11" s="184" t="str">
        <f>IFERROR(IF(VLOOKUP(Sun_W2[[#This Row],[Employee Name]],'Base Schedules'!$A$79:$AW$111,40,FALSE)="","",VLOOKUP(Sun_W2[[#This Row],[Employee Name]],'Base Schedules'!$A$79:$AW$111,40,FALSE)),"")</f>
        <v/>
      </c>
      <c r="AP11" s="184" t="str">
        <f>IFERROR(IF(VLOOKUP(Sun_W2[[#This Row],[Employee Name]],'Base Schedules'!$A$79:$AW$111,41,FALSE)="","",VLOOKUP(Sun_W2[[#This Row],[Employee Name]],'Base Schedules'!$A$79:$AW$111,41,FALSE)),"")</f>
        <v/>
      </c>
      <c r="AQ11" s="184" t="str">
        <f>IFERROR(IF(VLOOKUP(Sun_W2[[#This Row],[Employee Name]],'Base Schedules'!$A$79:$AW$111,42,FALSE)="","",VLOOKUP(Sun_W2[[#This Row],[Employee Name]],'Base Schedules'!$A$79:$AW$111,42,FALSE)),"")</f>
        <v/>
      </c>
      <c r="AR11" s="184" t="str">
        <f>IFERROR(IF(VLOOKUP(Sun_W2[[#This Row],[Employee Name]],'Base Schedules'!$A$79:$AW$111,43,FALSE)="","",VLOOKUP(Sun_W2[[#This Row],[Employee Name]],'Base Schedules'!$A$79:$AW$111,43,FALSE)),"")</f>
        <v/>
      </c>
      <c r="AS11" s="184" t="str">
        <f>IFERROR(IF(VLOOKUP(Sun_W2[[#This Row],[Employee Name]],'Base Schedules'!$A$79:$AW$111,44,FALSE)="","",VLOOKUP(Sun_W2[[#This Row],[Employee Name]],'Base Schedules'!$A$79:$AW$111,44,FALSE)),"")</f>
        <v/>
      </c>
      <c r="AT11" s="184" t="str">
        <f>IFERROR(IF(VLOOKUP(Sun_W2[[#This Row],[Employee Name]],'Base Schedules'!$A$79:$AW$111,45,FALSE)="","",VLOOKUP(Sun_W2[[#This Row],[Employee Name]],'Base Schedules'!$A$79:$AW$111,45,FALSE)),"")</f>
        <v/>
      </c>
      <c r="AU11" s="184" t="str">
        <f>IFERROR(IF(VLOOKUP(Sun_W2[[#This Row],[Employee Name]],'Base Schedules'!$A$79:$AW$111,46,FALSE)="","",VLOOKUP(Sun_W2[[#This Row],[Employee Name]],'Base Schedules'!$A$79:$AW$111,46,FALSE)),"")</f>
        <v/>
      </c>
      <c r="AV11" s="184" t="str">
        <f>IFERROR(IF(VLOOKUP(Sun_W2[[#This Row],[Employee Name]],'Base Schedules'!$A$79:$AW$111,47,FALSE)="","",VLOOKUP(Sun_W2[[#This Row],[Employee Name]],'Base Schedules'!$A$79:$AW$111,47,FALSE)),"")</f>
        <v/>
      </c>
      <c r="AW11" s="184" t="str">
        <f>IFERROR(IF(VLOOKUP(Sun_W2[[#This Row],[Employee Name]],'Base Schedules'!$A$79:$AW$111,48,FALSE)="","",VLOOKUP(Sun_W2[[#This Row],[Employee Name]],'Base Schedules'!$A$79:$AW$111,48,FALSE)),"")</f>
        <v/>
      </c>
      <c r="AX11" s="184" t="str">
        <f>IFERROR(IF(VLOOKUP(Sun_W2[[#This Row],[Employee Name]],'Base Schedules'!$A$79:$AW$111,49,FALSE)="","",VLOOKUP(Sun_W2[[#This Row],[Employee Name]],'Base Schedules'!$A$79:$AW$111,49,FALSE)),"")</f>
        <v/>
      </c>
      <c r="AY11" s="159" t="str">
        <f t="shared" si="2"/>
        <v>Senft, Thomas</v>
      </c>
      <c r="AZ11" s="184" t="str">
        <f>IFERROR(IF(VLOOKUP(Sun_W1[[#This Row],[Employee Name]],'Base Schedules'!$A$79:$AW$111,48,FALSE)="","",VLOOKUP(Sun_W1[[#This Row],[Employee Name]],'Base Schedules'!$A$79:$AW$111,48,FALSE)),"")</f>
        <v/>
      </c>
      <c r="BA11" s="184" t="str">
        <f>IFERROR(IF(VLOOKUP(Sun_W1[[#This Row],[Employee Name]],'Base Schedules'!$A$79:$AW$111,49,FALSE)="","",VLOOKUP(Sun_W1[[#This Row],[Employee Name]],'Base Schedules'!$A$79:$AW$111,49,FALSE)),"")</f>
        <v/>
      </c>
    </row>
    <row r="12" spans="1:53" s="44" customFormat="1" ht="12" customHeight="1" x14ac:dyDescent="0.2">
      <c r="A12" s="39" t="str">
        <f>IF(B12="","",INDEX(TeamList[],MATCH($B12,TeamList[[Employee Name]:[Employee Name]],0),MATCH("Manager",TeamList[#Headers],0)))</f>
        <v>Olson, Katherine</v>
      </c>
      <c r="B12" s="201" t="s">
        <v>230</v>
      </c>
      <c r="C12" s="257" t="str">
        <f>_xlfn.IFNA(VLOOKUP(Sun_W2[[#This Row],[Employee Name]],'Base Schedules'!A:B,2,FALSE),"")</f>
        <v>Lead</v>
      </c>
      <c r="D12" s="274">
        <f>_xlfn.IFNA(VLOOKUP(Sun_W2[[#This Row],[Employee Name]],'Base Schedules'!A:C,3,FALSE),"")</f>
        <v>530</v>
      </c>
      <c r="E12" s="354">
        <f>_xlfn.IFNA(VLOOKUP(Sun_W2[[#This Row],[Employee Name]],'Base Schedules'!A:D,4,FALSE),"")</f>
        <v>1430</v>
      </c>
      <c r="F12" s="358">
        <f>IF(Sun_W2[[#This Row],[Employee Name]]="","",IF(Sun_W2[[#This Row],[Dept]]="Supervisor",COUNTIFS($J12:$AX12,"*HL*",$J12:$AX12,"&lt;&gt;"&amp;"pHL"),COUNTIFS($J12:$AX12,"*HL*",$J12:$AX12,"&lt;&gt;"&amp;"*pHL*",$J12:$AX12,"&lt;&gt;"&amp;"pB1 HL",$J12:$AX12,"&lt;&gt;"&amp;"pB2 HL")-SUM(COUNTIFS($J12:$AX12,"*HL B1*",$J12:$AX12,"&lt;&gt;"&amp;"pHL B1")*0.5,COUNTIFS($J12:$AX12,"*HL B2*",$J12:$AX12,"&lt;&gt;"&amp;"pHL B2")*0.5,COUNTIFS($J12:$AX12,"*B1 HL*",$J12:$AX12,"&lt;&gt;"&amp;"pB1 HL")*0.5,COUNTIFS($J12:$AX12,"*B2 HL*",$J12:$AX12,"&lt;&gt;"&amp;"pB2 HL")*0.5)))</f>
        <v>11</v>
      </c>
      <c r="G12" s="142">
        <f t="shared" si="0"/>
        <v>0</v>
      </c>
      <c r="H12" s="142">
        <f t="shared" si="1"/>
        <v>2</v>
      </c>
      <c r="I12" s="142">
        <f>IF(Sun_W2[[#This Row],[Employee Name]]="","",IF(Sun_W2[[#This Row],[Dept]]="Supervisor",SUM(COUNTIFS($J12:$AX12,"RTA*",$J12:$AX12,"&lt;&gt;"&amp;"pRTA"),COUNTIFS($J12:$AX12,"*CRTA*",$J12:$AX12,"&lt;&gt;"&amp;"pCRTA")),COUNTIFS($J12:$AX12,"*RNNR*",$J12:$AX12,"&lt;&gt;"&amp;"*pRNNR*",$J12:$AX12,"&lt;&gt;"&amp;"pB1 RNNR",$J12:$AX12,"&lt;&gt;"&amp;"pB2 RNNR")-SUM(COUNTIFS($J12:$AX12,"*RNNR B1*",$J12:$AX12,"&lt;&gt;"&amp;"pRNNR B1")*0.5,COUNTIFS($J12:$AX12,"*RNNR B2*",$J12:$AX12,"&lt;&gt;"&amp;"pRNNR B2")*0.5,COUNTIFS($J12:$AX12,"*B1 RNNR*",$J12:$AX12,"&lt;&gt;"&amp;"pB1 RNNR")*0.5,COUNTIFS($J12:$AX12,"*B2 RNNR*",$J12:$AX12,"&lt;&gt;"&amp;"pB2 RNNR")*0.5)))</f>
        <v>2</v>
      </c>
      <c r="J12" s="184" t="str">
        <f>IFERROR(IF(VLOOKUP(Sun_W2[[#This Row],[Employee Name]],'Base Schedules'!$A$79:$AW$111,9,FALSE)="","",VLOOKUP(Sun_W2[[#This Row],[Employee Name]],'Base Schedules'!$A$79:$AW$111,9,FALSE)),"")</f>
        <v/>
      </c>
      <c r="K12" s="184" t="str">
        <f>IFERROR(IF(VLOOKUP(Sun_W2[[#This Row],[Employee Name]],'Base Schedules'!$A$79:$AW$111,10,FALSE)="","",VLOOKUP(Sun_W2[[#This Row],[Employee Name]],'Base Schedules'!$A$79:$AW$111,10,FALSE)),"")</f>
        <v>HL</v>
      </c>
      <c r="L12" s="184" t="str">
        <f>IFERROR(IF(VLOOKUP(Sun_W2[[#This Row],[Employee Name]],'Base Schedules'!$A$79:$AW$111,11,FALSE)="","",VLOOKUP(Sun_W2[[#This Row],[Employee Name]],'Base Schedules'!$A$79:$AW$111,11,FALSE)),"")</f>
        <v>HL</v>
      </c>
      <c r="M12" s="184" t="str">
        <f>IFERROR(IF(VLOOKUP(Sun_W2[[#This Row],[Employee Name]],'Base Schedules'!$A$79:$AW$111,12,FALSE)="","",VLOOKUP(Sun_W2[[#This Row],[Employee Name]],'Base Schedules'!$A$79:$AW$111,12,FALSE)),"")</f>
        <v>HL</v>
      </c>
      <c r="N12" s="184" t="str">
        <f>IFERROR(IF(VLOOKUP(Sun_W2[[#This Row],[Employee Name]],'Base Schedules'!$A$79:$AW$111,13,FALSE)="","",VLOOKUP(Sun_W2[[#This Row],[Employee Name]],'Base Schedules'!$A$79:$AW$111,13,FALSE)),"")</f>
        <v>HL</v>
      </c>
      <c r="O12" s="184" t="str">
        <f>IFERROR(IF(VLOOKUP(Sun_W2[[#This Row],[Employee Name]],'Base Schedules'!$A$79:$AW$111,14,FALSE)="","",VLOOKUP(Sun_W2[[#This Row],[Employee Name]],'Base Schedules'!$A$79:$AW$111,14,FALSE)),"")</f>
        <v>HL B1</v>
      </c>
      <c r="P12" s="184" t="str">
        <f>IFERROR(IF(VLOOKUP(Sun_W2[[#This Row],[Employee Name]],'Base Schedules'!$A$79:$AW$111,15,FALSE)="","",VLOOKUP(Sun_W2[[#This Row],[Employee Name]],'Base Schedules'!$A$79:$AW$111,15,FALSE)),"")</f>
        <v>ADM</v>
      </c>
      <c r="Q12" s="184" t="str">
        <f>IFERROR(IF(VLOOKUP(Sun_W2[[#This Row],[Employee Name]],'Base Schedules'!$A$79:$AW$111,16,FALSE)="","",VLOOKUP(Sun_W2[[#This Row],[Employee Name]],'Base Schedules'!$A$79:$AW$111,16,FALSE)),"")</f>
        <v>ADM</v>
      </c>
      <c r="R12" s="184" t="str">
        <f>IFERROR(IF(VLOOKUP(Sun_W2[[#This Row],[Employee Name]],'Base Schedules'!$A$79:$AW$111,17,FALSE)="","",VLOOKUP(Sun_W2[[#This Row],[Employee Name]],'Base Schedules'!$A$79:$AW$111,17,FALSE)),"")</f>
        <v>RNNR</v>
      </c>
      <c r="S12" s="184" t="str">
        <f>IFERROR(IF(VLOOKUP(Sun_W2[[#This Row],[Employee Name]],'Base Schedules'!$A$79:$AW$111,18,FALSE)="","",VLOOKUP(Sun_W2[[#This Row],[Employee Name]],'Base Schedules'!$A$79:$AW$111,18,FALSE)),"")</f>
        <v>RNNR</v>
      </c>
      <c r="T12" s="184" t="str">
        <f>IFERROR(IF(VLOOKUP(Sun_W2[[#This Row],[Employee Name]],'Base Schedules'!$A$79:$AW$111,19,FALSE)="","",VLOOKUP(Sun_W2[[#This Row],[Employee Name]],'Base Schedules'!$A$79:$AW$111,19,FALSE)),"")</f>
        <v>HL</v>
      </c>
      <c r="U12" s="184" t="str">
        <f>IFERROR(IF(VLOOKUP(Sun_W2[[#This Row],[Employee Name]],'Base Schedules'!$A$79:$AW$111,20,FALSE)="","",VLOOKUP(Sun_W2[[#This Row],[Employee Name]],'Base Schedules'!$A$79:$AW$111,20,FALSE)),"")</f>
        <v>LUNCH</v>
      </c>
      <c r="V12" s="184" t="str">
        <f>IFERROR(IF(VLOOKUP(Sun_W2[[#This Row],[Employee Name]],'Base Schedules'!$A$79:$AW$111,21,FALSE)="","",VLOOKUP(Sun_W2[[#This Row],[Employee Name]],'Base Schedules'!$A$79:$AW$111,21,FALSE)),"")</f>
        <v>LUNCH</v>
      </c>
      <c r="W12" s="184" t="str">
        <f>IFERROR(IF(VLOOKUP(Sun_W2[[#This Row],[Employee Name]],'Base Schedules'!$A$79:$AW$111,22,FALSE)="","",VLOOKUP(Sun_W2[[#This Row],[Employee Name]],'Base Schedules'!$A$79:$AW$111,22,FALSE)),"")</f>
        <v>HL</v>
      </c>
      <c r="X12" s="184" t="str">
        <f>IFERROR(IF(VLOOKUP(Sun_W2[[#This Row],[Employee Name]],'Base Schedules'!$A$79:$AW$111,23,FALSE)="","",VLOOKUP(Sun_W2[[#This Row],[Employee Name]],'Base Schedules'!$A$79:$AW$111,23,FALSE)),"")</f>
        <v>HL</v>
      </c>
      <c r="Y12" s="184" t="str">
        <f>IFERROR(IF(VLOOKUP(Sun_W2[[#This Row],[Employee Name]],'Base Schedules'!$A$79:$AW$111,24,FALSE)="","",VLOOKUP(Sun_W2[[#This Row],[Employee Name]],'Base Schedules'!$A$79:$AW$111,24,FALSE)),"")</f>
        <v>HL B2</v>
      </c>
      <c r="Z12" s="184" t="str">
        <f>IFERROR(IF(VLOOKUP(Sun_W2[[#This Row],[Employee Name]],'Base Schedules'!$A$79:$AW$111,25,FALSE)="","",VLOOKUP(Sun_W2[[#This Row],[Employee Name]],'Base Schedules'!$A$79:$AW$111,25,FALSE)),"")</f>
        <v>HL</v>
      </c>
      <c r="AA12" s="184" t="str">
        <f>IFERROR(IF(VLOOKUP(Sun_W2[[#This Row],[Employee Name]],'Base Schedules'!$A$79:$AW$111,26,FALSE)="","",VLOOKUP(Sun_W2[[#This Row],[Employee Name]],'Base Schedules'!$A$79:$AW$111,26,FALSE)),"")</f>
        <v>HL</v>
      </c>
      <c r="AB12" s="184" t="str">
        <f>IFERROR(IF(VLOOKUP(Sun_W2[[#This Row],[Employee Name]],'Base Schedules'!$A$79:$AW$111,27,FALSE)="","",VLOOKUP(Sun_W2[[#This Row],[Employee Name]],'Base Schedules'!$A$79:$AW$111,27,FALSE)),"")</f>
        <v>HL</v>
      </c>
      <c r="AC12" s="184" t="str">
        <f>IFERROR(IF(VLOOKUP(Sun_W2[[#This Row],[Employee Name]],'Base Schedules'!$A$79:$AW$111,28,FALSE)="","",VLOOKUP(Sun_W2[[#This Row],[Employee Name]],'Base Schedules'!$A$79:$AW$111,28,FALSE)),"")</f>
        <v/>
      </c>
      <c r="AD12" s="184" t="str">
        <f>IFERROR(IF(VLOOKUP(Sun_W2[[#This Row],[Employee Name]],'Base Schedules'!$A$79:$AW$111,29,FALSE)="","",VLOOKUP(Sun_W2[[#This Row],[Employee Name]],'Base Schedules'!$A$79:$AW$111,29,FALSE)),"")</f>
        <v/>
      </c>
      <c r="AE12" s="184" t="str">
        <f>IFERROR(IF(VLOOKUP(Sun_W2[[#This Row],[Employee Name]],'Base Schedules'!$A$79:$AW$111,30,FALSE)="","",VLOOKUP(Sun_W2[[#This Row],[Employee Name]],'Base Schedules'!$A$79:$AW$111,30,FALSE)),"")</f>
        <v/>
      </c>
      <c r="AF12" s="184" t="str">
        <f>IFERROR(IF(VLOOKUP(Sun_W2[[#This Row],[Employee Name]],'Base Schedules'!$A$79:$AW$111,31,FALSE)="","",VLOOKUP(Sun_W2[[#This Row],[Employee Name]],'Base Schedules'!$A$79:$AW$111,31,FALSE)),"")</f>
        <v/>
      </c>
      <c r="AG12" s="184" t="str">
        <f>IFERROR(IF(VLOOKUP(Sun_W2[[#This Row],[Employee Name]],'Base Schedules'!$A$79:$AW$111,32,FALSE)="","",VLOOKUP(Sun_W2[[#This Row],[Employee Name]],'Base Schedules'!$A$79:$AW$111,32,FALSE)),"")</f>
        <v/>
      </c>
      <c r="AH12" s="184" t="str">
        <f>IFERROR(IF(VLOOKUP(Sun_W2[[#This Row],[Employee Name]],'Base Schedules'!$A$79:$AW$111,33,FALSE)="","",VLOOKUP(Sun_W2[[#This Row],[Employee Name]],'Base Schedules'!$A$79:$AW$111,33,FALSE)),"")</f>
        <v/>
      </c>
      <c r="AI12" s="184" t="str">
        <f>IFERROR(IF(VLOOKUP(Sun_W2[[#This Row],[Employee Name]],'Base Schedules'!$A$79:$AW$111,34,FALSE)="","",VLOOKUP(Sun_W2[[#This Row],[Employee Name]],'Base Schedules'!$A$79:$AW$111,34,FALSE)),"")</f>
        <v/>
      </c>
      <c r="AJ12" s="184" t="str">
        <f>IFERROR(IF(VLOOKUP(Sun_W2[[#This Row],[Employee Name]],'Base Schedules'!$A$79:$AW$111,35,FALSE)="","",VLOOKUP(Sun_W2[[#This Row],[Employee Name]],'Base Schedules'!$A$79:$AW$111,35,FALSE)),"")</f>
        <v/>
      </c>
      <c r="AK12" s="184" t="str">
        <f>IFERROR(IF(VLOOKUP(Sun_W2[[#This Row],[Employee Name]],'Base Schedules'!$A$79:$AW$111,36,FALSE)="","",VLOOKUP(Sun_W2[[#This Row],[Employee Name]],'Base Schedules'!$A$79:$AW$111,36,FALSE)),"")</f>
        <v/>
      </c>
      <c r="AL12" s="184" t="str">
        <f>IFERROR(IF(VLOOKUP(Sun_W2[[#This Row],[Employee Name]],'Base Schedules'!$A$79:$AW$111,37,FALSE)="","",VLOOKUP(Sun_W2[[#This Row],[Employee Name]],'Base Schedules'!$A$79:$AW$111,37,FALSE)),"")</f>
        <v/>
      </c>
      <c r="AM12" s="184" t="str">
        <f>IFERROR(IF(VLOOKUP(Sun_W2[[#This Row],[Employee Name]],'Base Schedules'!$A$79:$AW$111,38,FALSE)="","",VLOOKUP(Sun_W2[[#This Row],[Employee Name]],'Base Schedules'!$A$79:$AW$111,38,FALSE)),"")</f>
        <v/>
      </c>
      <c r="AN12" s="184" t="str">
        <f>IFERROR(IF(VLOOKUP(Sun_W2[[#This Row],[Employee Name]],'Base Schedules'!$A$79:$AW$111,39,FALSE)="","",VLOOKUP(Sun_W2[[#This Row],[Employee Name]],'Base Schedules'!$A$79:$AW$111,39,FALSE)),"")</f>
        <v/>
      </c>
      <c r="AO12" s="184" t="str">
        <f>IFERROR(IF(VLOOKUP(Sun_W2[[#This Row],[Employee Name]],'Base Schedules'!$A$79:$AW$111,40,FALSE)="","",VLOOKUP(Sun_W2[[#This Row],[Employee Name]],'Base Schedules'!$A$79:$AW$111,40,FALSE)),"")</f>
        <v/>
      </c>
      <c r="AP12" s="184" t="str">
        <f>IFERROR(IF(VLOOKUP(Sun_W2[[#This Row],[Employee Name]],'Base Schedules'!$A$79:$AW$111,41,FALSE)="","",VLOOKUP(Sun_W2[[#This Row],[Employee Name]],'Base Schedules'!$A$79:$AW$111,41,FALSE)),"")</f>
        <v/>
      </c>
      <c r="AQ12" s="184" t="str">
        <f>IFERROR(IF(VLOOKUP(Sun_W2[[#This Row],[Employee Name]],'Base Schedules'!$A$79:$AW$111,42,FALSE)="","",VLOOKUP(Sun_W2[[#This Row],[Employee Name]],'Base Schedules'!$A$79:$AW$111,42,FALSE)),"")</f>
        <v/>
      </c>
      <c r="AR12" s="184" t="str">
        <f>IFERROR(IF(VLOOKUP(Sun_W2[[#This Row],[Employee Name]],'Base Schedules'!$A$79:$AW$111,43,FALSE)="","",VLOOKUP(Sun_W2[[#This Row],[Employee Name]],'Base Schedules'!$A$79:$AW$111,43,FALSE)),"")</f>
        <v/>
      </c>
      <c r="AS12" s="184" t="str">
        <f>IFERROR(IF(VLOOKUP(Sun_W2[[#This Row],[Employee Name]],'Base Schedules'!$A$79:$AW$111,44,FALSE)="","",VLOOKUP(Sun_W2[[#This Row],[Employee Name]],'Base Schedules'!$A$79:$AW$111,44,FALSE)),"")</f>
        <v/>
      </c>
      <c r="AT12" s="184" t="str">
        <f>IFERROR(IF(VLOOKUP(Sun_W2[[#This Row],[Employee Name]],'Base Schedules'!$A$79:$AW$111,45,FALSE)="","",VLOOKUP(Sun_W2[[#This Row],[Employee Name]],'Base Schedules'!$A$79:$AW$111,45,FALSE)),"")</f>
        <v/>
      </c>
      <c r="AU12" s="184" t="str">
        <f>IFERROR(IF(VLOOKUP(Sun_W2[[#This Row],[Employee Name]],'Base Schedules'!$A$79:$AW$111,46,FALSE)="","",VLOOKUP(Sun_W2[[#This Row],[Employee Name]],'Base Schedules'!$A$79:$AW$111,46,FALSE)),"")</f>
        <v/>
      </c>
      <c r="AV12" s="184" t="str">
        <f>IFERROR(IF(VLOOKUP(Sun_W2[[#This Row],[Employee Name]],'Base Schedules'!$A$79:$AW$111,47,FALSE)="","",VLOOKUP(Sun_W2[[#This Row],[Employee Name]],'Base Schedules'!$A$79:$AW$111,47,FALSE)),"")</f>
        <v/>
      </c>
      <c r="AW12" s="184" t="str">
        <f>IFERROR(IF(VLOOKUP(Sun_W2[[#This Row],[Employee Name]],'Base Schedules'!$A$79:$AW$111,48,FALSE)="","",VLOOKUP(Sun_W2[[#This Row],[Employee Name]],'Base Schedules'!$A$79:$AW$111,48,FALSE)),"")</f>
        <v/>
      </c>
      <c r="AX12" s="184" t="str">
        <f>IFERROR(IF(VLOOKUP(Sun_W2[[#This Row],[Employee Name]],'Base Schedules'!$A$79:$AW$111,49,FALSE)="","",VLOOKUP(Sun_W2[[#This Row],[Employee Name]],'Base Schedules'!$A$79:$AW$111,49,FALSE)),"")</f>
        <v/>
      </c>
      <c r="AY12" s="159" t="str">
        <f t="shared" si="2"/>
        <v>Suarez, Alyssa</v>
      </c>
      <c r="AZ12" s="184" t="str">
        <f>IFERROR(IF(VLOOKUP(Sun_W1[[#This Row],[Employee Name]],'Base Schedules'!$A$79:$AW$111,48,FALSE)="","",VLOOKUP(Sun_W1[[#This Row],[Employee Name]],'Base Schedules'!$A$79:$AW$111,48,FALSE)),"")</f>
        <v/>
      </c>
      <c r="BA12" s="184" t="str">
        <f>IFERROR(IF(VLOOKUP(Sun_W1[[#This Row],[Employee Name]],'Base Schedules'!$A$79:$AW$111,49,FALSE)="","",VLOOKUP(Sun_W1[[#This Row],[Employee Name]],'Base Schedules'!$A$79:$AW$111,49,FALSE)),"")</f>
        <v/>
      </c>
    </row>
    <row r="13" spans="1:53" s="44" customFormat="1" ht="12" customHeight="1" x14ac:dyDescent="0.2">
      <c r="A13" s="39" t="e">
        <f>IF(B13="","",INDEX(TeamList[],MATCH($B13,TeamList[[Employee Name]:[Employee Name]],0),MATCH("Manager",TeamList[#Headers],0)))</f>
        <v>#N/A</v>
      </c>
      <c r="B13" s="201" t="s">
        <v>369</v>
      </c>
      <c r="C13" s="257" t="str">
        <f>_xlfn.IFNA(VLOOKUP(Sun_W2[[#This Row],[Employee Name]],'Base Schedules'!A:B,2,FALSE),"")</f>
        <v>Supervisor</v>
      </c>
      <c r="D13" s="274">
        <f>_xlfn.IFNA(VLOOKUP(Sun_W2[[#This Row],[Employee Name]],'Base Schedules'!A:C,3,FALSE),"")</f>
        <v>600</v>
      </c>
      <c r="E13" s="354">
        <f>_xlfn.IFNA(VLOOKUP(Sun_W2[[#This Row],[Employee Name]],'Base Schedules'!A:D,4,FALSE),"")</f>
        <v>1500</v>
      </c>
      <c r="F13" s="358">
        <f>IF(Sun_W2[[#This Row],[Employee Name]]="","",IF(Sun_W2[[#This Row],[Dept]]="Supervisor",COUNTIFS($J13:$AX13,"*HL*",$J13:$AX13,"&lt;&gt;"&amp;"pHL"),COUNTIFS($J13:$AX13,"*HL*",$J13:$AX13,"&lt;&gt;"&amp;"*pHL*",$J13:$AX13,"&lt;&gt;"&amp;"pB1 HL",$J13:$AX13,"&lt;&gt;"&amp;"pB2 HL")-SUM(COUNTIFS($J13:$AX13,"*HL B1*",$J13:$AX13,"&lt;&gt;"&amp;"pHL B1")*0.5,COUNTIFS($J13:$AX13,"*HL B2*",$J13:$AX13,"&lt;&gt;"&amp;"pHL B2")*0.5,COUNTIFS($J13:$AX13,"*B1 HL*",$J13:$AX13,"&lt;&gt;"&amp;"pB1 HL")*0.5,COUNTIFS($J13:$AX13,"*B2 HL*",$J13:$AX13,"&lt;&gt;"&amp;"pB2 HL")*0.5)))</f>
        <v>0</v>
      </c>
      <c r="G13" s="142">
        <f t="shared" si="0"/>
        <v>4</v>
      </c>
      <c r="H13" s="142">
        <f t="shared" si="1"/>
        <v>0</v>
      </c>
      <c r="I13" s="142">
        <f>IF(Sun_W2[[#This Row],[Employee Name]]="","",IF(Sun_W2[[#This Row],[Dept]]="Supervisor",SUM(COUNTIFS($J13:$AX13,"RTA*",$J13:$AX13,"&lt;&gt;"&amp;"pRTA"),COUNTIFS($J13:$AX13,"*CRTA*",$J13:$AX13,"&lt;&gt;"&amp;"pCRTA")),COUNTIFS($J13:$AX13,"*RNNR*",$J13:$AX13,"&lt;&gt;"&amp;"*pRNNR*",$J13:$AX13,"&lt;&gt;"&amp;"pB1 RNNR",$J13:$AX13,"&lt;&gt;"&amp;"pB2 RNNR")-SUM(COUNTIFS($J13:$AX13,"*RNNR B1*",$J13:$AX13,"&lt;&gt;"&amp;"pRNNR B1")*0.5,COUNTIFS($J13:$AX13,"*RNNR B2*",$J13:$AX13,"&lt;&gt;"&amp;"pRNNR B2")*0.5,COUNTIFS($J13:$AX13,"*B1 RNNR*",$J13:$AX13,"&lt;&gt;"&amp;"pB1 RNNR")*0.5,COUNTIFS($J13:$AX13,"*B2 RNNR*",$J13:$AX13,"&lt;&gt;"&amp;"pB2 RNNR")*0.5)))</f>
        <v>0</v>
      </c>
      <c r="J13" s="184" t="str">
        <f>IFERROR(IF(VLOOKUP(Sun_W2[[#This Row],[Employee Name]],'Base Schedules'!$A$79:$AW$111,9,FALSE)="","",VLOOKUP(Sun_W2[[#This Row],[Employee Name]],'Base Schedules'!$A$79:$AW$111,9,FALSE)),"")</f>
        <v/>
      </c>
      <c r="K13" s="184" t="str">
        <f>IFERROR(IF(VLOOKUP(Sun_W2[[#This Row],[Employee Name]],'Base Schedules'!$A$79:$AW$111,10,FALSE)="","",VLOOKUP(Sun_W2[[#This Row],[Employee Name]],'Base Schedules'!$A$79:$AW$111,10,FALSE)),"")</f>
        <v/>
      </c>
      <c r="L13" s="184" t="str">
        <f>IFERROR(IF(VLOOKUP(Sun_W2[[#This Row],[Employee Name]],'Base Schedules'!$A$79:$AW$111,11,FALSE)="","",VLOOKUP(Sun_W2[[#This Row],[Employee Name]],'Base Schedules'!$A$79:$AW$111,11,FALSE)),"")</f>
        <v>-</v>
      </c>
      <c r="M13" s="184" t="str">
        <f>IFERROR(IF(VLOOKUP(Sun_W2[[#This Row],[Employee Name]],'Base Schedules'!$A$79:$AW$111,12,FALSE)="","",VLOOKUP(Sun_W2[[#This Row],[Employee Name]],'Base Schedules'!$A$79:$AW$111,12,FALSE)),"")</f>
        <v>-</v>
      </c>
      <c r="N13" s="184" t="str">
        <f>IFERROR(IF(VLOOKUP(Sun_W2[[#This Row],[Employee Name]],'Base Schedules'!$A$79:$AW$111,13,FALSE)="","",VLOOKUP(Sun_W2[[#This Row],[Employee Name]],'Base Schedules'!$A$79:$AW$111,13,FALSE)),"")</f>
        <v>-</v>
      </c>
      <c r="O13" s="184" t="str">
        <f>IFERROR(IF(VLOOKUP(Sun_W2[[#This Row],[Employee Name]],'Base Schedules'!$A$79:$AW$111,14,FALSE)="","",VLOOKUP(Sun_W2[[#This Row],[Employee Name]],'Base Schedules'!$A$79:$AW$111,14,FALSE)),"")</f>
        <v>-</v>
      </c>
      <c r="P13" s="184" t="str">
        <f>IFERROR(IF(VLOOKUP(Sun_W2[[#This Row],[Employee Name]],'Base Schedules'!$A$79:$AW$111,15,FALSE)="","",VLOOKUP(Sun_W2[[#This Row],[Employee Name]],'Base Schedules'!$A$79:$AW$111,15,FALSE)),"")</f>
        <v>-</v>
      </c>
      <c r="Q13" s="184" t="str">
        <f>IFERROR(IF(VLOOKUP(Sun_W2[[#This Row],[Employee Name]],'Base Schedules'!$A$79:$AW$111,16,FALSE)="","",VLOOKUP(Sun_W2[[#This Row],[Employee Name]],'Base Schedules'!$A$79:$AW$111,16,FALSE)),"")</f>
        <v>-</v>
      </c>
      <c r="R13" s="184" t="str">
        <f>IFERROR(IF(VLOOKUP(Sun_W2[[#This Row],[Employee Name]],'Base Schedules'!$A$79:$AW$111,17,FALSE)="","",VLOOKUP(Sun_W2[[#This Row],[Employee Name]],'Base Schedules'!$A$79:$AW$111,17,FALSE)),"")</f>
        <v>-</v>
      </c>
      <c r="S13" s="184" t="str">
        <f>IFERROR(IF(VLOOKUP(Sun_W2[[#This Row],[Employee Name]],'Base Schedules'!$A$79:$AW$111,18,FALSE)="","",VLOOKUP(Sun_W2[[#This Row],[Employee Name]],'Base Schedules'!$A$79:$AW$111,18,FALSE)),"")</f>
        <v>-</v>
      </c>
      <c r="T13" s="184" t="str">
        <f>IFERROR(IF(VLOOKUP(Sun_W2[[#This Row],[Employee Name]],'Base Schedules'!$A$79:$AW$111,19,FALSE)="","",VLOOKUP(Sun_W2[[#This Row],[Employee Name]],'Base Schedules'!$A$79:$AW$111,19,FALSE)),"")</f>
        <v>-</v>
      </c>
      <c r="U13" s="184" t="str">
        <f>IFERROR(IF(VLOOKUP(Sun_W2[[#This Row],[Employee Name]],'Base Schedules'!$A$79:$AW$111,20,FALSE)="","",VLOOKUP(Sun_W2[[#This Row],[Employee Name]],'Base Schedules'!$A$79:$AW$111,20,FALSE)),"")</f>
        <v>TM PREP</v>
      </c>
      <c r="V13" s="184" t="str">
        <f>IFERROR(IF(VLOOKUP(Sun_W2[[#This Row],[Employee Name]],'Base Schedules'!$A$79:$AW$111,21,FALSE)="","",VLOOKUP(Sun_W2[[#This Row],[Employee Name]],'Base Schedules'!$A$79:$AW$111,21,FALSE)),"")</f>
        <v>MADAMBA TM</v>
      </c>
      <c r="W13" s="184" t="str">
        <f>IFERROR(IF(VLOOKUP(Sun_W2[[#This Row],[Employee Name]],'Base Schedules'!$A$79:$AW$111,22,FALSE)="","",VLOOKUP(Sun_W2[[#This Row],[Employee Name]],'Base Schedules'!$A$79:$AW$111,22,FALSE)),"")</f>
        <v>MADAMBA TM</v>
      </c>
      <c r="X13" s="184" t="str">
        <f>IFERROR(IF(VLOOKUP(Sun_W2[[#This Row],[Employee Name]],'Base Schedules'!$A$79:$AW$111,23,FALSE)="","",VLOOKUP(Sun_W2[[#This Row],[Employee Name]],'Base Schedules'!$A$79:$AW$111,23,FALSE)),"")</f>
        <v>-</v>
      </c>
      <c r="Y13" s="184" t="str">
        <f>IFERROR(IF(VLOOKUP(Sun_W2[[#This Row],[Employee Name]],'Base Schedules'!$A$79:$AW$111,24,FALSE)="","",VLOOKUP(Sun_W2[[#This Row],[Employee Name]],'Base Schedules'!$A$79:$AW$111,24,FALSE)),"")</f>
        <v>-</v>
      </c>
      <c r="Z13" s="184" t="str">
        <f>IFERROR(IF(VLOOKUP(Sun_W2[[#This Row],[Employee Name]],'Base Schedules'!$A$79:$AW$111,25,FALSE)="","",VLOOKUP(Sun_W2[[#This Row],[Employee Name]],'Base Schedules'!$A$79:$AW$111,25,FALSE)),"")</f>
        <v>Coaching</v>
      </c>
      <c r="AA13" s="184" t="str">
        <f>IFERROR(IF(VLOOKUP(Sun_W2[[#This Row],[Employee Name]],'Base Schedules'!$A$79:$AW$111,26,FALSE)="","",VLOOKUP(Sun_W2[[#This Row],[Employee Name]],'Base Schedules'!$A$79:$AW$111,26,FALSE)),"")</f>
        <v>Coaching</v>
      </c>
      <c r="AB13" s="184" t="str">
        <f>IFERROR(IF(VLOOKUP(Sun_W2[[#This Row],[Employee Name]],'Base Schedules'!$A$79:$AW$111,27,FALSE)="","",VLOOKUP(Sun_W2[[#This Row],[Employee Name]],'Base Schedules'!$A$79:$AW$111,27,FALSE)),"")</f>
        <v>Coaching</v>
      </c>
      <c r="AC13" s="184" t="str">
        <f>IFERROR(IF(VLOOKUP(Sun_W2[[#This Row],[Employee Name]],'Base Schedules'!$A$79:$AW$111,28,FALSE)="","",VLOOKUP(Sun_W2[[#This Row],[Employee Name]],'Base Schedules'!$A$79:$AW$111,28,FALSE)),"")</f>
        <v>Coaching</v>
      </c>
      <c r="AD13" s="184" t="str">
        <f>IFERROR(IF(VLOOKUP(Sun_W2[[#This Row],[Employee Name]],'Base Schedules'!$A$79:$AW$111,29,FALSE)="","",VLOOKUP(Sun_W2[[#This Row],[Employee Name]],'Base Schedules'!$A$79:$AW$111,29,FALSE)),"")</f>
        <v/>
      </c>
      <c r="AE13" s="184" t="str">
        <f>IFERROR(IF(VLOOKUP(Sun_W2[[#This Row],[Employee Name]],'Base Schedules'!$A$79:$AW$111,30,FALSE)="","",VLOOKUP(Sun_W2[[#This Row],[Employee Name]],'Base Schedules'!$A$79:$AW$111,30,FALSE)),"")</f>
        <v/>
      </c>
      <c r="AF13" s="184" t="str">
        <f>IFERROR(IF(VLOOKUP(Sun_W2[[#This Row],[Employee Name]],'Base Schedules'!$A$79:$AW$111,31,FALSE)="","",VLOOKUP(Sun_W2[[#This Row],[Employee Name]],'Base Schedules'!$A$79:$AW$111,31,FALSE)),"")</f>
        <v/>
      </c>
      <c r="AG13" s="184" t="str">
        <f>IFERROR(IF(VLOOKUP(Sun_W2[[#This Row],[Employee Name]],'Base Schedules'!$A$79:$AW$111,32,FALSE)="","",VLOOKUP(Sun_W2[[#This Row],[Employee Name]],'Base Schedules'!$A$79:$AW$111,32,FALSE)),"")</f>
        <v/>
      </c>
      <c r="AH13" s="184" t="str">
        <f>IFERROR(IF(VLOOKUP(Sun_W2[[#This Row],[Employee Name]],'Base Schedules'!$A$79:$AW$111,33,FALSE)="","",VLOOKUP(Sun_W2[[#This Row],[Employee Name]],'Base Schedules'!$A$79:$AW$111,33,FALSE)),"")</f>
        <v/>
      </c>
      <c r="AI13" s="184" t="str">
        <f>IFERROR(IF(VLOOKUP(Sun_W2[[#This Row],[Employee Name]],'Base Schedules'!$A$79:$AW$111,34,FALSE)="","",VLOOKUP(Sun_W2[[#This Row],[Employee Name]],'Base Schedules'!$A$79:$AW$111,34,FALSE)),"")</f>
        <v/>
      </c>
      <c r="AJ13" s="184" t="str">
        <f>IFERROR(IF(VLOOKUP(Sun_W2[[#This Row],[Employee Name]],'Base Schedules'!$A$79:$AW$111,35,FALSE)="","",VLOOKUP(Sun_W2[[#This Row],[Employee Name]],'Base Schedules'!$A$79:$AW$111,35,FALSE)),"")</f>
        <v/>
      </c>
      <c r="AK13" s="184" t="str">
        <f>IFERROR(IF(VLOOKUP(Sun_W2[[#This Row],[Employee Name]],'Base Schedules'!$A$79:$AW$111,36,FALSE)="","",VLOOKUP(Sun_W2[[#This Row],[Employee Name]],'Base Schedules'!$A$79:$AW$111,36,FALSE)),"")</f>
        <v/>
      </c>
      <c r="AL13" s="184" t="str">
        <f>IFERROR(IF(VLOOKUP(Sun_W2[[#This Row],[Employee Name]],'Base Schedules'!$A$79:$AW$111,37,FALSE)="","",VLOOKUP(Sun_W2[[#This Row],[Employee Name]],'Base Schedules'!$A$79:$AW$111,37,FALSE)),"")</f>
        <v/>
      </c>
      <c r="AM13" s="184" t="str">
        <f>IFERROR(IF(VLOOKUP(Sun_W2[[#This Row],[Employee Name]],'Base Schedules'!$A$79:$AW$111,38,FALSE)="","",VLOOKUP(Sun_W2[[#This Row],[Employee Name]],'Base Schedules'!$A$79:$AW$111,38,FALSE)),"")</f>
        <v/>
      </c>
      <c r="AN13" s="184" t="str">
        <f>IFERROR(IF(VLOOKUP(Sun_W2[[#This Row],[Employee Name]],'Base Schedules'!$A$79:$AW$111,39,FALSE)="","",VLOOKUP(Sun_W2[[#This Row],[Employee Name]],'Base Schedules'!$A$79:$AW$111,39,FALSE)),"")</f>
        <v/>
      </c>
      <c r="AO13" s="184" t="str">
        <f>IFERROR(IF(VLOOKUP(Sun_W2[[#This Row],[Employee Name]],'Base Schedules'!$A$79:$AW$111,40,FALSE)="","",VLOOKUP(Sun_W2[[#This Row],[Employee Name]],'Base Schedules'!$A$79:$AW$111,40,FALSE)),"")</f>
        <v/>
      </c>
      <c r="AP13" s="184" t="str">
        <f>IFERROR(IF(VLOOKUP(Sun_W2[[#This Row],[Employee Name]],'Base Schedules'!$A$79:$AW$111,41,FALSE)="","",VLOOKUP(Sun_W2[[#This Row],[Employee Name]],'Base Schedules'!$A$79:$AW$111,41,FALSE)),"")</f>
        <v/>
      </c>
      <c r="AQ13" s="184" t="str">
        <f>IFERROR(IF(VLOOKUP(Sun_W2[[#This Row],[Employee Name]],'Base Schedules'!$A$79:$AW$111,42,FALSE)="","",VLOOKUP(Sun_W2[[#This Row],[Employee Name]],'Base Schedules'!$A$79:$AW$111,42,FALSE)),"")</f>
        <v/>
      </c>
      <c r="AR13" s="184" t="str">
        <f>IFERROR(IF(VLOOKUP(Sun_W2[[#This Row],[Employee Name]],'Base Schedules'!$A$79:$AW$111,43,FALSE)="","",VLOOKUP(Sun_W2[[#This Row],[Employee Name]],'Base Schedules'!$A$79:$AW$111,43,FALSE)),"")</f>
        <v/>
      </c>
      <c r="AS13" s="184" t="str">
        <f>IFERROR(IF(VLOOKUP(Sun_W2[[#This Row],[Employee Name]],'Base Schedules'!$A$79:$AW$111,44,FALSE)="","",VLOOKUP(Sun_W2[[#This Row],[Employee Name]],'Base Schedules'!$A$79:$AW$111,44,FALSE)),"")</f>
        <v/>
      </c>
      <c r="AT13" s="184" t="str">
        <f>IFERROR(IF(VLOOKUP(Sun_W2[[#This Row],[Employee Name]],'Base Schedules'!$A$79:$AW$111,45,FALSE)="","",VLOOKUP(Sun_W2[[#This Row],[Employee Name]],'Base Schedules'!$A$79:$AW$111,45,FALSE)),"")</f>
        <v/>
      </c>
      <c r="AU13" s="184" t="str">
        <f>IFERROR(IF(VLOOKUP(Sun_W2[[#This Row],[Employee Name]],'Base Schedules'!$A$79:$AW$111,46,FALSE)="","",VLOOKUP(Sun_W2[[#This Row],[Employee Name]],'Base Schedules'!$A$79:$AW$111,46,FALSE)),"")</f>
        <v/>
      </c>
      <c r="AV13" s="184" t="str">
        <f>IFERROR(IF(VLOOKUP(Sun_W2[[#This Row],[Employee Name]],'Base Schedules'!$A$79:$AW$111,47,FALSE)="","",VLOOKUP(Sun_W2[[#This Row],[Employee Name]],'Base Schedules'!$A$79:$AW$111,47,FALSE)),"")</f>
        <v/>
      </c>
      <c r="AW13" s="184" t="str">
        <f>IFERROR(IF(VLOOKUP(Sun_W2[[#This Row],[Employee Name]],'Base Schedules'!$A$79:$AW$111,48,FALSE)="","",VLOOKUP(Sun_W2[[#This Row],[Employee Name]],'Base Schedules'!$A$79:$AW$111,48,FALSE)),"")</f>
        <v/>
      </c>
      <c r="AX13" s="184" t="str">
        <f>IFERROR(IF(VLOOKUP(Sun_W2[[#This Row],[Employee Name]],'Base Schedules'!$A$79:$AW$111,49,FALSE)="","",VLOOKUP(Sun_W2[[#This Row],[Employee Name]],'Base Schedules'!$A$79:$AW$111,49,FALSE)),"")</f>
        <v/>
      </c>
      <c r="AY13" s="159" t="str">
        <f t="shared" si="2"/>
        <v>Madamba, Rocky</v>
      </c>
      <c r="AZ13" s="184" t="str">
        <f>IFERROR(IF(VLOOKUP(Sun_W1[[#This Row],[Employee Name]],'Base Schedules'!$A$79:$AW$111,48,FALSE)="","",VLOOKUP(Sun_W1[[#This Row],[Employee Name]],'Base Schedules'!$A$79:$AW$111,48,FALSE)),"")</f>
        <v/>
      </c>
      <c r="BA13" s="184" t="str">
        <f>IFERROR(IF(VLOOKUP(Sun_W1[[#This Row],[Employee Name]],'Base Schedules'!$A$79:$AW$111,49,FALSE)="","",VLOOKUP(Sun_W1[[#This Row],[Employee Name]],'Base Schedules'!$A$79:$AW$111,49,FALSE)),"")</f>
        <v/>
      </c>
    </row>
    <row r="14" spans="1:53" s="44" customFormat="1" ht="12" customHeight="1" x14ac:dyDescent="0.2">
      <c r="A14" s="39" t="str">
        <f>IF(B14="","",INDEX(TeamList[],MATCH($B14,TeamList[[Employee Name]:[Employee Name]],0),MATCH("Manager",TeamList[#Headers],0)))</f>
        <v>Olson, Katherine</v>
      </c>
      <c r="B14" s="201" t="s">
        <v>34</v>
      </c>
      <c r="C14" s="257" t="str">
        <f>_xlfn.IFNA(VLOOKUP(Sun_W2[[#This Row],[Employee Name]],'Base Schedules'!A:B,2,FALSE),"")</f>
        <v>Lead</v>
      </c>
      <c r="D14" s="274">
        <f>_xlfn.IFNA(VLOOKUP(Sun_W2[[#This Row],[Employee Name]],'Base Schedules'!A:C,3,FALSE),"")</f>
        <v>630</v>
      </c>
      <c r="E14" s="354">
        <f>_xlfn.IFNA(VLOOKUP(Sun_W2[[#This Row],[Employee Name]],'Base Schedules'!A:D,4,FALSE),"")</f>
        <v>1500</v>
      </c>
      <c r="F14" s="358">
        <f>IF(Sun_W2[[#This Row],[Employee Name]]="","",IF(Sun_W2[[#This Row],[Dept]]="Supervisor",COUNTIFS($J14:$AX14,"*HL*",$J14:$AX14,"&lt;&gt;"&amp;"pHL"),COUNTIFS($J14:$AX14,"*HL*",$J14:$AX14,"&lt;&gt;"&amp;"*pHL*",$J14:$AX14,"&lt;&gt;"&amp;"pB1 HL",$J14:$AX14,"&lt;&gt;"&amp;"pB2 HL")-SUM(COUNTIFS($J14:$AX14,"*HL B1*",$J14:$AX14,"&lt;&gt;"&amp;"pHL B1")*0.5,COUNTIFS($J14:$AX14,"*HL B2*",$J14:$AX14,"&lt;&gt;"&amp;"pHL B2")*0.5,COUNTIFS($J14:$AX14,"*B1 HL*",$J14:$AX14,"&lt;&gt;"&amp;"pB1 HL")*0.5,COUNTIFS($J14:$AX14,"*B2 HL*",$J14:$AX14,"&lt;&gt;"&amp;"pB2 HL")*0.5)))</f>
        <v>7.5</v>
      </c>
      <c r="G14" s="142">
        <f t="shared" si="0"/>
        <v>0</v>
      </c>
      <c r="H14" s="142">
        <f t="shared" si="1"/>
        <v>6</v>
      </c>
      <c r="I14" s="142">
        <f>IF(Sun_W2[[#This Row],[Employee Name]]="","",IF(Sun_W2[[#This Row],[Dept]]="Supervisor",SUM(COUNTIFS($J14:$AX14,"RTA*",$J14:$AX14,"&lt;&gt;"&amp;"pRTA"),COUNTIFS($J14:$AX14,"*CRTA*",$J14:$AX14,"&lt;&gt;"&amp;"pCRTA")),COUNTIFS($J14:$AX14,"*RNNR*",$J14:$AX14,"&lt;&gt;"&amp;"*pRNNR*",$J14:$AX14,"&lt;&gt;"&amp;"pB1 RNNR",$J14:$AX14,"&lt;&gt;"&amp;"pB2 RNNR")-SUM(COUNTIFS($J14:$AX14,"*RNNR B1*",$J14:$AX14,"&lt;&gt;"&amp;"pRNNR B1")*0.5,COUNTIFS($J14:$AX14,"*RNNR B2*",$J14:$AX14,"&lt;&gt;"&amp;"pRNNR B2")*0.5,COUNTIFS($J14:$AX14,"*B1 RNNR*",$J14:$AX14,"&lt;&gt;"&amp;"pB1 RNNR")*0.5,COUNTIFS($J14:$AX14,"*B2 RNNR*",$J14:$AX14,"&lt;&gt;"&amp;"pB2 RNNR")*0.5)))</f>
        <v>2</v>
      </c>
      <c r="J14" s="184" t="str">
        <f>IFERROR(IF(VLOOKUP(Sun_W2[[#This Row],[Employee Name]],'Base Schedules'!$A$79:$AW$111,9,FALSE)="","",VLOOKUP(Sun_W2[[#This Row],[Employee Name]],'Base Schedules'!$A$79:$AW$111,9,FALSE)),"")</f>
        <v/>
      </c>
      <c r="K14" s="184" t="str">
        <f>IFERROR(IF(VLOOKUP(Sun_W2[[#This Row],[Employee Name]],'Base Schedules'!$A$79:$AW$111,10,FALSE)="","",VLOOKUP(Sun_W2[[#This Row],[Employee Name]],'Base Schedules'!$A$79:$AW$111,10,FALSE)),"")</f>
        <v/>
      </c>
      <c r="L14" s="184" t="str">
        <f>IFERROR(IF(VLOOKUP(Sun_W2[[#This Row],[Employee Name]],'Base Schedules'!$A$79:$AW$111,11,FALSE)="","",VLOOKUP(Sun_W2[[#This Row],[Employee Name]],'Base Schedules'!$A$79:$AW$111,11,FALSE)),"")</f>
        <v/>
      </c>
      <c r="M14" s="184" t="str">
        <f>IFERROR(IF(VLOOKUP(Sun_W2[[#This Row],[Employee Name]],'Base Schedules'!$A$79:$AW$111,12,FALSE)="","",VLOOKUP(Sun_W2[[#This Row],[Employee Name]],'Base Schedules'!$A$79:$AW$111,12,FALSE)),"")</f>
        <v>HL</v>
      </c>
      <c r="N14" s="184" t="str">
        <f>IFERROR(IF(VLOOKUP(Sun_W2[[#This Row],[Employee Name]],'Base Schedules'!$A$79:$AW$111,13,FALSE)="","",VLOOKUP(Sun_W2[[#This Row],[Employee Name]],'Base Schedules'!$A$79:$AW$111,13,FALSE)),"")</f>
        <v>HL</v>
      </c>
      <c r="O14" s="184" t="str">
        <f>IFERROR(IF(VLOOKUP(Sun_W2[[#This Row],[Employee Name]],'Base Schedules'!$A$79:$AW$111,14,FALSE)="","",VLOOKUP(Sun_W2[[#This Row],[Employee Name]],'Base Schedules'!$A$79:$AW$111,14,FALSE)),"")</f>
        <v>ADM</v>
      </c>
      <c r="P14" s="184" t="str">
        <f>IFERROR(IF(VLOOKUP(Sun_W2[[#This Row],[Employee Name]],'Base Schedules'!$A$79:$AW$111,15,FALSE)="","",VLOOKUP(Sun_W2[[#This Row],[Employee Name]],'Base Schedules'!$A$79:$AW$111,15,FALSE)),"")</f>
        <v>ADM</v>
      </c>
      <c r="Q14" s="184" t="str">
        <f>IFERROR(IF(VLOOKUP(Sun_W2[[#This Row],[Employee Name]],'Base Schedules'!$A$79:$AW$111,16,FALSE)="","",VLOOKUP(Sun_W2[[#This Row],[Employee Name]],'Base Schedules'!$A$79:$AW$111,16,FALSE)),"")</f>
        <v>HL B1</v>
      </c>
      <c r="R14" s="184" t="str">
        <f>IFERROR(IF(VLOOKUP(Sun_W2[[#This Row],[Employee Name]],'Base Schedules'!$A$79:$AW$111,17,FALSE)="","",VLOOKUP(Sun_W2[[#This Row],[Employee Name]],'Base Schedules'!$A$79:$AW$111,17,FALSE)),"")</f>
        <v>HL</v>
      </c>
      <c r="S14" s="184" t="str">
        <f>IFERROR(IF(VLOOKUP(Sun_W2[[#This Row],[Employee Name]],'Base Schedules'!$A$79:$AW$111,18,FALSE)="","",VLOOKUP(Sun_W2[[#This Row],[Employee Name]],'Base Schedules'!$A$79:$AW$111,18,FALSE)),"")</f>
        <v>HL</v>
      </c>
      <c r="T14" s="184" t="str">
        <f>IFERROR(IF(VLOOKUP(Sun_W2[[#This Row],[Employee Name]],'Base Schedules'!$A$79:$AW$111,19,FALSE)="","",VLOOKUP(Sun_W2[[#This Row],[Employee Name]],'Base Schedules'!$A$79:$AW$111,19,FALSE)),"")</f>
        <v>RNNR</v>
      </c>
      <c r="U14" s="184" t="str">
        <f>IFERROR(IF(VLOOKUP(Sun_W2[[#This Row],[Employee Name]],'Base Schedules'!$A$79:$AW$111,20,FALSE)="","",VLOOKUP(Sun_W2[[#This Row],[Employee Name]],'Base Schedules'!$A$79:$AW$111,20,FALSE)),"")</f>
        <v>RNNR</v>
      </c>
      <c r="V14" s="184" t="str">
        <f>IFERROR(IF(VLOOKUP(Sun_W2[[#This Row],[Employee Name]],'Base Schedules'!$A$79:$AW$111,21,FALSE)="","",VLOOKUP(Sun_W2[[#This Row],[Employee Name]],'Base Schedules'!$A$79:$AW$111,21,FALSE)),"")</f>
        <v>LUNCH</v>
      </c>
      <c r="W14" s="184" t="str">
        <f>IFERROR(IF(VLOOKUP(Sun_W2[[#This Row],[Employee Name]],'Base Schedules'!$A$79:$AW$111,22,FALSE)="","",VLOOKUP(Sun_W2[[#This Row],[Employee Name]],'Base Schedules'!$A$79:$AW$111,22,FALSE)),"")</f>
        <v>ADM</v>
      </c>
      <c r="X14" s="184" t="str">
        <f>IFERROR(IF(VLOOKUP(Sun_W2[[#This Row],[Employee Name]],'Base Schedules'!$A$79:$AW$111,23,FALSE)="","",VLOOKUP(Sun_W2[[#This Row],[Employee Name]],'Base Schedules'!$A$79:$AW$111,23,FALSE)),"")</f>
        <v>ADM</v>
      </c>
      <c r="Y14" s="184" t="str">
        <f>IFERROR(IF(VLOOKUP(Sun_W2[[#This Row],[Employee Name]],'Base Schedules'!$A$79:$AW$111,24,FALSE)="","",VLOOKUP(Sun_W2[[#This Row],[Employee Name]],'Base Schedules'!$A$79:$AW$111,24,FALSE)),"")</f>
        <v>ADM B2</v>
      </c>
      <c r="Z14" s="184" t="str">
        <f>IFERROR(IF(VLOOKUP(Sun_W2[[#This Row],[Employee Name]],'Base Schedules'!$A$79:$AW$111,25,FALSE)="","",VLOOKUP(Sun_W2[[#This Row],[Employee Name]],'Base Schedules'!$A$79:$AW$111,25,FALSE)),"")</f>
        <v>ADM</v>
      </c>
      <c r="AA14" s="184" t="str">
        <f>IFERROR(IF(VLOOKUP(Sun_W2[[#This Row],[Employee Name]],'Base Schedules'!$A$79:$AW$111,26,FALSE)="","",VLOOKUP(Sun_W2[[#This Row],[Employee Name]],'Base Schedules'!$A$79:$AW$111,26,FALSE)),"")</f>
        <v>HL</v>
      </c>
      <c r="AB14" s="184" t="str">
        <f>IFERROR(IF(VLOOKUP(Sun_W2[[#This Row],[Employee Name]],'Base Schedules'!$A$79:$AW$111,27,FALSE)="","",VLOOKUP(Sun_W2[[#This Row],[Employee Name]],'Base Schedules'!$A$79:$AW$111,27,FALSE)),"")</f>
        <v>HL</v>
      </c>
      <c r="AC14" s="184" t="str">
        <f>IFERROR(IF(VLOOKUP(Sun_W2[[#This Row],[Employee Name]],'Base Schedules'!$A$79:$AW$111,28,FALSE)="","",VLOOKUP(Sun_W2[[#This Row],[Employee Name]],'Base Schedules'!$A$79:$AW$111,28,FALSE)),"")</f>
        <v>HL</v>
      </c>
      <c r="AD14" s="184" t="str">
        <f>IFERROR(IF(VLOOKUP(Sun_W2[[#This Row],[Employee Name]],'Base Schedules'!$A$79:$AW$111,29,FALSE)="","",VLOOKUP(Sun_W2[[#This Row],[Employee Name]],'Base Schedules'!$A$79:$AW$111,29,FALSE)),"")</f>
        <v/>
      </c>
      <c r="AE14" s="184" t="str">
        <f>IFERROR(IF(VLOOKUP(Sun_W2[[#This Row],[Employee Name]],'Base Schedules'!$A$79:$AW$111,30,FALSE)="","",VLOOKUP(Sun_W2[[#This Row],[Employee Name]],'Base Schedules'!$A$79:$AW$111,30,FALSE)),"")</f>
        <v/>
      </c>
      <c r="AF14" s="184" t="str">
        <f>IFERROR(IF(VLOOKUP(Sun_W2[[#This Row],[Employee Name]],'Base Schedules'!$A$79:$AW$111,31,FALSE)="","",VLOOKUP(Sun_W2[[#This Row],[Employee Name]],'Base Schedules'!$A$79:$AW$111,31,FALSE)),"")</f>
        <v/>
      </c>
      <c r="AG14" s="184" t="str">
        <f>IFERROR(IF(VLOOKUP(Sun_W2[[#This Row],[Employee Name]],'Base Schedules'!$A$79:$AW$111,32,FALSE)="","",VLOOKUP(Sun_W2[[#This Row],[Employee Name]],'Base Schedules'!$A$79:$AW$111,32,FALSE)),"")</f>
        <v/>
      </c>
      <c r="AH14" s="184" t="str">
        <f>IFERROR(IF(VLOOKUP(Sun_W2[[#This Row],[Employee Name]],'Base Schedules'!$A$79:$AW$111,33,FALSE)="","",VLOOKUP(Sun_W2[[#This Row],[Employee Name]],'Base Schedules'!$A$79:$AW$111,33,FALSE)),"")</f>
        <v/>
      </c>
      <c r="AI14" s="184" t="str">
        <f>IFERROR(IF(VLOOKUP(Sun_W2[[#This Row],[Employee Name]],'Base Schedules'!$A$79:$AW$111,34,FALSE)="","",VLOOKUP(Sun_W2[[#This Row],[Employee Name]],'Base Schedules'!$A$79:$AW$111,34,FALSE)),"")</f>
        <v/>
      </c>
      <c r="AJ14" s="184" t="str">
        <f>IFERROR(IF(VLOOKUP(Sun_W2[[#This Row],[Employee Name]],'Base Schedules'!$A$79:$AW$111,35,FALSE)="","",VLOOKUP(Sun_W2[[#This Row],[Employee Name]],'Base Schedules'!$A$79:$AW$111,35,FALSE)),"")</f>
        <v/>
      </c>
      <c r="AK14" s="184" t="str">
        <f>IFERROR(IF(VLOOKUP(Sun_W2[[#This Row],[Employee Name]],'Base Schedules'!$A$79:$AW$111,36,FALSE)="","",VLOOKUP(Sun_W2[[#This Row],[Employee Name]],'Base Schedules'!$A$79:$AW$111,36,FALSE)),"")</f>
        <v/>
      </c>
      <c r="AL14" s="184" t="str">
        <f>IFERROR(IF(VLOOKUP(Sun_W2[[#This Row],[Employee Name]],'Base Schedules'!$A$79:$AW$111,37,FALSE)="","",VLOOKUP(Sun_W2[[#This Row],[Employee Name]],'Base Schedules'!$A$79:$AW$111,37,FALSE)),"")</f>
        <v/>
      </c>
      <c r="AM14" s="184" t="str">
        <f>IFERROR(IF(VLOOKUP(Sun_W2[[#This Row],[Employee Name]],'Base Schedules'!$A$79:$AW$111,38,FALSE)="","",VLOOKUP(Sun_W2[[#This Row],[Employee Name]],'Base Schedules'!$A$79:$AW$111,38,FALSE)),"")</f>
        <v/>
      </c>
      <c r="AN14" s="184" t="str">
        <f>IFERROR(IF(VLOOKUP(Sun_W2[[#This Row],[Employee Name]],'Base Schedules'!$A$79:$AW$111,39,FALSE)="","",VLOOKUP(Sun_W2[[#This Row],[Employee Name]],'Base Schedules'!$A$79:$AW$111,39,FALSE)),"")</f>
        <v/>
      </c>
      <c r="AO14" s="184" t="str">
        <f>IFERROR(IF(VLOOKUP(Sun_W2[[#This Row],[Employee Name]],'Base Schedules'!$A$79:$AW$111,40,FALSE)="","",VLOOKUP(Sun_W2[[#This Row],[Employee Name]],'Base Schedules'!$A$79:$AW$111,40,FALSE)),"")</f>
        <v/>
      </c>
      <c r="AP14" s="184" t="str">
        <f>IFERROR(IF(VLOOKUP(Sun_W2[[#This Row],[Employee Name]],'Base Schedules'!$A$79:$AW$111,41,FALSE)="","",VLOOKUP(Sun_W2[[#This Row],[Employee Name]],'Base Schedules'!$A$79:$AW$111,41,FALSE)),"")</f>
        <v/>
      </c>
      <c r="AQ14" s="184" t="str">
        <f>IFERROR(IF(VLOOKUP(Sun_W2[[#This Row],[Employee Name]],'Base Schedules'!$A$79:$AW$111,42,FALSE)="","",VLOOKUP(Sun_W2[[#This Row],[Employee Name]],'Base Schedules'!$A$79:$AW$111,42,FALSE)),"")</f>
        <v/>
      </c>
      <c r="AR14" s="184" t="str">
        <f>IFERROR(IF(VLOOKUP(Sun_W2[[#This Row],[Employee Name]],'Base Schedules'!$A$79:$AW$111,43,FALSE)="","",VLOOKUP(Sun_W2[[#This Row],[Employee Name]],'Base Schedules'!$A$79:$AW$111,43,FALSE)),"")</f>
        <v/>
      </c>
      <c r="AS14" s="184" t="str">
        <f>IFERROR(IF(VLOOKUP(Sun_W2[[#This Row],[Employee Name]],'Base Schedules'!$A$79:$AW$111,44,FALSE)="","",VLOOKUP(Sun_W2[[#This Row],[Employee Name]],'Base Schedules'!$A$79:$AW$111,44,FALSE)),"")</f>
        <v/>
      </c>
      <c r="AT14" s="184" t="str">
        <f>IFERROR(IF(VLOOKUP(Sun_W2[[#This Row],[Employee Name]],'Base Schedules'!$A$79:$AW$111,45,FALSE)="","",VLOOKUP(Sun_W2[[#This Row],[Employee Name]],'Base Schedules'!$A$79:$AW$111,45,FALSE)),"")</f>
        <v/>
      </c>
      <c r="AU14" s="184" t="str">
        <f>IFERROR(IF(VLOOKUP(Sun_W2[[#This Row],[Employee Name]],'Base Schedules'!$A$79:$AW$111,46,FALSE)="","",VLOOKUP(Sun_W2[[#This Row],[Employee Name]],'Base Schedules'!$A$79:$AW$111,46,FALSE)),"")</f>
        <v/>
      </c>
      <c r="AV14" s="184" t="str">
        <f>IFERROR(IF(VLOOKUP(Sun_W2[[#This Row],[Employee Name]],'Base Schedules'!$A$79:$AW$111,47,FALSE)="","",VLOOKUP(Sun_W2[[#This Row],[Employee Name]],'Base Schedules'!$A$79:$AW$111,47,FALSE)),"")</f>
        <v/>
      </c>
      <c r="AW14" s="184" t="str">
        <f>IFERROR(IF(VLOOKUP(Sun_W2[[#This Row],[Employee Name]],'Base Schedules'!$A$79:$AW$111,48,FALSE)="","",VLOOKUP(Sun_W2[[#This Row],[Employee Name]],'Base Schedules'!$A$79:$AW$111,48,FALSE)),"")</f>
        <v/>
      </c>
      <c r="AX14" s="184" t="str">
        <f>IFERROR(IF(VLOOKUP(Sun_W2[[#This Row],[Employee Name]],'Base Schedules'!$A$79:$AW$111,49,FALSE)="","",VLOOKUP(Sun_W2[[#This Row],[Employee Name]],'Base Schedules'!$A$79:$AW$111,49,FALSE)),"")</f>
        <v/>
      </c>
      <c r="AY14" s="159" t="str">
        <f t="shared" si="2"/>
        <v>Greene, Alicia</v>
      </c>
      <c r="AZ14" s="184" t="str">
        <f>IFERROR(IF(VLOOKUP(Sun_W1[[#This Row],[Employee Name]],'Base Schedules'!$A$79:$AW$111,48,FALSE)="","",VLOOKUP(Sun_W1[[#This Row],[Employee Name]],'Base Schedules'!$A$79:$AW$111,48,FALSE)),"")</f>
        <v/>
      </c>
      <c r="BA14" s="184" t="str">
        <f>IFERROR(IF(VLOOKUP(Sun_W1[[#This Row],[Employee Name]],'Base Schedules'!$A$79:$AW$111,49,FALSE)="","",VLOOKUP(Sun_W1[[#This Row],[Employee Name]],'Base Schedules'!$A$79:$AW$111,49,FALSE)),"")</f>
        <v/>
      </c>
    </row>
    <row r="15" spans="1:53" s="44" customFormat="1" ht="12" customHeight="1" x14ac:dyDescent="0.2">
      <c r="A15" s="39" t="str">
        <f>IF(B15="","",INDEX(TeamList[],MATCH($B15,TeamList[[Employee Name]:[Employee Name]],0),MATCH("Manager",TeamList[#Headers],0)))</f>
        <v>Paulson, Matthew</v>
      </c>
      <c r="B15" s="201" t="s">
        <v>39</v>
      </c>
      <c r="C15" s="257" t="str">
        <f>_xlfn.IFNA(VLOOKUP(Sun_W2[[#This Row],[Employee Name]],'Base Schedules'!A:B,2,FALSE),"")</f>
        <v>Supervisor</v>
      </c>
      <c r="D15" s="274">
        <f>_xlfn.IFNA(VLOOKUP(Sun_W2[[#This Row],[Employee Name]],'Base Schedules'!A:C,3,FALSE),"")</f>
        <v>630</v>
      </c>
      <c r="E15" s="354">
        <f>_xlfn.IFNA(VLOOKUP(Sun_W2[[#This Row],[Employee Name]],'Base Schedules'!A:D,4,FALSE),"")</f>
        <v>1530</v>
      </c>
      <c r="F15" s="358">
        <f>IF(Sun_W2[[#This Row],[Employee Name]]="","",IF(Sun_W2[[#This Row],[Dept]]="Supervisor",COUNTIFS($J15:$AX15,"*HL*",$J15:$AX15,"&lt;&gt;"&amp;"pHL"),COUNTIFS($J15:$AX15,"*HL*",$J15:$AX15,"&lt;&gt;"&amp;"*pHL*",$J15:$AX15,"&lt;&gt;"&amp;"pB1 HL",$J15:$AX15,"&lt;&gt;"&amp;"pB2 HL")-SUM(COUNTIFS($J15:$AX15,"*HL B1*",$J15:$AX15,"&lt;&gt;"&amp;"pHL B1")*0.5,COUNTIFS($J15:$AX15,"*HL B2*",$J15:$AX15,"&lt;&gt;"&amp;"pHL B2")*0.5,COUNTIFS($J15:$AX15,"*B1 HL*",$J15:$AX15,"&lt;&gt;"&amp;"pB1 HL")*0.5,COUNTIFS($J15:$AX15,"*B2 HL*",$J15:$AX15,"&lt;&gt;"&amp;"pB2 HL")*0.5)))</f>
        <v>0</v>
      </c>
      <c r="G15" s="142">
        <f t="shared" si="0"/>
        <v>4</v>
      </c>
      <c r="H15" s="142">
        <f t="shared" si="1"/>
        <v>0</v>
      </c>
      <c r="I15" s="142">
        <f>IF(Sun_W2[[#This Row],[Employee Name]]="","",IF(Sun_W2[[#This Row],[Dept]]="Supervisor",SUM(COUNTIFS($J15:$AX15,"RTA*",$J15:$AX15,"&lt;&gt;"&amp;"pRTA"),COUNTIFS($J15:$AX15,"*CRTA*",$J15:$AX15,"&lt;&gt;"&amp;"pCRTA")),COUNTIFS($J15:$AX15,"*RNNR*",$J15:$AX15,"&lt;&gt;"&amp;"*pRNNR*",$J15:$AX15,"&lt;&gt;"&amp;"pB1 RNNR",$J15:$AX15,"&lt;&gt;"&amp;"pB2 RNNR")-SUM(COUNTIFS($J15:$AX15,"*RNNR B1*",$J15:$AX15,"&lt;&gt;"&amp;"pRNNR B1")*0.5,COUNTIFS($J15:$AX15,"*RNNR B2*",$J15:$AX15,"&lt;&gt;"&amp;"pRNNR B2")*0.5,COUNTIFS($J15:$AX15,"*B1 RNNR*",$J15:$AX15,"&lt;&gt;"&amp;"pB1 RNNR")*0.5,COUNTIFS($J15:$AX15,"*B2 RNNR*",$J15:$AX15,"&lt;&gt;"&amp;"pB2 RNNR")*0.5)))</f>
        <v>0</v>
      </c>
      <c r="J15" s="184" t="str">
        <f>IFERROR(IF(VLOOKUP(Sun_W2[[#This Row],[Employee Name]],'Base Schedules'!$A$79:$AW$111,9,FALSE)="","",VLOOKUP(Sun_W2[[#This Row],[Employee Name]],'Base Schedules'!$A$79:$AW$111,9,FALSE)),"")</f>
        <v/>
      </c>
      <c r="K15" s="184" t="str">
        <f>IFERROR(IF(VLOOKUP(Sun_W2[[#This Row],[Employee Name]],'Base Schedules'!$A$79:$AW$111,10,FALSE)="","",VLOOKUP(Sun_W2[[#This Row],[Employee Name]],'Base Schedules'!$A$79:$AW$111,10,FALSE)),"")</f>
        <v/>
      </c>
      <c r="L15" s="184" t="str">
        <f>IFERROR(IF(VLOOKUP(Sun_W2[[#This Row],[Employee Name]],'Base Schedules'!$A$79:$AW$111,11,FALSE)="","",VLOOKUP(Sun_W2[[#This Row],[Employee Name]],'Base Schedules'!$A$79:$AW$111,11,FALSE)),"")</f>
        <v/>
      </c>
      <c r="M15" s="184" t="str">
        <f>IFERROR(IF(VLOOKUP(Sun_W2[[#This Row],[Employee Name]],'Base Schedules'!$A$79:$AW$111,12,FALSE)="","",VLOOKUP(Sun_W2[[#This Row],[Employee Name]],'Base Schedules'!$A$79:$AW$111,12,FALSE)),"")</f>
        <v>-</v>
      </c>
      <c r="N15" s="184" t="str">
        <f>IFERROR(IF(VLOOKUP(Sun_W2[[#This Row],[Employee Name]],'Base Schedules'!$A$79:$AW$111,13,FALSE)="","",VLOOKUP(Sun_W2[[#This Row],[Employee Name]],'Base Schedules'!$A$79:$AW$111,13,FALSE)),"")</f>
        <v>-</v>
      </c>
      <c r="O15" s="184" t="str">
        <f>IFERROR(IF(VLOOKUP(Sun_W2[[#This Row],[Employee Name]],'Base Schedules'!$A$79:$AW$111,14,FALSE)="","",VLOOKUP(Sun_W2[[#This Row],[Employee Name]],'Base Schedules'!$A$79:$AW$111,14,FALSE)),"")</f>
        <v>-</v>
      </c>
      <c r="P15" s="184" t="str">
        <f>IFERROR(IF(VLOOKUP(Sun_W2[[#This Row],[Employee Name]],'Base Schedules'!$A$79:$AW$111,15,FALSE)="","",VLOOKUP(Sun_W2[[#This Row],[Employee Name]],'Base Schedules'!$A$79:$AW$111,15,FALSE)),"")</f>
        <v>-</v>
      </c>
      <c r="Q15" s="184" t="str">
        <f>IFERROR(IF(VLOOKUP(Sun_W2[[#This Row],[Employee Name]],'Base Schedules'!$A$79:$AW$111,16,FALSE)="","",VLOOKUP(Sun_W2[[#This Row],[Employee Name]],'Base Schedules'!$A$79:$AW$111,16,FALSE)),"")</f>
        <v>-</v>
      </c>
      <c r="R15" s="184" t="str">
        <f>IFERROR(IF(VLOOKUP(Sun_W2[[#This Row],[Employee Name]],'Base Schedules'!$A$79:$AW$111,17,FALSE)="","",VLOOKUP(Sun_W2[[#This Row],[Employee Name]],'Base Schedules'!$A$79:$AW$111,17,FALSE)),"")</f>
        <v>-</v>
      </c>
      <c r="S15" s="184" t="str">
        <f>IFERROR(IF(VLOOKUP(Sun_W2[[#This Row],[Employee Name]],'Base Schedules'!$A$79:$AW$111,18,FALSE)="","",VLOOKUP(Sun_W2[[#This Row],[Employee Name]],'Base Schedules'!$A$79:$AW$111,18,FALSE)),"")</f>
        <v>-</v>
      </c>
      <c r="T15" s="184" t="str">
        <f>IFERROR(IF(VLOOKUP(Sun_W2[[#This Row],[Employee Name]],'Base Schedules'!$A$79:$AW$111,19,FALSE)="","",VLOOKUP(Sun_W2[[#This Row],[Employee Name]],'Base Schedules'!$A$79:$AW$111,19,FALSE)),"")</f>
        <v>-</v>
      </c>
      <c r="U15" s="184" t="str">
        <f>IFERROR(IF(VLOOKUP(Sun_W2[[#This Row],[Employee Name]],'Base Schedules'!$A$79:$AW$111,20,FALSE)="","",VLOOKUP(Sun_W2[[#This Row],[Employee Name]],'Base Schedules'!$A$79:$AW$111,20,FALSE)),"")</f>
        <v>-</v>
      </c>
      <c r="V15" s="184" t="str">
        <f>IFERROR(IF(VLOOKUP(Sun_W2[[#This Row],[Employee Name]],'Base Schedules'!$A$79:$AW$111,21,FALSE)="","",VLOOKUP(Sun_W2[[#This Row],[Employee Name]],'Base Schedules'!$A$79:$AW$111,21,FALSE)),"")</f>
        <v>-</v>
      </c>
      <c r="W15" s="184" t="str">
        <f>IFERROR(IF(VLOOKUP(Sun_W2[[#This Row],[Employee Name]],'Base Schedules'!$A$79:$AW$111,22,FALSE)="","",VLOOKUP(Sun_W2[[#This Row],[Employee Name]],'Base Schedules'!$A$79:$AW$111,22,FALSE)),"")</f>
        <v>-</v>
      </c>
      <c r="X15" s="184" t="str">
        <f>IFERROR(IF(VLOOKUP(Sun_W2[[#This Row],[Employee Name]],'Base Schedules'!$A$79:$AW$111,23,FALSE)="","",VLOOKUP(Sun_W2[[#This Row],[Employee Name]],'Base Schedules'!$A$79:$AW$111,23,FALSE)),"")</f>
        <v>-</v>
      </c>
      <c r="Y15" s="184" t="str">
        <f>IFERROR(IF(VLOOKUP(Sun_W2[[#This Row],[Employee Name]],'Base Schedules'!$A$79:$AW$111,24,FALSE)="","",VLOOKUP(Sun_W2[[#This Row],[Employee Name]],'Base Schedules'!$A$79:$AW$111,24,FALSE)),"")</f>
        <v>Coaching</v>
      </c>
      <c r="Z15" s="184" t="str">
        <f>IFERROR(IF(VLOOKUP(Sun_W2[[#This Row],[Employee Name]],'Base Schedules'!$A$79:$AW$111,25,FALSE)="","",VLOOKUP(Sun_W2[[#This Row],[Employee Name]],'Base Schedules'!$A$79:$AW$111,25,FALSE)),"")</f>
        <v>Coaching</v>
      </c>
      <c r="AA15" s="184" t="str">
        <f>IFERROR(IF(VLOOKUP(Sun_W2[[#This Row],[Employee Name]],'Base Schedules'!$A$79:$AW$111,26,FALSE)="","",VLOOKUP(Sun_W2[[#This Row],[Employee Name]],'Base Schedules'!$A$79:$AW$111,26,FALSE)),"")</f>
        <v>Coaching</v>
      </c>
      <c r="AB15" s="184" t="str">
        <f>IFERROR(IF(VLOOKUP(Sun_W2[[#This Row],[Employee Name]],'Base Schedules'!$A$79:$AW$111,27,FALSE)="","",VLOOKUP(Sun_W2[[#This Row],[Employee Name]],'Base Schedules'!$A$79:$AW$111,27,FALSE)),"")</f>
        <v>Coaching</v>
      </c>
      <c r="AC15" s="184" t="str">
        <f>IFERROR(IF(VLOOKUP(Sun_W2[[#This Row],[Employee Name]],'Base Schedules'!$A$79:$AW$111,28,FALSE)="","",VLOOKUP(Sun_W2[[#This Row],[Employee Name]],'Base Schedules'!$A$79:$AW$111,28,FALSE)),"")</f>
        <v>-</v>
      </c>
      <c r="AD15" s="184" t="str">
        <f>IFERROR(IF(VLOOKUP(Sun_W2[[#This Row],[Employee Name]],'Base Schedules'!$A$79:$AW$111,29,FALSE)="","",VLOOKUP(Sun_W2[[#This Row],[Employee Name]],'Base Schedules'!$A$79:$AW$111,29,FALSE)),"")</f>
        <v>-</v>
      </c>
      <c r="AE15" s="184" t="str">
        <f>IFERROR(IF(VLOOKUP(Sun_W2[[#This Row],[Employee Name]],'Base Schedules'!$A$79:$AW$111,30,FALSE)="","",VLOOKUP(Sun_W2[[#This Row],[Employee Name]],'Base Schedules'!$A$79:$AW$111,30,FALSE)),"")</f>
        <v/>
      </c>
      <c r="AF15" s="184" t="str">
        <f>IFERROR(IF(VLOOKUP(Sun_W2[[#This Row],[Employee Name]],'Base Schedules'!$A$79:$AW$111,31,FALSE)="","",VLOOKUP(Sun_W2[[#This Row],[Employee Name]],'Base Schedules'!$A$79:$AW$111,31,FALSE)),"")</f>
        <v/>
      </c>
      <c r="AG15" s="184" t="str">
        <f>IFERROR(IF(VLOOKUP(Sun_W2[[#This Row],[Employee Name]],'Base Schedules'!$A$79:$AW$111,32,FALSE)="","",VLOOKUP(Sun_W2[[#This Row],[Employee Name]],'Base Schedules'!$A$79:$AW$111,32,FALSE)),"")</f>
        <v/>
      </c>
      <c r="AH15" s="184" t="str">
        <f>IFERROR(IF(VLOOKUP(Sun_W2[[#This Row],[Employee Name]],'Base Schedules'!$A$79:$AW$111,33,FALSE)="","",VLOOKUP(Sun_W2[[#This Row],[Employee Name]],'Base Schedules'!$A$79:$AW$111,33,FALSE)),"")</f>
        <v/>
      </c>
      <c r="AI15" s="184" t="str">
        <f>IFERROR(IF(VLOOKUP(Sun_W2[[#This Row],[Employee Name]],'Base Schedules'!$A$79:$AW$111,34,FALSE)="","",VLOOKUP(Sun_W2[[#This Row],[Employee Name]],'Base Schedules'!$A$79:$AW$111,34,FALSE)),"")</f>
        <v/>
      </c>
      <c r="AJ15" s="184" t="str">
        <f>IFERROR(IF(VLOOKUP(Sun_W2[[#This Row],[Employee Name]],'Base Schedules'!$A$79:$AW$111,35,FALSE)="","",VLOOKUP(Sun_W2[[#This Row],[Employee Name]],'Base Schedules'!$A$79:$AW$111,35,FALSE)),"")</f>
        <v/>
      </c>
      <c r="AK15" s="184" t="str">
        <f>IFERROR(IF(VLOOKUP(Sun_W2[[#This Row],[Employee Name]],'Base Schedules'!$A$79:$AW$111,36,FALSE)="","",VLOOKUP(Sun_W2[[#This Row],[Employee Name]],'Base Schedules'!$A$79:$AW$111,36,FALSE)),"")</f>
        <v/>
      </c>
      <c r="AL15" s="184" t="str">
        <f>IFERROR(IF(VLOOKUP(Sun_W2[[#This Row],[Employee Name]],'Base Schedules'!$A$79:$AW$111,37,FALSE)="","",VLOOKUP(Sun_W2[[#This Row],[Employee Name]],'Base Schedules'!$A$79:$AW$111,37,FALSE)),"")</f>
        <v/>
      </c>
      <c r="AM15" s="184" t="str">
        <f>IFERROR(IF(VLOOKUP(Sun_W2[[#This Row],[Employee Name]],'Base Schedules'!$A$79:$AW$111,38,FALSE)="","",VLOOKUP(Sun_W2[[#This Row],[Employee Name]],'Base Schedules'!$A$79:$AW$111,38,FALSE)),"")</f>
        <v/>
      </c>
      <c r="AN15" s="184" t="str">
        <f>IFERROR(IF(VLOOKUP(Sun_W2[[#This Row],[Employee Name]],'Base Schedules'!$A$79:$AW$111,39,FALSE)="","",VLOOKUP(Sun_W2[[#This Row],[Employee Name]],'Base Schedules'!$A$79:$AW$111,39,FALSE)),"")</f>
        <v/>
      </c>
      <c r="AO15" s="184" t="str">
        <f>IFERROR(IF(VLOOKUP(Sun_W2[[#This Row],[Employee Name]],'Base Schedules'!$A$79:$AW$111,40,FALSE)="","",VLOOKUP(Sun_W2[[#This Row],[Employee Name]],'Base Schedules'!$A$79:$AW$111,40,FALSE)),"")</f>
        <v/>
      </c>
      <c r="AP15" s="184" t="str">
        <f>IFERROR(IF(VLOOKUP(Sun_W2[[#This Row],[Employee Name]],'Base Schedules'!$A$79:$AW$111,41,FALSE)="","",VLOOKUP(Sun_W2[[#This Row],[Employee Name]],'Base Schedules'!$A$79:$AW$111,41,FALSE)),"")</f>
        <v/>
      </c>
      <c r="AQ15" s="184" t="str">
        <f>IFERROR(IF(VLOOKUP(Sun_W2[[#This Row],[Employee Name]],'Base Schedules'!$A$79:$AW$111,42,FALSE)="","",VLOOKUP(Sun_W2[[#This Row],[Employee Name]],'Base Schedules'!$A$79:$AW$111,42,FALSE)),"")</f>
        <v/>
      </c>
      <c r="AR15" s="184" t="str">
        <f>IFERROR(IF(VLOOKUP(Sun_W2[[#This Row],[Employee Name]],'Base Schedules'!$A$79:$AW$111,43,FALSE)="","",VLOOKUP(Sun_W2[[#This Row],[Employee Name]],'Base Schedules'!$A$79:$AW$111,43,FALSE)),"")</f>
        <v/>
      </c>
      <c r="AS15" s="184" t="str">
        <f>IFERROR(IF(VLOOKUP(Sun_W2[[#This Row],[Employee Name]],'Base Schedules'!$A$79:$AW$111,44,FALSE)="","",VLOOKUP(Sun_W2[[#This Row],[Employee Name]],'Base Schedules'!$A$79:$AW$111,44,FALSE)),"")</f>
        <v/>
      </c>
      <c r="AT15" s="184" t="str">
        <f>IFERROR(IF(VLOOKUP(Sun_W2[[#This Row],[Employee Name]],'Base Schedules'!$A$79:$AW$111,45,FALSE)="","",VLOOKUP(Sun_W2[[#This Row],[Employee Name]],'Base Schedules'!$A$79:$AW$111,45,FALSE)),"")</f>
        <v/>
      </c>
      <c r="AU15" s="184" t="str">
        <f>IFERROR(IF(VLOOKUP(Sun_W2[[#This Row],[Employee Name]],'Base Schedules'!$A$79:$AW$111,46,FALSE)="","",VLOOKUP(Sun_W2[[#This Row],[Employee Name]],'Base Schedules'!$A$79:$AW$111,46,FALSE)),"")</f>
        <v/>
      </c>
      <c r="AV15" s="184" t="str">
        <f>IFERROR(IF(VLOOKUP(Sun_W2[[#This Row],[Employee Name]],'Base Schedules'!$A$79:$AW$111,47,FALSE)="","",VLOOKUP(Sun_W2[[#This Row],[Employee Name]],'Base Schedules'!$A$79:$AW$111,47,FALSE)),"")</f>
        <v/>
      </c>
      <c r="AW15" s="184" t="str">
        <f>IFERROR(IF(VLOOKUP(Sun_W2[[#This Row],[Employee Name]],'Base Schedules'!$A$79:$AW$111,48,FALSE)="","",VLOOKUP(Sun_W2[[#This Row],[Employee Name]],'Base Schedules'!$A$79:$AW$111,48,FALSE)),"")</f>
        <v/>
      </c>
      <c r="AX15" s="184" t="str">
        <f>IFERROR(IF(VLOOKUP(Sun_W2[[#This Row],[Employee Name]],'Base Schedules'!$A$79:$AW$111,49,FALSE)="","",VLOOKUP(Sun_W2[[#This Row],[Employee Name]],'Base Schedules'!$A$79:$AW$111,49,FALSE)),"")</f>
        <v/>
      </c>
      <c r="AY15" s="159" t="str">
        <f t="shared" si="2"/>
        <v>Ulrich, Michael</v>
      </c>
      <c r="AZ15" s="184" t="str">
        <f>IFERROR(IF(VLOOKUP(Sun_W1[[#This Row],[Employee Name]],'Base Schedules'!$A$79:$AW$111,48,FALSE)="","",VLOOKUP(Sun_W1[[#This Row],[Employee Name]],'Base Schedules'!$A$79:$AW$111,48,FALSE)),"")</f>
        <v/>
      </c>
      <c r="BA15" s="184" t="str">
        <f>IFERROR(IF(VLOOKUP(Sun_W1[[#This Row],[Employee Name]],'Base Schedules'!$A$79:$AW$111,49,FALSE)="","",VLOOKUP(Sun_W1[[#This Row],[Employee Name]],'Base Schedules'!$A$79:$AW$111,49,FALSE)),"")</f>
        <v/>
      </c>
    </row>
    <row r="16" spans="1:53" s="44" customFormat="1" ht="12" customHeight="1" x14ac:dyDescent="0.2">
      <c r="A16" s="39" t="str">
        <f>IF(B16="","",INDEX(TeamList[],MATCH($B16,TeamList[[Employee Name]:[Employee Name]],0),MATCH("Manager",TeamList[#Headers],0)))</f>
        <v>Olson, Katherine</v>
      </c>
      <c r="B16" s="201" t="s">
        <v>22</v>
      </c>
      <c r="C16" s="257" t="str">
        <f>_xlfn.IFNA(VLOOKUP(Sun_W2[[#This Row],[Employee Name]],'Base Schedules'!A:B,2,FALSE),"")</f>
        <v>Lead</v>
      </c>
      <c r="D16" s="274">
        <f>_xlfn.IFNA(VLOOKUP(Sun_W2[[#This Row],[Employee Name]],'Base Schedules'!A:C,3,FALSE),"")</f>
        <v>700</v>
      </c>
      <c r="E16" s="354">
        <f>_xlfn.IFNA(VLOOKUP(Sun_W2[[#This Row],[Employee Name]],'Base Schedules'!A:D,4,FALSE),"")</f>
        <v>1600</v>
      </c>
      <c r="F16" s="358">
        <f>IF(Sun_W2[[#This Row],[Employee Name]]="","",IF(Sun_W2[[#This Row],[Dept]]="Supervisor",COUNTIFS($J16:$AX16,"*HL*",$J16:$AX16,"&lt;&gt;"&amp;"pHL"),COUNTIFS($J16:$AX16,"*HL*",$J16:$AX16,"&lt;&gt;"&amp;"*pHL*",$J16:$AX16,"&lt;&gt;"&amp;"pB1 HL",$J16:$AX16,"&lt;&gt;"&amp;"pB2 HL")-SUM(COUNTIFS($J16:$AX16,"*HL B1*",$J16:$AX16,"&lt;&gt;"&amp;"pHL B1")*0.5,COUNTIFS($J16:$AX16,"*HL B2*",$J16:$AX16,"&lt;&gt;"&amp;"pHL B2")*0.5,COUNTIFS($J16:$AX16,"*B1 HL*",$J16:$AX16,"&lt;&gt;"&amp;"pB1 HL")*0.5,COUNTIFS($J16:$AX16,"*B2 HL*",$J16:$AX16,"&lt;&gt;"&amp;"pB2 HL")*0.5)))</f>
        <v>6.5</v>
      </c>
      <c r="G16" s="142">
        <f t="shared" si="0"/>
        <v>0</v>
      </c>
      <c r="H16" s="142">
        <f t="shared" si="1"/>
        <v>7</v>
      </c>
      <c r="I16" s="142">
        <f>IF(Sun_W2[[#This Row],[Employee Name]]="","",IF(Sun_W2[[#This Row],[Dept]]="Supervisor",SUM(COUNTIFS($J16:$AX16,"RTA*",$J16:$AX16,"&lt;&gt;"&amp;"pRTA"),COUNTIFS($J16:$AX16,"*CRTA*",$J16:$AX16,"&lt;&gt;"&amp;"pCRTA")),COUNTIFS($J16:$AX16,"*RNNR*",$J16:$AX16,"&lt;&gt;"&amp;"*pRNNR*",$J16:$AX16,"&lt;&gt;"&amp;"pB1 RNNR",$J16:$AX16,"&lt;&gt;"&amp;"pB2 RNNR")-SUM(COUNTIFS($J16:$AX16,"*RNNR B1*",$J16:$AX16,"&lt;&gt;"&amp;"pRNNR B1")*0.5,COUNTIFS($J16:$AX16,"*RNNR B2*",$J16:$AX16,"&lt;&gt;"&amp;"pRNNR B2")*0.5,COUNTIFS($J16:$AX16,"*B1 RNNR*",$J16:$AX16,"&lt;&gt;"&amp;"pB1 RNNR")*0.5,COUNTIFS($J16:$AX16,"*B2 RNNR*",$J16:$AX16,"&lt;&gt;"&amp;"pB2 RNNR")*0.5)))</f>
        <v>2</v>
      </c>
      <c r="J16" s="184" t="str">
        <f>IFERROR(IF(VLOOKUP(Sun_W2[[#This Row],[Employee Name]],'Base Schedules'!$A$79:$AW$111,9,FALSE)="","",VLOOKUP(Sun_W2[[#This Row],[Employee Name]],'Base Schedules'!$A$79:$AW$111,9,FALSE)),"")</f>
        <v/>
      </c>
      <c r="K16" s="184" t="str">
        <f>IFERROR(IF(VLOOKUP(Sun_W2[[#This Row],[Employee Name]],'Base Schedules'!$A$79:$AW$111,10,FALSE)="","",VLOOKUP(Sun_W2[[#This Row],[Employee Name]],'Base Schedules'!$A$79:$AW$111,10,FALSE)),"")</f>
        <v/>
      </c>
      <c r="L16" s="184" t="str">
        <f>IFERROR(IF(VLOOKUP(Sun_W2[[#This Row],[Employee Name]],'Base Schedules'!$A$79:$AW$111,11,FALSE)="","",VLOOKUP(Sun_W2[[#This Row],[Employee Name]],'Base Schedules'!$A$79:$AW$111,11,FALSE)),"")</f>
        <v/>
      </c>
      <c r="M16" s="184" t="str">
        <f>IFERROR(IF(VLOOKUP(Sun_W2[[#This Row],[Employee Name]],'Base Schedules'!$A$79:$AW$111,12,FALSE)="","",VLOOKUP(Sun_W2[[#This Row],[Employee Name]],'Base Schedules'!$A$79:$AW$111,12,FALSE)),"")</f>
        <v/>
      </c>
      <c r="N16" s="184" t="str">
        <f>IFERROR(IF(VLOOKUP(Sun_W2[[#This Row],[Employee Name]],'Base Schedules'!$A$79:$AW$111,13,FALSE)="","",VLOOKUP(Sun_W2[[#This Row],[Employee Name]],'Base Schedules'!$A$79:$AW$111,13,FALSE)),"")</f>
        <v>ADM</v>
      </c>
      <c r="O16" s="184" t="str">
        <f>IFERROR(IF(VLOOKUP(Sun_W2[[#This Row],[Employee Name]],'Base Schedules'!$A$79:$AW$111,14,FALSE)="","",VLOOKUP(Sun_W2[[#This Row],[Employee Name]],'Base Schedules'!$A$79:$AW$111,14,FALSE)),"")</f>
        <v>HL</v>
      </c>
      <c r="P16" s="184" t="str">
        <f>IFERROR(IF(VLOOKUP(Sun_W2[[#This Row],[Employee Name]],'Base Schedules'!$A$79:$AW$111,15,FALSE)="","",VLOOKUP(Sun_W2[[#This Row],[Employee Name]],'Base Schedules'!$A$79:$AW$111,15,FALSE)),"")</f>
        <v>HL</v>
      </c>
      <c r="Q16" s="184" t="str">
        <f>IFERROR(IF(VLOOKUP(Sun_W2[[#This Row],[Employee Name]],'Base Schedules'!$A$79:$AW$111,16,FALSE)="","",VLOOKUP(Sun_W2[[#This Row],[Employee Name]],'Base Schedules'!$A$79:$AW$111,16,FALSE)),"")</f>
        <v>HL</v>
      </c>
      <c r="R16" s="184" t="str">
        <f>IFERROR(IF(VLOOKUP(Sun_W2[[#This Row],[Employee Name]],'Base Schedules'!$A$79:$AW$111,17,FALSE)="","",VLOOKUP(Sun_W2[[#This Row],[Employee Name]],'Base Schedules'!$A$79:$AW$111,17,FALSE)),"")</f>
        <v>B1 HL</v>
      </c>
      <c r="S16" s="184" t="str">
        <f>IFERROR(IF(VLOOKUP(Sun_W2[[#This Row],[Employee Name]],'Base Schedules'!$A$79:$AW$111,18,FALSE)="","",VLOOKUP(Sun_W2[[#This Row],[Employee Name]],'Base Schedules'!$A$79:$AW$111,18,FALSE)),"")</f>
        <v>HL</v>
      </c>
      <c r="T16" s="184" t="str">
        <f>IFERROR(IF(VLOOKUP(Sun_W2[[#This Row],[Employee Name]],'Base Schedules'!$A$79:$AW$111,19,FALSE)="","",VLOOKUP(Sun_W2[[#This Row],[Employee Name]],'Base Schedules'!$A$79:$AW$111,19,FALSE)),"")</f>
        <v>ADM</v>
      </c>
      <c r="U16" s="184" t="str">
        <f>IFERROR(IF(VLOOKUP(Sun_W2[[#This Row],[Employee Name]],'Base Schedules'!$A$79:$AW$111,20,FALSE)="","",VLOOKUP(Sun_W2[[#This Row],[Employee Name]],'Base Schedules'!$A$79:$AW$111,20,FALSE)),"")</f>
        <v>ADM</v>
      </c>
      <c r="V16" s="184" t="str">
        <f>IFERROR(IF(VLOOKUP(Sun_W2[[#This Row],[Employee Name]],'Base Schedules'!$A$79:$AW$111,21,FALSE)="","",VLOOKUP(Sun_W2[[#This Row],[Employee Name]],'Base Schedules'!$A$79:$AW$111,21,FALSE)),"")</f>
        <v>HL</v>
      </c>
      <c r="W16" s="184" t="str">
        <f>IFERROR(IF(VLOOKUP(Sun_W2[[#This Row],[Employee Name]],'Base Schedules'!$A$79:$AW$111,22,FALSE)="","",VLOOKUP(Sun_W2[[#This Row],[Employee Name]],'Base Schedules'!$A$79:$AW$111,22,FALSE)),"")</f>
        <v>LUNCH</v>
      </c>
      <c r="X16" s="184" t="str">
        <f>IFERROR(IF(VLOOKUP(Sun_W2[[#This Row],[Employee Name]],'Base Schedules'!$A$79:$AW$111,23,FALSE)="","",VLOOKUP(Sun_W2[[#This Row],[Employee Name]],'Base Schedules'!$A$79:$AW$111,23,FALSE)),"")</f>
        <v>LUNCH</v>
      </c>
      <c r="Y16" s="184" t="str">
        <f>IFERROR(IF(VLOOKUP(Sun_W2[[#This Row],[Employee Name]],'Base Schedules'!$A$79:$AW$111,24,FALSE)="","",VLOOKUP(Sun_W2[[#This Row],[Employee Name]],'Base Schedules'!$A$79:$AW$111,24,FALSE)),"")</f>
        <v>ADM</v>
      </c>
      <c r="Z16" s="184" t="str">
        <f>IFERROR(IF(VLOOKUP(Sun_W2[[#This Row],[Employee Name]],'Base Schedules'!$A$79:$AW$111,25,FALSE)="","",VLOOKUP(Sun_W2[[#This Row],[Employee Name]],'Base Schedules'!$A$79:$AW$111,25,FALSE)),"")</f>
        <v>RNNR</v>
      </c>
      <c r="AA16" s="184" t="str">
        <f>IFERROR(IF(VLOOKUP(Sun_W2[[#This Row],[Employee Name]],'Base Schedules'!$A$79:$AW$111,26,FALSE)="","",VLOOKUP(Sun_W2[[#This Row],[Employee Name]],'Base Schedules'!$A$79:$AW$111,26,FALSE)),"")</f>
        <v>RNNR</v>
      </c>
      <c r="AB16" s="184" t="str">
        <f>IFERROR(IF(VLOOKUP(Sun_W2[[#This Row],[Employee Name]],'Base Schedules'!$A$79:$AW$111,27,FALSE)="","",VLOOKUP(Sun_W2[[#This Row],[Employee Name]],'Base Schedules'!$A$79:$AW$111,27,FALSE)),"")</f>
        <v>B2 ADM</v>
      </c>
      <c r="AC16" s="184" t="str">
        <f>IFERROR(IF(VLOOKUP(Sun_W2[[#This Row],[Employee Name]],'Base Schedules'!$A$79:$AW$111,28,FALSE)="","",VLOOKUP(Sun_W2[[#This Row],[Employee Name]],'Base Schedules'!$A$79:$AW$111,28,FALSE)),"")</f>
        <v>ADM</v>
      </c>
      <c r="AD16" s="184" t="str">
        <f>IFERROR(IF(VLOOKUP(Sun_W2[[#This Row],[Employee Name]],'Base Schedules'!$A$79:$AW$111,29,FALSE)="","",VLOOKUP(Sun_W2[[#This Row],[Employee Name]],'Base Schedules'!$A$79:$AW$111,29,FALSE)),"")</f>
        <v>ADM</v>
      </c>
      <c r="AE16" s="184" t="str">
        <f>IFERROR(IF(VLOOKUP(Sun_W2[[#This Row],[Employee Name]],'Base Schedules'!$A$79:$AW$111,30,FALSE)="","",VLOOKUP(Sun_W2[[#This Row],[Employee Name]],'Base Schedules'!$A$79:$AW$111,30,FALSE)),"")</f>
        <v>HL</v>
      </c>
      <c r="AF16" s="184" t="str">
        <f>IFERROR(IF(VLOOKUP(Sun_W2[[#This Row],[Employee Name]],'Base Schedules'!$A$79:$AW$111,31,FALSE)="","",VLOOKUP(Sun_W2[[#This Row],[Employee Name]],'Base Schedules'!$A$79:$AW$111,31,FALSE)),"")</f>
        <v/>
      </c>
      <c r="AG16" s="184" t="str">
        <f>IFERROR(IF(VLOOKUP(Sun_W2[[#This Row],[Employee Name]],'Base Schedules'!$A$79:$AW$111,32,FALSE)="","",VLOOKUP(Sun_W2[[#This Row],[Employee Name]],'Base Schedules'!$A$79:$AW$111,32,FALSE)),"")</f>
        <v/>
      </c>
      <c r="AH16" s="184" t="str">
        <f>IFERROR(IF(VLOOKUP(Sun_W2[[#This Row],[Employee Name]],'Base Schedules'!$A$79:$AW$111,33,FALSE)="","",VLOOKUP(Sun_W2[[#This Row],[Employee Name]],'Base Schedules'!$A$79:$AW$111,33,FALSE)),"")</f>
        <v/>
      </c>
      <c r="AI16" s="184" t="str">
        <f>IFERROR(IF(VLOOKUP(Sun_W2[[#This Row],[Employee Name]],'Base Schedules'!$A$79:$AW$111,34,FALSE)="","",VLOOKUP(Sun_W2[[#This Row],[Employee Name]],'Base Schedules'!$A$79:$AW$111,34,FALSE)),"")</f>
        <v/>
      </c>
      <c r="AJ16" s="184" t="str">
        <f>IFERROR(IF(VLOOKUP(Sun_W2[[#This Row],[Employee Name]],'Base Schedules'!$A$79:$AW$111,35,FALSE)="","",VLOOKUP(Sun_W2[[#This Row],[Employee Name]],'Base Schedules'!$A$79:$AW$111,35,FALSE)),"")</f>
        <v/>
      </c>
      <c r="AK16" s="184" t="str">
        <f>IFERROR(IF(VLOOKUP(Sun_W2[[#This Row],[Employee Name]],'Base Schedules'!$A$79:$AW$111,36,FALSE)="","",VLOOKUP(Sun_W2[[#This Row],[Employee Name]],'Base Schedules'!$A$79:$AW$111,36,FALSE)),"")</f>
        <v/>
      </c>
      <c r="AL16" s="184" t="str">
        <f>IFERROR(IF(VLOOKUP(Sun_W2[[#This Row],[Employee Name]],'Base Schedules'!$A$79:$AW$111,37,FALSE)="","",VLOOKUP(Sun_W2[[#This Row],[Employee Name]],'Base Schedules'!$A$79:$AW$111,37,FALSE)),"")</f>
        <v/>
      </c>
      <c r="AM16" s="184" t="str">
        <f>IFERROR(IF(VLOOKUP(Sun_W2[[#This Row],[Employee Name]],'Base Schedules'!$A$79:$AW$111,38,FALSE)="","",VLOOKUP(Sun_W2[[#This Row],[Employee Name]],'Base Schedules'!$A$79:$AW$111,38,FALSE)),"")</f>
        <v/>
      </c>
      <c r="AN16" s="184" t="str">
        <f>IFERROR(IF(VLOOKUP(Sun_W2[[#This Row],[Employee Name]],'Base Schedules'!$A$79:$AW$111,39,FALSE)="","",VLOOKUP(Sun_W2[[#This Row],[Employee Name]],'Base Schedules'!$A$79:$AW$111,39,FALSE)),"")</f>
        <v/>
      </c>
      <c r="AO16" s="184" t="str">
        <f>IFERROR(IF(VLOOKUP(Sun_W2[[#This Row],[Employee Name]],'Base Schedules'!$A$79:$AW$111,40,FALSE)="","",VLOOKUP(Sun_W2[[#This Row],[Employee Name]],'Base Schedules'!$A$79:$AW$111,40,FALSE)),"")</f>
        <v/>
      </c>
      <c r="AP16" s="184" t="str">
        <f>IFERROR(IF(VLOOKUP(Sun_W2[[#This Row],[Employee Name]],'Base Schedules'!$A$79:$AW$111,41,FALSE)="","",VLOOKUP(Sun_W2[[#This Row],[Employee Name]],'Base Schedules'!$A$79:$AW$111,41,FALSE)),"")</f>
        <v/>
      </c>
      <c r="AQ16" s="184" t="str">
        <f>IFERROR(IF(VLOOKUP(Sun_W2[[#This Row],[Employee Name]],'Base Schedules'!$A$79:$AW$111,42,FALSE)="","",VLOOKUP(Sun_W2[[#This Row],[Employee Name]],'Base Schedules'!$A$79:$AW$111,42,FALSE)),"")</f>
        <v/>
      </c>
      <c r="AR16" s="184" t="str">
        <f>IFERROR(IF(VLOOKUP(Sun_W2[[#This Row],[Employee Name]],'Base Schedules'!$A$79:$AW$111,43,FALSE)="","",VLOOKUP(Sun_W2[[#This Row],[Employee Name]],'Base Schedules'!$A$79:$AW$111,43,FALSE)),"")</f>
        <v/>
      </c>
      <c r="AS16" s="184" t="str">
        <f>IFERROR(IF(VLOOKUP(Sun_W2[[#This Row],[Employee Name]],'Base Schedules'!$A$79:$AW$111,44,FALSE)="","",VLOOKUP(Sun_W2[[#This Row],[Employee Name]],'Base Schedules'!$A$79:$AW$111,44,FALSE)),"")</f>
        <v/>
      </c>
      <c r="AT16" s="184" t="str">
        <f>IFERROR(IF(VLOOKUP(Sun_W2[[#This Row],[Employee Name]],'Base Schedules'!$A$79:$AW$111,45,FALSE)="","",VLOOKUP(Sun_W2[[#This Row],[Employee Name]],'Base Schedules'!$A$79:$AW$111,45,FALSE)),"")</f>
        <v/>
      </c>
      <c r="AU16" s="184" t="str">
        <f>IFERROR(IF(VLOOKUP(Sun_W2[[#This Row],[Employee Name]],'Base Schedules'!$A$79:$AW$111,46,FALSE)="","",VLOOKUP(Sun_W2[[#This Row],[Employee Name]],'Base Schedules'!$A$79:$AW$111,46,FALSE)),"")</f>
        <v/>
      </c>
      <c r="AV16" s="184" t="str">
        <f>IFERROR(IF(VLOOKUP(Sun_W2[[#This Row],[Employee Name]],'Base Schedules'!$A$79:$AW$111,47,FALSE)="","",VLOOKUP(Sun_W2[[#This Row],[Employee Name]],'Base Schedules'!$A$79:$AW$111,47,FALSE)),"")</f>
        <v/>
      </c>
      <c r="AW16" s="184" t="str">
        <f>IFERROR(IF(VLOOKUP(Sun_W2[[#This Row],[Employee Name]],'Base Schedules'!$A$79:$AW$111,48,FALSE)="","",VLOOKUP(Sun_W2[[#This Row],[Employee Name]],'Base Schedules'!$A$79:$AW$111,48,FALSE)),"")</f>
        <v/>
      </c>
      <c r="AX16" s="184" t="str">
        <f>IFERROR(IF(VLOOKUP(Sun_W2[[#This Row],[Employee Name]],'Base Schedules'!$A$79:$AW$111,49,FALSE)="","",VLOOKUP(Sun_W2[[#This Row],[Employee Name]],'Base Schedules'!$A$79:$AW$111,49,FALSE)),"")</f>
        <v/>
      </c>
      <c r="AY16" s="159" t="str">
        <f t="shared" si="2"/>
        <v>Benish, Elisha</v>
      </c>
      <c r="AZ16" s="184" t="str">
        <f>IFERROR(IF(VLOOKUP(Sun_W1[[#This Row],[Employee Name]],'Base Schedules'!$A$79:$AW$111,48,FALSE)="","",VLOOKUP(Sun_W1[[#This Row],[Employee Name]],'Base Schedules'!$A$79:$AW$111,48,FALSE)),"")</f>
        <v/>
      </c>
      <c r="BA16" s="184" t="str">
        <f>IFERROR(IF(VLOOKUP(Sun_W1[[#This Row],[Employee Name]],'Base Schedules'!$A$79:$AW$111,49,FALSE)="","",VLOOKUP(Sun_W1[[#This Row],[Employee Name]],'Base Schedules'!$A$79:$AW$111,49,FALSE)),"")</f>
        <v/>
      </c>
    </row>
    <row r="17" spans="1:53" s="44" customFormat="1" ht="12" customHeight="1" x14ac:dyDescent="0.2">
      <c r="A17" s="39" t="str">
        <f>IF(B17="","",INDEX(TeamList[],MATCH($B17,TeamList[[Employee Name]:[Employee Name]],0),MATCH("Manager",TeamList[#Headers],0)))</f>
        <v>Olson, Katherine</v>
      </c>
      <c r="B17" s="201" t="s">
        <v>237</v>
      </c>
      <c r="C17" s="257" t="str">
        <f>_xlfn.IFNA(VLOOKUP(Sun_W2[[#This Row],[Employee Name]],'Base Schedules'!A:B,2,FALSE),"")</f>
        <v>Lead</v>
      </c>
      <c r="D17" s="274">
        <f>_xlfn.IFNA(VLOOKUP(Sun_W2[[#This Row],[Employee Name]],'Base Schedules'!A:C,3,FALSE),"")</f>
        <v>730</v>
      </c>
      <c r="E17" s="354">
        <f>_xlfn.IFNA(VLOOKUP(Sun_W2[[#This Row],[Employee Name]],'Base Schedules'!A:D,4,FALSE),"")</f>
        <v>1600</v>
      </c>
      <c r="F17" s="358">
        <f>IF(Sun_W2[[#This Row],[Employee Name]]="","",IF(Sun_W2[[#This Row],[Dept]]="Supervisor",COUNTIFS($J17:$AX17,"*HL*",$J17:$AX17,"&lt;&gt;"&amp;"pHL"),COUNTIFS($J17:$AX17,"*HL*",$J17:$AX17,"&lt;&gt;"&amp;"*pHL*",$J17:$AX17,"&lt;&gt;"&amp;"pB1 HL",$J17:$AX17,"&lt;&gt;"&amp;"pB2 HL")-SUM(COUNTIFS($J17:$AX17,"*HL B1*",$J17:$AX17,"&lt;&gt;"&amp;"pHL B1")*0.5,COUNTIFS($J17:$AX17,"*HL B2*",$J17:$AX17,"&lt;&gt;"&amp;"pHL B2")*0.5,COUNTIFS($J17:$AX17,"*B1 HL*",$J17:$AX17,"&lt;&gt;"&amp;"pB1 HL")*0.5,COUNTIFS($J17:$AX17,"*B2 HL*",$J17:$AX17,"&lt;&gt;"&amp;"pB2 HL")*0.5)))</f>
        <v>5.5</v>
      </c>
      <c r="G17" s="142">
        <f t="shared" si="0"/>
        <v>0</v>
      </c>
      <c r="H17" s="142">
        <f t="shared" si="1"/>
        <v>6</v>
      </c>
      <c r="I17" s="142">
        <f>IF(Sun_W2[[#This Row],[Employee Name]]="","",IF(Sun_W2[[#This Row],[Dept]]="Supervisor",SUM(COUNTIFS($J17:$AX17,"RTA*",$J17:$AX17,"&lt;&gt;"&amp;"pRTA"),COUNTIFS($J17:$AX17,"*CRTA*",$J17:$AX17,"&lt;&gt;"&amp;"pCRTA")),COUNTIFS($J17:$AX17,"*RNNR*",$J17:$AX17,"&lt;&gt;"&amp;"*pRNNR*",$J17:$AX17,"&lt;&gt;"&amp;"pB1 RNNR",$J17:$AX17,"&lt;&gt;"&amp;"pB2 RNNR")-SUM(COUNTIFS($J17:$AX17,"*RNNR B1*",$J17:$AX17,"&lt;&gt;"&amp;"pRNNR B1")*0.5,COUNTIFS($J17:$AX17,"*RNNR B2*",$J17:$AX17,"&lt;&gt;"&amp;"pRNNR B2")*0.5,COUNTIFS($J17:$AX17,"*B1 RNNR*",$J17:$AX17,"&lt;&gt;"&amp;"pB1 RNNR")*0.5,COUNTIFS($J17:$AX17,"*B2 RNNR*",$J17:$AX17,"&lt;&gt;"&amp;"pB2 RNNR")*0.5)))</f>
        <v>2</v>
      </c>
      <c r="J17" s="184" t="str">
        <f>IFERROR(IF(VLOOKUP(Sun_W2[[#This Row],[Employee Name]],'Base Schedules'!$A$79:$AW$111,9,FALSE)="","",VLOOKUP(Sun_W2[[#This Row],[Employee Name]],'Base Schedules'!$A$79:$AW$111,9,FALSE)),"")</f>
        <v/>
      </c>
      <c r="K17" s="184" t="str">
        <f>IFERROR(IF(VLOOKUP(Sun_W2[[#This Row],[Employee Name]],'Base Schedules'!$A$79:$AW$111,10,FALSE)="","",VLOOKUP(Sun_W2[[#This Row],[Employee Name]],'Base Schedules'!$A$79:$AW$111,10,FALSE)),"")</f>
        <v/>
      </c>
      <c r="L17" s="184" t="str">
        <f>IFERROR(IF(VLOOKUP(Sun_W2[[#This Row],[Employee Name]],'Base Schedules'!$A$79:$AW$111,11,FALSE)="","",VLOOKUP(Sun_W2[[#This Row],[Employee Name]],'Base Schedules'!$A$79:$AW$111,11,FALSE)),"")</f>
        <v/>
      </c>
      <c r="M17" s="184" t="str">
        <f>IFERROR(IF(VLOOKUP(Sun_W2[[#This Row],[Employee Name]],'Base Schedules'!$A$79:$AW$111,12,FALSE)="","",VLOOKUP(Sun_W2[[#This Row],[Employee Name]],'Base Schedules'!$A$79:$AW$111,12,FALSE)),"")</f>
        <v/>
      </c>
      <c r="N17" s="184" t="str">
        <f>IFERROR(IF(VLOOKUP(Sun_W2[[#This Row],[Employee Name]],'Base Schedules'!$A$79:$AW$111,13,FALSE)="","",VLOOKUP(Sun_W2[[#This Row],[Employee Name]],'Base Schedules'!$A$79:$AW$111,13,FALSE)),"")</f>
        <v/>
      </c>
      <c r="O17" s="184" t="str">
        <f>IFERROR(IF(VLOOKUP(Sun_W2[[#This Row],[Employee Name]],'Base Schedules'!$A$79:$AW$111,14,FALSE)="","",VLOOKUP(Sun_W2[[#This Row],[Employee Name]],'Base Schedules'!$A$79:$AW$111,14,FALSE)),"")</f>
        <v>HL</v>
      </c>
      <c r="P17" s="184" t="str">
        <f>IFERROR(IF(VLOOKUP(Sun_W2[[#This Row],[Employee Name]],'Base Schedules'!$A$79:$AW$111,15,FALSE)="","",VLOOKUP(Sun_W2[[#This Row],[Employee Name]],'Base Schedules'!$A$79:$AW$111,15,FALSE)),"")</f>
        <v>HL</v>
      </c>
      <c r="Q17" s="184" t="str">
        <f>IFERROR(IF(VLOOKUP(Sun_W2[[#This Row],[Employee Name]],'Base Schedules'!$A$79:$AW$111,16,FALSE)="","",VLOOKUP(Sun_W2[[#This Row],[Employee Name]],'Base Schedules'!$A$79:$AW$111,16,FALSE)),"")</f>
        <v>ADM</v>
      </c>
      <c r="R17" s="184" t="str">
        <f>IFERROR(IF(VLOOKUP(Sun_W2[[#This Row],[Employee Name]],'Base Schedules'!$A$79:$AW$111,17,FALSE)="","",VLOOKUP(Sun_W2[[#This Row],[Employee Name]],'Base Schedules'!$A$79:$AW$111,17,FALSE)),"")</f>
        <v>ADM</v>
      </c>
      <c r="S17" s="184" t="str">
        <f>IFERROR(IF(VLOOKUP(Sun_W2[[#This Row],[Employee Name]],'Base Schedules'!$A$79:$AW$111,18,FALSE)="","",VLOOKUP(Sun_W2[[#This Row],[Employee Name]],'Base Schedules'!$A$79:$AW$111,18,FALSE)),"")</f>
        <v>B1 HL</v>
      </c>
      <c r="T17" s="184" t="str">
        <f>IFERROR(IF(VLOOKUP(Sun_W2[[#This Row],[Employee Name]],'Base Schedules'!$A$79:$AW$111,19,FALSE)="","",VLOOKUP(Sun_W2[[#This Row],[Employee Name]],'Base Schedules'!$A$79:$AW$111,19,FALSE)),"")</f>
        <v>HL</v>
      </c>
      <c r="U17" s="184" t="str">
        <f>IFERROR(IF(VLOOKUP(Sun_W2[[#This Row],[Employee Name]],'Base Schedules'!$A$79:$AW$111,20,FALSE)="","",VLOOKUP(Sun_W2[[#This Row],[Employee Name]],'Base Schedules'!$A$79:$AW$111,20,FALSE)),"")</f>
        <v>HL</v>
      </c>
      <c r="V17" s="184" t="str">
        <f>IFERROR(IF(VLOOKUP(Sun_W2[[#This Row],[Employee Name]],'Base Schedules'!$A$79:$AW$111,21,FALSE)="","",VLOOKUP(Sun_W2[[#This Row],[Employee Name]],'Base Schedules'!$A$79:$AW$111,21,FALSE)),"")</f>
        <v>RNNR</v>
      </c>
      <c r="W17" s="184" t="str">
        <f>IFERROR(IF(VLOOKUP(Sun_W2[[#This Row],[Employee Name]],'Base Schedules'!$A$79:$AW$111,22,FALSE)="","",VLOOKUP(Sun_W2[[#This Row],[Employee Name]],'Base Schedules'!$A$79:$AW$111,22,FALSE)),"")</f>
        <v>RNNR</v>
      </c>
      <c r="X17" s="184" t="str">
        <f>IFERROR(IF(VLOOKUP(Sun_W2[[#This Row],[Employee Name]],'Base Schedules'!$A$79:$AW$111,23,FALSE)="","",VLOOKUP(Sun_W2[[#This Row],[Employee Name]],'Base Schedules'!$A$79:$AW$111,23,FALSE)),"")</f>
        <v>LUNCH</v>
      </c>
      <c r="Y17" s="184" t="str">
        <f>IFERROR(IF(VLOOKUP(Sun_W2[[#This Row],[Employee Name]],'Base Schedules'!$A$79:$AW$111,24,FALSE)="","",VLOOKUP(Sun_W2[[#This Row],[Employee Name]],'Base Schedules'!$A$79:$AW$111,24,FALSE)),"")</f>
        <v>PROJECT</v>
      </c>
      <c r="Z17" s="184" t="str">
        <f>IFERROR(IF(VLOOKUP(Sun_W2[[#This Row],[Employee Name]],'Base Schedules'!$A$79:$AW$111,25,FALSE)="","",VLOOKUP(Sun_W2[[#This Row],[Employee Name]],'Base Schedules'!$A$79:$AW$111,25,FALSE)),"")</f>
        <v>PROJECT</v>
      </c>
      <c r="AA17" s="184" t="str">
        <f>IFERROR(IF(VLOOKUP(Sun_W2[[#This Row],[Employee Name]],'Base Schedules'!$A$79:$AW$111,26,FALSE)="","",VLOOKUP(Sun_W2[[#This Row],[Employee Name]],'Base Schedules'!$A$79:$AW$111,26,FALSE)),"")</f>
        <v>ADM</v>
      </c>
      <c r="AB17" s="184" t="str">
        <f>IFERROR(IF(VLOOKUP(Sun_W2[[#This Row],[Employee Name]],'Base Schedules'!$A$79:$AW$111,27,FALSE)="","",VLOOKUP(Sun_W2[[#This Row],[Employee Name]],'Base Schedules'!$A$79:$AW$111,27,FALSE)),"")</f>
        <v>ADM B2</v>
      </c>
      <c r="AC17" s="184" t="str">
        <f>IFERROR(IF(VLOOKUP(Sun_W2[[#This Row],[Employee Name]],'Base Schedules'!$A$79:$AW$111,28,FALSE)="","",VLOOKUP(Sun_W2[[#This Row],[Employee Name]],'Base Schedules'!$A$79:$AW$111,28,FALSE)),"")</f>
        <v>ADM</v>
      </c>
      <c r="AD17" s="184" t="str">
        <f>IFERROR(IF(VLOOKUP(Sun_W2[[#This Row],[Employee Name]],'Base Schedules'!$A$79:$AW$111,29,FALSE)="","",VLOOKUP(Sun_W2[[#This Row],[Employee Name]],'Base Schedules'!$A$79:$AW$111,29,FALSE)),"")</f>
        <v>HL</v>
      </c>
      <c r="AE17" s="184" t="str">
        <f>IFERROR(IF(VLOOKUP(Sun_W2[[#This Row],[Employee Name]],'Base Schedules'!$A$79:$AW$111,30,FALSE)="","",VLOOKUP(Sun_W2[[#This Row],[Employee Name]],'Base Schedules'!$A$79:$AW$111,30,FALSE)),"")</f>
        <v>ADM</v>
      </c>
      <c r="AF17" s="184" t="str">
        <f>IFERROR(IF(VLOOKUP(Sun_W2[[#This Row],[Employee Name]],'Base Schedules'!$A$79:$AW$111,31,FALSE)="","",VLOOKUP(Sun_W2[[#This Row],[Employee Name]],'Base Schedules'!$A$79:$AW$111,31,FALSE)),"")</f>
        <v/>
      </c>
      <c r="AG17" s="184" t="str">
        <f>IFERROR(IF(VLOOKUP(Sun_W2[[#This Row],[Employee Name]],'Base Schedules'!$A$79:$AW$111,32,FALSE)="","",VLOOKUP(Sun_W2[[#This Row],[Employee Name]],'Base Schedules'!$A$79:$AW$111,32,FALSE)),"")</f>
        <v/>
      </c>
      <c r="AH17" s="184" t="str">
        <f>IFERROR(IF(VLOOKUP(Sun_W2[[#This Row],[Employee Name]],'Base Schedules'!$A$79:$AW$111,33,FALSE)="","",VLOOKUP(Sun_W2[[#This Row],[Employee Name]],'Base Schedules'!$A$79:$AW$111,33,FALSE)),"")</f>
        <v/>
      </c>
      <c r="AI17" s="184" t="str">
        <f>IFERROR(IF(VLOOKUP(Sun_W2[[#This Row],[Employee Name]],'Base Schedules'!$A$79:$AW$111,34,FALSE)="","",VLOOKUP(Sun_W2[[#This Row],[Employee Name]],'Base Schedules'!$A$79:$AW$111,34,FALSE)),"")</f>
        <v/>
      </c>
      <c r="AJ17" s="184" t="str">
        <f>IFERROR(IF(VLOOKUP(Sun_W2[[#This Row],[Employee Name]],'Base Schedules'!$A$79:$AW$111,35,FALSE)="","",VLOOKUP(Sun_W2[[#This Row],[Employee Name]],'Base Schedules'!$A$79:$AW$111,35,FALSE)),"")</f>
        <v/>
      </c>
      <c r="AK17" s="184" t="str">
        <f>IFERROR(IF(VLOOKUP(Sun_W2[[#This Row],[Employee Name]],'Base Schedules'!$A$79:$AW$111,36,FALSE)="","",VLOOKUP(Sun_W2[[#This Row],[Employee Name]],'Base Schedules'!$A$79:$AW$111,36,FALSE)),"")</f>
        <v/>
      </c>
      <c r="AL17" s="184" t="str">
        <f>IFERROR(IF(VLOOKUP(Sun_W2[[#This Row],[Employee Name]],'Base Schedules'!$A$79:$AW$111,37,FALSE)="","",VLOOKUP(Sun_W2[[#This Row],[Employee Name]],'Base Schedules'!$A$79:$AW$111,37,FALSE)),"")</f>
        <v/>
      </c>
      <c r="AM17" s="184" t="str">
        <f>IFERROR(IF(VLOOKUP(Sun_W2[[#This Row],[Employee Name]],'Base Schedules'!$A$79:$AW$111,38,FALSE)="","",VLOOKUP(Sun_W2[[#This Row],[Employee Name]],'Base Schedules'!$A$79:$AW$111,38,FALSE)),"")</f>
        <v/>
      </c>
      <c r="AN17" s="184" t="str">
        <f>IFERROR(IF(VLOOKUP(Sun_W2[[#This Row],[Employee Name]],'Base Schedules'!$A$79:$AW$111,39,FALSE)="","",VLOOKUP(Sun_W2[[#This Row],[Employee Name]],'Base Schedules'!$A$79:$AW$111,39,FALSE)),"")</f>
        <v/>
      </c>
      <c r="AO17" s="184" t="str">
        <f>IFERROR(IF(VLOOKUP(Sun_W2[[#This Row],[Employee Name]],'Base Schedules'!$A$79:$AW$111,40,FALSE)="","",VLOOKUP(Sun_W2[[#This Row],[Employee Name]],'Base Schedules'!$A$79:$AW$111,40,FALSE)),"")</f>
        <v/>
      </c>
      <c r="AP17" s="184" t="str">
        <f>IFERROR(IF(VLOOKUP(Sun_W2[[#This Row],[Employee Name]],'Base Schedules'!$A$79:$AW$111,41,FALSE)="","",VLOOKUP(Sun_W2[[#This Row],[Employee Name]],'Base Schedules'!$A$79:$AW$111,41,FALSE)),"")</f>
        <v/>
      </c>
      <c r="AQ17" s="184" t="str">
        <f>IFERROR(IF(VLOOKUP(Sun_W2[[#This Row],[Employee Name]],'Base Schedules'!$A$79:$AW$111,42,FALSE)="","",VLOOKUP(Sun_W2[[#This Row],[Employee Name]],'Base Schedules'!$A$79:$AW$111,42,FALSE)),"")</f>
        <v/>
      </c>
      <c r="AR17" s="184" t="str">
        <f>IFERROR(IF(VLOOKUP(Sun_W2[[#This Row],[Employee Name]],'Base Schedules'!$A$79:$AW$111,43,FALSE)="","",VLOOKUP(Sun_W2[[#This Row],[Employee Name]],'Base Schedules'!$A$79:$AW$111,43,FALSE)),"")</f>
        <v/>
      </c>
      <c r="AS17" s="184" t="str">
        <f>IFERROR(IF(VLOOKUP(Sun_W2[[#This Row],[Employee Name]],'Base Schedules'!$A$79:$AW$111,44,FALSE)="","",VLOOKUP(Sun_W2[[#This Row],[Employee Name]],'Base Schedules'!$A$79:$AW$111,44,FALSE)),"")</f>
        <v/>
      </c>
      <c r="AT17" s="184" t="str">
        <f>IFERROR(IF(VLOOKUP(Sun_W2[[#This Row],[Employee Name]],'Base Schedules'!$A$79:$AW$111,45,FALSE)="","",VLOOKUP(Sun_W2[[#This Row],[Employee Name]],'Base Schedules'!$A$79:$AW$111,45,FALSE)),"")</f>
        <v/>
      </c>
      <c r="AU17" s="184" t="str">
        <f>IFERROR(IF(VLOOKUP(Sun_W2[[#This Row],[Employee Name]],'Base Schedules'!$A$79:$AW$111,46,FALSE)="","",VLOOKUP(Sun_W2[[#This Row],[Employee Name]],'Base Schedules'!$A$79:$AW$111,46,FALSE)),"")</f>
        <v/>
      </c>
      <c r="AV17" s="184" t="str">
        <f>IFERROR(IF(VLOOKUP(Sun_W2[[#This Row],[Employee Name]],'Base Schedules'!$A$79:$AW$111,47,FALSE)="","",VLOOKUP(Sun_W2[[#This Row],[Employee Name]],'Base Schedules'!$A$79:$AW$111,47,FALSE)),"")</f>
        <v/>
      </c>
      <c r="AW17" s="184" t="str">
        <f>IFERROR(IF(VLOOKUP(Sun_W2[[#This Row],[Employee Name]],'Base Schedules'!$A$79:$AW$111,48,FALSE)="","",VLOOKUP(Sun_W2[[#This Row],[Employee Name]],'Base Schedules'!$A$79:$AW$111,48,FALSE)),"")</f>
        <v/>
      </c>
      <c r="AX17" s="184" t="str">
        <f>IFERROR(IF(VLOOKUP(Sun_W2[[#This Row],[Employee Name]],'Base Schedules'!$A$79:$AW$111,49,FALSE)="","",VLOOKUP(Sun_W2[[#This Row],[Employee Name]],'Base Schedules'!$A$79:$AW$111,49,FALSE)),"")</f>
        <v/>
      </c>
      <c r="AY17" s="159" t="str">
        <f t="shared" si="2"/>
        <v>Fine, Melissa</v>
      </c>
      <c r="AZ17" s="184" t="str">
        <f>IFERROR(IF(VLOOKUP(Sun_W1[[#This Row],[Employee Name]],'Base Schedules'!$A$79:$AW$111,48,FALSE)="","",VLOOKUP(Sun_W1[[#This Row],[Employee Name]],'Base Schedules'!$A$79:$AW$111,48,FALSE)),"")</f>
        <v/>
      </c>
      <c r="BA17" s="184" t="str">
        <f>IFERROR(IF(VLOOKUP(Sun_W1[[#This Row],[Employee Name]],'Base Schedules'!$A$79:$AW$111,49,FALSE)="","",VLOOKUP(Sun_W1[[#This Row],[Employee Name]],'Base Schedules'!$A$79:$AW$111,49,FALSE)),"")</f>
        <v/>
      </c>
    </row>
    <row r="18" spans="1:53" s="44" customFormat="1" ht="12" customHeight="1" x14ac:dyDescent="0.2">
      <c r="A18" s="39" t="str">
        <f>IF(B18="","",INDEX(TeamList[],MATCH($B18,TeamList[[Employee Name]:[Employee Name]],0),MATCH("Manager",TeamList[#Headers],0)))</f>
        <v>Olson, Katherine</v>
      </c>
      <c r="B18" s="201" t="s">
        <v>41</v>
      </c>
      <c r="C18" s="257" t="str">
        <f>_xlfn.IFNA(VLOOKUP(Sun_W2[[#This Row],[Employee Name]],'Base Schedules'!A:B,2,FALSE),"")</f>
        <v>Lead</v>
      </c>
      <c r="D18" s="274">
        <f>_xlfn.IFNA(VLOOKUP(Sun_W2[[#This Row],[Employee Name]],'Base Schedules'!A:C,3,FALSE),"")</f>
        <v>800</v>
      </c>
      <c r="E18" s="354">
        <f>_xlfn.IFNA(VLOOKUP(Sun_W2[[#This Row],[Employee Name]],'Base Schedules'!A:D,4,FALSE),"")</f>
        <v>1630</v>
      </c>
      <c r="F18" s="358">
        <f>IF(Sun_W2[[#This Row],[Employee Name]]="","",IF(Sun_W2[[#This Row],[Dept]]="Supervisor",COUNTIFS($J18:$AX18,"*HL*",$J18:$AX18,"&lt;&gt;"&amp;"pHL"),COUNTIFS($J18:$AX18,"*HL*",$J18:$AX18,"&lt;&gt;"&amp;"*pHL*",$J18:$AX18,"&lt;&gt;"&amp;"pB1 HL",$J18:$AX18,"&lt;&gt;"&amp;"pB2 HL")-SUM(COUNTIFS($J18:$AX18,"*HL B1*",$J18:$AX18,"&lt;&gt;"&amp;"pHL B1")*0.5,COUNTIFS($J18:$AX18,"*HL B2*",$J18:$AX18,"&lt;&gt;"&amp;"pHL B2")*0.5,COUNTIFS($J18:$AX18,"*B1 HL*",$J18:$AX18,"&lt;&gt;"&amp;"pB1 HL")*0.5,COUNTIFS($J18:$AX18,"*B2 HL*",$J18:$AX18,"&lt;&gt;"&amp;"pB2 HL")*0.5)))</f>
        <v>8.5</v>
      </c>
      <c r="G18" s="142">
        <f t="shared" si="0"/>
        <v>0</v>
      </c>
      <c r="H18" s="142">
        <f t="shared" si="1"/>
        <v>5</v>
      </c>
      <c r="I18" s="142">
        <f>IF(Sun_W2[[#This Row],[Employee Name]]="","",IF(Sun_W2[[#This Row],[Dept]]="Supervisor",SUM(COUNTIFS($J18:$AX18,"RTA*",$J18:$AX18,"&lt;&gt;"&amp;"pRTA"),COUNTIFS($J18:$AX18,"*CRTA*",$J18:$AX18,"&lt;&gt;"&amp;"pCRTA")),COUNTIFS($J18:$AX18,"*RNNR*",$J18:$AX18,"&lt;&gt;"&amp;"*pRNNR*",$J18:$AX18,"&lt;&gt;"&amp;"pB1 RNNR",$J18:$AX18,"&lt;&gt;"&amp;"pB2 RNNR")-SUM(COUNTIFS($J18:$AX18,"*RNNR B1*",$J18:$AX18,"&lt;&gt;"&amp;"pRNNR B1")*0.5,COUNTIFS($J18:$AX18,"*RNNR B2*",$J18:$AX18,"&lt;&gt;"&amp;"pRNNR B2")*0.5,COUNTIFS($J18:$AX18,"*B1 RNNR*",$J18:$AX18,"&lt;&gt;"&amp;"pB1 RNNR")*0.5,COUNTIFS($J18:$AX18,"*B2 RNNR*",$J18:$AX18,"&lt;&gt;"&amp;"pB2 RNNR")*0.5)))</f>
        <v>0</v>
      </c>
      <c r="J18" s="184" t="str">
        <f>IFERROR(IF(VLOOKUP(Sun_W2[[#This Row],[Employee Name]],'Base Schedules'!$A$79:$AW$111,9,FALSE)="","",VLOOKUP(Sun_W2[[#This Row],[Employee Name]],'Base Schedules'!$A$79:$AW$111,9,FALSE)),"")</f>
        <v/>
      </c>
      <c r="K18" s="184" t="str">
        <f>IFERROR(IF(VLOOKUP(Sun_W2[[#This Row],[Employee Name]],'Base Schedules'!$A$79:$AW$111,10,FALSE)="","",VLOOKUP(Sun_W2[[#This Row],[Employee Name]],'Base Schedules'!$A$79:$AW$111,10,FALSE)),"")</f>
        <v/>
      </c>
      <c r="L18" s="184" t="str">
        <f>IFERROR(IF(VLOOKUP(Sun_W2[[#This Row],[Employee Name]],'Base Schedules'!$A$79:$AW$111,11,FALSE)="","",VLOOKUP(Sun_W2[[#This Row],[Employee Name]],'Base Schedules'!$A$79:$AW$111,11,FALSE)),"")</f>
        <v/>
      </c>
      <c r="M18" s="184" t="str">
        <f>IFERROR(IF(VLOOKUP(Sun_W2[[#This Row],[Employee Name]],'Base Schedules'!$A$79:$AW$111,12,FALSE)="","",VLOOKUP(Sun_W2[[#This Row],[Employee Name]],'Base Schedules'!$A$79:$AW$111,12,FALSE)),"")</f>
        <v/>
      </c>
      <c r="N18" s="184" t="str">
        <f>IFERROR(IF(VLOOKUP(Sun_W2[[#This Row],[Employee Name]],'Base Schedules'!$A$79:$AW$111,13,FALSE)="","",VLOOKUP(Sun_W2[[#This Row],[Employee Name]],'Base Schedules'!$A$79:$AW$111,13,FALSE)),"")</f>
        <v/>
      </c>
      <c r="O18" s="184" t="str">
        <f>IFERROR(IF(VLOOKUP(Sun_W2[[#This Row],[Employee Name]],'Base Schedules'!$A$79:$AW$111,14,FALSE)="","",VLOOKUP(Sun_W2[[#This Row],[Employee Name]],'Base Schedules'!$A$79:$AW$111,14,FALSE)),"")</f>
        <v/>
      </c>
      <c r="P18" s="184" t="str">
        <f>IFERROR(IF(VLOOKUP(Sun_W2[[#This Row],[Employee Name]],'Base Schedules'!$A$79:$AW$111,15,FALSE)="","",VLOOKUP(Sun_W2[[#This Row],[Employee Name]],'Base Schedules'!$A$79:$AW$111,15,FALSE)),"")</f>
        <v>HL</v>
      </c>
      <c r="Q18" s="184" t="str">
        <f>IFERROR(IF(VLOOKUP(Sun_W2[[#This Row],[Employee Name]],'Base Schedules'!$A$79:$AW$111,16,FALSE)="","",VLOOKUP(Sun_W2[[#This Row],[Employee Name]],'Base Schedules'!$A$79:$AW$111,16,FALSE)),"")</f>
        <v>HL</v>
      </c>
      <c r="R18" s="184" t="str">
        <f>IFERROR(IF(VLOOKUP(Sun_W2[[#This Row],[Employee Name]],'Base Schedules'!$A$79:$AW$111,17,FALSE)="","",VLOOKUP(Sun_W2[[#This Row],[Employee Name]],'Base Schedules'!$A$79:$AW$111,17,FALSE)),"")</f>
        <v>ADM</v>
      </c>
      <c r="S18" s="184" t="str">
        <f>IFERROR(IF(VLOOKUP(Sun_W2[[#This Row],[Employee Name]],'Base Schedules'!$A$79:$AW$111,18,FALSE)="","",VLOOKUP(Sun_W2[[#This Row],[Employee Name]],'Base Schedules'!$A$79:$AW$111,18,FALSE)),"")</f>
        <v>ADM</v>
      </c>
      <c r="T18" s="184" t="str">
        <f>IFERROR(IF(VLOOKUP(Sun_W2[[#This Row],[Employee Name]],'Base Schedules'!$A$79:$AW$111,19,FALSE)="","",VLOOKUP(Sun_W2[[#This Row],[Employee Name]],'Base Schedules'!$A$79:$AW$111,19,FALSE)),"")</f>
        <v>B1 HL</v>
      </c>
      <c r="U18" s="184" t="str">
        <f>IFERROR(IF(VLOOKUP(Sun_W2[[#This Row],[Employee Name]],'Base Schedules'!$A$79:$AW$111,20,FALSE)="","",VLOOKUP(Sun_W2[[#This Row],[Employee Name]],'Base Schedules'!$A$79:$AW$111,20,FALSE)),"")</f>
        <v>HL</v>
      </c>
      <c r="V18" s="184" t="str">
        <f>IFERROR(IF(VLOOKUP(Sun_W2[[#This Row],[Employee Name]],'Base Schedules'!$A$79:$AW$111,21,FALSE)="","",VLOOKUP(Sun_W2[[#This Row],[Employee Name]],'Base Schedules'!$A$79:$AW$111,21,FALSE)),"")</f>
        <v>HL</v>
      </c>
      <c r="W18" s="184" t="str">
        <f>IFERROR(IF(VLOOKUP(Sun_W2[[#This Row],[Employee Name]],'Base Schedules'!$A$79:$AW$111,22,FALSE)="","",VLOOKUP(Sun_W2[[#This Row],[Employee Name]],'Base Schedules'!$A$79:$AW$111,22,FALSE)),"")</f>
        <v>PROJECT</v>
      </c>
      <c r="X18" s="184" t="str">
        <f>IFERROR(IF(VLOOKUP(Sun_W2[[#This Row],[Employee Name]],'Base Schedules'!$A$79:$AW$111,23,FALSE)="","",VLOOKUP(Sun_W2[[#This Row],[Employee Name]],'Base Schedules'!$A$79:$AW$111,23,FALSE)),"")</f>
        <v>PROJECT</v>
      </c>
      <c r="Y18" s="184" t="str">
        <f>IFERROR(IF(VLOOKUP(Sun_W2[[#This Row],[Employee Name]],'Base Schedules'!$A$79:$AW$111,24,FALSE)="","",VLOOKUP(Sun_W2[[#This Row],[Employee Name]],'Base Schedules'!$A$79:$AW$111,24,FALSE)),"")</f>
        <v>LUNCH</v>
      </c>
      <c r="Z18" s="184" t="str">
        <f>IFERROR(IF(VLOOKUP(Sun_W2[[#This Row],[Employee Name]],'Base Schedules'!$A$79:$AW$111,25,FALSE)="","",VLOOKUP(Sun_W2[[#This Row],[Employee Name]],'Base Schedules'!$A$79:$AW$111,25,FALSE)),"")</f>
        <v>HL</v>
      </c>
      <c r="AA18" s="184" t="str">
        <f>IFERROR(IF(VLOOKUP(Sun_W2[[#This Row],[Employee Name]],'Base Schedules'!$A$79:$AW$111,26,FALSE)="","",VLOOKUP(Sun_W2[[#This Row],[Employee Name]],'Base Schedules'!$A$79:$AW$111,26,FALSE)),"")</f>
        <v>HL</v>
      </c>
      <c r="AB18" s="184" t="str">
        <f>IFERROR(IF(VLOOKUP(Sun_W2[[#This Row],[Employee Name]],'Base Schedules'!$A$79:$AW$111,27,FALSE)="","",VLOOKUP(Sun_W2[[#This Row],[Employee Name]],'Base Schedules'!$A$79:$AW$111,27,FALSE)),"")</f>
        <v>HL</v>
      </c>
      <c r="AC18" s="184" t="str">
        <f>IFERROR(IF(VLOOKUP(Sun_W2[[#This Row],[Employee Name]],'Base Schedules'!$A$79:$AW$111,28,FALSE)="","",VLOOKUP(Sun_W2[[#This Row],[Employee Name]],'Base Schedules'!$A$79:$AW$111,28,FALSE)),"")</f>
        <v>B2 ADM</v>
      </c>
      <c r="AD18" s="184" t="str">
        <f>IFERROR(IF(VLOOKUP(Sun_W2[[#This Row],[Employee Name]],'Base Schedules'!$A$79:$AW$111,29,FALSE)="","",VLOOKUP(Sun_W2[[#This Row],[Employee Name]],'Base Schedules'!$A$79:$AW$111,29,FALSE)),"")</f>
        <v>ADM</v>
      </c>
      <c r="AE18" s="184" t="str">
        <f>IFERROR(IF(VLOOKUP(Sun_W2[[#This Row],[Employee Name]],'Base Schedules'!$A$79:$AW$111,30,FALSE)="","",VLOOKUP(Sun_W2[[#This Row],[Employee Name]],'Base Schedules'!$A$79:$AW$111,30,FALSE)),"")</f>
        <v>ADM</v>
      </c>
      <c r="AF18" s="184" t="str">
        <f>IFERROR(IF(VLOOKUP(Sun_W2[[#This Row],[Employee Name]],'Base Schedules'!$A$79:$AW$111,31,FALSE)="","",VLOOKUP(Sun_W2[[#This Row],[Employee Name]],'Base Schedules'!$A$79:$AW$111,31,FALSE)),"")</f>
        <v>HL</v>
      </c>
      <c r="AG18" s="184" t="str">
        <f>IFERROR(IF(VLOOKUP(Sun_W2[[#This Row],[Employee Name]],'Base Schedules'!$A$79:$AW$111,32,FALSE)="","",VLOOKUP(Sun_W2[[#This Row],[Employee Name]],'Base Schedules'!$A$79:$AW$111,32,FALSE)),"")</f>
        <v/>
      </c>
      <c r="AH18" s="184" t="str">
        <f>IFERROR(IF(VLOOKUP(Sun_W2[[#This Row],[Employee Name]],'Base Schedules'!$A$79:$AW$111,33,FALSE)="","",VLOOKUP(Sun_W2[[#This Row],[Employee Name]],'Base Schedules'!$A$79:$AW$111,33,FALSE)),"")</f>
        <v/>
      </c>
      <c r="AI18" s="184" t="str">
        <f>IFERROR(IF(VLOOKUP(Sun_W2[[#This Row],[Employee Name]],'Base Schedules'!$A$79:$AW$111,34,FALSE)="","",VLOOKUP(Sun_W2[[#This Row],[Employee Name]],'Base Schedules'!$A$79:$AW$111,34,FALSE)),"")</f>
        <v/>
      </c>
      <c r="AJ18" s="184" t="str">
        <f>IFERROR(IF(VLOOKUP(Sun_W2[[#This Row],[Employee Name]],'Base Schedules'!$A$79:$AW$111,35,FALSE)="","",VLOOKUP(Sun_W2[[#This Row],[Employee Name]],'Base Schedules'!$A$79:$AW$111,35,FALSE)),"")</f>
        <v/>
      </c>
      <c r="AK18" s="184" t="str">
        <f>IFERROR(IF(VLOOKUP(Sun_W2[[#This Row],[Employee Name]],'Base Schedules'!$A$79:$AW$111,36,FALSE)="","",VLOOKUP(Sun_W2[[#This Row],[Employee Name]],'Base Schedules'!$A$79:$AW$111,36,FALSE)),"")</f>
        <v/>
      </c>
      <c r="AL18" s="184" t="str">
        <f>IFERROR(IF(VLOOKUP(Sun_W2[[#This Row],[Employee Name]],'Base Schedules'!$A$79:$AW$111,37,FALSE)="","",VLOOKUP(Sun_W2[[#This Row],[Employee Name]],'Base Schedules'!$A$79:$AW$111,37,FALSE)),"")</f>
        <v/>
      </c>
      <c r="AM18" s="184" t="str">
        <f>IFERROR(IF(VLOOKUP(Sun_W2[[#This Row],[Employee Name]],'Base Schedules'!$A$79:$AW$111,38,FALSE)="","",VLOOKUP(Sun_W2[[#This Row],[Employee Name]],'Base Schedules'!$A$79:$AW$111,38,FALSE)),"")</f>
        <v/>
      </c>
      <c r="AN18" s="184" t="str">
        <f>IFERROR(IF(VLOOKUP(Sun_W2[[#This Row],[Employee Name]],'Base Schedules'!$A$79:$AW$111,39,FALSE)="","",VLOOKUP(Sun_W2[[#This Row],[Employee Name]],'Base Schedules'!$A$79:$AW$111,39,FALSE)),"")</f>
        <v/>
      </c>
      <c r="AO18" s="184" t="str">
        <f>IFERROR(IF(VLOOKUP(Sun_W2[[#This Row],[Employee Name]],'Base Schedules'!$A$79:$AW$111,40,FALSE)="","",VLOOKUP(Sun_W2[[#This Row],[Employee Name]],'Base Schedules'!$A$79:$AW$111,40,FALSE)),"")</f>
        <v/>
      </c>
      <c r="AP18" s="184" t="str">
        <f>IFERROR(IF(VLOOKUP(Sun_W2[[#This Row],[Employee Name]],'Base Schedules'!$A$79:$AW$111,41,FALSE)="","",VLOOKUP(Sun_W2[[#This Row],[Employee Name]],'Base Schedules'!$A$79:$AW$111,41,FALSE)),"")</f>
        <v/>
      </c>
      <c r="AQ18" s="184" t="str">
        <f>IFERROR(IF(VLOOKUP(Sun_W2[[#This Row],[Employee Name]],'Base Schedules'!$A$79:$AW$111,42,FALSE)="","",VLOOKUP(Sun_W2[[#This Row],[Employee Name]],'Base Schedules'!$A$79:$AW$111,42,FALSE)),"")</f>
        <v/>
      </c>
      <c r="AR18" s="184" t="str">
        <f>IFERROR(IF(VLOOKUP(Sun_W2[[#This Row],[Employee Name]],'Base Schedules'!$A$79:$AW$111,43,FALSE)="","",VLOOKUP(Sun_W2[[#This Row],[Employee Name]],'Base Schedules'!$A$79:$AW$111,43,FALSE)),"")</f>
        <v/>
      </c>
      <c r="AS18" s="184" t="str">
        <f>IFERROR(IF(VLOOKUP(Sun_W2[[#This Row],[Employee Name]],'Base Schedules'!$A$79:$AW$111,44,FALSE)="","",VLOOKUP(Sun_W2[[#This Row],[Employee Name]],'Base Schedules'!$A$79:$AW$111,44,FALSE)),"")</f>
        <v/>
      </c>
      <c r="AT18" s="184" t="str">
        <f>IFERROR(IF(VLOOKUP(Sun_W2[[#This Row],[Employee Name]],'Base Schedules'!$A$79:$AW$111,45,FALSE)="","",VLOOKUP(Sun_W2[[#This Row],[Employee Name]],'Base Schedules'!$A$79:$AW$111,45,FALSE)),"")</f>
        <v/>
      </c>
      <c r="AU18" s="184" t="str">
        <f>IFERROR(IF(VLOOKUP(Sun_W2[[#This Row],[Employee Name]],'Base Schedules'!$A$79:$AW$111,46,FALSE)="","",VLOOKUP(Sun_W2[[#This Row],[Employee Name]],'Base Schedules'!$A$79:$AW$111,46,FALSE)),"")</f>
        <v/>
      </c>
      <c r="AV18" s="184" t="str">
        <f>IFERROR(IF(VLOOKUP(Sun_W2[[#This Row],[Employee Name]],'Base Schedules'!$A$79:$AW$111,47,FALSE)="","",VLOOKUP(Sun_W2[[#This Row],[Employee Name]],'Base Schedules'!$A$79:$AW$111,47,FALSE)),"")</f>
        <v/>
      </c>
      <c r="AW18" s="184" t="str">
        <f>IFERROR(IF(VLOOKUP(Sun_W2[[#This Row],[Employee Name]],'Base Schedules'!$A$79:$AW$111,48,FALSE)="","",VLOOKUP(Sun_W2[[#This Row],[Employee Name]],'Base Schedules'!$A$79:$AW$111,48,FALSE)),"")</f>
        <v/>
      </c>
      <c r="AX18" s="184" t="str">
        <f>IFERROR(IF(VLOOKUP(Sun_W2[[#This Row],[Employee Name]],'Base Schedules'!$A$79:$AW$111,49,FALSE)="","",VLOOKUP(Sun_W2[[#This Row],[Employee Name]],'Base Schedules'!$A$79:$AW$111,49,FALSE)),"")</f>
        <v/>
      </c>
      <c r="AY18" s="159" t="str">
        <f t="shared" si="2"/>
        <v>Harley, Timothy</v>
      </c>
      <c r="AZ18" s="184" t="str">
        <f>IFERROR(IF(VLOOKUP(Sun_W1[[#This Row],[Employee Name]],'Base Schedules'!$A$79:$AW$111,48,FALSE)="","",VLOOKUP(Sun_W1[[#This Row],[Employee Name]],'Base Schedules'!$A$79:$AW$111,48,FALSE)),"")</f>
        <v/>
      </c>
      <c r="BA18" s="184" t="str">
        <f>IFERROR(IF(VLOOKUP(Sun_W1[[#This Row],[Employee Name]],'Base Schedules'!$A$79:$AW$111,49,FALSE)="","",VLOOKUP(Sun_W1[[#This Row],[Employee Name]],'Base Schedules'!$A$79:$AW$111,49,FALSE)),"")</f>
        <v/>
      </c>
    </row>
    <row r="19" spans="1:53" s="44" customFormat="1" ht="12" customHeight="1" x14ac:dyDescent="0.2">
      <c r="A19" s="39" t="str">
        <f>IF(B19="","",INDEX(TeamList[],MATCH($B19,TeamList[[Employee Name]:[Employee Name]],0),MATCH("Manager",TeamList[#Headers],0)))</f>
        <v>Ahmed Hassan, Zahra</v>
      </c>
      <c r="B19" s="201" t="s">
        <v>70</v>
      </c>
      <c r="C19" s="257" t="str">
        <f>_xlfn.IFNA(VLOOKUP(Sun_W2[[#This Row],[Employee Name]],'Base Schedules'!A:B,2,FALSE),"")</f>
        <v>Supervisor</v>
      </c>
      <c r="D19" s="274">
        <f>_xlfn.IFNA(VLOOKUP(Sun_W2[[#This Row],[Employee Name]],'Base Schedules'!A:C,3,FALSE),"")</f>
        <v>800</v>
      </c>
      <c r="E19" s="354">
        <f>_xlfn.IFNA(VLOOKUP(Sun_W2[[#This Row],[Employee Name]],'Base Schedules'!A:D,4,FALSE),"")</f>
        <v>1700</v>
      </c>
      <c r="F19" s="358">
        <f>IF(Sun_W2[[#This Row],[Employee Name]]="","",IF(Sun_W2[[#This Row],[Dept]]="Supervisor",COUNTIFS($J19:$AX19,"*HL*",$J19:$AX19,"&lt;&gt;"&amp;"pHL"),COUNTIFS($J19:$AX19,"*HL*",$J19:$AX19,"&lt;&gt;"&amp;"*pHL*",$J19:$AX19,"&lt;&gt;"&amp;"pB1 HL",$J19:$AX19,"&lt;&gt;"&amp;"pB2 HL")-SUM(COUNTIFS($J19:$AX19,"*HL B1*",$J19:$AX19,"&lt;&gt;"&amp;"pHL B1")*0.5,COUNTIFS($J19:$AX19,"*HL B2*",$J19:$AX19,"&lt;&gt;"&amp;"pHL B2")*0.5,COUNTIFS($J19:$AX19,"*B1 HL*",$J19:$AX19,"&lt;&gt;"&amp;"pB1 HL")*0.5,COUNTIFS($J19:$AX19,"*B2 HL*",$J19:$AX19,"&lt;&gt;"&amp;"pB2 HL")*0.5)))</f>
        <v>0</v>
      </c>
      <c r="G19" s="142">
        <f t="shared" si="0"/>
        <v>4</v>
      </c>
      <c r="H19" s="142">
        <f t="shared" si="1"/>
        <v>0</v>
      </c>
      <c r="I19" s="142">
        <f>IF(Sun_W2[[#This Row],[Employee Name]]="","",IF(Sun_W2[[#This Row],[Dept]]="Supervisor",SUM(COUNTIFS($J19:$AX19,"RTA*",$J19:$AX19,"&lt;&gt;"&amp;"pRTA"),COUNTIFS($J19:$AX19,"*CRTA*",$J19:$AX19,"&lt;&gt;"&amp;"pCRTA")),COUNTIFS($J19:$AX19,"*RNNR*",$J19:$AX19,"&lt;&gt;"&amp;"*pRNNR*",$J19:$AX19,"&lt;&gt;"&amp;"pB1 RNNR",$J19:$AX19,"&lt;&gt;"&amp;"pB2 RNNR")-SUM(COUNTIFS($J19:$AX19,"*RNNR B1*",$J19:$AX19,"&lt;&gt;"&amp;"pRNNR B1")*0.5,COUNTIFS($J19:$AX19,"*RNNR B2*",$J19:$AX19,"&lt;&gt;"&amp;"pRNNR B2")*0.5,COUNTIFS($J19:$AX19,"*B1 RNNR*",$J19:$AX19,"&lt;&gt;"&amp;"pB1 RNNR")*0.5,COUNTIFS($J19:$AX19,"*B2 RNNR*",$J19:$AX19,"&lt;&gt;"&amp;"pB2 RNNR")*0.5)))</f>
        <v>0</v>
      </c>
      <c r="J19" s="184" t="str">
        <f>IFERROR(IF(VLOOKUP(Sun_W2[[#This Row],[Employee Name]],'Base Schedules'!$A$79:$AW$111,9,FALSE)="","",VLOOKUP(Sun_W2[[#This Row],[Employee Name]],'Base Schedules'!$A$79:$AW$111,9,FALSE)),"")</f>
        <v/>
      </c>
      <c r="K19" s="184" t="str">
        <f>IFERROR(IF(VLOOKUP(Sun_W2[[#This Row],[Employee Name]],'Base Schedules'!$A$79:$AW$111,10,FALSE)="","",VLOOKUP(Sun_W2[[#This Row],[Employee Name]],'Base Schedules'!$A$79:$AW$111,10,FALSE)),"")</f>
        <v/>
      </c>
      <c r="L19" s="184" t="str">
        <f>IFERROR(IF(VLOOKUP(Sun_W2[[#This Row],[Employee Name]],'Base Schedules'!$A$79:$AW$111,11,FALSE)="","",VLOOKUP(Sun_W2[[#This Row],[Employee Name]],'Base Schedules'!$A$79:$AW$111,11,FALSE)),"")</f>
        <v/>
      </c>
      <c r="M19" s="184" t="str">
        <f>IFERROR(IF(VLOOKUP(Sun_W2[[#This Row],[Employee Name]],'Base Schedules'!$A$79:$AW$111,12,FALSE)="","",VLOOKUP(Sun_W2[[#This Row],[Employee Name]],'Base Schedules'!$A$79:$AW$111,12,FALSE)),"")</f>
        <v/>
      </c>
      <c r="N19" s="184" t="str">
        <f>IFERROR(IF(VLOOKUP(Sun_W2[[#This Row],[Employee Name]],'Base Schedules'!$A$79:$AW$111,13,FALSE)="","",VLOOKUP(Sun_W2[[#This Row],[Employee Name]],'Base Schedules'!$A$79:$AW$111,13,FALSE)),"")</f>
        <v/>
      </c>
      <c r="O19" s="184" t="str">
        <f>IFERROR(IF(VLOOKUP(Sun_W2[[#This Row],[Employee Name]],'Base Schedules'!$A$79:$AW$111,14,FALSE)="","",VLOOKUP(Sun_W2[[#This Row],[Employee Name]],'Base Schedules'!$A$79:$AW$111,14,FALSE)),"")</f>
        <v/>
      </c>
      <c r="P19" s="184" t="str">
        <f>IFERROR(IF(VLOOKUP(Sun_W2[[#This Row],[Employee Name]],'Base Schedules'!$A$79:$AW$111,15,FALSE)="","",VLOOKUP(Sun_W2[[#This Row],[Employee Name]],'Base Schedules'!$A$79:$AW$111,15,FALSE)),"")</f>
        <v>-</v>
      </c>
      <c r="Q19" s="184" t="str">
        <f>IFERROR(IF(VLOOKUP(Sun_W2[[#This Row],[Employee Name]],'Base Schedules'!$A$79:$AW$111,16,FALSE)="","",VLOOKUP(Sun_W2[[#This Row],[Employee Name]],'Base Schedules'!$A$79:$AW$111,16,FALSE)),"")</f>
        <v>-</v>
      </c>
      <c r="R19" s="184" t="str">
        <f>IFERROR(IF(VLOOKUP(Sun_W2[[#This Row],[Employee Name]],'Base Schedules'!$A$79:$AW$111,17,FALSE)="","",VLOOKUP(Sun_W2[[#This Row],[Employee Name]],'Base Schedules'!$A$79:$AW$111,17,FALSE)),"")</f>
        <v>-</v>
      </c>
      <c r="S19" s="184" t="str">
        <f>IFERROR(IF(VLOOKUP(Sun_W2[[#This Row],[Employee Name]],'Base Schedules'!$A$79:$AW$111,18,FALSE)="","",VLOOKUP(Sun_W2[[#This Row],[Employee Name]],'Base Schedules'!$A$79:$AW$111,18,FALSE)),"")</f>
        <v>Coaching</v>
      </c>
      <c r="T19" s="184" t="str">
        <f>IFERROR(IF(VLOOKUP(Sun_W2[[#This Row],[Employee Name]],'Base Schedules'!$A$79:$AW$111,19,FALSE)="","",VLOOKUP(Sun_W2[[#This Row],[Employee Name]],'Base Schedules'!$A$79:$AW$111,19,FALSE)),"")</f>
        <v>Coaching</v>
      </c>
      <c r="U19" s="184" t="str">
        <f>IFERROR(IF(VLOOKUP(Sun_W2[[#This Row],[Employee Name]],'Base Schedules'!$A$79:$AW$111,20,FALSE)="","",VLOOKUP(Sun_W2[[#This Row],[Employee Name]],'Base Schedules'!$A$79:$AW$111,20,FALSE)),"")</f>
        <v>Coaching</v>
      </c>
      <c r="V19" s="184" t="str">
        <f>IFERROR(IF(VLOOKUP(Sun_W2[[#This Row],[Employee Name]],'Base Schedules'!$A$79:$AW$111,21,FALSE)="","",VLOOKUP(Sun_W2[[#This Row],[Employee Name]],'Base Schedules'!$A$79:$AW$111,21,FALSE)),"")</f>
        <v>Coaching</v>
      </c>
      <c r="W19" s="184" t="str">
        <f>IFERROR(IF(VLOOKUP(Sun_W2[[#This Row],[Employee Name]],'Base Schedules'!$A$79:$AW$111,22,FALSE)="","",VLOOKUP(Sun_W2[[#This Row],[Employee Name]],'Base Schedules'!$A$79:$AW$111,22,FALSE)),"")</f>
        <v>-</v>
      </c>
      <c r="X19" s="184" t="str">
        <f>IFERROR(IF(VLOOKUP(Sun_W2[[#This Row],[Employee Name]],'Base Schedules'!$A$79:$AW$111,23,FALSE)="","",VLOOKUP(Sun_W2[[#This Row],[Employee Name]],'Base Schedules'!$A$79:$AW$111,23,FALSE)),"")</f>
        <v>-</v>
      </c>
      <c r="Y19" s="184" t="str">
        <f>IFERROR(IF(VLOOKUP(Sun_W2[[#This Row],[Employee Name]],'Base Schedules'!$A$79:$AW$111,24,FALSE)="","",VLOOKUP(Sun_W2[[#This Row],[Employee Name]],'Base Schedules'!$A$79:$AW$111,24,FALSE)),"")</f>
        <v>-</v>
      </c>
      <c r="Z19" s="184" t="str">
        <f>IFERROR(IF(VLOOKUP(Sun_W2[[#This Row],[Employee Name]],'Base Schedules'!$A$79:$AW$111,25,FALSE)="","",VLOOKUP(Sun_W2[[#This Row],[Employee Name]],'Base Schedules'!$A$79:$AW$111,25,FALSE)),"")</f>
        <v>-</v>
      </c>
      <c r="AA19" s="184" t="str">
        <f>IFERROR(IF(VLOOKUP(Sun_W2[[#This Row],[Employee Name]],'Base Schedules'!$A$79:$AW$111,26,FALSE)="","",VLOOKUP(Sun_W2[[#This Row],[Employee Name]],'Base Schedules'!$A$79:$AW$111,26,FALSE)),"")</f>
        <v>-</v>
      </c>
      <c r="AB19" s="184" t="str">
        <f>IFERROR(IF(VLOOKUP(Sun_W2[[#This Row],[Employee Name]],'Base Schedules'!$A$79:$AW$111,27,FALSE)="","",VLOOKUP(Sun_W2[[#This Row],[Employee Name]],'Base Schedules'!$A$79:$AW$111,27,FALSE)),"")</f>
        <v>-</v>
      </c>
      <c r="AC19" s="184" t="str">
        <f>IFERROR(IF(VLOOKUP(Sun_W2[[#This Row],[Employee Name]],'Base Schedules'!$A$79:$AW$111,28,FALSE)="","",VLOOKUP(Sun_W2[[#This Row],[Employee Name]],'Base Schedules'!$A$79:$AW$111,28,FALSE)),"")</f>
        <v>-</v>
      </c>
      <c r="AD19" s="184" t="str">
        <f>IFERROR(IF(VLOOKUP(Sun_W2[[#This Row],[Employee Name]],'Base Schedules'!$A$79:$AW$111,29,FALSE)="","",VLOOKUP(Sun_W2[[#This Row],[Employee Name]],'Base Schedules'!$A$79:$AW$111,29,FALSE)),"")</f>
        <v>-</v>
      </c>
      <c r="AE19" s="184" t="str">
        <f>IFERROR(IF(VLOOKUP(Sun_W2[[#This Row],[Employee Name]],'Base Schedules'!$A$79:$AW$111,30,FALSE)="","",VLOOKUP(Sun_W2[[#This Row],[Employee Name]],'Base Schedules'!$A$79:$AW$111,30,FALSE)),"")</f>
        <v>-</v>
      </c>
      <c r="AF19" s="184" t="str">
        <f>IFERROR(IF(VLOOKUP(Sun_W2[[#This Row],[Employee Name]],'Base Schedules'!$A$79:$AW$111,31,FALSE)="","",VLOOKUP(Sun_W2[[#This Row],[Employee Name]],'Base Schedules'!$A$79:$AW$111,31,FALSE)),"")</f>
        <v>-</v>
      </c>
      <c r="AG19" s="184" t="str">
        <f>IFERROR(IF(VLOOKUP(Sun_W2[[#This Row],[Employee Name]],'Base Schedules'!$A$79:$AW$111,32,FALSE)="","",VLOOKUP(Sun_W2[[#This Row],[Employee Name]],'Base Schedules'!$A$79:$AW$111,32,FALSE)),"")</f>
        <v>-</v>
      </c>
      <c r="AH19" s="184" t="str">
        <f>IFERROR(IF(VLOOKUP(Sun_W2[[#This Row],[Employee Name]],'Base Schedules'!$A$79:$AW$111,33,FALSE)="","",VLOOKUP(Sun_W2[[#This Row],[Employee Name]],'Base Schedules'!$A$79:$AW$111,33,FALSE)),"")</f>
        <v/>
      </c>
      <c r="AI19" s="184" t="str">
        <f>IFERROR(IF(VLOOKUP(Sun_W2[[#This Row],[Employee Name]],'Base Schedules'!$A$79:$AW$111,34,FALSE)="","",VLOOKUP(Sun_W2[[#This Row],[Employee Name]],'Base Schedules'!$A$79:$AW$111,34,FALSE)),"")</f>
        <v/>
      </c>
      <c r="AJ19" s="184" t="str">
        <f>IFERROR(IF(VLOOKUP(Sun_W2[[#This Row],[Employee Name]],'Base Schedules'!$A$79:$AW$111,35,FALSE)="","",VLOOKUP(Sun_W2[[#This Row],[Employee Name]],'Base Schedules'!$A$79:$AW$111,35,FALSE)),"")</f>
        <v/>
      </c>
      <c r="AK19" s="184" t="str">
        <f>IFERROR(IF(VLOOKUP(Sun_W2[[#This Row],[Employee Name]],'Base Schedules'!$A$79:$AW$111,36,FALSE)="","",VLOOKUP(Sun_W2[[#This Row],[Employee Name]],'Base Schedules'!$A$79:$AW$111,36,FALSE)),"")</f>
        <v/>
      </c>
      <c r="AL19" s="184" t="str">
        <f>IFERROR(IF(VLOOKUP(Sun_W2[[#This Row],[Employee Name]],'Base Schedules'!$A$79:$AW$111,37,FALSE)="","",VLOOKUP(Sun_W2[[#This Row],[Employee Name]],'Base Schedules'!$A$79:$AW$111,37,FALSE)),"")</f>
        <v/>
      </c>
      <c r="AM19" s="184" t="str">
        <f>IFERROR(IF(VLOOKUP(Sun_W2[[#This Row],[Employee Name]],'Base Schedules'!$A$79:$AW$111,38,FALSE)="","",VLOOKUP(Sun_W2[[#This Row],[Employee Name]],'Base Schedules'!$A$79:$AW$111,38,FALSE)),"")</f>
        <v/>
      </c>
      <c r="AN19" s="184" t="str">
        <f>IFERROR(IF(VLOOKUP(Sun_W2[[#This Row],[Employee Name]],'Base Schedules'!$A$79:$AW$111,39,FALSE)="","",VLOOKUP(Sun_W2[[#This Row],[Employee Name]],'Base Schedules'!$A$79:$AW$111,39,FALSE)),"")</f>
        <v/>
      </c>
      <c r="AO19" s="184" t="str">
        <f>IFERROR(IF(VLOOKUP(Sun_W2[[#This Row],[Employee Name]],'Base Schedules'!$A$79:$AW$111,40,FALSE)="","",VLOOKUP(Sun_W2[[#This Row],[Employee Name]],'Base Schedules'!$A$79:$AW$111,40,FALSE)),"")</f>
        <v/>
      </c>
      <c r="AP19" s="184" t="str">
        <f>IFERROR(IF(VLOOKUP(Sun_W2[[#This Row],[Employee Name]],'Base Schedules'!$A$79:$AW$111,41,FALSE)="","",VLOOKUP(Sun_W2[[#This Row],[Employee Name]],'Base Schedules'!$A$79:$AW$111,41,FALSE)),"")</f>
        <v/>
      </c>
      <c r="AQ19" s="184" t="str">
        <f>IFERROR(IF(VLOOKUP(Sun_W2[[#This Row],[Employee Name]],'Base Schedules'!$A$79:$AW$111,42,FALSE)="","",VLOOKUP(Sun_W2[[#This Row],[Employee Name]],'Base Schedules'!$A$79:$AW$111,42,FALSE)),"")</f>
        <v/>
      </c>
      <c r="AR19" s="184" t="str">
        <f>IFERROR(IF(VLOOKUP(Sun_W2[[#This Row],[Employee Name]],'Base Schedules'!$A$79:$AW$111,43,FALSE)="","",VLOOKUP(Sun_W2[[#This Row],[Employee Name]],'Base Schedules'!$A$79:$AW$111,43,FALSE)),"")</f>
        <v/>
      </c>
      <c r="AS19" s="184" t="str">
        <f>IFERROR(IF(VLOOKUP(Sun_W2[[#This Row],[Employee Name]],'Base Schedules'!$A$79:$AW$111,44,FALSE)="","",VLOOKUP(Sun_W2[[#This Row],[Employee Name]],'Base Schedules'!$A$79:$AW$111,44,FALSE)),"")</f>
        <v/>
      </c>
      <c r="AT19" s="184" t="str">
        <f>IFERROR(IF(VLOOKUP(Sun_W2[[#This Row],[Employee Name]],'Base Schedules'!$A$79:$AW$111,45,FALSE)="","",VLOOKUP(Sun_W2[[#This Row],[Employee Name]],'Base Schedules'!$A$79:$AW$111,45,FALSE)),"")</f>
        <v/>
      </c>
      <c r="AU19" s="184" t="str">
        <f>IFERROR(IF(VLOOKUP(Sun_W2[[#This Row],[Employee Name]],'Base Schedules'!$A$79:$AW$111,46,FALSE)="","",VLOOKUP(Sun_W2[[#This Row],[Employee Name]],'Base Schedules'!$A$79:$AW$111,46,FALSE)),"")</f>
        <v/>
      </c>
      <c r="AV19" s="184" t="str">
        <f>IFERROR(IF(VLOOKUP(Sun_W2[[#This Row],[Employee Name]],'Base Schedules'!$A$79:$AW$111,47,FALSE)="","",VLOOKUP(Sun_W2[[#This Row],[Employee Name]],'Base Schedules'!$A$79:$AW$111,47,FALSE)),"")</f>
        <v/>
      </c>
      <c r="AW19" s="184" t="str">
        <f>IFERROR(IF(VLOOKUP(Sun_W2[[#This Row],[Employee Name]],'Base Schedules'!$A$79:$AW$111,48,FALSE)="","",VLOOKUP(Sun_W2[[#This Row],[Employee Name]],'Base Schedules'!$A$79:$AW$111,48,FALSE)),"")</f>
        <v/>
      </c>
      <c r="AX19" s="184" t="str">
        <f>IFERROR(IF(VLOOKUP(Sun_W2[[#This Row],[Employee Name]],'Base Schedules'!$A$79:$AW$111,49,FALSE)="","",VLOOKUP(Sun_W2[[#This Row],[Employee Name]],'Base Schedules'!$A$79:$AW$111,49,FALSE)),"")</f>
        <v/>
      </c>
      <c r="AY19" s="159" t="str">
        <f t="shared" si="2"/>
        <v>Vasbinder, Ryan</v>
      </c>
      <c r="AZ19" s="184" t="str">
        <f>IFERROR(IF(VLOOKUP(Sun_W1[[#This Row],[Employee Name]],'Base Schedules'!$A$79:$AW$111,48,FALSE)="","",VLOOKUP(Sun_W1[[#This Row],[Employee Name]],'Base Schedules'!$A$79:$AW$111,48,FALSE)),"")</f>
        <v/>
      </c>
      <c r="BA19" s="184" t="str">
        <f>IFERROR(IF(VLOOKUP(Sun_W1[[#This Row],[Employee Name]],'Base Schedules'!$A$79:$AW$111,49,FALSE)="","",VLOOKUP(Sun_W1[[#This Row],[Employee Name]],'Base Schedules'!$A$79:$AW$111,49,FALSE)),"")</f>
        <v/>
      </c>
    </row>
    <row r="20" spans="1:53" s="44" customFormat="1" ht="12" customHeight="1" x14ac:dyDescent="0.2">
      <c r="A20" s="39" t="str">
        <f>IF(B20="","",INDEX(TeamList[],MATCH($B20,TeamList[[Employee Name]:[Employee Name]],0),MATCH("Manager",TeamList[#Headers],0)))</f>
        <v>Olson, Katherine</v>
      </c>
      <c r="B20" s="201" t="s">
        <v>49</v>
      </c>
      <c r="C20" s="257" t="str">
        <f>_xlfn.IFNA(VLOOKUP(Sun_W2[[#This Row],[Employee Name]],'Base Schedules'!A:B,2,FALSE),"")</f>
        <v>Supervisor</v>
      </c>
      <c r="D20" s="274">
        <f>_xlfn.IFNA(VLOOKUP(Sun_W2[[#This Row],[Employee Name]],'Base Schedules'!A:C,3,FALSE),"")</f>
        <v>800</v>
      </c>
      <c r="E20" s="354">
        <f>_xlfn.IFNA(VLOOKUP(Sun_W2[[#This Row],[Employee Name]],'Base Schedules'!A:D,4,FALSE),"")</f>
        <v>1700</v>
      </c>
      <c r="F20" s="358">
        <f>IF(Sun_W2[[#This Row],[Employee Name]]="","",IF(Sun_W2[[#This Row],[Dept]]="Supervisor",COUNTIFS($J20:$AX20,"*HL*",$J20:$AX20,"&lt;&gt;"&amp;"pHL"),COUNTIFS($J20:$AX20,"*HL*",$J20:$AX20,"&lt;&gt;"&amp;"*pHL*",$J20:$AX20,"&lt;&gt;"&amp;"pB1 HL",$J20:$AX20,"&lt;&gt;"&amp;"pB2 HL")-SUM(COUNTIFS($J20:$AX20,"*HL B1*",$J20:$AX20,"&lt;&gt;"&amp;"pHL B1")*0.5,COUNTIFS($J20:$AX20,"*HL B2*",$J20:$AX20,"&lt;&gt;"&amp;"pHL B2")*0.5,COUNTIFS($J20:$AX20,"*B1 HL*",$J20:$AX20,"&lt;&gt;"&amp;"pB1 HL")*0.5,COUNTIFS($J20:$AX20,"*B2 HL*",$J20:$AX20,"&lt;&gt;"&amp;"pB2 HL")*0.5)))</f>
        <v>0</v>
      </c>
      <c r="G20" s="142">
        <f t="shared" si="0"/>
        <v>4</v>
      </c>
      <c r="H20" s="142">
        <f t="shared" si="1"/>
        <v>0</v>
      </c>
      <c r="I20" s="142">
        <f>IF(Sun_W2[[#This Row],[Employee Name]]="","",IF(Sun_W2[[#This Row],[Dept]]="Supervisor",SUM(COUNTIFS($J20:$AX20,"RTA*",$J20:$AX20,"&lt;&gt;"&amp;"pRTA"),COUNTIFS($J20:$AX20,"*CRTA*",$J20:$AX20,"&lt;&gt;"&amp;"pCRTA")),COUNTIFS($J20:$AX20,"*RNNR*",$J20:$AX20,"&lt;&gt;"&amp;"*pRNNR*",$J20:$AX20,"&lt;&gt;"&amp;"pB1 RNNR",$J20:$AX20,"&lt;&gt;"&amp;"pB2 RNNR")-SUM(COUNTIFS($J20:$AX20,"*RNNR B1*",$J20:$AX20,"&lt;&gt;"&amp;"pRNNR B1")*0.5,COUNTIFS($J20:$AX20,"*RNNR B2*",$J20:$AX20,"&lt;&gt;"&amp;"pRNNR B2")*0.5,COUNTIFS($J20:$AX20,"*B1 RNNR*",$J20:$AX20,"&lt;&gt;"&amp;"pB1 RNNR")*0.5,COUNTIFS($J20:$AX20,"*B2 RNNR*",$J20:$AX20,"&lt;&gt;"&amp;"pB2 RNNR")*0.5)))</f>
        <v>0</v>
      </c>
      <c r="J20" s="184" t="str">
        <f>IFERROR(IF(VLOOKUP(Sun_W2[[#This Row],[Employee Name]],'Base Schedules'!$A$79:$AW$111,9,FALSE)="","",VLOOKUP(Sun_W2[[#This Row],[Employee Name]],'Base Schedules'!$A$79:$AW$111,9,FALSE)),"")</f>
        <v/>
      </c>
      <c r="K20" s="184" t="str">
        <f>IFERROR(IF(VLOOKUP(Sun_W2[[#This Row],[Employee Name]],'Base Schedules'!$A$79:$AW$111,10,FALSE)="","",VLOOKUP(Sun_W2[[#This Row],[Employee Name]],'Base Schedules'!$A$79:$AW$111,10,FALSE)),"")</f>
        <v/>
      </c>
      <c r="L20" s="184" t="str">
        <f>IFERROR(IF(VLOOKUP(Sun_W2[[#This Row],[Employee Name]],'Base Schedules'!$A$79:$AW$111,11,FALSE)="","",VLOOKUP(Sun_W2[[#This Row],[Employee Name]],'Base Schedules'!$A$79:$AW$111,11,FALSE)),"")</f>
        <v/>
      </c>
      <c r="M20" s="184" t="str">
        <f>IFERROR(IF(VLOOKUP(Sun_W2[[#This Row],[Employee Name]],'Base Schedules'!$A$79:$AW$111,12,FALSE)="","",VLOOKUP(Sun_W2[[#This Row],[Employee Name]],'Base Schedules'!$A$79:$AW$111,12,FALSE)),"")</f>
        <v/>
      </c>
      <c r="N20" s="184" t="str">
        <f>IFERROR(IF(VLOOKUP(Sun_W2[[#This Row],[Employee Name]],'Base Schedules'!$A$79:$AW$111,13,FALSE)="","",VLOOKUP(Sun_W2[[#This Row],[Employee Name]],'Base Schedules'!$A$79:$AW$111,13,FALSE)),"")</f>
        <v/>
      </c>
      <c r="O20" s="184" t="str">
        <f>IFERROR(IF(VLOOKUP(Sun_W2[[#This Row],[Employee Name]],'Base Schedules'!$A$79:$AW$111,14,FALSE)="","",VLOOKUP(Sun_W2[[#This Row],[Employee Name]],'Base Schedules'!$A$79:$AW$111,14,FALSE)),"")</f>
        <v/>
      </c>
      <c r="P20" s="184" t="str">
        <f>IFERROR(IF(VLOOKUP(Sun_W2[[#This Row],[Employee Name]],'Base Schedules'!$A$79:$AW$111,15,FALSE)="","",VLOOKUP(Sun_W2[[#This Row],[Employee Name]],'Base Schedules'!$A$79:$AW$111,15,FALSE)),"")</f>
        <v>-</v>
      </c>
      <c r="Q20" s="184" t="str">
        <f>IFERROR(IF(VLOOKUP(Sun_W2[[#This Row],[Employee Name]],'Base Schedules'!$A$79:$AW$111,16,FALSE)="","",VLOOKUP(Sun_W2[[#This Row],[Employee Name]],'Base Schedules'!$A$79:$AW$111,16,FALSE)),"")</f>
        <v>-</v>
      </c>
      <c r="R20" s="184" t="str">
        <f>IFERROR(IF(VLOOKUP(Sun_W2[[#This Row],[Employee Name]],'Base Schedules'!$A$79:$AW$111,17,FALSE)="","",VLOOKUP(Sun_W2[[#This Row],[Employee Name]],'Base Schedules'!$A$79:$AW$111,17,FALSE)),"")</f>
        <v>-</v>
      </c>
      <c r="S20" s="184" t="str">
        <f>IFERROR(IF(VLOOKUP(Sun_W2[[#This Row],[Employee Name]],'Base Schedules'!$A$79:$AW$111,18,FALSE)="","",VLOOKUP(Sun_W2[[#This Row],[Employee Name]],'Base Schedules'!$A$79:$AW$111,18,FALSE)),"")</f>
        <v>-</v>
      </c>
      <c r="T20" s="184" t="str">
        <f>IFERROR(IF(VLOOKUP(Sun_W2[[#This Row],[Employee Name]],'Base Schedules'!$A$79:$AW$111,19,FALSE)="","",VLOOKUP(Sun_W2[[#This Row],[Employee Name]],'Base Schedules'!$A$79:$AW$111,19,FALSE)),"")</f>
        <v>-</v>
      </c>
      <c r="U20" s="184" t="str">
        <f>IFERROR(IF(VLOOKUP(Sun_W2[[#This Row],[Employee Name]],'Base Schedules'!$A$79:$AW$111,20,FALSE)="","",VLOOKUP(Sun_W2[[#This Row],[Employee Name]],'Base Schedules'!$A$79:$AW$111,20,FALSE)),"")</f>
        <v>-</v>
      </c>
      <c r="V20" s="184" t="str">
        <f>IFERROR(IF(VLOOKUP(Sun_W2[[#This Row],[Employee Name]],'Base Schedules'!$A$79:$AW$111,21,FALSE)="","",VLOOKUP(Sun_W2[[#This Row],[Employee Name]],'Base Schedules'!$A$79:$AW$111,21,FALSE)),"")</f>
        <v>-</v>
      </c>
      <c r="W20" s="184" t="str">
        <f>IFERROR(IF(VLOOKUP(Sun_W2[[#This Row],[Employee Name]],'Base Schedules'!$A$79:$AW$111,22,FALSE)="","",VLOOKUP(Sun_W2[[#This Row],[Employee Name]],'Base Schedules'!$A$79:$AW$111,22,FALSE)),"")</f>
        <v>-</v>
      </c>
      <c r="X20" s="184" t="str">
        <f>IFERROR(IF(VLOOKUP(Sun_W2[[#This Row],[Employee Name]],'Base Schedules'!$A$79:$AW$111,23,FALSE)="","",VLOOKUP(Sun_W2[[#This Row],[Employee Name]],'Base Schedules'!$A$79:$AW$111,23,FALSE)),"")</f>
        <v>-</v>
      </c>
      <c r="Y20" s="184" t="str">
        <f>IFERROR(IF(VLOOKUP(Sun_W2[[#This Row],[Employee Name]],'Base Schedules'!$A$79:$AW$111,24,FALSE)="","",VLOOKUP(Sun_W2[[#This Row],[Employee Name]],'Base Schedules'!$A$79:$AW$111,24,FALSE)),"")</f>
        <v>-</v>
      </c>
      <c r="Z20" s="184" t="str">
        <f>IFERROR(IF(VLOOKUP(Sun_W2[[#This Row],[Employee Name]],'Base Schedules'!$A$79:$AW$111,25,FALSE)="","",VLOOKUP(Sun_W2[[#This Row],[Employee Name]],'Base Schedules'!$A$79:$AW$111,25,FALSE)),"")</f>
        <v>-</v>
      </c>
      <c r="AA20" s="184" t="str">
        <f>IFERROR(IF(VLOOKUP(Sun_W2[[#This Row],[Employee Name]],'Base Schedules'!$A$79:$AW$111,26,FALSE)="","",VLOOKUP(Sun_W2[[#This Row],[Employee Name]],'Base Schedules'!$A$79:$AW$111,26,FALSE)),"")</f>
        <v>Coaching</v>
      </c>
      <c r="AB20" s="184" t="str">
        <f>IFERROR(IF(VLOOKUP(Sun_W2[[#This Row],[Employee Name]],'Base Schedules'!$A$79:$AW$111,27,FALSE)="","",VLOOKUP(Sun_W2[[#This Row],[Employee Name]],'Base Schedules'!$A$79:$AW$111,27,FALSE)),"")</f>
        <v>Coaching</v>
      </c>
      <c r="AC20" s="184" t="str">
        <f>IFERROR(IF(VLOOKUP(Sun_W2[[#This Row],[Employee Name]],'Base Schedules'!$A$79:$AW$111,28,FALSE)="","",VLOOKUP(Sun_W2[[#This Row],[Employee Name]],'Base Schedules'!$A$79:$AW$111,28,FALSE)),"")</f>
        <v>Coaching</v>
      </c>
      <c r="AD20" s="184" t="str">
        <f>IFERROR(IF(VLOOKUP(Sun_W2[[#This Row],[Employee Name]],'Base Schedules'!$A$79:$AW$111,29,FALSE)="","",VLOOKUP(Sun_W2[[#This Row],[Employee Name]],'Base Schedules'!$A$79:$AW$111,29,FALSE)),"")</f>
        <v>Coaching</v>
      </c>
      <c r="AE20" s="184" t="str">
        <f>IFERROR(IF(VLOOKUP(Sun_W2[[#This Row],[Employee Name]],'Base Schedules'!$A$79:$AW$111,30,FALSE)="","",VLOOKUP(Sun_W2[[#This Row],[Employee Name]],'Base Schedules'!$A$79:$AW$111,30,FALSE)),"")</f>
        <v>-</v>
      </c>
      <c r="AF20" s="184" t="str">
        <f>IFERROR(IF(VLOOKUP(Sun_W2[[#This Row],[Employee Name]],'Base Schedules'!$A$79:$AW$111,31,FALSE)="","",VLOOKUP(Sun_W2[[#This Row],[Employee Name]],'Base Schedules'!$A$79:$AW$111,31,FALSE)),"")</f>
        <v>-</v>
      </c>
      <c r="AG20" s="184" t="str">
        <f>IFERROR(IF(VLOOKUP(Sun_W2[[#This Row],[Employee Name]],'Base Schedules'!$A$79:$AW$111,32,FALSE)="","",VLOOKUP(Sun_W2[[#This Row],[Employee Name]],'Base Schedules'!$A$79:$AW$111,32,FALSE)),"")</f>
        <v>-</v>
      </c>
      <c r="AH20" s="184" t="str">
        <f>IFERROR(IF(VLOOKUP(Sun_W2[[#This Row],[Employee Name]],'Base Schedules'!$A$79:$AW$111,33,FALSE)="","",VLOOKUP(Sun_W2[[#This Row],[Employee Name]],'Base Schedules'!$A$79:$AW$111,33,FALSE)),"")</f>
        <v/>
      </c>
      <c r="AI20" s="184" t="str">
        <f>IFERROR(IF(VLOOKUP(Sun_W2[[#This Row],[Employee Name]],'Base Schedules'!$A$79:$AW$111,34,FALSE)="","",VLOOKUP(Sun_W2[[#This Row],[Employee Name]],'Base Schedules'!$A$79:$AW$111,34,FALSE)),"")</f>
        <v/>
      </c>
      <c r="AJ20" s="184" t="str">
        <f>IFERROR(IF(VLOOKUP(Sun_W2[[#This Row],[Employee Name]],'Base Schedules'!$A$79:$AW$111,35,FALSE)="","",VLOOKUP(Sun_W2[[#This Row],[Employee Name]],'Base Schedules'!$A$79:$AW$111,35,FALSE)),"")</f>
        <v/>
      </c>
      <c r="AK20" s="184" t="str">
        <f>IFERROR(IF(VLOOKUP(Sun_W2[[#This Row],[Employee Name]],'Base Schedules'!$A$79:$AW$111,36,FALSE)="","",VLOOKUP(Sun_W2[[#This Row],[Employee Name]],'Base Schedules'!$A$79:$AW$111,36,FALSE)),"")</f>
        <v/>
      </c>
      <c r="AL20" s="184" t="str">
        <f>IFERROR(IF(VLOOKUP(Sun_W2[[#This Row],[Employee Name]],'Base Schedules'!$A$79:$AW$111,37,FALSE)="","",VLOOKUP(Sun_W2[[#This Row],[Employee Name]],'Base Schedules'!$A$79:$AW$111,37,FALSE)),"")</f>
        <v/>
      </c>
      <c r="AM20" s="184" t="str">
        <f>IFERROR(IF(VLOOKUP(Sun_W2[[#This Row],[Employee Name]],'Base Schedules'!$A$79:$AW$111,38,FALSE)="","",VLOOKUP(Sun_W2[[#This Row],[Employee Name]],'Base Schedules'!$A$79:$AW$111,38,FALSE)),"")</f>
        <v/>
      </c>
      <c r="AN20" s="184" t="str">
        <f>IFERROR(IF(VLOOKUP(Sun_W2[[#This Row],[Employee Name]],'Base Schedules'!$A$79:$AW$111,39,FALSE)="","",VLOOKUP(Sun_W2[[#This Row],[Employee Name]],'Base Schedules'!$A$79:$AW$111,39,FALSE)),"")</f>
        <v/>
      </c>
      <c r="AO20" s="184" t="str">
        <f>IFERROR(IF(VLOOKUP(Sun_W2[[#This Row],[Employee Name]],'Base Schedules'!$A$79:$AW$111,40,FALSE)="","",VLOOKUP(Sun_W2[[#This Row],[Employee Name]],'Base Schedules'!$A$79:$AW$111,40,FALSE)),"")</f>
        <v/>
      </c>
      <c r="AP20" s="184" t="str">
        <f>IFERROR(IF(VLOOKUP(Sun_W2[[#This Row],[Employee Name]],'Base Schedules'!$A$79:$AW$111,41,FALSE)="","",VLOOKUP(Sun_W2[[#This Row],[Employee Name]],'Base Schedules'!$A$79:$AW$111,41,FALSE)),"")</f>
        <v/>
      </c>
      <c r="AQ20" s="184" t="str">
        <f>IFERROR(IF(VLOOKUP(Sun_W2[[#This Row],[Employee Name]],'Base Schedules'!$A$79:$AW$111,42,FALSE)="","",VLOOKUP(Sun_W2[[#This Row],[Employee Name]],'Base Schedules'!$A$79:$AW$111,42,FALSE)),"")</f>
        <v/>
      </c>
      <c r="AR20" s="184" t="str">
        <f>IFERROR(IF(VLOOKUP(Sun_W2[[#This Row],[Employee Name]],'Base Schedules'!$A$79:$AW$111,43,FALSE)="","",VLOOKUP(Sun_W2[[#This Row],[Employee Name]],'Base Schedules'!$A$79:$AW$111,43,FALSE)),"")</f>
        <v/>
      </c>
      <c r="AS20" s="184" t="str">
        <f>IFERROR(IF(VLOOKUP(Sun_W2[[#This Row],[Employee Name]],'Base Schedules'!$A$79:$AW$111,44,FALSE)="","",VLOOKUP(Sun_W2[[#This Row],[Employee Name]],'Base Schedules'!$A$79:$AW$111,44,FALSE)),"")</f>
        <v/>
      </c>
      <c r="AT20" s="184" t="str">
        <f>IFERROR(IF(VLOOKUP(Sun_W2[[#This Row],[Employee Name]],'Base Schedules'!$A$79:$AW$111,45,FALSE)="","",VLOOKUP(Sun_W2[[#This Row],[Employee Name]],'Base Schedules'!$A$79:$AW$111,45,FALSE)),"")</f>
        <v/>
      </c>
      <c r="AU20" s="184" t="str">
        <f>IFERROR(IF(VLOOKUP(Sun_W2[[#This Row],[Employee Name]],'Base Schedules'!$A$79:$AW$111,46,FALSE)="","",VLOOKUP(Sun_W2[[#This Row],[Employee Name]],'Base Schedules'!$A$79:$AW$111,46,FALSE)),"")</f>
        <v/>
      </c>
      <c r="AV20" s="184" t="str">
        <f>IFERROR(IF(VLOOKUP(Sun_W2[[#This Row],[Employee Name]],'Base Schedules'!$A$79:$AW$111,47,FALSE)="","",VLOOKUP(Sun_W2[[#This Row],[Employee Name]],'Base Schedules'!$A$79:$AW$111,47,FALSE)),"")</f>
        <v/>
      </c>
      <c r="AW20" s="184" t="str">
        <f>IFERROR(IF(VLOOKUP(Sun_W2[[#This Row],[Employee Name]],'Base Schedules'!$A$79:$AW$111,48,FALSE)="","",VLOOKUP(Sun_W2[[#This Row],[Employee Name]],'Base Schedules'!$A$79:$AW$111,48,FALSE)),"")</f>
        <v/>
      </c>
      <c r="AX20" s="184" t="str">
        <f>IFERROR(IF(VLOOKUP(Sun_W2[[#This Row],[Employee Name]],'Base Schedules'!$A$79:$AW$111,49,FALSE)="","",VLOOKUP(Sun_W2[[#This Row],[Employee Name]],'Base Schedules'!$A$79:$AW$111,49,FALSE)),"")</f>
        <v/>
      </c>
      <c r="AY20" s="159" t="str">
        <f t="shared" si="2"/>
        <v>Olson, Dan</v>
      </c>
      <c r="AZ20" s="184" t="str">
        <f>IFERROR(IF(VLOOKUP(Sun_W1[[#This Row],[Employee Name]],'Base Schedules'!$A$79:$AW$111,48,FALSE)="","",VLOOKUP(Sun_W1[[#This Row],[Employee Name]],'Base Schedules'!$A$79:$AW$111,48,FALSE)),"")</f>
        <v/>
      </c>
      <c r="BA20" s="184" t="str">
        <f>IFERROR(IF(VLOOKUP(Sun_W1[[#This Row],[Employee Name]],'Base Schedules'!$A$79:$AW$111,49,FALSE)="","",VLOOKUP(Sun_W1[[#This Row],[Employee Name]],'Base Schedules'!$A$79:$AW$111,49,FALSE)),"")</f>
        <v/>
      </c>
    </row>
    <row r="21" spans="1:53" s="44" customFormat="1" ht="12" customHeight="1" x14ac:dyDescent="0.2">
      <c r="A21" s="39" t="str">
        <f>IF(B21="","",INDEX(TeamList[],MATCH($B21,TeamList[[Employee Name]:[Employee Name]],0),MATCH("Manager",TeamList[#Headers],0)))</f>
        <v>Olson, Katherine</v>
      </c>
      <c r="B21" s="201" t="s">
        <v>236</v>
      </c>
      <c r="C21" s="257" t="str">
        <f>_xlfn.IFNA(VLOOKUP(Sun_W2[[#This Row],[Employee Name]],'Base Schedules'!A:B,2,FALSE),"")</f>
        <v>Lead</v>
      </c>
      <c r="D21" s="274">
        <f>_xlfn.IFNA(VLOOKUP(Sun_W2[[#This Row],[Employee Name]],'Base Schedules'!A:C,3,FALSE),"")</f>
        <v>1130</v>
      </c>
      <c r="E21" s="354">
        <f>_xlfn.IFNA(VLOOKUP(Sun_W2[[#This Row],[Employee Name]],'Base Schedules'!A:D,4,FALSE),"")</f>
        <v>2000</v>
      </c>
      <c r="F21" s="358">
        <f>IF(Sun_W2[[#This Row],[Employee Name]]="","",IF(Sun_W2[[#This Row],[Dept]]="Supervisor",COUNTIFS($J21:$AX21,"*HL*",$J21:$AX21,"&lt;&gt;"&amp;"pHL"),COUNTIFS($J21:$AX21,"*HL*",$J21:$AX21,"&lt;&gt;"&amp;"*pHL*",$J21:$AX21,"&lt;&gt;"&amp;"pB1 HL",$J21:$AX21,"&lt;&gt;"&amp;"pB2 HL")-SUM(COUNTIFS($J21:$AX21,"*HL B1*",$J21:$AX21,"&lt;&gt;"&amp;"pHL B1")*0.5,COUNTIFS($J21:$AX21,"*HL B2*",$J21:$AX21,"&lt;&gt;"&amp;"pHL B2")*0.5,COUNTIFS($J21:$AX21,"*B1 HL*",$J21:$AX21,"&lt;&gt;"&amp;"pB1 HL")*0.5,COUNTIFS($J21:$AX21,"*B2 HL*",$J21:$AX21,"&lt;&gt;"&amp;"pB2 HL")*0.5)))</f>
        <v>7.5</v>
      </c>
      <c r="G21" s="142">
        <f t="shared" si="0"/>
        <v>0</v>
      </c>
      <c r="H21" s="142">
        <f t="shared" si="1"/>
        <v>6</v>
      </c>
      <c r="I21" s="142">
        <f>IF(Sun_W2[[#This Row],[Employee Name]]="","",IF(Sun_W2[[#This Row],[Dept]]="Supervisor",SUM(COUNTIFS($J21:$AX21,"RTA*",$J21:$AX21,"&lt;&gt;"&amp;"pRTA"),COUNTIFS($J21:$AX21,"*CRTA*",$J21:$AX21,"&lt;&gt;"&amp;"pCRTA")),COUNTIFS($J21:$AX21,"*RNNR*",$J21:$AX21,"&lt;&gt;"&amp;"*pRNNR*",$J21:$AX21,"&lt;&gt;"&amp;"pB1 RNNR",$J21:$AX21,"&lt;&gt;"&amp;"pB2 RNNR")-SUM(COUNTIFS($J21:$AX21,"*RNNR B1*",$J21:$AX21,"&lt;&gt;"&amp;"pRNNR B1")*0.5,COUNTIFS($J21:$AX21,"*RNNR B2*",$J21:$AX21,"&lt;&gt;"&amp;"pRNNR B2")*0.5,COUNTIFS($J21:$AX21,"*B1 RNNR*",$J21:$AX21,"&lt;&gt;"&amp;"pB1 RNNR")*0.5,COUNTIFS($J21:$AX21,"*B2 RNNR*",$J21:$AX21,"&lt;&gt;"&amp;"pB2 RNNR")*0.5)))</f>
        <v>2</v>
      </c>
      <c r="J21" s="184" t="str">
        <f>IFERROR(IF(VLOOKUP(Sun_W2[[#This Row],[Employee Name]],'Base Schedules'!$A$79:$AW$111,9,FALSE)="","",VLOOKUP(Sun_W2[[#This Row],[Employee Name]],'Base Schedules'!$A$79:$AW$111,9,FALSE)),"")</f>
        <v/>
      </c>
      <c r="K21" s="184" t="str">
        <f>IFERROR(IF(VLOOKUP(Sun_W2[[#This Row],[Employee Name]],'Base Schedules'!$A$79:$AW$111,10,FALSE)="","",VLOOKUP(Sun_W2[[#This Row],[Employee Name]],'Base Schedules'!$A$79:$AW$111,10,FALSE)),"")</f>
        <v/>
      </c>
      <c r="L21" s="184" t="str">
        <f>IFERROR(IF(VLOOKUP(Sun_W2[[#This Row],[Employee Name]],'Base Schedules'!$A$79:$AW$111,11,FALSE)="","",VLOOKUP(Sun_W2[[#This Row],[Employee Name]],'Base Schedules'!$A$79:$AW$111,11,FALSE)),"")</f>
        <v/>
      </c>
      <c r="M21" s="184" t="str">
        <f>IFERROR(IF(VLOOKUP(Sun_W2[[#This Row],[Employee Name]],'Base Schedules'!$A$79:$AW$111,12,FALSE)="","",VLOOKUP(Sun_W2[[#This Row],[Employee Name]],'Base Schedules'!$A$79:$AW$111,12,FALSE)),"")</f>
        <v/>
      </c>
      <c r="N21" s="184" t="str">
        <f>IFERROR(IF(VLOOKUP(Sun_W2[[#This Row],[Employee Name]],'Base Schedules'!$A$79:$AW$111,13,FALSE)="","",VLOOKUP(Sun_W2[[#This Row],[Employee Name]],'Base Schedules'!$A$79:$AW$111,13,FALSE)),"")</f>
        <v/>
      </c>
      <c r="O21" s="184" t="str">
        <f>IFERROR(IF(VLOOKUP(Sun_W2[[#This Row],[Employee Name]],'Base Schedules'!$A$79:$AW$111,14,FALSE)="","",VLOOKUP(Sun_W2[[#This Row],[Employee Name]],'Base Schedules'!$A$79:$AW$111,14,FALSE)),"")</f>
        <v/>
      </c>
      <c r="P21" s="184" t="str">
        <f>IFERROR(IF(VLOOKUP(Sun_W2[[#This Row],[Employee Name]],'Base Schedules'!$A$79:$AW$111,15,FALSE)="","",VLOOKUP(Sun_W2[[#This Row],[Employee Name]],'Base Schedules'!$A$79:$AW$111,15,FALSE)),"")</f>
        <v/>
      </c>
      <c r="Q21" s="184" t="str">
        <f>IFERROR(IF(VLOOKUP(Sun_W2[[#This Row],[Employee Name]],'Base Schedules'!$A$79:$AW$111,16,FALSE)="","",VLOOKUP(Sun_W2[[#This Row],[Employee Name]],'Base Schedules'!$A$79:$AW$111,16,FALSE)),"")</f>
        <v/>
      </c>
      <c r="R21" s="184" t="str">
        <f>IFERROR(IF(VLOOKUP(Sun_W2[[#This Row],[Employee Name]],'Base Schedules'!$A$79:$AW$111,17,FALSE)="","",VLOOKUP(Sun_W2[[#This Row],[Employee Name]],'Base Schedules'!$A$79:$AW$111,17,FALSE)),"")</f>
        <v/>
      </c>
      <c r="S21" s="184" t="str">
        <f>IFERROR(IF(VLOOKUP(Sun_W2[[#This Row],[Employee Name]],'Base Schedules'!$A$79:$AW$111,18,FALSE)="","",VLOOKUP(Sun_W2[[#This Row],[Employee Name]],'Base Schedules'!$A$79:$AW$111,18,FALSE)),"")</f>
        <v/>
      </c>
      <c r="T21" s="184" t="str">
        <f>IFERROR(IF(VLOOKUP(Sun_W2[[#This Row],[Employee Name]],'Base Schedules'!$A$79:$AW$111,19,FALSE)="","",VLOOKUP(Sun_W2[[#This Row],[Employee Name]],'Base Schedules'!$A$79:$AW$111,19,FALSE)),"")</f>
        <v/>
      </c>
      <c r="U21" s="184" t="str">
        <f>IFERROR(IF(VLOOKUP(Sun_W2[[#This Row],[Employee Name]],'Base Schedules'!$A$79:$AW$111,20,FALSE)="","",VLOOKUP(Sun_W2[[#This Row],[Employee Name]],'Base Schedules'!$A$79:$AW$111,20,FALSE)),"")</f>
        <v/>
      </c>
      <c r="V21" s="184" t="str">
        <f>IFERROR(IF(VLOOKUP(Sun_W2[[#This Row],[Employee Name]],'Base Schedules'!$A$79:$AW$111,21,FALSE)="","",VLOOKUP(Sun_W2[[#This Row],[Employee Name]],'Base Schedules'!$A$79:$AW$111,21,FALSE)),"")</f>
        <v/>
      </c>
      <c r="W21" s="184" t="str">
        <f>IFERROR(IF(VLOOKUP(Sun_W2[[#This Row],[Employee Name]],'Base Schedules'!$A$79:$AW$111,22,FALSE)="","",VLOOKUP(Sun_W2[[#This Row],[Employee Name]],'Base Schedules'!$A$79:$AW$111,22,FALSE)),"")</f>
        <v>HL</v>
      </c>
      <c r="X21" s="184" t="str">
        <f>IFERROR(IF(VLOOKUP(Sun_W2[[#This Row],[Employee Name]],'Base Schedules'!$A$79:$AW$111,23,FALSE)="","",VLOOKUP(Sun_W2[[#This Row],[Employee Name]],'Base Schedules'!$A$79:$AW$111,23,FALSE)),"")</f>
        <v>ADM</v>
      </c>
      <c r="Y21" s="184" t="str">
        <f>IFERROR(IF(VLOOKUP(Sun_W2[[#This Row],[Employee Name]],'Base Schedules'!$A$79:$AW$111,24,FALSE)="","",VLOOKUP(Sun_W2[[#This Row],[Employee Name]],'Base Schedules'!$A$79:$AW$111,24,FALSE)),"")</f>
        <v>HL</v>
      </c>
      <c r="Z21" s="184" t="str">
        <f>IFERROR(IF(VLOOKUP(Sun_W2[[#This Row],[Employee Name]],'Base Schedules'!$A$79:$AW$111,25,FALSE)="","",VLOOKUP(Sun_W2[[#This Row],[Employee Name]],'Base Schedules'!$A$79:$AW$111,25,FALSE)),"")</f>
        <v>HL B1</v>
      </c>
      <c r="AA21" s="184" t="str">
        <f>IFERROR(IF(VLOOKUP(Sun_W2[[#This Row],[Employee Name]],'Base Schedules'!$A$79:$AW$111,26,FALSE)="","",VLOOKUP(Sun_W2[[#This Row],[Employee Name]],'Base Schedules'!$A$79:$AW$111,26,FALSE)),"")</f>
        <v>ADM</v>
      </c>
      <c r="AB21" s="184" t="str">
        <f>IFERROR(IF(VLOOKUP(Sun_W2[[#This Row],[Employee Name]],'Base Schedules'!$A$79:$AW$111,27,FALSE)="","",VLOOKUP(Sun_W2[[#This Row],[Employee Name]],'Base Schedules'!$A$79:$AW$111,27,FALSE)),"")</f>
        <v>RNNR</v>
      </c>
      <c r="AC21" s="184" t="str">
        <f>IFERROR(IF(VLOOKUP(Sun_W2[[#This Row],[Employee Name]],'Base Schedules'!$A$79:$AW$111,28,FALSE)="","",VLOOKUP(Sun_W2[[#This Row],[Employee Name]],'Base Schedules'!$A$79:$AW$111,28,FALSE)),"")</f>
        <v>RNNR</v>
      </c>
      <c r="AD21" s="184" t="str">
        <f>IFERROR(IF(VLOOKUP(Sun_W2[[#This Row],[Employee Name]],'Base Schedules'!$A$79:$AW$111,29,FALSE)="","",VLOOKUP(Sun_W2[[#This Row],[Employee Name]],'Base Schedules'!$A$79:$AW$111,29,FALSE)),"")</f>
        <v>HL</v>
      </c>
      <c r="AE21" s="184" t="str">
        <f>IFERROR(IF(VLOOKUP(Sun_W2[[#This Row],[Employee Name]],'Base Schedules'!$A$79:$AW$111,30,FALSE)="","",VLOOKUP(Sun_W2[[#This Row],[Employee Name]],'Base Schedules'!$A$79:$AW$111,30,FALSE)),"")</f>
        <v>LUNCH</v>
      </c>
      <c r="AF21" s="184" t="str">
        <f>IFERROR(IF(VLOOKUP(Sun_W2[[#This Row],[Employee Name]],'Base Schedules'!$A$79:$AW$111,31,FALSE)="","",VLOOKUP(Sun_W2[[#This Row],[Employee Name]],'Base Schedules'!$A$79:$AW$111,31,FALSE)),"")</f>
        <v>HL</v>
      </c>
      <c r="AG21" s="184" t="str">
        <f>IFERROR(IF(VLOOKUP(Sun_W2[[#This Row],[Employee Name]],'Base Schedules'!$A$79:$AW$111,32,FALSE)="","",VLOOKUP(Sun_W2[[#This Row],[Employee Name]],'Base Schedules'!$A$79:$AW$111,32,FALSE)),"")</f>
        <v>ADM</v>
      </c>
      <c r="AH21" s="184" t="str">
        <f>IFERROR(IF(VLOOKUP(Sun_W2[[#This Row],[Employee Name]],'Base Schedules'!$A$79:$AW$111,33,FALSE)="","",VLOOKUP(Sun_W2[[#This Row],[Employee Name]],'Base Schedules'!$A$79:$AW$111,33,FALSE)),"")</f>
        <v>HL</v>
      </c>
      <c r="AI21" s="184" t="str">
        <f>IFERROR(IF(VLOOKUP(Sun_W2[[#This Row],[Employee Name]],'Base Schedules'!$A$79:$AW$111,34,FALSE)="","",VLOOKUP(Sun_W2[[#This Row],[Employee Name]],'Base Schedules'!$A$79:$AW$111,34,FALSE)),"")</f>
        <v>HL</v>
      </c>
      <c r="AJ21" s="184" t="str">
        <f>IFERROR(IF(VLOOKUP(Sun_W2[[#This Row],[Employee Name]],'Base Schedules'!$A$79:$AW$111,35,FALSE)="","",VLOOKUP(Sun_W2[[#This Row],[Employee Name]],'Base Schedules'!$A$79:$AW$111,35,FALSE)),"")</f>
        <v>B2 ADM</v>
      </c>
      <c r="AK21" s="184" t="str">
        <f>IFERROR(IF(VLOOKUP(Sun_W2[[#This Row],[Employee Name]],'Base Schedules'!$A$79:$AW$111,36,FALSE)="","",VLOOKUP(Sun_W2[[#This Row],[Employee Name]],'Base Schedules'!$A$79:$AW$111,36,FALSE)),"")</f>
        <v>ADM</v>
      </c>
      <c r="AL21" s="184" t="str">
        <f>IFERROR(IF(VLOOKUP(Sun_W2[[#This Row],[Employee Name]],'Base Schedules'!$A$79:$AW$111,37,FALSE)="","",VLOOKUP(Sun_W2[[#This Row],[Employee Name]],'Base Schedules'!$A$79:$AW$111,37,FALSE)),"")</f>
        <v>ADM</v>
      </c>
      <c r="AM21" s="184" t="str">
        <f>IFERROR(IF(VLOOKUP(Sun_W2[[#This Row],[Employee Name]],'Base Schedules'!$A$79:$AW$111,38,FALSE)="","",VLOOKUP(Sun_W2[[#This Row],[Employee Name]],'Base Schedules'!$A$79:$AW$111,38,FALSE)),"")</f>
        <v>HL</v>
      </c>
      <c r="AN21" s="184" t="str">
        <f>IFERROR(IF(VLOOKUP(Sun_W2[[#This Row],[Employee Name]],'Base Schedules'!$A$79:$AW$111,39,FALSE)="","",VLOOKUP(Sun_W2[[#This Row],[Employee Name]],'Base Schedules'!$A$79:$AW$111,39,FALSE)),"")</f>
        <v/>
      </c>
      <c r="AO21" s="184" t="str">
        <f>IFERROR(IF(VLOOKUP(Sun_W2[[#This Row],[Employee Name]],'Base Schedules'!$A$79:$AW$111,40,FALSE)="","",VLOOKUP(Sun_W2[[#This Row],[Employee Name]],'Base Schedules'!$A$79:$AW$111,40,FALSE)),"")</f>
        <v/>
      </c>
      <c r="AP21" s="184" t="str">
        <f>IFERROR(IF(VLOOKUP(Sun_W2[[#This Row],[Employee Name]],'Base Schedules'!$A$79:$AW$111,41,FALSE)="","",VLOOKUP(Sun_W2[[#This Row],[Employee Name]],'Base Schedules'!$A$79:$AW$111,41,FALSE)),"")</f>
        <v/>
      </c>
      <c r="AQ21" s="184" t="str">
        <f>IFERROR(IF(VLOOKUP(Sun_W2[[#This Row],[Employee Name]],'Base Schedules'!$A$79:$AW$111,42,FALSE)="","",VLOOKUP(Sun_W2[[#This Row],[Employee Name]],'Base Schedules'!$A$79:$AW$111,42,FALSE)),"")</f>
        <v/>
      </c>
      <c r="AR21" s="184" t="str">
        <f>IFERROR(IF(VLOOKUP(Sun_W2[[#This Row],[Employee Name]],'Base Schedules'!$A$79:$AW$111,43,FALSE)="","",VLOOKUP(Sun_W2[[#This Row],[Employee Name]],'Base Schedules'!$A$79:$AW$111,43,FALSE)),"")</f>
        <v/>
      </c>
      <c r="AS21" s="184" t="str">
        <f>IFERROR(IF(VLOOKUP(Sun_W2[[#This Row],[Employee Name]],'Base Schedules'!$A$79:$AW$111,44,FALSE)="","",VLOOKUP(Sun_W2[[#This Row],[Employee Name]],'Base Schedules'!$A$79:$AW$111,44,FALSE)),"")</f>
        <v/>
      </c>
      <c r="AT21" s="184" t="str">
        <f>IFERROR(IF(VLOOKUP(Sun_W2[[#This Row],[Employee Name]],'Base Schedules'!$A$79:$AW$111,45,FALSE)="","",VLOOKUP(Sun_W2[[#This Row],[Employee Name]],'Base Schedules'!$A$79:$AW$111,45,FALSE)),"")</f>
        <v/>
      </c>
      <c r="AU21" s="184" t="str">
        <f>IFERROR(IF(VLOOKUP(Sun_W2[[#This Row],[Employee Name]],'Base Schedules'!$A$79:$AW$111,46,FALSE)="","",VLOOKUP(Sun_W2[[#This Row],[Employee Name]],'Base Schedules'!$A$79:$AW$111,46,FALSE)),"")</f>
        <v/>
      </c>
      <c r="AV21" s="184" t="str">
        <f>IFERROR(IF(VLOOKUP(Sun_W2[[#This Row],[Employee Name]],'Base Schedules'!$A$79:$AW$111,47,FALSE)="","",VLOOKUP(Sun_W2[[#This Row],[Employee Name]],'Base Schedules'!$A$79:$AW$111,47,FALSE)),"")</f>
        <v/>
      </c>
      <c r="AW21" s="184" t="str">
        <f>IFERROR(IF(VLOOKUP(Sun_W2[[#This Row],[Employee Name]],'Base Schedules'!$A$79:$AW$111,48,FALSE)="","",VLOOKUP(Sun_W2[[#This Row],[Employee Name]],'Base Schedules'!$A$79:$AW$111,48,FALSE)),"")</f>
        <v/>
      </c>
      <c r="AX21" s="184" t="str">
        <f>IFERROR(IF(VLOOKUP(Sun_W2[[#This Row],[Employee Name]],'Base Schedules'!$A$79:$AW$111,49,FALSE)="","",VLOOKUP(Sun_W2[[#This Row],[Employee Name]],'Base Schedules'!$A$79:$AW$111,49,FALSE)),"")</f>
        <v/>
      </c>
      <c r="AY21" s="159" t="str">
        <f t="shared" si="2"/>
        <v>Goss, Ian</v>
      </c>
      <c r="AZ21" s="184" t="str">
        <f>IFERROR(IF(VLOOKUP(Sun_W1[[#This Row],[Employee Name]],'Base Schedules'!$A$79:$AW$111,48,FALSE)="","",VLOOKUP(Sun_W1[[#This Row],[Employee Name]],'Base Schedules'!$A$79:$AW$111,48,FALSE)),"")</f>
        <v/>
      </c>
      <c r="BA21" s="184" t="str">
        <f>IFERROR(IF(VLOOKUP(Sun_W1[[#This Row],[Employee Name]],'Base Schedules'!$A$79:$AW$111,49,FALSE)="","",VLOOKUP(Sun_W1[[#This Row],[Employee Name]],'Base Schedules'!$A$79:$AW$111,49,FALSE)),"")</f>
        <v/>
      </c>
    </row>
    <row r="22" spans="1:53" s="44" customFormat="1" ht="12" customHeight="1" x14ac:dyDescent="0.2">
      <c r="A22" s="39" t="str">
        <f>IF(B22="","",INDEX(TeamList[],MATCH($B22,TeamList[[Employee Name]:[Employee Name]],0),MATCH("Manager",TeamList[#Headers],0)))</f>
        <v>Olson, Katherine</v>
      </c>
      <c r="B22" s="201" t="s">
        <v>50</v>
      </c>
      <c r="C22" s="257" t="str">
        <f>_xlfn.IFNA(VLOOKUP(Sun_W2[[#This Row],[Employee Name]],'Base Schedules'!A:B,2,FALSE),"")</f>
        <v>Lead</v>
      </c>
      <c r="D22" s="274">
        <f>_xlfn.IFNA(VLOOKUP(Sun_W2[[#This Row],[Employee Name]],'Base Schedules'!A:C,3,FALSE),"")</f>
        <v>1200</v>
      </c>
      <c r="E22" s="354">
        <f>_xlfn.IFNA(VLOOKUP(Sun_W2[[#This Row],[Employee Name]],'Base Schedules'!A:D,4,FALSE),"")</f>
        <v>2230</v>
      </c>
      <c r="F22" s="358">
        <f>IF(Sun_W2[[#This Row],[Employee Name]]="","",IF(Sun_W2[[#This Row],[Dept]]="Supervisor",COUNTIFS($J22:$AX22,"*HL*",$J22:$AX22,"&lt;&gt;"&amp;"pHL"),COUNTIFS($J22:$AX22,"*HL*",$J22:$AX22,"&lt;&gt;"&amp;"*pHL*",$J22:$AX22,"&lt;&gt;"&amp;"pB1 HL",$J22:$AX22,"&lt;&gt;"&amp;"pB2 HL")-SUM(COUNTIFS($J22:$AX22,"*HL B1*",$J22:$AX22,"&lt;&gt;"&amp;"pHL B1")*0.5,COUNTIFS($J22:$AX22,"*HL B2*",$J22:$AX22,"&lt;&gt;"&amp;"pHL B2")*0.5,COUNTIFS($J22:$AX22,"*B1 HL*",$J22:$AX22,"&lt;&gt;"&amp;"pB1 HL")*0.5,COUNTIFS($J22:$AX22,"*B2 HL*",$J22:$AX22,"&lt;&gt;"&amp;"pB2 HL")*0.5)))</f>
        <v>10</v>
      </c>
      <c r="G22" s="142">
        <f t="shared" si="0"/>
        <v>0</v>
      </c>
      <c r="H22" s="142">
        <f t="shared" si="1"/>
        <v>7</v>
      </c>
      <c r="I22" s="142">
        <f>IF(Sun_W2[[#This Row],[Employee Name]]="","",IF(Sun_W2[[#This Row],[Dept]]="Supervisor",SUM(COUNTIFS($J22:$AX22,"RTA*",$J22:$AX22,"&lt;&gt;"&amp;"pRTA"),COUNTIFS($J22:$AX22,"*CRTA*",$J22:$AX22,"&lt;&gt;"&amp;"pCRTA")),COUNTIFS($J22:$AX22,"*RNNR*",$J22:$AX22,"&lt;&gt;"&amp;"*pRNNR*",$J22:$AX22,"&lt;&gt;"&amp;"pB1 RNNR",$J22:$AX22,"&lt;&gt;"&amp;"pB2 RNNR")-SUM(COUNTIFS($J22:$AX22,"*RNNR B1*",$J22:$AX22,"&lt;&gt;"&amp;"pRNNR B1")*0.5,COUNTIFS($J22:$AX22,"*RNNR B2*",$J22:$AX22,"&lt;&gt;"&amp;"pRNNR B2")*0.5,COUNTIFS($J22:$AX22,"*B1 RNNR*",$J22:$AX22,"&lt;&gt;"&amp;"pB1 RNNR")*0.5,COUNTIFS($J22:$AX22,"*B2 RNNR*",$J22:$AX22,"&lt;&gt;"&amp;"pB2 RNNR")*0.5)))</f>
        <v>2</v>
      </c>
      <c r="J22" s="184" t="str">
        <f>IFERROR(IF(VLOOKUP(Sun_W2[[#This Row],[Employee Name]],'Base Schedules'!$A$79:$AW$111,9,FALSE)="","",VLOOKUP(Sun_W2[[#This Row],[Employee Name]],'Base Schedules'!$A$79:$AW$111,9,FALSE)),"")</f>
        <v/>
      </c>
      <c r="K22" s="184" t="str">
        <f>IFERROR(IF(VLOOKUP(Sun_W2[[#This Row],[Employee Name]],'Base Schedules'!$A$79:$AW$111,10,FALSE)="","",VLOOKUP(Sun_W2[[#This Row],[Employee Name]],'Base Schedules'!$A$79:$AW$111,10,FALSE)),"")</f>
        <v/>
      </c>
      <c r="L22" s="184" t="str">
        <f>IFERROR(IF(VLOOKUP(Sun_W2[[#This Row],[Employee Name]],'Base Schedules'!$A$79:$AW$111,11,FALSE)="","",VLOOKUP(Sun_W2[[#This Row],[Employee Name]],'Base Schedules'!$A$79:$AW$111,11,FALSE)),"")</f>
        <v/>
      </c>
      <c r="M22" s="184" t="str">
        <f>IFERROR(IF(VLOOKUP(Sun_W2[[#This Row],[Employee Name]],'Base Schedules'!$A$79:$AW$111,12,FALSE)="","",VLOOKUP(Sun_W2[[#This Row],[Employee Name]],'Base Schedules'!$A$79:$AW$111,12,FALSE)),"")</f>
        <v/>
      </c>
      <c r="N22" s="184" t="str">
        <f>IFERROR(IF(VLOOKUP(Sun_W2[[#This Row],[Employee Name]],'Base Schedules'!$A$79:$AW$111,13,FALSE)="","",VLOOKUP(Sun_W2[[#This Row],[Employee Name]],'Base Schedules'!$A$79:$AW$111,13,FALSE)),"")</f>
        <v/>
      </c>
      <c r="O22" s="184" t="str">
        <f>IFERROR(IF(VLOOKUP(Sun_W2[[#This Row],[Employee Name]],'Base Schedules'!$A$79:$AW$111,14,FALSE)="","",VLOOKUP(Sun_W2[[#This Row],[Employee Name]],'Base Schedules'!$A$79:$AW$111,14,FALSE)),"")</f>
        <v/>
      </c>
      <c r="P22" s="184" t="str">
        <f>IFERROR(IF(VLOOKUP(Sun_W2[[#This Row],[Employee Name]],'Base Schedules'!$A$79:$AW$111,15,FALSE)="","",VLOOKUP(Sun_W2[[#This Row],[Employee Name]],'Base Schedules'!$A$79:$AW$111,15,FALSE)),"")</f>
        <v/>
      </c>
      <c r="Q22" s="184" t="str">
        <f>IFERROR(IF(VLOOKUP(Sun_W2[[#This Row],[Employee Name]],'Base Schedules'!$A$79:$AW$111,16,FALSE)="","",VLOOKUP(Sun_W2[[#This Row],[Employee Name]],'Base Schedules'!$A$79:$AW$111,16,FALSE)),"")</f>
        <v/>
      </c>
      <c r="R22" s="184" t="str">
        <f>IFERROR(IF(VLOOKUP(Sun_W2[[#This Row],[Employee Name]],'Base Schedules'!$A$79:$AW$111,17,FALSE)="","",VLOOKUP(Sun_W2[[#This Row],[Employee Name]],'Base Schedules'!$A$79:$AW$111,17,FALSE)),"")</f>
        <v/>
      </c>
      <c r="S22" s="184" t="str">
        <f>IFERROR(IF(VLOOKUP(Sun_W2[[#This Row],[Employee Name]],'Base Schedules'!$A$79:$AW$111,18,FALSE)="","",VLOOKUP(Sun_W2[[#This Row],[Employee Name]],'Base Schedules'!$A$79:$AW$111,18,FALSE)),"")</f>
        <v/>
      </c>
      <c r="T22" s="184" t="str">
        <f>IFERROR(IF(VLOOKUP(Sun_W2[[#This Row],[Employee Name]],'Base Schedules'!$A$79:$AW$111,19,FALSE)="","",VLOOKUP(Sun_W2[[#This Row],[Employee Name]],'Base Schedules'!$A$79:$AW$111,19,FALSE)),"")</f>
        <v/>
      </c>
      <c r="U22" s="184" t="str">
        <f>IFERROR(IF(VLOOKUP(Sun_W2[[#This Row],[Employee Name]],'Base Schedules'!$A$79:$AW$111,20,FALSE)="","",VLOOKUP(Sun_W2[[#This Row],[Employee Name]],'Base Schedules'!$A$79:$AW$111,20,FALSE)),"")</f>
        <v/>
      </c>
      <c r="V22" s="184" t="str">
        <f>IFERROR(IF(VLOOKUP(Sun_W2[[#This Row],[Employee Name]],'Base Schedules'!$A$79:$AW$111,21,FALSE)="","",VLOOKUP(Sun_W2[[#This Row],[Employee Name]],'Base Schedules'!$A$79:$AW$111,21,FALSE)),"")</f>
        <v/>
      </c>
      <c r="W22" s="184" t="str">
        <f>IFERROR(IF(VLOOKUP(Sun_W2[[#This Row],[Employee Name]],'Base Schedules'!$A$79:$AW$111,22,FALSE)="","",VLOOKUP(Sun_W2[[#This Row],[Employee Name]],'Base Schedules'!$A$79:$AW$111,22,FALSE)),"")</f>
        <v/>
      </c>
      <c r="X22" s="184" t="str">
        <f>IFERROR(IF(VLOOKUP(Sun_W2[[#This Row],[Employee Name]],'Base Schedules'!$A$79:$AW$111,23,FALSE)="","",VLOOKUP(Sun_W2[[#This Row],[Employee Name]],'Base Schedules'!$A$79:$AW$111,23,FALSE)),"")</f>
        <v>ADM</v>
      </c>
      <c r="Y22" s="184" t="str">
        <f>IFERROR(IF(VLOOKUP(Sun_W2[[#This Row],[Employee Name]],'Base Schedules'!$A$79:$AW$111,24,FALSE)="","",VLOOKUP(Sun_W2[[#This Row],[Employee Name]],'Base Schedules'!$A$79:$AW$111,24,FALSE)),"")</f>
        <v>ADM</v>
      </c>
      <c r="Z22" s="184" t="str">
        <f>IFERROR(IF(VLOOKUP(Sun_W2[[#This Row],[Employee Name]],'Base Schedules'!$A$79:$AW$111,25,FALSE)="","",VLOOKUP(Sun_W2[[#This Row],[Employee Name]],'Base Schedules'!$A$79:$AW$111,25,FALSE)),"")</f>
        <v>ADM</v>
      </c>
      <c r="AA22" s="184" t="str">
        <f>IFERROR(IF(VLOOKUP(Sun_W2[[#This Row],[Employee Name]],'Base Schedules'!$A$79:$AW$111,26,FALSE)="","",VLOOKUP(Sun_W2[[#This Row],[Employee Name]],'Base Schedules'!$A$79:$AW$111,26,FALSE)),"")</f>
        <v>ADM</v>
      </c>
      <c r="AB22" s="184" t="str">
        <f>IFERROR(IF(VLOOKUP(Sun_W2[[#This Row],[Employee Name]],'Base Schedules'!$A$79:$AW$111,27,FALSE)="","",VLOOKUP(Sun_W2[[#This Row],[Employee Name]],'Base Schedules'!$A$79:$AW$111,27,FALSE)),"")</f>
        <v>ADM</v>
      </c>
      <c r="AC22" s="184" t="str">
        <f>IFERROR(IF(VLOOKUP(Sun_W2[[#This Row],[Employee Name]],'Base Schedules'!$A$79:$AW$111,28,FALSE)="","",VLOOKUP(Sun_W2[[#This Row],[Employee Name]],'Base Schedules'!$A$79:$AW$111,28,FALSE)),"")</f>
        <v>B1 HL</v>
      </c>
      <c r="AD22" s="184" t="str">
        <f>IFERROR(IF(VLOOKUP(Sun_W2[[#This Row],[Employee Name]],'Base Schedules'!$A$79:$AW$111,29,FALSE)="","",VLOOKUP(Sun_W2[[#This Row],[Employee Name]],'Base Schedules'!$A$79:$AW$111,29,FALSE)),"")</f>
        <v>HL</v>
      </c>
      <c r="AE22" s="184" t="str">
        <f>IFERROR(IF(VLOOKUP(Sun_W2[[#This Row],[Employee Name]],'Base Schedules'!$A$79:$AW$111,30,FALSE)="","",VLOOKUP(Sun_W2[[#This Row],[Employee Name]],'Base Schedules'!$A$79:$AW$111,30,FALSE)),"")</f>
        <v>HL</v>
      </c>
      <c r="AF22" s="184" t="str">
        <f>IFERROR(IF(VLOOKUP(Sun_W2[[#This Row],[Employee Name]],'Base Schedules'!$A$79:$AW$111,31,FALSE)="","",VLOOKUP(Sun_W2[[#This Row],[Employee Name]],'Base Schedules'!$A$79:$AW$111,31,FALSE)),"")</f>
        <v>HL</v>
      </c>
      <c r="AG22" s="184" t="str">
        <f>IFERROR(IF(VLOOKUP(Sun_W2[[#This Row],[Employee Name]],'Base Schedules'!$A$79:$AW$111,32,FALSE)="","",VLOOKUP(Sun_W2[[#This Row],[Employee Name]],'Base Schedules'!$A$79:$AW$111,32,FALSE)),"")</f>
        <v>HL</v>
      </c>
      <c r="AH22" s="184" t="str">
        <f>IFERROR(IF(VLOOKUP(Sun_W2[[#This Row],[Employee Name]],'Base Schedules'!$A$79:$AW$111,33,FALSE)="","",VLOOKUP(Sun_W2[[#This Row],[Employee Name]],'Base Schedules'!$A$79:$AW$111,33,FALSE)),"")</f>
        <v>LUNCH</v>
      </c>
      <c r="AI22" s="184" t="str">
        <f>IFERROR(IF(VLOOKUP(Sun_W2[[#This Row],[Employee Name]],'Base Schedules'!$A$79:$AW$111,34,FALSE)="","",VLOOKUP(Sun_W2[[#This Row],[Employee Name]],'Base Schedules'!$A$79:$AW$111,34,FALSE)),"")</f>
        <v>LUNCH</v>
      </c>
      <c r="AJ22" s="184" t="str">
        <f>IFERROR(IF(VLOOKUP(Sun_W2[[#This Row],[Employee Name]],'Base Schedules'!$A$79:$AW$111,35,FALSE)="","",VLOOKUP(Sun_W2[[#This Row],[Employee Name]],'Base Schedules'!$A$79:$AW$111,35,FALSE)),"")</f>
        <v>ADM</v>
      </c>
      <c r="AK22" s="184" t="str">
        <f>IFERROR(IF(VLOOKUP(Sun_W2[[#This Row],[Employee Name]],'Base Schedules'!$A$79:$AW$111,36,FALSE)="","",VLOOKUP(Sun_W2[[#This Row],[Employee Name]],'Base Schedules'!$A$79:$AW$111,36,FALSE)),"")</f>
        <v>ADM</v>
      </c>
      <c r="AL22" s="184" t="str">
        <f>IFERROR(IF(VLOOKUP(Sun_W2[[#This Row],[Employee Name]],'Base Schedules'!$A$79:$AW$111,37,FALSE)="","",VLOOKUP(Sun_W2[[#This Row],[Employee Name]],'Base Schedules'!$A$79:$AW$111,37,FALSE)),"")</f>
        <v>RNNR</v>
      </c>
      <c r="AM22" s="184" t="str">
        <f>IFERROR(IF(VLOOKUP(Sun_W2[[#This Row],[Employee Name]],'Base Schedules'!$A$79:$AW$111,38,FALSE)="","",VLOOKUP(Sun_W2[[#This Row],[Employee Name]],'Base Schedules'!$A$79:$AW$111,38,FALSE)),"")</f>
        <v>RNNR</v>
      </c>
      <c r="AN22" s="184" t="str">
        <f>IFERROR(IF(VLOOKUP(Sun_W2[[#This Row],[Employee Name]],'Base Schedules'!$A$79:$AW$111,39,FALSE)="","",VLOOKUP(Sun_W2[[#This Row],[Employee Name]],'Base Schedules'!$A$79:$AW$111,39,FALSE)),"")</f>
        <v>HL B2</v>
      </c>
      <c r="AO22" s="184" t="str">
        <f>IFERROR(IF(VLOOKUP(Sun_W2[[#This Row],[Employee Name]],'Base Schedules'!$A$79:$AW$111,40,FALSE)="","",VLOOKUP(Sun_W2[[#This Row],[Employee Name]],'Base Schedules'!$A$79:$AW$111,40,FALSE)),"")</f>
        <v>HL</v>
      </c>
      <c r="AP22" s="184" t="str">
        <f>IFERROR(IF(VLOOKUP(Sun_W2[[#This Row],[Employee Name]],'Base Schedules'!$A$79:$AW$111,41,FALSE)="","",VLOOKUP(Sun_W2[[#This Row],[Employee Name]],'Base Schedules'!$A$79:$AW$111,41,FALSE)),"")</f>
        <v>HL</v>
      </c>
      <c r="AQ22" s="184" t="str">
        <f>IFERROR(IF(VLOOKUP(Sun_W2[[#This Row],[Employee Name]],'Base Schedules'!$A$79:$AW$111,42,FALSE)="","",VLOOKUP(Sun_W2[[#This Row],[Employee Name]],'Base Schedules'!$A$79:$AW$111,42,FALSE)),"")</f>
        <v>HL</v>
      </c>
      <c r="AR22" s="184" t="str">
        <f>IFERROR(IF(VLOOKUP(Sun_W2[[#This Row],[Employee Name]],'Base Schedules'!$A$79:$AW$111,43,FALSE)="","",VLOOKUP(Sun_W2[[#This Row],[Employee Name]],'Base Schedules'!$A$79:$AW$111,43,FALSE)),"")</f>
        <v>HL</v>
      </c>
      <c r="AS22" s="184" t="str">
        <f>IFERROR(IF(VLOOKUP(Sun_W2[[#This Row],[Employee Name]],'Base Schedules'!$A$79:$AW$111,44,FALSE)="","",VLOOKUP(Sun_W2[[#This Row],[Employee Name]],'Base Schedules'!$A$79:$AW$111,44,FALSE)),"")</f>
        <v>HL</v>
      </c>
      <c r="AT22" s="184" t="str">
        <f>IFERROR(IF(VLOOKUP(Sun_W2[[#This Row],[Employee Name]],'Base Schedules'!$A$79:$AW$111,45,FALSE)="","",VLOOKUP(Sun_W2[[#This Row],[Employee Name]],'Base Schedules'!$A$79:$AW$111,45,FALSE)),"")</f>
        <v/>
      </c>
      <c r="AU22" s="184" t="str">
        <f>IFERROR(IF(VLOOKUP(Sun_W2[[#This Row],[Employee Name]],'Base Schedules'!$A$79:$AW$111,46,FALSE)="","",VLOOKUP(Sun_W2[[#This Row],[Employee Name]],'Base Schedules'!$A$79:$AW$111,46,FALSE)),"")</f>
        <v/>
      </c>
      <c r="AV22" s="184" t="str">
        <f>IFERROR(IF(VLOOKUP(Sun_W2[[#This Row],[Employee Name]],'Base Schedules'!$A$79:$AW$111,47,FALSE)="","",VLOOKUP(Sun_W2[[#This Row],[Employee Name]],'Base Schedules'!$A$79:$AW$111,47,FALSE)),"")</f>
        <v/>
      </c>
      <c r="AW22" s="184" t="str">
        <f>IFERROR(IF(VLOOKUP(Sun_W2[[#This Row],[Employee Name]],'Base Schedules'!$A$79:$AW$111,48,FALSE)="","",VLOOKUP(Sun_W2[[#This Row],[Employee Name]],'Base Schedules'!$A$79:$AW$111,48,FALSE)),"")</f>
        <v/>
      </c>
      <c r="AX22" s="184" t="str">
        <f>IFERROR(IF(VLOOKUP(Sun_W2[[#This Row],[Employee Name]],'Base Schedules'!$A$79:$AW$111,49,FALSE)="","",VLOOKUP(Sun_W2[[#This Row],[Employee Name]],'Base Schedules'!$A$79:$AW$111,49,FALSE)),"")</f>
        <v/>
      </c>
      <c r="AY22" s="159" t="str">
        <f t="shared" si="2"/>
        <v>Floirendo, Nicholas</v>
      </c>
      <c r="AZ22" s="184" t="str">
        <f>IFERROR(IF(VLOOKUP(Sun_W1[[#This Row],[Employee Name]],'Base Schedules'!$A$79:$AW$111,48,FALSE)="","",VLOOKUP(Sun_W1[[#This Row],[Employee Name]],'Base Schedules'!$A$79:$AW$111,48,FALSE)),"")</f>
        <v/>
      </c>
      <c r="BA22" s="184" t="str">
        <f>IFERROR(IF(VLOOKUP(Sun_W1[[#This Row],[Employee Name]],'Base Schedules'!$A$79:$AW$111,49,FALSE)="","",VLOOKUP(Sun_W1[[#This Row],[Employee Name]],'Base Schedules'!$A$79:$AW$111,49,FALSE)),"")</f>
        <v/>
      </c>
    </row>
    <row r="23" spans="1:53" s="44" customFormat="1" ht="12" customHeight="1" x14ac:dyDescent="0.2">
      <c r="A23" s="39" t="str">
        <f>IF(B23="","",INDEX(TeamList[],MATCH($B23,TeamList[[Employee Name]:[Employee Name]],0),MATCH("Manager",TeamList[#Headers],0)))</f>
        <v>Olson, Katherine</v>
      </c>
      <c r="B23" s="201" t="s">
        <v>226</v>
      </c>
      <c r="C23" s="257" t="str">
        <f>_xlfn.IFNA(VLOOKUP(Sun_W2[[#This Row],[Employee Name]],'Base Schedules'!A:B,2,FALSE),"")</f>
        <v>Lead</v>
      </c>
      <c r="D23" s="274">
        <f>_xlfn.IFNA(VLOOKUP(Sun_W2[[#This Row],[Employee Name]],'Base Schedules'!A:C,3,FALSE),"")</f>
        <v>1200</v>
      </c>
      <c r="E23" s="354">
        <f>_xlfn.IFNA(VLOOKUP(Sun_W2[[#This Row],[Employee Name]],'Base Schedules'!A:D,4,FALSE),"")</f>
        <v>2030</v>
      </c>
      <c r="F23" s="358">
        <f>IF(Sun_W2[[#This Row],[Employee Name]]="","",IF(Sun_W2[[#This Row],[Dept]]="Supervisor",COUNTIFS($J23:$AX23,"*HL*",$J23:$AX23,"&lt;&gt;"&amp;"pHL"),COUNTIFS($J23:$AX23,"*HL*",$J23:$AX23,"&lt;&gt;"&amp;"*pHL*",$J23:$AX23,"&lt;&gt;"&amp;"pB1 HL",$J23:$AX23,"&lt;&gt;"&amp;"pB2 HL")-SUM(COUNTIFS($J23:$AX23,"*HL B1*",$J23:$AX23,"&lt;&gt;"&amp;"pHL B1")*0.5,COUNTIFS($J23:$AX23,"*HL B2*",$J23:$AX23,"&lt;&gt;"&amp;"pHL B2")*0.5,COUNTIFS($J23:$AX23,"*B1 HL*",$J23:$AX23,"&lt;&gt;"&amp;"pB1 HL")*0.5,COUNTIFS($J23:$AX23,"*B2 HL*",$J23:$AX23,"&lt;&gt;"&amp;"pB2 HL")*0.5)))</f>
        <v>6</v>
      </c>
      <c r="G23" s="142">
        <f t="shared" si="0"/>
        <v>0</v>
      </c>
      <c r="H23" s="142">
        <f t="shared" si="1"/>
        <v>8</v>
      </c>
      <c r="I23" s="142">
        <f>IF(Sun_W2[[#This Row],[Employee Name]]="","",IF(Sun_W2[[#This Row],[Dept]]="Supervisor",SUM(COUNTIFS($J23:$AX23,"RTA*",$J23:$AX23,"&lt;&gt;"&amp;"pRTA"),COUNTIFS($J23:$AX23,"*CRTA*",$J23:$AX23,"&lt;&gt;"&amp;"pCRTA")),COUNTIFS($J23:$AX23,"*RNNR*",$J23:$AX23,"&lt;&gt;"&amp;"*pRNNR*",$J23:$AX23,"&lt;&gt;"&amp;"pB1 RNNR",$J23:$AX23,"&lt;&gt;"&amp;"pB2 RNNR")-SUM(COUNTIFS($J23:$AX23,"*RNNR B1*",$J23:$AX23,"&lt;&gt;"&amp;"pRNNR B1")*0.5,COUNTIFS($J23:$AX23,"*RNNR B2*",$J23:$AX23,"&lt;&gt;"&amp;"pRNNR B2")*0.5,COUNTIFS($J23:$AX23,"*B1 RNNR*",$J23:$AX23,"&lt;&gt;"&amp;"pB1 RNNR")*0.5,COUNTIFS($J23:$AX23,"*B2 RNNR*",$J23:$AX23,"&lt;&gt;"&amp;"pB2 RNNR")*0.5)))</f>
        <v>2</v>
      </c>
      <c r="J23" s="184" t="str">
        <f>IFERROR(IF(VLOOKUP(Sun_W2[[#This Row],[Employee Name]],'Base Schedules'!$A$79:$AW$111,9,FALSE)="","",VLOOKUP(Sun_W2[[#This Row],[Employee Name]],'Base Schedules'!$A$79:$AW$111,9,FALSE)),"")</f>
        <v/>
      </c>
      <c r="K23" s="184" t="str">
        <f>IFERROR(IF(VLOOKUP(Sun_W2[[#This Row],[Employee Name]],'Base Schedules'!$A$79:$AW$111,10,FALSE)="","",VLOOKUP(Sun_W2[[#This Row],[Employee Name]],'Base Schedules'!$A$79:$AW$111,10,FALSE)),"")</f>
        <v/>
      </c>
      <c r="L23" s="184" t="str">
        <f>IFERROR(IF(VLOOKUP(Sun_W2[[#This Row],[Employee Name]],'Base Schedules'!$A$79:$AW$111,11,FALSE)="","",VLOOKUP(Sun_W2[[#This Row],[Employee Name]],'Base Schedules'!$A$79:$AW$111,11,FALSE)),"")</f>
        <v/>
      </c>
      <c r="M23" s="184" t="str">
        <f>IFERROR(IF(VLOOKUP(Sun_W2[[#This Row],[Employee Name]],'Base Schedules'!$A$79:$AW$111,12,FALSE)="","",VLOOKUP(Sun_W2[[#This Row],[Employee Name]],'Base Schedules'!$A$79:$AW$111,12,FALSE)),"")</f>
        <v/>
      </c>
      <c r="N23" s="184" t="str">
        <f>IFERROR(IF(VLOOKUP(Sun_W2[[#This Row],[Employee Name]],'Base Schedules'!$A$79:$AW$111,13,FALSE)="","",VLOOKUP(Sun_W2[[#This Row],[Employee Name]],'Base Schedules'!$A$79:$AW$111,13,FALSE)),"")</f>
        <v/>
      </c>
      <c r="O23" s="184" t="str">
        <f>IFERROR(IF(VLOOKUP(Sun_W2[[#This Row],[Employee Name]],'Base Schedules'!$A$79:$AW$111,14,FALSE)="","",VLOOKUP(Sun_W2[[#This Row],[Employee Name]],'Base Schedules'!$A$79:$AW$111,14,FALSE)),"")</f>
        <v/>
      </c>
      <c r="P23" s="184" t="str">
        <f>IFERROR(IF(VLOOKUP(Sun_W2[[#This Row],[Employee Name]],'Base Schedules'!$A$79:$AW$111,15,FALSE)="","",VLOOKUP(Sun_W2[[#This Row],[Employee Name]],'Base Schedules'!$A$79:$AW$111,15,FALSE)),"")</f>
        <v/>
      </c>
      <c r="Q23" s="184" t="str">
        <f>IFERROR(IF(VLOOKUP(Sun_W2[[#This Row],[Employee Name]],'Base Schedules'!$A$79:$AW$111,16,FALSE)="","",VLOOKUP(Sun_W2[[#This Row],[Employee Name]],'Base Schedules'!$A$79:$AW$111,16,FALSE)),"")</f>
        <v/>
      </c>
      <c r="R23" s="184" t="str">
        <f>IFERROR(IF(VLOOKUP(Sun_W2[[#This Row],[Employee Name]],'Base Schedules'!$A$79:$AW$111,17,FALSE)="","",VLOOKUP(Sun_W2[[#This Row],[Employee Name]],'Base Schedules'!$A$79:$AW$111,17,FALSE)),"")</f>
        <v/>
      </c>
      <c r="S23" s="184" t="str">
        <f>IFERROR(IF(VLOOKUP(Sun_W2[[#This Row],[Employee Name]],'Base Schedules'!$A$79:$AW$111,18,FALSE)="","",VLOOKUP(Sun_W2[[#This Row],[Employee Name]],'Base Schedules'!$A$79:$AW$111,18,FALSE)),"")</f>
        <v/>
      </c>
      <c r="T23" s="184" t="str">
        <f>IFERROR(IF(VLOOKUP(Sun_W2[[#This Row],[Employee Name]],'Base Schedules'!$A$79:$AW$111,19,FALSE)="","",VLOOKUP(Sun_W2[[#This Row],[Employee Name]],'Base Schedules'!$A$79:$AW$111,19,FALSE)),"")</f>
        <v/>
      </c>
      <c r="U23" s="184" t="str">
        <f>IFERROR(IF(VLOOKUP(Sun_W2[[#This Row],[Employee Name]],'Base Schedules'!$A$79:$AW$111,20,FALSE)="","",VLOOKUP(Sun_W2[[#This Row],[Employee Name]],'Base Schedules'!$A$79:$AW$111,20,FALSE)),"")</f>
        <v/>
      </c>
      <c r="V23" s="184" t="str">
        <f>IFERROR(IF(VLOOKUP(Sun_W2[[#This Row],[Employee Name]],'Base Schedules'!$A$79:$AW$111,21,FALSE)="","",VLOOKUP(Sun_W2[[#This Row],[Employee Name]],'Base Schedules'!$A$79:$AW$111,21,FALSE)),"")</f>
        <v/>
      </c>
      <c r="W23" s="184" t="str">
        <f>IFERROR(IF(VLOOKUP(Sun_W2[[#This Row],[Employee Name]],'Base Schedules'!$A$79:$AW$111,22,FALSE)="","",VLOOKUP(Sun_W2[[#This Row],[Employee Name]],'Base Schedules'!$A$79:$AW$111,22,FALSE)),"")</f>
        <v/>
      </c>
      <c r="X23" s="184" t="str">
        <f>IFERROR(IF(VLOOKUP(Sun_W2[[#This Row],[Employee Name]],'Base Schedules'!$A$79:$AW$111,23,FALSE)="","",VLOOKUP(Sun_W2[[#This Row],[Employee Name]],'Base Schedules'!$A$79:$AW$111,23,FALSE)),"")</f>
        <v>HL</v>
      </c>
      <c r="Y23" s="184" t="str">
        <f>IFERROR(IF(VLOOKUP(Sun_W2[[#This Row],[Employee Name]],'Base Schedules'!$A$79:$AW$111,24,FALSE)="","",VLOOKUP(Sun_W2[[#This Row],[Employee Name]],'Base Schedules'!$A$79:$AW$111,24,FALSE)),"")</f>
        <v>HL</v>
      </c>
      <c r="Z23" s="184" t="str">
        <f>IFERROR(IF(VLOOKUP(Sun_W2[[#This Row],[Employee Name]],'Base Schedules'!$A$79:$AW$111,25,FALSE)="","",VLOOKUP(Sun_W2[[#This Row],[Employee Name]],'Base Schedules'!$A$79:$AW$111,25,FALSE)),"")</f>
        <v>ADM</v>
      </c>
      <c r="AA23" s="184" t="str">
        <f>IFERROR(IF(VLOOKUP(Sun_W2[[#This Row],[Employee Name]],'Base Schedules'!$A$79:$AW$111,26,FALSE)="","",VLOOKUP(Sun_W2[[#This Row],[Employee Name]],'Base Schedules'!$A$79:$AW$111,26,FALSE)),"")</f>
        <v>ADM B1</v>
      </c>
      <c r="AB23" s="184" t="str">
        <f>IFERROR(IF(VLOOKUP(Sun_W2[[#This Row],[Employee Name]],'Base Schedules'!$A$79:$AW$111,27,FALSE)="","",VLOOKUP(Sun_W2[[#This Row],[Employee Name]],'Base Schedules'!$A$79:$AW$111,27,FALSE)),"")</f>
        <v>ADM</v>
      </c>
      <c r="AC23" s="184" t="str">
        <f>IFERROR(IF(VLOOKUP(Sun_W2[[#This Row],[Employee Name]],'Base Schedules'!$A$79:$AW$111,28,FALSE)="","",VLOOKUP(Sun_W2[[#This Row],[Employee Name]],'Base Schedules'!$A$79:$AW$111,28,FALSE)),"")</f>
        <v>HL</v>
      </c>
      <c r="AD23" s="184" t="str">
        <f>IFERROR(IF(VLOOKUP(Sun_W2[[#This Row],[Employee Name]],'Base Schedules'!$A$79:$AW$111,29,FALSE)="","",VLOOKUP(Sun_W2[[#This Row],[Employee Name]],'Base Schedules'!$A$79:$AW$111,29,FALSE)),"")</f>
        <v>RNNR</v>
      </c>
      <c r="AE23" s="184" t="str">
        <f>IFERROR(IF(VLOOKUP(Sun_W2[[#This Row],[Employee Name]],'Base Schedules'!$A$79:$AW$111,30,FALSE)="","",VLOOKUP(Sun_W2[[#This Row],[Employee Name]],'Base Schedules'!$A$79:$AW$111,30,FALSE)),"")</f>
        <v>RNNR</v>
      </c>
      <c r="AF23" s="184" t="str">
        <f>IFERROR(IF(VLOOKUP(Sun_W2[[#This Row],[Employee Name]],'Base Schedules'!$A$79:$AW$111,31,FALSE)="","",VLOOKUP(Sun_W2[[#This Row],[Employee Name]],'Base Schedules'!$A$79:$AW$111,31,FALSE)),"")</f>
        <v>LUNCH</v>
      </c>
      <c r="AG23" s="184" t="str">
        <f>IFERROR(IF(VLOOKUP(Sun_W2[[#This Row],[Employee Name]],'Base Schedules'!$A$79:$AW$111,32,FALSE)="","",VLOOKUP(Sun_W2[[#This Row],[Employee Name]],'Base Schedules'!$A$79:$AW$111,32,FALSE)),"")</f>
        <v>ADM</v>
      </c>
      <c r="AH23" s="184" t="str">
        <f>IFERROR(IF(VLOOKUP(Sun_W2[[#This Row],[Employee Name]],'Base Schedules'!$A$79:$AW$111,33,FALSE)="","",VLOOKUP(Sun_W2[[#This Row],[Employee Name]],'Base Schedules'!$A$79:$AW$111,33,FALSE)),"")</f>
        <v>ADM</v>
      </c>
      <c r="AI23" s="184" t="str">
        <f>IFERROR(IF(VLOOKUP(Sun_W2[[#This Row],[Employee Name]],'Base Schedules'!$A$79:$AW$111,34,FALSE)="","",VLOOKUP(Sun_W2[[#This Row],[Employee Name]],'Base Schedules'!$A$79:$AW$111,34,FALSE)),"")</f>
        <v>ADM</v>
      </c>
      <c r="AJ23" s="184" t="str">
        <f>IFERROR(IF(VLOOKUP(Sun_W2[[#This Row],[Employee Name]],'Base Schedules'!$A$79:$AW$111,35,FALSE)="","",VLOOKUP(Sun_W2[[#This Row],[Employee Name]],'Base Schedules'!$A$79:$AW$111,35,FALSE)),"")</f>
        <v>B2 ADM</v>
      </c>
      <c r="AK23" s="184" t="str">
        <f>IFERROR(IF(VLOOKUP(Sun_W2[[#This Row],[Employee Name]],'Base Schedules'!$A$79:$AW$111,36,FALSE)="","",VLOOKUP(Sun_W2[[#This Row],[Employee Name]],'Base Schedules'!$A$79:$AW$111,36,FALSE)),"")</f>
        <v>HL</v>
      </c>
      <c r="AL23" s="184" t="str">
        <f>IFERROR(IF(VLOOKUP(Sun_W2[[#This Row],[Employee Name]],'Base Schedules'!$A$79:$AW$111,37,FALSE)="","",VLOOKUP(Sun_W2[[#This Row],[Employee Name]],'Base Schedules'!$A$79:$AW$111,37,FALSE)),"")</f>
        <v>HL</v>
      </c>
      <c r="AM23" s="184" t="str">
        <f>IFERROR(IF(VLOOKUP(Sun_W2[[#This Row],[Employee Name]],'Base Schedules'!$A$79:$AW$111,38,FALSE)="","",VLOOKUP(Sun_W2[[#This Row],[Employee Name]],'Base Schedules'!$A$79:$AW$111,38,FALSE)),"")</f>
        <v>ADM</v>
      </c>
      <c r="AN23" s="184" t="str">
        <f>IFERROR(IF(VLOOKUP(Sun_W2[[#This Row],[Employee Name]],'Base Schedules'!$A$79:$AW$111,39,FALSE)="","",VLOOKUP(Sun_W2[[#This Row],[Employee Name]],'Base Schedules'!$A$79:$AW$111,39,FALSE)),"")</f>
        <v>HL</v>
      </c>
      <c r="AO23" s="184" t="str">
        <f>IFERROR(IF(VLOOKUP(Sun_W2[[#This Row],[Employee Name]],'Base Schedules'!$A$79:$AW$111,40,FALSE)="","",VLOOKUP(Sun_W2[[#This Row],[Employee Name]],'Base Schedules'!$A$79:$AW$111,40,FALSE)),"")</f>
        <v/>
      </c>
      <c r="AP23" s="184" t="str">
        <f>IFERROR(IF(VLOOKUP(Sun_W2[[#This Row],[Employee Name]],'Base Schedules'!$A$79:$AW$111,41,FALSE)="","",VLOOKUP(Sun_W2[[#This Row],[Employee Name]],'Base Schedules'!$A$79:$AW$111,41,FALSE)),"")</f>
        <v/>
      </c>
      <c r="AQ23" s="184" t="str">
        <f>IFERROR(IF(VLOOKUP(Sun_W2[[#This Row],[Employee Name]],'Base Schedules'!$A$79:$AW$111,42,FALSE)="","",VLOOKUP(Sun_W2[[#This Row],[Employee Name]],'Base Schedules'!$A$79:$AW$111,42,FALSE)),"")</f>
        <v/>
      </c>
      <c r="AR23" s="184" t="str">
        <f>IFERROR(IF(VLOOKUP(Sun_W2[[#This Row],[Employee Name]],'Base Schedules'!$A$79:$AW$111,43,FALSE)="","",VLOOKUP(Sun_W2[[#This Row],[Employee Name]],'Base Schedules'!$A$79:$AW$111,43,FALSE)),"")</f>
        <v/>
      </c>
      <c r="AS23" s="184" t="str">
        <f>IFERROR(IF(VLOOKUP(Sun_W2[[#This Row],[Employee Name]],'Base Schedules'!$A$79:$AW$111,44,FALSE)="","",VLOOKUP(Sun_W2[[#This Row],[Employee Name]],'Base Schedules'!$A$79:$AW$111,44,FALSE)),"")</f>
        <v/>
      </c>
      <c r="AT23" s="184" t="str">
        <f>IFERROR(IF(VLOOKUP(Sun_W2[[#This Row],[Employee Name]],'Base Schedules'!$A$79:$AW$111,45,FALSE)="","",VLOOKUP(Sun_W2[[#This Row],[Employee Name]],'Base Schedules'!$A$79:$AW$111,45,FALSE)),"")</f>
        <v/>
      </c>
      <c r="AU23" s="184" t="str">
        <f>IFERROR(IF(VLOOKUP(Sun_W2[[#This Row],[Employee Name]],'Base Schedules'!$A$79:$AW$111,46,FALSE)="","",VLOOKUP(Sun_W2[[#This Row],[Employee Name]],'Base Schedules'!$A$79:$AW$111,46,FALSE)),"")</f>
        <v/>
      </c>
      <c r="AV23" s="184" t="str">
        <f>IFERROR(IF(VLOOKUP(Sun_W2[[#This Row],[Employee Name]],'Base Schedules'!$A$79:$AW$111,47,FALSE)="","",VLOOKUP(Sun_W2[[#This Row],[Employee Name]],'Base Schedules'!$A$79:$AW$111,47,FALSE)),"")</f>
        <v/>
      </c>
      <c r="AW23" s="184" t="str">
        <f>IFERROR(IF(VLOOKUP(Sun_W2[[#This Row],[Employee Name]],'Base Schedules'!$A$79:$AW$111,48,FALSE)="","",VLOOKUP(Sun_W2[[#This Row],[Employee Name]],'Base Schedules'!$A$79:$AW$111,48,FALSE)),"")</f>
        <v/>
      </c>
      <c r="AX23" s="184" t="str">
        <f>IFERROR(IF(VLOOKUP(Sun_W2[[#This Row],[Employee Name]],'Base Schedules'!$A$79:$AW$111,49,FALSE)="","",VLOOKUP(Sun_W2[[#This Row],[Employee Name]],'Base Schedules'!$A$79:$AW$111,49,FALSE)),"")</f>
        <v/>
      </c>
      <c r="AY23" s="159" t="str">
        <f t="shared" si="2"/>
        <v>Harding, Mickeya</v>
      </c>
      <c r="AZ23" s="184" t="str">
        <f>IFERROR(IF(VLOOKUP(Sun_W1[[#This Row],[Employee Name]],'Base Schedules'!$A$79:$AW$111,48,FALSE)="","",VLOOKUP(Sun_W1[[#This Row],[Employee Name]],'Base Schedules'!$A$79:$AW$111,48,FALSE)),"")</f>
        <v/>
      </c>
      <c r="BA23" s="184" t="str">
        <f>IFERROR(IF(VLOOKUP(Sun_W1[[#This Row],[Employee Name]],'Base Schedules'!$A$79:$AW$111,49,FALSE)="","",VLOOKUP(Sun_W1[[#This Row],[Employee Name]],'Base Schedules'!$A$79:$AW$111,49,FALSE)),"")</f>
        <v/>
      </c>
    </row>
    <row r="24" spans="1:53" s="44" customFormat="1" ht="12" customHeight="1" x14ac:dyDescent="0.2">
      <c r="A24" s="39" t="str">
        <f>IF(B24="","",INDEX(TeamList[],MATCH($B24,TeamList[[Employee Name]:[Employee Name]],0),MATCH("Manager",TeamList[#Headers],0)))</f>
        <v>Olson, Katherine</v>
      </c>
      <c r="B24" s="201" t="s">
        <v>227</v>
      </c>
      <c r="C24" s="257" t="str">
        <f>_xlfn.IFNA(VLOOKUP(Sun_W2[[#This Row],[Employee Name]],'Base Schedules'!A:B,2,FALSE),"")</f>
        <v>Supervisor</v>
      </c>
      <c r="D24" s="274">
        <f>_xlfn.IFNA(VLOOKUP(Sun_W2[[#This Row],[Employee Name]],'Base Schedules'!A:C,3,FALSE),"")</f>
        <v>1230</v>
      </c>
      <c r="E24" s="354">
        <f>_xlfn.IFNA(VLOOKUP(Sun_W2[[#This Row],[Employee Name]],'Base Schedules'!A:D,4,FALSE),"")</f>
        <v>2130</v>
      </c>
      <c r="F24" s="358">
        <f>IF(Sun_W2[[#This Row],[Employee Name]]="","",IF(Sun_W2[[#This Row],[Dept]]="Supervisor",COUNTIFS($J24:$AX24,"*HL*",$J24:$AX24,"&lt;&gt;"&amp;"pHL"),COUNTIFS($J24:$AX24,"*HL*",$J24:$AX24,"&lt;&gt;"&amp;"*pHL*",$J24:$AX24,"&lt;&gt;"&amp;"pB1 HL",$J24:$AX24,"&lt;&gt;"&amp;"pB2 HL")-SUM(COUNTIFS($J24:$AX24,"*HL B1*",$J24:$AX24,"&lt;&gt;"&amp;"pHL B1")*0.5,COUNTIFS($J24:$AX24,"*HL B2*",$J24:$AX24,"&lt;&gt;"&amp;"pHL B2")*0.5,COUNTIFS($J24:$AX24,"*B1 HL*",$J24:$AX24,"&lt;&gt;"&amp;"pB1 HL")*0.5,COUNTIFS($J24:$AX24,"*B2 HL*",$J24:$AX24,"&lt;&gt;"&amp;"pB2 HL")*0.5)))</f>
        <v>0</v>
      </c>
      <c r="G24" s="142">
        <f t="shared" si="0"/>
        <v>0</v>
      </c>
      <c r="H24" s="142">
        <f t="shared" si="1"/>
        <v>0</v>
      </c>
      <c r="I24" s="142">
        <f>IF(Sun_W2[[#This Row],[Employee Name]]="","",IF(Sun_W2[[#This Row],[Dept]]="Supervisor",SUM(COUNTIFS($J24:$AX24,"RTA*",$J24:$AX24,"&lt;&gt;"&amp;"pRTA"),COUNTIFS($J24:$AX24,"*CRTA*",$J24:$AX24,"&lt;&gt;"&amp;"pCRTA")),COUNTIFS($J24:$AX24,"*RNNR*",$J24:$AX24,"&lt;&gt;"&amp;"*pRNNR*",$J24:$AX24,"&lt;&gt;"&amp;"pB1 RNNR",$J24:$AX24,"&lt;&gt;"&amp;"pB2 RNNR")-SUM(COUNTIFS($J24:$AX24,"*RNNR B1*",$J24:$AX24,"&lt;&gt;"&amp;"pRNNR B1")*0.5,COUNTIFS($J24:$AX24,"*RNNR B2*",$J24:$AX24,"&lt;&gt;"&amp;"pRNNR B2")*0.5,COUNTIFS($J24:$AX24,"*B1 RNNR*",$J24:$AX24,"&lt;&gt;"&amp;"pB1 RNNR")*0.5,COUNTIFS($J24:$AX24,"*B2 RNNR*",$J24:$AX24,"&lt;&gt;"&amp;"pB2 RNNR")*0.5)))</f>
        <v>0</v>
      </c>
      <c r="J24" s="184" t="str">
        <f>IFERROR(IF(VLOOKUP(Sun_W2[[#This Row],[Employee Name]],'Base Schedules'!$A$79:$AW$111,9,FALSE)="","",VLOOKUP(Sun_W2[[#This Row],[Employee Name]],'Base Schedules'!$A$79:$AW$111,9,FALSE)),"")</f>
        <v/>
      </c>
      <c r="K24" s="184" t="str">
        <f>IFERROR(IF(VLOOKUP(Sun_W2[[#This Row],[Employee Name]],'Base Schedules'!$A$79:$AW$111,10,FALSE)="","",VLOOKUP(Sun_W2[[#This Row],[Employee Name]],'Base Schedules'!$A$79:$AW$111,10,FALSE)),"")</f>
        <v/>
      </c>
      <c r="L24" s="184" t="str">
        <f>IFERROR(IF(VLOOKUP(Sun_W2[[#This Row],[Employee Name]],'Base Schedules'!$A$79:$AW$111,11,FALSE)="","",VLOOKUP(Sun_W2[[#This Row],[Employee Name]],'Base Schedules'!$A$79:$AW$111,11,FALSE)),"")</f>
        <v/>
      </c>
      <c r="M24" s="184" t="str">
        <f>IFERROR(IF(VLOOKUP(Sun_W2[[#This Row],[Employee Name]],'Base Schedules'!$A$79:$AW$111,12,FALSE)="","",VLOOKUP(Sun_W2[[#This Row],[Employee Name]],'Base Schedules'!$A$79:$AW$111,12,FALSE)),"")</f>
        <v/>
      </c>
      <c r="N24" s="184" t="str">
        <f>IFERROR(IF(VLOOKUP(Sun_W2[[#This Row],[Employee Name]],'Base Schedules'!$A$79:$AW$111,13,FALSE)="","",VLOOKUP(Sun_W2[[#This Row],[Employee Name]],'Base Schedules'!$A$79:$AW$111,13,FALSE)),"")</f>
        <v/>
      </c>
      <c r="O24" s="184" t="str">
        <f>IFERROR(IF(VLOOKUP(Sun_W2[[#This Row],[Employee Name]],'Base Schedules'!$A$79:$AW$111,14,FALSE)="","",VLOOKUP(Sun_W2[[#This Row],[Employee Name]],'Base Schedules'!$A$79:$AW$111,14,FALSE)),"")</f>
        <v/>
      </c>
      <c r="P24" s="184" t="str">
        <f>IFERROR(IF(VLOOKUP(Sun_W2[[#This Row],[Employee Name]],'Base Schedules'!$A$79:$AW$111,15,FALSE)="","",VLOOKUP(Sun_W2[[#This Row],[Employee Name]],'Base Schedules'!$A$79:$AW$111,15,FALSE)),"")</f>
        <v/>
      </c>
      <c r="Q24" s="184" t="str">
        <f>IFERROR(IF(VLOOKUP(Sun_W2[[#This Row],[Employee Name]],'Base Schedules'!$A$79:$AW$111,16,FALSE)="","",VLOOKUP(Sun_W2[[#This Row],[Employee Name]],'Base Schedules'!$A$79:$AW$111,16,FALSE)),"")</f>
        <v/>
      </c>
      <c r="R24" s="184" t="str">
        <f>IFERROR(IF(VLOOKUP(Sun_W2[[#This Row],[Employee Name]],'Base Schedules'!$A$79:$AW$111,17,FALSE)="","",VLOOKUP(Sun_W2[[#This Row],[Employee Name]],'Base Schedules'!$A$79:$AW$111,17,FALSE)),"")</f>
        <v/>
      </c>
      <c r="S24" s="184" t="str">
        <f>IFERROR(IF(VLOOKUP(Sun_W2[[#This Row],[Employee Name]],'Base Schedules'!$A$79:$AW$111,18,FALSE)="","",VLOOKUP(Sun_W2[[#This Row],[Employee Name]],'Base Schedules'!$A$79:$AW$111,18,FALSE)),"")</f>
        <v/>
      </c>
      <c r="T24" s="184" t="str">
        <f>IFERROR(IF(VLOOKUP(Sun_W2[[#This Row],[Employee Name]],'Base Schedules'!$A$79:$AW$111,19,FALSE)="","",VLOOKUP(Sun_W2[[#This Row],[Employee Name]],'Base Schedules'!$A$79:$AW$111,19,FALSE)),"")</f>
        <v/>
      </c>
      <c r="U24" s="184" t="str">
        <f>IFERROR(IF(VLOOKUP(Sun_W2[[#This Row],[Employee Name]],'Base Schedules'!$A$79:$AW$111,20,FALSE)="","",VLOOKUP(Sun_W2[[#This Row],[Employee Name]],'Base Schedules'!$A$79:$AW$111,20,FALSE)),"")</f>
        <v/>
      </c>
      <c r="V24" s="184" t="str">
        <f>IFERROR(IF(VLOOKUP(Sun_W2[[#This Row],[Employee Name]],'Base Schedules'!$A$79:$AW$111,21,FALSE)="","",VLOOKUP(Sun_W2[[#This Row],[Employee Name]],'Base Schedules'!$A$79:$AW$111,21,FALSE)),"")</f>
        <v/>
      </c>
      <c r="W24" s="184" t="str">
        <f>IFERROR(IF(VLOOKUP(Sun_W2[[#This Row],[Employee Name]],'Base Schedules'!$A$79:$AW$111,22,FALSE)="","",VLOOKUP(Sun_W2[[#This Row],[Employee Name]],'Base Schedules'!$A$79:$AW$111,22,FALSE)),"")</f>
        <v/>
      </c>
      <c r="X24" s="184" t="str">
        <f>IFERROR(IF(VLOOKUP(Sun_W2[[#This Row],[Employee Name]],'Base Schedules'!$A$79:$AW$111,23,FALSE)="","",VLOOKUP(Sun_W2[[#This Row],[Employee Name]],'Base Schedules'!$A$79:$AW$111,23,FALSE)),"")</f>
        <v/>
      </c>
      <c r="Y24" s="184" t="str">
        <f>IFERROR(IF(VLOOKUP(Sun_W2[[#This Row],[Employee Name]],'Base Schedules'!$A$79:$AW$111,24,FALSE)="","",VLOOKUP(Sun_W2[[#This Row],[Employee Name]],'Base Schedules'!$A$79:$AW$111,24,FALSE)),"")</f>
        <v/>
      </c>
      <c r="Z24" s="184" t="str">
        <f>IFERROR(IF(VLOOKUP(Sun_W2[[#This Row],[Employee Name]],'Base Schedules'!$A$79:$AW$111,25,FALSE)="","",VLOOKUP(Sun_W2[[#This Row],[Employee Name]],'Base Schedules'!$A$79:$AW$111,25,FALSE)),"")</f>
        <v/>
      </c>
      <c r="AA24" s="184" t="str">
        <f>IFERROR(IF(VLOOKUP(Sun_W2[[#This Row],[Employee Name]],'Base Schedules'!$A$79:$AW$111,26,FALSE)="","",VLOOKUP(Sun_W2[[#This Row],[Employee Name]],'Base Schedules'!$A$79:$AW$111,26,FALSE)),"")</f>
        <v/>
      </c>
      <c r="AB24" s="184" t="str">
        <f>IFERROR(IF(VLOOKUP(Sun_W2[[#This Row],[Employee Name]],'Base Schedules'!$A$79:$AW$111,27,FALSE)="","",VLOOKUP(Sun_W2[[#This Row],[Employee Name]],'Base Schedules'!$A$79:$AW$111,27,FALSE)),"")</f>
        <v/>
      </c>
      <c r="AC24" s="184" t="str">
        <f>IFERROR(IF(VLOOKUP(Sun_W2[[#This Row],[Employee Name]],'Base Schedules'!$A$79:$AW$111,28,FALSE)="","",VLOOKUP(Sun_W2[[#This Row],[Employee Name]],'Base Schedules'!$A$79:$AW$111,28,FALSE)),"")</f>
        <v/>
      </c>
      <c r="AD24" s="184" t="str">
        <f>IFERROR(IF(VLOOKUP(Sun_W2[[#This Row],[Employee Name]],'Base Schedules'!$A$79:$AW$111,29,FALSE)="","",VLOOKUP(Sun_W2[[#This Row],[Employee Name]],'Base Schedules'!$A$79:$AW$111,29,FALSE)),"")</f>
        <v/>
      </c>
      <c r="AE24" s="184" t="str">
        <f>IFERROR(IF(VLOOKUP(Sun_W2[[#This Row],[Employee Name]],'Base Schedules'!$A$79:$AW$111,30,FALSE)="","",VLOOKUP(Sun_W2[[#This Row],[Employee Name]],'Base Schedules'!$A$79:$AW$111,30,FALSE)),"")</f>
        <v/>
      </c>
      <c r="AF24" s="184" t="str">
        <f>IFERROR(IF(VLOOKUP(Sun_W2[[#This Row],[Employee Name]],'Base Schedules'!$A$79:$AW$111,31,FALSE)="","",VLOOKUP(Sun_W2[[#This Row],[Employee Name]],'Base Schedules'!$A$79:$AW$111,31,FALSE)),"")</f>
        <v/>
      </c>
      <c r="AG24" s="184" t="str">
        <f>IFERROR(IF(VLOOKUP(Sun_W2[[#This Row],[Employee Name]],'Base Schedules'!$A$79:$AW$111,32,FALSE)="","",VLOOKUP(Sun_W2[[#This Row],[Employee Name]],'Base Schedules'!$A$79:$AW$111,32,FALSE)),"")</f>
        <v/>
      </c>
      <c r="AH24" s="184" t="str">
        <f>IFERROR(IF(VLOOKUP(Sun_W2[[#This Row],[Employee Name]],'Base Schedules'!$A$79:$AW$111,33,FALSE)="","",VLOOKUP(Sun_W2[[#This Row],[Employee Name]],'Base Schedules'!$A$79:$AW$111,33,FALSE)),"")</f>
        <v/>
      </c>
      <c r="AI24" s="184" t="str">
        <f>IFERROR(IF(VLOOKUP(Sun_W2[[#This Row],[Employee Name]],'Base Schedules'!$A$79:$AW$111,34,FALSE)="","",VLOOKUP(Sun_W2[[#This Row],[Employee Name]],'Base Schedules'!$A$79:$AW$111,34,FALSE)),"")</f>
        <v/>
      </c>
      <c r="AJ24" s="184" t="str">
        <f>IFERROR(IF(VLOOKUP(Sun_W2[[#This Row],[Employee Name]],'Base Schedules'!$A$79:$AW$111,35,FALSE)="","",VLOOKUP(Sun_W2[[#This Row],[Employee Name]],'Base Schedules'!$A$79:$AW$111,35,FALSE)),"")</f>
        <v/>
      </c>
      <c r="AK24" s="184" t="str">
        <f>IFERROR(IF(VLOOKUP(Sun_W2[[#This Row],[Employee Name]],'Base Schedules'!$A$79:$AW$111,36,FALSE)="","",VLOOKUP(Sun_W2[[#This Row],[Employee Name]],'Base Schedules'!$A$79:$AW$111,36,FALSE)),"")</f>
        <v/>
      </c>
      <c r="AL24" s="184" t="str">
        <f>IFERROR(IF(VLOOKUP(Sun_W2[[#This Row],[Employee Name]],'Base Schedules'!$A$79:$AW$111,37,FALSE)="","",VLOOKUP(Sun_W2[[#This Row],[Employee Name]],'Base Schedules'!$A$79:$AW$111,37,FALSE)),"")</f>
        <v/>
      </c>
      <c r="AM24" s="184" t="str">
        <f>IFERROR(IF(VLOOKUP(Sun_W2[[#This Row],[Employee Name]],'Base Schedules'!$A$79:$AW$111,38,FALSE)="","",VLOOKUP(Sun_W2[[#This Row],[Employee Name]],'Base Schedules'!$A$79:$AW$111,38,FALSE)),"")</f>
        <v/>
      </c>
      <c r="AN24" s="184" t="str">
        <f>IFERROR(IF(VLOOKUP(Sun_W2[[#This Row],[Employee Name]],'Base Schedules'!$A$79:$AW$111,39,FALSE)="","",VLOOKUP(Sun_W2[[#This Row],[Employee Name]],'Base Schedules'!$A$79:$AW$111,39,FALSE)),"")</f>
        <v/>
      </c>
      <c r="AO24" s="184" t="str">
        <f>IFERROR(IF(VLOOKUP(Sun_W2[[#This Row],[Employee Name]],'Base Schedules'!$A$79:$AW$111,40,FALSE)="","",VLOOKUP(Sun_W2[[#This Row],[Employee Name]],'Base Schedules'!$A$79:$AW$111,40,FALSE)),"")</f>
        <v/>
      </c>
      <c r="AP24" s="184" t="str">
        <f>IFERROR(IF(VLOOKUP(Sun_W2[[#This Row],[Employee Name]],'Base Schedules'!$A$79:$AW$111,41,FALSE)="","",VLOOKUP(Sun_W2[[#This Row],[Employee Name]],'Base Schedules'!$A$79:$AW$111,41,FALSE)),"")</f>
        <v/>
      </c>
      <c r="AQ24" s="184" t="str">
        <f>IFERROR(IF(VLOOKUP(Sun_W2[[#This Row],[Employee Name]],'Base Schedules'!$A$79:$AW$111,42,FALSE)="","",VLOOKUP(Sun_W2[[#This Row],[Employee Name]],'Base Schedules'!$A$79:$AW$111,42,FALSE)),"")</f>
        <v/>
      </c>
      <c r="AR24" s="184" t="str">
        <f>IFERROR(IF(VLOOKUP(Sun_W2[[#This Row],[Employee Name]],'Base Schedules'!$A$79:$AW$111,43,FALSE)="","",VLOOKUP(Sun_W2[[#This Row],[Employee Name]],'Base Schedules'!$A$79:$AW$111,43,FALSE)),"")</f>
        <v/>
      </c>
      <c r="AS24" s="184" t="str">
        <f>IFERROR(IF(VLOOKUP(Sun_W2[[#This Row],[Employee Name]],'Base Schedules'!$A$79:$AW$111,44,FALSE)="","",VLOOKUP(Sun_W2[[#This Row],[Employee Name]],'Base Schedules'!$A$79:$AW$111,44,FALSE)),"")</f>
        <v/>
      </c>
      <c r="AT24" s="184" t="str">
        <f>IFERROR(IF(VLOOKUP(Sun_W2[[#This Row],[Employee Name]],'Base Schedules'!$A$79:$AW$111,45,FALSE)="","",VLOOKUP(Sun_W2[[#This Row],[Employee Name]],'Base Schedules'!$A$79:$AW$111,45,FALSE)),"")</f>
        <v/>
      </c>
      <c r="AU24" s="184" t="str">
        <f>IFERROR(IF(VLOOKUP(Sun_W2[[#This Row],[Employee Name]],'Base Schedules'!$A$79:$AW$111,46,FALSE)="","",VLOOKUP(Sun_W2[[#This Row],[Employee Name]],'Base Schedules'!$A$79:$AW$111,46,FALSE)),"")</f>
        <v/>
      </c>
      <c r="AV24" s="184" t="str">
        <f>IFERROR(IF(VLOOKUP(Sun_W2[[#This Row],[Employee Name]],'Base Schedules'!$A$79:$AW$111,47,FALSE)="","",VLOOKUP(Sun_W2[[#This Row],[Employee Name]],'Base Schedules'!$A$79:$AW$111,47,FALSE)),"")</f>
        <v/>
      </c>
      <c r="AW24" s="184" t="str">
        <f>IFERROR(IF(VLOOKUP(Sun_W2[[#This Row],[Employee Name]],'Base Schedules'!$A$79:$AW$111,48,FALSE)="","",VLOOKUP(Sun_W2[[#This Row],[Employee Name]],'Base Schedules'!$A$79:$AW$111,48,FALSE)),"")</f>
        <v/>
      </c>
      <c r="AX24" s="184" t="str">
        <f>IFERROR(IF(VLOOKUP(Sun_W2[[#This Row],[Employee Name]],'Base Schedules'!$A$79:$AW$111,49,FALSE)="","",VLOOKUP(Sun_W2[[#This Row],[Employee Name]],'Base Schedules'!$A$79:$AW$111,49,FALSE)),"")</f>
        <v/>
      </c>
      <c r="AY24" s="159" t="str">
        <f t="shared" si="2"/>
        <v>Ostby, Paige</v>
      </c>
      <c r="AZ24" s="184" t="str">
        <f>IFERROR(IF(VLOOKUP(Sun_W1[[#This Row],[Employee Name]],'Base Schedules'!$A$79:$AW$111,48,FALSE)="","",VLOOKUP(Sun_W1[[#This Row],[Employee Name]],'Base Schedules'!$A$79:$AW$111,48,FALSE)),"")</f>
        <v/>
      </c>
      <c r="BA24" s="184" t="str">
        <f>IFERROR(IF(VLOOKUP(Sun_W1[[#This Row],[Employee Name]],'Base Schedules'!$A$79:$AW$111,49,FALSE)="","",VLOOKUP(Sun_W1[[#This Row],[Employee Name]],'Base Schedules'!$A$79:$AW$111,49,FALSE)),"")</f>
        <v/>
      </c>
    </row>
    <row r="25" spans="1:53" s="44" customFormat="1" ht="12" customHeight="1" x14ac:dyDescent="0.2">
      <c r="A25" s="39" t="str">
        <f>IF(B25="","",INDEX(TeamList[],MATCH($B25,TeamList[[Employee Name]:[Employee Name]],0),MATCH("Manager",TeamList[#Headers],0)))</f>
        <v>Olson, Katherine</v>
      </c>
      <c r="B25" s="201" t="s">
        <v>238</v>
      </c>
      <c r="C25" s="257" t="str">
        <f>_xlfn.IFNA(VLOOKUP(Sun_W2[[#This Row],[Employee Name]],'Base Schedules'!A:B,2,FALSE),"")</f>
        <v>Lead</v>
      </c>
      <c r="D25" s="274">
        <f>_xlfn.IFNA(VLOOKUP(Sun_W2[[#This Row],[Employee Name]],'Base Schedules'!A:C,3,FALSE),"")</f>
        <v>1230</v>
      </c>
      <c r="E25" s="354">
        <f>_xlfn.IFNA(VLOOKUP(Sun_W2[[#This Row],[Employee Name]],'Base Schedules'!A:D,4,FALSE),"")</f>
        <v>2100</v>
      </c>
      <c r="F25" s="358">
        <f>IF(Sun_W2[[#This Row],[Employee Name]]="","",IF(Sun_W2[[#This Row],[Dept]]="Supervisor",COUNTIFS($J25:$AX25,"*HL*",$J25:$AX25,"&lt;&gt;"&amp;"pHL"),COUNTIFS($J25:$AX25,"*HL*",$J25:$AX25,"&lt;&gt;"&amp;"*pHL*",$J25:$AX25,"&lt;&gt;"&amp;"pB1 HL",$J25:$AX25,"&lt;&gt;"&amp;"pB2 HL")-SUM(COUNTIFS($J25:$AX25,"*HL B1*",$J25:$AX25,"&lt;&gt;"&amp;"pHL B1")*0.5,COUNTIFS($J25:$AX25,"*HL B2*",$J25:$AX25,"&lt;&gt;"&amp;"pHL B2")*0.5,COUNTIFS($J25:$AX25,"*B1 HL*",$J25:$AX25,"&lt;&gt;"&amp;"pB1 HL")*0.5,COUNTIFS($J25:$AX25,"*B2 HL*",$J25:$AX25,"&lt;&gt;"&amp;"pB2 HL")*0.5)))</f>
        <v>7.5</v>
      </c>
      <c r="G25" s="142">
        <f t="shared" si="0"/>
        <v>0</v>
      </c>
      <c r="H25" s="142">
        <f t="shared" si="1"/>
        <v>6</v>
      </c>
      <c r="I25" s="142">
        <f>IF(Sun_W2[[#This Row],[Employee Name]]="","",IF(Sun_W2[[#This Row],[Dept]]="Supervisor",SUM(COUNTIFS($J25:$AX25,"RTA*",$J25:$AX25,"&lt;&gt;"&amp;"pRTA"),COUNTIFS($J25:$AX25,"*CRTA*",$J25:$AX25,"&lt;&gt;"&amp;"pCRTA")),COUNTIFS($J25:$AX25,"*RNNR*",$J25:$AX25,"&lt;&gt;"&amp;"*pRNNR*",$J25:$AX25,"&lt;&gt;"&amp;"pB1 RNNR",$J25:$AX25,"&lt;&gt;"&amp;"pB2 RNNR")-SUM(COUNTIFS($J25:$AX25,"*RNNR B1*",$J25:$AX25,"&lt;&gt;"&amp;"pRNNR B1")*0.5,COUNTIFS($J25:$AX25,"*RNNR B2*",$J25:$AX25,"&lt;&gt;"&amp;"pRNNR B2")*0.5,COUNTIFS($J25:$AX25,"*B1 RNNR*",$J25:$AX25,"&lt;&gt;"&amp;"pB1 RNNR")*0.5,COUNTIFS($J25:$AX25,"*B2 RNNR*",$J25:$AX25,"&lt;&gt;"&amp;"pB2 RNNR")*0.5)))</f>
        <v>2</v>
      </c>
      <c r="J25" s="184" t="str">
        <f>IFERROR(IF(VLOOKUP(Sun_W2[[#This Row],[Employee Name]],'Base Schedules'!$A$79:$AW$111,9,FALSE)="","",VLOOKUP(Sun_W2[[#This Row],[Employee Name]],'Base Schedules'!$A$79:$AW$111,9,FALSE)),"")</f>
        <v/>
      </c>
      <c r="K25" s="184" t="str">
        <f>IFERROR(IF(VLOOKUP(Sun_W2[[#This Row],[Employee Name]],'Base Schedules'!$A$79:$AW$111,10,FALSE)="","",VLOOKUP(Sun_W2[[#This Row],[Employee Name]],'Base Schedules'!$A$79:$AW$111,10,FALSE)),"")</f>
        <v/>
      </c>
      <c r="L25" s="184" t="str">
        <f>IFERROR(IF(VLOOKUP(Sun_W2[[#This Row],[Employee Name]],'Base Schedules'!$A$79:$AW$111,11,FALSE)="","",VLOOKUP(Sun_W2[[#This Row],[Employee Name]],'Base Schedules'!$A$79:$AW$111,11,FALSE)),"")</f>
        <v/>
      </c>
      <c r="M25" s="184" t="str">
        <f>IFERROR(IF(VLOOKUP(Sun_W2[[#This Row],[Employee Name]],'Base Schedules'!$A$79:$AW$111,12,FALSE)="","",VLOOKUP(Sun_W2[[#This Row],[Employee Name]],'Base Schedules'!$A$79:$AW$111,12,FALSE)),"")</f>
        <v/>
      </c>
      <c r="N25" s="184" t="str">
        <f>IFERROR(IF(VLOOKUP(Sun_W2[[#This Row],[Employee Name]],'Base Schedules'!$A$79:$AW$111,13,FALSE)="","",VLOOKUP(Sun_W2[[#This Row],[Employee Name]],'Base Schedules'!$A$79:$AW$111,13,FALSE)),"")</f>
        <v/>
      </c>
      <c r="O25" s="184" t="str">
        <f>IFERROR(IF(VLOOKUP(Sun_W2[[#This Row],[Employee Name]],'Base Schedules'!$A$79:$AW$111,14,FALSE)="","",VLOOKUP(Sun_W2[[#This Row],[Employee Name]],'Base Schedules'!$A$79:$AW$111,14,FALSE)),"")</f>
        <v/>
      </c>
      <c r="P25" s="184" t="str">
        <f>IFERROR(IF(VLOOKUP(Sun_W2[[#This Row],[Employee Name]],'Base Schedules'!$A$79:$AW$111,15,FALSE)="","",VLOOKUP(Sun_W2[[#This Row],[Employee Name]],'Base Schedules'!$A$79:$AW$111,15,FALSE)),"")</f>
        <v/>
      </c>
      <c r="Q25" s="184" t="str">
        <f>IFERROR(IF(VLOOKUP(Sun_W2[[#This Row],[Employee Name]],'Base Schedules'!$A$79:$AW$111,16,FALSE)="","",VLOOKUP(Sun_W2[[#This Row],[Employee Name]],'Base Schedules'!$A$79:$AW$111,16,FALSE)),"")</f>
        <v/>
      </c>
      <c r="R25" s="184" t="str">
        <f>IFERROR(IF(VLOOKUP(Sun_W2[[#This Row],[Employee Name]],'Base Schedules'!$A$79:$AW$111,17,FALSE)="","",VLOOKUP(Sun_W2[[#This Row],[Employee Name]],'Base Schedules'!$A$79:$AW$111,17,FALSE)),"")</f>
        <v/>
      </c>
      <c r="S25" s="184" t="str">
        <f>IFERROR(IF(VLOOKUP(Sun_W2[[#This Row],[Employee Name]],'Base Schedules'!$A$79:$AW$111,18,FALSE)="","",VLOOKUP(Sun_W2[[#This Row],[Employee Name]],'Base Schedules'!$A$79:$AW$111,18,FALSE)),"")</f>
        <v/>
      </c>
      <c r="T25" s="184" t="str">
        <f>IFERROR(IF(VLOOKUP(Sun_W2[[#This Row],[Employee Name]],'Base Schedules'!$A$79:$AW$111,19,FALSE)="","",VLOOKUP(Sun_W2[[#This Row],[Employee Name]],'Base Schedules'!$A$79:$AW$111,19,FALSE)),"")</f>
        <v/>
      </c>
      <c r="U25" s="184" t="str">
        <f>IFERROR(IF(VLOOKUP(Sun_W2[[#This Row],[Employee Name]],'Base Schedules'!$A$79:$AW$111,20,FALSE)="","",VLOOKUP(Sun_W2[[#This Row],[Employee Name]],'Base Schedules'!$A$79:$AW$111,20,FALSE)),"")</f>
        <v/>
      </c>
      <c r="V25" s="184" t="str">
        <f>IFERROR(IF(VLOOKUP(Sun_W2[[#This Row],[Employee Name]],'Base Schedules'!$A$79:$AW$111,21,FALSE)="","",VLOOKUP(Sun_W2[[#This Row],[Employee Name]],'Base Schedules'!$A$79:$AW$111,21,FALSE)),"")</f>
        <v/>
      </c>
      <c r="W25" s="184" t="str">
        <f>IFERROR(IF(VLOOKUP(Sun_W2[[#This Row],[Employee Name]],'Base Schedules'!$A$79:$AW$111,22,FALSE)="","",VLOOKUP(Sun_W2[[#This Row],[Employee Name]],'Base Schedules'!$A$79:$AW$111,22,FALSE)),"")</f>
        <v/>
      </c>
      <c r="X25" s="184" t="str">
        <f>IFERROR(IF(VLOOKUP(Sun_W2[[#This Row],[Employee Name]],'Base Schedules'!$A$79:$AW$111,23,FALSE)="","",VLOOKUP(Sun_W2[[#This Row],[Employee Name]],'Base Schedules'!$A$79:$AW$111,23,FALSE)),"")</f>
        <v/>
      </c>
      <c r="Y25" s="184" t="str">
        <f>IFERROR(IF(VLOOKUP(Sun_W2[[#This Row],[Employee Name]],'Base Schedules'!$A$79:$AW$111,24,FALSE)="","",VLOOKUP(Sun_W2[[#This Row],[Employee Name]],'Base Schedules'!$A$79:$AW$111,24,FALSE)),"")</f>
        <v>HL</v>
      </c>
      <c r="Z25" s="184" t="str">
        <f>IFERROR(IF(VLOOKUP(Sun_W2[[#This Row],[Employee Name]],'Base Schedules'!$A$79:$AW$111,25,FALSE)="","",VLOOKUP(Sun_W2[[#This Row],[Employee Name]],'Base Schedules'!$A$79:$AW$111,25,FALSE)),"")</f>
        <v>HL</v>
      </c>
      <c r="AA25" s="184" t="str">
        <f>IFERROR(IF(VLOOKUP(Sun_W2[[#This Row],[Employee Name]],'Base Schedules'!$A$79:$AW$111,26,FALSE)="","",VLOOKUP(Sun_W2[[#This Row],[Employee Name]],'Base Schedules'!$A$79:$AW$111,26,FALSE)),"")</f>
        <v>HL</v>
      </c>
      <c r="AB25" s="184" t="str">
        <f>IFERROR(IF(VLOOKUP(Sun_W2[[#This Row],[Employee Name]],'Base Schedules'!$A$79:$AW$111,27,FALSE)="","",VLOOKUP(Sun_W2[[#This Row],[Employee Name]],'Base Schedules'!$A$79:$AW$111,27,FALSE)),"")</f>
        <v>B1 ADM</v>
      </c>
      <c r="AC25" s="184" t="str">
        <f>IFERROR(IF(VLOOKUP(Sun_W2[[#This Row],[Employee Name]],'Base Schedules'!$A$79:$AW$111,28,FALSE)="","",VLOOKUP(Sun_W2[[#This Row],[Employee Name]],'Base Schedules'!$A$79:$AW$111,28,FALSE)),"")</f>
        <v>ADM</v>
      </c>
      <c r="AD25" s="184" t="str">
        <f>IFERROR(IF(VLOOKUP(Sun_W2[[#This Row],[Employee Name]],'Base Schedules'!$A$79:$AW$111,29,FALSE)="","",VLOOKUP(Sun_W2[[#This Row],[Employee Name]],'Base Schedules'!$A$79:$AW$111,29,FALSE)),"")</f>
        <v>ADM</v>
      </c>
      <c r="AE25" s="184" t="str">
        <f>IFERROR(IF(VLOOKUP(Sun_W2[[#This Row],[Employee Name]],'Base Schedules'!$A$79:$AW$111,30,FALSE)="","",VLOOKUP(Sun_W2[[#This Row],[Employee Name]],'Base Schedules'!$A$79:$AW$111,30,FALSE)),"")</f>
        <v>ADM</v>
      </c>
      <c r="AF25" s="184" t="str">
        <f>IFERROR(IF(VLOOKUP(Sun_W2[[#This Row],[Employee Name]],'Base Schedules'!$A$79:$AW$111,31,FALSE)="","",VLOOKUP(Sun_W2[[#This Row],[Employee Name]],'Base Schedules'!$A$79:$AW$111,31,FALSE)),"")</f>
        <v>ADM</v>
      </c>
      <c r="AG25" s="184" t="str">
        <f>IFERROR(IF(VLOOKUP(Sun_W2[[#This Row],[Employee Name]],'Base Schedules'!$A$79:$AW$111,32,FALSE)="","",VLOOKUP(Sun_W2[[#This Row],[Employee Name]],'Base Schedules'!$A$79:$AW$111,32,FALSE)),"")</f>
        <v>LUNCH</v>
      </c>
      <c r="AH25" s="184" t="str">
        <f>IFERROR(IF(VLOOKUP(Sun_W2[[#This Row],[Employee Name]],'Base Schedules'!$A$79:$AW$111,33,FALSE)="","",VLOOKUP(Sun_W2[[#This Row],[Employee Name]],'Base Schedules'!$A$79:$AW$111,33,FALSE)),"")</f>
        <v>RNNR</v>
      </c>
      <c r="AI25" s="184" t="str">
        <f>IFERROR(IF(VLOOKUP(Sun_W2[[#This Row],[Employee Name]],'Base Schedules'!$A$79:$AW$111,34,FALSE)="","",VLOOKUP(Sun_W2[[#This Row],[Employee Name]],'Base Schedules'!$A$79:$AW$111,34,FALSE)),"")</f>
        <v>RNNR</v>
      </c>
      <c r="AJ25" s="184" t="str">
        <f>IFERROR(IF(VLOOKUP(Sun_W2[[#This Row],[Employee Name]],'Base Schedules'!$A$79:$AW$111,35,FALSE)="","",VLOOKUP(Sun_W2[[#This Row],[Employee Name]],'Base Schedules'!$A$79:$AW$111,35,FALSE)),"")</f>
        <v>HL</v>
      </c>
      <c r="AK25" s="184" t="str">
        <f>IFERROR(IF(VLOOKUP(Sun_W2[[#This Row],[Employee Name]],'Base Schedules'!$A$79:$AW$111,36,FALSE)="","",VLOOKUP(Sun_W2[[#This Row],[Employee Name]],'Base Schedules'!$A$79:$AW$111,36,FALSE)),"")</f>
        <v>HL B2</v>
      </c>
      <c r="AL25" s="184" t="str">
        <f>IFERROR(IF(VLOOKUP(Sun_W2[[#This Row],[Employee Name]],'Base Schedules'!$A$79:$AW$111,37,FALSE)="","",VLOOKUP(Sun_W2[[#This Row],[Employee Name]],'Base Schedules'!$A$79:$AW$111,37,FALSE)),"")</f>
        <v>HL</v>
      </c>
      <c r="AM25" s="184" t="str">
        <f>IFERROR(IF(VLOOKUP(Sun_W2[[#This Row],[Employee Name]],'Base Schedules'!$A$79:$AW$111,38,FALSE)="","",VLOOKUP(Sun_W2[[#This Row],[Employee Name]],'Base Schedules'!$A$79:$AW$111,38,FALSE)),"")</f>
        <v>ADM</v>
      </c>
      <c r="AN25" s="184" t="str">
        <f>IFERROR(IF(VLOOKUP(Sun_W2[[#This Row],[Employee Name]],'Base Schedules'!$A$79:$AW$111,39,FALSE)="","",VLOOKUP(Sun_W2[[#This Row],[Employee Name]],'Base Schedules'!$A$79:$AW$111,39,FALSE)),"")</f>
        <v>HL</v>
      </c>
      <c r="AO25" s="184" t="str">
        <f>IFERROR(IF(VLOOKUP(Sun_W2[[#This Row],[Employee Name]],'Base Schedules'!$A$79:$AW$111,40,FALSE)="","",VLOOKUP(Sun_W2[[#This Row],[Employee Name]],'Base Schedules'!$A$79:$AW$111,40,FALSE)),"")</f>
        <v>HL</v>
      </c>
      <c r="AP25" s="184" t="str">
        <f>IFERROR(IF(VLOOKUP(Sun_W2[[#This Row],[Employee Name]],'Base Schedules'!$A$79:$AW$111,41,FALSE)="","",VLOOKUP(Sun_W2[[#This Row],[Employee Name]],'Base Schedules'!$A$79:$AW$111,41,FALSE)),"")</f>
        <v/>
      </c>
      <c r="AQ25" s="184" t="str">
        <f>IFERROR(IF(VLOOKUP(Sun_W2[[#This Row],[Employee Name]],'Base Schedules'!$A$79:$AW$111,42,FALSE)="","",VLOOKUP(Sun_W2[[#This Row],[Employee Name]],'Base Schedules'!$A$79:$AW$111,42,FALSE)),"")</f>
        <v/>
      </c>
      <c r="AR25" s="184" t="str">
        <f>IFERROR(IF(VLOOKUP(Sun_W2[[#This Row],[Employee Name]],'Base Schedules'!$A$79:$AW$111,43,FALSE)="","",VLOOKUP(Sun_W2[[#This Row],[Employee Name]],'Base Schedules'!$A$79:$AW$111,43,FALSE)),"")</f>
        <v/>
      </c>
      <c r="AS25" s="184" t="str">
        <f>IFERROR(IF(VLOOKUP(Sun_W2[[#This Row],[Employee Name]],'Base Schedules'!$A$79:$AW$111,44,FALSE)="","",VLOOKUP(Sun_W2[[#This Row],[Employee Name]],'Base Schedules'!$A$79:$AW$111,44,FALSE)),"")</f>
        <v/>
      </c>
      <c r="AT25" s="184" t="str">
        <f>IFERROR(IF(VLOOKUP(Sun_W2[[#This Row],[Employee Name]],'Base Schedules'!$A$79:$AW$111,45,FALSE)="","",VLOOKUP(Sun_W2[[#This Row],[Employee Name]],'Base Schedules'!$A$79:$AW$111,45,FALSE)),"")</f>
        <v/>
      </c>
      <c r="AU25" s="184" t="str">
        <f>IFERROR(IF(VLOOKUP(Sun_W2[[#This Row],[Employee Name]],'Base Schedules'!$A$79:$AW$111,46,FALSE)="","",VLOOKUP(Sun_W2[[#This Row],[Employee Name]],'Base Schedules'!$A$79:$AW$111,46,FALSE)),"")</f>
        <v/>
      </c>
      <c r="AV25" s="184" t="str">
        <f>IFERROR(IF(VLOOKUP(Sun_W2[[#This Row],[Employee Name]],'Base Schedules'!$A$79:$AW$111,47,FALSE)="","",VLOOKUP(Sun_W2[[#This Row],[Employee Name]],'Base Schedules'!$A$79:$AW$111,47,FALSE)),"")</f>
        <v/>
      </c>
      <c r="AW25" s="184" t="str">
        <f>IFERROR(IF(VLOOKUP(Sun_W2[[#This Row],[Employee Name]],'Base Schedules'!$A$79:$AW$111,48,FALSE)="","",VLOOKUP(Sun_W2[[#This Row],[Employee Name]],'Base Schedules'!$A$79:$AW$111,48,FALSE)),"")</f>
        <v/>
      </c>
      <c r="AX25" s="184" t="str">
        <f>IFERROR(IF(VLOOKUP(Sun_W2[[#This Row],[Employee Name]],'Base Schedules'!$A$79:$AW$111,49,FALSE)="","",VLOOKUP(Sun_W2[[#This Row],[Employee Name]],'Base Schedules'!$A$79:$AW$111,49,FALSE)),"")</f>
        <v/>
      </c>
      <c r="AY25" s="159" t="str">
        <f t="shared" si="2"/>
        <v>Suhama, Ryan</v>
      </c>
      <c r="AZ25" s="184" t="str">
        <f>IFERROR(IF(VLOOKUP(Sun_W1[[#This Row],[Employee Name]],'Base Schedules'!$A$79:$AW$111,48,FALSE)="","",VLOOKUP(Sun_W1[[#This Row],[Employee Name]],'Base Schedules'!$A$79:$AW$111,48,FALSE)),"")</f>
        <v/>
      </c>
      <c r="BA25" s="184" t="str">
        <f>IFERROR(IF(VLOOKUP(Sun_W1[[#This Row],[Employee Name]],'Base Schedules'!$A$79:$AW$111,49,FALSE)="","",VLOOKUP(Sun_W1[[#This Row],[Employee Name]],'Base Schedules'!$A$79:$AW$111,49,FALSE)),"")</f>
        <v/>
      </c>
    </row>
    <row r="26" spans="1:53" s="44" customFormat="1" ht="12" customHeight="1" x14ac:dyDescent="0.2">
      <c r="A26" s="39" t="str">
        <f>IF(B26="","",INDEX(TeamList[],MATCH($B26,TeamList[[Employee Name]:[Employee Name]],0),MATCH("Manager",TeamList[#Headers],0)))</f>
        <v>Ahmed Hassan, Zahra</v>
      </c>
      <c r="B26" s="201" t="s">
        <v>23</v>
      </c>
      <c r="C26" s="257" t="str">
        <f>_xlfn.IFNA(VLOOKUP(Sun_W2[[#This Row],[Employee Name]],'Base Schedules'!A:B,2,FALSE),"")</f>
        <v>Supervisor</v>
      </c>
      <c r="D26" s="274">
        <f>_xlfn.IFNA(VLOOKUP(Sun_W2[[#This Row],[Employee Name]],'Base Schedules'!A:C,3,FALSE),"")</f>
        <v>1230</v>
      </c>
      <c r="E26" s="354">
        <f>_xlfn.IFNA(VLOOKUP(Sun_W2[[#This Row],[Employee Name]],'Base Schedules'!A:D,4,FALSE),"")</f>
        <v>2130</v>
      </c>
      <c r="F26" s="358">
        <f>IF(Sun_W2[[#This Row],[Employee Name]]="","",IF(Sun_W2[[#This Row],[Dept]]="Supervisor",COUNTIFS($J26:$AX26,"*HL*",$J26:$AX26,"&lt;&gt;"&amp;"pHL"),COUNTIFS($J26:$AX26,"*HL*",$J26:$AX26,"&lt;&gt;"&amp;"*pHL*",$J26:$AX26,"&lt;&gt;"&amp;"pB1 HL",$J26:$AX26,"&lt;&gt;"&amp;"pB2 HL")-SUM(COUNTIFS($J26:$AX26,"*HL B1*",$J26:$AX26,"&lt;&gt;"&amp;"pHL B1")*0.5,COUNTIFS($J26:$AX26,"*HL B2*",$J26:$AX26,"&lt;&gt;"&amp;"pHL B2")*0.5,COUNTIFS($J26:$AX26,"*B1 HL*",$J26:$AX26,"&lt;&gt;"&amp;"pB1 HL")*0.5,COUNTIFS($J26:$AX26,"*B2 HL*",$J26:$AX26,"&lt;&gt;"&amp;"pB2 HL")*0.5)))</f>
        <v>0</v>
      </c>
      <c r="G26" s="142">
        <f t="shared" si="0"/>
        <v>4</v>
      </c>
      <c r="H26" s="142">
        <f t="shared" si="1"/>
        <v>0</v>
      </c>
      <c r="I26" s="142">
        <f>IF(Sun_W2[[#This Row],[Employee Name]]="","",IF(Sun_W2[[#This Row],[Dept]]="Supervisor",SUM(COUNTIFS($J26:$AX26,"RTA*",$J26:$AX26,"&lt;&gt;"&amp;"pRTA"),COUNTIFS($J26:$AX26,"*CRTA*",$J26:$AX26,"&lt;&gt;"&amp;"pCRTA")),COUNTIFS($J26:$AX26,"*RNNR*",$J26:$AX26,"&lt;&gt;"&amp;"*pRNNR*",$J26:$AX26,"&lt;&gt;"&amp;"pB1 RNNR",$J26:$AX26,"&lt;&gt;"&amp;"pB2 RNNR")-SUM(COUNTIFS($J26:$AX26,"*RNNR B1*",$J26:$AX26,"&lt;&gt;"&amp;"pRNNR B1")*0.5,COUNTIFS($J26:$AX26,"*RNNR B2*",$J26:$AX26,"&lt;&gt;"&amp;"pRNNR B2")*0.5,COUNTIFS($J26:$AX26,"*B1 RNNR*",$J26:$AX26,"&lt;&gt;"&amp;"pB1 RNNR")*0.5,COUNTIFS($J26:$AX26,"*B2 RNNR*",$J26:$AX26,"&lt;&gt;"&amp;"pB2 RNNR")*0.5)))</f>
        <v>0</v>
      </c>
      <c r="J26" s="184" t="str">
        <f>IFERROR(IF(VLOOKUP(Sun_W2[[#This Row],[Employee Name]],'Base Schedules'!$A$79:$AW$111,9,FALSE)="","",VLOOKUP(Sun_W2[[#This Row],[Employee Name]],'Base Schedules'!$A$79:$AW$111,9,FALSE)),"")</f>
        <v/>
      </c>
      <c r="K26" s="184" t="str">
        <f>IFERROR(IF(VLOOKUP(Sun_W2[[#This Row],[Employee Name]],'Base Schedules'!$A$79:$AW$111,10,FALSE)="","",VLOOKUP(Sun_W2[[#This Row],[Employee Name]],'Base Schedules'!$A$79:$AW$111,10,FALSE)),"")</f>
        <v/>
      </c>
      <c r="L26" s="184" t="str">
        <f>IFERROR(IF(VLOOKUP(Sun_W2[[#This Row],[Employee Name]],'Base Schedules'!$A$79:$AW$111,11,FALSE)="","",VLOOKUP(Sun_W2[[#This Row],[Employee Name]],'Base Schedules'!$A$79:$AW$111,11,FALSE)),"")</f>
        <v/>
      </c>
      <c r="M26" s="184" t="str">
        <f>IFERROR(IF(VLOOKUP(Sun_W2[[#This Row],[Employee Name]],'Base Schedules'!$A$79:$AW$111,12,FALSE)="","",VLOOKUP(Sun_W2[[#This Row],[Employee Name]],'Base Schedules'!$A$79:$AW$111,12,FALSE)),"")</f>
        <v/>
      </c>
      <c r="N26" s="184" t="str">
        <f>IFERROR(IF(VLOOKUP(Sun_W2[[#This Row],[Employee Name]],'Base Schedules'!$A$79:$AW$111,13,FALSE)="","",VLOOKUP(Sun_W2[[#This Row],[Employee Name]],'Base Schedules'!$A$79:$AW$111,13,FALSE)),"")</f>
        <v/>
      </c>
      <c r="O26" s="184" t="str">
        <f>IFERROR(IF(VLOOKUP(Sun_W2[[#This Row],[Employee Name]],'Base Schedules'!$A$79:$AW$111,14,FALSE)="","",VLOOKUP(Sun_W2[[#This Row],[Employee Name]],'Base Schedules'!$A$79:$AW$111,14,FALSE)),"")</f>
        <v/>
      </c>
      <c r="P26" s="184" t="str">
        <f>IFERROR(IF(VLOOKUP(Sun_W2[[#This Row],[Employee Name]],'Base Schedules'!$A$79:$AW$111,15,FALSE)="","",VLOOKUP(Sun_W2[[#This Row],[Employee Name]],'Base Schedules'!$A$79:$AW$111,15,FALSE)),"")</f>
        <v/>
      </c>
      <c r="Q26" s="184" t="str">
        <f>IFERROR(IF(VLOOKUP(Sun_W2[[#This Row],[Employee Name]],'Base Schedules'!$A$79:$AW$111,16,FALSE)="","",VLOOKUP(Sun_W2[[#This Row],[Employee Name]],'Base Schedules'!$A$79:$AW$111,16,FALSE)),"")</f>
        <v/>
      </c>
      <c r="R26" s="184" t="str">
        <f>IFERROR(IF(VLOOKUP(Sun_W2[[#This Row],[Employee Name]],'Base Schedules'!$A$79:$AW$111,17,FALSE)="","",VLOOKUP(Sun_W2[[#This Row],[Employee Name]],'Base Schedules'!$A$79:$AW$111,17,FALSE)),"")</f>
        <v/>
      </c>
      <c r="S26" s="184" t="str">
        <f>IFERROR(IF(VLOOKUP(Sun_W2[[#This Row],[Employee Name]],'Base Schedules'!$A$79:$AW$111,18,FALSE)="","",VLOOKUP(Sun_W2[[#This Row],[Employee Name]],'Base Schedules'!$A$79:$AW$111,18,FALSE)),"")</f>
        <v/>
      </c>
      <c r="T26" s="184" t="str">
        <f>IFERROR(IF(VLOOKUP(Sun_W2[[#This Row],[Employee Name]],'Base Schedules'!$A$79:$AW$111,19,FALSE)="","",VLOOKUP(Sun_W2[[#This Row],[Employee Name]],'Base Schedules'!$A$79:$AW$111,19,FALSE)),"")</f>
        <v/>
      </c>
      <c r="U26" s="184" t="str">
        <f>IFERROR(IF(VLOOKUP(Sun_W2[[#This Row],[Employee Name]],'Base Schedules'!$A$79:$AW$111,20,FALSE)="","",VLOOKUP(Sun_W2[[#This Row],[Employee Name]],'Base Schedules'!$A$79:$AW$111,20,FALSE)),"")</f>
        <v/>
      </c>
      <c r="V26" s="184" t="str">
        <f>IFERROR(IF(VLOOKUP(Sun_W2[[#This Row],[Employee Name]],'Base Schedules'!$A$79:$AW$111,21,FALSE)="","",VLOOKUP(Sun_W2[[#This Row],[Employee Name]],'Base Schedules'!$A$79:$AW$111,21,FALSE)),"")</f>
        <v/>
      </c>
      <c r="W26" s="184" t="str">
        <f>IFERROR(IF(VLOOKUP(Sun_W2[[#This Row],[Employee Name]],'Base Schedules'!$A$79:$AW$111,22,FALSE)="","",VLOOKUP(Sun_W2[[#This Row],[Employee Name]],'Base Schedules'!$A$79:$AW$111,22,FALSE)),"")</f>
        <v/>
      </c>
      <c r="X26" s="184" t="str">
        <f>IFERROR(IF(VLOOKUP(Sun_W2[[#This Row],[Employee Name]],'Base Schedules'!$A$79:$AW$111,23,FALSE)="","",VLOOKUP(Sun_W2[[#This Row],[Employee Name]],'Base Schedules'!$A$79:$AW$111,23,FALSE)),"")</f>
        <v/>
      </c>
      <c r="Y26" s="184" t="str">
        <f>IFERROR(IF(VLOOKUP(Sun_W2[[#This Row],[Employee Name]],'Base Schedules'!$A$79:$AW$111,24,FALSE)="","",VLOOKUP(Sun_W2[[#This Row],[Employee Name]],'Base Schedules'!$A$79:$AW$111,24,FALSE)),"")</f>
        <v>-</v>
      </c>
      <c r="Z26" s="184" t="str">
        <f>IFERROR(IF(VLOOKUP(Sun_W2[[#This Row],[Employee Name]],'Base Schedules'!$A$79:$AW$111,25,FALSE)="","",VLOOKUP(Sun_W2[[#This Row],[Employee Name]],'Base Schedules'!$A$79:$AW$111,25,FALSE)),"")</f>
        <v>-</v>
      </c>
      <c r="AA26" s="184" t="str">
        <f>IFERROR(IF(VLOOKUP(Sun_W2[[#This Row],[Employee Name]],'Base Schedules'!$A$79:$AW$111,26,FALSE)="","",VLOOKUP(Sun_W2[[#This Row],[Employee Name]],'Base Schedules'!$A$79:$AW$111,26,FALSE)),"")</f>
        <v>-</v>
      </c>
      <c r="AB26" s="184" t="str">
        <f>IFERROR(IF(VLOOKUP(Sun_W2[[#This Row],[Employee Name]],'Base Schedules'!$A$79:$AW$111,27,FALSE)="","",VLOOKUP(Sun_W2[[#This Row],[Employee Name]],'Base Schedules'!$A$79:$AW$111,27,FALSE)),"")</f>
        <v>-</v>
      </c>
      <c r="AC26" s="184" t="str">
        <f>IFERROR(IF(VLOOKUP(Sun_W2[[#This Row],[Employee Name]],'Base Schedules'!$A$79:$AW$111,28,FALSE)="","",VLOOKUP(Sun_W2[[#This Row],[Employee Name]],'Base Schedules'!$A$79:$AW$111,28,FALSE)),"")</f>
        <v>-</v>
      </c>
      <c r="AD26" s="184" t="str">
        <f>IFERROR(IF(VLOOKUP(Sun_W2[[#This Row],[Employee Name]],'Base Schedules'!$A$79:$AW$111,29,FALSE)="","",VLOOKUP(Sun_W2[[#This Row],[Employee Name]],'Base Schedules'!$A$79:$AW$111,29,FALSE)),"")</f>
        <v>-</v>
      </c>
      <c r="AE26" s="184" t="str">
        <f>IFERROR(IF(VLOOKUP(Sun_W2[[#This Row],[Employee Name]],'Base Schedules'!$A$79:$AW$111,30,FALSE)="","",VLOOKUP(Sun_W2[[#This Row],[Employee Name]],'Base Schedules'!$A$79:$AW$111,30,FALSE)),"")</f>
        <v>-</v>
      </c>
      <c r="AF26" s="184" t="str">
        <f>IFERROR(IF(VLOOKUP(Sun_W2[[#This Row],[Employee Name]],'Base Schedules'!$A$79:$AW$111,31,FALSE)="","",VLOOKUP(Sun_W2[[#This Row],[Employee Name]],'Base Schedules'!$A$79:$AW$111,31,FALSE)),"")</f>
        <v>-</v>
      </c>
      <c r="AG26" s="184" t="str">
        <f>IFERROR(IF(VLOOKUP(Sun_W2[[#This Row],[Employee Name]],'Base Schedules'!$A$79:$AW$111,32,FALSE)="","",VLOOKUP(Sun_W2[[#This Row],[Employee Name]],'Base Schedules'!$A$79:$AW$111,32,FALSE)),"")</f>
        <v>-</v>
      </c>
      <c r="AH26" s="184" t="str">
        <f>IFERROR(IF(VLOOKUP(Sun_W2[[#This Row],[Employee Name]],'Base Schedules'!$A$79:$AW$111,33,FALSE)="","",VLOOKUP(Sun_W2[[#This Row],[Employee Name]],'Base Schedules'!$A$79:$AW$111,33,FALSE)),"")</f>
        <v>Coaching</v>
      </c>
      <c r="AI26" s="184" t="str">
        <f>IFERROR(IF(VLOOKUP(Sun_W2[[#This Row],[Employee Name]],'Base Schedules'!$A$79:$AW$111,34,FALSE)="","",VLOOKUP(Sun_W2[[#This Row],[Employee Name]],'Base Schedules'!$A$79:$AW$111,34,FALSE)),"")</f>
        <v>Coaching</v>
      </c>
      <c r="AJ26" s="184" t="str">
        <f>IFERROR(IF(VLOOKUP(Sun_W2[[#This Row],[Employee Name]],'Base Schedules'!$A$79:$AW$111,35,FALSE)="","",VLOOKUP(Sun_W2[[#This Row],[Employee Name]],'Base Schedules'!$A$79:$AW$111,35,FALSE)),"")</f>
        <v>Coaching</v>
      </c>
      <c r="AK26" s="184" t="str">
        <f>IFERROR(IF(VLOOKUP(Sun_W2[[#This Row],[Employee Name]],'Base Schedules'!$A$79:$AW$111,36,FALSE)="","",VLOOKUP(Sun_W2[[#This Row],[Employee Name]],'Base Schedules'!$A$79:$AW$111,36,FALSE)),"")</f>
        <v>Coaching</v>
      </c>
      <c r="AL26" s="184" t="str">
        <f>IFERROR(IF(VLOOKUP(Sun_W2[[#This Row],[Employee Name]],'Base Schedules'!$A$79:$AW$111,37,FALSE)="","",VLOOKUP(Sun_W2[[#This Row],[Employee Name]],'Base Schedules'!$A$79:$AW$111,37,FALSE)),"")</f>
        <v>-</v>
      </c>
      <c r="AM26" s="184" t="str">
        <f>IFERROR(IF(VLOOKUP(Sun_W2[[#This Row],[Employee Name]],'Base Schedules'!$A$79:$AW$111,38,FALSE)="","",VLOOKUP(Sun_W2[[#This Row],[Employee Name]],'Base Schedules'!$A$79:$AW$111,38,FALSE)),"")</f>
        <v>-</v>
      </c>
      <c r="AN26" s="184" t="str">
        <f>IFERROR(IF(VLOOKUP(Sun_W2[[#This Row],[Employee Name]],'Base Schedules'!$A$79:$AW$111,39,FALSE)="","",VLOOKUP(Sun_W2[[#This Row],[Employee Name]],'Base Schedules'!$A$79:$AW$111,39,FALSE)),"")</f>
        <v>-</v>
      </c>
      <c r="AO26" s="184" t="str">
        <f>IFERROR(IF(VLOOKUP(Sun_W2[[#This Row],[Employee Name]],'Base Schedules'!$A$79:$AW$111,40,FALSE)="","",VLOOKUP(Sun_W2[[#This Row],[Employee Name]],'Base Schedules'!$A$79:$AW$111,40,FALSE)),"")</f>
        <v>-</v>
      </c>
      <c r="AP26" s="184" t="str">
        <f>IFERROR(IF(VLOOKUP(Sun_W2[[#This Row],[Employee Name]],'Base Schedules'!$A$79:$AW$111,41,FALSE)="","",VLOOKUP(Sun_W2[[#This Row],[Employee Name]],'Base Schedules'!$A$79:$AW$111,41,FALSE)),"")</f>
        <v>-</v>
      </c>
      <c r="AQ26" s="184" t="str">
        <f>IFERROR(IF(VLOOKUP(Sun_W2[[#This Row],[Employee Name]],'Base Schedules'!$A$79:$AW$111,42,FALSE)="","",VLOOKUP(Sun_W2[[#This Row],[Employee Name]],'Base Schedules'!$A$79:$AW$111,42,FALSE)),"")</f>
        <v/>
      </c>
      <c r="AR26" s="184" t="str">
        <f>IFERROR(IF(VLOOKUP(Sun_W2[[#This Row],[Employee Name]],'Base Schedules'!$A$79:$AW$111,43,FALSE)="","",VLOOKUP(Sun_W2[[#This Row],[Employee Name]],'Base Schedules'!$A$79:$AW$111,43,FALSE)),"")</f>
        <v/>
      </c>
      <c r="AS26" s="184" t="str">
        <f>IFERROR(IF(VLOOKUP(Sun_W2[[#This Row],[Employee Name]],'Base Schedules'!$A$79:$AW$111,44,FALSE)="","",VLOOKUP(Sun_W2[[#This Row],[Employee Name]],'Base Schedules'!$A$79:$AW$111,44,FALSE)),"")</f>
        <v/>
      </c>
      <c r="AT26" s="184" t="str">
        <f>IFERROR(IF(VLOOKUP(Sun_W2[[#This Row],[Employee Name]],'Base Schedules'!$A$79:$AW$111,45,FALSE)="","",VLOOKUP(Sun_W2[[#This Row],[Employee Name]],'Base Schedules'!$A$79:$AW$111,45,FALSE)),"")</f>
        <v/>
      </c>
      <c r="AU26" s="184" t="str">
        <f>IFERROR(IF(VLOOKUP(Sun_W2[[#This Row],[Employee Name]],'Base Schedules'!$A$79:$AW$111,46,FALSE)="","",VLOOKUP(Sun_W2[[#This Row],[Employee Name]],'Base Schedules'!$A$79:$AW$111,46,FALSE)),"")</f>
        <v/>
      </c>
      <c r="AV26" s="184" t="str">
        <f>IFERROR(IF(VLOOKUP(Sun_W2[[#This Row],[Employee Name]],'Base Schedules'!$A$79:$AW$111,47,FALSE)="","",VLOOKUP(Sun_W2[[#This Row],[Employee Name]],'Base Schedules'!$A$79:$AW$111,47,FALSE)),"")</f>
        <v/>
      </c>
      <c r="AW26" s="184" t="str">
        <f>IFERROR(IF(VLOOKUP(Sun_W2[[#This Row],[Employee Name]],'Base Schedules'!$A$79:$AW$111,48,FALSE)="","",VLOOKUP(Sun_W2[[#This Row],[Employee Name]],'Base Schedules'!$A$79:$AW$111,48,FALSE)),"")</f>
        <v/>
      </c>
      <c r="AX26" s="184" t="str">
        <f>IFERROR(IF(VLOOKUP(Sun_W2[[#This Row],[Employee Name]],'Base Schedules'!$A$79:$AW$111,49,FALSE)="","",VLOOKUP(Sun_W2[[#This Row],[Employee Name]],'Base Schedules'!$A$79:$AW$111,49,FALSE)),"")</f>
        <v/>
      </c>
      <c r="AY26" s="159" t="str">
        <f t="shared" si="2"/>
        <v>McFall, Erin</v>
      </c>
      <c r="AZ26" s="184" t="str">
        <f>IFERROR(IF(VLOOKUP(Sun_W1[[#This Row],[Employee Name]],'Base Schedules'!$A$79:$AW$111,48,FALSE)="","",VLOOKUP(Sun_W1[[#This Row],[Employee Name]],'Base Schedules'!$A$79:$AW$111,48,FALSE)),"")</f>
        <v/>
      </c>
      <c r="BA26" s="184" t="str">
        <f>IFERROR(IF(VLOOKUP(Sun_W1[[#This Row],[Employee Name]],'Base Schedules'!$A$79:$AW$111,49,FALSE)="","",VLOOKUP(Sun_W1[[#This Row],[Employee Name]],'Base Schedules'!$A$79:$AW$111,49,FALSE)),"")</f>
        <v/>
      </c>
    </row>
    <row r="27" spans="1:53" s="44" customFormat="1" ht="12" customHeight="1" x14ac:dyDescent="0.2">
      <c r="A27" s="39" t="e">
        <f>IF(B27="","",INDEX(TeamList[],MATCH($B27,TeamList[[Employee Name]:[Employee Name]],0),MATCH("Manager",TeamList[#Headers],0)))</f>
        <v>#N/A</v>
      </c>
      <c r="B27" s="201" t="s">
        <v>587</v>
      </c>
      <c r="C27" s="257" t="str">
        <f>_xlfn.IFNA(VLOOKUP(Sun_W2[[#This Row],[Employee Name]],'Base Schedules'!A:B,2,FALSE),"")</f>
        <v>Lead</v>
      </c>
      <c r="D27" s="274">
        <f>_xlfn.IFNA(VLOOKUP(Sun_W2[[#This Row],[Employee Name]],'Base Schedules'!A:C,3,FALSE),"")</f>
        <v>1230</v>
      </c>
      <c r="E27" s="354">
        <f>_xlfn.IFNA(VLOOKUP(Sun_W2[[#This Row],[Employee Name]],'Base Schedules'!A:D,4,FALSE),"")</f>
        <v>2100</v>
      </c>
      <c r="F27" s="358">
        <f>IF(Sun_W2[[#This Row],[Employee Name]]="","",IF(Sun_W2[[#This Row],[Dept]]="Supervisor",COUNTIFS($J27:$AX27,"*HL*",$J27:$AX27,"&lt;&gt;"&amp;"pHL"),COUNTIFS($J27:$AX27,"*HL*",$J27:$AX27,"&lt;&gt;"&amp;"*pHL*",$J27:$AX27,"&lt;&gt;"&amp;"pB1 HL",$J27:$AX27,"&lt;&gt;"&amp;"pB2 HL")-SUM(COUNTIFS($J27:$AX27,"*HL B1*",$J27:$AX27,"&lt;&gt;"&amp;"pHL B1")*0.5,COUNTIFS($J27:$AX27,"*HL B2*",$J27:$AX27,"&lt;&gt;"&amp;"pHL B2")*0.5,COUNTIFS($J27:$AX27,"*B1 HL*",$J27:$AX27,"&lt;&gt;"&amp;"pB1 HL")*0.5,COUNTIFS($J27:$AX27,"*B2 HL*",$J27:$AX27,"&lt;&gt;"&amp;"pB2 HL")*0.5)))</f>
        <v>8.5</v>
      </c>
      <c r="G27" s="142">
        <f t="shared" si="0"/>
        <v>0</v>
      </c>
      <c r="H27" s="142">
        <f t="shared" si="1"/>
        <v>7</v>
      </c>
      <c r="I27" s="142">
        <f>IF(Sun_W2[[#This Row],[Employee Name]]="","",IF(Sun_W2[[#This Row],[Dept]]="Supervisor",SUM(COUNTIFS($J27:$AX27,"RTA*",$J27:$AX27,"&lt;&gt;"&amp;"pRTA"),COUNTIFS($J27:$AX27,"*CRTA*",$J27:$AX27,"&lt;&gt;"&amp;"pCRTA")),COUNTIFS($J27:$AX27,"*RNNR*",$J27:$AX27,"&lt;&gt;"&amp;"*pRNNR*",$J27:$AX27,"&lt;&gt;"&amp;"pB1 RNNR",$J27:$AX27,"&lt;&gt;"&amp;"pB2 RNNR")-SUM(COUNTIFS($J27:$AX27,"*RNNR B1*",$J27:$AX27,"&lt;&gt;"&amp;"pRNNR B1")*0.5,COUNTIFS($J27:$AX27,"*RNNR B2*",$J27:$AX27,"&lt;&gt;"&amp;"pRNNR B2")*0.5,COUNTIFS($J27:$AX27,"*B1 RNNR*",$J27:$AX27,"&lt;&gt;"&amp;"pB1 RNNR")*0.5,COUNTIFS($J27:$AX27,"*B2 RNNR*",$J27:$AX27,"&lt;&gt;"&amp;"pB2 RNNR")*0.5)))</f>
        <v>0</v>
      </c>
      <c r="J27" s="184" t="str">
        <f>IFERROR(IF(VLOOKUP(Sun_W2[[#This Row],[Employee Name]],'Base Schedules'!$A$79:$AW$111,9,FALSE)="","",VLOOKUP(Sun_W2[[#This Row],[Employee Name]],'Base Schedules'!$A$79:$AW$111,9,FALSE)),"")</f>
        <v/>
      </c>
      <c r="K27" s="184" t="str">
        <f>IFERROR(IF(VLOOKUP(Sun_W2[[#This Row],[Employee Name]],'Base Schedules'!$A$79:$AW$111,10,FALSE)="","",VLOOKUP(Sun_W2[[#This Row],[Employee Name]],'Base Schedules'!$A$79:$AW$111,10,FALSE)),"")</f>
        <v/>
      </c>
      <c r="L27" s="184" t="str">
        <f>IFERROR(IF(VLOOKUP(Sun_W2[[#This Row],[Employee Name]],'Base Schedules'!$A$79:$AW$111,11,FALSE)="","",VLOOKUP(Sun_W2[[#This Row],[Employee Name]],'Base Schedules'!$A$79:$AW$111,11,FALSE)),"")</f>
        <v/>
      </c>
      <c r="M27" s="184" t="str">
        <f>IFERROR(IF(VLOOKUP(Sun_W2[[#This Row],[Employee Name]],'Base Schedules'!$A$79:$AW$111,12,FALSE)="","",VLOOKUP(Sun_W2[[#This Row],[Employee Name]],'Base Schedules'!$A$79:$AW$111,12,FALSE)),"")</f>
        <v/>
      </c>
      <c r="N27" s="184" t="str">
        <f>IFERROR(IF(VLOOKUP(Sun_W2[[#This Row],[Employee Name]],'Base Schedules'!$A$79:$AW$111,13,FALSE)="","",VLOOKUP(Sun_W2[[#This Row],[Employee Name]],'Base Schedules'!$A$79:$AW$111,13,FALSE)),"")</f>
        <v/>
      </c>
      <c r="O27" s="184" t="str">
        <f>IFERROR(IF(VLOOKUP(Sun_W2[[#This Row],[Employee Name]],'Base Schedules'!$A$79:$AW$111,14,FALSE)="","",VLOOKUP(Sun_W2[[#This Row],[Employee Name]],'Base Schedules'!$A$79:$AW$111,14,FALSE)),"")</f>
        <v/>
      </c>
      <c r="P27" s="184" t="str">
        <f>IFERROR(IF(VLOOKUP(Sun_W2[[#This Row],[Employee Name]],'Base Schedules'!$A$79:$AW$111,15,FALSE)="","",VLOOKUP(Sun_W2[[#This Row],[Employee Name]],'Base Schedules'!$A$79:$AW$111,15,FALSE)),"")</f>
        <v/>
      </c>
      <c r="Q27" s="184" t="str">
        <f>IFERROR(IF(VLOOKUP(Sun_W2[[#This Row],[Employee Name]],'Base Schedules'!$A$79:$AW$111,16,FALSE)="","",VLOOKUP(Sun_W2[[#This Row],[Employee Name]],'Base Schedules'!$A$79:$AW$111,16,FALSE)),"")</f>
        <v/>
      </c>
      <c r="R27" s="184" t="str">
        <f>IFERROR(IF(VLOOKUP(Sun_W2[[#This Row],[Employee Name]],'Base Schedules'!$A$79:$AW$111,17,FALSE)="","",VLOOKUP(Sun_W2[[#This Row],[Employee Name]],'Base Schedules'!$A$79:$AW$111,17,FALSE)),"")</f>
        <v/>
      </c>
      <c r="S27" s="184" t="str">
        <f>IFERROR(IF(VLOOKUP(Sun_W2[[#This Row],[Employee Name]],'Base Schedules'!$A$79:$AW$111,18,FALSE)="","",VLOOKUP(Sun_W2[[#This Row],[Employee Name]],'Base Schedules'!$A$79:$AW$111,18,FALSE)),"")</f>
        <v/>
      </c>
      <c r="T27" s="184" t="str">
        <f>IFERROR(IF(VLOOKUP(Sun_W2[[#This Row],[Employee Name]],'Base Schedules'!$A$79:$AW$111,19,FALSE)="","",VLOOKUP(Sun_W2[[#This Row],[Employee Name]],'Base Schedules'!$A$79:$AW$111,19,FALSE)),"")</f>
        <v/>
      </c>
      <c r="U27" s="184" t="str">
        <f>IFERROR(IF(VLOOKUP(Sun_W2[[#This Row],[Employee Name]],'Base Schedules'!$A$79:$AW$111,20,FALSE)="","",VLOOKUP(Sun_W2[[#This Row],[Employee Name]],'Base Schedules'!$A$79:$AW$111,20,FALSE)),"")</f>
        <v/>
      </c>
      <c r="V27" s="184" t="str">
        <f>IFERROR(IF(VLOOKUP(Sun_W2[[#This Row],[Employee Name]],'Base Schedules'!$A$79:$AW$111,21,FALSE)="","",VLOOKUP(Sun_W2[[#This Row],[Employee Name]],'Base Schedules'!$A$79:$AW$111,21,FALSE)),"")</f>
        <v/>
      </c>
      <c r="W27" s="184" t="str">
        <f>IFERROR(IF(VLOOKUP(Sun_W2[[#This Row],[Employee Name]],'Base Schedules'!$A$79:$AW$111,22,FALSE)="","",VLOOKUP(Sun_W2[[#This Row],[Employee Name]],'Base Schedules'!$A$79:$AW$111,22,FALSE)),"")</f>
        <v/>
      </c>
      <c r="X27" s="184" t="str">
        <f>IFERROR(IF(VLOOKUP(Sun_W2[[#This Row],[Employee Name]],'Base Schedules'!$A$79:$AW$111,23,FALSE)="","",VLOOKUP(Sun_W2[[#This Row],[Employee Name]],'Base Schedules'!$A$79:$AW$111,23,FALSE)),"")</f>
        <v/>
      </c>
      <c r="Y27" s="184" t="str">
        <f>IFERROR(IF(VLOOKUP(Sun_W2[[#This Row],[Employee Name]],'Base Schedules'!$A$79:$AW$111,24,FALSE)="","",VLOOKUP(Sun_W2[[#This Row],[Employee Name]],'Base Schedules'!$A$79:$AW$111,24,FALSE)),"")</f>
        <v>HL</v>
      </c>
      <c r="Z27" s="184" t="str">
        <f>IFERROR(IF(VLOOKUP(Sun_W2[[#This Row],[Employee Name]],'Base Schedules'!$A$79:$AW$111,25,FALSE)="","",VLOOKUP(Sun_W2[[#This Row],[Employee Name]],'Base Schedules'!$A$79:$AW$111,25,FALSE)),"")</f>
        <v>HL</v>
      </c>
      <c r="AA27" s="184" t="str">
        <f>IFERROR(IF(VLOOKUP(Sun_W2[[#This Row],[Employee Name]],'Base Schedules'!$A$79:$AW$111,26,FALSE)="","",VLOOKUP(Sun_W2[[#This Row],[Employee Name]],'Base Schedules'!$A$79:$AW$111,26,FALSE)),"")</f>
        <v>HL B1</v>
      </c>
      <c r="AB27" s="184" t="str">
        <f>IFERROR(IF(VLOOKUP(Sun_W2[[#This Row],[Employee Name]],'Base Schedules'!$A$79:$AW$111,27,FALSE)="","",VLOOKUP(Sun_W2[[#This Row],[Employee Name]],'Base Schedules'!$A$79:$AW$111,27,FALSE)),"")</f>
        <v>HL</v>
      </c>
      <c r="AC27" s="184" t="str">
        <f>IFERROR(IF(VLOOKUP(Sun_W2[[#This Row],[Employee Name]],'Base Schedules'!$A$79:$AW$111,28,FALSE)="","",VLOOKUP(Sun_W2[[#This Row],[Employee Name]],'Base Schedules'!$A$79:$AW$111,28,FALSE)),"")</f>
        <v>HL</v>
      </c>
      <c r="AD27" s="184" t="str">
        <f>IFERROR(IF(VLOOKUP(Sun_W2[[#This Row],[Employee Name]],'Base Schedules'!$A$79:$AW$111,29,FALSE)="","",VLOOKUP(Sun_W2[[#This Row],[Employee Name]],'Base Schedules'!$A$79:$AW$111,29,FALSE)),"")</f>
        <v>ADM</v>
      </c>
      <c r="AE27" s="184" t="str">
        <f>IFERROR(IF(VLOOKUP(Sun_W2[[#This Row],[Employee Name]],'Base Schedules'!$A$79:$AW$111,30,FALSE)="","",VLOOKUP(Sun_W2[[#This Row],[Employee Name]],'Base Schedules'!$A$79:$AW$111,30,FALSE)),"")</f>
        <v>ADM</v>
      </c>
      <c r="AF27" s="184" t="str">
        <f>IFERROR(IF(VLOOKUP(Sun_W2[[#This Row],[Employee Name]],'Base Schedules'!$A$79:$AW$111,31,FALSE)="","",VLOOKUP(Sun_W2[[#This Row],[Employee Name]],'Base Schedules'!$A$79:$AW$111,31,FALSE)),"")</f>
        <v>LUNCH</v>
      </c>
      <c r="AG27" s="184" t="str">
        <f>IFERROR(IF(VLOOKUP(Sun_W2[[#This Row],[Employee Name]],'Base Schedules'!$A$79:$AW$111,32,FALSE)="","",VLOOKUP(Sun_W2[[#This Row],[Employee Name]],'Base Schedules'!$A$79:$AW$111,32,FALSE)),"")</f>
        <v>ADM</v>
      </c>
      <c r="AH27" s="184" t="str">
        <f>IFERROR(IF(VLOOKUP(Sun_W2[[#This Row],[Employee Name]],'Base Schedules'!$A$79:$AW$111,33,FALSE)="","",VLOOKUP(Sun_W2[[#This Row],[Employee Name]],'Base Schedules'!$A$79:$AW$111,33,FALSE)),"")</f>
        <v>HL</v>
      </c>
      <c r="AI27" s="184" t="str">
        <f>IFERROR(IF(VLOOKUP(Sun_W2[[#This Row],[Employee Name]],'Base Schedules'!$A$79:$AW$111,34,FALSE)="","",VLOOKUP(Sun_W2[[#This Row],[Employee Name]],'Base Schedules'!$A$79:$AW$111,34,FALSE)),"")</f>
        <v>HL</v>
      </c>
      <c r="AJ27" s="184" t="str">
        <f>IFERROR(IF(VLOOKUP(Sun_W2[[#This Row],[Employee Name]],'Base Schedules'!$A$79:$AW$111,35,FALSE)="","",VLOOKUP(Sun_W2[[#This Row],[Employee Name]],'Base Schedules'!$A$79:$AW$111,35,FALSE)),"")</f>
        <v>HL</v>
      </c>
      <c r="AK27" s="184" t="str">
        <f>IFERROR(IF(VLOOKUP(Sun_W2[[#This Row],[Employee Name]],'Base Schedules'!$A$79:$AW$111,36,FALSE)="","",VLOOKUP(Sun_W2[[#This Row],[Employee Name]],'Base Schedules'!$A$79:$AW$111,36,FALSE)),"")</f>
        <v>ADM</v>
      </c>
      <c r="AL27" s="184" t="str">
        <f>IFERROR(IF(VLOOKUP(Sun_W2[[#This Row],[Employee Name]],'Base Schedules'!$A$79:$AW$111,37,FALSE)="","",VLOOKUP(Sun_W2[[#This Row],[Employee Name]],'Base Schedules'!$A$79:$AW$111,37,FALSE)),"")</f>
        <v>B2 ADM</v>
      </c>
      <c r="AM27" s="184" t="str">
        <f>IFERROR(IF(VLOOKUP(Sun_W2[[#This Row],[Employee Name]],'Base Schedules'!$A$79:$AW$111,38,FALSE)="","",VLOOKUP(Sun_W2[[#This Row],[Employee Name]],'Base Schedules'!$A$79:$AW$111,38,FALSE)),"")</f>
        <v>ADM</v>
      </c>
      <c r="AN27" s="184" t="str">
        <f>IFERROR(IF(VLOOKUP(Sun_W2[[#This Row],[Employee Name]],'Base Schedules'!$A$79:$AW$111,39,FALSE)="","",VLOOKUP(Sun_W2[[#This Row],[Employee Name]],'Base Schedules'!$A$79:$AW$111,39,FALSE)),"")</f>
        <v>ADM</v>
      </c>
      <c r="AO27" s="184" t="str">
        <f>IFERROR(IF(VLOOKUP(Sun_W2[[#This Row],[Employee Name]],'Base Schedules'!$A$79:$AW$111,40,FALSE)="","",VLOOKUP(Sun_W2[[#This Row],[Employee Name]],'Base Schedules'!$A$79:$AW$111,40,FALSE)),"")</f>
        <v>HL</v>
      </c>
      <c r="AP27" s="184" t="str">
        <f>IFERROR(IF(VLOOKUP(Sun_W2[[#This Row],[Employee Name]],'Base Schedules'!$A$79:$AW$111,41,FALSE)="","",VLOOKUP(Sun_W2[[#This Row],[Employee Name]],'Base Schedules'!$A$79:$AW$111,41,FALSE)),"")</f>
        <v/>
      </c>
      <c r="AQ27" s="184" t="str">
        <f>IFERROR(IF(VLOOKUP(Sun_W2[[#This Row],[Employee Name]],'Base Schedules'!$A$79:$AW$111,42,FALSE)="","",VLOOKUP(Sun_W2[[#This Row],[Employee Name]],'Base Schedules'!$A$79:$AW$111,42,FALSE)),"")</f>
        <v/>
      </c>
      <c r="AR27" s="184" t="str">
        <f>IFERROR(IF(VLOOKUP(Sun_W2[[#This Row],[Employee Name]],'Base Schedules'!$A$79:$AW$111,43,FALSE)="","",VLOOKUP(Sun_W2[[#This Row],[Employee Name]],'Base Schedules'!$A$79:$AW$111,43,FALSE)),"")</f>
        <v/>
      </c>
      <c r="AS27" s="184" t="str">
        <f>IFERROR(IF(VLOOKUP(Sun_W2[[#This Row],[Employee Name]],'Base Schedules'!$A$79:$AW$111,44,FALSE)="","",VLOOKUP(Sun_W2[[#This Row],[Employee Name]],'Base Schedules'!$A$79:$AW$111,44,FALSE)),"")</f>
        <v/>
      </c>
      <c r="AT27" s="184" t="str">
        <f>IFERROR(IF(VLOOKUP(Sun_W2[[#This Row],[Employee Name]],'Base Schedules'!$A$79:$AW$111,45,FALSE)="","",VLOOKUP(Sun_W2[[#This Row],[Employee Name]],'Base Schedules'!$A$79:$AW$111,45,FALSE)),"")</f>
        <v/>
      </c>
      <c r="AU27" s="184" t="str">
        <f>IFERROR(IF(VLOOKUP(Sun_W2[[#This Row],[Employee Name]],'Base Schedules'!$A$79:$AW$111,46,FALSE)="","",VLOOKUP(Sun_W2[[#This Row],[Employee Name]],'Base Schedules'!$A$79:$AW$111,46,FALSE)),"")</f>
        <v/>
      </c>
      <c r="AV27" s="184" t="str">
        <f>IFERROR(IF(VLOOKUP(Sun_W2[[#This Row],[Employee Name]],'Base Schedules'!$A$79:$AW$111,47,FALSE)="","",VLOOKUP(Sun_W2[[#This Row],[Employee Name]],'Base Schedules'!$A$79:$AW$111,47,FALSE)),"")</f>
        <v/>
      </c>
      <c r="AW27" s="184" t="str">
        <f>IFERROR(IF(VLOOKUP(Sun_W2[[#This Row],[Employee Name]],'Base Schedules'!$A$79:$AW$111,48,FALSE)="","",VLOOKUP(Sun_W2[[#This Row],[Employee Name]],'Base Schedules'!$A$79:$AW$111,48,FALSE)),"")</f>
        <v/>
      </c>
      <c r="AX27" s="184" t="str">
        <f>IFERROR(IF(VLOOKUP(Sun_W2[[#This Row],[Employee Name]],'Base Schedules'!$A$79:$AW$111,49,FALSE)="","",VLOOKUP(Sun_W2[[#This Row],[Employee Name]],'Base Schedules'!$A$79:$AW$111,49,FALSE)),"")</f>
        <v/>
      </c>
      <c r="AY27" s="159" t="str">
        <f t="shared" si="2"/>
        <v>Mason, April</v>
      </c>
      <c r="AZ27" s="184" t="str">
        <f>IFERROR(IF(VLOOKUP(Sun_W1[[#This Row],[Employee Name]],'Base Schedules'!$A$79:$AW$111,48,FALSE)="","",VLOOKUP(Sun_W1[[#This Row],[Employee Name]],'Base Schedules'!$A$79:$AW$111,48,FALSE)),"")</f>
        <v/>
      </c>
      <c r="BA27" s="184" t="str">
        <f>IFERROR(IF(VLOOKUP(Sun_W1[[#This Row],[Employee Name]],'Base Schedules'!$A$79:$AW$111,49,FALSE)="","",VLOOKUP(Sun_W1[[#This Row],[Employee Name]],'Base Schedules'!$A$79:$AW$111,49,FALSE)),"")</f>
        <v/>
      </c>
    </row>
    <row r="28" spans="1:53" s="44" customFormat="1" ht="12" customHeight="1" x14ac:dyDescent="0.2">
      <c r="A28" s="39" t="str">
        <f>IF(B28="","",INDEX(TeamList[],MATCH($B28,TeamList[[Employee Name]:[Employee Name]],0),MATCH("Manager",TeamList[#Headers],0)))</f>
        <v>Olson, Katherine</v>
      </c>
      <c r="B28" s="201" t="s">
        <v>29</v>
      </c>
      <c r="C28" s="257" t="str">
        <f>_xlfn.IFNA(VLOOKUP(Sun_W2[[#This Row],[Employee Name]],'Base Schedules'!A:B,2,FALSE),"")</f>
        <v>Lead</v>
      </c>
      <c r="D28" s="274">
        <f>_xlfn.IFNA(VLOOKUP(Sun_W2[[#This Row],[Employee Name]],'Base Schedules'!A:C,3,FALSE),"")</f>
        <v>1300</v>
      </c>
      <c r="E28" s="354">
        <f>_xlfn.IFNA(VLOOKUP(Sun_W2[[#This Row],[Employee Name]],'Base Schedules'!A:D,4,FALSE),"")</f>
        <v>2130</v>
      </c>
      <c r="F28" s="358">
        <f>IF(Sun_W2[[#This Row],[Employee Name]]="","",IF(Sun_W2[[#This Row],[Dept]]="Supervisor",COUNTIFS($J28:$AX28,"*HL*",$J28:$AX28,"&lt;&gt;"&amp;"pHL"),COUNTIFS($J28:$AX28,"*HL*",$J28:$AX28,"&lt;&gt;"&amp;"*pHL*",$J28:$AX28,"&lt;&gt;"&amp;"pB1 HL",$J28:$AX28,"&lt;&gt;"&amp;"pB2 HL")-SUM(COUNTIFS($J28:$AX28,"*HL B1*",$J28:$AX28,"&lt;&gt;"&amp;"pHL B1")*0.5,COUNTIFS($J28:$AX28,"*HL B2*",$J28:$AX28,"&lt;&gt;"&amp;"pHL B2")*0.5,COUNTIFS($J28:$AX28,"*B1 HL*",$J28:$AX28,"&lt;&gt;"&amp;"pB1 HL")*0.5,COUNTIFS($J28:$AX28,"*B2 HL*",$J28:$AX28,"&lt;&gt;"&amp;"pB2 HL")*0.5)))</f>
        <v>10.5</v>
      </c>
      <c r="G28" s="142">
        <f t="shared" si="0"/>
        <v>0</v>
      </c>
      <c r="H28" s="142">
        <f t="shared" si="1"/>
        <v>5</v>
      </c>
      <c r="I28" s="142">
        <f>IF(Sun_W2[[#This Row],[Employee Name]]="","",IF(Sun_W2[[#This Row],[Dept]]="Supervisor",SUM(COUNTIFS($J28:$AX28,"RTA*",$J28:$AX28,"&lt;&gt;"&amp;"pRTA"),COUNTIFS($J28:$AX28,"*CRTA*",$J28:$AX28,"&lt;&gt;"&amp;"pCRTA")),COUNTIFS($J28:$AX28,"*RNNR*",$J28:$AX28,"&lt;&gt;"&amp;"*pRNNR*",$J28:$AX28,"&lt;&gt;"&amp;"pB1 RNNR",$J28:$AX28,"&lt;&gt;"&amp;"pB2 RNNR")-SUM(COUNTIFS($J28:$AX28,"*RNNR B1*",$J28:$AX28,"&lt;&gt;"&amp;"pRNNR B1")*0.5,COUNTIFS($J28:$AX28,"*RNNR B2*",$J28:$AX28,"&lt;&gt;"&amp;"pRNNR B2")*0.5,COUNTIFS($J28:$AX28,"*B1 RNNR*",$J28:$AX28,"&lt;&gt;"&amp;"pB1 RNNR")*0.5,COUNTIFS($J28:$AX28,"*B2 RNNR*",$J28:$AX28,"&lt;&gt;"&amp;"pB2 RNNR")*0.5)))</f>
        <v>0</v>
      </c>
      <c r="J28" s="184" t="str">
        <f>IFERROR(IF(VLOOKUP(Sun_W2[[#This Row],[Employee Name]],'Base Schedules'!$A$79:$AW$111,9,FALSE)="","",VLOOKUP(Sun_W2[[#This Row],[Employee Name]],'Base Schedules'!$A$79:$AW$111,9,FALSE)),"")</f>
        <v/>
      </c>
      <c r="K28" s="184" t="str">
        <f>IFERROR(IF(VLOOKUP(Sun_W2[[#This Row],[Employee Name]],'Base Schedules'!$A$79:$AW$111,10,FALSE)="","",VLOOKUP(Sun_W2[[#This Row],[Employee Name]],'Base Schedules'!$A$79:$AW$111,10,FALSE)),"")</f>
        <v/>
      </c>
      <c r="L28" s="184" t="str">
        <f>IFERROR(IF(VLOOKUP(Sun_W2[[#This Row],[Employee Name]],'Base Schedules'!$A$79:$AW$111,11,FALSE)="","",VLOOKUP(Sun_W2[[#This Row],[Employee Name]],'Base Schedules'!$A$79:$AW$111,11,FALSE)),"")</f>
        <v/>
      </c>
      <c r="M28" s="184" t="str">
        <f>IFERROR(IF(VLOOKUP(Sun_W2[[#This Row],[Employee Name]],'Base Schedules'!$A$79:$AW$111,12,FALSE)="","",VLOOKUP(Sun_W2[[#This Row],[Employee Name]],'Base Schedules'!$A$79:$AW$111,12,FALSE)),"")</f>
        <v/>
      </c>
      <c r="N28" s="184" t="str">
        <f>IFERROR(IF(VLOOKUP(Sun_W2[[#This Row],[Employee Name]],'Base Schedules'!$A$79:$AW$111,13,FALSE)="","",VLOOKUP(Sun_W2[[#This Row],[Employee Name]],'Base Schedules'!$A$79:$AW$111,13,FALSE)),"")</f>
        <v/>
      </c>
      <c r="O28" s="184" t="str">
        <f>IFERROR(IF(VLOOKUP(Sun_W2[[#This Row],[Employee Name]],'Base Schedules'!$A$79:$AW$111,14,FALSE)="","",VLOOKUP(Sun_W2[[#This Row],[Employee Name]],'Base Schedules'!$A$79:$AW$111,14,FALSE)),"")</f>
        <v/>
      </c>
      <c r="P28" s="184" t="str">
        <f>IFERROR(IF(VLOOKUP(Sun_W2[[#This Row],[Employee Name]],'Base Schedules'!$A$79:$AW$111,15,FALSE)="","",VLOOKUP(Sun_W2[[#This Row],[Employee Name]],'Base Schedules'!$A$79:$AW$111,15,FALSE)),"")</f>
        <v/>
      </c>
      <c r="Q28" s="184" t="str">
        <f>IFERROR(IF(VLOOKUP(Sun_W2[[#This Row],[Employee Name]],'Base Schedules'!$A$79:$AW$111,16,FALSE)="","",VLOOKUP(Sun_W2[[#This Row],[Employee Name]],'Base Schedules'!$A$79:$AW$111,16,FALSE)),"")</f>
        <v/>
      </c>
      <c r="R28" s="184" t="str">
        <f>IFERROR(IF(VLOOKUP(Sun_W2[[#This Row],[Employee Name]],'Base Schedules'!$A$79:$AW$111,17,FALSE)="","",VLOOKUP(Sun_W2[[#This Row],[Employee Name]],'Base Schedules'!$A$79:$AW$111,17,FALSE)),"")</f>
        <v/>
      </c>
      <c r="S28" s="184" t="str">
        <f>IFERROR(IF(VLOOKUP(Sun_W2[[#This Row],[Employee Name]],'Base Schedules'!$A$79:$AW$111,18,FALSE)="","",VLOOKUP(Sun_W2[[#This Row],[Employee Name]],'Base Schedules'!$A$79:$AW$111,18,FALSE)),"")</f>
        <v/>
      </c>
      <c r="T28" s="184" t="str">
        <f>IFERROR(IF(VLOOKUP(Sun_W2[[#This Row],[Employee Name]],'Base Schedules'!$A$79:$AW$111,19,FALSE)="","",VLOOKUP(Sun_W2[[#This Row],[Employee Name]],'Base Schedules'!$A$79:$AW$111,19,FALSE)),"")</f>
        <v/>
      </c>
      <c r="U28" s="184" t="str">
        <f>IFERROR(IF(VLOOKUP(Sun_W2[[#This Row],[Employee Name]],'Base Schedules'!$A$79:$AW$111,20,FALSE)="","",VLOOKUP(Sun_W2[[#This Row],[Employee Name]],'Base Schedules'!$A$79:$AW$111,20,FALSE)),"")</f>
        <v/>
      </c>
      <c r="V28" s="184" t="str">
        <f>IFERROR(IF(VLOOKUP(Sun_W2[[#This Row],[Employee Name]],'Base Schedules'!$A$79:$AW$111,21,FALSE)="","",VLOOKUP(Sun_W2[[#This Row],[Employee Name]],'Base Schedules'!$A$79:$AW$111,21,FALSE)),"")</f>
        <v/>
      </c>
      <c r="W28" s="184" t="str">
        <f>IFERROR(IF(VLOOKUP(Sun_W2[[#This Row],[Employee Name]],'Base Schedules'!$A$79:$AW$111,22,FALSE)="","",VLOOKUP(Sun_W2[[#This Row],[Employee Name]],'Base Schedules'!$A$79:$AW$111,22,FALSE)),"")</f>
        <v/>
      </c>
      <c r="X28" s="184" t="str">
        <f>IFERROR(IF(VLOOKUP(Sun_W2[[#This Row],[Employee Name]],'Base Schedules'!$A$79:$AW$111,23,FALSE)="","",VLOOKUP(Sun_W2[[#This Row],[Employee Name]],'Base Schedules'!$A$79:$AW$111,23,FALSE)),"")</f>
        <v/>
      </c>
      <c r="Y28" s="184" t="str">
        <f>IFERROR(IF(VLOOKUP(Sun_W2[[#This Row],[Employee Name]],'Base Schedules'!$A$79:$AW$111,24,FALSE)="","",VLOOKUP(Sun_W2[[#This Row],[Employee Name]],'Base Schedules'!$A$79:$AW$111,24,FALSE)),"")</f>
        <v/>
      </c>
      <c r="Z28" s="184" t="str">
        <f>IFERROR(IF(VLOOKUP(Sun_W2[[#This Row],[Employee Name]],'Base Schedules'!$A$79:$AW$111,25,FALSE)="","",VLOOKUP(Sun_W2[[#This Row],[Employee Name]],'Base Schedules'!$A$79:$AW$111,25,FALSE)),"")</f>
        <v>ADM</v>
      </c>
      <c r="AA28" s="184" t="str">
        <f>IFERROR(IF(VLOOKUP(Sun_W2[[#This Row],[Employee Name]],'Base Schedules'!$A$79:$AW$111,26,FALSE)="","",VLOOKUP(Sun_W2[[#This Row],[Employee Name]],'Base Schedules'!$A$79:$AW$111,26,FALSE)),"")</f>
        <v>ADM</v>
      </c>
      <c r="AB28" s="184" t="str">
        <f>IFERROR(IF(VLOOKUP(Sun_W2[[#This Row],[Employee Name]],'Base Schedules'!$A$79:$AW$111,27,FALSE)="","",VLOOKUP(Sun_W2[[#This Row],[Employee Name]],'Base Schedules'!$A$79:$AW$111,27,FALSE)),"")</f>
        <v>HL</v>
      </c>
      <c r="AC28" s="184" t="str">
        <f>IFERROR(IF(VLOOKUP(Sun_W2[[#This Row],[Employee Name]],'Base Schedules'!$A$79:$AW$111,28,FALSE)="","",VLOOKUP(Sun_W2[[#This Row],[Employee Name]],'Base Schedules'!$A$79:$AW$111,28,FALSE)),"")</f>
        <v>HL</v>
      </c>
      <c r="AD28" s="184" t="str">
        <f>IFERROR(IF(VLOOKUP(Sun_W2[[#This Row],[Employee Name]],'Base Schedules'!$A$79:$AW$111,29,FALSE)="","",VLOOKUP(Sun_W2[[#This Row],[Employee Name]],'Base Schedules'!$A$79:$AW$111,29,FALSE)),"")</f>
        <v>B1 ADM</v>
      </c>
      <c r="AE28" s="184" t="str">
        <f>IFERROR(IF(VLOOKUP(Sun_W2[[#This Row],[Employee Name]],'Base Schedules'!$A$79:$AW$111,30,FALSE)="","",VLOOKUP(Sun_W2[[#This Row],[Employee Name]],'Base Schedules'!$A$79:$AW$111,30,FALSE)),"")</f>
        <v>ADM</v>
      </c>
      <c r="AF28" s="184" t="str">
        <f>IFERROR(IF(VLOOKUP(Sun_W2[[#This Row],[Employee Name]],'Base Schedules'!$A$79:$AW$111,31,FALSE)="","",VLOOKUP(Sun_W2[[#This Row],[Employee Name]],'Base Schedules'!$A$79:$AW$111,31,FALSE)),"")</f>
        <v>ADM</v>
      </c>
      <c r="AG28" s="184" t="str">
        <f>IFERROR(IF(VLOOKUP(Sun_W2[[#This Row],[Employee Name]],'Base Schedules'!$A$79:$AW$111,32,FALSE)="","",VLOOKUP(Sun_W2[[#This Row],[Employee Name]],'Base Schedules'!$A$79:$AW$111,32,FALSE)),"")</f>
        <v>HL</v>
      </c>
      <c r="AH28" s="184" t="str">
        <f>IFERROR(IF(VLOOKUP(Sun_W2[[#This Row],[Employee Name]],'Base Schedules'!$A$79:$AW$111,33,FALSE)="","",VLOOKUP(Sun_W2[[#This Row],[Employee Name]],'Base Schedules'!$A$79:$AW$111,33,FALSE)),"")</f>
        <v>LUNCH</v>
      </c>
      <c r="AI28" s="184" t="str">
        <f>IFERROR(IF(VLOOKUP(Sun_W2[[#This Row],[Employee Name]],'Base Schedules'!$A$79:$AW$111,34,FALSE)="","",VLOOKUP(Sun_W2[[#This Row],[Employee Name]],'Base Schedules'!$A$79:$AW$111,34,FALSE)),"")</f>
        <v>HL</v>
      </c>
      <c r="AJ28" s="184" t="str">
        <f>IFERROR(IF(VLOOKUP(Sun_W2[[#This Row],[Employee Name]],'Base Schedules'!$A$79:$AW$111,35,FALSE)="","",VLOOKUP(Sun_W2[[#This Row],[Employee Name]],'Base Schedules'!$A$79:$AW$111,35,FALSE)),"")</f>
        <v>HL</v>
      </c>
      <c r="AK28" s="184" t="str">
        <f>IFERROR(IF(VLOOKUP(Sun_W2[[#This Row],[Employee Name]],'Base Schedules'!$A$79:$AW$111,36,FALSE)="","",VLOOKUP(Sun_W2[[#This Row],[Employee Name]],'Base Schedules'!$A$79:$AW$111,36,FALSE)),"")</f>
        <v>HL</v>
      </c>
      <c r="AL28" s="184" t="str">
        <f>IFERROR(IF(VLOOKUP(Sun_W2[[#This Row],[Employee Name]],'Base Schedules'!$A$79:$AW$111,37,FALSE)="","",VLOOKUP(Sun_W2[[#This Row],[Employee Name]],'Base Schedules'!$A$79:$AW$111,37,FALSE)),"")</f>
        <v>HL</v>
      </c>
      <c r="AM28" s="184" t="str">
        <f>IFERROR(IF(VLOOKUP(Sun_W2[[#This Row],[Employee Name]],'Base Schedules'!$A$79:$AW$111,38,FALSE)="","",VLOOKUP(Sun_W2[[#This Row],[Employee Name]],'Base Schedules'!$A$79:$AW$111,38,FALSE)),"")</f>
        <v>HL</v>
      </c>
      <c r="AN28" s="184" t="str">
        <f>IFERROR(IF(VLOOKUP(Sun_W2[[#This Row],[Employee Name]],'Base Schedules'!$A$79:$AW$111,39,FALSE)="","",VLOOKUP(Sun_W2[[#This Row],[Employee Name]],'Base Schedules'!$A$79:$AW$111,39,FALSE)),"")</f>
        <v>B2 HL</v>
      </c>
      <c r="AO28" s="184" t="str">
        <f>IFERROR(IF(VLOOKUP(Sun_W2[[#This Row],[Employee Name]],'Base Schedules'!$A$79:$AW$111,40,FALSE)="","",VLOOKUP(Sun_W2[[#This Row],[Employee Name]],'Base Schedules'!$A$79:$AW$111,40,FALSE)),"")</f>
        <v>HL</v>
      </c>
      <c r="AP28" s="184" t="str">
        <f>IFERROR(IF(VLOOKUP(Sun_W2[[#This Row],[Employee Name]],'Base Schedules'!$A$79:$AW$111,41,FALSE)="","",VLOOKUP(Sun_W2[[#This Row],[Employee Name]],'Base Schedules'!$A$79:$AW$111,41,FALSE)),"")</f>
        <v>HL</v>
      </c>
      <c r="AQ28" s="184" t="str">
        <f>IFERROR(IF(VLOOKUP(Sun_W2[[#This Row],[Employee Name]],'Base Schedules'!$A$79:$AW$111,42,FALSE)="","",VLOOKUP(Sun_W2[[#This Row],[Employee Name]],'Base Schedules'!$A$79:$AW$111,42,FALSE)),"")</f>
        <v/>
      </c>
      <c r="AR28" s="184" t="str">
        <f>IFERROR(IF(VLOOKUP(Sun_W2[[#This Row],[Employee Name]],'Base Schedules'!$A$79:$AW$111,43,FALSE)="","",VLOOKUP(Sun_W2[[#This Row],[Employee Name]],'Base Schedules'!$A$79:$AW$111,43,FALSE)),"")</f>
        <v/>
      </c>
      <c r="AS28" s="184" t="str">
        <f>IFERROR(IF(VLOOKUP(Sun_W2[[#This Row],[Employee Name]],'Base Schedules'!$A$79:$AW$111,44,FALSE)="","",VLOOKUP(Sun_W2[[#This Row],[Employee Name]],'Base Schedules'!$A$79:$AW$111,44,FALSE)),"")</f>
        <v/>
      </c>
      <c r="AT28" s="184" t="str">
        <f>IFERROR(IF(VLOOKUP(Sun_W2[[#This Row],[Employee Name]],'Base Schedules'!$A$79:$AW$111,45,FALSE)="","",VLOOKUP(Sun_W2[[#This Row],[Employee Name]],'Base Schedules'!$A$79:$AW$111,45,FALSE)),"")</f>
        <v/>
      </c>
      <c r="AU28" s="184" t="str">
        <f>IFERROR(IF(VLOOKUP(Sun_W2[[#This Row],[Employee Name]],'Base Schedules'!$A$79:$AW$111,46,FALSE)="","",VLOOKUP(Sun_W2[[#This Row],[Employee Name]],'Base Schedules'!$A$79:$AW$111,46,FALSE)),"")</f>
        <v/>
      </c>
      <c r="AV28" s="184" t="str">
        <f>IFERROR(IF(VLOOKUP(Sun_W2[[#This Row],[Employee Name]],'Base Schedules'!$A$79:$AW$111,47,FALSE)="","",VLOOKUP(Sun_W2[[#This Row],[Employee Name]],'Base Schedules'!$A$79:$AW$111,47,FALSE)),"")</f>
        <v/>
      </c>
      <c r="AW28" s="184" t="str">
        <f>IFERROR(IF(VLOOKUP(Sun_W2[[#This Row],[Employee Name]],'Base Schedules'!$A$79:$AW$111,48,FALSE)="","",VLOOKUP(Sun_W2[[#This Row],[Employee Name]],'Base Schedules'!$A$79:$AW$111,48,FALSE)),"")</f>
        <v/>
      </c>
      <c r="AX28" s="184" t="str">
        <f>IFERROR(IF(VLOOKUP(Sun_W2[[#This Row],[Employee Name]],'Base Schedules'!$A$79:$AW$111,49,FALSE)="","",VLOOKUP(Sun_W2[[#This Row],[Employee Name]],'Base Schedules'!$A$79:$AW$111,49,FALSE)),"")</f>
        <v/>
      </c>
      <c r="AY28" s="159" t="str">
        <f t="shared" si="2"/>
        <v>Mood, Ken</v>
      </c>
      <c r="AZ28" s="184"/>
      <c r="BA28" s="184" t="str">
        <f>IFERROR(IF(VLOOKUP(Sun_W1[[#This Row],[Employee Name]],'Base Schedules'!$A$79:$AW$111,49,FALSE)="","",VLOOKUP(Sun_W1[[#This Row],[Employee Name]],'Base Schedules'!$A$79:$AW$111,49,FALSE)),"")</f>
        <v/>
      </c>
    </row>
    <row r="29" spans="1:53" s="44" customFormat="1" ht="12" customHeight="1" x14ac:dyDescent="0.2">
      <c r="A29" s="39" t="str">
        <f>IF(B29="","",INDEX(TeamList[],MATCH($B29,TeamList[[Employee Name]:[Employee Name]],0),MATCH("Manager",TeamList[#Headers],0)))</f>
        <v>Olson, Katherine</v>
      </c>
      <c r="B29" s="201" t="s">
        <v>45</v>
      </c>
      <c r="C29" s="257" t="str">
        <f>_xlfn.IFNA(VLOOKUP(Sun_W2[[#This Row],[Employee Name]],'Base Schedules'!A:B,2,FALSE),"")</f>
        <v>Supervisor</v>
      </c>
      <c r="D29" s="274">
        <f>_xlfn.IFNA(VLOOKUP(Sun_W2[[#This Row],[Employee Name]],'Base Schedules'!A:C,3,FALSE),"")</f>
        <v>1400</v>
      </c>
      <c r="E29" s="354">
        <f>_xlfn.IFNA(VLOOKUP(Sun_W2[[#This Row],[Employee Name]],'Base Schedules'!A:D,4,FALSE),"")</f>
        <v>100</v>
      </c>
      <c r="F29" s="358">
        <f>IF(Sun_W2[[#This Row],[Employee Name]]="","",IF(Sun_W2[[#This Row],[Dept]]="Supervisor",COUNTIFS($J29:$AX29,"*HL*",$J29:$AX29,"&lt;&gt;"&amp;"pHL"),COUNTIFS($J29:$AX29,"*HL*",$J29:$AX29,"&lt;&gt;"&amp;"*pHL*",$J29:$AX29,"&lt;&gt;"&amp;"pB1 HL",$J29:$AX29,"&lt;&gt;"&amp;"pB2 HL")-SUM(COUNTIFS($J29:$AX29,"*HL B1*",$J29:$AX29,"&lt;&gt;"&amp;"pHL B1")*0.5,COUNTIFS($J29:$AX29,"*HL B2*",$J29:$AX29,"&lt;&gt;"&amp;"pHL B2")*0.5,COUNTIFS($J29:$AX29,"*B1 HL*",$J29:$AX29,"&lt;&gt;"&amp;"pB1 HL")*0.5,COUNTIFS($J29:$AX29,"*B2 HL*",$J29:$AX29,"&lt;&gt;"&amp;"pB2 HL")*0.5)))</f>
        <v>0</v>
      </c>
      <c r="G29" s="142">
        <f t="shared" si="0"/>
        <v>5</v>
      </c>
      <c r="H29" s="142">
        <f t="shared" si="1"/>
        <v>0</v>
      </c>
      <c r="I29" s="142">
        <f>IF(Sun_W2[[#This Row],[Employee Name]]="","",IF(Sun_W2[[#This Row],[Dept]]="Supervisor",SUM(COUNTIFS($J29:$AX29,"RTA*",$J29:$AX29,"&lt;&gt;"&amp;"pRTA"),COUNTIFS($J29:$AX29,"*CRTA*",$J29:$AX29,"&lt;&gt;"&amp;"pCRTA")),COUNTIFS($J29:$AX29,"*RNNR*",$J29:$AX29,"&lt;&gt;"&amp;"*pRNNR*",$J29:$AX29,"&lt;&gt;"&amp;"pB1 RNNR",$J29:$AX29,"&lt;&gt;"&amp;"pB2 RNNR")-SUM(COUNTIFS($J29:$AX29,"*RNNR B1*",$J29:$AX29,"&lt;&gt;"&amp;"pRNNR B1")*0.5,COUNTIFS($J29:$AX29,"*RNNR B2*",$J29:$AX29,"&lt;&gt;"&amp;"pRNNR B2")*0.5,COUNTIFS($J29:$AX29,"*B1 RNNR*",$J29:$AX29,"&lt;&gt;"&amp;"pB1 RNNR")*0.5,COUNTIFS($J29:$AX29,"*B2 RNNR*",$J29:$AX29,"&lt;&gt;"&amp;"pB2 RNNR")*0.5)))</f>
        <v>0</v>
      </c>
      <c r="J29" s="184" t="str">
        <f>IFERROR(IF(VLOOKUP(Sun_W2[[#This Row],[Employee Name]],'Base Schedules'!$A$79:$AW$111,9,FALSE)="","",VLOOKUP(Sun_W2[[#This Row],[Employee Name]],'Base Schedules'!$A$79:$AW$111,9,FALSE)),"")</f>
        <v/>
      </c>
      <c r="K29" s="184" t="str">
        <f>IFERROR(IF(VLOOKUP(Sun_W2[[#This Row],[Employee Name]],'Base Schedules'!$A$79:$AW$111,10,FALSE)="","",VLOOKUP(Sun_W2[[#This Row],[Employee Name]],'Base Schedules'!$A$79:$AW$111,10,FALSE)),"")</f>
        <v/>
      </c>
      <c r="L29" s="184" t="str">
        <f>IFERROR(IF(VLOOKUP(Sun_W2[[#This Row],[Employee Name]],'Base Schedules'!$A$79:$AW$111,11,FALSE)="","",VLOOKUP(Sun_W2[[#This Row],[Employee Name]],'Base Schedules'!$A$79:$AW$111,11,FALSE)),"")</f>
        <v/>
      </c>
      <c r="M29" s="184" t="str">
        <f>IFERROR(IF(VLOOKUP(Sun_W2[[#This Row],[Employee Name]],'Base Schedules'!$A$79:$AW$111,12,FALSE)="","",VLOOKUP(Sun_W2[[#This Row],[Employee Name]],'Base Schedules'!$A$79:$AW$111,12,FALSE)),"")</f>
        <v/>
      </c>
      <c r="N29" s="184" t="str">
        <f>IFERROR(IF(VLOOKUP(Sun_W2[[#This Row],[Employee Name]],'Base Schedules'!$A$79:$AW$111,13,FALSE)="","",VLOOKUP(Sun_W2[[#This Row],[Employee Name]],'Base Schedules'!$A$79:$AW$111,13,FALSE)),"")</f>
        <v/>
      </c>
      <c r="O29" s="184" t="str">
        <f>IFERROR(IF(VLOOKUP(Sun_W2[[#This Row],[Employee Name]],'Base Schedules'!$A$79:$AW$111,14,FALSE)="","",VLOOKUP(Sun_W2[[#This Row],[Employee Name]],'Base Schedules'!$A$79:$AW$111,14,FALSE)),"")</f>
        <v/>
      </c>
      <c r="P29" s="184" t="str">
        <f>IFERROR(IF(VLOOKUP(Sun_W2[[#This Row],[Employee Name]],'Base Schedules'!$A$79:$AW$111,15,FALSE)="","",VLOOKUP(Sun_W2[[#This Row],[Employee Name]],'Base Schedules'!$A$79:$AW$111,15,FALSE)),"")</f>
        <v/>
      </c>
      <c r="Q29" s="184" t="str">
        <f>IFERROR(IF(VLOOKUP(Sun_W2[[#This Row],[Employee Name]],'Base Schedules'!$A$79:$AW$111,16,FALSE)="","",VLOOKUP(Sun_W2[[#This Row],[Employee Name]],'Base Schedules'!$A$79:$AW$111,16,FALSE)),"")</f>
        <v/>
      </c>
      <c r="R29" s="184" t="str">
        <f>IFERROR(IF(VLOOKUP(Sun_W2[[#This Row],[Employee Name]],'Base Schedules'!$A$79:$AW$111,17,FALSE)="","",VLOOKUP(Sun_W2[[#This Row],[Employee Name]],'Base Schedules'!$A$79:$AW$111,17,FALSE)),"")</f>
        <v/>
      </c>
      <c r="S29" s="184" t="str">
        <f>IFERROR(IF(VLOOKUP(Sun_W2[[#This Row],[Employee Name]],'Base Schedules'!$A$79:$AW$111,18,FALSE)="","",VLOOKUP(Sun_W2[[#This Row],[Employee Name]],'Base Schedules'!$A$79:$AW$111,18,FALSE)),"")</f>
        <v/>
      </c>
      <c r="T29" s="184" t="str">
        <f>IFERROR(IF(VLOOKUP(Sun_W2[[#This Row],[Employee Name]],'Base Schedules'!$A$79:$AW$111,19,FALSE)="","",VLOOKUP(Sun_W2[[#This Row],[Employee Name]],'Base Schedules'!$A$79:$AW$111,19,FALSE)),"")</f>
        <v/>
      </c>
      <c r="U29" s="184" t="str">
        <f>IFERROR(IF(VLOOKUP(Sun_W2[[#This Row],[Employee Name]],'Base Schedules'!$A$79:$AW$111,20,FALSE)="","",VLOOKUP(Sun_W2[[#This Row],[Employee Name]],'Base Schedules'!$A$79:$AW$111,20,FALSE)),"")</f>
        <v/>
      </c>
      <c r="V29" s="184" t="str">
        <f>IFERROR(IF(VLOOKUP(Sun_W2[[#This Row],[Employee Name]],'Base Schedules'!$A$79:$AW$111,21,FALSE)="","",VLOOKUP(Sun_W2[[#This Row],[Employee Name]],'Base Schedules'!$A$79:$AW$111,21,FALSE)),"")</f>
        <v/>
      </c>
      <c r="W29" s="184" t="str">
        <f>IFERROR(IF(VLOOKUP(Sun_W2[[#This Row],[Employee Name]],'Base Schedules'!$A$79:$AW$111,22,FALSE)="","",VLOOKUP(Sun_W2[[#This Row],[Employee Name]],'Base Schedules'!$A$79:$AW$111,22,FALSE)),"")</f>
        <v/>
      </c>
      <c r="X29" s="184" t="str">
        <f>IFERROR(IF(VLOOKUP(Sun_W2[[#This Row],[Employee Name]],'Base Schedules'!$A$79:$AW$111,23,FALSE)="","",VLOOKUP(Sun_W2[[#This Row],[Employee Name]],'Base Schedules'!$A$79:$AW$111,23,FALSE)),"")</f>
        <v/>
      </c>
      <c r="Y29" s="184" t="str">
        <f>IFERROR(IF(VLOOKUP(Sun_W2[[#This Row],[Employee Name]],'Base Schedules'!$A$79:$AW$111,24,FALSE)="","",VLOOKUP(Sun_W2[[#This Row],[Employee Name]],'Base Schedules'!$A$79:$AW$111,24,FALSE)),"")</f>
        <v/>
      </c>
      <c r="Z29" s="184" t="str">
        <f>IFERROR(IF(VLOOKUP(Sun_W2[[#This Row],[Employee Name]],'Base Schedules'!$A$79:$AW$111,25,FALSE)="","",VLOOKUP(Sun_W2[[#This Row],[Employee Name]],'Base Schedules'!$A$79:$AW$111,25,FALSE)),"")</f>
        <v/>
      </c>
      <c r="AA29" s="184" t="str">
        <f>IFERROR(IF(VLOOKUP(Sun_W2[[#This Row],[Employee Name]],'Base Schedules'!$A$79:$AW$111,26,FALSE)="","",VLOOKUP(Sun_W2[[#This Row],[Employee Name]],'Base Schedules'!$A$79:$AW$111,26,FALSE)),"")</f>
        <v/>
      </c>
      <c r="AB29" s="184" t="str">
        <f>IFERROR(IF(VLOOKUP(Sun_W2[[#This Row],[Employee Name]],'Base Schedules'!$A$79:$AW$111,27,FALSE)="","",VLOOKUP(Sun_W2[[#This Row],[Employee Name]],'Base Schedules'!$A$79:$AW$111,27,FALSE)),"")</f>
        <v>-</v>
      </c>
      <c r="AC29" s="184" t="str">
        <f>IFERROR(IF(VLOOKUP(Sun_W2[[#This Row],[Employee Name]],'Base Schedules'!$A$79:$AW$111,28,FALSE)="","",VLOOKUP(Sun_W2[[#This Row],[Employee Name]],'Base Schedules'!$A$79:$AW$111,28,FALSE)),"")</f>
        <v>-</v>
      </c>
      <c r="AD29" s="184" t="str">
        <f>IFERROR(IF(VLOOKUP(Sun_W2[[#This Row],[Employee Name]],'Base Schedules'!$A$79:$AW$111,29,FALSE)="","",VLOOKUP(Sun_W2[[#This Row],[Employee Name]],'Base Schedules'!$A$79:$AW$111,29,FALSE)),"")</f>
        <v>-</v>
      </c>
      <c r="AE29" s="184" t="str">
        <f>IFERROR(IF(VLOOKUP(Sun_W2[[#This Row],[Employee Name]],'Base Schedules'!$A$79:$AW$111,30,FALSE)="","",VLOOKUP(Sun_W2[[#This Row],[Employee Name]],'Base Schedules'!$A$79:$AW$111,30,FALSE)),"")</f>
        <v>-</v>
      </c>
      <c r="AF29" s="184" t="str">
        <f>IFERROR(IF(VLOOKUP(Sun_W2[[#This Row],[Employee Name]],'Base Schedules'!$A$79:$AW$111,31,FALSE)="","",VLOOKUP(Sun_W2[[#This Row],[Employee Name]],'Base Schedules'!$A$79:$AW$111,31,FALSE)),"")</f>
        <v>-</v>
      </c>
      <c r="AG29" s="184" t="str">
        <f>IFERROR(IF(VLOOKUP(Sun_W2[[#This Row],[Employee Name]],'Base Schedules'!$A$79:$AW$111,32,FALSE)="","",VLOOKUP(Sun_W2[[#This Row],[Employee Name]],'Base Schedules'!$A$79:$AW$111,32,FALSE)),"")</f>
        <v>Coaching</v>
      </c>
      <c r="AH29" s="184" t="str">
        <f>IFERROR(IF(VLOOKUP(Sun_W2[[#This Row],[Employee Name]],'Base Schedules'!$A$79:$AW$111,33,FALSE)="","",VLOOKUP(Sun_W2[[#This Row],[Employee Name]],'Base Schedules'!$A$79:$AW$111,33,FALSE)),"")</f>
        <v>Coaching</v>
      </c>
      <c r="AI29" s="184" t="str">
        <f>IFERROR(IF(VLOOKUP(Sun_W2[[#This Row],[Employee Name]],'Base Schedules'!$A$79:$AW$111,34,FALSE)="","",VLOOKUP(Sun_W2[[#This Row],[Employee Name]],'Base Schedules'!$A$79:$AW$111,34,FALSE)),"")</f>
        <v>-</v>
      </c>
      <c r="AJ29" s="184" t="str">
        <f>IFERROR(IF(VLOOKUP(Sun_W2[[#This Row],[Employee Name]],'Base Schedules'!$A$79:$AW$111,35,FALSE)="","",VLOOKUP(Sun_W2[[#This Row],[Employee Name]],'Base Schedules'!$A$79:$AW$111,35,FALSE)),"")</f>
        <v>-</v>
      </c>
      <c r="AK29" s="184" t="str">
        <f>IFERROR(IF(VLOOKUP(Sun_W2[[#This Row],[Employee Name]],'Base Schedules'!$A$79:$AW$111,36,FALSE)="","",VLOOKUP(Sun_W2[[#This Row],[Employee Name]],'Base Schedules'!$A$79:$AW$111,36,FALSE)),"")</f>
        <v>-</v>
      </c>
      <c r="AL29" s="184" t="str">
        <f>IFERROR(IF(VLOOKUP(Sun_W2[[#This Row],[Employee Name]],'Base Schedules'!$A$79:$AW$111,37,FALSE)="","",VLOOKUP(Sun_W2[[#This Row],[Employee Name]],'Base Schedules'!$A$79:$AW$111,37,FALSE)),"")</f>
        <v>-</v>
      </c>
      <c r="AM29" s="184" t="str">
        <f>IFERROR(IF(VLOOKUP(Sun_W2[[#This Row],[Employee Name]],'Base Schedules'!$A$79:$AW$111,38,FALSE)="","",VLOOKUP(Sun_W2[[#This Row],[Employee Name]],'Base Schedules'!$A$79:$AW$111,38,FALSE)),"")</f>
        <v>-</v>
      </c>
      <c r="AN29" s="184" t="str">
        <f>IFERROR(IF(VLOOKUP(Sun_W2[[#This Row],[Employee Name]],'Base Schedules'!$A$79:$AW$111,39,FALSE)="","",VLOOKUP(Sun_W2[[#This Row],[Employee Name]],'Base Schedules'!$A$79:$AW$111,39,FALSE)),"")</f>
        <v>Coaching</v>
      </c>
      <c r="AO29" s="184" t="str">
        <f>IFERROR(IF(VLOOKUP(Sun_W2[[#This Row],[Employee Name]],'Base Schedules'!$A$79:$AW$111,40,FALSE)="","",VLOOKUP(Sun_W2[[#This Row],[Employee Name]],'Base Schedules'!$A$79:$AW$111,40,FALSE)),"")</f>
        <v>Coaching</v>
      </c>
      <c r="AP29" s="184" t="str">
        <f>IFERROR(IF(VLOOKUP(Sun_W2[[#This Row],[Employee Name]],'Base Schedules'!$A$79:$AW$111,41,FALSE)="","",VLOOKUP(Sun_W2[[#This Row],[Employee Name]],'Base Schedules'!$A$79:$AW$111,41,FALSE)),"")</f>
        <v>Coaching</v>
      </c>
      <c r="AQ29" s="184" t="str">
        <f>IFERROR(IF(VLOOKUP(Sun_W2[[#This Row],[Employee Name]],'Base Schedules'!$A$79:$AW$111,42,FALSE)="","",VLOOKUP(Sun_W2[[#This Row],[Employee Name]],'Base Schedules'!$A$79:$AW$111,42,FALSE)),"")</f>
        <v>-</v>
      </c>
      <c r="AR29" s="184" t="str">
        <f>IFERROR(IF(VLOOKUP(Sun_W2[[#This Row],[Employee Name]],'Base Schedules'!$A$79:$AW$111,43,FALSE)="","",VLOOKUP(Sun_W2[[#This Row],[Employee Name]],'Base Schedules'!$A$79:$AW$111,43,FALSE)),"")</f>
        <v>-</v>
      </c>
      <c r="AS29" s="184" t="str">
        <f>IFERROR(IF(VLOOKUP(Sun_W2[[#This Row],[Employee Name]],'Base Schedules'!$A$79:$AW$111,44,FALSE)="","",VLOOKUP(Sun_W2[[#This Row],[Employee Name]],'Base Schedules'!$A$79:$AW$111,44,FALSE)),"")</f>
        <v>-</v>
      </c>
      <c r="AT29" s="184" t="str">
        <f>IFERROR(IF(VLOOKUP(Sun_W2[[#This Row],[Employee Name]],'Base Schedules'!$A$79:$AW$111,45,FALSE)="","",VLOOKUP(Sun_W2[[#This Row],[Employee Name]],'Base Schedules'!$A$79:$AW$111,45,FALSE)),"")</f>
        <v>-</v>
      </c>
      <c r="AU29" s="184" t="str">
        <f>IFERROR(IF(VLOOKUP(Sun_W2[[#This Row],[Employee Name]],'Base Schedules'!$A$79:$AW$111,46,FALSE)="","",VLOOKUP(Sun_W2[[#This Row],[Employee Name]],'Base Schedules'!$A$79:$AW$111,46,FALSE)),"")</f>
        <v>-</v>
      </c>
      <c r="AV29" s="184" t="str">
        <f>IFERROR(IF(VLOOKUP(Sun_W2[[#This Row],[Employee Name]],'Base Schedules'!$A$79:$AW$111,47,FALSE)="","",VLOOKUP(Sun_W2[[#This Row],[Employee Name]],'Base Schedules'!$A$79:$AW$111,47,FALSE)),"")</f>
        <v>-</v>
      </c>
      <c r="AW29" s="184" t="str">
        <f>IFERROR(IF(VLOOKUP(Sun_W2[[#This Row],[Employee Name]],'Base Schedules'!$A$79:$AW$111,48,FALSE)="","",VLOOKUP(Sun_W2[[#This Row],[Employee Name]],'Base Schedules'!$A$79:$AW$111,48,FALSE)),"")</f>
        <v>-</v>
      </c>
      <c r="AX29" s="184" t="str">
        <f>IFERROR(IF(VLOOKUP(Sun_W2[[#This Row],[Employee Name]],'Base Schedules'!$A$79:$AW$111,49,FALSE)="","",VLOOKUP(Sun_W2[[#This Row],[Employee Name]],'Base Schedules'!$A$79:$AW$111,49,FALSE)),"")</f>
        <v/>
      </c>
      <c r="AY29" s="159" t="str">
        <f t="shared" si="2"/>
        <v>McLean, Neva</v>
      </c>
      <c r="AZ29" s="184"/>
      <c r="BA29" s="184" t="str">
        <f>IFERROR(IF(VLOOKUP(Sun_W1[[#This Row],[Employee Name]],'Base Schedules'!$A$79:$AW$111,49,FALSE)="","",VLOOKUP(Sun_W1[[#This Row],[Employee Name]],'Base Schedules'!$A$79:$AW$111,49,FALSE)),"")</f>
        <v/>
      </c>
    </row>
    <row r="30" spans="1:53" s="44" customFormat="1" ht="12" customHeight="1" x14ac:dyDescent="0.2">
      <c r="A30" s="39" t="str">
        <f>IF(B30="","",INDEX(TeamList[],MATCH($B30,TeamList[[Employee Name]:[Employee Name]],0),MATCH("Manager",TeamList[#Headers],0)))</f>
        <v>Olson, Katherine</v>
      </c>
      <c r="B30" s="201" t="s">
        <v>235</v>
      </c>
      <c r="C30" s="257" t="str">
        <f>_xlfn.IFNA(VLOOKUP(Sun_W2[[#This Row],[Employee Name]],'Base Schedules'!A:B,2,FALSE),"")</f>
        <v>Lead</v>
      </c>
      <c r="D30" s="274">
        <f>_xlfn.IFNA(VLOOKUP(Sun_W2[[#This Row],[Employee Name]],'Base Schedules'!A:C,3,FALSE),"")</f>
        <v>1530</v>
      </c>
      <c r="E30" s="354">
        <f>_xlfn.IFNA(VLOOKUP(Sun_W2[[#This Row],[Employee Name]],'Base Schedules'!A:D,4,FALSE),"")</f>
        <v>0</v>
      </c>
      <c r="F30" s="358">
        <f>IF(Sun_W2[[#This Row],[Employee Name]]="","",IF(Sun_W2[[#This Row],[Dept]]="Supervisor",COUNTIFS($J30:$AX30,"*HL*",$J30:$AX30,"&lt;&gt;"&amp;"pHL"),COUNTIFS($J30:$AX30,"*HL*",$J30:$AX30,"&lt;&gt;"&amp;"*pHL*",$J30:$AX30,"&lt;&gt;"&amp;"pB1 HL",$J30:$AX30,"&lt;&gt;"&amp;"pB2 HL")-SUM(COUNTIFS($J30:$AX30,"*HL B1*",$J30:$AX30,"&lt;&gt;"&amp;"pHL B1")*0.5,COUNTIFS($J30:$AX30,"*HL B2*",$J30:$AX30,"&lt;&gt;"&amp;"pHL B2")*0.5,COUNTIFS($J30:$AX30,"*B1 HL*",$J30:$AX30,"&lt;&gt;"&amp;"pB1 HL")*0.5,COUNTIFS($J30:$AX30,"*B2 HL*",$J30:$AX30,"&lt;&gt;"&amp;"pB2 HL")*0.5)))</f>
        <v>8.5</v>
      </c>
      <c r="G30" s="142">
        <f t="shared" si="0"/>
        <v>0</v>
      </c>
      <c r="H30" s="142">
        <f t="shared" si="1"/>
        <v>5</v>
      </c>
      <c r="I30" s="142">
        <f>IF(Sun_W2[[#This Row],[Employee Name]]="","",IF(Sun_W2[[#This Row],[Dept]]="Supervisor",SUM(COUNTIFS($J30:$AX30,"RTA*",$J30:$AX30,"&lt;&gt;"&amp;"pRTA"),COUNTIFS($J30:$AX30,"*CRTA*",$J30:$AX30,"&lt;&gt;"&amp;"pCRTA")),COUNTIFS($J30:$AX30,"*RNNR*",$J30:$AX30,"&lt;&gt;"&amp;"*pRNNR*",$J30:$AX30,"&lt;&gt;"&amp;"pB1 RNNR",$J30:$AX30,"&lt;&gt;"&amp;"pB2 RNNR")-SUM(COUNTIFS($J30:$AX30,"*RNNR B1*",$J30:$AX30,"&lt;&gt;"&amp;"pRNNR B1")*0.5,COUNTIFS($J30:$AX30,"*RNNR B2*",$J30:$AX30,"&lt;&gt;"&amp;"pRNNR B2")*0.5,COUNTIFS($J30:$AX30,"*B1 RNNR*",$J30:$AX30,"&lt;&gt;"&amp;"pB1 RNNR")*0.5,COUNTIFS($J30:$AX30,"*B2 RNNR*",$J30:$AX30,"&lt;&gt;"&amp;"pB2 RNNR")*0.5)))</f>
        <v>2</v>
      </c>
      <c r="J30" s="184" t="str">
        <f>IFERROR(IF(VLOOKUP(Sun_W2[[#This Row],[Employee Name]],'Base Schedules'!$A$79:$AW$111,9,FALSE)="","",VLOOKUP(Sun_W2[[#This Row],[Employee Name]],'Base Schedules'!$A$79:$AW$111,9,FALSE)),"")</f>
        <v/>
      </c>
      <c r="K30" s="184" t="str">
        <f>IFERROR(IF(VLOOKUP(Sun_W2[[#This Row],[Employee Name]],'Base Schedules'!$A$79:$AW$111,10,FALSE)="","",VLOOKUP(Sun_W2[[#This Row],[Employee Name]],'Base Schedules'!$A$79:$AW$111,10,FALSE)),"")</f>
        <v/>
      </c>
      <c r="L30" s="184" t="str">
        <f>IFERROR(IF(VLOOKUP(Sun_W2[[#This Row],[Employee Name]],'Base Schedules'!$A$79:$AW$111,11,FALSE)="","",VLOOKUP(Sun_W2[[#This Row],[Employee Name]],'Base Schedules'!$A$79:$AW$111,11,FALSE)),"")</f>
        <v/>
      </c>
      <c r="M30" s="184" t="str">
        <f>IFERROR(IF(VLOOKUP(Sun_W2[[#This Row],[Employee Name]],'Base Schedules'!$A$79:$AW$111,12,FALSE)="","",VLOOKUP(Sun_W2[[#This Row],[Employee Name]],'Base Schedules'!$A$79:$AW$111,12,FALSE)),"")</f>
        <v/>
      </c>
      <c r="N30" s="184" t="str">
        <f>IFERROR(IF(VLOOKUP(Sun_W2[[#This Row],[Employee Name]],'Base Schedules'!$A$79:$AW$111,13,FALSE)="","",VLOOKUP(Sun_W2[[#This Row],[Employee Name]],'Base Schedules'!$A$79:$AW$111,13,FALSE)),"")</f>
        <v/>
      </c>
      <c r="O30" s="184" t="str">
        <f>IFERROR(IF(VLOOKUP(Sun_W2[[#This Row],[Employee Name]],'Base Schedules'!$A$79:$AW$111,14,FALSE)="","",VLOOKUP(Sun_W2[[#This Row],[Employee Name]],'Base Schedules'!$A$79:$AW$111,14,FALSE)),"")</f>
        <v/>
      </c>
      <c r="P30" s="184" t="str">
        <f>IFERROR(IF(VLOOKUP(Sun_W2[[#This Row],[Employee Name]],'Base Schedules'!$A$79:$AW$111,15,FALSE)="","",VLOOKUP(Sun_W2[[#This Row],[Employee Name]],'Base Schedules'!$A$79:$AW$111,15,FALSE)),"")</f>
        <v/>
      </c>
      <c r="Q30" s="184" t="str">
        <f>IFERROR(IF(VLOOKUP(Sun_W2[[#This Row],[Employee Name]],'Base Schedules'!$A$79:$AW$111,16,FALSE)="","",VLOOKUP(Sun_W2[[#This Row],[Employee Name]],'Base Schedules'!$A$79:$AW$111,16,FALSE)),"")</f>
        <v/>
      </c>
      <c r="R30" s="184" t="str">
        <f>IFERROR(IF(VLOOKUP(Sun_W2[[#This Row],[Employee Name]],'Base Schedules'!$A$79:$AW$111,17,FALSE)="","",VLOOKUP(Sun_W2[[#This Row],[Employee Name]],'Base Schedules'!$A$79:$AW$111,17,FALSE)),"")</f>
        <v/>
      </c>
      <c r="S30" s="184" t="str">
        <f>IFERROR(IF(VLOOKUP(Sun_W2[[#This Row],[Employee Name]],'Base Schedules'!$A$79:$AW$111,18,FALSE)="","",VLOOKUP(Sun_W2[[#This Row],[Employee Name]],'Base Schedules'!$A$79:$AW$111,18,FALSE)),"")</f>
        <v/>
      </c>
      <c r="T30" s="184" t="str">
        <f>IFERROR(IF(VLOOKUP(Sun_W2[[#This Row],[Employee Name]],'Base Schedules'!$A$79:$AW$111,19,FALSE)="","",VLOOKUP(Sun_W2[[#This Row],[Employee Name]],'Base Schedules'!$A$79:$AW$111,19,FALSE)),"")</f>
        <v/>
      </c>
      <c r="U30" s="184" t="str">
        <f>IFERROR(IF(VLOOKUP(Sun_W2[[#This Row],[Employee Name]],'Base Schedules'!$A$79:$AW$111,20,FALSE)="","",VLOOKUP(Sun_W2[[#This Row],[Employee Name]],'Base Schedules'!$A$79:$AW$111,20,FALSE)),"")</f>
        <v/>
      </c>
      <c r="V30" s="184" t="str">
        <f>IFERROR(IF(VLOOKUP(Sun_W2[[#This Row],[Employee Name]],'Base Schedules'!$A$79:$AW$111,21,FALSE)="","",VLOOKUP(Sun_W2[[#This Row],[Employee Name]],'Base Schedules'!$A$79:$AW$111,21,FALSE)),"")</f>
        <v/>
      </c>
      <c r="W30" s="184" t="str">
        <f>IFERROR(IF(VLOOKUP(Sun_W2[[#This Row],[Employee Name]],'Base Schedules'!$A$79:$AW$111,22,FALSE)="","",VLOOKUP(Sun_W2[[#This Row],[Employee Name]],'Base Schedules'!$A$79:$AW$111,22,FALSE)),"")</f>
        <v/>
      </c>
      <c r="X30" s="184" t="str">
        <f>IFERROR(IF(VLOOKUP(Sun_W2[[#This Row],[Employee Name]],'Base Schedules'!$A$79:$AW$111,23,FALSE)="","",VLOOKUP(Sun_W2[[#This Row],[Employee Name]],'Base Schedules'!$A$79:$AW$111,23,FALSE)),"")</f>
        <v/>
      </c>
      <c r="Y30" s="184" t="str">
        <f>IFERROR(IF(VLOOKUP(Sun_W2[[#This Row],[Employee Name]],'Base Schedules'!$A$79:$AW$111,24,FALSE)="","",VLOOKUP(Sun_W2[[#This Row],[Employee Name]],'Base Schedules'!$A$79:$AW$111,24,FALSE)),"")</f>
        <v/>
      </c>
      <c r="Z30" s="184" t="str">
        <f>IFERROR(IF(VLOOKUP(Sun_W2[[#This Row],[Employee Name]],'Base Schedules'!$A$79:$AW$111,25,FALSE)="","",VLOOKUP(Sun_W2[[#This Row],[Employee Name]],'Base Schedules'!$A$79:$AW$111,25,FALSE)),"")</f>
        <v/>
      </c>
      <c r="AA30" s="184" t="str">
        <f>IFERROR(IF(VLOOKUP(Sun_W2[[#This Row],[Employee Name]],'Base Schedules'!$A$79:$AW$111,26,FALSE)="","",VLOOKUP(Sun_W2[[#This Row],[Employee Name]],'Base Schedules'!$A$79:$AW$111,26,FALSE)),"")</f>
        <v/>
      </c>
      <c r="AB30" s="184" t="str">
        <f>IFERROR(IF(VLOOKUP(Sun_W2[[#This Row],[Employee Name]],'Base Schedules'!$A$79:$AW$111,27,FALSE)="","",VLOOKUP(Sun_W2[[#This Row],[Employee Name]],'Base Schedules'!$A$79:$AW$111,27,FALSE)),"")</f>
        <v/>
      </c>
      <c r="AC30" s="184" t="str">
        <f>IFERROR(IF(VLOOKUP(Sun_W2[[#This Row],[Employee Name]],'Base Schedules'!$A$79:$AW$111,28,FALSE)="","",VLOOKUP(Sun_W2[[#This Row],[Employee Name]],'Base Schedules'!$A$79:$AW$111,28,FALSE)),"")</f>
        <v/>
      </c>
      <c r="AD30" s="184" t="str">
        <f>IFERROR(IF(VLOOKUP(Sun_W2[[#This Row],[Employee Name]],'Base Schedules'!$A$79:$AW$111,29,FALSE)="","",VLOOKUP(Sun_W2[[#This Row],[Employee Name]],'Base Schedules'!$A$79:$AW$111,29,FALSE)),"")</f>
        <v/>
      </c>
      <c r="AE30" s="184" t="str">
        <f>IFERROR(IF(VLOOKUP(Sun_W2[[#This Row],[Employee Name]],'Base Schedules'!$A$79:$AW$111,30,FALSE)="","",VLOOKUP(Sun_W2[[#This Row],[Employee Name]],'Base Schedules'!$A$79:$AW$111,30,FALSE)),"")</f>
        <v>ADM</v>
      </c>
      <c r="AF30" s="184" t="str">
        <f>IFERROR(IF(VLOOKUP(Sun_W2[[#This Row],[Employee Name]],'Base Schedules'!$A$79:$AW$111,31,FALSE)="","",VLOOKUP(Sun_W2[[#This Row],[Employee Name]],'Base Schedules'!$A$79:$AW$111,31,FALSE)),"")</f>
        <v>RNNR</v>
      </c>
      <c r="AG30" s="184" t="str">
        <f>IFERROR(IF(VLOOKUP(Sun_W2[[#This Row],[Employee Name]],'Base Schedules'!$A$79:$AW$111,32,FALSE)="","",VLOOKUP(Sun_W2[[#This Row],[Employee Name]],'Base Schedules'!$A$79:$AW$111,32,FALSE)),"")</f>
        <v>RNNR</v>
      </c>
      <c r="AH30" s="184" t="str">
        <f>IFERROR(IF(VLOOKUP(Sun_W2[[#This Row],[Employee Name]],'Base Schedules'!$A$79:$AW$111,33,FALSE)="","",VLOOKUP(Sun_W2[[#This Row],[Employee Name]],'Base Schedules'!$A$79:$AW$111,33,FALSE)),"")</f>
        <v>ADM</v>
      </c>
      <c r="AI30" s="184" t="str">
        <f>IFERROR(IF(VLOOKUP(Sun_W2[[#This Row],[Employee Name]],'Base Schedules'!$A$79:$AW$111,34,FALSE)="","",VLOOKUP(Sun_W2[[#This Row],[Employee Name]],'Base Schedules'!$A$79:$AW$111,34,FALSE)),"")</f>
        <v>B1 ADM</v>
      </c>
      <c r="AJ30" s="184" t="str">
        <f>IFERROR(IF(VLOOKUP(Sun_W2[[#This Row],[Employee Name]],'Base Schedules'!$A$79:$AW$111,35,FALSE)="","",VLOOKUP(Sun_W2[[#This Row],[Employee Name]],'Base Schedules'!$A$79:$AW$111,35,FALSE)),"")</f>
        <v>ADM</v>
      </c>
      <c r="AK30" s="184" t="str">
        <f>IFERROR(IF(VLOOKUP(Sun_W2[[#This Row],[Employee Name]],'Base Schedules'!$A$79:$AW$111,36,FALSE)="","",VLOOKUP(Sun_W2[[#This Row],[Employee Name]],'Base Schedules'!$A$79:$AW$111,36,FALSE)),"")</f>
        <v>HL</v>
      </c>
      <c r="AL30" s="184" t="str">
        <f>IFERROR(IF(VLOOKUP(Sun_W2[[#This Row],[Employee Name]],'Base Schedules'!$A$79:$AW$111,37,FALSE)="","",VLOOKUP(Sun_W2[[#This Row],[Employee Name]],'Base Schedules'!$A$79:$AW$111,37,FALSE)),"")</f>
        <v>ADM</v>
      </c>
      <c r="AM30" s="184" t="str">
        <f>IFERROR(IF(VLOOKUP(Sun_W2[[#This Row],[Employee Name]],'Base Schedules'!$A$79:$AW$111,38,FALSE)="","",VLOOKUP(Sun_W2[[#This Row],[Employee Name]],'Base Schedules'!$A$79:$AW$111,38,FALSE)),"")</f>
        <v>LUNCH</v>
      </c>
      <c r="AN30" s="184" t="str">
        <f>IFERROR(IF(VLOOKUP(Sun_W2[[#This Row],[Employee Name]],'Base Schedules'!$A$79:$AW$111,39,FALSE)="","",VLOOKUP(Sun_W2[[#This Row],[Employee Name]],'Base Schedules'!$A$79:$AW$111,39,FALSE)),"")</f>
        <v>HL</v>
      </c>
      <c r="AO30" s="184" t="str">
        <f>IFERROR(IF(VLOOKUP(Sun_W2[[#This Row],[Employee Name]],'Base Schedules'!$A$79:$AW$111,40,FALSE)="","",VLOOKUP(Sun_W2[[#This Row],[Employee Name]],'Base Schedules'!$A$79:$AW$111,40,FALSE)),"")</f>
        <v>HL</v>
      </c>
      <c r="AP30" s="184" t="str">
        <f>IFERROR(IF(VLOOKUP(Sun_W2[[#This Row],[Employee Name]],'Base Schedules'!$A$79:$AW$111,41,FALSE)="","",VLOOKUP(Sun_W2[[#This Row],[Employee Name]],'Base Schedules'!$A$79:$AW$111,41,FALSE)),"")</f>
        <v>HL</v>
      </c>
      <c r="AQ30" s="184" t="str">
        <f>IFERROR(IF(VLOOKUP(Sun_W2[[#This Row],[Employee Name]],'Base Schedules'!$A$79:$AW$111,42,FALSE)="","",VLOOKUP(Sun_W2[[#This Row],[Employee Name]],'Base Schedules'!$A$79:$AW$111,42,FALSE)),"")</f>
        <v>HL</v>
      </c>
      <c r="AR30" s="184" t="str">
        <f>IFERROR(IF(VLOOKUP(Sun_W2[[#This Row],[Employee Name]],'Base Schedules'!$A$79:$AW$111,43,FALSE)="","",VLOOKUP(Sun_W2[[#This Row],[Employee Name]],'Base Schedules'!$A$79:$AW$111,43,FALSE)),"")</f>
        <v>HL B2</v>
      </c>
      <c r="AS30" s="184" t="str">
        <f>IFERROR(IF(VLOOKUP(Sun_W2[[#This Row],[Employee Name]],'Base Schedules'!$A$79:$AW$111,44,FALSE)="","",VLOOKUP(Sun_W2[[#This Row],[Employee Name]],'Base Schedules'!$A$79:$AW$111,44,FALSE)),"")</f>
        <v>HL</v>
      </c>
      <c r="AT30" s="184" t="str">
        <f>IFERROR(IF(VLOOKUP(Sun_W2[[#This Row],[Employee Name]],'Base Schedules'!$A$79:$AW$111,45,FALSE)="","",VLOOKUP(Sun_W2[[#This Row],[Employee Name]],'Base Schedules'!$A$79:$AW$111,45,FALSE)),"")</f>
        <v>HL</v>
      </c>
      <c r="AU30" s="184" t="str">
        <f>IFERROR(IF(VLOOKUP(Sun_W2[[#This Row],[Employee Name]],'Base Schedules'!$A$79:$AW$111,46,FALSE)="","",VLOOKUP(Sun_W2[[#This Row],[Employee Name]],'Base Schedules'!$A$79:$AW$111,46,FALSE)),"")</f>
        <v>HL</v>
      </c>
      <c r="AV30" s="184" t="str">
        <f>IFERROR(IF(VLOOKUP(Sun_W2[[#This Row],[Employee Name]],'Base Schedules'!$A$79:$AW$111,47,FALSE)="","",VLOOKUP(Sun_W2[[#This Row],[Employee Name]],'Base Schedules'!$A$79:$AW$111,47,FALSE)),"")</f>
        <v/>
      </c>
      <c r="AW30" s="184" t="str">
        <f>IFERROR(IF(VLOOKUP(Sun_W2[[#This Row],[Employee Name]],'Base Schedules'!$A$79:$AW$111,48,FALSE)="","",VLOOKUP(Sun_W2[[#This Row],[Employee Name]],'Base Schedules'!$A$79:$AW$111,48,FALSE)),"")</f>
        <v/>
      </c>
      <c r="AX30" s="184" t="str">
        <f>IFERROR(IF(VLOOKUP(Sun_W2[[#This Row],[Employee Name]],'Base Schedules'!$A$79:$AW$111,49,FALSE)="","",VLOOKUP(Sun_W2[[#This Row],[Employee Name]],'Base Schedules'!$A$79:$AW$111,49,FALSE)),"")</f>
        <v/>
      </c>
      <c r="AY30" s="159" t="str">
        <f t="shared" si="2"/>
        <v>Britton, Michael</v>
      </c>
      <c r="AZ30" s="184"/>
      <c r="BA30" s="184" t="str">
        <f>IFERROR(IF(VLOOKUP(Sun_W1[[#This Row],[Employee Name]],'Base Schedules'!$A$79:$AW$111,49,FALSE)="","",VLOOKUP(Sun_W1[[#This Row],[Employee Name]],'Base Schedules'!$A$79:$AW$111,49,FALSE)),"")</f>
        <v/>
      </c>
    </row>
    <row r="31" spans="1:53" s="44" customFormat="1" ht="12" customHeight="1" x14ac:dyDescent="0.2">
      <c r="A31" s="39" t="str">
        <f>IF(B31="","",INDEX(TeamList[],MATCH($B31,TeamList[[Employee Name]:[Employee Name]],0),MATCH("Manager",TeamList[#Headers],0)))</f>
        <v>Olson, Katherine</v>
      </c>
      <c r="B31" s="201" t="s">
        <v>232</v>
      </c>
      <c r="C31" s="257" t="str">
        <f>_xlfn.IFNA(VLOOKUP(Sun_W2[[#This Row],[Employee Name]],'Base Schedules'!A:B,2,FALSE),"")</f>
        <v>Lead</v>
      </c>
      <c r="D31" s="274">
        <f>_xlfn.IFNA(VLOOKUP(Sun_W2[[#This Row],[Employee Name]],'Base Schedules'!A:C,3,FALSE),"")</f>
        <v>1600</v>
      </c>
      <c r="E31" s="354">
        <f>_xlfn.IFNA(VLOOKUP(Sun_W2[[#This Row],[Employee Name]],'Base Schedules'!A:D,4,FALSE),"")</f>
        <v>100</v>
      </c>
      <c r="F31" s="358">
        <f>IF(Sun_W2[[#This Row],[Employee Name]]="","",IF(Sun_W2[[#This Row],[Dept]]="Supervisor",COUNTIFS($J31:$AX31,"*HL*",$J31:$AX31,"&lt;&gt;"&amp;"pHL"),COUNTIFS($J31:$AX31,"*HL*",$J31:$AX31,"&lt;&gt;"&amp;"*pHL*",$J31:$AX31,"&lt;&gt;"&amp;"pB1 HL",$J31:$AX31,"&lt;&gt;"&amp;"pB2 HL")-SUM(COUNTIFS($J31:$AX31,"*HL B1*",$J31:$AX31,"&lt;&gt;"&amp;"pHL B1")*0.5,COUNTIFS($J31:$AX31,"*HL B2*",$J31:$AX31,"&lt;&gt;"&amp;"pHL B2")*0.5,COUNTIFS($J31:$AX31,"*B1 HL*",$J31:$AX31,"&lt;&gt;"&amp;"pB1 HL")*0.5,COUNTIFS($J31:$AX31,"*B2 HL*",$J31:$AX31,"&lt;&gt;"&amp;"pB2 HL")*0.5)))</f>
        <v>9</v>
      </c>
      <c r="G31" s="142">
        <f t="shared" si="0"/>
        <v>0</v>
      </c>
      <c r="H31" s="142">
        <f t="shared" si="1"/>
        <v>4</v>
      </c>
      <c r="I31" s="142">
        <f>IF(Sun_W2[[#This Row],[Employee Name]]="","",IF(Sun_W2[[#This Row],[Dept]]="Supervisor",SUM(COUNTIFS($J31:$AX31,"RTA*",$J31:$AX31,"&lt;&gt;"&amp;"pRTA"),COUNTIFS($J31:$AX31,"*CRTA*",$J31:$AX31,"&lt;&gt;"&amp;"pCRTA")),COUNTIFS($J31:$AX31,"*RNNR*",$J31:$AX31,"&lt;&gt;"&amp;"*pRNNR*",$J31:$AX31,"&lt;&gt;"&amp;"pB1 RNNR",$J31:$AX31,"&lt;&gt;"&amp;"pB2 RNNR")-SUM(COUNTIFS($J31:$AX31,"*RNNR B1*",$J31:$AX31,"&lt;&gt;"&amp;"pRNNR B1")*0.5,COUNTIFS($J31:$AX31,"*RNNR B2*",$J31:$AX31,"&lt;&gt;"&amp;"pRNNR B2")*0.5,COUNTIFS($J31:$AX31,"*B1 RNNR*",$J31:$AX31,"&lt;&gt;"&amp;"pB1 RNNR")*0.5,COUNTIFS($J31:$AX31,"*B2 RNNR*",$J31:$AX31,"&lt;&gt;"&amp;"pB2 RNNR")*0.5)))</f>
        <v>2</v>
      </c>
      <c r="J31" s="184" t="str">
        <f>IFERROR(IF(VLOOKUP(Sun_W2[[#This Row],[Employee Name]],'Base Schedules'!$A$79:$AW$111,9,FALSE)="","",VLOOKUP(Sun_W2[[#This Row],[Employee Name]],'Base Schedules'!$A$79:$AW$111,9,FALSE)),"")</f>
        <v/>
      </c>
      <c r="K31" s="184" t="str">
        <f>IFERROR(IF(VLOOKUP(Sun_W2[[#This Row],[Employee Name]],'Base Schedules'!$A$79:$AW$111,10,FALSE)="","",VLOOKUP(Sun_W2[[#This Row],[Employee Name]],'Base Schedules'!$A$79:$AW$111,10,FALSE)),"")</f>
        <v/>
      </c>
      <c r="L31" s="184" t="str">
        <f>IFERROR(IF(VLOOKUP(Sun_W2[[#This Row],[Employee Name]],'Base Schedules'!$A$79:$AW$111,11,FALSE)="","",VLOOKUP(Sun_W2[[#This Row],[Employee Name]],'Base Schedules'!$A$79:$AW$111,11,FALSE)),"")</f>
        <v/>
      </c>
      <c r="M31" s="184" t="str">
        <f>IFERROR(IF(VLOOKUP(Sun_W2[[#This Row],[Employee Name]],'Base Schedules'!$A$79:$AW$111,12,FALSE)="","",VLOOKUP(Sun_W2[[#This Row],[Employee Name]],'Base Schedules'!$A$79:$AW$111,12,FALSE)),"")</f>
        <v/>
      </c>
      <c r="N31" s="184" t="str">
        <f>IFERROR(IF(VLOOKUP(Sun_W2[[#This Row],[Employee Name]],'Base Schedules'!$A$79:$AW$111,13,FALSE)="","",VLOOKUP(Sun_W2[[#This Row],[Employee Name]],'Base Schedules'!$A$79:$AW$111,13,FALSE)),"")</f>
        <v/>
      </c>
      <c r="O31" s="184" t="str">
        <f>IFERROR(IF(VLOOKUP(Sun_W2[[#This Row],[Employee Name]],'Base Schedules'!$A$79:$AW$111,14,FALSE)="","",VLOOKUP(Sun_W2[[#This Row],[Employee Name]],'Base Schedules'!$A$79:$AW$111,14,FALSE)),"")</f>
        <v/>
      </c>
      <c r="P31" s="184" t="str">
        <f>IFERROR(IF(VLOOKUP(Sun_W2[[#This Row],[Employee Name]],'Base Schedules'!$A$79:$AW$111,15,FALSE)="","",VLOOKUP(Sun_W2[[#This Row],[Employee Name]],'Base Schedules'!$A$79:$AW$111,15,FALSE)),"")</f>
        <v/>
      </c>
      <c r="Q31" s="184" t="str">
        <f>IFERROR(IF(VLOOKUP(Sun_W2[[#This Row],[Employee Name]],'Base Schedules'!$A$79:$AW$111,16,FALSE)="","",VLOOKUP(Sun_W2[[#This Row],[Employee Name]],'Base Schedules'!$A$79:$AW$111,16,FALSE)),"")</f>
        <v/>
      </c>
      <c r="R31" s="184" t="str">
        <f>IFERROR(IF(VLOOKUP(Sun_W2[[#This Row],[Employee Name]],'Base Schedules'!$A$79:$AW$111,17,FALSE)="","",VLOOKUP(Sun_W2[[#This Row],[Employee Name]],'Base Schedules'!$A$79:$AW$111,17,FALSE)),"")</f>
        <v/>
      </c>
      <c r="S31" s="184" t="str">
        <f>IFERROR(IF(VLOOKUP(Sun_W2[[#This Row],[Employee Name]],'Base Schedules'!$A$79:$AW$111,18,FALSE)="","",VLOOKUP(Sun_W2[[#This Row],[Employee Name]],'Base Schedules'!$A$79:$AW$111,18,FALSE)),"")</f>
        <v/>
      </c>
      <c r="T31" s="184" t="str">
        <f>IFERROR(IF(VLOOKUP(Sun_W2[[#This Row],[Employee Name]],'Base Schedules'!$A$79:$AW$111,19,FALSE)="","",VLOOKUP(Sun_W2[[#This Row],[Employee Name]],'Base Schedules'!$A$79:$AW$111,19,FALSE)),"")</f>
        <v/>
      </c>
      <c r="U31" s="184" t="str">
        <f>IFERROR(IF(VLOOKUP(Sun_W2[[#This Row],[Employee Name]],'Base Schedules'!$A$79:$AW$111,20,FALSE)="","",VLOOKUP(Sun_W2[[#This Row],[Employee Name]],'Base Schedules'!$A$79:$AW$111,20,FALSE)),"")</f>
        <v/>
      </c>
      <c r="V31" s="184" t="str">
        <f>IFERROR(IF(VLOOKUP(Sun_W2[[#This Row],[Employee Name]],'Base Schedules'!$A$79:$AW$111,21,FALSE)="","",VLOOKUP(Sun_W2[[#This Row],[Employee Name]],'Base Schedules'!$A$79:$AW$111,21,FALSE)),"")</f>
        <v/>
      </c>
      <c r="W31" s="184" t="str">
        <f>IFERROR(IF(VLOOKUP(Sun_W2[[#This Row],[Employee Name]],'Base Schedules'!$A$79:$AW$111,22,FALSE)="","",VLOOKUP(Sun_W2[[#This Row],[Employee Name]],'Base Schedules'!$A$79:$AW$111,22,FALSE)),"")</f>
        <v/>
      </c>
      <c r="X31" s="184" t="str">
        <f>IFERROR(IF(VLOOKUP(Sun_W2[[#This Row],[Employee Name]],'Base Schedules'!$A$79:$AW$111,23,FALSE)="","",VLOOKUP(Sun_W2[[#This Row],[Employee Name]],'Base Schedules'!$A$79:$AW$111,23,FALSE)),"")</f>
        <v/>
      </c>
      <c r="Y31" s="184" t="str">
        <f>IFERROR(IF(VLOOKUP(Sun_W2[[#This Row],[Employee Name]],'Base Schedules'!$A$79:$AW$111,24,FALSE)="","",VLOOKUP(Sun_W2[[#This Row],[Employee Name]],'Base Schedules'!$A$79:$AW$111,24,FALSE)),"")</f>
        <v/>
      </c>
      <c r="Z31" s="184" t="str">
        <f>IFERROR(IF(VLOOKUP(Sun_W2[[#This Row],[Employee Name]],'Base Schedules'!$A$79:$AW$111,25,FALSE)="","",VLOOKUP(Sun_W2[[#This Row],[Employee Name]],'Base Schedules'!$A$79:$AW$111,25,FALSE)),"")</f>
        <v/>
      </c>
      <c r="AA31" s="184" t="str">
        <f>IFERROR(IF(VLOOKUP(Sun_W2[[#This Row],[Employee Name]],'Base Schedules'!$A$79:$AW$111,26,FALSE)="","",VLOOKUP(Sun_W2[[#This Row],[Employee Name]],'Base Schedules'!$A$79:$AW$111,26,FALSE)),"")</f>
        <v/>
      </c>
      <c r="AB31" s="184" t="str">
        <f>IFERROR(IF(VLOOKUP(Sun_W2[[#This Row],[Employee Name]],'Base Schedules'!$A$79:$AW$111,27,FALSE)="","",VLOOKUP(Sun_W2[[#This Row],[Employee Name]],'Base Schedules'!$A$79:$AW$111,27,FALSE)),"")</f>
        <v/>
      </c>
      <c r="AC31" s="184" t="str">
        <f>IFERROR(IF(VLOOKUP(Sun_W2[[#This Row],[Employee Name]],'Base Schedules'!$A$79:$AW$111,28,FALSE)="","",VLOOKUP(Sun_W2[[#This Row],[Employee Name]],'Base Schedules'!$A$79:$AW$111,28,FALSE)),"")</f>
        <v/>
      </c>
      <c r="AD31" s="184" t="str">
        <f>IFERROR(IF(VLOOKUP(Sun_W2[[#This Row],[Employee Name]],'Base Schedules'!$A$79:$AW$111,29,FALSE)="","",VLOOKUP(Sun_W2[[#This Row],[Employee Name]],'Base Schedules'!$A$79:$AW$111,29,FALSE)),"")</f>
        <v/>
      </c>
      <c r="AE31" s="184" t="str">
        <f>IFERROR(IF(VLOOKUP(Sun_W2[[#This Row],[Employee Name]],'Base Schedules'!$A$79:$AW$111,30,FALSE)="","",VLOOKUP(Sun_W2[[#This Row],[Employee Name]],'Base Schedules'!$A$79:$AW$111,30,FALSE)),"")</f>
        <v/>
      </c>
      <c r="AF31" s="184" t="str">
        <f>IFERROR(IF(VLOOKUP(Sun_W2[[#This Row],[Employee Name]],'Base Schedules'!$A$79:$AW$111,31,FALSE)="","",VLOOKUP(Sun_W2[[#This Row],[Employee Name]],'Base Schedules'!$A$79:$AW$111,31,FALSE)),"")</f>
        <v>ADM</v>
      </c>
      <c r="AG31" s="184" t="str">
        <f>IFERROR(IF(VLOOKUP(Sun_W2[[#This Row],[Employee Name]],'Base Schedules'!$A$79:$AW$111,32,FALSE)="","",VLOOKUP(Sun_W2[[#This Row],[Employee Name]],'Base Schedules'!$A$79:$AW$111,32,FALSE)),"")</f>
        <v>ADM</v>
      </c>
      <c r="AH31" s="184" t="str">
        <f>IFERROR(IF(VLOOKUP(Sun_W2[[#This Row],[Employee Name]],'Base Schedules'!$A$79:$AW$111,33,FALSE)="","",VLOOKUP(Sun_W2[[#This Row],[Employee Name]],'Base Schedules'!$A$79:$AW$111,33,FALSE)),"")</f>
        <v>HL</v>
      </c>
      <c r="AI31" s="184" t="str">
        <f>IFERROR(IF(VLOOKUP(Sun_W2[[#This Row],[Employee Name]],'Base Schedules'!$A$79:$AW$111,34,FALSE)="","",VLOOKUP(Sun_W2[[#This Row],[Employee Name]],'Base Schedules'!$A$79:$AW$111,34,FALSE)),"")</f>
        <v>HL B1</v>
      </c>
      <c r="AJ31" s="184" t="str">
        <f>IFERROR(IF(VLOOKUP(Sun_W2[[#This Row],[Employee Name]],'Base Schedules'!$A$79:$AW$111,35,FALSE)="","",VLOOKUP(Sun_W2[[#This Row],[Employee Name]],'Base Schedules'!$A$79:$AW$111,35,FALSE)),"")</f>
        <v>RNNR</v>
      </c>
      <c r="AK31" s="184" t="str">
        <f>IFERROR(IF(VLOOKUP(Sun_W2[[#This Row],[Employee Name]],'Base Schedules'!$A$79:$AW$111,36,FALSE)="","",VLOOKUP(Sun_W2[[#This Row],[Employee Name]],'Base Schedules'!$A$79:$AW$111,36,FALSE)),"")</f>
        <v>RNNR</v>
      </c>
      <c r="AL31" s="184" t="str">
        <f>IFERROR(IF(VLOOKUP(Sun_W2[[#This Row],[Employee Name]],'Base Schedules'!$A$79:$AW$111,37,FALSE)="","",VLOOKUP(Sun_W2[[#This Row],[Employee Name]],'Base Schedules'!$A$79:$AW$111,37,FALSE)),"")</f>
        <v>ADM</v>
      </c>
      <c r="AM31" s="184" t="str">
        <f>IFERROR(IF(VLOOKUP(Sun_W2[[#This Row],[Employee Name]],'Base Schedules'!$A$79:$AW$111,38,FALSE)="","",VLOOKUP(Sun_W2[[#This Row],[Employee Name]],'Base Schedules'!$A$79:$AW$111,38,FALSE)),"")</f>
        <v>ADM</v>
      </c>
      <c r="AN31" s="184" t="str">
        <f>IFERROR(IF(VLOOKUP(Sun_W2[[#This Row],[Employee Name]],'Base Schedules'!$A$79:$AW$111,39,FALSE)="","",VLOOKUP(Sun_W2[[#This Row],[Employee Name]],'Base Schedules'!$A$79:$AW$111,39,FALSE)),"")</f>
        <v>LUNCH</v>
      </c>
      <c r="AO31" s="184" t="str">
        <f>IFERROR(IF(VLOOKUP(Sun_W2[[#This Row],[Employee Name]],'Base Schedules'!$A$79:$AW$111,40,FALSE)="","",VLOOKUP(Sun_W2[[#This Row],[Employee Name]],'Base Schedules'!$A$79:$AW$111,40,FALSE)),"")</f>
        <v>LUNCH</v>
      </c>
      <c r="AP31" s="184" t="str">
        <f>IFERROR(IF(VLOOKUP(Sun_W2[[#This Row],[Employee Name]],'Base Schedules'!$A$79:$AW$111,41,FALSE)="","",VLOOKUP(Sun_W2[[#This Row],[Employee Name]],'Base Schedules'!$A$79:$AW$111,41,FALSE)),"")</f>
        <v>HL</v>
      </c>
      <c r="AQ31" s="184" t="str">
        <f>IFERROR(IF(VLOOKUP(Sun_W2[[#This Row],[Employee Name]],'Base Schedules'!$A$79:$AW$111,42,FALSE)="","",VLOOKUP(Sun_W2[[#This Row],[Employee Name]],'Base Schedules'!$A$79:$AW$111,42,FALSE)),"")</f>
        <v>HL</v>
      </c>
      <c r="AR31" s="184" t="str">
        <f>IFERROR(IF(VLOOKUP(Sun_W2[[#This Row],[Employee Name]],'Base Schedules'!$A$79:$AW$111,43,FALSE)="","",VLOOKUP(Sun_W2[[#This Row],[Employee Name]],'Base Schedules'!$A$79:$AW$111,43,FALSE)),"")</f>
        <v>HL</v>
      </c>
      <c r="AS31" s="184" t="str">
        <f>IFERROR(IF(VLOOKUP(Sun_W2[[#This Row],[Employee Name]],'Base Schedules'!$A$79:$AW$111,44,FALSE)="","",VLOOKUP(Sun_W2[[#This Row],[Employee Name]],'Base Schedules'!$A$79:$AW$111,44,FALSE)),"")</f>
        <v>B1 HL</v>
      </c>
      <c r="AT31" s="184" t="str">
        <f>IFERROR(IF(VLOOKUP(Sun_W2[[#This Row],[Employee Name]],'Base Schedules'!$A$79:$AW$111,45,FALSE)="","",VLOOKUP(Sun_W2[[#This Row],[Employee Name]],'Base Schedules'!$A$79:$AW$111,45,FALSE)),"")</f>
        <v>HL</v>
      </c>
      <c r="AU31" s="184" t="str">
        <f>IFERROR(IF(VLOOKUP(Sun_W2[[#This Row],[Employee Name]],'Base Schedules'!$A$79:$AW$111,46,FALSE)="","",VLOOKUP(Sun_W2[[#This Row],[Employee Name]],'Base Schedules'!$A$79:$AW$111,46,FALSE)),"")</f>
        <v>HL</v>
      </c>
      <c r="AV31" s="184" t="str">
        <f>IFERROR(IF(VLOOKUP(Sun_W2[[#This Row],[Employee Name]],'Base Schedules'!$A$79:$AW$111,47,FALSE)="","",VLOOKUP(Sun_W2[[#This Row],[Employee Name]],'Base Schedules'!$A$79:$AW$111,47,FALSE)),"")</f>
        <v>HL</v>
      </c>
      <c r="AW31" s="184" t="str">
        <f>IFERROR(IF(VLOOKUP(Sun_W2[[#This Row],[Employee Name]],'Base Schedules'!$A$79:$AW$111,48,FALSE)="","",VLOOKUP(Sun_W2[[#This Row],[Employee Name]],'Base Schedules'!$A$79:$AW$111,48,FALSE)),"")</f>
        <v>HL</v>
      </c>
      <c r="AX31" s="184" t="str">
        <f>IFERROR(IF(VLOOKUP(Sun_W2[[#This Row],[Employee Name]],'Base Schedules'!$A$79:$AW$111,49,FALSE)="","",VLOOKUP(Sun_W2[[#This Row],[Employee Name]],'Base Schedules'!$A$79:$AW$111,49,FALSE)),"")</f>
        <v/>
      </c>
      <c r="AY31" s="159" t="str">
        <f t="shared" si="2"/>
        <v>Wonser, Shannon</v>
      </c>
      <c r="AZ31" s="184"/>
      <c r="BA31" s="184" t="str">
        <f>IFERROR(IF(VLOOKUP(Sun_W1[[#This Row],[Employee Name]],'Base Schedules'!$A$79:$AW$111,49,FALSE)="","",VLOOKUP(Sun_W1[[#This Row],[Employee Name]],'Base Schedules'!$A$79:$AW$111,49,FALSE)),"")</f>
        <v/>
      </c>
    </row>
    <row r="32" spans="1:53" s="44" customFormat="1" ht="12" customHeight="1" x14ac:dyDescent="0.2">
      <c r="A32" s="39" t="str">
        <f>IF(B32="","",INDEX(TeamList[],MATCH($B32,TeamList[[Employee Name]:[Employee Name]],0),MATCH("Manager",TeamList[#Headers],0)))</f>
        <v>Olson, Katherine</v>
      </c>
      <c r="B32" s="201" t="s">
        <v>52</v>
      </c>
      <c r="C32" s="257" t="str">
        <f>_xlfn.IFNA(VLOOKUP(Sun_W2[[#This Row],[Employee Name]],'Base Schedules'!A:B,2,FALSE),"")</f>
        <v>Supervisor</v>
      </c>
      <c r="D32" s="274">
        <f>_xlfn.IFNA(VLOOKUP(Sun_W2[[#This Row],[Employee Name]],'Base Schedules'!A:C,3,FALSE),"")</f>
        <v>1600</v>
      </c>
      <c r="E32" s="354">
        <f>_xlfn.IFNA(VLOOKUP(Sun_W2[[#This Row],[Employee Name]],'Base Schedules'!A:D,4,FALSE),"")</f>
        <v>100</v>
      </c>
      <c r="F32" s="358">
        <f>IF(Sun_W2[[#This Row],[Employee Name]]="","",IF(Sun_W2[[#This Row],[Dept]]="Supervisor",COUNTIFS($J32:$AX32,"*HL*",$J32:$AX32,"&lt;&gt;"&amp;"pHL"),COUNTIFS($J32:$AX32,"*HL*",$J32:$AX32,"&lt;&gt;"&amp;"*pHL*",$J32:$AX32,"&lt;&gt;"&amp;"pB1 HL",$J32:$AX32,"&lt;&gt;"&amp;"pB2 HL")-SUM(COUNTIFS($J32:$AX32,"*HL B1*",$J32:$AX32,"&lt;&gt;"&amp;"pHL B1")*0.5,COUNTIFS($J32:$AX32,"*HL B2*",$J32:$AX32,"&lt;&gt;"&amp;"pHL B2")*0.5,COUNTIFS($J32:$AX32,"*B1 HL*",$J32:$AX32,"&lt;&gt;"&amp;"pB1 HL")*0.5,COUNTIFS($J32:$AX32,"*B2 HL*",$J32:$AX32,"&lt;&gt;"&amp;"pB2 HL")*0.5)))</f>
        <v>0</v>
      </c>
      <c r="G32" s="142">
        <f t="shared" si="0"/>
        <v>4</v>
      </c>
      <c r="H32" s="142">
        <f t="shared" si="1"/>
        <v>0</v>
      </c>
      <c r="I32" s="142">
        <f>IF(Sun_W2[[#This Row],[Employee Name]]="","",IF(Sun_W2[[#This Row],[Dept]]="Supervisor",SUM(COUNTIFS($J32:$AX32,"RTA*",$J32:$AX32,"&lt;&gt;"&amp;"pRTA"),COUNTIFS($J32:$AX32,"*CRTA*",$J32:$AX32,"&lt;&gt;"&amp;"pCRTA")),COUNTIFS($J32:$AX32,"*RNNR*",$J32:$AX32,"&lt;&gt;"&amp;"*pRNNR*",$J32:$AX32,"&lt;&gt;"&amp;"pB1 RNNR",$J32:$AX32,"&lt;&gt;"&amp;"pB2 RNNR")-SUM(COUNTIFS($J32:$AX32,"*RNNR B1*",$J32:$AX32,"&lt;&gt;"&amp;"pRNNR B1")*0.5,COUNTIFS($J32:$AX32,"*RNNR B2*",$J32:$AX32,"&lt;&gt;"&amp;"pRNNR B2")*0.5,COUNTIFS($J32:$AX32,"*B1 RNNR*",$J32:$AX32,"&lt;&gt;"&amp;"pB1 RNNR")*0.5,COUNTIFS($J32:$AX32,"*B2 RNNR*",$J32:$AX32,"&lt;&gt;"&amp;"pB2 RNNR")*0.5)))</f>
        <v>0</v>
      </c>
      <c r="J32" s="184" t="str">
        <f>IFERROR(IF(VLOOKUP(Sun_W2[[#This Row],[Employee Name]],'Base Schedules'!$A$79:$AW$111,9,FALSE)="","",VLOOKUP(Sun_W2[[#This Row],[Employee Name]],'Base Schedules'!$A$79:$AW$111,9,FALSE)),"")</f>
        <v/>
      </c>
      <c r="K32" s="184" t="str">
        <f>IFERROR(IF(VLOOKUP(Sun_W2[[#This Row],[Employee Name]],'Base Schedules'!$A$79:$AW$111,10,FALSE)="","",VLOOKUP(Sun_W2[[#This Row],[Employee Name]],'Base Schedules'!$A$79:$AW$111,10,FALSE)),"")</f>
        <v/>
      </c>
      <c r="L32" s="184" t="str">
        <f>IFERROR(IF(VLOOKUP(Sun_W2[[#This Row],[Employee Name]],'Base Schedules'!$A$79:$AW$111,11,FALSE)="","",VLOOKUP(Sun_W2[[#This Row],[Employee Name]],'Base Schedules'!$A$79:$AW$111,11,FALSE)),"")</f>
        <v/>
      </c>
      <c r="M32" s="184" t="str">
        <f>IFERROR(IF(VLOOKUP(Sun_W2[[#This Row],[Employee Name]],'Base Schedules'!$A$79:$AW$111,12,FALSE)="","",VLOOKUP(Sun_W2[[#This Row],[Employee Name]],'Base Schedules'!$A$79:$AW$111,12,FALSE)),"")</f>
        <v/>
      </c>
      <c r="N32" s="184" t="str">
        <f>IFERROR(IF(VLOOKUP(Sun_W2[[#This Row],[Employee Name]],'Base Schedules'!$A$79:$AW$111,13,FALSE)="","",VLOOKUP(Sun_W2[[#This Row],[Employee Name]],'Base Schedules'!$A$79:$AW$111,13,FALSE)),"")</f>
        <v/>
      </c>
      <c r="O32" s="184" t="str">
        <f>IFERROR(IF(VLOOKUP(Sun_W2[[#This Row],[Employee Name]],'Base Schedules'!$A$79:$AW$111,14,FALSE)="","",VLOOKUP(Sun_W2[[#This Row],[Employee Name]],'Base Schedules'!$A$79:$AW$111,14,FALSE)),"")</f>
        <v/>
      </c>
      <c r="P32" s="184" t="str">
        <f>IFERROR(IF(VLOOKUP(Sun_W2[[#This Row],[Employee Name]],'Base Schedules'!$A$79:$AW$111,15,FALSE)="","",VLOOKUP(Sun_W2[[#This Row],[Employee Name]],'Base Schedules'!$A$79:$AW$111,15,FALSE)),"")</f>
        <v/>
      </c>
      <c r="Q32" s="184" t="str">
        <f>IFERROR(IF(VLOOKUP(Sun_W2[[#This Row],[Employee Name]],'Base Schedules'!$A$79:$AW$111,16,FALSE)="","",VLOOKUP(Sun_W2[[#This Row],[Employee Name]],'Base Schedules'!$A$79:$AW$111,16,FALSE)),"")</f>
        <v/>
      </c>
      <c r="R32" s="184" t="str">
        <f>IFERROR(IF(VLOOKUP(Sun_W2[[#This Row],[Employee Name]],'Base Schedules'!$A$79:$AW$111,17,FALSE)="","",VLOOKUP(Sun_W2[[#This Row],[Employee Name]],'Base Schedules'!$A$79:$AW$111,17,FALSE)),"")</f>
        <v/>
      </c>
      <c r="S32" s="184" t="str">
        <f>IFERROR(IF(VLOOKUP(Sun_W2[[#This Row],[Employee Name]],'Base Schedules'!$A$79:$AW$111,18,FALSE)="","",VLOOKUP(Sun_W2[[#This Row],[Employee Name]],'Base Schedules'!$A$79:$AW$111,18,FALSE)),"")</f>
        <v/>
      </c>
      <c r="T32" s="184" t="str">
        <f>IFERROR(IF(VLOOKUP(Sun_W2[[#This Row],[Employee Name]],'Base Schedules'!$A$79:$AW$111,19,FALSE)="","",VLOOKUP(Sun_W2[[#This Row],[Employee Name]],'Base Schedules'!$A$79:$AW$111,19,FALSE)),"")</f>
        <v/>
      </c>
      <c r="U32" s="184" t="str">
        <f>IFERROR(IF(VLOOKUP(Sun_W2[[#This Row],[Employee Name]],'Base Schedules'!$A$79:$AW$111,20,FALSE)="","",VLOOKUP(Sun_W2[[#This Row],[Employee Name]],'Base Schedules'!$A$79:$AW$111,20,FALSE)),"")</f>
        <v/>
      </c>
      <c r="V32" s="184" t="str">
        <f>IFERROR(IF(VLOOKUP(Sun_W2[[#This Row],[Employee Name]],'Base Schedules'!$A$79:$AW$111,21,FALSE)="","",VLOOKUP(Sun_W2[[#This Row],[Employee Name]],'Base Schedules'!$A$79:$AW$111,21,FALSE)),"")</f>
        <v/>
      </c>
      <c r="W32" s="184" t="str">
        <f>IFERROR(IF(VLOOKUP(Sun_W2[[#This Row],[Employee Name]],'Base Schedules'!$A$79:$AW$111,22,FALSE)="","",VLOOKUP(Sun_W2[[#This Row],[Employee Name]],'Base Schedules'!$A$79:$AW$111,22,FALSE)),"")</f>
        <v/>
      </c>
      <c r="X32" s="184" t="str">
        <f>IFERROR(IF(VLOOKUP(Sun_W2[[#This Row],[Employee Name]],'Base Schedules'!$A$79:$AW$111,23,FALSE)="","",VLOOKUP(Sun_W2[[#This Row],[Employee Name]],'Base Schedules'!$A$79:$AW$111,23,FALSE)),"")</f>
        <v/>
      </c>
      <c r="Y32" s="184" t="str">
        <f>IFERROR(IF(VLOOKUP(Sun_W2[[#This Row],[Employee Name]],'Base Schedules'!$A$79:$AW$111,24,FALSE)="","",VLOOKUP(Sun_W2[[#This Row],[Employee Name]],'Base Schedules'!$A$79:$AW$111,24,FALSE)),"")</f>
        <v/>
      </c>
      <c r="Z32" s="184" t="str">
        <f>IFERROR(IF(VLOOKUP(Sun_W2[[#This Row],[Employee Name]],'Base Schedules'!$A$79:$AW$111,25,FALSE)="","",VLOOKUP(Sun_W2[[#This Row],[Employee Name]],'Base Schedules'!$A$79:$AW$111,25,FALSE)),"")</f>
        <v/>
      </c>
      <c r="AA32" s="184" t="str">
        <f>IFERROR(IF(VLOOKUP(Sun_W2[[#This Row],[Employee Name]],'Base Schedules'!$A$79:$AW$111,26,FALSE)="","",VLOOKUP(Sun_W2[[#This Row],[Employee Name]],'Base Schedules'!$A$79:$AW$111,26,FALSE)),"")</f>
        <v/>
      </c>
      <c r="AB32" s="184" t="str">
        <f>IFERROR(IF(VLOOKUP(Sun_W2[[#This Row],[Employee Name]],'Base Schedules'!$A$79:$AW$111,27,FALSE)="","",VLOOKUP(Sun_W2[[#This Row],[Employee Name]],'Base Schedules'!$A$79:$AW$111,27,FALSE)),"")</f>
        <v/>
      </c>
      <c r="AC32" s="184" t="str">
        <f>IFERROR(IF(VLOOKUP(Sun_W2[[#This Row],[Employee Name]],'Base Schedules'!$A$79:$AW$111,28,FALSE)="","",VLOOKUP(Sun_W2[[#This Row],[Employee Name]],'Base Schedules'!$A$79:$AW$111,28,FALSE)),"")</f>
        <v/>
      </c>
      <c r="AD32" s="184" t="str">
        <f>IFERROR(IF(VLOOKUP(Sun_W2[[#This Row],[Employee Name]],'Base Schedules'!$A$79:$AW$111,29,FALSE)="","",VLOOKUP(Sun_W2[[#This Row],[Employee Name]],'Base Schedules'!$A$79:$AW$111,29,FALSE)),"")</f>
        <v/>
      </c>
      <c r="AE32" s="184" t="str">
        <f>IFERROR(IF(VLOOKUP(Sun_W2[[#This Row],[Employee Name]],'Base Schedules'!$A$79:$AW$111,30,FALSE)="","",VLOOKUP(Sun_W2[[#This Row],[Employee Name]],'Base Schedules'!$A$79:$AW$111,30,FALSE)),"")</f>
        <v/>
      </c>
      <c r="AF32" s="184" t="str">
        <f>IFERROR(IF(VLOOKUP(Sun_W2[[#This Row],[Employee Name]],'Base Schedules'!$A$79:$AW$111,31,FALSE)="","",VLOOKUP(Sun_W2[[#This Row],[Employee Name]],'Base Schedules'!$A$79:$AW$111,31,FALSE)),"")</f>
        <v>-</v>
      </c>
      <c r="AG32" s="184" t="str">
        <f>IFERROR(IF(VLOOKUP(Sun_W2[[#This Row],[Employee Name]],'Base Schedules'!$A$79:$AW$111,32,FALSE)="","",VLOOKUP(Sun_W2[[#This Row],[Employee Name]],'Base Schedules'!$A$79:$AW$111,32,FALSE)),"")</f>
        <v>-</v>
      </c>
      <c r="AH32" s="184" t="str">
        <f>IFERROR(IF(VLOOKUP(Sun_W2[[#This Row],[Employee Name]],'Base Schedules'!$A$79:$AW$111,33,FALSE)="","",VLOOKUP(Sun_W2[[#This Row],[Employee Name]],'Base Schedules'!$A$79:$AW$111,33,FALSE)),"")</f>
        <v>-</v>
      </c>
      <c r="AI32" s="184" t="str">
        <f>IFERROR(IF(VLOOKUP(Sun_W2[[#This Row],[Employee Name]],'Base Schedules'!$A$79:$AW$111,34,FALSE)="","",VLOOKUP(Sun_W2[[#This Row],[Employee Name]],'Base Schedules'!$A$79:$AW$111,34,FALSE)),"")</f>
        <v>-</v>
      </c>
      <c r="AJ32" s="184" t="str">
        <f>IFERROR(IF(VLOOKUP(Sun_W2[[#This Row],[Employee Name]],'Base Schedules'!$A$79:$AW$111,35,FALSE)="","",VLOOKUP(Sun_W2[[#This Row],[Employee Name]],'Base Schedules'!$A$79:$AW$111,35,FALSE)),"")</f>
        <v>Coaching</v>
      </c>
      <c r="AK32" s="184" t="str">
        <f>IFERROR(IF(VLOOKUP(Sun_W2[[#This Row],[Employee Name]],'Base Schedules'!$A$79:$AW$111,36,FALSE)="","",VLOOKUP(Sun_W2[[#This Row],[Employee Name]],'Base Schedules'!$A$79:$AW$111,36,FALSE)),"")</f>
        <v>Coaching</v>
      </c>
      <c r="AL32" s="184" t="str">
        <f>IFERROR(IF(VLOOKUP(Sun_W2[[#This Row],[Employee Name]],'Base Schedules'!$A$79:$AW$111,37,FALSE)="","",VLOOKUP(Sun_W2[[#This Row],[Employee Name]],'Base Schedules'!$A$79:$AW$111,37,FALSE)),"")</f>
        <v>Coaching</v>
      </c>
      <c r="AM32" s="184" t="str">
        <f>IFERROR(IF(VLOOKUP(Sun_W2[[#This Row],[Employee Name]],'Base Schedules'!$A$79:$AW$111,38,FALSE)="","",VLOOKUP(Sun_W2[[#This Row],[Employee Name]],'Base Schedules'!$A$79:$AW$111,38,FALSE)),"")</f>
        <v>Coaching</v>
      </c>
      <c r="AN32" s="184" t="str">
        <f>IFERROR(IF(VLOOKUP(Sun_W2[[#This Row],[Employee Name]],'Base Schedules'!$A$79:$AW$111,39,FALSE)="","",VLOOKUP(Sun_W2[[#This Row],[Employee Name]],'Base Schedules'!$A$79:$AW$111,39,FALSE)),"")</f>
        <v>-</v>
      </c>
      <c r="AO32" s="184" t="str">
        <f>IFERROR(IF(VLOOKUP(Sun_W2[[#This Row],[Employee Name]],'Base Schedules'!$A$79:$AW$111,40,FALSE)="","",VLOOKUP(Sun_W2[[#This Row],[Employee Name]],'Base Schedules'!$A$79:$AW$111,40,FALSE)),"")</f>
        <v>-</v>
      </c>
      <c r="AP32" s="184" t="str">
        <f>IFERROR(IF(VLOOKUP(Sun_W2[[#This Row],[Employee Name]],'Base Schedules'!$A$79:$AW$111,41,FALSE)="","",VLOOKUP(Sun_W2[[#This Row],[Employee Name]],'Base Schedules'!$A$79:$AW$111,41,FALSE)),"")</f>
        <v>-</v>
      </c>
      <c r="AQ32" s="184" t="str">
        <f>IFERROR(IF(VLOOKUP(Sun_W2[[#This Row],[Employee Name]],'Base Schedules'!$A$79:$AW$111,42,FALSE)="","",VLOOKUP(Sun_W2[[#This Row],[Employee Name]],'Base Schedules'!$A$79:$AW$111,42,FALSE)),"")</f>
        <v>-</v>
      </c>
      <c r="AR32" s="184" t="str">
        <f>IFERROR(IF(VLOOKUP(Sun_W2[[#This Row],[Employee Name]],'Base Schedules'!$A$79:$AW$111,43,FALSE)="","",VLOOKUP(Sun_W2[[#This Row],[Employee Name]],'Base Schedules'!$A$79:$AW$111,43,FALSE)),"")</f>
        <v>-</v>
      </c>
      <c r="AS32" s="184" t="str">
        <f>IFERROR(IF(VLOOKUP(Sun_W2[[#This Row],[Employee Name]],'Base Schedules'!$A$79:$AW$111,44,FALSE)="","",VLOOKUP(Sun_W2[[#This Row],[Employee Name]],'Base Schedules'!$A$79:$AW$111,44,FALSE)),"")</f>
        <v>-</v>
      </c>
      <c r="AT32" s="184" t="str">
        <f>IFERROR(IF(VLOOKUP(Sun_W2[[#This Row],[Employee Name]],'Base Schedules'!$A$79:$AW$111,45,FALSE)="","",VLOOKUP(Sun_W2[[#This Row],[Employee Name]],'Base Schedules'!$A$79:$AW$111,45,FALSE)),"")</f>
        <v>-</v>
      </c>
      <c r="AU32" s="184" t="str">
        <f>IFERROR(IF(VLOOKUP(Sun_W2[[#This Row],[Employee Name]],'Base Schedules'!$A$79:$AW$111,46,FALSE)="","",VLOOKUP(Sun_W2[[#This Row],[Employee Name]],'Base Schedules'!$A$79:$AW$111,46,FALSE)),"")</f>
        <v>-</v>
      </c>
      <c r="AV32" s="184" t="str">
        <f>IFERROR(IF(VLOOKUP(Sun_W2[[#This Row],[Employee Name]],'Base Schedules'!$A$79:$AW$111,47,FALSE)="","",VLOOKUP(Sun_W2[[#This Row],[Employee Name]],'Base Schedules'!$A$79:$AW$111,47,FALSE)),"")</f>
        <v>-</v>
      </c>
      <c r="AW32" s="184" t="str">
        <f>IFERROR(IF(VLOOKUP(Sun_W2[[#This Row],[Employee Name]],'Base Schedules'!$A$79:$AW$111,48,FALSE)="","",VLOOKUP(Sun_W2[[#This Row],[Employee Name]],'Base Schedules'!$A$79:$AW$111,48,FALSE)),"")</f>
        <v>-</v>
      </c>
      <c r="AX32" s="184" t="str">
        <f>IFERROR(IF(VLOOKUP(Sun_W2[[#This Row],[Employee Name]],'Base Schedules'!$A$79:$AW$111,49,FALSE)="","",VLOOKUP(Sun_W2[[#This Row],[Employee Name]],'Base Schedules'!$A$79:$AW$111,49,FALSE)),"")</f>
        <v/>
      </c>
      <c r="AY32" s="159" t="str">
        <f t="shared" si="2"/>
        <v>Zornick, David</v>
      </c>
      <c r="AZ32" s="184"/>
      <c r="BA32" s="184" t="str">
        <f>IFERROR(IF(VLOOKUP(Sun_W1[[#This Row],[Employee Name]],'Base Schedules'!$A$79:$AW$111,49,FALSE)="","",VLOOKUP(Sun_W1[[#This Row],[Employee Name]],'Base Schedules'!$A$79:$AW$111,49,FALSE)),"")</f>
        <v/>
      </c>
    </row>
    <row r="33" spans="1:53" s="44" customFormat="1" ht="12" hidden="1" customHeight="1" x14ac:dyDescent="0.2">
      <c r="A33" s="39" t="str">
        <f>IF(B33="","",INDEX(TeamList[],MATCH($B33,TeamList[[Employee Name]:[Employee Name]],0),MATCH("Manager",TeamList[#Headers],0)))</f>
        <v/>
      </c>
      <c r="B33" s="201"/>
      <c r="C33" s="257" t="str">
        <f>_xlfn.IFNA(VLOOKUP(Sun_W2[[#This Row],[Employee Name]],'Base Schedules'!A:B,2,FALSE),"")</f>
        <v/>
      </c>
      <c r="D33" s="274" t="str">
        <f>_xlfn.IFNA(VLOOKUP(Sun_W2[[#This Row],[Employee Name]],'Base Schedules'!A:C,3,FALSE),"")</f>
        <v/>
      </c>
      <c r="E33" s="354" t="str">
        <f>_xlfn.IFNA(VLOOKUP(Sun_W2[[#This Row],[Employee Name]],'Base Schedules'!A:D,4,FALSE),"")</f>
        <v/>
      </c>
      <c r="F33" s="358" t="str">
        <f>IF(Sun_W2[[#This Row],[Employee Name]]="","",IF(Sun_W2[[#This Row],[Dept]]="Supervisor",COUNTIFS($J33:$AX33,"*HL*",$J33:$AX33,"&lt;&gt;"&amp;"pHL"),COUNTIFS($J33:$AX33,"*HL*",$J33:$AX33,"&lt;&gt;"&amp;"*pHL*",$J33:$AX33,"&lt;&gt;"&amp;"pB1 HL",$J33:$AX33,"&lt;&gt;"&amp;"pB2 HL")-SUM(COUNTIFS($J33:$AX33,"*HL B1*",$J33:$AX33,"&lt;&gt;"&amp;"pHL B1")*0.5,COUNTIFS($J33:$AX33,"*HL B2*",$J33:$AX33,"&lt;&gt;"&amp;"pHL B2")*0.5,COUNTIFS($J33:$AX33,"*B1 HL*",$J33:$AX33,"&lt;&gt;"&amp;"pB1 HL")*0.5,COUNTIFS($J33:$AX33,"*B2 HL*",$J33:$AX33,"&lt;&gt;"&amp;"pB2 HL")*0.5)))</f>
        <v/>
      </c>
      <c r="G33" s="142" t="str">
        <f t="shared" ref="G33:G48" si="3">IF(B33="","",COUNTIFS($J33:$AX33,"*TM*",$J33:$AX33,"&lt;&gt;"&amp;"pTM",$J33:$AX33,"&lt;&gt;"&amp;"uTM"))</f>
        <v/>
      </c>
      <c r="H33" s="142" t="str">
        <f t="shared" si="1"/>
        <v/>
      </c>
      <c r="I33" s="142" t="str">
        <f>IF(Sun_W2[[#This Row],[Employee Name]]="","",IF(Sun_W2[[#This Row],[Dept]]="Supervisor",SUM(COUNTIFS($J33:$AX33,"RTA*",$J33:$AX33,"&lt;&gt;"&amp;"pRTA"),COUNTIFS($J33:$AX33,"*CRTA*",$J33:$AX33,"&lt;&gt;"&amp;"pCRTA")),COUNTIFS($J33:$AX33,"*RNNR*",$J33:$AX33,"&lt;&gt;"&amp;"*pRNNR*",$J33:$AX33,"&lt;&gt;"&amp;"pB1 RNNR",$J33:$AX33,"&lt;&gt;"&amp;"pB2 RNNR")-SUM(COUNTIFS($J33:$AX33,"*RNNR B1*",$J33:$AX33,"&lt;&gt;"&amp;"pRNNR B1")*0.5,COUNTIFS($J33:$AX33,"*RNNR B2*",$J33:$AX33,"&lt;&gt;"&amp;"pRNNR B2")*0.5,COUNTIFS($J33:$AX33,"*B1 RNNR*",$J33:$AX33,"&lt;&gt;"&amp;"pB1 RNNR")*0.5,COUNTIFS($J33:$AX33,"*B2 RNNR*",$J33:$AX33,"&lt;&gt;"&amp;"pB2 RNNR")*0.5)))</f>
        <v/>
      </c>
      <c r="J33" s="184" t="str">
        <f>IFERROR(IF(VLOOKUP(Sun_W2[[#This Row],[Employee Name]],'Base Schedules'!$A$79:$AW$111,9,FALSE)="","",VLOOKUP(Sun_W2[[#This Row],[Employee Name]],'Base Schedules'!$A$79:$AW$111,9,FALSE)),"")</f>
        <v/>
      </c>
      <c r="K33" s="184" t="str">
        <f>IFERROR(IF(VLOOKUP(Sun_W2[[#This Row],[Employee Name]],'Base Schedules'!$A$79:$AW$111,10,FALSE)="","",VLOOKUP(Sun_W2[[#This Row],[Employee Name]],'Base Schedules'!$A$79:$AW$111,10,FALSE)),"")</f>
        <v/>
      </c>
      <c r="L33" s="184" t="str">
        <f>IFERROR(IF(VLOOKUP(Sun_W2[[#This Row],[Employee Name]],'Base Schedules'!$A$79:$AW$111,11,FALSE)="","",VLOOKUP(Sun_W2[[#This Row],[Employee Name]],'Base Schedules'!$A$79:$AW$111,11,FALSE)),"")</f>
        <v/>
      </c>
      <c r="M33" s="184" t="str">
        <f>IFERROR(IF(VLOOKUP(Sun_W2[[#This Row],[Employee Name]],'Base Schedules'!$A$79:$AW$111,12,FALSE)="","",VLOOKUP(Sun_W2[[#This Row],[Employee Name]],'Base Schedules'!$A$79:$AW$111,12,FALSE)),"")</f>
        <v/>
      </c>
      <c r="N33" s="184" t="str">
        <f>IFERROR(IF(VLOOKUP(Sun_W2[[#This Row],[Employee Name]],'Base Schedules'!$A$79:$AW$111,13,FALSE)="","",VLOOKUP(Sun_W2[[#This Row],[Employee Name]],'Base Schedules'!$A$79:$AW$111,13,FALSE)),"")</f>
        <v/>
      </c>
      <c r="O33" s="184" t="str">
        <f>IFERROR(IF(VLOOKUP(Sun_W2[[#This Row],[Employee Name]],'Base Schedules'!$A$79:$AW$111,14,FALSE)="","",VLOOKUP(Sun_W2[[#This Row],[Employee Name]],'Base Schedules'!$A$79:$AW$111,14,FALSE)),"")</f>
        <v/>
      </c>
      <c r="P33" s="184" t="str">
        <f>IFERROR(IF(VLOOKUP(Sun_W2[[#This Row],[Employee Name]],'Base Schedules'!$A$79:$AW$111,15,FALSE)="","",VLOOKUP(Sun_W2[[#This Row],[Employee Name]],'Base Schedules'!$A$79:$AW$111,15,FALSE)),"")</f>
        <v/>
      </c>
      <c r="Q33" s="184" t="str">
        <f>IFERROR(IF(VLOOKUP(Sun_W2[[#This Row],[Employee Name]],'Base Schedules'!$A$79:$AW$111,16,FALSE)="","",VLOOKUP(Sun_W2[[#This Row],[Employee Name]],'Base Schedules'!$A$79:$AW$111,16,FALSE)),"")</f>
        <v/>
      </c>
      <c r="R33" s="184" t="str">
        <f>IFERROR(IF(VLOOKUP(Sun_W2[[#This Row],[Employee Name]],'Base Schedules'!$A$79:$AW$111,17,FALSE)="","",VLOOKUP(Sun_W2[[#This Row],[Employee Name]],'Base Schedules'!$A$79:$AW$111,17,FALSE)),"")</f>
        <v/>
      </c>
      <c r="S33" s="184" t="str">
        <f>IFERROR(IF(VLOOKUP(Sun_W2[[#This Row],[Employee Name]],'Base Schedules'!$A$79:$AW$111,18,FALSE)="","",VLOOKUP(Sun_W2[[#This Row],[Employee Name]],'Base Schedules'!$A$79:$AW$111,18,FALSE)),"")</f>
        <v/>
      </c>
      <c r="T33" s="184" t="str">
        <f>IFERROR(IF(VLOOKUP(Sun_W2[[#This Row],[Employee Name]],'Base Schedules'!$A$79:$AW$111,19,FALSE)="","",VLOOKUP(Sun_W2[[#This Row],[Employee Name]],'Base Schedules'!$A$79:$AW$111,19,FALSE)),"")</f>
        <v/>
      </c>
      <c r="U33" s="184" t="str">
        <f>IFERROR(IF(VLOOKUP(Sun_W2[[#This Row],[Employee Name]],'Base Schedules'!$A$79:$AW$111,20,FALSE)="","",VLOOKUP(Sun_W2[[#This Row],[Employee Name]],'Base Schedules'!$A$79:$AW$111,20,FALSE)),"")</f>
        <v/>
      </c>
      <c r="V33" s="184" t="str">
        <f>IFERROR(IF(VLOOKUP(Sun_W2[[#This Row],[Employee Name]],'Base Schedules'!$A$79:$AW$111,21,FALSE)="","",VLOOKUP(Sun_W2[[#This Row],[Employee Name]],'Base Schedules'!$A$79:$AW$111,21,FALSE)),"")</f>
        <v/>
      </c>
      <c r="W33" s="184" t="str">
        <f>IFERROR(IF(VLOOKUP(Sun_W2[[#This Row],[Employee Name]],'Base Schedules'!$A$79:$AW$111,22,FALSE)="","",VLOOKUP(Sun_W2[[#This Row],[Employee Name]],'Base Schedules'!$A$79:$AW$111,22,FALSE)),"")</f>
        <v/>
      </c>
      <c r="X33" s="184" t="str">
        <f>IFERROR(IF(VLOOKUP(Sun_W2[[#This Row],[Employee Name]],'Base Schedules'!$A$79:$AW$111,23,FALSE)="","",VLOOKUP(Sun_W2[[#This Row],[Employee Name]],'Base Schedules'!$A$79:$AW$111,23,FALSE)),"")</f>
        <v/>
      </c>
      <c r="Y33" s="184" t="str">
        <f>IFERROR(IF(VLOOKUP(Sun_W2[[#This Row],[Employee Name]],'Base Schedules'!$A$79:$AW$111,24,FALSE)="","",VLOOKUP(Sun_W2[[#This Row],[Employee Name]],'Base Schedules'!$A$79:$AW$111,24,FALSE)),"")</f>
        <v/>
      </c>
      <c r="Z33" s="184" t="str">
        <f>IFERROR(IF(VLOOKUP(Sun_W2[[#This Row],[Employee Name]],'Base Schedules'!$A$79:$AW$111,25,FALSE)="","",VLOOKUP(Sun_W2[[#This Row],[Employee Name]],'Base Schedules'!$A$79:$AW$111,25,FALSE)),"")</f>
        <v/>
      </c>
      <c r="AA33" s="184" t="str">
        <f>IFERROR(IF(VLOOKUP(Sun_W2[[#This Row],[Employee Name]],'Base Schedules'!$A$79:$AW$111,26,FALSE)="","",VLOOKUP(Sun_W2[[#This Row],[Employee Name]],'Base Schedules'!$A$79:$AW$111,26,FALSE)),"")</f>
        <v/>
      </c>
      <c r="AB33" s="184" t="str">
        <f>IFERROR(IF(VLOOKUP(Sun_W2[[#This Row],[Employee Name]],'Base Schedules'!$A$79:$AW$111,27,FALSE)="","",VLOOKUP(Sun_W2[[#This Row],[Employee Name]],'Base Schedules'!$A$79:$AW$111,27,FALSE)),"")</f>
        <v/>
      </c>
      <c r="AC33" s="184" t="str">
        <f>IFERROR(IF(VLOOKUP(Sun_W2[[#This Row],[Employee Name]],'Base Schedules'!$A$79:$AW$111,28,FALSE)="","",VLOOKUP(Sun_W2[[#This Row],[Employee Name]],'Base Schedules'!$A$79:$AW$111,28,FALSE)),"")</f>
        <v/>
      </c>
      <c r="AD33" s="184" t="str">
        <f>IFERROR(IF(VLOOKUP(Sun_W2[[#This Row],[Employee Name]],'Base Schedules'!$A$79:$AW$111,29,FALSE)="","",VLOOKUP(Sun_W2[[#This Row],[Employee Name]],'Base Schedules'!$A$79:$AW$111,29,FALSE)),"")</f>
        <v/>
      </c>
      <c r="AE33" s="184" t="str">
        <f>IFERROR(IF(VLOOKUP(Sun_W2[[#This Row],[Employee Name]],'Base Schedules'!$A$79:$AW$111,30,FALSE)="","",VLOOKUP(Sun_W2[[#This Row],[Employee Name]],'Base Schedules'!$A$79:$AW$111,30,FALSE)),"")</f>
        <v/>
      </c>
      <c r="AF33" s="184" t="str">
        <f>IFERROR(IF(VLOOKUP(Sun_W2[[#This Row],[Employee Name]],'Base Schedules'!$A$79:$AW$111,31,FALSE)="","",VLOOKUP(Sun_W2[[#This Row],[Employee Name]],'Base Schedules'!$A$79:$AW$111,31,FALSE)),"")</f>
        <v/>
      </c>
      <c r="AG33" s="184" t="str">
        <f>IFERROR(IF(VLOOKUP(Sun_W2[[#This Row],[Employee Name]],'Base Schedules'!$A$79:$AW$111,32,FALSE)="","",VLOOKUP(Sun_W2[[#This Row],[Employee Name]],'Base Schedules'!$A$79:$AW$111,32,FALSE)),"")</f>
        <v/>
      </c>
      <c r="AH33" s="184" t="str">
        <f>IFERROR(IF(VLOOKUP(Sun_W2[[#This Row],[Employee Name]],'Base Schedules'!$A$79:$AW$111,33,FALSE)="","",VLOOKUP(Sun_W2[[#This Row],[Employee Name]],'Base Schedules'!$A$79:$AW$111,33,FALSE)),"")</f>
        <v/>
      </c>
      <c r="AI33" s="184" t="str">
        <f>IFERROR(IF(VLOOKUP(Sun_W2[[#This Row],[Employee Name]],'Base Schedules'!$A$79:$AW$111,34,FALSE)="","",VLOOKUP(Sun_W2[[#This Row],[Employee Name]],'Base Schedules'!$A$79:$AW$111,34,FALSE)),"")</f>
        <v/>
      </c>
      <c r="AJ33" s="184" t="str">
        <f>IFERROR(IF(VLOOKUP(Sun_W2[[#This Row],[Employee Name]],'Base Schedules'!$A$79:$AW$111,35,FALSE)="","",VLOOKUP(Sun_W2[[#This Row],[Employee Name]],'Base Schedules'!$A$79:$AW$111,35,FALSE)),"")</f>
        <v/>
      </c>
      <c r="AK33" s="184" t="str">
        <f>IFERROR(IF(VLOOKUP(Sun_W2[[#This Row],[Employee Name]],'Base Schedules'!$A$79:$AW$111,36,FALSE)="","",VLOOKUP(Sun_W2[[#This Row],[Employee Name]],'Base Schedules'!$A$79:$AW$111,36,FALSE)),"")</f>
        <v/>
      </c>
      <c r="AL33" s="184" t="str">
        <f>IFERROR(IF(VLOOKUP(Sun_W2[[#This Row],[Employee Name]],'Base Schedules'!$A$79:$AW$111,37,FALSE)="","",VLOOKUP(Sun_W2[[#This Row],[Employee Name]],'Base Schedules'!$A$79:$AW$111,37,FALSE)),"")</f>
        <v/>
      </c>
      <c r="AM33" s="184" t="str">
        <f>IFERROR(IF(VLOOKUP(Sun_W2[[#This Row],[Employee Name]],'Base Schedules'!$A$79:$AW$111,38,FALSE)="","",VLOOKUP(Sun_W2[[#This Row],[Employee Name]],'Base Schedules'!$A$79:$AW$111,38,FALSE)),"")</f>
        <v/>
      </c>
      <c r="AN33" s="184" t="str">
        <f>IFERROR(IF(VLOOKUP(Sun_W2[[#This Row],[Employee Name]],'Base Schedules'!$A$79:$AW$111,39,FALSE)="","",VLOOKUP(Sun_W2[[#This Row],[Employee Name]],'Base Schedules'!$A$79:$AW$111,39,FALSE)),"")</f>
        <v/>
      </c>
      <c r="AO33" s="184" t="str">
        <f>IFERROR(IF(VLOOKUP(Sun_W2[[#This Row],[Employee Name]],'Base Schedules'!$A$79:$AW$111,40,FALSE)="","",VLOOKUP(Sun_W2[[#This Row],[Employee Name]],'Base Schedules'!$A$79:$AW$111,40,FALSE)),"")</f>
        <v/>
      </c>
      <c r="AP33" s="184" t="str">
        <f>IFERROR(IF(VLOOKUP(Sun_W2[[#This Row],[Employee Name]],'Base Schedules'!$A$79:$AW$111,41,FALSE)="","",VLOOKUP(Sun_W2[[#This Row],[Employee Name]],'Base Schedules'!$A$79:$AW$111,41,FALSE)),"")</f>
        <v/>
      </c>
      <c r="AQ33" s="184" t="str">
        <f>IFERROR(IF(VLOOKUP(Sun_W2[[#This Row],[Employee Name]],'Base Schedules'!$A$79:$AW$111,42,FALSE)="","",VLOOKUP(Sun_W2[[#This Row],[Employee Name]],'Base Schedules'!$A$79:$AW$111,42,FALSE)),"")</f>
        <v/>
      </c>
      <c r="AR33" s="184" t="str">
        <f>IFERROR(IF(VLOOKUP(Sun_W2[[#This Row],[Employee Name]],'Base Schedules'!$A$79:$AW$111,43,FALSE)="","",VLOOKUP(Sun_W2[[#This Row],[Employee Name]],'Base Schedules'!$A$79:$AW$111,43,FALSE)),"")</f>
        <v/>
      </c>
      <c r="AS33" s="184" t="str">
        <f>IFERROR(IF(VLOOKUP(Sun_W2[[#This Row],[Employee Name]],'Base Schedules'!$A$79:$AW$111,44,FALSE)="","",VLOOKUP(Sun_W2[[#This Row],[Employee Name]],'Base Schedules'!$A$79:$AW$111,44,FALSE)),"")</f>
        <v/>
      </c>
      <c r="AT33" s="184" t="str">
        <f>IFERROR(IF(VLOOKUP(Sun_W2[[#This Row],[Employee Name]],'Base Schedules'!$A$79:$AW$111,45,FALSE)="","",VLOOKUP(Sun_W2[[#This Row],[Employee Name]],'Base Schedules'!$A$79:$AW$111,45,FALSE)),"")</f>
        <v/>
      </c>
      <c r="AU33" s="184" t="str">
        <f>IFERROR(IF(VLOOKUP(Sun_W2[[#This Row],[Employee Name]],'Base Schedules'!$A$79:$AW$111,46,FALSE)="","",VLOOKUP(Sun_W2[[#This Row],[Employee Name]],'Base Schedules'!$A$79:$AW$111,46,FALSE)),"")</f>
        <v/>
      </c>
      <c r="AV33" s="184" t="str">
        <f>IFERROR(IF(VLOOKUP(Sun_W2[[#This Row],[Employee Name]],'Base Schedules'!$A$79:$AW$111,47,FALSE)="","",VLOOKUP(Sun_W2[[#This Row],[Employee Name]],'Base Schedules'!$A$79:$AW$111,47,FALSE)),"")</f>
        <v/>
      </c>
      <c r="AW33" s="184" t="str">
        <f>IFERROR(IF(VLOOKUP(Sun_W2[[#This Row],[Employee Name]],'Base Schedules'!$A$79:$AW$111,48,FALSE)="","",VLOOKUP(Sun_W2[[#This Row],[Employee Name]],'Base Schedules'!$A$79:$AW$111,48,FALSE)),"")</f>
        <v/>
      </c>
      <c r="AX33" s="184" t="str">
        <f>IFERROR(IF(VLOOKUP(Sun_W2[[#This Row],[Employee Name]],'Base Schedules'!$A$79:$AW$111,49,FALSE)="","",VLOOKUP(Sun_W2[[#This Row],[Employee Name]],'Base Schedules'!$A$79:$AW$111,49,FALSE)),"")</f>
        <v/>
      </c>
      <c r="AY33" s="159" t="str">
        <f t="shared" si="2"/>
        <v/>
      </c>
      <c r="AZ33" s="184"/>
      <c r="BA33" s="184" t="str">
        <f>IFERROR(IF(VLOOKUP(Sun_W1[[#This Row],[Employee Name]],'Base Schedules'!$A$79:$AW$111,49,FALSE)="","",VLOOKUP(Sun_W1[[#This Row],[Employee Name]],'Base Schedules'!$A$79:$AW$111,49,FALSE)),"")</f>
        <v/>
      </c>
    </row>
    <row r="34" spans="1:53" s="44" customFormat="1" ht="12" hidden="1" customHeight="1" x14ac:dyDescent="0.2">
      <c r="A34" s="39" t="str">
        <f>IF(B34="","",INDEX(TeamList[],MATCH($B34,TeamList[[Employee Name]:[Employee Name]],0),MATCH("Manager",TeamList[#Headers],0)))</f>
        <v/>
      </c>
      <c r="B34" s="202"/>
      <c r="C34" s="257" t="str">
        <f>_xlfn.IFNA(VLOOKUP(Sun_W2[[#This Row],[Employee Name]],'Base Schedules'!A:B,2,FALSE),"")</f>
        <v/>
      </c>
      <c r="D34" s="274" t="str">
        <f>_xlfn.IFNA(VLOOKUP(Sun_W2[[#This Row],[Employee Name]],'Base Schedules'!A:C,3,FALSE),"")</f>
        <v/>
      </c>
      <c r="E34" s="354" t="str">
        <f>_xlfn.IFNA(VLOOKUP(Sun_W2[[#This Row],[Employee Name]],'Base Schedules'!A:D,4,FALSE),"")</f>
        <v/>
      </c>
      <c r="F34" s="358" t="str">
        <f>IF(Sun_W2[[#This Row],[Employee Name]]="","",IF(Sun_W2[[#This Row],[Dept]]="Supervisor",COUNTIFS($J34:$AX34,"*HL*",$J34:$AX34,"&lt;&gt;"&amp;"pHL"),COUNTIFS($J34:$AX34,"*HL*",$J34:$AX34,"&lt;&gt;"&amp;"*pHL*",$J34:$AX34,"&lt;&gt;"&amp;"pB1 HL",$J34:$AX34,"&lt;&gt;"&amp;"pB2 HL")-SUM(COUNTIFS($J34:$AX34,"*HL B1*",$J34:$AX34,"&lt;&gt;"&amp;"pHL B1")*0.5,COUNTIFS($J34:$AX34,"*HL B2*",$J34:$AX34,"&lt;&gt;"&amp;"pHL B2")*0.5,COUNTIFS($J34:$AX34,"*B1 HL*",$J34:$AX34,"&lt;&gt;"&amp;"pB1 HL")*0.5,COUNTIFS($J34:$AX34,"*B2 HL*",$J34:$AX34,"&lt;&gt;"&amp;"pB2 HL")*0.5)))</f>
        <v/>
      </c>
      <c r="G34" s="142" t="str">
        <f t="shared" si="3"/>
        <v/>
      </c>
      <c r="H34" s="142" t="str">
        <f t="shared" si="1"/>
        <v/>
      </c>
      <c r="I34" s="142" t="str">
        <f>IF(Sun_W2[[#This Row],[Employee Name]]="","",IF(Sun_W2[[#This Row],[Dept]]="Supervisor",SUM(COUNTIFS($J34:$AX34,"RTA*",$J34:$AX34,"&lt;&gt;"&amp;"pRTA"),COUNTIFS($J34:$AX34,"*CRTA*",$J34:$AX34,"&lt;&gt;"&amp;"pCRTA")),COUNTIFS($J34:$AX34,"*RNNR*",$J34:$AX34,"&lt;&gt;"&amp;"*pRNNR*",$J34:$AX34,"&lt;&gt;"&amp;"pB1 RNNR",$J34:$AX34,"&lt;&gt;"&amp;"pB2 RNNR")-SUM(COUNTIFS($J34:$AX34,"*RNNR B1*",$J34:$AX34,"&lt;&gt;"&amp;"pRNNR B1")*0.5,COUNTIFS($J34:$AX34,"*RNNR B2*",$J34:$AX34,"&lt;&gt;"&amp;"pRNNR B2")*0.5,COUNTIFS($J34:$AX34,"*B1 RNNR*",$J34:$AX34,"&lt;&gt;"&amp;"pB1 RNNR")*0.5,COUNTIFS($J34:$AX34,"*B2 RNNR*",$J34:$AX34,"&lt;&gt;"&amp;"pB2 RNNR")*0.5)))</f>
        <v/>
      </c>
      <c r="J34" s="184" t="str">
        <f>IFERROR(IF(VLOOKUP(Sun_W2[[#This Row],[Employee Name]],'Base Schedules'!$A$79:$AW$111,9,FALSE)="","",VLOOKUP(Sun_W2[[#This Row],[Employee Name]],'Base Schedules'!$A$79:$AW$111,9,FALSE)),"")</f>
        <v/>
      </c>
      <c r="K34" s="184" t="str">
        <f>IFERROR(IF(VLOOKUP(Sun_W2[[#This Row],[Employee Name]],'Base Schedules'!$A$79:$AW$111,10,FALSE)="","",VLOOKUP(Sun_W2[[#This Row],[Employee Name]],'Base Schedules'!$A$79:$AW$111,10,FALSE)),"")</f>
        <v/>
      </c>
      <c r="L34" s="184" t="str">
        <f>IFERROR(IF(VLOOKUP(Sun_W2[[#This Row],[Employee Name]],'Base Schedules'!$A$79:$AW$111,11,FALSE)="","",VLOOKUP(Sun_W2[[#This Row],[Employee Name]],'Base Schedules'!$A$79:$AW$111,11,FALSE)),"")</f>
        <v/>
      </c>
      <c r="M34" s="184" t="str">
        <f>IFERROR(IF(VLOOKUP(Sun_W2[[#This Row],[Employee Name]],'Base Schedules'!$A$79:$AW$111,12,FALSE)="","",VLOOKUP(Sun_W2[[#This Row],[Employee Name]],'Base Schedules'!$A$79:$AW$111,12,FALSE)),"")</f>
        <v/>
      </c>
      <c r="N34" s="184" t="str">
        <f>IFERROR(IF(VLOOKUP(Sun_W2[[#This Row],[Employee Name]],'Base Schedules'!$A$79:$AW$111,13,FALSE)="","",VLOOKUP(Sun_W2[[#This Row],[Employee Name]],'Base Schedules'!$A$79:$AW$111,13,FALSE)),"")</f>
        <v/>
      </c>
      <c r="O34" s="184" t="str">
        <f>IFERROR(IF(VLOOKUP(Sun_W2[[#This Row],[Employee Name]],'Base Schedules'!$A$79:$AW$111,14,FALSE)="","",VLOOKUP(Sun_W2[[#This Row],[Employee Name]],'Base Schedules'!$A$79:$AW$111,14,FALSE)),"")</f>
        <v/>
      </c>
      <c r="P34" s="184" t="str">
        <f>IFERROR(IF(VLOOKUP(Sun_W2[[#This Row],[Employee Name]],'Base Schedules'!$A$79:$AW$111,15,FALSE)="","",VLOOKUP(Sun_W2[[#This Row],[Employee Name]],'Base Schedules'!$A$79:$AW$111,15,FALSE)),"")</f>
        <v/>
      </c>
      <c r="Q34" s="184" t="str">
        <f>IFERROR(IF(VLOOKUP(Sun_W2[[#This Row],[Employee Name]],'Base Schedules'!$A$79:$AW$111,16,FALSE)="","",VLOOKUP(Sun_W2[[#This Row],[Employee Name]],'Base Schedules'!$A$79:$AW$111,16,FALSE)),"")</f>
        <v/>
      </c>
      <c r="R34" s="184" t="str">
        <f>IFERROR(IF(VLOOKUP(Sun_W2[[#This Row],[Employee Name]],'Base Schedules'!$A$79:$AW$111,17,FALSE)="","",VLOOKUP(Sun_W2[[#This Row],[Employee Name]],'Base Schedules'!$A$79:$AW$111,17,FALSE)),"")</f>
        <v/>
      </c>
      <c r="S34" s="184" t="str">
        <f>IFERROR(IF(VLOOKUP(Sun_W2[[#This Row],[Employee Name]],'Base Schedules'!$A$79:$AW$111,18,FALSE)="","",VLOOKUP(Sun_W2[[#This Row],[Employee Name]],'Base Schedules'!$A$79:$AW$111,18,FALSE)),"")</f>
        <v/>
      </c>
      <c r="T34" s="184" t="str">
        <f>IFERROR(IF(VLOOKUP(Sun_W2[[#This Row],[Employee Name]],'Base Schedules'!$A$79:$AW$111,19,FALSE)="","",VLOOKUP(Sun_W2[[#This Row],[Employee Name]],'Base Schedules'!$A$79:$AW$111,19,FALSE)),"")</f>
        <v/>
      </c>
      <c r="U34" s="184" t="str">
        <f>IFERROR(IF(VLOOKUP(Sun_W2[[#This Row],[Employee Name]],'Base Schedules'!$A$79:$AW$111,20,FALSE)="","",VLOOKUP(Sun_W2[[#This Row],[Employee Name]],'Base Schedules'!$A$79:$AW$111,20,FALSE)),"")</f>
        <v/>
      </c>
      <c r="V34" s="184" t="str">
        <f>IFERROR(IF(VLOOKUP(Sun_W2[[#This Row],[Employee Name]],'Base Schedules'!$A$79:$AW$111,21,FALSE)="","",VLOOKUP(Sun_W2[[#This Row],[Employee Name]],'Base Schedules'!$A$79:$AW$111,21,FALSE)),"")</f>
        <v/>
      </c>
      <c r="W34" s="184" t="str">
        <f>IFERROR(IF(VLOOKUP(Sun_W2[[#This Row],[Employee Name]],'Base Schedules'!$A$79:$AW$111,22,FALSE)="","",VLOOKUP(Sun_W2[[#This Row],[Employee Name]],'Base Schedules'!$A$79:$AW$111,22,FALSE)),"")</f>
        <v/>
      </c>
      <c r="X34" s="184" t="str">
        <f>IFERROR(IF(VLOOKUP(Sun_W2[[#This Row],[Employee Name]],'Base Schedules'!$A$79:$AW$111,23,FALSE)="","",VLOOKUP(Sun_W2[[#This Row],[Employee Name]],'Base Schedules'!$A$79:$AW$111,23,FALSE)),"")</f>
        <v/>
      </c>
      <c r="Y34" s="184" t="str">
        <f>IFERROR(IF(VLOOKUP(Sun_W2[[#This Row],[Employee Name]],'Base Schedules'!$A$79:$AW$111,24,FALSE)="","",VLOOKUP(Sun_W2[[#This Row],[Employee Name]],'Base Schedules'!$A$79:$AW$111,24,FALSE)),"")</f>
        <v/>
      </c>
      <c r="Z34" s="184" t="str">
        <f>IFERROR(IF(VLOOKUP(Sun_W2[[#This Row],[Employee Name]],'Base Schedules'!$A$79:$AW$111,25,FALSE)="","",VLOOKUP(Sun_W2[[#This Row],[Employee Name]],'Base Schedules'!$A$79:$AW$111,25,FALSE)),"")</f>
        <v/>
      </c>
      <c r="AA34" s="184" t="str">
        <f>IFERROR(IF(VLOOKUP(Sun_W2[[#This Row],[Employee Name]],'Base Schedules'!$A$79:$AW$111,26,FALSE)="","",VLOOKUP(Sun_W2[[#This Row],[Employee Name]],'Base Schedules'!$A$79:$AW$111,26,FALSE)),"")</f>
        <v/>
      </c>
      <c r="AB34" s="184" t="str">
        <f>IFERROR(IF(VLOOKUP(Sun_W2[[#This Row],[Employee Name]],'Base Schedules'!$A$79:$AW$111,27,FALSE)="","",VLOOKUP(Sun_W2[[#This Row],[Employee Name]],'Base Schedules'!$A$79:$AW$111,27,FALSE)),"")</f>
        <v/>
      </c>
      <c r="AC34" s="184" t="str">
        <f>IFERROR(IF(VLOOKUP(Sun_W2[[#This Row],[Employee Name]],'Base Schedules'!$A$79:$AW$111,28,FALSE)="","",VLOOKUP(Sun_W2[[#This Row],[Employee Name]],'Base Schedules'!$A$79:$AW$111,28,FALSE)),"")</f>
        <v/>
      </c>
      <c r="AD34" s="184" t="str">
        <f>IFERROR(IF(VLOOKUP(Sun_W2[[#This Row],[Employee Name]],'Base Schedules'!$A$79:$AW$111,29,FALSE)="","",VLOOKUP(Sun_W2[[#This Row],[Employee Name]],'Base Schedules'!$A$79:$AW$111,29,FALSE)),"")</f>
        <v/>
      </c>
      <c r="AE34" s="184" t="str">
        <f>IFERROR(IF(VLOOKUP(Sun_W2[[#This Row],[Employee Name]],'Base Schedules'!$A$79:$AW$111,30,FALSE)="","",VLOOKUP(Sun_W2[[#This Row],[Employee Name]],'Base Schedules'!$A$79:$AW$111,30,FALSE)),"")</f>
        <v/>
      </c>
      <c r="AF34" s="184" t="str">
        <f>IFERROR(IF(VLOOKUP(Sun_W2[[#This Row],[Employee Name]],'Base Schedules'!$A$79:$AW$111,31,FALSE)="","",VLOOKUP(Sun_W2[[#This Row],[Employee Name]],'Base Schedules'!$A$79:$AW$111,31,FALSE)),"")</f>
        <v/>
      </c>
      <c r="AG34" s="184" t="str">
        <f>IFERROR(IF(VLOOKUP(Sun_W2[[#This Row],[Employee Name]],'Base Schedules'!$A$79:$AW$111,32,FALSE)="","",VLOOKUP(Sun_W2[[#This Row],[Employee Name]],'Base Schedules'!$A$79:$AW$111,32,FALSE)),"")</f>
        <v/>
      </c>
      <c r="AH34" s="184" t="str">
        <f>IFERROR(IF(VLOOKUP(Sun_W2[[#This Row],[Employee Name]],'Base Schedules'!$A$79:$AW$111,33,FALSE)="","",VLOOKUP(Sun_W2[[#This Row],[Employee Name]],'Base Schedules'!$A$79:$AW$111,33,FALSE)),"")</f>
        <v/>
      </c>
      <c r="AI34" s="184" t="str">
        <f>IFERROR(IF(VLOOKUP(Sun_W2[[#This Row],[Employee Name]],'Base Schedules'!$A$79:$AW$111,34,FALSE)="","",VLOOKUP(Sun_W2[[#This Row],[Employee Name]],'Base Schedules'!$A$79:$AW$111,34,FALSE)),"")</f>
        <v/>
      </c>
      <c r="AJ34" s="184" t="str">
        <f>IFERROR(IF(VLOOKUP(Sun_W2[[#This Row],[Employee Name]],'Base Schedules'!$A$79:$AW$111,35,FALSE)="","",VLOOKUP(Sun_W2[[#This Row],[Employee Name]],'Base Schedules'!$A$79:$AW$111,35,FALSE)),"")</f>
        <v/>
      </c>
      <c r="AK34" s="184" t="str">
        <f>IFERROR(IF(VLOOKUP(Sun_W2[[#This Row],[Employee Name]],'Base Schedules'!$A$79:$AW$111,36,FALSE)="","",VLOOKUP(Sun_W2[[#This Row],[Employee Name]],'Base Schedules'!$A$79:$AW$111,36,FALSE)),"")</f>
        <v/>
      </c>
      <c r="AL34" s="184" t="str">
        <f>IFERROR(IF(VLOOKUP(Sun_W2[[#This Row],[Employee Name]],'Base Schedules'!$A$79:$AW$111,37,FALSE)="","",VLOOKUP(Sun_W2[[#This Row],[Employee Name]],'Base Schedules'!$A$79:$AW$111,37,FALSE)),"")</f>
        <v/>
      </c>
      <c r="AM34" s="184" t="str">
        <f>IFERROR(IF(VLOOKUP(Sun_W2[[#This Row],[Employee Name]],'Base Schedules'!$A$79:$AW$111,38,FALSE)="","",VLOOKUP(Sun_W2[[#This Row],[Employee Name]],'Base Schedules'!$A$79:$AW$111,38,FALSE)),"")</f>
        <v/>
      </c>
      <c r="AN34" s="184" t="str">
        <f>IFERROR(IF(VLOOKUP(Sun_W2[[#This Row],[Employee Name]],'Base Schedules'!$A$79:$AW$111,39,FALSE)="","",VLOOKUP(Sun_W2[[#This Row],[Employee Name]],'Base Schedules'!$A$79:$AW$111,39,FALSE)),"")</f>
        <v/>
      </c>
      <c r="AO34" s="184" t="str">
        <f>IFERROR(IF(VLOOKUP(Sun_W2[[#This Row],[Employee Name]],'Base Schedules'!$A$79:$AW$111,40,FALSE)="","",VLOOKUP(Sun_W2[[#This Row],[Employee Name]],'Base Schedules'!$A$79:$AW$111,40,FALSE)),"")</f>
        <v/>
      </c>
      <c r="AP34" s="184" t="str">
        <f>IFERROR(IF(VLOOKUP(Sun_W2[[#This Row],[Employee Name]],'Base Schedules'!$A$79:$AW$111,41,FALSE)="","",VLOOKUP(Sun_W2[[#This Row],[Employee Name]],'Base Schedules'!$A$79:$AW$111,41,FALSE)),"")</f>
        <v/>
      </c>
      <c r="AQ34" s="184" t="str">
        <f>IFERROR(IF(VLOOKUP(Sun_W2[[#This Row],[Employee Name]],'Base Schedules'!$A$79:$AW$111,42,FALSE)="","",VLOOKUP(Sun_W2[[#This Row],[Employee Name]],'Base Schedules'!$A$79:$AW$111,42,FALSE)),"")</f>
        <v/>
      </c>
      <c r="AR34" s="184" t="str">
        <f>IFERROR(IF(VLOOKUP(Sun_W2[[#This Row],[Employee Name]],'Base Schedules'!$A$79:$AW$111,43,FALSE)="","",VLOOKUP(Sun_W2[[#This Row],[Employee Name]],'Base Schedules'!$A$79:$AW$111,43,FALSE)),"")</f>
        <v/>
      </c>
      <c r="AS34" s="184" t="str">
        <f>IFERROR(IF(VLOOKUP(Sun_W2[[#This Row],[Employee Name]],'Base Schedules'!$A$79:$AW$111,44,FALSE)="","",VLOOKUP(Sun_W2[[#This Row],[Employee Name]],'Base Schedules'!$A$79:$AW$111,44,FALSE)),"")</f>
        <v/>
      </c>
      <c r="AT34" s="184" t="str">
        <f>IFERROR(IF(VLOOKUP(Sun_W2[[#This Row],[Employee Name]],'Base Schedules'!$A$79:$AW$111,45,FALSE)="","",VLOOKUP(Sun_W2[[#This Row],[Employee Name]],'Base Schedules'!$A$79:$AW$111,45,FALSE)),"")</f>
        <v/>
      </c>
      <c r="AU34" s="184" t="str">
        <f>IFERROR(IF(VLOOKUP(Sun_W2[[#This Row],[Employee Name]],'Base Schedules'!$A$79:$AW$111,46,FALSE)="","",VLOOKUP(Sun_W2[[#This Row],[Employee Name]],'Base Schedules'!$A$79:$AW$111,46,FALSE)),"")</f>
        <v/>
      </c>
      <c r="AV34" s="184" t="str">
        <f>IFERROR(IF(VLOOKUP(Sun_W2[[#This Row],[Employee Name]],'Base Schedules'!$A$79:$AW$111,47,FALSE)="","",VLOOKUP(Sun_W2[[#This Row],[Employee Name]],'Base Schedules'!$A$79:$AW$111,47,FALSE)),"")</f>
        <v/>
      </c>
      <c r="AW34" s="184" t="str">
        <f>IFERROR(IF(VLOOKUP(Sun_W2[[#This Row],[Employee Name]],'Base Schedules'!$A$79:$AW$111,48,FALSE)="","",VLOOKUP(Sun_W2[[#This Row],[Employee Name]],'Base Schedules'!$A$79:$AW$111,48,FALSE)),"")</f>
        <v/>
      </c>
      <c r="AX34" s="184" t="str">
        <f>IFERROR(IF(VLOOKUP(Sun_W2[[#This Row],[Employee Name]],'Base Schedules'!$A$79:$AW$111,49,FALSE)="","",VLOOKUP(Sun_W2[[#This Row],[Employee Name]],'Base Schedules'!$A$79:$AW$111,49,FALSE)),"")</f>
        <v/>
      </c>
      <c r="AY34" s="159" t="str">
        <f t="shared" si="2"/>
        <v/>
      </c>
    </row>
    <row r="35" spans="1:53" s="44" customFormat="1" ht="12" hidden="1" customHeight="1" x14ac:dyDescent="0.2">
      <c r="A35" s="39" t="str">
        <f>IF(B35="","",INDEX(TeamList[],MATCH($B35,TeamList[[Employee Name]:[Employee Name]],0),MATCH("Manager",TeamList[#Headers],0)))</f>
        <v/>
      </c>
      <c r="B35" s="201"/>
      <c r="C35" s="257" t="str">
        <f>_xlfn.IFNA(VLOOKUP(Sun_W2[[#This Row],[Employee Name]],'Base Schedules'!A:B,2,FALSE),"")</f>
        <v/>
      </c>
      <c r="D35" s="274" t="str">
        <f>_xlfn.IFNA(VLOOKUP(Sun_W2[[#This Row],[Employee Name]],'Base Schedules'!A:C,3,FALSE),"")</f>
        <v/>
      </c>
      <c r="E35" s="354" t="str">
        <f>_xlfn.IFNA(VLOOKUP(Sun_W2[[#This Row],[Employee Name]],'Base Schedules'!A:D,4,FALSE),"")</f>
        <v/>
      </c>
      <c r="F35" s="358" t="str">
        <f>IF(Sun_W2[[#This Row],[Employee Name]]="","",IF(Sun_W2[[#This Row],[Dept]]="Supervisor",COUNTIFS($J35:$AX35,"*HL*",$J35:$AX35,"&lt;&gt;"&amp;"pHL"),COUNTIFS($J35:$AX35,"*HL*",$J35:$AX35,"&lt;&gt;"&amp;"*pHL*",$J35:$AX35,"&lt;&gt;"&amp;"pB1 HL",$J35:$AX35,"&lt;&gt;"&amp;"pB2 HL")-SUM(COUNTIFS($J35:$AX35,"*HL B1*",$J35:$AX35,"&lt;&gt;"&amp;"pHL B1")*0.5,COUNTIFS($J35:$AX35,"*HL B2*",$J35:$AX35,"&lt;&gt;"&amp;"pHL B2")*0.5,COUNTIFS($J35:$AX35,"*B1 HL*",$J35:$AX35,"&lt;&gt;"&amp;"pB1 HL")*0.5,COUNTIFS($J35:$AX35,"*B2 HL*",$J35:$AX35,"&lt;&gt;"&amp;"pB2 HL")*0.5)))</f>
        <v/>
      </c>
      <c r="G35" s="142" t="str">
        <f t="shared" si="3"/>
        <v/>
      </c>
      <c r="H35" s="142" t="str">
        <f t="shared" si="1"/>
        <v/>
      </c>
      <c r="I35" s="142" t="str">
        <f>IF(Sun_W2[[#This Row],[Employee Name]]="","",IF(Sun_W2[[#This Row],[Dept]]="Supervisor",SUM(COUNTIFS($J35:$AX35,"RTA*",$J35:$AX35,"&lt;&gt;"&amp;"pRTA"),COUNTIFS($J35:$AX35,"*CRTA*",$J35:$AX35,"&lt;&gt;"&amp;"pCRTA")),COUNTIFS($J35:$AX35,"*RNNR*",$J35:$AX35,"&lt;&gt;"&amp;"*pRNNR*",$J35:$AX35,"&lt;&gt;"&amp;"pB1 RNNR",$J35:$AX35,"&lt;&gt;"&amp;"pB2 RNNR")-SUM(COUNTIFS($J35:$AX35,"*RNNR B1*",$J35:$AX35,"&lt;&gt;"&amp;"pRNNR B1")*0.5,COUNTIFS($J35:$AX35,"*RNNR B2*",$J35:$AX35,"&lt;&gt;"&amp;"pRNNR B2")*0.5,COUNTIFS($J35:$AX35,"*B1 RNNR*",$J35:$AX35,"&lt;&gt;"&amp;"pB1 RNNR")*0.5,COUNTIFS($J35:$AX35,"*B2 RNNR*",$J35:$AX35,"&lt;&gt;"&amp;"pB2 RNNR")*0.5)))</f>
        <v/>
      </c>
      <c r="J35" s="184" t="str">
        <f>IFERROR(IF(VLOOKUP(Sun_W2[[#This Row],[Employee Name]],'Base Schedules'!$A$79:$AW$111,9,FALSE)="","",VLOOKUP(Sun_W2[[#This Row],[Employee Name]],'Base Schedules'!$A$79:$AW$111,9,FALSE)),"")</f>
        <v/>
      </c>
      <c r="K35" s="184" t="str">
        <f>IFERROR(IF(VLOOKUP(Sun_W2[[#This Row],[Employee Name]],'Base Schedules'!$A$79:$AW$111,10,FALSE)="","",VLOOKUP(Sun_W2[[#This Row],[Employee Name]],'Base Schedules'!$A$79:$AW$111,10,FALSE)),"")</f>
        <v/>
      </c>
      <c r="L35" s="184" t="str">
        <f>IFERROR(IF(VLOOKUP(Sun_W2[[#This Row],[Employee Name]],'Base Schedules'!$A$79:$AW$111,11,FALSE)="","",VLOOKUP(Sun_W2[[#This Row],[Employee Name]],'Base Schedules'!$A$79:$AW$111,11,FALSE)),"")</f>
        <v/>
      </c>
      <c r="M35" s="184" t="str">
        <f>IFERROR(IF(VLOOKUP(Sun_W2[[#This Row],[Employee Name]],'Base Schedules'!$A$79:$AW$111,12,FALSE)="","",VLOOKUP(Sun_W2[[#This Row],[Employee Name]],'Base Schedules'!$A$79:$AW$111,12,FALSE)),"")</f>
        <v/>
      </c>
      <c r="N35" s="184" t="str">
        <f>IFERROR(IF(VLOOKUP(Sun_W2[[#This Row],[Employee Name]],'Base Schedules'!$A$79:$AW$111,13,FALSE)="","",VLOOKUP(Sun_W2[[#This Row],[Employee Name]],'Base Schedules'!$A$79:$AW$111,13,FALSE)),"")</f>
        <v/>
      </c>
      <c r="O35" s="184" t="str">
        <f>IFERROR(IF(VLOOKUP(Sun_W2[[#This Row],[Employee Name]],'Base Schedules'!$A$79:$AW$111,14,FALSE)="","",VLOOKUP(Sun_W2[[#This Row],[Employee Name]],'Base Schedules'!$A$79:$AW$111,14,FALSE)),"")</f>
        <v/>
      </c>
      <c r="P35" s="184" t="str">
        <f>IFERROR(IF(VLOOKUP(Sun_W2[[#This Row],[Employee Name]],'Base Schedules'!$A$79:$AW$111,15,FALSE)="","",VLOOKUP(Sun_W2[[#This Row],[Employee Name]],'Base Schedules'!$A$79:$AW$111,15,FALSE)),"")</f>
        <v/>
      </c>
      <c r="Q35" s="184" t="str">
        <f>IFERROR(IF(VLOOKUP(Sun_W2[[#This Row],[Employee Name]],'Base Schedules'!$A$79:$AW$111,16,FALSE)="","",VLOOKUP(Sun_W2[[#This Row],[Employee Name]],'Base Schedules'!$A$79:$AW$111,16,FALSE)),"")</f>
        <v/>
      </c>
      <c r="R35" s="184" t="str">
        <f>IFERROR(IF(VLOOKUP(Sun_W2[[#This Row],[Employee Name]],'Base Schedules'!$A$79:$AW$111,17,FALSE)="","",VLOOKUP(Sun_W2[[#This Row],[Employee Name]],'Base Schedules'!$A$79:$AW$111,17,FALSE)),"")</f>
        <v/>
      </c>
      <c r="S35" s="184" t="str">
        <f>IFERROR(IF(VLOOKUP(Sun_W2[[#This Row],[Employee Name]],'Base Schedules'!$A$79:$AW$111,18,FALSE)="","",VLOOKUP(Sun_W2[[#This Row],[Employee Name]],'Base Schedules'!$A$79:$AW$111,18,FALSE)),"")</f>
        <v/>
      </c>
      <c r="T35" s="184" t="str">
        <f>IFERROR(IF(VLOOKUP(Sun_W2[[#This Row],[Employee Name]],'Base Schedules'!$A$79:$AW$111,19,FALSE)="","",VLOOKUP(Sun_W2[[#This Row],[Employee Name]],'Base Schedules'!$A$79:$AW$111,19,FALSE)),"")</f>
        <v/>
      </c>
      <c r="U35" s="184" t="str">
        <f>IFERROR(IF(VLOOKUP(Sun_W2[[#This Row],[Employee Name]],'Base Schedules'!$A$79:$AW$111,20,FALSE)="","",VLOOKUP(Sun_W2[[#This Row],[Employee Name]],'Base Schedules'!$A$79:$AW$111,20,FALSE)),"")</f>
        <v/>
      </c>
      <c r="V35" s="184" t="str">
        <f>IFERROR(IF(VLOOKUP(Sun_W2[[#This Row],[Employee Name]],'Base Schedules'!$A$79:$AW$111,21,FALSE)="","",VLOOKUP(Sun_W2[[#This Row],[Employee Name]],'Base Schedules'!$A$79:$AW$111,21,FALSE)),"")</f>
        <v/>
      </c>
      <c r="W35" s="184" t="str">
        <f>IFERROR(IF(VLOOKUP(Sun_W2[[#This Row],[Employee Name]],'Base Schedules'!$A$79:$AW$111,22,FALSE)="","",VLOOKUP(Sun_W2[[#This Row],[Employee Name]],'Base Schedules'!$A$79:$AW$111,22,FALSE)),"")</f>
        <v/>
      </c>
      <c r="X35" s="184" t="str">
        <f>IFERROR(IF(VLOOKUP(Sun_W2[[#This Row],[Employee Name]],'Base Schedules'!$A$79:$AW$111,23,FALSE)="","",VLOOKUP(Sun_W2[[#This Row],[Employee Name]],'Base Schedules'!$A$79:$AW$111,23,FALSE)),"")</f>
        <v/>
      </c>
      <c r="Y35" s="184" t="str">
        <f>IFERROR(IF(VLOOKUP(Sun_W2[[#This Row],[Employee Name]],'Base Schedules'!$A$79:$AW$111,24,FALSE)="","",VLOOKUP(Sun_W2[[#This Row],[Employee Name]],'Base Schedules'!$A$79:$AW$111,24,FALSE)),"")</f>
        <v/>
      </c>
      <c r="Z35" s="184" t="str">
        <f>IFERROR(IF(VLOOKUP(Sun_W2[[#This Row],[Employee Name]],'Base Schedules'!$A$79:$AW$111,25,FALSE)="","",VLOOKUP(Sun_W2[[#This Row],[Employee Name]],'Base Schedules'!$A$79:$AW$111,25,FALSE)),"")</f>
        <v/>
      </c>
      <c r="AA35" s="184" t="str">
        <f>IFERROR(IF(VLOOKUP(Sun_W2[[#This Row],[Employee Name]],'Base Schedules'!$A$79:$AW$111,26,FALSE)="","",VLOOKUP(Sun_W2[[#This Row],[Employee Name]],'Base Schedules'!$A$79:$AW$111,26,FALSE)),"")</f>
        <v/>
      </c>
      <c r="AB35" s="184" t="str">
        <f>IFERROR(IF(VLOOKUP(Sun_W2[[#This Row],[Employee Name]],'Base Schedules'!$A$79:$AW$111,27,FALSE)="","",VLOOKUP(Sun_W2[[#This Row],[Employee Name]],'Base Schedules'!$A$79:$AW$111,27,FALSE)),"")</f>
        <v/>
      </c>
      <c r="AC35" s="184" t="str">
        <f>IFERROR(IF(VLOOKUP(Sun_W2[[#This Row],[Employee Name]],'Base Schedules'!$A$79:$AW$111,28,FALSE)="","",VLOOKUP(Sun_W2[[#This Row],[Employee Name]],'Base Schedules'!$A$79:$AW$111,28,FALSE)),"")</f>
        <v/>
      </c>
      <c r="AD35" s="184" t="str">
        <f>IFERROR(IF(VLOOKUP(Sun_W2[[#This Row],[Employee Name]],'Base Schedules'!$A$79:$AW$111,29,FALSE)="","",VLOOKUP(Sun_W2[[#This Row],[Employee Name]],'Base Schedules'!$A$79:$AW$111,29,FALSE)),"")</f>
        <v/>
      </c>
      <c r="AE35" s="184" t="str">
        <f>IFERROR(IF(VLOOKUP(Sun_W2[[#This Row],[Employee Name]],'Base Schedules'!$A$79:$AW$111,30,FALSE)="","",VLOOKUP(Sun_W2[[#This Row],[Employee Name]],'Base Schedules'!$A$79:$AW$111,30,FALSE)),"")</f>
        <v/>
      </c>
      <c r="AF35" s="184" t="str">
        <f>IFERROR(IF(VLOOKUP(Sun_W2[[#This Row],[Employee Name]],'Base Schedules'!$A$79:$AW$111,31,FALSE)="","",VLOOKUP(Sun_W2[[#This Row],[Employee Name]],'Base Schedules'!$A$79:$AW$111,31,FALSE)),"")</f>
        <v/>
      </c>
      <c r="AG35" s="184" t="str">
        <f>IFERROR(IF(VLOOKUP(Sun_W2[[#This Row],[Employee Name]],'Base Schedules'!$A$79:$AW$111,32,FALSE)="","",VLOOKUP(Sun_W2[[#This Row],[Employee Name]],'Base Schedules'!$A$79:$AW$111,32,FALSE)),"")</f>
        <v/>
      </c>
      <c r="AH35" s="184" t="str">
        <f>IFERROR(IF(VLOOKUP(Sun_W2[[#This Row],[Employee Name]],'Base Schedules'!$A$79:$AW$111,33,FALSE)="","",VLOOKUP(Sun_W2[[#This Row],[Employee Name]],'Base Schedules'!$A$79:$AW$111,33,FALSE)),"")</f>
        <v/>
      </c>
      <c r="AI35" s="184" t="str">
        <f>IFERROR(IF(VLOOKUP(Sun_W2[[#This Row],[Employee Name]],'Base Schedules'!$A$79:$AW$111,34,FALSE)="","",VLOOKUP(Sun_W2[[#This Row],[Employee Name]],'Base Schedules'!$A$79:$AW$111,34,FALSE)),"")</f>
        <v/>
      </c>
      <c r="AJ35" s="184" t="str">
        <f>IFERROR(IF(VLOOKUP(Sun_W2[[#This Row],[Employee Name]],'Base Schedules'!$A$79:$AW$111,35,FALSE)="","",VLOOKUP(Sun_W2[[#This Row],[Employee Name]],'Base Schedules'!$A$79:$AW$111,35,FALSE)),"")</f>
        <v/>
      </c>
      <c r="AK35" s="184" t="str">
        <f>IFERROR(IF(VLOOKUP(Sun_W2[[#This Row],[Employee Name]],'Base Schedules'!$A$79:$AW$111,36,FALSE)="","",VLOOKUP(Sun_W2[[#This Row],[Employee Name]],'Base Schedules'!$A$79:$AW$111,36,FALSE)),"")</f>
        <v/>
      </c>
      <c r="AL35" s="184" t="str">
        <f>IFERROR(IF(VLOOKUP(Sun_W2[[#This Row],[Employee Name]],'Base Schedules'!$A$79:$AW$111,37,FALSE)="","",VLOOKUP(Sun_W2[[#This Row],[Employee Name]],'Base Schedules'!$A$79:$AW$111,37,FALSE)),"")</f>
        <v/>
      </c>
      <c r="AM35" s="184" t="str">
        <f>IFERROR(IF(VLOOKUP(Sun_W2[[#This Row],[Employee Name]],'Base Schedules'!$A$79:$AW$111,38,FALSE)="","",VLOOKUP(Sun_W2[[#This Row],[Employee Name]],'Base Schedules'!$A$79:$AW$111,38,FALSE)),"")</f>
        <v/>
      </c>
      <c r="AN35" s="184" t="str">
        <f>IFERROR(IF(VLOOKUP(Sun_W2[[#This Row],[Employee Name]],'Base Schedules'!$A$79:$AW$111,39,FALSE)="","",VLOOKUP(Sun_W2[[#This Row],[Employee Name]],'Base Schedules'!$A$79:$AW$111,39,FALSE)),"")</f>
        <v/>
      </c>
      <c r="AO35" s="184" t="str">
        <f>IFERROR(IF(VLOOKUP(Sun_W2[[#This Row],[Employee Name]],'Base Schedules'!$A$79:$AW$111,40,FALSE)="","",VLOOKUP(Sun_W2[[#This Row],[Employee Name]],'Base Schedules'!$A$79:$AW$111,40,FALSE)),"")</f>
        <v/>
      </c>
      <c r="AP35" s="184" t="str">
        <f>IFERROR(IF(VLOOKUP(Sun_W2[[#This Row],[Employee Name]],'Base Schedules'!$A$79:$AW$111,41,FALSE)="","",VLOOKUP(Sun_W2[[#This Row],[Employee Name]],'Base Schedules'!$A$79:$AW$111,41,FALSE)),"")</f>
        <v/>
      </c>
      <c r="AQ35" s="184" t="str">
        <f>IFERROR(IF(VLOOKUP(Sun_W2[[#This Row],[Employee Name]],'Base Schedules'!$A$79:$AW$111,42,FALSE)="","",VLOOKUP(Sun_W2[[#This Row],[Employee Name]],'Base Schedules'!$A$79:$AW$111,42,FALSE)),"")</f>
        <v/>
      </c>
      <c r="AR35" s="184" t="str">
        <f>IFERROR(IF(VLOOKUP(Sun_W2[[#This Row],[Employee Name]],'Base Schedules'!$A$79:$AW$111,43,FALSE)="","",VLOOKUP(Sun_W2[[#This Row],[Employee Name]],'Base Schedules'!$A$79:$AW$111,43,FALSE)),"")</f>
        <v/>
      </c>
      <c r="AS35" s="184" t="str">
        <f>IFERROR(IF(VLOOKUP(Sun_W2[[#This Row],[Employee Name]],'Base Schedules'!$A$79:$AW$111,44,FALSE)="","",VLOOKUP(Sun_W2[[#This Row],[Employee Name]],'Base Schedules'!$A$79:$AW$111,44,FALSE)),"")</f>
        <v/>
      </c>
      <c r="AT35" s="184" t="str">
        <f>IFERROR(IF(VLOOKUP(Sun_W2[[#This Row],[Employee Name]],'Base Schedules'!$A$79:$AW$111,45,FALSE)="","",VLOOKUP(Sun_W2[[#This Row],[Employee Name]],'Base Schedules'!$A$79:$AW$111,45,FALSE)),"")</f>
        <v/>
      </c>
      <c r="AU35" s="184" t="str">
        <f>IFERROR(IF(VLOOKUP(Sun_W2[[#This Row],[Employee Name]],'Base Schedules'!$A$79:$AW$111,46,FALSE)="","",VLOOKUP(Sun_W2[[#This Row],[Employee Name]],'Base Schedules'!$A$79:$AW$111,46,FALSE)),"")</f>
        <v/>
      </c>
      <c r="AV35" s="184" t="str">
        <f>IFERROR(IF(VLOOKUP(Sun_W2[[#This Row],[Employee Name]],'Base Schedules'!$A$79:$AW$111,47,FALSE)="","",VLOOKUP(Sun_W2[[#This Row],[Employee Name]],'Base Schedules'!$A$79:$AW$111,47,FALSE)),"")</f>
        <v/>
      </c>
      <c r="AW35" s="184" t="str">
        <f>IFERROR(IF(VLOOKUP(Sun_W2[[#This Row],[Employee Name]],'Base Schedules'!$A$79:$AW$111,48,FALSE)="","",VLOOKUP(Sun_W2[[#This Row],[Employee Name]],'Base Schedules'!$A$79:$AW$111,48,FALSE)),"")</f>
        <v/>
      </c>
      <c r="AX35" s="184" t="str">
        <f>IFERROR(IF(VLOOKUP(Sun_W2[[#This Row],[Employee Name]],'Base Schedules'!$A$79:$AW$111,49,FALSE)="","",VLOOKUP(Sun_W2[[#This Row],[Employee Name]],'Base Schedules'!$A$79:$AW$111,49,FALSE)),"")</f>
        <v/>
      </c>
      <c r="AY35" s="159" t="str">
        <f t="shared" si="2"/>
        <v/>
      </c>
    </row>
    <row r="36" spans="1:53" s="44" customFormat="1" ht="12" hidden="1" customHeight="1" x14ac:dyDescent="0.2">
      <c r="A36" s="39" t="str">
        <f>IF(B36="","",INDEX(TeamList[],MATCH($B36,TeamList[[Employee Name]:[Employee Name]],0),MATCH("Manager",TeamList[#Headers],0)))</f>
        <v/>
      </c>
      <c r="B36" s="202"/>
      <c r="C36" s="257" t="str">
        <f>_xlfn.IFNA(VLOOKUP(Sun_W2[[#This Row],[Employee Name]],'Base Schedules'!A:B,2,FALSE),"")</f>
        <v/>
      </c>
      <c r="D36" s="274" t="str">
        <f>_xlfn.IFNA(VLOOKUP(Sun_W2[[#This Row],[Employee Name]],'Base Schedules'!A:C,3,FALSE),"")</f>
        <v/>
      </c>
      <c r="E36" s="354" t="str">
        <f>_xlfn.IFNA(VLOOKUP(Sun_W2[[#This Row],[Employee Name]],'Base Schedules'!A:D,4,FALSE),"")</f>
        <v/>
      </c>
      <c r="F36" s="358" t="str">
        <f>IF(Sun_W2[[#This Row],[Employee Name]]="","",IF(Sun_W2[[#This Row],[Dept]]="Supervisor",COUNTIFS($J36:$AX36,"*HL*",$J36:$AX36,"&lt;&gt;"&amp;"pHL"),COUNTIFS($J36:$AX36,"*HL*",$J36:$AX36,"&lt;&gt;"&amp;"*pHL*",$J36:$AX36,"&lt;&gt;"&amp;"pB1 HL",$J36:$AX36,"&lt;&gt;"&amp;"pB2 HL")-SUM(COUNTIFS($J36:$AX36,"*HL B1*",$J36:$AX36,"&lt;&gt;"&amp;"pHL B1")*0.5,COUNTIFS($J36:$AX36,"*HL B2*",$J36:$AX36,"&lt;&gt;"&amp;"pHL B2")*0.5,COUNTIFS($J36:$AX36,"*B1 HL*",$J36:$AX36,"&lt;&gt;"&amp;"pB1 HL")*0.5,COUNTIFS($J36:$AX36,"*B2 HL*",$J36:$AX36,"&lt;&gt;"&amp;"pB2 HL")*0.5)))</f>
        <v/>
      </c>
      <c r="G36" s="142" t="str">
        <f t="shared" si="3"/>
        <v/>
      </c>
      <c r="H36" s="142" t="str">
        <f t="shared" si="1"/>
        <v/>
      </c>
      <c r="I36" s="142" t="str">
        <f>IF(Sun_W2[[#This Row],[Employee Name]]="","",IF(Sun_W2[[#This Row],[Dept]]="Supervisor",SUM(COUNTIFS($J36:$AX36,"RTA*",$J36:$AX36,"&lt;&gt;"&amp;"pRTA"),COUNTIFS($J36:$AX36,"*CRTA*",$J36:$AX36,"&lt;&gt;"&amp;"pCRTA")),COUNTIFS($J36:$AX36,"*RNNR*",$J36:$AX36,"&lt;&gt;"&amp;"*pRNNR*",$J36:$AX36,"&lt;&gt;"&amp;"pB1 RNNR",$J36:$AX36,"&lt;&gt;"&amp;"pB2 RNNR")-SUM(COUNTIFS($J36:$AX36,"*RNNR B1*",$J36:$AX36,"&lt;&gt;"&amp;"pRNNR B1")*0.5,COUNTIFS($J36:$AX36,"*RNNR B2*",$J36:$AX36,"&lt;&gt;"&amp;"pRNNR B2")*0.5,COUNTIFS($J36:$AX36,"*B1 RNNR*",$J36:$AX36,"&lt;&gt;"&amp;"pB1 RNNR")*0.5,COUNTIFS($J36:$AX36,"*B2 RNNR*",$J36:$AX36,"&lt;&gt;"&amp;"pB2 RNNR")*0.5)))</f>
        <v/>
      </c>
      <c r="J36" s="184" t="str">
        <f>IFERROR(IF(VLOOKUP(Sun_W2[[#This Row],[Employee Name]],'Base Schedules'!$A$79:$AW$111,9,FALSE)="","",VLOOKUP(Sun_W2[[#This Row],[Employee Name]],'Base Schedules'!$A$79:$AW$111,9,FALSE)),"")</f>
        <v/>
      </c>
      <c r="K36" s="184" t="str">
        <f>IFERROR(IF(VLOOKUP(Sun_W2[[#This Row],[Employee Name]],'Base Schedules'!$A$79:$AW$111,10,FALSE)="","",VLOOKUP(Sun_W2[[#This Row],[Employee Name]],'Base Schedules'!$A$79:$AW$111,10,FALSE)),"")</f>
        <v/>
      </c>
      <c r="L36" s="184" t="str">
        <f>IFERROR(IF(VLOOKUP(Sun_W2[[#This Row],[Employee Name]],'Base Schedules'!$A$79:$AW$111,11,FALSE)="","",VLOOKUP(Sun_W2[[#This Row],[Employee Name]],'Base Schedules'!$A$79:$AW$111,11,FALSE)),"")</f>
        <v/>
      </c>
      <c r="M36" s="184" t="str">
        <f>IFERROR(IF(VLOOKUP(Sun_W2[[#This Row],[Employee Name]],'Base Schedules'!$A$79:$AW$111,12,FALSE)="","",VLOOKUP(Sun_W2[[#This Row],[Employee Name]],'Base Schedules'!$A$79:$AW$111,12,FALSE)),"")</f>
        <v/>
      </c>
      <c r="N36" s="184" t="str">
        <f>IFERROR(IF(VLOOKUP(Sun_W2[[#This Row],[Employee Name]],'Base Schedules'!$A$79:$AW$111,13,FALSE)="","",VLOOKUP(Sun_W2[[#This Row],[Employee Name]],'Base Schedules'!$A$79:$AW$111,13,FALSE)),"")</f>
        <v/>
      </c>
      <c r="O36" s="184" t="str">
        <f>IFERROR(IF(VLOOKUP(Sun_W2[[#This Row],[Employee Name]],'Base Schedules'!$A$79:$AW$111,14,FALSE)="","",VLOOKUP(Sun_W2[[#This Row],[Employee Name]],'Base Schedules'!$A$79:$AW$111,14,FALSE)),"")</f>
        <v/>
      </c>
      <c r="P36" s="184" t="str">
        <f>IFERROR(IF(VLOOKUP(Sun_W2[[#This Row],[Employee Name]],'Base Schedules'!$A$79:$AW$111,15,FALSE)="","",VLOOKUP(Sun_W2[[#This Row],[Employee Name]],'Base Schedules'!$A$79:$AW$111,15,FALSE)),"")</f>
        <v/>
      </c>
      <c r="Q36" s="184" t="str">
        <f>IFERROR(IF(VLOOKUP(Sun_W2[[#This Row],[Employee Name]],'Base Schedules'!$A$79:$AW$111,16,FALSE)="","",VLOOKUP(Sun_W2[[#This Row],[Employee Name]],'Base Schedules'!$A$79:$AW$111,16,FALSE)),"")</f>
        <v/>
      </c>
      <c r="R36" s="184" t="str">
        <f>IFERROR(IF(VLOOKUP(Sun_W2[[#This Row],[Employee Name]],'Base Schedules'!$A$79:$AW$111,17,FALSE)="","",VLOOKUP(Sun_W2[[#This Row],[Employee Name]],'Base Schedules'!$A$79:$AW$111,17,FALSE)),"")</f>
        <v/>
      </c>
      <c r="S36" s="184" t="str">
        <f>IFERROR(IF(VLOOKUP(Sun_W2[[#This Row],[Employee Name]],'Base Schedules'!$A$79:$AW$111,18,FALSE)="","",VLOOKUP(Sun_W2[[#This Row],[Employee Name]],'Base Schedules'!$A$79:$AW$111,18,FALSE)),"")</f>
        <v/>
      </c>
      <c r="T36" s="184" t="str">
        <f>IFERROR(IF(VLOOKUP(Sun_W2[[#This Row],[Employee Name]],'Base Schedules'!$A$79:$AW$111,19,FALSE)="","",VLOOKUP(Sun_W2[[#This Row],[Employee Name]],'Base Schedules'!$A$79:$AW$111,19,FALSE)),"")</f>
        <v/>
      </c>
      <c r="U36" s="184" t="str">
        <f>IFERROR(IF(VLOOKUP(Sun_W2[[#This Row],[Employee Name]],'Base Schedules'!$A$79:$AW$111,20,FALSE)="","",VLOOKUP(Sun_W2[[#This Row],[Employee Name]],'Base Schedules'!$A$79:$AW$111,20,FALSE)),"")</f>
        <v/>
      </c>
      <c r="V36" s="184" t="str">
        <f>IFERROR(IF(VLOOKUP(Sun_W2[[#This Row],[Employee Name]],'Base Schedules'!$A$79:$AW$111,21,FALSE)="","",VLOOKUP(Sun_W2[[#This Row],[Employee Name]],'Base Schedules'!$A$79:$AW$111,21,FALSE)),"")</f>
        <v/>
      </c>
      <c r="W36" s="184" t="str">
        <f>IFERROR(IF(VLOOKUP(Sun_W2[[#This Row],[Employee Name]],'Base Schedules'!$A$79:$AW$111,22,FALSE)="","",VLOOKUP(Sun_W2[[#This Row],[Employee Name]],'Base Schedules'!$A$79:$AW$111,22,FALSE)),"")</f>
        <v/>
      </c>
      <c r="X36" s="184" t="str">
        <f>IFERROR(IF(VLOOKUP(Sun_W2[[#This Row],[Employee Name]],'Base Schedules'!$A$79:$AW$111,23,FALSE)="","",VLOOKUP(Sun_W2[[#This Row],[Employee Name]],'Base Schedules'!$A$79:$AW$111,23,FALSE)),"")</f>
        <v/>
      </c>
      <c r="Y36" s="184" t="str">
        <f>IFERROR(IF(VLOOKUP(Sun_W2[[#This Row],[Employee Name]],'Base Schedules'!$A$79:$AW$111,24,FALSE)="","",VLOOKUP(Sun_W2[[#This Row],[Employee Name]],'Base Schedules'!$A$79:$AW$111,24,FALSE)),"")</f>
        <v/>
      </c>
      <c r="Z36" s="184" t="str">
        <f>IFERROR(IF(VLOOKUP(Sun_W2[[#This Row],[Employee Name]],'Base Schedules'!$A$79:$AW$111,25,FALSE)="","",VLOOKUP(Sun_W2[[#This Row],[Employee Name]],'Base Schedules'!$A$79:$AW$111,25,FALSE)),"")</f>
        <v/>
      </c>
      <c r="AA36" s="184" t="str">
        <f>IFERROR(IF(VLOOKUP(Sun_W2[[#This Row],[Employee Name]],'Base Schedules'!$A$79:$AW$111,26,FALSE)="","",VLOOKUP(Sun_W2[[#This Row],[Employee Name]],'Base Schedules'!$A$79:$AW$111,26,FALSE)),"")</f>
        <v/>
      </c>
      <c r="AB36" s="184" t="str">
        <f>IFERROR(IF(VLOOKUP(Sun_W2[[#This Row],[Employee Name]],'Base Schedules'!$A$79:$AW$111,27,FALSE)="","",VLOOKUP(Sun_W2[[#This Row],[Employee Name]],'Base Schedules'!$A$79:$AW$111,27,FALSE)),"")</f>
        <v/>
      </c>
      <c r="AC36" s="184" t="str">
        <f>IFERROR(IF(VLOOKUP(Sun_W2[[#This Row],[Employee Name]],'Base Schedules'!$A$79:$AW$111,28,FALSE)="","",VLOOKUP(Sun_W2[[#This Row],[Employee Name]],'Base Schedules'!$A$79:$AW$111,28,FALSE)),"")</f>
        <v/>
      </c>
      <c r="AD36" s="184" t="str">
        <f>IFERROR(IF(VLOOKUP(Sun_W2[[#This Row],[Employee Name]],'Base Schedules'!$A$79:$AW$111,29,FALSE)="","",VLOOKUP(Sun_W2[[#This Row],[Employee Name]],'Base Schedules'!$A$79:$AW$111,29,FALSE)),"")</f>
        <v/>
      </c>
      <c r="AE36" s="184" t="str">
        <f>IFERROR(IF(VLOOKUP(Sun_W2[[#This Row],[Employee Name]],'Base Schedules'!$A$79:$AW$111,30,FALSE)="","",VLOOKUP(Sun_W2[[#This Row],[Employee Name]],'Base Schedules'!$A$79:$AW$111,30,FALSE)),"")</f>
        <v/>
      </c>
      <c r="AF36" s="184" t="str">
        <f>IFERROR(IF(VLOOKUP(Sun_W2[[#This Row],[Employee Name]],'Base Schedules'!$A$79:$AW$111,31,FALSE)="","",VLOOKUP(Sun_W2[[#This Row],[Employee Name]],'Base Schedules'!$A$79:$AW$111,31,FALSE)),"")</f>
        <v/>
      </c>
      <c r="AG36" s="184" t="str">
        <f>IFERROR(IF(VLOOKUP(Sun_W2[[#This Row],[Employee Name]],'Base Schedules'!$A$79:$AW$111,32,FALSE)="","",VLOOKUP(Sun_W2[[#This Row],[Employee Name]],'Base Schedules'!$A$79:$AW$111,32,FALSE)),"")</f>
        <v/>
      </c>
      <c r="AH36" s="184" t="str">
        <f>IFERROR(IF(VLOOKUP(Sun_W2[[#This Row],[Employee Name]],'Base Schedules'!$A$79:$AW$111,33,FALSE)="","",VLOOKUP(Sun_W2[[#This Row],[Employee Name]],'Base Schedules'!$A$79:$AW$111,33,FALSE)),"")</f>
        <v/>
      </c>
      <c r="AI36" s="184" t="str">
        <f>IFERROR(IF(VLOOKUP(Sun_W2[[#This Row],[Employee Name]],'Base Schedules'!$A$79:$AW$111,34,FALSE)="","",VLOOKUP(Sun_W2[[#This Row],[Employee Name]],'Base Schedules'!$A$79:$AW$111,34,FALSE)),"")</f>
        <v/>
      </c>
      <c r="AJ36" s="184" t="str">
        <f>IFERROR(IF(VLOOKUP(Sun_W2[[#This Row],[Employee Name]],'Base Schedules'!$A$79:$AW$111,35,FALSE)="","",VLOOKUP(Sun_W2[[#This Row],[Employee Name]],'Base Schedules'!$A$79:$AW$111,35,FALSE)),"")</f>
        <v/>
      </c>
      <c r="AK36" s="184" t="str">
        <f>IFERROR(IF(VLOOKUP(Sun_W2[[#This Row],[Employee Name]],'Base Schedules'!$A$79:$AW$111,36,FALSE)="","",VLOOKUP(Sun_W2[[#This Row],[Employee Name]],'Base Schedules'!$A$79:$AW$111,36,FALSE)),"")</f>
        <v/>
      </c>
      <c r="AL36" s="184" t="str">
        <f>IFERROR(IF(VLOOKUP(Sun_W2[[#This Row],[Employee Name]],'Base Schedules'!$A$79:$AW$111,37,FALSE)="","",VLOOKUP(Sun_W2[[#This Row],[Employee Name]],'Base Schedules'!$A$79:$AW$111,37,FALSE)),"")</f>
        <v/>
      </c>
      <c r="AM36" s="184" t="str">
        <f>IFERROR(IF(VLOOKUP(Sun_W2[[#This Row],[Employee Name]],'Base Schedules'!$A$79:$AW$111,38,FALSE)="","",VLOOKUP(Sun_W2[[#This Row],[Employee Name]],'Base Schedules'!$A$79:$AW$111,38,FALSE)),"")</f>
        <v/>
      </c>
      <c r="AN36" s="184" t="str">
        <f>IFERROR(IF(VLOOKUP(Sun_W2[[#This Row],[Employee Name]],'Base Schedules'!$A$79:$AW$111,39,FALSE)="","",VLOOKUP(Sun_W2[[#This Row],[Employee Name]],'Base Schedules'!$A$79:$AW$111,39,FALSE)),"")</f>
        <v/>
      </c>
      <c r="AO36" s="184" t="str">
        <f>IFERROR(IF(VLOOKUP(Sun_W2[[#This Row],[Employee Name]],'Base Schedules'!$A$79:$AW$111,40,FALSE)="","",VLOOKUP(Sun_W2[[#This Row],[Employee Name]],'Base Schedules'!$A$79:$AW$111,40,FALSE)),"")</f>
        <v/>
      </c>
      <c r="AP36" s="184" t="str">
        <f>IFERROR(IF(VLOOKUP(Sun_W2[[#This Row],[Employee Name]],'Base Schedules'!$A$79:$AW$111,41,FALSE)="","",VLOOKUP(Sun_W2[[#This Row],[Employee Name]],'Base Schedules'!$A$79:$AW$111,41,FALSE)),"")</f>
        <v/>
      </c>
      <c r="AQ36" s="184" t="str">
        <f>IFERROR(IF(VLOOKUP(Sun_W2[[#This Row],[Employee Name]],'Base Schedules'!$A$79:$AW$111,42,FALSE)="","",VLOOKUP(Sun_W2[[#This Row],[Employee Name]],'Base Schedules'!$A$79:$AW$111,42,FALSE)),"")</f>
        <v/>
      </c>
      <c r="AR36" s="184" t="str">
        <f>IFERROR(IF(VLOOKUP(Sun_W2[[#This Row],[Employee Name]],'Base Schedules'!$A$79:$AW$111,43,FALSE)="","",VLOOKUP(Sun_W2[[#This Row],[Employee Name]],'Base Schedules'!$A$79:$AW$111,43,FALSE)),"")</f>
        <v/>
      </c>
      <c r="AS36" s="184" t="str">
        <f>IFERROR(IF(VLOOKUP(Sun_W2[[#This Row],[Employee Name]],'Base Schedules'!$A$79:$AW$111,44,FALSE)="","",VLOOKUP(Sun_W2[[#This Row],[Employee Name]],'Base Schedules'!$A$79:$AW$111,44,FALSE)),"")</f>
        <v/>
      </c>
      <c r="AT36" s="184" t="str">
        <f>IFERROR(IF(VLOOKUP(Sun_W2[[#This Row],[Employee Name]],'Base Schedules'!$A$79:$AW$111,45,FALSE)="","",VLOOKUP(Sun_W2[[#This Row],[Employee Name]],'Base Schedules'!$A$79:$AW$111,45,FALSE)),"")</f>
        <v/>
      </c>
      <c r="AU36" s="184" t="str">
        <f>IFERROR(IF(VLOOKUP(Sun_W2[[#This Row],[Employee Name]],'Base Schedules'!$A$79:$AW$111,46,FALSE)="","",VLOOKUP(Sun_W2[[#This Row],[Employee Name]],'Base Schedules'!$A$79:$AW$111,46,FALSE)),"")</f>
        <v/>
      </c>
      <c r="AV36" s="184" t="str">
        <f>IFERROR(IF(VLOOKUP(Sun_W2[[#This Row],[Employee Name]],'Base Schedules'!$A$79:$AW$111,47,FALSE)="","",VLOOKUP(Sun_W2[[#This Row],[Employee Name]],'Base Schedules'!$A$79:$AW$111,47,FALSE)),"")</f>
        <v/>
      </c>
      <c r="AW36" s="184" t="str">
        <f>IFERROR(IF(VLOOKUP(Sun_W2[[#This Row],[Employee Name]],'Base Schedules'!$A$79:$AW$111,48,FALSE)="","",VLOOKUP(Sun_W2[[#This Row],[Employee Name]],'Base Schedules'!$A$79:$AW$111,48,FALSE)),"")</f>
        <v/>
      </c>
      <c r="AX36" s="184" t="str">
        <f>IFERROR(IF(VLOOKUP(Sun_W2[[#This Row],[Employee Name]],'Base Schedules'!$A$79:$AW$111,49,FALSE)="","",VLOOKUP(Sun_W2[[#This Row],[Employee Name]],'Base Schedules'!$A$79:$AW$111,49,FALSE)),"")</f>
        <v/>
      </c>
      <c r="AY36" s="159" t="str">
        <f t="shared" si="2"/>
        <v/>
      </c>
    </row>
    <row r="37" spans="1:53" s="44" customFormat="1" ht="12" hidden="1" customHeight="1" x14ac:dyDescent="0.2">
      <c r="A37" s="39" t="str">
        <f>IF(B37="","",INDEX(TeamList[],MATCH($B37,TeamList[[Employee Name]:[Employee Name]],0),MATCH("Manager",TeamList[#Headers],0)))</f>
        <v/>
      </c>
      <c r="B37" s="201"/>
      <c r="C37" s="257" t="str">
        <f>_xlfn.IFNA(VLOOKUP(Sun_W2[[#This Row],[Employee Name]],'Base Schedules'!A:B,2,FALSE),"")</f>
        <v/>
      </c>
      <c r="D37" s="274" t="str">
        <f>_xlfn.IFNA(VLOOKUP(Sun_W2[[#This Row],[Employee Name]],'Base Schedules'!A:C,3,FALSE),"")</f>
        <v/>
      </c>
      <c r="E37" s="354" t="str">
        <f>_xlfn.IFNA(VLOOKUP(Sun_W2[[#This Row],[Employee Name]],'Base Schedules'!A:D,4,FALSE),"")</f>
        <v/>
      </c>
      <c r="F37" s="358" t="str">
        <f>IF(Sun_W2[[#This Row],[Employee Name]]="","",IF(Sun_W2[[#This Row],[Dept]]="Supervisor",COUNTIFS($J37:$AX37,"*HL*",$J37:$AX37,"&lt;&gt;"&amp;"pHL"),COUNTIFS($J37:$AX37,"*HL*",$J37:$AX37,"&lt;&gt;"&amp;"*pHL*",$J37:$AX37,"&lt;&gt;"&amp;"pB1 HL",$J37:$AX37,"&lt;&gt;"&amp;"pB2 HL")-SUM(COUNTIFS($J37:$AX37,"*HL B1*",$J37:$AX37,"&lt;&gt;"&amp;"pHL B1")*0.5,COUNTIFS($J37:$AX37,"*HL B2*",$J37:$AX37,"&lt;&gt;"&amp;"pHL B2")*0.5,COUNTIFS($J37:$AX37,"*B1 HL*",$J37:$AX37,"&lt;&gt;"&amp;"pB1 HL")*0.5,COUNTIFS($J37:$AX37,"*B2 HL*",$J37:$AX37,"&lt;&gt;"&amp;"pB2 HL")*0.5)))</f>
        <v/>
      </c>
      <c r="G37" s="142" t="str">
        <f t="shared" si="3"/>
        <v/>
      </c>
      <c r="H37" s="142" t="str">
        <f t="shared" si="1"/>
        <v/>
      </c>
      <c r="I37" s="142" t="str">
        <f>IF(Sun_W2[[#This Row],[Employee Name]]="","",IF(Sun_W2[[#This Row],[Dept]]="Supervisor",SUM(COUNTIFS($J37:$AX37,"RTA*",$J37:$AX37,"&lt;&gt;"&amp;"pRTA"),COUNTIFS($J37:$AX37,"*CRTA*",$J37:$AX37,"&lt;&gt;"&amp;"pCRTA")),COUNTIFS($J37:$AX37,"*RNNR*",$J37:$AX37,"&lt;&gt;"&amp;"*pRNNR*",$J37:$AX37,"&lt;&gt;"&amp;"pB1 RNNR",$J37:$AX37,"&lt;&gt;"&amp;"pB2 RNNR")-SUM(COUNTIFS($J37:$AX37,"*RNNR B1*",$J37:$AX37,"&lt;&gt;"&amp;"pRNNR B1")*0.5,COUNTIFS($J37:$AX37,"*RNNR B2*",$J37:$AX37,"&lt;&gt;"&amp;"pRNNR B2")*0.5,COUNTIFS($J37:$AX37,"*B1 RNNR*",$J37:$AX37,"&lt;&gt;"&amp;"pB1 RNNR")*0.5,COUNTIFS($J37:$AX37,"*B2 RNNR*",$J37:$AX37,"&lt;&gt;"&amp;"pB2 RNNR")*0.5)))</f>
        <v/>
      </c>
      <c r="J37" s="184" t="str">
        <f>IFERROR(IF(VLOOKUP(Sun_W2[[#This Row],[Employee Name]],'Base Schedules'!$A$79:$AW$111,9,FALSE)="","",VLOOKUP(Sun_W2[[#This Row],[Employee Name]],'Base Schedules'!$A$79:$AW$111,9,FALSE)),"")</f>
        <v/>
      </c>
      <c r="K37" s="184" t="str">
        <f>IFERROR(IF(VLOOKUP(Sun_W2[[#This Row],[Employee Name]],'Base Schedules'!$A$79:$AW$111,10,FALSE)="","",VLOOKUP(Sun_W2[[#This Row],[Employee Name]],'Base Schedules'!$A$79:$AW$111,10,FALSE)),"")</f>
        <v/>
      </c>
      <c r="L37" s="184" t="str">
        <f>IFERROR(IF(VLOOKUP(Sun_W2[[#This Row],[Employee Name]],'Base Schedules'!$A$79:$AW$111,11,FALSE)="","",VLOOKUP(Sun_W2[[#This Row],[Employee Name]],'Base Schedules'!$A$79:$AW$111,11,FALSE)),"")</f>
        <v/>
      </c>
      <c r="M37" s="184" t="str">
        <f>IFERROR(IF(VLOOKUP(Sun_W2[[#This Row],[Employee Name]],'Base Schedules'!$A$79:$AW$111,12,FALSE)="","",VLOOKUP(Sun_W2[[#This Row],[Employee Name]],'Base Schedules'!$A$79:$AW$111,12,FALSE)),"")</f>
        <v/>
      </c>
      <c r="N37" s="184" t="str">
        <f>IFERROR(IF(VLOOKUP(Sun_W2[[#This Row],[Employee Name]],'Base Schedules'!$A$79:$AW$111,13,FALSE)="","",VLOOKUP(Sun_W2[[#This Row],[Employee Name]],'Base Schedules'!$A$79:$AW$111,13,FALSE)),"")</f>
        <v/>
      </c>
      <c r="O37" s="184" t="str">
        <f>IFERROR(IF(VLOOKUP(Sun_W2[[#This Row],[Employee Name]],'Base Schedules'!$A$79:$AW$111,14,FALSE)="","",VLOOKUP(Sun_W2[[#This Row],[Employee Name]],'Base Schedules'!$A$79:$AW$111,14,FALSE)),"")</f>
        <v/>
      </c>
      <c r="P37" s="184" t="str">
        <f>IFERROR(IF(VLOOKUP(Sun_W2[[#This Row],[Employee Name]],'Base Schedules'!$A$79:$AW$111,15,FALSE)="","",VLOOKUP(Sun_W2[[#This Row],[Employee Name]],'Base Schedules'!$A$79:$AW$111,15,FALSE)),"")</f>
        <v/>
      </c>
      <c r="Q37" s="184" t="str">
        <f>IFERROR(IF(VLOOKUP(Sun_W2[[#This Row],[Employee Name]],'Base Schedules'!$A$79:$AW$111,16,FALSE)="","",VLOOKUP(Sun_W2[[#This Row],[Employee Name]],'Base Schedules'!$A$79:$AW$111,16,FALSE)),"")</f>
        <v/>
      </c>
      <c r="R37" s="184" t="str">
        <f>IFERROR(IF(VLOOKUP(Sun_W2[[#This Row],[Employee Name]],'Base Schedules'!$A$79:$AW$111,17,FALSE)="","",VLOOKUP(Sun_W2[[#This Row],[Employee Name]],'Base Schedules'!$A$79:$AW$111,17,FALSE)),"")</f>
        <v/>
      </c>
      <c r="S37" s="184" t="str">
        <f>IFERROR(IF(VLOOKUP(Sun_W2[[#This Row],[Employee Name]],'Base Schedules'!$A$79:$AW$111,18,FALSE)="","",VLOOKUP(Sun_W2[[#This Row],[Employee Name]],'Base Schedules'!$A$79:$AW$111,18,FALSE)),"")</f>
        <v/>
      </c>
      <c r="T37" s="184" t="str">
        <f>IFERROR(IF(VLOOKUP(Sun_W2[[#This Row],[Employee Name]],'Base Schedules'!$A$79:$AW$111,19,FALSE)="","",VLOOKUP(Sun_W2[[#This Row],[Employee Name]],'Base Schedules'!$A$79:$AW$111,19,FALSE)),"")</f>
        <v/>
      </c>
      <c r="U37" s="184" t="str">
        <f>IFERROR(IF(VLOOKUP(Sun_W2[[#This Row],[Employee Name]],'Base Schedules'!$A$79:$AW$111,20,FALSE)="","",VLOOKUP(Sun_W2[[#This Row],[Employee Name]],'Base Schedules'!$A$79:$AW$111,20,FALSE)),"")</f>
        <v/>
      </c>
      <c r="V37" s="184" t="str">
        <f>IFERROR(IF(VLOOKUP(Sun_W2[[#This Row],[Employee Name]],'Base Schedules'!$A$79:$AW$111,21,FALSE)="","",VLOOKUP(Sun_W2[[#This Row],[Employee Name]],'Base Schedules'!$A$79:$AW$111,21,FALSE)),"")</f>
        <v/>
      </c>
      <c r="W37" s="184" t="str">
        <f>IFERROR(IF(VLOOKUP(Sun_W2[[#This Row],[Employee Name]],'Base Schedules'!$A$79:$AW$111,22,FALSE)="","",VLOOKUP(Sun_W2[[#This Row],[Employee Name]],'Base Schedules'!$A$79:$AW$111,22,FALSE)),"")</f>
        <v/>
      </c>
      <c r="X37" s="184" t="str">
        <f>IFERROR(IF(VLOOKUP(Sun_W2[[#This Row],[Employee Name]],'Base Schedules'!$A$79:$AW$111,23,FALSE)="","",VLOOKUP(Sun_W2[[#This Row],[Employee Name]],'Base Schedules'!$A$79:$AW$111,23,FALSE)),"")</f>
        <v/>
      </c>
      <c r="Y37" s="184" t="str">
        <f>IFERROR(IF(VLOOKUP(Sun_W2[[#This Row],[Employee Name]],'Base Schedules'!$A$79:$AW$111,24,FALSE)="","",VLOOKUP(Sun_W2[[#This Row],[Employee Name]],'Base Schedules'!$A$79:$AW$111,24,FALSE)),"")</f>
        <v/>
      </c>
      <c r="Z37" s="184" t="str">
        <f>IFERROR(IF(VLOOKUP(Sun_W2[[#This Row],[Employee Name]],'Base Schedules'!$A$79:$AW$111,25,FALSE)="","",VLOOKUP(Sun_W2[[#This Row],[Employee Name]],'Base Schedules'!$A$79:$AW$111,25,FALSE)),"")</f>
        <v/>
      </c>
      <c r="AA37" s="184" t="str">
        <f>IFERROR(IF(VLOOKUP(Sun_W2[[#This Row],[Employee Name]],'Base Schedules'!$A$79:$AW$111,26,FALSE)="","",VLOOKUP(Sun_W2[[#This Row],[Employee Name]],'Base Schedules'!$A$79:$AW$111,26,FALSE)),"")</f>
        <v/>
      </c>
      <c r="AB37" s="184" t="str">
        <f>IFERROR(IF(VLOOKUP(Sun_W2[[#This Row],[Employee Name]],'Base Schedules'!$A$79:$AW$111,27,FALSE)="","",VLOOKUP(Sun_W2[[#This Row],[Employee Name]],'Base Schedules'!$A$79:$AW$111,27,FALSE)),"")</f>
        <v/>
      </c>
      <c r="AC37" s="184" t="str">
        <f>IFERROR(IF(VLOOKUP(Sun_W2[[#This Row],[Employee Name]],'Base Schedules'!$A$79:$AW$111,28,FALSE)="","",VLOOKUP(Sun_W2[[#This Row],[Employee Name]],'Base Schedules'!$A$79:$AW$111,28,FALSE)),"")</f>
        <v/>
      </c>
      <c r="AD37" s="184" t="str">
        <f>IFERROR(IF(VLOOKUP(Sun_W2[[#This Row],[Employee Name]],'Base Schedules'!$A$79:$AW$111,29,FALSE)="","",VLOOKUP(Sun_W2[[#This Row],[Employee Name]],'Base Schedules'!$A$79:$AW$111,29,FALSE)),"")</f>
        <v/>
      </c>
      <c r="AE37" s="184" t="str">
        <f>IFERROR(IF(VLOOKUP(Sun_W2[[#This Row],[Employee Name]],'Base Schedules'!$A$79:$AW$111,30,FALSE)="","",VLOOKUP(Sun_W2[[#This Row],[Employee Name]],'Base Schedules'!$A$79:$AW$111,30,FALSE)),"")</f>
        <v/>
      </c>
      <c r="AF37" s="184" t="str">
        <f>IFERROR(IF(VLOOKUP(Sun_W2[[#This Row],[Employee Name]],'Base Schedules'!$A$79:$AW$111,31,FALSE)="","",VLOOKUP(Sun_W2[[#This Row],[Employee Name]],'Base Schedules'!$A$79:$AW$111,31,FALSE)),"")</f>
        <v/>
      </c>
      <c r="AG37" s="184" t="str">
        <f>IFERROR(IF(VLOOKUP(Sun_W2[[#This Row],[Employee Name]],'Base Schedules'!$A$79:$AW$111,32,FALSE)="","",VLOOKUP(Sun_W2[[#This Row],[Employee Name]],'Base Schedules'!$A$79:$AW$111,32,FALSE)),"")</f>
        <v/>
      </c>
      <c r="AH37" s="184" t="str">
        <f>IFERROR(IF(VLOOKUP(Sun_W2[[#This Row],[Employee Name]],'Base Schedules'!$A$79:$AW$111,33,FALSE)="","",VLOOKUP(Sun_W2[[#This Row],[Employee Name]],'Base Schedules'!$A$79:$AW$111,33,FALSE)),"")</f>
        <v/>
      </c>
      <c r="AI37" s="184" t="str">
        <f>IFERROR(IF(VLOOKUP(Sun_W2[[#This Row],[Employee Name]],'Base Schedules'!$A$79:$AW$111,34,FALSE)="","",VLOOKUP(Sun_W2[[#This Row],[Employee Name]],'Base Schedules'!$A$79:$AW$111,34,FALSE)),"")</f>
        <v/>
      </c>
      <c r="AJ37" s="184" t="str">
        <f>IFERROR(IF(VLOOKUP(Sun_W2[[#This Row],[Employee Name]],'Base Schedules'!$A$79:$AW$111,35,FALSE)="","",VLOOKUP(Sun_W2[[#This Row],[Employee Name]],'Base Schedules'!$A$79:$AW$111,35,FALSE)),"")</f>
        <v/>
      </c>
      <c r="AK37" s="184" t="str">
        <f>IFERROR(IF(VLOOKUP(Sun_W2[[#This Row],[Employee Name]],'Base Schedules'!$A$79:$AW$111,36,FALSE)="","",VLOOKUP(Sun_W2[[#This Row],[Employee Name]],'Base Schedules'!$A$79:$AW$111,36,FALSE)),"")</f>
        <v/>
      </c>
      <c r="AL37" s="184" t="str">
        <f>IFERROR(IF(VLOOKUP(Sun_W2[[#This Row],[Employee Name]],'Base Schedules'!$A$79:$AW$111,37,FALSE)="","",VLOOKUP(Sun_W2[[#This Row],[Employee Name]],'Base Schedules'!$A$79:$AW$111,37,FALSE)),"")</f>
        <v/>
      </c>
      <c r="AM37" s="184" t="str">
        <f>IFERROR(IF(VLOOKUP(Sun_W2[[#This Row],[Employee Name]],'Base Schedules'!$A$79:$AW$111,38,FALSE)="","",VLOOKUP(Sun_W2[[#This Row],[Employee Name]],'Base Schedules'!$A$79:$AW$111,38,FALSE)),"")</f>
        <v/>
      </c>
      <c r="AN37" s="184" t="str">
        <f>IFERROR(IF(VLOOKUP(Sun_W2[[#This Row],[Employee Name]],'Base Schedules'!$A$79:$AW$111,39,FALSE)="","",VLOOKUP(Sun_W2[[#This Row],[Employee Name]],'Base Schedules'!$A$79:$AW$111,39,FALSE)),"")</f>
        <v/>
      </c>
      <c r="AO37" s="184" t="str">
        <f>IFERROR(IF(VLOOKUP(Sun_W2[[#This Row],[Employee Name]],'Base Schedules'!$A$79:$AW$111,40,FALSE)="","",VLOOKUP(Sun_W2[[#This Row],[Employee Name]],'Base Schedules'!$A$79:$AW$111,40,FALSE)),"")</f>
        <v/>
      </c>
      <c r="AP37" s="184" t="str">
        <f>IFERROR(IF(VLOOKUP(Sun_W2[[#This Row],[Employee Name]],'Base Schedules'!$A$79:$AW$111,41,FALSE)="","",VLOOKUP(Sun_W2[[#This Row],[Employee Name]],'Base Schedules'!$A$79:$AW$111,41,FALSE)),"")</f>
        <v/>
      </c>
      <c r="AQ37" s="184" t="str">
        <f>IFERROR(IF(VLOOKUP(Sun_W2[[#This Row],[Employee Name]],'Base Schedules'!$A$79:$AW$111,42,FALSE)="","",VLOOKUP(Sun_W2[[#This Row],[Employee Name]],'Base Schedules'!$A$79:$AW$111,42,FALSE)),"")</f>
        <v/>
      </c>
      <c r="AR37" s="184" t="str">
        <f>IFERROR(IF(VLOOKUP(Sun_W2[[#This Row],[Employee Name]],'Base Schedules'!$A$79:$AW$111,43,FALSE)="","",VLOOKUP(Sun_W2[[#This Row],[Employee Name]],'Base Schedules'!$A$79:$AW$111,43,FALSE)),"")</f>
        <v/>
      </c>
      <c r="AS37" s="184" t="str">
        <f>IFERROR(IF(VLOOKUP(Sun_W2[[#This Row],[Employee Name]],'Base Schedules'!$A$79:$AW$111,44,FALSE)="","",VLOOKUP(Sun_W2[[#This Row],[Employee Name]],'Base Schedules'!$A$79:$AW$111,44,FALSE)),"")</f>
        <v/>
      </c>
      <c r="AT37" s="184" t="str">
        <f>IFERROR(IF(VLOOKUP(Sun_W2[[#This Row],[Employee Name]],'Base Schedules'!$A$79:$AW$111,45,FALSE)="","",VLOOKUP(Sun_W2[[#This Row],[Employee Name]],'Base Schedules'!$A$79:$AW$111,45,FALSE)),"")</f>
        <v/>
      </c>
      <c r="AU37" s="184" t="str">
        <f>IFERROR(IF(VLOOKUP(Sun_W2[[#This Row],[Employee Name]],'Base Schedules'!$A$79:$AW$111,46,FALSE)="","",VLOOKUP(Sun_W2[[#This Row],[Employee Name]],'Base Schedules'!$A$79:$AW$111,46,FALSE)),"")</f>
        <v/>
      </c>
      <c r="AV37" s="184" t="str">
        <f>IFERROR(IF(VLOOKUP(Sun_W2[[#This Row],[Employee Name]],'Base Schedules'!$A$79:$AW$111,47,FALSE)="","",VLOOKUP(Sun_W2[[#This Row],[Employee Name]],'Base Schedules'!$A$79:$AW$111,47,FALSE)),"")</f>
        <v/>
      </c>
      <c r="AW37" s="184" t="str">
        <f>IFERROR(IF(VLOOKUP(Sun_W2[[#This Row],[Employee Name]],'Base Schedules'!$A$79:$AW$111,48,FALSE)="","",VLOOKUP(Sun_W2[[#This Row],[Employee Name]],'Base Schedules'!$A$79:$AW$111,48,FALSE)),"")</f>
        <v/>
      </c>
      <c r="AX37" s="184" t="str">
        <f>IFERROR(IF(VLOOKUP(Sun_W2[[#This Row],[Employee Name]],'Base Schedules'!$A$79:$AW$111,49,FALSE)="","",VLOOKUP(Sun_W2[[#This Row],[Employee Name]],'Base Schedules'!$A$79:$AW$111,49,FALSE)),"")</f>
        <v/>
      </c>
      <c r="AY37" s="159" t="str">
        <f t="shared" si="2"/>
        <v/>
      </c>
    </row>
    <row r="38" spans="1:53" s="44" customFormat="1" ht="12" hidden="1" customHeight="1" x14ac:dyDescent="0.2">
      <c r="A38" s="39" t="str">
        <f>IF(B38="","",INDEX(TeamList[],MATCH($B38,TeamList[[Employee Name]:[Employee Name]],0),MATCH("Manager",TeamList[#Headers],0)))</f>
        <v/>
      </c>
      <c r="B38" s="201"/>
      <c r="C38" s="257" t="str">
        <f>_xlfn.IFNA(VLOOKUP(Sun_W2[[#This Row],[Employee Name]],'Base Schedules'!A:B,2,FALSE),"")</f>
        <v/>
      </c>
      <c r="D38" s="274" t="str">
        <f>_xlfn.IFNA(VLOOKUP(Sun_W2[[#This Row],[Employee Name]],'Base Schedules'!A:C,3,FALSE),"")</f>
        <v/>
      </c>
      <c r="E38" s="354" t="str">
        <f>_xlfn.IFNA(VLOOKUP(Sun_W2[[#This Row],[Employee Name]],'Base Schedules'!A:D,4,FALSE),"")</f>
        <v/>
      </c>
      <c r="F38" s="358" t="str">
        <f>IF(Sun_W2[[#This Row],[Employee Name]]="","",IF(Sun_W2[[#This Row],[Dept]]="Supervisor",COUNTIFS($J38:$AX38,"*HL*",$J38:$AX38,"&lt;&gt;"&amp;"pHL"),COUNTIFS($J38:$AX38,"*HL*",$J38:$AX38,"&lt;&gt;"&amp;"*pHL*",$J38:$AX38,"&lt;&gt;"&amp;"pB1 HL",$J38:$AX38,"&lt;&gt;"&amp;"pB2 HL")-SUM(COUNTIFS($J38:$AX38,"*HL B1*",$J38:$AX38,"&lt;&gt;"&amp;"pHL B1")*0.5,COUNTIFS($J38:$AX38,"*HL B2*",$J38:$AX38,"&lt;&gt;"&amp;"pHL B2")*0.5,COUNTIFS($J38:$AX38,"*B1 HL*",$J38:$AX38,"&lt;&gt;"&amp;"pB1 HL")*0.5,COUNTIFS($J38:$AX38,"*B2 HL*",$J38:$AX38,"&lt;&gt;"&amp;"pB2 HL")*0.5)))</f>
        <v/>
      </c>
      <c r="G38" s="142" t="str">
        <f t="shared" si="3"/>
        <v/>
      </c>
      <c r="H38" s="142" t="str">
        <f t="shared" si="1"/>
        <v/>
      </c>
      <c r="I38" s="142" t="str">
        <f>IF(Sun_W2[[#This Row],[Employee Name]]="","",IF(Sun_W2[[#This Row],[Dept]]="Supervisor",SUM(COUNTIFS($J38:$AX38,"RTA*",$J38:$AX38,"&lt;&gt;"&amp;"pRTA"),COUNTIFS($J38:$AX38,"*CRTA*",$J38:$AX38,"&lt;&gt;"&amp;"pCRTA")),COUNTIFS($J38:$AX38,"*RNNR*",$J38:$AX38,"&lt;&gt;"&amp;"*pRNNR*",$J38:$AX38,"&lt;&gt;"&amp;"pB1 RNNR",$J38:$AX38,"&lt;&gt;"&amp;"pB2 RNNR")-SUM(COUNTIFS($J38:$AX38,"*RNNR B1*",$J38:$AX38,"&lt;&gt;"&amp;"pRNNR B1")*0.5,COUNTIFS($J38:$AX38,"*RNNR B2*",$J38:$AX38,"&lt;&gt;"&amp;"pRNNR B2")*0.5,COUNTIFS($J38:$AX38,"*B1 RNNR*",$J38:$AX38,"&lt;&gt;"&amp;"pB1 RNNR")*0.5,COUNTIFS($J38:$AX38,"*B2 RNNR*",$J38:$AX38,"&lt;&gt;"&amp;"pB2 RNNR")*0.5)))</f>
        <v/>
      </c>
      <c r="J38" s="184" t="str">
        <f>IFERROR(IF(VLOOKUP(Sun_W2[[#This Row],[Employee Name]],'Base Schedules'!$A$79:$AW$111,9,FALSE)="","",VLOOKUP(Sun_W2[[#This Row],[Employee Name]],'Base Schedules'!$A$79:$AW$111,9,FALSE)),"")</f>
        <v/>
      </c>
      <c r="K38" s="184" t="str">
        <f>IFERROR(IF(VLOOKUP(Sun_W2[[#This Row],[Employee Name]],'Base Schedules'!$A$79:$AW$111,10,FALSE)="","",VLOOKUP(Sun_W2[[#This Row],[Employee Name]],'Base Schedules'!$A$79:$AW$111,10,FALSE)),"")</f>
        <v/>
      </c>
      <c r="L38" s="184" t="str">
        <f>IFERROR(IF(VLOOKUP(Sun_W2[[#This Row],[Employee Name]],'Base Schedules'!$A$79:$AW$111,11,FALSE)="","",VLOOKUP(Sun_W2[[#This Row],[Employee Name]],'Base Schedules'!$A$79:$AW$111,11,FALSE)),"")</f>
        <v/>
      </c>
      <c r="M38" s="184" t="str">
        <f>IFERROR(IF(VLOOKUP(Sun_W2[[#This Row],[Employee Name]],'Base Schedules'!$A$79:$AW$111,12,FALSE)="","",VLOOKUP(Sun_W2[[#This Row],[Employee Name]],'Base Schedules'!$A$79:$AW$111,12,FALSE)),"")</f>
        <v/>
      </c>
      <c r="N38" s="184" t="str">
        <f>IFERROR(IF(VLOOKUP(Sun_W2[[#This Row],[Employee Name]],'Base Schedules'!$A$79:$AW$111,13,FALSE)="","",VLOOKUP(Sun_W2[[#This Row],[Employee Name]],'Base Schedules'!$A$79:$AW$111,13,FALSE)),"")</f>
        <v/>
      </c>
      <c r="O38" s="184" t="str">
        <f>IFERROR(IF(VLOOKUP(Sun_W2[[#This Row],[Employee Name]],'Base Schedules'!$A$79:$AW$111,14,FALSE)="","",VLOOKUP(Sun_W2[[#This Row],[Employee Name]],'Base Schedules'!$A$79:$AW$111,14,FALSE)),"")</f>
        <v/>
      </c>
      <c r="P38" s="184" t="str">
        <f>IFERROR(IF(VLOOKUP(Sun_W2[[#This Row],[Employee Name]],'Base Schedules'!$A$79:$AW$111,15,FALSE)="","",VLOOKUP(Sun_W2[[#This Row],[Employee Name]],'Base Schedules'!$A$79:$AW$111,15,FALSE)),"")</f>
        <v/>
      </c>
      <c r="Q38" s="184" t="str">
        <f>IFERROR(IF(VLOOKUP(Sun_W2[[#This Row],[Employee Name]],'Base Schedules'!$A$79:$AW$111,16,FALSE)="","",VLOOKUP(Sun_W2[[#This Row],[Employee Name]],'Base Schedules'!$A$79:$AW$111,16,FALSE)),"")</f>
        <v/>
      </c>
      <c r="R38" s="184" t="str">
        <f>IFERROR(IF(VLOOKUP(Sun_W2[[#This Row],[Employee Name]],'Base Schedules'!$A$79:$AW$111,17,FALSE)="","",VLOOKUP(Sun_W2[[#This Row],[Employee Name]],'Base Schedules'!$A$79:$AW$111,17,FALSE)),"")</f>
        <v/>
      </c>
      <c r="S38" s="184" t="str">
        <f>IFERROR(IF(VLOOKUP(Sun_W2[[#This Row],[Employee Name]],'Base Schedules'!$A$79:$AW$111,18,FALSE)="","",VLOOKUP(Sun_W2[[#This Row],[Employee Name]],'Base Schedules'!$A$79:$AW$111,18,FALSE)),"")</f>
        <v/>
      </c>
      <c r="T38" s="184" t="str">
        <f>IFERROR(IF(VLOOKUP(Sun_W2[[#This Row],[Employee Name]],'Base Schedules'!$A$79:$AW$111,19,FALSE)="","",VLOOKUP(Sun_W2[[#This Row],[Employee Name]],'Base Schedules'!$A$79:$AW$111,19,FALSE)),"")</f>
        <v/>
      </c>
      <c r="U38" s="184" t="str">
        <f>IFERROR(IF(VLOOKUP(Sun_W2[[#This Row],[Employee Name]],'Base Schedules'!$A$79:$AW$111,20,FALSE)="","",VLOOKUP(Sun_W2[[#This Row],[Employee Name]],'Base Schedules'!$A$79:$AW$111,20,FALSE)),"")</f>
        <v/>
      </c>
      <c r="V38" s="184" t="str">
        <f>IFERROR(IF(VLOOKUP(Sun_W2[[#This Row],[Employee Name]],'Base Schedules'!$A$79:$AW$111,21,FALSE)="","",VLOOKUP(Sun_W2[[#This Row],[Employee Name]],'Base Schedules'!$A$79:$AW$111,21,FALSE)),"")</f>
        <v/>
      </c>
      <c r="W38" s="184" t="str">
        <f>IFERROR(IF(VLOOKUP(Sun_W2[[#This Row],[Employee Name]],'Base Schedules'!$A$79:$AW$111,22,FALSE)="","",VLOOKUP(Sun_W2[[#This Row],[Employee Name]],'Base Schedules'!$A$79:$AW$111,22,FALSE)),"")</f>
        <v/>
      </c>
      <c r="X38" s="184" t="str">
        <f>IFERROR(IF(VLOOKUP(Sun_W2[[#This Row],[Employee Name]],'Base Schedules'!$A$79:$AW$111,23,FALSE)="","",VLOOKUP(Sun_W2[[#This Row],[Employee Name]],'Base Schedules'!$A$79:$AW$111,23,FALSE)),"")</f>
        <v/>
      </c>
      <c r="Y38" s="184" t="str">
        <f>IFERROR(IF(VLOOKUP(Sun_W2[[#This Row],[Employee Name]],'Base Schedules'!$A$79:$AW$111,24,FALSE)="","",VLOOKUP(Sun_W2[[#This Row],[Employee Name]],'Base Schedules'!$A$79:$AW$111,24,FALSE)),"")</f>
        <v/>
      </c>
      <c r="Z38" s="184" t="str">
        <f>IFERROR(IF(VLOOKUP(Sun_W2[[#This Row],[Employee Name]],'Base Schedules'!$A$79:$AW$111,25,FALSE)="","",VLOOKUP(Sun_W2[[#This Row],[Employee Name]],'Base Schedules'!$A$79:$AW$111,25,FALSE)),"")</f>
        <v/>
      </c>
      <c r="AA38" s="184" t="str">
        <f>IFERROR(IF(VLOOKUP(Sun_W2[[#This Row],[Employee Name]],'Base Schedules'!$A$79:$AW$111,26,FALSE)="","",VLOOKUP(Sun_W2[[#This Row],[Employee Name]],'Base Schedules'!$A$79:$AW$111,26,FALSE)),"")</f>
        <v/>
      </c>
      <c r="AB38" s="184" t="str">
        <f>IFERROR(IF(VLOOKUP(Sun_W2[[#This Row],[Employee Name]],'Base Schedules'!$A$79:$AW$111,27,FALSE)="","",VLOOKUP(Sun_W2[[#This Row],[Employee Name]],'Base Schedules'!$A$79:$AW$111,27,FALSE)),"")</f>
        <v/>
      </c>
      <c r="AC38" s="184" t="str">
        <f>IFERROR(IF(VLOOKUP(Sun_W2[[#This Row],[Employee Name]],'Base Schedules'!$A$79:$AW$111,28,FALSE)="","",VLOOKUP(Sun_W2[[#This Row],[Employee Name]],'Base Schedules'!$A$79:$AW$111,28,FALSE)),"")</f>
        <v/>
      </c>
      <c r="AD38" s="184" t="str">
        <f>IFERROR(IF(VLOOKUP(Sun_W2[[#This Row],[Employee Name]],'Base Schedules'!$A$79:$AW$111,29,FALSE)="","",VLOOKUP(Sun_W2[[#This Row],[Employee Name]],'Base Schedules'!$A$79:$AW$111,29,FALSE)),"")</f>
        <v/>
      </c>
      <c r="AE38" s="184" t="str">
        <f>IFERROR(IF(VLOOKUP(Sun_W2[[#This Row],[Employee Name]],'Base Schedules'!$A$79:$AW$111,30,FALSE)="","",VLOOKUP(Sun_W2[[#This Row],[Employee Name]],'Base Schedules'!$A$79:$AW$111,30,FALSE)),"")</f>
        <v/>
      </c>
      <c r="AF38" s="184" t="str">
        <f>IFERROR(IF(VLOOKUP(Sun_W2[[#This Row],[Employee Name]],'Base Schedules'!$A$79:$AW$111,31,FALSE)="","",VLOOKUP(Sun_W2[[#This Row],[Employee Name]],'Base Schedules'!$A$79:$AW$111,31,FALSE)),"")</f>
        <v/>
      </c>
      <c r="AG38" s="184" t="str">
        <f>IFERROR(IF(VLOOKUP(Sun_W2[[#This Row],[Employee Name]],'Base Schedules'!$A$79:$AW$111,32,FALSE)="","",VLOOKUP(Sun_W2[[#This Row],[Employee Name]],'Base Schedules'!$A$79:$AW$111,32,FALSE)),"")</f>
        <v/>
      </c>
      <c r="AH38" s="184" t="str">
        <f>IFERROR(IF(VLOOKUP(Sun_W2[[#This Row],[Employee Name]],'Base Schedules'!$A$79:$AW$111,33,FALSE)="","",VLOOKUP(Sun_W2[[#This Row],[Employee Name]],'Base Schedules'!$A$79:$AW$111,33,FALSE)),"")</f>
        <v/>
      </c>
      <c r="AI38" s="184" t="str">
        <f>IFERROR(IF(VLOOKUP(Sun_W2[[#This Row],[Employee Name]],'Base Schedules'!$A$79:$AW$111,34,FALSE)="","",VLOOKUP(Sun_W2[[#This Row],[Employee Name]],'Base Schedules'!$A$79:$AW$111,34,FALSE)),"")</f>
        <v/>
      </c>
      <c r="AJ38" s="184" t="str">
        <f>IFERROR(IF(VLOOKUP(Sun_W2[[#This Row],[Employee Name]],'Base Schedules'!$A$79:$AW$111,35,FALSE)="","",VLOOKUP(Sun_W2[[#This Row],[Employee Name]],'Base Schedules'!$A$79:$AW$111,35,FALSE)),"")</f>
        <v/>
      </c>
      <c r="AK38" s="184" t="str">
        <f>IFERROR(IF(VLOOKUP(Sun_W2[[#This Row],[Employee Name]],'Base Schedules'!$A$79:$AW$111,36,FALSE)="","",VLOOKUP(Sun_W2[[#This Row],[Employee Name]],'Base Schedules'!$A$79:$AW$111,36,FALSE)),"")</f>
        <v/>
      </c>
      <c r="AL38" s="184" t="str">
        <f>IFERROR(IF(VLOOKUP(Sun_W2[[#This Row],[Employee Name]],'Base Schedules'!$A$79:$AW$111,37,FALSE)="","",VLOOKUP(Sun_W2[[#This Row],[Employee Name]],'Base Schedules'!$A$79:$AW$111,37,FALSE)),"")</f>
        <v/>
      </c>
      <c r="AM38" s="184" t="str">
        <f>IFERROR(IF(VLOOKUP(Sun_W2[[#This Row],[Employee Name]],'Base Schedules'!$A$79:$AW$111,38,FALSE)="","",VLOOKUP(Sun_W2[[#This Row],[Employee Name]],'Base Schedules'!$A$79:$AW$111,38,FALSE)),"")</f>
        <v/>
      </c>
      <c r="AN38" s="184" t="str">
        <f>IFERROR(IF(VLOOKUP(Sun_W2[[#This Row],[Employee Name]],'Base Schedules'!$A$79:$AW$111,39,FALSE)="","",VLOOKUP(Sun_W2[[#This Row],[Employee Name]],'Base Schedules'!$A$79:$AW$111,39,FALSE)),"")</f>
        <v/>
      </c>
      <c r="AO38" s="184" t="str">
        <f>IFERROR(IF(VLOOKUP(Sun_W2[[#This Row],[Employee Name]],'Base Schedules'!$A$79:$AW$111,40,FALSE)="","",VLOOKUP(Sun_W2[[#This Row],[Employee Name]],'Base Schedules'!$A$79:$AW$111,40,FALSE)),"")</f>
        <v/>
      </c>
      <c r="AP38" s="184" t="str">
        <f>IFERROR(IF(VLOOKUP(Sun_W2[[#This Row],[Employee Name]],'Base Schedules'!$A$79:$AW$111,41,FALSE)="","",VLOOKUP(Sun_W2[[#This Row],[Employee Name]],'Base Schedules'!$A$79:$AW$111,41,FALSE)),"")</f>
        <v/>
      </c>
      <c r="AQ38" s="184" t="str">
        <f>IFERROR(IF(VLOOKUP(Sun_W2[[#This Row],[Employee Name]],'Base Schedules'!$A$79:$AW$111,42,FALSE)="","",VLOOKUP(Sun_W2[[#This Row],[Employee Name]],'Base Schedules'!$A$79:$AW$111,42,FALSE)),"")</f>
        <v/>
      </c>
      <c r="AR38" s="184" t="str">
        <f>IFERROR(IF(VLOOKUP(Sun_W2[[#This Row],[Employee Name]],'Base Schedules'!$A$79:$AW$111,43,FALSE)="","",VLOOKUP(Sun_W2[[#This Row],[Employee Name]],'Base Schedules'!$A$79:$AW$111,43,FALSE)),"")</f>
        <v/>
      </c>
      <c r="AS38" s="184" t="str">
        <f>IFERROR(IF(VLOOKUP(Sun_W2[[#This Row],[Employee Name]],'Base Schedules'!$A$79:$AW$111,44,FALSE)="","",VLOOKUP(Sun_W2[[#This Row],[Employee Name]],'Base Schedules'!$A$79:$AW$111,44,FALSE)),"")</f>
        <v/>
      </c>
      <c r="AT38" s="184" t="str">
        <f>IFERROR(IF(VLOOKUP(Sun_W2[[#This Row],[Employee Name]],'Base Schedules'!$A$79:$AW$111,45,FALSE)="","",VLOOKUP(Sun_W2[[#This Row],[Employee Name]],'Base Schedules'!$A$79:$AW$111,45,FALSE)),"")</f>
        <v/>
      </c>
      <c r="AU38" s="184" t="str">
        <f>IFERROR(IF(VLOOKUP(Sun_W2[[#This Row],[Employee Name]],'Base Schedules'!$A$79:$AW$111,46,FALSE)="","",VLOOKUP(Sun_W2[[#This Row],[Employee Name]],'Base Schedules'!$A$79:$AW$111,46,FALSE)),"")</f>
        <v/>
      </c>
      <c r="AV38" s="184" t="str">
        <f>IFERROR(IF(VLOOKUP(Sun_W2[[#This Row],[Employee Name]],'Base Schedules'!$A$79:$AW$111,47,FALSE)="","",VLOOKUP(Sun_W2[[#This Row],[Employee Name]],'Base Schedules'!$A$79:$AW$111,47,FALSE)),"")</f>
        <v/>
      </c>
      <c r="AW38" s="184" t="str">
        <f>IFERROR(IF(VLOOKUP(Sun_W2[[#This Row],[Employee Name]],'Base Schedules'!$A$79:$AW$111,48,FALSE)="","",VLOOKUP(Sun_W2[[#This Row],[Employee Name]],'Base Schedules'!$A$79:$AW$111,48,FALSE)),"")</f>
        <v/>
      </c>
      <c r="AX38" s="184" t="str">
        <f>IFERROR(IF(VLOOKUP(Sun_W2[[#This Row],[Employee Name]],'Base Schedules'!$A$79:$AW$111,49,FALSE)="","",VLOOKUP(Sun_W2[[#This Row],[Employee Name]],'Base Schedules'!$A$79:$AW$111,49,FALSE)),"")</f>
        <v/>
      </c>
      <c r="AY38" s="159" t="str">
        <f t="shared" si="2"/>
        <v/>
      </c>
    </row>
    <row r="39" spans="1:53" s="44" customFormat="1" ht="12" hidden="1" customHeight="1" x14ac:dyDescent="0.2">
      <c r="A39" s="39" t="str">
        <f>IF(B39="","",INDEX(TeamList[],MATCH($B39,TeamList[[Employee Name]:[Employee Name]],0),MATCH("Manager",TeamList[#Headers],0)))</f>
        <v/>
      </c>
      <c r="B39" s="201"/>
      <c r="C39" s="257" t="str">
        <f>_xlfn.IFNA(VLOOKUP(Sun_W2[[#This Row],[Employee Name]],'Base Schedules'!A:B,2,FALSE),"")</f>
        <v/>
      </c>
      <c r="D39" s="274" t="str">
        <f>_xlfn.IFNA(VLOOKUP(Sun_W2[[#This Row],[Employee Name]],'Base Schedules'!A:C,3,FALSE),"")</f>
        <v/>
      </c>
      <c r="E39" s="354" t="str">
        <f>_xlfn.IFNA(VLOOKUP(Sun_W2[[#This Row],[Employee Name]],'Base Schedules'!A:D,4,FALSE),"")</f>
        <v/>
      </c>
      <c r="F39" s="358" t="str">
        <f>IF(Sun_W2[[#This Row],[Employee Name]]="","",IF(Sun_W2[[#This Row],[Dept]]="Supervisor",COUNTIFS($J39:$AX39,"*HL*",$J39:$AX39,"&lt;&gt;"&amp;"pHL"),COUNTIFS($J39:$AX39,"*HL*",$J39:$AX39,"&lt;&gt;"&amp;"*pHL*",$J39:$AX39,"&lt;&gt;"&amp;"pB1 HL",$J39:$AX39,"&lt;&gt;"&amp;"pB2 HL")-SUM(COUNTIFS($J39:$AX39,"*HL B1*",$J39:$AX39,"&lt;&gt;"&amp;"pHL B1")*0.5,COUNTIFS($J39:$AX39,"*HL B2*",$J39:$AX39,"&lt;&gt;"&amp;"pHL B2")*0.5,COUNTIFS($J39:$AX39,"*B1 HL*",$J39:$AX39,"&lt;&gt;"&amp;"pB1 HL")*0.5,COUNTIFS($J39:$AX39,"*B2 HL*",$J39:$AX39,"&lt;&gt;"&amp;"pB2 HL")*0.5)))</f>
        <v/>
      </c>
      <c r="G39" s="142" t="str">
        <f t="shared" si="3"/>
        <v/>
      </c>
      <c r="H39" s="142" t="str">
        <f t="shared" si="1"/>
        <v/>
      </c>
      <c r="I39" s="142" t="str">
        <f>IF(Sun_W2[[#This Row],[Employee Name]]="","",IF(Sun_W2[[#This Row],[Dept]]="Supervisor",SUM(COUNTIFS($J39:$AX39,"RTA*",$J39:$AX39,"&lt;&gt;"&amp;"pRTA"),COUNTIFS($J39:$AX39,"*CRTA*",$J39:$AX39,"&lt;&gt;"&amp;"pCRTA")),COUNTIFS($J39:$AX39,"*RNNR*",$J39:$AX39,"&lt;&gt;"&amp;"*pRNNR*",$J39:$AX39,"&lt;&gt;"&amp;"pB1 RNNR",$J39:$AX39,"&lt;&gt;"&amp;"pB2 RNNR")-SUM(COUNTIFS($J39:$AX39,"*RNNR B1*",$J39:$AX39,"&lt;&gt;"&amp;"pRNNR B1")*0.5,COUNTIFS($J39:$AX39,"*RNNR B2*",$J39:$AX39,"&lt;&gt;"&amp;"pRNNR B2")*0.5,COUNTIFS($J39:$AX39,"*B1 RNNR*",$J39:$AX39,"&lt;&gt;"&amp;"pB1 RNNR")*0.5,COUNTIFS($J39:$AX39,"*B2 RNNR*",$J39:$AX39,"&lt;&gt;"&amp;"pB2 RNNR")*0.5)))</f>
        <v/>
      </c>
      <c r="J39" s="184" t="str">
        <f>IFERROR(IF(VLOOKUP(Sun_W2[[#This Row],[Employee Name]],'Base Schedules'!$A$79:$AW$111,9,FALSE)="","",VLOOKUP(Sun_W2[[#This Row],[Employee Name]],'Base Schedules'!$A$79:$AW$111,9,FALSE)),"")</f>
        <v/>
      </c>
      <c r="K39" s="184" t="str">
        <f>IFERROR(IF(VLOOKUP(Sun_W2[[#This Row],[Employee Name]],'Base Schedules'!$A$79:$AW$111,10,FALSE)="","",VLOOKUP(Sun_W2[[#This Row],[Employee Name]],'Base Schedules'!$A$79:$AW$111,10,FALSE)),"")</f>
        <v/>
      </c>
      <c r="L39" s="184" t="str">
        <f>IFERROR(IF(VLOOKUP(Sun_W2[[#This Row],[Employee Name]],'Base Schedules'!$A$79:$AW$111,11,FALSE)="","",VLOOKUP(Sun_W2[[#This Row],[Employee Name]],'Base Schedules'!$A$79:$AW$111,11,FALSE)),"")</f>
        <v/>
      </c>
      <c r="M39" s="184" t="str">
        <f>IFERROR(IF(VLOOKUP(Sun_W2[[#This Row],[Employee Name]],'Base Schedules'!$A$79:$AW$111,12,FALSE)="","",VLOOKUP(Sun_W2[[#This Row],[Employee Name]],'Base Schedules'!$A$79:$AW$111,12,FALSE)),"")</f>
        <v/>
      </c>
      <c r="N39" s="184" t="str">
        <f>IFERROR(IF(VLOOKUP(Sun_W2[[#This Row],[Employee Name]],'Base Schedules'!$A$79:$AW$111,13,FALSE)="","",VLOOKUP(Sun_W2[[#This Row],[Employee Name]],'Base Schedules'!$A$79:$AW$111,13,FALSE)),"")</f>
        <v/>
      </c>
      <c r="O39" s="184" t="str">
        <f>IFERROR(IF(VLOOKUP(Sun_W2[[#This Row],[Employee Name]],'Base Schedules'!$A$79:$AW$111,14,FALSE)="","",VLOOKUP(Sun_W2[[#This Row],[Employee Name]],'Base Schedules'!$A$79:$AW$111,14,FALSE)),"")</f>
        <v/>
      </c>
      <c r="P39" s="184" t="str">
        <f>IFERROR(IF(VLOOKUP(Sun_W2[[#This Row],[Employee Name]],'Base Schedules'!$A$79:$AW$111,15,FALSE)="","",VLOOKUP(Sun_W2[[#This Row],[Employee Name]],'Base Schedules'!$A$79:$AW$111,15,FALSE)),"")</f>
        <v/>
      </c>
      <c r="Q39" s="184" t="str">
        <f>IFERROR(IF(VLOOKUP(Sun_W2[[#This Row],[Employee Name]],'Base Schedules'!$A$79:$AW$111,16,FALSE)="","",VLOOKUP(Sun_W2[[#This Row],[Employee Name]],'Base Schedules'!$A$79:$AW$111,16,FALSE)),"")</f>
        <v/>
      </c>
      <c r="R39" s="184" t="str">
        <f>IFERROR(IF(VLOOKUP(Sun_W2[[#This Row],[Employee Name]],'Base Schedules'!$A$79:$AW$111,17,FALSE)="","",VLOOKUP(Sun_W2[[#This Row],[Employee Name]],'Base Schedules'!$A$79:$AW$111,17,FALSE)),"")</f>
        <v/>
      </c>
      <c r="S39" s="184" t="str">
        <f>IFERROR(IF(VLOOKUP(Sun_W2[[#This Row],[Employee Name]],'Base Schedules'!$A$79:$AW$111,18,FALSE)="","",VLOOKUP(Sun_W2[[#This Row],[Employee Name]],'Base Schedules'!$A$79:$AW$111,18,FALSE)),"")</f>
        <v/>
      </c>
      <c r="T39" s="184" t="str">
        <f>IFERROR(IF(VLOOKUP(Sun_W2[[#This Row],[Employee Name]],'Base Schedules'!$A$79:$AW$111,19,FALSE)="","",VLOOKUP(Sun_W2[[#This Row],[Employee Name]],'Base Schedules'!$A$79:$AW$111,19,FALSE)),"")</f>
        <v/>
      </c>
      <c r="U39" s="184" t="str">
        <f>IFERROR(IF(VLOOKUP(Sun_W2[[#This Row],[Employee Name]],'Base Schedules'!$A$79:$AW$111,20,FALSE)="","",VLOOKUP(Sun_W2[[#This Row],[Employee Name]],'Base Schedules'!$A$79:$AW$111,20,FALSE)),"")</f>
        <v/>
      </c>
      <c r="V39" s="184" t="str">
        <f>IFERROR(IF(VLOOKUP(Sun_W2[[#This Row],[Employee Name]],'Base Schedules'!$A$79:$AW$111,21,FALSE)="","",VLOOKUP(Sun_W2[[#This Row],[Employee Name]],'Base Schedules'!$A$79:$AW$111,21,FALSE)),"")</f>
        <v/>
      </c>
      <c r="W39" s="184" t="str">
        <f>IFERROR(IF(VLOOKUP(Sun_W2[[#This Row],[Employee Name]],'Base Schedules'!$A$79:$AW$111,22,FALSE)="","",VLOOKUP(Sun_W2[[#This Row],[Employee Name]],'Base Schedules'!$A$79:$AW$111,22,FALSE)),"")</f>
        <v/>
      </c>
      <c r="X39" s="184" t="str">
        <f>IFERROR(IF(VLOOKUP(Sun_W2[[#This Row],[Employee Name]],'Base Schedules'!$A$79:$AW$111,23,FALSE)="","",VLOOKUP(Sun_W2[[#This Row],[Employee Name]],'Base Schedules'!$A$79:$AW$111,23,FALSE)),"")</f>
        <v/>
      </c>
      <c r="Y39" s="184" t="str">
        <f>IFERROR(IF(VLOOKUP(Sun_W2[[#This Row],[Employee Name]],'Base Schedules'!$A$79:$AW$111,24,FALSE)="","",VLOOKUP(Sun_W2[[#This Row],[Employee Name]],'Base Schedules'!$A$79:$AW$111,24,FALSE)),"")</f>
        <v/>
      </c>
      <c r="Z39" s="184" t="str">
        <f>IFERROR(IF(VLOOKUP(Sun_W2[[#This Row],[Employee Name]],'Base Schedules'!$A$79:$AW$111,25,FALSE)="","",VLOOKUP(Sun_W2[[#This Row],[Employee Name]],'Base Schedules'!$A$79:$AW$111,25,FALSE)),"")</f>
        <v/>
      </c>
      <c r="AA39" s="184" t="str">
        <f>IFERROR(IF(VLOOKUP(Sun_W2[[#This Row],[Employee Name]],'Base Schedules'!$A$79:$AW$111,26,FALSE)="","",VLOOKUP(Sun_W2[[#This Row],[Employee Name]],'Base Schedules'!$A$79:$AW$111,26,FALSE)),"")</f>
        <v/>
      </c>
      <c r="AB39" s="184" t="str">
        <f>IFERROR(IF(VLOOKUP(Sun_W2[[#This Row],[Employee Name]],'Base Schedules'!$A$79:$AW$111,27,FALSE)="","",VLOOKUP(Sun_W2[[#This Row],[Employee Name]],'Base Schedules'!$A$79:$AW$111,27,FALSE)),"")</f>
        <v/>
      </c>
      <c r="AC39" s="184" t="str">
        <f>IFERROR(IF(VLOOKUP(Sun_W2[[#This Row],[Employee Name]],'Base Schedules'!$A$79:$AW$111,28,FALSE)="","",VLOOKUP(Sun_W2[[#This Row],[Employee Name]],'Base Schedules'!$A$79:$AW$111,28,FALSE)),"")</f>
        <v/>
      </c>
      <c r="AD39" s="184" t="str">
        <f>IFERROR(IF(VLOOKUP(Sun_W2[[#This Row],[Employee Name]],'Base Schedules'!$A$79:$AW$111,29,FALSE)="","",VLOOKUP(Sun_W2[[#This Row],[Employee Name]],'Base Schedules'!$A$79:$AW$111,29,FALSE)),"")</f>
        <v/>
      </c>
      <c r="AE39" s="184" t="str">
        <f>IFERROR(IF(VLOOKUP(Sun_W2[[#This Row],[Employee Name]],'Base Schedules'!$A$79:$AW$111,30,FALSE)="","",VLOOKUP(Sun_W2[[#This Row],[Employee Name]],'Base Schedules'!$A$79:$AW$111,30,FALSE)),"")</f>
        <v/>
      </c>
      <c r="AF39" s="184" t="str">
        <f>IFERROR(IF(VLOOKUP(Sun_W2[[#This Row],[Employee Name]],'Base Schedules'!$A$79:$AW$111,31,FALSE)="","",VLOOKUP(Sun_W2[[#This Row],[Employee Name]],'Base Schedules'!$A$79:$AW$111,31,FALSE)),"")</f>
        <v/>
      </c>
      <c r="AG39" s="184" t="str">
        <f>IFERROR(IF(VLOOKUP(Sun_W2[[#This Row],[Employee Name]],'Base Schedules'!$A$79:$AW$111,32,FALSE)="","",VLOOKUP(Sun_W2[[#This Row],[Employee Name]],'Base Schedules'!$A$79:$AW$111,32,FALSE)),"")</f>
        <v/>
      </c>
      <c r="AH39" s="184" t="str">
        <f>IFERROR(IF(VLOOKUP(Sun_W2[[#This Row],[Employee Name]],'Base Schedules'!$A$79:$AW$111,33,FALSE)="","",VLOOKUP(Sun_W2[[#This Row],[Employee Name]],'Base Schedules'!$A$79:$AW$111,33,FALSE)),"")</f>
        <v/>
      </c>
      <c r="AI39" s="184" t="str">
        <f>IFERROR(IF(VLOOKUP(Sun_W2[[#This Row],[Employee Name]],'Base Schedules'!$A$79:$AW$111,34,FALSE)="","",VLOOKUP(Sun_W2[[#This Row],[Employee Name]],'Base Schedules'!$A$79:$AW$111,34,FALSE)),"")</f>
        <v/>
      </c>
      <c r="AJ39" s="184" t="str">
        <f>IFERROR(IF(VLOOKUP(Sun_W2[[#This Row],[Employee Name]],'Base Schedules'!$A$79:$AW$111,35,FALSE)="","",VLOOKUP(Sun_W2[[#This Row],[Employee Name]],'Base Schedules'!$A$79:$AW$111,35,FALSE)),"")</f>
        <v/>
      </c>
      <c r="AK39" s="184" t="str">
        <f>IFERROR(IF(VLOOKUP(Sun_W2[[#This Row],[Employee Name]],'Base Schedules'!$A$79:$AW$111,36,FALSE)="","",VLOOKUP(Sun_W2[[#This Row],[Employee Name]],'Base Schedules'!$A$79:$AW$111,36,FALSE)),"")</f>
        <v/>
      </c>
      <c r="AL39" s="184" t="str">
        <f>IFERROR(IF(VLOOKUP(Sun_W2[[#This Row],[Employee Name]],'Base Schedules'!$A$79:$AW$111,37,FALSE)="","",VLOOKUP(Sun_W2[[#This Row],[Employee Name]],'Base Schedules'!$A$79:$AW$111,37,FALSE)),"")</f>
        <v/>
      </c>
      <c r="AM39" s="184" t="str">
        <f>IFERROR(IF(VLOOKUP(Sun_W2[[#This Row],[Employee Name]],'Base Schedules'!$A$79:$AW$111,38,FALSE)="","",VLOOKUP(Sun_W2[[#This Row],[Employee Name]],'Base Schedules'!$A$79:$AW$111,38,FALSE)),"")</f>
        <v/>
      </c>
      <c r="AN39" s="184" t="str">
        <f>IFERROR(IF(VLOOKUP(Sun_W2[[#This Row],[Employee Name]],'Base Schedules'!$A$79:$AW$111,39,FALSE)="","",VLOOKUP(Sun_W2[[#This Row],[Employee Name]],'Base Schedules'!$A$79:$AW$111,39,FALSE)),"")</f>
        <v/>
      </c>
      <c r="AO39" s="184" t="str">
        <f>IFERROR(IF(VLOOKUP(Sun_W2[[#This Row],[Employee Name]],'Base Schedules'!$A$79:$AW$111,40,FALSE)="","",VLOOKUP(Sun_W2[[#This Row],[Employee Name]],'Base Schedules'!$A$79:$AW$111,40,FALSE)),"")</f>
        <v/>
      </c>
      <c r="AP39" s="184" t="str">
        <f>IFERROR(IF(VLOOKUP(Sun_W2[[#This Row],[Employee Name]],'Base Schedules'!$A$79:$AW$111,41,FALSE)="","",VLOOKUP(Sun_W2[[#This Row],[Employee Name]],'Base Schedules'!$A$79:$AW$111,41,FALSE)),"")</f>
        <v/>
      </c>
      <c r="AQ39" s="184" t="str">
        <f>IFERROR(IF(VLOOKUP(Sun_W2[[#This Row],[Employee Name]],'Base Schedules'!$A$79:$AW$111,42,FALSE)="","",VLOOKUP(Sun_W2[[#This Row],[Employee Name]],'Base Schedules'!$A$79:$AW$111,42,FALSE)),"")</f>
        <v/>
      </c>
      <c r="AR39" s="184" t="str">
        <f>IFERROR(IF(VLOOKUP(Sun_W2[[#This Row],[Employee Name]],'Base Schedules'!$A$79:$AW$111,43,FALSE)="","",VLOOKUP(Sun_W2[[#This Row],[Employee Name]],'Base Schedules'!$A$79:$AW$111,43,FALSE)),"")</f>
        <v/>
      </c>
      <c r="AS39" s="184" t="str">
        <f>IFERROR(IF(VLOOKUP(Sun_W2[[#This Row],[Employee Name]],'Base Schedules'!$A$79:$AW$111,44,FALSE)="","",VLOOKUP(Sun_W2[[#This Row],[Employee Name]],'Base Schedules'!$A$79:$AW$111,44,FALSE)),"")</f>
        <v/>
      </c>
      <c r="AT39" s="184" t="str">
        <f>IFERROR(IF(VLOOKUP(Sun_W2[[#This Row],[Employee Name]],'Base Schedules'!$A$79:$AW$111,45,FALSE)="","",VLOOKUP(Sun_W2[[#This Row],[Employee Name]],'Base Schedules'!$A$79:$AW$111,45,FALSE)),"")</f>
        <v/>
      </c>
      <c r="AU39" s="184" t="str">
        <f>IFERROR(IF(VLOOKUP(Sun_W2[[#This Row],[Employee Name]],'Base Schedules'!$A$79:$AW$111,46,FALSE)="","",VLOOKUP(Sun_W2[[#This Row],[Employee Name]],'Base Schedules'!$A$79:$AW$111,46,FALSE)),"")</f>
        <v/>
      </c>
      <c r="AV39" s="184" t="str">
        <f>IFERROR(IF(VLOOKUP(Sun_W2[[#This Row],[Employee Name]],'Base Schedules'!$A$79:$AW$111,47,FALSE)="","",VLOOKUP(Sun_W2[[#This Row],[Employee Name]],'Base Schedules'!$A$79:$AW$111,47,FALSE)),"")</f>
        <v/>
      </c>
      <c r="AW39" s="184" t="str">
        <f>IFERROR(IF(VLOOKUP(Sun_W2[[#This Row],[Employee Name]],'Base Schedules'!$A$79:$AW$111,48,FALSE)="","",VLOOKUP(Sun_W2[[#This Row],[Employee Name]],'Base Schedules'!$A$79:$AW$111,48,FALSE)),"")</f>
        <v/>
      </c>
      <c r="AX39" s="184" t="str">
        <f>IFERROR(IF(VLOOKUP(Sun_W2[[#This Row],[Employee Name]],'Base Schedules'!$A$79:$AW$111,49,FALSE)="","",VLOOKUP(Sun_W2[[#This Row],[Employee Name]],'Base Schedules'!$A$79:$AW$111,49,FALSE)),"")</f>
        <v/>
      </c>
      <c r="AY39" s="159" t="str">
        <f t="shared" si="2"/>
        <v/>
      </c>
    </row>
    <row r="40" spans="1:53" s="44" customFormat="1" ht="12" hidden="1" customHeight="1" x14ac:dyDescent="0.2">
      <c r="A40" s="39" t="str">
        <f>IF(B40="","",INDEX(TeamList[],MATCH($B40,TeamList[[Employee Name]:[Employee Name]],0),MATCH("Manager",TeamList[#Headers],0)))</f>
        <v/>
      </c>
      <c r="B40" s="201"/>
      <c r="C40" s="257" t="str">
        <f>_xlfn.IFNA(VLOOKUP(Sun_W2[[#This Row],[Employee Name]],'Base Schedules'!A:B,2,FALSE),"")</f>
        <v/>
      </c>
      <c r="D40" s="274" t="str">
        <f>_xlfn.IFNA(VLOOKUP(Sun_W2[[#This Row],[Employee Name]],'Base Schedules'!A:C,3,FALSE),"")</f>
        <v/>
      </c>
      <c r="E40" s="354" t="str">
        <f>_xlfn.IFNA(VLOOKUP(Sun_W2[[#This Row],[Employee Name]],'Base Schedules'!A:D,4,FALSE),"")</f>
        <v/>
      </c>
      <c r="F40" s="358" t="str">
        <f>IF(Sun_W2[[#This Row],[Employee Name]]="","",IF(Sun_W2[[#This Row],[Dept]]="Supervisor",COUNTIFS($J40:$AX40,"*HL*",$J40:$AX40,"&lt;&gt;"&amp;"pHL"),COUNTIFS($J40:$AX40,"*HL*",$J40:$AX40,"&lt;&gt;"&amp;"*pHL*",$J40:$AX40,"&lt;&gt;"&amp;"pB1 HL",$J40:$AX40,"&lt;&gt;"&amp;"pB2 HL")-SUM(COUNTIFS($J40:$AX40,"*HL B1*",$J40:$AX40,"&lt;&gt;"&amp;"pHL B1")*0.5,COUNTIFS($J40:$AX40,"*HL B2*",$J40:$AX40,"&lt;&gt;"&amp;"pHL B2")*0.5,COUNTIFS($J40:$AX40,"*B1 HL*",$J40:$AX40,"&lt;&gt;"&amp;"pB1 HL")*0.5,COUNTIFS($J40:$AX40,"*B2 HL*",$J40:$AX40,"&lt;&gt;"&amp;"pB2 HL")*0.5)))</f>
        <v/>
      </c>
      <c r="G40" s="142" t="str">
        <f t="shared" si="3"/>
        <v/>
      </c>
      <c r="H40" s="142" t="str">
        <f t="shared" si="1"/>
        <v/>
      </c>
      <c r="I40" s="142" t="str">
        <f>IF(Sun_W2[[#This Row],[Employee Name]]="","",IF(Sun_W2[[#This Row],[Dept]]="Supervisor",SUM(COUNTIFS($J40:$AX40,"RTA*",$J40:$AX40,"&lt;&gt;"&amp;"pRTA"),COUNTIFS($J40:$AX40,"*CRTA*",$J40:$AX40,"&lt;&gt;"&amp;"pCRTA")),COUNTIFS($J40:$AX40,"*RNNR*",$J40:$AX40,"&lt;&gt;"&amp;"*pRNNR*",$J40:$AX40,"&lt;&gt;"&amp;"pB1 RNNR",$J40:$AX40,"&lt;&gt;"&amp;"pB2 RNNR")-SUM(COUNTIFS($J40:$AX40,"*RNNR B1*",$J40:$AX40,"&lt;&gt;"&amp;"pRNNR B1")*0.5,COUNTIFS($J40:$AX40,"*RNNR B2*",$J40:$AX40,"&lt;&gt;"&amp;"pRNNR B2")*0.5,COUNTIFS($J40:$AX40,"*B1 RNNR*",$J40:$AX40,"&lt;&gt;"&amp;"pB1 RNNR")*0.5,COUNTIFS($J40:$AX40,"*B2 RNNR*",$J40:$AX40,"&lt;&gt;"&amp;"pB2 RNNR")*0.5)))</f>
        <v/>
      </c>
      <c r="J40" s="184" t="str">
        <f>IFERROR(IF(VLOOKUP(Sun_W2[[#This Row],[Employee Name]],'Base Schedules'!$A$79:$AW$111,9,FALSE)="","",VLOOKUP(Sun_W2[[#This Row],[Employee Name]],'Base Schedules'!$A$79:$AW$111,9,FALSE)),"")</f>
        <v/>
      </c>
      <c r="K40" s="184" t="str">
        <f>IFERROR(IF(VLOOKUP(Sun_W2[[#This Row],[Employee Name]],'Base Schedules'!$A$79:$AW$111,10,FALSE)="","",VLOOKUP(Sun_W2[[#This Row],[Employee Name]],'Base Schedules'!$A$79:$AW$111,10,FALSE)),"")</f>
        <v/>
      </c>
      <c r="L40" s="184" t="str">
        <f>IFERROR(IF(VLOOKUP(Sun_W2[[#This Row],[Employee Name]],'Base Schedules'!$A$79:$AW$111,11,FALSE)="","",VLOOKUP(Sun_W2[[#This Row],[Employee Name]],'Base Schedules'!$A$79:$AW$111,11,FALSE)),"")</f>
        <v/>
      </c>
      <c r="M40" s="184" t="str">
        <f>IFERROR(IF(VLOOKUP(Sun_W2[[#This Row],[Employee Name]],'Base Schedules'!$A$79:$AW$111,12,FALSE)="","",VLOOKUP(Sun_W2[[#This Row],[Employee Name]],'Base Schedules'!$A$79:$AW$111,12,FALSE)),"")</f>
        <v/>
      </c>
      <c r="N40" s="184" t="str">
        <f>IFERROR(IF(VLOOKUP(Sun_W2[[#This Row],[Employee Name]],'Base Schedules'!$A$79:$AW$111,13,FALSE)="","",VLOOKUP(Sun_W2[[#This Row],[Employee Name]],'Base Schedules'!$A$79:$AW$111,13,FALSE)),"")</f>
        <v/>
      </c>
      <c r="O40" s="184" t="str">
        <f>IFERROR(IF(VLOOKUP(Sun_W2[[#This Row],[Employee Name]],'Base Schedules'!$A$79:$AW$111,14,FALSE)="","",VLOOKUP(Sun_W2[[#This Row],[Employee Name]],'Base Schedules'!$A$79:$AW$111,14,FALSE)),"")</f>
        <v/>
      </c>
      <c r="P40" s="184" t="str">
        <f>IFERROR(IF(VLOOKUP(Sun_W2[[#This Row],[Employee Name]],'Base Schedules'!$A$79:$AW$111,15,FALSE)="","",VLOOKUP(Sun_W2[[#This Row],[Employee Name]],'Base Schedules'!$A$79:$AW$111,15,FALSE)),"")</f>
        <v/>
      </c>
      <c r="Q40" s="184" t="str">
        <f>IFERROR(IF(VLOOKUP(Sun_W2[[#This Row],[Employee Name]],'Base Schedules'!$A$79:$AW$111,16,FALSE)="","",VLOOKUP(Sun_W2[[#This Row],[Employee Name]],'Base Schedules'!$A$79:$AW$111,16,FALSE)),"")</f>
        <v/>
      </c>
      <c r="R40" s="184" t="str">
        <f>IFERROR(IF(VLOOKUP(Sun_W2[[#This Row],[Employee Name]],'Base Schedules'!$A$79:$AW$111,17,FALSE)="","",VLOOKUP(Sun_W2[[#This Row],[Employee Name]],'Base Schedules'!$A$79:$AW$111,17,FALSE)),"")</f>
        <v/>
      </c>
      <c r="S40" s="184" t="str">
        <f>IFERROR(IF(VLOOKUP(Sun_W2[[#This Row],[Employee Name]],'Base Schedules'!$A$79:$AW$111,18,FALSE)="","",VLOOKUP(Sun_W2[[#This Row],[Employee Name]],'Base Schedules'!$A$79:$AW$111,18,FALSE)),"")</f>
        <v/>
      </c>
      <c r="T40" s="184" t="str">
        <f>IFERROR(IF(VLOOKUP(Sun_W2[[#This Row],[Employee Name]],'Base Schedules'!$A$79:$AW$111,19,FALSE)="","",VLOOKUP(Sun_W2[[#This Row],[Employee Name]],'Base Schedules'!$A$79:$AW$111,19,FALSE)),"")</f>
        <v/>
      </c>
      <c r="U40" s="184" t="str">
        <f>IFERROR(IF(VLOOKUP(Sun_W2[[#This Row],[Employee Name]],'Base Schedules'!$A$79:$AW$111,20,FALSE)="","",VLOOKUP(Sun_W2[[#This Row],[Employee Name]],'Base Schedules'!$A$79:$AW$111,20,FALSE)),"")</f>
        <v/>
      </c>
      <c r="V40" s="184" t="str">
        <f>IFERROR(IF(VLOOKUP(Sun_W2[[#This Row],[Employee Name]],'Base Schedules'!$A$79:$AW$111,21,FALSE)="","",VLOOKUP(Sun_W2[[#This Row],[Employee Name]],'Base Schedules'!$A$79:$AW$111,21,FALSE)),"")</f>
        <v/>
      </c>
      <c r="W40" s="184" t="str">
        <f>IFERROR(IF(VLOOKUP(Sun_W2[[#This Row],[Employee Name]],'Base Schedules'!$A$79:$AW$111,22,FALSE)="","",VLOOKUP(Sun_W2[[#This Row],[Employee Name]],'Base Schedules'!$A$79:$AW$111,22,FALSE)),"")</f>
        <v/>
      </c>
      <c r="X40" s="184" t="str">
        <f>IFERROR(IF(VLOOKUP(Sun_W2[[#This Row],[Employee Name]],'Base Schedules'!$A$79:$AW$111,23,FALSE)="","",VLOOKUP(Sun_W2[[#This Row],[Employee Name]],'Base Schedules'!$A$79:$AW$111,23,FALSE)),"")</f>
        <v/>
      </c>
      <c r="Y40" s="184" t="str">
        <f>IFERROR(IF(VLOOKUP(Sun_W2[[#This Row],[Employee Name]],'Base Schedules'!$A$79:$AW$111,24,FALSE)="","",VLOOKUP(Sun_W2[[#This Row],[Employee Name]],'Base Schedules'!$A$79:$AW$111,24,FALSE)),"")</f>
        <v/>
      </c>
      <c r="Z40" s="184" t="str">
        <f>IFERROR(IF(VLOOKUP(Sun_W2[[#This Row],[Employee Name]],'Base Schedules'!$A$79:$AW$111,25,FALSE)="","",VLOOKUP(Sun_W2[[#This Row],[Employee Name]],'Base Schedules'!$A$79:$AW$111,25,FALSE)),"")</f>
        <v/>
      </c>
      <c r="AA40" s="184" t="str">
        <f>IFERROR(IF(VLOOKUP(Sun_W2[[#This Row],[Employee Name]],'Base Schedules'!$A$79:$AW$111,26,FALSE)="","",VLOOKUP(Sun_W2[[#This Row],[Employee Name]],'Base Schedules'!$A$79:$AW$111,26,FALSE)),"")</f>
        <v/>
      </c>
      <c r="AB40" s="184" t="str">
        <f>IFERROR(IF(VLOOKUP(Sun_W2[[#This Row],[Employee Name]],'Base Schedules'!$A$79:$AW$111,27,FALSE)="","",VLOOKUP(Sun_W2[[#This Row],[Employee Name]],'Base Schedules'!$A$79:$AW$111,27,FALSE)),"")</f>
        <v/>
      </c>
      <c r="AC40" s="184" t="str">
        <f>IFERROR(IF(VLOOKUP(Sun_W2[[#This Row],[Employee Name]],'Base Schedules'!$A$79:$AW$111,28,FALSE)="","",VLOOKUP(Sun_W2[[#This Row],[Employee Name]],'Base Schedules'!$A$79:$AW$111,28,FALSE)),"")</f>
        <v/>
      </c>
      <c r="AD40" s="184" t="str">
        <f>IFERROR(IF(VLOOKUP(Sun_W2[[#This Row],[Employee Name]],'Base Schedules'!$A$79:$AW$111,29,FALSE)="","",VLOOKUP(Sun_W2[[#This Row],[Employee Name]],'Base Schedules'!$A$79:$AW$111,29,FALSE)),"")</f>
        <v/>
      </c>
      <c r="AE40" s="184" t="str">
        <f>IFERROR(IF(VLOOKUP(Sun_W2[[#This Row],[Employee Name]],'Base Schedules'!$A$79:$AW$111,30,FALSE)="","",VLOOKUP(Sun_W2[[#This Row],[Employee Name]],'Base Schedules'!$A$79:$AW$111,30,FALSE)),"")</f>
        <v/>
      </c>
      <c r="AF40" s="184" t="str">
        <f>IFERROR(IF(VLOOKUP(Sun_W2[[#This Row],[Employee Name]],'Base Schedules'!$A$79:$AW$111,31,FALSE)="","",VLOOKUP(Sun_W2[[#This Row],[Employee Name]],'Base Schedules'!$A$79:$AW$111,31,FALSE)),"")</f>
        <v/>
      </c>
      <c r="AG40" s="184" t="str">
        <f>IFERROR(IF(VLOOKUP(Sun_W2[[#This Row],[Employee Name]],'Base Schedules'!$A$79:$AW$111,32,FALSE)="","",VLOOKUP(Sun_W2[[#This Row],[Employee Name]],'Base Schedules'!$A$79:$AW$111,32,FALSE)),"")</f>
        <v/>
      </c>
      <c r="AH40" s="184" t="str">
        <f>IFERROR(IF(VLOOKUP(Sun_W2[[#This Row],[Employee Name]],'Base Schedules'!$A$79:$AW$111,33,FALSE)="","",VLOOKUP(Sun_W2[[#This Row],[Employee Name]],'Base Schedules'!$A$79:$AW$111,33,FALSE)),"")</f>
        <v/>
      </c>
      <c r="AI40" s="184" t="str">
        <f>IFERROR(IF(VLOOKUP(Sun_W2[[#This Row],[Employee Name]],'Base Schedules'!$A$79:$AW$111,34,FALSE)="","",VLOOKUP(Sun_W2[[#This Row],[Employee Name]],'Base Schedules'!$A$79:$AW$111,34,FALSE)),"")</f>
        <v/>
      </c>
      <c r="AJ40" s="184" t="str">
        <f>IFERROR(IF(VLOOKUP(Sun_W2[[#This Row],[Employee Name]],'Base Schedules'!$A$79:$AW$111,35,FALSE)="","",VLOOKUP(Sun_W2[[#This Row],[Employee Name]],'Base Schedules'!$A$79:$AW$111,35,FALSE)),"")</f>
        <v/>
      </c>
      <c r="AK40" s="184" t="str">
        <f>IFERROR(IF(VLOOKUP(Sun_W2[[#This Row],[Employee Name]],'Base Schedules'!$A$79:$AW$111,36,FALSE)="","",VLOOKUP(Sun_W2[[#This Row],[Employee Name]],'Base Schedules'!$A$79:$AW$111,36,FALSE)),"")</f>
        <v/>
      </c>
      <c r="AL40" s="184" t="str">
        <f>IFERROR(IF(VLOOKUP(Sun_W2[[#This Row],[Employee Name]],'Base Schedules'!$A$79:$AW$111,37,FALSE)="","",VLOOKUP(Sun_W2[[#This Row],[Employee Name]],'Base Schedules'!$A$79:$AW$111,37,FALSE)),"")</f>
        <v/>
      </c>
      <c r="AM40" s="184" t="str">
        <f>IFERROR(IF(VLOOKUP(Sun_W2[[#This Row],[Employee Name]],'Base Schedules'!$A$79:$AW$111,38,FALSE)="","",VLOOKUP(Sun_W2[[#This Row],[Employee Name]],'Base Schedules'!$A$79:$AW$111,38,FALSE)),"")</f>
        <v/>
      </c>
      <c r="AN40" s="184" t="str">
        <f>IFERROR(IF(VLOOKUP(Sun_W2[[#This Row],[Employee Name]],'Base Schedules'!$A$79:$AW$111,39,FALSE)="","",VLOOKUP(Sun_W2[[#This Row],[Employee Name]],'Base Schedules'!$A$79:$AW$111,39,FALSE)),"")</f>
        <v/>
      </c>
      <c r="AO40" s="184" t="str">
        <f>IFERROR(IF(VLOOKUP(Sun_W2[[#This Row],[Employee Name]],'Base Schedules'!$A$79:$AW$111,40,FALSE)="","",VLOOKUP(Sun_W2[[#This Row],[Employee Name]],'Base Schedules'!$A$79:$AW$111,40,FALSE)),"")</f>
        <v/>
      </c>
      <c r="AP40" s="184" t="str">
        <f>IFERROR(IF(VLOOKUP(Sun_W2[[#This Row],[Employee Name]],'Base Schedules'!$A$79:$AW$111,41,FALSE)="","",VLOOKUP(Sun_W2[[#This Row],[Employee Name]],'Base Schedules'!$A$79:$AW$111,41,FALSE)),"")</f>
        <v/>
      </c>
      <c r="AQ40" s="184" t="str">
        <f>IFERROR(IF(VLOOKUP(Sun_W2[[#This Row],[Employee Name]],'Base Schedules'!$A$79:$AW$111,42,FALSE)="","",VLOOKUP(Sun_W2[[#This Row],[Employee Name]],'Base Schedules'!$A$79:$AW$111,42,FALSE)),"")</f>
        <v/>
      </c>
      <c r="AR40" s="184" t="str">
        <f>IFERROR(IF(VLOOKUP(Sun_W2[[#This Row],[Employee Name]],'Base Schedules'!$A$79:$AW$111,43,FALSE)="","",VLOOKUP(Sun_W2[[#This Row],[Employee Name]],'Base Schedules'!$A$79:$AW$111,43,FALSE)),"")</f>
        <v/>
      </c>
      <c r="AS40" s="184" t="str">
        <f>IFERROR(IF(VLOOKUP(Sun_W2[[#This Row],[Employee Name]],'Base Schedules'!$A$79:$AW$111,44,FALSE)="","",VLOOKUP(Sun_W2[[#This Row],[Employee Name]],'Base Schedules'!$A$79:$AW$111,44,FALSE)),"")</f>
        <v/>
      </c>
      <c r="AT40" s="184" t="str">
        <f>IFERROR(IF(VLOOKUP(Sun_W2[[#This Row],[Employee Name]],'Base Schedules'!$A$79:$AW$111,45,FALSE)="","",VLOOKUP(Sun_W2[[#This Row],[Employee Name]],'Base Schedules'!$A$79:$AW$111,45,FALSE)),"")</f>
        <v/>
      </c>
      <c r="AU40" s="184" t="str">
        <f>IFERROR(IF(VLOOKUP(Sun_W2[[#This Row],[Employee Name]],'Base Schedules'!$A$79:$AW$111,46,FALSE)="","",VLOOKUP(Sun_W2[[#This Row],[Employee Name]],'Base Schedules'!$A$79:$AW$111,46,FALSE)),"")</f>
        <v/>
      </c>
      <c r="AV40" s="184" t="str">
        <f>IFERROR(IF(VLOOKUP(Sun_W2[[#This Row],[Employee Name]],'Base Schedules'!$A$79:$AW$111,47,FALSE)="","",VLOOKUP(Sun_W2[[#This Row],[Employee Name]],'Base Schedules'!$A$79:$AW$111,47,FALSE)),"")</f>
        <v/>
      </c>
      <c r="AW40" s="184" t="str">
        <f>IFERROR(IF(VLOOKUP(Sun_W2[[#This Row],[Employee Name]],'Base Schedules'!$A$79:$AW$111,48,FALSE)="","",VLOOKUP(Sun_W2[[#This Row],[Employee Name]],'Base Schedules'!$A$79:$AW$111,48,FALSE)),"")</f>
        <v/>
      </c>
      <c r="AX40" s="184" t="str">
        <f>IFERROR(IF(VLOOKUP(Sun_W2[[#This Row],[Employee Name]],'Base Schedules'!$A$79:$AW$111,49,FALSE)="","",VLOOKUP(Sun_W2[[#This Row],[Employee Name]],'Base Schedules'!$A$79:$AW$111,49,FALSE)),"")</f>
        <v/>
      </c>
      <c r="AY40" s="159" t="str">
        <f t="shared" si="2"/>
        <v/>
      </c>
    </row>
    <row r="41" spans="1:53" s="44" customFormat="1" ht="12" hidden="1" customHeight="1" x14ac:dyDescent="0.2">
      <c r="A41" s="39" t="str">
        <f>IF(B41="","",INDEX(TeamList[],MATCH($B41,TeamList[[Employee Name]:[Employee Name]],0),MATCH("Manager",TeamList[#Headers],0)))</f>
        <v/>
      </c>
      <c r="B41" s="201"/>
      <c r="C41" s="257" t="str">
        <f>_xlfn.IFNA(VLOOKUP(Sun_W2[[#This Row],[Employee Name]],'Base Schedules'!A:B,2,FALSE),"")</f>
        <v/>
      </c>
      <c r="D41" s="274" t="str">
        <f>_xlfn.IFNA(VLOOKUP(Sun_W2[[#This Row],[Employee Name]],'Base Schedules'!A:C,3,FALSE),"")</f>
        <v/>
      </c>
      <c r="E41" s="354" t="str">
        <f>_xlfn.IFNA(VLOOKUP(Sun_W2[[#This Row],[Employee Name]],'Base Schedules'!A:D,4,FALSE),"")</f>
        <v/>
      </c>
      <c r="F41" s="358" t="str">
        <f>IF(Sun_W2[[#This Row],[Employee Name]]="","",IF(Sun_W2[[#This Row],[Dept]]="Supervisor",COUNTIFS($J41:$AX41,"*HL*",$J41:$AX41,"&lt;&gt;"&amp;"pHL"),COUNTIFS($J41:$AX41,"*HL*",$J41:$AX41,"&lt;&gt;"&amp;"*pHL*",$J41:$AX41,"&lt;&gt;"&amp;"pB1 HL",$J41:$AX41,"&lt;&gt;"&amp;"pB2 HL")-SUM(COUNTIFS($J41:$AX41,"*HL B1*",$J41:$AX41,"&lt;&gt;"&amp;"pHL B1")*0.5,COUNTIFS($J41:$AX41,"*HL B2*",$J41:$AX41,"&lt;&gt;"&amp;"pHL B2")*0.5,COUNTIFS($J41:$AX41,"*B1 HL*",$J41:$AX41,"&lt;&gt;"&amp;"pB1 HL")*0.5,COUNTIFS($J41:$AX41,"*B2 HL*",$J41:$AX41,"&lt;&gt;"&amp;"pB2 HL")*0.5)))</f>
        <v/>
      </c>
      <c r="G41" s="142" t="str">
        <f t="shared" si="3"/>
        <v/>
      </c>
      <c r="H41" s="142" t="str">
        <f t="shared" si="1"/>
        <v/>
      </c>
      <c r="I41" s="142" t="str">
        <f>IF(Sun_W2[[#This Row],[Employee Name]]="","",IF(Sun_W2[[#This Row],[Dept]]="Supervisor",SUM(COUNTIFS($J41:$AX41,"RTA*",$J41:$AX41,"&lt;&gt;"&amp;"pRTA"),COUNTIFS($J41:$AX41,"*CRTA*",$J41:$AX41,"&lt;&gt;"&amp;"pCRTA")),COUNTIFS($J41:$AX41,"*RNNR*",$J41:$AX41,"&lt;&gt;"&amp;"*pRNNR*",$J41:$AX41,"&lt;&gt;"&amp;"pB1 RNNR",$J41:$AX41,"&lt;&gt;"&amp;"pB2 RNNR")-SUM(COUNTIFS($J41:$AX41,"*RNNR B1*",$J41:$AX41,"&lt;&gt;"&amp;"pRNNR B1")*0.5,COUNTIFS($J41:$AX41,"*RNNR B2*",$J41:$AX41,"&lt;&gt;"&amp;"pRNNR B2")*0.5,COUNTIFS($J41:$AX41,"*B1 RNNR*",$J41:$AX41,"&lt;&gt;"&amp;"pB1 RNNR")*0.5,COUNTIFS($J41:$AX41,"*B2 RNNR*",$J41:$AX41,"&lt;&gt;"&amp;"pB2 RNNR")*0.5)))</f>
        <v/>
      </c>
      <c r="J41" s="184" t="str">
        <f>IFERROR(IF(VLOOKUP(Sun_W2[[#This Row],[Employee Name]],'Base Schedules'!$A$79:$AW$111,9,FALSE)="","",VLOOKUP(Sun_W2[[#This Row],[Employee Name]],'Base Schedules'!$A$79:$AW$111,9,FALSE)),"")</f>
        <v/>
      </c>
      <c r="K41" s="184" t="str">
        <f>IFERROR(IF(VLOOKUP(Sun_W2[[#This Row],[Employee Name]],'Base Schedules'!$A$79:$AW$111,10,FALSE)="","",VLOOKUP(Sun_W2[[#This Row],[Employee Name]],'Base Schedules'!$A$79:$AW$111,10,FALSE)),"")</f>
        <v/>
      </c>
      <c r="L41" s="184" t="str">
        <f>IFERROR(IF(VLOOKUP(Sun_W2[[#This Row],[Employee Name]],'Base Schedules'!$A$79:$AW$111,11,FALSE)="","",VLOOKUP(Sun_W2[[#This Row],[Employee Name]],'Base Schedules'!$A$79:$AW$111,11,FALSE)),"")</f>
        <v/>
      </c>
      <c r="M41" s="184" t="str">
        <f>IFERROR(IF(VLOOKUP(Sun_W2[[#This Row],[Employee Name]],'Base Schedules'!$A$79:$AW$111,12,FALSE)="","",VLOOKUP(Sun_W2[[#This Row],[Employee Name]],'Base Schedules'!$A$79:$AW$111,12,FALSE)),"")</f>
        <v/>
      </c>
      <c r="N41" s="184" t="str">
        <f>IFERROR(IF(VLOOKUP(Sun_W2[[#This Row],[Employee Name]],'Base Schedules'!$A$79:$AW$111,13,FALSE)="","",VLOOKUP(Sun_W2[[#This Row],[Employee Name]],'Base Schedules'!$A$79:$AW$111,13,FALSE)),"")</f>
        <v/>
      </c>
      <c r="O41" s="184" t="str">
        <f>IFERROR(IF(VLOOKUP(Sun_W2[[#This Row],[Employee Name]],'Base Schedules'!$A$79:$AW$111,14,FALSE)="","",VLOOKUP(Sun_W2[[#This Row],[Employee Name]],'Base Schedules'!$A$79:$AW$111,14,FALSE)),"")</f>
        <v/>
      </c>
      <c r="P41" s="184" t="str">
        <f>IFERROR(IF(VLOOKUP(Sun_W2[[#This Row],[Employee Name]],'Base Schedules'!$A$79:$AW$111,15,FALSE)="","",VLOOKUP(Sun_W2[[#This Row],[Employee Name]],'Base Schedules'!$A$79:$AW$111,15,FALSE)),"")</f>
        <v/>
      </c>
      <c r="Q41" s="184" t="str">
        <f>IFERROR(IF(VLOOKUP(Sun_W2[[#This Row],[Employee Name]],'Base Schedules'!$A$79:$AW$111,16,FALSE)="","",VLOOKUP(Sun_W2[[#This Row],[Employee Name]],'Base Schedules'!$A$79:$AW$111,16,FALSE)),"")</f>
        <v/>
      </c>
      <c r="R41" s="184" t="str">
        <f>IFERROR(IF(VLOOKUP(Sun_W2[[#This Row],[Employee Name]],'Base Schedules'!$A$79:$AW$111,17,FALSE)="","",VLOOKUP(Sun_W2[[#This Row],[Employee Name]],'Base Schedules'!$A$79:$AW$111,17,FALSE)),"")</f>
        <v/>
      </c>
      <c r="S41" s="184" t="str">
        <f>IFERROR(IF(VLOOKUP(Sun_W2[[#This Row],[Employee Name]],'Base Schedules'!$A$79:$AW$111,18,FALSE)="","",VLOOKUP(Sun_W2[[#This Row],[Employee Name]],'Base Schedules'!$A$79:$AW$111,18,FALSE)),"")</f>
        <v/>
      </c>
      <c r="T41" s="184" t="str">
        <f>IFERROR(IF(VLOOKUP(Sun_W2[[#This Row],[Employee Name]],'Base Schedules'!$A$79:$AW$111,19,FALSE)="","",VLOOKUP(Sun_W2[[#This Row],[Employee Name]],'Base Schedules'!$A$79:$AW$111,19,FALSE)),"")</f>
        <v/>
      </c>
      <c r="U41" s="184" t="str">
        <f>IFERROR(IF(VLOOKUP(Sun_W2[[#This Row],[Employee Name]],'Base Schedules'!$A$79:$AW$111,20,FALSE)="","",VLOOKUP(Sun_W2[[#This Row],[Employee Name]],'Base Schedules'!$A$79:$AW$111,20,FALSE)),"")</f>
        <v/>
      </c>
      <c r="V41" s="184" t="str">
        <f>IFERROR(IF(VLOOKUP(Sun_W2[[#This Row],[Employee Name]],'Base Schedules'!$A$79:$AW$111,21,FALSE)="","",VLOOKUP(Sun_W2[[#This Row],[Employee Name]],'Base Schedules'!$A$79:$AW$111,21,FALSE)),"")</f>
        <v/>
      </c>
      <c r="W41" s="184" t="str">
        <f>IFERROR(IF(VLOOKUP(Sun_W2[[#This Row],[Employee Name]],'Base Schedules'!$A$79:$AW$111,22,FALSE)="","",VLOOKUP(Sun_W2[[#This Row],[Employee Name]],'Base Schedules'!$A$79:$AW$111,22,FALSE)),"")</f>
        <v/>
      </c>
      <c r="X41" s="184" t="str">
        <f>IFERROR(IF(VLOOKUP(Sun_W2[[#This Row],[Employee Name]],'Base Schedules'!$A$79:$AW$111,23,FALSE)="","",VLOOKUP(Sun_W2[[#This Row],[Employee Name]],'Base Schedules'!$A$79:$AW$111,23,FALSE)),"")</f>
        <v/>
      </c>
      <c r="Y41" s="184" t="str">
        <f>IFERROR(IF(VLOOKUP(Sun_W2[[#This Row],[Employee Name]],'Base Schedules'!$A$79:$AW$111,24,FALSE)="","",VLOOKUP(Sun_W2[[#This Row],[Employee Name]],'Base Schedules'!$A$79:$AW$111,24,FALSE)),"")</f>
        <v/>
      </c>
      <c r="Z41" s="184" t="str">
        <f>IFERROR(IF(VLOOKUP(Sun_W2[[#This Row],[Employee Name]],'Base Schedules'!$A$79:$AW$111,25,FALSE)="","",VLOOKUP(Sun_W2[[#This Row],[Employee Name]],'Base Schedules'!$A$79:$AW$111,25,FALSE)),"")</f>
        <v/>
      </c>
      <c r="AA41" s="184" t="str">
        <f>IFERROR(IF(VLOOKUP(Sun_W2[[#This Row],[Employee Name]],'Base Schedules'!$A$79:$AW$111,26,FALSE)="","",VLOOKUP(Sun_W2[[#This Row],[Employee Name]],'Base Schedules'!$A$79:$AW$111,26,FALSE)),"")</f>
        <v/>
      </c>
      <c r="AB41" s="184" t="str">
        <f>IFERROR(IF(VLOOKUP(Sun_W2[[#This Row],[Employee Name]],'Base Schedules'!$A$79:$AW$111,27,FALSE)="","",VLOOKUP(Sun_W2[[#This Row],[Employee Name]],'Base Schedules'!$A$79:$AW$111,27,FALSE)),"")</f>
        <v/>
      </c>
      <c r="AC41" s="184" t="str">
        <f>IFERROR(IF(VLOOKUP(Sun_W2[[#This Row],[Employee Name]],'Base Schedules'!$A$79:$AW$111,28,FALSE)="","",VLOOKUP(Sun_W2[[#This Row],[Employee Name]],'Base Schedules'!$A$79:$AW$111,28,FALSE)),"")</f>
        <v/>
      </c>
      <c r="AD41" s="184" t="str">
        <f>IFERROR(IF(VLOOKUP(Sun_W2[[#This Row],[Employee Name]],'Base Schedules'!$A$79:$AW$111,29,FALSE)="","",VLOOKUP(Sun_W2[[#This Row],[Employee Name]],'Base Schedules'!$A$79:$AW$111,29,FALSE)),"")</f>
        <v/>
      </c>
      <c r="AE41" s="184" t="str">
        <f>IFERROR(IF(VLOOKUP(Sun_W2[[#This Row],[Employee Name]],'Base Schedules'!$A$79:$AW$111,30,FALSE)="","",VLOOKUP(Sun_W2[[#This Row],[Employee Name]],'Base Schedules'!$A$79:$AW$111,30,FALSE)),"")</f>
        <v/>
      </c>
      <c r="AF41" s="184" t="str">
        <f>IFERROR(IF(VLOOKUP(Sun_W2[[#This Row],[Employee Name]],'Base Schedules'!$A$79:$AW$111,31,FALSE)="","",VLOOKUP(Sun_W2[[#This Row],[Employee Name]],'Base Schedules'!$A$79:$AW$111,31,FALSE)),"")</f>
        <v/>
      </c>
      <c r="AG41" s="184" t="str">
        <f>IFERROR(IF(VLOOKUP(Sun_W2[[#This Row],[Employee Name]],'Base Schedules'!$A$79:$AW$111,32,FALSE)="","",VLOOKUP(Sun_W2[[#This Row],[Employee Name]],'Base Schedules'!$A$79:$AW$111,32,FALSE)),"")</f>
        <v/>
      </c>
      <c r="AH41" s="184" t="str">
        <f>IFERROR(IF(VLOOKUP(Sun_W2[[#This Row],[Employee Name]],'Base Schedules'!$A$79:$AW$111,33,FALSE)="","",VLOOKUP(Sun_W2[[#This Row],[Employee Name]],'Base Schedules'!$A$79:$AW$111,33,FALSE)),"")</f>
        <v/>
      </c>
      <c r="AI41" s="184" t="str">
        <f>IFERROR(IF(VLOOKUP(Sun_W2[[#This Row],[Employee Name]],'Base Schedules'!$A$79:$AW$111,34,FALSE)="","",VLOOKUP(Sun_W2[[#This Row],[Employee Name]],'Base Schedules'!$A$79:$AW$111,34,FALSE)),"")</f>
        <v/>
      </c>
      <c r="AJ41" s="184" t="str">
        <f>IFERROR(IF(VLOOKUP(Sun_W2[[#This Row],[Employee Name]],'Base Schedules'!$A$79:$AW$111,35,FALSE)="","",VLOOKUP(Sun_W2[[#This Row],[Employee Name]],'Base Schedules'!$A$79:$AW$111,35,FALSE)),"")</f>
        <v/>
      </c>
      <c r="AK41" s="184" t="str">
        <f>IFERROR(IF(VLOOKUP(Sun_W2[[#This Row],[Employee Name]],'Base Schedules'!$A$79:$AW$111,36,FALSE)="","",VLOOKUP(Sun_W2[[#This Row],[Employee Name]],'Base Schedules'!$A$79:$AW$111,36,FALSE)),"")</f>
        <v/>
      </c>
      <c r="AL41" s="184" t="str">
        <f>IFERROR(IF(VLOOKUP(Sun_W2[[#This Row],[Employee Name]],'Base Schedules'!$A$79:$AW$111,37,FALSE)="","",VLOOKUP(Sun_W2[[#This Row],[Employee Name]],'Base Schedules'!$A$79:$AW$111,37,FALSE)),"")</f>
        <v/>
      </c>
      <c r="AM41" s="184" t="str">
        <f>IFERROR(IF(VLOOKUP(Sun_W2[[#This Row],[Employee Name]],'Base Schedules'!$A$79:$AW$111,38,FALSE)="","",VLOOKUP(Sun_W2[[#This Row],[Employee Name]],'Base Schedules'!$A$79:$AW$111,38,FALSE)),"")</f>
        <v/>
      </c>
      <c r="AN41" s="184" t="str">
        <f>IFERROR(IF(VLOOKUP(Sun_W2[[#This Row],[Employee Name]],'Base Schedules'!$A$79:$AW$111,39,FALSE)="","",VLOOKUP(Sun_W2[[#This Row],[Employee Name]],'Base Schedules'!$A$79:$AW$111,39,FALSE)),"")</f>
        <v/>
      </c>
      <c r="AO41" s="184" t="str">
        <f>IFERROR(IF(VLOOKUP(Sun_W2[[#This Row],[Employee Name]],'Base Schedules'!$A$79:$AW$111,40,FALSE)="","",VLOOKUP(Sun_W2[[#This Row],[Employee Name]],'Base Schedules'!$A$79:$AW$111,40,FALSE)),"")</f>
        <v/>
      </c>
      <c r="AP41" s="184" t="str">
        <f>IFERROR(IF(VLOOKUP(Sun_W2[[#This Row],[Employee Name]],'Base Schedules'!$A$79:$AW$111,41,FALSE)="","",VLOOKUP(Sun_W2[[#This Row],[Employee Name]],'Base Schedules'!$A$79:$AW$111,41,FALSE)),"")</f>
        <v/>
      </c>
      <c r="AQ41" s="184" t="str">
        <f>IFERROR(IF(VLOOKUP(Sun_W2[[#This Row],[Employee Name]],'Base Schedules'!$A$79:$AW$111,42,FALSE)="","",VLOOKUP(Sun_W2[[#This Row],[Employee Name]],'Base Schedules'!$A$79:$AW$111,42,FALSE)),"")</f>
        <v/>
      </c>
      <c r="AR41" s="184" t="str">
        <f>IFERROR(IF(VLOOKUP(Sun_W2[[#This Row],[Employee Name]],'Base Schedules'!$A$79:$AW$111,43,FALSE)="","",VLOOKUP(Sun_W2[[#This Row],[Employee Name]],'Base Schedules'!$A$79:$AW$111,43,FALSE)),"")</f>
        <v/>
      </c>
      <c r="AS41" s="184" t="str">
        <f>IFERROR(IF(VLOOKUP(Sun_W2[[#This Row],[Employee Name]],'Base Schedules'!$A$79:$AW$111,44,FALSE)="","",VLOOKUP(Sun_W2[[#This Row],[Employee Name]],'Base Schedules'!$A$79:$AW$111,44,FALSE)),"")</f>
        <v/>
      </c>
      <c r="AT41" s="184" t="str">
        <f>IFERROR(IF(VLOOKUP(Sun_W2[[#This Row],[Employee Name]],'Base Schedules'!$A$79:$AW$111,45,FALSE)="","",VLOOKUP(Sun_W2[[#This Row],[Employee Name]],'Base Schedules'!$A$79:$AW$111,45,FALSE)),"")</f>
        <v/>
      </c>
      <c r="AU41" s="184" t="str">
        <f>IFERROR(IF(VLOOKUP(Sun_W2[[#This Row],[Employee Name]],'Base Schedules'!$A$79:$AW$111,46,FALSE)="","",VLOOKUP(Sun_W2[[#This Row],[Employee Name]],'Base Schedules'!$A$79:$AW$111,46,FALSE)),"")</f>
        <v/>
      </c>
      <c r="AV41" s="184" t="str">
        <f>IFERROR(IF(VLOOKUP(Sun_W2[[#This Row],[Employee Name]],'Base Schedules'!$A$79:$AW$111,47,FALSE)="","",VLOOKUP(Sun_W2[[#This Row],[Employee Name]],'Base Schedules'!$A$79:$AW$111,47,FALSE)),"")</f>
        <v/>
      </c>
      <c r="AW41" s="184" t="str">
        <f>IFERROR(IF(VLOOKUP(Sun_W2[[#This Row],[Employee Name]],'Base Schedules'!$A$79:$AW$111,48,FALSE)="","",VLOOKUP(Sun_W2[[#This Row],[Employee Name]],'Base Schedules'!$A$79:$AW$111,48,FALSE)),"")</f>
        <v/>
      </c>
      <c r="AX41" s="184" t="str">
        <f>IFERROR(IF(VLOOKUP(Sun_W2[[#This Row],[Employee Name]],'Base Schedules'!$A$79:$AW$111,49,FALSE)="","",VLOOKUP(Sun_W2[[#This Row],[Employee Name]],'Base Schedules'!$A$79:$AW$111,49,FALSE)),"")</f>
        <v/>
      </c>
      <c r="AY41" s="159" t="str">
        <f t="shared" si="2"/>
        <v/>
      </c>
    </row>
    <row r="42" spans="1:53" s="44" customFormat="1" ht="12" hidden="1" customHeight="1" x14ac:dyDescent="0.2">
      <c r="A42" s="39" t="str">
        <f>IF(B42="","",INDEX(TeamList[],MATCH($B42,TeamList[[Employee Name]:[Employee Name]],0),MATCH("Manager",TeamList[#Headers],0)))</f>
        <v/>
      </c>
      <c r="B42" s="201"/>
      <c r="C42" s="257" t="str">
        <f>_xlfn.IFNA(VLOOKUP(Sun_W2[[#This Row],[Employee Name]],'Base Schedules'!A:B,2,FALSE),"")</f>
        <v/>
      </c>
      <c r="D42" s="274" t="str">
        <f>_xlfn.IFNA(VLOOKUP(Sun_W2[[#This Row],[Employee Name]],'Base Schedules'!A:C,3,FALSE),"")</f>
        <v/>
      </c>
      <c r="E42" s="354" t="str">
        <f>_xlfn.IFNA(VLOOKUP(Sun_W2[[#This Row],[Employee Name]],'Base Schedules'!A:D,4,FALSE),"")</f>
        <v/>
      </c>
      <c r="F42" s="358" t="str">
        <f>IF(Sun_W2[[#This Row],[Employee Name]]="","",IF(Sun_W2[[#This Row],[Dept]]="Supervisor",COUNTIFS($J42:$AX42,"*HL*",$J42:$AX42,"&lt;&gt;"&amp;"pHL"),COUNTIFS($J42:$AX42,"*HL*",$J42:$AX42,"&lt;&gt;"&amp;"*pHL*",$J42:$AX42,"&lt;&gt;"&amp;"pB1 HL",$J42:$AX42,"&lt;&gt;"&amp;"pB2 HL")-SUM(COUNTIFS($J42:$AX42,"*HL B1*",$J42:$AX42,"&lt;&gt;"&amp;"pHL B1")*0.5,COUNTIFS($J42:$AX42,"*HL B2*",$J42:$AX42,"&lt;&gt;"&amp;"pHL B2")*0.5,COUNTIFS($J42:$AX42,"*B1 HL*",$J42:$AX42,"&lt;&gt;"&amp;"pB1 HL")*0.5,COUNTIFS($J42:$AX42,"*B2 HL*",$J42:$AX42,"&lt;&gt;"&amp;"pB2 HL")*0.5)))</f>
        <v/>
      </c>
      <c r="G42" s="142" t="str">
        <f t="shared" si="3"/>
        <v/>
      </c>
      <c r="H42" s="142" t="str">
        <f t="shared" si="1"/>
        <v/>
      </c>
      <c r="I42" s="142" t="str">
        <f>IF(Sun_W2[[#This Row],[Employee Name]]="","",IF(Sun_W2[[#This Row],[Dept]]="Supervisor",SUM(COUNTIFS($J42:$AX42,"RTA*",$J42:$AX42,"&lt;&gt;"&amp;"pRTA"),COUNTIFS($J42:$AX42,"*CRTA*",$J42:$AX42,"&lt;&gt;"&amp;"pCRTA")),COUNTIFS($J42:$AX42,"*RNNR*",$J42:$AX42,"&lt;&gt;"&amp;"*pRNNR*",$J42:$AX42,"&lt;&gt;"&amp;"pB1 RNNR",$J42:$AX42,"&lt;&gt;"&amp;"pB2 RNNR")-SUM(COUNTIFS($J42:$AX42,"*RNNR B1*",$J42:$AX42,"&lt;&gt;"&amp;"pRNNR B1")*0.5,COUNTIFS($J42:$AX42,"*RNNR B2*",$J42:$AX42,"&lt;&gt;"&amp;"pRNNR B2")*0.5,COUNTIFS($J42:$AX42,"*B1 RNNR*",$J42:$AX42,"&lt;&gt;"&amp;"pB1 RNNR")*0.5,COUNTIFS($J42:$AX42,"*B2 RNNR*",$J42:$AX42,"&lt;&gt;"&amp;"pB2 RNNR")*0.5)))</f>
        <v/>
      </c>
      <c r="J42" s="184" t="str">
        <f>IFERROR(IF(VLOOKUP(Sun_W2[[#This Row],[Employee Name]],'Base Schedules'!$A$79:$AW$111,9,FALSE)="","",VLOOKUP(Sun_W2[[#This Row],[Employee Name]],'Base Schedules'!$A$79:$AW$111,9,FALSE)),"")</f>
        <v/>
      </c>
      <c r="K42" s="184" t="str">
        <f>IFERROR(IF(VLOOKUP(Sun_W2[[#This Row],[Employee Name]],'Base Schedules'!$A$79:$AW$111,10,FALSE)="","",VLOOKUP(Sun_W2[[#This Row],[Employee Name]],'Base Schedules'!$A$79:$AW$111,10,FALSE)),"")</f>
        <v/>
      </c>
      <c r="L42" s="184" t="str">
        <f>IFERROR(IF(VLOOKUP(Sun_W2[[#This Row],[Employee Name]],'Base Schedules'!$A$79:$AW$111,11,FALSE)="","",VLOOKUP(Sun_W2[[#This Row],[Employee Name]],'Base Schedules'!$A$79:$AW$111,11,FALSE)),"")</f>
        <v/>
      </c>
      <c r="M42" s="184" t="str">
        <f>IFERROR(IF(VLOOKUP(Sun_W2[[#This Row],[Employee Name]],'Base Schedules'!$A$79:$AW$111,12,FALSE)="","",VLOOKUP(Sun_W2[[#This Row],[Employee Name]],'Base Schedules'!$A$79:$AW$111,12,FALSE)),"")</f>
        <v/>
      </c>
      <c r="N42" s="184" t="str">
        <f>IFERROR(IF(VLOOKUP(Sun_W2[[#This Row],[Employee Name]],'Base Schedules'!$A$79:$AW$111,13,FALSE)="","",VLOOKUP(Sun_W2[[#This Row],[Employee Name]],'Base Schedules'!$A$79:$AW$111,13,FALSE)),"")</f>
        <v/>
      </c>
      <c r="O42" s="184" t="str">
        <f>IFERROR(IF(VLOOKUP(Sun_W2[[#This Row],[Employee Name]],'Base Schedules'!$A$79:$AW$111,14,FALSE)="","",VLOOKUP(Sun_W2[[#This Row],[Employee Name]],'Base Schedules'!$A$79:$AW$111,14,FALSE)),"")</f>
        <v/>
      </c>
      <c r="P42" s="184" t="str">
        <f>IFERROR(IF(VLOOKUP(Sun_W2[[#This Row],[Employee Name]],'Base Schedules'!$A$79:$AW$111,15,FALSE)="","",VLOOKUP(Sun_W2[[#This Row],[Employee Name]],'Base Schedules'!$A$79:$AW$111,15,FALSE)),"")</f>
        <v/>
      </c>
      <c r="Q42" s="184" t="str">
        <f>IFERROR(IF(VLOOKUP(Sun_W2[[#This Row],[Employee Name]],'Base Schedules'!$A$79:$AW$111,16,FALSE)="","",VLOOKUP(Sun_W2[[#This Row],[Employee Name]],'Base Schedules'!$A$79:$AW$111,16,FALSE)),"")</f>
        <v/>
      </c>
      <c r="R42" s="184" t="str">
        <f>IFERROR(IF(VLOOKUP(Sun_W2[[#This Row],[Employee Name]],'Base Schedules'!$A$79:$AW$111,17,FALSE)="","",VLOOKUP(Sun_W2[[#This Row],[Employee Name]],'Base Schedules'!$A$79:$AW$111,17,FALSE)),"")</f>
        <v/>
      </c>
      <c r="S42" s="184" t="str">
        <f>IFERROR(IF(VLOOKUP(Sun_W2[[#This Row],[Employee Name]],'Base Schedules'!$A$79:$AW$111,18,FALSE)="","",VLOOKUP(Sun_W2[[#This Row],[Employee Name]],'Base Schedules'!$A$79:$AW$111,18,FALSE)),"")</f>
        <v/>
      </c>
      <c r="T42" s="184" t="str">
        <f>IFERROR(IF(VLOOKUP(Sun_W2[[#This Row],[Employee Name]],'Base Schedules'!$A$79:$AW$111,19,FALSE)="","",VLOOKUP(Sun_W2[[#This Row],[Employee Name]],'Base Schedules'!$A$79:$AW$111,19,FALSE)),"")</f>
        <v/>
      </c>
      <c r="U42" s="184" t="str">
        <f>IFERROR(IF(VLOOKUP(Sun_W2[[#This Row],[Employee Name]],'Base Schedules'!$A$79:$AW$111,20,FALSE)="","",VLOOKUP(Sun_W2[[#This Row],[Employee Name]],'Base Schedules'!$A$79:$AW$111,20,FALSE)),"")</f>
        <v/>
      </c>
      <c r="V42" s="184" t="str">
        <f>IFERROR(IF(VLOOKUP(Sun_W2[[#This Row],[Employee Name]],'Base Schedules'!$A$79:$AW$111,21,FALSE)="","",VLOOKUP(Sun_W2[[#This Row],[Employee Name]],'Base Schedules'!$A$79:$AW$111,21,FALSE)),"")</f>
        <v/>
      </c>
      <c r="W42" s="184" t="str">
        <f>IFERROR(IF(VLOOKUP(Sun_W2[[#This Row],[Employee Name]],'Base Schedules'!$A$79:$AW$111,22,FALSE)="","",VLOOKUP(Sun_W2[[#This Row],[Employee Name]],'Base Schedules'!$A$79:$AW$111,22,FALSE)),"")</f>
        <v/>
      </c>
      <c r="X42" s="184" t="str">
        <f>IFERROR(IF(VLOOKUP(Sun_W2[[#This Row],[Employee Name]],'Base Schedules'!$A$79:$AW$111,23,FALSE)="","",VLOOKUP(Sun_W2[[#This Row],[Employee Name]],'Base Schedules'!$A$79:$AW$111,23,FALSE)),"")</f>
        <v/>
      </c>
      <c r="Y42" s="184" t="str">
        <f>IFERROR(IF(VLOOKUP(Sun_W2[[#This Row],[Employee Name]],'Base Schedules'!$A$79:$AW$111,24,FALSE)="","",VLOOKUP(Sun_W2[[#This Row],[Employee Name]],'Base Schedules'!$A$79:$AW$111,24,FALSE)),"")</f>
        <v/>
      </c>
      <c r="Z42" s="184" t="str">
        <f>IFERROR(IF(VLOOKUP(Sun_W2[[#This Row],[Employee Name]],'Base Schedules'!$A$79:$AW$111,25,FALSE)="","",VLOOKUP(Sun_W2[[#This Row],[Employee Name]],'Base Schedules'!$A$79:$AW$111,25,FALSE)),"")</f>
        <v/>
      </c>
      <c r="AA42" s="184" t="str">
        <f>IFERROR(IF(VLOOKUP(Sun_W2[[#This Row],[Employee Name]],'Base Schedules'!$A$79:$AW$111,26,FALSE)="","",VLOOKUP(Sun_W2[[#This Row],[Employee Name]],'Base Schedules'!$A$79:$AW$111,26,FALSE)),"")</f>
        <v/>
      </c>
      <c r="AB42" s="184" t="str">
        <f>IFERROR(IF(VLOOKUP(Sun_W2[[#This Row],[Employee Name]],'Base Schedules'!$A$79:$AW$111,27,FALSE)="","",VLOOKUP(Sun_W2[[#This Row],[Employee Name]],'Base Schedules'!$A$79:$AW$111,27,FALSE)),"")</f>
        <v/>
      </c>
      <c r="AC42" s="184" t="str">
        <f>IFERROR(IF(VLOOKUP(Sun_W2[[#This Row],[Employee Name]],'Base Schedules'!$A$79:$AW$111,28,FALSE)="","",VLOOKUP(Sun_W2[[#This Row],[Employee Name]],'Base Schedules'!$A$79:$AW$111,28,FALSE)),"")</f>
        <v/>
      </c>
      <c r="AD42" s="184" t="str">
        <f>IFERROR(IF(VLOOKUP(Sun_W2[[#This Row],[Employee Name]],'Base Schedules'!$A$79:$AW$111,29,FALSE)="","",VLOOKUP(Sun_W2[[#This Row],[Employee Name]],'Base Schedules'!$A$79:$AW$111,29,FALSE)),"")</f>
        <v/>
      </c>
      <c r="AE42" s="184" t="str">
        <f>IFERROR(IF(VLOOKUP(Sun_W2[[#This Row],[Employee Name]],'Base Schedules'!$A$79:$AW$111,30,FALSE)="","",VLOOKUP(Sun_W2[[#This Row],[Employee Name]],'Base Schedules'!$A$79:$AW$111,30,FALSE)),"")</f>
        <v/>
      </c>
      <c r="AF42" s="184" t="str">
        <f>IFERROR(IF(VLOOKUP(Sun_W2[[#This Row],[Employee Name]],'Base Schedules'!$A$79:$AW$111,31,FALSE)="","",VLOOKUP(Sun_W2[[#This Row],[Employee Name]],'Base Schedules'!$A$79:$AW$111,31,FALSE)),"")</f>
        <v/>
      </c>
      <c r="AG42" s="184" t="str">
        <f>IFERROR(IF(VLOOKUP(Sun_W2[[#This Row],[Employee Name]],'Base Schedules'!$A$79:$AW$111,32,FALSE)="","",VLOOKUP(Sun_W2[[#This Row],[Employee Name]],'Base Schedules'!$A$79:$AW$111,32,FALSE)),"")</f>
        <v/>
      </c>
      <c r="AH42" s="184" t="str">
        <f>IFERROR(IF(VLOOKUP(Sun_W2[[#This Row],[Employee Name]],'Base Schedules'!$A$79:$AW$111,33,FALSE)="","",VLOOKUP(Sun_W2[[#This Row],[Employee Name]],'Base Schedules'!$A$79:$AW$111,33,FALSE)),"")</f>
        <v/>
      </c>
      <c r="AI42" s="184" t="str">
        <f>IFERROR(IF(VLOOKUP(Sun_W2[[#This Row],[Employee Name]],'Base Schedules'!$A$79:$AW$111,34,FALSE)="","",VLOOKUP(Sun_W2[[#This Row],[Employee Name]],'Base Schedules'!$A$79:$AW$111,34,FALSE)),"")</f>
        <v/>
      </c>
      <c r="AJ42" s="184" t="str">
        <f>IFERROR(IF(VLOOKUP(Sun_W2[[#This Row],[Employee Name]],'Base Schedules'!$A$79:$AW$111,35,FALSE)="","",VLOOKUP(Sun_W2[[#This Row],[Employee Name]],'Base Schedules'!$A$79:$AW$111,35,FALSE)),"")</f>
        <v/>
      </c>
      <c r="AK42" s="184" t="str">
        <f>IFERROR(IF(VLOOKUP(Sun_W2[[#This Row],[Employee Name]],'Base Schedules'!$A$79:$AW$111,36,FALSE)="","",VLOOKUP(Sun_W2[[#This Row],[Employee Name]],'Base Schedules'!$A$79:$AW$111,36,FALSE)),"")</f>
        <v/>
      </c>
      <c r="AL42" s="184" t="str">
        <f>IFERROR(IF(VLOOKUP(Sun_W2[[#This Row],[Employee Name]],'Base Schedules'!$A$79:$AW$111,37,FALSE)="","",VLOOKUP(Sun_W2[[#This Row],[Employee Name]],'Base Schedules'!$A$79:$AW$111,37,FALSE)),"")</f>
        <v/>
      </c>
      <c r="AM42" s="184" t="str">
        <f>IFERROR(IF(VLOOKUP(Sun_W2[[#This Row],[Employee Name]],'Base Schedules'!$A$79:$AW$111,38,FALSE)="","",VLOOKUP(Sun_W2[[#This Row],[Employee Name]],'Base Schedules'!$A$79:$AW$111,38,FALSE)),"")</f>
        <v/>
      </c>
      <c r="AN42" s="184" t="str">
        <f>IFERROR(IF(VLOOKUP(Sun_W2[[#This Row],[Employee Name]],'Base Schedules'!$A$79:$AW$111,39,FALSE)="","",VLOOKUP(Sun_W2[[#This Row],[Employee Name]],'Base Schedules'!$A$79:$AW$111,39,FALSE)),"")</f>
        <v/>
      </c>
      <c r="AO42" s="184" t="str">
        <f>IFERROR(IF(VLOOKUP(Sun_W2[[#This Row],[Employee Name]],'Base Schedules'!$A$79:$AW$111,40,FALSE)="","",VLOOKUP(Sun_W2[[#This Row],[Employee Name]],'Base Schedules'!$A$79:$AW$111,40,FALSE)),"")</f>
        <v/>
      </c>
      <c r="AP42" s="184" t="str">
        <f>IFERROR(IF(VLOOKUP(Sun_W2[[#This Row],[Employee Name]],'Base Schedules'!$A$79:$AW$111,41,FALSE)="","",VLOOKUP(Sun_W2[[#This Row],[Employee Name]],'Base Schedules'!$A$79:$AW$111,41,FALSE)),"")</f>
        <v/>
      </c>
      <c r="AQ42" s="184" t="str">
        <f>IFERROR(IF(VLOOKUP(Sun_W2[[#This Row],[Employee Name]],'Base Schedules'!$A$79:$AW$111,42,FALSE)="","",VLOOKUP(Sun_W2[[#This Row],[Employee Name]],'Base Schedules'!$A$79:$AW$111,42,FALSE)),"")</f>
        <v/>
      </c>
      <c r="AR42" s="184" t="str">
        <f>IFERROR(IF(VLOOKUP(Sun_W2[[#This Row],[Employee Name]],'Base Schedules'!$A$79:$AW$111,43,FALSE)="","",VLOOKUP(Sun_W2[[#This Row],[Employee Name]],'Base Schedules'!$A$79:$AW$111,43,FALSE)),"")</f>
        <v/>
      </c>
      <c r="AS42" s="184" t="str">
        <f>IFERROR(IF(VLOOKUP(Sun_W2[[#This Row],[Employee Name]],'Base Schedules'!$A$79:$AW$111,44,FALSE)="","",VLOOKUP(Sun_W2[[#This Row],[Employee Name]],'Base Schedules'!$A$79:$AW$111,44,FALSE)),"")</f>
        <v/>
      </c>
      <c r="AT42" s="184" t="str">
        <f>IFERROR(IF(VLOOKUP(Sun_W2[[#This Row],[Employee Name]],'Base Schedules'!$A$79:$AW$111,45,FALSE)="","",VLOOKUP(Sun_W2[[#This Row],[Employee Name]],'Base Schedules'!$A$79:$AW$111,45,FALSE)),"")</f>
        <v/>
      </c>
      <c r="AU42" s="184" t="str">
        <f>IFERROR(IF(VLOOKUP(Sun_W2[[#This Row],[Employee Name]],'Base Schedules'!$A$79:$AW$111,46,FALSE)="","",VLOOKUP(Sun_W2[[#This Row],[Employee Name]],'Base Schedules'!$A$79:$AW$111,46,FALSE)),"")</f>
        <v/>
      </c>
      <c r="AV42" s="184" t="str">
        <f>IFERROR(IF(VLOOKUP(Sun_W2[[#This Row],[Employee Name]],'Base Schedules'!$A$79:$AW$111,47,FALSE)="","",VLOOKUP(Sun_W2[[#This Row],[Employee Name]],'Base Schedules'!$A$79:$AW$111,47,FALSE)),"")</f>
        <v/>
      </c>
      <c r="AW42" s="184" t="str">
        <f>IFERROR(IF(VLOOKUP(Sun_W2[[#This Row],[Employee Name]],'Base Schedules'!$A$79:$AW$111,48,FALSE)="","",VLOOKUP(Sun_W2[[#This Row],[Employee Name]],'Base Schedules'!$A$79:$AW$111,48,FALSE)),"")</f>
        <v/>
      </c>
      <c r="AX42" s="184" t="str">
        <f>IFERROR(IF(VLOOKUP(Sun_W2[[#This Row],[Employee Name]],'Base Schedules'!$A$79:$AW$111,49,FALSE)="","",VLOOKUP(Sun_W2[[#This Row],[Employee Name]],'Base Schedules'!$A$79:$AW$111,49,FALSE)),"")</f>
        <v/>
      </c>
      <c r="AY42" s="159" t="str">
        <f t="shared" si="2"/>
        <v/>
      </c>
    </row>
    <row r="43" spans="1:53" s="44" customFormat="1" ht="12" hidden="1" customHeight="1" x14ac:dyDescent="0.2">
      <c r="A43" s="39" t="str">
        <f>IF(B43="","",INDEX(TeamList[],MATCH($B43,TeamList[[Employee Name]:[Employee Name]],0),MATCH("Manager",TeamList[#Headers],0)))</f>
        <v/>
      </c>
      <c r="B43" s="201"/>
      <c r="C43" s="257" t="str">
        <f>_xlfn.IFNA(VLOOKUP(Sun_W2[[#This Row],[Employee Name]],'Base Schedules'!A:B,2,FALSE),"")</f>
        <v/>
      </c>
      <c r="D43" s="274" t="str">
        <f>_xlfn.IFNA(VLOOKUP(Sun_W2[[#This Row],[Employee Name]],'Base Schedules'!A:C,3,FALSE),"")</f>
        <v/>
      </c>
      <c r="E43" s="354" t="str">
        <f>_xlfn.IFNA(VLOOKUP(Sun_W2[[#This Row],[Employee Name]],'Base Schedules'!A:D,4,FALSE),"")</f>
        <v/>
      </c>
      <c r="F43" s="358" t="str">
        <f>IF(Sun_W2[[#This Row],[Employee Name]]="","",IF(Sun_W2[[#This Row],[Dept]]="Supervisor",COUNTIFS($J43:$AX43,"*HL*",$J43:$AX43,"&lt;&gt;"&amp;"pHL"),COUNTIFS($J43:$AX43,"*HL*",$J43:$AX43,"&lt;&gt;"&amp;"*pHL*",$J43:$AX43,"&lt;&gt;"&amp;"pB1 HL",$J43:$AX43,"&lt;&gt;"&amp;"pB2 HL")-SUM(COUNTIFS($J43:$AX43,"*HL B1*",$J43:$AX43,"&lt;&gt;"&amp;"pHL B1")*0.5,COUNTIFS($J43:$AX43,"*HL B2*",$J43:$AX43,"&lt;&gt;"&amp;"pHL B2")*0.5,COUNTIFS($J43:$AX43,"*B1 HL*",$J43:$AX43,"&lt;&gt;"&amp;"pB1 HL")*0.5,COUNTIFS($J43:$AX43,"*B2 HL*",$J43:$AX43,"&lt;&gt;"&amp;"pB2 HL")*0.5)))</f>
        <v/>
      </c>
      <c r="G43" s="142" t="str">
        <f t="shared" si="3"/>
        <v/>
      </c>
      <c r="H43" s="142" t="str">
        <f t="shared" si="1"/>
        <v/>
      </c>
      <c r="I43" s="142" t="str">
        <f>IF(Sun_W2[[#This Row],[Employee Name]]="","",IF(Sun_W2[[#This Row],[Dept]]="Supervisor",SUM(COUNTIFS($J43:$AX43,"RTA*",$J43:$AX43,"&lt;&gt;"&amp;"pRTA"),COUNTIFS($J43:$AX43,"*CRTA*",$J43:$AX43,"&lt;&gt;"&amp;"pCRTA")),COUNTIFS($J43:$AX43,"*RNNR*",$J43:$AX43,"&lt;&gt;"&amp;"*pRNNR*",$J43:$AX43,"&lt;&gt;"&amp;"pB1 RNNR",$J43:$AX43,"&lt;&gt;"&amp;"pB2 RNNR")-SUM(COUNTIFS($J43:$AX43,"*RNNR B1*",$J43:$AX43,"&lt;&gt;"&amp;"pRNNR B1")*0.5,COUNTIFS($J43:$AX43,"*RNNR B2*",$J43:$AX43,"&lt;&gt;"&amp;"pRNNR B2")*0.5,COUNTIFS($J43:$AX43,"*B1 RNNR*",$J43:$AX43,"&lt;&gt;"&amp;"pB1 RNNR")*0.5,COUNTIFS($J43:$AX43,"*B2 RNNR*",$J43:$AX43,"&lt;&gt;"&amp;"pB2 RNNR")*0.5)))</f>
        <v/>
      </c>
      <c r="J43" s="184" t="str">
        <f>IFERROR(IF(VLOOKUP(Sun_W2[[#This Row],[Employee Name]],'Base Schedules'!$A$79:$AW$111,9,FALSE)="","",VLOOKUP(Sun_W2[[#This Row],[Employee Name]],'Base Schedules'!$A$79:$AW$111,9,FALSE)),"")</f>
        <v/>
      </c>
      <c r="K43" s="184" t="str">
        <f>IFERROR(IF(VLOOKUP(Sun_W2[[#This Row],[Employee Name]],'Base Schedules'!$A$79:$AW$111,10,FALSE)="","",VLOOKUP(Sun_W2[[#This Row],[Employee Name]],'Base Schedules'!$A$79:$AW$111,10,FALSE)),"")</f>
        <v/>
      </c>
      <c r="L43" s="184" t="str">
        <f>IFERROR(IF(VLOOKUP(Sun_W2[[#This Row],[Employee Name]],'Base Schedules'!$A$79:$AW$111,11,FALSE)="","",VLOOKUP(Sun_W2[[#This Row],[Employee Name]],'Base Schedules'!$A$79:$AW$111,11,FALSE)),"")</f>
        <v/>
      </c>
      <c r="M43" s="184" t="str">
        <f>IFERROR(IF(VLOOKUP(Sun_W2[[#This Row],[Employee Name]],'Base Schedules'!$A$79:$AW$111,12,FALSE)="","",VLOOKUP(Sun_W2[[#This Row],[Employee Name]],'Base Schedules'!$A$79:$AW$111,12,FALSE)),"")</f>
        <v/>
      </c>
      <c r="N43" s="184" t="str">
        <f>IFERROR(IF(VLOOKUP(Sun_W2[[#This Row],[Employee Name]],'Base Schedules'!$A$79:$AW$111,13,FALSE)="","",VLOOKUP(Sun_W2[[#This Row],[Employee Name]],'Base Schedules'!$A$79:$AW$111,13,FALSE)),"")</f>
        <v/>
      </c>
      <c r="O43" s="184" t="str">
        <f>IFERROR(IF(VLOOKUP(Sun_W2[[#This Row],[Employee Name]],'Base Schedules'!$A$79:$AW$111,14,FALSE)="","",VLOOKUP(Sun_W2[[#This Row],[Employee Name]],'Base Schedules'!$A$79:$AW$111,14,FALSE)),"")</f>
        <v/>
      </c>
      <c r="P43" s="184" t="str">
        <f>IFERROR(IF(VLOOKUP(Sun_W2[[#This Row],[Employee Name]],'Base Schedules'!$A$79:$AW$111,15,FALSE)="","",VLOOKUP(Sun_W2[[#This Row],[Employee Name]],'Base Schedules'!$A$79:$AW$111,15,FALSE)),"")</f>
        <v/>
      </c>
      <c r="Q43" s="184" t="str">
        <f>IFERROR(IF(VLOOKUP(Sun_W2[[#This Row],[Employee Name]],'Base Schedules'!$A$79:$AW$111,16,FALSE)="","",VLOOKUP(Sun_W2[[#This Row],[Employee Name]],'Base Schedules'!$A$79:$AW$111,16,FALSE)),"")</f>
        <v/>
      </c>
      <c r="R43" s="184" t="str">
        <f>IFERROR(IF(VLOOKUP(Sun_W2[[#This Row],[Employee Name]],'Base Schedules'!$A$79:$AW$111,17,FALSE)="","",VLOOKUP(Sun_W2[[#This Row],[Employee Name]],'Base Schedules'!$A$79:$AW$111,17,FALSE)),"")</f>
        <v/>
      </c>
      <c r="S43" s="184" t="str">
        <f>IFERROR(IF(VLOOKUP(Sun_W2[[#This Row],[Employee Name]],'Base Schedules'!$A$79:$AW$111,18,FALSE)="","",VLOOKUP(Sun_W2[[#This Row],[Employee Name]],'Base Schedules'!$A$79:$AW$111,18,FALSE)),"")</f>
        <v/>
      </c>
      <c r="T43" s="184" t="str">
        <f>IFERROR(IF(VLOOKUP(Sun_W2[[#This Row],[Employee Name]],'Base Schedules'!$A$79:$AW$111,19,FALSE)="","",VLOOKUP(Sun_W2[[#This Row],[Employee Name]],'Base Schedules'!$A$79:$AW$111,19,FALSE)),"")</f>
        <v/>
      </c>
      <c r="U43" s="184" t="str">
        <f>IFERROR(IF(VLOOKUP(Sun_W2[[#This Row],[Employee Name]],'Base Schedules'!$A$79:$AW$111,20,FALSE)="","",VLOOKUP(Sun_W2[[#This Row],[Employee Name]],'Base Schedules'!$A$79:$AW$111,20,FALSE)),"")</f>
        <v/>
      </c>
      <c r="V43" s="184" t="str">
        <f>IFERROR(IF(VLOOKUP(Sun_W2[[#This Row],[Employee Name]],'Base Schedules'!$A$79:$AW$111,21,FALSE)="","",VLOOKUP(Sun_W2[[#This Row],[Employee Name]],'Base Schedules'!$A$79:$AW$111,21,FALSE)),"")</f>
        <v/>
      </c>
      <c r="W43" s="184" t="str">
        <f>IFERROR(IF(VLOOKUP(Sun_W2[[#This Row],[Employee Name]],'Base Schedules'!$A$79:$AW$111,22,FALSE)="","",VLOOKUP(Sun_W2[[#This Row],[Employee Name]],'Base Schedules'!$A$79:$AW$111,22,FALSE)),"")</f>
        <v/>
      </c>
      <c r="X43" s="184" t="str">
        <f>IFERROR(IF(VLOOKUP(Sun_W2[[#This Row],[Employee Name]],'Base Schedules'!$A$79:$AW$111,23,FALSE)="","",VLOOKUP(Sun_W2[[#This Row],[Employee Name]],'Base Schedules'!$A$79:$AW$111,23,FALSE)),"")</f>
        <v/>
      </c>
      <c r="Y43" s="184" t="str">
        <f>IFERROR(IF(VLOOKUP(Sun_W2[[#This Row],[Employee Name]],'Base Schedules'!$A$79:$AW$111,24,FALSE)="","",VLOOKUP(Sun_W2[[#This Row],[Employee Name]],'Base Schedules'!$A$79:$AW$111,24,FALSE)),"")</f>
        <v/>
      </c>
      <c r="Z43" s="184" t="str">
        <f>IFERROR(IF(VLOOKUP(Sun_W2[[#This Row],[Employee Name]],'Base Schedules'!$A$79:$AW$111,25,FALSE)="","",VLOOKUP(Sun_W2[[#This Row],[Employee Name]],'Base Schedules'!$A$79:$AW$111,25,FALSE)),"")</f>
        <v/>
      </c>
      <c r="AA43" s="184" t="str">
        <f>IFERROR(IF(VLOOKUP(Sun_W2[[#This Row],[Employee Name]],'Base Schedules'!$A$79:$AW$111,26,FALSE)="","",VLOOKUP(Sun_W2[[#This Row],[Employee Name]],'Base Schedules'!$A$79:$AW$111,26,FALSE)),"")</f>
        <v/>
      </c>
      <c r="AB43" s="184" t="str">
        <f>IFERROR(IF(VLOOKUP(Sun_W2[[#This Row],[Employee Name]],'Base Schedules'!$A$79:$AW$111,27,FALSE)="","",VLOOKUP(Sun_W2[[#This Row],[Employee Name]],'Base Schedules'!$A$79:$AW$111,27,FALSE)),"")</f>
        <v/>
      </c>
      <c r="AC43" s="184" t="str">
        <f>IFERROR(IF(VLOOKUP(Sun_W2[[#This Row],[Employee Name]],'Base Schedules'!$A$79:$AW$111,28,FALSE)="","",VLOOKUP(Sun_W2[[#This Row],[Employee Name]],'Base Schedules'!$A$79:$AW$111,28,FALSE)),"")</f>
        <v/>
      </c>
      <c r="AD43" s="184" t="str">
        <f>IFERROR(IF(VLOOKUP(Sun_W2[[#This Row],[Employee Name]],'Base Schedules'!$A$79:$AW$111,29,FALSE)="","",VLOOKUP(Sun_W2[[#This Row],[Employee Name]],'Base Schedules'!$A$79:$AW$111,29,FALSE)),"")</f>
        <v/>
      </c>
      <c r="AE43" s="184" t="str">
        <f>IFERROR(IF(VLOOKUP(Sun_W2[[#This Row],[Employee Name]],'Base Schedules'!$A$79:$AW$111,30,FALSE)="","",VLOOKUP(Sun_W2[[#This Row],[Employee Name]],'Base Schedules'!$A$79:$AW$111,30,FALSE)),"")</f>
        <v/>
      </c>
      <c r="AF43" s="184" t="str">
        <f>IFERROR(IF(VLOOKUP(Sun_W2[[#This Row],[Employee Name]],'Base Schedules'!$A$79:$AW$111,31,FALSE)="","",VLOOKUP(Sun_W2[[#This Row],[Employee Name]],'Base Schedules'!$A$79:$AW$111,31,FALSE)),"")</f>
        <v/>
      </c>
      <c r="AG43" s="184" t="str">
        <f>IFERROR(IF(VLOOKUP(Sun_W2[[#This Row],[Employee Name]],'Base Schedules'!$A$79:$AW$111,32,FALSE)="","",VLOOKUP(Sun_W2[[#This Row],[Employee Name]],'Base Schedules'!$A$79:$AW$111,32,FALSE)),"")</f>
        <v/>
      </c>
      <c r="AH43" s="184" t="str">
        <f>IFERROR(IF(VLOOKUP(Sun_W2[[#This Row],[Employee Name]],'Base Schedules'!$A$79:$AW$111,33,FALSE)="","",VLOOKUP(Sun_W2[[#This Row],[Employee Name]],'Base Schedules'!$A$79:$AW$111,33,FALSE)),"")</f>
        <v/>
      </c>
      <c r="AI43" s="184" t="str">
        <f>IFERROR(IF(VLOOKUP(Sun_W2[[#This Row],[Employee Name]],'Base Schedules'!$A$79:$AW$111,34,FALSE)="","",VLOOKUP(Sun_W2[[#This Row],[Employee Name]],'Base Schedules'!$A$79:$AW$111,34,FALSE)),"")</f>
        <v/>
      </c>
      <c r="AJ43" s="184" t="str">
        <f>IFERROR(IF(VLOOKUP(Sun_W2[[#This Row],[Employee Name]],'Base Schedules'!$A$79:$AW$111,35,FALSE)="","",VLOOKUP(Sun_W2[[#This Row],[Employee Name]],'Base Schedules'!$A$79:$AW$111,35,FALSE)),"")</f>
        <v/>
      </c>
      <c r="AK43" s="184" t="str">
        <f>IFERROR(IF(VLOOKUP(Sun_W2[[#This Row],[Employee Name]],'Base Schedules'!$A$79:$AW$111,36,FALSE)="","",VLOOKUP(Sun_W2[[#This Row],[Employee Name]],'Base Schedules'!$A$79:$AW$111,36,FALSE)),"")</f>
        <v/>
      </c>
      <c r="AL43" s="184" t="str">
        <f>IFERROR(IF(VLOOKUP(Sun_W2[[#This Row],[Employee Name]],'Base Schedules'!$A$79:$AW$111,37,FALSE)="","",VLOOKUP(Sun_W2[[#This Row],[Employee Name]],'Base Schedules'!$A$79:$AW$111,37,FALSE)),"")</f>
        <v/>
      </c>
      <c r="AM43" s="184" t="str">
        <f>IFERROR(IF(VLOOKUP(Sun_W2[[#This Row],[Employee Name]],'Base Schedules'!$A$79:$AW$111,38,FALSE)="","",VLOOKUP(Sun_W2[[#This Row],[Employee Name]],'Base Schedules'!$A$79:$AW$111,38,FALSE)),"")</f>
        <v/>
      </c>
      <c r="AN43" s="184" t="str">
        <f>IFERROR(IF(VLOOKUP(Sun_W2[[#This Row],[Employee Name]],'Base Schedules'!$A$79:$AW$111,39,FALSE)="","",VLOOKUP(Sun_W2[[#This Row],[Employee Name]],'Base Schedules'!$A$79:$AW$111,39,FALSE)),"")</f>
        <v/>
      </c>
      <c r="AO43" s="184" t="str">
        <f>IFERROR(IF(VLOOKUP(Sun_W2[[#This Row],[Employee Name]],'Base Schedules'!$A$79:$AW$111,40,FALSE)="","",VLOOKUP(Sun_W2[[#This Row],[Employee Name]],'Base Schedules'!$A$79:$AW$111,40,FALSE)),"")</f>
        <v/>
      </c>
      <c r="AP43" s="184" t="str">
        <f>IFERROR(IF(VLOOKUP(Sun_W2[[#This Row],[Employee Name]],'Base Schedules'!$A$79:$AW$111,41,FALSE)="","",VLOOKUP(Sun_W2[[#This Row],[Employee Name]],'Base Schedules'!$A$79:$AW$111,41,FALSE)),"")</f>
        <v/>
      </c>
      <c r="AQ43" s="184" t="str">
        <f>IFERROR(IF(VLOOKUP(Sun_W2[[#This Row],[Employee Name]],'Base Schedules'!$A$79:$AW$111,42,FALSE)="","",VLOOKUP(Sun_W2[[#This Row],[Employee Name]],'Base Schedules'!$A$79:$AW$111,42,FALSE)),"")</f>
        <v/>
      </c>
      <c r="AR43" s="184" t="str">
        <f>IFERROR(IF(VLOOKUP(Sun_W2[[#This Row],[Employee Name]],'Base Schedules'!$A$79:$AW$111,43,FALSE)="","",VLOOKUP(Sun_W2[[#This Row],[Employee Name]],'Base Schedules'!$A$79:$AW$111,43,FALSE)),"")</f>
        <v/>
      </c>
      <c r="AS43" s="184" t="str">
        <f>IFERROR(IF(VLOOKUP(Sun_W2[[#This Row],[Employee Name]],'Base Schedules'!$A$79:$AW$111,44,FALSE)="","",VLOOKUP(Sun_W2[[#This Row],[Employee Name]],'Base Schedules'!$A$79:$AW$111,44,FALSE)),"")</f>
        <v/>
      </c>
      <c r="AT43" s="184" t="str">
        <f>IFERROR(IF(VLOOKUP(Sun_W2[[#This Row],[Employee Name]],'Base Schedules'!$A$79:$AW$111,45,FALSE)="","",VLOOKUP(Sun_W2[[#This Row],[Employee Name]],'Base Schedules'!$A$79:$AW$111,45,FALSE)),"")</f>
        <v/>
      </c>
      <c r="AU43" s="184" t="str">
        <f>IFERROR(IF(VLOOKUP(Sun_W2[[#This Row],[Employee Name]],'Base Schedules'!$A$79:$AW$111,46,FALSE)="","",VLOOKUP(Sun_W2[[#This Row],[Employee Name]],'Base Schedules'!$A$79:$AW$111,46,FALSE)),"")</f>
        <v/>
      </c>
      <c r="AV43" s="184" t="str">
        <f>IFERROR(IF(VLOOKUP(Sun_W2[[#This Row],[Employee Name]],'Base Schedules'!$A$79:$AW$111,47,FALSE)="","",VLOOKUP(Sun_W2[[#This Row],[Employee Name]],'Base Schedules'!$A$79:$AW$111,47,FALSE)),"")</f>
        <v/>
      </c>
      <c r="AW43" s="184" t="str">
        <f>IFERROR(IF(VLOOKUP(Sun_W2[[#This Row],[Employee Name]],'Base Schedules'!$A$79:$AW$111,48,FALSE)="","",VLOOKUP(Sun_W2[[#This Row],[Employee Name]],'Base Schedules'!$A$79:$AW$111,48,FALSE)),"")</f>
        <v/>
      </c>
      <c r="AX43" s="184" t="str">
        <f>IFERROR(IF(VLOOKUP(Sun_W2[[#This Row],[Employee Name]],'Base Schedules'!$A$79:$AW$111,49,FALSE)="","",VLOOKUP(Sun_W2[[#This Row],[Employee Name]],'Base Schedules'!$A$79:$AW$111,49,FALSE)),"")</f>
        <v/>
      </c>
      <c r="AY43" s="159" t="str">
        <f t="shared" si="2"/>
        <v/>
      </c>
    </row>
    <row r="44" spans="1:53" s="44" customFormat="1" ht="12" hidden="1" customHeight="1" x14ac:dyDescent="0.2">
      <c r="A44" s="39" t="str">
        <f>IF(B44="","",INDEX(TeamList[],MATCH($B44,TeamList[[Employee Name]:[Employee Name]],0),MATCH("Manager",TeamList[#Headers],0)))</f>
        <v/>
      </c>
      <c r="B44" s="201"/>
      <c r="C44" s="257" t="str">
        <f>_xlfn.IFNA(VLOOKUP(Sun_W2[[#This Row],[Employee Name]],'Base Schedules'!A:B,2,FALSE),"")</f>
        <v/>
      </c>
      <c r="D44" s="274" t="str">
        <f>_xlfn.IFNA(VLOOKUP(Sun_W2[[#This Row],[Employee Name]],'Base Schedules'!A:C,3,FALSE),"")</f>
        <v/>
      </c>
      <c r="E44" s="354" t="str">
        <f>_xlfn.IFNA(VLOOKUP(Sun_W2[[#This Row],[Employee Name]],'Base Schedules'!A:D,4,FALSE),"")</f>
        <v/>
      </c>
      <c r="F44" s="358" t="str">
        <f>IF(Sun_W2[[#This Row],[Employee Name]]="","",IF(Sun_W2[[#This Row],[Dept]]="Supervisor",COUNTIFS($J44:$AX44,"*HL*",$J44:$AX44,"&lt;&gt;"&amp;"pHL"),COUNTIFS($J44:$AX44,"*HL*",$J44:$AX44,"&lt;&gt;"&amp;"*pHL*",$J44:$AX44,"&lt;&gt;"&amp;"pB1 HL",$J44:$AX44,"&lt;&gt;"&amp;"pB2 HL")-SUM(COUNTIFS($J44:$AX44,"*HL B1*",$J44:$AX44,"&lt;&gt;"&amp;"pHL B1")*0.5,COUNTIFS($J44:$AX44,"*HL B2*",$J44:$AX44,"&lt;&gt;"&amp;"pHL B2")*0.5,COUNTIFS($J44:$AX44,"*B1 HL*",$J44:$AX44,"&lt;&gt;"&amp;"pB1 HL")*0.5,COUNTIFS($J44:$AX44,"*B2 HL*",$J44:$AX44,"&lt;&gt;"&amp;"pB2 HL")*0.5)))</f>
        <v/>
      </c>
      <c r="G44" s="142" t="str">
        <f t="shared" si="3"/>
        <v/>
      </c>
      <c r="H44" s="142" t="str">
        <f t="shared" si="1"/>
        <v/>
      </c>
      <c r="I44" s="142" t="str">
        <f>IF(Sun_W2[[#This Row],[Employee Name]]="","",IF(Sun_W2[[#This Row],[Dept]]="Supervisor",SUM(COUNTIFS($J44:$AX44,"RTA*",$J44:$AX44,"&lt;&gt;"&amp;"pRTA"),COUNTIFS($J44:$AX44,"*CRTA*",$J44:$AX44,"&lt;&gt;"&amp;"pCRTA")),COUNTIFS($J44:$AX44,"*RNNR*",$J44:$AX44,"&lt;&gt;"&amp;"*pRNNR*",$J44:$AX44,"&lt;&gt;"&amp;"pB1 RNNR",$J44:$AX44,"&lt;&gt;"&amp;"pB2 RNNR")-SUM(COUNTIFS($J44:$AX44,"*RNNR B1*",$J44:$AX44,"&lt;&gt;"&amp;"pRNNR B1")*0.5,COUNTIFS($J44:$AX44,"*RNNR B2*",$J44:$AX44,"&lt;&gt;"&amp;"pRNNR B2")*0.5,COUNTIFS($J44:$AX44,"*B1 RNNR*",$J44:$AX44,"&lt;&gt;"&amp;"pB1 RNNR")*0.5,COUNTIFS($J44:$AX44,"*B2 RNNR*",$J44:$AX44,"&lt;&gt;"&amp;"pB2 RNNR")*0.5)))</f>
        <v/>
      </c>
      <c r="J44" s="184" t="str">
        <f>IFERROR(IF(VLOOKUP(Sun_W2[[#This Row],[Employee Name]],'Base Schedules'!$A$79:$AW$111,9,FALSE)="","",VLOOKUP(Sun_W2[[#This Row],[Employee Name]],'Base Schedules'!$A$79:$AW$111,9,FALSE)),"")</f>
        <v/>
      </c>
      <c r="K44" s="184" t="str">
        <f>IFERROR(IF(VLOOKUP(Sun_W2[[#This Row],[Employee Name]],'Base Schedules'!$A$79:$AW$111,10,FALSE)="","",VLOOKUP(Sun_W2[[#This Row],[Employee Name]],'Base Schedules'!$A$79:$AW$111,10,FALSE)),"")</f>
        <v/>
      </c>
      <c r="L44" s="184" t="str">
        <f>IFERROR(IF(VLOOKUP(Sun_W2[[#This Row],[Employee Name]],'Base Schedules'!$A$79:$AW$111,11,FALSE)="","",VLOOKUP(Sun_W2[[#This Row],[Employee Name]],'Base Schedules'!$A$79:$AW$111,11,FALSE)),"")</f>
        <v/>
      </c>
      <c r="M44" s="184" t="str">
        <f>IFERROR(IF(VLOOKUP(Sun_W2[[#This Row],[Employee Name]],'Base Schedules'!$A$79:$AW$111,12,FALSE)="","",VLOOKUP(Sun_W2[[#This Row],[Employee Name]],'Base Schedules'!$A$79:$AW$111,12,FALSE)),"")</f>
        <v/>
      </c>
      <c r="N44" s="184" t="str">
        <f>IFERROR(IF(VLOOKUP(Sun_W2[[#This Row],[Employee Name]],'Base Schedules'!$A$79:$AW$111,13,FALSE)="","",VLOOKUP(Sun_W2[[#This Row],[Employee Name]],'Base Schedules'!$A$79:$AW$111,13,FALSE)),"")</f>
        <v/>
      </c>
      <c r="O44" s="184" t="str">
        <f>IFERROR(IF(VLOOKUP(Sun_W2[[#This Row],[Employee Name]],'Base Schedules'!$A$79:$AW$111,14,FALSE)="","",VLOOKUP(Sun_W2[[#This Row],[Employee Name]],'Base Schedules'!$A$79:$AW$111,14,FALSE)),"")</f>
        <v/>
      </c>
      <c r="P44" s="184" t="str">
        <f>IFERROR(IF(VLOOKUP(Sun_W2[[#This Row],[Employee Name]],'Base Schedules'!$A$79:$AW$111,15,FALSE)="","",VLOOKUP(Sun_W2[[#This Row],[Employee Name]],'Base Schedules'!$A$79:$AW$111,15,FALSE)),"")</f>
        <v/>
      </c>
      <c r="Q44" s="184" t="str">
        <f>IFERROR(IF(VLOOKUP(Sun_W2[[#This Row],[Employee Name]],'Base Schedules'!$A$79:$AW$111,16,FALSE)="","",VLOOKUP(Sun_W2[[#This Row],[Employee Name]],'Base Schedules'!$A$79:$AW$111,16,FALSE)),"")</f>
        <v/>
      </c>
      <c r="R44" s="184" t="str">
        <f>IFERROR(IF(VLOOKUP(Sun_W2[[#This Row],[Employee Name]],'Base Schedules'!$A$79:$AW$111,17,FALSE)="","",VLOOKUP(Sun_W2[[#This Row],[Employee Name]],'Base Schedules'!$A$79:$AW$111,17,FALSE)),"")</f>
        <v/>
      </c>
      <c r="S44" s="184" t="str">
        <f>IFERROR(IF(VLOOKUP(Sun_W2[[#This Row],[Employee Name]],'Base Schedules'!$A$79:$AW$111,18,FALSE)="","",VLOOKUP(Sun_W2[[#This Row],[Employee Name]],'Base Schedules'!$A$79:$AW$111,18,FALSE)),"")</f>
        <v/>
      </c>
      <c r="T44" s="184" t="str">
        <f>IFERROR(IF(VLOOKUP(Sun_W2[[#This Row],[Employee Name]],'Base Schedules'!$A$79:$AW$111,19,FALSE)="","",VLOOKUP(Sun_W2[[#This Row],[Employee Name]],'Base Schedules'!$A$79:$AW$111,19,FALSE)),"")</f>
        <v/>
      </c>
      <c r="U44" s="184" t="str">
        <f>IFERROR(IF(VLOOKUP(Sun_W2[[#This Row],[Employee Name]],'Base Schedules'!$A$79:$AW$111,20,FALSE)="","",VLOOKUP(Sun_W2[[#This Row],[Employee Name]],'Base Schedules'!$A$79:$AW$111,20,FALSE)),"")</f>
        <v/>
      </c>
      <c r="V44" s="184" t="str">
        <f>IFERROR(IF(VLOOKUP(Sun_W2[[#This Row],[Employee Name]],'Base Schedules'!$A$79:$AW$111,21,FALSE)="","",VLOOKUP(Sun_W2[[#This Row],[Employee Name]],'Base Schedules'!$A$79:$AW$111,21,FALSE)),"")</f>
        <v/>
      </c>
      <c r="W44" s="184" t="str">
        <f>IFERROR(IF(VLOOKUP(Sun_W2[[#This Row],[Employee Name]],'Base Schedules'!$A$79:$AW$111,22,FALSE)="","",VLOOKUP(Sun_W2[[#This Row],[Employee Name]],'Base Schedules'!$A$79:$AW$111,22,FALSE)),"")</f>
        <v/>
      </c>
      <c r="X44" s="184" t="str">
        <f>IFERROR(IF(VLOOKUP(Sun_W2[[#This Row],[Employee Name]],'Base Schedules'!$A$79:$AW$111,23,FALSE)="","",VLOOKUP(Sun_W2[[#This Row],[Employee Name]],'Base Schedules'!$A$79:$AW$111,23,FALSE)),"")</f>
        <v/>
      </c>
      <c r="Y44" s="184" t="str">
        <f>IFERROR(IF(VLOOKUP(Sun_W2[[#This Row],[Employee Name]],'Base Schedules'!$A$79:$AW$111,24,FALSE)="","",VLOOKUP(Sun_W2[[#This Row],[Employee Name]],'Base Schedules'!$A$79:$AW$111,24,FALSE)),"")</f>
        <v/>
      </c>
      <c r="Z44" s="184" t="str">
        <f>IFERROR(IF(VLOOKUP(Sun_W2[[#This Row],[Employee Name]],'Base Schedules'!$A$79:$AW$111,25,FALSE)="","",VLOOKUP(Sun_W2[[#This Row],[Employee Name]],'Base Schedules'!$A$79:$AW$111,25,FALSE)),"")</f>
        <v/>
      </c>
      <c r="AA44" s="184" t="str">
        <f>IFERROR(IF(VLOOKUP(Sun_W2[[#This Row],[Employee Name]],'Base Schedules'!$A$79:$AW$111,26,FALSE)="","",VLOOKUP(Sun_W2[[#This Row],[Employee Name]],'Base Schedules'!$A$79:$AW$111,26,FALSE)),"")</f>
        <v/>
      </c>
      <c r="AB44" s="184" t="str">
        <f>IFERROR(IF(VLOOKUP(Sun_W2[[#This Row],[Employee Name]],'Base Schedules'!$A$79:$AW$111,27,FALSE)="","",VLOOKUP(Sun_W2[[#This Row],[Employee Name]],'Base Schedules'!$A$79:$AW$111,27,FALSE)),"")</f>
        <v/>
      </c>
      <c r="AC44" s="184" t="str">
        <f>IFERROR(IF(VLOOKUP(Sun_W2[[#This Row],[Employee Name]],'Base Schedules'!$A$79:$AW$111,28,FALSE)="","",VLOOKUP(Sun_W2[[#This Row],[Employee Name]],'Base Schedules'!$A$79:$AW$111,28,FALSE)),"")</f>
        <v/>
      </c>
      <c r="AD44" s="184" t="str">
        <f>IFERROR(IF(VLOOKUP(Sun_W2[[#This Row],[Employee Name]],'Base Schedules'!$A$79:$AW$111,29,FALSE)="","",VLOOKUP(Sun_W2[[#This Row],[Employee Name]],'Base Schedules'!$A$79:$AW$111,29,FALSE)),"")</f>
        <v/>
      </c>
      <c r="AE44" s="184" t="str">
        <f>IFERROR(IF(VLOOKUP(Sun_W2[[#This Row],[Employee Name]],'Base Schedules'!$A$79:$AW$111,30,FALSE)="","",VLOOKUP(Sun_W2[[#This Row],[Employee Name]],'Base Schedules'!$A$79:$AW$111,30,FALSE)),"")</f>
        <v/>
      </c>
      <c r="AF44" s="184" t="str">
        <f>IFERROR(IF(VLOOKUP(Sun_W2[[#This Row],[Employee Name]],'Base Schedules'!$A$79:$AW$111,31,FALSE)="","",VLOOKUP(Sun_W2[[#This Row],[Employee Name]],'Base Schedules'!$A$79:$AW$111,31,FALSE)),"")</f>
        <v/>
      </c>
      <c r="AG44" s="184" t="str">
        <f>IFERROR(IF(VLOOKUP(Sun_W2[[#This Row],[Employee Name]],'Base Schedules'!$A$79:$AW$111,32,FALSE)="","",VLOOKUP(Sun_W2[[#This Row],[Employee Name]],'Base Schedules'!$A$79:$AW$111,32,FALSE)),"")</f>
        <v/>
      </c>
      <c r="AH44" s="184" t="str">
        <f>IFERROR(IF(VLOOKUP(Sun_W2[[#This Row],[Employee Name]],'Base Schedules'!$A$79:$AW$111,33,FALSE)="","",VLOOKUP(Sun_W2[[#This Row],[Employee Name]],'Base Schedules'!$A$79:$AW$111,33,FALSE)),"")</f>
        <v/>
      </c>
      <c r="AI44" s="184" t="str">
        <f>IFERROR(IF(VLOOKUP(Sun_W2[[#This Row],[Employee Name]],'Base Schedules'!$A$79:$AW$111,34,FALSE)="","",VLOOKUP(Sun_W2[[#This Row],[Employee Name]],'Base Schedules'!$A$79:$AW$111,34,FALSE)),"")</f>
        <v/>
      </c>
      <c r="AJ44" s="184" t="str">
        <f>IFERROR(IF(VLOOKUP(Sun_W2[[#This Row],[Employee Name]],'Base Schedules'!$A$79:$AW$111,35,FALSE)="","",VLOOKUP(Sun_W2[[#This Row],[Employee Name]],'Base Schedules'!$A$79:$AW$111,35,FALSE)),"")</f>
        <v/>
      </c>
      <c r="AK44" s="184" t="str">
        <f>IFERROR(IF(VLOOKUP(Sun_W2[[#This Row],[Employee Name]],'Base Schedules'!$A$79:$AW$111,36,FALSE)="","",VLOOKUP(Sun_W2[[#This Row],[Employee Name]],'Base Schedules'!$A$79:$AW$111,36,FALSE)),"")</f>
        <v/>
      </c>
      <c r="AL44" s="184" t="str">
        <f>IFERROR(IF(VLOOKUP(Sun_W2[[#This Row],[Employee Name]],'Base Schedules'!$A$79:$AW$111,37,FALSE)="","",VLOOKUP(Sun_W2[[#This Row],[Employee Name]],'Base Schedules'!$A$79:$AW$111,37,FALSE)),"")</f>
        <v/>
      </c>
      <c r="AM44" s="184" t="str">
        <f>IFERROR(IF(VLOOKUP(Sun_W2[[#This Row],[Employee Name]],'Base Schedules'!$A$79:$AW$111,38,FALSE)="","",VLOOKUP(Sun_W2[[#This Row],[Employee Name]],'Base Schedules'!$A$79:$AW$111,38,FALSE)),"")</f>
        <v/>
      </c>
      <c r="AN44" s="184" t="str">
        <f>IFERROR(IF(VLOOKUP(Sun_W2[[#This Row],[Employee Name]],'Base Schedules'!$A$79:$AW$111,39,FALSE)="","",VLOOKUP(Sun_W2[[#This Row],[Employee Name]],'Base Schedules'!$A$79:$AW$111,39,FALSE)),"")</f>
        <v/>
      </c>
      <c r="AO44" s="184" t="str">
        <f>IFERROR(IF(VLOOKUP(Sun_W2[[#This Row],[Employee Name]],'Base Schedules'!$A$79:$AW$111,40,FALSE)="","",VLOOKUP(Sun_W2[[#This Row],[Employee Name]],'Base Schedules'!$A$79:$AW$111,40,FALSE)),"")</f>
        <v/>
      </c>
      <c r="AP44" s="184" t="str">
        <f>IFERROR(IF(VLOOKUP(Sun_W2[[#This Row],[Employee Name]],'Base Schedules'!$A$79:$AW$111,41,FALSE)="","",VLOOKUP(Sun_W2[[#This Row],[Employee Name]],'Base Schedules'!$A$79:$AW$111,41,FALSE)),"")</f>
        <v/>
      </c>
      <c r="AQ44" s="184" t="str">
        <f>IFERROR(IF(VLOOKUP(Sun_W2[[#This Row],[Employee Name]],'Base Schedules'!$A$79:$AW$111,42,FALSE)="","",VLOOKUP(Sun_W2[[#This Row],[Employee Name]],'Base Schedules'!$A$79:$AW$111,42,FALSE)),"")</f>
        <v/>
      </c>
      <c r="AR44" s="184" t="str">
        <f>IFERROR(IF(VLOOKUP(Sun_W2[[#This Row],[Employee Name]],'Base Schedules'!$A$79:$AW$111,43,FALSE)="","",VLOOKUP(Sun_W2[[#This Row],[Employee Name]],'Base Schedules'!$A$79:$AW$111,43,FALSE)),"")</f>
        <v/>
      </c>
      <c r="AS44" s="184" t="str">
        <f>IFERROR(IF(VLOOKUP(Sun_W2[[#This Row],[Employee Name]],'Base Schedules'!$A$79:$AW$111,44,FALSE)="","",VLOOKUP(Sun_W2[[#This Row],[Employee Name]],'Base Schedules'!$A$79:$AW$111,44,FALSE)),"")</f>
        <v/>
      </c>
      <c r="AT44" s="184" t="str">
        <f>IFERROR(IF(VLOOKUP(Sun_W2[[#This Row],[Employee Name]],'Base Schedules'!$A$79:$AW$111,45,FALSE)="","",VLOOKUP(Sun_W2[[#This Row],[Employee Name]],'Base Schedules'!$A$79:$AW$111,45,FALSE)),"")</f>
        <v/>
      </c>
      <c r="AU44" s="184" t="str">
        <f>IFERROR(IF(VLOOKUP(Sun_W2[[#This Row],[Employee Name]],'Base Schedules'!$A$79:$AW$111,46,FALSE)="","",VLOOKUP(Sun_W2[[#This Row],[Employee Name]],'Base Schedules'!$A$79:$AW$111,46,FALSE)),"")</f>
        <v/>
      </c>
      <c r="AV44" s="184" t="str">
        <f>IFERROR(IF(VLOOKUP(Sun_W2[[#This Row],[Employee Name]],'Base Schedules'!$A$79:$AW$111,47,FALSE)="","",VLOOKUP(Sun_W2[[#This Row],[Employee Name]],'Base Schedules'!$A$79:$AW$111,47,FALSE)),"")</f>
        <v/>
      </c>
      <c r="AW44" s="184" t="str">
        <f>IFERROR(IF(VLOOKUP(Sun_W2[[#This Row],[Employee Name]],'Base Schedules'!$A$79:$AW$111,48,FALSE)="","",VLOOKUP(Sun_W2[[#This Row],[Employee Name]],'Base Schedules'!$A$79:$AW$111,48,FALSE)),"")</f>
        <v/>
      </c>
      <c r="AX44" s="184" t="str">
        <f>IFERROR(IF(VLOOKUP(Sun_W2[[#This Row],[Employee Name]],'Base Schedules'!$A$79:$AW$111,49,FALSE)="","",VLOOKUP(Sun_W2[[#This Row],[Employee Name]],'Base Schedules'!$A$79:$AW$111,49,FALSE)),"")</f>
        <v/>
      </c>
      <c r="AY44" s="159" t="str">
        <f t="shared" si="2"/>
        <v/>
      </c>
    </row>
    <row r="45" spans="1:53" s="44" customFormat="1" ht="12" hidden="1" customHeight="1" x14ac:dyDescent="0.2">
      <c r="A45" s="39" t="str">
        <f>IF(B45="","",INDEX(TeamList[],MATCH($B45,TeamList[[Employee Name]:[Employee Name]],0),MATCH("Manager",TeamList[#Headers],0)))</f>
        <v/>
      </c>
      <c r="B45" s="201"/>
      <c r="C45" s="257" t="str">
        <f>_xlfn.IFNA(VLOOKUP(Sun_W2[[#This Row],[Employee Name]],'Base Schedules'!A:B,2,FALSE),"")</f>
        <v/>
      </c>
      <c r="D45" s="274" t="str">
        <f>_xlfn.IFNA(VLOOKUP(Sun_W2[[#This Row],[Employee Name]],'Base Schedules'!A:C,3,FALSE),"")</f>
        <v/>
      </c>
      <c r="E45" s="354" t="str">
        <f>_xlfn.IFNA(VLOOKUP(Sun_W2[[#This Row],[Employee Name]],'Base Schedules'!A:D,4,FALSE),"")</f>
        <v/>
      </c>
      <c r="F45" s="358" t="str">
        <f>IF(Sun_W2[[#This Row],[Employee Name]]="","",IF(Sun_W2[[#This Row],[Dept]]="Supervisor",COUNTIFS($J45:$AX45,"*HL*",$J45:$AX45,"&lt;&gt;"&amp;"pHL"),COUNTIFS($J45:$AX45,"*HL*",$J45:$AX45,"&lt;&gt;"&amp;"*pHL*",$J45:$AX45,"&lt;&gt;"&amp;"pB1 HL",$J45:$AX45,"&lt;&gt;"&amp;"pB2 HL")-SUM(COUNTIFS($J45:$AX45,"*HL B1*",$J45:$AX45,"&lt;&gt;"&amp;"pHL B1")*0.5,COUNTIFS($J45:$AX45,"*HL B2*",$J45:$AX45,"&lt;&gt;"&amp;"pHL B2")*0.5,COUNTIFS($J45:$AX45,"*B1 HL*",$J45:$AX45,"&lt;&gt;"&amp;"pB1 HL")*0.5,COUNTIFS($J45:$AX45,"*B2 HL*",$J45:$AX45,"&lt;&gt;"&amp;"pB2 HL")*0.5)))</f>
        <v/>
      </c>
      <c r="G45" s="142" t="str">
        <f t="shared" si="3"/>
        <v/>
      </c>
      <c r="H45" s="142" t="str">
        <f t="shared" si="1"/>
        <v/>
      </c>
      <c r="I45" s="142" t="str">
        <f>IF(Sun_W2[[#This Row],[Employee Name]]="","",IF(Sun_W2[[#This Row],[Dept]]="Supervisor",SUM(COUNTIFS($J45:$AX45,"RTA*",$J45:$AX45,"&lt;&gt;"&amp;"pRTA"),COUNTIFS($J45:$AX45,"*CRTA*",$J45:$AX45,"&lt;&gt;"&amp;"pCRTA")),COUNTIFS($J45:$AX45,"*RNNR*",$J45:$AX45,"&lt;&gt;"&amp;"*pRNNR*",$J45:$AX45,"&lt;&gt;"&amp;"pB1 RNNR",$J45:$AX45,"&lt;&gt;"&amp;"pB2 RNNR")-SUM(COUNTIFS($J45:$AX45,"*RNNR B1*",$J45:$AX45,"&lt;&gt;"&amp;"pRNNR B1")*0.5,COUNTIFS($J45:$AX45,"*RNNR B2*",$J45:$AX45,"&lt;&gt;"&amp;"pRNNR B2")*0.5,COUNTIFS($J45:$AX45,"*B1 RNNR*",$J45:$AX45,"&lt;&gt;"&amp;"pB1 RNNR")*0.5,COUNTIFS($J45:$AX45,"*B2 RNNR*",$J45:$AX45,"&lt;&gt;"&amp;"pB2 RNNR")*0.5)))</f>
        <v/>
      </c>
      <c r="J45" s="184" t="str">
        <f>IFERROR(IF(VLOOKUP(Sun_W2[[#This Row],[Employee Name]],'Base Schedules'!$A$79:$AW$111,9,FALSE)="","",VLOOKUP(Sun_W2[[#This Row],[Employee Name]],'Base Schedules'!$A$79:$AW$111,9,FALSE)),"")</f>
        <v/>
      </c>
      <c r="K45" s="184" t="str">
        <f>IFERROR(IF(VLOOKUP(Sun_W2[[#This Row],[Employee Name]],'Base Schedules'!$A$79:$AW$111,10,FALSE)="","",VLOOKUP(Sun_W2[[#This Row],[Employee Name]],'Base Schedules'!$A$79:$AW$111,10,FALSE)),"")</f>
        <v/>
      </c>
      <c r="L45" s="184" t="str">
        <f>IFERROR(IF(VLOOKUP(Sun_W2[[#This Row],[Employee Name]],'Base Schedules'!$A$79:$AW$111,11,FALSE)="","",VLOOKUP(Sun_W2[[#This Row],[Employee Name]],'Base Schedules'!$A$79:$AW$111,11,FALSE)),"")</f>
        <v/>
      </c>
      <c r="M45" s="184" t="str">
        <f>IFERROR(IF(VLOOKUP(Sun_W2[[#This Row],[Employee Name]],'Base Schedules'!$A$79:$AW$111,12,FALSE)="","",VLOOKUP(Sun_W2[[#This Row],[Employee Name]],'Base Schedules'!$A$79:$AW$111,12,FALSE)),"")</f>
        <v/>
      </c>
      <c r="N45" s="184" t="str">
        <f>IFERROR(IF(VLOOKUP(Sun_W2[[#This Row],[Employee Name]],'Base Schedules'!$A$79:$AW$111,13,FALSE)="","",VLOOKUP(Sun_W2[[#This Row],[Employee Name]],'Base Schedules'!$A$79:$AW$111,13,FALSE)),"")</f>
        <v/>
      </c>
      <c r="O45" s="184" t="str">
        <f>IFERROR(IF(VLOOKUP(Sun_W2[[#This Row],[Employee Name]],'Base Schedules'!$A$79:$AW$111,14,FALSE)="","",VLOOKUP(Sun_W2[[#This Row],[Employee Name]],'Base Schedules'!$A$79:$AW$111,14,FALSE)),"")</f>
        <v/>
      </c>
      <c r="P45" s="184" t="str">
        <f>IFERROR(IF(VLOOKUP(Sun_W2[[#This Row],[Employee Name]],'Base Schedules'!$A$79:$AW$111,15,FALSE)="","",VLOOKUP(Sun_W2[[#This Row],[Employee Name]],'Base Schedules'!$A$79:$AW$111,15,FALSE)),"")</f>
        <v/>
      </c>
      <c r="Q45" s="184" t="str">
        <f>IFERROR(IF(VLOOKUP(Sun_W2[[#This Row],[Employee Name]],'Base Schedules'!$A$79:$AW$111,16,FALSE)="","",VLOOKUP(Sun_W2[[#This Row],[Employee Name]],'Base Schedules'!$A$79:$AW$111,16,FALSE)),"")</f>
        <v/>
      </c>
      <c r="R45" s="184" t="str">
        <f>IFERROR(IF(VLOOKUP(Sun_W2[[#This Row],[Employee Name]],'Base Schedules'!$A$79:$AW$111,17,FALSE)="","",VLOOKUP(Sun_W2[[#This Row],[Employee Name]],'Base Schedules'!$A$79:$AW$111,17,FALSE)),"")</f>
        <v/>
      </c>
      <c r="S45" s="184" t="str">
        <f>IFERROR(IF(VLOOKUP(Sun_W2[[#This Row],[Employee Name]],'Base Schedules'!$A$79:$AW$111,18,FALSE)="","",VLOOKUP(Sun_W2[[#This Row],[Employee Name]],'Base Schedules'!$A$79:$AW$111,18,FALSE)),"")</f>
        <v/>
      </c>
      <c r="T45" s="184" t="str">
        <f>IFERROR(IF(VLOOKUP(Sun_W2[[#This Row],[Employee Name]],'Base Schedules'!$A$79:$AW$111,19,FALSE)="","",VLOOKUP(Sun_W2[[#This Row],[Employee Name]],'Base Schedules'!$A$79:$AW$111,19,FALSE)),"")</f>
        <v/>
      </c>
      <c r="U45" s="184" t="str">
        <f>IFERROR(IF(VLOOKUP(Sun_W2[[#This Row],[Employee Name]],'Base Schedules'!$A$79:$AW$111,20,FALSE)="","",VLOOKUP(Sun_W2[[#This Row],[Employee Name]],'Base Schedules'!$A$79:$AW$111,20,FALSE)),"")</f>
        <v/>
      </c>
      <c r="V45" s="184" t="str">
        <f>IFERROR(IF(VLOOKUP(Sun_W2[[#This Row],[Employee Name]],'Base Schedules'!$A$79:$AW$111,21,FALSE)="","",VLOOKUP(Sun_W2[[#This Row],[Employee Name]],'Base Schedules'!$A$79:$AW$111,21,FALSE)),"")</f>
        <v/>
      </c>
      <c r="W45" s="184" t="str">
        <f>IFERROR(IF(VLOOKUP(Sun_W2[[#This Row],[Employee Name]],'Base Schedules'!$A$79:$AW$111,22,FALSE)="","",VLOOKUP(Sun_W2[[#This Row],[Employee Name]],'Base Schedules'!$A$79:$AW$111,22,FALSE)),"")</f>
        <v/>
      </c>
      <c r="X45" s="184" t="str">
        <f>IFERROR(IF(VLOOKUP(Sun_W2[[#This Row],[Employee Name]],'Base Schedules'!$A$79:$AW$111,23,FALSE)="","",VLOOKUP(Sun_W2[[#This Row],[Employee Name]],'Base Schedules'!$A$79:$AW$111,23,FALSE)),"")</f>
        <v/>
      </c>
      <c r="Y45" s="184" t="str">
        <f>IFERROR(IF(VLOOKUP(Sun_W2[[#This Row],[Employee Name]],'Base Schedules'!$A$79:$AW$111,24,FALSE)="","",VLOOKUP(Sun_W2[[#This Row],[Employee Name]],'Base Schedules'!$A$79:$AW$111,24,FALSE)),"")</f>
        <v/>
      </c>
      <c r="Z45" s="184" t="str">
        <f>IFERROR(IF(VLOOKUP(Sun_W2[[#This Row],[Employee Name]],'Base Schedules'!$A$79:$AW$111,25,FALSE)="","",VLOOKUP(Sun_W2[[#This Row],[Employee Name]],'Base Schedules'!$A$79:$AW$111,25,FALSE)),"")</f>
        <v/>
      </c>
      <c r="AA45" s="184" t="str">
        <f>IFERROR(IF(VLOOKUP(Sun_W2[[#This Row],[Employee Name]],'Base Schedules'!$A$79:$AW$111,26,FALSE)="","",VLOOKUP(Sun_W2[[#This Row],[Employee Name]],'Base Schedules'!$A$79:$AW$111,26,FALSE)),"")</f>
        <v/>
      </c>
      <c r="AB45" s="184" t="str">
        <f>IFERROR(IF(VLOOKUP(Sun_W2[[#This Row],[Employee Name]],'Base Schedules'!$A$79:$AW$111,27,FALSE)="","",VLOOKUP(Sun_W2[[#This Row],[Employee Name]],'Base Schedules'!$A$79:$AW$111,27,FALSE)),"")</f>
        <v/>
      </c>
      <c r="AC45" s="184" t="str">
        <f>IFERROR(IF(VLOOKUP(Sun_W2[[#This Row],[Employee Name]],'Base Schedules'!$A$79:$AW$111,28,FALSE)="","",VLOOKUP(Sun_W2[[#This Row],[Employee Name]],'Base Schedules'!$A$79:$AW$111,28,FALSE)),"")</f>
        <v/>
      </c>
      <c r="AD45" s="184" t="str">
        <f>IFERROR(IF(VLOOKUP(Sun_W2[[#This Row],[Employee Name]],'Base Schedules'!$A$79:$AW$111,29,FALSE)="","",VLOOKUP(Sun_W2[[#This Row],[Employee Name]],'Base Schedules'!$A$79:$AW$111,29,FALSE)),"")</f>
        <v/>
      </c>
      <c r="AE45" s="184" t="str">
        <f>IFERROR(IF(VLOOKUP(Sun_W2[[#This Row],[Employee Name]],'Base Schedules'!$A$79:$AW$111,30,FALSE)="","",VLOOKUP(Sun_W2[[#This Row],[Employee Name]],'Base Schedules'!$A$79:$AW$111,30,FALSE)),"")</f>
        <v/>
      </c>
      <c r="AF45" s="184" t="str">
        <f>IFERROR(IF(VLOOKUP(Sun_W2[[#This Row],[Employee Name]],'Base Schedules'!$A$79:$AW$111,31,FALSE)="","",VLOOKUP(Sun_W2[[#This Row],[Employee Name]],'Base Schedules'!$A$79:$AW$111,31,FALSE)),"")</f>
        <v/>
      </c>
      <c r="AG45" s="184" t="str">
        <f>IFERROR(IF(VLOOKUP(Sun_W2[[#This Row],[Employee Name]],'Base Schedules'!$A$79:$AW$111,32,FALSE)="","",VLOOKUP(Sun_W2[[#This Row],[Employee Name]],'Base Schedules'!$A$79:$AW$111,32,FALSE)),"")</f>
        <v/>
      </c>
      <c r="AH45" s="184" t="str">
        <f>IFERROR(IF(VLOOKUP(Sun_W2[[#This Row],[Employee Name]],'Base Schedules'!$A$79:$AW$111,33,FALSE)="","",VLOOKUP(Sun_W2[[#This Row],[Employee Name]],'Base Schedules'!$A$79:$AW$111,33,FALSE)),"")</f>
        <v/>
      </c>
      <c r="AI45" s="184" t="str">
        <f>IFERROR(IF(VLOOKUP(Sun_W2[[#This Row],[Employee Name]],'Base Schedules'!$A$79:$AW$111,34,FALSE)="","",VLOOKUP(Sun_W2[[#This Row],[Employee Name]],'Base Schedules'!$A$79:$AW$111,34,FALSE)),"")</f>
        <v/>
      </c>
      <c r="AJ45" s="184" t="str">
        <f>IFERROR(IF(VLOOKUP(Sun_W2[[#This Row],[Employee Name]],'Base Schedules'!$A$79:$AW$111,35,FALSE)="","",VLOOKUP(Sun_W2[[#This Row],[Employee Name]],'Base Schedules'!$A$79:$AW$111,35,FALSE)),"")</f>
        <v/>
      </c>
      <c r="AK45" s="184" t="str">
        <f>IFERROR(IF(VLOOKUP(Sun_W2[[#This Row],[Employee Name]],'Base Schedules'!$A$79:$AW$111,36,FALSE)="","",VLOOKUP(Sun_W2[[#This Row],[Employee Name]],'Base Schedules'!$A$79:$AW$111,36,FALSE)),"")</f>
        <v/>
      </c>
      <c r="AL45" s="184" t="str">
        <f>IFERROR(IF(VLOOKUP(Sun_W2[[#This Row],[Employee Name]],'Base Schedules'!$A$79:$AW$111,37,FALSE)="","",VLOOKUP(Sun_W2[[#This Row],[Employee Name]],'Base Schedules'!$A$79:$AW$111,37,FALSE)),"")</f>
        <v/>
      </c>
      <c r="AM45" s="184" t="str">
        <f>IFERROR(IF(VLOOKUP(Sun_W2[[#This Row],[Employee Name]],'Base Schedules'!$A$79:$AW$111,38,FALSE)="","",VLOOKUP(Sun_W2[[#This Row],[Employee Name]],'Base Schedules'!$A$79:$AW$111,38,FALSE)),"")</f>
        <v/>
      </c>
      <c r="AN45" s="184" t="str">
        <f>IFERROR(IF(VLOOKUP(Sun_W2[[#This Row],[Employee Name]],'Base Schedules'!$A$79:$AW$111,39,FALSE)="","",VLOOKUP(Sun_W2[[#This Row],[Employee Name]],'Base Schedules'!$A$79:$AW$111,39,FALSE)),"")</f>
        <v/>
      </c>
      <c r="AO45" s="184" t="str">
        <f>IFERROR(IF(VLOOKUP(Sun_W2[[#This Row],[Employee Name]],'Base Schedules'!$A$79:$AW$111,40,FALSE)="","",VLOOKUP(Sun_W2[[#This Row],[Employee Name]],'Base Schedules'!$A$79:$AW$111,40,FALSE)),"")</f>
        <v/>
      </c>
      <c r="AP45" s="184" t="str">
        <f>IFERROR(IF(VLOOKUP(Sun_W2[[#This Row],[Employee Name]],'Base Schedules'!$A$79:$AW$111,41,FALSE)="","",VLOOKUP(Sun_W2[[#This Row],[Employee Name]],'Base Schedules'!$A$79:$AW$111,41,FALSE)),"")</f>
        <v/>
      </c>
      <c r="AQ45" s="184" t="str">
        <f>IFERROR(IF(VLOOKUP(Sun_W2[[#This Row],[Employee Name]],'Base Schedules'!$A$79:$AW$111,42,FALSE)="","",VLOOKUP(Sun_W2[[#This Row],[Employee Name]],'Base Schedules'!$A$79:$AW$111,42,FALSE)),"")</f>
        <v/>
      </c>
      <c r="AR45" s="184" t="str">
        <f>IFERROR(IF(VLOOKUP(Sun_W2[[#This Row],[Employee Name]],'Base Schedules'!$A$79:$AW$111,43,FALSE)="","",VLOOKUP(Sun_W2[[#This Row],[Employee Name]],'Base Schedules'!$A$79:$AW$111,43,FALSE)),"")</f>
        <v/>
      </c>
      <c r="AS45" s="184" t="str">
        <f>IFERROR(IF(VLOOKUP(Sun_W2[[#This Row],[Employee Name]],'Base Schedules'!$A$79:$AW$111,44,FALSE)="","",VLOOKUP(Sun_W2[[#This Row],[Employee Name]],'Base Schedules'!$A$79:$AW$111,44,FALSE)),"")</f>
        <v/>
      </c>
      <c r="AT45" s="184" t="str">
        <f>IFERROR(IF(VLOOKUP(Sun_W2[[#This Row],[Employee Name]],'Base Schedules'!$A$79:$AW$111,45,FALSE)="","",VLOOKUP(Sun_W2[[#This Row],[Employee Name]],'Base Schedules'!$A$79:$AW$111,45,FALSE)),"")</f>
        <v/>
      </c>
      <c r="AU45" s="184" t="str">
        <f>IFERROR(IF(VLOOKUP(Sun_W2[[#This Row],[Employee Name]],'Base Schedules'!$A$79:$AW$111,46,FALSE)="","",VLOOKUP(Sun_W2[[#This Row],[Employee Name]],'Base Schedules'!$A$79:$AW$111,46,FALSE)),"")</f>
        <v/>
      </c>
      <c r="AV45" s="184" t="str">
        <f>IFERROR(IF(VLOOKUP(Sun_W2[[#This Row],[Employee Name]],'Base Schedules'!$A$79:$AW$111,47,FALSE)="","",VLOOKUP(Sun_W2[[#This Row],[Employee Name]],'Base Schedules'!$A$79:$AW$111,47,FALSE)),"")</f>
        <v/>
      </c>
      <c r="AW45" s="184" t="str">
        <f>IFERROR(IF(VLOOKUP(Sun_W2[[#This Row],[Employee Name]],'Base Schedules'!$A$79:$AW$111,48,FALSE)="","",VLOOKUP(Sun_W2[[#This Row],[Employee Name]],'Base Schedules'!$A$79:$AW$111,48,FALSE)),"")</f>
        <v/>
      </c>
      <c r="AX45" s="184" t="str">
        <f>IFERROR(IF(VLOOKUP(Sun_W2[[#This Row],[Employee Name]],'Base Schedules'!$A$79:$AW$111,49,FALSE)="","",VLOOKUP(Sun_W2[[#This Row],[Employee Name]],'Base Schedules'!$A$79:$AW$111,49,FALSE)),"")</f>
        <v/>
      </c>
      <c r="AY45" s="159" t="str">
        <f t="shared" si="2"/>
        <v/>
      </c>
    </row>
    <row r="46" spans="1:53" s="44" customFormat="1" ht="12" hidden="1" customHeight="1" x14ac:dyDescent="0.2">
      <c r="A46" s="39" t="str">
        <f>IF(B46="","",INDEX(TeamList[],MATCH($B46,TeamList[[Employee Name]:[Employee Name]],0),MATCH("Manager",TeamList[#Headers],0)))</f>
        <v/>
      </c>
      <c r="B46" s="201"/>
      <c r="C46" s="257" t="str">
        <f>_xlfn.IFNA(VLOOKUP(Sun_W2[[#This Row],[Employee Name]],'Base Schedules'!A:B,2,FALSE),"")</f>
        <v/>
      </c>
      <c r="D46" s="274" t="str">
        <f>_xlfn.IFNA(VLOOKUP(Sun_W2[[#This Row],[Employee Name]],'Base Schedules'!A:C,3,FALSE),"")</f>
        <v/>
      </c>
      <c r="E46" s="354" t="str">
        <f>_xlfn.IFNA(VLOOKUP(Sun_W2[[#This Row],[Employee Name]],'Base Schedules'!A:D,4,FALSE),"")</f>
        <v/>
      </c>
      <c r="F46" s="358" t="str">
        <f>IF(Sun_W2[[#This Row],[Employee Name]]="","",IF(Sun_W2[[#This Row],[Dept]]="Supervisor",COUNTIFS($J46:$AX46,"*HL*",$J46:$AX46,"&lt;&gt;"&amp;"pHL"),COUNTIFS($J46:$AX46,"*HL*",$J46:$AX46,"&lt;&gt;"&amp;"*pHL*",$J46:$AX46,"&lt;&gt;"&amp;"pB1 HL",$J46:$AX46,"&lt;&gt;"&amp;"pB2 HL")-SUM(COUNTIFS($J46:$AX46,"*HL B1*",$J46:$AX46,"&lt;&gt;"&amp;"pHL B1")*0.5,COUNTIFS($J46:$AX46,"*HL B2*",$J46:$AX46,"&lt;&gt;"&amp;"pHL B2")*0.5,COUNTIFS($J46:$AX46,"*B1 HL*",$J46:$AX46,"&lt;&gt;"&amp;"pB1 HL")*0.5,COUNTIFS($J46:$AX46,"*B2 HL*",$J46:$AX46,"&lt;&gt;"&amp;"pB2 HL")*0.5)))</f>
        <v/>
      </c>
      <c r="G46" s="142" t="str">
        <f t="shared" si="3"/>
        <v/>
      </c>
      <c r="H46" s="142" t="str">
        <f t="shared" si="1"/>
        <v/>
      </c>
      <c r="I46" s="142" t="str">
        <f>IF(Sun_W2[[#This Row],[Employee Name]]="","",IF(Sun_W2[[#This Row],[Dept]]="Supervisor",SUM(COUNTIFS($J46:$AX46,"RTA*",$J46:$AX46,"&lt;&gt;"&amp;"pRTA"),COUNTIFS($J46:$AX46,"*CRTA*",$J46:$AX46,"&lt;&gt;"&amp;"pCRTA")),COUNTIFS($J46:$AX46,"*RNNR*",$J46:$AX46,"&lt;&gt;"&amp;"*pRNNR*",$J46:$AX46,"&lt;&gt;"&amp;"pB1 RNNR",$J46:$AX46,"&lt;&gt;"&amp;"pB2 RNNR")-SUM(COUNTIFS($J46:$AX46,"*RNNR B1*",$J46:$AX46,"&lt;&gt;"&amp;"pRNNR B1")*0.5,COUNTIFS($J46:$AX46,"*RNNR B2*",$J46:$AX46,"&lt;&gt;"&amp;"pRNNR B2")*0.5,COUNTIFS($J46:$AX46,"*B1 RNNR*",$J46:$AX46,"&lt;&gt;"&amp;"pB1 RNNR")*0.5,COUNTIFS($J46:$AX46,"*B2 RNNR*",$J46:$AX46,"&lt;&gt;"&amp;"pB2 RNNR")*0.5)))</f>
        <v/>
      </c>
      <c r="J46" s="184" t="str">
        <f>IFERROR(IF(VLOOKUP(Sun_W2[[#This Row],[Employee Name]],'Base Schedules'!$A$79:$AW$111,9,FALSE)="","",VLOOKUP(Sun_W2[[#This Row],[Employee Name]],'Base Schedules'!$A$79:$AW$111,9,FALSE)),"")</f>
        <v/>
      </c>
      <c r="K46" s="184" t="str">
        <f>IFERROR(IF(VLOOKUP(Sun_W2[[#This Row],[Employee Name]],'Base Schedules'!$A$79:$AW$111,10,FALSE)="","",VLOOKUP(Sun_W2[[#This Row],[Employee Name]],'Base Schedules'!$A$79:$AW$111,10,FALSE)),"")</f>
        <v/>
      </c>
      <c r="L46" s="184" t="str">
        <f>IFERROR(IF(VLOOKUP(Sun_W2[[#This Row],[Employee Name]],'Base Schedules'!$A$79:$AW$111,11,FALSE)="","",VLOOKUP(Sun_W2[[#This Row],[Employee Name]],'Base Schedules'!$A$79:$AW$111,11,FALSE)),"")</f>
        <v/>
      </c>
      <c r="M46" s="184" t="str">
        <f>IFERROR(IF(VLOOKUP(Sun_W2[[#This Row],[Employee Name]],'Base Schedules'!$A$79:$AW$111,12,FALSE)="","",VLOOKUP(Sun_W2[[#This Row],[Employee Name]],'Base Schedules'!$A$79:$AW$111,12,FALSE)),"")</f>
        <v/>
      </c>
      <c r="N46" s="184" t="str">
        <f>IFERROR(IF(VLOOKUP(Sun_W2[[#This Row],[Employee Name]],'Base Schedules'!$A$79:$AW$111,13,FALSE)="","",VLOOKUP(Sun_W2[[#This Row],[Employee Name]],'Base Schedules'!$A$79:$AW$111,13,FALSE)),"")</f>
        <v/>
      </c>
      <c r="O46" s="184" t="str">
        <f>IFERROR(IF(VLOOKUP(Sun_W2[[#This Row],[Employee Name]],'Base Schedules'!$A$79:$AW$111,14,FALSE)="","",VLOOKUP(Sun_W2[[#This Row],[Employee Name]],'Base Schedules'!$A$79:$AW$111,14,FALSE)),"")</f>
        <v/>
      </c>
      <c r="P46" s="184" t="str">
        <f>IFERROR(IF(VLOOKUP(Sun_W2[[#This Row],[Employee Name]],'Base Schedules'!$A$79:$AW$111,15,FALSE)="","",VLOOKUP(Sun_W2[[#This Row],[Employee Name]],'Base Schedules'!$A$79:$AW$111,15,FALSE)),"")</f>
        <v/>
      </c>
      <c r="Q46" s="184" t="str">
        <f>IFERROR(IF(VLOOKUP(Sun_W2[[#This Row],[Employee Name]],'Base Schedules'!$A$79:$AW$111,16,FALSE)="","",VLOOKUP(Sun_W2[[#This Row],[Employee Name]],'Base Schedules'!$A$79:$AW$111,16,FALSE)),"")</f>
        <v/>
      </c>
      <c r="R46" s="184" t="str">
        <f>IFERROR(IF(VLOOKUP(Sun_W2[[#This Row],[Employee Name]],'Base Schedules'!$A$79:$AW$111,17,FALSE)="","",VLOOKUP(Sun_W2[[#This Row],[Employee Name]],'Base Schedules'!$A$79:$AW$111,17,FALSE)),"")</f>
        <v/>
      </c>
      <c r="S46" s="184" t="str">
        <f>IFERROR(IF(VLOOKUP(Sun_W2[[#This Row],[Employee Name]],'Base Schedules'!$A$79:$AW$111,18,FALSE)="","",VLOOKUP(Sun_W2[[#This Row],[Employee Name]],'Base Schedules'!$A$79:$AW$111,18,FALSE)),"")</f>
        <v/>
      </c>
      <c r="T46" s="184" t="str">
        <f>IFERROR(IF(VLOOKUP(Sun_W2[[#This Row],[Employee Name]],'Base Schedules'!$A$79:$AW$111,19,FALSE)="","",VLOOKUP(Sun_W2[[#This Row],[Employee Name]],'Base Schedules'!$A$79:$AW$111,19,FALSE)),"")</f>
        <v/>
      </c>
      <c r="U46" s="184" t="str">
        <f>IFERROR(IF(VLOOKUP(Sun_W2[[#This Row],[Employee Name]],'Base Schedules'!$A$79:$AW$111,20,FALSE)="","",VLOOKUP(Sun_W2[[#This Row],[Employee Name]],'Base Schedules'!$A$79:$AW$111,20,FALSE)),"")</f>
        <v/>
      </c>
      <c r="V46" s="184" t="str">
        <f>IFERROR(IF(VLOOKUP(Sun_W2[[#This Row],[Employee Name]],'Base Schedules'!$A$79:$AW$111,21,FALSE)="","",VLOOKUP(Sun_W2[[#This Row],[Employee Name]],'Base Schedules'!$A$79:$AW$111,21,FALSE)),"")</f>
        <v/>
      </c>
      <c r="W46" s="184" t="str">
        <f>IFERROR(IF(VLOOKUP(Sun_W2[[#This Row],[Employee Name]],'Base Schedules'!$A$79:$AW$111,22,FALSE)="","",VLOOKUP(Sun_W2[[#This Row],[Employee Name]],'Base Schedules'!$A$79:$AW$111,22,FALSE)),"")</f>
        <v/>
      </c>
      <c r="X46" s="184" t="str">
        <f>IFERROR(IF(VLOOKUP(Sun_W2[[#This Row],[Employee Name]],'Base Schedules'!$A$79:$AW$111,23,FALSE)="","",VLOOKUP(Sun_W2[[#This Row],[Employee Name]],'Base Schedules'!$A$79:$AW$111,23,FALSE)),"")</f>
        <v/>
      </c>
      <c r="Y46" s="184" t="str">
        <f>IFERROR(IF(VLOOKUP(Sun_W2[[#This Row],[Employee Name]],'Base Schedules'!$A$79:$AW$111,24,FALSE)="","",VLOOKUP(Sun_W2[[#This Row],[Employee Name]],'Base Schedules'!$A$79:$AW$111,24,FALSE)),"")</f>
        <v/>
      </c>
      <c r="Z46" s="184" t="str">
        <f>IFERROR(IF(VLOOKUP(Sun_W2[[#This Row],[Employee Name]],'Base Schedules'!$A$79:$AW$111,25,FALSE)="","",VLOOKUP(Sun_W2[[#This Row],[Employee Name]],'Base Schedules'!$A$79:$AW$111,25,FALSE)),"")</f>
        <v/>
      </c>
      <c r="AA46" s="184" t="str">
        <f>IFERROR(IF(VLOOKUP(Sun_W2[[#This Row],[Employee Name]],'Base Schedules'!$A$79:$AW$111,26,FALSE)="","",VLOOKUP(Sun_W2[[#This Row],[Employee Name]],'Base Schedules'!$A$79:$AW$111,26,FALSE)),"")</f>
        <v/>
      </c>
      <c r="AB46" s="184" t="str">
        <f>IFERROR(IF(VLOOKUP(Sun_W2[[#This Row],[Employee Name]],'Base Schedules'!$A$79:$AW$111,27,FALSE)="","",VLOOKUP(Sun_W2[[#This Row],[Employee Name]],'Base Schedules'!$A$79:$AW$111,27,FALSE)),"")</f>
        <v/>
      </c>
      <c r="AC46" s="184" t="str">
        <f>IFERROR(IF(VLOOKUP(Sun_W2[[#This Row],[Employee Name]],'Base Schedules'!$A$79:$AW$111,28,FALSE)="","",VLOOKUP(Sun_W2[[#This Row],[Employee Name]],'Base Schedules'!$A$79:$AW$111,28,FALSE)),"")</f>
        <v/>
      </c>
      <c r="AD46" s="184" t="str">
        <f>IFERROR(IF(VLOOKUP(Sun_W2[[#This Row],[Employee Name]],'Base Schedules'!$A$79:$AW$111,29,FALSE)="","",VLOOKUP(Sun_W2[[#This Row],[Employee Name]],'Base Schedules'!$A$79:$AW$111,29,FALSE)),"")</f>
        <v/>
      </c>
      <c r="AE46" s="184" t="str">
        <f>IFERROR(IF(VLOOKUP(Sun_W2[[#This Row],[Employee Name]],'Base Schedules'!$A$79:$AW$111,30,FALSE)="","",VLOOKUP(Sun_W2[[#This Row],[Employee Name]],'Base Schedules'!$A$79:$AW$111,30,FALSE)),"")</f>
        <v/>
      </c>
      <c r="AF46" s="184" t="str">
        <f>IFERROR(IF(VLOOKUP(Sun_W2[[#This Row],[Employee Name]],'Base Schedules'!$A$79:$AW$111,31,FALSE)="","",VLOOKUP(Sun_W2[[#This Row],[Employee Name]],'Base Schedules'!$A$79:$AW$111,31,FALSE)),"")</f>
        <v/>
      </c>
      <c r="AG46" s="184" t="str">
        <f>IFERROR(IF(VLOOKUP(Sun_W2[[#This Row],[Employee Name]],'Base Schedules'!$A$79:$AW$111,32,FALSE)="","",VLOOKUP(Sun_W2[[#This Row],[Employee Name]],'Base Schedules'!$A$79:$AW$111,32,FALSE)),"")</f>
        <v/>
      </c>
      <c r="AH46" s="184" t="str">
        <f>IFERROR(IF(VLOOKUP(Sun_W2[[#This Row],[Employee Name]],'Base Schedules'!$A$79:$AW$111,33,FALSE)="","",VLOOKUP(Sun_W2[[#This Row],[Employee Name]],'Base Schedules'!$A$79:$AW$111,33,FALSE)),"")</f>
        <v/>
      </c>
      <c r="AI46" s="184" t="str">
        <f>IFERROR(IF(VLOOKUP(Sun_W2[[#This Row],[Employee Name]],'Base Schedules'!$A$79:$AW$111,34,FALSE)="","",VLOOKUP(Sun_W2[[#This Row],[Employee Name]],'Base Schedules'!$A$79:$AW$111,34,FALSE)),"")</f>
        <v/>
      </c>
      <c r="AJ46" s="184" t="str">
        <f>IFERROR(IF(VLOOKUP(Sun_W2[[#This Row],[Employee Name]],'Base Schedules'!$A$79:$AW$111,35,FALSE)="","",VLOOKUP(Sun_W2[[#This Row],[Employee Name]],'Base Schedules'!$A$79:$AW$111,35,FALSE)),"")</f>
        <v/>
      </c>
      <c r="AK46" s="184" t="str">
        <f>IFERROR(IF(VLOOKUP(Sun_W2[[#This Row],[Employee Name]],'Base Schedules'!$A$79:$AW$111,36,FALSE)="","",VLOOKUP(Sun_W2[[#This Row],[Employee Name]],'Base Schedules'!$A$79:$AW$111,36,FALSE)),"")</f>
        <v/>
      </c>
      <c r="AL46" s="184" t="str">
        <f>IFERROR(IF(VLOOKUP(Sun_W2[[#This Row],[Employee Name]],'Base Schedules'!$A$79:$AW$111,37,FALSE)="","",VLOOKUP(Sun_W2[[#This Row],[Employee Name]],'Base Schedules'!$A$79:$AW$111,37,FALSE)),"")</f>
        <v/>
      </c>
      <c r="AM46" s="184" t="str">
        <f>IFERROR(IF(VLOOKUP(Sun_W2[[#This Row],[Employee Name]],'Base Schedules'!$A$79:$AW$111,38,FALSE)="","",VLOOKUP(Sun_W2[[#This Row],[Employee Name]],'Base Schedules'!$A$79:$AW$111,38,FALSE)),"")</f>
        <v/>
      </c>
      <c r="AN46" s="184" t="str">
        <f>IFERROR(IF(VLOOKUP(Sun_W2[[#This Row],[Employee Name]],'Base Schedules'!$A$79:$AW$111,39,FALSE)="","",VLOOKUP(Sun_W2[[#This Row],[Employee Name]],'Base Schedules'!$A$79:$AW$111,39,FALSE)),"")</f>
        <v/>
      </c>
      <c r="AO46" s="184" t="str">
        <f>IFERROR(IF(VLOOKUP(Sun_W2[[#This Row],[Employee Name]],'Base Schedules'!$A$79:$AW$111,40,FALSE)="","",VLOOKUP(Sun_W2[[#This Row],[Employee Name]],'Base Schedules'!$A$79:$AW$111,40,FALSE)),"")</f>
        <v/>
      </c>
      <c r="AP46" s="184" t="str">
        <f>IFERROR(IF(VLOOKUP(Sun_W2[[#This Row],[Employee Name]],'Base Schedules'!$A$79:$AW$111,41,FALSE)="","",VLOOKUP(Sun_W2[[#This Row],[Employee Name]],'Base Schedules'!$A$79:$AW$111,41,FALSE)),"")</f>
        <v/>
      </c>
      <c r="AQ46" s="184" t="str">
        <f>IFERROR(IF(VLOOKUP(Sun_W2[[#This Row],[Employee Name]],'Base Schedules'!$A$79:$AW$111,42,FALSE)="","",VLOOKUP(Sun_W2[[#This Row],[Employee Name]],'Base Schedules'!$A$79:$AW$111,42,FALSE)),"")</f>
        <v/>
      </c>
      <c r="AR46" s="184" t="str">
        <f>IFERROR(IF(VLOOKUP(Sun_W2[[#This Row],[Employee Name]],'Base Schedules'!$A$79:$AW$111,43,FALSE)="","",VLOOKUP(Sun_W2[[#This Row],[Employee Name]],'Base Schedules'!$A$79:$AW$111,43,FALSE)),"")</f>
        <v/>
      </c>
      <c r="AS46" s="184" t="str">
        <f>IFERROR(IF(VLOOKUP(Sun_W2[[#This Row],[Employee Name]],'Base Schedules'!$A$79:$AW$111,44,FALSE)="","",VLOOKUP(Sun_W2[[#This Row],[Employee Name]],'Base Schedules'!$A$79:$AW$111,44,FALSE)),"")</f>
        <v/>
      </c>
      <c r="AT46" s="184" t="str">
        <f>IFERROR(IF(VLOOKUP(Sun_W2[[#This Row],[Employee Name]],'Base Schedules'!$A$79:$AW$111,45,FALSE)="","",VLOOKUP(Sun_W2[[#This Row],[Employee Name]],'Base Schedules'!$A$79:$AW$111,45,FALSE)),"")</f>
        <v/>
      </c>
      <c r="AU46" s="184" t="str">
        <f>IFERROR(IF(VLOOKUP(Sun_W2[[#This Row],[Employee Name]],'Base Schedules'!$A$79:$AW$111,46,FALSE)="","",VLOOKUP(Sun_W2[[#This Row],[Employee Name]],'Base Schedules'!$A$79:$AW$111,46,FALSE)),"")</f>
        <v/>
      </c>
      <c r="AV46" s="184" t="str">
        <f>IFERROR(IF(VLOOKUP(Sun_W2[[#This Row],[Employee Name]],'Base Schedules'!$A$79:$AW$111,47,FALSE)="","",VLOOKUP(Sun_W2[[#This Row],[Employee Name]],'Base Schedules'!$A$79:$AW$111,47,FALSE)),"")</f>
        <v/>
      </c>
      <c r="AW46" s="184" t="str">
        <f>IFERROR(IF(VLOOKUP(Sun_W2[[#This Row],[Employee Name]],'Base Schedules'!$A$79:$AW$111,48,FALSE)="","",VLOOKUP(Sun_W2[[#This Row],[Employee Name]],'Base Schedules'!$A$79:$AW$111,48,FALSE)),"")</f>
        <v/>
      </c>
      <c r="AX46" s="184" t="str">
        <f>IFERROR(IF(VLOOKUP(Sun_W2[[#This Row],[Employee Name]],'Base Schedules'!$A$79:$AW$111,49,FALSE)="","",VLOOKUP(Sun_W2[[#This Row],[Employee Name]],'Base Schedules'!$A$79:$AW$111,49,FALSE)),"")</f>
        <v/>
      </c>
      <c r="AY46" s="160" t="str">
        <f t="shared" si="2"/>
        <v/>
      </c>
    </row>
    <row r="47" spans="1:53" s="44" customFormat="1" ht="12" hidden="1" customHeight="1" x14ac:dyDescent="0.2">
      <c r="A47" s="39" t="str">
        <f>IF(B47="","",INDEX(TeamList[],MATCH($B47,TeamList[[Employee Name]:[Employee Name]],0),MATCH("Manager",TeamList[#Headers],0)))</f>
        <v/>
      </c>
      <c r="B47" s="201"/>
      <c r="C47" s="257" t="str">
        <f>_xlfn.IFNA(VLOOKUP(Sun_W2[[#This Row],[Employee Name]],'Base Schedules'!A:B,2,FALSE),"")</f>
        <v/>
      </c>
      <c r="D47" s="274" t="str">
        <f>_xlfn.IFNA(VLOOKUP(Sun_W2[[#This Row],[Employee Name]],'Base Schedules'!A:C,3,FALSE),"")</f>
        <v/>
      </c>
      <c r="E47" s="354" t="str">
        <f>_xlfn.IFNA(VLOOKUP(Sun_W2[[#This Row],[Employee Name]],'Base Schedules'!A:D,4,FALSE),"")</f>
        <v/>
      </c>
      <c r="F47" s="358" t="str">
        <f>IF(Sun_W2[[#This Row],[Employee Name]]="","",IF(Sun_W2[[#This Row],[Dept]]="Supervisor",COUNTIFS($J47:$AX47,"*HL*",$J47:$AX47,"&lt;&gt;"&amp;"pHL"),COUNTIFS($J47:$AX47,"*HL*",$J47:$AX47,"&lt;&gt;"&amp;"*pHL*",$J47:$AX47,"&lt;&gt;"&amp;"pB1 HL",$J47:$AX47,"&lt;&gt;"&amp;"pB2 HL")-SUM(COUNTIFS($J47:$AX47,"*HL B1*",$J47:$AX47,"&lt;&gt;"&amp;"pHL B1")*0.5,COUNTIFS($J47:$AX47,"*HL B2*",$J47:$AX47,"&lt;&gt;"&amp;"pHL B2")*0.5,COUNTIFS($J47:$AX47,"*B1 HL*",$J47:$AX47,"&lt;&gt;"&amp;"pB1 HL")*0.5,COUNTIFS($J47:$AX47,"*B2 HL*",$J47:$AX47,"&lt;&gt;"&amp;"pB2 HL")*0.5)))</f>
        <v/>
      </c>
      <c r="G47" s="142" t="str">
        <f t="shared" si="3"/>
        <v/>
      </c>
      <c r="H47" s="142" t="str">
        <f t="shared" si="1"/>
        <v/>
      </c>
      <c r="I47" s="142" t="str">
        <f>IF(Sun_W2[[#This Row],[Employee Name]]="","",IF(Sun_W2[[#This Row],[Dept]]="Supervisor",SUM(COUNTIFS($J47:$AX47,"RTA*",$J47:$AX47,"&lt;&gt;"&amp;"pRTA"),COUNTIFS($J47:$AX47,"*CRTA*",$J47:$AX47,"&lt;&gt;"&amp;"pCRTA")),COUNTIFS($J47:$AX47,"*RNNR*",$J47:$AX47,"&lt;&gt;"&amp;"*pRNNR*",$J47:$AX47,"&lt;&gt;"&amp;"pB1 RNNR",$J47:$AX47,"&lt;&gt;"&amp;"pB2 RNNR")-SUM(COUNTIFS($J47:$AX47,"*RNNR B1*",$J47:$AX47,"&lt;&gt;"&amp;"pRNNR B1")*0.5,COUNTIFS($J47:$AX47,"*RNNR B2*",$J47:$AX47,"&lt;&gt;"&amp;"pRNNR B2")*0.5,COUNTIFS($J47:$AX47,"*B1 RNNR*",$J47:$AX47,"&lt;&gt;"&amp;"pB1 RNNR")*0.5,COUNTIFS($J47:$AX47,"*B2 RNNR*",$J47:$AX47,"&lt;&gt;"&amp;"pB2 RNNR")*0.5)))</f>
        <v/>
      </c>
      <c r="J47" s="184" t="str">
        <f>IFERROR(IF(VLOOKUP(Sun_W2[[#This Row],[Employee Name]],'Base Schedules'!$A$79:$AW$111,9,FALSE)="","",VLOOKUP(Sun_W2[[#This Row],[Employee Name]],'Base Schedules'!$A$79:$AW$111,9,FALSE)),"")</f>
        <v/>
      </c>
      <c r="K47" s="184" t="str">
        <f>IFERROR(IF(VLOOKUP(Sun_W2[[#This Row],[Employee Name]],'Base Schedules'!$A$79:$AW$111,10,FALSE)="","",VLOOKUP(Sun_W2[[#This Row],[Employee Name]],'Base Schedules'!$A$79:$AW$111,10,FALSE)),"")</f>
        <v/>
      </c>
      <c r="L47" s="184" t="str">
        <f>IFERROR(IF(VLOOKUP(Sun_W2[[#This Row],[Employee Name]],'Base Schedules'!$A$79:$AW$111,11,FALSE)="","",VLOOKUP(Sun_W2[[#This Row],[Employee Name]],'Base Schedules'!$A$79:$AW$111,11,FALSE)),"")</f>
        <v/>
      </c>
      <c r="M47" s="184" t="str">
        <f>IFERROR(IF(VLOOKUP(Sun_W2[[#This Row],[Employee Name]],'Base Schedules'!$A$79:$AW$111,12,FALSE)="","",VLOOKUP(Sun_W2[[#This Row],[Employee Name]],'Base Schedules'!$A$79:$AW$111,12,FALSE)),"")</f>
        <v/>
      </c>
      <c r="N47" s="184" t="str">
        <f>IFERROR(IF(VLOOKUP(Sun_W2[[#This Row],[Employee Name]],'Base Schedules'!$A$79:$AW$111,13,FALSE)="","",VLOOKUP(Sun_W2[[#This Row],[Employee Name]],'Base Schedules'!$A$79:$AW$111,13,FALSE)),"")</f>
        <v/>
      </c>
      <c r="O47" s="184" t="str">
        <f>IFERROR(IF(VLOOKUP(Sun_W2[[#This Row],[Employee Name]],'Base Schedules'!$A$79:$AW$111,14,FALSE)="","",VLOOKUP(Sun_W2[[#This Row],[Employee Name]],'Base Schedules'!$A$79:$AW$111,14,FALSE)),"")</f>
        <v/>
      </c>
      <c r="P47" s="184" t="str">
        <f>IFERROR(IF(VLOOKUP(Sun_W2[[#This Row],[Employee Name]],'Base Schedules'!$A$79:$AW$111,15,FALSE)="","",VLOOKUP(Sun_W2[[#This Row],[Employee Name]],'Base Schedules'!$A$79:$AW$111,15,FALSE)),"")</f>
        <v/>
      </c>
      <c r="Q47" s="184" t="str">
        <f>IFERROR(IF(VLOOKUP(Sun_W2[[#This Row],[Employee Name]],'Base Schedules'!$A$79:$AW$111,16,FALSE)="","",VLOOKUP(Sun_W2[[#This Row],[Employee Name]],'Base Schedules'!$A$79:$AW$111,16,FALSE)),"")</f>
        <v/>
      </c>
      <c r="R47" s="184" t="str">
        <f>IFERROR(IF(VLOOKUP(Sun_W2[[#This Row],[Employee Name]],'Base Schedules'!$A$79:$AW$111,17,FALSE)="","",VLOOKUP(Sun_W2[[#This Row],[Employee Name]],'Base Schedules'!$A$79:$AW$111,17,FALSE)),"")</f>
        <v/>
      </c>
      <c r="S47" s="184" t="str">
        <f>IFERROR(IF(VLOOKUP(Sun_W2[[#This Row],[Employee Name]],'Base Schedules'!$A$79:$AW$111,18,FALSE)="","",VLOOKUP(Sun_W2[[#This Row],[Employee Name]],'Base Schedules'!$A$79:$AW$111,18,FALSE)),"")</f>
        <v/>
      </c>
      <c r="T47" s="184" t="str">
        <f>IFERROR(IF(VLOOKUP(Sun_W2[[#This Row],[Employee Name]],'Base Schedules'!$A$79:$AW$111,19,FALSE)="","",VLOOKUP(Sun_W2[[#This Row],[Employee Name]],'Base Schedules'!$A$79:$AW$111,19,FALSE)),"")</f>
        <v/>
      </c>
      <c r="U47" s="184" t="str">
        <f>IFERROR(IF(VLOOKUP(Sun_W2[[#This Row],[Employee Name]],'Base Schedules'!$A$79:$AW$111,20,FALSE)="","",VLOOKUP(Sun_W2[[#This Row],[Employee Name]],'Base Schedules'!$A$79:$AW$111,20,FALSE)),"")</f>
        <v/>
      </c>
      <c r="V47" s="184" t="str">
        <f>IFERROR(IF(VLOOKUP(Sun_W2[[#This Row],[Employee Name]],'Base Schedules'!$A$79:$AW$111,21,FALSE)="","",VLOOKUP(Sun_W2[[#This Row],[Employee Name]],'Base Schedules'!$A$79:$AW$111,21,FALSE)),"")</f>
        <v/>
      </c>
      <c r="W47" s="184" t="str">
        <f>IFERROR(IF(VLOOKUP(Sun_W2[[#This Row],[Employee Name]],'Base Schedules'!$A$79:$AW$111,22,FALSE)="","",VLOOKUP(Sun_W2[[#This Row],[Employee Name]],'Base Schedules'!$A$79:$AW$111,22,FALSE)),"")</f>
        <v/>
      </c>
      <c r="X47" s="184" t="str">
        <f>IFERROR(IF(VLOOKUP(Sun_W2[[#This Row],[Employee Name]],'Base Schedules'!$A$79:$AW$111,23,FALSE)="","",VLOOKUP(Sun_W2[[#This Row],[Employee Name]],'Base Schedules'!$A$79:$AW$111,23,FALSE)),"")</f>
        <v/>
      </c>
      <c r="Y47" s="184" t="str">
        <f>IFERROR(IF(VLOOKUP(Sun_W2[[#This Row],[Employee Name]],'Base Schedules'!$A$79:$AW$111,24,FALSE)="","",VLOOKUP(Sun_W2[[#This Row],[Employee Name]],'Base Schedules'!$A$79:$AW$111,24,FALSE)),"")</f>
        <v/>
      </c>
      <c r="Z47" s="184" t="str">
        <f>IFERROR(IF(VLOOKUP(Sun_W2[[#This Row],[Employee Name]],'Base Schedules'!$A$79:$AW$111,25,FALSE)="","",VLOOKUP(Sun_W2[[#This Row],[Employee Name]],'Base Schedules'!$A$79:$AW$111,25,FALSE)),"")</f>
        <v/>
      </c>
      <c r="AA47" s="184" t="str">
        <f>IFERROR(IF(VLOOKUP(Sun_W2[[#This Row],[Employee Name]],'Base Schedules'!$A$79:$AW$111,26,FALSE)="","",VLOOKUP(Sun_W2[[#This Row],[Employee Name]],'Base Schedules'!$A$79:$AW$111,26,FALSE)),"")</f>
        <v/>
      </c>
      <c r="AB47" s="184" t="str">
        <f>IFERROR(IF(VLOOKUP(Sun_W2[[#This Row],[Employee Name]],'Base Schedules'!$A$79:$AW$111,27,FALSE)="","",VLOOKUP(Sun_W2[[#This Row],[Employee Name]],'Base Schedules'!$A$79:$AW$111,27,FALSE)),"")</f>
        <v/>
      </c>
      <c r="AC47" s="184" t="str">
        <f>IFERROR(IF(VLOOKUP(Sun_W2[[#This Row],[Employee Name]],'Base Schedules'!$A$79:$AW$111,28,FALSE)="","",VLOOKUP(Sun_W2[[#This Row],[Employee Name]],'Base Schedules'!$A$79:$AW$111,28,FALSE)),"")</f>
        <v/>
      </c>
      <c r="AD47" s="184" t="str">
        <f>IFERROR(IF(VLOOKUP(Sun_W2[[#This Row],[Employee Name]],'Base Schedules'!$A$79:$AW$111,29,FALSE)="","",VLOOKUP(Sun_W2[[#This Row],[Employee Name]],'Base Schedules'!$A$79:$AW$111,29,FALSE)),"")</f>
        <v/>
      </c>
      <c r="AE47" s="184" t="str">
        <f>IFERROR(IF(VLOOKUP(Sun_W2[[#This Row],[Employee Name]],'Base Schedules'!$A$79:$AW$111,30,FALSE)="","",VLOOKUP(Sun_W2[[#This Row],[Employee Name]],'Base Schedules'!$A$79:$AW$111,30,FALSE)),"")</f>
        <v/>
      </c>
      <c r="AF47" s="184" t="str">
        <f>IFERROR(IF(VLOOKUP(Sun_W2[[#This Row],[Employee Name]],'Base Schedules'!$A$79:$AW$111,31,FALSE)="","",VLOOKUP(Sun_W2[[#This Row],[Employee Name]],'Base Schedules'!$A$79:$AW$111,31,FALSE)),"")</f>
        <v/>
      </c>
      <c r="AG47" s="184" t="str">
        <f>IFERROR(IF(VLOOKUP(Sun_W2[[#This Row],[Employee Name]],'Base Schedules'!$A$79:$AW$111,32,FALSE)="","",VLOOKUP(Sun_W2[[#This Row],[Employee Name]],'Base Schedules'!$A$79:$AW$111,32,FALSE)),"")</f>
        <v/>
      </c>
      <c r="AH47" s="184" t="str">
        <f>IFERROR(IF(VLOOKUP(Sun_W2[[#This Row],[Employee Name]],'Base Schedules'!$A$79:$AW$111,33,FALSE)="","",VLOOKUP(Sun_W2[[#This Row],[Employee Name]],'Base Schedules'!$A$79:$AW$111,33,FALSE)),"")</f>
        <v/>
      </c>
      <c r="AI47" s="184" t="str">
        <f>IFERROR(IF(VLOOKUP(Sun_W2[[#This Row],[Employee Name]],'Base Schedules'!$A$79:$AW$111,34,FALSE)="","",VLOOKUP(Sun_W2[[#This Row],[Employee Name]],'Base Schedules'!$A$79:$AW$111,34,FALSE)),"")</f>
        <v/>
      </c>
      <c r="AJ47" s="184" t="str">
        <f>IFERROR(IF(VLOOKUP(Sun_W2[[#This Row],[Employee Name]],'Base Schedules'!$A$79:$AW$111,35,FALSE)="","",VLOOKUP(Sun_W2[[#This Row],[Employee Name]],'Base Schedules'!$A$79:$AW$111,35,FALSE)),"")</f>
        <v/>
      </c>
      <c r="AK47" s="184" t="str">
        <f>IFERROR(IF(VLOOKUP(Sun_W2[[#This Row],[Employee Name]],'Base Schedules'!$A$79:$AW$111,36,FALSE)="","",VLOOKUP(Sun_W2[[#This Row],[Employee Name]],'Base Schedules'!$A$79:$AW$111,36,FALSE)),"")</f>
        <v/>
      </c>
      <c r="AL47" s="184" t="str">
        <f>IFERROR(IF(VLOOKUP(Sun_W2[[#This Row],[Employee Name]],'Base Schedules'!$A$79:$AW$111,37,FALSE)="","",VLOOKUP(Sun_W2[[#This Row],[Employee Name]],'Base Schedules'!$A$79:$AW$111,37,FALSE)),"")</f>
        <v/>
      </c>
      <c r="AM47" s="184" t="str">
        <f>IFERROR(IF(VLOOKUP(Sun_W2[[#This Row],[Employee Name]],'Base Schedules'!$A$79:$AW$111,38,FALSE)="","",VLOOKUP(Sun_W2[[#This Row],[Employee Name]],'Base Schedules'!$A$79:$AW$111,38,FALSE)),"")</f>
        <v/>
      </c>
      <c r="AN47" s="184" t="str">
        <f>IFERROR(IF(VLOOKUP(Sun_W2[[#This Row],[Employee Name]],'Base Schedules'!$A$79:$AW$111,39,FALSE)="","",VLOOKUP(Sun_W2[[#This Row],[Employee Name]],'Base Schedules'!$A$79:$AW$111,39,FALSE)),"")</f>
        <v/>
      </c>
      <c r="AO47" s="184" t="str">
        <f>IFERROR(IF(VLOOKUP(Sun_W2[[#This Row],[Employee Name]],'Base Schedules'!$A$79:$AW$111,40,FALSE)="","",VLOOKUP(Sun_W2[[#This Row],[Employee Name]],'Base Schedules'!$A$79:$AW$111,40,FALSE)),"")</f>
        <v/>
      </c>
      <c r="AP47" s="184" t="str">
        <f>IFERROR(IF(VLOOKUP(Sun_W2[[#This Row],[Employee Name]],'Base Schedules'!$A$79:$AW$111,41,FALSE)="","",VLOOKUP(Sun_W2[[#This Row],[Employee Name]],'Base Schedules'!$A$79:$AW$111,41,FALSE)),"")</f>
        <v/>
      </c>
      <c r="AQ47" s="184" t="str">
        <f>IFERROR(IF(VLOOKUP(Sun_W2[[#This Row],[Employee Name]],'Base Schedules'!$A$79:$AW$111,42,FALSE)="","",VLOOKUP(Sun_W2[[#This Row],[Employee Name]],'Base Schedules'!$A$79:$AW$111,42,FALSE)),"")</f>
        <v/>
      </c>
      <c r="AR47" s="184" t="str">
        <f>IFERROR(IF(VLOOKUP(Sun_W2[[#This Row],[Employee Name]],'Base Schedules'!$A$79:$AW$111,43,FALSE)="","",VLOOKUP(Sun_W2[[#This Row],[Employee Name]],'Base Schedules'!$A$79:$AW$111,43,FALSE)),"")</f>
        <v/>
      </c>
      <c r="AS47" s="184" t="str">
        <f>IFERROR(IF(VLOOKUP(Sun_W2[[#This Row],[Employee Name]],'Base Schedules'!$A$79:$AW$111,44,FALSE)="","",VLOOKUP(Sun_W2[[#This Row],[Employee Name]],'Base Schedules'!$A$79:$AW$111,44,FALSE)),"")</f>
        <v/>
      </c>
      <c r="AT47" s="184" t="str">
        <f>IFERROR(IF(VLOOKUP(Sun_W2[[#This Row],[Employee Name]],'Base Schedules'!$A$79:$AW$111,45,FALSE)="","",VLOOKUP(Sun_W2[[#This Row],[Employee Name]],'Base Schedules'!$A$79:$AW$111,45,FALSE)),"")</f>
        <v/>
      </c>
      <c r="AU47" s="184" t="str">
        <f>IFERROR(IF(VLOOKUP(Sun_W2[[#This Row],[Employee Name]],'Base Schedules'!$A$79:$AW$111,46,FALSE)="","",VLOOKUP(Sun_W2[[#This Row],[Employee Name]],'Base Schedules'!$A$79:$AW$111,46,FALSE)),"")</f>
        <v/>
      </c>
      <c r="AV47" s="184" t="str">
        <f>IFERROR(IF(VLOOKUP(Sun_W2[[#This Row],[Employee Name]],'Base Schedules'!$A$79:$AW$111,47,FALSE)="","",VLOOKUP(Sun_W2[[#This Row],[Employee Name]],'Base Schedules'!$A$79:$AW$111,47,FALSE)),"")</f>
        <v/>
      </c>
      <c r="AW47" s="184" t="str">
        <f>IFERROR(IF(VLOOKUP(Sun_W2[[#This Row],[Employee Name]],'Base Schedules'!$A$79:$AW$111,48,FALSE)="","",VLOOKUP(Sun_W2[[#This Row],[Employee Name]],'Base Schedules'!$A$79:$AW$111,48,FALSE)),"")</f>
        <v/>
      </c>
      <c r="AX47" s="184" t="str">
        <f>IFERROR(IF(VLOOKUP(Sun_W2[[#This Row],[Employee Name]],'Base Schedules'!$A$79:$AW$111,49,FALSE)="","",VLOOKUP(Sun_W2[[#This Row],[Employee Name]],'Base Schedules'!$A$79:$AW$111,49,FALSE)),"")</f>
        <v/>
      </c>
      <c r="AY47" s="160" t="str">
        <f t="shared" si="2"/>
        <v/>
      </c>
    </row>
    <row r="48" spans="1:53" ht="12" hidden="1" customHeight="1" thickBot="1" x14ac:dyDescent="0.25">
      <c r="A48" s="39" t="str">
        <f>IF(B48="","",INDEX(TeamList[],MATCH($B48,TeamList[[Employee Name]:[Employee Name]],0),MATCH("Manager",TeamList[#Headers],0)))</f>
        <v/>
      </c>
      <c r="B48" s="204"/>
      <c r="C48" s="290" t="str">
        <f>IFERROR(VLOOKUP(Sun_W2[[#This Row],[Employee Name]],Schedules[[#All],[Employee Name]:[Dept]],2,0),"")</f>
        <v/>
      </c>
      <c r="D48" s="92"/>
      <c r="E48" s="355"/>
      <c r="F48" s="358" t="str">
        <f>IF(Sun_W2[[#This Row],[Employee Name]]="","",IF(Sun_W2[[#This Row],[Dept]]="Supervisor",COUNTIFS($J48:$AX48,"*HL*",$J48:$AX48,"&lt;&gt;"&amp;"pHL"),COUNTIFS($J48:$AX48,"*HL*",$J48:$AX48,"&lt;&gt;"&amp;"*pHL*",$J48:$AX48,"&lt;&gt;"&amp;"pB1 HL",$J48:$AX48,"&lt;&gt;"&amp;"pB2 HL")-SUM(COUNTIFS($J48:$AX48,"*HL B1*",$J48:$AX48,"&lt;&gt;"&amp;"pHL B1")*0.5,COUNTIFS($J48:$AX48,"*HL B2*",$J48:$AX48,"&lt;&gt;"&amp;"pHL B2")*0.5,COUNTIFS($J48:$AX48,"*B1 HL*",$J48:$AX48,"&lt;&gt;"&amp;"pB1 HL")*0.5,COUNTIFS($J48:$AX48,"*B2 HL*",$J48:$AX48,"&lt;&gt;"&amp;"pB2 HL")*0.5)))</f>
        <v/>
      </c>
      <c r="G48" s="142" t="str">
        <f t="shared" si="3"/>
        <v/>
      </c>
      <c r="H48" s="142" t="str">
        <f t="shared" si="1"/>
        <v/>
      </c>
      <c r="I48" s="142" t="str">
        <f>IF(Sun_W2[[#This Row],[Employee Name]]="","",IF(Sun_W2[[#This Row],[Dept]]="Supervisor",SUM(COUNTIFS($J48:$AX48,"RTA*",$J48:$AX48,"&lt;&gt;"&amp;"pRTA"),COUNTIFS($J48:$AX48,"*CRTA*",$J48:$AX48,"&lt;&gt;"&amp;"pCRTA")),COUNTIFS($J48:$AX48,"*RNNR*",$J48:$AX48,"&lt;&gt;"&amp;"*pRNNR*",$J48:$AX48,"&lt;&gt;"&amp;"pB1 RNNR",$J48:$AX48,"&lt;&gt;"&amp;"pB2 RNNR")-SUM(COUNTIFS($J48:$AX48,"*RNNR B1*",$J48:$AX48,"&lt;&gt;"&amp;"pRNNR B1")*0.5,COUNTIFS($J48:$AX48,"*RNNR B2*",$J48:$AX48,"&lt;&gt;"&amp;"pRNNR B2")*0.5,COUNTIFS($J48:$AX48,"*B1 RNNR*",$J48:$AX48,"&lt;&gt;"&amp;"pB1 RNNR")*0.5,COUNTIFS($J48:$AX48,"*B2 RNNR*",$J48:$AX48,"&lt;&gt;"&amp;"pB2 RNNR")*0.5)))</f>
        <v/>
      </c>
      <c r="J48" s="184"/>
      <c r="K48" s="184"/>
      <c r="L48" s="184"/>
      <c r="M48" s="184"/>
      <c r="N48" s="184"/>
      <c r="O48" s="184"/>
      <c r="P48" s="184"/>
      <c r="Q48" s="184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4"/>
      <c r="AI48" s="184"/>
      <c r="AJ48" s="184"/>
      <c r="AK48" s="184"/>
      <c r="AL48" s="184"/>
      <c r="AM48" s="184"/>
      <c r="AN48" s="184"/>
      <c r="AO48" s="184"/>
      <c r="AP48" s="184"/>
      <c r="AQ48" s="184"/>
      <c r="AR48" s="184"/>
      <c r="AS48" s="184"/>
      <c r="AT48" s="184"/>
      <c r="AU48" s="184"/>
      <c r="AV48" s="184"/>
      <c r="AW48" s="184"/>
      <c r="AX48" s="184" t="str">
        <f>IFERROR(IF(VLOOKUP(Sun_W2[[#This Row],[Employee Name]],'Base Schedules'!$A$79:$AW$111,49,FALSE)="","",VLOOKUP(Sun_W2[[#This Row],[Employee Name]],'Base Schedules'!$A$79:$AW$111,49,FALSE)),"")</f>
        <v/>
      </c>
      <c r="AY48" s="200" t="str">
        <f t="shared" si="2"/>
        <v/>
      </c>
    </row>
    <row r="49" spans="1:52" ht="6" customHeight="1" thickBot="1" x14ac:dyDescent="0.25">
      <c r="A49" s="39" t="e">
        <f>IF(#REF!="","",INDEX(TeamList[],MATCH(#REF!,TeamList[[Employee Name]:[Employee Name]],0),MATCH("Manager",TeamList[#Headers],0)))</f>
        <v>#REF!</v>
      </c>
      <c r="B49" s="28"/>
      <c r="C49" s="28"/>
      <c r="D49" s="29"/>
      <c r="E49" s="29"/>
      <c r="F49" s="30"/>
      <c r="G49" s="30"/>
      <c r="H49" s="30"/>
      <c r="I49" s="35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8"/>
    </row>
    <row r="50" spans="1:52" ht="9.75" customHeight="1" thickBot="1" x14ac:dyDescent="0.25">
      <c r="A50" s="39" t="e">
        <f>IF(#REF!="","",INDEX(TeamList[],MATCH(#REF!,TeamList[[Employee Name]:[Employee Name]],0),MATCH("Manager",TeamList[#Headers],0)))</f>
        <v>#REF!</v>
      </c>
      <c r="B50" s="20"/>
      <c r="C50" s="21"/>
      <c r="D50" s="21"/>
      <c r="E50" s="21" t="s">
        <v>92</v>
      </c>
      <c r="F50" s="86">
        <f>SUM(F9:F48)</f>
        <v>113.5</v>
      </c>
      <c r="G50" s="21">
        <f>SUM(G9:G48)</f>
        <v>36</v>
      </c>
      <c r="H50" s="21">
        <f>SUM(H9:H48)</f>
        <v>80</v>
      </c>
      <c r="I50" s="21">
        <f>SUM(I9:I48)</f>
        <v>22</v>
      </c>
      <c r="J50" s="27">
        <v>500</v>
      </c>
      <c r="K50" s="27">
        <v>530</v>
      </c>
      <c r="L50" s="27">
        <v>600</v>
      </c>
      <c r="M50" s="27">
        <v>630</v>
      </c>
      <c r="N50" s="27">
        <v>700</v>
      </c>
      <c r="O50" s="27">
        <v>730</v>
      </c>
      <c r="P50" s="27">
        <v>800</v>
      </c>
      <c r="Q50" s="27">
        <v>830</v>
      </c>
      <c r="R50" s="27">
        <v>900</v>
      </c>
      <c r="S50" s="27">
        <v>930</v>
      </c>
      <c r="T50" s="27">
        <v>1000</v>
      </c>
      <c r="U50" s="27">
        <v>1030</v>
      </c>
      <c r="V50" s="27">
        <v>1100</v>
      </c>
      <c r="W50" s="27">
        <v>1130</v>
      </c>
      <c r="X50" s="27">
        <v>1200</v>
      </c>
      <c r="Y50" s="27">
        <v>1230</v>
      </c>
      <c r="Z50" s="27">
        <v>1300</v>
      </c>
      <c r="AA50" s="27">
        <v>1330</v>
      </c>
      <c r="AB50" s="27">
        <v>1400</v>
      </c>
      <c r="AC50" s="27">
        <v>1430</v>
      </c>
      <c r="AD50" s="27">
        <v>1500</v>
      </c>
      <c r="AE50" s="27">
        <v>1530</v>
      </c>
      <c r="AF50" s="27">
        <v>1600</v>
      </c>
      <c r="AG50" s="27">
        <v>1630</v>
      </c>
      <c r="AH50" s="27">
        <v>1700</v>
      </c>
      <c r="AI50" s="27">
        <v>1730</v>
      </c>
      <c r="AJ50" s="27">
        <v>1800</v>
      </c>
      <c r="AK50" s="27">
        <v>1830</v>
      </c>
      <c r="AL50" s="27">
        <v>1900</v>
      </c>
      <c r="AM50" s="27">
        <v>1930</v>
      </c>
      <c r="AN50" s="27">
        <v>2000</v>
      </c>
      <c r="AO50" s="27">
        <v>2030</v>
      </c>
      <c r="AP50" s="27">
        <v>2100</v>
      </c>
      <c r="AQ50" s="27">
        <v>2130</v>
      </c>
      <c r="AR50" s="27">
        <v>2200</v>
      </c>
      <c r="AS50" s="27">
        <v>2230</v>
      </c>
      <c r="AT50" s="27">
        <v>2300</v>
      </c>
      <c r="AU50" s="27">
        <v>2330</v>
      </c>
      <c r="AV50" s="27">
        <v>0</v>
      </c>
      <c r="AW50" s="27">
        <v>30</v>
      </c>
      <c r="AX50" s="221" t="s">
        <v>365</v>
      </c>
      <c r="AY50" s="222" t="s">
        <v>2</v>
      </c>
    </row>
    <row r="51" spans="1:52" ht="6" customHeight="1" thickBot="1" x14ac:dyDescent="0.25">
      <c r="A51" s="39" t="str">
        <f>IF(B48="","",INDEX(TeamList[],MATCH($B48,TeamList[[Employee Name]:[Employee Name]],0),MATCH("Manager",TeamList[#Headers],0)))</f>
        <v/>
      </c>
      <c r="G51" s="223"/>
      <c r="H51" s="224"/>
      <c r="I51" s="225"/>
      <c r="J51" s="224"/>
      <c r="K51" s="224"/>
      <c r="L51" s="224"/>
      <c r="M51" s="224"/>
      <c r="N51" s="224"/>
      <c r="O51" s="224"/>
      <c r="P51" s="224"/>
      <c r="Q51" s="224"/>
      <c r="R51" s="224"/>
      <c r="S51" s="224"/>
      <c r="T51" s="224"/>
      <c r="U51" s="224"/>
      <c r="V51" s="224"/>
      <c r="W51" s="224"/>
      <c r="X51" s="224"/>
      <c r="Y51" s="224"/>
      <c r="Z51" s="224"/>
      <c r="AA51" s="224"/>
      <c r="AB51" s="224"/>
      <c r="AC51" s="224"/>
      <c r="AD51" s="224"/>
      <c r="AE51" s="224"/>
      <c r="AF51" s="224"/>
      <c r="AG51" s="224"/>
      <c r="AH51" s="224"/>
      <c r="AI51" s="224"/>
      <c r="AJ51" s="224"/>
      <c r="AK51" s="224"/>
      <c r="AL51" s="224"/>
      <c r="AM51" s="224"/>
      <c r="AN51" s="224"/>
      <c r="AO51" s="224"/>
      <c r="AP51" s="224"/>
      <c r="AQ51" s="224"/>
      <c r="AR51" s="224"/>
      <c r="AS51" s="224"/>
      <c r="AT51" s="224"/>
      <c r="AU51" s="224"/>
      <c r="AV51" s="224"/>
      <c r="AW51" s="225"/>
      <c r="AX51" s="226"/>
      <c r="AY51" s="227"/>
    </row>
    <row r="52" spans="1:52" ht="18.75" x14ac:dyDescent="0.3">
      <c r="B52" s="484" t="s">
        <v>368</v>
      </c>
      <c r="C52" s="484"/>
      <c r="D52" s="453"/>
      <c r="E52" s="453"/>
      <c r="F52" s="453"/>
      <c r="G52" s="484" t="s">
        <v>368</v>
      </c>
      <c r="H52" s="484"/>
      <c r="I52" s="484"/>
      <c r="J52" s="455">
        <f>COUNTIF(J9:J48,"RNNR")</f>
        <v>0</v>
      </c>
      <c r="K52" s="455">
        <f t="shared" ref="K52:AW52" si="4">COUNTIF(K11:K48,"RNNR")</f>
        <v>0</v>
      </c>
      <c r="L52" s="455">
        <f t="shared" si="4"/>
        <v>0</v>
      </c>
      <c r="M52" s="455">
        <f t="shared" si="4"/>
        <v>0</v>
      </c>
      <c r="N52" s="455">
        <f t="shared" si="4"/>
        <v>0</v>
      </c>
      <c r="O52" s="455">
        <f t="shared" si="4"/>
        <v>0</v>
      </c>
      <c r="P52" s="455">
        <f t="shared" si="4"/>
        <v>0</v>
      </c>
      <c r="Q52" s="455">
        <f t="shared" si="4"/>
        <v>0</v>
      </c>
      <c r="R52" s="455">
        <f t="shared" si="4"/>
        <v>1</v>
      </c>
      <c r="S52" s="455">
        <f t="shared" si="4"/>
        <v>1</v>
      </c>
      <c r="T52" s="455">
        <f t="shared" si="4"/>
        <v>1</v>
      </c>
      <c r="U52" s="455">
        <f t="shared" si="4"/>
        <v>1</v>
      </c>
      <c r="V52" s="455">
        <f t="shared" si="4"/>
        <v>1</v>
      </c>
      <c r="W52" s="455">
        <f t="shared" si="4"/>
        <v>1</v>
      </c>
      <c r="X52" s="455">
        <f t="shared" si="4"/>
        <v>0</v>
      </c>
      <c r="Y52" s="455">
        <f t="shared" si="4"/>
        <v>0</v>
      </c>
      <c r="Z52" s="455">
        <f t="shared" si="4"/>
        <v>1</v>
      </c>
      <c r="AA52" s="455">
        <f t="shared" si="4"/>
        <v>1</v>
      </c>
      <c r="AB52" s="455">
        <f t="shared" si="4"/>
        <v>1</v>
      </c>
      <c r="AC52" s="455">
        <f t="shared" si="4"/>
        <v>1</v>
      </c>
      <c r="AD52" s="455">
        <f t="shared" si="4"/>
        <v>1</v>
      </c>
      <c r="AE52" s="455">
        <f t="shared" si="4"/>
        <v>1</v>
      </c>
      <c r="AF52" s="455">
        <f t="shared" si="4"/>
        <v>1</v>
      </c>
      <c r="AG52" s="455">
        <f t="shared" si="4"/>
        <v>1</v>
      </c>
      <c r="AH52" s="455">
        <f t="shared" si="4"/>
        <v>1</v>
      </c>
      <c r="AI52" s="455">
        <f t="shared" si="4"/>
        <v>1</v>
      </c>
      <c r="AJ52" s="455">
        <f t="shared" si="4"/>
        <v>1</v>
      </c>
      <c r="AK52" s="455">
        <f t="shared" si="4"/>
        <v>1</v>
      </c>
      <c r="AL52" s="455">
        <f t="shared" si="4"/>
        <v>1</v>
      </c>
      <c r="AM52" s="455">
        <f t="shared" si="4"/>
        <v>1</v>
      </c>
      <c r="AN52" s="455">
        <f t="shared" si="4"/>
        <v>0</v>
      </c>
      <c r="AO52" s="455">
        <f t="shared" si="4"/>
        <v>0</v>
      </c>
      <c r="AP52" s="455">
        <f t="shared" si="4"/>
        <v>0</v>
      </c>
      <c r="AQ52" s="455">
        <f t="shared" si="4"/>
        <v>0</v>
      </c>
      <c r="AR52" s="455">
        <f t="shared" si="4"/>
        <v>0</v>
      </c>
      <c r="AS52" s="455">
        <f t="shared" si="4"/>
        <v>0</v>
      </c>
      <c r="AT52" s="455">
        <f t="shared" si="4"/>
        <v>0</v>
      </c>
      <c r="AU52" s="455">
        <f t="shared" si="4"/>
        <v>0</v>
      </c>
      <c r="AV52" s="455">
        <f t="shared" si="4"/>
        <v>0</v>
      </c>
      <c r="AW52" s="455">
        <f t="shared" si="4"/>
        <v>0</v>
      </c>
      <c r="AX52" s="451">
        <f>AVERAGE(J52:AW52)</f>
        <v>0.5</v>
      </c>
      <c r="AY52" s="485" t="s">
        <v>368</v>
      </c>
      <c r="AZ52" s="485"/>
    </row>
    <row r="53" spans="1:52" ht="18.75" customHeight="1" x14ac:dyDescent="0.3">
      <c r="B53" s="484" t="s">
        <v>581</v>
      </c>
      <c r="C53" s="484"/>
      <c r="D53" s="453"/>
      <c r="E53" s="453"/>
      <c r="F53" s="453"/>
      <c r="G53" s="484" t="s">
        <v>581</v>
      </c>
      <c r="H53" s="484"/>
      <c r="I53" s="484"/>
      <c r="J53" s="458">
        <f>COUNTIF(J9:J48,"HL")</f>
        <v>1</v>
      </c>
      <c r="K53" s="458">
        <f t="shared" ref="K53:AW53" si="5">COUNTIF(K11:K48,"HL")</f>
        <v>1</v>
      </c>
      <c r="L53" s="458">
        <f t="shared" si="5"/>
        <v>1</v>
      </c>
      <c r="M53" s="458">
        <f t="shared" si="5"/>
        <v>2</v>
      </c>
      <c r="N53" s="458">
        <f t="shared" si="5"/>
        <v>2</v>
      </c>
      <c r="O53" s="458">
        <f t="shared" si="5"/>
        <v>2</v>
      </c>
      <c r="P53" s="458">
        <f t="shared" si="5"/>
        <v>3</v>
      </c>
      <c r="Q53" s="458">
        <f t="shared" si="5"/>
        <v>2</v>
      </c>
      <c r="R53" s="458">
        <f t="shared" si="5"/>
        <v>1</v>
      </c>
      <c r="S53" s="458">
        <f t="shared" si="5"/>
        <v>2</v>
      </c>
      <c r="T53" s="458">
        <f t="shared" si="5"/>
        <v>2</v>
      </c>
      <c r="U53" s="458">
        <f t="shared" si="5"/>
        <v>2</v>
      </c>
      <c r="V53" s="458">
        <f t="shared" si="5"/>
        <v>2</v>
      </c>
      <c r="W53" s="458">
        <f t="shared" si="5"/>
        <v>2</v>
      </c>
      <c r="X53" s="458">
        <f t="shared" si="5"/>
        <v>2</v>
      </c>
      <c r="Y53" s="458">
        <f t="shared" si="5"/>
        <v>4</v>
      </c>
      <c r="Z53" s="458">
        <f t="shared" si="5"/>
        <v>4</v>
      </c>
      <c r="AA53" s="458">
        <f t="shared" si="5"/>
        <v>4</v>
      </c>
      <c r="AB53" s="458">
        <f t="shared" si="5"/>
        <v>5</v>
      </c>
      <c r="AC53" s="458">
        <f t="shared" si="5"/>
        <v>4</v>
      </c>
      <c r="AD53" s="458">
        <f t="shared" si="5"/>
        <v>3</v>
      </c>
      <c r="AE53" s="458">
        <f t="shared" si="5"/>
        <v>2</v>
      </c>
      <c r="AF53" s="458">
        <f t="shared" si="5"/>
        <v>3</v>
      </c>
      <c r="AG53" s="458">
        <f t="shared" si="5"/>
        <v>2</v>
      </c>
      <c r="AH53" s="458">
        <f t="shared" si="5"/>
        <v>3</v>
      </c>
      <c r="AI53" s="458">
        <f t="shared" si="5"/>
        <v>3</v>
      </c>
      <c r="AJ53" s="458">
        <f t="shared" si="5"/>
        <v>3</v>
      </c>
      <c r="AK53" s="458">
        <f t="shared" si="5"/>
        <v>3</v>
      </c>
      <c r="AL53" s="458">
        <f t="shared" si="5"/>
        <v>3</v>
      </c>
      <c r="AM53" s="458">
        <f t="shared" si="5"/>
        <v>2</v>
      </c>
      <c r="AN53" s="458">
        <f t="shared" si="5"/>
        <v>3</v>
      </c>
      <c r="AO53" s="458">
        <f t="shared" si="5"/>
        <v>5</v>
      </c>
      <c r="AP53" s="458">
        <f t="shared" si="5"/>
        <v>4</v>
      </c>
      <c r="AQ53" s="458">
        <f t="shared" si="5"/>
        <v>3</v>
      </c>
      <c r="AR53" s="458">
        <f t="shared" si="5"/>
        <v>2</v>
      </c>
      <c r="AS53" s="458">
        <f t="shared" si="5"/>
        <v>2</v>
      </c>
      <c r="AT53" s="458">
        <f t="shared" si="5"/>
        <v>2</v>
      </c>
      <c r="AU53" s="458">
        <f t="shared" si="5"/>
        <v>2</v>
      </c>
      <c r="AV53" s="458">
        <f t="shared" si="5"/>
        <v>1</v>
      </c>
      <c r="AW53" s="458">
        <f t="shared" si="5"/>
        <v>1</v>
      </c>
      <c r="AX53" s="452">
        <f>SUM(J53:AW53)</f>
        <v>100</v>
      </c>
      <c r="AY53" s="485" t="s">
        <v>581</v>
      </c>
      <c r="AZ53" s="485"/>
    </row>
    <row r="54" spans="1:52" ht="18.75" customHeight="1" x14ac:dyDescent="0.3">
      <c r="B54" s="484" t="s">
        <v>588</v>
      </c>
      <c r="C54" s="484"/>
      <c r="D54" s="453"/>
      <c r="E54" s="453"/>
      <c r="F54" s="453"/>
      <c r="G54" s="484" t="s">
        <v>592</v>
      </c>
      <c r="H54" s="484"/>
      <c r="I54" s="484"/>
      <c r="J54" s="460">
        <f>[1]Weighted!$B$30</f>
        <v>1.1000000000000001</v>
      </c>
      <c r="K54" s="460">
        <f>[1]Weighted!$B$30</f>
        <v>1.1000000000000001</v>
      </c>
      <c r="L54" s="460">
        <f>[1]Weighted!$B$30</f>
        <v>1.1000000000000001</v>
      </c>
      <c r="M54" s="460">
        <f>[1]Weighted!$B$30</f>
        <v>1.1000000000000001</v>
      </c>
      <c r="N54" s="460">
        <f>[1]Weighted!$B$30</f>
        <v>1.1000000000000001</v>
      </c>
      <c r="O54" s="460">
        <f>[1]Weighted!$B$30</f>
        <v>1.1000000000000001</v>
      </c>
      <c r="P54" s="460">
        <f>[1]Weighted!$B$30</f>
        <v>1.1000000000000001</v>
      </c>
      <c r="Q54" s="460">
        <f>[1]Weighted!$B$30</f>
        <v>1.1000000000000001</v>
      </c>
      <c r="R54" s="460">
        <f>[1]Weighted!$B$30</f>
        <v>1.1000000000000001</v>
      </c>
      <c r="S54" s="460">
        <f>[1]Weighted!$B$30</f>
        <v>1.1000000000000001</v>
      </c>
      <c r="T54" s="460">
        <f>[1]Weighted!$B$30</f>
        <v>1.1000000000000001</v>
      </c>
      <c r="U54" s="460">
        <f>[1]Weighted!$B$30</f>
        <v>1.1000000000000001</v>
      </c>
      <c r="V54" s="460">
        <f>[1]Weighted!$B$30</f>
        <v>1.1000000000000001</v>
      </c>
      <c r="W54" s="460">
        <f>[1]Weighted!$B$30</f>
        <v>1.1000000000000001</v>
      </c>
      <c r="X54" s="460">
        <f>[1]Weighted!$B$30</f>
        <v>1.1000000000000001</v>
      </c>
      <c r="Y54" s="460">
        <f>[1]Weighted!$B$30</f>
        <v>1.1000000000000001</v>
      </c>
      <c r="Z54" s="460">
        <f>[1]Weighted!$B$30</f>
        <v>1.1000000000000001</v>
      </c>
      <c r="AA54" s="460">
        <f>[1]Weighted!$B$30</f>
        <v>1.1000000000000001</v>
      </c>
      <c r="AB54" s="460">
        <f>[1]Weighted!$B$30</f>
        <v>1.1000000000000001</v>
      </c>
      <c r="AC54" s="460">
        <f>[1]Weighted!$B$30</f>
        <v>1.1000000000000001</v>
      </c>
      <c r="AD54" s="460">
        <f>[1]Weighted!$B$30</f>
        <v>1.1000000000000001</v>
      </c>
      <c r="AE54" s="460">
        <f>[1]Weighted!$B$30</f>
        <v>1.1000000000000001</v>
      </c>
      <c r="AF54" s="460">
        <f>[1]Weighted!$B$30</f>
        <v>1.1000000000000001</v>
      </c>
      <c r="AG54" s="460">
        <f>[1]Weighted!$B$30</f>
        <v>1.1000000000000001</v>
      </c>
      <c r="AH54" s="460">
        <f>[1]Weighted!$B$30</f>
        <v>1.1000000000000001</v>
      </c>
      <c r="AI54" s="460">
        <f>[1]Weighted!$B$30</f>
        <v>1.1000000000000001</v>
      </c>
      <c r="AJ54" s="460">
        <f>[1]Weighted!$B$30</f>
        <v>1.1000000000000001</v>
      </c>
      <c r="AK54" s="460">
        <f>[1]Weighted!$B$30</f>
        <v>1.1000000000000001</v>
      </c>
      <c r="AL54" s="460">
        <f>[1]Weighted!$B$30</f>
        <v>1.1000000000000001</v>
      </c>
      <c r="AM54" s="460">
        <f>[1]Weighted!$B$30</f>
        <v>1.1000000000000001</v>
      </c>
      <c r="AN54" s="460">
        <f>[1]Weighted!$B$30</f>
        <v>1.1000000000000001</v>
      </c>
      <c r="AO54" s="460">
        <f>[1]Weighted!$B$30</f>
        <v>1.1000000000000001</v>
      </c>
      <c r="AP54" s="460">
        <f>[1]Weighted!$B$30</f>
        <v>1.1000000000000001</v>
      </c>
      <c r="AQ54" s="460">
        <f>[1]Weighted!$B$30</f>
        <v>1.1000000000000001</v>
      </c>
      <c r="AR54" s="460">
        <f>[1]Weighted!$B$30</f>
        <v>1.1000000000000001</v>
      </c>
      <c r="AS54" s="460">
        <f>[1]Weighted!$B$30</f>
        <v>1.1000000000000001</v>
      </c>
      <c r="AT54" s="460">
        <f>[1]Weighted!$B$30</f>
        <v>1.1000000000000001</v>
      </c>
      <c r="AU54" s="460">
        <f>[1]Weighted!$B$30</f>
        <v>1.1000000000000001</v>
      </c>
      <c r="AV54" s="460">
        <f>[1]Weighted!$B$30</f>
        <v>1.1000000000000001</v>
      </c>
      <c r="AW54" s="460">
        <f>[1]Weighted!$B$30</f>
        <v>1.1000000000000001</v>
      </c>
      <c r="AX54" s="452">
        <f>SUM(J54:AW54)</f>
        <v>44.000000000000028</v>
      </c>
      <c r="AY54" s="485" t="s">
        <v>588</v>
      </c>
      <c r="AZ54" s="485"/>
    </row>
    <row r="55" spans="1:52" ht="18.75" customHeight="1" x14ac:dyDescent="0.3">
      <c r="B55" s="484" t="s">
        <v>590</v>
      </c>
      <c r="C55" s="484"/>
      <c r="D55" s="453"/>
      <c r="E55" s="453"/>
      <c r="F55" s="453"/>
      <c r="G55" s="484" t="s">
        <v>590</v>
      </c>
      <c r="H55" s="484"/>
      <c r="I55" s="484"/>
      <c r="J55" s="460">
        <f>ROUNDUP(J54/2,0)</f>
        <v>1</v>
      </c>
      <c r="K55" s="460">
        <f t="shared" ref="K55:AW55" si="6">ROUNDUP(K54/2,0)</f>
        <v>1</v>
      </c>
      <c r="L55" s="460">
        <f t="shared" si="6"/>
        <v>1</v>
      </c>
      <c r="M55" s="460">
        <f t="shared" si="6"/>
        <v>1</v>
      </c>
      <c r="N55" s="460">
        <f t="shared" si="6"/>
        <v>1</v>
      </c>
      <c r="O55" s="460">
        <f t="shared" si="6"/>
        <v>1</v>
      </c>
      <c r="P55" s="460">
        <f t="shared" si="6"/>
        <v>1</v>
      </c>
      <c r="Q55" s="460">
        <f t="shared" si="6"/>
        <v>1</v>
      </c>
      <c r="R55" s="460">
        <f t="shared" si="6"/>
        <v>1</v>
      </c>
      <c r="S55" s="460">
        <f t="shared" si="6"/>
        <v>1</v>
      </c>
      <c r="T55" s="460">
        <f t="shared" si="6"/>
        <v>1</v>
      </c>
      <c r="U55" s="460">
        <f t="shared" si="6"/>
        <v>1</v>
      </c>
      <c r="V55" s="460">
        <f t="shared" si="6"/>
        <v>1</v>
      </c>
      <c r="W55" s="460">
        <f t="shared" si="6"/>
        <v>1</v>
      </c>
      <c r="X55" s="460">
        <f t="shared" si="6"/>
        <v>1</v>
      </c>
      <c r="Y55" s="460">
        <f t="shared" si="6"/>
        <v>1</v>
      </c>
      <c r="Z55" s="460">
        <f t="shared" si="6"/>
        <v>1</v>
      </c>
      <c r="AA55" s="460">
        <f t="shared" si="6"/>
        <v>1</v>
      </c>
      <c r="AB55" s="460">
        <f t="shared" si="6"/>
        <v>1</v>
      </c>
      <c r="AC55" s="460">
        <f t="shared" si="6"/>
        <v>1</v>
      </c>
      <c r="AD55" s="460">
        <f t="shared" si="6"/>
        <v>1</v>
      </c>
      <c r="AE55" s="460">
        <f t="shared" si="6"/>
        <v>1</v>
      </c>
      <c r="AF55" s="460">
        <f t="shared" si="6"/>
        <v>1</v>
      </c>
      <c r="AG55" s="460">
        <f t="shared" si="6"/>
        <v>1</v>
      </c>
      <c r="AH55" s="460">
        <f t="shared" si="6"/>
        <v>1</v>
      </c>
      <c r="AI55" s="460">
        <f t="shared" si="6"/>
        <v>1</v>
      </c>
      <c r="AJ55" s="460">
        <f t="shared" si="6"/>
        <v>1</v>
      </c>
      <c r="AK55" s="460">
        <f t="shared" si="6"/>
        <v>1</v>
      </c>
      <c r="AL55" s="460">
        <f t="shared" si="6"/>
        <v>1</v>
      </c>
      <c r="AM55" s="460">
        <f t="shared" si="6"/>
        <v>1</v>
      </c>
      <c r="AN55" s="460">
        <f t="shared" si="6"/>
        <v>1</v>
      </c>
      <c r="AO55" s="460">
        <f t="shared" si="6"/>
        <v>1</v>
      </c>
      <c r="AP55" s="460">
        <f t="shared" si="6"/>
        <v>1</v>
      </c>
      <c r="AQ55" s="460">
        <f t="shared" si="6"/>
        <v>1</v>
      </c>
      <c r="AR55" s="460">
        <f t="shared" si="6"/>
        <v>1</v>
      </c>
      <c r="AS55" s="460">
        <f t="shared" si="6"/>
        <v>1</v>
      </c>
      <c r="AT55" s="460">
        <f t="shared" si="6"/>
        <v>1</v>
      </c>
      <c r="AU55" s="460">
        <f t="shared" si="6"/>
        <v>1</v>
      </c>
      <c r="AV55" s="460">
        <f t="shared" si="6"/>
        <v>1</v>
      </c>
      <c r="AW55" s="460">
        <f t="shared" si="6"/>
        <v>1</v>
      </c>
      <c r="AX55" s="452">
        <f>SUM(J55:AW55)</f>
        <v>40</v>
      </c>
      <c r="AY55" s="485" t="s">
        <v>590</v>
      </c>
      <c r="AZ55" s="485"/>
    </row>
    <row r="56" spans="1:52" ht="18.75" customHeight="1" x14ac:dyDescent="0.3">
      <c r="B56" s="484" t="s">
        <v>591</v>
      </c>
      <c r="C56" s="484"/>
      <c r="D56" s="453"/>
      <c r="E56" s="453"/>
      <c r="F56" s="453"/>
      <c r="G56" s="484" t="s">
        <v>591</v>
      </c>
      <c r="H56" s="484"/>
      <c r="I56" s="484"/>
      <c r="J56" s="461">
        <f>J53-J55</f>
        <v>0</v>
      </c>
      <c r="K56" s="461">
        <f t="shared" ref="K56:AW56" si="7">K53-K55</f>
        <v>0</v>
      </c>
      <c r="L56" s="461">
        <f t="shared" si="7"/>
        <v>0</v>
      </c>
      <c r="M56" s="461">
        <f t="shared" si="7"/>
        <v>1</v>
      </c>
      <c r="N56" s="461">
        <f t="shared" si="7"/>
        <v>1</v>
      </c>
      <c r="O56" s="461">
        <f t="shared" si="7"/>
        <v>1</v>
      </c>
      <c r="P56" s="461">
        <f t="shared" si="7"/>
        <v>2</v>
      </c>
      <c r="Q56" s="461">
        <f t="shared" si="7"/>
        <v>1</v>
      </c>
      <c r="R56" s="461">
        <f t="shared" si="7"/>
        <v>0</v>
      </c>
      <c r="S56" s="461">
        <f t="shared" si="7"/>
        <v>1</v>
      </c>
      <c r="T56" s="461">
        <f t="shared" si="7"/>
        <v>1</v>
      </c>
      <c r="U56" s="461">
        <f t="shared" si="7"/>
        <v>1</v>
      </c>
      <c r="V56" s="461">
        <f t="shared" si="7"/>
        <v>1</v>
      </c>
      <c r="W56" s="461">
        <f t="shared" si="7"/>
        <v>1</v>
      </c>
      <c r="X56" s="461">
        <f t="shared" si="7"/>
        <v>1</v>
      </c>
      <c r="Y56" s="461">
        <f t="shared" si="7"/>
        <v>3</v>
      </c>
      <c r="Z56" s="461">
        <f t="shared" si="7"/>
        <v>3</v>
      </c>
      <c r="AA56" s="461">
        <f t="shared" si="7"/>
        <v>3</v>
      </c>
      <c r="AB56" s="461">
        <f t="shared" si="7"/>
        <v>4</v>
      </c>
      <c r="AC56" s="461">
        <f t="shared" si="7"/>
        <v>3</v>
      </c>
      <c r="AD56" s="461">
        <f t="shared" si="7"/>
        <v>2</v>
      </c>
      <c r="AE56" s="461">
        <f t="shared" si="7"/>
        <v>1</v>
      </c>
      <c r="AF56" s="461">
        <f t="shared" si="7"/>
        <v>2</v>
      </c>
      <c r="AG56" s="461">
        <f t="shared" si="7"/>
        <v>1</v>
      </c>
      <c r="AH56" s="461">
        <f t="shared" si="7"/>
        <v>2</v>
      </c>
      <c r="AI56" s="461">
        <f t="shared" si="7"/>
        <v>2</v>
      </c>
      <c r="AJ56" s="461">
        <f t="shared" si="7"/>
        <v>2</v>
      </c>
      <c r="AK56" s="461">
        <f t="shared" si="7"/>
        <v>2</v>
      </c>
      <c r="AL56" s="461">
        <f t="shared" si="7"/>
        <v>2</v>
      </c>
      <c r="AM56" s="461">
        <f t="shared" si="7"/>
        <v>1</v>
      </c>
      <c r="AN56" s="461">
        <f t="shared" si="7"/>
        <v>2</v>
      </c>
      <c r="AO56" s="461">
        <f t="shared" si="7"/>
        <v>4</v>
      </c>
      <c r="AP56" s="461">
        <f t="shared" si="7"/>
        <v>3</v>
      </c>
      <c r="AQ56" s="461">
        <f t="shared" si="7"/>
        <v>2</v>
      </c>
      <c r="AR56" s="461">
        <f t="shared" si="7"/>
        <v>1</v>
      </c>
      <c r="AS56" s="461">
        <f t="shared" si="7"/>
        <v>1</v>
      </c>
      <c r="AT56" s="461">
        <f t="shared" si="7"/>
        <v>1</v>
      </c>
      <c r="AU56" s="461">
        <f t="shared" si="7"/>
        <v>1</v>
      </c>
      <c r="AV56" s="461">
        <f t="shared" si="7"/>
        <v>0</v>
      </c>
      <c r="AW56" s="461">
        <f t="shared" si="7"/>
        <v>0</v>
      </c>
      <c r="AX56" s="454">
        <f>AVERAGE(J56:AW56)</f>
        <v>1.5</v>
      </c>
      <c r="AY56" s="486" t="s">
        <v>591</v>
      </c>
      <c r="AZ56" s="486"/>
    </row>
    <row r="57" spans="1:52" x14ac:dyDescent="0.2"/>
    <row r="58" spans="1:52" x14ac:dyDescent="0.2"/>
    <row r="59" spans="1:52" x14ac:dyDescent="0.2"/>
    <row r="60" spans="1:52" x14ac:dyDescent="0.2"/>
    <row r="61" spans="1:52" x14ac:dyDescent="0.2"/>
    <row r="62" spans="1:52" x14ac:dyDescent="0.2"/>
    <row r="63" spans="1:52" x14ac:dyDescent="0.2"/>
    <row r="64" spans="1:52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</sheetData>
  <sheetProtection autoFilter="0"/>
  <mergeCells count="17">
    <mergeCell ref="B55:C55"/>
    <mergeCell ref="G55:I55"/>
    <mergeCell ref="AY55:AZ55"/>
    <mergeCell ref="B56:C56"/>
    <mergeCell ref="G56:I56"/>
    <mergeCell ref="AY56:AZ56"/>
    <mergeCell ref="AY52:AZ52"/>
    <mergeCell ref="AY53:AZ53"/>
    <mergeCell ref="B54:C54"/>
    <mergeCell ref="G54:I54"/>
    <mergeCell ref="AY54:AZ54"/>
    <mergeCell ref="B3:C3"/>
    <mergeCell ref="F6:I6"/>
    <mergeCell ref="G52:I52"/>
    <mergeCell ref="G53:I53"/>
    <mergeCell ref="B52:C52"/>
    <mergeCell ref="B53:C53"/>
  </mergeCells>
  <conditionalFormatting sqref="AZ9:BA33">
    <cfRule type="containsBlanks" dxfId="473" priority="534">
      <formula>LEN(TRIM(AZ9))=0</formula>
    </cfRule>
    <cfRule type="beginsWith" dxfId="472" priority="536" stopIfTrue="1" operator="beginsWith" text="u">
      <formula>LEFT(AZ9,LEN("u"))="u"</formula>
    </cfRule>
    <cfRule type="beginsWith" dxfId="471" priority="537" stopIfTrue="1" operator="beginsWith" text="p">
      <formula>LEFT(AZ9,LEN("p"))="p"</formula>
    </cfRule>
    <cfRule type="containsText" dxfId="470" priority="538" stopIfTrue="1" operator="containsText" text="B1">
      <formula>NOT(ISERROR(SEARCH("B1",AZ9)))</formula>
    </cfRule>
    <cfRule type="containsText" dxfId="469" priority="539" stopIfTrue="1" operator="containsText" text="B2">
      <formula>NOT(ISERROR(SEARCH("B2",AZ9)))</formula>
    </cfRule>
    <cfRule type="containsText" dxfId="468" priority="540" operator="containsText" text="Lunch">
      <formula>NOT(ISERROR(SEARCH("Lunch",AZ9)))</formula>
    </cfRule>
    <cfRule type="containsText" dxfId="467" priority="541" operator="containsText" text="Interview">
      <formula>NOT(ISERROR(SEARCH("Interview",AZ9)))</formula>
    </cfRule>
    <cfRule type="containsText" dxfId="466" priority="542" operator="containsText" text="Side by Side">
      <formula>NOT(ISERROR(SEARCH("Side by Side",AZ9)))</formula>
    </cfRule>
    <cfRule type="containsText" dxfId="465" priority="543" operator="containsText" text="COACHING">
      <formula>NOT(ISERROR(SEARCH("COACHING",AZ9)))</formula>
    </cfRule>
    <cfRule type="containsText" dxfId="464" priority="544" operator="containsText" text="TM">
      <formula>NOT(ISERROR(SEARCH("TM",AZ9)))</formula>
    </cfRule>
    <cfRule type="containsText" dxfId="463" priority="545" operator="containsText" text="RNNR">
      <formula>NOT(ISERROR(SEARCH("RNNR",AZ9)))</formula>
    </cfRule>
    <cfRule type="containsText" dxfId="462" priority="546" operator="containsText" text="ADM">
      <formula>NOT(ISERROR(SEARCH("ADM",AZ9)))</formula>
    </cfRule>
    <cfRule type="containsText" dxfId="461" priority="547" operator="containsText" text="HL">
      <formula>NOT(ISERROR(SEARCH("HL",AZ9)))</formula>
    </cfRule>
    <cfRule type="notContainsBlanks" dxfId="460" priority="548">
      <formula>LEN(TRIM(AZ9))&gt;0</formula>
    </cfRule>
    <cfRule type="containsText" dxfId="459" priority="549" stopIfTrue="1" operator="containsText" text="B1">
      <formula>NOT(ISERROR(SEARCH("B1",AZ9)))</formula>
    </cfRule>
    <cfRule type="containsText" dxfId="458" priority="550" stopIfTrue="1" operator="containsText" text="B2">
      <formula>NOT(ISERROR(SEARCH("B2",AZ9)))</formula>
    </cfRule>
    <cfRule type="containsText" dxfId="457" priority="551" operator="containsText" text="Lunch">
      <formula>NOT(ISERROR(SEARCH("Lunch",AZ9)))</formula>
    </cfRule>
    <cfRule type="containsText" dxfId="456" priority="552" operator="containsText" text="COACHING">
      <formula>NOT(ISERROR(SEARCH("COACHING",AZ9)))</formula>
    </cfRule>
    <cfRule type="containsText" dxfId="455" priority="553" operator="containsText" text="Side by Side">
      <formula>NOT(ISERROR(SEARCH("Side by Side",AZ9)))</formula>
    </cfRule>
    <cfRule type="containsBlanks" dxfId="454" priority="554">
      <formula>LEN(TRIM(AZ9))=0</formula>
    </cfRule>
  </conditionalFormatting>
  <conditionalFormatting sqref="AZ9:BA33">
    <cfRule type="containsBlanks" dxfId="453" priority="515">
      <formula>LEN(TRIM(AZ9))=0</formula>
    </cfRule>
    <cfRule type="beginsWith" dxfId="452" priority="517" stopIfTrue="1" operator="beginsWith" text="u">
      <formula>LEFT(AZ9,LEN("u"))="u"</formula>
    </cfRule>
    <cfRule type="beginsWith" dxfId="451" priority="518" stopIfTrue="1" operator="beginsWith" text="p">
      <formula>LEFT(AZ9,LEN("p"))="p"</formula>
    </cfRule>
    <cfRule type="containsText" dxfId="450" priority="519" stopIfTrue="1" operator="containsText" text="B1">
      <formula>NOT(ISERROR(SEARCH("B1",AZ9)))</formula>
    </cfRule>
    <cfRule type="containsText" dxfId="449" priority="520" stopIfTrue="1" operator="containsText" text="B2">
      <formula>NOT(ISERROR(SEARCH("B2",AZ9)))</formula>
    </cfRule>
    <cfRule type="containsText" dxfId="448" priority="521" operator="containsText" text="Lunch">
      <formula>NOT(ISERROR(SEARCH("Lunch",AZ9)))</formula>
    </cfRule>
    <cfRule type="containsText" dxfId="447" priority="522" operator="containsText" text="Interview">
      <formula>NOT(ISERROR(SEARCH("Interview",AZ9)))</formula>
    </cfRule>
    <cfRule type="containsText" dxfId="446" priority="523" operator="containsText" text="Side by Side">
      <formula>NOT(ISERROR(SEARCH("Side by Side",AZ9)))</formula>
    </cfRule>
    <cfRule type="containsText" dxfId="445" priority="524" operator="containsText" text="COACHING">
      <formula>NOT(ISERROR(SEARCH("COACHING",AZ9)))</formula>
    </cfRule>
    <cfRule type="containsText" dxfId="444" priority="525" operator="containsText" text="TM">
      <formula>NOT(ISERROR(SEARCH("TM",AZ9)))</formula>
    </cfRule>
    <cfRule type="containsText" dxfId="443" priority="526" operator="containsText" text="RNNR">
      <formula>NOT(ISERROR(SEARCH("RNNR",AZ9)))</formula>
    </cfRule>
    <cfRule type="containsText" dxfId="442" priority="527" operator="containsText" text="ADM">
      <formula>NOT(ISERROR(SEARCH("ADM",AZ9)))</formula>
    </cfRule>
    <cfRule type="containsText" dxfId="441" priority="528" operator="containsText" text="HL">
      <formula>NOT(ISERROR(SEARCH("HL",AZ9)))</formula>
    </cfRule>
    <cfRule type="notContainsBlanks" dxfId="440" priority="529">
      <formula>LEN(TRIM(AZ9))&gt;0</formula>
    </cfRule>
    <cfRule type="containsText" dxfId="439" priority="530" stopIfTrue="1" operator="containsText" text="B1">
      <formula>NOT(ISERROR(SEARCH("B1",AZ9)))</formula>
    </cfRule>
    <cfRule type="containsText" dxfId="438" priority="531" stopIfTrue="1" operator="containsText" text="B2">
      <formula>NOT(ISERROR(SEARCH("B2",AZ9)))</formula>
    </cfRule>
    <cfRule type="containsText" dxfId="437" priority="532" operator="containsText" text="Lunch">
      <formula>NOT(ISERROR(SEARCH("Lunch",AZ9)))</formula>
    </cfRule>
    <cfRule type="containsText" dxfId="436" priority="533" operator="containsText" text="COACHING">
      <formula>NOT(ISERROR(SEARCH("COACHING",AZ9)))</formula>
    </cfRule>
  </conditionalFormatting>
  <conditionalFormatting sqref="J9:AX48">
    <cfRule type="containsBlanks" dxfId="435" priority="21" stopIfTrue="1">
      <formula>LEN(TRIM(J9))=0</formula>
    </cfRule>
    <cfRule type="beginsWith" dxfId="434" priority="23" stopIfTrue="1" operator="beginsWith" text="u">
      <formula>LEFT(J9,LEN("u"))="u"</formula>
    </cfRule>
    <cfRule type="beginsWith" dxfId="433" priority="24" stopIfTrue="1" operator="beginsWith" text="p">
      <formula>LEFT(J9,LEN("p"))="p"</formula>
    </cfRule>
    <cfRule type="containsText" dxfId="432" priority="25" stopIfTrue="1" operator="containsText" text="B1">
      <formula>NOT(ISERROR(SEARCH("B1",J9)))</formula>
    </cfRule>
    <cfRule type="containsText" dxfId="431" priority="26" stopIfTrue="1" operator="containsText" text="B2">
      <formula>NOT(ISERROR(SEARCH("B2",J9)))</formula>
    </cfRule>
    <cfRule type="containsText" dxfId="430" priority="27" stopIfTrue="1" operator="containsText" text="Lunch">
      <formula>NOT(ISERROR(SEARCH("Lunch",J9)))</formula>
    </cfRule>
    <cfRule type="containsText" dxfId="429" priority="28" stopIfTrue="1" operator="containsText" text="Interview">
      <formula>NOT(ISERROR(SEARCH("Interview",J9)))</formula>
    </cfRule>
    <cfRule type="containsText" dxfId="428" priority="29" stopIfTrue="1" operator="containsText" text="Side by Side">
      <formula>NOT(ISERROR(SEARCH("Side by Side",J9)))</formula>
    </cfRule>
    <cfRule type="containsText" dxfId="427" priority="30" stopIfTrue="1" operator="containsText" text="COACHING">
      <formula>NOT(ISERROR(SEARCH("COACHING",J9)))</formula>
    </cfRule>
    <cfRule type="containsText" dxfId="426" priority="31" stopIfTrue="1" operator="containsText" text="TM">
      <formula>NOT(ISERROR(SEARCH("TM",J9)))</formula>
    </cfRule>
    <cfRule type="containsText" dxfId="425" priority="32" stopIfTrue="1" operator="containsText" text="RNNR">
      <formula>NOT(ISERROR(SEARCH("RNNR",J9)))</formula>
    </cfRule>
    <cfRule type="containsText" dxfId="424" priority="33" stopIfTrue="1" operator="containsText" text="ADM">
      <formula>NOT(ISERROR(SEARCH("ADM",J9)))</formula>
    </cfRule>
    <cfRule type="containsText" dxfId="423" priority="34" stopIfTrue="1" operator="containsText" text="HL">
      <formula>NOT(ISERROR(SEARCH("HL",J9)))</formula>
    </cfRule>
    <cfRule type="notContainsBlanks" dxfId="422" priority="35" stopIfTrue="1">
      <formula>LEN(TRIM(J9))&gt;0</formula>
    </cfRule>
  </conditionalFormatting>
  <conditionalFormatting sqref="J52:AW52">
    <cfRule type="cellIs" dxfId="421" priority="5" operator="greaterThanOrEqual">
      <formula>2</formula>
    </cfRule>
    <cfRule type="containsText" dxfId="420" priority="6" operator="containsText" text="1">
      <formula>NOT(ISERROR(SEARCH("1",J52)))</formula>
    </cfRule>
    <cfRule type="containsText" dxfId="419" priority="7" operator="containsText" text="0">
      <formula>NOT(ISERROR(SEARCH("0",J52)))</formula>
    </cfRule>
  </conditionalFormatting>
  <conditionalFormatting sqref="J53:AW53">
    <cfRule type="cellIs" dxfId="418" priority="2" operator="greaterThanOrEqual">
      <formula>2</formula>
    </cfRule>
    <cfRule type="containsText" dxfId="417" priority="3" operator="containsText" text="1">
      <formula>NOT(ISERROR(SEARCH("1",J53)))</formula>
    </cfRule>
    <cfRule type="containsText" dxfId="416" priority="4" operator="containsText" text="0">
      <formula>NOT(ISERROR(SEARCH("0",J53)))</formula>
    </cfRule>
  </conditionalFormatting>
  <conditionalFormatting sqref="J56:AW56">
    <cfRule type="colorScale" priority="1">
      <colorScale>
        <cfvo type="num" val="-0.05"/>
        <cfvo type="num" val="0"/>
        <cfvo type="num" val="0.05"/>
        <color rgb="FFF8696B"/>
        <color rgb="FFCDF3CD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35" operator="containsText" id="{F371F770-5C10-4921-94C1-95F26248A737}">
            <xm:f>NOT(ISERROR(SEARCH("-",AZ9)))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</x14:dxf>
          </x14:cfRule>
          <xm:sqref>AZ9:BA33</xm:sqref>
        </x14:conditionalFormatting>
        <x14:conditionalFormatting xmlns:xm="http://schemas.microsoft.com/office/excel/2006/main">
          <x14:cfRule type="containsText" priority="516" operator="containsText" id="{3AC6D67E-EA6D-4A56-AB2B-D3A781606BC9}">
            <xm:f>NOT(ISERROR(SEARCH("-",AZ9)))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</x14:dxf>
          </x14:cfRule>
          <xm:sqref>AZ9:BA33</xm:sqref>
        </x14:conditionalFormatting>
        <x14:conditionalFormatting xmlns:xm="http://schemas.microsoft.com/office/excel/2006/main">
          <x14:cfRule type="containsText" priority="22" stopIfTrue="1" operator="containsText" id="{3214E206-AC2E-4F76-B779-4B6CF29B2291}">
            <xm:f>NOT(ISERROR(SEARCH("-",J9)))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J9:AX48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6" tint="0.59999389629810485"/>
    <outlinePr summaryBelow="0" summaryRight="0"/>
  </sheetPr>
  <dimension ref="A1:BA99"/>
  <sheetViews>
    <sheetView topLeftCell="A2" zoomScaleNormal="100" workbookViewId="0">
      <pane xSplit="9" ySplit="7" topLeftCell="J18" activePane="bottomRight" state="frozen"/>
      <selection activeCell="BB1" sqref="BB1:XFD1048576"/>
      <selection pane="topRight" activeCell="BB1" sqref="BB1:XFD1048576"/>
      <selection pane="bottomLeft" activeCell="BB1" sqref="BB1:XFD1048576"/>
      <selection pane="bottomRight" activeCell="B3" sqref="B3:C3"/>
    </sheetView>
  </sheetViews>
  <sheetFormatPr defaultColWidth="0" defaultRowHeight="12.75" zeroHeight="1" x14ac:dyDescent="0.2"/>
  <cols>
    <col min="1" max="1" width="1.7109375" style="6" customWidth="1"/>
    <col min="2" max="2" width="20.28515625" style="6" bestFit="1" customWidth="1"/>
    <col min="3" max="3" width="10.7109375" style="6" customWidth="1"/>
    <col min="4" max="4" width="11.85546875" style="6" customWidth="1"/>
    <col min="5" max="5" width="11.42578125" style="6" customWidth="1"/>
    <col min="6" max="6" width="11.28515625" style="6" customWidth="1"/>
    <col min="7" max="7" width="12.28515625" style="6" customWidth="1"/>
    <col min="8" max="50" width="10.7109375" style="6" customWidth="1"/>
    <col min="51" max="51" width="23.5703125" style="6" customWidth="1"/>
    <col min="52" max="52" width="1.7109375" style="6" customWidth="1"/>
    <col min="53" max="53" width="9.140625" style="6" customWidth="1"/>
    <col min="54" max="16384" width="9.140625" style="6" hidden="1"/>
  </cols>
  <sheetData>
    <row r="1" spans="1:51" ht="6" customHeight="1" x14ac:dyDescent="0.2">
      <c r="D1" s="5"/>
    </row>
    <row r="2" spans="1:51" x14ac:dyDescent="0.2"/>
    <row r="3" spans="1:51" ht="24.95" customHeight="1" x14ac:dyDescent="0.2">
      <c r="B3" s="480" t="str">
        <f>TEXT(Day_9,"DDDD")&amp;" - "&amp;TEXT(Day_9,"mm/dd/yy")</f>
        <v>Monday - 03/30/20</v>
      </c>
      <c r="C3" s="480"/>
      <c r="D3" s="106"/>
      <c r="E3" s="487" t="s">
        <v>380</v>
      </c>
      <c r="F3" s="487"/>
      <c r="K3" s="94" t="s">
        <v>124</v>
      </c>
      <c r="L3" s="152" t="s">
        <v>218</v>
      </c>
      <c r="M3" s="153" t="s">
        <v>220</v>
      </c>
      <c r="N3" s="71" t="s">
        <v>126</v>
      </c>
      <c r="O3" s="72" t="s">
        <v>130</v>
      </c>
      <c r="P3" s="73" t="s">
        <v>90</v>
      </c>
      <c r="Q3" s="139" t="s">
        <v>215</v>
      </c>
      <c r="R3" s="138" t="s">
        <v>211</v>
      </c>
      <c r="S3" s="137" t="s">
        <v>127</v>
      </c>
      <c r="T3" s="151" t="s">
        <v>139</v>
      </c>
      <c r="U3" s="69" t="s">
        <v>129</v>
      </c>
      <c r="V3" s="155" t="s">
        <v>146</v>
      </c>
      <c r="W3" s="157" t="s">
        <v>222</v>
      </c>
      <c r="Y3" s="211"/>
      <c r="Z3" s="212"/>
      <c r="AA3" s="213"/>
      <c r="AB3" s="214"/>
      <c r="AD3" s="94" t="s">
        <v>124</v>
      </c>
      <c r="AE3" s="152" t="s">
        <v>218</v>
      </c>
      <c r="AF3" s="153" t="s">
        <v>220</v>
      </c>
      <c r="AG3" s="71" t="s">
        <v>126</v>
      </c>
      <c r="AH3" s="72" t="s">
        <v>130</v>
      </c>
      <c r="AI3" s="73" t="s">
        <v>90</v>
      </c>
      <c r="AJ3" s="139" t="s">
        <v>215</v>
      </c>
      <c r="AK3" s="138" t="s">
        <v>211</v>
      </c>
      <c r="AL3" s="137" t="s">
        <v>127</v>
      </c>
      <c r="AM3" s="151" t="s">
        <v>139</v>
      </c>
      <c r="AN3" s="69" t="s">
        <v>129</v>
      </c>
      <c r="AO3" s="155" t="s">
        <v>146</v>
      </c>
      <c r="AP3" s="157" t="s">
        <v>222</v>
      </c>
    </row>
    <row r="4" spans="1:51" ht="24.95" customHeight="1" x14ac:dyDescent="0.2">
      <c r="B4" s="7"/>
      <c r="E4" s="488" t="s">
        <v>381</v>
      </c>
      <c r="F4" s="488"/>
      <c r="J4" s="18"/>
      <c r="K4" s="94" t="s">
        <v>125</v>
      </c>
      <c r="L4" s="154" t="s">
        <v>217</v>
      </c>
      <c r="M4" s="154" t="s">
        <v>221</v>
      </c>
      <c r="N4" s="70" t="s">
        <v>87</v>
      </c>
      <c r="O4" s="67" t="s">
        <v>89</v>
      </c>
      <c r="P4" s="67" t="s">
        <v>213</v>
      </c>
      <c r="Q4" s="67" t="s">
        <v>214</v>
      </c>
      <c r="R4" s="67" t="s">
        <v>212</v>
      </c>
      <c r="S4" s="67" t="s">
        <v>128</v>
      </c>
      <c r="T4" s="67" t="s">
        <v>138</v>
      </c>
      <c r="U4" s="67" t="s">
        <v>129</v>
      </c>
      <c r="V4" s="156" t="s">
        <v>145</v>
      </c>
      <c r="W4" s="98" t="s">
        <v>223</v>
      </c>
      <c r="Y4" s="214"/>
      <c r="Z4" s="215"/>
      <c r="AA4" s="216"/>
      <c r="AB4" s="217"/>
      <c r="AD4" s="94" t="s">
        <v>125</v>
      </c>
      <c r="AE4" s="154" t="s">
        <v>217</v>
      </c>
      <c r="AF4" s="154" t="s">
        <v>221</v>
      </c>
      <c r="AG4" s="70" t="s">
        <v>87</v>
      </c>
      <c r="AH4" s="67" t="s">
        <v>89</v>
      </c>
      <c r="AI4" s="67" t="s">
        <v>213</v>
      </c>
      <c r="AJ4" s="67" t="s">
        <v>214</v>
      </c>
      <c r="AK4" s="67" t="s">
        <v>212</v>
      </c>
      <c r="AL4" s="67" t="s">
        <v>128</v>
      </c>
      <c r="AM4" s="67" t="s">
        <v>138</v>
      </c>
      <c r="AN4" s="67" t="s">
        <v>129</v>
      </c>
      <c r="AO4" s="156" t="s">
        <v>145</v>
      </c>
      <c r="AP4" s="98" t="s">
        <v>223</v>
      </c>
    </row>
    <row r="5" spans="1:51" ht="6" customHeight="1" x14ac:dyDescent="0.2"/>
    <row r="6" spans="1:51" ht="17.25" customHeight="1" x14ac:dyDescent="0.2">
      <c r="F6" s="477" t="s">
        <v>132</v>
      </c>
      <c r="G6" s="478"/>
      <c r="H6" s="478"/>
      <c r="I6" s="479"/>
      <c r="J6" s="19"/>
      <c r="K6" s="19"/>
    </row>
    <row r="7" spans="1:51" ht="6" customHeight="1" thickBot="1" x14ac:dyDescent="0.25">
      <c r="J7" s="104" t="s">
        <v>93</v>
      </c>
      <c r="K7" s="104" t="s">
        <v>95</v>
      </c>
      <c r="L7" s="104" t="s">
        <v>97</v>
      </c>
      <c r="M7" s="104" t="s">
        <v>140</v>
      </c>
      <c r="N7" s="104" t="s">
        <v>109</v>
      </c>
      <c r="O7" s="104" t="s">
        <v>103</v>
      </c>
      <c r="P7" s="104" t="s">
        <v>121</v>
      </c>
      <c r="Q7" s="104" t="s">
        <v>113</v>
      </c>
      <c r="R7" s="104" t="s">
        <v>105</v>
      </c>
      <c r="S7" s="104" t="s">
        <v>107</v>
      </c>
      <c r="T7" s="104" t="s">
        <v>141</v>
      </c>
      <c r="U7" s="104" t="s">
        <v>101</v>
      </c>
      <c r="V7" s="104" t="s">
        <v>122</v>
      </c>
      <c r="W7" s="104" t="s">
        <v>116</v>
      </c>
      <c r="X7" s="104" t="s">
        <v>148</v>
      </c>
      <c r="Y7" s="104" t="s">
        <v>149</v>
      </c>
      <c r="Z7" s="104" t="s">
        <v>111</v>
      </c>
      <c r="AA7" s="104" t="s">
        <v>94</v>
      </c>
      <c r="AB7" s="104" t="s">
        <v>96</v>
      </c>
      <c r="AC7" s="104" t="s">
        <v>98</v>
      </c>
      <c r="AD7" s="104" t="s">
        <v>118</v>
      </c>
      <c r="AE7" s="104" t="s">
        <v>99</v>
      </c>
      <c r="AF7" s="104" t="s">
        <v>104</v>
      </c>
      <c r="AG7" s="104" t="s">
        <v>150</v>
      </c>
      <c r="AH7" s="104" t="s">
        <v>114</v>
      </c>
      <c r="AI7" s="104" t="s">
        <v>106</v>
      </c>
      <c r="AJ7" s="104" t="s">
        <v>108</v>
      </c>
      <c r="AK7" s="104" t="s">
        <v>142</v>
      </c>
      <c r="AL7" s="104" t="s">
        <v>102</v>
      </c>
      <c r="AM7" s="104" t="s">
        <v>143</v>
      </c>
      <c r="AN7" s="104" t="s">
        <v>123</v>
      </c>
      <c r="AO7" s="104" t="s">
        <v>117</v>
      </c>
      <c r="AP7" s="104" t="s">
        <v>151</v>
      </c>
      <c r="AQ7" s="104" t="s">
        <v>112</v>
      </c>
      <c r="AR7" s="104" t="s">
        <v>110</v>
      </c>
      <c r="AS7" s="104" t="s">
        <v>119</v>
      </c>
      <c r="AT7" s="104" t="s">
        <v>115</v>
      </c>
      <c r="AU7" s="104" t="s">
        <v>120</v>
      </c>
      <c r="AV7" s="104"/>
      <c r="AW7" s="104"/>
      <c r="AX7" s="105">
        <v>0</v>
      </c>
    </row>
    <row r="8" spans="1:51" ht="13.5" thickBot="1" x14ac:dyDescent="0.25">
      <c r="A8" s="15" t="s">
        <v>14</v>
      </c>
      <c r="B8" s="168" t="s">
        <v>2</v>
      </c>
      <c r="C8" s="169" t="s">
        <v>5</v>
      </c>
      <c r="D8" s="169" t="s">
        <v>84</v>
      </c>
      <c r="E8" s="169" t="s">
        <v>86</v>
      </c>
      <c r="F8" s="169" t="s">
        <v>87</v>
      </c>
      <c r="G8" s="169" t="s">
        <v>223</v>
      </c>
      <c r="H8" s="169" t="s">
        <v>89</v>
      </c>
      <c r="I8" s="169" t="s">
        <v>90</v>
      </c>
      <c r="J8" s="170" t="s">
        <v>93</v>
      </c>
      <c r="K8" s="170" t="s">
        <v>95</v>
      </c>
      <c r="L8" s="170" t="s">
        <v>97</v>
      </c>
      <c r="M8" s="170" t="s">
        <v>140</v>
      </c>
      <c r="N8" s="170" t="s">
        <v>109</v>
      </c>
      <c r="O8" s="170" t="s">
        <v>103</v>
      </c>
      <c r="P8" s="170" t="s">
        <v>121</v>
      </c>
      <c r="Q8" s="170" t="s">
        <v>113</v>
      </c>
      <c r="R8" s="170" t="s">
        <v>105</v>
      </c>
      <c r="S8" s="170" t="s">
        <v>107</v>
      </c>
      <c r="T8" s="170" t="s">
        <v>141</v>
      </c>
      <c r="U8" s="170" t="s">
        <v>101</v>
      </c>
      <c r="V8" s="170" t="s">
        <v>122</v>
      </c>
      <c r="W8" s="170" t="s">
        <v>116</v>
      </c>
      <c r="X8" s="170" t="s">
        <v>148</v>
      </c>
      <c r="Y8" s="170" t="s">
        <v>149</v>
      </c>
      <c r="Z8" s="338" t="s">
        <v>111</v>
      </c>
      <c r="AA8" s="338" t="s">
        <v>94</v>
      </c>
      <c r="AB8" s="170" t="s">
        <v>96</v>
      </c>
      <c r="AC8" s="339" t="s">
        <v>98</v>
      </c>
      <c r="AD8" s="339" t="s">
        <v>118</v>
      </c>
      <c r="AE8" s="170" t="s">
        <v>99</v>
      </c>
      <c r="AF8" s="170" t="s">
        <v>104</v>
      </c>
      <c r="AG8" s="170" t="s">
        <v>150</v>
      </c>
      <c r="AH8" s="170" t="s">
        <v>114</v>
      </c>
      <c r="AI8" s="170" t="s">
        <v>106</v>
      </c>
      <c r="AJ8" s="170" t="s">
        <v>108</v>
      </c>
      <c r="AK8" s="170" t="s">
        <v>142</v>
      </c>
      <c r="AL8" s="170" t="s">
        <v>102</v>
      </c>
      <c r="AM8" s="170" t="s">
        <v>143</v>
      </c>
      <c r="AN8" s="170" t="s">
        <v>123</v>
      </c>
      <c r="AO8" s="170" t="s">
        <v>117</v>
      </c>
      <c r="AP8" s="170" t="s">
        <v>151</v>
      </c>
      <c r="AQ8" s="170" t="s">
        <v>112</v>
      </c>
      <c r="AR8" s="170" t="s">
        <v>110</v>
      </c>
      <c r="AS8" s="170" t="s">
        <v>119</v>
      </c>
      <c r="AT8" s="170" t="s">
        <v>115</v>
      </c>
      <c r="AU8" s="170" t="s">
        <v>120</v>
      </c>
      <c r="AV8" s="199" t="s">
        <v>100</v>
      </c>
      <c r="AW8" s="199" t="s">
        <v>243</v>
      </c>
      <c r="AX8" s="199" t="s">
        <v>244</v>
      </c>
      <c r="AY8" s="171" t="s">
        <v>147</v>
      </c>
    </row>
    <row r="9" spans="1:51" s="44" customFormat="1" ht="12" customHeight="1" x14ac:dyDescent="0.2">
      <c r="A9" s="39" t="str">
        <f>IF(B9="","",INDEX(TeamList[],MATCH($B9,TeamList[[Employee Name]:[Employee Name]],0),MATCH("Manager",TeamList[#Headers],0)))</f>
        <v>Olson, Katherine</v>
      </c>
      <c r="B9" s="201" t="s">
        <v>24</v>
      </c>
      <c r="C9" s="257" t="str">
        <f>_xlfn.IFNA(VLOOKUP(Mon_W2[[#This Row],[Employee Name]],'Base Schedules'!A:B,2,FALSE),"")</f>
        <v>Lead</v>
      </c>
      <c r="D9" s="274">
        <f>_xlfn.IFNA(VLOOKUP(Mon_W2[[#This Row],[Employee Name]],'Base Schedules'!A:C,3,FALSE),"")</f>
        <v>500</v>
      </c>
      <c r="E9" s="274">
        <f>_xlfn.IFNA(VLOOKUP(Mon_W2[[#This Row],[Employee Name]],'Base Schedules'!A:D,4,FALSE),"")</f>
        <v>1330</v>
      </c>
      <c r="F9" s="142">
        <f>IF(Mon_W2[[#This Row],[Employee Name]]="","",IF(Mon_W2[[#This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f>
        <v>9</v>
      </c>
      <c r="G9" s="142">
        <f t="shared" ref="G9:G47" si="0">IF(B9="","",COUNTIFS($J9:$AX9,"*Coaching*",$J9:$AX9,"&lt;&gt;"&amp;"pTM",$J9:$AX9,"&lt;&gt;"&amp;"uTM"))</f>
        <v>0</v>
      </c>
      <c r="H9" s="142">
        <f t="shared" ref="H9:H40" si="1">IF(B9="","",COUNTIFS($J9:$AX9,"*ADM*",$J9:$AX9,"&lt;&gt;"&amp;"pADM",$J9:$AX9,"&lt;&gt;"&amp;"uADM"))</f>
        <v>4</v>
      </c>
      <c r="I9" s="142">
        <f>IF(Mon_W2[[#This Row],[Employee Name]]="","",IF(Mon_W2[[#This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f>
        <v>2</v>
      </c>
      <c r="J9" s="184" t="str">
        <f>IFERROR(IF(VLOOKUP(Mon_W2[[#This Row],[Employee Name]],'Base Schedules'!$A$113:$AW$158,9,FALSE)="","",VLOOKUP(Mon_W2[[#This Row],[Employee Name]],'Base Schedules'!$A$113:$AW$158,9,FALSE)),"")</f>
        <v>HL</v>
      </c>
      <c r="K9" s="184" t="str">
        <f>IFERROR(IF(VLOOKUP(Mon_W2[[#This Row],[Employee Name]],'Base Schedules'!$A$113:$AW$158,10,FALSE)="","",VLOOKUP(Mon_W2[[#This Row],[Employee Name]],'Base Schedules'!$A$113:$AW$158,10,FALSE)),"")</f>
        <v>HL</v>
      </c>
      <c r="L9" s="184" t="str">
        <f>IFERROR(IF(VLOOKUP(Mon_W2[[#This Row],[Employee Name]],'Base Schedules'!$A$113:$AW$158,11,FALSE)="","",VLOOKUP(Mon_W2[[#This Row],[Employee Name]],'Base Schedules'!$A$113:$AW$158,11,FALSE)),"")</f>
        <v>HL</v>
      </c>
      <c r="M9" s="184" t="str">
        <f>IFERROR(IF(VLOOKUP(Mon_W2[[#This Row],[Employee Name]],'Base Schedules'!$A$113:$AW$158,12,FALSE)="","",VLOOKUP(Mon_W2[[#This Row],[Employee Name]],'Base Schedules'!$A$113:$AW$158,12,FALSE)),"")</f>
        <v>HL</v>
      </c>
      <c r="N9" s="184" t="str">
        <f>IFERROR(IF(VLOOKUP(Mon_W2[[#This Row],[Employee Name]],'Base Schedules'!$A$113:$AW$158,13,FALSE)="","",VLOOKUP(Mon_W2[[#This Row],[Employee Name]],'Base Schedules'!$A$113:$AW$158,13,FALSE)),"")</f>
        <v>HL B1</v>
      </c>
      <c r="O9" s="184" t="str">
        <f>IFERROR(IF(VLOOKUP(Mon_W2[[#This Row],[Employee Name]],'Base Schedules'!$A$113:$AW$158,14,FALSE)="","",VLOOKUP(Mon_W2[[#This Row],[Employee Name]],'Base Schedules'!$A$113:$AW$158,14,FALSE)),"")</f>
        <v>ADM</v>
      </c>
      <c r="P9" s="184" t="str">
        <f>IFERROR(IF(VLOOKUP(Mon_W2[[#This Row],[Employee Name]],'Base Schedules'!$A$113:$AW$158,15,FALSE)="","",VLOOKUP(Mon_W2[[#This Row],[Employee Name]],'Base Schedules'!$A$113:$AW$158,15,FALSE)),"")</f>
        <v>RNNR</v>
      </c>
      <c r="Q9" s="184" t="str">
        <f>IFERROR(IF(VLOOKUP(Mon_W2[[#This Row],[Employee Name]],'Base Schedules'!$A$113:$AW$158,16,FALSE)="","",VLOOKUP(Mon_W2[[#This Row],[Employee Name]],'Base Schedules'!$A$113:$AW$158,16,FALSE)),"")</f>
        <v>RNNR</v>
      </c>
      <c r="R9" s="184" t="str">
        <f>IFERROR(IF(VLOOKUP(Mon_W2[[#This Row],[Employee Name]],'Base Schedules'!$A$113:$AW$158,17,FALSE)="","",VLOOKUP(Mon_W2[[#This Row],[Employee Name]],'Base Schedules'!$A$113:$AW$158,17,FALSE)),"")</f>
        <v>LUNCH</v>
      </c>
      <c r="S9" s="184" t="str">
        <f>IFERROR(IF(VLOOKUP(Mon_W2[[#This Row],[Employee Name]],'Base Schedules'!$A$113:$AW$158,18,FALSE)="","",VLOOKUP(Mon_W2[[#This Row],[Employee Name]],'Base Schedules'!$A$113:$AW$158,18,FALSE)),"")</f>
        <v>ADM</v>
      </c>
      <c r="T9" s="184" t="str">
        <f>IFERROR(IF(VLOOKUP(Mon_W2[[#This Row],[Employee Name]],'Base Schedules'!$A$113:$AW$158,19,FALSE)="","",VLOOKUP(Mon_W2[[#This Row],[Employee Name]],'Base Schedules'!$A$113:$AW$158,19,FALSE)),"")</f>
        <v>ADM</v>
      </c>
      <c r="U9" s="184" t="str">
        <f>IFERROR(IF(VLOOKUP(Mon_W2[[#This Row],[Employee Name]],'Base Schedules'!$A$113:$AW$158,20,FALSE)="","",VLOOKUP(Mon_W2[[#This Row],[Employee Name]],'Base Schedules'!$A$113:$AW$158,20,FALSE)),"")</f>
        <v>ADM</v>
      </c>
      <c r="V9" s="184" t="str">
        <f>IFERROR(IF(VLOOKUP(Mon_W2[[#This Row],[Employee Name]],'Base Schedules'!$A$113:$AW$158,21,FALSE)="","",VLOOKUP(Mon_W2[[#This Row],[Employee Name]],'Base Schedules'!$A$113:$AW$158,21,FALSE)),"")</f>
        <v>B2 HL</v>
      </c>
      <c r="W9" s="184" t="str">
        <f>IFERROR(IF(VLOOKUP(Mon_W2[[#This Row],[Employee Name]],'Base Schedules'!$A$113:$AW$158,22,FALSE)="","",VLOOKUP(Mon_W2[[#This Row],[Employee Name]],'Base Schedules'!$A$113:$AW$158,22,FALSE)),"")</f>
        <v>HL</v>
      </c>
      <c r="X9" s="184" t="str">
        <f>IFERROR(IF(VLOOKUP(Mon_W2[[#This Row],[Employee Name]],'Base Schedules'!$A$113:$AW$158,23,FALSE)="","",VLOOKUP(Mon_W2[[#This Row],[Employee Name]],'Base Schedules'!$A$113:$AW$158,23,FALSE)),"")</f>
        <v>HL</v>
      </c>
      <c r="Y9" s="184" t="str">
        <f>IFERROR(IF(VLOOKUP(Mon_W2[[#This Row],[Employee Name]],'Base Schedules'!$A$113:$AW$158,24,FALSE)="","",VLOOKUP(Mon_W2[[#This Row],[Employee Name]],'Base Schedules'!$A$113:$AW$158,24,FALSE)),"")</f>
        <v>HL</v>
      </c>
      <c r="Z9" s="184" t="str">
        <f>IFERROR(IF(VLOOKUP(Mon_W2[[#This Row],[Employee Name]],'Base Schedules'!$A$113:$AW$158,25,FALSE)="","",VLOOKUP(Mon_W2[[#This Row],[Employee Name]],'Base Schedules'!$A$113:$AW$158,25,FALSE)),"")</f>
        <v>HL</v>
      </c>
      <c r="AA9" s="184" t="str">
        <f>IFERROR(IF(VLOOKUP(Mon_W2[[#This Row],[Employee Name]],'Base Schedules'!$A$113:$AW$158,26,FALSE)="","",VLOOKUP(Mon_W2[[#This Row],[Employee Name]],'Base Schedules'!$A$113:$AW$158,26,FALSE)),"")</f>
        <v/>
      </c>
      <c r="AB9" s="184" t="str">
        <f>IFERROR(IF(VLOOKUP(Mon_W2[[#This Row],[Employee Name]],'Base Schedules'!$A$113:$AW$158,27,FALSE)="","",VLOOKUP(Mon_W2[[#This Row],[Employee Name]],'Base Schedules'!$A$113:$AW$158,27,FALSE)),"")</f>
        <v/>
      </c>
      <c r="AC9" s="184" t="str">
        <f>IFERROR(IF(VLOOKUP(Mon_W2[[#This Row],[Employee Name]],'Base Schedules'!$A$113:$AW$158,28,FALSE)="","",VLOOKUP(Mon_W2[[#This Row],[Employee Name]],'Base Schedules'!$A$113:$AW$158,28,FALSE)),"")</f>
        <v/>
      </c>
      <c r="AD9" s="184" t="str">
        <f>IFERROR(IF(VLOOKUP(Mon_W2[[#This Row],[Employee Name]],'Base Schedules'!$A$113:$AW$158,29,FALSE)="","",VLOOKUP(Mon_W2[[#This Row],[Employee Name]],'Base Schedules'!$A$113:$AW$158,29,FALSE)),"")</f>
        <v/>
      </c>
      <c r="AE9" s="184" t="str">
        <f>IFERROR(IF(VLOOKUP(Mon_W2[[#This Row],[Employee Name]],'Base Schedules'!$A$113:$AW$158,30,FALSE)="","",VLOOKUP(Mon_W2[[#This Row],[Employee Name]],'Base Schedules'!$A$113:$AW$158,30,FALSE)),"")</f>
        <v/>
      </c>
      <c r="AF9" s="184" t="str">
        <f>IFERROR(IF(VLOOKUP(Mon_W2[[#This Row],[Employee Name]],'Base Schedules'!$A$113:$AW$158,31,FALSE)="","",VLOOKUP(Mon_W2[[#This Row],[Employee Name]],'Base Schedules'!$A$113:$AW$158,31,FALSE)),"")</f>
        <v/>
      </c>
      <c r="AG9" s="184" t="str">
        <f>IFERROR(IF(VLOOKUP(Mon_W2[[#This Row],[Employee Name]],'Base Schedules'!$A$113:$AW$158,32,FALSE)="","",VLOOKUP(Mon_W2[[#This Row],[Employee Name]],'Base Schedules'!$A$113:$AW$158,32,FALSE)),"")</f>
        <v/>
      </c>
      <c r="AH9" s="184" t="str">
        <f>IFERROR(IF(VLOOKUP(Mon_W2[[#This Row],[Employee Name]],'Base Schedules'!$A$113:$AW$158,33,FALSE)="","",VLOOKUP(Mon_W2[[#This Row],[Employee Name]],'Base Schedules'!$A$113:$AW$158,33,FALSE)),"")</f>
        <v/>
      </c>
      <c r="AI9" s="184" t="str">
        <f>IFERROR(IF(VLOOKUP(Mon_W2[[#This Row],[Employee Name]],'Base Schedules'!$A$113:$AW$158,34,FALSE)="","",VLOOKUP(Mon_W2[[#This Row],[Employee Name]],'Base Schedules'!$A$113:$AW$158,34,FALSE)),"")</f>
        <v/>
      </c>
      <c r="AJ9" s="184" t="str">
        <f>IFERROR(IF(VLOOKUP(Mon_W2[[#This Row],[Employee Name]],'Base Schedules'!$A$113:$AW$158,35,FALSE)="","",VLOOKUP(Mon_W2[[#This Row],[Employee Name]],'Base Schedules'!$A$113:$AW$158,35,FALSE)),"")</f>
        <v/>
      </c>
      <c r="AK9" s="184" t="str">
        <f>IFERROR(IF(VLOOKUP(Mon_W2[[#This Row],[Employee Name]],'Base Schedules'!$A$113:$AW$158,36,FALSE)="","",VLOOKUP(Mon_W2[[#This Row],[Employee Name]],'Base Schedules'!$A$113:$AW$158,36,FALSE)),"")</f>
        <v/>
      </c>
      <c r="AL9" s="184" t="str">
        <f>IFERROR(IF(VLOOKUP(Mon_W2[[#This Row],[Employee Name]],'Base Schedules'!$A$113:$AW$158,37,FALSE)="","",VLOOKUP(Mon_W2[[#This Row],[Employee Name]],'Base Schedules'!$A$113:$AW$158,37,FALSE)),"")</f>
        <v/>
      </c>
      <c r="AM9" s="184" t="str">
        <f>IFERROR(IF(VLOOKUP(Mon_W2[[#This Row],[Employee Name]],'Base Schedules'!$A$113:$AW$158,38,FALSE)="","",VLOOKUP(Mon_W2[[#This Row],[Employee Name]],'Base Schedules'!$A$113:$AW$158,38,FALSE)),"")</f>
        <v/>
      </c>
      <c r="AN9" s="184" t="str">
        <f>IFERROR(IF(VLOOKUP(Mon_W2[[#This Row],[Employee Name]],'Base Schedules'!$A$113:$AW$158,39,FALSE)="","",VLOOKUP(Mon_W2[[#This Row],[Employee Name]],'Base Schedules'!$A$113:$AW$158,39,FALSE)),"")</f>
        <v/>
      </c>
      <c r="AO9" s="184" t="str">
        <f>IFERROR(IF(VLOOKUP(Mon_W2[[#This Row],[Employee Name]],'Base Schedules'!$A$113:$AW$158,40,FALSE)="","",VLOOKUP(Mon_W2[[#This Row],[Employee Name]],'Base Schedules'!$A$113:$AW$158,40,FALSE)),"")</f>
        <v/>
      </c>
      <c r="AP9" s="184" t="str">
        <f>IFERROR(IF(VLOOKUP(Mon_W2[[#This Row],[Employee Name]],'Base Schedules'!$A$113:$AW$158,41,FALSE)="","",VLOOKUP(Mon_W2[[#This Row],[Employee Name]],'Base Schedules'!$A$113:$AW$158,41,FALSE)),"")</f>
        <v/>
      </c>
      <c r="AQ9" s="184" t="str">
        <f>IFERROR(IF(VLOOKUP(Mon_W2[[#This Row],[Employee Name]],'Base Schedules'!$A$113:$AW$158,42,FALSE)="","",VLOOKUP(Mon_W2[[#This Row],[Employee Name]],'Base Schedules'!$A$113:$AW$158,42,FALSE)),"")</f>
        <v/>
      </c>
      <c r="AR9" s="184" t="str">
        <f>IFERROR(IF(VLOOKUP(Mon_W2[[#This Row],[Employee Name]],'Base Schedules'!$A$113:$AW$158,43,FALSE)="","",VLOOKUP(Mon_W2[[#This Row],[Employee Name]],'Base Schedules'!$A$113:$AW$158,43,FALSE)),"")</f>
        <v/>
      </c>
      <c r="AS9" s="184" t="str">
        <f>IFERROR(IF(VLOOKUP(Mon_W2[[#This Row],[Employee Name]],'Base Schedules'!$A$113:$AW$158,44,FALSE)="","",VLOOKUP(Mon_W2[[#This Row],[Employee Name]],'Base Schedules'!$A$113:$AW$158,44,FALSE)),"")</f>
        <v/>
      </c>
      <c r="AT9" s="184" t="str">
        <f>IFERROR(IF(VLOOKUP(Mon_W2[[#This Row],[Employee Name]],'Base Schedules'!$A$113:$AW$158,45,FALSE)="","",VLOOKUP(Mon_W2[[#This Row],[Employee Name]],'Base Schedules'!$A$113:$AW$158,45,FALSE)),"")</f>
        <v/>
      </c>
      <c r="AU9" s="184" t="str">
        <f>IFERROR(IF(VLOOKUP(Mon_W2[[#This Row],[Employee Name]],'Base Schedules'!$A$113:$AW$158,46,FALSE)="","",VLOOKUP(Mon_W2[[#This Row],[Employee Name]],'Base Schedules'!$A$113:$AW$158,46,FALSE)),"")</f>
        <v/>
      </c>
      <c r="AV9" s="184" t="str">
        <f>IFERROR(IF(VLOOKUP(Mon_W2[[#This Row],[Employee Name]],'Base Schedules'!$A$113:$AW$158,47,FALSE)="","",VLOOKUP(Mon_W2[[#This Row],[Employee Name]],'Base Schedules'!$A$113:$AW$158,47,FALSE)),"")</f>
        <v/>
      </c>
      <c r="AW9" s="184" t="str">
        <f>IFERROR(IF(VLOOKUP(Mon_W2[[#This Row],[Employee Name]],'Base Schedules'!$A$113:$AW$158,48,FALSE)="","",VLOOKUP(Mon_W2[[#This Row],[Employee Name]],'Base Schedules'!$A$113:$AW$158,48,FALSE)),"")</f>
        <v/>
      </c>
      <c r="AX9" s="184" t="str">
        <f>IFERROR(IF(VLOOKUP(Mon_W2[[#This Row],[Employee Name]],'Base Schedules'!$A$113:$AW$158,49,FALSE)="","",VLOOKUP(Mon_W2[[#This Row],[Employee Name]],'Base Schedules'!$A$113:$AW$158,49,FALSE)),"")</f>
        <v/>
      </c>
      <c r="AY9" s="158" t="str">
        <f t="shared" ref="AY9:AY40" si="2">IF(B9="","",B9)</f>
        <v>Birrueta Arellano, Neftali</v>
      </c>
    </row>
    <row r="10" spans="1:51" s="44" customFormat="1" ht="12" customHeight="1" x14ac:dyDescent="0.2">
      <c r="A10" s="39" t="str">
        <f>IF(B10="","",INDEX(TeamList[],MATCH($B10,TeamList[[Employee Name]:[Employee Name]],0),MATCH("Manager",TeamList[#Headers],0)))</f>
        <v>Olson, Katherine</v>
      </c>
      <c r="B10" s="330" t="s">
        <v>32</v>
      </c>
      <c r="C10" s="257" t="str">
        <f>_xlfn.IFNA(VLOOKUP(Mon_W2[[#This Row],[Employee Name]],'Base Schedules'!A:B,2,FALSE),"")</f>
        <v>Supervisor</v>
      </c>
      <c r="D10" s="274">
        <f>_xlfn.IFNA(VLOOKUP(Mon_W2[[#This Row],[Employee Name]],'Base Schedules'!A:C,3,FALSE),"")</f>
        <v>500</v>
      </c>
      <c r="E10" s="274">
        <f>_xlfn.IFNA(VLOOKUP(Mon_W2[[#This Row],[Employee Name]],'Base Schedules'!A:D,4,FALSE),"")</f>
        <v>1400</v>
      </c>
      <c r="F10" s="142">
        <f>IF(Mon_W2[[#This Row],[Employee Name]]="","",IF(Mon_W2[[#This Row],[Dept]]="Supervisor",COUNTIFS($J10:$AX10,"*HL*",$J10:$AX10,"&lt;&gt;"&amp;"pHL"),COUNTIFS($J10:$AX10,"*HL*",$J10:$AX10,"&lt;&gt;"&amp;"*pHL*",$J10:$AX10,"&lt;&gt;"&amp;"pB1 HL",$J10:$AX10,"&lt;&gt;"&amp;"pB2 HL")-SUM(COUNTIFS($J10:$AX10,"*HL B1*",$J10:$AX10,"&lt;&gt;"&amp;"pHL B1")*0.5,COUNTIFS($J10:$AX10,"*HL B2*",$J10:$AX10,"&lt;&gt;"&amp;"pHL B2")*0.5,COUNTIFS($J10:$AX10,"*B1 HL*",$J10:$AX10,"&lt;&gt;"&amp;"pB1 HL")*0.5,COUNTIFS($J10:$AX10,"*B2 HL*",$J10:$AX10,"&lt;&gt;"&amp;"pB2 HL")*0.5)))</f>
        <v>0</v>
      </c>
      <c r="G10" s="142">
        <f t="shared" si="0"/>
        <v>0</v>
      </c>
      <c r="H10" s="142">
        <f t="shared" si="1"/>
        <v>0</v>
      </c>
      <c r="I10" s="142">
        <f>IF(Mon_W2[[#This Row],[Employee Name]]="","",IF(Mon_W2[[#This Row],[Dept]]="Supervisor",SUM(COUNTIFS($J10:$AX10,"RTA*",$J10:$AX10,"&lt;&gt;"&amp;"pRTA"),COUNTIFS($J10:$AX10,"*CRTA*",$J10:$AX10,"&lt;&gt;"&amp;"pCRTA")),COUNTIFS($J10:$AX10,"*RNNR*",$J10:$AX10,"&lt;&gt;"&amp;"*pRNNR*",$J10:$AX10,"&lt;&gt;"&amp;"pB1 RNNR",$J10:$AX10,"&lt;&gt;"&amp;"pB2 RNNR")-SUM(COUNTIFS($J10:$AX10,"*RNNR B1*",$J10:$AX10,"&lt;&gt;"&amp;"pRNNR B1")*0.5,COUNTIFS($J10:$AX10,"*RNNR B2*",$J10:$AX10,"&lt;&gt;"&amp;"pRNNR B2")*0.5,COUNTIFS($J10:$AX10,"*B1 RNNR*",$J10:$AX10,"&lt;&gt;"&amp;"pB1 RNNR")*0.5,COUNTIFS($J10:$AX10,"*B2 RNNR*",$J10:$AX10,"&lt;&gt;"&amp;"pB2 RNNR")*0.5)))</f>
        <v>0</v>
      </c>
      <c r="J10" s="184" t="str">
        <f>IFERROR(IF(VLOOKUP(Mon_W2[[#This Row],[Employee Name]],'Base Schedules'!$A$113:$AW$158,9,FALSE)="","",VLOOKUP(Mon_W2[[#This Row],[Employee Name]],'Base Schedules'!$A$113:$AW$158,9,FALSE)),"")</f>
        <v>-</v>
      </c>
      <c r="K10" s="184" t="str">
        <f>IFERROR(IF(VLOOKUP(Mon_W2[[#This Row],[Employee Name]],'Base Schedules'!$A$113:$AW$158,10,FALSE)="","",VLOOKUP(Mon_W2[[#This Row],[Employee Name]],'Base Schedules'!$A$113:$AW$158,10,FALSE)),"")</f>
        <v>-</v>
      </c>
      <c r="L10" s="184" t="str">
        <f>IFERROR(IF(VLOOKUP(Mon_W2[[#This Row],[Employee Name]],'Base Schedules'!$A$113:$AW$158,11,FALSE)="","",VLOOKUP(Mon_W2[[#This Row],[Employee Name]],'Base Schedules'!$A$113:$AW$158,11,FALSE)),"")</f>
        <v>-</v>
      </c>
      <c r="M10" s="184" t="str">
        <f>IFERROR(IF(VLOOKUP(Mon_W2[[#This Row],[Employee Name]],'Base Schedules'!$A$113:$AW$158,12,FALSE)="","",VLOOKUP(Mon_W2[[#This Row],[Employee Name]],'Base Schedules'!$A$113:$AW$158,12,FALSE)),"")</f>
        <v>-</v>
      </c>
      <c r="N10" s="184" t="str">
        <f>IFERROR(IF(VLOOKUP(Mon_W2[[#This Row],[Employee Name]],'Base Schedules'!$A$113:$AW$158,13,FALSE)="","",VLOOKUP(Mon_W2[[#This Row],[Employee Name]],'Base Schedules'!$A$113:$AW$158,13,FALSE)),"")</f>
        <v>-</v>
      </c>
      <c r="O10" s="184" t="str">
        <f>IFERROR(IF(VLOOKUP(Mon_W2[[#This Row],[Employee Name]],'Base Schedules'!$A$113:$AW$158,14,FALSE)="","",VLOOKUP(Mon_W2[[#This Row],[Employee Name]],'Base Schedules'!$A$113:$AW$158,14,FALSE)),"")</f>
        <v>-</v>
      </c>
      <c r="P10" s="184" t="str">
        <f>IFERROR(IF(VLOOKUP(Mon_W2[[#This Row],[Employee Name]],'Base Schedules'!$A$113:$AW$158,15,FALSE)="","",VLOOKUP(Mon_W2[[#This Row],[Employee Name]],'Base Schedules'!$A$113:$AW$158,15,FALSE)),"")</f>
        <v>Interview</v>
      </c>
      <c r="Q10" s="184" t="str">
        <f>IFERROR(IF(VLOOKUP(Mon_W2[[#This Row],[Employee Name]],'Base Schedules'!$A$113:$AW$158,16,FALSE)="","",VLOOKUP(Mon_W2[[#This Row],[Employee Name]],'Base Schedules'!$A$113:$AW$158,16,FALSE)),"")</f>
        <v>Interview</v>
      </c>
      <c r="R10" s="184" t="str">
        <f>IFERROR(IF(VLOOKUP(Mon_W2[[#This Row],[Employee Name]],'Base Schedules'!$A$113:$AW$158,17,FALSE)="","",VLOOKUP(Mon_W2[[#This Row],[Employee Name]],'Base Schedules'!$A$113:$AW$158,17,FALSE)),"")</f>
        <v>-</v>
      </c>
      <c r="S10" s="184" t="str">
        <f>IFERROR(IF(VLOOKUP(Mon_W2[[#This Row],[Employee Name]],'Base Schedules'!$A$113:$AW$158,18,FALSE)="","",VLOOKUP(Mon_W2[[#This Row],[Employee Name]],'Base Schedules'!$A$113:$AW$158,18,FALSE)),"")</f>
        <v>-</v>
      </c>
      <c r="T10" s="184" t="str">
        <f>IFERROR(IF(VLOOKUP(Mon_W2[[#This Row],[Employee Name]],'Base Schedules'!$A$113:$AW$158,19,FALSE)="","",VLOOKUP(Mon_W2[[#This Row],[Employee Name]],'Base Schedules'!$A$113:$AW$158,19,FALSE)),"")</f>
        <v>-</v>
      </c>
      <c r="U10" s="184" t="str">
        <f>IFERROR(IF(VLOOKUP(Mon_W2[[#This Row],[Employee Name]],'Base Schedules'!$A$113:$AW$158,20,FALSE)="","",VLOOKUP(Mon_W2[[#This Row],[Employee Name]],'Base Schedules'!$A$113:$AW$158,20,FALSE)),"")</f>
        <v>-</v>
      </c>
      <c r="V10" s="184" t="str">
        <f>IFERROR(IF(VLOOKUP(Mon_W2[[#This Row],[Employee Name]],'Base Schedules'!$A$113:$AW$158,21,FALSE)="","",VLOOKUP(Mon_W2[[#This Row],[Employee Name]],'Base Schedules'!$A$113:$AW$158,21,FALSE)),"")</f>
        <v>-</v>
      </c>
      <c r="W10" s="184" t="str">
        <f>IFERROR(IF(VLOOKUP(Mon_W2[[#This Row],[Employee Name]],'Base Schedules'!$A$113:$AW$158,22,FALSE)="","",VLOOKUP(Mon_W2[[#This Row],[Employee Name]],'Base Schedules'!$A$113:$AW$158,22,FALSE)),"")</f>
        <v>-</v>
      </c>
      <c r="X10" s="184" t="str">
        <f>IFERROR(IF(VLOOKUP(Mon_W2[[#This Row],[Employee Name]],'Base Schedules'!$A$113:$AW$158,23,FALSE)="","",VLOOKUP(Mon_W2[[#This Row],[Employee Name]],'Base Schedules'!$A$113:$AW$158,23,FALSE)),"")</f>
        <v>-</v>
      </c>
      <c r="Y10" s="184" t="str">
        <f>IFERROR(IF(VLOOKUP(Mon_W2[[#This Row],[Employee Name]],'Base Schedules'!$A$113:$AW$158,24,FALSE)="","",VLOOKUP(Mon_W2[[#This Row],[Employee Name]],'Base Schedules'!$A$113:$AW$158,24,FALSE)),"")</f>
        <v>-</v>
      </c>
      <c r="Z10" s="184" t="str">
        <f>IFERROR(IF(VLOOKUP(Mon_W2[[#This Row],[Employee Name]],'Base Schedules'!$A$113:$AW$158,25,FALSE)="","",VLOOKUP(Mon_W2[[#This Row],[Employee Name]],'Base Schedules'!$A$113:$AW$158,25,FALSE)),"")</f>
        <v>-</v>
      </c>
      <c r="AA10" s="184" t="str">
        <f>IFERROR(IF(VLOOKUP(Mon_W2[[#This Row],[Employee Name]],'Base Schedules'!$A$113:$AW$158,26,FALSE)="","",VLOOKUP(Mon_W2[[#This Row],[Employee Name]],'Base Schedules'!$A$113:$AW$158,26,FALSE)),"")</f>
        <v>-</v>
      </c>
      <c r="AB10" s="184" t="str">
        <f>IFERROR(IF(VLOOKUP(Mon_W2[[#This Row],[Employee Name]],'Base Schedules'!$A$113:$AW$158,27,FALSE)="","",VLOOKUP(Mon_W2[[#This Row],[Employee Name]],'Base Schedules'!$A$113:$AW$158,27,FALSE)),"")</f>
        <v/>
      </c>
      <c r="AC10" s="184" t="str">
        <f>IFERROR(IF(VLOOKUP(Mon_W2[[#This Row],[Employee Name]],'Base Schedules'!$A$113:$AW$158,28,FALSE)="","",VLOOKUP(Mon_W2[[#This Row],[Employee Name]],'Base Schedules'!$A$113:$AW$158,28,FALSE)),"")</f>
        <v/>
      </c>
      <c r="AD10" s="184" t="str">
        <f>IFERROR(IF(VLOOKUP(Mon_W2[[#This Row],[Employee Name]],'Base Schedules'!$A$113:$AW$158,29,FALSE)="","",VLOOKUP(Mon_W2[[#This Row],[Employee Name]],'Base Schedules'!$A$113:$AW$158,29,FALSE)),"")</f>
        <v/>
      </c>
      <c r="AE10" s="184" t="str">
        <f>IFERROR(IF(VLOOKUP(Mon_W2[[#This Row],[Employee Name]],'Base Schedules'!$A$113:$AW$158,30,FALSE)="","",VLOOKUP(Mon_W2[[#This Row],[Employee Name]],'Base Schedules'!$A$113:$AW$158,30,FALSE)),"")</f>
        <v/>
      </c>
      <c r="AF10" s="184" t="str">
        <f>IFERROR(IF(VLOOKUP(Mon_W2[[#This Row],[Employee Name]],'Base Schedules'!$A$113:$AW$158,31,FALSE)="","",VLOOKUP(Mon_W2[[#This Row],[Employee Name]],'Base Schedules'!$A$113:$AW$158,31,FALSE)),"")</f>
        <v/>
      </c>
      <c r="AG10" s="184" t="str">
        <f>IFERROR(IF(VLOOKUP(Mon_W2[[#This Row],[Employee Name]],'Base Schedules'!$A$113:$AW$158,32,FALSE)="","",VLOOKUP(Mon_W2[[#This Row],[Employee Name]],'Base Schedules'!$A$113:$AW$158,32,FALSE)),"")</f>
        <v/>
      </c>
      <c r="AH10" s="184" t="str">
        <f>IFERROR(IF(VLOOKUP(Mon_W2[[#This Row],[Employee Name]],'Base Schedules'!$A$113:$AW$158,33,FALSE)="","",VLOOKUP(Mon_W2[[#This Row],[Employee Name]],'Base Schedules'!$A$113:$AW$158,33,FALSE)),"")</f>
        <v/>
      </c>
      <c r="AI10" s="184" t="str">
        <f>IFERROR(IF(VLOOKUP(Mon_W2[[#This Row],[Employee Name]],'Base Schedules'!$A$113:$AW$158,34,FALSE)="","",VLOOKUP(Mon_W2[[#This Row],[Employee Name]],'Base Schedules'!$A$113:$AW$158,34,FALSE)),"")</f>
        <v/>
      </c>
      <c r="AJ10" s="184" t="str">
        <f>IFERROR(IF(VLOOKUP(Mon_W2[[#This Row],[Employee Name]],'Base Schedules'!$A$113:$AW$158,35,FALSE)="","",VLOOKUP(Mon_W2[[#This Row],[Employee Name]],'Base Schedules'!$A$113:$AW$158,35,FALSE)),"")</f>
        <v/>
      </c>
      <c r="AK10" s="184" t="str">
        <f>IFERROR(IF(VLOOKUP(Mon_W2[[#This Row],[Employee Name]],'Base Schedules'!$A$113:$AW$158,36,FALSE)="","",VLOOKUP(Mon_W2[[#This Row],[Employee Name]],'Base Schedules'!$A$113:$AW$158,36,FALSE)),"")</f>
        <v/>
      </c>
      <c r="AL10" s="184" t="str">
        <f>IFERROR(IF(VLOOKUP(Mon_W2[[#This Row],[Employee Name]],'Base Schedules'!$A$113:$AW$158,37,FALSE)="","",VLOOKUP(Mon_W2[[#This Row],[Employee Name]],'Base Schedules'!$A$113:$AW$158,37,FALSE)),"")</f>
        <v/>
      </c>
      <c r="AM10" s="184" t="str">
        <f>IFERROR(IF(VLOOKUP(Mon_W2[[#This Row],[Employee Name]],'Base Schedules'!$A$113:$AW$158,38,FALSE)="","",VLOOKUP(Mon_W2[[#This Row],[Employee Name]],'Base Schedules'!$A$113:$AW$158,38,FALSE)),"")</f>
        <v/>
      </c>
      <c r="AN10" s="184" t="str">
        <f>IFERROR(IF(VLOOKUP(Mon_W2[[#This Row],[Employee Name]],'Base Schedules'!$A$113:$AW$158,39,FALSE)="","",VLOOKUP(Mon_W2[[#This Row],[Employee Name]],'Base Schedules'!$A$113:$AW$158,39,FALSE)),"")</f>
        <v/>
      </c>
      <c r="AO10" s="184" t="str">
        <f>IFERROR(IF(VLOOKUP(Mon_W2[[#This Row],[Employee Name]],'Base Schedules'!$A$113:$AW$158,40,FALSE)="","",VLOOKUP(Mon_W2[[#This Row],[Employee Name]],'Base Schedules'!$A$113:$AW$158,40,FALSE)),"")</f>
        <v/>
      </c>
      <c r="AP10" s="184" t="str">
        <f>IFERROR(IF(VLOOKUP(Mon_W2[[#This Row],[Employee Name]],'Base Schedules'!$A$113:$AW$158,41,FALSE)="","",VLOOKUP(Mon_W2[[#This Row],[Employee Name]],'Base Schedules'!$A$113:$AW$158,41,FALSE)),"")</f>
        <v/>
      </c>
      <c r="AQ10" s="184" t="str">
        <f>IFERROR(IF(VLOOKUP(Mon_W2[[#This Row],[Employee Name]],'Base Schedules'!$A$113:$AW$158,42,FALSE)="","",VLOOKUP(Mon_W2[[#This Row],[Employee Name]],'Base Schedules'!$A$113:$AW$158,42,FALSE)),"")</f>
        <v/>
      </c>
      <c r="AR10" s="184" t="str">
        <f>IFERROR(IF(VLOOKUP(Mon_W2[[#This Row],[Employee Name]],'Base Schedules'!$A$113:$AW$158,43,FALSE)="","",VLOOKUP(Mon_W2[[#This Row],[Employee Name]],'Base Schedules'!$A$113:$AW$158,43,FALSE)),"")</f>
        <v/>
      </c>
      <c r="AS10" s="184" t="str">
        <f>IFERROR(IF(VLOOKUP(Mon_W2[[#This Row],[Employee Name]],'Base Schedules'!$A$113:$AW$158,44,FALSE)="","",VLOOKUP(Mon_W2[[#This Row],[Employee Name]],'Base Schedules'!$A$113:$AW$158,44,FALSE)),"")</f>
        <v/>
      </c>
      <c r="AT10" s="184" t="str">
        <f>IFERROR(IF(VLOOKUP(Mon_W2[[#This Row],[Employee Name]],'Base Schedules'!$A$113:$AW$158,45,FALSE)="","",VLOOKUP(Mon_W2[[#This Row],[Employee Name]],'Base Schedules'!$A$113:$AW$158,45,FALSE)),"")</f>
        <v/>
      </c>
      <c r="AU10" s="184" t="str">
        <f>IFERROR(IF(VLOOKUP(Mon_W2[[#This Row],[Employee Name]],'Base Schedules'!$A$113:$AW$158,46,FALSE)="","",VLOOKUP(Mon_W2[[#This Row],[Employee Name]],'Base Schedules'!$A$113:$AW$158,46,FALSE)),"")</f>
        <v/>
      </c>
      <c r="AV10" s="184" t="str">
        <f>IFERROR(IF(VLOOKUP(Mon_W2[[#This Row],[Employee Name]],'Base Schedules'!$A$113:$AW$158,47,FALSE)="","",VLOOKUP(Mon_W2[[#This Row],[Employee Name]],'Base Schedules'!$A$113:$AW$158,47,FALSE)),"")</f>
        <v/>
      </c>
      <c r="AW10" s="184" t="str">
        <f>IFERROR(IF(VLOOKUP(Mon_W2[[#This Row],[Employee Name]],'Base Schedules'!$A$113:$AW$158,48,FALSE)="","",VLOOKUP(Mon_W2[[#This Row],[Employee Name]],'Base Schedules'!$A$113:$AW$158,48,FALSE)),"")</f>
        <v/>
      </c>
      <c r="AX10" s="184" t="str">
        <f>IFERROR(IF(VLOOKUP(Mon_W2[[#This Row],[Employee Name]],'Base Schedules'!$A$113:$AW$158,49,FALSE)="","",VLOOKUP(Mon_W2[[#This Row],[Employee Name]],'Base Schedules'!$A$113:$AW$158,49,FALSE)),"")</f>
        <v/>
      </c>
      <c r="AY10" s="160" t="str">
        <f t="shared" si="2"/>
        <v>Alvarez, Carlos</v>
      </c>
    </row>
    <row r="11" spans="1:51" s="44" customFormat="1" ht="12" customHeight="1" x14ac:dyDescent="0.2">
      <c r="A11" s="39" t="str">
        <f>IF(B11="","",INDEX(TeamList[],MATCH($B11,TeamList[[Employee Name]:[Employee Name]],0),MATCH("Manager",TeamList[#Headers],0)))</f>
        <v>Paulson, Matthew</v>
      </c>
      <c r="B11" s="331" t="s">
        <v>46</v>
      </c>
      <c r="C11" s="257" t="str">
        <f>_xlfn.IFNA(VLOOKUP(Mon_W2[[#This Row],[Employee Name]],'Base Schedules'!A:B,2,FALSE),"")</f>
        <v>Supervisor</v>
      </c>
      <c r="D11" s="274">
        <f>_xlfn.IFNA(VLOOKUP(Mon_W2[[#This Row],[Employee Name]],'Base Schedules'!A:C,3,FALSE),"")</f>
        <v>500</v>
      </c>
      <c r="E11" s="274">
        <f>_xlfn.IFNA(VLOOKUP(Mon_W2[[#This Row],[Employee Name]],'Base Schedules'!A:D,4,FALSE),"")</f>
        <v>1400</v>
      </c>
      <c r="F11" s="142">
        <f>IF(Mon_W2[[#This Row],[Employee Name]]="","",IF(Mon_W2[[#This Row],[Dept]]="Supervisor",COUNTIFS($J11:$AX11,"*HL*",$J11:$AX11,"&lt;&gt;"&amp;"pHL"),COUNTIFS($J11:$AX11,"*HL*",$J11:$AX11,"&lt;&gt;"&amp;"*pHL*",$J11:$AX11,"&lt;&gt;"&amp;"pB1 HL",$J11:$AX11,"&lt;&gt;"&amp;"pB2 HL")-SUM(COUNTIFS($J11:$AX11,"*HL B1*",$J11:$AX11,"&lt;&gt;"&amp;"pHL B1")*0.5,COUNTIFS($J11:$AX11,"*HL B2*",$J11:$AX11,"&lt;&gt;"&amp;"pHL B2")*0.5,COUNTIFS($J11:$AX11,"*B1 HL*",$J11:$AX11,"&lt;&gt;"&amp;"pB1 HL")*0.5,COUNTIFS($J11:$AX11,"*B2 HL*",$J11:$AX11,"&lt;&gt;"&amp;"pB2 HL")*0.5)))</f>
        <v>0</v>
      </c>
      <c r="G11" s="142">
        <f t="shared" si="0"/>
        <v>0</v>
      </c>
      <c r="H11" s="142">
        <f t="shared" si="1"/>
        <v>0</v>
      </c>
      <c r="I11" s="142">
        <f>IF(Mon_W2[[#This Row],[Employee Name]]="","",IF(Mon_W2[[#This Row],[Dept]]="Supervisor",SUM(COUNTIFS($J11:$AX11,"RTA*",$J11:$AX11,"&lt;&gt;"&amp;"pRTA"),COUNTIFS($J11:$AX11,"*CRTA*",$J11:$AX11,"&lt;&gt;"&amp;"pCRTA")),COUNTIFS($J11:$AX11,"*RNNR*",$J11:$AX11,"&lt;&gt;"&amp;"*pRNNR*",$J11:$AX11,"&lt;&gt;"&amp;"pB1 RNNR",$J11:$AX11,"&lt;&gt;"&amp;"pB2 RNNR")-SUM(COUNTIFS($J11:$AX11,"*RNNR B1*",$J11:$AX11,"&lt;&gt;"&amp;"pRNNR B1")*0.5,COUNTIFS($J11:$AX11,"*RNNR B2*",$J11:$AX11,"&lt;&gt;"&amp;"pRNNR B2")*0.5,COUNTIFS($J11:$AX11,"*B1 RNNR*",$J11:$AX11,"&lt;&gt;"&amp;"pB1 RNNR")*0.5,COUNTIFS($J11:$AX11,"*B2 RNNR*",$J11:$AX11,"&lt;&gt;"&amp;"pB2 RNNR")*0.5)))</f>
        <v>0</v>
      </c>
      <c r="J11" s="184" t="str">
        <f>IFERROR(IF(VLOOKUP(Mon_W2[[#This Row],[Employee Name]],'Base Schedules'!$A$113:$AW$158,9,FALSE)="","",VLOOKUP(Mon_W2[[#This Row],[Employee Name]],'Base Schedules'!$A$113:$AW$158,9,FALSE)),"")</f>
        <v>-</v>
      </c>
      <c r="K11" s="184" t="str">
        <f>IFERROR(IF(VLOOKUP(Mon_W2[[#This Row],[Employee Name]],'Base Schedules'!$A$113:$AW$158,10,FALSE)="","",VLOOKUP(Mon_W2[[#This Row],[Employee Name]],'Base Schedules'!$A$113:$AW$158,10,FALSE)),"")</f>
        <v>-</v>
      </c>
      <c r="L11" s="184" t="str">
        <f>IFERROR(IF(VLOOKUP(Mon_W2[[#This Row],[Employee Name]],'Base Schedules'!$A$113:$AW$158,11,FALSE)="","",VLOOKUP(Mon_W2[[#This Row],[Employee Name]],'Base Schedules'!$A$113:$AW$158,11,FALSE)),"")</f>
        <v>-</v>
      </c>
      <c r="M11" s="184" t="str">
        <f>IFERROR(IF(VLOOKUP(Mon_W2[[#This Row],[Employee Name]],'Base Schedules'!$A$113:$AW$158,12,FALSE)="","",VLOOKUP(Mon_W2[[#This Row],[Employee Name]],'Base Schedules'!$A$113:$AW$158,12,FALSE)),"")</f>
        <v>-</v>
      </c>
      <c r="N11" s="184" t="str">
        <f>IFERROR(IF(VLOOKUP(Mon_W2[[#This Row],[Employee Name]],'Base Schedules'!$A$113:$AW$158,13,FALSE)="","",VLOOKUP(Mon_W2[[#This Row],[Employee Name]],'Base Schedules'!$A$113:$AW$158,13,FALSE)),"")</f>
        <v>-</v>
      </c>
      <c r="O11" s="184" t="str">
        <f>IFERROR(IF(VLOOKUP(Mon_W2[[#This Row],[Employee Name]],'Base Schedules'!$A$113:$AW$158,14,FALSE)="","",VLOOKUP(Mon_W2[[#This Row],[Employee Name]],'Base Schedules'!$A$113:$AW$158,14,FALSE)),"")</f>
        <v>-</v>
      </c>
      <c r="P11" s="184" t="str">
        <f>IFERROR(IF(VLOOKUP(Mon_W2[[#This Row],[Employee Name]],'Base Schedules'!$A$113:$AW$158,15,FALSE)="","",VLOOKUP(Mon_W2[[#This Row],[Employee Name]],'Base Schedules'!$A$113:$AW$158,15,FALSE)),"")</f>
        <v>Interview</v>
      </c>
      <c r="Q11" s="184" t="str">
        <f>IFERROR(IF(VLOOKUP(Mon_W2[[#This Row],[Employee Name]],'Base Schedules'!$A$113:$AW$158,16,FALSE)="","",VLOOKUP(Mon_W2[[#This Row],[Employee Name]],'Base Schedules'!$A$113:$AW$158,16,FALSE)),"")</f>
        <v>Interview</v>
      </c>
      <c r="R11" s="184" t="str">
        <f>IFERROR(IF(VLOOKUP(Mon_W2[[#This Row],[Employee Name]],'Base Schedules'!$A$113:$AW$158,17,FALSE)="","",VLOOKUP(Mon_W2[[#This Row],[Employee Name]],'Base Schedules'!$A$113:$AW$158,17,FALSE)),"")</f>
        <v>-</v>
      </c>
      <c r="S11" s="184" t="str">
        <f>IFERROR(IF(VLOOKUP(Mon_W2[[#This Row],[Employee Name]],'Base Schedules'!$A$113:$AW$158,18,FALSE)="","",VLOOKUP(Mon_W2[[#This Row],[Employee Name]],'Base Schedules'!$A$113:$AW$158,18,FALSE)),"")</f>
        <v>-</v>
      </c>
      <c r="T11" s="184" t="str">
        <f>IFERROR(IF(VLOOKUP(Mon_W2[[#This Row],[Employee Name]],'Base Schedules'!$A$113:$AW$158,19,FALSE)="","",VLOOKUP(Mon_W2[[#This Row],[Employee Name]],'Base Schedules'!$A$113:$AW$158,19,FALSE)),"")</f>
        <v>-</v>
      </c>
      <c r="U11" s="184" t="str">
        <f>IFERROR(IF(VLOOKUP(Mon_W2[[#This Row],[Employee Name]],'Base Schedules'!$A$113:$AW$158,20,FALSE)="","",VLOOKUP(Mon_W2[[#This Row],[Employee Name]],'Base Schedules'!$A$113:$AW$158,20,FALSE)),"")</f>
        <v>-</v>
      </c>
      <c r="V11" s="184" t="str">
        <f>IFERROR(IF(VLOOKUP(Mon_W2[[#This Row],[Employee Name]],'Base Schedules'!$A$113:$AW$158,21,FALSE)="","",VLOOKUP(Mon_W2[[#This Row],[Employee Name]],'Base Schedules'!$A$113:$AW$158,21,FALSE)),"")</f>
        <v>-</v>
      </c>
      <c r="W11" s="184" t="str">
        <f>IFERROR(IF(VLOOKUP(Mon_W2[[#This Row],[Employee Name]],'Base Schedules'!$A$113:$AW$158,22,FALSE)="","",VLOOKUP(Mon_W2[[#This Row],[Employee Name]],'Base Schedules'!$A$113:$AW$158,22,FALSE)),"")</f>
        <v>-</v>
      </c>
      <c r="X11" s="184" t="str">
        <f>IFERROR(IF(VLOOKUP(Mon_W2[[#This Row],[Employee Name]],'Base Schedules'!$A$113:$AW$158,23,FALSE)="","",VLOOKUP(Mon_W2[[#This Row],[Employee Name]],'Base Schedules'!$A$113:$AW$158,23,FALSE)),"")</f>
        <v>-</v>
      </c>
      <c r="Y11" s="184" t="str">
        <f>IFERROR(IF(VLOOKUP(Mon_W2[[#This Row],[Employee Name]],'Base Schedules'!$A$113:$AW$158,24,FALSE)="","",VLOOKUP(Mon_W2[[#This Row],[Employee Name]],'Base Schedules'!$A$113:$AW$158,24,FALSE)),"")</f>
        <v>-</v>
      </c>
      <c r="Z11" s="184" t="str">
        <f>IFERROR(IF(VLOOKUP(Mon_W2[[#This Row],[Employee Name]],'Base Schedules'!$A$113:$AW$158,25,FALSE)="","",VLOOKUP(Mon_W2[[#This Row],[Employee Name]],'Base Schedules'!$A$113:$AW$158,25,FALSE)),"")</f>
        <v>Team Matt TM</v>
      </c>
      <c r="AA11" s="184" t="str">
        <f>IFERROR(IF(VLOOKUP(Mon_W2[[#This Row],[Employee Name]],'Base Schedules'!$A$113:$AW$158,26,FALSE)="","",VLOOKUP(Mon_W2[[#This Row],[Employee Name]],'Base Schedules'!$A$113:$AW$158,26,FALSE)),"")</f>
        <v>Team Matt TM</v>
      </c>
      <c r="AB11" s="184" t="str">
        <f>IFERROR(IF(VLOOKUP(Mon_W2[[#This Row],[Employee Name]],'Base Schedules'!$A$113:$AW$158,27,FALSE)="","",VLOOKUP(Mon_W2[[#This Row],[Employee Name]],'Base Schedules'!$A$113:$AW$158,27,FALSE)),"")</f>
        <v/>
      </c>
      <c r="AC11" s="184" t="str">
        <f>IFERROR(IF(VLOOKUP(Mon_W2[[#This Row],[Employee Name]],'Base Schedules'!$A$113:$AW$158,28,FALSE)="","",VLOOKUP(Mon_W2[[#This Row],[Employee Name]],'Base Schedules'!$A$113:$AW$158,28,FALSE)),"")</f>
        <v/>
      </c>
      <c r="AD11" s="184" t="str">
        <f>IFERROR(IF(VLOOKUP(Mon_W2[[#This Row],[Employee Name]],'Base Schedules'!$A$113:$AW$158,29,FALSE)="","",VLOOKUP(Mon_W2[[#This Row],[Employee Name]],'Base Schedules'!$A$113:$AW$158,29,FALSE)),"")</f>
        <v/>
      </c>
      <c r="AE11" s="184" t="str">
        <f>IFERROR(IF(VLOOKUP(Mon_W2[[#This Row],[Employee Name]],'Base Schedules'!$A$113:$AW$158,30,FALSE)="","",VLOOKUP(Mon_W2[[#This Row],[Employee Name]],'Base Schedules'!$A$113:$AW$158,30,FALSE)),"")</f>
        <v/>
      </c>
      <c r="AF11" s="184" t="str">
        <f>IFERROR(IF(VLOOKUP(Mon_W2[[#This Row],[Employee Name]],'Base Schedules'!$A$113:$AW$158,31,FALSE)="","",VLOOKUP(Mon_W2[[#This Row],[Employee Name]],'Base Schedules'!$A$113:$AW$158,31,FALSE)),"")</f>
        <v/>
      </c>
      <c r="AG11" s="184" t="str">
        <f>IFERROR(IF(VLOOKUP(Mon_W2[[#This Row],[Employee Name]],'Base Schedules'!$A$113:$AW$158,32,FALSE)="","",VLOOKUP(Mon_W2[[#This Row],[Employee Name]],'Base Schedules'!$A$113:$AW$158,32,FALSE)),"")</f>
        <v/>
      </c>
      <c r="AH11" s="184" t="str">
        <f>IFERROR(IF(VLOOKUP(Mon_W2[[#This Row],[Employee Name]],'Base Schedules'!$A$113:$AW$158,33,FALSE)="","",VLOOKUP(Mon_W2[[#This Row],[Employee Name]],'Base Schedules'!$A$113:$AW$158,33,FALSE)),"")</f>
        <v/>
      </c>
      <c r="AI11" s="184" t="str">
        <f>IFERROR(IF(VLOOKUP(Mon_W2[[#This Row],[Employee Name]],'Base Schedules'!$A$113:$AW$158,34,FALSE)="","",VLOOKUP(Mon_W2[[#This Row],[Employee Name]],'Base Schedules'!$A$113:$AW$158,34,FALSE)),"")</f>
        <v/>
      </c>
      <c r="AJ11" s="184" t="str">
        <f>IFERROR(IF(VLOOKUP(Mon_W2[[#This Row],[Employee Name]],'Base Schedules'!$A$113:$AW$158,35,FALSE)="","",VLOOKUP(Mon_W2[[#This Row],[Employee Name]],'Base Schedules'!$A$113:$AW$158,35,FALSE)),"")</f>
        <v/>
      </c>
      <c r="AK11" s="184" t="str">
        <f>IFERROR(IF(VLOOKUP(Mon_W2[[#This Row],[Employee Name]],'Base Schedules'!$A$113:$AW$158,36,FALSE)="","",VLOOKUP(Mon_W2[[#This Row],[Employee Name]],'Base Schedules'!$A$113:$AW$158,36,FALSE)),"")</f>
        <v/>
      </c>
      <c r="AL11" s="184" t="str">
        <f>IFERROR(IF(VLOOKUP(Mon_W2[[#This Row],[Employee Name]],'Base Schedules'!$A$113:$AW$158,37,FALSE)="","",VLOOKUP(Mon_W2[[#This Row],[Employee Name]],'Base Schedules'!$A$113:$AW$158,37,FALSE)),"")</f>
        <v/>
      </c>
      <c r="AM11" s="184" t="str">
        <f>IFERROR(IF(VLOOKUP(Mon_W2[[#This Row],[Employee Name]],'Base Schedules'!$A$113:$AW$158,38,FALSE)="","",VLOOKUP(Mon_W2[[#This Row],[Employee Name]],'Base Schedules'!$A$113:$AW$158,38,FALSE)),"")</f>
        <v/>
      </c>
      <c r="AN11" s="184" t="str">
        <f>IFERROR(IF(VLOOKUP(Mon_W2[[#This Row],[Employee Name]],'Base Schedules'!$A$113:$AW$158,39,FALSE)="","",VLOOKUP(Mon_W2[[#This Row],[Employee Name]],'Base Schedules'!$A$113:$AW$158,39,FALSE)),"")</f>
        <v/>
      </c>
      <c r="AO11" s="184" t="str">
        <f>IFERROR(IF(VLOOKUP(Mon_W2[[#This Row],[Employee Name]],'Base Schedules'!$A$113:$AW$158,40,FALSE)="","",VLOOKUP(Mon_W2[[#This Row],[Employee Name]],'Base Schedules'!$A$113:$AW$158,40,FALSE)),"")</f>
        <v/>
      </c>
      <c r="AP11" s="184" t="str">
        <f>IFERROR(IF(VLOOKUP(Mon_W2[[#This Row],[Employee Name]],'Base Schedules'!$A$113:$AW$158,41,FALSE)="","",VLOOKUP(Mon_W2[[#This Row],[Employee Name]],'Base Schedules'!$A$113:$AW$158,41,FALSE)),"")</f>
        <v/>
      </c>
      <c r="AQ11" s="184" t="str">
        <f>IFERROR(IF(VLOOKUP(Mon_W2[[#This Row],[Employee Name]],'Base Schedules'!$A$113:$AW$158,42,FALSE)="","",VLOOKUP(Mon_W2[[#This Row],[Employee Name]],'Base Schedules'!$A$113:$AW$158,42,FALSE)),"")</f>
        <v/>
      </c>
      <c r="AR11" s="184" t="str">
        <f>IFERROR(IF(VLOOKUP(Mon_W2[[#This Row],[Employee Name]],'Base Schedules'!$A$113:$AW$158,43,FALSE)="","",VLOOKUP(Mon_W2[[#This Row],[Employee Name]],'Base Schedules'!$A$113:$AW$158,43,FALSE)),"")</f>
        <v/>
      </c>
      <c r="AS11" s="184" t="str">
        <f>IFERROR(IF(VLOOKUP(Mon_W2[[#This Row],[Employee Name]],'Base Schedules'!$A$113:$AW$158,44,FALSE)="","",VLOOKUP(Mon_W2[[#This Row],[Employee Name]],'Base Schedules'!$A$113:$AW$158,44,FALSE)),"")</f>
        <v/>
      </c>
      <c r="AT11" s="184" t="str">
        <f>IFERROR(IF(VLOOKUP(Mon_W2[[#This Row],[Employee Name]],'Base Schedules'!$A$113:$AW$158,45,FALSE)="","",VLOOKUP(Mon_W2[[#This Row],[Employee Name]],'Base Schedules'!$A$113:$AW$158,45,FALSE)),"")</f>
        <v/>
      </c>
      <c r="AU11" s="184" t="str">
        <f>IFERROR(IF(VLOOKUP(Mon_W2[[#This Row],[Employee Name]],'Base Schedules'!$A$113:$AW$158,46,FALSE)="","",VLOOKUP(Mon_W2[[#This Row],[Employee Name]],'Base Schedules'!$A$113:$AW$158,46,FALSE)),"")</f>
        <v/>
      </c>
      <c r="AV11" s="184" t="str">
        <f>IFERROR(IF(VLOOKUP(Mon_W2[[#This Row],[Employee Name]],'Base Schedules'!$A$113:$AW$158,47,FALSE)="","",VLOOKUP(Mon_W2[[#This Row],[Employee Name]],'Base Schedules'!$A$113:$AW$158,47,FALSE)),"")</f>
        <v/>
      </c>
      <c r="AW11" s="184" t="str">
        <f>IFERROR(IF(VLOOKUP(Mon_W2[[#This Row],[Employee Name]],'Base Schedules'!$A$113:$AW$158,48,FALSE)="","",VLOOKUP(Mon_W2[[#This Row],[Employee Name]],'Base Schedules'!$A$113:$AW$158,48,FALSE)),"")</f>
        <v/>
      </c>
      <c r="AX11" s="184" t="str">
        <f>IFERROR(IF(VLOOKUP(Mon_W2[[#This Row],[Employee Name]],'Base Schedules'!$A$113:$AW$158,49,FALSE)="","",VLOOKUP(Mon_W2[[#This Row],[Employee Name]],'Base Schedules'!$A$113:$AW$158,49,FALSE)),"")</f>
        <v/>
      </c>
      <c r="AY11" s="159" t="str">
        <f t="shared" si="2"/>
        <v>Senft, Thomas</v>
      </c>
    </row>
    <row r="12" spans="1:51" s="44" customFormat="1" ht="12" customHeight="1" x14ac:dyDescent="0.2">
      <c r="A12" s="39" t="str">
        <f>IF(B12="","",INDEX(TeamList[],MATCH($B12,TeamList[[Employee Name]:[Employee Name]],0),MATCH("Manager",TeamList[#Headers],0)))</f>
        <v>Olson, Katherine</v>
      </c>
      <c r="B12" s="201" t="s">
        <v>44</v>
      </c>
      <c r="C12" s="257" t="str">
        <f>_xlfn.IFNA(VLOOKUP(Mon_W2[[#This Row],[Employee Name]],'Base Schedules'!A:B,2,FALSE),"")</f>
        <v>Lead</v>
      </c>
      <c r="D12" s="274">
        <f>_xlfn.IFNA(VLOOKUP(Mon_W2[[#This Row],[Employee Name]],'Base Schedules'!A:C,3,FALSE),"")</f>
        <v>530</v>
      </c>
      <c r="E12" s="274">
        <f>_xlfn.IFNA(VLOOKUP(Mon_W2[[#This Row],[Employee Name]],'Base Schedules'!A:D,4,FALSE),"")</f>
        <v>1400</v>
      </c>
      <c r="F12" s="142">
        <f>IF(Mon_W2[[#This Row],[Employee Name]]="","",IF(Mon_W2[[#This Row],[Dept]]="Supervisor",COUNTIFS($J12:$AX12,"*HL*",$J12:$AX12,"&lt;&gt;"&amp;"pHL"),COUNTIFS($J12:$AX12,"*HL*",$J12:$AX12,"&lt;&gt;"&amp;"*pHL*",$J12:$AX12,"&lt;&gt;"&amp;"pB1 HL",$J12:$AX12,"&lt;&gt;"&amp;"pB2 HL")-SUM(COUNTIFS($J12:$AX12,"*HL B1*",$J12:$AX12,"&lt;&gt;"&amp;"pHL B1")*0.5,COUNTIFS($J12:$AX12,"*HL B2*",$J12:$AX12,"&lt;&gt;"&amp;"pHL B2")*0.5,COUNTIFS($J12:$AX12,"*B1 HL*",$J12:$AX12,"&lt;&gt;"&amp;"pB1 HL")*0.5,COUNTIFS($J12:$AX12,"*B2 HL*",$J12:$AX12,"&lt;&gt;"&amp;"pB2 HL")*0.5)))</f>
        <v>6.5</v>
      </c>
      <c r="G12" s="142">
        <f t="shared" si="0"/>
        <v>0</v>
      </c>
      <c r="H12" s="142">
        <f t="shared" si="1"/>
        <v>7</v>
      </c>
      <c r="I12" s="142">
        <f>IF(Mon_W2[[#This Row],[Employee Name]]="","",IF(Mon_W2[[#This Row],[Dept]]="Supervisor",SUM(COUNTIFS($J12:$AX12,"RTA*",$J12:$AX12,"&lt;&gt;"&amp;"pRTA"),COUNTIFS($J12:$AX12,"*CRTA*",$J12:$AX12,"&lt;&gt;"&amp;"pCRTA")),COUNTIFS($J12:$AX12,"*RNNR*",$J12:$AX12,"&lt;&gt;"&amp;"*pRNNR*",$J12:$AX12,"&lt;&gt;"&amp;"pB1 RNNR",$J12:$AX12,"&lt;&gt;"&amp;"pB2 RNNR")-SUM(COUNTIFS($J12:$AX12,"*RNNR B1*",$J12:$AX12,"&lt;&gt;"&amp;"pRNNR B1")*0.5,COUNTIFS($J12:$AX12,"*RNNR B2*",$J12:$AX12,"&lt;&gt;"&amp;"pRNNR B2")*0.5,COUNTIFS($J12:$AX12,"*B1 RNNR*",$J12:$AX12,"&lt;&gt;"&amp;"pB1 RNNR")*0.5,COUNTIFS($J12:$AX12,"*B2 RNNR*",$J12:$AX12,"&lt;&gt;"&amp;"pB2 RNNR")*0.5)))</f>
        <v>2</v>
      </c>
      <c r="J12" s="184" t="str">
        <f>IFERROR(IF(VLOOKUP(Mon_W2[[#This Row],[Employee Name]],'Base Schedules'!$A$113:$AW$158,9,FALSE)="","",VLOOKUP(Mon_W2[[#This Row],[Employee Name]],'Base Schedules'!$A$113:$AW$158,9,FALSE)),"")</f>
        <v/>
      </c>
      <c r="K12" s="184" t="str">
        <f>IFERROR(IF(VLOOKUP(Mon_W2[[#This Row],[Employee Name]],'Base Schedules'!$A$113:$AW$158,10,FALSE)="","",VLOOKUP(Mon_W2[[#This Row],[Employee Name]],'Base Schedules'!$A$113:$AW$158,10,FALSE)),"")</f>
        <v>ADM</v>
      </c>
      <c r="L12" s="184" t="str">
        <f>IFERROR(IF(VLOOKUP(Mon_W2[[#This Row],[Employee Name]],'Base Schedules'!$A$113:$AW$158,11,FALSE)="","",VLOOKUP(Mon_W2[[#This Row],[Employee Name]],'Base Schedules'!$A$113:$AW$158,11,FALSE)),"")</f>
        <v>ADM</v>
      </c>
      <c r="M12" s="184" t="str">
        <f>IFERROR(IF(VLOOKUP(Mon_W2[[#This Row],[Employee Name]],'Base Schedules'!$A$113:$AW$158,12,FALSE)="","",VLOOKUP(Mon_W2[[#This Row],[Employee Name]],'Base Schedules'!$A$113:$AW$158,12,FALSE)),"")</f>
        <v>ADM</v>
      </c>
      <c r="N12" s="184" t="str">
        <f>IFERROR(IF(VLOOKUP(Mon_W2[[#This Row],[Employee Name]],'Base Schedules'!$A$113:$AW$158,13,FALSE)="","",VLOOKUP(Mon_W2[[#This Row],[Employee Name]],'Base Schedules'!$A$113:$AW$158,13,FALSE)),"")</f>
        <v>ADM</v>
      </c>
      <c r="O12" s="184" t="str">
        <f>IFERROR(IF(VLOOKUP(Mon_W2[[#This Row],[Employee Name]],'Base Schedules'!$A$113:$AW$158,14,FALSE)="","",VLOOKUP(Mon_W2[[#This Row],[Employee Name]],'Base Schedules'!$A$113:$AW$158,14,FALSE)),"")</f>
        <v>B1 HL</v>
      </c>
      <c r="P12" s="184" t="str">
        <f>IFERROR(IF(VLOOKUP(Mon_W2[[#This Row],[Employee Name]],'Base Schedules'!$A$113:$AW$158,15,FALSE)="","",VLOOKUP(Mon_W2[[#This Row],[Employee Name]],'Base Schedules'!$A$113:$AW$158,15,FALSE)),"")</f>
        <v>HL</v>
      </c>
      <c r="Q12" s="184" t="str">
        <f>IFERROR(IF(VLOOKUP(Mon_W2[[#This Row],[Employee Name]],'Base Schedules'!$A$113:$AW$158,16,FALSE)="","",VLOOKUP(Mon_W2[[#This Row],[Employee Name]],'Base Schedules'!$A$113:$AW$158,16,FALSE)),"")</f>
        <v>HL</v>
      </c>
      <c r="R12" s="184" t="str">
        <f>IFERROR(IF(VLOOKUP(Mon_W2[[#This Row],[Employee Name]],'Base Schedules'!$A$113:$AW$158,17,FALSE)="","",VLOOKUP(Mon_W2[[#This Row],[Employee Name]],'Base Schedules'!$A$113:$AW$158,17,FALSE)),"")</f>
        <v>HL</v>
      </c>
      <c r="S12" s="184" t="str">
        <f>IFERROR(IF(VLOOKUP(Mon_W2[[#This Row],[Employee Name]],'Base Schedules'!$A$113:$AW$158,18,FALSE)="","",VLOOKUP(Mon_W2[[#This Row],[Employee Name]],'Base Schedules'!$A$113:$AW$158,18,FALSE)),"")</f>
        <v>LUNCH</v>
      </c>
      <c r="T12" s="184" t="str">
        <f>IFERROR(IF(VLOOKUP(Mon_W2[[#This Row],[Employee Name]],'Base Schedules'!$A$113:$AW$158,19,FALSE)="","",VLOOKUP(Mon_W2[[#This Row],[Employee Name]],'Base Schedules'!$A$113:$AW$158,19,FALSE)),"")</f>
        <v>RNNR</v>
      </c>
      <c r="U12" s="184" t="str">
        <f>IFERROR(IF(VLOOKUP(Mon_W2[[#This Row],[Employee Name]],'Base Schedules'!$A$113:$AW$158,20,FALSE)="","",VLOOKUP(Mon_W2[[#This Row],[Employee Name]],'Base Schedules'!$A$113:$AW$158,20,FALSE)),"")</f>
        <v>RNNR</v>
      </c>
      <c r="V12" s="184" t="str">
        <f>IFERROR(IF(VLOOKUP(Mon_W2[[#This Row],[Employee Name]],'Base Schedules'!$A$113:$AW$158,21,FALSE)="","",VLOOKUP(Mon_W2[[#This Row],[Employee Name]],'Base Schedules'!$A$113:$AW$158,21,FALSE)),"")</f>
        <v>ADM</v>
      </c>
      <c r="W12" s="184" t="str">
        <f>IFERROR(IF(VLOOKUP(Mon_W2[[#This Row],[Employee Name]],'Base Schedules'!$A$113:$AW$158,22,FALSE)="","",VLOOKUP(Mon_W2[[#This Row],[Employee Name]],'Base Schedules'!$A$113:$AW$158,22,FALSE)),"")</f>
        <v>ADM B2</v>
      </c>
      <c r="X12" s="184" t="str">
        <f>IFERROR(IF(VLOOKUP(Mon_W2[[#This Row],[Employee Name]],'Base Schedules'!$A$113:$AW$158,23,FALSE)="","",VLOOKUP(Mon_W2[[#This Row],[Employee Name]],'Base Schedules'!$A$113:$AW$158,23,FALSE)),"")</f>
        <v>ADM</v>
      </c>
      <c r="Y12" s="184" t="str">
        <f>IFERROR(IF(VLOOKUP(Mon_W2[[#This Row],[Employee Name]],'Base Schedules'!$A$113:$AW$158,24,FALSE)="","",VLOOKUP(Mon_W2[[#This Row],[Employee Name]],'Base Schedules'!$A$113:$AW$158,24,FALSE)),"")</f>
        <v>HL</v>
      </c>
      <c r="Z12" s="184" t="str">
        <f>IFERROR(IF(VLOOKUP(Mon_W2[[#This Row],[Employee Name]],'Base Schedules'!$A$113:$AW$158,25,FALSE)="","",VLOOKUP(Mon_W2[[#This Row],[Employee Name]],'Base Schedules'!$A$113:$AW$158,25,FALSE)),"")</f>
        <v>HL</v>
      </c>
      <c r="AA12" s="184" t="str">
        <f>IFERROR(IF(VLOOKUP(Mon_W2[[#This Row],[Employee Name]],'Base Schedules'!$A$113:$AW$158,26,FALSE)="","",VLOOKUP(Mon_W2[[#This Row],[Employee Name]],'Base Schedules'!$A$113:$AW$158,26,FALSE)),"")</f>
        <v>HL</v>
      </c>
      <c r="AB12" s="184" t="str">
        <f>IFERROR(IF(VLOOKUP(Mon_W2[[#This Row],[Employee Name]],'Base Schedules'!$A$113:$AW$158,27,FALSE)="","",VLOOKUP(Mon_W2[[#This Row],[Employee Name]],'Base Schedules'!$A$113:$AW$158,27,FALSE)),"")</f>
        <v/>
      </c>
      <c r="AC12" s="184" t="str">
        <f>IFERROR(IF(VLOOKUP(Mon_W2[[#This Row],[Employee Name]],'Base Schedules'!$A$113:$AW$158,28,FALSE)="","",VLOOKUP(Mon_W2[[#This Row],[Employee Name]],'Base Schedules'!$A$113:$AW$158,28,FALSE)),"")</f>
        <v/>
      </c>
      <c r="AD12" s="184" t="str">
        <f>IFERROR(IF(VLOOKUP(Mon_W2[[#This Row],[Employee Name]],'Base Schedules'!$A$113:$AW$158,29,FALSE)="","",VLOOKUP(Mon_W2[[#This Row],[Employee Name]],'Base Schedules'!$A$113:$AW$158,29,FALSE)),"")</f>
        <v/>
      </c>
      <c r="AE12" s="184" t="str">
        <f>IFERROR(IF(VLOOKUP(Mon_W2[[#This Row],[Employee Name]],'Base Schedules'!$A$113:$AW$158,30,FALSE)="","",VLOOKUP(Mon_W2[[#This Row],[Employee Name]],'Base Schedules'!$A$113:$AW$158,30,FALSE)),"")</f>
        <v/>
      </c>
      <c r="AF12" s="184" t="str">
        <f>IFERROR(IF(VLOOKUP(Mon_W2[[#This Row],[Employee Name]],'Base Schedules'!$A$113:$AW$158,31,FALSE)="","",VLOOKUP(Mon_W2[[#This Row],[Employee Name]],'Base Schedules'!$A$113:$AW$158,31,FALSE)),"")</f>
        <v/>
      </c>
      <c r="AG12" s="184" t="str">
        <f>IFERROR(IF(VLOOKUP(Mon_W2[[#This Row],[Employee Name]],'Base Schedules'!$A$113:$AW$158,32,FALSE)="","",VLOOKUP(Mon_W2[[#This Row],[Employee Name]],'Base Schedules'!$A$113:$AW$158,32,FALSE)),"")</f>
        <v/>
      </c>
      <c r="AH12" s="184" t="str">
        <f>IFERROR(IF(VLOOKUP(Mon_W2[[#This Row],[Employee Name]],'Base Schedules'!$A$113:$AW$158,33,FALSE)="","",VLOOKUP(Mon_W2[[#This Row],[Employee Name]],'Base Schedules'!$A$113:$AW$158,33,FALSE)),"")</f>
        <v/>
      </c>
      <c r="AI12" s="184" t="str">
        <f>IFERROR(IF(VLOOKUP(Mon_W2[[#This Row],[Employee Name]],'Base Schedules'!$A$113:$AW$158,34,FALSE)="","",VLOOKUP(Mon_W2[[#This Row],[Employee Name]],'Base Schedules'!$A$113:$AW$158,34,FALSE)),"")</f>
        <v/>
      </c>
      <c r="AJ12" s="184" t="str">
        <f>IFERROR(IF(VLOOKUP(Mon_W2[[#This Row],[Employee Name]],'Base Schedules'!$A$113:$AW$158,35,FALSE)="","",VLOOKUP(Mon_W2[[#This Row],[Employee Name]],'Base Schedules'!$A$113:$AW$158,35,FALSE)),"")</f>
        <v/>
      </c>
      <c r="AK12" s="184" t="str">
        <f>IFERROR(IF(VLOOKUP(Mon_W2[[#This Row],[Employee Name]],'Base Schedules'!$A$113:$AW$158,36,FALSE)="","",VLOOKUP(Mon_W2[[#This Row],[Employee Name]],'Base Schedules'!$A$113:$AW$158,36,FALSE)),"")</f>
        <v/>
      </c>
      <c r="AL12" s="184" t="str">
        <f>IFERROR(IF(VLOOKUP(Mon_W2[[#This Row],[Employee Name]],'Base Schedules'!$A$113:$AW$158,37,FALSE)="","",VLOOKUP(Mon_W2[[#This Row],[Employee Name]],'Base Schedules'!$A$113:$AW$158,37,FALSE)),"")</f>
        <v/>
      </c>
      <c r="AM12" s="184" t="str">
        <f>IFERROR(IF(VLOOKUP(Mon_W2[[#This Row],[Employee Name]],'Base Schedules'!$A$113:$AW$158,38,FALSE)="","",VLOOKUP(Mon_W2[[#This Row],[Employee Name]],'Base Schedules'!$A$113:$AW$158,38,FALSE)),"")</f>
        <v/>
      </c>
      <c r="AN12" s="184" t="str">
        <f>IFERROR(IF(VLOOKUP(Mon_W2[[#This Row],[Employee Name]],'Base Schedules'!$A$113:$AW$158,39,FALSE)="","",VLOOKUP(Mon_W2[[#This Row],[Employee Name]],'Base Schedules'!$A$113:$AW$158,39,FALSE)),"")</f>
        <v/>
      </c>
      <c r="AO12" s="184" t="str">
        <f>IFERROR(IF(VLOOKUP(Mon_W2[[#This Row],[Employee Name]],'Base Schedules'!$A$113:$AW$158,40,FALSE)="","",VLOOKUP(Mon_W2[[#This Row],[Employee Name]],'Base Schedules'!$A$113:$AW$158,40,FALSE)),"")</f>
        <v/>
      </c>
      <c r="AP12" s="184" t="str">
        <f>IFERROR(IF(VLOOKUP(Mon_W2[[#This Row],[Employee Name]],'Base Schedules'!$A$113:$AW$158,41,FALSE)="","",VLOOKUP(Mon_W2[[#This Row],[Employee Name]],'Base Schedules'!$A$113:$AW$158,41,FALSE)),"")</f>
        <v/>
      </c>
      <c r="AQ12" s="184" t="str">
        <f>IFERROR(IF(VLOOKUP(Mon_W2[[#This Row],[Employee Name]],'Base Schedules'!$A$113:$AW$158,42,FALSE)="","",VLOOKUP(Mon_W2[[#This Row],[Employee Name]],'Base Schedules'!$A$113:$AW$158,42,FALSE)),"")</f>
        <v/>
      </c>
      <c r="AR12" s="184" t="str">
        <f>IFERROR(IF(VLOOKUP(Mon_W2[[#This Row],[Employee Name]],'Base Schedules'!$A$113:$AW$158,43,FALSE)="","",VLOOKUP(Mon_W2[[#This Row],[Employee Name]],'Base Schedules'!$A$113:$AW$158,43,FALSE)),"")</f>
        <v/>
      </c>
      <c r="AS12" s="184" t="str">
        <f>IFERROR(IF(VLOOKUP(Mon_W2[[#This Row],[Employee Name]],'Base Schedules'!$A$113:$AW$158,44,FALSE)="","",VLOOKUP(Mon_W2[[#This Row],[Employee Name]],'Base Schedules'!$A$113:$AW$158,44,FALSE)),"")</f>
        <v/>
      </c>
      <c r="AT12" s="184" t="str">
        <f>IFERROR(IF(VLOOKUP(Mon_W2[[#This Row],[Employee Name]],'Base Schedules'!$A$113:$AW$158,45,FALSE)="","",VLOOKUP(Mon_W2[[#This Row],[Employee Name]],'Base Schedules'!$A$113:$AW$158,45,FALSE)),"")</f>
        <v/>
      </c>
      <c r="AU12" s="184" t="str">
        <f>IFERROR(IF(VLOOKUP(Mon_W2[[#This Row],[Employee Name]],'Base Schedules'!$A$113:$AW$158,46,FALSE)="","",VLOOKUP(Mon_W2[[#This Row],[Employee Name]],'Base Schedules'!$A$113:$AW$158,46,FALSE)),"")</f>
        <v/>
      </c>
      <c r="AV12" s="184" t="str">
        <f>IFERROR(IF(VLOOKUP(Mon_W2[[#This Row],[Employee Name]],'Base Schedules'!$A$113:$AW$158,47,FALSE)="","",VLOOKUP(Mon_W2[[#This Row],[Employee Name]],'Base Schedules'!$A$113:$AW$158,47,FALSE)),"")</f>
        <v/>
      </c>
      <c r="AW12" s="184" t="str">
        <f>IFERROR(IF(VLOOKUP(Mon_W2[[#This Row],[Employee Name]],'Base Schedules'!$A$113:$AW$158,48,FALSE)="","",VLOOKUP(Mon_W2[[#This Row],[Employee Name]],'Base Schedules'!$A$113:$AW$158,48,FALSE)),"")</f>
        <v/>
      </c>
      <c r="AX12" s="184" t="str">
        <f>IFERROR(IF(VLOOKUP(Mon_W2[[#This Row],[Employee Name]],'Base Schedules'!$A$113:$AW$158,49,FALSE)="","",VLOOKUP(Mon_W2[[#This Row],[Employee Name]],'Base Schedules'!$A$113:$AW$158,49,FALSE)),"")</f>
        <v/>
      </c>
      <c r="AY12" s="160" t="str">
        <f t="shared" si="2"/>
        <v>Albritton, Ahmed</v>
      </c>
    </row>
    <row r="13" spans="1:51" s="44" customFormat="1" ht="12" customHeight="1" x14ac:dyDescent="0.2">
      <c r="A13" s="39" t="str">
        <f>IF(B13="","",INDEX(TeamList[],MATCH($B13,TeamList[[Employee Name]:[Employee Name]],0),MATCH("Manager",TeamList[#Headers],0)))</f>
        <v>Olson, Katherine</v>
      </c>
      <c r="B13" s="201" t="s">
        <v>230</v>
      </c>
      <c r="C13" s="257" t="str">
        <f>_xlfn.IFNA(VLOOKUP(Mon_W2[[#This Row],[Employee Name]],'Base Schedules'!A:B,2,FALSE),"")</f>
        <v>Lead</v>
      </c>
      <c r="D13" s="274">
        <f>_xlfn.IFNA(VLOOKUP(Mon_W2[[#This Row],[Employee Name]],'Base Schedules'!A:C,3,FALSE),"")</f>
        <v>530</v>
      </c>
      <c r="E13" s="274">
        <f>_xlfn.IFNA(VLOOKUP(Mon_W2[[#This Row],[Employee Name]],'Base Schedules'!A:D,4,FALSE),"")</f>
        <v>1430</v>
      </c>
      <c r="F13" s="142">
        <f>IF(Mon_W2[[#This Row],[Employee Name]]="","",IF(Mon_W2[[#This Row],[Dept]]="Supervisor",COUNTIFS($J13:$AX13,"*HL*",$J13:$AX13,"&lt;&gt;"&amp;"pHL"),COUNTIFS($J13:$AX13,"*HL*",$J13:$AX13,"&lt;&gt;"&amp;"*pHL*",$J13:$AX13,"&lt;&gt;"&amp;"pB1 HL",$J13:$AX13,"&lt;&gt;"&amp;"pB2 HL")-SUM(COUNTIFS($J13:$AX13,"*HL B1*",$J13:$AX13,"&lt;&gt;"&amp;"pHL B1")*0.5,COUNTIFS($J13:$AX13,"*HL B2*",$J13:$AX13,"&lt;&gt;"&amp;"pHL B2")*0.5,COUNTIFS($J13:$AX13,"*B1 HL*",$J13:$AX13,"&lt;&gt;"&amp;"pB1 HL")*0.5,COUNTIFS($J13:$AX13,"*B2 HL*",$J13:$AX13,"&lt;&gt;"&amp;"pB2 HL")*0.5)))</f>
        <v>7</v>
      </c>
      <c r="G13" s="142">
        <f t="shared" si="0"/>
        <v>0</v>
      </c>
      <c r="H13" s="142">
        <f t="shared" si="1"/>
        <v>6</v>
      </c>
      <c r="I13" s="142">
        <f>IF(Mon_W2[[#This Row],[Employee Name]]="","",IF(Mon_W2[[#This Row],[Dept]]="Supervisor",SUM(COUNTIFS($J13:$AX13,"RTA*",$J13:$AX13,"&lt;&gt;"&amp;"pRTA"),COUNTIFS($J13:$AX13,"*CRTA*",$J13:$AX13,"&lt;&gt;"&amp;"pCRTA")),COUNTIFS($J13:$AX13,"*RNNR*",$J13:$AX13,"&lt;&gt;"&amp;"*pRNNR*",$J13:$AX13,"&lt;&gt;"&amp;"pB1 RNNR",$J13:$AX13,"&lt;&gt;"&amp;"pB2 RNNR")-SUM(COUNTIFS($J13:$AX13,"*RNNR B1*",$J13:$AX13,"&lt;&gt;"&amp;"pRNNR B1")*0.5,COUNTIFS($J13:$AX13,"*RNNR B2*",$J13:$AX13,"&lt;&gt;"&amp;"pRNNR B2")*0.5,COUNTIFS($J13:$AX13,"*B1 RNNR*",$J13:$AX13,"&lt;&gt;"&amp;"pB1 RNNR")*0.5,COUNTIFS($J13:$AX13,"*B2 RNNR*",$J13:$AX13,"&lt;&gt;"&amp;"pB2 RNNR")*0.5)))</f>
        <v>2</v>
      </c>
      <c r="J13" s="184" t="str">
        <f>IFERROR(IF(VLOOKUP(Mon_W2[[#This Row],[Employee Name]],'Base Schedules'!$A$113:$AW$158,9,FALSE)="","",VLOOKUP(Mon_W2[[#This Row],[Employee Name]],'Base Schedules'!$A$113:$AW$158,9,FALSE)),"")</f>
        <v/>
      </c>
      <c r="K13" s="184" t="str">
        <f>IFERROR(IF(VLOOKUP(Mon_W2[[#This Row],[Employee Name]],'Base Schedules'!$A$113:$AW$158,10,FALSE)="","",VLOOKUP(Mon_W2[[#This Row],[Employee Name]],'Base Schedules'!$A$113:$AW$158,10,FALSE)),"")</f>
        <v>HL</v>
      </c>
      <c r="L13" s="184" t="str">
        <f>IFERROR(IF(VLOOKUP(Mon_W2[[#This Row],[Employee Name]],'Base Schedules'!$A$113:$AW$158,11,FALSE)="","",VLOOKUP(Mon_W2[[#This Row],[Employee Name]],'Base Schedules'!$A$113:$AW$158,11,FALSE)),"")</f>
        <v>HL</v>
      </c>
      <c r="M13" s="184" t="str">
        <f>IFERROR(IF(VLOOKUP(Mon_W2[[#This Row],[Employee Name]],'Base Schedules'!$A$113:$AW$158,12,FALSE)="","",VLOOKUP(Mon_W2[[#This Row],[Employee Name]],'Base Schedules'!$A$113:$AW$158,12,FALSE)),"")</f>
        <v>HL</v>
      </c>
      <c r="N13" s="184" t="str">
        <f>IFERROR(IF(VLOOKUP(Mon_W2[[#This Row],[Employee Name]],'Base Schedules'!$A$113:$AW$158,13,FALSE)="","",VLOOKUP(Mon_W2[[#This Row],[Employee Name]],'Base Schedules'!$A$113:$AW$158,13,FALSE)),"")</f>
        <v>B1 HL</v>
      </c>
      <c r="O13" s="184" t="str">
        <f>IFERROR(IF(VLOOKUP(Mon_W2[[#This Row],[Employee Name]],'Base Schedules'!$A$113:$AW$158,14,FALSE)="","",VLOOKUP(Mon_W2[[#This Row],[Employee Name]],'Base Schedules'!$A$113:$AW$158,14,FALSE)),"")</f>
        <v>HL</v>
      </c>
      <c r="P13" s="184" t="str">
        <f>IFERROR(IF(VLOOKUP(Mon_W2[[#This Row],[Employee Name]],'Base Schedules'!$A$113:$AW$158,15,FALSE)="","",VLOOKUP(Mon_W2[[#This Row],[Employee Name]],'Base Schedules'!$A$113:$AW$158,15,FALSE)),"")</f>
        <v>ADM</v>
      </c>
      <c r="Q13" s="184" t="str">
        <f>IFERROR(IF(VLOOKUP(Mon_W2[[#This Row],[Employee Name]],'Base Schedules'!$A$113:$AW$158,16,FALSE)="","",VLOOKUP(Mon_W2[[#This Row],[Employee Name]],'Base Schedules'!$A$113:$AW$158,16,FALSE)),"")</f>
        <v>LUNCH</v>
      </c>
      <c r="R13" s="184" t="str">
        <f>IFERROR(IF(VLOOKUP(Mon_W2[[#This Row],[Employee Name]],'Base Schedules'!$A$113:$AW$158,17,FALSE)="","",VLOOKUP(Mon_W2[[#This Row],[Employee Name]],'Base Schedules'!$A$113:$AW$158,17,FALSE)),"")</f>
        <v>LUNCH</v>
      </c>
      <c r="S13" s="184" t="str">
        <f>IFERROR(IF(VLOOKUP(Mon_W2[[#This Row],[Employee Name]],'Base Schedules'!$A$113:$AW$158,18,FALSE)="","",VLOOKUP(Mon_W2[[#This Row],[Employee Name]],'Base Schedules'!$A$113:$AW$158,18,FALSE)),"")</f>
        <v>ADM</v>
      </c>
      <c r="T13" s="184" t="str">
        <f>IFERROR(IF(VLOOKUP(Mon_W2[[#This Row],[Employee Name]],'Base Schedules'!$A$113:$AW$158,19,FALSE)="","",VLOOKUP(Mon_W2[[#This Row],[Employee Name]],'Base Schedules'!$A$113:$AW$158,19,FALSE)),"")</f>
        <v>ADM</v>
      </c>
      <c r="U13" s="184" t="str">
        <f>IFERROR(IF(VLOOKUP(Mon_W2[[#This Row],[Employee Name]],'Base Schedules'!$A$113:$AW$158,20,FALSE)="","",VLOOKUP(Mon_W2[[#This Row],[Employee Name]],'Base Schedules'!$A$113:$AW$158,20,FALSE)),"")</f>
        <v>ADM</v>
      </c>
      <c r="V13" s="184" t="str">
        <f>IFERROR(IF(VLOOKUP(Mon_W2[[#This Row],[Employee Name]],'Base Schedules'!$A$113:$AW$158,21,FALSE)="","",VLOOKUP(Mon_W2[[#This Row],[Employee Name]],'Base Schedules'!$A$113:$AW$158,21,FALSE)),"")</f>
        <v>RNNR</v>
      </c>
      <c r="W13" s="184" t="str">
        <f>IFERROR(IF(VLOOKUP(Mon_W2[[#This Row],[Employee Name]],'Base Schedules'!$A$113:$AW$158,22,FALSE)="","",VLOOKUP(Mon_W2[[#This Row],[Employee Name]],'Base Schedules'!$A$113:$AW$158,22,FALSE)),"")</f>
        <v>RNNR</v>
      </c>
      <c r="X13" s="184" t="str">
        <f>IFERROR(IF(VLOOKUP(Mon_W2[[#This Row],[Employee Name]],'Base Schedules'!$A$113:$AW$158,23,FALSE)="","",VLOOKUP(Mon_W2[[#This Row],[Employee Name]],'Base Schedules'!$A$113:$AW$158,23,FALSE)),"")</f>
        <v>B2 HL</v>
      </c>
      <c r="Y13" s="184" t="str">
        <f>IFERROR(IF(VLOOKUP(Mon_W2[[#This Row],[Employee Name]],'Base Schedules'!$A$113:$AW$158,24,FALSE)="","",VLOOKUP(Mon_W2[[#This Row],[Employee Name]],'Base Schedules'!$A$113:$AW$158,24,FALSE)),"")</f>
        <v>HL</v>
      </c>
      <c r="Z13" s="184" t="str">
        <f>IFERROR(IF(VLOOKUP(Mon_W2[[#This Row],[Employee Name]],'Base Schedules'!$A$113:$AW$158,25,FALSE)="","",VLOOKUP(Mon_W2[[#This Row],[Employee Name]],'Base Schedules'!$A$113:$AW$158,25,FALSE)),"")</f>
        <v>HL</v>
      </c>
      <c r="AA13" s="184" t="str">
        <f>IFERROR(IF(VLOOKUP(Mon_W2[[#This Row],[Employee Name]],'Base Schedules'!$A$113:$AW$158,26,FALSE)="","",VLOOKUP(Mon_W2[[#This Row],[Employee Name]],'Base Schedules'!$A$113:$AW$158,26,FALSE)),"")</f>
        <v>ADM</v>
      </c>
      <c r="AB13" s="184" t="str">
        <f>IFERROR(IF(VLOOKUP(Mon_W2[[#This Row],[Employee Name]],'Base Schedules'!$A$113:$AW$158,27,FALSE)="","",VLOOKUP(Mon_W2[[#This Row],[Employee Name]],'Base Schedules'!$A$113:$AW$158,27,FALSE)),"")</f>
        <v>ADM</v>
      </c>
      <c r="AC13" s="184" t="str">
        <f>IFERROR(IF(VLOOKUP(Mon_W2[[#This Row],[Employee Name]],'Base Schedules'!$A$113:$AW$158,28,FALSE)="","",VLOOKUP(Mon_W2[[#This Row],[Employee Name]],'Base Schedules'!$A$113:$AW$158,28,FALSE)),"")</f>
        <v/>
      </c>
      <c r="AD13" s="184" t="str">
        <f>IFERROR(IF(VLOOKUP(Mon_W2[[#This Row],[Employee Name]],'Base Schedules'!$A$113:$AW$158,29,FALSE)="","",VLOOKUP(Mon_W2[[#This Row],[Employee Name]],'Base Schedules'!$A$113:$AW$158,29,FALSE)),"")</f>
        <v/>
      </c>
      <c r="AE13" s="184" t="str">
        <f>IFERROR(IF(VLOOKUP(Mon_W2[[#This Row],[Employee Name]],'Base Schedules'!$A$113:$AW$158,30,FALSE)="","",VLOOKUP(Mon_W2[[#This Row],[Employee Name]],'Base Schedules'!$A$113:$AW$158,30,FALSE)),"")</f>
        <v/>
      </c>
      <c r="AF13" s="184" t="str">
        <f>IFERROR(IF(VLOOKUP(Mon_W2[[#This Row],[Employee Name]],'Base Schedules'!$A$113:$AW$158,31,FALSE)="","",VLOOKUP(Mon_W2[[#This Row],[Employee Name]],'Base Schedules'!$A$113:$AW$158,31,FALSE)),"")</f>
        <v/>
      </c>
      <c r="AG13" s="184" t="str">
        <f>IFERROR(IF(VLOOKUP(Mon_W2[[#This Row],[Employee Name]],'Base Schedules'!$A$113:$AW$158,32,FALSE)="","",VLOOKUP(Mon_W2[[#This Row],[Employee Name]],'Base Schedules'!$A$113:$AW$158,32,FALSE)),"")</f>
        <v/>
      </c>
      <c r="AH13" s="184" t="str">
        <f>IFERROR(IF(VLOOKUP(Mon_W2[[#This Row],[Employee Name]],'Base Schedules'!$A$113:$AW$158,33,FALSE)="","",VLOOKUP(Mon_W2[[#This Row],[Employee Name]],'Base Schedules'!$A$113:$AW$158,33,FALSE)),"")</f>
        <v/>
      </c>
      <c r="AI13" s="184" t="str">
        <f>IFERROR(IF(VLOOKUP(Mon_W2[[#This Row],[Employee Name]],'Base Schedules'!$A$113:$AW$158,34,FALSE)="","",VLOOKUP(Mon_W2[[#This Row],[Employee Name]],'Base Schedules'!$A$113:$AW$158,34,FALSE)),"")</f>
        <v/>
      </c>
      <c r="AJ13" s="184" t="str">
        <f>IFERROR(IF(VLOOKUP(Mon_W2[[#This Row],[Employee Name]],'Base Schedules'!$A$113:$AW$158,35,FALSE)="","",VLOOKUP(Mon_W2[[#This Row],[Employee Name]],'Base Schedules'!$A$113:$AW$158,35,FALSE)),"")</f>
        <v/>
      </c>
      <c r="AK13" s="184" t="str">
        <f>IFERROR(IF(VLOOKUP(Mon_W2[[#This Row],[Employee Name]],'Base Schedules'!$A$113:$AW$158,36,FALSE)="","",VLOOKUP(Mon_W2[[#This Row],[Employee Name]],'Base Schedules'!$A$113:$AW$158,36,FALSE)),"")</f>
        <v/>
      </c>
      <c r="AL13" s="184" t="str">
        <f>IFERROR(IF(VLOOKUP(Mon_W2[[#This Row],[Employee Name]],'Base Schedules'!$A$113:$AW$158,37,FALSE)="","",VLOOKUP(Mon_W2[[#This Row],[Employee Name]],'Base Schedules'!$A$113:$AW$158,37,FALSE)),"")</f>
        <v/>
      </c>
      <c r="AM13" s="184" t="str">
        <f>IFERROR(IF(VLOOKUP(Mon_W2[[#This Row],[Employee Name]],'Base Schedules'!$A$113:$AW$158,38,FALSE)="","",VLOOKUP(Mon_W2[[#This Row],[Employee Name]],'Base Schedules'!$A$113:$AW$158,38,FALSE)),"")</f>
        <v/>
      </c>
      <c r="AN13" s="184" t="str">
        <f>IFERROR(IF(VLOOKUP(Mon_W2[[#This Row],[Employee Name]],'Base Schedules'!$A$113:$AW$158,39,FALSE)="","",VLOOKUP(Mon_W2[[#This Row],[Employee Name]],'Base Schedules'!$A$113:$AW$158,39,FALSE)),"")</f>
        <v/>
      </c>
      <c r="AO13" s="184" t="str">
        <f>IFERROR(IF(VLOOKUP(Mon_W2[[#This Row],[Employee Name]],'Base Schedules'!$A$113:$AW$158,40,FALSE)="","",VLOOKUP(Mon_W2[[#This Row],[Employee Name]],'Base Schedules'!$A$113:$AW$158,40,FALSE)),"")</f>
        <v/>
      </c>
      <c r="AP13" s="184" t="str">
        <f>IFERROR(IF(VLOOKUP(Mon_W2[[#This Row],[Employee Name]],'Base Schedules'!$A$113:$AW$158,41,FALSE)="","",VLOOKUP(Mon_W2[[#This Row],[Employee Name]],'Base Schedules'!$A$113:$AW$158,41,FALSE)),"")</f>
        <v/>
      </c>
      <c r="AQ13" s="184" t="str">
        <f>IFERROR(IF(VLOOKUP(Mon_W2[[#This Row],[Employee Name]],'Base Schedules'!$A$113:$AW$158,42,FALSE)="","",VLOOKUP(Mon_W2[[#This Row],[Employee Name]],'Base Schedules'!$A$113:$AW$158,42,FALSE)),"")</f>
        <v/>
      </c>
      <c r="AR13" s="184" t="str">
        <f>IFERROR(IF(VLOOKUP(Mon_W2[[#This Row],[Employee Name]],'Base Schedules'!$A$113:$AW$158,43,FALSE)="","",VLOOKUP(Mon_W2[[#This Row],[Employee Name]],'Base Schedules'!$A$113:$AW$158,43,FALSE)),"")</f>
        <v/>
      </c>
      <c r="AS13" s="184" t="str">
        <f>IFERROR(IF(VLOOKUP(Mon_W2[[#This Row],[Employee Name]],'Base Schedules'!$A$113:$AW$158,44,FALSE)="","",VLOOKUP(Mon_W2[[#This Row],[Employee Name]],'Base Schedules'!$A$113:$AW$158,44,FALSE)),"")</f>
        <v/>
      </c>
      <c r="AT13" s="184" t="str">
        <f>IFERROR(IF(VLOOKUP(Mon_W2[[#This Row],[Employee Name]],'Base Schedules'!$A$113:$AW$158,45,FALSE)="","",VLOOKUP(Mon_W2[[#This Row],[Employee Name]],'Base Schedules'!$A$113:$AW$158,45,FALSE)),"")</f>
        <v/>
      </c>
      <c r="AU13" s="184" t="str">
        <f>IFERROR(IF(VLOOKUP(Mon_W2[[#This Row],[Employee Name]],'Base Schedules'!$A$113:$AW$158,46,FALSE)="","",VLOOKUP(Mon_W2[[#This Row],[Employee Name]],'Base Schedules'!$A$113:$AW$158,46,FALSE)),"")</f>
        <v/>
      </c>
      <c r="AV13" s="184" t="str">
        <f>IFERROR(IF(VLOOKUP(Mon_W2[[#This Row],[Employee Name]],'Base Schedules'!$A$113:$AW$158,47,FALSE)="","",VLOOKUP(Mon_W2[[#This Row],[Employee Name]],'Base Schedules'!$A$113:$AW$158,47,FALSE)),"")</f>
        <v/>
      </c>
      <c r="AW13" s="184" t="str">
        <f>IFERROR(IF(VLOOKUP(Mon_W2[[#This Row],[Employee Name]],'Base Schedules'!$A$113:$AW$158,48,FALSE)="","",VLOOKUP(Mon_W2[[#This Row],[Employee Name]],'Base Schedules'!$A$113:$AW$158,48,FALSE)),"")</f>
        <v/>
      </c>
      <c r="AX13" s="184" t="str">
        <f>IFERROR(IF(VLOOKUP(Mon_W2[[#This Row],[Employee Name]],'Base Schedules'!$A$113:$AW$158,49,FALSE)="","",VLOOKUP(Mon_W2[[#This Row],[Employee Name]],'Base Schedules'!$A$113:$AW$158,49,FALSE)),"")</f>
        <v/>
      </c>
      <c r="AY13" s="159" t="str">
        <f t="shared" si="2"/>
        <v>Suarez, Alyssa</v>
      </c>
    </row>
    <row r="14" spans="1:51" s="44" customFormat="1" ht="12" customHeight="1" x14ac:dyDescent="0.2">
      <c r="A14" s="39" t="str">
        <f>IF(B14="","",INDEX(TeamList[],MATCH($B14,TeamList[[Employee Name]:[Employee Name]],0),MATCH("Manager",TeamList[#Headers],0)))</f>
        <v>Paulson, Matthew</v>
      </c>
      <c r="B14" s="331" t="s">
        <v>17</v>
      </c>
      <c r="C14" s="257" t="str">
        <f>_xlfn.IFNA(VLOOKUP(Mon_W2[[#This Row],[Employee Name]],'Base Schedules'!A:B,2,FALSE),"")</f>
        <v>Supervisor</v>
      </c>
      <c r="D14" s="274">
        <f>_xlfn.IFNA(VLOOKUP(Mon_W2[[#This Row],[Employee Name]],'Base Schedules'!A:C,3,FALSE),"")</f>
        <v>530</v>
      </c>
      <c r="E14" s="274">
        <f>_xlfn.IFNA(VLOOKUP(Mon_W2[[#This Row],[Employee Name]],'Base Schedules'!A:D,4,FALSE),"")</f>
        <v>1430</v>
      </c>
      <c r="F14" s="142">
        <f>IF(Mon_W2[[#This Row],[Employee Name]]="","",IF(Mon_W2[[#This Row],[Dept]]="Supervisor",COUNTIFS($J14:$AX14,"*HL*",$J14:$AX14,"&lt;&gt;"&amp;"pHL"),COUNTIFS($J14:$AX14,"*HL*",$J14:$AX14,"&lt;&gt;"&amp;"*pHL*",$J14:$AX14,"&lt;&gt;"&amp;"pB1 HL",$J14:$AX14,"&lt;&gt;"&amp;"pB2 HL")-SUM(COUNTIFS($J14:$AX14,"*HL B1*",$J14:$AX14,"&lt;&gt;"&amp;"pHL B1")*0.5,COUNTIFS($J14:$AX14,"*HL B2*",$J14:$AX14,"&lt;&gt;"&amp;"pHL B2")*0.5,COUNTIFS($J14:$AX14,"*B1 HL*",$J14:$AX14,"&lt;&gt;"&amp;"pB1 HL")*0.5,COUNTIFS($J14:$AX14,"*B2 HL*",$J14:$AX14,"&lt;&gt;"&amp;"pB2 HL")*0.5)))</f>
        <v>0</v>
      </c>
      <c r="G14" s="142">
        <f t="shared" si="0"/>
        <v>0</v>
      </c>
      <c r="H14" s="142">
        <f t="shared" si="1"/>
        <v>0</v>
      </c>
      <c r="I14" s="142">
        <f>IF(Mon_W2[[#This Row],[Employee Name]]="","",IF(Mon_W2[[#This Row],[Dept]]="Supervisor",SUM(COUNTIFS($J14:$AX14,"RTA*",$J14:$AX14,"&lt;&gt;"&amp;"pRTA"),COUNTIFS($J14:$AX14,"*CRTA*",$J14:$AX14,"&lt;&gt;"&amp;"pCRTA")),COUNTIFS($J14:$AX14,"*RNNR*",$J14:$AX14,"&lt;&gt;"&amp;"*pRNNR*",$J14:$AX14,"&lt;&gt;"&amp;"pB1 RNNR",$J14:$AX14,"&lt;&gt;"&amp;"pB2 RNNR")-SUM(COUNTIFS($J14:$AX14,"*RNNR B1*",$J14:$AX14,"&lt;&gt;"&amp;"pRNNR B1")*0.5,COUNTIFS($J14:$AX14,"*RNNR B2*",$J14:$AX14,"&lt;&gt;"&amp;"pRNNR B2")*0.5,COUNTIFS($J14:$AX14,"*B1 RNNR*",$J14:$AX14,"&lt;&gt;"&amp;"pB1 RNNR")*0.5,COUNTIFS($J14:$AX14,"*B2 RNNR*",$J14:$AX14,"&lt;&gt;"&amp;"pB2 RNNR")*0.5)))</f>
        <v>0</v>
      </c>
      <c r="J14" s="184" t="str">
        <f>IFERROR(IF(VLOOKUP(Mon_W2[[#This Row],[Employee Name]],'Base Schedules'!$A$113:$AW$158,9,FALSE)="","",VLOOKUP(Mon_W2[[#This Row],[Employee Name]],'Base Schedules'!$A$113:$AW$158,9,FALSE)),"")</f>
        <v/>
      </c>
      <c r="K14" s="184" t="str">
        <f>IFERROR(IF(VLOOKUP(Mon_W2[[#This Row],[Employee Name]],'Base Schedules'!$A$113:$AW$158,10,FALSE)="","",VLOOKUP(Mon_W2[[#This Row],[Employee Name]],'Base Schedules'!$A$113:$AW$158,10,FALSE)),"")</f>
        <v>-</v>
      </c>
      <c r="L14" s="184" t="str">
        <f>IFERROR(IF(VLOOKUP(Mon_W2[[#This Row],[Employee Name]],'Base Schedules'!$A$113:$AW$158,11,FALSE)="","",VLOOKUP(Mon_W2[[#This Row],[Employee Name]],'Base Schedules'!$A$113:$AW$158,11,FALSE)),"")</f>
        <v>-</v>
      </c>
      <c r="M14" s="184" t="str">
        <f>IFERROR(IF(VLOOKUP(Mon_W2[[#This Row],[Employee Name]],'Base Schedules'!$A$113:$AW$158,12,FALSE)="","",VLOOKUP(Mon_W2[[#This Row],[Employee Name]],'Base Schedules'!$A$113:$AW$158,12,FALSE)),"")</f>
        <v>-</v>
      </c>
      <c r="N14" s="184" t="str">
        <f>IFERROR(IF(VLOOKUP(Mon_W2[[#This Row],[Employee Name]],'Base Schedules'!$A$113:$AW$158,13,FALSE)="","",VLOOKUP(Mon_W2[[#This Row],[Employee Name]],'Base Schedules'!$A$113:$AW$158,13,FALSE)),"")</f>
        <v>-</v>
      </c>
      <c r="O14" s="184" t="str">
        <f>IFERROR(IF(VLOOKUP(Mon_W2[[#This Row],[Employee Name]],'Base Schedules'!$A$113:$AW$158,14,FALSE)="","",VLOOKUP(Mon_W2[[#This Row],[Employee Name]],'Base Schedules'!$A$113:$AW$158,14,FALSE)),"")</f>
        <v>-</v>
      </c>
      <c r="P14" s="184" t="str">
        <f>IFERROR(IF(VLOOKUP(Mon_W2[[#This Row],[Employee Name]],'Base Schedules'!$A$113:$AW$158,15,FALSE)="","",VLOOKUP(Mon_W2[[#This Row],[Employee Name]],'Base Schedules'!$A$113:$AW$158,15,FALSE)),"")</f>
        <v>-</v>
      </c>
      <c r="Q14" s="184" t="str">
        <f>IFERROR(IF(VLOOKUP(Mon_W2[[#This Row],[Employee Name]],'Base Schedules'!$A$113:$AW$158,16,FALSE)="","",VLOOKUP(Mon_W2[[#This Row],[Employee Name]],'Base Schedules'!$A$113:$AW$158,16,FALSE)),"")</f>
        <v>-</v>
      </c>
      <c r="R14" s="184" t="str">
        <f>IFERROR(IF(VLOOKUP(Mon_W2[[#This Row],[Employee Name]],'Base Schedules'!$A$113:$AW$158,17,FALSE)="","",VLOOKUP(Mon_W2[[#This Row],[Employee Name]],'Base Schedules'!$A$113:$AW$158,17,FALSE)),"")</f>
        <v>Interview</v>
      </c>
      <c r="S14" s="184" t="str">
        <f>IFERROR(IF(VLOOKUP(Mon_W2[[#This Row],[Employee Name]],'Base Schedules'!$A$113:$AW$158,18,FALSE)="","",VLOOKUP(Mon_W2[[#This Row],[Employee Name]],'Base Schedules'!$A$113:$AW$158,18,FALSE)),"")</f>
        <v>Interview</v>
      </c>
      <c r="T14" s="184" t="str">
        <f>IFERROR(IF(VLOOKUP(Mon_W2[[#This Row],[Employee Name]],'Base Schedules'!$A$113:$AW$158,19,FALSE)="","",VLOOKUP(Mon_W2[[#This Row],[Employee Name]],'Base Schedules'!$A$113:$AW$158,19,FALSE)),"")</f>
        <v>-</v>
      </c>
      <c r="U14" s="184" t="str">
        <f>IFERROR(IF(VLOOKUP(Mon_W2[[#This Row],[Employee Name]],'Base Schedules'!$A$113:$AW$158,20,FALSE)="","",VLOOKUP(Mon_W2[[#This Row],[Employee Name]],'Base Schedules'!$A$113:$AW$158,20,FALSE)),"")</f>
        <v>-</v>
      </c>
      <c r="V14" s="184" t="str">
        <f>IFERROR(IF(VLOOKUP(Mon_W2[[#This Row],[Employee Name]],'Base Schedules'!$A$113:$AW$158,21,FALSE)="","",VLOOKUP(Mon_W2[[#This Row],[Employee Name]],'Base Schedules'!$A$113:$AW$158,21,FALSE)),"")</f>
        <v>-</v>
      </c>
      <c r="W14" s="184" t="str">
        <f>IFERROR(IF(VLOOKUP(Mon_W2[[#This Row],[Employee Name]],'Base Schedules'!$A$113:$AW$158,22,FALSE)="","",VLOOKUP(Mon_W2[[#This Row],[Employee Name]],'Base Schedules'!$A$113:$AW$158,22,FALSE)),"")</f>
        <v>-</v>
      </c>
      <c r="X14" s="184" t="str">
        <f>IFERROR(IF(VLOOKUP(Mon_W2[[#This Row],[Employee Name]],'Base Schedules'!$A$113:$AW$158,23,FALSE)="","",VLOOKUP(Mon_W2[[#This Row],[Employee Name]],'Base Schedules'!$A$113:$AW$158,23,FALSE)),"")</f>
        <v>-</v>
      </c>
      <c r="Y14" s="184" t="str">
        <f>IFERROR(IF(VLOOKUP(Mon_W2[[#This Row],[Employee Name]],'Base Schedules'!$A$113:$AW$158,24,FALSE)="","",VLOOKUP(Mon_W2[[#This Row],[Employee Name]],'Base Schedules'!$A$113:$AW$158,24,FALSE)),"")</f>
        <v>-</v>
      </c>
      <c r="Z14" s="184" t="str">
        <f>IFERROR(IF(VLOOKUP(Mon_W2[[#This Row],[Employee Name]],'Base Schedules'!$A$113:$AW$158,25,FALSE)="","",VLOOKUP(Mon_W2[[#This Row],[Employee Name]],'Base Schedules'!$A$113:$AW$158,25,FALSE)),"")</f>
        <v>Team Matt TM</v>
      </c>
      <c r="AA14" s="184" t="str">
        <f>IFERROR(IF(VLOOKUP(Mon_W2[[#This Row],[Employee Name]],'Base Schedules'!$A$113:$AW$158,26,FALSE)="","",VLOOKUP(Mon_W2[[#This Row],[Employee Name]],'Base Schedules'!$A$113:$AW$158,26,FALSE)),"")</f>
        <v>Team Matt TM</v>
      </c>
      <c r="AB14" s="184" t="str">
        <f>IFERROR(IF(VLOOKUP(Mon_W2[[#This Row],[Employee Name]],'Base Schedules'!$A$113:$AW$158,27,FALSE)="","",VLOOKUP(Mon_W2[[#This Row],[Employee Name]],'Base Schedules'!$A$113:$AW$158,27,FALSE)),"")</f>
        <v>-</v>
      </c>
      <c r="AC14" s="184" t="str">
        <f>IFERROR(IF(VLOOKUP(Mon_W2[[#This Row],[Employee Name]],'Base Schedules'!$A$113:$AW$158,28,FALSE)="","",VLOOKUP(Mon_W2[[#This Row],[Employee Name]],'Base Schedules'!$A$113:$AW$158,28,FALSE)),"")</f>
        <v/>
      </c>
      <c r="AD14" s="184" t="str">
        <f>IFERROR(IF(VLOOKUP(Mon_W2[[#This Row],[Employee Name]],'Base Schedules'!$A$113:$AW$158,29,FALSE)="","",VLOOKUP(Mon_W2[[#This Row],[Employee Name]],'Base Schedules'!$A$113:$AW$158,29,FALSE)),"")</f>
        <v/>
      </c>
      <c r="AE14" s="184" t="str">
        <f>IFERROR(IF(VLOOKUP(Mon_W2[[#This Row],[Employee Name]],'Base Schedules'!$A$113:$AW$158,30,FALSE)="","",VLOOKUP(Mon_W2[[#This Row],[Employee Name]],'Base Schedules'!$A$113:$AW$158,30,FALSE)),"")</f>
        <v/>
      </c>
      <c r="AF14" s="184" t="str">
        <f>IFERROR(IF(VLOOKUP(Mon_W2[[#This Row],[Employee Name]],'Base Schedules'!$A$113:$AW$158,31,FALSE)="","",VLOOKUP(Mon_W2[[#This Row],[Employee Name]],'Base Schedules'!$A$113:$AW$158,31,FALSE)),"")</f>
        <v/>
      </c>
      <c r="AG14" s="184" t="str">
        <f>IFERROR(IF(VLOOKUP(Mon_W2[[#This Row],[Employee Name]],'Base Schedules'!$A$113:$AW$158,32,FALSE)="","",VLOOKUP(Mon_W2[[#This Row],[Employee Name]],'Base Schedules'!$A$113:$AW$158,32,FALSE)),"")</f>
        <v/>
      </c>
      <c r="AH14" s="184" t="str">
        <f>IFERROR(IF(VLOOKUP(Mon_W2[[#This Row],[Employee Name]],'Base Schedules'!$A$113:$AW$158,33,FALSE)="","",VLOOKUP(Mon_W2[[#This Row],[Employee Name]],'Base Schedules'!$A$113:$AW$158,33,FALSE)),"")</f>
        <v/>
      </c>
      <c r="AI14" s="184" t="str">
        <f>IFERROR(IF(VLOOKUP(Mon_W2[[#This Row],[Employee Name]],'Base Schedules'!$A$113:$AW$158,34,FALSE)="","",VLOOKUP(Mon_W2[[#This Row],[Employee Name]],'Base Schedules'!$A$113:$AW$158,34,FALSE)),"")</f>
        <v/>
      </c>
      <c r="AJ14" s="184" t="str">
        <f>IFERROR(IF(VLOOKUP(Mon_W2[[#This Row],[Employee Name]],'Base Schedules'!$A$113:$AW$158,35,FALSE)="","",VLOOKUP(Mon_W2[[#This Row],[Employee Name]],'Base Schedules'!$A$113:$AW$158,35,FALSE)),"")</f>
        <v/>
      </c>
      <c r="AK14" s="184" t="str">
        <f>IFERROR(IF(VLOOKUP(Mon_W2[[#This Row],[Employee Name]],'Base Schedules'!$A$113:$AW$158,36,FALSE)="","",VLOOKUP(Mon_W2[[#This Row],[Employee Name]],'Base Schedules'!$A$113:$AW$158,36,FALSE)),"")</f>
        <v/>
      </c>
      <c r="AL14" s="184" t="str">
        <f>IFERROR(IF(VLOOKUP(Mon_W2[[#This Row],[Employee Name]],'Base Schedules'!$A$113:$AW$158,37,FALSE)="","",VLOOKUP(Mon_W2[[#This Row],[Employee Name]],'Base Schedules'!$A$113:$AW$158,37,FALSE)),"")</f>
        <v/>
      </c>
      <c r="AM14" s="184" t="str">
        <f>IFERROR(IF(VLOOKUP(Mon_W2[[#This Row],[Employee Name]],'Base Schedules'!$A$113:$AW$158,38,FALSE)="","",VLOOKUP(Mon_W2[[#This Row],[Employee Name]],'Base Schedules'!$A$113:$AW$158,38,FALSE)),"")</f>
        <v/>
      </c>
      <c r="AN14" s="184" t="str">
        <f>IFERROR(IF(VLOOKUP(Mon_W2[[#This Row],[Employee Name]],'Base Schedules'!$A$113:$AW$158,39,FALSE)="","",VLOOKUP(Mon_W2[[#This Row],[Employee Name]],'Base Schedules'!$A$113:$AW$158,39,FALSE)),"")</f>
        <v/>
      </c>
      <c r="AO14" s="184" t="str">
        <f>IFERROR(IF(VLOOKUP(Mon_W2[[#This Row],[Employee Name]],'Base Schedules'!$A$113:$AW$158,40,FALSE)="","",VLOOKUP(Mon_W2[[#This Row],[Employee Name]],'Base Schedules'!$A$113:$AW$158,40,FALSE)),"")</f>
        <v/>
      </c>
      <c r="AP14" s="184" t="str">
        <f>IFERROR(IF(VLOOKUP(Mon_W2[[#This Row],[Employee Name]],'Base Schedules'!$A$113:$AW$158,41,FALSE)="","",VLOOKUP(Mon_W2[[#This Row],[Employee Name]],'Base Schedules'!$A$113:$AW$158,41,FALSE)),"")</f>
        <v/>
      </c>
      <c r="AQ14" s="184" t="str">
        <f>IFERROR(IF(VLOOKUP(Mon_W2[[#This Row],[Employee Name]],'Base Schedules'!$A$113:$AW$158,42,FALSE)="","",VLOOKUP(Mon_W2[[#This Row],[Employee Name]],'Base Schedules'!$A$113:$AW$158,42,FALSE)),"")</f>
        <v/>
      </c>
      <c r="AR14" s="184" t="str">
        <f>IFERROR(IF(VLOOKUP(Mon_W2[[#This Row],[Employee Name]],'Base Schedules'!$A$113:$AW$158,43,FALSE)="","",VLOOKUP(Mon_W2[[#This Row],[Employee Name]],'Base Schedules'!$A$113:$AW$158,43,FALSE)),"")</f>
        <v/>
      </c>
      <c r="AS14" s="184" t="str">
        <f>IFERROR(IF(VLOOKUP(Mon_W2[[#This Row],[Employee Name]],'Base Schedules'!$A$113:$AW$158,44,FALSE)="","",VLOOKUP(Mon_W2[[#This Row],[Employee Name]],'Base Schedules'!$A$113:$AW$158,44,FALSE)),"")</f>
        <v/>
      </c>
      <c r="AT14" s="184" t="str">
        <f>IFERROR(IF(VLOOKUP(Mon_W2[[#This Row],[Employee Name]],'Base Schedules'!$A$113:$AW$158,45,FALSE)="","",VLOOKUP(Mon_W2[[#This Row],[Employee Name]],'Base Schedules'!$A$113:$AW$158,45,FALSE)),"")</f>
        <v/>
      </c>
      <c r="AU14" s="184" t="str">
        <f>IFERROR(IF(VLOOKUP(Mon_W2[[#This Row],[Employee Name]],'Base Schedules'!$A$113:$AW$158,46,FALSE)="","",VLOOKUP(Mon_W2[[#This Row],[Employee Name]],'Base Schedules'!$A$113:$AW$158,46,FALSE)),"")</f>
        <v/>
      </c>
      <c r="AV14" s="184" t="str">
        <f>IFERROR(IF(VLOOKUP(Mon_W2[[#This Row],[Employee Name]],'Base Schedules'!$A$113:$AW$158,47,FALSE)="","",VLOOKUP(Mon_W2[[#This Row],[Employee Name]],'Base Schedules'!$A$113:$AW$158,47,FALSE)),"")</f>
        <v/>
      </c>
      <c r="AW14" s="184" t="str">
        <f>IFERROR(IF(VLOOKUP(Mon_W2[[#This Row],[Employee Name]],'Base Schedules'!$A$113:$AW$158,48,FALSE)="","",VLOOKUP(Mon_W2[[#This Row],[Employee Name]],'Base Schedules'!$A$113:$AW$158,48,FALSE)),"")</f>
        <v/>
      </c>
      <c r="AX14" s="184" t="str">
        <f>IFERROR(IF(VLOOKUP(Mon_W2[[#This Row],[Employee Name]],'Base Schedules'!$A$113:$AW$158,49,FALSE)="","",VLOOKUP(Mon_W2[[#This Row],[Employee Name]],'Base Schedules'!$A$113:$AW$158,49,FALSE)),"")</f>
        <v/>
      </c>
      <c r="AY14" s="162" t="str">
        <f t="shared" si="2"/>
        <v>Breen, Mark</v>
      </c>
    </row>
    <row r="15" spans="1:51" s="44" customFormat="1" ht="12" customHeight="1" x14ac:dyDescent="0.2">
      <c r="A15" s="39" t="str">
        <f>IF(B15="","",INDEX(TeamList[],MATCH($B15,TeamList[[Employee Name]:[Employee Name]],0),MATCH("Manager",TeamList[#Headers],0)))</f>
        <v>Olson, Katherine</v>
      </c>
      <c r="B15" s="201" t="s">
        <v>19</v>
      </c>
      <c r="C15" s="257" t="str">
        <f>_xlfn.IFNA(VLOOKUP(Mon_W2[[#This Row],[Employee Name]],'Base Schedules'!A:B,2,FALSE),"")</f>
        <v>Lead</v>
      </c>
      <c r="D15" s="274">
        <f>_xlfn.IFNA(VLOOKUP(Mon_W2[[#This Row],[Employee Name]],'Base Schedules'!A:C,3,FALSE),"")</f>
        <v>600</v>
      </c>
      <c r="E15" s="274">
        <f>_xlfn.IFNA(VLOOKUP(Mon_W2[[#This Row],[Employee Name]],'Base Schedules'!A:D,4,FALSE),"")</f>
        <v>1430</v>
      </c>
      <c r="F15" s="142">
        <f>IF(Mon_W2[[#This Row],[Employee Name]]="","",IF(Mon_W2[[#This Row],[Dept]]="Supervisor",COUNTIFS($J15:$AX15,"*HL*",$J15:$AX15,"&lt;&gt;"&amp;"pHL"),COUNTIFS($J15:$AX15,"*HL*",$J15:$AX15,"&lt;&gt;"&amp;"*pHL*",$J15:$AX15,"&lt;&gt;"&amp;"pB1 HL",$J15:$AX15,"&lt;&gt;"&amp;"pB2 HL")-SUM(COUNTIFS($J15:$AX15,"*HL B1*",$J15:$AX15,"&lt;&gt;"&amp;"pHL B1")*0.5,COUNTIFS($J15:$AX15,"*HL B2*",$J15:$AX15,"&lt;&gt;"&amp;"pHL B2")*0.5,COUNTIFS($J15:$AX15,"*B1 HL*",$J15:$AX15,"&lt;&gt;"&amp;"pB1 HL")*0.5,COUNTIFS($J15:$AX15,"*B2 HL*",$J15:$AX15,"&lt;&gt;"&amp;"pB2 HL")*0.5)))</f>
        <v>5</v>
      </c>
      <c r="G15" s="142">
        <f t="shared" si="0"/>
        <v>0</v>
      </c>
      <c r="H15" s="142">
        <f t="shared" si="1"/>
        <v>7</v>
      </c>
      <c r="I15" s="142">
        <f>IF(Mon_W2[[#This Row],[Employee Name]]="","",IF(Mon_W2[[#This Row],[Dept]]="Supervisor",SUM(COUNTIFS($J15:$AX15,"RTA*",$J15:$AX15,"&lt;&gt;"&amp;"pRTA"),COUNTIFS($J15:$AX15,"*CRTA*",$J15:$AX15,"&lt;&gt;"&amp;"pCRTA")),COUNTIFS($J15:$AX15,"*RNNR*",$J15:$AX15,"&lt;&gt;"&amp;"*pRNNR*",$J15:$AX15,"&lt;&gt;"&amp;"pB1 RNNR",$J15:$AX15,"&lt;&gt;"&amp;"pB2 RNNR")-SUM(COUNTIFS($J15:$AX15,"*RNNR B1*",$J15:$AX15,"&lt;&gt;"&amp;"pRNNR B1")*0.5,COUNTIFS($J15:$AX15,"*RNNR B2*",$J15:$AX15,"&lt;&gt;"&amp;"pRNNR B2")*0.5,COUNTIFS($J15:$AX15,"*B1 RNNR*",$J15:$AX15,"&lt;&gt;"&amp;"pB1 RNNR")*0.5,COUNTIFS($J15:$AX15,"*B2 RNNR*",$J15:$AX15,"&lt;&gt;"&amp;"pB2 RNNR")*0.5)))</f>
        <v>2</v>
      </c>
      <c r="J15" s="184" t="str">
        <f>IFERROR(IF(VLOOKUP(Mon_W2[[#This Row],[Employee Name]],'Base Schedules'!$A$113:$AW$158,9,FALSE)="","",VLOOKUP(Mon_W2[[#This Row],[Employee Name]],'Base Schedules'!$A$113:$AW$158,9,FALSE)),"")</f>
        <v/>
      </c>
      <c r="K15" s="184" t="str">
        <f>IFERROR(IF(VLOOKUP(Mon_W2[[#This Row],[Employee Name]],'Base Schedules'!$A$113:$AW$158,10,FALSE)="","",VLOOKUP(Mon_W2[[#This Row],[Employee Name]],'Base Schedules'!$A$113:$AW$158,10,FALSE)),"")</f>
        <v/>
      </c>
      <c r="L15" s="184" t="str">
        <f>IFERROR(IF(VLOOKUP(Mon_W2[[#This Row],[Employee Name]],'Base Schedules'!$A$113:$AW$158,11,FALSE)="","",VLOOKUP(Mon_W2[[#This Row],[Employee Name]],'Base Schedules'!$A$113:$AW$158,11,FALSE)),"")</f>
        <v>HL</v>
      </c>
      <c r="M15" s="184" t="str">
        <f>IFERROR(IF(VLOOKUP(Mon_W2[[#This Row],[Employee Name]],'Base Schedules'!$A$113:$AW$158,12,FALSE)="","",VLOOKUP(Mon_W2[[#This Row],[Employee Name]],'Base Schedules'!$A$113:$AW$158,12,FALSE)),"")</f>
        <v>HL</v>
      </c>
      <c r="N15" s="184" t="str">
        <f>IFERROR(IF(VLOOKUP(Mon_W2[[#This Row],[Employee Name]],'Base Schedules'!$A$113:$AW$158,13,FALSE)="","",VLOOKUP(Mon_W2[[#This Row],[Employee Name]],'Base Schedules'!$A$113:$AW$158,13,FALSE)),"")</f>
        <v>ADM</v>
      </c>
      <c r="O15" s="184" t="str">
        <f>IFERROR(IF(VLOOKUP(Mon_W2[[#This Row],[Employee Name]],'Base Schedules'!$A$113:$AW$158,14,FALSE)="","",VLOOKUP(Mon_W2[[#This Row],[Employee Name]],'Base Schedules'!$A$113:$AW$158,14,FALSE)),"")</f>
        <v>ADM</v>
      </c>
      <c r="P15" s="184" t="str">
        <f>IFERROR(IF(VLOOKUP(Mon_W2[[#This Row],[Employee Name]],'Base Schedules'!$A$113:$AW$158,15,FALSE)="","",VLOOKUP(Mon_W2[[#This Row],[Employee Name]],'Base Schedules'!$A$113:$AW$158,15,FALSE)),"")</f>
        <v>B1 ADM</v>
      </c>
      <c r="Q15" s="184" t="str">
        <f>IFERROR(IF(VLOOKUP(Mon_W2[[#This Row],[Employee Name]],'Base Schedules'!$A$113:$AW$158,16,FALSE)="","",VLOOKUP(Mon_W2[[#This Row],[Employee Name]],'Base Schedules'!$A$113:$AW$158,16,FALSE)),"")</f>
        <v>ADM</v>
      </c>
      <c r="R15" s="184" t="str">
        <f>IFERROR(IF(VLOOKUP(Mon_W2[[#This Row],[Employee Name]],'Base Schedules'!$A$113:$AW$158,17,FALSE)="","",VLOOKUP(Mon_W2[[#This Row],[Employee Name]],'Base Schedules'!$A$113:$AW$158,17,FALSE)),"")</f>
        <v>RNNR</v>
      </c>
      <c r="S15" s="184" t="str">
        <f>IFERROR(IF(VLOOKUP(Mon_W2[[#This Row],[Employee Name]],'Base Schedules'!$A$113:$AW$158,18,FALSE)="","",VLOOKUP(Mon_W2[[#This Row],[Employee Name]],'Base Schedules'!$A$113:$AW$158,18,FALSE)),"")</f>
        <v>RNNR</v>
      </c>
      <c r="T15" s="184" t="str">
        <f>IFERROR(IF(VLOOKUP(Mon_W2[[#This Row],[Employee Name]],'Base Schedules'!$A$113:$AW$158,19,FALSE)="","",VLOOKUP(Mon_W2[[#This Row],[Employee Name]],'Base Schedules'!$A$113:$AW$158,19,FALSE)),"")</f>
        <v>HL</v>
      </c>
      <c r="U15" s="184" t="str">
        <f>IFERROR(IF(VLOOKUP(Mon_W2[[#This Row],[Employee Name]],'Base Schedules'!$A$113:$AW$158,20,FALSE)="","",VLOOKUP(Mon_W2[[#This Row],[Employee Name]],'Base Schedules'!$A$113:$AW$158,20,FALSE)),"")</f>
        <v>LUNCH</v>
      </c>
      <c r="V15" s="184" t="str">
        <f>IFERROR(IF(VLOOKUP(Mon_W2[[#This Row],[Employee Name]],'Base Schedules'!$A$113:$AW$158,21,FALSE)="","",VLOOKUP(Mon_W2[[#This Row],[Employee Name]],'Base Schedules'!$A$113:$AW$158,21,FALSE)),"")</f>
        <v>ADM</v>
      </c>
      <c r="W15" s="184" t="str">
        <f>IFERROR(IF(VLOOKUP(Mon_W2[[#This Row],[Employee Name]],'Base Schedules'!$A$113:$AW$158,22,FALSE)="","",VLOOKUP(Mon_W2[[#This Row],[Employee Name]],'Base Schedules'!$A$113:$AW$158,22,FALSE)),"")</f>
        <v>ADM</v>
      </c>
      <c r="X15" s="184" t="str">
        <f>IFERROR(IF(VLOOKUP(Mon_W2[[#This Row],[Employee Name]],'Base Schedules'!$A$113:$AW$158,23,FALSE)="","",VLOOKUP(Mon_W2[[#This Row],[Employee Name]],'Base Schedules'!$A$113:$AW$158,23,FALSE)),"")</f>
        <v>PROJECT</v>
      </c>
      <c r="Y15" s="184" t="str">
        <f>IFERROR(IF(VLOOKUP(Mon_W2[[#This Row],[Employee Name]],'Base Schedules'!$A$113:$AW$158,24,FALSE)="","",VLOOKUP(Mon_W2[[#This Row],[Employee Name]],'Base Schedules'!$A$113:$AW$158,24,FALSE)),"")</f>
        <v>PROJECT</v>
      </c>
      <c r="Z15" s="184" t="str">
        <f>IFERROR(IF(VLOOKUP(Mon_W2[[#This Row],[Employee Name]],'Base Schedules'!$A$113:$AW$158,25,FALSE)="","",VLOOKUP(Mon_W2[[#This Row],[Employee Name]],'Base Schedules'!$A$113:$AW$158,25,FALSE)),"")</f>
        <v>ADM B2</v>
      </c>
      <c r="AA15" s="184" t="str">
        <f>IFERROR(IF(VLOOKUP(Mon_W2[[#This Row],[Employee Name]],'Base Schedules'!$A$113:$AW$158,26,FALSE)="","",VLOOKUP(Mon_W2[[#This Row],[Employee Name]],'Base Schedules'!$A$113:$AW$158,26,FALSE)),"")</f>
        <v>HL</v>
      </c>
      <c r="AB15" s="184" t="str">
        <f>IFERROR(IF(VLOOKUP(Mon_W2[[#This Row],[Employee Name]],'Base Schedules'!$A$113:$AW$158,27,FALSE)="","",VLOOKUP(Mon_W2[[#This Row],[Employee Name]],'Base Schedules'!$A$113:$AW$158,27,FALSE)),"")</f>
        <v>HL</v>
      </c>
      <c r="AC15" s="184" t="str">
        <f>IFERROR(IF(VLOOKUP(Mon_W2[[#This Row],[Employee Name]],'Base Schedules'!$A$113:$AW$158,28,FALSE)="","",VLOOKUP(Mon_W2[[#This Row],[Employee Name]],'Base Schedules'!$A$113:$AW$158,28,FALSE)),"")</f>
        <v/>
      </c>
      <c r="AD15" s="184" t="str">
        <f>IFERROR(IF(VLOOKUP(Mon_W2[[#This Row],[Employee Name]],'Base Schedules'!$A$113:$AW$158,29,FALSE)="","",VLOOKUP(Mon_W2[[#This Row],[Employee Name]],'Base Schedules'!$A$113:$AW$158,29,FALSE)),"")</f>
        <v/>
      </c>
      <c r="AE15" s="184" t="str">
        <f>IFERROR(IF(VLOOKUP(Mon_W2[[#This Row],[Employee Name]],'Base Schedules'!$A$113:$AW$158,30,FALSE)="","",VLOOKUP(Mon_W2[[#This Row],[Employee Name]],'Base Schedules'!$A$113:$AW$158,30,FALSE)),"")</f>
        <v/>
      </c>
      <c r="AF15" s="184" t="str">
        <f>IFERROR(IF(VLOOKUP(Mon_W2[[#This Row],[Employee Name]],'Base Schedules'!$A$113:$AW$158,31,FALSE)="","",VLOOKUP(Mon_W2[[#This Row],[Employee Name]],'Base Schedules'!$A$113:$AW$158,31,FALSE)),"")</f>
        <v/>
      </c>
      <c r="AG15" s="184" t="str">
        <f>IFERROR(IF(VLOOKUP(Mon_W2[[#This Row],[Employee Name]],'Base Schedules'!$A$113:$AW$158,32,FALSE)="","",VLOOKUP(Mon_W2[[#This Row],[Employee Name]],'Base Schedules'!$A$113:$AW$158,32,FALSE)),"")</f>
        <v/>
      </c>
      <c r="AH15" s="184" t="str">
        <f>IFERROR(IF(VLOOKUP(Mon_W2[[#This Row],[Employee Name]],'Base Schedules'!$A$113:$AW$158,33,FALSE)="","",VLOOKUP(Mon_W2[[#This Row],[Employee Name]],'Base Schedules'!$A$113:$AW$158,33,FALSE)),"")</f>
        <v/>
      </c>
      <c r="AI15" s="184" t="str">
        <f>IFERROR(IF(VLOOKUP(Mon_W2[[#This Row],[Employee Name]],'Base Schedules'!$A$113:$AW$158,34,FALSE)="","",VLOOKUP(Mon_W2[[#This Row],[Employee Name]],'Base Schedules'!$A$113:$AW$158,34,FALSE)),"")</f>
        <v/>
      </c>
      <c r="AJ15" s="184" t="str">
        <f>IFERROR(IF(VLOOKUP(Mon_W2[[#This Row],[Employee Name]],'Base Schedules'!$A$113:$AW$158,35,FALSE)="","",VLOOKUP(Mon_W2[[#This Row],[Employee Name]],'Base Schedules'!$A$113:$AW$158,35,FALSE)),"")</f>
        <v/>
      </c>
      <c r="AK15" s="184" t="str">
        <f>IFERROR(IF(VLOOKUP(Mon_W2[[#This Row],[Employee Name]],'Base Schedules'!$A$113:$AW$158,36,FALSE)="","",VLOOKUP(Mon_W2[[#This Row],[Employee Name]],'Base Schedules'!$A$113:$AW$158,36,FALSE)),"")</f>
        <v/>
      </c>
      <c r="AL15" s="184" t="str">
        <f>IFERROR(IF(VLOOKUP(Mon_W2[[#This Row],[Employee Name]],'Base Schedules'!$A$113:$AW$158,37,FALSE)="","",VLOOKUP(Mon_W2[[#This Row],[Employee Name]],'Base Schedules'!$A$113:$AW$158,37,FALSE)),"")</f>
        <v/>
      </c>
      <c r="AM15" s="184" t="str">
        <f>IFERROR(IF(VLOOKUP(Mon_W2[[#This Row],[Employee Name]],'Base Schedules'!$A$113:$AW$158,38,FALSE)="","",VLOOKUP(Mon_W2[[#This Row],[Employee Name]],'Base Schedules'!$A$113:$AW$158,38,FALSE)),"")</f>
        <v/>
      </c>
      <c r="AN15" s="184" t="str">
        <f>IFERROR(IF(VLOOKUP(Mon_W2[[#This Row],[Employee Name]],'Base Schedules'!$A$113:$AW$158,39,FALSE)="","",VLOOKUP(Mon_W2[[#This Row],[Employee Name]],'Base Schedules'!$A$113:$AW$158,39,FALSE)),"")</f>
        <v/>
      </c>
      <c r="AO15" s="184" t="str">
        <f>IFERROR(IF(VLOOKUP(Mon_W2[[#This Row],[Employee Name]],'Base Schedules'!$A$113:$AW$158,40,FALSE)="","",VLOOKUP(Mon_W2[[#This Row],[Employee Name]],'Base Schedules'!$A$113:$AW$158,40,FALSE)),"")</f>
        <v/>
      </c>
      <c r="AP15" s="184" t="str">
        <f>IFERROR(IF(VLOOKUP(Mon_W2[[#This Row],[Employee Name]],'Base Schedules'!$A$113:$AW$158,41,FALSE)="","",VLOOKUP(Mon_W2[[#This Row],[Employee Name]],'Base Schedules'!$A$113:$AW$158,41,FALSE)),"")</f>
        <v/>
      </c>
      <c r="AQ15" s="184" t="str">
        <f>IFERROR(IF(VLOOKUP(Mon_W2[[#This Row],[Employee Name]],'Base Schedules'!$A$113:$AW$158,42,FALSE)="","",VLOOKUP(Mon_W2[[#This Row],[Employee Name]],'Base Schedules'!$A$113:$AW$158,42,FALSE)),"")</f>
        <v/>
      </c>
      <c r="AR15" s="184" t="str">
        <f>IFERROR(IF(VLOOKUP(Mon_W2[[#This Row],[Employee Name]],'Base Schedules'!$A$113:$AW$158,43,FALSE)="","",VLOOKUP(Mon_W2[[#This Row],[Employee Name]],'Base Schedules'!$A$113:$AW$158,43,FALSE)),"")</f>
        <v/>
      </c>
      <c r="AS15" s="184" t="str">
        <f>IFERROR(IF(VLOOKUP(Mon_W2[[#This Row],[Employee Name]],'Base Schedules'!$A$113:$AW$158,44,FALSE)="","",VLOOKUP(Mon_W2[[#This Row],[Employee Name]],'Base Schedules'!$A$113:$AW$158,44,FALSE)),"")</f>
        <v/>
      </c>
      <c r="AT15" s="184" t="str">
        <f>IFERROR(IF(VLOOKUP(Mon_W2[[#This Row],[Employee Name]],'Base Schedules'!$A$113:$AW$158,45,FALSE)="","",VLOOKUP(Mon_W2[[#This Row],[Employee Name]],'Base Schedules'!$A$113:$AW$158,45,FALSE)),"")</f>
        <v/>
      </c>
      <c r="AU15" s="184" t="str">
        <f>IFERROR(IF(VLOOKUP(Mon_W2[[#This Row],[Employee Name]],'Base Schedules'!$A$113:$AW$158,46,FALSE)="","",VLOOKUP(Mon_W2[[#This Row],[Employee Name]],'Base Schedules'!$A$113:$AW$158,46,FALSE)),"")</f>
        <v/>
      </c>
      <c r="AV15" s="184" t="str">
        <f>IFERROR(IF(VLOOKUP(Mon_W2[[#This Row],[Employee Name]],'Base Schedules'!$A$113:$AW$158,47,FALSE)="","",VLOOKUP(Mon_W2[[#This Row],[Employee Name]],'Base Schedules'!$A$113:$AW$158,47,FALSE)),"")</f>
        <v/>
      </c>
      <c r="AW15" s="184" t="str">
        <f>IFERROR(IF(VLOOKUP(Mon_W2[[#This Row],[Employee Name]],'Base Schedules'!$A$113:$AW$158,48,FALSE)="","",VLOOKUP(Mon_W2[[#This Row],[Employee Name]],'Base Schedules'!$A$113:$AW$158,48,FALSE)),"")</f>
        <v/>
      </c>
      <c r="AX15" s="184" t="str">
        <f>IFERROR(IF(VLOOKUP(Mon_W2[[#This Row],[Employee Name]],'Base Schedules'!$A$113:$AW$158,49,FALSE)="","",VLOOKUP(Mon_W2[[#This Row],[Employee Name]],'Base Schedules'!$A$113:$AW$158,49,FALSE)),"")</f>
        <v/>
      </c>
      <c r="AY15" s="159" t="str">
        <f t="shared" si="2"/>
        <v>Albert, Christina</v>
      </c>
    </row>
    <row r="16" spans="1:51" s="44" customFormat="1" ht="12" customHeight="1" x14ac:dyDescent="0.2">
      <c r="A16" s="39" t="e">
        <f>IF(B16="","",INDEX(TeamList[],MATCH($B16,TeamList[[Employee Name]:[Employee Name]],0),MATCH("Manager",TeamList[#Headers],0)))</f>
        <v>#N/A</v>
      </c>
      <c r="B16" s="331" t="s">
        <v>369</v>
      </c>
      <c r="C16" s="257" t="str">
        <f>_xlfn.IFNA(VLOOKUP(Mon_W2[[#This Row],[Employee Name]],'Base Schedules'!A:B,2,FALSE),"")</f>
        <v>Supervisor</v>
      </c>
      <c r="D16" s="274">
        <f>_xlfn.IFNA(VLOOKUP(Mon_W2[[#This Row],[Employee Name]],'Base Schedules'!A:C,3,FALSE),"")</f>
        <v>600</v>
      </c>
      <c r="E16" s="274">
        <f>_xlfn.IFNA(VLOOKUP(Mon_W2[[#This Row],[Employee Name]],'Base Schedules'!A:D,4,FALSE),"")</f>
        <v>1500</v>
      </c>
      <c r="F16" s="142">
        <f>IF(Mon_W2[[#This Row],[Employee Name]]="","",IF(Mon_W2[[#This Row],[Dept]]="Supervisor",COUNTIFS($J16:$AX16,"*HL*",$J16:$AX16,"&lt;&gt;"&amp;"pHL"),COUNTIFS($J16:$AX16,"*HL*",$J16:$AX16,"&lt;&gt;"&amp;"*pHL*",$J16:$AX16,"&lt;&gt;"&amp;"pB1 HL",$J16:$AX16,"&lt;&gt;"&amp;"pB2 HL")-SUM(COUNTIFS($J16:$AX16,"*HL B1*",$J16:$AX16,"&lt;&gt;"&amp;"pHL B1")*0.5,COUNTIFS($J16:$AX16,"*HL B2*",$J16:$AX16,"&lt;&gt;"&amp;"pHL B2")*0.5,COUNTIFS($J16:$AX16,"*B1 HL*",$J16:$AX16,"&lt;&gt;"&amp;"pB1 HL")*0.5,COUNTIFS($J16:$AX16,"*B2 HL*",$J16:$AX16,"&lt;&gt;"&amp;"pB2 HL")*0.5)))</f>
        <v>0</v>
      </c>
      <c r="G16" s="142">
        <f t="shared" si="0"/>
        <v>0</v>
      </c>
      <c r="H16" s="142">
        <f t="shared" si="1"/>
        <v>0</v>
      </c>
      <c r="I16" s="142">
        <f>IF(Mon_W2[[#This Row],[Employee Name]]="","",IF(Mon_W2[[#This Row],[Dept]]="Supervisor",SUM(COUNTIFS($J16:$AX16,"RTA*",$J16:$AX16,"&lt;&gt;"&amp;"pRTA"),COUNTIFS($J16:$AX16,"*CRTA*",$J16:$AX16,"&lt;&gt;"&amp;"pCRTA")),COUNTIFS($J16:$AX16,"*RNNR*",$J16:$AX16,"&lt;&gt;"&amp;"*pRNNR*",$J16:$AX16,"&lt;&gt;"&amp;"pB1 RNNR",$J16:$AX16,"&lt;&gt;"&amp;"pB2 RNNR")-SUM(COUNTIFS($J16:$AX16,"*RNNR B1*",$J16:$AX16,"&lt;&gt;"&amp;"pRNNR B1")*0.5,COUNTIFS($J16:$AX16,"*RNNR B2*",$J16:$AX16,"&lt;&gt;"&amp;"pRNNR B2")*0.5,COUNTIFS($J16:$AX16,"*B1 RNNR*",$J16:$AX16,"&lt;&gt;"&amp;"pB1 RNNR")*0.5,COUNTIFS($J16:$AX16,"*B2 RNNR*",$J16:$AX16,"&lt;&gt;"&amp;"pB2 RNNR")*0.5)))</f>
        <v>0</v>
      </c>
      <c r="J16" s="184" t="str">
        <f>IFERROR(IF(VLOOKUP(Mon_W2[[#This Row],[Employee Name]],'Base Schedules'!$A$113:$AW$158,9,FALSE)="","",VLOOKUP(Mon_W2[[#This Row],[Employee Name]],'Base Schedules'!$A$113:$AW$158,9,FALSE)),"")</f>
        <v/>
      </c>
      <c r="K16" s="184" t="str">
        <f>IFERROR(IF(VLOOKUP(Mon_W2[[#This Row],[Employee Name]],'Base Schedules'!$A$113:$AW$158,10,FALSE)="","",VLOOKUP(Mon_W2[[#This Row],[Employee Name]],'Base Schedules'!$A$113:$AW$158,10,FALSE)),"")</f>
        <v/>
      </c>
      <c r="L16" s="184" t="str">
        <f>IFERROR(IF(VLOOKUP(Mon_W2[[#This Row],[Employee Name]],'Base Schedules'!$A$113:$AW$158,11,FALSE)="","",VLOOKUP(Mon_W2[[#This Row],[Employee Name]],'Base Schedules'!$A$113:$AW$158,11,FALSE)),"")</f>
        <v>-</v>
      </c>
      <c r="M16" s="184" t="str">
        <f>IFERROR(IF(VLOOKUP(Mon_W2[[#This Row],[Employee Name]],'Base Schedules'!$A$113:$AW$158,12,FALSE)="","",VLOOKUP(Mon_W2[[#This Row],[Employee Name]],'Base Schedules'!$A$113:$AW$158,12,FALSE)),"")</f>
        <v>-</v>
      </c>
      <c r="N16" s="184" t="str">
        <f>IFERROR(IF(VLOOKUP(Mon_W2[[#This Row],[Employee Name]],'Base Schedules'!$A$113:$AW$158,13,FALSE)="","",VLOOKUP(Mon_W2[[#This Row],[Employee Name]],'Base Schedules'!$A$113:$AW$158,13,FALSE)),"")</f>
        <v>-</v>
      </c>
      <c r="O16" s="184" t="str">
        <f>IFERROR(IF(VLOOKUP(Mon_W2[[#This Row],[Employee Name]],'Base Schedules'!$A$113:$AW$158,14,FALSE)="","",VLOOKUP(Mon_W2[[#This Row],[Employee Name]],'Base Schedules'!$A$113:$AW$158,14,FALSE)),"")</f>
        <v>-</v>
      </c>
      <c r="P16" s="184" t="str">
        <f>IFERROR(IF(VLOOKUP(Mon_W2[[#This Row],[Employee Name]],'Base Schedules'!$A$113:$AW$158,15,FALSE)="","",VLOOKUP(Mon_W2[[#This Row],[Employee Name]],'Base Schedules'!$A$113:$AW$158,15,FALSE)),"")</f>
        <v>-</v>
      </c>
      <c r="Q16" s="184" t="str">
        <f>IFERROR(IF(VLOOKUP(Mon_W2[[#This Row],[Employee Name]],'Base Schedules'!$A$113:$AW$158,16,FALSE)="","",VLOOKUP(Mon_W2[[#This Row],[Employee Name]],'Base Schedules'!$A$113:$AW$158,16,FALSE)),"")</f>
        <v>-</v>
      </c>
      <c r="R16" s="184" t="str">
        <f>IFERROR(IF(VLOOKUP(Mon_W2[[#This Row],[Employee Name]],'Base Schedules'!$A$113:$AW$158,17,FALSE)="","",VLOOKUP(Mon_W2[[#This Row],[Employee Name]],'Base Schedules'!$A$113:$AW$158,17,FALSE)),"")</f>
        <v>Interview</v>
      </c>
      <c r="S16" s="184" t="str">
        <f>IFERROR(IF(VLOOKUP(Mon_W2[[#This Row],[Employee Name]],'Base Schedules'!$A$113:$AW$158,18,FALSE)="","",VLOOKUP(Mon_W2[[#This Row],[Employee Name]],'Base Schedules'!$A$113:$AW$158,18,FALSE)),"")</f>
        <v>Interview</v>
      </c>
      <c r="T16" s="184" t="str">
        <f>IFERROR(IF(VLOOKUP(Mon_W2[[#This Row],[Employee Name]],'Base Schedules'!$A$113:$AW$158,19,FALSE)="","",VLOOKUP(Mon_W2[[#This Row],[Employee Name]],'Base Schedules'!$A$113:$AW$158,19,FALSE)),"")</f>
        <v>-</v>
      </c>
      <c r="U16" s="184" t="str">
        <f>IFERROR(IF(VLOOKUP(Mon_W2[[#This Row],[Employee Name]],'Base Schedules'!$A$113:$AW$158,20,FALSE)="","",VLOOKUP(Mon_W2[[#This Row],[Employee Name]],'Base Schedules'!$A$113:$AW$158,20,FALSE)),"")</f>
        <v>-</v>
      </c>
      <c r="V16" s="184" t="str">
        <f>IFERROR(IF(VLOOKUP(Mon_W2[[#This Row],[Employee Name]],'Base Schedules'!$A$113:$AW$158,21,FALSE)="","",VLOOKUP(Mon_W2[[#This Row],[Employee Name]],'Base Schedules'!$A$113:$AW$158,21,FALSE)),"")</f>
        <v>-</v>
      </c>
      <c r="W16" s="184" t="str">
        <f>IFERROR(IF(VLOOKUP(Mon_W2[[#This Row],[Employee Name]],'Base Schedules'!$A$113:$AW$158,22,FALSE)="","",VLOOKUP(Mon_W2[[#This Row],[Employee Name]],'Base Schedules'!$A$113:$AW$158,22,FALSE)),"")</f>
        <v>-</v>
      </c>
      <c r="X16" s="184" t="str">
        <f>IFERROR(IF(VLOOKUP(Mon_W2[[#This Row],[Employee Name]],'Base Schedules'!$A$113:$AW$158,23,FALSE)="","",VLOOKUP(Mon_W2[[#This Row],[Employee Name]],'Base Schedules'!$A$113:$AW$158,23,FALSE)),"")</f>
        <v>-</v>
      </c>
      <c r="Y16" s="184" t="str">
        <f>IFERROR(IF(VLOOKUP(Mon_W2[[#This Row],[Employee Name]],'Base Schedules'!$A$113:$AW$158,24,FALSE)="","",VLOOKUP(Mon_W2[[#This Row],[Employee Name]],'Base Schedules'!$A$113:$AW$158,24,FALSE)),"")</f>
        <v>-</v>
      </c>
      <c r="Z16" s="184" t="str">
        <f>IFERROR(IF(VLOOKUP(Mon_W2[[#This Row],[Employee Name]],'Base Schedules'!$A$113:$AW$158,25,FALSE)="","",VLOOKUP(Mon_W2[[#This Row],[Employee Name]],'Base Schedules'!$A$113:$AW$158,25,FALSE)),"")</f>
        <v>Team Matt TM</v>
      </c>
      <c r="AA16" s="184" t="str">
        <f>IFERROR(IF(VLOOKUP(Mon_W2[[#This Row],[Employee Name]],'Base Schedules'!$A$113:$AW$158,26,FALSE)="","",VLOOKUP(Mon_W2[[#This Row],[Employee Name]],'Base Schedules'!$A$113:$AW$158,26,FALSE)),"")</f>
        <v>Team Matt TM</v>
      </c>
      <c r="AB16" s="184" t="str">
        <f>IFERROR(IF(VLOOKUP(Mon_W2[[#This Row],[Employee Name]],'Base Schedules'!$A$113:$AW$158,27,FALSE)="","",VLOOKUP(Mon_W2[[#This Row],[Employee Name]],'Base Schedules'!$A$113:$AW$158,27,FALSE)),"")</f>
        <v>-</v>
      </c>
      <c r="AC16" s="184" t="str">
        <f>IFERROR(IF(VLOOKUP(Mon_W2[[#This Row],[Employee Name]],'Base Schedules'!$A$113:$AW$158,28,FALSE)="","",VLOOKUP(Mon_W2[[#This Row],[Employee Name]],'Base Schedules'!$A$113:$AW$158,28,FALSE)),"")</f>
        <v>-</v>
      </c>
      <c r="AD16" s="184" t="str">
        <f>IFERROR(IF(VLOOKUP(Mon_W2[[#This Row],[Employee Name]],'Base Schedules'!$A$113:$AW$158,29,FALSE)="","",VLOOKUP(Mon_W2[[#This Row],[Employee Name]],'Base Schedules'!$A$113:$AW$158,29,FALSE)),"")</f>
        <v/>
      </c>
      <c r="AE16" s="184" t="str">
        <f>IFERROR(IF(VLOOKUP(Mon_W2[[#This Row],[Employee Name]],'Base Schedules'!$A$113:$AW$158,30,FALSE)="","",VLOOKUP(Mon_W2[[#This Row],[Employee Name]],'Base Schedules'!$A$113:$AW$158,30,FALSE)),"")</f>
        <v/>
      </c>
      <c r="AF16" s="184" t="str">
        <f>IFERROR(IF(VLOOKUP(Mon_W2[[#This Row],[Employee Name]],'Base Schedules'!$A$113:$AW$158,31,FALSE)="","",VLOOKUP(Mon_W2[[#This Row],[Employee Name]],'Base Schedules'!$A$113:$AW$158,31,FALSE)),"")</f>
        <v/>
      </c>
      <c r="AG16" s="184" t="str">
        <f>IFERROR(IF(VLOOKUP(Mon_W2[[#This Row],[Employee Name]],'Base Schedules'!$A$113:$AW$158,32,FALSE)="","",VLOOKUP(Mon_W2[[#This Row],[Employee Name]],'Base Schedules'!$A$113:$AW$158,32,FALSE)),"")</f>
        <v/>
      </c>
      <c r="AH16" s="184" t="str">
        <f>IFERROR(IF(VLOOKUP(Mon_W2[[#This Row],[Employee Name]],'Base Schedules'!$A$113:$AW$158,33,FALSE)="","",VLOOKUP(Mon_W2[[#This Row],[Employee Name]],'Base Schedules'!$A$113:$AW$158,33,FALSE)),"")</f>
        <v/>
      </c>
      <c r="AI16" s="184" t="str">
        <f>IFERROR(IF(VLOOKUP(Mon_W2[[#This Row],[Employee Name]],'Base Schedules'!$A$113:$AW$158,34,FALSE)="","",VLOOKUP(Mon_W2[[#This Row],[Employee Name]],'Base Schedules'!$A$113:$AW$158,34,FALSE)),"")</f>
        <v/>
      </c>
      <c r="AJ16" s="184" t="str">
        <f>IFERROR(IF(VLOOKUP(Mon_W2[[#This Row],[Employee Name]],'Base Schedules'!$A$113:$AW$158,35,FALSE)="","",VLOOKUP(Mon_W2[[#This Row],[Employee Name]],'Base Schedules'!$A$113:$AW$158,35,FALSE)),"")</f>
        <v/>
      </c>
      <c r="AK16" s="184" t="str">
        <f>IFERROR(IF(VLOOKUP(Mon_W2[[#This Row],[Employee Name]],'Base Schedules'!$A$113:$AW$158,36,FALSE)="","",VLOOKUP(Mon_W2[[#This Row],[Employee Name]],'Base Schedules'!$A$113:$AW$158,36,FALSE)),"")</f>
        <v/>
      </c>
      <c r="AL16" s="184" t="str">
        <f>IFERROR(IF(VLOOKUP(Mon_W2[[#This Row],[Employee Name]],'Base Schedules'!$A$113:$AW$158,37,FALSE)="","",VLOOKUP(Mon_W2[[#This Row],[Employee Name]],'Base Schedules'!$A$113:$AW$158,37,FALSE)),"")</f>
        <v/>
      </c>
      <c r="AM16" s="184" t="str">
        <f>IFERROR(IF(VLOOKUP(Mon_W2[[#This Row],[Employee Name]],'Base Schedules'!$A$113:$AW$158,38,FALSE)="","",VLOOKUP(Mon_W2[[#This Row],[Employee Name]],'Base Schedules'!$A$113:$AW$158,38,FALSE)),"")</f>
        <v/>
      </c>
      <c r="AN16" s="184" t="str">
        <f>IFERROR(IF(VLOOKUP(Mon_W2[[#This Row],[Employee Name]],'Base Schedules'!$A$113:$AW$158,39,FALSE)="","",VLOOKUP(Mon_W2[[#This Row],[Employee Name]],'Base Schedules'!$A$113:$AW$158,39,FALSE)),"")</f>
        <v/>
      </c>
      <c r="AO16" s="184" t="str">
        <f>IFERROR(IF(VLOOKUP(Mon_W2[[#This Row],[Employee Name]],'Base Schedules'!$A$113:$AW$158,40,FALSE)="","",VLOOKUP(Mon_W2[[#This Row],[Employee Name]],'Base Schedules'!$A$113:$AW$158,40,FALSE)),"")</f>
        <v/>
      </c>
      <c r="AP16" s="184" t="str">
        <f>IFERROR(IF(VLOOKUP(Mon_W2[[#This Row],[Employee Name]],'Base Schedules'!$A$113:$AW$158,41,FALSE)="","",VLOOKUP(Mon_W2[[#This Row],[Employee Name]],'Base Schedules'!$A$113:$AW$158,41,FALSE)),"")</f>
        <v/>
      </c>
      <c r="AQ16" s="184" t="str">
        <f>IFERROR(IF(VLOOKUP(Mon_W2[[#This Row],[Employee Name]],'Base Schedules'!$A$113:$AW$158,42,FALSE)="","",VLOOKUP(Mon_W2[[#This Row],[Employee Name]],'Base Schedules'!$A$113:$AW$158,42,FALSE)),"")</f>
        <v/>
      </c>
      <c r="AR16" s="184" t="str">
        <f>IFERROR(IF(VLOOKUP(Mon_W2[[#This Row],[Employee Name]],'Base Schedules'!$A$113:$AW$158,43,FALSE)="","",VLOOKUP(Mon_W2[[#This Row],[Employee Name]],'Base Schedules'!$A$113:$AW$158,43,FALSE)),"")</f>
        <v/>
      </c>
      <c r="AS16" s="184" t="str">
        <f>IFERROR(IF(VLOOKUP(Mon_W2[[#This Row],[Employee Name]],'Base Schedules'!$A$113:$AW$158,44,FALSE)="","",VLOOKUP(Mon_W2[[#This Row],[Employee Name]],'Base Schedules'!$A$113:$AW$158,44,FALSE)),"")</f>
        <v/>
      </c>
      <c r="AT16" s="184" t="str">
        <f>IFERROR(IF(VLOOKUP(Mon_W2[[#This Row],[Employee Name]],'Base Schedules'!$A$113:$AW$158,45,FALSE)="","",VLOOKUP(Mon_W2[[#This Row],[Employee Name]],'Base Schedules'!$A$113:$AW$158,45,FALSE)),"")</f>
        <v/>
      </c>
      <c r="AU16" s="184" t="str">
        <f>IFERROR(IF(VLOOKUP(Mon_W2[[#This Row],[Employee Name]],'Base Schedules'!$A$113:$AW$158,46,FALSE)="","",VLOOKUP(Mon_W2[[#This Row],[Employee Name]],'Base Schedules'!$A$113:$AW$158,46,FALSE)),"")</f>
        <v/>
      </c>
      <c r="AV16" s="184" t="str">
        <f>IFERROR(IF(VLOOKUP(Mon_W2[[#This Row],[Employee Name]],'Base Schedules'!$A$113:$AW$158,47,FALSE)="","",VLOOKUP(Mon_W2[[#This Row],[Employee Name]],'Base Schedules'!$A$113:$AW$158,47,FALSE)),"")</f>
        <v/>
      </c>
      <c r="AW16" s="184" t="str">
        <f>IFERROR(IF(VLOOKUP(Mon_W2[[#This Row],[Employee Name]],'Base Schedules'!$A$113:$AW$158,48,FALSE)="","",VLOOKUP(Mon_W2[[#This Row],[Employee Name]],'Base Schedules'!$A$113:$AW$158,48,FALSE)),"")</f>
        <v/>
      </c>
      <c r="AX16" s="184" t="str">
        <f>IFERROR(IF(VLOOKUP(Mon_W2[[#This Row],[Employee Name]],'Base Schedules'!$A$113:$AW$158,49,FALSE)="","",VLOOKUP(Mon_W2[[#This Row],[Employee Name]],'Base Schedules'!$A$113:$AW$158,49,FALSE)),"")</f>
        <v/>
      </c>
      <c r="AY16" s="159" t="str">
        <f t="shared" si="2"/>
        <v>Madamba, Rocky</v>
      </c>
    </row>
    <row r="17" spans="1:51" s="44" customFormat="1" ht="12" customHeight="1" x14ac:dyDescent="0.2">
      <c r="A17" s="39" t="str">
        <f>IF(B17="","",INDEX(TeamList[],MATCH($B17,TeamList[[Employee Name]:[Employee Name]],0),MATCH("Manager",TeamList[#Headers],0)))</f>
        <v>Paulson, Matthew</v>
      </c>
      <c r="B17" s="201" t="s">
        <v>20</v>
      </c>
      <c r="C17" s="257" t="str">
        <f>_xlfn.IFNA(VLOOKUP(Mon_W2[[#This Row],[Employee Name]],'Base Schedules'!A:B,2,FALSE),"")</f>
        <v>Supervisor</v>
      </c>
      <c r="D17" s="274">
        <f>_xlfn.IFNA(VLOOKUP(Mon_W2[[#This Row],[Employee Name]],'Base Schedules'!A:C,3,FALSE),"")</f>
        <v>600</v>
      </c>
      <c r="E17" s="274">
        <f>_xlfn.IFNA(VLOOKUP(Mon_W2[[#This Row],[Employee Name]],'Base Schedules'!A:D,4,FALSE),"")</f>
        <v>1500</v>
      </c>
      <c r="F17" s="142">
        <f>IF(Mon_W2[[#This Row],[Employee Name]]="","",IF(Mon_W2[[#This Row],[Dept]]="Supervisor",COUNTIFS($J17:$AX17,"*HL*",$J17:$AX17,"&lt;&gt;"&amp;"pHL"),COUNTIFS($J17:$AX17,"*HL*",$J17:$AX17,"&lt;&gt;"&amp;"*pHL*",$J17:$AX17,"&lt;&gt;"&amp;"pB1 HL",$J17:$AX17,"&lt;&gt;"&amp;"pB2 HL")-SUM(COUNTIFS($J17:$AX17,"*HL B1*",$J17:$AX17,"&lt;&gt;"&amp;"pHL B1")*0.5,COUNTIFS($J17:$AX17,"*HL B2*",$J17:$AX17,"&lt;&gt;"&amp;"pHL B2")*0.5,COUNTIFS($J17:$AX17,"*B1 HL*",$J17:$AX17,"&lt;&gt;"&amp;"pB1 HL")*0.5,COUNTIFS($J17:$AX17,"*B2 HL*",$J17:$AX17,"&lt;&gt;"&amp;"pB2 HL")*0.5)))</f>
        <v>0</v>
      </c>
      <c r="G17" s="142">
        <f t="shared" si="0"/>
        <v>0</v>
      </c>
      <c r="H17" s="142">
        <f t="shared" si="1"/>
        <v>0</v>
      </c>
      <c r="I17" s="142">
        <f>IF(Mon_W2[[#This Row],[Employee Name]]="","",IF(Mon_W2[[#This Row],[Dept]]="Supervisor",SUM(COUNTIFS($J17:$AX17,"RTA*",$J17:$AX17,"&lt;&gt;"&amp;"pRTA"),COUNTIFS($J17:$AX17,"*CRTA*",$J17:$AX17,"&lt;&gt;"&amp;"pCRTA")),COUNTIFS($J17:$AX17,"*RNNR*",$J17:$AX17,"&lt;&gt;"&amp;"*pRNNR*",$J17:$AX17,"&lt;&gt;"&amp;"pB1 RNNR",$J17:$AX17,"&lt;&gt;"&amp;"pB2 RNNR")-SUM(COUNTIFS($J17:$AX17,"*RNNR B1*",$J17:$AX17,"&lt;&gt;"&amp;"pRNNR B1")*0.5,COUNTIFS($J17:$AX17,"*RNNR B2*",$J17:$AX17,"&lt;&gt;"&amp;"pRNNR B2")*0.5,COUNTIFS($J17:$AX17,"*B1 RNNR*",$J17:$AX17,"&lt;&gt;"&amp;"pB1 RNNR")*0.5,COUNTIFS($J17:$AX17,"*B2 RNNR*",$J17:$AX17,"&lt;&gt;"&amp;"pB2 RNNR")*0.5)))</f>
        <v>0</v>
      </c>
      <c r="J17" s="184" t="str">
        <f>IFERROR(IF(VLOOKUP(Mon_W2[[#This Row],[Employee Name]],'Base Schedules'!$A$113:$AW$158,9,FALSE)="","",VLOOKUP(Mon_W2[[#This Row],[Employee Name]],'Base Schedules'!$A$113:$AW$158,9,FALSE)),"")</f>
        <v/>
      </c>
      <c r="K17" s="184" t="str">
        <f>IFERROR(IF(VLOOKUP(Mon_W2[[#This Row],[Employee Name]],'Base Schedules'!$A$113:$AW$158,10,FALSE)="","",VLOOKUP(Mon_W2[[#This Row],[Employee Name]],'Base Schedules'!$A$113:$AW$158,10,FALSE)),"")</f>
        <v/>
      </c>
      <c r="L17" s="184" t="str">
        <f>IFERROR(IF(VLOOKUP(Mon_W2[[#This Row],[Employee Name]],'Base Schedules'!$A$113:$AW$158,11,FALSE)="","",VLOOKUP(Mon_W2[[#This Row],[Employee Name]],'Base Schedules'!$A$113:$AW$158,11,FALSE)),"")</f>
        <v>-</v>
      </c>
      <c r="M17" s="184" t="str">
        <f>IFERROR(IF(VLOOKUP(Mon_W2[[#This Row],[Employee Name]],'Base Schedules'!$A$113:$AW$158,12,FALSE)="","",VLOOKUP(Mon_W2[[#This Row],[Employee Name]],'Base Schedules'!$A$113:$AW$158,12,FALSE)),"")</f>
        <v>-</v>
      </c>
      <c r="N17" s="184" t="str">
        <f>IFERROR(IF(VLOOKUP(Mon_W2[[#This Row],[Employee Name]],'Base Schedules'!$A$113:$AW$158,13,FALSE)="","",VLOOKUP(Mon_W2[[#This Row],[Employee Name]],'Base Schedules'!$A$113:$AW$158,13,FALSE)),"")</f>
        <v>-</v>
      </c>
      <c r="O17" s="184" t="str">
        <f>IFERROR(IF(VLOOKUP(Mon_W2[[#This Row],[Employee Name]],'Base Schedules'!$A$113:$AW$158,14,FALSE)="","",VLOOKUP(Mon_W2[[#This Row],[Employee Name]],'Base Schedules'!$A$113:$AW$158,14,FALSE)),"")</f>
        <v>-</v>
      </c>
      <c r="P17" s="184" t="str">
        <f>IFERROR(IF(VLOOKUP(Mon_W2[[#This Row],[Employee Name]],'Base Schedules'!$A$113:$AW$158,15,FALSE)="","",VLOOKUP(Mon_W2[[#This Row],[Employee Name]],'Base Schedules'!$A$113:$AW$158,15,FALSE)),"")</f>
        <v>-</v>
      </c>
      <c r="Q17" s="184" t="str">
        <f>IFERROR(IF(VLOOKUP(Mon_W2[[#This Row],[Employee Name]],'Base Schedules'!$A$113:$AW$158,16,FALSE)="","",VLOOKUP(Mon_W2[[#This Row],[Employee Name]],'Base Schedules'!$A$113:$AW$158,16,FALSE)),"")</f>
        <v>-</v>
      </c>
      <c r="R17" s="184" t="str">
        <f>IFERROR(IF(VLOOKUP(Mon_W2[[#This Row],[Employee Name]],'Base Schedules'!$A$113:$AW$158,17,FALSE)="","",VLOOKUP(Mon_W2[[#This Row],[Employee Name]],'Base Schedules'!$A$113:$AW$158,17,FALSE)),"")</f>
        <v>-</v>
      </c>
      <c r="S17" s="184" t="str">
        <f>IFERROR(IF(VLOOKUP(Mon_W2[[#This Row],[Employee Name]],'Base Schedules'!$A$113:$AW$158,18,FALSE)="","",VLOOKUP(Mon_W2[[#This Row],[Employee Name]],'Base Schedules'!$A$113:$AW$158,18,FALSE)),"")</f>
        <v>-</v>
      </c>
      <c r="T17" s="184" t="str">
        <f>IFERROR(IF(VLOOKUP(Mon_W2[[#This Row],[Employee Name]],'Base Schedules'!$A$113:$AW$158,19,FALSE)="","",VLOOKUP(Mon_W2[[#This Row],[Employee Name]],'Base Schedules'!$A$113:$AW$158,19,FALSE)),"")</f>
        <v>Interview</v>
      </c>
      <c r="U17" s="184" t="str">
        <f>IFERROR(IF(VLOOKUP(Mon_W2[[#This Row],[Employee Name]],'Base Schedules'!$A$113:$AW$158,20,FALSE)="","",VLOOKUP(Mon_W2[[#This Row],[Employee Name]],'Base Schedules'!$A$113:$AW$158,20,FALSE)),"")</f>
        <v>Interview</v>
      </c>
      <c r="V17" s="184" t="str">
        <f>IFERROR(IF(VLOOKUP(Mon_W2[[#This Row],[Employee Name]],'Base Schedules'!$A$113:$AW$158,21,FALSE)="","",VLOOKUP(Mon_W2[[#This Row],[Employee Name]],'Base Schedules'!$A$113:$AW$158,21,FALSE)),"")</f>
        <v>-</v>
      </c>
      <c r="W17" s="184" t="str">
        <f>IFERROR(IF(VLOOKUP(Mon_W2[[#This Row],[Employee Name]],'Base Schedules'!$A$113:$AW$158,22,FALSE)="","",VLOOKUP(Mon_W2[[#This Row],[Employee Name]],'Base Schedules'!$A$113:$AW$158,22,FALSE)),"")</f>
        <v>-</v>
      </c>
      <c r="X17" s="184" t="str">
        <f>IFERROR(IF(VLOOKUP(Mon_W2[[#This Row],[Employee Name]],'Base Schedules'!$A$113:$AW$158,23,FALSE)="","",VLOOKUP(Mon_W2[[#This Row],[Employee Name]],'Base Schedules'!$A$113:$AW$158,23,FALSE)),"")</f>
        <v>-</v>
      </c>
      <c r="Y17" s="184" t="str">
        <f>IFERROR(IF(VLOOKUP(Mon_W2[[#This Row],[Employee Name]],'Base Schedules'!$A$113:$AW$158,24,FALSE)="","",VLOOKUP(Mon_W2[[#This Row],[Employee Name]],'Base Schedules'!$A$113:$AW$158,24,FALSE)),"")</f>
        <v>-</v>
      </c>
      <c r="Z17" s="184" t="str">
        <f>IFERROR(IF(VLOOKUP(Mon_W2[[#This Row],[Employee Name]],'Base Schedules'!$A$113:$AW$158,25,FALSE)="","",VLOOKUP(Mon_W2[[#This Row],[Employee Name]],'Base Schedules'!$A$113:$AW$158,25,FALSE)),"")</f>
        <v>-</v>
      </c>
      <c r="AA17" s="184" t="str">
        <f>IFERROR(IF(VLOOKUP(Mon_W2[[#This Row],[Employee Name]],'Base Schedules'!$A$113:$AW$158,26,FALSE)="","",VLOOKUP(Mon_W2[[#This Row],[Employee Name]],'Base Schedules'!$A$113:$AW$158,26,FALSE)),"")</f>
        <v>-</v>
      </c>
      <c r="AB17" s="184" t="str">
        <f>IFERROR(IF(VLOOKUP(Mon_W2[[#This Row],[Employee Name]],'Base Schedules'!$A$113:$AW$158,27,FALSE)="","",VLOOKUP(Mon_W2[[#This Row],[Employee Name]],'Base Schedules'!$A$113:$AW$158,27,FALSE)),"")</f>
        <v>-</v>
      </c>
      <c r="AC17" s="184" t="str">
        <f>IFERROR(IF(VLOOKUP(Mon_W2[[#This Row],[Employee Name]],'Base Schedules'!$A$113:$AW$158,28,FALSE)="","",VLOOKUP(Mon_W2[[#This Row],[Employee Name]],'Base Schedules'!$A$113:$AW$158,28,FALSE)),"")</f>
        <v>-</v>
      </c>
      <c r="AD17" s="184" t="str">
        <f>IFERROR(IF(VLOOKUP(Mon_W2[[#This Row],[Employee Name]],'Base Schedules'!$A$113:$AW$158,29,FALSE)="","",VLOOKUP(Mon_W2[[#This Row],[Employee Name]],'Base Schedules'!$A$113:$AW$158,29,FALSE)),"")</f>
        <v/>
      </c>
      <c r="AE17" s="184" t="str">
        <f>IFERROR(IF(VLOOKUP(Mon_W2[[#This Row],[Employee Name]],'Base Schedules'!$A$113:$AW$158,30,FALSE)="","",VLOOKUP(Mon_W2[[#This Row],[Employee Name]],'Base Schedules'!$A$113:$AW$158,30,FALSE)),"")</f>
        <v/>
      </c>
      <c r="AF17" s="184" t="str">
        <f>IFERROR(IF(VLOOKUP(Mon_W2[[#This Row],[Employee Name]],'Base Schedules'!$A$113:$AW$158,31,FALSE)="","",VLOOKUP(Mon_W2[[#This Row],[Employee Name]],'Base Schedules'!$A$113:$AW$158,31,FALSE)),"")</f>
        <v/>
      </c>
      <c r="AG17" s="184" t="str">
        <f>IFERROR(IF(VLOOKUP(Mon_W2[[#This Row],[Employee Name]],'Base Schedules'!$A$113:$AW$158,32,FALSE)="","",VLOOKUP(Mon_W2[[#This Row],[Employee Name]],'Base Schedules'!$A$113:$AW$158,32,FALSE)),"")</f>
        <v/>
      </c>
      <c r="AH17" s="184" t="str">
        <f>IFERROR(IF(VLOOKUP(Mon_W2[[#This Row],[Employee Name]],'Base Schedules'!$A$113:$AW$158,33,FALSE)="","",VLOOKUP(Mon_W2[[#This Row],[Employee Name]],'Base Schedules'!$A$113:$AW$158,33,FALSE)),"")</f>
        <v/>
      </c>
      <c r="AI17" s="184" t="str">
        <f>IFERROR(IF(VLOOKUP(Mon_W2[[#This Row],[Employee Name]],'Base Schedules'!$A$113:$AW$158,34,FALSE)="","",VLOOKUP(Mon_W2[[#This Row],[Employee Name]],'Base Schedules'!$A$113:$AW$158,34,FALSE)),"")</f>
        <v/>
      </c>
      <c r="AJ17" s="184" t="str">
        <f>IFERROR(IF(VLOOKUP(Mon_W2[[#This Row],[Employee Name]],'Base Schedules'!$A$113:$AW$158,35,FALSE)="","",VLOOKUP(Mon_W2[[#This Row],[Employee Name]],'Base Schedules'!$A$113:$AW$158,35,FALSE)),"")</f>
        <v/>
      </c>
      <c r="AK17" s="184" t="str">
        <f>IFERROR(IF(VLOOKUP(Mon_W2[[#This Row],[Employee Name]],'Base Schedules'!$A$113:$AW$158,36,FALSE)="","",VLOOKUP(Mon_W2[[#This Row],[Employee Name]],'Base Schedules'!$A$113:$AW$158,36,FALSE)),"")</f>
        <v/>
      </c>
      <c r="AL17" s="184" t="str">
        <f>IFERROR(IF(VLOOKUP(Mon_W2[[#This Row],[Employee Name]],'Base Schedules'!$A$113:$AW$158,37,FALSE)="","",VLOOKUP(Mon_W2[[#This Row],[Employee Name]],'Base Schedules'!$A$113:$AW$158,37,FALSE)),"")</f>
        <v/>
      </c>
      <c r="AM17" s="184" t="str">
        <f>IFERROR(IF(VLOOKUP(Mon_W2[[#This Row],[Employee Name]],'Base Schedules'!$A$113:$AW$158,38,FALSE)="","",VLOOKUP(Mon_W2[[#This Row],[Employee Name]],'Base Schedules'!$A$113:$AW$158,38,FALSE)),"")</f>
        <v/>
      </c>
      <c r="AN17" s="184" t="str">
        <f>IFERROR(IF(VLOOKUP(Mon_W2[[#This Row],[Employee Name]],'Base Schedules'!$A$113:$AW$158,39,FALSE)="","",VLOOKUP(Mon_W2[[#This Row],[Employee Name]],'Base Schedules'!$A$113:$AW$158,39,FALSE)),"")</f>
        <v/>
      </c>
      <c r="AO17" s="184" t="str">
        <f>IFERROR(IF(VLOOKUP(Mon_W2[[#This Row],[Employee Name]],'Base Schedules'!$A$113:$AW$158,40,FALSE)="","",VLOOKUP(Mon_W2[[#This Row],[Employee Name]],'Base Schedules'!$A$113:$AW$158,40,FALSE)),"")</f>
        <v/>
      </c>
      <c r="AP17" s="184" t="str">
        <f>IFERROR(IF(VLOOKUP(Mon_W2[[#This Row],[Employee Name]],'Base Schedules'!$A$113:$AW$158,41,FALSE)="","",VLOOKUP(Mon_W2[[#This Row],[Employee Name]],'Base Schedules'!$A$113:$AW$158,41,FALSE)),"")</f>
        <v/>
      </c>
      <c r="AQ17" s="184" t="str">
        <f>IFERROR(IF(VLOOKUP(Mon_W2[[#This Row],[Employee Name]],'Base Schedules'!$A$113:$AW$158,42,FALSE)="","",VLOOKUP(Mon_W2[[#This Row],[Employee Name]],'Base Schedules'!$A$113:$AW$158,42,FALSE)),"")</f>
        <v/>
      </c>
      <c r="AR17" s="184" t="str">
        <f>IFERROR(IF(VLOOKUP(Mon_W2[[#This Row],[Employee Name]],'Base Schedules'!$A$113:$AW$158,43,FALSE)="","",VLOOKUP(Mon_W2[[#This Row],[Employee Name]],'Base Schedules'!$A$113:$AW$158,43,FALSE)),"")</f>
        <v/>
      </c>
      <c r="AS17" s="184" t="str">
        <f>IFERROR(IF(VLOOKUP(Mon_W2[[#This Row],[Employee Name]],'Base Schedules'!$A$113:$AW$158,44,FALSE)="","",VLOOKUP(Mon_W2[[#This Row],[Employee Name]],'Base Schedules'!$A$113:$AW$158,44,FALSE)),"")</f>
        <v/>
      </c>
      <c r="AT17" s="184" t="str">
        <f>IFERROR(IF(VLOOKUP(Mon_W2[[#This Row],[Employee Name]],'Base Schedules'!$A$113:$AW$158,45,FALSE)="","",VLOOKUP(Mon_W2[[#This Row],[Employee Name]],'Base Schedules'!$A$113:$AW$158,45,FALSE)),"")</f>
        <v/>
      </c>
      <c r="AU17" s="184" t="str">
        <f>IFERROR(IF(VLOOKUP(Mon_W2[[#This Row],[Employee Name]],'Base Schedules'!$A$113:$AW$158,46,FALSE)="","",VLOOKUP(Mon_W2[[#This Row],[Employee Name]],'Base Schedules'!$A$113:$AW$158,46,FALSE)),"")</f>
        <v/>
      </c>
      <c r="AV17" s="184" t="str">
        <f>IFERROR(IF(VLOOKUP(Mon_W2[[#This Row],[Employee Name]],'Base Schedules'!$A$113:$AW$158,47,FALSE)="","",VLOOKUP(Mon_W2[[#This Row],[Employee Name]],'Base Schedules'!$A$113:$AW$158,47,FALSE)),"")</f>
        <v/>
      </c>
      <c r="AW17" s="184" t="str">
        <f>IFERROR(IF(VLOOKUP(Mon_W2[[#This Row],[Employee Name]],'Base Schedules'!$A$113:$AW$158,48,FALSE)="","",VLOOKUP(Mon_W2[[#This Row],[Employee Name]],'Base Schedules'!$A$113:$AW$158,48,FALSE)),"")</f>
        <v/>
      </c>
      <c r="AX17" s="184" t="str">
        <f>IFERROR(IF(VLOOKUP(Mon_W2[[#This Row],[Employee Name]],'Base Schedules'!$A$113:$AW$158,49,FALSE)="","",VLOOKUP(Mon_W2[[#This Row],[Employee Name]],'Base Schedules'!$A$113:$AW$158,49,FALSE)),"")</f>
        <v/>
      </c>
      <c r="AY17" s="159" t="str">
        <f t="shared" si="2"/>
        <v>Germony, June</v>
      </c>
    </row>
    <row r="18" spans="1:51" s="44" customFormat="1" ht="12" customHeight="1" x14ac:dyDescent="0.2">
      <c r="A18" s="39" t="str">
        <f>IF(B18="","",INDEX(TeamList[],MATCH($B18,TeamList[[Employee Name]:[Employee Name]],0),MATCH("Manager",TeamList[#Headers],0)))</f>
        <v>Olson, Katherine</v>
      </c>
      <c r="B18" s="201" t="s">
        <v>34</v>
      </c>
      <c r="C18" s="257" t="str">
        <f>_xlfn.IFNA(VLOOKUP(Mon_W2[[#This Row],[Employee Name]],'Base Schedules'!A:B,2,FALSE),"")</f>
        <v>Lead</v>
      </c>
      <c r="D18" s="274">
        <f>_xlfn.IFNA(VLOOKUP(Mon_W2[[#This Row],[Employee Name]],'Base Schedules'!A:C,3,FALSE),"")</f>
        <v>630</v>
      </c>
      <c r="E18" s="274">
        <f>_xlfn.IFNA(VLOOKUP(Mon_W2[[#This Row],[Employee Name]],'Base Schedules'!A:D,4,FALSE),"")</f>
        <v>1500</v>
      </c>
      <c r="F18" s="142">
        <f>IF(Mon_W2[[#This Row],[Employee Name]]="","",IF(Mon_W2[[#This Row],[Dept]]="Supervisor",COUNTIFS($J18:$AX18,"*HL*",$J18:$AX18,"&lt;&gt;"&amp;"pHL"),COUNTIFS($J18:$AX18,"*HL*",$J18:$AX18,"&lt;&gt;"&amp;"*pHL*",$J18:$AX18,"&lt;&gt;"&amp;"pB1 HL",$J18:$AX18,"&lt;&gt;"&amp;"pB2 HL")-SUM(COUNTIFS($J18:$AX18,"*HL B1*",$J18:$AX18,"&lt;&gt;"&amp;"pHL B1")*0.5,COUNTIFS($J18:$AX18,"*HL B2*",$J18:$AX18,"&lt;&gt;"&amp;"pHL B2")*0.5,COUNTIFS($J18:$AX18,"*B1 HL*",$J18:$AX18,"&lt;&gt;"&amp;"pB1 HL")*0.5,COUNTIFS($J18:$AX18,"*B2 HL*",$J18:$AX18,"&lt;&gt;"&amp;"pB2 HL")*0.5)))</f>
        <v>8</v>
      </c>
      <c r="G18" s="142">
        <f t="shared" si="0"/>
        <v>0</v>
      </c>
      <c r="H18" s="142">
        <f t="shared" si="1"/>
        <v>7</v>
      </c>
      <c r="I18" s="142">
        <f>IF(Mon_W2[[#This Row],[Employee Name]]="","",IF(Mon_W2[[#This Row],[Dept]]="Supervisor",SUM(COUNTIFS($J18:$AX18,"RTA*",$J18:$AX18,"&lt;&gt;"&amp;"pRTA"),COUNTIFS($J18:$AX18,"*CRTA*",$J18:$AX18,"&lt;&gt;"&amp;"pCRTA")),COUNTIFS($J18:$AX18,"*RNNR*",$J18:$AX18,"&lt;&gt;"&amp;"*pRNNR*",$J18:$AX18,"&lt;&gt;"&amp;"pB1 RNNR",$J18:$AX18,"&lt;&gt;"&amp;"pB2 RNNR")-SUM(COUNTIFS($J18:$AX18,"*RNNR B1*",$J18:$AX18,"&lt;&gt;"&amp;"pRNNR B1")*0.5,COUNTIFS($J18:$AX18,"*RNNR B2*",$J18:$AX18,"&lt;&gt;"&amp;"pRNNR B2")*0.5,COUNTIFS($J18:$AX18,"*B1 RNNR*",$J18:$AX18,"&lt;&gt;"&amp;"pB1 RNNR")*0.5,COUNTIFS($J18:$AX18,"*B2 RNNR*",$J18:$AX18,"&lt;&gt;"&amp;"pB2 RNNR")*0.5)))</f>
        <v>0</v>
      </c>
      <c r="J18" s="184" t="str">
        <f>IFERROR(IF(VLOOKUP(Mon_W2[[#This Row],[Employee Name]],'Base Schedules'!$A$113:$AW$158,9,FALSE)="","",VLOOKUP(Mon_W2[[#This Row],[Employee Name]],'Base Schedules'!$A$113:$AW$158,9,FALSE)),"")</f>
        <v/>
      </c>
      <c r="K18" s="184" t="str">
        <f>IFERROR(IF(VLOOKUP(Mon_W2[[#This Row],[Employee Name]],'Base Schedules'!$A$113:$AW$158,10,FALSE)="","",VLOOKUP(Mon_W2[[#This Row],[Employee Name]],'Base Schedules'!$A$113:$AW$158,10,FALSE)),"")</f>
        <v/>
      </c>
      <c r="L18" s="184" t="str">
        <f>IFERROR(IF(VLOOKUP(Mon_W2[[#This Row],[Employee Name]],'Base Schedules'!$A$113:$AW$158,11,FALSE)="","",VLOOKUP(Mon_W2[[#This Row],[Employee Name]],'Base Schedules'!$A$113:$AW$158,11,FALSE)),"")</f>
        <v/>
      </c>
      <c r="M18" s="184" t="str">
        <f>IFERROR(IF(VLOOKUP(Mon_W2[[#This Row],[Employee Name]],'Base Schedules'!$A$113:$AW$158,12,FALSE)="","",VLOOKUP(Mon_W2[[#This Row],[Employee Name]],'Base Schedules'!$A$113:$AW$158,12,FALSE)),"")</f>
        <v>HL</v>
      </c>
      <c r="N18" s="184" t="str">
        <f>IFERROR(IF(VLOOKUP(Mon_W2[[#This Row],[Employee Name]],'Base Schedules'!$A$113:$AW$158,13,FALSE)="","",VLOOKUP(Mon_W2[[#This Row],[Employee Name]],'Base Schedules'!$A$113:$AW$158,13,FALSE)),"")</f>
        <v>HL</v>
      </c>
      <c r="O18" s="184" t="str">
        <f>IFERROR(IF(VLOOKUP(Mon_W2[[#This Row],[Employee Name]],'Base Schedules'!$A$113:$AW$158,14,FALSE)="","",VLOOKUP(Mon_W2[[#This Row],[Employee Name]],'Base Schedules'!$A$113:$AW$158,14,FALSE)),"")</f>
        <v>HL</v>
      </c>
      <c r="P18" s="184" t="str">
        <f>IFERROR(IF(VLOOKUP(Mon_W2[[#This Row],[Employee Name]],'Base Schedules'!$A$113:$AW$158,15,FALSE)="","",VLOOKUP(Mon_W2[[#This Row],[Employee Name]],'Base Schedules'!$A$113:$AW$158,15,FALSE)),"")</f>
        <v>ADM</v>
      </c>
      <c r="Q18" s="184" t="str">
        <f>IFERROR(IF(VLOOKUP(Mon_W2[[#This Row],[Employee Name]],'Base Schedules'!$A$113:$AW$158,16,FALSE)="","",VLOOKUP(Mon_W2[[#This Row],[Employee Name]],'Base Schedules'!$A$113:$AW$158,16,FALSE)),"")</f>
        <v>HL B1</v>
      </c>
      <c r="R18" s="184" t="str">
        <f>IFERROR(IF(VLOOKUP(Mon_W2[[#This Row],[Employee Name]],'Base Schedules'!$A$113:$AW$158,17,FALSE)="","",VLOOKUP(Mon_W2[[#This Row],[Employee Name]],'Base Schedules'!$A$113:$AW$158,17,FALSE)),"")</f>
        <v>HL</v>
      </c>
      <c r="S18" s="184" t="str">
        <f>IFERROR(IF(VLOOKUP(Mon_W2[[#This Row],[Employee Name]],'Base Schedules'!$A$113:$AW$158,18,FALSE)="","",VLOOKUP(Mon_W2[[#This Row],[Employee Name]],'Base Schedules'!$A$113:$AW$158,18,FALSE)),"")</f>
        <v>HL</v>
      </c>
      <c r="T18" s="184" t="str">
        <f>IFERROR(IF(VLOOKUP(Mon_W2[[#This Row],[Employee Name]],'Base Schedules'!$A$113:$AW$158,19,FALSE)="","",VLOOKUP(Mon_W2[[#This Row],[Employee Name]],'Base Schedules'!$A$113:$AW$158,19,FALSE)),"")</f>
        <v>HL</v>
      </c>
      <c r="U18" s="184" t="str">
        <f>IFERROR(IF(VLOOKUP(Mon_W2[[#This Row],[Employee Name]],'Base Schedules'!$A$113:$AW$158,20,FALSE)="","",VLOOKUP(Mon_W2[[#This Row],[Employee Name]],'Base Schedules'!$A$113:$AW$158,20,FALSE)),"")</f>
        <v>ADM</v>
      </c>
      <c r="V18" s="184" t="str">
        <f>IFERROR(IF(VLOOKUP(Mon_W2[[#This Row],[Employee Name]],'Base Schedules'!$A$113:$AW$158,21,FALSE)="","",VLOOKUP(Mon_W2[[#This Row],[Employee Name]],'Base Schedules'!$A$113:$AW$158,21,FALSE)),"")</f>
        <v>LUNCH</v>
      </c>
      <c r="W18" s="184" t="str">
        <f>IFERROR(IF(VLOOKUP(Mon_W2[[#This Row],[Employee Name]],'Base Schedules'!$A$113:$AW$158,22,FALSE)="","",VLOOKUP(Mon_W2[[#This Row],[Employee Name]],'Base Schedules'!$A$113:$AW$158,22,FALSE)),"")</f>
        <v>ADM</v>
      </c>
      <c r="X18" s="184" t="str">
        <f>IFERROR(IF(VLOOKUP(Mon_W2[[#This Row],[Employee Name]],'Base Schedules'!$A$113:$AW$158,23,FALSE)="","",VLOOKUP(Mon_W2[[#This Row],[Employee Name]],'Base Schedules'!$A$113:$AW$158,23,FALSE)),"")</f>
        <v>ADM</v>
      </c>
      <c r="Y18" s="184" t="str">
        <f>IFERROR(IF(VLOOKUP(Mon_W2[[#This Row],[Employee Name]],'Base Schedules'!$A$113:$AW$158,24,FALSE)="","",VLOOKUP(Mon_W2[[#This Row],[Employee Name]],'Base Schedules'!$A$113:$AW$158,24,FALSE)),"")</f>
        <v>B2 HL</v>
      </c>
      <c r="Z18" s="184" t="str">
        <f>IFERROR(IF(VLOOKUP(Mon_W2[[#This Row],[Employee Name]],'Base Schedules'!$A$113:$AW$158,25,FALSE)="","",VLOOKUP(Mon_W2[[#This Row],[Employee Name]],'Base Schedules'!$A$113:$AW$158,25,FALSE)),"")</f>
        <v>ADM</v>
      </c>
      <c r="AA18" s="184" t="str">
        <f>IFERROR(IF(VLOOKUP(Mon_W2[[#This Row],[Employee Name]],'Base Schedules'!$A$113:$AW$158,26,FALSE)="","",VLOOKUP(Mon_W2[[#This Row],[Employee Name]],'Base Schedules'!$A$113:$AW$158,26,FALSE)),"")</f>
        <v>ADM</v>
      </c>
      <c r="AB18" s="184" t="str">
        <f>IFERROR(IF(VLOOKUP(Mon_W2[[#This Row],[Employee Name]],'Base Schedules'!$A$113:$AW$158,27,FALSE)="","",VLOOKUP(Mon_W2[[#This Row],[Employee Name]],'Base Schedules'!$A$113:$AW$158,27,FALSE)),"")</f>
        <v>ADM</v>
      </c>
      <c r="AC18" s="184" t="str">
        <f>IFERROR(IF(VLOOKUP(Mon_W2[[#This Row],[Employee Name]],'Base Schedules'!$A$113:$AW$158,28,FALSE)="","",VLOOKUP(Mon_W2[[#This Row],[Employee Name]],'Base Schedules'!$A$113:$AW$158,28,FALSE)),"")</f>
        <v>HL</v>
      </c>
      <c r="AD18" s="184" t="str">
        <f>IFERROR(IF(VLOOKUP(Mon_W2[[#This Row],[Employee Name]],'Base Schedules'!$A$113:$AW$158,29,FALSE)="","",VLOOKUP(Mon_W2[[#This Row],[Employee Name]],'Base Schedules'!$A$113:$AW$158,29,FALSE)),"")</f>
        <v/>
      </c>
      <c r="AE18" s="184" t="str">
        <f>IFERROR(IF(VLOOKUP(Mon_W2[[#This Row],[Employee Name]],'Base Schedules'!$A$113:$AW$158,30,FALSE)="","",VLOOKUP(Mon_W2[[#This Row],[Employee Name]],'Base Schedules'!$A$113:$AW$158,30,FALSE)),"")</f>
        <v/>
      </c>
      <c r="AF18" s="184" t="str">
        <f>IFERROR(IF(VLOOKUP(Mon_W2[[#This Row],[Employee Name]],'Base Schedules'!$A$113:$AW$158,31,FALSE)="","",VLOOKUP(Mon_W2[[#This Row],[Employee Name]],'Base Schedules'!$A$113:$AW$158,31,FALSE)),"")</f>
        <v/>
      </c>
      <c r="AG18" s="184" t="str">
        <f>IFERROR(IF(VLOOKUP(Mon_W2[[#This Row],[Employee Name]],'Base Schedules'!$A$113:$AW$158,32,FALSE)="","",VLOOKUP(Mon_W2[[#This Row],[Employee Name]],'Base Schedules'!$A$113:$AW$158,32,FALSE)),"")</f>
        <v/>
      </c>
      <c r="AH18" s="184" t="str">
        <f>IFERROR(IF(VLOOKUP(Mon_W2[[#This Row],[Employee Name]],'Base Schedules'!$A$113:$AW$158,33,FALSE)="","",VLOOKUP(Mon_W2[[#This Row],[Employee Name]],'Base Schedules'!$A$113:$AW$158,33,FALSE)),"")</f>
        <v/>
      </c>
      <c r="AI18" s="184" t="str">
        <f>IFERROR(IF(VLOOKUP(Mon_W2[[#This Row],[Employee Name]],'Base Schedules'!$A$113:$AW$158,34,FALSE)="","",VLOOKUP(Mon_W2[[#This Row],[Employee Name]],'Base Schedules'!$A$113:$AW$158,34,FALSE)),"")</f>
        <v/>
      </c>
      <c r="AJ18" s="184" t="str">
        <f>IFERROR(IF(VLOOKUP(Mon_W2[[#This Row],[Employee Name]],'Base Schedules'!$A$113:$AW$158,35,FALSE)="","",VLOOKUP(Mon_W2[[#This Row],[Employee Name]],'Base Schedules'!$A$113:$AW$158,35,FALSE)),"")</f>
        <v/>
      </c>
      <c r="AK18" s="184" t="str">
        <f>IFERROR(IF(VLOOKUP(Mon_W2[[#This Row],[Employee Name]],'Base Schedules'!$A$113:$AW$158,36,FALSE)="","",VLOOKUP(Mon_W2[[#This Row],[Employee Name]],'Base Schedules'!$A$113:$AW$158,36,FALSE)),"")</f>
        <v/>
      </c>
      <c r="AL18" s="184" t="str">
        <f>IFERROR(IF(VLOOKUP(Mon_W2[[#This Row],[Employee Name]],'Base Schedules'!$A$113:$AW$158,37,FALSE)="","",VLOOKUP(Mon_W2[[#This Row],[Employee Name]],'Base Schedules'!$A$113:$AW$158,37,FALSE)),"")</f>
        <v/>
      </c>
      <c r="AM18" s="184" t="str">
        <f>IFERROR(IF(VLOOKUP(Mon_W2[[#This Row],[Employee Name]],'Base Schedules'!$A$113:$AW$158,38,FALSE)="","",VLOOKUP(Mon_W2[[#This Row],[Employee Name]],'Base Schedules'!$A$113:$AW$158,38,FALSE)),"")</f>
        <v/>
      </c>
      <c r="AN18" s="184" t="str">
        <f>IFERROR(IF(VLOOKUP(Mon_W2[[#This Row],[Employee Name]],'Base Schedules'!$A$113:$AW$158,39,FALSE)="","",VLOOKUP(Mon_W2[[#This Row],[Employee Name]],'Base Schedules'!$A$113:$AW$158,39,FALSE)),"")</f>
        <v/>
      </c>
      <c r="AO18" s="184" t="str">
        <f>IFERROR(IF(VLOOKUP(Mon_W2[[#This Row],[Employee Name]],'Base Schedules'!$A$113:$AW$158,40,FALSE)="","",VLOOKUP(Mon_W2[[#This Row],[Employee Name]],'Base Schedules'!$A$113:$AW$158,40,FALSE)),"")</f>
        <v/>
      </c>
      <c r="AP18" s="184" t="str">
        <f>IFERROR(IF(VLOOKUP(Mon_W2[[#This Row],[Employee Name]],'Base Schedules'!$A$113:$AW$158,41,FALSE)="","",VLOOKUP(Mon_W2[[#This Row],[Employee Name]],'Base Schedules'!$A$113:$AW$158,41,FALSE)),"")</f>
        <v/>
      </c>
      <c r="AQ18" s="184" t="str">
        <f>IFERROR(IF(VLOOKUP(Mon_W2[[#This Row],[Employee Name]],'Base Schedules'!$A$113:$AW$158,42,FALSE)="","",VLOOKUP(Mon_W2[[#This Row],[Employee Name]],'Base Schedules'!$A$113:$AW$158,42,FALSE)),"")</f>
        <v/>
      </c>
      <c r="AR18" s="184" t="str">
        <f>IFERROR(IF(VLOOKUP(Mon_W2[[#This Row],[Employee Name]],'Base Schedules'!$A$113:$AW$158,43,FALSE)="","",VLOOKUP(Mon_W2[[#This Row],[Employee Name]],'Base Schedules'!$A$113:$AW$158,43,FALSE)),"")</f>
        <v/>
      </c>
      <c r="AS18" s="184" t="str">
        <f>IFERROR(IF(VLOOKUP(Mon_W2[[#This Row],[Employee Name]],'Base Schedules'!$A$113:$AW$158,44,FALSE)="","",VLOOKUP(Mon_W2[[#This Row],[Employee Name]],'Base Schedules'!$A$113:$AW$158,44,FALSE)),"")</f>
        <v/>
      </c>
      <c r="AT18" s="184" t="str">
        <f>IFERROR(IF(VLOOKUP(Mon_W2[[#This Row],[Employee Name]],'Base Schedules'!$A$113:$AW$158,45,FALSE)="","",VLOOKUP(Mon_W2[[#This Row],[Employee Name]],'Base Schedules'!$A$113:$AW$158,45,FALSE)),"")</f>
        <v/>
      </c>
      <c r="AU18" s="184" t="str">
        <f>IFERROR(IF(VLOOKUP(Mon_W2[[#This Row],[Employee Name]],'Base Schedules'!$A$113:$AW$158,46,FALSE)="","",VLOOKUP(Mon_W2[[#This Row],[Employee Name]],'Base Schedules'!$A$113:$AW$158,46,FALSE)),"")</f>
        <v/>
      </c>
      <c r="AV18" s="184" t="str">
        <f>IFERROR(IF(VLOOKUP(Mon_W2[[#This Row],[Employee Name]],'Base Schedules'!$A$113:$AW$158,47,FALSE)="","",VLOOKUP(Mon_W2[[#This Row],[Employee Name]],'Base Schedules'!$A$113:$AW$158,47,FALSE)),"")</f>
        <v/>
      </c>
      <c r="AW18" s="184" t="str">
        <f>IFERROR(IF(VLOOKUP(Mon_W2[[#This Row],[Employee Name]],'Base Schedules'!$A$113:$AW$158,48,FALSE)="","",VLOOKUP(Mon_W2[[#This Row],[Employee Name]],'Base Schedules'!$A$113:$AW$158,48,FALSE)),"")</f>
        <v/>
      </c>
      <c r="AX18" s="184" t="str">
        <f>IFERROR(IF(VLOOKUP(Mon_W2[[#This Row],[Employee Name]],'Base Schedules'!$A$113:$AW$158,49,FALSE)="","",VLOOKUP(Mon_W2[[#This Row],[Employee Name]],'Base Schedules'!$A$113:$AW$158,49,FALSE)),"")</f>
        <v/>
      </c>
      <c r="AY18" s="159" t="str">
        <f t="shared" si="2"/>
        <v>Greene, Alicia</v>
      </c>
    </row>
    <row r="19" spans="1:51" s="44" customFormat="1" ht="12" customHeight="1" x14ac:dyDescent="0.2">
      <c r="A19" s="39" t="str">
        <f>IF(B19="","",INDEX(TeamList[],MATCH($B19,TeamList[[Employee Name]:[Employee Name]],0),MATCH("Manager",TeamList[#Headers],0)))</f>
        <v>Paulson, Matthew</v>
      </c>
      <c r="B19" s="201" t="s">
        <v>39</v>
      </c>
      <c r="C19" s="257" t="str">
        <f>_xlfn.IFNA(VLOOKUP(Mon_W2[[#This Row],[Employee Name]],'Base Schedules'!A:B,2,FALSE),"")</f>
        <v>Supervisor</v>
      </c>
      <c r="D19" s="274">
        <f>_xlfn.IFNA(VLOOKUP(Mon_W2[[#This Row],[Employee Name]],'Base Schedules'!A:C,3,FALSE),"")</f>
        <v>630</v>
      </c>
      <c r="E19" s="274">
        <f>_xlfn.IFNA(VLOOKUP(Mon_W2[[#This Row],[Employee Name]],'Base Schedules'!A:D,4,FALSE),"")</f>
        <v>1530</v>
      </c>
      <c r="F19" s="142">
        <f>IF(Mon_W2[[#This Row],[Employee Name]]="","",IF(Mon_W2[[#This Row],[Dept]]="Supervisor",COUNTIFS($J19:$AX19,"*HL*",$J19:$AX19,"&lt;&gt;"&amp;"pHL"),COUNTIFS($J19:$AX19,"*HL*",$J19:$AX19,"&lt;&gt;"&amp;"*pHL*",$J19:$AX19,"&lt;&gt;"&amp;"pB1 HL",$J19:$AX19,"&lt;&gt;"&amp;"pB2 HL")-SUM(COUNTIFS($J19:$AX19,"*HL B1*",$J19:$AX19,"&lt;&gt;"&amp;"pHL B1")*0.5,COUNTIFS($J19:$AX19,"*HL B2*",$J19:$AX19,"&lt;&gt;"&amp;"pHL B2")*0.5,COUNTIFS($J19:$AX19,"*B1 HL*",$J19:$AX19,"&lt;&gt;"&amp;"pB1 HL")*0.5,COUNTIFS($J19:$AX19,"*B2 HL*",$J19:$AX19,"&lt;&gt;"&amp;"pB2 HL")*0.5)))</f>
        <v>0</v>
      </c>
      <c r="G19" s="142">
        <f t="shared" si="0"/>
        <v>0</v>
      </c>
      <c r="H19" s="142">
        <f t="shared" si="1"/>
        <v>0</v>
      </c>
      <c r="I19" s="142">
        <f>IF(Mon_W2[[#This Row],[Employee Name]]="","",IF(Mon_W2[[#This Row],[Dept]]="Supervisor",SUM(COUNTIFS($J19:$AX19,"RTA*",$J19:$AX19,"&lt;&gt;"&amp;"pRTA"),COUNTIFS($J19:$AX19,"*CRTA*",$J19:$AX19,"&lt;&gt;"&amp;"pCRTA")),COUNTIFS($J19:$AX19,"*RNNR*",$J19:$AX19,"&lt;&gt;"&amp;"*pRNNR*",$J19:$AX19,"&lt;&gt;"&amp;"pB1 RNNR",$J19:$AX19,"&lt;&gt;"&amp;"pB2 RNNR")-SUM(COUNTIFS($J19:$AX19,"*RNNR B1*",$J19:$AX19,"&lt;&gt;"&amp;"pRNNR B1")*0.5,COUNTIFS($J19:$AX19,"*RNNR B2*",$J19:$AX19,"&lt;&gt;"&amp;"pRNNR B2")*0.5,COUNTIFS($J19:$AX19,"*B1 RNNR*",$J19:$AX19,"&lt;&gt;"&amp;"pB1 RNNR")*0.5,COUNTIFS($J19:$AX19,"*B2 RNNR*",$J19:$AX19,"&lt;&gt;"&amp;"pB2 RNNR")*0.5)))</f>
        <v>0</v>
      </c>
      <c r="J19" s="184" t="str">
        <f>IFERROR(IF(VLOOKUP(Mon_W2[[#This Row],[Employee Name]],'Base Schedules'!$A$113:$AW$158,9,FALSE)="","",VLOOKUP(Mon_W2[[#This Row],[Employee Name]],'Base Schedules'!$A$113:$AW$158,9,FALSE)),"")</f>
        <v/>
      </c>
      <c r="K19" s="184" t="str">
        <f>IFERROR(IF(VLOOKUP(Mon_W2[[#This Row],[Employee Name]],'Base Schedules'!$A$113:$AW$158,10,FALSE)="","",VLOOKUP(Mon_W2[[#This Row],[Employee Name]],'Base Schedules'!$A$113:$AW$158,10,FALSE)),"")</f>
        <v/>
      </c>
      <c r="L19" s="184" t="str">
        <f>IFERROR(IF(VLOOKUP(Mon_W2[[#This Row],[Employee Name]],'Base Schedules'!$A$113:$AW$158,11,FALSE)="","",VLOOKUP(Mon_W2[[#This Row],[Employee Name]],'Base Schedules'!$A$113:$AW$158,11,FALSE)),"")</f>
        <v/>
      </c>
      <c r="M19" s="184" t="str">
        <f>IFERROR(IF(VLOOKUP(Mon_W2[[#This Row],[Employee Name]],'Base Schedules'!$A$113:$AW$158,12,FALSE)="","",VLOOKUP(Mon_W2[[#This Row],[Employee Name]],'Base Schedules'!$A$113:$AW$158,12,FALSE)),"")</f>
        <v>-</v>
      </c>
      <c r="N19" s="184" t="str">
        <f>IFERROR(IF(VLOOKUP(Mon_W2[[#This Row],[Employee Name]],'Base Schedules'!$A$113:$AW$158,13,FALSE)="","",VLOOKUP(Mon_W2[[#This Row],[Employee Name]],'Base Schedules'!$A$113:$AW$158,13,FALSE)),"")</f>
        <v>-</v>
      </c>
      <c r="O19" s="184" t="str">
        <f>IFERROR(IF(VLOOKUP(Mon_W2[[#This Row],[Employee Name]],'Base Schedules'!$A$113:$AW$158,14,FALSE)="","",VLOOKUP(Mon_W2[[#This Row],[Employee Name]],'Base Schedules'!$A$113:$AW$158,14,FALSE)),"")</f>
        <v>-</v>
      </c>
      <c r="P19" s="184" t="str">
        <f>IFERROR(IF(VLOOKUP(Mon_W2[[#This Row],[Employee Name]],'Base Schedules'!$A$113:$AW$158,15,FALSE)="","",VLOOKUP(Mon_W2[[#This Row],[Employee Name]],'Base Schedules'!$A$113:$AW$158,15,FALSE)),"")</f>
        <v>-</v>
      </c>
      <c r="Q19" s="184" t="str">
        <f>IFERROR(IF(VLOOKUP(Mon_W2[[#This Row],[Employee Name]],'Base Schedules'!$A$113:$AW$158,16,FALSE)="","",VLOOKUP(Mon_W2[[#This Row],[Employee Name]],'Base Schedules'!$A$113:$AW$158,16,FALSE)),"")</f>
        <v>-</v>
      </c>
      <c r="R19" s="184" t="str">
        <f>IFERROR(IF(VLOOKUP(Mon_W2[[#This Row],[Employee Name]],'Base Schedules'!$A$113:$AW$158,17,FALSE)="","",VLOOKUP(Mon_W2[[#This Row],[Employee Name]],'Base Schedules'!$A$113:$AW$158,17,FALSE)),"")</f>
        <v>-</v>
      </c>
      <c r="S19" s="184" t="str">
        <f>IFERROR(IF(VLOOKUP(Mon_W2[[#This Row],[Employee Name]],'Base Schedules'!$A$113:$AW$158,18,FALSE)="","",VLOOKUP(Mon_W2[[#This Row],[Employee Name]],'Base Schedules'!$A$113:$AW$158,18,FALSE)),"")</f>
        <v>-</v>
      </c>
      <c r="T19" s="184" t="str">
        <f>IFERROR(IF(VLOOKUP(Mon_W2[[#This Row],[Employee Name]],'Base Schedules'!$A$113:$AW$158,19,FALSE)="","",VLOOKUP(Mon_W2[[#This Row],[Employee Name]],'Base Schedules'!$A$113:$AW$158,19,FALSE)),"")</f>
        <v>Interview</v>
      </c>
      <c r="U19" s="184" t="str">
        <f>IFERROR(IF(VLOOKUP(Mon_W2[[#This Row],[Employee Name]],'Base Schedules'!$A$113:$AW$158,20,FALSE)="","",VLOOKUP(Mon_W2[[#This Row],[Employee Name]],'Base Schedules'!$A$113:$AW$158,20,FALSE)),"")</f>
        <v>Interview</v>
      </c>
      <c r="V19" s="184" t="str">
        <f>IFERROR(IF(VLOOKUP(Mon_W2[[#This Row],[Employee Name]],'Base Schedules'!$A$113:$AW$158,21,FALSE)="","",VLOOKUP(Mon_W2[[#This Row],[Employee Name]],'Base Schedules'!$A$113:$AW$158,21,FALSE)),"")</f>
        <v>-</v>
      </c>
      <c r="W19" s="184" t="str">
        <f>IFERROR(IF(VLOOKUP(Mon_W2[[#This Row],[Employee Name]],'Base Schedules'!$A$113:$AW$158,22,FALSE)="","",VLOOKUP(Mon_W2[[#This Row],[Employee Name]],'Base Schedules'!$A$113:$AW$158,22,FALSE)),"")</f>
        <v>-</v>
      </c>
      <c r="X19" s="184" t="str">
        <f>IFERROR(IF(VLOOKUP(Mon_W2[[#This Row],[Employee Name]],'Base Schedules'!$A$113:$AW$158,23,FALSE)="","",VLOOKUP(Mon_W2[[#This Row],[Employee Name]],'Base Schedules'!$A$113:$AW$158,23,FALSE)),"")</f>
        <v>-</v>
      </c>
      <c r="Y19" s="184" t="str">
        <f>IFERROR(IF(VLOOKUP(Mon_W2[[#This Row],[Employee Name]],'Base Schedules'!$A$113:$AW$158,24,FALSE)="","",VLOOKUP(Mon_W2[[#This Row],[Employee Name]],'Base Schedules'!$A$113:$AW$158,24,FALSE)),"")</f>
        <v>-</v>
      </c>
      <c r="Z19" s="184" t="str">
        <f>IFERROR(IF(VLOOKUP(Mon_W2[[#This Row],[Employee Name]],'Base Schedules'!$A$113:$AW$158,25,FALSE)="","",VLOOKUP(Mon_W2[[#This Row],[Employee Name]],'Base Schedules'!$A$113:$AW$158,25,FALSE)),"")</f>
        <v>-</v>
      </c>
      <c r="AA19" s="184" t="str">
        <f>IFERROR(IF(VLOOKUP(Mon_W2[[#This Row],[Employee Name]],'Base Schedules'!$A$113:$AW$158,26,FALSE)="","",VLOOKUP(Mon_W2[[#This Row],[Employee Name]],'Base Schedules'!$A$113:$AW$158,26,FALSE)),"")</f>
        <v>-</v>
      </c>
      <c r="AB19" s="184" t="str">
        <f>IFERROR(IF(VLOOKUP(Mon_W2[[#This Row],[Employee Name]],'Base Schedules'!$A$113:$AW$158,27,FALSE)="","",VLOOKUP(Mon_W2[[#This Row],[Employee Name]],'Base Schedules'!$A$113:$AW$158,27,FALSE)),"")</f>
        <v>-</v>
      </c>
      <c r="AC19" s="184" t="str">
        <f>IFERROR(IF(VLOOKUP(Mon_W2[[#This Row],[Employee Name]],'Base Schedules'!$A$113:$AW$158,28,FALSE)="","",VLOOKUP(Mon_W2[[#This Row],[Employee Name]],'Base Schedules'!$A$113:$AW$158,28,FALSE)),"")</f>
        <v>-</v>
      </c>
      <c r="AD19" s="184" t="str">
        <f>IFERROR(IF(VLOOKUP(Mon_W2[[#This Row],[Employee Name]],'Base Schedules'!$A$113:$AW$158,29,FALSE)="","",VLOOKUP(Mon_W2[[#This Row],[Employee Name]],'Base Schedules'!$A$113:$AW$158,29,FALSE)),"")</f>
        <v>-</v>
      </c>
      <c r="AE19" s="184" t="str">
        <f>IFERROR(IF(VLOOKUP(Mon_W2[[#This Row],[Employee Name]],'Base Schedules'!$A$113:$AW$158,30,FALSE)="","",VLOOKUP(Mon_W2[[#This Row],[Employee Name]],'Base Schedules'!$A$113:$AW$158,30,FALSE)),"")</f>
        <v/>
      </c>
      <c r="AF19" s="184" t="str">
        <f>IFERROR(IF(VLOOKUP(Mon_W2[[#This Row],[Employee Name]],'Base Schedules'!$A$113:$AW$158,31,FALSE)="","",VLOOKUP(Mon_W2[[#This Row],[Employee Name]],'Base Schedules'!$A$113:$AW$158,31,FALSE)),"")</f>
        <v/>
      </c>
      <c r="AG19" s="184" t="str">
        <f>IFERROR(IF(VLOOKUP(Mon_W2[[#This Row],[Employee Name]],'Base Schedules'!$A$113:$AW$158,32,FALSE)="","",VLOOKUP(Mon_W2[[#This Row],[Employee Name]],'Base Schedules'!$A$113:$AW$158,32,FALSE)),"")</f>
        <v/>
      </c>
      <c r="AH19" s="184" t="str">
        <f>IFERROR(IF(VLOOKUP(Mon_W2[[#This Row],[Employee Name]],'Base Schedules'!$A$113:$AW$158,33,FALSE)="","",VLOOKUP(Mon_W2[[#This Row],[Employee Name]],'Base Schedules'!$A$113:$AW$158,33,FALSE)),"")</f>
        <v/>
      </c>
      <c r="AI19" s="184" t="str">
        <f>IFERROR(IF(VLOOKUP(Mon_W2[[#This Row],[Employee Name]],'Base Schedules'!$A$113:$AW$158,34,FALSE)="","",VLOOKUP(Mon_W2[[#This Row],[Employee Name]],'Base Schedules'!$A$113:$AW$158,34,FALSE)),"")</f>
        <v/>
      </c>
      <c r="AJ19" s="184" t="str">
        <f>IFERROR(IF(VLOOKUP(Mon_W2[[#This Row],[Employee Name]],'Base Schedules'!$A$113:$AW$158,35,FALSE)="","",VLOOKUP(Mon_W2[[#This Row],[Employee Name]],'Base Schedules'!$A$113:$AW$158,35,FALSE)),"")</f>
        <v/>
      </c>
      <c r="AK19" s="184" t="str">
        <f>IFERROR(IF(VLOOKUP(Mon_W2[[#This Row],[Employee Name]],'Base Schedules'!$A$113:$AW$158,36,FALSE)="","",VLOOKUP(Mon_W2[[#This Row],[Employee Name]],'Base Schedules'!$A$113:$AW$158,36,FALSE)),"")</f>
        <v/>
      </c>
      <c r="AL19" s="184" t="str">
        <f>IFERROR(IF(VLOOKUP(Mon_W2[[#This Row],[Employee Name]],'Base Schedules'!$A$113:$AW$158,37,FALSE)="","",VLOOKUP(Mon_W2[[#This Row],[Employee Name]],'Base Schedules'!$A$113:$AW$158,37,FALSE)),"")</f>
        <v/>
      </c>
      <c r="AM19" s="184" t="str">
        <f>IFERROR(IF(VLOOKUP(Mon_W2[[#This Row],[Employee Name]],'Base Schedules'!$A$113:$AW$158,38,FALSE)="","",VLOOKUP(Mon_W2[[#This Row],[Employee Name]],'Base Schedules'!$A$113:$AW$158,38,FALSE)),"")</f>
        <v/>
      </c>
      <c r="AN19" s="184" t="str">
        <f>IFERROR(IF(VLOOKUP(Mon_W2[[#This Row],[Employee Name]],'Base Schedules'!$A$113:$AW$158,39,FALSE)="","",VLOOKUP(Mon_W2[[#This Row],[Employee Name]],'Base Schedules'!$A$113:$AW$158,39,FALSE)),"")</f>
        <v/>
      </c>
      <c r="AO19" s="184" t="str">
        <f>IFERROR(IF(VLOOKUP(Mon_W2[[#This Row],[Employee Name]],'Base Schedules'!$A$113:$AW$158,40,FALSE)="","",VLOOKUP(Mon_W2[[#This Row],[Employee Name]],'Base Schedules'!$A$113:$AW$158,40,FALSE)),"")</f>
        <v/>
      </c>
      <c r="AP19" s="184" t="str">
        <f>IFERROR(IF(VLOOKUP(Mon_W2[[#This Row],[Employee Name]],'Base Schedules'!$A$113:$AW$158,41,FALSE)="","",VLOOKUP(Mon_W2[[#This Row],[Employee Name]],'Base Schedules'!$A$113:$AW$158,41,FALSE)),"")</f>
        <v/>
      </c>
      <c r="AQ19" s="184" t="str">
        <f>IFERROR(IF(VLOOKUP(Mon_W2[[#This Row],[Employee Name]],'Base Schedules'!$A$113:$AW$158,42,FALSE)="","",VLOOKUP(Mon_W2[[#This Row],[Employee Name]],'Base Schedules'!$A$113:$AW$158,42,FALSE)),"")</f>
        <v/>
      </c>
      <c r="AR19" s="184" t="str">
        <f>IFERROR(IF(VLOOKUP(Mon_W2[[#This Row],[Employee Name]],'Base Schedules'!$A$113:$AW$158,43,FALSE)="","",VLOOKUP(Mon_W2[[#This Row],[Employee Name]],'Base Schedules'!$A$113:$AW$158,43,FALSE)),"")</f>
        <v/>
      </c>
      <c r="AS19" s="184" t="str">
        <f>IFERROR(IF(VLOOKUP(Mon_W2[[#This Row],[Employee Name]],'Base Schedules'!$A$113:$AW$158,44,FALSE)="","",VLOOKUP(Mon_W2[[#This Row],[Employee Name]],'Base Schedules'!$A$113:$AW$158,44,FALSE)),"")</f>
        <v/>
      </c>
      <c r="AT19" s="184" t="str">
        <f>IFERROR(IF(VLOOKUP(Mon_W2[[#This Row],[Employee Name]],'Base Schedules'!$A$113:$AW$158,45,FALSE)="","",VLOOKUP(Mon_W2[[#This Row],[Employee Name]],'Base Schedules'!$A$113:$AW$158,45,FALSE)),"")</f>
        <v/>
      </c>
      <c r="AU19" s="184" t="str">
        <f>IFERROR(IF(VLOOKUP(Mon_W2[[#This Row],[Employee Name]],'Base Schedules'!$A$113:$AW$158,46,FALSE)="","",VLOOKUP(Mon_W2[[#This Row],[Employee Name]],'Base Schedules'!$A$113:$AW$158,46,FALSE)),"")</f>
        <v/>
      </c>
      <c r="AV19" s="184" t="str">
        <f>IFERROR(IF(VLOOKUP(Mon_W2[[#This Row],[Employee Name]],'Base Schedules'!$A$113:$AW$158,47,FALSE)="","",VLOOKUP(Mon_W2[[#This Row],[Employee Name]],'Base Schedules'!$A$113:$AW$158,47,FALSE)),"")</f>
        <v/>
      </c>
      <c r="AW19" s="184" t="str">
        <f>IFERROR(IF(VLOOKUP(Mon_W2[[#This Row],[Employee Name]],'Base Schedules'!$A$113:$AW$158,48,FALSE)="","",VLOOKUP(Mon_W2[[#This Row],[Employee Name]],'Base Schedules'!$A$113:$AW$158,48,FALSE)),"")</f>
        <v/>
      </c>
      <c r="AX19" s="184" t="str">
        <f>IFERROR(IF(VLOOKUP(Mon_W2[[#This Row],[Employee Name]],'Base Schedules'!$A$113:$AW$158,49,FALSE)="","",VLOOKUP(Mon_W2[[#This Row],[Employee Name]],'Base Schedules'!$A$113:$AW$158,49,FALSE)),"")</f>
        <v/>
      </c>
      <c r="AY19" s="159" t="str">
        <f t="shared" si="2"/>
        <v>Ulrich, Michael</v>
      </c>
    </row>
    <row r="20" spans="1:51" s="44" customFormat="1" ht="12" customHeight="1" x14ac:dyDescent="0.2">
      <c r="A20" s="39" t="str">
        <f>IF(B20="","",INDEX(TeamList[],MATCH($B20,TeamList[[Employee Name]:[Employee Name]],0),MATCH("Manager",TeamList[#Headers],0)))</f>
        <v>Olson, Katherine</v>
      </c>
      <c r="B20" s="201" t="s">
        <v>22</v>
      </c>
      <c r="C20" s="257" t="str">
        <f>_xlfn.IFNA(VLOOKUP(Mon_W2[[#This Row],[Employee Name]],'Base Schedules'!A:B,2,FALSE),"")</f>
        <v>Lead</v>
      </c>
      <c r="D20" s="274">
        <f>_xlfn.IFNA(VLOOKUP(Mon_W2[[#This Row],[Employee Name]],'Base Schedules'!A:C,3,FALSE),"")</f>
        <v>700</v>
      </c>
      <c r="E20" s="274">
        <f>_xlfn.IFNA(VLOOKUP(Mon_W2[[#This Row],[Employee Name]],'Base Schedules'!A:D,4,FALSE),"")</f>
        <v>1600</v>
      </c>
      <c r="F20" s="142">
        <f>IF(Mon_W2[[#This Row],[Employee Name]]="","",IF(Mon_W2[[#This Row],[Dept]]="Supervisor",COUNTIFS($J20:$AX20,"*HL*",$J20:$AX20,"&lt;&gt;"&amp;"pHL"),COUNTIFS($J20:$AX20,"*HL*",$J20:$AX20,"&lt;&gt;"&amp;"*pHL*",$J20:$AX20,"&lt;&gt;"&amp;"pB1 HL",$J20:$AX20,"&lt;&gt;"&amp;"pB2 HL")-SUM(COUNTIFS($J20:$AX20,"*HL B1*",$J20:$AX20,"&lt;&gt;"&amp;"pHL B1")*0.5,COUNTIFS($J20:$AX20,"*HL B2*",$J20:$AX20,"&lt;&gt;"&amp;"pHL B2")*0.5,COUNTIFS($J20:$AX20,"*B1 HL*",$J20:$AX20,"&lt;&gt;"&amp;"pB1 HL")*0.5,COUNTIFS($J20:$AX20,"*B2 HL*",$J20:$AX20,"&lt;&gt;"&amp;"pB2 HL")*0.5)))</f>
        <v>7.5</v>
      </c>
      <c r="G20" s="142">
        <f t="shared" si="0"/>
        <v>0</v>
      </c>
      <c r="H20" s="142">
        <f t="shared" si="1"/>
        <v>8</v>
      </c>
      <c r="I20" s="142">
        <f>IF(Mon_W2[[#This Row],[Employee Name]]="","",IF(Mon_W2[[#This Row],[Dept]]="Supervisor",SUM(COUNTIFS($J20:$AX20,"RTA*",$J20:$AX20,"&lt;&gt;"&amp;"pRTA"),COUNTIFS($J20:$AX20,"*CRTA*",$J20:$AX20,"&lt;&gt;"&amp;"pCRTA")),COUNTIFS($J20:$AX20,"*RNNR*",$J20:$AX20,"&lt;&gt;"&amp;"*pRNNR*",$J20:$AX20,"&lt;&gt;"&amp;"pB1 RNNR",$J20:$AX20,"&lt;&gt;"&amp;"pB2 RNNR")-SUM(COUNTIFS($J20:$AX20,"*RNNR B1*",$J20:$AX20,"&lt;&gt;"&amp;"pRNNR B1")*0.5,COUNTIFS($J20:$AX20,"*RNNR B2*",$J20:$AX20,"&lt;&gt;"&amp;"pRNNR B2")*0.5,COUNTIFS($J20:$AX20,"*B1 RNNR*",$J20:$AX20,"&lt;&gt;"&amp;"pB1 RNNR")*0.5,COUNTIFS($J20:$AX20,"*B2 RNNR*",$J20:$AX20,"&lt;&gt;"&amp;"pB2 RNNR")*0.5)))</f>
        <v>0</v>
      </c>
      <c r="J20" s="184" t="str">
        <f>IFERROR(IF(VLOOKUP(Mon_W2[[#This Row],[Employee Name]],'Base Schedules'!$A$113:$AW$158,9,FALSE)="","",VLOOKUP(Mon_W2[[#This Row],[Employee Name]],'Base Schedules'!$A$113:$AW$158,9,FALSE)),"")</f>
        <v/>
      </c>
      <c r="K20" s="184" t="str">
        <f>IFERROR(IF(VLOOKUP(Mon_W2[[#This Row],[Employee Name]],'Base Schedules'!$A$113:$AW$158,10,FALSE)="","",VLOOKUP(Mon_W2[[#This Row],[Employee Name]],'Base Schedules'!$A$113:$AW$158,10,FALSE)),"")</f>
        <v/>
      </c>
      <c r="L20" s="184" t="str">
        <f>IFERROR(IF(VLOOKUP(Mon_W2[[#This Row],[Employee Name]],'Base Schedules'!$A$113:$AW$158,11,FALSE)="","",VLOOKUP(Mon_W2[[#This Row],[Employee Name]],'Base Schedules'!$A$113:$AW$158,11,FALSE)),"")</f>
        <v/>
      </c>
      <c r="M20" s="184" t="str">
        <f>IFERROR(IF(VLOOKUP(Mon_W2[[#This Row],[Employee Name]],'Base Schedules'!$A$113:$AW$158,12,FALSE)="","",VLOOKUP(Mon_W2[[#This Row],[Employee Name]],'Base Schedules'!$A$113:$AW$158,12,FALSE)),"")</f>
        <v/>
      </c>
      <c r="N20" s="184" t="str">
        <f>IFERROR(IF(VLOOKUP(Mon_W2[[#This Row],[Employee Name]],'Base Schedules'!$A$113:$AW$158,13,FALSE)="","",VLOOKUP(Mon_W2[[#This Row],[Employee Name]],'Base Schedules'!$A$113:$AW$158,13,FALSE)),"")</f>
        <v>HL</v>
      </c>
      <c r="O20" s="184" t="str">
        <f>IFERROR(IF(VLOOKUP(Mon_W2[[#This Row],[Employee Name]],'Base Schedules'!$A$113:$AW$158,14,FALSE)="","",VLOOKUP(Mon_W2[[#This Row],[Employee Name]],'Base Schedules'!$A$113:$AW$158,14,FALSE)),"")</f>
        <v>HL</v>
      </c>
      <c r="P20" s="184" t="str">
        <f>IFERROR(IF(VLOOKUP(Mon_W2[[#This Row],[Employee Name]],'Base Schedules'!$A$113:$AW$158,15,FALSE)="","",VLOOKUP(Mon_W2[[#This Row],[Employee Name]],'Base Schedules'!$A$113:$AW$158,15,FALSE)),"")</f>
        <v>HL</v>
      </c>
      <c r="Q20" s="184" t="str">
        <f>IFERROR(IF(VLOOKUP(Mon_W2[[#This Row],[Employee Name]],'Base Schedules'!$A$113:$AW$158,16,FALSE)="","",VLOOKUP(Mon_W2[[#This Row],[Employee Name]],'Base Schedules'!$A$113:$AW$158,16,FALSE)),"")</f>
        <v>ADM</v>
      </c>
      <c r="R20" s="184" t="str">
        <f>IFERROR(IF(VLOOKUP(Mon_W2[[#This Row],[Employee Name]],'Base Schedules'!$A$113:$AW$158,17,FALSE)="","",VLOOKUP(Mon_W2[[#This Row],[Employee Name]],'Base Schedules'!$A$113:$AW$158,17,FALSE)),"")</f>
        <v>B1 HL</v>
      </c>
      <c r="S20" s="184" t="str">
        <f>IFERROR(IF(VLOOKUP(Mon_W2[[#This Row],[Employee Name]],'Base Schedules'!$A$113:$AW$158,18,FALSE)="","",VLOOKUP(Mon_W2[[#This Row],[Employee Name]],'Base Schedules'!$A$113:$AW$158,18,FALSE)),"")</f>
        <v>HL</v>
      </c>
      <c r="T20" s="184" t="str">
        <f>IFERROR(IF(VLOOKUP(Mon_W2[[#This Row],[Employee Name]],'Base Schedules'!$A$113:$AW$158,19,FALSE)="","",VLOOKUP(Mon_W2[[#This Row],[Employee Name]],'Base Schedules'!$A$113:$AW$158,19,FALSE)),"")</f>
        <v>HL</v>
      </c>
      <c r="U20" s="184" t="str">
        <f>IFERROR(IF(VLOOKUP(Mon_W2[[#This Row],[Employee Name]],'Base Schedules'!$A$113:$AW$158,20,FALSE)="","",VLOOKUP(Mon_W2[[#This Row],[Employee Name]],'Base Schedules'!$A$113:$AW$158,20,FALSE)),"")</f>
        <v>ADM</v>
      </c>
      <c r="V20" s="184" t="str">
        <f>IFERROR(IF(VLOOKUP(Mon_W2[[#This Row],[Employee Name]],'Base Schedules'!$A$113:$AW$158,21,FALSE)="","",VLOOKUP(Mon_W2[[#This Row],[Employee Name]],'Base Schedules'!$A$113:$AW$158,21,FALSE)),"")</f>
        <v>ADM</v>
      </c>
      <c r="W20" s="184" t="str">
        <f>IFERROR(IF(VLOOKUP(Mon_W2[[#This Row],[Employee Name]],'Base Schedules'!$A$113:$AW$158,22,FALSE)="","",VLOOKUP(Mon_W2[[#This Row],[Employee Name]],'Base Schedules'!$A$113:$AW$158,22,FALSE)),"")</f>
        <v>LUNCH</v>
      </c>
      <c r="X20" s="184" t="str">
        <f>IFERROR(IF(VLOOKUP(Mon_W2[[#This Row],[Employee Name]],'Base Schedules'!$A$113:$AW$158,23,FALSE)="","",VLOOKUP(Mon_W2[[#This Row],[Employee Name]],'Base Schedules'!$A$113:$AW$158,23,FALSE)),"")</f>
        <v>LUNCH</v>
      </c>
      <c r="Y20" s="184" t="str">
        <f>IFERROR(IF(VLOOKUP(Mon_W2[[#This Row],[Employee Name]],'Base Schedules'!$A$113:$AW$158,24,FALSE)="","",VLOOKUP(Mon_W2[[#This Row],[Employee Name]],'Base Schedules'!$A$113:$AW$158,24,FALSE)),"")</f>
        <v>ADM</v>
      </c>
      <c r="Z20" s="184" t="str">
        <f>IFERROR(IF(VLOOKUP(Mon_W2[[#This Row],[Employee Name]],'Base Schedules'!$A$113:$AW$158,25,FALSE)="","",VLOOKUP(Mon_W2[[#This Row],[Employee Name]],'Base Schedules'!$A$113:$AW$158,25,FALSE)),"")</f>
        <v>HL</v>
      </c>
      <c r="AA20" s="184" t="str">
        <f>IFERROR(IF(VLOOKUP(Mon_W2[[#This Row],[Employee Name]],'Base Schedules'!$A$113:$AW$158,26,FALSE)="","",VLOOKUP(Mon_W2[[#This Row],[Employee Name]],'Base Schedules'!$A$113:$AW$158,26,FALSE)),"")</f>
        <v>HL</v>
      </c>
      <c r="AB20" s="184" t="str">
        <f>IFERROR(IF(VLOOKUP(Mon_W2[[#This Row],[Employee Name]],'Base Schedules'!$A$113:$AW$158,27,FALSE)="","",VLOOKUP(Mon_W2[[#This Row],[Employee Name]],'Base Schedules'!$A$113:$AW$158,27,FALSE)),"")</f>
        <v>B2 ADM</v>
      </c>
      <c r="AC20" s="184" t="str">
        <f>IFERROR(IF(VLOOKUP(Mon_W2[[#This Row],[Employee Name]],'Base Schedules'!$A$113:$AW$158,28,FALSE)="","",VLOOKUP(Mon_W2[[#This Row],[Employee Name]],'Base Schedules'!$A$113:$AW$158,28,FALSE)),"")</f>
        <v>ADM</v>
      </c>
      <c r="AD20" s="184" t="str">
        <f>IFERROR(IF(VLOOKUP(Mon_W2[[#This Row],[Employee Name]],'Base Schedules'!$A$113:$AW$158,29,FALSE)="","",VLOOKUP(Mon_W2[[#This Row],[Employee Name]],'Base Schedules'!$A$113:$AW$158,29,FALSE)),"")</f>
        <v>ADM</v>
      </c>
      <c r="AE20" s="184" t="str">
        <f>IFERROR(IF(VLOOKUP(Mon_W2[[#This Row],[Employee Name]],'Base Schedules'!$A$113:$AW$158,30,FALSE)="","",VLOOKUP(Mon_W2[[#This Row],[Employee Name]],'Base Schedules'!$A$113:$AW$158,30,FALSE)),"")</f>
        <v>ADM</v>
      </c>
      <c r="AF20" s="184" t="str">
        <f>IFERROR(IF(VLOOKUP(Mon_W2[[#This Row],[Employee Name]],'Base Schedules'!$A$113:$AW$158,31,FALSE)="","",VLOOKUP(Mon_W2[[#This Row],[Employee Name]],'Base Schedules'!$A$113:$AW$158,31,FALSE)),"")</f>
        <v/>
      </c>
      <c r="AG20" s="184" t="str">
        <f>IFERROR(IF(VLOOKUP(Mon_W2[[#This Row],[Employee Name]],'Base Schedules'!$A$113:$AW$158,32,FALSE)="","",VLOOKUP(Mon_W2[[#This Row],[Employee Name]],'Base Schedules'!$A$113:$AW$158,32,FALSE)),"")</f>
        <v/>
      </c>
      <c r="AH20" s="184" t="str">
        <f>IFERROR(IF(VLOOKUP(Mon_W2[[#This Row],[Employee Name]],'Base Schedules'!$A$113:$AW$158,33,FALSE)="","",VLOOKUP(Mon_W2[[#This Row],[Employee Name]],'Base Schedules'!$A$113:$AW$158,33,FALSE)),"")</f>
        <v/>
      </c>
      <c r="AI20" s="184" t="str">
        <f>IFERROR(IF(VLOOKUP(Mon_W2[[#This Row],[Employee Name]],'Base Schedules'!$A$113:$AW$158,34,FALSE)="","",VLOOKUP(Mon_W2[[#This Row],[Employee Name]],'Base Schedules'!$A$113:$AW$158,34,FALSE)),"")</f>
        <v/>
      </c>
      <c r="AJ20" s="184" t="str">
        <f>IFERROR(IF(VLOOKUP(Mon_W2[[#This Row],[Employee Name]],'Base Schedules'!$A$113:$AW$158,35,FALSE)="","",VLOOKUP(Mon_W2[[#This Row],[Employee Name]],'Base Schedules'!$A$113:$AW$158,35,FALSE)),"")</f>
        <v/>
      </c>
      <c r="AK20" s="184" t="str">
        <f>IFERROR(IF(VLOOKUP(Mon_W2[[#This Row],[Employee Name]],'Base Schedules'!$A$113:$AW$158,36,FALSE)="","",VLOOKUP(Mon_W2[[#This Row],[Employee Name]],'Base Schedules'!$A$113:$AW$158,36,FALSE)),"")</f>
        <v/>
      </c>
      <c r="AL20" s="184" t="str">
        <f>IFERROR(IF(VLOOKUP(Mon_W2[[#This Row],[Employee Name]],'Base Schedules'!$A$113:$AW$158,37,FALSE)="","",VLOOKUP(Mon_W2[[#This Row],[Employee Name]],'Base Schedules'!$A$113:$AW$158,37,FALSE)),"")</f>
        <v/>
      </c>
      <c r="AM20" s="184" t="str">
        <f>IFERROR(IF(VLOOKUP(Mon_W2[[#This Row],[Employee Name]],'Base Schedules'!$A$113:$AW$158,38,FALSE)="","",VLOOKUP(Mon_W2[[#This Row],[Employee Name]],'Base Schedules'!$A$113:$AW$158,38,FALSE)),"")</f>
        <v/>
      </c>
      <c r="AN20" s="184" t="str">
        <f>IFERROR(IF(VLOOKUP(Mon_W2[[#This Row],[Employee Name]],'Base Schedules'!$A$113:$AW$158,39,FALSE)="","",VLOOKUP(Mon_W2[[#This Row],[Employee Name]],'Base Schedules'!$A$113:$AW$158,39,FALSE)),"")</f>
        <v/>
      </c>
      <c r="AO20" s="184" t="str">
        <f>IFERROR(IF(VLOOKUP(Mon_W2[[#This Row],[Employee Name]],'Base Schedules'!$A$113:$AW$158,40,FALSE)="","",VLOOKUP(Mon_W2[[#This Row],[Employee Name]],'Base Schedules'!$A$113:$AW$158,40,FALSE)),"")</f>
        <v/>
      </c>
      <c r="AP20" s="184" t="str">
        <f>IFERROR(IF(VLOOKUP(Mon_W2[[#This Row],[Employee Name]],'Base Schedules'!$A$113:$AW$158,41,FALSE)="","",VLOOKUP(Mon_W2[[#This Row],[Employee Name]],'Base Schedules'!$A$113:$AW$158,41,FALSE)),"")</f>
        <v/>
      </c>
      <c r="AQ20" s="184" t="str">
        <f>IFERROR(IF(VLOOKUP(Mon_W2[[#This Row],[Employee Name]],'Base Schedules'!$A$113:$AW$158,42,FALSE)="","",VLOOKUP(Mon_W2[[#This Row],[Employee Name]],'Base Schedules'!$A$113:$AW$158,42,FALSE)),"")</f>
        <v/>
      </c>
      <c r="AR20" s="184" t="str">
        <f>IFERROR(IF(VLOOKUP(Mon_W2[[#This Row],[Employee Name]],'Base Schedules'!$A$113:$AW$158,43,FALSE)="","",VLOOKUP(Mon_W2[[#This Row],[Employee Name]],'Base Schedules'!$A$113:$AW$158,43,FALSE)),"")</f>
        <v/>
      </c>
      <c r="AS20" s="184" t="str">
        <f>IFERROR(IF(VLOOKUP(Mon_W2[[#This Row],[Employee Name]],'Base Schedules'!$A$113:$AW$158,44,FALSE)="","",VLOOKUP(Mon_W2[[#This Row],[Employee Name]],'Base Schedules'!$A$113:$AW$158,44,FALSE)),"")</f>
        <v/>
      </c>
      <c r="AT20" s="184" t="str">
        <f>IFERROR(IF(VLOOKUP(Mon_W2[[#This Row],[Employee Name]],'Base Schedules'!$A$113:$AW$158,45,FALSE)="","",VLOOKUP(Mon_W2[[#This Row],[Employee Name]],'Base Schedules'!$A$113:$AW$158,45,FALSE)),"")</f>
        <v/>
      </c>
      <c r="AU20" s="184" t="str">
        <f>IFERROR(IF(VLOOKUP(Mon_W2[[#This Row],[Employee Name]],'Base Schedules'!$A$113:$AW$158,46,FALSE)="","",VLOOKUP(Mon_W2[[#This Row],[Employee Name]],'Base Schedules'!$A$113:$AW$158,46,FALSE)),"")</f>
        <v/>
      </c>
      <c r="AV20" s="184" t="str">
        <f>IFERROR(IF(VLOOKUP(Mon_W2[[#This Row],[Employee Name]],'Base Schedules'!$A$113:$AW$158,47,FALSE)="","",VLOOKUP(Mon_W2[[#This Row],[Employee Name]],'Base Schedules'!$A$113:$AW$158,47,FALSE)),"")</f>
        <v/>
      </c>
      <c r="AW20" s="184" t="str">
        <f>IFERROR(IF(VLOOKUP(Mon_W2[[#This Row],[Employee Name]],'Base Schedules'!$A$113:$AW$158,48,FALSE)="","",VLOOKUP(Mon_W2[[#This Row],[Employee Name]],'Base Schedules'!$A$113:$AW$158,48,FALSE)),"")</f>
        <v/>
      </c>
      <c r="AX20" s="184" t="str">
        <f>IFERROR(IF(VLOOKUP(Mon_W2[[#This Row],[Employee Name]],'Base Schedules'!$A$113:$AW$158,49,FALSE)="","",VLOOKUP(Mon_W2[[#This Row],[Employee Name]],'Base Schedules'!$A$113:$AW$158,49,FALSE)),"")</f>
        <v/>
      </c>
      <c r="AY20" s="159" t="str">
        <f t="shared" si="2"/>
        <v>Benish, Elisha</v>
      </c>
    </row>
    <row r="21" spans="1:51" s="44" customFormat="1" ht="12" customHeight="1" x14ac:dyDescent="0.2">
      <c r="A21" s="39" t="str">
        <f>IF(B21="","",INDEX(TeamList[],MATCH($B21,TeamList[[Employee Name]:[Employee Name]],0),MATCH("Manager",TeamList[#Headers],0)))</f>
        <v>Ahmed Hassan, Zahra</v>
      </c>
      <c r="B21" s="201" t="s">
        <v>51</v>
      </c>
      <c r="C21" s="257" t="str">
        <f>_xlfn.IFNA(VLOOKUP(Mon_W2[[#This Row],[Employee Name]],'Base Schedules'!A:B,2,FALSE),"")</f>
        <v>Supervisor</v>
      </c>
      <c r="D21" s="274">
        <f>_xlfn.IFNA(VLOOKUP(Mon_W2[[#This Row],[Employee Name]],'Base Schedules'!A:C,3,FALSE),"")</f>
        <v>700</v>
      </c>
      <c r="E21" s="274">
        <f>_xlfn.IFNA(VLOOKUP(Mon_W2[[#This Row],[Employee Name]],'Base Schedules'!A:D,4,FALSE),"")</f>
        <v>1600</v>
      </c>
      <c r="F21" s="142">
        <f>IF(Mon_W2[[#This Row],[Employee Name]]="","",IF(Mon_W2[[#This Row],[Dept]]="Supervisor",COUNTIFS($J21:$AX21,"*HL*",$J21:$AX21,"&lt;&gt;"&amp;"pHL"),COUNTIFS($J21:$AX21,"*HL*",$J21:$AX21,"&lt;&gt;"&amp;"*pHL*",$J21:$AX21,"&lt;&gt;"&amp;"pB1 HL",$J21:$AX21,"&lt;&gt;"&amp;"pB2 HL")-SUM(COUNTIFS($J21:$AX21,"*HL B1*",$J21:$AX21,"&lt;&gt;"&amp;"pHL B1")*0.5,COUNTIFS($J21:$AX21,"*HL B2*",$J21:$AX21,"&lt;&gt;"&amp;"pHL B2")*0.5,COUNTIFS($J21:$AX21,"*B1 HL*",$J21:$AX21,"&lt;&gt;"&amp;"pB1 HL")*0.5,COUNTIFS($J21:$AX21,"*B2 HL*",$J21:$AX21,"&lt;&gt;"&amp;"pB2 HL")*0.5)))</f>
        <v>0</v>
      </c>
      <c r="G21" s="142">
        <f t="shared" si="0"/>
        <v>0</v>
      </c>
      <c r="H21" s="142">
        <f t="shared" si="1"/>
        <v>0</v>
      </c>
      <c r="I21" s="142">
        <f>IF(Mon_W2[[#This Row],[Employee Name]]="","",IF(Mon_W2[[#This Row],[Dept]]="Supervisor",SUM(COUNTIFS($J21:$AX21,"RTA*",$J21:$AX21,"&lt;&gt;"&amp;"pRTA"),COUNTIFS($J21:$AX21,"*CRTA*",$J21:$AX21,"&lt;&gt;"&amp;"pCRTA")),COUNTIFS($J21:$AX21,"*RNNR*",$J21:$AX21,"&lt;&gt;"&amp;"*pRNNR*",$J21:$AX21,"&lt;&gt;"&amp;"pB1 RNNR",$J21:$AX21,"&lt;&gt;"&amp;"pB2 RNNR")-SUM(COUNTIFS($J21:$AX21,"*RNNR B1*",$J21:$AX21,"&lt;&gt;"&amp;"pRNNR B1")*0.5,COUNTIFS($J21:$AX21,"*RNNR B2*",$J21:$AX21,"&lt;&gt;"&amp;"pRNNR B2")*0.5,COUNTIFS($J21:$AX21,"*B1 RNNR*",$J21:$AX21,"&lt;&gt;"&amp;"pB1 RNNR")*0.5,COUNTIFS($J21:$AX21,"*B2 RNNR*",$J21:$AX21,"&lt;&gt;"&amp;"pB2 RNNR")*0.5)))</f>
        <v>0</v>
      </c>
      <c r="J21" s="184" t="str">
        <f>IFERROR(IF(VLOOKUP(Mon_W2[[#This Row],[Employee Name]],'Base Schedules'!$A$113:$AW$158,9,FALSE)="","",VLOOKUP(Mon_W2[[#This Row],[Employee Name]],'Base Schedules'!$A$113:$AW$158,9,FALSE)),"")</f>
        <v/>
      </c>
      <c r="K21" s="184" t="str">
        <f>IFERROR(IF(VLOOKUP(Mon_W2[[#This Row],[Employee Name]],'Base Schedules'!$A$113:$AW$158,10,FALSE)="","",VLOOKUP(Mon_W2[[#This Row],[Employee Name]],'Base Schedules'!$A$113:$AW$158,10,FALSE)),"")</f>
        <v/>
      </c>
      <c r="L21" s="184" t="str">
        <f>IFERROR(IF(VLOOKUP(Mon_W2[[#This Row],[Employee Name]],'Base Schedules'!$A$113:$AW$158,11,FALSE)="","",VLOOKUP(Mon_W2[[#This Row],[Employee Name]],'Base Schedules'!$A$113:$AW$158,11,FALSE)),"")</f>
        <v/>
      </c>
      <c r="M21" s="184" t="str">
        <f>IFERROR(IF(VLOOKUP(Mon_W2[[#This Row],[Employee Name]],'Base Schedules'!$A$113:$AW$158,12,FALSE)="","",VLOOKUP(Mon_W2[[#This Row],[Employee Name]],'Base Schedules'!$A$113:$AW$158,12,FALSE)),"")</f>
        <v/>
      </c>
      <c r="N21" s="184" t="str">
        <f>IFERROR(IF(VLOOKUP(Mon_W2[[#This Row],[Employee Name]],'Base Schedules'!$A$113:$AW$158,13,FALSE)="","",VLOOKUP(Mon_W2[[#This Row],[Employee Name]],'Base Schedules'!$A$113:$AW$158,13,FALSE)),"")</f>
        <v>-</v>
      </c>
      <c r="O21" s="184" t="str">
        <f>IFERROR(IF(VLOOKUP(Mon_W2[[#This Row],[Employee Name]],'Base Schedules'!$A$113:$AW$158,14,FALSE)="","",VLOOKUP(Mon_W2[[#This Row],[Employee Name]],'Base Schedules'!$A$113:$AW$158,14,FALSE)),"")</f>
        <v>-</v>
      </c>
      <c r="P21" s="184" t="str">
        <f>IFERROR(IF(VLOOKUP(Mon_W2[[#This Row],[Employee Name]],'Base Schedules'!$A$113:$AW$158,15,FALSE)="","",VLOOKUP(Mon_W2[[#This Row],[Employee Name]],'Base Schedules'!$A$113:$AW$158,15,FALSE)),"")</f>
        <v>-</v>
      </c>
      <c r="Q21" s="184" t="str">
        <f>IFERROR(IF(VLOOKUP(Mon_W2[[#This Row],[Employee Name]],'Base Schedules'!$A$113:$AW$158,16,FALSE)="","",VLOOKUP(Mon_W2[[#This Row],[Employee Name]],'Base Schedules'!$A$113:$AW$158,16,FALSE)),"")</f>
        <v>-</v>
      </c>
      <c r="R21" s="184" t="str">
        <f>IFERROR(IF(VLOOKUP(Mon_W2[[#This Row],[Employee Name]],'Base Schedules'!$A$113:$AW$158,17,FALSE)="","",VLOOKUP(Mon_W2[[#This Row],[Employee Name]],'Base Schedules'!$A$113:$AW$158,17,FALSE)),"")</f>
        <v>-</v>
      </c>
      <c r="S21" s="184" t="str">
        <f>IFERROR(IF(VLOOKUP(Mon_W2[[#This Row],[Employee Name]],'Base Schedules'!$A$113:$AW$158,18,FALSE)="","",VLOOKUP(Mon_W2[[#This Row],[Employee Name]],'Base Schedules'!$A$113:$AW$158,18,FALSE)),"")</f>
        <v>-</v>
      </c>
      <c r="T21" s="184" t="str">
        <f>IFERROR(IF(VLOOKUP(Mon_W2[[#This Row],[Employee Name]],'Base Schedules'!$A$113:$AW$158,19,FALSE)="","",VLOOKUP(Mon_W2[[#This Row],[Employee Name]],'Base Schedules'!$A$113:$AW$158,19,FALSE)),"")</f>
        <v>-</v>
      </c>
      <c r="U21" s="184" t="str">
        <f>IFERROR(IF(VLOOKUP(Mon_W2[[#This Row],[Employee Name]],'Base Schedules'!$A$113:$AW$158,20,FALSE)="","",VLOOKUP(Mon_W2[[#This Row],[Employee Name]],'Base Schedules'!$A$113:$AW$158,20,FALSE)),"")</f>
        <v>-</v>
      </c>
      <c r="V21" s="184" t="str">
        <f>IFERROR(IF(VLOOKUP(Mon_W2[[#This Row],[Employee Name]],'Base Schedules'!$A$113:$AW$158,21,FALSE)="","",VLOOKUP(Mon_W2[[#This Row],[Employee Name]],'Base Schedules'!$A$113:$AW$158,21,FALSE)),"")</f>
        <v>Interview</v>
      </c>
      <c r="W21" s="184" t="str">
        <f>IFERROR(IF(VLOOKUP(Mon_W2[[#This Row],[Employee Name]],'Base Schedules'!$A$113:$AW$158,22,FALSE)="","",VLOOKUP(Mon_W2[[#This Row],[Employee Name]],'Base Schedules'!$A$113:$AW$158,22,FALSE)),"")</f>
        <v>Interview</v>
      </c>
      <c r="X21" s="184" t="str">
        <f>IFERROR(IF(VLOOKUP(Mon_W2[[#This Row],[Employee Name]],'Base Schedules'!$A$113:$AW$158,23,FALSE)="","",VLOOKUP(Mon_W2[[#This Row],[Employee Name]],'Base Schedules'!$A$113:$AW$158,23,FALSE)),"")</f>
        <v>-</v>
      </c>
      <c r="Y21" s="184" t="str">
        <f>IFERROR(IF(VLOOKUP(Mon_W2[[#This Row],[Employee Name]],'Base Schedules'!$A$113:$AW$158,24,FALSE)="","",VLOOKUP(Mon_W2[[#This Row],[Employee Name]],'Base Schedules'!$A$113:$AW$158,24,FALSE)),"")</f>
        <v>-</v>
      </c>
      <c r="Z21" s="184" t="str">
        <f>IFERROR(IF(VLOOKUP(Mon_W2[[#This Row],[Employee Name]],'Base Schedules'!$A$113:$AW$158,25,FALSE)="","",VLOOKUP(Mon_W2[[#This Row],[Employee Name]],'Base Schedules'!$A$113:$AW$158,25,FALSE)),"")</f>
        <v>-</v>
      </c>
      <c r="AA21" s="184" t="str">
        <f>IFERROR(IF(VLOOKUP(Mon_W2[[#This Row],[Employee Name]],'Base Schedules'!$A$113:$AW$158,26,FALSE)="","",VLOOKUP(Mon_W2[[#This Row],[Employee Name]],'Base Schedules'!$A$113:$AW$158,26,FALSE)),"")</f>
        <v>-</v>
      </c>
      <c r="AB21" s="184" t="str">
        <f>IFERROR(IF(VLOOKUP(Mon_W2[[#This Row],[Employee Name]],'Base Schedules'!$A$113:$AW$158,27,FALSE)="","",VLOOKUP(Mon_W2[[#This Row],[Employee Name]],'Base Schedules'!$A$113:$AW$158,27,FALSE)),"")</f>
        <v>-</v>
      </c>
      <c r="AC21" s="184" t="str">
        <f>IFERROR(IF(VLOOKUP(Mon_W2[[#This Row],[Employee Name]],'Base Schedules'!$A$113:$AW$158,28,FALSE)="","",VLOOKUP(Mon_W2[[#This Row],[Employee Name]],'Base Schedules'!$A$113:$AW$158,28,FALSE)),"")</f>
        <v>-</v>
      </c>
      <c r="AD21" s="184" t="str">
        <f>IFERROR(IF(VLOOKUP(Mon_W2[[#This Row],[Employee Name]],'Base Schedules'!$A$113:$AW$158,29,FALSE)="","",VLOOKUP(Mon_W2[[#This Row],[Employee Name]],'Base Schedules'!$A$113:$AW$158,29,FALSE)),"")</f>
        <v>-</v>
      </c>
      <c r="AE21" s="184" t="str">
        <f>IFERROR(IF(VLOOKUP(Mon_W2[[#This Row],[Employee Name]],'Base Schedules'!$A$113:$AW$158,30,FALSE)="","",VLOOKUP(Mon_W2[[#This Row],[Employee Name]],'Base Schedules'!$A$113:$AW$158,30,FALSE)),"")</f>
        <v>-</v>
      </c>
      <c r="AF21" s="184" t="str">
        <f>IFERROR(IF(VLOOKUP(Mon_W2[[#This Row],[Employee Name]],'Base Schedules'!$A$113:$AW$158,31,FALSE)="","",VLOOKUP(Mon_W2[[#This Row],[Employee Name]],'Base Schedules'!$A$113:$AW$158,31,FALSE)),"")</f>
        <v/>
      </c>
      <c r="AG21" s="184" t="str">
        <f>IFERROR(IF(VLOOKUP(Mon_W2[[#This Row],[Employee Name]],'Base Schedules'!$A$113:$AW$158,32,FALSE)="","",VLOOKUP(Mon_W2[[#This Row],[Employee Name]],'Base Schedules'!$A$113:$AW$158,32,FALSE)),"")</f>
        <v/>
      </c>
      <c r="AH21" s="184" t="str">
        <f>IFERROR(IF(VLOOKUP(Mon_W2[[#This Row],[Employee Name]],'Base Schedules'!$A$113:$AW$158,33,FALSE)="","",VLOOKUP(Mon_W2[[#This Row],[Employee Name]],'Base Schedules'!$A$113:$AW$158,33,FALSE)),"")</f>
        <v/>
      </c>
      <c r="AI21" s="184" t="str">
        <f>IFERROR(IF(VLOOKUP(Mon_W2[[#This Row],[Employee Name]],'Base Schedules'!$A$113:$AW$158,34,FALSE)="","",VLOOKUP(Mon_W2[[#This Row],[Employee Name]],'Base Schedules'!$A$113:$AW$158,34,FALSE)),"")</f>
        <v/>
      </c>
      <c r="AJ21" s="184" t="str">
        <f>IFERROR(IF(VLOOKUP(Mon_W2[[#This Row],[Employee Name]],'Base Schedules'!$A$113:$AW$158,35,FALSE)="","",VLOOKUP(Mon_W2[[#This Row],[Employee Name]],'Base Schedules'!$A$113:$AW$158,35,FALSE)),"")</f>
        <v/>
      </c>
      <c r="AK21" s="184" t="str">
        <f>IFERROR(IF(VLOOKUP(Mon_W2[[#This Row],[Employee Name]],'Base Schedules'!$A$113:$AW$158,36,FALSE)="","",VLOOKUP(Mon_W2[[#This Row],[Employee Name]],'Base Schedules'!$A$113:$AW$158,36,FALSE)),"")</f>
        <v/>
      </c>
      <c r="AL21" s="184" t="str">
        <f>IFERROR(IF(VLOOKUP(Mon_W2[[#This Row],[Employee Name]],'Base Schedules'!$A$113:$AW$158,37,FALSE)="","",VLOOKUP(Mon_W2[[#This Row],[Employee Name]],'Base Schedules'!$A$113:$AW$158,37,FALSE)),"")</f>
        <v/>
      </c>
      <c r="AM21" s="184" t="str">
        <f>IFERROR(IF(VLOOKUP(Mon_W2[[#This Row],[Employee Name]],'Base Schedules'!$A$113:$AW$158,38,FALSE)="","",VLOOKUP(Mon_W2[[#This Row],[Employee Name]],'Base Schedules'!$A$113:$AW$158,38,FALSE)),"")</f>
        <v/>
      </c>
      <c r="AN21" s="184" t="str">
        <f>IFERROR(IF(VLOOKUP(Mon_W2[[#This Row],[Employee Name]],'Base Schedules'!$A$113:$AW$158,39,FALSE)="","",VLOOKUP(Mon_W2[[#This Row],[Employee Name]],'Base Schedules'!$A$113:$AW$158,39,FALSE)),"")</f>
        <v/>
      </c>
      <c r="AO21" s="184" t="str">
        <f>IFERROR(IF(VLOOKUP(Mon_W2[[#This Row],[Employee Name]],'Base Schedules'!$A$113:$AW$158,40,FALSE)="","",VLOOKUP(Mon_W2[[#This Row],[Employee Name]],'Base Schedules'!$A$113:$AW$158,40,FALSE)),"")</f>
        <v/>
      </c>
      <c r="AP21" s="184" t="str">
        <f>IFERROR(IF(VLOOKUP(Mon_W2[[#This Row],[Employee Name]],'Base Schedules'!$A$113:$AW$158,41,FALSE)="","",VLOOKUP(Mon_W2[[#This Row],[Employee Name]],'Base Schedules'!$A$113:$AW$158,41,FALSE)),"")</f>
        <v/>
      </c>
      <c r="AQ21" s="184" t="str">
        <f>IFERROR(IF(VLOOKUP(Mon_W2[[#This Row],[Employee Name]],'Base Schedules'!$A$113:$AW$158,42,FALSE)="","",VLOOKUP(Mon_W2[[#This Row],[Employee Name]],'Base Schedules'!$A$113:$AW$158,42,FALSE)),"")</f>
        <v/>
      </c>
      <c r="AR21" s="184" t="str">
        <f>IFERROR(IF(VLOOKUP(Mon_W2[[#This Row],[Employee Name]],'Base Schedules'!$A$113:$AW$158,43,FALSE)="","",VLOOKUP(Mon_W2[[#This Row],[Employee Name]],'Base Schedules'!$A$113:$AW$158,43,FALSE)),"")</f>
        <v/>
      </c>
      <c r="AS21" s="184" t="str">
        <f>IFERROR(IF(VLOOKUP(Mon_W2[[#This Row],[Employee Name]],'Base Schedules'!$A$113:$AW$158,44,FALSE)="","",VLOOKUP(Mon_W2[[#This Row],[Employee Name]],'Base Schedules'!$A$113:$AW$158,44,FALSE)),"")</f>
        <v/>
      </c>
      <c r="AT21" s="184" t="str">
        <f>IFERROR(IF(VLOOKUP(Mon_W2[[#This Row],[Employee Name]],'Base Schedules'!$A$113:$AW$158,45,FALSE)="","",VLOOKUP(Mon_W2[[#This Row],[Employee Name]],'Base Schedules'!$A$113:$AW$158,45,FALSE)),"")</f>
        <v/>
      </c>
      <c r="AU21" s="184" t="str">
        <f>IFERROR(IF(VLOOKUP(Mon_W2[[#This Row],[Employee Name]],'Base Schedules'!$A$113:$AW$158,46,FALSE)="","",VLOOKUP(Mon_W2[[#This Row],[Employee Name]],'Base Schedules'!$A$113:$AW$158,46,FALSE)),"")</f>
        <v/>
      </c>
      <c r="AV21" s="184" t="str">
        <f>IFERROR(IF(VLOOKUP(Mon_W2[[#This Row],[Employee Name]],'Base Schedules'!$A$113:$AW$158,47,FALSE)="","",VLOOKUP(Mon_W2[[#This Row],[Employee Name]],'Base Schedules'!$A$113:$AW$158,47,FALSE)),"")</f>
        <v/>
      </c>
      <c r="AW21" s="184" t="str">
        <f>IFERROR(IF(VLOOKUP(Mon_W2[[#This Row],[Employee Name]],'Base Schedules'!$A$113:$AW$158,48,FALSE)="","",VLOOKUP(Mon_W2[[#This Row],[Employee Name]],'Base Schedules'!$A$113:$AW$158,48,FALSE)),"")</f>
        <v/>
      </c>
      <c r="AX21" s="184" t="str">
        <f>IFERROR(IF(VLOOKUP(Mon_W2[[#This Row],[Employee Name]],'Base Schedules'!$A$113:$AW$158,49,FALSE)="","",VLOOKUP(Mon_W2[[#This Row],[Employee Name]],'Base Schedules'!$A$113:$AW$158,49,FALSE)),"")</f>
        <v/>
      </c>
      <c r="AY21" s="159" t="str">
        <f t="shared" si="2"/>
        <v>Martin, Gary</v>
      </c>
    </row>
    <row r="22" spans="1:51" s="44" customFormat="1" ht="12" customHeight="1" x14ac:dyDescent="0.2">
      <c r="A22" s="39" t="str">
        <f>IF(B22="","",INDEX(TeamList[],MATCH($B22,TeamList[[Employee Name]:[Employee Name]],0),MATCH("Manager",TeamList[#Headers],0)))</f>
        <v>Olson, Katherine</v>
      </c>
      <c r="B22" s="201" t="s">
        <v>237</v>
      </c>
      <c r="C22" s="257" t="str">
        <f>_xlfn.IFNA(VLOOKUP(Mon_W2[[#This Row],[Employee Name]],'Base Schedules'!A:B,2,FALSE),"")</f>
        <v>Lead</v>
      </c>
      <c r="D22" s="274">
        <f>_xlfn.IFNA(VLOOKUP(Mon_W2[[#This Row],[Employee Name]],'Base Schedules'!A:C,3,FALSE),"")</f>
        <v>730</v>
      </c>
      <c r="E22" s="274">
        <f>_xlfn.IFNA(VLOOKUP(Mon_W2[[#This Row],[Employee Name]],'Base Schedules'!A:D,4,FALSE),"")</f>
        <v>1600</v>
      </c>
      <c r="F22" s="142">
        <f>IF(Mon_W2[[#This Row],[Employee Name]]="","",IF(Mon_W2[[#This Row],[Dept]]="Supervisor",COUNTIFS($J22:$AX22,"*HL*",$J22:$AX22,"&lt;&gt;"&amp;"pHL"),COUNTIFS($J22:$AX22,"*HL*",$J22:$AX22,"&lt;&gt;"&amp;"*pHL*",$J22:$AX22,"&lt;&gt;"&amp;"pB1 HL",$J22:$AX22,"&lt;&gt;"&amp;"pB2 HL")-SUM(COUNTIFS($J22:$AX22,"*HL B1*",$J22:$AX22,"&lt;&gt;"&amp;"pHL B1")*0.5,COUNTIFS($J22:$AX22,"*HL B2*",$J22:$AX22,"&lt;&gt;"&amp;"pHL B2")*0.5,COUNTIFS($J22:$AX22,"*B1 HL*",$J22:$AX22,"&lt;&gt;"&amp;"pB1 HL")*0.5,COUNTIFS($J22:$AX22,"*B2 HL*",$J22:$AX22,"&lt;&gt;"&amp;"pB2 HL")*0.5)))</f>
        <v>6</v>
      </c>
      <c r="G22" s="142">
        <f t="shared" si="0"/>
        <v>0</v>
      </c>
      <c r="H22" s="142">
        <f t="shared" si="1"/>
        <v>8</v>
      </c>
      <c r="I22" s="142">
        <f>IF(Mon_W2[[#This Row],[Employee Name]]="","",IF(Mon_W2[[#This Row],[Dept]]="Supervisor",SUM(COUNTIFS($J22:$AX22,"RTA*",$J22:$AX22,"&lt;&gt;"&amp;"pRTA"),COUNTIFS($J22:$AX22,"*CRTA*",$J22:$AX22,"&lt;&gt;"&amp;"pCRTA")),COUNTIFS($J22:$AX22,"*RNNR*",$J22:$AX22,"&lt;&gt;"&amp;"*pRNNR*",$J22:$AX22,"&lt;&gt;"&amp;"pB1 RNNR",$J22:$AX22,"&lt;&gt;"&amp;"pB2 RNNR")-SUM(COUNTIFS($J22:$AX22,"*RNNR B1*",$J22:$AX22,"&lt;&gt;"&amp;"pRNNR B1")*0.5,COUNTIFS($J22:$AX22,"*RNNR B2*",$J22:$AX22,"&lt;&gt;"&amp;"pRNNR B2")*0.5,COUNTIFS($J22:$AX22,"*B1 RNNR*",$J22:$AX22,"&lt;&gt;"&amp;"pB1 RNNR")*0.5,COUNTIFS($J22:$AX22,"*B2 RNNR*",$J22:$AX22,"&lt;&gt;"&amp;"pB2 RNNR")*0.5)))</f>
        <v>2</v>
      </c>
      <c r="J22" s="184" t="str">
        <f>IFERROR(IF(VLOOKUP(Mon_W2[[#This Row],[Employee Name]],'Base Schedules'!$A$113:$AW$158,9,FALSE)="","",VLOOKUP(Mon_W2[[#This Row],[Employee Name]],'Base Schedules'!$A$113:$AW$158,9,FALSE)),"")</f>
        <v/>
      </c>
      <c r="K22" s="184" t="str">
        <f>IFERROR(IF(VLOOKUP(Mon_W2[[#This Row],[Employee Name]],'Base Schedules'!$A$113:$AW$158,10,FALSE)="","",VLOOKUP(Mon_W2[[#This Row],[Employee Name]],'Base Schedules'!$A$113:$AW$158,10,FALSE)),"")</f>
        <v/>
      </c>
      <c r="L22" s="184" t="str">
        <f>IFERROR(IF(VLOOKUP(Mon_W2[[#This Row],[Employee Name]],'Base Schedules'!$A$113:$AW$158,11,FALSE)="","",VLOOKUP(Mon_W2[[#This Row],[Employee Name]],'Base Schedules'!$A$113:$AW$158,11,FALSE)),"")</f>
        <v/>
      </c>
      <c r="M22" s="184" t="str">
        <f>IFERROR(IF(VLOOKUP(Mon_W2[[#This Row],[Employee Name]],'Base Schedules'!$A$113:$AW$158,12,FALSE)="","",VLOOKUP(Mon_W2[[#This Row],[Employee Name]],'Base Schedules'!$A$113:$AW$158,12,FALSE)),"")</f>
        <v/>
      </c>
      <c r="N22" s="184" t="str">
        <f>IFERROR(IF(VLOOKUP(Mon_W2[[#This Row],[Employee Name]],'Base Schedules'!$A$113:$AW$158,13,FALSE)="","",VLOOKUP(Mon_W2[[#This Row],[Employee Name]],'Base Schedules'!$A$113:$AW$158,13,FALSE)),"")</f>
        <v/>
      </c>
      <c r="O22" s="184" t="str">
        <f>IFERROR(IF(VLOOKUP(Mon_W2[[#This Row],[Employee Name]],'Base Schedules'!$A$113:$AW$158,14,FALSE)="","",VLOOKUP(Mon_W2[[#This Row],[Employee Name]],'Base Schedules'!$A$113:$AW$158,14,FALSE)),"")</f>
        <v>HL</v>
      </c>
      <c r="P22" s="184" t="str">
        <f>IFERROR(IF(VLOOKUP(Mon_W2[[#This Row],[Employee Name]],'Base Schedules'!$A$113:$AW$158,15,FALSE)="","",VLOOKUP(Mon_W2[[#This Row],[Employee Name]],'Base Schedules'!$A$113:$AW$158,15,FALSE)),"")</f>
        <v>HL</v>
      </c>
      <c r="Q22" s="184" t="str">
        <f>IFERROR(IF(VLOOKUP(Mon_W2[[#This Row],[Employee Name]],'Base Schedules'!$A$113:$AW$158,16,FALSE)="","",VLOOKUP(Mon_W2[[#This Row],[Employee Name]],'Base Schedules'!$A$113:$AW$158,16,FALSE)),"")</f>
        <v>HL</v>
      </c>
      <c r="R22" s="184" t="str">
        <f>IFERROR(IF(VLOOKUP(Mon_W2[[#This Row],[Employee Name]],'Base Schedules'!$A$113:$AW$158,17,FALSE)="","",VLOOKUP(Mon_W2[[#This Row],[Employee Name]],'Base Schedules'!$A$113:$AW$158,17,FALSE)),"")</f>
        <v>ADM</v>
      </c>
      <c r="S22" s="184" t="str">
        <f>IFERROR(IF(VLOOKUP(Mon_W2[[#This Row],[Employee Name]],'Base Schedules'!$A$113:$AW$158,18,FALSE)="","",VLOOKUP(Mon_W2[[#This Row],[Employee Name]],'Base Schedules'!$A$113:$AW$158,18,FALSE)),"")</f>
        <v>B1 ADM</v>
      </c>
      <c r="T22" s="184" t="str">
        <f>IFERROR(IF(VLOOKUP(Mon_W2[[#This Row],[Employee Name]],'Base Schedules'!$A$113:$AW$158,19,FALSE)="","",VLOOKUP(Mon_W2[[#This Row],[Employee Name]],'Base Schedules'!$A$113:$AW$158,19,FALSE)),"")</f>
        <v>ADM</v>
      </c>
      <c r="U22" s="184" t="str">
        <f>IFERROR(IF(VLOOKUP(Mon_W2[[#This Row],[Employee Name]],'Base Schedules'!$A$113:$AW$158,20,FALSE)="","",VLOOKUP(Mon_W2[[#This Row],[Employee Name]],'Base Schedules'!$A$113:$AW$158,20,FALSE)),"")</f>
        <v>ADM</v>
      </c>
      <c r="V22" s="184" t="str">
        <f>IFERROR(IF(VLOOKUP(Mon_W2[[#This Row],[Employee Name]],'Base Schedules'!$A$113:$AW$158,21,FALSE)="","",VLOOKUP(Mon_W2[[#This Row],[Employee Name]],'Base Schedules'!$A$113:$AW$158,21,FALSE)),"")</f>
        <v>ADM</v>
      </c>
      <c r="W22" s="184" t="str">
        <f>IFERROR(IF(VLOOKUP(Mon_W2[[#This Row],[Employee Name]],'Base Schedules'!$A$113:$AW$158,22,FALSE)="","",VLOOKUP(Mon_W2[[#This Row],[Employee Name]],'Base Schedules'!$A$113:$AW$158,22,FALSE)),"")</f>
        <v>HL</v>
      </c>
      <c r="X22" s="184" t="str">
        <f>IFERROR(IF(VLOOKUP(Mon_W2[[#This Row],[Employee Name]],'Base Schedules'!$A$113:$AW$158,23,FALSE)="","",VLOOKUP(Mon_W2[[#This Row],[Employee Name]],'Base Schedules'!$A$113:$AW$158,23,FALSE)),"")</f>
        <v>LUNCH</v>
      </c>
      <c r="Y22" s="184" t="str">
        <f>IFERROR(IF(VLOOKUP(Mon_W2[[#This Row],[Employee Name]],'Base Schedules'!$A$113:$AW$158,24,FALSE)="","",VLOOKUP(Mon_W2[[#This Row],[Employee Name]],'Base Schedules'!$A$113:$AW$158,24,FALSE)),"")</f>
        <v>HL</v>
      </c>
      <c r="Z22" s="184" t="str">
        <f>IFERROR(IF(VLOOKUP(Mon_W2[[#This Row],[Employee Name]],'Base Schedules'!$A$113:$AW$158,25,FALSE)="","",VLOOKUP(Mon_W2[[#This Row],[Employee Name]],'Base Schedules'!$A$113:$AW$158,25,FALSE)),"")</f>
        <v>HL</v>
      </c>
      <c r="AA22" s="184" t="str">
        <f>IFERROR(IF(VLOOKUP(Mon_W2[[#This Row],[Employee Name]],'Base Schedules'!$A$113:$AW$158,26,FALSE)="","",VLOOKUP(Mon_W2[[#This Row],[Employee Name]],'Base Schedules'!$A$113:$AW$158,26,FALSE)),"")</f>
        <v>ADM</v>
      </c>
      <c r="AB22" s="184" t="str">
        <f>IFERROR(IF(VLOOKUP(Mon_W2[[#This Row],[Employee Name]],'Base Schedules'!$A$113:$AW$158,27,FALSE)="","",VLOOKUP(Mon_W2[[#This Row],[Employee Name]],'Base Schedules'!$A$113:$AW$158,27,FALSE)),"")</f>
        <v>ADM B2</v>
      </c>
      <c r="AC22" s="184" t="str">
        <f>IFERROR(IF(VLOOKUP(Mon_W2[[#This Row],[Employee Name]],'Base Schedules'!$A$113:$AW$158,28,FALSE)="","",VLOOKUP(Mon_W2[[#This Row],[Employee Name]],'Base Schedules'!$A$113:$AW$158,28,FALSE)),"")</f>
        <v>ADM</v>
      </c>
      <c r="AD22" s="184" t="str">
        <f>IFERROR(IF(VLOOKUP(Mon_W2[[#This Row],[Employee Name]],'Base Schedules'!$A$113:$AW$158,29,FALSE)="","",VLOOKUP(Mon_W2[[#This Row],[Employee Name]],'Base Schedules'!$A$113:$AW$158,29,FALSE)),"")</f>
        <v>RNNR</v>
      </c>
      <c r="AE22" s="184" t="str">
        <f>IFERROR(IF(VLOOKUP(Mon_W2[[#This Row],[Employee Name]],'Base Schedules'!$A$113:$AW$158,30,FALSE)="","",VLOOKUP(Mon_W2[[#This Row],[Employee Name]],'Base Schedules'!$A$113:$AW$158,30,FALSE)),"")</f>
        <v>RNNR</v>
      </c>
      <c r="AF22" s="184" t="str">
        <f>IFERROR(IF(VLOOKUP(Mon_W2[[#This Row],[Employee Name]],'Base Schedules'!$A$113:$AW$158,31,FALSE)="","",VLOOKUP(Mon_W2[[#This Row],[Employee Name]],'Base Schedules'!$A$113:$AW$158,31,FALSE)),"")</f>
        <v/>
      </c>
      <c r="AG22" s="184" t="str">
        <f>IFERROR(IF(VLOOKUP(Mon_W2[[#This Row],[Employee Name]],'Base Schedules'!$A$113:$AW$158,32,FALSE)="","",VLOOKUP(Mon_W2[[#This Row],[Employee Name]],'Base Schedules'!$A$113:$AW$158,32,FALSE)),"")</f>
        <v/>
      </c>
      <c r="AH22" s="184" t="str">
        <f>IFERROR(IF(VLOOKUP(Mon_W2[[#This Row],[Employee Name]],'Base Schedules'!$A$113:$AW$158,33,FALSE)="","",VLOOKUP(Mon_W2[[#This Row],[Employee Name]],'Base Schedules'!$A$113:$AW$158,33,FALSE)),"")</f>
        <v/>
      </c>
      <c r="AI22" s="184" t="str">
        <f>IFERROR(IF(VLOOKUP(Mon_W2[[#This Row],[Employee Name]],'Base Schedules'!$A$113:$AW$158,34,FALSE)="","",VLOOKUP(Mon_W2[[#This Row],[Employee Name]],'Base Schedules'!$A$113:$AW$158,34,FALSE)),"")</f>
        <v/>
      </c>
      <c r="AJ22" s="184" t="str">
        <f>IFERROR(IF(VLOOKUP(Mon_W2[[#This Row],[Employee Name]],'Base Schedules'!$A$113:$AW$158,35,FALSE)="","",VLOOKUP(Mon_W2[[#This Row],[Employee Name]],'Base Schedules'!$A$113:$AW$158,35,FALSE)),"")</f>
        <v/>
      </c>
      <c r="AK22" s="184" t="str">
        <f>IFERROR(IF(VLOOKUP(Mon_W2[[#This Row],[Employee Name]],'Base Schedules'!$A$113:$AW$158,36,FALSE)="","",VLOOKUP(Mon_W2[[#This Row],[Employee Name]],'Base Schedules'!$A$113:$AW$158,36,FALSE)),"")</f>
        <v/>
      </c>
      <c r="AL22" s="184" t="str">
        <f>IFERROR(IF(VLOOKUP(Mon_W2[[#This Row],[Employee Name]],'Base Schedules'!$A$113:$AW$158,37,FALSE)="","",VLOOKUP(Mon_W2[[#This Row],[Employee Name]],'Base Schedules'!$A$113:$AW$158,37,FALSE)),"")</f>
        <v/>
      </c>
      <c r="AM22" s="184" t="str">
        <f>IFERROR(IF(VLOOKUP(Mon_W2[[#This Row],[Employee Name]],'Base Schedules'!$A$113:$AW$158,38,FALSE)="","",VLOOKUP(Mon_W2[[#This Row],[Employee Name]],'Base Schedules'!$A$113:$AW$158,38,FALSE)),"")</f>
        <v/>
      </c>
      <c r="AN22" s="184" t="str">
        <f>IFERROR(IF(VLOOKUP(Mon_W2[[#This Row],[Employee Name]],'Base Schedules'!$A$113:$AW$158,39,FALSE)="","",VLOOKUP(Mon_W2[[#This Row],[Employee Name]],'Base Schedules'!$A$113:$AW$158,39,FALSE)),"")</f>
        <v/>
      </c>
      <c r="AO22" s="184" t="str">
        <f>IFERROR(IF(VLOOKUP(Mon_W2[[#This Row],[Employee Name]],'Base Schedules'!$A$113:$AW$158,40,FALSE)="","",VLOOKUP(Mon_W2[[#This Row],[Employee Name]],'Base Schedules'!$A$113:$AW$158,40,FALSE)),"")</f>
        <v/>
      </c>
      <c r="AP22" s="184" t="str">
        <f>IFERROR(IF(VLOOKUP(Mon_W2[[#This Row],[Employee Name]],'Base Schedules'!$A$113:$AW$158,41,FALSE)="","",VLOOKUP(Mon_W2[[#This Row],[Employee Name]],'Base Schedules'!$A$113:$AW$158,41,FALSE)),"")</f>
        <v/>
      </c>
      <c r="AQ22" s="184" t="str">
        <f>IFERROR(IF(VLOOKUP(Mon_W2[[#This Row],[Employee Name]],'Base Schedules'!$A$113:$AW$158,42,FALSE)="","",VLOOKUP(Mon_W2[[#This Row],[Employee Name]],'Base Schedules'!$A$113:$AW$158,42,FALSE)),"")</f>
        <v/>
      </c>
      <c r="AR22" s="184" t="str">
        <f>IFERROR(IF(VLOOKUP(Mon_W2[[#This Row],[Employee Name]],'Base Schedules'!$A$113:$AW$158,43,FALSE)="","",VLOOKUP(Mon_W2[[#This Row],[Employee Name]],'Base Schedules'!$A$113:$AW$158,43,FALSE)),"")</f>
        <v/>
      </c>
      <c r="AS22" s="184" t="str">
        <f>IFERROR(IF(VLOOKUP(Mon_W2[[#This Row],[Employee Name]],'Base Schedules'!$A$113:$AW$158,44,FALSE)="","",VLOOKUP(Mon_W2[[#This Row],[Employee Name]],'Base Schedules'!$A$113:$AW$158,44,FALSE)),"")</f>
        <v/>
      </c>
      <c r="AT22" s="184" t="str">
        <f>IFERROR(IF(VLOOKUP(Mon_W2[[#This Row],[Employee Name]],'Base Schedules'!$A$113:$AW$158,45,FALSE)="","",VLOOKUP(Mon_W2[[#This Row],[Employee Name]],'Base Schedules'!$A$113:$AW$158,45,FALSE)),"")</f>
        <v/>
      </c>
      <c r="AU22" s="184" t="str">
        <f>IFERROR(IF(VLOOKUP(Mon_W2[[#This Row],[Employee Name]],'Base Schedules'!$A$113:$AW$158,46,FALSE)="","",VLOOKUP(Mon_W2[[#This Row],[Employee Name]],'Base Schedules'!$A$113:$AW$158,46,FALSE)),"")</f>
        <v/>
      </c>
      <c r="AV22" s="184" t="str">
        <f>IFERROR(IF(VLOOKUP(Mon_W2[[#This Row],[Employee Name]],'Base Schedules'!$A$113:$AW$158,47,FALSE)="","",VLOOKUP(Mon_W2[[#This Row],[Employee Name]],'Base Schedules'!$A$113:$AW$158,47,FALSE)),"")</f>
        <v/>
      </c>
      <c r="AW22" s="184" t="str">
        <f>IFERROR(IF(VLOOKUP(Mon_W2[[#This Row],[Employee Name]],'Base Schedules'!$A$113:$AW$158,48,FALSE)="","",VLOOKUP(Mon_W2[[#This Row],[Employee Name]],'Base Schedules'!$A$113:$AW$158,48,FALSE)),"")</f>
        <v/>
      </c>
      <c r="AX22" s="184" t="str">
        <f>IFERROR(IF(VLOOKUP(Mon_W2[[#This Row],[Employee Name]],'Base Schedules'!$A$113:$AW$158,49,FALSE)="","",VLOOKUP(Mon_W2[[#This Row],[Employee Name]],'Base Schedules'!$A$113:$AW$158,49,FALSE)),"")</f>
        <v/>
      </c>
      <c r="AY22" s="159" t="str">
        <f t="shared" si="2"/>
        <v>Fine, Melissa</v>
      </c>
    </row>
    <row r="23" spans="1:51" s="44" customFormat="1" ht="12" customHeight="1" x14ac:dyDescent="0.2">
      <c r="A23" s="39" t="str">
        <f>IF(B23="","",INDEX(TeamList[],MATCH($B23,TeamList[[Employee Name]:[Employee Name]],0),MATCH("Manager",TeamList[#Headers],0)))</f>
        <v>Paulson, Matthew</v>
      </c>
      <c r="B23" s="331" t="s">
        <v>31</v>
      </c>
      <c r="C23" s="257" t="str">
        <f>_xlfn.IFNA(VLOOKUP(Mon_W2[[#This Row],[Employee Name]],'Base Schedules'!A:B,2,FALSE),"")</f>
        <v>Supervisor</v>
      </c>
      <c r="D23" s="274">
        <f>_xlfn.IFNA(VLOOKUP(Mon_W2[[#This Row],[Employee Name]],'Base Schedules'!A:C,3,FALSE),"")</f>
        <v>730</v>
      </c>
      <c r="E23" s="274">
        <f>_xlfn.IFNA(VLOOKUP(Mon_W2[[#This Row],[Employee Name]],'Base Schedules'!A:D,4,FALSE),"")</f>
        <v>1630</v>
      </c>
      <c r="F23" s="142">
        <f>IF(Mon_W2[[#This Row],[Employee Name]]="","",IF(Mon_W2[[#This Row],[Dept]]="Supervisor",COUNTIFS($J23:$AX23,"*HL*",$J23:$AX23,"&lt;&gt;"&amp;"pHL"),COUNTIFS($J23:$AX23,"*HL*",$J23:$AX23,"&lt;&gt;"&amp;"*pHL*",$J23:$AX23,"&lt;&gt;"&amp;"pB1 HL",$J23:$AX23,"&lt;&gt;"&amp;"pB2 HL")-SUM(COUNTIFS($J23:$AX23,"*HL B1*",$J23:$AX23,"&lt;&gt;"&amp;"pHL B1")*0.5,COUNTIFS($J23:$AX23,"*HL B2*",$J23:$AX23,"&lt;&gt;"&amp;"pHL B2")*0.5,COUNTIFS($J23:$AX23,"*B1 HL*",$J23:$AX23,"&lt;&gt;"&amp;"pB1 HL")*0.5,COUNTIFS($J23:$AX23,"*B2 HL*",$J23:$AX23,"&lt;&gt;"&amp;"pB2 HL")*0.5)))</f>
        <v>0</v>
      </c>
      <c r="G23" s="142">
        <f t="shared" si="0"/>
        <v>0</v>
      </c>
      <c r="H23" s="142">
        <f t="shared" si="1"/>
        <v>0</v>
      </c>
      <c r="I23" s="142">
        <f>IF(Mon_W2[[#This Row],[Employee Name]]="","",IF(Mon_W2[[#This Row],[Dept]]="Supervisor",SUM(COUNTIFS($J23:$AX23,"RTA*",$J23:$AX23,"&lt;&gt;"&amp;"pRTA"),COUNTIFS($J23:$AX23,"*CRTA*",$J23:$AX23,"&lt;&gt;"&amp;"pCRTA")),COUNTIFS($J23:$AX23,"*RNNR*",$J23:$AX23,"&lt;&gt;"&amp;"*pRNNR*",$J23:$AX23,"&lt;&gt;"&amp;"pB1 RNNR",$J23:$AX23,"&lt;&gt;"&amp;"pB2 RNNR")-SUM(COUNTIFS($J23:$AX23,"*RNNR B1*",$J23:$AX23,"&lt;&gt;"&amp;"pRNNR B1")*0.5,COUNTIFS($J23:$AX23,"*RNNR B2*",$J23:$AX23,"&lt;&gt;"&amp;"pRNNR B2")*0.5,COUNTIFS($J23:$AX23,"*B1 RNNR*",$J23:$AX23,"&lt;&gt;"&amp;"pB1 RNNR")*0.5,COUNTIFS($J23:$AX23,"*B2 RNNR*",$J23:$AX23,"&lt;&gt;"&amp;"pB2 RNNR")*0.5)))</f>
        <v>0</v>
      </c>
      <c r="J23" s="184" t="str">
        <f>IFERROR(IF(VLOOKUP(Mon_W2[[#This Row],[Employee Name]],'Base Schedules'!$A$113:$AW$158,9,FALSE)="","",VLOOKUP(Mon_W2[[#This Row],[Employee Name]],'Base Schedules'!$A$113:$AW$158,9,FALSE)),"")</f>
        <v/>
      </c>
      <c r="K23" s="184" t="str">
        <f>IFERROR(IF(VLOOKUP(Mon_W2[[#This Row],[Employee Name]],'Base Schedules'!$A$113:$AW$158,10,FALSE)="","",VLOOKUP(Mon_W2[[#This Row],[Employee Name]],'Base Schedules'!$A$113:$AW$158,10,FALSE)),"")</f>
        <v/>
      </c>
      <c r="L23" s="184" t="str">
        <f>IFERROR(IF(VLOOKUP(Mon_W2[[#This Row],[Employee Name]],'Base Schedules'!$A$113:$AW$158,11,FALSE)="","",VLOOKUP(Mon_W2[[#This Row],[Employee Name]],'Base Schedules'!$A$113:$AW$158,11,FALSE)),"")</f>
        <v/>
      </c>
      <c r="M23" s="184" t="str">
        <f>IFERROR(IF(VLOOKUP(Mon_W2[[#This Row],[Employee Name]],'Base Schedules'!$A$113:$AW$158,12,FALSE)="","",VLOOKUP(Mon_W2[[#This Row],[Employee Name]],'Base Schedules'!$A$113:$AW$158,12,FALSE)),"")</f>
        <v/>
      </c>
      <c r="N23" s="184" t="str">
        <f>IFERROR(IF(VLOOKUP(Mon_W2[[#This Row],[Employee Name]],'Base Schedules'!$A$113:$AW$158,13,FALSE)="","",VLOOKUP(Mon_W2[[#This Row],[Employee Name]],'Base Schedules'!$A$113:$AW$158,13,FALSE)),"")</f>
        <v/>
      </c>
      <c r="O23" s="184" t="str">
        <f>IFERROR(IF(VLOOKUP(Mon_W2[[#This Row],[Employee Name]],'Base Schedules'!$A$113:$AW$158,14,FALSE)="","",VLOOKUP(Mon_W2[[#This Row],[Employee Name]],'Base Schedules'!$A$113:$AW$158,14,FALSE)),"")</f>
        <v>-</v>
      </c>
      <c r="P23" s="184" t="str">
        <f>IFERROR(IF(VLOOKUP(Mon_W2[[#This Row],[Employee Name]],'Base Schedules'!$A$113:$AW$158,15,FALSE)="","",VLOOKUP(Mon_W2[[#This Row],[Employee Name]],'Base Schedules'!$A$113:$AW$158,15,FALSE)),"")</f>
        <v>-</v>
      </c>
      <c r="Q23" s="184" t="str">
        <f>IFERROR(IF(VLOOKUP(Mon_W2[[#This Row],[Employee Name]],'Base Schedules'!$A$113:$AW$158,16,FALSE)="","",VLOOKUP(Mon_W2[[#This Row],[Employee Name]],'Base Schedules'!$A$113:$AW$158,16,FALSE)),"")</f>
        <v>-</v>
      </c>
      <c r="R23" s="184" t="str">
        <f>IFERROR(IF(VLOOKUP(Mon_W2[[#This Row],[Employee Name]],'Base Schedules'!$A$113:$AW$158,17,FALSE)="","",VLOOKUP(Mon_W2[[#This Row],[Employee Name]],'Base Schedules'!$A$113:$AW$158,17,FALSE)),"")</f>
        <v>-</v>
      </c>
      <c r="S23" s="184" t="str">
        <f>IFERROR(IF(VLOOKUP(Mon_W2[[#This Row],[Employee Name]],'Base Schedules'!$A$113:$AW$158,18,FALSE)="","",VLOOKUP(Mon_W2[[#This Row],[Employee Name]],'Base Schedules'!$A$113:$AW$158,18,FALSE)),"")</f>
        <v>-</v>
      </c>
      <c r="T23" s="184" t="str">
        <f>IFERROR(IF(VLOOKUP(Mon_W2[[#This Row],[Employee Name]],'Base Schedules'!$A$113:$AW$158,19,FALSE)="","",VLOOKUP(Mon_W2[[#This Row],[Employee Name]],'Base Schedules'!$A$113:$AW$158,19,FALSE)),"")</f>
        <v>-</v>
      </c>
      <c r="U23" s="184" t="str">
        <f>IFERROR(IF(VLOOKUP(Mon_W2[[#This Row],[Employee Name]],'Base Schedules'!$A$113:$AW$158,20,FALSE)="","",VLOOKUP(Mon_W2[[#This Row],[Employee Name]],'Base Schedules'!$A$113:$AW$158,20,FALSE)),"")</f>
        <v>-</v>
      </c>
      <c r="V23" s="184" t="str">
        <f>IFERROR(IF(VLOOKUP(Mon_W2[[#This Row],[Employee Name]],'Base Schedules'!$A$113:$AW$158,21,FALSE)="","",VLOOKUP(Mon_W2[[#This Row],[Employee Name]],'Base Schedules'!$A$113:$AW$158,21,FALSE)),"")</f>
        <v>Interview</v>
      </c>
      <c r="W23" s="184" t="str">
        <f>IFERROR(IF(VLOOKUP(Mon_W2[[#This Row],[Employee Name]],'Base Schedules'!$A$113:$AW$158,22,FALSE)="","",VLOOKUP(Mon_W2[[#This Row],[Employee Name]],'Base Schedules'!$A$113:$AW$158,22,FALSE)),"")</f>
        <v>Interview</v>
      </c>
      <c r="X23" s="184" t="str">
        <f>IFERROR(IF(VLOOKUP(Mon_W2[[#This Row],[Employee Name]],'Base Schedules'!$A$113:$AW$158,23,FALSE)="","",VLOOKUP(Mon_W2[[#This Row],[Employee Name]],'Base Schedules'!$A$113:$AW$158,23,FALSE)),"")</f>
        <v>-</v>
      </c>
      <c r="Y23" s="184" t="str">
        <f>IFERROR(IF(VLOOKUP(Mon_W2[[#This Row],[Employee Name]],'Base Schedules'!$A$113:$AW$158,24,FALSE)="","",VLOOKUP(Mon_W2[[#This Row],[Employee Name]],'Base Schedules'!$A$113:$AW$158,24,FALSE)),"")</f>
        <v>-</v>
      </c>
      <c r="Z23" s="184" t="str">
        <f>IFERROR(IF(VLOOKUP(Mon_W2[[#This Row],[Employee Name]],'Base Schedules'!$A$113:$AW$158,25,FALSE)="","",VLOOKUP(Mon_W2[[#This Row],[Employee Name]],'Base Schedules'!$A$113:$AW$158,25,FALSE)),"")</f>
        <v>Team Matt TM</v>
      </c>
      <c r="AA23" s="184" t="str">
        <f>IFERROR(IF(VLOOKUP(Mon_W2[[#This Row],[Employee Name]],'Base Schedules'!$A$113:$AW$158,26,FALSE)="","",VLOOKUP(Mon_W2[[#This Row],[Employee Name]],'Base Schedules'!$A$113:$AW$158,26,FALSE)),"")</f>
        <v>Team Matt TM</v>
      </c>
      <c r="AB23" s="184" t="str">
        <f>IFERROR(IF(VLOOKUP(Mon_W2[[#This Row],[Employee Name]],'Base Schedules'!$A$113:$AW$158,27,FALSE)="","",VLOOKUP(Mon_W2[[#This Row],[Employee Name]],'Base Schedules'!$A$113:$AW$158,27,FALSE)),"")</f>
        <v>-</v>
      </c>
      <c r="AC23" s="184" t="str">
        <f>IFERROR(IF(VLOOKUP(Mon_W2[[#This Row],[Employee Name]],'Base Schedules'!$A$113:$AW$158,28,FALSE)="","",VLOOKUP(Mon_W2[[#This Row],[Employee Name]],'Base Schedules'!$A$113:$AW$158,28,FALSE)),"")</f>
        <v>-</v>
      </c>
      <c r="AD23" s="184" t="str">
        <f>IFERROR(IF(VLOOKUP(Mon_W2[[#This Row],[Employee Name]],'Base Schedules'!$A$113:$AW$158,29,FALSE)="","",VLOOKUP(Mon_W2[[#This Row],[Employee Name]],'Base Schedules'!$A$113:$AW$158,29,FALSE)),"")</f>
        <v>-</v>
      </c>
      <c r="AE23" s="184" t="str">
        <f>IFERROR(IF(VLOOKUP(Mon_W2[[#This Row],[Employee Name]],'Base Schedules'!$A$113:$AW$158,30,FALSE)="","",VLOOKUP(Mon_W2[[#This Row],[Employee Name]],'Base Schedules'!$A$113:$AW$158,30,FALSE)),"")</f>
        <v>-</v>
      </c>
      <c r="AF23" s="184" t="str">
        <f>IFERROR(IF(VLOOKUP(Mon_W2[[#This Row],[Employee Name]],'Base Schedules'!$A$113:$AW$158,31,FALSE)="","",VLOOKUP(Mon_W2[[#This Row],[Employee Name]],'Base Schedules'!$A$113:$AW$158,31,FALSE)),"")</f>
        <v>-</v>
      </c>
      <c r="AG23" s="184" t="str">
        <f>IFERROR(IF(VLOOKUP(Mon_W2[[#This Row],[Employee Name]],'Base Schedules'!$A$113:$AW$158,32,FALSE)="","",VLOOKUP(Mon_W2[[#This Row],[Employee Name]],'Base Schedules'!$A$113:$AW$158,32,FALSE)),"")</f>
        <v/>
      </c>
      <c r="AH23" s="184" t="str">
        <f>IFERROR(IF(VLOOKUP(Mon_W2[[#This Row],[Employee Name]],'Base Schedules'!$A$113:$AW$158,33,FALSE)="","",VLOOKUP(Mon_W2[[#This Row],[Employee Name]],'Base Schedules'!$A$113:$AW$158,33,FALSE)),"")</f>
        <v/>
      </c>
      <c r="AI23" s="184" t="str">
        <f>IFERROR(IF(VLOOKUP(Mon_W2[[#This Row],[Employee Name]],'Base Schedules'!$A$113:$AW$158,34,FALSE)="","",VLOOKUP(Mon_W2[[#This Row],[Employee Name]],'Base Schedules'!$A$113:$AW$158,34,FALSE)),"")</f>
        <v/>
      </c>
      <c r="AJ23" s="184" t="str">
        <f>IFERROR(IF(VLOOKUP(Mon_W2[[#This Row],[Employee Name]],'Base Schedules'!$A$113:$AW$158,35,FALSE)="","",VLOOKUP(Mon_W2[[#This Row],[Employee Name]],'Base Schedules'!$A$113:$AW$158,35,FALSE)),"")</f>
        <v/>
      </c>
      <c r="AK23" s="184" t="str">
        <f>IFERROR(IF(VLOOKUP(Mon_W2[[#This Row],[Employee Name]],'Base Schedules'!$A$113:$AW$158,36,FALSE)="","",VLOOKUP(Mon_W2[[#This Row],[Employee Name]],'Base Schedules'!$A$113:$AW$158,36,FALSE)),"")</f>
        <v/>
      </c>
      <c r="AL23" s="184" t="str">
        <f>IFERROR(IF(VLOOKUP(Mon_W2[[#This Row],[Employee Name]],'Base Schedules'!$A$113:$AW$158,37,FALSE)="","",VLOOKUP(Mon_W2[[#This Row],[Employee Name]],'Base Schedules'!$A$113:$AW$158,37,FALSE)),"")</f>
        <v/>
      </c>
      <c r="AM23" s="184" t="str">
        <f>IFERROR(IF(VLOOKUP(Mon_W2[[#This Row],[Employee Name]],'Base Schedules'!$A$113:$AW$158,38,FALSE)="","",VLOOKUP(Mon_W2[[#This Row],[Employee Name]],'Base Schedules'!$A$113:$AW$158,38,FALSE)),"")</f>
        <v/>
      </c>
      <c r="AN23" s="184" t="str">
        <f>IFERROR(IF(VLOOKUP(Mon_W2[[#This Row],[Employee Name]],'Base Schedules'!$A$113:$AW$158,39,FALSE)="","",VLOOKUP(Mon_W2[[#This Row],[Employee Name]],'Base Schedules'!$A$113:$AW$158,39,FALSE)),"")</f>
        <v/>
      </c>
      <c r="AO23" s="184" t="str">
        <f>IFERROR(IF(VLOOKUP(Mon_W2[[#This Row],[Employee Name]],'Base Schedules'!$A$113:$AW$158,40,FALSE)="","",VLOOKUP(Mon_W2[[#This Row],[Employee Name]],'Base Schedules'!$A$113:$AW$158,40,FALSE)),"")</f>
        <v/>
      </c>
      <c r="AP23" s="184" t="str">
        <f>IFERROR(IF(VLOOKUP(Mon_W2[[#This Row],[Employee Name]],'Base Schedules'!$A$113:$AW$158,41,FALSE)="","",VLOOKUP(Mon_W2[[#This Row],[Employee Name]],'Base Schedules'!$A$113:$AW$158,41,FALSE)),"")</f>
        <v/>
      </c>
      <c r="AQ23" s="184" t="str">
        <f>IFERROR(IF(VLOOKUP(Mon_W2[[#This Row],[Employee Name]],'Base Schedules'!$A$113:$AW$158,42,FALSE)="","",VLOOKUP(Mon_W2[[#This Row],[Employee Name]],'Base Schedules'!$A$113:$AW$158,42,FALSE)),"")</f>
        <v/>
      </c>
      <c r="AR23" s="184" t="str">
        <f>IFERROR(IF(VLOOKUP(Mon_W2[[#This Row],[Employee Name]],'Base Schedules'!$A$113:$AW$158,43,FALSE)="","",VLOOKUP(Mon_W2[[#This Row],[Employee Name]],'Base Schedules'!$A$113:$AW$158,43,FALSE)),"")</f>
        <v/>
      </c>
      <c r="AS23" s="184" t="str">
        <f>IFERROR(IF(VLOOKUP(Mon_W2[[#This Row],[Employee Name]],'Base Schedules'!$A$113:$AW$158,44,FALSE)="","",VLOOKUP(Mon_W2[[#This Row],[Employee Name]],'Base Schedules'!$A$113:$AW$158,44,FALSE)),"")</f>
        <v/>
      </c>
      <c r="AT23" s="184" t="str">
        <f>IFERROR(IF(VLOOKUP(Mon_W2[[#This Row],[Employee Name]],'Base Schedules'!$A$113:$AW$158,45,FALSE)="","",VLOOKUP(Mon_W2[[#This Row],[Employee Name]],'Base Schedules'!$A$113:$AW$158,45,FALSE)),"")</f>
        <v/>
      </c>
      <c r="AU23" s="184" t="str">
        <f>IFERROR(IF(VLOOKUP(Mon_W2[[#This Row],[Employee Name]],'Base Schedules'!$A$113:$AW$158,46,FALSE)="","",VLOOKUP(Mon_W2[[#This Row],[Employee Name]],'Base Schedules'!$A$113:$AW$158,46,FALSE)),"")</f>
        <v/>
      </c>
      <c r="AV23" s="184" t="str">
        <f>IFERROR(IF(VLOOKUP(Mon_W2[[#This Row],[Employee Name]],'Base Schedules'!$A$113:$AW$158,47,FALSE)="","",VLOOKUP(Mon_W2[[#This Row],[Employee Name]],'Base Schedules'!$A$113:$AW$158,47,FALSE)),"")</f>
        <v/>
      </c>
      <c r="AW23" s="184" t="str">
        <f>IFERROR(IF(VLOOKUP(Mon_W2[[#This Row],[Employee Name]],'Base Schedules'!$A$113:$AW$158,48,FALSE)="","",VLOOKUP(Mon_W2[[#This Row],[Employee Name]],'Base Schedules'!$A$113:$AW$158,48,FALSE)),"")</f>
        <v/>
      </c>
      <c r="AX23" s="184" t="str">
        <f>IFERROR(IF(VLOOKUP(Mon_W2[[#This Row],[Employee Name]],'Base Schedules'!$A$113:$AW$158,49,FALSE)="","",VLOOKUP(Mon_W2[[#This Row],[Employee Name]],'Base Schedules'!$A$113:$AW$158,49,FALSE)),"")</f>
        <v/>
      </c>
      <c r="AY23" s="160" t="str">
        <f t="shared" si="2"/>
        <v>Garcia, Valentin</v>
      </c>
    </row>
    <row r="24" spans="1:51" s="44" customFormat="1" ht="12" customHeight="1" x14ac:dyDescent="0.2">
      <c r="A24" s="39" t="str">
        <f>IF(B24="","",INDEX(TeamList[],MATCH($B24,TeamList[[Employee Name]:[Employee Name]],0),MATCH("Manager",TeamList[#Headers],0)))</f>
        <v>Paulson, Matthew</v>
      </c>
      <c r="B24" s="331" t="s">
        <v>33</v>
      </c>
      <c r="C24" s="257" t="str">
        <f>_xlfn.IFNA(VLOOKUP(Mon_W2[[#This Row],[Employee Name]],'Base Schedules'!A:B,2,FALSE),"")</f>
        <v>Supervisor</v>
      </c>
      <c r="D24" s="274">
        <f>_xlfn.IFNA(VLOOKUP(Mon_W2[[#This Row],[Employee Name]],'Base Schedules'!A:C,3,FALSE),"")</f>
        <v>730</v>
      </c>
      <c r="E24" s="274">
        <f>_xlfn.IFNA(VLOOKUP(Mon_W2[[#This Row],[Employee Name]],'Base Schedules'!A:D,4,FALSE),"")</f>
        <v>1630</v>
      </c>
      <c r="F24" s="142">
        <f>IF(Mon_W2[[#This Row],[Employee Name]]="","",IF(Mon_W2[[#This Row],[Dept]]="Supervisor",COUNTIFS($J24:$AX24,"*HL*",$J24:$AX24,"&lt;&gt;"&amp;"pHL"),COUNTIFS($J24:$AX24,"*HL*",$J24:$AX24,"&lt;&gt;"&amp;"*pHL*",$J24:$AX24,"&lt;&gt;"&amp;"pB1 HL",$J24:$AX24,"&lt;&gt;"&amp;"pB2 HL")-SUM(COUNTIFS($J24:$AX24,"*HL B1*",$J24:$AX24,"&lt;&gt;"&amp;"pHL B1")*0.5,COUNTIFS($J24:$AX24,"*HL B2*",$J24:$AX24,"&lt;&gt;"&amp;"pHL B2")*0.5,COUNTIFS($J24:$AX24,"*B1 HL*",$J24:$AX24,"&lt;&gt;"&amp;"pB1 HL")*0.5,COUNTIFS($J24:$AX24,"*B2 HL*",$J24:$AX24,"&lt;&gt;"&amp;"pB2 HL")*0.5)))</f>
        <v>0</v>
      </c>
      <c r="G24" s="142">
        <f t="shared" si="0"/>
        <v>0</v>
      </c>
      <c r="H24" s="142">
        <f t="shared" si="1"/>
        <v>0</v>
      </c>
      <c r="I24" s="142">
        <f>IF(Mon_W2[[#This Row],[Employee Name]]="","",IF(Mon_W2[[#This Row],[Dept]]="Supervisor",SUM(COUNTIFS($J24:$AX24,"RTA*",$J24:$AX24,"&lt;&gt;"&amp;"pRTA"),COUNTIFS($J24:$AX24,"*CRTA*",$J24:$AX24,"&lt;&gt;"&amp;"pCRTA")),COUNTIFS($J24:$AX24,"*RNNR*",$J24:$AX24,"&lt;&gt;"&amp;"*pRNNR*",$J24:$AX24,"&lt;&gt;"&amp;"pB1 RNNR",$J24:$AX24,"&lt;&gt;"&amp;"pB2 RNNR")-SUM(COUNTIFS($J24:$AX24,"*RNNR B1*",$J24:$AX24,"&lt;&gt;"&amp;"pRNNR B1")*0.5,COUNTIFS($J24:$AX24,"*RNNR B2*",$J24:$AX24,"&lt;&gt;"&amp;"pRNNR B2")*0.5,COUNTIFS($J24:$AX24,"*B1 RNNR*",$J24:$AX24,"&lt;&gt;"&amp;"pB1 RNNR")*0.5,COUNTIFS($J24:$AX24,"*B2 RNNR*",$J24:$AX24,"&lt;&gt;"&amp;"pB2 RNNR")*0.5)))</f>
        <v>0</v>
      </c>
      <c r="J24" s="184" t="str">
        <f>IFERROR(IF(VLOOKUP(Mon_W2[[#This Row],[Employee Name]],'Base Schedules'!$A$113:$AW$158,9,FALSE)="","",VLOOKUP(Mon_W2[[#This Row],[Employee Name]],'Base Schedules'!$A$113:$AW$158,9,FALSE)),"")</f>
        <v/>
      </c>
      <c r="K24" s="184" t="str">
        <f>IFERROR(IF(VLOOKUP(Mon_W2[[#This Row],[Employee Name]],'Base Schedules'!$A$113:$AW$158,10,FALSE)="","",VLOOKUP(Mon_W2[[#This Row],[Employee Name]],'Base Schedules'!$A$113:$AW$158,10,FALSE)),"")</f>
        <v/>
      </c>
      <c r="L24" s="184" t="str">
        <f>IFERROR(IF(VLOOKUP(Mon_W2[[#This Row],[Employee Name]],'Base Schedules'!$A$113:$AW$158,11,FALSE)="","",VLOOKUP(Mon_W2[[#This Row],[Employee Name]],'Base Schedules'!$A$113:$AW$158,11,FALSE)),"")</f>
        <v/>
      </c>
      <c r="M24" s="184" t="str">
        <f>IFERROR(IF(VLOOKUP(Mon_W2[[#This Row],[Employee Name]],'Base Schedules'!$A$113:$AW$158,12,FALSE)="","",VLOOKUP(Mon_W2[[#This Row],[Employee Name]],'Base Schedules'!$A$113:$AW$158,12,FALSE)),"")</f>
        <v/>
      </c>
      <c r="N24" s="184" t="str">
        <f>IFERROR(IF(VLOOKUP(Mon_W2[[#This Row],[Employee Name]],'Base Schedules'!$A$113:$AW$158,13,FALSE)="","",VLOOKUP(Mon_W2[[#This Row],[Employee Name]],'Base Schedules'!$A$113:$AW$158,13,FALSE)),"")</f>
        <v/>
      </c>
      <c r="O24" s="184" t="str">
        <f>IFERROR(IF(VLOOKUP(Mon_W2[[#This Row],[Employee Name]],'Base Schedules'!$A$113:$AW$158,14,FALSE)="","",VLOOKUP(Mon_W2[[#This Row],[Employee Name]],'Base Schedules'!$A$113:$AW$158,14,FALSE)),"")</f>
        <v>-</v>
      </c>
      <c r="P24" s="184" t="str">
        <f>IFERROR(IF(VLOOKUP(Mon_W2[[#This Row],[Employee Name]],'Base Schedules'!$A$113:$AW$158,15,FALSE)="","",VLOOKUP(Mon_W2[[#This Row],[Employee Name]],'Base Schedules'!$A$113:$AW$158,15,FALSE)),"")</f>
        <v>-</v>
      </c>
      <c r="Q24" s="184" t="str">
        <f>IFERROR(IF(VLOOKUP(Mon_W2[[#This Row],[Employee Name]],'Base Schedules'!$A$113:$AW$158,16,FALSE)="","",VLOOKUP(Mon_W2[[#This Row],[Employee Name]],'Base Schedules'!$A$113:$AW$158,16,FALSE)),"")</f>
        <v>-</v>
      </c>
      <c r="R24" s="184" t="str">
        <f>IFERROR(IF(VLOOKUP(Mon_W2[[#This Row],[Employee Name]],'Base Schedules'!$A$113:$AW$158,17,FALSE)="","",VLOOKUP(Mon_W2[[#This Row],[Employee Name]],'Base Schedules'!$A$113:$AW$158,17,FALSE)),"")</f>
        <v>-</v>
      </c>
      <c r="S24" s="184" t="str">
        <f>IFERROR(IF(VLOOKUP(Mon_W2[[#This Row],[Employee Name]],'Base Schedules'!$A$113:$AW$158,18,FALSE)="","",VLOOKUP(Mon_W2[[#This Row],[Employee Name]],'Base Schedules'!$A$113:$AW$158,18,FALSE)),"")</f>
        <v>-</v>
      </c>
      <c r="T24" s="184" t="str">
        <f>IFERROR(IF(VLOOKUP(Mon_W2[[#This Row],[Employee Name]],'Base Schedules'!$A$113:$AW$158,19,FALSE)="","",VLOOKUP(Mon_W2[[#This Row],[Employee Name]],'Base Schedules'!$A$113:$AW$158,19,FALSE)),"")</f>
        <v>-</v>
      </c>
      <c r="U24" s="184" t="str">
        <f>IFERROR(IF(VLOOKUP(Mon_W2[[#This Row],[Employee Name]],'Base Schedules'!$A$113:$AW$158,20,FALSE)="","",VLOOKUP(Mon_W2[[#This Row],[Employee Name]],'Base Schedules'!$A$113:$AW$158,20,FALSE)),"")</f>
        <v>-</v>
      </c>
      <c r="V24" s="184" t="str">
        <f>IFERROR(IF(VLOOKUP(Mon_W2[[#This Row],[Employee Name]],'Base Schedules'!$A$113:$AW$158,21,FALSE)="","",VLOOKUP(Mon_W2[[#This Row],[Employee Name]],'Base Schedules'!$A$113:$AW$158,21,FALSE)),"")</f>
        <v>-</v>
      </c>
      <c r="W24" s="184" t="str">
        <f>IFERROR(IF(VLOOKUP(Mon_W2[[#This Row],[Employee Name]],'Base Schedules'!$A$113:$AW$158,22,FALSE)="","",VLOOKUP(Mon_W2[[#This Row],[Employee Name]],'Base Schedules'!$A$113:$AW$158,22,FALSE)),"")</f>
        <v>-</v>
      </c>
      <c r="X24" s="184" t="str">
        <f>IFERROR(IF(VLOOKUP(Mon_W2[[#This Row],[Employee Name]],'Base Schedules'!$A$113:$AW$158,23,FALSE)="","",VLOOKUP(Mon_W2[[#This Row],[Employee Name]],'Base Schedules'!$A$113:$AW$158,23,FALSE)),"")</f>
        <v>-</v>
      </c>
      <c r="Y24" s="184" t="str">
        <f>IFERROR(IF(VLOOKUP(Mon_W2[[#This Row],[Employee Name]],'Base Schedules'!$A$113:$AW$158,24,FALSE)="","",VLOOKUP(Mon_W2[[#This Row],[Employee Name]],'Base Schedules'!$A$113:$AW$158,24,FALSE)),"")</f>
        <v>-</v>
      </c>
      <c r="Z24" s="184" t="str">
        <f>IFERROR(IF(VLOOKUP(Mon_W2[[#This Row],[Employee Name]],'Base Schedules'!$A$113:$AW$158,25,FALSE)="","",VLOOKUP(Mon_W2[[#This Row],[Employee Name]],'Base Schedules'!$A$113:$AW$158,25,FALSE)),"")</f>
        <v>Team Matt TM</v>
      </c>
      <c r="AA24" s="184" t="str">
        <f>IFERROR(IF(VLOOKUP(Mon_W2[[#This Row],[Employee Name]],'Base Schedules'!$A$113:$AW$158,26,FALSE)="","",VLOOKUP(Mon_W2[[#This Row],[Employee Name]],'Base Schedules'!$A$113:$AW$158,26,FALSE)),"")</f>
        <v>Team Matt TM</v>
      </c>
      <c r="AB24" s="184" t="str">
        <f>IFERROR(IF(VLOOKUP(Mon_W2[[#This Row],[Employee Name]],'Base Schedules'!$A$113:$AW$158,27,FALSE)="","",VLOOKUP(Mon_W2[[#This Row],[Employee Name]],'Base Schedules'!$A$113:$AW$158,27,FALSE)),"")</f>
        <v>-</v>
      </c>
      <c r="AC24" s="184" t="str">
        <f>IFERROR(IF(VLOOKUP(Mon_W2[[#This Row],[Employee Name]],'Base Schedules'!$A$113:$AW$158,28,FALSE)="","",VLOOKUP(Mon_W2[[#This Row],[Employee Name]],'Base Schedules'!$A$113:$AW$158,28,FALSE)),"")</f>
        <v>-</v>
      </c>
      <c r="AD24" s="184" t="str">
        <f>IFERROR(IF(VLOOKUP(Mon_W2[[#This Row],[Employee Name]],'Base Schedules'!$A$113:$AW$158,29,FALSE)="","",VLOOKUP(Mon_W2[[#This Row],[Employee Name]],'Base Schedules'!$A$113:$AW$158,29,FALSE)),"")</f>
        <v>-</v>
      </c>
      <c r="AE24" s="184" t="str">
        <f>IFERROR(IF(VLOOKUP(Mon_W2[[#This Row],[Employee Name]],'Base Schedules'!$A$113:$AW$158,30,FALSE)="","",VLOOKUP(Mon_W2[[#This Row],[Employee Name]],'Base Schedules'!$A$113:$AW$158,30,FALSE)),"")</f>
        <v>-</v>
      </c>
      <c r="AF24" s="184" t="str">
        <f>IFERROR(IF(VLOOKUP(Mon_W2[[#This Row],[Employee Name]],'Base Schedules'!$A$113:$AW$158,31,FALSE)="","",VLOOKUP(Mon_W2[[#This Row],[Employee Name]],'Base Schedules'!$A$113:$AW$158,31,FALSE)),"")</f>
        <v>-</v>
      </c>
      <c r="AG24" s="184" t="str">
        <f>IFERROR(IF(VLOOKUP(Mon_W2[[#This Row],[Employee Name]],'Base Schedules'!$A$113:$AW$158,32,FALSE)="","",VLOOKUP(Mon_W2[[#This Row],[Employee Name]],'Base Schedules'!$A$113:$AW$158,32,FALSE)),"")</f>
        <v/>
      </c>
      <c r="AH24" s="184" t="str">
        <f>IFERROR(IF(VLOOKUP(Mon_W2[[#This Row],[Employee Name]],'Base Schedules'!$A$113:$AW$158,33,FALSE)="","",VLOOKUP(Mon_W2[[#This Row],[Employee Name]],'Base Schedules'!$A$113:$AW$158,33,FALSE)),"")</f>
        <v/>
      </c>
      <c r="AI24" s="184" t="str">
        <f>IFERROR(IF(VLOOKUP(Mon_W2[[#This Row],[Employee Name]],'Base Schedules'!$A$113:$AW$158,34,FALSE)="","",VLOOKUP(Mon_W2[[#This Row],[Employee Name]],'Base Schedules'!$A$113:$AW$158,34,FALSE)),"")</f>
        <v/>
      </c>
      <c r="AJ24" s="184" t="str">
        <f>IFERROR(IF(VLOOKUP(Mon_W2[[#This Row],[Employee Name]],'Base Schedules'!$A$113:$AW$158,35,FALSE)="","",VLOOKUP(Mon_W2[[#This Row],[Employee Name]],'Base Schedules'!$A$113:$AW$158,35,FALSE)),"")</f>
        <v/>
      </c>
      <c r="AK24" s="184" t="str">
        <f>IFERROR(IF(VLOOKUP(Mon_W2[[#This Row],[Employee Name]],'Base Schedules'!$A$113:$AW$158,36,FALSE)="","",VLOOKUP(Mon_W2[[#This Row],[Employee Name]],'Base Schedules'!$A$113:$AW$158,36,FALSE)),"")</f>
        <v/>
      </c>
      <c r="AL24" s="184" t="str">
        <f>IFERROR(IF(VLOOKUP(Mon_W2[[#This Row],[Employee Name]],'Base Schedules'!$A$113:$AW$158,37,FALSE)="","",VLOOKUP(Mon_W2[[#This Row],[Employee Name]],'Base Schedules'!$A$113:$AW$158,37,FALSE)),"")</f>
        <v/>
      </c>
      <c r="AM24" s="184" t="str">
        <f>IFERROR(IF(VLOOKUP(Mon_W2[[#This Row],[Employee Name]],'Base Schedules'!$A$113:$AW$158,38,FALSE)="","",VLOOKUP(Mon_W2[[#This Row],[Employee Name]],'Base Schedules'!$A$113:$AW$158,38,FALSE)),"")</f>
        <v/>
      </c>
      <c r="AN24" s="184" t="str">
        <f>IFERROR(IF(VLOOKUP(Mon_W2[[#This Row],[Employee Name]],'Base Schedules'!$A$113:$AW$158,39,FALSE)="","",VLOOKUP(Mon_W2[[#This Row],[Employee Name]],'Base Schedules'!$A$113:$AW$158,39,FALSE)),"")</f>
        <v/>
      </c>
      <c r="AO24" s="184" t="str">
        <f>IFERROR(IF(VLOOKUP(Mon_W2[[#This Row],[Employee Name]],'Base Schedules'!$A$113:$AW$158,40,FALSE)="","",VLOOKUP(Mon_W2[[#This Row],[Employee Name]],'Base Schedules'!$A$113:$AW$158,40,FALSE)),"")</f>
        <v/>
      </c>
      <c r="AP24" s="184" t="str">
        <f>IFERROR(IF(VLOOKUP(Mon_W2[[#This Row],[Employee Name]],'Base Schedules'!$A$113:$AW$158,41,FALSE)="","",VLOOKUP(Mon_W2[[#This Row],[Employee Name]],'Base Schedules'!$A$113:$AW$158,41,FALSE)),"")</f>
        <v/>
      </c>
      <c r="AQ24" s="184" t="str">
        <f>IFERROR(IF(VLOOKUP(Mon_W2[[#This Row],[Employee Name]],'Base Schedules'!$A$113:$AW$158,42,FALSE)="","",VLOOKUP(Mon_W2[[#This Row],[Employee Name]],'Base Schedules'!$A$113:$AW$158,42,FALSE)),"")</f>
        <v/>
      </c>
      <c r="AR24" s="184" t="str">
        <f>IFERROR(IF(VLOOKUP(Mon_W2[[#This Row],[Employee Name]],'Base Schedules'!$A$113:$AW$158,43,FALSE)="","",VLOOKUP(Mon_W2[[#This Row],[Employee Name]],'Base Schedules'!$A$113:$AW$158,43,FALSE)),"")</f>
        <v/>
      </c>
      <c r="AS24" s="184" t="str">
        <f>IFERROR(IF(VLOOKUP(Mon_W2[[#This Row],[Employee Name]],'Base Schedules'!$A$113:$AW$158,44,FALSE)="","",VLOOKUP(Mon_W2[[#This Row],[Employee Name]],'Base Schedules'!$A$113:$AW$158,44,FALSE)),"")</f>
        <v/>
      </c>
      <c r="AT24" s="184" t="str">
        <f>IFERROR(IF(VLOOKUP(Mon_W2[[#This Row],[Employee Name]],'Base Schedules'!$A$113:$AW$158,45,FALSE)="","",VLOOKUP(Mon_W2[[#This Row],[Employee Name]],'Base Schedules'!$A$113:$AW$158,45,FALSE)),"")</f>
        <v/>
      </c>
      <c r="AU24" s="184" t="str">
        <f>IFERROR(IF(VLOOKUP(Mon_W2[[#This Row],[Employee Name]],'Base Schedules'!$A$113:$AW$158,46,FALSE)="","",VLOOKUP(Mon_W2[[#This Row],[Employee Name]],'Base Schedules'!$A$113:$AW$158,46,FALSE)),"")</f>
        <v/>
      </c>
      <c r="AV24" s="184" t="str">
        <f>IFERROR(IF(VLOOKUP(Mon_W2[[#This Row],[Employee Name]],'Base Schedules'!$A$113:$AW$158,47,FALSE)="","",VLOOKUP(Mon_W2[[#This Row],[Employee Name]],'Base Schedules'!$A$113:$AW$158,47,FALSE)),"")</f>
        <v/>
      </c>
      <c r="AW24" s="184" t="str">
        <f>IFERROR(IF(VLOOKUP(Mon_W2[[#This Row],[Employee Name]],'Base Schedules'!$A$113:$AW$158,48,FALSE)="","",VLOOKUP(Mon_W2[[#This Row],[Employee Name]],'Base Schedules'!$A$113:$AW$158,48,FALSE)),"")</f>
        <v/>
      </c>
      <c r="AX24" s="184" t="str">
        <f>IFERROR(IF(VLOOKUP(Mon_W2[[#This Row],[Employee Name]],'Base Schedules'!$A$113:$AW$158,49,FALSE)="","",VLOOKUP(Mon_W2[[#This Row],[Employee Name]],'Base Schedules'!$A$113:$AW$158,49,FALSE)),"")</f>
        <v/>
      </c>
      <c r="AY24" s="159" t="str">
        <f t="shared" si="2"/>
        <v>Parkin-Rego, Kimberlee</v>
      </c>
    </row>
    <row r="25" spans="1:51" s="44" customFormat="1" ht="12" customHeight="1" x14ac:dyDescent="0.2">
      <c r="A25" s="39" t="str">
        <f>IF(B25="","",INDEX(TeamList[],MATCH($B25,TeamList[[Employee Name]:[Employee Name]],0),MATCH("Manager",TeamList[#Headers],0)))</f>
        <v>Olson, Katherine</v>
      </c>
      <c r="B25" s="201" t="s">
        <v>41</v>
      </c>
      <c r="C25" s="257" t="str">
        <f>_xlfn.IFNA(VLOOKUP(Mon_W2[[#This Row],[Employee Name]],'Base Schedules'!A:B,2,FALSE),"")</f>
        <v>Lead</v>
      </c>
      <c r="D25" s="274">
        <f>_xlfn.IFNA(VLOOKUP(Mon_W2[[#This Row],[Employee Name]],'Base Schedules'!A:C,3,FALSE),"")</f>
        <v>800</v>
      </c>
      <c r="E25" s="274">
        <f>_xlfn.IFNA(VLOOKUP(Mon_W2[[#This Row],[Employee Name]],'Base Schedules'!A:D,4,FALSE),"")</f>
        <v>1630</v>
      </c>
      <c r="F25" s="142">
        <f>IF(Mon_W2[[#This Row],[Employee Name]]="","",IF(Mon_W2[[#This Row],[Dept]]="Supervisor",COUNTIFS($J25:$AX25,"*HL*",$J25:$AX25,"&lt;&gt;"&amp;"pHL"),COUNTIFS($J25:$AX25,"*HL*",$J25:$AX25,"&lt;&gt;"&amp;"*pHL*",$J25:$AX25,"&lt;&gt;"&amp;"pB1 HL",$J25:$AX25,"&lt;&gt;"&amp;"pB2 HL")-SUM(COUNTIFS($J25:$AX25,"*HL B1*",$J25:$AX25,"&lt;&gt;"&amp;"pHL B1")*0.5,COUNTIFS($J25:$AX25,"*HL B2*",$J25:$AX25,"&lt;&gt;"&amp;"pHL B2")*0.5,COUNTIFS($J25:$AX25,"*B1 HL*",$J25:$AX25,"&lt;&gt;"&amp;"pB1 HL")*0.5,COUNTIFS($J25:$AX25,"*B2 HL*",$J25:$AX25,"&lt;&gt;"&amp;"pB2 HL")*0.5)))</f>
        <v>5.5</v>
      </c>
      <c r="G25" s="142">
        <f t="shared" si="0"/>
        <v>0</v>
      </c>
      <c r="H25" s="142">
        <f t="shared" si="1"/>
        <v>8</v>
      </c>
      <c r="I25" s="142">
        <f>IF(Mon_W2[[#This Row],[Employee Name]]="","",IF(Mon_W2[[#This Row],[Dept]]="Supervisor",SUM(COUNTIFS($J25:$AX25,"RTA*",$J25:$AX25,"&lt;&gt;"&amp;"pRTA"),COUNTIFS($J25:$AX25,"*CRTA*",$J25:$AX25,"&lt;&gt;"&amp;"pCRTA")),COUNTIFS($J25:$AX25,"*RNNR*",$J25:$AX25,"&lt;&gt;"&amp;"*pRNNR*",$J25:$AX25,"&lt;&gt;"&amp;"pB1 RNNR",$J25:$AX25,"&lt;&gt;"&amp;"pB2 RNNR")-SUM(COUNTIFS($J25:$AX25,"*RNNR B1*",$J25:$AX25,"&lt;&gt;"&amp;"pRNNR B1")*0.5,COUNTIFS($J25:$AX25,"*RNNR B2*",$J25:$AX25,"&lt;&gt;"&amp;"pRNNR B2")*0.5,COUNTIFS($J25:$AX25,"*B1 RNNR*",$J25:$AX25,"&lt;&gt;"&amp;"pB1 RNNR")*0.5,COUNTIFS($J25:$AX25,"*B2 RNNR*",$J25:$AX25,"&lt;&gt;"&amp;"pB2 RNNR")*0.5)))</f>
        <v>2</v>
      </c>
      <c r="J25" s="184" t="str">
        <f>IFERROR(IF(VLOOKUP(Mon_W2[[#This Row],[Employee Name]],'Base Schedules'!$A$113:$AW$158,9,FALSE)="","",VLOOKUP(Mon_W2[[#This Row],[Employee Name]],'Base Schedules'!$A$113:$AW$158,9,FALSE)),"")</f>
        <v/>
      </c>
      <c r="K25" s="184" t="str">
        <f>IFERROR(IF(VLOOKUP(Mon_W2[[#This Row],[Employee Name]],'Base Schedules'!$A$113:$AW$158,10,FALSE)="","",VLOOKUP(Mon_W2[[#This Row],[Employee Name]],'Base Schedules'!$A$113:$AW$158,10,FALSE)),"")</f>
        <v/>
      </c>
      <c r="L25" s="184" t="str">
        <f>IFERROR(IF(VLOOKUP(Mon_W2[[#This Row],[Employee Name]],'Base Schedules'!$A$113:$AW$158,11,FALSE)="","",VLOOKUP(Mon_W2[[#This Row],[Employee Name]],'Base Schedules'!$A$113:$AW$158,11,FALSE)),"")</f>
        <v/>
      </c>
      <c r="M25" s="184" t="str">
        <f>IFERROR(IF(VLOOKUP(Mon_W2[[#This Row],[Employee Name]],'Base Schedules'!$A$113:$AW$158,12,FALSE)="","",VLOOKUP(Mon_W2[[#This Row],[Employee Name]],'Base Schedules'!$A$113:$AW$158,12,FALSE)),"")</f>
        <v/>
      </c>
      <c r="N25" s="184" t="str">
        <f>IFERROR(IF(VLOOKUP(Mon_W2[[#This Row],[Employee Name]],'Base Schedules'!$A$113:$AW$158,13,FALSE)="","",VLOOKUP(Mon_W2[[#This Row],[Employee Name]],'Base Schedules'!$A$113:$AW$158,13,FALSE)),"")</f>
        <v/>
      </c>
      <c r="O25" s="184" t="str">
        <f>IFERROR(IF(VLOOKUP(Mon_W2[[#This Row],[Employee Name]],'Base Schedules'!$A$113:$AW$158,14,FALSE)="","",VLOOKUP(Mon_W2[[#This Row],[Employee Name]],'Base Schedules'!$A$113:$AW$158,14,FALSE)),"")</f>
        <v/>
      </c>
      <c r="P25" s="184" t="str">
        <f>IFERROR(IF(VLOOKUP(Mon_W2[[#This Row],[Employee Name]],'Base Schedules'!$A$113:$AW$158,15,FALSE)="","",VLOOKUP(Mon_W2[[#This Row],[Employee Name]],'Base Schedules'!$A$113:$AW$158,15,FALSE)),"")</f>
        <v>HL</v>
      </c>
      <c r="Q25" s="184" t="str">
        <f>IFERROR(IF(VLOOKUP(Mon_W2[[#This Row],[Employee Name]],'Base Schedules'!$A$113:$AW$158,16,FALSE)="","",VLOOKUP(Mon_W2[[#This Row],[Employee Name]],'Base Schedules'!$A$113:$AW$158,16,FALSE)),"")</f>
        <v>ADM</v>
      </c>
      <c r="R25" s="184" t="str">
        <f>IFERROR(IF(VLOOKUP(Mon_W2[[#This Row],[Employee Name]],'Base Schedules'!$A$113:$AW$158,17,FALSE)="","",VLOOKUP(Mon_W2[[#This Row],[Employee Name]],'Base Schedules'!$A$113:$AW$158,17,FALSE)),"")</f>
        <v>ADM</v>
      </c>
      <c r="S25" s="184" t="str">
        <f>IFERROR(IF(VLOOKUP(Mon_W2[[#This Row],[Employee Name]],'Base Schedules'!$A$113:$AW$158,18,FALSE)="","",VLOOKUP(Mon_W2[[#This Row],[Employee Name]],'Base Schedules'!$A$113:$AW$158,18,FALSE)),"")</f>
        <v>ADM</v>
      </c>
      <c r="T25" s="184" t="str">
        <f>IFERROR(IF(VLOOKUP(Mon_W2[[#This Row],[Employee Name]],'Base Schedules'!$A$113:$AW$158,19,FALSE)="","",VLOOKUP(Mon_W2[[#This Row],[Employee Name]],'Base Schedules'!$A$113:$AW$158,19,FALSE)),"")</f>
        <v>B1 HL</v>
      </c>
      <c r="U25" s="184" t="str">
        <f>IFERROR(IF(VLOOKUP(Mon_W2[[#This Row],[Employee Name]],'Base Schedules'!$A$113:$AW$158,20,FALSE)="","",VLOOKUP(Mon_W2[[#This Row],[Employee Name]],'Base Schedules'!$A$113:$AW$158,20,FALSE)),"")</f>
        <v>HL</v>
      </c>
      <c r="V25" s="184" t="str">
        <f>IFERROR(IF(VLOOKUP(Mon_W2[[#This Row],[Employee Name]],'Base Schedules'!$A$113:$AW$158,21,FALSE)="","",VLOOKUP(Mon_W2[[#This Row],[Employee Name]],'Base Schedules'!$A$113:$AW$158,21,FALSE)),"")</f>
        <v>HL</v>
      </c>
      <c r="W25" s="184" t="str">
        <f>IFERROR(IF(VLOOKUP(Mon_W2[[#This Row],[Employee Name]],'Base Schedules'!$A$113:$AW$158,22,FALSE)="","",VLOOKUP(Mon_W2[[#This Row],[Employee Name]],'Base Schedules'!$A$113:$AW$158,22,FALSE)),"")</f>
        <v>ADM</v>
      </c>
      <c r="X25" s="184" t="str">
        <f>IFERROR(IF(VLOOKUP(Mon_W2[[#This Row],[Employee Name]],'Base Schedules'!$A$113:$AW$158,23,FALSE)="","",VLOOKUP(Mon_W2[[#This Row],[Employee Name]],'Base Schedules'!$A$113:$AW$158,23,FALSE)),"")</f>
        <v>ADM</v>
      </c>
      <c r="Y25" s="184" t="str">
        <f>IFERROR(IF(VLOOKUP(Mon_W2[[#This Row],[Employee Name]],'Base Schedules'!$A$113:$AW$158,24,FALSE)="","",VLOOKUP(Mon_W2[[#This Row],[Employee Name]],'Base Schedules'!$A$113:$AW$158,24,FALSE)),"")</f>
        <v>LUNCH</v>
      </c>
      <c r="Z25" s="184" t="str">
        <f>IFERROR(IF(VLOOKUP(Mon_W2[[#This Row],[Employee Name]],'Base Schedules'!$A$113:$AW$158,25,FALSE)="","",VLOOKUP(Mon_W2[[#This Row],[Employee Name]],'Base Schedules'!$A$113:$AW$158,25,FALSE)),"")</f>
        <v>RNNR</v>
      </c>
      <c r="AA25" s="184" t="str">
        <f>IFERROR(IF(VLOOKUP(Mon_W2[[#This Row],[Employee Name]],'Base Schedules'!$A$113:$AW$158,26,FALSE)="","",VLOOKUP(Mon_W2[[#This Row],[Employee Name]],'Base Schedules'!$A$113:$AW$158,26,FALSE)),"")</f>
        <v>RNNR</v>
      </c>
      <c r="AB25" s="184" t="str">
        <f>IFERROR(IF(VLOOKUP(Mon_W2[[#This Row],[Employee Name]],'Base Schedules'!$A$113:$AW$158,27,FALSE)="","",VLOOKUP(Mon_W2[[#This Row],[Employee Name]],'Base Schedules'!$A$113:$AW$158,27,FALSE)),"")</f>
        <v>HL</v>
      </c>
      <c r="AC25" s="184" t="str">
        <f>IFERROR(IF(VLOOKUP(Mon_W2[[#This Row],[Employee Name]],'Base Schedules'!$A$113:$AW$158,28,FALSE)="","",VLOOKUP(Mon_W2[[#This Row],[Employee Name]],'Base Schedules'!$A$113:$AW$158,28,FALSE)),"")</f>
        <v>B2 ADM</v>
      </c>
      <c r="AD25" s="184" t="str">
        <f>IFERROR(IF(VLOOKUP(Mon_W2[[#This Row],[Employee Name]],'Base Schedules'!$A$113:$AW$158,29,FALSE)="","",VLOOKUP(Mon_W2[[#This Row],[Employee Name]],'Base Schedules'!$A$113:$AW$158,29,FALSE)),"")</f>
        <v>ADM</v>
      </c>
      <c r="AE25" s="184" t="str">
        <f>IFERROR(IF(VLOOKUP(Mon_W2[[#This Row],[Employee Name]],'Base Schedules'!$A$113:$AW$158,30,FALSE)="","",VLOOKUP(Mon_W2[[#This Row],[Employee Name]],'Base Schedules'!$A$113:$AW$158,30,FALSE)),"")</f>
        <v>HL</v>
      </c>
      <c r="AF25" s="184" t="str">
        <f>IFERROR(IF(VLOOKUP(Mon_W2[[#This Row],[Employee Name]],'Base Schedules'!$A$113:$AW$158,31,FALSE)="","",VLOOKUP(Mon_W2[[#This Row],[Employee Name]],'Base Schedules'!$A$113:$AW$158,31,FALSE)),"")</f>
        <v>ADM</v>
      </c>
      <c r="AG25" s="184" t="str">
        <f>IFERROR(IF(VLOOKUP(Mon_W2[[#This Row],[Employee Name]],'Base Schedules'!$A$113:$AW$158,32,FALSE)="","",VLOOKUP(Mon_W2[[#This Row],[Employee Name]],'Base Schedules'!$A$113:$AW$158,32,FALSE)),"")</f>
        <v/>
      </c>
      <c r="AH25" s="184" t="str">
        <f>IFERROR(IF(VLOOKUP(Mon_W2[[#This Row],[Employee Name]],'Base Schedules'!$A$113:$AW$158,33,FALSE)="","",VLOOKUP(Mon_W2[[#This Row],[Employee Name]],'Base Schedules'!$A$113:$AW$158,33,FALSE)),"")</f>
        <v/>
      </c>
      <c r="AI25" s="184" t="str">
        <f>IFERROR(IF(VLOOKUP(Mon_W2[[#This Row],[Employee Name]],'Base Schedules'!$A$113:$AW$158,34,FALSE)="","",VLOOKUP(Mon_W2[[#This Row],[Employee Name]],'Base Schedules'!$A$113:$AW$158,34,FALSE)),"")</f>
        <v/>
      </c>
      <c r="AJ25" s="184" t="str">
        <f>IFERROR(IF(VLOOKUP(Mon_W2[[#This Row],[Employee Name]],'Base Schedules'!$A$113:$AW$158,35,FALSE)="","",VLOOKUP(Mon_W2[[#This Row],[Employee Name]],'Base Schedules'!$A$113:$AW$158,35,FALSE)),"")</f>
        <v/>
      </c>
      <c r="AK25" s="184" t="str">
        <f>IFERROR(IF(VLOOKUP(Mon_W2[[#This Row],[Employee Name]],'Base Schedules'!$A$113:$AW$158,36,FALSE)="","",VLOOKUP(Mon_W2[[#This Row],[Employee Name]],'Base Schedules'!$A$113:$AW$158,36,FALSE)),"")</f>
        <v/>
      </c>
      <c r="AL25" s="184" t="str">
        <f>IFERROR(IF(VLOOKUP(Mon_W2[[#This Row],[Employee Name]],'Base Schedules'!$A$113:$AW$158,37,FALSE)="","",VLOOKUP(Mon_W2[[#This Row],[Employee Name]],'Base Schedules'!$A$113:$AW$158,37,FALSE)),"")</f>
        <v/>
      </c>
      <c r="AM25" s="184" t="str">
        <f>IFERROR(IF(VLOOKUP(Mon_W2[[#This Row],[Employee Name]],'Base Schedules'!$A$113:$AW$158,38,FALSE)="","",VLOOKUP(Mon_W2[[#This Row],[Employee Name]],'Base Schedules'!$A$113:$AW$158,38,FALSE)),"")</f>
        <v/>
      </c>
      <c r="AN25" s="184" t="str">
        <f>IFERROR(IF(VLOOKUP(Mon_W2[[#This Row],[Employee Name]],'Base Schedules'!$A$113:$AW$158,39,FALSE)="","",VLOOKUP(Mon_W2[[#This Row],[Employee Name]],'Base Schedules'!$A$113:$AW$158,39,FALSE)),"")</f>
        <v/>
      </c>
      <c r="AO25" s="184" t="str">
        <f>IFERROR(IF(VLOOKUP(Mon_W2[[#This Row],[Employee Name]],'Base Schedules'!$A$113:$AW$158,40,FALSE)="","",VLOOKUP(Mon_W2[[#This Row],[Employee Name]],'Base Schedules'!$A$113:$AW$158,40,FALSE)),"")</f>
        <v/>
      </c>
      <c r="AP25" s="184" t="str">
        <f>IFERROR(IF(VLOOKUP(Mon_W2[[#This Row],[Employee Name]],'Base Schedules'!$A$113:$AW$158,41,FALSE)="","",VLOOKUP(Mon_W2[[#This Row],[Employee Name]],'Base Schedules'!$A$113:$AW$158,41,FALSE)),"")</f>
        <v/>
      </c>
      <c r="AQ25" s="184" t="str">
        <f>IFERROR(IF(VLOOKUP(Mon_W2[[#This Row],[Employee Name]],'Base Schedules'!$A$113:$AW$158,42,FALSE)="","",VLOOKUP(Mon_W2[[#This Row],[Employee Name]],'Base Schedules'!$A$113:$AW$158,42,FALSE)),"")</f>
        <v/>
      </c>
      <c r="AR25" s="184" t="str">
        <f>IFERROR(IF(VLOOKUP(Mon_W2[[#This Row],[Employee Name]],'Base Schedules'!$A$113:$AW$158,43,FALSE)="","",VLOOKUP(Mon_W2[[#This Row],[Employee Name]],'Base Schedules'!$A$113:$AW$158,43,FALSE)),"")</f>
        <v/>
      </c>
      <c r="AS25" s="184" t="str">
        <f>IFERROR(IF(VLOOKUP(Mon_W2[[#This Row],[Employee Name]],'Base Schedules'!$A$113:$AW$158,44,FALSE)="","",VLOOKUP(Mon_W2[[#This Row],[Employee Name]],'Base Schedules'!$A$113:$AW$158,44,FALSE)),"")</f>
        <v/>
      </c>
      <c r="AT25" s="184" t="str">
        <f>IFERROR(IF(VLOOKUP(Mon_W2[[#This Row],[Employee Name]],'Base Schedules'!$A$113:$AW$158,45,FALSE)="","",VLOOKUP(Mon_W2[[#This Row],[Employee Name]],'Base Schedules'!$A$113:$AW$158,45,FALSE)),"")</f>
        <v/>
      </c>
      <c r="AU25" s="184" t="str">
        <f>IFERROR(IF(VLOOKUP(Mon_W2[[#This Row],[Employee Name]],'Base Schedules'!$A$113:$AW$158,46,FALSE)="","",VLOOKUP(Mon_W2[[#This Row],[Employee Name]],'Base Schedules'!$A$113:$AW$158,46,FALSE)),"")</f>
        <v/>
      </c>
      <c r="AV25" s="184" t="str">
        <f>IFERROR(IF(VLOOKUP(Mon_W2[[#This Row],[Employee Name]],'Base Schedules'!$A$113:$AW$158,47,FALSE)="","",VLOOKUP(Mon_W2[[#This Row],[Employee Name]],'Base Schedules'!$A$113:$AW$158,47,FALSE)),"")</f>
        <v/>
      </c>
      <c r="AW25" s="184" t="str">
        <f>IFERROR(IF(VLOOKUP(Mon_W2[[#This Row],[Employee Name]],'Base Schedules'!$A$113:$AW$158,48,FALSE)="","",VLOOKUP(Mon_W2[[#This Row],[Employee Name]],'Base Schedules'!$A$113:$AW$158,48,FALSE)),"")</f>
        <v/>
      </c>
      <c r="AX25" s="184" t="str">
        <f>IFERROR(IF(VLOOKUP(Mon_W2[[#This Row],[Employee Name]],'Base Schedules'!$A$113:$AW$158,49,FALSE)="","",VLOOKUP(Mon_W2[[#This Row],[Employee Name]],'Base Schedules'!$A$113:$AW$158,49,FALSE)),"")</f>
        <v/>
      </c>
      <c r="AY25" s="159" t="str">
        <f t="shared" si="2"/>
        <v>Harley, Timothy</v>
      </c>
    </row>
    <row r="26" spans="1:51" s="44" customFormat="1" ht="12" customHeight="1" x14ac:dyDescent="0.2">
      <c r="A26" s="39" t="str">
        <f>IF(B26="","",INDEX(TeamList[],MATCH($B26,TeamList[[Employee Name]:[Employee Name]],0),MATCH("Manager",TeamList[#Headers],0)))</f>
        <v>Ahmed Hassan, Zahra</v>
      </c>
      <c r="B26" s="330" t="s">
        <v>70</v>
      </c>
      <c r="C26" s="257" t="str">
        <f>_xlfn.IFNA(VLOOKUP(Mon_W2[[#This Row],[Employee Name]],'Base Schedules'!A:B,2,FALSE),"")</f>
        <v>Supervisor</v>
      </c>
      <c r="D26" s="274">
        <f>_xlfn.IFNA(VLOOKUP(Mon_W2[[#This Row],[Employee Name]],'Base Schedules'!A:C,3,FALSE),"")</f>
        <v>800</v>
      </c>
      <c r="E26" s="274">
        <f>_xlfn.IFNA(VLOOKUP(Mon_W2[[#This Row],[Employee Name]],'Base Schedules'!A:D,4,FALSE),"")</f>
        <v>1700</v>
      </c>
      <c r="F26" s="142">
        <f>IF(Mon_W2[[#This Row],[Employee Name]]="","",IF(Mon_W2[[#This Row],[Dept]]="Supervisor",COUNTIFS($J26:$AX26,"*HL*",$J26:$AX26,"&lt;&gt;"&amp;"pHL"),COUNTIFS($J26:$AX26,"*HL*",$J26:$AX26,"&lt;&gt;"&amp;"*pHL*",$J26:$AX26,"&lt;&gt;"&amp;"pB1 HL",$J26:$AX26,"&lt;&gt;"&amp;"pB2 HL")-SUM(COUNTIFS($J26:$AX26,"*HL B1*",$J26:$AX26,"&lt;&gt;"&amp;"pHL B1")*0.5,COUNTIFS($J26:$AX26,"*HL B2*",$J26:$AX26,"&lt;&gt;"&amp;"pHL B2")*0.5,COUNTIFS($J26:$AX26,"*B1 HL*",$J26:$AX26,"&lt;&gt;"&amp;"pB1 HL")*0.5,COUNTIFS($J26:$AX26,"*B2 HL*",$J26:$AX26,"&lt;&gt;"&amp;"pB2 HL")*0.5)))</f>
        <v>0</v>
      </c>
      <c r="G26" s="142">
        <f t="shared" si="0"/>
        <v>0</v>
      </c>
      <c r="H26" s="142">
        <f t="shared" si="1"/>
        <v>0</v>
      </c>
      <c r="I26" s="142">
        <f>IF(Mon_W2[[#This Row],[Employee Name]]="","",IF(Mon_W2[[#This Row],[Dept]]="Supervisor",SUM(COUNTIFS($J26:$AX26,"RTA*",$J26:$AX26,"&lt;&gt;"&amp;"pRTA"),COUNTIFS($J26:$AX26,"*CRTA*",$J26:$AX26,"&lt;&gt;"&amp;"pCRTA")),COUNTIFS($J26:$AX26,"*RNNR*",$J26:$AX26,"&lt;&gt;"&amp;"*pRNNR*",$J26:$AX26,"&lt;&gt;"&amp;"pB1 RNNR",$J26:$AX26,"&lt;&gt;"&amp;"pB2 RNNR")-SUM(COUNTIFS($J26:$AX26,"*RNNR B1*",$J26:$AX26,"&lt;&gt;"&amp;"pRNNR B1")*0.5,COUNTIFS($J26:$AX26,"*RNNR B2*",$J26:$AX26,"&lt;&gt;"&amp;"pRNNR B2")*0.5,COUNTIFS($J26:$AX26,"*B1 RNNR*",$J26:$AX26,"&lt;&gt;"&amp;"pB1 RNNR")*0.5,COUNTIFS($J26:$AX26,"*B2 RNNR*",$J26:$AX26,"&lt;&gt;"&amp;"pB2 RNNR")*0.5)))</f>
        <v>0</v>
      </c>
      <c r="J26" s="184" t="str">
        <f>IFERROR(IF(VLOOKUP(Mon_W2[[#This Row],[Employee Name]],'Base Schedules'!$A$113:$AW$158,9,FALSE)="","",VLOOKUP(Mon_W2[[#This Row],[Employee Name]],'Base Schedules'!$A$113:$AW$158,9,FALSE)),"")</f>
        <v/>
      </c>
      <c r="K26" s="184" t="str">
        <f>IFERROR(IF(VLOOKUP(Mon_W2[[#This Row],[Employee Name]],'Base Schedules'!$A$113:$AW$158,10,FALSE)="","",VLOOKUP(Mon_W2[[#This Row],[Employee Name]],'Base Schedules'!$A$113:$AW$158,10,FALSE)),"")</f>
        <v/>
      </c>
      <c r="L26" s="184" t="str">
        <f>IFERROR(IF(VLOOKUP(Mon_W2[[#This Row],[Employee Name]],'Base Schedules'!$A$113:$AW$158,11,FALSE)="","",VLOOKUP(Mon_W2[[#This Row],[Employee Name]],'Base Schedules'!$A$113:$AW$158,11,FALSE)),"")</f>
        <v/>
      </c>
      <c r="M26" s="184" t="str">
        <f>IFERROR(IF(VLOOKUP(Mon_W2[[#This Row],[Employee Name]],'Base Schedules'!$A$113:$AW$158,12,FALSE)="","",VLOOKUP(Mon_W2[[#This Row],[Employee Name]],'Base Schedules'!$A$113:$AW$158,12,FALSE)),"")</f>
        <v/>
      </c>
      <c r="N26" s="184" t="str">
        <f>IFERROR(IF(VLOOKUP(Mon_W2[[#This Row],[Employee Name]],'Base Schedules'!$A$113:$AW$158,13,FALSE)="","",VLOOKUP(Mon_W2[[#This Row],[Employee Name]],'Base Schedules'!$A$113:$AW$158,13,FALSE)),"")</f>
        <v/>
      </c>
      <c r="O26" s="184" t="str">
        <f>IFERROR(IF(VLOOKUP(Mon_W2[[#This Row],[Employee Name]],'Base Schedules'!$A$113:$AW$158,14,FALSE)="","",VLOOKUP(Mon_W2[[#This Row],[Employee Name]],'Base Schedules'!$A$113:$AW$158,14,FALSE)),"")</f>
        <v/>
      </c>
      <c r="P26" s="184" t="str">
        <f>IFERROR(IF(VLOOKUP(Mon_W2[[#This Row],[Employee Name]],'Base Schedules'!$A$113:$AW$158,15,FALSE)="","",VLOOKUP(Mon_W2[[#This Row],[Employee Name]],'Base Schedules'!$A$113:$AW$158,15,FALSE)),"")</f>
        <v>-</v>
      </c>
      <c r="Q26" s="184" t="str">
        <f>IFERROR(IF(VLOOKUP(Mon_W2[[#This Row],[Employee Name]],'Base Schedules'!$A$113:$AW$158,16,FALSE)="","",VLOOKUP(Mon_W2[[#This Row],[Employee Name]],'Base Schedules'!$A$113:$AW$158,16,FALSE)),"")</f>
        <v>-</v>
      </c>
      <c r="R26" s="184" t="str">
        <f>IFERROR(IF(VLOOKUP(Mon_W2[[#This Row],[Employee Name]],'Base Schedules'!$A$113:$AW$158,17,FALSE)="","",VLOOKUP(Mon_W2[[#This Row],[Employee Name]],'Base Schedules'!$A$113:$AW$158,17,FALSE)),"")</f>
        <v>-</v>
      </c>
      <c r="S26" s="184" t="str">
        <f>IFERROR(IF(VLOOKUP(Mon_W2[[#This Row],[Employee Name]],'Base Schedules'!$A$113:$AW$158,18,FALSE)="","",VLOOKUP(Mon_W2[[#This Row],[Employee Name]],'Base Schedules'!$A$113:$AW$158,18,FALSE)),"")</f>
        <v>-</v>
      </c>
      <c r="T26" s="184" t="str">
        <f>IFERROR(IF(VLOOKUP(Mon_W2[[#This Row],[Employee Name]],'Base Schedules'!$A$113:$AW$158,19,FALSE)="","",VLOOKUP(Mon_W2[[#This Row],[Employee Name]],'Base Schedules'!$A$113:$AW$158,19,FALSE)),"")</f>
        <v>-</v>
      </c>
      <c r="U26" s="184" t="str">
        <f>IFERROR(IF(VLOOKUP(Mon_W2[[#This Row],[Employee Name]],'Base Schedules'!$A$113:$AW$158,20,FALSE)="","",VLOOKUP(Mon_W2[[#This Row],[Employee Name]],'Base Schedules'!$A$113:$AW$158,20,FALSE)),"")</f>
        <v>-</v>
      </c>
      <c r="V26" s="184" t="str">
        <f>IFERROR(IF(VLOOKUP(Mon_W2[[#This Row],[Employee Name]],'Base Schedules'!$A$113:$AW$158,21,FALSE)="","",VLOOKUP(Mon_W2[[#This Row],[Employee Name]],'Base Schedules'!$A$113:$AW$158,21,FALSE)),"")</f>
        <v>-</v>
      </c>
      <c r="W26" s="184" t="str">
        <f>IFERROR(IF(VLOOKUP(Mon_W2[[#This Row],[Employee Name]],'Base Schedules'!$A$113:$AW$158,22,FALSE)="","",VLOOKUP(Mon_W2[[#This Row],[Employee Name]],'Base Schedules'!$A$113:$AW$158,22,FALSE)),"")</f>
        <v>-</v>
      </c>
      <c r="X26" s="184" t="str">
        <f>IFERROR(IF(VLOOKUP(Mon_W2[[#This Row],[Employee Name]],'Base Schedules'!$A$113:$AW$158,23,FALSE)="","",VLOOKUP(Mon_W2[[#This Row],[Employee Name]],'Base Schedules'!$A$113:$AW$158,23,FALSE)),"")</f>
        <v>-</v>
      </c>
      <c r="Y26" s="184" t="str">
        <f>IFERROR(IF(VLOOKUP(Mon_W2[[#This Row],[Employee Name]],'Base Schedules'!$A$113:$AW$158,24,FALSE)="","",VLOOKUP(Mon_W2[[#This Row],[Employee Name]],'Base Schedules'!$A$113:$AW$158,24,FALSE)),"")</f>
        <v>-</v>
      </c>
      <c r="Z26" s="184" t="str">
        <f>IFERROR(IF(VLOOKUP(Mon_W2[[#This Row],[Employee Name]],'Base Schedules'!$A$113:$AW$158,25,FALSE)="","",VLOOKUP(Mon_W2[[#This Row],[Employee Name]],'Base Schedules'!$A$113:$AW$158,25,FALSE)),"")</f>
        <v>-</v>
      </c>
      <c r="AA26" s="184" t="str">
        <f>IFERROR(IF(VLOOKUP(Mon_W2[[#This Row],[Employee Name]],'Base Schedules'!$A$113:$AW$158,26,FALSE)="","",VLOOKUP(Mon_W2[[#This Row],[Employee Name]],'Base Schedules'!$A$113:$AW$158,26,FALSE)),"")</f>
        <v>-</v>
      </c>
      <c r="AB26" s="184" t="str">
        <f>IFERROR(IF(VLOOKUP(Mon_W2[[#This Row],[Employee Name]],'Base Schedules'!$A$113:$AW$158,27,FALSE)="","",VLOOKUP(Mon_W2[[#This Row],[Employee Name]],'Base Schedules'!$A$113:$AW$158,27,FALSE)),"")</f>
        <v>-</v>
      </c>
      <c r="AC26" s="184" t="str">
        <f>IFERROR(IF(VLOOKUP(Mon_W2[[#This Row],[Employee Name]],'Base Schedules'!$A$113:$AW$158,28,FALSE)="","",VLOOKUP(Mon_W2[[#This Row],[Employee Name]],'Base Schedules'!$A$113:$AW$158,28,FALSE)),"")</f>
        <v>Team KO TM</v>
      </c>
      <c r="AD26" s="184" t="str">
        <f>IFERROR(IF(VLOOKUP(Mon_W2[[#This Row],[Employee Name]],'Base Schedules'!$A$113:$AW$158,29,FALSE)="","",VLOOKUP(Mon_W2[[#This Row],[Employee Name]],'Base Schedules'!$A$113:$AW$158,29,FALSE)),"")</f>
        <v>Team KO TM</v>
      </c>
      <c r="AE26" s="184" t="str">
        <f>IFERROR(IF(VLOOKUP(Mon_W2[[#This Row],[Employee Name]],'Base Schedules'!$A$113:$AW$158,30,FALSE)="","",VLOOKUP(Mon_W2[[#This Row],[Employee Name]],'Base Schedules'!$A$113:$AW$158,30,FALSE)),"")</f>
        <v>-</v>
      </c>
      <c r="AF26" s="184" t="str">
        <f>IFERROR(IF(VLOOKUP(Mon_W2[[#This Row],[Employee Name]],'Base Schedules'!$A$113:$AW$158,31,FALSE)="","",VLOOKUP(Mon_W2[[#This Row],[Employee Name]],'Base Schedules'!$A$113:$AW$158,31,FALSE)),"")</f>
        <v>-</v>
      </c>
      <c r="AG26" s="184" t="str">
        <f>IFERROR(IF(VLOOKUP(Mon_W2[[#This Row],[Employee Name]],'Base Schedules'!$A$113:$AW$158,32,FALSE)="","",VLOOKUP(Mon_W2[[#This Row],[Employee Name]],'Base Schedules'!$A$113:$AW$158,32,FALSE)),"")</f>
        <v>-</v>
      </c>
      <c r="AH26" s="184" t="str">
        <f>IFERROR(IF(VLOOKUP(Mon_W2[[#This Row],[Employee Name]],'Base Schedules'!$A$113:$AW$158,33,FALSE)="","",VLOOKUP(Mon_W2[[#This Row],[Employee Name]],'Base Schedules'!$A$113:$AW$158,33,FALSE)),"")</f>
        <v/>
      </c>
      <c r="AI26" s="184" t="str">
        <f>IFERROR(IF(VLOOKUP(Mon_W2[[#This Row],[Employee Name]],'Base Schedules'!$A$113:$AW$158,34,FALSE)="","",VLOOKUP(Mon_W2[[#This Row],[Employee Name]],'Base Schedules'!$A$113:$AW$158,34,FALSE)),"")</f>
        <v/>
      </c>
      <c r="AJ26" s="184" t="str">
        <f>IFERROR(IF(VLOOKUP(Mon_W2[[#This Row],[Employee Name]],'Base Schedules'!$A$113:$AW$158,35,FALSE)="","",VLOOKUP(Mon_W2[[#This Row],[Employee Name]],'Base Schedules'!$A$113:$AW$158,35,FALSE)),"")</f>
        <v/>
      </c>
      <c r="AK26" s="184" t="str">
        <f>IFERROR(IF(VLOOKUP(Mon_W2[[#This Row],[Employee Name]],'Base Schedules'!$A$113:$AW$158,36,FALSE)="","",VLOOKUP(Mon_W2[[#This Row],[Employee Name]],'Base Schedules'!$A$113:$AW$158,36,FALSE)),"")</f>
        <v/>
      </c>
      <c r="AL26" s="184" t="str">
        <f>IFERROR(IF(VLOOKUP(Mon_W2[[#This Row],[Employee Name]],'Base Schedules'!$A$113:$AW$158,37,FALSE)="","",VLOOKUP(Mon_W2[[#This Row],[Employee Name]],'Base Schedules'!$A$113:$AW$158,37,FALSE)),"")</f>
        <v/>
      </c>
      <c r="AM26" s="184" t="str">
        <f>IFERROR(IF(VLOOKUP(Mon_W2[[#This Row],[Employee Name]],'Base Schedules'!$A$113:$AW$158,38,FALSE)="","",VLOOKUP(Mon_W2[[#This Row],[Employee Name]],'Base Schedules'!$A$113:$AW$158,38,FALSE)),"")</f>
        <v/>
      </c>
      <c r="AN26" s="184" t="str">
        <f>IFERROR(IF(VLOOKUP(Mon_W2[[#This Row],[Employee Name]],'Base Schedules'!$A$113:$AW$158,39,FALSE)="","",VLOOKUP(Mon_W2[[#This Row],[Employee Name]],'Base Schedules'!$A$113:$AW$158,39,FALSE)),"")</f>
        <v/>
      </c>
      <c r="AO26" s="184" t="str">
        <f>IFERROR(IF(VLOOKUP(Mon_W2[[#This Row],[Employee Name]],'Base Schedules'!$A$113:$AW$158,40,FALSE)="","",VLOOKUP(Mon_W2[[#This Row],[Employee Name]],'Base Schedules'!$A$113:$AW$158,40,FALSE)),"")</f>
        <v/>
      </c>
      <c r="AP26" s="184" t="str">
        <f>IFERROR(IF(VLOOKUP(Mon_W2[[#This Row],[Employee Name]],'Base Schedules'!$A$113:$AW$158,41,FALSE)="","",VLOOKUP(Mon_W2[[#This Row],[Employee Name]],'Base Schedules'!$A$113:$AW$158,41,FALSE)),"")</f>
        <v/>
      </c>
      <c r="AQ26" s="184" t="str">
        <f>IFERROR(IF(VLOOKUP(Mon_W2[[#This Row],[Employee Name]],'Base Schedules'!$A$113:$AW$158,42,FALSE)="","",VLOOKUP(Mon_W2[[#This Row],[Employee Name]],'Base Schedules'!$A$113:$AW$158,42,FALSE)),"")</f>
        <v/>
      </c>
      <c r="AR26" s="184" t="str">
        <f>IFERROR(IF(VLOOKUP(Mon_W2[[#This Row],[Employee Name]],'Base Schedules'!$A$113:$AW$158,43,FALSE)="","",VLOOKUP(Mon_W2[[#This Row],[Employee Name]],'Base Schedules'!$A$113:$AW$158,43,FALSE)),"")</f>
        <v/>
      </c>
      <c r="AS26" s="184" t="str">
        <f>IFERROR(IF(VLOOKUP(Mon_W2[[#This Row],[Employee Name]],'Base Schedules'!$A$113:$AW$158,44,FALSE)="","",VLOOKUP(Mon_W2[[#This Row],[Employee Name]],'Base Schedules'!$A$113:$AW$158,44,FALSE)),"")</f>
        <v/>
      </c>
      <c r="AT26" s="184" t="str">
        <f>IFERROR(IF(VLOOKUP(Mon_W2[[#This Row],[Employee Name]],'Base Schedules'!$A$113:$AW$158,45,FALSE)="","",VLOOKUP(Mon_W2[[#This Row],[Employee Name]],'Base Schedules'!$A$113:$AW$158,45,FALSE)),"")</f>
        <v/>
      </c>
      <c r="AU26" s="184" t="str">
        <f>IFERROR(IF(VLOOKUP(Mon_W2[[#This Row],[Employee Name]],'Base Schedules'!$A$113:$AW$158,46,FALSE)="","",VLOOKUP(Mon_W2[[#This Row],[Employee Name]],'Base Schedules'!$A$113:$AW$158,46,FALSE)),"")</f>
        <v/>
      </c>
      <c r="AV26" s="184" t="str">
        <f>IFERROR(IF(VLOOKUP(Mon_W2[[#This Row],[Employee Name]],'Base Schedules'!$A$113:$AW$158,47,FALSE)="","",VLOOKUP(Mon_W2[[#This Row],[Employee Name]],'Base Schedules'!$A$113:$AW$158,47,FALSE)),"")</f>
        <v/>
      </c>
      <c r="AW26" s="184" t="str">
        <f>IFERROR(IF(VLOOKUP(Mon_W2[[#This Row],[Employee Name]],'Base Schedules'!$A$113:$AW$158,48,FALSE)="","",VLOOKUP(Mon_W2[[#This Row],[Employee Name]],'Base Schedules'!$A$113:$AW$158,48,FALSE)),"")</f>
        <v/>
      </c>
      <c r="AX26" s="184" t="str">
        <f>IFERROR(IF(VLOOKUP(Mon_W2[[#This Row],[Employee Name]],'Base Schedules'!$A$113:$AW$158,49,FALSE)="","",VLOOKUP(Mon_W2[[#This Row],[Employee Name]],'Base Schedules'!$A$113:$AW$158,49,FALSE)),"")</f>
        <v/>
      </c>
      <c r="AY26" s="159" t="str">
        <f t="shared" si="2"/>
        <v>Vasbinder, Ryan</v>
      </c>
    </row>
    <row r="27" spans="1:51" s="44" customFormat="1" ht="12" customHeight="1" x14ac:dyDescent="0.2">
      <c r="A27" s="39" t="str">
        <f>IF(B27="","",INDEX(TeamList[],MATCH($B27,TeamList[[Employee Name]:[Employee Name]],0),MATCH("Manager",TeamList[#Headers],0)))</f>
        <v>Olson, Katherine</v>
      </c>
      <c r="B27" s="330" t="s">
        <v>49</v>
      </c>
      <c r="C27" s="257" t="str">
        <f>_xlfn.IFNA(VLOOKUP(Mon_W2[[#This Row],[Employee Name]],'Base Schedules'!A:B,2,FALSE),"")</f>
        <v>Supervisor</v>
      </c>
      <c r="D27" s="274">
        <f>_xlfn.IFNA(VLOOKUP(Mon_W2[[#This Row],[Employee Name]],'Base Schedules'!A:C,3,FALSE),"")</f>
        <v>800</v>
      </c>
      <c r="E27" s="274">
        <f>_xlfn.IFNA(VLOOKUP(Mon_W2[[#This Row],[Employee Name]],'Base Schedules'!A:D,4,FALSE),"")</f>
        <v>1700</v>
      </c>
      <c r="F27" s="142">
        <f>IF(Mon_W2[[#This Row],[Employee Name]]="","",IF(Mon_W2[[#This Row],[Dept]]="Supervisor",COUNTIFS($J27:$AX27,"*HL*",$J27:$AX27,"&lt;&gt;"&amp;"pHL"),COUNTIFS($J27:$AX27,"*HL*",$J27:$AX27,"&lt;&gt;"&amp;"*pHL*",$J27:$AX27,"&lt;&gt;"&amp;"pB1 HL",$J27:$AX27,"&lt;&gt;"&amp;"pB2 HL")-SUM(COUNTIFS($J27:$AX27,"*HL B1*",$J27:$AX27,"&lt;&gt;"&amp;"pHL B1")*0.5,COUNTIFS($J27:$AX27,"*HL B2*",$J27:$AX27,"&lt;&gt;"&amp;"pHL B2")*0.5,COUNTIFS($J27:$AX27,"*B1 HL*",$J27:$AX27,"&lt;&gt;"&amp;"pB1 HL")*0.5,COUNTIFS($J27:$AX27,"*B2 HL*",$J27:$AX27,"&lt;&gt;"&amp;"pB2 HL")*0.5)))</f>
        <v>0</v>
      </c>
      <c r="G27" s="142">
        <f t="shared" si="0"/>
        <v>0</v>
      </c>
      <c r="H27" s="142">
        <f t="shared" si="1"/>
        <v>0</v>
      </c>
      <c r="I27" s="142">
        <f>IF(Mon_W2[[#This Row],[Employee Name]]="","",IF(Mon_W2[[#This Row],[Dept]]="Supervisor",SUM(COUNTIFS($J27:$AX27,"RTA*",$J27:$AX27,"&lt;&gt;"&amp;"pRTA"),COUNTIFS($J27:$AX27,"*CRTA*",$J27:$AX27,"&lt;&gt;"&amp;"pCRTA")),COUNTIFS($J27:$AX27,"*RNNR*",$J27:$AX27,"&lt;&gt;"&amp;"*pRNNR*",$J27:$AX27,"&lt;&gt;"&amp;"pB1 RNNR",$J27:$AX27,"&lt;&gt;"&amp;"pB2 RNNR")-SUM(COUNTIFS($J27:$AX27,"*RNNR B1*",$J27:$AX27,"&lt;&gt;"&amp;"pRNNR B1")*0.5,COUNTIFS($J27:$AX27,"*RNNR B2*",$J27:$AX27,"&lt;&gt;"&amp;"pRNNR B2")*0.5,COUNTIFS($J27:$AX27,"*B1 RNNR*",$J27:$AX27,"&lt;&gt;"&amp;"pB1 RNNR")*0.5,COUNTIFS($J27:$AX27,"*B2 RNNR*",$J27:$AX27,"&lt;&gt;"&amp;"pB2 RNNR")*0.5)))</f>
        <v>0</v>
      </c>
      <c r="J27" s="184" t="str">
        <f>IFERROR(IF(VLOOKUP(Mon_W2[[#This Row],[Employee Name]],'Base Schedules'!$A$113:$AW$158,9,FALSE)="","",VLOOKUP(Mon_W2[[#This Row],[Employee Name]],'Base Schedules'!$A$113:$AW$158,9,FALSE)),"")</f>
        <v/>
      </c>
      <c r="K27" s="184" t="str">
        <f>IFERROR(IF(VLOOKUP(Mon_W2[[#This Row],[Employee Name]],'Base Schedules'!$A$113:$AW$158,10,FALSE)="","",VLOOKUP(Mon_W2[[#This Row],[Employee Name]],'Base Schedules'!$A$113:$AW$158,10,FALSE)),"")</f>
        <v/>
      </c>
      <c r="L27" s="184" t="str">
        <f>IFERROR(IF(VLOOKUP(Mon_W2[[#This Row],[Employee Name]],'Base Schedules'!$A$113:$AW$158,11,FALSE)="","",VLOOKUP(Mon_W2[[#This Row],[Employee Name]],'Base Schedules'!$A$113:$AW$158,11,FALSE)),"")</f>
        <v/>
      </c>
      <c r="M27" s="184" t="str">
        <f>IFERROR(IF(VLOOKUP(Mon_W2[[#This Row],[Employee Name]],'Base Schedules'!$A$113:$AW$158,12,FALSE)="","",VLOOKUP(Mon_W2[[#This Row],[Employee Name]],'Base Schedules'!$A$113:$AW$158,12,FALSE)),"")</f>
        <v/>
      </c>
      <c r="N27" s="184" t="str">
        <f>IFERROR(IF(VLOOKUP(Mon_W2[[#This Row],[Employee Name]],'Base Schedules'!$A$113:$AW$158,13,FALSE)="","",VLOOKUP(Mon_W2[[#This Row],[Employee Name]],'Base Schedules'!$A$113:$AW$158,13,FALSE)),"")</f>
        <v/>
      </c>
      <c r="O27" s="184" t="str">
        <f>IFERROR(IF(VLOOKUP(Mon_W2[[#This Row],[Employee Name]],'Base Schedules'!$A$113:$AW$158,14,FALSE)="","",VLOOKUP(Mon_W2[[#This Row],[Employee Name]],'Base Schedules'!$A$113:$AW$158,14,FALSE)),"")</f>
        <v/>
      </c>
      <c r="P27" s="184" t="str">
        <f>IFERROR(IF(VLOOKUP(Mon_W2[[#This Row],[Employee Name]],'Base Schedules'!$A$113:$AW$158,15,FALSE)="","",VLOOKUP(Mon_W2[[#This Row],[Employee Name]],'Base Schedules'!$A$113:$AW$158,15,FALSE)),"")</f>
        <v>-</v>
      </c>
      <c r="Q27" s="184" t="str">
        <f>IFERROR(IF(VLOOKUP(Mon_W2[[#This Row],[Employee Name]],'Base Schedules'!$A$113:$AW$158,16,FALSE)="","",VLOOKUP(Mon_W2[[#This Row],[Employee Name]],'Base Schedules'!$A$113:$AW$158,16,FALSE)),"")</f>
        <v>-</v>
      </c>
      <c r="R27" s="184" t="str">
        <f>IFERROR(IF(VLOOKUP(Mon_W2[[#This Row],[Employee Name]],'Base Schedules'!$A$113:$AW$158,17,FALSE)="","",VLOOKUP(Mon_W2[[#This Row],[Employee Name]],'Base Schedules'!$A$113:$AW$158,17,FALSE)),"")</f>
        <v>-</v>
      </c>
      <c r="S27" s="184" t="str">
        <f>IFERROR(IF(VLOOKUP(Mon_W2[[#This Row],[Employee Name]],'Base Schedules'!$A$113:$AW$158,18,FALSE)="","",VLOOKUP(Mon_W2[[#This Row],[Employee Name]],'Base Schedules'!$A$113:$AW$158,18,FALSE)),"")</f>
        <v>-</v>
      </c>
      <c r="T27" s="184" t="str">
        <f>IFERROR(IF(VLOOKUP(Mon_W2[[#This Row],[Employee Name]],'Base Schedules'!$A$113:$AW$158,19,FALSE)="","",VLOOKUP(Mon_W2[[#This Row],[Employee Name]],'Base Schedules'!$A$113:$AW$158,19,FALSE)),"")</f>
        <v>-</v>
      </c>
      <c r="U27" s="184" t="str">
        <f>IFERROR(IF(VLOOKUP(Mon_W2[[#This Row],[Employee Name]],'Base Schedules'!$A$113:$AW$158,20,FALSE)="","",VLOOKUP(Mon_W2[[#This Row],[Employee Name]],'Base Schedules'!$A$113:$AW$158,20,FALSE)),"")</f>
        <v>-</v>
      </c>
      <c r="V27" s="184" t="str">
        <f>IFERROR(IF(VLOOKUP(Mon_W2[[#This Row],[Employee Name]],'Base Schedules'!$A$113:$AW$158,21,FALSE)="","",VLOOKUP(Mon_W2[[#This Row],[Employee Name]],'Base Schedules'!$A$113:$AW$158,21,FALSE)),"")</f>
        <v>-</v>
      </c>
      <c r="W27" s="184" t="str">
        <f>IFERROR(IF(VLOOKUP(Mon_W2[[#This Row],[Employee Name]],'Base Schedules'!$A$113:$AW$158,22,FALSE)="","",VLOOKUP(Mon_W2[[#This Row],[Employee Name]],'Base Schedules'!$A$113:$AW$158,22,FALSE)),"")</f>
        <v>-</v>
      </c>
      <c r="X27" s="184" t="str">
        <f>IFERROR(IF(VLOOKUP(Mon_W2[[#This Row],[Employee Name]],'Base Schedules'!$A$113:$AW$158,23,FALSE)="","",VLOOKUP(Mon_W2[[#This Row],[Employee Name]],'Base Schedules'!$A$113:$AW$158,23,FALSE)),"")</f>
        <v>-</v>
      </c>
      <c r="Y27" s="184" t="str">
        <f>IFERROR(IF(VLOOKUP(Mon_W2[[#This Row],[Employee Name]],'Base Schedules'!$A$113:$AW$158,24,FALSE)="","",VLOOKUP(Mon_W2[[#This Row],[Employee Name]],'Base Schedules'!$A$113:$AW$158,24,FALSE)),"")</f>
        <v>-</v>
      </c>
      <c r="Z27" s="184" t="str">
        <f>IFERROR(IF(VLOOKUP(Mon_W2[[#This Row],[Employee Name]],'Base Schedules'!$A$113:$AW$158,25,FALSE)="","",VLOOKUP(Mon_W2[[#This Row],[Employee Name]],'Base Schedules'!$A$113:$AW$158,25,FALSE)),"")</f>
        <v>-</v>
      </c>
      <c r="AA27" s="184" t="str">
        <f>IFERROR(IF(VLOOKUP(Mon_W2[[#This Row],[Employee Name]],'Base Schedules'!$A$113:$AW$158,26,FALSE)="","",VLOOKUP(Mon_W2[[#This Row],[Employee Name]],'Base Schedules'!$A$113:$AW$158,26,FALSE)),"")</f>
        <v>-</v>
      </c>
      <c r="AB27" s="184" t="str">
        <f>IFERROR(IF(VLOOKUP(Mon_W2[[#This Row],[Employee Name]],'Base Schedules'!$A$113:$AW$158,27,FALSE)="","",VLOOKUP(Mon_W2[[#This Row],[Employee Name]],'Base Schedules'!$A$113:$AW$158,27,FALSE)),"")</f>
        <v>-</v>
      </c>
      <c r="AC27" s="184" t="str">
        <f>IFERROR(IF(VLOOKUP(Mon_W2[[#This Row],[Employee Name]],'Base Schedules'!$A$113:$AW$158,28,FALSE)="","",VLOOKUP(Mon_W2[[#This Row],[Employee Name]],'Base Schedules'!$A$113:$AW$158,28,FALSE)),"")</f>
        <v>Team KO TM</v>
      </c>
      <c r="AD27" s="184" t="str">
        <f>IFERROR(IF(VLOOKUP(Mon_W2[[#This Row],[Employee Name]],'Base Schedules'!$A$113:$AW$158,29,FALSE)="","",VLOOKUP(Mon_W2[[#This Row],[Employee Name]],'Base Schedules'!$A$113:$AW$158,29,FALSE)),"")</f>
        <v>Team KO TM</v>
      </c>
      <c r="AE27" s="184" t="str">
        <f>IFERROR(IF(VLOOKUP(Mon_W2[[#This Row],[Employee Name]],'Base Schedules'!$A$113:$AW$158,30,FALSE)="","",VLOOKUP(Mon_W2[[#This Row],[Employee Name]],'Base Schedules'!$A$113:$AW$158,30,FALSE)),"")</f>
        <v>-</v>
      </c>
      <c r="AF27" s="184" t="str">
        <f>IFERROR(IF(VLOOKUP(Mon_W2[[#This Row],[Employee Name]],'Base Schedules'!$A$113:$AW$158,31,FALSE)="","",VLOOKUP(Mon_W2[[#This Row],[Employee Name]],'Base Schedules'!$A$113:$AW$158,31,FALSE)),"")</f>
        <v>-</v>
      </c>
      <c r="AG27" s="184" t="str">
        <f>IFERROR(IF(VLOOKUP(Mon_W2[[#This Row],[Employee Name]],'Base Schedules'!$A$113:$AW$158,32,FALSE)="","",VLOOKUP(Mon_W2[[#This Row],[Employee Name]],'Base Schedules'!$A$113:$AW$158,32,FALSE)),"")</f>
        <v>-</v>
      </c>
      <c r="AH27" s="184" t="str">
        <f>IFERROR(IF(VLOOKUP(Mon_W2[[#This Row],[Employee Name]],'Base Schedules'!$A$113:$AW$158,33,FALSE)="","",VLOOKUP(Mon_W2[[#This Row],[Employee Name]],'Base Schedules'!$A$113:$AW$158,33,FALSE)),"")</f>
        <v/>
      </c>
      <c r="AI27" s="184" t="str">
        <f>IFERROR(IF(VLOOKUP(Mon_W2[[#This Row],[Employee Name]],'Base Schedules'!$A$113:$AW$158,34,FALSE)="","",VLOOKUP(Mon_W2[[#This Row],[Employee Name]],'Base Schedules'!$A$113:$AW$158,34,FALSE)),"")</f>
        <v/>
      </c>
      <c r="AJ27" s="184" t="str">
        <f>IFERROR(IF(VLOOKUP(Mon_W2[[#This Row],[Employee Name]],'Base Schedules'!$A$113:$AW$158,35,FALSE)="","",VLOOKUP(Mon_W2[[#This Row],[Employee Name]],'Base Schedules'!$A$113:$AW$158,35,FALSE)),"")</f>
        <v/>
      </c>
      <c r="AK27" s="184" t="str">
        <f>IFERROR(IF(VLOOKUP(Mon_W2[[#This Row],[Employee Name]],'Base Schedules'!$A$113:$AW$158,36,FALSE)="","",VLOOKUP(Mon_W2[[#This Row],[Employee Name]],'Base Schedules'!$A$113:$AW$158,36,FALSE)),"")</f>
        <v/>
      </c>
      <c r="AL27" s="184" t="str">
        <f>IFERROR(IF(VLOOKUP(Mon_W2[[#This Row],[Employee Name]],'Base Schedules'!$A$113:$AW$158,37,FALSE)="","",VLOOKUP(Mon_W2[[#This Row],[Employee Name]],'Base Schedules'!$A$113:$AW$158,37,FALSE)),"")</f>
        <v/>
      </c>
      <c r="AM27" s="184" t="str">
        <f>IFERROR(IF(VLOOKUP(Mon_W2[[#This Row],[Employee Name]],'Base Schedules'!$A$113:$AW$158,38,FALSE)="","",VLOOKUP(Mon_W2[[#This Row],[Employee Name]],'Base Schedules'!$A$113:$AW$158,38,FALSE)),"")</f>
        <v/>
      </c>
      <c r="AN27" s="184" t="str">
        <f>IFERROR(IF(VLOOKUP(Mon_W2[[#This Row],[Employee Name]],'Base Schedules'!$A$113:$AW$158,39,FALSE)="","",VLOOKUP(Mon_W2[[#This Row],[Employee Name]],'Base Schedules'!$A$113:$AW$158,39,FALSE)),"")</f>
        <v/>
      </c>
      <c r="AO27" s="184" t="str">
        <f>IFERROR(IF(VLOOKUP(Mon_W2[[#This Row],[Employee Name]],'Base Schedules'!$A$113:$AW$158,40,FALSE)="","",VLOOKUP(Mon_W2[[#This Row],[Employee Name]],'Base Schedules'!$A$113:$AW$158,40,FALSE)),"")</f>
        <v/>
      </c>
      <c r="AP27" s="184" t="str">
        <f>IFERROR(IF(VLOOKUP(Mon_W2[[#This Row],[Employee Name]],'Base Schedules'!$A$113:$AW$158,41,FALSE)="","",VLOOKUP(Mon_W2[[#This Row],[Employee Name]],'Base Schedules'!$A$113:$AW$158,41,FALSE)),"")</f>
        <v/>
      </c>
      <c r="AQ27" s="184" t="str">
        <f>IFERROR(IF(VLOOKUP(Mon_W2[[#This Row],[Employee Name]],'Base Schedules'!$A$113:$AW$158,42,FALSE)="","",VLOOKUP(Mon_W2[[#This Row],[Employee Name]],'Base Schedules'!$A$113:$AW$158,42,FALSE)),"")</f>
        <v/>
      </c>
      <c r="AR27" s="184" t="str">
        <f>IFERROR(IF(VLOOKUP(Mon_W2[[#This Row],[Employee Name]],'Base Schedules'!$A$113:$AW$158,43,FALSE)="","",VLOOKUP(Mon_W2[[#This Row],[Employee Name]],'Base Schedules'!$A$113:$AW$158,43,FALSE)),"")</f>
        <v/>
      </c>
      <c r="AS27" s="184" t="str">
        <f>IFERROR(IF(VLOOKUP(Mon_W2[[#This Row],[Employee Name]],'Base Schedules'!$A$113:$AW$158,44,FALSE)="","",VLOOKUP(Mon_W2[[#This Row],[Employee Name]],'Base Schedules'!$A$113:$AW$158,44,FALSE)),"")</f>
        <v/>
      </c>
      <c r="AT27" s="184" t="str">
        <f>IFERROR(IF(VLOOKUP(Mon_W2[[#This Row],[Employee Name]],'Base Schedules'!$A$113:$AW$158,45,FALSE)="","",VLOOKUP(Mon_W2[[#This Row],[Employee Name]],'Base Schedules'!$A$113:$AW$158,45,FALSE)),"")</f>
        <v/>
      </c>
      <c r="AU27" s="184" t="str">
        <f>IFERROR(IF(VLOOKUP(Mon_W2[[#This Row],[Employee Name]],'Base Schedules'!$A$113:$AW$158,46,FALSE)="","",VLOOKUP(Mon_W2[[#This Row],[Employee Name]],'Base Schedules'!$A$113:$AW$158,46,FALSE)),"")</f>
        <v/>
      </c>
      <c r="AV27" s="184" t="str">
        <f>IFERROR(IF(VLOOKUP(Mon_W2[[#This Row],[Employee Name]],'Base Schedules'!$A$113:$AW$158,47,FALSE)="","",VLOOKUP(Mon_W2[[#This Row],[Employee Name]],'Base Schedules'!$A$113:$AW$158,47,FALSE)),"")</f>
        <v/>
      </c>
      <c r="AW27" s="184" t="str">
        <f>IFERROR(IF(VLOOKUP(Mon_W2[[#This Row],[Employee Name]],'Base Schedules'!$A$113:$AW$158,48,FALSE)="","",VLOOKUP(Mon_W2[[#This Row],[Employee Name]],'Base Schedules'!$A$113:$AW$158,48,FALSE)),"")</f>
        <v/>
      </c>
      <c r="AX27" s="184" t="str">
        <f>IFERROR(IF(VLOOKUP(Mon_W2[[#This Row],[Employee Name]],'Base Schedules'!$A$113:$AW$158,49,FALSE)="","",VLOOKUP(Mon_W2[[#This Row],[Employee Name]],'Base Schedules'!$A$113:$AW$158,49,FALSE)),"")</f>
        <v/>
      </c>
      <c r="AY27" s="159" t="str">
        <f t="shared" si="2"/>
        <v>Olson, Dan</v>
      </c>
    </row>
    <row r="28" spans="1:51" s="44" customFormat="1" ht="12" customHeight="1" x14ac:dyDescent="0.2">
      <c r="A28" s="39" t="str">
        <f>IF(B28="","",INDEX(TeamList[],MATCH($B28,TeamList[[Employee Name]:[Employee Name]],0),MATCH("Manager",TeamList[#Headers],0)))</f>
        <v>Ahmed Hassan, Zahra</v>
      </c>
      <c r="B28" s="201" t="s">
        <v>53</v>
      </c>
      <c r="C28" s="257" t="str">
        <f>_xlfn.IFNA(VLOOKUP(Mon_W2[[#This Row],[Employee Name]],'Base Schedules'!A:B,2,FALSE),"")</f>
        <v>Supervisor</v>
      </c>
      <c r="D28" s="274">
        <f>_xlfn.IFNA(VLOOKUP(Mon_W2[[#This Row],[Employee Name]],'Base Schedules'!A:C,3,FALSE),"")</f>
        <v>830</v>
      </c>
      <c r="E28" s="274">
        <f>_xlfn.IFNA(VLOOKUP(Mon_W2[[#This Row],[Employee Name]],'Base Schedules'!A:D,4,FALSE),"")</f>
        <v>1730</v>
      </c>
      <c r="F28" s="142">
        <f>IF(Mon_W2[[#This Row],[Employee Name]]="","",IF(Mon_W2[[#This Row],[Dept]]="Supervisor",COUNTIFS($J28:$AX28,"*HL*",$J28:$AX28,"&lt;&gt;"&amp;"pHL"),COUNTIFS($J28:$AX28,"*HL*",$J28:$AX28,"&lt;&gt;"&amp;"*pHL*",$J28:$AX28,"&lt;&gt;"&amp;"pB1 HL",$J28:$AX28,"&lt;&gt;"&amp;"pB2 HL")-SUM(COUNTIFS($J28:$AX28,"*HL B1*",$J28:$AX28,"&lt;&gt;"&amp;"pHL B1")*0.5,COUNTIFS($J28:$AX28,"*HL B2*",$J28:$AX28,"&lt;&gt;"&amp;"pHL B2")*0.5,COUNTIFS($J28:$AX28,"*B1 HL*",$J28:$AX28,"&lt;&gt;"&amp;"pB1 HL")*0.5,COUNTIFS($J28:$AX28,"*B2 HL*",$J28:$AX28,"&lt;&gt;"&amp;"pB2 HL")*0.5)))</f>
        <v>0</v>
      </c>
      <c r="G28" s="142">
        <f t="shared" si="0"/>
        <v>0</v>
      </c>
      <c r="H28" s="142">
        <f t="shared" si="1"/>
        <v>0</v>
      </c>
      <c r="I28" s="142">
        <f>IF(Mon_W2[[#This Row],[Employee Name]]="","",IF(Mon_W2[[#This Row],[Dept]]="Supervisor",SUM(COUNTIFS($J28:$AX28,"RTA*",$J28:$AX28,"&lt;&gt;"&amp;"pRTA"),COUNTIFS($J28:$AX28,"*CRTA*",$J28:$AX28,"&lt;&gt;"&amp;"pCRTA")),COUNTIFS($J28:$AX28,"*RNNR*",$J28:$AX28,"&lt;&gt;"&amp;"*pRNNR*",$J28:$AX28,"&lt;&gt;"&amp;"pB1 RNNR",$J28:$AX28,"&lt;&gt;"&amp;"pB2 RNNR")-SUM(COUNTIFS($J28:$AX28,"*RNNR B1*",$J28:$AX28,"&lt;&gt;"&amp;"pRNNR B1")*0.5,COUNTIFS($J28:$AX28,"*RNNR B2*",$J28:$AX28,"&lt;&gt;"&amp;"pRNNR B2")*0.5,COUNTIFS($J28:$AX28,"*B1 RNNR*",$J28:$AX28,"&lt;&gt;"&amp;"pB1 RNNR")*0.5,COUNTIFS($J28:$AX28,"*B2 RNNR*",$J28:$AX28,"&lt;&gt;"&amp;"pB2 RNNR")*0.5)))</f>
        <v>0</v>
      </c>
      <c r="J28" s="184" t="str">
        <f>IFERROR(IF(VLOOKUP(Mon_W2[[#This Row],[Employee Name]],'Base Schedules'!$A$113:$AW$158,9,FALSE)="","",VLOOKUP(Mon_W2[[#This Row],[Employee Name]],'Base Schedules'!$A$113:$AW$158,9,FALSE)),"")</f>
        <v/>
      </c>
      <c r="K28" s="184" t="str">
        <f>IFERROR(IF(VLOOKUP(Mon_W2[[#This Row],[Employee Name]],'Base Schedules'!$A$113:$AW$158,10,FALSE)="","",VLOOKUP(Mon_W2[[#This Row],[Employee Name]],'Base Schedules'!$A$113:$AW$158,10,FALSE)),"")</f>
        <v/>
      </c>
      <c r="L28" s="184" t="str">
        <f>IFERROR(IF(VLOOKUP(Mon_W2[[#This Row],[Employee Name]],'Base Schedules'!$A$113:$AW$158,11,FALSE)="","",VLOOKUP(Mon_W2[[#This Row],[Employee Name]],'Base Schedules'!$A$113:$AW$158,11,FALSE)),"")</f>
        <v/>
      </c>
      <c r="M28" s="184" t="str">
        <f>IFERROR(IF(VLOOKUP(Mon_W2[[#This Row],[Employee Name]],'Base Schedules'!$A$113:$AW$158,12,FALSE)="","",VLOOKUP(Mon_W2[[#This Row],[Employee Name]],'Base Schedules'!$A$113:$AW$158,12,FALSE)),"")</f>
        <v/>
      </c>
      <c r="N28" s="184" t="str">
        <f>IFERROR(IF(VLOOKUP(Mon_W2[[#This Row],[Employee Name]],'Base Schedules'!$A$113:$AW$158,13,FALSE)="","",VLOOKUP(Mon_W2[[#This Row],[Employee Name]],'Base Schedules'!$A$113:$AW$158,13,FALSE)),"")</f>
        <v/>
      </c>
      <c r="O28" s="184" t="str">
        <f>IFERROR(IF(VLOOKUP(Mon_W2[[#This Row],[Employee Name]],'Base Schedules'!$A$113:$AW$158,14,FALSE)="","",VLOOKUP(Mon_W2[[#This Row],[Employee Name]],'Base Schedules'!$A$113:$AW$158,14,FALSE)),"")</f>
        <v/>
      </c>
      <c r="P28" s="184" t="str">
        <f>IFERROR(IF(VLOOKUP(Mon_W2[[#This Row],[Employee Name]],'Base Schedules'!$A$113:$AW$158,15,FALSE)="","",VLOOKUP(Mon_W2[[#This Row],[Employee Name]],'Base Schedules'!$A$113:$AW$158,15,FALSE)),"")</f>
        <v/>
      </c>
      <c r="Q28" s="184" t="str">
        <f>IFERROR(IF(VLOOKUP(Mon_W2[[#This Row],[Employee Name]],'Base Schedules'!$A$113:$AW$158,16,FALSE)="","",VLOOKUP(Mon_W2[[#This Row],[Employee Name]],'Base Schedules'!$A$113:$AW$158,16,FALSE)),"")</f>
        <v>-</v>
      </c>
      <c r="R28" s="184" t="str">
        <f>IFERROR(IF(VLOOKUP(Mon_W2[[#This Row],[Employee Name]],'Base Schedules'!$A$113:$AW$158,17,FALSE)="","",VLOOKUP(Mon_W2[[#This Row],[Employee Name]],'Base Schedules'!$A$113:$AW$158,17,FALSE)),"")</f>
        <v>-</v>
      </c>
      <c r="S28" s="184" t="str">
        <f>IFERROR(IF(VLOOKUP(Mon_W2[[#This Row],[Employee Name]],'Base Schedules'!$A$113:$AW$158,18,FALSE)="","",VLOOKUP(Mon_W2[[#This Row],[Employee Name]],'Base Schedules'!$A$113:$AW$158,18,FALSE)),"")</f>
        <v>-</v>
      </c>
      <c r="T28" s="184" t="str">
        <f>IFERROR(IF(VLOOKUP(Mon_W2[[#This Row],[Employee Name]],'Base Schedules'!$A$113:$AW$158,19,FALSE)="","",VLOOKUP(Mon_W2[[#This Row],[Employee Name]],'Base Schedules'!$A$113:$AW$158,19,FALSE)),"")</f>
        <v>-</v>
      </c>
      <c r="U28" s="184" t="str">
        <f>IFERROR(IF(VLOOKUP(Mon_W2[[#This Row],[Employee Name]],'Base Schedules'!$A$113:$AW$158,20,FALSE)="","",VLOOKUP(Mon_W2[[#This Row],[Employee Name]],'Base Schedules'!$A$113:$AW$158,20,FALSE)),"")</f>
        <v>-</v>
      </c>
      <c r="V28" s="184" t="str">
        <f>IFERROR(IF(VLOOKUP(Mon_W2[[#This Row],[Employee Name]],'Base Schedules'!$A$113:$AW$158,21,FALSE)="","",VLOOKUP(Mon_W2[[#This Row],[Employee Name]],'Base Schedules'!$A$113:$AW$158,21,FALSE)),"")</f>
        <v>-</v>
      </c>
      <c r="W28" s="184" t="str">
        <f>IFERROR(IF(VLOOKUP(Mon_W2[[#This Row],[Employee Name]],'Base Schedules'!$A$113:$AW$158,22,FALSE)="","",VLOOKUP(Mon_W2[[#This Row],[Employee Name]],'Base Schedules'!$A$113:$AW$158,22,FALSE)),"")</f>
        <v>-</v>
      </c>
      <c r="X28" s="184" t="str">
        <f>IFERROR(IF(VLOOKUP(Mon_W2[[#This Row],[Employee Name]],'Base Schedules'!$A$113:$AW$158,23,FALSE)="","",VLOOKUP(Mon_W2[[#This Row],[Employee Name]],'Base Schedules'!$A$113:$AW$158,23,FALSE)),"")</f>
        <v>-</v>
      </c>
      <c r="Y28" s="184" t="str">
        <f>IFERROR(IF(VLOOKUP(Mon_W2[[#This Row],[Employee Name]],'Base Schedules'!$A$113:$AW$158,24,FALSE)="","",VLOOKUP(Mon_W2[[#This Row],[Employee Name]],'Base Schedules'!$A$113:$AW$158,24,FALSE)),"")</f>
        <v>-</v>
      </c>
      <c r="Z28" s="184" t="str">
        <f>IFERROR(IF(VLOOKUP(Mon_W2[[#This Row],[Employee Name]],'Base Schedules'!$A$113:$AW$158,25,FALSE)="","",VLOOKUP(Mon_W2[[#This Row],[Employee Name]],'Base Schedules'!$A$113:$AW$158,25,FALSE)),"")</f>
        <v>-</v>
      </c>
      <c r="AA28" s="184" t="str">
        <f>IFERROR(IF(VLOOKUP(Mon_W2[[#This Row],[Employee Name]],'Base Schedules'!$A$113:$AW$158,26,FALSE)="","",VLOOKUP(Mon_W2[[#This Row],[Employee Name]],'Base Schedules'!$A$113:$AW$158,26,FALSE)),"")</f>
        <v>-</v>
      </c>
      <c r="AB28" s="184" t="str">
        <f>IFERROR(IF(VLOOKUP(Mon_W2[[#This Row],[Employee Name]],'Base Schedules'!$A$113:$AW$158,27,FALSE)="","",VLOOKUP(Mon_W2[[#This Row],[Employee Name]],'Base Schedules'!$A$113:$AW$158,27,FALSE)),"")</f>
        <v>-</v>
      </c>
      <c r="AC28" s="184" t="str">
        <f>IFERROR(IF(VLOOKUP(Mon_W2[[#This Row],[Employee Name]],'Base Schedules'!$A$113:$AW$158,28,FALSE)="","",VLOOKUP(Mon_W2[[#This Row],[Employee Name]],'Base Schedules'!$A$113:$AW$158,28,FALSE)),"")</f>
        <v>-</v>
      </c>
      <c r="AD28" s="184" t="str">
        <f>IFERROR(IF(VLOOKUP(Mon_W2[[#This Row],[Employee Name]],'Base Schedules'!$A$113:$AW$158,29,FALSE)="","",VLOOKUP(Mon_W2[[#This Row],[Employee Name]],'Base Schedules'!$A$113:$AW$158,29,FALSE)),"")</f>
        <v>-</v>
      </c>
      <c r="AE28" s="184" t="str">
        <f>IFERROR(IF(VLOOKUP(Mon_W2[[#This Row],[Employee Name]],'Base Schedules'!$A$113:$AW$158,30,FALSE)="","",VLOOKUP(Mon_W2[[#This Row],[Employee Name]],'Base Schedules'!$A$113:$AW$158,30,FALSE)),"")</f>
        <v>-</v>
      </c>
      <c r="AF28" s="184" t="str">
        <f>IFERROR(IF(VLOOKUP(Mon_W2[[#This Row],[Employee Name]],'Base Schedules'!$A$113:$AW$158,31,FALSE)="","",VLOOKUP(Mon_W2[[#This Row],[Employee Name]],'Base Schedules'!$A$113:$AW$158,31,FALSE)),"")</f>
        <v>-</v>
      </c>
      <c r="AG28" s="184" t="str">
        <f>IFERROR(IF(VLOOKUP(Mon_W2[[#This Row],[Employee Name]],'Base Schedules'!$A$113:$AW$158,32,FALSE)="","",VLOOKUP(Mon_W2[[#This Row],[Employee Name]],'Base Schedules'!$A$113:$AW$158,32,FALSE)),"")</f>
        <v>-</v>
      </c>
      <c r="AH28" s="184" t="str">
        <f>IFERROR(IF(VLOOKUP(Mon_W2[[#This Row],[Employee Name]],'Base Schedules'!$A$113:$AW$158,33,FALSE)="","",VLOOKUP(Mon_W2[[#This Row],[Employee Name]],'Base Schedules'!$A$113:$AW$158,33,FALSE)),"")</f>
        <v>-</v>
      </c>
      <c r="AI28" s="184" t="str">
        <f>IFERROR(IF(VLOOKUP(Mon_W2[[#This Row],[Employee Name]],'Base Schedules'!$A$113:$AW$158,34,FALSE)="","",VLOOKUP(Mon_W2[[#This Row],[Employee Name]],'Base Schedules'!$A$113:$AW$158,34,FALSE)),"")</f>
        <v/>
      </c>
      <c r="AJ28" s="184" t="str">
        <f>IFERROR(IF(VLOOKUP(Mon_W2[[#This Row],[Employee Name]],'Base Schedules'!$A$113:$AW$158,35,FALSE)="","",VLOOKUP(Mon_W2[[#This Row],[Employee Name]],'Base Schedules'!$A$113:$AW$158,35,FALSE)),"")</f>
        <v/>
      </c>
      <c r="AK28" s="184" t="str">
        <f>IFERROR(IF(VLOOKUP(Mon_W2[[#This Row],[Employee Name]],'Base Schedules'!$A$113:$AW$158,36,FALSE)="","",VLOOKUP(Mon_W2[[#This Row],[Employee Name]],'Base Schedules'!$A$113:$AW$158,36,FALSE)),"")</f>
        <v/>
      </c>
      <c r="AL28" s="184" t="str">
        <f>IFERROR(IF(VLOOKUP(Mon_W2[[#This Row],[Employee Name]],'Base Schedules'!$A$113:$AW$158,37,FALSE)="","",VLOOKUP(Mon_W2[[#This Row],[Employee Name]],'Base Schedules'!$A$113:$AW$158,37,FALSE)),"")</f>
        <v/>
      </c>
      <c r="AM28" s="184" t="str">
        <f>IFERROR(IF(VLOOKUP(Mon_W2[[#This Row],[Employee Name]],'Base Schedules'!$A$113:$AW$158,38,FALSE)="","",VLOOKUP(Mon_W2[[#This Row],[Employee Name]],'Base Schedules'!$A$113:$AW$158,38,FALSE)),"")</f>
        <v/>
      </c>
      <c r="AN28" s="184" t="str">
        <f>IFERROR(IF(VLOOKUP(Mon_W2[[#This Row],[Employee Name]],'Base Schedules'!$A$113:$AW$158,39,FALSE)="","",VLOOKUP(Mon_W2[[#This Row],[Employee Name]],'Base Schedules'!$A$113:$AW$158,39,FALSE)),"")</f>
        <v/>
      </c>
      <c r="AO28" s="184" t="str">
        <f>IFERROR(IF(VLOOKUP(Mon_W2[[#This Row],[Employee Name]],'Base Schedules'!$A$113:$AW$158,40,FALSE)="","",VLOOKUP(Mon_W2[[#This Row],[Employee Name]],'Base Schedules'!$A$113:$AW$158,40,FALSE)),"")</f>
        <v/>
      </c>
      <c r="AP28" s="184" t="str">
        <f>IFERROR(IF(VLOOKUP(Mon_W2[[#This Row],[Employee Name]],'Base Schedules'!$A$113:$AW$158,41,FALSE)="","",VLOOKUP(Mon_W2[[#This Row],[Employee Name]],'Base Schedules'!$A$113:$AW$158,41,FALSE)),"")</f>
        <v/>
      </c>
      <c r="AQ28" s="184" t="str">
        <f>IFERROR(IF(VLOOKUP(Mon_W2[[#This Row],[Employee Name]],'Base Schedules'!$A$113:$AW$158,42,FALSE)="","",VLOOKUP(Mon_W2[[#This Row],[Employee Name]],'Base Schedules'!$A$113:$AW$158,42,FALSE)),"")</f>
        <v/>
      </c>
      <c r="AR28" s="184" t="str">
        <f>IFERROR(IF(VLOOKUP(Mon_W2[[#This Row],[Employee Name]],'Base Schedules'!$A$113:$AW$158,43,FALSE)="","",VLOOKUP(Mon_W2[[#This Row],[Employee Name]],'Base Schedules'!$A$113:$AW$158,43,FALSE)),"")</f>
        <v/>
      </c>
      <c r="AS28" s="184" t="str">
        <f>IFERROR(IF(VLOOKUP(Mon_W2[[#This Row],[Employee Name]],'Base Schedules'!$A$113:$AW$158,44,FALSE)="","",VLOOKUP(Mon_W2[[#This Row],[Employee Name]],'Base Schedules'!$A$113:$AW$158,44,FALSE)),"")</f>
        <v/>
      </c>
      <c r="AT28" s="184" t="str">
        <f>IFERROR(IF(VLOOKUP(Mon_W2[[#This Row],[Employee Name]],'Base Schedules'!$A$113:$AW$158,45,FALSE)="","",VLOOKUP(Mon_W2[[#This Row],[Employee Name]],'Base Schedules'!$A$113:$AW$158,45,FALSE)),"")</f>
        <v/>
      </c>
      <c r="AU28" s="184" t="str">
        <f>IFERROR(IF(VLOOKUP(Mon_W2[[#This Row],[Employee Name]],'Base Schedules'!$A$113:$AW$158,46,FALSE)="","",VLOOKUP(Mon_W2[[#This Row],[Employee Name]],'Base Schedules'!$A$113:$AW$158,46,FALSE)),"")</f>
        <v/>
      </c>
      <c r="AV28" s="184" t="str">
        <f>IFERROR(IF(VLOOKUP(Mon_W2[[#This Row],[Employee Name]],'Base Schedules'!$A$113:$AW$158,47,FALSE)="","",VLOOKUP(Mon_W2[[#This Row],[Employee Name]],'Base Schedules'!$A$113:$AW$158,47,FALSE)),"")</f>
        <v/>
      </c>
      <c r="AW28" s="184" t="str">
        <f>IFERROR(IF(VLOOKUP(Mon_W2[[#This Row],[Employee Name]],'Base Schedules'!$A$113:$AW$158,48,FALSE)="","",VLOOKUP(Mon_W2[[#This Row],[Employee Name]],'Base Schedules'!$A$113:$AW$158,48,FALSE)),"")</f>
        <v/>
      </c>
      <c r="AX28" s="184" t="str">
        <f>IFERROR(IF(VLOOKUP(Mon_W2[[#This Row],[Employee Name]],'Base Schedules'!$A$113:$AW$158,49,FALSE)="","",VLOOKUP(Mon_W2[[#This Row],[Employee Name]],'Base Schedules'!$A$113:$AW$158,49,FALSE)),"")</f>
        <v/>
      </c>
      <c r="AY28" s="159" t="str">
        <f t="shared" si="2"/>
        <v>Stevens, Amanda</v>
      </c>
    </row>
    <row r="29" spans="1:51" s="44" customFormat="1" ht="12" customHeight="1" x14ac:dyDescent="0.2">
      <c r="A29" s="39" t="str">
        <f>IF(B29="","",INDEX(TeamList[],MATCH($B29,TeamList[[Employee Name]:[Employee Name]],0),MATCH("Manager",TeamList[#Headers],0)))</f>
        <v>Ahmed Hassan, Zahra</v>
      </c>
      <c r="B29" s="331" t="s">
        <v>27</v>
      </c>
      <c r="C29" s="257" t="str">
        <f>_xlfn.IFNA(VLOOKUP(Mon_W2[[#This Row],[Employee Name]],'Base Schedules'!A:B,2,FALSE),"")</f>
        <v>Supervisor</v>
      </c>
      <c r="D29" s="274">
        <f>_xlfn.IFNA(VLOOKUP(Mon_W2[[#This Row],[Employee Name]],'Base Schedules'!A:C,3,FALSE),"")</f>
        <v>930</v>
      </c>
      <c r="E29" s="274">
        <f>_xlfn.IFNA(VLOOKUP(Mon_W2[[#This Row],[Employee Name]],'Base Schedules'!A:D,4,FALSE),"")</f>
        <v>1830</v>
      </c>
      <c r="F29" s="142">
        <f>IF(Mon_W2[[#This Row],[Employee Name]]="","",IF(Mon_W2[[#This Row],[Dept]]="Supervisor",COUNTIFS($J29:$AX29,"*HL*",$J29:$AX29,"&lt;&gt;"&amp;"pHL"),COUNTIFS($J29:$AX29,"*HL*",$J29:$AX29,"&lt;&gt;"&amp;"*pHL*",$J29:$AX29,"&lt;&gt;"&amp;"pB1 HL",$J29:$AX29,"&lt;&gt;"&amp;"pB2 HL")-SUM(COUNTIFS($J29:$AX29,"*HL B1*",$J29:$AX29,"&lt;&gt;"&amp;"pHL B1")*0.5,COUNTIFS($J29:$AX29,"*HL B2*",$J29:$AX29,"&lt;&gt;"&amp;"pHL B2")*0.5,COUNTIFS($J29:$AX29,"*B1 HL*",$J29:$AX29,"&lt;&gt;"&amp;"pB1 HL")*0.5,COUNTIFS($J29:$AX29,"*B2 HL*",$J29:$AX29,"&lt;&gt;"&amp;"pB2 HL")*0.5)))</f>
        <v>0</v>
      </c>
      <c r="G29" s="142">
        <f t="shared" si="0"/>
        <v>0</v>
      </c>
      <c r="H29" s="142">
        <f t="shared" si="1"/>
        <v>0</v>
      </c>
      <c r="I29" s="142">
        <f>IF(Mon_W2[[#This Row],[Employee Name]]="","",IF(Mon_W2[[#This Row],[Dept]]="Supervisor",SUM(COUNTIFS($J29:$AX29,"RTA*",$J29:$AX29,"&lt;&gt;"&amp;"pRTA"),COUNTIFS($J29:$AX29,"*CRTA*",$J29:$AX29,"&lt;&gt;"&amp;"pCRTA")),COUNTIFS($J29:$AX29,"*RNNR*",$J29:$AX29,"&lt;&gt;"&amp;"*pRNNR*",$J29:$AX29,"&lt;&gt;"&amp;"pB1 RNNR",$J29:$AX29,"&lt;&gt;"&amp;"pB2 RNNR")-SUM(COUNTIFS($J29:$AX29,"*RNNR B1*",$J29:$AX29,"&lt;&gt;"&amp;"pRNNR B1")*0.5,COUNTIFS($J29:$AX29,"*RNNR B2*",$J29:$AX29,"&lt;&gt;"&amp;"pRNNR B2")*0.5,COUNTIFS($J29:$AX29,"*B1 RNNR*",$J29:$AX29,"&lt;&gt;"&amp;"pB1 RNNR")*0.5,COUNTIFS($J29:$AX29,"*B2 RNNR*",$J29:$AX29,"&lt;&gt;"&amp;"pB2 RNNR")*0.5)))</f>
        <v>0</v>
      </c>
      <c r="J29" s="184" t="str">
        <f>IFERROR(IF(VLOOKUP(Mon_W2[[#This Row],[Employee Name]],'Base Schedules'!$A$113:$AW$158,9,FALSE)="","",VLOOKUP(Mon_W2[[#This Row],[Employee Name]],'Base Schedules'!$A$113:$AW$158,9,FALSE)),"")</f>
        <v/>
      </c>
      <c r="K29" s="184" t="str">
        <f>IFERROR(IF(VLOOKUP(Mon_W2[[#This Row],[Employee Name]],'Base Schedules'!$A$113:$AW$158,10,FALSE)="","",VLOOKUP(Mon_W2[[#This Row],[Employee Name]],'Base Schedules'!$A$113:$AW$158,10,FALSE)),"")</f>
        <v/>
      </c>
      <c r="L29" s="184" t="str">
        <f>IFERROR(IF(VLOOKUP(Mon_W2[[#This Row],[Employee Name]],'Base Schedules'!$A$113:$AW$158,11,FALSE)="","",VLOOKUP(Mon_W2[[#This Row],[Employee Name]],'Base Schedules'!$A$113:$AW$158,11,FALSE)),"")</f>
        <v/>
      </c>
      <c r="M29" s="184" t="str">
        <f>IFERROR(IF(VLOOKUP(Mon_W2[[#This Row],[Employee Name]],'Base Schedules'!$A$113:$AW$158,12,FALSE)="","",VLOOKUP(Mon_W2[[#This Row],[Employee Name]],'Base Schedules'!$A$113:$AW$158,12,FALSE)),"")</f>
        <v/>
      </c>
      <c r="N29" s="184" t="str">
        <f>IFERROR(IF(VLOOKUP(Mon_W2[[#This Row],[Employee Name]],'Base Schedules'!$A$113:$AW$158,13,FALSE)="","",VLOOKUP(Mon_W2[[#This Row],[Employee Name]],'Base Schedules'!$A$113:$AW$158,13,FALSE)),"")</f>
        <v/>
      </c>
      <c r="O29" s="184" t="str">
        <f>IFERROR(IF(VLOOKUP(Mon_W2[[#This Row],[Employee Name]],'Base Schedules'!$A$113:$AW$158,14,FALSE)="","",VLOOKUP(Mon_W2[[#This Row],[Employee Name]],'Base Schedules'!$A$113:$AW$158,14,FALSE)),"")</f>
        <v/>
      </c>
      <c r="P29" s="184" t="str">
        <f>IFERROR(IF(VLOOKUP(Mon_W2[[#This Row],[Employee Name]],'Base Schedules'!$A$113:$AW$158,15,FALSE)="","",VLOOKUP(Mon_W2[[#This Row],[Employee Name]],'Base Schedules'!$A$113:$AW$158,15,FALSE)),"")</f>
        <v/>
      </c>
      <c r="Q29" s="184" t="str">
        <f>IFERROR(IF(VLOOKUP(Mon_W2[[#This Row],[Employee Name]],'Base Schedules'!$A$113:$AW$158,16,FALSE)="","",VLOOKUP(Mon_W2[[#This Row],[Employee Name]],'Base Schedules'!$A$113:$AW$158,16,FALSE)),"")</f>
        <v/>
      </c>
      <c r="R29" s="184" t="str">
        <f>IFERROR(IF(VLOOKUP(Mon_W2[[#This Row],[Employee Name]],'Base Schedules'!$A$113:$AW$158,17,FALSE)="","",VLOOKUP(Mon_W2[[#This Row],[Employee Name]],'Base Schedules'!$A$113:$AW$158,17,FALSE)),"")</f>
        <v/>
      </c>
      <c r="S29" s="184" t="str">
        <f>IFERROR(IF(VLOOKUP(Mon_W2[[#This Row],[Employee Name]],'Base Schedules'!$A$113:$AW$158,18,FALSE)="","",VLOOKUP(Mon_W2[[#This Row],[Employee Name]],'Base Schedules'!$A$113:$AW$158,18,FALSE)),"")</f>
        <v>-</v>
      </c>
      <c r="T29" s="184" t="str">
        <f>IFERROR(IF(VLOOKUP(Mon_W2[[#This Row],[Employee Name]],'Base Schedules'!$A$113:$AW$158,19,FALSE)="","",VLOOKUP(Mon_W2[[#This Row],[Employee Name]],'Base Schedules'!$A$113:$AW$158,19,FALSE)),"")</f>
        <v>-</v>
      </c>
      <c r="U29" s="184" t="str">
        <f>IFERROR(IF(VLOOKUP(Mon_W2[[#This Row],[Employee Name]],'Base Schedules'!$A$113:$AW$158,20,FALSE)="","",VLOOKUP(Mon_W2[[#This Row],[Employee Name]],'Base Schedules'!$A$113:$AW$158,20,FALSE)),"")</f>
        <v>-</v>
      </c>
      <c r="V29" s="184" t="str">
        <f>IFERROR(IF(VLOOKUP(Mon_W2[[#This Row],[Employee Name]],'Base Schedules'!$A$113:$AW$158,21,FALSE)="","",VLOOKUP(Mon_W2[[#This Row],[Employee Name]],'Base Schedules'!$A$113:$AW$158,21,FALSE)),"")</f>
        <v>-</v>
      </c>
      <c r="W29" s="184" t="str">
        <f>IFERROR(IF(VLOOKUP(Mon_W2[[#This Row],[Employee Name]],'Base Schedules'!$A$113:$AW$158,22,FALSE)="","",VLOOKUP(Mon_W2[[#This Row],[Employee Name]],'Base Schedules'!$A$113:$AW$158,22,FALSE)),"")</f>
        <v>-</v>
      </c>
      <c r="X29" s="184" t="str">
        <f>IFERROR(IF(VLOOKUP(Mon_W2[[#This Row],[Employee Name]],'Base Schedules'!$A$113:$AW$158,23,FALSE)="","",VLOOKUP(Mon_W2[[#This Row],[Employee Name]],'Base Schedules'!$A$113:$AW$158,23,FALSE)),"")</f>
        <v>-</v>
      </c>
      <c r="Y29" s="184" t="str">
        <f>IFERROR(IF(VLOOKUP(Mon_W2[[#This Row],[Employee Name]],'Base Schedules'!$A$113:$AW$158,24,FALSE)="","",VLOOKUP(Mon_W2[[#This Row],[Employee Name]],'Base Schedules'!$A$113:$AW$158,24,FALSE)),"")</f>
        <v>-</v>
      </c>
      <c r="Z29" s="184" t="str">
        <f>IFERROR(IF(VLOOKUP(Mon_W2[[#This Row],[Employee Name]],'Base Schedules'!$A$113:$AW$158,25,FALSE)="","",VLOOKUP(Mon_W2[[#This Row],[Employee Name]],'Base Schedules'!$A$113:$AW$158,25,FALSE)),"")</f>
        <v>Team Matt TM</v>
      </c>
      <c r="AA29" s="184" t="str">
        <f>IFERROR(IF(VLOOKUP(Mon_W2[[#This Row],[Employee Name]],'Base Schedules'!$A$113:$AW$158,26,FALSE)="","",VLOOKUP(Mon_W2[[#This Row],[Employee Name]],'Base Schedules'!$A$113:$AW$158,26,FALSE)),"")</f>
        <v>Team Matt TM</v>
      </c>
      <c r="AB29" s="184" t="str">
        <f>IFERROR(IF(VLOOKUP(Mon_W2[[#This Row],[Employee Name]],'Base Schedules'!$A$113:$AW$158,27,FALSE)="","",VLOOKUP(Mon_W2[[#This Row],[Employee Name]],'Base Schedules'!$A$113:$AW$158,27,FALSE)),"")</f>
        <v>-</v>
      </c>
      <c r="AC29" s="184" t="str">
        <f>IFERROR(IF(VLOOKUP(Mon_W2[[#This Row],[Employee Name]],'Base Schedules'!$A$113:$AW$158,28,FALSE)="","",VLOOKUP(Mon_W2[[#This Row],[Employee Name]],'Base Schedules'!$A$113:$AW$158,28,FALSE)),"")</f>
        <v>-</v>
      </c>
      <c r="AD29" s="184" t="str">
        <f>IFERROR(IF(VLOOKUP(Mon_W2[[#This Row],[Employee Name]],'Base Schedules'!$A$113:$AW$158,29,FALSE)="","",VLOOKUP(Mon_W2[[#This Row],[Employee Name]],'Base Schedules'!$A$113:$AW$158,29,FALSE)),"")</f>
        <v>-</v>
      </c>
      <c r="AE29" s="184" t="str">
        <f>IFERROR(IF(VLOOKUP(Mon_W2[[#This Row],[Employee Name]],'Base Schedules'!$A$113:$AW$158,30,FALSE)="","",VLOOKUP(Mon_W2[[#This Row],[Employee Name]],'Base Schedules'!$A$113:$AW$158,30,FALSE)),"")</f>
        <v>-</v>
      </c>
      <c r="AF29" s="184" t="str">
        <f>IFERROR(IF(VLOOKUP(Mon_W2[[#This Row],[Employee Name]],'Base Schedules'!$A$113:$AW$158,31,FALSE)="","",VLOOKUP(Mon_W2[[#This Row],[Employee Name]],'Base Schedules'!$A$113:$AW$158,31,FALSE)),"")</f>
        <v>Interview</v>
      </c>
      <c r="AG29" s="184" t="str">
        <f>IFERROR(IF(VLOOKUP(Mon_W2[[#This Row],[Employee Name]],'Base Schedules'!$A$113:$AW$158,32,FALSE)="","",VLOOKUP(Mon_W2[[#This Row],[Employee Name]],'Base Schedules'!$A$113:$AW$158,32,FALSE)),"")</f>
        <v>Interview</v>
      </c>
      <c r="AH29" s="184" t="str">
        <f>IFERROR(IF(VLOOKUP(Mon_W2[[#This Row],[Employee Name]],'Base Schedules'!$A$113:$AW$158,33,FALSE)="","",VLOOKUP(Mon_W2[[#This Row],[Employee Name]],'Base Schedules'!$A$113:$AW$158,33,FALSE)),"")</f>
        <v>-</v>
      </c>
      <c r="AI29" s="184" t="str">
        <f>IFERROR(IF(VLOOKUP(Mon_W2[[#This Row],[Employee Name]],'Base Schedules'!$A$113:$AW$158,34,FALSE)="","",VLOOKUP(Mon_W2[[#This Row],[Employee Name]],'Base Schedules'!$A$113:$AW$158,34,FALSE)),"")</f>
        <v>-</v>
      </c>
      <c r="AJ29" s="184" t="str">
        <f>IFERROR(IF(VLOOKUP(Mon_W2[[#This Row],[Employee Name]],'Base Schedules'!$A$113:$AW$158,35,FALSE)="","",VLOOKUP(Mon_W2[[#This Row],[Employee Name]],'Base Schedules'!$A$113:$AW$158,35,FALSE)),"")</f>
        <v>-</v>
      </c>
      <c r="AK29" s="184" t="str">
        <f>IFERROR(IF(VLOOKUP(Mon_W2[[#This Row],[Employee Name]],'Base Schedules'!$A$113:$AW$158,36,FALSE)="","",VLOOKUP(Mon_W2[[#This Row],[Employee Name]],'Base Schedules'!$A$113:$AW$158,36,FALSE)),"")</f>
        <v/>
      </c>
      <c r="AL29" s="184" t="str">
        <f>IFERROR(IF(VLOOKUP(Mon_W2[[#This Row],[Employee Name]],'Base Schedules'!$A$113:$AW$158,37,FALSE)="","",VLOOKUP(Mon_W2[[#This Row],[Employee Name]],'Base Schedules'!$A$113:$AW$158,37,FALSE)),"")</f>
        <v/>
      </c>
      <c r="AM29" s="184" t="str">
        <f>IFERROR(IF(VLOOKUP(Mon_W2[[#This Row],[Employee Name]],'Base Schedules'!$A$113:$AW$158,38,FALSE)="","",VLOOKUP(Mon_W2[[#This Row],[Employee Name]],'Base Schedules'!$A$113:$AW$158,38,FALSE)),"")</f>
        <v/>
      </c>
      <c r="AN29" s="184" t="str">
        <f>IFERROR(IF(VLOOKUP(Mon_W2[[#This Row],[Employee Name]],'Base Schedules'!$A$113:$AW$158,39,FALSE)="","",VLOOKUP(Mon_W2[[#This Row],[Employee Name]],'Base Schedules'!$A$113:$AW$158,39,FALSE)),"")</f>
        <v/>
      </c>
      <c r="AO29" s="184" t="str">
        <f>IFERROR(IF(VLOOKUP(Mon_W2[[#This Row],[Employee Name]],'Base Schedules'!$A$113:$AW$158,40,FALSE)="","",VLOOKUP(Mon_W2[[#This Row],[Employee Name]],'Base Schedules'!$A$113:$AW$158,40,FALSE)),"")</f>
        <v/>
      </c>
      <c r="AP29" s="184" t="str">
        <f>IFERROR(IF(VLOOKUP(Mon_W2[[#This Row],[Employee Name]],'Base Schedules'!$A$113:$AW$158,41,FALSE)="","",VLOOKUP(Mon_W2[[#This Row],[Employee Name]],'Base Schedules'!$A$113:$AW$158,41,FALSE)),"")</f>
        <v/>
      </c>
      <c r="AQ29" s="184" t="str">
        <f>IFERROR(IF(VLOOKUP(Mon_W2[[#This Row],[Employee Name]],'Base Schedules'!$A$113:$AW$158,42,FALSE)="","",VLOOKUP(Mon_W2[[#This Row],[Employee Name]],'Base Schedules'!$A$113:$AW$158,42,FALSE)),"")</f>
        <v/>
      </c>
      <c r="AR29" s="184" t="str">
        <f>IFERROR(IF(VLOOKUP(Mon_W2[[#This Row],[Employee Name]],'Base Schedules'!$A$113:$AW$158,43,FALSE)="","",VLOOKUP(Mon_W2[[#This Row],[Employee Name]],'Base Schedules'!$A$113:$AW$158,43,FALSE)),"")</f>
        <v/>
      </c>
      <c r="AS29" s="184" t="str">
        <f>IFERROR(IF(VLOOKUP(Mon_W2[[#This Row],[Employee Name]],'Base Schedules'!$A$113:$AW$158,44,FALSE)="","",VLOOKUP(Mon_W2[[#This Row],[Employee Name]],'Base Schedules'!$A$113:$AW$158,44,FALSE)),"")</f>
        <v/>
      </c>
      <c r="AT29" s="184" t="str">
        <f>IFERROR(IF(VLOOKUP(Mon_W2[[#This Row],[Employee Name]],'Base Schedules'!$A$113:$AW$158,45,FALSE)="","",VLOOKUP(Mon_W2[[#This Row],[Employee Name]],'Base Schedules'!$A$113:$AW$158,45,FALSE)),"")</f>
        <v/>
      </c>
      <c r="AU29" s="184" t="str">
        <f>IFERROR(IF(VLOOKUP(Mon_W2[[#This Row],[Employee Name]],'Base Schedules'!$A$113:$AW$158,46,FALSE)="","",VLOOKUP(Mon_W2[[#This Row],[Employee Name]],'Base Schedules'!$A$113:$AW$158,46,FALSE)),"")</f>
        <v/>
      </c>
      <c r="AV29" s="184" t="str">
        <f>IFERROR(IF(VLOOKUP(Mon_W2[[#This Row],[Employee Name]],'Base Schedules'!$A$113:$AW$158,47,FALSE)="","",VLOOKUP(Mon_W2[[#This Row],[Employee Name]],'Base Schedules'!$A$113:$AW$158,47,FALSE)),"")</f>
        <v/>
      </c>
      <c r="AW29" s="184" t="str">
        <f>IFERROR(IF(VLOOKUP(Mon_W2[[#This Row],[Employee Name]],'Base Schedules'!$A$113:$AW$158,48,FALSE)="","",VLOOKUP(Mon_W2[[#This Row],[Employee Name]],'Base Schedules'!$A$113:$AW$158,48,FALSE)),"")</f>
        <v/>
      </c>
      <c r="AX29" s="184" t="str">
        <f>IFERROR(IF(VLOOKUP(Mon_W2[[#This Row],[Employee Name]],'Base Schedules'!$A$113:$AW$158,49,FALSE)="","",VLOOKUP(Mon_W2[[#This Row],[Employee Name]],'Base Schedules'!$A$113:$AW$158,49,FALSE)),"")</f>
        <v/>
      </c>
      <c r="AY29" s="159" t="str">
        <f t="shared" si="2"/>
        <v>McLean, Michael</v>
      </c>
    </row>
    <row r="30" spans="1:51" s="44" customFormat="1" ht="12" customHeight="1" x14ac:dyDescent="0.2">
      <c r="A30" s="39" t="str">
        <f>IF(B30="","",INDEX(TeamList[],MATCH($B30,TeamList[[Employee Name]:[Employee Name]],0),MATCH("Manager",TeamList[#Headers],0)))</f>
        <v>Olson, Katherine</v>
      </c>
      <c r="B30" s="201" t="s">
        <v>67</v>
      </c>
      <c r="C30" s="257" t="str">
        <f>_xlfn.IFNA(VLOOKUP(Mon_W2[[#This Row],[Employee Name]],'Base Schedules'!A:B,2,FALSE),"")</f>
        <v>Lead</v>
      </c>
      <c r="D30" s="274">
        <f>_xlfn.IFNA(VLOOKUP(Mon_W2[[#This Row],[Employee Name]],'Base Schedules'!A:C,3,FALSE),"")</f>
        <v>1030</v>
      </c>
      <c r="E30" s="274">
        <f>_xlfn.IFNA(VLOOKUP(Mon_W2[[#This Row],[Employee Name]],'Base Schedules'!A:D,4,FALSE),"")</f>
        <v>1900</v>
      </c>
      <c r="F30" s="142">
        <f>IF(Mon_W2[[#This Row],[Employee Name]]="","",IF(Mon_W2[[#This Row],[Dept]]="Supervisor",COUNTIFS($J30:$AX30,"*HL*",$J30:$AX30,"&lt;&gt;"&amp;"pHL"),COUNTIFS($J30:$AX30,"*HL*",$J30:$AX30,"&lt;&gt;"&amp;"*pHL*",$J30:$AX30,"&lt;&gt;"&amp;"pB1 HL",$J30:$AX30,"&lt;&gt;"&amp;"pB2 HL")-SUM(COUNTIFS($J30:$AX30,"*HL B1*",$J30:$AX30,"&lt;&gt;"&amp;"pHL B1")*0.5,COUNTIFS($J30:$AX30,"*HL B2*",$J30:$AX30,"&lt;&gt;"&amp;"pHL B2")*0.5,COUNTIFS($J30:$AX30,"*B1 HL*",$J30:$AX30,"&lt;&gt;"&amp;"pB1 HL")*0.5,COUNTIFS($J30:$AX30,"*B2 HL*",$J30:$AX30,"&lt;&gt;"&amp;"pB2 HL")*0.5)))</f>
        <v>6.5</v>
      </c>
      <c r="G30" s="142">
        <f t="shared" si="0"/>
        <v>0</v>
      </c>
      <c r="H30" s="142">
        <f t="shared" si="1"/>
        <v>5</v>
      </c>
      <c r="I30" s="142">
        <f>IF(Mon_W2[[#This Row],[Employee Name]]="","",IF(Mon_W2[[#This Row],[Dept]]="Supervisor",SUM(COUNTIFS($J30:$AX30,"RTA*",$J30:$AX30,"&lt;&gt;"&amp;"pRTA"),COUNTIFS($J30:$AX30,"*CRTA*",$J30:$AX30,"&lt;&gt;"&amp;"pCRTA")),COUNTIFS($J30:$AX30,"*RNNR*",$J30:$AX30,"&lt;&gt;"&amp;"*pRNNR*",$J30:$AX30,"&lt;&gt;"&amp;"pB1 RNNR",$J30:$AX30,"&lt;&gt;"&amp;"pB2 RNNR")-SUM(COUNTIFS($J30:$AX30,"*RNNR B1*",$J30:$AX30,"&lt;&gt;"&amp;"pRNNR B1")*0.5,COUNTIFS($J30:$AX30,"*RNNR B2*",$J30:$AX30,"&lt;&gt;"&amp;"pRNNR B2")*0.5,COUNTIFS($J30:$AX30,"*B1 RNNR*",$J30:$AX30,"&lt;&gt;"&amp;"pB1 RNNR")*0.5,COUNTIFS($J30:$AX30,"*B2 RNNR*",$J30:$AX30,"&lt;&gt;"&amp;"pB2 RNNR")*0.5)))</f>
        <v>2</v>
      </c>
      <c r="J30" s="184" t="str">
        <f>IFERROR(IF(VLOOKUP(Mon_W2[[#This Row],[Employee Name]],'Base Schedules'!$A$113:$AW$158,9,FALSE)="","",VLOOKUP(Mon_W2[[#This Row],[Employee Name]],'Base Schedules'!$A$113:$AW$158,9,FALSE)),"")</f>
        <v/>
      </c>
      <c r="K30" s="184" t="str">
        <f>IFERROR(IF(VLOOKUP(Mon_W2[[#This Row],[Employee Name]],'Base Schedules'!$A$113:$AW$158,10,FALSE)="","",VLOOKUP(Mon_W2[[#This Row],[Employee Name]],'Base Schedules'!$A$113:$AW$158,10,FALSE)),"")</f>
        <v/>
      </c>
      <c r="L30" s="184" t="str">
        <f>IFERROR(IF(VLOOKUP(Mon_W2[[#This Row],[Employee Name]],'Base Schedules'!$A$113:$AW$158,11,FALSE)="","",VLOOKUP(Mon_W2[[#This Row],[Employee Name]],'Base Schedules'!$A$113:$AW$158,11,FALSE)),"")</f>
        <v/>
      </c>
      <c r="M30" s="184" t="str">
        <f>IFERROR(IF(VLOOKUP(Mon_W2[[#This Row],[Employee Name]],'Base Schedules'!$A$113:$AW$158,12,FALSE)="","",VLOOKUP(Mon_W2[[#This Row],[Employee Name]],'Base Schedules'!$A$113:$AW$158,12,FALSE)),"")</f>
        <v/>
      </c>
      <c r="N30" s="184" t="str">
        <f>IFERROR(IF(VLOOKUP(Mon_W2[[#This Row],[Employee Name]],'Base Schedules'!$A$113:$AW$158,13,FALSE)="","",VLOOKUP(Mon_W2[[#This Row],[Employee Name]],'Base Schedules'!$A$113:$AW$158,13,FALSE)),"")</f>
        <v/>
      </c>
      <c r="O30" s="184" t="str">
        <f>IFERROR(IF(VLOOKUP(Mon_W2[[#This Row],[Employee Name]],'Base Schedules'!$A$113:$AW$158,14,FALSE)="","",VLOOKUP(Mon_W2[[#This Row],[Employee Name]],'Base Schedules'!$A$113:$AW$158,14,FALSE)),"")</f>
        <v/>
      </c>
      <c r="P30" s="184" t="str">
        <f>IFERROR(IF(VLOOKUP(Mon_W2[[#This Row],[Employee Name]],'Base Schedules'!$A$113:$AW$158,15,FALSE)="","",VLOOKUP(Mon_W2[[#This Row],[Employee Name]],'Base Schedules'!$A$113:$AW$158,15,FALSE)),"")</f>
        <v/>
      </c>
      <c r="Q30" s="184" t="str">
        <f>IFERROR(IF(VLOOKUP(Mon_W2[[#This Row],[Employee Name]],'Base Schedules'!$A$113:$AW$158,16,FALSE)="","",VLOOKUP(Mon_W2[[#This Row],[Employee Name]],'Base Schedules'!$A$113:$AW$158,16,FALSE)),"")</f>
        <v/>
      </c>
      <c r="R30" s="184" t="str">
        <f>IFERROR(IF(VLOOKUP(Mon_W2[[#This Row],[Employee Name]],'Base Schedules'!$A$113:$AW$158,17,FALSE)="","",VLOOKUP(Mon_W2[[#This Row],[Employee Name]],'Base Schedules'!$A$113:$AW$158,17,FALSE)),"")</f>
        <v/>
      </c>
      <c r="S30" s="184" t="str">
        <f>IFERROR(IF(VLOOKUP(Mon_W2[[#This Row],[Employee Name]],'Base Schedules'!$A$113:$AW$158,18,FALSE)="","",VLOOKUP(Mon_W2[[#This Row],[Employee Name]],'Base Schedules'!$A$113:$AW$158,18,FALSE)),"")</f>
        <v/>
      </c>
      <c r="T30" s="184" t="str">
        <f>IFERROR(IF(VLOOKUP(Mon_W2[[#This Row],[Employee Name]],'Base Schedules'!$A$113:$AW$158,19,FALSE)="","",VLOOKUP(Mon_W2[[#This Row],[Employee Name]],'Base Schedules'!$A$113:$AW$158,19,FALSE)),"")</f>
        <v/>
      </c>
      <c r="U30" s="184" t="str">
        <f>IFERROR(IF(VLOOKUP(Mon_W2[[#This Row],[Employee Name]],'Base Schedules'!$A$113:$AW$158,20,FALSE)="","",VLOOKUP(Mon_W2[[#This Row],[Employee Name]],'Base Schedules'!$A$113:$AW$158,20,FALSE)),"")</f>
        <v>HL</v>
      </c>
      <c r="V30" s="184" t="str">
        <f>IFERROR(IF(VLOOKUP(Mon_W2[[#This Row],[Employee Name]],'Base Schedules'!$A$113:$AW$158,21,FALSE)="","",VLOOKUP(Mon_W2[[#This Row],[Employee Name]],'Base Schedules'!$A$113:$AW$158,21,FALSE)),"")</f>
        <v>HL</v>
      </c>
      <c r="W30" s="184" t="str">
        <f>IFERROR(IF(VLOOKUP(Mon_W2[[#This Row],[Employee Name]],'Base Schedules'!$A$113:$AW$158,22,FALSE)="","",VLOOKUP(Mon_W2[[#This Row],[Employee Name]],'Base Schedules'!$A$113:$AW$158,22,FALSE)),"")</f>
        <v>HL</v>
      </c>
      <c r="X30" s="184" t="str">
        <f>IFERROR(IF(VLOOKUP(Mon_W2[[#This Row],[Employee Name]],'Base Schedules'!$A$113:$AW$158,23,FALSE)="","",VLOOKUP(Mon_W2[[#This Row],[Employee Name]],'Base Schedules'!$A$113:$AW$158,23,FALSE)),"")</f>
        <v>HL</v>
      </c>
      <c r="Y30" s="184" t="str">
        <f>IFERROR(IF(VLOOKUP(Mon_W2[[#This Row],[Employee Name]],'Base Schedules'!$A$113:$AW$158,24,FALSE)="","",VLOOKUP(Mon_W2[[#This Row],[Employee Name]],'Base Schedules'!$A$113:$AW$158,24,FALSE)),"")</f>
        <v>B1 HL</v>
      </c>
      <c r="Z30" s="184" t="str">
        <f>IFERROR(IF(VLOOKUP(Mon_W2[[#This Row],[Employee Name]],'Base Schedules'!$A$113:$AW$158,25,FALSE)="","",VLOOKUP(Mon_W2[[#This Row],[Employee Name]],'Base Schedules'!$A$113:$AW$158,25,FALSE)),"")</f>
        <v>PROJECT</v>
      </c>
      <c r="AA30" s="184" t="str">
        <f>IFERROR(IF(VLOOKUP(Mon_W2[[#This Row],[Employee Name]],'Base Schedules'!$A$113:$AW$158,26,FALSE)="","",VLOOKUP(Mon_W2[[#This Row],[Employee Name]],'Base Schedules'!$A$113:$AW$158,26,FALSE)),"")</f>
        <v>PROJECT</v>
      </c>
      <c r="AB30" s="184" t="str">
        <f>IFERROR(IF(VLOOKUP(Mon_W2[[#This Row],[Employee Name]],'Base Schedules'!$A$113:$AW$158,27,FALSE)="","",VLOOKUP(Mon_W2[[#This Row],[Employee Name]],'Base Schedules'!$A$113:$AW$158,27,FALSE)),"")</f>
        <v>HL</v>
      </c>
      <c r="AC30" s="184" t="str">
        <f>IFERROR(IF(VLOOKUP(Mon_W2[[#This Row],[Employee Name]],'Base Schedules'!$A$113:$AW$158,28,FALSE)="","",VLOOKUP(Mon_W2[[#This Row],[Employee Name]],'Base Schedules'!$A$113:$AW$158,28,FALSE)),"")</f>
        <v>LUNCH</v>
      </c>
      <c r="AD30" s="184" t="str">
        <f>IFERROR(IF(VLOOKUP(Mon_W2[[#This Row],[Employee Name]],'Base Schedules'!$A$113:$AW$158,29,FALSE)="","",VLOOKUP(Mon_W2[[#This Row],[Employee Name]],'Base Schedules'!$A$113:$AW$158,29,FALSE)),"")</f>
        <v>ADM</v>
      </c>
      <c r="AE30" s="184" t="str">
        <f>IFERROR(IF(VLOOKUP(Mon_W2[[#This Row],[Employee Name]],'Base Schedules'!$A$113:$AW$158,30,FALSE)="","",VLOOKUP(Mon_W2[[#This Row],[Employee Name]],'Base Schedules'!$A$113:$AW$158,30,FALSE)),"")</f>
        <v>ADM</v>
      </c>
      <c r="AF30" s="184" t="str">
        <f>IFERROR(IF(VLOOKUP(Mon_W2[[#This Row],[Employee Name]],'Base Schedules'!$A$113:$AW$158,31,FALSE)="","",VLOOKUP(Mon_W2[[#This Row],[Employee Name]],'Base Schedules'!$A$113:$AW$158,31,FALSE)),"")</f>
        <v>HL</v>
      </c>
      <c r="AG30" s="184" t="str">
        <f>IFERROR(IF(VLOOKUP(Mon_W2[[#This Row],[Employee Name]],'Base Schedules'!$A$113:$AW$158,32,FALSE)="","",VLOOKUP(Mon_W2[[#This Row],[Employee Name]],'Base Schedules'!$A$113:$AW$158,32,FALSE)),"")</f>
        <v>ADM B2</v>
      </c>
      <c r="AH30" s="184" t="str">
        <f>IFERROR(IF(VLOOKUP(Mon_W2[[#This Row],[Employee Name]],'Base Schedules'!$A$113:$AW$158,33,FALSE)="","",VLOOKUP(Mon_W2[[#This Row],[Employee Name]],'Base Schedules'!$A$113:$AW$158,33,FALSE)),"")</f>
        <v>ADM</v>
      </c>
      <c r="AI30" s="184" t="str">
        <f>IFERROR(IF(VLOOKUP(Mon_W2[[#This Row],[Employee Name]],'Base Schedules'!$A$113:$AW$158,34,FALSE)="","",VLOOKUP(Mon_W2[[#This Row],[Employee Name]],'Base Schedules'!$A$113:$AW$158,34,FALSE)),"")</f>
        <v>ADM</v>
      </c>
      <c r="AJ30" s="184" t="str">
        <f>IFERROR(IF(VLOOKUP(Mon_W2[[#This Row],[Employee Name]],'Base Schedules'!$A$113:$AW$158,35,FALSE)="","",VLOOKUP(Mon_W2[[#This Row],[Employee Name]],'Base Schedules'!$A$113:$AW$158,35,FALSE)),"")</f>
        <v>RNNR</v>
      </c>
      <c r="AK30" s="184" t="str">
        <f>IFERROR(IF(VLOOKUP(Mon_W2[[#This Row],[Employee Name]],'Base Schedules'!$A$113:$AW$158,36,FALSE)="","",VLOOKUP(Mon_W2[[#This Row],[Employee Name]],'Base Schedules'!$A$113:$AW$158,36,FALSE)),"")</f>
        <v>RNNR</v>
      </c>
      <c r="AL30" s="184" t="str">
        <f>IFERROR(IF(VLOOKUP(Mon_W2[[#This Row],[Employee Name]],'Base Schedules'!$A$113:$AW$158,37,FALSE)="","",VLOOKUP(Mon_W2[[#This Row],[Employee Name]],'Base Schedules'!$A$113:$AW$158,37,FALSE)),"")</f>
        <v/>
      </c>
      <c r="AM30" s="184" t="str">
        <f>IFERROR(IF(VLOOKUP(Mon_W2[[#This Row],[Employee Name]],'Base Schedules'!$A$113:$AW$158,38,FALSE)="","",VLOOKUP(Mon_W2[[#This Row],[Employee Name]],'Base Schedules'!$A$113:$AW$158,38,FALSE)),"")</f>
        <v/>
      </c>
      <c r="AN30" s="184" t="str">
        <f>IFERROR(IF(VLOOKUP(Mon_W2[[#This Row],[Employee Name]],'Base Schedules'!$A$113:$AW$158,39,FALSE)="","",VLOOKUP(Mon_W2[[#This Row],[Employee Name]],'Base Schedules'!$A$113:$AW$158,39,FALSE)),"")</f>
        <v/>
      </c>
      <c r="AO30" s="184" t="str">
        <f>IFERROR(IF(VLOOKUP(Mon_W2[[#This Row],[Employee Name]],'Base Schedules'!$A$113:$AW$158,40,FALSE)="","",VLOOKUP(Mon_W2[[#This Row],[Employee Name]],'Base Schedules'!$A$113:$AW$158,40,FALSE)),"")</f>
        <v/>
      </c>
      <c r="AP30" s="184" t="str">
        <f>IFERROR(IF(VLOOKUP(Mon_W2[[#This Row],[Employee Name]],'Base Schedules'!$A$113:$AW$158,41,FALSE)="","",VLOOKUP(Mon_W2[[#This Row],[Employee Name]],'Base Schedules'!$A$113:$AW$158,41,FALSE)),"")</f>
        <v/>
      </c>
      <c r="AQ30" s="184" t="str">
        <f>IFERROR(IF(VLOOKUP(Mon_W2[[#This Row],[Employee Name]],'Base Schedules'!$A$113:$AW$158,42,FALSE)="","",VLOOKUP(Mon_W2[[#This Row],[Employee Name]],'Base Schedules'!$A$113:$AW$158,42,FALSE)),"")</f>
        <v/>
      </c>
      <c r="AR30" s="184" t="str">
        <f>IFERROR(IF(VLOOKUP(Mon_W2[[#This Row],[Employee Name]],'Base Schedules'!$A$113:$AW$158,43,FALSE)="","",VLOOKUP(Mon_W2[[#This Row],[Employee Name]],'Base Schedules'!$A$113:$AW$158,43,FALSE)),"")</f>
        <v/>
      </c>
      <c r="AS30" s="184" t="str">
        <f>IFERROR(IF(VLOOKUP(Mon_W2[[#This Row],[Employee Name]],'Base Schedules'!$A$113:$AW$158,44,FALSE)="","",VLOOKUP(Mon_W2[[#This Row],[Employee Name]],'Base Schedules'!$A$113:$AW$158,44,FALSE)),"")</f>
        <v/>
      </c>
      <c r="AT30" s="184" t="str">
        <f>IFERROR(IF(VLOOKUP(Mon_W2[[#This Row],[Employee Name]],'Base Schedules'!$A$113:$AW$158,45,FALSE)="","",VLOOKUP(Mon_W2[[#This Row],[Employee Name]],'Base Schedules'!$A$113:$AW$158,45,FALSE)),"")</f>
        <v/>
      </c>
      <c r="AU30" s="184" t="str">
        <f>IFERROR(IF(VLOOKUP(Mon_W2[[#This Row],[Employee Name]],'Base Schedules'!$A$113:$AW$158,46,FALSE)="","",VLOOKUP(Mon_W2[[#This Row],[Employee Name]],'Base Schedules'!$A$113:$AW$158,46,FALSE)),"")</f>
        <v/>
      </c>
      <c r="AV30" s="184" t="str">
        <f>IFERROR(IF(VLOOKUP(Mon_W2[[#This Row],[Employee Name]],'Base Schedules'!$A$113:$AW$158,47,FALSE)="","",VLOOKUP(Mon_W2[[#This Row],[Employee Name]],'Base Schedules'!$A$113:$AW$158,47,FALSE)),"")</f>
        <v/>
      </c>
      <c r="AW30" s="184" t="str">
        <f>IFERROR(IF(VLOOKUP(Mon_W2[[#This Row],[Employee Name]],'Base Schedules'!$A$113:$AW$158,48,FALSE)="","",VLOOKUP(Mon_W2[[#This Row],[Employee Name]],'Base Schedules'!$A$113:$AW$158,48,FALSE)),"")</f>
        <v/>
      </c>
      <c r="AX30" s="184" t="str">
        <f>IFERROR(IF(VLOOKUP(Mon_W2[[#This Row],[Employee Name]],'Base Schedules'!$A$113:$AW$158,49,FALSE)="","",VLOOKUP(Mon_W2[[#This Row],[Employee Name]],'Base Schedules'!$A$113:$AW$158,49,FALSE)),"")</f>
        <v/>
      </c>
      <c r="AY30" s="159" t="str">
        <f t="shared" si="2"/>
        <v>Qualman, Sophy</v>
      </c>
    </row>
    <row r="31" spans="1:51" s="44" customFormat="1" ht="12" customHeight="1" x14ac:dyDescent="0.2">
      <c r="A31" s="39" t="str">
        <f>IF(B31="","",INDEX(TeamList[],MATCH($B31,TeamList[[Employee Name]:[Employee Name]],0),MATCH("Manager",TeamList[#Headers],0)))</f>
        <v>Olson, Katherine</v>
      </c>
      <c r="B31" s="201" t="s">
        <v>30</v>
      </c>
      <c r="C31" s="257" t="str">
        <f>_xlfn.IFNA(VLOOKUP(Mon_W2[[#This Row],[Employee Name]],'Base Schedules'!A:B,2,FALSE),"")</f>
        <v>Lead</v>
      </c>
      <c r="D31" s="274">
        <f>_xlfn.IFNA(VLOOKUP(Mon_W2[[#This Row],[Employee Name]],'Base Schedules'!A:C,3,FALSE),"")</f>
        <v>1100</v>
      </c>
      <c r="E31" s="274">
        <f>_xlfn.IFNA(VLOOKUP(Mon_W2[[#This Row],[Employee Name]],'Base Schedules'!A:D,4,FALSE),"")</f>
        <v>2000</v>
      </c>
      <c r="F31" s="142">
        <f>IF(Mon_W2[[#This Row],[Employee Name]]="","",IF(Mon_W2[[#This Row],[Dept]]="Supervisor",COUNTIFS($J31:$AX31,"*HL*",$J31:$AX31,"&lt;&gt;"&amp;"pHL"),COUNTIFS($J31:$AX31,"*HL*",$J31:$AX31,"&lt;&gt;"&amp;"*pHL*",$J31:$AX31,"&lt;&gt;"&amp;"pB1 HL",$J31:$AX31,"&lt;&gt;"&amp;"pB2 HL")-SUM(COUNTIFS($J31:$AX31,"*HL B1*",$J31:$AX31,"&lt;&gt;"&amp;"pHL B1")*0.5,COUNTIFS($J31:$AX31,"*HL B2*",$J31:$AX31,"&lt;&gt;"&amp;"pHL B2")*0.5,COUNTIFS($J31:$AX31,"*B1 HL*",$J31:$AX31,"&lt;&gt;"&amp;"pB1 HL")*0.5,COUNTIFS($J31:$AX31,"*B2 HL*",$J31:$AX31,"&lt;&gt;"&amp;"pB2 HL")*0.5)))</f>
        <v>6.5</v>
      </c>
      <c r="G31" s="142">
        <f t="shared" si="0"/>
        <v>0</v>
      </c>
      <c r="H31" s="142">
        <f t="shared" si="1"/>
        <v>7</v>
      </c>
      <c r="I31" s="142">
        <f>IF(Mon_W2[[#This Row],[Employee Name]]="","",IF(Mon_W2[[#This Row],[Dept]]="Supervisor",SUM(COUNTIFS($J31:$AX31,"RTA*",$J31:$AX31,"&lt;&gt;"&amp;"pRTA"),COUNTIFS($J31:$AX31,"*CRTA*",$J31:$AX31,"&lt;&gt;"&amp;"pCRTA")),COUNTIFS($J31:$AX31,"*RNNR*",$J31:$AX31,"&lt;&gt;"&amp;"*pRNNR*",$J31:$AX31,"&lt;&gt;"&amp;"pB1 RNNR",$J31:$AX31,"&lt;&gt;"&amp;"pB2 RNNR")-SUM(COUNTIFS($J31:$AX31,"*RNNR B1*",$J31:$AX31,"&lt;&gt;"&amp;"pRNNR B1")*0.5,COUNTIFS($J31:$AX31,"*RNNR B2*",$J31:$AX31,"&lt;&gt;"&amp;"pRNNR B2")*0.5,COUNTIFS($J31:$AX31,"*B1 RNNR*",$J31:$AX31,"&lt;&gt;"&amp;"pB1 RNNR")*0.5,COUNTIFS($J31:$AX31,"*B2 RNNR*",$J31:$AX31,"&lt;&gt;"&amp;"pB2 RNNR")*0.5)))</f>
        <v>2</v>
      </c>
      <c r="J31" s="184" t="str">
        <f>IFERROR(IF(VLOOKUP(Mon_W2[[#This Row],[Employee Name]],'Base Schedules'!$A$113:$AW$158,9,FALSE)="","",VLOOKUP(Mon_W2[[#This Row],[Employee Name]],'Base Schedules'!$A$113:$AW$158,9,FALSE)),"")</f>
        <v/>
      </c>
      <c r="K31" s="184" t="str">
        <f>IFERROR(IF(VLOOKUP(Mon_W2[[#This Row],[Employee Name]],'Base Schedules'!$A$113:$AW$158,10,FALSE)="","",VLOOKUP(Mon_W2[[#This Row],[Employee Name]],'Base Schedules'!$A$113:$AW$158,10,FALSE)),"")</f>
        <v/>
      </c>
      <c r="L31" s="184" t="str">
        <f>IFERROR(IF(VLOOKUP(Mon_W2[[#This Row],[Employee Name]],'Base Schedules'!$A$113:$AW$158,11,FALSE)="","",VLOOKUP(Mon_W2[[#This Row],[Employee Name]],'Base Schedules'!$A$113:$AW$158,11,FALSE)),"")</f>
        <v/>
      </c>
      <c r="M31" s="184" t="str">
        <f>IFERROR(IF(VLOOKUP(Mon_W2[[#This Row],[Employee Name]],'Base Schedules'!$A$113:$AW$158,12,FALSE)="","",VLOOKUP(Mon_W2[[#This Row],[Employee Name]],'Base Schedules'!$A$113:$AW$158,12,FALSE)),"")</f>
        <v/>
      </c>
      <c r="N31" s="184" t="str">
        <f>IFERROR(IF(VLOOKUP(Mon_W2[[#This Row],[Employee Name]],'Base Schedules'!$A$113:$AW$158,13,FALSE)="","",VLOOKUP(Mon_W2[[#This Row],[Employee Name]],'Base Schedules'!$A$113:$AW$158,13,FALSE)),"")</f>
        <v/>
      </c>
      <c r="O31" s="184" t="str">
        <f>IFERROR(IF(VLOOKUP(Mon_W2[[#This Row],[Employee Name]],'Base Schedules'!$A$113:$AW$158,14,FALSE)="","",VLOOKUP(Mon_W2[[#This Row],[Employee Name]],'Base Schedules'!$A$113:$AW$158,14,FALSE)),"")</f>
        <v/>
      </c>
      <c r="P31" s="184" t="str">
        <f>IFERROR(IF(VLOOKUP(Mon_W2[[#This Row],[Employee Name]],'Base Schedules'!$A$113:$AW$158,15,FALSE)="","",VLOOKUP(Mon_W2[[#This Row],[Employee Name]],'Base Schedules'!$A$113:$AW$158,15,FALSE)),"")</f>
        <v/>
      </c>
      <c r="Q31" s="184" t="str">
        <f>IFERROR(IF(VLOOKUP(Mon_W2[[#This Row],[Employee Name]],'Base Schedules'!$A$113:$AW$158,16,FALSE)="","",VLOOKUP(Mon_W2[[#This Row],[Employee Name]],'Base Schedules'!$A$113:$AW$158,16,FALSE)),"")</f>
        <v/>
      </c>
      <c r="R31" s="184" t="str">
        <f>IFERROR(IF(VLOOKUP(Mon_W2[[#This Row],[Employee Name]],'Base Schedules'!$A$113:$AW$158,17,FALSE)="","",VLOOKUP(Mon_W2[[#This Row],[Employee Name]],'Base Schedules'!$A$113:$AW$158,17,FALSE)),"")</f>
        <v/>
      </c>
      <c r="S31" s="184" t="str">
        <f>IFERROR(IF(VLOOKUP(Mon_W2[[#This Row],[Employee Name]],'Base Schedules'!$A$113:$AW$158,18,FALSE)="","",VLOOKUP(Mon_W2[[#This Row],[Employee Name]],'Base Schedules'!$A$113:$AW$158,18,FALSE)),"")</f>
        <v/>
      </c>
      <c r="T31" s="184" t="str">
        <f>IFERROR(IF(VLOOKUP(Mon_W2[[#This Row],[Employee Name]],'Base Schedules'!$A$113:$AW$158,19,FALSE)="","",VLOOKUP(Mon_W2[[#This Row],[Employee Name]],'Base Schedules'!$A$113:$AW$158,19,FALSE)),"")</f>
        <v/>
      </c>
      <c r="U31" s="184" t="str">
        <f>IFERROR(IF(VLOOKUP(Mon_W2[[#This Row],[Employee Name]],'Base Schedules'!$A$113:$AW$158,20,FALSE)="","",VLOOKUP(Mon_W2[[#This Row],[Employee Name]],'Base Schedules'!$A$113:$AW$158,20,FALSE)),"")</f>
        <v/>
      </c>
      <c r="V31" s="184" t="str">
        <f>IFERROR(IF(VLOOKUP(Mon_W2[[#This Row],[Employee Name]],'Base Schedules'!$A$113:$AW$158,21,FALSE)="","",VLOOKUP(Mon_W2[[#This Row],[Employee Name]],'Base Schedules'!$A$113:$AW$158,21,FALSE)),"")</f>
        <v>HL</v>
      </c>
      <c r="W31" s="184" t="str">
        <f>IFERROR(IF(VLOOKUP(Mon_W2[[#This Row],[Employee Name]],'Base Schedules'!$A$113:$AW$158,22,FALSE)="","",VLOOKUP(Mon_W2[[#This Row],[Employee Name]],'Base Schedules'!$A$113:$AW$158,22,FALSE)),"")</f>
        <v>HL</v>
      </c>
      <c r="X31" s="184" t="str">
        <f>IFERROR(IF(VLOOKUP(Mon_W2[[#This Row],[Employee Name]],'Base Schedules'!$A$113:$AW$158,23,FALSE)="","",VLOOKUP(Mon_W2[[#This Row],[Employee Name]],'Base Schedules'!$A$113:$AW$158,23,FALSE)),"")</f>
        <v>ADM</v>
      </c>
      <c r="Y31" s="184" t="str">
        <f>IFERROR(IF(VLOOKUP(Mon_W2[[#This Row],[Employee Name]],'Base Schedules'!$A$113:$AW$158,24,FALSE)="","",VLOOKUP(Mon_W2[[#This Row],[Employee Name]],'Base Schedules'!$A$113:$AW$158,24,FALSE)),"")</f>
        <v>ADM</v>
      </c>
      <c r="Z31" s="184" t="str">
        <f>IFERROR(IF(VLOOKUP(Mon_W2[[#This Row],[Employee Name]],'Base Schedules'!$A$113:$AW$158,25,FALSE)="","",VLOOKUP(Mon_W2[[#This Row],[Employee Name]],'Base Schedules'!$A$113:$AW$158,25,FALSE)),"")</f>
        <v>ADM B1</v>
      </c>
      <c r="AA31" s="184" t="str">
        <f>IFERROR(IF(VLOOKUP(Mon_W2[[#This Row],[Employee Name]],'Base Schedules'!$A$113:$AW$158,26,FALSE)="","",VLOOKUP(Mon_W2[[#This Row],[Employee Name]],'Base Schedules'!$A$113:$AW$158,26,FALSE)),"")</f>
        <v>HL</v>
      </c>
      <c r="AB31" s="184" t="str">
        <f>IFERROR(IF(VLOOKUP(Mon_W2[[#This Row],[Employee Name]],'Base Schedules'!$A$113:$AW$158,27,FALSE)="","",VLOOKUP(Mon_W2[[#This Row],[Employee Name]],'Base Schedules'!$A$113:$AW$158,27,FALSE)),"")</f>
        <v>RNNR</v>
      </c>
      <c r="AC31" s="184" t="str">
        <f>IFERROR(IF(VLOOKUP(Mon_W2[[#This Row],[Employee Name]],'Base Schedules'!$A$113:$AW$158,28,FALSE)="","",VLOOKUP(Mon_W2[[#This Row],[Employee Name]],'Base Schedules'!$A$113:$AW$158,28,FALSE)),"")</f>
        <v>RNNR</v>
      </c>
      <c r="AD31" s="184" t="str">
        <f>IFERROR(IF(VLOOKUP(Mon_W2[[#This Row],[Employee Name]],'Base Schedules'!$A$113:$AW$158,29,FALSE)="","",VLOOKUP(Mon_W2[[#This Row],[Employee Name]],'Base Schedules'!$A$113:$AW$158,29,FALSE)),"")</f>
        <v>ADM</v>
      </c>
      <c r="AE31" s="184" t="str">
        <f>IFERROR(IF(VLOOKUP(Mon_W2[[#This Row],[Employee Name]],'Base Schedules'!$A$113:$AW$158,30,FALSE)="","",VLOOKUP(Mon_W2[[#This Row],[Employee Name]],'Base Schedules'!$A$113:$AW$158,30,FALSE)),"")</f>
        <v>LUNCH</v>
      </c>
      <c r="AF31" s="184" t="str">
        <f>IFERROR(IF(VLOOKUP(Mon_W2[[#This Row],[Employee Name]],'Base Schedules'!$A$113:$AW$158,31,FALSE)="","",VLOOKUP(Mon_W2[[#This Row],[Employee Name]],'Base Schedules'!$A$113:$AW$158,31,FALSE)),"")</f>
        <v>ADM</v>
      </c>
      <c r="AG31" s="184" t="str">
        <f>IFERROR(IF(VLOOKUP(Mon_W2[[#This Row],[Employee Name]],'Base Schedules'!$A$113:$AW$158,32,FALSE)="","",VLOOKUP(Mon_W2[[#This Row],[Employee Name]],'Base Schedules'!$A$113:$AW$158,32,FALSE)),"")</f>
        <v>ADM</v>
      </c>
      <c r="AH31" s="184" t="str">
        <f>IFERROR(IF(VLOOKUP(Mon_W2[[#This Row],[Employee Name]],'Base Schedules'!$A$113:$AW$158,33,FALSE)="","",VLOOKUP(Mon_W2[[#This Row],[Employee Name]],'Base Schedules'!$A$113:$AW$158,33,FALSE)),"")</f>
        <v>ADM</v>
      </c>
      <c r="AI31" s="184" t="str">
        <f>IFERROR(IF(VLOOKUP(Mon_W2[[#This Row],[Employee Name]],'Base Schedules'!$A$113:$AW$158,34,FALSE)="","",VLOOKUP(Mon_W2[[#This Row],[Employee Name]],'Base Schedules'!$A$113:$AW$158,34,FALSE)),"")</f>
        <v>B2 HL</v>
      </c>
      <c r="AJ31" s="184" t="str">
        <f>IFERROR(IF(VLOOKUP(Mon_W2[[#This Row],[Employee Name]],'Base Schedules'!$A$113:$AW$158,35,FALSE)="","",VLOOKUP(Mon_W2[[#This Row],[Employee Name]],'Base Schedules'!$A$113:$AW$158,35,FALSE)),"")</f>
        <v>HL</v>
      </c>
      <c r="AK31" s="184" t="str">
        <f>IFERROR(IF(VLOOKUP(Mon_W2[[#This Row],[Employee Name]],'Base Schedules'!$A$113:$AW$158,36,FALSE)="","",VLOOKUP(Mon_W2[[#This Row],[Employee Name]],'Base Schedules'!$A$113:$AW$158,36,FALSE)),"")</f>
        <v>HL</v>
      </c>
      <c r="AL31" s="184" t="str">
        <f>IFERROR(IF(VLOOKUP(Mon_W2[[#This Row],[Employee Name]],'Base Schedules'!$A$113:$AW$158,37,FALSE)="","",VLOOKUP(Mon_W2[[#This Row],[Employee Name]],'Base Schedules'!$A$113:$AW$158,37,FALSE)),"")</f>
        <v>HL</v>
      </c>
      <c r="AM31" s="184" t="str">
        <f>IFERROR(IF(VLOOKUP(Mon_W2[[#This Row],[Employee Name]],'Base Schedules'!$A$113:$AW$158,38,FALSE)="","",VLOOKUP(Mon_W2[[#This Row],[Employee Name]],'Base Schedules'!$A$113:$AW$158,38,FALSE)),"")</f>
        <v/>
      </c>
      <c r="AN31" s="184" t="str">
        <f>IFERROR(IF(VLOOKUP(Mon_W2[[#This Row],[Employee Name]],'Base Schedules'!$A$113:$AW$158,39,FALSE)="","",VLOOKUP(Mon_W2[[#This Row],[Employee Name]],'Base Schedules'!$A$113:$AW$158,39,FALSE)),"")</f>
        <v/>
      </c>
      <c r="AO31" s="184" t="str">
        <f>IFERROR(IF(VLOOKUP(Mon_W2[[#This Row],[Employee Name]],'Base Schedules'!$A$113:$AW$158,40,FALSE)="","",VLOOKUP(Mon_W2[[#This Row],[Employee Name]],'Base Schedules'!$A$113:$AW$158,40,FALSE)),"")</f>
        <v/>
      </c>
      <c r="AP31" s="184" t="str">
        <f>IFERROR(IF(VLOOKUP(Mon_W2[[#This Row],[Employee Name]],'Base Schedules'!$A$113:$AW$158,41,FALSE)="","",VLOOKUP(Mon_W2[[#This Row],[Employee Name]],'Base Schedules'!$A$113:$AW$158,41,FALSE)),"")</f>
        <v/>
      </c>
      <c r="AQ31" s="184" t="str">
        <f>IFERROR(IF(VLOOKUP(Mon_W2[[#This Row],[Employee Name]],'Base Schedules'!$A$113:$AW$158,42,FALSE)="","",VLOOKUP(Mon_W2[[#This Row],[Employee Name]],'Base Schedules'!$A$113:$AW$158,42,FALSE)),"")</f>
        <v/>
      </c>
      <c r="AR31" s="184" t="str">
        <f>IFERROR(IF(VLOOKUP(Mon_W2[[#This Row],[Employee Name]],'Base Schedules'!$A$113:$AW$158,43,FALSE)="","",VLOOKUP(Mon_W2[[#This Row],[Employee Name]],'Base Schedules'!$A$113:$AW$158,43,FALSE)),"")</f>
        <v/>
      </c>
      <c r="AS31" s="184" t="str">
        <f>IFERROR(IF(VLOOKUP(Mon_W2[[#This Row],[Employee Name]],'Base Schedules'!$A$113:$AW$158,44,FALSE)="","",VLOOKUP(Mon_W2[[#This Row],[Employee Name]],'Base Schedules'!$A$113:$AW$158,44,FALSE)),"")</f>
        <v/>
      </c>
      <c r="AT31" s="184" t="str">
        <f>IFERROR(IF(VLOOKUP(Mon_W2[[#This Row],[Employee Name]],'Base Schedules'!$A$113:$AW$158,45,FALSE)="","",VLOOKUP(Mon_W2[[#This Row],[Employee Name]],'Base Schedules'!$A$113:$AW$158,45,FALSE)),"")</f>
        <v/>
      </c>
      <c r="AU31" s="184" t="str">
        <f>IFERROR(IF(VLOOKUP(Mon_W2[[#This Row],[Employee Name]],'Base Schedules'!$A$113:$AW$158,46,FALSE)="","",VLOOKUP(Mon_W2[[#This Row],[Employee Name]],'Base Schedules'!$A$113:$AW$158,46,FALSE)),"")</f>
        <v/>
      </c>
      <c r="AV31" s="184" t="str">
        <f>IFERROR(IF(VLOOKUP(Mon_W2[[#This Row],[Employee Name]],'Base Schedules'!$A$113:$AW$158,47,FALSE)="","",VLOOKUP(Mon_W2[[#This Row],[Employee Name]],'Base Schedules'!$A$113:$AW$158,47,FALSE)),"")</f>
        <v/>
      </c>
      <c r="AW31" s="184" t="str">
        <f>IFERROR(IF(VLOOKUP(Mon_W2[[#This Row],[Employee Name]],'Base Schedules'!$A$113:$AW$158,48,FALSE)="","",VLOOKUP(Mon_W2[[#This Row],[Employee Name]],'Base Schedules'!$A$113:$AW$158,48,FALSE)),"")</f>
        <v/>
      </c>
      <c r="AX31" s="184" t="str">
        <f>IFERROR(IF(VLOOKUP(Mon_W2[[#This Row],[Employee Name]],'Base Schedules'!$A$113:$AW$158,49,FALSE)="","",VLOOKUP(Mon_W2[[#This Row],[Employee Name]],'Base Schedules'!$A$113:$AW$158,49,FALSE)),"")</f>
        <v/>
      </c>
      <c r="AY31" s="162" t="str">
        <f t="shared" si="2"/>
        <v>Koistinen, Shaun</v>
      </c>
    </row>
    <row r="32" spans="1:51" s="44" customFormat="1" ht="12" customHeight="1" x14ac:dyDescent="0.2">
      <c r="A32" s="39" t="str">
        <f>IF(B32="","",INDEX(TeamList[],MATCH($B32,TeamList[[Employee Name]:[Employee Name]],0),MATCH("Manager",TeamList[#Headers],0)))</f>
        <v>Olson, Katherine</v>
      </c>
      <c r="B32" s="201" t="s">
        <v>236</v>
      </c>
      <c r="C32" s="257" t="str">
        <f>_xlfn.IFNA(VLOOKUP(Mon_W2[[#This Row],[Employee Name]],'Base Schedules'!A:B,2,FALSE),"")</f>
        <v>Lead</v>
      </c>
      <c r="D32" s="274">
        <f>_xlfn.IFNA(VLOOKUP(Mon_W2[[#This Row],[Employee Name]],'Base Schedules'!A:C,3,FALSE),"")</f>
        <v>1130</v>
      </c>
      <c r="E32" s="274">
        <f>_xlfn.IFNA(VLOOKUP(Mon_W2[[#This Row],[Employee Name]],'Base Schedules'!A:D,4,FALSE),"")</f>
        <v>2000</v>
      </c>
      <c r="F32" s="142">
        <f>IF(Mon_W2[[#This Row],[Employee Name]]="","",IF(Mon_W2[[#This Row],[Dept]]="Supervisor",COUNTIFS($J32:$AX32,"*HL*",$J32:$AX32,"&lt;&gt;"&amp;"pHL"),COUNTIFS($J32:$AX32,"*HL*",$J32:$AX32,"&lt;&gt;"&amp;"*pHL*",$J32:$AX32,"&lt;&gt;"&amp;"pB1 HL",$J32:$AX32,"&lt;&gt;"&amp;"pB2 HL")-SUM(COUNTIFS($J32:$AX32,"*HL B1*",$J32:$AX32,"&lt;&gt;"&amp;"pHL B1")*0.5,COUNTIFS($J32:$AX32,"*HL B2*",$J32:$AX32,"&lt;&gt;"&amp;"pHL B2")*0.5,COUNTIFS($J32:$AX32,"*B1 HL*",$J32:$AX32,"&lt;&gt;"&amp;"pB1 HL")*0.5,COUNTIFS($J32:$AX32,"*B2 HL*",$J32:$AX32,"&lt;&gt;"&amp;"pB2 HL")*0.5)))</f>
        <v>6.5</v>
      </c>
      <c r="G32" s="142">
        <f t="shared" si="0"/>
        <v>0</v>
      </c>
      <c r="H32" s="142">
        <f t="shared" si="1"/>
        <v>7</v>
      </c>
      <c r="I32" s="142">
        <f>IF(Mon_W2[[#This Row],[Employee Name]]="","",IF(Mon_W2[[#This Row],[Dept]]="Supervisor",SUM(COUNTIFS($J32:$AX32,"RTA*",$J32:$AX32,"&lt;&gt;"&amp;"pRTA"),COUNTIFS($J32:$AX32,"*CRTA*",$J32:$AX32,"&lt;&gt;"&amp;"pCRTA")),COUNTIFS($J32:$AX32,"*RNNR*",$J32:$AX32,"&lt;&gt;"&amp;"*pRNNR*",$J32:$AX32,"&lt;&gt;"&amp;"pB1 RNNR",$J32:$AX32,"&lt;&gt;"&amp;"pB2 RNNR")-SUM(COUNTIFS($J32:$AX32,"*RNNR B1*",$J32:$AX32,"&lt;&gt;"&amp;"pRNNR B1")*0.5,COUNTIFS($J32:$AX32,"*RNNR B2*",$J32:$AX32,"&lt;&gt;"&amp;"pRNNR B2")*0.5,COUNTIFS($J32:$AX32,"*B1 RNNR*",$J32:$AX32,"&lt;&gt;"&amp;"pB1 RNNR")*0.5,COUNTIFS($J32:$AX32,"*B2 RNNR*",$J32:$AX32,"&lt;&gt;"&amp;"pB2 RNNR")*0.5)))</f>
        <v>2</v>
      </c>
      <c r="J32" s="184" t="str">
        <f>IFERROR(IF(VLOOKUP(Mon_W2[[#This Row],[Employee Name]],'Base Schedules'!$A$113:$AW$158,9,FALSE)="","",VLOOKUP(Mon_W2[[#This Row],[Employee Name]],'Base Schedules'!$A$113:$AW$158,9,FALSE)),"")</f>
        <v/>
      </c>
      <c r="K32" s="184" t="str">
        <f>IFERROR(IF(VLOOKUP(Mon_W2[[#This Row],[Employee Name]],'Base Schedules'!$A$113:$AW$158,10,FALSE)="","",VLOOKUP(Mon_W2[[#This Row],[Employee Name]],'Base Schedules'!$A$113:$AW$158,10,FALSE)),"")</f>
        <v/>
      </c>
      <c r="L32" s="184" t="str">
        <f>IFERROR(IF(VLOOKUP(Mon_W2[[#This Row],[Employee Name]],'Base Schedules'!$A$113:$AW$158,11,FALSE)="","",VLOOKUP(Mon_W2[[#This Row],[Employee Name]],'Base Schedules'!$A$113:$AW$158,11,FALSE)),"")</f>
        <v/>
      </c>
      <c r="M32" s="184" t="str">
        <f>IFERROR(IF(VLOOKUP(Mon_W2[[#This Row],[Employee Name]],'Base Schedules'!$A$113:$AW$158,12,FALSE)="","",VLOOKUP(Mon_W2[[#This Row],[Employee Name]],'Base Schedules'!$A$113:$AW$158,12,FALSE)),"")</f>
        <v/>
      </c>
      <c r="N32" s="184" t="str">
        <f>IFERROR(IF(VLOOKUP(Mon_W2[[#This Row],[Employee Name]],'Base Schedules'!$A$113:$AW$158,13,FALSE)="","",VLOOKUP(Mon_W2[[#This Row],[Employee Name]],'Base Schedules'!$A$113:$AW$158,13,FALSE)),"")</f>
        <v/>
      </c>
      <c r="O32" s="184" t="str">
        <f>IFERROR(IF(VLOOKUP(Mon_W2[[#This Row],[Employee Name]],'Base Schedules'!$A$113:$AW$158,14,FALSE)="","",VLOOKUP(Mon_W2[[#This Row],[Employee Name]],'Base Schedules'!$A$113:$AW$158,14,FALSE)),"")</f>
        <v/>
      </c>
      <c r="P32" s="184" t="str">
        <f>IFERROR(IF(VLOOKUP(Mon_W2[[#This Row],[Employee Name]],'Base Schedules'!$A$113:$AW$158,15,FALSE)="","",VLOOKUP(Mon_W2[[#This Row],[Employee Name]],'Base Schedules'!$A$113:$AW$158,15,FALSE)),"")</f>
        <v/>
      </c>
      <c r="Q32" s="184" t="str">
        <f>IFERROR(IF(VLOOKUP(Mon_W2[[#This Row],[Employee Name]],'Base Schedules'!$A$113:$AW$158,16,FALSE)="","",VLOOKUP(Mon_W2[[#This Row],[Employee Name]],'Base Schedules'!$A$113:$AW$158,16,FALSE)),"")</f>
        <v/>
      </c>
      <c r="R32" s="184" t="str">
        <f>IFERROR(IF(VLOOKUP(Mon_W2[[#This Row],[Employee Name]],'Base Schedules'!$A$113:$AW$158,17,FALSE)="","",VLOOKUP(Mon_W2[[#This Row],[Employee Name]],'Base Schedules'!$A$113:$AW$158,17,FALSE)),"")</f>
        <v/>
      </c>
      <c r="S32" s="184" t="str">
        <f>IFERROR(IF(VLOOKUP(Mon_W2[[#This Row],[Employee Name]],'Base Schedules'!$A$113:$AW$158,18,FALSE)="","",VLOOKUP(Mon_W2[[#This Row],[Employee Name]],'Base Schedules'!$A$113:$AW$158,18,FALSE)),"")</f>
        <v/>
      </c>
      <c r="T32" s="184" t="str">
        <f>IFERROR(IF(VLOOKUP(Mon_W2[[#This Row],[Employee Name]],'Base Schedules'!$A$113:$AW$158,19,FALSE)="","",VLOOKUP(Mon_W2[[#This Row],[Employee Name]],'Base Schedules'!$A$113:$AW$158,19,FALSE)),"")</f>
        <v/>
      </c>
      <c r="U32" s="184" t="str">
        <f>IFERROR(IF(VLOOKUP(Mon_W2[[#This Row],[Employee Name]],'Base Schedules'!$A$113:$AW$158,20,FALSE)="","",VLOOKUP(Mon_W2[[#This Row],[Employee Name]],'Base Schedules'!$A$113:$AW$158,20,FALSE)),"")</f>
        <v/>
      </c>
      <c r="V32" s="184" t="str">
        <f>IFERROR(IF(VLOOKUP(Mon_W2[[#This Row],[Employee Name]],'Base Schedules'!$A$113:$AW$158,21,FALSE)="","",VLOOKUP(Mon_W2[[#This Row],[Employee Name]],'Base Schedules'!$A$113:$AW$158,21,FALSE)),"")</f>
        <v/>
      </c>
      <c r="W32" s="184" t="str">
        <f>IFERROR(IF(VLOOKUP(Mon_W2[[#This Row],[Employee Name]],'Base Schedules'!$A$113:$AW$158,22,FALSE)="","",VLOOKUP(Mon_W2[[#This Row],[Employee Name]],'Base Schedules'!$A$113:$AW$158,22,FALSE)),"")</f>
        <v>ADM</v>
      </c>
      <c r="X32" s="184" t="str">
        <f>IFERROR(IF(VLOOKUP(Mon_W2[[#This Row],[Employee Name]],'Base Schedules'!$A$113:$AW$158,23,FALSE)="","",VLOOKUP(Mon_W2[[#This Row],[Employee Name]],'Base Schedules'!$A$113:$AW$158,23,FALSE)),"")</f>
        <v>RNNR</v>
      </c>
      <c r="Y32" s="184" t="str">
        <f>IFERROR(IF(VLOOKUP(Mon_W2[[#This Row],[Employee Name]],'Base Schedules'!$A$113:$AW$158,24,FALSE)="","",VLOOKUP(Mon_W2[[#This Row],[Employee Name]],'Base Schedules'!$A$113:$AW$158,24,FALSE)),"")</f>
        <v>RNNR</v>
      </c>
      <c r="Z32" s="184" t="str">
        <f>IFERROR(IF(VLOOKUP(Mon_W2[[#This Row],[Employee Name]],'Base Schedules'!$A$113:$AW$158,25,FALSE)="","",VLOOKUP(Mon_W2[[#This Row],[Employee Name]],'Base Schedules'!$A$113:$AW$158,25,FALSE)),"")</f>
        <v>HL B1</v>
      </c>
      <c r="AA32" s="184" t="str">
        <f>IFERROR(IF(VLOOKUP(Mon_W2[[#This Row],[Employee Name]],'Base Schedules'!$A$113:$AW$158,26,FALSE)="","",VLOOKUP(Mon_W2[[#This Row],[Employee Name]],'Base Schedules'!$A$113:$AW$158,26,FALSE)),"")</f>
        <v>ADM</v>
      </c>
      <c r="AB32" s="184" t="str">
        <f>IFERROR(IF(VLOOKUP(Mon_W2[[#This Row],[Employee Name]],'Base Schedules'!$A$113:$AW$158,27,FALSE)="","",VLOOKUP(Mon_W2[[#This Row],[Employee Name]],'Base Schedules'!$A$113:$AW$158,27,FALSE)),"")</f>
        <v>ADM</v>
      </c>
      <c r="AC32" s="184" t="str">
        <f>IFERROR(IF(VLOOKUP(Mon_W2[[#This Row],[Employee Name]],'Base Schedules'!$A$113:$AW$158,28,FALSE)="","",VLOOKUP(Mon_W2[[#This Row],[Employee Name]],'Base Schedules'!$A$113:$AW$158,28,FALSE)),"")</f>
        <v>HL</v>
      </c>
      <c r="AD32" s="184" t="str">
        <f>IFERROR(IF(VLOOKUP(Mon_W2[[#This Row],[Employee Name]],'Base Schedules'!$A$113:$AW$158,29,FALSE)="","",VLOOKUP(Mon_W2[[#This Row],[Employee Name]],'Base Schedules'!$A$113:$AW$158,29,FALSE)),"")</f>
        <v>HL</v>
      </c>
      <c r="AE32" s="184" t="str">
        <f>IFERROR(IF(VLOOKUP(Mon_W2[[#This Row],[Employee Name]],'Base Schedules'!$A$113:$AW$158,30,FALSE)="","",VLOOKUP(Mon_W2[[#This Row],[Employee Name]],'Base Schedules'!$A$113:$AW$158,30,FALSE)),"")</f>
        <v>LUNCH</v>
      </c>
      <c r="AF32" s="184" t="str">
        <f>IFERROR(IF(VLOOKUP(Mon_W2[[#This Row],[Employee Name]],'Base Schedules'!$A$113:$AW$158,31,FALSE)="","",VLOOKUP(Mon_W2[[#This Row],[Employee Name]],'Base Schedules'!$A$113:$AW$158,31,FALSE)),"")</f>
        <v>HL</v>
      </c>
      <c r="AG32" s="184" t="str">
        <f>IFERROR(IF(VLOOKUP(Mon_W2[[#This Row],[Employee Name]],'Base Schedules'!$A$113:$AW$158,32,FALSE)="","",VLOOKUP(Mon_W2[[#This Row],[Employee Name]],'Base Schedules'!$A$113:$AW$158,32,FALSE)),"")</f>
        <v>ADM</v>
      </c>
      <c r="AH32" s="184" t="str">
        <f>IFERROR(IF(VLOOKUP(Mon_W2[[#This Row],[Employee Name]],'Base Schedules'!$A$113:$AW$158,33,FALSE)="","",VLOOKUP(Mon_W2[[#This Row],[Employee Name]],'Base Schedules'!$A$113:$AW$158,33,FALSE)),"")</f>
        <v>HL</v>
      </c>
      <c r="AI32" s="184" t="str">
        <f>IFERROR(IF(VLOOKUP(Mon_W2[[#This Row],[Employee Name]],'Base Schedules'!$A$113:$AW$158,34,FALSE)="","",VLOOKUP(Mon_W2[[#This Row],[Employee Name]],'Base Schedules'!$A$113:$AW$158,34,FALSE)),"")</f>
        <v>HL</v>
      </c>
      <c r="AJ32" s="184" t="str">
        <f>IFERROR(IF(VLOOKUP(Mon_W2[[#This Row],[Employee Name]],'Base Schedules'!$A$113:$AW$158,35,FALSE)="","",VLOOKUP(Mon_W2[[#This Row],[Employee Name]],'Base Schedules'!$A$113:$AW$158,35,FALSE)),"")</f>
        <v>B2 ADM</v>
      </c>
      <c r="AK32" s="184" t="str">
        <f>IFERROR(IF(VLOOKUP(Mon_W2[[#This Row],[Employee Name]],'Base Schedules'!$A$113:$AW$158,36,FALSE)="","",VLOOKUP(Mon_W2[[#This Row],[Employee Name]],'Base Schedules'!$A$113:$AW$158,36,FALSE)),"")</f>
        <v>ADM</v>
      </c>
      <c r="AL32" s="184" t="str">
        <f>IFERROR(IF(VLOOKUP(Mon_W2[[#This Row],[Employee Name]],'Base Schedules'!$A$113:$AW$158,37,FALSE)="","",VLOOKUP(Mon_W2[[#This Row],[Employee Name]],'Base Schedules'!$A$113:$AW$158,37,FALSE)),"")</f>
        <v>ADM</v>
      </c>
      <c r="AM32" s="184" t="str">
        <f>IFERROR(IF(VLOOKUP(Mon_W2[[#This Row],[Employee Name]],'Base Schedules'!$A$113:$AW$158,38,FALSE)="","",VLOOKUP(Mon_W2[[#This Row],[Employee Name]],'Base Schedules'!$A$113:$AW$158,38,FALSE)),"")</f>
        <v>HL</v>
      </c>
      <c r="AN32" s="184" t="str">
        <f>IFERROR(IF(VLOOKUP(Mon_W2[[#This Row],[Employee Name]],'Base Schedules'!$A$113:$AW$158,39,FALSE)="","",VLOOKUP(Mon_W2[[#This Row],[Employee Name]],'Base Schedules'!$A$113:$AW$158,39,FALSE)),"")</f>
        <v/>
      </c>
      <c r="AO32" s="184" t="str">
        <f>IFERROR(IF(VLOOKUP(Mon_W2[[#This Row],[Employee Name]],'Base Schedules'!$A$113:$AW$158,40,FALSE)="","",VLOOKUP(Mon_W2[[#This Row],[Employee Name]],'Base Schedules'!$A$113:$AW$158,40,FALSE)),"")</f>
        <v/>
      </c>
      <c r="AP32" s="184" t="str">
        <f>IFERROR(IF(VLOOKUP(Mon_W2[[#This Row],[Employee Name]],'Base Schedules'!$A$113:$AW$158,41,FALSE)="","",VLOOKUP(Mon_W2[[#This Row],[Employee Name]],'Base Schedules'!$A$113:$AW$158,41,FALSE)),"")</f>
        <v/>
      </c>
      <c r="AQ32" s="184" t="str">
        <f>IFERROR(IF(VLOOKUP(Mon_W2[[#This Row],[Employee Name]],'Base Schedules'!$A$113:$AW$158,42,FALSE)="","",VLOOKUP(Mon_W2[[#This Row],[Employee Name]],'Base Schedules'!$A$113:$AW$158,42,FALSE)),"")</f>
        <v/>
      </c>
      <c r="AR32" s="184" t="str">
        <f>IFERROR(IF(VLOOKUP(Mon_W2[[#This Row],[Employee Name]],'Base Schedules'!$A$113:$AW$158,43,FALSE)="","",VLOOKUP(Mon_W2[[#This Row],[Employee Name]],'Base Schedules'!$A$113:$AW$158,43,FALSE)),"")</f>
        <v/>
      </c>
      <c r="AS32" s="184" t="str">
        <f>IFERROR(IF(VLOOKUP(Mon_W2[[#This Row],[Employee Name]],'Base Schedules'!$A$113:$AW$158,44,FALSE)="","",VLOOKUP(Mon_W2[[#This Row],[Employee Name]],'Base Schedules'!$A$113:$AW$158,44,FALSE)),"")</f>
        <v/>
      </c>
      <c r="AT32" s="184" t="str">
        <f>IFERROR(IF(VLOOKUP(Mon_W2[[#This Row],[Employee Name]],'Base Schedules'!$A$113:$AW$158,45,FALSE)="","",VLOOKUP(Mon_W2[[#This Row],[Employee Name]],'Base Schedules'!$A$113:$AW$158,45,FALSE)),"")</f>
        <v/>
      </c>
      <c r="AU32" s="184" t="str">
        <f>IFERROR(IF(VLOOKUP(Mon_W2[[#This Row],[Employee Name]],'Base Schedules'!$A$113:$AW$158,46,FALSE)="","",VLOOKUP(Mon_W2[[#This Row],[Employee Name]],'Base Schedules'!$A$113:$AW$158,46,FALSE)),"")</f>
        <v/>
      </c>
      <c r="AV32" s="184" t="str">
        <f>IFERROR(IF(VLOOKUP(Mon_W2[[#This Row],[Employee Name]],'Base Schedules'!$A$113:$AW$158,47,FALSE)="","",VLOOKUP(Mon_W2[[#This Row],[Employee Name]],'Base Schedules'!$A$113:$AW$158,47,FALSE)),"")</f>
        <v/>
      </c>
      <c r="AW32" s="184" t="str">
        <f>IFERROR(IF(VLOOKUP(Mon_W2[[#This Row],[Employee Name]],'Base Schedules'!$A$113:$AW$158,48,FALSE)="","",VLOOKUP(Mon_W2[[#This Row],[Employee Name]],'Base Schedules'!$A$113:$AW$158,48,FALSE)),"")</f>
        <v/>
      </c>
      <c r="AX32" s="184" t="str">
        <f>IFERROR(IF(VLOOKUP(Mon_W2[[#This Row],[Employee Name]],'Base Schedules'!$A$113:$AW$158,49,FALSE)="","",VLOOKUP(Mon_W2[[#This Row],[Employee Name]],'Base Schedules'!$A$113:$AW$158,49,FALSE)),"")</f>
        <v/>
      </c>
      <c r="AY32" s="159" t="str">
        <f t="shared" si="2"/>
        <v>Goss, Ian</v>
      </c>
    </row>
    <row r="33" spans="1:51" s="44" customFormat="1" ht="12" customHeight="1" x14ac:dyDescent="0.2">
      <c r="A33" s="39" t="str">
        <f>IF(B33="","",INDEX(TeamList[],MATCH($B33,TeamList[[Employee Name]:[Employee Name]],0),MATCH("Manager",TeamList[#Headers],0)))</f>
        <v>Olson, Katherine</v>
      </c>
      <c r="B33" s="201" t="s">
        <v>226</v>
      </c>
      <c r="C33" s="257" t="str">
        <f>_xlfn.IFNA(VLOOKUP(Mon_W2[[#This Row],[Employee Name]],'Base Schedules'!A:B,2,FALSE),"")</f>
        <v>Lead</v>
      </c>
      <c r="D33" s="274">
        <f>_xlfn.IFNA(VLOOKUP(Mon_W2[[#This Row],[Employee Name]],'Base Schedules'!A:C,3,FALSE),"")</f>
        <v>1200</v>
      </c>
      <c r="E33" s="274">
        <f>_xlfn.IFNA(VLOOKUP(Mon_W2[[#This Row],[Employee Name]],'Base Schedules'!A:D,4,FALSE),"")</f>
        <v>2030</v>
      </c>
      <c r="F33" s="142">
        <f>IF(Mon_W2[[#This Row],[Employee Name]]="","",IF(Mon_W2[[#This Row],[Dept]]="Supervisor",COUNTIFS($J33:$AX33,"*HL*",$J33:$AX33,"&lt;&gt;"&amp;"pHL"),COUNTIFS($J33:$AX33,"*HL*",$J33:$AX33,"&lt;&gt;"&amp;"*pHL*",$J33:$AX33,"&lt;&gt;"&amp;"pB1 HL",$J33:$AX33,"&lt;&gt;"&amp;"pB2 HL")-SUM(COUNTIFS($J33:$AX33,"*HL B1*",$J33:$AX33,"&lt;&gt;"&amp;"pHL B1")*0.5,COUNTIFS($J33:$AX33,"*HL B2*",$J33:$AX33,"&lt;&gt;"&amp;"pHL B2")*0.5,COUNTIFS($J33:$AX33,"*B1 HL*",$J33:$AX33,"&lt;&gt;"&amp;"pB1 HL")*0.5,COUNTIFS($J33:$AX33,"*B2 HL*",$J33:$AX33,"&lt;&gt;"&amp;"pB2 HL")*0.5)))</f>
        <v>7.5</v>
      </c>
      <c r="G33" s="142">
        <f t="shared" si="0"/>
        <v>0</v>
      </c>
      <c r="H33" s="142">
        <f t="shared" si="1"/>
        <v>6</v>
      </c>
      <c r="I33" s="142">
        <f>IF(Mon_W2[[#This Row],[Employee Name]]="","",IF(Mon_W2[[#This Row],[Dept]]="Supervisor",SUM(COUNTIFS($J33:$AX33,"RTA*",$J33:$AX33,"&lt;&gt;"&amp;"pRTA"),COUNTIFS($J33:$AX33,"*CRTA*",$J33:$AX33,"&lt;&gt;"&amp;"pCRTA")),COUNTIFS($J33:$AX33,"*RNNR*",$J33:$AX33,"&lt;&gt;"&amp;"*pRNNR*",$J33:$AX33,"&lt;&gt;"&amp;"pB1 RNNR",$J33:$AX33,"&lt;&gt;"&amp;"pB2 RNNR")-SUM(COUNTIFS($J33:$AX33,"*RNNR B1*",$J33:$AX33,"&lt;&gt;"&amp;"pRNNR B1")*0.5,COUNTIFS($J33:$AX33,"*RNNR B2*",$J33:$AX33,"&lt;&gt;"&amp;"pRNNR B2")*0.5,COUNTIFS($J33:$AX33,"*B1 RNNR*",$J33:$AX33,"&lt;&gt;"&amp;"pB1 RNNR")*0.5,COUNTIFS($J33:$AX33,"*B2 RNNR*",$J33:$AX33,"&lt;&gt;"&amp;"pB2 RNNR")*0.5)))</f>
        <v>2</v>
      </c>
      <c r="J33" s="184" t="str">
        <f>IFERROR(IF(VLOOKUP(Mon_W2[[#This Row],[Employee Name]],'Base Schedules'!$A$113:$AW$158,9,FALSE)="","",VLOOKUP(Mon_W2[[#This Row],[Employee Name]],'Base Schedules'!$A$113:$AW$158,9,FALSE)),"")</f>
        <v/>
      </c>
      <c r="K33" s="184" t="str">
        <f>IFERROR(IF(VLOOKUP(Mon_W2[[#This Row],[Employee Name]],'Base Schedules'!$A$113:$AW$158,10,FALSE)="","",VLOOKUP(Mon_W2[[#This Row],[Employee Name]],'Base Schedules'!$A$113:$AW$158,10,FALSE)),"")</f>
        <v/>
      </c>
      <c r="L33" s="184" t="str">
        <f>IFERROR(IF(VLOOKUP(Mon_W2[[#This Row],[Employee Name]],'Base Schedules'!$A$113:$AW$158,11,FALSE)="","",VLOOKUP(Mon_W2[[#This Row],[Employee Name]],'Base Schedules'!$A$113:$AW$158,11,FALSE)),"")</f>
        <v/>
      </c>
      <c r="M33" s="184" t="str">
        <f>IFERROR(IF(VLOOKUP(Mon_W2[[#This Row],[Employee Name]],'Base Schedules'!$A$113:$AW$158,12,FALSE)="","",VLOOKUP(Mon_W2[[#This Row],[Employee Name]],'Base Schedules'!$A$113:$AW$158,12,FALSE)),"")</f>
        <v/>
      </c>
      <c r="N33" s="184" t="str">
        <f>IFERROR(IF(VLOOKUP(Mon_W2[[#This Row],[Employee Name]],'Base Schedules'!$A$113:$AW$158,13,FALSE)="","",VLOOKUP(Mon_W2[[#This Row],[Employee Name]],'Base Schedules'!$A$113:$AW$158,13,FALSE)),"")</f>
        <v/>
      </c>
      <c r="O33" s="184" t="str">
        <f>IFERROR(IF(VLOOKUP(Mon_W2[[#This Row],[Employee Name]],'Base Schedules'!$A$113:$AW$158,14,FALSE)="","",VLOOKUP(Mon_W2[[#This Row],[Employee Name]],'Base Schedules'!$A$113:$AW$158,14,FALSE)),"")</f>
        <v/>
      </c>
      <c r="P33" s="184" t="str">
        <f>IFERROR(IF(VLOOKUP(Mon_W2[[#This Row],[Employee Name]],'Base Schedules'!$A$113:$AW$158,15,FALSE)="","",VLOOKUP(Mon_W2[[#This Row],[Employee Name]],'Base Schedules'!$A$113:$AW$158,15,FALSE)),"")</f>
        <v/>
      </c>
      <c r="Q33" s="184" t="str">
        <f>IFERROR(IF(VLOOKUP(Mon_W2[[#This Row],[Employee Name]],'Base Schedules'!$A$113:$AW$158,16,FALSE)="","",VLOOKUP(Mon_W2[[#This Row],[Employee Name]],'Base Schedules'!$A$113:$AW$158,16,FALSE)),"")</f>
        <v/>
      </c>
      <c r="R33" s="184" t="str">
        <f>IFERROR(IF(VLOOKUP(Mon_W2[[#This Row],[Employee Name]],'Base Schedules'!$A$113:$AW$158,17,FALSE)="","",VLOOKUP(Mon_W2[[#This Row],[Employee Name]],'Base Schedules'!$A$113:$AW$158,17,FALSE)),"")</f>
        <v/>
      </c>
      <c r="S33" s="184" t="str">
        <f>IFERROR(IF(VLOOKUP(Mon_W2[[#This Row],[Employee Name]],'Base Schedules'!$A$113:$AW$158,18,FALSE)="","",VLOOKUP(Mon_W2[[#This Row],[Employee Name]],'Base Schedules'!$A$113:$AW$158,18,FALSE)),"")</f>
        <v/>
      </c>
      <c r="T33" s="184" t="str">
        <f>IFERROR(IF(VLOOKUP(Mon_W2[[#This Row],[Employee Name]],'Base Schedules'!$A$113:$AW$158,19,FALSE)="","",VLOOKUP(Mon_W2[[#This Row],[Employee Name]],'Base Schedules'!$A$113:$AW$158,19,FALSE)),"")</f>
        <v/>
      </c>
      <c r="U33" s="184" t="str">
        <f>IFERROR(IF(VLOOKUP(Mon_W2[[#This Row],[Employee Name]],'Base Schedules'!$A$113:$AW$158,20,FALSE)="","",VLOOKUP(Mon_W2[[#This Row],[Employee Name]],'Base Schedules'!$A$113:$AW$158,20,FALSE)),"")</f>
        <v/>
      </c>
      <c r="V33" s="184" t="str">
        <f>IFERROR(IF(VLOOKUP(Mon_W2[[#This Row],[Employee Name]],'Base Schedules'!$A$113:$AW$158,21,FALSE)="","",VLOOKUP(Mon_W2[[#This Row],[Employee Name]],'Base Schedules'!$A$113:$AW$158,21,FALSE)),"")</f>
        <v/>
      </c>
      <c r="W33" s="184" t="str">
        <f>IFERROR(IF(VLOOKUP(Mon_W2[[#This Row],[Employee Name]],'Base Schedules'!$A$113:$AW$158,22,FALSE)="","",VLOOKUP(Mon_W2[[#This Row],[Employee Name]],'Base Schedules'!$A$113:$AW$158,22,FALSE)),"")</f>
        <v/>
      </c>
      <c r="X33" s="184" t="str">
        <f>IFERROR(IF(VLOOKUP(Mon_W2[[#This Row],[Employee Name]],'Base Schedules'!$A$113:$AW$158,23,FALSE)="","",VLOOKUP(Mon_W2[[#This Row],[Employee Name]],'Base Schedules'!$A$113:$AW$158,23,FALSE)),"")</f>
        <v>HL</v>
      </c>
      <c r="Y33" s="184" t="str">
        <f>IFERROR(IF(VLOOKUP(Mon_W2[[#This Row],[Employee Name]],'Base Schedules'!$A$113:$AW$158,24,FALSE)="","",VLOOKUP(Mon_W2[[#This Row],[Employee Name]],'Base Schedules'!$A$113:$AW$158,24,FALSE)),"")</f>
        <v>HL</v>
      </c>
      <c r="Z33" s="184" t="str">
        <f>IFERROR(IF(VLOOKUP(Mon_W2[[#This Row],[Employee Name]],'Base Schedules'!$A$113:$AW$158,25,FALSE)="","",VLOOKUP(Mon_W2[[#This Row],[Employee Name]],'Base Schedules'!$A$113:$AW$158,25,FALSE)),"")</f>
        <v>ADM</v>
      </c>
      <c r="AA33" s="184" t="str">
        <f>IFERROR(IF(VLOOKUP(Mon_W2[[#This Row],[Employee Name]],'Base Schedules'!$A$113:$AW$158,26,FALSE)="","",VLOOKUP(Mon_W2[[#This Row],[Employee Name]],'Base Schedules'!$A$113:$AW$158,26,FALSE)),"")</f>
        <v>ADM</v>
      </c>
      <c r="AB33" s="184" t="str">
        <f>IFERROR(IF(VLOOKUP(Mon_W2[[#This Row],[Employee Name]],'Base Schedules'!$A$113:$AW$158,27,FALSE)="","",VLOOKUP(Mon_W2[[#This Row],[Employee Name]],'Base Schedules'!$A$113:$AW$158,27,FALSE)),"")</f>
        <v>ADM B1</v>
      </c>
      <c r="AC33" s="184" t="str">
        <f>IFERROR(IF(VLOOKUP(Mon_W2[[#This Row],[Employee Name]],'Base Schedules'!$A$113:$AW$158,28,FALSE)="","",VLOOKUP(Mon_W2[[#This Row],[Employee Name]],'Base Schedules'!$A$113:$AW$158,28,FALSE)),"")</f>
        <v>ADM</v>
      </c>
      <c r="AD33" s="184" t="str">
        <f>IFERROR(IF(VLOOKUP(Mon_W2[[#This Row],[Employee Name]],'Base Schedules'!$A$113:$AW$158,29,FALSE)="","",VLOOKUP(Mon_W2[[#This Row],[Employee Name]],'Base Schedules'!$A$113:$AW$158,29,FALSE)),"")</f>
        <v>HL</v>
      </c>
      <c r="AE33" s="184" t="str">
        <f>IFERROR(IF(VLOOKUP(Mon_W2[[#This Row],[Employee Name]],'Base Schedules'!$A$113:$AW$158,30,FALSE)="","",VLOOKUP(Mon_W2[[#This Row],[Employee Name]],'Base Schedules'!$A$113:$AW$158,30,FALSE)),"")</f>
        <v>HL</v>
      </c>
      <c r="AF33" s="184" t="str">
        <f>IFERROR(IF(VLOOKUP(Mon_W2[[#This Row],[Employee Name]],'Base Schedules'!$A$113:$AW$158,31,FALSE)="","",VLOOKUP(Mon_W2[[#This Row],[Employee Name]],'Base Schedules'!$A$113:$AW$158,31,FALSE)),"")</f>
        <v>LUNCH</v>
      </c>
      <c r="AG33" s="184" t="str">
        <f>IFERROR(IF(VLOOKUP(Mon_W2[[#This Row],[Employee Name]],'Base Schedules'!$A$113:$AW$158,32,FALSE)="","",VLOOKUP(Mon_W2[[#This Row],[Employee Name]],'Base Schedules'!$A$113:$AW$158,32,FALSE)),"")</f>
        <v>HL</v>
      </c>
      <c r="AH33" s="184" t="str">
        <f>IFERROR(IF(VLOOKUP(Mon_W2[[#This Row],[Employee Name]],'Base Schedules'!$A$113:$AW$158,33,FALSE)="","",VLOOKUP(Mon_W2[[#This Row],[Employee Name]],'Base Schedules'!$A$113:$AW$158,33,FALSE)),"")</f>
        <v>ADM</v>
      </c>
      <c r="AI33" s="184" t="str">
        <f>IFERROR(IF(VLOOKUP(Mon_W2[[#This Row],[Employee Name]],'Base Schedules'!$A$113:$AW$158,34,FALSE)="","",VLOOKUP(Mon_W2[[#This Row],[Employee Name]],'Base Schedules'!$A$113:$AW$158,34,FALSE)),"")</f>
        <v>ADM</v>
      </c>
      <c r="AJ33" s="184" t="str">
        <f>IFERROR(IF(VLOOKUP(Mon_W2[[#This Row],[Employee Name]],'Base Schedules'!$A$113:$AW$158,35,FALSE)="","",VLOOKUP(Mon_W2[[#This Row],[Employee Name]],'Base Schedules'!$A$113:$AW$158,35,FALSE)),"")</f>
        <v>HL B2</v>
      </c>
      <c r="AK33" s="184" t="str">
        <f>IFERROR(IF(VLOOKUP(Mon_W2[[#This Row],[Employee Name]],'Base Schedules'!$A$113:$AW$158,36,FALSE)="","",VLOOKUP(Mon_W2[[#This Row],[Employee Name]],'Base Schedules'!$A$113:$AW$158,36,FALSE)),"")</f>
        <v>HL</v>
      </c>
      <c r="AL33" s="184" t="str">
        <f>IFERROR(IF(VLOOKUP(Mon_W2[[#This Row],[Employee Name]],'Base Schedules'!$A$113:$AW$158,37,FALSE)="","",VLOOKUP(Mon_W2[[#This Row],[Employee Name]],'Base Schedules'!$A$113:$AW$158,37,FALSE)),"")</f>
        <v>RNNR</v>
      </c>
      <c r="AM33" s="184" t="str">
        <f>IFERROR(IF(VLOOKUP(Mon_W2[[#This Row],[Employee Name]],'Base Schedules'!$A$113:$AW$158,38,FALSE)="","",VLOOKUP(Mon_W2[[#This Row],[Employee Name]],'Base Schedules'!$A$113:$AW$158,38,FALSE)),"")</f>
        <v>RNNR</v>
      </c>
      <c r="AN33" s="184" t="str">
        <f>IFERROR(IF(VLOOKUP(Mon_W2[[#This Row],[Employee Name]],'Base Schedules'!$A$113:$AW$158,39,FALSE)="","",VLOOKUP(Mon_W2[[#This Row],[Employee Name]],'Base Schedules'!$A$113:$AW$158,39,FALSE)),"")</f>
        <v>HL</v>
      </c>
      <c r="AO33" s="184" t="str">
        <f>IFERROR(IF(VLOOKUP(Mon_W2[[#This Row],[Employee Name]],'Base Schedules'!$A$113:$AW$158,40,FALSE)="","",VLOOKUP(Mon_W2[[#This Row],[Employee Name]],'Base Schedules'!$A$113:$AW$158,40,FALSE)),"")</f>
        <v/>
      </c>
      <c r="AP33" s="184" t="str">
        <f>IFERROR(IF(VLOOKUP(Mon_W2[[#This Row],[Employee Name]],'Base Schedules'!$A$113:$AW$158,41,FALSE)="","",VLOOKUP(Mon_W2[[#This Row],[Employee Name]],'Base Schedules'!$A$113:$AW$158,41,FALSE)),"")</f>
        <v/>
      </c>
      <c r="AQ33" s="184" t="str">
        <f>IFERROR(IF(VLOOKUP(Mon_W2[[#This Row],[Employee Name]],'Base Schedules'!$A$113:$AW$158,42,FALSE)="","",VLOOKUP(Mon_W2[[#This Row],[Employee Name]],'Base Schedules'!$A$113:$AW$158,42,FALSE)),"")</f>
        <v/>
      </c>
      <c r="AR33" s="184" t="str">
        <f>IFERROR(IF(VLOOKUP(Mon_W2[[#This Row],[Employee Name]],'Base Schedules'!$A$113:$AW$158,43,FALSE)="","",VLOOKUP(Mon_W2[[#This Row],[Employee Name]],'Base Schedules'!$A$113:$AW$158,43,FALSE)),"")</f>
        <v/>
      </c>
      <c r="AS33" s="184" t="str">
        <f>IFERROR(IF(VLOOKUP(Mon_W2[[#This Row],[Employee Name]],'Base Schedules'!$A$113:$AW$158,44,FALSE)="","",VLOOKUP(Mon_W2[[#This Row],[Employee Name]],'Base Schedules'!$A$113:$AW$158,44,FALSE)),"")</f>
        <v/>
      </c>
      <c r="AT33" s="184" t="str">
        <f>IFERROR(IF(VLOOKUP(Mon_W2[[#This Row],[Employee Name]],'Base Schedules'!$A$113:$AW$158,45,FALSE)="","",VLOOKUP(Mon_W2[[#This Row],[Employee Name]],'Base Schedules'!$A$113:$AW$158,45,FALSE)),"")</f>
        <v/>
      </c>
      <c r="AU33" s="184" t="str">
        <f>IFERROR(IF(VLOOKUP(Mon_W2[[#This Row],[Employee Name]],'Base Schedules'!$A$113:$AW$158,46,FALSE)="","",VLOOKUP(Mon_W2[[#This Row],[Employee Name]],'Base Schedules'!$A$113:$AW$158,46,FALSE)),"")</f>
        <v/>
      </c>
      <c r="AV33" s="184" t="str">
        <f>IFERROR(IF(VLOOKUP(Mon_W2[[#This Row],[Employee Name]],'Base Schedules'!$A$113:$AW$158,47,FALSE)="","",VLOOKUP(Mon_W2[[#This Row],[Employee Name]],'Base Schedules'!$A$113:$AW$158,47,FALSE)),"")</f>
        <v/>
      </c>
      <c r="AW33" s="184" t="str">
        <f>IFERROR(IF(VLOOKUP(Mon_W2[[#This Row],[Employee Name]],'Base Schedules'!$A$113:$AW$158,48,FALSE)="","",VLOOKUP(Mon_W2[[#This Row],[Employee Name]],'Base Schedules'!$A$113:$AW$158,48,FALSE)),"")</f>
        <v/>
      </c>
      <c r="AX33" s="184" t="str">
        <f>IFERROR(IF(VLOOKUP(Mon_W2[[#This Row],[Employee Name]],'Base Schedules'!$A$113:$AW$158,49,FALSE)="","",VLOOKUP(Mon_W2[[#This Row],[Employee Name]],'Base Schedules'!$A$113:$AW$158,49,FALSE)),"")</f>
        <v/>
      </c>
      <c r="AY33" s="159" t="str">
        <f t="shared" si="2"/>
        <v>Harding, Mickeya</v>
      </c>
    </row>
    <row r="34" spans="1:51" s="44" customFormat="1" ht="12" customHeight="1" x14ac:dyDescent="0.2">
      <c r="A34" s="39" t="str">
        <f>IF(B34="","",INDEX(TeamList[],MATCH($B34,TeamList[[Employee Name]:[Employee Name]],0),MATCH("Manager",TeamList[#Headers],0)))</f>
        <v>Olson, Katherine</v>
      </c>
      <c r="B34" s="201" t="s">
        <v>50</v>
      </c>
      <c r="C34" s="257" t="str">
        <f>_xlfn.IFNA(VLOOKUP(Mon_W2[[#This Row],[Employee Name]],'Base Schedules'!A:B,2,FALSE),"")</f>
        <v>Lead</v>
      </c>
      <c r="D34" s="274">
        <f>_xlfn.IFNA(VLOOKUP(Mon_W2[[#This Row],[Employee Name]],'Base Schedules'!A:C,3,FALSE),"")</f>
        <v>1200</v>
      </c>
      <c r="E34" s="274">
        <f>_xlfn.IFNA(VLOOKUP(Mon_W2[[#This Row],[Employee Name]],'Base Schedules'!A:D,4,FALSE),"")</f>
        <v>2230</v>
      </c>
      <c r="F34" s="142">
        <f>IF(Mon_W2[[#This Row],[Employee Name]]="","",IF(Mon_W2[[#This Row],[Dept]]="Supervisor",COUNTIFS($J34:$AX34,"*HL*",$J34:$AX34,"&lt;&gt;"&amp;"pHL"),COUNTIFS($J34:$AX34,"*HL*",$J34:$AX34,"&lt;&gt;"&amp;"*pHL*",$J34:$AX34,"&lt;&gt;"&amp;"pB1 HL",$J34:$AX34,"&lt;&gt;"&amp;"pB2 HL")-SUM(COUNTIFS($J34:$AX34,"*HL B1*",$J34:$AX34,"&lt;&gt;"&amp;"pHL B1")*0.5,COUNTIFS($J34:$AX34,"*HL B2*",$J34:$AX34,"&lt;&gt;"&amp;"pHL B2")*0.5,COUNTIFS($J34:$AX34,"*B1 HL*",$J34:$AX34,"&lt;&gt;"&amp;"pB1 HL")*0.5,COUNTIFS($J34:$AX34,"*B2 HL*",$J34:$AX34,"&lt;&gt;"&amp;"pB2 HL")*0.5)))</f>
        <v>8.5</v>
      </c>
      <c r="G34" s="142">
        <f t="shared" si="0"/>
        <v>0</v>
      </c>
      <c r="H34" s="142">
        <f t="shared" si="1"/>
        <v>7</v>
      </c>
      <c r="I34" s="142">
        <f>IF(Mon_W2[[#This Row],[Employee Name]]="","",IF(Mon_W2[[#This Row],[Dept]]="Supervisor",SUM(COUNTIFS($J34:$AX34,"RTA*",$J34:$AX34,"&lt;&gt;"&amp;"pRTA"),COUNTIFS($J34:$AX34,"*CRTA*",$J34:$AX34,"&lt;&gt;"&amp;"pCRTA")),COUNTIFS($J34:$AX34,"*RNNR*",$J34:$AX34,"&lt;&gt;"&amp;"*pRNNR*",$J34:$AX34,"&lt;&gt;"&amp;"pB1 RNNR",$J34:$AX34,"&lt;&gt;"&amp;"pB2 RNNR")-SUM(COUNTIFS($J34:$AX34,"*RNNR B1*",$J34:$AX34,"&lt;&gt;"&amp;"pRNNR B1")*0.5,COUNTIFS($J34:$AX34,"*RNNR B2*",$J34:$AX34,"&lt;&gt;"&amp;"pRNNR B2")*0.5,COUNTIFS($J34:$AX34,"*B1 RNNR*",$J34:$AX34,"&lt;&gt;"&amp;"pB1 RNNR")*0.5,COUNTIFS($J34:$AX34,"*B2 RNNR*",$J34:$AX34,"&lt;&gt;"&amp;"pB2 RNNR")*0.5)))</f>
        <v>2</v>
      </c>
      <c r="J34" s="184" t="str">
        <f>IFERROR(IF(VLOOKUP(Mon_W2[[#This Row],[Employee Name]],'Base Schedules'!$A$113:$AW$158,9,FALSE)="","",VLOOKUP(Mon_W2[[#This Row],[Employee Name]],'Base Schedules'!$A$113:$AW$158,9,FALSE)),"")</f>
        <v/>
      </c>
      <c r="K34" s="184" t="str">
        <f>IFERROR(IF(VLOOKUP(Mon_W2[[#This Row],[Employee Name]],'Base Schedules'!$A$113:$AW$158,10,FALSE)="","",VLOOKUP(Mon_W2[[#This Row],[Employee Name]],'Base Schedules'!$A$113:$AW$158,10,FALSE)),"")</f>
        <v/>
      </c>
      <c r="L34" s="184" t="str">
        <f>IFERROR(IF(VLOOKUP(Mon_W2[[#This Row],[Employee Name]],'Base Schedules'!$A$113:$AW$158,11,FALSE)="","",VLOOKUP(Mon_W2[[#This Row],[Employee Name]],'Base Schedules'!$A$113:$AW$158,11,FALSE)),"")</f>
        <v/>
      </c>
      <c r="M34" s="184" t="str">
        <f>IFERROR(IF(VLOOKUP(Mon_W2[[#This Row],[Employee Name]],'Base Schedules'!$A$113:$AW$158,12,FALSE)="","",VLOOKUP(Mon_W2[[#This Row],[Employee Name]],'Base Schedules'!$A$113:$AW$158,12,FALSE)),"")</f>
        <v/>
      </c>
      <c r="N34" s="184" t="str">
        <f>IFERROR(IF(VLOOKUP(Mon_W2[[#This Row],[Employee Name]],'Base Schedules'!$A$113:$AW$158,13,FALSE)="","",VLOOKUP(Mon_W2[[#This Row],[Employee Name]],'Base Schedules'!$A$113:$AW$158,13,FALSE)),"")</f>
        <v/>
      </c>
      <c r="O34" s="184" t="str">
        <f>IFERROR(IF(VLOOKUP(Mon_W2[[#This Row],[Employee Name]],'Base Schedules'!$A$113:$AW$158,14,FALSE)="","",VLOOKUP(Mon_W2[[#This Row],[Employee Name]],'Base Schedules'!$A$113:$AW$158,14,FALSE)),"")</f>
        <v/>
      </c>
      <c r="P34" s="184" t="str">
        <f>IFERROR(IF(VLOOKUP(Mon_W2[[#This Row],[Employee Name]],'Base Schedules'!$A$113:$AW$158,15,FALSE)="","",VLOOKUP(Mon_W2[[#This Row],[Employee Name]],'Base Schedules'!$A$113:$AW$158,15,FALSE)),"")</f>
        <v/>
      </c>
      <c r="Q34" s="184" t="str">
        <f>IFERROR(IF(VLOOKUP(Mon_W2[[#This Row],[Employee Name]],'Base Schedules'!$A$113:$AW$158,16,FALSE)="","",VLOOKUP(Mon_W2[[#This Row],[Employee Name]],'Base Schedules'!$A$113:$AW$158,16,FALSE)),"")</f>
        <v/>
      </c>
      <c r="R34" s="184" t="str">
        <f>IFERROR(IF(VLOOKUP(Mon_W2[[#This Row],[Employee Name]],'Base Schedules'!$A$113:$AW$158,17,FALSE)="","",VLOOKUP(Mon_W2[[#This Row],[Employee Name]],'Base Schedules'!$A$113:$AW$158,17,FALSE)),"")</f>
        <v/>
      </c>
      <c r="S34" s="184" t="str">
        <f>IFERROR(IF(VLOOKUP(Mon_W2[[#This Row],[Employee Name]],'Base Schedules'!$A$113:$AW$158,18,FALSE)="","",VLOOKUP(Mon_W2[[#This Row],[Employee Name]],'Base Schedules'!$A$113:$AW$158,18,FALSE)),"")</f>
        <v/>
      </c>
      <c r="T34" s="184" t="str">
        <f>IFERROR(IF(VLOOKUP(Mon_W2[[#This Row],[Employee Name]],'Base Schedules'!$A$113:$AW$158,19,FALSE)="","",VLOOKUP(Mon_W2[[#This Row],[Employee Name]],'Base Schedules'!$A$113:$AW$158,19,FALSE)),"")</f>
        <v/>
      </c>
      <c r="U34" s="184" t="str">
        <f>IFERROR(IF(VLOOKUP(Mon_W2[[#This Row],[Employee Name]],'Base Schedules'!$A$113:$AW$158,20,FALSE)="","",VLOOKUP(Mon_W2[[#This Row],[Employee Name]],'Base Schedules'!$A$113:$AW$158,20,FALSE)),"")</f>
        <v/>
      </c>
      <c r="V34" s="184" t="str">
        <f>IFERROR(IF(VLOOKUP(Mon_W2[[#This Row],[Employee Name]],'Base Schedules'!$A$113:$AW$158,21,FALSE)="","",VLOOKUP(Mon_W2[[#This Row],[Employee Name]],'Base Schedules'!$A$113:$AW$158,21,FALSE)),"")</f>
        <v/>
      </c>
      <c r="W34" s="184" t="str">
        <f>IFERROR(IF(VLOOKUP(Mon_W2[[#This Row],[Employee Name]],'Base Schedules'!$A$113:$AW$158,22,FALSE)="","",VLOOKUP(Mon_W2[[#This Row],[Employee Name]],'Base Schedules'!$A$113:$AW$158,22,FALSE)),"")</f>
        <v/>
      </c>
      <c r="X34" s="184" t="str">
        <f>IFERROR(IF(VLOOKUP(Mon_W2[[#This Row],[Employee Name]],'Base Schedules'!$A$113:$AW$158,23,FALSE)="","",VLOOKUP(Mon_W2[[#This Row],[Employee Name]],'Base Schedules'!$A$113:$AW$158,23,FALSE)),"")</f>
        <v>ADM</v>
      </c>
      <c r="Y34" s="184" t="str">
        <f>IFERROR(IF(VLOOKUP(Mon_W2[[#This Row],[Employee Name]],'Base Schedules'!$A$113:$AW$158,24,FALSE)="","",VLOOKUP(Mon_W2[[#This Row],[Employee Name]],'Base Schedules'!$A$113:$AW$158,24,FALSE)),"")</f>
        <v>ADM</v>
      </c>
      <c r="Z34" s="184" t="str">
        <f>IFERROR(IF(VLOOKUP(Mon_W2[[#This Row],[Employee Name]],'Base Schedules'!$A$113:$AW$158,25,FALSE)="","",VLOOKUP(Mon_W2[[#This Row],[Employee Name]],'Base Schedules'!$A$113:$AW$158,25,FALSE)),"")</f>
        <v>RNNR</v>
      </c>
      <c r="AA34" s="184" t="str">
        <f>IFERROR(IF(VLOOKUP(Mon_W2[[#This Row],[Employee Name]],'Base Schedules'!$A$113:$AW$158,26,FALSE)="","",VLOOKUP(Mon_W2[[#This Row],[Employee Name]],'Base Schedules'!$A$113:$AW$158,26,FALSE)),"")</f>
        <v>RNNR</v>
      </c>
      <c r="AB34" s="184" t="str">
        <f>IFERROR(IF(VLOOKUP(Mon_W2[[#This Row],[Employee Name]],'Base Schedules'!$A$113:$AW$158,27,FALSE)="","",VLOOKUP(Mon_W2[[#This Row],[Employee Name]],'Base Schedules'!$A$113:$AW$158,27,FALSE)),"")</f>
        <v>ADM</v>
      </c>
      <c r="AC34" s="184" t="str">
        <f>IFERROR(IF(VLOOKUP(Mon_W2[[#This Row],[Employee Name]],'Base Schedules'!$A$113:$AW$158,28,FALSE)="","",VLOOKUP(Mon_W2[[#This Row],[Employee Name]],'Base Schedules'!$A$113:$AW$158,28,FALSE)),"")</f>
        <v>ADM B2</v>
      </c>
      <c r="AD34" s="184" t="str">
        <f>IFERROR(IF(VLOOKUP(Mon_W2[[#This Row],[Employee Name]],'Base Schedules'!$A$113:$AW$158,29,FALSE)="","",VLOOKUP(Mon_W2[[#This Row],[Employee Name]],'Base Schedules'!$A$113:$AW$158,29,FALSE)),"")</f>
        <v>HL</v>
      </c>
      <c r="AE34" s="184" t="str">
        <f>IFERROR(IF(VLOOKUP(Mon_W2[[#This Row],[Employee Name]],'Base Schedules'!$A$113:$AW$158,30,FALSE)="","",VLOOKUP(Mon_W2[[#This Row],[Employee Name]],'Base Schedules'!$A$113:$AW$158,30,FALSE)),"")</f>
        <v>HL</v>
      </c>
      <c r="AF34" s="184" t="str">
        <f>IFERROR(IF(VLOOKUP(Mon_W2[[#This Row],[Employee Name]],'Base Schedules'!$A$113:$AW$158,31,FALSE)="","",VLOOKUP(Mon_W2[[#This Row],[Employee Name]],'Base Schedules'!$A$113:$AW$158,31,FALSE)),"")</f>
        <v>HL</v>
      </c>
      <c r="AG34" s="184" t="str">
        <f>IFERROR(IF(VLOOKUP(Mon_W2[[#This Row],[Employee Name]],'Base Schedules'!$A$113:$AW$158,32,FALSE)="","",VLOOKUP(Mon_W2[[#This Row],[Employee Name]],'Base Schedules'!$A$113:$AW$158,32,FALSE)),"")</f>
        <v>HL</v>
      </c>
      <c r="AH34" s="184" t="str">
        <f>IFERROR(IF(VLOOKUP(Mon_W2[[#This Row],[Employee Name]],'Base Schedules'!$A$113:$AW$158,33,FALSE)="","",VLOOKUP(Mon_W2[[#This Row],[Employee Name]],'Base Schedules'!$A$113:$AW$158,33,FALSE)),"")</f>
        <v>LUNCH</v>
      </c>
      <c r="AI34" s="184" t="str">
        <f>IFERROR(IF(VLOOKUP(Mon_W2[[#This Row],[Employee Name]],'Base Schedules'!$A$113:$AW$158,34,FALSE)="","",VLOOKUP(Mon_W2[[#This Row],[Employee Name]],'Base Schedules'!$A$113:$AW$158,34,FALSE)),"")</f>
        <v>LUNCH</v>
      </c>
      <c r="AJ34" s="184" t="str">
        <f>IFERROR(IF(VLOOKUP(Mon_W2[[#This Row],[Employee Name]],'Base Schedules'!$A$113:$AW$158,35,FALSE)="","",VLOOKUP(Mon_W2[[#This Row],[Employee Name]],'Base Schedules'!$A$113:$AW$158,35,FALSE)),"")</f>
        <v>PROJECT</v>
      </c>
      <c r="AK34" s="184" t="str">
        <f>IFERROR(IF(VLOOKUP(Mon_W2[[#This Row],[Employee Name]],'Base Schedules'!$A$113:$AW$158,36,FALSE)="","",VLOOKUP(Mon_W2[[#This Row],[Employee Name]],'Base Schedules'!$A$113:$AW$158,36,FALSE)),"")</f>
        <v>PROJECT</v>
      </c>
      <c r="AL34" s="184" t="str">
        <f>IFERROR(IF(VLOOKUP(Mon_W2[[#This Row],[Employee Name]],'Base Schedules'!$A$113:$AW$158,37,FALSE)="","",VLOOKUP(Mon_W2[[#This Row],[Employee Name]],'Base Schedules'!$A$113:$AW$158,37,FALSE)),"")</f>
        <v>ADM</v>
      </c>
      <c r="AM34" s="184" t="str">
        <f>IFERROR(IF(VLOOKUP(Mon_W2[[#This Row],[Employee Name]],'Base Schedules'!$A$113:$AW$158,38,FALSE)="","",VLOOKUP(Mon_W2[[#This Row],[Employee Name]],'Base Schedules'!$A$113:$AW$158,38,FALSE)),"")</f>
        <v>ADM</v>
      </c>
      <c r="AN34" s="184" t="str">
        <f>IFERROR(IF(VLOOKUP(Mon_W2[[#This Row],[Employee Name]],'Base Schedules'!$A$113:$AW$158,39,FALSE)="","",VLOOKUP(Mon_W2[[#This Row],[Employee Name]],'Base Schedules'!$A$113:$AW$158,39,FALSE)),"")</f>
        <v>ADM</v>
      </c>
      <c r="AO34" s="184" t="str">
        <f>IFERROR(IF(VLOOKUP(Mon_W2[[#This Row],[Employee Name]],'Base Schedules'!$A$113:$AW$158,40,FALSE)="","",VLOOKUP(Mon_W2[[#This Row],[Employee Name]],'Base Schedules'!$A$113:$AW$158,40,FALSE)),"")</f>
        <v>B2 HL</v>
      </c>
      <c r="AP34" s="184" t="str">
        <f>IFERROR(IF(VLOOKUP(Mon_W2[[#This Row],[Employee Name]],'Base Schedules'!$A$113:$AW$158,41,FALSE)="","",VLOOKUP(Mon_W2[[#This Row],[Employee Name]],'Base Schedules'!$A$113:$AW$158,41,FALSE)),"")</f>
        <v>HL</v>
      </c>
      <c r="AQ34" s="184" t="str">
        <f>IFERROR(IF(VLOOKUP(Mon_W2[[#This Row],[Employee Name]],'Base Schedules'!$A$113:$AW$158,42,FALSE)="","",VLOOKUP(Mon_W2[[#This Row],[Employee Name]],'Base Schedules'!$A$113:$AW$158,42,FALSE)),"")</f>
        <v>HL</v>
      </c>
      <c r="AR34" s="184" t="str">
        <f>IFERROR(IF(VLOOKUP(Mon_W2[[#This Row],[Employee Name]],'Base Schedules'!$A$113:$AW$158,43,FALSE)="","",VLOOKUP(Mon_W2[[#This Row],[Employee Name]],'Base Schedules'!$A$113:$AW$158,43,FALSE)),"")</f>
        <v>HL</v>
      </c>
      <c r="AS34" s="184" t="str">
        <f>IFERROR(IF(VLOOKUP(Mon_W2[[#This Row],[Employee Name]],'Base Schedules'!$A$113:$AW$158,44,FALSE)="","",VLOOKUP(Mon_W2[[#This Row],[Employee Name]],'Base Schedules'!$A$113:$AW$158,44,FALSE)),"")</f>
        <v>HL</v>
      </c>
      <c r="AT34" s="184" t="str">
        <f>IFERROR(IF(VLOOKUP(Mon_W2[[#This Row],[Employee Name]],'Base Schedules'!$A$113:$AW$158,45,FALSE)="","",VLOOKUP(Mon_W2[[#This Row],[Employee Name]],'Base Schedules'!$A$113:$AW$158,45,FALSE)),"")</f>
        <v/>
      </c>
      <c r="AU34" s="184" t="str">
        <f>IFERROR(IF(VLOOKUP(Mon_W2[[#This Row],[Employee Name]],'Base Schedules'!$A$113:$AW$158,46,FALSE)="","",VLOOKUP(Mon_W2[[#This Row],[Employee Name]],'Base Schedules'!$A$113:$AW$158,46,FALSE)),"")</f>
        <v/>
      </c>
      <c r="AV34" s="184" t="str">
        <f>IFERROR(IF(VLOOKUP(Mon_W2[[#This Row],[Employee Name]],'Base Schedules'!$A$113:$AW$158,47,FALSE)="","",VLOOKUP(Mon_W2[[#This Row],[Employee Name]],'Base Schedules'!$A$113:$AW$158,47,FALSE)),"")</f>
        <v/>
      </c>
      <c r="AW34" s="184" t="str">
        <f>IFERROR(IF(VLOOKUP(Mon_W2[[#This Row],[Employee Name]],'Base Schedules'!$A$113:$AW$158,48,FALSE)="","",VLOOKUP(Mon_W2[[#This Row],[Employee Name]],'Base Schedules'!$A$113:$AW$158,48,FALSE)),"")</f>
        <v/>
      </c>
      <c r="AX34" s="184" t="str">
        <f>IFERROR(IF(VLOOKUP(Mon_W2[[#This Row],[Employee Name]],'Base Schedules'!$A$113:$AW$158,49,FALSE)="","",VLOOKUP(Mon_W2[[#This Row],[Employee Name]],'Base Schedules'!$A$113:$AW$158,49,FALSE)),"")</f>
        <v/>
      </c>
      <c r="AY34" s="159" t="str">
        <f t="shared" si="2"/>
        <v>Floirendo, Nicholas</v>
      </c>
    </row>
    <row r="35" spans="1:51" s="44" customFormat="1" ht="12" customHeight="1" x14ac:dyDescent="0.2">
      <c r="A35" s="39" t="str">
        <f>IF(B35="","",INDEX(TeamList[],MATCH($B35,TeamList[[Employee Name]:[Employee Name]],0),MATCH("Manager",TeamList[#Headers],0)))</f>
        <v>Ahmed Hassan, Zahra</v>
      </c>
      <c r="B35" s="201" t="s">
        <v>63</v>
      </c>
      <c r="C35" s="257" t="str">
        <f>_xlfn.IFNA(VLOOKUP(Mon_W2[[#This Row],[Employee Name]],'Base Schedules'!A:B,2,FALSE),"")</f>
        <v>Supervisor</v>
      </c>
      <c r="D35" s="274">
        <f>_xlfn.IFNA(VLOOKUP(Mon_W2[[#This Row],[Employee Name]],'Base Schedules'!A:C,3,FALSE),"")</f>
        <v>1200</v>
      </c>
      <c r="E35" s="274">
        <f>_xlfn.IFNA(VLOOKUP(Mon_W2[[#This Row],[Employee Name]],'Base Schedules'!A:D,4,FALSE),"")</f>
        <v>2100</v>
      </c>
      <c r="F35" s="142">
        <f>IF(Mon_W2[[#This Row],[Employee Name]]="","",IF(Mon_W2[[#This Row],[Dept]]="Supervisor",COUNTIFS($J35:$AX35,"*HL*",$J35:$AX35,"&lt;&gt;"&amp;"pHL"),COUNTIFS($J35:$AX35,"*HL*",$J35:$AX35,"&lt;&gt;"&amp;"*pHL*",$J35:$AX35,"&lt;&gt;"&amp;"pB1 HL",$J35:$AX35,"&lt;&gt;"&amp;"pB2 HL")-SUM(COUNTIFS($J35:$AX35,"*HL B1*",$J35:$AX35,"&lt;&gt;"&amp;"pHL B1")*0.5,COUNTIFS($J35:$AX35,"*HL B2*",$J35:$AX35,"&lt;&gt;"&amp;"pHL B2")*0.5,COUNTIFS($J35:$AX35,"*B1 HL*",$J35:$AX35,"&lt;&gt;"&amp;"pB1 HL")*0.5,COUNTIFS($J35:$AX35,"*B2 HL*",$J35:$AX35,"&lt;&gt;"&amp;"pB2 HL")*0.5)))</f>
        <v>0</v>
      </c>
      <c r="G35" s="142">
        <f t="shared" si="0"/>
        <v>0</v>
      </c>
      <c r="H35" s="142">
        <f t="shared" si="1"/>
        <v>0</v>
      </c>
      <c r="I35" s="142">
        <f>IF(Mon_W2[[#This Row],[Employee Name]]="","",IF(Mon_W2[[#This Row],[Dept]]="Supervisor",SUM(COUNTIFS($J35:$AX35,"RTA*",$J35:$AX35,"&lt;&gt;"&amp;"pRTA"),COUNTIFS($J35:$AX35,"*CRTA*",$J35:$AX35,"&lt;&gt;"&amp;"pCRTA")),COUNTIFS($J35:$AX35,"*RNNR*",$J35:$AX35,"&lt;&gt;"&amp;"*pRNNR*",$J35:$AX35,"&lt;&gt;"&amp;"pB1 RNNR",$J35:$AX35,"&lt;&gt;"&amp;"pB2 RNNR")-SUM(COUNTIFS($J35:$AX35,"*RNNR B1*",$J35:$AX35,"&lt;&gt;"&amp;"pRNNR B1")*0.5,COUNTIFS($J35:$AX35,"*RNNR B2*",$J35:$AX35,"&lt;&gt;"&amp;"pRNNR B2")*0.5,COUNTIFS($J35:$AX35,"*B1 RNNR*",$J35:$AX35,"&lt;&gt;"&amp;"pB1 RNNR")*0.5,COUNTIFS($J35:$AX35,"*B2 RNNR*",$J35:$AX35,"&lt;&gt;"&amp;"pB2 RNNR")*0.5)))</f>
        <v>0</v>
      </c>
      <c r="J35" s="184" t="str">
        <f>IFERROR(IF(VLOOKUP(Mon_W2[[#This Row],[Employee Name]],'Base Schedules'!$A$113:$AW$158,9,FALSE)="","",VLOOKUP(Mon_W2[[#This Row],[Employee Name]],'Base Schedules'!$A$113:$AW$158,9,FALSE)),"")</f>
        <v/>
      </c>
      <c r="K35" s="184" t="str">
        <f>IFERROR(IF(VLOOKUP(Mon_W2[[#This Row],[Employee Name]],'Base Schedules'!$A$113:$AW$158,10,FALSE)="","",VLOOKUP(Mon_W2[[#This Row],[Employee Name]],'Base Schedules'!$A$113:$AW$158,10,FALSE)),"")</f>
        <v/>
      </c>
      <c r="L35" s="184" t="str">
        <f>IFERROR(IF(VLOOKUP(Mon_W2[[#This Row],[Employee Name]],'Base Schedules'!$A$113:$AW$158,11,FALSE)="","",VLOOKUP(Mon_W2[[#This Row],[Employee Name]],'Base Schedules'!$A$113:$AW$158,11,FALSE)),"")</f>
        <v/>
      </c>
      <c r="M35" s="184" t="str">
        <f>IFERROR(IF(VLOOKUP(Mon_W2[[#This Row],[Employee Name]],'Base Schedules'!$A$113:$AW$158,12,FALSE)="","",VLOOKUP(Mon_W2[[#This Row],[Employee Name]],'Base Schedules'!$A$113:$AW$158,12,FALSE)),"")</f>
        <v/>
      </c>
      <c r="N35" s="184" t="str">
        <f>IFERROR(IF(VLOOKUP(Mon_W2[[#This Row],[Employee Name]],'Base Schedules'!$A$113:$AW$158,13,FALSE)="","",VLOOKUP(Mon_W2[[#This Row],[Employee Name]],'Base Schedules'!$A$113:$AW$158,13,FALSE)),"")</f>
        <v/>
      </c>
      <c r="O35" s="184" t="str">
        <f>IFERROR(IF(VLOOKUP(Mon_W2[[#This Row],[Employee Name]],'Base Schedules'!$A$113:$AW$158,14,FALSE)="","",VLOOKUP(Mon_W2[[#This Row],[Employee Name]],'Base Schedules'!$A$113:$AW$158,14,FALSE)),"")</f>
        <v/>
      </c>
      <c r="P35" s="184" t="str">
        <f>IFERROR(IF(VLOOKUP(Mon_W2[[#This Row],[Employee Name]],'Base Schedules'!$A$113:$AW$158,15,FALSE)="","",VLOOKUP(Mon_W2[[#This Row],[Employee Name]],'Base Schedules'!$A$113:$AW$158,15,FALSE)),"")</f>
        <v/>
      </c>
      <c r="Q35" s="184" t="str">
        <f>IFERROR(IF(VLOOKUP(Mon_W2[[#This Row],[Employee Name]],'Base Schedules'!$A$113:$AW$158,16,FALSE)="","",VLOOKUP(Mon_W2[[#This Row],[Employee Name]],'Base Schedules'!$A$113:$AW$158,16,FALSE)),"")</f>
        <v/>
      </c>
      <c r="R35" s="184" t="str">
        <f>IFERROR(IF(VLOOKUP(Mon_W2[[#This Row],[Employee Name]],'Base Schedules'!$A$113:$AW$158,17,FALSE)="","",VLOOKUP(Mon_W2[[#This Row],[Employee Name]],'Base Schedules'!$A$113:$AW$158,17,FALSE)),"")</f>
        <v/>
      </c>
      <c r="S35" s="184" t="str">
        <f>IFERROR(IF(VLOOKUP(Mon_W2[[#This Row],[Employee Name]],'Base Schedules'!$A$113:$AW$158,18,FALSE)="","",VLOOKUP(Mon_W2[[#This Row],[Employee Name]],'Base Schedules'!$A$113:$AW$158,18,FALSE)),"")</f>
        <v/>
      </c>
      <c r="T35" s="184" t="str">
        <f>IFERROR(IF(VLOOKUP(Mon_W2[[#This Row],[Employee Name]],'Base Schedules'!$A$113:$AW$158,19,FALSE)="","",VLOOKUP(Mon_W2[[#This Row],[Employee Name]],'Base Schedules'!$A$113:$AW$158,19,FALSE)),"")</f>
        <v/>
      </c>
      <c r="U35" s="184" t="str">
        <f>IFERROR(IF(VLOOKUP(Mon_W2[[#This Row],[Employee Name]],'Base Schedules'!$A$113:$AW$158,20,FALSE)="","",VLOOKUP(Mon_W2[[#This Row],[Employee Name]],'Base Schedules'!$A$113:$AW$158,20,FALSE)),"")</f>
        <v/>
      </c>
      <c r="V35" s="184" t="str">
        <f>IFERROR(IF(VLOOKUP(Mon_W2[[#This Row],[Employee Name]],'Base Schedules'!$A$113:$AW$158,21,FALSE)="","",VLOOKUP(Mon_W2[[#This Row],[Employee Name]],'Base Schedules'!$A$113:$AW$158,21,FALSE)),"")</f>
        <v/>
      </c>
      <c r="W35" s="184" t="str">
        <f>IFERROR(IF(VLOOKUP(Mon_W2[[#This Row],[Employee Name]],'Base Schedules'!$A$113:$AW$158,22,FALSE)="","",VLOOKUP(Mon_W2[[#This Row],[Employee Name]],'Base Schedules'!$A$113:$AW$158,22,FALSE)),"")</f>
        <v/>
      </c>
      <c r="X35" s="184" t="str">
        <f>IFERROR(IF(VLOOKUP(Mon_W2[[#This Row],[Employee Name]],'Base Schedules'!$A$113:$AW$158,23,FALSE)="","",VLOOKUP(Mon_W2[[#This Row],[Employee Name]],'Base Schedules'!$A$113:$AW$158,23,FALSE)),"")</f>
        <v>-</v>
      </c>
      <c r="Y35" s="184" t="str">
        <f>IFERROR(IF(VLOOKUP(Mon_W2[[#This Row],[Employee Name]],'Base Schedules'!$A$113:$AW$158,24,FALSE)="","",VLOOKUP(Mon_W2[[#This Row],[Employee Name]],'Base Schedules'!$A$113:$AW$158,24,FALSE)),"")</f>
        <v>-</v>
      </c>
      <c r="Z35" s="184" t="str">
        <f>IFERROR(IF(VLOOKUP(Mon_W2[[#This Row],[Employee Name]],'Base Schedules'!$A$113:$AW$158,25,FALSE)="","",VLOOKUP(Mon_W2[[#This Row],[Employee Name]],'Base Schedules'!$A$113:$AW$158,25,FALSE)),"")</f>
        <v>-</v>
      </c>
      <c r="AA35" s="184" t="str">
        <f>IFERROR(IF(VLOOKUP(Mon_W2[[#This Row],[Employee Name]],'Base Schedules'!$A$113:$AW$158,26,FALSE)="","",VLOOKUP(Mon_W2[[#This Row],[Employee Name]],'Base Schedules'!$A$113:$AW$158,26,FALSE)),"")</f>
        <v>-</v>
      </c>
      <c r="AB35" s="184" t="str">
        <f>IFERROR(IF(VLOOKUP(Mon_W2[[#This Row],[Employee Name]],'Base Schedules'!$A$113:$AW$158,27,FALSE)="","",VLOOKUP(Mon_W2[[#This Row],[Employee Name]],'Base Schedules'!$A$113:$AW$158,27,FALSE)),"")</f>
        <v>-</v>
      </c>
      <c r="AC35" s="184" t="str">
        <f>IFERROR(IF(VLOOKUP(Mon_W2[[#This Row],[Employee Name]],'Base Schedules'!$A$113:$AW$158,28,FALSE)="","",VLOOKUP(Mon_W2[[#This Row],[Employee Name]],'Base Schedules'!$A$113:$AW$158,28,FALSE)),"")</f>
        <v>-</v>
      </c>
      <c r="AD35" s="184" t="str">
        <f>IFERROR(IF(VLOOKUP(Mon_W2[[#This Row],[Employee Name]],'Base Schedules'!$A$113:$AW$158,29,FALSE)="","",VLOOKUP(Mon_W2[[#This Row],[Employee Name]],'Base Schedules'!$A$113:$AW$158,29,FALSE)),"")</f>
        <v>-</v>
      </c>
      <c r="AE35" s="184" t="str">
        <f>IFERROR(IF(VLOOKUP(Mon_W2[[#This Row],[Employee Name]],'Base Schedules'!$A$113:$AW$158,30,FALSE)="","",VLOOKUP(Mon_W2[[#This Row],[Employee Name]],'Base Schedules'!$A$113:$AW$158,30,FALSE)),"")</f>
        <v>-</v>
      </c>
      <c r="AF35" s="184" t="str">
        <f>IFERROR(IF(VLOOKUP(Mon_W2[[#This Row],[Employee Name]],'Base Schedules'!$A$113:$AW$158,31,FALSE)="","",VLOOKUP(Mon_W2[[#This Row],[Employee Name]],'Base Schedules'!$A$113:$AW$158,31,FALSE)),"")</f>
        <v>-</v>
      </c>
      <c r="AG35" s="184" t="str">
        <f>IFERROR(IF(VLOOKUP(Mon_W2[[#This Row],[Employee Name]],'Base Schedules'!$A$113:$AW$158,32,FALSE)="","",VLOOKUP(Mon_W2[[#This Row],[Employee Name]],'Base Schedules'!$A$113:$AW$158,32,FALSE)),"")</f>
        <v>-</v>
      </c>
      <c r="AH35" s="184" t="str">
        <f>IFERROR(IF(VLOOKUP(Mon_W2[[#This Row],[Employee Name]],'Base Schedules'!$A$113:$AW$158,33,FALSE)="","",VLOOKUP(Mon_W2[[#This Row],[Employee Name]],'Base Schedules'!$A$113:$AW$158,33,FALSE)),"")</f>
        <v>Interview</v>
      </c>
      <c r="AI35" s="184" t="str">
        <f>IFERROR(IF(VLOOKUP(Mon_W2[[#This Row],[Employee Name]],'Base Schedules'!$A$113:$AW$158,34,FALSE)="","",VLOOKUP(Mon_W2[[#This Row],[Employee Name]],'Base Schedules'!$A$113:$AW$158,34,FALSE)),"")</f>
        <v>Interview</v>
      </c>
      <c r="AJ35" s="184" t="str">
        <f>IFERROR(IF(VLOOKUP(Mon_W2[[#This Row],[Employee Name]],'Base Schedules'!$A$113:$AW$158,35,FALSE)="","",VLOOKUP(Mon_W2[[#This Row],[Employee Name]],'Base Schedules'!$A$113:$AW$158,35,FALSE)),"")</f>
        <v>-</v>
      </c>
      <c r="AK35" s="184" t="str">
        <f>IFERROR(IF(VLOOKUP(Mon_W2[[#This Row],[Employee Name]],'Base Schedules'!$A$113:$AW$158,36,FALSE)="","",VLOOKUP(Mon_W2[[#This Row],[Employee Name]],'Base Schedules'!$A$113:$AW$158,36,FALSE)),"")</f>
        <v>-</v>
      </c>
      <c r="AL35" s="184" t="str">
        <f>IFERROR(IF(VLOOKUP(Mon_W2[[#This Row],[Employee Name]],'Base Schedules'!$A$113:$AW$158,37,FALSE)="","",VLOOKUP(Mon_W2[[#This Row],[Employee Name]],'Base Schedules'!$A$113:$AW$158,37,FALSE)),"")</f>
        <v>-</v>
      </c>
      <c r="AM35" s="184" t="str">
        <f>IFERROR(IF(VLOOKUP(Mon_W2[[#This Row],[Employee Name]],'Base Schedules'!$A$113:$AW$158,38,FALSE)="","",VLOOKUP(Mon_W2[[#This Row],[Employee Name]],'Base Schedules'!$A$113:$AW$158,38,FALSE)),"")</f>
        <v>-</v>
      </c>
      <c r="AN35" s="184" t="str">
        <f>IFERROR(IF(VLOOKUP(Mon_W2[[#This Row],[Employee Name]],'Base Schedules'!$A$113:$AW$158,39,FALSE)="","",VLOOKUP(Mon_W2[[#This Row],[Employee Name]],'Base Schedules'!$A$113:$AW$158,39,FALSE)),"")</f>
        <v>-</v>
      </c>
      <c r="AO35" s="184" t="str">
        <f>IFERROR(IF(VLOOKUP(Mon_W2[[#This Row],[Employee Name]],'Base Schedules'!$A$113:$AW$158,40,FALSE)="","",VLOOKUP(Mon_W2[[#This Row],[Employee Name]],'Base Schedules'!$A$113:$AW$158,40,FALSE)),"")</f>
        <v>-</v>
      </c>
      <c r="AP35" s="184" t="str">
        <f>IFERROR(IF(VLOOKUP(Mon_W2[[#This Row],[Employee Name]],'Base Schedules'!$A$113:$AW$158,41,FALSE)="","",VLOOKUP(Mon_W2[[#This Row],[Employee Name]],'Base Schedules'!$A$113:$AW$158,41,FALSE)),"")</f>
        <v/>
      </c>
      <c r="AQ35" s="184" t="str">
        <f>IFERROR(IF(VLOOKUP(Mon_W2[[#This Row],[Employee Name]],'Base Schedules'!$A$113:$AW$158,42,FALSE)="","",VLOOKUP(Mon_W2[[#This Row],[Employee Name]],'Base Schedules'!$A$113:$AW$158,42,FALSE)),"")</f>
        <v/>
      </c>
      <c r="AR35" s="184" t="str">
        <f>IFERROR(IF(VLOOKUP(Mon_W2[[#This Row],[Employee Name]],'Base Schedules'!$A$113:$AW$158,43,FALSE)="","",VLOOKUP(Mon_W2[[#This Row],[Employee Name]],'Base Schedules'!$A$113:$AW$158,43,FALSE)),"")</f>
        <v/>
      </c>
      <c r="AS35" s="184" t="str">
        <f>IFERROR(IF(VLOOKUP(Mon_W2[[#This Row],[Employee Name]],'Base Schedules'!$A$113:$AW$158,44,FALSE)="","",VLOOKUP(Mon_W2[[#This Row],[Employee Name]],'Base Schedules'!$A$113:$AW$158,44,FALSE)),"")</f>
        <v/>
      </c>
      <c r="AT35" s="184" t="str">
        <f>IFERROR(IF(VLOOKUP(Mon_W2[[#This Row],[Employee Name]],'Base Schedules'!$A$113:$AW$158,45,FALSE)="","",VLOOKUP(Mon_W2[[#This Row],[Employee Name]],'Base Schedules'!$A$113:$AW$158,45,FALSE)),"")</f>
        <v/>
      </c>
      <c r="AU35" s="184" t="str">
        <f>IFERROR(IF(VLOOKUP(Mon_W2[[#This Row],[Employee Name]],'Base Schedules'!$A$113:$AW$158,46,FALSE)="","",VLOOKUP(Mon_W2[[#This Row],[Employee Name]],'Base Schedules'!$A$113:$AW$158,46,FALSE)),"")</f>
        <v/>
      </c>
      <c r="AV35" s="184" t="str">
        <f>IFERROR(IF(VLOOKUP(Mon_W2[[#This Row],[Employee Name]],'Base Schedules'!$A$113:$AW$158,47,FALSE)="","",VLOOKUP(Mon_W2[[#This Row],[Employee Name]],'Base Schedules'!$A$113:$AW$158,47,FALSE)),"")</f>
        <v/>
      </c>
      <c r="AW35" s="184" t="str">
        <f>IFERROR(IF(VLOOKUP(Mon_W2[[#This Row],[Employee Name]],'Base Schedules'!$A$113:$AW$158,48,FALSE)="","",VLOOKUP(Mon_W2[[#This Row],[Employee Name]],'Base Schedules'!$A$113:$AW$158,48,FALSE)),"")</f>
        <v/>
      </c>
      <c r="AX35" s="184" t="str">
        <f>IFERROR(IF(VLOOKUP(Mon_W2[[#This Row],[Employee Name]],'Base Schedules'!$A$113:$AW$158,49,FALSE)="","",VLOOKUP(Mon_W2[[#This Row],[Employee Name]],'Base Schedules'!$A$113:$AW$158,49,FALSE)),"")</f>
        <v/>
      </c>
      <c r="AY35" s="159" t="str">
        <f t="shared" si="2"/>
        <v>Conner, Mark</v>
      </c>
    </row>
    <row r="36" spans="1:51" s="44" customFormat="1" ht="12" customHeight="1" x14ac:dyDescent="0.2">
      <c r="A36" s="39" t="str">
        <f>IF(B36="","",INDEX(TeamList[],MATCH($B36,TeamList[[Employee Name]:[Employee Name]],0),MATCH("Manager",TeamList[#Headers],0)))</f>
        <v>Olson, Katherine</v>
      </c>
      <c r="B36" s="201" t="s">
        <v>227</v>
      </c>
      <c r="C36" s="257" t="str">
        <f>_xlfn.IFNA(VLOOKUP(Mon_W2[[#This Row],[Employee Name]],'Base Schedules'!A:B,2,FALSE),"")</f>
        <v>Supervisor</v>
      </c>
      <c r="D36" s="274">
        <f>_xlfn.IFNA(VLOOKUP(Mon_W2[[#This Row],[Employee Name]],'Base Schedules'!A:C,3,FALSE),"")</f>
        <v>1230</v>
      </c>
      <c r="E36" s="274">
        <f>_xlfn.IFNA(VLOOKUP(Mon_W2[[#This Row],[Employee Name]],'Base Schedules'!A:D,4,FALSE),"")</f>
        <v>2130</v>
      </c>
      <c r="F36" s="142">
        <f>IF(Mon_W2[[#This Row],[Employee Name]]="","",IF(Mon_W2[[#This Row],[Dept]]="Supervisor",COUNTIFS($J36:$AX36,"*HL*",$J36:$AX36,"&lt;&gt;"&amp;"pHL"),COUNTIFS($J36:$AX36,"*HL*",$J36:$AX36,"&lt;&gt;"&amp;"*pHL*",$J36:$AX36,"&lt;&gt;"&amp;"pB1 HL",$J36:$AX36,"&lt;&gt;"&amp;"pB2 HL")-SUM(COUNTIFS($J36:$AX36,"*HL B1*",$J36:$AX36,"&lt;&gt;"&amp;"pHL B1")*0.5,COUNTIFS($J36:$AX36,"*HL B2*",$J36:$AX36,"&lt;&gt;"&amp;"pHL B2")*0.5,COUNTIFS($J36:$AX36,"*B1 HL*",$J36:$AX36,"&lt;&gt;"&amp;"pB1 HL")*0.5,COUNTIFS($J36:$AX36,"*B2 HL*",$J36:$AX36,"&lt;&gt;"&amp;"pB2 HL")*0.5)))</f>
        <v>0</v>
      </c>
      <c r="G36" s="142">
        <f t="shared" si="0"/>
        <v>0</v>
      </c>
      <c r="H36" s="142">
        <f t="shared" si="1"/>
        <v>0</v>
      </c>
      <c r="I36" s="142">
        <f>IF(Mon_W2[[#This Row],[Employee Name]]="","",IF(Mon_W2[[#This Row],[Dept]]="Supervisor",SUM(COUNTIFS($J36:$AX36,"RTA*",$J36:$AX36,"&lt;&gt;"&amp;"pRTA"),COUNTIFS($J36:$AX36,"*CRTA*",$J36:$AX36,"&lt;&gt;"&amp;"pCRTA")),COUNTIFS($J36:$AX36,"*RNNR*",$J36:$AX36,"&lt;&gt;"&amp;"*pRNNR*",$J36:$AX36,"&lt;&gt;"&amp;"pB1 RNNR",$J36:$AX36,"&lt;&gt;"&amp;"pB2 RNNR")-SUM(COUNTIFS($J36:$AX36,"*RNNR B1*",$J36:$AX36,"&lt;&gt;"&amp;"pRNNR B1")*0.5,COUNTIFS($J36:$AX36,"*RNNR B2*",$J36:$AX36,"&lt;&gt;"&amp;"pRNNR B2")*0.5,COUNTIFS($J36:$AX36,"*B1 RNNR*",$J36:$AX36,"&lt;&gt;"&amp;"pB1 RNNR")*0.5,COUNTIFS($J36:$AX36,"*B2 RNNR*",$J36:$AX36,"&lt;&gt;"&amp;"pB2 RNNR")*0.5)))</f>
        <v>0</v>
      </c>
      <c r="J36" s="184" t="str">
        <f>IFERROR(IF(VLOOKUP(Mon_W2[[#This Row],[Employee Name]],'Base Schedules'!$A$113:$AW$158,9,FALSE)="","",VLOOKUP(Mon_W2[[#This Row],[Employee Name]],'Base Schedules'!$A$113:$AW$158,9,FALSE)),"")</f>
        <v/>
      </c>
      <c r="K36" s="184" t="str">
        <f>IFERROR(IF(VLOOKUP(Mon_W2[[#This Row],[Employee Name]],'Base Schedules'!$A$113:$AW$158,10,FALSE)="","",VLOOKUP(Mon_W2[[#This Row],[Employee Name]],'Base Schedules'!$A$113:$AW$158,10,FALSE)),"")</f>
        <v/>
      </c>
      <c r="L36" s="184" t="str">
        <f>IFERROR(IF(VLOOKUP(Mon_W2[[#This Row],[Employee Name]],'Base Schedules'!$A$113:$AW$158,11,FALSE)="","",VLOOKUP(Mon_W2[[#This Row],[Employee Name]],'Base Schedules'!$A$113:$AW$158,11,FALSE)),"")</f>
        <v/>
      </c>
      <c r="M36" s="184" t="str">
        <f>IFERROR(IF(VLOOKUP(Mon_W2[[#This Row],[Employee Name]],'Base Schedules'!$A$113:$AW$158,12,FALSE)="","",VLOOKUP(Mon_W2[[#This Row],[Employee Name]],'Base Schedules'!$A$113:$AW$158,12,FALSE)),"")</f>
        <v/>
      </c>
      <c r="N36" s="184" t="str">
        <f>IFERROR(IF(VLOOKUP(Mon_W2[[#This Row],[Employee Name]],'Base Schedules'!$A$113:$AW$158,13,FALSE)="","",VLOOKUP(Mon_W2[[#This Row],[Employee Name]],'Base Schedules'!$A$113:$AW$158,13,FALSE)),"")</f>
        <v/>
      </c>
      <c r="O36" s="184" t="str">
        <f>IFERROR(IF(VLOOKUP(Mon_W2[[#This Row],[Employee Name]],'Base Schedules'!$A$113:$AW$158,14,FALSE)="","",VLOOKUP(Mon_W2[[#This Row],[Employee Name]],'Base Schedules'!$A$113:$AW$158,14,FALSE)),"")</f>
        <v/>
      </c>
      <c r="P36" s="184" t="str">
        <f>IFERROR(IF(VLOOKUP(Mon_W2[[#This Row],[Employee Name]],'Base Schedules'!$A$113:$AW$158,15,FALSE)="","",VLOOKUP(Mon_W2[[#This Row],[Employee Name]],'Base Schedules'!$A$113:$AW$158,15,FALSE)),"")</f>
        <v/>
      </c>
      <c r="Q36" s="184" t="str">
        <f>IFERROR(IF(VLOOKUP(Mon_W2[[#This Row],[Employee Name]],'Base Schedules'!$A$113:$AW$158,16,FALSE)="","",VLOOKUP(Mon_W2[[#This Row],[Employee Name]],'Base Schedules'!$A$113:$AW$158,16,FALSE)),"")</f>
        <v/>
      </c>
      <c r="R36" s="184" t="str">
        <f>IFERROR(IF(VLOOKUP(Mon_W2[[#This Row],[Employee Name]],'Base Schedules'!$A$113:$AW$158,17,FALSE)="","",VLOOKUP(Mon_W2[[#This Row],[Employee Name]],'Base Schedules'!$A$113:$AW$158,17,FALSE)),"")</f>
        <v/>
      </c>
      <c r="S36" s="184" t="str">
        <f>IFERROR(IF(VLOOKUP(Mon_W2[[#This Row],[Employee Name]],'Base Schedules'!$A$113:$AW$158,18,FALSE)="","",VLOOKUP(Mon_W2[[#This Row],[Employee Name]],'Base Schedules'!$A$113:$AW$158,18,FALSE)),"")</f>
        <v/>
      </c>
      <c r="T36" s="184" t="str">
        <f>IFERROR(IF(VLOOKUP(Mon_W2[[#This Row],[Employee Name]],'Base Schedules'!$A$113:$AW$158,19,FALSE)="","",VLOOKUP(Mon_W2[[#This Row],[Employee Name]],'Base Schedules'!$A$113:$AW$158,19,FALSE)),"")</f>
        <v/>
      </c>
      <c r="U36" s="184" t="str">
        <f>IFERROR(IF(VLOOKUP(Mon_W2[[#This Row],[Employee Name]],'Base Schedules'!$A$113:$AW$158,20,FALSE)="","",VLOOKUP(Mon_W2[[#This Row],[Employee Name]],'Base Schedules'!$A$113:$AW$158,20,FALSE)),"")</f>
        <v/>
      </c>
      <c r="V36" s="184" t="str">
        <f>IFERROR(IF(VLOOKUP(Mon_W2[[#This Row],[Employee Name]],'Base Schedules'!$A$113:$AW$158,21,FALSE)="","",VLOOKUP(Mon_W2[[#This Row],[Employee Name]],'Base Schedules'!$A$113:$AW$158,21,FALSE)),"")</f>
        <v/>
      </c>
      <c r="W36" s="184" t="str">
        <f>IFERROR(IF(VLOOKUP(Mon_W2[[#This Row],[Employee Name]],'Base Schedules'!$A$113:$AW$158,22,FALSE)="","",VLOOKUP(Mon_W2[[#This Row],[Employee Name]],'Base Schedules'!$A$113:$AW$158,22,FALSE)),"")</f>
        <v/>
      </c>
      <c r="X36" s="184" t="str">
        <f>IFERROR(IF(VLOOKUP(Mon_W2[[#This Row],[Employee Name]],'Base Schedules'!$A$113:$AW$158,23,FALSE)="","",VLOOKUP(Mon_W2[[#This Row],[Employee Name]],'Base Schedules'!$A$113:$AW$158,23,FALSE)),"")</f>
        <v/>
      </c>
      <c r="Y36" s="184" t="str">
        <f>IFERROR(IF(VLOOKUP(Mon_W2[[#This Row],[Employee Name]],'Base Schedules'!$A$113:$AW$158,24,FALSE)="","",VLOOKUP(Mon_W2[[#This Row],[Employee Name]],'Base Schedules'!$A$113:$AW$158,24,FALSE)),"")</f>
        <v>-</v>
      </c>
      <c r="Z36" s="184" t="str">
        <f>IFERROR(IF(VLOOKUP(Mon_W2[[#This Row],[Employee Name]],'Base Schedules'!$A$113:$AW$158,25,FALSE)="","",VLOOKUP(Mon_W2[[#This Row],[Employee Name]],'Base Schedules'!$A$113:$AW$158,25,FALSE)),"")</f>
        <v>-</v>
      </c>
      <c r="AA36" s="184" t="str">
        <f>IFERROR(IF(VLOOKUP(Mon_W2[[#This Row],[Employee Name]],'Base Schedules'!$A$113:$AW$158,26,FALSE)="","",VLOOKUP(Mon_W2[[#This Row],[Employee Name]],'Base Schedules'!$A$113:$AW$158,26,FALSE)),"")</f>
        <v>-</v>
      </c>
      <c r="AB36" s="184" t="str">
        <f>IFERROR(IF(VLOOKUP(Mon_W2[[#This Row],[Employee Name]],'Base Schedules'!$A$113:$AW$158,27,FALSE)="","",VLOOKUP(Mon_W2[[#This Row],[Employee Name]],'Base Schedules'!$A$113:$AW$158,27,FALSE)),"")</f>
        <v>-</v>
      </c>
      <c r="AC36" s="184" t="str">
        <f>IFERROR(IF(VLOOKUP(Mon_W2[[#This Row],[Employee Name]],'Base Schedules'!$A$113:$AW$158,28,FALSE)="","",VLOOKUP(Mon_W2[[#This Row],[Employee Name]],'Base Schedules'!$A$113:$AW$158,28,FALSE)),"")</f>
        <v>-</v>
      </c>
      <c r="AD36" s="184" t="str">
        <f>IFERROR(IF(VLOOKUP(Mon_W2[[#This Row],[Employee Name]],'Base Schedules'!$A$113:$AW$158,29,FALSE)="","",VLOOKUP(Mon_W2[[#This Row],[Employee Name]],'Base Schedules'!$A$113:$AW$158,29,FALSE)),"")</f>
        <v>-</v>
      </c>
      <c r="AE36" s="184" t="str">
        <f>IFERROR(IF(VLOOKUP(Mon_W2[[#This Row],[Employee Name]],'Base Schedules'!$A$113:$AW$158,30,FALSE)="","",VLOOKUP(Mon_W2[[#This Row],[Employee Name]],'Base Schedules'!$A$113:$AW$158,30,FALSE)),"")</f>
        <v>-</v>
      </c>
      <c r="AF36" s="184" t="str">
        <f>IFERROR(IF(VLOOKUP(Mon_W2[[#This Row],[Employee Name]],'Base Schedules'!$A$113:$AW$158,31,FALSE)="","",VLOOKUP(Mon_W2[[#This Row],[Employee Name]],'Base Schedules'!$A$113:$AW$158,31,FALSE)),"")</f>
        <v>-</v>
      </c>
      <c r="AG36" s="184" t="str">
        <f>IFERROR(IF(VLOOKUP(Mon_W2[[#This Row],[Employee Name]],'Base Schedules'!$A$113:$AW$158,32,FALSE)="","",VLOOKUP(Mon_W2[[#This Row],[Employee Name]],'Base Schedules'!$A$113:$AW$158,32,FALSE)),"")</f>
        <v>-</v>
      </c>
      <c r="AH36" s="184" t="str">
        <f>IFERROR(IF(VLOOKUP(Mon_W2[[#This Row],[Employee Name]],'Base Schedules'!$A$113:$AW$158,33,FALSE)="","",VLOOKUP(Mon_W2[[#This Row],[Employee Name]],'Base Schedules'!$A$113:$AW$158,33,FALSE)),"")</f>
        <v>-</v>
      </c>
      <c r="AI36" s="184" t="str">
        <f>IFERROR(IF(VLOOKUP(Mon_W2[[#This Row],[Employee Name]],'Base Schedules'!$A$113:$AW$158,34,FALSE)="","",VLOOKUP(Mon_W2[[#This Row],[Employee Name]],'Base Schedules'!$A$113:$AW$158,34,FALSE)),"")</f>
        <v>-</v>
      </c>
      <c r="AJ36" s="184" t="str">
        <f>IFERROR(IF(VLOOKUP(Mon_W2[[#This Row],[Employee Name]],'Base Schedules'!$A$113:$AW$158,35,FALSE)="","",VLOOKUP(Mon_W2[[#This Row],[Employee Name]],'Base Schedules'!$A$113:$AW$158,35,FALSE)),"")</f>
        <v>-</v>
      </c>
      <c r="AK36" s="184" t="str">
        <f>IFERROR(IF(VLOOKUP(Mon_W2[[#This Row],[Employee Name]],'Base Schedules'!$A$113:$AW$158,36,FALSE)="","",VLOOKUP(Mon_W2[[#This Row],[Employee Name]],'Base Schedules'!$A$113:$AW$158,36,FALSE)),"")</f>
        <v>-</v>
      </c>
      <c r="AL36" s="184" t="str">
        <f>IFERROR(IF(VLOOKUP(Mon_W2[[#This Row],[Employee Name]],'Base Schedules'!$A$113:$AW$158,37,FALSE)="","",VLOOKUP(Mon_W2[[#This Row],[Employee Name]],'Base Schedules'!$A$113:$AW$158,37,FALSE)),"")</f>
        <v>-</v>
      </c>
      <c r="AM36" s="184" t="str">
        <f>IFERROR(IF(VLOOKUP(Mon_W2[[#This Row],[Employee Name]],'Base Schedules'!$A$113:$AW$158,38,FALSE)="","",VLOOKUP(Mon_W2[[#This Row],[Employee Name]],'Base Schedules'!$A$113:$AW$158,38,FALSE)),"")</f>
        <v>-</v>
      </c>
      <c r="AN36" s="184" t="str">
        <f>IFERROR(IF(VLOOKUP(Mon_W2[[#This Row],[Employee Name]],'Base Schedules'!$A$113:$AW$158,39,FALSE)="","",VLOOKUP(Mon_W2[[#This Row],[Employee Name]],'Base Schedules'!$A$113:$AW$158,39,FALSE)),"")</f>
        <v>-</v>
      </c>
      <c r="AO36" s="184" t="str">
        <f>IFERROR(IF(VLOOKUP(Mon_W2[[#This Row],[Employee Name]],'Base Schedules'!$A$113:$AW$158,40,FALSE)="","",VLOOKUP(Mon_W2[[#This Row],[Employee Name]],'Base Schedules'!$A$113:$AW$158,40,FALSE)),"")</f>
        <v>-</v>
      </c>
      <c r="AP36" s="184" t="str">
        <f>IFERROR(IF(VLOOKUP(Mon_W2[[#This Row],[Employee Name]],'Base Schedules'!$A$113:$AW$158,41,FALSE)="","",VLOOKUP(Mon_W2[[#This Row],[Employee Name]],'Base Schedules'!$A$113:$AW$158,41,FALSE)),"")</f>
        <v>-</v>
      </c>
      <c r="AQ36" s="184" t="str">
        <f>IFERROR(IF(VLOOKUP(Mon_W2[[#This Row],[Employee Name]],'Base Schedules'!$A$113:$AW$158,42,FALSE)="","",VLOOKUP(Mon_W2[[#This Row],[Employee Name]],'Base Schedules'!$A$113:$AW$158,42,FALSE)),"")</f>
        <v>-</v>
      </c>
      <c r="AR36" s="184" t="str">
        <f>IFERROR(IF(VLOOKUP(Mon_W2[[#This Row],[Employee Name]],'Base Schedules'!$A$113:$AW$158,43,FALSE)="","",VLOOKUP(Mon_W2[[#This Row],[Employee Name]],'Base Schedules'!$A$113:$AW$158,43,FALSE)),"")</f>
        <v/>
      </c>
      <c r="AS36" s="184" t="str">
        <f>IFERROR(IF(VLOOKUP(Mon_W2[[#This Row],[Employee Name]],'Base Schedules'!$A$113:$AW$158,44,FALSE)="","",VLOOKUP(Mon_W2[[#This Row],[Employee Name]],'Base Schedules'!$A$113:$AW$158,44,FALSE)),"")</f>
        <v/>
      </c>
      <c r="AT36" s="184" t="str">
        <f>IFERROR(IF(VLOOKUP(Mon_W2[[#This Row],[Employee Name]],'Base Schedules'!$A$113:$AW$158,45,FALSE)="","",VLOOKUP(Mon_W2[[#This Row],[Employee Name]],'Base Schedules'!$A$113:$AW$158,45,FALSE)),"")</f>
        <v/>
      </c>
      <c r="AU36" s="184" t="str">
        <f>IFERROR(IF(VLOOKUP(Mon_W2[[#This Row],[Employee Name]],'Base Schedules'!$A$113:$AW$158,46,FALSE)="","",VLOOKUP(Mon_W2[[#This Row],[Employee Name]],'Base Schedules'!$A$113:$AW$158,46,FALSE)),"")</f>
        <v/>
      </c>
      <c r="AV36" s="184" t="str">
        <f>IFERROR(IF(VLOOKUP(Mon_W2[[#This Row],[Employee Name]],'Base Schedules'!$A$113:$AW$158,47,FALSE)="","",VLOOKUP(Mon_W2[[#This Row],[Employee Name]],'Base Schedules'!$A$113:$AW$158,47,FALSE)),"")</f>
        <v/>
      </c>
      <c r="AW36" s="184" t="str">
        <f>IFERROR(IF(VLOOKUP(Mon_W2[[#This Row],[Employee Name]],'Base Schedules'!$A$113:$AW$158,48,FALSE)="","",VLOOKUP(Mon_W2[[#This Row],[Employee Name]],'Base Schedules'!$A$113:$AW$158,48,FALSE)),"")</f>
        <v/>
      </c>
      <c r="AX36" s="184" t="str">
        <f>IFERROR(IF(VLOOKUP(Mon_W2[[#This Row],[Employee Name]],'Base Schedules'!$A$113:$AW$158,49,FALSE)="","",VLOOKUP(Mon_W2[[#This Row],[Employee Name]],'Base Schedules'!$A$113:$AW$158,49,FALSE)),"")</f>
        <v/>
      </c>
      <c r="AY36" s="159" t="str">
        <f t="shared" si="2"/>
        <v>Ostby, Paige</v>
      </c>
    </row>
    <row r="37" spans="1:51" s="44" customFormat="1" ht="12" customHeight="1" x14ac:dyDescent="0.2">
      <c r="A37" s="39" t="str">
        <f>IF(B37="","",INDEX(TeamList[],MATCH($B37,TeamList[[Employee Name]:[Employee Name]],0),MATCH("Manager",TeamList[#Headers],0)))</f>
        <v>Olson, Katherine</v>
      </c>
      <c r="B37" s="202" t="s">
        <v>238</v>
      </c>
      <c r="C37" s="257" t="str">
        <f>_xlfn.IFNA(VLOOKUP(Mon_W2[[#This Row],[Employee Name]],'Base Schedules'!A:B,2,FALSE),"")</f>
        <v>Lead</v>
      </c>
      <c r="D37" s="274">
        <f>_xlfn.IFNA(VLOOKUP(Mon_W2[[#This Row],[Employee Name]],'Base Schedules'!A:C,3,FALSE),"")</f>
        <v>1230</v>
      </c>
      <c r="E37" s="274">
        <f>_xlfn.IFNA(VLOOKUP(Mon_W2[[#This Row],[Employee Name]],'Base Schedules'!A:D,4,FALSE),"")</f>
        <v>2100</v>
      </c>
      <c r="F37" s="142">
        <f>IF(Mon_W2[[#This Row],[Employee Name]]="","",IF(Mon_W2[[#This Row],[Dept]]="Supervisor",COUNTIFS($J37:$AX37,"*HL*",$J37:$AX37,"&lt;&gt;"&amp;"pHL"),COUNTIFS($J37:$AX37,"*HL*",$J37:$AX37,"&lt;&gt;"&amp;"*pHL*",$J37:$AX37,"&lt;&gt;"&amp;"pB1 HL",$J37:$AX37,"&lt;&gt;"&amp;"pB2 HL")-SUM(COUNTIFS($J37:$AX37,"*HL B1*",$J37:$AX37,"&lt;&gt;"&amp;"pHL B1")*0.5,COUNTIFS($J37:$AX37,"*HL B2*",$J37:$AX37,"&lt;&gt;"&amp;"pHL B2")*0.5,COUNTIFS($J37:$AX37,"*B1 HL*",$J37:$AX37,"&lt;&gt;"&amp;"pB1 HL")*0.5,COUNTIFS($J37:$AX37,"*B2 HL*",$J37:$AX37,"&lt;&gt;"&amp;"pB2 HL")*0.5)))</f>
        <v>5</v>
      </c>
      <c r="G37" s="142">
        <f t="shared" si="0"/>
        <v>0</v>
      </c>
      <c r="H37" s="142">
        <f t="shared" si="1"/>
        <v>7</v>
      </c>
      <c r="I37" s="142">
        <f>IF(Mon_W2[[#This Row],[Employee Name]]="","",IF(Mon_W2[[#This Row],[Dept]]="Supervisor",SUM(COUNTIFS($J37:$AX37,"RTA*",$J37:$AX37,"&lt;&gt;"&amp;"pRTA"),COUNTIFS($J37:$AX37,"*CRTA*",$J37:$AX37,"&lt;&gt;"&amp;"pCRTA")),COUNTIFS($J37:$AX37,"*RNNR*",$J37:$AX37,"&lt;&gt;"&amp;"*pRNNR*",$J37:$AX37,"&lt;&gt;"&amp;"pB1 RNNR",$J37:$AX37,"&lt;&gt;"&amp;"pB2 RNNR")-SUM(COUNTIFS($J37:$AX37,"*RNNR B1*",$J37:$AX37,"&lt;&gt;"&amp;"pRNNR B1")*0.5,COUNTIFS($J37:$AX37,"*RNNR B2*",$J37:$AX37,"&lt;&gt;"&amp;"pRNNR B2")*0.5,COUNTIFS($J37:$AX37,"*B1 RNNR*",$J37:$AX37,"&lt;&gt;"&amp;"pB1 RNNR")*0.5,COUNTIFS($J37:$AX37,"*B2 RNNR*",$J37:$AX37,"&lt;&gt;"&amp;"pB2 RNNR")*0.5)))</f>
        <v>4</v>
      </c>
      <c r="J37" s="184" t="str">
        <f>IFERROR(IF(VLOOKUP(Mon_W2[[#This Row],[Employee Name]],'Base Schedules'!$A$113:$AW$158,9,FALSE)="","",VLOOKUP(Mon_W2[[#This Row],[Employee Name]],'Base Schedules'!$A$113:$AW$158,9,FALSE)),"")</f>
        <v/>
      </c>
      <c r="K37" s="184" t="str">
        <f>IFERROR(IF(VLOOKUP(Mon_W2[[#This Row],[Employee Name]],'Base Schedules'!$A$113:$AW$158,10,FALSE)="","",VLOOKUP(Mon_W2[[#This Row],[Employee Name]],'Base Schedules'!$A$113:$AW$158,10,FALSE)),"")</f>
        <v/>
      </c>
      <c r="L37" s="184" t="str">
        <f>IFERROR(IF(VLOOKUP(Mon_W2[[#This Row],[Employee Name]],'Base Schedules'!$A$113:$AW$158,11,FALSE)="","",VLOOKUP(Mon_W2[[#This Row],[Employee Name]],'Base Schedules'!$A$113:$AW$158,11,FALSE)),"")</f>
        <v/>
      </c>
      <c r="M37" s="184" t="str">
        <f>IFERROR(IF(VLOOKUP(Mon_W2[[#This Row],[Employee Name]],'Base Schedules'!$A$113:$AW$158,12,FALSE)="","",VLOOKUP(Mon_W2[[#This Row],[Employee Name]],'Base Schedules'!$A$113:$AW$158,12,FALSE)),"")</f>
        <v/>
      </c>
      <c r="N37" s="184" t="str">
        <f>IFERROR(IF(VLOOKUP(Mon_W2[[#This Row],[Employee Name]],'Base Schedules'!$A$113:$AW$158,13,FALSE)="","",VLOOKUP(Mon_W2[[#This Row],[Employee Name]],'Base Schedules'!$A$113:$AW$158,13,FALSE)),"")</f>
        <v/>
      </c>
      <c r="O37" s="184" t="str">
        <f>IFERROR(IF(VLOOKUP(Mon_W2[[#This Row],[Employee Name]],'Base Schedules'!$A$113:$AW$158,14,FALSE)="","",VLOOKUP(Mon_W2[[#This Row],[Employee Name]],'Base Schedules'!$A$113:$AW$158,14,FALSE)),"")</f>
        <v/>
      </c>
      <c r="P37" s="184" t="str">
        <f>IFERROR(IF(VLOOKUP(Mon_W2[[#This Row],[Employee Name]],'Base Schedules'!$A$113:$AW$158,15,FALSE)="","",VLOOKUP(Mon_W2[[#This Row],[Employee Name]],'Base Schedules'!$A$113:$AW$158,15,FALSE)),"")</f>
        <v/>
      </c>
      <c r="Q37" s="184" t="str">
        <f>IFERROR(IF(VLOOKUP(Mon_W2[[#This Row],[Employee Name]],'Base Schedules'!$A$113:$AW$158,16,FALSE)="","",VLOOKUP(Mon_W2[[#This Row],[Employee Name]],'Base Schedules'!$A$113:$AW$158,16,FALSE)),"")</f>
        <v/>
      </c>
      <c r="R37" s="184" t="str">
        <f>IFERROR(IF(VLOOKUP(Mon_W2[[#This Row],[Employee Name]],'Base Schedules'!$A$113:$AW$158,17,FALSE)="","",VLOOKUP(Mon_W2[[#This Row],[Employee Name]],'Base Schedules'!$A$113:$AW$158,17,FALSE)),"")</f>
        <v/>
      </c>
      <c r="S37" s="184" t="str">
        <f>IFERROR(IF(VLOOKUP(Mon_W2[[#This Row],[Employee Name]],'Base Schedules'!$A$113:$AW$158,18,FALSE)="","",VLOOKUP(Mon_W2[[#This Row],[Employee Name]],'Base Schedules'!$A$113:$AW$158,18,FALSE)),"")</f>
        <v/>
      </c>
      <c r="T37" s="184" t="str">
        <f>IFERROR(IF(VLOOKUP(Mon_W2[[#This Row],[Employee Name]],'Base Schedules'!$A$113:$AW$158,19,FALSE)="","",VLOOKUP(Mon_W2[[#This Row],[Employee Name]],'Base Schedules'!$A$113:$AW$158,19,FALSE)),"")</f>
        <v/>
      </c>
      <c r="U37" s="184" t="str">
        <f>IFERROR(IF(VLOOKUP(Mon_W2[[#This Row],[Employee Name]],'Base Schedules'!$A$113:$AW$158,20,FALSE)="","",VLOOKUP(Mon_W2[[#This Row],[Employee Name]],'Base Schedules'!$A$113:$AW$158,20,FALSE)),"")</f>
        <v/>
      </c>
      <c r="V37" s="184" t="str">
        <f>IFERROR(IF(VLOOKUP(Mon_W2[[#This Row],[Employee Name]],'Base Schedules'!$A$113:$AW$158,21,FALSE)="","",VLOOKUP(Mon_W2[[#This Row],[Employee Name]],'Base Schedules'!$A$113:$AW$158,21,FALSE)),"")</f>
        <v/>
      </c>
      <c r="W37" s="184" t="str">
        <f>IFERROR(IF(VLOOKUP(Mon_W2[[#This Row],[Employee Name]],'Base Schedules'!$A$113:$AW$158,22,FALSE)="","",VLOOKUP(Mon_W2[[#This Row],[Employee Name]],'Base Schedules'!$A$113:$AW$158,22,FALSE)),"")</f>
        <v/>
      </c>
      <c r="X37" s="184" t="str">
        <f>IFERROR(IF(VLOOKUP(Mon_W2[[#This Row],[Employee Name]],'Base Schedules'!$A$113:$AW$158,23,FALSE)="","",VLOOKUP(Mon_W2[[#This Row],[Employee Name]],'Base Schedules'!$A$113:$AW$158,23,FALSE)),"")</f>
        <v/>
      </c>
      <c r="Y37" s="184" t="str">
        <f>IFERROR(IF(VLOOKUP(Mon_W2[[#This Row],[Employee Name]],'Base Schedules'!$A$113:$AW$158,24,FALSE)="","",VLOOKUP(Mon_W2[[#This Row],[Employee Name]],'Base Schedules'!$A$113:$AW$158,24,FALSE)),"")</f>
        <v>HL</v>
      </c>
      <c r="Z37" s="184" t="str">
        <f>IFERROR(IF(VLOOKUP(Mon_W2[[#This Row],[Employee Name]],'Base Schedules'!$A$113:$AW$158,25,FALSE)="","",VLOOKUP(Mon_W2[[#This Row],[Employee Name]],'Base Schedules'!$A$113:$AW$158,25,FALSE)),"")</f>
        <v>HL</v>
      </c>
      <c r="AA37" s="184" t="str">
        <f>IFERROR(IF(VLOOKUP(Mon_W2[[#This Row],[Employee Name]],'Base Schedules'!$A$113:$AW$158,26,FALSE)="","",VLOOKUP(Mon_W2[[#This Row],[Employee Name]],'Base Schedules'!$A$113:$AW$158,26,FALSE)),"")</f>
        <v>HL</v>
      </c>
      <c r="AB37" s="184" t="str">
        <f>IFERROR(IF(VLOOKUP(Mon_W2[[#This Row],[Employee Name]],'Base Schedules'!$A$113:$AW$158,27,FALSE)="","",VLOOKUP(Mon_W2[[#This Row],[Employee Name]],'Base Schedules'!$A$113:$AW$158,27,FALSE)),"")</f>
        <v>B1 ADM</v>
      </c>
      <c r="AC37" s="184" t="str">
        <f>IFERROR(IF(VLOOKUP(Mon_W2[[#This Row],[Employee Name]],'Base Schedules'!$A$113:$AW$158,28,FALSE)="","",VLOOKUP(Mon_W2[[#This Row],[Employee Name]],'Base Schedules'!$A$113:$AW$158,28,FALSE)),"")</f>
        <v>RNNR</v>
      </c>
      <c r="AD37" s="184" t="str">
        <f>IFERROR(IF(VLOOKUP(Mon_W2[[#This Row],[Employee Name]],'Base Schedules'!$A$113:$AW$158,29,FALSE)="","",VLOOKUP(Mon_W2[[#This Row],[Employee Name]],'Base Schedules'!$A$113:$AW$158,29,FALSE)),"")</f>
        <v>RNNR</v>
      </c>
      <c r="AE37" s="184" t="str">
        <f>IFERROR(IF(VLOOKUP(Mon_W2[[#This Row],[Employee Name]],'Base Schedules'!$A$113:$AW$158,30,FALSE)="","",VLOOKUP(Mon_W2[[#This Row],[Employee Name]],'Base Schedules'!$A$113:$AW$158,30,FALSE)),"")</f>
        <v>ADM</v>
      </c>
      <c r="AF37" s="184" t="str">
        <f>IFERROR(IF(VLOOKUP(Mon_W2[[#This Row],[Employee Name]],'Base Schedules'!$A$113:$AW$158,31,FALSE)="","",VLOOKUP(Mon_W2[[#This Row],[Employee Name]],'Base Schedules'!$A$113:$AW$158,31,FALSE)),"")</f>
        <v>ADM</v>
      </c>
      <c r="AG37" s="184" t="str">
        <f>IFERROR(IF(VLOOKUP(Mon_W2[[#This Row],[Employee Name]],'Base Schedules'!$A$113:$AW$158,32,FALSE)="","",VLOOKUP(Mon_W2[[#This Row],[Employee Name]],'Base Schedules'!$A$113:$AW$158,32,FALSE)),"")</f>
        <v>LUNCH</v>
      </c>
      <c r="AH37" s="184" t="str">
        <f>IFERROR(IF(VLOOKUP(Mon_W2[[#This Row],[Employee Name]],'Base Schedules'!$A$113:$AW$158,33,FALSE)="","",VLOOKUP(Mon_W2[[#This Row],[Employee Name]],'Base Schedules'!$A$113:$AW$158,33,FALSE)),"")</f>
        <v>RNNR</v>
      </c>
      <c r="AI37" s="184" t="str">
        <f>IFERROR(IF(VLOOKUP(Mon_W2[[#This Row],[Employee Name]],'Base Schedules'!$A$113:$AW$158,34,FALSE)="","",VLOOKUP(Mon_W2[[#This Row],[Employee Name]],'Base Schedules'!$A$113:$AW$158,34,FALSE)),"")</f>
        <v>RNNR</v>
      </c>
      <c r="AJ37" s="184" t="str">
        <f>IFERROR(IF(VLOOKUP(Mon_W2[[#This Row],[Employee Name]],'Base Schedules'!$A$113:$AW$158,35,FALSE)="","",VLOOKUP(Mon_W2[[#This Row],[Employee Name]],'Base Schedules'!$A$113:$AW$158,35,FALSE)),"")</f>
        <v>ADM</v>
      </c>
      <c r="AK37" s="184" t="str">
        <f>IFERROR(IF(VLOOKUP(Mon_W2[[#This Row],[Employee Name]],'Base Schedules'!$A$113:$AW$158,36,FALSE)="","",VLOOKUP(Mon_W2[[#This Row],[Employee Name]],'Base Schedules'!$A$113:$AW$158,36,FALSE)),"")</f>
        <v>ADM B2</v>
      </c>
      <c r="AL37" s="184" t="str">
        <f>IFERROR(IF(VLOOKUP(Mon_W2[[#This Row],[Employee Name]],'Base Schedules'!$A$113:$AW$158,37,FALSE)="","",VLOOKUP(Mon_W2[[#This Row],[Employee Name]],'Base Schedules'!$A$113:$AW$158,37,FALSE)),"")</f>
        <v>ADM</v>
      </c>
      <c r="AM37" s="184" t="str">
        <f>IFERROR(IF(VLOOKUP(Mon_W2[[#This Row],[Employee Name]],'Base Schedules'!$A$113:$AW$158,38,FALSE)="","",VLOOKUP(Mon_W2[[#This Row],[Employee Name]],'Base Schedules'!$A$113:$AW$158,38,FALSE)),"")</f>
        <v>ADM</v>
      </c>
      <c r="AN37" s="184" t="str">
        <f>IFERROR(IF(VLOOKUP(Mon_W2[[#This Row],[Employee Name]],'Base Schedules'!$A$113:$AW$158,39,FALSE)="","",VLOOKUP(Mon_W2[[#This Row],[Employee Name]],'Base Schedules'!$A$113:$AW$158,39,FALSE)),"")</f>
        <v>HL</v>
      </c>
      <c r="AO37" s="184" t="str">
        <f>IFERROR(IF(VLOOKUP(Mon_W2[[#This Row],[Employee Name]],'Base Schedules'!$A$113:$AW$158,40,FALSE)="","",VLOOKUP(Mon_W2[[#This Row],[Employee Name]],'Base Schedules'!$A$113:$AW$158,40,FALSE)),"")</f>
        <v>HL</v>
      </c>
      <c r="AP37" s="184" t="str">
        <f>IFERROR(IF(VLOOKUP(Mon_W2[[#This Row],[Employee Name]],'Base Schedules'!$A$113:$AW$158,41,FALSE)="","",VLOOKUP(Mon_W2[[#This Row],[Employee Name]],'Base Schedules'!$A$113:$AW$158,41,FALSE)),"")</f>
        <v/>
      </c>
      <c r="AQ37" s="184" t="str">
        <f>IFERROR(IF(VLOOKUP(Mon_W2[[#This Row],[Employee Name]],'Base Schedules'!$A$113:$AW$158,42,FALSE)="","",VLOOKUP(Mon_W2[[#This Row],[Employee Name]],'Base Schedules'!$A$113:$AW$158,42,FALSE)),"")</f>
        <v/>
      </c>
      <c r="AR37" s="184" t="str">
        <f>IFERROR(IF(VLOOKUP(Mon_W2[[#This Row],[Employee Name]],'Base Schedules'!$A$113:$AW$158,43,FALSE)="","",VLOOKUP(Mon_W2[[#This Row],[Employee Name]],'Base Schedules'!$A$113:$AW$158,43,FALSE)),"")</f>
        <v/>
      </c>
      <c r="AS37" s="184" t="str">
        <f>IFERROR(IF(VLOOKUP(Mon_W2[[#This Row],[Employee Name]],'Base Schedules'!$A$113:$AW$158,44,FALSE)="","",VLOOKUP(Mon_W2[[#This Row],[Employee Name]],'Base Schedules'!$A$113:$AW$158,44,FALSE)),"")</f>
        <v/>
      </c>
      <c r="AT37" s="184" t="str">
        <f>IFERROR(IF(VLOOKUP(Mon_W2[[#This Row],[Employee Name]],'Base Schedules'!$A$113:$AW$158,45,FALSE)="","",VLOOKUP(Mon_W2[[#This Row],[Employee Name]],'Base Schedules'!$A$113:$AW$158,45,FALSE)),"")</f>
        <v/>
      </c>
      <c r="AU37" s="184" t="str">
        <f>IFERROR(IF(VLOOKUP(Mon_W2[[#This Row],[Employee Name]],'Base Schedules'!$A$113:$AW$158,46,FALSE)="","",VLOOKUP(Mon_W2[[#This Row],[Employee Name]],'Base Schedules'!$A$113:$AW$158,46,FALSE)),"")</f>
        <v/>
      </c>
      <c r="AV37" s="184" t="str">
        <f>IFERROR(IF(VLOOKUP(Mon_W2[[#This Row],[Employee Name]],'Base Schedules'!$A$113:$AW$158,47,FALSE)="","",VLOOKUP(Mon_W2[[#This Row],[Employee Name]],'Base Schedules'!$A$113:$AW$158,47,FALSE)),"")</f>
        <v/>
      </c>
      <c r="AW37" s="184" t="str">
        <f>IFERROR(IF(VLOOKUP(Mon_W2[[#This Row],[Employee Name]],'Base Schedules'!$A$113:$AW$158,48,FALSE)="","",VLOOKUP(Mon_W2[[#This Row],[Employee Name]],'Base Schedules'!$A$113:$AW$158,48,FALSE)),"")</f>
        <v/>
      </c>
      <c r="AX37" s="184" t="str">
        <f>IFERROR(IF(VLOOKUP(Mon_W2[[#This Row],[Employee Name]],'Base Schedules'!$A$113:$AW$158,49,FALSE)="","",VLOOKUP(Mon_W2[[#This Row],[Employee Name]],'Base Schedules'!$A$113:$AW$158,49,FALSE)),"")</f>
        <v/>
      </c>
      <c r="AY37" s="159" t="str">
        <f t="shared" si="2"/>
        <v>Suhama, Ryan</v>
      </c>
    </row>
    <row r="38" spans="1:51" s="44" customFormat="1" ht="12" customHeight="1" x14ac:dyDescent="0.2">
      <c r="A38" s="39" t="str">
        <f>IF(B38="","",INDEX(TeamList[],MATCH($B38,TeamList[[Employee Name]:[Employee Name]],0),MATCH("Manager",TeamList[#Headers],0)))</f>
        <v>Ahmed Hassan, Zahra</v>
      </c>
      <c r="B38" s="201" t="s">
        <v>23</v>
      </c>
      <c r="C38" s="257" t="str">
        <f>_xlfn.IFNA(VLOOKUP(Mon_W2[[#This Row],[Employee Name]],'Base Schedules'!A:B,2,FALSE),"")</f>
        <v>Supervisor</v>
      </c>
      <c r="D38" s="274">
        <f>_xlfn.IFNA(VLOOKUP(Mon_W2[[#This Row],[Employee Name]],'Base Schedules'!A:C,3,FALSE),"")</f>
        <v>1230</v>
      </c>
      <c r="E38" s="274">
        <f>_xlfn.IFNA(VLOOKUP(Mon_W2[[#This Row],[Employee Name]],'Base Schedules'!A:D,4,FALSE),"")</f>
        <v>2130</v>
      </c>
      <c r="F38" s="142">
        <f>IF(Mon_W2[[#This Row],[Employee Name]]="","",IF(Mon_W2[[#This Row],[Dept]]="Supervisor",COUNTIFS($J38:$AX38,"*HL*",$J38:$AX38,"&lt;&gt;"&amp;"pHL"),COUNTIFS($J38:$AX38,"*HL*",$J38:$AX38,"&lt;&gt;"&amp;"*pHL*",$J38:$AX38,"&lt;&gt;"&amp;"pB1 HL",$J38:$AX38,"&lt;&gt;"&amp;"pB2 HL")-SUM(COUNTIFS($J38:$AX38,"*HL B1*",$J38:$AX38,"&lt;&gt;"&amp;"pHL B1")*0.5,COUNTIFS($J38:$AX38,"*HL B2*",$J38:$AX38,"&lt;&gt;"&amp;"pHL B2")*0.5,COUNTIFS($J38:$AX38,"*B1 HL*",$J38:$AX38,"&lt;&gt;"&amp;"pB1 HL")*0.5,COUNTIFS($J38:$AX38,"*B2 HL*",$J38:$AX38,"&lt;&gt;"&amp;"pB2 HL")*0.5)))</f>
        <v>0</v>
      </c>
      <c r="G38" s="142">
        <f t="shared" si="0"/>
        <v>0</v>
      </c>
      <c r="H38" s="142">
        <f t="shared" si="1"/>
        <v>0</v>
      </c>
      <c r="I38" s="142">
        <f>IF(Mon_W2[[#This Row],[Employee Name]]="","",IF(Mon_W2[[#This Row],[Dept]]="Supervisor",SUM(COUNTIFS($J38:$AX38,"RTA*",$J38:$AX38,"&lt;&gt;"&amp;"pRTA"),COUNTIFS($J38:$AX38,"*CRTA*",$J38:$AX38,"&lt;&gt;"&amp;"pCRTA")),COUNTIFS($J38:$AX38,"*RNNR*",$J38:$AX38,"&lt;&gt;"&amp;"*pRNNR*",$J38:$AX38,"&lt;&gt;"&amp;"pB1 RNNR",$J38:$AX38,"&lt;&gt;"&amp;"pB2 RNNR")-SUM(COUNTIFS($J38:$AX38,"*RNNR B1*",$J38:$AX38,"&lt;&gt;"&amp;"pRNNR B1")*0.5,COUNTIFS($J38:$AX38,"*RNNR B2*",$J38:$AX38,"&lt;&gt;"&amp;"pRNNR B2")*0.5,COUNTIFS($J38:$AX38,"*B1 RNNR*",$J38:$AX38,"&lt;&gt;"&amp;"pB1 RNNR")*0.5,COUNTIFS($J38:$AX38,"*B2 RNNR*",$J38:$AX38,"&lt;&gt;"&amp;"pB2 RNNR")*0.5)))</f>
        <v>0</v>
      </c>
      <c r="J38" s="184" t="str">
        <f>IFERROR(IF(VLOOKUP(Mon_W2[[#This Row],[Employee Name]],'Base Schedules'!$A$113:$AW$158,9,FALSE)="","",VLOOKUP(Mon_W2[[#This Row],[Employee Name]],'Base Schedules'!$A$113:$AW$158,9,FALSE)),"")</f>
        <v/>
      </c>
      <c r="K38" s="184" t="str">
        <f>IFERROR(IF(VLOOKUP(Mon_W2[[#This Row],[Employee Name]],'Base Schedules'!$A$113:$AW$158,10,FALSE)="","",VLOOKUP(Mon_W2[[#This Row],[Employee Name]],'Base Schedules'!$A$113:$AW$158,10,FALSE)),"")</f>
        <v/>
      </c>
      <c r="L38" s="184" t="str">
        <f>IFERROR(IF(VLOOKUP(Mon_W2[[#This Row],[Employee Name]],'Base Schedules'!$A$113:$AW$158,11,FALSE)="","",VLOOKUP(Mon_W2[[#This Row],[Employee Name]],'Base Schedules'!$A$113:$AW$158,11,FALSE)),"")</f>
        <v/>
      </c>
      <c r="M38" s="184" t="str">
        <f>IFERROR(IF(VLOOKUP(Mon_W2[[#This Row],[Employee Name]],'Base Schedules'!$A$113:$AW$158,12,FALSE)="","",VLOOKUP(Mon_W2[[#This Row],[Employee Name]],'Base Schedules'!$A$113:$AW$158,12,FALSE)),"")</f>
        <v/>
      </c>
      <c r="N38" s="184" t="str">
        <f>IFERROR(IF(VLOOKUP(Mon_W2[[#This Row],[Employee Name]],'Base Schedules'!$A$113:$AW$158,13,FALSE)="","",VLOOKUP(Mon_W2[[#This Row],[Employee Name]],'Base Schedules'!$A$113:$AW$158,13,FALSE)),"")</f>
        <v/>
      </c>
      <c r="O38" s="184" t="str">
        <f>IFERROR(IF(VLOOKUP(Mon_W2[[#This Row],[Employee Name]],'Base Schedules'!$A$113:$AW$158,14,FALSE)="","",VLOOKUP(Mon_W2[[#This Row],[Employee Name]],'Base Schedules'!$A$113:$AW$158,14,FALSE)),"")</f>
        <v/>
      </c>
      <c r="P38" s="184" t="str">
        <f>IFERROR(IF(VLOOKUP(Mon_W2[[#This Row],[Employee Name]],'Base Schedules'!$A$113:$AW$158,15,FALSE)="","",VLOOKUP(Mon_W2[[#This Row],[Employee Name]],'Base Schedules'!$A$113:$AW$158,15,FALSE)),"")</f>
        <v/>
      </c>
      <c r="Q38" s="184" t="str">
        <f>IFERROR(IF(VLOOKUP(Mon_W2[[#This Row],[Employee Name]],'Base Schedules'!$A$113:$AW$158,16,FALSE)="","",VLOOKUP(Mon_W2[[#This Row],[Employee Name]],'Base Schedules'!$A$113:$AW$158,16,FALSE)),"")</f>
        <v/>
      </c>
      <c r="R38" s="184" t="str">
        <f>IFERROR(IF(VLOOKUP(Mon_W2[[#This Row],[Employee Name]],'Base Schedules'!$A$113:$AW$158,17,FALSE)="","",VLOOKUP(Mon_W2[[#This Row],[Employee Name]],'Base Schedules'!$A$113:$AW$158,17,FALSE)),"")</f>
        <v/>
      </c>
      <c r="S38" s="184" t="str">
        <f>IFERROR(IF(VLOOKUP(Mon_W2[[#This Row],[Employee Name]],'Base Schedules'!$A$113:$AW$158,18,FALSE)="","",VLOOKUP(Mon_W2[[#This Row],[Employee Name]],'Base Schedules'!$A$113:$AW$158,18,FALSE)),"")</f>
        <v/>
      </c>
      <c r="T38" s="184" t="str">
        <f>IFERROR(IF(VLOOKUP(Mon_W2[[#This Row],[Employee Name]],'Base Schedules'!$A$113:$AW$158,19,FALSE)="","",VLOOKUP(Mon_W2[[#This Row],[Employee Name]],'Base Schedules'!$A$113:$AW$158,19,FALSE)),"")</f>
        <v/>
      </c>
      <c r="U38" s="184" t="str">
        <f>IFERROR(IF(VLOOKUP(Mon_W2[[#This Row],[Employee Name]],'Base Schedules'!$A$113:$AW$158,20,FALSE)="","",VLOOKUP(Mon_W2[[#This Row],[Employee Name]],'Base Schedules'!$A$113:$AW$158,20,FALSE)),"")</f>
        <v/>
      </c>
      <c r="V38" s="184" t="str">
        <f>IFERROR(IF(VLOOKUP(Mon_W2[[#This Row],[Employee Name]],'Base Schedules'!$A$113:$AW$158,21,FALSE)="","",VLOOKUP(Mon_W2[[#This Row],[Employee Name]],'Base Schedules'!$A$113:$AW$158,21,FALSE)),"")</f>
        <v/>
      </c>
      <c r="W38" s="184" t="str">
        <f>IFERROR(IF(VLOOKUP(Mon_W2[[#This Row],[Employee Name]],'Base Schedules'!$A$113:$AW$158,22,FALSE)="","",VLOOKUP(Mon_W2[[#This Row],[Employee Name]],'Base Schedules'!$A$113:$AW$158,22,FALSE)),"")</f>
        <v/>
      </c>
      <c r="X38" s="184" t="str">
        <f>IFERROR(IF(VLOOKUP(Mon_W2[[#This Row],[Employee Name]],'Base Schedules'!$A$113:$AW$158,23,FALSE)="","",VLOOKUP(Mon_W2[[#This Row],[Employee Name]],'Base Schedules'!$A$113:$AW$158,23,FALSE)),"")</f>
        <v/>
      </c>
      <c r="Y38" s="184" t="str">
        <f>IFERROR(IF(VLOOKUP(Mon_W2[[#This Row],[Employee Name]],'Base Schedules'!$A$113:$AW$158,24,FALSE)="","",VLOOKUP(Mon_W2[[#This Row],[Employee Name]],'Base Schedules'!$A$113:$AW$158,24,FALSE)),"")</f>
        <v>-</v>
      </c>
      <c r="Z38" s="184" t="str">
        <f>IFERROR(IF(VLOOKUP(Mon_W2[[#This Row],[Employee Name]],'Base Schedules'!$A$113:$AW$158,25,FALSE)="","",VLOOKUP(Mon_W2[[#This Row],[Employee Name]],'Base Schedules'!$A$113:$AW$158,25,FALSE)),"")</f>
        <v>-</v>
      </c>
      <c r="AA38" s="184" t="str">
        <f>IFERROR(IF(VLOOKUP(Mon_W2[[#This Row],[Employee Name]],'Base Schedules'!$A$113:$AW$158,26,FALSE)="","",VLOOKUP(Mon_W2[[#This Row],[Employee Name]],'Base Schedules'!$A$113:$AW$158,26,FALSE)),"")</f>
        <v>-</v>
      </c>
      <c r="AB38" s="184" t="str">
        <f>IFERROR(IF(VLOOKUP(Mon_W2[[#This Row],[Employee Name]],'Base Schedules'!$A$113:$AW$158,27,FALSE)="","",VLOOKUP(Mon_W2[[#This Row],[Employee Name]],'Base Schedules'!$A$113:$AW$158,27,FALSE)),"")</f>
        <v>-</v>
      </c>
      <c r="AC38" s="184" t="str">
        <f>IFERROR(IF(VLOOKUP(Mon_W2[[#This Row],[Employee Name]],'Base Schedules'!$A$113:$AW$158,28,FALSE)="","",VLOOKUP(Mon_W2[[#This Row],[Employee Name]],'Base Schedules'!$A$113:$AW$158,28,FALSE)),"")</f>
        <v>-</v>
      </c>
      <c r="AD38" s="184" t="str">
        <f>IFERROR(IF(VLOOKUP(Mon_W2[[#This Row],[Employee Name]],'Base Schedules'!$A$113:$AW$158,29,FALSE)="","",VLOOKUP(Mon_W2[[#This Row],[Employee Name]],'Base Schedules'!$A$113:$AW$158,29,FALSE)),"")</f>
        <v>-</v>
      </c>
      <c r="AE38" s="184" t="str">
        <f>IFERROR(IF(VLOOKUP(Mon_W2[[#This Row],[Employee Name]],'Base Schedules'!$A$113:$AW$158,30,FALSE)="","",VLOOKUP(Mon_W2[[#This Row],[Employee Name]],'Base Schedules'!$A$113:$AW$158,30,FALSE)),"")</f>
        <v>-</v>
      </c>
      <c r="AF38" s="184" t="str">
        <f>IFERROR(IF(VLOOKUP(Mon_W2[[#This Row],[Employee Name]],'Base Schedules'!$A$113:$AW$158,31,FALSE)="","",VLOOKUP(Mon_W2[[#This Row],[Employee Name]],'Base Schedules'!$A$113:$AW$158,31,FALSE)),"")</f>
        <v>Interview</v>
      </c>
      <c r="AG38" s="184" t="str">
        <f>IFERROR(IF(VLOOKUP(Mon_W2[[#This Row],[Employee Name]],'Base Schedules'!$A$113:$AW$158,32,FALSE)="","",VLOOKUP(Mon_W2[[#This Row],[Employee Name]],'Base Schedules'!$A$113:$AW$158,32,FALSE)),"")</f>
        <v>Interview</v>
      </c>
      <c r="AH38" s="184" t="str">
        <f>IFERROR(IF(VLOOKUP(Mon_W2[[#This Row],[Employee Name]],'Base Schedules'!$A$113:$AW$158,33,FALSE)="","",VLOOKUP(Mon_W2[[#This Row],[Employee Name]],'Base Schedules'!$A$113:$AW$158,33,FALSE)),"")</f>
        <v>-</v>
      </c>
      <c r="AI38" s="184" t="str">
        <f>IFERROR(IF(VLOOKUP(Mon_W2[[#This Row],[Employee Name]],'Base Schedules'!$A$113:$AW$158,34,FALSE)="","",VLOOKUP(Mon_W2[[#This Row],[Employee Name]],'Base Schedules'!$A$113:$AW$158,34,FALSE)),"")</f>
        <v>-</v>
      </c>
      <c r="AJ38" s="184" t="str">
        <f>IFERROR(IF(VLOOKUP(Mon_W2[[#This Row],[Employee Name]],'Base Schedules'!$A$113:$AW$158,35,FALSE)="","",VLOOKUP(Mon_W2[[#This Row],[Employee Name]],'Base Schedules'!$A$113:$AW$158,35,FALSE)),"")</f>
        <v>-</v>
      </c>
      <c r="AK38" s="184" t="str">
        <f>IFERROR(IF(VLOOKUP(Mon_W2[[#This Row],[Employee Name]],'Base Schedules'!$A$113:$AW$158,36,FALSE)="","",VLOOKUP(Mon_W2[[#This Row],[Employee Name]],'Base Schedules'!$A$113:$AW$158,36,FALSE)),"")</f>
        <v>-</v>
      </c>
      <c r="AL38" s="184" t="str">
        <f>IFERROR(IF(VLOOKUP(Mon_W2[[#This Row],[Employee Name]],'Base Schedules'!$A$113:$AW$158,37,FALSE)="","",VLOOKUP(Mon_W2[[#This Row],[Employee Name]],'Base Schedules'!$A$113:$AW$158,37,FALSE)),"")</f>
        <v>-</v>
      </c>
      <c r="AM38" s="184" t="str">
        <f>IFERROR(IF(VLOOKUP(Mon_W2[[#This Row],[Employee Name]],'Base Schedules'!$A$113:$AW$158,38,FALSE)="","",VLOOKUP(Mon_W2[[#This Row],[Employee Name]],'Base Schedules'!$A$113:$AW$158,38,FALSE)),"")</f>
        <v>-</v>
      </c>
      <c r="AN38" s="184" t="str">
        <f>IFERROR(IF(VLOOKUP(Mon_W2[[#This Row],[Employee Name]],'Base Schedules'!$A$113:$AW$158,39,FALSE)="","",VLOOKUP(Mon_W2[[#This Row],[Employee Name]],'Base Schedules'!$A$113:$AW$158,39,FALSE)),"")</f>
        <v>-</v>
      </c>
      <c r="AO38" s="184" t="str">
        <f>IFERROR(IF(VLOOKUP(Mon_W2[[#This Row],[Employee Name]],'Base Schedules'!$A$113:$AW$158,40,FALSE)="","",VLOOKUP(Mon_W2[[#This Row],[Employee Name]],'Base Schedules'!$A$113:$AW$158,40,FALSE)),"")</f>
        <v>-</v>
      </c>
      <c r="AP38" s="184" t="str">
        <f>IFERROR(IF(VLOOKUP(Mon_W2[[#This Row],[Employee Name]],'Base Schedules'!$A$113:$AW$158,41,FALSE)="","",VLOOKUP(Mon_W2[[#This Row],[Employee Name]],'Base Schedules'!$A$113:$AW$158,41,FALSE)),"")</f>
        <v>-</v>
      </c>
      <c r="AQ38" s="184" t="str">
        <f>IFERROR(IF(VLOOKUP(Mon_W2[[#This Row],[Employee Name]],'Base Schedules'!$A$113:$AW$158,42,FALSE)="","",VLOOKUP(Mon_W2[[#This Row],[Employee Name]],'Base Schedules'!$A$113:$AW$158,42,FALSE)),"")</f>
        <v/>
      </c>
      <c r="AR38" s="184" t="str">
        <f>IFERROR(IF(VLOOKUP(Mon_W2[[#This Row],[Employee Name]],'Base Schedules'!$A$113:$AW$158,43,FALSE)="","",VLOOKUP(Mon_W2[[#This Row],[Employee Name]],'Base Schedules'!$A$113:$AW$158,43,FALSE)),"")</f>
        <v/>
      </c>
      <c r="AS38" s="184" t="str">
        <f>IFERROR(IF(VLOOKUP(Mon_W2[[#This Row],[Employee Name]],'Base Schedules'!$A$113:$AW$158,44,FALSE)="","",VLOOKUP(Mon_W2[[#This Row],[Employee Name]],'Base Schedules'!$A$113:$AW$158,44,FALSE)),"")</f>
        <v/>
      </c>
      <c r="AT38" s="184" t="str">
        <f>IFERROR(IF(VLOOKUP(Mon_W2[[#This Row],[Employee Name]],'Base Schedules'!$A$113:$AW$158,45,FALSE)="","",VLOOKUP(Mon_W2[[#This Row],[Employee Name]],'Base Schedules'!$A$113:$AW$158,45,FALSE)),"")</f>
        <v/>
      </c>
      <c r="AU38" s="184" t="str">
        <f>IFERROR(IF(VLOOKUP(Mon_W2[[#This Row],[Employee Name]],'Base Schedules'!$A$113:$AW$158,46,FALSE)="","",VLOOKUP(Mon_W2[[#This Row],[Employee Name]],'Base Schedules'!$A$113:$AW$158,46,FALSE)),"")</f>
        <v/>
      </c>
      <c r="AV38" s="184" t="str">
        <f>IFERROR(IF(VLOOKUP(Mon_W2[[#This Row],[Employee Name]],'Base Schedules'!$A$113:$AW$158,47,FALSE)="","",VLOOKUP(Mon_W2[[#This Row],[Employee Name]],'Base Schedules'!$A$113:$AW$158,47,FALSE)),"")</f>
        <v/>
      </c>
      <c r="AW38" s="184" t="str">
        <f>IFERROR(IF(VLOOKUP(Mon_W2[[#This Row],[Employee Name]],'Base Schedules'!$A$113:$AW$158,48,FALSE)="","",VLOOKUP(Mon_W2[[#This Row],[Employee Name]],'Base Schedules'!$A$113:$AW$158,48,FALSE)),"")</f>
        <v/>
      </c>
      <c r="AX38" s="184" t="str">
        <f>IFERROR(IF(VLOOKUP(Mon_W2[[#This Row],[Employee Name]],'Base Schedules'!$A$113:$AW$158,49,FALSE)="","",VLOOKUP(Mon_W2[[#This Row],[Employee Name]],'Base Schedules'!$A$113:$AW$158,49,FALSE)),"")</f>
        <v/>
      </c>
      <c r="AY38" s="159" t="str">
        <f t="shared" si="2"/>
        <v>McFall, Erin</v>
      </c>
    </row>
    <row r="39" spans="1:51" s="44" customFormat="1" ht="12" customHeight="1" x14ac:dyDescent="0.2">
      <c r="A39" s="39" t="str">
        <f>IF(B39="","",INDEX(TeamList[],MATCH($B39,TeamList[[Employee Name]:[Employee Name]],0),MATCH("Manager",TeamList[#Headers],0)))</f>
        <v>Paulson, Matthew</v>
      </c>
      <c r="B39" s="330" t="s">
        <v>66</v>
      </c>
      <c r="C39" s="257" t="str">
        <f>_xlfn.IFNA(VLOOKUP(Mon_W2[[#This Row],[Employee Name]],'Base Schedules'!A:B,2,FALSE),"")</f>
        <v>Supervisor</v>
      </c>
      <c r="D39" s="274">
        <f>_xlfn.IFNA(VLOOKUP(Mon_W2[[#This Row],[Employee Name]],'Base Schedules'!A:C,3,FALSE),"")</f>
        <v>1230</v>
      </c>
      <c r="E39" s="274">
        <f>_xlfn.IFNA(VLOOKUP(Mon_W2[[#This Row],[Employee Name]],'Base Schedules'!A:D,4,FALSE),"")</f>
        <v>2130</v>
      </c>
      <c r="F39" s="142">
        <f>IF(Mon_W2[[#This Row],[Employee Name]]="","",IF(Mon_W2[[#This Row],[Dept]]="Supervisor",COUNTIFS($J39:$AX39,"*HL*",$J39:$AX39,"&lt;&gt;"&amp;"pHL"),COUNTIFS($J39:$AX39,"*HL*",$J39:$AX39,"&lt;&gt;"&amp;"*pHL*",$J39:$AX39,"&lt;&gt;"&amp;"pB1 HL",$J39:$AX39,"&lt;&gt;"&amp;"pB2 HL")-SUM(COUNTIFS($J39:$AX39,"*HL B1*",$J39:$AX39,"&lt;&gt;"&amp;"pHL B1")*0.5,COUNTIFS($J39:$AX39,"*HL B2*",$J39:$AX39,"&lt;&gt;"&amp;"pHL B2")*0.5,COUNTIFS($J39:$AX39,"*B1 HL*",$J39:$AX39,"&lt;&gt;"&amp;"pB1 HL")*0.5,COUNTIFS($J39:$AX39,"*B2 HL*",$J39:$AX39,"&lt;&gt;"&amp;"pB2 HL")*0.5)))</f>
        <v>0</v>
      </c>
      <c r="G39" s="142">
        <f t="shared" si="0"/>
        <v>0</v>
      </c>
      <c r="H39" s="142">
        <f t="shared" si="1"/>
        <v>0</v>
      </c>
      <c r="I39" s="142">
        <f>IF(Mon_W2[[#This Row],[Employee Name]]="","",IF(Mon_W2[[#This Row],[Dept]]="Supervisor",SUM(COUNTIFS($J39:$AX39,"RTA*",$J39:$AX39,"&lt;&gt;"&amp;"pRTA"),COUNTIFS($J39:$AX39,"*CRTA*",$J39:$AX39,"&lt;&gt;"&amp;"pCRTA")),COUNTIFS($J39:$AX39,"*RNNR*",$J39:$AX39,"&lt;&gt;"&amp;"*pRNNR*",$J39:$AX39,"&lt;&gt;"&amp;"pB1 RNNR",$J39:$AX39,"&lt;&gt;"&amp;"pB2 RNNR")-SUM(COUNTIFS($J39:$AX39,"*RNNR B1*",$J39:$AX39,"&lt;&gt;"&amp;"pRNNR B1")*0.5,COUNTIFS($J39:$AX39,"*RNNR B2*",$J39:$AX39,"&lt;&gt;"&amp;"pRNNR B2")*0.5,COUNTIFS($J39:$AX39,"*B1 RNNR*",$J39:$AX39,"&lt;&gt;"&amp;"pB1 RNNR")*0.5,COUNTIFS($J39:$AX39,"*B2 RNNR*",$J39:$AX39,"&lt;&gt;"&amp;"pB2 RNNR")*0.5)))</f>
        <v>0</v>
      </c>
      <c r="J39" s="184" t="str">
        <f>IFERROR(IF(VLOOKUP(Mon_W2[[#This Row],[Employee Name]],'Base Schedules'!$A$113:$AW$158,9,FALSE)="","",VLOOKUP(Mon_W2[[#This Row],[Employee Name]],'Base Schedules'!$A$113:$AW$158,9,FALSE)),"")</f>
        <v/>
      </c>
      <c r="K39" s="184" t="str">
        <f>IFERROR(IF(VLOOKUP(Mon_W2[[#This Row],[Employee Name]],'Base Schedules'!$A$113:$AW$158,10,FALSE)="","",VLOOKUP(Mon_W2[[#This Row],[Employee Name]],'Base Schedules'!$A$113:$AW$158,10,FALSE)),"")</f>
        <v/>
      </c>
      <c r="L39" s="184" t="str">
        <f>IFERROR(IF(VLOOKUP(Mon_W2[[#This Row],[Employee Name]],'Base Schedules'!$A$113:$AW$158,11,FALSE)="","",VLOOKUP(Mon_W2[[#This Row],[Employee Name]],'Base Schedules'!$A$113:$AW$158,11,FALSE)),"")</f>
        <v/>
      </c>
      <c r="M39" s="184" t="str">
        <f>IFERROR(IF(VLOOKUP(Mon_W2[[#This Row],[Employee Name]],'Base Schedules'!$A$113:$AW$158,12,FALSE)="","",VLOOKUP(Mon_W2[[#This Row],[Employee Name]],'Base Schedules'!$A$113:$AW$158,12,FALSE)),"")</f>
        <v/>
      </c>
      <c r="N39" s="184" t="str">
        <f>IFERROR(IF(VLOOKUP(Mon_W2[[#This Row],[Employee Name]],'Base Schedules'!$A$113:$AW$158,13,FALSE)="","",VLOOKUP(Mon_W2[[#This Row],[Employee Name]],'Base Schedules'!$A$113:$AW$158,13,FALSE)),"")</f>
        <v/>
      </c>
      <c r="O39" s="184" t="str">
        <f>IFERROR(IF(VLOOKUP(Mon_W2[[#This Row],[Employee Name]],'Base Schedules'!$A$113:$AW$158,14,FALSE)="","",VLOOKUP(Mon_W2[[#This Row],[Employee Name]],'Base Schedules'!$A$113:$AW$158,14,FALSE)),"")</f>
        <v/>
      </c>
      <c r="P39" s="184" t="str">
        <f>IFERROR(IF(VLOOKUP(Mon_W2[[#This Row],[Employee Name]],'Base Schedules'!$A$113:$AW$158,15,FALSE)="","",VLOOKUP(Mon_W2[[#This Row],[Employee Name]],'Base Schedules'!$A$113:$AW$158,15,FALSE)),"")</f>
        <v/>
      </c>
      <c r="Q39" s="184" t="str">
        <f>IFERROR(IF(VLOOKUP(Mon_W2[[#This Row],[Employee Name]],'Base Schedules'!$A$113:$AW$158,16,FALSE)="","",VLOOKUP(Mon_W2[[#This Row],[Employee Name]],'Base Schedules'!$A$113:$AW$158,16,FALSE)),"")</f>
        <v/>
      </c>
      <c r="R39" s="184" t="str">
        <f>IFERROR(IF(VLOOKUP(Mon_W2[[#This Row],[Employee Name]],'Base Schedules'!$A$113:$AW$158,17,FALSE)="","",VLOOKUP(Mon_W2[[#This Row],[Employee Name]],'Base Schedules'!$A$113:$AW$158,17,FALSE)),"")</f>
        <v/>
      </c>
      <c r="S39" s="184" t="str">
        <f>IFERROR(IF(VLOOKUP(Mon_W2[[#This Row],[Employee Name]],'Base Schedules'!$A$113:$AW$158,18,FALSE)="","",VLOOKUP(Mon_W2[[#This Row],[Employee Name]],'Base Schedules'!$A$113:$AW$158,18,FALSE)),"")</f>
        <v/>
      </c>
      <c r="T39" s="184" t="str">
        <f>IFERROR(IF(VLOOKUP(Mon_W2[[#This Row],[Employee Name]],'Base Schedules'!$A$113:$AW$158,19,FALSE)="","",VLOOKUP(Mon_W2[[#This Row],[Employee Name]],'Base Schedules'!$A$113:$AW$158,19,FALSE)),"")</f>
        <v/>
      </c>
      <c r="U39" s="184" t="str">
        <f>IFERROR(IF(VLOOKUP(Mon_W2[[#This Row],[Employee Name]],'Base Schedules'!$A$113:$AW$158,20,FALSE)="","",VLOOKUP(Mon_W2[[#This Row],[Employee Name]],'Base Schedules'!$A$113:$AW$158,20,FALSE)),"")</f>
        <v/>
      </c>
      <c r="V39" s="184" t="str">
        <f>IFERROR(IF(VLOOKUP(Mon_W2[[#This Row],[Employee Name]],'Base Schedules'!$A$113:$AW$158,21,FALSE)="","",VLOOKUP(Mon_W2[[#This Row],[Employee Name]],'Base Schedules'!$A$113:$AW$158,21,FALSE)),"")</f>
        <v/>
      </c>
      <c r="W39" s="184" t="str">
        <f>IFERROR(IF(VLOOKUP(Mon_W2[[#This Row],[Employee Name]],'Base Schedules'!$A$113:$AW$158,22,FALSE)="","",VLOOKUP(Mon_W2[[#This Row],[Employee Name]],'Base Schedules'!$A$113:$AW$158,22,FALSE)),"")</f>
        <v/>
      </c>
      <c r="X39" s="184" t="str">
        <f>IFERROR(IF(VLOOKUP(Mon_W2[[#This Row],[Employee Name]],'Base Schedules'!$A$113:$AW$158,23,FALSE)="","",VLOOKUP(Mon_W2[[#This Row],[Employee Name]],'Base Schedules'!$A$113:$AW$158,23,FALSE)),"")</f>
        <v/>
      </c>
      <c r="Y39" s="184" t="str">
        <f>IFERROR(IF(VLOOKUP(Mon_W2[[#This Row],[Employee Name]],'Base Schedules'!$A$113:$AW$158,24,FALSE)="","",VLOOKUP(Mon_W2[[#This Row],[Employee Name]],'Base Schedules'!$A$113:$AW$158,24,FALSE)),"")</f>
        <v>-</v>
      </c>
      <c r="Z39" s="184" t="str">
        <f>IFERROR(IF(VLOOKUP(Mon_W2[[#This Row],[Employee Name]],'Base Schedules'!$A$113:$AW$158,25,FALSE)="","",VLOOKUP(Mon_W2[[#This Row],[Employee Name]],'Base Schedules'!$A$113:$AW$158,25,FALSE)),"")</f>
        <v>-</v>
      </c>
      <c r="AA39" s="184" t="str">
        <f>IFERROR(IF(VLOOKUP(Mon_W2[[#This Row],[Employee Name]],'Base Schedules'!$A$113:$AW$158,26,FALSE)="","",VLOOKUP(Mon_W2[[#This Row],[Employee Name]],'Base Schedules'!$A$113:$AW$158,26,FALSE)),"")</f>
        <v>-</v>
      </c>
      <c r="AB39" s="184" t="str">
        <f>IFERROR(IF(VLOOKUP(Mon_W2[[#This Row],[Employee Name]],'Base Schedules'!$A$113:$AW$158,27,FALSE)="","",VLOOKUP(Mon_W2[[#This Row],[Employee Name]],'Base Schedules'!$A$113:$AW$158,27,FALSE)),"")</f>
        <v>-</v>
      </c>
      <c r="AC39" s="184" t="str">
        <f>IFERROR(IF(VLOOKUP(Mon_W2[[#This Row],[Employee Name]],'Base Schedules'!$A$113:$AW$158,28,FALSE)="","",VLOOKUP(Mon_W2[[#This Row],[Employee Name]],'Base Schedules'!$A$113:$AW$158,28,FALSE)),"")</f>
        <v>Team KO TM</v>
      </c>
      <c r="AD39" s="184" t="str">
        <f>IFERROR(IF(VLOOKUP(Mon_W2[[#This Row],[Employee Name]],'Base Schedules'!$A$113:$AW$158,29,FALSE)="","",VLOOKUP(Mon_W2[[#This Row],[Employee Name]],'Base Schedules'!$A$113:$AW$158,29,FALSE)),"")</f>
        <v>Team KO TM</v>
      </c>
      <c r="AE39" s="184" t="str">
        <f>IFERROR(IF(VLOOKUP(Mon_W2[[#This Row],[Employee Name]],'Base Schedules'!$A$113:$AW$158,30,FALSE)="","",VLOOKUP(Mon_W2[[#This Row],[Employee Name]],'Base Schedules'!$A$113:$AW$158,30,FALSE)),"")</f>
        <v>-</v>
      </c>
      <c r="AF39" s="184" t="str">
        <f>IFERROR(IF(VLOOKUP(Mon_W2[[#This Row],[Employee Name]],'Base Schedules'!$A$113:$AW$158,31,FALSE)="","",VLOOKUP(Mon_W2[[#This Row],[Employee Name]],'Base Schedules'!$A$113:$AW$158,31,FALSE)),"")</f>
        <v>-</v>
      </c>
      <c r="AG39" s="184" t="str">
        <f>IFERROR(IF(VLOOKUP(Mon_W2[[#This Row],[Employee Name]],'Base Schedules'!$A$113:$AW$158,32,FALSE)="","",VLOOKUP(Mon_W2[[#This Row],[Employee Name]],'Base Schedules'!$A$113:$AW$158,32,FALSE)),"")</f>
        <v>-</v>
      </c>
      <c r="AH39" s="184" t="str">
        <f>IFERROR(IF(VLOOKUP(Mon_W2[[#This Row],[Employee Name]],'Base Schedules'!$A$113:$AW$158,33,FALSE)="","",VLOOKUP(Mon_W2[[#This Row],[Employee Name]],'Base Schedules'!$A$113:$AW$158,33,FALSE)),"")</f>
        <v>Interview</v>
      </c>
      <c r="AI39" s="184" t="str">
        <f>IFERROR(IF(VLOOKUP(Mon_W2[[#This Row],[Employee Name]],'Base Schedules'!$A$113:$AW$158,34,FALSE)="","",VLOOKUP(Mon_W2[[#This Row],[Employee Name]],'Base Schedules'!$A$113:$AW$158,34,FALSE)),"")</f>
        <v>Interview</v>
      </c>
      <c r="AJ39" s="184" t="str">
        <f>IFERROR(IF(VLOOKUP(Mon_W2[[#This Row],[Employee Name]],'Base Schedules'!$A$113:$AW$158,35,FALSE)="","",VLOOKUP(Mon_W2[[#This Row],[Employee Name]],'Base Schedules'!$A$113:$AW$158,35,FALSE)),"")</f>
        <v>-</v>
      </c>
      <c r="AK39" s="184" t="str">
        <f>IFERROR(IF(VLOOKUP(Mon_W2[[#This Row],[Employee Name]],'Base Schedules'!$A$113:$AW$158,36,FALSE)="","",VLOOKUP(Mon_W2[[#This Row],[Employee Name]],'Base Schedules'!$A$113:$AW$158,36,FALSE)),"")</f>
        <v>-</v>
      </c>
      <c r="AL39" s="184" t="str">
        <f>IFERROR(IF(VLOOKUP(Mon_W2[[#This Row],[Employee Name]],'Base Schedules'!$A$113:$AW$158,37,FALSE)="","",VLOOKUP(Mon_W2[[#This Row],[Employee Name]],'Base Schedules'!$A$113:$AW$158,37,FALSE)),"")</f>
        <v>-</v>
      </c>
      <c r="AM39" s="184" t="str">
        <f>IFERROR(IF(VLOOKUP(Mon_W2[[#This Row],[Employee Name]],'Base Schedules'!$A$113:$AW$158,38,FALSE)="","",VLOOKUP(Mon_W2[[#This Row],[Employee Name]],'Base Schedules'!$A$113:$AW$158,38,FALSE)),"")</f>
        <v>-</v>
      </c>
      <c r="AN39" s="184" t="str">
        <f>IFERROR(IF(VLOOKUP(Mon_W2[[#This Row],[Employee Name]],'Base Schedules'!$A$113:$AW$158,39,FALSE)="","",VLOOKUP(Mon_W2[[#This Row],[Employee Name]],'Base Schedules'!$A$113:$AW$158,39,FALSE)),"")</f>
        <v>-</v>
      </c>
      <c r="AO39" s="184" t="str">
        <f>IFERROR(IF(VLOOKUP(Mon_W2[[#This Row],[Employee Name]],'Base Schedules'!$A$113:$AW$158,40,FALSE)="","",VLOOKUP(Mon_W2[[#This Row],[Employee Name]],'Base Schedules'!$A$113:$AW$158,40,FALSE)),"")</f>
        <v>-</v>
      </c>
      <c r="AP39" s="184" t="str">
        <f>IFERROR(IF(VLOOKUP(Mon_W2[[#This Row],[Employee Name]],'Base Schedules'!$A$113:$AW$158,41,FALSE)="","",VLOOKUP(Mon_W2[[#This Row],[Employee Name]],'Base Schedules'!$A$113:$AW$158,41,FALSE)),"")</f>
        <v>-</v>
      </c>
      <c r="AQ39" s="184" t="str">
        <f>IFERROR(IF(VLOOKUP(Mon_W2[[#This Row],[Employee Name]],'Base Schedules'!$A$113:$AW$158,42,FALSE)="","",VLOOKUP(Mon_W2[[#This Row],[Employee Name]],'Base Schedules'!$A$113:$AW$158,42,FALSE)),"")</f>
        <v>-</v>
      </c>
      <c r="AR39" s="184" t="str">
        <f>IFERROR(IF(VLOOKUP(Mon_W2[[#This Row],[Employee Name]],'Base Schedules'!$A$113:$AW$158,43,FALSE)="","",VLOOKUP(Mon_W2[[#This Row],[Employee Name]],'Base Schedules'!$A$113:$AW$158,43,FALSE)),"")</f>
        <v/>
      </c>
      <c r="AS39" s="184" t="str">
        <f>IFERROR(IF(VLOOKUP(Mon_W2[[#This Row],[Employee Name]],'Base Schedules'!$A$113:$AW$158,44,FALSE)="","",VLOOKUP(Mon_W2[[#This Row],[Employee Name]],'Base Schedules'!$A$113:$AW$158,44,FALSE)),"")</f>
        <v/>
      </c>
      <c r="AT39" s="184" t="str">
        <f>IFERROR(IF(VLOOKUP(Mon_W2[[#This Row],[Employee Name]],'Base Schedules'!$A$113:$AW$158,45,FALSE)="","",VLOOKUP(Mon_W2[[#This Row],[Employee Name]],'Base Schedules'!$A$113:$AW$158,45,FALSE)),"")</f>
        <v/>
      </c>
      <c r="AU39" s="184" t="str">
        <f>IFERROR(IF(VLOOKUP(Mon_W2[[#This Row],[Employee Name]],'Base Schedules'!$A$113:$AW$158,46,FALSE)="","",VLOOKUP(Mon_W2[[#This Row],[Employee Name]],'Base Schedules'!$A$113:$AW$158,46,FALSE)),"")</f>
        <v/>
      </c>
      <c r="AV39" s="184" t="str">
        <f>IFERROR(IF(VLOOKUP(Mon_W2[[#This Row],[Employee Name]],'Base Schedules'!$A$113:$AW$158,47,FALSE)="","",VLOOKUP(Mon_W2[[#This Row],[Employee Name]],'Base Schedules'!$A$113:$AW$158,47,FALSE)),"")</f>
        <v/>
      </c>
      <c r="AW39" s="184" t="str">
        <f>IFERROR(IF(VLOOKUP(Mon_W2[[#This Row],[Employee Name]],'Base Schedules'!$A$113:$AW$158,48,FALSE)="","",VLOOKUP(Mon_W2[[#This Row],[Employee Name]],'Base Schedules'!$A$113:$AW$158,48,FALSE)),"")</f>
        <v/>
      </c>
      <c r="AX39" s="184" t="str">
        <f>IFERROR(IF(VLOOKUP(Mon_W2[[#This Row],[Employee Name]],'Base Schedules'!$A$113:$AW$158,49,FALSE)="","",VLOOKUP(Mon_W2[[#This Row],[Employee Name]],'Base Schedules'!$A$113:$AW$158,49,FALSE)),"")</f>
        <v/>
      </c>
      <c r="AY39" s="159" t="str">
        <f t="shared" si="2"/>
        <v>Aguilar, Angelica</v>
      </c>
    </row>
    <row r="40" spans="1:51" s="44" customFormat="1" ht="12" customHeight="1" x14ac:dyDescent="0.2">
      <c r="A40" s="39" t="e">
        <f>IF(B40="","",INDEX(TeamList[],MATCH($B40,TeamList[[Employee Name]:[Employee Name]],0),MATCH("Manager",TeamList[#Headers],0)))</f>
        <v>#N/A</v>
      </c>
      <c r="B40" s="201" t="s">
        <v>587</v>
      </c>
      <c r="C40" s="257" t="str">
        <f>_xlfn.IFNA(VLOOKUP(Mon_W2[[#This Row],[Employee Name]],'Base Schedules'!A:B,2,FALSE),"")</f>
        <v>Lead</v>
      </c>
      <c r="D40" s="274">
        <f>_xlfn.IFNA(VLOOKUP(Mon_W2[[#This Row],[Employee Name]],'Base Schedules'!A:C,3,FALSE),"")</f>
        <v>1230</v>
      </c>
      <c r="E40" s="274">
        <f>_xlfn.IFNA(VLOOKUP(Mon_W2[[#This Row],[Employee Name]],'Base Schedules'!A:D,4,FALSE),"")</f>
        <v>2100</v>
      </c>
      <c r="F40" s="142">
        <f>IF(Mon_W2[[#This Row],[Employee Name]]="","",IF(Mon_W2[[#This Row],[Dept]]="Supervisor",COUNTIFS($J40:$AX40,"*HL*",$J40:$AX40,"&lt;&gt;"&amp;"pHL"),COUNTIFS($J40:$AX40,"*HL*",$J40:$AX40,"&lt;&gt;"&amp;"*pHL*",$J40:$AX40,"&lt;&gt;"&amp;"pB1 HL",$J40:$AX40,"&lt;&gt;"&amp;"pB2 HL")-SUM(COUNTIFS($J40:$AX40,"*HL B1*",$J40:$AX40,"&lt;&gt;"&amp;"pHL B1")*0.5,COUNTIFS($J40:$AX40,"*HL B2*",$J40:$AX40,"&lt;&gt;"&amp;"pHL B2")*0.5,COUNTIFS($J40:$AX40,"*B1 HL*",$J40:$AX40,"&lt;&gt;"&amp;"pB1 HL")*0.5,COUNTIFS($J40:$AX40,"*B2 HL*",$J40:$AX40,"&lt;&gt;"&amp;"pB2 HL")*0.5)))</f>
        <v>8.5</v>
      </c>
      <c r="G40" s="142">
        <f t="shared" si="0"/>
        <v>0</v>
      </c>
      <c r="H40" s="142">
        <f t="shared" si="1"/>
        <v>7</v>
      </c>
      <c r="I40" s="142">
        <f>IF(Mon_W2[[#This Row],[Employee Name]]="","",IF(Mon_W2[[#This Row],[Dept]]="Supervisor",SUM(COUNTIFS($J40:$AX40,"RTA*",$J40:$AX40,"&lt;&gt;"&amp;"pRTA"),COUNTIFS($J40:$AX40,"*CRTA*",$J40:$AX40,"&lt;&gt;"&amp;"pCRTA")),COUNTIFS($J40:$AX40,"*RNNR*",$J40:$AX40,"&lt;&gt;"&amp;"*pRNNR*",$J40:$AX40,"&lt;&gt;"&amp;"pB1 RNNR",$J40:$AX40,"&lt;&gt;"&amp;"pB2 RNNR")-SUM(COUNTIFS($J40:$AX40,"*RNNR B1*",$J40:$AX40,"&lt;&gt;"&amp;"pRNNR B1")*0.5,COUNTIFS($J40:$AX40,"*RNNR B2*",$J40:$AX40,"&lt;&gt;"&amp;"pRNNR B2")*0.5,COUNTIFS($J40:$AX40,"*B1 RNNR*",$J40:$AX40,"&lt;&gt;"&amp;"pB1 RNNR")*0.5,COUNTIFS($J40:$AX40,"*B2 RNNR*",$J40:$AX40,"&lt;&gt;"&amp;"pB2 RNNR")*0.5)))</f>
        <v>0</v>
      </c>
      <c r="J40" s="184" t="str">
        <f>IFERROR(IF(VLOOKUP(Mon_W2[[#This Row],[Employee Name]],'Base Schedules'!$A$113:$AW$158,9,FALSE)="","",VLOOKUP(Mon_W2[[#This Row],[Employee Name]],'Base Schedules'!$A$113:$AW$158,9,FALSE)),"")</f>
        <v/>
      </c>
      <c r="K40" s="184" t="str">
        <f>IFERROR(IF(VLOOKUP(Mon_W2[[#This Row],[Employee Name]],'Base Schedules'!$A$113:$AW$158,10,FALSE)="","",VLOOKUP(Mon_W2[[#This Row],[Employee Name]],'Base Schedules'!$A$113:$AW$158,10,FALSE)),"")</f>
        <v/>
      </c>
      <c r="L40" s="184" t="str">
        <f>IFERROR(IF(VLOOKUP(Mon_W2[[#This Row],[Employee Name]],'Base Schedules'!$A$113:$AW$158,11,FALSE)="","",VLOOKUP(Mon_W2[[#This Row],[Employee Name]],'Base Schedules'!$A$113:$AW$158,11,FALSE)),"")</f>
        <v/>
      </c>
      <c r="M40" s="184" t="str">
        <f>IFERROR(IF(VLOOKUP(Mon_W2[[#This Row],[Employee Name]],'Base Schedules'!$A$113:$AW$158,12,FALSE)="","",VLOOKUP(Mon_W2[[#This Row],[Employee Name]],'Base Schedules'!$A$113:$AW$158,12,FALSE)),"")</f>
        <v/>
      </c>
      <c r="N40" s="184" t="str">
        <f>IFERROR(IF(VLOOKUP(Mon_W2[[#This Row],[Employee Name]],'Base Schedules'!$A$113:$AW$158,13,FALSE)="","",VLOOKUP(Mon_W2[[#This Row],[Employee Name]],'Base Schedules'!$A$113:$AW$158,13,FALSE)),"")</f>
        <v/>
      </c>
      <c r="O40" s="184" t="str">
        <f>IFERROR(IF(VLOOKUP(Mon_W2[[#This Row],[Employee Name]],'Base Schedules'!$A$113:$AW$158,14,FALSE)="","",VLOOKUP(Mon_W2[[#This Row],[Employee Name]],'Base Schedules'!$A$113:$AW$158,14,FALSE)),"")</f>
        <v/>
      </c>
      <c r="P40" s="184" t="str">
        <f>IFERROR(IF(VLOOKUP(Mon_W2[[#This Row],[Employee Name]],'Base Schedules'!$A$113:$AW$158,15,FALSE)="","",VLOOKUP(Mon_W2[[#This Row],[Employee Name]],'Base Schedules'!$A$113:$AW$158,15,FALSE)),"")</f>
        <v/>
      </c>
      <c r="Q40" s="184" t="str">
        <f>IFERROR(IF(VLOOKUP(Mon_W2[[#This Row],[Employee Name]],'Base Schedules'!$A$113:$AW$158,16,FALSE)="","",VLOOKUP(Mon_W2[[#This Row],[Employee Name]],'Base Schedules'!$A$113:$AW$158,16,FALSE)),"")</f>
        <v/>
      </c>
      <c r="R40" s="184" t="str">
        <f>IFERROR(IF(VLOOKUP(Mon_W2[[#This Row],[Employee Name]],'Base Schedules'!$A$113:$AW$158,17,FALSE)="","",VLOOKUP(Mon_W2[[#This Row],[Employee Name]],'Base Schedules'!$A$113:$AW$158,17,FALSE)),"")</f>
        <v/>
      </c>
      <c r="S40" s="184" t="str">
        <f>IFERROR(IF(VLOOKUP(Mon_W2[[#This Row],[Employee Name]],'Base Schedules'!$A$113:$AW$158,18,FALSE)="","",VLOOKUP(Mon_W2[[#This Row],[Employee Name]],'Base Schedules'!$A$113:$AW$158,18,FALSE)),"")</f>
        <v/>
      </c>
      <c r="T40" s="184" t="str">
        <f>IFERROR(IF(VLOOKUP(Mon_W2[[#This Row],[Employee Name]],'Base Schedules'!$A$113:$AW$158,19,FALSE)="","",VLOOKUP(Mon_W2[[#This Row],[Employee Name]],'Base Schedules'!$A$113:$AW$158,19,FALSE)),"")</f>
        <v/>
      </c>
      <c r="U40" s="184" t="str">
        <f>IFERROR(IF(VLOOKUP(Mon_W2[[#This Row],[Employee Name]],'Base Schedules'!$A$113:$AW$158,20,FALSE)="","",VLOOKUP(Mon_W2[[#This Row],[Employee Name]],'Base Schedules'!$A$113:$AW$158,20,FALSE)),"")</f>
        <v/>
      </c>
      <c r="V40" s="184" t="str">
        <f>IFERROR(IF(VLOOKUP(Mon_W2[[#This Row],[Employee Name]],'Base Schedules'!$A$113:$AW$158,21,FALSE)="","",VLOOKUP(Mon_W2[[#This Row],[Employee Name]],'Base Schedules'!$A$113:$AW$158,21,FALSE)),"")</f>
        <v/>
      </c>
      <c r="W40" s="184" t="str">
        <f>IFERROR(IF(VLOOKUP(Mon_W2[[#This Row],[Employee Name]],'Base Schedules'!$A$113:$AW$158,22,FALSE)="","",VLOOKUP(Mon_W2[[#This Row],[Employee Name]],'Base Schedules'!$A$113:$AW$158,22,FALSE)),"")</f>
        <v/>
      </c>
      <c r="X40" s="184" t="str">
        <f>IFERROR(IF(VLOOKUP(Mon_W2[[#This Row],[Employee Name]],'Base Schedules'!$A$113:$AW$158,23,FALSE)="","",VLOOKUP(Mon_W2[[#This Row],[Employee Name]],'Base Schedules'!$A$113:$AW$158,23,FALSE)),"")</f>
        <v/>
      </c>
      <c r="Y40" s="184" t="str">
        <f>IFERROR(IF(VLOOKUP(Mon_W2[[#This Row],[Employee Name]],'Base Schedules'!$A$113:$AW$158,24,FALSE)="","",VLOOKUP(Mon_W2[[#This Row],[Employee Name]],'Base Schedules'!$A$113:$AW$158,24,FALSE)),"")</f>
        <v>HL</v>
      </c>
      <c r="Z40" s="184" t="str">
        <f>IFERROR(IF(VLOOKUP(Mon_W2[[#This Row],[Employee Name]],'Base Schedules'!$A$113:$AW$158,25,FALSE)="","",VLOOKUP(Mon_W2[[#This Row],[Employee Name]],'Base Schedules'!$A$113:$AW$158,25,FALSE)),"")</f>
        <v>HL</v>
      </c>
      <c r="AA40" s="184" t="str">
        <f>IFERROR(IF(VLOOKUP(Mon_W2[[#This Row],[Employee Name]],'Base Schedules'!$A$113:$AW$158,26,FALSE)="","",VLOOKUP(Mon_W2[[#This Row],[Employee Name]],'Base Schedules'!$A$113:$AW$158,26,FALSE)),"")</f>
        <v>HL B1</v>
      </c>
      <c r="AB40" s="184" t="str">
        <f>IFERROR(IF(VLOOKUP(Mon_W2[[#This Row],[Employee Name]],'Base Schedules'!$A$113:$AW$158,27,FALSE)="","",VLOOKUP(Mon_W2[[#This Row],[Employee Name]],'Base Schedules'!$A$113:$AW$158,27,FALSE)),"")</f>
        <v>HL</v>
      </c>
      <c r="AC40" s="184" t="str">
        <f>IFERROR(IF(VLOOKUP(Mon_W2[[#This Row],[Employee Name]],'Base Schedules'!$A$113:$AW$158,28,FALSE)="","",VLOOKUP(Mon_W2[[#This Row],[Employee Name]],'Base Schedules'!$A$113:$AW$158,28,FALSE)),"")</f>
        <v>HL</v>
      </c>
      <c r="AD40" s="184" t="str">
        <f>IFERROR(IF(VLOOKUP(Mon_W2[[#This Row],[Employee Name]],'Base Schedules'!$A$113:$AW$158,29,FALSE)="","",VLOOKUP(Mon_W2[[#This Row],[Employee Name]],'Base Schedules'!$A$113:$AW$158,29,FALSE)),"")</f>
        <v>ADM</v>
      </c>
      <c r="AE40" s="184" t="str">
        <f>IFERROR(IF(VLOOKUP(Mon_W2[[#This Row],[Employee Name]],'Base Schedules'!$A$113:$AW$158,30,FALSE)="","",VLOOKUP(Mon_W2[[#This Row],[Employee Name]],'Base Schedules'!$A$113:$AW$158,30,FALSE)),"")</f>
        <v>ADM</v>
      </c>
      <c r="AF40" s="184" t="str">
        <f>IFERROR(IF(VLOOKUP(Mon_W2[[#This Row],[Employee Name]],'Base Schedules'!$A$113:$AW$158,31,FALSE)="","",VLOOKUP(Mon_W2[[#This Row],[Employee Name]],'Base Schedules'!$A$113:$AW$158,31,FALSE)),"")</f>
        <v>LUNCH</v>
      </c>
      <c r="AG40" s="184" t="str">
        <f>IFERROR(IF(VLOOKUP(Mon_W2[[#This Row],[Employee Name]],'Base Schedules'!$A$113:$AW$158,32,FALSE)="","",VLOOKUP(Mon_W2[[#This Row],[Employee Name]],'Base Schedules'!$A$113:$AW$158,32,FALSE)),"")</f>
        <v>ADM</v>
      </c>
      <c r="AH40" s="184" t="str">
        <f>IFERROR(IF(VLOOKUP(Mon_W2[[#This Row],[Employee Name]],'Base Schedules'!$A$113:$AW$158,33,FALSE)="","",VLOOKUP(Mon_W2[[#This Row],[Employee Name]],'Base Schedules'!$A$113:$AW$158,33,FALSE)),"")</f>
        <v>HL</v>
      </c>
      <c r="AI40" s="184" t="str">
        <f>IFERROR(IF(VLOOKUP(Mon_W2[[#This Row],[Employee Name]],'Base Schedules'!$A$113:$AW$158,34,FALSE)="","",VLOOKUP(Mon_W2[[#This Row],[Employee Name]],'Base Schedules'!$A$113:$AW$158,34,FALSE)),"")</f>
        <v>HL</v>
      </c>
      <c r="AJ40" s="184" t="str">
        <f>IFERROR(IF(VLOOKUP(Mon_W2[[#This Row],[Employee Name]],'Base Schedules'!$A$113:$AW$158,35,FALSE)="","",VLOOKUP(Mon_W2[[#This Row],[Employee Name]],'Base Schedules'!$A$113:$AW$158,35,FALSE)),"")</f>
        <v>HL</v>
      </c>
      <c r="AK40" s="184" t="str">
        <f>IFERROR(IF(VLOOKUP(Mon_W2[[#This Row],[Employee Name]],'Base Schedules'!$A$113:$AW$158,36,FALSE)="","",VLOOKUP(Mon_W2[[#This Row],[Employee Name]],'Base Schedules'!$A$113:$AW$158,36,FALSE)),"")</f>
        <v>ADM</v>
      </c>
      <c r="AL40" s="184" t="str">
        <f>IFERROR(IF(VLOOKUP(Mon_W2[[#This Row],[Employee Name]],'Base Schedules'!$A$113:$AW$158,37,FALSE)="","",VLOOKUP(Mon_W2[[#This Row],[Employee Name]],'Base Schedules'!$A$113:$AW$158,37,FALSE)),"")</f>
        <v>B2 ADM</v>
      </c>
      <c r="AM40" s="184" t="str">
        <f>IFERROR(IF(VLOOKUP(Mon_W2[[#This Row],[Employee Name]],'Base Schedules'!$A$113:$AW$158,38,FALSE)="","",VLOOKUP(Mon_W2[[#This Row],[Employee Name]],'Base Schedules'!$A$113:$AW$158,38,FALSE)),"")</f>
        <v>ADM</v>
      </c>
      <c r="AN40" s="184" t="str">
        <f>IFERROR(IF(VLOOKUP(Mon_W2[[#This Row],[Employee Name]],'Base Schedules'!$A$113:$AW$158,39,FALSE)="","",VLOOKUP(Mon_W2[[#This Row],[Employee Name]],'Base Schedules'!$A$113:$AW$158,39,FALSE)),"")</f>
        <v>ADM</v>
      </c>
      <c r="AO40" s="184" t="str">
        <f>IFERROR(IF(VLOOKUP(Mon_W2[[#This Row],[Employee Name]],'Base Schedules'!$A$113:$AW$158,40,FALSE)="","",VLOOKUP(Mon_W2[[#This Row],[Employee Name]],'Base Schedules'!$A$113:$AW$158,40,FALSE)),"")</f>
        <v>HL</v>
      </c>
      <c r="AP40" s="184" t="str">
        <f>IFERROR(IF(VLOOKUP(Mon_W2[[#This Row],[Employee Name]],'Base Schedules'!$A$113:$AW$158,41,FALSE)="","",VLOOKUP(Mon_W2[[#This Row],[Employee Name]],'Base Schedules'!$A$113:$AW$158,41,FALSE)),"")</f>
        <v/>
      </c>
      <c r="AQ40" s="184" t="str">
        <f>IFERROR(IF(VLOOKUP(Mon_W2[[#This Row],[Employee Name]],'Base Schedules'!$A$113:$AW$158,42,FALSE)="","",VLOOKUP(Mon_W2[[#This Row],[Employee Name]],'Base Schedules'!$A$113:$AW$158,42,FALSE)),"")</f>
        <v/>
      </c>
      <c r="AR40" s="184" t="str">
        <f>IFERROR(IF(VLOOKUP(Mon_W2[[#This Row],[Employee Name]],'Base Schedules'!$A$113:$AW$158,43,FALSE)="","",VLOOKUP(Mon_W2[[#This Row],[Employee Name]],'Base Schedules'!$A$113:$AW$158,43,FALSE)),"")</f>
        <v/>
      </c>
      <c r="AS40" s="184" t="str">
        <f>IFERROR(IF(VLOOKUP(Mon_W2[[#This Row],[Employee Name]],'Base Schedules'!$A$113:$AW$158,44,FALSE)="","",VLOOKUP(Mon_W2[[#This Row],[Employee Name]],'Base Schedules'!$A$113:$AW$158,44,FALSE)),"")</f>
        <v/>
      </c>
      <c r="AT40" s="184" t="str">
        <f>IFERROR(IF(VLOOKUP(Mon_W2[[#This Row],[Employee Name]],'Base Schedules'!$A$113:$AW$158,45,FALSE)="","",VLOOKUP(Mon_W2[[#This Row],[Employee Name]],'Base Schedules'!$A$113:$AW$158,45,FALSE)),"")</f>
        <v/>
      </c>
      <c r="AU40" s="184" t="str">
        <f>IFERROR(IF(VLOOKUP(Mon_W2[[#This Row],[Employee Name]],'Base Schedules'!$A$113:$AW$158,46,FALSE)="","",VLOOKUP(Mon_W2[[#This Row],[Employee Name]],'Base Schedules'!$A$113:$AW$158,46,FALSE)),"")</f>
        <v/>
      </c>
      <c r="AV40" s="184" t="str">
        <f>IFERROR(IF(VLOOKUP(Mon_W2[[#This Row],[Employee Name]],'Base Schedules'!$A$113:$AW$158,47,FALSE)="","",VLOOKUP(Mon_W2[[#This Row],[Employee Name]],'Base Schedules'!$A$113:$AW$158,47,FALSE)),"")</f>
        <v/>
      </c>
      <c r="AW40" s="184" t="str">
        <f>IFERROR(IF(VLOOKUP(Mon_W2[[#This Row],[Employee Name]],'Base Schedules'!$A$113:$AW$158,48,FALSE)="","",VLOOKUP(Mon_W2[[#This Row],[Employee Name]],'Base Schedules'!$A$113:$AW$158,48,FALSE)),"")</f>
        <v/>
      </c>
      <c r="AX40" s="184" t="str">
        <f>IFERROR(IF(VLOOKUP(Mon_W2[[#This Row],[Employee Name]],'Base Schedules'!$A$113:$AW$158,49,FALSE)="","",VLOOKUP(Mon_W2[[#This Row],[Employee Name]],'Base Schedules'!$A$113:$AW$158,49,FALSE)),"")</f>
        <v/>
      </c>
      <c r="AY40" s="159" t="str">
        <f t="shared" si="2"/>
        <v>Mason, April</v>
      </c>
    </row>
    <row r="41" spans="1:51" s="44" customFormat="1" ht="12" customHeight="1" x14ac:dyDescent="0.2">
      <c r="A41" s="39" t="str">
        <f>IF(B41="","",INDEX(TeamList[],MATCH($B41,TeamList[[Employee Name]:[Employee Name]],0),MATCH("Manager",TeamList[#Headers],0)))</f>
        <v>Olson, Katherine</v>
      </c>
      <c r="B41" s="201" t="s">
        <v>29</v>
      </c>
      <c r="C41" s="257" t="str">
        <f>_xlfn.IFNA(VLOOKUP(Mon_W2[[#This Row],[Employee Name]],'Base Schedules'!A:B,2,FALSE),"")</f>
        <v>Lead</v>
      </c>
      <c r="D41" s="274">
        <f>_xlfn.IFNA(VLOOKUP(Mon_W2[[#This Row],[Employee Name]],'Base Schedules'!A:C,3,FALSE),"")</f>
        <v>1300</v>
      </c>
      <c r="E41" s="274">
        <f>_xlfn.IFNA(VLOOKUP(Mon_W2[[#This Row],[Employee Name]],'Base Schedules'!A:D,4,FALSE),"")</f>
        <v>2130</v>
      </c>
      <c r="F41" s="142">
        <f>IF(Mon_W2[[#This Row],[Employee Name]]="","",IF(Mon_W2[[#This Row],[Dept]]="Supervisor",COUNTIFS($J41:$AX41,"*HL*",$J41:$AX41,"&lt;&gt;"&amp;"pHL"),COUNTIFS($J41:$AX41,"*HL*",$J41:$AX41,"&lt;&gt;"&amp;"*pHL*",$J41:$AX41,"&lt;&gt;"&amp;"pB1 HL",$J41:$AX41,"&lt;&gt;"&amp;"pB2 HL")-SUM(COUNTIFS($J41:$AX41,"*HL B1*",$J41:$AX41,"&lt;&gt;"&amp;"pHL B1")*0.5,COUNTIFS($J41:$AX41,"*HL B2*",$J41:$AX41,"&lt;&gt;"&amp;"pHL B2")*0.5,COUNTIFS($J41:$AX41,"*B1 HL*",$J41:$AX41,"&lt;&gt;"&amp;"pB1 HL")*0.5,COUNTIFS($J41:$AX41,"*B2 HL*",$J41:$AX41,"&lt;&gt;"&amp;"pB2 HL")*0.5)))</f>
        <v>8.5</v>
      </c>
      <c r="G41" s="142">
        <f t="shared" si="0"/>
        <v>0</v>
      </c>
      <c r="H41" s="142">
        <f t="shared" ref="H41:H59" si="3">IF(B41="","",COUNTIFS($J41:$AX41,"*ADM*",$J41:$AX41,"&lt;&gt;"&amp;"pADM",$J41:$AX41,"&lt;&gt;"&amp;"uADM"))</f>
        <v>5</v>
      </c>
      <c r="I41" s="142">
        <f>IF(Mon_W2[[#This Row],[Employee Name]]="","",IF(Mon_W2[[#This Row],[Dept]]="Supervisor",SUM(COUNTIFS($J41:$AX41,"RTA*",$J41:$AX41,"&lt;&gt;"&amp;"pRTA"),COUNTIFS($J41:$AX41,"*CRTA*",$J41:$AX41,"&lt;&gt;"&amp;"pCRTA")),COUNTIFS($J41:$AX41,"*RNNR*",$J41:$AX41,"&lt;&gt;"&amp;"*pRNNR*",$J41:$AX41,"&lt;&gt;"&amp;"pB1 RNNR",$J41:$AX41,"&lt;&gt;"&amp;"pB2 RNNR")-SUM(COUNTIFS($J41:$AX41,"*RNNR B1*",$J41:$AX41,"&lt;&gt;"&amp;"pRNNR B1")*0.5,COUNTIFS($J41:$AX41,"*RNNR B2*",$J41:$AX41,"&lt;&gt;"&amp;"pRNNR B2")*0.5,COUNTIFS($J41:$AX41,"*B1 RNNR*",$J41:$AX41,"&lt;&gt;"&amp;"pB1 RNNR")*0.5,COUNTIFS($J41:$AX41,"*B2 RNNR*",$J41:$AX41,"&lt;&gt;"&amp;"pB2 RNNR")*0.5)))</f>
        <v>2</v>
      </c>
      <c r="J41" s="184" t="str">
        <f>IFERROR(IF(VLOOKUP(Mon_W2[[#This Row],[Employee Name]],'Base Schedules'!$A$113:$AW$158,9,FALSE)="","",VLOOKUP(Mon_W2[[#This Row],[Employee Name]],'Base Schedules'!$A$113:$AW$158,9,FALSE)),"")</f>
        <v/>
      </c>
      <c r="K41" s="184" t="str">
        <f>IFERROR(IF(VLOOKUP(Mon_W2[[#This Row],[Employee Name]],'Base Schedules'!$A$113:$AW$158,10,FALSE)="","",VLOOKUP(Mon_W2[[#This Row],[Employee Name]],'Base Schedules'!$A$113:$AW$158,10,FALSE)),"")</f>
        <v/>
      </c>
      <c r="L41" s="184" t="str">
        <f>IFERROR(IF(VLOOKUP(Mon_W2[[#This Row],[Employee Name]],'Base Schedules'!$A$113:$AW$158,11,FALSE)="","",VLOOKUP(Mon_W2[[#This Row],[Employee Name]],'Base Schedules'!$A$113:$AW$158,11,FALSE)),"")</f>
        <v/>
      </c>
      <c r="M41" s="184" t="str">
        <f>IFERROR(IF(VLOOKUP(Mon_W2[[#This Row],[Employee Name]],'Base Schedules'!$A$113:$AW$158,12,FALSE)="","",VLOOKUP(Mon_W2[[#This Row],[Employee Name]],'Base Schedules'!$A$113:$AW$158,12,FALSE)),"")</f>
        <v/>
      </c>
      <c r="N41" s="184" t="str">
        <f>IFERROR(IF(VLOOKUP(Mon_W2[[#This Row],[Employee Name]],'Base Schedules'!$A$113:$AW$158,13,FALSE)="","",VLOOKUP(Mon_W2[[#This Row],[Employee Name]],'Base Schedules'!$A$113:$AW$158,13,FALSE)),"")</f>
        <v/>
      </c>
      <c r="O41" s="184" t="str">
        <f>IFERROR(IF(VLOOKUP(Mon_W2[[#This Row],[Employee Name]],'Base Schedules'!$A$113:$AW$158,14,FALSE)="","",VLOOKUP(Mon_W2[[#This Row],[Employee Name]],'Base Schedules'!$A$113:$AW$158,14,FALSE)),"")</f>
        <v/>
      </c>
      <c r="P41" s="184" t="str">
        <f>IFERROR(IF(VLOOKUP(Mon_W2[[#This Row],[Employee Name]],'Base Schedules'!$A$113:$AW$158,15,FALSE)="","",VLOOKUP(Mon_W2[[#This Row],[Employee Name]],'Base Schedules'!$A$113:$AW$158,15,FALSE)),"")</f>
        <v/>
      </c>
      <c r="Q41" s="184" t="str">
        <f>IFERROR(IF(VLOOKUP(Mon_W2[[#This Row],[Employee Name]],'Base Schedules'!$A$113:$AW$158,16,FALSE)="","",VLOOKUP(Mon_W2[[#This Row],[Employee Name]],'Base Schedules'!$A$113:$AW$158,16,FALSE)),"")</f>
        <v/>
      </c>
      <c r="R41" s="184" t="str">
        <f>IFERROR(IF(VLOOKUP(Mon_W2[[#This Row],[Employee Name]],'Base Schedules'!$A$113:$AW$158,17,FALSE)="","",VLOOKUP(Mon_W2[[#This Row],[Employee Name]],'Base Schedules'!$A$113:$AW$158,17,FALSE)),"")</f>
        <v/>
      </c>
      <c r="S41" s="184" t="str">
        <f>IFERROR(IF(VLOOKUP(Mon_W2[[#This Row],[Employee Name]],'Base Schedules'!$A$113:$AW$158,18,FALSE)="","",VLOOKUP(Mon_W2[[#This Row],[Employee Name]],'Base Schedules'!$A$113:$AW$158,18,FALSE)),"")</f>
        <v/>
      </c>
      <c r="T41" s="184" t="str">
        <f>IFERROR(IF(VLOOKUP(Mon_W2[[#This Row],[Employee Name]],'Base Schedules'!$A$113:$AW$158,19,FALSE)="","",VLOOKUP(Mon_W2[[#This Row],[Employee Name]],'Base Schedules'!$A$113:$AW$158,19,FALSE)),"")</f>
        <v/>
      </c>
      <c r="U41" s="184" t="str">
        <f>IFERROR(IF(VLOOKUP(Mon_W2[[#This Row],[Employee Name]],'Base Schedules'!$A$113:$AW$158,20,FALSE)="","",VLOOKUP(Mon_W2[[#This Row],[Employee Name]],'Base Schedules'!$A$113:$AW$158,20,FALSE)),"")</f>
        <v/>
      </c>
      <c r="V41" s="184" t="str">
        <f>IFERROR(IF(VLOOKUP(Mon_W2[[#This Row],[Employee Name]],'Base Schedules'!$A$113:$AW$158,21,FALSE)="","",VLOOKUP(Mon_W2[[#This Row],[Employee Name]],'Base Schedules'!$A$113:$AW$158,21,FALSE)),"")</f>
        <v/>
      </c>
      <c r="W41" s="184" t="str">
        <f>IFERROR(IF(VLOOKUP(Mon_W2[[#This Row],[Employee Name]],'Base Schedules'!$A$113:$AW$158,22,FALSE)="","",VLOOKUP(Mon_W2[[#This Row],[Employee Name]],'Base Schedules'!$A$113:$AW$158,22,FALSE)),"")</f>
        <v/>
      </c>
      <c r="X41" s="184" t="str">
        <f>IFERROR(IF(VLOOKUP(Mon_W2[[#This Row],[Employee Name]],'Base Schedules'!$A$113:$AW$158,23,FALSE)="","",VLOOKUP(Mon_W2[[#This Row],[Employee Name]],'Base Schedules'!$A$113:$AW$158,23,FALSE)),"")</f>
        <v/>
      </c>
      <c r="Y41" s="184" t="str">
        <f>IFERROR(IF(VLOOKUP(Mon_W2[[#This Row],[Employee Name]],'Base Schedules'!$A$113:$AW$158,24,FALSE)="","",VLOOKUP(Mon_W2[[#This Row],[Employee Name]],'Base Schedules'!$A$113:$AW$158,24,FALSE)),"")</f>
        <v/>
      </c>
      <c r="Z41" s="184" t="str">
        <f>IFERROR(IF(VLOOKUP(Mon_W2[[#This Row],[Employee Name]],'Base Schedules'!$A$113:$AW$158,25,FALSE)="","",VLOOKUP(Mon_W2[[#This Row],[Employee Name]],'Base Schedules'!$A$113:$AW$158,25,FALSE)),"")</f>
        <v>ADM</v>
      </c>
      <c r="AA41" s="184" t="str">
        <f>IFERROR(IF(VLOOKUP(Mon_W2[[#This Row],[Employee Name]],'Base Schedules'!$A$113:$AW$158,26,FALSE)="","",VLOOKUP(Mon_W2[[#This Row],[Employee Name]],'Base Schedules'!$A$113:$AW$158,26,FALSE)),"")</f>
        <v>ADM</v>
      </c>
      <c r="AB41" s="184" t="str">
        <f>IFERROR(IF(VLOOKUP(Mon_W2[[#This Row],[Employee Name]],'Base Schedules'!$A$113:$AW$158,27,FALSE)="","",VLOOKUP(Mon_W2[[#This Row],[Employee Name]],'Base Schedules'!$A$113:$AW$158,27,FALSE)),"")</f>
        <v>ADM</v>
      </c>
      <c r="AC41" s="184" t="str">
        <f>IFERROR(IF(VLOOKUP(Mon_W2[[#This Row],[Employee Name]],'Base Schedules'!$A$113:$AW$158,28,FALSE)="","",VLOOKUP(Mon_W2[[#This Row],[Employee Name]],'Base Schedules'!$A$113:$AW$158,28,FALSE)),"")</f>
        <v>HL</v>
      </c>
      <c r="AD41" s="184" t="str">
        <f>IFERROR(IF(VLOOKUP(Mon_W2[[#This Row],[Employee Name]],'Base Schedules'!$A$113:$AW$158,29,FALSE)="","",VLOOKUP(Mon_W2[[#This Row],[Employee Name]],'Base Schedules'!$A$113:$AW$158,29,FALSE)),"")</f>
        <v>B1 ADM</v>
      </c>
      <c r="AE41" s="184" t="str">
        <f>IFERROR(IF(VLOOKUP(Mon_W2[[#This Row],[Employee Name]],'Base Schedules'!$A$113:$AW$158,30,FALSE)="","",VLOOKUP(Mon_W2[[#This Row],[Employee Name]],'Base Schedules'!$A$113:$AW$158,30,FALSE)),"")</f>
        <v>ADM</v>
      </c>
      <c r="AF41" s="184" t="str">
        <f>IFERROR(IF(VLOOKUP(Mon_W2[[#This Row],[Employee Name]],'Base Schedules'!$A$113:$AW$158,31,FALSE)="","",VLOOKUP(Mon_W2[[#This Row],[Employee Name]],'Base Schedules'!$A$113:$AW$158,31,FALSE)),"")</f>
        <v>RNNR</v>
      </c>
      <c r="AG41" s="184" t="str">
        <f>IFERROR(IF(VLOOKUP(Mon_W2[[#This Row],[Employee Name]],'Base Schedules'!$A$113:$AW$158,32,FALSE)="","",VLOOKUP(Mon_W2[[#This Row],[Employee Name]],'Base Schedules'!$A$113:$AW$158,32,FALSE)),"")</f>
        <v>RNNR</v>
      </c>
      <c r="AH41" s="184" t="str">
        <f>IFERROR(IF(VLOOKUP(Mon_W2[[#This Row],[Employee Name]],'Base Schedules'!$A$113:$AW$158,33,FALSE)="","",VLOOKUP(Mon_W2[[#This Row],[Employee Name]],'Base Schedules'!$A$113:$AW$158,33,FALSE)),"")</f>
        <v>LUNCH</v>
      </c>
      <c r="AI41" s="184" t="str">
        <f>IFERROR(IF(VLOOKUP(Mon_W2[[#This Row],[Employee Name]],'Base Schedules'!$A$113:$AW$158,34,FALSE)="","",VLOOKUP(Mon_W2[[#This Row],[Employee Name]],'Base Schedules'!$A$113:$AW$158,34,FALSE)),"")</f>
        <v>HL</v>
      </c>
      <c r="AJ41" s="184" t="str">
        <f>IFERROR(IF(VLOOKUP(Mon_W2[[#This Row],[Employee Name]],'Base Schedules'!$A$113:$AW$158,35,FALSE)="","",VLOOKUP(Mon_W2[[#This Row],[Employee Name]],'Base Schedules'!$A$113:$AW$158,35,FALSE)),"")</f>
        <v>HL</v>
      </c>
      <c r="AK41" s="184" t="str">
        <f>IFERROR(IF(VLOOKUP(Mon_W2[[#This Row],[Employee Name]],'Base Schedules'!$A$113:$AW$158,36,FALSE)="","",VLOOKUP(Mon_W2[[#This Row],[Employee Name]],'Base Schedules'!$A$113:$AW$158,36,FALSE)),"")</f>
        <v>HL</v>
      </c>
      <c r="AL41" s="184" t="str">
        <f>IFERROR(IF(VLOOKUP(Mon_W2[[#This Row],[Employee Name]],'Base Schedules'!$A$113:$AW$158,37,FALSE)="","",VLOOKUP(Mon_W2[[#This Row],[Employee Name]],'Base Schedules'!$A$113:$AW$158,37,FALSE)),"")</f>
        <v>HL</v>
      </c>
      <c r="AM41" s="184" t="str">
        <f>IFERROR(IF(VLOOKUP(Mon_W2[[#This Row],[Employee Name]],'Base Schedules'!$A$113:$AW$158,38,FALSE)="","",VLOOKUP(Mon_W2[[#This Row],[Employee Name]],'Base Schedules'!$A$113:$AW$158,38,FALSE)),"")</f>
        <v>HL</v>
      </c>
      <c r="AN41" s="184" t="str">
        <f>IFERROR(IF(VLOOKUP(Mon_W2[[#This Row],[Employee Name]],'Base Schedules'!$A$113:$AW$158,39,FALSE)="","",VLOOKUP(Mon_W2[[#This Row],[Employee Name]],'Base Schedules'!$A$113:$AW$158,39,FALSE)),"")</f>
        <v>B2 HL</v>
      </c>
      <c r="AO41" s="184" t="str">
        <f>IFERROR(IF(VLOOKUP(Mon_W2[[#This Row],[Employee Name]],'Base Schedules'!$A$113:$AW$158,40,FALSE)="","",VLOOKUP(Mon_W2[[#This Row],[Employee Name]],'Base Schedules'!$A$113:$AW$158,40,FALSE)),"")</f>
        <v>HL</v>
      </c>
      <c r="AP41" s="184" t="str">
        <f>IFERROR(IF(VLOOKUP(Mon_W2[[#This Row],[Employee Name]],'Base Schedules'!$A$113:$AW$158,41,FALSE)="","",VLOOKUP(Mon_W2[[#This Row],[Employee Name]],'Base Schedules'!$A$113:$AW$158,41,FALSE)),"")</f>
        <v>HL</v>
      </c>
      <c r="AQ41" s="184" t="str">
        <f>IFERROR(IF(VLOOKUP(Mon_W2[[#This Row],[Employee Name]],'Base Schedules'!$A$113:$AW$158,42,FALSE)="","",VLOOKUP(Mon_W2[[#This Row],[Employee Name]],'Base Schedules'!$A$113:$AW$158,42,FALSE)),"")</f>
        <v/>
      </c>
      <c r="AR41" s="184" t="str">
        <f>IFERROR(IF(VLOOKUP(Mon_W2[[#This Row],[Employee Name]],'Base Schedules'!$A$113:$AW$158,43,FALSE)="","",VLOOKUP(Mon_W2[[#This Row],[Employee Name]],'Base Schedules'!$A$113:$AW$158,43,FALSE)),"")</f>
        <v/>
      </c>
      <c r="AS41" s="184" t="str">
        <f>IFERROR(IF(VLOOKUP(Mon_W2[[#This Row],[Employee Name]],'Base Schedules'!$A$113:$AW$158,44,FALSE)="","",VLOOKUP(Mon_W2[[#This Row],[Employee Name]],'Base Schedules'!$A$113:$AW$158,44,FALSE)),"")</f>
        <v/>
      </c>
      <c r="AT41" s="184" t="str">
        <f>IFERROR(IF(VLOOKUP(Mon_W2[[#This Row],[Employee Name]],'Base Schedules'!$A$113:$AW$158,45,FALSE)="","",VLOOKUP(Mon_W2[[#This Row],[Employee Name]],'Base Schedules'!$A$113:$AW$158,45,FALSE)),"")</f>
        <v/>
      </c>
      <c r="AU41" s="184" t="str">
        <f>IFERROR(IF(VLOOKUP(Mon_W2[[#This Row],[Employee Name]],'Base Schedules'!$A$113:$AW$158,46,FALSE)="","",VLOOKUP(Mon_W2[[#This Row],[Employee Name]],'Base Schedules'!$A$113:$AW$158,46,FALSE)),"")</f>
        <v/>
      </c>
      <c r="AV41" s="184" t="str">
        <f>IFERROR(IF(VLOOKUP(Mon_W2[[#This Row],[Employee Name]],'Base Schedules'!$A$113:$AW$158,47,FALSE)="","",VLOOKUP(Mon_W2[[#This Row],[Employee Name]],'Base Schedules'!$A$113:$AW$158,47,FALSE)),"")</f>
        <v/>
      </c>
      <c r="AW41" s="184" t="str">
        <f>IFERROR(IF(VLOOKUP(Mon_W2[[#This Row],[Employee Name]],'Base Schedules'!$A$113:$AW$158,48,FALSE)="","",VLOOKUP(Mon_W2[[#This Row],[Employee Name]],'Base Schedules'!$A$113:$AW$158,48,FALSE)),"")</f>
        <v/>
      </c>
      <c r="AX41" s="184" t="str">
        <f>IFERROR(IF(VLOOKUP(Mon_W2[[#This Row],[Employee Name]],'Base Schedules'!$A$113:$AW$158,49,FALSE)="","",VLOOKUP(Mon_W2[[#This Row],[Employee Name]],'Base Schedules'!$A$113:$AW$158,49,FALSE)),"")</f>
        <v/>
      </c>
      <c r="AY41" s="159" t="str">
        <f t="shared" ref="AY41:AY59" si="4">IF(B41="","",B41)</f>
        <v>Mood, Ken</v>
      </c>
    </row>
    <row r="42" spans="1:51" s="44" customFormat="1" ht="12" customHeight="1" x14ac:dyDescent="0.2">
      <c r="A42" s="39" t="str">
        <f>IF(B42="","",INDEX(TeamList[],MATCH($B42,TeamList[[Employee Name]:[Employee Name]],0),MATCH("Manager",TeamList[#Headers],0)))</f>
        <v>Olson, Katherine</v>
      </c>
      <c r="B42" s="201" t="s">
        <v>57</v>
      </c>
      <c r="C42" s="257" t="str">
        <f>_xlfn.IFNA(VLOOKUP(Mon_W2[[#This Row],[Employee Name]],'Base Schedules'!A:B,2,FALSE),"")</f>
        <v>Supervisor</v>
      </c>
      <c r="D42" s="274">
        <f>_xlfn.IFNA(VLOOKUP(Mon_W2[[#This Row],[Employee Name]],'Base Schedules'!A:C,3,FALSE),"")</f>
        <v>1300</v>
      </c>
      <c r="E42" s="274">
        <f>_xlfn.IFNA(VLOOKUP(Mon_W2[[#This Row],[Employee Name]],'Base Schedules'!A:D,4,FALSE),"")</f>
        <v>2200</v>
      </c>
      <c r="F42" s="142">
        <f>IF(Mon_W2[[#This Row],[Employee Name]]="","",IF(Mon_W2[[#This Row],[Dept]]="Supervisor",COUNTIFS($J42:$AX42,"*HL*",$J42:$AX42,"&lt;&gt;"&amp;"pHL"),COUNTIFS($J42:$AX42,"*HL*",$J42:$AX42,"&lt;&gt;"&amp;"*pHL*",$J42:$AX42,"&lt;&gt;"&amp;"pB1 HL",$J42:$AX42,"&lt;&gt;"&amp;"pB2 HL")-SUM(COUNTIFS($J42:$AX42,"*HL B1*",$J42:$AX42,"&lt;&gt;"&amp;"pHL B1")*0.5,COUNTIFS($J42:$AX42,"*HL B2*",$J42:$AX42,"&lt;&gt;"&amp;"pHL B2")*0.5,COUNTIFS($J42:$AX42,"*B1 HL*",$J42:$AX42,"&lt;&gt;"&amp;"pB1 HL")*0.5,COUNTIFS($J42:$AX42,"*B2 HL*",$J42:$AX42,"&lt;&gt;"&amp;"pB2 HL")*0.5)))</f>
        <v>0</v>
      </c>
      <c r="G42" s="142">
        <f t="shared" si="0"/>
        <v>0</v>
      </c>
      <c r="H42" s="142">
        <f t="shared" si="3"/>
        <v>0</v>
      </c>
      <c r="I42" s="142">
        <f>IF(Mon_W2[[#This Row],[Employee Name]]="","",IF(Mon_W2[[#This Row],[Dept]]="Supervisor",SUM(COUNTIFS($J42:$AX42,"RTA*",$J42:$AX42,"&lt;&gt;"&amp;"pRTA"),COUNTIFS($J42:$AX42,"*CRTA*",$J42:$AX42,"&lt;&gt;"&amp;"pCRTA")),COUNTIFS($J42:$AX42,"*RNNR*",$J42:$AX42,"&lt;&gt;"&amp;"*pRNNR*",$J42:$AX42,"&lt;&gt;"&amp;"pB1 RNNR",$J42:$AX42,"&lt;&gt;"&amp;"pB2 RNNR")-SUM(COUNTIFS($J42:$AX42,"*RNNR B1*",$J42:$AX42,"&lt;&gt;"&amp;"pRNNR B1")*0.5,COUNTIFS($J42:$AX42,"*RNNR B2*",$J42:$AX42,"&lt;&gt;"&amp;"pRNNR B2")*0.5,COUNTIFS($J42:$AX42,"*B1 RNNR*",$J42:$AX42,"&lt;&gt;"&amp;"pB1 RNNR")*0.5,COUNTIFS($J42:$AX42,"*B2 RNNR*",$J42:$AX42,"&lt;&gt;"&amp;"pB2 RNNR")*0.5)))</f>
        <v>0</v>
      </c>
      <c r="J42" s="184" t="str">
        <f>IFERROR(IF(VLOOKUP(Mon_W2[[#This Row],[Employee Name]],'Base Schedules'!$A$113:$AW$158,9,FALSE)="","",VLOOKUP(Mon_W2[[#This Row],[Employee Name]],'Base Schedules'!$A$113:$AW$158,9,FALSE)),"")</f>
        <v/>
      </c>
      <c r="K42" s="184" t="str">
        <f>IFERROR(IF(VLOOKUP(Mon_W2[[#This Row],[Employee Name]],'Base Schedules'!$A$113:$AW$158,10,FALSE)="","",VLOOKUP(Mon_W2[[#This Row],[Employee Name]],'Base Schedules'!$A$113:$AW$158,10,FALSE)),"")</f>
        <v/>
      </c>
      <c r="L42" s="184" t="str">
        <f>IFERROR(IF(VLOOKUP(Mon_W2[[#This Row],[Employee Name]],'Base Schedules'!$A$113:$AW$158,11,FALSE)="","",VLOOKUP(Mon_W2[[#This Row],[Employee Name]],'Base Schedules'!$A$113:$AW$158,11,FALSE)),"")</f>
        <v/>
      </c>
      <c r="M42" s="184" t="str">
        <f>IFERROR(IF(VLOOKUP(Mon_W2[[#This Row],[Employee Name]],'Base Schedules'!$A$113:$AW$158,12,FALSE)="","",VLOOKUP(Mon_W2[[#This Row],[Employee Name]],'Base Schedules'!$A$113:$AW$158,12,FALSE)),"")</f>
        <v/>
      </c>
      <c r="N42" s="184" t="str">
        <f>IFERROR(IF(VLOOKUP(Mon_W2[[#This Row],[Employee Name]],'Base Schedules'!$A$113:$AW$158,13,FALSE)="","",VLOOKUP(Mon_W2[[#This Row],[Employee Name]],'Base Schedules'!$A$113:$AW$158,13,FALSE)),"")</f>
        <v/>
      </c>
      <c r="O42" s="184" t="str">
        <f>IFERROR(IF(VLOOKUP(Mon_W2[[#This Row],[Employee Name]],'Base Schedules'!$A$113:$AW$158,14,FALSE)="","",VLOOKUP(Mon_W2[[#This Row],[Employee Name]],'Base Schedules'!$A$113:$AW$158,14,FALSE)),"")</f>
        <v/>
      </c>
      <c r="P42" s="184" t="str">
        <f>IFERROR(IF(VLOOKUP(Mon_W2[[#This Row],[Employee Name]],'Base Schedules'!$A$113:$AW$158,15,FALSE)="","",VLOOKUP(Mon_W2[[#This Row],[Employee Name]],'Base Schedules'!$A$113:$AW$158,15,FALSE)),"")</f>
        <v/>
      </c>
      <c r="Q42" s="184" t="str">
        <f>IFERROR(IF(VLOOKUP(Mon_W2[[#This Row],[Employee Name]],'Base Schedules'!$A$113:$AW$158,16,FALSE)="","",VLOOKUP(Mon_W2[[#This Row],[Employee Name]],'Base Schedules'!$A$113:$AW$158,16,FALSE)),"")</f>
        <v/>
      </c>
      <c r="R42" s="184" t="str">
        <f>IFERROR(IF(VLOOKUP(Mon_W2[[#This Row],[Employee Name]],'Base Schedules'!$A$113:$AW$158,17,FALSE)="","",VLOOKUP(Mon_W2[[#This Row],[Employee Name]],'Base Schedules'!$A$113:$AW$158,17,FALSE)),"")</f>
        <v/>
      </c>
      <c r="S42" s="184" t="str">
        <f>IFERROR(IF(VLOOKUP(Mon_W2[[#This Row],[Employee Name]],'Base Schedules'!$A$113:$AW$158,18,FALSE)="","",VLOOKUP(Mon_W2[[#This Row],[Employee Name]],'Base Schedules'!$A$113:$AW$158,18,FALSE)),"")</f>
        <v/>
      </c>
      <c r="T42" s="184" t="str">
        <f>IFERROR(IF(VLOOKUP(Mon_W2[[#This Row],[Employee Name]],'Base Schedules'!$A$113:$AW$158,19,FALSE)="","",VLOOKUP(Mon_W2[[#This Row],[Employee Name]],'Base Schedules'!$A$113:$AW$158,19,FALSE)),"")</f>
        <v/>
      </c>
      <c r="U42" s="184" t="str">
        <f>IFERROR(IF(VLOOKUP(Mon_W2[[#This Row],[Employee Name]],'Base Schedules'!$A$113:$AW$158,20,FALSE)="","",VLOOKUP(Mon_W2[[#This Row],[Employee Name]],'Base Schedules'!$A$113:$AW$158,20,FALSE)),"")</f>
        <v/>
      </c>
      <c r="V42" s="184" t="str">
        <f>IFERROR(IF(VLOOKUP(Mon_W2[[#This Row],[Employee Name]],'Base Schedules'!$A$113:$AW$158,21,FALSE)="","",VLOOKUP(Mon_W2[[#This Row],[Employee Name]],'Base Schedules'!$A$113:$AW$158,21,FALSE)),"")</f>
        <v/>
      </c>
      <c r="W42" s="184" t="str">
        <f>IFERROR(IF(VLOOKUP(Mon_W2[[#This Row],[Employee Name]],'Base Schedules'!$A$113:$AW$158,22,FALSE)="","",VLOOKUP(Mon_W2[[#This Row],[Employee Name]],'Base Schedules'!$A$113:$AW$158,22,FALSE)),"")</f>
        <v/>
      </c>
      <c r="X42" s="184" t="str">
        <f>IFERROR(IF(VLOOKUP(Mon_W2[[#This Row],[Employee Name]],'Base Schedules'!$A$113:$AW$158,23,FALSE)="","",VLOOKUP(Mon_W2[[#This Row],[Employee Name]],'Base Schedules'!$A$113:$AW$158,23,FALSE)),"")</f>
        <v/>
      </c>
      <c r="Y42" s="184" t="str">
        <f>IFERROR(IF(VLOOKUP(Mon_W2[[#This Row],[Employee Name]],'Base Schedules'!$A$113:$AW$158,24,FALSE)="","",VLOOKUP(Mon_W2[[#This Row],[Employee Name]],'Base Schedules'!$A$113:$AW$158,24,FALSE)),"")</f>
        <v/>
      </c>
      <c r="Z42" s="184" t="str">
        <f>IFERROR(IF(VLOOKUP(Mon_W2[[#This Row],[Employee Name]],'Base Schedules'!$A$113:$AW$158,25,FALSE)="","",VLOOKUP(Mon_W2[[#This Row],[Employee Name]],'Base Schedules'!$A$113:$AW$158,25,FALSE)),"")</f>
        <v>-</v>
      </c>
      <c r="AA42" s="184" t="str">
        <f>IFERROR(IF(VLOOKUP(Mon_W2[[#This Row],[Employee Name]],'Base Schedules'!$A$113:$AW$158,26,FALSE)="","",VLOOKUP(Mon_W2[[#This Row],[Employee Name]],'Base Schedules'!$A$113:$AW$158,26,FALSE)),"")</f>
        <v>-</v>
      </c>
      <c r="AB42" s="184" t="str">
        <f>IFERROR(IF(VLOOKUP(Mon_W2[[#This Row],[Employee Name]],'Base Schedules'!$A$113:$AW$158,27,FALSE)="","",VLOOKUP(Mon_W2[[#This Row],[Employee Name]],'Base Schedules'!$A$113:$AW$158,27,FALSE)),"")</f>
        <v>-</v>
      </c>
      <c r="AC42" s="184" t="str">
        <f>IFERROR(IF(VLOOKUP(Mon_W2[[#This Row],[Employee Name]],'Base Schedules'!$A$113:$AW$158,28,FALSE)="","",VLOOKUP(Mon_W2[[#This Row],[Employee Name]],'Base Schedules'!$A$113:$AW$158,28,FALSE)),"")</f>
        <v>-</v>
      </c>
      <c r="AD42" s="184" t="str">
        <f>IFERROR(IF(VLOOKUP(Mon_W2[[#This Row],[Employee Name]],'Base Schedules'!$A$113:$AW$158,29,FALSE)="","",VLOOKUP(Mon_W2[[#This Row],[Employee Name]],'Base Schedules'!$A$113:$AW$158,29,FALSE)),"")</f>
        <v>-</v>
      </c>
      <c r="AE42" s="184" t="str">
        <f>IFERROR(IF(VLOOKUP(Mon_W2[[#This Row],[Employee Name]],'Base Schedules'!$A$113:$AW$158,30,FALSE)="","",VLOOKUP(Mon_W2[[#This Row],[Employee Name]],'Base Schedules'!$A$113:$AW$158,30,FALSE)),"")</f>
        <v>-</v>
      </c>
      <c r="AF42" s="184" t="str">
        <f>IFERROR(IF(VLOOKUP(Mon_W2[[#This Row],[Employee Name]],'Base Schedules'!$A$113:$AW$158,31,FALSE)="","",VLOOKUP(Mon_W2[[#This Row],[Employee Name]],'Base Schedules'!$A$113:$AW$158,31,FALSE)),"")</f>
        <v>-</v>
      </c>
      <c r="AG42" s="184" t="str">
        <f>IFERROR(IF(VLOOKUP(Mon_W2[[#This Row],[Employee Name]],'Base Schedules'!$A$113:$AW$158,32,FALSE)="","",VLOOKUP(Mon_W2[[#This Row],[Employee Name]],'Base Schedules'!$A$113:$AW$158,32,FALSE)),"")</f>
        <v>-</v>
      </c>
      <c r="AH42" s="184" t="str">
        <f>IFERROR(IF(VLOOKUP(Mon_W2[[#This Row],[Employee Name]],'Base Schedules'!$A$113:$AW$158,33,FALSE)="","",VLOOKUP(Mon_W2[[#This Row],[Employee Name]],'Base Schedules'!$A$113:$AW$158,33,FALSE)),"")</f>
        <v>-</v>
      </c>
      <c r="AI42" s="184" t="str">
        <f>IFERROR(IF(VLOOKUP(Mon_W2[[#This Row],[Employee Name]],'Base Schedules'!$A$113:$AW$158,34,FALSE)="","",VLOOKUP(Mon_W2[[#This Row],[Employee Name]],'Base Schedules'!$A$113:$AW$158,34,FALSE)),"")</f>
        <v>-</v>
      </c>
      <c r="AJ42" s="184" t="str">
        <f>IFERROR(IF(VLOOKUP(Mon_W2[[#This Row],[Employee Name]],'Base Schedules'!$A$113:$AW$158,35,FALSE)="","",VLOOKUP(Mon_W2[[#This Row],[Employee Name]],'Base Schedules'!$A$113:$AW$158,35,FALSE)),"")</f>
        <v>Interview</v>
      </c>
      <c r="AK42" s="184" t="str">
        <f>IFERROR(IF(VLOOKUP(Mon_W2[[#This Row],[Employee Name]],'Base Schedules'!$A$113:$AW$158,36,FALSE)="","",VLOOKUP(Mon_W2[[#This Row],[Employee Name]],'Base Schedules'!$A$113:$AW$158,36,FALSE)),"")</f>
        <v>Interview</v>
      </c>
      <c r="AL42" s="184" t="str">
        <f>IFERROR(IF(VLOOKUP(Mon_W2[[#This Row],[Employee Name]],'Base Schedules'!$A$113:$AW$158,37,FALSE)="","",VLOOKUP(Mon_W2[[#This Row],[Employee Name]],'Base Schedules'!$A$113:$AW$158,37,FALSE)),"")</f>
        <v>-</v>
      </c>
      <c r="AM42" s="184" t="str">
        <f>IFERROR(IF(VLOOKUP(Mon_W2[[#This Row],[Employee Name]],'Base Schedules'!$A$113:$AW$158,38,FALSE)="","",VLOOKUP(Mon_W2[[#This Row],[Employee Name]],'Base Schedules'!$A$113:$AW$158,38,FALSE)),"")</f>
        <v>-</v>
      </c>
      <c r="AN42" s="184" t="str">
        <f>IFERROR(IF(VLOOKUP(Mon_W2[[#This Row],[Employee Name]],'Base Schedules'!$A$113:$AW$158,39,FALSE)="","",VLOOKUP(Mon_W2[[#This Row],[Employee Name]],'Base Schedules'!$A$113:$AW$158,39,FALSE)),"")</f>
        <v>-</v>
      </c>
      <c r="AO42" s="184" t="str">
        <f>IFERROR(IF(VLOOKUP(Mon_W2[[#This Row],[Employee Name]],'Base Schedules'!$A$113:$AW$158,40,FALSE)="","",VLOOKUP(Mon_W2[[#This Row],[Employee Name]],'Base Schedules'!$A$113:$AW$158,40,FALSE)),"")</f>
        <v>-</v>
      </c>
      <c r="AP42" s="184" t="str">
        <f>IFERROR(IF(VLOOKUP(Mon_W2[[#This Row],[Employee Name]],'Base Schedules'!$A$113:$AW$158,41,FALSE)="","",VLOOKUP(Mon_W2[[#This Row],[Employee Name]],'Base Schedules'!$A$113:$AW$158,41,FALSE)),"")</f>
        <v>-</v>
      </c>
      <c r="AQ42" s="184" t="str">
        <f>IFERROR(IF(VLOOKUP(Mon_W2[[#This Row],[Employee Name]],'Base Schedules'!$A$113:$AW$158,42,FALSE)="","",VLOOKUP(Mon_W2[[#This Row],[Employee Name]],'Base Schedules'!$A$113:$AW$158,42,FALSE)),"")</f>
        <v>-</v>
      </c>
      <c r="AR42" s="184" t="str">
        <f>IFERROR(IF(VLOOKUP(Mon_W2[[#This Row],[Employee Name]],'Base Schedules'!$A$113:$AW$158,43,FALSE)="","",VLOOKUP(Mon_W2[[#This Row],[Employee Name]],'Base Schedules'!$A$113:$AW$158,43,FALSE)),"")</f>
        <v/>
      </c>
      <c r="AS42" s="184" t="str">
        <f>IFERROR(IF(VLOOKUP(Mon_W2[[#This Row],[Employee Name]],'Base Schedules'!$A$113:$AW$158,44,FALSE)="","",VLOOKUP(Mon_W2[[#This Row],[Employee Name]],'Base Schedules'!$A$113:$AW$158,44,FALSE)),"")</f>
        <v/>
      </c>
      <c r="AT42" s="184" t="str">
        <f>IFERROR(IF(VLOOKUP(Mon_W2[[#This Row],[Employee Name]],'Base Schedules'!$A$113:$AW$158,45,FALSE)="","",VLOOKUP(Mon_W2[[#This Row],[Employee Name]],'Base Schedules'!$A$113:$AW$158,45,FALSE)),"")</f>
        <v/>
      </c>
      <c r="AU42" s="184" t="str">
        <f>IFERROR(IF(VLOOKUP(Mon_W2[[#This Row],[Employee Name]],'Base Schedules'!$A$113:$AW$158,46,FALSE)="","",VLOOKUP(Mon_W2[[#This Row],[Employee Name]],'Base Schedules'!$A$113:$AW$158,46,FALSE)),"")</f>
        <v/>
      </c>
      <c r="AV42" s="184" t="str">
        <f>IFERROR(IF(VLOOKUP(Mon_W2[[#This Row],[Employee Name]],'Base Schedules'!$A$113:$AW$158,47,FALSE)="","",VLOOKUP(Mon_W2[[#This Row],[Employee Name]],'Base Schedules'!$A$113:$AW$158,47,FALSE)),"")</f>
        <v/>
      </c>
      <c r="AW42" s="184" t="str">
        <f>IFERROR(IF(VLOOKUP(Mon_W2[[#This Row],[Employee Name]],'Base Schedules'!$A$113:$AW$158,48,FALSE)="","",VLOOKUP(Mon_W2[[#This Row],[Employee Name]],'Base Schedules'!$A$113:$AW$158,48,FALSE)),"")</f>
        <v/>
      </c>
      <c r="AX42" s="184" t="str">
        <f>IFERROR(IF(VLOOKUP(Mon_W2[[#This Row],[Employee Name]],'Base Schedules'!$A$113:$AW$158,49,FALSE)="","",VLOOKUP(Mon_W2[[#This Row],[Employee Name]],'Base Schedules'!$A$113:$AW$158,49,FALSE)),"")</f>
        <v/>
      </c>
      <c r="AY42" s="159" t="str">
        <f t="shared" si="4"/>
        <v>Cultice, Diana</v>
      </c>
    </row>
    <row r="43" spans="1:51" s="44" customFormat="1" ht="12" customHeight="1" x14ac:dyDescent="0.2">
      <c r="A43" s="39" t="str">
        <f>IF(B43="","",INDEX(TeamList[],MATCH($B43,TeamList[[Employee Name]:[Employee Name]],0),MATCH("Manager",TeamList[#Headers],0)))</f>
        <v>Olson, Katherine</v>
      </c>
      <c r="B43" s="330" t="s">
        <v>45</v>
      </c>
      <c r="C43" s="257" t="str">
        <f>_xlfn.IFNA(VLOOKUP(Mon_W2[[#This Row],[Employee Name]],'Base Schedules'!A:B,2,FALSE),"")</f>
        <v>Supervisor</v>
      </c>
      <c r="D43" s="274">
        <f>_xlfn.IFNA(VLOOKUP(Mon_W2[[#This Row],[Employee Name]],'Base Schedules'!A:C,3,FALSE),"")</f>
        <v>1400</v>
      </c>
      <c r="E43" s="274">
        <f>_xlfn.IFNA(VLOOKUP(Mon_W2[[#This Row],[Employee Name]],'Base Schedules'!A:D,4,FALSE),"")</f>
        <v>100</v>
      </c>
      <c r="F43" s="142">
        <f>IF(Mon_W2[[#This Row],[Employee Name]]="","",IF(Mon_W2[[#This Row],[Dept]]="Supervisor",COUNTIFS($J43:$AX43,"*HL*",$J43:$AX43,"&lt;&gt;"&amp;"pHL"),COUNTIFS($J43:$AX43,"*HL*",$J43:$AX43,"&lt;&gt;"&amp;"*pHL*",$J43:$AX43,"&lt;&gt;"&amp;"pB1 HL",$J43:$AX43,"&lt;&gt;"&amp;"pB2 HL")-SUM(COUNTIFS($J43:$AX43,"*HL B1*",$J43:$AX43,"&lt;&gt;"&amp;"pHL B1")*0.5,COUNTIFS($J43:$AX43,"*HL B2*",$J43:$AX43,"&lt;&gt;"&amp;"pHL B2")*0.5,COUNTIFS($J43:$AX43,"*B1 HL*",$J43:$AX43,"&lt;&gt;"&amp;"pB1 HL")*0.5,COUNTIFS($J43:$AX43,"*B2 HL*",$J43:$AX43,"&lt;&gt;"&amp;"pB2 HL")*0.5)))</f>
        <v>0</v>
      </c>
      <c r="G43" s="142">
        <f t="shared" si="0"/>
        <v>0</v>
      </c>
      <c r="H43" s="142">
        <f t="shared" si="3"/>
        <v>0</v>
      </c>
      <c r="I43" s="142">
        <f>IF(Mon_W2[[#This Row],[Employee Name]]="","",IF(Mon_W2[[#This Row],[Dept]]="Supervisor",SUM(COUNTIFS($J43:$AX43,"RTA*",$J43:$AX43,"&lt;&gt;"&amp;"pRTA"),COUNTIFS($J43:$AX43,"*CRTA*",$J43:$AX43,"&lt;&gt;"&amp;"pCRTA")),COUNTIFS($J43:$AX43,"*RNNR*",$J43:$AX43,"&lt;&gt;"&amp;"*pRNNR*",$J43:$AX43,"&lt;&gt;"&amp;"pB1 RNNR",$J43:$AX43,"&lt;&gt;"&amp;"pB2 RNNR")-SUM(COUNTIFS($J43:$AX43,"*RNNR B1*",$J43:$AX43,"&lt;&gt;"&amp;"pRNNR B1")*0.5,COUNTIFS($J43:$AX43,"*RNNR B2*",$J43:$AX43,"&lt;&gt;"&amp;"pRNNR B2")*0.5,COUNTIFS($J43:$AX43,"*B1 RNNR*",$J43:$AX43,"&lt;&gt;"&amp;"pB1 RNNR")*0.5,COUNTIFS($J43:$AX43,"*B2 RNNR*",$J43:$AX43,"&lt;&gt;"&amp;"pB2 RNNR")*0.5)))</f>
        <v>0</v>
      </c>
      <c r="J43" s="184" t="str">
        <f>IFERROR(IF(VLOOKUP(Mon_W2[[#This Row],[Employee Name]],'Base Schedules'!$A$113:$AW$158,9,FALSE)="","",VLOOKUP(Mon_W2[[#This Row],[Employee Name]],'Base Schedules'!$A$113:$AW$158,9,FALSE)),"")</f>
        <v/>
      </c>
      <c r="K43" s="184" t="str">
        <f>IFERROR(IF(VLOOKUP(Mon_W2[[#This Row],[Employee Name]],'Base Schedules'!$A$113:$AW$158,10,FALSE)="","",VLOOKUP(Mon_W2[[#This Row],[Employee Name]],'Base Schedules'!$A$113:$AW$158,10,FALSE)),"")</f>
        <v/>
      </c>
      <c r="L43" s="184" t="str">
        <f>IFERROR(IF(VLOOKUP(Mon_W2[[#This Row],[Employee Name]],'Base Schedules'!$A$113:$AW$158,11,FALSE)="","",VLOOKUP(Mon_W2[[#This Row],[Employee Name]],'Base Schedules'!$A$113:$AW$158,11,FALSE)),"")</f>
        <v/>
      </c>
      <c r="M43" s="184" t="str">
        <f>IFERROR(IF(VLOOKUP(Mon_W2[[#This Row],[Employee Name]],'Base Schedules'!$A$113:$AW$158,12,FALSE)="","",VLOOKUP(Mon_W2[[#This Row],[Employee Name]],'Base Schedules'!$A$113:$AW$158,12,FALSE)),"")</f>
        <v/>
      </c>
      <c r="N43" s="184" t="str">
        <f>IFERROR(IF(VLOOKUP(Mon_W2[[#This Row],[Employee Name]],'Base Schedules'!$A$113:$AW$158,13,FALSE)="","",VLOOKUP(Mon_W2[[#This Row],[Employee Name]],'Base Schedules'!$A$113:$AW$158,13,FALSE)),"")</f>
        <v/>
      </c>
      <c r="O43" s="184" t="str">
        <f>IFERROR(IF(VLOOKUP(Mon_W2[[#This Row],[Employee Name]],'Base Schedules'!$A$113:$AW$158,14,FALSE)="","",VLOOKUP(Mon_W2[[#This Row],[Employee Name]],'Base Schedules'!$A$113:$AW$158,14,FALSE)),"")</f>
        <v/>
      </c>
      <c r="P43" s="184" t="str">
        <f>IFERROR(IF(VLOOKUP(Mon_W2[[#This Row],[Employee Name]],'Base Schedules'!$A$113:$AW$158,15,FALSE)="","",VLOOKUP(Mon_W2[[#This Row],[Employee Name]],'Base Schedules'!$A$113:$AW$158,15,FALSE)),"")</f>
        <v/>
      </c>
      <c r="Q43" s="184" t="str">
        <f>IFERROR(IF(VLOOKUP(Mon_W2[[#This Row],[Employee Name]],'Base Schedules'!$A$113:$AW$158,16,FALSE)="","",VLOOKUP(Mon_W2[[#This Row],[Employee Name]],'Base Schedules'!$A$113:$AW$158,16,FALSE)),"")</f>
        <v/>
      </c>
      <c r="R43" s="184" t="str">
        <f>IFERROR(IF(VLOOKUP(Mon_W2[[#This Row],[Employee Name]],'Base Schedules'!$A$113:$AW$158,17,FALSE)="","",VLOOKUP(Mon_W2[[#This Row],[Employee Name]],'Base Schedules'!$A$113:$AW$158,17,FALSE)),"")</f>
        <v/>
      </c>
      <c r="S43" s="184" t="str">
        <f>IFERROR(IF(VLOOKUP(Mon_W2[[#This Row],[Employee Name]],'Base Schedules'!$A$113:$AW$158,18,FALSE)="","",VLOOKUP(Mon_W2[[#This Row],[Employee Name]],'Base Schedules'!$A$113:$AW$158,18,FALSE)),"")</f>
        <v/>
      </c>
      <c r="T43" s="184" t="str">
        <f>IFERROR(IF(VLOOKUP(Mon_W2[[#This Row],[Employee Name]],'Base Schedules'!$A$113:$AW$158,19,FALSE)="","",VLOOKUP(Mon_W2[[#This Row],[Employee Name]],'Base Schedules'!$A$113:$AW$158,19,FALSE)),"")</f>
        <v/>
      </c>
      <c r="U43" s="184" t="str">
        <f>IFERROR(IF(VLOOKUP(Mon_W2[[#This Row],[Employee Name]],'Base Schedules'!$A$113:$AW$158,20,FALSE)="","",VLOOKUP(Mon_W2[[#This Row],[Employee Name]],'Base Schedules'!$A$113:$AW$158,20,FALSE)),"")</f>
        <v/>
      </c>
      <c r="V43" s="184" t="str">
        <f>IFERROR(IF(VLOOKUP(Mon_W2[[#This Row],[Employee Name]],'Base Schedules'!$A$113:$AW$158,21,FALSE)="","",VLOOKUP(Mon_W2[[#This Row],[Employee Name]],'Base Schedules'!$A$113:$AW$158,21,FALSE)),"")</f>
        <v/>
      </c>
      <c r="W43" s="184" t="str">
        <f>IFERROR(IF(VLOOKUP(Mon_W2[[#This Row],[Employee Name]],'Base Schedules'!$A$113:$AW$158,22,FALSE)="","",VLOOKUP(Mon_W2[[#This Row],[Employee Name]],'Base Schedules'!$A$113:$AW$158,22,FALSE)),"")</f>
        <v/>
      </c>
      <c r="X43" s="184" t="str">
        <f>IFERROR(IF(VLOOKUP(Mon_W2[[#This Row],[Employee Name]],'Base Schedules'!$A$113:$AW$158,23,FALSE)="","",VLOOKUP(Mon_W2[[#This Row],[Employee Name]],'Base Schedules'!$A$113:$AW$158,23,FALSE)),"")</f>
        <v/>
      </c>
      <c r="Y43" s="184" t="str">
        <f>IFERROR(IF(VLOOKUP(Mon_W2[[#This Row],[Employee Name]],'Base Schedules'!$A$113:$AW$158,24,FALSE)="","",VLOOKUP(Mon_W2[[#This Row],[Employee Name]],'Base Schedules'!$A$113:$AW$158,24,FALSE)),"")</f>
        <v/>
      </c>
      <c r="Z43" s="184" t="str">
        <f>IFERROR(IF(VLOOKUP(Mon_W2[[#This Row],[Employee Name]],'Base Schedules'!$A$113:$AW$158,25,FALSE)="","",VLOOKUP(Mon_W2[[#This Row],[Employee Name]],'Base Schedules'!$A$113:$AW$158,25,FALSE)),"")</f>
        <v/>
      </c>
      <c r="AA43" s="184" t="str">
        <f>IFERROR(IF(VLOOKUP(Mon_W2[[#This Row],[Employee Name]],'Base Schedules'!$A$113:$AW$158,26,FALSE)="","",VLOOKUP(Mon_W2[[#This Row],[Employee Name]],'Base Schedules'!$A$113:$AW$158,26,FALSE)),"")</f>
        <v/>
      </c>
      <c r="AB43" s="184" t="str">
        <f>IFERROR(IF(VLOOKUP(Mon_W2[[#This Row],[Employee Name]],'Base Schedules'!$A$113:$AW$158,27,FALSE)="","",VLOOKUP(Mon_W2[[#This Row],[Employee Name]],'Base Schedules'!$A$113:$AW$158,27,FALSE)),"")</f>
        <v>-</v>
      </c>
      <c r="AC43" s="184" t="str">
        <f>IFERROR(IF(VLOOKUP(Mon_W2[[#This Row],[Employee Name]],'Base Schedules'!$A$113:$AW$158,28,FALSE)="","",VLOOKUP(Mon_W2[[#This Row],[Employee Name]],'Base Schedules'!$A$113:$AW$158,28,FALSE)),"")</f>
        <v>Team KO TM</v>
      </c>
      <c r="AD43" s="184" t="str">
        <f>IFERROR(IF(VLOOKUP(Mon_W2[[#This Row],[Employee Name]],'Base Schedules'!$A$113:$AW$158,29,FALSE)="","",VLOOKUP(Mon_W2[[#This Row],[Employee Name]],'Base Schedules'!$A$113:$AW$158,29,FALSE)),"")</f>
        <v>Team KO TM</v>
      </c>
      <c r="AE43" s="184" t="str">
        <f>IFERROR(IF(VLOOKUP(Mon_W2[[#This Row],[Employee Name]],'Base Schedules'!$A$113:$AW$158,30,FALSE)="","",VLOOKUP(Mon_W2[[#This Row],[Employee Name]],'Base Schedules'!$A$113:$AW$158,30,FALSE)),"")</f>
        <v>-</v>
      </c>
      <c r="AF43" s="184" t="str">
        <f>IFERROR(IF(VLOOKUP(Mon_W2[[#This Row],[Employee Name]],'Base Schedules'!$A$113:$AW$158,31,FALSE)="","",VLOOKUP(Mon_W2[[#This Row],[Employee Name]],'Base Schedules'!$A$113:$AW$158,31,FALSE)),"")</f>
        <v>-</v>
      </c>
      <c r="AG43" s="184" t="str">
        <f>IFERROR(IF(VLOOKUP(Mon_W2[[#This Row],[Employee Name]],'Base Schedules'!$A$113:$AW$158,32,FALSE)="","",VLOOKUP(Mon_W2[[#This Row],[Employee Name]],'Base Schedules'!$A$113:$AW$158,32,FALSE)),"")</f>
        <v>-</v>
      </c>
      <c r="AH43" s="184" t="str">
        <f>IFERROR(IF(VLOOKUP(Mon_W2[[#This Row],[Employee Name]],'Base Schedules'!$A$113:$AW$158,33,FALSE)="","",VLOOKUP(Mon_W2[[#This Row],[Employee Name]],'Base Schedules'!$A$113:$AW$158,33,FALSE)),"")</f>
        <v>-</v>
      </c>
      <c r="AI43" s="184" t="str">
        <f>IFERROR(IF(VLOOKUP(Mon_W2[[#This Row],[Employee Name]],'Base Schedules'!$A$113:$AW$158,34,FALSE)="","",VLOOKUP(Mon_W2[[#This Row],[Employee Name]],'Base Schedules'!$A$113:$AW$158,34,FALSE)),"")</f>
        <v>-</v>
      </c>
      <c r="AJ43" s="184" t="str">
        <f>IFERROR(IF(VLOOKUP(Mon_W2[[#This Row],[Employee Name]],'Base Schedules'!$A$113:$AW$158,35,FALSE)="","",VLOOKUP(Mon_W2[[#This Row],[Employee Name]],'Base Schedules'!$A$113:$AW$158,35,FALSE)),"")</f>
        <v>Interview</v>
      </c>
      <c r="AK43" s="184" t="str">
        <f>IFERROR(IF(VLOOKUP(Mon_W2[[#This Row],[Employee Name]],'Base Schedules'!$A$113:$AW$158,36,FALSE)="","",VLOOKUP(Mon_W2[[#This Row],[Employee Name]],'Base Schedules'!$A$113:$AW$158,36,FALSE)),"")</f>
        <v>Interview</v>
      </c>
      <c r="AL43" s="184" t="str">
        <f>IFERROR(IF(VLOOKUP(Mon_W2[[#This Row],[Employee Name]],'Base Schedules'!$A$113:$AW$158,37,FALSE)="","",VLOOKUP(Mon_W2[[#This Row],[Employee Name]],'Base Schedules'!$A$113:$AW$158,37,FALSE)),"")</f>
        <v>-</v>
      </c>
      <c r="AM43" s="184" t="str">
        <f>IFERROR(IF(VLOOKUP(Mon_W2[[#This Row],[Employee Name]],'Base Schedules'!$A$113:$AW$158,38,FALSE)="","",VLOOKUP(Mon_W2[[#This Row],[Employee Name]],'Base Schedules'!$A$113:$AW$158,38,FALSE)),"")</f>
        <v>-</v>
      </c>
      <c r="AN43" s="184" t="str">
        <f>IFERROR(IF(VLOOKUP(Mon_W2[[#This Row],[Employee Name]],'Base Schedules'!$A$113:$AW$158,39,FALSE)="","",VLOOKUP(Mon_W2[[#This Row],[Employee Name]],'Base Schedules'!$A$113:$AW$158,39,FALSE)),"")</f>
        <v>-</v>
      </c>
      <c r="AO43" s="184" t="str">
        <f>IFERROR(IF(VLOOKUP(Mon_W2[[#This Row],[Employee Name]],'Base Schedules'!$A$113:$AW$158,40,FALSE)="","",VLOOKUP(Mon_W2[[#This Row],[Employee Name]],'Base Schedules'!$A$113:$AW$158,40,FALSE)),"")</f>
        <v>-</v>
      </c>
      <c r="AP43" s="184" t="str">
        <f>IFERROR(IF(VLOOKUP(Mon_W2[[#This Row],[Employee Name]],'Base Schedules'!$A$113:$AW$158,41,FALSE)="","",VLOOKUP(Mon_W2[[#This Row],[Employee Name]],'Base Schedules'!$A$113:$AW$158,41,FALSE)),"")</f>
        <v>-</v>
      </c>
      <c r="AQ43" s="184" t="str">
        <f>IFERROR(IF(VLOOKUP(Mon_W2[[#This Row],[Employee Name]],'Base Schedules'!$A$113:$AW$158,42,FALSE)="","",VLOOKUP(Mon_W2[[#This Row],[Employee Name]],'Base Schedules'!$A$113:$AW$158,42,FALSE)),"")</f>
        <v>-</v>
      </c>
      <c r="AR43" s="184" t="str">
        <f>IFERROR(IF(VLOOKUP(Mon_W2[[#This Row],[Employee Name]],'Base Schedules'!$A$113:$AW$158,43,FALSE)="","",VLOOKUP(Mon_W2[[#This Row],[Employee Name]],'Base Schedules'!$A$113:$AW$158,43,FALSE)),"")</f>
        <v>-</v>
      </c>
      <c r="AS43" s="184" t="str">
        <f>IFERROR(IF(VLOOKUP(Mon_W2[[#This Row],[Employee Name]],'Base Schedules'!$A$113:$AW$158,44,FALSE)="","",VLOOKUP(Mon_W2[[#This Row],[Employee Name]],'Base Schedules'!$A$113:$AW$158,44,FALSE)),"")</f>
        <v>-</v>
      </c>
      <c r="AT43" s="184" t="str">
        <f>IFERROR(IF(VLOOKUP(Mon_W2[[#This Row],[Employee Name]],'Base Schedules'!$A$113:$AW$158,45,FALSE)="","",VLOOKUP(Mon_W2[[#This Row],[Employee Name]],'Base Schedules'!$A$113:$AW$158,45,FALSE)),"")</f>
        <v>-</v>
      </c>
      <c r="AU43" s="184" t="str">
        <f>IFERROR(IF(VLOOKUP(Mon_W2[[#This Row],[Employee Name]],'Base Schedules'!$A$113:$AW$158,46,FALSE)="","",VLOOKUP(Mon_W2[[#This Row],[Employee Name]],'Base Schedules'!$A$113:$AW$158,46,FALSE)),"")</f>
        <v>-</v>
      </c>
      <c r="AV43" s="184" t="str">
        <f>IFERROR(IF(VLOOKUP(Mon_W2[[#This Row],[Employee Name]],'Base Schedules'!$A$113:$AW$158,47,FALSE)="","",VLOOKUP(Mon_W2[[#This Row],[Employee Name]],'Base Schedules'!$A$113:$AW$158,47,FALSE)),"")</f>
        <v>-</v>
      </c>
      <c r="AW43" s="184" t="str">
        <f>IFERROR(IF(VLOOKUP(Mon_W2[[#This Row],[Employee Name]],'Base Schedules'!$A$113:$AW$158,48,FALSE)="","",VLOOKUP(Mon_W2[[#This Row],[Employee Name]],'Base Schedules'!$A$113:$AW$158,48,FALSE)),"")</f>
        <v>-</v>
      </c>
      <c r="AX43" s="184" t="str">
        <f>IFERROR(IF(VLOOKUP(Mon_W2[[#This Row],[Employee Name]],'Base Schedules'!$A$113:$AW$158,49,FALSE)="","",VLOOKUP(Mon_W2[[#This Row],[Employee Name]],'Base Schedules'!$A$113:$AW$158,49,FALSE)),"")</f>
        <v/>
      </c>
      <c r="AY43" s="159" t="str">
        <f t="shared" si="4"/>
        <v>McLean, Neva</v>
      </c>
    </row>
    <row r="44" spans="1:51" s="44" customFormat="1" ht="12" customHeight="1" x14ac:dyDescent="0.2">
      <c r="A44" s="39" t="str">
        <f>IF(B44="","",INDEX(TeamList[],MATCH($B44,TeamList[[Employee Name]:[Employee Name]],0),MATCH("Manager",TeamList[#Headers],0)))</f>
        <v>Olson, Katherine</v>
      </c>
      <c r="B44" s="201" t="s">
        <v>235</v>
      </c>
      <c r="C44" s="257" t="str">
        <f>_xlfn.IFNA(VLOOKUP(Mon_W2[[#This Row],[Employee Name]],'Base Schedules'!A:B,2,FALSE),"")</f>
        <v>Lead</v>
      </c>
      <c r="D44" s="274">
        <f>_xlfn.IFNA(VLOOKUP(Mon_W2[[#This Row],[Employee Name]],'Base Schedules'!A:C,3,FALSE),"")</f>
        <v>1530</v>
      </c>
      <c r="E44" s="274">
        <f>_xlfn.IFNA(VLOOKUP(Mon_W2[[#This Row],[Employee Name]],'Base Schedules'!A:D,4,FALSE),"")</f>
        <v>0</v>
      </c>
      <c r="F44" s="142">
        <f>IF(Mon_W2[[#This Row],[Employee Name]]="","",IF(Mon_W2[[#This Row],[Dept]]="Supervisor",COUNTIFS($J44:$AX44,"*HL*",$J44:$AX44,"&lt;&gt;"&amp;"pHL"),COUNTIFS($J44:$AX44,"*HL*",$J44:$AX44,"&lt;&gt;"&amp;"*pHL*",$J44:$AX44,"&lt;&gt;"&amp;"pB1 HL",$J44:$AX44,"&lt;&gt;"&amp;"pB2 HL")-SUM(COUNTIFS($J44:$AX44,"*HL B1*",$J44:$AX44,"&lt;&gt;"&amp;"pHL B1")*0.5,COUNTIFS($J44:$AX44,"*HL B2*",$J44:$AX44,"&lt;&gt;"&amp;"pHL B2")*0.5,COUNTIFS($J44:$AX44,"*B1 HL*",$J44:$AX44,"&lt;&gt;"&amp;"pB1 HL")*0.5,COUNTIFS($J44:$AX44,"*B2 HL*",$J44:$AX44,"&lt;&gt;"&amp;"pB2 HL")*0.5)))</f>
        <v>10.5</v>
      </c>
      <c r="G44" s="142">
        <f t="shared" si="0"/>
        <v>0</v>
      </c>
      <c r="H44" s="142">
        <f t="shared" si="3"/>
        <v>5</v>
      </c>
      <c r="I44" s="142">
        <f>IF(Mon_W2[[#This Row],[Employee Name]]="","",IF(Mon_W2[[#This Row],[Dept]]="Supervisor",SUM(COUNTIFS($J44:$AX44,"RTA*",$J44:$AX44,"&lt;&gt;"&amp;"pRTA"),COUNTIFS($J44:$AX44,"*CRTA*",$J44:$AX44,"&lt;&gt;"&amp;"pCRTA")),COUNTIFS($J44:$AX44,"*RNNR*",$J44:$AX44,"&lt;&gt;"&amp;"*pRNNR*",$J44:$AX44,"&lt;&gt;"&amp;"pB1 RNNR",$J44:$AX44,"&lt;&gt;"&amp;"pB2 RNNR")-SUM(COUNTIFS($J44:$AX44,"*RNNR B1*",$J44:$AX44,"&lt;&gt;"&amp;"pRNNR B1")*0.5,COUNTIFS($J44:$AX44,"*RNNR B2*",$J44:$AX44,"&lt;&gt;"&amp;"pRNNR B2")*0.5,COUNTIFS($J44:$AX44,"*B1 RNNR*",$J44:$AX44,"&lt;&gt;"&amp;"pB1 RNNR")*0.5,COUNTIFS($J44:$AX44,"*B2 RNNR*",$J44:$AX44,"&lt;&gt;"&amp;"pB2 RNNR")*0.5)))</f>
        <v>0</v>
      </c>
      <c r="J44" s="184" t="str">
        <f>IFERROR(IF(VLOOKUP(Mon_W2[[#This Row],[Employee Name]],'Base Schedules'!$A$113:$AW$158,9,FALSE)="","",VLOOKUP(Mon_W2[[#This Row],[Employee Name]],'Base Schedules'!$A$113:$AW$158,9,FALSE)),"")</f>
        <v/>
      </c>
      <c r="K44" s="184" t="str">
        <f>IFERROR(IF(VLOOKUP(Mon_W2[[#This Row],[Employee Name]],'Base Schedules'!$A$113:$AW$158,10,FALSE)="","",VLOOKUP(Mon_W2[[#This Row],[Employee Name]],'Base Schedules'!$A$113:$AW$158,10,FALSE)),"")</f>
        <v/>
      </c>
      <c r="L44" s="184" t="str">
        <f>IFERROR(IF(VLOOKUP(Mon_W2[[#This Row],[Employee Name]],'Base Schedules'!$A$113:$AW$158,11,FALSE)="","",VLOOKUP(Mon_W2[[#This Row],[Employee Name]],'Base Schedules'!$A$113:$AW$158,11,FALSE)),"")</f>
        <v/>
      </c>
      <c r="M44" s="184" t="str">
        <f>IFERROR(IF(VLOOKUP(Mon_W2[[#This Row],[Employee Name]],'Base Schedules'!$A$113:$AW$158,12,FALSE)="","",VLOOKUP(Mon_W2[[#This Row],[Employee Name]],'Base Schedules'!$A$113:$AW$158,12,FALSE)),"")</f>
        <v/>
      </c>
      <c r="N44" s="184" t="str">
        <f>IFERROR(IF(VLOOKUP(Mon_W2[[#This Row],[Employee Name]],'Base Schedules'!$A$113:$AW$158,13,FALSE)="","",VLOOKUP(Mon_W2[[#This Row],[Employee Name]],'Base Schedules'!$A$113:$AW$158,13,FALSE)),"")</f>
        <v/>
      </c>
      <c r="O44" s="184" t="str">
        <f>IFERROR(IF(VLOOKUP(Mon_W2[[#This Row],[Employee Name]],'Base Schedules'!$A$113:$AW$158,14,FALSE)="","",VLOOKUP(Mon_W2[[#This Row],[Employee Name]],'Base Schedules'!$A$113:$AW$158,14,FALSE)),"")</f>
        <v/>
      </c>
      <c r="P44" s="184" t="str">
        <f>IFERROR(IF(VLOOKUP(Mon_W2[[#This Row],[Employee Name]],'Base Schedules'!$A$113:$AW$158,15,FALSE)="","",VLOOKUP(Mon_W2[[#This Row],[Employee Name]],'Base Schedules'!$A$113:$AW$158,15,FALSE)),"")</f>
        <v/>
      </c>
      <c r="Q44" s="184" t="str">
        <f>IFERROR(IF(VLOOKUP(Mon_W2[[#This Row],[Employee Name]],'Base Schedules'!$A$113:$AW$158,16,FALSE)="","",VLOOKUP(Mon_W2[[#This Row],[Employee Name]],'Base Schedules'!$A$113:$AW$158,16,FALSE)),"")</f>
        <v/>
      </c>
      <c r="R44" s="184" t="str">
        <f>IFERROR(IF(VLOOKUP(Mon_W2[[#This Row],[Employee Name]],'Base Schedules'!$A$113:$AW$158,17,FALSE)="","",VLOOKUP(Mon_W2[[#This Row],[Employee Name]],'Base Schedules'!$A$113:$AW$158,17,FALSE)),"")</f>
        <v/>
      </c>
      <c r="S44" s="184" t="str">
        <f>IFERROR(IF(VLOOKUP(Mon_W2[[#This Row],[Employee Name]],'Base Schedules'!$A$113:$AW$158,18,FALSE)="","",VLOOKUP(Mon_W2[[#This Row],[Employee Name]],'Base Schedules'!$A$113:$AW$158,18,FALSE)),"")</f>
        <v/>
      </c>
      <c r="T44" s="184" t="str">
        <f>IFERROR(IF(VLOOKUP(Mon_W2[[#This Row],[Employee Name]],'Base Schedules'!$A$113:$AW$158,19,FALSE)="","",VLOOKUP(Mon_W2[[#This Row],[Employee Name]],'Base Schedules'!$A$113:$AW$158,19,FALSE)),"")</f>
        <v/>
      </c>
      <c r="U44" s="184" t="str">
        <f>IFERROR(IF(VLOOKUP(Mon_W2[[#This Row],[Employee Name]],'Base Schedules'!$A$113:$AW$158,20,FALSE)="","",VLOOKUP(Mon_W2[[#This Row],[Employee Name]],'Base Schedules'!$A$113:$AW$158,20,FALSE)),"")</f>
        <v/>
      </c>
      <c r="V44" s="184" t="str">
        <f>IFERROR(IF(VLOOKUP(Mon_W2[[#This Row],[Employee Name]],'Base Schedules'!$A$113:$AW$158,21,FALSE)="","",VLOOKUP(Mon_W2[[#This Row],[Employee Name]],'Base Schedules'!$A$113:$AW$158,21,FALSE)),"")</f>
        <v/>
      </c>
      <c r="W44" s="184" t="str">
        <f>IFERROR(IF(VLOOKUP(Mon_W2[[#This Row],[Employee Name]],'Base Schedules'!$A$113:$AW$158,22,FALSE)="","",VLOOKUP(Mon_W2[[#This Row],[Employee Name]],'Base Schedules'!$A$113:$AW$158,22,FALSE)),"")</f>
        <v/>
      </c>
      <c r="X44" s="184" t="str">
        <f>IFERROR(IF(VLOOKUP(Mon_W2[[#This Row],[Employee Name]],'Base Schedules'!$A$113:$AW$158,23,FALSE)="","",VLOOKUP(Mon_W2[[#This Row],[Employee Name]],'Base Schedules'!$A$113:$AW$158,23,FALSE)),"")</f>
        <v/>
      </c>
      <c r="Y44" s="184" t="str">
        <f>IFERROR(IF(VLOOKUP(Mon_W2[[#This Row],[Employee Name]],'Base Schedules'!$A$113:$AW$158,24,FALSE)="","",VLOOKUP(Mon_W2[[#This Row],[Employee Name]],'Base Schedules'!$A$113:$AW$158,24,FALSE)),"")</f>
        <v/>
      </c>
      <c r="Z44" s="184" t="str">
        <f>IFERROR(IF(VLOOKUP(Mon_W2[[#This Row],[Employee Name]],'Base Schedules'!$A$113:$AW$158,25,FALSE)="","",VLOOKUP(Mon_W2[[#This Row],[Employee Name]],'Base Schedules'!$A$113:$AW$158,25,FALSE)),"")</f>
        <v/>
      </c>
      <c r="AA44" s="184" t="str">
        <f>IFERROR(IF(VLOOKUP(Mon_W2[[#This Row],[Employee Name]],'Base Schedules'!$A$113:$AW$158,26,FALSE)="","",VLOOKUP(Mon_W2[[#This Row],[Employee Name]],'Base Schedules'!$A$113:$AW$158,26,FALSE)),"")</f>
        <v/>
      </c>
      <c r="AB44" s="184" t="str">
        <f>IFERROR(IF(VLOOKUP(Mon_W2[[#This Row],[Employee Name]],'Base Schedules'!$A$113:$AW$158,27,FALSE)="","",VLOOKUP(Mon_W2[[#This Row],[Employee Name]],'Base Schedules'!$A$113:$AW$158,27,FALSE)),"")</f>
        <v/>
      </c>
      <c r="AC44" s="184" t="str">
        <f>IFERROR(IF(VLOOKUP(Mon_W2[[#This Row],[Employee Name]],'Base Schedules'!$A$113:$AW$158,28,FALSE)="","",VLOOKUP(Mon_W2[[#This Row],[Employee Name]],'Base Schedules'!$A$113:$AW$158,28,FALSE)),"")</f>
        <v/>
      </c>
      <c r="AD44" s="184" t="str">
        <f>IFERROR(IF(VLOOKUP(Mon_W2[[#This Row],[Employee Name]],'Base Schedules'!$A$113:$AW$158,29,FALSE)="","",VLOOKUP(Mon_W2[[#This Row],[Employee Name]],'Base Schedules'!$A$113:$AW$158,29,FALSE)),"")</f>
        <v/>
      </c>
      <c r="AE44" s="184" t="str">
        <f>IFERROR(IF(VLOOKUP(Mon_W2[[#This Row],[Employee Name]],'Base Schedules'!$A$113:$AW$158,30,FALSE)="","",VLOOKUP(Mon_W2[[#This Row],[Employee Name]],'Base Schedules'!$A$113:$AW$158,30,FALSE)),"")</f>
        <v>ADM</v>
      </c>
      <c r="AF44" s="184" t="str">
        <f>IFERROR(IF(VLOOKUP(Mon_W2[[#This Row],[Employee Name]],'Base Schedules'!$A$113:$AW$158,31,FALSE)="","",VLOOKUP(Mon_W2[[#This Row],[Employee Name]],'Base Schedules'!$A$113:$AW$158,31,FALSE)),"")</f>
        <v>ADM</v>
      </c>
      <c r="AG44" s="184" t="str">
        <f>IFERROR(IF(VLOOKUP(Mon_W2[[#This Row],[Employee Name]],'Base Schedules'!$A$113:$AW$158,32,FALSE)="","",VLOOKUP(Mon_W2[[#This Row],[Employee Name]],'Base Schedules'!$A$113:$AW$158,32,FALSE)),"")</f>
        <v>ADM</v>
      </c>
      <c r="AH44" s="184" t="str">
        <f>IFERROR(IF(VLOOKUP(Mon_W2[[#This Row],[Employee Name]],'Base Schedules'!$A$113:$AW$158,33,FALSE)="","",VLOOKUP(Mon_W2[[#This Row],[Employee Name]],'Base Schedules'!$A$113:$AW$158,33,FALSE)),"")</f>
        <v>ADM</v>
      </c>
      <c r="AI44" s="184" t="str">
        <f>IFERROR(IF(VLOOKUP(Mon_W2[[#This Row],[Employee Name]],'Base Schedules'!$A$113:$AW$158,34,FALSE)="","",VLOOKUP(Mon_W2[[#This Row],[Employee Name]],'Base Schedules'!$A$113:$AW$158,34,FALSE)),"")</f>
        <v>B1 ADM</v>
      </c>
      <c r="AJ44" s="184" t="str">
        <f>IFERROR(IF(VLOOKUP(Mon_W2[[#This Row],[Employee Name]],'Base Schedules'!$A$113:$AW$158,35,FALSE)="","",VLOOKUP(Mon_W2[[#This Row],[Employee Name]],'Base Schedules'!$A$113:$AW$158,35,FALSE)),"")</f>
        <v>HL</v>
      </c>
      <c r="AK44" s="184" t="str">
        <f>IFERROR(IF(VLOOKUP(Mon_W2[[#This Row],[Employee Name]],'Base Schedules'!$A$113:$AW$158,36,FALSE)="","",VLOOKUP(Mon_W2[[#This Row],[Employee Name]],'Base Schedules'!$A$113:$AW$158,36,FALSE)),"")</f>
        <v>HL</v>
      </c>
      <c r="AL44" s="184" t="str">
        <f>IFERROR(IF(VLOOKUP(Mon_W2[[#This Row],[Employee Name]],'Base Schedules'!$A$113:$AW$158,37,FALSE)="","",VLOOKUP(Mon_W2[[#This Row],[Employee Name]],'Base Schedules'!$A$113:$AW$158,37,FALSE)),"")</f>
        <v>HL</v>
      </c>
      <c r="AM44" s="184" t="str">
        <f>IFERROR(IF(VLOOKUP(Mon_W2[[#This Row],[Employee Name]],'Base Schedules'!$A$113:$AW$158,38,FALSE)="","",VLOOKUP(Mon_W2[[#This Row],[Employee Name]],'Base Schedules'!$A$113:$AW$158,38,FALSE)),"")</f>
        <v>LUNCH</v>
      </c>
      <c r="AN44" s="184" t="str">
        <f>IFERROR(IF(VLOOKUP(Mon_W2[[#This Row],[Employee Name]],'Base Schedules'!$A$113:$AW$158,39,FALSE)="","",VLOOKUP(Mon_W2[[#This Row],[Employee Name]],'Base Schedules'!$A$113:$AW$158,39,FALSE)),"")</f>
        <v>HL</v>
      </c>
      <c r="AO44" s="184" t="str">
        <f>IFERROR(IF(VLOOKUP(Mon_W2[[#This Row],[Employee Name]],'Base Schedules'!$A$113:$AW$158,40,FALSE)="","",VLOOKUP(Mon_W2[[#This Row],[Employee Name]],'Base Schedules'!$A$113:$AW$158,40,FALSE)),"")</f>
        <v>HL</v>
      </c>
      <c r="AP44" s="184" t="str">
        <f>IFERROR(IF(VLOOKUP(Mon_W2[[#This Row],[Employee Name]],'Base Schedules'!$A$113:$AW$158,41,FALSE)="","",VLOOKUP(Mon_W2[[#This Row],[Employee Name]],'Base Schedules'!$A$113:$AW$158,41,FALSE)),"")</f>
        <v>HL</v>
      </c>
      <c r="AQ44" s="184" t="str">
        <f>IFERROR(IF(VLOOKUP(Mon_W2[[#This Row],[Employee Name]],'Base Schedules'!$A$113:$AW$158,42,FALSE)="","",VLOOKUP(Mon_W2[[#This Row],[Employee Name]],'Base Schedules'!$A$113:$AW$158,42,FALSE)),"")</f>
        <v>HL</v>
      </c>
      <c r="AR44" s="184" t="str">
        <f>IFERROR(IF(VLOOKUP(Mon_W2[[#This Row],[Employee Name]],'Base Schedules'!$A$113:$AW$158,43,FALSE)="","",VLOOKUP(Mon_W2[[#This Row],[Employee Name]],'Base Schedules'!$A$113:$AW$158,43,FALSE)),"")</f>
        <v>HL B2</v>
      </c>
      <c r="AS44" s="184" t="str">
        <f>IFERROR(IF(VLOOKUP(Mon_W2[[#This Row],[Employee Name]],'Base Schedules'!$A$113:$AW$158,44,FALSE)="","",VLOOKUP(Mon_W2[[#This Row],[Employee Name]],'Base Schedules'!$A$113:$AW$158,44,FALSE)),"")</f>
        <v>HL</v>
      </c>
      <c r="AT44" s="184" t="str">
        <f>IFERROR(IF(VLOOKUP(Mon_W2[[#This Row],[Employee Name]],'Base Schedules'!$A$113:$AW$158,45,FALSE)="","",VLOOKUP(Mon_W2[[#This Row],[Employee Name]],'Base Schedules'!$A$113:$AW$158,45,FALSE)),"")</f>
        <v>HL</v>
      </c>
      <c r="AU44" s="184" t="str">
        <f>IFERROR(IF(VLOOKUP(Mon_W2[[#This Row],[Employee Name]],'Base Schedules'!$A$113:$AW$158,46,FALSE)="","",VLOOKUP(Mon_W2[[#This Row],[Employee Name]],'Base Schedules'!$A$113:$AW$158,46,FALSE)),"")</f>
        <v>HL</v>
      </c>
      <c r="AV44" s="184" t="str">
        <f>IFERROR(IF(VLOOKUP(Mon_W2[[#This Row],[Employee Name]],'Base Schedules'!$A$113:$AW$158,47,FALSE)="","",VLOOKUP(Mon_W2[[#This Row],[Employee Name]],'Base Schedules'!$A$113:$AW$158,47,FALSE)),"")</f>
        <v/>
      </c>
      <c r="AW44" s="184" t="str">
        <f>IFERROR(IF(VLOOKUP(Mon_W2[[#This Row],[Employee Name]],'Base Schedules'!$A$113:$AW$158,48,FALSE)="","",VLOOKUP(Mon_W2[[#This Row],[Employee Name]],'Base Schedules'!$A$113:$AW$158,48,FALSE)),"")</f>
        <v/>
      </c>
      <c r="AX44" s="184" t="str">
        <f>IFERROR(IF(VLOOKUP(Mon_W2[[#This Row],[Employee Name]],'Base Schedules'!$A$113:$AW$158,49,FALSE)="","",VLOOKUP(Mon_W2[[#This Row],[Employee Name]],'Base Schedules'!$A$113:$AW$158,49,FALSE)),"")</f>
        <v/>
      </c>
      <c r="AY44" s="159" t="str">
        <f t="shared" si="4"/>
        <v>Britton, Michael</v>
      </c>
    </row>
    <row r="45" spans="1:51" s="44" customFormat="1" ht="12" customHeight="1" x14ac:dyDescent="0.2">
      <c r="A45" s="39" t="str">
        <f>IF(B45="","",INDEX(TeamList[],MATCH($B45,TeamList[[Employee Name]:[Employee Name]],0),MATCH("Manager",TeamList[#Headers],0)))</f>
        <v>Olson, Katherine</v>
      </c>
      <c r="B45" s="201" t="s">
        <v>232</v>
      </c>
      <c r="C45" s="257" t="str">
        <f>_xlfn.IFNA(VLOOKUP(Mon_W2[[#This Row],[Employee Name]],'Base Schedules'!A:B,2,FALSE),"")</f>
        <v>Lead</v>
      </c>
      <c r="D45" s="274">
        <f>_xlfn.IFNA(VLOOKUP(Mon_W2[[#This Row],[Employee Name]],'Base Schedules'!A:C,3,FALSE),"")</f>
        <v>1600</v>
      </c>
      <c r="E45" s="274">
        <f>_xlfn.IFNA(VLOOKUP(Mon_W2[[#This Row],[Employee Name]],'Base Schedules'!A:D,4,FALSE),"")</f>
        <v>100</v>
      </c>
      <c r="F45" s="142">
        <f>IF(Mon_W2[[#This Row],[Employee Name]]="","",IF(Mon_W2[[#This Row],[Dept]]="Supervisor",COUNTIFS($J45:$AX45,"*HL*",$J45:$AX45,"&lt;&gt;"&amp;"pHL"),COUNTIFS($J45:$AX45,"*HL*",$J45:$AX45,"&lt;&gt;"&amp;"*pHL*",$J45:$AX45,"&lt;&gt;"&amp;"pB1 HL",$J45:$AX45,"&lt;&gt;"&amp;"pB2 HL")-SUM(COUNTIFS($J45:$AX45,"*HL B1*",$J45:$AX45,"&lt;&gt;"&amp;"pHL B1")*0.5,COUNTIFS($J45:$AX45,"*HL B2*",$J45:$AX45,"&lt;&gt;"&amp;"pHL B2")*0.5,COUNTIFS($J45:$AX45,"*B1 HL*",$J45:$AX45,"&lt;&gt;"&amp;"pB1 HL")*0.5,COUNTIFS($J45:$AX45,"*B2 HL*",$J45:$AX45,"&lt;&gt;"&amp;"pB2 HL")*0.5)))</f>
        <v>9</v>
      </c>
      <c r="G45" s="142">
        <f t="shared" si="0"/>
        <v>0</v>
      </c>
      <c r="H45" s="142">
        <f t="shared" si="3"/>
        <v>4</v>
      </c>
      <c r="I45" s="142">
        <f>IF(Mon_W2[[#This Row],[Employee Name]]="","",IF(Mon_W2[[#This Row],[Dept]]="Supervisor",SUM(COUNTIFS($J45:$AX45,"RTA*",$J45:$AX45,"&lt;&gt;"&amp;"pRTA"),COUNTIFS($J45:$AX45,"*CRTA*",$J45:$AX45,"&lt;&gt;"&amp;"pCRTA")),COUNTIFS($J45:$AX45,"*RNNR*",$J45:$AX45,"&lt;&gt;"&amp;"*pRNNR*",$J45:$AX45,"&lt;&gt;"&amp;"pB1 RNNR",$J45:$AX45,"&lt;&gt;"&amp;"pB2 RNNR")-SUM(COUNTIFS($J45:$AX45,"*RNNR B1*",$J45:$AX45,"&lt;&gt;"&amp;"pRNNR B1")*0.5,COUNTIFS($J45:$AX45,"*RNNR B2*",$J45:$AX45,"&lt;&gt;"&amp;"pRNNR B2")*0.5,COUNTIFS($J45:$AX45,"*B1 RNNR*",$J45:$AX45,"&lt;&gt;"&amp;"pB1 RNNR")*0.5,COUNTIFS($J45:$AX45,"*B2 RNNR*",$J45:$AX45,"&lt;&gt;"&amp;"pB2 RNNR")*0.5)))</f>
        <v>0</v>
      </c>
      <c r="J45" s="184" t="str">
        <f>IFERROR(IF(VLOOKUP(Mon_W2[[#This Row],[Employee Name]],'Base Schedules'!$A$113:$AW$158,9,FALSE)="","",VLOOKUP(Mon_W2[[#This Row],[Employee Name]],'Base Schedules'!$A$113:$AW$158,9,FALSE)),"")</f>
        <v/>
      </c>
      <c r="K45" s="184" t="str">
        <f>IFERROR(IF(VLOOKUP(Mon_W2[[#This Row],[Employee Name]],'Base Schedules'!$A$113:$AW$158,10,FALSE)="","",VLOOKUP(Mon_W2[[#This Row],[Employee Name]],'Base Schedules'!$A$113:$AW$158,10,FALSE)),"")</f>
        <v/>
      </c>
      <c r="L45" s="184" t="str">
        <f>IFERROR(IF(VLOOKUP(Mon_W2[[#This Row],[Employee Name]],'Base Schedules'!$A$113:$AW$158,11,FALSE)="","",VLOOKUP(Mon_W2[[#This Row],[Employee Name]],'Base Schedules'!$A$113:$AW$158,11,FALSE)),"")</f>
        <v/>
      </c>
      <c r="M45" s="184" t="str">
        <f>IFERROR(IF(VLOOKUP(Mon_W2[[#This Row],[Employee Name]],'Base Schedules'!$A$113:$AW$158,12,FALSE)="","",VLOOKUP(Mon_W2[[#This Row],[Employee Name]],'Base Schedules'!$A$113:$AW$158,12,FALSE)),"")</f>
        <v/>
      </c>
      <c r="N45" s="184" t="str">
        <f>IFERROR(IF(VLOOKUP(Mon_W2[[#This Row],[Employee Name]],'Base Schedules'!$A$113:$AW$158,13,FALSE)="","",VLOOKUP(Mon_W2[[#This Row],[Employee Name]],'Base Schedules'!$A$113:$AW$158,13,FALSE)),"")</f>
        <v/>
      </c>
      <c r="O45" s="184" t="str">
        <f>IFERROR(IF(VLOOKUP(Mon_W2[[#This Row],[Employee Name]],'Base Schedules'!$A$113:$AW$158,14,FALSE)="","",VLOOKUP(Mon_W2[[#This Row],[Employee Name]],'Base Schedules'!$A$113:$AW$158,14,FALSE)),"")</f>
        <v/>
      </c>
      <c r="P45" s="184" t="str">
        <f>IFERROR(IF(VLOOKUP(Mon_W2[[#This Row],[Employee Name]],'Base Schedules'!$A$113:$AW$158,15,FALSE)="","",VLOOKUP(Mon_W2[[#This Row],[Employee Name]],'Base Schedules'!$A$113:$AW$158,15,FALSE)),"")</f>
        <v/>
      </c>
      <c r="Q45" s="184" t="str">
        <f>IFERROR(IF(VLOOKUP(Mon_W2[[#This Row],[Employee Name]],'Base Schedules'!$A$113:$AW$158,16,FALSE)="","",VLOOKUP(Mon_W2[[#This Row],[Employee Name]],'Base Schedules'!$A$113:$AW$158,16,FALSE)),"")</f>
        <v/>
      </c>
      <c r="R45" s="184" t="str">
        <f>IFERROR(IF(VLOOKUP(Mon_W2[[#This Row],[Employee Name]],'Base Schedules'!$A$113:$AW$158,17,FALSE)="","",VLOOKUP(Mon_W2[[#This Row],[Employee Name]],'Base Schedules'!$A$113:$AW$158,17,FALSE)),"")</f>
        <v/>
      </c>
      <c r="S45" s="184" t="str">
        <f>IFERROR(IF(VLOOKUP(Mon_W2[[#This Row],[Employee Name]],'Base Schedules'!$A$113:$AW$158,18,FALSE)="","",VLOOKUP(Mon_W2[[#This Row],[Employee Name]],'Base Schedules'!$A$113:$AW$158,18,FALSE)),"")</f>
        <v/>
      </c>
      <c r="T45" s="184" t="str">
        <f>IFERROR(IF(VLOOKUP(Mon_W2[[#This Row],[Employee Name]],'Base Schedules'!$A$113:$AW$158,19,FALSE)="","",VLOOKUP(Mon_W2[[#This Row],[Employee Name]],'Base Schedules'!$A$113:$AW$158,19,FALSE)),"")</f>
        <v/>
      </c>
      <c r="U45" s="184" t="str">
        <f>IFERROR(IF(VLOOKUP(Mon_W2[[#This Row],[Employee Name]],'Base Schedules'!$A$113:$AW$158,20,FALSE)="","",VLOOKUP(Mon_W2[[#This Row],[Employee Name]],'Base Schedules'!$A$113:$AW$158,20,FALSE)),"")</f>
        <v/>
      </c>
      <c r="V45" s="184" t="str">
        <f>IFERROR(IF(VLOOKUP(Mon_W2[[#This Row],[Employee Name]],'Base Schedules'!$A$113:$AW$158,21,FALSE)="","",VLOOKUP(Mon_W2[[#This Row],[Employee Name]],'Base Schedules'!$A$113:$AW$158,21,FALSE)),"")</f>
        <v/>
      </c>
      <c r="W45" s="184" t="str">
        <f>IFERROR(IF(VLOOKUP(Mon_W2[[#This Row],[Employee Name]],'Base Schedules'!$A$113:$AW$158,22,FALSE)="","",VLOOKUP(Mon_W2[[#This Row],[Employee Name]],'Base Schedules'!$A$113:$AW$158,22,FALSE)),"")</f>
        <v/>
      </c>
      <c r="X45" s="184" t="str">
        <f>IFERROR(IF(VLOOKUP(Mon_W2[[#This Row],[Employee Name]],'Base Schedules'!$A$113:$AW$158,23,FALSE)="","",VLOOKUP(Mon_W2[[#This Row],[Employee Name]],'Base Schedules'!$A$113:$AW$158,23,FALSE)),"")</f>
        <v/>
      </c>
      <c r="Y45" s="184" t="str">
        <f>IFERROR(IF(VLOOKUP(Mon_W2[[#This Row],[Employee Name]],'Base Schedules'!$A$113:$AW$158,24,FALSE)="","",VLOOKUP(Mon_W2[[#This Row],[Employee Name]],'Base Schedules'!$A$113:$AW$158,24,FALSE)),"")</f>
        <v/>
      </c>
      <c r="Z45" s="184" t="str">
        <f>IFERROR(IF(VLOOKUP(Mon_W2[[#This Row],[Employee Name]],'Base Schedules'!$A$113:$AW$158,25,FALSE)="","",VLOOKUP(Mon_W2[[#This Row],[Employee Name]],'Base Schedules'!$A$113:$AW$158,25,FALSE)),"")</f>
        <v/>
      </c>
      <c r="AA45" s="184" t="str">
        <f>IFERROR(IF(VLOOKUP(Mon_W2[[#This Row],[Employee Name]],'Base Schedules'!$A$113:$AW$158,26,FALSE)="","",VLOOKUP(Mon_W2[[#This Row],[Employee Name]],'Base Schedules'!$A$113:$AW$158,26,FALSE)),"")</f>
        <v/>
      </c>
      <c r="AB45" s="184" t="str">
        <f>IFERROR(IF(VLOOKUP(Mon_W2[[#This Row],[Employee Name]],'Base Schedules'!$A$113:$AW$158,27,FALSE)="","",VLOOKUP(Mon_W2[[#This Row],[Employee Name]],'Base Schedules'!$A$113:$AW$158,27,FALSE)),"")</f>
        <v/>
      </c>
      <c r="AC45" s="184" t="str">
        <f>IFERROR(IF(VLOOKUP(Mon_W2[[#This Row],[Employee Name]],'Base Schedules'!$A$113:$AW$158,28,FALSE)="","",VLOOKUP(Mon_W2[[#This Row],[Employee Name]],'Base Schedules'!$A$113:$AW$158,28,FALSE)),"")</f>
        <v/>
      </c>
      <c r="AD45" s="184" t="str">
        <f>IFERROR(IF(VLOOKUP(Mon_W2[[#This Row],[Employee Name]],'Base Schedules'!$A$113:$AW$158,29,FALSE)="","",VLOOKUP(Mon_W2[[#This Row],[Employee Name]],'Base Schedules'!$A$113:$AW$158,29,FALSE)),"")</f>
        <v/>
      </c>
      <c r="AE45" s="184" t="str">
        <f>IFERROR(IF(VLOOKUP(Mon_W2[[#This Row],[Employee Name]],'Base Schedules'!$A$113:$AW$158,30,FALSE)="","",VLOOKUP(Mon_W2[[#This Row],[Employee Name]],'Base Schedules'!$A$113:$AW$158,30,FALSE)),"")</f>
        <v/>
      </c>
      <c r="AF45" s="184" t="str">
        <f>IFERROR(IF(VLOOKUP(Mon_W2[[#This Row],[Employee Name]],'Base Schedules'!$A$113:$AW$158,31,FALSE)="","",VLOOKUP(Mon_W2[[#This Row],[Employee Name]],'Base Schedules'!$A$113:$AW$158,31,FALSE)),"")</f>
        <v>ADM</v>
      </c>
      <c r="AG45" s="184" t="str">
        <f>IFERROR(IF(VLOOKUP(Mon_W2[[#This Row],[Employee Name]],'Base Schedules'!$A$113:$AW$158,32,FALSE)="","",VLOOKUP(Mon_W2[[#This Row],[Employee Name]],'Base Schedules'!$A$113:$AW$158,32,FALSE)),"")</f>
        <v>ADM</v>
      </c>
      <c r="AH45" s="184" t="str">
        <f>IFERROR(IF(VLOOKUP(Mon_W2[[#This Row],[Employee Name]],'Base Schedules'!$A$113:$AW$158,33,FALSE)="","",VLOOKUP(Mon_W2[[#This Row],[Employee Name]],'Base Schedules'!$A$113:$AW$158,33,FALSE)),"")</f>
        <v>HL</v>
      </c>
      <c r="AI45" s="184" t="str">
        <f>IFERROR(IF(VLOOKUP(Mon_W2[[#This Row],[Employee Name]],'Base Schedules'!$A$113:$AW$158,34,FALSE)="","",VLOOKUP(Mon_W2[[#This Row],[Employee Name]],'Base Schedules'!$A$113:$AW$158,34,FALSE)),"")</f>
        <v>HL B1</v>
      </c>
      <c r="AJ45" s="184" t="str">
        <f>IFERROR(IF(VLOOKUP(Mon_W2[[#This Row],[Employee Name]],'Base Schedules'!$A$113:$AW$158,35,FALSE)="","",VLOOKUP(Mon_W2[[#This Row],[Employee Name]],'Base Schedules'!$A$113:$AW$158,35,FALSE)),"")</f>
        <v>PROJECT</v>
      </c>
      <c r="AK45" s="184" t="str">
        <f>IFERROR(IF(VLOOKUP(Mon_W2[[#This Row],[Employee Name]],'Base Schedules'!$A$113:$AW$158,36,FALSE)="","",VLOOKUP(Mon_W2[[#This Row],[Employee Name]],'Base Schedules'!$A$113:$AW$158,36,FALSE)),"")</f>
        <v>PROJECT</v>
      </c>
      <c r="AL45" s="184" t="str">
        <f>IFERROR(IF(VLOOKUP(Mon_W2[[#This Row],[Employee Name]],'Base Schedules'!$A$113:$AW$158,37,FALSE)="","",VLOOKUP(Mon_W2[[#This Row],[Employee Name]],'Base Schedules'!$A$113:$AW$158,37,FALSE)),"")</f>
        <v>ADM</v>
      </c>
      <c r="AM45" s="184" t="str">
        <f>IFERROR(IF(VLOOKUP(Mon_W2[[#This Row],[Employee Name]],'Base Schedules'!$A$113:$AW$158,38,FALSE)="","",VLOOKUP(Mon_W2[[#This Row],[Employee Name]],'Base Schedules'!$A$113:$AW$158,38,FALSE)),"")</f>
        <v>ADM</v>
      </c>
      <c r="AN45" s="184" t="str">
        <f>IFERROR(IF(VLOOKUP(Mon_W2[[#This Row],[Employee Name]],'Base Schedules'!$A$113:$AW$158,39,FALSE)="","",VLOOKUP(Mon_W2[[#This Row],[Employee Name]],'Base Schedules'!$A$113:$AW$158,39,FALSE)),"")</f>
        <v>LUNCH</v>
      </c>
      <c r="AO45" s="184" t="str">
        <f>IFERROR(IF(VLOOKUP(Mon_W2[[#This Row],[Employee Name]],'Base Schedules'!$A$113:$AW$158,40,FALSE)="","",VLOOKUP(Mon_W2[[#This Row],[Employee Name]],'Base Schedules'!$A$113:$AW$158,40,FALSE)),"")</f>
        <v>LUNCH</v>
      </c>
      <c r="AP45" s="184" t="str">
        <f>IFERROR(IF(VLOOKUP(Mon_W2[[#This Row],[Employee Name]],'Base Schedules'!$A$113:$AW$158,41,FALSE)="","",VLOOKUP(Mon_W2[[#This Row],[Employee Name]],'Base Schedules'!$A$113:$AW$158,41,FALSE)),"")</f>
        <v>HL</v>
      </c>
      <c r="AQ45" s="184" t="str">
        <f>IFERROR(IF(VLOOKUP(Mon_W2[[#This Row],[Employee Name]],'Base Schedules'!$A$113:$AW$158,42,FALSE)="","",VLOOKUP(Mon_W2[[#This Row],[Employee Name]],'Base Schedules'!$A$113:$AW$158,42,FALSE)),"")</f>
        <v>HL</v>
      </c>
      <c r="AR45" s="184" t="str">
        <f>IFERROR(IF(VLOOKUP(Mon_W2[[#This Row],[Employee Name]],'Base Schedules'!$A$113:$AW$158,43,FALSE)="","",VLOOKUP(Mon_W2[[#This Row],[Employee Name]],'Base Schedules'!$A$113:$AW$158,43,FALSE)),"")</f>
        <v>HL</v>
      </c>
      <c r="AS45" s="184" t="str">
        <f>IFERROR(IF(VLOOKUP(Mon_W2[[#This Row],[Employee Name]],'Base Schedules'!$A$113:$AW$158,44,FALSE)="","",VLOOKUP(Mon_W2[[#This Row],[Employee Name]],'Base Schedules'!$A$113:$AW$158,44,FALSE)),"")</f>
        <v>HL</v>
      </c>
      <c r="AT45" s="184" t="str">
        <f>IFERROR(IF(VLOOKUP(Mon_W2[[#This Row],[Employee Name]],'Base Schedules'!$A$113:$AW$158,45,FALSE)="","",VLOOKUP(Mon_W2[[#This Row],[Employee Name]],'Base Schedules'!$A$113:$AW$158,45,FALSE)),"")</f>
        <v>B2 HL</v>
      </c>
      <c r="AU45" s="184" t="str">
        <f>IFERROR(IF(VLOOKUP(Mon_W2[[#This Row],[Employee Name]],'Base Schedules'!$A$113:$AW$158,46,FALSE)="","",VLOOKUP(Mon_W2[[#This Row],[Employee Name]],'Base Schedules'!$A$113:$AW$158,46,FALSE)),"")</f>
        <v>HL</v>
      </c>
      <c r="AV45" s="184" t="str">
        <f>IFERROR(IF(VLOOKUP(Mon_W2[[#This Row],[Employee Name]],'Base Schedules'!$A$113:$AW$158,47,FALSE)="","",VLOOKUP(Mon_W2[[#This Row],[Employee Name]],'Base Schedules'!$A$113:$AW$158,47,FALSE)),"")</f>
        <v>HL</v>
      </c>
      <c r="AW45" s="184" t="str">
        <f>IFERROR(IF(VLOOKUP(Mon_W2[[#This Row],[Employee Name]],'Base Schedules'!$A$113:$AW$158,48,FALSE)="","",VLOOKUP(Mon_W2[[#This Row],[Employee Name]],'Base Schedules'!$A$113:$AW$158,48,FALSE)),"")</f>
        <v>HL</v>
      </c>
      <c r="AX45" s="184" t="str">
        <f>IFERROR(IF(VLOOKUP(Mon_W2[[#This Row],[Employee Name]],'Base Schedules'!$A$113:$AW$158,49,FALSE)="","",VLOOKUP(Mon_W2[[#This Row],[Employee Name]],'Base Schedules'!$A$113:$AW$158,49,FALSE)),"")</f>
        <v/>
      </c>
      <c r="AY45" s="159" t="str">
        <f t="shared" si="4"/>
        <v>Wonser, Shannon</v>
      </c>
    </row>
    <row r="46" spans="1:51" s="44" customFormat="1" ht="12" customHeight="1" x14ac:dyDescent="0.2">
      <c r="A46" s="39" t="str">
        <f>IF(B46="","",INDEX(TeamList[],MATCH($B46,TeamList[[Employee Name]:[Employee Name]],0),MATCH("Manager",TeamList[#Headers],0)))</f>
        <v>Olson, Katherine</v>
      </c>
      <c r="B46" s="201" t="s">
        <v>52</v>
      </c>
      <c r="C46" s="257" t="str">
        <f>_xlfn.IFNA(VLOOKUP(Mon_W2[[#This Row],[Employee Name]],'Base Schedules'!A:B,2,FALSE),"")</f>
        <v>Supervisor</v>
      </c>
      <c r="D46" s="274">
        <f>_xlfn.IFNA(VLOOKUP(Mon_W2[[#This Row],[Employee Name]],'Base Schedules'!A:C,3,FALSE),"")</f>
        <v>1600</v>
      </c>
      <c r="E46" s="274">
        <f>_xlfn.IFNA(VLOOKUP(Mon_W2[[#This Row],[Employee Name]],'Base Schedules'!A:D,4,FALSE),"")</f>
        <v>100</v>
      </c>
      <c r="F46" s="142">
        <f>IF(Mon_W2[[#This Row],[Employee Name]]="","",IF(Mon_W2[[#This Row],[Dept]]="Supervisor",COUNTIFS($J46:$AX46,"*HL*",$J46:$AX46,"&lt;&gt;"&amp;"pHL"),COUNTIFS($J46:$AX46,"*HL*",$J46:$AX46,"&lt;&gt;"&amp;"*pHL*",$J46:$AX46,"&lt;&gt;"&amp;"pB1 HL",$J46:$AX46,"&lt;&gt;"&amp;"pB2 HL")-SUM(COUNTIFS($J46:$AX46,"*HL B1*",$J46:$AX46,"&lt;&gt;"&amp;"pHL B1")*0.5,COUNTIFS($J46:$AX46,"*HL B2*",$J46:$AX46,"&lt;&gt;"&amp;"pHL B2")*0.5,COUNTIFS($J46:$AX46,"*B1 HL*",$J46:$AX46,"&lt;&gt;"&amp;"pB1 HL")*0.5,COUNTIFS($J46:$AX46,"*B2 HL*",$J46:$AX46,"&lt;&gt;"&amp;"pB2 HL")*0.5)))</f>
        <v>0</v>
      </c>
      <c r="G46" s="142">
        <f t="shared" si="0"/>
        <v>0</v>
      </c>
      <c r="H46" s="142">
        <f t="shared" si="3"/>
        <v>0</v>
      </c>
      <c r="I46" s="142">
        <f>IF(Mon_W2[[#This Row],[Employee Name]]="","",IF(Mon_W2[[#This Row],[Dept]]="Supervisor",SUM(COUNTIFS($J46:$AX46,"RTA*",$J46:$AX46,"&lt;&gt;"&amp;"pRTA"),COUNTIFS($J46:$AX46,"*CRTA*",$J46:$AX46,"&lt;&gt;"&amp;"pCRTA")),COUNTIFS($J46:$AX46,"*RNNR*",$J46:$AX46,"&lt;&gt;"&amp;"*pRNNR*",$J46:$AX46,"&lt;&gt;"&amp;"pB1 RNNR",$J46:$AX46,"&lt;&gt;"&amp;"pB2 RNNR")-SUM(COUNTIFS($J46:$AX46,"*RNNR B1*",$J46:$AX46,"&lt;&gt;"&amp;"pRNNR B1")*0.5,COUNTIFS($J46:$AX46,"*RNNR B2*",$J46:$AX46,"&lt;&gt;"&amp;"pRNNR B2")*0.5,COUNTIFS($J46:$AX46,"*B1 RNNR*",$J46:$AX46,"&lt;&gt;"&amp;"pB1 RNNR")*0.5,COUNTIFS($J46:$AX46,"*B2 RNNR*",$J46:$AX46,"&lt;&gt;"&amp;"pB2 RNNR")*0.5)))</f>
        <v>0</v>
      </c>
      <c r="J46" s="184" t="str">
        <f>IFERROR(IF(VLOOKUP(Mon_W2[[#This Row],[Employee Name]],'Base Schedules'!$A$113:$AW$158,9,FALSE)="","",VLOOKUP(Mon_W2[[#This Row],[Employee Name]],'Base Schedules'!$A$113:$AW$158,9,FALSE)),"")</f>
        <v/>
      </c>
      <c r="K46" s="184" t="str">
        <f>IFERROR(IF(VLOOKUP(Mon_W2[[#This Row],[Employee Name]],'Base Schedules'!$A$113:$AW$158,10,FALSE)="","",VLOOKUP(Mon_W2[[#This Row],[Employee Name]],'Base Schedules'!$A$113:$AW$158,10,FALSE)),"")</f>
        <v/>
      </c>
      <c r="L46" s="184" t="str">
        <f>IFERROR(IF(VLOOKUP(Mon_W2[[#This Row],[Employee Name]],'Base Schedules'!$A$113:$AW$158,11,FALSE)="","",VLOOKUP(Mon_W2[[#This Row],[Employee Name]],'Base Schedules'!$A$113:$AW$158,11,FALSE)),"")</f>
        <v/>
      </c>
      <c r="M46" s="184" t="str">
        <f>IFERROR(IF(VLOOKUP(Mon_W2[[#This Row],[Employee Name]],'Base Schedules'!$A$113:$AW$158,12,FALSE)="","",VLOOKUP(Mon_W2[[#This Row],[Employee Name]],'Base Schedules'!$A$113:$AW$158,12,FALSE)),"")</f>
        <v/>
      </c>
      <c r="N46" s="184" t="str">
        <f>IFERROR(IF(VLOOKUP(Mon_W2[[#This Row],[Employee Name]],'Base Schedules'!$A$113:$AW$158,13,FALSE)="","",VLOOKUP(Mon_W2[[#This Row],[Employee Name]],'Base Schedules'!$A$113:$AW$158,13,FALSE)),"")</f>
        <v/>
      </c>
      <c r="O46" s="184" t="str">
        <f>IFERROR(IF(VLOOKUP(Mon_W2[[#This Row],[Employee Name]],'Base Schedules'!$A$113:$AW$158,14,FALSE)="","",VLOOKUP(Mon_W2[[#This Row],[Employee Name]],'Base Schedules'!$A$113:$AW$158,14,FALSE)),"")</f>
        <v/>
      </c>
      <c r="P46" s="184" t="str">
        <f>IFERROR(IF(VLOOKUP(Mon_W2[[#This Row],[Employee Name]],'Base Schedules'!$A$113:$AW$158,15,FALSE)="","",VLOOKUP(Mon_W2[[#This Row],[Employee Name]],'Base Schedules'!$A$113:$AW$158,15,FALSE)),"")</f>
        <v/>
      </c>
      <c r="Q46" s="184" t="str">
        <f>IFERROR(IF(VLOOKUP(Mon_W2[[#This Row],[Employee Name]],'Base Schedules'!$A$113:$AW$158,16,FALSE)="","",VLOOKUP(Mon_W2[[#This Row],[Employee Name]],'Base Schedules'!$A$113:$AW$158,16,FALSE)),"")</f>
        <v/>
      </c>
      <c r="R46" s="184" t="str">
        <f>IFERROR(IF(VLOOKUP(Mon_W2[[#This Row],[Employee Name]],'Base Schedules'!$A$113:$AW$158,17,FALSE)="","",VLOOKUP(Mon_W2[[#This Row],[Employee Name]],'Base Schedules'!$A$113:$AW$158,17,FALSE)),"")</f>
        <v/>
      </c>
      <c r="S46" s="184" t="str">
        <f>IFERROR(IF(VLOOKUP(Mon_W2[[#This Row],[Employee Name]],'Base Schedules'!$A$113:$AW$158,18,FALSE)="","",VLOOKUP(Mon_W2[[#This Row],[Employee Name]],'Base Schedules'!$A$113:$AW$158,18,FALSE)),"")</f>
        <v/>
      </c>
      <c r="T46" s="184" t="str">
        <f>IFERROR(IF(VLOOKUP(Mon_W2[[#This Row],[Employee Name]],'Base Schedules'!$A$113:$AW$158,19,FALSE)="","",VLOOKUP(Mon_W2[[#This Row],[Employee Name]],'Base Schedules'!$A$113:$AW$158,19,FALSE)),"")</f>
        <v/>
      </c>
      <c r="U46" s="184" t="str">
        <f>IFERROR(IF(VLOOKUP(Mon_W2[[#This Row],[Employee Name]],'Base Schedules'!$A$113:$AW$158,20,FALSE)="","",VLOOKUP(Mon_W2[[#This Row],[Employee Name]],'Base Schedules'!$A$113:$AW$158,20,FALSE)),"")</f>
        <v/>
      </c>
      <c r="V46" s="184" t="str">
        <f>IFERROR(IF(VLOOKUP(Mon_W2[[#This Row],[Employee Name]],'Base Schedules'!$A$113:$AW$158,21,FALSE)="","",VLOOKUP(Mon_W2[[#This Row],[Employee Name]],'Base Schedules'!$A$113:$AW$158,21,FALSE)),"")</f>
        <v/>
      </c>
      <c r="W46" s="184" t="str">
        <f>IFERROR(IF(VLOOKUP(Mon_W2[[#This Row],[Employee Name]],'Base Schedules'!$A$113:$AW$158,22,FALSE)="","",VLOOKUP(Mon_W2[[#This Row],[Employee Name]],'Base Schedules'!$A$113:$AW$158,22,FALSE)),"")</f>
        <v/>
      </c>
      <c r="X46" s="184" t="str">
        <f>IFERROR(IF(VLOOKUP(Mon_W2[[#This Row],[Employee Name]],'Base Schedules'!$A$113:$AW$158,23,FALSE)="","",VLOOKUP(Mon_W2[[#This Row],[Employee Name]],'Base Schedules'!$A$113:$AW$158,23,FALSE)),"")</f>
        <v/>
      </c>
      <c r="Y46" s="184" t="str">
        <f>IFERROR(IF(VLOOKUP(Mon_W2[[#This Row],[Employee Name]],'Base Schedules'!$A$113:$AW$158,24,FALSE)="","",VLOOKUP(Mon_W2[[#This Row],[Employee Name]],'Base Schedules'!$A$113:$AW$158,24,FALSE)),"")</f>
        <v/>
      </c>
      <c r="Z46" s="184" t="str">
        <f>IFERROR(IF(VLOOKUP(Mon_W2[[#This Row],[Employee Name]],'Base Schedules'!$A$113:$AW$158,25,FALSE)="","",VLOOKUP(Mon_W2[[#This Row],[Employee Name]],'Base Schedules'!$A$113:$AW$158,25,FALSE)),"")</f>
        <v/>
      </c>
      <c r="AA46" s="184" t="str">
        <f>IFERROR(IF(VLOOKUP(Mon_W2[[#This Row],[Employee Name]],'Base Schedules'!$A$113:$AW$158,26,FALSE)="","",VLOOKUP(Mon_W2[[#This Row],[Employee Name]],'Base Schedules'!$A$113:$AW$158,26,FALSE)),"")</f>
        <v/>
      </c>
      <c r="AB46" s="184" t="str">
        <f>IFERROR(IF(VLOOKUP(Mon_W2[[#This Row],[Employee Name]],'Base Schedules'!$A$113:$AW$158,27,FALSE)="","",VLOOKUP(Mon_W2[[#This Row],[Employee Name]],'Base Schedules'!$A$113:$AW$158,27,FALSE)),"")</f>
        <v/>
      </c>
      <c r="AC46" s="184" t="str">
        <f>IFERROR(IF(VLOOKUP(Mon_W2[[#This Row],[Employee Name]],'Base Schedules'!$A$113:$AW$158,28,FALSE)="","",VLOOKUP(Mon_W2[[#This Row],[Employee Name]],'Base Schedules'!$A$113:$AW$158,28,FALSE)),"")</f>
        <v/>
      </c>
      <c r="AD46" s="184" t="str">
        <f>IFERROR(IF(VLOOKUP(Mon_W2[[#This Row],[Employee Name]],'Base Schedules'!$A$113:$AW$158,29,FALSE)="","",VLOOKUP(Mon_W2[[#This Row],[Employee Name]],'Base Schedules'!$A$113:$AW$158,29,FALSE)),"")</f>
        <v/>
      </c>
      <c r="AE46" s="184" t="str">
        <f>IFERROR(IF(VLOOKUP(Mon_W2[[#This Row],[Employee Name]],'Base Schedules'!$A$113:$AW$158,30,FALSE)="","",VLOOKUP(Mon_W2[[#This Row],[Employee Name]],'Base Schedules'!$A$113:$AW$158,30,FALSE)),"")</f>
        <v/>
      </c>
      <c r="AF46" s="184" t="str">
        <f>IFERROR(IF(VLOOKUP(Mon_W2[[#This Row],[Employee Name]],'Base Schedules'!$A$113:$AW$158,31,FALSE)="","",VLOOKUP(Mon_W2[[#This Row],[Employee Name]],'Base Schedules'!$A$113:$AW$158,31,FALSE)),"")</f>
        <v>-</v>
      </c>
      <c r="AG46" s="184" t="str">
        <f>IFERROR(IF(VLOOKUP(Mon_W2[[#This Row],[Employee Name]],'Base Schedules'!$A$113:$AW$158,32,FALSE)="","",VLOOKUP(Mon_W2[[#This Row],[Employee Name]],'Base Schedules'!$A$113:$AW$158,32,FALSE)),"")</f>
        <v>-</v>
      </c>
      <c r="AH46" s="184" t="str">
        <f>IFERROR(IF(VLOOKUP(Mon_W2[[#This Row],[Employee Name]],'Base Schedules'!$A$113:$AW$158,33,FALSE)="","",VLOOKUP(Mon_W2[[#This Row],[Employee Name]],'Base Schedules'!$A$113:$AW$158,33,FALSE)),"")</f>
        <v>-</v>
      </c>
      <c r="AI46" s="184" t="str">
        <f>IFERROR(IF(VLOOKUP(Mon_W2[[#This Row],[Employee Name]],'Base Schedules'!$A$113:$AW$158,34,FALSE)="","",VLOOKUP(Mon_W2[[#This Row],[Employee Name]],'Base Schedules'!$A$113:$AW$158,34,FALSE)),"")</f>
        <v>-</v>
      </c>
      <c r="AJ46" s="184" t="str">
        <f>IFERROR(IF(VLOOKUP(Mon_W2[[#This Row],[Employee Name]],'Base Schedules'!$A$113:$AW$158,35,FALSE)="","",VLOOKUP(Mon_W2[[#This Row],[Employee Name]],'Base Schedules'!$A$113:$AW$158,35,FALSE)),"")</f>
        <v>-</v>
      </c>
      <c r="AK46" s="184" t="str">
        <f>IFERROR(IF(VLOOKUP(Mon_W2[[#This Row],[Employee Name]],'Base Schedules'!$A$113:$AW$158,36,FALSE)="","",VLOOKUP(Mon_W2[[#This Row],[Employee Name]],'Base Schedules'!$A$113:$AW$158,36,FALSE)),"")</f>
        <v>-</v>
      </c>
      <c r="AL46" s="184" t="str">
        <f>IFERROR(IF(VLOOKUP(Mon_W2[[#This Row],[Employee Name]],'Base Schedules'!$A$113:$AW$158,37,FALSE)="","",VLOOKUP(Mon_W2[[#This Row],[Employee Name]],'Base Schedules'!$A$113:$AW$158,37,FALSE)),"")</f>
        <v>-</v>
      </c>
      <c r="AM46" s="184" t="str">
        <f>IFERROR(IF(VLOOKUP(Mon_W2[[#This Row],[Employee Name]],'Base Schedules'!$A$113:$AW$158,38,FALSE)="","",VLOOKUP(Mon_W2[[#This Row],[Employee Name]],'Base Schedules'!$A$113:$AW$158,38,FALSE)),"")</f>
        <v>-</v>
      </c>
      <c r="AN46" s="184" t="str">
        <f>IFERROR(IF(VLOOKUP(Mon_W2[[#This Row],[Employee Name]],'Base Schedules'!$A$113:$AW$158,39,FALSE)="","",VLOOKUP(Mon_W2[[#This Row],[Employee Name]],'Base Schedules'!$A$113:$AW$158,39,FALSE)),"")</f>
        <v>-</v>
      </c>
      <c r="AO46" s="184" t="str">
        <f>IFERROR(IF(VLOOKUP(Mon_W2[[#This Row],[Employee Name]],'Base Schedules'!$A$113:$AW$158,40,FALSE)="","",VLOOKUP(Mon_W2[[#This Row],[Employee Name]],'Base Schedules'!$A$113:$AW$158,40,FALSE)),"")</f>
        <v>-</v>
      </c>
      <c r="AP46" s="184" t="str">
        <f>IFERROR(IF(VLOOKUP(Mon_W2[[#This Row],[Employee Name]],'Base Schedules'!$A$113:$AW$158,41,FALSE)="","",VLOOKUP(Mon_W2[[#This Row],[Employee Name]],'Base Schedules'!$A$113:$AW$158,41,FALSE)),"")</f>
        <v>-</v>
      </c>
      <c r="AQ46" s="184" t="str">
        <f>IFERROR(IF(VLOOKUP(Mon_W2[[#This Row],[Employee Name]],'Base Schedules'!$A$113:$AW$158,42,FALSE)="","",VLOOKUP(Mon_W2[[#This Row],[Employee Name]],'Base Schedules'!$A$113:$AW$158,42,FALSE)),"")</f>
        <v>-</v>
      </c>
      <c r="AR46" s="184" t="str">
        <f>IFERROR(IF(VLOOKUP(Mon_W2[[#This Row],[Employee Name]],'Base Schedules'!$A$113:$AW$158,43,FALSE)="","",VLOOKUP(Mon_W2[[#This Row],[Employee Name]],'Base Schedules'!$A$113:$AW$158,43,FALSE)),"")</f>
        <v>-</v>
      </c>
      <c r="AS46" s="184" t="str">
        <f>IFERROR(IF(VLOOKUP(Mon_W2[[#This Row],[Employee Name]],'Base Schedules'!$A$113:$AW$158,44,FALSE)="","",VLOOKUP(Mon_W2[[#This Row],[Employee Name]],'Base Schedules'!$A$113:$AW$158,44,FALSE)),"")</f>
        <v>-</v>
      </c>
      <c r="AT46" s="184" t="str">
        <f>IFERROR(IF(VLOOKUP(Mon_W2[[#This Row],[Employee Name]],'Base Schedules'!$A$113:$AW$158,45,FALSE)="","",VLOOKUP(Mon_W2[[#This Row],[Employee Name]],'Base Schedules'!$A$113:$AW$158,45,FALSE)),"")</f>
        <v>-</v>
      </c>
      <c r="AU46" s="184" t="str">
        <f>IFERROR(IF(VLOOKUP(Mon_W2[[#This Row],[Employee Name]],'Base Schedules'!$A$113:$AW$158,46,FALSE)="","",VLOOKUP(Mon_W2[[#This Row],[Employee Name]],'Base Schedules'!$A$113:$AW$158,46,FALSE)),"")</f>
        <v>-</v>
      </c>
      <c r="AV46" s="184" t="str">
        <f>IFERROR(IF(VLOOKUP(Mon_W2[[#This Row],[Employee Name]],'Base Schedules'!$A$113:$AW$158,47,FALSE)="","",VLOOKUP(Mon_W2[[#This Row],[Employee Name]],'Base Schedules'!$A$113:$AW$158,47,FALSE)),"")</f>
        <v>-</v>
      </c>
      <c r="AW46" s="184" t="str">
        <f>IFERROR(IF(VLOOKUP(Mon_W2[[#This Row],[Employee Name]],'Base Schedules'!$A$113:$AW$158,48,FALSE)="","",VLOOKUP(Mon_W2[[#This Row],[Employee Name]],'Base Schedules'!$A$113:$AW$158,48,FALSE)),"")</f>
        <v>-</v>
      </c>
      <c r="AX46" s="184" t="str">
        <f>IFERROR(IF(VLOOKUP(Mon_W2[[#This Row],[Employee Name]],'Base Schedules'!$A$113:$AW$158,49,FALSE)="","",VLOOKUP(Mon_W2[[#This Row],[Employee Name]],'Base Schedules'!$A$113:$AW$158,49,FALSE)),"")</f>
        <v/>
      </c>
      <c r="AY46" s="159" t="str">
        <f t="shared" si="4"/>
        <v>Zornick, David</v>
      </c>
    </row>
    <row r="47" spans="1:51" s="44" customFormat="1" ht="12" customHeight="1" x14ac:dyDescent="0.2">
      <c r="A47" s="39" t="str">
        <f>IF(B47="","",INDEX(TeamList[],MATCH($B47,TeamList[[Employee Name]:[Employee Name]],0),MATCH("Manager",TeamList[#Headers],0)))</f>
        <v>Olson, Katherine</v>
      </c>
      <c r="B47" s="201" t="s">
        <v>229</v>
      </c>
      <c r="C47" s="257" t="str">
        <f>_xlfn.IFNA(VLOOKUP(Mon_W2[[#This Row],[Employee Name]],'Base Schedules'!A:B,2,FALSE),"")</f>
        <v>Lead</v>
      </c>
      <c r="D47" s="274">
        <f>_xlfn.IFNA(VLOOKUP(Mon_W2[[#This Row],[Employee Name]],'Base Schedules'!A:C,3,FALSE),"")</f>
        <v>1630</v>
      </c>
      <c r="E47" s="274">
        <f>_xlfn.IFNA(VLOOKUP(Mon_W2[[#This Row],[Employee Name]],'Base Schedules'!A:D,4,FALSE),"")</f>
        <v>100</v>
      </c>
      <c r="F47" s="142">
        <f>IF(Mon_W2[[#This Row],[Employee Name]]="","",IF(Mon_W2[[#This Row],[Dept]]="Supervisor",COUNTIFS($J47:$AX47,"*HL*",$J47:$AX47,"&lt;&gt;"&amp;"pHL"),COUNTIFS($J47:$AX47,"*HL*",$J47:$AX47,"&lt;&gt;"&amp;"*pHL*",$J47:$AX47,"&lt;&gt;"&amp;"pB1 HL",$J47:$AX47,"&lt;&gt;"&amp;"pB2 HL")-SUM(COUNTIFS($J47:$AX47,"*HL B1*",$J47:$AX47,"&lt;&gt;"&amp;"pHL B1")*0.5,COUNTIFS($J47:$AX47,"*HL B2*",$J47:$AX47,"&lt;&gt;"&amp;"pHL B2")*0.5,COUNTIFS($J47:$AX47,"*B1 HL*",$J47:$AX47,"&lt;&gt;"&amp;"pB1 HL")*0.5,COUNTIFS($J47:$AX47,"*B2 HL*",$J47:$AX47,"&lt;&gt;"&amp;"pB2 HL")*0.5)))</f>
        <v>12.5</v>
      </c>
      <c r="G47" s="142">
        <f t="shared" si="0"/>
        <v>0</v>
      </c>
      <c r="H47" s="142">
        <f t="shared" si="3"/>
        <v>3</v>
      </c>
      <c r="I47" s="142">
        <f>IF(Mon_W2[[#This Row],[Employee Name]]="","",IF(Mon_W2[[#This Row],[Dept]]="Supervisor",SUM(COUNTIFS($J47:$AX47,"RTA*",$J47:$AX47,"&lt;&gt;"&amp;"pRTA"),COUNTIFS($J47:$AX47,"*CRTA*",$J47:$AX47,"&lt;&gt;"&amp;"pCRTA")),COUNTIFS($J47:$AX47,"*RNNR*",$J47:$AX47,"&lt;&gt;"&amp;"*pRNNR*",$J47:$AX47,"&lt;&gt;"&amp;"pB1 RNNR",$J47:$AX47,"&lt;&gt;"&amp;"pB2 RNNR")-SUM(COUNTIFS($J47:$AX47,"*RNNR B1*",$J47:$AX47,"&lt;&gt;"&amp;"pRNNR B1")*0.5,COUNTIFS($J47:$AX47,"*RNNR B2*",$J47:$AX47,"&lt;&gt;"&amp;"pRNNR B2")*0.5,COUNTIFS($J47:$AX47,"*B1 RNNR*",$J47:$AX47,"&lt;&gt;"&amp;"pB1 RNNR")*0.5,COUNTIFS($J47:$AX47,"*B2 RNNR*",$J47:$AX47,"&lt;&gt;"&amp;"pB2 RNNR")*0.5)))</f>
        <v>0</v>
      </c>
      <c r="J47" s="184" t="str">
        <f>IFERROR(IF(VLOOKUP(Mon_W2[[#This Row],[Employee Name]],'Base Schedules'!$A$113:$AW$158,9,FALSE)="","",VLOOKUP(Mon_W2[[#This Row],[Employee Name]],'Base Schedules'!$A$113:$AW$158,9,FALSE)),"")</f>
        <v/>
      </c>
      <c r="K47" s="184" t="str">
        <f>IFERROR(IF(VLOOKUP(Mon_W2[[#This Row],[Employee Name]],'Base Schedules'!$A$113:$AW$158,10,FALSE)="","",VLOOKUP(Mon_W2[[#This Row],[Employee Name]],'Base Schedules'!$A$113:$AW$158,10,FALSE)),"")</f>
        <v/>
      </c>
      <c r="L47" s="184" t="str">
        <f>IFERROR(IF(VLOOKUP(Mon_W2[[#This Row],[Employee Name]],'Base Schedules'!$A$113:$AW$158,11,FALSE)="","",VLOOKUP(Mon_W2[[#This Row],[Employee Name]],'Base Schedules'!$A$113:$AW$158,11,FALSE)),"")</f>
        <v/>
      </c>
      <c r="M47" s="184" t="str">
        <f>IFERROR(IF(VLOOKUP(Mon_W2[[#This Row],[Employee Name]],'Base Schedules'!$A$113:$AW$158,12,FALSE)="","",VLOOKUP(Mon_W2[[#This Row],[Employee Name]],'Base Schedules'!$A$113:$AW$158,12,FALSE)),"")</f>
        <v/>
      </c>
      <c r="N47" s="184" t="str">
        <f>IFERROR(IF(VLOOKUP(Mon_W2[[#This Row],[Employee Name]],'Base Schedules'!$A$113:$AW$158,13,FALSE)="","",VLOOKUP(Mon_W2[[#This Row],[Employee Name]],'Base Schedules'!$A$113:$AW$158,13,FALSE)),"")</f>
        <v/>
      </c>
      <c r="O47" s="184" t="str">
        <f>IFERROR(IF(VLOOKUP(Mon_W2[[#This Row],[Employee Name]],'Base Schedules'!$A$113:$AW$158,14,FALSE)="","",VLOOKUP(Mon_W2[[#This Row],[Employee Name]],'Base Schedules'!$A$113:$AW$158,14,FALSE)),"")</f>
        <v/>
      </c>
      <c r="P47" s="184" t="str">
        <f>IFERROR(IF(VLOOKUP(Mon_W2[[#This Row],[Employee Name]],'Base Schedules'!$A$113:$AW$158,15,FALSE)="","",VLOOKUP(Mon_W2[[#This Row],[Employee Name]],'Base Schedules'!$A$113:$AW$158,15,FALSE)),"")</f>
        <v/>
      </c>
      <c r="Q47" s="184" t="str">
        <f>IFERROR(IF(VLOOKUP(Mon_W2[[#This Row],[Employee Name]],'Base Schedules'!$A$113:$AW$158,16,FALSE)="","",VLOOKUP(Mon_W2[[#This Row],[Employee Name]],'Base Schedules'!$A$113:$AW$158,16,FALSE)),"")</f>
        <v/>
      </c>
      <c r="R47" s="184" t="str">
        <f>IFERROR(IF(VLOOKUP(Mon_W2[[#This Row],[Employee Name]],'Base Schedules'!$A$113:$AW$158,17,FALSE)="","",VLOOKUP(Mon_W2[[#This Row],[Employee Name]],'Base Schedules'!$A$113:$AW$158,17,FALSE)),"")</f>
        <v/>
      </c>
      <c r="S47" s="184" t="str">
        <f>IFERROR(IF(VLOOKUP(Mon_W2[[#This Row],[Employee Name]],'Base Schedules'!$A$113:$AW$158,18,FALSE)="","",VLOOKUP(Mon_W2[[#This Row],[Employee Name]],'Base Schedules'!$A$113:$AW$158,18,FALSE)),"")</f>
        <v/>
      </c>
      <c r="T47" s="184" t="str">
        <f>IFERROR(IF(VLOOKUP(Mon_W2[[#This Row],[Employee Name]],'Base Schedules'!$A$113:$AW$158,19,FALSE)="","",VLOOKUP(Mon_W2[[#This Row],[Employee Name]],'Base Schedules'!$A$113:$AW$158,19,FALSE)),"")</f>
        <v/>
      </c>
      <c r="U47" s="184" t="str">
        <f>IFERROR(IF(VLOOKUP(Mon_W2[[#This Row],[Employee Name]],'Base Schedules'!$A$113:$AW$158,20,FALSE)="","",VLOOKUP(Mon_W2[[#This Row],[Employee Name]],'Base Schedules'!$A$113:$AW$158,20,FALSE)),"")</f>
        <v/>
      </c>
      <c r="V47" s="184" t="str">
        <f>IFERROR(IF(VLOOKUP(Mon_W2[[#This Row],[Employee Name]],'Base Schedules'!$A$113:$AW$158,21,FALSE)="","",VLOOKUP(Mon_W2[[#This Row],[Employee Name]],'Base Schedules'!$A$113:$AW$158,21,FALSE)),"")</f>
        <v/>
      </c>
      <c r="W47" s="184" t="str">
        <f>IFERROR(IF(VLOOKUP(Mon_W2[[#This Row],[Employee Name]],'Base Schedules'!$A$113:$AW$158,22,FALSE)="","",VLOOKUP(Mon_W2[[#This Row],[Employee Name]],'Base Schedules'!$A$113:$AW$158,22,FALSE)),"")</f>
        <v/>
      </c>
      <c r="X47" s="184" t="str">
        <f>IFERROR(IF(VLOOKUP(Mon_W2[[#This Row],[Employee Name]],'Base Schedules'!$A$113:$AW$158,23,FALSE)="","",VLOOKUP(Mon_W2[[#This Row],[Employee Name]],'Base Schedules'!$A$113:$AW$158,23,FALSE)),"")</f>
        <v/>
      </c>
      <c r="Y47" s="184" t="str">
        <f>IFERROR(IF(VLOOKUP(Mon_W2[[#This Row],[Employee Name]],'Base Schedules'!$A$113:$AW$158,24,FALSE)="","",VLOOKUP(Mon_W2[[#This Row],[Employee Name]],'Base Schedules'!$A$113:$AW$158,24,FALSE)),"")</f>
        <v/>
      </c>
      <c r="Z47" s="184" t="str">
        <f>IFERROR(IF(VLOOKUP(Mon_W2[[#This Row],[Employee Name]],'Base Schedules'!$A$113:$AW$158,25,FALSE)="","",VLOOKUP(Mon_W2[[#This Row],[Employee Name]],'Base Schedules'!$A$113:$AW$158,25,FALSE)),"")</f>
        <v/>
      </c>
      <c r="AA47" s="184" t="str">
        <f>IFERROR(IF(VLOOKUP(Mon_W2[[#This Row],[Employee Name]],'Base Schedules'!$A$113:$AW$158,26,FALSE)="","",VLOOKUP(Mon_W2[[#This Row],[Employee Name]],'Base Schedules'!$A$113:$AW$158,26,FALSE)),"")</f>
        <v/>
      </c>
      <c r="AB47" s="184" t="str">
        <f>IFERROR(IF(VLOOKUP(Mon_W2[[#This Row],[Employee Name]],'Base Schedules'!$A$113:$AW$158,27,FALSE)="","",VLOOKUP(Mon_W2[[#This Row],[Employee Name]],'Base Schedules'!$A$113:$AW$158,27,FALSE)),"")</f>
        <v/>
      </c>
      <c r="AC47" s="184" t="str">
        <f>IFERROR(IF(VLOOKUP(Mon_W2[[#This Row],[Employee Name]],'Base Schedules'!$A$113:$AW$158,28,FALSE)="","",VLOOKUP(Mon_W2[[#This Row],[Employee Name]],'Base Schedules'!$A$113:$AW$158,28,FALSE)),"")</f>
        <v/>
      </c>
      <c r="AD47" s="184" t="str">
        <f>IFERROR(IF(VLOOKUP(Mon_W2[[#This Row],[Employee Name]],'Base Schedules'!$A$113:$AW$158,29,FALSE)="","",VLOOKUP(Mon_W2[[#This Row],[Employee Name]],'Base Schedules'!$A$113:$AW$158,29,FALSE)),"")</f>
        <v/>
      </c>
      <c r="AE47" s="184" t="str">
        <f>IFERROR(IF(VLOOKUP(Mon_W2[[#This Row],[Employee Name]],'Base Schedules'!$A$113:$AW$158,30,FALSE)="","",VLOOKUP(Mon_W2[[#This Row],[Employee Name]],'Base Schedules'!$A$113:$AW$158,30,FALSE)),"")</f>
        <v/>
      </c>
      <c r="AF47" s="184" t="str">
        <f>IFERROR(IF(VLOOKUP(Mon_W2[[#This Row],[Employee Name]],'Base Schedules'!$A$113:$AW$158,31,FALSE)="","",VLOOKUP(Mon_W2[[#This Row],[Employee Name]],'Base Schedules'!$A$113:$AW$158,31,FALSE)),"")</f>
        <v/>
      </c>
      <c r="AG47" s="184" t="str">
        <f>IFERROR(IF(VLOOKUP(Mon_W2[[#This Row],[Employee Name]],'Base Schedules'!$A$113:$AW$158,32,FALSE)="","",VLOOKUP(Mon_W2[[#This Row],[Employee Name]],'Base Schedules'!$A$113:$AW$158,32,FALSE)),"")</f>
        <v>HL</v>
      </c>
      <c r="AH47" s="184" t="str">
        <f>IFERROR(IF(VLOOKUP(Mon_W2[[#This Row],[Employee Name]],'Base Schedules'!$A$113:$AW$158,33,FALSE)="","",VLOOKUP(Mon_W2[[#This Row],[Employee Name]],'Base Schedules'!$A$113:$AW$158,33,FALSE)),"")</f>
        <v>HL</v>
      </c>
      <c r="AI47" s="184" t="str">
        <f>IFERROR(IF(VLOOKUP(Mon_W2[[#This Row],[Employee Name]],'Base Schedules'!$A$113:$AW$158,34,FALSE)="","",VLOOKUP(Mon_W2[[#This Row],[Employee Name]],'Base Schedules'!$A$113:$AW$158,34,FALSE)),"")</f>
        <v>ADM</v>
      </c>
      <c r="AJ47" s="184" t="str">
        <f>IFERROR(IF(VLOOKUP(Mon_W2[[#This Row],[Employee Name]],'Base Schedules'!$A$113:$AW$158,35,FALSE)="","",VLOOKUP(Mon_W2[[#This Row],[Employee Name]],'Base Schedules'!$A$113:$AW$158,35,FALSE)),"")</f>
        <v>ADM B1</v>
      </c>
      <c r="AK47" s="184" t="str">
        <f>IFERROR(IF(VLOOKUP(Mon_W2[[#This Row],[Employee Name]],'Base Schedules'!$A$113:$AW$158,36,FALSE)="","",VLOOKUP(Mon_W2[[#This Row],[Employee Name]],'Base Schedules'!$A$113:$AW$158,36,FALSE)),"")</f>
        <v>ADM</v>
      </c>
      <c r="AL47" s="184" t="str">
        <f>IFERROR(IF(VLOOKUP(Mon_W2[[#This Row],[Employee Name]],'Base Schedules'!$A$113:$AW$158,37,FALSE)="","",VLOOKUP(Mon_W2[[#This Row],[Employee Name]],'Base Schedules'!$A$113:$AW$158,37,FALSE)),"")</f>
        <v>HL</v>
      </c>
      <c r="AM47" s="184" t="str">
        <f>IFERROR(IF(VLOOKUP(Mon_W2[[#This Row],[Employee Name]],'Base Schedules'!$A$113:$AW$158,38,FALSE)="","",VLOOKUP(Mon_W2[[#This Row],[Employee Name]],'Base Schedules'!$A$113:$AW$158,38,FALSE)),"")</f>
        <v>HL</v>
      </c>
      <c r="AN47" s="184" t="str">
        <f>IFERROR(IF(VLOOKUP(Mon_W2[[#This Row],[Employee Name]],'Base Schedules'!$A$113:$AW$158,39,FALSE)="","",VLOOKUP(Mon_W2[[#This Row],[Employee Name]],'Base Schedules'!$A$113:$AW$158,39,FALSE)),"")</f>
        <v>LUNCH</v>
      </c>
      <c r="AO47" s="184" t="str">
        <f>IFERROR(IF(VLOOKUP(Mon_W2[[#This Row],[Employee Name]],'Base Schedules'!$A$113:$AW$158,40,FALSE)="","",VLOOKUP(Mon_W2[[#This Row],[Employee Name]],'Base Schedules'!$A$113:$AW$158,40,FALSE)),"")</f>
        <v>HL</v>
      </c>
      <c r="AP47" s="184" t="str">
        <f>IFERROR(IF(VLOOKUP(Mon_W2[[#This Row],[Employee Name]],'Base Schedules'!$A$113:$AW$158,41,FALSE)="","",VLOOKUP(Mon_W2[[#This Row],[Employee Name]],'Base Schedules'!$A$113:$AW$158,41,FALSE)),"")</f>
        <v>HL</v>
      </c>
      <c r="AQ47" s="184" t="str">
        <f>IFERROR(IF(VLOOKUP(Mon_W2[[#This Row],[Employee Name]],'Base Schedules'!$A$113:$AW$158,42,FALSE)="","",VLOOKUP(Mon_W2[[#This Row],[Employee Name]],'Base Schedules'!$A$113:$AW$158,42,FALSE)),"")</f>
        <v>HL</v>
      </c>
      <c r="AR47" s="184" t="str">
        <f>IFERROR(IF(VLOOKUP(Mon_W2[[#This Row],[Employee Name]],'Base Schedules'!$A$113:$AW$158,43,FALSE)="","",VLOOKUP(Mon_W2[[#This Row],[Employee Name]],'Base Schedules'!$A$113:$AW$158,43,FALSE)),"")</f>
        <v>HL</v>
      </c>
      <c r="AS47" s="184" t="str">
        <f>IFERROR(IF(VLOOKUP(Mon_W2[[#This Row],[Employee Name]],'Base Schedules'!$A$113:$AW$158,44,FALSE)="","",VLOOKUP(Mon_W2[[#This Row],[Employee Name]],'Base Schedules'!$A$113:$AW$158,44,FALSE)),"")</f>
        <v>B2 HL</v>
      </c>
      <c r="AT47" s="184" t="str">
        <f>IFERROR(IF(VLOOKUP(Mon_W2[[#This Row],[Employee Name]],'Base Schedules'!$A$113:$AW$158,45,FALSE)="","",VLOOKUP(Mon_W2[[#This Row],[Employee Name]],'Base Schedules'!$A$113:$AW$158,45,FALSE)),"")</f>
        <v>HL</v>
      </c>
      <c r="AU47" s="184" t="str">
        <f>IFERROR(IF(VLOOKUP(Mon_W2[[#This Row],[Employee Name]],'Base Schedules'!$A$113:$AW$158,46,FALSE)="","",VLOOKUP(Mon_W2[[#This Row],[Employee Name]],'Base Schedules'!$A$113:$AW$158,46,FALSE)),"")</f>
        <v>HL</v>
      </c>
      <c r="AV47" s="184" t="str">
        <f>IFERROR(IF(VLOOKUP(Mon_W2[[#This Row],[Employee Name]],'Base Schedules'!$A$113:$AW$158,47,FALSE)="","",VLOOKUP(Mon_W2[[#This Row],[Employee Name]],'Base Schedules'!$A$113:$AW$158,47,FALSE)),"")</f>
        <v>HL</v>
      </c>
      <c r="AW47" s="184" t="str">
        <f>IFERROR(IF(VLOOKUP(Mon_W2[[#This Row],[Employee Name]],'Base Schedules'!$A$113:$AW$158,48,FALSE)="","",VLOOKUP(Mon_W2[[#This Row],[Employee Name]],'Base Schedules'!$A$113:$AW$158,48,FALSE)),"")</f>
        <v>HL</v>
      </c>
      <c r="AX47" s="184" t="str">
        <f>IFERROR(IF(VLOOKUP(Mon_W2[[#This Row],[Employee Name]],'Base Schedules'!$A$113:$AW$158,49,FALSE)="","",VLOOKUP(Mon_W2[[#This Row],[Employee Name]],'Base Schedules'!$A$113:$AW$158,49,FALSE)),"")</f>
        <v/>
      </c>
      <c r="AY47" s="160" t="str">
        <f t="shared" si="4"/>
        <v>Fairbrother, Amy</v>
      </c>
    </row>
    <row r="48" spans="1:51" s="44" customFormat="1" ht="12" hidden="1" customHeight="1" x14ac:dyDescent="0.2">
      <c r="A48" s="39" t="str">
        <f>IF(B48="","",INDEX(TeamList[],MATCH($B48,TeamList[[Employee Name]:[Employee Name]],0),MATCH("Manager",TeamList[#Headers],0)))</f>
        <v/>
      </c>
      <c r="B48" s="201"/>
      <c r="C48" s="257" t="str">
        <f>_xlfn.IFNA(VLOOKUP(Mon_W2[[#This Row],[Employee Name]],'Base Schedules'!A:B,2,FALSE),"")</f>
        <v/>
      </c>
      <c r="D48" s="274" t="str">
        <f>_xlfn.IFNA(VLOOKUP(Mon_W2[[#This Row],[Employee Name]],'Base Schedules'!A:C,3,FALSE),"")</f>
        <v/>
      </c>
      <c r="E48" s="274" t="str">
        <f>_xlfn.IFNA(VLOOKUP(Mon_W2[[#This Row],[Employee Name]],'Base Schedules'!A:D,4,FALSE),"")</f>
        <v/>
      </c>
      <c r="F48" s="142" t="str">
        <f>IF(Mon_W2[[#This Row],[Employee Name]]="","",IF(Mon_W2[[#This Row],[Dept]]="Supervisor",COUNTIFS($J48:$AX48,"*HL*",$J48:$AX48,"&lt;&gt;"&amp;"pHL"),COUNTIFS($J48:$AX48,"*HL*",$J48:$AX48,"&lt;&gt;"&amp;"*pHL*",$J48:$AX48,"&lt;&gt;"&amp;"pB1 HL",$J48:$AX48,"&lt;&gt;"&amp;"pB2 HL")-SUM(COUNTIFS($J48:$AX48,"*HL B1*",$J48:$AX48,"&lt;&gt;"&amp;"pHL B1")*0.5,COUNTIFS($J48:$AX48,"*HL B2*",$J48:$AX48,"&lt;&gt;"&amp;"pHL B2")*0.5,COUNTIFS($J48:$AX48,"*B1 HL*",$J48:$AX48,"&lt;&gt;"&amp;"pB1 HL")*0.5,COUNTIFS($J48:$AX48,"*B2 HL*",$J48:$AX48,"&lt;&gt;"&amp;"pB2 HL")*0.5)))</f>
        <v/>
      </c>
      <c r="G48" s="142" t="str">
        <f t="shared" ref="G48:G59" si="5">IF(B48="","",COUNTIFS($J48:$AX48,"*TM*",$J48:$AX48,"&lt;&gt;"&amp;"pTM",$J48:$AX48,"&lt;&gt;"&amp;"uTM"))</f>
        <v/>
      </c>
      <c r="H48" s="142" t="str">
        <f t="shared" si="3"/>
        <v/>
      </c>
      <c r="I48" s="142" t="str">
        <f>IF(Mon_W2[[#This Row],[Employee Name]]="","",IF(Mon_W2[[#This Row],[Dept]]="Supervisor",SUM(COUNTIFS($J48:$AX48,"RTA*",$J48:$AX48,"&lt;&gt;"&amp;"pRTA"),COUNTIFS($J48:$AX48,"*CRTA*",$J48:$AX48,"&lt;&gt;"&amp;"pCRTA")),COUNTIFS($J48:$AX48,"*RNNR*",$J48:$AX48,"&lt;&gt;"&amp;"*pRNNR*",$J48:$AX48,"&lt;&gt;"&amp;"pB1 RNNR",$J48:$AX48,"&lt;&gt;"&amp;"pB2 RNNR")-SUM(COUNTIFS($J48:$AX48,"*RNNR B1*",$J48:$AX48,"&lt;&gt;"&amp;"pRNNR B1")*0.5,COUNTIFS($J48:$AX48,"*RNNR B2*",$J48:$AX48,"&lt;&gt;"&amp;"pRNNR B2")*0.5,COUNTIFS($J48:$AX48,"*B1 RNNR*",$J48:$AX48,"&lt;&gt;"&amp;"pB1 RNNR")*0.5,COUNTIFS($J48:$AX48,"*B2 RNNR*",$J48:$AX48,"&lt;&gt;"&amp;"pB2 RNNR")*0.5)))</f>
        <v/>
      </c>
      <c r="J48" s="184" t="str">
        <f>IFERROR(IF(VLOOKUP(Mon_W2[[#This Row],[Employee Name]],'Base Schedules'!$A$113:$AW$158,9,FALSE)="","",VLOOKUP(Mon_W2[[#This Row],[Employee Name]],'Base Schedules'!$A$113:$AW$158,9,FALSE)),"")</f>
        <v/>
      </c>
      <c r="K48" s="184" t="str">
        <f>IFERROR(IF(VLOOKUP(Mon_W2[[#This Row],[Employee Name]],'Base Schedules'!$A$113:$AW$158,10,FALSE)="","",VLOOKUP(Mon_W2[[#This Row],[Employee Name]],'Base Schedules'!$A$113:$AW$158,10,FALSE)),"")</f>
        <v/>
      </c>
      <c r="L48" s="184" t="str">
        <f>IFERROR(IF(VLOOKUP(Mon_W2[[#This Row],[Employee Name]],'Base Schedules'!$A$113:$AW$158,11,FALSE)="","",VLOOKUP(Mon_W2[[#This Row],[Employee Name]],'Base Schedules'!$A$113:$AW$158,11,FALSE)),"")</f>
        <v/>
      </c>
      <c r="M48" s="184" t="str">
        <f>IFERROR(IF(VLOOKUP(Mon_W2[[#This Row],[Employee Name]],'Base Schedules'!$A$113:$AW$158,12,FALSE)="","",VLOOKUP(Mon_W2[[#This Row],[Employee Name]],'Base Schedules'!$A$113:$AW$158,12,FALSE)),"")</f>
        <v/>
      </c>
      <c r="N48" s="184" t="str">
        <f>IFERROR(IF(VLOOKUP(Mon_W2[[#This Row],[Employee Name]],'Base Schedules'!$A$113:$AW$158,13,FALSE)="","",VLOOKUP(Mon_W2[[#This Row],[Employee Name]],'Base Schedules'!$A$113:$AW$158,13,FALSE)),"")</f>
        <v/>
      </c>
      <c r="O48" s="184" t="str">
        <f>IFERROR(IF(VLOOKUP(Mon_W2[[#This Row],[Employee Name]],'Base Schedules'!$A$113:$AW$158,14,FALSE)="","",VLOOKUP(Mon_W2[[#This Row],[Employee Name]],'Base Schedules'!$A$113:$AW$158,14,FALSE)),"")</f>
        <v/>
      </c>
      <c r="P48" s="184" t="str">
        <f>IFERROR(IF(VLOOKUP(Mon_W2[[#This Row],[Employee Name]],'Base Schedules'!$A$113:$AW$158,15,FALSE)="","",VLOOKUP(Mon_W2[[#This Row],[Employee Name]],'Base Schedules'!$A$113:$AW$158,15,FALSE)),"")</f>
        <v/>
      </c>
      <c r="Q48" s="184" t="str">
        <f>IFERROR(IF(VLOOKUP(Mon_W2[[#This Row],[Employee Name]],'Base Schedules'!$A$113:$AW$158,16,FALSE)="","",VLOOKUP(Mon_W2[[#This Row],[Employee Name]],'Base Schedules'!$A$113:$AW$158,16,FALSE)),"")</f>
        <v/>
      </c>
      <c r="R48" s="184" t="str">
        <f>IFERROR(IF(VLOOKUP(Mon_W2[[#This Row],[Employee Name]],'Base Schedules'!$A$113:$AW$158,17,FALSE)="","",VLOOKUP(Mon_W2[[#This Row],[Employee Name]],'Base Schedules'!$A$113:$AW$158,17,FALSE)),"")</f>
        <v/>
      </c>
      <c r="S48" s="184" t="str">
        <f>IFERROR(IF(VLOOKUP(Mon_W2[[#This Row],[Employee Name]],'Base Schedules'!$A$113:$AW$158,18,FALSE)="","",VLOOKUP(Mon_W2[[#This Row],[Employee Name]],'Base Schedules'!$A$113:$AW$158,18,FALSE)),"")</f>
        <v/>
      </c>
      <c r="T48" s="184" t="str">
        <f>IFERROR(IF(VLOOKUP(Mon_W2[[#This Row],[Employee Name]],'Base Schedules'!$A$113:$AW$158,19,FALSE)="","",VLOOKUP(Mon_W2[[#This Row],[Employee Name]],'Base Schedules'!$A$113:$AW$158,19,FALSE)),"")</f>
        <v/>
      </c>
      <c r="U48" s="184" t="str">
        <f>IFERROR(IF(VLOOKUP(Mon_W2[[#This Row],[Employee Name]],'Base Schedules'!$A$113:$AW$158,20,FALSE)="","",VLOOKUP(Mon_W2[[#This Row],[Employee Name]],'Base Schedules'!$A$113:$AW$158,20,FALSE)),"")</f>
        <v/>
      </c>
      <c r="V48" s="184" t="str">
        <f>IFERROR(IF(VLOOKUP(Mon_W2[[#This Row],[Employee Name]],'Base Schedules'!$A$113:$AW$158,21,FALSE)="","",VLOOKUP(Mon_W2[[#This Row],[Employee Name]],'Base Schedules'!$A$113:$AW$158,21,FALSE)),"")</f>
        <v/>
      </c>
      <c r="W48" s="184" t="str">
        <f>IFERROR(IF(VLOOKUP(Mon_W2[[#This Row],[Employee Name]],'Base Schedules'!$A$113:$AW$158,22,FALSE)="","",VLOOKUP(Mon_W2[[#This Row],[Employee Name]],'Base Schedules'!$A$113:$AW$158,22,FALSE)),"")</f>
        <v/>
      </c>
      <c r="X48" s="184" t="str">
        <f>IFERROR(IF(VLOOKUP(Mon_W2[[#This Row],[Employee Name]],'Base Schedules'!$A$113:$AW$158,23,FALSE)="","",VLOOKUP(Mon_W2[[#This Row],[Employee Name]],'Base Schedules'!$A$113:$AW$158,23,FALSE)),"")</f>
        <v/>
      </c>
      <c r="Y48" s="184" t="str">
        <f>IFERROR(IF(VLOOKUP(Mon_W2[[#This Row],[Employee Name]],'Base Schedules'!$A$113:$AW$158,24,FALSE)="","",VLOOKUP(Mon_W2[[#This Row],[Employee Name]],'Base Schedules'!$A$113:$AW$158,24,FALSE)),"")</f>
        <v/>
      </c>
      <c r="Z48" s="184" t="str">
        <f>IFERROR(IF(VLOOKUP(Mon_W2[[#This Row],[Employee Name]],'Base Schedules'!$A$113:$AW$158,25,FALSE)="","",VLOOKUP(Mon_W2[[#This Row],[Employee Name]],'Base Schedules'!$A$113:$AW$158,25,FALSE)),"")</f>
        <v/>
      </c>
      <c r="AA48" s="184" t="str">
        <f>IFERROR(IF(VLOOKUP(Mon_W2[[#This Row],[Employee Name]],'Base Schedules'!$A$113:$AW$158,26,FALSE)="","",VLOOKUP(Mon_W2[[#This Row],[Employee Name]],'Base Schedules'!$A$113:$AW$158,26,FALSE)),"")</f>
        <v/>
      </c>
      <c r="AB48" s="184" t="str">
        <f>IFERROR(IF(VLOOKUP(Mon_W2[[#This Row],[Employee Name]],'Base Schedules'!$A$113:$AW$158,27,FALSE)="","",VLOOKUP(Mon_W2[[#This Row],[Employee Name]],'Base Schedules'!$A$113:$AW$158,27,FALSE)),"")</f>
        <v/>
      </c>
      <c r="AC48" s="184" t="str">
        <f>IFERROR(IF(VLOOKUP(Mon_W2[[#This Row],[Employee Name]],'Base Schedules'!$A$113:$AW$158,28,FALSE)="","",VLOOKUP(Mon_W2[[#This Row],[Employee Name]],'Base Schedules'!$A$113:$AW$158,28,FALSE)),"")</f>
        <v/>
      </c>
      <c r="AD48" s="184" t="str">
        <f>IFERROR(IF(VLOOKUP(Mon_W2[[#This Row],[Employee Name]],'Base Schedules'!$A$113:$AW$158,29,FALSE)="","",VLOOKUP(Mon_W2[[#This Row],[Employee Name]],'Base Schedules'!$A$113:$AW$158,29,FALSE)),"")</f>
        <v/>
      </c>
      <c r="AE48" s="184" t="str">
        <f>IFERROR(IF(VLOOKUP(Mon_W2[[#This Row],[Employee Name]],'Base Schedules'!$A$113:$AW$158,30,FALSE)="","",VLOOKUP(Mon_W2[[#This Row],[Employee Name]],'Base Schedules'!$A$113:$AW$158,30,FALSE)),"")</f>
        <v/>
      </c>
      <c r="AF48" s="184" t="str">
        <f>IFERROR(IF(VLOOKUP(Mon_W2[[#This Row],[Employee Name]],'Base Schedules'!$A$113:$AW$158,31,FALSE)="","",VLOOKUP(Mon_W2[[#This Row],[Employee Name]],'Base Schedules'!$A$113:$AW$158,31,FALSE)),"")</f>
        <v/>
      </c>
      <c r="AG48" s="184" t="str">
        <f>IFERROR(IF(VLOOKUP(Mon_W2[[#This Row],[Employee Name]],'Base Schedules'!$A$113:$AW$158,32,FALSE)="","",VLOOKUP(Mon_W2[[#This Row],[Employee Name]],'Base Schedules'!$A$113:$AW$158,32,FALSE)),"")</f>
        <v/>
      </c>
      <c r="AH48" s="184" t="str">
        <f>IFERROR(IF(VLOOKUP(Mon_W2[[#This Row],[Employee Name]],'Base Schedules'!$A$113:$AW$158,33,FALSE)="","",VLOOKUP(Mon_W2[[#This Row],[Employee Name]],'Base Schedules'!$A$113:$AW$158,33,FALSE)),"")</f>
        <v/>
      </c>
      <c r="AI48" s="184" t="str">
        <f>IFERROR(IF(VLOOKUP(Mon_W2[[#This Row],[Employee Name]],'Base Schedules'!$A$113:$AW$158,34,FALSE)="","",VLOOKUP(Mon_W2[[#This Row],[Employee Name]],'Base Schedules'!$A$113:$AW$158,34,FALSE)),"")</f>
        <v/>
      </c>
      <c r="AJ48" s="184" t="str">
        <f>IFERROR(IF(VLOOKUP(Mon_W2[[#This Row],[Employee Name]],'Base Schedules'!$A$113:$AW$158,35,FALSE)="","",VLOOKUP(Mon_W2[[#This Row],[Employee Name]],'Base Schedules'!$A$113:$AW$158,35,FALSE)),"")</f>
        <v/>
      </c>
      <c r="AK48" s="184" t="str">
        <f>IFERROR(IF(VLOOKUP(Mon_W2[[#This Row],[Employee Name]],'Base Schedules'!$A$113:$AW$158,36,FALSE)="","",VLOOKUP(Mon_W2[[#This Row],[Employee Name]],'Base Schedules'!$A$113:$AW$158,36,FALSE)),"")</f>
        <v/>
      </c>
      <c r="AL48" s="184" t="str">
        <f>IFERROR(IF(VLOOKUP(Mon_W2[[#This Row],[Employee Name]],'Base Schedules'!$A$113:$AW$158,37,FALSE)="","",VLOOKUP(Mon_W2[[#This Row],[Employee Name]],'Base Schedules'!$A$113:$AW$158,37,FALSE)),"")</f>
        <v/>
      </c>
      <c r="AM48" s="184" t="str">
        <f>IFERROR(IF(VLOOKUP(Mon_W2[[#This Row],[Employee Name]],'Base Schedules'!$A$113:$AW$158,38,FALSE)="","",VLOOKUP(Mon_W2[[#This Row],[Employee Name]],'Base Schedules'!$A$113:$AW$158,38,FALSE)),"")</f>
        <v/>
      </c>
      <c r="AN48" s="184" t="str">
        <f>IFERROR(IF(VLOOKUP(Mon_W2[[#This Row],[Employee Name]],'Base Schedules'!$A$113:$AW$158,39,FALSE)="","",VLOOKUP(Mon_W2[[#This Row],[Employee Name]],'Base Schedules'!$A$113:$AW$158,39,FALSE)),"")</f>
        <v/>
      </c>
      <c r="AO48" s="184" t="str">
        <f>IFERROR(IF(VLOOKUP(Mon_W2[[#This Row],[Employee Name]],'Base Schedules'!$A$113:$AW$158,40,FALSE)="","",VLOOKUP(Mon_W2[[#This Row],[Employee Name]],'Base Schedules'!$A$113:$AW$158,40,FALSE)),"")</f>
        <v/>
      </c>
      <c r="AP48" s="184" t="str">
        <f>IFERROR(IF(VLOOKUP(Mon_W2[[#This Row],[Employee Name]],'Base Schedules'!$A$113:$AW$158,41,FALSE)="","",VLOOKUP(Mon_W2[[#This Row],[Employee Name]],'Base Schedules'!$A$113:$AW$158,41,FALSE)),"")</f>
        <v/>
      </c>
      <c r="AQ48" s="184" t="str">
        <f>IFERROR(IF(VLOOKUP(Mon_W2[[#This Row],[Employee Name]],'Base Schedules'!$A$113:$AW$158,42,FALSE)="","",VLOOKUP(Mon_W2[[#This Row],[Employee Name]],'Base Schedules'!$A$113:$AW$158,42,FALSE)),"")</f>
        <v/>
      </c>
      <c r="AR48" s="184" t="str">
        <f>IFERROR(IF(VLOOKUP(Mon_W2[[#This Row],[Employee Name]],'Base Schedules'!$A$113:$AW$158,43,FALSE)="","",VLOOKUP(Mon_W2[[#This Row],[Employee Name]],'Base Schedules'!$A$113:$AW$158,43,FALSE)),"")</f>
        <v/>
      </c>
      <c r="AS48" s="184" t="str">
        <f>IFERROR(IF(VLOOKUP(Mon_W2[[#This Row],[Employee Name]],'Base Schedules'!$A$113:$AW$158,44,FALSE)="","",VLOOKUP(Mon_W2[[#This Row],[Employee Name]],'Base Schedules'!$A$113:$AW$158,44,FALSE)),"")</f>
        <v/>
      </c>
      <c r="AT48" s="184" t="str">
        <f>IFERROR(IF(VLOOKUP(Mon_W2[[#This Row],[Employee Name]],'Base Schedules'!$A$113:$AW$158,45,FALSE)="","",VLOOKUP(Mon_W2[[#This Row],[Employee Name]],'Base Schedules'!$A$113:$AW$158,45,FALSE)),"")</f>
        <v/>
      </c>
      <c r="AU48" s="184" t="str">
        <f>IFERROR(IF(VLOOKUP(Mon_W2[[#This Row],[Employee Name]],'Base Schedules'!$A$113:$AW$158,46,FALSE)="","",VLOOKUP(Mon_W2[[#This Row],[Employee Name]],'Base Schedules'!$A$113:$AW$158,46,FALSE)),"")</f>
        <v/>
      </c>
      <c r="AV48" s="184" t="str">
        <f>IFERROR(IF(VLOOKUP(Mon_W2[[#This Row],[Employee Name]],'Base Schedules'!$A$113:$AW$158,47,FALSE)="","",VLOOKUP(Mon_W2[[#This Row],[Employee Name]],'Base Schedules'!$A$113:$AW$158,47,FALSE)),"")</f>
        <v/>
      </c>
      <c r="AW48" s="184" t="str">
        <f>IFERROR(IF(VLOOKUP(Mon_W2[[#This Row],[Employee Name]],'Base Schedules'!$A$113:$AW$158,48,FALSE)="","",VLOOKUP(Mon_W2[[#This Row],[Employee Name]],'Base Schedules'!$A$113:$AW$158,48,FALSE)),"")</f>
        <v/>
      </c>
      <c r="AX48" s="184" t="str">
        <f>IFERROR(IF(VLOOKUP(Mon_W2[[#This Row],[Employee Name]],'Base Schedules'!$A$113:$AW$158,49,FALSE)="","",VLOOKUP(Mon_W2[[#This Row],[Employee Name]],'Base Schedules'!$A$113:$AW$158,49,FALSE)),"")</f>
        <v/>
      </c>
      <c r="AY48" s="162" t="str">
        <f t="shared" si="4"/>
        <v/>
      </c>
    </row>
    <row r="49" spans="1:52" s="44" customFormat="1" ht="12" hidden="1" customHeight="1" x14ac:dyDescent="0.2">
      <c r="A49" s="39" t="str">
        <f>IF(B49="","",INDEX(TeamList[],MATCH($B49,TeamList[[Employee Name]:[Employee Name]],0),MATCH("Manager",TeamList[#Headers],0)))</f>
        <v/>
      </c>
      <c r="B49" s="202"/>
      <c r="C49" s="257" t="str">
        <f>_xlfn.IFNA(VLOOKUP(Mon_W2[[#This Row],[Employee Name]],'Base Schedules'!A:B,2,FALSE),"")</f>
        <v/>
      </c>
      <c r="D49" s="274" t="str">
        <f>_xlfn.IFNA(VLOOKUP(Mon_W2[[#This Row],[Employee Name]],'Base Schedules'!A:C,3,FALSE),"")</f>
        <v/>
      </c>
      <c r="E49" s="274" t="str">
        <f>_xlfn.IFNA(VLOOKUP(Mon_W2[[#This Row],[Employee Name]],'Base Schedules'!A:D,4,FALSE),"")</f>
        <v/>
      </c>
      <c r="F49" s="142" t="str">
        <f>IF(Mon_W2[[#This Row],[Employee Name]]="","",IF(Mon_W2[[#This Row],[Dept]]="Supervisor",COUNTIFS($J49:$AX49,"*HL*",$J49:$AX49,"&lt;&gt;"&amp;"pHL"),COUNTIFS($J49:$AX49,"*HL*",$J49:$AX49,"&lt;&gt;"&amp;"*pHL*",$J49:$AX49,"&lt;&gt;"&amp;"pB1 HL",$J49:$AX49,"&lt;&gt;"&amp;"pB2 HL")-SUM(COUNTIFS($J49:$AX49,"*HL B1*",$J49:$AX49,"&lt;&gt;"&amp;"pHL B1")*0.5,COUNTIFS($J49:$AX49,"*HL B2*",$J49:$AX49,"&lt;&gt;"&amp;"pHL B2")*0.5,COUNTIFS($J49:$AX49,"*B1 HL*",$J49:$AX49,"&lt;&gt;"&amp;"pB1 HL")*0.5,COUNTIFS($J49:$AX49,"*B2 HL*",$J49:$AX49,"&lt;&gt;"&amp;"pB2 HL")*0.5)))</f>
        <v/>
      </c>
      <c r="G49" s="142" t="str">
        <f t="shared" si="5"/>
        <v/>
      </c>
      <c r="H49" s="142" t="str">
        <f t="shared" si="3"/>
        <v/>
      </c>
      <c r="I49" s="142" t="str">
        <f>IF(Mon_W2[[#This Row],[Employee Name]]="","",IF(Mon_W2[[#This Row],[Dept]]="Supervisor",SUM(COUNTIFS($J49:$AX49,"RTA*",$J49:$AX49,"&lt;&gt;"&amp;"pRTA"),COUNTIFS($J49:$AX49,"*CRTA*",$J49:$AX49,"&lt;&gt;"&amp;"pCRTA")),COUNTIFS($J49:$AX49,"*RNNR*",$J49:$AX49,"&lt;&gt;"&amp;"*pRNNR*",$J49:$AX49,"&lt;&gt;"&amp;"pB1 RNNR",$J49:$AX49,"&lt;&gt;"&amp;"pB2 RNNR")-SUM(COUNTIFS($J49:$AX49,"*RNNR B1*",$J49:$AX49,"&lt;&gt;"&amp;"pRNNR B1")*0.5,COUNTIFS($J49:$AX49,"*RNNR B2*",$J49:$AX49,"&lt;&gt;"&amp;"pRNNR B2")*0.5,COUNTIFS($J49:$AX49,"*B1 RNNR*",$J49:$AX49,"&lt;&gt;"&amp;"pB1 RNNR")*0.5,COUNTIFS($J49:$AX49,"*B2 RNNR*",$J49:$AX49,"&lt;&gt;"&amp;"pB2 RNNR")*0.5)))</f>
        <v/>
      </c>
      <c r="J49" s="184" t="str">
        <f>IFERROR(IF(VLOOKUP(Mon_W2[[#This Row],[Employee Name]],'Base Schedules'!$A$113:$AW$158,9,FALSE)="","",VLOOKUP(Mon_W2[[#This Row],[Employee Name]],'Base Schedules'!$A$113:$AW$158,9,FALSE)),"")</f>
        <v/>
      </c>
      <c r="K49" s="184" t="str">
        <f>IFERROR(IF(VLOOKUP(Mon_W2[[#This Row],[Employee Name]],'Base Schedules'!$A$113:$AW$158,10,FALSE)="","",VLOOKUP(Mon_W2[[#This Row],[Employee Name]],'Base Schedules'!$A$113:$AW$158,10,FALSE)),"")</f>
        <v/>
      </c>
      <c r="L49" s="184" t="str">
        <f>IFERROR(IF(VLOOKUP(Mon_W2[[#This Row],[Employee Name]],'Base Schedules'!$A$113:$AW$158,11,FALSE)="","",VLOOKUP(Mon_W2[[#This Row],[Employee Name]],'Base Schedules'!$A$113:$AW$158,11,FALSE)),"")</f>
        <v/>
      </c>
      <c r="M49" s="184" t="str">
        <f>IFERROR(IF(VLOOKUP(Mon_W2[[#This Row],[Employee Name]],'Base Schedules'!$A$113:$AW$158,12,FALSE)="","",VLOOKUP(Mon_W2[[#This Row],[Employee Name]],'Base Schedules'!$A$113:$AW$158,12,FALSE)),"")</f>
        <v/>
      </c>
      <c r="N49" s="184" t="str">
        <f>IFERROR(IF(VLOOKUP(Mon_W2[[#This Row],[Employee Name]],'Base Schedules'!$A$113:$AW$158,13,FALSE)="","",VLOOKUP(Mon_W2[[#This Row],[Employee Name]],'Base Schedules'!$A$113:$AW$158,13,FALSE)),"")</f>
        <v/>
      </c>
      <c r="O49" s="184" t="str">
        <f>IFERROR(IF(VLOOKUP(Mon_W2[[#This Row],[Employee Name]],'Base Schedules'!$A$113:$AW$158,14,FALSE)="","",VLOOKUP(Mon_W2[[#This Row],[Employee Name]],'Base Schedules'!$A$113:$AW$158,14,FALSE)),"")</f>
        <v/>
      </c>
      <c r="P49" s="184" t="str">
        <f>IFERROR(IF(VLOOKUP(Mon_W2[[#This Row],[Employee Name]],'Base Schedules'!$A$113:$AW$158,15,FALSE)="","",VLOOKUP(Mon_W2[[#This Row],[Employee Name]],'Base Schedules'!$A$113:$AW$158,15,FALSE)),"")</f>
        <v/>
      </c>
      <c r="Q49" s="184" t="str">
        <f>IFERROR(IF(VLOOKUP(Mon_W2[[#This Row],[Employee Name]],'Base Schedules'!$A$113:$AW$158,16,FALSE)="","",VLOOKUP(Mon_W2[[#This Row],[Employee Name]],'Base Schedules'!$A$113:$AW$158,16,FALSE)),"")</f>
        <v/>
      </c>
      <c r="R49" s="184" t="str">
        <f>IFERROR(IF(VLOOKUP(Mon_W2[[#This Row],[Employee Name]],'Base Schedules'!$A$113:$AW$158,17,FALSE)="","",VLOOKUP(Mon_W2[[#This Row],[Employee Name]],'Base Schedules'!$A$113:$AW$158,17,FALSE)),"")</f>
        <v/>
      </c>
      <c r="S49" s="184" t="str">
        <f>IFERROR(IF(VLOOKUP(Mon_W2[[#This Row],[Employee Name]],'Base Schedules'!$A$113:$AW$158,18,FALSE)="","",VLOOKUP(Mon_W2[[#This Row],[Employee Name]],'Base Schedules'!$A$113:$AW$158,18,FALSE)),"")</f>
        <v/>
      </c>
      <c r="T49" s="184" t="str">
        <f>IFERROR(IF(VLOOKUP(Mon_W2[[#This Row],[Employee Name]],'Base Schedules'!$A$113:$AW$158,19,FALSE)="","",VLOOKUP(Mon_W2[[#This Row],[Employee Name]],'Base Schedules'!$A$113:$AW$158,19,FALSE)),"")</f>
        <v/>
      </c>
      <c r="U49" s="184" t="str">
        <f>IFERROR(IF(VLOOKUP(Mon_W2[[#This Row],[Employee Name]],'Base Schedules'!$A$113:$AW$158,20,FALSE)="","",VLOOKUP(Mon_W2[[#This Row],[Employee Name]],'Base Schedules'!$A$113:$AW$158,20,FALSE)),"")</f>
        <v/>
      </c>
      <c r="V49" s="184" t="str">
        <f>IFERROR(IF(VLOOKUP(Mon_W2[[#This Row],[Employee Name]],'Base Schedules'!$A$113:$AW$158,21,FALSE)="","",VLOOKUP(Mon_W2[[#This Row],[Employee Name]],'Base Schedules'!$A$113:$AW$158,21,FALSE)),"")</f>
        <v/>
      </c>
      <c r="W49" s="184" t="str">
        <f>IFERROR(IF(VLOOKUP(Mon_W2[[#This Row],[Employee Name]],'Base Schedules'!$A$113:$AW$158,22,FALSE)="","",VLOOKUP(Mon_W2[[#This Row],[Employee Name]],'Base Schedules'!$A$113:$AW$158,22,FALSE)),"")</f>
        <v/>
      </c>
      <c r="X49" s="184" t="str">
        <f>IFERROR(IF(VLOOKUP(Mon_W2[[#This Row],[Employee Name]],'Base Schedules'!$A$113:$AW$158,23,FALSE)="","",VLOOKUP(Mon_W2[[#This Row],[Employee Name]],'Base Schedules'!$A$113:$AW$158,23,FALSE)),"")</f>
        <v/>
      </c>
      <c r="Y49" s="184" t="str">
        <f>IFERROR(IF(VLOOKUP(Mon_W2[[#This Row],[Employee Name]],'Base Schedules'!$A$113:$AW$158,24,FALSE)="","",VLOOKUP(Mon_W2[[#This Row],[Employee Name]],'Base Schedules'!$A$113:$AW$158,24,FALSE)),"")</f>
        <v/>
      </c>
      <c r="Z49" s="184" t="str">
        <f>IFERROR(IF(VLOOKUP(Mon_W2[[#This Row],[Employee Name]],'Base Schedules'!$A$113:$AW$158,25,FALSE)="","",VLOOKUP(Mon_W2[[#This Row],[Employee Name]],'Base Schedules'!$A$113:$AW$158,25,FALSE)),"")</f>
        <v/>
      </c>
      <c r="AA49" s="184" t="str">
        <f>IFERROR(IF(VLOOKUP(Mon_W2[[#This Row],[Employee Name]],'Base Schedules'!$A$113:$AW$158,26,FALSE)="","",VLOOKUP(Mon_W2[[#This Row],[Employee Name]],'Base Schedules'!$A$113:$AW$158,26,FALSE)),"")</f>
        <v/>
      </c>
      <c r="AB49" s="184" t="str">
        <f>IFERROR(IF(VLOOKUP(Mon_W2[[#This Row],[Employee Name]],'Base Schedules'!$A$113:$AW$158,27,FALSE)="","",VLOOKUP(Mon_W2[[#This Row],[Employee Name]],'Base Schedules'!$A$113:$AW$158,27,FALSE)),"")</f>
        <v/>
      </c>
      <c r="AC49" s="184" t="str">
        <f>IFERROR(IF(VLOOKUP(Mon_W2[[#This Row],[Employee Name]],'Base Schedules'!$A$113:$AW$158,28,FALSE)="","",VLOOKUP(Mon_W2[[#This Row],[Employee Name]],'Base Schedules'!$A$113:$AW$158,28,FALSE)),"")</f>
        <v/>
      </c>
      <c r="AD49" s="184" t="str">
        <f>IFERROR(IF(VLOOKUP(Mon_W2[[#This Row],[Employee Name]],'Base Schedules'!$A$113:$AW$158,29,FALSE)="","",VLOOKUP(Mon_W2[[#This Row],[Employee Name]],'Base Schedules'!$A$113:$AW$158,29,FALSE)),"")</f>
        <v/>
      </c>
      <c r="AE49" s="184" t="str">
        <f>IFERROR(IF(VLOOKUP(Mon_W2[[#This Row],[Employee Name]],'Base Schedules'!$A$113:$AW$158,30,FALSE)="","",VLOOKUP(Mon_W2[[#This Row],[Employee Name]],'Base Schedules'!$A$113:$AW$158,30,FALSE)),"")</f>
        <v/>
      </c>
      <c r="AF49" s="184" t="str">
        <f>IFERROR(IF(VLOOKUP(Mon_W2[[#This Row],[Employee Name]],'Base Schedules'!$A$113:$AW$158,31,FALSE)="","",VLOOKUP(Mon_W2[[#This Row],[Employee Name]],'Base Schedules'!$A$113:$AW$158,31,FALSE)),"")</f>
        <v/>
      </c>
      <c r="AG49" s="184" t="str">
        <f>IFERROR(IF(VLOOKUP(Mon_W2[[#This Row],[Employee Name]],'Base Schedules'!$A$113:$AW$158,32,FALSE)="","",VLOOKUP(Mon_W2[[#This Row],[Employee Name]],'Base Schedules'!$A$113:$AW$158,32,FALSE)),"")</f>
        <v/>
      </c>
      <c r="AH49" s="184" t="str">
        <f>IFERROR(IF(VLOOKUP(Mon_W2[[#This Row],[Employee Name]],'Base Schedules'!$A$113:$AW$158,33,FALSE)="","",VLOOKUP(Mon_W2[[#This Row],[Employee Name]],'Base Schedules'!$A$113:$AW$158,33,FALSE)),"")</f>
        <v/>
      </c>
      <c r="AI49" s="184" t="str">
        <f>IFERROR(IF(VLOOKUP(Mon_W2[[#This Row],[Employee Name]],'Base Schedules'!$A$113:$AW$158,34,FALSE)="","",VLOOKUP(Mon_W2[[#This Row],[Employee Name]],'Base Schedules'!$A$113:$AW$158,34,FALSE)),"")</f>
        <v/>
      </c>
      <c r="AJ49" s="184" t="str">
        <f>IFERROR(IF(VLOOKUP(Mon_W2[[#This Row],[Employee Name]],'Base Schedules'!$A$113:$AW$158,35,FALSE)="","",VLOOKUP(Mon_W2[[#This Row],[Employee Name]],'Base Schedules'!$A$113:$AW$158,35,FALSE)),"")</f>
        <v/>
      </c>
      <c r="AK49" s="184" t="str">
        <f>IFERROR(IF(VLOOKUP(Mon_W2[[#This Row],[Employee Name]],'Base Schedules'!$A$113:$AW$158,36,FALSE)="","",VLOOKUP(Mon_W2[[#This Row],[Employee Name]],'Base Schedules'!$A$113:$AW$158,36,FALSE)),"")</f>
        <v/>
      </c>
      <c r="AL49" s="184" t="str">
        <f>IFERROR(IF(VLOOKUP(Mon_W2[[#This Row],[Employee Name]],'Base Schedules'!$A$113:$AW$158,37,FALSE)="","",VLOOKUP(Mon_W2[[#This Row],[Employee Name]],'Base Schedules'!$A$113:$AW$158,37,FALSE)),"")</f>
        <v/>
      </c>
      <c r="AM49" s="184" t="str">
        <f>IFERROR(IF(VLOOKUP(Mon_W2[[#This Row],[Employee Name]],'Base Schedules'!$A$113:$AW$158,38,FALSE)="","",VLOOKUP(Mon_W2[[#This Row],[Employee Name]],'Base Schedules'!$A$113:$AW$158,38,FALSE)),"")</f>
        <v/>
      </c>
      <c r="AN49" s="184" t="str">
        <f>IFERROR(IF(VLOOKUP(Mon_W2[[#This Row],[Employee Name]],'Base Schedules'!$A$113:$AW$158,39,FALSE)="","",VLOOKUP(Mon_W2[[#This Row],[Employee Name]],'Base Schedules'!$A$113:$AW$158,39,FALSE)),"")</f>
        <v/>
      </c>
      <c r="AO49" s="184" t="str">
        <f>IFERROR(IF(VLOOKUP(Mon_W2[[#This Row],[Employee Name]],'Base Schedules'!$A$113:$AW$158,40,FALSE)="","",VLOOKUP(Mon_W2[[#This Row],[Employee Name]],'Base Schedules'!$A$113:$AW$158,40,FALSE)),"")</f>
        <v/>
      </c>
      <c r="AP49" s="184" t="str">
        <f>IFERROR(IF(VLOOKUP(Mon_W2[[#This Row],[Employee Name]],'Base Schedules'!$A$113:$AW$158,41,FALSE)="","",VLOOKUP(Mon_W2[[#This Row],[Employee Name]],'Base Schedules'!$A$113:$AW$158,41,FALSE)),"")</f>
        <v/>
      </c>
      <c r="AQ49" s="184" t="str">
        <f>IFERROR(IF(VLOOKUP(Mon_W2[[#This Row],[Employee Name]],'Base Schedules'!$A$113:$AW$158,42,FALSE)="","",VLOOKUP(Mon_W2[[#This Row],[Employee Name]],'Base Schedules'!$A$113:$AW$158,42,FALSE)),"")</f>
        <v/>
      </c>
      <c r="AR49" s="184" t="str">
        <f>IFERROR(IF(VLOOKUP(Mon_W2[[#This Row],[Employee Name]],'Base Schedules'!$A$113:$AW$158,43,FALSE)="","",VLOOKUP(Mon_W2[[#This Row],[Employee Name]],'Base Schedules'!$A$113:$AW$158,43,FALSE)),"")</f>
        <v/>
      </c>
      <c r="AS49" s="184" t="str">
        <f>IFERROR(IF(VLOOKUP(Mon_W2[[#This Row],[Employee Name]],'Base Schedules'!$A$113:$AW$158,44,FALSE)="","",VLOOKUP(Mon_W2[[#This Row],[Employee Name]],'Base Schedules'!$A$113:$AW$158,44,FALSE)),"")</f>
        <v/>
      </c>
      <c r="AT49" s="184" t="str">
        <f>IFERROR(IF(VLOOKUP(Mon_W2[[#This Row],[Employee Name]],'Base Schedules'!$A$113:$AW$158,45,FALSE)="","",VLOOKUP(Mon_W2[[#This Row],[Employee Name]],'Base Schedules'!$A$113:$AW$158,45,FALSE)),"")</f>
        <v/>
      </c>
      <c r="AU49" s="184" t="str">
        <f>IFERROR(IF(VLOOKUP(Mon_W2[[#This Row],[Employee Name]],'Base Schedules'!$A$113:$AW$158,46,FALSE)="","",VLOOKUP(Mon_W2[[#This Row],[Employee Name]],'Base Schedules'!$A$113:$AW$158,46,FALSE)),"")</f>
        <v/>
      </c>
      <c r="AV49" s="184" t="str">
        <f>IFERROR(IF(VLOOKUP(Mon_W2[[#This Row],[Employee Name]],'Base Schedules'!$A$113:$AW$158,47,FALSE)="","",VLOOKUP(Mon_W2[[#This Row],[Employee Name]],'Base Schedules'!$A$113:$AW$158,47,FALSE)),"")</f>
        <v/>
      </c>
      <c r="AW49" s="184" t="str">
        <f>IFERROR(IF(VLOOKUP(Mon_W2[[#This Row],[Employee Name]],'Base Schedules'!$A$113:$AW$158,48,FALSE)="","",VLOOKUP(Mon_W2[[#This Row],[Employee Name]],'Base Schedules'!$A$113:$AW$158,48,FALSE)),"")</f>
        <v/>
      </c>
      <c r="AX49" s="184" t="str">
        <f>IFERROR(IF(VLOOKUP(Mon_W2[[#This Row],[Employee Name]],'Base Schedules'!$A$113:$AW$158,49,FALSE)="","",VLOOKUP(Mon_W2[[#This Row],[Employee Name]],'Base Schedules'!$A$113:$AW$158,49,FALSE)),"")</f>
        <v/>
      </c>
      <c r="AY49" s="159" t="str">
        <f t="shared" si="4"/>
        <v/>
      </c>
    </row>
    <row r="50" spans="1:52" s="44" customFormat="1" ht="12" hidden="1" customHeight="1" x14ac:dyDescent="0.2">
      <c r="A50" s="39" t="str">
        <f>IF(B50="","",INDEX(TeamList[],MATCH($B50,TeamList[[Employee Name]:[Employee Name]],0),MATCH("Manager",TeamList[#Headers],0)))</f>
        <v/>
      </c>
      <c r="B50" s="201"/>
      <c r="C50" s="257" t="str">
        <f>_xlfn.IFNA(VLOOKUP(Mon_W2[[#This Row],[Employee Name]],'Base Schedules'!A:B,2,FALSE),"")</f>
        <v/>
      </c>
      <c r="D50" s="274" t="str">
        <f>_xlfn.IFNA(VLOOKUP(Mon_W2[[#This Row],[Employee Name]],'Base Schedules'!A:C,3,FALSE),"")</f>
        <v/>
      </c>
      <c r="E50" s="274" t="str">
        <f>_xlfn.IFNA(VLOOKUP(Mon_W2[[#This Row],[Employee Name]],'Base Schedules'!A:D,4,FALSE),"")</f>
        <v/>
      </c>
      <c r="F50" s="142" t="str">
        <f>IF(Mon_W2[[#This Row],[Employee Name]]="","",IF(Mon_W2[[#This Row],[Dept]]="Supervisor",COUNTIFS($J50:$AX50,"*HL*",$J50:$AX50,"&lt;&gt;"&amp;"pHL"),COUNTIFS($J50:$AX50,"*HL*",$J50:$AX50,"&lt;&gt;"&amp;"*pHL*",$J50:$AX50,"&lt;&gt;"&amp;"pB1 HL",$J50:$AX50,"&lt;&gt;"&amp;"pB2 HL")-SUM(COUNTIFS($J50:$AX50,"*HL B1*",$J50:$AX50,"&lt;&gt;"&amp;"pHL B1")*0.5,COUNTIFS($J50:$AX50,"*HL B2*",$J50:$AX50,"&lt;&gt;"&amp;"pHL B2")*0.5,COUNTIFS($J50:$AX50,"*B1 HL*",$J50:$AX50,"&lt;&gt;"&amp;"pB1 HL")*0.5,COUNTIFS($J50:$AX50,"*B2 HL*",$J50:$AX50,"&lt;&gt;"&amp;"pB2 HL")*0.5)))</f>
        <v/>
      </c>
      <c r="G50" s="142" t="str">
        <f t="shared" si="5"/>
        <v/>
      </c>
      <c r="H50" s="142" t="str">
        <f t="shared" si="3"/>
        <v/>
      </c>
      <c r="I50" s="142" t="str">
        <f>IF(Mon_W2[[#This Row],[Employee Name]]="","",IF(Mon_W2[[#This Row],[Dept]]="Supervisor",SUM(COUNTIFS($J50:$AX50,"RTA*",$J50:$AX50,"&lt;&gt;"&amp;"pRTA"),COUNTIFS($J50:$AX50,"*CRTA*",$J50:$AX50,"&lt;&gt;"&amp;"pCRTA")),COUNTIFS($J50:$AX50,"*RNNR*",$J50:$AX50,"&lt;&gt;"&amp;"*pRNNR*",$J50:$AX50,"&lt;&gt;"&amp;"pB1 RNNR",$J50:$AX50,"&lt;&gt;"&amp;"pB2 RNNR")-SUM(COUNTIFS($J50:$AX50,"*RNNR B1*",$J50:$AX50,"&lt;&gt;"&amp;"pRNNR B1")*0.5,COUNTIFS($J50:$AX50,"*RNNR B2*",$J50:$AX50,"&lt;&gt;"&amp;"pRNNR B2")*0.5,COUNTIFS($J50:$AX50,"*B1 RNNR*",$J50:$AX50,"&lt;&gt;"&amp;"pB1 RNNR")*0.5,COUNTIFS($J50:$AX50,"*B2 RNNR*",$J50:$AX50,"&lt;&gt;"&amp;"pB2 RNNR")*0.5)))</f>
        <v/>
      </c>
      <c r="J50" s="184" t="str">
        <f>IFERROR(IF(VLOOKUP(Mon_W2[[#This Row],[Employee Name]],'Base Schedules'!$A$113:$AW$158,9,FALSE)="","",VLOOKUP(Mon_W2[[#This Row],[Employee Name]],'Base Schedules'!$A$113:$AW$158,9,FALSE)),"")</f>
        <v/>
      </c>
      <c r="K50" s="184" t="str">
        <f>IFERROR(IF(VLOOKUP(Mon_W2[[#This Row],[Employee Name]],'Base Schedules'!$A$113:$AW$158,10,FALSE)="","",VLOOKUP(Mon_W2[[#This Row],[Employee Name]],'Base Schedules'!$A$113:$AW$158,10,FALSE)),"")</f>
        <v/>
      </c>
      <c r="L50" s="184" t="str">
        <f>IFERROR(IF(VLOOKUP(Mon_W2[[#This Row],[Employee Name]],'Base Schedules'!$A$113:$AW$158,11,FALSE)="","",VLOOKUP(Mon_W2[[#This Row],[Employee Name]],'Base Schedules'!$A$113:$AW$158,11,FALSE)),"")</f>
        <v/>
      </c>
      <c r="M50" s="184" t="str">
        <f>IFERROR(IF(VLOOKUP(Mon_W2[[#This Row],[Employee Name]],'Base Schedules'!$A$113:$AW$158,12,FALSE)="","",VLOOKUP(Mon_W2[[#This Row],[Employee Name]],'Base Schedules'!$A$113:$AW$158,12,FALSE)),"")</f>
        <v/>
      </c>
      <c r="N50" s="184" t="str">
        <f>IFERROR(IF(VLOOKUP(Mon_W2[[#This Row],[Employee Name]],'Base Schedules'!$A$113:$AW$158,13,FALSE)="","",VLOOKUP(Mon_W2[[#This Row],[Employee Name]],'Base Schedules'!$A$113:$AW$158,13,FALSE)),"")</f>
        <v/>
      </c>
      <c r="O50" s="184" t="str">
        <f>IFERROR(IF(VLOOKUP(Mon_W2[[#This Row],[Employee Name]],'Base Schedules'!$A$113:$AW$158,14,FALSE)="","",VLOOKUP(Mon_W2[[#This Row],[Employee Name]],'Base Schedules'!$A$113:$AW$158,14,FALSE)),"")</f>
        <v/>
      </c>
      <c r="P50" s="184" t="str">
        <f>IFERROR(IF(VLOOKUP(Mon_W2[[#This Row],[Employee Name]],'Base Schedules'!$A$113:$AW$158,15,FALSE)="","",VLOOKUP(Mon_W2[[#This Row],[Employee Name]],'Base Schedules'!$A$113:$AW$158,15,FALSE)),"")</f>
        <v/>
      </c>
      <c r="Q50" s="184" t="str">
        <f>IFERROR(IF(VLOOKUP(Mon_W2[[#This Row],[Employee Name]],'Base Schedules'!$A$113:$AW$158,16,FALSE)="","",VLOOKUP(Mon_W2[[#This Row],[Employee Name]],'Base Schedules'!$A$113:$AW$158,16,FALSE)),"")</f>
        <v/>
      </c>
      <c r="R50" s="184" t="str">
        <f>IFERROR(IF(VLOOKUP(Mon_W2[[#This Row],[Employee Name]],'Base Schedules'!$A$113:$AW$158,17,FALSE)="","",VLOOKUP(Mon_W2[[#This Row],[Employee Name]],'Base Schedules'!$A$113:$AW$158,17,FALSE)),"")</f>
        <v/>
      </c>
      <c r="S50" s="184" t="str">
        <f>IFERROR(IF(VLOOKUP(Mon_W2[[#This Row],[Employee Name]],'Base Schedules'!$A$113:$AW$158,18,FALSE)="","",VLOOKUP(Mon_W2[[#This Row],[Employee Name]],'Base Schedules'!$A$113:$AW$158,18,FALSE)),"")</f>
        <v/>
      </c>
      <c r="T50" s="184" t="str">
        <f>IFERROR(IF(VLOOKUP(Mon_W2[[#This Row],[Employee Name]],'Base Schedules'!$A$113:$AW$158,19,FALSE)="","",VLOOKUP(Mon_W2[[#This Row],[Employee Name]],'Base Schedules'!$A$113:$AW$158,19,FALSE)),"")</f>
        <v/>
      </c>
      <c r="U50" s="184" t="str">
        <f>IFERROR(IF(VLOOKUP(Mon_W2[[#This Row],[Employee Name]],'Base Schedules'!$A$113:$AW$158,20,FALSE)="","",VLOOKUP(Mon_W2[[#This Row],[Employee Name]],'Base Schedules'!$A$113:$AW$158,20,FALSE)),"")</f>
        <v/>
      </c>
      <c r="V50" s="184" t="str">
        <f>IFERROR(IF(VLOOKUP(Mon_W2[[#This Row],[Employee Name]],'Base Schedules'!$A$113:$AW$158,21,FALSE)="","",VLOOKUP(Mon_W2[[#This Row],[Employee Name]],'Base Schedules'!$A$113:$AW$158,21,FALSE)),"")</f>
        <v/>
      </c>
      <c r="W50" s="184" t="str">
        <f>IFERROR(IF(VLOOKUP(Mon_W2[[#This Row],[Employee Name]],'Base Schedules'!$A$113:$AW$158,22,FALSE)="","",VLOOKUP(Mon_W2[[#This Row],[Employee Name]],'Base Schedules'!$A$113:$AW$158,22,FALSE)),"")</f>
        <v/>
      </c>
      <c r="X50" s="184" t="str">
        <f>IFERROR(IF(VLOOKUP(Mon_W2[[#This Row],[Employee Name]],'Base Schedules'!$A$113:$AW$158,23,FALSE)="","",VLOOKUP(Mon_W2[[#This Row],[Employee Name]],'Base Schedules'!$A$113:$AW$158,23,FALSE)),"")</f>
        <v/>
      </c>
      <c r="Y50" s="184" t="str">
        <f>IFERROR(IF(VLOOKUP(Mon_W2[[#This Row],[Employee Name]],'Base Schedules'!$A$113:$AW$158,24,FALSE)="","",VLOOKUP(Mon_W2[[#This Row],[Employee Name]],'Base Schedules'!$A$113:$AW$158,24,FALSE)),"")</f>
        <v/>
      </c>
      <c r="Z50" s="184" t="str">
        <f>IFERROR(IF(VLOOKUP(Mon_W2[[#This Row],[Employee Name]],'Base Schedules'!$A$113:$AW$158,25,FALSE)="","",VLOOKUP(Mon_W2[[#This Row],[Employee Name]],'Base Schedules'!$A$113:$AW$158,25,FALSE)),"")</f>
        <v/>
      </c>
      <c r="AA50" s="184" t="str">
        <f>IFERROR(IF(VLOOKUP(Mon_W2[[#This Row],[Employee Name]],'Base Schedules'!$A$113:$AW$158,26,FALSE)="","",VLOOKUP(Mon_W2[[#This Row],[Employee Name]],'Base Schedules'!$A$113:$AW$158,26,FALSE)),"")</f>
        <v/>
      </c>
      <c r="AB50" s="184" t="str">
        <f>IFERROR(IF(VLOOKUP(Mon_W2[[#This Row],[Employee Name]],'Base Schedules'!$A$113:$AW$158,27,FALSE)="","",VLOOKUP(Mon_W2[[#This Row],[Employee Name]],'Base Schedules'!$A$113:$AW$158,27,FALSE)),"")</f>
        <v/>
      </c>
      <c r="AC50" s="184" t="str">
        <f>IFERROR(IF(VLOOKUP(Mon_W2[[#This Row],[Employee Name]],'Base Schedules'!$A$113:$AW$158,28,FALSE)="","",VLOOKUP(Mon_W2[[#This Row],[Employee Name]],'Base Schedules'!$A$113:$AW$158,28,FALSE)),"")</f>
        <v/>
      </c>
      <c r="AD50" s="184" t="str">
        <f>IFERROR(IF(VLOOKUP(Mon_W2[[#This Row],[Employee Name]],'Base Schedules'!$A$113:$AW$158,29,FALSE)="","",VLOOKUP(Mon_W2[[#This Row],[Employee Name]],'Base Schedules'!$A$113:$AW$158,29,FALSE)),"")</f>
        <v/>
      </c>
      <c r="AE50" s="184" t="str">
        <f>IFERROR(IF(VLOOKUP(Mon_W2[[#This Row],[Employee Name]],'Base Schedules'!$A$113:$AW$158,30,FALSE)="","",VLOOKUP(Mon_W2[[#This Row],[Employee Name]],'Base Schedules'!$A$113:$AW$158,30,FALSE)),"")</f>
        <v/>
      </c>
      <c r="AF50" s="184" t="str">
        <f>IFERROR(IF(VLOOKUP(Mon_W2[[#This Row],[Employee Name]],'Base Schedules'!$A$113:$AW$158,31,FALSE)="","",VLOOKUP(Mon_W2[[#This Row],[Employee Name]],'Base Schedules'!$A$113:$AW$158,31,FALSE)),"")</f>
        <v/>
      </c>
      <c r="AG50" s="184" t="str">
        <f>IFERROR(IF(VLOOKUP(Mon_W2[[#This Row],[Employee Name]],'Base Schedules'!$A$113:$AW$158,32,FALSE)="","",VLOOKUP(Mon_W2[[#This Row],[Employee Name]],'Base Schedules'!$A$113:$AW$158,32,FALSE)),"")</f>
        <v/>
      </c>
      <c r="AH50" s="184" t="str">
        <f>IFERROR(IF(VLOOKUP(Mon_W2[[#This Row],[Employee Name]],'Base Schedules'!$A$113:$AW$158,33,FALSE)="","",VLOOKUP(Mon_W2[[#This Row],[Employee Name]],'Base Schedules'!$A$113:$AW$158,33,FALSE)),"")</f>
        <v/>
      </c>
      <c r="AI50" s="184" t="str">
        <f>IFERROR(IF(VLOOKUP(Mon_W2[[#This Row],[Employee Name]],'Base Schedules'!$A$113:$AW$158,34,FALSE)="","",VLOOKUP(Mon_W2[[#This Row],[Employee Name]],'Base Schedules'!$A$113:$AW$158,34,FALSE)),"")</f>
        <v/>
      </c>
      <c r="AJ50" s="184" t="str">
        <f>IFERROR(IF(VLOOKUP(Mon_W2[[#This Row],[Employee Name]],'Base Schedules'!$A$113:$AW$158,35,FALSE)="","",VLOOKUP(Mon_W2[[#This Row],[Employee Name]],'Base Schedules'!$A$113:$AW$158,35,FALSE)),"")</f>
        <v/>
      </c>
      <c r="AK50" s="184" t="str">
        <f>IFERROR(IF(VLOOKUP(Mon_W2[[#This Row],[Employee Name]],'Base Schedules'!$A$113:$AW$158,36,FALSE)="","",VLOOKUP(Mon_W2[[#This Row],[Employee Name]],'Base Schedules'!$A$113:$AW$158,36,FALSE)),"")</f>
        <v/>
      </c>
      <c r="AL50" s="184" t="str">
        <f>IFERROR(IF(VLOOKUP(Mon_W2[[#This Row],[Employee Name]],'Base Schedules'!$A$113:$AW$158,37,FALSE)="","",VLOOKUP(Mon_W2[[#This Row],[Employee Name]],'Base Schedules'!$A$113:$AW$158,37,FALSE)),"")</f>
        <v/>
      </c>
      <c r="AM50" s="184" t="str">
        <f>IFERROR(IF(VLOOKUP(Mon_W2[[#This Row],[Employee Name]],'Base Schedules'!$A$113:$AW$158,38,FALSE)="","",VLOOKUP(Mon_W2[[#This Row],[Employee Name]],'Base Schedules'!$A$113:$AW$158,38,FALSE)),"")</f>
        <v/>
      </c>
      <c r="AN50" s="184" t="str">
        <f>IFERROR(IF(VLOOKUP(Mon_W2[[#This Row],[Employee Name]],'Base Schedules'!$A$113:$AW$158,39,FALSE)="","",VLOOKUP(Mon_W2[[#This Row],[Employee Name]],'Base Schedules'!$A$113:$AW$158,39,FALSE)),"")</f>
        <v/>
      </c>
      <c r="AO50" s="184" t="str">
        <f>IFERROR(IF(VLOOKUP(Mon_W2[[#This Row],[Employee Name]],'Base Schedules'!$A$113:$AW$158,40,FALSE)="","",VLOOKUP(Mon_W2[[#This Row],[Employee Name]],'Base Schedules'!$A$113:$AW$158,40,FALSE)),"")</f>
        <v/>
      </c>
      <c r="AP50" s="184" t="str">
        <f>IFERROR(IF(VLOOKUP(Mon_W2[[#This Row],[Employee Name]],'Base Schedules'!$A$113:$AW$158,41,FALSE)="","",VLOOKUP(Mon_W2[[#This Row],[Employee Name]],'Base Schedules'!$A$113:$AW$158,41,FALSE)),"")</f>
        <v/>
      </c>
      <c r="AQ50" s="184" t="str">
        <f>IFERROR(IF(VLOOKUP(Mon_W2[[#This Row],[Employee Name]],'Base Schedules'!$A$113:$AW$158,42,FALSE)="","",VLOOKUP(Mon_W2[[#This Row],[Employee Name]],'Base Schedules'!$A$113:$AW$158,42,FALSE)),"")</f>
        <v/>
      </c>
      <c r="AR50" s="184" t="str">
        <f>IFERROR(IF(VLOOKUP(Mon_W2[[#This Row],[Employee Name]],'Base Schedules'!$A$113:$AW$158,43,FALSE)="","",VLOOKUP(Mon_W2[[#This Row],[Employee Name]],'Base Schedules'!$A$113:$AW$158,43,FALSE)),"")</f>
        <v/>
      </c>
      <c r="AS50" s="184" t="str">
        <f>IFERROR(IF(VLOOKUP(Mon_W2[[#This Row],[Employee Name]],'Base Schedules'!$A$113:$AW$158,44,FALSE)="","",VLOOKUP(Mon_W2[[#This Row],[Employee Name]],'Base Schedules'!$A$113:$AW$158,44,FALSE)),"")</f>
        <v/>
      </c>
      <c r="AT50" s="184" t="str">
        <f>IFERROR(IF(VLOOKUP(Mon_W2[[#This Row],[Employee Name]],'Base Schedules'!$A$113:$AW$158,45,FALSE)="","",VLOOKUP(Mon_W2[[#This Row],[Employee Name]],'Base Schedules'!$A$113:$AW$158,45,FALSE)),"")</f>
        <v/>
      </c>
      <c r="AU50" s="184" t="str">
        <f>IFERROR(IF(VLOOKUP(Mon_W2[[#This Row],[Employee Name]],'Base Schedules'!$A$113:$AW$158,46,FALSE)="","",VLOOKUP(Mon_W2[[#This Row],[Employee Name]],'Base Schedules'!$A$113:$AW$158,46,FALSE)),"")</f>
        <v/>
      </c>
      <c r="AV50" s="184" t="str">
        <f>IFERROR(IF(VLOOKUP(Mon_W2[[#This Row],[Employee Name]],'Base Schedules'!$A$113:$AW$158,47,FALSE)="","",VLOOKUP(Mon_W2[[#This Row],[Employee Name]],'Base Schedules'!$A$113:$AW$158,47,FALSE)),"")</f>
        <v/>
      </c>
      <c r="AW50" s="184" t="str">
        <f>IFERROR(IF(VLOOKUP(Mon_W2[[#This Row],[Employee Name]],'Base Schedules'!$A$113:$AW$158,48,FALSE)="","",VLOOKUP(Mon_W2[[#This Row],[Employee Name]],'Base Schedules'!$A$113:$AW$158,48,FALSE)),"")</f>
        <v/>
      </c>
      <c r="AX50" s="184" t="str">
        <f>IFERROR(IF(VLOOKUP(Mon_W2[[#This Row],[Employee Name]],'Base Schedules'!$A$113:$AW$158,49,FALSE)="","",VLOOKUP(Mon_W2[[#This Row],[Employee Name]],'Base Schedules'!$A$113:$AW$158,49,FALSE)),"")</f>
        <v/>
      </c>
      <c r="AY50" s="159" t="str">
        <f t="shared" si="4"/>
        <v/>
      </c>
    </row>
    <row r="51" spans="1:52" s="44" customFormat="1" ht="12" hidden="1" customHeight="1" x14ac:dyDescent="0.2">
      <c r="A51" s="39" t="str">
        <f>IF(B51="","",INDEX(TeamList[],MATCH($B51,TeamList[[Employee Name]:[Employee Name]],0),MATCH("Manager",TeamList[#Headers],0)))</f>
        <v/>
      </c>
      <c r="B51" s="201"/>
      <c r="C51" s="257" t="str">
        <f>_xlfn.IFNA(VLOOKUP(Mon_W2[[#This Row],[Employee Name]],'Base Schedules'!A:B,2,FALSE),"")</f>
        <v/>
      </c>
      <c r="D51" s="274" t="str">
        <f>_xlfn.IFNA(VLOOKUP(Mon_W2[[#This Row],[Employee Name]],'Base Schedules'!A:C,3,FALSE),"")</f>
        <v/>
      </c>
      <c r="E51" s="274" t="str">
        <f>_xlfn.IFNA(VLOOKUP(Mon_W2[[#This Row],[Employee Name]],'Base Schedules'!A:D,4,FALSE),"")</f>
        <v/>
      </c>
      <c r="F51" s="142" t="str">
        <f>IF(Mon_W2[[#This Row],[Employee Name]]="","",IF(Mon_W2[[#This Row],[Dept]]="Supervisor",COUNTIFS($J51:$AX51,"*HL*",$J51:$AX51,"&lt;&gt;"&amp;"pHL"),COUNTIFS($J51:$AX51,"*HL*",$J51:$AX51,"&lt;&gt;"&amp;"*pHL*",$J51:$AX51,"&lt;&gt;"&amp;"pB1 HL",$J51:$AX51,"&lt;&gt;"&amp;"pB2 HL")-SUM(COUNTIFS($J51:$AX51,"*HL B1*",$J51:$AX51,"&lt;&gt;"&amp;"pHL B1")*0.5,COUNTIFS($J51:$AX51,"*HL B2*",$J51:$AX51,"&lt;&gt;"&amp;"pHL B2")*0.5,COUNTIFS($J51:$AX51,"*B1 HL*",$J51:$AX51,"&lt;&gt;"&amp;"pB1 HL")*0.5,COUNTIFS($J51:$AX51,"*B2 HL*",$J51:$AX51,"&lt;&gt;"&amp;"pB2 HL")*0.5)))</f>
        <v/>
      </c>
      <c r="G51" s="142" t="str">
        <f t="shared" si="5"/>
        <v/>
      </c>
      <c r="H51" s="142" t="str">
        <f t="shared" si="3"/>
        <v/>
      </c>
      <c r="I51" s="142" t="str">
        <f>IF(Mon_W2[[#This Row],[Employee Name]]="","",IF(Mon_W2[[#This Row],[Dept]]="Supervisor",SUM(COUNTIFS($J51:$AX51,"RTA*",$J51:$AX51,"&lt;&gt;"&amp;"pRTA"),COUNTIFS($J51:$AX51,"*CRTA*",$J51:$AX51,"&lt;&gt;"&amp;"pCRTA")),COUNTIFS($J51:$AX51,"*RNNR*",$J51:$AX51,"&lt;&gt;"&amp;"*pRNNR*",$J51:$AX51,"&lt;&gt;"&amp;"pB1 RNNR",$J51:$AX51,"&lt;&gt;"&amp;"pB2 RNNR")-SUM(COUNTIFS($J51:$AX51,"*RNNR B1*",$J51:$AX51,"&lt;&gt;"&amp;"pRNNR B1")*0.5,COUNTIFS($J51:$AX51,"*RNNR B2*",$J51:$AX51,"&lt;&gt;"&amp;"pRNNR B2")*0.5,COUNTIFS($J51:$AX51,"*B1 RNNR*",$J51:$AX51,"&lt;&gt;"&amp;"pB1 RNNR")*0.5,COUNTIFS($J51:$AX51,"*B2 RNNR*",$J51:$AX51,"&lt;&gt;"&amp;"pB2 RNNR")*0.5)))</f>
        <v/>
      </c>
      <c r="J51" s="184" t="str">
        <f>IFERROR(IF(VLOOKUP(Mon_W2[[#This Row],[Employee Name]],'Base Schedules'!$A$113:$AW$158,9,FALSE)="","",VLOOKUP(Mon_W2[[#This Row],[Employee Name]],'Base Schedules'!$A$113:$AW$158,9,FALSE)),"")</f>
        <v/>
      </c>
      <c r="K51" s="184" t="str">
        <f>IFERROR(IF(VLOOKUP(Mon_W2[[#This Row],[Employee Name]],'Base Schedules'!$A$113:$AW$158,10,FALSE)="","",VLOOKUP(Mon_W2[[#This Row],[Employee Name]],'Base Schedules'!$A$113:$AW$158,10,FALSE)),"")</f>
        <v/>
      </c>
      <c r="L51" s="184" t="str">
        <f>IFERROR(IF(VLOOKUP(Mon_W2[[#This Row],[Employee Name]],'Base Schedules'!$A$113:$AW$158,11,FALSE)="","",VLOOKUP(Mon_W2[[#This Row],[Employee Name]],'Base Schedules'!$A$113:$AW$158,11,FALSE)),"")</f>
        <v/>
      </c>
      <c r="M51" s="184" t="str">
        <f>IFERROR(IF(VLOOKUP(Mon_W2[[#This Row],[Employee Name]],'Base Schedules'!$A$113:$AW$158,12,FALSE)="","",VLOOKUP(Mon_W2[[#This Row],[Employee Name]],'Base Schedules'!$A$113:$AW$158,12,FALSE)),"")</f>
        <v/>
      </c>
      <c r="N51" s="184" t="str">
        <f>IFERROR(IF(VLOOKUP(Mon_W2[[#This Row],[Employee Name]],'Base Schedules'!$A$113:$AW$158,13,FALSE)="","",VLOOKUP(Mon_W2[[#This Row],[Employee Name]],'Base Schedules'!$A$113:$AW$158,13,FALSE)),"")</f>
        <v/>
      </c>
      <c r="O51" s="184" t="str">
        <f>IFERROR(IF(VLOOKUP(Mon_W2[[#This Row],[Employee Name]],'Base Schedules'!$A$113:$AW$158,14,FALSE)="","",VLOOKUP(Mon_W2[[#This Row],[Employee Name]],'Base Schedules'!$A$113:$AW$158,14,FALSE)),"")</f>
        <v/>
      </c>
      <c r="P51" s="184" t="str">
        <f>IFERROR(IF(VLOOKUP(Mon_W2[[#This Row],[Employee Name]],'Base Schedules'!$A$113:$AW$158,15,FALSE)="","",VLOOKUP(Mon_W2[[#This Row],[Employee Name]],'Base Schedules'!$A$113:$AW$158,15,FALSE)),"")</f>
        <v/>
      </c>
      <c r="Q51" s="184" t="str">
        <f>IFERROR(IF(VLOOKUP(Mon_W2[[#This Row],[Employee Name]],'Base Schedules'!$A$113:$AW$158,16,FALSE)="","",VLOOKUP(Mon_W2[[#This Row],[Employee Name]],'Base Schedules'!$A$113:$AW$158,16,FALSE)),"")</f>
        <v/>
      </c>
      <c r="R51" s="184" t="str">
        <f>IFERROR(IF(VLOOKUP(Mon_W2[[#This Row],[Employee Name]],'Base Schedules'!$A$113:$AW$158,17,FALSE)="","",VLOOKUP(Mon_W2[[#This Row],[Employee Name]],'Base Schedules'!$A$113:$AW$158,17,FALSE)),"")</f>
        <v/>
      </c>
      <c r="S51" s="184" t="str">
        <f>IFERROR(IF(VLOOKUP(Mon_W2[[#This Row],[Employee Name]],'Base Schedules'!$A$113:$AW$158,18,FALSE)="","",VLOOKUP(Mon_W2[[#This Row],[Employee Name]],'Base Schedules'!$A$113:$AW$158,18,FALSE)),"")</f>
        <v/>
      </c>
      <c r="T51" s="184" t="str">
        <f>IFERROR(IF(VLOOKUP(Mon_W2[[#This Row],[Employee Name]],'Base Schedules'!$A$113:$AW$158,19,FALSE)="","",VLOOKUP(Mon_W2[[#This Row],[Employee Name]],'Base Schedules'!$A$113:$AW$158,19,FALSE)),"")</f>
        <v/>
      </c>
      <c r="U51" s="184" t="str">
        <f>IFERROR(IF(VLOOKUP(Mon_W2[[#This Row],[Employee Name]],'Base Schedules'!$A$113:$AW$158,20,FALSE)="","",VLOOKUP(Mon_W2[[#This Row],[Employee Name]],'Base Schedules'!$A$113:$AW$158,20,FALSE)),"")</f>
        <v/>
      </c>
      <c r="V51" s="184" t="str">
        <f>IFERROR(IF(VLOOKUP(Mon_W2[[#This Row],[Employee Name]],'Base Schedules'!$A$113:$AW$158,21,FALSE)="","",VLOOKUP(Mon_W2[[#This Row],[Employee Name]],'Base Schedules'!$A$113:$AW$158,21,FALSE)),"")</f>
        <v/>
      </c>
      <c r="W51" s="184" t="str">
        <f>IFERROR(IF(VLOOKUP(Mon_W2[[#This Row],[Employee Name]],'Base Schedules'!$A$113:$AW$158,22,FALSE)="","",VLOOKUP(Mon_W2[[#This Row],[Employee Name]],'Base Schedules'!$A$113:$AW$158,22,FALSE)),"")</f>
        <v/>
      </c>
      <c r="X51" s="184" t="str">
        <f>IFERROR(IF(VLOOKUP(Mon_W2[[#This Row],[Employee Name]],'Base Schedules'!$A$113:$AW$158,23,FALSE)="","",VLOOKUP(Mon_W2[[#This Row],[Employee Name]],'Base Schedules'!$A$113:$AW$158,23,FALSE)),"")</f>
        <v/>
      </c>
      <c r="Y51" s="184" t="str">
        <f>IFERROR(IF(VLOOKUP(Mon_W2[[#This Row],[Employee Name]],'Base Schedules'!$A$113:$AW$158,24,FALSE)="","",VLOOKUP(Mon_W2[[#This Row],[Employee Name]],'Base Schedules'!$A$113:$AW$158,24,FALSE)),"")</f>
        <v/>
      </c>
      <c r="Z51" s="184" t="str">
        <f>IFERROR(IF(VLOOKUP(Mon_W2[[#This Row],[Employee Name]],'Base Schedules'!$A$113:$AW$158,25,FALSE)="","",VLOOKUP(Mon_W2[[#This Row],[Employee Name]],'Base Schedules'!$A$113:$AW$158,25,FALSE)),"")</f>
        <v/>
      </c>
      <c r="AA51" s="184" t="str">
        <f>IFERROR(IF(VLOOKUP(Mon_W2[[#This Row],[Employee Name]],'Base Schedules'!$A$113:$AW$158,26,FALSE)="","",VLOOKUP(Mon_W2[[#This Row],[Employee Name]],'Base Schedules'!$A$113:$AW$158,26,FALSE)),"")</f>
        <v/>
      </c>
      <c r="AB51" s="184" t="str">
        <f>IFERROR(IF(VLOOKUP(Mon_W2[[#This Row],[Employee Name]],'Base Schedules'!$A$113:$AW$158,27,FALSE)="","",VLOOKUP(Mon_W2[[#This Row],[Employee Name]],'Base Schedules'!$A$113:$AW$158,27,FALSE)),"")</f>
        <v/>
      </c>
      <c r="AC51" s="184" t="str">
        <f>IFERROR(IF(VLOOKUP(Mon_W2[[#This Row],[Employee Name]],'Base Schedules'!$A$113:$AW$158,28,FALSE)="","",VLOOKUP(Mon_W2[[#This Row],[Employee Name]],'Base Schedules'!$A$113:$AW$158,28,FALSE)),"")</f>
        <v/>
      </c>
      <c r="AD51" s="184" t="str">
        <f>IFERROR(IF(VLOOKUP(Mon_W2[[#This Row],[Employee Name]],'Base Schedules'!$A$113:$AW$158,29,FALSE)="","",VLOOKUP(Mon_W2[[#This Row],[Employee Name]],'Base Schedules'!$A$113:$AW$158,29,FALSE)),"")</f>
        <v/>
      </c>
      <c r="AE51" s="184" t="str">
        <f>IFERROR(IF(VLOOKUP(Mon_W2[[#This Row],[Employee Name]],'Base Schedules'!$A$113:$AW$158,30,FALSE)="","",VLOOKUP(Mon_W2[[#This Row],[Employee Name]],'Base Schedules'!$A$113:$AW$158,30,FALSE)),"")</f>
        <v/>
      </c>
      <c r="AF51" s="184" t="str">
        <f>IFERROR(IF(VLOOKUP(Mon_W2[[#This Row],[Employee Name]],'Base Schedules'!$A$113:$AW$158,31,FALSE)="","",VLOOKUP(Mon_W2[[#This Row],[Employee Name]],'Base Schedules'!$A$113:$AW$158,31,FALSE)),"")</f>
        <v/>
      </c>
      <c r="AG51" s="184" t="str">
        <f>IFERROR(IF(VLOOKUP(Mon_W2[[#This Row],[Employee Name]],'Base Schedules'!$A$113:$AW$158,32,FALSE)="","",VLOOKUP(Mon_W2[[#This Row],[Employee Name]],'Base Schedules'!$A$113:$AW$158,32,FALSE)),"")</f>
        <v/>
      </c>
      <c r="AH51" s="184" t="str">
        <f>IFERROR(IF(VLOOKUP(Mon_W2[[#This Row],[Employee Name]],'Base Schedules'!$A$113:$AW$158,33,FALSE)="","",VLOOKUP(Mon_W2[[#This Row],[Employee Name]],'Base Schedules'!$A$113:$AW$158,33,FALSE)),"")</f>
        <v/>
      </c>
      <c r="AI51" s="184" t="str">
        <f>IFERROR(IF(VLOOKUP(Mon_W2[[#This Row],[Employee Name]],'Base Schedules'!$A$113:$AW$158,34,FALSE)="","",VLOOKUP(Mon_W2[[#This Row],[Employee Name]],'Base Schedules'!$A$113:$AW$158,34,FALSE)),"")</f>
        <v/>
      </c>
      <c r="AJ51" s="184" t="str">
        <f>IFERROR(IF(VLOOKUP(Mon_W2[[#This Row],[Employee Name]],'Base Schedules'!$A$113:$AW$158,35,FALSE)="","",VLOOKUP(Mon_W2[[#This Row],[Employee Name]],'Base Schedules'!$A$113:$AW$158,35,FALSE)),"")</f>
        <v/>
      </c>
      <c r="AK51" s="184" t="str">
        <f>IFERROR(IF(VLOOKUP(Mon_W2[[#This Row],[Employee Name]],'Base Schedules'!$A$113:$AW$158,36,FALSE)="","",VLOOKUP(Mon_W2[[#This Row],[Employee Name]],'Base Schedules'!$A$113:$AW$158,36,FALSE)),"")</f>
        <v/>
      </c>
      <c r="AL51" s="184" t="str">
        <f>IFERROR(IF(VLOOKUP(Mon_W2[[#This Row],[Employee Name]],'Base Schedules'!$A$113:$AW$158,37,FALSE)="","",VLOOKUP(Mon_W2[[#This Row],[Employee Name]],'Base Schedules'!$A$113:$AW$158,37,FALSE)),"")</f>
        <v/>
      </c>
      <c r="AM51" s="184" t="str">
        <f>IFERROR(IF(VLOOKUP(Mon_W2[[#This Row],[Employee Name]],'Base Schedules'!$A$113:$AW$158,38,FALSE)="","",VLOOKUP(Mon_W2[[#This Row],[Employee Name]],'Base Schedules'!$A$113:$AW$158,38,FALSE)),"")</f>
        <v/>
      </c>
      <c r="AN51" s="184" t="str">
        <f>IFERROR(IF(VLOOKUP(Mon_W2[[#This Row],[Employee Name]],'Base Schedules'!$A$113:$AW$158,39,FALSE)="","",VLOOKUP(Mon_W2[[#This Row],[Employee Name]],'Base Schedules'!$A$113:$AW$158,39,FALSE)),"")</f>
        <v/>
      </c>
      <c r="AO51" s="184" t="str">
        <f>IFERROR(IF(VLOOKUP(Mon_W2[[#This Row],[Employee Name]],'Base Schedules'!$A$113:$AW$158,40,FALSE)="","",VLOOKUP(Mon_W2[[#This Row],[Employee Name]],'Base Schedules'!$A$113:$AW$158,40,FALSE)),"")</f>
        <v/>
      </c>
      <c r="AP51" s="184" t="str">
        <f>IFERROR(IF(VLOOKUP(Mon_W2[[#This Row],[Employee Name]],'Base Schedules'!$A$113:$AW$158,41,FALSE)="","",VLOOKUP(Mon_W2[[#This Row],[Employee Name]],'Base Schedules'!$A$113:$AW$158,41,FALSE)),"")</f>
        <v/>
      </c>
      <c r="AQ51" s="184" t="str">
        <f>IFERROR(IF(VLOOKUP(Mon_W2[[#This Row],[Employee Name]],'Base Schedules'!$A$113:$AW$158,42,FALSE)="","",VLOOKUP(Mon_W2[[#This Row],[Employee Name]],'Base Schedules'!$A$113:$AW$158,42,FALSE)),"")</f>
        <v/>
      </c>
      <c r="AR51" s="184" t="str">
        <f>IFERROR(IF(VLOOKUP(Mon_W2[[#This Row],[Employee Name]],'Base Schedules'!$A$113:$AW$158,43,FALSE)="","",VLOOKUP(Mon_W2[[#This Row],[Employee Name]],'Base Schedules'!$A$113:$AW$158,43,FALSE)),"")</f>
        <v/>
      </c>
      <c r="AS51" s="184" t="str">
        <f>IFERROR(IF(VLOOKUP(Mon_W2[[#This Row],[Employee Name]],'Base Schedules'!$A$113:$AW$158,44,FALSE)="","",VLOOKUP(Mon_W2[[#This Row],[Employee Name]],'Base Schedules'!$A$113:$AW$158,44,FALSE)),"")</f>
        <v/>
      </c>
      <c r="AT51" s="184" t="str">
        <f>IFERROR(IF(VLOOKUP(Mon_W2[[#This Row],[Employee Name]],'Base Schedules'!$A$113:$AW$158,45,FALSE)="","",VLOOKUP(Mon_W2[[#This Row],[Employee Name]],'Base Schedules'!$A$113:$AW$158,45,FALSE)),"")</f>
        <v/>
      </c>
      <c r="AU51" s="184" t="str">
        <f>IFERROR(IF(VLOOKUP(Mon_W2[[#This Row],[Employee Name]],'Base Schedules'!$A$113:$AW$158,46,FALSE)="","",VLOOKUP(Mon_W2[[#This Row],[Employee Name]],'Base Schedules'!$A$113:$AW$158,46,FALSE)),"")</f>
        <v/>
      </c>
      <c r="AV51" s="184" t="str">
        <f>IFERROR(IF(VLOOKUP(Mon_W2[[#This Row],[Employee Name]],'Base Schedules'!$A$113:$AW$158,47,FALSE)="","",VLOOKUP(Mon_W2[[#This Row],[Employee Name]],'Base Schedules'!$A$113:$AW$158,47,FALSE)),"")</f>
        <v/>
      </c>
      <c r="AW51" s="184" t="str">
        <f>IFERROR(IF(VLOOKUP(Mon_W2[[#This Row],[Employee Name]],'Base Schedules'!$A$113:$AW$158,48,FALSE)="","",VLOOKUP(Mon_W2[[#This Row],[Employee Name]],'Base Schedules'!$A$113:$AW$158,48,FALSE)),"")</f>
        <v/>
      </c>
      <c r="AX51" s="184" t="str">
        <f>IFERROR(IF(VLOOKUP(Mon_W2[[#This Row],[Employee Name]],'Base Schedules'!$A$113:$AW$158,49,FALSE)="","",VLOOKUP(Mon_W2[[#This Row],[Employee Name]],'Base Schedules'!$A$113:$AW$158,49,FALSE)),"")</f>
        <v/>
      </c>
      <c r="AY51" s="159" t="str">
        <f t="shared" si="4"/>
        <v/>
      </c>
    </row>
    <row r="52" spans="1:52" s="44" customFormat="1" ht="12" hidden="1" customHeight="1" x14ac:dyDescent="0.2">
      <c r="A52" s="39" t="str">
        <f>IF(B52="","",INDEX(TeamList[],MATCH($B52,TeamList[[Employee Name]:[Employee Name]],0),MATCH("Manager",TeamList[#Headers],0)))</f>
        <v/>
      </c>
      <c r="B52" s="201"/>
      <c r="C52" s="257" t="str">
        <f>_xlfn.IFNA(VLOOKUP(Mon_W2[[#This Row],[Employee Name]],'Base Schedules'!A:B,2,FALSE),"")</f>
        <v/>
      </c>
      <c r="D52" s="274" t="str">
        <f>_xlfn.IFNA(VLOOKUP(Mon_W2[[#This Row],[Employee Name]],'Base Schedules'!A:C,3,FALSE),"")</f>
        <v/>
      </c>
      <c r="E52" s="274" t="str">
        <f>_xlfn.IFNA(VLOOKUP(Mon_W2[[#This Row],[Employee Name]],'Base Schedules'!A:D,4,FALSE),"")</f>
        <v/>
      </c>
      <c r="F52" s="142" t="str">
        <f>IF(Mon_W2[[#This Row],[Employee Name]]="","",IF(Mon_W2[[#This Row],[Dept]]="Supervisor",COUNTIFS($J52:$AX52,"*HL*",$J52:$AX52,"&lt;&gt;"&amp;"pHL"),COUNTIFS($J52:$AX52,"*HL*",$J52:$AX52,"&lt;&gt;"&amp;"*pHL*",$J52:$AX52,"&lt;&gt;"&amp;"pB1 HL",$J52:$AX52,"&lt;&gt;"&amp;"pB2 HL")-SUM(COUNTIFS($J52:$AX52,"*HL B1*",$J52:$AX52,"&lt;&gt;"&amp;"pHL B1")*0.5,COUNTIFS($J52:$AX52,"*HL B2*",$J52:$AX52,"&lt;&gt;"&amp;"pHL B2")*0.5,COUNTIFS($J52:$AX52,"*B1 HL*",$J52:$AX52,"&lt;&gt;"&amp;"pB1 HL")*0.5,COUNTIFS($J52:$AX52,"*B2 HL*",$J52:$AX52,"&lt;&gt;"&amp;"pB2 HL")*0.5)))</f>
        <v/>
      </c>
      <c r="G52" s="142" t="str">
        <f t="shared" si="5"/>
        <v/>
      </c>
      <c r="H52" s="142" t="str">
        <f t="shared" si="3"/>
        <v/>
      </c>
      <c r="I52" s="142" t="str">
        <f>IF(Mon_W2[[#This Row],[Employee Name]]="","",IF(Mon_W2[[#This Row],[Dept]]="Supervisor",SUM(COUNTIFS($J52:$AX52,"RTA*",$J52:$AX52,"&lt;&gt;"&amp;"pRTA"),COUNTIFS($J52:$AX52,"*CRTA*",$J52:$AX52,"&lt;&gt;"&amp;"pCRTA")),COUNTIFS($J52:$AX52,"*RNNR*",$J52:$AX52,"&lt;&gt;"&amp;"*pRNNR*",$J52:$AX52,"&lt;&gt;"&amp;"pB1 RNNR",$J52:$AX52,"&lt;&gt;"&amp;"pB2 RNNR")-SUM(COUNTIFS($J52:$AX52,"*RNNR B1*",$J52:$AX52,"&lt;&gt;"&amp;"pRNNR B1")*0.5,COUNTIFS($J52:$AX52,"*RNNR B2*",$J52:$AX52,"&lt;&gt;"&amp;"pRNNR B2")*0.5,COUNTIFS($J52:$AX52,"*B1 RNNR*",$J52:$AX52,"&lt;&gt;"&amp;"pB1 RNNR")*0.5,COUNTIFS($J52:$AX52,"*B2 RNNR*",$J52:$AX52,"&lt;&gt;"&amp;"pB2 RNNR")*0.5)))</f>
        <v/>
      </c>
      <c r="J52" s="184" t="str">
        <f>IFERROR(IF(VLOOKUP(Mon_W2[[#This Row],[Employee Name]],'Base Schedules'!$A$113:$AW$158,9,FALSE)="","",VLOOKUP(Mon_W2[[#This Row],[Employee Name]],'Base Schedules'!$A$113:$AW$158,9,FALSE)),"")</f>
        <v/>
      </c>
      <c r="K52" s="184" t="str">
        <f>IFERROR(IF(VLOOKUP(Mon_W2[[#This Row],[Employee Name]],'Base Schedules'!$A$113:$AW$158,10,FALSE)="","",VLOOKUP(Mon_W2[[#This Row],[Employee Name]],'Base Schedules'!$A$113:$AW$158,10,FALSE)),"")</f>
        <v/>
      </c>
      <c r="L52" s="184" t="str">
        <f>IFERROR(IF(VLOOKUP(Mon_W2[[#This Row],[Employee Name]],'Base Schedules'!$A$113:$AW$158,11,FALSE)="","",VLOOKUP(Mon_W2[[#This Row],[Employee Name]],'Base Schedules'!$A$113:$AW$158,11,FALSE)),"")</f>
        <v/>
      </c>
      <c r="M52" s="184" t="str">
        <f>IFERROR(IF(VLOOKUP(Mon_W2[[#This Row],[Employee Name]],'Base Schedules'!$A$113:$AW$158,12,FALSE)="","",VLOOKUP(Mon_W2[[#This Row],[Employee Name]],'Base Schedules'!$A$113:$AW$158,12,FALSE)),"")</f>
        <v/>
      </c>
      <c r="N52" s="184" t="str">
        <f>IFERROR(IF(VLOOKUP(Mon_W2[[#This Row],[Employee Name]],'Base Schedules'!$A$113:$AW$158,13,FALSE)="","",VLOOKUP(Mon_W2[[#This Row],[Employee Name]],'Base Schedules'!$A$113:$AW$158,13,FALSE)),"")</f>
        <v/>
      </c>
      <c r="O52" s="184" t="str">
        <f>IFERROR(IF(VLOOKUP(Mon_W2[[#This Row],[Employee Name]],'Base Schedules'!$A$113:$AW$158,14,FALSE)="","",VLOOKUP(Mon_W2[[#This Row],[Employee Name]],'Base Schedules'!$A$113:$AW$158,14,FALSE)),"")</f>
        <v/>
      </c>
      <c r="P52" s="184" t="str">
        <f>IFERROR(IF(VLOOKUP(Mon_W2[[#This Row],[Employee Name]],'Base Schedules'!$A$113:$AW$158,15,FALSE)="","",VLOOKUP(Mon_W2[[#This Row],[Employee Name]],'Base Schedules'!$A$113:$AW$158,15,FALSE)),"")</f>
        <v/>
      </c>
      <c r="Q52" s="184" t="str">
        <f>IFERROR(IF(VLOOKUP(Mon_W2[[#This Row],[Employee Name]],'Base Schedules'!$A$113:$AW$158,16,FALSE)="","",VLOOKUP(Mon_W2[[#This Row],[Employee Name]],'Base Schedules'!$A$113:$AW$158,16,FALSE)),"")</f>
        <v/>
      </c>
      <c r="R52" s="184" t="str">
        <f>IFERROR(IF(VLOOKUP(Mon_W2[[#This Row],[Employee Name]],'Base Schedules'!$A$113:$AW$158,17,FALSE)="","",VLOOKUP(Mon_W2[[#This Row],[Employee Name]],'Base Schedules'!$A$113:$AW$158,17,FALSE)),"")</f>
        <v/>
      </c>
      <c r="S52" s="184" t="str">
        <f>IFERROR(IF(VLOOKUP(Mon_W2[[#This Row],[Employee Name]],'Base Schedules'!$A$113:$AW$158,18,FALSE)="","",VLOOKUP(Mon_W2[[#This Row],[Employee Name]],'Base Schedules'!$A$113:$AW$158,18,FALSE)),"")</f>
        <v/>
      </c>
      <c r="T52" s="184" t="str">
        <f>IFERROR(IF(VLOOKUP(Mon_W2[[#This Row],[Employee Name]],'Base Schedules'!$A$113:$AW$158,19,FALSE)="","",VLOOKUP(Mon_W2[[#This Row],[Employee Name]],'Base Schedules'!$A$113:$AW$158,19,FALSE)),"")</f>
        <v/>
      </c>
      <c r="U52" s="184" t="str">
        <f>IFERROR(IF(VLOOKUP(Mon_W2[[#This Row],[Employee Name]],'Base Schedules'!$A$113:$AW$158,20,FALSE)="","",VLOOKUP(Mon_W2[[#This Row],[Employee Name]],'Base Schedules'!$A$113:$AW$158,20,FALSE)),"")</f>
        <v/>
      </c>
      <c r="V52" s="184" t="str">
        <f>IFERROR(IF(VLOOKUP(Mon_W2[[#This Row],[Employee Name]],'Base Schedules'!$A$113:$AW$158,21,FALSE)="","",VLOOKUP(Mon_W2[[#This Row],[Employee Name]],'Base Schedules'!$A$113:$AW$158,21,FALSE)),"")</f>
        <v/>
      </c>
      <c r="W52" s="184" t="str">
        <f>IFERROR(IF(VLOOKUP(Mon_W2[[#This Row],[Employee Name]],'Base Schedules'!$A$113:$AW$158,22,FALSE)="","",VLOOKUP(Mon_W2[[#This Row],[Employee Name]],'Base Schedules'!$A$113:$AW$158,22,FALSE)),"")</f>
        <v/>
      </c>
      <c r="X52" s="184" t="str">
        <f>IFERROR(IF(VLOOKUP(Mon_W2[[#This Row],[Employee Name]],'Base Schedules'!$A$113:$AW$158,23,FALSE)="","",VLOOKUP(Mon_W2[[#This Row],[Employee Name]],'Base Schedules'!$A$113:$AW$158,23,FALSE)),"")</f>
        <v/>
      </c>
      <c r="Y52" s="184" t="str">
        <f>IFERROR(IF(VLOOKUP(Mon_W2[[#This Row],[Employee Name]],'Base Schedules'!$A$113:$AW$158,24,FALSE)="","",VLOOKUP(Mon_W2[[#This Row],[Employee Name]],'Base Schedules'!$A$113:$AW$158,24,FALSE)),"")</f>
        <v/>
      </c>
      <c r="Z52" s="184" t="str">
        <f>IFERROR(IF(VLOOKUP(Mon_W2[[#This Row],[Employee Name]],'Base Schedules'!$A$113:$AW$158,25,FALSE)="","",VLOOKUP(Mon_W2[[#This Row],[Employee Name]],'Base Schedules'!$A$113:$AW$158,25,FALSE)),"")</f>
        <v/>
      </c>
      <c r="AA52" s="184" t="str">
        <f>IFERROR(IF(VLOOKUP(Mon_W2[[#This Row],[Employee Name]],'Base Schedules'!$A$113:$AW$158,26,FALSE)="","",VLOOKUP(Mon_W2[[#This Row],[Employee Name]],'Base Schedules'!$A$113:$AW$158,26,FALSE)),"")</f>
        <v/>
      </c>
      <c r="AB52" s="184" t="str">
        <f>IFERROR(IF(VLOOKUP(Mon_W2[[#This Row],[Employee Name]],'Base Schedules'!$A$113:$AW$158,27,FALSE)="","",VLOOKUP(Mon_W2[[#This Row],[Employee Name]],'Base Schedules'!$A$113:$AW$158,27,FALSE)),"")</f>
        <v/>
      </c>
      <c r="AC52" s="184" t="str">
        <f>IFERROR(IF(VLOOKUP(Mon_W2[[#This Row],[Employee Name]],'Base Schedules'!$A$113:$AW$158,28,FALSE)="","",VLOOKUP(Mon_W2[[#This Row],[Employee Name]],'Base Schedules'!$A$113:$AW$158,28,FALSE)),"")</f>
        <v/>
      </c>
      <c r="AD52" s="184" t="str">
        <f>IFERROR(IF(VLOOKUP(Mon_W2[[#This Row],[Employee Name]],'Base Schedules'!$A$113:$AW$158,29,FALSE)="","",VLOOKUP(Mon_W2[[#This Row],[Employee Name]],'Base Schedules'!$A$113:$AW$158,29,FALSE)),"")</f>
        <v/>
      </c>
      <c r="AE52" s="184" t="str">
        <f>IFERROR(IF(VLOOKUP(Mon_W2[[#This Row],[Employee Name]],'Base Schedules'!$A$113:$AW$158,30,FALSE)="","",VLOOKUP(Mon_W2[[#This Row],[Employee Name]],'Base Schedules'!$A$113:$AW$158,30,FALSE)),"")</f>
        <v/>
      </c>
      <c r="AF52" s="184" t="str">
        <f>IFERROR(IF(VLOOKUP(Mon_W2[[#This Row],[Employee Name]],'Base Schedules'!$A$113:$AW$158,31,FALSE)="","",VLOOKUP(Mon_W2[[#This Row],[Employee Name]],'Base Schedules'!$A$113:$AW$158,31,FALSE)),"")</f>
        <v/>
      </c>
      <c r="AG52" s="184" t="str">
        <f>IFERROR(IF(VLOOKUP(Mon_W2[[#This Row],[Employee Name]],'Base Schedules'!$A$113:$AW$158,32,FALSE)="","",VLOOKUP(Mon_W2[[#This Row],[Employee Name]],'Base Schedules'!$A$113:$AW$158,32,FALSE)),"")</f>
        <v/>
      </c>
      <c r="AH52" s="184" t="str">
        <f>IFERROR(IF(VLOOKUP(Mon_W2[[#This Row],[Employee Name]],'Base Schedules'!$A$113:$AW$158,33,FALSE)="","",VLOOKUP(Mon_W2[[#This Row],[Employee Name]],'Base Schedules'!$A$113:$AW$158,33,FALSE)),"")</f>
        <v/>
      </c>
      <c r="AI52" s="184" t="str">
        <f>IFERROR(IF(VLOOKUP(Mon_W2[[#This Row],[Employee Name]],'Base Schedules'!$A$113:$AW$158,34,FALSE)="","",VLOOKUP(Mon_W2[[#This Row],[Employee Name]],'Base Schedules'!$A$113:$AW$158,34,FALSE)),"")</f>
        <v/>
      </c>
      <c r="AJ52" s="184" t="str">
        <f>IFERROR(IF(VLOOKUP(Mon_W2[[#This Row],[Employee Name]],'Base Schedules'!$A$113:$AW$158,35,FALSE)="","",VLOOKUP(Mon_W2[[#This Row],[Employee Name]],'Base Schedules'!$A$113:$AW$158,35,FALSE)),"")</f>
        <v/>
      </c>
      <c r="AK52" s="184" t="str">
        <f>IFERROR(IF(VLOOKUP(Mon_W2[[#This Row],[Employee Name]],'Base Schedules'!$A$113:$AW$158,36,FALSE)="","",VLOOKUP(Mon_W2[[#This Row],[Employee Name]],'Base Schedules'!$A$113:$AW$158,36,FALSE)),"")</f>
        <v/>
      </c>
      <c r="AL52" s="184" t="str">
        <f>IFERROR(IF(VLOOKUP(Mon_W2[[#This Row],[Employee Name]],'Base Schedules'!$A$113:$AW$158,37,FALSE)="","",VLOOKUP(Mon_W2[[#This Row],[Employee Name]],'Base Schedules'!$A$113:$AW$158,37,FALSE)),"")</f>
        <v/>
      </c>
      <c r="AM52" s="184" t="str">
        <f>IFERROR(IF(VLOOKUP(Mon_W2[[#This Row],[Employee Name]],'Base Schedules'!$A$113:$AW$158,38,FALSE)="","",VLOOKUP(Mon_W2[[#This Row],[Employee Name]],'Base Schedules'!$A$113:$AW$158,38,FALSE)),"")</f>
        <v/>
      </c>
      <c r="AN52" s="184" t="str">
        <f>IFERROR(IF(VLOOKUP(Mon_W2[[#This Row],[Employee Name]],'Base Schedules'!$A$113:$AW$158,39,FALSE)="","",VLOOKUP(Mon_W2[[#This Row],[Employee Name]],'Base Schedules'!$A$113:$AW$158,39,FALSE)),"")</f>
        <v/>
      </c>
      <c r="AO52" s="184" t="str">
        <f>IFERROR(IF(VLOOKUP(Mon_W2[[#This Row],[Employee Name]],'Base Schedules'!$A$113:$AW$158,40,FALSE)="","",VLOOKUP(Mon_W2[[#This Row],[Employee Name]],'Base Schedules'!$A$113:$AW$158,40,FALSE)),"")</f>
        <v/>
      </c>
      <c r="AP52" s="184" t="str">
        <f>IFERROR(IF(VLOOKUP(Mon_W2[[#This Row],[Employee Name]],'Base Schedules'!$A$113:$AW$158,41,FALSE)="","",VLOOKUP(Mon_W2[[#This Row],[Employee Name]],'Base Schedules'!$A$113:$AW$158,41,FALSE)),"")</f>
        <v/>
      </c>
      <c r="AQ52" s="184" t="str">
        <f>IFERROR(IF(VLOOKUP(Mon_W2[[#This Row],[Employee Name]],'Base Schedules'!$A$113:$AW$158,42,FALSE)="","",VLOOKUP(Mon_W2[[#This Row],[Employee Name]],'Base Schedules'!$A$113:$AW$158,42,FALSE)),"")</f>
        <v/>
      </c>
      <c r="AR52" s="184" t="str">
        <f>IFERROR(IF(VLOOKUP(Mon_W2[[#This Row],[Employee Name]],'Base Schedules'!$A$113:$AW$158,43,FALSE)="","",VLOOKUP(Mon_W2[[#This Row],[Employee Name]],'Base Schedules'!$A$113:$AW$158,43,FALSE)),"")</f>
        <v/>
      </c>
      <c r="AS52" s="184" t="str">
        <f>IFERROR(IF(VLOOKUP(Mon_W2[[#This Row],[Employee Name]],'Base Schedules'!$A$113:$AW$158,44,FALSE)="","",VLOOKUP(Mon_W2[[#This Row],[Employee Name]],'Base Schedules'!$A$113:$AW$158,44,FALSE)),"")</f>
        <v/>
      </c>
      <c r="AT52" s="184" t="str">
        <f>IFERROR(IF(VLOOKUP(Mon_W2[[#This Row],[Employee Name]],'Base Schedules'!$A$113:$AW$158,45,FALSE)="","",VLOOKUP(Mon_W2[[#This Row],[Employee Name]],'Base Schedules'!$A$113:$AW$158,45,FALSE)),"")</f>
        <v/>
      </c>
      <c r="AU52" s="184" t="str">
        <f>IFERROR(IF(VLOOKUP(Mon_W2[[#This Row],[Employee Name]],'Base Schedules'!$A$113:$AW$158,46,FALSE)="","",VLOOKUP(Mon_W2[[#This Row],[Employee Name]],'Base Schedules'!$A$113:$AW$158,46,FALSE)),"")</f>
        <v/>
      </c>
      <c r="AV52" s="184" t="str">
        <f>IFERROR(IF(VLOOKUP(Mon_W2[[#This Row],[Employee Name]],'Base Schedules'!$A$113:$AW$158,47,FALSE)="","",VLOOKUP(Mon_W2[[#This Row],[Employee Name]],'Base Schedules'!$A$113:$AW$158,47,FALSE)),"")</f>
        <v/>
      </c>
      <c r="AW52" s="184" t="str">
        <f>IFERROR(IF(VLOOKUP(Mon_W2[[#This Row],[Employee Name]],'Base Schedules'!$A$113:$AW$158,48,FALSE)="","",VLOOKUP(Mon_W2[[#This Row],[Employee Name]],'Base Schedules'!$A$113:$AW$158,48,FALSE)),"")</f>
        <v/>
      </c>
      <c r="AX52" s="184" t="str">
        <f>IFERROR(IF(VLOOKUP(Mon_W2[[#This Row],[Employee Name]],'Base Schedules'!$A$113:$AW$158,49,FALSE)="","",VLOOKUP(Mon_W2[[#This Row],[Employee Name]],'Base Schedules'!$A$113:$AW$158,49,FALSE)),"")</f>
        <v/>
      </c>
      <c r="AY52" s="159" t="str">
        <f t="shared" si="4"/>
        <v/>
      </c>
    </row>
    <row r="53" spans="1:52" s="44" customFormat="1" ht="12" hidden="1" customHeight="1" x14ac:dyDescent="0.2">
      <c r="A53" s="39" t="str">
        <f>IF(B53="","",INDEX(TeamList[],MATCH($B53,TeamList[[Employee Name]:[Employee Name]],0),MATCH("Manager",TeamList[#Headers],0)))</f>
        <v/>
      </c>
      <c r="B53" s="201"/>
      <c r="C53" s="257" t="str">
        <f>_xlfn.IFNA(VLOOKUP(Mon_W2[[#This Row],[Employee Name]],'Base Schedules'!A:B,2,FALSE),"")</f>
        <v/>
      </c>
      <c r="D53" s="274" t="str">
        <f>_xlfn.IFNA(VLOOKUP(Mon_W2[[#This Row],[Employee Name]],'Base Schedules'!A:C,3,FALSE),"")</f>
        <v/>
      </c>
      <c r="E53" s="274" t="str">
        <f>_xlfn.IFNA(VLOOKUP(Mon_W2[[#This Row],[Employee Name]],'Base Schedules'!A:D,4,FALSE),"")</f>
        <v/>
      </c>
      <c r="F53" s="142" t="str">
        <f>IF(Mon_W2[[#This Row],[Employee Name]]="","",IF(Mon_W2[[#This Row],[Dept]]="Supervisor",COUNTIFS($J53:$AX53,"*HL*",$J53:$AX53,"&lt;&gt;"&amp;"pHL"),COUNTIFS($J53:$AX53,"*HL*",$J53:$AX53,"&lt;&gt;"&amp;"*pHL*",$J53:$AX53,"&lt;&gt;"&amp;"pB1 HL",$J53:$AX53,"&lt;&gt;"&amp;"pB2 HL")-SUM(COUNTIFS($J53:$AX53,"*HL B1*",$J53:$AX53,"&lt;&gt;"&amp;"pHL B1")*0.5,COUNTIFS($J53:$AX53,"*HL B2*",$J53:$AX53,"&lt;&gt;"&amp;"pHL B2")*0.5,COUNTIFS($J53:$AX53,"*B1 HL*",$J53:$AX53,"&lt;&gt;"&amp;"pB1 HL")*0.5,COUNTIFS($J53:$AX53,"*B2 HL*",$J53:$AX53,"&lt;&gt;"&amp;"pB2 HL")*0.5)))</f>
        <v/>
      </c>
      <c r="G53" s="142" t="str">
        <f t="shared" si="5"/>
        <v/>
      </c>
      <c r="H53" s="142" t="str">
        <f t="shared" si="3"/>
        <v/>
      </c>
      <c r="I53" s="142" t="str">
        <f>IF(Mon_W2[[#This Row],[Employee Name]]="","",IF(Mon_W2[[#This Row],[Dept]]="Supervisor",SUM(COUNTIFS($J53:$AX53,"RTA*",$J53:$AX53,"&lt;&gt;"&amp;"pRTA"),COUNTIFS($J53:$AX53,"*CRTA*",$J53:$AX53,"&lt;&gt;"&amp;"pCRTA")),COUNTIFS($J53:$AX53,"*RNNR*",$J53:$AX53,"&lt;&gt;"&amp;"*pRNNR*",$J53:$AX53,"&lt;&gt;"&amp;"pB1 RNNR",$J53:$AX53,"&lt;&gt;"&amp;"pB2 RNNR")-SUM(COUNTIFS($J53:$AX53,"*RNNR B1*",$J53:$AX53,"&lt;&gt;"&amp;"pRNNR B1")*0.5,COUNTIFS($J53:$AX53,"*RNNR B2*",$J53:$AX53,"&lt;&gt;"&amp;"pRNNR B2")*0.5,COUNTIFS($J53:$AX53,"*B1 RNNR*",$J53:$AX53,"&lt;&gt;"&amp;"pB1 RNNR")*0.5,COUNTIFS($J53:$AX53,"*B2 RNNR*",$J53:$AX53,"&lt;&gt;"&amp;"pB2 RNNR")*0.5)))</f>
        <v/>
      </c>
      <c r="J53" s="184" t="str">
        <f>IFERROR(IF(VLOOKUP(Mon_W2[[#This Row],[Employee Name]],'Base Schedules'!$A$113:$AW$158,9,FALSE)="","",VLOOKUP(Mon_W2[[#This Row],[Employee Name]],'Base Schedules'!$A$113:$AW$158,9,FALSE)),"")</f>
        <v/>
      </c>
      <c r="K53" s="184" t="str">
        <f>IFERROR(IF(VLOOKUP(Mon_W2[[#This Row],[Employee Name]],'Base Schedules'!$A$113:$AW$158,10,FALSE)="","",VLOOKUP(Mon_W2[[#This Row],[Employee Name]],'Base Schedules'!$A$113:$AW$158,10,FALSE)),"")</f>
        <v/>
      </c>
      <c r="L53" s="184" t="str">
        <f>IFERROR(IF(VLOOKUP(Mon_W2[[#This Row],[Employee Name]],'Base Schedules'!$A$113:$AW$158,11,FALSE)="","",VLOOKUP(Mon_W2[[#This Row],[Employee Name]],'Base Schedules'!$A$113:$AW$158,11,FALSE)),"")</f>
        <v/>
      </c>
      <c r="M53" s="184" t="str">
        <f>IFERROR(IF(VLOOKUP(Mon_W2[[#This Row],[Employee Name]],'Base Schedules'!$A$113:$AW$158,12,FALSE)="","",VLOOKUP(Mon_W2[[#This Row],[Employee Name]],'Base Schedules'!$A$113:$AW$158,12,FALSE)),"")</f>
        <v/>
      </c>
      <c r="N53" s="184" t="str">
        <f>IFERROR(IF(VLOOKUP(Mon_W2[[#This Row],[Employee Name]],'Base Schedules'!$A$113:$AW$158,13,FALSE)="","",VLOOKUP(Mon_W2[[#This Row],[Employee Name]],'Base Schedules'!$A$113:$AW$158,13,FALSE)),"")</f>
        <v/>
      </c>
      <c r="O53" s="184" t="str">
        <f>IFERROR(IF(VLOOKUP(Mon_W2[[#This Row],[Employee Name]],'Base Schedules'!$A$113:$AW$158,14,FALSE)="","",VLOOKUP(Mon_W2[[#This Row],[Employee Name]],'Base Schedules'!$A$113:$AW$158,14,FALSE)),"")</f>
        <v/>
      </c>
      <c r="P53" s="184" t="str">
        <f>IFERROR(IF(VLOOKUP(Mon_W2[[#This Row],[Employee Name]],'Base Schedules'!$A$113:$AW$158,15,FALSE)="","",VLOOKUP(Mon_W2[[#This Row],[Employee Name]],'Base Schedules'!$A$113:$AW$158,15,FALSE)),"")</f>
        <v/>
      </c>
      <c r="Q53" s="184" t="str">
        <f>IFERROR(IF(VLOOKUP(Mon_W2[[#This Row],[Employee Name]],'Base Schedules'!$A$113:$AW$158,16,FALSE)="","",VLOOKUP(Mon_W2[[#This Row],[Employee Name]],'Base Schedules'!$A$113:$AW$158,16,FALSE)),"")</f>
        <v/>
      </c>
      <c r="R53" s="184" t="str">
        <f>IFERROR(IF(VLOOKUP(Mon_W2[[#This Row],[Employee Name]],'Base Schedules'!$A$113:$AW$158,17,FALSE)="","",VLOOKUP(Mon_W2[[#This Row],[Employee Name]],'Base Schedules'!$A$113:$AW$158,17,FALSE)),"")</f>
        <v/>
      </c>
      <c r="S53" s="184" t="str">
        <f>IFERROR(IF(VLOOKUP(Mon_W2[[#This Row],[Employee Name]],'Base Schedules'!$A$113:$AW$158,18,FALSE)="","",VLOOKUP(Mon_W2[[#This Row],[Employee Name]],'Base Schedules'!$A$113:$AW$158,18,FALSE)),"")</f>
        <v/>
      </c>
      <c r="T53" s="184" t="str">
        <f>IFERROR(IF(VLOOKUP(Mon_W2[[#This Row],[Employee Name]],'Base Schedules'!$A$113:$AW$158,19,FALSE)="","",VLOOKUP(Mon_W2[[#This Row],[Employee Name]],'Base Schedules'!$A$113:$AW$158,19,FALSE)),"")</f>
        <v/>
      </c>
      <c r="U53" s="184" t="str">
        <f>IFERROR(IF(VLOOKUP(Mon_W2[[#This Row],[Employee Name]],'Base Schedules'!$A$113:$AW$158,20,FALSE)="","",VLOOKUP(Mon_W2[[#This Row],[Employee Name]],'Base Schedules'!$A$113:$AW$158,20,FALSE)),"")</f>
        <v/>
      </c>
      <c r="V53" s="184" t="str">
        <f>IFERROR(IF(VLOOKUP(Mon_W2[[#This Row],[Employee Name]],'Base Schedules'!$A$113:$AW$158,21,FALSE)="","",VLOOKUP(Mon_W2[[#This Row],[Employee Name]],'Base Schedules'!$A$113:$AW$158,21,FALSE)),"")</f>
        <v/>
      </c>
      <c r="W53" s="184" t="str">
        <f>IFERROR(IF(VLOOKUP(Mon_W2[[#This Row],[Employee Name]],'Base Schedules'!$A$113:$AW$158,22,FALSE)="","",VLOOKUP(Mon_W2[[#This Row],[Employee Name]],'Base Schedules'!$A$113:$AW$158,22,FALSE)),"")</f>
        <v/>
      </c>
      <c r="X53" s="184" t="str">
        <f>IFERROR(IF(VLOOKUP(Mon_W2[[#This Row],[Employee Name]],'Base Schedules'!$A$113:$AW$158,23,FALSE)="","",VLOOKUP(Mon_W2[[#This Row],[Employee Name]],'Base Schedules'!$A$113:$AW$158,23,FALSE)),"")</f>
        <v/>
      </c>
      <c r="Y53" s="184" t="str">
        <f>IFERROR(IF(VLOOKUP(Mon_W2[[#This Row],[Employee Name]],'Base Schedules'!$A$113:$AW$158,24,FALSE)="","",VLOOKUP(Mon_W2[[#This Row],[Employee Name]],'Base Schedules'!$A$113:$AW$158,24,FALSE)),"")</f>
        <v/>
      </c>
      <c r="Z53" s="184" t="str">
        <f>IFERROR(IF(VLOOKUP(Mon_W2[[#This Row],[Employee Name]],'Base Schedules'!$A$113:$AW$158,25,FALSE)="","",VLOOKUP(Mon_W2[[#This Row],[Employee Name]],'Base Schedules'!$A$113:$AW$158,25,FALSE)),"")</f>
        <v/>
      </c>
      <c r="AA53" s="184" t="str">
        <f>IFERROR(IF(VLOOKUP(Mon_W2[[#This Row],[Employee Name]],'Base Schedules'!$A$113:$AW$158,26,FALSE)="","",VLOOKUP(Mon_W2[[#This Row],[Employee Name]],'Base Schedules'!$A$113:$AW$158,26,FALSE)),"")</f>
        <v/>
      </c>
      <c r="AB53" s="184" t="str">
        <f>IFERROR(IF(VLOOKUP(Mon_W2[[#This Row],[Employee Name]],'Base Schedules'!$A$113:$AW$158,27,FALSE)="","",VLOOKUP(Mon_W2[[#This Row],[Employee Name]],'Base Schedules'!$A$113:$AW$158,27,FALSE)),"")</f>
        <v/>
      </c>
      <c r="AC53" s="184" t="str">
        <f>IFERROR(IF(VLOOKUP(Mon_W2[[#This Row],[Employee Name]],'Base Schedules'!$A$113:$AW$158,28,FALSE)="","",VLOOKUP(Mon_W2[[#This Row],[Employee Name]],'Base Schedules'!$A$113:$AW$158,28,FALSE)),"")</f>
        <v/>
      </c>
      <c r="AD53" s="184" t="str">
        <f>IFERROR(IF(VLOOKUP(Mon_W2[[#This Row],[Employee Name]],'Base Schedules'!$A$113:$AW$158,29,FALSE)="","",VLOOKUP(Mon_W2[[#This Row],[Employee Name]],'Base Schedules'!$A$113:$AW$158,29,FALSE)),"")</f>
        <v/>
      </c>
      <c r="AE53" s="184" t="str">
        <f>IFERROR(IF(VLOOKUP(Mon_W2[[#This Row],[Employee Name]],'Base Schedules'!$A$113:$AW$158,30,FALSE)="","",VLOOKUP(Mon_W2[[#This Row],[Employee Name]],'Base Schedules'!$A$113:$AW$158,30,FALSE)),"")</f>
        <v/>
      </c>
      <c r="AF53" s="184" t="str">
        <f>IFERROR(IF(VLOOKUP(Mon_W2[[#This Row],[Employee Name]],'Base Schedules'!$A$113:$AW$158,31,FALSE)="","",VLOOKUP(Mon_W2[[#This Row],[Employee Name]],'Base Schedules'!$A$113:$AW$158,31,FALSE)),"")</f>
        <v/>
      </c>
      <c r="AG53" s="184" t="str">
        <f>IFERROR(IF(VLOOKUP(Mon_W2[[#This Row],[Employee Name]],'Base Schedules'!$A$113:$AW$158,32,FALSE)="","",VLOOKUP(Mon_W2[[#This Row],[Employee Name]],'Base Schedules'!$A$113:$AW$158,32,FALSE)),"")</f>
        <v/>
      </c>
      <c r="AH53" s="184" t="str">
        <f>IFERROR(IF(VLOOKUP(Mon_W2[[#This Row],[Employee Name]],'Base Schedules'!$A$113:$AW$158,33,FALSE)="","",VLOOKUP(Mon_W2[[#This Row],[Employee Name]],'Base Schedules'!$A$113:$AW$158,33,FALSE)),"")</f>
        <v/>
      </c>
      <c r="AI53" s="184" t="str">
        <f>IFERROR(IF(VLOOKUP(Mon_W2[[#This Row],[Employee Name]],'Base Schedules'!$A$113:$AW$158,34,FALSE)="","",VLOOKUP(Mon_W2[[#This Row],[Employee Name]],'Base Schedules'!$A$113:$AW$158,34,FALSE)),"")</f>
        <v/>
      </c>
      <c r="AJ53" s="184" t="str">
        <f>IFERROR(IF(VLOOKUP(Mon_W2[[#This Row],[Employee Name]],'Base Schedules'!$A$113:$AW$158,35,FALSE)="","",VLOOKUP(Mon_W2[[#This Row],[Employee Name]],'Base Schedules'!$A$113:$AW$158,35,FALSE)),"")</f>
        <v/>
      </c>
      <c r="AK53" s="184" t="str">
        <f>IFERROR(IF(VLOOKUP(Mon_W2[[#This Row],[Employee Name]],'Base Schedules'!$A$113:$AW$158,36,FALSE)="","",VLOOKUP(Mon_W2[[#This Row],[Employee Name]],'Base Schedules'!$A$113:$AW$158,36,FALSE)),"")</f>
        <v/>
      </c>
      <c r="AL53" s="184" t="str">
        <f>IFERROR(IF(VLOOKUP(Mon_W2[[#This Row],[Employee Name]],'Base Schedules'!$A$113:$AW$158,37,FALSE)="","",VLOOKUP(Mon_W2[[#This Row],[Employee Name]],'Base Schedules'!$A$113:$AW$158,37,FALSE)),"")</f>
        <v/>
      </c>
      <c r="AM53" s="184" t="str">
        <f>IFERROR(IF(VLOOKUP(Mon_W2[[#This Row],[Employee Name]],'Base Schedules'!$A$113:$AW$158,38,FALSE)="","",VLOOKUP(Mon_W2[[#This Row],[Employee Name]],'Base Schedules'!$A$113:$AW$158,38,FALSE)),"")</f>
        <v/>
      </c>
      <c r="AN53" s="184" t="str">
        <f>IFERROR(IF(VLOOKUP(Mon_W2[[#This Row],[Employee Name]],'Base Schedules'!$A$113:$AW$158,39,FALSE)="","",VLOOKUP(Mon_W2[[#This Row],[Employee Name]],'Base Schedules'!$A$113:$AW$158,39,FALSE)),"")</f>
        <v/>
      </c>
      <c r="AO53" s="184" t="str">
        <f>IFERROR(IF(VLOOKUP(Mon_W2[[#This Row],[Employee Name]],'Base Schedules'!$A$113:$AW$158,40,FALSE)="","",VLOOKUP(Mon_W2[[#This Row],[Employee Name]],'Base Schedules'!$A$113:$AW$158,40,FALSE)),"")</f>
        <v/>
      </c>
      <c r="AP53" s="184" t="str">
        <f>IFERROR(IF(VLOOKUP(Mon_W2[[#This Row],[Employee Name]],'Base Schedules'!$A$113:$AW$158,41,FALSE)="","",VLOOKUP(Mon_W2[[#This Row],[Employee Name]],'Base Schedules'!$A$113:$AW$158,41,FALSE)),"")</f>
        <v/>
      </c>
      <c r="AQ53" s="184" t="str">
        <f>IFERROR(IF(VLOOKUP(Mon_W2[[#This Row],[Employee Name]],'Base Schedules'!$A$113:$AW$158,42,FALSE)="","",VLOOKUP(Mon_W2[[#This Row],[Employee Name]],'Base Schedules'!$A$113:$AW$158,42,FALSE)),"")</f>
        <v/>
      </c>
      <c r="AR53" s="184" t="str">
        <f>IFERROR(IF(VLOOKUP(Mon_W2[[#This Row],[Employee Name]],'Base Schedules'!$A$113:$AW$158,43,FALSE)="","",VLOOKUP(Mon_W2[[#This Row],[Employee Name]],'Base Schedules'!$A$113:$AW$158,43,FALSE)),"")</f>
        <v/>
      </c>
      <c r="AS53" s="184" t="str">
        <f>IFERROR(IF(VLOOKUP(Mon_W2[[#This Row],[Employee Name]],'Base Schedules'!$A$113:$AW$158,44,FALSE)="","",VLOOKUP(Mon_W2[[#This Row],[Employee Name]],'Base Schedules'!$A$113:$AW$158,44,FALSE)),"")</f>
        <v/>
      </c>
      <c r="AT53" s="184" t="str">
        <f>IFERROR(IF(VLOOKUP(Mon_W2[[#This Row],[Employee Name]],'Base Schedules'!$A$113:$AW$158,45,FALSE)="","",VLOOKUP(Mon_W2[[#This Row],[Employee Name]],'Base Schedules'!$A$113:$AW$158,45,FALSE)),"")</f>
        <v/>
      </c>
      <c r="AU53" s="184" t="str">
        <f>IFERROR(IF(VLOOKUP(Mon_W2[[#This Row],[Employee Name]],'Base Schedules'!$A$113:$AW$158,46,FALSE)="","",VLOOKUP(Mon_W2[[#This Row],[Employee Name]],'Base Schedules'!$A$113:$AW$158,46,FALSE)),"")</f>
        <v/>
      </c>
      <c r="AV53" s="184" t="str">
        <f>IFERROR(IF(VLOOKUP(Mon_W2[[#This Row],[Employee Name]],'Base Schedules'!$A$113:$AW$158,47,FALSE)="","",VLOOKUP(Mon_W2[[#This Row],[Employee Name]],'Base Schedules'!$A$113:$AW$158,47,FALSE)),"")</f>
        <v/>
      </c>
      <c r="AW53" s="184" t="str">
        <f>IFERROR(IF(VLOOKUP(Mon_W2[[#This Row],[Employee Name]],'Base Schedules'!$A$113:$AW$158,48,FALSE)="","",VLOOKUP(Mon_W2[[#This Row],[Employee Name]],'Base Schedules'!$A$113:$AW$158,48,FALSE)),"")</f>
        <v/>
      </c>
      <c r="AX53" s="184" t="str">
        <f>IFERROR(IF(VLOOKUP(Mon_W2[[#This Row],[Employee Name]],'Base Schedules'!$A$113:$AW$158,49,FALSE)="","",VLOOKUP(Mon_W2[[#This Row],[Employee Name]],'Base Schedules'!$A$113:$AW$158,49,FALSE)),"")</f>
        <v/>
      </c>
      <c r="AY53" s="159" t="str">
        <f t="shared" si="4"/>
        <v/>
      </c>
    </row>
    <row r="54" spans="1:52" s="44" customFormat="1" ht="12" hidden="1" customHeight="1" x14ac:dyDescent="0.2">
      <c r="A54" s="39" t="str">
        <f>IF(B54="","",INDEX(TeamList[],MATCH($B54,TeamList[[Employee Name]:[Employee Name]],0),MATCH("Manager",TeamList[#Headers],0)))</f>
        <v/>
      </c>
      <c r="B54" s="201"/>
      <c r="C54" s="257" t="str">
        <f>_xlfn.IFNA(VLOOKUP(Mon_W2[[#This Row],[Employee Name]],'Base Schedules'!A:B,2,FALSE),"")</f>
        <v/>
      </c>
      <c r="D54" s="274" t="str">
        <f>_xlfn.IFNA(VLOOKUP(Mon_W2[[#This Row],[Employee Name]],'Base Schedules'!A:C,3,FALSE),"")</f>
        <v/>
      </c>
      <c r="E54" s="274" t="str">
        <f>_xlfn.IFNA(VLOOKUP(Mon_W2[[#This Row],[Employee Name]],'Base Schedules'!A:D,4,FALSE),"")</f>
        <v/>
      </c>
      <c r="F54" s="142" t="str">
        <f>IF(Mon_W2[[#This Row],[Employee Name]]="","",IF(Mon_W2[[#This Row],[Dept]]="Supervisor",COUNTIFS($J54:$AX54,"*HL*",$J54:$AX54,"&lt;&gt;"&amp;"pHL"),COUNTIFS($J54:$AX54,"*HL*",$J54:$AX54,"&lt;&gt;"&amp;"*pHL*",$J54:$AX54,"&lt;&gt;"&amp;"pB1 HL",$J54:$AX54,"&lt;&gt;"&amp;"pB2 HL")-SUM(COUNTIFS($J54:$AX54,"*HL B1*",$J54:$AX54,"&lt;&gt;"&amp;"pHL B1")*0.5,COUNTIFS($J54:$AX54,"*HL B2*",$J54:$AX54,"&lt;&gt;"&amp;"pHL B2")*0.5,COUNTIFS($J54:$AX54,"*B1 HL*",$J54:$AX54,"&lt;&gt;"&amp;"pB1 HL")*0.5,COUNTIFS($J54:$AX54,"*B2 HL*",$J54:$AX54,"&lt;&gt;"&amp;"pB2 HL")*0.5)))</f>
        <v/>
      </c>
      <c r="G54" s="142" t="str">
        <f t="shared" si="5"/>
        <v/>
      </c>
      <c r="H54" s="142" t="str">
        <f t="shared" si="3"/>
        <v/>
      </c>
      <c r="I54" s="142" t="str">
        <f>IF(Mon_W2[[#This Row],[Employee Name]]="","",IF(Mon_W2[[#This Row],[Dept]]="Supervisor",SUM(COUNTIFS($J54:$AX54,"RTA*",$J54:$AX54,"&lt;&gt;"&amp;"pRTA"),COUNTIFS($J54:$AX54,"*CRTA*",$J54:$AX54,"&lt;&gt;"&amp;"pCRTA")),COUNTIFS($J54:$AX54,"*RNNR*",$J54:$AX54,"&lt;&gt;"&amp;"*pRNNR*",$J54:$AX54,"&lt;&gt;"&amp;"pB1 RNNR",$J54:$AX54,"&lt;&gt;"&amp;"pB2 RNNR")-SUM(COUNTIFS($J54:$AX54,"*RNNR B1*",$J54:$AX54,"&lt;&gt;"&amp;"pRNNR B1")*0.5,COUNTIFS($J54:$AX54,"*RNNR B2*",$J54:$AX54,"&lt;&gt;"&amp;"pRNNR B2")*0.5,COUNTIFS($J54:$AX54,"*B1 RNNR*",$J54:$AX54,"&lt;&gt;"&amp;"pB1 RNNR")*0.5,COUNTIFS($J54:$AX54,"*B2 RNNR*",$J54:$AX54,"&lt;&gt;"&amp;"pB2 RNNR")*0.5)))</f>
        <v/>
      </c>
      <c r="J54" s="184" t="str">
        <f>IFERROR(IF(VLOOKUP(Mon_W2[[#This Row],[Employee Name]],'Base Schedules'!$A$113:$AW$158,9,FALSE)="","",VLOOKUP(Mon_W2[[#This Row],[Employee Name]],'Base Schedules'!$A$113:$AW$158,9,FALSE)),"")</f>
        <v/>
      </c>
      <c r="K54" s="184" t="str">
        <f>IFERROR(IF(VLOOKUP(Mon_W2[[#This Row],[Employee Name]],'Base Schedules'!$A$113:$AW$158,10,FALSE)="","",VLOOKUP(Mon_W2[[#This Row],[Employee Name]],'Base Schedules'!$A$113:$AW$158,10,FALSE)),"")</f>
        <v/>
      </c>
      <c r="L54" s="184" t="str">
        <f>IFERROR(IF(VLOOKUP(Mon_W2[[#This Row],[Employee Name]],'Base Schedules'!$A$113:$AW$158,11,FALSE)="","",VLOOKUP(Mon_W2[[#This Row],[Employee Name]],'Base Schedules'!$A$113:$AW$158,11,FALSE)),"")</f>
        <v/>
      </c>
      <c r="M54" s="184" t="str">
        <f>IFERROR(IF(VLOOKUP(Mon_W2[[#This Row],[Employee Name]],'Base Schedules'!$A$113:$AW$158,12,FALSE)="","",VLOOKUP(Mon_W2[[#This Row],[Employee Name]],'Base Schedules'!$A$113:$AW$158,12,FALSE)),"")</f>
        <v/>
      </c>
      <c r="N54" s="184" t="str">
        <f>IFERROR(IF(VLOOKUP(Mon_W2[[#This Row],[Employee Name]],'Base Schedules'!$A$113:$AW$158,13,FALSE)="","",VLOOKUP(Mon_W2[[#This Row],[Employee Name]],'Base Schedules'!$A$113:$AW$158,13,FALSE)),"")</f>
        <v/>
      </c>
      <c r="O54" s="184" t="str">
        <f>IFERROR(IF(VLOOKUP(Mon_W2[[#This Row],[Employee Name]],'Base Schedules'!$A$113:$AW$158,14,FALSE)="","",VLOOKUP(Mon_W2[[#This Row],[Employee Name]],'Base Schedules'!$A$113:$AW$158,14,FALSE)),"")</f>
        <v/>
      </c>
      <c r="P54" s="184" t="str">
        <f>IFERROR(IF(VLOOKUP(Mon_W2[[#This Row],[Employee Name]],'Base Schedules'!$A$113:$AW$158,15,FALSE)="","",VLOOKUP(Mon_W2[[#This Row],[Employee Name]],'Base Schedules'!$A$113:$AW$158,15,FALSE)),"")</f>
        <v/>
      </c>
      <c r="Q54" s="184" t="str">
        <f>IFERROR(IF(VLOOKUP(Mon_W2[[#This Row],[Employee Name]],'Base Schedules'!$A$113:$AW$158,16,FALSE)="","",VLOOKUP(Mon_W2[[#This Row],[Employee Name]],'Base Schedules'!$A$113:$AW$158,16,FALSE)),"")</f>
        <v/>
      </c>
      <c r="R54" s="184" t="str">
        <f>IFERROR(IF(VLOOKUP(Mon_W2[[#This Row],[Employee Name]],'Base Schedules'!$A$113:$AW$158,17,FALSE)="","",VLOOKUP(Mon_W2[[#This Row],[Employee Name]],'Base Schedules'!$A$113:$AW$158,17,FALSE)),"")</f>
        <v/>
      </c>
      <c r="S54" s="184" t="str">
        <f>IFERROR(IF(VLOOKUP(Mon_W2[[#This Row],[Employee Name]],'Base Schedules'!$A$113:$AW$158,18,FALSE)="","",VLOOKUP(Mon_W2[[#This Row],[Employee Name]],'Base Schedules'!$A$113:$AW$158,18,FALSE)),"")</f>
        <v/>
      </c>
      <c r="T54" s="184" t="str">
        <f>IFERROR(IF(VLOOKUP(Mon_W2[[#This Row],[Employee Name]],'Base Schedules'!$A$113:$AW$158,19,FALSE)="","",VLOOKUP(Mon_W2[[#This Row],[Employee Name]],'Base Schedules'!$A$113:$AW$158,19,FALSE)),"")</f>
        <v/>
      </c>
      <c r="U54" s="184" t="str">
        <f>IFERROR(IF(VLOOKUP(Mon_W2[[#This Row],[Employee Name]],'Base Schedules'!$A$113:$AW$158,20,FALSE)="","",VLOOKUP(Mon_W2[[#This Row],[Employee Name]],'Base Schedules'!$A$113:$AW$158,20,FALSE)),"")</f>
        <v/>
      </c>
      <c r="V54" s="184" t="str">
        <f>IFERROR(IF(VLOOKUP(Mon_W2[[#This Row],[Employee Name]],'Base Schedules'!$A$113:$AW$158,21,FALSE)="","",VLOOKUP(Mon_W2[[#This Row],[Employee Name]],'Base Schedules'!$A$113:$AW$158,21,FALSE)),"")</f>
        <v/>
      </c>
      <c r="W54" s="184" t="str">
        <f>IFERROR(IF(VLOOKUP(Mon_W2[[#This Row],[Employee Name]],'Base Schedules'!$A$113:$AW$158,22,FALSE)="","",VLOOKUP(Mon_W2[[#This Row],[Employee Name]],'Base Schedules'!$A$113:$AW$158,22,FALSE)),"")</f>
        <v/>
      </c>
      <c r="X54" s="184" t="str">
        <f>IFERROR(IF(VLOOKUP(Mon_W2[[#This Row],[Employee Name]],'Base Schedules'!$A$113:$AW$158,23,FALSE)="","",VLOOKUP(Mon_W2[[#This Row],[Employee Name]],'Base Schedules'!$A$113:$AW$158,23,FALSE)),"")</f>
        <v/>
      </c>
      <c r="Y54" s="184" t="str">
        <f>IFERROR(IF(VLOOKUP(Mon_W2[[#This Row],[Employee Name]],'Base Schedules'!$A$113:$AW$158,24,FALSE)="","",VLOOKUP(Mon_W2[[#This Row],[Employee Name]],'Base Schedules'!$A$113:$AW$158,24,FALSE)),"")</f>
        <v/>
      </c>
      <c r="Z54" s="184" t="str">
        <f>IFERROR(IF(VLOOKUP(Mon_W2[[#This Row],[Employee Name]],'Base Schedules'!$A$113:$AW$158,25,FALSE)="","",VLOOKUP(Mon_W2[[#This Row],[Employee Name]],'Base Schedules'!$A$113:$AW$158,25,FALSE)),"")</f>
        <v/>
      </c>
      <c r="AA54" s="184" t="str">
        <f>IFERROR(IF(VLOOKUP(Mon_W2[[#This Row],[Employee Name]],'Base Schedules'!$A$113:$AW$158,26,FALSE)="","",VLOOKUP(Mon_W2[[#This Row],[Employee Name]],'Base Schedules'!$A$113:$AW$158,26,FALSE)),"")</f>
        <v/>
      </c>
      <c r="AB54" s="184" t="str">
        <f>IFERROR(IF(VLOOKUP(Mon_W2[[#This Row],[Employee Name]],'Base Schedules'!$A$113:$AW$158,27,FALSE)="","",VLOOKUP(Mon_W2[[#This Row],[Employee Name]],'Base Schedules'!$A$113:$AW$158,27,FALSE)),"")</f>
        <v/>
      </c>
      <c r="AC54" s="184" t="str">
        <f>IFERROR(IF(VLOOKUP(Mon_W2[[#This Row],[Employee Name]],'Base Schedules'!$A$113:$AW$158,28,FALSE)="","",VLOOKUP(Mon_W2[[#This Row],[Employee Name]],'Base Schedules'!$A$113:$AW$158,28,FALSE)),"")</f>
        <v/>
      </c>
      <c r="AD54" s="184" t="str">
        <f>IFERROR(IF(VLOOKUP(Mon_W2[[#This Row],[Employee Name]],'Base Schedules'!$A$113:$AW$158,29,FALSE)="","",VLOOKUP(Mon_W2[[#This Row],[Employee Name]],'Base Schedules'!$A$113:$AW$158,29,FALSE)),"")</f>
        <v/>
      </c>
      <c r="AE54" s="184" t="str">
        <f>IFERROR(IF(VLOOKUP(Mon_W2[[#This Row],[Employee Name]],'Base Schedules'!$A$113:$AW$158,30,FALSE)="","",VLOOKUP(Mon_W2[[#This Row],[Employee Name]],'Base Schedules'!$A$113:$AW$158,30,FALSE)),"")</f>
        <v/>
      </c>
      <c r="AF54" s="184" t="str">
        <f>IFERROR(IF(VLOOKUP(Mon_W2[[#This Row],[Employee Name]],'Base Schedules'!$A$113:$AW$158,31,FALSE)="","",VLOOKUP(Mon_W2[[#This Row],[Employee Name]],'Base Schedules'!$A$113:$AW$158,31,FALSE)),"")</f>
        <v/>
      </c>
      <c r="AG54" s="184" t="str">
        <f>IFERROR(IF(VLOOKUP(Mon_W2[[#This Row],[Employee Name]],'Base Schedules'!$A$113:$AW$158,32,FALSE)="","",VLOOKUP(Mon_W2[[#This Row],[Employee Name]],'Base Schedules'!$A$113:$AW$158,32,FALSE)),"")</f>
        <v/>
      </c>
      <c r="AH54" s="184" t="str">
        <f>IFERROR(IF(VLOOKUP(Mon_W2[[#This Row],[Employee Name]],'Base Schedules'!$A$113:$AW$158,33,FALSE)="","",VLOOKUP(Mon_W2[[#This Row],[Employee Name]],'Base Schedules'!$A$113:$AW$158,33,FALSE)),"")</f>
        <v/>
      </c>
      <c r="AI54" s="184" t="str">
        <f>IFERROR(IF(VLOOKUP(Mon_W2[[#This Row],[Employee Name]],'Base Schedules'!$A$113:$AW$158,34,FALSE)="","",VLOOKUP(Mon_W2[[#This Row],[Employee Name]],'Base Schedules'!$A$113:$AW$158,34,FALSE)),"")</f>
        <v/>
      </c>
      <c r="AJ54" s="184" t="str">
        <f>IFERROR(IF(VLOOKUP(Mon_W2[[#This Row],[Employee Name]],'Base Schedules'!$A$113:$AW$158,35,FALSE)="","",VLOOKUP(Mon_W2[[#This Row],[Employee Name]],'Base Schedules'!$A$113:$AW$158,35,FALSE)),"")</f>
        <v/>
      </c>
      <c r="AK54" s="184" t="str">
        <f>IFERROR(IF(VLOOKUP(Mon_W2[[#This Row],[Employee Name]],'Base Schedules'!$A$113:$AW$158,36,FALSE)="","",VLOOKUP(Mon_W2[[#This Row],[Employee Name]],'Base Schedules'!$A$113:$AW$158,36,FALSE)),"")</f>
        <v/>
      </c>
      <c r="AL54" s="184" t="str">
        <f>IFERROR(IF(VLOOKUP(Mon_W2[[#This Row],[Employee Name]],'Base Schedules'!$A$113:$AW$158,37,FALSE)="","",VLOOKUP(Mon_W2[[#This Row],[Employee Name]],'Base Schedules'!$A$113:$AW$158,37,FALSE)),"")</f>
        <v/>
      </c>
      <c r="AM54" s="184" t="str">
        <f>IFERROR(IF(VLOOKUP(Mon_W2[[#This Row],[Employee Name]],'Base Schedules'!$A$113:$AW$158,38,FALSE)="","",VLOOKUP(Mon_W2[[#This Row],[Employee Name]],'Base Schedules'!$A$113:$AW$158,38,FALSE)),"")</f>
        <v/>
      </c>
      <c r="AN54" s="184" t="str">
        <f>IFERROR(IF(VLOOKUP(Mon_W2[[#This Row],[Employee Name]],'Base Schedules'!$A$113:$AW$158,39,FALSE)="","",VLOOKUP(Mon_W2[[#This Row],[Employee Name]],'Base Schedules'!$A$113:$AW$158,39,FALSE)),"")</f>
        <v/>
      </c>
      <c r="AO54" s="184" t="str">
        <f>IFERROR(IF(VLOOKUP(Mon_W2[[#This Row],[Employee Name]],'Base Schedules'!$A$113:$AW$158,40,FALSE)="","",VLOOKUP(Mon_W2[[#This Row],[Employee Name]],'Base Schedules'!$A$113:$AW$158,40,FALSE)),"")</f>
        <v/>
      </c>
      <c r="AP54" s="184" t="str">
        <f>IFERROR(IF(VLOOKUP(Mon_W2[[#This Row],[Employee Name]],'Base Schedules'!$A$113:$AW$158,41,FALSE)="","",VLOOKUP(Mon_W2[[#This Row],[Employee Name]],'Base Schedules'!$A$113:$AW$158,41,FALSE)),"")</f>
        <v/>
      </c>
      <c r="AQ54" s="184" t="str">
        <f>IFERROR(IF(VLOOKUP(Mon_W2[[#This Row],[Employee Name]],'Base Schedules'!$A$113:$AW$158,42,FALSE)="","",VLOOKUP(Mon_W2[[#This Row],[Employee Name]],'Base Schedules'!$A$113:$AW$158,42,FALSE)),"")</f>
        <v/>
      </c>
      <c r="AR54" s="184" t="str">
        <f>IFERROR(IF(VLOOKUP(Mon_W2[[#This Row],[Employee Name]],'Base Schedules'!$A$113:$AW$158,43,FALSE)="","",VLOOKUP(Mon_W2[[#This Row],[Employee Name]],'Base Schedules'!$A$113:$AW$158,43,FALSE)),"")</f>
        <v/>
      </c>
      <c r="AS54" s="184" t="str">
        <f>IFERROR(IF(VLOOKUP(Mon_W2[[#This Row],[Employee Name]],'Base Schedules'!$A$113:$AW$158,44,FALSE)="","",VLOOKUP(Mon_W2[[#This Row],[Employee Name]],'Base Schedules'!$A$113:$AW$158,44,FALSE)),"")</f>
        <v/>
      </c>
      <c r="AT54" s="184" t="str">
        <f>IFERROR(IF(VLOOKUP(Mon_W2[[#This Row],[Employee Name]],'Base Schedules'!$A$113:$AW$158,45,FALSE)="","",VLOOKUP(Mon_W2[[#This Row],[Employee Name]],'Base Schedules'!$A$113:$AW$158,45,FALSE)),"")</f>
        <v/>
      </c>
      <c r="AU54" s="184" t="str">
        <f>IFERROR(IF(VLOOKUP(Mon_W2[[#This Row],[Employee Name]],'Base Schedules'!$A$113:$AW$158,46,FALSE)="","",VLOOKUP(Mon_W2[[#This Row],[Employee Name]],'Base Schedules'!$A$113:$AW$158,46,FALSE)),"")</f>
        <v/>
      </c>
      <c r="AV54" s="184" t="str">
        <f>IFERROR(IF(VLOOKUP(Mon_W2[[#This Row],[Employee Name]],'Base Schedules'!$A$113:$AW$158,47,FALSE)="","",VLOOKUP(Mon_W2[[#This Row],[Employee Name]],'Base Schedules'!$A$113:$AW$158,47,FALSE)),"")</f>
        <v/>
      </c>
      <c r="AW54" s="184" t="str">
        <f>IFERROR(IF(VLOOKUP(Mon_W2[[#This Row],[Employee Name]],'Base Schedules'!$A$113:$AW$158,48,FALSE)="","",VLOOKUP(Mon_W2[[#This Row],[Employee Name]],'Base Schedules'!$A$113:$AW$158,48,FALSE)),"")</f>
        <v/>
      </c>
      <c r="AX54" s="184" t="str">
        <f>IFERROR(IF(VLOOKUP(Mon_W2[[#This Row],[Employee Name]],'Base Schedules'!$A$113:$AW$158,49,FALSE)="","",VLOOKUP(Mon_W2[[#This Row],[Employee Name]],'Base Schedules'!$A$113:$AW$158,49,FALSE)),"")</f>
        <v/>
      </c>
      <c r="AY54" s="159" t="str">
        <f t="shared" si="4"/>
        <v/>
      </c>
    </row>
    <row r="55" spans="1:52" s="44" customFormat="1" ht="12" hidden="1" customHeight="1" x14ac:dyDescent="0.2">
      <c r="A55" s="39" t="str">
        <f>IF(B55="","",INDEX(TeamList[],MATCH($B55,TeamList[[Employee Name]:[Employee Name]],0),MATCH("Manager",TeamList[#Headers],0)))</f>
        <v/>
      </c>
      <c r="B55" s="201"/>
      <c r="C55" s="257" t="str">
        <f>_xlfn.IFNA(VLOOKUP(Mon_W2[[#This Row],[Employee Name]],'Base Schedules'!A:B,2,FALSE),"")</f>
        <v/>
      </c>
      <c r="D55" s="274" t="str">
        <f>_xlfn.IFNA(VLOOKUP(Mon_W2[[#This Row],[Employee Name]],'Base Schedules'!A:C,3,FALSE),"")</f>
        <v/>
      </c>
      <c r="E55" s="274" t="str">
        <f>_xlfn.IFNA(VLOOKUP(Mon_W2[[#This Row],[Employee Name]],'Base Schedules'!A:D,4,FALSE),"")</f>
        <v/>
      </c>
      <c r="F55" s="142" t="str">
        <f>IF(Mon_W2[[#This Row],[Employee Name]]="","",IF(Mon_W2[[#This Row],[Dept]]="Supervisor",COUNTIFS($J55:$AX55,"*HL*",$J55:$AX55,"&lt;&gt;"&amp;"pHL"),COUNTIFS($J55:$AX55,"*HL*",$J55:$AX55,"&lt;&gt;"&amp;"*pHL*",$J55:$AX55,"&lt;&gt;"&amp;"pB1 HL",$J55:$AX55,"&lt;&gt;"&amp;"pB2 HL")-SUM(COUNTIFS($J55:$AX55,"*HL B1*",$J55:$AX55,"&lt;&gt;"&amp;"pHL B1")*0.5,COUNTIFS($J55:$AX55,"*HL B2*",$J55:$AX55,"&lt;&gt;"&amp;"pHL B2")*0.5,COUNTIFS($J55:$AX55,"*B1 HL*",$J55:$AX55,"&lt;&gt;"&amp;"pB1 HL")*0.5,COUNTIFS($J55:$AX55,"*B2 HL*",$J55:$AX55,"&lt;&gt;"&amp;"pB2 HL")*0.5)))</f>
        <v/>
      </c>
      <c r="G55" s="142" t="str">
        <f t="shared" si="5"/>
        <v/>
      </c>
      <c r="H55" s="142" t="str">
        <f t="shared" si="3"/>
        <v/>
      </c>
      <c r="I55" s="142" t="str">
        <f>IF(Mon_W2[[#This Row],[Employee Name]]="","",IF(Mon_W2[[#This Row],[Dept]]="Supervisor",SUM(COUNTIFS($J55:$AX55,"RTA*",$J55:$AX55,"&lt;&gt;"&amp;"pRTA"),COUNTIFS($J55:$AX55,"*CRTA*",$J55:$AX55,"&lt;&gt;"&amp;"pCRTA")),COUNTIFS($J55:$AX55,"*RNNR*",$J55:$AX55,"&lt;&gt;"&amp;"*pRNNR*",$J55:$AX55,"&lt;&gt;"&amp;"pB1 RNNR",$J55:$AX55,"&lt;&gt;"&amp;"pB2 RNNR")-SUM(COUNTIFS($J55:$AX55,"*RNNR B1*",$J55:$AX55,"&lt;&gt;"&amp;"pRNNR B1")*0.5,COUNTIFS($J55:$AX55,"*RNNR B2*",$J55:$AX55,"&lt;&gt;"&amp;"pRNNR B2")*0.5,COUNTIFS($J55:$AX55,"*B1 RNNR*",$J55:$AX55,"&lt;&gt;"&amp;"pB1 RNNR")*0.5,COUNTIFS($J55:$AX55,"*B2 RNNR*",$J55:$AX55,"&lt;&gt;"&amp;"pB2 RNNR")*0.5)))</f>
        <v/>
      </c>
      <c r="J55" s="184" t="str">
        <f>IFERROR(IF(VLOOKUP(Mon_W2[[#This Row],[Employee Name]],'Base Schedules'!$A$113:$AW$158,9,FALSE)="","",VLOOKUP(Mon_W2[[#This Row],[Employee Name]],'Base Schedules'!$A$113:$AW$158,9,FALSE)),"")</f>
        <v/>
      </c>
      <c r="K55" s="184" t="str">
        <f>IFERROR(IF(VLOOKUP(Mon_W2[[#This Row],[Employee Name]],'Base Schedules'!$A$113:$AW$158,10,FALSE)="","",VLOOKUP(Mon_W2[[#This Row],[Employee Name]],'Base Schedules'!$A$113:$AW$158,10,FALSE)),"")</f>
        <v/>
      </c>
      <c r="L55" s="184" t="str">
        <f>IFERROR(IF(VLOOKUP(Mon_W2[[#This Row],[Employee Name]],'Base Schedules'!$A$113:$AW$158,11,FALSE)="","",VLOOKUP(Mon_W2[[#This Row],[Employee Name]],'Base Schedules'!$A$113:$AW$158,11,FALSE)),"")</f>
        <v/>
      </c>
      <c r="M55" s="184" t="str">
        <f>IFERROR(IF(VLOOKUP(Mon_W2[[#This Row],[Employee Name]],'Base Schedules'!$A$113:$AW$158,12,FALSE)="","",VLOOKUP(Mon_W2[[#This Row],[Employee Name]],'Base Schedules'!$A$113:$AW$158,12,FALSE)),"")</f>
        <v/>
      </c>
      <c r="N55" s="184" t="str">
        <f>IFERROR(IF(VLOOKUP(Mon_W2[[#This Row],[Employee Name]],'Base Schedules'!$A$113:$AW$158,13,FALSE)="","",VLOOKUP(Mon_W2[[#This Row],[Employee Name]],'Base Schedules'!$A$113:$AW$158,13,FALSE)),"")</f>
        <v/>
      </c>
      <c r="O55" s="184" t="str">
        <f>IFERROR(IF(VLOOKUP(Mon_W2[[#This Row],[Employee Name]],'Base Schedules'!$A$113:$AW$158,14,FALSE)="","",VLOOKUP(Mon_W2[[#This Row],[Employee Name]],'Base Schedules'!$A$113:$AW$158,14,FALSE)),"")</f>
        <v/>
      </c>
      <c r="P55" s="184" t="str">
        <f>IFERROR(IF(VLOOKUP(Mon_W2[[#This Row],[Employee Name]],'Base Schedules'!$A$113:$AW$158,15,FALSE)="","",VLOOKUP(Mon_W2[[#This Row],[Employee Name]],'Base Schedules'!$A$113:$AW$158,15,FALSE)),"")</f>
        <v/>
      </c>
      <c r="Q55" s="184" t="str">
        <f>IFERROR(IF(VLOOKUP(Mon_W2[[#This Row],[Employee Name]],'Base Schedules'!$A$113:$AW$158,16,FALSE)="","",VLOOKUP(Mon_W2[[#This Row],[Employee Name]],'Base Schedules'!$A$113:$AW$158,16,FALSE)),"")</f>
        <v/>
      </c>
      <c r="R55" s="184" t="str">
        <f>IFERROR(IF(VLOOKUP(Mon_W2[[#This Row],[Employee Name]],'Base Schedules'!$A$113:$AW$158,17,FALSE)="","",VLOOKUP(Mon_W2[[#This Row],[Employee Name]],'Base Schedules'!$A$113:$AW$158,17,FALSE)),"")</f>
        <v/>
      </c>
      <c r="S55" s="184" t="str">
        <f>IFERROR(IF(VLOOKUP(Mon_W2[[#This Row],[Employee Name]],'Base Schedules'!$A$113:$AW$158,18,FALSE)="","",VLOOKUP(Mon_W2[[#This Row],[Employee Name]],'Base Schedules'!$A$113:$AW$158,18,FALSE)),"")</f>
        <v/>
      </c>
      <c r="T55" s="184" t="str">
        <f>IFERROR(IF(VLOOKUP(Mon_W2[[#This Row],[Employee Name]],'Base Schedules'!$A$113:$AW$158,19,FALSE)="","",VLOOKUP(Mon_W2[[#This Row],[Employee Name]],'Base Schedules'!$A$113:$AW$158,19,FALSE)),"")</f>
        <v/>
      </c>
      <c r="U55" s="184" t="str">
        <f>IFERROR(IF(VLOOKUP(Mon_W2[[#This Row],[Employee Name]],'Base Schedules'!$A$113:$AW$158,20,FALSE)="","",VLOOKUP(Mon_W2[[#This Row],[Employee Name]],'Base Schedules'!$A$113:$AW$158,20,FALSE)),"")</f>
        <v/>
      </c>
      <c r="V55" s="184" t="str">
        <f>IFERROR(IF(VLOOKUP(Mon_W2[[#This Row],[Employee Name]],'Base Schedules'!$A$113:$AW$158,21,FALSE)="","",VLOOKUP(Mon_W2[[#This Row],[Employee Name]],'Base Schedules'!$A$113:$AW$158,21,FALSE)),"")</f>
        <v/>
      </c>
      <c r="W55" s="184" t="str">
        <f>IFERROR(IF(VLOOKUP(Mon_W2[[#This Row],[Employee Name]],'Base Schedules'!$A$113:$AW$158,22,FALSE)="","",VLOOKUP(Mon_W2[[#This Row],[Employee Name]],'Base Schedules'!$A$113:$AW$158,22,FALSE)),"")</f>
        <v/>
      </c>
      <c r="X55" s="184" t="str">
        <f>IFERROR(IF(VLOOKUP(Mon_W2[[#This Row],[Employee Name]],'Base Schedules'!$A$113:$AW$158,23,FALSE)="","",VLOOKUP(Mon_W2[[#This Row],[Employee Name]],'Base Schedules'!$A$113:$AW$158,23,FALSE)),"")</f>
        <v/>
      </c>
      <c r="Y55" s="184" t="str">
        <f>IFERROR(IF(VLOOKUP(Mon_W2[[#This Row],[Employee Name]],'Base Schedules'!$A$113:$AW$158,24,FALSE)="","",VLOOKUP(Mon_W2[[#This Row],[Employee Name]],'Base Schedules'!$A$113:$AW$158,24,FALSE)),"")</f>
        <v/>
      </c>
      <c r="Z55" s="184" t="str">
        <f>IFERROR(IF(VLOOKUP(Mon_W2[[#This Row],[Employee Name]],'Base Schedules'!$A$113:$AW$158,25,FALSE)="","",VLOOKUP(Mon_W2[[#This Row],[Employee Name]],'Base Schedules'!$A$113:$AW$158,25,FALSE)),"")</f>
        <v/>
      </c>
      <c r="AA55" s="184" t="str">
        <f>IFERROR(IF(VLOOKUP(Mon_W2[[#This Row],[Employee Name]],'Base Schedules'!$A$113:$AW$158,26,FALSE)="","",VLOOKUP(Mon_W2[[#This Row],[Employee Name]],'Base Schedules'!$A$113:$AW$158,26,FALSE)),"")</f>
        <v/>
      </c>
      <c r="AB55" s="184" t="str">
        <f>IFERROR(IF(VLOOKUP(Mon_W2[[#This Row],[Employee Name]],'Base Schedules'!$A$113:$AW$158,27,FALSE)="","",VLOOKUP(Mon_W2[[#This Row],[Employee Name]],'Base Schedules'!$A$113:$AW$158,27,FALSE)),"")</f>
        <v/>
      </c>
      <c r="AC55" s="184" t="str">
        <f>IFERROR(IF(VLOOKUP(Mon_W2[[#This Row],[Employee Name]],'Base Schedules'!$A$113:$AW$158,28,FALSE)="","",VLOOKUP(Mon_W2[[#This Row],[Employee Name]],'Base Schedules'!$A$113:$AW$158,28,FALSE)),"")</f>
        <v/>
      </c>
      <c r="AD55" s="184" t="str">
        <f>IFERROR(IF(VLOOKUP(Mon_W2[[#This Row],[Employee Name]],'Base Schedules'!$A$113:$AW$158,29,FALSE)="","",VLOOKUP(Mon_W2[[#This Row],[Employee Name]],'Base Schedules'!$A$113:$AW$158,29,FALSE)),"")</f>
        <v/>
      </c>
      <c r="AE55" s="184" t="str">
        <f>IFERROR(IF(VLOOKUP(Mon_W2[[#This Row],[Employee Name]],'Base Schedules'!$A$113:$AW$158,30,FALSE)="","",VLOOKUP(Mon_W2[[#This Row],[Employee Name]],'Base Schedules'!$A$113:$AW$158,30,FALSE)),"")</f>
        <v/>
      </c>
      <c r="AF55" s="184" t="str">
        <f>IFERROR(IF(VLOOKUP(Mon_W2[[#This Row],[Employee Name]],'Base Schedules'!$A$113:$AW$158,31,FALSE)="","",VLOOKUP(Mon_W2[[#This Row],[Employee Name]],'Base Schedules'!$A$113:$AW$158,31,FALSE)),"")</f>
        <v/>
      </c>
      <c r="AG55" s="184" t="str">
        <f>IFERROR(IF(VLOOKUP(Mon_W2[[#This Row],[Employee Name]],'Base Schedules'!$A$113:$AW$158,32,FALSE)="","",VLOOKUP(Mon_W2[[#This Row],[Employee Name]],'Base Schedules'!$A$113:$AW$158,32,FALSE)),"")</f>
        <v/>
      </c>
      <c r="AH55" s="184" t="str">
        <f>IFERROR(IF(VLOOKUP(Mon_W2[[#This Row],[Employee Name]],'Base Schedules'!$A$113:$AW$158,33,FALSE)="","",VLOOKUP(Mon_W2[[#This Row],[Employee Name]],'Base Schedules'!$A$113:$AW$158,33,FALSE)),"")</f>
        <v/>
      </c>
      <c r="AI55" s="184" t="str">
        <f>IFERROR(IF(VLOOKUP(Mon_W2[[#This Row],[Employee Name]],'Base Schedules'!$A$113:$AW$158,34,FALSE)="","",VLOOKUP(Mon_W2[[#This Row],[Employee Name]],'Base Schedules'!$A$113:$AW$158,34,FALSE)),"")</f>
        <v/>
      </c>
      <c r="AJ55" s="184" t="str">
        <f>IFERROR(IF(VLOOKUP(Mon_W2[[#This Row],[Employee Name]],'Base Schedules'!$A$113:$AW$158,35,FALSE)="","",VLOOKUP(Mon_W2[[#This Row],[Employee Name]],'Base Schedules'!$A$113:$AW$158,35,FALSE)),"")</f>
        <v/>
      </c>
      <c r="AK55" s="184" t="str">
        <f>IFERROR(IF(VLOOKUP(Mon_W2[[#This Row],[Employee Name]],'Base Schedules'!$A$113:$AW$158,36,FALSE)="","",VLOOKUP(Mon_W2[[#This Row],[Employee Name]],'Base Schedules'!$A$113:$AW$158,36,FALSE)),"")</f>
        <v/>
      </c>
      <c r="AL55" s="184" t="str">
        <f>IFERROR(IF(VLOOKUP(Mon_W2[[#This Row],[Employee Name]],'Base Schedules'!$A$113:$AW$158,37,FALSE)="","",VLOOKUP(Mon_W2[[#This Row],[Employee Name]],'Base Schedules'!$A$113:$AW$158,37,FALSE)),"")</f>
        <v/>
      </c>
      <c r="AM55" s="184" t="str">
        <f>IFERROR(IF(VLOOKUP(Mon_W2[[#This Row],[Employee Name]],'Base Schedules'!$A$113:$AW$158,38,FALSE)="","",VLOOKUP(Mon_W2[[#This Row],[Employee Name]],'Base Schedules'!$A$113:$AW$158,38,FALSE)),"")</f>
        <v/>
      </c>
      <c r="AN55" s="184" t="str">
        <f>IFERROR(IF(VLOOKUP(Mon_W2[[#This Row],[Employee Name]],'Base Schedules'!$A$113:$AW$158,39,FALSE)="","",VLOOKUP(Mon_W2[[#This Row],[Employee Name]],'Base Schedules'!$A$113:$AW$158,39,FALSE)),"")</f>
        <v/>
      </c>
      <c r="AO55" s="184" t="str">
        <f>IFERROR(IF(VLOOKUP(Mon_W2[[#This Row],[Employee Name]],'Base Schedules'!$A$113:$AW$158,40,FALSE)="","",VLOOKUP(Mon_W2[[#This Row],[Employee Name]],'Base Schedules'!$A$113:$AW$158,40,FALSE)),"")</f>
        <v/>
      </c>
      <c r="AP55" s="184" t="str">
        <f>IFERROR(IF(VLOOKUP(Mon_W2[[#This Row],[Employee Name]],'Base Schedules'!$A$113:$AW$158,41,FALSE)="","",VLOOKUP(Mon_W2[[#This Row],[Employee Name]],'Base Schedules'!$A$113:$AW$158,41,FALSE)),"")</f>
        <v/>
      </c>
      <c r="AQ55" s="184" t="str">
        <f>IFERROR(IF(VLOOKUP(Mon_W2[[#This Row],[Employee Name]],'Base Schedules'!$A$113:$AW$158,42,FALSE)="","",VLOOKUP(Mon_W2[[#This Row],[Employee Name]],'Base Schedules'!$A$113:$AW$158,42,FALSE)),"")</f>
        <v/>
      </c>
      <c r="AR55" s="184" t="str">
        <f>IFERROR(IF(VLOOKUP(Mon_W2[[#This Row],[Employee Name]],'Base Schedules'!$A$113:$AW$158,43,FALSE)="","",VLOOKUP(Mon_W2[[#This Row],[Employee Name]],'Base Schedules'!$A$113:$AW$158,43,FALSE)),"")</f>
        <v/>
      </c>
      <c r="AS55" s="184" t="str">
        <f>IFERROR(IF(VLOOKUP(Mon_W2[[#This Row],[Employee Name]],'Base Schedules'!$A$113:$AW$158,44,FALSE)="","",VLOOKUP(Mon_W2[[#This Row],[Employee Name]],'Base Schedules'!$A$113:$AW$158,44,FALSE)),"")</f>
        <v/>
      </c>
      <c r="AT55" s="184" t="str">
        <f>IFERROR(IF(VLOOKUP(Mon_W2[[#This Row],[Employee Name]],'Base Schedules'!$A$113:$AW$158,45,FALSE)="","",VLOOKUP(Mon_W2[[#This Row],[Employee Name]],'Base Schedules'!$A$113:$AW$158,45,FALSE)),"")</f>
        <v/>
      </c>
      <c r="AU55" s="184" t="str">
        <f>IFERROR(IF(VLOOKUP(Mon_W2[[#This Row],[Employee Name]],'Base Schedules'!$A$113:$AW$158,46,FALSE)="","",VLOOKUP(Mon_W2[[#This Row],[Employee Name]],'Base Schedules'!$A$113:$AW$158,46,FALSE)),"")</f>
        <v/>
      </c>
      <c r="AV55" s="184" t="str">
        <f>IFERROR(IF(VLOOKUP(Mon_W2[[#This Row],[Employee Name]],'Base Schedules'!$A$113:$AW$158,47,FALSE)="","",VLOOKUP(Mon_W2[[#This Row],[Employee Name]],'Base Schedules'!$A$113:$AW$158,47,FALSE)),"")</f>
        <v/>
      </c>
      <c r="AW55" s="184" t="str">
        <f>IFERROR(IF(VLOOKUP(Mon_W2[[#This Row],[Employee Name]],'Base Schedules'!$A$113:$AW$158,48,FALSE)="","",VLOOKUP(Mon_W2[[#This Row],[Employee Name]],'Base Schedules'!$A$113:$AW$158,48,FALSE)),"")</f>
        <v/>
      </c>
      <c r="AX55" s="184" t="str">
        <f>IFERROR(IF(VLOOKUP(Mon_W2[[#This Row],[Employee Name]],'Base Schedules'!$A$113:$AW$158,49,FALSE)="","",VLOOKUP(Mon_W2[[#This Row],[Employee Name]],'Base Schedules'!$A$113:$AW$158,49,FALSE)),"")</f>
        <v/>
      </c>
      <c r="AY55" s="159" t="str">
        <f t="shared" si="4"/>
        <v/>
      </c>
    </row>
    <row r="56" spans="1:52" s="44" customFormat="1" ht="12" hidden="1" customHeight="1" x14ac:dyDescent="0.2">
      <c r="A56" s="39" t="str">
        <f>IF(B56="","",INDEX(TeamList[],MATCH($B56,TeamList[[Employee Name]:[Employee Name]],0),MATCH("Manager",TeamList[#Headers],0)))</f>
        <v/>
      </c>
      <c r="B56" s="201"/>
      <c r="C56" s="257" t="str">
        <f>_xlfn.IFNA(VLOOKUP(Mon_W2[[#This Row],[Employee Name]],'Base Schedules'!A:B,2,FALSE),"")</f>
        <v/>
      </c>
      <c r="D56" s="274" t="str">
        <f>_xlfn.IFNA(VLOOKUP(Mon_W2[[#This Row],[Employee Name]],'Base Schedules'!A:C,3,FALSE),"")</f>
        <v/>
      </c>
      <c r="E56" s="274" t="str">
        <f>_xlfn.IFNA(VLOOKUP(Mon_W2[[#This Row],[Employee Name]],'Base Schedules'!A:D,4,FALSE),"")</f>
        <v/>
      </c>
      <c r="F56" s="142" t="str">
        <f>IF(Mon_W2[[#This Row],[Employee Name]]="","",IF(Mon_W2[[#This Row],[Dept]]="Supervisor",COUNTIFS($J56:$AX56,"*HL*",$J56:$AX56,"&lt;&gt;"&amp;"pHL"),COUNTIFS($J56:$AX56,"*HL*",$J56:$AX56,"&lt;&gt;"&amp;"*pHL*",$J56:$AX56,"&lt;&gt;"&amp;"pB1 HL",$J56:$AX56,"&lt;&gt;"&amp;"pB2 HL")-SUM(COUNTIFS($J56:$AX56,"*HL B1*",$J56:$AX56,"&lt;&gt;"&amp;"pHL B1")*0.5,COUNTIFS($J56:$AX56,"*HL B2*",$J56:$AX56,"&lt;&gt;"&amp;"pHL B2")*0.5,COUNTIFS($J56:$AX56,"*B1 HL*",$J56:$AX56,"&lt;&gt;"&amp;"pB1 HL")*0.5,COUNTIFS($J56:$AX56,"*B2 HL*",$J56:$AX56,"&lt;&gt;"&amp;"pB2 HL")*0.5)))</f>
        <v/>
      </c>
      <c r="G56" s="142" t="str">
        <f t="shared" si="5"/>
        <v/>
      </c>
      <c r="H56" s="142" t="str">
        <f t="shared" si="3"/>
        <v/>
      </c>
      <c r="I56" s="142" t="str">
        <f>IF(Mon_W2[[#This Row],[Employee Name]]="","",IF(Mon_W2[[#This Row],[Dept]]="Supervisor",SUM(COUNTIFS($J56:$AX56,"RTA*",$J56:$AX56,"&lt;&gt;"&amp;"pRTA"),COUNTIFS($J56:$AX56,"*CRTA*",$J56:$AX56,"&lt;&gt;"&amp;"pCRTA")),COUNTIFS($J56:$AX56,"*RNNR*",$J56:$AX56,"&lt;&gt;"&amp;"*pRNNR*",$J56:$AX56,"&lt;&gt;"&amp;"pB1 RNNR",$J56:$AX56,"&lt;&gt;"&amp;"pB2 RNNR")-SUM(COUNTIFS($J56:$AX56,"*RNNR B1*",$J56:$AX56,"&lt;&gt;"&amp;"pRNNR B1")*0.5,COUNTIFS($J56:$AX56,"*RNNR B2*",$J56:$AX56,"&lt;&gt;"&amp;"pRNNR B2")*0.5,COUNTIFS($J56:$AX56,"*B1 RNNR*",$J56:$AX56,"&lt;&gt;"&amp;"pB1 RNNR")*0.5,COUNTIFS($J56:$AX56,"*B2 RNNR*",$J56:$AX56,"&lt;&gt;"&amp;"pB2 RNNR")*0.5)))</f>
        <v/>
      </c>
      <c r="J56" s="184" t="str">
        <f>IFERROR(IF(VLOOKUP(Mon_W2[[#This Row],[Employee Name]],'Base Schedules'!$A$113:$AW$158,9,FALSE)="","",VLOOKUP(Mon_W2[[#This Row],[Employee Name]],'Base Schedules'!$A$113:$AW$158,9,FALSE)),"")</f>
        <v/>
      </c>
      <c r="K56" s="184" t="str">
        <f>IFERROR(IF(VLOOKUP(Mon_W2[[#This Row],[Employee Name]],'Base Schedules'!$A$113:$AW$158,10,FALSE)="","",VLOOKUP(Mon_W2[[#This Row],[Employee Name]],'Base Schedules'!$A$113:$AW$158,10,FALSE)),"")</f>
        <v/>
      </c>
      <c r="L56" s="184" t="str">
        <f>IFERROR(IF(VLOOKUP(Mon_W2[[#This Row],[Employee Name]],'Base Schedules'!$A$113:$AW$158,11,FALSE)="","",VLOOKUP(Mon_W2[[#This Row],[Employee Name]],'Base Schedules'!$A$113:$AW$158,11,FALSE)),"")</f>
        <v/>
      </c>
      <c r="M56" s="184" t="str">
        <f>IFERROR(IF(VLOOKUP(Mon_W2[[#This Row],[Employee Name]],'Base Schedules'!$A$113:$AW$158,12,FALSE)="","",VLOOKUP(Mon_W2[[#This Row],[Employee Name]],'Base Schedules'!$A$113:$AW$158,12,FALSE)),"")</f>
        <v/>
      </c>
      <c r="N56" s="184" t="str">
        <f>IFERROR(IF(VLOOKUP(Mon_W2[[#This Row],[Employee Name]],'Base Schedules'!$A$113:$AW$158,13,FALSE)="","",VLOOKUP(Mon_W2[[#This Row],[Employee Name]],'Base Schedules'!$A$113:$AW$158,13,FALSE)),"")</f>
        <v/>
      </c>
      <c r="O56" s="184" t="str">
        <f>IFERROR(IF(VLOOKUP(Mon_W2[[#This Row],[Employee Name]],'Base Schedules'!$A$113:$AW$158,14,FALSE)="","",VLOOKUP(Mon_W2[[#This Row],[Employee Name]],'Base Schedules'!$A$113:$AW$158,14,FALSE)),"")</f>
        <v/>
      </c>
      <c r="P56" s="184" t="str">
        <f>IFERROR(IF(VLOOKUP(Mon_W2[[#This Row],[Employee Name]],'Base Schedules'!$A$113:$AW$158,15,FALSE)="","",VLOOKUP(Mon_W2[[#This Row],[Employee Name]],'Base Schedules'!$A$113:$AW$158,15,FALSE)),"")</f>
        <v/>
      </c>
      <c r="Q56" s="184" t="str">
        <f>IFERROR(IF(VLOOKUP(Mon_W2[[#This Row],[Employee Name]],'Base Schedules'!$A$113:$AW$158,16,FALSE)="","",VLOOKUP(Mon_W2[[#This Row],[Employee Name]],'Base Schedules'!$A$113:$AW$158,16,FALSE)),"")</f>
        <v/>
      </c>
      <c r="R56" s="184" t="str">
        <f>IFERROR(IF(VLOOKUP(Mon_W2[[#This Row],[Employee Name]],'Base Schedules'!$A$113:$AW$158,17,FALSE)="","",VLOOKUP(Mon_W2[[#This Row],[Employee Name]],'Base Schedules'!$A$113:$AW$158,17,FALSE)),"")</f>
        <v/>
      </c>
      <c r="S56" s="184" t="str">
        <f>IFERROR(IF(VLOOKUP(Mon_W2[[#This Row],[Employee Name]],'Base Schedules'!$A$113:$AW$158,18,FALSE)="","",VLOOKUP(Mon_W2[[#This Row],[Employee Name]],'Base Schedules'!$A$113:$AW$158,18,FALSE)),"")</f>
        <v/>
      </c>
      <c r="T56" s="184" t="str">
        <f>IFERROR(IF(VLOOKUP(Mon_W2[[#This Row],[Employee Name]],'Base Schedules'!$A$113:$AW$158,19,FALSE)="","",VLOOKUP(Mon_W2[[#This Row],[Employee Name]],'Base Schedules'!$A$113:$AW$158,19,FALSE)),"")</f>
        <v/>
      </c>
      <c r="U56" s="184" t="str">
        <f>IFERROR(IF(VLOOKUP(Mon_W2[[#This Row],[Employee Name]],'Base Schedules'!$A$113:$AW$158,20,FALSE)="","",VLOOKUP(Mon_W2[[#This Row],[Employee Name]],'Base Schedules'!$A$113:$AW$158,20,FALSE)),"")</f>
        <v/>
      </c>
      <c r="V56" s="184" t="str">
        <f>IFERROR(IF(VLOOKUP(Mon_W2[[#This Row],[Employee Name]],'Base Schedules'!$A$113:$AW$158,21,FALSE)="","",VLOOKUP(Mon_W2[[#This Row],[Employee Name]],'Base Schedules'!$A$113:$AW$158,21,FALSE)),"")</f>
        <v/>
      </c>
      <c r="W56" s="184" t="str">
        <f>IFERROR(IF(VLOOKUP(Mon_W2[[#This Row],[Employee Name]],'Base Schedules'!$A$113:$AW$158,22,FALSE)="","",VLOOKUP(Mon_W2[[#This Row],[Employee Name]],'Base Schedules'!$A$113:$AW$158,22,FALSE)),"")</f>
        <v/>
      </c>
      <c r="X56" s="184" t="str">
        <f>IFERROR(IF(VLOOKUP(Mon_W2[[#This Row],[Employee Name]],'Base Schedules'!$A$113:$AW$158,23,FALSE)="","",VLOOKUP(Mon_W2[[#This Row],[Employee Name]],'Base Schedules'!$A$113:$AW$158,23,FALSE)),"")</f>
        <v/>
      </c>
      <c r="Y56" s="184" t="str">
        <f>IFERROR(IF(VLOOKUP(Mon_W2[[#This Row],[Employee Name]],'Base Schedules'!$A$113:$AW$158,24,FALSE)="","",VLOOKUP(Mon_W2[[#This Row],[Employee Name]],'Base Schedules'!$A$113:$AW$158,24,FALSE)),"")</f>
        <v/>
      </c>
      <c r="Z56" s="184" t="str">
        <f>IFERROR(IF(VLOOKUP(Mon_W2[[#This Row],[Employee Name]],'Base Schedules'!$A$113:$AW$158,25,FALSE)="","",VLOOKUP(Mon_W2[[#This Row],[Employee Name]],'Base Schedules'!$A$113:$AW$158,25,FALSE)),"")</f>
        <v/>
      </c>
      <c r="AA56" s="184" t="str">
        <f>IFERROR(IF(VLOOKUP(Mon_W2[[#This Row],[Employee Name]],'Base Schedules'!$A$113:$AW$158,26,FALSE)="","",VLOOKUP(Mon_W2[[#This Row],[Employee Name]],'Base Schedules'!$A$113:$AW$158,26,FALSE)),"")</f>
        <v/>
      </c>
      <c r="AB56" s="184" t="str">
        <f>IFERROR(IF(VLOOKUP(Mon_W2[[#This Row],[Employee Name]],'Base Schedules'!$A$113:$AW$158,27,FALSE)="","",VLOOKUP(Mon_W2[[#This Row],[Employee Name]],'Base Schedules'!$A$113:$AW$158,27,FALSE)),"")</f>
        <v/>
      </c>
      <c r="AC56" s="184" t="str">
        <f>IFERROR(IF(VLOOKUP(Mon_W2[[#This Row],[Employee Name]],'Base Schedules'!$A$113:$AW$158,28,FALSE)="","",VLOOKUP(Mon_W2[[#This Row],[Employee Name]],'Base Schedules'!$A$113:$AW$158,28,FALSE)),"")</f>
        <v/>
      </c>
      <c r="AD56" s="184" t="str">
        <f>IFERROR(IF(VLOOKUP(Mon_W2[[#This Row],[Employee Name]],'Base Schedules'!$A$113:$AW$158,29,FALSE)="","",VLOOKUP(Mon_W2[[#This Row],[Employee Name]],'Base Schedules'!$A$113:$AW$158,29,FALSE)),"")</f>
        <v/>
      </c>
      <c r="AE56" s="184" t="str">
        <f>IFERROR(IF(VLOOKUP(Mon_W2[[#This Row],[Employee Name]],'Base Schedules'!$A$113:$AW$158,30,FALSE)="","",VLOOKUP(Mon_W2[[#This Row],[Employee Name]],'Base Schedules'!$A$113:$AW$158,30,FALSE)),"")</f>
        <v/>
      </c>
      <c r="AF56" s="184" t="str">
        <f>IFERROR(IF(VLOOKUP(Mon_W2[[#This Row],[Employee Name]],'Base Schedules'!$A$113:$AW$158,31,FALSE)="","",VLOOKUP(Mon_W2[[#This Row],[Employee Name]],'Base Schedules'!$A$113:$AW$158,31,FALSE)),"")</f>
        <v/>
      </c>
      <c r="AG56" s="184" t="str">
        <f>IFERROR(IF(VLOOKUP(Mon_W2[[#This Row],[Employee Name]],'Base Schedules'!$A$113:$AW$158,32,FALSE)="","",VLOOKUP(Mon_W2[[#This Row],[Employee Name]],'Base Schedules'!$A$113:$AW$158,32,FALSE)),"")</f>
        <v/>
      </c>
      <c r="AH56" s="184" t="str">
        <f>IFERROR(IF(VLOOKUP(Mon_W2[[#This Row],[Employee Name]],'Base Schedules'!$A$113:$AW$158,33,FALSE)="","",VLOOKUP(Mon_W2[[#This Row],[Employee Name]],'Base Schedules'!$A$113:$AW$158,33,FALSE)),"")</f>
        <v/>
      </c>
      <c r="AI56" s="184" t="str">
        <f>IFERROR(IF(VLOOKUP(Mon_W2[[#This Row],[Employee Name]],'Base Schedules'!$A$113:$AW$158,34,FALSE)="","",VLOOKUP(Mon_W2[[#This Row],[Employee Name]],'Base Schedules'!$A$113:$AW$158,34,FALSE)),"")</f>
        <v/>
      </c>
      <c r="AJ56" s="184" t="str">
        <f>IFERROR(IF(VLOOKUP(Mon_W2[[#This Row],[Employee Name]],'Base Schedules'!$A$113:$AW$158,35,FALSE)="","",VLOOKUP(Mon_W2[[#This Row],[Employee Name]],'Base Schedules'!$A$113:$AW$158,35,FALSE)),"")</f>
        <v/>
      </c>
      <c r="AK56" s="184" t="str">
        <f>IFERROR(IF(VLOOKUP(Mon_W2[[#This Row],[Employee Name]],'Base Schedules'!$A$113:$AW$158,36,FALSE)="","",VLOOKUP(Mon_W2[[#This Row],[Employee Name]],'Base Schedules'!$A$113:$AW$158,36,FALSE)),"")</f>
        <v/>
      </c>
      <c r="AL56" s="184" t="str">
        <f>IFERROR(IF(VLOOKUP(Mon_W2[[#This Row],[Employee Name]],'Base Schedules'!$A$113:$AW$158,37,FALSE)="","",VLOOKUP(Mon_W2[[#This Row],[Employee Name]],'Base Schedules'!$A$113:$AW$158,37,FALSE)),"")</f>
        <v/>
      </c>
      <c r="AM56" s="184" t="str">
        <f>IFERROR(IF(VLOOKUP(Mon_W2[[#This Row],[Employee Name]],'Base Schedules'!$A$113:$AW$158,38,FALSE)="","",VLOOKUP(Mon_W2[[#This Row],[Employee Name]],'Base Schedules'!$A$113:$AW$158,38,FALSE)),"")</f>
        <v/>
      </c>
      <c r="AN56" s="184" t="str">
        <f>IFERROR(IF(VLOOKUP(Mon_W2[[#This Row],[Employee Name]],'Base Schedules'!$A$113:$AW$158,39,FALSE)="","",VLOOKUP(Mon_W2[[#This Row],[Employee Name]],'Base Schedules'!$A$113:$AW$158,39,FALSE)),"")</f>
        <v/>
      </c>
      <c r="AO56" s="184" t="str">
        <f>IFERROR(IF(VLOOKUP(Mon_W2[[#This Row],[Employee Name]],'Base Schedules'!$A$113:$AW$158,40,FALSE)="","",VLOOKUP(Mon_W2[[#This Row],[Employee Name]],'Base Schedules'!$A$113:$AW$158,40,FALSE)),"")</f>
        <v/>
      </c>
      <c r="AP56" s="184" t="str">
        <f>IFERROR(IF(VLOOKUP(Mon_W2[[#This Row],[Employee Name]],'Base Schedules'!$A$113:$AW$158,41,FALSE)="","",VLOOKUP(Mon_W2[[#This Row],[Employee Name]],'Base Schedules'!$A$113:$AW$158,41,FALSE)),"")</f>
        <v/>
      </c>
      <c r="AQ56" s="184" t="str">
        <f>IFERROR(IF(VLOOKUP(Mon_W2[[#This Row],[Employee Name]],'Base Schedules'!$A$113:$AW$158,42,FALSE)="","",VLOOKUP(Mon_W2[[#This Row],[Employee Name]],'Base Schedules'!$A$113:$AW$158,42,FALSE)),"")</f>
        <v/>
      </c>
      <c r="AR56" s="184" t="str">
        <f>IFERROR(IF(VLOOKUP(Mon_W2[[#This Row],[Employee Name]],'Base Schedules'!$A$113:$AW$158,43,FALSE)="","",VLOOKUP(Mon_W2[[#This Row],[Employee Name]],'Base Schedules'!$A$113:$AW$158,43,FALSE)),"")</f>
        <v/>
      </c>
      <c r="AS56" s="184" t="str">
        <f>IFERROR(IF(VLOOKUP(Mon_W2[[#This Row],[Employee Name]],'Base Schedules'!$A$113:$AW$158,44,FALSE)="","",VLOOKUP(Mon_W2[[#This Row],[Employee Name]],'Base Schedules'!$A$113:$AW$158,44,FALSE)),"")</f>
        <v/>
      </c>
      <c r="AT56" s="184" t="str">
        <f>IFERROR(IF(VLOOKUP(Mon_W2[[#This Row],[Employee Name]],'Base Schedules'!$A$113:$AW$158,45,FALSE)="","",VLOOKUP(Mon_W2[[#This Row],[Employee Name]],'Base Schedules'!$A$113:$AW$158,45,FALSE)),"")</f>
        <v/>
      </c>
      <c r="AU56" s="184" t="str">
        <f>IFERROR(IF(VLOOKUP(Mon_W2[[#This Row],[Employee Name]],'Base Schedules'!$A$113:$AW$158,46,FALSE)="","",VLOOKUP(Mon_W2[[#This Row],[Employee Name]],'Base Schedules'!$A$113:$AW$158,46,FALSE)),"")</f>
        <v/>
      </c>
      <c r="AV56" s="184" t="str">
        <f>IFERROR(IF(VLOOKUP(Mon_W2[[#This Row],[Employee Name]],'Base Schedules'!$A$113:$AW$158,47,FALSE)="","",VLOOKUP(Mon_W2[[#This Row],[Employee Name]],'Base Schedules'!$A$113:$AW$158,47,FALSE)),"")</f>
        <v/>
      </c>
      <c r="AW56" s="184" t="str">
        <f>IFERROR(IF(VLOOKUP(Mon_W2[[#This Row],[Employee Name]],'Base Schedules'!$A$113:$AW$158,48,FALSE)="","",VLOOKUP(Mon_W2[[#This Row],[Employee Name]],'Base Schedules'!$A$113:$AW$158,48,FALSE)),"")</f>
        <v/>
      </c>
      <c r="AX56" s="184" t="str">
        <f>IFERROR(IF(VLOOKUP(Mon_W2[[#This Row],[Employee Name]],'Base Schedules'!$A$113:$AW$158,49,FALSE)="","",VLOOKUP(Mon_W2[[#This Row],[Employee Name]],'Base Schedules'!$A$113:$AW$158,49,FALSE)),"")</f>
        <v/>
      </c>
      <c r="AY56" s="159" t="str">
        <f t="shared" si="4"/>
        <v/>
      </c>
    </row>
    <row r="57" spans="1:52" s="44" customFormat="1" ht="12" hidden="1" customHeight="1" x14ac:dyDescent="0.2">
      <c r="A57" s="39" t="str">
        <f>IF(B57="","",INDEX(TeamList[],MATCH($B57,TeamList[[Employee Name]:[Employee Name]],0),MATCH("Manager",TeamList[#Headers],0)))</f>
        <v/>
      </c>
      <c r="B57" s="201"/>
      <c r="C57" s="257" t="str">
        <f>_xlfn.IFNA(VLOOKUP(Mon_W2[[#This Row],[Employee Name]],'Base Schedules'!A:B,2,FALSE),"")</f>
        <v/>
      </c>
      <c r="D57" s="274" t="str">
        <f>_xlfn.IFNA(VLOOKUP(Mon_W2[[#This Row],[Employee Name]],'Base Schedules'!A:C,3,FALSE),"")</f>
        <v/>
      </c>
      <c r="E57" s="274" t="str">
        <f>_xlfn.IFNA(VLOOKUP(Mon_W2[[#This Row],[Employee Name]],'Base Schedules'!A:D,4,FALSE),"")</f>
        <v/>
      </c>
      <c r="F57" s="142" t="str">
        <f>IF(Mon_W2[[#This Row],[Employee Name]]="","",IF(Mon_W2[[#This Row],[Dept]]="Supervisor",COUNTIFS($J57:$AX57,"*HL*",$J57:$AX57,"&lt;&gt;"&amp;"pHL"),COUNTIFS($J57:$AX57,"*HL*",$J57:$AX57,"&lt;&gt;"&amp;"*pHL*",$J57:$AX57,"&lt;&gt;"&amp;"pB1 HL",$J57:$AX57,"&lt;&gt;"&amp;"pB2 HL")-SUM(COUNTIFS($J57:$AX57,"*HL B1*",$J57:$AX57,"&lt;&gt;"&amp;"pHL B1")*0.5,COUNTIFS($J57:$AX57,"*HL B2*",$J57:$AX57,"&lt;&gt;"&amp;"pHL B2")*0.5,COUNTIFS($J57:$AX57,"*B1 HL*",$J57:$AX57,"&lt;&gt;"&amp;"pB1 HL")*0.5,COUNTIFS($J57:$AX57,"*B2 HL*",$J57:$AX57,"&lt;&gt;"&amp;"pB2 HL")*0.5)))</f>
        <v/>
      </c>
      <c r="G57" s="142" t="str">
        <f t="shared" si="5"/>
        <v/>
      </c>
      <c r="H57" s="142" t="str">
        <f t="shared" si="3"/>
        <v/>
      </c>
      <c r="I57" s="142" t="str">
        <f>IF(Mon_W2[[#This Row],[Employee Name]]="","",IF(Mon_W2[[#This Row],[Dept]]="Supervisor",SUM(COUNTIFS($J57:$AX57,"RTA*",$J57:$AX57,"&lt;&gt;"&amp;"pRTA"),COUNTIFS($J57:$AX57,"*CRTA*",$J57:$AX57,"&lt;&gt;"&amp;"pCRTA")),COUNTIFS($J57:$AX57,"*RNNR*",$J57:$AX57,"&lt;&gt;"&amp;"*pRNNR*",$J57:$AX57,"&lt;&gt;"&amp;"pB1 RNNR",$J57:$AX57,"&lt;&gt;"&amp;"pB2 RNNR")-SUM(COUNTIFS($J57:$AX57,"*RNNR B1*",$J57:$AX57,"&lt;&gt;"&amp;"pRNNR B1")*0.5,COUNTIFS($J57:$AX57,"*RNNR B2*",$J57:$AX57,"&lt;&gt;"&amp;"pRNNR B2")*0.5,COUNTIFS($J57:$AX57,"*B1 RNNR*",$J57:$AX57,"&lt;&gt;"&amp;"pB1 RNNR")*0.5,COUNTIFS($J57:$AX57,"*B2 RNNR*",$J57:$AX57,"&lt;&gt;"&amp;"pB2 RNNR")*0.5)))</f>
        <v/>
      </c>
      <c r="J57" s="184" t="str">
        <f>IFERROR(IF(VLOOKUP(Mon_W2[[#This Row],[Employee Name]],'Base Schedules'!$A$113:$AW$158,9,FALSE)="","",VLOOKUP(Mon_W2[[#This Row],[Employee Name]],'Base Schedules'!$A$113:$AW$158,9,FALSE)),"")</f>
        <v/>
      </c>
      <c r="K57" s="184" t="str">
        <f>IFERROR(IF(VLOOKUP(Mon_W2[[#This Row],[Employee Name]],'Base Schedules'!$A$113:$AW$158,10,FALSE)="","",VLOOKUP(Mon_W2[[#This Row],[Employee Name]],'Base Schedules'!$A$113:$AW$158,10,FALSE)),"")</f>
        <v/>
      </c>
      <c r="L57" s="184" t="str">
        <f>IFERROR(IF(VLOOKUP(Mon_W2[[#This Row],[Employee Name]],'Base Schedules'!$A$113:$AW$158,11,FALSE)="","",VLOOKUP(Mon_W2[[#This Row],[Employee Name]],'Base Schedules'!$A$113:$AW$158,11,FALSE)),"")</f>
        <v/>
      </c>
      <c r="M57" s="184" t="str">
        <f>IFERROR(IF(VLOOKUP(Mon_W2[[#This Row],[Employee Name]],'Base Schedules'!$A$113:$AW$158,12,FALSE)="","",VLOOKUP(Mon_W2[[#This Row],[Employee Name]],'Base Schedules'!$A$113:$AW$158,12,FALSE)),"")</f>
        <v/>
      </c>
      <c r="N57" s="184" t="str">
        <f>IFERROR(IF(VLOOKUP(Mon_W2[[#This Row],[Employee Name]],'Base Schedules'!$A$113:$AW$158,13,FALSE)="","",VLOOKUP(Mon_W2[[#This Row],[Employee Name]],'Base Schedules'!$A$113:$AW$158,13,FALSE)),"")</f>
        <v/>
      </c>
      <c r="O57" s="184" t="str">
        <f>IFERROR(IF(VLOOKUP(Mon_W2[[#This Row],[Employee Name]],'Base Schedules'!$A$113:$AW$158,14,FALSE)="","",VLOOKUP(Mon_W2[[#This Row],[Employee Name]],'Base Schedules'!$A$113:$AW$158,14,FALSE)),"")</f>
        <v/>
      </c>
      <c r="P57" s="184" t="str">
        <f>IFERROR(IF(VLOOKUP(Mon_W2[[#This Row],[Employee Name]],'Base Schedules'!$A$113:$AW$158,15,FALSE)="","",VLOOKUP(Mon_W2[[#This Row],[Employee Name]],'Base Schedules'!$A$113:$AW$158,15,FALSE)),"")</f>
        <v/>
      </c>
      <c r="Q57" s="184" t="str">
        <f>IFERROR(IF(VLOOKUP(Mon_W2[[#This Row],[Employee Name]],'Base Schedules'!$A$113:$AW$158,16,FALSE)="","",VLOOKUP(Mon_W2[[#This Row],[Employee Name]],'Base Schedules'!$A$113:$AW$158,16,FALSE)),"")</f>
        <v/>
      </c>
      <c r="R57" s="184" t="str">
        <f>IFERROR(IF(VLOOKUP(Mon_W2[[#This Row],[Employee Name]],'Base Schedules'!$A$113:$AW$158,17,FALSE)="","",VLOOKUP(Mon_W2[[#This Row],[Employee Name]],'Base Schedules'!$A$113:$AW$158,17,FALSE)),"")</f>
        <v/>
      </c>
      <c r="S57" s="184" t="str">
        <f>IFERROR(IF(VLOOKUP(Mon_W2[[#This Row],[Employee Name]],'Base Schedules'!$A$113:$AW$158,18,FALSE)="","",VLOOKUP(Mon_W2[[#This Row],[Employee Name]],'Base Schedules'!$A$113:$AW$158,18,FALSE)),"")</f>
        <v/>
      </c>
      <c r="T57" s="184" t="str">
        <f>IFERROR(IF(VLOOKUP(Mon_W2[[#This Row],[Employee Name]],'Base Schedules'!$A$113:$AW$158,19,FALSE)="","",VLOOKUP(Mon_W2[[#This Row],[Employee Name]],'Base Schedules'!$A$113:$AW$158,19,FALSE)),"")</f>
        <v/>
      </c>
      <c r="U57" s="184" t="str">
        <f>IFERROR(IF(VLOOKUP(Mon_W2[[#This Row],[Employee Name]],'Base Schedules'!$A$113:$AW$158,20,FALSE)="","",VLOOKUP(Mon_W2[[#This Row],[Employee Name]],'Base Schedules'!$A$113:$AW$158,20,FALSE)),"")</f>
        <v/>
      </c>
      <c r="V57" s="184" t="str">
        <f>IFERROR(IF(VLOOKUP(Mon_W2[[#This Row],[Employee Name]],'Base Schedules'!$A$113:$AW$158,21,FALSE)="","",VLOOKUP(Mon_W2[[#This Row],[Employee Name]],'Base Schedules'!$A$113:$AW$158,21,FALSE)),"")</f>
        <v/>
      </c>
      <c r="W57" s="184" t="str">
        <f>IFERROR(IF(VLOOKUP(Mon_W2[[#This Row],[Employee Name]],'Base Schedules'!$A$113:$AW$158,22,FALSE)="","",VLOOKUP(Mon_W2[[#This Row],[Employee Name]],'Base Schedules'!$A$113:$AW$158,22,FALSE)),"")</f>
        <v/>
      </c>
      <c r="X57" s="184" t="str">
        <f>IFERROR(IF(VLOOKUP(Mon_W2[[#This Row],[Employee Name]],'Base Schedules'!$A$113:$AW$158,23,FALSE)="","",VLOOKUP(Mon_W2[[#This Row],[Employee Name]],'Base Schedules'!$A$113:$AW$158,23,FALSE)),"")</f>
        <v/>
      </c>
      <c r="Y57" s="184" t="str">
        <f>IFERROR(IF(VLOOKUP(Mon_W2[[#This Row],[Employee Name]],'Base Schedules'!$A$113:$AW$158,24,FALSE)="","",VLOOKUP(Mon_W2[[#This Row],[Employee Name]],'Base Schedules'!$A$113:$AW$158,24,FALSE)),"")</f>
        <v/>
      </c>
      <c r="Z57" s="184" t="str">
        <f>IFERROR(IF(VLOOKUP(Mon_W2[[#This Row],[Employee Name]],'Base Schedules'!$A$113:$AW$158,25,FALSE)="","",VLOOKUP(Mon_W2[[#This Row],[Employee Name]],'Base Schedules'!$A$113:$AW$158,25,FALSE)),"")</f>
        <v/>
      </c>
      <c r="AA57" s="184" t="str">
        <f>IFERROR(IF(VLOOKUP(Mon_W2[[#This Row],[Employee Name]],'Base Schedules'!$A$113:$AW$158,26,FALSE)="","",VLOOKUP(Mon_W2[[#This Row],[Employee Name]],'Base Schedules'!$A$113:$AW$158,26,FALSE)),"")</f>
        <v/>
      </c>
      <c r="AB57" s="184" t="str">
        <f>IFERROR(IF(VLOOKUP(Mon_W2[[#This Row],[Employee Name]],'Base Schedules'!$A$113:$AW$158,27,FALSE)="","",VLOOKUP(Mon_W2[[#This Row],[Employee Name]],'Base Schedules'!$A$113:$AW$158,27,FALSE)),"")</f>
        <v/>
      </c>
      <c r="AC57" s="184" t="str">
        <f>IFERROR(IF(VLOOKUP(Mon_W2[[#This Row],[Employee Name]],'Base Schedules'!$A$113:$AW$158,28,FALSE)="","",VLOOKUP(Mon_W2[[#This Row],[Employee Name]],'Base Schedules'!$A$113:$AW$158,28,FALSE)),"")</f>
        <v/>
      </c>
      <c r="AD57" s="184" t="str">
        <f>IFERROR(IF(VLOOKUP(Mon_W2[[#This Row],[Employee Name]],'Base Schedules'!$A$113:$AW$158,29,FALSE)="","",VLOOKUP(Mon_W2[[#This Row],[Employee Name]],'Base Schedules'!$A$113:$AW$158,29,FALSE)),"")</f>
        <v/>
      </c>
      <c r="AE57" s="184" t="str">
        <f>IFERROR(IF(VLOOKUP(Mon_W2[[#This Row],[Employee Name]],'Base Schedules'!$A$113:$AW$158,30,FALSE)="","",VLOOKUP(Mon_W2[[#This Row],[Employee Name]],'Base Schedules'!$A$113:$AW$158,30,FALSE)),"")</f>
        <v/>
      </c>
      <c r="AF57" s="184" t="str">
        <f>IFERROR(IF(VLOOKUP(Mon_W2[[#This Row],[Employee Name]],'Base Schedules'!$A$113:$AW$158,31,FALSE)="","",VLOOKUP(Mon_W2[[#This Row],[Employee Name]],'Base Schedules'!$A$113:$AW$158,31,FALSE)),"")</f>
        <v/>
      </c>
      <c r="AG57" s="184" t="str">
        <f>IFERROR(IF(VLOOKUP(Mon_W2[[#This Row],[Employee Name]],'Base Schedules'!$A$113:$AW$158,32,FALSE)="","",VLOOKUP(Mon_W2[[#This Row],[Employee Name]],'Base Schedules'!$A$113:$AW$158,32,FALSE)),"")</f>
        <v/>
      </c>
      <c r="AH57" s="184" t="str">
        <f>IFERROR(IF(VLOOKUP(Mon_W2[[#This Row],[Employee Name]],'Base Schedules'!$A$113:$AW$158,33,FALSE)="","",VLOOKUP(Mon_W2[[#This Row],[Employee Name]],'Base Schedules'!$A$113:$AW$158,33,FALSE)),"")</f>
        <v/>
      </c>
      <c r="AI57" s="184" t="str">
        <f>IFERROR(IF(VLOOKUP(Mon_W2[[#This Row],[Employee Name]],'Base Schedules'!$A$113:$AW$158,34,FALSE)="","",VLOOKUP(Mon_W2[[#This Row],[Employee Name]],'Base Schedules'!$A$113:$AW$158,34,FALSE)),"")</f>
        <v/>
      </c>
      <c r="AJ57" s="184" t="str">
        <f>IFERROR(IF(VLOOKUP(Mon_W2[[#This Row],[Employee Name]],'Base Schedules'!$A$113:$AW$158,35,FALSE)="","",VLOOKUP(Mon_W2[[#This Row],[Employee Name]],'Base Schedules'!$A$113:$AW$158,35,FALSE)),"")</f>
        <v/>
      </c>
      <c r="AK57" s="184" t="str">
        <f>IFERROR(IF(VLOOKUP(Mon_W2[[#This Row],[Employee Name]],'Base Schedules'!$A$113:$AW$158,36,FALSE)="","",VLOOKUP(Mon_W2[[#This Row],[Employee Name]],'Base Schedules'!$A$113:$AW$158,36,FALSE)),"")</f>
        <v/>
      </c>
      <c r="AL57" s="184" t="str">
        <f>IFERROR(IF(VLOOKUP(Mon_W2[[#This Row],[Employee Name]],'Base Schedules'!$A$113:$AW$158,37,FALSE)="","",VLOOKUP(Mon_W2[[#This Row],[Employee Name]],'Base Schedules'!$A$113:$AW$158,37,FALSE)),"")</f>
        <v/>
      </c>
      <c r="AM57" s="184" t="str">
        <f>IFERROR(IF(VLOOKUP(Mon_W2[[#This Row],[Employee Name]],'Base Schedules'!$A$113:$AW$158,38,FALSE)="","",VLOOKUP(Mon_W2[[#This Row],[Employee Name]],'Base Schedules'!$A$113:$AW$158,38,FALSE)),"")</f>
        <v/>
      </c>
      <c r="AN57" s="184" t="str">
        <f>IFERROR(IF(VLOOKUP(Mon_W2[[#This Row],[Employee Name]],'Base Schedules'!$A$113:$AW$158,39,FALSE)="","",VLOOKUP(Mon_W2[[#This Row],[Employee Name]],'Base Schedules'!$A$113:$AW$158,39,FALSE)),"")</f>
        <v/>
      </c>
      <c r="AO57" s="184" t="str">
        <f>IFERROR(IF(VLOOKUP(Mon_W2[[#This Row],[Employee Name]],'Base Schedules'!$A$113:$AW$158,40,FALSE)="","",VLOOKUP(Mon_W2[[#This Row],[Employee Name]],'Base Schedules'!$A$113:$AW$158,40,FALSE)),"")</f>
        <v/>
      </c>
      <c r="AP57" s="184" t="str">
        <f>IFERROR(IF(VLOOKUP(Mon_W2[[#This Row],[Employee Name]],'Base Schedules'!$A$113:$AW$158,41,FALSE)="","",VLOOKUP(Mon_W2[[#This Row],[Employee Name]],'Base Schedules'!$A$113:$AW$158,41,FALSE)),"")</f>
        <v/>
      </c>
      <c r="AQ57" s="184" t="str">
        <f>IFERROR(IF(VLOOKUP(Mon_W2[[#This Row],[Employee Name]],'Base Schedules'!$A$113:$AW$158,42,FALSE)="","",VLOOKUP(Mon_W2[[#This Row],[Employee Name]],'Base Schedules'!$A$113:$AW$158,42,FALSE)),"")</f>
        <v/>
      </c>
      <c r="AR57" s="184" t="str">
        <f>IFERROR(IF(VLOOKUP(Mon_W2[[#This Row],[Employee Name]],'Base Schedules'!$A$113:$AW$158,43,FALSE)="","",VLOOKUP(Mon_W2[[#This Row],[Employee Name]],'Base Schedules'!$A$113:$AW$158,43,FALSE)),"")</f>
        <v/>
      </c>
      <c r="AS57" s="184" t="str">
        <f>IFERROR(IF(VLOOKUP(Mon_W2[[#This Row],[Employee Name]],'Base Schedules'!$A$113:$AW$158,44,FALSE)="","",VLOOKUP(Mon_W2[[#This Row],[Employee Name]],'Base Schedules'!$A$113:$AW$158,44,FALSE)),"")</f>
        <v/>
      </c>
      <c r="AT57" s="184" t="str">
        <f>IFERROR(IF(VLOOKUP(Mon_W2[[#This Row],[Employee Name]],'Base Schedules'!$A$113:$AW$158,45,FALSE)="","",VLOOKUP(Mon_W2[[#This Row],[Employee Name]],'Base Schedules'!$A$113:$AW$158,45,FALSE)),"")</f>
        <v/>
      </c>
      <c r="AU57" s="184" t="str">
        <f>IFERROR(IF(VLOOKUP(Mon_W2[[#This Row],[Employee Name]],'Base Schedules'!$A$113:$AW$158,46,FALSE)="","",VLOOKUP(Mon_W2[[#This Row],[Employee Name]],'Base Schedules'!$A$113:$AW$158,46,FALSE)),"")</f>
        <v/>
      </c>
      <c r="AV57" s="184" t="str">
        <f>IFERROR(IF(VLOOKUP(Mon_W2[[#This Row],[Employee Name]],'Base Schedules'!$A$113:$AW$158,47,FALSE)="","",VLOOKUP(Mon_W2[[#This Row],[Employee Name]],'Base Schedules'!$A$113:$AW$158,47,FALSE)),"")</f>
        <v/>
      </c>
      <c r="AW57" s="184" t="str">
        <f>IFERROR(IF(VLOOKUP(Mon_W2[[#This Row],[Employee Name]],'Base Schedules'!$A$113:$AW$158,48,FALSE)="","",VLOOKUP(Mon_W2[[#This Row],[Employee Name]],'Base Schedules'!$A$113:$AW$158,48,FALSE)),"")</f>
        <v/>
      </c>
      <c r="AX57" s="184" t="str">
        <f>IFERROR(IF(VLOOKUP(Mon_W2[[#This Row],[Employee Name]],'Base Schedules'!$A$113:$AW$158,49,FALSE)="","",VLOOKUP(Mon_W2[[#This Row],[Employee Name]],'Base Schedules'!$A$113:$AW$158,49,FALSE)),"")</f>
        <v/>
      </c>
      <c r="AY57" s="160" t="str">
        <f t="shared" si="4"/>
        <v/>
      </c>
    </row>
    <row r="58" spans="1:52" s="44" customFormat="1" ht="12" hidden="1" customHeight="1" x14ac:dyDescent="0.2">
      <c r="A58" s="39" t="str">
        <f>IF(B58="","",INDEX(TeamList[],MATCH($B58,TeamList[[Employee Name]:[Employee Name]],0),MATCH("Manager",TeamList[#Headers],0)))</f>
        <v/>
      </c>
      <c r="B58" s="201"/>
      <c r="C58" s="257" t="str">
        <f>_xlfn.IFNA(VLOOKUP(Mon_W2[[#This Row],[Employee Name]],'Base Schedules'!A:B,2,FALSE),"")</f>
        <v/>
      </c>
      <c r="D58" s="274" t="str">
        <f>_xlfn.IFNA(VLOOKUP(Mon_W2[[#This Row],[Employee Name]],'Base Schedules'!A:C,3,FALSE),"")</f>
        <v/>
      </c>
      <c r="E58" s="274" t="str">
        <f>_xlfn.IFNA(VLOOKUP(Mon_W2[[#This Row],[Employee Name]],'Base Schedules'!A:D,4,FALSE),"")</f>
        <v/>
      </c>
      <c r="F58" s="142" t="str">
        <f>IF(Mon_W2[[#This Row],[Employee Name]]="","",IF(Mon_W2[[#This Row],[Dept]]="Supervisor",COUNTIFS($J58:$AX58,"*HL*",$J58:$AX58,"&lt;&gt;"&amp;"pHL"),COUNTIFS($J58:$AX58,"*HL*",$J58:$AX58,"&lt;&gt;"&amp;"*pHL*",$J58:$AX58,"&lt;&gt;"&amp;"pB1 HL",$J58:$AX58,"&lt;&gt;"&amp;"pB2 HL")-SUM(COUNTIFS($J58:$AX58,"*HL B1*",$J58:$AX58,"&lt;&gt;"&amp;"pHL B1")*0.5,COUNTIFS($J58:$AX58,"*HL B2*",$J58:$AX58,"&lt;&gt;"&amp;"pHL B2")*0.5,COUNTIFS($J58:$AX58,"*B1 HL*",$J58:$AX58,"&lt;&gt;"&amp;"pB1 HL")*0.5,COUNTIFS($J58:$AX58,"*B2 HL*",$J58:$AX58,"&lt;&gt;"&amp;"pB2 HL")*0.5)))</f>
        <v/>
      </c>
      <c r="G58" s="142" t="str">
        <f t="shared" si="5"/>
        <v/>
      </c>
      <c r="H58" s="142" t="str">
        <f t="shared" si="3"/>
        <v/>
      </c>
      <c r="I58" s="142" t="str">
        <f>IF(Mon_W2[[#This Row],[Employee Name]]="","",IF(Mon_W2[[#This Row],[Dept]]="Supervisor",SUM(COUNTIFS($J58:$AX58,"RTA*",$J58:$AX58,"&lt;&gt;"&amp;"pRTA"),COUNTIFS($J58:$AX58,"*CRTA*",$J58:$AX58,"&lt;&gt;"&amp;"pCRTA")),COUNTIFS($J58:$AX58,"*RNNR*",$J58:$AX58,"&lt;&gt;"&amp;"*pRNNR*",$J58:$AX58,"&lt;&gt;"&amp;"pB1 RNNR",$J58:$AX58,"&lt;&gt;"&amp;"pB2 RNNR")-SUM(COUNTIFS($J58:$AX58,"*RNNR B1*",$J58:$AX58,"&lt;&gt;"&amp;"pRNNR B1")*0.5,COUNTIFS($J58:$AX58,"*RNNR B2*",$J58:$AX58,"&lt;&gt;"&amp;"pRNNR B2")*0.5,COUNTIFS($J58:$AX58,"*B1 RNNR*",$J58:$AX58,"&lt;&gt;"&amp;"pB1 RNNR")*0.5,COUNTIFS($J58:$AX58,"*B2 RNNR*",$J58:$AX58,"&lt;&gt;"&amp;"pB2 RNNR")*0.5)))</f>
        <v/>
      </c>
      <c r="J58" s="184" t="str">
        <f>IFERROR(IF(VLOOKUP(Mon_W2[[#This Row],[Employee Name]],'Base Schedules'!$A$113:$AW$158,9,FALSE)="","",VLOOKUP(Mon_W2[[#This Row],[Employee Name]],'Base Schedules'!$A$113:$AW$158,9,FALSE)),"")</f>
        <v/>
      </c>
      <c r="K58" s="184" t="str">
        <f>IFERROR(IF(VLOOKUP(Mon_W2[[#This Row],[Employee Name]],'Base Schedules'!$A$113:$AW$158,10,FALSE)="","",VLOOKUP(Mon_W2[[#This Row],[Employee Name]],'Base Schedules'!$A$113:$AW$158,10,FALSE)),"")</f>
        <v/>
      </c>
      <c r="L58" s="184" t="str">
        <f>IFERROR(IF(VLOOKUP(Mon_W2[[#This Row],[Employee Name]],'Base Schedules'!$A$113:$AW$158,11,FALSE)="","",VLOOKUP(Mon_W2[[#This Row],[Employee Name]],'Base Schedules'!$A$113:$AW$158,11,FALSE)),"")</f>
        <v/>
      </c>
      <c r="M58" s="184" t="str">
        <f>IFERROR(IF(VLOOKUP(Mon_W2[[#This Row],[Employee Name]],'Base Schedules'!$A$113:$AW$158,12,FALSE)="","",VLOOKUP(Mon_W2[[#This Row],[Employee Name]],'Base Schedules'!$A$113:$AW$158,12,FALSE)),"")</f>
        <v/>
      </c>
      <c r="N58" s="184" t="str">
        <f>IFERROR(IF(VLOOKUP(Mon_W2[[#This Row],[Employee Name]],'Base Schedules'!$A$113:$AW$158,13,FALSE)="","",VLOOKUP(Mon_W2[[#This Row],[Employee Name]],'Base Schedules'!$A$113:$AW$158,13,FALSE)),"")</f>
        <v/>
      </c>
      <c r="O58" s="184" t="str">
        <f>IFERROR(IF(VLOOKUP(Mon_W2[[#This Row],[Employee Name]],'Base Schedules'!$A$113:$AW$158,14,FALSE)="","",VLOOKUP(Mon_W2[[#This Row],[Employee Name]],'Base Schedules'!$A$113:$AW$158,14,FALSE)),"")</f>
        <v/>
      </c>
      <c r="P58" s="184" t="str">
        <f>IFERROR(IF(VLOOKUP(Mon_W2[[#This Row],[Employee Name]],'Base Schedules'!$A$113:$AW$158,15,FALSE)="","",VLOOKUP(Mon_W2[[#This Row],[Employee Name]],'Base Schedules'!$A$113:$AW$158,15,FALSE)),"")</f>
        <v/>
      </c>
      <c r="Q58" s="184" t="str">
        <f>IFERROR(IF(VLOOKUP(Mon_W2[[#This Row],[Employee Name]],'Base Schedules'!$A$113:$AW$158,16,FALSE)="","",VLOOKUP(Mon_W2[[#This Row],[Employee Name]],'Base Schedules'!$A$113:$AW$158,16,FALSE)),"")</f>
        <v/>
      </c>
      <c r="R58" s="184" t="str">
        <f>IFERROR(IF(VLOOKUP(Mon_W2[[#This Row],[Employee Name]],'Base Schedules'!$A$113:$AW$158,17,FALSE)="","",VLOOKUP(Mon_W2[[#This Row],[Employee Name]],'Base Schedules'!$A$113:$AW$158,17,FALSE)),"")</f>
        <v/>
      </c>
      <c r="S58" s="184" t="str">
        <f>IFERROR(IF(VLOOKUP(Mon_W2[[#This Row],[Employee Name]],'Base Schedules'!$A$113:$AW$158,18,FALSE)="","",VLOOKUP(Mon_W2[[#This Row],[Employee Name]],'Base Schedules'!$A$113:$AW$158,18,FALSE)),"")</f>
        <v/>
      </c>
      <c r="T58" s="184" t="str">
        <f>IFERROR(IF(VLOOKUP(Mon_W2[[#This Row],[Employee Name]],'Base Schedules'!$A$113:$AW$158,19,FALSE)="","",VLOOKUP(Mon_W2[[#This Row],[Employee Name]],'Base Schedules'!$A$113:$AW$158,19,FALSE)),"")</f>
        <v/>
      </c>
      <c r="U58" s="184" t="str">
        <f>IFERROR(IF(VLOOKUP(Mon_W2[[#This Row],[Employee Name]],'Base Schedules'!$A$113:$AW$158,20,FALSE)="","",VLOOKUP(Mon_W2[[#This Row],[Employee Name]],'Base Schedules'!$A$113:$AW$158,20,FALSE)),"")</f>
        <v/>
      </c>
      <c r="V58" s="184" t="str">
        <f>IFERROR(IF(VLOOKUP(Mon_W2[[#This Row],[Employee Name]],'Base Schedules'!$A$113:$AW$158,21,FALSE)="","",VLOOKUP(Mon_W2[[#This Row],[Employee Name]],'Base Schedules'!$A$113:$AW$158,21,FALSE)),"")</f>
        <v/>
      </c>
      <c r="W58" s="184" t="str">
        <f>IFERROR(IF(VLOOKUP(Mon_W2[[#This Row],[Employee Name]],'Base Schedules'!$A$113:$AW$158,22,FALSE)="","",VLOOKUP(Mon_W2[[#This Row],[Employee Name]],'Base Schedules'!$A$113:$AW$158,22,FALSE)),"")</f>
        <v/>
      </c>
      <c r="X58" s="184" t="str">
        <f>IFERROR(IF(VLOOKUP(Mon_W2[[#This Row],[Employee Name]],'Base Schedules'!$A$113:$AW$158,23,FALSE)="","",VLOOKUP(Mon_W2[[#This Row],[Employee Name]],'Base Schedules'!$A$113:$AW$158,23,FALSE)),"")</f>
        <v/>
      </c>
      <c r="Y58" s="184" t="str">
        <f>IFERROR(IF(VLOOKUP(Mon_W2[[#This Row],[Employee Name]],'Base Schedules'!$A$113:$AW$158,24,FALSE)="","",VLOOKUP(Mon_W2[[#This Row],[Employee Name]],'Base Schedules'!$A$113:$AW$158,24,FALSE)),"")</f>
        <v/>
      </c>
      <c r="Z58" s="184" t="str">
        <f>IFERROR(IF(VLOOKUP(Mon_W2[[#This Row],[Employee Name]],'Base Schedules'!$A$113:$AW$158,25,FALSE)="","",VLOOKUP(Mon_W2[[#This Row],[Employee Name]],'Base Schedules'!$A$113:$AW$158,25,FALSE)),"")</f>
        <v/>
      </c>
      <c r="AA58" s="184" t="str">
        <f>IFERROR(IF(VLOOKUP(Mon_W2[[#This Row],[Employee Name]],'Base Schedules'!$A$113:$AW$158,26,FALSE)="","",VLOOKUP(Mon_W2[[#This Row],[Employee Name]],'Base Schedules'!$A$113:$AW$158,26,FALSE)),"")</f>
        <v/>
      </c>
      <c r="AB58" s="184" t="str">
        <f>IFERROR(IF(VLOOKUP(Mon_W2[[#This Row],[Employee Name]],'Base Schedules'!$A$113:$AW$158,27,FALSE)="","",VLOOKUP(Mon_W2[[#This Row],[Employee Name]],'Base Schedules'!$A$113:$AW$158,27,FALSE)),"")</f>
        <v/>
      </c>
      <c r="AC58" s="184" t="str">
        <f>IFERROR(IF(VLOOKUP(Mon_W2[[#This Row],[Employee Name]],'Base Schedules'!$A$113:$AW$158,28,FALSE)="","",VLOOKUP(Mon_W2[[#This Row],[Employee Name]],'Base Schedules'!$A$113:$AW$158,28,FALSE)),"")</f>
        <v/>
      </c>
      <c r="AD58" s="184" t="str">
        <f>IFERROR(IF(VLOOKUP(Mon_W2[[#This Row],[Employee Name]],'Base Schedules'!$A$113:$AW$158,29,FALSE)="","",VLOOKUP(Mon_W2[[#This Row],[Employee Name]],'Base Schedules'!$A$113:$AW$158,29,FALSE)),"")</f>
        <v/>
      </c>
      <c r="AE58" s="184" t="str">
        <f>IFERROR(IF(VLOOKUP(Mon_W2[[#This Row],[Employee Name]],'Base Schedules'!$A$113:$AW$158,30,FALSE)="","",VLOOKUP(Mon_W2[[#This Row],[Employee Name]],'Base Schedules'!$A$113:$AW$158,30,FALSE)),"")</f>
        <v/>
      </c>
      <c r="AF58" s="184" t="str">
        <f>IFERROR(IF(VLOOKUP(Mon_W2[[#This Row],[Employee Name]],'Base Schedules'!$A$113:$AW$158,31,FALSE)="","",VLOOKUP(Mon_W2[[#This Row],[Employee Name]],'Base Schedules'!$A$113:$AW$158,31,FALSE)),"")</f>
        <v/>
      </c>
      <c r="AG58" s="184" t="str">
        <f>IFERROR(IF(VLOOKUP(Mon_W2[[#This Row],[Employee Name]],'Base Schedules'!$A$113:$AW$158,32,FALSE)="","",VLOOKUP(Mon_W2[[#This Row],[Employee Name]],'Base Schedules'!$A$113:$AW$158,32,FALSE)),"")</f>
        <v/>
      </c>
      <c r="AH58" s="184" t="str">
        <f>IFERROR(IF(VLOOKUP(Mon_W2[[#This Row],[Employee Name]],'Base Schedules'!$A$113:$AW$158,33,FALSE)="","",VLOOKUP(Mon_W2[[#This Row],[Employee Name]],'Base Schedules'!$A$113:$AW$158,33,FALSE)),"")</f>
        <v/>
      </c>
      <c r="AI58" s="184" t="str">
        <f>IFERROR(IF(VLOOKUP(Mon_W2[[#This Row],[Employee Name]],'Base Schedules'!$A$113:$AW$158,34,FALSE)="","",VLOOKUP(Mon_W2[[#This Row],[Employee Name]],'Base Schedules'!$A$113:$AW$158,34,FALSE)),"")</f>
        <v/>
      </c>
      <c r="AJ58" s="184" t="str">
        <f>IFERROR(IF(VLOOKUP(Mon_W2[[#This Row],[Employee Name]],'Base Schedules'!$A$113:$AW$158,35,FALSE)="","",VLOOKUP(Mon_W2[[#This Row],[Employee Name]],'Base Schedules'!$A$113:$AW$158,35,FALSE)),"")</f>
        <v/>
      </c>
      <c r="AK58" s="184" t="str">
        <f>IFERROR(IF(VLOOKUP(Mon_W2[[#This Row],[Employee Name]],'Base Schedules'!$A$113:$AW$158,36,FALSE)="","",VLOOKUP(Mon_W2[[#This Row],[Employee Name]],'Base Schedules'!$A$113:$AW$158,36,FALSE)),"")</f>
        <v/>
      </c>
      <c r="AL58" s="184" t="str">
        <f>IFERROR(IF(VLOOKUP(Mon_W2[[#This Row],[Employee Name]],'Base Schedules'!$A$113:$AW$158,37,FALSE)="","",VLOOKUP(Mon_W2[[#This Row],[Employee Name]],'Base Schedules'!$A$113:$AW$158,37,FALSE)),"")</f>
        <v/>
      </c>
      <c r="AM58" s="184" t="str">
        <f>IFERROR(IF(VLOOKUP(Mon_W2[[#This Row],[Employee Name]],'Base Schedules'!$A$113:$AW$158,38,FALSE)="","",VLOOKUP(Mon_W2[[#This Row],[Employee Name]],'Base Schedules'!$A$113:$AW$158,38,FALSE)),"")</f>
        <v/>
      </c>
      <c r="AN58" s="184" t="str">
        <f>IFERROR(IF(VLOOKUP(Mon_W2[[#This Row],[Employee Name]],'Base Schedules'!$A$113:$AW$158,39,FALSE)="","",VLOOKUP(Mon_W2[[#This Row],[Employee Name]],'Base Schedules'!$A$113:$AW$158,39,FALSE)),"")</f>
        <v/>
      </c>
      <c r="AO58" s="184" t="str">
        <f>IFERROR(IF(VLOOKUP(Mon_W2[[#This Row],[Employee Name]],'Base Schedules'!$A$113:$AW$158,40,FALSE)="","",VLOOKUP(Mon_W2[[#This Row],[Employee Name]],'Base Schedules'!$A$113:$AW$158,40,FALSE)),"")</f>
        <v/>
      </c>
      <c r="AP58" s="184" t="str">
        <f>IFERROR(IF(VLOOKUP(Mon_W2[[#This Row],[Employee Name]],'Base Schedules'!$A$113:$AW$158,41,FALSE)="","",VLOOKUP(Mon_W2[[#This Row],[Employee Name]],'Base Schedules'!$A$113:$AW$158,41,FALSE)),"")</f>
        <v/>
      </c>
      <c r="AQ58" s="184" t="str">
        <f>IFERROR(IF(VLOOKUP(Mon_W2[[#This Row],[Employee Name]],'Base Schedules'!$A$113:$AW$158,42,FALSE)="","",VLOOKUP(Mon_W2[[#This Row],[Employee Name]],'Base Schedules'!$A$113:$AW$158,42,FALSE)),"")</f>
        <v/>
      </c>
      <c r="AR58" s="184" t="str">
        <f>IFERROR(IF(VLOOKUP(Mon_W2[[#This Row],[Employee Name]],'Base Schedules'!$A$113:$AW$158,43,FALSE)="","",VLOOKUP(Mon_W2[[#This Row],[Employee Name]],'Base Schedules'!$A$113:$AW$158,43,FALSE)),"")</f>
        <v/>
      </c>
      <c r="AS58" s="184" t="str">
        <f>IFERROR(IF(VLOOKUP(Mon_W2[[#This Row],[Employee Name]],'Base Schedules'!$A$113:$AW$158,44,FALSE)="","",VLOOKUP(Mon_W2[[#This Row],[Employee Name]],'Base Schedules'!$A$113:$AW$158,44,FALSE)),"")</f>
        <v/>
      </c>
      <c r="AT58" s="184" t="str">
        <f>IFERROR(IF(VLOOKUP(Mon_W2[[#This Row],[Employee Name]],'Base Schedules'!$A$113:$AW$158,45,FALSE)="","",VLOOKUP(Mon_W2[[#This Row],[Employee Name]],'Base Schedules'!$A$113:$AW$158,45,FALSE)),"")</f>
        <v/>
      </c>
      <c r="AU58" s="184" t="str">
        <f>IFERROR(IF(VLOOKUP(Mon_W2[[#This Row],[Employee Name]],'Base Schedules'!$A$113:$AW$158,46,FALSE)="","",VLOOKUP(Mon_W2[[#This Row],[Employee Name]],'Base Schedules'!$A$113:$AW$158,46,FALSE)),"")</f>
        <v/>
      </c>
      <c r="AV58" s="184" t="str">
        <f>IFERROR(IF(VLOOKUP(Mon_W2[[#This Row],[Employee Name]],'Base Schedules'!$A$113:$AW$158,47,FALSE)="","",VLOOKUP(Mon_W2[[#This Row],[Employee Name]],'Base Schedules'!$A$113:$AW$158,47,FALSE)),"")</f>
        <v/>
      </c>
      <c r="AW58" s="184" t="str">
        <f>IFERROR(IF(VLOOKUP(Mon_W2[[#This Row],[Employee Name]],'Base Schedules'!$A$113:$AW$158,48,FALSE)="","",VLOOKUP(Mon_W2[[#This Row],[Employee Name]],'Base Schedules'!$A$113:$AW$158,48,FALSE)),"")</f>
        <v/>
      </c>
      <c r="AX58" s="184" t="str">
        <f>IFERROR(IF(VLOOKUP(Mon_W2[[#This Row],[Employee Name]],'Base Schedules'!$A$113:$AW$158,49,FALSE)="","",VLOOKUP(Mon_W2[[#This Row],[Employee Name]],'Base Schedules'!$A$113:$AW$158,49,FALSE)),"")</f>
        <v/>
      </c>
      <c r="AY58" s="159" t="str">
        <f t="shared" si="4"/>
        <v/>
      </c>
    </row>
    <row r="59" spans="1:52" s="44" customFormat="1" ht="12" hidden="1" customHeight="1" x14ac:dyDescent="0.2">
      <c r="A59" s="39" t="str">
        <f>IF(B59="","",INDEX(TeamList[],MATCH($B59,TeamList[[Employee Name]:[Employee Name]],0),MATCH("Manager",TeamList[#Headers],0)))</f>
        <v/>
      </c>
      <c r="B59" s="201"/>
      <c r="C59" s="257" t="str">
        <f>_xlfn.IFNA(VLOOKUP(Mon_W2[[#This Row],[Employee Name]],'Base Schedules'!A:B,2,FALSE),"")</f>
        <v/>
      </c>
      <c r="D59" s="274" t="str">
        <f>_xlfn.IFNA(VLOOKUP(Mon_W2[[#This Row],[Employee Name]],'Base Schedules'!A:C,3,FALSE),"")</f>
        <v/>
      </c>
      <c r="E59" s="274" t="str">
        <f>_xlfn.IFNA(VLOOKUP(Mon_W2[[#This Row],[Employee Name]],'Base Schedules'!A:D,4,FALSE),"")</f>
        <v/>
      </c>
      <c r="F59" s="142" t="str">
        <f>IF(Mon_W2[[#This Row],[Employee Name]]="","",IF(Mon_W2[[#This Row],[Dept]]="Supervisor",COUNTIFS($J59:$AX59,"*HL*",$J59:$AX59,"&lt;&gt;"&amp;"pHL"),COUNTIFS($J59:$AX59,"*HL*",$J59:$AX59,"&lt;&gt;"&amp;"*pHL*",$J59:$AX59,"&lt;&gt;"&amp;"pB1 HL",$J59:$AX59,"&lt;&gt;"&amp;"pB2 HL")-SUM(COUNTIFS($J59:$AX59,"*HL B1*",$J59:$AX59,"&lt;&gt;"&amp;"pHL B1")*0.5,COUNTIFS($J59:$AX59,"*HL B2*",$J59:$AX59,"&lt;&gt;"&amp;"pHL B2")*0.5,COUNTIFS($J59:$AX59,"*B1 HL*",$J59:$AX59,"&lt;&gt;"&amp;"pB1 HL")*0.5,COUNTIFS($J59:$AX59,"*B2 HL*",$J59:$AX59,"&lt;&gt;"&amp;"pB2 HL")*0.5)))</f>
        <v/>
      </c>
      <c r="G59" s="142" t="str">
        <f t="shared" si="5"/>
        <v/>
      </c>
      <c r="H59" s="142" t="str">
        <f t="shared" si="3"/>
        <v/>
      </c>
      <c r="I59" s="142" t="str">
        <f>IF(Mon_W2[[#This Row],[Employee Name]]="","",IF(Mon_W2[[#This Row],[Dept]]="Supervisor",SUM(COUNTIFS($J59:$AX59,"RTA*",$J59:$AX59,"&lt;&gt;"&amp;"pRTA"),COUNTIFS($J59:$AX59,"*CRTA*",$J59:$AX59,"&lt;&gt;"&amp;"pCRTA")),COUNTIFS($J59:$AX59,"*RNNR*",$J59:$AX59,"&lt;&gt;"&amp;"*pRNNR*",$J59:$AX59,"&lt;&gt;"&amp;"pB1 RNNR",$J59:$AX59,"&lt;&gt;"&amp;"pB2 RNNR")-SUM(COUNTIFS($J59:$AX59,"*RNNR B1*",$J59:$AX59,"&lt;&gt;"&amp;"pRNNR B1")*0.5,COUNTIFS($J59:$AX59,"*RNNR B2*",$J59:$AX59,"&lt;&gt;"&amp;"pRNNR B2")*0.5,COUNTIFS($J59:$AX59,"*B1 RNNR*",$J59:$AX59,"&lt;&gt;"&amp;"pB1 RNNR")*0.5,COUNTIFS($J59:$AX59,"*B2 RNNR*",$J59:$AX59,"&lt;&gt;"&amp;"pB2 RNNR")*0.5)))</f>
        <v/>
      </c>
      <c r="J59" s="184" t="str">
        <f>IFERROR(IF(VLOOKUP(Mon_W2[[#This Row],[Employee Name]],'Base Schedules'!$A$113:$AW$158,9,FALSE)="","",VLOOKUP(Mon_W2[[#This Row],[Employee Name]],'Base Schedules'!$A$113:$AW$158,9,FALSE)),"")</f>
        <v/>
      </c>
      <c r="K59" s="184" t="str">
        <f>IFERROR(IF(VLOOKUP(Mon_W2[[#This Row],[Employee Name]],'Base Schedules'!$A$113:$AW$158,10,FALSE)="","",VLOOKUP(Mon_W2[[#This Row],[Employee Name]],'Base Schedules'!$A$113:$AW$158,10,FALSE)),"")</f>
        <v/>
      </c>
      <c r="L59" s="184" t="str">
        <f>IFERROR(IF(VLOOKUP(Mon_W2[[#This Row],[Employee Name]],'Base Schedules'!$A$113:$AW$158,11,FALSE)="","",VLOOKUP(Mon_W2[[#This Row],[Employee Name]],'Base Schedules'!$A$113:$AW$158,11,FALSE)),"")</f>
        <v/>
      </c>
      <c r="M59" s="184" t="str">
        <f>IFERROR(IF(VLOOKUP(Mon_W2[[#This Row],[Employee Name]],'Base Schedules'!$A$113:$AW$158,12,FALSE)="","",VLOOKUP(Mon_W2[[#This Row],[Employee Name]],'Base Schedules'!$A$113:$AW$158,12,FALSE)),"")</f>
        <v/>
      </c>
      <c r="N59" s="184" t="str">
        <f>IFERROR(IF(VLOOKUP(Mon_W2[[#This Row],[Employee Name]],'Base Schedules'!$A$113:$AW$158,13,FALSE)="","",VLOOKUP(Mon_W2[[#This Row],[Employee Name]],'Base Schedules'!$A$113:$AW$158,13,FALSE)),"")</f>
        <v/>
      </c>
      <c r="O59" s="184" t="str">
        <f>IFERROR(IF(VLOOKUP(Mon_W2[[#This Row],[Employee Name]],'Base Schedules'!$A$113:$AW$158,14,FALSE)="","",VLOOKUP(Mon_W2[[#This Row],[Employee Name]],'Base Schedules'!$A$113:$AW$158,14,FALSE)),"")</f>
        <v/>
      </c>
      <c r="P59" s="184" t="str">
        <f>IFERROR(IF(VLOOKUP(Mon_W2[[#This Row],[Employee Name]],'Base Schedules'!$A$113:$AW$158,15,FALSE)="","",VLOOKUP(Mon_W2[[#This Row],[Employee Name]],'Base Schedules'!$A$113:$AW$158,15,FALSE)),"")</f>
        <v/>
      </c>
      <c r="Q59" s="184" t="str">
        <f>IFERROR(IF(VLOOKUP(Mon_W2[[#This Row],[Employee Name]],'Base Schedules'!$A$113:$AW$158,16,FALSE)="","",VLOOKUP(Mon_W2[[#This Row],[Employee Name]],'Base Schedules'!$A$113:$AW$158,16,FALSE)),"")</f>
        <v/>
      </c>
      <c r="R59" s="184" t="str">
        <f>IFERROR(IF(VLOOKUP(Mon_W2[[#This Row],[Employee Name]],'Base Schedules'!$A$113:$AW$158,17,FALSE)="","",VLOOKUP(Mon_W2[[#This Row],[Employee Name]],'Base Schedules'!$A$113:$AW$158,17,FALSE)),"")</f>
        <v/>
      </c>
      <c r="S59" s="184" t="str">
        <f>IFERROR(IF(VLOOKUP(Mon_W2[[#This Row],[Employee Name]],'Base Schedules'!$A$113:$AW$158,18,FALSE)="","",VLOOKUP(Mon_W2[[#This Row],[Employee Name]],'Base Schedules'!$A$113:$AW$158,18,FALSE)),"")</f>
        <v/>
      </c>
      <c r="T59" s="184" t="str">
        <f>IFERROR(IF(VLOOKUP(Mon_W2[[#This Row],[Employee Name]],'Base Schedules'!$A$113:$AW$158,19,FALSE)="","",VLOOKUP(Mon_W2[[#This Row],[Employee Name]],'Base Schedules'!$A$113:$AW$158,19,FALSE)),"")</f>
        <v/>
      </c>
      <c r="U59" s="184" t="str">
        <f>IFERROR(IF(VLOOKUP(Mon_W2[[#This Row],[Employee Name]],'Base Schedules'!$A$113:$AW$158,20,FALSE)="","",VLOOKUP(Mon_W2[[#This Row],[Employee Name]],'Base Schedules'!$A$113:$AW$158,20,FALSE)),"")</f>
        <v/>
      </c>
      <c r="V59" s="184" t="str">
        <f>IFERROR(IF(VLOOKUP(Mon_W2[[#This Row],[Employee Name]],'Base Schedules'!$A$113:$AW$158,21,FALSE)="","",VLOOKUP(Mon_W2[[#This Row],[Employee Name]],'Base Schedules'!$A$113:$AW$158,21,FALSE)),"")</f>
        <v/>
      </c>
      <c r="W59" s="184" t="str">
        <f>IFERROR(IF(VLOOKUP(Mon_W2[[#This Row],[Employee Name]],'Base Schedules'!$A$113:$AW$158,22,FALSE)="","",VLOOKUP(Mon_W2[[#This Row],[Employee Name]],'Base Schedules'!$A$113:$AW$158,22,FALSE)),"")</f>
        <v/>
      </c>
      <c r="X59" s="184" t="str">
        <f>IFERROR(IF(VLOOKUP(Mon_W2[[#This Row],[Employee Name]],'Base Schedules'!$A$113:$AW$158,23,FALSE)="","",VLOOKUP(Mon_W2[[#This Row],[Employee Name]],'Base Schedules'!$A$113:$AW$158,23,FALSE)),"")</f>
        <v/>
      </c>
      <c r="Y59" s="184" t="str">
        <f>IFERROR(IF(VLOOKUP(Mon_W2[[#This Row],[Employee Name]],'Base Schedules'!$A$113:$AW$158,24,FALSE)="","",VLOOKUP(Mon_W2[[#This Row],[Employee Name]],'Base Schedules'!$A$113:$AW$158,24,FALSE)),"")</f>
        <v/>
      </c>
      <c r="Z59" s="184" t="str">
        <f>IFERROR(IF(VLOOKUP(Mon_W2[[#This Row],[Employee Name]],'Base Schedules'!$A$113:$AW$158,25,FALSE)="","",VLOOKUP(Mon_W2[[#This Row],[Employee Name]],'Base Schedules'!$A$113:$AW$158,25,FALSE)),"")</f>
        <v/>
      </c>
      <c r="AA59" s="184" t="str">
        <f>IFERROR(IF(VLOOKUP(Mon_W2[[#This Row],[Employee Name]],'Base Schedules'!$A$113:$AW$158,26,FALSE)="","",VLOOKUP(Mon_W2[[#This Row],[Employee Name]],'Base Schedules'!$A$113:$AW$158,26,FALSE)),"")</f>
        <v/>
      </c>
      <c r="AB59" s="184" t="str">
        <f>IFERROR(IF(VLOOKUP(Mon_W2[[#This Row],[Employee Name]],'Base Schedules'!$A$113:$AW$158,27,FALSE)="","",VLOOKUP(Mon_W2[[#This Row],[Employee Name]],'Base Schedules'!$A$113:$AW$158,27,FALSE)),"")</f>
        <v/>
      </c>
      <c r="AC59" s="184" t="str">
        <f>IFERROR(IF(VLOOKUP(Mon_W2[[#This Row],[Employee Name]],'Base Schedules'!$A$113:$AW$158,28,FALSE)="","",VLOOKUP(Mon_W2[[#This Row],[Employee Name]],'Base Schedules'!$A$113:$AW$158,28,FALSE)),"")</f>
        <v/>
      </c>
      <c r="AD59" s="184" t="str">
        <f>IFERROR(IF(VLOOKUP(Mon_W2[[#This Row],[Employee Name]],'Base Schedules'!$A$113:$AW$158,29,FALSE)="","",VLOOKUP(Mon_W2[[#This Row],[Employee Name]],'Base Schedules'!$A$113:$AW$158,29,FALSE)),"")</f>
        <v/>
      </c>
      <c r="AE59" s="184" t="str">
        <f>IFERROR(IF(VLOOKUP(Mon_W2[[#This Row],[Employee Name]],'Base Schedules'!$A$113:$AW$158,30,FALSE)="","",VLOOKUP(Mon_W2[[#This Row],[Employee Name]],'Base Schedules'!$A$113:$AW$158,30,FALSE)),"")</f>
        <v/>
      </c>
      <c r="AF59" s="184" t="str">
        <f>IFERROR(IF(VLOOKUP(Mon_W2[[#This Row],[Employee Name]],'Base Schedules'!$A$113:$AW$158,31,FALSE)="","",VLOOKUP(Mon_W2[[#This Row],[Employee Name]],'Base Schedules'!$A$113:$AW$158,31,FALSE)),"")</f>
        <v/>
      </c>
      <c r="AG59" s="184" t="str">
        <f>IFERROR(IF(VLOOKUP(Mon_W2[[#This Row],[Employee Name]],'Base Schedules'!$A$113:$AW$158,32,FALSE)="","",VLOOKUP(Mon_W2[[#This Row],[Employee Name]],'Base Schedules'!$A$113:$AW$158,32,FALSE)),"")</f>
        <v/>
      </c>
      <c r="AH59" s="184" t="str">
        <f>IFERROR(IF(VLOOKUP(Mon_W2[[#This Row],[Employee Name]],'Base Schedules'!$A$113:$AW$158,33,FALSE)="","",VLOOKUP(Mon_W2[[#This Row],[Employee Name]],'Base Schedules'!$A$113:$AW$158,33,FALSE)),"")</f>
        <v/>
      </c>
      <c r="AI59" s="184" t="str">
        <f>IFERROR(IF(VLOOKUP(Mon_W2[[#This Row],[Employee Name]],'Base Schedules'!$A$113:$AW$158,34,FALSE)="","",VLOOKUP(Mon_W2[[#This Row],[Employee Name]],'Base Schedules'!$A$113:$AW$158,34,FALSE)),"")</f>
        <v/>
      </c>
      <c r="AJ59" s="184" t="str">
        <f>IFERROR(IF(VLOOKUP(Mon_W2[[#This Row],[Employee Name]],'Base Schedules'!$A$113:$AW$158,35,FALSE)="","",VLOOKUP(Mon_W2[[#This Row],[Employee Name]],'Base Schedules'!$A$113:$AW$158,35,FALSE)),"")</f>
        <v/>
      </c>
      <c r="AK59" s="184" t="str">
        <f>IFERROR(IF(VLOOKUP(Mon_W2[[#This Row],[Employee Name]],'Base Schedules'!$A$113:$AW$158,36,FALSE)="","",VLOOKUP(Mon_W2[[#This Row],[Employee Name]],'Base Schedules'!$A$113:$AW$158,36,FALSE)),"")</f>
        <v/>
      </c>
      <c r="AL59" s="184" t="str">
        <f>IFERROR(IF(VLOOKUP(Mon_W2[[#This Row],[Employee Name]],'Base Schedules'!$A$113:$AW$158,37,FALSE)="","",VLOOKUP(Mon_W2[[#This Row],[Employee Name]],'Base Schedules'!$A$113:$AW$158,37,FALSE)),"")</f>
        <v/>
      </c>
      <c r="AM59" s="184" t="str">
        <f>IFERROR(IF(VLOOKUP(Mon_W2[[#This Row],[Employee Name]],'Base Schedules'!$A$113:$AW$158,38,FALSE)="","",VLOOKUP(Mon_W2[[#This Row],[Employee Name]],'Base Schedules'!$A$113:$AW$158,38,FALSE)),"")</f>
        <v/>
      </c>
      <c r="AN59" s="184" t="str">
        <f>IFERROR(IF(VLOOKUP(Mon_W2[[#This Row],[Employee Name]],'Base Schedules'!$A$113:$AW$158,39,FALSE)="","",VLOOKUP(Mon_W2[[#This Row],[Employee Name]],'Base Schedules'!$A$113:$AW$158,39,FALSE)),"")</f>
        <v/>
      </c>
      <c r="AO59" s="184" t="str">
        <f>IFERROR(IF(VLOOKUP(Mon_W2[[#This Row],[Employee Name]],'Base Schedules'!$A$113:$AW$158,40,FALSE)="","",VLOOKUP(Mon_W2[[#This Row],[Employee Name]],'Base Schedules'!$A$113:$AW$158,40,FALSE)),"")</f>
        <v/>
      </c>
      <c r="AP59" s="184" t="str">
        <f>IFERROR(IF(VLOOKUP(Mon_W2[[#This Row],[Employee Name]],'Base Schedules'!$A$113:$AW$158,41,FALSE)="","",VLOOKUP(Mon_W2[[#This Row],[Employee Name]],'Base Schedules'!$A$113:$AW$158,41,FALSE)),"")</f>
        <v/>
      </c>
      <c r="AQ59" s="184" t="str">
        <f>IFERROR(IF(VLOOKUP(Mon_W2[[#This Row],[Employee Name]],'Base Schedules'!$A$113:$AW$158,42,FALSE)="","",VLOOKUP(Mon_W2[[#This Row],[Employee Name]],'Base Schedules'!$A$113:$AW$158,42,FALSE)),"")</f>
        <v/>
      </c>
      <c r="AR59" s="184" t="str">
        <f>IFERROR(IF(VLOOKUP(Mon_W2[[#This Row],[Employee Name]],'Base Schedules'!$A$113:$AW$158,43,FALSE)="","",VLOOKUP(Mon_W2[[#This Row],[Employee Name]],'Base Schedules'!$A$113:$AW$158,43,FALSE)),"")</f>
        <v/>
      </c>
      <c r="AS59" s="184" t="str">
        <f>IFERROR(IF(VLOOKUP(Mon_W2[[#This Row],[Employee Name]],'Base Schedules'!$A$113:$AW$158,44,FALSE)="","",VLOOKUP(Mon_W2[[#This Row],[Employee Name]],'Base Schedules'!$A$113:$AW$158,44,FALSE)),"")</f>
        <v/>
      </c>
      <c r="AT59" s="184" t="str">
        <f>IFERROR(IF(VLOOKUP(Mon_W2[[#This Row],[Employee Name]],'Base Schedules'!$A$113:$AW$158,45,FALSE)="","",VLOOKUP(Mon_W2[[#This Row],[Employee Name]],'Base Schedules'!$A$113:$AW$158,45,FALSE)),"")</f>
        <v/>
      </c>
      <c r="AU59" s="184" t="str">
        <f>IFERROR(IF(VLOOKUP(Mon_W2[[#This Row],[Employee Name]],'Base Schedules'!$A$113:$AW$158,46,FALSE)="","",VLOOKUP(Mon_W2[[#This Row],[Employee Name]],'Base Schedules'!$A$113:$AW$158,46,FALSE)),"")</f>
        <v/>
      </c>
      <c r="AV59" s="184" t="str">
        <f>IFERROR(IF(VLOOKUP(Mon_W2[[#This Row],[Employee Name]],'Base Schedules'!$A$113:$AW$158,47,FALSE)="","",VLOOKUP(Mon_W2[[#This Row],[Employee Name]],'Base Schedules'!$A$113:$AW$158,47,FALSE)),"")</f>
        <v/>
      </c>
      <c r="AW59" s="184" t="str">
        <f>IFERROR(IF(VLOOKUP(Mon_W2[[#This Row],[Employee Name]],'Base Schedules'!$A$113:$AW$158,48,FALSE)="","",VLOOKUP(Mon_W2[[#This Row],[Employee Name]],'Base Schedules'!$A$113:$AW$158,48,FALSE)),"")</f>
        <v/>
      </c>
      <c r="AX59" s="184" t="str">
        <f>IFERROR(IF(VLOOKUP(Mon_W2[[#This Row],[Employee Name]],'Base Schedules'!$A$113:$AW$158,49,FALSE)="","",VLOOKUP(Mon_W2[[#This Row],[Employee Name]],'Base Schedules'!$A$113:$AW$158,49,FALSE)),"")</f>
        <v/>
      </c>
      <c r="AY59" s="159" t="str">
        <f t="shared" si="4"/>
        <v/>
      </c>
    </row>
    <row r="60" spans="1:52" ht="6" customHeight="1" thickBot="1" x14ac:dyDescent="0.25">
      <c r="B60" s="28"/>
      <c r="C60" s="28"/>
      <c r="D60" s="29"/>
      <c r="E60" s="29"/>
      <c r="F60" s="30"/>
      <c r="G60" s="30"/>
      <c r="H60" s="30"/>
      <c r="I60" s="30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8"/>
    </row>
    <row r="61" spans="1:52" ht="11.25" customHeight="1" thickBot="1" x14ac:dyDescent="0.25">
      <c r="B61" s="20"/>
      <c r="C61" s="21"/>
      <c r="D61" s="21"/>
      <c r="E61" s="21" t="s">
        <v>92</v>
      </c>
      <c r="F61" s="21">
        <f>SUM(F9:F59)</f>
        <v>144</v>
      </c>
      <c r="G61" s="21">
        <f>SUM(G9:G59)</f>
        <v>0</v>
      </c>
      <c r="H61" s="21">
        <f>SUM(H9:H59)</f>
        <v>118</v>
      </c>
      <c r="I61" s="21">
        <f>SUM(I9:I59)</f>
        <v>28</v>
      </c>
      <c r="J61" s="27">
        <v>500</v>
      </c>
      <c r="K61" s="27">
        <v>530</v>
      </c>
      <c r="L61" s="27">
        <v>600</v>
      </c>
      <c r="M61" s="27">
        <v>630</v>
      </c>
      <c r="N61" s="27">
        <v>700</v>
      </c>
      <c r="O61" s="27">
        <v>730</v>
      </c>
      <c r="P61" s="27">
        <v>800</v>
      </c>
      <c r="Q61" s="27">
        <v>830</v>
      </c>
      <c r="R61" s="27">
        <v>900</v>
      </c>
      <c r="S61" s="27">
        <v>930</v>
      </c>
      <c r="T61" s="27">
        <v>1000</v>
      </c>
      <c r="U61" s="27">
        <v>1030</v>
      </c>
      <c r="V61" s="27">
        <v>1100</v>
      </c>
      <c r="W61" s="27">
        <v>1130</v>
      </c>
      <c r="X61" s="27">
        <v>1200</v>
      </c>
      <c r="Y61" s="27">
        <v>1230</v>
      </c>
      <c r="Z61" s="27">
        <v>1300</v>
      </c>
      <c r="AA61" s="27">
        <v>1330</v>
      </c>
      <c r="AB61" s="27">
        <v>1400</v>
      </c>
      <c r="AC61" s="27">
        <v>1430</v>
      </c>
      <c r="AD61" s="27">
        <v>1500</v>
      </c>
      <c r="AE61" s="27">
        <v>1530</v>
      </c>
      <c r="AF61" s="27">
        <v>1600</v>
      </c>
      <c r="AG61" s="27">
        <v>1630</v>
      </c>
      <c r="AH61" s="27">
        <v>1700</v>
      </c>
      <c r="AI61" s="27">
        <v>1730</v>
      </c>
      <c r="AJ61" s="27">
        <v>1800</v>
      </c>
      <c r="AK61" s="27">
        <v>1830</v>
      </c>
      <c r="AL61" s="27">
        <v>1900</v>
      </c>
      <c r="AM61" s="27">
        <v>1930</v>
      </c>
      <c r="AN61" s="27">
        <v>2000</v>
      </c>
      <c r="AO61" s="27">
        <v>2030</v>
      </c>
      <c r="AP61" s="27">
        <v>2100</v>
      </c>
      <c r="AQ61" s="27">
        <v>2130</v>
      </c>
      <c r="AR61" s="27">
        <v>2200</v>
      </c>
      <c r="AS61" s="27">
        <v>2230</v>
      </c>
      <c r="AT61" s="27">
        <v>2300</v>
      </c>
      <c r="AU61" s="27">
        <v>2330</v>
      </c>
      <c r="AV61" s="27">
        <v>0</v>
      </c>
      <c r="AW61" s="27">
        <v>30</v>
      </c>
      <c r="AX61" s="221" t="s">
        <v>365</v>
      </c>
      <c r="AY61" s="222" t="s">
        <v>2</v>
      </c>
    </row>
    <row r="62" spans="1:52" ht="6" customHeight="1" thickBot="1" x14ac:dyDescent="0.25">
      <c r="G62" s="223"/>
      <c r="H62" s="224"/>
      <c r="I62" s="225"/>
      <c r="J62" s="224"/>
      <c r="K62" s="224"/>
      <c r="L62" s="224"/>
      <c r="M62" s="224"/>
      <c r="N62" s="224"/>
      <c r="O62" s="224"/>
      <c r="P62" s="224"/>
      <c r="Q62" s="224"/>
      <c r="R62" s="224"/>
      <c r="S62" s="224"/>
      <c r="T62" s="224"/>
      <c r="U62" s="224"/>
      <c r="V62" s="224"/>
      <c r="W62" s="224"/>
      <c r="X62" s="224"/>
      <c r="Y62" s="224"/>
      <c r="Z62" s="224"/>
      <c r="AA62" s="224"/>
      <c r="AB62" s="224"/>
      <c r="AC62" s="224"/>
      <c r="AD62" s="224"/>
      <c r="AE62" s="224"/>
      <c r="AF62" s="224"/>
      <c r="AG62" s="224"/>
      <c r="AH62" s="224"/>
      <c r="AI62" s="224"/>
      <c r="AJ62" s="224"/>
      <c r="AK62" s="224"/>
      <c r="AL62" s="224"/>
      <c r="AM62" s="224"/>
      <c r="AN62" s="224"/>
      <c r="AO62" s="224"/>
      <c r="AP62" s="224"/>
      <c r="AQ62" s="224"/>
      <c r="AR62" s="224"/>
      <c r="AS62" s="224"/>
      <c r="AT62" s="224"/>
      <c r="AU62" s="224"/>
      <c r="AV62" s="224"/>
      <c r="AW62" s="225"/>
      <c r="AX62" s="226">
        <f>SUM(J62:AW62)</f>
        <v>0</v>
      </c>
      <c r="AY62" s="227">
        <f t="shared" ref="AY62" si="6">G62</f>
        <v>0</v>
      </c>
    </row>
    <row r="63" spans="1:52" ht="18.75" x14ac:dyDescent="0.3">
      <c r="B63" s="484" t="s">
        <v>368</v>
      </c>
      <c r="C63" s="484"/>
      <c r="D63" s="453"/>
      <c r="E63" s="453"/>
      <c r="F63" s="453"/>
      <c r="G63" s="484" t="s">
        <v>368</v>
      </c>
      <c r="H63" s="484"/>
      <c r="I63" s="484"/>
      <c r="J63" s="455">
        <f>COUNTIF(J9:J59,"RNNR")</f>
        <v>0</v>
      </c>
      <c r="K63" s="455">
        <f t="shared" ref="K63:AW63" si="7">COUNTIF(K9:K59,"RNNR")</f>
        <v>0</v>
      </c>
      <c r="L63" s="455">
        <f t="shared" si="7"/>
        <v>0</v>
      </c>
      <c r="M63" s="455">
        <f t="shared" si="7"/>
        <v>0</v>
      </c>
      <c r="N63" s="455">
        <f t="shared" si="7"/>
        <v>0</v>
      </c>
      <c r="O63" s="455">
        <f t="shared" si="7"/>
        <v>0</v>
      </c>
      <c r="P63" s="455">
        <f t="shared" si="7"/>
        <v>1</v>
      </c>
      <c r="Q63" s="455">
        <f t="shared" si="7"/>
        <v>1</v>
      </c>
      <c r="R63" s="455">
        <f t="shared" si="7"/>
        <v>1</v>
      </c>
      <c r="S63" s="455">
        <f t="shared" si="7"/>
        <v>1</v>
      </c>
      <c r="T63" s="455">
        <f t="shared" si="7"/>
        <v>1</v>
      </c>
      <c r="U63" s="455">
        <f t="shared" si="7"/>
        <v>1</v>
      </c>
      <c r="V63" s="455">
        <f t="shared" si="7"/>
        <v>1</v>
      </c>
      <c r="W63" s="455">
        <f t="shared" si="7"/>
        <v>1</v>
      </c>
      <c r="X63" s="455">
        <f t="shared" si="7"/>
        <v>1</v>
      </c>
      <c r="Y63" s="455">
        <f t="shared" si="7"/>
        <v>1</v>
      </c>
      <c r="Z63" s="455">
        <f t="shared" si="7"/>
        <v>2</v>
      </c>
      <c r="AA63" s="455">
        <f t="shared" si="7"/>
        <v>2</v>
      </c>
      <c r="AB63" s="455">
        <f t="shared" si="7"/>
        <v>1</v>
      </c>
      <c r="AC63" s="455">
        <f t="shared" si="7"/>
        <v>2</v>
      </c>
      <c r="AD63" s="455">
        <f t="shared" si="7"/>
        <v>2</v>
      </c>
      <c r="AE63" s="455">
        <f t="shared" si="7"/>
        <v>1</v>
      </c>
      <c r="AF63" s="455">
        <f t="shared" si="7"/>
        <v>1</v>
      </c>
      <c r="AG63" s="455">
        <f t="shared" si="7"/>
        <v>1</v>
      </c>
      <c r="AH63" s="455">
        <f t="shared" si="7"/>
        <v>1</v>
      </c>
      <c r="AI63" s="455">
        <f t="shared" si="7"/>
        <v>1</v>
      </c>
      <c r="AJ63" s="455">
        <f t="shared" si="7"/>
        <v>1</v>
      </c>
      <c r="AK63" s="455">
        <f t="shared" si="7"/>
        <v>1</v>
      </c>
      <c r="AL63" s="455">
        <f t="shared" si="7"/>
        <v>1</v>
      </c>
      <c r="AM63" s="455">
        <f t="shared" si="7"/>
        <v>1</v>
      </c>
      <c r="AN63" s="455">
        <f t="shared" si="7"/>
        <v>0</v>
      </c>
      <c r="AO63" s="455">
        <f t="shared" si="7"/>
        <v>0</v>
      </c>
      <c r="AP63" s="455">
        <f t="shared" si="7"/>
        <v>0</v>
      </c>
      <c r="AQ63" s="455">
        <f t="shared" si="7"/>
        <v>0</v>
      </c>
      <c r="AR63" s="455">
        <f t="shared" si="7"/>
        <v>0</v>
      </c>
      <c r="AS63" s="455">
        <f t="shared" si="7"/>
        <v>0</v>
      </c>
      <c r="AT63" s="455">
        <f t="shared" si="7"/>
        <v>0</v>
      </c>
      <c r="AU63" s="455">
        <f t="shared" si="7"/>
        <v>0</v>
      </c>
      <c r="AV63" s="455">
        <f t="shared" si="7"/>
        <v>0</v>
      </c>
      <c r="AW63" s="455">
        <f t="shared" si="7"/>
        <v>0</v>
      </c>
      <c r="AX63" s="451">
        <f>AVERAGE(J63:AW63)</f>
        <v>0.7</v>
      </c>
      <c r="AY63" s="485" t="s">
        <v>368</v>
      </c>
      <c r="AZ63" s="485"/>
    </row>
    <row r="64" spans="1:52" ht="15.75" customHeight="1" x14ac:dyDescent="0.3">
      <c r="B64" s="484" t="s">
        <v>581</v>
      </c>
      <c r="C64" s="484"/>
      <c r="D64" s="453"/>
      <c r="E64" s="453"/>
      <c r="F64" s="453"/>
      <c r="G64" s="484" t="s">
        <v>581</v>
      </c>
      <c r="H64" s="484"/>
      <c r="I64" s="484"/>
      <c r="J64" s="458">
        <f>COUNTIF(J9:J59,"HL")</f>
        <v>1</v>
      </c>
      <c r="K64" s="458">
        <f t="shared" ref="K64:AW64" si="8">COUNTIF(K9:K59,"HL")</f>
        <v>2</v>
      </c>
      <c r="L64" s="458">
        <f t="shared" si="8"/>
        <v>3</v>
      </c>
      <c r="M64" s="458">
        <f t="shared" si="8"/>
        <v>4</v>
      </c>
      <c r="N64" s="458">
        <f t="shared" si="8"/>
        <v>2</v>
      </c>
      <c r="O64" s="458">
        <f t="shared" si="8"/>
        <v>4</v>
      </c>
      <c r="P64" s="458">
        <f t="shared" si="8"/>
        <v>4</v>
      </c>
      <c r="Q64" s="458">
        <f t="shared" si="8"/>
        <v>2</v>
      </c>
      <c r="R64" s="458">
        <f t="shared" si="8"/>
        <v>2</v>
      </c>
      <c r="S64" s="458">
        <f t="shared" si="8"/>
        <v>2</v>
      </c>
      <c r="T64" s="458">
        <f t="shared" si="8"/>
        <v>3</v>
      </c>
      <c r="U64" s="458">
        <f t="shared" si="8"/>
        <v>2</v>
      </c>
      <c r="V64" s="458">
        <f t="shared" si="8"/>
        <v>3</v>
      </c>
      <c r="W64" s="458">
        <f t="shared" si="8"/>
        <v>4</v>
      </c>
      <c r="X64" s="458">
        <f t="shared" si="8"/>
        <v>3</v>
      </c>
      <c r="Y64" s="458">
        <f t="shared" si="8"/>
        <v>7</v>
      </c>
      <c r="Z64" s="458">
        <f t="shared" si="8"/>
        <v>7</v>
      </c>
      <c r="AA64" s="458">
        <f t="shared" si="8"/>
        <v>5</v>
      </c>
      <c r="AB64" s="458">
        <f t="shared" si="8"/>
        <v>4</v>
      </c>
      <c r="AC64" s="458">
        <f t="shared" si="8"/>
        <v>4</v>
      </c>
      <c r="AD64" s="458">
        <f t="shared" si="8"/>
        <v>3</v>
      </c>
      <c r="AE64" s="458">
        <f t="shared" si="8"/>
        <v>3</v>
      </c>
      <c r="AF64" s="458">
        <f t="shared" si="8"/>
        <v>3</v>
      </c>
      <c r="AG64" s="458">
        <f t="shared" si="8"/>
        <v>3</v>
      </c>
      <c r="AH64" s="458">
        <f t="shared" si="8"/>
        <v>4</v>
      </c>
      <c r="AI64" s="458">
        <f t="shared" si="8"/>
        <v>3</v>
      </c>
      <c r="AJ64" s="458">
        <f t="shared" si="8"/>
        <v>4</v>
      </c>
      <c r="AK64" s="458">
        <f t="shared" si="8"/>
        <v>4</v>
      </c>
      <c r="AL64" s="458">
        <f t="shared" si="8"/>
        <v>4</v>
      </c>
      <c r="AM64" s="458">
        <f t="shared" si="8"/>
        <v>3</v>
      </c>
      <c r="AN64" s="458">
        <f t="shared" si="8"/>
        <v>3</v>
      </c>
      <c r="AO64" s="458">
        <f t="shared" si="8"/>
        <v>5</v>
      </c>
      <c r="AP64" s="458">
        <f t="shared" si="8"/>
        <v>5</v>
      </c>
      <c r="AQ64" s="458">
        <f t="shared" si="8"/>
        <v>4</v>
      </c>
      <c r="AR64" s="458">
        <f t="shared" si="8"/>
        <v>3</v>
      </c>
      <c r="AS64" s="458">
        <f t="shared" si="8"/>
        <v>3</v>
      </c>
      <c r="AT64" s="458">
        <f t="shared" si="8"/>
        <v>2</v>
      </c>
      <c r="AU64" s="458">
        <f t="shared" si="8"/>
        <v>3</v>
      </c>
      <c r="AV64" s="458">
        <f t="shared" si="8"/>
        <v>2</v>
      </c>
      <c r="AW64" s="458">
        <f t="shared" si="8"/>
        <v>2</v>
      </c>
      <c r="AX64" s="452">
        <f>SUM(J64:AW64)</f>
        <v>134</v>
      </c>
      <c r="AY64" s="485" t="s">
        <v>581</v>
      </c>
      <c r="AZ64" s="485"/>
    </row>
    <row r="65" spans="2:52" ht="18.75" x14ac:dyDescent="0.3">
      <c r="B65" s="484" t="s">
        <v>588</v>
      </c>
      <c r="C65" s="484"/>
      <c r="D65" s="453"/>
      <c r="E65" s="453"/>
      <c r="F65" s="453"/>
      <c r="G65" s="484" t="s">
        <v>589</v>
      </c>
      <c r="H65" s="484"/>
      <c r="I65" s="484"/>
      <c r="J65" s="460">
        <f>[1]Weighted!$B$33</f>
        <v>1.1000000000000001</v>
      </c>
      <c r="K65" s="460">
        <f>[1]Weighted!$B$33</f>
        <v>1.1000000000000001</v>
      </c>
      <c r="L65" s="460">
        <f>[1]Weighted!$B$33</f>
        <v>1.1000000000000001</v>
      </c>
      <c r="M65" s="460">
        <f>[1]Weighted!$B$33</f>
        <v>1.1000000000000001</v>
      </c>
      <c r="N65" s="460">
        <f>[1]Weighted!$B$33</f>
        <v>1.1000000000000001</v>
      </c>
      <c r="O65" s="460">
        <f>[1]Weighted!$B$33</f>
        <v>1.1000000000000001</v>
      </c>
      <c r="P65" s="460">
        <f>[1]Weighted!$B$33</f>
        <v>1.1000000000000001</v>
      </c>
      <c r="Q65" s="460">
        <f>[1]Weighted!$B$33</f>
        <v>1.1000000000000001</v>
      </c>
      <c r="R65" s="460">
        <f>[1]Weighted!$B$33</f>
        <v>1.1000000000000001</v>
      </c>
      <c r="S65" s="460">
        <f>[1]Weighted!$B$33</f>
        <v>1.1000000000000001</v>
      </c>
      <c r="T65" s="460">
        <f>[1]Weighted!$B$33</f>
        <v>1.1000000000000001</v>
      </c>
      <c r="U65" s="460">
        <f>[1]Weighted!$B$33</f>
        <v>1.1000000000000001</v>
      </c>
      <c r="V65" s="460">
        <f>[1]Weighted!$B$33</f>
        <v>1.1000000000000001</v>
      </c>
      <c r="W65" s="460">
        <f>[1]Weighted!$B$33</f>
        <v>1.1000000000000001</v>
      </c>
      <c r="X65" s="460">
        <f>[1]Weighted!$B$33</f>
        <v>1.1000000000000001</v>
      </c>
      <c r="Y65" s="460">
        <f>[1]Weighted!$B$33</f>
        <v>1.1000000000000001</v>
      </c>
      <c r="Z65" s="460">
        <f>[1]Weighted!$B$33</f>
        <v>1.1000000000000001</v>
      </c>
      <c r="AA65" s="460">
        <f>[1]Weighted!$B$33</f>
        <v>1.1000000000000001</v>
      </c>
      <c r="AB65" s="460">
        <f>[1]Weighted!$B$33</f>
        <v>1.1000000000000001</v>
      </c>
      <c r="AC65" s="460">
        <f>[1]Weighted!$B$33</f>
        <v>1.1000000000000001</v>
      </c>
      <c r="AD65" s="460">
        <f>[1]Weighted!$B$33</f>
        <v>1.1000000000000001</v>
      </c>
      <c r="AE65" s="460">
        <f>[1]Weighted!$B$33</f>
        <v>1.1000000000000001</v>
      </c>
      <c r="AF65" s="460">
        <f>[1]Weighted!$B$33</f>
        <v>1.1000000000000001</v>
      </c>
      <c r="AG65" s="460">
        <f>[1]Weighted!$B$33</f>
        <v>1.1000000000000001</v>
      </c>
      <c r="AH65" s="460">
        <f>[1]Weighted!$B$33</f>
        <v>1.1000000000000001</v>
      </c>
      <c r="AI65" s="460">
        <f>[1]Weighted!$B$33</f>
        <v>1.1000000000000001</v>
      </c>
      <c r="AJ65" s="460">
        <f>[1]Weighted!$B$33</f>
        <v>1.1000000000000001</v>
      </c>
      <c r="AK65" s="460">
        <f>[1]Weighted!$B$33</f>
        <v>1.1000000000000001</v>
      </c>
      <c r="AL65" s="460">
        <f>[1]Weighted!$B$33</f>
        <v>1.1000000000000001</v>
      </c>
      <c r="AM65" s="460">
        <f>[1]Weighted!$B$33</f>
        <v>1.1000000000000001</v>
      </c>
      <c r="AN65" s="460">
        <f>[1]Weighted!$B$33</f>
        <v>1.1000000000000001</v>
      </c>
      <c r="AO65" s="460">
        <f>[1]Weighted!$B$33</f>
        <v>1.1000000000000001</v>
      </c>
      <c r="AP65" s="460">
        <f>[1]Weighted!$B$33</f>
        <v>1.1000000000000001</v>
      </c>
      <c r="AQ65" s="460">
        <f>[1]Weighted!$B$33</f>
        <v>1.1000000000000001</v>
      </c>
      <c r="AR65" s="460">
        <f>[1]Weighted!$B$33</f>
        <v>1.1000000000000001</v>
      </c>
      <c r="AS65" s="460">
        <f>[1]Weighted!$B$33</f>
        <v>1.1000000000000001</v>
      </c>
      <c r="AT65" s="460">
        <f>[1]Weighted!$B$33</f>
        <v>1.1000000000000001</v>
      </c>
      <c r="AU65" s="460">
        <f>[1]Weighted!$B$33</f>
        <v>1.1000000000000001</v>
      </c>
      <c r="AV65" s="460">
        <f>[1]Weighted!$B$33</f>
        <v>1.1000000000000001</v>
      </c>
      <c r="AW65" s="460">
        <f>[1]Weighted!$B$33</f>
        <v>1.1000000000000001</v>
      </c>
      <c r="AX65" s="452">
        <f>SUM(J65:AW65)</f>
        <v>44.000000000000028</v>
      </c>
      <c r="AY65" s="485" t="s">
        <v>588</v>
      </c>
      <c r="AZ65" s="485"/>
    </row>
    <row r="66" spans="2:52" ht="18.75" x14ac:dyDescent="0.3">
      <c r="B66" s="484" t="s">
        <v>590</v>
      </c>
      <c r="C66" s="484"/>
      <c r="D66" s="453"/>
      <c r="E66" s="453"/>
      <c r="F66" s="453"/>
      <c r="G66" s="484" t="s">
        <v>590</v>
      </c>
      <c r="H66" s="484"/>
      <c r="I66" s="484"/>
      <c r="J66" s="460">
        <f>ROUNDUP(J65/2,0)</f>
        <v>1</v>
      </c>
      <c r="K66" s="460">
        <f t="shared" ref="K66:AW66" si="9">ROUNDUP(K65/2,0)</f>
        <v>1</v>
      </c>
      <c r="L66" s="460">
        <f t="shared" si="9"/>
        <v>1</v>
      </c>
      <c r="M66" s="460">
        <f t="shared" si="9"/>
        <v>1</v>
      </c>
      <c r="N66" s="460">
        <f t="shared" si="9"/>
        <v>1</v>
      </c>
      <c r="O66" s="460">
        <f t="shared" si="9"/>
        <v>1</v>
      </c>
      <c r="P66" s="460">
        <f t="shared" si="9"/>
        <v>1</v>
      </c>
      <c r="Q66" s="460">
        <f t="shared" si="9"/>
        <v>1</v>
      </c>
      <c r="R66" s="460">
        <f t="shared" si="9"/>
        <v>1</v>
      </c>
      <c r="S66" s="460">
        <f t="shared" si="9"/>
        <v>1</v>
      </c>
      <c r="T66" s="460">
        <f t="shared" si="9"/>
        <v>1</v>
      </c>
      <c r="U66" s="460">
        <f t="shared" si="9"/>
        <v>1</v>
      </c>
      <c r="V66" s="460">
        <f t="shared" si="9"/>
        <v>1</v>
      </c>
      <c r="W66" s="460">
        <f t="shared" si="9"/>
        <v>1</v>
      </c>
      <c r="X66" s="460">
        <f t="shared" si="9"/>
        <v>1</v>
      </c>
      <c r="Y66" s="460">
        <f t="shared" si="9"/>
        <v>1</v>
      </c>
      <c r="Z66" s="460">
        <f t="shared" si="9"/>
        <v>1</v>
      </c>
      <c r="AA66" s="460">
        <f t="shared" si="9"/>
        <v>1</v>
      </c>
      <c r="AB66" s="460">
        <f t="shared" si="9"/>
        <v>1</v>
      </c>
      <c r="AC66" s="460">
        <f t="shared" si="9"/>
        <v>1</v>
      </c>
      <c r="AD66" s="460">
        <f t="shared" si="9"/>
        <v>1</v>
      </c>
      <c r="AE66" s="460">
        <f t="shared" si="9"/>
        <v>1</v>
      </c>
      <c r="AF66" s="460">
        <f t="shared" si="9"/>
        <v>1</v>
      </c>
      <c r="AG66" s="460">
        <f t="shared" si="9"/>
        <v>1</v>
      </c>
      <c r="AH66" s="460">
        <f t="shared" si="9"/>
        <v>1</v>
      </c>
      <c r="AI66" s="460">
        <f t="shared" si="9"/>
        <v>1</v>
      </c>
      <c r="AJ66" s="460">
        <f t="shared" si="9"/>
        <v>1</v>
      </c>
      <c r="AK66" s="460">
        <f t="shared" si="9"/>
        <v>1</v>
      </c>
      <c r="AL66" s="460">
        <f t="shared" si="9"/>
        <v>1</v>
      </c>
      <c r="AM66" s="460">
        <f t="shared" si="9"/>
        <v>1</v>
      </c>
      <c r="AN66" s="460">
        <f t="shared" si="9"/>
        <v>1</v>
      </c>
      <c r="AO66" s="460">
        <f t="shared" si="9"/>
        <v>1</v>
      </c>
      <c r="AP66" s="460">
        <f t="shared" si="9"/>
        <v>1</v>
      </c>
      <c r="AQ66" s="460">
        <f t="shared" si="9"/>
        <v>1</v>
      </c>
      <c r="AR66" s="460">
        <f t="shared" si="9"/>
        <v>1</v>
      </c>
      <c r="AS66" s="460">
        <f t="shared" si="9"/>
        <v>1</v>
      </c>
      <c r="AT66" s="460">
        <f t="shared" si="9"/>
        <v>1</v>
      </c>
      <c r="AU66" s="460">
        <f t="shared" si="9"/>
        <v>1</v>
      </c>
      <c r="AV66" s="460">
        <f t="shared" si="9"/>
        <v>1</v>
      </c>
      <c r="AW66" s="460">
        <f t="shared" si="9"/>
        <v>1</v>
      </c>
      <c r="AX66" s="452">
        <f>SUM(J66:AW66)</f>
        <v>40</v>
      </c>
      <c r="AY66" s="485" t="s">
        <v>590</v>
      </c>
      <c r="AZ66" s="485"/>
    </row>
    <row r="67" spans="2:52" ht="18.75" x14ac:dyDescent="0.3">
      <c r="B67" s="484" t="s">
        <v>591</v>
      </c>
      <c r="C67" s="484"/>
      <c r="D67" s="453"/>
      <c r="E67" s="453"/>
      <c r="F67" s="453"/>
      <c r="G67" s="484" t="s">
        <v>591</v>
      </c>
      <c r="H67" s="484"/>
      <c r="I67" s="484"/>
      <c r="J67" s="461">
        <f>J64-J66</f>
        <v>0</v>
      </c>
      <c r="K67" s="461">
        <f t="shared" ref="K67:AW67" si="10">K64-K66</f>
        <v>1</v>
      </c>
      <c r="L67" s="461">
        <f t="shared" si="10"/>
        <v>2</v>
      </c>
      <c r="M67" s="461">
        <f t="shared" si="10"/>
        <v>3</v>
      </c>
      <c r="N67" s="461">
        <f t="shared" si="10"/>
        <v>1</v>
      </c>
      <c r="O67" s="461">
        <f t="shared" si="10"/>
        <v>3</v>
      </c>
      <c r="P67" s="461">
        <f t="shared" si="10"/>
        <v>3</v>
      </c>
      <c r="Q67" s="461">
        <f t="shared" si="10"/>
        <v>1</v>
      </c>
      <c r="R67" s="461">
        <f t="shared" si="10"/>
        <v>1</v>
      </c>
      <c r="S67" s="461">
        <f t="shared" si="10"/>
        <v>1</v>
      </c>
      <c r="T67" s="461">
        <f t="shared" si="10"/>
        <v>2</v>
      </c>
      <c r="U67" s="461">
        <f t="shared" si="10"/>
        <v>1</v>
      </c>
      <c r="V67" s="461">
        <f t="shared" si="10"/>
        <v>2</v>
      </c>
      <c r="W67" s="461">
        <f t="shared" si="10"/>
        <v>3</v>
      </c>
      <c r="X67" s="461">
        <f t="shared" si="10"/>
        <v>2</v>
      </c>
      <c r="Y67" s="461">
        <f t="shared" si="10"/>
        <v>6</v>
      </c>
      <c r="Z67" s="461">
        <f t="shared" si="10"/>
        <v>6</v>
      </c>
      <c r="AA67" s="461">
        <f t="shared" si="10"/>
        <v>4</v>
      </c>
      <c r="AB67" s="461">
        <f t="shared" si="10"/>
        <v>3</v>
      </c>
      <c r="AC67" s="461">
        <f t="shared" si="10"/>
        <v>3</v>
      </c>
      <c r="AD67" s="461">
        <f t="shared" si="10"/>
        <v>2</v>
      </c>
      <c r="AE67" s="461">
        <f t="shared" si="10"/>
        <v>2</v>
      </c>
      <c r="AF67" s="461">
        <f t="shared" si="10"/>
        <v>2</v>
      </c>
      <c r="AG67" s="461">
        <f t="shared" si="10"/>
        <v>2</v>
      </c>
      <c r="AH67" s="461">
        <f t="shared" si="10"/>
        <v>3</v>
      </c>
      <c r="AI67" s="461">
        <f t="shared" si="10"/>
        <v>2</v>
      </c>
      <c r="AJ67" s="461">
        <f t="shared" si="10"/>
        <v>3</v>
      </c>
      <c r="AK67" s="461">
        <f t="shared" si="10"/>
        <v>3</v>
      </c>
      <c r="AL67" s="461">
        <f t="shared" si="10"/>
        <v>3</v>
      </c>
      <c r="AM67" s="461">
        <f t="shared" si="10"/>
        <v>2</v>
      </c>
      <c r="AN67" s="461">
        <f t="shared" si="10"/>
        <v>2</v>
      </c>
      <c r="AO67" s="461">
        <f t="shared" si="10"/>
        <v>4</v>
      </c>
      <c r="AP67" s="461">
        <f t="shared" si="10"/>
        <v>4</v>
      </c>
      <c r="AQ67" s="461">
        <f t="shared" si="10"/>
        <v>3</v>
      </c>
      <c r="AR67" s="461">
        <f t="shared" si="10"/>
        <v>2</v>
      </c>
      <c r="AS67" s="461">
        <f t="shared" si="10"/>
        <v>2</v>
      </c>
      <c r="AT67" s="461">
        <f t="shared" si="10"/>
        <v>1</v>
      </c>
      <c r="AU67" s="461">
        <f t="shared" si="10"/>
        <v>2</v>
      </c>
      <c r="AV67" s="461">
        <f t="shared" si="10"/>
        <v>1</v>
      </c>
      <c r="AW67" s="461">
        <f t="shared" si="10"/>
        <v>1</v>
      </c>
      <c r="AX67" s="454">
        <f>AVERAGE(J67:AW67)</f>
        <v>2.35</v>
      </c>
      <c r="AY67" s="486" t="s">
        <v>591</v>
      </c>
      <c r="AZ67" s="486"/>
    </row>
    <row r="68" spans="2:52" x14ac:dyDescent="0.2"/>
    <row r="69" spans="2:52" x14ac:dyDescent="0.2"/>
    <row r="70" spans="2:52" x14ac:dyDescent="0.2"/>
    <row r="71" spans="2:52" x14ac:dyDescent="0.2"/>
    <row r="72" spans="2:52" x14ac:dyDescent="0.2"/>
    <row r="73" spans="2:52" x14ac:dyDescent="0.2"/>
    <row r="74" spans="2:52" x14ac:dyDescent="0.2"/>
    <row r="75" spans="2:52" x14ac:dyDescent="0.2"/>
    <row r="76" spans="2:52" x14ac:dyDescent="0.2"/>
    <row r="77" spans="2:52" x14ac:dyDescent="0.2"/>
    <row r="78" spans="2:52" x14ac:dyDescent="0.2"/>
    <row r="79" spans="2:52" x14ac:dyDescent="0.2"/>
    <row r="80" spans="2:52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</sheetData>
  <sheetProtection autoFilter="0"/>
  <mergeCells count="19">
    <mergeCell ref="B66:C66"/>
    <mergeCell ref="G66:I66"/>
    <mergeCell ref="AY66:AZ66"/>
    <mergeCell ref="B67:C67"/>
    <mergeCell ref="G67:I67"/>
    <mergeCell ref="AY67:AZ67"/>
    <mergeCell ref="AY63:AZ63"/>
    <mergeCell ref="AY64:AZ64"/>
    <mergeCell ref="B65:C65"/>
    <mergeCell ref="G65:I65"/>
    <mergeCell ref="AY65:AZ65"/>
    <mergeCell ref="B3:C3"/>
    <mergeCell ref="F6:I6"/>
    <mergeCell ref="G63:I63"/>
    <mergeCell ref="G64:I64"/>
    <mergeCell ref="E3:F3"/>
    <mergeCell ref="E4:F4"/>
    <mergeCell ref="B63:C63"/>
    <mergeCell ref="B64:C64"/>
  </mergeCells>
  <conditionalFormatting sqref="J9:AX59">
    <cfRule type="containsBlanks" dxfId="412" priority="28" stopIfTrue="1">
      <formula>LEN(TRIM(J9))=0</formula>
    </cfRule>
    <cfRule type="beginsWith" dxfId="411" priority="30" stopIfTrue="1" operator="beginsWith" text="u">
      <formula>LEFT(J9,LEN("u"))="u"</formula>
    </cfRule>
    <cfRule type="beginsWith" dxfId="410" priority="31" stopIfTrue="1" operator="beginsWith" text="p">
      <formula>LEFT(J9,LEN("p"))="p"</formula>
    </cfRule>
    <cfRule type="containsText" dxfId="409" priority="32" stopIfTrue="1" operator="containsText" text="B1">
      <formula>NOT(ISERROR(SEARCH("B1",J9)))</formula>
    </cfRule>
    <cfRule type="containsText" dxfId="408" priority="33" stopIfTrue="1" operator="containsText" text="B2">
      <formula>NOT(ISERROR(SEARCH("B2",J9)))</formula>
    </cfRule>
    <cfRule type="containsText" dxfId="407" priority="34" stopIfTrue="1" operator="containsText" text="Lunch">
      <formula>NOT(ISERROR(SEARCH("Lunch",J9)))</formula>
    </cfRule>
    <cfRule type="containsText" dxfId="406" priority="35" stopIfTrue="1" operator="containsText" text="Interview">
      <formula>NOT(ISERROR(SEARCH("Interview",J9)))</formula>
    </cfRule>
    <cfRule type="containsText" dxfId="405" priority="36" stopIfTrue="1" operator="containsText" text="Side by Side">
      <formula>NOT(ISERROR(SEARCH("Side by Side",J9)))</formula>
    </cfRule>
    <cfRule type="containsText" dxfId="404" priority="37" stopIfTrue="1" operator="containsText" text="COACHING">
      <formula>NOT(ISERROR(SEARCH("COACHING",J9)))</formula>
    </cfRule>
    <cfRule type="containsText" dxfId="403" priority="38" stopIfTrue="1" operator="containsText" text="TM">
      <formula>NOT(ISERROR(SEARCH("TM",J9)))</formula>
    </cfRule>
    <cfRule type="containsText" dxfId="402" priority="39" stopIfTrue="1" operator="containsText" text="RNNR">
      <formula>NOT(ISERROR(SEARCH("RNNR",J9)))</formula>
    </cfRule>
    <cfRule type="containsText" dxfId="401" priority="40" stopIfTrue="1" operator="containsText" text="ADM">
      <formula>NOT(ISERROR(SEARCH("ADM",J9)))</formula>
    </cfRule>
    <cfRule type="containsText" dxfId="400" priority="41" stopIfTrue="1" operator="containsText" text="HL">
      <formula>NOT(ISERROR(SEARCH("HL",J9)))</formula>
    </cfRule>
    <cfRule type="notContainsBlanks" dxfId="399" priority="42" stopIfTrue="1">
      <formula>LEN(TRIM(J9))&gt;0</formula>
    </cfRule>
  </conditionalFormatting>
  <conditionalFormatting sqref="J63:AW63">
    <cfRule type="cellIs" dxfId="398" priority="5" operator="greaterThanOrEqual">
      <formula>2</formula>
    </cfRule>
    <cfRule type="containsText" dxfId="397" priority="6" operator="containsText" text="1">
      <formula>NOT(ISERROR(SEARCH("1",J63)))</formula>
    </cfRule>
    <cfRule type="containsText" dxfId="396" priority="7" operator="containsText" text="0">
      <formula>NOT(ISERROR(SEARCH("0",J63)))</formula>
    </cfRule>
  </conditionalFormatting>
  <conditionalFormatting sqref="J64:AW64">
    <cfRule type="cellIs" dxfId="395" priority="2" operator="greaterThanOrEqual">
      <formula>2</formula>
    </cfRule>
    <cfRule type="containsText" dxfId="394" priority="3" operator="containsText" text="1">
      <formula>NOT(ISERROR(SEARCH("1",J64)))</formula>
    </cfRule>
    <cfRule type="containsText" dxfId="393" priority="4" operator="containsText" text="0">
      <formula>NOT(ISERROR(SEARCH("0",J64)))</formula>
    </cfRule>
  </conditionalFormatting>
  <conditionalFormatting sqref="J67:AW67">
    <cfRule type="colorScale" priority="1">
      <colorScale>
        <cfvo type="num" val="-0.05"/>
        <cfvo type="num" val="0"/>
        <cfvo type="num" val="0.05"/>
        <color rgb="FFF8696B"/>
        <color rgb="FFCDF3CD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" stopIfTrue="1" operator="containsText" id="{980606F6-B453-4917-8B80-062EDEEAC7CC}">
            <xm:f>NOT(ISERROR(SEARCH("-",J9)))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J9:AX59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6" tint="0.59999389629810485"/>
    <outlinePr summaryBelow="0" summaryRight="0"/>
  </sheetPr>
  <dimension ref="A1:BA99"/>
  <sheetViews>
    <sheetView workbookViewId="0">
      <pane xSplit="9" ySplit="8" topLeftCell="J24" activePane="bottomRight" state="frozen"/>
      <selection activeCell="BB1" sqref="BB1:XFD1048576"/>
      <selection pane="topRight" activeCell="BB1" sqref="BB1:XFD1048576"/>
      <selection pane="bottomLeft" activeCell="BB1" sqref="BB1:XFD1048576"/>
      <selection pane="bottomRight" activeCell="B3" sqref="B3:C3"/>
    </sheetView>
  </sheetViews>
  <sheetFormatPr defaultColWidth="0" defaultRowHeight="12.75" zeroHeight="1" x14ac:dyDescent="0.2"/>
  <cols>
    <col min="1" max="1" width="1.7109375" style="6" customWidth="1"/>
    <col min="2" max="2" width="20.28515625" style="6" bestFit="1" customWidth="1"/>
    <col min="3" max="3" width="10.7109375" style="6" customWidth="1"/>
    <col min="4" max="4" width="11.85546875" style="6" customWidth="1"/>
    <col min="5" max="5" width="11.42578125" style="6" customWidth="1"/>
    <col min="6" max="6" width="11.28515625" style="6" customWidth="1"/>
    <col min="7" max="7" width="12.28515625" style="6" customWidth="1"/>
    <col min="8" max="50" width="10.7109375" style="6" customWidth="1"/>
    <col min="51" max="51" width="23.5703125" style="6" customWidth="1"/>
    <col min="52" max="52" width="1.7109375" style="6" customWidth="1"/>
    <col min="53" max="53" width="9.140625" style="6" customWidth="1"/>
    <col min="54" max="16384" width="9.140625" style="6" hidden="1"/>
  </cols>
  <sheetData>
    <row r="1" spans="1:51" ht="6" customHeight="1" x14ac:dyDescent="0.2">
      <c r="D1" s="5"/>
    </row>
    <row r="2" spans="1:51" x14ac:dyDescent="0.2"/>
    <row r="3" spans="1:51" ht="24.95" customHeight="1" x14ac:dyDescent="0.2">
      <c r="B3" s="480" t="str">
        <f>TEXT(Day_10,"DDDD")&amp;" - "&amp;TEXT(Day_10,"mm/dd/yy")</f>
        <v>Tuesday - 03/31/20</v>
      </c>
      <c r="C3" s="480"/>
      <c r="D3" s="106"/>
      <c r="E3" s="489" t="s">
        <v>429</v>
      </c>
      <c r="F3" s="489"/>
      <c r="K3" s="94" t="s">
        <v>124</v>
      </c>
      <c r="L3" s="152" t="s">
        <v>218</v>
      </c>
      <c r="M3" s="153" t="s">
        <v>220</v>
      </c>
      <c r="N3" s="71" t="s">
        <v>126</v>
      </c>
      <c r="O3" s="72" t="s">
        <v>130</v>
      </c>
      <c r="P3" s="73" t="s">
        <v>90</v>
      </c>
      <c r="Q3" s="139" t="s">
        <v>215</v>
      </c>
      <c r="R3" s="138" t="s">
        <v>211</v>
      </c>
      <c r="S3" s="137" t="s">
        <v>127</v>
      </c>
      <c r="T3" s="151" t="s">
        <v>139</v>
      </c>
      <c r="U3" s="69" t="s">
        <v>129</v>
      </c>
      <c r="V3" s="155" t="s">
        <v>146</v>
      </c>
      <c r="W3" s="157" t="s">
        <v>222</v>
      </c>
      <c r="X3" s="228" t="s">
        <v>366</v>
      </c>
      <c r="Y3" s="243" t="s">
        <v>371</v>
      </c>
      <c r="Z3" s="212"/>
      <c r="AA3" s="213"/>
      <c r="AB3" s="214"/>
      <c r="AD3" s="94" t="s">
        <v>124</v>
      </c>
      <c r="AE3" s="152" t="s">
        <v>218</v>
      </c>
      <c r="AF3" s="153" t="s">
        <v>220</v>
      </c>
      <c r="AG3" s="71" t="s">
        <v>126</v>
      </c>
      <c r="AH3" s="72" t="s">
        <v>130</v>
      </c>
      <c r="AI3" s="73" t="s">
        <v>90</v>
      </c>
      <c r="AJ3" s="139" t="s">
        <v>215</v>
      </c>
      <c r="AK3" s="138" t="s">
        <v>211</v>
      </c>
      <c r="AL3" s="137" t="s">
        <v>127</v>
      </c>
      <c r="AM3" s="151" t="s">
        <v>139</v>
      </c>
      <c r="AN3" s="69" t="s">
        <v>129</v>
      </c>
      <c r="AO3" s="155" t="s">
        <v>146</v>
      </c>
      <c r="AP3" s="157" t="s">
        <v>222</v>
      </c>
      <c r="AQ3" s="228" t="s">
        <v>366</v>
      </c>
      <c r="AR3" s="243" t="s">
        <v>371</v>
      </c>
      <c r="AS3" s="242"/>
    </row>
    <row r="4" spans="1:51" ht="24.95" customHeight="1" x14ac:dyDescent="0.2">
      <c r="B4" s="7"/>
      <c r="J4" s="18"/>
      <c r="K4" s="94" t="s">
        <v>125</v>
      </c>
      <c r="L4" s="154" t="s">
        <v>217</v>
      </c>
      <c r="M4" s="154" t="s">
        <v>221</v>
      </c>
      <c r="N4" s="70" t="s">
        <v>87</v>
      </c>
      <c r="O4" s="67" t="s">
        <v>89</v>
      </c>
      <c r="P4" s="67" t="s">
        <v>213</v>
      </c>
      <c r="Q4" s="67" t="s">
        <v>214</v>
      </c>
      <c r="R4" s="67" t="s">
        <v>212</v>
      </c>
      <c r="S4" s="67" t="s">
        <v>128</v>
      </c>
      <c r="T4" s="67" t="s">
        <v>138</v>
      </c>
      <c r="U4" s="67" t="s">
        <v>129</v>
      </c>
      <c r="V4" s="156" t="s">
        <v>145</v>
      </c>
      <c r="W4" s="98" t="s">
        <v>223</v>
      </c>
      <c r="X4" s="98" t="s">
        <v>367</v>
      </c>
      <c r="Y4" s="241" t="s">
        <v>372</v>
      </c>
      <c r="Z4" s="215"/>
      <c r="AA4" s="216"/>
      <c r="AB4" s="217"/>
      <c r="AD4" s="94" t="s">
        <v>125</v>
      </c>
      <c r="AE4" s="154" t="s">
        <v>217</v>
      </c>
      <c r="AF4" s="154" t="s">
        <v>221</v>
      </c>
      <c r="AG4" s="70" t="s">
        <v>87</v>
      </c>
      <c r="AH4" s="67" t="s">
        <v>89</v>
      </c>
      <c r="AI4" s="67" t="s">
        <v>213</v>
      </c>
      <c r="AJ4" s="67" t="s">
        <v>214</v>
      </c>
      <c r="AK4" s="67" t="s">
        <v>212</v>
      </c>
      <c r="AL4" s="67" t="s">
        <v>128</v>
      </c>
      <c r="AM4" s="67" t="s">
        <v>138</v>
      </c>
      <c r="AN4" s="67" t="s">
        <v>129</v>
      </c>
      <c r="AO4" s="156" t="s">
        <v>145</v>
      </c>
      <c r="AP4" s="98" t="s">
        <v>223</v>
      </c>
      <c r="AQ4" s="98" t="s">
        <v>367</v>
      </c>
      <c r="AR4" s="241" t="s">
        <v>372</v>
      </c>
    </row>
    <row r="5" spans="1:51" ht="6" customHeight="1" x14ac:dyDescent="0.2"/>
    <row r="6" spans="1:51" ht="17.25" customHeight="1" x14ac:dyDescent="0.2">
      <c r="F6" s="477" t="s">
        <v>132</v>
      </c>
      <c r="G6" s="478"/>
      <c r="H6" s="478"/>
      <c r="I6" s="479"/>
      <c r="J6" s="19"/>
      <c r="K6" s="19"/>
    </row>
    <row r="7" spans="1:51" ht="6" customHeight="1" thickBot="1" x14ac:dyDescent="0.25">
      <c r="J7" s="104" t="s">
        <v>93</v>
      </c>
      <c r="K7" s="104" t="s">
        <v>95</v>
      </c>
      <c r="L7" s="104" t="s">
        <v>97</v>
      </c>
      <c r="M7" s="104" t="s">
        <v>140</v>
      </c>
      <c r="N7" s="104" t="s">
        <v>109</v>
      </c>
      <c r="O7" s="104" t="s">
        <v>103</v>
      </c>
      <c r="P7" s="104" t="s">
        <v>121</v>
      </c>
      <c r="Q7" s="104" t="s">
        <v>113</v>
      </c>
      <c r="R7" s="104" t="s">
        <v>105</v>
      </c>
      <c r="S7" s="104" t="s">
        <v>107</v>
      </c>
      <c r="T7" s="104" t="s">
        <v>141</v>
      </c>
      <c r="U7" s="104" t="s">
        <v>101</v>
      </c>
      <c r="V7" s="104" t="s">
        <v>122</v>
      </c>
      <c r="W7" s="104" t="s">
        <v>116</v>
      </c>
      <c r="X7" s="104" t="s">
        <v>148</v>
      </c>
      <c r="Y7" s="104" t="s">
        <v>149</v>
      </c>
      <c r="Z7" s="104" t="s">
        <v>111</v>
      </c>
      <c r="AA7" s="104" t="s">
        <v>94</v>
      </c>
      <c r="AB7" s="104" t="s">
        <v>96</v>
      </c>
      <c r="AC7" s="104" t="s">
        <v>98</v>
      </c>
      <c r="AD7" s="104" t="s">
        <v>118</v>
      </c>
      <c r="AE7" s="104" t="s">
        <v>99</v>
      </c>
      <c r="AF7" s="104" t="s">
        <v>104</v>
      </c>
      <c r="AG7" s="104" t="s">
        <v>150</v>
      </c>
      <c r="AH7" s="104" t="s">
        <v>114</v>
      </c>
      <c r="AI7" s="104" t="s">
        <v>106</v>
      </c>
      <c r="AJ7" s="104" t="s">
        <v>108</v>
      </c>
      <c r="AK7" s="104" t="s">
        <v>142</v>
      </c>
      <c r="AL7" s="104" t="s">
        <v>102</v>
      </c>
      <c r="AM7" s="104" t="s">
        <v>143</v>
      </c>
      <c r="AN7" s="104" t="s">
        <v>123</v>
      </c>
      <c r="AO7" s="104" t="s">
        <v>117</v>
      </c>
      <c r="AP7" s="104" t="s">
        <v>151</v>
      </c>
      <c r="AQ7" s="104" t="s">
        <v>112</v>
      </c>
      <c r="AR7" s="104" t="s">
        <v>110</v>
      </c>
      <c r="AS7" s="104" t="s">
        <v>119</v>
      </c>
      <c r="AT7" s="104" t="s">
        <v>115</v>
      </c>
      <c r="AU7" s="104" t="s">
        <v>120</v>
      </c>
      <c r="AV7" s="104"/>
      <c r="AW7" s="104"/>
      <c r="AX7" s="105">
        <v>0</v>
      </c>
    </row>
    <row r="8" spans="1:51" ht="13.5" thickBot="1" x14ac:dyDescent="0.25">
      <c r="A8" s="15" t="s">
        <v>14</v>
      </c>
      <c r="B8" s="168" t="s">
        <v>2</v>
      </c>
      <c r="C8" s="169" t="s">
        <v>5</v>
      </c>
      <c r="D8" s="169" t="s">
        <v>84</v>
      </c>
      <c r="E8" s="169" t="s">
        <v>86</v>
      </c>
      <c r="F8" s="169" t="s">
        <v>87</v>
      </c>
      <c r="G8" s="169" t="s">
        <v>223</v>
      </c>
      <c r="H8" s="169" t="s">
        <v>89</v>
      </c>
      <c r="I8" s="169" t="s">
        <v>90</v>
      </c>
      <c r="J8" s="170" t="s">
        <v>93</v>
      </c>
      <c r="K8" s="170" t="s">
        <v>95</v>
      </c>
      <c r="L8" s="170" t="s">
        <v>97</v>
      </c>
      <c r="M8" s="170" t="s">
        <v>140</v>
      </c>
      <c r="N8" s="170" t="s">
        <v>109</v>
      </c>
      <c r="O8" s="170" t="s">
        <v>103</v>
      </c>
      <c r="P8" s="170" t="s">
        <v>121</v>
      </c>
      <c r="Q8" s="170" t="s">
        <v>113</v>
      </c>
      <c r="R8" s="170" t="s">
        <v>105</v>
      </c>
      <c r="S8" s="170" t="s">
        <v>107</v>
      </c>
      <c r="T8" s="170" t="s">
        <v>141</v>
      </c>
      <c r="U8" s="170" t="s">
        <v>101</v>
      </c>
      <c r="V8" s="170" t="s">
        <v>122</v>
      </c>
      <c r="W8" s="170" t="s">
        <v>116</v>
      </c>
      <c r="X8" s="170" t="s">
        <v>148</v>
      </c>
      <c r="Y8" s="170" t="s">
        <v>149</v>
      </c>
      <c r="Z8" s="340" t="s">
        <v>111</v>
      </c>
      <c r="AA8" s="340" t="s">
        <v>94</v>
      </c>
      <c r="AB8" s="170" t="s">
        <v>96</v>
      </c>
      <c r="AC8" s="170" t="s">
        <v>98</v>
      </c>
      <c r="AD8" s="170" t="s">
        <v>118</v>
      </c>
      <c r="AE8" s="170" t="s">
        <v>99</v>
      </c>
      <c r="AF8" s="170" t="s">
        <v>104</v>
      </c>
      <c r="AG8" s="170" t="s">
        <v>150</v>
      </c>
      <c r="AH8" s="170" t="s">
        <v>114</v>
      </c>
      <c r="AI8" s="170" t="s">
        <v>106</v>
      </c>
      <c r="AJ8" s="170" t="s">
        <v>108</v>
      </c>
      <c r="AK8" s="170" t="s">
        <v>142</v>
      </c>
      <c r="AL8" s="170" t="s">
        <v>102</v>
      </c>
      <c r="AM8" s="170" t="s">
        <v>143</v>
      </c>
      <c r="AN8" s="170" t="s">
        <v>123</v>
      </c>
      <c r="AO8" s="170" t="s">
        <v>117</v>
      </c>
      <c r="AP8" s="170" t="s">
        <v>151</v>
      </c>
      <c r="AQ8" s="170" t="s">
        <v>112</v>
      </c>
      <c r="AR8" s="170" t="s">
        <v>110</v>
      </c>
      <c r="AS8" s="170" t="s">
        <v>119</v>
      </c>
      <c r="AT8" s="170" t="s">
        <v>115</v>
      </c>
      <c r="AU8" s="199" t="s">
        <v>120</v>
      </c>
      <c r="AV8" s="199" t="s">
        <v>100</v>
      </c>
      <c r="AW8" s="199" t="s">
        <v>243</v>
      </c>
      <c r="AX8" s="199" t="s">
        <v>244</v>
      </c>
      <c r="AY8" s="171" t="s">
        <v>147</v>
      </c>
    </row>
    <row r="9" spans="1:51" s="44" customFormat="1" ht="12" customHeight="1" x14ac:dyDescent="0.2">
      <c r="A9" s="39" t="str">
        <f>IF(B9="","",INDEX(TeamList[],MATCH($B9,TeamList[[Employee Name]:[Employee Name]],0),MATCH("Manager",TeamList[#Headers],0)))</f>
        <v>Olson, Katherine</v>
      </c>
      <c r="B9" s="201" t="s">
        <v>24</v>
      </c>
      <c r="C9" s="257" t="str">
        <f>_xlfn.IFNA(VLOOKUP(Tue_W2[[#This Row],[Employee Name]],'Base Schedules'!A:B,2,FALSE),"")</f>
        <v>Lead</v>
      </c>
      <c r="D9" s="274">
        <f>_xlfn.IFNA(VLOOKUP(Tue_W2[[#This Row],[Employee Name]],'Base Schedules'!A:C,3,FALSE),"")</f>
        <v>500</v>
      </c>
      <c r="E9" s="274">
        <f>_xlfn.IFNA(VLOOKUP(Tue_W2[[#This Row],[Employee Name]],'Base Schedules'!A:D,4,FALSE),"")</f>
        <v>1330</v>
      </c>
      <c r="F9" s="142">
        <f>IF(Tue_W2[[#This Row],[Employee Name]]="","",IF(Tue_W2[[#This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f>
        <v>8</v>
      </c>
      <c r="G9" s="142">
        <f t="shared" ref="G9:G48" si="0">IF(B9="","",COUNTIFS($J9:$AX9,"*Coaching*",$J9:$AX9,"&lt;&gt;"&amp;"pTM",$J9:$AX9,"&lt;&gt;"&amp;"uTM"))</f>
        <v>0</v>
      </c>
      <c r="H9" s="142">
        <f t="shared" ref="H9:H55" si="1">IF(B9="","",COUNTIFS($J9:$AX9,"*ADM*",$J9:$AX9,"&lt;&gt;"&amp;"pADM",$J9:$AX9,"&lt;&gt;"&amp;"uADM"))</f>
        <v>5</v>
      </c>
      <c r="I9" s="142">
        <f>IF(Tue_W2[[#This Row],[Employee Name]]="","",IF(Tue_W2[[#This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f>
        <v>2</v>
      </c>
      <c r="J9" s="184" t="str">
        <f>IFERROR(IF(VLOOKUP(Tue_W2[[#This Row],[Employee Name]],'Base Schedules'!$A$160:$AW$203,9,FALSE)="","",VLOOKUP(Tue_W2[[#This Row],[Employee Name]],'Base Schedules'!$A$160:$AW$203,9,FALSE)),"")</f>
        <v>HL</v>
      </c>
      <c r="K9" s="184" t="str">
        <f>IFERROR(IF(VLOOKUP(Tue_W2[[#This Row],[Employee Name]],'Base Schedules'!$A$160:$AW$203,10,FALSE)="","",VLOOKUP(Tue_W2[[#This Row],[Employee Name]],'Base Schedules'!$A$160:$AW$203,10,FALSE)),"")</f>
        <v>HL</v>
      </c>
      <c r="L9" s="184" t="str">
        <f>IFERROR(IF(VLOOKUP(Tue_W2[[#This Row],[Employee Name]],'Base Schedules'!$A$160:$AW$203,11,FALSE)="","",VLOOKUP(Tue_W2[[#This Row],[Employee Name]],'Base Schedules'!$A$160:$AW$203,11,FALSE)),"")</f>
        <v>HL</v>
      </c>
      <c r="M9" s="184" t="str">
        <f>IFERROR(IF(VLOOKUP(Tue_W2[[#This Row],[Employee Name]],'Base Schedules'!$A$160:$AW$203,12,FALSE)="","",VLOOKUP(Tue_W2[[#This Row],[Employee Name]],'Base Schedules'!$A$160:$AW$203,12,FALSE)),"")</f>
        <v>HL B1</v>
      </c>
      <c r="N9" s="184" t="str">
        <f>IFERROR(IF(VLOOKUP(Tue_W2[[#This Row],[Employee Name]],'Base Schedules'!$A$160:$AW$203,13,FALSE)="","",VLOOKUP(Tue_W2[[#This Row],[Employee Name]],'Base Schedules'!$A$160:$AW$203,13,FALSE)),"")</f>
        <v>HL</v>
      </c>
      <c r="O9" s="184" t="str">
        <f>IFERROR(IF(VLOOKUP(Tue_W2[[#This Row],[Employee Name]],'Base Schedules'!$A$160:$AW$203,14,FALSE)="","",VLOOKUP(Tue_W2[[#This Row],[Employee Name]],'Base Schedules'!$A$160:$AW$203,14,FALSE)),"")</f>
        <v>HL</v>
      </c>
      <c r="P9" s="184" t="str">
        <f>IFERROR(IF(VLOOKUP(Tue_W2[[#This Row],[Employee Name]],'Base Schedules'!$A$160:$AW$203,15,FALSE)="","",VLOOKUP(Tue_W2[[#This Row],[Employee Name]],'Base Schedules'!$A$160:$AW$203,15,FALSE)),"")</f>
        <v>RNNR</v>
      </c>
      <c r="Q9" s="184" t="str">
        <f>IFERROR(IF(VLOOKUP(Tue_W2[[#This Row],[Employee Name]],'Base Schedules'!$A$160:$AW$203,16,FALSE)="","",VLOOKUP(Tue_W2[[#This Row],[Employee Name]],'Base Schedules'!$A$160:$AW$203,16,FALSE)),"")</f>
        <v>RNNR</v>
      </c>
      <c r="R9" s="184" t="str">
        <f>IFERROR(IF(VLOOKUP(Tue_W2[[#This Row],[Employee Name]],'Base Schedules'!$A$160:$AW$203,17,FALSE)="","",VLOOKUP(Tue_W2[[#This Row],[Employee Name]],'Base Schedules'!$A$160:$AW$203,17,FALSE)),"")</f>
        <v>LUNCH</v>
      </c>
      <c r="S9" s="184" t="str">
        <f>IFERROR(IF(VLOOKUP(Tue_W2[[#This Row],[Employee Name]],'Base Schedules'!$A$160:$AW$203,18,FALSE)="","",VLOOKUP(Tue_W2[[#This Row],[Employee Name]],'Base Schedules'!$A$160:$AW$203,18,FALSE)),"")</f>
        <v>ADM</v>
      </c>
      <c r="T9" s="184" t="str">
        <f>IFERROR(IF(VLOOKUP(Tue_W2[[#This Row],[Employee Name]],'Base Schedules'!$A$160:$AW$203,19,FALSE)="","",VLOOKUP(Tue_W2[[#This Row],[Employee Name]],'Base Schedules'!$A$160:$AW$203,19,FALSE)),"")</f>
        <v>ADM</v>
      </c>
      <c r="U9" s="184" t="str">
        <f>IFERROR(IF(VLOOKUP(Tue_W2[[#This Row],[Employee Name]],'Base Schedules'!$A$160:$AW$203,20,FALSE)="","",VLOOKUP(Tue_W2[[#This Row],[Employee Name]],'Base Schedules'!$A$160:$AW$203,20,FALSE)),"")</f>
        <v>ADM</v>
      </c>
      <c r="V9" s="184" t="str">
        <f>IFERROR(IF(VLOOKUP(Tue_W2[[#This Row],[Employee Name]],'Base Schedules'!$A$160:$AW$203,21,FALSE)="","",VLOOKUP(Tue_W2[[#This Row],[Employee Name]],'Base Schedules'!$A$160:$AW$203,21,FALSE)),"")</f>
        <v>B2 HL</v>
      </c>
      <c r="W9" s="184" t="str">
        <f>IFERROR(IF(VLOOKUP(Tue_W2[[#This Row],[Employee Name]],'Base Schedules'!$A$160:$AW$203,22,FALSE)="","",VLOOKUP(Tue_W2[[#This Row],[Employee Name]],'Base Schedules'!$A$160:$AW$203,22,FALSE)),"")</f>
        <v>ADM</v>
      </c>
      <c r="X9" s="184" t="str">
        <f>IFERROR(IF(VLOOKUP(Tue_W2[[#This Row],[Employee Name]],'Base Schedules'!$A$160:$AW$203,23,FALSE)="","",VLOOKUP(Tue_W2[[#This Row],[Employee Name]],'Base Schedules'!$A$160:$AW$203,23,FALSE)),"")</f>
        <v>ADM</v>
      </c>
      <c r="Y9" s="184" t="str">
        <f>IFERROR(IF(VLOOKUP(Tue_W2[[#This Row],[Employee Name]],'Base Schedules'!$A$160:$AW$203,24,FALSE)="","",VLOOKUP(Tue_W2[[#This Row],[Employee Name]],'Base Schedules'!$A$160:$AW$203,24,FALSE)),"")</f>
        <v>HL</v>
      </c>
      <c r="Z9" s="184" t="str">
        <f>IFERROR(IF(VLOOKUP(Tue_W2[[#This Row],[Employee Name]],'Base Schedules'!$A$160:$AW$203,25,FALSE)="","",VLOOKUP(Tue_W2[[#This Row],[Employee Name]],'Base Schedules'!$A$160:$AW$203,25,FALSE)),"")</f>
        <v>HL</v>
      </c>
      <c r="AA9" s="184" t="str">
        <f>IFERROR(IF(VLOOKUP(Tue_W2[[#This Row],[Employee Name]],'Base Schedules'!$A$160:$AW$203,26,FALSE)="","",VLOOKUP(Tue_W2[[#This Row],[Employee Name]],'Base Schedules'!$A$160:$AW$203,26,FALSE)),"")</f>
        <v/>
      </c>
      <c r="AB9" s="184" t="str">
        <f>IFERROR(IF(VLOOKUP(Tue_W2[[#This Row],[Employee Name]],'Base Schedules'!$A$160:$AW$203,27,FALSE)="","",VLOOKUP(Tue_W2[[#This Row],[Employee Name]],'Base Schedules'!$A$160:$AW$203,27,FALSE)),"")</f>
        <v/>
      </c>
      <c r="AC9" s="184" t="str">
        <f>IFERROR(IF(VLOOKUP(Tue_W2[[#This Row],[Employee Name]],'Base Schedules'!$A$160:$AW$203,28,FALSE)="","",VLOOKUP(Tue_W2[[#This Row],[Employee Name]],'Base Schedules'!$A$160:$AW$203,28,FALSE)),"")</f>
        <v/>
      </c>
      <c r="AD9" s="184" t="str">
        <f>IFERROR(IF(VLOOKUP(Tue_W2[[#This Row],[Employee Name]],'Base Schedules'!$A$160:$AW$203,29,FALSE)="","",VLOOKUP(Tue_W2[[#This Row],[Employee Name]],'Base Schedules'!$A$160:$AW$203,29,FALSE)),"")</f>
        <v/>
      </c>
      <c r="AE9" s="184" t="str">
        <f>IFERROR(IF(VLOOKUP(Tue_W2[[#This Row],[Employee Name]],'Base Schedules'!$A$160:$AW$203,30,FALSE)="","",VLOOKUP(Tue_W2[[#This Row],[Employee Name]],'Base Schedules'!$A$160:$AW$203,30,FALSE)),"")</f>
        <v/>
      </c>
      <c r="AF9" s="184" t="str">
        <f>IFERROR(IF(VLOOKUP(Tue_W2[[#This Row],[Employee Name]],'Base Schedules'!$A$160:$AW$203,31,FALSE)="","",VLOOKUP(Tue_W2[[#This Row],[Employee Name]],'Base Schedules'!$A$160:$AW$203,31,FALSE)),"")</f>
        <v/>
      </c>
      <c r="AG9" s="184" t="str">
        <f>IFERROR(IF(VLOOKUP(Tue_W2[[#This Row],[Employee Name]],'Base Schedules'!$A$160:$AW$203,32,FALSE)="","",VLOOKUP(Tue_W2[[#This Row],[Employee Name]],'Base Schedules'!$A$160:$AW$203,32,FALSE)),"")</f>
        <v/>
      </c>
      <c r="AH9" s="184" t="str">
        <f>IFERROR(IF(VLOOKUP(Tue_W2[[#This Row],[Employee Name]],'Base Schedules'!$A$160:$AW$203,33,FALSE)="","",VLOOKUP(Tue_W2[[#This Row],[Employee Name]],'Base Schedules'!$A$160:$AW$203,33,FALSE)),"")</f>
        <v/>
      </c>
      <c r="AI9" s="184" t="str">
        <f>IFERROR(IF(VLOOKUP(Tue_W2[[#This Row],[Employee Name]],'Base Schedules'!$A$160:$AW$203,34,FALSE)="","",VLOOKUP(Tue_W2[[#This Row],[Employee Name]],'Base Schedules'!$A$160:$AW$203,34,FALSE)),"")</f>
        <v/>
      </c>
      <c r="AJ9" s="184" t="str">
        <f>IFERROR(IF(VLOOKUP(Tue_W2[[#This Row],[Employee Name]],'Base Schedules'!$A$160:$AW$203,35,FALSE)="","",VLOOKUP(Tue_W2[[#This Row],[Employee Name]],'Base Schedules'!$A$160:$AW$203,35,FALSE)),"")</f>
        <v/>
      </c>
      <c r="AK9" s="184" t="str">
        <f>IFERROR(IF(VLOOKUP(Tue_W2[[#This Row],[Employee Name]],'Base Schedules'!$A$160:$AW$203,36,FALSE)="","",VLOOKUP(Tue_W2[[#This Row],[Employee Name]],'Base Schedules'!$A$160:$AW$203,36,FALSE)),"")</f>
        <v/>
      </c>
      <c r="AL9" s="184" t="str">
        <f>IFERROR(IF(VLOOKUP(Tue_W2[[#This Row],[Employee Name]],'Base Schedules'!$A$160:$AW$203,37,FALSE)="","",VLOOKUP(Tue_W2[[#This Row],[Employee Name]],'Base Schedules'!$A$160:$AW$203,37,FALSE)),"")</f>
        <v/>
      </c>
      <c r="AM9" s="184" t="str">
        <f>IFERROR(IF(VLOOKUP(Tue_W2[[#This Row],[Employee Name]],'Base Schedules'!$A$160:$AW$203,38,FALSE)="","",VLOOKUP(Tue_W2[[#This Row],[Employee Name]],'Base Schedules'!$A$160:$AW$203,38,FALSE)),"")</f>
        <v/>
      </c>
      <c r="AN9" s="184" t="str">
        <f>IFERROR(IF(VLOOKUP(Tue_W2[[#This Row],[Employee Name]],'Base Schedules'!$A$160:$AW$203,39,FALSE)="","",VLOOKUP(Tue_W2[[#This Row],[Employee Name]],'Base Schedules'!$A$160:$AW$203,39,FALSE)),"")</f>
        <v/>
      </c>
      <c r="AO9" s="184" t="str">
        <f>IFERROR(IF(VLOOKUP(Tue_W2[[#This Row],[Employee Name]],'Base Schedules'!$A$160:$AW$203,40,FALSE)="","",VLOOKUP(Tue_W2[[#This Row],[Employee Name]],'Base Schedules'!$A$160:$AW$203,40,FALSE)),"")</f>
        <v/>
      </c>
      <c r="AP9" s="184" t="str">
        <f>IFERROR(IF(VLOOKUP(Tue_W2[[#This Row],[Employee Name]],'Base Schedules'!$A$160:$AW$203,41,FALSE)="","",VLOOKUP(Tue_W2[[#This Row],[Employee Name]],'Base Schedules'!$A$160:$AW$203,41,FALSE)),"")</f>
        <v/>
      </c>
      <c r="AQ9" s="184" t="str">
        <f>IFERROR(IF(VLOOKUP(Tue_W2[[#This Row],[Employee Name]],'Base Schedules'!$A$160:$AW$203,42,FALSE)="","",VLOOKUP(Tue_W2[[#This Row],[Employee Name]],'Base Schedules'!$A$160:$AW$203,42,FALSE)),"")</f>
        <v/>
      </c>
      <c r="AR9" s="184" t="str">
        <f>IFERROR(IF(VLOOKUP(Tue_W2[[#This Row],[Employee Name]],'Base Schedules'!$A$160:$AW$203,43,FALSE)="","",VLOOKUP(Tue_W2[[#This Row],[Employee Name]],'Base Schedules'!$A$160:$AW$203,43,FALSE)),"")</f>
        <v/>
      </c>
      <c r="AS9" s="184" t="str">
        <f>IFERROR(IF(VLOOKUP(Tue_W2[[#This Row],[Employee Name]],'Base Schedules'!$A$160:$AW$203,44,FALSE)="","",VLOOKUP(Tue_W2[[#This Row],[Employee Name]],'Base Schedules'!$A$160:$AW$203,44,FALSE)),"")</f>
        <v/>
      </c>
      <c r="AT9" s="184" t="str">
        <f>IFERROR(IF(VLOOKUP(Tue_W2[[#This Row],[Employee Name]],'Base Schedules'!$A$160:$AW$203,45,FALSE)="","",VLOOKUP(Tue_W2[[#This Row],[Employee Name]],'Base Schedules'!$A$160:$AW$203,45,FALSE)),"")</f>
        <v/>
      </c>
      <c r="AU9" s="184" t="str">
        <f>IFERROR(IF(VLOOKUP(Tue_W2[[#This Row],[Employee Name]],'Base Schedules'!$A$160:$AW$203,46,FALSE)="","",VLOOKUP(Tue_W2[[#This Row],[Employee Name]],'Base Schedules'!$A$160:$AW$203,46,FALSE)),"")</f>
        <v/>
      </c>
      <c r="AV9" s="184" t="str">
        <f>IFERROR(IF(VLOOKUP(Tue_W2[[#This Row],[Employee Name]],'Base Schedules'!$A$160:$AW$203,47,FALSE)="","",VLOOKUP(Tue_W2[[#This Row],[Employee Name]],'Base Schedules'!$A$160:$AW$203,47,FALSE)),"")</f>
        <v/>
      </c>
      <c r="AW9" s="184" t="str">
        <f>IFERROR(IF(VLOOKUP(Tue_W2[[#This Row],[Employee Name]],'Base Schedules'!$A$160:$AW$203,48,FALSE)="","",VLOOKUP(Tue_W2[[#This Row],[Employee Name]],'Base Schedules'!$A$160:$AW$203,48,FALSE)),"")</f>
        <v/>
      </c>
      <c r="AX9" s="184" t="str">
        <f>IFERROR(IF(VLOOKUP(Tue_W2[[#This Row],[Employee Name]],'Base Schedules'!$A$160:$AW$203,49,FALSE)="","",VLOOKUP(Tue_W2[[#This Row],[Employee Name]],'Base Schedules'!$A$160:$AW$203,49,FALSE)),"")</f>
        <v/>
      </c>
      <c r="AY9" s="196" t="str">
        <f t="shared" ref="AY9:AY56" si="2">IF(B9="","",B9)</f>
        <v>Birrueta Arellano, Neftali</v>
      </c>
    </row>
    <row r="10" spans="1:51" s="44" customFormat="1" ht="12" customHeight="1" x14ac:dyDescent="0.2">
      <c r="A10" s="39" t="str">
        <f>IF(B10="","",INDEX(TeamList[],MATCH($B10,TeamList[[Employee Name]:[Employee Name]],0),MATCH("Manager",TeamList[#Headers],0)))</f>
        <v>Paulson, Matthew</v>
      </c>
      <c r="B10" s="201" t="s">
        <v>46</v>
      </c>
      <c r="C10" s="257" t="str">
        <f>_xlfn.IFNA(VLOOKUP(Tue_W2[[#This Row],[Employee Name]],'Base Schedules'!A:B,2,FALSE),"")</f>
        <v>Supervisor</v>
      </c>
      <c r="D10" s="274">
        <f>_xlfn.IFNA(VLOOKUP(Tue_W2[[#This Row],[Employee Name]],'Base Schedules'!A:C,3,FALSE),"")</f>
        <v>500</v>
      </c>
      <c r="E10" s="274">
        <f>_xlfn.IFNA(VLOOKUP(Tue_W2[[#This Row],[Employee Name]],'Base Schedules'!A:D,4,FALSE),"")</f>
        <v>1400</v>
      </c>
      <c r="F10" s="142">
        <f>IF(Tue_W2[[#This Row],[Employee Name]]="","",IF(Tue_W2[[#This Row],[Dept]]="Supervisor",COUNTIFS($J10:$AX10,"*HL*",$J10:$AX10,"&lt;&gt;"&amp;"pHL"),COUNTIFS($J10:$AX10,"*HL*",$J10:$AX10,"&lt;&gt;"&amp;"*pHL*",$J10:$AX10,"&lt;&gt;"&amp;"pB1 HL",$J10:$AX10,"&lt;&gt;"&amp;"pB2 HL")-SUM(COUNTIFS($J10:$AX10,"*HL B1*",$J10:$AX10,"&lt;&gt;"&amp;"pHL B1")*0.5,COUNTIFS($J10:$AX10,"*HL B2*",$J10:$AX10,"&lt;&gt;"&amp;"pHL B2")*0.5,COUNTIFS($J10:$AX10,"*B1 HL*",$J10:$AX10,"&lt;&gt;"&amp;"pB1 HL")*0.5,COUNTIFS($J10:$AX10,"*B2 HL*",$J10:$AX10,"&lt;&gt;"&amp;"pB2 HL")*0.5)))</f>
        <v>0</v>
      </c>
      <c r="G10" s="142">
        <f t="shared" si="0"/>
        <v>4</v>
      </c>
      <c r="H10" s="142">
        <f t="shared" si="1"/>
        <v>0</v>
      </c>
      <c r="I10" s="142">
        <f>IF(Tue_W2[[#This Row],[Employee Name]]="","",IF(Tue_W2[[#This Row],[Dept]]="Supervisor",SUM(COUNTIFS($J10:$AX10,"RTA*",$J10:$AX10,"&lt;&gt;"&amp;"pRTA"),COUNTIFS($J10:$AX10,"*CRTA*",$J10:$AX10,"&lt;&gt;"&amp;"pCRTA")),COUNTIFS($J10:$AX10,"*RNNR*",$J10:$AX10,"&lt;&gt;"&amp;"*pRNNR*",$J10:$AX10,"&lt;&gt;"&amp;"pB1 RNNR",$J10:$AX10,"&lt;&gt;"&amp;"pB2 RNNR")-SUM(COUNTIFS($J10:$AX10,"*RNNR B1*",$J10:$AX10,"&lt;&gt;"&amp;"pRNNR B1")*0.5,COUNTIFS($J10:$AX10,"*RNNR B2*",$J10:$AX10,"&lt;&gt;"&amp;"pRNNR B2")*0.5,COUNTIFS($J10:$AX10,"*B1 RNNR*",$J10:$AX10,"&lt;&gt;"&amp;"pB1 RNNR")*0.5,COUNTIFS($J10:$AX10,"*B2 RNNR*",$J10:$AX10,"&lt;&gt;"&amp;"pB2 RNNR")*0.5)))</f>
        <v>0</v>
      </c>
      <c r="J10" s="184" t="str">
        <f>IFERROR(IF(VLOOKUP(Tue_W2[[#This Row],[Employee Name]],'Base Schedules'!$A$160:$AW$203,9,FALSE)="","",VLOOKUP(Tue_W2[[#This Row],[Employee Name]],'Base Schedules'!$A$160:$AW$203,9,FALSE)),"")</f>
        <v>-</v>
      </c>
      <c r="K10" s="184" t="str">
        <f>IFERROR(IF(VLOOKUP(Tue_W2[[#This Row],[Employee Name]],'Base Schedules'!$A$160:$AW$203,10,FALSE)="","",VLOOKUP(Tue_W2[[#This Row],[Employee Name]],'Base Schedules'!$A$160:$AW$203,10,FALSE)),"")</f>
        <v>-</v>
      </c>
      <c r="L10" s="184" t="str">
        <f>IFERROR(IF(VLOOKUP(Tue_W2[[#This Row],[Employee Name]],'Base Schedules'!$A$160:$AW$203,11,FALSE)="","",VLOOKUP(Tue_W2[[#This Row],[Employee Name]],'Base Schedules'!$A$160:$AW$203,11,FALSE)),"")</f>
        <v>-</v>
      </c>
      <c r="M10" s="184" t="str">
        <f>IFERROR(IF(VLOOKUP(Tue_W2[[#This Row],[Employee Name]],'Base Schedules'!$A$160:$AW$203,12,FALSE)="","",VLOOKUP(Tue_W2[[#This Row],[Employee Name]],'Base Schedules'!$A$160:$AW$203,12,FALSE)),"")</f>
        <v>-</v>
      </c>
      <c r="N10" s="184" t="str">
        <f>IFERROR(IF(VLOOKUP(Tue_W2[[#This Row],[Employee Name]],'Base Schedules'!$A$160:$AW$203,13,FALSE)="","",VLOOKUP(Tue_W2[[#This Row],[Employee Name]],'Base Schedules'!$A$160:$AW$203,13,FALSE)),"")</f>
        <v>Coaching</v>
      </c>
      <c r="O10" s="184" t="str">
        <f>IFERROR(IF(VLOOKUP(Tue_W2[[#This Row],[Employee Name]],'Base Schedules'!$A$160:$AW$203,14,FALSE)="","",VLOOKUP(Tue_W2[[#This Row],[Employee Name]],'Base Schedules'!$A$160:$AW$203,14,FALSE)),"")</f>
        <v>Coaching</v>
      </c>
      <c r="P10" s="184" t="str">
        <f>IFERROR(IF(VLOOKUP(Tue_W2[[#This Row],[Employee Name]],'Base Schedules'!$A$160:$AW$203,15,FALSE)="","",VLOOKUP(Tue_W2[[#This Row],[Employee Name]],'Base Schedules'!$A$160:$AW$203,15,FALSE)),"")</f>
        <v>Coaching</v>
      </c>
      <c r="Q10" s="184" t="str">
        <f>IFERROR(IF(VLOOKUP(Tue_W2[[#This Row],[Employee Name]],'Base Schedules'!$A$160:$AW$203,16,FALSE)="","",VLOOKUP(Tue_W2[[#This Row],[Employee Name]],'Base Schedules'!$A$160:$AW$203,16,FALSE)),"")</f>
        <v>Coaching</v>
      </c>
      <c r="R10" s="184" t="str">
        <f>IFERROR(IF(VLOOKUP(Tue_W2[[#This Row],[Employee Name]],'Base Schedules'!$A$160:$AW$203,17,FALSE)="","",VLOOKUP(Tue_W2[[#This Row],[Employee Name]],'Base Schedules'!$A$160:$AW$203,17,FALSE)),"")</f>
        <v>-</v>
      </c>
      <c r="S10" s="184" t="str">
        <f>IFERROR(IF(VLOOKUP(Tue_W2[[#This Row],[Employee Name]],'Base Schedules'!$A$160:$AW$203,18,FALSE)="","",VLOOKUP(Tue_W2[[#This Row],[Employee Name]],'Base Schedules'!$A$160:$AW$203,18,FALSE)),"")</f>
        <v>-</v>
      </c>
      <c r="T10" s="184" t="str">
        <f>IFERROR(IF(VLOOKUP(Tue_W2[[#This Row],[Employee Name]],'Base Schedules'!$A$160:$AW$203,19,FALSE)="","",VLOOKUP(Tue_W2[[#This Row],[Employee Name]],'Base Schedules'!$A$160:$AW$203,19,FALSE)),"")</f>
        <v>Interview</v>
      </c>
      <c r="U10" s="184" t="str">
        <f>IFERROR(IF(VLOOKUP(Tue_W2[[#This Row],[Employee Name]],'Base Schedules'!$A$160:$AW$203,20,FALSE)="","",VLOOKUP(Tue_W2[[#This Row],[Employee Name]],'Base Schedules'!$A$160:$AW$203,20,FALSE)),"")</f>
        <v>Interview</v>
      </c>
      <c r="V10" s="184" t="str">
        <f>IFERROR(IF(VLOOKUP(Tue_W2[[#This Row],[Employee Name]],'Base Schedules'!$A$160:$AW$203,21,FALSE)="","",VLOOKUP(Tue_W2[[#This Row],[Employee Name]],'Base Schedules'!$A$160:$AW$203,21,FALSE)),"")</f>
        <v>-</v>
      </c>
      <c r="W10" s="184" t="str">
        <f>IFERROR(IF(VLOOKUP(Tue_W2[[#This Row],[Employee Name]],'Base Schedules'!$A$160:$AW$203,22,FALSE)="","",VLOOKUP(Tue_W2[[#This Row],[Employee Name]],'Base Schedules'!$A$160:$AW$203,22,FALSE)),"")</f>
        <v>-</v>
      </c>
      <c r="X10" s="184" t="str">
        <f>IFERROR(IF(VLOOKUP(Tue_W2[[#This Row],[Employee Name]],'Base Schedules'!$A$160:$AW$203,23,FALSE)="","",VLOOKUP(Tue_W2[[#This Row],[Employee Name]],'Base Schedules'!$A$160:$AW$203,23,FALSE)),"")</f>
        <v>-</v>
      </c>
      <c r="Y10" s="184" t="str">
        <f>IFERROR(IF(VLOOKUP(Tue_W2[[#This Row],[Employee Name]],'Base Schedules'!$A$160:$AW$203,24,FALSE)="","",VLOOKUP(Tue_W2[[#This Row],[Employee Name]],'Base Schedules'!$A$160:$AW$203,24,FALSE)),"")</f>
        <v>-</v>
      </c>
      <c r="Z10" s="184" t="str">
        <f>IFERROR(IF(VLOOKUP(Tue_W2[[#This Row],[Employee Name]],'Base Schedules'!$A$160:$AW$203,25,FALSE)="","",VLOOKUP(Tue_W2[[#This Row],[Employee Name]],'Base Schedules'!$A$160:$AW$203,25,FALSE)),"")</f>
        <v>-</v>
      </c>
      <c r="AA10" s="184" t="str">
        <f>IFERROR(IF(VLOOKUP(Tue_W2[[#This Row],[Employee Name]],'Base Schedules'!$A$160:$AW$203,26,FALSE)="","",VLOOKUP(Tue_W2[[#This Row],[Employee Name]],'Base Schedules'!$A$160:$AW$203,26,FALSE)),"")</f>
        <v>-</v>
      </c>
      <c r="AB10" s="184" t="str">
        <f>IFERROR(IF(VLOOKUP(Tue_W2[[#This Row],[Employee Name]],'Base Schedules'!$A$160:$AW$203,27,FALSE)="","",VLOOKUP(Tue_W2[[#This Row],[Employee Name]],'Base Schedules'!$A$160:$AW$203,27,FALSE)),"")</f>
        <v/>
      </c>
      <c r="AC10" s="184" t="str">
        <f>IFERROR(IF(VLOOKUP(Tue_W2[[#This Row],[Employee Name]],'Base Schedules'!$A$160:$AW$203,28,FALSE)="","",VLOOKUP(Tue_W2[[#This Row],[Employee Name]],'Base Schedules'!$A$160:$AW$203,28,FALSE)),"")</f>
        <v/>
      </c>
      <c r="AD10" s="184" t="str">
        <f>IFERROR(IF(VLOOKUP(Tue_W2[[#This Row],[Employee Name]],'Base Schedules'!$A$160:$AW$203,29,FALSE)="","",VLOOKUP(Tue_W2[[#This Row],[Employee Name]],'Base Schedules'!$A$160:$AW$203,29,FALSE)),"")</f>
        <v/>
      </c>
      <c r="AE10" s="184" t="str">
        <f>IFERROR(IF(VLOOKUP(Tue_W2[[#This Row],[Employee Name]],'Base Schedules'!$A$160:$AW$203,30,FALSE)="","",VLOOKUP(Tue_W2[[#This Row],[Employee Name]],'Base Schedules'!$A$160:$AW$203,30,FALSE)),"")</f>
        <v/>
      </c>
      <c r="AF10" s="184" t="str">
        <f>IFERROR(IF(VLOOKUP(Tue_W2[[#This Row],[Employee Name]],'Base Schedules'!$A$160:$AW$203,31,FALSE)="","",VLOOKUP(Tue_W2[[#This Row],[Employee Name]],'Base Schedules'!$A$160:$AW$203,31,FALSE)),"")</f>
        <v/>
      </c>
      <c r="AG10" s="184" t="str">
        <f>IFERROR(IF(VLOOKUP(Tue_W2[[#This Row],[Employee Name]],'Base Schedules'!$A$160:$AW$203,32,FALSE)="","",VLOOKUP(Tue_W2[[#This Row],[Employee Name]],'Base Schedules'!$A$160:$AW$203,32,FALSE)),"")</f>
        <v/>
      </c>
      <c r="AH10" s="184" t="str">
        <f>IFERROR(IF(VLOOKUP(Tue_W2[[#This Row],[Employee Name]],'Base Schedules'!$A$160:$AW$203,33,FALSE)="","",VLOOKUP(Tue_W2[[#This Row],[Employee Name]],'Base Schedules'!$A$160:$AW$203,33,FALSE)),"")</f>
        <v/>
      </c>
      <c r="AI10" s="184" t="str">
        <f>IFERROR(IF(VLOOKUP(Tue_W2[[#This Row],[Employee Name]],'Base Schedules'!$A$160:$AW$203,34,FALSE)="","",VLOOKUP(Tue_W2[[#This Row],[Employee Name]],'Base Schedules'!$A$160:$AW$203,34,FALSE)),"")</f>
        <v/>
      </c>
      <c r="AJ10" s="184" t="str">
        <f>IFERROR(IF(VLOOKUP(Tue_W2[[#This Row],[Employee Name]],'Base Schedules'!$A$160:$AW$203,35,FALSE)="","",VLOOKUP(Tue_W2[[#This Row],[Employee Name]],'Base Schedules'!$A$160:$AW$203,35,FALSE)),"")</f>
        <v/>
      </c>
      <c r="AK10" s="184" t="str">
        <f>IFERROR(IF(VLOOKUP(Tue_W2[[#This Row],[Employee Name]],'Base Schedules'!$A$160:$AW$203,36,FALSE)="","",VLOOKUP(Tue_W2[[#This Row],[Employee Name]],'Base Schedules'!$A$160:$AW$203,36,FALSE)),"")</f>
        <v/>
      </c>
      <c r="AL10" s="184" t="str">
        <f>IFERROR(IF(VLOOKUP(Tue_W2[[#This Row],[Employee Name]],'Base Schedules'!$A$160:$AW$203,37,FALSE)="","",VLOOKUP(Tue_W2[[#This Row],[Employee Name]],'Base Schedules'!$A$160:$AW$203,37,FALSE)),"")</f>
        <v/>
      </c>
      <c r="AM10" s="184" t="str">
        <f>IFERROR(IF(VLOOKUP(Tue_W2[[#This Row],[Employee Name]],'Base Schedules'!$A$160:$AW$203,38,FALSE)="","",VLOOKUP(Tue_W2[[#This Row],[Employee Name]],'Base Schedules'!$A$160:$AW$203,38,FALSE)),"")</f>
        <v/>
      </c>
      <c r="AN10" s="184" t="str">
        <f>IFERROR(IF(VLOOKUP(Tue_W2[[#This Row],[Employee Name]],'Base Schedules'!$A$160:$AW$203,39,FALSE)="","",VLOOKUP(Tue_W2[[#This Row],[Employee Name]],'Base Schedules'!$A$160:$AW$203,39,FALSE)),"")</f>
        <v/>
      </c>
      <c r="AO10" s="184" t="str">
        <f>IFERROR(IF(VLOOKUP(Tue_W2[[#This Row],[Employee Name]],'Base Schedules'!$A$160:$AW$203,40,FALSE)="","",VLOOKUP(Tue_W2[[#This Row],[Employee Name]],'Base Schedules'!$A$160:$AW$203,40,FALSE)),"")</f>
        <v/>
      </c>
      <c r="AP10" s="184" t="str">
        <f>IFERROR(IF(VLOOKUP(Tue_W2[[#This Row],[Employee Name]],'Base Schedules'!$A$160:$AW$203,41,FALSE)="","",VLOOKUP(Tue_W2[[#This Row],[Employee Name]],'Base Schedules'!$A$160:$AW$203,41,FALSE)),"")</f>
        <v/>
      </c>
      <c r="AQ10" s="184" t="str">
        <f>IFERROR(IF(VLOOKUP(Tue_W2[[#This Row],[Employee Name]],'Base Schedules'!$A$160:$AW$203,42,FALSE)="","",VLOOKUP(Tue_W2[[#This Row],[Employee Name]],'Base Schedules'!$A$160:$AW$203,42,FALSE)),"")</f>
        <v/>
      </c>
      <c r="AR10" s="184" t="str">
        <f>IFERROR(IF(VLOOKUP(Tue_W2[[#This Row],[Employee Name]],'Base Schedules'!$A$160:$AW$203,43,FALSE)="","",VLOOKUP(Tue_W2[[#This Row],[Employee Name]],'Base Schedules'!$A$160:$AW$203,43,FALSE)),"")</f>
        <v/>
      </c>
      <c r="AS10" s="184" t="str">
        <f>IFERROR(IF(VLOOKUP(Tue_W2[[#This Row],[Employee Name]],'Base Schedules'!$A$160:$AW$203,44,FALSE)="","",VLOOKUP(Tue_W2[[#This Row],[Employee Name]],'Base Schedules'!$A$160:$AW$203,44,FALSE)),"")</f>
        <v/>
      </c>
      <c r="AT10" s="184" t="str">
        <f>IFERROR(IF(VLOOKUP(Tue_W2[[#This Row],[Employee Name]],'Base Schedules'!$A$160:$AW$203,45,FALSE)="","",VLOOKUP(Tue_W2[[#This Row],[Employee Name]],'Base Schedules'!$A$160:$AW$203,45,FALSE)),"")</f>
        <v/>
      </c>
      <c r="AU10" s="184" t="str">
        <f>IFERROR(IF(VLOOKUP(Tue_W2[[#This Row],[Employee Name]],'Base Schedules'!$A$160:$AW$203,46,FALSE)="","",VLOOKUP(Tue_W2[[#This Row],[Employee Name]],'Base Schedules'!$A$160:$AW$203,46,FALSE)),"")</f>
        <v/>
      </c>
      <c r="AV10" s="184" t="str">
        <f>IFERROR(IF(VLOOKUP(Tue_W2[[#This Row],[Employee Name]],'Base Schedules'!$A$160:$AW$203,47,FALSE)="","",VLOOKUP(Tue_W2[[#This Row],[Employee Name]],'Base Schedules'!$A$160:$AW$203,47,FALSE)),"")</f>
        <v/>
      </c>
      <c r="AW10" s="184" t="str">
        <f>IFERROR(IF(VLOOKUP(Tue_W2[[#This Row],[Employee Name]],'Base Schedules'!$A$160:$AW$203,48,FALSE)="","",VLOOKUP(Tue_W2[[#This Row],[Employee Name]],'Base Schedules'!$A$160:$AW$203,48,FALSE)),"")</f>
        <v/>
      </c>
      <c r="AX10" s="184" t="str">
        <f>IFERROR(IF(VLOOKUP(Tue_W2[[#This Row],[Employee Name]],'Base Schedules'!$A$160:$AW$203,49,FALSE)="","",VLOOKUP(Tue_W2[[#This Row],[Employee Name]],'Base Schedules'!$A$160:$AW$203,49,FALSE)),"")</f>
        <v/>
      </c>
      <c r="AY10" s="159" t="str">
        <f t="shared" si="2"/>
        <v>Senft, Thomas</v>
      </c>
    </row>
    <row r="11" spans="1:51" s="44" customFormat="1" ht="12" customHeight="1" x14ac:dyDescent="0.2">
      <c r="A11" s="39" t="str">
        <f>IF(B11="","",INDEX(TeamList[],MATCH($B11,TeamList[[Employee Name]:[Employee Name]],0),MATCH("Manager",TeamList[#Headers],0)))</f>
        <v>Ahmed Hassan, Zahra</v>
      </c>
      <c r="B11" s="332" t="s">
        <v>25</v>
      </c>
      <c r="C11" s="257" t="str">
        <f>_xlfn.IFNA(VLOOKUP(Tue_W2[[#This Row],[Employee Name]],'Base Schedules'!A:B,2,FALSE),"")</f>
        <v>Supervisor</v>
      </c>
      <c r="D11" s="274">
        <f>_xlfn.IFNA(VLOOKUP(Tue_W2[[#This Row],[Employee Name]],'Base Schedules'!A:C,3,FALSE),"")</f>
        <v>500</v>
      </c>
      <c r="E11" s="274">
        <f>_xlfn.IFNA(VLOOKUP(Tue_W2[[#This Row],[Employee Name]],'Base Schedules'!A:D,4,FALSE),"")</f>
        <v>1400</v>
      </c>
      <c r="F11" s="142">
        <f>IF(Tue_W2[[#This Row],[Employee Name]]="","",IF(Tue_W2[[#This Row],[Dept]]="Supervisor",COUNTIFS($J11:$AX11,"*HL*",$J11:$AX11,"&lt;&gt;"&amp;"pHL"),COUNTIFS($J11:$AX11,"*HL*",$J11:$AX11,"&lt;&gt;"&amp;"*pHL*",$J11:$AX11,"&lt;&gt;"&amp;"pB1 HL",$J11:$AX11,"&lt;&gt;"&amp;"pB2 HL")-SUM(COUNTIFS($J11:$AX11,"*HL B1*",$J11:$AX11,"&lt;&gt;"&amp;"pHL B1")*0.5,COUNTIFS($J11:$AX11,"*HL B2*",$J11:$AX11,"&lt;&gt;"&amp;"pHL B2")*0.5,COUNTIFS($J11:$AX11,"*B1 HL*",$J11:$AX11,"&lt;&gt;"&amp;"pB1 HL")*0.5,COUNTIFS($J11:$AX11,"*B2 HL*",$J11:$AX11,"&lt;&gt;"&amp;"pB2 HL")*0.5)))</f>
        <v>0</v>
      </c>
      <c r="G11" s="142">
        <f t="shared" si="0"/>
        <v>4</v>
      </c>
      <c r="H11" s="142">
        <f t="shared" si="1"/>
        <v>0</v>
      </c>
      <c r="I11" s="142">
        <f>IF(Tue_W2[[#This Row],[Employee Name]]="","",IF(Tue_W2[[#This Row],[Dept]]="Supervisor",SUM(COUNTIFS($J11:$AX11,"RTA*",$J11:$AX11,"&lt;&gt;"&amp;"pRTA"),COUNTIFS($J11:$AX11,"*CRTA*",$J11:$AX11,"&lt;&gt;"&amp;"pCRTA")),COUNTIFS($J11:$AX11,"*RNNR*",$J11:$AX11,"&lt;&gt;"&amp;"*pRNNR*",$J11:$AX11,"&lt;&gt;"&amp;"pB1 RNNR",$J11:$AX11,"&lt;&gt;"&amp;"pB2 RNNR")-SUM(COUNTIFS($J11:$AX11,"*RNNR B1*",$J11:$AX11,"&lt;&gt;"&amp;"pRNNR B1")*0.5,COUNTIFS($J11:$AX11,"*RNNR B2*",$J11:$AX11,"&lt;&gt;"&amp;"pRNNR B2")*0.5,COUNTIFS($J11:$AX11,"*B1 RNNR*",$J11:$AX11,"&lt;&gt;"&amp;"pB1 RNNR")*0.5,COUNTIFS($J11:$AX11,"*B2 RNNR*",$J11:$AX11,"&lt;&gt;"&amp;"pB2 RNNR")*0.5)))</f>
        <v>0</v>
      </c>
      <c r="J11" s="184" t="str">
        <f>IFERROR(IF(VLOOKUP(Tue_W2[[#This Row],[Employee Name]],'Base Schedules'!$A$160:$AW$203,9,FALSE)="","",VLOOKUP(Tue_W2[[#This Row],[Employee Name]],'Base Schedules'!$A$160:$AW$203,9,FALSE)),"")</f>
        <v>-</v>
      </c>
      <c r="K11" s="184" t="str">
        <f>IFERROR(IF(VLOOKUP(Tue_W2[[#This Row],[Employee Name]],'Base Schedules'!$A$160:$AW$203,10,FALSE)="","",VLOOKUP(Tue_W2[[#This Row],[Employee Name]],'Base Schedules'!$A$160:$AW$203,10,FALSE)),"")</f>
        <v>-</v>
      </c>
      <c r="L11" s="184" t="str">
        <f>IFERROR(IF(VLOOKUP(Tue_W2[[#This Row],[Employee Name]],'Base Schedules'!$A$160:$AW$203,11,FALSE)="","",VLOOKUP(Tue_W2[[#This Row],[Employee Name]],'Base Schedules'!$A$160:$AW$203,11,FALSE)),"")</f>
        <v>-</v>
      </c>
      <c r="M11" s="184" t="str">
        <f>IFERROR(IF(VLOOKUP(Tue_W2[[#This Row],[Employee Name]],'Base Schedules'!$A$160:$AW$203,12,FALSE)="","",VLOOKUP(Tue_W2[[#This Row],[Employee Name]],'Base Schedules'!$A$160:$AW$203,12,FALSE)),"")</f>
        <v>-</v>
      </c>
      <c r="N11" s="184" t="str">
        <f>IFERROR(IF(VLOOKUP(Tue_W2[[#This Row],[Employee Name]],'Base Schedules'!$A$160:$AW$203,13,FALSE)="","",VLOOKUP(Tue_W2[[#This Row],[Employee Name]],'Base Schedules'!$A$160:$AW$203,13,FALSE)),"")</f>
        <v>-</v>
      </c>
      <c r="O11" s="184" t="str">
        <f>IFERROR(IF(VLOOKUP(Tue_W2[[#This Row],[Employee Name]],'Base Schedules'!$A$160:$AW$203,14,FALSE)="","",VLOOKUP(Tue_W2[[#This Row],[Employee Name]],'Base Schedules'!$A$160:$AW$203,14,FALSE)),"")</f>
        <v>-</v>
      </c>
      <c r="P11" s="184" t="str">
        <f>IFERROR(IF(VLOOKUP(Tue_W2[[#This Row],[Employee Name]],'Base Schedules'!$A$160:$AW$203,15,FALSE)="","",VLOOKUP(Tue_W2[[#This Row],[Employee Name]],'Base Schedules'!$A$160:$AW$203,15,FALSE)),"")</f>
        <v>Interview</v>
      </c>
      <c r="Q11" s="184" t="str">
        <f>IFERROR(IF(VLOOKUP(Tue_W2[[#This Row],[Employee Name]],'Base Schedules'!$A$160:$AW$203,16,FALSE)="","",VLOOKUP(Tue_W2[[#This Row],[Employee Name]],'Base Schedules'!$A$160:$AW$203,16,FALSE)),"")</f>
        <v>Interview</v>
      </c>
      <c r="R11" s="184" t="str">
        <f>IFERROR(IF(VLOOKUP(Tue_W2[[#This Row],[Employee Name]],'Base Schedules'!$A$160:$AW$203,17,FALSE)="","",VLOOKUP(Tue_W2[[#This Row],[Employee Name]],'Base Schedules'!$A$160:$AW$203,17,FALSE)),"")</f>
        <v>-</v>
      </c>
      <c r="S11" s="184" t="str">
        <f>IFERROR(IF(VLOOKUP(Tue_W2[[#This Row],[Employee Name]],'Base Schedules'!$A$160:$AW$203,18,FALSE)="","",VLOOKUP(Tue_W2[[#This Row],[Employee Name]],'Base Schedules'!$A$160:$AW$203,18,FALSE)),"")</f>
        <v>-</v>
      </c>
      <c r="T11" s="184" t="str">
        <f>IFERROR(IF(VLOOKUP(Tue_W2[[#This Row],[Employee Name]],'Base Schedules'!$A$160:$AW$203,19,FALSE)="","",VLOOKUP(Tue_W2[[#This Row],[Employee Name]],'Base Schedules'!$A$160:$AW$203,19,FALSE)),"")</f>
        <v>-</v>
      </c>
      <c r="U11" s="184" t="str">
        <f>IFERROR(IF(VLOOKUP(Tue_W2[[#This Row],[Employee Name]],'Base Schedules'!$A$160:$AW$203,20,FALSE)="","",VLOOKUP(Tue_W2[[#This Row],[Employee Name]],'Base Schedules'!$A$160:$AW$203,20,FALSE)),"")</f>
        <v>-</v>
      </c>
      <c r="V11" s="184" t="str">
        <f>IFERROR(IF(VLOOKUP(Tue_W2[[#This Row],[Employee Name]],'Base Schedules'!$A$160:$AW$203,21,FALSE)="","",VLOOKUP(Tue_W2[[#This Row],[Employee Name]],'Base Schedules'!$A$160:$AW$203,21,FALSE)),"")</f>
        <v>Coaching</v>
      </c>
      <c r="W11" s="184" t="str">
        <f>IFERROR(IF(VLOOKUP(Tue_W2[[#This Row],[Employee Name]],'Base Schedules'!$A$160:$AW$203,22,FALSE)="","",VLOOKUP(Tue_W2[[#This Row],[Employee Name]],'Base Schedules'!$A$160:$AW$203,22,FALSE)),"")</f>
        <v>Coaching</v>
      </c>
      <c r="X11" s="184" t="str">
        <f>IFERROR(IF(VLOOKUP(Tue_W2[[#This Row],[Employee Name]],'Base Schedules'!$A$160:$AW$203,23,FALSE)="","",VLOOKUP(Tue_W2[[#This Row],[Employee Name]],'Base Schedules'!$A$160:$AW$203,23,FALSE)),"")</f>
        <v>Coaching</v>
      </c>
      <c r="Y11" s="184" t="str">
        <f>IFERROR(IF(VLOOKUP(Tue_W2[[#This Row],[Employee Name]],'Base Schedules'!$A$160:$AW$203,24,FALSE)="","",VLOOKUP(Tue_W2[[#This Row],[Employee Name]],'Base Schedules'!$A$160:$AW$203,24,FALSE)),"")</f>
        <v>Coaching</v>
      </c>
      <c r="Z11" s="184" t="str">
        <f>IFERROR(IF(VLOOKUP(Tue_W2[[#This Row],[Employee Name]],'Base Schedules'!$A$160:$AW$203,25,FALSE)="","",VLOOKUP(Tue_W2[[#This Row],[Employee Name]],'Base Schedules'!$A$160:$AW$203,25,FALSE)),"")</f>
        <v>Team ZAH TM</v>
      </c>
      <c r="AA11" s="184" t="str">
        <f>IFERROR(IF(VLOOKUP(Tue_W2[[#This Row],[Employee Name]],'Base Schedules'!$A$160:$AW$203,26,FALSE)="","",VLOOKUP(Tue_W2[[#This Row],[Employee Name]],'Base Schedules'!$A$160:$AW$203,26,FALSE)),"")</f>
        <v>Team ZAH TM</v>
      </c>
      <c r="AB11" s="184" t="str">
        <f>IFERROR(IF(VLOOKUP(Tue_W2[[#This Row],[Employee Name]],'Base Schedules'!$A$160:$AW$203,27,FALSE)="","",VLOOKUP(Tue_W2[[#This Row],[Employee Name]],'Base Schedules'!$A$160:$AW$203,27,FALSE)),"")</f>
        <v/>
      </c>
      <c r="AC11" s="184" t="str">
        <f>IFERROR(IF(VLOOKUP(Tue_W2[[#This Row],[Employee Name]],'Base Schedules'!$A$160:$AW$203,28,FALSE)="","",VLOOKUP(Tue_W2[[#This Row],[Employee Name]],'Base Schedules'!$A$160:$AW$203,28,FALSE)),"")</f>
        <v/>
      </c>
      <c r="AD11" s="184" t="str">
        <f>IFERROR(IF(VLOOKUP(Tue_W2[[#This Row],[Employee Name]],'Base Schedules'!$A$160:$AW$203,29,FALSE)="","",VLOOKUP(Tue_W2[[#This Row],[Employee Name]],'Base Schedules'!$A$160:$AW$203,29,FALSE)),"")</f>
        <v/>
      </c>
      <c r="AE11" s="184" t="str">
        <f>IFERROR(IF(VLOOKUP(Tue_W2[[#This Row],[Employee Name]],'Base Schedules'!$A$160:$AW$203,30,FALSE)="","",VLOOKUP(Tue_W2[[#This Row],[Employee Name]],'Base Schedules'!$A$160:$AW$203,30,FALSE)),"")</f>
        <v/>
      </c>
      <c r="AF11" s="184" t="str">
        <f>IFERROR(IF(VLOOKUP(Tue_W2[[#This Row],[Employee Name]],'Base Schedules'!$A$160:$AW$203,31,FALSE)="","",VLOOKUP(Tue_W2[[#This Row],[Employee Name]],'Base Schedules'!$A$160:$AW$203,31,FALSE)),"")</f>
        <v/>
      </c>
      <c r="AG11" s="184" t="str">
        <f>IFERROR(IF(VLOOKUP(Tue_W2[[#This Row],[Employee Name]],'Base Schedules'!$A$160:$AW$203,32,FALSE)="","",VLOOKUP(Tue_W2[[#This Row],[Employee Name]],'Base Schedules'!$A$160:$AW$203,32,FALSE)),"")</f>
        <v/>
      </c>
      <c r="AH11" s="184" t="str">
        <f>IFERROR(IF(VLOOKUP(Tue_W2[[#This Row],[Employee Name]],'Base Schedules'!$A$160:$AW$203,33,FALSE)="","",VLOOKUP(Tue_W2[[#This Row],[Employee Name]],'Base Schedules'!$A$160:$AW$203,33,FALSE)),"")</f>
        <v/>
      </c>
      <c r="AI11" s="184" t="str">
        <f>IFERROR(IF(VLOOKUP(Tue_W2[[#This Row],[Employee Name]],'Base Schedules'!$A$160:$AW$203,34,FALSE)="","",VLOOKUP(Tue_W2[[#This Row],[Employee Name]],'Base Schedules'!$A$160:$AW$203,34,FALSE)),"")</f>
        <v/>
      </c>
      <c r="AJ11" s="184" t="str">
        <f>IFERROR(IF(VLOOKUP(Tue_W2[[#This Row],[Employee Name]],'Base Schedules'!$A$160:$AW$203,35,FALSE)="","",VLOOKUP(Tue_W2[[#This Row],[Employee Name]],'Base Schedules'!$A$160:$AW$203,35,FALSE)),"")</f>
        <v/>
      </c>
      <c r="AK11" s="184" t="str">
        <f>IFERROR(IF(VLOOKUP(Tue_W2[[#This Row],[Employee Name]],'Base Schedules'!$A$160:$AW$203,36,FALSE)="","",VLOOKUP(Tue_W2[[#This Row],[Employee Name]],'Base Schedules'!$A$160:$AW$203,36,FALSE)),"")</f>
        <v/>
      </c>
      <c r="AL11" s="184" t="str">
        <f>IFERROR(IF(VLOOKUP(Tue_W2[[#This Row],[Employee Name]],'Base Schedules'!$A$160:$AW$203,37,FALSE)="","",VLOOKUP(Tue_W2[[#This Row],[Employee Name]],'Base Schedules'!$A$160:$AW$203,37,FALSE)),"")</f>
        <v/>
      </c>
      <c r="AM11" s="184" t="str">
        <f>IFERROR(IF(VLOOKUP(Tue_W2[[#This Row],[Employee Name]],'Base Schedules'!$A$160:$AW$203,38,FALSE)="","",VLOOKUP(Tue_W2[[#This Row],[Employee Name]],'Base Schedules'!$A$160:$AW$203,38,FALSE)),"")</f>
        <v/>
      </c>
      <c r="AN11" s="184" t="str">
        <f>IFERROR(IF(VLOOKUP(Tue_W2[[#This Row],[Employee Name]],'Base Schedules'!$A$160:$AW$203,39,FALSE)="","",VLOOKUP(Tue_W2[[#This Row],[Employee Name]],'Base Schedules'!$A$160:$AW$203,39,FALSE)),"")</f>
        <v/>
      </c>
      <c r="AO11" s="184" t="str">
        <f>IFERROR(IF(VLOOKUP(Tue_W2[[#This Row],[Employee Name]],'Base Schedules'!$A$160:$AW$203,40,FALSE)="","",VLOOKUP(Tue_W2[[#This Row],[Employee Name]],'Base Schedules'!$A$160:$AW$203,40,FALSE)),"")</f>
        <v/>
      </c>
      <c r="AP11" s="184" t="str">
        <f>IFERROR(IF(VLOOKUP(Tue_W2[[#This Row],[Employee Name]],'Base Schedules'!$A$160:$AW$203,41,FALSE)="","",VLOOKUP(Tue_W2[[#This Row],[Employee Name]],'Base Schedules'!$A$160:$AW$203,41,FALSE)),"")</f>
        <v/>
      </c>
      <c r="AQ11" s="184" t="str">
        <f>IFERROR(IF(VLOOKUP(Tue_W2[[#This Row],[Employee Name]],'Base Schedules'!$A$160:$AW$203,42,FALSE)="","",VLOOKUP(Tue_W2[[#This Row],[Employee Name]],'Base Schedules'!$A$160:$AW$203,42,FALSE)),"")</f>
        <v/>
      </c>
      <c r="AR11" s="184" t="str">
        <f>IFERROR(IF(VLOOKUP(Tue_W2[[#This Row],[Employee Name]],'Base Schedules'!$A$160:$AW$203,43,FALSE)="","",VLOOKUP(Tue_W2[[#This Row],[Employee Name]],'Base Schedules'!$A$160:$AW$203,43,FALSE)),"")</f>
        <v/>
      </c>
      <c r="AS11" s="184" t="str">
        <f>IFERROR(IF(VLOOKUP(Tue_W2[[#This Row],[Employee Name]],'Base Schedules'!$A$160:$AW$203,44,FALSE)="","",VLOOKUP(Tue_W2[[#This Row],[Employee Name]],'Base Schedules'!$A$160:$AW$203,44,FALSE)),"")</f>
        <v/>
      </c>
      <c r="AT11" s="184" t="str">
        <f>IFERROR(IF(VLOOKUP(Tue_W2[[#This Row],[Employee Name]],'Base Schedules'!$A$160:$AW$203,45,FALSE)="","",VLOOKUP(Tue_W2[[#This Row],[Employee Name]],'Base Schedules'!$A$160:$AW$203,45,FALSE)),"")</f>
        <v/>
      </c>
      <c r="AU11" s="184" t="str">
        <f>IFERROR(IF(VLOOKUP(Tue_W2[[#This Row],[Employee Name]],'Base Schedules'!$A$160:$AW$203,46,FALSE)="","",VLOOKUP(Tue_W2[[#This Row],[Employee Name]],'Base Schedules'!$A$160:$AW$203,46,FALSE)),"")</f>
        <v/>
      </c>
      <c r="AV11" s="184" t="str">
        <f>IFERROR(IF(VLOOKUP(Tue_W2[[#This Row],[Employee Name]],'Base Schedules'!$A$160:$AW$203,47,FALSE)="","",VLOOKUP(Tue_W2[[#This Row],[Employee Name]],'Base Schedules'!$A$160:$AW$203,47,FALSE)),"")</f>
        <v/>
      </c>
      <c r="AW11" s="184" t="str">
        <f>IFERROR(IF(VLOOKUP(Tue_W2[[#This Row],[Employee Name]],'Base Schedules'!$A$160:$AW$203,48,FALSE)="","",VLOOKUP(Tue_W2[[#This Row],[Employee Name]],'Base Schedules'!$A$160:$AW$203,48,FALSE)),"")</f>
        <v/>
      </c>
      <c r="AX11" s="184" t="str">
        <f>IFERROR(IF(VLOOKUP(Tue_W2[[#This Row],[Employee Name]],'Base Schedules'!$A$160:$AW$203,49,FALSE)="","",VLOOKUP(Tue_W2[[#This Row],[Employee Name]],'Base Schedules'!$A$160:$AW$203,49,FALSE)),"")</f>
        <v/>
      </c>
      <c r="AY11" s="159" t="str">
        <f t="shared" si="2"/>
        <v>Oates, Eleanor</v>
      </c>
    </row>
    <row r="12" spans="1:51" s="44" customFormat="1" ht="12" customHeight="1" x14ac:dyDescent="0.2">
      <c r="A12" s="39" t="str">
        <f>IF(B12="","",INDEX(TeamList[],MATCH($B12,TeamList[[Employee Name]:[Employee Name]],0),MATCH("Manager",TeamList[#Headers],0)))</f>
        <v>Olson, Katherine</v>
      </c>
      <c r="B12" s="201" t="s">
        <v>44</v>
      </c>
      <c r="C12" s="257" t="str">
        <f>_xlfn.IFNA(VLOOKUP(Tue_W2[[#This Row],[Employee Name]],'Base Schedules'!A:B,2,FALSE),"")</f>
        <v>Lead</v>
      </c>
      <c r="D12" s="274">
        <f>_xlfn.IFNA(VLOOKUP(Tue_W2[[#This Row],[Employee Name]],'Base Schedules'!A:C,3,FALSE),"")</f>
        <v>530</v>
      </c>
      <c r="E12" s="274">
        <f>_xlfn.IFNA(VLOOKUP(Tue_W2[[#This Row],[Employee Name]],'Base Schedules'!A:D,4,FALSE),"")</f>
        <v>1400</v>
      </c>
      <c r="F12" s="142">
        <f>IF(Tue_W2[[#This Row],[Employee Name]]="","",IF(Tue_W2[[#This Row],[Dept]]="Supervisor",COUNTIFS($J12:$AX12,"*HL*",$J12:$AX12,"&lt;&gt;"&amp;"pHL"),COUNTIFS($J12:$AX12,"*HL*",$J12:$AX12,"&lt;&gt;"&amp;"*pHL*",$J12:$AX12,"&lt;&gt;"&amp;"pB1 HL",$J12:$AX12,"&lt;&gt;"&amp;"pB2 HL")-SUM(COUNTIFS($J12:$AX12,"*HL B1*",$J12:$AX12,"&lt;&gt;"&amp;"pHL B1")*0.5,COUNTIFS($J12:$AX12,"*HL B2*",$J12:$AX12,"&lt;&gt;"&amp;"pHL B2")*0.5,COUNTIFS($J12:$AX12,"*B1 HL*",$J12:$AX12,"&lt;&gt;"&amp;"pB1 HL")*0.5,COUNTIFS($J12:$AX12,"*B2 HL*",$J12:$AX12,"&lt;&gt;"&amp;"pB2 HL")*0.5)))</f>
        <v>4.5</v>
      </c>
      <c r="G12" s="142">
        <f t="shared" si="0"/>
        <v>0</v>
      </c>
      <c r="H12" s="142">
        <f t="shared" si="1"/>
        <v>9</v>
      </c>
      <c r="I12" s="142">
        <f>IF(Tue_W2[[#This Row],[Employee Name]]="","",IF(Tue_W2[[#This Row],[Dept]]="Supervisor",SUM(COUNTIFS($J12:$AX12,"RTA*",$J12:$AX12,"&lt;&gt;"&amp;"pRTA"),COUNTIFS($J12:$AX12,"*CRTA*",$J12:$AX12,"&lt;&gt;"&amp;"pCRTA")),COUNTIFS($J12:$AX12,"*RNNR*",$J12:$AX12,"&lt;&gt;"&amp;"*pRNNR*",$J12:$AX12,"&lt;&gt;"&amp;"pB1 RNNR",$J12:$AX12,"&lt;&gt;"&amp;"pB2 RNNR")-SUM(COUNTIFS($J12:$AX12,"*RNNR B1*",$J12:$AX12,"&lt;&gt;"&amp;"pRNNR B1")*0.5,COUNTIFS($J12:$AX12,"*RNNR B2*",$J12:$AX12,"&lt;&gt;"&amp;"pRNNR B2")*0.5,COUNTIFS($J12:$AX12,"*B1 RNNR*",$J12:$AX12,"&lt;&gt;"&amp;"pB1 RNNR")*0.5,COUNTIFS($J12:$AX12,"*B2 RNNR*",$J12:$AX12,"&lt;&gt;"&amp;"pB2 RNNR")*0.5)))</f>
        <v>2</v>
      </c>
      <c r="J12" s="184" t="str">
        <f>IFERROR(IF(VLOOKUP(Tue_W2[[#This Row],[Employee Name]],'Base Schedules'!$A$160:$AW$203,9,FALSE)="","",VLOOKUP(Tue_W2[[#This Row],[Employee Name]],'Base Schedules'!$A$160:$AW$203,9,FALSE)),"")</f>
        <v/>
      </c>
      <c r="K12" s="184" t="str">
        <f>IFERROR(IF(VLOOKUP(Tue_W2[[#This Row],[Employee Name]],'Base Schedules'!$A$160:$AW$203,10,FALSE)="","",VLOOKUP(Tue_W2[[#This Row],[Employee Name]],'Base Schedules'!$A$160:$AW$203,10,FALSE)),"")</f>
        <v>ADM</v>
      </c>
      <c r="L12" s="184" t="str">
        <f>IFERROR(IF(VLOOKUP(Tue_W2[[#This Row],[Employee Name]],'Base Schedules'!$A$160:$AW$203,11,FALSE)="","",VLOOKUP(Tue_W2[[#This Row],[Employee Name]],'Base Schedules'!$A$160:$AW$203,11,FALSE)),"")</f>
        <v>ADM</v>
      </c>
      <c r="M12" s="184" t="str">
        <f>IFERROR(IF(VLOOKUP(Tue_W2[[#This Row],[Employee Name]],'Base Schedules'!$A$160:$AW$203,12,FALSE)="","",VLOOKUP(Tue_W2[[#This Row],[Employee Name]],'Base Schedules'!$A$160:$AW$203,12,FALSE)),"")</f>
        <v>ADM</v>
      </c>
      <c r="N12" s="184" t="str">
        <f>IFERROR(IF(VLOOKUP(Tue_W2[[#This Row],[Employee Name]],'Base Schedules'!$A$160:$AW$203,13,FALSE)="","",VLOOKUP(Tue_W2[[#This Row],[Employee Name]],'Base Schedules'!$A$160:$AW$203,13,FALSE)),"")</f>
        <v>ADM</v>
      </c>
      <c r="O12" s="184" t="str">
        <f>IFERROR(IF(VLOOKUP(Tue_W2[[#This Row],[Employee Name]],'Base Schedules'!$A$160:$AW$203,14,FALSE)="","",VLOOKUP(Tue_W2[[#This Row],[Employee Name]],'Base Schedules'!$A$160:$AW$203,14,FALSE)),"")</f>
        <v>B1 HL</v>
      </c>
      <c r="P12" s="184" t="str">
        <f>IFERROR(IF(VLOOKUP(Tue_W2[[#This Row],[Employee Name]],'Base Schedules'!$A$160:$AW$203,15,FALSE)="","",VLOOKUP(Tue_W2[[#This Row],[Employee Name]],'Base Schedules'!$A$160:$AW$203,15,FALSE)),"")</f>
        <v>HL</v>
      </c>
      <c r="Q12" s="184" t="str">
        <f>IFERROR(IF(VLOOKUP(Tue_W2[[#This Row],[Employee Name]],'Base Schedules'!$A$160:$AW$203,16,FALSE)="","",VLOOKUP(Tue_W2[[#This Row],[Employee Name]],'Base Schedules'!$A$160:$AW$203,16,FALSE)),"")</f>
        <v>HL</v>
      </c>
      <c r="R12" s="184" t="str">
        <f>IFERROR(IF(VLOOKUP(Tue_W2[[#This Row],[Employee Name]],'Base Schedules'!$A$160:$AW$203,17,FALSE)="","",VLOOKUP(Tue_W2[[#This Row],[Employee Name]],'Base Schedules'!$A$160:$AW$203,17,FALSE)),"")</f>
        <v>RNNR</v>
      </c>
      <c r="S12" s="184" t="str">
        <f>IFERROR(IF(VLOOKUP(Tue_W2[[#This Row],[Employee Name]],'Base Schedules'!$A$160:$AW$203,18,FALSE)="","",VLOOKUP(Tue_W2[[#This Row],[Employee Name]],'Base Schedules'!$A$160:$AW$203,18,FALSE)),"")</f>
        <v>RNNR</v>
      </c>
      <c r="T12" s="184" t="str">
        <f>IFERROR(IF(VLOOKUP(Tue_W2[[#This Row],[Employee Name]],'Base Schedules'!$A$160:$AW$203,19,FALSE)="","",VLOOKUP(Tue_W2[[#This Row],[Employee Name]],'Base Schedules'!$A$160:$AW$203,19,FALSE)),"")</f>
        <v>LUNCH</v>
      </c>
      <c r="U12" s="184" t="str">
        <f>IFERROR(IF(VLOOKUP(Tue_W2[[#This Row],[Employee Name]],'Base Schedules'!$A$160:$AW$203,20,FALSE)="","",VLOOKUP(Tue_W2[[#This Row],[Employee Name]],'Base Schedules'!$A$160:$AW$203,20,FALSE)),"")</f>
        <v>ADM</v>
      </c>
      <c r="V12" s="184" t="str">
        <f>IFERROR(IF(VLOOKUP(Tue_W2[[#This Row],[Employee Name]],'Base Schedules'!$A$160:$AW$203,21,FALSE)="","",VLOOKUP(Tue_W2[[#This Row],[Employee Name]],'Base Schedules'!$A$160:$AW$203,21,FALSE)),"")</f>
        <v>ADM</v>
      </c>
      <c r="W12" s="184" t="str">
        <f>IFERROR(IF(VLOOKUP(Tue_W2[[#This Row],[Employee Name]],'Base Schedules'!$A$160:$AW$203,22,FALSE)="","",VLOOKUP(Tue_W2[[#This Row],[Employee Name]],'Base Schedules'!$A$160:$AW$203,22,FALSE)),"")</f>
        <v>ADM B2</v>
      </c>
      <c r="X12" s="184" t="str">
        <f>IFERROR(IF(VLOOKUP(Tue_W2[[#This Row],[Employee Name]],'Base Schedules'!$A$160:$AW$203,23,FALSE)="","",VLOOKUP(Tue_W2[[#This Row],[Employee Name]],'Base Schedules'!$A$160:$AW$203,23,FALSE)),"")</f>
        <v>ADM</v>
      </c>
      <c r="Y12" s="184" t="str">
        <f>IFERROR(IF(VLOOKUP(Tue_W2[[#This Row],[Employee Name]],'Base Schedules'!$A$160:$AW$203,24,FALSE)="","",VLOOKUP(Tue_W2[[#This Row],[Employee Name]],'Base Schedules'!$A$160:$AW$203,24,FALSE)),"")</f>
        <v>ADM</v>
      </c>
      <c r="Z12" s="184" t="str">
        <f>IFERROR(IF(VLOOKUP(Tue_W2[[#This Row],[Employee Name]],'Base Schedules'!$A$160:$AW$203,25,FALSE)="","",VLOOKUP(Tue_W2[[#This Row],[Employee Name]],'Base Schedules'!$A$160:$AW$203,25,FALSE)),"")</f>
        <v>HL</v>
      </c>
      <c r="AA12" s="184" t="str">
        <f>IFERROR(IF(VLOOKUP(Tue_W2[[#This Row],[Employee Name]],'Base Schedules'!$A$160:$AW$203,26,FALSE)="","",VLOOKUP(Tue_W2[[#This Row],[Employee Name]],'Base Schedules'!$A$160:$AW$203,26,FALSE)),"")</f>
        <v>HL</v>
      </c>
      <c r="AB12" s="184" t="str">
        <f>IFERROR(IF(VLOOKUP(Tue_W2[[#This Row],[Employee Name]],'Base Schedules'!$A$160:$AW$203,27,FALSE)="","",VLOOKUP(Tue_W2[[#This Row],[Employee Name]],'Base Schedules'!$A$160:$AW$203,27,FALSE)),"")</f>
        <v/>
      </c>
      <c r="AC12" s="184" t="str">
        <f>IFERROR(IF(VLOOKUP(Tue_W2[[#This Row],[Employee Name]],'Base Schedules'!$A$160:$AW$203,28,FALSE)="","",VLOOKUP(Tue_W2[[#This Row],[Employee Name]],'Base Schedules'!$A$160:$AW$203,28,FALSE)),"")</f>
        <v/>
      </c>
      <c r="AD12" s="184" t="str">
        <f>IFERROR(IF(VLOOKUP(Tue_W2[[#This Row],[Employee Name]],'Base Schedules'!$A$160:$AW$203,29,FALSE)="","",VLOOKUP(Tue_W2[[#This Row],[Employee Name]],'Base Schedules'!$A$160:$AW$203,29,FALSE)),"")</f>
        <v/>
      </c>
      <c r="AE12" s="184" t="str">
        <f>IFERROR(IF(VLOOKUP(Tue_W2[[#This Row],[Employee Name]],'Base Schedules'!$A$160:$AW$203,30,FALSE)="","",VLOOKUP(Tue_W2[[#This Row],[Employee Name]],'Base Schedules'!$A$160:$AW$203,30,FALSE)),"")</f>
        <v/>
      </c>
      <c r="AF12" s="184" t="str">
        <f>IFERROR(IF(VLOOKUP(Tue_W2[[#This Row],[Employee Name]],'Base Schedules'!$A$160:$AW$203,31,FALSE)="","",VLOOKUP(Tue_W2[[#This Row],[Employee Name]],'Base Schedules'!$A$160:$AW$203,31,FALSE)),"")</f>
        <v/>
      </c>
      <c r="AG12" s="184" t="str">
        <f>IFERROR(IF(VLOOKUP(Tue_W2[[#This Row],[Employee Name]],'Base Schedules'!$A$160:$AW$203,32,FALSE)="","",VLOOKUP(Tue_W2[[#This Row],[Employee Name]],'Base Schedules'!$A$160:$AW$203,32,FALSE)),"")</f>
        <v/>
      </c>
      <c r="AH12" s="184" t="str">
        <f>IFERROR(IF(VLOOKUP(Tue_W2[[#This Row],[Employee Name]],'Base Schedules'!$A$160:$AW$203,33,FALSE)="","",VLOOKUP(Tue_W2[[#This Row],[Employee Name]],'Base Schedules'!$A$160:$AW$203,33,FALSE)),"")</f>
        <v/>
      </c>
      <c r="AI12" s="184" t="str">
        <f>IFERROR(IF(VLOOKUP(Tue_W2[[#This Row],[Employee Name]],'Base Schedules'!$A$160:$AW$203,34,FALSE)="","",VLOOKUP(Tue_W2[[#This Row],[Employee Name]],'Base Schedules'!$A$160:$AW$203,34,FALSE)),"")</f>
        <v/>
      </c>
      <c r="AJ12" s="184" t="str">
        <f>IFERROR(IF(VLOOKUP(Tue_W2[[#This Row],[Employee Name]],'Base Schedules'!$A$160:$AW$203,35,FALSE)="","",VLOOKUP(Tue_W2[[#This Row],[Employee Name]],'Base Schedules'!$A$160:$AW$203,35,FALSE)),"")</f>
        <v/>
      </c>
      <c r="AK12" s="184" t="str">
        <f>IFERROR(IF(VLOOKUP(Tue_W2[[#This Row],[Employee Name]],'Base Schedules'!$A$160:$AW$203,36,FALSE)="","",VLOOKUP(Tue_W2[[#This Row],[Employee Name]],'Base Schedules'!$A$160:$AW$203,36,FALSE)),"")</f>
        <v/>
      </c>
      <c r="AL12" s="184" t="str">
        <f>IFERROR(IF(VLOOKUP(Tue_W2[[#This Row],[Employee Name]],'Base Schedules'!$A$160:$AW$203,37,FALSE)="","",VLOOKUP(Tue_W2[[#This Row],[Employee Name]],'Base Schedules'!$A$160:$AW$203,37,FALSE)),"")</f>
        <v/>
      </c>
      <c r="AM12" s="184" t="str">
        <f>IFERROR(IF(VLOOKUP(Tue_W2[[#This Row],[Employee Name]],'Base Schedules'!$A$160:$AW$203,38,FALSE)="","",VLOOKUP(Tue_W2[[#This Row],[Employee Name]],'Base Schedules'!$A$160:$AW$203,38,FALSE)),"")</f>
        <v/>
      </c>
      <c r="AN12" s="184" t="str">
        <f>IFERROR(IF(VLOOKUP(Tue_W2[[#This Row],[Employee Name]],'Base Schedules'!$A$160:$AW$203,39,FALSE)="","",VLOOKUP(Tue_W2[[#This Row],[Employee Name]],'Base Schedules'!$A$160:$AW$203,39,FALSE)),"")</f>
        <v/>
      </c>
      <c r="AO12" s="184" t="str">
        <f>IFERROR(IF(VLOOKUP(Tue_W2[[#This Row],[Employee Name]],'Base Schedules'!$A$160:$AW$203,40,FALSE)="","",VLOOKUP(Tue_W2[[#This Row],[Employee Name]],'Base Schedules'!$A$160:$AW$203,40,FALSE)),"")</f>
        <v/>
      </c>
      <c r="AP12" s="184" t="str">
        <f>IFERROR(IF(VLOOKUP(Tue_W2[[#This Row],[Employee Name]],'Base Schedules'!$A$160:$AW$203,41,FALSE)="","",VLOOKUP(Tue_W2[[#This Row],[Employee Name]],'Base Schedules'!$A$160:$AW$203,41,FALSE)),"")</f>
        <v/>
      </c>
      <c r="AQ12" s="184" t="str">
        <f>IFERROR(IF(VLOOKUP(Tue_W2[[#This Row],[Employee Name]],'Base Schedules'!$A$160:$AW$203,42,FALSE)="","",VLOOKUP(Tue_W2[[#This Row],[Employee Name]],'Base Schedules'!$A$160:$AW$203,42,FALSE)),"")</f>
        <v/>
      </c>
      <c r="AR12" s="184" t="str">
        <f>IFERROR(IF(VLOOKUP(Tue_W2[[#This Row],[Employee Name]],'Base Schedules'!$A$160:$AW$203,43,FALSE)="","",VLOOKUP(Tue_W2[[#This Row],[Employee Name]],'Base Schedules'!$A$160:$AW$203,43,FALSE)),"")</f>
        <v/>
      </c>
      <c r="AS12" s="184" t="str">
        <f>IFERROR(IF(VLOOKUP(Tue_W2[[#This Row],[Employee Name]],'Base Schedules'!$A$160:$AW$203,44,FALSE)="","",VLOOKUP(Tue_W2[[#This Row],[Employee Name]],'Base Schedules'!$A$160:$AW$203,44,FALSE)),"")</f>
        <v/>
      </c>
      <c r="AT12" s="184" t="str">
        <f>IFERROR(IF(VLOOKUP(Tue_W2[[#This Row],[Employee Name]],'Base Schedules'!$A$160:$AW$203,45,FALSE)="","",VLOOKUP(Tue_W2[[#This Row],[Employee Name]],'Base Schedules'!$A$160:$AW$203,45,FALSE)),"")</f>
        <v/>
      </c>
      <c r="AU12" s="184" t="str">
        <f>IFERROR(IF(VLOOKUP(Tue_W2[[#This Row],[Employee Name]],'Base Schedules'!$A$160:$AW$203,46,FALSE)="","",VLOOKUP(Tue_W2[[#This Row],[Employee Name]],'Base Schedules'!$A$160:$AW$203,46,FALSE)),"")</f>
        <v/>
      </c>
      <c r="AV12" s="184" t="str">
        <f>IFERROR(IF(VLOOKUP(Tue_W2[[#This Row],[Employee Name]],'Base Schedules'!$A$160:$AW$203,47,FALSE)="","",VLOOKUP(Tue_W2[[#This Row],[Employee Name]],'Base Schedules'!$A$160:$AW$203,47,FALSE)),"")</f>
        <v/>
      </c>
      <c r="AW12" s="184" t="str">
        <f>IFERROR(IF(VLOOKUP(Tue_W2[[#This Row],[Employee Name]],'Base Schedules'!$A$160:$AW$203,48,FALSE)="","",VLOOKUP(Tue_W2[[#This Row],[Employee Name]],'Base Schedules'!$A$160:$AW$203,48,FALSE)),"")</f>
        <v/>
      </c>
      <c r="AX12" s="184" t="str">
        <f>IFERROR(IF(VLOOKUP(Tue_W2[[#This Row],[Employee Name]],'Base Schedules'!$A$160:$AW$203,49,FALSE)="","",VLOOKUP(Tue_W2[[#This Row],[Employee Name]],'Base Schedules'!$A$160:$AW$203,49,FALSE)),"")</f>
        <v/>
      </c>
      <c r="AY12" s="159" t="str">
        <f t="shared" si="2"/>
        <v>Albritton, Ahmed</v>
      </c>
    </row>
    <row r="13" spans="1:51" s="44" customFormat="1" ht="12" customHeight="1" x14ac:dyDescent="0.2">
      <c r="A13" s="39" t="str">
        <f>IF(B13="","",INDEX(TeamList[],MATCH($B13,TeamList[[Employee Name]:[Employee Name]],0),MATCH("Manager",TeamList[#Headers],0)))</f>
        <v>Olson, Katherine</v>
      </c>
      <c r="B13" s="201" t="s">
        <v>230</v>
      </c>
      <c r="C13" s="257" t="str">
        <f>_xlfn.IFNA(VLOOKUP(Tue_W2[[#This Row],[Employee Name]],'Base Schedules'!A:B,2,FALSE),"")</f>
        <v>Lead</v>
      </c>
      <c r="D13" s="274">
        <f>_xlfn.IFNA(VLOOKUP(Tue_W2[[#This Row],[Employee Name]],'Base Schedules'!A:C,3,FALSE),"")</f>
        <v>530</v>
      </c>
      <c r="E13" s="274">
        <f>_xlfn.IFNA(VLOOKUP(Tue_W2[[#This Row],[Employee Name]],'Base Schedules'!A:D,4,FALSE),"")</f>
        <v>1430</v>
      </c>
      <c r="F13" s="142">
        <f>IF(Tue_W2[[#This Row],[Employee Name]]="","",IF(Tue_W2[[#This Row],[Dept]]="Supervisor",COUNTIFS($J13:$AX13,"*HL*",$J13:$AX13,"&lt;&gt;"&amp;"pHL"),COUNTIFS($J13:$AX13,"*HL*",$J13:$AX13,"&lt;&gt;"&amp;"*pHL*",$J13:$AX13,"&lt;&gt;"&amp;"pB1 HL",$J13:$AX13,"&lt;&gt;"&amp;"pB2 HL")-SUM(COUNTIFS($J13:$AX13,"*HL B1*",$J13:$AX13,"&lt;&gt;"&amp;"pHL B1")*0.5,COUNTIFS($J13:$AX13,"*HL B2*",$J13:$AX13,"&lt;&gt;"&amp;"pHL B2")*0.5,COUNTIFS($J13:$AX13,"*B1 HL*",$J13:$AX13,"&lt;&gt;"&amp;"pB1 HL")*0.5,COUNTIFS($J13:$AX13,"*B2 HL*",$J13:$AX13,"&lt;&gt;"&amp;"pB2 HL")*0.5)))</f>
        <v>7</v>
      </c>
      <c r="G13" s="142">
        <f t="shared" si="0"/>
        <v>0</v>
      </c>
      <c r="H13" s="142">
        <f t="shared" si="1"/>
        <v>9</v>
      </c>
      <c r="I13" s="142">
        <f>IF(Tue_W2[[#This Row],[Employee Name]]="","",IF(Tue_W2[[#This Row],[Dept]]="Supervisor",SUM(COUNTIFS($J13:$AX13,"RTA*",$J13:$AX13,"&lt;&gt;"&amp;"pRTA"),COUNTIFS($J13:$AX13,"*CRTA*",$J13:$AX13,"&lt;&gt;"&amp;"pCRTA")),COUNTIFS($J13:$AX13,"*RNNR*",$J13:$AX13,"&lt;&gt;"&amp;"*pRNNR*",$J13:$AX13,"&lt;&gt;"&amp;"pB1 RNNR",$J13:$AX13,"&lt;&gt;"&amp;"pB2 RNNR")-SUM(COUNTIFS($J13:$AX13,"*RNNR B1*",$J13:$AX13,"&lt;&gt;"&amp;"pRNNR B1")*0.5,COUNTIFS($J13:$AX13,"*RNNR B2*",$J13:$AX13,"&lt;&gt;"&amp;"pRNNR B2")*0.5,COUNTIFS($J13:$AX13,"*B1 RNNR*",$J13:$AX13,"&lt;&gt;"&amp;"pB1 RNNR")*0.5,COUNTIFS($J13:$AX13,"*B2 RNNR*",$J13:$AX13,"&lt;&gt;"&amp;"pB2 RNNR")*0.5)))</f>
        <v>0</v>
      </c>
      <c r="J13" s="184" t="str">
        <f>IFERROR(IF(VLOOKUP(Tue_W2[[#This Row],[Employee Name]],'Base Schedules'!$A$160:$AW$203,9,FALSE)="","",VLOOKUP(Tue_W2[[#This Row],[Employee Name]],'Base Schedules'!$A$160:$AW$203,9,FALSE)),"")</f>
        <v/>
      </c>
      <c r="K13" s="184" t="str">
        <f>IFERROR(IF(VLOOKUP(Tue_W2[[#This Row],[Employee Name]],'Base Schedules'!$A$160:$AW$203,10,FALSE)="","",VLOOKUP(Tue_W2[[#This Row],[Employee Name]],'Base Schedules'!$A$160:$AW$203,10,FALSE)),"")</f>
        <v>HL</v>
      </c>
      <c r="L13" s="184" t="str">
        <f>IFERROR(IF(VLOOKUP(Tue_W2[[#This Row],[Employee Name]],'Base Schedules'!$A$160:$AW$203,11,FALSE)="","",VLOOKUP(Tue_W2[[#This Row],[Employee Name]],'Base Schedules'!$A$160:$AW$203,11,FALSE)),"")</f>
        <v>ADM</v>
      </c>
      <c r="M13" s="184" t="str">
        <f>IFERROR(IF(VLOOKUP(Tue_W2[[#This Row],[Employee Name]],'Base Schedules'!$A$160:$AW$203,12,FALSE)="","",VLOOKUP(Tue_W2[[#This Row],[Employee Name]],'Base Schedules'!$A$160:$AW$203,12,FALSE)),"")</f>
        <v>ADM</v>
      </c>
      <c r="N13" s="184" t="str">
        <f>IFERROR(IF(VLOOKUP(Tue_W2[[#This Row],[Employee Name]],'Base Schedules'!$A$160:$AW$203,13,FALSE)="","",VLOOKUP(Tue_W2[[#This Row],[Employee Name]],'Base Schedules'!$A$160:$AW$203,13,FALSE)),"")</f>
        <v>ADM</v>
      </c>
      <c r="O13" s="184" t="str">
        <f>IFERROR(IF(VLOOKUP(Tue_W2[[#This Row],[Employee Name]],'Base Schedules'!$A$160:$AW$203,14,FALSE)="","",VLOOKUP(Tue_W2[[#This Row],[Employee Name]],'Base Schedules'!$A$160:$AW$203,14,FALSE)),"")</f>
        <v>ADM B1</v>
      </c>
      <c r="P13" s="184" t="str">
        <f>IFERROR(IF(VLOOKUP(Tue_W2[[#This Row],[Employee Name]],'Base Schedules'!$A$160:$AW$203,15,FALSE)="","",VLOOKUP(Tue_W2[[#This Row],[Employee Name]],'Base Schedules'!$A$160:$AW$203,15,FALSE)),"")</f>
        <v>HL</v>
      </c>
      <c r="Q13" s="184" t="str">
        <f>IFERROR(IF(VLOOKUP(Tue_W2[[#This Row],[Employee Name]],'Base Schedules'!$A$160:$AW$203,16,FALSE)="","",VLOOKUP(Tue_W2[[#This Row],[Employee Name]],'Base Schedules'!$A$160:$AW$203,16,FALSE)),"")</f>
        <v>HL</v>
      </c>
      <c r="R13" s="184" t="str">
        <f>IFERROR(IF(VLOOKUP(Tue_W2[[#This Row],[Employee Name]],'Base Schedules'!$A$160:$AW$203,17,FALSE)="","",VLOOKUP(Tue_W2[[#This Row],[Employee Name]],'Base Schedules'!$A$160:$AW$203,17,FALSE)),"")</f>
        <v>HL</v>
      </c>
      <c r="S13" s="184" t="str">
        <f>IFERROR(IF(VLOOKUP(Tue_W2[[#This Row],[Employee Name]],'Base Schedules'!$A$160:$AW$203,18,FALSE)="","",VLOOKUP(Tue_W2[[#This Row],[Employee Name]],'Base Schedules'!$A$160:$AW$203,18,FALSE)),"")</f>
        <v>ADM</v>
      </c>
      <c r="T13" s="184" t="str">
        <f>IFERROR(IF(VLOOKUP(Tue_W2[[#This Row],[Employee Name]],'Base Schedules'!$A$160:$AW$203,19,FALSE)="","",VLOOKUP(Tue_W2[[#This Row],[Employee Name]],'Base Schedules'!$A$160:$AW$203,19,FALSE)),"")</f>
        <v>ADM</v>
      </c>
      <c r="U13" s="184" t="str">
        <f>IFERROR(IF(VLOOKUP(Tue_W2[[#This Row],[Employee Name]],'Base Schedules'!$A$160:$AW$203,20,FALSE)="","",VLOOKUP(Tue_W2[[#This Row],[Employee Name]],'Base Schedules'!$A$160:$AW$203,20,FALSE)),"")</f>
        <v>LUNCH</v>
      </c>
      <c r="V13" s="184" t="str">
        <f>IFERROR(IF(VLOOKUP(Tue_W2[[#This Row],[Employee Name]],'Base Schedules'!$A$160:$AW$203,21,FALSE)="","",VLOOKUP(Tue_W2[[#This Row],[Employee Name]],'Base Schedules'!$A$160:$AW$203,21,FALSE)),"")</f>
        <v>LUNCH</v>
      </c>
      <c r="W13" s="184" t="str">
        <f>IFERROR(IF(VLOOKUP(Tue_W2[[#This Row],[Employee Name]],'Base Schedules'!$A$160:$AW$203,22,FALSE)="","",VLOOKUP(Tue_W2[[#This Row],[Employee Name]],'Base Schedules'!$A$160:$AW$203,22,FALSE)),"")</f>
        <v>HL</v>
      </c>
      <c r="X13" s="184" t="str">
        <f>IFERROR(IF(VLOOKUP(Tue_W2[[#This Row],[Employee Name]],'Base Schedules'!$A$160:$AW$203,23,FALSE)="","",VLOOKUP(Tue_W2[[#This Row],[Employee Name]],'Base Schedules'!$A$160:$AW$203,23,FALSE)),"")</f>
        <v>HL</v>
      </c>
      <c r="Y13" s="184" t="str">
        <f>IFERROR(IF(VLOOKUP(Tue_W2[[#This Row],[Employee Name]],'Base Schedules'!$A$160:$AW$203,24,FALSE)="","",VLOOKUP(Tue_W2[[#This Row],[Employee Name]],'Base Schedules'!$A$160:$AW$203,24,FALSE)),"")</f>
        <v>ADM B2</v>
      </c>
      <c r="Z13" s="184" t="str">
        <f>IFERROR(IF(VLOOKUP(Tue_W2[[#This Row],[Employee Name]],'Base Schedules'!$A$160:$AW$203,25,FALSE)="","",VLOOKUP(Tue_W2[[#This Row],[Employee Name]],'Base Schedules'!$A$160:$AW$203,25,FALSE)),"")</f>
        <v>ADM</v>
      </c>
      <c r="AA13" s="184" t="str">
        <f>IFERROR(IF(VLOOKUP(Tue_W2[[#This Row],[Employee Name]],'Base Schedules'!$A$160:$AW$203,26,FALSE)="","",VLOOKUP(Tue_W2[[#This Row],[Employee Name]],'Base Schedules'!$A$160:$AW$203,26,FALSE)),"")</f>
        <v>ADM</v>
      </c>
      <c r="AB13" s="184" t="str">
        <f>IFERROR(IF(VLOOKUP(Tue_W2[[#This Row],[Employee Name]],'Base Schedules'!$A$160:$AW$203,27,FALSE)="","",VLOOKUP(Tue_W2[[#This Row],[Employee Name]],'Base Schedules'!$A$160:$AW$203,27,FALSE)),"")</f>
        <v>HL</v>
      </c>
      <c r="AC13" s="184" t="str">
        <f>IFERROR(IF(VLOOKUP(Tue_W2[[#This Row],[Employee Name]],'Base Schedules'!$A$160:$AW$203,28,FALSE)="","",VLOOKUP(Tue_W2[[#This Row],[Employee Name]],'Base Schedules'!$A$160:$AW$203,28,FALSE)),"")</f>
        <v/>
      </c>
      <c r="AD13" s="184" t="str">
        <f>IFERROR(IF(VLOOKUP(Tue_W2[[#This Row],[Employee Name]],'Base Schedules'!$A$160:$AW$203,29,FALSE)="","",VLOOKUP(Tue_W2[[#This Row],[Employee Name]],'Base Schedules'!$A$160:$AW$203,29,FALSE)),"")</f>
        <v/>
      </c>
      <c r="AE13" s="184" t="str">
        <f>IFERROR(IF(VLOOKUP(Tue_W2[[#This Row],[Employee Name]],'Base Schedules'!$A$160:$AW$203,30,FALSE)="","",VLOOKUP(Tue_W2[[#This Row],[Employee Name]],'Base Schedules'!$A$160:$AW$203,30,FALSE)),"")</f>
        <v/>
      </c>
      <c r="AF13" s="184" t="str">
        <f>IFERROR(IF(VLOOKUP(Tue_W2[[#This Row],[Employee Name]],'Base Schedules'!$A$160:$AW$203,31,FALSE)="","",VLOOKUP(Tue_W2[[#This Row],[Employee Name]],'Base Schedules'!$A$160:$AW$203,31,FALSE)),"")</f>
        <v/>
      </c>
      <c r="AG13" s="184" t="str">
        <f>IFERROR(IF(VLOOKUP(Tue_W2[[#This Row],[Employee Name]],'Base Schedules'!$A$160:$AW$203,32,FALSE)="","",VLOOKUP(Tue_W2[[#This Row],[Employee Name]],'Base Schedules'!$A$160:$AW$203,32,FALSE)),"")</f>
        <v/>
      </c>
      <c r="AH13" s="184" t="str">
        <f>IFERROR(IF(VLOOKUP(Tue_W2[[#This Row],[Employee Name]],'Base Schedules'!$A$160:$AW$203,33,FALSE)="","",VLOOKUP(Tue_W2[[#This Row],[Employee Name]],'Base Schedules'!$A$160:$AW$203,33,FALSE)),"")</f>
        <v/>
      </c>
      <c r="AI13" s="184" t="str">
        <f>IFERROR(IF(VLOOKUP(Tue_W2[[#This Row],[Employee Name]],'Base Schedules'!$A$160:$AW$203,34,FALSE)="","",VLOOKUP(Tue_W2[[#This Row],[Employee Name]],'Base Schedules'!$A$160:$AW$203,34,FALSE)),"")</f>
        <v/>
      </c>
      <c r="AJ13" s="184" t="str">
        <f>IFERROR(IF(VLOOKUP(Tue_W2[[#This Row],[Employee Name]],'Base Schedules'!$A$160:$AW$203,35,FALSE)="","",VLOOKUP(Tue_W2[[#This Row],[Employee Name]],'Base Schedules'!$A$160:$AW$203,35,FALSE)),"")</f>
        <v/>
      </c>
      <c r="AK13" s="184" t="str">
        <f>IFERROR(IF(VLOOKUP(Tue_W2[[#This Row],[Employee Name]],'Base Schedules'!$A$160:$AW$203,36,FALSE)="","",VLOOKUP(Tue_W2[[#This Row],[Employee Name]],'Base Schedules'!$A$160:$AW$203,36,FALSE)),"")</f>
        <v/>
      </c>
      <c r="AL13" s="184" t="str">
        <f>IFERROR(IF(VLOOKUP(Tue_W2[[#This Row],[Employee Name]],'Base Schedules'!$A$160:$AW$203,37,FALSE)="","",VLOOKUP(Tue_W2[[#This Row],[Employee Name]],'Base Schedules'!$A$160:$AW$203,37,FALSE)),"")</f>
        <v/>
      </c>
      <c r="AM13" s="184" t="str">
        <f>IFERROR(IF(VLOOKUP(Tue_W2[[#This Row],[Employee Name]],'Base Schedules'!$A$160:$AW$203,38,FALSE)="","",VLOOKUP(Tue_W2[[#This Row],[Employee Name]],'Base Schedules'!$A$160:$AW$203,38,FALSE)),"")</f>
        <v/>
      </c>
      <c r="AN13" s="184" t="str">
        <f>IFERROR(IF(VLOOKUP(Tue_W2[[#This Row],[Employee Name]],'Base Schedules'!$A$160:$AW$203,39,FALSE)="","",VLOOKUP(Tue_W2[[#This Row],[Employee Name]],'Base Schedules'!$A$160:$AW$203,39,FALSE)),"")</f>
        <v/>
      </c>
      <c r="AO13" s="184" t="str">
        <f>IFERROR(IF(VLOOKUP(Tue_W2[[#This Row],[Employee Name]],'Base Schedules'!$A$160:$AW$203,40,FALSE)="","",VLOOKUP(Tue_W2[[#This Row],[Employee Name]],'Base Schedules'!$A$160:$AW$203,40,FALSE)),"")</f>
        <v/>
      </c>
      <c r="AP13" s="184" t="str">
        <f>IFERROR(IF(VLOOKUP(Tue_W2[[#This Row],[Employee Name]],'Base Schedules'!$A$160:$AW$203,41,FALSE)="","",VLOOKUP(Tue_W2[[#This Row],[Employee Name]],'Base Schedules'!$A$160:$AW$203,41,FALSE)),"")</f>
        <v/>
      </c>
      <c r="AQ13" s="184" t="str">
        <f>IFERROR(IF(VLOOKUP(Tue_W2[[#This Row],[Employee Name]],'Base Schedules'!$A$160:$AW$203,42,FALSE)="","",VLOOKUP(Tue_W2[[#This Row],[Employee Name]],'Base Schedules'!$A$160:$AW$203,42,FALSE)),"")</f>
        <v/>
      </c>
      <c r="AR13" s="184" t="str">
        <f>IFERROR(IF(VLOOKUP(Tue_W2[[#This Row],[Employee Name]],'Base Schedules'!$A$160:$AW$203,43,FALSE)="","",VLOOKUP(Tue_W2[[#This Row],[Employee Name]],'Base Schedules'!$A$160:$AW$203,43,FALSE)),"")</f>
        <v/>
      </c>
      <c r="AS13" s="184" t="str">
        <f>IFERROR(IF(VLOOKUP(Tue_W2[[#This Row],[Employee Name]],'Base Schedules'!$A$160:$AW$203,44,FALSE)="","",VLOOKUP(Tue_W2[[#This Row],[Employee Name]],'Base Schedules'!$A$160:$AW$203,44,FALSE)),"")</f>
        <v/>
      </c>
      <c r="AT13" s="184" t="str">
        <f>IFERROR(IF(VLOOKUP(Tue_W2[[#This Row],[Employee Name]],'Base Schedules'!$A$160:$AW$203,45,FALSE)="","",VLOOKUP(Tue_W2[[#This Row],[Employee Name]],'Base Schedules'!$A$160:$AW$203,45,FALSE)),"")</f>
        <v/>
      </c>
      <c r="AU13" s="184" t="str">
        <f>IFERROR(IF(VLOOKUP(Tue_W2[[#This Row],[Employee Name]],'Base Schedules'!$A$160:$AW$203,46,FALSE)="","",VLOOKUP(Tue_W2[[#This Row],[Employee Name]],'Base Schedules'!$A$160:$AW$203,46,FALSE)),"")</f>
        <v/>
      </c>
      <c r="AV13" s="184" t="str">
        <f>IFERROR(IF(VLOOKUP(Tue_W2[[#This Row],[Employee Name]],'Base Schedules'!$A$160:$AW$203,47,FALSE)="","",VLOOKUP(Tue_W2[[#This Row],[Employee Name]],'Base Schedules'!$A$160:$AW$203,47,FALSE)),"")</f>
        <v/>
      </c>
      <c r="AW13" s="184" t="str">
        <f>IFERROR(IF(VLOOKUP(Tue_W2[[#This Row],[Employee Name]],'Base Schedules'!$A$160:$AW$203,48,FALSE)="","",VLOOKUP(Tue_W2[[#This Row],[Employee Name]],'Base Schedules'!$A$160:$AW$203,48,FALSE)),"")</f>
        <v/>
      </c>
      <c r="AX13" s="184" t="str">
        <f>IFERROR(IF(VLOOKUP(Tue_W2[[#This Row],[Employee Name]],'Base Schedules'!$A$160:$AW$203,49,FALSE)="","",VLOOKUP(Tue_W2[[#This Row],[Employee Name]],'Base Schedules'!$A$160:$AW$203,49,FALSE)),"")</f>
        <v/>
      </c>
      <c r="AY13" s="159" t="str">
        <f t="shared" si="2"/>
        <v>Suarez, Alyssa</v>
      </c>
    </row>
    <row r="14" spans="1:51" s="44" customFormat="1" ht="12" customHeight="1" x14ac:dyDescent="0.2">
      <c r="A14" s="39" t="str">
        <f>IF(B14="","",INDEX(TeamList[],MATCH($B14,TeamList[[Employee Name]:[Employee Name]],0),MATCH("Manager",TeamList[#Headers],0)))</f>
        <v>Paulson, Matthew</v>
      </c>
      <c r="B14" s="201" t="s">
        <v>17</v>
      </c>
      <c r="C14" s="257" t="str">
        <f>_xlfn.IFNA(VLOOKUP(Tue_W2[[#This Row],[Employee Name]],'Base Schedules'!A:B,2,FALSE),"")</f>
        <v>Supervisor</v>
      </c>
      <c r="D14" s="274">
        <f>_xlfn.IFNA(VLOOKUP(Tue_W2[[#This Row],[Employee Name]],'Base Schedules'!A:C,3,FALSE),"")</f>
        <v>530</v>
      </c>
      <c r="E14" s="274">
        <f>_xlfn.IFNA(VLOOKUP(Tue_W2[[#This Row],[Employee Name]],'Base Schedules'!A:D,4,FALSE),"")</f>
        <v>1430</v>
      </c>
      <c r="F14" s="142">
        <f>IF(Tue_W2[[#This Row],[Employee Name]]="","",IF(Tue_W2[[#This Row],[Dept]]="Supervisor",COUNTIFS($J14:$AX14,"*HL*",$J14:$AX14,"&lt;&gt;"&amp;"pHL"),COUNTIFS($J14:$AX14,"*HL*",$J14:$AX14,"&lt;&gt;"&amp;"*pHL*",$J14:$AX14,"&lt;&gt;"&amp;"pB1 HL",$J14:$AX14,"&lt;&gt;"&amp;"pB2 HL")-SUM(COUNTIFS($J14:$AX14,"*HL B1*",$J14:$AX14,"&lt;&gt;"&amp;"pHL B1")*0.5,COUNTIFS($J14:$AX14,"*HL B2*",$J14:$AX14,"&lt;&gt;"&amp;"pHL B2")*0.5,COUNTIFS($J14:$AX14,"*B1 HL*",$J14:$AX14,"&lt;&gt;"&amp;"pB1 HL")*0.5,COUNTIFS($J14:$AX14,"*B2 HL*",$J14:$AX14,"&lt;&gt;"&amp;"pB2 HL")*0.5)))</f>
        <v>0</v>
      </c>
      <c r="G14" s="142">
        <f t="shared" si="0"/>
        <v>0</v>
      </c>
      <c r="H14" s="142">
        <f t="shared" si="1"/>
        <v>0</v>
      </c>
      <c r="I14" s="142">
        <f>IF(Tue_W2[[#This Row],[Employee Name]]="","",IF(Tue_W2[[#This Row],[Dept]]="Supervisor",SUM(COUNTIFS($J14:$AX14,"RTA*",$J14:$AX14,"&lt;&gt;"&amp;"pRTA"),COUNTIFS($J14:$AX14,"*CRTA*",$J14:$AX14,"&lt;&gt;"&amp;"pCRTA")),COUNTIFS($J14:$AX14,"*RNNR*",$J14:$AX14,"&lt;&gt;"&amp;"*pRNNR*",$J14:$AX14,"&lt;&gt;"&amp;"pB1 RNNR",$J14:$AX14,"&lt;&gt;"&amp;"pB2 RNNR")-SUM(COUNTIFS($J14:$AX14,"*RNNR B1*",$J14:$AX14,"&lt;&gt;"&amp;"pRNNR B1")*0.5,COUNTIFS($J14:$AX14,"*RNNR B2*",$J14:$AX14,"&lt;&gt;"&amp;"pRNNR B2")*0.5,COUNTIFS($J14:$AX14,"*B1 RNNR*",$J14:$AX14,"&lt;&gt;"&amp;"pB1 RNNR")*0.5,COUNTIFS($J14:$AX14,"*B2 RNNR*",$J14:$AX14,"&lt;&gt;"&amp;"pB2 RNNR")*0.5)))</f>
        <v>0</v>
      </c>
      <c r="J14" s="184" t="str">
        <f>IFERROR(IF(VLOOKUP(Tue_W2[[#This Row],[Employee Name]],'Base Schedules'!$A$160:$AW$203,9,FALSE)="","",VLOOKUP(Tue_W2[[#This Row],[Employee Name]],'Base Schedules'!$A$160:$AW$203,9,FALSE)),"")</f>
        <v/>
      </c>
      <c r="K14" s="184" t="str">
        <f>IFERROR(IF(VLOOKUP(Tue_W2[[#This Row],[Employee Name]],'Base Schedules'!$A$160:$AW$203,10,FALSE)="","",VLOOKUP(Tue_W2[[#This Row],[Employee Name]],'Base Schedules'!$A$160:$AW$203,10,FALSE)),"")</f>
        <v/>
      </c>
      <c r="L14" s="184" t="str">
        <f>IFERROR(IF(VLOOKUP(Tue_W2[[#This Row],[Employee Name]],'Base Schedules'!$A$160:$AW$203,11,FALSE)="","",VLOOKUP(Tue_W2[[#This Row],[Employee Name]],'Base Schedules'!$A$160:$AW$203,11,FALSE)),"")</f>
        <v/>
      </c>
      <c r="M14" s="184" t="str">
        <f>IFERROR(IF(VLOOKUP(Tue_W2[[#This Row],[Employee Name]],'Base Schedules'!$A$160:$AW$203,12,FALSE)="","",VLOOKUP(Tue_W2[[#This Row],[Employee Name]],'Base Schedules'!$A$160:$AW$203,12,FALSE)),"")</f>
        <v/>
      </c>
      <c r="N14" s="184" t="str">
        <f>IFERROR(IF(VLOOKUP(Tue_W2[[#This Row],[Employee Name]],'Base Schedules'!$A$160:$AW$203,13,FALSE)="","",VLOOKUP(Tue_W2[[#This Row],[Employee Name]],'Base Schedules'!$A$160:$AW$203,13,FALSE)),"")</f>
        <v/>
      </c>
      <c r="O14" s="184" t="str">
        <f>IFERROR(IF(VLOOKUP(Tue_W2[[#This Row],[Employee Name]],'Base Schedules'!$A$160:$AW$203,14,FALSE)="","",VLOOKUP(Tue_W2[[#This Row],[Employee Name]],'Base Schedules'!$A$160:$AW$203,14,FALSE)),"")</f>
        <v/>
      </c>
      <c r="P14" s="184" t="str">
        <f>IFERROR(IF(VLOOKUP(Tue_W2[[#This Row],[Employee Name]],'Base Schedules'!$A$160:$AW$203,15,FALSE)="","",VLOOKUP(Tue_W2[[#This Row],[Employee Name]],'Base Schedules'!$A$160:$AW$203,15,FALSE)),"")</f>
        <v/>
      </c>
      <c r="Q14" s="184" t="str">
        <f>IFERROR(IF(VLOOKUP(Tue_W2[[#This Row],[Employee Name]],'Base Schedules'!$A$160:$AW$203,16,FALSE)="","",VLOOKUP(Tue_W2[[#This Row],[Employee Name]],'Base Schedules'!$A$160:$AW$203,16,FALSE)),"")</f>
        <v/>
      </c>
      <c r="R14" s="184" t="str">
        <f>IFERROR(IF(VLOOKUP(Tue_W2[[#This Row],[Employee Name]],'Base Schedules'!$A$160:$AW$203,17,FALSE)="","",VLOOKUP(Tue_W2[[#This Row],[Employee Name]],'Base Schedules'!$A$160:$AW$203,17,FALSE)),"")</f>
        <v/>
      </c>
      <c r="S14" s="184" t="str">
        <f>IFERROR(IF(VLOOKUP(Tue_W2[[#This Row],[Employee Name]],'Base Schedules'!$A$160:$AW$203,18,FALSE)="","",VLOOKUP(Tue_W2[[#This Row],[Employee Name]],'Base Schedules'!$A$160:$AW$203,18,FALSE)),"")</f>
        <v/>
      </c>
      <c r="T14" s="184" t="str">
        <f>IFERROR(IF(VLOOKUP(Tue_W2[[#This Row],[Employee Name]],'Base Schedules'!$A$160:$AW$203,19,FALSE)="","",VLOOKUP(Tue_W2[[#This Row],[Employee Name]],'Base Schedules'!$A$160:$AW$203,19,FALSE)),"")</f>
        <v/>
      </c>
      <c r="U14" s="184" t="str">
        <f>IFERROR(IF(VLOOKUP(Tue_W2[[#This Row],[Employee Name]],'Base Schedules'!$A$160:$AW$203,20,FALSE)="","",VLOOKUP(Tue_W2[[#This Row],[Employee Name]],'Base Schedules'!$A$160:$AW$203,20,FALSE)),"")</f>
        <v/>
      </c>
      <c r="V14" s="184" t="str">
        <f>IFERROR(IF(VLOOKUP(Tue_W2[[#This Row],[Employee Name]],'Base Schedules'!$A$160:$AW$203,21,FALSE)="","",VLOOKUP(Tue_W2[[#This Row],[Employee Name]],'Base Schedules'!$A$160:$AW$203,21,FALSE)),"")</f>
        <v/>
      </c>
      <c r="W14" s="184" t="str">
        <f>IFERROR(IF(VLOOKUP(Tue_W2[[#This Row],[Employee Name]],'Base Schedules'!$A$160:$AW$203,22,FALSE)="","",VLOOKUP(Tue_W2[[#This Row],[Employee Name]],'Base Schedules'!$A$160:$AW$203,22,FALSE)),"")</f>
        <v/>
      </c>
      <c r="X14" s="184" t="str">
        <f>IFERROR(IF(VLOOKUP(Tue_W2[[#This Row],[Employee Name]],'Base Schedules'!$A$160:$AW$203,23,FALSE)="","",VLOOKUP(Tue_W2[[#This Row],[Employee Name]],'Base Schedules'!$A$160:$AW$203,23,FALSE)),"")</f>
        <v/>
      </c>
      <c r="Y14" s="184" t="str">
        <f>IFERROR(IF(VLOOKUP(Tue_W2[[#This Row],[Employee Name]],'Base Schedules'!$A$160:$AW$203,24,FALSE)="","",VLOOKUP(Tue_W2[[#This Row],[Employee Name]],'Base Schedules'!$A$160:$AW$203,24,FALSE)),"")</f>
        <v/>
      </c>
      <c r="Z14" s="184" t="str">
        <f>IFERROR(IF(VLOOKUP(Tue_W2[[#This Row],[Employee Name]],'Base Schedules'!$A$160:$AW$203,25,FALSE)="","",VLOOKUP(Tue_W2[[#This Row],[Employee Name]],'Base Schedules'!$A$160:$AW$203,25,FALSE)),"")</f>
        <v/>
      </c>
      <c r="AA14" s="184" t="str">
        <f>IFERROR(IF(VLOOKUP(Tue_W2[[#This Row],[Employee Name]],'Base Schedules'!$A$160:$AW$203,26,FALSE)="","",VLOOKUP(Tue_W2[[#This Row],[Employee Name]],'Base Schedules'!$A$160:$AW$203,26,FALSE)),"")</f>
        <v/>
      </c>
      <c r="AB14" s="184" t="str">
        <f>IFERROR(IF(VLOOKUP(Tue_W2[[#This Row],[Employee Name]],'Base Schedules'!$A$160:$AW$203,27,FALSE)="","",VLOOKUP(Tue_W2[[#This Row],[Employee Name]],'Base Schedules'!$A$160:$AW$203,27,FALSE)),"")</f>
        <v/>
      </c>
      <c r="AC14" s="184" t="str">
        <f>IFERROR(IF(VLOOKUP(Tue_W2[[#This Row],[Employee Name]],'Base Schedules'!$A$160:$AW$203,28,FALSE)="","",VLOOKUP(Tue_W2[[#This Row],[Employee Name]],'Base Schedules'!$A$160:$AW$203,28,FALSE)),"")</f>
        <v/>
      </c>
      <c r="AD14" s="184" t="str">
        <f>IFERROR(IF(VLOOKUP(Tue_W2[[#This Row],[Employee Name]],'Base Schedules'!$A$160:$AW$203,29,FALSE)="","",VLOOKUP(Tue_W2[[#This Row],[Employee Name]],'Base Schedules'!$A$160:$AW$203,29,FALSE)),"")</f>
        <v/>
      </c>
      <c r="AE14" s="184" t="str">
        <f>IFERROR(IF(VLOOKUP(Tue_W2[[#This Row],[Employee Name]],'Base Schedules'!$A$160:$AW$203,30,FALSE)="","",VLOOKUP(Tue_W2[[#This Row],[Employee Name]],'Base Schedules'!$A$160:$AW$203,30,FALSE)),"")</f>
        <v/>
      </c>
      <c r="AF14" s="184" t="str">
        <f>IFERROR(IF(VLOOKUP(Tue_W2[[#This Row],[Employee Name]],'Base Schedules'!$A$160:$AW$203,31,FALSE)="","",VLOOKUP(Tue_W2[[#This Row],[Employee Name]],'Base Schedules'!$A$160:$AW$203,31,FALSE)),"")</f>
        <v/>
      </c>
      <c r="AG14" s="184" t="str">
        <f>IFERROR(IF(VLOOKUP(Tue_W2[[#This Row],[Employee Name]],'Base Schedules'!$A$160:$AW$203,32,FALSE)="","",VLOOKUP(Tue_W2[[#This Row],[Employee Name]],'Base Schedules'!$A$160:$AW$203,32,FALSE)),"")</f>
        <v/>
      </c>
      <c r="AH14" s="184" t="str">
        <f>IFERROR(IF(VLOOKUP(Tue_W2[[#This Row],[Employee Name]],'Base Schedules'!$A$160:$AW$203,33,FALSE)="","",VLOOKUP(Tue_W2[[#This Row],[Employee Name]],'Base Schedules'!$A$160:$AW$203,33,FALSE)),"")</f>
        <v/>
      </c>
      <c r="AI14" s="184" t="str">
        <f>IFERROR(IF(VLOOKUP(Tue_W2[[#This Row],[Employee Name]],'Base Schedules'!$A$160:$AW$203,34,FALSE)="","",VLOOKUP(Tue_W2[[#This Row],[Employee Name]],'Base Schedules'!$A$160:$AW$203,34,FALSE)),"")</f>
        <v/>
      </c>
      <c r="AJ14" s="184" t="str">
        <f>IFERROR(IF(VLOOKUP(Tue_W2[[#This Row],[Employee Name]],'Base Schedules'!$A$160:$AW$203,35,FALSE)="","",VLOOKUP(Tue_W2[[#This Row],[Employee Name]],'Base Schedules'!$A$160:$AW$203,35,FALSE)),"")</f>
        <v/>
      </c>
      <c r="AK14" s="184" t="str">
        <f>IFERROR(IF(VLOOKUP(Tue_W2[[#This Row],[Employee Name]],'Base Schedules'!$A$160:$AW$203,36,FALSE)="","",VLOOKUP(Tue_W2[[#This Row],[Employee Name]],'Base Schedules'!$A$160:$AW$203,36,FALSE)),"")</f>
        <v/>
      </c>
      <c r="AL14" s="184" t="str">
        <f>IFERROR(IF(VLOOKUP(Tue_W2[[#This Row],[Employee Name]],'Base Schedules'!$A$160:$AW$203,37,FALSE)="","",VLOOKUP(Tue_W2[[#This Row],[Employee Name]],'Base Schedules'!$A$160:$AW$203,37,FALSE)),"")</f>
        <v/>
      </c>
      <c r="AM14" s="184" t="str">
        <f>IFERROR(IF(VLOOKUP(Tue_W2[[#This Row],[Employee Name]],'Base Schedules'!$A$160:$AW$203,38,FALSE)="","",VLOOKUP(Tue_W2[[#This Row],[Employee Name]],'Base Schedules'!$A$160:$AW$203,38,FALSE)),"")</f>
        <v/>
      </c>
      <c r="AN14" s="184" t="str">
        <f>IFERROR(IF(VLOOKUP(Tue_W2[[#This Row],[Employee Name]],'Base Schedules'!$A$160:$AW$203,39,FALSE)="","",VLOOKUP(Tue_W2[[#This Row],[Employee Name]],'Base Schedules'!$A$160:$AW$203,39,FALSE)),"")</f>
        <v/>
      </c>
      <c r="AO14" s="184" t="str">
        <f>IFERROR(IF(VLOOKUP(Tue_W2[[#This Row],[Employee Name]],'Base Schedules'!$A$160:$AW$203,40,FALSE)="","",VLOOKUP(Tue_W2[[#This Row],[Employee Name]],'Base Schedules'!$A$160:$AW$203,40,FALSE)),"")</f>
        <v/>
      </c>
      <c r="AP14" s="184" t="str">
        <f>IFERROR(IF(VLOOKUP(Tue_W2[[#This Row],[Employee Name]],'Base Schedules'!$A$160:$AW$203,41,FALSE)="","",VLOOKUP(Tue_W2[[#This Row],[Employee Name]],'Base Schedules'!$A$160:$AW$203,41,FALSE)),"")</f>
        <v/>
      </c>
      <c r="AQ14" s="184" t="str">
        <f>IFERROR(IF(VLOOKUP(Tue_W2[[#This Row],[Employee Name]],'Base Schedules'!$A$160:$AW$203,42,FALSE)="","",VLOOKUP(Tue_W2[[#This Row],[Employee Name]],'Base Schedules'!$A$160:$AW$203,42,FALSE)),"")</f>
        <v/>
      </c>
      <c r="AR14" s="184" t="str">
        <f>IFERROR(IF(VLOOKUP(Tue_W2[[#This Row],[Employee Name]],'Base Schedules'!$A$160:$AW$203,43,FALSE)="","",VLOOKUP(Tue_W2[[#This Row],[Employee Name]],'Base Schedules'!$A$160:$AW$203,43,FALSE)),"")</f>
        <v/>
      </c>
      <c r="AS14" s="184" t="str">
        <f>IFERROR(IF(VLOOKUP(Tue_W2[[#This Row],[Employee Name]],'Base Schedules'!$A$160:$AW$203,44,FALSE)="","",VLOOKUP(Tue_W2[[#This Row],[Employee Name]],'Base Schedules'!$A$160:$AW$203,44,FALSE)),"")</f>
        <v/>
      </c>
      <c r="AT14" s="184" t="str">
        <f>IFERROR(IF(VLOOKUP(Tue_W2[[#This Row],[Employee Name]],'Base Schedules'!$A$160:$AW$203,45,FALSE)="","",VLOOKUP(Tue_W2[[#This Row],[Employee Name]],'Base Schedules'!$A$160:$AW$203,45,FALSE)),"")</f>
        <v/>
      </c>
      <c r="AU14" s="184" t="str">
        <f>IFERROR(IF(VLOOKUP(Tue_W2[[#This Row],[Employee Name]],'Base Schedules'!$A$160:$AW$203,46,FALSE)="","",VLOOKUP(Tue_W2[[#This Row],[Employee Name]],'Base Schedules'!$A$160:$AW$203,46,FALSE)),"")</f>
        <v/>
      </c>
      <c r="AV14" s="184" t="str">
        <f>IFERROR(IF(VLOOKUP(Tue_W2[[#This Row],[Employee Name]],'Base Schedules'!$A$160:$AW$203,47,FALSE)="","",VLOOKUP(Tue_W2[[#This Row],[Employee Name]],'Base Schedules'!$A$160:$AW$203,47,FALSE)),"")</f>
        <v/>
      </c>
      <c r="AW14" s="184" t="str">
        <f>IFERROR(IF(VLOOKUP(Tue_W2[[#This Row],[Employee Name]],'Base Schedules'!$A$160:$AW$203,48,FALSE)="","",VLOOKUP(Tue_W2[[#This Row],[Employee Name]],'Base Schedules'!$A$160:$AW$203,48,FALSE)),"")</f>
        <v/>
      </c>
      <c r="AX14" s="184" t="str">
        <f>IFERROR(IF(VLOOKUP(Tue_W2[[#This Row],[Employee Name]],'Base Schedules'!$A$160:$AW$203,49,FALSE)="","",VLOOKUP(Tue_W2[[#This Row],[Employee Name]],'Base Schedules'!$A$160:$AW$203,49,FALSE)),"")</f>
        <v/>
      </c>
      <c r="AY14" s="159" t="str">
        <f t="shared" si="2"/>
        <v>Breen, Mark</v>
      </c>
    </row>
    <row r="15" spans="1:51" s="44" customFormat="1" ht="12" customHeight="1" x14ac:dyDescent="0.2">
      <c r="A15" s="39" t="str">
        <f>IF(B15="","",INDEX(TeamList[],MATCH($B15,TeamList[[Employee Name]:[Employee Name]],0),MATCH("Manager",TeamList[#Headers],0)))</f>
        <v>Olson, Katherine</v>
      </c>
      <c r="B15" s="201" t="s">
        <v>19</v>
      </c>
      <c r="C15" s="257" t="str">
        <f>_xlfn.IFNA(VLOOKUP(Tue_W2[[#This Row],[Employee Name]],'Base Schedules'!A:B,2,FALSE),"")</f>
        <v>Lead</v>
      </c>
      <c r="D15" s="274">
        <f>_xlfn.IFNA(VLOOKUP(Tue_W2[[#This Row],[Employee Name]],'Base Schedules'!A:C,3,FALSE),"")</f>
        <v>600</v>
      </c>
      <c r="E15" s="274">
        <f>_xlfn.IFNA(VLOOKUP(Tue_W2[[#This Row],[Employee Name]],'Base Schedules'!A:D,4,FALSE),"")</f>
        <v>1430</v>
      </c>
      <c r="F15" s="142">
        <f>IF(Tue_W2[[#This Row],[Employee Name]]="","",IF(Tue_W2[[#This Row],[Dept]]="Supervisor",COUNTIFS($J15:$AX15,"*HL*",$J15:$AX15,"&lt;&gt;"&amp;"pHL"),COUNTIFS($J15:$AX15,"*HL*",$J15:$AX15,"&lt;&gt;"&amp;"*pHL*",$J15:$AX15,"&lt;&gt;"&amp;"pB1 HL",$J15:$AX15,"&lt;&gt;"&amp;"pB2 HL")-SUM(COUNTIFS($J15:$AX15,"*HL B1*",$J15:$AX15,"&lt;&gt;"&amp;"pHL B1")*0.5,COUNTIFS($J15:$AX15,"*HL B2*",$J15:$AX15,"&lt;&gt;"&amp;"pHL B2")*0.5,COUNTIFS($J15:$AX15,"*B1 HL*",$J15:$AX15,"&lt;&gt;"&amp;"pB1 HL")*0.5,COUNTIFS($J15:$AX15,"*B2 HL*",$J15:$AX15,"&lt;&gt;"&amp;"pB2 HL")*0.5)))</f>
        <v>6</v>
      </c>
      <c r="G15" s="142">
        <f t="shared" si="0"/>
        <v>0</v>
      </c>
      <c r="H15" s="142">
        <f t="shared" si="1"/>
        <v>8</v>
      </c>
      <c r="I15" s="142">
        <f>IF(Tue_W2[[#This Row],[Employee Name]]="","",IF(Tue_W2[[#This Row],[Dept]]="Supervisor",SUM(COUNTIFS($J15:$AX15,"RTA*",$J15:$AX15,"&lt;&gt;"&amp;"pRTA"),COUNTIFS($J15:$AX15,"*CRTA*",$J15:$AX15,"&lt;&gt;"&amp;"pCRTA")),COUNTIFS($J15:$AX15,"*RNNR*",$J15:$AX15,"&lt;&gt;"&amp;"*pRNNR*",$J15:$AX15,"&lt;&gt;"&amp;"pB1 RNNR",$J15:$AX15,"&lt;&gt;"&amp;"pB2 RNNR")-SUM(COUNTIFS($J15:$AX15,"*RNNR B1*",$J15:$AX15,"&lt;&gt;"&amp;"pRNNR B1")*0.5,COUNTIFS($J15:$AX15,"*RNNR B2*",$J15:$AX15,"&lt;&gt;"&amp;"pRNNR B2")*0.5,COUNTIFS($J15:$AX15,"*B1 RNNR*",$J15:$AX15,"&lt;&gt;"&amp;"pB1 RNNR")*0.5,COUNTIFS($J15:$AX15,"*B2 RNNR*",$J15:$AX15,"&lt;&gt;"&amp;"pB2 RNNR")*0.5)))</f>
        <v>2</v>
      </c>
      <c r="J15" s="184" t="str">
        <f>IFERROR(IF(VLOOKUP(Tue_W2[[#This Row],[Employee Name]],'Base Schedules'!$A$160:$AW$203,9,FALSE)="","",VLOOKUP(Tue_W2[[#This Row],[Employee Name]],'Base Schedules'!$A$160:$AW$203,9,FALSE)),"")</f>
        <v/>
      </c>
      <c r="K15" s="184" t="str">
        <f>IFERROR(IF(VLOOKUP(Tue_W2[[#This Row],[Employee Name]],'Base Schedules'!$A$160:$AW$203,10,FALSE)="","",VLOOKUP(Tue_W2[[#This Row],[Employee Name]],'Base Schedules'!$A$160:$AW$203,10,FALSE)),"")</f>
        <v/>
      </c>
      <c r="L15" s="184" t="str">
        <f>IFERROR(IF(VLOOKUP(Tue_W2[[#This Row],[Employee Name]],'Base Schedules'!$A$160:$AW$203,11,FALSE)="","",VLOOKUP(Tue_W2[[#This Row],[Employee Name]],'Base Schedules'!$A$160:$AW$203,11,FALSE)),"")</f>
        <v>HL</v>
      </c>
      <c r="M15" s="184" t="str">
        <f>IFERROR(IF(VLOOKUP(Tue_W2[[#This Row],[Employee Name]],'Base Schedules'!$A$160:$AW$203,12,FALSE)="","",VLOOKUP(Tue_W2[[#This Row],[Employee Name]],'Base Schedules'!$A$160:$AW$203,12,FALSE)),"")</f>
        <v>HL</v>
      </c>
      <c r="N15" s="184" t="str">
        <f>IFERROR(IF(VLOOKUP(Tue_W2[[#This Row],[Employee Name]],'Base Schedules'!$A$160:$AW$203,13,FALSE)="","",VLOOKUP(Tue_W2[[#This Row],[Employee Name]],'Base Schedules'!$A$160:$AW$203,13,FALSE)),"")</f>
        <v>ADM</v>
      </c>
      <c r="O15" s="184" t="str">
        <f>IFERROR(IF(VLOOKUP(Tue_W2[[#This Row],[Employee Name]],'Base Schedules'!$A$160:$AW$203,14,FALSE)="","",VLOOKUP(Tue_W2[[#This Row],[Employee Name]],'Base Schedules'!$A$160:$AW$203,14,FALSE)),"")</f>
        <v>ADM</v>
      </c>
      <c r="P15" s="184" t="str">
        <f>IFERROR(IF(VLOOKUP(Tue_W2[[#This Row],[Employee Name]],'Base Schedules'!$A$160:$AW$203,15,FALSE)="","",VLOOKUP(Tue_W2[[#This Row],[Employee Name]],'Base Schedules'!$A$160:$AW$203,15,FALSE)),"")</f>
        <v>B1 ADM</v>
      </c>
      <c r="Q15" s="184" t="str">
        <f>IFERROR(IF(VLOOKUP(Tue_W2[[#This Row],[Employee Name]],'Base Schedules'!$A$160:$AW$203,16,FALSE)="","",VLOOKUP(Tue_W2[[#This Row],[Employee Name]],'Base Schedules'!$A$160:$AW$203,16,FALSE)),"")</f>
        <v>ADM</v>
      </c>
      <c r="R15" s="184" t="str">
        <f>IFERROR(IF(VLOOKUP(Tue_W2[[#This Row],[Employee Name]],'Base Schedules'!$A$160:$AW$203,17,FALSE)="","",VLOOKUP(Tue_W2[[#This Row],[Employee Name]],'Base Schedules'!$A$160:$AW$203,17,FALSE)),"")</f>
        <v>HL</v>
      </c>
      <c r="S15" s="184" t="str">
        <f>IFERROR(IF(VLOOKUP(Tue_W2[[#This Row],[Employee Name]],'Base Schedules'!$A$160:$AW$203,18,FALSE)="","",VLOOKUP(Tue_W2[[#This Row],[Employee Name]],'Base Schedules'!$A$160:$AW$203,18,FALSE)),"")</f>
        <v>HL</v>
      </c>
      <c r="T15" s="184" t="str">
        <f>IFERROR(IF(VLOOKUP(Tue_W2[[#This Row],[Employee Name]],'Base Schedules'!$A$160:$AW$203,19,FALSE)="","",VLOOKUP(Tue_W2[[#This Row],[Employee Name]],'Base Schedules'!$A$160:$AW$203,19,FALSE)),"")</f>
        <v>ADM</v>
      </c>
      <c r="U15" s="184" t="str">
        <f>IFERROR(IF(VLOOKUP(Tue_W2[[#This Row],[Employee Name]],'Base Schedules'!$A$160:$AW$203,20,FALSE)="","",VLOOKUP(Tue_W2[[#This Row],[Employee Name]],'Base Schedules'!$A$160:$AW$203,20,FALSE)),"")</f>
        <v>LUNCH</v>
      </c>
      <c r="V15" s="184" t="str">
        <f>IFERROR(IF(VLOOKUP(Tue_W2[[#This Row],[Employee Name]],'Base Schedules'!$A$160:$AW$203,21,FALSE)="","",VLOOKUP(Tue_W2[[#This Row],[Employee Name]],'Base Schedules'!$A$160:$AW$203,21,FALSE)),"")</f>
        <v>RNNR</v>
      </c>
      <c r="W15" s="184" t="str">
        <f>IFERROR(IF(VLOOKUP(Tue_W2[[#This Row],[Employee Name]],'Base Schedules'!$A$160:$AW$203,22,FALSE)="","",VLOOKUP(Tue_W2[[#This Row],[Employee Name]],'Base Schedules'!$A$160:$AW$203,22,FALSE)),"")</f>
        <v>RNNR</v>
      </c>
      <c r="X15" s="184" t="str">
        <f>IFERROR(IF(VLOOKUP(Tue_W2[[#This Row],[Employee Name]],'Base Schedules'!$A$160:$AW$203,23,FALSE)="","",VLOOKUP(Tue_W2[[#This Row],[Employee Name]],'Base Schedules'!$A$160:$AW$203,23,FALSE)),"")</f>
        <v>ADM</v>
      </c>
      <c r="Y15" s="184" t="str">
        <f>IFERROR(IF(VLOOKUP(Tue_W2[[#This Row],[Employee Name]],'Base Schedules'!$A$160:$AW$203,24,FALSE)="","",VLOOKUP(Tue_W2[[#This Row],[Employee Name]],'Base Schedules'!$A$160:$AW$203,24,FALSE)),"")</f>
        <v>ADM</v>
      </c>
      <c r="Z15" s="184" t="str">
        <f>IFERROR(IF(VLOOKUP(Tue_W2[[#This Row],[Employee Name]],'Base Schedules'!$A$160:$AW$203,25,FALSE)="","",VLOOKUP(Tue_W2[[#This Row],[Employee Name]],'Base Schedules'!$A$160:$AW$203,25,FALSE)),"")</f>
        <v>ADM B2</v>
      </c>
      <c r="AA15" s="184" t="str">
        <f>IFERROR(IF(VLOOKUP(Tue_W2[[#This Row],[Employee Name]],'Base Schedules'!$A$160:$AW$203,26,FALSE)="","",VLOOKUP(Tue_W2[[#This Row],[Employee Name]],'Base Schedules'!$A$160:$AW$203,26,FALSE)),"")</f>
        <v>HL</v>
      </c>
      <c r="AB15" s="184" t="str">
        <f>IFERROR(IF(VLOOKUP(Tue_W2[[#This Row],[Employee Name]],'Base Schedules'!$A$160:$AW$203,27,FALSE)="","",VLOOKUP(Tue_W2[[#This Row],[Employee Name]],'Base Schedules'!$A$160:$AW$203,27,FALSE)),"")</f>
        <v>HL</v>
      </c>
      <c r="AC15" s="184" t="str">
        <f>IFERROR(IF(VLOOKUP(Tue_W2[[#This Row],[Employee Name]],'Base Schedules'!$A$160:$AW$203,28,FALSE)="","",VLOOKUP(Tue_W2[[#This Row],[Employee Name]],'Base Schedules'!$A$160:$AW$203,28,FALSE)),"")</f>
        <v/>
      </c>
      <c r="AD15" s="184" t="str">
        <f>IFERROR(IF(VLOOKUP(Tue_W2[[#This Row],[Employee Name]],'Base Schedules'!$A$160:$AW$203,29,FALSE)="","",VLOOKUP(Tue_W2[[#This Row],[Employee Name]],'Base Schedules'!$A$160:$AW$203,29,FALSE)),"")</f>
        <v/>
      </c>
      <c r="AE15" s="184" t="str">
        <f>IFERROR(IF(VLOOKUP(Tue_W2[[#This Row],[Employee Name]],'Base Schedules'!$A$160:$AW$203,30,FALSE)="","",VLOOKUP(Tue_W2[[#This Row],[Employee Name]],'Base Schedules'!$A$160:$AW$203,30,FALSE)),"")</f>
        <v/>
      </c>
      <c r="AF15" s="184" t="str">
        <f>IFERROR(IF(VLOOKUP(Tue_W2[[#This Row],[Employee Name]],'Base Schedules'!$A$160:$AW$203,31,FALSE)="","",VLOOKUP(Tue_W2[[#This Row],[Employee Name]],'Base Schedules'!$A$160:$AW$203,31,FALSE)),"")</f>
        <v/>
      </c>
      <c r="AG15" s="184" t="str">
        <f>IFERROR(IF(VLOOKUP(Tue_W2[[#This Row],[Employee Name]],'Base Schedules'!$A$160:$AW$203,32,FALSE)="","",VLOOKUP(Tue_W2[[#This Row],[Employee Name]],'Base Schedules'!$A$160:$AW$203,32,FALSE)),"")</f>
        <v/>
      </c>
      <c r="AH15" s="184" t="str">
        <f>IFERROR(IF(VLOOKUP(Tue_W2[[#This Row],[Employee Name]],'Base Schedules'!$A$160:$AW$203,33,FALSE)="","",VLOOKUP(Tue_W2[[#This Row],[Employee Name]],'Base Schedules'!$A$160:$AW$203,33,FALSE)),"")</f>
        <v/>
      </c>
      <c r="AI15" s="184" t="str">
        <f>IFERROR(IF(VLOOKUP(Tue_W2[[#This Row],[Employee Name]],'Base Schedules'!$A$160:$AW$203,34,FALSE)="","",VLOOKUP(Tue_W2[[#This Row],[Employee Name]],'Base Schedules'!$A$160:$AW$203,34,FALSE)),"")</f>
        <v/>
      </c>
      <c r="AJ15" s="184" t="str">
        <f>IFERROR(IF(VLOOKUP(Tue_W2[[#This Row],[Employee Name]],'Base Schedules'!$A$160:$AW$203,35,FALSE)="","",VLOOKUP(Tue_W2[[#This Row],[Employee Name]],'Base Schedules'!$A$160:$AW$203,35,FALSE)),"")</f>
        <v/>
      </c>
      <c r="AK15" s="184" t="str">
        <f>IFERROR(IF(VLOOKUP(Tue_W2[[#This Row],[Employee Name]],'Base Schedules'!$A$160:$AW$203,36,FALSE)="","",VLOOKUP(Tue_W2[[#This Row],[Employee Name]],'Base Schedules'!$A$160:$AW$203,36,FALSE)),"")</f>
        <v/>
      </c>
      <c r="AL15" s="184" t="str">
        <f>IFERROR(IF(VLOOKUP(Tue_W2[[#This Row],[Employee Name]],'Base Schedules'!$A$160:$AW$203,37,FALSE)="","",VLOOKUP(Tue_W2[[#This Row],[Employee Name]],'Base Schedules'!$A$160:$AW$203,37,FALSE)),"")</f>
        <v/>
      </c>
      <c r="AM15" s="184" t="str">
        <f>IFERROR(IF(VLOOKUP(Tue_W2[[#This Row],[Employee Name]],'Base Schedules'!$A$160:$AW$203,38,FALSE)="","",VLOOKUP(Tue_W2[[#This Row],[Employee Name]],'Base Schedules'!$A$160:$AW$203,38,FALSE)),"")</f>
        <v/>
      </c>
      <c r="AN15" s="184" t="str">
        <f>IFERROR(IF(VLOOKUP(Tue_W2[[#This Row],[Employee Name]],'Base Schedules'!$A$160:$AW$203,39,FALSE)="","",VLOOKUP(Tue_W2[[#This Row],[Employee Name]],'Base Schedules'!$A$160:$AW$203,39,FALSE)),"")</f>
        <v/>
      </c>
      <c r="AO15" s="184" t="str">
        <f>IFERROR(IF(VLOOKUP(Tue_W2[[#This Row],[Employee Name]],'Base Schedules'!$A$160:$AW$203,40,FALSE)="","",VLOOKUP(Tue_W2[[#This Row],[Employee Name]],'Base Schedules'!$A$160:$AW$203,40,FALSE)),"")</f>
        <v/>
      </c>
      <c r="AP15" s="184" t="str">
        <f>IFERROR(IF(VLOOKUP(Tue_W2[[#This Row],[Employee Name]],'Base Schedules'!$A$160:$AW$203,41,FALSE)="","",VLOOKUP(Tue_W2[[#This Row],[Employee Name]],'Base Schedules'!$A$160:$AW$203,41,FALSE)),"")</f>
        <v/>
      </c>
      <c r="AQ15" s="184" t="str">
        <f>IFERROR(IF(VLOOKUP(Tue_W2[[#This Row],[Employee Name]],'Base Schedules'!$A$160:$AW$203,42,FALSE)="","",VLOOKUP(Tue_W2[[#This Row],[Employee Name]],'Base Schedules'!$A$160:$AW$203,42,FALSE)),"")</f>
        <v/>
      </c>
      <c r="AR15" s="184" t="str">
        <f>IFERROR(IF(VLOOKUP(Tue_W2[[#This Row],[Employee Name]],'Base Schedules'!$A$160:$AW$203,43,FALSE)="","",VLOOKUP(Tue_W2[[#This Row],[Employee Name]],'Base Schedules'!$A$160:$AW$203,43,FALSE)),"")</f>
        <v/>
      </c>
      <c r="AS15" s="184" t="str">
        <f>IFERROR(IF(VLOOKUP(Tue_W2[[#This Row],[Employee Name]],'Base Schedules'!$A$160:$AW$203,44,FALSE)="","",VLOOKUP(Tue_W2[[#This Row],[Employee Name]],'Base Schedules'!$A$160:$AW$203,44,FALSE)),"")</f>
        <v/>
      </c>
      <c r="AT15" s="184" t="str">
        <f>IFERROR(IF(VLOOKUP(Tue_W2[[#This Row],[Employee Name]],'Base Schedules'!$A$160:$AW$203,45,FALSE)="","",VLOOKUP(Tue_W2[[#This Row],[Employee Name]],'Base Schedules'!$A$160:$AW$203,45,FALSE)),"")</f>
        <v/>
      </c>
      <c r="AU15" s="184" t="str">
        <f>IFERROR(IF(VLOOKUP(Tue_W2[[#This Row],[Employee Name]],'Base Schedules'!$A$160:$AW$203,46,FALSE)="","",VLOOKUP(Tue_W2[[#This Row],[Employee Name]],'Base Schedules'!$A$160:$AW$203,46,FALSE)),"")</f>
        <v/>
      </c>
      <c r="AV15" s="184" t="str">
        <f>IFERROR(IF(VLOOKUP(Tue_W2[[#This Row],[Employee Name]],'Base Schedules'!$A$160:$AW$203,47,FALSE)="","",VLOOKUP(Tue_W2[[#This Row],[Employee Name]],'Base Schedules'!$A$160:$AW$203,47,FALSE)),"")</f>
        <v/>
      </c>
      <c r="AW15" s="184" t="str">
        <f>IFERROR(IF(VLOOKUP(Tue_W2[[#This Row],[Employee Name]],'Base Schedules'!$A$160:$AW$203,48,FALSE)="","",VLOOKUP(Tue_W2[[#This Row],[Employee Name]],'Base Schedules'!$A$160:$AW$203,48,FALSE)),"")</f>
        <v/>
      </c>
      <c r="AX15" s="184" t="str">
        <f>IFERROR(IF(VLOOKUP(Tue_W2[[#This Row],[Employee Name]],'Base Schedules'!$A$160:$AW$203,49,FALSE)="","",VLOOKUP(Tue_W2[[#This Row],[Employee Name]],'Base Schedules'!$A$160:$AW$203,49,FALSE)),"")</f>
        <v/>
      </c>
      <c r="AY15" s="159" t="str">
        <f t="shared" si="2"/>
        <v>Albert, Christina</v>
      </c>
    </row>
    <row r="16" spans="1:51" s="44" customFormat="1" ht="12" customHeight="1" x14ac:dyDescent="0.2">
      <c r="A16" s="39" t="str">
        <f>IF(B16="","",INDEX(TeamList[],MATCH($B16,TeamList[[Employee Name]:[Employee Name]],0),MATCH("Manager",TeamList[#Headers],0)))</f>
        <v>Paulson, Matthew</v>
      </c>
      <c r="B16" s="332" t="s">
        <v>20</v>
      </c>
      <c r="C16" s="257" t="str">
        <f>_xlfn.IFNA(VLOOKUP(Tue_W2[[#This Row],[Employee Name]],'Base Schedules'!A:B,2,FALSE),"")</f>
        <v>Supervisor</v>
      </c>
      <c r="D16" s="274">
        <f>_xlfn.IFNA(VLOOKUP(Tue_W2[[#This Row],[Employee Name]],'Base Schedules'!A:C,3,FALSE),"")</f>
        <v>600</v>
      </c>
      <c r="E16" s="274">
        <f>_xlfn.IFNA(VLOOKUP(Tue_W2[[#This Row],[Employee Name]],'Base Schedules'!A:D,4,FALSE),"")</f>
        <v>1500</v>
      </c>
      <c r="F16" s="142">
        <f>IF(Tue_W2[[#This Row],[Employee Name]]="","",IF(Tue_W2[[#This Row],[Dept]]="Supervisor",COUNTIFS($J16:$AX16,"*HL*",$J16:$AX16,"&lt;&gt;"&amp;"pHL"),COUNTIFS($J16:$AX16,"*HL*",$J16:$AX16,"&lt;&gt;"&amp;"*pHL*",$J16:$AX16,"&lt;&gt;"&amp;"pB1 HL",$J16:$AX16,"&lt;&gt;"&amp;"pB2 HL")-SUM(COUNTIFS($J16:$AX16,"*HL B1*",$J16:$AX16,"&lt;&gt;"&amp;"pHL B1")*0.5,COUNTIFS($J16:$AX16,"*HL B2*",$J16:$AX16,"&lt;&gt;"&amp;"pHL B2")*0.5,COUNTIFS($J16:$AX16,"*B1 HL*",$J16:$AX16,"&lt;&gt;"&amp;"pB1 HL")*0.5,COUNTIFS($J16:$AX16,"*B2 HL*",$J16:$AX16,"&lt;&gt;"&amp;"pB2 HL")*0.5)))</f>
        <v>0</v>
      </c>
      <c r="G16" s="142">
        <f t="shared" si="0"/>
        <v>4</v>
      </c>
      <c r="H16" s="142">
        <f t="shared" si="1"/>
        <v>0</v>
      </c>
      <c r="I16" s="142">
        <f>IF(Tue_W2[[#This Row],[Employee Name]]="","",IF(Tue_W2[[#This Row],[Dept]]="Supervisor",SUM(COUNTIFS($J16:$AX16,"RTA*",$J16:$AX16,"&lt;&gt;"&amp;"pRTA"),COUNTIFS($J16:$AX16,"*CRTA*",$J16:$AX16,"&lt;&gt;"&amp;"pCRTA")),COUNTIFS($J16:$AX16,"*RNNR*",$J16:$AX16,"&lt;&gt;"&amp;"*pRNNR*",$J16:$AX16,"&lt;&gt;"&amp;"pB1 RNNR",$J16:$AX16,"&lt;&gt;"&amp;"pB2 RNNR")-SUM(COUNTIFS($J16:$AX16,"*RNNR B1*",$J16:$AX16,"&lt;&gt;"&amp;"pRNNR B1")*0.5,COUNTIFS($J16:$AX16,"*RNNR B2*",$J16:$AX16,"&lt;&gt;"&amp;"pRNNR B2")*0.5,COUNTIFS($J16:$AX16,"*B1 RNNR*",$J16:$AX16,"&lt;&gt;"&amp;"pB1 RNNR")*0.5,COUNTIFS($J16:$AX16,"*B2 RNNR*",$J16:$AX16,"&lt;&gt;"&amp;"pB2 RNNR")*0.5)))</f>
        <v>0</v>
      </c>
      <c r="J16" s="184" t="str">
        <f>IFERROR(IF(VLOOKUP(Tue_W2[[#This Row],[Employee Name]],'Base Schedules'!$A$160:$AW$203,9,FALSE)="","",VLOOKUP(Tue_W2[[#This Row],[Employee Name]],'Base Schedules'!$A$160:$AW$203,9,FALSE)),"")</f>
        <v/>
      </c>
      <c r="K16" s="184" t="str">
        <f>IFERROR(IF(VLOOKUP(Tue_W2[[#This Row],[Employee Name]],'Base Schedules'!$A$160:$AW$203,10,FALSE)="","",VLOOKUP(Tue_W2[[#This Row],[Employee Name]],'Base Schedules'!$A$160:$AW$203,10,FALSE)),"")</f>
        <v/>
      </c>
      <c r="L16" s="184" t="str">
        <f>IFERROR(IF(VLOOKUP(Tue_W2[[#This Row],[Employee Name]],'Base Schedules'!$A$160:$AW$203,11,FALSE)="","",VLOOKUP(Tue_W2[[#This Row],[Employee Name]],'Base Schedules'!$A$160:$AW$203,11,FALSE)),"")</f>
        <v>-</v>
      </c>
      <c r="M16" s="184" t="str">
        <f>IFERROR(IF(VLOOKUP(Tue_W2[[#This Row],[Employee Name]],'Base Schedules'!$A$160:$AW$203,12,FALSE)="","",VLOOKUP(Tue_W2[[#This Row],[Employee Name]],'Base Schedules'!$A$160:$AW$203,12,FALSE)),"")</f>
        <v>Coaching</v>
      </c>
      <c r="N16" s="184" t="str">
        <f>IFERROR(IF(VLOOKUP(Tue_W2[[#This Row],[Employee Name]],'Base Schedules'!$A$160:$AW$203,13,FALSE)="","",VLOOKUP(Tue_W2[[#This Row],[Employee Name]],'Base Schedules'!$A$160:$AW$203,13,FALSE)),"")</f>
        <v>Coaching</v>
      </c>
      <c r="O16" s="184" t="str">
        <f>IFERROR(IF(VLOOKUP(Tue_W2[[#This Row],[Employee Name]],'Base Schedules'!$A$160:$AW$203,14,FALSE)="","",VLOOKUP(Tue_W2[[#This Row],[Employee Name]],'Base Schedules'!$A$160:$AW$203,14,FALSE)),"")</f>
        <v>Coaching</v>
      </c>
      <c r="P16" s="184" t="str">
        <f>IFERROR(IF(VLOOKUP(Tue_W2[[#This Row],[Employee Name]],'Base Schedules'!$A$160:$AW$203,15,FALSE)="","",VLOOKUP(Tue_W2[[#This Row],[Employee Name]],'Base Schedules'!$A$160:$AW$203,15,FALSE)),"")</f>
        <v>Coaching</v>
      </c>
      <c r="Q16" s="184" t="str">
        <f>IFERROR(IF(VLOOKUP(Tue_W2[[#This Row],[Employee Name]],'Base Schedules'!$A$160:$AW$203,16,FALSE)="","",VLOOKUP(Tue_W2[[#This Row],[Employee Name]],'Base Schedules'!$A$160:$AW$203,16,FALSE)),"")</f>
        <v>-</v>
      </c>
      <c r="R16" s="184" t="str">
        <f>IFERROR(IF(VLOOKUP(Tue_W2[[#This Row],[Employee Name]],'Base Schedules'!$A$160:$AW$203,17,FALSE)="","",VLOOKUP(Tue_W2[[#This Row],[Employee Name]],'Base Schedules'!$A$160:$AW$203,17,FALSE)),"")</f>
        <v>-</v>
      </c>
      <c r="S16" s="184" t="str">
        <f>IFERROR(IF(VLOOKUP(Tue_W2[[#This Row],[Employee Name]],'Base Schedules'!$A$160:$AW$203,18,FALSE)="","",VLOOKUP(Tue_W2[[#This Row],[Employee Name]],'Base Schedules'!$A$160:$AW$203,18,FALSE)),"")</f>
        <v>TM PREP</v>
      </c>
      <c r="T16" s="184" t="str">
        <f>IFERROR(IF(VLOOKUP(Tue_W2[[#This Row],[Employee Name]],'Base Schedules'!$A$160:$AW$203,19,FALSE)="","",VLOOKUP(Tue_W2[[#This Row],[Employee Name]],'Base Schedules'!$A$160:$AW$203,19,FALSE)),"")</f>
        <v>GERMONY TM</v>
      </c>
      <c r="U16" s="184" t="str">
        <f>IFERROR(IF(VLOOKUP(Tue_W2[[#This Row],[Employee Name]],'Base Schedules'!$A$160:$AW$203,20,FALSE)="","",VLOOKUP(Tue_W2[[#This Row],[Employee Name]],'Base Schedules'!$A$160:$AW$203,20,FALSE)),"")</f>
        <v>GERMONY TM</v>
      </c>
      <c r="V16" s="184" t="str">
        <f>IFERROR(IF(VLOOKUP(Tue_W2[[#This Row],[Employee Name]],'Base Schedules'!$A$160:$AW$203,21,FALSE)="","",VLOOKUP(Tue_W2[[#This Row],[Employee Name]],'Base Schedules'!$A$160:$AW$203,21,FALSE)),"")</f>
        <v>-</v>
      </c>
      <c r="W16" s="184" t="str">
        <f>IFERROR(IF(VLOOKUP(Tue_W2[[#This Row],[Employee Name]],'Base Schedules'!$A$160:$AW$203,22,FALSE)="","",VLOOKUP(Tue_W2[[#This Row],[Employee Name]],'Base Schedules'!$A$160:$AW$203,22,FALSE)),"")</f>
        <v>-</v>
      </c>
      <c r="X16" s="184" t="str">
        <f>IFERROR(IF(VLOOKUP(Tue_W2[[#This Row],[Employee Name]],'Base Schedules'!$A$160:$AW$203,23,FALSE)="","",VLOOKUP(Tue_W2[[#This Row],[Employee Name]],'Base Schedules'!$A$160:$AW$203,23,FALSE)),"")</f>
        <v>-</v>
      </c>
      <c r="Y16" s="184" t="str">
        <f>IFERROR(IF(VLOOKUP(Tue_W2[[#This Row],[Employee Name]],'Base Schedules'!$A$160:$AW$203,24,FALSE)="","",VLOOKUP(Tue_W2[[#This Row],[Employee Name]],'Base Schedules'!$A$160:$AW$203,24,FALSE)),"")</f>
        <v>-</v>
      </c>
      <c r="Z16" s="184" t="str">
        <f>IFERROR(IF(VLOOKUP(Tue_W2[[#This Row],[Employee Name]],'Base Schedules'!$A$160:$AW$203,25,FALSE)="","",VLOOKUP(Tue_W2[[#This Row],[Employee Name]],'Base Schedules'!$A$160:$AW$203,25,FALSE)),"")</f>
        <v>Team ZAH TM</v>
      </c>
      <c r="AA16" s="184" t="str">
        <f>IFERROR(IF(VLOOKUP(Tue_W2[[#This Row],[Employee Name]],'Base Schedules'!$A$160:$AW$203,26,FALSE)="","",VLOOKUP(Tue_W2[[#This Row],[Employee Name]],'Base Schedules'!$A$160:$AW$203,26,FALSE)),"")</f>
        <v>Team ZAH TM</v>
      </c>
      <c r="AB16" s="184" t="str">
        <f>IFERROR(IF(VLOOKUP(Tue_W2[[#This Row],[Employee Name]],'Base Schedules'!$A$160:$AW$203,27,FALSE)="","",VLOOKUP(Tue_W2[[#This Row],[Employee Name]],'Base Schedules'!$A$160:$AW$203,27,FALSE)),"")</f>
        <v>-</v>
      </c>
      <c r="AC16" s="184" t="str">
        <f>IFERROR(IF(VLOOKUP(Tue_W2[[#This Row],[Employee Name]],'Base Schedules'!$A$160:$AW$203,28,FALSE)="","",VLOOKUP(Tue_W2[[#This Row],[Employee Name]],'Base Schedules'!$A$160:$AW$203,28,FALSE)),"")</f>
        <v>-</v>
      </c>
      <c r="AD16" s="184" t="str">
        <f>IFERROR(IF(VLOOKUP(Tue_W2[[#This Row],[Employee Name]],'Base Schedules'!$A$160:$AW$203,29,FALSE)="","",VLOOKUP(Tue_W2[[#This Row],[Employee Name]],'Base Schedules'!$A$160:$AW$203,29,FALSE)),"")</f>
        <v/>
      </c>
      <c r="AE16" s="184" t="str">
        <f>IFERROR(IF(VLOOKUP(Tue_W2[[#This Row],[Employee Name]],'Base Schedules'!$A$160:$AW$203,30,FALSE)="","",VLOOKUP(Tue_W2[[#This Row],[Employee Name]],'Base Schedules'!$A$160:$AW$203,30,FALSE)),"")</f>
        <v/>
      </c>
      <c r="AF16" s="184" t="str">
        <f>IFERROR(IF(VLOOKUP(Tue_W2[[#This Row],[Employee Name]],'Base Schedules'!$A$160:$AW$203,31,FALSE)="","",VLOOKUP(Tue_W2[[#This Row],[Employee Name]],'Base Schedules'!$A$160:$AW$203,31,FALSE)),"")</f>
        <v/>
      </c>
      <c r="AG16" s="184" t="str">
        <f>IFERROR(IF(VLOOKUP(Tue_W2[[#This Row],[Employee Name]],'Base Schedules'!$A$160:$AW$203,32,FALSE)="","",VLOOKUP(Tue_W2[[#This Row],[Employee Name]],'Base Schedules'!$A$160:$AW$203,32,FALSE)),"")</f>
        <v/>
      </c>
      <c r="AH16" s="184" t="str">
        <f>IFERROR(IF(VLOOKUP(Tue_W2[[#This Row],[Employee Name]],'Base Schedules'!$A$160:$AW$203,33,FALSE)="","",VLOOKUP(Tue_W2[[#This Row],[Employee Name]],'Base Schedules'!$A$160:$AW$203,33,FALSE)),"")</f>
        <v/>
      </c>
      <c r="AI16" s="184" t="str">
        <f>IFERROR(IF(VLOOKUP(Tue_W2[[#This Row],[Employee Name]],'Base Schedules'!$A$160:$AW$203,34,FALSE)="","",VLOOKUP(Tue_W2[[#This Row],[Employee Name]],'Base Schedules'!$A$160:$AW$203,34,FALSE)),"")</f>
        <v/>
      </c>
      <c r="AJ16" s="184" t="str">
        <f>IFERROR(IF(VLOOKUP(Tue_W2[[#This Row],[Employee Name]],'Base Schedules'!$A$160:$AW$203,35,FALSE)="","",VLOOKUP(Tue_W2[[#This Row],[Employee Name]],'Base Schedules'!$A$160:$AW$203,35,FALSE)),"")</f>
        <v/>
      </c>
      <c r="AK16" s="184" t="str">
        <f>IFERROR(IF(VLOOKUP(Tue_W2[[#This Row],[Employee Name]],'Base Schedules'!$A$160:$AW$203,36,FALSE)="","",VLOOKUP(Tue_W2[[#This Row],[Employee Name]],'Base Schedules'!$A$160:$AW$203,36,FALSE)),"")</f>
        <v/>
      </c>
      <c r="AL16" s="184" t="str">
        <f>IFERROR(IF(VLOOKUP(Tue_W2[[#This Row],[Employee Name]],'Base Schedules'!$A$160:$AW$203,37,FALSE)="","",VLOOKUP(Tue_W2[[#This Row],[Employee Name]],'Base Schedules'!$A$160:$AW$203,37,FALSE)),"")</f>
        <v/>
      </c>
      <c r="AM16" s="184" t="str">
        <f>IFERROR(IF(VLOOKUP(Tue_W2[[#This Row],[Employee Name]],'Base Schedules'!$A$160:$AW$203,38,FALSE)="","",VLOOKUP(Tue_W2[[#This Row],[Employee Name]],'Base Schedules'!$A$160:$AW$203,38,FALSE)),"")</f>
        <v/>
      </c>
      <c r="AN16" s="184" t="str">
        <f>IFERROR(IF(VLOOKUP(Tue_W2[[#This Row],[Employee Name]],'Base Schedules'!$A$160:$AW$203,39,FALSE)="","",VLOOKUP(Tue_W2[[#This Row],[Employee Name]],'Base Schedules'!$A$160:$AW$203,39,FALSE)),"")</f>
        <v/>
      </c>
      <c r="AO16" s="184" t="str">
        <f>IFERROR(IF(VLOOKUP(Tue_W2[[#This Row],[Employee Name]],'Base Schedules'!$A$160:$AW$203,40,FALSE)="","",VLOOKUP(Tue_W2[[#This Row],[Employee Name]],'Base Schedules'!$A$160:$AW$203,40,FALSE)),"")</f>
        <v/>
      </c>
      <c r="AP16" s="184" t="str">
        <f>IFERROR(IF(VLOOKUP(Tue_W2[[#This Row],[Employee Name]],'Base Schedules'!$A$160:$AW$203,41,FALSE)="","",VLOOKUP(Tue_W2[[#This Row],[Employee Name]],'Base Schedules'!$A$160:$AW$203,41,FALSE)),"")</f>
        <v/>
      </c>
      <c r="AQ16" s="184" t="str">
        <f>IFERROR(IF(VLOOKUP(Tue_W2[[#This Row],[Employee Name]],'Base Schedules'!$A$160:$AW$203,42,FALSE)="","",VLOOKUP(Tue_W2[[#This Row],[Employee Name]],'Base Schedules'!$A$160:$AW$203,42,FALSE)),"")</f>
        <v/>
      </c>
      <c r="AR16" s="184" t="str">
        <f>IFERROR(IF(VLOOKUP(Tue_W2[[#This Row],[Employee Name]],'Base Schedules'!$A$160:$AW$203,43,FALSE)="","",VLOOKUP(Tue_W2[[#This Row],[Employee Name]],'Base Schedules'!$A$160:$AW$203,43,FALSE)),"")</f>
        <v/>
      </c>
      <c r="AS16" s="184" t="str">
        <f>IFERROR(IF(VLOOKUP(Tue_W2[[#This Row],[Employee Name]],'Base Schedules'!$A$160:$AW$203,44,FALSE)="","",VLOOKUP(Tue_W2[[#This Row],[Employee Name]],'Base Schedules'!$A$160:$AW$203,44,FALSE)),"")</f>
        <v/>
      </c>
      <c r="AT16" s="184" t="str">
        <f>IFERROR(IF(VLOOKUP(Tue_W2[[#This Row],[Employee Name]],'Base Schedules'!$A$160:$AW$203,45,FALSE)="","",VLOOKUP(Tue_W2[[#This Row],[Employee Name]],'Base Schedules'!$A$160:$AW$203,45,FALSE)),"")</f>
        <v/>
      </c>
      <c r="AU16" s="184" t="str">
        <f>IFERROR(IF(VLOOKUP(Tue_W2[[#This Row],[Employee Name]],'Base Schedules'!$A$160:$AW$203,46,FALSE)="","",VLOOKUP(Tue_W2[[#This Row],[Employee Name]],'Base Schedules'!$A$160:$AW$203,46,FALSE)),"")</f>
        <v/>
      </c>
      <c r="AV16" s="184" t="str">
        <f>IFERROR(IF(VLOOKUP(Tue_W2[[#This Row],[Employee Name]],'Base Schedules'!$A$160:$AW$203,47,FALSE)="","",VLOOKUP(Tue_W2[[#This Row],[Employee Name]],'Base Schedules'!$A$160:$AW$203,47,FALSE)),"")</f>
        <v/>
      </c>
      <c r="AW16" s="184" t="str">
        <f>IFERROR(IF(VLOOKUP(Tue_W2[[#This Row],[Employee Name]],'Base Schedules'!$A$160:$AW$203,48,FALSE)="","",VLOOKUP(Tue_W2[[#This Row],[Employee Name]],'Base Schedules'!$A$160:$AW$203,48,FALSE)),"")</f>
        <v/>
      </c>
      <c r="AX16" s="184" t="str">
        <f>IFERROR(IF(VLOOKUP(Tue_W2[[#This Row],[Employee Name]],'Base Schedules'!$A$160:$AW$203,49,FALSE)="","",VLOOKUP(Tue_W2[[#This Row],[Employee Name]],'Base Schedules'!$A$160:$AW$203,49,FALSE)),"")</f>
        <v/>
      </c>
      <c r="AY16" s="159" t="str">
        <f t="shared" si="2"/>
        <v>Germony, June</v>
      </c>
    </row>
    <row r="17" spans="1:51" s="44" customFormat="1" ht="12" customHeight="1" x14ac:dyDescent="0.2">
      <c r="A17" s="39" t="str">
        <f>IF(B17="","",INDEX(TeamList[],MATCH($B17,TeamList[[Employee Name]:[Employee Name]],0),MATCH("Manager",TeamList[#Headers],0)))</f>
        <v>Olson, Katherine</v>
      </c>
      <c r="B17" s="201" t="s">
        <v>34</v>
      </c>
      <c r="C17" s="257" t="str">
        <f>_xlfn.IFNA(VLOOKUP(Tue_W2[[#This Row],[Employee Name]],'Base Schedules'!A:B,2,FALSE),"")</f>
        <v>Lead</v>
      </c>
      <c r="D17" s="274">
        <f>_xlfn.IFNA(VLOOKUP(Tue_W2[[#This Row],[Employee Name]],'Base Schedules'!A:C,3,FALSE),"")</f>
        <v>630</v>
      </c>
      <c r="E17" s="274">
        <f>_xlfn.IFNA(VLOOKUP(Tue_W2[[#This Row],[Employee Name]],'Base Schedules'!A:D,4,FALSE),"")</f>
        <v>1500</v>
      </c>
      <c r="F17" s="142">
        <f>IF(Tue_W2[[#This Row],[Employee Name]]="","",IF(Tue_W2[[#This Row],[Dept]]="Supervisor",COUNTIFS($J17:$AX17,"*HL*",$J17:$AX17,"&lt;&gt;"&amp;"pHL"),COUNTIFS($J17:$AX17,"*HL*",$J17:$AX17,"&lt;&gt;"&amp;"*pHL*",$J17:$AX17,"&lt;&gt;"&amp;"pB1 HL",$J17:$AX17,"&lt;&gt;"&amp;"pB2 HL")-SUM(COUNTIFS($J17:$AX17,"*HL B1*",$J17:$AX17,"&lt;&gt;"&amp;"pHL B1")*0.5,COUNTIFS($J17:$AX17,"*HL B2*",$J17:$AX17,"&lt;&gt;"&amp;"pHL B2")*0.5,COUNTIFS($J17:$AX17,"*B1 HL*",$J17:$AX17,"&lt;&gt;"&amp;"pB1 HL")*0.5,COUNTIFS($J17:$AX17,"*B2 HL*",$J17:$AX17,"&lt;&gt;"&amp;"pB2 HL")*0.5)))</f>
        <v>7</v>
      </c>
      <c r="G17" s="142">
        <f t="shared" si="0"/>
        <v>0</v>
      </c>
      <c r="H17" s="142">
        <f t="shared" si="1"/>
        <v>6</v>
      </c>
      <c r="I17" s="142">
        <f>IF(Tue_W2[[#This Row],[Employee Name]]="","",IF(Tue_W2[[#This Row],[Dept]]="Supervisor",SUM(COUNTIFS($J17:$AX17,"RTA*",$J17:$AX17,"&lt;&gt;"&amp;"pRTA"),COUNTIFS($J17:$AX17,"*CRTA*",$J17:$AX17,"&lt;&gt;"&amp;"pCRTA")),COUNTIFS($J17:$AX17,"*RNNR*",$J17:$AX17,"&lt;&gt;"&amp;"*pRNNR*",$J17:$AX17,"&lt;&gt;"&amp;"pB1 RNNR",$J17:$AX17,"&lt;&gt;"&amp;"pB2 RNNR")-SUM(COUNTIFS($J17:$AX17,"*RNNR B1*",$J17:$AX17,"&lt;&gt;"&amp;"pRNNR B1")*0.5,COUNTIFS($J17:$AX17,"*RNNR B2*",$J17:$AX17,"&lt;&gt;"&amp;"pRNNR B2")*0.5,COUNTIFS($J17:$AX17,"*B1 RNNR*",$J17:$AX17,"&lt;&gt;"&amp;"pB1 RNNR")*0.5,COUNTIFS($J17:$AX17,"*B2 RNNR*",$J17:$AX17,"&lt;&gt;"&amp;"pB2 RNNR")*0.5)))</f>
        <v>2</v>
      </c>
      <c r="J17" s="184" t="str">
        <f>IFERROR(IF(VLOOKUP(Tue_W2[[#This Row],[Employee Name]],'Base Schedules'!$A$160:$AW$203,9,FALSE)="","",VLOOKUP(Tue_W2[[#This Row],[Employee Name]],'Base Schedules'!$A$160:$AW$203,9,FALSE)),"")</f>
        <v/>
      </c>
      <c r="K17" s="184" t="str">
        <f>IFERROR(IF(VLOOKUP(Tue_W2[[#This Row],[Employee Name]],'Base Schedules'!$A$160:$AW$203,10,FALSE)="","",VLOOKUP(Tue_W2[[#This Row],[Employee Name]],'Base Schedules'!$A$160:$AW$203,10,FALSE)),"")</f>
        <v/>
      </c>
      <c r="L17" s="184" t="str">
        <f>IFERROR(IF(VLOOKUP(Tue_W2[[#This Row],[Employee Name]],'Base Schedules'!$A$160:$AW$203,11,FALSE)="","",VLOOKUP(Tue_W2[[#This Row],[Employee Name]],'Base Schedules'!$A$160:$AW$203,11,FALSE)),"")</f>
        <v/>
      </c>
      <c r="M17" s="184" t="str">
        <f>IFERROR(IF(VLOOKUP(Tue_W2[[#This Row],[Employee Name]],'Base Schedules'!$A$160:$AW$203,12,FALSE)="","",VLOOKUP(Tue_W2[[#This Row],[Employee Name]],'Base Schedules'!$A$160:$AW$203,12,FALSE)),"")</f>
        <v>HL</v>
      </c>
      <c r="N17" s="184" t="str">
        <f>IFERROR(IF(VLOOKUP(Tue_W2[[#This Row],[Employee Name]],'Base Schedules'!$A$160:$AW$203,13,FALSE)="","",VLOOKUP(Tue_W2[[#This Row],[Employee Name]],'Base Schedules'!$A$160:$AW$203,13,FALSE)),"")</f>
        <v>HL</v>
      </c>
      <c r="O17" s="184" t="str">
        <f>IFERROR(IF(VLOOKUP(Tue_W2[[#This Row],[Employee Name]],'Base Schedules'!$A$160:$AW$203,14,FALSE)="","",VLOOKUP(Tue_W2[[#This Row],[Employee Name]],'Base Schedules'!$A$160:$AW$203,14,FALSE)),"")</f>
        <v>ADM</v>
      </c>
      <c r="P17" s="184" t="str">
        <f>IFERROR(IF(VLOOKUP(Tue_W2[[#This Row],[Employee Name]],'Base Schedules'!$A$160:$AW$203,15,FALSE)="","",VLOOKUP(Tue_W2[[#This Row],[Employee Name]],'Base Schedules'!$A$160:$AW$203,15,FALSE)),"")</f>
        <v>ADM</v>
      </c>
      <c r="Q17" s="184" t="str">
        <f>IFERROR(IF(VLOOKUP(Tue_W2[[#This Row],[Employee Name]],'Base Schedules'!$A$160:$AW$203,16,FALSE)="","",VLOOKUP(Tue_W2[[#This Row],[Employee Name]],'Base Schedules'!$A$160:$AW$203,16,FALSE)),"")</f>
        <v>HL B1</v>
      </c>
      <c r="R17" s="184" t="str">
        <f>IFERROR(IF(VLOOKUP(Tue_W2[[#This Row],[Employee Name]],'Base Schedules'!$A$160:$AW$203,17,FALSE)="","",VLOOKUP(Tue_W2[[#This Row],[Employee Name]],'Base Schedules'!$A$160:$AW$203,17,FALSE)),"")</f>
        <v>HL</v>
      </c>
      <c r="S17" s="184" t="str">
        <f>IFERROR(IF(VLOOKUP(Tue_W2[[#This Row],[Employee Name]],'Base Schedules'!$A$160:$AW$203,18,FALSE)="","",VLOOKUP(Tue_W2[[#This Row],[Employee Name]],'Base Schedules'!$A$160:$AW$203,18,FALSE)),"")</f>
        <v>HL</v>
      </c>
      <c r="T17" s="184" t="str">
        <f>IFERROR(IF(VLOOKUP(Tue_W2[[#This Row],[Employee Name]],'Base Schedules'!$A$160:$AW$203,19,FALSE)="","",VLOOKUP(Tue_W2[[#This Row],[Employee Name]],'Base Schedules'!$A$160:$AW$203,19,FALSE)),"")</f>
        <v>RNNR</v>
      </c>
      <c r="U17" s="184" t="str">
        <f>IFERROR(IF(VLOOKUP(Tue_W2[[#This Row],[Employee Name]],'Base Schedules'!$A$160:$AW$203,20,FALSE)="","",VLOOKUP(Tue_W2[[#This Row],[Employee Name]],'Base Schedules'!$A$160:$AW$203,20,FALSE)),"")</f>
        <v>RNNR</v>
      </c>
      <c r="V17" s="184" t="str">
        <f>IFERROR(IF(VLOOKUP(Tue_W2[[#This Row],[Employee Name]],'Base Schedules'!$A$160:$AW$203,21,FALSE)="","",VLOOKUP(Tue_W2[[#This Row],[Employee Name]],'Base Schedules'!$A$160:$AW$203,21,FALSE)),"")</f>
        <v>LUNCH</v>
      </c>
      <c r="W17" s="184" t="str">
        <f>IFERROR(IF(VLOOKUP(Tue_W2[[#This Row],[Employee Name]],'Base Schedules'!$A$160:$AW$203,22,FALSE)="","",VLOOKUP(Tue_W2[[#This Row],[Employee Name]],'Base Schedules'!$A$160:$AW$203,22,FALSE)),"")</f>
        <v>ADM</v>
      </c>
      <c r="X17" s="184" t="str">
        <f>IFERROR(IF(VLOOKUP(Tue_W2[[#This Row],[Employee Name]],'Base Schedules'!$A$160:$AW$203,23,FALSE)="","",VLOOKUP(Tue_W2[[#This Row],[Employee Name]],'Base Schedules'!$A$160:$AW$203,23,FALSE)),"")</f>
        <v>HL</v>
      </c>
      <c r="Y17" s="184" t="str">
        <f>IFERROR(IF(VLOOKUP(Tue_W2[[#This Row],[Employee Name]],'Base Schedules'!$A$160:$AW$203,24,FALSE)="","",VLOOKUP(Tue_W2[[#This Row],[Employee Name]],'Base Schedules'!$A$160:$AW$203,24,FALSE)),"")</f>
        <v>HL B2</v>
      </c>
      <c r="Z17" s="184" t="str">
        <f>IFERROR(IF(VLOOKUP(Tue_W2[[#This Row],[Employee Name]],'Base Schedules'!$A$160:$AW$203,25,FALSE)="","",VLOOKUP(Tue_W2[[#This Row],[Employee Name]],'Base Schedules'!$A$160:$AW$203,25,FALSE)),"")</f>
        <v>ADM</v>
      </c>
      <c r="AA17" s="184" t="str">
        <f>IFERROR(IF(VLOOKUP(Tue_W2[[#This Row],[Employee Name]],'Base Schedules'!$A$160:$AW$203,26,FALSE)="","",VLOOKUP(Tue_W2[[#This Row],[Employee Name]],'Base Schedules'!$A$160:$AW$203,26,FALSE)),"")</f>
        <v>ADM</v>
      </c>
      <c r="AB17" s="184" t="str">
        <f>IFERROR(IF(VLOOKUP(Tue_W2[[#This Row],[Employee Name]],'Base Schedules'!$A$160:$AW$203,27,FALSE)="","",VLOOKUP(Tue_W2[[#This Row],[Employee Name]],'Base Schedules'!$A$160:$AW$203,27,FALSE)),"")</f>
        <v>ADM</v>
      </c>
      <c r="AC17" s="184" t="str">
        <f>IFERROR(IF(VLOOKUP(Tue_W2[[#This Row],[Employee Name]],'Base Schedules'!$A$160:$AW$203,28,FALSE)="","",VLOOKUP(Tue_W2[[#This Row],[Employee Name]],'Base Schedules'!$A$160:$AW$203,28,FALSE)),"")</f>
        <v>HL</v>
      </c>
      <c r="AD17" s="184" t="str">
        <f>IFERROR(IF(VLOOKUP(Tue_W2[[#This Row],[Employee Name]],'Base Schedules'!$A$160:$AW$203,29,FALSE)="","",VLOOKUP(Tue_W2[[#This Row],[Employee Name]],'Base Schedules'!$A$160:$AW$203,29,FALSE)),"")</f>
        <v/>
      </c>
      <c r="AE17" s="184" t="str">
        <f>IFERROR(IF(VLOOKUP(Tue_W2[[#This Row],[Employee Name]],'Base Schedules'!$A$160:$AW$203,30,FALSE)="","",VLOOKUP(Tue_W2[[#This Row],[Employee Name]],'Base Schedules'!$A$160:$AW$203,30,FALSE)),"")</f>
        <v/>
      </c>
      <c r="AF17" s="184" t="str">
        <f>IFERROR(IF(VLOOKUP(Tue_W2[[#This Row],[Employee Name]],'Base Schedules'!$A$160:$AW$203,31,FALSE)="","",VLOOKUP(Tue_W2[[#This Row],[Employee Name]],'Base Schedules'!$A$160:$AW$203,31,FALSE)),"")</f>
        <v/>
      </c>
      <c r="AG17" s="184" t="str">
        <f>IFERROR(IF(VLOOKUP(Tue_W2[[#This Row],[Employee Name]],'Base Schedules'!$A$160:$AW$203,32,FALSE)="","",VLOOKUP(Tue_W2[[#This Row],[Employee Name]],'Base Schedules'!$A$160:$AW$203,32,FALSE)),"")</f>
        <v/>
      </c>
      <c r="AH17" s="184" t="str">
        <f>IFERROR(IF(VLOOKUP(Tue_W2[[#This Row],[Employee Name]],'Base Schedules'!$A$160:$AW$203,33,FALSE)="","",VLOOKUP(Tue_W2[[#This Row],[Employee Name]],'Base Schedules'!$A$160:$AW$203,33,FALSE)),"")</f>
        <v/>
      </c>
      <c r="AI17" s="184" t="str">
        <f>IFERROR(IF(VLOOKUP(Tue_W2[[#This Row],[Employee Name]],'Base Schedules'!$A$160:$AW$203,34,FALSE)="","",VLOOKUP(Tue_W2[[#This Row],[Employee Name]],'Base Schedules'!$A$160:$AW$203,34,FALSE)),"")</f>
        <v/>
      </c>
      <c r="AJ17" s="184" t="str">
        <f>IFERROR(IF(VLOOKUP(Tue_W2[[#This Row],[Employee Name]],'Base Schedules'!$A$160:$AW$203,35,FALSE)="","",VLOOKUP(Tue_W2[[#This Row],[Employee Name]],'Base Schedules'!$A$160:$AW$203,35,FALSE)),"")</f>
        <v/>
      </c>
      <c r="AK17" s="184" t="str">
        <f>IFERROR(IF(VLOOKUP(Tue_W2[[#This Row],[Employee Name]],'Base Schedules'!$A$160:$AW$203,36,FALSE)="","",VLOOKUP(Tue_W2[[#This Row],[Employee Name]],'Base Schedules'!$A$160:$AW$203,36,FALSE)),"")</f>
        <v/>
      </c>
      <c r="AL17" s="184" t="str">
        <f>IFERROR(IF(VLOOKUP(Tue_W2[[#This Row],[Employee Name]],'Base Schedules'!$A$160:$AW$203,37,FALSE)="","",VLOOKUP(Tue_W2[[#This Row],[Employee Name]],'Base Schedules'!$A$160:$AW$203,37,FALSE)),"")</f>
        <v/>
      </c>
      <c r="AM17" s="184" t="str">
        <f>IFERROR(IF(VLOOKUP(Tue_W2[[#This Row],[Employee Name]],'Base Schedules'!$A$160:$AW$203,38,FALSE)="","",VLOOKUP(Tue_W2[[#This Row],[Employee Name]],'Base Schedules'!$A$160:$AW$203,38,FALSE)),"")</f>
        <v/>
      </c>
      <c r="AN17" s="184" t="str">
        <f>IFERROR(IF(VLOOKUP(Tue_W2[[#This Row],[Employee Name]],'Base Schedules'!$A$160:$AW$203,39,FALSE)="","",VLOOKUP(Tue_W2[[#This Row],[Employee Name]],'Base Schedules'!$A$160:$AW$203,39,FALSE)),"")</f>
        <v/>
      </c>
      <c r="AO17" s="184" t="str">
        <f>IFERROR(IF(VLOOKUP(Tue_W2[[#This Row],[Employee Name]],'Base Schedules'!$A$160:$AW$203,40,FALSE)="","",VLOOKUP(Tue_W2[[#This Row],[Employee Name]],'Base Schedules'!$A$160:$AW$203,40,FALSE)),"")</f>
        <v/>
      </c>
      <c r="AP17" s="184" t="str">
        <f>IFERROR(IF(VLOOKUP(Tue_W2[[#This Row],[Employee Name]],'Base Schedules'!$A$160:$AW$203,41,FALSE)="","",VLOOKUP(Tue_W2[[#This Row],[Employee Name]],'Base Schedules'!$A$160:$AW$203,41,FALSE)),"")</f>
        <v/>
      </c>
      <c r="AQ17" s="184" t="str">
        <f>IFERROR(IF(VLOOKUP(Tue_W2[[#This Row],[Employee Name]],'Base Schedules'!$A$160:$AW$203,42,FALSE)="","",VLOOKUP(Tue_W2[[#This Row],[Employee Name]],'Base Schedules'!$A$160:$AW$203,42,FALSE)),"")</f>
        <v/>
      </c>
      <c r="AR17" s="184" t="str">
        <f>IFERROR(IF(VLOOKUP(Tue_W2[[#This Row],[Employee Name]],'Base Schedules'!$A$160:$AW$203,43,FALSE)="","",VLOOKUP(Tue_W2[[#This Row],[Employee Name]],'Base Schedules'!$A$160:$AW$203,43,FALSE)),"")</f>
        <v/>
      </c>
      <c r="AS17" s="184" t="str">
        <f>IFERROR(IF(VLOOKUP(Tue_W2[[#This Row],[Employee Name]],'Base Schedules'!$A$160:$AW$203,44,FALSE)="","",VLOOKUP(Tue_W2[[#This Row],[Employee Name]],'Base Schedules'!$A$160:$AW$203,44,FALSE)),"")</f>
        <v/>
      </c>
      <c r="AT17" s="184" t="str">
        <f>IFERROR(IF(VLOOKUP(Tue_W2[[#This Row],[Employee Name]],'Base Schedules'!$A$160:$AW$203,45,FALSE)="","",VLOOKUP(Tue_W2[[#This Row],[Employee Name]],'Base Schedules'!$A$160:$AW$203,45,FALSE)),"")</f>
        <v/>
      </c>
      <c r="AU17" s="184" t="str">
        <f>IFERROR(IF(VLOOKUP(Tue_W2[[#This Row],[Employee Name]],'Base Schedules'!$A$160:$AW$203,46,FALSE)="","",VLOOKUP(Tue_W2[[#This Row],[Employee Name]],'Base Schedules'!$A$160:$AW$203,46,FALSE)),"")</f>
        <v/>
      </c>
      <c r="AV17" s="184" t="str">
        <f>IFERROR(IF(VLOOKUP(Tue_W2[[#This Row],[Employee Name]],'Base Schedules'!$A$160:$AW$203,47,FALSE)="","",VLOOKUP(Tue_W2[[#This Row],[Employee Name]],'Base Schedules'!$A$160:$AW$203,47,FALSE)),"")</f>
        <v/>
      </c>
      <c r="AW17" s="184" t="str">
        <f>IFERROR(IF(VLOOKUP(Tue_W2[[#This Row],[Employee Name]],'Base Schedules'!$A$160:$AW$203,48,FALSE)="","",VLOOKUP(Tue_W2[[#This Row],[Employee Name]],'Base Schedules'!$A$160:$AW$203,48,FALSE)),"")</f>
        <v/>
      </c>
      <c r="AX17" s="184" t="str">
        <f>IFERROR(IF(VLOOKUP(Tue_W2[[#This Row],[Employee Name]],'Base Schedules'!$A$160:$AW$203,49,FALSE)="","",VLOOKUP(Tue_W2[[#This Row],[Employee Name]],'Base Schedules'!$A$160:$AW$203,49,FALSE)),"")</f>
        <v/>
      </c>
      <c r="AY17" s="159" t="str">
        <f t="shared" si="2"/>
        <v>Greene, Alicia</v>
      </c>
    </row>
    <row r="18" spans="1:51" s="44" customFormat="1" ht="12" customHeight="1" x14ac:dyDescent="0.2">
      <c r="A18" s="39" t="str">
        <f>IF(B18="","",INDEX(TeamList[],MATCH($B18,TeamList[[Employee Name]:[Employee Name]],0),MATCH("Manager",TeamList[#Headers],0)))</f>
        <v>Paulson, Matthew</v>
      </c>
      <c r="B18" s="332" t="s">
        <v>39</v>
      </c>
      <c r="C18" s="257" t="str">
        <f>_xlfn.IFNA(VLOOKUP(Tue_W2[[#This Row],[Employee Name]],'Base Schedules'!A:B,2,FALSE),"")</f>
        <v>Supervisor</v>
      </c>
      <c r="D18" s="274">
        <f>_xlfn.IFNA(VLOOKUP(Tue_W2[[#This Row],[Employee Name]],'Base Schedules'!A:C,3,FALSE),"")</f>
        <v>630</v>
      </c>
      <c r="E18" s="274">
        <f>_xlfn.IFNA(VLOOKUP(Tue_W2[[#This Row],[Employee Name]],'Base Schedules'!A:D,4,FALSE),"")</f>
        <v>1530</v>
      </c>
      <c r="F18" s="142">
        <f>IF(Tue_W2[[#This Row],[Employee Name]]="","",IF(Tue_W2[[#This Row],[Dept]]="Supervisor",COUNTIFS($J18:$AX18,"*HL*",$J18:$AX18,"&lt;&gt;"&amp;"pHL"),COUNTIFS($J18:$AX18,"*HL*",$J18:$AX18,"&lt;&gt;"&amp;"*pHL*",$J18:$AX18,"&lt;&gt;"&amp;"pB1 HL",$J18:$AX18,"&lt;&gt;"&amp;"pB2 HL")-SUM(COUNTIFS($J18:$AX18,"*HL B1*",$J18:$AX18,"&lt;&gt;"&amp;"pHL B1")*0.5,COUNTIFS($J18:$AX18,"*HL B2*",$J18:$AX18,"&lt;&gt;"&amp;"pHL B2")*0.5,COUNTIFS($J18:$AX18,"*B1 HL*",$J18:$AX18,"&lt;&gt;"&amp;"pB1 HL")*0.5,COUNTIFS($J18:$AX18,"*B2 HL*",$J18:$AX18,"&lt;&gt;"&amp;"pB2 HL")*0.5)))</f>
        <v>0</v>
      </c>
      <c r="G18" s="142">
        <f t="shared" si="0"/>
        <v>3</v>
      </c>
      <c r="H18" s="142">
        <f t="shared" si="1"/>
        <v>0</v>
      </c>
      <c r="I18" s="142">
        <f>IF(Tue_W2[[#This Row],[Employee Name]]="","",IF(Tue_W2[[#This Row],[Dept]]="Supervisor",SUM(COUNTIFS($J18:$AX18,"RTA*",$J18:$AX18,"&lt;&gt;"&amp;"pRTA"),COUNTIFS($J18:$AX18,"*CRTA*",$J18:$AX18,"&lt;&gt;"&amp;"pCRTA")),COUNTIFS($J18:$AX18,"*RNNR*",$J18:$AX18,"&lt;&gt;"&amp;"*pRNNR*",$J18:$AX18,"&lt;&gt;"&amp;"pB1 RNNR",$J18:$AX18,"&lt;&gt;"&amp;"pB2 RNNR")-SUM(COUNTIFS($J18:$AX18,"*RNNR B1*",$J18:$AX18,"&lt;&gt;"&amp;"pRNNR B1")*0.5,COUNTIFS($J18:$AX18,"*RNNR B2*",$J18:$AX18,"&lt;&gt;"&amp;"pRNNR B2")*0.5,COUNTIFS($J18:$AX18,"*B1 RNNR*",$J18:$AX18,"&lt;&gt;"&amp;"pB1 RNNR")*0.5,COUNTIFS($J18:$AX18,"*B2 RNNR*",$J18:$AX18,"&lt;&gt;"&amp;"pB2 RNNR")*0.5)))</f>
        <v>0</v>
      </c>
      <c r="J18" s="184" t="str">
        <f>IFERROR(IF(VLOOKUP(Tue_W2[[#This Row],[Employee Name]],'Base Schedules'!$A$160:$AW$203,9,FALSE)="","",VLOOKUP(Tue_W2[[#This Row],[Employee Name]],'Base Schedules'!$A$160:$AW$203,9,FALSE)),"")</f>
        <v/>
      </c>
      <c r="K18" s="184" t="str">
        <f>IFERROR(IF(VLOOKUP(Tue_W2[[#This Row],[Employee Name]],'Base Schedules'!$A$160:$AW$203,10,FALSE)="","",VLOOKUP(Tue_W2[[#This Row],[Employee Name]],'Base Schedules'!$A$160:$AW$203,10,FALSE)),"")</f>
        <v/>
      </c>
      <c r="L18" s="184" t="str">
        <f>IFERROR(IF(VLOOKUP(Tue_W2[[#This Row],[Employee Name]],'Base Schedules'!$A$160:$AW$203,11,FALSE)="","",VLOOKUP(Tue_W2[[#This Row],[Employee Name]],'Base Schedules'!$A$160:$AW$203,11,FALSE)),"")</f>
        <v/>
      </c>
      <c r="M18" s="184" t="str">
        <f>IFERROR(IF(VLOOKUP(Tue_W2[[#This Row],[Employee Name]],'Base Schedules'!$A$160:$AW$203,12,FALSE)="","",VLOOKUP(Tue_W2[[#This Row],[Employee Name]],'Base Schedules'!$A$160:$AW$203,12,FALSE)),"")</f>
        <v>-</v>
      </c>
      <c r="N18" s="184" t="str">
        <f>IFERROR(IF(VLOOKUP(Tue_W2[[#This Row],[Employee Name]],'Base Schedules'!$A$160:$AW$203,13,FALSE)="","",VLOOKUP(Tue_W2[[#This Row],[Employee Name]],'Base Schedules'!$A$160:$AW$203,13,FALSE)),"")</f>
        <v>-</v>
      </c>
      <c r="O18" s="184" t="str">
        <f>IFERROR(IF(VLOOKUP(Tue_W2[[#This Row],[Employee Name]],'Base Schedules'!$A$160:$AW$203,14,FALSE)="","",VLOOKUP(Tue_W2[[#This Row],[Employee Name]],'Base Schedules'!$A$160:$AW$203,14,FALSE)),"")</f>
        <v>-</v>
      </c>
      <c r="P18" s="184" t="str">
        <f>IFERROR(IF(VLOOKUP(Tue_W2[[#This Row],[Employee Name]],'Base Schedules'!$A$160:$AW$203,15,FALSE)="","",VLOOKUP(Tue_W2[[#This Row],[Employee Name]],'Base Schedules'!$A$160:$AW$203,15,FALSE)),"")</f>
        <v>-</v>
      </c>
      <c r="Q18" s="184" t="str">
        <f>IFERROR(IF(VLOOKUP(Tue_W2[[#This Row],[Employee Name]],'Base Schedules'!$A$160:$AW$203,16,FALSE)="","",VLOOKUP(Tue_W2[[#This Row],[Employee Name]],'Base Schedules'!$A$160:$AW$203,16,FALSE)),"")</f>
        <v>-</v>
      </c>
      <c r="R18" s="184" t="str">
        <f>IFERROR(IF(VLOOKUP(Tue_W2[[#This Row],[Employee Name]],'Base Schedules'!$A$160:$AW$203,17,FALSE)="","",VLOOKUP(Tue_W2[[#This Row],[Employee Name]],'Base Schedules'!$A$160:$AW$203,17,FALSE)),"")</f>
        <v>Coaching</v>
      </c>
      <c r="S18" s="184" t="str">
        <f>IFERROR(IF(VLOOKUP(Tue_W2[[#This Row],[Employee Name]],'Base Schedules'!$A$160:$AW$203,18,FALSE)="","",VLOOKUP(Tue_W2[[#This Row],[Employee Name]],'Base Schedules'!$A$160:$AW$203,18,FALSE)),"")</f>
        <v>Coaching</v>
      </c>
      <c r="T18" s="184" t="str">
        <f>IFERROR(IF(VLOOKUP(Tue_W2[[#This Row],[Employee Name]],'Base Schedules'!$A$160:$AW$203,19,FALSE)="","",VLOOKUP(Tue_W2[[#This Row],[Employee Name]],'Base Schedules'!$A$160:$AW$203,19,FALSE)),"")</f>
        <v>Coaching</v>
      </c>
      <c r="U18" s="184" t="str">
        <f>IFERROR(IF(VLOOKUP(Tue_W2[[#This Row],[Employee Name]],'Base Schedules'!$A$160:$AW$203,20,FALSE)="","",VLOOKUP(Tue_W2[[#This Row],[Employee Name]],'Base Schedules'!$A$160:$AW$203,20,FALSE)),"")</f>
        <v>-</v>
      </c>
      <c r="V18" s="184" t="str">
        <f>IFERROR(IF(VLOOKUP(Tue_W2[[#This Row],[Employee Name]],'Base Schedules'!$A$160:$AW$203,21,FALSE)="","",VLOOKUP(Tue_W2[[#This Row],[Employee Name]],'Base Schedules'!$A$160:$AW$203,21,FALSE)),"")</f>
        <v>-</v>
      </c>
      <c r="W18" s="184" t="str">
        <f>IFERROR(IF(VLOOKUP(Tue_W2[[#This Row],[Employee Name]],'Base Schedules'!$A$160:$AW$203,22,FALSE)="","",VLOOKUP(Tue_W2[[#This Row],[Employee Name]],'Base Schedules'!$A$160:$AW$203,22,FALSE)),"")</f>
        <v>-</v>
      </c>
      <c r="X18" s="184" t="str">
        <f>IFERROR(IF(VLOOKUP(Tue_W2[[#This Row],[Employee Name]],'Base Schedules'!$A$160:$AW$203,23,FALSE)="","",VLOOKUP(Tue_W2[[#This Row],[Employee Name]],'Base Schedules'!$A$160:$AW$203,23,FALSE)),"")</f>
        <v>-</v>
      </c>
      <c r="Y18" s="184" t="str">
        <f>IFERROR(IF(VLOOKUP(Tue_W2[[#This Row],[Employee Name]],'Base Schedules'!$A$160:$AW$203,24,FALSE)="","",VLOOKUP(Tue_W2[[#This Row],[Employee Name]],'Base Schedules'!$A$160:$AW$203,24,FALSE)),"")</f>
        <v>-</v>
      </c>
      <c r="Z18" s="184" t="str">
        <f>IFERROR(IF(VLOOKUP(Tue_W2[[#This Row],[Employee Name]],'Base Schedules'!$A$160:$AW$203,25,FALSE)="","",VLOOKUP(Tue_W2[[#This Row],[Employee Name]],'Base Schedules'!$A$160:$AW$203,25,FALSE)),"")</f>
        <v>Team ZAH TM</v>
      </c>
      <c r="AA18" s="184" t="str">
        <f>IFERROR(IF(VLOOKUP(Tue_W2[[#This Row],[Employee Name]],'Base Schedules'!$A$160:$AW$203,26,FALSE)="","",VLOOKUP(Tue_W2[[#This Row],[Employee Name]],'Base Schedules'!$A$160:$AW$203,26,FALSE)),"")</f>
        <v>Team ZAH TM</v>
      </c>
      <c r="AB18" s="184" t="str">
        <f>IFERROR(IF(VLOOKUP(Tue_W2[[#This Row],[Employee Name]],'Base Schedules'!$A$160:$AW$203,27,FALSE)="","",VLOOKUP(Tue_W2[[#This Row],[Employee Name]],'Base Schedules'!$A$160:$AW$203,27,FALSE)),"")</f>
        <v>-</v>
      </c>
      <c r="AC18" s="184" t="str">
        <f>IFERROR(IF(VLOOKUP(Tue_W2[[#This Row],[Employee Name]],'Base Schedules'!$A$160:$AW$203,28,FALSE)="","",VLOOKUP(Tue_W2[[#This Row],[Employee Name]],'Base Schedules'!$A$160:$AW$203,28,FALSE)),"")</f>
        <v>-</v>
      </c>
      <c r="AD18" s="184" t="str">
        <f>IFERROR(IF(VLOOKUP(Tue_W2[[#This Row],[Employee Name]],'Base Schedules'!$A$160:$AW$203,29,FALSE)="","",VLOOKUP(Tue_W2[[#This Row],[Employee Name]],'Base Schedules'!$A$160:$AW$203,29,FALSE)),"")</f>
        <v>-</v>
      </c>
      <c r="AE18" s="184" t="str">
        <f>IFERROR(IF(VLOOKUP(Tue_W2[[#This Row],[Employee Name]],'Base Schedules'!$A$160:$AW$203,30,FALSE)="","",VLOOKUP(Tue_W2[[#This Row],[Employee Name]],'Base Schedules'!$A$160:$AW$203,30,FALSE)),"")</f>
        <v/>
      </c>
      <c r="AF18" s="184" t="str">
        <f>IFERROR(IF(VLOOKUP(Tue_W2[[#This Row],[Employee Name]],'Base Schedules'!$A$160:$AW$203,31,FALSE)="","",VLOOKUP(Tue_W2[[#This Row],[Employee Name]],'Base Schedules'!$A$160:$AW$203,31,FALSE)),"")</f>
        <v/>
      </c>
      <c r="AG18" s="184" t="str">
        <f>IFERROR(IF(VLOOKUP(Tue_W2[[#This Row],[Employee Name]],'Base Schedules'!$A$160:$AW$203,32,FALSE)="","",VLOOKUP(Tue_W2[[#This Row],[Employee Name]],'Base Schedules'!$A$160:$AW$203,32,FALSE)),"")</f>
        <v/>
      </c>
      <c r="AH18" s="184" t="str">
        <f>IFERROR(IF(VLOOKUP(Tue_W2[[#This Row],[Employee Name]],'Base Schedules'!$A$160:$AW$203,33,FALSE)="","",VLOOKUP(Tue_W2[[#This Row],[Employee Name]],'Base Schedules'!$A$160:$AW$203,33,FALSE)),"")</f>
        <v/>
      </c>
      <c r="AI18" s="184" t="str">
        <f>IFERROR(IF(VLOOKUP(Tue_W2[[#This Row],[Employee Name]],'Base Schedules'!$A$160:$AW$203,34,FALSE)="","",VLOOKUP(Tue_W2[[#This Row],[Employee Name]],'Base Schedules'!$A$160:$AW$203,34,FALSE)),"")</f>
        <v/>
      </c>
      <c r="AJ18" s="184" t="str">
        <f>IFERROR(IF(VLOOKUP(Tue_W2[[#This Row],[Employee Name]],'Base Schedules'!$A$160:$AW$203,35,FALSE)="","",VLOOKUP(Tue_W2[[#This Row],[Employee Name]],'Base Schedules'!$A$160:$AW$203,35,FALSE)),"")</f>
        <v/>
      </c>
      <c r="AK18" s="184" t="str">
        <f>IFERROR(IF(VLOOKUP(Tue_W2[[#This Row],[Employee Name]],'Base Schedules'!$A$160:$AW$203,36,FALSE)="","",VLOOKUP(Tue_W2[[#This Row],[Employee Name]],'Base Schedules'!$A$160:$AW$203,36,FALSE)),"")</f>
        <v/>
      </c>
      <c r="AL18" s="184" t="str">
        <f>IFERROR(IF(VLOOKUP(Tue_W2[[#This Row],[Employee Name]],'Base Schedules'!$A$160:$AW$203,37,FALSE)="","",VLOOKUP(Tue_W2[[#This Row],[Employee Name]],'Base Schedules'!$A$160:$AW$203,37,FALSE)),"")</f>
        <v/>
      </c>
      <c r="AM18" s="184" t="str">
        <f>IFERROR(IF(VLOOKUP(Tue_W2[[#This Row],[Employee Name]],'Base Schedules'!$A$160:$AW$203,38,FALSE)="","",VLOOKUP(Tue_W2[[#This Row],[Employee Name]],'Base Schedules'!$A$160:$AW$203,38,FALSE)),"")</f>
        <v/>
      </c>
      <c r="AN18" s="184" t="str">
        <f>IFERROR(IF(VLOOKUP(Tue_W2[[#This Row],[Employee Name]],'Base Schedules'!$A$160:$AW$203,39,FALSE)="","",VLOOKUP(Tue_W2[[#This Row],[Employee Name]],'Base Schedules'!$A$160:$AW$203,39,FALSE)),"")</f>
        <v/>
      </c>
      <c r="AO18" s="184" t="str">
        <f>IFERROR(IF(VLOOKUP(Tue_W2[[#This Row],[Employee Name]],'Base Schedules'!$A$160:$AW$203,40,FALSE)="","",VLOOKUP(Tue_W2[[#This Row],[Employee Name]],'Base Schedules'!$A$160:$AW$203,40,FALSE)),"")</f>
        <v/>
      </c>
      <c r="AP18" s="184" t="str">
        <f>IFERROR(IF(VLOOKUP(Tue_W2[[#This Row],[Employee Name]],'Base Schedules'!$A$160:$AW$203,41,FALSE)="","",VLOOKUP(Tue_W2[[#This Row],[Employee Name]],'Base Schedules'!$A$160:$AW$203,41,FALSE)),"")</f>
        <v/>
      </c>
      <c r="AQ18" s="184" t="str">
        <f>IFERROR(IF(VLOOKUP(Tue_W2[[#This Row],[Employee Name]],'Base Schedules'!$A$160:$AW$203,42,FALSE)="","",VLOOKUP(Tue_W2[[#This Row],[Employee Name]],'Base Schedules'!$A$160:$AW$203,42,FALSE)),"")</f>
        <v/>
      </c>
      <c r="AR18" s="184" t="str">
        <f>IFERROR(IF(VLOOKUP(Tue_W2[[#This Row],[Employee Name]],'Base Schedules'!$A$160:$AW$203,43,FALSE)="","",VLOOKUP(Tue_W2[[#This Row],[Employee Name]],'Base Schedules'!$A$160:$AW$203,43,FALSE)),"")</f>
        <v/>
      </c>
      <c r="AS18" s="184" t="str">
        <f>IFERROR(IF(VLOOKUP(Tue_W2[[#This Row],[Employee Name]],'Base Schedules'!$A$160:$AW$203,44,FALSE)="","",VLOOKUP(Tue_W2[[#This Row],[Employee Name]],'Base Schedules'!$A$160:$AW$203,44,FALSE)),"")</f>
        <v/>
      </c>
      <c r="AT18" s="184" t="str">
        <f>IFERROR(IF(VLOOKUP(Tue_W2[[#This Row],[Employee Name]],'Base Schedules'!$A$160:$AW$203,45,FALSE)="","",VLOOKUP(Tue_W2[[#This Row],[Employee Name]],'Base Schedules'!$A$160:$AW$203,45,FALSE)),"")</f>
        <v/>
      </c>
      <c r="AU18" s="184" t="str">
        <f>IFERROR(IF(VLOOKUP(Tue_W2[[#This Row],[Employee Name]],'Base Schedules'!$A$160:$AW$203,46,FALSE)="","",VLOOKUP(Tue_W2[[#This Row],[Employee Name]],'Base Schedules'!$A$160:$AW$203,46,FALSE)),"")</f>
        <v/>
      </c>
      <c r="AV18" s="184" t="str">
        <f>IFERROR(IF(VLOOKUP(Tue_W2[[#This Row],[Employee Name]],'Base Schedules'!$A$160:$AW$203,47,FALSE)="","",VLOOKUP(Tue_W2[[#This Row],[Employee Name]],'Base Schedules'!$A$160:$AW$203,47,FALSE)),"")</f>
        <v/>
      </c>
      <c r="AW18" s="184" t="str">
        <f>IFERROR(IF(VLOOKUP(Tue_W2[[#This Row],[Employee Name]],'Base Schedules'!$A$160:$AW$203,48,FALSE)="","",VLOOKUP(Tue_W2[[#This Row],[Employee Name]],'Base Schedules'!$A$160:$AW$203,48,FALSE)),"")</f>
        <v/>
      </c>
      <c r="AX18" s="184" t="str">
        <f>IFERROR(IF(VLOOKUP(Tue_W2[[#This Row],[Employee Name]],'Base Schedules'!$A$160:$AW$203,49,FALSE)="","",VLOOKUP(Tue_W2[[#This Row],[Employee Name]],'Base Schedules'!$A$160:$AW$203,49,FALSE)),"")</f>
        <v/>
      </c>
      <c r="AY18" s="159" t="str">
        <f t="shared" si="2"/>
        <v>Ulrich, Michael</v>
      </c>
    </row>
    <row r="19" spans="1:51" s="44" customFormat="1" ht="12" customHeight="1" x14ac:dyDescent="0.2">
      <c r="A19" s="39" t="str">
        <f>IF(B19="","",INDEX(TeamList[],MATCH($B19,TeamList[[Employee Name]:[Employee Name]],0),MATCH("Manager",TeamList[#Headers],0)))</f>
        <v>Ahmed Hassan, Zahra</v>
      </c>
      <c r="B19" s="332" t="s">
        <v>51</v>
      </c>
      <c r="C19" s="257" t="str">
        <f>_xlfn.IFNA(VLOOKUP(Tue_W2[[#This Row],[Employee Name]],'Base Schedules'!A:B,2,FALSE),"")</f>
        <v>Supervisor</v>
      </c>
      <c r="D19" s="274">
        <f>_xlfn.IFNA(VLOOKUP(Tue_W2[[#This Row],[Employee Name]],'Base Schedules'!A:C,3,FALSE),"")</f>
        <v>700</v>
      </c>
      <c r="E19" s="274">
        <f>_xlfn.IFNA(VLOOKUP(Tue_W2[[#This Row],[Employee Name]],'Base Schedules'!A:D,4,FALSE),"")</f>
        <v>1600</v>
      </c>
      <c r="F19" s="142">
        <f>IF(Tue_W2[[#This Row],[Employee Name]]="","",IF(Tue_W2[[#This Row],[Dept]]="Supervisor",COUNTIFS($J19:$AX19,"*HL*",$J19:$AX19,"&lt;&gt;"&amp;"pHL"),COUNTIFS($J19:$AX19,"*HL*",$J19:$AX19,"&lt;&gt;"&amp;"*pHL*",$J19:$AX19,"&lt;&gt;"&amp;"pB1 HL",$J19:$AX19,"&lt;&gt;"&amp;"pB2 HL")-SUM(COUNTIFS($J19:$AX19,"*HL B1*",$J19:$AX19,"&lt;&gt;"&amp;"pHL B1")*0.5,COUNTIFS($J19:$AX19,"*HL B2*",$J19:$AX19,"&lt;&gt;"&amp;"pHL B2")*0.5,COUNTIFS($J19:$AX19,"*B1 HL*",$J19:$AX19,"&lt;&gt;"&amp;"pB1 HL")*0.5,COUNTIFS($J19:$AX19,"*B2 HL*",$J19:$AX19,"&lt;&gt;"&amp;"pB2 HL")*0.5)))</f>
        <v>0</v>
      </c>
      <c r="G19" s="142">
        <f t="shared" si="0"/>
        <v>4</v>
      </c>
      <c r="H19" s="142">
        <f t="shared" si="1"/>
        <v>0</v>
      </c>
      <c r="I19" s="142">
        <f>IF(Tue_W2[[#This Row],[Employee Name]]="","",IF(Tue_W2[[#This Row],[Dept]]="Supervisor",SUM(COUNTIFS($J19:$AX19,"RTA*",$J19:$AX19,"&lt;&gt;"&amp;"pRTA"),COUNTIFS($J19:$AX19,"*CRTA*",$J19:$AX19,"&lt;&gt;"&amp;"pCRTA")),COUNTIFS($J19:$AX19,"*RNNR*",$J19:$AX19,"&lt;&gt;"&amp;"*pRNNR*",$J19:$AX19,"&lt;&gt;"&amp;"pB1 RNNR",$J19:$AX19,"&lt;&gt;"&amp;"pB2 RNNR")-SUM(COUNTIFS($J19:$AX19,"*RNNR B1*",$J19:$AX19,"&lt;&gt;"&amp;"pRNNR B1")*0.5,COUNTIFS($J19:$AX19,"*RNNR B2*",$J19:$AX19,"&lt;&gt;"&amp;"pRNNR B2")*0.5,COUNTIFS($J19:$AX19,"*B1 RNNR*",$J19:$AX19,"&lt;&gt;"&amp;"pB1 RNNR")*0.5,COUNTIFS($J19:$AX19,"*B2 RNNR*",$J19:$AX19,"&lt;&gt;"&amp;"pB2 RNNR")*0.5)))</f>
        <v>0</v>
      </c>
      <c r="J19" s="184" t="str">
        <f>IFERROR(IF(VLOOKUP(Tue_W2[[#This Row],[Employee Name]],'Base Schedules'!$A$160:$AW$203,9,FALSE)="","",VLOOKUP(Tue_W2[[#This Row],[Employee Name]],'Base Schedules'!$A$160:$AW$203,9,FALSE)),"")</f>
        <v/>
      </c>
      <c r="K19" s="184" t="str">
        <f>IFERROR(IF(VLOOKUP(Tue_W2[[#This Row],[Employee Name]],'Base Schedules'!$A$160:$AW$203,10,FALSE)="","",VLOOKUP(Tue_W2[[#This Row],[Employee Name]],'Base Schedules'!$A$160:$AW$203,10,FALSE)),"")</f>
        <v/>
      </c>
      <c r="L19" s="184" t="str">
        <f>IFERROR(IF(VLOOKUP(Tue_W2[[#This Row],[Employee Name]],'Base Schedules'!$A$160:$AW$203,11,FALSE)="","",VLOOKUP(Tue_W2[[#This Row],[Employee Name]],'Base Schedules'!$A$160:$AW$203,11,FALSE)),"")</f>
        <v/>
      </c>
      <c r="M19" s="184" t="str">
        <f>IFERROR(IF(VLOOKUP(Tue_W2[[#This Row],[Employee Name]],'Base Schedules'!$A$160:$AW$203,12,FALSE)="","",VLOOKUP(Tue_W2[[#This Row],[Employee Name]],'Base Schedules'!$A$160:$AW$203,12,FALSE)),"")</f>
        <v/>
      </c>
      <c r="N19" s="184" t="str">
        <f>IFERROR(IF(VLOOKUP(Tue_W2[[#This Row],[Employee Name]],'Base Schedules'!$A$160:$AW$203,13,FALSE)="","",VLOOKUP(Tue_W2[[#This Row],[Employee Name]],'Base Schedules'!$A$160:$AW$203,13,FALSE)),"")</f>
        <v>-</v>
      </c>
      <c r="O19" s="184" t="str">
        <f>IFERROR(IF(VLOOKUP(Tue_W2[[#This Row],[Employee Name]],'Base Schedules'!$A$160:$AW$203,14,FALSE)="","",VLOOKUP(Tue_W2[[#This Row],[Employee Name]],'Base Schedules'!$A$160:$AW$203,14,FALSE)),"")</f>
        <v>-</v>
      </c>
      <c r="P19" s="184" t="str">
        <f>IFERROR(IF(VLOOKUP(Tue_W2[[#This Row],[Employee Name]],'Base Schedules'!$A$160:$AW$203,15,FALSE)="","",VLOOKUP(Tue_W2[[#This Row],[Employee Name]],'Base Schedules'!$A$160:$AW$203,15,FALSE)),"")</f>
        <v>-</v>
      </c>
      <c r="Q19" s="184" t="str">
        <f>IFERROR(IF(VLOOKUP(Tue_W2[[#This Row],[Employee Name]],'Base Schedules'!$A$160:$AW$203,16,FALSE)="","",VLOOKUP(Tue_W2[[#This Row],[Employee Name]],'Base Schedules'!$A$160:$AW$203,16,FALSE)),"")</f>
        <v>-</v>
      </c>
      <c r="R19" s="184" t="str">
        <f>IFERROR(IF(VLOOKUP(Tue_W2[[#This Row],[Employee Name]],'Base Schedules'!$A$160:$AW$203,17,FALSE)="","",VLOOKUP(Tue_W2[[#This Row],[Employee Name]],'Base Schedules'!$A$160:$AW$203,17,FALSE)),"")</f>
        <v>Interview</v>
      </c>
      <c r="S19" s="184" t="str">
        <f>IFERROR(IF(VLOOKUP(Tue_W2[[#This Row],[Employee Name]],'Base Schedules'!$A$160:$AW$203,18,FALSE)="","",VLOOKUP(Tue_W2[[#This Row],[Employee Name]],'Base Schedules'!$A$160:$AW$203,18,FALSE)),"")</f>
        <v>Interview</v>
      </c>
      <c r="T19" s="184" t="str">
        <f>IFERROR(IF(VLOOKUP(Tue_W2[[#This Row],[Employee Name]],'Base Schedules'!$A$160:$AW$203,19,FALSE)="","",VLOOKUP(Tue_W2[[#This Row],[Employee Name]],'Base Schedules'!$A$160:$AW$203,19,FALSE)),"")</f>
        <v>-</v>
      </c>
      <c r="U19" s="184" t="str">
        <f>IFERROR(IF(VLOOKUP(Tue_W2[[#This Row],[Employee Name]],'Base Schedules'!$A$160:$AW$203,20,FALSE)="","",VLOOKUP(Tue_W2[[#This Row],[Employee Name]],'Base Schedules'!$A$160:$AW$203,20,FALSE)),"")</f>
        <v>-</v>
      </c>
      <c r="V19" s="184" t="str">
        <f>IFERROR(IF(VLOOKUP(Tue_W2[[#This Row],[Employee Name]],'Base Schedules'!$A$160:$AW$203,21,FALSE)="","",VLOOKUP(Tue_W2[[#This Row],[Employee Name]],'Base Schedules'!$A$160:$AW$203,21,FALSE)),"")</f>
        <v>-</v>
      </c>
      <c r="W19" s="184" t="str">
        <f>IFERROR(IF(VLOOKUP(Tue_W2[[#This Row],[Employee Name]],'Base Schedules'!$A$160:$AW$203,22,FALSE)="","",VLOOKUP(Tue_W2[[#This Row],[Employee Name]],'Base Schedules'!$A$160:$AW$203,22,FALSE)),"")</f>
        <v>-</v>
      </c>
      <c r="X19" s="184" t="str">
        <f>IFERROR(IF(VLOOKUP(Tue_W2[[#This Row],[Employee Name]],'Base Schedules'!$A$160:$AW$203,23,FALSE)="","",VLOOKUP(Tue_W2[[#This Row],[Employee Name]],'Base Schedules'!$A$160:$AW$203,23,FALSE)),"")</f>
        <v>Coaching</v>
      </c>
      <c r="Y19" s="184" t="str">
        <f>IFERROR(IF(VLOOKUP(Tue_W2[[#This Row],[Employee Name]],'Base Schedules'!$A$160:$AW$203,24,FALSE)="","",VLOOKUP(Tue_W2[[#This Row],[Employee Name]],'Base Schedules'!$A$160:$AW$203,24,FALSE)),"")</f>
        <v>Coaching</v>
      </c>
      <c r="Z19" s="184" t="str">
        <f>IFERROR(IF(VLOOKUP(Tue_W2[[#This Row],[Employee Name]],'Base Schedules'!$A$160:$AW$203,25,FALSE)="","",VLOOKUP(Tue_W2[[#This Row],[Employee Name]],'Base Schedules'!$A$160:$AW$203,25,FALSE)),"")</f>
        <v>Team ZAH TM</v>
      </c>
      <c r="AA19" s="184" t="str">
        <f>IFERROR(IF(VLOOKUP(Tue_W2[[#This Row],[Employee Name]],'Base Schedules'!$A$160:$AW$203,26,FALSE)="","",VLOOKUP(Tue_W2[[#This Row],[Employee Name]],'Base Schedules'!$A$160:$AW$203,26,FALSE)),"")</f>
        <v>Team ZAH TM</v>
      </c>
      <c r="AB19" s="184" t="str">
        <f>IFERROR(IF(VLOOKUP(Tue_W2[[#This Row],[Employee Name]],'Base Schedules'!$A$160:$AW$203,27,FALSE)="","",VLOOKUP(Tue_W2[[#This Row],[Employee Name]],'Base Schedules'!$A$160:$AW$203,27,FALSE)),"")</f>
        <v>Coaching</v>
      </c>
      <c r="AC19" s="184" t="str">
        <f>IFERROR(IF(VLOOKUP(Tue_W2[[#This Row],[Employee Name]],'Base Schedules'!$A$160:$AW$203,28,FALSE)="","",VLOOKUP(Tue_W2[[#This Row],[Employee Name]],'Base Schedules'!$A$160:$AW$203,28,FALSE)),"")</f>
        <v>Coaching</v>
      </c>
      <c r="AD19" s="184" t="str">
        <f>IFERROR(IF(VLOOKUP(Tue_W2[[#This Row],[Employee Name]],'Base Schedules'!$A$160:$AW$203,29,FALSE)="","",VLOOKUP(Tue_W2[[#This Row],[Employee Name]],'Base Schedules'!$A$160:$AW$203,29,FALSE)),"")</f>
        <v>-</v>
      </c>
      <c r="AE19" s="184" t="str">
        <f>IFERROR(IF(VLOOKUP(Tue_W2[[#This Row],[Employee Name]],'Base Schedules'!$A$160:$AW$203,30,FALSE)="","",VLOOKUP(Tue_W2[[#This Row],[Employee Name]],'Base Schedules'!$A$160:$AW$203,30,FALSE)),"")</f>
        <v>-</v>
      </c>
      <c r="AF19" s="184" t="str">
        <f>IFERROR(IF(VLOOKUP(Tue_W2[[#This Row],[Employee Name]],'Base Schedules'!$A$160:$AW$203,31,FALSE)="","",VLOOKUP(Tue_W2[[#This Row],[Employee Name]],'Base Schedules'!$A$160:$AW$203,31,FALSE)),"")</f>
        <v/>
      </c>
      <c r="AG19" s="184" t="str">
        <f>IFERROR(IF(VLOOKUP(Tue_W2[[#This Row],[Employee Name]],'Base Schedules'!$A$160:$AW$203,32,FALSE)="","",VLOOKUP(Tue_W2[[#This Row],[Employee Name]],'Base Schedules'!$A$160:$AW$203,32,FALSE)),"")</f>
        <v/>
      </c>
      <c r="AH19" s="184" t="str">
        <f>IFERROR(IF(VLOOKUP(Tue_W2[[#This Row],[Employee Name]],'Base Schedules'!$A$160:$AW$203,33,FALSE)="","",VLOOKUP(Tue_W2[[#This Row],[Employee Name]],'Base Schedules'!$A$160:$AW$203,33,FALSE)),"")</f>
        <v/>
      </c>
      <c r="AI19" s="184" t="str">
        <f>IFERROR(IF(VLOOKUP(Tue_W2[[#This Row],[Employee Name]],'Base Schedules'!$A$160:$AW$203,34,FALSE)="","",VLOOKUP(Tue_W2[[#This Row],[Employee Name]],'Base Schedules'!$A$160:$AW$203,34,FALSE)),"")</f>
        <v/>
      </c>
      <c r="AJ19" s="184" t="str">
        <f>IFERROR(IF(VLOOKUP(Tue_W2[[#This Row],[Employee Name]],'Base Schedules'!$A$160:$AW$203,35,FALSE)="","",VLOOKUP(Tue_W2[[#This Row],[Employee Name]],'Base Schedules'!$A$160:$AW$203,35,FALSE)),"")</f>
        <v/>
      </c>
      <c r="AK19" s="184" t="str">
        <f>IFERROR(IF(VLOOKUP(Tue_W2[[#This Row],[Employee Name]],'Base Schedules'!$A$160:$AW$203,36,FALSE)="","",VLOOKUP(Tue_W2[[#This Row],[Employee Name]],'Base Schedules'!$A$160:$AW$203,36,FALSE)),"")</f>
        <v/>
      </c>
      <c r="AL19" s="184" t="str">
        <f>IFERROR(IF(VLOOKUP(Tue_W2[[#This Row],[Employee Name]],'Base Schedules'!$A$160:$AW$203,37,FALSE)="","",VLOOKUP(Tue_W2[[#This Row],[Employee Name]],'Base Schedules'!$A$160:$AW$203,37,FALSE)),"")</f>
        <v/>
      </c>
      <c r="AM19" s="184" t="str">
        <f>IFERROR(IF(VLOOKUP(Tue_W2[[#This Row],[Employee Name]],'Base Schedules'!$A$160:$AW$203,38,FALSE)="","",VLOOKUP(Tue_W2[[#This Row],[Employee Name]],'Base Schedules'!$A$160:$AW$203,38,FALSE)),"")</f>
        <v/>
      </c>
      <c r="AN19" s="184" t="str">
        <f>IFERROR(IF(VLOOKUP(Tue_W2[[#This Row],[Employee Name]],'Base Schedules'!$A$160:$AW$203,39,FALSE)="","",VLOOKUP(Tue_W2[[#This Row],[Employee Name]],'Base Schedules'!$A$160:$AW$203,39,FALSE)),"")</f>
        <v/>
      </c>
      <c r="AO19" s="184" t="str">
        <f>IFERROR(IF(VLOOKUP(Tue_W2[[#This Row],[Employee Name]],'Base Schedules'!$A$160:$AW$203,40,FALSE)="","",VLOOKUP(Tue_W2[[#This Row],[Employee Name]],'Base Schedules'!$A$160:$AW$203,40,FALSE)),"")</f>
        <v/>
      </c>
      <c r="AP19" s="184" t="str">
        <f>IFERROR(IF(VLOOKUP(Tue_W2[[#This Row],[Employee Name]],'Base Schedules'!$A$160:$AW$203,41,FALSE)="","",VLOOKUP(Tue_W2[[#This Row],[Employee Name]],'Base Schedules'!$A$160:$AW$203,41,FALSE)),"")</f>
        <v/>
      </c>
      <c r="AQ19" s="184" t="str">
        <f>IFERROR(IF(VLOOKUP(Tue_W2[[#This Row],[Employee Name]],'Base Schedules'!$A$160:$AW$203,42,FALSE)="","",VLOOKUP(Tue_W2[[#This Row],[Employee Name]],'Base Schedules'!$A$160:$AW$203,42,FALSE)),"")</f>
        <v/>
      </c>
      <c r="AR19" s="184" t="str">
        <f>IFERROR(IF(VLOOKUP(Tue_W2[[#This Row],[Employee Name]],'Base Schedules'!$A$160:$AW$203,43,FALSE)="","",VLOOKUP(Tue_W2[[#This Row],[Employee Name]],'Base Schedules'!$A$160:$AW$203,43,FALSE)),"")</f>
        <v/>
      </c>
      <c r="AS19" s="184" t="str">
        <f>IFERROR(IF(VLOOKUP(Tue_W2[[#This Row],[Employee Name]],'Base Schedules'!$A$160:$AW$203,44,FALSE)="","",VLOOKUP(Tue_W2[[#This Row],[Employee Name]],'Base Schedules'!$A$160:$AW$203,44,FALSE)),"")</f>
        <v/>
      </c>
      <c r="AT19" s="184" t="str">
        <f>IFERROR(IF(VLOOKUP(Tue_W2[[#This Row],[Employee Name]],'Base Schedules'!$A$160:$AW$203,45,FALSE)="","",VLOOKUP(Tue_W2[[#This Row],[Employee Name]],'Base Schedules'!$A$160:$AW$203,45,FALSE)),"")</f>
        <v/>
      </c>
      <c r="AU19" s="184" t="str">
        <f>IFERROR(IF(VLOOKUP(Tue_W2[[#This Row],[Employee Name]],'Base Schedules'!$A$160:$AW$203,46,FALSE)="","",VLOOKUP(Tue_W2[[#This Row],[Employee Name]],'Base Schedules'!$A$160:$AW$203,46,FALSE)),"")</f>
        <v/>
      </c>
      <c r="AV19" s="184" t="str">
        <f>IFERROR(IF(VLOOKUP(Tue_W2[[#This Row],[Employee Name]],'Base Schedules'!$A$160:$AW$203,47,FALSE)="","",VLOOKUP(Tue_W2[[#This Row],[Employee Name]],'Base Schedules'!$A$160:$AW$203,47,FALSE)),"")</f>
        <v/>
      </c>
      <c r="AW19" s="184" t="str">
        <f>IFERROR(IF(VLOOKUP(Tue_W2[[#This Row],[Employee Name]],'Base Schedules'!$A$160:$AW$203,48,FALSE)="","",VLOOKUP(Tue_W2[[#This Row],[Employee Name]],'Base Schedules'!$A$160:$AW$203,48,FALSE)),"")</f>
        <v/>
      </c>
      <c r="AX19" s="184" t="str">
        <f>IFERROR(IF(VLOOKUP(Tue_W2[[#This Row],[Employee Name]],'Base Schedules'!$A$160:$AW$203,49,FALSE)="","",VLOOKUP(Tue_W2[[#This Row],[Employee Name]],'Base Schedules'!$A$160:$AW$203,49,FALSE)),"")</f>
        <v/>
      </c>
      <c r="AY19" s="159" t="str">
        <f t="shared" si="2"/>
        <v>Martin, Gary</v>
      </c>
    </row>
    <row r="20" spans="1:51" s="44" customFormat="1" ht="12" customHeight="1" x14ac:dyDescent="0.2">
      <c r="A20" s="39" t="str">
        <f>IF(B20="","",INDEX(TeamList[],MATCH($B20,TeamList[[Employee Name]:[Employee Name]],0),MATCH("Manager",TeamList[#Headers],0)))</f>
        <v>Olson, Katherine</v>
      </c>
      <c r="B20" s="201" t="s">
        <v>237</v>
      </c>
      <c r="C20" s="257" t="str">
        <f>_xlfn.IFNA(VLOOKUP(Tue_W2[[#This Row],[Employee Name]],'Base Schedules'!A:B,2,FALSE),"")</f>
        <v>Lead</v>
      </c>
      <c r="D20" s="274">
        <f>_xlfn.IFNA(VLOOKUP(Tue_W2[[#This Row],[Employee Name]],'Base Schedules'!A:C,3,FALSE),"")</f>
        <v>730</v>
      </c>
      <c r="E20" s="274">
        <f>_xlfn.IFNA(VLOOKUP(Tue_W2[[#This Row],[Employee Name]],'Base Schedules'!A:D,4,FALSE),"")</f>
        <v>1600</v>
      </c>
      <c r="F20" s="142">
        <f>IF(Tue_W2[[#This Row],[Employee Name]]="","",IF(Tue_W2[[#This Row],[Dept]]="Supervisor",COUNTIFS($J20:$AX20,"*HL*",$J20:$AX20,"&lt;&gt;"&amp;"pHL"),COUNTIFS($J20:$AX20,"*HL*",$J20:$AX20,"&lt;&gt;"&amp;"*pHL*",$J20:$AX20,"&lt;&gt;"&amp;"pB1 HL",$J20:$AX20,"&lt;&gt;"&amp;"pB2 HL")-SUM(COUNTIFS($J20:$AX20,"*HL B1*",$J20:$AX20,"&lt;&gt;"&amp;"pHL B1")*0.5,COUNTIFS($J20:$AX20,"*HL B2*",$J20:$AX20,"&lt;&gt;"&amp;"pHL B2")*0.5,COUNTIFS($J20:$AX20,"*B1 HL*",$J20:$AX20,"&lt;&gt;"&amp;"pB1 HL")*0.5,COUNTIFS($J20:$AX20,"*B2 HL*",$J20:$AX20,"&lt;&gt;"&amp;"pB2 HL")*0.5)))</f>
        <v>6</v>
      </c>
      <c r="G20" s="142">
        <f t="shared" si="0"/>
        <v>0</v>
      </c>
      <c r="H20" s="142">
        <f t="shared" si="1"/>
        <v>8</v>
      </c>
      <c r="I20" s="142">
        <f>IF(Tue_W2[[#This Row],[Employee Name]]="","",IF(Tue_W2[[#This Row],[Dept]]="Supervisor",SUM(COUNTIFS($J20:$AX20,"RTA*",$J20:$AX20,"&lt;&gt;"&amp;"pRTA"),COUNTIFS($J20:$AX20,"*CRTA*",$J20:$AX20,"&lt;&gt;"&amp;"pCRTA")),COUNTIFS($J20:$AX20,"*RNNR*",$J20:$AX20,"&lt;&gt;"&amp;"*pRNNR*",$J20:$AX20,"&lt;&gt;"&amp;"pB1 RNNR",$J20:$AX20,"&lt;&gt;"&amp;"pB2 RNNR")-SUM(COUNTIFS($J20:$AX20,"*RNNR B1*",$J20:$AX20,"&lt;&gt;"&amp;"pRNNR B1")*0.5,COUNTIFS($J20:$AX20,"*RNNR B2*",$J20:$AX20,"&lt;&gt;"&amp;"pRNNR B2")*0.5,COUNTIFS($J20:$AX20,"*B1 RNNR*",$J20:$AX20,"&lt;&gt;"&amp;"pB1 RNNR")*0.5,COUNTIFS($J20:$AX20,"*B2 RNNR*",$J20:$AX20,"&lt;&gt;"&amp;"pB2 RNNR")*0.5)))</f>
        <v>2</v>
      </c>
      <c r="J20" s="184" t="str">
        <f>IFERROR(IF(VLOOKUP(Tue_W2[[#This Row],[Employee Name]],'Base Schedules'!$A$160:$AW$203,9,FALSE)="","",VLOOKUP(Tue_W2[[#This Row],[Employee Name]],'Base Schedules'!$A$160:$AW$203,9,FALSE)),"")</f>
        <v/>
      </c>
      <c r="K20" s="184" t="str">
        <f>IFERROR(IF(VLOOKUP(Tue_W2[[#This Row],[Employee Name]],'Base Schedules'!$A$160:$AW$203,10,FALSE)="","",VLOOKUP(Tue_W2[[#This Row],[Employee Name]],'Base Schedules'!$A$160:$AW$203,10,FALSE)),"")</f>
        <v/>
      </c>
      <c r="L20" s="184" t="str">
        <f>IFERROR(IF(VLOOKUP(Tue_W2[[#This Row],[Employee Name]],'Base Schedules'!$A$160:$AW$203,11,FALSE)="","",VLOOKUP(Tue_W2[[#This Row],[Employee Name]],'Base Schedules'!$A$160:$AW$203,11,FALSE)),"")</f>
        <v/>
      </c>
      <c r="M20" s="184" t="str">
        <f>IFERROR(IF(VLOOKUP(Tue_W2[[#This Row],[Employee Name]],'Base Schedules'!$A$160:$AW$203,12,FALSE)="","",VLOOKUP(Tue_W2[[#This Row],[Employee Name]],'Base Schedules'!$A$160:$AW$203,12,FALSE)),"")</f>
        <v/>
      </c>
      <c r="N20" s="184" t="str">
        <f>IFERROR(IF(VLOOKUP(Tue_W2[[#This Row],[Employee Name]],'Base Schedules'!$A$160:$AW$203,13,FALSE)="","",VLOOKUP(Tue_W2[[#This Row],[Employee Name]],'Base Schedules'!$A$160:$AW$203,13,FALSE)),"")</f>
        <v/>
      </c>
      <c r="O20" s="184" t="str">
        <f>IFERROR(IF(VLOOKUP(Tue_W2[[#This Row],[Employee Name]],'Base Schedules'!$A$160:$AW$203,14,FALSE)="","",VLOOKUP(Tue_W2[[#This Row],[Employee Name]],'Base Schedules'!$A$160:$AW$203,14,FALSE)),"")</f>
        <v>HL</v>
      </c>
      <c r="P20" s="184" t="str">
        <f>IFERROR(IF(VLOOKUP(Tue_W2[[#This Row],[Employee Name]],'Base Schedules'!$A$160:$AW$203,15,FALSE)="","",VLOOKUP(Tue_W2[[#This Row],[Employee Name]],'Base Schedules'!$A$160:$AW$203,15,FALSE)),"")</f>
        <v>HL</v>
      </c>
      <c r="Q20" s="184" t="str">
        <f>IFERROR(IF(VLOOKUP(Tue_W2[[#This Row],[Employee Name]],'Base Schedules'!$A$160:$AW$203,16,FALSE)="","",VLOOKUP(Tue_W2[[#This Row],[Employee Name]],'Base Schedules'!$A$160:$AW$203,16,FALSE)),"")</f>
        <v>HL</v>
      </c>
      <c r="R20" s="184" t="str">
        <f>IFERROR(IF(VLOOKUP(Tue_W2[[#This Row],[Employee Name]],'Base Schedules'!$A$160:$AW$203,17,FALSE)="","",VLOOKUP(Tue_W2[[#This Row],[Employee Name]],'Base Schedules'!$A$160:$AW$203,17,FALSE)),"")</f>
        <v>ADM</v>
      </c>
      <c r="S20" s="184" t="str">
        <f>IFERROR(IF(VLOOKUP(Tue_W2[[#This Row],[Employee Name]],'Base Schedules'!$A$160:$AW$203,18,FALSE)="","",VLOOKUP(Tue_W2[[#This Row],[Employee Name]],'Base Schedules'!$A$160:$AW$203,18,FALSE)),"")</f>
        <v>B1 ADM</v>
      </c>
      <c r="T20" s="184" t="str">
        <f>IFERROR(IF(VLOOKUP(Tue_W2[[#This Row],[Employee Name]],'Base Schedules'!$A$160:$AW$203,19,FALSE)="","",VLOOKUP(Tue_W2[[#This Row],[Employee Name]],'Base Schedules'!$A$160:$AW$203,19,FALSE)),"")</f>
        <v>ADM</v>
      </c>
      <c r="U20" s="184" t="str">
        <f>IFERROR(IF(VLOOKUP(Tue_W2[[#This Row],[Employee Name]],'Base Schedules'!$A$160:$AW$203,20,FALSE)="","",VLOOKUP(Tue_W2[[#This Row],[Employee Name]],'Base Schedules'!$A$160:$AW$203,20,FALSE)),"")</f>
        <v>ADM</v>
      </c>
      <c r="V20" s="184" t="str">
        <f>IFERROR(IF(VLOOKUP(Tue_W2[[#This Row],[Employee Name]],'Base Schedules'!$A$160:$AW$203,21,FALSE)="","",VLOOKUP(Tue_W2[[#This Row],[Employee Name]],'Base Schedules'!$A$160:$AW$203,21,FALSE)),"")</f>
        <v>ADM</v>
      </c>
      <c r="W20" s="184" t="str">
        <f>IFERROR(IF(VLOOKUP(Tue_W2[[#This Row],[Employee Name]],'Base Schedules'!$A$160:$AW$203,22,FALSE)="","",VLOOKUP(Tue_W2[[#This Row],[Employee Name]],'Base Schedules'!$A$160:$AW$203,22,FALSE)),"")</f>
        <v>HL</v>
      </c>
      <c r="X20" s="184" t="str">
        <f>IFERROR(IF(VLOOKUP(Tue_W2[[#This Row],[Employee Name]],'Base Schedules'!$A$160:$AW$203,23,FALSE)="","",VLOOKUP(Tue_W2[[#This Row],[Employee Name]],'Base Schedules'!$A$160:$AW$203,23,FALSE)),"")</f>
        <v>LUNCH</v>
      </c>
      <c r="Y20" s="184" t="str">
        <f>IFERROR(IF(VLOOKUP(Tue_W2[[#This Row],[Employee Name]],'Base Schedules'!$A$160:$AW$203,24,FALSE)="","",VLOOKUP(Tue_W2[[#This Row],[Employee Name]],'Base Schedules'!$A$160:$AW$203,24,FALSE)),"")</f>
        <v>HL</v>
      </c>
      <c r="Z20" s="184" t="str">
        <f>IFERROR(IF(VLOOKUP(Tue_W2[[#This Row],[Employee Name]],'Base Schedules'!$A$160:$AW$203,25,FALSE)="","",VLOOKUP(Tue_W2[[#This Row],[Employee Name]],'Base Schedules'!$A$160:$AW$203,25,FALSE)),"")</f>
        <v>RNNR</v>
      </c>
      <c r="AA20" s="184" t="str">
        <f>IFERROR(IF(VLOOKUP(Tue_W2[[#This Row],[Employee Name]],'Base Schedules'!$A$160:$AW$203,26,FALSE)="","",VLOOKUP(Tue_W2[[#This Row],[Employee Name]],'Base Schedules'!$A$160:$AW$203,26,FALSE)),"")</f>
        <v>RNNR</v>
      </c>
      <c r="AB20" s="184" t="str">
        <f>IFERROR(IF(VLOOKUP(Tue_W2[[#This Row],[Employee Name]],'Base Schedules'!$A$160:$AW$203,27,FALSE)="","",VLOOKUP(Tue_W2[[#This Row],[Employee Name]],'Base Schedules'!$A$160:$AW$203,27,FALSE)),"")</f>
        <v>ADM B2</v>
      </c>
      <c r="AC20" s="184" t="str">
        <f>IFERROR(IF(VLOOKUP(Tue_W2[[#This Row],[Employee Name]],'Base Schedules'!$A$160:$AW$203,28,FALSE)="","",VLOOKUP(Tue_W2[[#This Row],[Employee Name]],'Base Schedules'!$A$160:$AW$203,28,FALSE)),"")</f>
        <v>ADM</v>
      </c>
      <c r="AD20" s="184" t="str">
        <f>IFERROR(IF(VLOOKUP(Tue_W2[[#This Row],[Employee Name]],'Base Schedules'!$A$160:$AW$203,29,FALSE)="","",VLOOKUP(Tue_W2[[#This Row],[Employee Name]],'Base Schedules'!$A$160:$AW$203,29,FALSE)),"")</f>
        <v>ADM</v>
      </c>
      <c r="AE20" s="184" t="str">
        <f>IFERROR(IF(VLOOKUP(Tue_W2[[#This Row],[Employee Name]],'Base Schedules'!$A$160:$AW$203,30,FALSE)="","",VLOOKUP(Tue_W2[[#This Row],[Employee Name]],'Base Schedules'!$A$160:$AW$203,30,FALSE)),"")</f>
        <v>HL</v>
      </c>
      <c r="AF20" s="184" t="str">
        <f>IFERROR(IF(VLOOKUP(Tue_W2[[#This Row],[Employee Name]],'Base Schedules'!$A$160:$AW$203,31,FALSE)="","",VLOOKUP(Tue_W2[[#This Row],[Employee Name]],'Base Schedules'!$A$160:$AW$203,31,FALSE)),"")</f>
        <v/>
      </c>
      <c r="AG20" s="184" t="str">
        <f>IFERROR(IF(VLOOKUP(Tue_W2[[#This Row],[Employee Name]],'Base Schedules'!$A$160:$AW$203,32,FALSE)="","",VLOOKUP(Tue_W2[[#This Row],[Employee Name]],'Base Schedules'!$A$160:$AW$203,32,FALSE)),"")</f>
        <v/>
      </c>
      <c r="AH20" s="184" t="str">
        <f>IFERROR(IF(VLOOKUP(Tue_W2[[#This Row],[Employee Name]],'Base Schedules'!$A$160:$AW$203,33,FALSE)="","",VLOOKUP(Tue_W2[[#This Row],[Employee Name]],'Base Schedules'!$A$160:$AW$203,33,FALSE)),"")</f>
        <v/>
      </c>
      <c r="AI20" s="184" t="str">
        <f>IFERROR(IF(VLOOKUP(Tue_W2[[#This Row],[Employee Name]],'Base Schedules'!$A$160:$AW$203,34,FALSE)="","",VLOOKUP(Tue_W2[[#This Row],[Employee Name]],'Base Schedules'!$A$160:$AW$203,34,FALSE)),"")</f>
        <v/>
      </c>
      <c r="AJ20" s="184" t="str">
        <f>IFERROR(IF(VLOOKUP(Tue_W2[[#This Row],[Employee Name]],'Base Schedules'!$A$160:$AW$203,35,FALSE)="","",VLOOKUP(Tue_W2[[#This Row],[Employee Name]],'Base Schedules'!$A$160:$AW$203,35,FALSE)),"")</f>
        <v/>
      </c>
      <c r="AK20" s="184" t="str">
        <f>IFERROR(IF(VLOOKUP(Tue_W2[[#This Row],[Employee Name]],'Base Schedules'!$A$160:$AW$203,36,FALSE)="","",VLOOKUP(Tue_W2[[#This Row],[Employee Name]],'Base Schedules'!$A$160:$AW$203,36,FALSE)),"")</f>
        <v/>
      </c>
      <c r="AL20" s="184" t="str">
        <f>IFERROR(IF(VLOOKUP(Tue_W2[[#This Row],[Employee Name]],'Base Schedules'!$A$160:$AW$203,37,FALSE)="","",VLOOKUP(Tue_W2[[#This Row],[Employee Name]],'Base Schedules'!$A$160:$AW$203,37,FALSE)),"")</f>
        <v/>
      </c>
      <c r="AM20" s="184" t="str">
        <f>IFERROR(IF(VLOOKUP(Tue_W2[[#This Row],[Employee Name]],'Base Schedules'!$A$160:$AW$203,38,FALSE)="","",VLOOKUP(Tue_W2[[#This Row],[Employee Name]],'Base Schedules'!$A$160:$AW$203,38,FALSE)),"")</f>
        <v/>
      </c>
      <c r="AN20" s="184" t="str">
        <f>IFERROR(IF(VLOOKUP(Tue_W2[[#This Row],[Employee Name]],'Base Schedules'!$A$160:$AW$203,39,FALSE)="","",VLOOKUP(Tue_W2[[#This Row],[Employee Name]],'Base Schedules'!$A$160:$AW$203,39,FALSE)),"")</f>
        <v/>
      </c>
      <c r="AO20" s="184" t="str">
        <f>IFERROR(IF(VLOOKUP(Tue_W2[[#This Row],[Employee Name]],'Base Schedules'!$A$160:$AW$203,40,FALSE)="","",VLOOKUP(Tue_W2[[#This Row],[Employee Name]],'Base Schedules'!$A$160:$AW$203,40,FALSE)),"")</f>
        <v/>
      </c>
      <c r="AP20" s="184" t="str">
        <f>IFERROR(IF(VLOOKUP(Tue_W2[[#This Row],[Employee Name]],'Base Schedules'!$A$160:$AW$203,41,FALSE)="","",VLOOKUP(Tue_W2[[#This Row],[Employee Name]],'Base Schedules'!$A$160:$AW$203,41,FALSE)),"")</f>
        <v/>
      </c>
      <c r="AQ20" s="184" t="str">
        <f>IFERROR(IF(VLOOKUP(Tue_W2[[#This Row],[Employee Name]],'Base Schedules'!$A$160:$AW$203,42,FALSE)="","",VLOOKUP(Tue_W2[[#This Row],[Employee Name]],'Base Schedules'!$A$160:$AW$203,42,FALSE)),"")</f>
        <v/>
      </c>
      <c r="AR20" s="184" t="str">
        <f>IFERROR(IF(VLOOKUP(Tue_W2[[#This Row],[Employee Name]],'Base Schedules'!$A$160:$AW$203,43,FALSE)="","",VLOOKUP(Tue_W2[[#This Row],[Employee Name]],'Base Schedules'!$A$160:$AW$203,43,FALSE)),"")</f>
        <v/>
      </c>
      <c r="AS20" s="184" t="str">
        <f>IFERROR(IF(VLOOKUP(Tue_W2[[#This Row],[Employee Name]],'Base Schedules'!$A$160:$AW$203,44,FALSE)="","",VLOOKUP(Tue_W2[[#This Row],[Employee Name]],'Base Schedules'!$A$160:$AW$203,44,FALSE)),"")</f>
        <v/>
      </c>
      <c r="AT20" s="184" t="str">
        <f>IFERROR(IF(VLOOKUP(Tue_W2[[#This Row],[Employee Name]],'Base Schedules'!$A$160:$AW$203,45,FALSE)="","",VLOOKUP(Tue_W2[[#This Row],[Employee Name]],'Base Schedules'!$A$160:$AW$203,45,FALSE)),"")</f>
        <v/>
      </c>
      <c r="AU20" s="184" t="str">
        <f>IFERROR(IF(VLOOKUP(Tue_W2[[#This Row],[Employee Name]],'Base Schedules'!$A$160:$AW$203,46,FALSE)="","",VLOOKUP(Tue_W2[[#This Row],[Employee Name]],'Base Schedules'!$A$160:$AW$203,46,FALSE)),"")</f>
        <v/>
      </c>
      <c r="AV20" s="184" t="str">
        <f>IFERROR(IF(VLOOKUP(Tue_W2[[#This Row],[Employee Name]],'Base Schedules'!$A$160:$AW$203,47,FALSE)="","",VLOOKUP(Tue_W2[[#This Row],[Employee Name]],'Base Schedules'!$A$160:$AW$203,47,FALSE)),"")</f>
        <v/>
      </c>
      <c r="AW20" s="184" t="str">
        <f>IFERROR(IF(VLOOKUP(Tue_W2[[#This Row],[Employee Name]],'Base Schedules'!$A$160:$AW$203,48,FALSE)="","",VLOOKUP(Tue_W2[[#This Row],[Employee Name]],'Base Schedules'!$A$160:$AW$203,48,FALSE)),"")</f>
        <v/>
      </c>
      <c r="AX20" s="184" t="str">
        <f>IFERROR(IF(VLOOKUP(Tue_W2[[#This Row],[Employee Name]],'Base Schedules'!$A$160:$AW$203,49,FALSE)="","",VLOOKUP(Tue_W2[[#This Row],[Employee Name]],'Base Schedules'!$A$160:$AW$203,49,FALSE)),"")</f>
        <v/>
      </c>
      <c r="AY20" s="159" t="str">
        <f t="shared" si="2"/>
        <v>Fine, Melissa</v>
      </c>
    </row>
    <row r="21" spans="1:51" s="44" customFormat="1" ht="12" customHeight="1" x14ac:dyDescent="0.2">
      <c r="A21" s="39" t="str">
        <f>IF(B21="","",INDEX(TeamList[],MATCH($B21,TeamList[[Employee Name]:[Employee Name]],0),MATCH("Manager",TeamList[#Headers],0)))</f>
        <v>Paulson, Matthew</v>
      </c>
      <c r="B21" s="201" t="s">
        <v>31</v>
      </c>
      <c r="C21" s="257" t="str">
        <f>_xlfn.IFNA(VLOOKUP(Tue_W2[[#This Row],[Employee Name]],'Base Schedules'!A:B,2,FALSE),"")</f>
        <v>Supervisor</v>
      </c>
      <c r="D21" s="274">
        <f>_xlfn.IFNA(VLOOKUP(Tue_W2[[#This Row],[Employee Name]],'Base Schedules'!A:C,3,FALSE),"")</f>
        <v>730</v>
      </c>
      <c r="E21" s="274">
        <f>_xlfn.IFNA(VLOOKUP(Tue_W2[[#This Row],[Employee Name]],'Base Schedules'!A:D,4,FALSE),"")</f>
        <v>1630</v>
      </c>
      <c r="F21" s="142">
        <f>IF(Tue_W2[[#This Row],[Employee Name]]="","",IF(Tue_W2[[#This Row],[Dept]]="Supervisor",COUNTIFS($J21:$AX21,"*HL*",$J21:$AX21,"&lt;&gt;"&amp;"pHL"),COUNTIFS($J21:$AX21,"*HL*",$J21:$AX21,"&lt;&gt;"&amp;"*pHL*",$J21:$AX21,"&lt;&gt;"&amp;"pB1 HL",$J21:$AX21,"&lt;&gt;"&amp;"pB2 HL")-SUM(COUNTIFS($J21:$AX21,"*HL B1*",$J21:$AX21,"&lt;&gt;"&amp;"pHL B1")*0.5,COUNTIFS($J21:$AX21,"*HL B2*",$J21:$AX21,"&lt;&gt;"&amp;"pHL B2")*0.5,COUNTIFS($J21:$AX21,"*B1 HL*",$J21:$AX21,"&lt;&gt;"&amp;"pB1 HL")*0.5,COUNTIFS($J21:$AX21,"*B2 HL*",$J21:$AX21,"&lt;&gt;"&amp;"pB2 HL")*0.5)))</f>
        <v>0</v>
      </c>
      <c r="G21" s="142">
        <f t="shared" si="0"/>
        <v>5</v>
      </c>
      <c r="H21" s="142">
        <f t="shared" si="1"/>
        <v>0</v>
      </c>
      <c r="I21" s="142">
        <f>IF(Tue_W2[[#This Row],[Employee Name]]="","",IF(Tue_W2[[#This Row],[Dept]]="Supervisor",SUM(COUNTIFS($J21:$AX21,"RTA*",$J21:$AX21,"&lt;&gt;"&amp;"pRTA"),COUNTIFS($J21:$AX21,"*CRTA*",$J21:$AX21,"&lt;&gt;"&amp;"pCRTA")),COUNTIFS($J21:$AX21,"*RNNR*",$J21:$AX21,"&lt;&gt;"&amp;"*pRNNR*",$J21:$AX21,"&lt;&gt;"&amp;"pB1 RNNR",$J21:$AX21,"&lt;&gt;"&amp;"pB2 RNNR")-SUM(COUNTIFS($J21:$AX21,"*RNNR B1*",$J21:$AX21,"&lt;&gt;"&amp;"pRNNR B1")*0.5,COUNTIFS($J21:$AX21,"*RNNR B2*",$J21:$AX21,"&lt;&gt;"&amp;"pRNNR B2")*0.5,COUNTIFS($J21:$AX21,"*B1 RNNR*",$J21:$AX21,"&lt;&gt;"&amp;"pB1 RNNR")*0.5,COUNTIFS($J21:$AX21,"*B2 RNNR*",$J21:$AX21,"&lt;&gt;"&amp;"pB2 RNNR")*0.5)))</f>
        <v>0</v>
      </c>
      <c r="J21" s="184" t="str">
        <f>IFERROR(IF(VLOOKUP(Tue_W2[[#This Row],[Employee Name]],'Base Schedules'!$A$160:$AW$203,9,FALSE)="","",VLOOKUP(Tue_W2[[#This Row],[Employee Name]],'Base Schedules'!$A$160:$AW$203,9,FALSE)),"")</f>
        <v/>
      </c>
      <c r="K21" s="184" t="str">
        <f>IFERROR(IF(VLOOKUP(Tue_W2[[#This Row],[Employee Name]],'Base Schedules'!$A$160:$AW$203,10,FALSE)="","",VLOOKUP(Tue_W2[[#This Row],[Employee Name]],'Base Schedules'!$A$160:$AW$203,10,FALSE)),"")</f>
        <v/>
      </c>
      <c r="L21" s="184" t="str">
        <f>IFERROR(IF(VLOOKUP(Tue_W2[[#This Row],[Employee Name]],'Base Schedules'!$A$160:$AW$203,11,FALSE)="","",VLOOKUP(Tue_W2[[#This Row],[Employee Name]],'Base Schedules'!$A$160:$AW$203,11,FALSE)),"")</f>
        <v/>
      </c>
      <c r="M21" s="184" t="str">
        <f>IFERROR(IF(VLOOKUP(Tue_W2[[#This Row],[Employee Name]],'Base Schedules'!$A$160:$AW$203,12,FALSE)="","",VLOOKUP(Tue_W2[[#This Row],[Employee Name]],'Base Schedules'!$A$160:$AW$203,12,FALSE)),"")</f>
        <v/>
      </c>
      <c r="N21" s="184" t="str">
        <f>IFERROR(IF(VLOOKUP(Tue_W2[[#This Row],[Employee Name]],'Base Schedules'!$A$160:$AW$203,13,FALSE)="","",VLOOKUP(Tue_W2[[#This Row],[Employee Name]],'Base Schedules'!$A$160:$AW$203,13,FALSE)),"")</f>
        <v/>
      </c>
      <c r="O21" s="184" t="str">
        <f>IFERROR(IF(VLOOKUP(Tue_W2[[#This Row],[Employee Name]],'Base Schedules'!$A$160:$AW$203,14,FALSE)="","",VLOOKUP(Tue_W2[[#This Row],[Employee Name]],'Base Schedules'!$A$160:$AW$203,14,FALSE)),"")</f>
        <v>-</v>
      </c>
      <c r="P21" s="184" t="str">
        <f>IFERROR(IF(VLOOKUP(Tue_W2[[#This Row],[Employee Name]],'Base Schedules'!$A$160:$AW$203,15,FALSE)="","",VLOOKUP(Tue_W2[[#This Row],[Employee Name]],'Base Schedules'!$A$160:$AW$203,15,FALSE)),"")</f>
        <v>Coaching</v>
      </c>
      <c r="Q21" s="184" t="str">
        <f>IFERROR(IF(VLOOKUP(Tue_W2[[#This Row],[Employee Name]],'Base Schedules'!$A$160:$AW$203,16,FALSE)="","",VLOOKUP(Tue_W2[[#This Row],[Employee Name]],'Base Schedules'!$A$160:$AW$203,16,FALSE)),"")</f>
        <v>Coaching</v>
      </c>
      <c r="R21" s="184" t="str">
        <f>IFERROR(IF(VLOOKUP(Tue_W2[[#This Row],[Employee Name]],'Base Schedules'!$A$160:$AW$203,17,FALSE)="","",VLOOKUP(Tue_W2[[#This Row],[Employee Name]],'Base Schedules'!$A$160:$AW$203,17,FALSE)),"")</f>
        <v>-</v>
      </c>
      <c r="S21" s="184" t="str">
        <f>IFERROR(IF(VLOOKUP(Tue_W2[[#This Row],[Employee Name]],'Base Schedules'!$A$160:$AW$203,18,FALSE)="","",VLOOKUP(Tue_W2[[#This Row],[Employee Name]],'Base Schedules'!$A$160:$AW$203,18,FALSE)),"")</f>
        <v>-</v>
      </c>
      <c r="T21" s="184" t="str">
        <f>IFERROR(IF(VLOOKUP(Tue_W2[[#This Row],[Employee Name]],'Base Schedules'!$A$160:$AW$203,19,FALSE)="","",VLOOKUP(Tue_W2[[#This Row],[Employee Name]],'Base Schedules'!$A$160:$AW$203,19,FALSE)),"")</f>
        <v>-</v>
      </c>
      <c r="U21" s="184" t="str">
        <f>IFERROR(IF(VLOOKUP(Tue_W2[[#This Row],[Employee Name]],'Base Schedules'!$A$160:$AW$203,20,FALSE)="","",VLOOKUP(Tue_W2[[#This Row],[Employee Name]],'Base Schedules'!$A$160:$AW$203,20,FALSE)),"")</f>
        <v>TM PREP</v>
      </c>
      <c r="V21" s="184" t="str">
        <f>IFERROR(IF(VLOOKUP(Tue_W2[[#This Row],[Employee Name]],'Base Schedules'!$A$160:$AW$203,21,FALSE)="","",VLOOKUP(Tue_W2[[#This Row],[Employee Name]],'Base Schedules'!$A$160:$AW$203,21,FALSE)),"")</f>
        <v>GARCIA TM</v>
      </c>
      <c r="W21" s="184" t="str">
        <f>IFERROR(IF(VLOOKUP(Tue_W2[[#This Row],[Employee Name]],'Base Schedules'!$A$160:$AW$203,22,FALSE)="","",VLOOKUP(Tue_W2[[#This Row],[Employee Name]],'Base Schedules'!$A$160:$AW$203,22,FALSE)),"")</f>
        <v>GARCIA TM</v>
      </c>
      <c r="X21" s="184" t="str">
        <f>IFERROR(IF(VLOOKUP(Tue_W2[[#This Row],[Employee Name]],'Base Schedules'!$A$160:$AW$203,23,FALSE)="","",VLOOKUP(Tue_W2[[#This Row],[Employee Name]],'Base Schedules'!$A$160:$AW$203,23,FALSE)),"")</f>
        <v>-</v>
      </c>
      <c r="Y21" s="184" t="str">
        <f>IFERROR(IF(VLOOKUP(Tue_W2[[#This Row],[Employee Name]],'Base Schedules'!$A$160:$AW$203,24,FALSE)="","",VLOOKUP(Tue_W2[[#This Row],[Employee Name]],'Base Schedules'!$A$160:$AW$203,24,FALSE)),"")</f>
        <v>-</v>
      </c>
      <c r="Z21" s="184" t="str">
        <f>IFERROR(IF(VLOOKUP(Tue_W2[[#This Row],[Employee Name]],'Base Schedules'!$A$160:$AW$203,25,FALSE)="","",VLOOKUP(Tue_W2[[#This Row],[Employee Name]],'Base Schedules'!$A$160:$AW$203,25,FALSE)),"")</f>
        <v>-</v>
      </c>
      <c r="AA21" s="184" t="str">
        <f>IFERROR(IF(VLOOKUP(Tue_W2[[#This Row],[Employee Name]],'Base Schedules'!$A$160:$AW$203,26,FALSE)="","",VLOOKUP(Tue_W2[[#This Row],[Employee Name]],'Base Schedules'!$A$160:$AW$203,26,FALSE)),"")</f>
        <v>-</v>
      </c>
      <c r="AB21" s="184" t="str">
        <f>IFERROR(IF(VLOOKUP(Tue_W2[[#This Row],[Employee Name]],'Base Schedules'!$A$160:$AW$203,27,FALSE)="","",VLOOKUP(Tue_W2[[#This Row],[Employee Name]],'Base Schedules'!$A$160:$AW$203,27,FALSE)),"")</f>
        <v>-</v>
      </c>
      <c r="AC21" s="184" t="str">
        <f>IFERROR(IF(VLOOKUP(Tue_W2[[#This Row],[Employee Name]],'Base Schedules'!$A$160:$AW$203,28,FALSE)="","",VLOOKUP(Tue_W2[[#This Row],[Employee Name]],'Base Schedules'!$A$160:$AW$203,28,FALSE)),"")</f>
        <v>Coaching</v>
      </c>
      <c r="AD21" s="184" t="str">
        <f>IFERROR(IF(VLOOKUP(Tue_W2[[#This Row],[Employee Name]],'Base Schedules'!$A$160:$AW$203,29,FALSE)="","",VLOOKUP(Tue_W2[[#This Row],[Employee Name]],'Base Schedules'!$A$160:$AW$203,29,FALSE)),"")</f>
        <v>Coaching</v>
      </c>
      <c r="AE21" s="184" t="str">
        <f>IFERROR(IF(VLOOKUP(Tue_W2[[#This Row],[Employee Name]],'Base Schedules'!$A$160:$AW$203,30,FALSE)="","",VLOOKUP(Tue_W2[[#This Row],[Employee Name]],'Base Schedules'!$A$160:$AW$203,30,FALSE)),"")</f>
        <v>Coaching</v>
      </c>
      <c r="AF21" s="184" t="str">
        <f>IFERROR(IF(VLOOKUP(Tue_W2[[#This Row],[Employee Name]],'Base Schedules'!$A$160:$AW$203,31,FALSE)="","",VLOOKUP(Tue_W2[[#This Row],[Employee Name]],'Base Schedules'!$A$160:$AW$203,31,FALSE)),"")</f>
        <v>-</v>
      </c>
      <c r="AG21" s="184" t="str">
        <f>IFERROR(IF(VLOOKUP(Tue_W2[[#This Row],[Employee Name]],'Base Schedules'!$A$160:$AW$203,32,FALSE)="","",VLOOKUP(Tue_W2[[#This Row],[Employee Name]],'Base Schedules'!$A$160:$AW$203,32,FALSE)),"")</f>
        <v/>
      </c>
      <c r="AH21" s="184" t="str">
        <f>IFERROR(IF(VLOOKUP(Tue_W2[[#This Row],[Employee Name]],'Base Schedules'!$A$160:$AW$203,33,FALSE)="","",VLOOKUP(Tue_W2[[#This Row],[Employee Name]],'Base Schedules'!$A$160:$AW$203,33,FALSE)),"")</f>
        <v/>
      </c>
      <c r="AI21" s="184" t="str">
        <f>IFERROR(IF(VLOOKUP(Tue_W2[[#This Row],[Employee Name]],'Base Schedules'!$A$160:$AW$203,34,FALSE)="","",VLOOKUP(Tue_W2[[#This Row],[Employee Name]],'Base Schedules'!$A$160:$AW$203,34,FALSE)),"")</f>
        <v/>
      </c>
      <c r="AJ21" s="184" t="str">
        <f>IFERROR(IF(VLOOKUP(Tue_W2[[#This Row],[Employee Name]],'Base Schedules'!$A$160:$AW$203,35,FALSE)="","",VLOOKUP(Tue_W2[[#This Row],[Employee Name]],'Base Schedules'!$A$160:$AW$203,35,FALSE)),"")</f>
        <v/>
      </c>
      <c r="AK21" s="184" t="str">
        <f>IFERROR(IF(VLOOKUP(Tue_W2[[#This Row],[Employee Name]],'Base Schedules'!$A$160:$AW$203,36,FALSE)="","",VLOOKUP(Tue_W2[[#This Row],[Employee Name]],'Base Schedules'!$A$160:$AW$203,36,FALSE)),"")</f>
        <v/>
      </c>
      <c r="AL21" s="184" t="str">
        <f>IFERROR(IF(VLOOKUP(Tue_W2[[#This Row],[Employee Name]],'Base Schedules'!$A$160:$AW$203,37,FALSE)="","",VLOOKUP(Tue_W2[[#This Row],[Employee Name]],'Base Schedules'!$A$160:$AW$203,37,FALSE)),"")</f>
        <v/>
      </c>
      <c r="AM21" s="184" t="str">
        <f>IFERROR(IF(VLOOKUP(Tue_W2[[#This Row],[Employee Name]],'Base Schedules'!$A$160:$AW$203,38,FALSE)="","",VLOOKUP(Tue_W2[[#This Row],[Employee Name]],'Base Schedules'!$A$160:$AW$203,38,FALSE)),"")</f>
        <v/>
      </c>
      <c r="AN21" s="184" t="str">
        <f>IFERROR(IF(VLOOKUP(Tue_W2[[#This Row],[Employee Name]],'Base Schedules'!$A$160:$AW$203,39,FALSE)="","",VLOOKUP(Tue_W2[[#This Row],[Employee Name]],'Base Schedules'!$A$160:$AW$203,39,FALSE)),"")</f>
        <v/>
      </c>
      <c r="AO21" s="184" t="str">
        <f>IFERROR(IF(VLOOKUP(Tue_W2[[#This Row],[Employee Name]],'Base Schedules'!$A$160:$AW$203,40,FALSE)="","",VLOOKUP(Tue_W2[[#This Row],[Employee Name]],'Base Schedules'!$A$160:$AW$203,40,FALSE)),"")</f>
        <v/>
      </c>
      <c r="AP21" s="184" t="str">
        <f>IFERROR(IF(VLOOKUP(Tue_W2[[#This Row],[Employee Name]],'Base Schedules'!$A$160:$AW$203,41,FALSE)="","",VLOOKUP(Tue_W2[[#This Row],[Employee Name]],'Base Schedules'!$A$160:$AW$203,41,FALSE)),"")</f>
        <v/>
      </c>
      <c r="AQ21" s="184" t="str">
        <f>IFERROR(IF(VLOOKUP(Tue_W2[[#This Row],[Employee Name]],'Base Schedules'!$A$160:$AW$203,42,FALSE)="","",VLOOKUP(Tue_W2[[#This Row],[Employee Name]],'Base Schedules'!$A$160:$AW$203,42,FALSE)),"")</f>
        <v/>
      </c>
      <c r="AR21" s="184" t="str">
        <f>IFERROR(IF(VLOOKUP(Tue_W2[[#This Row],[Employee Name]],'Base Schedules'!$A$160:$AW$203,43,FALSE)="","",VLOOKUP(Tue_W2[[#This Row],[Employee Name]],'Base Schedules'!$A$160:$AW$203,43,FALSE)),"")</f>
        <v/>
      </c>
      <c r="AS21" s="184" t="str">
        <f>IFERROR(IF(VLOOKUP(Tue_W2[[#This Row],[Employee Name]],'Base Schedules'!$A$160:$AW$203,44,FALSE)="","",VLOOKUP(Tue_W2[[#This Row],[Employee Name]],'Base Schedules'!$A$160:$AW$203,44,FALSE)),"")</f>
        <v/>
      </c>
      <c r="AT21" s="184" t="str">
        <f>IFERROR(IF(VLOOKUP(Tue_W2[[#This Row],[Employee Name]],'Base Schedules'!$A$160:$AW$203,45,FALSE)="","",VLOOKUP(Tue_W2[[#This Row],[Employee Name]],'Base Schedules'!$A$160:$AW$203,45,FALSE)),"")</f>
        <v/>
      </c>
      <c r="AU21" s="184" t="str">
        <f>IFERROR(IF(VLOOKUP(Tue_W2[[#This Row],[Employee Name]],'Base Schedules'!$A$160:$AW$203,46,FALSE)="","",VLOOKUP(Tue_W2[[#This Row],[Employee Name]],'Base Schedules'!$A$160:$AW$203,46,FALSE)),"")</f>
        <v/>
      </c>
      <c r="AV21" s="184" t="str">
        <f>IFERROR(IF(VLOOKUP(Tue_W2[[#This Row],[Employee Name]],'Base Schedules'!$A$160:$AW$203,47,FALSE)="","",VLOOKUP(Tue_W2[[#This Row],[Employee Name]],'Base Schedules'!$A$160:$AW$203,47,FALSE)),"")</f>
        <v/>
      </c>
      <c r="AW21" s="184" t="str">
        <f>IFERROR(IF(VLOOKUP(Tue_W2[[#This Row],[Employee Name]],'Base Schedules'!$A$160:$AW$203,48,FALSE)="","",VLOOKUP(Tue_W2[[#This Row],[Employee Name]],'Base Schedules'!$A$160:$AW$203,48,FALSE)),"")</f>
        <v/>
      </c>
      <c r="AX21" s="184" t="str">
        <f>IFERROR(IF(VLOOKUP(Tue_W2[[#This Row],[Employee Name]],'Base Schedules'!$A$160:$AW$203,49,FALSE)="","",VLOOKUP(Tue_W2[[#This Row],[Employee Name]],'Base Schedules'!$A$160:$AW$203,49,FALSE)),"")</f>
        <v/>
      </c>
      <c r="AY21" s="159" t="str">
        <f t="shared" si="2"/>
        <v>Garcia, Valentin</v>
      </c>
    </row>
    <row r="22" spans="1:51" s="44" customFormat="1" ht="12" customHeight="1" x14ac:dyDescent="0.2">
      <c r="A22" s="39" t="str">
        <f>IF(B22="","",INDEX(TeamList[],MATCH($B22,TeamList[[Employee Name]:[Employee Name]],0),MATCH("Manager",TeamList[#Headers],0)))</f>
        <v>Paulson, Matthew</v>
      </c>
      <c r="B22" s="201" t="s">
        <v>33</v>
      </c>
      <c r="C22" s="257" t="str">
        <f>_xlfn.IFNA(VLOOKUP(Tue_W2[[#This Row],[Employee Name]],'Base Schedules'!A:B,2,FALSE),"")</f>
        <v>Supervisor</v>
      </c>
      <c r="D22" s="274">
        <f>_xlfn.IFNA(VLOOKUP(Tue_W2[[#This Row],[Employee Name]],'Base Schedules'!A:C,3,FALSE),"")</f>
        <v>730</v>
      </c>
      <c r="E22" s="274">
        <f>_xlfn.IFNA(VLOOKUP(Tue_W2[[#This Row],[Employee Name]],'Base Schedules'!A:D,4,FALSE),"")</f>
        <v>1630</v>
      </c>
      <c r="F22" s="142">
        <f>IF(Tue_W2[[#This Row],[Employee Name]]="","",IF(Tue_W2[[#This Row],[Dept]]="Supervisor",COUNTIFS($J22:$AX22,"*HL*",$J22:$AX22,"&lt;&gt;"&amp;"pHL"),COUNTIFS($J22:$AX22,"*HL*",$J22:$AX22,"&lt;&gt;"&amp;"*pHL*",$J22:$AX22,"&lt;&gt;"&amp;"pB1 HL",$J22:$AX22,"&lt;&gt;"&amp;"pB2 HL")-SUM(COUNTIFS($J22:$AX22,"*HL B1*",$J22:$AX22,"&lt;&gt;"&amp;"pHL B1")*0.5,COUNTIFS($J22:$AX22,"*HL B2*",$J22:$AX22,"&lt;&gt;"&amp;"pHL B2")*0.5,COUNTIFS($J22:$AX22,"*B1 HL*",$J22:$AX22,"&lt;&gt;"&amp;"pB1 HL")*0.5,COUNTIFS($J22:$AX22,"*B2 HL*",$J22:$AX22,"&lt;&gt;"&amp;"pB2 HL")*0.5)))</f>
        <v>0</v>
      </c>
      <c r="G22" s="142">
        <f t="shared" si="0"/>
        <v>5</v>
      </c>
      <c r="H22" s="142">
        <f t="shared" si="1"/>
        <v>0</v>
      </c>
      <c r="I22" s="142">
        <f>IF(Tue_W2[[#This Row],[Employee Name]]="","",IF(Tue_W2[[#This Row],[Dept]]="Supervisor",SUM(COUNTIFS($J22:$AX22,"RTA*",$J22:$AX22,"&lt;&gt;"&amp;"pRTA"),COUNTIFS($J22:$AX22,"*CRTA*",$J22:$AX22,"&lt;&gt;"&amp;"pCRTA")),COUNTIFS($J22:$AX22,"*RNNR*",$J22:$AX22,"&lt;&gt;"&amp;"*pRNNR*",$J22:$AX22,"&lt;&gt;"&amp;"pB1 RNNR",$J22:$AX22,"&lt;&gt;"&amp;"pB2 RNNR")-SUM(COUNTIFS($J22:$AX22,"*RNNR B1*",$J22:$AX22,"&lt;&gt;"&amp;"pRNNR B1")*0.5,COUNTIFS($J22:$AX22,"*RNNR B2*",$J22:$AX22,"&lt;&gt;"&amp;"pRNNR B2")*0.5,COUNTIFS($J22:$AX22,"*B1 RNNR*",$J22:$AX22,"&lt;&gt;"&amp;"pB1 RNNR")*0.5,COUNTIFS($J22:$AX22,"*B2 RNNR*",$J22:$AX22,"&lt;&gt;"&amp;"pB2 RNNR")*0.5)))</f>
        <v>0</v>
      </c>
      <c r="J22" s="184" t="str">
        <f>IFERROR(IF(VLOOKUP(Tue_W2[[#This Row],[Employee Name]],'Base Schedules'!$A$160:$AW$203,9,FALSE)="","",VLOOKUP(Tue_W2[[#This Row],[Employee Name]],'Base Schedules'!$A$160:$AW$203,9,FALSE)),"")</f>
        <v/>
      </c>
      <c r="K22" s="184" t="str">
        <f>IFERROR(IF(VLOOKUP(Tue_W2[[#This Row],[Employee Name]],'Base Schedules'!$A$160:$AW$203,10,FALSE)="","",VLOOKUP(Tue_W2[[#This Row],[Employee Name]],'Base Schedules'!$A$160:$AW$203,10,FALSE)),"")</f>
        <v/>
      </c>
      <c r="L22" s="184" t="str">
        <f>IFERROR(IF(VLOOKUP(Tue_W2[[#This Row],[Employee Name]],'Base Schedules'!$A$160:$AW$203,11,FALSE)="","",VLOOKUP(Tue_W2[[#This Row],[Employee Name]],'Base Schedules'!$A$160:$AW$203,11,FALSE)),"")</f>
        <v/>
      </c>
      <c r="M22" s="184" t="str">
        <f>IFERROR(IF(VLOOKUP(Tue_W2[[#This Row],[Employee Name]],'Base Schedules'!$A$160:$AW$203,12,FALSE)="","",VLOOKUP(Tue_W2[[#This Row],[Employee Name]],'Base Schedules'!$A$160:$AW$203,12,FALSE)),"")</f>
        <v/>
      </c>
      <c r="N22" s="184" t="str">
        <f>IFERROR(IF(VLOOKUP(Tue_W2[[#This Row],[Employee Name]],'Base Schedules'!$A$160:$AW$203,13,FALSE)="","",VLOOKUP(Tue_W2[[#This Row],[Employee Name]],'Base Schedules'!$A$160:$AW$203,13,FALSE)),"")</f>
        <v/>
      </c>
      <c r="O22" s="184" t="str">
        <f>IFERROR(IF(VLOOKUP(Tue_W2[[#This Row],[Employee Name]],'Base Schedules'!$A$160:$AW$203,14,FALSE)="","",VLOOKUP(Tue_W2[[#This Row],[Employee Name]],'Base Schedules'!$A$160:$AW$203,14,FALSE)),"")</f>
        <v>-</v>
      </c>
      <c r="P22" s="184" t="str">
        <f>IFERROR(IF(VLOOKUP(Tue_W2[[#This Row],[Employee Name]],'Base Schedules'!$A$160:$AW$203,15,FALSE)="","",VLOOKUP(Tue_W2[[#This Row],[Employee Name]],'Base Schedules'!$A$160:$AW$203,15,FALSE)),"")</f>
        <v>Interview</v>
      </c>
      <c r="Q22" s="184" t="str">
        <f>IFERROR(IF(VLOOKUP(Tue_W2[[#This Row],[Employee Name]],'Base Schedules'!$A$160:$AW$203,16,FALSE)="","",VLOOKUP(Tue_W2[[#This Row],[Employee Name]],'Base Schedules'!$A$160:$AW$203,16,FALSE)),"")</f>
        <v>Interview</v>
      </c>
      <c r="R22" s="184" t="str">
        <f>IFERROR(IF(VLOOKUP(Tue_W2[[#This Row],[Employee Name]],'Base Schedules'!$A$160:$AW$203,17,FALSE)="","",VLOOKUP(Tue_W2[[#This Row],[Employee Name]],'Base Schedules'!$A$160:$AW$203,17,FALSE)),"")</f>
        <v>-</v>
      </c>
      <c r="S22" s="184" t="str">
        <f>IFERROR(IF(VLOOKUP(Tue_W2[[#This Row],[Employee Name]],'Base Schedules'!$A$160:$AW$203,18,FALSE)="","",VLOOKUP(Tue_W2[[#This Row],[Employee Name]],'Base Schedules'!$A$160:$AW$203,18,FALSE)),"")</f>
        <v>-</v>
      </c>
      <c r="T22" s="184" t="str">
        <f>IFERROR(IF(VLOOKUP(Tue_W2[[#This Row],[Employee Name]],'Base Schedules'!$A$160:$AW$203,19,FALSE)="","",VLOOKUP(Tue_W2[[#This Row],[Employee Name]],'Base Schedules'!$A$160:$AW$203,19,FALSE)),"")</f>
        <v>-</v>
      </c>
      <c r="U22" s="184" t="str">
        <f>IFERROR(IF(VLOOKUP(Tue_W2[[#This Row],[Employee Name]],'Base Schedules'!$A$160:$AW$203,20,FALSE)="","",VLOOKUP(Tue_W2[[#This Row],[Employee Name]],'Base Schedules'!$A$160:$AW$203,20,FALSE)),"")</f>
        <v>-</v>
      </c>
      <c r="V22" s="184" t="str">
        <f>IFERROR(IF(VLOOKUP(Tue_W2[[#This Row],[Employee Name]],'Base Schedules'!$A$160:$AW$203,21,FALSE)="","",VLOOKUP(Tue_W2[[#This Row],[Employee Name]],'Base Schedules'!$A$160:$AW$203,21,FALSE)),"")</f>
        <v>Coaching</v>
      </c>
      <c r="W22" s="184" t="str">
        <f>IFERROR(IF(VLOOKUP(Tue_W2[[#This Row],[Employee Name]],'Base Schedules'!$A$160:$AW$203,22,FALSE)="","",VLOOKUP(Tue_W2[[#This Row],[Employee Name]],'Base Schedules'!$A$160:$AW$203,22,FALSE)),"")</f>
        <v>Coaching</v>
      </c>
      <c r="X22" s="184" t="str">
        <f>IFERROR(IF(VLOOKUP(Tue_W2[[#This Row],[Employee Name]],'Base Schedules'!$A$160:$AW$203,23,FALSE)="","",VLOOKUP(Tue_W2[[#This Row],[Employee Name]],'Base Schedules'!$A$160:$AW$203,23,FALSE)),"")</f>
        <v>-</v>
      </c>
      <c r="Y22" s="184" t="str">
        <f>IFERROR(IF(VLOOKUP(Tue_W2[[#This Row],[Employee Name]],'Base Schedules'!$A$160:$AW$203,24,FALSE)="","",VLOOKUP(Tue_W2[[#This Row],[Employee Name]],'Base Schedules'!$A$160:$AW$203,24,FALSE)),"")</f>
        <v>-</v>
      </c>
      <c r="Z22" s="184" t="str">
        <f>IFERROR(IF(VLOOKUP(Tue_W2[[#This Row],[Employee Name]],'Base Schedules'!$A$160:$AW$203,25,FALSE)="","",VLOOKUP(Tue_W2[[#This Row],[Employee Name]],'Base Schedules'!$A$160:$AW$203,25,FALSE)),"")</f>
        <v>-</v>
      </c>
      <c r="AA22" s="184" t="str">
        <f>IFERROR(IF(VLOOKUP(Tue_W2[[#This Row],[Employee Name]],'Base Schedules'!$A$160:$AW$203,26,FALSE)="","",VLOOKUP(Tue_W2[[#This Row],[Employee Name]],'Base Schedules'!$A$160:$AW$203,26,FALSE)),"")</f>
        <v>-</v>
      </c>
      <c r="AB22" s="184" t="str">
        <f>IFERROR(IF(VLOOKUP(Tue_W2[[#This Row],[Employee Name]],'Base Schedules'!$A$160:$AW$203,27,FALSE)="","",VLOOKUP(Tue_W2[[#This Row],[Employee Name]],'Base Schedules'!$A$160:$AW$203,27,FALSE)),"")</f>
        <v>Coaching</v>
      </c>
      <c r="AC22" s="184" t="str">
        <f>IFERROR(IF(VLOOKUP(Tue_W2[[#This Row],[Employee Name]],'Base Schedules'!$A$160:$AW$203,28,FALSE)="","",VLOOKUP(Tue_W2[[#This Row],[Employee Name]],'Base Schedules'!$A$160:$AW$203,28,FALSE)),"")</f>
        <v>Coaching</v>
      </c>
      <c r="AD22" s="184" t="str">
        <f>IFERROR(IF(VLOOKUP(Tue_W2[[#This Row],[Employee Name]],'Base Schedules'!$A$160:$AW$203,29,FALSE)="","",VLOOKUP(Tue_W2[[#This Row],[Employee Name]],'Base Schedules'!$A$160:$AW$203,29,FALSE)),"")</f>
        <v>Coaching</v>
      </c>
      <c r="AE22" s="184" t="str">
        <f>IFERROR(IF(VLOOKUP(Tue_W2[[#This Row],[Employee Name]],'Base Schedules'!$A$160:$AW$203,30,FALSE)="","",VLOOKUP(Tue_W2[[#This Row],[Employee Name]],'Base Schedules'!$A$160:$AW$203,30,FALSE)),"")</f>
        <v>-</v>
      </c>
      <c r="AF22" s="184" t="str">
        <f>IFERROR(IF(VLOOKUP(Tue_W2[[#This Row],[Employee Name]],'Base Schedules'!$A$160:$AW$203,31,FALSE)="","",VLOOKUP(Tue_W2[[#This Row],[Employee Name]],'Base Schedules'!$A$160:$AW$203,31,FALSE)),"")</f>
        <v>-</v>
      </c>
      <c r="AG22" s="184" t="str">
        <f>IFERROR(IF(VLOOKUP(Tue_W2[[#This Row],[Employee Name]],'Base Schedules'!$A$160:$AW$203,32,FALSE)="","",VLOOKUP(Tue_W2[[#This Row],[Employee Name]],'Base Schedules'!$A$160:$AW$203,32,FALSE)),"")</f>
        <v/>
      </c>
      <c r="AH22" s="184" t="str">
        <f>IFERROR(IF(VLOOKUP(Tue_W2[[#This Row],[Employee Name]],'Base Schedules'!$A$160:$AW$203,33,FALSE)="","",VLOOKUP(Tue_W2[[#This Row],[Employee Name]],'Base Schedules'!$A$160:$AW$203,33,FALSE)),"")</f>
        <v/>
      </c>
      <c r="AI22" s="184" t="str">
        <f>IFERROR(IF(VLOOKUP(Tue_W2[[#This Row],[Employee Name]],'Base Schedules'!$A$160:$AW$203,34,FALSE)="","",VLOOKUP(Tue_W2[[#This Row],[Employee Name]],'Base Schedules'!$A$160:$AW$203,34,FALSE)),"")</f>
        <v/>
      </c>
      <c r="AJ22" s="184" t="str">
        <f>IFERROR(IF(VLOOKUP(Tue_W2[[#This Row],[Employee Name]],'Base Schedules'!$A$160:$AW$203,35,FALSE)="","",VLOOKUP(Tue_W2[[#This Row],[Employee Name]],'Base Schedules'!$A$160:$AW$203,35,FALSE)),"")</f>
        <v/>
      </c>
      <c r="AK22" s="184" t="str">
        <f>IFERROR(IF(VLOOKUP(Tue_W2[[#This Row],[Employee Name]],'Base Schedules'!$A$160:$AW$203,36,FALSE)="","",VLOOKUP(Tue_W2[[#This Row],[Employee Name]],'Base Schedules'!$A$160:$AW$203,36,FALSE)),"")</f>
        <v/>
      </c>
      <c r="AL22" s="184" t="str">
        <f>IFERROR(IF(VLOOKUP(Tue_W2[[#This Row],[Employee Name]],'Base Schedules'!$A$160:$AW$203,37,FALSE)="","",VLOOKUP(Tue_W2[[#This Row],[Employee Name]],'Base Schedules'!$A$160:$AW$203,37,FALSE)),"")</f>
        <v/>
      </c>
      <c r="AM22" s="184" t="str">
        <f>IFERROR(IF(VLOOKUP(Tue_W2[[#This Row],[Employee Name]],'Base Schedules'!$A$160:$AW$203,38,FALSE)="","",VLOOKUP(Tue_W2[[#This Row],[Employee Name]],'Base Schedules'!$A$160:$AW$203,38,FALSE)),"")</f>
        <v/>
      </c>
      <c r="AN22" s="184" t="str">
        <f>IFERROR(IF(VLOOKUP(Tue_W2[[#This Row],[Employee Name]],'Base Schedules'!$A$160:$AW$203,39,FALSE)="","",VLOOKUP(Tue_W2[[#This Row],[Employee Name]],'Base Schedules'!$A$160:$AW$203,39,FALSE)),"")</f>
        <v/>
      </c>
      <c r="AO22" s="184" t="str">
        <f>IFERROR(IF(VLOOKUP(Tue_W2[[#This Row],[Employee Name]],'Base Schedules'!$A$160:$AW$203,40,FALSE)="","",VLOOKUP(Tue_W2[[#This Row],[Employee Name]],'Base Schedules'!$A$160:$AW$203,40,FALSE)),"")</f>
        <v/>
      </c>
      <c r="AP22" s="184" t="str">
        <f>IFERROR(IF(VLOOKUP(Tue_W2[[#This Row],[Employee Name]],'Base Schedules'!$A$160:$AW$203,41,FALSE)="","",VLOOKUP(Tue_W2[[#This Row],[Employee Name]],'Base Schedules'!$A$160:$AW$203,41,FALSE)),"")</f>
        <v/>
      </c>
      <c r="AQ22" s="184" t="str">
        <f>IFERROR(IF(VLOOKUP(Tue_W2[[#This Row],[Employee Name]],'Base Schedules'!$A$160:$AW$203,42,FALSE)="","",VLOOKUP(Tue_W2[[#This Row],[Employee Name]],'Base Schedules'!$A$160:$AW$203,42,FALSE)),"")</f>
        <v/>
      </c>
      <c r="AR22" s="184" t="str">
        <f>IFERROR(IF(VLOOKUP(Tue_W2[[#This Row],[Employee Name]],'Base Schedules'!$A$160:$AW$203,43,FALSE)="","",VLOOKUP(Tue_W2[[#This Row],[Employee Name]],'Base Schedules'!$A$160:$AW$203,43,FALSE)),"")</f>
        <v/>
      </c>
      <c r="AS22" s="184" t="str">
        <f>IFERROR(IF(VLOOKUP(Tue_W2[[#This Row],[Employee Name]],'Base Schedules'!$A$160:$AW$203,44,FALSE)="","",VLOOKUP(Tue_W2[[#This Row],[Employee Name]],'Base Schedules'!$A$160:$AW$203,44,FALSE)),"")</f>
        <v/>
      </c>
      <c r="AT22" s="184" t="str">
        <f>IFERROR(IF(VLOOKUP(Tue_W2[[#This Row],[Employee Name]],'Base Schedules'!$A$160:$AW$203,45,FALSE)="","",VLOOKUP(Tue_W2[[#This Row],[Employee Name]],'Base Schedules'!$A$160:$AW$203,45,FALSE)),"")</f>
        <v/>
      </c>
      <c r="AU22" s="184" t="str">
        <f>IFERROR(IF(VLOOKUP(Tue_W2[[#This Row],[Employee Name]],'Base Schedules'!$A$160:$AW$203,46,FALSE)="","",VLOOKUP(Tue_W2[[#This Row],[Employee Name]],'Base Schedules'!$A$160:$AW$203,46,FALSE)),"")</f>
        <v/>
      </c>
      <c r="AV22" s="184" t="str">
        <f>IFERROR(IF(VLOOKUP(Tue_W2[[#This Row],[Employee Name]],'Base Schedules'!$A$160:$AW$203,47,FALSE)="","",VLOOKUP(Tue_W2[[#This Row],[Employee Name]],'Base Schedules'!$A$160:$AW$203,47,FALSE)),"")</f>
        <v/>
      </c>
      <c r="AW22" s="184" t="str">
        <f>IFERROR(IF(VLOOKUP(Tue_W2[[#This Row],[Employee Name]],'Base Schedules'!$A$160:$AW$203,48,FALSE)="","",VLOOKUP(Tue_W2[[#This Row],[Employee Name]],'Base Schedules'!$A$160:$AW$203,48,FALSE)),"")</f>
        <v/>
      </c>
      <c r="AX22" s="184" t="str">
        <f>IFERROR(IF(VLOOKUP(Tue_W2[[#This Row],[Employee Name]],'Base Schedules'!$A$160:$AW$203,49,FALSE)="","",VLOOKUP(Tue_W2[[#This Row],[Employee Name]],'Base Schedules'!$A$160:$AW$203,49,FALSE)),"")</f>
        <v/>
      </c>
      <c r="AY22" s="159" t="str">
        <f t="shared" si="2"/>
        <v>Parkin-Rego, Kimberlee</v>
      </c>
    </row>
    <row r="23" spans="1:51" s="44" customFormat="1" ht="12" customHeight="1" x14ac:dyDescent="0.2">
      <c r="A23" s="39" t="str">
        <f>IF(B23="","",INDEX(TeamList[],MATCH($B23,TeamList[[Employee Name]:[Employee Name]],0),MATCH("Manager",TeamList[#Headers],0)))</f>
        <v>Olson, Katherine</v>
      </c>
      <c r="B23" s="201" t="s">
        <v>41</v>
      </c>
      <c r="C23" s="257" t="str">
        <f>_xlfn.IFNA(VLOOKUP(Tue_W2[[#This Row],[Employee Name]],'Base Schedules'!A:B,2,FALSE),"")</f>
        <v>Lead</v>
      </c>
      <c r="D23" s="274">
        <f>_xlfn.IFNA(VLOOKUP(Tue_W2[[#This Row],[Employee Name]],'Base Schedules'!A:C,3,FALSE),"")</f>
        <v>800</v>
      </c>
      <c r="E23" s="274">
        <f>_xlfn.IFNA(VLOOKUP(Tue_W2[[#This Row],[Employee Name]],'Base Schedules'!A:D,4,FALSE),"")</f>
        <v>1630</v>
      </c>
      <c r="F23" s="142">
        <f>IF(Tue_W2[[#This Row],[Employee Name]]="","",IF(Tue_W2[[#This Row],[Dept]]="Supervisor",COUNTIFS($J23:$AX23,"*HL*",$J23:$AX23,"&lt;&gt;"&amp;"pHL"),COUNTIFS($J23:$AX23,"*HL*",$J23:$AX23,"&lt;&gt;"&amp;"*pHL*",$J23:$AX23,"&lt;&gt;"&amp;"pB1 HL",$J23:$AX23,"&lt;&gt;"&amp;"pB2 HL")-SUM(COUNTIFS($J23:$AX23,"*HL B1*",$J23:$AX23,"&lt;&gt;"&amp;"pHL B1")*0.5,COUNTIFS($J23:$AX23,"*HL B2*",$J23:$AX23,"&lt;&gt;"&amp;"pHL B2")*0.5,COUNTIFS($J23:$AX23,"*B1 HL*",$J23:$AX23,"&lt;&gt;"&amp;"pB1 HL")*0.5,COUNTIFS($J23:$AX23,"*B2 HL*",$J23:$AX23,"&lt;&gt;"&amp;"pB2 HL")*0.5)))</f>
        <v>7.5</v>
      </c>
      <c r="G23" s="142">
        <f t="shared" si="0"/>
        <v>0</v>
      </c>
      <c r="H23" s="142">
        <f t="shared" si="1"/>
        <v>6</v>
      </c>
      <c r="I23" s="142">
        <f>IF(Tue_W2[[#This Row],[Employee Name]]="","",IF(Tue_W2[[#This Row],[Dept]]="Supervisor",SUM(COUNTIFS($J23:$AX23,"RTA*",$J23:$AX23,"&lt;&gt;"&amp;"pRTA"),COUNTIFS($J23:$AX23,"*CRTA*",$J23:$AX23,"&lt;&gt;"&amp;"pCRTA")),COUNTIFS($J23:$AX23,"*RNNR*",$J23:$AX23,"&lt;&gt;"&amp;"*pRNNR*",$J23:$AX23,"&lt;&gt;"&amp;"pB1 RNNR",$J23:$AX23,"&lt;&gt;"&amp;"pB2 RNNR")-SUM(COUNTIFS($J23:$AX23,"*RNNR B1*",$J23:$AX23,"&lt;&gt;"&amp;"pRNNR B1")*0.5,COUNTIFS($J23:$AX23,"*RNNR B2*",$J23:$AX23,"&lt;&gt;"&amp;"pRNNR B2")*0.5,COUNTIFS($J23:$AX23,"*B1 RNNR*",$J23:$AX23,"&lt;&gt;"&amp;"pB1 RNNR")*0.5,COUNTIFS($J23:$AX23,"*B2 RNNR*",$J23:$AX23,"&lt;&gt;"&amp;"pB2 RNNR")*0.5)))</f>
        <v>2</v>
      </c>
      <c r="J23" s="184" t="str">
        <f>IFERROR(IF(VLOOKUP(Tue_W2[[#This Row],[Employee Name]],'Base Schedules'!$A$160:$AW$203,9,FALSE)="","",VLOOKUP(Tue_W2[[#This Row],[Employee Name]],'Base Schedules'!$A$160:$AW$203,9,FALSE)),"")</f>
        <v/>
      </c>
      <c r="K23" s="184" t="str">
        <f>IFERROR(IF(VLOOKUP(Tue_W2[[#This Row],[Employee Name]],'Base Schedules'!$A$160:$AW$203,10,FALSE)="","",VLOOKUP(Tue_W2[[#This Row],[Employee Name]],'Base Schedules'!$A$160:$AW$203,10,FALSE)),"")</f>
        <v/>
      </c>
      <c r="L23" s="184" t="str">
        <f>IFERROR(IF(VLOOKUP(Tue_W2[[#This Row],[Employee Name]],'Base Schedules'!$A$160:$AW$203,11,FALSE)="","",VLOOKUP(Tue_W2[[#This Row],[Employee Name]],'Base Schedules'!$A$160:$AW$203,11,FALSE)),"")</f>
        <v/>
      </c>
      <c r="M23" s="184" t="str">
        <f>IFERROR(IF(VLOOKUP(Tue_W2[[#This Row],[Employee Name]],'Base Schedules'!$A$160:$AW$203,12,FALSE)="","",VLOOKUP(Tue_W2[[#This Row],[Employee Name]],'Base Schedules'!$A$160:$AW$203,12,FALSE)),"")</f>
        <v/>
      </c>
      <c r="N23" s="184" t="str">
        <f>IFERROR(IF(VLOOKUP(Tue_W2[[#This Row],[Employee Name]],'Base Schedules'!$A$160:$AW$203,13,FALSE)="","",VLOOKUP(Tue_W2[[#This Row],[Employee Name]],'Base Schedules'!$A$160:$AW$203,13,FALSE)),"")</f>
        <v/>
      </c>
      <c r="O23" s="184" t="str">
        <f>IFERROR(IF(VLOOKUP(Tue_W2[[#This Row],[Employee Name]],'Base Schedules'!$A$160:$AW$203,14,FALSE)="","",VLOOKUP(Tue_W2[[#This Row],[Employee Name]],'Base Schedules'!$A$160:$AW$203,14,FALSE)),"")</f>
        <v/>
      </c>
      <c r="P23" s="184" t="str">
        <f>IFERROR(IF(VLOOKUP(Tue_W2[[#This Row],[Employee Name]],'Base Schedules'!$A$160:$AW$203,15,FALSE)="","",VLOOKUP(Tue_W2[[#This Row],[Employee Name]],'Base Schedules'!$A$160:$AW$203,15,FALSE)),"")</f>
        <v>HL</v>
      </c>
      <c r="Q23" s="184" t="str">
        <f>IFERROR(IF(VLOOKUP(Tue_W2[[#This Row],[Employee Name]],'Base Schedules'!$A$160:$AW$203,16,FALSE)="","",VLOOKUP(Tue_W2[[#This Row],[Employee Name]],'Base Schedules'!$A$160:$AW$203,16,FALSE)),"")</f>
        <v>HL</v>
      </c>
      <c r="R23" s="184" t="str">
        <f>IFERROR(IF(VLOOKUP(Tue_W2[[#This Row],[Employee Name]],'Base Schedules'!$A$160:$AW$203,17,FALSE)="","",VLOOKUP(Tue_W2[[#This Row],[Employee Name]],'Base Schedules'!$A$160:$AW$203,17,FALSE)),"")</f>
        <v>ADM</v>
      </c>
      <c r="S23" s="184" t="str">
        <f>IFERROR(IF(VLOOKUP(Tue_W2[[#This Row],[Employee Name]],'Base Schedules'!$A$160:$AW$203,18,FALSE)="","",VLOOKUP(Tue_W2[[#This Row],[Employee Name]],'Base Schedules'!$A$160:$AW$203,18,FALSE)),"")</f>
        <v>ADM</v>
      </c>
      <c r="T23" s="184" t="str">
        <f>IFERROR(IF(VLOOKUP(Tue_W2[[#This Row],[Employee Name]],'Base Schedules'!$A$160:$AW$203,19,FALSE)="","",VLOOKUP(Tue_W2[[#This Row],[Employee Name]],'Base Schedules'!$A$160:$AW$203,19,FALSE)),"")</f>
        <v>B1 HL</v>
      </c>
      <c r="U23" s="184" t="str">
        <f>IFERROR(IF(VLOOKUP(Tue_W2[[#This Row],[Employee Name]],'Base Schedules'!$A$160:$AW$203,20,FALSE)="","",VLOOKUP(Tue_W2[[#This Row],[Employee Name]],'Base Schedules'!$A$160:$AW$203,20,FALSE)),"")</f>
        <v>HL</v>
      </c>
      <c r="V23" s="184" t="str">
        <f>IFERROR(IF(VLOOKUP(Tue_W2[[#This Row],[Employee Name]],'Base Schedules'!$A$160:$AW$203,21,FALSE)="","",VLOOKUP(Tue_W2[[#This Row],[Employee Name]],'Base Schedules'!$A$160:$AW$203,21,FALSE)),"")</f>
        <v>HL</v>
      </c>
      <c r="W23" s="184" t="str">
        <f>IFERROR(IF(VLOOKUP(Tue_W2[[#This Row],[Employee Name]],'Base Schedules'!$A$160:$AW$203,22,FALSE)="","",VLOOKUP(Tue_W2[[#This Row],[Employee Name]],'Base Schedules'!$A$160:$AW$203,22,FALSE)),"")</f>
        <v>HL</v>
      </c>
      <c r="X23" s="184" t="str">
        <f>IFERROR(IF(VLOOKUP(Tue_W2[[#This Row],[Employee Name]],'Base Schedules'!$A$160:$AW$203,23,FALSE)="","",VLOOKUP(Tue_W2[[#This Row],[Employee Name]],'Base Schedules'!$A$160:$AW$203,23,FALSE)),"")</f>
        <v>ADM</v>
      </c>
      <c r="Y23" s="184" t="str">
        <f>IFERROR(IF(VLOOKUP(Tue_W2[[#This Row],[Employee Name]],'Base Schedules'!$A$160:$AW$203,24,FALSE)="","",VLOOKUP(Tue_W2[[#This Row],[Employee Name]],'Base Schedules'!$A$160:$AW$203,24,FALSE)),"")</f>
        <v>LUNCH</v>
      </c>
      <c r="Z23" s="184" t="str">
        <f>IFERROR(IF(VLOOKUP(Tue_W2[[#This Row],[Employee Name]],'Base Schedules'!$A$160:$AW$203,25,FALSE)="","",VLOOKUP(Tue_W2[[#This Row],[Employee Name]],'Base Schedules'!$A$160:$AW$203,25,FALSE)),"")</f>
        <v>RNNR</v>
      </c>
      <c r="AA23" s="184" t="str">
        <f>IFERROR(IF(VLOOKUP(Tue_W2[[#This Row],[Employee Name]],'Base Schedules'!$A$160:$AW$203,26,FALSE)="","",VLOOKUP(Tue_W2[[#This Row],[Employee Name]],'Base Schedules'!$A$160:$AW$203,26,FALSE)),"")</f>
        <v>RNNR</v>
      </c>
      <c r="AB23" s="184" t="str">
        <f>IFERROR(IF(VLOOKUP(Tue_W2[[#This Row],[Employee Name]],'Base Schedules'!$A$160:$AW$203,27,FALSE)="","",VLOOKUP(Tue_W2[[#This Row],[Employee Name]],'Base Schedules'!$A$160:$AW$203,27,FALSE)),"")</f>
        <v>HL</v>
      </c>
      <c r="AC23" s="184" t="str">
        <f>IFERROR(IF(VLOOKUP(Tue_W2[[#This Row],[Employee Name]],'Base Schedules'!$A$160:$AW$203,28,FALSE)="","",VLOOKUP(Tue_W2[[#This Row],[Employee Name]],'Base Schedules'!$A$160:$AW$203,28,FALSE)),"")</f>
        <v>B2 ADM</v>
      </c>
      <c r="AD23" s="184" t="str">
        <f>IFERROR(IF(VLOOKUP(Tue_W2[[#This Row],[Employee Name]],'Base Schedules'!$A$160:$AW$203,29,FALSE)="","",VLOOKUP(Tue_W2[[#This Row],[Employee Name]],'Base Schedules'!$A$160:$AW$203,29,FALSE)),"")</f>
        <v>ADM</v>
      </c>
      <c r="AE23" s="184" t="str">
        <f>IFERROR(IF(VLOOKUP(Tue_W2[[#This Row],[Employee Name]],'Base Schedules'!$A$160:$AW$203,30,FALSE)="","",VLOOKUP(Tue_W2[[#This Row],[Employee Name]],'Base Schedules'!$A$160:$AW$203,30,FALSE)),"")</f>
        <v>ADM</v>
      </c>
      <c r="AF23" s="184" t="str">
        <f>IFERROR(IF(VLOOKUP(Tue_W2[[#This Row],[Employee Name]],'Base Schedules'!$A$160:$AW$203,31,FALSE)="","",VLOOKUP(Tue_W2[[#This Row],[Employee Name]],'Base Schedules'!$A$160:$AW$203,31,FALSE)),"")</f>
        <v>HL</v>
      </c>
      <c r="AG23" s="184" t="str">
        <f>IFERROR(IF(VLOOKUP(Tue_W2[[#This Row],[Employee Name]],'Base Schedules'!$A$160:$AW$203,32,FALSE)="","",VLOOKUP(Tue_W2[[#This Row],[Employee Name]],'Base Schedules'!$A$160:$AW$203,32,FALSE)),"")</f>
        <v/>
      </c>
      <c r="AH23" s="184" t="str">
        <f>IFERROR(IF(VLOOKUP(Tue_W2[[#This Row],[Employee Name]],'Base Schedules'!$A$160:$AW$203,33,FALSE)="","",VLOOKUP(Tue_W2[[#This Row],[Employee Name]],'Base Schedules'!$A$160:$AW$203,33,FALSE)),"")</f>
        <v/>
      </c>
      <c r="AI23" s="184" t="str">
        <f>IFERROR(IF(VLOOKUP(Tue_W2[[#This Row],[Employee Name]],'Base Schedules'!$A$160:$AW$203,34,FALSE)="","",VLOOKUP(Tue_W2[[#This Row],[Employee Name]],'Base Schedules'!$A$160:$AW$203,34,FALSE)),"")</f>
        <v/>
      </c>
      <c r="AJ23" s="184" t="str">
        <f>IFERROR(IF(VLOOKUP(Tue_W2[[#This Row],[Employee Name]],'Base Schedules'!$A$160:$AW$203,35,FALSE)="","",VLOOKUP(Tue_W2[[#This Row],[Employee Name]],'Base Schedules'!$A$160:$AW$203,35,FALSE)),"")</f>
        <v/>
      </c>
      <c r="AK23" s="184" t="str">
        <f>IFERROR(IF(VLOOKUP(Tue_W2[[#This Row],[Employee Name]],'Base Schedules'!$A$160:$AW$203,36,FALSE)="","",VLOOKUP(Tue_W2[[#This Row],[Employee Name]],'Base Schedules'!$A$160:$AW$203,36,FALSE)),"")</f>
        <v/>
      </c>
      <c r="AL23" s="184" t="str">
        <f>IFERROR(IF(VLOOKUP(Tue_W2[[#This Row],[Employee Name]],'Base Schedules'!$A$160:$AW$203,37,FALSE)="","",VLOOKUP(Tue_W2[[#This Row],[Employee Name]],'Base Schedules'!$A$160:$AW$203,37,FALSE)),"")</f>
        <v/>
      </c>
      <c r="AM23" s="184" t="str">
        <f>IFERROR(IF(VLOOKUP(Tue_W2[[#This Row],[Employee Name]],'Base Schedules'!$A$160:$AW$203,38,FALSE)="","",VLOOKUP(Tue_W2[[#This Row],[Employee Name]],'Base Schedules'!$A$160:$AW$203,38,FALSE)),"")</f>
        <v/>
      </c>
      <c r="AN23" s="184" t="str">
        <f>IFERROR(IF(VLOOKUP(Tue_W2[[#This Row],[Employee Name]],'Base Schedules'!$A$160:$AW$203,39,FALSE)="","",VLOOKUP(Tue_W2[[#This Row],[Employee Name]],'Base Schedules'!$A$160:$AW$203,39,FALSE)),"")</f>
        <v/>
      </c>
      <c r="AO23" s="184" t="str">
        <f>IFERROR(IF(VLOOKUP(Tue_W2[[#This Row],[Employee Name]],'Base Schedules'!$A$160:$AW$203,40,FALSE)="","",VLOOKUP(Tue_W2[[#This Row],[Employee Name]],'Base Schedules'!$A$160:$AW$203,40,FALSE)),"")</f>
        <v/>
      </c>
      <c r="AP23" s="184" t="str">
        <f>IFERROR(IF(VLOOKUP(Tue_W2[[#This Row],[Employee Name]],'Base Schedules'!$A$160:$AW$203,41,FALSE)="","",VLOOKUP(Tue_W2[[#This Row],[Employee Name]],'Base Schedules'!$A$160:$AW$203,41,FALSE)),"")</f>
        <v/>
      </c>
      <c r="AQ23" s="184" t="str">
        <f>IFERROR(IF(VLOOKUP(Tue_W2[[#This Row],[Employee Name]],'Base Schedules'!$A$160:$AW$203,42,FALSE)="","",VLOOKUP(Tue_W2[[#This Row],[Employee Name]],'Base Schedules'!$A$160:$AW$203,42,FALSE)),"")</f>
        <v/>
      </c>
      <c r="AR23" s="184" t="str">
        <f>IFERROR(IF(VLOOKUP(Tue_W2[[#This Row],[Employee Name]],'Base Schedules'!$A$160:$AW$203,43,FALSE)="","",VLOOKUP(Tue_W2[[#This Row],[Employee Name]],'Base Schedules'!$A$160:$AW$203,43,FALSE)),"")</f>
        <v/>
      </c>
      <c r="AS23" s="184" t="str">
        <f>IFERROR(IF(VLOOKUP(Tue_W2[[#This Row],[Employee Name]],'Base Schedules'!$A$160:$AW$203,44,FALSE)="","",VLOOKUP(Tue_W2[[#This Row],[Employee Name]],'Base Schedules'!$A$160:$AW$203,44,FALSE)),"")</f>
        <v/>
      </c>
      <c r="AT23" s="184" t="str">
        <f>IFERROR(IF(VLOOKUP(Tue_W2[[#This Row],[Employee Name]],'Base Schedules'!$A$160:$AW$203,45,FALSE)="","",VLOOKUP(Tue_W2[[#This Row],[Employee Name]],'Base Schedules'!$A$160:$AW$203,45,FALSE)),"")</f>
        <v/>
      </c>
      <c r="AU23" s="184" t="str">
        <f>IFERROR(IF(VLOOKUP(Tue_W2[[#This Row],[Employee Name]],'Base Schedules'!$A$160:$AW$203,46,FALSE)="","",VLOOKUP(Tue_W2[[#This Row],[Employee Name]],'Base Schedules'!$A$160:$AW$203,46,FALSE)),"")</f>
        <v/>
      </c>
      <c r="AV23" s="184" t="str">
        <f>IFERROR(IF(VLOOKUP(Tue_W2[[#This Row],[Employee Name]],'Base Schedules'!$A$160:$AW$203,47,FALSE)="","",VLOOKUP(Tue_W2[[#This Row],[Employee Name]],'Base Schedules'!$A$160:$AW$203,47,FALSE)),"")</f>
        <v/>
      </c>
      <c r="AW23" s="184" t="str">
        <f>IFERROR(IF(VLOOKUP(Tue_W2[[#This Row],[Employee Name]],'Base Schedules'!$A$160:$AW$203,48,FALSE)="","",VLOOKUP(Tue_W2[[#This Row],[Employee Name]],'Base Schedules'!$A$160:$AW$203,48,FALSE)),"")</f>
        <v/>
      </c>
      <c r="AX23" s="184" t="str">
        <f>IFERROR(IF(VLOOKUP(Tue_W2[[#This Row],[Employee Name]],'Base Schedules'!$A$160:$AW$203,49,FALSE)="","",VLOOKUP(Tue_W2[[#This Row],[Employee Name]],'Base Schedules'!$A$160:$AW$203,49,FALSE)),"")</f>
        <v/>
      </c>
      <c r="AY23" s="159" t="str">
        <f t="shared" si="2"/>
        <v>Harley, Timothy</v>
      </c>
    </row>
    <row r="24" spans="1:51" s="44" customFormat="1" ht="12" customHeight="1" x14ac:dyDescent="0.2">
      <c r="A24" s="39" t="str">
        <f>IF(B24="","",INDEX(TeamList[],MATCH($B24,TeamList[[Employee Name]:[Employee Name]],0),MATCH("Manager",TeamList[#Headers],0)))</f>
        <v>Ahmed Hassan, Zahra</v>
      </c>
      <c r="B24" s="201" t="s">
        <v>70</v>
      </c>
      <c r="C24" s="257" t="str">
        <f>_xlfn.IFNA(VLOOKUP(Tue_W2[[#This Row],[Employee Name]],'Base Schedules'!A:B,2,FALSE),"")</f>
        <v>Supervisor</v>
      </c>
      <c r="D24" s="274">
        <f>_xlfn.IFNA(VLOOKUP(Tue_W2[[#This Row],[Employee Name]],'Base Schedules'!A:C,3,FALSE),"")</f>
        <v>800</v>
      </c>
      <c r="E24" s="274">
        <f>_xlfn.IFNA(VLOOKUP(Tue_W2[[#This Row],[Employee Name]],'Base Schedules'!A:D,4,FALSE),"")</f>
        <v>1700</v>
      </c>
      <c r="F24" s="142">
        <f>IF(Tue_W2[[#This Row],[Employee Name]]="","",IF(Tue_W2[[#This Row],[Dept]]="Supervisor",COUNTIFS($J24:$AX24,"*HL*",$J24:$AX24,"&lt;&gt;"&amp;"pHL"),COUNTIFS($J24:$AX24,"*HL*",$J24:$AX24,"&lt;&gt;"&amp;"*pHL*",$J24:$AX24,"&lt;&gt;"&amp;"pB1 HL",$J24:$AX24,"&lt;&gt;"&amp;"pB2 HL")-SUM(COUNTIFS($J24:$AX24,"*HL B1*",$J24:$AX24,"&lt;&gt;"&amp;"pHL B1")*0.5,COUNTIFS($J24:$AX24,"*HL B2*",$J24:$AX24,"&lt;&gt;"&amp;"pHL B2")*0.5,COUNTIFS($J24:$AX24,"*B1 HL*",$J24:$AX24,"&lt;&gt;"&amp;"pB1 HL")*0.5,COUNTIFS($J24:$AX24,"*B2 HL*",$J24:$AX24,"&lt;&gt;"&amp;"pB2 HL")*0.5)))</f>
        <v>0</v>
      </c>
      <c r="G24" s="142">
        <f t="shared" si="0"/>
        <v>4</v>
      </c>
      <c r="H24" s="142">
        <f t="shared" si="1"/>
        <v>0</v>
      </c>
      <c r="I24" s="142">
        <f>IF(Tue_W2[[#This Row],[Employee Name]]="","",IF(Tue_W2[[#This Row],[Dept]]="Supervisor",SUM(COUNTIFS($J24:$AX24,"RTA*",$J24:$AX24,"&lt;&gt;"&amp;"pRTA"),COUNTIFS($J24:$AX24,"*CRTA*",$J24:$AX24,"&lt;&gt;"&amp;"pCRTA")),COUNTIFS($J24:$AX24,"*RNNR*",$J24:$AX24,"&lt;&gt;"&amp;"*pRNNR*",$J24:$AX24,"&lt;&gt;"&amp;"pB1 RNNR",$J24:$AX24,"&lt;&gt;"&amp;"pB2 RNNR")-SUM(COUNTIFS($J24:$AX24,"*RNNR B1*",$J24:$AX24,"&lt;&gt;"&amp;"pRNNR B1")*0.5,COUNTIFS($J24:$AX24,"*RNNR B2*",$J24:$AX24,"&lt;&gt;"&amp;"pRNNR B2")*0.5,COUNTIFS($J24:$AX24,"*B1 RNNR*",$J24:$AX24,"&lt;&gt;"&amp;"pB1 RNNR")*0.5,COUNTIFS($J24:$AX24,"*B2 RNNR*",$J24:$AX24,"&lt;&gt;"&amp;"pB2 RNNR")*0.5)))</f>
        <v>0</v>
      </c>
      <c r="J24" s="184" t="str">
        <f>IFERROR(IF(VLOOKUP(Tue_W2[[#This Row],[Employee Name]],'Base Schedules'!$A$160:$AW$203,9,FALSE)="","",VLOOKUP(Tue_W2[[#This Row],[Employee Name]],'Base Schedules'!$A$160:$AW$203,9,FALSE)),"")</f>
        <v/>
      </c>
      <c r="K24" s="184" t="str">
        <f>IFERROR(IF(VLOOKUP(Tue_W2[[#This Row],[Employee Name]],'Base Schedules'!$A$160:$AW$203,10,FALSE)="","",VLOOKUP(Tue_W2[[#This Row],[Employee Name]],'Base Schedules'!$A$160:$AW$203,10,FALSE)),"")</f>
        <v/>
      </c>
      <c r="L24" s="184" t="str">
        <f>IFERROR(IF(VLOOKUP(Tue_W2[[#This Row],[Employee Name]],'Base Schedules'!$A$160:$AW$203,11,FALSE)="","",VLOOKUP(Tue_W2[[#This Row],[Employee Name]],'Base Schedules'!$A$160:$AW$203,11,FALSE)),"")</f>
        <v/>
      </c>
      <c r="M24" s="184" t="str">
        <f>IFERROR(IF(VLOOKUP(Tue_W2[[#This Row],[Employee Name]],'Base Schedules'!$A$160:$AW$203,12,FALSE)="","",VLOOKUP(Tue_W2[[#This Row],[Employee Name]],'Base Schedules'!$A$160:$AW$203,12,FALSE)),"")</f>
        <v/>
      </c>
      <c r="N24" s="184" t="str">
        <f>IFERROR(IF(VLOOKUP(Tue_W2[[#This Row],[Employee Name]],'Base Schedules'!$A$160:$AW$203,13,FALSE)="","",VLOOKUP(Tue_W2[[#This Row],[Employee Name]],'Base Schedules'!$A$160:$AW$203,13,FALSE)),"")</f>
        <v/>
      </c>
      <c r="O24" s="184" t="str">
        <f>IFERROR(IF(VLOOKUP(Tue_W2[[#This Row],[Employee Name]],'Base Schedules'!$A$160:$AW$203,14,FALSE)="","",VLOOKUP(Tue_W2[[#This Row],[Employee Name]],'Base Schedules'!$A$160:$AW$203,14,FALSE)),"")</f>
        <v/>
      </c>
      <c r="P24" s="184" t="str">
        <f>IFERROR(IF(VLOOKUP(Tue_W2[[#This Row],[Employee Name]],'Base Schedules'!$A$160:$AW$203,15,FALSE)="","",VLOOKUP(Tue_W2[[#This Row],[Employee Name]],'Base Schedules'!$A$160:$AW$203,15,FALSE)),"")</f>
        <v>-</v>
      </c>
      <c r="Q24" s="184" t="str">
        <f>IFERROR(IF(VLOOKUP(Tue_W2[[#This Row],[Employee Name]],'Base Schedules'!$A$160:$AW$203,16,FALSE)="","",VLOOKUP(Tue_W2[[#This Row],[Employee Name]],'Base Schedules'!$A$160:$AW$203,16,FALSE)),"")</f>
        <v>-</v>
      </c>
      <c r="R24" s="184" t="str">
        <f>IFERROR(IF(VLOOKUP(Tue_W2[[#This Row],[Employee Name]],'Base Schedules'!$A$160:$AW$203,17,FALSE)="","",VLOOKUP(Tue_W2[[#This Row],[Employee Name]],'Base Schedules'!$A$160:$AW$203,17,FALSE)),"")</f>
        <v>Interview</v>
      </c>
      <c r="S24" s="184" t="str">
        <f>IFERROR(IF(VLOOKUP(Tue_W2[[#This Row],[Employee Name]],'Base Schedules'!$A$160:$AW$203,18,FALSE)="","",VLOOKUP(Tue_W2[[#This Row],[Employee Name]],'Base Schedules'!$A$160:$AW$203,18,FALSE)),"")</f>
        <v>Interview</v>
      </c>
      <c r="T24" s="184" t="str">
        <f>IFERROR(IF(VLOOKUP(Tue_W2[[#This Row],[Employee Name]],'Base Schedules'!$A$160:$AW$203,19,FALSE)="","",VLOOKUP(Tue_W2[[#This Row],[Employee Name]],'Base Schedules'!$A$160:$AW$203,19,FALSE)),"")</f>
        <v>-</v>
      </c>
      <c r="U24" s="184" t="str">
        <f>IFERROR(IF(VLOOKUP(Tue_W2[[#This Row],[Employee Name]],'Base Schedules'!$A$160:$AW$203,20,FALSE)="","",VLOOKUP(Tue_W2[[#This Row],[Employee Name]],'Base Schedules'!$A$160:$AW$203,20,FALSE)),"")</f>
        <v>-</v>
      </c>
      <c r="V24" s="184" t="str">
        <f>IFERROR(IF(VLOOKUP(Tue_W2[[#This Row],[Employee Name]],'Base Schedules'!$A$160:$AW$203,21,FALSE)="","",VLOOKUP(Tue_W2[[#This Row],[Employee Name]],'Base Schedules'!$A$160:$AW$203,21,FALSE)),"")</f>
        <v>-</v>
      </c>
      <c r="W24" s="184" t="str">
        <f>IFERROR(IF(VLOOKUP(Tue_W2[[#This Row],[Employee Name]],'Base Schedules'!$A$160:$AW$203,22,FALSE)="","",VLOOKUP(Tue_W2[[#This Row],[Employee Name]],'Base Schedules'!$A$160:$AW$203,22,FALSE)),"")</f>
        <v>-</v>
      </c>
      <c r="X24" s="184" t="str">
        <f>IFERROR(IF(VLOOKUP(Tue_W2[[#This Row],[Employee Name]],'Base Schedules'!$A$160:$AW$203,23,FALSE)="","",VLOOKUP(Tue_W2[[#This Row],[Employee Name]],'Base Schedules'!$A$160:$AW$203,23,FALSE)),"")</f>
        <v>-</v>
      </c>
      <c r="Y24" s="184" t="str">
        <f>IFERROR(IF(VLOOKUP(Tue_W2[[#This Row],[Employee Name]],'Base Schedules'!$A$160:$AW$203,24,FALSE)="","",VLOOKUP(Tue_W2[[#This Row],[Employee Name]],'Base Schedules'!$A$160:$AW$203,24,FALSE)),"")</f>
        <v>-</v>
      </c>
      <c r="Z24" s="184" t="str">
        <f>IFERROR(IF(VLOOKUP(Tue_W2[[#This Row],[Employee Name]],'Base Schedules'!$A$160:$AW$203,25,FALSE)="","",VLOOKUP(Tue_W2[[#This Row],[Employee Name]],'Base Schedules'!$A$160:$AW$203,25,FALSE)),"")</f>
        <v>-</v>
      </c>
      <c r="AA24" s="184" t="str">
        <f>IFERROR(IF(VLOOKUP(Tue_W2[[#This Row],[Employee Name]],'Base Schedules'!$A$160:$AW$203,26,FALSE)="","",VLOOKUP(Tue_W2[[#This Row],[Employee Name]],'Base Schedules'!$A$160:$AW$203,26,FALSE)),"")</f>
        <v>-</v>
      </c>
      <c r="AB24" s="184" t="str">
        <f>IFERROR(IF(VLOOKUP(Tue_W2[[#This Row],[Employee Name]],'Base Schedules'!$A$160:$AW$203,27,FALSE)="","",VLOOKUP(Tue_W2[[#This Row],[Employee Name]],'Base Schedules'!$A$160:$AW$203,27,FALSE)),"")</f>
        <v>-</v>
      </c>
      <c r="AC24" s="184" t="str">
        <f>IFERROR(IF(VLOOKUP(Tue_W2[[#This Row],[Employee Name]],'Base Schedules'!$A$160:$AW$203,28,FALSE)="","",VLOOKUP(Tue_W2[[#This Row],[Employee Name]],'Base Schedules'!$A$160:$AW$203,28,FALSE)),"")</f>
        <v>Coaching</v>
      </c>
      <c r="AD24" s="184" t="str">
        <f>IFERROR(IF(VLOOKUP(Tue_W2[[#This Row],[Employee Name]],'Base Schedules'!$A$160:$AW$203,29,FALSE)="","",VLOOKUP(Tue_W2[[#This Row],[Employee Name]],'Base Schedules'!$A$160:$AW$203,29,FALSE)),"")</f>
        <v>Coaching</v>
      </c>
      <c r="AE24" s="184" t="str">
        <f>IFERROR(IF(VLOOKUP(Tue_W2[[#This Row],[Employee Name]],'Base Schedules'!$A$160:$AW$203,30,FALSE)="","",VLOOKUP(Tue_W2[[#This Row],[Employee Name]],'Base Schedules'!$A$160:$AW$203,30,FALSE)),"")</f>
        <v>Coaching</v>
      </c>
      <c r="AF24" s="184" t="str">
        <f>IFERROR(IF(VLOOKUP(Tue_W2[[#This Row],[Employee Name]],'Base Schedules'!$A$160:$AW$203,31,FALSE)="","",VLOOKUP(Tue_W2[[#This Row],[Employee Name]],'Base Schedules'!$A$160:$AW$203,31,FALSE)),"")</f>
        <v>Coaching</v>
      </c>
      <c r="AG24" s="184" t="str">
        <f>IFERROR(IF(VLOOKUP(Tue_W2[[#This Row],[Employee Name]],'Base Schedules'!$A$160:$AW$203,32,FALSE)="","",VLOOKUP(Tue_W2[[#This Row],[Employee Name]],'Base Schedules'!$A$160:$AW$203,32,FALSE)),"")</f>
        <v>-</v>
      </c>
      <c r="AH24" s="184" t="str">
        <f>IFERROR(IF(VLOOKUP(Tue_W2[[#This Row],[Employee Name]],'Base Schedules'!$A$160:$AW$203,33,FALSE)="","",VLOOKUP(Tue_W2[[#This Row],[Employee Name]],'Base Schedules'!$A$160:$AW$203,33,FALSE)),"")</f>
        <v/>
      </c>
      <c r="AI24" s="184" t="str">
        <f>IFERROR(IF(VLOOKUP(Tue_W2[[#This Row],[Employee Name]],'Base Schedules'!$A$160:$AW$203,34,FALSE)="","",VLOOKUP(Tue_W2[[#This Row],[Employee Name]],'Base Schedules'!$A$160:$AW$203,34,FALSE)),"")</f>
        <v/>
      </c>
      <c r="AJ24" s="184" t="str">
        <f>IFERROR(IF(VLOOKUP(Tue_W2[[#This Row],[Employee Name]],'Base Schedules'!$A$160:$AW$203,35,FALSE)="","",VLOOKUP(Tue_W2[[#This Row],[Employee Name]],'Base Schedules'!$A$160:$AW$203,35,FALSE)),"")</f>
        <v/>
      </c>
      <c r="AK24" s="184" t="str">
        <f>IFERROR(IF(VLOOKUP(Tue_W2[[#This Row],[Employee Name]],'Base Schedules'!$A$160:$AW$203,36,FALSE)="","",VLOOKUP(Tue_W2[[#This Row],[Employee Name]],'Base Schedules'!$A$160:$AW$203,36,FALSE)),"")</f>
        <v/>
      </c>
      <c r="AL24" s="184" t="str">
        <f>IFERROR(IF(VLOOKUP(Tue_W2[[#This Row],[Employee Name]],'Base Schedules'!$A$160:$AW$203,37,FALSE)="","",VLOOKUP(Tue_W2[[#This Row],[Employee Name]],'Base Schedules'!$A$160:$AW$203,37,FALSE)),"")</f>
        <v/>
      </c>
      <c r="AM24" s="184" t="str">
        <f>IFERROR(IF(VLOOKUP(Tue_W2[[#This Row],[Employee Name]],'Base Schedules'!$A$160:$AW$203,38,FALSE)="","",VLOOKUP(Tue_W2[[#This Row],[Employee Name]],'Base Schedules'!$A$160:$AW$203,38,FALSE)),"")</f>
        <v/>
      </c>
      <c r="AN24" s="184" t="str">
        <f>IFERROR(IF(VLOOKUP(Tue_W2[[#This Row],[Employee Name]],'Base Schedules'!$A$160:$AW$203,39,FALSE)="","",VLOOKUP(Tue_W2[[#This Row],[Employee Name]],'Base Schedules'!$A$160:$AW$203,39,FALSE)),"")</f>
        <v/>
      </c>
      <c r="AO24" s="184" t="str">
        <f>IFERROR(IF(VLOOKUP(Tue_W2[[#This Row],[Employee Name]],'Base Schedules'!$A$160:$AW$203,40,FALSE)="","",VLOOKUP(Tue_W2[[#This Row],[Employee Name]],'Base Schedules'!$A$160:$AW$203,40,FALSE)),"")</f>
        <v/>
      </c>
      <c r="AP24" s="184" t="str">
        <f>IFERROR(IF(VLOOKUP(Tue_W2[[#This Row],[Employee Name]],'Base Schedules'!$A$160:$AW$203,41,FALSE)="","",VLOOKUP(Tue_W2[[#This Row],[Employee Name]],'Base Schedules'!$A$160:$AW$203,41,FALSE)),"")</f>
        <v/>
      </c>
      <c r="AQ24" s="184" t="str">
        <f>IFERROR(IF(VLOOKUP(Tue_W2[[#This Row],[Employee Name]],'Base Schedules'!$A$160:$AW$203,42,FALSE)="","",VLOOKUP(Tue_W2[[#This Row],[Employee Name]],'Base Schedules'!$A$160:$AW$203,42,FALSE)),"")</f>
        <v/>
      </c>
      <c r="AR24" s="184" t="str">
        <f>IFERROR(IF(VLOOKUP(Tue_W2[[#This Row],[Employee Name]],'Base Schedules'!$A$160:$AW$203,43,FALSE)="","",VLOOKUP(Tue_W2[[#This Row],[Employee Name]],'Base Schedules'!$A$160:$AW$203,43,FALSE)),"")</f>
        <v/>
      </c>
      <c r="AS24" s="184" t="str">
        <f>IFERROR(IF(VLOOKUP(Tue_W2[[#This Row],[Employee Name]],'Base Schedules'!$A$160:$AW$203,44,FALSE)="","",VLOOKUP(Tue_W2[[#This Row],[Employee Name]],'Base Schedules'!$A$160:$AW$203,44,FALSE)),"")</f>
        <v/>
      </c>
      <c r="AT24" s="184" t="str">
        <f>IFERROR(IF(VLOOKUP(Tue_W2[[#This Row],[Employee Name]],'Base Schedules'!$A$160:$AW$203,45,FALSE)="","",VLOOKUP(Tue_W2[[#This Row],[Employee Name]],'Base Schedules'!$A$160:$AW$203,45,FALSE)),"")</f>
        <v/>
      </c>
      <c r="AU24" s="184" t="str">
        <f>IFERROR(IF(VLOOKUP(Tue_W2[[#This Row],[Employee Name]],'Base Schedules'!$A$160:$AW$203,46,FALSE)="","",VLOOKUP(Tue_W2[[#This Row],[Employee Name]],'Base Schedules'!$A$160:$AW$203,46,FALSE)),"")</f>
        <v/>
      </c>
      <c r="AV24" s="184" t="str">
        <f>IFERROR(IF(VLOOKUP(Tue_W2[[#This Row],[Employee Name]],'Base Schedules'!$A$160:$AW$203,47,FALSE)="","",VLOOKUP(Tue_W2[[#This Row],[Employee Name]],'Base Schedules'!$A$160:$AW$203,47,FALSE)),"")</f>
        <v/>
      </c>
      <c r="AW24" s="184" t="str">
        <f>IFERROR(IF(VLOOKUP(Tue_W2[[#This Row],[Employee Name]],'Base Schedules'!$A$160:$AW$203,48,FALSE)="","",VLOOKUP(Tue_W2[[#This Row],[Employee Name]],'Base Schedules'!$A$160:$AW$203,48,FALSE)),"")</f>
        <v/>
      </c>
      <c r="AX24" s="184" t="str">
        <f>IFERROR(IF(VLOOKUP(Tue_W2[[#This Row],[Employee Name]],'Base Schedules'!$A$160:$AW$203,49,FALSE)="","",VLOOKUP(Tue_W2[[#This Row],[Employee Name]],'Base Schedules'!$A$160:$AW$203,49,FALSE)),"")</f>
        <v/>
      </c>
      <c r="AY24" s="160" t="str">
        <f t="shared" si="2"/>
        <v>Vasbinder, Ryan</v>
      </c>
    </row>
    <row r="25" spans="1:51" s="44" customFormat="1" ht="12" customHeight="1" x14ac:dyDescent="0.2">
      <c r="A25" s="39" t="str">
        <f>IF(B25="","",INDEX(TeamList[],MATCH($B25,TeamList[[Employee Name]:[Employee Name]],0),MATCH("Manager",TeamList[#Headers],0)))</f>
        <v>Ahmed Hassan, Zahra</v>
      </c>
      <c r="B25" s="201" t="s">
        <v>53</v>
      </c>
      <c r="C25" s="257" t="str">
        <f>_xlfn.IFNA(VLOOKUP(Tue_W2[[#This Row],[Employee Name]],'Base Schedules'!A:B,2,FALSE),"")</f>
        <v>Supervisor</v>
      </c>
      <c r="D25" s="274">
        <f>_xlfn.IFNA(VLOOKUP(Tue_W2[[#This Row],[Employee Name]],'Base Schedules'!A:C,3,FALSE),"")</f>
        <v>830</v>
      </c>
      <c r="E25" s="274">
        <f>_xlfn.IFNA(VLOOKUP(Tue_W2[[#This Row],[Employee Name]],'Base Schedules'!A:D,4,FALSE),"")</f>
        <v>1730</v>
      </c>
      <c r="F25" s="142">
        <f>IF(Tue_W2[[#This Row],[Employee Name]]="","",IF(Tue_W2[[#This Row],[Dept]]="Supervisor",COUNTIFS($J25:$AX25,"*HL*",$J25:$AX25,"&lt;&gt;"&amp;"pHL"),COUNTIFS($J25:$AX25,"*HL*",$J25:$AX25,"&lt;&gt;"&amp;"*pHL*",$J25:$AX25,"&lt;&gt;"&amp;"pB1 HL",$J25:$AX25,"&lt;&gt;"&amp;"pB2 HL")-SUM(COUNTIFS($J25:$AX25,"*HL B1*",$J25:$AX25,"&lt;&gt;"&amp;"pHL B1")*0.5,COUNTIFS($J25:$AX25,"*HL B2*",$J25:$AX25,"&lt;&gt;"&amp;"pHL B2")*0.5,COUNTIFS($J25:$AX25,"*B1 HL*",$J25:$AX25,"&lt;&gt;"&amp;"pB1 HL")*0.5,COUNTIFS($J25:$AX25,"*B2 HL*",$J25:$AX25,"&lt;&gt;"&amp;"pB2 HL")*0.5)))</f>
        <v>0</v>
      </c>
      <c r="G25" s="142">
        <f t="shared" si="0"/>
        <v>5</v>
      </c>
      <c r="H25" s="142">
        <f t="shared" si="1"/>
        <v>0</v>
      </c>
      <c r="I25" s="142">
        <f>IF(Tue_W2[[#This Row],[Employee Name]]="","",IF(Tue_W2[[#This Row],[Dept]]="Supervisor",SUM(COUNTIFS($J25:$AX25,"RTA*",$J25:$AX25,"&lt;&gt;"&amp;"pRTA"),COUNTIFS($J25:$AX25,"*CRTA*",$J25:$AX25,"&lt;&gt;"&amp;"pCRTA")),COUNTIFS($J25:$AX25,"*RNNR*",$J25:$AX25,"&lt;&gt;"&amp;"*pRNNR*",$J25:$AX25,"&lt;&gt;"&amp;"pB1 RNNR",$J25:$AX25,"&lt;&gt;"&amp;"pB2 RNNR")-SUM(COUNTIFS($J25:$AX25,"*RNNR B1*",$J25:$AX25,"&lt;&gt;"&amp;"pRNNR B1")*0.5,COUNTIFS($J25:$AX25,"*RNNR B2*",$J25:$AX25,"&lt;&gt;"&amp;"pRNNR B2")*0.5,COUNTIFS($J25:$AX25,"*B1 RNNR*",$J25:$AX25,"&lt;&gt;"&amp;"pB1 RNNR")*0.5,COUNTIFS($J25:$AX25,"*B2 RNNR*",$J25:$AX25,"&lt;&gt;"&amp;"pB2 RNNR")*0.5)))</f>
        <v>0</v>
      </c>
      <c r="J25" s="184" t="str">
        <f>IFERROR(IF(VLOOKUP(Tue_W2[[#This Row],[Employee Name]],'Base Schedules'!$A$160:$AW$203,9,FALSE)="","",VLOOKUP(Tue_W2[[#This Row],[Employee Name]],'Base Schedules'!$A$160:$AW$203,9,FALSE)),"")</f>
        <v/>
      </c>
      <c r="K25" s="184" t="str">
        <f>IFERROR(IF(VLOOKUP(Tue_W2[[#This Row],[Employee Name]],'Base Schedules'!$A$160:$AW$203,10,FALSE)="","",VLOOKUP(Tue_W2[[#This Row],[Employee Name]],'Base Schedules'!$A$160:$AW$203,10,FALSE)),"")</f>
        <v/>
      </c>
      <c r="L25" s="184" t="str">
        <f>IFERROR(IF(VLOOKUP(Tue_W2[[#This Row],[Employee Name]],'Base Schedules'!$A$160:$AW$203,11,FALSE)="","",VLOOKUP(Tue_W2[[#This Row],[Employee Name]],'Base Schedules'!$A$160:$AW$203,11,FALSE)),"")</f>
        <v/>
      </c>
      <c r="M25" s="184" t="str">
        <f>IFERROR(IF(VLOOKUP(Tue_W2[[#This Row],[Employee Name]],'Base Schedules'!$A$160:$AW$203,12,FALSE)="","",VLOOKUP(Tue_W2[[#This Row],[Employee Name]],'Base Schedules'!$A$160:$AW$203,12,FALSE)),"")</f>
        <v/>
      </c>
      <c r="N25" s="184" t="str">
        <f>IFERROR(IF(VLOOKUP(Tue_W2[[#This Row],[Employee Name]],'Base Schedules'!$A$160:$AW$203,13,FALSE)="","",VLOOKUP(Tue_W2[[#This Row],[Employee Name]],'Base Schedules'!$A$160:$AW$203,13,FALSE)),"")</f>
        <v/>
      </c>
      <c r="O25" s="184" t="str">
        <f>IFERROR(IF(VLOOKUP(Tue_W2[[#This Row],[Employee Name]],'Base Schedules'!$A$160:$AW$203,14,FALSE)="","",VLOOKUP(Tue_W2[[#This Row],[Employee Name]],'Base Schedules'!$A$160:$AW$203,14,FALSE)),"")</f>
        <v/>
      </c>
      <c r="P25" s="184" t="str">
        <f>IFERROR(IF(VLOOKUP(Tue_W2[[#This Row],[Employee Name]],'Base Schedules'!$A$160:$AW$203,15,FALSE)="","",VLOOKUP(Tue_W2[[#This Row],[Employee Name]],'Base Schedules'!$A$160:$AW$203,15,FALSE)),"")</f>
        <v/>
      </c>
      <c r="Q25" s="184" t="str">
        <f>IFERROR(IF(VLOOKUP(Tue_W2[[#This Row],[Employee Name]],'Base Schedules'!$A$160:$AW$203,16,FALSE)="","",VLOOKUP(Tue_W2[[#This Row],[Employee Name]],'Base Schedules'!$A$160:$AW$203,16,FALSE)),"")</f>
        <v>-</v>
      </c>
      <c r="R25" s="184" t="str">
        <f>IFERROR(IF(VLOOKUP(Tue_W2[[#This Row],[Employee Name]],'Base Schedules'!$A$160:$AW$203,17,FALSE)="","",VLOOKUP(Tue_W2[[#This Row],[Employee Name]],'Base Schedules'!$A$160:$AW$203,17,FALSE)),"")</f>
        <v>-</v>
      </c>
      <c r="S25" s="184" t="str">
        <f>IFERROR(IF(VLOOKUP(Tue_W2[[#This Row],[Employee Name]],'Base Schedules'!$A$160:$AW$203,18,FALSE)="","",VLOOKUP(Tue_W2[[#This Row],[Employee Name]],'Base Schedules'!$A$160:$AW$203,18,FALSE)),"")</f>
        <v>-</v>
      </c>
      <c r="T25" s="184" t="str">
        <f>IFERROR(IF(VLOOKUP(Tue_W2[[#This Row],[Employee Name]],'Base Schedules'!$A$160:$AW$203,19,FALSE)="","",VLOOKUP(Tue_W2[[#This Row],[Employee Name]],'Base Schedules'!$A$160:$AW$203,19,FALSE)),"")</f>
        <v>Interview</v>
      </c>
      <c r="U25" s="184" t="str">
        <f>IFERROR(IF(VLOOKUP(Tue_W2[[#This Row],[Employee Name]],'Base Schedules'!$A$160:$AW$203,20,FALSE)="","",VLOOKUP(Tue_W2[[#This Row],[Employee Name]],'Base Schedules'!$A$160:$AW$203,20,FALSE)),"")</f>
        <v>Interview</v>
      </c>
      <c r="V25" s="184" t="str">
        <f>IFERROR(IF(VLOOKUP(Tue_W2[[#This Row],[Employee Name]],'Base Schedules'!$A$160:$AW$203,21,FALSE)="","",VLOOKUP(Tue_W2[[#This Row],[Employee Name]],'Base Schedules'!$A$160:$AW$203,21,FALSE)),"")</f>
        <v>-</v>
      </c>
      <c r="W25" s="184" t="str">
        <f>IFERROR(IF(VLOOKUP(Tue_W2[[#This Row],[Employee Name]],'Base Schedules'!$A$160:$AW$203,22,FALSE)="","",VLOOKUP(Tue_W2[[#This Row],[Employee Name]],'Base Schedules'!$A$160:$AW$203,22,FALSE)),"")</f>
        <v>-</v>
      </c>
      <c r="X25" s="184" t="str">
        <f>IFERROR(IF(VLOOKUP(Tue_W2[[#This Row],[Employee Name]],'Base Schedules'!$A$160:$AW$203,23,FALSE)="","",VLOOKUP(Tue_W2[[#This Row],[Employee Name]],'Base Schedules'!$A$160:$AW$203,23,FALSE)),"")</f>
        <v>-</v>
      </c>
      <c r="Y25" s="184" t="str">
        <f>IFERROR(IF(VLOOKUP(Tue_W2[[#This Row],[Employee Name]],'Base Schedules'!$A$160:$AW$203,24,FALSE)="","",VLOOKUP(Tue_W2[[#This Row],[Employee Name]],'Base Schedules'!$A$160:$AW$203,24,FALSE)),"")</f>
        <v>-</v>
      </c>
      <c r="Z25" s="184" t="str">
        <f>IFERROR(IF(VLOOKUP(Tue_W2[[#This Row],[Employee Name]],'Base Schedules'!$A$160:$AW$203,25,FALSE)="","",VLOOKUP(Tue_W2[[#This Row],[Employee Name]],'Base Schedules'!$A$160:$AW$203,25,FALSE)),"")</f>
        <v>-</v>
      </c>
      <c r="AA25" s="184" t="str">
        <f>IFERROR(IF(VLOOKUP(Tue_W2[[#This Row],[Employee Name]],'Base Schedules'!$A$160:$AW$203,26,FALSE)="","",VLOOKUP(Tue_W2[[#This Row],[Employee Name]],'Base Schedules'!$A$160:$AW$203,26,FALSE)),"")</f>
        <v>-</v>
      </c>
      <c r="AB25" s="184" t="str">
        <f>IFERROR(IF(VLOOKUP(Tue_W2[[#This Row],[Employee Name]],'Base Schedules'!$A$160:$AW$203,27,FALSE)="","",VLOOKUP(Tue_W2[[#This Row],[Employee Name]],'Base Schedules'!$A$160:$AW$203,27,FALSE)),"")</f>
        <v>-</v>
      </c>
      <c r="AC25" s="184" t="str">
        <f>IFERROR(IF(VLOOKUP(Tue_W2[[#This Row],[Employee Name]],'Base Schedules'!$A$160:$AW$203,28,FALSE)="","",VLOOKUP(Tue_W2[[#This Row],[Employee Name]],'Base Schedules'!$A$160:$AW$203,28,FALSE)),"")</f>
        <v>-</v>
      </c>
      <c r="AD25" s="184" t="str">
        <f>IFERROR(IF(VLOOKUP(Tue_W2[[#This Row],[Employee Name]],'Base Schedules'!$A$160:$AW$203,29,FALSE)="","",VLOOKUP(Tue_W2[[#This Row],[Employee Name]],'Base Schedules'!$A$160:$AW$203,29,FALSE)),"")</f>
        <v>Coaching</v>
      </c>
      <c r="AE25" s="184" t="str">
        <f>IFERROR(IF(VLOOKUP(Tue_W2[[#This Row],[Employee Name]],'Base Schedules'!$A$160:$AW$203,30,FALSE)="","",VLOOKUP(Tue_W2[[#This Row],[Employee Name]],'Base Schedules'!$A$160:$AW$203,30,FALSE)),"")</f>
        <v>Coaching</v>
      </c>
      <c r="AF25" s="184" t="str">
        <f>IFERROR(IF(VLOOKUP(Tue_W2[[#This Row],[Employee Name]],'Base Schedules'!$A$160:$AW$203,31,FALSE)="","",VLOOKUP(Tue_W2[[#This Row],[Employee Name]],'Base Schedules'!$A$160:$AW$203,31,FALSE)),"")</f>
        <v>Coaching</v>
      </c>
      <c r="AG25" s="184" t="str">
        <f>IFERROR(IF(VLOOKUP(Tue_W2[[#This Row],[Employee Name]],'Base Schedules'!$A$160:$AW$203,32,FALSE)="","",VLOOKUP(Tue_W2[[#This Row],[Employee Name]],'Base Schedules'!$A$160:$AW$203,32,FALSE)),"")</f>
        <v>Coaching</v>
      </c>
      <c r="AH25" s="184" t="str">
        <f>IFERROR(IF(VLOOKUP(Tue_W2[[#This Row],[Employee Name]],'Base Schedules'!$A$160:$AW$203,33,FALSE)="","",VLOOKUP(Tue_W2[[#This Row],[Employee Name]],'Base Schedules'!$A$160:$AW$203,33,FALSE)),"")</f>
        <v>Coaching</v>
      </c>
      <c r="AI25" s="184" t="str">
        <f>IFERROR(IF(VLOOKUP(Tue_W2[[#This Row],[Employee Name]],'Base Schedules'!$A$160:$AW$203,34,FALSE)="","",VLOOKUP(Tue_W2[[#This Row],[Employee Name]],'Base Schedules'!$A$160:$AW$203,34,FALSE)),"")</f>
        <v/>
      </c>
      <c r="AJ25" s="184" t="str">
        <f>IFERROR(IF(VLOOKUP(Tue_W2[[#This Row],[Employee Name]],'Base Schedules'!$A$160:$AW$203,35,FALSE)="","",VLOOKUP(Tue_W2[[#This Row],[Employee Name]],'Base Schedules'!$A$160:$AW$203,35,FALSE)),"")</f>
        <v/>
      </c>
      <c r="AK25" s="184" t="str">
        <f>IFERROR(IF(VLOOKUP(Tue_W2[[#This Row],[Employee Name]],'Base Schedules'!$A$160:$AW$203,36,FALSE)="","",VLOOKUP(Tue_W2[[#This Row],[Employee Name]],'Base Schedules'!$A$160:$AW$203,36,FALSE)),"")</f>
        <v/>
      </c>
      <c r="AL25" s="184" t="str">
        <f>IFERROR(IF(VLOOKUP(Tue_W2[[#This Row],[Employee Name]],'Base Schedules'!$A$160:$AW$203,37,FALSE)="","",VLOOKUP(Tue_W2[[#This Row],[Employee Name]],'Base Schedules'!$A$160:$AW$203,37,FALSE)),"")</f>
        <v/>
      </c>
      <c r="AM25" s="184" t="str">
        <f>IFERROR(IF(VLOOKUP(Tue_W2[[#This Row],[Employee Name]],'Base Schedules'!$A$160:$AW$203,38,FALSE)="","",VLOOKUP(Tue_W2[[#This Row],[Employee Name]],'Base Schedules'!$A$160:$AW$203,38,FALSE)),"")</f>
        <v/>
      </c>
      <c r="AN25" s="184" t="str">
        <f>IFERROR(IF(VLOOKUP(Tue_W2[[#This Row],[Employee Name]],'Base Schedules'!$A$160:$AW$203,39,FALSE)="","",VLOOKUP(Tue_W2[[#This Row],[Employee Name]],'Base Schedules'!$A$160:$AW$203,39,FALSE)),"")</f>
        <v/>
      </c>
      <c r="AO25" s="184" t="str">
        <f>IFERROR(IF(VLOOKUP(Tue_W2[[#This Row],[Employee Name]],'Base Schedules'!$A$160:$AW$203,40,FALSE)="","",VLOOKUP(Tue_W2[[#This Row],[Employee Name]],'Base Schedules'!$A$160:$AW$203,40,FALSE)),"")</f>
        <v/>
      </c>
      <c r="AP25" s="184" t="str">
        <f>IFERROR(IF(VLOOKUP(Tue_W2[[#This Row],[Employee Name]],'Base Schedules'!$A$160:$AW$203,41,FALSE)="","",VLOOKUP(Tue_W2[[#This Row],[Employee Name]],'Base Schedules'!$A$160:$AW$203,41,FALSE)),"")</f>
        <v/>
      </c>
      <c r="AQ25" s="184" t="str">
        <f>IFERROR(IF(VLOOKUP(Tue_W2[[#This Row],[Employee Name]],'Base Schedules'!$A$160:$AW$203,42,FALSE)="","",VLOOKUP(Tue_W2[[#This Row],[Employee Name]],'Base Schedules'!$A$160:$AW$203,42,FALSE)),"")</f>
        <v/>
      </c>
      <c r="AR25" s="184" t="str">
        <f>IFERROR(IF(VLOOKUP(Tue_W2[[#This Row],[Employee Name]],'Base Schedules'!$A$160:$AW$203,43,FALSE)="","",VLOOKUP(Tue_W2[[#This Row],[Employee Name]],'Base Schedules'!$A$160:$AW$203,43,FALSE)),"")</f>
        <v/>
      </c>
      <c r="AS25" s="184" t="str">
        <f>IFERROR(IF(VLOOKUP(Tue_W2[[#This Row],[Employee Name]],'Base Schedules'!$A$160:$AW$203,44,FALSE)="","",VLOOKUP(Tue_W2[[#This Row],[Employee Name]],'Base Schedules'!$A$160:$AW$203,44,FALSE)),"")</f>
        <v/>
      </c>
      <c r="AT25" s="184" t="str">
        <f>IFERROR(IF(VLOOKUP(Tue_W2[[#This Row],[Employee Name]],'Base Schedules'!$A$160:$AW$203,45,FALSE)="","",VLOOKUP(Tue_W2[[#This Row],[Employee Name]],'Base Schedules'!$A$160:$AW$203,45,FALSE)),"")</f>
        <v/>
      </c>
      <c r="AU25" s="184" t="str">
        <f>IFERROR(IF(VLOOKUP(Tue_W2[[#This Row],[Employee Name]],'Base Schedules'!$A$160:$AW$203,46,FALSE)="","",VLOOKUP(Tue_W2[[#This Row],[Employee Name]],'Base Schedules'!$A$160:$AW$203,46,FALSE)),"")</f>
        <v/>
      </c>
      <c r="AV25" s="184" t="str">
        <f>IFERROR(IF(VLOOKUP(Tue_W2[[#This Row],[Employee Name]],'Base Schedules'!$A$160:$AW$203,47,FALSE)="","",VLOOKUP(Tue_W2[[#This Row],[Employee Name]],'Base Schedules'!$A$160:$AW$203,47,FALSE)),"")</f>
        <v/>
      </c>
      <c r="AW25" s="184" t="str">
        <f>IFERROR(IF(VLOOKUP(Tue_W2[[#This Row],[Employee Name]],'Base Schedules'!$A$160:$AW$203,48,FALSE)="","",VLOOKUP(Tue_W2[[#This Row],[Employee Name]],'Base Schedules'!$A$160:$AW$203,48,FALSE)),"")</f>
        <v/>
      </c>
      <c r="AX25" s="184" t="str">
        <f>IFERROR(IF(VLOOKUP(Tue_W2[[#This Row],[Employee Name]],'Base Schedules'!$A$160:$AW$203,49,FALSE)="","",VLOOKUP(Tue_W2[[#This Row],[Employee Name]],'Base Schedules'!$A$160:$AW$203,49,FALSE)),"")</f>
        <v/>
      </c>
      <c r="AY25" s="159" t="str">
        <f t="shared" si="2"/>
        <v>Stevens, Amanda</v>
      </c>
    </row>
    <row r="26" spans="1:51" s="44" customFormat="1" ht="12" customHeight="1" x14ac:dyDescent="0.2">
      <c r="A26" s="39" t="str">
        <f>IF(B26="","",INDEX(TeamList[],MATCH($B26,TeamList[[Employee Name]:[Employee Name]],0),MATCH("Manager",TeamList[#Headers],0)))</f>
        <v>Olson, Katherine</v>
      </c>
      <c r="B26" s="201" t="s">
        <v>231</v>
      </c>
      <c r="C26" s="257" t="str">
        <f>_xlfn.IFNA(VLOOKUP(Tue_W2[[#This Row],[Employee Name]],'Base Schedules'!A:B,2,FALSE),"")</f>
        <v>Lead</v>
      </c>
      <c r="D26" s="274">
        <f>_xlfn.IFNA(VLOOKUP(Tue_W2[[#This Row],[Employee Name]],'Base Schedules'!A:C,3,FALSE),"")</f>
        <v>900</v>
      </c>
      <c r="E26" s="274">
        <f>_xlfn.IFNA(VLOOKUP(Tue_W2[[#This Row],[Employee Name]],'Base Schedules'!A:D,4,FALSE),"")</f>
        <v>1730</v>
      </c>
      <c r="F26" s="142">
        <f>IF(Tue_W2[[#This Row],[Employee Name]]="","",IF(Tue_W2[[#This Row],[Dept]]="Supervisor",COUNTIFS($J26:$AX26,"*HL*",$J26:$AX26,"&lt;&gt;"&amp;"pHL"),COUNTIFS($J26:$AX26,"*HL*",$J26:$AX26,"&lt;&gt;"&amp;"*pHL*",$J26:$AX26,"&lt;&gt;"&amp;"pB1 HL",$J26:$AX26,"&lt;&gt;"&amp;"pB2 HL")-SUM(COUNTIFS($J26:$AX26,"*HL B1*",$J26:$AX26,"&lt;&gt;"&amp;"pHL B1")*0.5,COUNTIFS($J26:$AX26,"*HL B2*",$J26:$AX26,"&lt;&gt;"&amp;"pHL B2")*0.5,COUNTIFS($J26:$AX26,"*B1 HL*",$J26:$AX26,"&lt;&gt;"&amp;"pB1 HL")*0.5,COUNTIFS($J26:$AX26,"*B2 HL*",$J26:$AX26,"&lt;&gt;"&amp;"pB2 HL")*0.5)))</f>
        <v>6.5</v>
      </c>
      <c r="G26" s="142">
        <f t="shared" si="0"/>
        <v>0</v>
      </c>
      <c r="H26" s="142">
        <f t="shared" si="1"/>
        <v>9</v>
      </c>
      <c r="I26" s="142">
        <f>IF(Tue_W2[[#This Row],[Employee Name]]="","",IF(Tue_W2[[#This Row],[Dept]]="Supervisor",SUM(COUNTIFS($J26:$AX26,"RTA*",$J26:$AX26,"&lt;&gt;"&amp;"pRTA"),COUNTIFS($J26:$AX26,"*CRTA*",$J26:$AX26,"&lt;&gt;"&amp;"pCRTA")),COUNTIFS($J26:$AX26,"*RNNR*",$J26:$AX26,"&lt;&gt;"&amp;"*pRNNR*",$J26:$AX26,"&lt;&gt;"&amp;"pB1 RNNR",$J26:$AX26,"&lt;&gt;"&amp;"pB2 RNNR")-SUM(COUNTIFS($J26:$AX26,"*RNNR B1*",$J26:$AX26,"&lt;&gt;"&amp;"pRNNR B1")*0.5,COUNTIFS($J26:$AX26,"*RNNR B2*",$J26:$AX26,"&lt;&gt;"&amp;"pRNNR B2")*0.5,COUNTIFS($J26:$AX26,"*B1 RNNR*",$J26:$AX26,"&lt;&gt;"&amp;"pB1 RNNR")*0.5,COUNTIFS($J26:$AX26,"*B2 RNNR*",$J26:$AX26,"&lt;&gt;"&amp;"pB2 RNNR")*0.5)))</f>
        <v>0</v>
      </c>
      <c r="J26" s="184" t="str">
        <f>IFERROR(IF(VLOOKUP(Tue_W2[[#This Row],[Employee Name]],'Base Schedules'!$A$160:$AW$203,9,FALSE)="","",VLOOKUP(Tue_W2[[#This Row],[Employee Name]],'Base Schedules'!$A$160:$AW$203,9,FALSE)),"")</f>
        <v/>
      </c>
      <c r="K26" s="184" t="str">
        <f>IFERROR(IF(VLOOKUP(Tue_W2[[#This Row],[Employee Name]],'Base Schedules'!$A$160:$AW$203,10,FALSE)="","",VLOOKUP(Tue_W2[[#This Row],[Employee Name]],'Base Schedules'!$A$160:$AW$203,10,FALSE)),"")</f>
        <v/>
      </c>
      <c r="L26" s="184" t="str">
        <f>IFERROR(IF(VLOOKUP(Tue_W2[[#This Row],[Employee Name]],'Base Schedules'!$A$160:$AW$203,11,FALSE)="","",VLOOKUP(Tue_W2[[#This Row],[Employee Name]],'Base Schedules'!$A$160:$AW$203,11,FALSE)),"")</f>
        <v/>
      </c>
      <c r="M26" s="184" t="str">
        <f>IFERROR(IF(VLOOKUP(Tue_W2[[#This Row],[Employee Name]],'Base Schedules'!$A$160:$AW$203,12,FALSE)="","",VLOOKUP(Tue_W2[[#This Row],[Employee Name]],'Base Schedules'!$A$160:$AW$203,12,FALSE)),"")</f>
        <v/>
      </c>
      <c r="N26" s="184" t="str">
        <f>IFERROR(IF(VLOOKUP(Tue_W2[[#This Row],[Employee Name]],'Base Schedules'!$A$160:$AW$203,13,FALSE)="","",VLOOKUP(Tue_W2[[#This Row],[Employee Name]],'Base Schedules'!$A$160:$AW$203,13,FALSE)),"")</f>
        <v/>
      </c>
      <c r="O26" s="184" t="str">
        <f>IFERROR(IF(VLOOKUP(Tue_W2[[#This Row],[Employee Name]],'Base Schedules'!$A$160:$AW$203,14,FALSE)="","",VLOOKUP(Tue_W2[[#This Row],[Employee Name]],'Base Schedules'!$A$160:$AW$203,14,FALSE)),"")</f>
        <v/>
      </c>
      <c r="P26" s="184" t="str">
        <f>IFERROR(IF(VLOOKUP(Tue_W2[[#This Row],[Employee Name]],'Base Schedules'!$A$160:$AW$203,15,FALSE)="","",VLOOKUP(Tue_W2[[#This Row],[Employee Name]],'Base Schedules'!$A$160:$AW$203,15,FALSE)),"")</f>
        <v/>
      </c>
      <c r="Q26" s="184" t="str">
        <f>IFERROR(IF(VLOOKUP(Tue_W2[[#This Row],[Employee Name]],'Base Schedules'!$A$160:$AW$203,16,FALSE)="","",VLOOKUP(Tue_W2[[#This Row],[Employee Name]],'Base Schedules'!$A$160:$AW$203,16,FALSE)),"")</f>
        <v/>
      </c>
      <c r="R26" s="184" t="str">
        <f>IFERROR(IF(VLOOKUP(Tue_W2[[#This Row],[Employee Name]],'Base Schedules'!$A$160:$AW$203,17,FALSE)="","",VLOOKUP(Tue_W2[[#This Row],[Employee Name]],'Base Schedules'!$A$160:$AW$203,17,FALSE)),"")</f>
        <v>HL</v>
      </c>
      <c r="S26" s="184" t="str">
        <f>IFERROR(IF(VLOOKUP(Tue_W2[[#This Row],[Employee Name]],'Base Schedules'!$A$160:$AW$203,18,FALSE)="","",VLOOKUP(Tue_W2[[#This Row],[Employee Name]],'Base Schedules'!$A$160:$AW$203,18,FALSE)),"")</f>
        <v>HL</v>
      </c>
      <c r="T26" s="184" t="str">
        <f>IFERROR(IF(VLOOKUP(Tue_W2[[#This Row],[Employee Name]],'Base Schedules'!$A$160:$AW$203,19,FALSE)="","",VLOOKUP(Tue_W2[[#This Row],[Employee Name]],'Base Schedules'!$A$160:$AW$203,19,FALSE)),"")</f>
        <v>HL</v>
      </c>
      <c r="U26" s="184" t="str">
        <f>IFERROR(IF(VLOOKUP(Tue_W2[[#This Row],[Employee Name]],'Base Schedules'!$A$160:$AW$203,20,FALSE)="","",VLOOKUP(Tue_W2[[#This Row],[Employee Name]],'Base Schedules'!$A$160:$AW$203,20,FALSE)),"")</f>
        <v>HL B1</v>
      </c>
      <c r="V26" s="184" t="str">
        <f>IFERROR(IF(VLOOKUP(Tue_W2[[#This Row],[Employee Name]],'Base Schedules'!$A$160:$AW$203,21,FALSE)="","",VLOOKUP(Tue_W2[[#This Row],[Employee Name]],'Base Schedules'!$A$160:$AW$203,21,FALSE)),"")</f>
        <v>HL</v>
      </c>
      <c r="W26" s="184" t="str">
        <f>IFERROR(IF(VLOOKUP(Tue_W2[[#This Row],[Employee Name]],'Base Schedules'!$A$160:$AW$203,22,FALSE)="","",VLOOKUP(Tue_W2[[#This Row],[Employee Name]],'Base Schedules'!$A$160:$AW$203,22,FALSE)),"")</f>
        <v>HL</v>
      </c>
      <c r="X26" s="184" t="str">
        <f>IFERROR(IF(VLOOKUP(Tue_W2[[#This Row],[Employee Name]],'Base Schedules'!$A$160:$AW$203,23,FALSE)="","",VLOOKUP(Tue_W2[[#This Row],[Employee Name]],'Base Schedules'!$A$160:$AW$203,23,FALSE)),"")</f>
        <v>ADM</v>
      </c>
      <c r="Y26" s="184" t="str">
        <f>IFERROR(IF(VLOOKUP(Tue_W2[[#This Row],[Employee Name]],'Base Schedules'!$A$160:$AW$203,24,FALSE)="","",VLOOKUP(Tue_W2[[#This Row],[Employee Name]],'Base Schedules'!$A$160:$AW$203,24,FALSE)),"")</f>
        <v>ADM</v>
      </c>
      <c r="Z26" s="184" t="str">
        <f>IFERROR(IF(VLOOKUP(Tue_W2[[#This Row],[Employee Name]],'Base Schedules'!$A$160:$AW$203,25,FALSE)="","",VLOOKUP(Tue_W2[[#This Row],[Employee Name]],'Base Schedules'!$A$160:$AW$203,25,FALSE)),"")</f>
        <v>LUNCH</v>
      </c>
      <c r="AA26" s="184" t="str">
        <f>IFERROR(IF(VLOOKUP(Tue_W2[[#This Row],[Employee Name]],'Base Schedules'!$A$160:$AW$203,26,FALSE)="","",VLOOKUP(Tue_W2[[#This Row],[Employee Name]],'Base Schedules'!$A$160:$AW$203,26,FALSE)),"")</f>
        <v>ADM</v>
      </c>
      <c r="AB26" s="184" t="str">
        <f>IFERROR(IF(VLOOKUP(Tue_W2[[#This Row],[Employee Name]],'Base Schedules'!$A$160:$AW$203,27,FALSE)="","",VLOOKUP(Tue_W2[[#This Row],[Employee Name]],'Base Schedules'!$A$160:$AW$203,27,FALSE)),"")</f>
        <v>ADM</v>
      </c>
      <c r="AC26" s="184" t="str">
        <f>IFERROR(IF(VLOOKUP(Tue_W2[[#This Row],[Employee Name]],'Base Schedules'!$A$160:$AW$203,28,FALSE)="","",VLOOKUP(Tue_W2[[#This Row],[Employee Name]],'Base Schedules'!$A$160:$AW$203,28,FALSE)),"")</f>
        <v>ADM</v>
      </c>
      <c r="AD26" s="184" t="str">
        <f>IFERROR(IF(VLOOKUP(Tue_W2[[#This Row],[Employee Name]],'Base Schedules'!$A$160:$AW$203,29,FALSE)="","",VLOOKUP(Tue_W2[[#This Row],[Employee Name]],'Base Schedules'!$A$160:$AW$203,29,FALSE)),"")</f>
        <v>HL</v>
      </c>
      <c r="AE26" s="184" t="str">
        <f>IFERROR(IF(VLOOKUP(Tue_W2[[#This Row],[Employee Name]],'Base Schedules'!$A$160:$AW$203,30,FALSE)="","",VLOOKUP(Tue_W2[[#This Row],[Employee Name]],'Base Schedules'!$A$160:$AW$203,30,FALSE)),"")</f>
        <v>B2 ADM</v>
      </c>
      <c r="AF26" s="184" t="str">
        <f>IFERROR(IF(VLOOKUP(Tue_W2[[#This Row],[Employee Name]],'Base Schedules'!$A$160:$AW$203,31,FALSE)="","",VLOOKUP(Tue_W2[[#This Row],[Employee Name]],'Base Schedules'!$A$160:$AW$203,31,FALSE)),"")</f>
        <v>ADM</v>
      </c>
      <c r="AG26" s="184" t="str">
        <f>IFERROR(IF(VLOOKUP(Tue_W2[[#This Row],[Employee Name]],'Base Schedules'!$A$160:$AW$203,32,FALSE)="","",VLOOKUP(Tue_W2[[#This Row],[Employee Name]],'Base Schedules'!$A$160:$AW$203,32,FALSE)),"")</f>
        <v>ADM</v>
      </c>
      <c r="AH26" s="184" t="str">
        <f>IFERROR(IF(VLOOKUP(Tue_W2[[#This Row],[Employee Name]],'Base Schedules'!$A$160:$AW$203,33,FALSE)="","",VLOOKUP(Tue_W2[[#This Row],[Employee Name]],'Base Schedules'!$A$160:$AW$203,33,FALSE)),"")</f>
        <v>ADM</v>
      </c>
      <c r="AI26" s="184" t="str">
        <f>IFERROR(IF(VLOOKUP(Tue_W2[[#This Row],[Employee Name]],'Base Schedules'!$A$160:$AW$203,34,FALSE)="","",VLOOKUP(Tue_W2[[#This Row],[Employee Name]],'Base Schedules'!$A$160:$AW$203,34,FALSE)),"")</f>
        <v/>
      </c>
      <c r="AJ26" s="184" t="str">
        <f>IFERROR(IF(VLOOKUP(Tue_W2[[#This Row],[Employee Name]],'Base Schedules'!$A$160:$AW$203,35,FALSE)="","",VLOOKUP(Tue_W2[[#This Row],[Employee Name]],'Base Schedules'!$A$160:$AW$203,35,FALSE)),"")</f>
        <v/>
      </c>
      <c r="AK26" s="184" t="str">
        <f>IFERROR(IF(VLOOKUP(Tue_W2[[#This Row],[Employee Name]],'Base Schedules'!$A$160:$AW$203,36,FALSE)="","",VLOOKUP(Tue_W2[[#This Row],[Employee Name]],'Base Schedules'!$A$160:$AW$203,36,FALSE)),"")</f>
        <v/>
      </c>
      <c r="AL26" s="184" t="str">
        <f>IFERROR(IF(VLOOKUP(Tue_W2[[#This Row],[Employee Name]],'Base Schedules'!$A$160:$AW$203,37,FALSE)="","",VLOOKUP(Tue_W2[[#This Row],[Employee Name]],'Base Schedules'!$A$160:$AW$203,37,FALSE)),"")</f>
        <v/>
      </c>
      <c r="AM26" s="184" t="str">
        <f>IFERROR(IF(VLOOKUP(Tue_W2[[#This Row],[Employee Name]],'Base Schedules'!$A$160:$AW$203,38,FALSE)="","",VLOOKUP(Tue_W2[[#This Row],[Employee Name]],'Base Schedules'!$A$160:$AW$203,38,FALSE)),"")</f>
        <v/>
      </c>
      <c r="AN26" s="184" t="str">
        <f>IFERROR(IF(VLOOKUP(Tue_W2[[#This Row],[Employee Name]],'Base Schedules'!$A$160:$AW$203,39,FALSE)="","",VLOOKUP(Tue_W2[[#This Row],[Employee Name]],'Base Schedules'!$A$160:$AW$203,39,FALSE)),"")</f>
        <v/>
      </c>
      <c r="AO26" s="184" t="str">
        <f>IFERROR(IF(VLOOKUP(Tue_W2[[#This Row],[Employee Name]],'Base Schedules'!$A$160:$AW$203,40,FALSE)="","",VLOOKUP(Tue_W2[[#This Row],[Employee Name]],'Base Schedules'!$A$160:$AW$203,40,FALSE)),"")</f>
        <v/>
      </c>
      <c r="AP26" s="184" t="str">
        <f>IFERROR(IF(VLOOKUP(Tue_W2[[#This Row],[Employee Name]],'Base Schedules'!$A$160:$AW$203,41,FALSE)="","",VLOOKUP(Tue_W2[[#This Row],[Employee Name]],'Base Schedules'!$A$160:$AW$203,41,FALSE)),"")</f>
        <v/>
      </c>
      <c r="AQ26" s="184" t="str">
        <f>IFERROR(IF(VLOOKUP(Tue_W2[[#This Row],[Employee Name]],'Base Schedules'!$A$160:$AW$203,42,FALSE)="","",VLOOKUP(Tue_W2[[#This Row],[Employee Name]],'Base Schedules'!$A$160:$AW$203,42,FALSE)),"")</f>
        <v/>
      </c>
      <c r="AR26" s="184" t="str">
        <f>IFERROR(IF(VLOOKUP(Tue_W2[[#This Row],[Employee Name]],'Base Schedules'!$A$160:$AW$203,43,FALSE)="","",VLOOKUP(Tue_W2[[#This Row],[Employee Name]],'Base Schedules'!$A$160:$AW$203,43,FALSE)),"")</f>
        <v/>
      </c>
      <c r="AS26" s="184" t="str">
        <f>IFERROR(IF(VLOOKUP(Tue_W2[[#This Row],[Employee Name]],'Base Schedules'!$A$160:$AW$203,44,FALSE)="","",VLOOKUP(Tue_W2[[#This Row],[Employee Name]],'Base Schedules'!$A$160:$AW$203,44,FALSE)),"")</f>
        <v/>
      </c>
      <c r="AT26" s="184" t="str">
        <f>IFERROR(IF(VLOOKUP(Tue_W2[[#This Row],[Employee Name]],'Base Schedules'!$A$160:$AW$203,45,FALSE)="","",VLOOKUP(Tue_W2[[#This Row],[Employee Name]],'Base Schedules'!$A$160:$AW$203,45,FALSE)),"")</f>
        <v/>
      </c>
      <c r="AU26" s="184" t="str">
        <f>IFERROR(IF(VLOOKUP(Tue_W2[[#This Row],[Employee Name]],'Base Schedules'!$A$160:$AW$203,46,FALSE)="","",VLOOKUP(Tue_W2[[#This Row],[Employee Name]],'Base Schedules'!$A$160:$AW$203,46,FALSE)),"")</f>
        <v/>
      </c>
      <c r="AV26" s="184" t="str">
        <f>IFERROR(IF(VLOOKUP(Tue_W2[[#This Row],[Employee Name]],'Base Schedules'!$A$160:$AW$203,47,FALSE)="","",VLOOKUP(Tue_W2[[#This Row],[Employee Name]],'Base Schedules'!$A$160:$AW$203,47,FALSE)),"")</f>
        <v/>
      </c>
      <c r="AW26" s="184" t="str">
        <f>IFERROR(IF(VLOOKUP(Tue_W2[[#This Row],[Employee Name]],'Base Schedules'!$A$160:$AW$203,48,FALSE)="","",VLOOKUP(Tue_W2[[#This Row],[Employee Name]],'Base Schedules'!$A$160:$AW$203,48,FALSE)),"")</f>
        <v/>
      </c>
      <c r="AX26" s="184" t="str">
        <f>IFERROR(IF(VLOOKUP(Tue_W2[[#This Row],[Employee Name]],'Base Schedules'!$A$160:$AW$203,49,FALSE)="","",VLOOKUP(Tue_W2[[#This Row],[Employee Name]],'Base Schedules'!$A$160:$AW$203,49,FALSE)),"")</f>
        <v/>
      </c>
      <c r="AY26" s="159" t="str">
        <f t="shared" si="2"/>
        <v>Fiskvik, Christopher</v>
      </c>
    </row>
    <row r="27" spans="1:51" s="44" customFormat="1" ht="12" customHeight="1" x14ac:dyDescent="0.2">
      <c r="A27" s="39" t="str">
        <f>IF(B27="","",INDEX(TeamList[],MATCH($B27,TeamList[[Employee Name]:[Employee Name]],0),MATCH("Manager",TeamList[#Headers],0)))</f>
        <v>Ahmed Hassan, Zahra</v>
      </c>
      <c r="B27" s="201" t="s">
        <v>27</v>
      </c>
      <c r="C27" s="257" t="str">
        <f>_xlfn.IFNA(VLOOKUP(Tue_W2[[#This Row],[Employee Name]],'Base Schedules'!A:B,2,FALSE),"")</f>
        <v>Supervisor</v>
      </c>
      <c r="D27" s="274">
        <f>_xlfn.IFNA(VLOOKUP(Tue_W2[[#This Row],[Employee Name]],'Base Schedules'!A:C,3,FALSE),"")</f>
        <v>930</v>
      </c>
      <c r="E27" s="274">
        <f>_xlfn.IFNA(VLOOKUP(Tue_W2[[#This Row],[Employee Name]],'Base Schedules'!A:D,4,FALSE),"")</f>
        <v>1830</v>
      </c>
      <c r="F27" s="142">
        <f>IF(Tue_W2[[#This Row],[Employee Name]]="","",IF(Tue_W2[[#This Row],[Dept]]="Supervisor",COUNTIFS($J27:$AX27,"*HL*",$J27:$AX27,"&lt;&gt;"&amp;"pHL"),COUNTIFS($J27:$AX27,"*HL*",$J27:$AX27,"&lt;&gt;"&amp;"*pHL*",$J27:$AX27,"&lt;&gt;"&amp;"pB1 HL",$J27:$AX27,"&lt;&gt;"&amp;"pB2 HL")-SUM(COUNTIFS($J27:$AX27,"*HL B1*",$J27:$AX27,"&lt;&gt;"&amp;"pHL B1")*0.5,COUNTIFS($J27:$AX27,"*HL B2*",$J27:$AX27,"&lt;&gt;"&amp;"pHL B2")*0.5,COUNTIFS($J27:$AX27,"*B1 HL*",$J27:$AX27,"&lt;&gt;"&amp;"pB1 HL")*0.5,COUNTIFS($J27:$AX27,"*B2 HL*",$J27:$AX27,"&lt;&gt;"&amp;"pB2 HL")*0.5)))</f>
        <v>0</v>
      </c>
      <c r="G27" s="142">
        <f t="shared" si="0"/>
        <v>5</v>
      </c>
      <c r="H27" s="142">
        <f t="shared" si="1"/>
        <v>0</v>
      </c>
      <c r="I27" s="142">
        <f>IF(Tue_W2[[#This Row],[Employee Name]]="","",IF(Tue_W2[[#This Row],[Dept]]="Supervisor",SUM(COUNTIFS($J27:$AX27,"RTA*",$J27:$AX27,"&lt;&gt;"&amp;"pRTA"),COUNTIFS($J27:$AX27,"*CRTA*",$J27:$AX27,"&lt;&gt;"&amp;"pCRTA")),COUNTIFS($J27:$AX27,"*RNNR*",$J27:$AX27,"&lt;&gt;"&amp;"*pRNNR*",$J27:$AX27,"&lt;&gt;"&amp;"pB1 RNNR",$J27:$AX27,"&lt;&gt;"&amp;"pB2 RNNR")-SUM(COUNTIFS($J27:$AX27,"*RNNR B1*",$J27:$AX27,"&lt;&gt;"&amp;"pRNNR B1")*0.5,COUNTIFS($J27:$AX27,"*RNNR B2*",$J27:$AX27,"&lt;&gt;"&amp;"pRNNR B2")*0.5,COUNTIFS($J27:$AX27,"*B1 RNNR*",$J27:$AX27,"&lt;&gt;"&amp;"pB1 RNNR")*0.5,COUNTIFS($J27:$AX27,"*B2 RNNR*",$J27:$AX27,"&lt;&gt;"&amp;"pB2 RNNR")*0.5)))</f>
        <v>0</v>
      </c>
      <c r="J27" s="184" t="str">
        <f>IFERROR(IF(VLOOKUP(Tue_W2[[#This Row],[Employee Name]],'Base Schedules'!$A$160:$AW$203,9,FALSE)="","",VLOOKUP(Tue_W2[[#This Row],[Employee Name]],'Base Schedules'!$A$160:$AW$203,9,FALSE)),"")</f>
        <v/>
      </c>
      <c r="K27" s="184" t="str">
        <f>IFERROR(IF(VLOOKUP(Tue_W2[[#This Row],[Employee Name]],'Base Schedules'!$A$160:$AW$203,10,FALSE)="","",VLOOKUP(Tue_W2[[#This Row],[Employee Name]],'Base Schedules'!$A$160:$AW$203,10,FALSE)),"")</f>
        <v/>
      </c>
      <c r="L27" s="184" t="str">
        <f>IFERROR(IF(VLOOKUP(Tue_W2[[#This Row],[Employee Name]],'Base Schedules'!$A$160:$AW$203,11,FALSE)="","",VLOOKUP(Tue_W2[[#This Row],[Employee Name]],'Base Schedules'!$A$160:$AW$203,11,FALSE)),"")</f>
        <v/>
      </c>
      <c r="M27" s="184" t="str">
        <f>IFERROR(IF(VLOOKUP(Tue_W2[[#This Row],[Employee Name]],'Base Schedules'!$A$160:$AW$203,12,FALSE)="","",VLOOKUP(Tue_W2[[#This Row],[Employee Name]],'Base Schedules'!$A$160:$AW$203,12,FALSE)),"")</f>
        <v/>
      </c>
      <c r="N27" s="184" t="str">
        <f>IFERROR(IF(VLOOKUP(Tue_W2[[#This Row],[Employee Name]],'Base Schedules'!$A$160:$AW$203,13,FALSE)="","",VLOOKUP(Tue_W2[[#This Row],[Employee Name]],'Base Schedules'!$A$160:$AW$203,13,FALSE)),"")</f>
        <v/>
      </c>
      <c r="O27" s="184" t="str">
        <f>IFERROR(IF(VLOOKUP(Tue_W2[[#This Row],[Employee Name]],'Base Schedules'!$A$160:$AW$203,14,FALSE)="","",VLOOKUP(Tue_W2[[#This Row],[Employee Name]],'Base Schedules'!$A$160:$AW$203,14,FALSE)),"")</f>
        <v/>
      </c>
      <c r="P27" s="184" t="str">
        <f>IFERROR(IF(VLOOKUP(Tue_W2[[#This Row],[Employee Name]],'Base Schedules'!$A$160:$AW$203,15,FALSE)="","",VLOOKUP(Tue_W2[[#This Row],[Employee Name]],'Base Schedules'!$A$160:$AW$203,15,FALSE)),"")</f>
        <v/>
      </c>
      <c r="Q27" s="184" t="str">
        <f>IFERROR(IF(VLOOKUP(Tue_W2[[#This Row],[Employee Name]],'Base Schedules'!$A$160:$AW$203,16,FALSE)="","",VLOOKUP(Tue_W2[[#This Row],[Employee Name]],'Base Schedules'!$A$160:$AW$203,16,FALSE)),"")</f>
        <v/>
      </c>
      <c r="R27" s="184" t="str">
        <f>IFERROR(IF(VLOOKUP(Tue_W2[[#This Row],[Employee Name]],'Base Schedules'!$A$160:$AW$203,17,FALSE)="","",VLOOKUP(Tue_W2[[#This Row],[Employee Name]],'Base Schedules'!$A$160:$AW$203,17,FALSE)),"")</f>
        <v/>
      </c>
      <c r="S27" s="184" t="str">
        <f>IFERROR(IF(VLOOKUP(Tue_W2[[#This Row],[Employee Name]],'Base Schedules'!$A$160:$AW$203,18,FALSE)="","",VLOOKUP(Tue_W2[[#This Row],[Employee Name]],'Base Schedules'!$A$160:$AW$203,18,FALSE)),"")</f>
        <v>-</v>
      </c>
      <c r="T27" s="184" t="str">
        <f>IFERROR(IF(VLOOKUP(Tue_W2[[#This Row],[Employee Name]],'Base Schedules'!$A$160:$AW$203,19,FALSE)="","",VLOOKUP(Tue_W2[[#This Row],[Employee Name]],'Base Schedules'!$A$160:$AW$203,19,FALSE)),"")</f>
        <v>-</v>
      </c>
      <c r="U27" s="184" t="str">
        <f>IFERROR(IF(VLOOKUP(Tue_W2[[#This Row],[Employee Name]],'Base Schedules'!$A$160:$AW$203,20,FALSE)="","",VLOOKUP(Tue_W2[[#This Row],[Employee Name]],'Base Schedules'!$A$160:$AW$203,20,FALSE)),"")</f>
        <v>-</v>
      </c>
      <c r="V27" s="184" t="str">
        <f>IFERROR(IF(VLOOKUP(Tue_W2[[#This Row],[Employee Name]],'Base Schedules'!$A$160:$AW$203,21,FALSE)="","",VLOOKUP(Tue_W2[[#This Row],[Employee Name]],'Base Schedules'!$A$160:$AW$203,21,FALSE)),"")</f>
        <v>-</v>
      </c>
      <c r="W27" s="184" t="str">
        <f>IFERROR(IF(VLOOKUP(Tue_W2[[#This Row],[Employee Name]],'Base Schedules'!$A$160:$AW$203,22,FALSE)="","",VLOOKUP(Tue_W2[[#This Row],[Employee Name]],'Base Schedules'!$A$160:$AW$203,22,FALSE)),"")</f>
        <v>-</v>
      </c>
      <c r="X27" s="184" t="str">
        <f>IFERROR(IF(VLOOKUP(Tue_W2[[#This Row],[Employee Name]],'Base Schedules'!$A$160:$AW$203,23,FALSE)="","",VLOOKUP(Tue_W2[[#This Row],[Employee Name]],'Base Schedules'!$A$160:$AW$203,23,FALSE)),"")</f>
        <v>-</v>
      </c>
      <c r="Y27" s="184" t="str">
        <f>IFERROR(IF(VLOOKUP(Tue_W2[[#This Row],[Employee Name]],'Base Schedules'!$A$160:$AW$203,24,FALSE)="","",VLOOKUP(Tue_W2[[#This Row],[Employee Name]],'Base Schedules'!$A$160:$AW$203,24,FALSE)),"")</f>
        <v>-</v>
      </c>
      <c r="Z27" s="184" t="str">
        <f>IFERROR(IF(VLOOKUP(Tue_W2[[#This Row],[Employee Name]],'Base Schedules'!$A$160:$AW$203,25,FALSE)="","",VLOOKUP(Tue_W2[[#This Row],[Employee Name]],'Base Schedules'!$A$160:$AW$203,25,FALSE)),"")</f>
        <v>-</v>
      </c>
      <c r="AA27" s="184" t="str">
        <f>IFERROR(IF(VLOOKUP(Tue_W2[[#This Row],[Employee Name]],'Base Schedules'!$A$160:$AW$203,26,FALSE)="","",VLOOKUP(Tue_W2[[#This Row],[Employee Name]],'Base Schedules'!$A$160:$AW$203,26,FALSE)),"")</f>
        <v>-</v>
      </c>
      <c r="AB27" s="184" t="str">
        <f>IFERROR(IF(VLOOKUP(Tue_W2[[#This Row],[Employee Name]],'Base Schedules'!$A$160:$AW$203,27,FALSE)="","",VLOOKUP(Tue_W2[[#This Row],[Employee Name]],'Base Schedules'!$A$160:$AW$203,27,FALSE)),"")</f>
        <v>Interview</v>
      </c>
      <c r="AC27" s="184" t="str">
        <f>IFERROR(IF(VLOOKUP(Tue_W2[[#This Row],[Employee Name]],'Base Schedules'!$A$160:$AW$203,28,FALSE)="","",VLOOKUP(Tue_W2[[#This Row],[Employee Name]],'Base Schedules'!$A$160:$AW$203,28,FALSE)),"")</f>
        <v>Interview</v>
      </c>
      <c r="AD27" s="184" t="str">
        <f>IFERROR(IF(VLOOKUP(Tue_W2[[#This Row],[Employee Name]],'Base Schedules'!$A$160:$AW$203,29,FALSE)="","",VLOOKUP(Tue_W2[[#This Row],[Employee Name]],'Base Schedules'!$A$160:$AW$203,29,FALSE)),"")</f>
        <v>-</v>
      </c>
      <c r="AE27" s="184" t="str">
        <f>IFERROR(IF(VLOOKUP(Tue_W2[[#This Row],[Employee Name]],'Base Schedules'!$A$160:$AW$203,30,FALSE)="","",VLOOKUP(Tue_W2[[#This Row],[Employee Name]],'Base Schedules'!$A$160:$AW$203,30,FALSE)),"")</f>
        <v>-</v>
      </c>
      <c r="AF27" s="184" t="str">
        <f>IFERROR(IF(VLOOKUP(Tue_W2[[#This Row],[Employee Name]],'Base Schedules'!$A$160:$AW$203,31,FALSE)="","",VLOOKUP(Tue_W2[[#This Row],[Employee Name]],'Base Schedules'!$A$160:$AW$203,31,FALSE)),"")</f>
        <v>Coaching</v>
      </c>
      <c r="AG27" s="184" t="str">
        <f>IFERROR(IF(VLOOKUP(Tue_W2[[#This Row],[Employee Name]],'Base Schedules'!$A$160:$AW$203,32,FALSE)="","",VLOOKUP(Tue_W2[[#This Row],[Employee Name]],'Base Schedules'!$A$160:$AW$203,32,FALSE)),"")</f>
        <v>Coaching</v>
      </c>
      <c r="AH27" s="184" t="str">
        <f>IFERROR(IF(VLOOKUP(Tue_W2[[#This Row],[Employee Name]],'Base Schedules'!$A$160:$AW$203,33,FALSE)="","",VLOOKUP(Tue_W2[[#This Row],[Employee Name]],'Base Schedules'!$A$160:$AW$203,33,FALSE)),"")</f>
        <v>Coaching</v>
      </c>
      <c r="AI27" s="184" t="str">
        <f>IFERROR(IF(VLOOKUP(Tue_W2[[#This Row],[Employee Name]],'Base Schedules'!$A$160:$AW$203,34,FALSE)="","",VLOOKUP(Tue_W2[[#This Row],[Employee Name]],'Base Schedules'!$A$160:$AW$203,34,FALSE)),"")</f>
        <v>Coaching</v>
      </c>
      <c r="AJ27" s="184" t="str">
        <f>IFERROR(IF(VLOOKUP(Tue_W2[[#This Row],[Employee Name]],'Base Schedules'!$A$160:$AW$203,35,FALSE)="","",VLOOKUP(Tue_W2[[#This Row],[Employee Name]],'Base Schedules'!$A$160:$AW$203,35,FALSE)),"")</f>
        <v>Coaching</v>
      </c>
      <c r="AK27" s="184" t="str">
        <f>IFERROR(IF(VLOOKUP(Tue_W2[[#This Row],[Employee Name]],'Base Schedules'!$A$160:$AW$203,36,FALSE)="","",VLOOKUP(Tue_W2[[#This Row],[Employee Name]],'Base Schedules'!$A$160:$AW$203,36,FALSE)),"")</f>
        <v/>
      </c>
      <c r="AL27" s="184" t="str">
        <f>IFERROR(IF(VLOOKUP(Tue_W2[[#This Row],[Employee Name]],'Base Schedules'!$A$160:$AW$203,37,FALSE)="","",VLOOKUP(Tue_W2[[#This Row],[Employee Name]],'Base Schedules'!$A$160:$AW$203,37,FALSE)),"")</f>
        <v/>
      </c>
      <c r="AM27" s="184" t="str">
        <f>IFERROR(IF(VLOOKUP(Tue_W2[[#This Row],[Employee Name]],'Base Schedules'!$A$160:$AW$203,38,FALSE)="","",VLOOKUP(Tue_W2[[#This Row],[Employee Name]],'Base Schedules'!$A$160:$AW$203,38,FALSE)),"")</f>
        <v/>
      </c>
      <c r="AN27" s="184" t="str">
        <f>IFERROR(IF(VLOOKUP(Tue_W2[[#This Row],[Employee Name]],'Base Schedules'!$A$160:$AW$203,39,FALSE)="","",VLOOKUP(Tue_W2[[#This Row],[Employee Name]],'Base Schedules'!$A$160:$AW$203,39,FALSE)),"")</f>
        <v/>
      </c>
      <c r="AO27" s="184" t="str">
        <f>IFERROR(IF(VLOOKUP(Tue_W2[[#This Row],[Employee Name]],'Base Schedules'!$A$160:$AW$203,40,FALSE)="","",VLOOKUP(Tue_W2[[#This Row],[Employee Name]],'Base Schedules'!$A$160:$AW$203,40,FALSE)),"")</f>
        <v/>
      </c>
      <c r="AP27" s="184" t="str">
        <f>IFERROR(IF(VLOOKUP(Tue_W2[[#This Row],[Employee Name]],'Base Schedules'!$A$160:$AW$203,41,FALSE)="","",VLOOKUP(Tue_W2[[#This Row],[Employee Name]],'Base Schedules'!$A$160:$AW$203,41,FALSE)),"")</f>
        <v/>
      </c>
      <c r="AQ27" s="184" t="str">
        <f>IFERROR(IF(VLOOKUP(Tue_W2[[#This Row],[Employee Name]],'Base Schedules'!$A$160:$AW$203,42,FALSE)="","",VLOOKUP(Tue_W2[[#This Row],[Employee Name]],'Base Schedules'!$A$160:$AW$203,42,FALSE)),"")</f>
        <v/>
      </c>
      <c r="AR27" s="184" t="str">
        <f>IFERROR(IF(VLOOKUP(Tue_W2[[#This Row],[Employee Name]],'Base Schedules'!$A$160:$AW$203,43,FALSE)="","",VLOOKUP(Tue_W2[[#This Row],[Employee Name]],'Base Schedules'!$A$160:$AW$203,43,FALSE)),"")</f>
        <v/>
      </c>
      <c r="AS27" s="184" t="str">
        <f>IFERROR(IF(VLOOKUP(Tue_W2[[#This Row],[Employee Name]],'Base Schedules'!$A$160:$AW$203,44,FALSE)="","",VLOOKUP(Tue_W2[[#This Row],[Employee Name]],'Base Schedules'!$A$160:$AW$203,44,FALSE)),"")</f>
        <v/>
      </c>
      <c r="AT27" s="184" t="str">
        <f>IFERROR(IF(VLOOKUP(Tue_W2[[#This Row],[Employee Name]],'Base Schedules'!$A$160:$AW$203,45,FALSE)="","",VLOOKUP(Tue_W2[[#This Row],[Employee Name]],'Base Schedules'!$A$160:$AW$203,45,FALSE)),"")</f>
        <v/>
      </c>
      <c r="AU27" s="184" t="str">
        <f>IFERROR(IF(VLOOKUP(Tue_W2[[#This Row],[Employee Name]],'Base Schedules'!$A$160:$AW$203,46,FALSE)="","",VLOOKUP(Tue_W2[[#This Row],[Employee Name]],'Base Schedules'!$A$160:$AW$203,46,FALSE)),"")</f>
        <v/>
      </c>
      <c r="AV27" s="184" t="str">
        <f>IFERROR(IF(VLOOKUP(Tue_W2[[#This Row],[Employee Name]],'Base Schedules'!$A$160:$AW$203,47,FALSE)="","",VLOOKUP(Tue_W2[[#This Row],[Employee Name]],'Base Schedules'!$A$160:$AW$203,47,FALSE)),"")</f>
        <v/>
      </c>
      <c r="AW27" s="184" t="str">
        <f>IFERROR(IF(VLOOKUP(Tue_W2[[#This Row],[Employee Name]],'Base Schedules'!$A$160:$AW$203,48,FALSE)="","",VLOOKUP(Tue_W2[[#This Row],[Employee Name]],'Base Schedules'!$A$160:$AW$203,48,FALSE)),"")</f>
        <v/>
      </c>
      <c r="AX27" s="184" t="str">
        <f>IFERROR(IF(VLOOKUP(Tue_W2[[#This Row],[Employee Name]],'Base Schedules'!$A$160:$AW$203,49,FALSE)="","",VLOOKUP(Tue_W2[[#This Row],[Employee Name]],'Base Schedules'!$A$160:$AW$203,49,FALSE)),"")</f>
        <v/>
      </c>
      <c r="AY27" s="159" t="str">
        <f t="shared" si="2"/>
        <v>McLean, Michael</v>
      </c>
    </row>
    <row r="28" spans="1:51" s="44" customFormat="1" ht="12" customHeight="1" x14ac:dyDescent="0.2">
      <c r="A28" s="39" t="str">
        <f>IF(B28="","",INDEX(TeamList[],MATCH($B28,TeamList[[Employee Name]:[Employee Name]],0),MATCH("Manager",TeamList[#Headers],0)))</f>
        <v>Olson, Katherine</v>
      </c>
      <c r="B28" s="201" t="s">
        <v>69</v>
      </c>
      <c r="C28" s="257" t="str">
        <f>_xlfn.IFNA(VLOOKUP(Tue_W2[[#This Row],[Employee Name]],'Base Schedules'!A:B,2,FALSE),"")</f>
        <v>Lead</v>
      </c>
      <c r="D28" s="274">
        <f>_xlfn.IFNA(VLOOKUP(Tue_W2[[#This Row],[Employee Name]],'Base Schedules'!A:C,3,FALSE),"")</f>
        <v>1000</v>
      </c>
      <c r="E28" s="274">
        <f>_xlfn.IFNA(VLOOKUP(Tue_W2[[#This Row],[Employee Name]],'Base Schedules'!A:D,4,FALSE),"")</f>
        <v>1900</v>
      </c>
      <c r="F28" s="142">
        <f>IF(Tue_W2[[#This Row],[Employee Name]]="","",IF(Tue_W2[[#This Row],[Dept]]="Supervisor",COUNTIFS($J28:$AX28,"*HL*",$J28:$AX28,"&lt;&gt;"&amp;"pHL"),COUNTIFS($J28:$AX28,"*HL*",$J28:$AX28,"&lt;&gt;"&amp;"*pHL*",$J28:$AX28,"&lt;&gt;"&amp;"pB1 HL",$J28:$AX28,"&lt;&gt;"&amp;"pB2 HL")-SUM(COUNTIFS($J28:$AX28,"*HL B1*",$J28:$AX28,"&lt;&gt;"&amp;"pHL B1")*0.5,COUNTIFS($J28:$AX28,"*HL B2*",$J28:$AX28,"&lt;&gt;"&amp;"pHL B2")*0.5,COUNTIFS($J28:$AX28,"*B1 HL*",$J28:$AX28,"&lt;&gt;"&amp;"pB1 HL")*0.5,COUNTIFS($J28:$AX28,"*B2 HL*",$J28:$AX28,"&lt;&gt;"&amp;"pB2 HL")*0.5)))</f>
        <v>7.5</v>
      </c>
      <c r="G28" s="142">
        <f t="shared" si="0"/>
        <v>0</v>
      </c>
      <c r="H28" s="142">
        <f t="shared" si="1"/>
        <v>6</v>
      </c>
      <c r="I28" s="142">
        <f>IF(Tue_W2[[#This Row],[Employee Name]]="","",IF(Tue_W2[[#This Row],[Dept]]="Supervisor",SUM(COUNTIFS($J28:$AX28,"RTA*",$J28:$AX28,"&lt;&gt;"&amp;"pRTA"),COUNTIFS($J28:$AX28,"*CRTA*",$J28:$AX28,"&lt;&gt;"&amp;"pCRTA")),COUNTIFS($J28:$AX28,"*RNNR*",$J28:$AX28,"&lt;&gt;"&amp;"*pRNNR*",$J28:$AX28,"&lt;&gt;"&amp;"pB1 RNNR",$J28:$AX28,"&lt;&gt;"&amp;"pB2 RNNR")-SUM(COUNTIFS($J28:$AX28,"*RNNR B1*",$J28:$AX28,"&lt;&gt;"&amp;"pRNNR B1")*0.5,COUNTIFS($J28:$AX28,"*RNNR B2*",$J28:$AX28,"&lt;&gt;"&amp;"pRNNR B2")*0.5,COUNTIFS($J28:$AX28,"*B1 RNNR*",$J28:$AX28,"&lt;&gt;"&amp;"pB1 RNNR")*0.5,COUNTIFS($J28:$AX28,"*B2 RNNR*",$J28:$AX28,"&lt;&gt;"&amp;"pB2 RNNR")*0.5)))</f>
        <v>2</v>
      </c>
      <c r="J28" s="184" t="str">
        <f>IFERROR(IF(VLOOKUP(Tue_W2[[#This Row],[Employee Name]],'Base Schedules'!$A$160:$AW$203,9,FALSE)="","",VLOOKUP(Tue_W2[[#This Row],[Employee Name]],'Base Schedules'!$A$160:$AW$203,9,FALSE)),"")</f>
        <v/>
      </c>
      <c r="K28" s="184" t="str">
        <f>IFERROR(IF(VLOOKUP(Tue_W2[[#This Row],[Employee Name]],'Base Schedules'!$A$160:$AW$203,10,FALSE)="","",VLOOKUP(Tue_W2[[#This Row],[Employee Name]],'Base Schedules'!$A$160:$AW$203,10,FALSE)),"")</f>
        <v/>
      </c>
      <c r="L28" s="184" t="str">
        <f>IFERROR(IF(VLOOKUP(Tue_W2[[#This Row],[Employee Name]],'Base Schedules'!$A$160:$AW$203,11,FALSE)="","",VLOOKUP(Tue_W2[[#This Row],[Employee Name]],'Base Schedules'!$A$160:$AW$203,11,FALSE)),"")</f>
        <v/>
      </c>
      <c r="M28" s="184" t="str">
        <f>IFERROR(IF(VLOOKUP(Tue_W2[[#This Row],[Employee Name]],'Base Schedules'!$A$160:$AW$203,12,FALSE)="","",VLOOKUP(Tue_W2[[#This Row],[Employee Name]],'Base Schedules'!$A$160:$AW$203,12,FALSE)),"")</f>
        <v/>
      </c>
      <c r="N28" s="184" t="str">
        <f>IFERROR(IF(VLOOKUP(Tue_W2[[#This Row],[Employee Name]],'Base Schedules'!$A$160:$AW$203,13,FALSE)="","",VLOOKUP(Tue_W2[[#This Row],[Employee Name]],'Base Schedules'!$A$160:$AW$203,13,FALSE)),"")</f>
        <v/>
      </c>
      <c r="O28" s="184" t="str">
        <f>IFERROR(IF(VLOOKUP(Tue_W2[[#This Row],[Employee Name]],'Base Schedules'!$A$160:$AW$203,14,FALSE)="","",VLOOKUP(Tue_W2[[#This Row],[Employee Name]],'Base Schedules'!$A$160:$AW$203,14,FALSE)),"")</f>
        <v/>
      </c>
      <c r="P28" s="184" t="str">
        <f>IFERROR(IF(VLOOKUP(Tue_W2[[#This Row],[Employee Name]],'Base Schedules'!$A$160:$AW$203,15,FALSE)="","",VLOOKUP(Tue_W2[[#This Row],[Employee Name]],'Base Schedules'!$A$160:$AW$203,15,FALSE)),"")</f>
        <v/>
      </c>
      <c r="Q28" s="184" t="str">
        <f>IFERROR(IF(VLOOKUP(Tue_W2[[#This Row],[Employee Name]],'Base Schedules'!$A$160:$AW$203,16,FALSE)="","",VLOOKUP(Tue_W2[[#This Row],[Employee Name]],'Base Schedules'!$A$160:$AW$203,16,FALSE)),"")</f>
        <v/>
      </c>
      <c r="R28" s="184" t="str">
        <f>IFERROR(IF(VLOOKUP(Tue_W2[[#This Row],[Employee Name]],'Base Schedules'!$A$160:$AW$203,17,FALSE)="","",VLOOKUP(Tue_W2[[#This Row],[Employee Name]],'Base Schedules'!$A$160:$AW$203,17,FALSE)),"")</f>
        <v/>
      </c>
      <c r="S28" s="184" t="str">
        <f>IFERROR(IF(VLOOKUP(Tue_W2[[#This Row],[Employee Name]],'Base Schedules'!$A$160:$AW$203,18,FALSE)="","",VLOOKUP(Tue_W2[[#This Row],[Employee Name]],'Base Schedules'!$A$160:$AW$203,18,FALSE)),"")</f>
        <v/>
      </c>
      <c r="T28" s="184" t="str">
        <f>IFERROR(IF(VLOOKUP(Tue_W2[[#This Row],[Employee Name]],'Base Schedules'!$A$160:$AW$203,19,FALSE)="","",VLOOKUP(Tue_W2[[#This Row],[Employee Name]],'Base Schedules'!$A$160:$AW$203,19,FALSE)),"")</f>
        <v>HL</v>
      </c>
      <c r="U28" s="184" t="str">
        <f>IFERROR(IF(VLOOKUP(Tue_W2[[#This Row],[Employee Name]],'Base Schedules'!$A$160:$AW$203,20,FALSE)="","",VLOOKUP(Tue_W2[[#This Row],[Employee Name]],'Base Schedules'!$A$160:$AW$203,20,FALSE)),"")</f>
        <v>HL</v>
      </c>
      <c r="V28" s="184" t="str">
        <f>IFERROR(IF(VLOOKUP(Tue_W2[[#This Row],[Employee Name]],'Base Schedules'!$A$160:$AW$203,21,FALSE)="","",VLOOKUP(Tue_W2[[#This Row],[Employee Name]],'Base Schedules'!$A$160:$AW$203,21,FALSE)),"")</f>
        <v>HL</v>
      </c>
      <c r="W28" s="184" t="str">
        <f>IFERROR(IF(VLOOKUP(Tue_W2[[#This Row],[Employee Name]],'Base Schedules'!$A$160:$AW$203,22,FALSE)="","",VLOOKUP(Tue_W2[[#This Row],[Employee Name]],'Base Schedules'!$A$160:$AW$203,22,FALSE)),"")</f>
        <v>HL</v>
      </c>
      <c r="X28" s="184" t="str">
        <f>IFERROR(IF(VLOOKUP(Tue_W2[[#This Row],[Employee Name]],'Base Schedules'!$A$160:$AW$203,23,FALSE)="","",VLOOKUP(Tue_W2[[#This Row],[Employee Name]],'Base Schedules'!$A$160:$AW$203,23,FALSE)),"")</f>
        <v>HL B1</v>
      </c>
      <c r="Y28" s="184" t="str">
        <f>IFERROR(IF(VLOOKUP(Tue_W2[[#This Row],[Employee Name]],'Base Schedules'!$A$160:$AW$203,24,FALSE)="","",VLOOKUP(Tue_W2[[#This Row],[Employee Name]],'Base Schedules'!$A$160:$AW$203,24,FALSE)),"")</f>
        <v>ADM</v>
      </c>
      <c r="Z28" s="184" t="str">
        <f>IFERROR(IF(VLOOKUP(Tue_W2[[#This Row],[Employee Name]],'Base Schedules'!$A$160:$AW$203,25,FALSE)="","",VLOOKUP(Tue_W2[[#This Row],[Employee Name]],'Base Schedules'!$A$160:$AW$203,25,FALSE)),"")</f>
        <v>ADM</v>
      </c>
      <c r="AA28" s="184" t="str">
        <f>IFERROR(IF(VLOOKUP(Tue_W2[[#This Row],[Employee Name]],'Base Schedules'!$A$160:$AW$203,26,FALSE)="","",VLOOKUP(Tue_W2[[#This Row],[Employee Name]],'Base Schedules'!$A$160:$AW$203,26,FALSE)),"")</f>
        <v>ADM</v>
      </c>
      <c r="AB28" s="184" t="str">
        <f>IFERROR(IF(VLOOKUP(Tue_W2[[#This Row],[Employee Name]],'Base Schedules'!$A$160:$AW$203,27,FALSE)="","",VLOOKUP(Tue_W2[[#This Row],[Employee Name]],'Base Schedules'!$A$160:$AW$203,27,FALSE)),"")</f>
        <v>LUNCH</v>
      </c>
      <c r="AC28" s="184" t="str">
        <f>IFERROR(IF(VLOOKUP(Tue_W2[[#This Row],[Employee Name]],'Base Schedules'!$A$160:$AW$203,28,FALSE)="","",VLOOKUP(Tue_W2[[#This Row],[Employee Name]],'Base Schedules'!$A$160:$AW$203,28,FALSE)),"")</f>
        <v>LUNCH</v>
      </c>
      <c r="AD28" s="184" t="str">
        <f>IFERROR(IF(VLOOKUP(Tue_W2[[#This Row],[Employee Name]],'Base Schedules'!$A$160:$AW$203,29,FALSE)="","",VLOOKUP(Tue_W2[[#This Row],[Employee Name]],'Base Schedules'!$A$160:$AW$203,29,FALSE)),"")</f>
        <v>RNNR</v>
      </c>
      <c r="AE28" s="184" t="str">
        <f>IFERROR(IF(VLOOKUP(Tue_W2[[#This Row],[Employee Name]],'Base Schedules'!$A$160:$AW$203,30,FALSE)="","",VLOOKUP(Tue_W2[[#This Row],[Employee Name]],'Base Schedules'!$A$160:$AW$203,30,FALSE)),"")</f>
        <v>RNNR</v>
      </c>
      <c r="AF28" s="184" t="str">
        <f>IFERROR(IF(VLOOKUP(Tue_W2[[#This Row],[Employee Name]],'Base Schedules'!$A$160:$AW$203,31,FALSE)="","",VLOOKUP(Tue_W2[[#This Row],[Employee Name]],'Base Schedules'!$A$160:$AW$203,31,FALSE)),"")</f>
        <v>HL</v>
      </c>
      <c r="AG28" s="184" t="str">
        <f>IFERROR(IF(VLOOKUP(Tue_W2[[#This Row],[Employee Name]],'Base Schedules'!$A$160:$AW$203,32,FALSE)="","",VLOOKUP(Tue_W2[[#This Row],[Employee Name]],'Base Schedules'!$A$160:$AW$203,32,FALSE)),"")</f>
        <v>HL</v>
      </c>
      <c r="AH28" s="184" t="str">
        <f>IFERROR(IF(VLOOKUP(Tue_W2[[#This Row],[Employee Name]],'Base Schedules'!$A$160:$AW$203,33,FALSE)="","",VLOOKUP(Tue_W2[[#This Row],[Employee Name]],'Base Schedules'!$A$160:$AW$203,33,FALSE)),"")</f>
        <v>B2 ADM</v>
      </c>
      <c r="AI28" s="184" t="str">
        <f>IFERROR(IF(VLOOKUP(Tue_W2[[#This Row],[Employee Name]],'Base Schedules'!$A$160:$AW$203,34,FALSE)="","",VLOOKUP(Tue_W2[[#This Row],[Employee Name]],'Base Schedules'!$A$160:$AW$203,34,FALSE)),"")</f>
        <v>ADM</v>
      </c>
      <c r="AJ28" s="184" t="str">
        <f>IFERROR(IF(VLOOKUP(Tue_W2[[#This Row],[Employee Name]],'Base Schedules'!$A$160:$AW$203,35,FALSE)="","",VLOOKUP(Tue_W2[[#This Row],[Employee Name]],'Base Schedules'!$A$160:$AW$203,35,FALSE)),"")</f>
        <v>HL</v>
      </c>
      <c r="AK28" s="184" t="str">
        <f>IFERROR(IF(VLOOKUP(Tue_W2[[#This Row],[Employee Name]],'Base Schedules'!$A$160:$AW$203,36,FALSE)="","",VLOOKUP(Tue_W2[[#This Row],[Employee Name]],'Base Schedules'!$A$160:$AW$203,36,FALSE)),"")</f>
        <v>ADM</v>
      </c>
      <c r="AL28" s="184" t="str">
        <f>IFERROR(IF(VLOOKUP(Tue_W2[[#This Row],[Employee Name]],'Base Schedules'!$A$160:$AW$203,37,FALSE)="","",VLOOKUP(Tue_W2[[#This Row],[Employee Name]],'Base Schedules'!$A$160:$AW$203,37,FALSE)),"")</f>
        <v/>
      </c>
      <c r="AM28" s="184" t="str">
        <f>IFERROR(IF(VLOOKUP(Tue_W2[[#This Row],[Employee Name]],'Base Schedules'!$A$160:$AW$203,38,FALSE)="","",VLOOKUP(Tue_W2[[#This Row],[Employee Name]],'Base Schedules'!$A$160:$AW$203,38,FALSE)),"")</f>
        <v/>
      </c>
      <c r="AN28" s="184" t="str">
        <f>IFERROR(IF(VLOOKUP(Tue_W2[[#This Row],[Employee Name]],'Base Schedules'!$A$160:$AW$203,39,FALSE)="","",VLOOKUP(Tue_W2[[#This Row],[Employee Name]],'Base Schedules'!$A$160:$AW$203,39,FALSE)),"")</f>
        <v/>
      </c>
      <c r="AO28" s="184" t="str">
        <f>IFERROR(IF(VLOOKUP(Tue_W2[[#This Row],[Employee Name]],'Base Schedules'!$A$160:$AW$203,40,FALSE)="","",VLOOKUP(Tue_W2[[#This Row],[Employee Name]],'Base Schedules'!$A$160:$AW$203,40,FALSE)),"")</f>
        <v/>
      </c>
      <c r="AP28" s="184" t="str">
        <f>IFERROR(IF(VLOOKUP(Tue_W2[[#This Row],[Employee Name]],'Base Schedules'!$A$160:$AW$203,41,FALSE)="","",VLOOKUP(Tue_W2[[#This Row],[Employee Name]],'Base Schedules'!$A$160:$AW$203,41,FALSE)),"")</f>
        <v/>
      </c>
      <c r="AQ28" s="184" t="str">
        <f>IFERROR(IF(VLOOKUP(Tue_W2[[#This Row],[Employee Name]],'Base Schedules'!$A$160:$AW$203,42,FALSE)="","",VLOOKUP(Tue_W2[[#This Row],[Employee Name]],'Base Schedules'!$A$160:$AW$203,42,FALSE)),"")</f>
        <v/>
      </c>
      <c r="AR28" s="184" t="str">
        <f>IFERROR(IF(VLOOKUP(Tue_W2[[#This Row],[Employee Name]],'Base Schedules'!$A$160:$AW$203,43,FALSE)="","",VLOOKUP(Tue_W2[[#This Row],[Employee Name]],'Base Schedules'!$A$160:$AW$203,43,FALSE)),"")</f>
        <v/>
      </c>
      <c r="AS28" s="184" t="str">
        <f>IFERROR(IF(VLOOKUP(Tue_W2[[#This Row],[Employee Name]],'Base Schedules'!$A$160:$AW$203,44,FALSE)="","",VLOOKUP(Tue_W2[[#This Row],[Employee Name]],'Base Schedules'!$A$160:$AW$203,44,FALSE)),"")</f>
        <v/>
      </c>
      <c r="AT28" s="184" t="str">
        <f>IFERROR(IF(VLOOKUP(Tue_W2[[#This Row],[Employee Name]],'Base Schedules'!$A$160:$AW$203,45,FALSE)="","",VLOOKUP(Tue_W2[[#This Row],[Employee Name]],'Base Schedules'!$A$160:$AW$203,45,FALSE)),"")</f>
        <v/>
      </c>
      <c r="AU28" s="184" t="str">
        <f>IFERROR(IF(VLOOKUP(Tue_W2[[#This Row],[Employee Name]],'Base Schedules'!$A$160:$AW$203,46,FALSE)="","",VLOOKUP(Tue_W2[[#This Row],[Employee Name]],'Base Schedules'!$A$160:$AW$203,46,FALSE)),"")</f>
        <v/>
      </c>
      <c r="AV28" s="184" t="str">
        <f>IFERROR(IF(VLOOKUP(Tue_W2[[#This Row],[Employee Name]],'Base Schedules'!$A$160:$AW$203,47,FALSE)="","",VLOOKUP(Tue_W2[[#This Row],[Employee Name]],'Base Schedules'!$A$160:$AW$203,47,FALSE)),"")</f>
        <v/>
      </c>
      <c r="AW28" s="184" t="str">
        <f>IFERROR(IF(VLOOKUP(Tue_W2[[#This Row],[Employee Name]],'Base Schedules'!$A$160:$AW$203,48,FALSE)="","",VLOOKUP(Tue_W2[[#This Row],[Employee Name]],'Base Schedules'!$A$160:$AW$203,48,FALSE)),"")</f>
        <v/>
      </c>
      <c r="AX28" s="184" t="str">
        <f>IFERROR(IF(VLOOKUP(Tue_W2[[#This Row],[Employee Name]],'Base Schedules'!$A$160:$AW$203,49,FALSE)="","",VLOOKUP(Tue_W2[[#This Row],[Employee Name]],'Base Schedules'!$A$160:$AW$203,49,FALSE)),"")</f>
        <v/>
      </c>
      <c r="AY28" s="159" t="str">
        <f t="shared" si="2"/>
        <v>Slagle, Natasha</v>
      </c>
    </row>
    <row r="29" spans="1:51" s="44" customFormat="1" ht="12" customHeight="1" x14ac:dyDescent="0.2">
      <c r="A29" s="39" t="str">
        <f>IF(B29="","",INDEX(TeamList[],MATCH($B29,TeamList[[Employee Name]:[Employee Name]],0),MATCH("Manager",TeamList[#Headers],0)))</f>
        <v>Olson, Katherine</v>
      </c>
      <c r="B29" s="201" t="s">
        <v>67</v>
      </c>
      <c r="C29" s="257" t="str">
        <f>_xlfn.IFNA(VLOOKUP(Tue_W2[[#This Row],[Employee Name]],'Base Schedules'!A:B,2,FALSE),"")</f>
        <v>Lead</v>
      </c>
      <c r="D29" s="274">
        <f>_xlfn.IFNA(VLOOKUP(Tue_W2[[#This Row],[Employee Name]],'Base Schedules'!A:C,3,FALSE),"")</f>
        <v>1030</v>
      </c>
      <c r="E29" s="274">
        <f>_xlfn.IFNA(VLOOKUP(Tue_W2[[#This Row],[Employee Name]],'Base Schedules'!A:D,4,FALSE),"")</f>
        <v>1900</v>
      </c>
      <c r="F29" s="142">
        <f>IF(Tue_W2[[#This Row],[Employee Name]]="","",IF(Tue_W2[[#This Row],[Dept]]="Supervisor",COUNTIFS($J29:$AX29,"*HL*",$J29:$AX29,"&lt;&gt;"&amp;"pHL"),COUNTIFS($J29:$AX29,"*HL*",$J29:$AX29,"&lt;&gt;"&amp;"*pHL*",$J29:$AX29,"&lt;&gt;"&amp;"pB1 HL",$J29:$AX29,"&lt;&gt;"&amp;"pB2 HL")-SUM(COUNTIFS($J29:$AX29,"*HL B1*",$J29:$AX29,"&lt;&gt;"&amp;"pHL B1")*0.5,COUNTIFS($J29:$AX29,"*HL B2*",$J29:$AX29,"&lt;&gt;"&amp;"pHL B2")*0.5,COUNTIFS($J29:$AX29,"*B1 HL*",$J29:$AX29,"&lt;&gt;"&amp;"pB1 HL")*0.5,COUNTIFS($J29:$AX29,"*B2 HL*",$J29:$AX29,"&lt;&gt;"&amp;"pB2 HL")*0.5)))</f>
        <v>7.5</v>
      </c>
      <c r="G29" s="142">
        <f t="shared" si="0"/>
        <v>0</v>
      </c>
      <c r="H29" s="142">
        <f t="shared" si="1"/>
        <v>6</v>
      </c>
      <c r="I29" s="142">
        <f>IF(Tue_W2[[#This Row],[Employee Name]]="","",IF(Tue_W2[[#This Row],[Dept]]="Supervisor",SUM(COUNTIFS($J29:$AX29,"RTA*",$J29:$AX29,"&lt;&gt;"&amp;"pRTA"),COUNTIFS($J29:$AX29,"*CRTA*",$J29:$AX29,"&lt;&gt;"&amp;"pCRTA")),COUNTIFS($J29:$AX29,"*RNNR*",$J29:$AX29,"&lt;&gt;"&amp;"*pRNNR*",$J29:$AX29,"&lt;&gt;"&amp;"pB1 RNNR",$J29:$AX29,"&lt;&gt;"&amp;"pB2 RNNR")-SUM(COUNTIFS($J29:$AX29,"*RNNR B1*",$J29:$AX29,"&lt;&gt;"&amp;"pRNNR B1")*0.5,COUNTIFS($J29:$AX29,"*RNNR B2*",$J29:$AX29,"&lt;&gt;"&amp;"pRNNR B2")*0.5,COUNTIFS($J29:$AX29,"*B1 RNNR*",$J29:$AX29,"&lt;&gt;"&amp;"pB1 RNNR")*0.5,COUNTIFS($J29:$AX29,"*B2 RNNR*",$J29:$AX29,"&lt;&gt;"&amp;"pB2 RNNR")*0.5)))</f>
        <v>2</v>
      </c>
      <c r="J29" s="184" t="str">
        <f>IFERROR(IF(VLOOKUP(Tue_W2[[#This Row],[Employee Name]],'Base Schedules'!$A$160:$AW$203,9,FALSE)="","",VLOOKUP(Tue_W2[[#This Row],[Employee Name]],'Base Schedules'!$A$160:$AW$203,9,FALSE)),"")</f>
        <v/>
      </c>
      <c r="K29" s="184" t="str">
        <f>IFERROR(IF(VLOOKUP(Tue_W2[[#This Row],[Employee Name]],'Base Schedules'!$A$160:$AW$203,10,FALSE)="","",VLOOKUP(Tue_W2[[#This Row],[Employee Name]],'Base Schedules'!$A$160:$AW$203,10,FALSE)),"")</f>
        <v/>
      </c>
      <c r="L29" s="184" t="str">
        <f>IFERROR(IF(VLOOKUP(Tue_W2[[#This Row],[Employee Name]],'Base Schedules'!$A$160:$AW$203,11,FALSE)="","",VLOOKUP(Tue_W2[[#This Row],[Employee Name]],'Base Schedules'!$A$160:$AW$203,11,FALSE)),"")</f>
        <v/>
      </c>
      <c r="M29" s="184" t="str">
        <f>IFERROR(IF(VLOOKUP(Tue_W2[[#This Row],[Employee Name]],'Base Schedules'!$A$160:$AW$203,12,FALSE)="","",VLOOKUP(Tue_W2[[#This Row],[Employee Name]],'Base Schedules'!$A$160:$AW$203,12,FALSE)),"")</f>
        <v/>
      </c>
      <c r="N29" s="184" t="str">
        <f>IFERROR(IF(VLOOKUP(Tue_W2[[#This Row],[Employee Name]],'Base Schedules'!$A$160:$AW$203,13,FALSE)="","",VLOOKUP(Tue_W2[[#This Row],[Employee Name]],'Base Schedules'!$A$160:$AW$203,13,FALSE)),"")</f>
        <v/>
      </c>
      <c r="O29" s="184" t="str">
        <f>IFERROR(IF(VLOOKUP(Tue_W2[[#This Row],[Employee Name]],'Base Schedules'!$A$160:$AW$203,14,FALSE)="","",VLOOKUP(Tue_W2[[#This Row],[Employee Name]],'Base Schedules'!$A$160:$AW$203,14,FALSE)),"")</f>
        <v/>
      </c>
      <c r="P29" s="184" t="str">
        <f>IFERROR(IF(VLOOKUP(Tue_W2[[#This Row],[Employee Name]],'Base Schedules'!$A$160:$AW$203,15,FALSE)="","",VLOOKUP(Tue_W2[[#This Row],[Employee Name]],'Base Schedules'!$A$160:$AW$203,15,FALSE)),"")</f>
        <v/>
      </c>
      <c r="Q29" s="184" t="str">
        <f>IFERROR(IF(VLOOKUP(Tue_W2[[#This Row],[Employee Name]],'Base Schedules'!$A$160:$AW$203,16,FALSE)="","",VLOOKUP(Tue_W2[[#This Row],[Employee Name]],'Base Schedules'!$A$160:$AW$203,16,FALSE)),"")</f>
        <v/>
      </c>
      <c r="R29" s="184" t="str">
        <f>IFERROR(IF(VLOOKUP(Tue_W2[[#This Row],[Employee Name]],'Base Schedules'!$A$160:$AW$203,17,FALSE)="","",VLOOKUP(Tue_W2[[#This Row],[Employee Name]],'Base Schedules'!$A$160:$AW$203,17,FALSE)),"")</f>
        <v/>
      </c>
      <c r="S29" s="184" t="str">
        <f>IFERROR(IF(VLOOKUP(Tue_W2[[#This Row],[Employee Name]],'Base Schedules'!$A$160:$AW$203,18,FALSE)="","",VLOOKUP(Tue_W2[[#This Row],[Employee Name]],'Base Schedules'!$A$160:$AW$203,18,FALSE)),"")</f>
        <v/>
      </c>
      <c r="T29" s="184" t="str">
        <f>IFERROR(IF(VLOOKUP(Tue_W2[[#This Row],[Employee Name]],'Base Schedules'!$A$160:$AW$203,19,FALSE)="","",VLOOKUP(Tue_W2[[#This Row],[Employee Name]],'Base Schedules'!$A$160:$AW$203,19,FALSE)),"")</f>
        <v/>
      </c>
      <c r="U29" s="184" t="str">
        <f>IFERROR(IF(VLOOKUP(Tue_W2[[#This Row],[Employee Name]],'Base Schedules'!$A$160:$AW$203,20,FALSE)="","",VLOOKUP(Tue_W2[[#This Row],[Employee Name]],'Base Schedules'!$A$160:$AW$203,20,FALSE)),"")</f>
        <v>HL</v>
      </c>
      <c r="V29" s="184" t="str">
        <f>IFERROR(IF(VLOOKUP(Tue_W2[[#This Row],[Employee Name]],'Base Schedules'!$A$160:$AW$203,21,FALSE)="","",VLOOKUP(Tue_W2[[#This Row],[Employee Name]],'Base Schedules'!$A$160:$AW$203,21,FALSE)),"")</f>
        <v>HL</v>
      </c>
      <c r="W29" s="184" t="str">
        <f>IFERROR(IF(VLOOKUP(Tue_W2[[#This Row],[Employee Name]],'Base Schedules'!$A$160:$AW$203,22,FALSE)="","",VLOOKUP(Tue_W2[[#This Row],[Employee Name]],'Base Schedules'!$A$160:$AW$203,22,FALSE)),"")</f>
        <v>HL</v>
      </c>
      <c r="X29" s="184" t="str">
        <f>IFERROR(IF(VLOOKUP(Tue_W2[[#This Row],[Employee Name]],'Base Schedules'!$A$160:$AW$203,23,FALSE)="","",VLOOKUP(Tue_W2[[#This Row],[Employee Name]],'Base Schedules'!$A$160:$AW$203,23,FALSE)),"")</f>
        <v>HL</v>
      </c>
      <c r="Y29" s="184" t="str">
        <f>IFERROR(IF(VLOOKUP(Tue_W2[[#This Row],[Employee Name]],'Base Schedules'!$A$160:$AW$203,24,FALSE)="","",VLOOKUP(Tue_W2[[#This Row],[Employee Name]],'Base Schedules'!$A$160:$AW$203,24,FALSE)),"")</f>
        <v>B1 HL</v>
      </c>
      <c r="Z29" s="184" t="str">
        <f>IFERROR(IF(VLOOKUP(Tue_W2[[#This Row],[Employee Name]],'Base Schedules'!$A$160:$AW$203,25,FALSE)="","",VLOOKUP(Tue_W2[[#This Row],[Employee Name]],'Base Schedules'!$A$160:$AW$203,25,FALSE)),"")</f>
        <v>ADM</v>
      </c>
      <c r="AA29" s="184" t="str">
        <f>IFERROR(IF(VLOOKUP(Tue_W2[[#This Row],[Employee Name]],'Base Schedules'!$A$160:$AW$203,26,FALSE)="","",VLOOKUP(Tue_W2[[#This Row],[Employee Name]],'Base Schedules'!$A$160:$AW$203,26,FALSE)),"")</f>
        <v>ADM</v>
      </c>
      <c r="AB29" s="184" t="str">
        <f>IFERROR(IF(VLOOKUP(Tue_W2[[#This Row],[Employee Name]],'Base Schedules'!$A$160:$AW$203,27,FALSE)="","",VLOOKUP(Tue_W2[[#This Row],[Employee Name]],'Base Schedules'!$A$160:$AW$203,27,FALSE)),"")</f>
        <v>HL</v>
      </c>
      <c r="AC29" s="184" t="str">
        <f>IFERROR(IF(VLOOKUP(Tue_W2[[#This Row],[Employee Name]],'Base Schedules'!$A$160:$AW$203,28,FALSE)="","",VLOOKUP(Tue_W2[[#This Row],[Employee Name]],'Base Schedules'!$A$160:$AW$203,28,FALSE)),"")</f>
        <v>LUNCH</v>
      </c>
      <c r="AD29" s="184" t="str">
        <f>IFERROR(IF(VLOOKUP(Tue_W2[[#This Row],[Employee Name]],'Base Schedules'!$A$160:$AW$203,29,FALSE)="","",VLOOKUP(Tue_W2[[#This Row],[Employee Name]],'Base Schedules'!$A$160:$AW$203,29,FALSE)),"")</f>
        <v>ADM</v>
      </c>
      <c r="AE29" s="184" t="str">
        <f>IFERROR(IF(VLOOKUP(Tue_W2[[#This Row],[Employee Name]],'Base Schedules'!$A$160:$AW$203,30,FALSE)="","",VLOOKUP(Tue_W2[[#This Row],[Employee Name]],'Base Schedules'!$A$160:$AW$203,30,FALSE)),"")</f>
        <v>HL</v>
      </c>
      <c r="AF29" s="184" t="str">
        <f>IFERROR(IF(VLOOKUP(Tue_W2[[#This Row],[Employee Name]],'Base Schedules'!$A$160:$AW$203,31,FALSE)="","",VLOOKUP(Tue_W2[[#This Row],[Employee Name]],'Base Schedules'!$A$160:$AW$203,31,FALSE)),"")</f>
        <v>HL</v>
      </c>
      <c r="AG29" s="184" t="str">
        <f>IFERROR(IF(VLOOKUP(Tue_W2[[#This Row],[Employee Name]],'Base Schedules'!$A$160:$AW$203,32,FALSE)="","",VLOOKUP(Tue_W2[[#This Row],[Employee Name]],'Base Schedules'!$A$160:$AW$203,32,FALSE)),"")</f>
        <v>ADM B2</v>
      </c>
      <c r="AH29" s="184" t="str">
        <f>IFERROR(IF(VLOOKUP(Tue_W2[[#This Row],[Employee Name]],'Base Schedules'!$A$160:$AW$203,33,FALSE)="","",VLOOKUP(Tue_W2[[#This Row],[Employee Name]],'Base Schedules'!$A$160:$AW$203,33,FALSE)),"")</f>
        <v>ADM</v>
      </c>
      <c r="AI29" s="184" t="str">
        <f>IFERROR(IF(VLOOKUP(Tue_W2[[#This Row],[Employee Name]],'Base Schedules'!$A$160:$AW$203,34,FALSE)="","",VLOOKUP(Tue_W2[[#This Row],[Employee Name]],'Base Schedules'!$A$160:$AW$203,34,FALSE)),"")</f>
        <v>ADM</v>
      </c>
      <c r="AJ29" s="184" t="str">
        <f>IFERROR(IF(VLOOKUP(Tue_W2[[#This Row],[Employee Name]],'Base Schedules'!$A$160:$AW$203,35,FALSE)="","",VLOOKUP(Tue_W2[[#This Row],[Employee Name]],'Base Schedules'!$A$160:$AW$203,35,FALSE)),"")</f>
        <v>RNNR</v>
      </c>
      <c r="AK29" s="184" t="str">
        <f>IFERROR(IF(VLOOKUP(Tue_W2[[#This Row],[Employee Name]],'Base Schedules'!$A$160:$AW$203,36,FALSE)="","",VLOOKUP(Tue_W2[[#This Row],[Employee Name]],'Base Schedules'!$A$160:$AW$203,36,FALSE)),"")</f>
        <v>RNNR</v>
      </c>
      <c r="AL29" s="184" t="str">
        <f>IFERROR(IF(VLOOKUP(Tue_W2[[#This Row],[Employee Name]],'Base Schedules'!$A$160:$AW$203,37,FALSE)="","",VLOOKUP(Tue_W2[[#This Row],[Employee Name]],'Base Schedules'!$A$160:$AW$203,37,FALSE)),"")</f>
        <v/>
      </c>
      <c r="AM29" s="184" t="str">
        <f>IFERROR(IF(VLOOKUP(Tue_W2[[#This Row],[Employee Name]],'Base Schedules'!$A$160:$AW$203,38,FALSE)="","",VLOOKUP(Tue_W2[[#This Row],[Employee Name]],'Base Schedules'!$A$160:$AW$203,38,FALSE)),"")</f>
        <v/>
      </c>
      <c r="AN29" s="184" t="str">
        <f>IFERROR(IF(VLOOKUP(Tue_W2[[#This Row],[Employee Name]],'Base Schedules'!$A$160:$AW$203,39,FALSE)="","",VLOOKUP(Tue_W2[[#This Row],[Employee Name]],'Base Schedules'!$A$160:$AW$203,39,FALSE)),"")</f>
        <v/>
      </c>
      <c r="AO29" s="184" t="str">
        <f>IFERROR(IF(VLOOKUP(Tue_W2[[#This Row],[Employee Name]],'Base Schedules'!$A$160:$AW$203,40,FALSE)="","",VLOOKUP(Tue_W2[[#This Row],[Employee Name]],'Base Schedules'!$A$160:$AW$203,40,FALSE)),"")</f>
        <v/>
      </c>
      <c r="AP29" s="184" t="str">
        <f>IFERROR(IF(VLOOKUP(Tue_W2[[#This Row],[Employee Name]],'Base Schedules'!$A$160:$AW$203,41,FALSE)="","",VLOOKUP(Tue_W2[[#This Row],[Employee Name]],'Base Schedules'!$A$160:$AW$203,41,FALSE)),"")</f>
        <v/>
      </c>
      <c r="AQ29" s="184" t="str">
        <f>IFERROR(IF(VLOOKUP(Tue_W2[[#This Row],[Employee Name]],'Base Schedules'!$A$160:$AW$203,42,FALSE)="","",VLOOKUP(Tue_W2[[#This Row],[Employee Name]],'Base Schedules'!$A$160:$AW$203,42,FALSE)),"")</f>
        <v/>
      </c>
      <c r="AR29" s="184" t="str">
        <f>IFERROR(IF(VLOOKUP(Tue_W2[[#This Row],[Employee Name]],'Base Schedules'!$A$160:$AW$203,43,FALSE)="","",VLOOKUP(Tue_W2[[#This Row],[Employee Name]],'Base Schedules'!$A$160:$AW$203,43,FALSE)),"")</f>
        <v/>
      </c>
      <c r="AS29" s="184" t="str">
        <f>IFERROR(IF(VLOOKUP(Tue_W2[[#This Row],[Employee Name]],'Base Schedules'!$A$160:$AW$203,44,FALSE)="","",VLOOKUP(Tue_W2[[#This Row],[Employee Name]],'Base Schedules'!$A$160:$AW$203,44,FALSE)),"")</f>
        <v/>
      </c>
      <c r="AT29" s="184" t="str">
        <f>IFERROR(IF(VLOOKUP(Tue_W2[[#This Row],[Employee Name]],'Base Schedules'!$A$160:$AW$203,45,FALSE)="","",VLOOKUP(Tue_W2[[#This Row],[Employee Name]],'Base Schedules'!$A$160:$AW$203,45,FALSE)),"")</f>
        <v/>
      </c>
      <c r="AU29" s="184" t="str">
        <f>IFERROR(IF(VLOOKUP(Tue_W2[[#This Row],[Employee Name]],'Base Schedules'!$A$160:$AW$203,46,FALSE)="","",VLOOKUP(Tue_W2[[#This Row],[Employee Name]],'Base Schedules'!$A$160:$AW$203,46,FALSE)),"")</f>
        <v/>
      </c>
      <c r="AV29" s="184" t="str">
        <f>IFERROR(IF(VLOOKUP(Tue_W2[[#This Row],[Employee Name]],'Base Schedules'!$A$160:$AW$203,47,FALSE)="","",VLOOKUP(Tue_W2[[#This Row],[Employee Name]],'Base Schedules'!$A$160:$AW$203,47,FALSE)),"")</f>
        <v/>
      </c>
      <c r="AW29" s="184" t="str">
        <f>IFERROR(IF(VLOOKUP(Tue_W2[[#This Row],[Employee Name]],'Base Schedules'!$A$160:$AW$203,48,FALSE)="","",VLOOKUP(Tue_W2[[#This Row],[Employee Name]],'Base Schedules'!$A$160:$AW$203,48,FALSE)),"")</f>
        <v/>
      </c>
      <c r="AX29" s="184" t="str">
        <f>IFERROR(IF(VLOOKUP(Tue_W2[[#This Row],[Employee Name]],'Base Schedules'!$A$160:$AW$203,49,FALSE)="","",VLOOKUP(Tue_W2[[#This Row],[Employee Name]],'Base Schedules'!$A$160:$AW$203,49,FALSE)),"")</f>
        <v/>
      </c>
      <c r="AY29" s="159" t="str">
        <f t="shared" si="2"/>
        <v>Qualman, Sophy</v>
      </c>
    </row>
    <row r="30" spans="1:51" s="44" customFormat="1" ht="12" customHeight="1" x14ac:dyDescent="0.2">
      <c r="A30" s="39" t="str">
        <f>IF(B30="","",INDEX(TeamList[],MATCH($B30,TeamList[[Employee Name]:[Employee Name]],0),MATCH("Manager",TeamList[#Headers],0)))</f>
        <v>Olson, Katherine</v>
      </c>
      <c r="B30" s="201" t="s">
        <v>30</v>
      </c>
      <c r="C30" s="257" t="str">
        <f>_xlfn.IFNA(VLOOKUP(Tue_W2[[#This Row],[Employee Name]],'Base Schedules'!A:B,2,FALSE),"")</f>
        <v>Lead</v>
      </c>
      <c r="D30" s="274">
        <f>_xlfn.IFNA(VLOOKUP(Tue_W2[[#This Row],[Employee Name]],'Base Schedules'!A:C,3,FALSE),"")</f>
        <v>1100</v>
      </c>
      <c r="E30" s="274">
        <f>_xlfn.IFNA(VLOOKUP(Tue_W2[[#This Row],[Employee Name]],'Base Schedules'!A:D,4,FALSE),"")</f>
        <v>2000</v>
      </c>
      <c r="F30" s="142">
        <f>IF(Tue_W2[[#This Row],[Employee Name]]="","",IF(Tue_W2[[#This Row],[Dept]]="Supervisor",COUNTIFS($J30:$AX30,"*HL*",$J30:$AX30,"&lt;&gt;"&amp;"pHL"),COUNTIFS($J30:$AX30,"*HL*",$J30:$AX30,"&lt;&gt;"&amp;"*pHL*",$J30:$AX30,"&lt;&gt;"&amp;"pB1 HL",$J30:$AX30,"&lt;&gt;"&amp;"pB2 HL")-SUM(COUNTIFS($J30:$AX30,"*HL B1*",$J30:$AX30,"&lt;&gt;"&amp;"pHL B1")*0.5,COUNTIFS($J30:$AX30,"*HL B2*",$J30:$AX30,"&lt;&gt;"&amp;"pHL B2")*0.5,COUNTIFS($J30:$AX30,"*B1 HL*",$J30:$AX30,"&lt;&gt;"&amp;"pB1 HL")*0.5,COUNTIFS($J30:$AX30,"*B2 HL*",$J30:$AX30,"&lt;&gt;"&amp;"pB2 HL")*0.5)))</f>
        <v>6.5</v>
      </c>
      <c r="G30" s="142">
        <f t="shared" si="0"/>
        <v>0</v>
      </c>
      <c r="H30" s="142">
        <f t="shared" si="1"/>
        <v>7</v>
      </c>
      <c r="I30" s="142">
        <f>IF(Tue_W2[[#This Row],[Employee Name]]="","",IF(Tue_W2[[#This Row],[Dept]]="Supervisor",SUM(COUNTIFS($J30:$AX30,"RTA*",$J30:$AX30,"&lt;&gt;"&amp;"pRTA"),COUNTIFS($J30:$AX30,"*CRTA*",$J30:$AX30,"&lt;&gt;"&amp;"pCRTA")),COUNTIFS($J30:$AX30,"*RNNR*",$J30:$AX30,"&lt;&gt;"&amp;"*pRNNR*",$J30:$AX30,"&lt;&gt;"&amp;"pB1 RNNR",$J30:$AX30,"&lt;&gt;"&amp;"pB2 RNNR")-SUM(COUNTIFS($J30:$AX30,"*RNNR B1*",$J30:$AX30,"&lt;&gt;"&amp;"pRNNR B1")*0.5,COUNTIFS($J30:$AX30,"*RNNR B2*",$J30:$AX30,"&lt;&gt;"&amp;"pRNNR B2")*0.5,COUNTIFS($J30:$AX30,"*B1 RNNR*",$J30:$AX30,"&lt;&gt;"&amp;"pB1 RNNR")*0.5,COUNTIFS($J30:$AX30,"*B2 RNNR*",$J30:$AX30,"&lt;&gt;"&amp;"pB2 RNNR")*0.5)))</f>
        <v>2</v>
      </c>
      <c r="J30" s="184" t="str">
        <f>IFERROR(IF(VLOOKUP(Tue_W2[[#This Row],[Employee Name]],'Base Schedules'!$A$160:$AW$203,9,FALSE)="","",VLOOKUP(Tue_W2[[#This Row],[Employee Name]],'Base Schedules'!$A$160:$AW$203,9,FALSE)),"")</f>
        <v/>
      </c>
      <c r="K30" s="184" t="str">
        <f>IFERROR(IF(VLOOKUP(Tue_W2[[#This Row],[Employee Name]],'Base Schedules'!$A$160:$AW$203,10,FALSE)="","",VLOOKUP(Tue_W2[[#This Row],[Employee Name]],'Base Schedules'!$A$160:$AW$203,10,FALSE)),"")</f>
        <v/>
      </c>
      <c r="L30" s="184" t="str">
        <f>IFERROR(IF(VLOOKUP(Tue_W2[[#This Row],[Employee Name]],'Base Schedules'!$A$160:$AW$203,11,FALSE)="","",VLOOKUP(Tue_W2[[#This Row],[Employee Name]],'Base Schedules'!$A$160:$AW$203,11,FALSE)),"")</f>
        <v/>
      </c>
      <c r="M30" s="184" t="str">
        <f>IFERROR(IF(VLOOKUP(Tue_W2[[#This Row],[Employee Name]],'Base Schedules'!$A$160:$AW$203,12,FALSE)="","",VLOOKUP(Tue_W2[[#This Row],[Employee Name]],'Base Schedules'!$A$160:$AW$203,12,FALSE)),"")</f>
        <v/>
      </c>
      <c r="N30" s="184" t="str">
        <f>IFERROR(IF(VLOOKUP(Tue_W2[[#This Row],[Employee Name]],'Base Schedules'!$A$160:$AW$203,13,FALSE)="","",VLOOKUP(Tue_W2[[#This Row],[Employee Name]],'Base Schedules'!$A$160:$AW$203,13,FALSE)),"")</f>
        <v/>
      </c>
      <c r="O30" s="184" t="str">
        <f>IFERROR(IF(VLOOKUP(Tue_W2[[#This Row],[Employee Name]],'Base Schedules'!$A$160:$AW$203,14,FALSE)="","",VLOOKUP(Tue_W2[[#This Row],[Employee Name]],'Base Schedules'!$A$160:$AW$203,14,FALSE)),"")</f>
        <v/>
      </c>
      <c r="P30" s="184" t="str">
        <f>IFERROR(IF(VLOOKUP(Tue_W2[[#This Row],[Employee Name]],'Base Schedules'!$A$160:$AW$203,15,FALSE)="","",VLOOKUP(Tue_W2[[#This Row],[Employee Name]],'Base Schedules'!$A$160:$AW$203,15,FALSE)),"")</f>
        <v/>
      </c>
      <c r="Q30" s="184" t="str">
        <f>IFERROR(IF(VLOOKUP(Tue_W2[[#This Row],[Employee Name]],'Base Schedules'!$A$160:$AW$203,16,FALSE)="","",VLOOKUP(Tue_W2[[#This Row],[Employee Name]],'Base Schedules'!$A$160:$AW$203,16,FALSE)),"")</f>
        <v/>
      </c>
      <c r="R30" s="184" t="str">
        <f>IFERROR(IF(VLOOKUP(Tue_W2[[#This Row],[Employee Name]],'Base Schedules'!$A$160:$AW$203,17,FALSE)="","",VLOOKUP(Tue_W2[[#This Row],[Employee Name]],'Base Schedules'!$A$160:$AW$203,17,FALSE)),"")</f>
        <v/>
      </c>
      <c r="S30" s="184" t="str">
        <f>IFERROR(IF(VLOOKUP(Tue_W2[[#This Row],[Employee Name]],'Base Schedules'!$A$160:$AW$203,18,FALSE)="","",VLOOKUP(Tue_W2[[#This Row],[Employee Name]],'Base Schedules'!$A$160:$AW$203,18,FALSE)),"")</f>
        <v/>
      </c>
      <c r="T30" s="184" t="str">
        <f>IFERROR(IF(VLOOKUP(Tue_W2[[#This Row],[Employee Name]],'Base Schedules'!$A$160:$AW$203,19,FALSE)="","",VLOOKUP(Tue_W2[[#This Row],[Employee Name]],'Base Schedules'!$A$160:$AW$203,19,FALSE)),"")</f>
        <v/>
      </c>
      <c r="U30" s="184" t="str">
        <f>IFERROR(IF(VLOOKUP(Tue_W2[[#This Row],[Employee Name]],'Base Schedules'!$A$160:$AW$203,20,FALSE)="","",VLOOKUP(Tue_W2[[#This Row],[Employee Name]],'Base Schedules'!$A$160:$AW$203,20,FALSE)),"")</f>
        <v/>
      </c>
      <c r="V30" s="184" t="str">
        <f>IFERROR(IF(VLOOKUP(Tue_W2[[#This Row],[Employee Name]],'Base Schedules'!$A$160:$AW$203,21,FALSE)="","",VLOOKUP(Tue_W2[[#This Row],[Employee Name]],'Base Schedules'!$A$160:$AW$203,21,FALSE)),"")</f>
        <v>HL</v>
      </c>
      <c r="W30" s="184" t="str">
        <f>IFERROR(IF(VLOOKUP(Tue_W2[[#This Row],[Employee Name]],'Base Schedules'!$A$160:$AW$203,22,FALSE)="","",VLOOKUP(Tue_W2[[#This Row],[Employee Name]],'Base Schedules'!$A$160:$AW$203,22,FALSE)),"")</f>
        <v>HL</v>
      </c>
      <c r="X30" s="184" t="str">
        <f>IFERROR(IF(VLOOKUP(Tue_W2[[#This Row],[Employee Name]],'Base Schedules'!$A$160:$AW$203,23,FALSE)="","",VLOOKUP(Tue_W2[[#This Row],[Employee Name]],'Base Schedules'!$A$160:$AW$203,23,FALSE)),"")</f>
        <v>ADM</v>
      </c>
      <c r="Y30" s="184" t="str">
        <f>IFERROR(IF(VLOOKUP(Tue_W2[[#This Row],[Employee Name]],'Base Schedules'!$A$160:$AW$203,24,FALSE)="","",VLOOKUP(Tue_W2[[#This Row],[Employee Name]],'Base Schedules'!$A$160:$AW$203,24,FALSE)),"")</f>
        <v>ADM</v>
      </c>
      <c r="Z30" s="184" t="str">
        <f>IFERROR(IF(VLOOKUP(Tue_W2[[#This Row],[Employee Name]],'Base Schedules'!$A$160:$AW$203,25,FALSE)="","",VLOOKUP(Tue_W2[[#This Row],[Employee Name]],'Base Schedules'!$A$160:$AW$203,25,FALSE)),"")</f>
        <v>ADM B1</v>
      </c>
      <c r="AA30" s="184" t="str">
        <f>IFERROR(IF(VLOOKUP(Tue_W2[[#This Row],[Employee Name]],'Base Schedules'!$A$160:$AW$203,26,FALSE)="","",VLOOKUP(Tue_W2[[#This Row],[Employee Name]],'Base Schedules'!$A$160:$AW$203,26,FALSE)),"")</f>
        <v>HL</v>
      </c>
      <c r="AB30" s="184" t="str">
        <f>IFERROR(IF(VLOOKUP(Tue_W2[[#This Row],[Employee Name]],'Base Schedules'!$A$160:$AW$203,27,FALSE)="","",VLOOKUP(Tue_W2[[#This Row],[Employee Name]],'Base Schedules'!$A$160:$AW$203,27,FALSE)),"")</f>
        <v>RNNR</v>
      </c>
      <c r="AC30" s="184" t="str">
        <f>IFERROR(IF(VLOOKUP(Tue_W2[[#This Row],[Employee Name]],'Base Schedules'!$A$160:$AW$203,28,FALSE)="","",VLOOKUP(Tue_W2[[#This Row],[Employee Name]],'Base Schedules'!$A$160:$AW$203,28,FALSE)),"")</f>
        <v>RNNR</v>
      </c>
      <c r="AD30" s="184" t="str">
        <f>IFERROR(IF(VLOOKUP(Tue_W2[[#This Row],[Employee Name]],'Base Schedules'!$A$160:$AW$203,29,FALSE)="","",VLOOKUP(Tue_W2[[#This Row],[Employee Name]],'Base Schedules'!$A$160:$AW$203,29,FALSE)),"")</f>
        <v>LUNCH</v>
      </c>
      <c r="AE30" s="184" t="str">
        <f>IFERROR(IF(VLOOKUP(Tue_W2[[#This Row],[Employee Name]],'Base Schedules'!$A$160:$AW$203,30,FALSE)="","",VLOOKUP(Tue_W2[[#This Row],[Employee Name]],'Base Schedules'!$A$160:$AW$203,30,FALSE)),"")</f>
        <v>ADM</v>
      </c>
      <c r="AF30" s="184" t="str">
        <f>IFERROR(IF(VLOOKUP(Tue_W2[[#This Row],[Employee Name]],'Base Schedules'!$A$160:$AW$203,31,FALSE)="","",VLOOKUP(Tue_W2[[#This Row],[Employee Name]],'Base Schedules'!$A$160:$AW$203,31,FALSE)),"")</f>
        <v>ADM</v>
      </c>
      <c r="AG30" s="184" t="str">
        <f>IFERROR(IF(VLOOKUP(Tue_W2[[#This Row],[Employee Name]],'Base Schedules'!$A$160:$AW$203,32,FALSE)="","",VLOOKUP(Tue_W2[[#This Row],[Employee Name]],'Base Schedules'!$A$160:$AW$203,32,FALSE)),"")</f>
        <v>ADM</v>
      </c>
      <c r="AH30" s="184" t="str">
        <f>IFERROR(IF(VLOOKUP(Tue_W2[[#This Row],[Employee Name]],'Base Schedules'!$A$160:$AW$203,33,FALSE)="","",VLOOKUP(Tue_W2[[#This Row],[Employee Name]],'Base Schedules'!$A$160:$AW$203,33,FALSE)),"")</f>
        <v>ADM</v>
      </c>
      <c r="AI30" s="184" t="str">
        <f>IFERROR(IF(VLOOKUP(Tue_W2[[#This Row],[Employee Name]],'Base Schedules'!$A$160:$AW$203,34,FALSE)="","",VLOOKUP(Tue_W2[[#This Row],[Employee Name]],'Base Schedules'!$A$160:$AW$203,34,FALSE)),"")</f>
        <v>B2 HL</v>
      </c>
      <c r="AJ30" s="184" t="str">
        <f>IFERROR(IF(VLOOKUP(Tue_W2[[#This Row],[Employee Name]],'Base Schedules'!$A$160:$AW$203,35,FALSE)="","",VLOOKUP(Tue_W2[[#This Row],[Employee Name]],'Base Schedules'!$A$160:$AW$203,35,FALSE)),"")</f>
        <v>HL</v>
      </c>
      <c r="AK30" s="184" t="str">
        <f>IFERROR(IF(VLOOKUP(Tue_W2[[#This Row],[Employee Name]],'Base Schedules'!$A$160:$AW$203,36,FALSE)="","",VLOOKUP(Tue_W2[[#This Row],[Employee Name]],'Base Schedules'!$A$160:$AW$203,36,FALSE)),"")</f>
        <v>HL</v>
      </c>
      <c r="AL30" s="184" t="str">
        <f>IFERROR(IF(VLOOKUP(Tue_W2[[#This Row],[Employee Name]],'Base Schedules'!$A$160:$AW$203,37,FALSE)="","",VLOOKUP(Tue_W2[[#This Row],[Employee Name]],'Base Schedules'!$A$160:$AW$203,37,FALSE)),"")</f>
        <v>HL</v>
      </c>
      <c r="AM30" s="184" t="str">
        <f>IFERROR(IF(VLOOKUP(Tue_W2[[#This Row],[Employee Name]],'Base Schedules'!$A$160:$AW$203,38,FALSE)="","",VLOOKUP(Tue_W2[[#This Row],[Employee Name]],'Base Schedules'!$A$160:$AW$203,38,FALSE)),"")</f>
        <v/>
      </c>
      <c r="AN30" s="184" t="str">
        <f>IFERROR(IF(VLOOKUP(Tue_W2[[#This Row],[Employee Name]],'Base Schedules'!$A$160:$AW$203,39,FALSE)="","",VLOOKUP(Tue_W2[[#This Row],[Employee Name]],'Base Schedules'!$A$160:$AW$203,39,FALSE)),"")</f>
        <v/>
      </c>
      <c r="AO30" s="184" t="str">
        <f>IFERROR(IF(VLOOKUP(Tue_W2[[#This Row],[Employee Name]],'Base Schedules'!$A$160:$AW$203,40,FALSE)="","",VLOOKUP(Tue_W2[[#This Row],[Employee Name]],'Base Schedules'!$A$160:$AW$203,40,FALSE)),"")</f>
        <v/>
      </c>
      <c r="AP30" s="184" t="str">
        <f>IFERROR(IF(VLOOKUP(Tue_W2[[#This Row],[Employee Name]],'Base Schedules'!$A$160:$AW$203,41,FALSE)="","",VLOOKUP(Tue_W2[[#This Row],[Employee Name]],'Base Schedules'!$A$160:$AW$203,41,FALSE)),"")</f>
        <v/>
      </c>
      <c r="AQ30" s="184" t="str">
        <f>IFERROR(IF(VLOOKUP(Tue_W2[[#This Row],[Employee Name]],'Base Schedules'!$A$160:$AW$203,42,FALSE)="","",VLOOKUP(Tue_W2[[#This Row],[Employee Name]],'Base Schedules'!$A$160:$AW$203,42,FALSE)),"")</f>
        <v/>
      </c>
      <c r="AR30" s="184" t="str">
        <f>IFERROR(IF(VLOOKUP(Tue_W2[[#This Row],[Employee Name]],'Base Schedules'!$A$160:$AW$203,43,FALSE)="","",VLOOKUP(Tue_W2[[#This Row],[Employee Name]],'Base Schedules'!$A$160:$AW$203,43,FALSE)),"")</f>
        <v/>
      </c>
      <c r="AS30" s="184" t="str">
        <f>IFERROR(IF(VLOOKUP(Tue_W2[[#This Row],[Employee Name]],'Base Schedules'!$A$160:$AW$203,44,FALSE)="","",VLOOKUP(Tue_W2[[#This Row],[Employee Name]],'Base Schedules'!$A$160:$AW$203,44,FALSE)),"")</f>
        <v/>
      </c>
      <c r="AT30" s="184" t="str">
        <f>IFERROR(IF(VLOOKUP(Tue_W2[[#This Row],[Employee Name]],'Base Schedules'!$A$160:$AW$203,45,FALSE)="","",VLOOKUP(Tue_W2[[#This Row],[Employee Name]],'Base Schedules'!$A$160:$AW$203,45,FALSE)),"")</f>
        <v/>
      </c>
      <c r="AU30" s="184" t="str">
        <f>IFERROR(IF(VLOOKUP(Tue_W2[[#This Row],[Employee Name]],'Base Schedules'!$A$160:$AW$203,46,FALSE)="","",VLOOKUP(Tue_W2[[#This Row],[Employee Name]],'Base Schedules'!$A$160:$AW$203,46,FALSE)),"")</f>
        <v/>
      </c>
      <c r="AV30" s="184" t="str">
        <f>IFERROR(IF(VLOOKUP(Tue_W2[[#This Row],[Employee Name]],'Base Schedules'!$A$160:$AW$203,47,FALSE)="","",VLOOKUP(Tue_W2[[#This Row],[Employee Name]],'Base Schedules'!$A$160:$AW$203,47,FALSE)),"")</f>
        <v/>
      </c>
      <c r="AW30" s="184" t="str">
        <f>IFERROR(IF(VLOOKUP(Tue_W2[[#This Row],[Employee Name]],'Base Schedules'!$A$160:$AW$203,48,FALSE)="","",VLOOKUP(Tue_W2[[#This Row],[Employee Name]],'Base Schedules'!$A$160:$AW$203,48,FALSE)),"")</f>
        <v/>
      </c>
      <c r="AX30" s="184" t="str">
        <f>IFERROR(IF(VLOOKUP(Tue_W2[[#This Row],[Employee Name]],'Base Schedules'!$A$160:$AW$203,49,FALSE)="","",VLOOKUP(Tue_W2[[#This Row],[Employee Name]],'Base Schedules'!$A$160:$AW$203,49,FALSE)),"")</f>
        <v/>
      </c>
      <c r="AY30" s="160" t="str">
        <f t="shared" si="2"/>
        <v>Koistinen, Shaun</v>
      </c>
    </row>
    <row r="31" spans="1:51" s="44" customFormat="1" ht="12" customHeight="1" x14ac:dyDescent="0.2">
      <c r="A31" s="39" t="str">
        <f>IF(B31="","",INDEX(TeamList[],MATCH($B31,TeamList[[Employee Name]:[Employee Name]],0),MATCH("Manager",TeamList[#Headers],0)))</f>
        <v>Olson, Katherine</v>
      </c>
      <c r="B31" s="201" t="s">
        <v>236</v>
      </c>
      <c r="C31" s="257" t="str">
        <f>_xlfn.IFNA(VLOOKUP(Tue_W2[[#This Row],[Employee Name]],'Base Schedules'!A:B,2,FALSE),"")</f>
        <v>Lead</v>
      </c>
      <c r="D31" s="274">
        <f>_xlfn.IFNA(VLOOKUP(Tue_W2[[#This Row],[Employee Name]],'Base Schedules'!A:C,3,FALSE),"")</f>
        <v>1130</v>
      </c>
      <c r="E31" s="274">
        <f>_xlfn.IFNA(VLOOKUP(Tue_W2[[#This Row],[Employee Name]],'Base Schedules'!A:D,4,FALSE),"")</f>
        <v>2000</v>
      </c>
      <c r="F31" s="142">
        <f>IF(Tue_W2[[#This Row],[Employee Name]]="","",IF(Tue_W2[[#This Row],[Dept]]="Supervisor",COUNTIFS($J31:$AX31,"*HL*",$J31:$AX31,"&lt;&gt;"&amp;"pHL"),COUNTIFS($J31:$AX31,"*HL*",$J31:$AX31,"&lt;&gt;"&amp;"*pHL*",$J31:$AX31,"&lt;&gt;"&amp;"pB1 HL",$J31:$AX31,"&lt;&gt;"&amp;"pB2 HL")-SUM(COUNTIFS($J31:$AX31,"*HL B1*",$J31:$AX31,"&lt;&gt;"&amp;"pHL B1")*0.5,COUNTIFS($J31:$AX31,"*HL B2*",$J31:$AX31,"&lt;&gt;"&amp;"pHL B2")*0.5,COUNTIFS($J31:$AX31,"*B1 HL*",$J31:$AX31,"&lt;&gt;"&amp;"pB1 HL")*0.5,COUNTIFS($J31:$AX31,"*B2 HL*",$J31:$AX31,"&lt;&gt;"&amp;"pB2 HL")*0.5)))</f>
        <v>6.5</v>
      </c>
      <c r="G31" s="142">
        <f t="shared" si="0"/>
        <v>0</v>
      </c>
      <c r="H31" s="142">
        <f t="shared" si="1"/>
        <v>7</v>
      </c>
      <c r="I31" s="142">
        <f>IF(Tue_W2[[#This Row],[Employee Name]]="","",IF(Tue_W2[[#This Row],[Dept]]="Supervisor",SUM(COUNTIFS($J31:$AX31,"RTA*",$J31:$AX31,"&lt;&gt;"&amp;"pRTA"),COUNTIFS($J31:$AX31,"*CRTA*",$J31:$AX31,"&lt;&gt;"&amp;"pCRTA")),COUNTIFS($J31:$AX31,"*RNNR*",$J31:$AX31,"&lt;&gt;"&amp;"*pRNNR*",$J31:$AX31,"&lt;&gt;"&amp;"pB1 RNNR",$J31:$AX31,"&lt;&gt;"&amp;"pB2 RNNR")-SUM(COUNTIFS($J31:$AX31,"*RNNR B1*",$J31:$AX31,"&lt;&gt;"&amp;"pRNNR B1")*0.5,COUNTIFS($J31:$AX31,"*RNNR B2*",$J31:$AX31,"&lt;&gt;"&amp;"pRNNR B2")*0.5,COUNTIFS($J31:$AX31,"*B1 RNNR*",$J31:$AX31,"&lt;&gt;"&amp;"pB1 RNNR")*0.5,COUNTIFS($J31:$AX31,"*B2 RNNR*",$J31:$AX31,"&lt;&gt;"&amp;"pB2 RNNR")*0.5)))</f>
        <v>2</v>
      </c>
      <c r="J31" s="184" t="str">
        <f>IFERROR(IF(VLOOKUP(Tue_W2[[#This Row],[Employee Name]],'Base Schedules'!$A$160:$AW$203,9,FALSE)="","",VLOOKUP(Tue_W2[[#This Row],[Employee Name]],'Base Schedules'!$A$160:$AW$203,9,FALSE)),"")</f>
        <v/>
      </c>
      <c r="K31" s="184" t="str">
        <f>IFERROR(IF(VLOOKUP(Tue_W2[[#This Row],[Employee Name]],'Base Schedules'!$A$160:$AW$203,10,FALSE)="","",VLOOKUP(Tue_W2[[#This Row],[Employee Name]],'Base Schedules'!$A$160:$AW$203,10,FALSE)),"")</f>
        <v/>
      </c>
      <c r="L31" s="184" t="str">
        <f>IFERROR(IF(VLOOKUP(Tue_W2[[#This Row],[Employee Name]],'Base Schedules'!$A$160:$AW$203,11,FALSE)="","",VLOOKUP(Tue_W2[[#This Row],[Employee Name]],'Base Schedules'!$A$160:$AW$203,11,FALSE)),"")</f>
        <v/>
      </c>
      <c r="M31" s="184" t="str">
        <f>IFERROR(IF(VLOOKUP(Tue_W2[[#This Row],[Employee Name]],'Base Schedules'!$A$160:$AW$203,12,FALSE)="","",VLOOKUP(Tue_W2[[#This Row],[Employee Name]],'Base Schedules'!$A$160:$AW$203,12,FALSE)),"")</f>
        <v/>
      </c>
      <c r="N31" s="184" t="str">
        <f>IFERROR(IF(VLOOKUP(Tue_W2[[#This Row],[Employee Name]],'Base Schedules'!$A$160:$AW$203,13,FALSE)="","",VLOOKUP(Tue_W2[[#This Row],[Employee Name]],'Base Schedules'!$A$160:$AW$203,13,FALSE)),"")</f>
        <v/>
      </c>
      <c r="O31" s="184" t="str">
        <f>IFERROR(IF(VLOOKUP(Tue_W2[[#This Row],[Employee Name]],'Base Schedules'!$A$160:$AW$203,14,FALSE)="","",VLOOKUP(Tue_W2[[#This Row],[Employee Name]],'Base Schedules'!$A$160:$AW$203,14,FALSE)),"")</f>
        <v/>
      </c>
      <c r="P31" s="184" t="str">
        <f>IFERROR(IF(VLOOKUP(Tue_W2[[#This Row],[Employee Name]],'Base Schedules'!$A$160:$AW$203,15,FALSE)="","",VLOOKUP(Tue_W2[[#This Row],[Employee Name]],'Base Schedules'!$A$160:$AW$203,15,FALSE)),"")</f>
        <v/>
      </c>
      <c r="Q31" s="184" t="str">
        <f>IFERROR(IF(VLOOKUP(Tue_W2[[#This Row],[Employee Name]],'Base Schedules'!$A$160:$AW$203,16,FALSE)="","",VLOOKUP(Tue_W2[[#This Row],[Employee Name]],'Base Schedules'!$A$160:$AW$203,16,FALSE)),"")</f>
        <v/>
      </c>
      <c r="R31" s="184" t="str">
        <f>IFERROR(IF(VLOOKUP(Tue_W2[[#This Row],[Employee Name]],'Base Schedules'!$A$160:$AW$203,17,FALSE)="","",VLOOKUP(Tue_W2[[#This Row],[Employee Name]],'Base Schedules'!$A$160:$AW$203,17,FALSE)),"")</f>
        <v/>
      </c>
      <c r="S31" s="184" t="str">
        <f>IFERROR(IF(VLOOKUP(Tue_W2[[#This Row],[Employee Name]],'Base Schedules'!$A$160:$AW$203,18,FALSE)="","",VLOOKUP(Tue_W2[[#This Row],[Employee Name]],'Base Schedules'!$A$160:$AW$203,18,FALSE)),"")</f>
        <v/>
      </c>
      <c r="T31" s="184" t="str">
        <f>IFERROR(IF(VLOOKUP(Tue_W2[[#This Row],[Employee Name]],'Base Schedules'!$A$160:$AW$203,19,FALSE)="","",VLOOKUP(Tue_W2[[#This Row],[Employee Name]],'Base Schedules'!$A$160:$AW$203,19,FALSE)),"")</f>
        <v/>
      </c>
      <c r="U31" s="184" t="str">
        <f>IFERROR(IF(VLOOKUP(Tue_W2[[#This Row],[Employee Name]],'Base Schedules'!$A$160:$AW$203,20,FALSE)="","",VLOOKUP(Tue_W2[[#This Row],[Employee Name]],'Base Schedules'!$A$160:$AW$203,20,FALSE)),"")</f>
        <v/>
      </c>
      <c r="V31" s="184" t="str">
        <f>IFERROR(IF(VLOOKUP(Tue_W2[[#This Row],[Employee Name]],'Base Schedules'!$A$160:$AW$203,21,FALSE)="","",VLOOKUP(Tue_W2[[#This Row],[Employee Name]],'Base Schedules'!$A$160:$AW$203,21,FALSE)),"")</f>
        <v/>
      </c>
      <c r="W31" s="184" t="str">
        <f>IFERROR(IF(VLOOKUP(Tue_W2[[#This Row],[Employee Name]],'Base Schedules'!$A$160:$AW$203,22,FALSE)="","",VLOOKUP(Tue_W2[[#This Row],[Employee Name]],'Base Schedules'!$A$160:$AW$203,22,FALSE)),"")</f>
        <v>ADM</v>
      </c>
      <c r="X31" s="184" t="str">
        <f>IFERROR(IF(VLOOKUP(Tue_W2[[#This Row],[Employee Name]],'Base Schedules'!$A$160:$AW$203,23,FALSE)="","",VLOOKUP(Tue_W2[[#This Row],[Employee Name]],'Base Schedules'!$A$160:$AW$203,23,FALSE)),"")</f>
        <v>ADM</v>
      </c>
      <c r="Y31" s="184" t="str">
        <f>IFERROR(IF(VLOOKUP(Tue_W2[[#This Row],[Employee Name]],'Base Schedules'!$A$160:$AW$203,24,FALSE)="","",VLOOKUP(Tue_W2[[#This Row],[Employee Name]],'Base Schedules'!$A$160:$AW$203,24,FALSE)),"")</f>
        <v>HL</v>
      </c>
      <c r="Z31" s="184" t="str">
        <f>IFERROR(IF(VLOOKUP(Tue_W2[[#This Row],[Employee Name]],'Base Schedules'!$A$160:$AW$203,25,FALSE)="","",VLOOKUP(Tue_W2[[#This Row],[Employee Name]],'Base Schedules'!$A$160:$AW$203,25,FALSE)),"")</f>
        <v>HL B1</v>
      </c>
      <c r="AA31" s="184" t="str">
        <f>IFERROR(IF(VLOOKUP(Tue_W2[[#This Row],[Employee Name]],'Base Schedules'!$A$160:$AW$203,26,FALSE)="","",VLOOKUP(Tue_W2[[#This Row],[Employee Name]],'Base Schedules'!$A$160:$AW$203,26,FALSE)),"")</f>
        <v>ADM</v>
      </c>
      <c r="AB31" s="184" t="str">
        <f>IFERROR(IF(VLOOKUP(Tue_W2[[#This Row],[Employee Name]],'Base Schedules'!$A$160:$AW$203,27,FALSE)="","",VLOOKUP(Tue_W2[[#This Row],[Employee Name]],'Base Schedules'!$A$160:$AW$203,27,FALSE)),"")</f>
        <v>ADM</v>
      </c>
      <c r="AC31" s="184" t="str">
        <f>IFERROR(IF(VLOOKUP(Tue_W2[[#This Row],[Employee Name]],'Base Schedules'!$A$160:$AW$203,28,FALSE)="","",VLOOKUP(Tue_W2[[#This Row],[Employee Name]],'Base Schedules'!$A$160:$AW$203,28,FALSE)),"")</f>
        <v>HL</v>
      </c>
      <c r="AD31" s="184" t="str">
        <f>IFERROR(IF(VLOOKUP(Tue_W2[[#This Row],[Employee Name]],'Base Schedules'!$A$160:$AW$203,29,FALSE)="","",VLOOKUP(Tue_W2[[#This Row],[Employee Name]],'Base Schedules'!$A$160:$AW$203,29,FALSE)),"")</f>
        <v>HL</v>
      </c>
      <c r="AE31" s="184" t="str">
        <f>IFERROR(IF(VLOOKUP(Tue_W2[[#This Row],[Employee Name]],'Base Schedules'!$A$160:$AW$203,30,FALSE)="","",VLOOKUP(Tue_W2[[#This Row],[Employee Name]],'Base Schedules'!$A$160:$AW$203,30,FALSE)),"")</f>
        <v>LUNCH</v>
      </c>
      <c r="AF31" s="184" t="str">
        <f>IFERROR(IF(VLOOKUP(Tue_W2[[#This Row],[Employee Name]],'Base Schedules'!$A$160:$AW$203,31,FALSE)="","",VLOOKUP(Tue_W2[[#This Row],[Employee Name]],'Base Schedules'!$A$160:$AW$203,31,FALSE)),"")</f>
        <v>RNNR</v>
      </c>
      <c r="AG31" s="184" t="str">
        <f>IFERROR(IF(VLOOKUP(Tue_W2[[#This Row],[Employee Name]],'Base Schedules'!$A$160:$AW$203,32,FALSE)="","",VLOOKUP(Tue_W2[[#This Row],[Employee Name]],'Base Schedules'!$A$160:$AW$203,32,FALSE)),"")</f>
        <v>RNNR</v>
      </c>
      <c r="AH31" s="184" t="str">
        <f>IFERROR(IF(VLOOKUP(Tue_W2[[#This Row],[Employee Name]],'Base Schedules'!$A$160:$AW$203,33,FALSE)="","",VLOOKUP(Tue_W2[[#This Row],[Employee Name]],'Base Schedules'!$A$160:$AW$203,33,FALSE)),"")</f>
        <v>HL</v>
      </c>
      <c r="AI31" s="184" t="str">
        <f>IFERROR(IF(VLOOKUP(Tue_W2[[#This Row],[Employee Name]],'Base Schedules'!$A$160:$AW$203,34,FALSE)="","",VLOOKUP(Tue_W2[[#This Row],[Employee Name]],'Base Schedules'!$A$160:$AW$203,34,FALSE)),"")</f>
        <v>HL</v>
      </c>
      <c r="AJ31" s="184" t="str">
        <f>IFERROR(IF(VLOOKUP(Tue_W2[[#This Row],[Employee Name]],'Base Schedules'!$A$160:$AW$203,35,FALSE)="","",VLOOKUP(Tue_W2[[#This Row],[Employee Name]],'Base Schedules'!$A$160:$AW$203,35,FALSE)),"")</f>
        <v>B2 ADM</v>
      </c>
      <c r="AK31" s="184" t="str">
        <f>IFERROR(IF(VLOOKUP(Tue_W2[[#This Row],[Employee Name]],'Base Schedules'!$A$160:$AW$203,36,FALSE)="","",VLOOKUP(Tue_W2[[#This Row],[Employee Name]],'Base Schedules'!$A$160:$AW$203,36,FALSE)),"")</f>
        <v>ADM</v>
      </c>
      <c r="AL31" s="184" t="str">
        <f>IFERROR(IF(VLOOKUP(Tue_W2[[#This Row],[Employee Name]],'Base Schedules'!$A$160:$AW$203,37,FALSE)="","",VLOOKUP(Tue_W2[[#This Row],[Employee Name]],'Base Schedules'!$A$160:$AW$203,37,FALSE)),"")</f>
        <v>ADM</v>
      </c>
      <c r="AM31" s="184" t="str">
        <f>IFERROR(IF(VLOOKUP(Tue_W2[[#This Row],[Employee Name]],'Base Schedules'!$A$160:$AW$203,38,FALSE)="","",VLOOKUP(Tue_W2[[#This Row],[Employee Name]],'Base Schedules'!$A$160:$AW$203,38,FALSE)),"")</f>
        <v>HL</v>
      </c>
      <c r="AN31" s="184" t="str">
        <f>IFERROR(IF(VLOOKUP(Tue_W2[[#This Row],[Employee Name]],'Base Schedules'!$A$160:$AW$203,39,FALSE)="","",VLOOKUP(Tue_W2[[#This Row],[Employee Name]],'Base Schedules'!$A$160:$AW$203,39,FALSE)),"")</f>
        <v/>
      </c>
      <c r="AO31" s="184" t="str">
        <f>IFERROR(IF(VLOOKUP(Tue_W2[[#This Row],[Employee Name]],'Base Schedules'!$A$160:$AW$203,40,FALSE)="","",VLOOKUP(Tue_W2[[#This Row],[Employee Name]],'Base Schedules'!$A$160:$AW$203,40,FALSE)),"")</f>
        <v/>
      </c>
      <c r="AP31" s="184" t="str">
        <f>IFERROR(IF(VLOOKUP(Tue_W2[[#This Row],[Employee Name]],'Base Schedules'!$A$160:$AW$203,41,FALSE)="","",VLOOKUP(Tue_W2[[#This Row],[Employee Name]],'Base Schedules'!$A$160:$AW$203,41,FALSE)),"")</f>
        <v/>
      </c>
      <c r="AQ31" s="184" t="str">
        <f>IFERROR(IF(VLOOKUP(Tue_W2[[#This Row],[Employee Name]],'Base Schedules'!$A$160:$AW$203,42,FALSE)="","",VLOOKUP(Tue_W2[[#This Row],[Employee Name]],'Base Schedules'!$A$160:$AW$203,42,FALSE)),"")</f>
        <v/>
      </c>
      <c r="AR31" s="184" t="str">
        <f>IFERROR(IF(VLOOKUP(Tue_W2[[#This Row],[Employee Name]],'Base Schedules'!$A$160:$AW$203,43,FALSE)="","",VLOOKUP(Tue_W2[[#This Row],[Employee Name]],'Base Schedules'!$A$160:$AW$203,43,FALSE)),"")</f>
        <v/>
      </c>
      <c r="AS31" s="184" t="str">
        <f>IFERROR(IF(VLOOKUP(Tue_W2[[#This Row],[Employee Name]],'Base Schedules'!$A$160:$AW$203,44,FALSE)="","",VLOOKUP(Tue_W2[[#This Row],[Employee Name]],'Base Schedules'!$A$160:$AW$203,44,FALSE)),"")</f>
        <v/>
      </c>
      <c r="AT31" s="184" t="str">
        <f>IFERROR(IF(VLOOKUP(Tue_W2[[#This Row],[Employee Name]],'Base Schedules'!$A$160:$AW$203,45,FALSE)="","",VLOOKUP(Tue_W2[[#This Row],[Employee Name]],'Base Schedules'!$A$160:$AW$203,45,FALSE)),"")</f>
        <v/>
      </c>
      <c r="AU31" s="184" t="str">
        <f>IFERROR(IF(VLOOKUP(Tue_W2[[#This Row],[Employee Name]],'Base Schedules'!$A$160:$AW$203,46,FALSE)="","",VLOOKUP(Tue_W2[[#This Row],[Employee Name]],'Base Schedules'!$A$160:$AW$203,46,FALSE)),"")</f>
        <v/>
      </c>
      <c r="AV31" s="184" t="str">
        <f>IFERROR(IF(VLOOKUP(Tue_W2[[#This Row],[Employee Name]],'Base Schedules'!$A$160:$AW$203,47,FALSE)="","",VLOOKUP(Tue_W2[[#This Row],[Employee Name]],'Base Schedules'!$A$160:$AW$203,47,FALSE)),"")</f>
        <v/>
      </c>
      <c r="AW31" s="184" t="str">
        <f>IFERROR(IF(VLOOKUP(Tue_W2[[#This Row],[Employee Name]],'Base Schedules'!$A$160:$AW$203,48,FALSE)="","",VLOOKUP(Tue_W2[[#This Row],[Employee Name]],'Base Schedules'!$A$160:$AW$203,48,FALSE)),"")</f>
        <v/>
      </c>
      <c r="AX31" s="184" t="str">
        <f>IFERROR(IF(VLOOKUP(Tue_W2[[#This Row],[Employee Name]],'Base Schedules'!$A$160:$AW$203,49,FALSE)="","",VLOOKUP(Tue_W2[[#This Row],[Employee Name]],'Base Schedules'!$A$160:$AW$203,49,FALSE)),"")</f>
        <v/>
      </c>
      <c r="AY31" s="160" t="str">
        <f t="shared" si="2"/>
        <v>Goss, Ian</v>
      </c>
    </row>
    <row r="32" spans="1:51" s="44" customFormat="1" ht="12" customHeight="1" x14ac:dyDescent="0.2">
      <c r="A32" s="39" t="e">
        <f>IF(B32="","",INDEX(TeamList[],MATCH($B32,TeamList[[Employee Name]:[Employee Name]],0),MATCH("Manager",TeamList[#Headers],0)))</f>
        <v>#N/A</v>
      </c>
      <c r="B32" s="202" t="s">
        <v>414</v>
      </c>
      <c r="C32" s="257" t="str">
        <f>_xlfn.IFNA(VLOOKUP(Tue_W2[[#This Row],[Employee Name]],'Base Schedules'!A:B,2,FALSE),"")</f>
        <v>Lead</v>
      </c>
      <c r="D32" s="274">
        <f>_xlfn.IFNA(VLOOKUP(Tue_W2[[#This Row],[Employee Name]],'Base Schedules'!A:C,3,FALSE),"")</f>
        <v>1130</v>
      </c>
      <c r="E32" s="274">
        <f>_xlfn.IFNA(VLOOKUP(Tue_W2[[#This Row],[Employee Name]],'Base Schedules'!A:D,4,FALSE),"")</f>
        <v>1930</v>
      </c>
      <c r="F32" s="142">
        <f>IF(Tue_W2[[#This Row],[Employee Name]]="","",IF(Tue_W2[[#This Row],[Dept]]="Supervisor",COUNTIFS($J32:$AX32,"*HL*",$J32:$AX32,"&lt;&gt;"&amp;"pHL"),COUNTIFS($J32:$AX32,"*HL*",$J32:$AX32,"&lt;&gt;"&amp;"*pHL*",$J32:$AX32,"&lt;&gt;"&amp;"pB1 HL",$J32:$AX32,"&lt;&gt;"&amp;"pB2 HL")-SUM(COUNTIFS($J32:$AX32,"*HL B1*",$J32:$AX32,"&lt;&gt;"&amp;"pHL B1")*0.5,COUNTIFS($J32:$AX32,"*HL B2*",$J32:$AX32,"&lt;&gt;"&amp;"pHL B2")*0.5,COUNTIFS($J32:$AX32,"*B1 HL*",$J32:$AX32,"&lt;&gt;"&amp;"pB1 HL")*0.5,COUNTIFS($J32:$AX32,"*B2 HL*",$J32:$AX32,"&lt;&gt;"&amp;"pB2 HL")*0.5)))</f>
        <v>7</v>
      </c>
      <c r="G32" s="142">
        <f t="shared" si="0"/>
        <v>0</v>
      </c>
      <c r="H32" s="142">
        <f t="shared" si="1"/>
        <v>9</v>
      </c>
      <c r="I32" s="142">
        <f>IF(Tue_W2[[#This Row],[Employee Name]]="","",IF(Tue_W2[[#This Row],[Dept]]="Supervisor",SUM(COUNTIFS($J32:$AX32,"RTA*",$J32:$AX32,"&lt;&gt;"&amp;"pRTA"),COUNTIFS($J32:$AX32,"*CRTA*",$J32:$AX32,"&lt;&gt;"&amp;"pCRTA")),COUNTIFS($J32:$AX32,"*RNNR*",$J32:$AX32,"&lt;&gt;"&amp;"*pRNNR*",$J32:$AX32,"&lt;&gt;"&amp;"pB1 RNNR",$J32:$AX32,"&lt;&gt;"&amp;"pB2 RNNR")-SUM(COUNTIFS($J32:$AX32,"*RNNR B1*",$J32:$AX32,"&lt;&gt;"&amp;"pRNNR B1")*0.5,COUNTIFS($J32:$AX32,"*RNNR B2*",$J32:$AX32,"&lt;&gt;"&amp;"pRNNR B2")*0.5,COUNTIFS($J32:$AX32,"*B1 RNNR*",$J32:$AX32,"&lt;&gt;"&amp;"pB1 RNNR")*0.5,COUNTIFS($J32:$AX32,"*B2 RNNR*",$J32:$AX32,"&lt;&gt;"&amp;"pB2 RNNR")*0.5)))</f>
        <v>0</v>
      </c>
      <c r="J32" s="184" t="str">
        <f>IFERROR(IF(VLOOKUP(Tue_W2[[#This Row],[Employee Name]],'Base Schedules'!$A$160:$AW$203,9,FALSE)="","",VLOOKUP(Tue_W2[[#This Row],[Employee Name]],'Base Schedules'!$A$160:$AW$203,9,FALSE)),"")</f>
        <v/>
      </c>
      <c r="K32" s="184" t="str">
        <f>IFERROR(IF(VLOOKUP(Tue_W2[[#This Row],[Employee Name]],'Base Schedules'!$A$160:$AW$203,10,FALSE)="","",VLOOKUP(Tue_W2[[#This Row],[Employee Name]],'Base Schedules'!$A$160:$AW$203,10,FALSE)),"")</f>
        <v/>
      </c>
      <c r="L32" s="184" t="str">
        <f>IFERROR(IF(VLOOKUP(Tue_W2[[#This Row],[Employee Name]],'Base Schedules'!$A$160:$AW$203,11,FALSE)="","",VLOOKUP(Tue_W2[[#This Row],[Employee Name]],'Base Schedules'!$A$160:$AW$203,11,FALSE)),"")</f>
        <v/>
      </c>
      <c r="M32" s="184" t="str">
        <f>IFERROR(IF(VLOOKUP(Tue_W2[[#This Row],[Employee Name]],'Base Schedules'!$A$160:$AW$203,12,FALSE)="","",VLOOKUP(Tue_W2[[#This Row],[Employee Name]],'Base Schedules'!$A$160:$AW$203,12,FALSE)),"")</f>
        <v/>
      </c>
      <c r="N32" s="184" t="str">
        <f>IFERROR(IF(VLOOKUP(Tue_W2[[#This Row],[Employee Name]],'Base Schedules'!$A$160:$AW$203,13,FALSE)="","",VLOOKUP(Tue_W2[[#This Row],[Employee Name]],'Base Schedules'!$A$160:$AW$203,13,FALSE)),"")</f>
        <v/>
      </c>
      <c r="O32" s="184" t="str">
        <f>IFERROR(IF(VLOOKUP(Tue_W2[[#This Row],[Employee Name]],'Base Schedules'!$A$160:$AW$203,14,FALSE)="","",VLOOKUP(Tue_W2[[#This Row],[Employee Name]],'Base Schedules'!$A$160:$AW$203,14,FALSE)),"")</f>
        <v/>
      </c>
      <c r="P32" s="184" t="str">
        <f>IFERROR(IF(VLOOKUP(Tue_W2[[#This Row],[Employee Name]],'Base Schedules'!$A$160:$AW$203,15,FALSE)="","",VLOOKUP(Tue_W2[[#This Row],[Employee Name]],'Base Schedules'!$A$160:$AW$203,15,FALSE)),"")</f>
        <v/>
      </c>
      <c r="Q32" s="184" t="str">
        <f>IFERROR(IF(VLOOKUP(Tue_W2[[#This Row],[Employee Name]],'Base Schedules'!$A$160:$AW$203,16,FALSE)="","",VLOOKUP(Tue_W2[[#This Row],[Employee Name]],'Base Schedules'!$A$160:$AW$203,16,FALSE)),"")</f>
        <v/>
      </c>
      <c r="R32" s="184" t="str">
        <f>IFERROR(IF(VLOOKUP(Tue_W2[[#This Row],[Employee Name]],'Base Schedules'!$A$160:$AW$203,17,FALSE)="","",VLOOKUP(Tue_W2[[#This Row],[Employee Name]],'Base Schedules'!$A$160:$AW$203,17,FALSE)),"")</f>
        <v/>
      </c>
      <c r="S32" s="184" t="str">
        <f>IFERROR(IF(VLOOKUP(Tue_W2[[#This Row],[Employee Name]],'Base Schedules'!$A$160:$AW$203,18,FALSE)="","",VLOOKUP(Tue_W2[[#This Row],[Employee Name]],'Base Schedules'!$A$160:$AW$203,18,FALSE)),"")</f>
        <v/>
      </c>
      <c r="T32" s="184" t="str">
        <f>IFERROR(IF(VLOOKUP(Tue_W2[[#This Row],[Employee Name]],'Base Schedules'!$A$160:$AW$203,19,FALSE)="","",VLOOKUP(Tue_W2[[#This Row],[Employee Name]],'Base Schedules'!$A$160:$AW$203,19,FALSE)),"")</f>
        <v/>
      </c>
      <c r="U32" s="184" t="str">
        <f>IFERROR(IF(VLOOKUP(Tue_W2[[#This Row],[Employee Name]],'Base Schedules'!$A$160:$AW$203,20,FALSE)="","",VLOOKUP(Tue_W2[[#This Row],[Employee Name]],'Base Schedules'!$A$160:$AW$203,20,FALSE)),"")</f>
        <v/>
      </c>
      <c r="V32" s="184" t="str">
        <f>IFERROR(IF(VLOOKUP(Tue_W2[[#This Row],[Employee Name]],'Base Schedules'!$A$160:$AW$203,21,FALSE)="","",VLOOKUP(Tue_W2[[#This Row],[Employee Name]],'Base Schedules'!$A$160:$AW$203,21,FALSE)),"")</f>
        <v/>
      </c>
      <c r="W32" s="184" t="str">
        <f>IFERROR(IF(VLOOKUP(Tue_W2[[#This Row],[Employee Name]],'Base Schedules'!$A$160:$AW$203,22,FALSE)="","",VLOOKUP(Tue_W2[[#This Row],[Employee Name]],'Base Schedules'!$A$160:$AW$203,22,FALSE)),"")</f>
        <v>ADM</v>
      </c>
      <c r="X32" s="184" t="str">
        <f>IFERROR(IF(VLOOKUP(Tue_W2[[#This Row],[Employee Name]],'Base Schedules'!$A$160:$AW$203,23,FALSE)="","",VLOOKUP(Tue_W2[[#This Row],[Employee Name]],'Base Schedules'!$A$160:$AW$203,23,FALSE)),"")</f>
        <v>ADM</v>
      </c>
      <c r="Y32" s="184" t="str">
        <f>IFERROR(IF(VLOOKUP(Tue_W2[[#This Row],[Employee Name]],'Base Schedules'!$A$160:$AW$203,24,FALSE)="","",VLOOKUP(Tue_W2[[#This Row],[Employee Name]],'Base Schedules'!$A$160:$AW$203,24,FALSE)),"")</f>
        <v>ADM</v>
      </c>
      <c r="Z32" s="184" t="str">
        <f>IFERROR(IF(VLOOKUP(Tue_W2[[#This Row],[Employee Name]],'Base Schedules'!$A$160:$AW$203,25,FALSE)="","",VLOOKUP(Tue_W2[[#This Row],[Employee Name]],'Base Schedules'!$A$160:$AW$203,25,FALSE)),"")</f>
        <v>ADM</v>
      </c>
      <c r="AA32" s="184" t="str">
        <f>IFERROR(IF(VLOOKUP(Tue_W2[[#This Row],[Employee Name]],'Base Schedules'!$A$160:$AW$203,26,FALSE)="","",VLOOKUP(Tue_W2[[#This Row],[Employee Name]],'Base Schedules'!$A$160:$AW$203,26,FALSE)),"")</f>
        <v>ADM B1</v>
      </c>
      <c r="AB32" s="184" t="str">
        <f>IFERROR(IF(VLOOKUP(Tue_W2[[#This Row],[Employee Name]],'Base Schedules'!$A$160:$AW$203,27,FALSE)="","",VLOOKUP(Tue_W2[[#This Row],[Employee Name]],'Base Schedules'!$A$160:$AW$203,27,FALSE)),"")</f>
        <v>HL</v>
      </c>
      <c r="AC32" s="184" t="str">
        <f>IFERROR(IF(VLOOKUP(Tue_W2[[#This Row],[Employee Name]],'Base Schedules'!$A$160:$AW$203,28,FALSE)="","",VLOOKUP(Tue_W2[[#This Row],[Employee Name]],'Base Schedules'!$A$160:$AW$203,28,FALSE)),"")</f>
        <v>HL</v>
      </c>
      <c r="AD32" s="184" t="str">
        <f>IFERROR(IF(VLOOKUP(Tue_W2[[#This Row],[Employee Name]],'Base Schedules'!$A$160:$AW$203,29,FALSE)="","",VLOOKUP(Tue_W2[[#This Row],[Employee Name]],'Base Schedules'!$A$160:$AW$203,29,FALSE)),"")</f>
        <v>HL</v>
      </c>
      <c r="AE32" s="184" t="str">
        <f>IFERROR(IF(VLOOKUP(Tue_W2[[#This Row],[Employee Name]],'Base Schedules'!$A$160:$AW$203,30,FALSE)="","",VLOOKUP(Tue_W2[[#This Row],[Employee Name]],'Base Schedules'!$A$160:$AW$203,30,FALSE)),"")</f>
        <v>HL</v>
      </c>
      <c r="AF32" s="184" t="str">
        <f>IFERROR(IF(VLOOKUP(Tue_W2[[#This Row],[Employee Name]],'Base Schedules'!$A$160:$AW$203,31,FALSE)="","",VLOOKUP(Tue_W2[[#This Row],[Employee Name]],'Base Schedules'!$A$160:$AW$203,31,FALSE)),"")</f>
        <v>LUNCH</v>
      </c>
      <c r="AG32" s="184" t="str">
        <f>IFERROR(IF(VLOOKUP(Tue_W2[[#This Row],[Employee Name]],'Base Schedules'!$A$160:$AW$203,32,FALSE)="","",VLOOKUP(Tue_W2[[#This Row],[Employee Name]],'Base Schedules'!$A$160:$AW$203,32,FALSE)),"")</f>
        <v>HL</v>
      </c>
      <c r="AH32" s="184" t="str">
        <f>IFERROR(IF(VLOOKUP(Tue_W2[[#This Row],[Employee Name]],'Base Schedules'!$A$160:$AW$203,33,FALSE)="","",VLOOKUP(Tue_W2[[#This Row],[Employee Name]],'Base Schedules'!$A$160:$AW$203,33,FALSE)),"")</f>
        <v>ADM</v>
      </c>
      <c r="AI32" s="184" t="str">
        <f>IFERROR(IF(VLOOKUP(Tue_W2[[#This Row],[Employee Name]],'Base Schedules'!$A$160:$AW$203,34,FALSE)="","",VLOOKUP(Tue_W2[[#This Row],[Employee Name]],'Base Schedules'!$A$160:$AW$203,34,FALSE)),"")</f>
        <v>ADM</v>
      </c>
      <c r="AJ32" s="184" t="str">
        <f>IFERROR(IF(VLOOKUP(Tue_W2[[#This Row],[Employee Name]],'Base Schedules'!$A$160:$AW$203,35,FALSE)="","",VLOOKUP(Tue_W2[[#This Row],[Employee Name]],'Base Schedules'!$A$160:$AW$203,35,FALSE)),"")</f>
        <v>ADM B2</v>
      </c>
      <c r="AK32" s="184" t="str">
        <f>IFERROR(IF(VLOOKUP(Tue_W2[[#This Row],[Employee Name]],'Base Schedules'!$A$160:$AW$203,36,FALSE)="","",VLOOKUP(Tue_W2[[#This Row],[Employee Name]],'Base Schedules'!$A$160:$AW$203,36,FALSE)),"")</f>
        <v>ADM</v>
      </c>
      <c r="AL32" s="184" t="str">
        <f>IFERROR(IF(VLOOKUP(Tue_W2[[#This Row],[Employee Name]],'Base Schedules'!$A$160:$AW$203,37,FALSE)="","",VLOOKUP(Tue_W2[[#This Row],[Employee Name]],'Base Schedules'!$A$160:$AW$203,37,FALSE)),"")</f>
        <v>HL</v>
      </c>
      <c r="AM32" s="184" t="str">
        <f>IFERROR(IF(VLOOKUP(Tue_W2[[#This Row],[Employee Name]],'Base Schedules'!$A$160:$AW$203,38,FALSE)="","",VLOOKUP(Tue_W2[[#This Row],[Employee Name]],'Base Schedules'!$A$160:$AW$203,38,FALSE)),"")</f>
        <v>HL</v>
      </c>
      <c r="AN32" s="184" t="str">
        <f>IFERROR(IF(VLOOKUP(Tue_W2[[#This Row],[Employee Name]],'Base Schedules'!$A$160:$AW$203,39,FALSE)="","",VLOOKUP(Tue_W2[[#This Row],[Employee Name]],'Base Schedules'!$A$160:$AW$203,39,FALSE)),"")</f>
        <v/>
      </c>
      <c r="AO32" s="184" t="str">
        <f>IFERROR(IF(VLOOKUP(Tue_W2[[#This Row],[Employee Name]],'Base Schedules'!$A$160:$AW$203,40,FALSE)="","",VLOOKUP(Tue_W2[[#This Row],[Employee Name]],'Base Schedules'!$A$160:$AW$203,40,FALSE)),"")</f>
        <v/>
      </c>
      <c r="AP32" s="184" t="str">
        <f>IFERROR(IF(VLOOKUP(Tue_W2[[#This Row],[Employee Name]],'Base Schedules'!$A$160:$AW$203,41,FALSE)="","",VLOOKUP(Tue_W2[[#This Row],[Employee Name]],'Base Schedules'!$A$160:$AW$203,41,FALSE)),"")</f>
        <v/>
      </c>
      <c r="AQ32" s="184" t="str">
        <f>IFERROR(IF(VLOOKUP(Tue_W2[[#This Row],[Employee Name]],'Base Schedules'!$A$160:$AW$203,42,FALSE)="","",VLOOKUP(Tue_W2[[#This Row],[Employee Name]],'Base Schedules'!$A$160:$AW$203,42,FALSE)),"")</f>
        <v/>
      </c>
      <c r="AR32" s="184" t="str">
        <f>IFERROR(IF(VLOOKUP(Tue_W2[[#This Row],[Employee Name]],'Base Schedules'!$A$160:$AW$203,43,FALSE)="","",VLOOKUP(Tue_W2[[#This Row],[Employee Name]],'Base Schedules'!$A$160:$AW$203,43,FALSE)),"")</f>
        <v/>
      </c>
      <c r="AS32" s="184" t="str">
        <f>IFERROR(IF(VLOOKUP(Tue_W2[[#This Row],[Employee Name]],'Base Schedules'!$A$160:$AW$203,44,FALSE)="","",VLOOKUP(Tue_W2[[#This Row],[Employee Name]],'Base Schedules'!$A$160:$AW$203,44,FALSE)),"")</f>
        <v/>
      </c>
      <c r="AT32" s="184" t="str">
        <f>IFERROR(IF(VLOOKUP(Tue_W2[[#This Row],[Employee Name]],'Base Schedules'!$A$160:$AW$203,45,FALSE)="","",VLOOKUP(Tue_W2[[#This Row],[Employee Name]],'Base Schedules'!$A$160:$AW$203,45,FALSE)),"")</f>
        <v/>
      </c>
      <c r="AU32" s="184" t="str">
        <f>IFERROR(IF(VLOOKUP(Tue_W2[[#This Row],[Employee Name]],'Base Schedules'!$A$160:$AW$203,46,FALSE)="","",VLOOKUP(Tue_W2[[#This Row],[Employee Name]],'Base Schedules'!$A$160:$AW$203,46,FALSE)),"")</f>
        <v/>
      </c>
      <c r="AV32" s="184" t="str">
        <f>IFERROR(IF(VLOOKUP(Tue_W2[[#This Row],[Employee Name]],'Base Schedules'!$A$160:$AW$203,47,FALSE)="","",VLOOKUP(Tue_W2[[#This Row],[Employee Name]],'Base Schedules'!$A$160:$AW$203,47,FALSE)),"")</f>
        <v/>
      </c>
      <c r="AW32" s="184" t="str">
        <f>IFERROR(IF(VLOOKUP(Tue_W2[[#This Row],[Employee Name]],'Base Schedules'!$A$160:$AW$203,48,FALSE)="","",VLOOKUP(Tue_W2[[#This Row],[Employee Name]],'Base Schedules'!$A$160:$AW$203,48,FALSE)),"")</f>
        <v/>
      </c>
      <c r="AX32" s="184" t="str">
        <f>IFERROR(IF(VLOOKUP(Tue_W2[[#This Row],[Employee Name]],'Base Schedules'!$A$160:$AW$203,49,FALSE)="","",VLOOKUP(Tue_W2[[#This Row],[Employee Name]],'Base Schedules'!$A$160:$AW$203,49,FALSE)),"")</f>
        <v/>
      </c>
      <c r="AY32" s="159" t="str">
        <f t="shared" si="2"/>
        <v>Condon, Heather</v>
      </c>
    </row>
    <row r="33" spans="1:51" s="44" customFormat="1" ht="12" customHeight="1" x14ac:dyDescent="0.2">
      <c r="A33" s="39" t="str">
        <f>IF(B33="","",INDEX(TeamList[],MATCH($B33,TeamList[[Employee Name]:[Employee Name]],0),MATCH("Manager",TeamList[#Headers],0)))</f>
        <v>Ahmed Hassan, Zahra</v>
      </c>
      <c r="B33" s="201" t="s">
        <v>63</v>
      </c>
      <c r="C33" s="257" t="str">
        <f>_xlfn.IFNA(VLOOKUP(Tue_W2[[#This Row],[Employee Name]],'Base Schedules'!A:B,2,FALSE),"")</f>
        <v>Supervisor</v>
      </c>
      <c r="D33" s="274">
        <f>_xlfn.IFNA(VLOOKUP(Tue_W2[[#This Row],[Employee Name]],'Base Schedules'!A:C,3,FALSE),"")</f>
        <v>1200</v>
      </c>
      <c r="E33" s="274">
        <f>_xlfn.IFNA(VLOOKUP(Tue_W2[[#This Row],[Employee Name]],'Base Schedules'!A:D,4,FALSE),"")</f>
        <v>2100</v>
      </c>
      <c r="F33" s="142">
        <f>IF(Tue_W2[[#This Row],[Employee Name]]="","",IF(Tue_W2[[#This Row],[Dept]]="Supervisor",COUNTIFS($J33:$AX33,"*HL*",$J33:$AX33,"&lt;&gt;"&amp;"pHL"),COUNTIFS($J33:$AX33,"*HL*",$J33:$AX33,"&lt;&gt;"&amp;"*pHL*",$J33:$AX33,"&lt;&gt;"&amp;"pB1 HL",$J33:$AX33,"&lt;&gt;"&amp;"pB2 HL")-SUM(COUNTIFS($J33:$AX33,"*HL B1*",$J33:$AX33,"&lt;&gt;"&amp;"pHL B1")*0.5,COUNTIFS($J33:$AX33,"*HL B2*",$J33:$AX33,"&lt;&gt;"&amp;"pHL B2")*0.5,COUNTIFS($J33:$AX33,"*B1 HL*",$J33:$AX33,"&lt;&gt;"&amp;"pB1 HL")*0.5,COUNTIFS($J33:$AX33,"*B2 HL*",$J33:$AX33,"&lt;&gt;"&amp;"pB2 HL")*0.5)))</f>
        <v>0</v>
      </c>
      <c r="G33" s="142">
        <f t="shared" si="0"/>
        <v>5</v>
      </c>
      <c r="H33" s="142">
        <f t="shared" si="1"/>
        <v>0</v>
      </c>
      <c r="I33" s="142">
        <f>IF(Tue_W2[[#This Row],[Employee Name]]="","",IF(Tue_W2[[#This Row],[Dept]]="Supervisor",SUM(COUNTIFS($J33:$AX33,"RTA*",$J33:$AX33,"&lt;&gt;"&amp;"pRTA"),COUNTIFS($J33:$AX33,"*CRTA*",$J33:$AX33,"&lt;&gt;"&amp;"pCRTA")),COUNTIFS($J33:$AX33,"*RNNR*",$J33:$AX33,"&lt;&gt;"&amp;"*pRNNR*",$J33:$AX33,"&lt;&gt;"&amp;"pB1 RNNR",$J33:$AX33,"&lt;&gt;"&amp;"pB2 RNNR")-SUM(COUNTIFS($J33:$AX33,"*RNNR B1*",$J33:$AX33,"&lt;&gt;"&amp;"pRNNR B1")*0.5,COUNTIFS($J33:$AX33,"*RNNR B2*",$J33:$AX33,"&lt;&gt;"&amp;"pRNNR B2")*0.5,COUNTIFS($J33:$AX33,"*B1 RNNR*",$J33:$AX33,"&lt;&gt;"&amp;"pB1 RNNR")*0.5,COUNTIFS($J33:$AX33,"*B2 RNNR*",$J33:$AX33,"&lt;&gt;"&amp;"pB2 RNNR")*0.5)))</f>
        <v>0</v>
      </c>
      <c r="J33" s="184" t="str">
        <f>IFERROR(IF(VLOOKUP(Tue_W2[[#This Row],[Employee Name]],'Base Schedules'!$A$160:$AW$203,9,FALSE)="","",VLOOKUP(Tue_W2[[#This Row],[Employee Name]],'Base Schedules'!$A$160:$AW$203,9,FALSE)),"")</f>
        <v/>
      </c>
      <c r="K33" s="184" t="str">
        <f>IFERROR(IF(VLOOKUP(Tue_W2[[#This Row],[Employee Name]],'Base Schedules'!$A$160:$AW$203,10,FALSE)="","",VLOOKUP(Tue_W2[[#This Row],[Employee Name]],'Base Schedules'!$A$160:$AW$203,10,FALSE)),"")</f>
        <v/>
      </c>
      <c r="L33" s="184" t="str">
        <f>IFERROR(IF(VLOOKUP(Tue_W2[[#This Row],[Employee Name]],'Base Schedules'!$A$160:$AW$203,11,FALSE)="","",VLOOKUP(Tue_W2[[#This Row],[Employee Name]],'Base Schedules'!$A$160:$AW$203,11,FALSE)),"")</f>
        <v/>
      </c>
      <c r="M33" s="184" t="str">
        <f>IFERROR(IF(VLOOKUP(Tue_W2[[#This Row],[Employee Name]],'Base Schedules'!$A$160:$AW$203,12,FALSE)="","",VLOOKUP(Tue_W2[[#This Row],[Employee Name]],'Base Schedules'!$A$160:$AW$203,12,FALSE)),"")</f>
        <v/>
      </c>
      <c r="N33" s="184" t="str">
        <f>IFERROR(IF(VLOOKUP(Tue_W2[[#This Row],[Employee Name]],'Base Schedules'!$A$160:$AW$203,13,FALSE)="","",VLOOKUP(Tue_W2[[#This Row],[Employee Name]],'Base Schedules'!$A$160:$AW$203,13,FALSE)),"")</f>
        <v/>
      </c>
      <c r="O33" s="184" t="str">
        <f>IFERROR(IF(VLOOKUP(Tue_W2[[#This Row],[Employee Name]],'Base Schedules'!$A$160:$AW$203,14,FALSE)="","",VLOOKUP(Tue_W2[[#This Row],[Employee Name]],'Base Schedules'!$A$160:$AW$203,14,FALSE)),"")</f>
        <v/>
      </c>
      <c r="P33" s="184" t="str">
        <f>IFERROR(IF(VLOOKUP(Tue_W2[[#This Row],[Employee Name]],'Base Schedules'!$A$160:$AW$203,15,FALSE)="","",VLOOKUP(Tue_W2[[#This Row],[Employee Name]],'Base Schedules'!$A$160:$AW$203,15,FALSE)),"")</f>
        <v/>
      </c>
      <c r="Q33" s="184" t="str">
        <f>IFERROR(IF(VLOOKUP(Tue_W2[[#This Row],[Employee Name]],'Base Schedules'!$A$160:$AW$203,16,FALSE)="","",VLOOKUP(Tue_W2[[#This Row],[Employee Name]],'Base Schedules'!$A$160:$AW$203,16,FALSE)),"")</f>
        <v/>
      </c>
      <c r="R33" s="184" t="str">
        <f>IFERROR(IF(VLOOKUP(Tue_W2[[#This Row],[Employee Name]],'Base Schedules'!$A$160:$AW$203,17,FALSE)="","",VLOOKUP(Tue_W2[[#This Row],[Employee Name]],'Base Schedules'!$A$160:$AW$203,17,FALSE)),"")</f>
        <v/>
      </c>
      <c r="S33" s="184" t="str">
        <f>IFERROR(IF(VLOOKUP(Tue_W2[[#This Row],[Employee Name]],'Base Schedules'!$A$160:$AW$203,18,FALSE)="","",VLOOKUP(Tue_W2[[#This Row],[Employee Name]],'Base Schedules'!$A$160:$AW$203,18,FALSE)),"")</f>
        <v/>
      </c>
      <c r="T33" s="184" t="str">
        <f>IFERROR(IF(VLOOKUP(Tue_W2[[#This Row],[Employee Name]],'Base Schedules'!$A$160:$AW$203,19,FALSE)="","",VLOOKUP(Tue_W2[[#This Row],[Employee Name]],'Base Schedules'!$A$160:$AW$203,19,FALSE)),"")</f>
        <v/>
      </c>
      <c r="U33" s="184" t="str">
        <f>IFERROR(IF(VLOOKUP(Tue_W2[[#This Row],[Employee Name]],'Base Schedules'!$A$160:$AW$203,20,FALSE)="","",VLOOKUP(Tue_W2[[#This Row],[Employee Name]],'Base Schedules'!$A$160:$AW$203,20,FALSE)),"")</f>
        <v/>
      </c>
      <c r="V33" s="184" t="str">
        <f>IFERROR(IF(VLOOKUP(Tue_W2[[#This Row],[Employee Name]],'Base Schedules'!$A$160:$AW$203,21,FALSE)="","",VLOOKUP(Tue_W2[[#This Row],[Employee Name]],'Base Schedules'!$A$160:$AW$203,21,FALSE)),"")</f>
        <v/>
      </c>
      <c r="W33" s="184" t="str">
        <f>IFERROR(IF(VLOOKUP(Tue_W2[[#This Row],[Employee Name]],'Base Schedules'!$A$160:$AW$203,22,FALSE)="","",VLOOKUP(Tue_W2[[#This Row],[Employee Name]],'Base Schedules'!$A$160:$AW$203,22,FALSE)),"")</f>
        <v/>
      </c>
      <c r="X33" s="184" t="str">
        <f>IFERROR(IF(VLOOKUP(Tue_W2[[#This Row],[Employee Name]],'Base Schedules'!$A$160:$AW$203,23,FALSE)="","",VLOOKUP(Tue_W2[[#This Row],[Employee Name]],'Base Schedules'!$A$160:$AW$203,23,FALSE)),"")</f>
        <v>-</v>
      </c>
      <c r="Y33" s="184" t="str">
        <f>IFERROR(IF(VLOOKUP(Tue_W2[[#This Row],[Employee Name]],'Base Schedules'!$A$160:$AW$203,24,FALSE)="","",VLOOKUP(Tue_W2[[#This Row],[Employee Name]],'Base Schedules'!$A$160:$AW$203,24,FALSE)),"")</f>
        <v>-</v>
      </c>
      <c r="Z33" s="184" t="str">
        <f>IFERROR(IF(VLOOKUP(Tue_W2[[#This Row],[Employee Name]],'Base Schedules'!$A$160:$AW$203,25,FALSE)="","",VLOOKUP(Tue_W2[[#This Row],[Employee Name]],'Base Schedules'!$A$160:$AW$203,25,FALSE)),"")</f>
        <v>-</v>
      </c>
      <c r="AA33" s="184" t="str">
        <f>IFERROR(IF(VLOOKUP(Tue_W2[[#This Row],[Employee Name]],'Base Schedules'!$A$160:$AW$203,26,FALSE)="","",VLOOKUP(Tue_W2[[#This Row],[Employee Name]],'Base Schedules'!$A$160:$AW$203,26,FALSE)),"")</f>
        <v>-</v>
      </c>
      <c r="AB33" s="184" t="str">
        <f>IFERROR(IF(VLOOKUP(Tue_W2[[#This Row],[Employee Name]],'Base Schedules'!$A$160:$AW$203,27,FALSE)="","",VLOOKUP(Tue_W2[[#This Row],[Employee Name]],'Base Schedules'!$A$160:$AW$203,27,FALSE)),"")</f>
        <v>Interview</v>
      </c>
      <c r="AC33" s="184" t="str">
        <f>IFERROR(IF(VLOOKUP(Tue_W2[[#This Row],[Employee Name]],'Base Schedules'!$A$160:$AW$203,28,FALSE)="","",VLOOKUP(Tue_W2[[#This Row],[Employee Name]],'Base Schedules'!$A$160:$AW$203,28,FALSE)),"")</f>
        <v>Interview</v>
      </c>
      <c r="AD33" s="184" t="str">
        <f>IFERROR(IF(VLOOKUP(Tue_W2[[#This Row],[Employee Name]],'Base Schedules'!$A$160:$AW$203,29,FALSE)="","",VLOOKUP(Tue_W2[[#This Row],[Employee Name]],'Base Schedules'!$A$160:$AW$203,29,FALSE)),"")</f>
        <v>-</v>
      </c>
      <c r="AE33" s="184" t="str">
        <f>IFERROR(IF(VLOOKUP(Tue_W2[[#This Row],[Employee Name]],'Base Schedules'!$A$160:$AW$203,30,FALSE)="","",VLOOKUP(Tue_W2[[#This Row],[Employee Name]],'Base Schedules'!$A$160:$AW$203,30,FALSE)),"")</f>
        <v>-</v>
      </c>
      <c r="AF33" s="184" t="str">
        <f>IFERROR(IF(VLOOKUP(Tue_W2[[#This Row],[Employee Name]],'Base Schedules'!$A$160:$AW$203,31,FALSE)="","",VLOOKUP(Tue_W2[[#This Row],[Employee Name]],'Base Schedules'!$A$160:$AW$203,31,FALSE)),"")</f>
        <v>-</v>
      </c>
      <c r="AG33" s="184" t="str">
        <f>IFERROR(IF(VLOOKUP(Tue_W2[[#This Row],[Employee Name]],'Base Schedules'!$A$160:$AW$203,32,FALSE)="","",VLOOKUP(Tue_W2[[#This Row],[Employee Name]],'Base Schedules'!$A$160:$AW$203,32,FALSE)),"")</f>
        <v>Coaching</v>
      </c>
      <c r="AH33" s="184" t="str">
        <f>IFERROR(IF(VLOOKUP(Tue_W2[[#This Row],[Employee Name]],'Base Schedules'!$A$160:$AW$203,33,FALSE)="","",VLOOKUP(Tue_W2[[#This Row],[Employee Name]],'Base Schedules'!$A$160:$AW$203,33,FALSE)),"")</f>
        <v>Coaching</v>
      </c>
      <c r="AI33" s="184" t="str">
        <f>IFERROR(IF(VLOOKUP(Tue_W2[[#This Row],[Employee Name]],'Base Schedules'!$A$160:$AW$203,34,FALSE)="","",VLOOKUP(Tue_W2[[#This Row],[Employee Name]],'Base Schedules'!$A$160:$AW$203,34,FALSE)),"")</f>
        <v>Coaching</v>
      </c>
      <c r="AJ33" s="184" t="str">
        <f>IFERROR(IF(VLOOKUP(Tue_W2[[#This Row],[Employee Name]],'Base Schedules'!$A$160:$AW$203,35,FALSE)="","",VLOOKUP(Tue_W2[[#This Row],[Employee Name]],'Base Schedules'!$A$160:$AW$203,35,FALSE)),"")</f>
        <v>Coaching</v>
      </c>
      <c r="AK33" s="184" t="str">
        <f>IFERROR(IF(VLOOKUP(Tue_W2[[#This Row],[Employee Name]],'Base Schedules'!$A$160:$AW$203,36,FALSE)="","",VLOOKUP(Tue_W2[[#This Row],[Employee Name]],'Base Schedules'!$A$160:$AW$203,36,FALSE)),"")</f>
        <v>Coaching</v>
      </c>
      <c r="AL33" s="184" t="str">
        <f>IFERROR(IF(VLOOKUP(Tue_W2[[#This Row],[Employee Name]],'Base Schedules'!$A$160:$AW$203,37,FALSE)="","",VLOOKUP(Tue_W2[[#This Row],[Employee Name]],'Base Schedules'!$A$160:$AW$203,37,FALSE)),"")</f>
        <v>-</v>
      </c>
      <c r="AM33" s="184" t="str">
        <f>IFERROR(IF(VLOOKUP(Tue_W2[[#This Row],[Employee Name]],'Base Schedules'!$A$160:$AW$203,38,FALSE)="","",VLOOKUP(Tue_W2[[#This Row],[Employee Name]],'Base Schedules'!$A$160:$AW$203,38,FALSE)),"")</f>
        <v>-</v>
      </c>
      <c r="AN33" s="184" t="str">
        <f>IFERROR(IF(VLOOKUP(Tue_W2[[#This Row],[Employee Name]],'Base Schedules'!$A$160:$AW$203,39,FALSE)="","",VLOOKUP(Tue_W2[[#This Row],[Employee Name]],'Base Schedules'!$A$160:$AW$203,39,FALSE)),"")</f>
        <v>-</v>
      </c>
      <c r="AO33" s="184" t="str">
        <f>IFERROR(IF(VLOOKUP(Tue_W2[[#This Row],[Employee Name]],'Base Schedules'!$A$160:$AW$203,40,FALSE)="","",VLOOKUP(Tue_W2[[#This Row],[Employee Name]],'Base Schedules'!$A$160:$AW$203,40,FALSE)),"")</f>
        <v>-</v>
      </c>
      <c r="AP33" s="184" t="str">
        <f>IFERROR(IF(VLOOKUP(Tue_W2[[#This Row],[Employee Name]],'Base Schedules'!$A$160:$AW$203,41,FALSE)="","",VLOOKUP(Tue_W2[[#This Row],[Employee Name]],'Base Schedules'!$A$160:$AW$203,41,FALSE)),"")</f>
        <v/>
      </c>
      <c r="AQ33" s="184" t="str">
        <f>IFERROR(IF(VLOOKUP(Tue_W2[[#This Row],[Employee Name]],'Base Schedules'!$A$160:$AW$203,42,FALSE)="","",VLOOKUP(Tue_W2[[#This Row],[Employee Name]],'Base Schedules'!$A$160:$AW$203,42,FALSE)),"")</f>
        <v/>
      </c>
      <c r="AR33" s="184" t="str">
        <f>IFERROR(IF(VLOOKUP(Tue_W2[[#This Row],[Employee Name]],'Base Schedules'!$A$160:$AW$203,43,FALSE)="","",VLOOKUP(Tue_W2[[#This Row],[Employee Name]],'Base Schedules'!$A$160:$AW$203,43,FALSE)),"")</f>
        <v/>
      </c>
      <c r="AS33" s="184" t="str">
        <f>IFERROR(IF(VLOOKUP(Tue_W2[[#This Row],[Employee Name]],'Base Schedules'!$A$160:$AW$203,44,FALSE)="","",VLOOKUP(Tue_W2[[#This Row],[Employee Name]],'Base Schedules'!$A$160:$AW$203,44,FALSE)),"")</f>
        <v/>
      </c>
      <c r="AT33" s="184" t="str">
        <f>IFERROR(IF(VLOOKUP(Tue_W2[[#This Row],[Employee Name]],'Base Schedules'!$A$160:$AW$203,45,FALSE)="","",VLOOKUP(Tue_W2[[#This Row],[Employee Name]],'Base Schedules'!$A$160:$AW$203,45,FALSE)),"")</f>
        <v/>
      </c>
      <c r="AU33" s="184" t="str">
        <f>IFERROR(IF(VLOOKUP(Tue_W2[[#This Row],[Employee Name]],'Base Schedules'!$A$160:$AW$203,46,FALSE)="","",VLOOKUP(Tue_W2[[#This Row],[Employee Name]],'Base Schedules'!$A$160:$AW$203,46,FALSE)),"")</f>
        <v/>
      </c>
      <c r="AV33" s="184" t="str">
        <f>IFERROR(IF(VLOOKUP(Tue_W2[[#This Row],[Employee Name]],'Base Schedules'!$A$160:$AW$203,47,FALSE)="","",VLOOKUP(Tue_W2[[#This Row],[Employee Name]],'Base Schedules'!$A$160:$AW$203,47,FALSE)),"")</f>
        <v/>
      </c>
      <c r="AW33" s="184" t="str">
        <f>IFERROR(IF(VLOOKUP(Tue_W2[[#This Row],[Employee Name]],'Base Schedules'!$A$160:$AW$203,48,FALSE)="","",VLOOKUP(Tue_W2[[#This Row],[Employee Name]],'Base Schedules'!$A$160:$AW$203,48,FALSE)),"")</f>
        <v/>
      </c>
      <c r="AX33" s="184" t="str">
        <f>IFERROR(IF(VLOOKUP(Tue_W2[[#This Row],[Employee Name]],'Base Schedules'!$A$160:$AW$203,49,FALSE)="","",VLOOKUP(Tue_W2[[#This Row],[Employee Name]],'Base Schedules'!$A$160:$AW$203,49,FALSE)),"")</f>
        <v/>
      </c>
      <c r="AY33" s="160" t="str">
        <f t="shared" si="2"/>
        <v>Conner, Mark</v>
      </c>
    </row>
    <row r="34" spans="1:51" s="44" customFormat="1" ht="12" customHeight="1" x14ac:dyDescent="0.2">
      <c r="A34" s="39" t="str">
        <f>IF(B34="","",INDEX(TeamList[],MATCH($B34,TeamList[[Employee Name]:[Employee Name]],0),MATCH("Manager",TeamList[#Headers],0)))</f>
        <v>Olson, Katherine</v>
      </c>
      <c r="B34" s="201" t="s">
        <v>227</v>
      </c>
      <c r="C34" s="257" t="str">
        <f>_xlfn.IFNA(VLOOKUP(Tue_W2[[#This Row],[Employee Name]],'Base Schedules'!A:B,2,FALSE),"")</f>
        <v>Supervisor</v>
      </c>
      <c r="D34" s="274">
        <f>_xlfn.IFNA(VLOOKUP(Tue_W2[[#This Row],[Employee Name]],'Base Schedules'!A:C,3,FALSE),"")</f>
        <v>1230</v>
      </c>
      <c r="E34" s="274">
        <f>_xlfn.IFNA(VLOOKUP(Tue_W2[[#This Row],[Employee Name]],'Base Schedules'!A:D,4,FALSE),"")</f>
        <v>2130</v>
      </c>
      <c r="F34" s="142">
        <f>IF(Tue_W2[[#This Row],[Employee Name]]="","",IF(Tue_W2[[#This Row],[Dept]]="Supervisor",COUNTIFS($J34:$AX34,"*HL*",$J34:$AX34,"&lt;&gt;"&amp;"pHL"),COUNTIFS($J34:$AX34,"*HL*",$J34:$AX34,"&lt;&gt;"&amp;"*pHL*",$J34:$AX34,"&lt;&gt;"&amp;"pB1 HL",$J34:$AX34,"&lt;&gt;"&amp;"pB2 HL")-SUM(COUNTIFS($J34:$AX34,"*HL B1*",$J34:$AX34,"&lt;&gt;"&amp;"pHL B1")*0.5,COUNTIFS($J34:$AX34,"*HL B2*",$J34:$AX34,"&lt;&gt;"&amp;"pHL B2")*0.5,COUNTIFS($J34:$AX34,"*B1 HL*",$J34:$AX34,"&lt;&gt;"&amp;"pB1 HL")*0.5,COUNTIFS($J34:$AX34,"*B2 HL*",$J34:$AX34,"&lt;&gt;"&amp;"pB2 HL")*0.5)))</f>
        <v>0</v>
      </c>
      <c r="G34" s="142">
        <f t="shared" si="0"/>
        <v>0</v>
      </c>
      <c r="H34" s="142">
        <f t="shared" si="1"/>
        <v>0</v>
      </c>
      <c r="I34" s="142">
        <f>IF(Tue_W2[[#This Row],[Employee Name]]="","",IF(Tue_W2[[#This Row],[Dept]]="Supervisor",SUM(COUNTIFS($J34:$AX34,"RTA*",$J34:$AX34,"&lt;&gt;"&amp;"pRTA"),COUNTIFS($J34:$AX34,"*CRTA*",$J34:$AX34,"&lt;&gt;"&amp;"pCRTA")),COUNTIFS($J34:$AX34,"*RNNR*",$J34:$AX34,"&lt;&gt;"&amp;"*pRNNR*",$J34:$AX34,"&lt;&gt;"&amp;"pB1 RNNR",$J34:$AX34,"&lt;&gt;"&amp;"pB2 RNNR")-SUM(COUNTIFS($J34:$AX34,"*RNNR B1*",$J34:$AX34,"&lt;&gt;"&amp;"pRNNR B1")*0.5,COUNTIFS($J34:$AX34,"*RNNR B2*",$J34:$AX34,"&lt;&gt;"&amp;"pRNNR B2")*0.5,COUNTIFS($J34:$AX34,"*B1 RNNR*",$J34:$AX34,"&lt;&gt;"&amp;"pB1 RNNR")*0.5,COUNTIFS($J34:$AX34,"*B2 RNNR*",$J34:$AX34,"&lt;&gt;"&amp;"pB2 RNNR")*0.5)))</f>
        <v>0</v>
      </c>
      <c r="J34" s="184" t="str">
        <f>IFERROR(IF(VLOOKUP(Tue_W2[[#This Row],[Employee Name]],'Base Schedules'!$A$160:$AW$203,9,FALSE)="","",VLOOKUP(Tue_W2[[#This Row],[Employee Name]],'Base Schedules'!$A$160:$AW$203,9,FALSE)),"")</f>
        <v/>
      </c>
      <c r="K34" s="184" t="str">
        <f>IFERROR(IF(VLOOKUP(Tue_W2[[#This Row],[Employee Name]],'Base Schedules'!$A$160:$AW$203,10,FALSE)="","",VLOOKUP(Tue_W2[[#This Row],[Employee Name]],'Base Schedules'!$A$160:$AW$203,10,FALSE)),"")</f>
        <v/>
      </c>
      <c r="L34" s="184" t="str">
        <f>IFERROR(IF(VLOOKUP(Tue_W2[[#This Row],[Employee Name]],'Base Schedules'!$A$160:$AW$203,11,FALSE)="","",VLOOKUP(Tue_W2[[#This Row],[Employee Name]],'Base Schedules'!$A$160:$AW$203,11,FALSE)),"")</f>
        <v/>
      </c>
      <c r="M34" s="184" t="str">
        <f>IFERROR(IF(VLOOKUP(Tue_W2[[#This Row],[Employee Name]],'Base Schedules'!$A$160:$AW$203,12,FALSE)="","",VLOOKUP(Tue_W2[[#This Row],[Employee Name]],'Base Schedules'!$A$160:$AW$203,12,FALSE)),"")</f>
        <v/>
      </c>
      <c r="N34" s="184" t="str">
        <f>IFERROR(IF(VLOOKUP(Tue_W2[[#This Row],[Employee Name]],'Base Schedules'!$A$160:$AW$203,13,FALSE)="","",VLOOKUP(Tue_W2[[#This Row],[Employee Name]],'Base Schedules'!$A$160:$AW$203,13,FALSE)),"")</f>
        <v/>
      </c>
      <c r="O34" s="184" t="str">
        <f>IFERROR(IF(VLOOKUP(Tue_W2[[#This Row],[Employee Name]],'Base Schedules'!$A$160:$AW$203,14,FALSE)="","",VLOOKUP(Tue_W2[[#This Row],[Employee Name]],'Base Schedules'!$A$160:$AW$203,14,FALSE)),"")</f>
        <v/>
      </c>
      <c r="P34" s="184" t="str">
        <f>IFERROR(IF(VLOOKUP(Tue_W2[[#This Row],[Employee Name]],'Base Schedules'!$A$160:$AW$203,15,FALSE)="","",VLOOKUP(Tue_W2[[#This Row],[Employee Name]],'Base Schedules'!$A$160:$AW$203,15,FALSE)),"")</f>
        <v/>
      </c>
      <c r="Q34" s="184" t="str">
        <f>IFERROR(IF(VLOOKUP(Tue_W2[[#This Row],[Employee Name]],'Base Schedules'!$A$160:$AW$203,16,FALSE)="","",VLOOKUP(Tue_W2[[#This Row],[Employee Name]],'Base Schedules'!$A$160:$AW$203,16,FALSE)),"")</f>
        <v/>
      </c>
      <c r="R34" s="184" t="str">
        <f>IFERROR(IF(VLOOKUP(Tue_W2[[#This Row],[Employee Name]],'Base Schedules'!$A$160:$AW$203,17,FALSE)="","",VLOOKUP(Tue_W2[[#This Row],[Employee Name]],'Base Schedules'!$A$160:$AW$203,17,FALSE)),"")</f>
        <v/>
      </c>
      <c r="S34" s="184" t="str">
        <f>IFERROR(IF(VLOOKUP(Tue_W2[[#This Row],[Employee Name]],'Base Schedules'!$A$160:$AW$203,18,FALSE)="","",VLOOKUP(Tue_W2[[#This Row],[Employee Name]],'Base Schedules'!$A$160:$AW$203,18,FALSE)),"")</f>
        <v/>
      </c>
      <c r="T34" s="184" t="str">
        <f>IFERROR(IF(VLOOKUP(Tue_W2[[#This Row],[Employee Name]],'Base Schedules'!$A$160:$AW$203,19,FALSE)="","",VLOOKUP(Tue_W2[[#This Row],[Employee Name]],'Base Schedules'!$A$160:$AW$203,19,FALSE)),"")</f>
        <v/>
      </c>
      <c r="U34" s="184" t="str">
        <f>IFERROR(IF(VLOOKUP(Tue_W2[[#This Row],[Employee Name]],'Base Schedules'!$A$160:$AW$203,20,FALSE)="","",VLOOKUP(Tue_W2[[#This Row],[Employee Name]],'Base Schedules'!$A$160:$AW$203,20,FALSE)),"")</f>
        <v/>
      </c>
      <c r="V34" s="184" t="str">
        <f>IFERROR(IF(VLOOKUP(Tue_W2[[#This Row],[Employee Name]],'Base Schedules'!$A$160:$AW$203,21,FALSE)="","",VLOOKUP(Tue_W2[[#This Row],[Employee Name]],'Base Schedules'!$A$160:$AW$203,21,FALSE)),"")</f>
        <v/>
      </c>
      <c r="W34" s="184" t="str">
        <f>IFERROR(IF(VLOOKUP(Tue_W2[[#This Row],[Employee Name]],'Base Schedules'!$A$160:$AW$203,22,FALSE)="","",VLOOKUP(Tue_W2[[#This Row],[Employee Name]],'Base Schedules'!$A$160:$AW$203,22,FALSE)),"")</f>
        <v/>
      </c>
      <c r="X34" s="184" t="str">
        <f>IFERROR(IF(VLOOKUP(Tue_W2[[#This Row],[Employee Name]],'Base Schedules'!$A$160:$AW$203,23,FALSE)="","",VLOOKUP(Tue_W2[[#This Row],[Employee Name]],'Base Schedules'!$A$160:$AW$203,23,FALSE)),"")</f>
        <v/>
      </c>
      <c r="Y34" s="184" t="str">
        <f>IFERROR(IF(VLOOKUP(Tue_W2[[#This Row],[Employee Name]],'Base Schedules'!$A$160:$AW$203,24,FALSE)="","",VLOOKUP(Tue_W2[[#This Row],[Employee Name]],'Base Schedules'!$A$160:$AW$203,24,FALSE)),"")</f>
        <v>-</v>
      </c>
      <c r="Z34" s="184" t="str">
        <f>IFERROR(IF(VLOOKUP(Tue_W2[[#This Row],[Employee Name]],'Base Schedules'!$A$160:$AW$203,25,FALSE)="","",VLOOKUP(Tue_W2[[#This Row],[Employee Name]],'Base Schedules'!$A$160:$AW$203,25,FALSE)),"")</f>
        <v>-</v>
      </c>
      <c r="AA34" s="184" t="str">
        <f>IFERROR(IF(VLOOKUP(Tue_W2[[#This Row],[Employee Name]],'Base Schedules'!$A$160:$AW$203,26,FALSE)="","",VLOOKUP(Tue_W2[[#This Row],[Employee Name]],'Base Schedules'!$A$160:$AW$203,26,FALSE)),"")</f>
        <v>-</v>
      </c>
      <c r="AB34" s="184" t="str">
        <f>IFERROR(IF(VLOOKUP(Tue_W2[[#This Row],[Employee Name]],'Base Schedules'!$A$160:$AW$203,27,FALSE)="","",VLOOKUP(Tue_W2[[#This Row],[Employee Name]],'Base Schedules'!$A$160:$AW$203,27,FALSE)),"")</f>
        <v>-</v>
      </c>
      <c r="AC34" s="184" t="str">
        <f>IFERROR(IF(VLOOKUP(Tue_W2[[#This Row],[Employee Name]],'Base Schedules'!$A$160:$AW$203,28,FALSE)="","",VLOOKUP(Tue_W2[[#This Row],[Employee Name]],'Base Schedules'!$A$160:$AW$203,28,FALSE)),"")</f>
        <v>-</v>
      </c>
      <c r="AD34" s="184" t="str">
        <f>IFERROR(IF(VLOOKUP(Tue_W2[[#This Row],[Employee Name]],'Base Schedules'!$A$160:$AW$203,29,FALSE)="","",VLOOKUP(Tue_W2[[#This Row],[Employee Name]],'Base Schedules'!$A$160:$AW$203,29,FALSE)),"")</f>
        <v>-</v>
      </c>
      <c r="AE34" s="184" t="str">
        <f>IFERROR(IF(VLOOKUP(Tue_W2[[#This Row],[Employee Name]],'Base Schedules'!$A$160:$AW$203,30,FALSE)="","",VLOOKUP(Tue_W2[[#This Row],[Employee Name]],'Base Schedules'!$A$160:$AW$203,30,FALSE)),"")</f>
        <v>-</v>
      </c>
      <c r="AF34" s="184" t="str">
        <f>IFERROR(IF(VLOOKUP(Tue_W2[[#This Row],[Employee Name]],'Base Schedules'!$A$160:$AW$203,31,FALSE)="","",VLOOKUP(Tue_W2[[#This Row],[Employee Name]],'Base Schedules'!$A$160:$AW$203,31,FALSE)),"")</f>
        <v>-</v>
      </c>
      <c r="AG34" s="184" t="str">
        <f>IFERROR(IF(VLOOKUP(Tue_W2[[#This Row],[Employee Name]],'Base Schedules'!$A$160:$AW$203,32,FALSE)="","",VLOOKUP(Tue_W2[[#This Row],[Employee Name]],'Base Schedules'!$A$160:$AW$203,32,FALSE)),"")</f>
        <v>-</v>
      </c>
      <c r="AH34" s="184" t="str">
        <f>IFERROR(IF(VLOOKUP(Tue_W2[[#This Row],[Employee Name]],'Base Schedules'!$A$160:$AW$203,33,FALSE)="","",VLOOKUP(Tue_W2[[#This Row],[Employee Name]],'Base Schedules'!$A$160:$AW$203,33,FALSE)),"")</f>
        <v>-</v>
      </c>
      <c r="AI34" s="184" t="str">
        <f>IFERROR(IF(VLOOKUP(Tue_W2[[#This Row],[Employee Name]],'Base Schedules'!$A$160:$AW$203,34,FALSE)="","",VLOOKUP(Tue_W2[[#This Row],[Employee Name]],'Base Schedules'!$A$160:$AW$203,34,FALSE)),"")</f>
        <v>-</v>
      </c>
      <c r="AJ34" s="184" t="str">
        <f>IFERROR(IF(VLOOKUP(Tue_W2[[#This Row],[Employee Name]],'Base Schedules'!$A$160:$AW$203,35,FALSE)="","",VLOOKUP(Tue_W2[[#This Row],[Employee Name]],'Base Schedules'!$A$160:$AW$203,35,FALSE)),"")</f>
        <v>-</v>
      </c>
      <c r="AK34" s="184" t="str">
        <f>IFERROR(IF(VLOOKUP(Tue_W2[[#This Row],[Employee Name]],'Base Schedules'!$A$160:$AW$203,36,FALSE)="","",VLOOKUP(Tue_W2[[#This Row],[Employee Name]],'Base Schedules'!$A$160:$AW$203,36,FALSE)),"")</f>
        <v>-</v>
      </c>
      <c r="AL34" s="184" t="str">
        <f>IFERROR(IF(VLOOKUP(Tue_W2[[#This Row],[Employee Name]],'Base Schedules'!$A$160:$AW$203,37,FALSE)="","",VLOOKUP(Tue_W2[[#This Row],[Employee Name]],'Base Schedules'!$A$160:$AW$203,37,FALSE)),"")</f>
        <v>-</v>
      </c>
      <c r="AM34" s="184" t="str">
        <f>IFERROR(IF(VLOOKUP(Tue_W2[[#This Row],[Employee Name]],'Base Schedules'!$A$160:$AW$203,38,FALSE)="","",VLOOKUP(Tue_W2[[#This Row],[Employee Name]],'Base Schedules'!$A$160:$AW$203,38,FALSE)),"")</f>
        <v>-</v>
      </c>
      <c r="AN34" s="184" t="str">
        <f>IFERROR(IF(VLOOKUP(Tue_W2[[#This Row],[Employee Name]],'Base Schedules'!$A$160:$AW$203,39,FALSE)="","",VLOOKUP(Tue_W2[[#This Row],[Employee Name]],'Base Schedules'!$A$160:$AW$203,39,FALSE)),"")</f>
        <v>-</v>
      </c>
      <c r="AO34" s="184" t="str">
        <f>IFERROR(IF(VLOOKUP(Tue_W2[[#This Row],[Employee Name]],'Base Schedules'!$A$160:$AW$203,40,FALSE)="","",VLOOKUP(Tue_W2[[#This Row],[Employee Name]],'Base Schedules'!$A$160:$AW$203,40,FALSE)),"")</f>
        <v>-</v>
      </c>
      <c r="AP34" s="184" t="str">
        <f>IFERROR(IF(VLOOKUP(Tue_W2[[#This Row],[Employee Name]],'Base Schedules'!$A$160:$AW$203,41,FALSE)="","",VLOOKUP(Tue_W2[[#This Row],[Employee Name]],'Base Schedules'!$A$160:$AW$203,41,FALSE)),"")</f>
        <v>-</v>
      </c>
      <c r="AQ34" s="184" t="str">
        <f>IFERROR(IF(VLOOKUP(Tue_W2[[#This Row],[Employee Name]],'Base Schedules'!$A$160:$AW$203,42,FALSE)="","",VLOOKUP(Tue_W2[[#This Row],[Employee Name]],'Base Schedules'!$A$160:$AW$203,42,FALSE)),"")</f>
        <v>-</v>
      </c>
      <c r="AR34" s="184" t="str">
        <f>IFERROR(IF(VLOOKUP(Tue_W2[[#This Row],[Employee Name]],'Base Schedules'!$A$160:$AW$203,43,FALSE)="","",VLOOKUP(Tue_W2[[#This Row],[Employee Name]],'Base Schedules'!$A$160:$AW$203,43,FALSE)),"")</f>
        <v/>
      </c>
      <c r="AS34" s="184" t="str">
        <f>IFERROR(IF(VLOOKUP(Tue_W2[[#This Row],[Employee Name]],'Base Schedules'!$A$160:$AW$203,44,FALSE)="","",VLOOKUP(Tue_W2[[#This Row],[Employee Name]],'Base Schedules'!$A$160:$AW$203,44,FALSE)),"")</f>
        <v/>
      </c>
      <c r="AT34" s="184" t="str">
        <f>IFERROR(IF(VLOOKUP(Tue_W2[[#This Row],[Employee Name]],'Base Schedules'!$A$160:$AW$203,45,FALSE)="","",VLOOKUP(Tue_W2[[#This Row],[Employee Name]],'Base Schedules'!$A$160:$AW$203,45,FALSE)),"")</f>
        <v/>
      </c>
      <c r="AU34" s="184" t="str">
        <f>IFERROR(IF(VLOOKUP(Tue_W2[[#This Row],[Employee Name]],'Base Schedules'!$A$160:$AW$203,46,FALSE)="","",VLOOKUP(Tue_W2[[#This Row],[Employee Name]],'Base Schedules'!$A$160:$AW$203,46,FALSE)),"")</f>
        <v/>
      </c>
      <c r="AV34" s="184" t="str">
        <f>IFERROR(IF(VLOOKUP(Tue_W2[[#This Row],[Employee Name]],'Base Schedules'!$A$160:$AW$203,47,FALSE)="","",VLOOKUP(Tue_W2[[#This Row],[Employee Name]],'Base Schedules'!$A$160:$AW$203,47,FALSE)),"")</f>
        <v/>
      </c>
      <c r="AW34" s="184" t="str">
        <f>IFERROR(IF(VLOOKUP(Tue_W2[[#This Row],[Employee Name]],'Base Schedules'!$A$160:$AW$203,48,FALSE)="","",VLOOKUP(Tue_W2[[#This Row],[Employee Name]],'Base Schedules'!$A$160:$AW$203,48,FALSE)),"")</f>
        <v/>
      </c>
      <c r="AX34" s="184" t="str">
        <f>IFERROR(IF(VLOOKUP(Tue_W2[[#This Row],[Employee Name]],'Base Schedules'!$A$160:$AW$203,49,FALSE)="","",VLOOKUP(Tue_W2[[#This Row],[Employee Name]],'Base Schedules'!$A$160:$AW$203,49,FALSE)),"")</f>
        <v/>
      </c>
      <c r="AY34" s="159" t="str">
        <f t="shared" si="2"/>
        <v>Ostby, Paige</v>
      </c>
    </row>
    <row r="35" spans="1:51" s="44" customFormat="1" ht="12" customHeight="1" x14ac:dyDescent="0.2">
      <c r="A35" s="39" t="str">
        <f>IF(B35="","",INDEX(TeamList[],MATCH($B35,TeamList[[Employee Name]:[Employee Name]],0),MATCH("Manager",TeamList[#Headers],0)))</f>
        <v>Olson, Katherine</v>
      </c>
      <c r="B35" s="201" t="s">
        <v>238</v>
      </c>
      <c r="C35" s="257" t="str">
        <f>_xlfn.IFNA(VLOOKUP(Tue_W2[[#This Row],[Employee Name]],'Base Schedules'!A:B,2,FALSE),"")</f>
        <v>Lead</v>
      </c>
      <c r="D35" s="274">
        <f>_xlfn.IFNA(VLOOKUP(Tue_W2[[#This Row],[Employee Name]],'Base Schedules'!A:C,3,FALSE),"")</f>
        <v>1230</v>
      </c>
      <c r="E35" s="274">
        <f>_xlfn.IFNA(VLOOKUP(Tue_W2[[#This Row],[Employee Name]],'Base Schedules'!A:D,4,FALSE),"")</f>
        <v>2100</v>
      </c>
      <c r="F35" s="142">
        <f>IF(Tue_W2[[#This Row],[Employee Name]]="","",IF(Tue_W2[[#This Row],[Dept]]="Supervisor",COUNTIFS($J35:$AX35,"*HL*",$J35:$AX35,"&lt;&gt;"&amp;"pHL"),COUNTIFS($J35:$AX35,"*HL*",$J35:$AX35,"&lt;&gt;"&amp;"*pHL*",$J35:$AX35,"&lt;&gt;"&amp;"pB1 HL",$J35:$AX35,"&lt;&gt;"&amp;"pB2 HL")-SUM(COUNTIFS($J35:$AX35,"*HL B1*",$J35:$AX35,"&lt;&gt;"&amp;"pHL B1")*0.5,COUNTIFS($J35:$AX35,"*HL B2*",$J35:$AX35,"&lt;&gt;"&amp;"pHL B2")*0.5,COUNTIFS($J35:$AX35,"*B1 HL*",$J35:$AX35,"&lt;&gt;"&amp;"pB1 HL")*0.5,COUNTIFS($J35:$AX35,"*B2 HL*",$J35:$AX35,"&lt;&gt;"&amp;"pB2 HL")*0.5)))</f>
        <v>5.5</v>
      </c>
      <c r="G35" s="142">
        <f t="shared" si="0"/>
        <v>0</v>
      </c>
      <c r="H35" s="142">
        <f t="shared" si="1"/>
        <v>6</v>
      </c>
      <c r="I35" s="142">
        <f>IF(Tue_W2[[#This Row],[Employee Name]]="","",IF(Tue_W2[[#This Row],[Dept]]="Supervisor",SUM(COUNTIFS($J35:$AX35,"RTA*",$J35:$AX35,"&lt;&gt;"&amp;"pRTA"),COUNTIFS($J35:$AX35,"*CRTA*",$J35:$AX35,"&lt;&gt;"&amp;"pCRTA")),COUNTIFS($J35:$AX35,"*RNNR*",$J35:$AX35,"&lt;&gt;"&amp;"*pRNNR*",$J35:$AX35,"&lt;&gt;"&amp;"pB1 RNNR",$J35:$AX35,"&lt;&gt;"&amp;"pB2 RNNR")-SUM(COUNTIFS($J35:$AX35,"*RNNR B1*",$J35:$AX35,"&lt;&gt;"&amp;"pRNNR B1")*0.5,COUNTIFS($J35:$AX35,"*RNNR B2*",$J35:$AX35,"&lt;&gt;"&amp;"pRNNR B2")*0.5,COUNTIFS($J35:$AX35,"*B1 RNNR*",$J35:$AX35,"&lt;&gt;"&amp;"pB1 RNNR")*0.5,COUNTIFS($J35:$AX35,"*B2 RNNR*",$J35:$AX35,"&lt;&gt;"&amp;"pB2 RNNR")*0.5)))</f>
        <v>2</v>
      </c>
      <c r="J35" s="184" t="str">
        <f>IFERROR(IF(VLOOKUP(Tue_W2[[#This Row],[Employee Name]],'Base Schedules'!$A$160:$AW$203,9,FALSE)="","",VLOOKUP(Tue_W2[[#This Row],[Employee Name]],'Base Schedules'!$A$160:$AW$203,9,FALSE)),"")</f>
        <v/>
      </c>
      <c r="K35" s="184" t="str">
        <f>IFERROR(IF(VLOOKUP(Tue_W2[[#This Row],[Employee Name]],'Base Schedules'!$A$160:$AW$203,10,FALSE)="","",VLOOKUP(Tue_W2[[#This Row],[Employee Name]],'Base Schedules'!$A$160:$AW$203,10,FALSE)),"")</f>
        <v/>
      </c>
      <c r="L35" s="184" t="str">
        <f>IFERROR(IF(VLOOKUP(Tue_W2[[#This Row],[Employee Name]],'Base Schedules'!$A$160:$AW$203,11,FALSE)="","",VLOOKUP(Tue_W2[[#This Row],[Employee Name]],'Base Schedules'!$A$160:$AW$203,11,FALSE)),"")</f>
        <v/>
      </c>
      <c r="M35" s="184" t="str">
        <f>IFERROR(IF(VLOOKUP(Tue_W2[[#This Row],[Employee Name]],'Base Schedules'!$A$160:$AW$203,12,FALSE)="","",VLOOKUP(Tue_W2[[#This Row],[Employee Name]],'Base Schedules'!$A$160:$AW$203,12,FALSE)),"")</f>
        <v/>
      </c>
      <c r="N35" s="184" t="str">
        <f>IFERROR(IF(VLOOKUP(Tue_W2[[#This Row],[Employee Name]],'Base Schedules'!$A$160:$AW$203,13,FALSE)="","",VLOOKUP(Tue_W2[[#This Row],[Employee Name]],'Base Schedules'!$A$160:$AW$203,13,FALSE)),"")</f>
        <v/>
      </c>
      <c r="O35" s="184" t="str">
        <f>IFERROR(IF(VLOOKUP(Tue_W2[[#This Row],[Employee Name]],'Base Schedules'!$A$160:$AW$203,14,FALSE)="","",VLOOKUP(Tue_W2[[#This Row],[Employee Name]],'Base Schedules'!$A$160:$AW$203,14,FALSE)),"")</f>
        <v/>
      </c>
      <c r="P35" s="184" t="str">
        <f>IFERROR(IF(VLOOKUP(Tue_W2[[#This Row],[Employee Name]],'Base Schedules'!$A$160:$AW$203,15,FALSE)="","",VLOOKUP(Tue_W2[[#This Row],[Employee Name]],'Base Schedules'!$A$160:$AW$203,15,FALSE)),"")</f>
        <v/>
      </c>
      <c r="Q35" s="184" t="str">
        <f>IFERROR(IF(VLOOKUP(Tue_W2[[#This Row],[Employee Name]],'Base Schedules'!$A$160:$AW$203,16,FALSE)="","",VLOOKUP(Tue_W2[[#This Row],[Employee Name]],'Base Schedules'!$A$160:$AW$203,16,FALSE)),"")</f>
        <v/>
      </c>
      <c r="R35" s="184" t="str">
        <f>IFERROR(IF(VLOOKUP(Tue_W2[[#This Row],[Employee Name]],'Base Schedules'!$A$160:$AW$203,17,FALSE)="","",VLOOKUP(Tue_W2[[#This Row],[Employee Name]],'Base Schedules'!$A$160:$AW$203,17,FALSE)),"")</f>
        <v/>
      </c>
      <c r="S35" s="184" t="str">
        <f>IFERROR(IF(VLOOKUP(Tue_W2[[#This Row],[Employee Name]],'Base Schedules'!$A$160:$AW$203,18,FALSE)="","",VLOOKUP(Tue_W2[[#This Row],[Employee Name]],'Base Schedules'!$A$160:$AW$203,18,FALSE)),"")</f>
        <v/>
      </c>
      <c r="T35" s="184" t="str">
        <f>IFERROR(IF(VLOOKUP(Tue_W2[[#This Row],[Employee Name]],'Base Schedules'!$A$160:$AW$203,19,FALSE)="","",VLOOKUP(Tue_W2[[#This Row],[Employee Name]],'Base Schedules'!$A$160:$AW$203,19,FALSE)),"")</f>
        <v/>
      </c>
      <c r="U35" s="184" t="str">
        <f>IFERROR(IF(VLOOKUP(Tue_W2[[#This Row],[Employee Name]],'Base Schedules'!$A$160:$AW$203,20,FALSE)="","",VLOOKUP(Tue_W2[[#This Row],[Employee Name]],'Base Schedules'!$A$160:$AW$203,20,FALSE)),"")</f>
        <v/>
      </c>
      <c r="V35" s="184" t="str">
        <f>IFERROR(IF(VLOOKUP(Tue_W2[[#This Row],[Employee Name]],'Base Schedules'!$A$160:$AW$203,21,FALSE)="","",VLOOKUP(Tue_W2[[#This Row],[Employee Name]],'Base Schedules'!$A$160:$AW$203,21,FALSE)),"")</f>
        <v/>
      </c>
      <c r="W35" s="184" t="str">
        <f>IFERROR(IF(VLOOKUP(Tue_W2[[#This Row],[Employee Name]],'Base Schedules'!$A$160:$AW$203,22,FALSE)="","",VLOOKUP(Tue_W2[[#This Row],[Employee Name]],'Base Schedules'!$A$160:$AW$203,22,FALSE)),"")</f>
        <v/>
      </c>
      <c r="X35" s="184" t="str">
        <f>IFERROR(IF(VLOOKUP(Tue_W2[[#This Row],[Employee Name]],'Base Schedules'!$A$160:$AW$203,23,FALSE)="","",VLOOKUP(Tue_W2[[#This Row],[Employee Name]],'Base Schedules'!$A$160:$AW$203,23,FALSE)),"")</f>
        <v/>
      </c>
      <c r="Y35" s="184" t="str">
        <f>IFERROR(IF(VLOOKUP(Tue_W2[[#This Row],[Employee Name]],'Base Schedules'!$A$160:$AW$203,24,FALSE)="","",VLOOKUP(Tue_W2[[#This Row],[Employee Name]],'Base Schedules'!$A$160:$AW$203,24,FALSE)),"")</f>
        <v>HL</v>
      </c>
      <c r="Z35" s="184" t="str">
        <f>IFERROR(IF(VLOOKUP(Tue_W2[[#This Row],[Employee Name]],'Base Schedules'!$A$160:$AW$203,25,FALSE)="","",VLOOKUP(Tue_W2[[#This Row],[Employee Name]],'Base Schedules'!$A$160:$AW$203,25,FALSE)),"")</f>
        <v>PROJECT</v>
      </c>
      <c r="AA35" s="184" t="str">
        <f>IFERROR(IF(VLOOKUP(Tue_W2[[#This Row],[Employee Name]],'Base Schedules'!$A$160:$AW$203,26,FALSE)="","",VLOOKUP(Tue_W2[[#This Row],[Employee Name]],'Base Schedules'!$A$160:$AW$203,26,FALSE)),"")</f>
        <v>PROJECT</v>
      </c>
      <c r="AB35" s="184" t="str">
        <f>IFERROR(IF(VLOOKUP(Tue_W2[[#This Row],[Employee Name]],'Base Schedules'!$A$160:$AW$203,27,FALSE)="","",VLOOKUP(Tue_W2[[#This Row],[Employee Name]],'Base Schedules'!$A$160:$AW$203,27,FALSE)),"")</f>
        <v>B1 ADM</v>
      </c>
      <c r="AC35" s="184" t="str">
        <f>IFERROR(IF(VLOOKUP(Tue_W2[[#This Row],[Employee Name]],'Base Schedules'!$A$160:$AW$203,28,FALSE)="","",VLOOKUP(Tue_W2[[#This Row],[Employee Name]],'Base Schedules'!$A$160:$AW$203,28,FALSE)),"")</f>
        <v>ADM</v>
      </c>
      <c r="AD35" s="184" t="str">
        <f>IFERROR(IF(VLOOKUP(Tue_W2[[#This Row],[Employee Name]],'Base Schedules'!$A$160:$AW$203,29,FALSE)="","",VLOOKUP(Tue_W2[[#This Row],[Employee Name]],'Base Schedules'!$A$160:$AW$203,29,FALSE)),"")</f>
        <v>ADM</v>
      </c>
      <c r="AE35" s="184" t="str">
        <f>IFERROR(IF(VLOOKUP(Tue_W2[[#This Row],[Employee Name]],'Base Schedules'!$A$160:$AW$203,30,FALSE)="","",VLOOKUP(Tue_W2[[#This Row],[Employee Name]],'Base Schedules'!$A$160:$AW$203,30,FALSE)),"")</f>
        <v>ADM</v>
      </c>
      <c r="AF35" s="184" t="str">
        <f>IFERROR(IF(VLOOKUP(Tue_W2[[#This Row],[Employee Name]],'Base Schedules'!$A$160:$AW$203,31,FALSE)="","",VLOOKUP(Tue_W2[[#This Row],[Employee Name]],'Base Schedules'!$A$160:$AW$203,31,FALSE)),"")</f>
        <v>ADM</v>
      </c>
      <c r="AG35" s="184" t="str">
        <f>IFERROR(IF(VLOOKUP(Tue_W2[[#This Row],[Employee Name]],'Base Schedules'!$A$160:$AW$203,32,FALSE)="","",VLOOKUP(Tue_W2[[#This Row],[Employee Name]],'Base Schedules'!$A$160:$AW$203,32,FALSE)),"")</f>
        <v>LUNCH</v>
      </c>
      <c r="AH35" s="184" t="str">
        <f>IFERROR(IF(VLOOKUP(Tue_W2[[#This Row],[Employee Name]],'Base Schedules'!$A$160:$AW$203,33,FALSE)="","",VLOOKUP(Tue_W2[[#This Row],[Employee Name]],'Base Schedules'!$A$160:$AW$203,33,FALSE)),"")</f>
        <v>ADM</v>
      </c>
      <c r="AI35" s="184" t="str">
        <f>IFERROR(IF(VLOOKUP(Tue_W2[[#This Row],[Employee Name]],'Base Schedules'!$A$160:$AW$203,34,FALSE)="","",VLOOKUP(Tue_W2[[#This Row],[Employee Name]],'Base Schedules'!$A$160:$AW$203,34,FALSE)),"")</f>
        <v>HL</v>
      </c>
      <c r="AJ35" s="184" t="str">
        <f>IFERROR(IF(VLOOKUP(Tue_W2[[#This Row],[Employee Name]],'Base Schedules'!$A$160:$AW$203,35,FALSE)="","",VLOOKUP(Tue_W2[[#This Row],[Employee Name]],'Base Schedules'!$A$160:$AW$203,35,FALSE)),"")</f>
        <v>HL</v>
      </c>
      <c r="AK35" s="184" t="str">
        <f>IFERROR(IF(VLOOKUP(Tue_W2[[#This Row],[Employee Name]],'Base Schedules'!$A$160:$AW$203,36,FALSE)="","",VLOOKUP(Tue_W2[[#This Row],[Employee Name]],'Base Schedules'!$A$160:$AW$203,36,FALSE)),"")</f>
        <v>HL B2</v>
      </c>
      <c r="AL35" s="184" t="str">
        <f>IFERROR(IF(VLOOKUP(Tue_W2[[#This Row],[Employee Name]],'Base Schedules'!$A$160:$AW$203,37,FALSE)="","",VLOOKUP(Tue_W2[[#This Row],[Employee Name]],'Base Schedules'!$A$160:$AW$203,37,FALSE)),"")</f>
        <v>RNNR</v>
      </c>
      <c r="AM35" s="184" t="str">
        <f>IFERROR(IF(VLOOKUP(Tue_W2[[#This Row],[Employee Name]],'Base Schedules'!$A$160:$AW$203,38,FALSE)="","",VLOOKUP(Tue_W2[[#This Row],[Employee Name]],'Base Schedules'!$A$160:$AW$203,38,FALSE)),"")</f>
        <v>RNNR</v>
      </c>
      <c r="AN35" s="184" t="str">
        <f>IFERROR(IF(VLOOKUP(Tue_W2[[#This Row],[Employee Name]],'Base Schedules'!$A$160:$AW$203,39,FALSE)="","",VLOOKUP(Tue_W2[[#This Row],[Employee Name]],'Base Schedules'!$A$160:$AW$203,39,FALSE)),"")</f>
        <v>HL</v>
      </c>
      <c r="AO35" s="184" t="str">
        <f>IFERROR(IF(VLOOKUP(Tue_W2[[#This Row],[Employee Name]],'Base Schedules'!$A$160:$AW$203,40,FALSE)="","",VLOOKUP(Tue_W2[[#This Row],[Employee Name]],'Base Schedules'!$A$160:$AW$203,40,FALSE)),"")</f>
        <v>HL</v>
      </c>
      <c r="AP35" s="184" t="str">
        <f>IFERROR(IF(VLOOKUP(Tue_W2[[#This Row],[Employee Name]],'Base Schedules'!$A$160:$AW$203,41,FALSE)="","",VLOOKUP(Tue_W2[[#This Row],[Employee Name]],'Base Schedules'!$A$160:$AW$203,41,FALSE)),"")</f>
        <v/>
      </c>
      <c r="AQ35" s="184" t="str">
        <f>IFERROR(IF(VLOOKUP(Tue_W2[[#This Row],[Employee Name]],'Base Schedules'!$A$160:$AW$203,42,FALSE)="","",VLOOKUP(Tue_W2[[#This Row],[Employee Name]],'Base Schedules'!$A$160:$AW$203,42,FALSE)),"")</f>
        <v/>
      </c>
      <c r="AR35" s="184" t="str">
        <f>IFERROR(IF(VLOOKUP(Tue_W2[[#This Row],[Employee Name]],'Base Schedules'!$A$160:$AW$203,43,FALSE)="","",VLOOKUP(Tue_W2[[#This Row],[Employee Name]],'Base Schedules'!$A$160:$AW$203,43,FALSE)),"")</f>
        <v/>
      </c>
      <c r="AS35" s="184" t="str">
        <f>IFERROR(IF(VLOOKUP(Tue_W2[[#This Row],[Employee Name]],'Base Schedules'!$A$160:$AW$203,44,FALSE)="","",VLOOKUP(Tue_W2[[#This Row],[Employee Name]],'Base Schedules'!$A$160:$AW$203,44,FALSE)),"")</f>
        <v/>
      </c>
      <c r="AT35" s="184" t="str">
        <f>IFERROR(IF(VLOOKUP(Tue_W2[[#This Row],[Employee Name]],'Base Schedules'!$A$160:$AW$203,45,FALSE)="","",VLOOKUP(Tue_W2[[#This Row],[Employee Name]],'Base Schedules'!$A$160:$AW$203,45,FALSE)),"")</f>
        <v/>
      </c>
      <c r="AU35" s="184" t="str">
        <f>IFERROR(IF(VLOOKUP(Tue_W2[[#This Row],[Employee Name]],'Base Schedules'!$A$160:$AW$203,46,FALSE)="","",VLOOKUP(Tue_W2[[#This Row],[Employee Name]],'Base Schedules'!$A$160:$AW$203,46,FALSE)),"")</f>
        <v/>
      </c>
      <c r="AV35" s="184" t="str">
        <f>IFERROR(IF(VLOOKUP(Tue_W2[[#This Row],[Employee Name]],'Base Schedules'!$A$160:$AW$203,47,FALSE)="","",VLOOKUP(Tue_W2[[#This Row],[Employee Name]],'Base Schedules'!$A$160:$AW$203,47,FALSE)),"")</f>
        <v/>
      </c>
      <c r="AW35" s="184" t="str">
        <f>IFERROR(IF(VLOOKUP(Tue_W2[[#This Row],[Employee Name]],'Base Schedules'!$A$160:$AW$203,48,FALSE)="","",VLOOKUP(Tue_W2[[#This Row],[Employee Name]],'Base Schedules'!$A$160:$AW$203,48,FALSE)),"")</f>
        <v/>
      </c>
      <c r="AX35" s="184" t="str">
        <f>IFERROR(IF(VLOOKUP(Tue_W2[[#This Row],[Employee Name]],'Base Schedules'!$A$160:$AW$203,49,FALSE)="","",VLOOKUP(Tue_W2[[#This Row],[Employee Name]],'Base Schedules'!$A$160:$AW$203,49,FALSE)),"")</f>
        <v/>
      </c>
      <c r="AY35" s="159" t="str">
        <f t="shared" si="2"/>
        <v>Suhama, Ryan</v>
      </c>
    </row>
    <row r="36" spans="1:51" s="44" customFormat="1" ht="12" customHeight="1" x14ac:dyDescent="0.2">
      <c r="A36" s="39" t="str">
        <f>IF(B36="","",INDEX(TeamList[],MATCH($B36,TeamList[[Employee Name]:[Employee Name]],0),MATCH("Manager",TeamList[#Headers],0)))</f>
        <v>Ahmed Hassan, Zahra</v>
      </c>
      <c r="B36" s="332" t="s">
        <v>23</v>
      </c>
      <c r="C36" s="257" t="str">
        <f>_xlfn.IFNA(VLOOKUP(Tue_W2[[#This Row],[Employee Name]],'Base Schedules'!A:B,2,FALSE),"")</f>
        <v>Supervisor</v>
      </c>
      <c r="D36" s="274">
        <f>_xlfn.IFNA(VLOOKUP(Tue_W2[[#This Row],[Employee Name]],'Base Schedules'!A:C,3,FALSE),"")</f>
        <v>1230</v>
      </c>
      <c r="E36" s="274">
        <f>_xlfn.IFNA(VLOOKUP(Tue_W2[[#This Row],[Employee Name]],'Base Schedules'!A:D,4,FALSE),"")</f>
        <v>2130</v>
      </c>
      <c r="F36" s="142">
        <f>IF(Tue_W2[[#This Row],[Employee Name]]="","",IF(Tue_W2[[#This Row],[Dept]]="Supervisor",COUNTIFS($J36:$AX36,"*HL*",$J36:$AX36,"&lt;&gt;"&amp;"pHL"),COUNTIFS($J36:$AX36,"*HL*",$J36:$AX36,"&lt;&gt;"&amp;"*pHL*",$J36:$AX36,"&lt;&gt;"&amp;"pB1 HL",$J36:$AX36,"&lt;&gt;"&amp;"pB2 HL")-SUM(COUNTIFS($J36:$AX36,"*HL B1*",$J36:$AX36,"&lt;&gt;"&amp;"pHL B1")*0.5,COUNTIFS($J36:$AX36,"*HL B2*",$J36:$AX36,"&lt;&gt;"&amp;"pHL B2")*0.5,COUNTIFS($J36:$AX36,"*B1 HL*",$J36:$AX36,"&lt;&gt;"&amp;"pB1 HL")*0.5,COUNTIFS($J36:$AX36,"*B2 HL*",$J36:$AX36,"&lt;&gt;"&amp;"pB2 HL")*0.5)))</f>
        <v>0</v>
      </c>
      <c r="G36" s="142">
        <f t="shared" si="0"/>
        <v>4</v>
      </c>
      <c r="H36" s="142">
        <f t="shared" si="1"/>
        <v>0</v>
      </c>
      <c r="I36" s="142">
        <f>IF(Tue_W2[[#This Row],[Employee Name]]="","",IF(Tue_W2[[#This Row],[Dept]]="Supervisor",SUM(COUNTIFS($J36:$AX36,"RTA*",$J36:$AX36,"&lt;&gt;"&amp;"pRTA"),COUNTIFS($J36:$AX36,"*CRTA*",$J36:$AX36,"&lt;&gt;"&amp;"pCRTA")),COUNTIFS($J36:$AX36,"*RNNR*",$J36:$AX36,"&lt;&gt;"&amp;"*pRNNR*",$J36:$AX36,"&lt;&gt;"&amp;"pB1 RNNR",$J36:$AX36,"&lt;&gt;"&amp;"pB2 RNNR")-SUM(COUNTIFS($J36:$AX36,"*RNNR B1*",$J36:$AX36,"&lt;&gt;"&amp;"pRNNR B1")*0.5,COUNTIFS($J36:$AX36,"*RNNR B2*",$J36:$AX36,"&lt;&gt;"&amp;"pRNNR B2")*0.5,COUNTIFS($J36:$AX36,"*B1 RNNR*",$J36:$AX36,"&lt;&gt;"&amp;"pB1 RNNR")*0.5,COUNTIFS($J36:$AX36,"*B2 RNNR*",$J36:$AX36,"&lt;&gt;"&amp;"pB2 RNNR")*0.5)))</f>
        <v>0</v>
      </c>
      <c r="J36" s="184" t="str">
        <f>IFERROR(IF(VLOOKUP(Tue_W2[[#This Row],[Employee Name]],'Base Schedules'!$A$160:$AW$203,9,FALSE)="","",VLOOKUP(Tue_W2[[#This Row],[Employee Name]],'Base Schedules'!$A$160:$AW$203,9,FALSE)),"")</f>
        <v/>
      </c>
      <c r="K36" s="184" t="str">
        <f>IFERROR(IF(VLOOKUP(Tue_W2[[#This Row],[Employee Name]],'Base Schedules'!$A$160:$AW$203,10,FALSE)="","",VLOOKUP(Tue_W2[[#This Row],[Employee Name]],'Base Schedules'!$A$160:$AW$203,10,FALSE)),"")</f>
        <v/>
      </c>
      <c r="L36" s="184" t="str">
        <f>IFERROR(IF(VLOOKUP(Tue_W2[[#This Row],[Employee Name]],'Base Schedules'!$A$160:$AW$203,11,FALSE)="","",VLOOKUP(Tue_W2[[#This Row],[Employee Name]],'Base Schedules'!$A$160:$AW$203,11,FALSE)),"")</f>
        <v/>
      </c>
      <c r="M36" s="184" t="str">
        <f>IFERROR(IF(VLOOKUP(Tue_W2[[#This Row],[Employee Name]],'Base Schedules'!$A$160:$AW$203,12,FALSE)="","",VLOOKUP(Tue_W2[[#This Row],[Employee Name]],'Base Schedules'!$A$160:$AW$203,12,FALSE)),"")</f>
        <v/>
      </c>
      <c r="N36" s="184" t="str">
        <f>IFERROR(IF(VLOOKUP(Tue_W2[[#This Row],[Employee Name]],'Base Schedules'!$A$160:$AW$203,13,FALSE)="","",VLOOKUP(Tue_W2[[#This Row],[Employee Name]],'Base Schedules'!$A$160:$AW$203,13,FALSE)),"")</f>
        <v/>
      </c>
      <c r="O36" s="184" t="str">
        <f>IFERROR(IF(VLOOKUP(Tue_W2[[#This Row],[Employee Name]],'Base Schedules'!$A$160:$AW$203,14,FALSE)="","",VLOOKUP(Tue_W2[[#This Row],[Employee Name]],'Base Schedules'!$A$160:$AW$203,14,FALSE)),"")</f>
        <v/>
      </c>
      <c r="P36" s="184" t="str">
        <f>IFERROR(IF(VLOOKUP(Tue_W2[[#This Row],[Employee Name]],'Base Schedules'!$A$160:$AW$203,15,FALSE)="","",VLOOKUP(Tue_W2[[#This Row],[Employee Name]],'Base Schedules'!$A$160:$AW$203,15,FALSE)),"")</f>
        <v/>
      </c>
      <c r="Q36" s="184" t="str">
        <f>IFERROR(IF(VLOOKUP(Tue_W2[[#This Row],[Employee Name]],'Base Schedules'!$A$160:$AW$203,16,FALSE)="","",VLOOKUP(Tue_W2[[#This Row],[Employee Name]],'Base Schedules'!$A$160:$AW$203,16,FALSE)),"")</f>
        <v/>
      </c>
      <c r="R36" s="184" t="str">
        <f>IFERROR(IF(VLOOKUP(Tue_W2[[#This Row],[Employee Name]],'Base Schedules'!$A$160:$AW$203,17,FALSE)="","",VLOOKUP(Tue_W2[[#This Row],[Employee Name]],'Base Schedules'!$A$160:$AW$203,17,FALSE)),"")</f>
        <v/>
      </c>
      <c r="S36" s="184" t="str">
        <f>IFERROR(IF(VLOOKUP(Tue_W2[[#This Row],[Employee Name]],'Base Schedules'!$A$160:$AW$203,18,FALSE)="","",VLOOKUP(Tue_W2[[#This Row],[Employee Name]],'Base Schedules'!$A$160:$AW$203,18,FALSE)),"")</f>
        <v/>
      </c>
      <c r="T36" s="184" t="str">
        <f>IFERROR(IF(VLOOKUP(Tue_W2[[#This Row],[Employee Name]],'Base Schedules'!$A$160:$AW$203,19,FALSE)="","",VLOOKUP(Tue_W2[[#This Row],[Employee Name]],'Base Schedules'!$A$160:$AW$203,19,FALSE)),"")</f>
        <v/>
      </c>
      <c r="U36" s="184" t="str">
        <f>IFERROR(IF(VLOOKUP(Tue_W2[[#This Row],[Employee Name]],'Base Schedules'!$A$160:$AW$203,20,FALSE)="","",VLOOKUP(Tue_W2[[#This Row],[Employee Name]],'Base Schedules'!$A$160:$AW$203,20,FALSE)),"")</f>
        <v/>
      </c>
      <c r="V36" s="184" t="str">
        <f>IFERROR(IF(VLOOKUP(Tue_W2[[#This Row],[Employee Name]],'Base Schedules'!$A$160:$AW$203,21,FALSE)="","",VLOOKUP(Tue_W2[[#This Row],[Employee Name]],'Base Schedules'!$A$160:$AW$203,21,FALSE)),"")</f>
        <v/>
      </c>
      <c r="W36" s="184" t="str">
        <f>IFERROR(IF(VLOOKUP(Tue_W2[[#This Row],[Employee Name]],'Base Schedules'!$A$160:$AW$203,22,FALSE)="","",VLOOKUP(Tue_W2[[#This Row],[Employee Name]],'Base Schedules'!$A$160:$AW$203,22,FALSE)),"")</f>
        <v/>
      </c>
      <c r="X36" s="184" t="str">
        <f>IFERROR(IF(VLOOKUP(Tue_W2[[#This Row],[Employee Name]],'Base Schedules'!$A$160:$AW$203,23,FALSE)="","",VLOOKUP(Tue_W2[[#This Row],[Employee Name]],'Base Schedules'!$A$160:$AW$203,23,FALSE)),"")</f>
        <v/>
      </c>
      <c r="Y36" s="184" t="str">
        <f>IFERROR(IF(VLOOKUP(Tue_W2[[#This Row],[Employee Name]],'Base Schedules'!$A$160:$AW$203,24,FALSE)="","",VLOOKUP(Tue_W2[[#This Row],[Employee Name]],'Base Schedules'!$A$160:$AW$203,24,FALSE)),"")</f>
        <v>-</v>
      </c>
      <c r="Z36" s="184" t="str">
        <f>IFERROR(IF(VLOOKUP(Tue_W2[[#This Row],[Employee Name]],'Base Schedules'!$A$160:$AW$203,25,FALSE)="","",VLOOKUP(Tue_W2[[#This Row],[Employee Name]],'Base Schedules'!$A$160:$AW$203,25,FALSE)),"")</f>
        <v>Team ZAH TM</v>
      </c>
      <c r="AA36" s="184" t="str">
        <f>IFERROR(IF(VLOOKUP(Tue_W2[[#This Row],[Employee Name]],'Base Schedules'!$A$160:$AW$203,26,FALSE)="","",VLOOKUP(Tue_W2[[#This Row],[Employee Name]],'Base Schedules'!$A$160:$AW$203,26,FALSE)),"")</f>
        <v>Team ZAH TM</v>
      </c>
      <c r="AB36" s="184" t="str">
        <f>IFERROR(IF(VLOOKUP(Tue_W2[[#This Row],[Employee Name]],'Base Schedules'!$A$160:$AW$203,27,FALSE)="","",VLOOKUP(Tue_W2[[#This Row],[Employee Name]],'Base Schedules'!$A$160:$AW$203,27,FALSE)),"")</f>
        <v>-</v>
      </c>
      <c r="AC36" s="184" t="str">
        <f>IFERROR(IF(VLOOKUP(Tue_W2[[#This Row],[Employee Name]],'Base Schedules'!$A$160:$AW$203,28,FALSE)="","",VLOOKUP(Tue_W2[[#This Row],[Employee Name]],'Base Schedules'!$A$160:$AW$203,28,FALSE)),"")</f>
        <v>-</v>
      </c>
      <c r="AD36" s="184" t="str">
        <f>IFERROR(IF(VLOOKUP(Tue_W2[[#This Row],[Employee Name]],'Base Schedules'!$A$160:$AW$203,29,FALSE)="","",VLOOKUP(Tue_W2[[#This Row],[Employee Name]],'Base Schedules'!$A$160:$AW$203,29,FALSE)),"")</f>
        <v>Interview</v>
      </c>
      <c r="AE36" s="184" t="str">
        <f>IFERROR(IF(VLOOKUP(Tue_W2[[#This Row],[Employee Name]],'Base Schedules'!$A$160:$AW$203,30,FALSE)="","",VLOOKUP(Tue_W2[[#This Row],[Employee Name]],'Base Schedules'!$A$160:$AW$203,30,FALSE)),"")</f>
        <v>Interview</v>
      </c>
      <c r="AF36" s="184" t="str">
        <f>IFERROR(IF(VLOOKUP(Tue_W2[[#This Row],[Employee Name]],'Base Schedules'!$A$160:$AW$203,31,FALSE)="","",VLOOKUP(Tue_W2[[#This Row],[Employee Name]],'Base Schedules'!$A$160:$AW$203,31,FALSE)),"")</f>
        <v>-</v>
      </c>
      <c r="AG36" s="184" t="str">
        <f>IFERROR(IF(VLOOKUP(Tue_W2[[#This Row],[Employee Name]],'Base Schedules'!$A$160:$AW$203,32,FALSE)="","",VLOOKUP(Tue_W2[[#This Row],[Employee Name]],'Base Schedules'!$A$160:$AW$203,32,FALSE)),"")</f>
        <v>-</v>
      </c>
      <c r="AH36" s="184" t="str">
        <f>IFERROR(IF(VLOOKUP(Tue_W2[[#This Row],[Employee Name]],'Base Schedules'!$A$160:$AW$203,33,FALSE)="","",VLOOKUP(Tue_W2[[#This Row],[Employee Name]],'Base Schedules'!$A$160:$AW$203,33,FALSE)),"")</f>
        <v>-</v>
      </c>
      <c r="AI36" s="184" t="str">
        <f>IFERROR(IF(VLOOKUP(Tue_W2[[#This Row],[Employee Name]],'Base Schedules'!$A$160:$AW$203,34,FALSE)="","",VLOOKUP(Tue_W2[[#This Row],[Employee Name]],'Base Schedules'!$A$160:$AW$203,34,FALSE)),"")</f>
        <v>-</v>
      </c>
      <c r="AJ36" s="184" t="str">
        <f>IFERROR(IF(VLOOKUP(Tue_W2[[#This Row],[Employee Name]],'Base Schedules'!$A$160:$AW$203,35,FALSE)="","",VLOOKUP(Tue_W2[[#This Row],[Employee Name]],'Base Schedules'!$A$160:$AW$203,35,FALSE)),"")</f>
        <v>Coaching</v>
      </c>
      <c r="AK36" s="184" t="str">
        <f>IFERROR(IF(VLOOKUP(Tue_W2[[#This Row],[Employee Name]],'Base Schedules'!$A$160:$AW$203,36,FALSE)="","",VLOOKUP(Tue_W2[[#This Row],[Employee Name]],'Base Schedules'!$A$160:$AW$203,36,FALSE)),"")</f>
        <v>Coaching</v>
      </c>
      <c r="AL36" s="184" t="str">
        <f>IFERROR(IF(VLOOKUP(Tue_W2[[#This Row],[Employee Name]],'Base Schedules'!$A$160:$AW$203,37,FALSE)="","",VLOOKUP(Tue_W2[[#This Row],[Employee Name]],'Base Schedules'!$A$160:$AW$203,37,FALSE)),"")</f>
        <v>Coaching</v>
      </c>
      <c r="AM36" s="184" t="str">
        <f>IFERROR(IF(VLOOKUP(Tue_W2[[#This Row],[Employee Name]],'Base Schedules'!$A$160:$AW$203,38,FALSE)="","",VLOOKUP(Tue_W2[[#This Row],[Employee Name]],'Base Schedules'!$A$160:$AW$203,38,FALSE)),"")</f>
        <v>Coaching</v>
      </c>
      <c r="AN36" s="184" t="str">
        <f>IFERROR(IF(VLOOKUP(Tue_W2[[#This Row],[Employee Name]],'Base Schedules'!$A$160:$AW$203,39,FALSE)="","",VLOOKUP(Tue_W2[[#This Row],[Employee Name]],'Base Schedules'!$A$160:$AW$203,39,FALSE)),"")</f>
        <v>-</v>
      </c>
      <c r="AO36" s="184" t="str">
        <f>IFERROR(IF(VLOOKUP(Tue_W2[[#This Row],[Employee Name]],'Base Schedules'!$A$160:$AW$203,40,FALSE)="","",VLOOKUP(Tue_W2[[#This Row],[Employee Name]],'Base Schedules'!$A$160:$AW$203,40,FALSE)),"")</f>
        <v>-</v>
      </c>
      <c r="AP36" s="184" t="str">
        <f>IFERROR(IF(VLOOKUP(Tue_W2[[#This Row],[Employee Name]],'Base Schedules'!$A$160:$AW$203,41,FALSE)="","",VLOOKUP(Tue_W2[[#This Row],[Employee Name]],'Base Schedules'!$A$160:$AW$203,41,FALSE)),"")</f>
        <v>-</v>
      </c>
      <c r="AQ36" s="184" t="str">
        <f>IFERROR(IF(VLOOKUP(Tue_W2[[#This Row],[Employee Name]],'Base Schedules'!$A$160:$AW$203,42,FALSE)="","",VLOOKUP(Tue_W2[[#This Row],[Employee Name]],'Base Schedules'!$A$160:$AW$203,42,FALSE)),"")</f>
        <v/>
      </c>
      <c r="AR36" s="184" t="str">
        <f>IFERROR(IF(VLOOKUP(Tue_W2[[#This Row],[Employee Name]],'Base Schedules'!$A$160:$AW$203,43,FALSE)="","",VLOOKUP(Tue_W2[[#This Row],[Employee Name]],'Base Schedules'!$A$160:$AW$203,43,FALSE)),"")</f>
        <v/>
      </c>
      <c r="AS36" s="184" t="str">
        <f>IFERROR(IF(VLOOKUP(Tue_W2[[#This Row],[Employee Name]],'Base Schedules'!$A$160:$AW$203,44,FALSE)="","",VLOOKUP(Tue_W2[[#This Row],[Employee Name]],'Base Schedules'!$A$160:$AW$203,44,FALSE)),"")</f>
        <v/>
      </c>
      <c r="AT36" s="184" t="str">
        <f>IFERROR(IF(VLOOKUP(Tue_W2[[#This Row],[Employee Name]],'Base Schedules'!$A$160:$AW$203,45,FALSE)="","",VLOOKUP(Tue_W2[[#This Row],[Employee Name]],'Base Schedules'!$A$160:$AW$203,45,FALSE)),"")</f>
        <v/>
      </c>
      <c r="AU36" s="184" t="str">
        <f>IFERROR(IF(VLOOKUP(Tue_W2[[#This Row],[Employee Name]],'Base Schedules'!$A$160:$AW$203,46,FALSE)="","",VLOOKUP(Tue_W2[[#This Row],[Employee Name]],'Base Schedules'!$A$160:$AW$203,46,FALSE)),"")</f>
        <v/>
      </c>
      <c r="AV36" s="184" t="str">
        <f>IFERROR(IF(VLOOKUP(Tue_W2[[#This Row],[Employee Name]],'Base Schedules'!$A$160:$AW$203,47,FALSE)="","",VLOOKUP(Tue_W2[[#This Row],[Employee Name]],'Base Schedules'!$A$160:$AW$203,47,FALSE)),"")</f>
        <v/>
      </c>
      <c r="AW36" s="184" t="str">
        <f>IFERROR(IF(VLOOKUP(Tue_W2[[#This Row],[Employee Name]],'Base Schedules'!$A$160:$AW$203,48,FALSE)="","",VLOOKUP(Tue_W2[[#This Row],[Employee Name]],'Base Schedules'!$A$160:$AW$203,48,FALSE)),"")</f>
        <v/>
      </c>
      <c r="AX36" s="184" t="str">
        <f>IFERROR(IF(VLOOKUP(Tue_W2[[#This Row],[Employee Name]],'Base Schedules'!$A$160:$AW$203,49,FALSE)="","",VLOOKUP(Tue_W2[[#This Row],[Employee Name]],'Base Schedules'!$A$160:$AW$203,49,FALSE)),"")</f>
        <v/>
      </c>
      <c r="AY36" s="159" t="str">
        <f t="shared" si="2"/>
        <v>McFall, Erin</v>
      </c>
    </row>
    <row r="37" spans="1:51" s="44" customFormat="1" ht="12" customHeight="1" x14ac:dyDescent="0.2">
      <c r="A37" s="39" t="str">
        <f>IF(B37="","",INDEX(TeamList[],MATCH($B37,TeamList[[Employee Name]:[Employee Name]],0),MATCH("Manager",TeamList[#Headers],0)))</f>
        <v>Paulson, Matthew</v>
      </c>
      <c r="B37" s="201" t="s">
        <v>66</v>
      </c>
      <c r="C37" s="257" t="str">
        <f>_xlfn.IFNA(VLOOKUP(Tue_W2[[#This Row],[Employee Name]],'Base Schedules'!A:B,2,FALSE),"")</f>
        <v>Supervisor</v>
      </c>
      <c r="D37" s="274">
        <f>_xlfn.IFNA(VLOOKUP(Tue_W2[[#This Row],[Employee Name]],'Base Schedules'!A:C,3,FALSE),"")</f>
        <v>1230</v>
      </c>
      <c r="E37" s="274">
        <f>_xlfn.IFNA(VLOOKUP(Tue_W2[[#This Row],[Employee Name]],'Base Schedules'!A:D,4,FALSE),"")</f>
        <v>2130</v>
      </c>
      <c r="F37" s="142">
        <f>IF(Tue_W2[[#This Row],[Employee Name]]="","",IF(Tue_W2[[#This Row],[Dept]]="Supervisor",COUNTIFS($J37:$AX37,"*HL*",$J37:$AX37,"&lt;&gt;"&amp;"pHL"),COUNTIFS($J37:$AX37,"*HL*",$J37:$AX37,"&lt;&gt;"&amp;"*pHL*",$J37:$AX37,"&lt;&gt;"&amp;"pB1 HL",$J37:$AX37,"&lt;&gt;"&amp;"pB2 HL")-SUM(COUNTIFS($J37:$AX37,"*HL B1*",$J37:$AX37,"&lt;&gt;"&amp;"pHL B1")*0.5,COUNTIFS($J37:$AX37,"*HL B2*",$J37:$AX37,"&lt;&gt;"&amp;"pHL B2")*0.5,COUNTIFS($J37:$AX37,"*B1 HL*",$J37:$AX37,"&lt;&gt;"&amp;"pB1 HL")*0.5,COUNTIFS($J37:$AX37,"*B2 HL*",$J37:$AX37,"&lt;&gt;"&amp;"pB2 HL")*0.5)))</f>
        <v>0</v>
      </c>
      <c r="G37" s="142">
        <f t="shared" si="0"/>
        <v>3</v>
      </c>
      <c r="H37" s="142">
        <f t="shared" si="1"/>
        <v>0</v>
      </c>
      <c r="I37" s="142">
        <f>IF(Tue_W2[[#This Row],[Employee Name]]="","",IF(Tue_W2[[#This Row],[Dept]]="Supervisor",SUM(COUNTIFS($J37:$AX37,"RTA*",$J37:$AX37,"&lt;&gt;"&amp;"pRTA"),COUNTIFS($J37:$AX37,"*CRTA*",$J37:$AX37,"&lt;&gt;"&amp;"pCRTA")),COUNTIFS($J37:$AX37,"*RNNR*",$J37:$AX37,"&lt;&gt;"&amp;"*pRNNR*",$J37:$AX37,"&lt;&gt;"&amp;"pB1 RNNR",$J37:$AX37,"&lt;&gt;"&amp;"pB2 RNNR")-SUM(COUNTIFS($J37:$AX37,"*RNNR B1*",$J37:$AX37,"&lt;&gt;"&amp;"pRNNR B1")*0.5,COUNTIFS($J37:$AX37,"*RNNR B2*",$J37:$AX37,"&lt;&gt;"&amp;"pRNNR B2")*0.5,COUNTIFS($J37:$AX37,"*B1 RNNR*",$J37:$AX37,"&lt;&gt;"&amp;"pB1 RNNR")*0.5,COUNTIFS($J37:$AX37,"*B2 RNNR*",$J37:$AX37,"&lt;&gt;"&amp;"pB2 RNNR")*0.5)))</f>
        <v>0</v>
      </c>
      <c r="J37" s="184" t="str">
        <f>IFERROR(IF(VLOOKUP(Tue_W2[[#This Row],[Employee Name]],'Base Schedules'!$A$160:$AW$203,9,FALSE)="","",VLOOKUP(Tue_W2[[#This Row],[Employee Name]],'Base Schedules'!$A$160:$AW$203,9,FALSE)),"")</f>
        <v/>
      </c>
      <c r="K37" s="184" t="str">
        <f>IFERROR(IF(VLOOKUP(Tue_W2[[#This Row],[Employee Name]],'Base Schedules'!$A$160:$AW$203,10,FALSE)="","",VLOOKUP(Tue_W2[[#This Row],[Employee Name]],'Base Schedules'!$A$160:$AW$203,10,FALSE)),"")</f>
        <v/>
      </c>
      <c r="L37" s="184" t="str">
        <f>IFERROR(IF(VLOOKUP(Tue_W2[[#This Row],[Employee Name]],'Base Schedules'!$A$160:$AW$203,11,FALSE)="","",VLOOKUP(Tue_W2[[#This Row],[Employee Name]],'Base Schedules'!$A$160:$AW$203,11,FALSE)),"")</f>
        <v/>
      </c>
      <c r="M37" s="184" t="str">
        <f>IFERROR(IF(VLOOKUP(Tue_W2[[#This Row],[Employee Name]],'Base Schedules'!$A$160:$AW$203,12,FALSE)="","",VLOOKUP(Tue_W2[[#This Row],[Employee Name]],'Base Schedules'!$A$160:$AW$203,12,FALSE)),"")</f>
        <v/>
      </c>
      <c r="N37" s="184" t="str">
        <f>IFERROR(IF(VLOOKUP(Tue_W2[[#This Row],[Employee Name]],'Base Schedules'!$A$160:$AW$203,13,FALSE)="","",VLOOKUP(Tue_W2[[#This Row],[Employee Name]],'Base Schedules'!$A$160:$AW$203,13,FALSE)),"")</f>
        <v/>
      </c>
      <c r="O37" s="184" t="str">
        <f>IFERROR(IF(VLOOKUP(Tue_W2[[#This Row],[Employee Name]],'Base Schedules'!$A$160:$AW$203,14,FALSE)="","",VLOOKUP(Tue_W2[[#This Row],[Employee Name]],'Base Schedules'!$A$160:$AW$203,14,FALSE)),"")</f>
        <v/>
      </c>
      <c r="P37" s="184" t="str">
        <f>IFERROR(IF(VLOOKUP(Tue_W2[[#This Row],[Employee Name]],'Base Schedules'!$A$160:$AW$203,15,FALSE)="","",VLOOKUP(Tue_W2[[#This Row],[Employee Name]],'Base Schedules'!$A$160:$AW$203,15,FALSE)),"")</f>
        <v/>
      </c>
      <c r="Q37" s="184" t="str">
        <f>IFERROR(IF(VLOOKUP(Tue_W2[[#This Row],[Employee Name]],'Base Schedules'!$A$160:$AW$203,16,FALSE)="","",VLOOKUP(Tue_W2[[#This Row],[Employee Name]],'Base Schedules'!$A$160:$AW$203,16,FALSE)),"")</f>
        <v/>
      </c>
      <c r="R37" s="184" t="str">
        <f>IFERROR(IF(VLOOKUP(Tue_W2[[#This Row],[Employee Name]],'Base Schedules'!$A$160:$AW$203,17,FALSE)="","",VLOOKUP(Tue_W2[[#This Row],[Employee Name]],'Base Schedules'!$A$160:$AW$203,17,FALSE)),"")</f>
        <v/>
      </c>
      <c r="S37" s="184" t="str">
        <f>IFERROR(IF(VLOOKUP(Tue_W2[[#This Row],[Employee Name]],'Base Schedules'!$A$160:$AW$203,18,FALSE)="","",VLOOKUP(Tue_W2[[#This Row],[Employee Name]],'Base Schedules'!$A$160:$AW$203,18,FALSE)),"")</f>
        <v/>
      </c>
      <c r="T37" s="184" t="str">
        <f>IFERROR(IF(VLOOKUP(Tue_W2[[#This Row],[Employee Name]],'Base Schedules'!$A$160:$AW$203,19,FALSE)="","",VLOOKUP(Tue_W2[[#This Row],[Employee Name]],'Base Schedules'!$A$160:$AW$203,19,FALSE)),"")</f>
        <v/>
      </c>
      <c r="U37" s="184" t="str">
        <f>IFERROR(IF(VLOOKUP(Tue_W2[[#This Row],[Employee Name]],'Base Schedules'!$A$160:$AW$203,20,FALSE)="","",VLOOKUP(Tue_W2[[#This Row],[Employee Name]],'Base Schedules'!$A$160:$AW$203,20,FALSE)),"")</f>
        <v/>
      </c>
      <c r="V37" s="184" t="str">
        <f>IFERROR(IF(VLOOKUP(Tue_W2[[#This Row],[Employee Name]],'Base Schedules'!$A$160:$AW$203,21,FALSE)="","",VLOOKUP(Tue_W2[[#This Row],[Employee Name]],'Base Schedules'!$A$160:$AW$203,21,FALSE)),"")</f>
        <v/>
      </c>
      <c r="W37" s="184" t="str">
        <f>IFERROR(IF(VLOOKUP(Tue_W2[[#This Row],[Employee Name]],'Base Schedules'!$A$160:$AW$203,22,FALSE)="","",VLOOKUP(Tue_W2[[#This Row],[Employee Name]],'Base Schedules'!$A$160:$AW$203,22,FALSE)),"")</f>
        <v/>
      </c>
      <c r="X37" s="184" t="str">
        <f>IFERROR(IF(VLOOKUP(Tue_W2[[#This Row],[Employee Name]],'Base Schedules'!$A$160:$AW$203,23,FALSE)="","",VLOOKUP(Tue_W2[[#This Row],[Employee Name]],'Base Schedules'!$A$160:$AW$203,23,FALSE)),"")</f>
        <v/>
      </c>
      <c r="Y37" s="184" t="str">
        <f>IFERROR(IF(VLOOKUP(Tue_W2[[#This Row],[Employee Name]],'Base Schedules'!$A$160:$AW$203,24,FALSE)="","",VLOOKUP(Tue_W2[[#This Row],[Employee Name]],'Base Schedules'!$A$160:$AW$203,24,FALSE)),"")</f>
        <v>-</v>
      </c>
      <c r="Z37" s="184" t="str">
        <f>IFERROR(IF(VLOOKUP(Tue_W2[[#This Row],[Employee Name]],'Base Schedules'!$A$160:$AW$203,25,FALSE)="","",VLOOKUP(Tue_W2[[#This Row],[Employee Name]],'Base Schedules'!$A$160:$AW$203,25,FALSE)),"")</f>
        <v>-</v>
      </c>
      <c r="AA37" s="184" t="str">
        <f>IFERROR(IF(VLOOKUP(Tue_W2[[#This Row],[Employee Name]],'Base Schedules'!$A$160:$AW$203,26,FALSE)="","",VLOOKUP(Tue_W2[[#This Row],[Employee Name]],'Base Schedules'!$A$160:$AW$203,26,FALSE)),"")</f>
        <v>-</v>
      </c>
      <c r="AB37" s="184" t="str">
        <f>IFERROR(IF(VLOOKUP(Tue_W2[[#This Row],[Employee Name]],'Base Schedules'!$A$160:$AW$203,27,FALSE)="","",VLOOKUP(Tue_W2[[#This Row],[Employee Name]],'Base Schedules'!$A$160:$AW$203,27,FALSE)),"")</f>
        <v>Coaching</v>
      </c>
      <c r="AC37" s="184" t="str">
        <f>IFERROR(IF(VLOOKUP(Tue_W2[[#This Row],[Employee Name]],'Base Schedules'!$A$160:$AW$203,28,FALSE)="","",VLOOKUP(Tue_W2[[#This Row],[Employee Name]],'Base Schedules'!$A$160:$AW$203,28,FALSE)),"")</f>
        <v>Coaching</v>
      </c>
      <c r="AD37" s="184" t="str">
        <f>IFERROR(IF(VLOOKUP(Tue_W2[[#This Row],[Employee Name]],'Base Schedules'!$A$160:$AW$203,29,FALSE)="","",VLOOKUP(Tue_W2[[#This Row],[Employee Name]],'Base Schedules'!$A$160:$AW$203,29,FALSE)),"")</f>
        <v>Coaching</v>
      </c>
      <c r="AE37" s="184" t="str">
        <f>IFERROR(IF(VLOOKUP(Tue_W2[[#This Row],[Employee Name]],'Base Schedules'!$A$160:$AW$203,30,FALSE)="","",VLOOKUP(Tue_W2[[#This Row],[Employee Name]],'Base Schedules'!$A$160:$AW$203,30,FALSE)),"")</f>
        <v>-</v>
      </c>
      <c r="AF37" s="184" t="str">
        <f>IFERROR(IF(VLOOKUP(Tue_W2[[#This Row],[Employee Name]],'Base Schedules'!$A$160:$AW$203,31,FALSE)="","",VLOOKUP(Tue_W2[[#This Row],[Employee Name]],'Base Schedules'!$A$160:$AW$203,31,FALSE)),"")</f>
        <v>Interview</v>
      </c>
      <c r="AG37" s="184" t="str">
        <f>IFERROR(IF(VLOOKUP(Tue_W2[[#This Row],[Employee Name]],'Base Schedules'!$A$160:$AW$203,32,FALSE)="","",VLOOKUP(Tue_W2[[#This Row],[Employee Name]],'Base Schedules'!$A$160:$AW$203,32,FALSE)),"")</f>
        <v>Interview</v>
      </c>
      <c r="AH37" s="184" t="str">
        <f>IFERROR(IF(VLOOKUP(Tue_W2[[#This Row],[Employee Name]],'Base Schedules'!$A$160:$AW$203,33,FALSE)="","",VLOOKUP(Tue_W2[[#This Row],[Employee Name]],'Base Schedules'!$A$160:$AW$203,33,FALSE)),"")</f>
        <v>-</v>
      </c>
      <c r="AI37" s="184" t="str">
        <f>IFERROR(IF(VLOOKUP(Tue_W2[[#This Row],[Employee Name]],'Base Schedules'!$A$160:$AW$203,34,FALSE)="","",VLOOKUP(Tue_W2[[#This Row],[Employee Name]],'Base Schedules'!$A$160:$AW$203,34,FALSE)),"")</f>
        <v>-</v>
      </c>
      <c r="AJ37" s="184" t="str">
        <f>IFERROR(IF(VLOOKUP(Tue_W2[[#This Row],[Employee Name]],'Base Schedules'!$A$160:$AW$203,35,FALSE)="","",VLOOKUP(Tue_W2[[#This Row],[Employee Name]],'Base Schedules'!$A$160:$AW$203,35,FALSE)),"")</f>
        <v>-</v>
      </c>
      <c r="AK37" s="184" t="str">
        <f>IFERROR(IF(VLOOKUP(Tue_W2[[#This Row],[Employee Name]],'Base Schedules'!$A$160:$AW$203,36,FALSE)="","",VLOOKUP(Tue_W2[[#This Row],[Employee Name]],'Base Schedules'!$A$160:$AW$203,36,FALSE)),"")</f>
        <v>-</v>
      </c>
      <c r="AL37" s="184" t="str">
        <f>IFERROR(IF(VLOOKUP(Tue_W2[[#This Row],[Employee Name]],'Base Schedules'!$A$160:$AW$203,37,FALSE)="","",VLOOKUP(Tue_W2[[#This Row],[Employee Name]],'Base Schedules'!$A$160:$AW$203,37,FALSE)),"")</f>
        <v>TM PREP</v>
      </c>
      <c r="AM37" s="184" t="str">
        <f>IFERROR(IF(VLOOKUP(Tue_W2[[#This Row],[Employee Name]],'Base Schedules'!$A$160:$AW$203,38,FALSE)="","",VLOOKUP(Tue_W2[[#This Row],[Employee Name]],'Base Schedules'!$A$160:$AW$203,38,FALSE)),"")</f>
        <v>AGUILAR TM</v>
      </c>
      <c r="AN37" s="184" t="str">
        <f>IFERROR(IF(VLOOKUP(Tue_W2[[#This Row],[Employee Name]],'Base Schedules'!$A$160:$AW$203,39,FALSE)="","",VLOOKUP(Tue_W2[[#This Row],[Employee Name]],'Base Schedules'!$A$160:$AW$203,39,FALSE)),"")</f>
        <v>AGUILAR TM</v>
      </c>
      <c r="AO37" s="184" t="str">
        <f>IFERROR(IF(VLOOKUP(Tue_W2[[#This Row],[Employee Name]],'Base Schedules'!$A$160:$AW$203,40,FALSE)="","",VLOOKUP(Tue_W2[[#This Row],[Employee Name]],'Base Schedules'!$A$160:$AW$203,40,FALSE)),"")</f>
        <v>-</v>
      </c>
      <c r="AP37" s="184" t="str">
        <f>IFERROR(IF(VLOOKUP(Tue_W2[[#This Row],[Employee Name]],'Base Schedules'!$A$160:$AW$203,41,FALSE)="","",VLOOKUP(Tue_W2[[#This Row],[Employee Name]],'Base Schedules'!$A$160:$AW$203,41,FALSE)),"")</f>
        <v>-</v>
      </c>
      <c r="AQ37" s="184" t="str">
        <f>IFERROR(IF(VLOOKUP(Tue_W2[[#This Row],[Employee Name]],'Base Schedules'!$A$160:$AW$203,42,FALSE)="","",VLOOKUP(Tue_W2[[#This Row],[Employee Name]],'Base Schedules'!$A$160:$AW$203,42,FALSE)),"")</f>
        <v>-</v>
      </c>
      <c r="AR37" s="184" t="str">
        <f>IFERROR(IF(VLOOKUP(Tue_W2[[#This Row],[Employee Name]],'Base Schedules'!$A$160:$AW$203,43,FALSE)="","",VLOOKUP(Tue_W2[[#This Row],[Employee Name]],'Base Schedules'!$A$160:$AW$203,43,FALSE)),"")</f>
        <v/>
      </c>
      <c r="AS37" s="184" t="str">
        <f>IFERROR(IF(VLOOKUP(Tue_W2[[#This Row],[Employee Name]],'Base Schedules'!$A$160:$AW$203,44,FALSE)="","",VLOOKUP(Tue_W2[[#This Row],[Employee Name]],'Base Schedules'!$A$160:$AW$203,44,FALSE)),"")</f>
        <v/>
      </c>
      <c r="AT37" s="184" t="str">
        <f>IFERROR(IF(VLOOKUP(Tue_W2[[#This Row],[Employee Name]],'Base Schedules'!$A$160:$AW$203,45,FALSE)="","",VLOOKUP(Tue_W2[[#This Row],[Employee Name]],'Base Schedules'!$A$160:$AW$203,45,FALSE)),"")</f>
        <v/>
      </c>
      <c r="AU37" s="184" t="str">
        <f>IFERROR(IF(VLOOKUP(Tue_W2[[#This Row],[Employee Name]],'Base Schedules'!$A$160:$AW$203,46,FALSE)="","",VLOOKUP(Tue_W2[[#This Row],[Employee Name]],'Base Schedules'!$A$160:$AW$203,46,FALSE)),"")</f>
        <v/>
      </c>
      <c r="AV37" s="184" t="str">
        <f>IFERROR(IF(VLOOKUP(Tue_W2[[#This Row],[Employee Name]],'Base Schedules'!$A$160:$AW$203,47,FALSE)="","",VLOOKUP(Tue_W2[[#This Row],[Employee Name]],'Base Schedules'!$A$160:$AW$203,47,FALSE)),"")</f>
        <v/>
      </c>
      <c r="AW37" s="184" t="str">
        <f>IFERROR(IF(VLOOKUP(Tue_W2[[#This Row],[Employee Name]],'Base Schedules'!$A$160:$AW$203,48,FALSE)="","",VLOOKUP(Tue_W2[[#This Row],[Employee Name]],'Base Schedules'!$A$160:$AW$203,48,FALSE)),"")</f>
        <v/>
      </c>
      <c r="AX37" s="184" t="str">
        <f>IFERROR(IF(VLOOKUP(Tue_W2[[#This Row],[Employee Name]],'Base Schedules'!$A$160:$AW$203,49,FALSE)="","",VLOOKUP(Tue_W2[[#This Row],[Employee Name]],'Base Schedules'!$A$160:$AW$203,49,FALSE)),"")</f>
        <v/>
      </c>
      <c r="AY37" s="159" t="str">
        <f t="shared" si="2"/>
        <v>Aguilar, Angelica</v>
      </c>
    </row>
    <row r="38" spans="1:51" s="44" customFormat="1" ht="12" customHeight="1" x14ac:dyDescent="0.2">
      <c r="A38" s="39" t="str">
        <f>IF(B38="","",INDEX(TeamList[],MATCH($B38,TeamList[[Employee Name]:[Employee Name]],0),MATCH("Manager",TeamList[#Headers],0)))</f>
        <v>Olson, Katherine</v>
      </c>
      <c r="B38" s="201" t="s">
        <v>29</v>
      </c>
      <c r="C38" s="257" t="str">
        <f>_xlfn.IFNA(VLOOKUP(Tue_W2[[#This Row],[Employee Name]],'Base Schedules'!A:B,2,FALSE),"")</f>
        <v>Lead</v>
      </c>
      <c r="D38" s="274">
        <f>_xlfn.IFNA(VLOOKUP(Tue_W2[[#This Row],[Employee Name]],'Base Schedules'!A:C,3,FALSE),"")</f>
        <v>1300</v>
      </c>
      <c r="E38" s="274">
        <f>_xlfn.IFNA(VLOOKUP(Tue_W2[[#This Row],[Employee Name]],'Base Schedules'!A:D,4,FALSE),"")</f>
        <v>2130</v>
      </c>
      <c r="F38" s="142">
        <f>IF(Tue_W2[[#This Row],[Employee Name]]="","",IF(Tue_W2[[#This Row],[Dept]]="Supervisor",COUNTIFS($J38:$AX38,"*HL*",$J38:$AX38,"&lt;&gt;"&amp;"pHL"),COUNTIFS($J38:$AX38,"*HL*",$J38:$AX38,"&lt;&gt;"&amp;"*pHL*",$J38:$AX38,"&lt;&gt;"&amp;"pB1 HL",$J38:$AX38,"&lt;&gt;"&amp;"pB2 HL")-SUM(COUNTIFS($J38:$AX38,"*HL B1*",$J38:$AX38,"&lt;&gt;"&amp;"pHL B1")*0.5,COUNTIFS($J38:$AX38,"*HL B2*",$J38:$AX38,"&lt;&gt;"&amp;"pHL B2")*0.5,COUNTIFS($J38:$AX38,"*B1 HL*",$J38:$AX38,"&lt;&gt;"&amp;"pB1 HL")*0.5,COUNTIFS($J38:$AX38,"*B2 HL*",$J38:$AX38,"&lt;&gt;"&amp;"pB2 HL")*0.5)))</f>
        <v>10.5</v>
      </c>
      <c r="G38" s="142">
        <f t="shared" si="0"/>
        <v>0</v>
      </c>
      <c r="H38" s="142">
        <f t="shared" si="1"/>
        <v>5</v>
      </c>
      <c r="I38" s="142">
        <f>IF(Tue_W2[[#This Row],[Employee Name]]="","",IF(Tue_W2[[#This Row],[Dept]]="Supervisor",SUM(COUNTIFS($J38:$AX38,"RTA*",$J38:$AX38,"&lt;&gt;"&amp;"pRTA"),COUNTIFS($J38:$AX38,"*CRTA*",$J38:$AX38,"&lt;&gt;"&amp;"pCRTA")),COUNTIFS($J38:$AX38,"*RNNR*",$J38:$AX38,"&lt;&gt;"&amp;"*pRNNR*",$J38:$AX38,"&lt;&gt;"&amp;"pB1 RNNR",$J38:$AX38,"&lt;&gt;"&amp;"pB2 RNNR")-SUM(COUNTIFS($J38:$AX38,"*RNNR B1*",$J38:$AX38,"&lt;&gt;"&amp;"pRNNR B1")*0.5,COUNTIFS($J38:$AX38,"*RNNR B2*",$J38:$AX38,"&lt;&gt;"&amp;"pRNNR B2")*0.5,COUNTIFS($J38:$AX38,"*B1 RNNR*",$J38:$AX38,"&lt;&gt;"&amp;"pB1 RNNR")*0.5,COUNTIFS($J38:$AX38,"*B2 RNNR*",$J38:$AX38,"&lt;&gt;"&amp;"pB2 RNNR")*0.5)))</f>
        <v>0</v>
      </c>
      <c r="J38" s="184" t="str">
        <f>IFERROR(IF(VLOOKUP(Tue_W2[[#This Row],[Employee Name]],'Base Schedules'!$A$160:$AW$203,9,FALSE)="","",VLOOKUP(Tue_W2[[#This Row],[Employee Name]],'Base Schedules'!$A$160:$AW$203,9,FALSE)),"")</f>
        <v/>
      </c>
      <c r="K38" s="184" t="str">
        <f>IFERROR(IF(VLOOKUP(Tue_W2[[#This Row],[Employee Name]],'Base Schedules'!$A$160:$AW$203,10,FALSE)="","",VLOOKUP(Tue_W2[[#This Row],[Employee Name]],'Base Schedules'!$A$160:$AW$203,10,FALSE)),"")</f>
        <v/>
      </c>
      <c r="L38" s="184" t="str">
        <f>IFERROR(IF(VLOOKUP(Tue_W2[[#This Row],[Employee Name]],'Base Schedules'!$A$160:$AW$203,11,FALSE)="","",VLOOKUP(Tue_W2[[#This Row],[Employee Name]],'Base Schedules'!$A$160:$AW$203,11,FALSE)),"")</f>
        <v/>
      </c>
      <c r="M38" s="184" t="str">
        <f>IFERROR(IF(VLOOKUP(Tue_W2[[#This Row],[Employee Name]],'Base Schedules'!$A$160:$AW$203,12,FALSE)="","",VLOOKUP(Tue_W2[[#This Row],[Employee Name]],'Base Schedules'!$A$160:$AW$203,12,FALSE)),"")</f>
        <v/>
      </c>
      <c r="N38" s="184" t="str">
        <f>IFERROR(IF(VLOOKUP(Tue_W2[[#This Row],[Employee Name]],'Base Schedules'!$A$160:$AW$203,13,FALSE)="","",VLOOKUP(Tue_W2[[#This Row],[Employee Name]],'Base Schedules'!$A$160:$AW$203,13,FALSE)),"")</f>
        <v/>
      </c>
      <c r="O38" s="184" t="str">
        <f>IFERROR(IF(VLOOKUP(Tue_W2[[#This Row],[Employee Name]],'Base Schedules'!$A$160:$AW$203,14,FALSE)="","",VLOOKUP(Tue_W2[[#This Row],[Employee Name]],'Base Schedules'!$A$160:$AW$203,14,FALSE)),"")</f>
        <v/>
      </c>
      <c r="P38" s="184" t="str">
        <f>IFERROR(IF(VLOOKUP(Tue_W2[[#This Row],[Employee Name]],'Base Schedules'!$A$160:$AW$203,15,FALSE)="","",VLOOKUP(Tue_W2[[#This Row],[Employee Name]],'Base Schedules'!$A$160:$AW$203,15,FALSE)),"")</f>
        <v/>
      </c>
      <c r="Q38" s="184" t="str">
        <f>IFERROR(IF(VLOOKUP(Tue_W2[[#This Row],[Employee Name]],'Base Schedules'!$A$160:$AW$203,16,FALSE)="","",VLOOKUP(Tue_W2[[#This Row],[Employee Name]],'Base Schedules'!$A$160:$AW$203,16,FALSE)),"")</f>
        <v/>
      </c>
      <c r="R38" s="184" t="str">
        <f>IFERROR(IF(VLOOKUP(Tue_W2[[#This Row],[Employee Name]],'Base Schedules'!$A$160:$AW$203,17,FALSE)="","",VLOOKUP(Tue_W2[[#This Row],[Employee Name]],'Base Schedules'!$A$160:$AW$203,17,FALSE)),"")</f>
        <v/>
      </c>
      <c r="S38" s="184" t="str">
        <f>IFERROR(IF(VLOOKUP(Tue_W2[[#This Row],[Employee Name]],'Base Schedules'!$A$160:$AW$203,18,FALSE)="","",VLOOKUP(Tue_W2[[#This Row],[Employee Name]],'Base Schedules'!$A$160:$AW$203,18,FALSE)),"")</f>
        <v/>
      </c>
      <c r="T38" s="184" t="str">
        <f>IFERROR(IF(VLOOKUP(Tue_W2[[#This Row],[Employee Name]],'Base Schedules'!$A$160:$AW$203,19,FALSE)="","",VLOOKUP(Tue_W2[[#This Row],[Employee Name]],'Base Schedules'!$A$160:$AW$203,19,FALSE)),"")</f>
        <v/>
      </c>
      <c r="U38" s="184" t="str">
        <f>IFERROR(IF(VLOOKUP(Tue_W2[[#This Row],[Employee Name]],'Base Schedules'!$A$160:$AW$203,20,FALSE)="","",VLOOKUP(Tue_W2[[#This Row],[Employee Name]],'Base Schedules'!$A$160:$AW$203,20,FALSE)),"")</f>
        <v/>
      </c>
      <c r="V38" s="184" t="str">
        <f>IFERROR(IF(VLOOKUP(Tue_W2[[#This Row],[Employee Name]],'Base Schedules'!$A$160:$AW$203,21,FALSE)="","",VLOOKUP(Tue_W2[[#This Row],[Employee Name]],'Base Schedules'!$A$160:$AW$203,21,FALSE)),"")</f>
        <v/>
      </c>
      <c r="W38" s="184" t="str">
        <f>IFERROR(IF(VLOOKUP(Tue_W2[[#This Row],[Employee Name]],'Base Schedules'!$A$160:$AW$203,22,FALSE)="","",VLOOKUP(Tue_W2[[#This Row],[Employee Name]],'Base Schedules'!$A$160:$AW$203,22,FALSE)),"")</f>
        <v/>
      </c>
      <c r="X38" s="184" t="str">
        <f>IFERROR(IF(VLOOKUP(Tue_W2[[#This Row],[Employee Name]],'Base Schedules'!$A$160:$AW$203,23,FALSE)="","",VLOOKUP(Tue_W2[[#This Row],[Employee Name]],'Base Schedules'!$A$160:$AW$203,23,FALSE)),"")</f>
        <v/>
      </c>
      <c r="Y38" s="184" t="str">
        <f>IFERROR(IF(VLOOKUP(Tue_W2[[#This Row],[Employee Name]],'Base Schedules'!$A$160:$AW$203,24,FALSE)="","",VLOOKUP(Tue_W2[[#This Row],[Employee Name]],'Base Schedules'!$A$160:$AW$203,24,FALSE)),"")</f>
        <v/>
      </c>
      <c r="Z38" s="184" t="str">
        <f>IFERROR(IF(VLOOKUP(Tue_W2[[#This Row],[Employee Name]],'Base Schedules'!$A$160:$AW$203,25,FALSE)="","",VLOOKUP(Tue_W2[[#This Row],[Employee Name]],'Base Schedules'!$A$160:$AW$203,25,FALSE)),"")</f>
        <v>HL</v>
      </c>
      <c r="AA38" s="184" t="str">
        <f>IFERROR(IF(VLOOKUP(Tue_W2[[#This Row],[Employee Name]],'Base Schedules'!$A$160:$AW$203,26,FALSE)="","",VLOOKUP(Tue_W2[[#This Row],[Employee Name]],'Base Schedules'!$A$160:$AW$203,26,FALSE)),"")</f>
        <v>HL</v>
      </c>
      <c r="AB38" s="184" t="str">
        <f>IFERROR(IF(VLOOKUP(Tue_W2[[#This Row],[Employee Name]],'Base Schedules'!$A$160:$AW$203,27,FALSE)="","",VLOOKUP(Tue_W2[[#This Row],[Employee Name]],'Base Schedules'!$A$160:$AW$203,27,FALSE)),"")</f>
        <v>ADM</v>
      </c>
      <c r="AC38" s="184" t="str">
        <f>IFERROR(IF(VLOOKUP(Tue_W2[[#This Row],[Employee Name]],'Base Schedules'!$A$160:$AW$203,28,FALSE)="","",VLOOKUP(Tue_W2[[#This Row],[Employee Name]],'Base Schedules'!$A$160:$AW$203,28,FALSE)),"")</f>
        <v>ADM</v>
      </c>
      <c r="AD38" s="184" t="str">
        <f>IFERROR(IF(VLOOKUP(Tue_W2[[#This Row],[Employee Name]],'Base Schedules'!$A$160:$AW$203,29,FALSE)="","",VLOOKUP(Tue_W2[[#This Row],[Employee Name]],'Base Schedules'!$A$160:$AW$203,29,FALSE)),"")</f>
        <v>B1 ADM</v>
      </c>
      <c r="AE38" s="184" t="str">
        <f>IFERROR(IF(VLOOKUP(Tue_W2[[#This Row],[Employee Name]],'Base Schedules'!$A$160:$AW$203,30,FALSE)="","",VLOOKUP(Tue_W2[[#This Row],[Employee Name]],'Base Schedules'!$A$160:$AW$203,30,FALSE)),"")</f>
        <v>ADM</v>
      </c>
      <c r="AF38" s="184" t="str">
        <f>IFERROR(IF(VLOOKUP(Tue_W2[[#This Row],[Employee Name]],'Base Schedules'!$A$160:$AW$203,31,FALSE)="","",VLOOKUP(Tue_W2[[#This Row],[Employee Name]],'Base Schedules'!$A$160:$AW$203,31,FALSE)),"")</f>
        <v>ADM</v>
      </c>
      <c r="AG38" s="184" t="str">
        <f>IFERROR(IF(VLOOKUP(Tue_W2[[#This Row],[Employee Name]],'Base Schedules'!$A$160:$AW$203,32,FALSE)="","",VLOOKUP(Tue_W2[[#This Row],[Employee Name]],'Base Schedules'!$A$160:$AW$203,32,FALSE)),"")</f>
        <v>HL</v>
      </c>
      <c r="AH38" s="184" t="str">
        <f>IFERROR(IF(VLOOKUP(Tue_W2[[#This Row],[Employee Name]],'Base Schedules'!$A$160:$AW$203,33,FALSE)="","",VLOOKUP(Tue_W2[[#This Row],[Employee Name]],'Base Schedules'!$A$160:$AW$203,33,FALSE)),"")</f>
        <v>LUNCH</v>
      </c>
      <c r="AI38" s="184" t="str">
        <f>IFERROR(IF(VLOOKUP(Tue_W2[[#This Row],[Employee Name]],'Base Schedules'!$A$160:$AW$203,34,FALSE)="","",VLOOKUP(Tue_W2[[#This Row],[Employee Name]],'Base Schedules'!$A$160:$AW$203,34,FALSE)),"")</f>
        <v>HL</v>
      </c>
      <c r="AJ38" s="184" t="str">
        <f>IFERROR(IF(VLOOKUP(Tue_W2[[#This Row],[Employee Name]],'Base Schedules'!$A$160:$AW$203,35,FALSE)="","",VLOOKUP(Tue_W2[[#This Row],[Employee Name]],'Base Schedules'!$A$160:$AW$203,35,FALSE)),"")</f>
        <v>HL</v>
      </c>
      <c r="AK38" s="184" t="str">
        <f>IFERROR(IF(VLOOKUP(Tue_W2[[#This Row],[Employee Name]],'Base Schedules'!$A$160:$AW$203,36,FALSE)="","",VLOOKUP(Tue_W2[[#This Row],[Employee Name]],'Base Schedules'!$A$160:$AW$203,36,FALSE)),"")</f>
        <v>HL</v>
      </c>
      <c r="AL38" s="184" t="str">
        <f>IFERROR(IF(VLOOKUP(Tue_W2[[#This Row],[Employee Name]],'Base Schedules'!$A$160:$AW$203,37,FALSE)="","",VLOOKUP(Tue_W2[[#This Row],[Employee Name]],'Base Schedules'!$A$160:$AW$203,37,FALSE)),"")</f>
        <v>HL</v>
      </c>
      <c r="AM38" s="184" t="str">
        <f>IFERROR(IF(VLOOKUP(Tue_W2[[#This Row],[Employee Name]],'Base Schedules'!$A$160:$AW$203,38,FALSE)="","",VLOOKUP(Tue_W2[[#This Row],[Employee Name]],'Base Schedules'!$A$160:$AW$203,38,FALSE)),"")</f>
        <v>HL</v>
      </c>
      <c r="AN38" s="184" t="str">
        <f>IFERROR(IF(VLOOKUP(Tue_W2[[#This Row],[Employee Name]],'Base Schedules'!$A$160:$AW$203,39,FALSE)="","",VLOOKUP(Tue_W2[[#This Row],[Employee Name]],'Base Schedules'!$A$160:$AW$203,39,FALSE)),"")</f>
        <v>B2 HL</v>
      </c>
      <c r="AO38" s="184" t="str">
        <f>IFERROR(IF(VLOOKUP(Tue_W2[[#This Row],[Employee Name]],'Base Schedules'!$A$160:$AW$203,40,FALSE)="","",VLOOKUP(Tue_W2[[#This Row],[Employee Name]],'Base Schedules'!$A$160:$AW$203,40,FALSE)),"")</f>
        <v>HL</v>
      </c>
      <c r="AP38" s="184" t="str">
        <f>IFERROR(IF(VLOOKUP(Tue_W2[[#This Row],[Employee Name]],'Base Schedules'!$A$160:$AW$203,41,FALSE)="","",VLOOKUP(Tue_W2[[#This Row],[Employee Name]],'Base Schedules'!$A$160:$AW$203,41,FALSE)),"")</f>
        <v>HL</v>
      </c>
      <c r="AQ38" s="184" t="str">
        <f>IFERROR(IF(VLOOKUP(Tue_W2[[#This Row],[Employee Name]],'Base Schedules'!$A$160:$AW$203,42,FALSE)="","",VLOOKUP(Tue_W2[[#This Row],[Employee Name]],'Base Schedules'!$A$160:$AW$203,42,FALSE)),"")</f>
        <v/>
      </c>
      <c r="AR38" s="184" t="str">
        <f>IFERROR(IF(VLOOKUP(Tue_W2[[#This Row],[Employee Name]],'Base Schedules'!$A$160:$AW$203,43,FALSE)="","",VLOOKUP(Tue_W2[[#This Row],[Employee Name]],'Base Schedules'!$A$160:$AW$203,43,FALSE)),"")</f>
        <v/>
      </c>
      <c r="AS38" s="184" t="str">
        <f>IFERROR(IF(VLOOKUP(Tue_W2[[#This Row],[Employee Name]],'Base Schedules'!$A$160:$AW$203,44,FALSE)="","",VLOOKUP(Tue_W2[[#This Row],[Employee Name]],'Base Schedules'!$A$160:$AW$203,44,FALSE)),"")</f>
        <v/>
      </c>
      <c r="AT38" s="184" t="str">
        <f>IFERROR(IF(VLOOKUP(Tue_W2[[#This Row],[Employee Name]],'Base Schedules'!$A$160:$AW$203,45,FALSE)="","",VLOOKUP(Tue_W2[[#This Row],[Employee Name]],'Base Schedules'!$A$160:$AW$203,45,FALSE)),"")</f>
        <v/>
      </c>
      <c r="AU38" s="184" t="str">
        <f>IFERROR(IF(VLOOKUP(Tue_W2[[#This Row],[Employee Name]],'Base Schedules'!$A$160:$AW$203,46,FALSE)="","",VLOOKUP(Tue_W2[[#This Row],[Employee Name]],'Base Schedules'!$A$160:$AW$203,46,FALSE)),"")</f>
        <v/>
      </c>
      <c r="AV38" s="184" t="str">
        <f>IFERROR(IF(VLOOKUP(Tue_W2[[#This Row],[Employee Name]],'Base Schedules'!$A$160:$AW$203,47,FALSE)="","",VLOOKUP(Tue_W2[[#This Row],[Employee Name]],'Base Schedules'!$A$160:$AW$203,47,FALSE)),"")</f>
        <v/>
      </c>
      <c r="AW38" s="184" t="str">
        <f>IFERROR(IF(VLOOKUP(Tue_W2[[#This Row],[Employee Name]],'Base Schedules'!$A$160:$AW$203,48,FALSE)="","",VLOOKUP(Tue_W2[[#This Row],[Employee Name]],'Base Schedules'!$A$160:$AW$203,48,FALSE)),"")</f>
        <v/>
      </c>
      <c r="AX38" s="184" t="str">
        <f>IFERROR(IF(VLOOKUP(Tue_W2[[#This Row],[Employee Name]],'Base Schedules'!$A$160:$AW$203,49,FALSE)="","",VLOOKUP(Tue_W2[[#This Row],[Employee Name]],'Base Schedules'!$A$160:$AW$203,49,FALSE)),"")</f>
        <v/>
      </c>
      <c r="AY38" s="159" t="str">
        <f t="shared" si="2"/>
        <v>Mood, Ken</v>
      </c>
    </row>
    <row r="39" spans="1:51" s="44" customFormat="1" ht="12" customHeight="1" x14ac:dyDescent="0.2">
      <c r="A39" s="39" t="str">
        <f>IF(B39="","",INDEX(TeamList[],MATCH($B39,TeamList[[Employee Name]:[Employee Name]],0),MATCH("Manager",TeamList[#Headers],0)))</f>
        <v>Olson, Katherine</v>
      </c>
      <c r="B39" s="332" t="s">
        <v>57</v>
      </c>
      <c r="C39" s="257" t="str">
        <f>_xlfn.IFNA(VLOOKUP(Tue_W2[[#This Row],[Employee Name]],'Base Schedules'!A:B,2,FALSE),"")</f>
        <v>Supervisor</v>
      </c>
      <c r="D39" s="274">
        <f>_xlfn.IFNA(VLOOKUP(Tue_W2[[#This Row],[Employee Name]],'Base Schedules'!A:C,3,FALSE),"")</f>
        <v>1300</v>
      </c>
      <c r="E39" s="274">
        <f>_xlfn.IFNA(VLOOKUP(Tue_W2[[#This Row],[Employee Name]],'Base Schedules'!A:D,4,FALSE),"")</f>
        <v>2200</v>
      </c>
      <c r="F39" s="142">
        <f>IF(Tue_W2[[#This Row],[Employee Name]]="","",IF(Tue_W2[[#This Row],[Dept]]="Supervisor",COUNTIFS($J39:$AX39,"*HL*",$J39:$AX39,"&lt;&gt;"&amp;"pHL"),COUNTIFS($J39:$AX39,"*HL*",$J39:$AX39,"&lt;&gt;"&amp;"*pHL*",$J39:$AX39,"&lt;&gt;"&amp;"pB1 HL",$J39:$AX39,"&lt;&gt;"&amp;"pB2 HL")-SUM(COUNTIFS($J39:$AX39,"*HL B1*",$J39:$AX39,"&lt;&gt;"&amp;"pHL B1")*0.5,COUNTIFS($J39:$AX39,"*HL B2*",$J39:$AX39,"&lt;&gt;"&amp;"pHL B2")*0.5,COUNTIFS($J39:$AX39,"*B1 HL*",$J39:$AX39,"&lt;&gt;"&amp;"pB1 HL")*0.5,COUNTIFS($J39:$AX39,"*B2 HL*",$J39:$AX39,"&lt;&gt;"&amp;"pB2 HL")*0.5)))</f>
        <v>0</v>
      </c>
      <c r="G39" s="142">
        <f t="shared" si="0"/>
        <v>4</v>
      </c>
      <c r="H39" s="142">
        <f t="shared" si="1"/>
        <v>0</v>
      </c>
      <c r="I39" s="142">
        <f>IF(Tue_W2[[#This Row],[Employee Name]]="","",IF(Tue_W2[[#This Row],[Dept]]="Supervisor",SUM(COUNTIFS($J39:$AX39,"RTA*",$J39:$AX39,"&lt;&gt;"&amp;"pRTA"),COUNTIFS($J39:$AX39,"*CRTA*",$J39:$AX39,"&lt;&gt;"&amp;"pCRTA")),COUNTIFS($J39:$AX39,"*RNNR*",$J39:$AX39,"&lt;&gt;"&amp;"*pRNNR*",$J39:$AX39,"&lt;&gt;"&amp;"pB1 RNNR",$J39:$AX39,"&lt;&gt;"&amp;"pB2 RNNR")-SUM(COUNTIFS($J39:$AX39,"*RNNR B1*",$J39:$AX39,"&lt;&gt;"&amp;"pRNNR B1")*0.5,COUNTIFS($J39:$AX39,"*RNNR B2*",$J39:$AX39,"&lt;&gt;"&amp;"pRNNR B2")*0.5,COUNTIFS($J39:$AX39,"*B1 RNNR*",$J39:$AX39,"&lt;&gt;"&amp;"pB1 RNNR")*0.5,COUNTIFS($J39:$AX39,"*B2 RNNR*",$J39:$AX39,"&lt;&gt;"&amp;"pB2 RNNR")*0.5)))</f>
        <v>0</v>
      </c>
      <c r="J39" s="184" t="str">
        <f>IFERROR(IF(VLOOKUP(Tue_W2[[#This Row],[Employee Name]],'Base Schedules'!$A$160:$AW$203,9,FALSE)="","",VLOOKUP(Tue_W2[[#This Row],[Employee Name]],'Base Schedules'!$A$160:$AW$203,9,FALSE)),"")</f>
        <v/>
      </c>
      <c r="K39" s="184" t="str">
        <f>IFERROR(IF(VLOOKUP(Tue_W2[[#This Row],[Employee Name]],'Base Schedules'!$A$160:$AW$203,10,FALSE)="","",VLOOKUP(Tue_W2[[#This Row],[Employee Name]],'Base Schedules'!$A$160:$AW$203,10,FALSE)),"")</f>
        <v/>
      </c>
      <c r="L39" s="184" t="str">
        <f>IFERROR(IF(VLOOKUP(Tue_W2[[#This Row],[Employee Name]],'Base Schedules'!$A$160:$AW$203,11,FALSE)="","",VLOOKUP(Tue_W2[[#This Row],[Employee Name]],'Base Schedules'!$A$160:$AW$203,11,FALSE)),"")</f>
        <v/>
      </c>
      <c r="M39" s="184" t="str">
        <f>IFERROR(IF(VLOOKUP(Tue_W2[[#This Row],[Employee Name]],'Base Schedules'!$A$160:$AW$203,12,FALSE)="","",VLOOKUP(Tue_W2[[#This Row],[Employee Name]],'Base Schedules'!$A$160:$AW$203,12,FALSE)),"")</f>
        <v/>
      </c>
      <c r="N39" s="184" t="str">
        <f>IFERROR(IF(VLOOKUP(Tue_W2[[#This Row],[Employee Name]],'Base Schedules'!$A$160:$AW$203,13,FALSE)="","",VLOOKUP(Tue_W2[[#This Row],[Employee Name]],'Base Schedules'!$A$160:$AW$203,13,FALSE)),"")</f>
        <v/>
      </c>
      <c r="O39" s="184" t="str">
        <f>IFERROR(IF(VLOOKUP(Tue_W2[[#This Row],[Employee Name]],'Base Schedules'!$A$160:$AW$203,14,FALSE)="","",VLOOKUP(Tue_W2[[#This Row],[Employee Name]],'Base Schedules'!$A$160:$AW$203,14,FALSE)),"")</f>
        <v/>
      </c>
      <c r="P39" s="184" t="str">
        <f>IFERROR(IF(VLOOKUP(Tue_W2[[#This Row],[Employee Name]],'Base Schedules'!$A$160:$AW$203,15,FALSE)="","",VLOOKUP(Tue_W2[[#This Row],[Employee Name]],'Base Schedules'!$A$160:$AW$203,15,FALSE)),"")</f>
        <v/>
      </c>
      <c r="Q39" s="184" t="str">
        <f>IFERROR(IF(VLOOKUP(Tue_W2[[#This Row],[Employee Name]],'Base Schedules'!$A$160:$AW$203,16,FALSE)="","",VLOOKUP(Tue_W2[[#This Row],[Employee Name]],'Base Schedules'!$A$160:$AW$203,16,FALSE)),"")</f>
        <v/>
      </c>
      <c r="R39" s="184" t="str">
        <f>IFERROR(IF(VLOOKUP(Tue_W2[[#This Row],[Employee Name]],'Base Schedules'!$A$160:$AW$203,17,FALSE)="","",VLOOKUP(Tue_W2[[#This Row],[Employee Name]],'Base Schedules'!$A$160:$AW$203,17,FALSE)),"")</f>
        <v/>
      </c>
      <c r="S39" s="184" t="str">
        <f>IFERROR(IF(VLOOKUP(Tue_W2[[#This Row],[Employee Name]],'Base Schedules'!$A$160:$AW$203,18,FALSE)="","",VLOOKUP(Tue_W2[[#This Row],[Employee Name]],'Base Schedules'!$A$160:$AW$203,18,FALSE)),"")</f>
        <v/>
      </c>
      <c r="T39" s="184" t="str">
        <f>IFERROR(IF(VLOOKUP(Tue_W2[[#This Row],[Employee Name]],'Base Schedules'!$A$160:$AW$203,19,FALSE)="","",VLOOKUP(Tue_W2[[#This Row],[Employee Name]],'Base Schedules'!$A$160:$AW$203,19,FALSE)),"")</f>
        <v/>
      </c>
      <c r="U39" s="184" t="str">
        <f>IFERROR(IF(VLOOKUP(Tue_W2[[#This Row],[Employee Name]],'Base Schedules'!$A$160:$AW$203,20,FALSE)="","",VLOOKUP(Tue_W2[[#This Row],[Employee Name]],'Base Schedules'!$A$160:$AW$203,20,FALSE)),"")</f>
        <v/>
      </c>
      <c r="V39" s="184" t="str">
        <f>IFERROR(IF(VLOOKUP(Tue_W2[[#This Row],[Employee Name]],'Base Schedules'!$A$160:$AW$203,21,FALSE)="","",VLOOKUP(Tue_W2[[#This Row],[Employee Name]],'Base Schedules'!$A$160:$AW$203,21,FALSE)),"")</f>
        <v/>
      </c>
      <c r="W39" s="184" t="str">
        <f>IFERROR(IF(VLOOKUP(Tue_W2[[#This Row],[Employee Name]],'Base Schedules'!$A$160:$AW$203,22,FALSE)="","",VLOOKUP(Tue_W2[[#This Row],[Employee Name]],'Base Schedules'!$A$160:$AW$203,22,FALSE)),"")</f>
        <v/>
      </c>
      <c r="X39" s="184" t="str">
        <f>IFERROR(IF(VLOOKUP(Tue_W2[[#This Row],[Employee Name]],'Base Schedules'!$A$160:$AW$203,23,FALSE)="","",VLOOKUP(Tue_W2[[#This Row],[Employee Name]],'Base Schedules'!$A$160:$AW$203,23,FALSE)),"")</f>
        <v/>
      </c>
      <c r="Y39" s="184" t="str">
        <f>IFERROR(IF(VLOOKUP(Tue_W2[[#This Row],[Employee Name]],'Base Schedules'!$A$160:$AW$203,24,FALSE)="","",VLOOKUP(Tue_W2[[#This Row],[Employee Name]],'Base Schedules'!$A$160:$AW$203,24,FALSE)),"")</f>
        <v/>
      </c>
      <c r="Z39" s="184" t="str">
        <f>IFERROR(IF(VLOOKUP(Tue_W2[[#This Row],[Employee Name]],'Base Schedules'!$A$160:$AW$203,25,FALSE)="","",VLOOKUP(Tue_W2[[#This Row],[Employee Name]],'Base Schedules'!$A$160:$AW$203,25,FALSE)),"")</f>
        <v>Team ZAH TM</v>
      </c>
      <c r="AA39" s="184" t="str">
        <f>IFERROR(IF(VLOOKUP(Tue_W2[[#This Row],[Employee Name]],'Base Schedules'!$A$160:$AW$203,26,FALSE)="","",VLOOKUP(Tue_W2[[#This Row],[Employee Name]],'Base Schedules'!$A$160:$AW$203,26,FALSE)),"")</f>
        <v>Team ZAH TM</v>
      </c>
      <c r="AB39" s="184" t="str">
        <f>IFERROR(IF(VLOOKUP(Tue_W2[[#This Row],[Employee Name]],'Base Schedules'!$A$160:$AW$203,27,FALSE)="","",VLOOKUP(Tue_W2[[#This Row],[Employee Name]],'Base Schedules'!$A$160:$AW$203,27,FALSE)),"")</f>
        <v>-</v>
      </c>
      <c r="AC39" s="184" t="str">
        <f>IFERROR(IF(VLOOKUP(Tue_W2[[#This Row],[Employee Name]],'Base Schedules'!$A$160:$AW$203,28,FALSE)="","",VLOOKUP(Tue_W2[[#This Row],[Employee Name]],'Base Schedules'!$A$160:$AW$203,28,FALSE)),"")</f>
        <v>Coaching</v>
      </c>
      <c r="AD39" s="184" t="str">
        <f>IFERROR(IF(VLOOKUP(Tue_W2[[#This Row],[Employee Name]],'Base Schedules'!$A$160:$AW$203,29,FALSE)="","",VLOOKUP(Tue_W2[[#This Row],[Employee Name]],'Base Schedules'!$A$160:$AW$203,29,FALSE)),"")</f>
        <v>Coaching</v>
      </c>
      <c r="AE39" s="184" t="str">
        <f>IFERROR(IF(VLOOKUP(Tue_W2[[#This Row],[Employee Name]],'Base Schedules'!$A$160:$AW$203,30,FALSE)="","",VLOOKUP(Tue_W2[[#This Row],[Employee Name]],'Base Schedules'!$A$160:$AW$203,30,FALSE)),"")</f>
        <v>Coaching</v>
      </c>
      <c r="AF39" s="184" t="str">
        <f>IFERROR(IF(VLOOKUP(Tue_W2[[#This Row],[Employee Name]],'Base Schedules'!$A$160:$AW$203,31,FALSE)="","",VLOOKUP(Tue_W2[[#This Row],[Employee Name]],'Base Schedules'!$A$160:$AW$203,31,FALSE)),"")</f>
        <v>Coaching</v>
      </c>
      <c r="AG39" s="184" t="str">
        <f>IFERROR(IF(VLOOKUP(Tue_W2[[#This Row],[Employee Name]],'Base Schedules'!$A$160:$AW$203,32,FALSE)="","",VLOOKUP(Tue_W2[[#This Row],[Employee Name]],'Base Schedules'!$A$160:$AW$203,32,FALSE)),"")</f>
        <v>-</v>
      </c>
      <c r="AH39" s="184" t="str">
        <f>IFERROR(IF(VLOOKUP(Tue_W2[[#This Row],[Employee Name]],'Base Schedules'!$A$160:$AW$203,33,FALSE)="","",VLOOKUP(Tue_W2[[#This Row],[Employee Name]],'Base Schedules'!$A$160:$AW$203,33,FALSE)),"")</f>
        <v>Interview</v>
      </c>
      <c r="AI39" s="184" t="str">
        <f>IFERROR(IF(VLOOKUP(Tue_W2[[#This Row],[Employee Name]],'Base Schedules'!$A$160:$AW$203,34,FALSE)="","",VLOOKUP(Tue_W2[[#This Row],[Employee Name]],'Base Schedules'!$A$160:$AW$203,34,FALSE)),"")</f>
        <v>Interview</v>
      </c>
      <c r="AJ39" s="184" t="str">
        <f>IFERROR(IF(VLOOKUP(Tue_W2[[#This Row],[Employee Name]],'Base Schedules'!$A$160:$AW$203,35,FALSE)="","",VLOOKUP(Tue_W2[[#This Row],[Employee Name]],'Base Schedules'!$A$160:$AW$203,35,FALSE)),"")</f>
        <v>-</v>
      </c>
      <c r="AK39" s="184" t="str">
        <f>IFERROR(IF(VLOOKUP(Tue_W2[[#This Row],[Employee Name]],'Base Schedules'!$A$160:$AW$203,36,FALSE)="","",VLOOKUP(Tue_W2[[#This Row],[Employee Name]],'Base Schedules'!$A$160:$AW$203,36,FALSE)),"")</f>
        <v>-</v>
      </c>
      <c r="AL39" s="184" t="str">
        <f>IFERROR(IF(VLOOKUP(Tue_W2[[#This Row],[Employee Name]],'Base Schedules'!$A$160:$AW$203,37,FALSE)="","",VLOOKUP(Tue_W2[[#This Row],[Employee Name]],'Base Schedules'!$A$160:$AW$203,37,FALSE)),"")</f>
        <v>-</v>
      </c>
      <c r="AM39" s="184" t="str">
        <f>IFERROR(IF(VLOOKUP(Tue_W2[[#This Row],[Employee Name]],'Base Schedules'!$A$160:$AW$203,38,FALSE)="","",VLOOKUP(Tue_W2[[#This Row],[Employee Name]],'Base Schedules'!$A$160:$AW$203,38,FALSE)),"")</f>
        <v>-</v>
      </c>
      <c r="AN39" s="184" t="str">
        <f>IFERROR(IF(VLOOKUP(Tue_W2[[#This Row],[Employee Name]],'Base Schedules'!$A$160:$AW$203,39,FALSE)="","",VLOOKUP(Tue_W2[[#This Row],[Employee Name]],'Base Schedules'!$A$160:$AW$203,39,FALSE)),"")</f>
        <v>-</v>
      </c>
      <c r="AO39" s="184" t="str">
        <f>IFERROR(IF(VLOOKUP(Tue_W2[[#This Row],[Employee Name]],'Base Schedules'!$A$160:$AW$203,40,FALSE)="","",VLOOKUP(Tue_W2[[#This Row],[Employee Name]],'Base Schedules'!$A$160:$AW$203,40,FALSE)),"")</f>
        <v>-</v>
      </c>
      <c r="AP39" s="184" t="str">
        <f>IFERROR(IF(VLOOKUP(Tue_W2[[#This Row],[Employee Name]],'Base Schedules'!$A$160:$AW$203,41,FALSE)="","",VLOOKUP(Tue_W2[[#This Row],[Employee Name]],'Base Schedules'!$A$160:$AW$203,41,FALSE)),"")</f>
        <v>-</v>
      </c>
      <c r="AQ39" s="184" t="str">
        <f>IFERROR(IF(VLOOKUP(Tue_W2[[#This Row],[Employee Name]],'Base Schedules'!$A$160:$AW$203,42,FALSE)="","",VLOOKUP(Tue_W2[[#This Row],[Employee Name]],'Base Schedules'!$A$160:$AW$203,42,FALSE)),"")</f>
        <v>-</v>
      </c>
      <c r="AR39" s="184" t="str">
        <f>IFERROR(IF(VLOOKUP(Tue_W2[[#This Row],[Employee Name]],'Base Schedules'!$A$160:$AW$203,43,FALSE)="","",VLOOKUP(Tue_W2[[#This Row],[Employee Name]],'Base Schedules'!$A$160:$AW$203,43,FALSE)),"")</f>
        <v/>
      </c>
      <c r="AS39" s="184" t="str">
        <f>IFERROR(IF(VLOOKUP(Tue_W2[[#This Row],[Employee Name]],'Base Schedules'!$A$160:$AW$203,44,FALSE)="","",VLOOKUP(Tue_W2[[#This Row],[Employee Name]],'Base Schedules'!$A$160:$AW$203,44,FALSE)),"")</f>
        <v/>
      </c>
      <c r="AT39" s="184" t="str">
        <f>IFERROR(IF(VLOOKUP(Tue_W2[[#This Row],[Employee Name]],'Base Schedules'!$A$160:$AW$203,45,FALSE)="","",VLOOKUP(Tue_W2[[#This Row],[Employee Name]],'Base Schedules'!$A$160:$AW$203,45,FALSE)),"")</f>
        <v/>
      </c>
      <c r="AU39" s="184" t="str">
        <f>IFERROR(IF(VLOOKUP(Tue_W2[[#This Row],[Employee Name]],'Base Schedules'!$A$160:$AW$203,46,FALSE)="","",VLOOKUP(Tue_W2[[#This Row],[Employee Name]],'Base Schedules'!$A$160:$AW$203,46,FALSE)),"")</f>
        <v/>
      </c>
      <c r="AV39" s="184" t="str">
        <f>IFERROR(IF(VLOOKUP(Tue_W2[[#This Row],[Employee Name]],'Base Schedules'!$A$160:$AW$203,47,FALSE)="","",VLOOKUP(Tue_W2[[#This Row],[Employee Name]],'Base Schedules'!$A$160:$AW$203,47,FALSE)),"")</f>
        <v/>
      </c>
      <c r="AW39" s="184" t="str">
        <f>IFERROR(IF(VLOOKUP(Tue_W2[[#This Row],[Employee Name]],'Base Schedules'!$A$160:$AW$203,48,FALSE)="","",VLOOKUP(Tue_W2[[#This Row],[Employee Name]],'Base Schedules'!$A$160:$AW$203,48,FALSE)),"")</f>
        <v/>
      </c>
      <c r="AX39" s="184" t="str">
        <f>IFERROR(IF(VLOOKUP(Tue_W2[[#This Row],[Employee Name]],'Base Schedules'!$A$160:$AW$203,49,FALSE)="","",VLOOKUP(Tue_W2[[#This Row],[Employee Name]],'Base Schedules'!$A$160:$AW$203,49,FALSE)),"")</f>
        <v/>
      </c>
      <c r="AY39" s="159" t="str">
        <f t="shared" si="2"/>
        <v>Cultice, Diana</v>
      </c>
    </row>
    <row r="40" spans="1:51" s="44" customFormat="1" ht="12" customHeight="1" x14ac:dyDescent="0.2">
      <c r="A40" s="39" t="str">
        <f>IF(B40="","",INDEX(TeamList[],MATCH($B40,TeamList[[Employee Name]:[Employee Name]],0),MATCH("Manager",TeamList[#Headers],0)))</f>
        <v>Paulson, Matthew</v>
      </c>
      <c r="B40" s="201" t="s">
        <v>59</v>
      </c>
      <c r="C40" s="257" t="str">
        <f>_xlfn.IFNA(VLOOKUP(Tue_W2[[#This Row],[Employee Name]],'Base Schedules'!A:B,2,FALSE),"")</f>
        <v>Supervisor</v>
      </c>
      <c r="D40" s="274">
        <f>_xlfn.IFNA(VLOOKUP(Tue_W2[[#This Row],[Employee Name]],'Base Schedules'!A:C,3,FALSE),"")</f>
        <v>1300</v>
      </c>
      <c r="E40" s="274">
        <f>_xlfn.IFNA(VLOOKUP(Tue_W2[[#This Row],[Employee Name]],'Base Schedules'!A:D,4,FALSE),"")</f>
        <v>2200</v>
      </c>
      <c r="F40" s="142">
        <f>IF(Tue_W2[[#This Row],[Employee Name]]="","",IF(Tue_W2[[#This Row],[Dept]]="Supervisor",COUNTIFS($J40:$AX40,"*HL*",$J40:$AX40,"&lt;&gt;"&amp;"pHL"),COUNTIFS($J40:$AX40,"*HL*",$J40:$AX40,"&lt;&gt;"&amp;"*pHL*",$J40:$AX40,"&lt;&gt;"&amp;"pB1 HL",$J40:$AX40,"&lt;&gt;"&amp;"pB2 HL")-SUM(COUNTIFS($J40:$AX40,"*HL B1*",$J40:$AX40,"&lt;&gt;"&amp;"pHL B1")*0.5,COUNTIFS($J40:$AX40,"*HL B2*",$J40:$AX40,"&lt;&gt;"&amp;"pHL B2")*0.5,COUNTIFS($J40:$AX40,"*B1 HL*",$J40:$AX40,"&lt;&gt;"&amp;"pB1 HL")*0.5,COUNTIFS($J40:$AX40,"*B2 HL*",$J40:$AX40,"&lt;&gt;"&amp;"pB2 HL")*0.5)))</f>
        <v>0</v>
      </c>
      <c r="G40" s="142">
        <f t="shared" si="0"/>
        <v>5</v>
      </c>
      <c r="H40" s="142">
        <f t="shared" si="1"/>
        <v>0</v>
      </c>
      <c r="I40" s="142">
        <f>IF(Tue_W2[[#This Row],[Employee Name]]="","",IF(Tue_W2[[#This Row],[Dept]]="Supervisor",SUM(COUNTIFS($J40:$AX40,"RTA*",$J40:$AX40,"&lt;&gt;"&amp;"pRTA"),COUNTIFS($J40:$AX40,"*CRTA*",$J40:$AX40,"&lt;&gt;"&amp;"pCRTA")),COUNTIFS($J40:$AX40,"*RNNR*",$J40:$AX40,"&lt;&gt;"&amp;"*pRNNR*",$J40:$AX40,"&lt;&gt;"&amp;"pB1 RNNR",$J40:$AX40,"&lt;&gt;"&amp;"pB2 RNNR")-SUM(COUNTIFS($J40:$AX40,"*RNNR B1*",$J40:$AX40,"&lt;&gt;"&amp;"pRNNR B1")*0.5,COUNTIFS($J40:$AX40,"*RNNR B2*",$J40:$AX40,"&lt;&gt;"&amp;"pRNNR B2")*0.5,COUNTIFS($J40:$AX40,"*B1 RNNR*",$J40:$AX40,"&lt;&gt;"&amp;"pB1 RNNR")*0.5,COUNTIFS($J40:$AX40,"*B2 RNNR*",$J40:$AX40,"&lt;&gt;"&amp;"pB2 RNNR")*0.5)))</f>
        <v>0</v>
      </c>
      <c r="J40" s="184" t="str">
        <f>IFERROR(IF(VLOOKUP(Tue_W2[[#This Row],[Employee Name]],'Base Schedules'!$A$160:$AW$203,9,FALSE)="","",VLOOKUP(Tue_W2[[#This Row],[Employee Name]],'Base Schedules'!$A$160:$AW$203,9,FALSE)),"")</f>
        <v/>
      </c>
      <c r="K40" s="184" t="str">
        <f>IFERROR(IF(VLOOKUP(Tue_W2[[#This Row],[Employee Name]],'Base Schedules'!$A$160:$AW$203,10,FALSE)="","",VLOOKUP(Tue_W2[[#This Row],[Employee Name]],'Base Schedules'!$A$160:$AW$203,10,FALSE)),"")</f>
        <v/>
      </c>
      <c r="L40" s="184" t="str">
        <f>IFERROR(IF(VLOOKUP(Tue_W2[[#This Row],[Employee Name]],'Base Schedules'!$A$160:$AW$203,11,FALSE)="","",VLOOKUP(Tue_W2[[#This Row],[Employee Name]],'Base Schedules'!$A$160:$AW$203,11,FALSE)),"")</f>
        <v/>
      </c>
      <c r="M40" s="184" t="str">
        <f>IFERROR(IF(VLOOKUP(Tue_W2[[#This Row],[Employee Name]],'Base Schedules'!$A$160:$AW$203,12,FALSE)="","",VLOOKUP(Tue_W2[[#This Row],[Employee Name]],'Base Schedules'!$A$160:$AW$203,12,FALSE)),"")</f>
        <v/>
      </c>
      <c r="N40" s="184" t="str">
        <f>IFERROR(IF(VLOOKUP(Tue_W2[[#This Row],[Employee Name]],'Base Schedules'!$A$160:$AW$203,13,FALSE)="","",VLOOKUP(Tue_W2[[#This Row],[Employee Name]],'Base Schedules'!$A$160:$AW$203,13,FALSE)),"")</f>
        <v/>
      </c>
      <c r="O40" s="184" t="str">
        <f>IFERROR(IF(VLOOKUP(Tue_W2[[#This Row],[Employee Name]],'Base Schedules'!$A$160:$AW$203,14,FALSE)="","",VLOOKUP(Tue_W2[[#This Row],[Employee Name]],'Base Schedules'!$A$160:$AW$203,14,FALSE)),"")</f>
        <v/>
      </c>
      <c r="P40" s="184" t="str">
        <f>IFERROR(IF(VLOOKUP(Tue_W2[[#This Row],[Employee Name]],'Base Schedules'!$A$160:$AW$203,15,FALSE)="","",VLOOKUP(Tue_W2[[#This Row],[Employee Name]],'Base Schedules'!$A$160:$AW$203,15,FALSE)),"")</f>
        <v/>
      </c>
      <c r="Q40" s="184" t="str">
        <f>IFERROR(IF(VLOOKUP(Tue_W2[[#This Row],[Employee Name]],'Base Schedules'!$A$160:$AW$203,16,FALSE)="","",VLOOKUP(Tue_W2[[#This Row],[Employee Name]],'Base Schedules'!$A$160:$AW$203,16,FALSE)),"")</f>
        <v/>
      </c>
      <c r="R40" s="184" t="str">
        <f>IFERROR(IF(VLOOKUP(Tue_W2[[#This Row],[Employee Name]],'Base Schedules'!$A$160:$AW$203,17,FALSE)="","",VLOOKUP(Tue_W2[[#This Row],[Employee Name]],'Base Schedules'!$A$160:$AW$203,17,FALSE)),"")</f>
        <v/>
      </c>
      <c r="S40" s="184" t="str">
        <f>IFERROR(IF(VLOOKUP(Tue_W2[[#This Row],[Employee Name]],'Base Schedules'!$A$160:$AW$203,18,FALSE)="","",VLOOKUP(Tue_W2[[#This Row],[Employee Name]],'Base Schedules'!$A$160:$AW$203,18,FALSE)),"")</f>
        <v/>
      </c>
      <c r="T40" s="184" t="str">
        <f>IFERROR(IF(VLOOKUP(Tue_W2[[#This Row],[Employee Name]],'Base Schedules'!$A$160:$AW$203,19,FALSE)="","",VLOOKUP(Tue_W2[[#This Row],[Employee Name]],'Base Schedules'!$A$160:$AW$203,19,FALSE)),"")</f>
        <v/>
      </c>
      <c r="U40" s="184" t="str">
        <f>IFERROR(IF(VLOOKUP(Tue_W2[[#This Row],[Employee Name]],'Base Schedules'!$A$160:$AW$203,20,FALSE)="","",VLOOKUP(Tue_W2[[#This Row],[Employee Name]],'Base Schedules'!$A$160:$AW$203,20,FALSE)),"")</f>
        <v/>
      </c>
      <c r="V40" s="184" t="str">
        <f>IFERROR(IF(VLOOKUP(Tue_W2[[#This Row],[Employee Name]],'Base Schedules'!$A$160:$AW$203,21,FALSE)="","",VLOOKUP(Tue_W2[[#This Row],[Employee Name]],'Base Schedules'!$A$160:$AW$203,21,FALSE)),"")</f>
        <v/>
      </c>
      <c r="W40" s="184" t="str">
        <f>IFERROR(IF(VLOOKUP(Tue_W2[[#This Row],[Employee Name]],'Base Schedules'!$A$160:$AW$203,22,FALSE)="","",VLOOKUP(Tue_W2[[#This Row],[Employee Name]],'Base Schedules'!$A$160:$AW$203,22,FALSE)),"")</f>
        <v/>
      </c>
      <c r="X40" s="184" t="str">
        <f>IFERROR(IF(VLOOKUP(Tue_W2[[#This Row],[Employee Name]],'Base Schedules'!$A$160:$AW$203,23,FALSE)="","",VLOOKUP(Tue_W2[[#This Row],[Employee Name]],'Base Schedules'!$A$160:$AW$203,23,FALSE)),"")</f>
        <v/>
      </c>
      <c r="Y40" s="184" t="str">
        <f>IFERROR(IF(VLOOKUP(Tue_W2[[#This Row],[Employee Name]],'Base Schedules'!$A$160:$AW$203,24,FALSE)="","",VLOOKUP(Tue_W2[[#This Row],[Employee Name]],'Base Schedules'!$A$160:$AW$203,24,FALSE)),"")</f>
        <v/>
      </c>
      <c r="Z40" s="184" t="str">
        <f>IFERROR(IF(VLOOKUP(Tue_W2[[#This Row],[Employee Name]],'Base Schedules'!$A$160:$AW$203,25,FALSE)="","",VLOOKUP(Tue_W2[[#This Row],[Employee Name]],'Base Schedules'!$A$160:$AW$203,25,FALSE)),"")</f>
        <v>-</v>
      </c>
      <c r="AA40" s="184" t="str">
        <f>IFERROR(IF(VLOOKUP(Tue_W2[[#This Row],[Employee Name]],'Base Schedules'!$A$160:$AW$203,26,FALSE)="","",VLOOKUP(Tue_W2[[#This Row],[Employee Name]],'Base Schedules'!$A$160:$AW$203,26,FALSE)),"")</f>
        <v>-</v>
      </c>
      <c r="AB40" s="184" t="str">
        <f>IFERROR(IF(VLOOKUP(Tue_W2[[#This Row],[Employee Name]],'Base Schedules'!$A$160:$AW$203,27,FALSE)="","",VLOOKUP(Tue_W2[[#This Row],[Employee Name]],'Base Schedules'!$A$160:$AW$203,27,FALSE)),"")</f>
        <v>-</v>
      </c>
      <c r="AC40" s="184" t="str">
        <f>IFERROR(IF(VLOOKUP(Tue_W2[[#This Row],[Employee Name]],'Base Schedules'!$A$160:$AW$203,28,FALSE)="","",VLOOKUP(Tue_W2[[#This Row],[Employee Name]],'Base Schedules'!$A$160:$AW$203,28,FALSE)),"")</f>
        <v>-</v>
      </c>
      <c r="AD40" s="184" t="str">
        <f>IFERROR(IF(VLOOKUP(Tue_W2[[#This Row],[Employee Name]],'Base Schedules'!$A$160:$AW$203,29,FALSE)="","",VLOOKUP(Tue_W2[[#This Row],[Employee Name]],'Base Schedules'!$A$160:$AW$203,29,FALSE)),"")</f>
        <v>Interview</v>
      </c>
      <c r="AE40" s="184" t="str">
        <f>IFERROR(IF(VLOOKUP(Tue_W2[[#This Row],[Employee Name]],'Base Schedules'!$A$160:$AW$203,30,FALSE)="","",VLOOKUP(Tue_W2[[#This Row],[Employee Name]],'Base Schedules'!$A$160:$AW$203,30,FALSE)),"")</f>
        <v>Interview</v>
      </c>
      <c r="AF40" s="184" t="str">
        <f>IFERROR(IF(VLOOKUP(Tue_W2[[#This Row],[Employee Name]],'Base Schedules'!$A$160:$AW$203,31,FALSE)="","",VLOOKUP(Tue_W2[[#This Row],[Employee Name]],'Base Schedules'!$A$160:$AW$203,31,FALSE)),"")</f>
        <v>-</v>
      </c>
      <c r="AG40" s="184" t="str">
        <f>IFERROR(IF(VLOOKUP(Tue_W2[[#This Row],[Employee Name]],'Base Schedules'!$A$160:$AW$203,32,FALSE)="","",VLOOKUP(Tue_W2[[#This Row],[Employee Name]],'Base Schedules'!$A$160:$AW$203,32,FALSE)),"")</f>
        <v>-</v>
      </c>
      <c r="AH40" s="184" t="str">
        <f>IFERROR(IF(VLOOKUP(Tue_W2[[#This Row],[Employee Name]],'Base Schedules'!$A$160:$AW$203,33,FALSE)="","",VLOOKUP(Tue_W2[[#This Row],[Employee Name]],'Base Schedules'!$A$160:$AW$203,33,FALSE)),"")</f>
        <v>-</v>
      </c>
      <c r="AI40" s="184" t="str">
        <f>IFERROR(IF(VLOOKUP(Tue_W2[[#This Row],[Employee Name]],'Base Schedules'!$A$160:$AW$203,34,FALSE)="","",VLOOKUP(Tue_W2[[#This Row],[Employee Name]],'Base Schedules'!$A$160:$AW$203,34,FALSE)),"")</f>
        <v>-</v>
      </c>
      <c r="AJ40" s="184" t="str">
        <f>IFERROR(IF(VLOOKUP(Tue_W2[[#This Row],[Employee Name]],'Base Schedules'!$A$160:$AW$203,35,FALSE)="","",VLOOKUP(Tue_W2[[#This Row],[Employee Name]],'Base Schedules'!$A$160:$AW$203,35,FALSE)),"")</f>
        <v>-</v>
      </c>
      <c r="AK40" s="184" t="str">
        <f>IFERROR(IF(VLOOKUP(Tue_W2[[#This Row],[Employee Name]],'Base Schedules'!$A$160:$AW$203,36,FALSE)="","",VLOOKUP(Tue_W2[[#This Row],[Employee Name]],'Base Schedules'!$A$160:$AW$203,36,FALSE)),"")</f>
        <v>-</v>
      </c>
      <c r="AL40" s="184" t="str">
        <f>IFERROR(IF(VLOOKUP(Tue_W2[[#This Row],[Employee Name]],'Base Schedules'!$A$160:$AW$203,37,FALSE)="","",VLOOKUP(Tue_W2[[#This Row],[Employee Name]],'Base Schedules'!$A$160:$AW$203,37,FALSE)),"")</f>
        <v>-</v>
      </c>
      <c r="AM40" s="184" t="str">
        <f>IFERROR(IF(VLOOKUP(Tue_W2[[#This Row],[Employee Name]],'Base Schedules'!$A$160:$AW$203,38,FALSE)="","",VLOOKUP(Tue_W2[[#This Row],[Employee Name]],'Base Schedules'!$A$160:$AW$203,38,FALSE)),"")</f>
        <v>Coaching</v>
      </c>
      <c r="AN40" s="184" t="str">
        <f>IFERROR(IF(VLOOKUP(Tue_W2[[#This Row],[Employee Name]],'Base Schedules'!$A$160:$AW$203,39,FALSE)="","",VLOOKUP(Tue_W2[[#This Row],[Employee Name]],'Base Schedules'!$A$160:$AW$203,39,FALSE)),"")</f>
        <v>Coaching</v>
      </c>
      <c r="AO40" s="184" t="str">
        <f>IFERROR(IF(VLOOKUP(Tue_W2[[#This Row],[Employee Name]],'Base Schedules'!$A$160:$AW$203,40,FALSE)="","",VLOOKUP(Tue_W2[[#This Row],[Employee Name]],'Base Schedules'!$A$160:$AW$203,40,FALSE)),"")</f>
        <v>Coaching</v>
      </c>
      <c r="AP40" s="184" t="str">
        <f>IFERROR(IF(VLOOKUP(Tue_W2[[#This Row],[Employee Name]],'Base Schedules'!$A$160:$AW$203,41,FALSE)="","",VLOOKUP(Tue_W2[[#This Row],[Employee Name]],'Base Schedules'!$A$160:$AW$203,41,FALSE)),"")</f>
        <v>Coaching</v>
      </c>
      <c r="AQ40" s="184" t="str">
        <f>IFERROR(IF(VLOOKUP(Tue_W2[[#This Row],[Employee Name]],'Base Schedules'!$A$160:$AW$203,42,FALSE)="","",VLOOKUP(Tue_W2[[#This Row],[Employee Name]],'Base Schedules'!$A$160:$AW$203,42,FALSE)),"")</f>
        <v>Coaching</v>
      </c>
      <c r="AR40" s="184" t="str">
        <f>IFERROR(IF(VLOOKUP(Tue_W2[[#This Row],[Employee Name]],'Base Schedules'!$A$160:$AW$203,43,FALSE)="","",VLOOKUP(Tue_W2[[#This Row],[Employee Name]],'Base Schedules'!$A$160:$AW$203,43,FALSE)),"")</f>
        <v/>
      </c>
      <c r="AS40" s="184" t="str">
        <f>IFERROR(IF(VLOOKUP(Tue_W2[[#This Row],[Employee Name]],'Base Schedules'!$A$160:$AW$203,44,FALSE)="","",VLOOKUP(Tue_W2[[#This Row],[Employee Name]],'Base Schedules'!$A$160:$AW$203,44,FALSE)),"")</f>
        <v/>
      </c>
      <c r="AT40" s="184" t="str">
        <f>IFERROR(IF(VLOOKUP(Tue_W2[[#This Row],[Employee Name]],'Base Schedules'!$A$160:$AW$203,45,FALSE)="","",VLOOKUP(Tue_W2[[#This Row],[Employee Name]],'Base Schedules'!$A$160:$AW$203,45,FALSE)),"")</f>
        <v/>
      </c>
      <c r="AU40" s="184" t="str">
        <f>IFERROR(IF(VLOOKUP(Tue_W2[[#This Row],[Employee Name]],'Base Schedules'!$A$160:$AW$203,46,FALSE)="","",VLOOKUP(Tue_W2[[#This Row],[Employee Name]],'Base Schedules'!$A$160:$AW$203,46,FALSE)),"")</f>
        <v/>
      </c>
      <c r="AV40" s="184" t="str">
        <f>IFERROR(IF(VLOOKUP(Tue_W2[[#This Row],[Employee Name]],'Base Schedules'!$A$160:$AW$203,47,FALSE)="","",VLOOKUP(Tue_W2[[#This Row],[Employee Name]],'Base Schedules'!$A$160:$AW$203,47,FALSE)),"")</f>
        <v/>
      </c>
      <c r="AW40" s="184" t="str">
        <f>IFERROR(IF(VLOOKUP(Tue_W2[[#This Row],[Employee Name]],'Base Schedules'!$A$160:$AW$203,48,FALSE)="","",VLOOKUP(Tue_W2[[#This Row],[Employee Name]],'Base Schedules'!$A$160:$AW$203,48,FALSE)),"")</f>
        <v/>
      </c>
      <c r="AX40" s="184" t="str">
        <f>IFERROR(IF(VLOOKUP(Tue_W2[[#This Row],[Employee Name]],'Base Schedules'!$A$160:$AW$203,49,FALSE)="","",VLOOKUP(Tue_W2[[#This Row],[Employee Name]],'Base Schedules'!$A$160:$AW$203,49,FALSE)),"")</f>
        <v/>
      </c>
      <c r="AY40" s="159" t="str">
        <f t="shared" si="2"/>
        <v>Banuelos, Lincoln</v>
      </c>
    </row>
    <row r="41" spans="1:51" s="44" customFormat="1" ht="12" customHeight="1" x14ac:dyDescent="0.2">
      <c r="A41" s="39" t="e">
        <f>IF(B41="","",INDEX(TeamList[],MATCH($B41,TeamList[[Employee Name]:[Employee Name]],0),MATCH("Manager",TeamList[#Headers],0)))</f>
        <v>#N/A</v>
      </c>
      <c r="B41" s="201" t="s">
        <v>586</v>
      </c>
      <c r="C41" s="257" t="str">
        <f>_xlfn.IFNA(VLOOKUP(Tue_W2[[#This Row],[Employee Name]],'Base Schedules'!A:B,2,FALSE),"")</f>
        <v>Lead</v>
      </c>
      <c r="D41" s="274">
        <f>_xlfn.IFNA(VLOOKUP(Tue_W2[[#This Row],[Employee Name]],'Base Schedules'!A:C,3,FALSE),"")</f>
        <v>1330</v>
      </c>
      <c r="E41" s="274">
        <f>_xlfn.IFNA(VLOOKUP(Tue_W2[[#This Row],[Employee Name]],'Base Schedules'!A:D,4,FALSE),"")</f>
        <v>2200</v>
      </c>
      <c r="F41" s="142">
        <f>IF(Tue_W2[[#This Row],[Employee Name]]="","",IF(Tue_W2[[#This Row],[Dept]]="Supervisor",COUNTIFS($J41:$AX41,"*HL*",$J41:$AX41,"&lt;&gt;"&amp;"pHL"),COUNTIFS($J41:$AX41,"*HL*",$J41:$AX41,"&lt;&gt;"&amp;"*pHL*",$J41:$AX41,"&lt;&gt;"&amp;"pB1 HL",$J41:$AX41,"&lt;&gt;"&amp;"pB2 HL")-SUM(COUNTIFS($J41:$AX41,"*HL B1*",$J41:$AX41,"&lt;&gt;"&amp;"pHL B1")*0.5,COUNTIFS($J41:$AX41,"*HL B2*",$J41:$AX41,"&lt;&gt;"&amp;"pHL B2")*0.5,COUNTIFS($J41:$AX41,"*B1 HL*",$J41:$AX41,"&lt;&gt;"&amp;"pB1 HL")*0.5,COUNTIFS($J41:$AX41,"*B2 HL*",$J41:$AX41,"&lt;&gt;"&amp;"pB2 HL")*0.5)))</f>
        <v>7.5</v>
      </c>
      <c r="G41" s="142">
        <f t="shared" si="0"/>
        <v>0</v>
      </c>
      <c r="H41" s="142">
        <f t="shared" si="1"/>
        <v>8</v>
      </c>
      <c r="I41" s="142">
        <f>IF(Tue_W2[[#This Row],[Employee Name]]="","",IF(Tue_W2[[#This Row],[Dept]]="Supervisor",SUM(COUNTIFS($J41:$AX41,"RTA*",$J41:$AX41,"&lt;&gt;"&amp;"pRTA"),COUNTIFS($J41:$AX41,"*CRTA*",$J41:$AX41,"&lt;&gt;"&amp;"pCRTA")),COUNTIFS($J41:$AX41,"*RNNR*",$J41:$AX41,"&lt;&gt;"&amp;"*pRNNR*",$J41:$AX41,"&lt;&gt;"&amp;"pB1 RNNR",$J41:$AX41,"&lt;&gt;"&amp;"pB2 RNNR")-SUM(COUNTIFS($J41:$AX41,"*RNNR B1*",$J41:$AX41,"&lt;&gt;"&amp;"pRNNR B1")*0.5,COUNTIFS($J41:$AX41,"*RNNR B2*",$J41:$AX41,"&lt;&gt;"&amp;"pRNNR B2")*0.5,COUNTIFS($J41:$AX41,"*B1 RNNR*",$J41:$AX41,"&lt;&gt;"&amp;"pB1 RNNR")*0.5,COUNTIFS($J41:$AX41,"*B2 RNNR*",$J41:$AX41,"&lt;&gt;"&amp;"pB2 RNNR")*0.5)))</f>
        <v>0</v>
      </c>
      <c r="J41" s="184" t="str">
        <f>IFERROR(IF(VLOOKUP(Tue_W2[[#This Row],[Employee Name]],'Base Schedules'!$A$160:$AW$203,9,FALSE)="","",VLOOKUP(Tue_W2[[#This Row],[Employee Name]],'Base Schedules'!$A$160:$AW$203,9,FALSE)),"")</f>
        <v/>
      </c>
      <c r="K41" s="184" t="str">
        <f>IFERROR(IF(VLOOKUP(Tue_W2[[#This Row],[Employee Name]],'Base Schedules'!$A$160:$AW$203,10,FALSE)="","",VLOOKUP(Tue_W2[[#This Row],[Employee Name]],'Base Schedules'!$A$160:$AW$203,10,FALSE)),"")</f>
        <v/>
      </c>
      <c r="L41" s="184" t="str">
        <f>IFERROR(IF(VLOOKUP(Tue_W2[[#This Row],[Employee Name]],'Base Schedules'!$A$160:$AW$203,11,FALSE)="","",VLOOKUP(Tue_W2[[#This Row],[Employee Name]],'Base Schedules'!$A$160:$AW$203,11,FALSE)),"")</f>
        <v/>
      </c>
      <c r="M41" s="184" t="str">
        <f>IFERROR(IF(VLOOKUP(Tue_W2[[#This Row],[Employee Name]],'Base Schedules'!$A$160:$AW$203,12,FALSE)="","",VLOOKUP(Tue_W2[[#This Row],[Employee Name]],'Base Schedules'!$A$160:$AW$203,12,FALSE)),"")</f>
        <v/>
      </c>
      <c r="N41" s="184" t="str">
        <f>IFERROR(IF(VLOOKUP(Tue_W2[[#This Row],[Employee Name]],'Base Schedules'!$A$160:$AW$203,13,FALSE)="","",VLOOKUP(Tue_W2[[#This Row],[Employee Name]],'Base Schedules'!$A$160:$AW$203,13,FALSE)),"")</f>
        <v/>
      </c>
      <c r="O41" s="184" t="str">
        <f>IFERROR(IF(VLOOKUP(Tue_W2[[#This Row],[Employee Name]],'Base Schedules'!$A$160:$AW$203,14,FALSE)="","",VLOOKUP(Tue_W2[[#This Row],[Employee Name]],'Base Schedules'!$A$160:$AW$203,14,FALSE)),"")</f>
        <v/>
      </c>
      <c r="P41" s="184" t="str">
        <f>IFERROR(IF(VLOOKUP(Tue_W2[[#This Row],[Employee Name]],'Base Schedules'!$A$160:$AW$203,15,FALSE)="","",VLOOKUP(Tue_W2[[#This Row],[Employee Name]],'Base Schedules'!$A$160:$AW$203,15,FALSE)),"")</f>
        <v/>
      </c>
      <c r="Q41" s="184" t="str">
        <f>IFERROR(IF(VLOOKUP(Tue_W2[[#This Row],[Employee Name]],'Base Schedules'!$A$160:$AW$203,16,FALSE)="","",VLOOKUP(Tue_W2[[#This Row],[Employee Name]],'Base Schedules'!$A$160:$AW$203,16,FALSE)),"")</f>
        <v/>
      </c>
      <c r="R41" s="184" t="str">
        <f>IFERROR(IF(VLOOKUP(Tue_W2[[#This Row],[Employee Name]],'Base Schedules'!$A$160:$AW$203,17,FALSE)="","",VLOOKUP(Tue_W2[[#This Row],[Employee Name]],'Base Schedules'!$A$160:$AW$203,17,FALSE)),"")</f>
        <v/>
      </c>
      <c r="S41" s="184" t="str">
        <f>IFERROR(IF(VLOOKUP(Tue_W2[[#This Row],[Employee Name]],'Base Schedules'!$A$160:$AW$203,18,FALSE)="","",VLOOKUP(Tue_W2[[#This Row],[Employee Name]],'Base Schedules'!$A$160:$AW$203,18,FALSE)),"")</f>
        <v/>
      </c>
      <c r="T41" s="184" t="str">
        <f>IFERROR(IF(VLOOKUP(Tue_W2[[#This Row],[Employee Name]],'Base Schedules'!$A$160:$AW$203,19,FALSE)="","",VLOOKUP(Tue_W2[[#This Row],[Employee Name]],'Base Schedules'!$A$160:$AW$203,19,FALSE)),"")</f>
        <v/>
      </c>
      <c r="U41" s="184" t="str">
        <f>IFERROR(IF(VLOOKUP(Tue_W2[[#This Row],[Employee Name]],'Base Schedules'!$A$160:$AW$203,20,FALSE)="","",VLOOKUP(Tue_W2[[#This Row],[Employee Name]],'Base Schedules'!$A$160:$AW$203,20,FALSE)),"")</f>
        <v/>
      </c>
      <c r="V41" s="184" t="str">
        <f>IFERROR(IF(VLOOKUP(Tue_W2[[#This Row],[Employee Name]],'Base Schedules'!$A$160:$AW$203,21,FALSE)="","",VLOOKUP(Tue_W2[[#This Row],[Employee Name]],'Base Schedules'!$A$160:$AW$203,21,FALSE)),"")</f>
        <v/>
      </c>
      <c r="W41" s="184" t="str">
        <f>IFERROR(IF(VLOOKUP(Tue_W2[[#This Row],[Employee Name]],'Base Schedules'!$A$160:$AW$203,22,FALSE)="","",VLOOKUP(Tue_W2[[#This Row],[Employee Name]],'Base Schedules'!$A$160:$AW$203,22,FALSE)),"")</f>
        <v/>
      </c>
      <c r="X41" s="184" t="str">
        <f>IFERROR(IF(VLOOKUP(Tue_W2[[#This Row],[Employee Name]],'Base Schedules'!$A$160:$AW$203,23,FALSE)="","",VLOOKUP(Tue_W2[[#This Row],[Employee Name]],'Base Schedules'!$A$160:$AW$203,23,FALSE)),"")</f>
        <v/>
      </c>
      <c r="Y41" s="184" t="str">
        <f>IFERROR(IF(VLOOKUP(Tue_W2[[#This Row],[Employee Name]],'Base Schedules'!$A$160:$AW$203,24,FALSE)="","",VLOOKUP(Tue_W2[[#This Row],[Employee Name]],'Base Schedules'!$A$160:$AW$203,24,FALSE)),"")</f>
        <v/>
      </c>
      <c r="Z41" s="184" t="str">
        <f>IFERROR(IF(VLOOKUP(Tue_W2[[#This Row],[Employee Name]],'Base Schedules'!$A$160:$AW$203,25,FALSE)="","",VLOOKUP(Tue_W2[[#This Row],[Employee Name]],'Base Schedules'!$A$160:$AW$203,25,FALSE)),"")</f>
        <v/>
      </c>
      <c r="AA41" s="184" t="str">
        <f>IFERROR(IF(VLOOKUP(Tue_W2[[#This Row],[Employee Name]],'Base Schedules'!$A$160:$AW$203,26,FALSE)="","",VLOOKUP(Tue_W2[[#This Row],[Employee Name]],'Base Schedules'!$A$160:$AW$203,26,FALSE)),"")</f>
        <v>HL</v>
      </c>
      <c r="AB41" s="184" t="str">
        <f>IFERROR(IF(VLOOKUP(Tue_W2[[#This Row],[Employee Name]],'Base Schedules'!$A$160:$AW$203,27,FALSE)="","",VLOOKUP(Tue_W2[[#This Row],[Employee Name]],'Base Schedules'!$A$160:$AW$203,27,FALSE)),"")</f>
        <v>HL</v>
      </c>
      <c r="AC41" s="184" t="str">
        <f>IFERROR(IF(VLOOKUP(Tue_W2[[#This Row],[Employee Name]],'Base Schedules'!$A$160:$AW$203,28,FALSE)="","",VLOOKUP(Tue_W2[[#This Row],[Employee Name]],'Base Schedules'!$A$160:$AW$203,28,FALSE)),"")</f>
        <v>HL</v>
      </c>
      <c r="AD41" s="184" t="str">
        <f>IFERROR(IF(VLOOKUP(Tue_W2[[#This Row],[Employee Name]],'Base Schedules'!$A$160:$AW$203,29,FALSE)="","",VLOOKUP(Tue_W2[[#This Row],[Employee Name]],'Base Schedules'!$A$160:$AW$203,29,FALSE)),"")</f>
        <v>HL</v>
      </c>
      <c r="AE41" s="184" t="str">
        <f>IFERROR(IF(VLOOKUP(Tue_W2[[#This Row],[Employee Name]],'Base Schedules'!$A$160:$AW$203,30,FALSE)="","",VLOOKUP(Tue_W2[[#This Row],[Employee Name]],'Base Schedules'!$A$160:$AW$203,30,FALSE)),"")</f>
        <v>B1 ADM</v>
      </c>
      <c r="AF41" s="184" t="str">
        <f>IFERROR(IF(VLOOKUP(Tue_W2[[#This Row],[Employee Name]],'Base Schedules'!$A$160:$AW$203,31,FALSE)="","",VLOOKUP(Tue_W2[[#This Row],[Employee Name]],'Base Schedules'!$A$160:$AW$203,31,FALSE)),"")</f>
        <v>ADM</v>
      </c>
      <c r="AG41" s="184" t="str">
        <f>IFERROR(IF(VLOOKUP(Tue_W2[[#This Row],[Employee Name]],'Base Schedules'!$A$160:$AW$203,32,FALSE)="","",VLOOKUP(Tue_W2[[#This Row],[Employee Name]],'Base Schedules'!$A$160:$AW$203,32,FALSE)),"")</f>
        <v>ADM</v>
      </c>
      <c r="AH41" s="184" t="str">
        <f>IFERROR(IF(VLOOKUP(Tue_W2[[#This Row],[Employee Name]],'Base Schedules'!$A$160:$AW$203,33,FALSE)="","",VLOOKUP(Tue_W2[[#This Row],[Employee Name]],'Base Schedules'!$A$160:$AW$203,33,FALSE)),"")</f>
        <v>ADM</v>
      </c>
      <c r="AI41" s="184" t="str">
        <f>IFERROR(IF(VLOOKUP(Tue_W2[[#This Row],[Employee Name]],'Base Schedules'!$A$160:$AW$203,34,FALSE)="","",VLOOKUP(Tue_W2[[#This Row],[Employee Name]],'Base Schedules'!$A$160:$AW$203,34,FALSE)),"")</f>
        <v>ADM</v>
      </c>
      <c r="AJ41" s="184" t="str">
        <f>IFERROR(IF(VLOOKUP(Tue_W2[[#This Row],[Employee Name]],'Base Schedules'!$A$160:$AW$203,35,FALSE)="","",VLOOKUP(Tue_W2[[#This Row],[Employee Name]],'Base Schedules'!$A$160:$AW$203,35,FALSE)),"")</f>
        <v>LUNCH</v>
      </c>
      <c r="AK41" s="184" t="str">
        <f>IFERROR(IF(VLOOKUP(Tue_W2[[#This Row],[Employee Name]],'Base Schedules'!$A$160:$AW$203,36,FALSE)="","",VLOOKUP(Tue_W2[[#This Row],[Employee Name]],'Base Schedules'!$A$160:$AW$203,36,FALSE)),"")</f>
        <v>HL</v>
      </c>
      <c r="AL41" s="184" t="str">
        <f>IFERROR(IF(VLOOKUP(Tue_W2[[#This Row],[Employee Name]],'Base Schedules'!$A$160:$AW$203,37,FALSE)="","",VLOOKUP(Tue_W2[[#This Row],[Employee Name]],'Base Schedules'!$A$160:$AW$203,37,FALSE)),"")</f>
        <v>HL</v>
      </c>
      <c r="AM41" s="184" t="str">
        <f>IFERROR(IF(VLOOKUP(Tue_W2[[#This Row],[Employee Name]],'Base Schedules'!$A$160:$AW$203,38,FALSE)="","",VLOOKUP(Tue_W2[[#This Row],[Employee Name]],'Base Schedules'!$A$160:$AW$203,38,FALSE)),"")</f>
        <v>HL</v>
      </c>
      <c r="AN41" s="184" t="str">
        <f>IFERROR(IF(VLOOKUP(Tue_W2[[#This Row],[Employee Name]],'Base Schedules'!$A$160:$AW$203,39,FALSE)="","",VLOOKUP(Tue_W2[[#This Row],[Employee Name]],'Base Schedules'!$A$160:$AW$203,39,FALSE)),"")</f>
        <v>HL B2</v>
      </c>
      <c r="AO41" s="184" t="str">
        <f>IFERROR(IF(VLOOKUP(Tue_W2[[#This Row],[Employee Name]],'Base Schedules'!$A$160:$AW$203,40,FALSE)="","",VLOOKUP(Tue_W2[[#This Row],[Employee Name]],'Base Schedules'!$A$160:$AW$203,40,FALSE)),"")</f>
        <v>ADM</v>
      </c>
      <c r="AP41" s="184" t="str">
        <f>IFERROR(IF(VLOOKUP(Tue_W2[[#This Row],[Employee Name]],'Base Schedules'!$A$160:$AW$203,41,FALSE)="","",VLOOKUP(Tue_W2[[#This Row],[Employee Name]],'Base Schedules'!$A$160:$AW$203,41,FALSE)),"")</f>
        <v>ADM</v>
      </c>
      <c r="AQ41" s="184" t="str">
        <f>IFERROR(IF(VLOOKUP(Tue_W2[[#This Row],[Employee Name]],'Base Schedules'!$A$160:$AW$203,42,FALSE)="","",VLOOKUP(Tue_W2[[#This Row],[Employee Name]],'Base Schedules'!$A$160:$AW$203,42,FALSE)),"")</f>
        <v>ADM</v>
      </c>
      <c r="AR41" s="184" t="str">
        <f>IFERROR(IF(VLOOKUP(Tue_W2[[#This Row],[Employee Name]],'Base Schedules'!$A$160:$AW$203,43,FALSE)="","",VLOOKUP(Tue_W2[[#This Row],[Employee Name]],'Base Schedules'!$A$160:$AW$203,43,FALSE)),"")</f>
        <v/>
      </c>
      <c r="AS41" s="184" t="str">
        <f>IFERROR(IF(VLOOKUP(Tue_W2[[#This Row],[Employee Name]],'Base Schedules'!$A$160:$AW$203,44,FALSE)="","",VLOOKUP(Tue_W2[[#This Row],[Employee Name]],'Base Schedules'!$A$160:$AW$203,44,FALSE)),"")</f>
        <v/>
      </c>
      <c r="AT41" s="184" t="str">
        <f>IFERROR(IF(VLOOKUP(Tue_W2[[#This Row],[Employee Name]],'Base Schedules'!$A$160:$AW$203,45,FALSE)="","",VLOOKUP(Tue_W2[[#This Row],[Employee Name]],'Base Schedules'!$A$160:$AW$203,45,FALSE)),"")</f>
        <v/>
      </c>
      <c r="AU41" s="184" t="str">
        <f>IFERROR(IF(VLOOKUP(Tue_W2[[#This Row],[Employee Name]],'Base Schedules'!$A$160:$AW$203,46,FALSE)="","",VLOOKUP(Tue_W2[[#This Row],[Employee Name]],'Base Schedules'!$A$160:$AW$203,46,FALSE)),"")</f>
        <v/>
      </c>
      <c r="AV41" s="184" t="str">
        <f>IFERROR(IF(VLOOKUP(Tue_W2[[#This Row],[Employee Name]],'Base Schedules'!$A$160:$AW$203,47,FALSE)="","",VLOOKUP(Tue_W2[[#This Row],[Employee Name]],'Base Schedules'!$A$160:$AW$203,47,FALSE)),"")</f>
        <v/>
      </c>
      <c r="AW41" s="184" t="str">
        <f>IFERROR(IF(VLOOKUP(Tue_W2[[#This Row],[Employee Name]],'Base Schedules'!$A$160:$AW$203,48,FALSE)="","",VLOOKUP(Tue_W2[[#This Row],[Employee Name]],'Base Schedules'!$A$160:$AW$203,48,FALSE)),"")</f>
        <v/>
      </c>
      <c r="AX41" s="184" t="str">
        <f>IFERROR(IF(VLOOKUP(Tue_W2[[#This Row],[Employee Name]],'Base Schedules'!$A$160:$AW$203,49,FALSE)="","",VLOOKUP(Tue_W2[[#This Row],[Employee Name]],'Base Schedules'!$A$160:$AW$203,49,FALSE)),"")</f>
        <v/>
      </c>
      <c r="AY41" s="159" t="str">
        <f t="shared" si="2"/>
        <v>Harris, Austin</v>
      </c>
    </row>
    <row r="42" spans="1:51" s="44" customFormat="1" ht="12" customHeight="1" x14ac:dyDescent="0.2">
      <c r="A42" s="39" t="str">
        <f>IF(B42="","",INDEX(TeamList[],MATCH($B42,TeamList[[Employee Name]:[Employee Name]],0),MATCH("Manager",TeamList[#Headers],0)))</f>
        <v>Olson, Katherine</v>
      </c>
      <c r="B42" s="201" t="s">
        <v>45</v>
      </c>
      <c r="C42" s="257" t="str">
        <f>_xlfn.IFNA(VLOOKUP(Tue_W2[[#This Row],[Employee Name]],'Base Schedules'!A:B,2,FALSE),"")</f>
        <v>Supervisor</v>
      </c>
      <c r="D42" s="274">
        <f>_xlfn.IFNA(VLOOKUP(Tue_W2[[#This Row],[Employee Name]],'Base Schedules'!A:C,3,FALSE),"")</f>
        <v>1400</v>
      </c>
      <c r="E42" s="274">
        <f>_xlfn.IFNA(VLOOKUP(Tue_W2[[#This Row],[Employee Name]],'Base Schedules'!A:D,4,FALSE),"")</f>
        <v>100</v>
      </c>
      <c r="F42" s="142">
        <f>IF(Tue_W2[[#This Row],[Employee Name]]="","",IF(Tue_W2[[#This Row],[Dept]]="Supervisor",COUNTIFS($J42:$AX42,"*HL*",$J42:$AX42,"&lt;&gt;"&amp;"pHL"),COUNTIFS($J42:$AX42,"*HL*",$J42:$AX42,"&lt;&gt;"&amp;"*pHL*",$J42:$AX42,"&lt;&gt;"&amp;"pB1 HL",$J42:$AX42,"&lt;&gt;"&amp;"pB2 HL")-SUM(COUNTIFS($J42:$AX42,"*HL B1*",$J42:$AX42,"&lt;&gt;"&amp;"pHL B1")*0.5,COUNTIFS($J42:$AX42,"*HL B2*",$J42:$AX42,"&lt;&gt;"&amp;"pHL B2")*0.5,COUNTIFS($J42:$AX42,"*B1 HL*",$J42:$AX42,"&lt;&gt;"&amp;"pB1 HL")*0.5,COUNTIFS($J42:$AX42,"*B2 HL*",$J42:$AX42,"&lt;&gt;"&amp;"pB2 HL")*0.5)))</f>
        <v>0</v>
      </c>
      <c r="G42" s="142">
        <f t="shared" si="0"/>
        <v>6</v>
      </c>
      <c r="H42" s="142">
        <f t="shared" si="1"/>
        <v>0</v>
      </c>
      <c r="I42" s="142">
        <f>IF(Tue_W2[[#This Row],[Employee Name]]="","",IF(Tue_W2[[#This Row],[Dept]]="Supervisor",SUM(COUNTIFS($J42:$AX42,"RTA*",$J42:$AX42,"&lt;&gt;"&amp;"pRTA"),COUNTIFS($J42:$AX42,"*CRTA*",$J42:$AX42,"&lt;&gt;"&amp;"pCRTA")),COUNTIFS($J42:$AX42,"*RNNR*",$J42:$AX42,"&lt;&gt;"&amp;"*pRNNR*",$J42:$AX42,"&lt;&gt;"&amp;"pB1 RNNR",$J42:$AX42,"&lt;&gt;"&amp;"pB2 RNNR")-SUM(COUNTIFS($J42:$AX42,"*RNNR B1*",$J42:$AX42,"&lt;&gt;"&amp;"pRNNR B1")*0.5,COUNTIFS($J42:$AX42,"*RNNR B2*",$J42:$AX42,"&lt;&gt;"&amp;"pRNNR B2")*0.5,COUNTIFS($J42:$AX42,"*B1 RNNR*",$J42:$AX42,"&lt;&gt;"&amp;"pB1 RNNR")*0.5,COUNTIFS($J42:$AX42,"*B2 RNNR*",$J42:$AX42,"&lt;&gt;"&amp;"pB2 RNNR")*0.5)))</f>
        <v>0</v>
      </c>
      <c r="J42" s="184" t="str">
        <f>IFERROR(IF(VLOOKUP(Tue_W2[[#This Row],[Employee Name]],'Base Schedules'!$A$160:$AW$203,9,FALSE)="","",VLOOKUP(Tue_W2[[#This Row],[Employee Name]],'Base Schedules'!$A$160:$AW$203,9,FALSE)),"")</f>
        <v/>
      </c>
      <c r="K42" s="184" t="str">
        <f>IFERROR(IF(VLOOKUP(Tue_W2[[#This Row],[Employee Name]],'Base Schedules'!$A$160:$AW$203,10,FALSE)="","",VLOOKUP(Tue_W2[[#This Row],[Employee Name]],'Base Schedules'!$A$160:$AW$203,10,FALSE)),"")</f>
        <v/>
      </c>
      <c r="L42" s="184" t="str">
        <f>IFERROR(IF(VLOOKUP(Tue_W2[[#This Row],[Employee Name]],'Base Schedules'!$A$160:$AW$203,11,FALSE)="","",VLOOKUP(Tue_W2[[#This Row],[Employee Name]],'Base Schedules'!$A$160:$AW$203,11,FALSE)),"")</f>
        <v/>
      </c>
      <c r="M42" s="184" t="str">
        <f>IFERROR(IF(VLOOKUP(Tue_W2[[#This Row],[Employee Name]],'Base Schedules'!$A$160:$AW$203,12,FALSE)="","",VLOOKUP(Tue_W2[[#This Row],[Employee Name]],'Base Schedules'!$A$160:$AW$203,12,FALSE)),"")</f>
        <v/>
      </c>
      <c r="N42" s="184" t="str">
        <f>IFERROR(IF(VLOOKUP(Tue_W2[[#This Row],[Employee Name]],'Base Schedules'!$A$160:$AW$203,13,FALSE)="","",VLOOKUP(Tue_W2[[#This Row],[Employee Name]],'Base Schedules'!$A$160:$AW$203,13,FALSE)),"")</f>
        <v/>
      </c>
      <c r="O42" s="184" t="str">
        <f>IFERROR(IF(VLOOKUP(Tue_W2[[#This Row],[Employee Name]],'Base Schedules'!$A$160:$AW$203,14,FALSE)="","",VLOOKUP(Tue_W2[[#This Row],[Employee Name]],'Base Schedules'!$A$160:$AW$203,14,FALSE)),"")</f>
        <v/>
      </c>
      <c r="P42" s="184" t="str">
        <f>IFERROR(IF(VLOOKUP(Tue_W2[[#This Row],[Employee Name]],'Base Schedules'!$A$160:$AW$203,15,FALSE)="","",VLOOKUP(Tue_W2[[#This Row],[Employee Name]],'Base Schedules'!$A$160:$AW$203,15,FALSE)),"")</f>
        <v/>
      </c>
      <c r="Q42" s="184" t="str">
        <f>IFERROR(IF(VLOOKUP(Tue_W2[[#This Row],[Employee Name]],'Base Schedules'!$A$160:$AW$203,16,FALSE)="","",VLOOKUP(Tue_W2[[#This Row],[Employee Name]],'Base Schedules'!$A$160:$AW$203,16,FALSE)),"")</f>
        <v/>
      </c>
      <c r="R42" s="184" t="str">
        <f>IFERROR(IF(VLOOKUP(Tue_W2[[#This Row],[Employee Name]],'Base Schedules'!$A$160:$AW$203,17,FALSE)="","",VLOOKUP(Tue_W2[[#This Row],[Employee Name]],'Base Schedules'!$A$160:$AW$203,17,FALSE)),"")</f>
        <v/>
      </c>
      <c r="S42" s="184" t="str">
        <f>IFERROR(IF(VLOOKUP(Tue_W2[[#This Row],[Employee Name]],'Base Schedules'!$A$160:$AW$203,18,FALSE)="","",VLOOKUP(Tue_W2[[#This Row],[Employee Name]],'Base Schedules'!$A$160:$AW$203,18,FALSE)),"")</f>
        <v/>
      </c>
      <c r="T42" s="184" t="str">
        <f>IFERROR(IF(VLOOKUP(Tue_W2[[#This Row],[Employee Name]],'Base Schedules'!$A$160:$AW$203,19,FALSE)="","",VLOOKUP(Tue_W2[[#This Row],[Employee Name]],'Base Schedules'!$A$160:$AW$203,19,FALSE)),"")</f>
        <v/>
      </c>
      <c r="U42" s="184" t="str">
        <f>IFERROR(IF(VLOOKUP(Tue_W2[[#This Row],[Employee Name]],'Base Schedules'!$A$160:$AW$203,20,FALSE)="","",VLOOKUP(Tue_W2[[#This Row],[Employee Name]],'Base Schedules'!$A$160:$AW$203,20,FALSE)),"")</f>
        <v/>
      </c>
      <c r="V42" s="184" t="str">
        <f>IFERROR(IF(VLOOKUP(Tue_W2[[#This Row],[Employee Name]],'Base Schedules'!$A$160:$AW$203,21,FALSE)="","",VLOOKUP(Tue_W2[[#This Row],[Employee Name]],'Base Schedules'!$A$160:$AW$203,21,FALSE)),"")</f>
        <v/>
      </c>
      <c r="W42" s="184" t="str">
        <f>IFERROR(IF(VLOOKUP(Tue_W2[[#This Row],[Employee Name]],'Base Schedules'!$A$160:$AW$203,22,FALSE)="","",VLOOKUP(Tue_W2[[#This Row],[Employee Name]],'Base Schedules'!$A$160:$AW$203,22,FALSE)),"")</f>
        <v/>
      </c>
      <c r="X42" s="184" t="str">
        <f>IFERROR(IF(VLOOKUP(Tue_W2[[#This Row],[Employee Name]],'Base Schedules'!$A$160:$AW$203,23,FALSE)="","",VLOOKUP(Tue_W2[[#This Row],[Employee Name]],'Base Schedules'!$A$160:$AW$203,23,FALSE)),"")</f>
        <v/>
      </c>
      <c r="Y42" s="184" t="str">
        <f>IFERROR(IF(VLOOKUP(Tue_W2[[#This Row],[Employee Name]],'Base Schedules'!$A$160:$AW$203,24,FALSE)="","",VLOOKUP(Tue_W2[[#This Row],[Employee Name]],'Base Schedules'!$A$160:$AW$203,24,FALSE)),"")</f>
        <v/>
      </c>
      <c r="Z42" s="184" t="str">
        <f>IFERROR(IF(VLOOKUP(Tue_W2[[#This Row],[Employee Name]],'Base Schedules'!$A$160:$AW$203,25,FALSE)="","",VLOOKUP(Tue_W2[[#This Row],[Employee Name]],'Base Schedules'!$A$160:$AW$203,25,FALSE)),"")</f>
        <v/>
      </c>
      <c r="AA42" s="184" t="str">
        <f>IFERROR(IF(VLOOKUP(Tue_W2[[#This Row],[Employee Name]],'Base Schedules'!$A$160:$AW$203,26,FALSE)="","",VLOOKUP(Tue_W2[[#This Row],[Employee Name]],'Base Schedules'!$A$160:$AW$203,26,FALSE)),"")</f>
        <v/>
      </c>
      <c r="AB42" s="184" t="str">
        <f>IFERROR(IF(VLOOKUP(Tue_W2[[#This Row],[Employee Name]],'Base Schedules'!$A$160:$AW$203,27,FALSE)="","",VLOOKUP(Tue_W2[[#This Row],[Employee Name]],'Base Schedules'!$A$160:$AW$203,27,FALSE)),"")</f>
        <v>-</v>
      </c>
      <c r="AC42" s="184" t="str">
        <f>IFERROR(IF(VLOOKUP(Tue_W2[[#This Row],[Employee Name]],'Base Schedules'!$A$160:$AW$203,28,FALSE)="","",VLOOKUP(Tue_W2[[#This Row],[Employee Name]],'Base Schedules'!$A$160:$AW$203,28,FALSE)),"")</f>
        <v>-</v>
      </c>
      <c r="AD42" s="184" t="str">
        <f>IFERROR(IF(VLOOKUP(Tue_W2[[#This Row],[Employee Name]],'Base Schedules'!$A$160:$AW$203,29,FALSE)="","",VLOOKUP(Tue_W2[[#This Row],[Employee Name]],'Base Schedules'!$A$160:$AW$203,29,FALSE)),"")</f>
        <v>-</v>
      </c>
      <c r="AE42" s="184" t="str">
        <f>IFERROR(IF(VLOOKUP(Tue_W2[[#This Row],[Employee Name]],'Base Schedules'!$A$160:$AW$203,30,FALSE)="","",VLOOKUP(Tue_W2[[#This Row],[Employee Name]],'Base Schedules'!$A$160:$AW$203,30,FALSE)),"")</f>
        <v>Coaching</v>
      </c>
      <c r="AF42" s="184" t="str">
        <f>IFERROR(IF(VLOOKUP(Tue_W2[[#This Row],[Employee Name]],'Base Schedules'!$A$160:$AW$203,31,FALSE)="","",VLOOKUP(Tue_W2[[#This Row],[Employee Name]],'Base Schedules'!$A$160:$AW$203,31,FALSE)),"")</f>
        <v>Coaching</v>
      </c>
      <c r="AG42" s="184" t="str">
        <f>IFERROR(IF(VLOOKUP(Tue_W2[[#This Row],[Employee Name]],'Base Schedules'!$A$160:$AW$203,32,FALSE)="","",VLOOKUP(Tue_W2[[#This Row],[Employee Name]],'Base Schedules'!$A$160:$AW$203,32,FALSE)),"")</f>
        <v>-</v>
      </c>
      <c r="AH42" s="184" t="str">
        <f>IFERROR(IF(VLOOKUP(Tue_W2[[#This Row],[Employee Name]],'Base Schedules'!$A$160:$AW$203,33,FALSE)="","",VLOOKUP(Tue_W2[[#This Row],[Employee Name]],'Base Schedules'!$A$160:$AW$203,33,FALSE)),"")</f>
        <v>Interview</v>
      </c>
      <c r="AI42" s="184" t="str">
        <f>IFERROR(IF(VLOOKUP(Tue_W2[[#This Row],[Employee Name]],'Base Schedules'!$A$160:$AW$203,34,FALSE)="","",VLOOKUP(Tue_W2[[#This Row],[Employee Name]],'Base Schedules'!$A$160:$AW$203,34,FALSE)),"")</f>
        <v>Interview</v>
      </c>
      <c r="AJ42" s="184" t="str">
        <f>IFERROR(IF(VLOOKUP(Tue_W2[[#This Row],[Employee Name]],'Base Schedules'!$A$160:$AW$203,35,FALSE)="","",VLOOKUP(Tue_W2[[#This Row],[Employee Name]],'Base Schedules'!$A$160:$AW$203,35,FALSE)),"")</f>
        <v>-</v>
      </c>
      <c r="AK42" s="184" t="str">
        <f>IFERROR(IF(VLOOKUP(Tue_W2[[#This Row],[Employee Name]],'Base Schedules'!$A$160:$AW$203,36,FALSE)="","",VLOOKUP(Tue_W2[[#This Row],[Employee Name]],'Base Schedules'!$A$160:$AW$203,36,FALSE)),"")</f>
        <v>-</v>
      </c>
      <c r="AL42" s="184" t="str">
        <f>IFERROR(IF(VLOOKUP(Tue_W2[[#This Row],[Employee Name]],'Base Schedules'!$A$160:$AW$203,37,FALSE)="","",VLOOKUP(Tue_W2[[#This Row],[Employee Name]],'Base Schedules'!$A$160:$AW$203,37,FALSE)),"")</f>
        <v>-</v>
      </c>
      <c r="AM42" s="184" t="str">
        <f>IFERROR(IF(VLOOKUP(Tue_W2[[#This Row],[Employee Name]],'Base Schedules'!$A$160:$AW$203,38,FALSE)="","",VLOOKUP(Tue_W2[[#This Row],[Employee Name]],'Base Schedules'!$A$160:$AW$203,38,FALSE)),"")</f>
        <v>-</v>
      </c>
      <c r="AN42" s="184" t="str">
        <f>IFERROR(IF(VLOOKUP(Tue_W2[[#This Row],[Employee Name]],'Base Schedules'!$A$160:$AW$203,39,FALSE)="","",VLOOKUP(Tue_W2[[#This Row],[Employee Name]],'Base Schedules'!$A$160:$AW$203,39,FALSE)),"")</f>
        <v>Coaching</v>
      </c>
      <c r="AO42" s="184" t="str">
        <f>IFERROR(IF(VLOOKUP(Tue_W2[[#This Row],[Employee Name]],'Base Schedules'!$A$160:$AW$203,40,FALSE)="","",VLOOKUP(Tue_W2[[#This Row],[Employee Name]],'Base Schedules'!$A$160:$AW$203,40,FALSE)),"")</f>
        <v>Coaching</v>
      </c>
      <c r="AP42" s="184" t="str">
        <f>IFERROR(IF(VLOOKUP(Tue_W2[[#This Row],[Employee Name]],'Base Schedules'!$A$160:$AW$203,41,FALSE)="","",VLOOKUP(Tue_W2[[#This Row],[Employee Name]],'Base Schedules'!$A$160:$AW$203,41,FALSE)),"")</f>
        <v>Coaching</v>
      </c>
      <c r="AQ42" s="184" t="str">
        <f>IFERROR(IF(VLOOKUP(Tue_W2[[#This Row],[Employee Name]],'Base Schedules'!$A$160:$AW$203,42,FALSE)="","",VLOOKUP(Tue_W2[[#This Row],[Employee Name]],'Base Schedules'!$A$160:$AW$203,42,FALSE)),"")</f>
        <v>Coaching</v>
      </c>
      <c r="AR42" s="184" t="str">
        <f>IFERROR(IF(VLOOKUP(Tue_W2[[#This Row],[Employee Name]],'Base Schedules'!$A$160:$AW$203,43,FALSE)="","",VLOOKUP(Tue_W2[[#This Row],[Employee Name]],'Base Schedules'!$A$160:$AW$203,43,FALSE)),"")</f>
        <v>-</v>
      </c>
      <c r="AS42" s="184" t="str">
        <f>IFERROR(IF(VLOOKUP(Tue_W2[[#This Row],[Employee Name]],'Base Schedules'!$A$160:$AW$203,44,FALSE)="","",VLOOKUP(Tue_W2[[#This Row],[Employee Name]],'Base Schedules'!$A$160:$AW$203,44,FALSE)),"")</f>
        <v>-</v>
      </c>
      <c r="AT42" s="184" t="str">
        <f>IFERROR(IF(VLOOKUP(Tue_W2[[#This Row],[Employee Name]],'Base Schedules'!$A$160:$AW$203,45,FALSE)="","",VLOOKUP(Tue_W2[[#This Row],[Employee Name]],'Base Schedules'!$A$160:$AW$203,45,FALSE)),"")</f>
        <v>-</v>
      </c>
      <c r="AU42" s="184" t="str">
        <f>IFERROR(IF(VLOOKUP(Tue_W2[[#This Row],[Employee Name]],'Base Schedules'!$A$160:$AW$203,46,FALSE)="","",VLOOKUP(Tue_W2[[#This Row],[Employee Name]],'Base Schedules'!$A$160:$AW$203,46,FALSE)),"")</f>
        <v>-</v>
      </c>
      <c r="AV42" s="184" t="str">
        <f>IFERROR(IF(VLOOKUP(Tue_W2[[#This Row],[Employee Name]],'Base Schedules'!$A$160:$AW$203,47,FALSE)="","",VLOOKUP(Tue_W2[[#This Row],[Employee Name]],'Base Schedules'!$A$160:$AW$203,47,FALSE)),"")</f>
        <v>-</v>
      </c>
      <c r="AW42" s="184" t="str">
        <f>IFERROR(IF(VLOOKUP(Tue_W2[[#This Row],[Employee Name]],'Base Schedules'!$A$160:$AW$203,48,FALSE)="","",VLOOKUP(Tue_W2[[#This Row],[Employee Name]],'Base Schedules'!$A$160:$AW$203,48,FALSE)),"")</f>
        <v>-</v>
      </c>
      <c r="AX42" s="184" t="str">
        <f>IFERROR(IF(VLOOKUP(Tue_W2[[#This Row],[Employee Name]],'Base Schedules'!$A$160:$AW$203,49,FALSE)="","",VLOOKUP(Tue_W2[[#This Row],[Employee Name]],'Base Schedules'!$A$160:$AW$203,49,FALSE)),"")</f>
        <v/>
      </c>
      <c r="AY42" s="159" t="str">
        <f t="shared" si="2"/>
        <v>McLean, Neva</v>
      </c>
    </row>
    <row r="43" spans="1:51" s="44" customFormat="1" ht="12" customHeight="1" x14ac:dyDescent="0.2">
      <c r="A43" s="39" t="str">
        <f>IF(B43="","",INDEX(TeamList[],MATCH($B43,TeamList[[Employee Name]:[Employee Name]],0),MATCH("Manager",TeamList[#Headers],0)))</f>
        <v>Ahmed Hassan, Zahra</v>
      </c>
      <c r="B43" s="201" t="s">
        <v>245</v>
      </c>
      <c r="C43" s="257" t="str">
        <f>_xlfn.IFNA(VLOOKUP(Tue_W2[[#This Row],[Employee Name]],'Base Schedules'!A:B,2,FALSE),"")</f>
        <v>Supervisor</v>
      </c>
      <c r="D43" s="274">
        <f>_xlfn.IFNA(VLOOKUP(Tue_W2[[#This Row],[Employee Name]],'Base Schedules'!A:C,3,FALSE),"")</f>
        <v>1400</v>
      </c>
      <c r="E43" s="274">
        <f>_xlfn.IFNA(VLOOKUP(Tue_W2[[#This Row],[Employee Name]],'Base Schedules'!A:D,4,FALSE),"")</f>
        <v>100</v>
      </c>
      <c r="F43" s="142">
        <f>IF(Tue_W2[[#This Row],[Employee Name]]="","",IF(Tue_W2[[#This Row],[Dept]]="Supervisor",COUNTIFS($J43:$AX43,"*HL*",$J43:$AX43,"&lt;&gt;"&amp;"pHL"),COUNTIFS($J43:$AX43,"*HL*",$J43:$AX43,"&lt;&gt;"&amp;"*pHL*",$J43:$AX43,"&lt;&gt;"&amp;"pB1 HL",$J43:$AX43,"&lt;&gt;"&amp;"pB2 HL")-SUM(COUNTIFS($J43:$AX43,"*HL B1*",$J43:$AX43,"&lt;&gt;"&amp;"pHL B1")*0.5,COUNTIFS($J43:$AX43,"*HL B2*",$J43:$AX43,"&lt;&gt;"&amp;"pHL B2")*0.5,COUNTIFS($J43:$AX43,"*B1 HL*",$J43:$AX43,"&lt;&gt;"&amp;"pB1 HL")*0.5,COUNTIFS($J43:$AX43,"*B2 HL*",$J43:$AX43,"&lt;&gt;"&amp;"pB2 HL")*0.5)))</f>
        <v>0</v>
      </c>
      <c r="G43" s="142">
        <f t="shared" si="0"/>
        <v>4</v>
      </c>
      <c r="H43" s="142">
        <f t="shared" si="1"/>
        <v>0</v>
      </c>
      <c r="I43" s="142">
        <f>IF(Tue_W2[[#This Row],[Employee Name]]="","",IF(Tue_W2[[#This Row],[Dept]]="Supervisor",SUM(COUNTIFS($J43:$AX43,"RTA*",$J43:$AX43,"&lt;&gt;"&amp;"pRTA"),COUNTIFS($J43:$AX43,"*CRTA*",$J43:$AX43,"&lt;&gt;"&amp;"pCRTA")),COUNTIFS($J43:$AX43,"*RNNR*",$J43:$AX43,"&lt;&gt;"&amp;"*pRNNR*",$J43:$AX43,"&lt;&gt;"&amp;"pB1 RNNR",$J43:$AX43,"&lt;&gt;"&amp;"pB2 RNNR")-SUM(COUNTIFS($J43:$AX43,"*RNNR B1*",$J43:$AX43,"&lt;&gt;"&amp;"pRNNR B1")*0.5,COUNTIFS($J43:$AX43,"*RNNR B2*",$J43:$AX43,"&lt;&gt;"&amp;"pRNNR B2")*0.5,COUNTIFS($J43:$AX43,"*B1 RNNR*",$J43:$AX43,"&lt;&gt;"&amp;"pB1 RNNR")*0.5,COUNTIFS($J43:$AX43,"*B2 RNNR*",$J43:$AX43,"&lt;&gt;"&amp;"pB2 RNNR")*0.5)))</f>
        <v>0</v>
      </c>
      <c r="J43" s="184" t="str">
        <f>IFERROR(IF(VLOOKUP(Tue_W2[[#This Row],[Employee Name]],'Base Schedules'!$A$160:$AW$203,9,FALSE)="","",VLOOKUP(Tue_W2[[#This Row],[Employee Name]],'Base Schedules'!$A$160:$AW$203,9,FALSE)),"")</f>
        <v/>
      </c>
      <c r="K43" s="184" t="str">
        <f>IFERROR(IF(VLOOKUP(Tue_W2[[#This Row],[Employee Name]],'Base Schedules'!$A$160:$AW$203,10,FALSE)="","",VLOOKUP(Tue_W2[[#This Row],[Employee Name]],'Base Schedules'!$A$160:$AW$203,10,FALSE)),"")</f>
        <v/>
      </c>
      <c r="L43" s="184" t="str">
        <f>IFERROR(IF(VLOOKUP(Tue_W2[[#This Row],[Employee Name]],'Base Schedules'!$A$160:$AW$203,11,FALSE)="","",VLOOKUP(Tue_W2[[#This Row],[Employee Name]],'Base Schedules'!$A$160:$AW$203,11,FALSE)),"")</f>
        <v/>
      </c>
      <c r="M43" s="184" t="str">
        <f>IFERROR(IF(VLOOKUP(Tue_W2[[#This Row],[Employee Name]],'Base Schedules'!$A$160:$AW$203,12,FALSE)="","",VLOOKUP(Tue_W2[[#This Row],[Employee Name]],'Base Schedules'!$A$160:$AW$203,12,FALSE)),"")</f>
        <v/>
      </c>
      <c r="N43" s="184" t="str">
        <f>IFERROR(IF(VLOOKUP(Tue_W2[[#This Row],[Employee Name]],'Base Schedules'!$A$160:$AW$203,13,FALSE)="","",VLOOKUP(Tue_W2[[#This Row],[Employee Name]],'Base Schedules'!$A$160:$AW$203,13,FALSE)),"")</f>
        <v/>
      </c>
      <c r="O43" s="184" t="str">
        <f>IFERROR(IF(VLOOKUP(Tue_W2[[#This Row],[Employee Name]],'Base Schedules'!$A$160:$AW$203,14,FALSE)="","",VLOOKUP(Tue_W2[[#This Row],[Employee Name]],'Base Schedules'!$A$160:$AW$203,14,FALSE)),"")</f>
        <v/>
      </c>
      <c r="P43" s="184" t="str">
        <f>IFERROR(IF(VLOOKUP(Tue_W2[[#This Row],[Employee Name]],'Base Schedules'!$A$160:$AW$203,15,FALSE)="","",VLOOKUP(Tue_W2[[#This Row],[Employee Name]],'Base Schedules'!$A$160:$AW$203,15,FALSE)),"")</f>
        <v/>
      </c>
      <c r="Q43" s="184" t="str">
        <f>IFERROR(IF(VLOOKUP(Tue_W2[[#This Row],[Employee Name]],'Base Schedules'!$A$160:$AW$203,16,FALSE)="","",VLOOKUP(Tue_W2[[#This Row],[Employee Name]],'Base Schedules'!$A$160:$AW$203,16,FALSE)),"")</f>
        <v/>
      </c>
      <c r="R43" s="184" t="str">
        <f>IFERROR(IF(VLOOKUP(Tue_W2[[#This Row],[Employee Name]],'Base Schedules'!$A$160:$AW$203,17,FALSE)="","",VLOOKUP(Tue_W2[[#This Row],[Employee Name]],'Base Schedules'!$A$160:$AW$203,17,FALSE)),"")</f>
        <v/>
      </c>
      <c r="S43" s="184" t="str">
        <f>IFERROR(IF(VLOOKUP(Tue_W2[[#This Row],[Employee Name]],'Base Schedules'!$A$160:$AW$203,18,FALSE)="","",VLOOKUP(Tue_W2[[#This Row],[Employee Name]],'Base Schedules'!$A$160:$AW$203,18,FALSE)),"")</f>
        <v/>
      </c>
      <c r="T43" s="184" t="str">
        <f>IFERROR(IF(VLOOKUP(Tue_W2[[#This Row],[Employee Name]],'Base Schedules'!$A$160:$AW$203,19,FALSE)="","",VLOOKUP(Tue_W2[[#This Row],[Employee Name]],'Base Schedules'!$A$160:$AW$203,19,FALSE)),"")</f>
        <v/>
      </c>
      <c r="U43" s="184" t="str">
        <f>IFERROR(IF(VLOOKUP(Tue_W2[[#This Row],[Employee Name]],'Base Schedules'!$A$160:$AW$203,20,FALSE)="","",VLOOKUP(Tue_W2[[#This Row],[Employee Name]],'Base Schedules'!$A$160:$AW$203,20,FALSE)),"")</f>
        <v/>
      </c>
      <c r="V43" s="184" t="str">
        <f>IFERROR(IF(VLOOKUP(Tue_W2[[#This Row],[Employee Name]],'Base Schedules'!$A$160:$AW$203,21,FALSE)="","",VLOOKUP(Tue_W2[[#This Row],[Employee Name]],'Base Schedules'!$A$160:$AW$203,21,FALSE)),"")</f>
        <v/>
      </c>
      <c r="W43" s="184" t="str">
        <f>IFERROR(IF(VLOOKUP(Tue_W2[[#This Row],[Employee Name]],'Base Schedules'!$A$160:$AW$203,22,FALSE)="","",VLOOKUP(Tue_W2[[#This Row],[Employee Name]],'Base Schedules'!$A$160:$AW$203,22,FALSE)),"")</f>
        <v/>
      </c>
      <c r="X43" s="184" t="str">
        <f>IFERROR(IF(VLOOKUP(Tue_W2[[#This Row],[Employee Name]],'Base Schedules'!$A$160:$AW$203,23,FALSE)="","",VLOOKUP(Tue_W2[[#This Row],[Employee Name]],'Base Schedules'!$A$160:$AW$203,23,FALSE)),"")</f>
        <v/>
      </c>
      <c r="Y43" s="184" t="str">
        <f>IFERROR(IF(VLOOKUP(Tue_W2[[#This Row],[Employee Name]],'Base Schedules'!$A$160:$AW$203,24,FALSE)="","",VLOOKUP(Tue_W2[[#This Row],[Employee Name]],'Base Schedules'!$A$160:$AW$203,24,FALSE)),"")</f>
        <v/>
      </c>
      <c r="Z43" s="184" t="str">
        <f>IFERROR(IF(VLOOKUP(Tue_W2[[#This Row],[Employee Name]],'Base Schedules'!$A$160:$AW$203,25,FALSE)="","",VLOOKUP(Tue_W2[[#This Row],[Employee Name]],'Base Schedules'!$A$160:$AW$203,25,FALSE)),"")</f>
        <v/>
      </c>
      <c r="AA43" s="184" t="str">
        <f>IFERROR(IF(VLOOKUP(Tue_W2[[#This Row],[Employee Name]],'Base Schedules'!$A$160:$AW$203,26,FALSE)="","",VLOOKUP(Tue_W2[[#This Row],[Employee Name]],'Base Schedules'!$A$160:$AW$203,26,FALSE)),"")</f>
        <v/>
      </c>
      <c r="AB43" s="184" t="str">
        <f>IFERROR(IF(VLOOKUP(Tue_W2[[#This Row],[Employee Name]],'Base Schedules'!$A$160:$AW$203,27,FALSE)="","",VLOOKUP(Tue_W2[[#This Row],[Employee Name]],'Base Schedules'!$A$160:$AW$203,27,FALSE)),"")</f>
        <v>-</v>
      </c>
      <c r="AC43" s="184" t="str">
        <f>IFERROR(IF(VLOOKUP(Tue_W2[[#This Row],[Employee Name]],'Base Schedules'!$A$160:$AW$203,28,FALSE)="","",VLOOKUP(Tue_W2[[#This Row],[Employee Name]],'Base Schedules'!$A$160:$AW$203,28,FALSE)),"")</f>
        <v>-</v>
      </c>
      <c r="AD43" s="184" t="str">
        <f>IFERROR(IF(VLOOKUP(Tue_W2[[#This Row],[Employee Name]],'Base Schedules'!$A$160:$AW$203,29,FALSE)="","",VLOOKUP(Tue_W2[[#This Row],[Employee Name]],'Base Schedules'!$A$160:$AW$203,29,FALSE)),"")</f>
        <v>-</v>
      </c>
      <c r="AE43" s="184" t="str">
        <f>IFERROR(IF(VLOOKUP(Tue_W2[[#This Row],[Employee Name]],'Base Schedules'!$A$160:$AW$203,30,FALSE)="","",VLOOKUP(Tue_W2[[#This Row],[Employee Name]],'Base Schedules'!$A$160:$AW$203,30,FALSE)),"")</f>
        <v>-</v>
      </c>
      <c r="AF43" s="184" t="str">
        <f>IFERROR(IF(VLOOKUP(Tue_W2[[#This Row],[Employee Name]],'Base Schedules'!$A$160:$AW$203,31,FALSE)="","",VLOOKUP(Tue_W2[[#This Row],[Employee Name]],'Base Schedules'!$A$160:$AW$203,31,FALSE)),"")</f>
        <v>Interview</v>
      </c>
      <c r="AG43" s="184" t="str">
        <f>IFERROR(IF(VLOOKUP(Tue_W2[[#This Row],[Employee Name]],'Base Schedules'!$A$160:$AW$203,32,FALSE)="","",VLOOKUP(Tue_W2[[#This Row],[Employee Name]],'Base Schedules'!$A$160:$AW$203,32,FALSE)),"")</f>
        <v>Interview</v>
      </c>
      <c r="AH43" s="184" t="str">
        <f>IFERROR(IF(VLOOKUP(Tue_W2[[#This Row],[Employee Name]],'Base Schedules'!$A$160:$AW$203,33,FALSE)="","",VLOOKUP(Tue_W2[[#This Row],[Employee Name]],'Base Schedules'!$A$160:$AW$203,33,FALSE)),"")</f>
        <v>-</v>
      </c>
      <c r="AI43" s="184" t="str">
        <f>IFERROR(IF(VLOOKUP(Tue_W2[[#This Row],[Employee Name]],'Base Schedules'!$A$160:$AW$203,34,FALSE)="","",VLOOKUP(Tue_W2[[#This Row],[Employee Name]],'Base Schedules'!$A$160:$AW$203,34,FALSE)),"")</f>
        <v>-</v>
      </c>
      <c r="AJ43" s="184" t="str">
        <f>IFERROR(IF(VLOOKUP(Tue_W2[[#This Row],[Employee Name]],'Base Schedules'!$A$160:$AW$203,35,FALSE)="","",VLOOKUP(Tue_W2[[#This Row],[Employee Name]],'Base Schedules'!$A$160:$AW$203,35,FALSE)),"")</f>
        <v>Coaching</v>
      </c>
      <c r="AK43" s="184" t="str">
        <f>IFERROR(IF(VLOOKUP(Tue_W2[[#This Row],[Employee Name]],'Base Schedules'!$A$160:$AW$203,36,FALSE)="","",VLOOKUP(Tue_W2[[#This Row],[Employee Name]],'Base Schedules'!$A$160:$AW$203,36,FALSE)),"")</f>
        <v>Coaching</v>
      </c>
      <c r="AL43" s="184" t="str">
        <f>IFERROR(IF(VLOOKUP(Tue_W2[[#This Row],[Employee Name]],'Base Schedules'!$A$160:$AW$203,37,FALSE)="","",VLOOKUP(Tue_W2[[#This Row],[Employee Name]],'Base Schedules'!$A$160:$AW$203,37,FALSE)),"")</f>
        <v>Coaching</v>
      </c>
      <c r="AM43" s="184" t="str">
        <f>IFERROR(IF(VLOOKUP(Tue_W2[[#This Row],[Employee Name]],'Base Schedules'!$A$160:$AW$203,38,FALSE)="","",VLOOKUP(Tue_W2[[#This Row],[Employee Name]],'Base Schedules'!$A$160:$AW$203,38,FALSE)),"")</f>
        <v>Coaching</v>
      </c>
      <c r="AN43" s="184" t="str">
        <f>IFERROR(IF(VLOOKUP(Tue_W2[[#This Row],[Employee Name]],'Base Schedules'!$A$160:$AW$203,39,FALSE)="","",VLOOKUP(Tue_W2[[#This Row],[Employee Name]],'Base Schedules'!$A$160:$AW$203,39,FALSE)),"")</f>
        <v>-</v>
      </c>
      <c r="AO43" s="184" t="str">
        <f>IFERROR(IF(VLOOKUP(Tue_W2[[#This Row],[Employee Name]],'Base Schedules'!$A$160:$AW$203,40,FALSE)="","",VLOOKUP(Tue_W2[[#This Row],[Employee Name]],'Base Schedules'!$A$160:$AW$203,40,FALSE)),"")</f>
        <v>-</v>
      </c>
      <c r="AP43" s="184" t="str">
        <f>IFERROR(IF(VLOOKUP(Tue_W2[[#This Row],[Employee Name]],'Base Schedules'!$A$160:$AW$203,41,FALSE)="","",VLOOKUP(Tue_W2[[#This Row],[Employee Name]],'Base Schedules'!$A$160:$AW$203,41,FALSE)),"")</f>
        <v>-</v>
      </c>
      <c r="AQ43" s="184" t="str">
        <f>IFERROR(IF(VLOOKUP(Tue_W2[[#This Row],[Employee Name]],'Base Schedules'!$A$160:$AW$203,42,FALSE)="","",VLOOKUP(Tue_W2[[#This Row],[Employee Name]],'Base Schedules'!$A$160:$AW$203,42,FALSE)),"")</f>
        <v>-</v>
      </c>
      <c r="AR43" s="184" t="str">
        <f>IFERROR(IF(VLOOKUP(Tue_W2[[#This Row],[Employee Name]],'Base Schedules'!$A$160:$AW$203,43,FALSE)="","",VLOOKUP(Tue_W2[[#This Row],[Employee Name]],'Base Schedules'!$A$160:$AW$203,43,FALSE)),"")</f>
        <v>-</v>
      </c>
      <c r="AS43" s="184" t="str">
        <f>IFERROR(IF(VLOOKUP(Tue_W2[[#This Row],[Employee Name]],'Base Schedules'!$A$160:$AW$203,44,FALSE)="","",VLOOKUP(Tue_W2[[#This Row],[Employee Name]],'Base Schedules'!$A$160:$AW$203,44,FALSE)),"")</f>
        <v>-</v>
      </c>
      <c r="AT43" s="184" t="str">
        <f>IFERROR(IF(VLOOKUP(Tue_W2[[#This Row],[Employee Name]],'Base Schedules'!$A$160:$AW$203,45,FALSE)="","",VLOOKUP(Tue_W2[[#This Row],[Employee Name]],'Base Schedules'!$A$160:$AW$203,45,FALSE)),"")</f>
        <v>-</v>
      </c>
      <c r="AU43" s="184" t="str">
        <f>IFERROR(IF(VLOOKUP(Tue_W2[[#This Row],[Employee Name]],'Base Schedules'!$A$160:$AW$203,46,FALSE)="","",VLOOKUP(Tue_W2[[#This Row],[Employee Name]],'Base Schedules'!$A$160:$AW$203,46,FALSE)),"")</f>
        <v>-</v>
      </c>
      <c r="AV43" s="184" t="str">
        <f>IFERROR(IF(VLOOKUP(Tue_W2[[#This Row],[Employee Name]],'Base Schedules'!$A$160:$AW$203,47,FALSE)="","",VLOOKUP(Tue_W2[[#This Row],[Employee Name]],'Base Schedules'!$A$160:$AW$203,47,FALSE)),"")</f>
        <v>-</v>
      </c>
      <c r="AW43" s="184" t="str">
        <f>IFERROR(IF(VLOOKUP(Tue_W2[[#This Row],[Employee Name]],'Base Schedules'!$A$160:$AW$203,48,FALSE)="","",VLOOKUP(Tue_W2[[#This Row],[Employee Name]],'Base Schedules'!$A$160:$AW$203,48,FALSE)),"")</f>
        <v>-</v>
      </c>
      <c r="AX43" s="184" t="str">
        <f>IFERROR(IF(VLOOKUP(Tue_W2[[#This Row],[Employee Name]],'Base Schedules'!$A$160:$AW$203,49,FALSE)="","",VLOOKUP(Tue_W2[[#This Row],[Employee Name]],'Base Schedules'!$A$160:$AW$203,49,FALSE)),"")</f>
        <v/>
      </c>
      <c r="AY43" s="159" t="str">
        <f t="shared" si="2"/>
        <v>Donaca, Jeff</v>
      </c>
    </row>
    <row r="44" spans="1:51" s="44" customFormat="1" ht="12" customHeight="1" x14ac:dyDescent="0.2">
      <c r="A44" s="39" t="str">
        <f>IF(B44="","",INDEX(TeamList[],MATCH($B44,TeamList[[Employee Name]:[Employee Name]],0),MATCH("Manager",TeamList[#Headers],0)))</f>
        <v>Olson, Katherine</v>
      </c>
      <c r="B44" s="201" t="s">
        <v>235</v>
      </c>
      <c r="C44" s="257" t="str">
        <f>_xlfn.IFNA(VLOOKUP(Tue_W2[[#This Row],[Employee Name]],'Base Schedules'!A:B,2,FALSE),"")</f>
        <v>Lead</v>
      </c>
      <c r="D44" s="274">
        <f>_xlfn.IFNA(VLOOKUP(Tue_W2[[#This Row],[Employee Name]],'Base Schedules'!A:C,3,FALSE),"")</f>
        <v>1530</v>
      </c>
      <c r="E44" s="274">
        <f>_xlfn.IFNA(VLOOKUP(Tue_W2[[#This Row],[Employee Name]],'Base Schedules'!A:D,4,FALSE),"")</f>
        <v>0</v>
      </c>
      <c r="F44" s="142">
        <f>IF(Tue_W2[[#This Row],[Employee Name]]="","",IF(Tue_W2[[#This Row],[Dept]]="Supervisor",COUNTIFS($J44:$AX44,"*HL*",$J44:$AX44,"&lt;&gt;"&amp;"pHL"),COUNTIFS($J44:$AX44,"*HL*",$J44:$AX44,"&lt;&gt;"&amp;"*pHL*",$J44:$AX44,"&lt;&gt;"&amp;"pB1 HL",$J44:$AX44,"&lt;&gt;"&amp;"pB2 HL")-SUM(COUNTIFS($J44:$AX44,"*HL B1*",$J44:$AX44,"&lt;&gt;"&amp;"pHL B1")*0.5,COUNTIFS($J44:$AX44,"*HL B2*",$J44:$AX44,"&lt;&gt;"&amp;"pHL B2")*0.5,COUNTIFS($J44:$AX44,"*B1 HL*",$J44:$AX44,"&lt;&gt;"&amp;"pB1 HL")*0.5,COUNTIFS($J44:$AX44,"*B2 HL*",$J44:$AX44,"&lt;&gt;"&amp;"pB2 HL")*0.5)))</f>
        <v>8.5</v>
      </c>
      <c r="G44" s="142">
        <f t="shared" si="0"/>
        <v>0</v>
      </c>
      <c r="H44" s="142">
        <f t="shared" si="1"/>
        <v>5</v>
      </c>
      <c r="I44" s="142">
        <f>IF(Tue_W2[[#This Row],[Employee Name]]="","",IF(Tue_W2[[#This Row],[Dept]]="Supervisor",SUM(COUNTIFS($J44:$AX44,"RTA*",$J44:$AX44,"&lt;&gt;"&amp;"pRTA"),COUNTIFS($J44:$AX44,"*CRTA*",$J44:$AX44,"&lt;&gt;"&amp;"pCRTA")),COUNTIFS($J44:$AX44,"*RNNR*",$J44:$AX44,"&lt;&gt;"&amp;"*pRNNR*",$J44:$AX44,"&lt;&gt;"&amp;"pB1 RNNR",$J44:$AX44,"&lt;&gt;"&amp;"pB2 RNNR")-SUM(COUNTIFS($J44:$AX44,"*RNNR B1*",$J44:$AX44,"&lt;&gt;"&amp;"pRNNR B1")*0.5,COUNTIFS($J44:$AX44,"*RNNR B2*",$J44:$AX44,"&lt;&gt;"&amp;"pRNNR B2")*0.5,COUNTIFS($J44:$AX44,"*B1 RNNR*",$J44:$AX44,"&lt;&gt;"&amp;"pB1 RNNR")*0.5,COUNTIFS($J44:$AX44,"*B2 RNNR*",$J44:$AX44,"&lt;&gt;"&amp;"pB2 RNNR")*0.5)))</f>
        <v>0</v>
      </c>
      <c r="J44" s="184" t="str">
        <f>IFERROR(IF(VLOOKUP(Tue_W2[[#This Row],[Employee Name]],'Base Schedules'!$A$160:$AW$203,9,FALSE)="","",VLOOKUP(Tue_W2[[#This Row],[Employee Name]],'Base Schedules'!$A$160:$AW$203,9,FALSE)),"")</f>
        <v/>
      </c>
      <c r="K44" s="184" t="str">
        <f>IFERROR(IF(VLOOKUP(Tue_W2[[#This Row],[Employee Name]],'Base Schedules'!$A$160:$AW$203,10,FALSE)="","",VLOOKUP(Tue_W2[[#This Row],[Employee Name]],'Base Schedules'!$A$160:$AW$203,10,FALSE)),"")</f>
        <v/>
      </c>
      <c r="L44" s="184" t="str">
        <f>IFERROR(IF(VLOOKUP(Tue_W2[[#This Row],[Employee Name]],'Base Schedules'!$A$160:$AW$203,11,FALSE)="","",VLOOKUP(Tue_W2[[#This Row],[Employee Name]],'Base Schedules'!$A$160:$AW$203,11,FALSE)),"")</f>
        <v/>
      </c>
      <c r="M44" s="184" t="str">
        <f>IFERROR(IF(VLOOKUP(Tue_W2[[#This Row],[Employee Name]],'Base Schedules'!$A$160:$AW$203,12,FALSE)="","",VLOOKUP(Tue_W2[[#This Row],[Employee Name]],'Base Schedules'!$A$160:$AW$203,12,FALSE)),"")</f>
        <v/>
      </c>
      <c r="N44" s="184" t="str">
        <f>IFERROR(IF(VLOOKUP(Tue_W2[[#This Row],[Employee Name]],'Base Schedules'!$A$160:$AW$203,13,FALSE)="","",VLOOKUP(Tue_W2[[#This Row],[Employee Name]],'Base Schedules'!$A$160:$AW$203,13,FALSE)),"")</f>
        <v/>
      </c>
      <c r="O44" s="184" t="str">
        <f>IFERROR(IF(VLOOKUP(Tue_W2[[#This Row],[Employee Name]],'Base Schedules'!$A$160:$AW$203,14,FALSE)="","",VLOOKUP(Tue_W2[[#This Row],[Employee Name]],'Base Schedules'!$A$160:$AW$203,14,FALSE)),"")</f>
        <v/>
      </c>
      <c r="P44" s="184" t="str">
        <f>IFERROR(IF(VLOOKUP(Tue_W2[[#This Row],[Employee Name]],'Base Schedules'!$A$160:$AW$203,15,FALSE)="","",VLOOKUP(Tue_W2[[#This Row],[Employee Name]],'Base Schedules'!$A$160:$AW$203,15,FALSE)),"")</f>
        <v/>
      </c>
      <c r="Q44" s="184" t="str">
        <f>IFERROR(IF(VLOOKUP(Tue_W2[[#This Row],[Employee Name]],'Base Schedules'!$A$160:$AW$203,16,FALSE)="","",VLOOKUP(Tue_W2[[#This Row],[Employee Name]],'Base Schedules'!$A$160:$AW$203,16,FALSE)),"")</f>
        <v/>
      </c>
      <c r="R44" s="184" t="str">
        <f>IFERROR(IF(VLOOKUP(Tue_W2[[#This Row],[Employee Name]],'Base Schedules'!$A$160:$AW$203,17,FALSE)="","",VLOOKUP(Tue_W2[[#This Row],[Employee Name]],'Base Schedules'!$A$160:$AW$203,17,FALSE)),"")</f>
        <v/>
      </c>
      <c r="S44" s="184" t="str">
        <f>IFERROR(IF(VLOOKUP(Tue_W2[[#This Row],[Employee Name]],'Base Schedules'!$A$160:$AW$203,18,FALSE)="","",VLOOKUP(Tue_W2[[#This Row],[Employee Name]],'Base Schedules'!$A$160:$AW$203,18,FALSE)),"")</f>
        <v/>
      </c>
      <c r="T44" s="184" t="str">
        <f>IFERROR(IF(VLOOKUP(Tue_W2[[#This Row],[Employee Name]],'Base Schedules'!$A$160:$AW$203,19,FALSE)="","",VLOOKUP(Tue_W2[[#This Row],[Employee Name]],'Base Schedules'!$A$160:$AW$203,19,FALSE)),"")</f>
        <v/>
      </c>
      <c r="U44" s="184" t="str">
        <f>IFERROR(IF(VLOOKUP(Tue_W2[[#This Row],[Employee Name]],'Base Schedules'!$A$160:$AW$203,20,FALSE)="","",VLOOKUP(Tue_W2[[#This Row],[Employee Name]],'Base Schedules'!$A$160:$AW$203,20,FALSE)),"")</f>
        <v/>
      </c>
      <c r="V44" s="184" t="str">
        <f>IFERROR(IF(VLOOKUP(Tue_W2[[#This Row],[Employee Name]],'Base Schedules'!$A$160:$AW$203,21,FALSE)="","",VLOOKUP(Tue_W2[[#This Row],[Employee Name]],'Base Schedules'!$A$160:$AW$203,21,FALSE)),"")</f>
        <v/>
      </c>
      <c r="W44" s="184" t="str">
        <f>IFERROR(IF(VLOOKUP(Tue_W2[[#This Row],[Employee Name]],'Base Schedules'!$A$160:$AW$203,22,FALSE)="","",VLOOKUP(Tue_W2[[#This Row],[Employee Name]],'Base Schedules'!$A$160:$AW$203,22,FALSE)),"")</f>
        <v/>
      </c>
      <c r="X44" s="184" t="str">
        <f>IFERROR(IF(VLOOKUP(Tue_W2[[#This Row],[Employee Name]],'Base Schedules'!$A$160:$AW$203,23,FALSE)="","",VLOOKUP(Tue_W2[[#This Row],[Employee Name]],'Base Schedules'!$A$160:$AW$203,23,FALSE)),"")</f>
        <v/>
      </c>
      <c r="Y44" s="184" t="str">
        <f>IFERROR(IF(VLOOKUP(Tue_W2[[#This Row],[Employee Name]],'Base Schedules'!$A$160:$AW$203,24,FALSE)="","",VLOOKUP(Tue_W2[[#This Row],[Employee Name]],'Base Schedules'!$A$160:$AW$203,24,FALSE)),"")</f>
        <v/>
      </c>
      <c r="Z44" s="184" t="str">
        <f>IFERROR(IF(VLOOKUP(Tue_W2[[#This Row],[Employee Name]],'Base Schedules'!$A$160:$AW$203,25,FALSE)="","",VLOOKUP(Tue_W2[[#This Row],[Employee Name]],'Base Schedules'!$A$160:$AW$203,25,FALSE)),"")</f>
        <v/>
      </c>
      <c r="AA44" s="184" t="str">
        <f>IFERROR(IF(VLOOKUP(Tue_W2[[#This Row],[Employee Name]],'Base Schedules'!$A$160:$AW$203,26,FALSE)="","",VLOOKUP(Tue_W2[[#This Row],[Employee Name]],'Base Schedules'!$A$160:$AW$203,26,FALSE)),"")</f>
        <v/>
      </c>
      <c r="AB44" s="184" t="str">
        <f>IFERROR(IF(VLOOKUP(Tue_W2[[#This Row],[Employee Name]],'Base Schedules'!$A$160:$AW$203,27,FALSE)="","",VLOOKUP(Tue_W2[[#This Row],[Employee Name]],'Base Schedules'!$A$160:$AW$203,27,FALSE)),"")</f>
        <v/>
      </c>
      <c r="AC44" s="184" t="str">
        <f>IFERROR(IF(VLOOKUP(Tue_W2[[#This Row],[Employee Name]],'Base Schedules'!$A$160:$AW$203,28,FALSE)="","",VLOOKUP(Tue_W2[[#This Row],[Employee Name]],'Base Schedules'!$A$160:$AW$203,28,FALSE)),"")</f>
        <v/>
      </c>
      <c r="AD44" s="184" t="str">
        <f>IFERROR(IF(VLOOKUP(Tue_W2[[#This Row],[Employee Name]],'Base Schedules'!$A$160:$AW$203,29,FALSE)="","",VLOOKUP(Tue_W2[[#This Row],[Employee Name]],'Base Schedules'!$A$160:$AW$203,29,FALSE)),"")</f>
        <v/>
      </c>
      <c r="AE44" s="184" t="str">
        <f>IFERROR(IF(VLOOKUP(Tue_W2[[#This Row],[Employee Name]],'Base Schedules'!$A$160:$AW$203,30,FALSE)="","",VLOOKUP(Tue_W2[[#This Row],[Employee Name]],'Base Schedules'!$A$160:$AW$203,30,FALSE)),"")</f>
        <v>ADM</v>
      </c>
      <c r="AF44" s="184" t="str">
        <f>IFERROR(IF(VLOOKUP(Tue_W2[[#This Row],[Employee Name]],'Base Schedules'!$A$160:$AW$203,31,FALSE)="","",VLOOKUP(Tue_W2[[#This Row],[Employee Name]],'Base Schedules'!$A$160:$AW$203,31,FALSE)),"")</f>
        <v>ADM</v>
      </c>
      <c r="AG44" s="184" t="str">
        <f>IFERROR(IF(VLOOKUP(Tue_W2[[#This Row],[Employee Name]],'Base Schedules'!$A$160:$AW$203,32,FALSE)="","",VLOOKUP(Tue_W2[[#This Row],[Employee Name]],'Base Schedules'!$A$160:$AW$203,32,FALSE)),"")</f>
        <v>ADM</v>
      </c>
      <c r="AH44" s="184" t="str">
        <f>IFERROR(IF(VLOOKUP(Tue_W2[[#This Row],[Employee Name]],'Base Schedules'!$A$160:$AW$203,33,FALSE)="","",VLOOKUP(Tue_W2[[#This Row],[Employee Name]],'Base Schedules'!$A$160:$AW$203,33,FALSE)),"")</f>
        <v>ADM</v>
      </c>
      <c r="AI44" s="184" t="str">
        <f>IFERROR(IF(VLOOKUP(Tue_W2[[#This Row],[Employee Name]],'Base Schedules'!$A$160:$AW$203,34,FALSE)="","",VLOOKUP(Tue_W2[[#This Row],[Employee Name]],'Base Schedules'!$A$160:$AW$203,34,FALSE)),"")</f>
        <v>B1 ADM</v>
      </c>
      <c r="AJ44" s="184" t="str">
        <f>IFERROR(IF(VLOOKUP(Tue_W2[[#This Row],[Employee Name]],'Base Schedules'!$A$160:$AW$203,35,FALSE)="","",VLOOKUP(Tue_W2[[#This Row],[Employee Name]],'Base Schedules'!$A$160:$AW$203,35,FALSE)),"")</f>
        <v>PROJECT</v>
      </c>
      <c r="AK44" s="184" t="str">
        <f>IFERROR(IF(VLOOKUP(Tue_W2[[#This Row],[Employee Name]],'Base Schedules'!$A$160:$AW$203,36,FALSE)="","",VLOOKUP(Tue_W2[[#This Row],[Employee Name]],'Base Schedules'!$A$160:$AW$203,36,FALSE)),"")</f>
        <v>PROJECT</v>
      </c>
      <c r="AL44" s="184" t="str">
        <f>IFERROR(IF(VLOOKUP(Tue_W2[[#This Row],[Employee Name]],'Base Schedules'!$A$160:$AW$203,37,FALSE)="","",VLOOKUP(Tue_W2[[#This Row],[Employee Name]],'Base Schedules'!$A$160:$AW$203,37,FALSE)),"")</f>
        <v>HL</v>
      </c>
      <c r="AM44" s="184" t="str">
        <f>IFERROR(IF(VLOOKUP(Tue_W2[[#This Row],[Employee Name]],'Base Schedules'!$A$160:$AW$203,38,FALSE)="","",VLOOKUP(Tue_W2[[#This Row],[Employee Name]],'Base Schedules'!$A$160:$AW$203,38,FALSE)),"")</f>
        <v>LUNCH</v>
      </c>
      <c r="AN44" s="184" t="str">
        <f>IFERROR(IF(VLOOKUP(Tue_W2[[#This Row],[Employee Name]],'Base Schedules'!$A$160:$AW$203,39,FALSE)="","",VLOOKUP(Tue_W2[[#This Row],[Employee Name]],'Base Schedules'!$A$160:$AW$203,39,FALSE)),"")</f>
        <v>HL</v>
      </c>
      <c r="AO44" s="184" t="str">
        <f>IFERROR(IF(VLOOKUP(Tue_W2[[#This Row],[Employee Name]],'Base Schedules'!$A$160:$AW$203,40,FALSE)="","",VLOOKUP(Tue_W2[[#This Row],[Employee Name]],'Base Schedules'!$A$160:$AW$203,40,FALSE)),"")</f>
        <v>HL</v>
      </c>
      <c r="AP44" s="184" t="str">
        <f>IFERROR(IF(VLOOKUP(Tue_W2[[#This Row],[Employee Name]],'Base Schedules'!$A$160:$AW$203,41,FALSE)="","",VLOOKUP(Tue_W2[[#This Row],[Employee Name]],'Base Schedules'!$A$160:$AW$203,41,FALSE)),"")</f>
        <v>HL</v>
      </c>
      <c r="AQ44" s="184" t="str">
        <f>IFERROR(IF(VLOOKUP(Tue_W2[[#This Row],[Employee Name]],'Base Schedules'!$A$160:$AW$203,42,FALSE)="","",VLOOKUP(Tue_W2[[#This Row],[Employee Name]],'Base Schedules'!$A$160:$AW$203,42,FALSE)),"")</f>
        <v>HL</v>
      </c>
      <c r="AR44" s="184" t="str">
        <f>IFERROR(IF(VLOOKUP(Tue_W2[[#This Row],[Employee Name]],'Base Schedules'!$A$160:$AW$203,43,FALSE)="","",VLOOKUP(Tue_W2[[#This Row],[Employee Name]],'Base Schedules'!$A$160:$AW$203,43,FALSE)),"")</f>
        <v>HL B2</v>
      </c>
      <c r="AS44" s="184" t="str">
        <f>IFERROR(IF(VLOOKUP(Tue_W2[[#This Row],[Employee Name]],'Base Schedules'!$A$160:$AW$203,44,FALSE)="","",VLOOKUP(Tue_W2[[#This Row],[Employee Name]],'Base Schedules'!$A$160:$AW$203,44,FALSE)),"")</f>
        <v>HL</v>
      </c>
      <c r="AT44" s="184" t="str">
        <f>IFERROR(IF(VLOOKUP(Tue_W2[[#This Row],[Employee Name]],'Base Schedules'!$A$160:$AW$203,45,FALSE)="","",VLOOKUP(Tue_W2[[#This Row],[Employee Name]],'Base Schedules'!$A$160:$AW$203,45,FALSE)),"")</f>
        <v>HL</v>
      </c>
      <c r="AU44" s="184" t="str">
        <f>IFERROR(IF(VLOOKUP(Tue_W2[[#This Row],[Employee Name]],'Base Schedules'!$A$160:$AW$203,46,FALSE)="","",VLOOKUP(Tue_W2[[#This Row],[Employee Name]],'Base Schedules'!$A$160:$AW$203,46,FALSE)),"")</f>
        <v>HL</v>
      </c>
      <c r="AV44" s="184" t="str">
        <f>IFERROR(IF(VLOOKUP(Tue_W2[[#This Row],[Employee Name]],'Base Schedules'!$A$160:$AW$203,47,FALSE)="","",VLOOKUP(Tue_W2[[#This Row],[Employee Name]],'Base Schedules'!$A$160:$AW$203,47,FALSE)),"")</f>
        <v/>
      </c>
      <c r="AW44" s="184" t="str">
        <f>IFERROR(IF(VLOOKUP(Tue_W2[[#This Row],[Employee Name]],'Base Schedules'!$A$160:$AW$203,48,FALSE)="","",VLOOKUP(Tue_W2[[#This Row],[Employee Name]],'Base Schedules'!$A$160:$AW$203,48,FALSE)),"")</f>
        <v/>
      </c>
      <c r="AX44" s="184" t="str">
        <f>IFERROR(IF(VLOOKUP(Tue_W2[[#This Row],[Employee Name]],'Base Schedules'!$A$160:$AW$203,49,FALSE)="","",VLOOKUP(Tue_W2[[#This Row],[Employee Name]],'Base Schedules'!$A$160:$AW$203,49,FALSE)),"")</f>
        <v/>
      </c>
      <c r="AY44" s="159" t="str">
        <f t="shared" si="2"/>
        <v>Britton, Michael</v>
      </c>
    </row>
    <row r="45" spans="1:51" s="44" customFormat="1" ht="12" customHeight="1" x14ac:dyDescent="0.2">
      <c r="A45" s="39" t="str">
        <f>IF(B45="","",INDEX(TeamList[],MATCH($B45,TeamList[[Employee Name]:[Employee Name]],0),MATCH("Manager",TeamList[#Headers],0)))</f>
        <v>Olson, Katherine</v>
      </c>
      <c r="B45" s="201" t="s">
        <v>232</v>
      </c>
      <c r="C45" s="257" t="str">
        <f>_xlfn.IFNA(VLOOKUP(Tue_W2[[#This Row],[Employee Name]],'Base Schedules'!A:B,2,FALSE),"")</f>
        <v>Lead</v>
      </c>
      <c r="D45" s="274">
        <f>_xlfn.IFNA(VLOOKUP(Tue_W2[[#This Row],[Employee Name]],'Base Schedules'!A:C,3,FALSE),"")</f>
        <v>1600</v>
      </c>
      <c r="E45" s="274">
        <f>_xlfn.IFNA(VLOOKUP(Tue_W2[[#This Row],[Employee Name]],'Base Schedules'!A:D,4,FALSE),"")</f>
        <v>100</v>
      </c>
      <c r="F45" s="142">
        <f>IF(Tue_W2[[#This Row],[Employee Name]]="","",IF(Tue_W2[[#This Row],[Dept]]="Supervisor",COUNTIFS($J45:$AX45,"*HL*",$J45:$AX45,"&lt;&gt;"&amp;"pHL"),COUNTIFS($J45:$AX45,"*HL*",$J45:$AX45,"&lt;&gt;"&amp;"*pHL*",$J45:$AX45,"&lt;&gt;"&amp;"pB1 HL",$J45:$AX45,"&lt;&gt;"&amp;"pB2 HL")-SUM(COUNTIFS($J45:$AX45,"*HL B1*",$J45:$AX45,"&lt;&gt;"&amp;"pHL B1")*0.5,COUNTIFS($J45:$AX45,"*HL B2*",$J45:$AX45,"&lt;&gt;"&amp;"pHL B2")*0.5,COUNTIFS($J45:$AX45,"*B1 HL*",$J45:$AX45,"&lt;&gt;"&amp;"pB1 HL")*0.5,COUNTIFS($J45:$AX45,"*B2 HL*",$J45:$AX45,"&lt;&gt;"&amp;"pB2 HL")*0.5)))</f>
        <v>11</v>
      </c>
      <c r="G45" s="142">
        <f t="shared" si="0"/>
        <v>0</v>
      </c>
      <c r="H45" s="142">
        <f t="shared" si="1"/>
        <v>4</v>
      </c>
      <c r="I45" s="142">
        <f>IF(Tue_W2[[#This Row],[Employee Name]]="","",IF(Tue_W2[[#This Row],[Dept]]="Supervisor",SUM(COUNTIFS($J45:$AX45,"RTA*",$J45:$AX45,"&lt;&gt;"&amp;"pRTA"),COUNTIFS($J45:$AX45,"*CRTA*",$J45:$AX45,"&lt;&gt;"&amp;"pCRTA")),COUNTIFS($J45:$AX45,"*RNNR*",$J45:$AX45,"&lt;&gt;"&amp;"*pRNNR*",$J45:$AX45,"&lt;&gt;"&amp;"pB1 RNNR",$J45:$AX45,"&lt;&gt;"&amp;"pB2 RNNR")-SUM(COUNTIFS($J45:$AX45,"*RNNR B1*",$J45:$AX45,"&lt;&gt;"&amp;"pRNNR B1")*0.5,COUNTIFS($J45:$AX45,"*RNNR B2*",$J45:$AX45,"&lt;&gt;"&amp;"pRNNR B2")*0.5,COUNTIFS($J45:$AX45,"*B1 RNNR*",$J45:$AX45,"&lt;&gt;"&amp;"pB1 RNNR")*0.5,COUNTIFS($J45:$AX45,"*B2 RNNR*",$J45:$AX45,"&lt;&gt;"&amp;"pB2 RNNR")*0.5)))</f>
        <v>0</v>
      </c>
      <c r="J45" s="184" t="str">
        <f>IFERROR(IF(VLOOKUP(Tue_W2[[#This Row],[Employee Name]],'Base Schedules'!$A$160:$AW$203,9,FALSE)="","",VLOOKUP(Tue_W2[[#This Row],[Employee Name]],'Base Schedules'!$A$160:$AW$203,9,FALSE)),"")</f>
        <v/>
      </c>
      <c r="K45" s="184" t="str">
        <f>IFERROR(IF(VLOOKUP(Tue_W2[[#This Row],[Employee Name]],'Base Schedules'!$A$160:$AW$203,10,FALSE)="","",VLOOKUP(Tue_W2[[#This Row],[Employee Name]],'Base Schedules'!$A$160:$AW$203,10,FALSE)),"")</f>
        <v/>
      </c>
      <c r="L45" s="184" t="str">
        <f>IFERROR(IF(VLOOKUP(Tue_W2[[#This Row],[Employee Name]],'Base Schedules'!$A$160:$AW$203,11,FALSE)="","",VLOOKUP(Tue_W2[[#This Row],[Employee Name]],'Base Schedules'!$A$160:$AW$203,11,FALSE)),"")</f>
        <v/>
      </c>
      <c r="M45" s="184" t="str">
        <f>IFERROR(IF(VLOOKUP(Tue_W2[[#This Row],[Employee Name]],'Base Schedules'!$A$160:$AW$203,12,FALSE)="","",VLOOKUP(Tue_W2[[#This Row],[Employee Name]],'Base Schedules'!$A$160:$AW$203,12,FALSE)),"")</f>
        <v/>
      </c>
      <c r="N45" s="184" t="str">
        <f>IFERROR(IF(VLOOKUP(Tue_W2[[#This Row],[Employee Name]],'Base Schedules'!$A$160:$AW$203,13,FALSE)="","",VLOOKUP(Tue_W2[[#This Row],[Employee Name]],'Base Schedules'!$A$160:$AW$203,13,FALSE)),"")</f>
        <v/>
      </c>
      <c r="O45" s="184" t="str">
        <f>IFERROR(IF(VLOOKUP(Tue_W2[[#This Row],[Employee Name]],'Base Schedules'!$A$160:$AW$203,14,FALSE)="","",VLOOKUP(Tue_W2[[#This Row],[Employee Name]],'Base Schedules'!$A$160:$AW$203,14,FALSE)),"")</f>
        <v/>
      </c>
      <c r="P45" s="184" t="str">
        <f>IFERROR(IF(VLOOKUP(Tue_W2[[#This Row],[Employee Name]],'Base Schedules'!$A$160:$AW$203,15,FALSE)="","",VLOOKUP(Tue_W2[[#This Row],[Employee Name]],'Base Schedules'!$A$160:$AW$203,15,FALSE)),"")</f>
        <v/>
      </c>
      <c r="Q45" s="184" t="str">
        <f>IFERROR(IF(VLOOKUP(Tue_W2[[#This Row],[Employee Name]],'Base Schedules'!$A$160:$AW$203,16,FALSE)="","",VLOOKUP(Tue_W2[[#This Row],[Employee Name]],'Base Schedules'!$A$160:$AW$203,16,FALSE)),"")</f>
        <v/>
      </c>
      <c r="R45" s="184" t="str">
        <f>IFERROR(IF(VLOOKUP(Tue_W2[[#This Row],[Employee Name]],'Base Schedules'!$A$160:$AW$203,17,FALSE)="","",VLOOKUP(Tue_W2[[#This Row],[Employee Name]],'Base Schedules'!$A$160:$AW$203,17,FALSE)),"")</f>
        <v/>
      </c>
      <c r="S45" s="184" t="str">
        <f>IFERROR(IF(VLOOKUP(Tue_W2[[#This Row],[Employee Name]],'Base Schedules'!$A$160:$AW$203,18,FALSE)="","",VLOOKUP(Tue_W2[[#This Row],[Employee Name]],'Base Schedules'!$A$160:$AW$203,18,FALSE)),"")</f>
        <v/>
      </c>
      <c r="T45" s="184" t="str">
        <f>IFERROR(IF(VLOOKUP(Tue_W2[[#This Row],[Employee Name]],'Base Schedules'!$A$160:$AW$203,19,FALSE)="","",VLOOKUP(Tue_W2[[#This Row],[Employee Name]],'Base Schedules'!$A$160:$AW$203,19,FALSE)),"")</f>
        <v/>
      </c>
      <c r="U45" s="184" t="str">
        <f>IFERROR(IF(VLOOKUP(Tue_W2[[#This Row],[Employee Name]],'Base Schedules'!$A$160:$AW$203,20,FALSE)="","",VLOOKUP(Tue_W2[[#This Row],[Employee Name]],'Base Schedules'!$A$160:$AW$203,20,FALSE)),"")</f>
        <v/>
      </c>
      <c r="V45" s="184" t="str">
        <f>IFERROR(IF(VLOOKUP(Tue_W2[[#This Row],[Employee Name]],'Base Schedules'!$A$160:$AW$203,21,FALSE)="","",VLOOKUP(Tue_W2[[#This Row],[Employee Name]],'Base Schedules'!$A$160:$AW$203,21,FALSE)),"")</f>
        <v/>
      </c>
      <c r="W45" s="184" t="str">
        <f>IFERROR(IF(VLOOKUP(Tue_W2[[#This Row],[Employee Name]],'Base Schedules'!$A$160:$AW$203,22,FALSE)="","",VLOOKUP(Tue_W2[[#This Row],[Employee Name]],'Base Schedules'!$A$160:$AW$203,22,FALSE)),"")</f>
        <v/>
      </c>
      <c r="X45" s="184" t="str">
        <f>IFERROR(IF(VLOOKUP(Tue_W2[[#This Row],[Employee Name]],'Base Schedules'!$A$160:$AW$203,23,FALSE)="","",VLOOKUP(Tue_W2[[#This Row],[Employee Name]],'Base Schedules'!$A$160:$AW$203,23,FALSE)),"")</f>
        <v/>
      </c>
      <c r="Y45" s="184" t="str">
        <f>IFERROR(IF(VLOOKUP(Tue_W2[[#This Row],[Employee Name]],'Base Schedules'!$A$160:$AW$203,24,FALSE)="","",VLOOKUP(Tue_W2[[#This Row],[Employee Name]],'Base Schedules'!$A$160:$AW$203,24,FALSE)),"")</f>
        <v/>
      </c>
      <c r="Z45" s="184" t="str">
        <f>IFERROR(IF(VLOOKUP(Tue_W2[[#This Row],[Employee Name]],'Base Schedules'!$A$160:$AW$203,25,FALSE)="","",VLOOKUP(Tue_W2[[#This Row],[Employee Name]],'Base Schedules'!$A$160:$AW$203,25,FALSE)),"")</f>
        <v/>
      </c>
      <c r="AA45" s="184" t="str">
        <f>IFERROR(IF(VLOOKUP(Tue_W2[[#This Row],[Employee Name]],'Base Schedules'!$A$160:$AW$203,26,FALSE)="","",VLOOKUP(Tue_W2[[#This Row],[Employee Name]],'Base Schedules'!$A$160:$AW$203,26,FALSE)),"")</f>
        <v/>
      </c>
      <c r="AB45" s="184" t="str">
        <f>IFERROR(IF(VLOOKUP(Tue_W2[[#This Row],[Employee Name]],'Base Schedules'!$A$160:$AW$203,27,FALSE)="","",VLOOKUP(Tue_W2[[#This Row],[Employee Name]],'Base Schedules'!$A$160:$AW$203,27,FALSE)),"")</f>
        <v/>
      </c>
      <c r="AC45" s="184" t="str">
        <f>IFERROR(IF(VLOOKUP(Tue_W2[[#This Row],[Employee Name]],'Base Schedules'!$A$160:$AW$203,28,FALSE)="","",VLOOKUP(Tue_W2[[#This Row],[Employee Name]],'Base Schedules'!$A$160:$AW$203,28,FALSE)),"")</f>
        <v/>
      </c>
      <c r="AD45" s="184" t="str">
        <f>IFERROR(IF(VLOOKUP(Tue_W2[[#This Row],[Employee Name]],'Base Schedules'!$A$160:$AW$203,29,FALSE)="","",VLOOKUP(Tue_W2[[#This Row],[Employee Name]],'Base Schedules'!$A$160:$AW$203,29,FALSE)),"")</f>
        <v/>
      </c>
      <c r="AE45" s="184" t="str">
        <f>IFERROR(IF(VLOOKUP(Tue_W2[[#This Row],[Employee Name]],'Base Schedules'!$A$160:$AW$203,30,FALSE)="","",VLOOKUP(Tue_W2[[#This Row],[Employee Name]],'Base Schedules'!$A$160:$AW$203,30,FALSE)),"")</f>
        <v/>
      </c>
      <c r="AF45" s="184" t="str">
        <f>IFERROR(IF(VLOOKUP(Tue_W2[[#This Row],[Employee Name]],'Base Schedules'!$A$160:$AW$203,31,FALSE)="","",VLOOKUP(Tue_W2[[#This Row],[Employee Name]],'Base Schedules'!$A$160:$AW$203,31,FALSE)),"")</f>
        <v>ADM</v>
      </c>
      <c r="AG45" s="184" t="str">
        <f>IFERROR(IF(VLOOKUP(Tue_W2[[#This Row],[Employee Name]],'Base Schedules'!$A$160:$AW$203,32,FALSE)="","",VLOOKUP(Tue_W2[[#This Row],[Employee Name]],'Base Schedules'!$A$160:$AW$203,32,FALSE)),"")</f>
        <v>HL</v>
      </c>
      <c r="AH45" s="184" t="str">
        <f>IFERROR(IF(VLOOKUP(Tue_W2[[#This Row],[Employee Name]],'Base Schedules'!$A$160:$AW$203,33,FALSE)="","",VLOOKUP(Tue_W2[[#This Row],[Employee Name]],'Base Schedules'!$A$160:$AW$203,33,FALSE)),"")</f>
        <v>HL</v>
      </c>
      <c r="AI45" s="184" t="str">
        <f>IFERROR(IF(VLOOKUP(Tue_W2[[#This Row],[Employee Name]],'Base Schedules'!$A$160:$AW$203,34,FALSE)="","",VLOOKUP(Tue_W2[[#This Row],[Employee Name]],'Base Schedules'!$A$160:$AW$203,34,FALSE)),"")</f>
        <v>HL B1</v>
      </c>
      <c r="AJ45" s="184" t="str">
        <f>IFERROR(IF(VLOOKUP(Tue_W2[[#This Row],[Employee Name]],'Base Schedules'!$A$160:$AW$203,35,FALSE)="","",VLOOKUP(Tue_W2[[#This Row],[Employee Name]],'Base Schedules'!$A$160:$AW$203,35,FALSE)),"")</f>
        <v>ADM</v>
      </c>
      <c r="AK45" s="184" t="str">
        <f>IFERROR(IF(VLOOKUP(Tue_W2[[#This Row],[Employee Name]],'Base Schedules'!$A$160:$AW$203,36,FALSE)="","",VLOOKUP(Tue_W2[[#This Row],[Employee Name]],'Base Schedules'!$A$160:$AW$203,36,FALSE)),"")</f>
        <v>HL</v>
      </c>
      <c r="AL45" s="184" t="str">
        <f>IFERROR(IF(VLOOKUP(Tue_W2[[#This Row],[Employee Name]],'Base Schedules'!$A$160:$AW$203,37,FALSE)="","",VLOOKUP(Tue_W2[[#This Row],[Employee Name]],'Base Schedules'!$A$160:$AW$203,37,FALSE)),"")</f>
        <v>ADM</v>
      </c>
      <c r="AM45" s="184" t="str">
        <f>IFERROR(IF(VLOOKUP(Tue_W2[[#This Row],[Employee Name]],'Base Schedules'!$A$160:$AW$203,38,FALSE)="","",VLOOKUP(Tue_W2[[#This Row],[Employee Name]],'Base Schedules'!$A$160:$AW$203,38,FALSE)),"")</f>
        <v>ADM</v>
      </c>
      <c r="AN45" s="184" t="str">
        <f>IFERROR(IF(VLOOKUP(Tue_W2[[#This Row],[Employee Name]],'Base Schedules'!$A$160:$AW$203,39,FALSE)="","",VLOOKUP(Tue_W2[[#This Row],[Employee Name]],'Base Schedules'!$A$160:$AW$203,39,FALSE)),"")</f>
        <v>LUNCH</v>
      </c>
      <c r="AO45" s="184" t="str">
        <f>IFERROR(IF(VLOOKUP(Tue_W2[[#This Row],[Employee Name]],'Base Schedules'!$A$160:$AW$203,40,FALSE)="","",VLOOKUP(Tue_W2[[#This Row],[Employee Name]],'Base Schedules'!$A$160:$AW$203,40,FALSE)),"")</f>
        <v>LUNCH</v>
      </c>
      <c r="AP45" s="184" t="str">
        <f>IFERROR(IF(VLOOKUP(Tue_W2[[#This Row],[Employee Name]],'Base Schedules'!$A$160:$AW$203,41,FALSE)="","",VLOOKUP(Tue_W2[[#This Row],[Employee Name]],'Base Schedules'!$A$160:$AW$203,41,FALSE)),"")</f>
        <v>HL</v>
      </c>
      <c r="AQ45" s="184" t="str">
        <f>IFERROR(IF(VLOOKUP(Tue_W2[[#This Row],[Employee Name]],'Base Schedules'!$A$160:$AW$203,42,FALSE)="","",VLOOKUP(Tue_W2[[#This Row],[Employee Name]],'Base Schedules'!$A$160:$AW$203,42,FALSE)),"")</f>
        <v>HL</v>
      </c>
      <c r="AR45" s="184" t="str">
        <f>IFERROR(IF(VLOOKUP(Tue_W2[[#This Row],[Employee Name]],'Base Schedules'!$A$160:$AW$203,43,FALSE)="","",VLOOKUP(Tue_W2[[#This Row],[Employee Name]],'Base Schedules'!$A$160:$AW$203,43,FALSE)),"")</f>
        <v>HL</v>
      </c>
      <c r="AS45" s="184" t="str">
        <f>IFERROR(IF(VLOOKUP(Tue_W2[[#This Row],[Employee Name]],'Base Schedules'!$A$160:$AW$203,44,FALSE)="","",VLOOKUP(Tue_W2[[#This Row],[Employee Name]],'Base Schedules'!$A$160:$AW$203,44,FALSE)),"")</f>
        <v>HL</v>
      </c>
      <c r="AT45" s="184" t="str">
        <f>IFERROR(IF(VLOOKUP(Tue_W2[[#This Row],[Employee Name]],'Base Schedules'!$A$160:$AW$203,45,FALSE)="","",VLOOKUP(Tue_W2[[#This Row],[Employee Name]],'Base Schedules'!$A$160:$AW$203,45,FALSE)),"")</f>
        <v>B2 HL</v>
      </c>
      <c r="AU45" s="184" t="str">
        <f>IFERROR(IF(VLOOKUP(Tue_W2[[#This Row],[Employee Name]],'Base Schedules'!$A$160:$AW$203,46,FALSE)="","",VLOOKUP(Tue_W2[[#This Row],[Employee Name]],'Base Schedules'!$A$160:$AW$203,46,FALSE)),"")</f>
        <v>HL</v>
      </c>
      <c r="AV45" s="184" t="str">
        <f>IFERROR(IF(VLOOKUP(Tue_W2[[#This Row],[Employee Name]],'Base Schedules'!$A$160:$AW$203,47,FALSE)="","",VLOOKUP(Tue_W2[[#This Row],[Employee Name]],'Base Schedules'!$A$160:$AW$203,47,FALSE)),"")</f>
        <v>HL</v>
      </c>
      <c r="AW45" s="184" t="str">
        <f>IFERROR(IF(VLOOKUP(Tue_W2[[#This Row],[Employee Name]],'Base Schedules'!$A$160:$AW$203,48,FALSE)="","",VLOOKUP(Tue_W2[[#This Row],[Employee Name]],'Base Schedules'!$A$160:$AW$203,48,FALSE)),"")</f>
        <v>HL</v>
      </c>
      <c r="AX45" s="184" t="str">
        <f>IFERROR(IF(VLOOKUP(Tue_W2[[#This Row],[Employee Name]],'Base Schedules'!$A$160:$AW$203,49,FALSE)="","",VLOOKUP(Tue_W2[[#This Row],[Employee Name]],'Base Schedules'!$A$160:$AW$203,49,FALSE)),"")</f>
        <v/>
      </c>
      <c r="AY45" s="159" t="str">
        <f t="shared" si="2"/>
        <v>Wonser, Shannon</v>
      </c>
    </row>
    <row r="46" spans="1:51" s="44" customFormat="1" ht="12" customHeight="1" x14ac:dyDescent="0.2">
      <c r="A46" s="39" t="str">
        <f>IF(B46="","",INDEX(TeamList[],MATCH($B46,TeamList[[Employee Name]:[Employee Name]],0),MATCH("Manager",TeamList[#Headers],0)))</f>
        <v>Olson, Katherine</v>
      </c>
      <c r="B46" s="201" t="s">
        <v>52</v>
      </c>
      <c r="C46" s="257" t="str">
        <f>_xlfn.IFNA(VLOOKUP(Tue_W2[[#This Row],[Employee Name]],'Base Schedules'!A:B,2,FALSE),"")</f>
        <v>Supervisor</v>
      </c>
      <c r="D46" s="274">
        <f>_xlfn.IFNA(VLOOKUP(Tue_W2[[#This Row],[Employee Name]],'Base Schedules'!A:C,3,FALSE),"")</f>
        <v>1600</v>
      </c>
      <c r="E46" s="274">
        <f>_xlfn.IFNA(VLOOKUP(Tue_W2[[#This Row],[Employee Name]],'Base Schedules'!A:D,4,FALSE),"")</f>
        <v>100</v>
      </c>
      <c r="F46" s="142">
        <f>IF(Tue_W2[[#This Row],[Employee Name]]="","",IF(Tue_W2[[#This Row],[Dept]]="Supervisor",COUNTIFS($J46:$AX46,"*HL*",$J46:$AX46,"&lt;&gt;"&amp;"pHL"),COUNTIFS($J46:$AX46,"*HL*",$J46:$AX46,"&lt;&gt;"&amp;"*pHL*",$J46:$AX46,"&lt;&gt;"&amp;"pB1 HL",$J46:$AX46,"&lt;&gt;"&amp;"pB2 HL")-SUM(COUNTIFS($J46:$AX46,"*HL B1*",$J46:$AX46,"&lt;&gt;"&amp;"pHL B1")*0.5,COUNTIFS($J46:$AX46,"*HL B2*",$J46:$AX46,"&lt;&gt;"&amp;"pHL B2")*0.5,COUNTIFS($J46:$AX46,"*B1 HL*",$J46:$AX46,"&lt;&gt;"&amp;"pB1 HL")*0.5,COUNTIFS($J46:$AX46,"*B2 HL*",$J46:$AX46,"&lt;&gt;"&amp;"pB2 HL")*0.5)))</f>
        <v>0</v>
      </c>
      <c r="G46" s="142">
        <f t="shared" si="0"/>
        <v>5</v>
      </c>
      <c r="H46" s="142">
        <f t="shared" si="1"/>
        <v>0</v>
      </c>
      <c r="I46" s="142">
        <f>IF(Tue_W2[[#This Row],[Employee Name]]="","",IF(Tue_W2[[#This Row],[Dept]]="Supervisor",SUM(COUNTIFS($J46:$AX46,"RTA*",$J46:$AX46,"&lt;&gt;"&amp;"pRTA"),COUNTIFS($J46:$AX46,"*CRTA*",$J46:$AX46,"&lt;&gt;"&amp;"pCRTA")),COUNTIFS($J46:$AX46,"*RNNR*",$J46:$AX46,"&lt;&gt;"&amp;"*pRNNR*",$J46:$AX46,"&lt;&gt;"&amp;"pB1 RNNR",$J46:$AX46,"&lt;&gt;"&amp;"pB2 RNNR")-SUM(COUNTIFS($J46:$AX46,"*RNNR B1*",$J46:$AX46,"&lt;&gt;"&amp;"pRNNR B1")*0.5,COUNTIFS($J46:$AX46,"*RNNR B2*",$J46:$AX46,"&lt;&gt;"&amp;"pRNNR B2")*0.5,COUNTIFS($J46:$AX46,"*B1 RNNR*",$J46:$AX46,"&lt;&gt;"&amp;"pB1 RNNR")*0.5,COUNTIFS($J46:$AX46,"*B2 RNNR*",$J46:$AX46,"&lt;&gt;"&amp;"pB2 RNNR")*0.5)))</f>
        <v>0</v>
      </c>
      <c r="J46" s="184" t="str">
        <f>IFERROR(IF(VLOOKUP(Tue_W2[[#This Row],[Employee Name]],'Base Schedules'!$A$160:$AW$203,9,FALSE)="","",VLOOKUP(Tue_W2[[#This Row],[Employee Name]],'Base Schedules'!$A$160:$AW$203,9,FALSE)),"")</f>
        <v/>
      </c>
      <c r="K46" s="184" t="str">
        <f>IFERROR(IF(VLOOKUP(Tue_W2[[#This Row],[Employee Name]],'Base Schedules'!$A$160:$AW$203,10,FALSE)="","",VLOOKUP(Tue_W2[[#This Row],[Employee Name]],'Base Schedules'!$A$160:$AW$203,10,FALSE)),"")</f>
        <v/>
      </c>
      <c r="L46" s="184" t="str">
        <f>IFERROR(IF(VLOOKUP(Tue_W2[[#This Row],[Employee Name]],'Base Schedules'!$A$160:$AW$203,11,FALSE)="","",VLOOKUP(Tue_W2[[#This Row],[Employee Name]],'Base Schedules'!$A$160:$AW$203,11,FALSE)),"")</f>
        <v/>
      </c>
      <c r="M46" s="184" t="str">
        <f>IFERROR(IF(VLOOKUP(Tue_W2[[#This Row],[Employee Name]],'Base Schedules'!$A$160:$AW$203,12,FALSE)="","",VLOOKUP(Tue_W2[[#This Row],[Employee Name]],'Base Schedules'!$A$160:$AW$203,12,FALSE)),"")</f>
        <v/>
      </c>
      <c r="N46" s="184" t="str">
        <f>IFERROR(IF(VLOOKUP(Tue_W2[[#This Row],[Employee Name]],'Base Schedules'!$A$160:$AW$203,13,FALSE)="","",VLOOKUP(Tue_W2[[#This Row],[Employee Name]],'Base Schedules'!$A$160:$AW$203,13,FALSE)),"")</f>
        <v/>
      </c>
      <c r="O46" s="184" t="str">
        <f>IFERROR(IF(VLOOKUP(Tue_W2[[#This Row],[Employee Name]],'Base Schedules'!$A$160:$AW$203,14,FALSE)="","",VLOOKUP(Tue_W2[[#This Row],[Employee Name]],'Base Schedules'!$A$160:$AW$203,14,FALSE)),"")</f>
        <v/>
      </c>
      <c r="P46" s="184" t="str">
        <f>IFERROR(IF(VLOOKUP(Tue_W2[[#This Row],[Employee Name]],'Base Schedules'!$A$160:$AW$203,15,FALSE)="","",VLOOKUP(Tue_W2[[#This Row],[Employee Name]],'Base Schedules'!$A$160:$AW$203,15,FALSE)),"")</f>
        <v/>
      </c>
      <c r="Q46" s="184" t="str">
        <f>IFERROR(IF(VLOOKUP(Tue_W2[[#This Row],[Employee Name]],'Base Schedules'!$A$160:$AW$203,16,FALSE)="","",VLOOKUP(Tue_W2[[#This Row],[Employee Name]],'Base Schedules'!$A$160:$AW$203,16,FALSE)),"")</f>
        <v/>
      </c>
      <c r="R46" s="184" t="str">
        <f>IFERROR(IF(VLOOKUP(Tue_W2[[#This Row],[Employee Name]],'Base Schedules'!$A$160:$AW$203,17,FALSE)="","",VLOOKUP(Tue_W2[[#This Row],[Employee Name]],'Base Schedules'!$A$160:$AW$203,17,FALSE)),"")</f>
        <v/>
      </c>
      <c r="S46" s="184" t="str">
        <f>IFERROR(IF(VLOOKUP(Tue_W2[[#This Row],[Employee Name]],'Base Schedules'!$A$160:$AW$203,18,FALSE)="","",VLOOKUP(Tue_W2[[#This Row],[Employee Name]],'Base Schedules'!$A$160:$AW$203,18,FALSE)),"")</f>
        <v/>
      </c>
      <c r="T46" s="184" t="str">
        <f>IFERROR(IF(VLOOKUP(Tue_W2[[#This Row],[Employee Name]],'Base Schedules'!$A$160:$AW$203,19,FALSE)="","",VLOOKUP(Tue_W2[[#This Row],[Employee Name]],'Base Schedules'!$A$160:$AW$203,19,FALSE)),"")</f>
        <v/>
      </c>
      <c r="U46" s="184" t="str">
        <f>IFERROR(IF(VLOOKUP(Tue_W2[[#This Row],[Employee Name]],'Base Schedules'!$A$160:$AW$203,20,FALSE)="","",VLOOKUP(Tue_W2[[#This Row],[Employee Name]],'Base Schedules'!$A$160:$AW$203,20,FALSE)),"")</f>
        <v/>
      </c>
      <c r="V46" s="184" t="str">
        <f>IFERROR(IF(VLOOKUP(Tue_W2[[#This Row],[Employee Name]],'Base Schedules'!$A$160:$AW$203,21,FALSE)="","",VLOOKUP(Tue_W2[[#This Row],[Employee Name]],'Base Schedules'!$A$160:$AW$203,21,FALSE)),"")</f>
        <v/>
      </c>
      <c r="W46" s="184" t="str">
        <f>IFERROR(IF(VLOOKUP(Tue_W2[[#This Row],[Employee Name]],'Base Schedules'!$A$160:$AW$203,22,FALSE)="","",VLOOKUP(Tue_W2[[#This Row],[Employee Name]],'Base Schedules'!$A$160:$AW$203,22,FALSE)),"")</f>
        <v/>
      </c>
      <c r="X46" s="184" t="str">
        <f>IFERROR(IF(VLOOKUP(Tue_W2[[#This Row],[Employee Name]],'Base Schedules'!$A$160:$AW$203,23,FALSE)="","",VLOOKUP(Tue_W2[[#This Row],[Employee Name]],'Base Schedules'!$A$160:$AW$203,23,FALSE)),"")</f>
        <v/>
      </c>
      <c r="Y46" s="184" t="str">
        <f>IFERROR(IF(VLOOKUP(Tue_W2[[#This Row],[Employee Name]],'Base Schedules'!$A$160:$AW$203,24,FALSE)="","",VLOOKUP(Tue_W2[[#This Row],[Employee Name]],'Base Schedules'!$A$160:$AW$203,24,FALSE)),"")</f>
        <v/>
      </c>
      <c r="Z46" s="184" t="str">
        <f>IFERROR(IF(VLOOKUP(Tue_W2[[#This Row],[Employee Name]],'Base Schedules'!$A$160:$AW$203,25,FALSE)="","",VLOOKUP(Tue_W2[[#This Row],[Employee Name]],'Base Schedules'!$A$160:$AW$203,25,FALSE)),"")</f>
        <v/>
      </c>
      <c r="AA46" s="184" t="str">
        <f>IFERROR(IF(VLOOKUP(Tue_W2[[#This Row],[Employee Name]],'Base Schedules'!$A$160:$AW$203,26,FALSE)="","",VLOOKUP(Tue_W2[[#This Row],[Employee Name]],'Base Schedules'!$A$160:$AW$203,26,FALSE)),"")</f>
        <v/>
      </c>
      <c r="AB46" s="184" t="str">
        <f>IFERROR(IF(VLOOKUP(Tue_W2[[#This Row],[Employee Name]],'Base Schedules'!$A$160:$AW$203,27,FALSE)="","",VLOOKUP(Tue_W2[[#This Row],[Employee Name]],'Base Schedules'!$A$160:$AW$203,27,FALSE)),"")</f>
        <v/>
      </c>
      <c r="AC46" s="184" t="str">
        <f>IFERROR(IF(VLOOKUP(Tue_W2[[#This Row],[Employee Name]],'Base Schedules'!$A$160:$AW$203,28,FALSE)="","",VLOOKUP(Tue_W2[[#This Row],[Employee Name]],'Base Schedules'!$A$160:$AW$203,28,FALSE)),"")</f>
        <v/>
      </c>
      <c r="AD46" s="184" t="str">
        <f>IFERROR(IF(VLOOKUP(Tue_W2[[#This Row],[Employee Name]],'Base Schedules'!$A$160:$AW$203,29,FALSE)="","",VLOOKUP(Tue_W2[[#This Row],[Employee Name]],'Base Schedules'!$A$160:$AW$203,29,FALSE)),"")</f>
        <v/>
      </c>
      <c r="AE46" s="184" t="str">
        <f>IFERROR(IF(VLOOKUP(Tue_W2[[#This Row],[Employee Name]],'Base Schedules'!$A$160:$AW$203,30,FALSE)="","",VLOOKUP(Tue_W2[[#This Row],[Employee Name]],'Base Schedules'!$A$160:$AW$203,30,FALSE)),"")</f>
        <v/>
      </c>
      <c r="AF46" s="184" t="str">
        <f>IFERROR(IF(VLOOKUP(Tue_W2[[#This Row],[Employee Name]],'Base Schedules'!$A$160:$AW$203,31,FALSE)="","",VLOOKUP(Tue_W2[[#This Row],[Employee Name]],'Base Schedules'!$A$160:$AW$203,31,FALSE)),"")</f>
        <v>-</v>
      </c>
      <c r="AG46" s="184" t="str">
        <f>IFERROR(IF(VLOOKUP(Tue_W2[[#This Row],[Employee Name]],'Base Schedules'!$A$160:$AW$203,32,FALSE)="","",VLOOKUP(Tue_W2[[#This Row],[Employee Name]],'Base Schedules'!$A$160:$AW$203,32,FALSE)),"")</f>
        <v>Coaching</v>
      </c>
      <c r="AH46" s="184" t="str">
        <f>IFERROR(IF(VLOOKUP(Tue_W2[[#This Row],[Employee Name]],'Base Schedules'!$A$160:$AW$203,33,FALSE)="","",VLOOKUP(Tue_W2[[#This Row],[Employee Name]],'Base Schedules'!$A$160:$AW$203,33,FALSE)),"")</f>
        <v>Coaching</v>
      </c>
      <c r="AI46" s="184" t="str">
        <f>IFERROR(IF(VLOOKUP(Tue_W2[[#This Row],[Employee Name]],'Base Schedules'!$A$160:$AW$203,34,FALSE)="","",VLOOKUP(Tue_W2[[#This Row],[Employee Name]],'Base Schedules'!$A$160:$AW$203,34,FALSE)),"")</f>
        <v>Coaching</v>
      </c>
      <c r="AJ46" s="184" t="str">
        <f>IFERROR(IF(VLOOKUP(Tue_W2[[#This Row],[Employee Name]],'Base Schedules'!$A$160:$AW$203,35,FALSE)="","",VLOOKUP(Tue_W2[[#This Row],[Employee Name]],'Base Schedules'!$A$160:$AW$203,35,FALSE)),"")</f>
        <v>Coaching</v>
      </c>
      <c r="AK46" s="184" t="str">
        <f>IFERROR(IF(VLOOKUP(Tue_W2[[#This Row],[Employee Name]],'Base Schedules'!$A$160:$AW$203,36,FALSE)="","",VLOOKUP(Tue_W2[[#This Row],[Employee Name]],'Base Schedules'!$A$160:$AW$203,36,FALSE)),"")</f>
        <v>Coaching</v>
      </c>
      <c r="AL46" s="184" t="str">
        <f>IFERROR(IF(VLOOKUP(Tue_W2[[#This Row],[Employee Name]],'Base Schedules'!$A$160:$AW$203,37,FALSE)="","",VLOOKUP(Tue_W2[[#This Row],[Employee Name]],'Base Schedules'!$A$160:$AW$203,37,FALSE)),"")</f>
        <v>-</v>
      </c>
      <c r="AM46" s="184" t="str">
        <f>IFERROR(IF(VLOOKUP(Tue_W2[[#This Row],[Employee Name]],'Base Schedules'!$A$160:$AW$203,38,FALSE)="","",VLOOKUP(Tue_W2[[#This Row],[Employee Name]],'Base Schedules'!$A$160:$AW$203,38,FALSE)),"")</f>
        <v>-</v>
      </c>
      <c r="AN46" s="184" t="str">
        <f>IFERROR(IF(VLOOKUP(Tue_W2[[#This Row],[Employee Name]],'Base Schedules'!$A$160:$AW$203,39,FALSE)="","",VLOOKUP(Tue_W2[[#This Row],[Employee Name]],'Base Schedules'!$A$160:$AW$203,39,FALSE)),"")</f>
        <v>TM PREP</v>
      </c>
      <c r="AO46" s="184" t="str">
        <f>IFERROR(IF(VLOOKUP(Tue_W2[[#This Row],[Employee Name]],'Base Schedules'!$A$160:$AW$203,40,FALSE)="","",VLOOKUP(Tue_W2[[#This Row],[Employee Name]],'Base Schedules'!$A$160:$AW$203,40,FALSE)),"")</f>
        <v>ZORNICK TM</v>
      </c>
      <c r="AP46" s="184" t="str">
        <f>IFERROR(IF(VLOOKUP(Tue_W2[[#This Row],[Employee Name]],'Base Schedules'!$A$160:$AW$203,41,FALSE)="","",VLOOKUP(Tue_W2[[#This Row],[Employee Name]],'Base Schedules'!$A$160:$AW$203,41,FALSE)),"")</f>
        <v>ZORNICK TM</v>
      </c>
      <c r="AQ46" s="184" t="str">
        <f>IFERROR(IF(VLOOKUP(Tue_W2[[#This Row],[Employee Name]],'Base Schedules'!$A$160:$AW$203,42,FALSE)="","",VLOOKUP(Tue_W2[[#This Row],[Employee Name]],'Base Schedules'!$A$160:$AW$203,42,FALSE)),"")</f>
        <v>-</v>
      </c>
      <c r="AR46" s="184" t="str">
        <f>IFERROR(IF(VLOOKUP(Tue_W2[[#This Row],[Employee Name]],'Base Schedules'!$A$160:$AW$203,43,FALSE)="","",VLOOKUP(Tue_W2[[#This Row],[Employee Name]],'Base Schedules'!$A$160:$AW$203,43,FALSE)),"")</f>
        <v>-</v>
      </c>
      <c r="AS46" s="184" t="str">
        <f>IFERROR(IF(VLOOKUP(Tue_W2[[#This Row],[Employee Name]],'Base Schedules'!$A$160:$AW$203,44,FALSE)="","",VLOOKUP(Tue_W2[[#This Row],[Employee Name]],'Base Schedules'!$A$160:$AW$203,44,FALSE)),"")</f>
        <v>-</v>
      </c>
      <c r="AT46" s="184" t="str">
        <f>IFERROR(IF(VLOOKUP(Tue_W2[[#This Row],[Employee Name]],'Base Schedules'!$A$160:$AW$203,45,FALSE)="","",VLOOKUP(Tue_W2[[#This Row],[Employee Name]],'Base Schedules'!$A$160:$AW$203,45,FALSE)),"")</f>
        <v>-</v>
      </c>
      <c r="AU46" s="184" t="str">
        <f>IFERROR(IF(VLOOKUP(Tue_W2[[#This Row],[Employee Name]],'Base Schedules'!$A$160:$AW$203,46,FALSE)="","",VLOOKUP(Tue_W2[[#This Row],[Employee Name]],'Base Schedules'!$A$160:$AW$203,46,FALSE)),"")</f>
        <v>-</v>
      </c>
      <c r="AV46" s="184" t="str">
        <f>IFERROR(IF(VLOOKUP(Tue_W2[[#This Row],[Employee Name]],'Base Schedules'!$A$160:$AW$203,47,FALSE)="","",VLOOKUP(Tue_W2[[#This Row],[Employee Name]],'Base Schedules'!$A$160:$AW$203,47,FALSE)),"")</f>
        <v>-</v>
      </c>
      <c r="AW46" s="184" t="str">
        <f>IFERROR(IF(VLOOKUP(Tue_W2[[#This Row],[Employee Name]],'Base Schedules'!$A$160:$AW$203,48,FALSE)="","",VLOOKUP(Tue_W2[[#This Row],[Employee Name]],'Base Schedules'!$A$160:$AW$203,48,FALSE)),"")</f>
        <v>-</v>
      </c>
      <c r="AX46" s="184" t="str">
        <f>IFERROR(IF(VLOOKUP(Tue_W2[[#This Row],[Employee Name]],'Base Schedules'!$A$160:$AW$203,49,FALSE)="","",VLOOKUP(Tue_W2[[#This Row],[Employee Name]],'Base Schedules'!$A$160:$AW$203,49,FALSE)),"")</f>
        <v/>
      </c>
      <c r="AY46" s="159" t="str">
        <f t="shared" si="2"/>
        <v>Zornick, David</v>
      </c>
    </row>
    <row r="47" spans="1:51" s="44" customFormat="1" ht="12" customHeight="1" thickBot="1" x14ac:dyDescent="0.25">
      <c r="A47" s="39" t="str">
        <f>IF(B47="","",INDEX(TeamList[],MATCH($B47,TeamList[[Employee Name]:[Employee Name]],0),MATCH("Manager",TeamList[#Headers],0)))</f>
        <v>Olson, Katherine</v>
      </c>
      <c r="B47" s="201" t="s">
        <v>229</v>
      </c>
      <c r="C47" s="257" t="str">
        <f>_xlfn.IFNA(VLOOKUP(Tue_W2[[#This Row],[Employee Name]],'Base Schedules'!A:B,2,FALSE),"")</f>
        <v>Lead</v>
      </c>
      <c r="D47" s="274">
        <f>_xlfn.IFNA(VLOOKUP(Tue_W2[[#This Row],[Employee Name]],'Base Schedules'!A:C,3,FALSE),"")</f>
        <v>1630</v>
      </c>
      <c r="E47" s="274">
        <f>_xlfn.IFNA(VLOOKUP(Tue_W2[[#This Row],[Employee Name]],'Base Schedules'!A:D,4,FALSE),"")</f>
        <v>100</v>
      </c>
      <c r="F47" s="142">
        <f>IF(Tue_W2[[#This Row],[Employee Name]]="","",IF(Tue_W2[[#This Row],[Dept]]="Supervisor",COUNTIFS($J47:$AX47,"*HL*",$J47:$AX47,"&lt;&gt;"&amp;"pHL"),COUNTIFS($J47:$AX47,"*HL*",$J47:$AX47,"&lt;&gt;"&amp;"*pHL*",$J47:$AX47,"&lt;&gt;"&amp;"pB1 HL",$J47:$AX47,"&lt;&gt;"&amp;"pB2 HL")-SUM(COUNTIFS($J47:$AX47,"*HL B1*",$J47:$AX47,"&lt;&gt;"&amp;"pHL B1")*0.5,COUNTIFS($J47:$AX47,"*HL B2*",$J47:$AX47,"&lt;&gt;"&amp;"pHL B2")*0.5,COUNTIFS($J47:$AX47,"*B1 HL*",$J47:$AX47,"&lt;&gt;"&amp;"pB1 HL")*0.5,COUNTIFS($J47:$AX47,"*B2 HL*",$J47:$AX47,"&lt;&gt;"&amp;"pB2 HL")*0.5)))</f>
        <v>8.5</v>
      </c>
      <c r="G47" s="142">
        <f t="shared" si="0"/>
        <v>0</v>
      </c>
      <c r="H47" s="142">
        <f t="shared" si="1"/>
        <v>3</v>
      </c>
      <c r="I47" s="142">
        <f>IF(Tue_W2[[#This Row],[Employee Name]]="","",IF(Tue_W2[[#This Row],[Dept]]="Supervisor",SUM(COUNTIFS($J47:$AX47,"RTA*",$J47:$AX47,"&lt;&gt;"&amp;"pRTA"),COUNTIFS($J47:$AX47,"*CRTA*",$J47:$AX47,"&lt;&gt;"&amp;"pCRTA")),COUNTIFS($J47:$AX47,"*RNNR*",$J47:$AX47,"&lt;&gt;"&amp;"*pRNNR*",$J47:$AX47,"&lt;&gt;"&amp;"pB1 RNNR",$J47:$AX47,"&lt;&gt;"&amp;"pB2 RNNR")-SUM(COUNTIFS($J47:$AX47,"*RNNR B1*",$J47:$AX47,"&lt;&gt;"&amp;"pRNNR B1")*0.5,COUNTIFS($J47:$AX47,"*RNNR B2*",$J47:$AX47,"&lt;&gt;"&amp;"pRNNR B2")*0.5,COUNTIFS($J47:$AX47,"*B1 RNNR*",$J47:$AX47,"&lt;&gt;"&amp;"pB1 RNNR")*0.5,COUNTIFS($J47:$AX47,"*B2 RNNR*",$J47:$AX47,"&lt;&gt;"&amp;"pB2 RNNR")*0.5)))</f>
        <v>2</v>
      </c>
      <c r="J47" s="184" t="str">
        <f>IFERROR(IF(VLOOKUP(Tue_W2[[#This Row],[Employee Name]],'Base Schedules'!$A$160:$AW$203,9,FALSE)="","",VLOOKUP(Tue_W2[[#This Row],[Employee Name]],'Base Schedules'!$A$160:$AW$203,9,FALSE)),"")</f>
        <v/>
      </c>
      <c r="K47" s="184" t="str">
        <f>IFERROR(IF(VLOOKUP(Tue_W2[[#This Row],[Employee Name]],'Base Schedules'!$A$160:$AW$203,10,FALSE)="","",VLOOKUP(Tue_W2[[#This Row],[Employee Name]],'Base Schedules'!$A$160:$AW$203,10,FALSE)),"")</f>
        <v/>
      </c>
      <c r="L47" s="184" t="str">
        <f>IFERROR(IF(VLOOKUP(Tue_W2[[#This Row],[Employee Name]],'Base Schedules'!$A$160:$AW$203,11,FALSE)="","",VLOOKUP(Tue_W2[[#This Row],[Employee Name]],'Base Schedules'!$A$160:$AW$203,11,FALSE)),"")</f>
        <v/>
      </c>
      <c r="M47" s="184" t="str">
        <f>IFERROR(IF(VLOOKUP(Tue_W2[[#This Row],[Employee Name]],'Base Schedules'!$A$160:$AW$203,12,FALSE)="","",VLOOKUP(Tue_W2[[#This Row],[Employee Name]],'Base Schedules'!$A$160:$AW$203,12,FALSE)),"")</f>
        <v/>
      </c>
      <c r="N47" s="184" t="str">
        <f>IFERROR(IF(VLOOKUP(Tue_W2[[#This Row],[Employee Name]],'Base Schedules'!$A$160:$AW$203,13,FALSE)="","",VLOOKUP(Tue_W2[[#This Row],[Employee Name]],'Base Schedules'!$A$160:$AW$203,13,FALSE)),"")</f>
        <v/>
      </c>
      <c r="O47" s="184" t="str">
        <f>IFERROR(IF(VLOOKUP(Tue_W2[[#This Row],[Employee Name]],'Base Schedules'!$A$160:$AW$203,14,FALSE)="","",VLOOKUP(Tue_W2[[#This Row],[Employee Name]],'Base Schedules'!$A$160:$AW$203,14,FALSE)),"")</f>
        <v/>
      </c>
      <c r="P47" s="184" t="str">
        <f>IFERROR(IF(VLOOKUP(Tue_W2[[#This Row],[Employee Name]],'Base Schedules'!$A$160:$AW$203,15,FALSE)="","",VLOOKUP(Tue_W2[[#This Row],[Employee Name]],'Base Schedules'!$A$160:$AW$203,15,FALSE)),"")</f>
        <v/>
      </c>
      <c r="Q47" s="184" t="str">
        <f>IFERROR(IF(VLOOKUP(Tue_W2[[#This Row],[Employee Name]],'Base Schedules'!$A$160:$AW$203,16,FALSE)="","",VLOOKUP(Tue_W2[[#This Row],[Employee Name]],'Base Schedules'!$A$160:$AW$203,16,FALSE)),"")</f>
        <v/>
      </c>
      <c r="R47" s="184" t="str">
        <f>IFERROR(IF(VLOOKUP(Tue_W2[[#This Row],[Employee Name]],'Base Schedules'!$A$160:$AW$203,17,FALSE)="","",VLOOKUP(Tue_W2[[#This Row],[Employee Name]],'Base Schedules'!$A$160:$AW$203,17,FALSE)),"")</f>
        <v/>
      </c>
      <c r="S47" s="184" t="str">
        <f>IFERROR(IF(VLOOKUP(Tue_W2[[#This Row],[Employee Name]],'Base Schedules'!$A$160:$AW$203,18,FALSE)="","",VLOOKUP(Tue_W2[[#This Row],[Employee Name]],'Base Schedules'!$A$160:$AW$203,18,FALSE)),"")</f>
        <v/>
      </c>
      <c r="T47" s="184" t="str">
        <f>IFERROR(IF(VLOOKUP(Tue_W2[[#This Row],[Employee Name]],'Base Schedules'!$A$160:$AW$203,19,FALSE)="","",VLOOKUP(Tue_W2[[#This Row],[Employee Name]],'Base Schedules'!$A$160:$AW$203,19,FALSE)),"")</f>
        <v/>
      </c>
      <c r="U47" s="184" t="str">
        <f>IFERROR(IF(VLOOKUP(Tue_W2[[#This Row],[Employee Name]],'Base Schedules'!$A$160:$AW$203,20,FALSE)="","",VLOOKUP(Tue_W2[[#This Row],[Employee Name]],'Base Schedules'!$A$160:$AW$203,20,FALSE)),"")</f>
        <v/>
      </c>
      <c r="V47" s="184" t="str">
        <f>IFERROR(IF(VLOOKUP(Tue_W2[[#This Row],[Employee Name]],'Base Schedules'!$A$160:$AW$203,21,FALSE)="","",VLOOKUP(Tue_W2[[#This Row],[Employee Name]],'Base Schedules'!$A$160:$AW$203,21,FALSE)),"")</f>
        <v/>
      </c>
      <c r="W47" s="184" t="str">
        <f>IFERROR(IF(VLOOKUP(Tue_W2[[#This Row],[Employee Name]],'Base Schedules'!$A$160:$AW$203,22,FALSE)="","",VLOOKUP(Tue_W2[[#This Row],[Employee Name]],'Base Schedules'!$A$160:$AW$203,22,FALSE)),"")</f>
        <v/>
      </c>
      <c r="X47" s="184" t="str">
        <f>IFERROR(IF(VLOOKUP(Tue_W2[[#This Row],[Employee Name]],'Base Schedules'!$A$160:$AW$203,23,FALSE)="","",VLOOKUP(Tue_W2[[#This Row],[Employee Name]],'Base Schedules'!$A$160:$AW$203,23,FALSE)),"")</f>
        <v/>
      </c>
      <c r="Y47" s="184" t="str">
        <f>IFERROR(IF(VLOOKUP(Tue_W2[[#This Row],[Employee Name]],'Base Schedules'!$A$160:$AW$203,24,FALSE)="","",VLOOKUP(Tue_W2[[#This Row],[Employee Name]],'Base Schedules'!$A$160:$AW$203,24,FALSE)),"")</f>
        <v/>
      </c>
      <c r="Z47" s="184" t="str">
        <f>IFERROR(IF(VLOOKUP(Tue_W2[[#This Row],[Employee Name]],'Base Schedules'!$A$160:$AW$203,25,FALSE)="","",VLOOKUP(Tue_W2[[#This Row],[Employee Name]],'Base Schedules'!$A$160:$AW$203,25,FALSE)),"")</f>
        <v/>
      </c>
      <c r="AA47" s="184" t="str">
        <f>IFERROR(IF(VLOOKUP(Tue_W2[[#This Row],[Employee Name]],'Base Schedules'!$A$160:$AW$203,26,FALSE)="","",VLOOKUP(Tue_W2[[#This Row],[Employee Name]],'Base Schedules'!$A$160:$AW$203,26,FALSE)),"")</f>
        <v/>
      </c>
      <c r="AB47" s="184" t="str">
        <f>IFERROR(IF(VLOOKUP(Tue_W2[[#This Row],[Employee Name]],'Base Schedules'!$A$160:$AW$203,27,FALSE)="","",VLOOKUP(Tue_W2[[#This Row],[Employee Name]],'Base Schedules'!$A$160:$AW$203,27,FALSE)),"")</f>
        <v/>
      </c>
      <c r="AC47" s="184" t="str">
        <f>IFERROR(IF(VLOOKUP(Tue_W2[[#This Row],[Employee Name]],'Base Schedules'!$A$160:$AW$203,28,FALSE)="","",VLOOKUP(Tue_W2[[#This Row],[Employee Name]],'Base Schedules'!$A$160:$AW$203,28,FALSE)),"")</f>
        <v/>
      </c>
      <c r="AD47" s="184" t="str">
        <f>IFERROR(IF(VLOOKUP(Tue_W2[[#This Row],[Employee Name]],'Base Schedules'!$A$160:$AW$203,29,FALSE)="","",VLOOKUP(Tue_W2[[#This Row],[Employee Name]],'Base Schedules'!$A$160:$AW$203,29,FALSE)),"")</f>
        <v/>
      </c>
      <c r="AE47" s="184" t="str">
        <f>IFERROR(IF(VLOOKUP(Tue_W2[[#This Row],[Employee Name]],'Base Schedules'!$A$160:$AW$203,30,FALSE)="","",VLOOKUP(Tue_W2[[#This Row],[Employee Name]],'Base Schedules'!$A$160:$AW$203,30,FALSE)),"")</f>
        <v/>
      </c>
      <c r="AF47" s="184" t="str">
        <f>IFERROR(IF(VLOOKUP(Tue_W2[[#This Row],[Employee Name]],'Base Schedules'!$A$160:$AW$203,31,FALSE)="","",VLOOKUP(Tue_W2[[#This Row],[Employee Name]],'Base Schedules'!$A$160:$AW$203,31,FALSE)),"")</f>
        <v/>
      </c>
      <c r="AG47" s="184" t="str">
        <f>IFERROR(IF(VLOOKUP(Tue_W2[[#This Row],[Employee Name]],'Base Schedules'!$A$160:$AW$203,32,FALSE)="","",VLOOKUP(Tue_W2[[#This Row],[Employee Name]],'Base Schedules'!$A$160:$AW$203,32,FALSE)),"")</f>
        <v>HL</v>
      </c>
      <c r="AH47" s="184" t="str">
        <f>IFERROR(IF(VLOOKUP(Tue_W2[[#This Row],[Employee Name]],'Base Schedules'!$A$160:$AW$203,33,FALSE)="","",VLOOKUP(Tue_W2[[#This Row],[Employee Name]],'Base Schedules'!$A$160:$AW$203,33,FALSE)),"")</f>
        <v>RNNR</v>
      </c>
      <c r="AI47" s="184" t="str">
        <f>IFERROR(IF(VLOOKUP(Tue_W2[[#This Row],[Employee Name]],'Base Schedules'!$A$160:$AW$203,34,FALSE)="","",VLOOKUP(Tue_W2[[#This Row],[Employee Name]],'Base Schedules'!$A$160:$AW$203,34,FALSE)),"")</f>
        <v>RNNR</v>
      </c>
      <c r="AJ47" s="184" t="str">
        <f>IFERROR(IF(VLOOKUP(Tue_W2[[#This Row],[Employee Name]],'Base Schedules'!$A$160:$AW$203,35,FALSE)="","",VLOOKUP(Tue_W2[[#This Row],[Employee Name]],'Base Schedules'!$A$160:$AW$203,35,FALSE)),"")</f>
        <v>ADM</v>
      </c>
      <c r="AK47" s="184" t="str">
        <f>IFERROR(IF(VLOOKUP(Tue_W2[[#This Row],[Employee Name]],'Base Schedules'!$A$160:$AW$203,36,FALSE)="","",VLOOKUP(Tue_W2[[#This Row],[Employee Name]],'Base Schedules'!$A$160:$AW$203,36,FALSE)),"")</f>
        <v>B1 ADM</v>
      </c>
      <c r="AL47" s="184" t="str">
        <f>IFERROR(IF(VLOOKUP(Tue_W2[[#This Row],[Employee Name]],'Base Schedules'!$A$160:$AW$203,37,FALSE)="","",VLOOKUP(Tue_W2[[#This Row],[Employee Name]],'Base Schedules'!$A$160:$AW$203,37,FALSE)),"")</f>
        <v>ADM</v>
      </c>
      <c r="AM47" s="184" t="str">
        <f>IFERROR(IF(VLOOKUP(Tue_W2[[#This Row],[Employee Name]],'Base Schedules'!$A$160:$AW$203,38,FALSE)="","",VLOOKUP(Tue_W2[[#This Row],[Employee Name]],'Base Schedules'!$A$160:$AW$203,38,FALSE)),"")</f>
        <v>HL</v>
      </c>
      <c r="AN47" s="184" t="str">
        <f>IFERROR(IF(VLOOKUP(Tue_W2[[#This Row],[Employee Name]],'Base Schedules'!$A$160:$AW$203,39,FALSE)="","",VLOOKUP(Tue_W2[[#This Row],[Employee Name]],'Base Schedules'!$A$160:$AW$203,39,FALSE)),"")</f>
        <v>LUNCH</v>
      </c>
      <c r="AO47" s="184" t="str">
        <f>IFERROR(IF(VLOOKUP(Tue_W2[[#This Row],[Employee Name]],'Base Schedules'!$A$160:$AW$203,40,FALSE)="","",VLOOKUP(Tue_W2[[#This Row],[Employee Name]],'Base Schedules'!$A$160:$AW$203,40,FALSE)),"")</f>
        <v>PROJECT</v>
      </c>
      <c r="AP47" s="184" t="str">
        <f>IFERROR(IF(VLOOKUP(Tue_W2[[#This Row],[Employee Name]],'Base Schedules'!$A$160:$AW$203,41,FALSE)="","",VLOOKUP(Tue_W2[[#This Row],[Employee Name]],'Base Schedules'!$A$160:$AW$203,41,FALSE)),"")</f>
        <v>PROJECT</v>
      </c>
      <c r="AQ47" s="184" t="str">
        <f>IFERROR(IF(VLOOKUP(Tue_W2[[#This Row],[Employee Name]],'Base Schedules'!$A$160:$AW$203,42,FALSE)="","",VLOOKUP(Tue_W2[[#This Row],[Employee Name]],'Base Schedules'!$A$160:$AW$203,42,FALSE)),"")</f>
        <v>HL</v>
      </c>
      <c r="AR47" s="184" t="str">
        <f>IFERROR(IF(VLOOKUP(Tue_W2[[#This Row],[Employee Name]],'Base Schedules'!$A$160:$AW$203,43,FALSE)="","",VLOOKUP(Tue_W2[[#This Row],[Employee Name]],'Base Schedules'!$A$160:$AW$203,43,FALSE)),"")</f>
        <v>HL</v>
      </c>
      <c r="AS47" s="184" t="str">
        <f>IFERROR(IF(VLOOKUP(Tue_W2[[#This Row],[Employee Name]],'Base Schedules'!$A$160:$AW$203,44,FALSE)="","",VLOOKUP(Tue_W2[[#This Row],[Employee Name]],'Base Schedules'!$A$160:$AW$203,44,FALSE)),"")</f>
        <v>B2 HL</v>
      </c>
      <c r="AT47" s="184" t="str">
        <f>IFERROR(IF(VLOOKUP(Tue_W2[[#This Row],[Employee Name]],'Base Schedules'!$A$160:$AW$203,45,FALSE)="","",VLOOKUP(Tue_W2[[#This Row],[Employee Name]],'Base Schedules'!$A$160:$AW$203,45,FALSE)),"")</f>
        <v>HL</v>
      </c>
      <c r="AU47" s="184" t="str">
        <f>IFERROR(IF(VLOOKUP(Tue_W2[[#This Row],[Employee Name]],'Base Schedules'!$A$160:$AW$203,46,FALSE)="","",VLOOKUP(Tue_W2[[#This Row],[Employee Name]],'Base Schedules'!$A$160:$AW$203,46,FALSE)),"")</f>
        <v>HL</v>
      </c>
      <c r="AV47" s="184" t="str">
        <f>IFERROR(IF(VLOOKUP(Tue_W2[[#This Row],[Employee Name]],'Base Schedules'!$A$160:$AW$203,47,FALSE)="","",VLOOKUP(Tue_W2[[#This Row],[Employee Name]],'Base Schedules'!$A$160:$AW$203,47,FALSE)),"")</f>
        <v>HL</v>
      </c>
      <c r="AW47" s="184" t="str">
        <f>IFERROR(IF(VLOOKUP(Tue_W2[[#This Row],[Employee Name]],'Base Schedules'!$A$160:$AW$203,48,FALSE)="","",VLOOKUP(Tue_W2[[#This Row],[Employee Name]],'Base Schedules'!$A$160:$AW$203,48,FALSE)),"")</f>
        <v>HL</v>
      </c>
      <c r="AX47" s="184" t="str">
        <f>IFERROR(IF(VLOOKUP(Tue_W2[[#This Row],[Employee Name]],'Base Schedules'!$A$160:$AW$203,49,FALSE)="","",VLOOKUP(Tue_W2[[#This Row],[Employee Name]],'Base Schedules'!$A$160:$AW$203,49,FALSE)),"")</f>
        <v/>
      </c>
      <c r="AY47" s="159" t="str">
        <f t="shared" si="2"/>
        <v>Fairbrother, Amy</v>
      </c>
    </row>
    <row r="48" spans="1:51" s="44" customFormat="1" ht="12" hidden="1" customHeight="1" x14ac:dyDescent="0.2">
      <c r="A48" s="39" t="str">
        <f>IF(B48="","",INDEX(TeamList[],MATCH($B48,TeamList[[Employee Name]:[Employee Name]],0),MATCH("Manager",TeamList[#Headers],0)))</f>
        <v/>
      </c>
      <c r="B48" s="201"/>
      <c r="C48" s="257" t="str">
        <f>_xlfn.IFNA(VLOOKUP(Tue_W2[[#This Row],[Employee Name]],'Base Schedules'!A:B,2,FALSE),"")</f>
        <v/>
      </c>
      <c r="D48" s="274" t="str">
        <f>_xlfn.IFNA(VLOOKUP(Tue_W2[[#This Row],[Employee Name]],'Base Schedules'!A:C,3,FALSE),"")</f>
        <v/>
      </c>
      <c r="E48" s="274" t="str">
        <f>_xlfn.IFNA(VLOOKUP(Tue_W2[[#This Row],[Employee Name]],'Base Schedules'!A:D,4,FALSE),"")</f>
        <v/>
      </c>
      <c r="F48" s="142" t="str">
        <f>IF(Tue_W2[[#This Row],[Employee Name]]="","",IF(Tue_W2[[#This Row],[Dept]]="Supervisor",COUNTIFS($J48:$AX48,"*HL*",$J48:$AX48,"&lt;&gt;"&amp;"pHL"),COUNTIFS($J48:$AX48,"*HL*",$J48:$AX48,"&lt;&gt;"&amp;"*pHL*",$J48:$AX48,"&lt;&gt;"&amp;"pB1 HL",$J48:$AX48,"&lt;&gt;"&amp;"pB2 HL")-SUM(COUNTIFS($J48:$AX48,"*HL B1*",$J48:$AX48,"&lt;&gt;"&amp;"pHL B1")*0.5,COUNTIFS($J48:$AX48,"*HL B2*",$J48:$AX48,"&lt;&gt;"&amp;"pHL B2")*0.5,COUNTIFS($J48:$AX48,"*B1 HL*",$J48:$AX48,"&lt;&gt;"&amp;"pB1 HL")*0.5,COUNTIFS($J48:$AX48,"*B2 HL*",$J48:$AX48,"&lt;&gt;"&amp;"pB2 HL")*0.5)))</f>
        <v/>
      </c>
      <c r="G48" s="142" t="str">
        <f t="shared" si="0"/>
        <v/>
      </c>
      <c r="H48" s="142" t="str">
        <f t="shared" si="1"/>
        <v/>
      </c>
      <c r="I48" s="142" t="str">
        <f>IF(Tue_W2[[#This Row],[Employee Name]]="","",IF(Tue_W2[[#This Row],[Dept]]="Supervisor",SUM(COUNTIFS($J48:$AX48,"RTA*",$J48:$AX48,"&lt;&gt;"&amp;"pRTA"),COUNTIFS($J48:$AX48,"*CRTA*",$J48:$AX48,"&lt;&gt;"&amp;"pCRTA")),COUNTIFS($J48:$AX48,"*RNNR*",$J48:$AX48,"&lt;&gt;"&amp;"*pRNNR*",$J48:$AX48,"&lt;&gt;"&amp;"pB1 RNNR",$J48:$AX48,"&lt;&gt;"&amp;"pB2 RNNR")-SUM(COUNTIFS($J48:$AX48,"*RNNR B1*",$J48:$AX48,"&lt;&gt;"&amp;"pRNNR B1")*0.5,COUNTIFS($J48:$AX48,"*RNNR B2*",$J48:$AX48,"&lt;&gt;"&amp;"pRNNR B2")*0.5,COUNTIFS($J48:$AX48,"*B1 RNNR*",$J48:$AX48,"&lt;&gt;"&amp;"pB1 RNNR")*0.5,COUNTIFS($J48:$AX48,"*B2 RNNR*",$J48:$AX48,"&lt;&gt;"&amp;"pB2 RNNR")*0.5)))</f>
        <v/>
      </c>
      <c r="J48" s="184" t="str">
        <f>IFERROR(IF(VLOOKUP(Tue_W2[[#This Row],[Employee Name]],'Base Schedules'!$A$160:$AW$203,9,FALSE)="","",VLOOKUP(Tue_W2[[#This Row],[Employee Name]],'Base Schedules'!$A$160:$AW$203,9,FALSE)),"")</f>
        <v/>
      </c>
      <c r="K48" s="184" t="str">
        <f>IFERROR(IF(VLOOKUP(Tue_W2[[#This Row],[Employee Name]],'Base Schedules'!$A$160:$AW$203,10,FALSE)="","",VLOOKUP(Tue_W2[[#This Row],[Employee Name]],'Base Schedules'!$A$160:$AW$203,10,FALSE)),"")</f>
        <v/>
      </c>
      <c r="L48" s="184" t="str">
        <f>IFERROR(IF(VLOOKUP(Tue_W2[[#This Row],[Employee Name]],'Base Schedules'!$A$160:$AW$203,11,FALSE)="","",VLOOKUP(Tue_W2[[#This Row],[Employee Name]],'Base Schedules'!$A$160:$AW$203,11,FALSE)),"")</f>
        <v/>
      </c>
      <c r="M48" s="184" t="str">
        <f>IFERROR(IF(VLOOKUP(Tue_W2[[#This Row],[Employee Name]],'Base Schedules'!$A$160:$AW$203,12,FALSE)="","",VLOOKUP(Tue_W2[[#This Row],[Employee Name]],'Base Schedules'!$A$160:$AW$203,12,FALSE)),"")</f>
        <v/>
      </c>
      <c r="N48" s="184" t="str">
        <f>IFERROR(IF(VLOOKUP(Tue_W2[[#This Row],[Employee Name]],'Base Schedules'!$A$160:$AW$203,13,FALSE)="","",VLOOKUP(Tue_W2[[#This Row],[Employee Name]],'Base Schedules'!$A$160:$AW$203,13,FALSE)),"")</f>
        <v/>
      </c>
      <c r="O48" s="184" t="str">
        <f>IFERROR(IF(VLOOKUP(Tue_W2[[#This Row],[Employee Name]],'Base Schedules'!$A$160:$AW$203,14,FALSE)="","",VLOOKUP(Tue_W2[[#This Row],[Employee Name]],'Base Schedules'!$A$160:$AW$203,14,FALSE)),"")</f>
        <v/>
      </c>
      <c r="P48" s="184" t="str">
        <f>IFERROR(IF(VLOOKUP(Tue_W2[[#This Row],[Employee Name]],'Base Schedules'!$A$160:$AW$203,15,FALSE)="","",VLOOKUP(Tue_W2[[#This Row],[Employee Name]],'Base Schedules'!$A$160:$AW$203,15,FALSE)),"")</f>
        <v/>
      </c>
      <c r="Q48" s="184" t="str">
        <f>IFERROR(IF(VLOOKUP(Tue_W2[[#This Row],[Employee Name]],'Base Schedules'!$A$160:$AW$203,16,FALSE)="","",VLOOKUP(Tue_W2[[#This Row],[Employee Name]],'Base Schedules'!$A$160:$AW$203,16,FALSE)),"")</f>
        <v/>
      </c>
      <c r="R48" s="184" t="str">
        <f>IFERROR(IF(VLOOKUP(Tue_W2[[#This Row],[Employee Name]],'Base Schedules'!$A$160:$AW$203,17,FALSE)="","",VLOOKUP(Tue_W2[[#This Row],[Employee Name]],'Base Schedules'!$A$160:$AW$203,17,FALSE)),"")</f>
        <v/>
      </c>
      <c r="S48" s="184" t="str">
        <f>IFERROR(IF(VLOOKUP(Tue_W2[[#This Row],[Employee Name]],'Base Schedules'!$A$160:$AW$203,18,FALSE)="","",VLOOKUP(Tue_W2[[#This Row],[Employee Name]],'Base Schedules'!$A$160:$AW$203,18,FALSE)),"")</f>
        <v/>
      </c>
      <c r="T48" s="184" t="str">
        <f>IFERROR(IF(VLOOKUP(Tue_W2[[#This Row],[Employee Name]],'Base Schedules'!$A$160:$AW$203,19,FALSE)="","",VLOOKUP(Tue_W2[[#This Row],[Employee Name]],'Base Schedules'!$A$160:$AW$203,19,FALSE)),"")</f>
        <v/>
      </c>
      <c r="U48" s="184" t="str">
        <f>IFERROR(IF(VLOOKUP(Tue_W2[[#This Row],[Employee Name]],'Base Schedules'!$A$160:$AW$203,20,FALSE)="","",VLOOKUP(Tue_W2[[#This Row],[Employee Name]],'Base Schedules'!$A$160:$AW$203,20,FALSE)),"")</f>
        <v/>
      </c>
      <c r="V48" s="184" t="str">
        <f>IFERROR(IF(VLOOKUP(Tue_W2[[#This Row],[Employee Name]],'Base Schedules'!$A$160:$AW$203,21,FALSE)="","",VLOOKUP(Tue_W2[[#This Row],[Employee Name]],'Base Schedules'!$A$160:$AW$203,21,FALSE)),"")</f>
        <v/>
      </c>
      <c r="W48" s="184" t="str">
        <f>IFERROR(IF(VLOOKUP(Tue_W2[[#This Row],[Employee Name]],'Base Schedules'!$A$160:$AW$203,22,FALSE)="","",VLOOKUP(Tue_W2[[#This Row],[Employee Name]],'Base Schedules'!$A$160:$AW$203,22,FALSE)),"")</f>
        <v/>
      </c>
      <c r="X48" s="184" t="str">
        <f>IFERROR(IF(VLOOKUP(Tue_W2[[#This Row],[Employee Name]],'Base Schedules'!$A$160:$AW$203,23,FALSE)="","",VLOOKUP(Tue_W2[[#This Row],[Employee Name]],'Base Schedules'!$A$160:$AW$203,23,FALSE)),"")</f>
        <v/>
      </c>
      <c r="Y48" s="184" t="str">
        <f>IFERROR(IF(VLOOKUP(Tue_W2[[#This Row],[Employee Name]],'Base Schedules'!$A$160:$AW$203,24,FALSE)="","",VLOOKUP(Tue_W2[[#This Row],[Employee Name]],'Base Schedules'!$A$160:$AW$203,24,FALSE)),"")</f>
        <v/>
      </c>
      <c r="Z48" s="184" t="str">
        <f>IFERROR(IF(VLOOKUP(Tue_W2[[#This Row],[Employee Name]],'Base Schedules'!$A$160:$AW$203,25,FALSE)="","",VLOOKUP(Tue_W2[[#This Row],[Employee Name]],'Base Schedules'!$A$160:$AW$203,25,FALSE)),"")</f>
        <v/>
      </c>
      <c r="AA48" s="184" t="str">
        <f>IFERROR(IF(VLOOKUP(Tue_W2[[#This Row],[Employee Name]],'Base Schedules'!$A$160:$AW$203,26,FALSE)="","",VLOOKUP(Tue_W2[[#This Row],[Employee Name]],'Base Schedules'!$A$160:$AW$203,26,FALSE)),"")</f>
        <v/>
      </c>
      <c r="AB48" s="184" t="str">
        <f>IFERROR(IF(VLOOKUP(Tue_W2[[#This Row],[Employee Name]],'Base Schedules'!$A$160:$AW$203,27,FALSE)="","",VLOOKUP(Tue_W2[[#This Row],[Employee Name]],'Base Schedules'!$A$160:$AW$203,27,FALSE)),"")</f>
        <v/>
      </c>
      <c r="AC48" s="184" t="str">
        <f>IFERROR(IF(VLOOKUP(Tue_W2[[#This Row],[Employee Name]],'Base Schedules'!$A$160:$AW$203,28,FALSE)="","",VLOOKUP(Tue_W2[[#This Row],[Employee Name]],'Base Schedules'!$A$160:$AW$203,28,FALSE)),"")</f>
        <v/>
      </c>
      <c r="AD48" s="184" t="str">
        <f>IFERROR(IF(VLOOKUP(Tue_W2[[#This Row],[Employee Name]],'Base Schedules'!$A$160:$AW$203,29,FALSE)="","",VLOOKUP(Tue_W2[[#This Row],[Employee Name]],'Base Schedules'!$A$160:$AW$203,29,FALSE)),"")</f>
        <v/>
      </c>
      <c r="AE48" s="184" t="str">
        <f>IFERROR(IF(VLOOKUP(Tue_W2[[#This Row],[Employee Name]],'Base Schedules'!$A$160:$AW$203,30,FALSE)="","",VLOOKUP(Tue_W2[[#This Row],[Employee Name]],'Base Schedules'!$A$160:$AW$203,30,FALSE)),"")</f>
        <v/>
      </c>
      <c r="AF48" s="184" t="str">
        <f>IFERROR(IF(VLOOKUP(Tue_W2[[#This Row],[Employee Name]],'Base Schedules'!$A$160:$AW$203,31,FALSE)="","",VLOOKUP(Tue_W2[[#This Row],[Employee Name]],'Base Schedules'!$A$160:$AW$203,31,FALSE)),"")</f>
        <v/>
      </c>
      <c r="AG48" s="184" t="str">
        <f>IFERROR(IF(VLOOKUP(Tue_W2[[#This Row],[Employee Name]],'Base Schedules'!$A$160:$AW$203,32,FALSE)="","",VLOOKUP(Tue_W2[[#This Row],[Employee Name]],'Base Schedules'!$A$160:$AW$203,32,FALSE)),"")</f>
        <v/>
      </c>
      <c r="AH48" s="184" t="str">
        <f>IFERROR(IF(VLOOKUP(Tue_W2[[#This Row],[Employee Name]],'Base Schedules'!$A$160:$AW$203,33,FALSE)="","",VLOOKUP(Tue_W2[[#This Row],[Employee Name]],'Base Schedules'!$A$160:$AW$203,33,FALSE)),"")</f>
        <v/>
      </c>
      <c r="AI48" s="184" t="str">
        <f>IFERROR(IF(VLOOKUP(Tue_W2[[#This Row],[Employee Name]],'Base Schedules'!$A$160:$AW$203,34,FALSE)="","",VLOOKUP(Tue_W2[[#This Row],[Employee Name]],'Base Schedules'!$A$160:$AW$203,34,FALSE)),"")</f>
        <v/>
      </c>
      <c r="AJ48" s="184" t="str">
        <f>IFERROR(IF(VLOOKUP(Tue_W2[[#This Row],[Employee Name]],'Base Schedules'!$A$160:$AW$203,35,FALSE)="","",VLOOKUP(Tue_W2[[#This Row],[Employee Name]],'Base Schedules'!$A$160:$AW$203,35,FALSE)),"")</f>
        <v/>
      </c>
      <c r="AK48" s="184" t="str">
        <f>IFERROR(IF(VLOOKUP(Tue_W2[[#This Row],[Employee Name]],'Base Schedules'!$A$160:$AW$203,36,FALSE)="","",VLOOKUP(Tue_W2[[#This Row],[Employee Name]],'Base Schedules'!$A$160:$AW$203,36,FALSE)),"")</f>
        <v/>
      </c>
      <c r="AL48" s="184" t="str">
        <f>IFERROR(IF(VLOOKUP(Tue_W2[[#This Row],[Employee Name]],'Base Schedules'!$A$160:$AW$203,37,FALSE)="","",VLOOKUP(Tue_W2[[#This Row],[Employee Name]],'Base Schedules'!$A$160:$AW$203,37,FALSE)),"")</f>
        <v/>
      </c>
      <c r="AM48" s="184" t="str">
        <f>IFERROR(IF(VLOOKUP(Tue_W2[[#This Row],[Employee Name]],'Base Schedules'!$A$160:$AW$203,38,FALSE)="","",VLOOKUP(Tue_W2[[#This Row],[Employee Name]],'Base Schedules'!$A$160:$AW$203,38,FALSE)),"")</f>
        <v/>
      </c>
      <c r="AN48" s="184" t="str">
        <f>IFERROR(IF(VLOOKUP(Tue_W2[[#This Row],[Employee Name]],'Base Schedules'!$A$160:$AW$203,39,FALSE)="","",VLOOKUP(Tue_W2[[#This Row],[Employee Name]],'Base Schedules'!$A$160:$AW$203,39,FALSE)),"")</f>
        <v/>
      </c>
      <c r="AO48" s="184" t="str">
        <f>IFERROR(IF(VLOOKUP(Tue_W2[[#This Row],[Employee Name]],'Base Schedules'!$A$160:$AW$203,40,FALSE)="","",VLOOKUP(Tue_W2[[#This Row],[Employee Name]],'Base Schedules'!$A$160:$AW$203,40,FALSE)),"")</f>
        <v/>
      </c>
      <c r="AP48" s="184" t="str">
        <f>IFERROR(IF(VLOOKUP(Tue_W2[[#This Row],[Employee Name]],'Base Schedules'!$A$160:$AW$203,41,FALSE)="","",VLOOKUP(Tue_W2[[#This Row],[Employee Name]],'Base Schedules'!$A$160:$AW$203,41,FALSE)),"")</f>
        <v/>
      </c>
      <c r="AQ48" s="184" t="str">
        <f>IFERROR(IF(VLOOKUP(Tue_W2[[#This Row],[Employee Name]],'Base Schedules'!$A$160:$AW$203,42,FALSE)="","",VLOOKUP(Tue_W2[[#This Row],[Employee Name]],'Base Schedules'!$A$160:$AW$203,42,FALSE)),"")</f>
        <v/>
      </c>
      <c r="AR48" s="184" t="str">
        <f>IFERROR(IF(VLOOKUP(Tue_W2[[#This Row],[Employee Name]],'Base Schedules'!$A$160:$AW$203,43,FALSE)="","",VLOOKUP(Tue_W2[[#This Row],[Employee Name]],'Base Schedules'!$A$160:$AW$203,43,FALSE)),"")</f>
        <v/>
      </c>
      <c r="AS48" s="184" t="str">
        <f>IFERROR(IF(VLOOKUP(Tue_W2[[#This Row],[Employee Name]],'Base Schedules'!$A$160:$AW$203,44,FALSE)="","",VLOOKUP(Tue_W2[[#This Row],[Employee Name]],'Base Schedules'!$A$160:$AW$203,44,FALSE)),"")</f>
        <v/>
      </c>
      <c r="AT48" s="184" t="str">
        <f>IFERROR(IF(VLOOKUP(Tue_W2[[#This Row],[Employee Name]],'Base Schedules'!$A$160:$AW$203,45,FALSE)="","",VLOOKUP(Tue_W2[[#This Row],[Employee Name]],'Base Schedules'!$A$160:$AW$203,45,FALSE)),"")</f>
        <v/>
      </c>
      <c r="AU48" s="184" t="str">
        <f>IFERROR(IF(VLOOKUP(Tue_W2[[#This Row],[Employee Name]],'Base Schedules'!$A$160:$AW$203,46,FALSE)="","",VLOOKUP(Tue_W2[[#This Row],[Employee Name]],'Base Schedules'!$A$160:$AW$203,46,FALSE)),"")</f>
        <v/>
      </c>
      <c r="AV48" s="184" t="str">
        <f>IFERROR(IF(VLOOKUP(Tue_W2[[#This Row],[Employee Name]],'Base Schedules'!$A$160:$AW$203,47,FALSE)="","",VLOOKUP(Tue_W2[[#This Row],[Employee Name]],'Base Schedules'!$A$160:$AW$203,47,FALSE)),"")</f>
        <v/>
      </c>
      <c r="AW48" s="184" t="str">
        <f>IFERROR(IF(VLOOKUP(Tue_W2[[#This Row],[Employee Name]],'Base Schedules'!$A$160:$AW$203,48,FALSE)="","",VLOOKUP(Tue_W2[[#This Row],[Employee Name]],'Base Schedules'!$A$160:$AW$203,48,FALSE)),"")</f>
        <v/>
      </c>
      <c r="AX48" s="184" t="str">
        <f>IFERROR(IF(VLOOKUP(Tue_W2[[#This Row],[Employee Name]],'Base Schedules'!$A$160:$AW$203,49,FALSE)="","",VLOOKUP(Tue_W2[[#This Row],[Employee Name]],'Base Schedules'!$A$160:$AW$203,49,FALSE)),"")</f>
        <v/>
      </c>
      <c r="AY48" s="159" t="str">
        <f t="shared" si="2"/>
        <v/>
      </c>
    </row>
    <row r="49" spans="1:52" s="44" customFormat="1" ht="12" hidden="1" customHeight="1" x14ac:dyDescent="0.2">
      <c r="A49" s="39" t="str">
        <f>IF(B49="","",INDEX(TeamList[],MATCH($B49,TeamList[[Employee Name]:[Employee Name]],0),MATCH("Manager",TeamList[#Headers],0)))</f>
        <v/>
      </c>
      <c r="B49" s="201"/>
      <c r="C49" s="257" t="str">
        <f>_xlfn.IFNA(VLOOKUP(Tue_W2[[#This Row],[Employee Name]],'Base Schedules'!A:B,2,FALSE),"")</f>
        <v/>
      </c>
      <c r="D49" s="274" t="str">
        <f>_xlfn.IFNA(VLOOKUP(Tue_W2[[#This Row],[Employee Name]],'Base Schedules'!A:C,3,FALSE),"")</f>
        <v/>
      </c>
      <c r="E49" s="274" t="str">
        <f>_xlfn.IFNA(VLOOKUP(Tue_W2[[#This Row],[Employee Name]],'Base Schedules'!A:D,4,FALSE),"")</f>
        <v/>
      </c>
      <c r="F49" s="142" t="str">
        <f>IF(Tue_W2[[#This Row],[Employee Name]]="","",IF(Tue_W2[[#This Row],[Dept]]="Supervisor",COUNTIFS($J49:$AX49,"*HL*",$J49:$AX49,"&lt;&gt;"&amp;"pHL"),COUNTIFS($J49:$AX49,"*HL*",$J49:$AX49,"&lt;&gt;"&amp;"*pHL*",$J49:$AX49,"&lt;&gt;"&amp;"pB1 HL",$J49:$AX49,"&lt;&gt;"&amp;"pB2 HL")-SUM(COUNTIFS($J49:$AX49,"*HL B1*",$J49:$AX49,"&lt;&gt;"&amp;"pHL B1")*0.5,COUNTIFS($J49:$AX49,"*HL B2*",$J49:$AX49,"&lt;&gt;"&amp;"pHL B2")*0.5,COUNTIFS($J49:$AX49,"*B1 HL*",$J49:$AX49,"&lt;&gt;"&amp;"pB1 HL")*0.5,COUNTIFS($J49:$AX49,"*B2 HL*",$J49:$AX49,"&lt;&gt;"&amp;"pB2 HL")*0.5)))</f>
        <v/>
      </c>
      <c r="G49" s="142" t="str">
        <f t="shared" ref="G49:G55" si="3">IF(B49="","",COUNTIFS($J49:$AX49,"*TM*",$J49:$AX49,"&lt;&gt;"&amp;"pTM",$J49:$AX49,"&lt;&gt;"&amp;"uTM"))</f>
        <v/>
      </c>
      <c r="H49" s="142" t="str">
        <f t="shared" si="1"/>
        <v/>
      </c>
      <c r="I49" s="142" t="str">
        <f>IF(Tue_W2[[#This Row],[Employee Name]]="","",IF(Tue_W2[[#This Row],[Dept]]="Supervisor",SUM(COUNTIFS($J49:$AX49,"RTA*",$J49:$AX49,"&lt;&gt;"&amp;"pRTA"),COUNTIFS($J49:$AX49,"*CRTA*",$J49:$AX49,"&lt;&gt;"&amp;"pCRTA")),COUNTIFS($J49:$AX49,"*RNNR*",$J49:$AX49,"&lt;&gt;"&amp;"*pRNNR*",$J49:$AX49,"&lt;&gt;"&amp;"pB1 RNNR",$J49:$AX49,"&lt;&gt;"&amp;"pB2 RNNR")-SUM(COUNTIFS($J49:$AX49,"*RNNR B1*",$J49:$AX49,"&lt;&gt;"&amp;"pRNNR B1")*0.5,COUNTIFS($J49:$AX49,"*RNNR B2*",$J49:$AX49,"&lt;&gt;"&amp;"pRNNR B2")*0.5,COUNTIFS($J49:$AX49,"*B1 RNNR*",$J49:$AX49,"&lt;&gt;"&amp;"pB1 RNNR")*0.5,COUNTIFS($J49:$AX49,"*B2 RNNR*",$J49:$AX49,"&lt;&gt;"&amp;"pB2 RNNR")*0.5)))</f>
        <v/>
      </c>
      <c r="J49" s="184" t="str">
        <f>IFERROR(IF(VLOOKUP(Tue_W2[[#This Row],[Employee Name]],'Base Schedules'!$A$160:$AW$203,9,FALSE)="","",VLOOKUP(Tue_W2[[#This Row],[Employee Name]],'Base Schedules'!$A$160:$AW$203,9,FALSE)),"")</f>
        <v/>
      </c>
      <c r="K49" s="184" t="str">
        <f>IFERROR(IF(VLOOKUP(Tue_W2[[#This Row],[Employee Name]],'Base Schedules'!$A$160:$AW$203,10,FALSE)="","",VLOOKUP(Tue_W2[[#This Row],[Employee Name]],'Base Schedules'!$A$160:$AW$203,10,FALSE)),"")</f>
        <v/>
      </c>
      <c r="L49" s="184" t="str">
        <f>IFERROR(IF(VLOOKUP(Tue_W2[[#This Row],[Employee Name]],'Base Schedules'!$A$160:$AW$203,11,FALSE)="","",VLOOKUP(Tue_W2[[#This Row],[Employee Name]],'Base Schedules'!$A$160:$AW$203,11,FALSE)),"")</f>
        <v/>
      </c>
      <c r="M49" s="184" t="str">
        <f>IFERROR(IF(VLOOKUP(Tue_W2[[#This Row],[Employee Name]],'Base Schedules'!$A$160:$AW$203,12,FALSE)="","",VLOOKUP(Tue_W2[[#This Row],[Employee Name]],'Base Schedules'!$A$160:$AW$203,12,FALSE)),"")</f>
        <v/>
      </c>
      <c r="N49" s="184" t="str">
        <f>IFERROR(IF(VLOOKUP(Tue_W2[[#This Row],[Employee Name]],'Base Schedules'!$A$160:$AW$203,13,FALSE)="","",VLOOKUP(Tue_W2[[#This Row],[Employee Name]],'Base Schedules'!$A$160:$AW$203,13,FALSE)),"")</f>
        <v/>
      </c>
      <c r="O49" s="184" t="str">
        <f>IFERROR(IF(VLOOKUP(Tue_W2[[#This Row],[Employee Name]],'Base Schedules'!$A$160:$AW$203,14,FALSE)="","",VLOOKUP(Tue_W2[[#This Row],[Employee Name]],'Base Schedules'!$A$160:$AW$203,14,FALSE)),"")</f>
        <v/>
      </c>
      <c r="P49" s="184" t="str">
        <f>IFERROR(IF(VLOOKUP(Tue_W2[[#This Row],[Employee Name]],'Base Schedules'!$A$160:$AW$203,15,FALSE)="","",VLOOKUP(Tue_W2[[#This Row],[Employee Name]],'Base Schedules'!$A$160:$AW$203,15,FALSE)),"")</f>
        <v/>
      </c>
      <c r="Q49" s="184" t="str">
        <f>IFERROR(IF(VLOOKUP(Tue_W2[[#This Row],[Employee Name]],'Base Schedules'!$A$160:$AW$203,16,FALSE)="","",VLOOKUP(Tue_W2[[#This Row],[Employee Name]],'Base Schedules'!$A$160:$AW$203,16,FALSE)),"")</f>
        <v/>
      </c>
      <c r="R49" s="184" t="str">
        <f>IFERROR(IF(VLOOKUP(Tue_W2[[#This Row],[Employee Name]],'Base Schedules'!$A$160:$AW$203,17,FALSE)="","",VLOOKUP(Tue_W2[[#This Row],[Employee Name]],'Base Schedules'!$A$160:$AW$203,17,FALSE)),"")</f>
        <v/>
      </c>
      <c r="S49" s="184" t="str">
        <f>IFERROR(IF(VLOOKUP(Tue_W2[[#This Row],[Employee Name]],'Base Schedules'!$A$160:$AW$203,18,FALSE)="","",VLOOKUP(Tue_W2[[#This Row],[Employee Name]],'Base Schedules'!$A$160:$AW$203,18,FALSE)),"")</f>
        <v/>
      </c>
      <c r="T49" s="184" t="str">
        <f>IFERROR(IF(VLOOKUP(Tue_W2[[#This Row],[Employee Name]],'Base Schedules'!$A$160:$AW$203,19,FALSE)="","",VLOOKUP(Tue_W2[[#This Row],[Employee Name]],'Base Schedules'!$A$160:$AW$203,19,FALSE)),"")</f>
        <v/>
      </c>
      <c r="U49" s="184" t="str">
        <f>IFERROR(IF(VLOOKUP(Tue_W2[[#This Row],[Employee Name]],'Base Schedules'!$A$160:$AW$203,20,FALSE)="","",VLOOKUP(Tue_W2[[#This Row],[Employee Name]],'Base Schedules'!$A$160:$AW$203,20,FALSE)),"")</f>
        <v/>
      </c>
      <c r="V49" s="184" t="str">
        <f>IFERROR(IF(VLOOKUP(Tue_W2[[#This Row],[Employee Name]],'Base Schedules'!$A$160:$AW$203,21,FALSE)="","",VLOOKUP(Tue_W2[[#This Row],[Employee Name]],'Base Schedules'!$A$160:$AW$203,21,FALSE)),"")</f>
        <v/>
      </c>
      <c r="W49" s="184" t="str">
        <f>IFERROR(IF(VLOOKUP(Tue_W2[[#This Row],[Employee Name]],'Base Schedules'!$A$160:$AW$203,22,FALSE)="","",VLOOKUP(Tue_W2[[#This Row],[Employee Name]],'Base Schedules'!$A$160:$AW$203,22,FALSE)),"")</f>
        <v/>
      </c>
      <c r="X49" s="184" t="str">
        <f>IFERROR(IF(VLOOKUP(Tue_W2[[#This Row],[Employee Name]],'Base Schedules'!$A$160:$AW$203,23,FALSE)="","",VLOOKUP(Tue_W2[[#This Row],[Employee Name]],'Base Schedules'!$A$160:$AW$203,23,FALSE)),"")</f>
        <v/>
      </c>
      <c r="Y49" s="184" t="str">
        <f>IFERROR(IF(VLOOKUP(Tue_W2[[#This Row],[Employee Name]],'Base Schedules'!$A$160:$AW$203,24,FALSE)="","",VLOOKUP(Tue_W2[[#This Row],[Employee Name]],'Base Schedules'!$A$160:$AW$203,24,FALSE)),"")</f>
        <v/>
      </c>
      <c r="Z49" s="184" t="str">
        <f>IFERROR(IF(VLOOKUP(Tue_W2[[#This Row],[Employee Name]],'Base Schedules'!$A$160:$AW$203,25,FALSE)="","",VLOOKUP(Tue_W2[[#This Row],[Employee Name]],'Base Schedules'!$A$160:$AW$203,25,FALSE)),"")</f>
        <v/>
      </c>
      <c r="AA49" s="184" t="str">
        <f>IFERROR(IF(VLOOKUP(Tue_W2[[#This Row],[Employee Name]],'Base Schedules'!$A$160:$AW$203,26,FALSE)="","",VLOOKUP(Tue_W2[[#This Row],[Employee Name]],'Base Schedules'!$A$160:$AW$203,26,FALSE)),"")</f>
        <v/>
      </c>
      <c r="AB49" s="184" t="str">
        <f>IFERROR(IF(VLOOKUP(Tue_W2[[#This Row],[Employee Name]],'Base Schedules'!$A$160:$AW$203,27,FALSE)="","",VLOOKUP(Tue_W2[[#This Row],[Employee Name]],'Base Schedules'!$A$160:$AW$203,27,FALSE)),"")</f>
        <v/>
      </c>
      <c r="AC49" s="184" t="str">
        <f>IFERROR(IF(VLOOKUP(Tue_W2[[#This Row],[Employee Name]],'Base Schedules'!$A$160:$AW$203,28,FALSE)="","",VLOOKUP(Tue_W2[[#This Row],[Employee Name]],'Base Schedules'!$A$160:$AW$203,28,FALSE)),"")</f>
        <v/>
      </c>
      <c r="AD49" s="184" t="str">
        <f>IFERROR(IF(VLOOKUP(Tue_W2[[#This Row],[Employee Name]],'Base Schedules'!$A$160:$AW$203,29,FALSE)="","",VLOOKUP(Tue_W2[[#This Row],[Employee Name]],'Base Schedules'!$A$160:$AW$203,29,FALSE)),"")</f>
        <v/>
      </c>
      <c r="AE49" s="184" t="str">
        <f>IFERROR(IF(VLOOKUP(Tue_W2[[#This Row],[Employee Name]],'Base Schedules'!$A$160:$AW$203,30,FALSE)="","",VLOOKUP(Tue_W2[[#This Row],[Employee Name]],'Base Schedules'!$A$160:$AW$203,30,FALSE)),"")</f>
        <v/>
      </c>
      <c r="AF49" s="184" t="str">
        <f>IFERROR(IF(VLOOKUP(Tue_W2[[#This Row],[Employee Name]],'Base Schedules'!$A$160:$AW$203,31,FALSE)="","",VLOOKUP(Tue_W2[[#This Row],[Employee Name]],'Base Schedules'!$A$160:$AW$203,31,FALSE)),"")</f>
        <v/>
      </c>
      <c r="AG49" s="184" t="str">
        <f>IFERROR(IF(VLOOKUP(Tue_W2[[#This Row],[Employee Name]],'Base Schedules'!$A$160:$AW$203,32,FALSE)="","",VLOOKUP(Tue_W2[[#This Row],[Employee Name]],'Base Schedules'!$A$160:$AW$203,32,FALSE)),"")</f>
        <v/>
      </c>
      <c r="AH49" s="184" t="str">
        <f>IFERROR(IF(VLOOKUP(Tue_W2[[#This Row],[Employee Name]],'Base Schedules'!$A$160:$AW$203,33,FALSE)="","",VLOOKUP(Tue_W2[[#This Row],[Employee Name]],'Base Schedules'!$A$160:$AW$203,33,FALSE)),"")</f>
        <v/>
      </c>
      <c r="AI49" s="184" t="str">
        <f>IFERROR(IF(VLOOKUP(Tue_W2[[#This Row],[Employee Name]],'Base Schedules'!$A$160:$AW$203,34,FALSE)="","",VLOOKUP(Tue_W2[[#This Row],[Employee Name]],'Base Schedules'!$A$160:$AW$203,34,FALSE)),"")</f>
        <v/>
      </c>
      <c r="AJ49" s="184" t="str">
        <f>IFERROR(IF(VLOOKUP(Tue_W2[[#This Row],[Employee Name]],'Base Schedules'!$A$160:$AW$203,35,FALSE)="","",VLOOKUP(Tue_W2[[#This Row],[Employee Name]],'Base Schedules'!$A$160:$AW$203,35,FALSE)),"")</f>
        <v/>
      </c>
      <c r="AK49" s="184" t="str">
        <f>IFERROR(IF(VLOOKUP(Tue_W2[[#This Row],[Employee Name]],'Base Schedules'!$A$160:$AW$203,36,FALSE)="","",VLOOKUP(Tue_W2[[#This Row],[Employee Name]],'Base Schedules'!$A$160:$AW$203,36,FALSE)),"")</f>
        <v/>
      </c>
      <c r="AL49" s="184" t="str">
        <f>IFERROR(IF(VLOOKUP(Tue_W2[[#This Row],[Employee Name]],'Base Schedules'!$A$160:$AW$203,37,FALSE)="","",VLOOKUP(Tue_W2[[#This Row],[Employee Name]],'Base Schedules'!$A$160:$AW$203,37,FALSE)),"")</f>
        <v/>
      </c>
      <c r="AM49" s="184" t="str">
        <f>IFERROR(IF(VLOOKUP(Tue_W2[[#This Row],[Employee Name]],'Base Schedules'!$A$160:$AW$203,38,FALSE)="","",VLOOKUP(Tue_W2[[#This Row],[Employee Name]],'Base Schedules'!$A$160:$AW$203,38,FALSE)),"")</f>
        <v/>
      </c>
      <c r="AN49" s="184" t="str">
        <f>IFERROR(IF(VLOOKUP(Tue_W2[[#This Row],[Employee Name]],'Base Schedules'!$A$160:$AW$203,39,FALSE)="","",VLOOKUP(Tue_W2[[#This Row],[Employee Name]],'Base Schedules'!$A$160:$AW$203,39,FALSE)),"")</f>
        <v/>
      </c>
      <c r="AO49" s="184" t="str">
        <f>IFERROR(IF(VLOOKUP(Tue_W2[[#This Row],[Employee Name]],'Base Schedules'!$A$160:$AW$203,40,FALSE)="","",VLOOKUP(Tue_W2[[#This Row],[Employee Name]],'Base Schedules'!$A$160:$AW$203,40,FALSE)),"")</f>
        <v/>
      </c>
      <c r="AP49" s="184" t="str">
        <f>IFERROR(IF(VLOOKUP(Tue_W2[[#This Row],[Employee Name]],'Base Schedules'!$A$160:$AW$203,41,FALSE)="","",VLOOKUP(Tue_W2[[#This Row],[Employee Name]],'Base Schedules'!$A$160:$AW$203,41,FALSE)),"")</f>
        <v/>
      </c>
      <c r="AQ49" s="184" t="str">
        <f>IFERROR(IF(VLOOKUP(Tue_W2[[#This Row],[Employee Name]],'Base Schedules'!$A$160:$AW$203,42,FALSE)="","",VLOOKUP(Tue_W2[[#This Row],[Employee Name]],'Base Schedules'!$A$160:$AW$203,42,FALSE)),"")</f>
        <v/>
      </c>
      <c r="AR49" s="184" t="str">
        <f>IFERROR(IF(VLOOKUP(Tue_W2[[#This Row],[Employee Name]],'Base Schedules'!$A$160:$AW$203,43,FALSE)="","",VLOOKUP(Tue_W2[[#This Row],[Employee Name]],'Base Schedules'!$A$160:$AW$203,43,FALSE)),"")</f>
        <v/>
      </c>
      <c r="AS49" s="184" t="str">
        <f>IFERROR(IF(VLOOKUP(Tue_W2[[#This Row],[Employee Name]],'Base Schedules'!$A$160:$AW$203,44,FALSE)="","",VLOOKUP(Tue_W2[[#This Row],[Employee Name]],'Base Schedules'!$A$160:$AW$203,44,FALSE)),"")</f>
        <v/>
      </c>
      <c r="AT49" s="184" t="str">
        <f>IFERROR(IF(VLOOKUP(Tue_W2[[#This Row],[Employee Name]],'Base Schedules'!$A$160:$AW$203,45,FALSE)="","",VLOOKUP(Tue_W2[[#This Row],[Employee Name]],'Base Schedules'!$A$160:$AW$203,45,FALSE)),"")</f>
        <v/>
      </c>
      <c r="AU49" s="184" t="str">
        <f>IFERROR(IF(VLOOKUP(Tue_W2[[#This Row],[Employee Name]],'Base Schedules'!$A$160:$AW$203,46,FALSE)="","",VLOOKUP(Tue_W2[[#This Row],[Employee Name]],'Base Schedules'!$A$160:$AW$203,46,FALSE)),"")</f>
        <v/>
      </c>
      <c r="AV49" s="184" t="str">
        <f>IFERROR(IF(VLOOKUP(Tue_W2[[#This Row],[Employee Name]],'Base Schedules'!$A$160:$AW$203,47,FALSE)="","",VLOOKUP(Tue_W2[[#This Row],[Employee Name]],'Base Schedules'!$A$160:$AW$203,47,FALSE)),"")</f>
        <v/>
      </c>
      <c r="AW49" s="184" t="str">
        <f>IFERROR(IF(VLOOKUP(Tue_W2[[#This Row],[Employee Name]],'Base Schedules'!$A$160:$AW$203,48,FALSE)="","",VLOOKUP(Tue_W2[[#This Row],[Employee Name]],'Base Schedules'!$A$160:$AW$203,48,FALSE)),"")</f>
        <v/>
      </c>
      <c r="AX49" s="184" t="str">
        <f>IFERROR(IF(VLOOKUP(Tue_W2[[#This Row],[Employee Name]],'Base Schedules'!$A$160:$AW$203,49,FALSE)="","",VLOOKUP(Tue_W2[[#This Row],[Employee Name]],'Base Schedules'!$A$160:$AW$203,49,FALSE)),"")</f>
        <v/>
      </c>
      <c r="AY49" s="159" t="str">
        <f t="shared" si="2"/>
        <v/>
      </c>
    </row>
    <row r="50" spans="1:52" s="44" customFormat="1" ht="12" hidden="1" customHeight="1" x14ac:dyDescent="0.2">
      <c r="A50" s="39" t="str">
        <f>IF(B50="","",INDEX(TeamList[],MATCH($B50,TeamList[[Employee Name]:[Employee Name]],0),MATCH("Manager",TeamList[#Headers],0)))</f>
        <v/>
      </c>
      <c r="B50" s="201"/>
      <c r="C50" s="257" t="str">
        <f>_xlfn.IFNA(VLOOKUP(Tue_W2[[#This Row],[Employee Name]],'Base Schedules'!A:B,2,FALSE),"")</f>
        <v/>
      </c>
      <c r="D50" s="274" t="str">
        <f>_xlfn.IFNA(VLOOKUP(Tue_W2[[#This Row],[Employee Name]],'Base Schedules'!A:C,3,FALSE),"")</f>
        <v/>
      </c>
      <c r="E50" s="274" t="str">
        <f>_xlfn.IFNA(VLOOKUP(Tue_W2[[#This Row],[Employee Name]],'Base Schedules'!A:D,4,FALSE),"")</f>
        <v/>
      </c>
      <c r="F50" s="142" t="str">
        <f>IF(Tue_W2[[#This Row],[Employee Name]]="","",IF(Tue_W2[[#This Row],[Dept]]="Supervisor",COUNTIFS($J50:$AX50,"*HL*",$J50:$AX50,"&lt;&gt;"&amp;"pHL"),COUNTIFS($J50:$AX50,"*HL*",$J50:$AX50,"&lt;&gt;"&amp;"*pHL*",$J50:$AX50,"&lt;&gt;"&amp;"pB1 HL",$J50:$AX50,"&lt;&gt;"&amp;"pB2 HL")-SUM(COUNTIFS($J50:$AX50,"*HL B1*",$J50:$AX50,"&lt;&gt;"&amp;"pHL B1")*0.5,COUNTIFS($J50:$AX50,"*HL B2*",$J50:$AX50,"&lt;&gt;"&amp;"pHL B2")*0.5,COUNTIFS($J50:$AX50,"*B1 HL*",$J50:$AX50,"&lt;&gt;"&amp;"pB1 HL")*0.5,COUNTIFS($J50:$AX50,"*B2 HL*",$J50:$AX50,"&lt;&gt;"&amp;"pB2 HL")*0.5)))</f>
        <v/>
      </c>
      <c r="G50" s="142" t="str">
        <f t="shared" si="3"/>
        <v/>
      </c>
      <c r="H50" s="142" t="str">
        <f t="shared" si="1"/>
        <v/>
      </c>
      <c r="I50" s="142" t="str">
        <f>IF(Tue_W2[[#This Row],[Employee Name]]="","",IF(Tue_W2[[#This Row],[Dept]]="Supervisor",SUM(COUNTIFS($J50:$AX50,"RTA*",$J50:$AX50,"&lt;&gt;"&amp;"pRTA"),COUNTIFS($J50:$AX50,"*CRTA*",$J50:$AX50,"&lt;&gt;"&amp;"pCRTA")),COUNTIFS($J50:$AX50,"*RNNR*",$J50:$AX50,"&lt;&gt;"&amp;"*pRNNR*",$J50:$AX50,"&lt;&gt;"&amp;"pB1 RNNR",$J50:$AX50,"&lt;&gt;"&amp;"pB2 RNNR")-SUM(COUNTIFS($J50:$AX50,"*RNNR B1*",$J50:$AX50,"&lt;&gt;"&amp;"pRNNR B1")*0.5,COUNTIFS($J50:$AX50,"*RNNR B2*",$J50:$AX50,"&lt;&gt;"&amp;"pRNNR B2")*0.5,COUNTIFS($J50:$AX50,"*B1 RNNR*",$J50:$AX50,"&lt;&gt;"&amp;"pB1 RNNR")*0.5,COUNTIFS($J50:$AX50,"*B2 RNNR*",$J50:$AX50,"&lt;&gt;"&amp;"pB2 RNNR")*0.5)))</f>
        <v/>
      </c>
      <c r="J50" s="184" t="str">
        <f>IFERROR(IF(VLOOKUP(Tue_W2[[#This Row],[Employee Name]],'Base Schedules'!$A$160:$AW$203,9,FALSE)="","",VLOOKUP(Tue_W2[[#This Row],[Employee Name]],'Base Schedules'!$A$160:$AW$203,9,FALSE)),"")</f>
        <v/>
      </c>
      <c r="K50" s="184" t="str">
        <f>IFERROR(IF(VLOOKUP(Tue_W2[[#This Row],[Employee Name]],'Base Schedules'!$A$160:$AW$203,10,FALSE)="","",VLOOKUP(Tue_W2[[#This Row],[Employee Name]],'Base Schedules'!$A$160:$AW$203,10,FALSE)),"")</f>
        <v/>
      </c>
      <c r="L50" s="184" t="str">
        <f>IFERROR(IF(VLOOKUP(Tue_W2[[#This Row],[Employee Name]],'Base Schedules'!$A$160:$AW$203,11,FALSE)="","",VLOOKUP(Tue_W2[[#This Row],[Employee Name]],'Base Schedules'!$A$160:$AW$203,11,FALSE)),"")</f>
        <v/>
      </c>
      <c r="M50" s="184" t="str">
        <f>IFERROR(IF(VLOOKUP(Tue_W2[[#This Row],[Employee Name]],'Base Schedules'!$A$160:$AW$203,12,FALSE)="","",VLOOKUP(Tue_W2[[#This Row],[Employee Name]],'Base Schedules'!$A$160:$AW$203,12,FALSE)),"")</f>
        <v/>
      </c>
      <c r="N50" s="184" t="str">
        <f>IFERROR(IF(VLOOKUP(Tue_W2[[#This Row],[Employee Name]],'Base Schedules'!$A$160:$AW$203,13,FALSE)="","",VLOOKUP(Tue_W2[[#This Row],[Employee Name]],'Base Schedules'!$A$160:$AW$203,13,FALSE)),"")</f>
        <v/>
      </c>
      <c r="O50" s="184" t="str">
        <f>IFERROR(IF(VLOOKUP(Tue_W2[[#This Row],[Employee Name]],'Base Schedules'!$A$160:$AW$203,14,FALSE)="","",VLOOKUP(Tue_W2[[#This Row],[Employee Name]],'Base Schedules'!$A$160:$AW$203,14,FALSE)),"")</f>
        <v/>
      </c>
      <c r="P50" s="184" t="str">
        <f>IFERROR(IF(VLOOKUP(Tue_W2[[#This Row],[Employee Name]],'Base Schedules'!$A$160:$AW$203,15,FALSE)="","",VLOOKUP(Tue_W2[[#This Row],[Employee Name]],'Base Schedules'!$A$160:$AW$203,15,FALSE)),"")</f>
        <v/>
      </c>
      <c r="Q50" s="184" t="str">
        <f>IFERROR(IF(VLOOKUP(Tue_W2[[#This Row],[Employee Name]],'Base Schedules'!$A$160:$AW$203,16,FALSE)="","",VLOOKUP(Tue_W2[[#This Row],[Employee Name]],'Base Schedules'!$A$160:$AW$203,16,FALSE)),"")</f>
        <v/>
      </c>
      <c r="R50" s="184" t="str">
        <f>IFERROR(IF(VLOOKUP(Tue_W2[[#This Row],[Employee Name]],'Base Schedules'!$A$160:$AW$203,17,FALSE)="","",VLOOKUP(Tue_W2[[#This Row],[Employee Name]],'Base Schedules'!$A$160:$AW$203,17,FALSE)),"")</f>
        <v/>
      </c>
      <c r="S50" s="184" t="str">
        <f>IFERROR(IF(VLOOKUP(Tue_W2[[#This Row],[Employee Name]],'Base Schedules'!$A$160:$AW$203,18,FALSE)="","",VLOOKUP(Tue_W2[[#This Row],[Employee Name]],'Base Schedules'!$A$160:$AW$203,18,FALSE)),"")</f>
        <v/>
      </c>
      <c r="T50" s="184" t="str">
        <f>IFERROR(IF(VLOOKUP(Tue_W2[[#This Row],[Employee Name]],'Base Schedules'!$A$160:$AW$203,19,FALSE)="","",VLOOKUP(Tue_W2[[#This Row],[Employee Name]],'Base Schedules'!$A$160:$AW$203,19,FALSE)),"")</f>
        <v/>
      </c>
      <c r="U50" s="184" t="str">
        <f>IFERROR(IF(VLOOKUP(Tue_W2[[#This Row],[Employee Name]],'Base Schedules'!$A$160:$AW$203,20,FALSE)="","",VLOOKUP(Tue_W2[[#This Row],[Employee Name]],'Base Schedules'!$A$160:$AW$203,20,FALSE)),"")</f>
        <v/>
      </c>
      <c r="V50" s="184" t="str">
        <f>IFERROR(IF(VLOOKUP(Tue_W2[[#This Row],[Employee Name]],'Base Schedules'!$A$160:$AW$203,21,FALSE)="","",VLOOKUP(Tue_W2[[#This Row],[Employee Name]],'Base Schedules'!$A$160:$AW$203,21,FALSE)),"")</f>
        <v/>
      </c>
      <c r="W50" s="184" t="str">
        <f>IFERROR(IF(VLOOKUP(Tue_W2[[#This Row],[Employee Name]],'Base Schedules'!$A$160:$AW$203,22,FALSE)="","",VLOOKUP(Tue_W2[[#This Row],[Employee Name]],'Base Schedules'!$A$160:$AW$203,22,FALSE)),"")</f>
        <v/>
      </c>
      <c r="X50" s="184" t="str">
        <f>IFERROR(IF(VLOOKUP(Tue_W2[[#This Row],[Employee Name]],'Base Schedules'!$A$160:$AW$203,23,FALSE)="","",VLOOKUP(Tue_W2[[#This Row],[Employee Name]],'Base Schedules'!$A$160:$AW$203,23,FALSE)),"")</f>
        <v/>
      </c>
      <c r="Y50" s="184" t="str">
        <f>IFERROR(IF(VLOOKUP(Tue_W2[[#This Row],[Employee Name]],'Base Schedules'!$A$160:$AW$203,24,FALSE)="","",VLOOKUP(Tue_W2[[#This Row],[Employee Name]],'Base Schedules'!$A$160:$AW$203,24,FALSE)),"")</f>
        <v/>
      </c>
      <c r="Z50" s="184" t="str">
        <f>IFERROR(IF(VLOOKUP(Tue_W2[[#This Row],[Employee Name]],'Base Schedules'!$A$160:$AW$203,25,FALSE)="","",VLOOKUP(Tue_W2[[#This Row],[Employee Name]],'Base Schedules'!$A$160:$AW$203,25,FALSE)),"")</f>
        <v/>
      </c>
      <c r="AA50" s="184" t="str">
        <f>IFERROR(IF(VLOOKUP(Tue_W2[[#This Row],[Employee Name]],'Base Schedules'!$A$160:$AW$203,26,FALSE)="","",VLOOKUP(Tue_W2[[#This Row],[Employee Name]],'Base Schedules'!$A$160:$AW$203,26,FALSE)),"")</f>
        <v/>
      </c>
      <c r="AB50" s="184" t="str">
        <f>IFERROR(IF(VLOOKUP(Tue_W2[[#This Row],[Employee Name]],'Base Schedules'!$A$160:$AW$203,27,FALSE)="","",VLOOKUP(Tue_W2[[#This Row],[Employee Name]],'Base Schedules'!$A$160:$AW$203,27,FALSE)),"")</f>
        <v/>
      </c>
      <c r="AC50" s="184" t="str">
        <f>IFERROR(IF(VLOOKUP(Tue_W2[[#This Row],[Employee Name]],'Base Schedules'!$A$160:$AW$203,28,FALSE)="","",VLOOKUP(Tue_W2[[#This Row],[Employee Name]],'Base Schedules'!$A$160:$AW$203,28,FALSE)),"")</f>
        <v/>
      </c>
      <c r="AD50" s="184" t="str">
        <f>IFERROR(IF(VLOOKUP(Tue_W2[[#This Row],[Employee Name]],'Base Schedules'!$A$160:$AW$203,29,FALSE)="","",VLOOKUP(Tue_W2[[#This Row],[Employee Name]],'Base Schedules'!$A$160:$AW$203,29,FALSE)),"")</f>
        <v/>
      </c>
      <c r="AE50" s="184" t="str">
        <f>IFERROR(IF(VLOOKUP(Tue_W2[[#This Row],[Employee Name]],'Base Schedules'!$A$160:$AW$203,30,FALSE)="","",VLOOKUP(Tue_W2[[#This Row],[Employee Name]],'Base Schedules'!$A$160:$AW$203,30,FALSE)),"")</f>
        <v/>
      </c>
      <c r="AF50" s="184" t="str">
        <f>IFERROR(IF(VLOOKUP(Tue_W2[[#This Row],[Employee Name]],'Base Schedules'!$A$160:$AW$203,31,FALSE)="","",VLOOKUP(Tue_W2[[#This Row],[Employee Name]],'Base Schedules'!$A$160:$AW$203,31,FALSE)),"")</f>
        <v/>
      </c>
      <c r="AG50" s="184" t="str">
        <f>IFERROR(IF(VLOOKUP(Tue_W2[[#This Row],[Employee Name]],'Base Schedules'!$A$160:$AW$203,32,FALSE)="","",VLOOKUP(Tue_W2[[#This Row],[Employee Name]],'Base Schedules'!$A$160:$AW$203,32,FALSE)),"")</f>
        <v/>
      </c>
      <c r="AH50" s="184" t="str">
        <f>IFERROR(IF(VLOOKUP(Tue_W2[[#This Row],[Employee Name]],'Base Schedules'!$A$160:$AW$203,33,FALSE)="","",VLOOKUP(Tue_W2[[#This Row],[Employee Name]],'Base Schedules'!$A$160:$AW$203,33,FALSE)),"")</f>
        <v/>
      </c>
      <c r="AI50" s="184" t="str">
        <f>IFERROR(IF(VLOOKUP(Tue_W2[[#This Row],[Employee Name]],'Base Schedules'!$A$160:$AW$203,34,FALSE)="","",VLOOKUP(Tue_W2[[#This Row],[Employee Name]],'Base Schedules'!$A$160:$AW$203,34,FALSE)),"")</f>
        <v/>
      </c>
      <c r="AJ50" s="184" t="str">
        <f>IFERROR(IF(VLOOKUP(Tue_W2[[#This Row],[Employee Name]],'Base Schedules'!$A$160:$AW$203,35,FALSE)="","",VLOOKUP(Tue_W2[[#This Row],[Employee Name]],'Base Schedules'!$A$160:$AW$203,35,FALSE)),"")</f>
        <v/>
      </c>
      <c r="AK50" s="184" t="str">
        <f>IFERROR(IF(VLOOKUP(Tue_W2[[#This Row],[Employee Name]],'Base Schedules'!$A$160:$AW$203,36,FALSE)="","",VLOOKUP(Tue_W2[[#This Row],[Employee Name]],'Base Schedules'!$A$160:$AW$203,36,FALSE)),"")</f>
        <v/>
      </c>
      <c r="AL50" s="184" t="str">
        <f>IFERROR(IF(VLOOKUP(Tue_W2[[#This Row],[Employee Name]],'Base Schedules'!$A$160:$AW$203,37,FALSE)="","",VLOOKUP(Tue_W2[[#This Row],[Employee Name]],'Base Schedules'!$A$160:$AW$203,37,FALSE)),"")</f>
        <v/>
      </c>
      <c r="AM50" s="184" t="str">
        <f>IFERROR(IF(VLOOKUP(Tue_W2[[#This Row],[Employee Name]],'Base Schedules'!$A$160:$AW$203,38,FALSE)="","",VLOOKUP(Tue_W2[[#This Row],[Employee Name]],'Base Schedules'!$A$160:$AW$203,38,FALSE)),"")</f>
        <v/>
      </c>
      <c r="AN50" s="184" t="str">
        <f>IFERROR(IF(VLOOKUP(Tue_W2[[#This Row],[Employee Name]],'Base Schedules'!$A$160:$AW$203,39,FALSE)="","",VLOOKUP(Tue_W2[[#This Row],[Employee Name]],'Base Schedules'!$A$160:$AW$203,39,FALSE)),"")</f>
        <v/>
      </c>
      <c r="AO50" s="184" t="str">
        <f>IFERROR(IF(VLOOKUP(Tue_W2[[#This Row],[Employee Name]],'Base Schedules'!$A$160:$AW$203,40,FALSE)="","",VLOOKUP(Tue_W2[[#This Row],[Employee Name]],'Base Schedules'!$A$160:$AW$203,40,FALSE)),"")</f>
        <v/>
      </c>
      <c r="AP50" s="184" t="str">
        <f>IFERROR(IF(VLOOKUP(Tue_W2[[#This Row],[Employee Name]],'Base Schedules'!$A$160:$AW$203,41,FALSE)="","",VLOOKUP(Tue_W2[[#This Row],[Employee Name]],'Base Schedules'!$A$160:$AW$203,41,FALSE)),"")</f>
        <v/>
      </c>
      <c r="AQ50" s="184" t="str">
        <f>IFERROR(IF(VLOOKUP(Tue_W2[[#This Row],[Employee Name]],'Base Schedules'!$A$160:$AW$203,42,FALSE)="","",VLOOKUP(Tue_W2[[#This Row],[Employee Name]],'Base Schedules'!$A$160:$AW$203,42,FALSE)),"")</f>
        <v/>
      </c>
      <c r="AR50" s="184" t="str">
        <f>IFERROR(IF(VLOOKUP(Tue_W2[[#This Row],[Employee Name]],'Base Schedules'!$A$160:$AW$203,43,FALSE)="","",VLOOKUP(Tue_W2[[#This Row],[Employee Name]],'Base Schedules'!$A$160:$AW$203,43,FALSE)),"")</f>
        <v/>
      </c>
      <c r="AS50" s="184" t="str">
        <f>IFERROR(IF(VLOOKUP(Tue_W2[[#This Row],[Employee Name]],'Base Schedules'!$A$160:$AW$203,44,FALSE)="","",VLOOKUP(Tue_W2[[#This Row],[Employee Name]],'Base Schedules'!$A$160:$AW$203,44,FALSE)),"")</f>
        <v/>
      </c>
      <c r="AT50" s="184" t="str">
        <f>IFERROR(IF(VLOOKUP(Tue_W2[[#This Row],[Employee Name]],'Base Schedules'!$A$160:$AW$203,45,FALSE)="","",VLOOKUP(Tue_W2[[#This Row],[Employee Name]],'Base Schedules'!$A$160:$AW$203,45,FALSE)),"")</f>
        <v/>
      </c>
      <c r="AU50" s="184" t="str">
        <f>IFERROR(IF(VLOOKUP(Tue_W2[[#This Row],[Employee Name]],'Base Schedules'!$A$160:$AW$203,46,FALSE)="","",VLOOKUP(Tue_W2[[#This Row],[Employee Name]],'Base Schedules'!$A$160:$AW$203,46,FALSE)),"")</f>
        <v/>
      </c>
      <c r="AV50" s="184" t="str">
        <f>IFERROR(IF(VLOOKUP(Tue_W2[[#This Row],[Employee Name]],'Base Schedules'!$A$160:$AW$203,47,FALSE)="","",VLOOKUP(Tue_W2[[#This Row],[Employee Name]],'Base Schedules'!$A$160:$AW$203,47,FALSE)),"")</f>
        <v/>
      </c>
      <c r="AW50" s="184" t="str">
        <f>IFERROR(IF(VLOOKUP(Tue_W2[[#This Row],[Employee Name]],'Base Schedules'!$A$160:$AW$203,48,FALSE)="","",VLOOKUP(Tue_W2[[#This Row],[Employee Name]],'Base Schedules'!$A$160:$AW$203,48,FALSE)),"")</f>
        <v/>
      </c>
      <c r="AX50" s="184" t="str">
        <f>IFERROR(IF(VLOOKUP(Tue_W2[[#This Row],[Employee Name]],'Base Schedules'!$A$160:$AW$203,49,FALSE)="","",VLOOKUP(Tue_W2[[#This Row],[Employee Name]],'Base Schedules'!$A$160:$AW$203,49,FALSE)),"")</f>
        <v/>
      </c>
      <c r="AY50" s="159" t="str">
        <f t="shared" si="2"/>
        <v/>
      </c>
    </row>
    <row r="51" spans="1:52" s="44" customFormat="1" ht="12" hidden="1" customHeight="1" x14ac:dyDescent="0.2">
      <c r="A51" s="39" t="str">
        <f>IF(B51="","",INDEX(TeamList[],MATCH($B51,TeamList[[Employee Name]:[Employee Name]],0),MATCH("Manager",TeamList[#Headers],0)))</f>
        <v/>
      </c>
      <c r="B51" s="201"/>
      <c r="C51" s="257" t="str">
        <f>_xlfn.IFNA(VLOOKUP(Tue_W2[[#This Row],[Employee Name]],'Base Schedules'!A:B,2,FALSE),"")</f>
        <v/>
      </c>
      <c r="D51" s="274" t="str">
        <f>_xlfn.IFNA(VLOOKUP(Tue_W2[[#This Row],[Employee Name]],'Base Schedules'!A:C,3,FALSE),"")</f>
        <v/>
      </c>
      <c r="E51" s="274" t="str">
        <f>_xlfn.IFNA(VLOOKUP(Tue_W2[[#This Row],[Employee Name]],'Base Schedules'!A:D,4,FALSE),"")</f>
        <v/>
      </c>
      <c r="F51" s="142" t="str">
        <f>IF(Tue_W2[[#This Row],[Employee Name]]="","",IF(Tue_W2[[#This Row],[Dept]]="Supervisor",COUNTIFS($J51:$AX51,"*HL*",$J51:$AX51,"&lt;&gt;"&amp;"pHL"),COUNTIFS($J51:$AX51,"*HL*",$J51:$AX51,"&lt;&gt;"&amp;"*pHL*",$J51:$AX51,"&lt;&gt;"&amp;"pB1 HL",$J51:$AX51,"&lt;&gt;"&amp;"pB2 HL")-SUM(COUNTIFS($J51:$AX51,"*HL B1*",$J51:$AX51,"&lt;&gt;"&amp;"pHL B1")*0.5,COUNTIFS($J51:$AX51,"*HL B2*",$J51:$AX51,"&lt;&gt;"&amp;"pHL B2")*0.5,COUNTIFS($J51:$AX51,"*B1 HL*",$J51:$AX51,"&lt;&gt;"&amp;"pB1 HL")*0.5,COUNTIFS($J51:$AX51,"*B2 HL*",$J51:$AX51,"&lt;&gt;"&amp;"pB2 HL")*0.5)))</f>
        <v/>
      </c>
      <c r="G51" s="142" t="str">
        <f t="shared" si="3"/>
        <v/>
      </c>
      <c r="H51" s="142" t="str">
        <f t="shared" si="1"/>
        <v/>
      </c>
      <c r="I51" s="142" t="str">
        <f>IF(Tue_W2[[#This Row],[Employee Name]]="","",IF(Tue_W2[[#This Row],[Dept]]="Supervisor",SUM(COUNTIFS($J51:$AX51,"RTA*",$J51:$AX51,"&lt;&gt;"&amp;"pRTA"),COUNTIFS($J51:$AX51,"*CRTA*",$J51:$AX51,"&lt;&gt;"&amp;"pCRTA")),COUNTIFS($J51:$AX51,"*RNNR*",$J51:$AX51,"&lt;&gt;"&amp;"*pRNNR*",$J51:$AX51,"&lt;&gt;"&amp;"pB1 RNNR",$J51:$AX51,"&lt;&gt;"&amp;"pB2 RNNR")-SUM(COUNTIFS($J51:$AX51,"*RNNR B1*",$J51:$AX51,"&lt;&gt;"&amp;"pRNNR B1")*0.5,COUNTIFS($J51:$AX51,"*RNNR B2*",$J51:$AX51,"&lt;&gt;"&amp;"pRNNR B2")*0.5,COUNTIFS($J51:$AX51,"*B1 RNNR*",$J51:$AX51,"&lt;&gt;"&amp;"pB1 RNNR")*0.5,COUNTIFS($J51:$AX51,"*B2 RNNR*",$J51:$AX51,"&lt;&gt;"&amp;"pB2 RNNR")*0.5)))</f>
        <v/>
      </c>
      <c r="J51" s="184" t="str">
        <f>IFERROR(IF(VLOOKUP(Tue_W2[[#This Row],[Employee Name]],'Base Schedules'!$A$160:$AW$203,9,FALSE)="","",VLOOKUP(Tue_W2[[#This Row],[Employee Name]],'Base Schedules'!$A$160:$AW$203,9,FALSE)),"")</f>
        <v/>
      </c>
      <c r="K51" s="184" t="str">
        <f>IFERROR(IF(VLOOKUP(Tue_W2[[#This Row],[Employee Name]],'Base Schedules'!$A$160:$AW$203,10,FALSE)="","",VLOOKUP(Tue_W2[[#This Row],[Employee Name]],'Base Schedules'!$A$160:$AW$203,10,FALSE)),"")</f>
        <v/>
      </c>
      <c r="L51" s="184" t="str">
        <f>IFERROR(IF(VLOOKUP(Tue_W2[[#This Row],[Employee Name]],'Base Schedules'!$A$160:$AW$203,11,FALSE)="","",VLOOKUP(Tue_W2[[#This Row],[Employee Name]],'Base Schedules'!$A$160:$AW$203,11,FALSE)),"")</f>
        <v/>
      </c>
      <c r="M51" s="184" t="str">
        <f>IFERROR(IF(VLOOKUP(Tue_W2[[#This Row],[Employee Name]],'Base Schedules'!$A$160:$AW$203,12,FALSE)="","",VLOOKUP(Tue_W2[[#This Row],[Employee Name]],'Base Schedules'!$A$160:$AW$203,12,FALSE)),"")</f>
        <v/>
      </c>
      <c r="N51" s="184" t="str">
        <f>IFERROR(IF(VLOOKUP(Tue_W2[[#This Row],[Employee Name]],'Base Schedules'!$A$160:$AW$203,13,FALSE)="","",VLOOKUP(Tue_W2[[#This Row],[Employee Name]],'Base Schedules'!$A$160:$AW$203,13,FALSE)),"")</f>
        <v/>
      </c>
      <c r="O51" s="184" t="str">
        <f>IFERROR(IF(VLOOKUP(Tue_W2[[#This Row],[Employee Name]],'Base Schedules'!$A$160:$AW$203,14,FALSE)="","",VLOOKUP(Tue_W2[[#This Row],[Employee Name]],'Base Schedules'!$A$160:$AW$203,14,FALSE)),"")</f>
        <v/>
      </c>
      <c r="P51" s="184" t="str">
        <f>IFERROR(IF(VLOOKUP(Tue_W2[[#This Row],[Employee Name]],'Base Schedules'!$A$160:$AW$203,15,FALSE)="","",VLOOKUP(Tue_W2[[#This Row],[Employee Name]],'Base Schedules'!$A$160:$AW$203,15,FALSE)),"")</f>
        <v/>
      </c>
      <c r="Q51" s="184" t="str">
        <f>IFERROR(IF(VLOOKUP(Tue_W2[[#This Row],[Employee Name]],'Base Schedules'!$A$160:$AW$203,16,FALSE)="","",VLOOKUP(Tue_W2[[#This Row],[Employee Name]],'Base Schedules'!$A$160:$AW$203,16,FALSE)),"")</f>
        <v/>
      </c>
      <c r="R51" s="184" t="str">
        <f>IFERROR(IF(VLOOKUP(Tue_W2[[#This Row],[Employee Name]],'Base Schedules'!$A$160:$AW$203,17,FALSE)="","",VLOOKUP(Tue_W2[[#This Row],[Employee Name]],'Base Schedules'!$A$160:$AW$203,17,FALSE)),"")</f>
        <v/>
      </c>
      <c r="S51" s="184" t="str">
        <f>IFERROR(IF(VLOOKUP(Tue_W2[[#This Row],[Employee Name]],'Base Schedules'!$A$160:$AW$203,18,FALSE)="","",VLOOKUP(Tue_W2[[#This Row],[Employee Name]],'Base Schedules'!$A$160:$AW$203,18,FALSE)),"")</f>
        <v/>
      </c>
      <c r="T51" s="184" t="str">
        <f>IFERROR(IF(VLOOKUP(Tue_W2[[#This Row],[Employee Name]],'Base Schedules'!$A$160:$AW$203,19,FALSE)="","",VLOOKUP(Tue_W2[[#This Row],[Employee Name]],'Base Schedules'!$A$160:$AW$203,19,FALSE)),"")</f>
        <v/>
      </c>
      <c r="U51" s="184" t="str">
        <f>IFERROR(IF(VLOOKUP(Tue_W2[[#This Row],[Employee Name]],'Base Schedules'!$A$160:$AW$203,20,FALSE)="","",VLOOKUP(Tue_W2[[#This Row],[Employee Name]],'Base Schedules'!$A$160:$AW$203,20,FALSE)),"")</f>
        <v/>
      </c>
      <c r="V51" s="184" t="str">
        <f>IFERROR(IF(VLOOKUP(Tue_W2[[#This Row],[Employee Name]],'Base Schedules'!$A$160:$AW$203,21,FALSE)="","",VLOOKUP(Tue_W2[[#This Row],[Employee Name]],'Base Schedules'!$A$160:$AW$203,21,FALSE)),"")</f>
        <v/>
      </c>
      <c r="W51" s="184" t="str">
        <f>IFERROR(IF(VLOOKUP(Tue_W2[[#This Row],[Employee Name]],'Base Schedules'!$A$160:$AW$203,22,FALSE)="","",VLOOKUP(Tue_W2[[#This Row],[Employee Name]],'Base Schedules'!$A$160:$AW$203,22,FALSE)),"")</f>
        <v/>
      </c>
      <c r="X51" s="184" t="str">
        <f>IFERROR(IF(VLOOKUP(Tue_W2[[#This Row],[Employee Name]],'Base Schedules'!$A$160:$AW$203,23,FALSE)="","",VLOOKUP(Tue_W2[[#This Row],[Employee Name]],'Base Schedules'!$A$160:$AW$203,23,FALSE)),"")</f>
        <v/>
      </c>
      <c r="Y51" s="184" t="str">
        <f>IFERROR(IF(VLOOKUP(Tue_W2[[#This Row],[Employee Name]],'Base Schedules'!$A$160:$AW$203,24,FALSE)="","",VLOOKUP(Tue_W2[[#This Row],[Employee Name]],'Base Schedules'!$A$160:$AW$203,24,FALSE)),"")</f>
        <v/>
      </c>
      <c r="Z51" s="184" t="str">
        <f>IFERROR(IF(VLOOKUP(Tue_W2[[#This Row],[Employee Name]],'Base Schedules'!$A$160:$AW$203,25,FALSE)="","",VLOOKUP(Tue_W2[[#This Row],[Employee Name]],'Base Schedules'!$A$160:$AW$203,25,FALSE)),"")</f>
        <v/>
      </c>
      <c r="AA51" s="184" t="str">
        <f>IFERROR(IF(VLOOKUP(Tue_W2[[#This Row],[Employee Name]],'Base Schedules'!$A$160:$AW$203,26,FALSE)="","",VLOOKUP(Tue_W2[[#This Row],[Employee Name]],'Base Schedules'!$A$160:$AW$203,26,FALSE)),"")</f>
        <v/>
      </c>
      <c r="AB51" s="184" t="str">
        <f>IFERROR(IF(VLOOKUP(Tue_W2[[#This Row],[Employee Name]],'Base Schedules'!$A$160:$AW$203,27,FALSE)="","",VLOOKUP(Tue_W2[[#This Row],[Employee Name]],'Base Schedules'!$A$160:$AW$203,27,FALSE)),"")</f>
        <v/>
      </c>
      <c r="AC51" s="184" t="str">
        <f>IFERROR(IF(VLOOKUP(Tue_W2[[#This Row],[Employee Name]],'Base Schedules'!$A$160:$AW$203,28,FALSE)="","",VLOOKUP(Tue_W2[[#This Row],[Employee Name]],'Base Schedules'!$A$160:$AW$203,28,FALSE)),"")</f>
        <v/>
      </c>
      <c r="AD51" s="184" t="str">
        <f>IFERROR(IF(VLOOKUP(Tue_W2[[#This Row],[Employee Name]],'Base Schedules'!$A$160:$AW$203,29,FALSE)="","",VLOOKUP(Tue_W2[[#This Row],[Employee Name]],'Base Schedules'!$A$160:$AW$203,29,FALSE)),"")</f>
        <v/>
      </c>
      <c r="AE51" s="184" t="str">
        <f>IFERROR(IF(VLOOKUP(Tue_W2[[#This Row],[Employee Name]],'Base Schedules'!$A$160:$AW$203,30,FALSE)="","",VLOOKUP(Tue_W2[[#This Row],[Employee Name]],'Base Schedules'!$A$160:$AW$203,30,FALSE)),"")</f>
        <v/>
      </c>
      <c r="AF51" s="184" t="str">
        <f>IFERROR(IF(VLOOKUP(Tue_W2[[#This Row],[Employee Name]],'Base Schedules'!$A$160:$AW$203,31,FALSE)="","",VLOOKUP(Tue_W2[[#This Row],[Employee Name]],'Base Schedules'!$A$160:$AW$203,31,FALSE)),"")</f>
        <v/>
      </c>
      <c r="AG51" s="184" t="str">
        <f>IFERROR(IF(VLOOKUP(Tue_W2[[#This Row],[Employee Name]],'Base Schedules'!$A$160:$AW$203,32,FALSE)="","",VLOOKUP(Tue_W2[[#This Row],[Employee Name]],'Base Schedules'!$A$160:$AW$203,32,FALSE)),"")</f>
        <v/>
      </c>
      <c r="AH51" s="184" t="str">
        <f>IFERROR(IF(VLOOKUP(Tue_W2[[#This Row],[Employee Name]],'Base Schedules'!$A$160:$AW$203,33,FALSE)="","",VLOOKUP(Tue_W2[[#This Row],[Employee Name]],'Base Schedules'!$A$160:$AW$203,33,FALSE)),"")</f>
        <v/>
      </c>
      <c r="AI51" s="184" t="str">
        <f>IFERROR(IF(VLOOKUP(Tue_W2[[#This Row],[Employee Name]],'Base Schedules'!$A$160:$AW$203,34,FALSE)="","",VLOOKUP(Tue_W2[[#This Row],[Employee Name]],'Base Schedules'!$A$160:$AW$203,34,FALSE)),"")</f>
        <v/>
      </c>
      <c r="AJ51" s="184" t="str">
        <f>IFERROR(IF(VLOOKUP(Tue_W2[[#This Row],[Employee Name]],'Base Schedules'!$A$160:$AW$203,35,FALSE)="","",VLOOKUP(Tue_W2[[#This Row],[Employee Name]],'Base Schedules'!$A$160:$AW$203,35,FALSE)),"")</f>
        <v/>
      </c>
      <c r="AK51" s="184" t="str">
        <f>IFERROR(IF(VLOOKUP(Tue_W2[[#This Row],[Employee Name]],'Base Schedules'!$A$160:$AW$203,36,FALSE)="","",VLOOKUP(Tue_W2[[#This Row],[Employee Name]],'Base Schedules'!$A$160:$AW$203,36,FALSE)),"")</f>
        <v/>
      </c>
      <c r="AL51" s="184" t="str">
        <f>IFERROR(IF(VLOOKUP(Tue_W2[[#This Row],[Employee Name]],'Base Schedules'!$A$160:$AW$203,37,FALSE)="","",VLOOKUP(Tue_W2[[#This Row],[Employee Name]],'Base Schedules'!$A$160:$AW$203,37,FALSE)),"")</f>
        <v/>
      </c>
      <c r="AM51" s="184" t="str">
        <f>IFERROR(IF(VLOOKUP(Tue_W2[[#This Row],[Employee Name]],'Base Schedules'!$A$160:$AW$203,38,FALSE)="","",VLOOKUP(Tue_W2[[#This Row],[Employee Name]],'Base Schedules'!$A$160:$AW$203,38,FALSE)),"")</f>
        <v/>
      </c>
      <c r="AN51" s="184" t="str">
        <f>IFERROR(IF(VLOOKUP(Tue_W2[[#This Row],[Employee Name]],'Base Schedules'!$A$160:$AW$203,39,FALSE)="","",VLOOKUP(Tue_W2[[#This Row],[Employee Name]],'Base Schedules'!$A$160:$AW$203,39,FALSE)),"")</f>
        <v/>
      </c>
      <c r="AO51" s="184" t="str">
        <f>IFERROR(IF(VLOOKUP(Tue_W2[[#This Row],[Employee Name]],'Base Schedules'!$A$160:$AW$203,40,FALSE)="","",VLOOKUP(Tue_W2[[#This Row],[Employee Name]],'Base Schedules'!$A$160:$AW$203,40,FALSE)),"")</f>
        <v/>
      </c>
      <c r="AP51" s="184" t="str">
        <f>IFERROR(IF(VLOOKUP(Tue_W2[[#This Row],[Employee Name]],'Base Schedules'!$A$160:$AW$203,41,FALSE)="","",VLOOKUP(Tue_W2[[#This Row],[Employee Name]],'Base Schedules'!$A$160:$AW$203,41,FALSE)),"")</f>
        <v/>
      </c>
      <c r="AQ51" s="184" t="str">
        <f>IFERROR(IF(VLOOKUP(Tue_W2[[#This Row],[Employee Name]],'Base Schedules'!$A$160:$AW$203,42,FALSE)="","",VLOOKUP(Tue_W2[[#This Row],[Employee Name]],'Base Schedules'!$A$160:$AW$203,42,FALSE)),"")</f>
        <v/>
      </c>
      <c r="AR51" s="184" t="str">
        <f>IFERROR(IF(VLOOKUP(Tue_W2[[#This Row],[Employee Name]],'Base Schedules'!$A$160:$AW$203,43,FALSE)="","",VLOOKUP(Tue_W2[[#This Row],[Employee Name]],'Base Schedules'!$A$160:$AW$203,43,FALSE)),"")</f>
        <v/>
      </c>
      <c r="AS51" s="184" t="str">
        <f>IFERROR(IF(VLOOKUP(Tue_W2[[#This Row],[Employee Name]],'Base Schedules'!$A$160:$AW$203,44,FALSE)="","",VLOOKUP(Tue_W2[[#This Row],[Employee Name]],'Base Schedules'!$A$160:$AW$203,44,FALSE)),"")</f>
        <v/>
      </c>
      <c r="AT51" s="184" t="str">
        <f>IFERROR(IF(VLOOKUP(Tue_W2[[#This Row],[Employee Name]],'Base Schedules'!$A$160:$AW$203,45,FALSE)="","",VLOOKUP(Tue_W2[[#This Row],[Employee Name]],'Base Schedules'!$A$160:$AW$203,45,FALSE)),"")</f>
        <v/>
      </c>
      <c r="AU51" s="184" t="str">
        <f>IFERROR(IF(VLOOKUP(Tue_W2[[#This Row],[Employee Name]],'Base Schedules'!$A$160:$AW$203,46,FALSE)="","",VLOOKUP(Tue_W2[[#This Row],[Employee Name]],'Base Schedules'!$A$160:$AW$203,46,FALSE)),"")</f>
        <v/>
      </c>
      <c r="AV51" s="184" t="str">
        <f>IFERROR(IF(VLOOKUP(Tue_W2[[#This Row],[Employee Name]],'Base Schedules'!$A$160:$AW$203,47,FALSE)="","",VLOOKUP(Tue_W2[[#This Row],[Employee Name]],'Base Schedules'!$A$160:$AW$203,47,FALSE)),"")</f>
        <v/>
      </c>
      <c r="AW51" s="184" t="str">
        <f>IFERROR(IF(VLOOKUP(Tue_W2[[#This Row],[Employee Name]],'Base Schedules'!$A$160:$AW$203,48,FALSE)="","",VLOOKUP(Tue_W2[[#This Row],[Employee Name]],'Base Schedules'!$A$160:$AW$203,48,FALSE)),"")</f>
        <v/>
      </c>
      <c r="AX51" s="184" t="str">
        <f>IFERROR(IF(VLOOKUP(Tue_W2[[#This Row],[Employee Name]],'Base Schedules'!$A$160:$AW$203,49,FALSE)="","",VLOOKUP(Tue_W2[[#This Row],[Employee Name]],'Base Schedules'!$A$160:$AW$203,49,FALSE)),"")</f>
        <v/>
      </c>
      <c r="AY51" s="159" t="str">
        <f t="shared" si="2"/>
        <v/>
      </c>
    </row>
    <row r="52" spans="1:52" s="44" customFormat="1" ht="12" hidden="1" customHeight="1" x14ac:dyDescent="0.2">
      <c r="A52" s="39" t="str">
        <f>IF(B52="","",INDEX(TeamList[],MATCH($B52,TeamList[[Employee Name]:[Employee Name]],0),MATCH("Manager",TeamList[#Headers],0)))</f>
        <v/>
      </c>
      <c r="B52" s="201"/>
      <c r="C52" s="257" t="str">
        <f>_xlfn.IFNA(VLOOKUP(Tue_W2[[#This Row],[Employee Name]],'Base Schedules'!A:B,2,FALSE),"")</f>
        <v/>
      </c>
      <c r="D52" s="274" t="str">
        <f>_xlfn.IFNA(VLOOKUP(Tue_W2[[#This Row],[Employee Name]],'Base Schedules'!A:C,3,FALSE),"")</f>
        <v/>
      </c>
      <c r="E52" s="274" t="str">
        <f>_xlfn.IFNA(VLOOKUP(Tue_W2[[#This Row],[Employee Name]],'Base Schedules'!A:D,4,FALSE),"")</f>
        <v/>
      </c>
      <c r="F52" s="142" t="str">
        <f>IF(Tue_W2[[#This Row],[Employee Name]]="","",IF(Tue_W2[[#This Row],[Dept]]="Supervisor",COUNTIFS($J52:$AX52,"*HL*",$J52:$AX52,"&lt;&gt;"&amp;"pHL"),COUNTIFS($J52:$AX52,"*HL*",$J52:$AX52,"&lt;&gt;"&amp;"*pHL*",$J52:$AX52,"&lt;&gt;"&amp;"pB1 HL",$J52:$AX52,"&lt;&gt;"&amp;"pB2 HL")-SUM(COUNTIFS($J52:$AX52,"*HL B1*",$J52:$AX52,"&lt;&gt;"&amp;"pHL B1")*0.5,COUNTIFS($J52:$AX52,"*HL B2*",$J52:$AX52,"&lt;&gt;"&amp;"pHL B2")*0.5,COUNTIFS($J52:$AX52,"*B1 HL*",$J52:$AX52,"&lt;&gt;"&amp;"pB1 HL")*0.5,COUNTIFS($J52:$AX52,"*B2 HL*",$J52:$AX52,"&lt;&gt;"&amp;"pB2 HL")*0.5)))</f>
        <v/>
      </c>
      <c r="G52" s="142" t="str">
        <f t="shared" si="3"/>
        <v/>
      </c>
      <c r="H52" s="142" t="str">
        <f t="shared" si="1"/>
        <v/>
      </c>
      <c r="I52" s="142" t="str">
        <f>IF(Tue_W2[[#This Row],[Employee Name]]="","",IF(Tue_W2[[#This Row],[Dept]]="Supervisor",SUM(COUNTIFS($J52:$AX52,"RTA*",$J52:$AX52,"&lt;&gt;"&amp;"pRTA"),COUNTIFS($J52:$AX52,"*CRTA*",$J52:$AX52,"&lt;&gt;"&amp;"pCRTA")),COUNTIFS($J52:$AX52,"*RNNR*",$J52:$AX52,"&lt;&gt;"&amp;"*pRNNR*",$J52:$AX52,"&lt;&gt;"&amp;"pB1 RNNR",$J52:$AX52,"&lt;&gt;"&amp;"pB2 RNNR")-SUM(COUNTIFS($J52:$AX52,"*RNNR B1*",$J52:$AX52,"&lt;&gt;"&amp;"pRNNR B1")*0.5,COUNTIFS($J52:$AX52,"*RNNR B2*",$J52:$AX52,"&lt;&gt;"&amp;"pRNNR B2")*0.5,COUNTIFS($J52:$AX52,"*B1 RNNR*",$J52:$AX52,"&lt;&gt;"&amp;"pB1 RNNR")*0.5,COUNTIFS($J52:$AX52,"*B2 RNNR*",$J52:$AX52,"&lt;&gt;"&amp;"pB2 RNNR")*0.5)))</f>
        <v/>
      </c>
      <c r="J52" s="184" t="str">
        <f>IFERROR(IF(VLOOKUP(Tue_W2[[#This Row],[Employee Name]],'Base Schedules'!$A$160:$AW$203,9,FALSE)="","",VLOOKUP(Tue_W2[[#This Row],[Employee Name]],'Base Schedules'!$A$160:$AW$203,9,FALSE)),"")</f>
        <v/>
      </c>
      <c r="K52" s="184" t="str">
        <f>IFERROR(IF(VLOOKUP(Tue_W2[[#This Row],[Employee Name]],'Base Schedules'!$A$160:$AW$203,10,FALSE)="","",VLOOKUP(Tue_W2[[#This Row],[Employee Name]],'Base Schedules'!$A$160:$AW$203,10,FALSE)),"")</f>
        <v/>
      </c>
      <c r="L52" s="184" t="str">
        <f>IFERROR(IF(VLOOKUP(Tue_W2[[#This Row],[Employee Name]],'Base Schedules'!$A$160:$AW$203,11,FALSE)="","",VLOOKUP(Tue_W2[[#This Row],[Employee Name]],'Base Schedules'!$A$160:$AW$203,11,FALSE)),"")</f>
        <v/>
      </c>
      <c r="M52" s="184" t="str">
        <f>IFERROR(IF(VLOOKUP(Tue_W2[[#This Row],[Employee Name]],'Base Schedules'!$A$160:$AW$203,12,FALSE)="","",VLOOKUP(Tue_W2[[#This Row],[Employee Name]],'Base Schedules'!$A$160:$AW$203,12,FALSE)),"")</f>
        <v/>
      </c>
      <c r="N52" s="184" t="str">
        <f>IFERROR(IF(VLOOKUP(Tue_W2[[#This Row],[Employee Name]],'Base Schedules'!$A$160:$AW$203,13,FALSE)="","",VLOOKUP(Tue_W2[[#This Row],[Employee Name]],'Base Schedules'!$A$160:$AW$203,13,FALSE)),"")</f>
        <v/>
      </c>
      <c r="O52" s="184" t="str">
        <f>IFERROR(IF(VLOOKUP(Tue_W2[[#This Row],[Employee Name]],'Base Schedules'!$A$160:$AW$203,14,FALSE)="","",VLOOKUP(Tue_W2[[#This Row],[Employee Name]],'Base Schedules'!$A$160:$AW$203,14,FALSE)),"")</f>
        <v/>
      </c>
      <c r="P52" s="184" t="str">
        <f>IFERROR(IF(VLOOKUP(Tue_W2[[#This Row],[Employee Name]],'Base Schedules'!$A$160:$AW$203,15,FALSE)="","",VLOOKUP(Tue_W2[[#This Row],[Employee Name]],'Base Schedules'!$A$160:$AW$203,15,FALSE)),"")</f>
        <v/>
      </c>
      <c r="Q52" s="184" t="str">
        <f>IFERROR(IF(VLOOKUP(Tue_W2[[#This Row],[Employee Name]],'Base Schedules'!$A$160:$AW$203,16,FALSE)="","",VLOOKUP(Tue_W2[[#This Row],[Employee Name]],'Base Schedules'!$A$160:$AW$203,16,FALSE)),"")</f>
        <v/>
      </c>
      <c r="R52" s="184" t="str">
        <f>IFERROR(IF(VLOOKUP(Tue_W2[[#This Row],[Employee Name]],'Base Schedules'!$A$160:$AW$203,17,FALSE)="","",VLOOKUP(Tue_W2[[#This Row],[Employee Name]],'Base Schedules'!$A$160:$AW$203,17,FALSE)),"")</f>
        <v/>
      </c>
      <c r="S52" s="184" t="str">
        <f>IFERROR(IF(VLOOKUP(Tue_W2[[#This Row],[Employee Name]],'Base Schedules'!$A$160:$AW$203,18,FALSE)="","",VLOOKUP(Tue_W2[[#This Row],[Employee Name]],'Base Schedules'!$A$160:$AW$203,18,FALSE)),"")</f>
        <v/>
      </c>
      <c r="T52" s="184" t="str">
        <f>IFERROR(IF(VLOOKUP(Tue_W2[[#This Row],[Employee Name]],'Base Schedules'!$A$160:$AW$203,19,FALSE)="","",VLOOKUP(Tue_W2[[#This Row],[Employee Name]],'Base Schedules'!$A$160:$AW$203,19,FALSE)),"")</f>
        <v/>
      </c>
      <c r="U52" s="184" t="str">
        <f>IFERROR(IF(VLOOKUP(Tue_W2[[#This Row],[Employee Name]],'Base Schedules'!$A$160:$AW$203,20,FALSE)="","",VLOOKUP(Tue_W2[[#This Row],[Employee Name]],'Base Schedules'!$A$160:$AW$203,20,FALSE)),"")</f>
        <v/>
      </c>
      <c r="V52" s="184" t="str">
        <f>IFERROR(IF(VLOOKUP(Tue_W2[[#This Row],[Employee Name]],'Base Schedules'!$A$160:$AW$203,21,FALSE)="","",VLOOKUP(Tue_W2[[#This Row],[Employee Name]],'Base Schedules'!$A$160:$AW$203,21,FALSE)),"")</f>
        <v/>
      </c>
      <c r="W52" s="184" t="str">
        <f>IFERROR(IF(VLOOKUP(Tue_W2[[#This Row],[Employee Name]],'Base Schedules'!$A$160:$AW$203,22,FALSE)="","",VLOOKUP(Tue_W2[[#This Row],[Employee Name]],'Base Schedules'!$A$160:$AW$203,22,FALSE)),"")</f>
        <v/>
      </c>
      <c r="X52" s="184" t="str">
        <f>IFERROR(IF(VLOOKUP(Tue_W2[[#This Row],[Employee Name]],'Base Schedules'!$A$160:$AW$203,23,FALSE)="","",VLOOKUP(Tue_W2[[#This Row],[Employee Name]],'Base Schedules'!$A$160:$AW$203,23,FALSE)),"")</f>
        <v/>
      </c>
      <c r="Y52" s="184" t="str">
        <f>IFERROR(IF(VLOOKUP(Tue_W2[[#This Row],[Employee Name]],'Base Schedules'!$A$160:$AW$203,24,FALSE)="","",VLOOKUP(Tue_W2[[#This Row],[Employee Name]],'Base Schedules'!$A$160:$AW$203,24,FALSE)),"")</f>
        <v/>
      </c>
      <c r="Z52" s="184" t="str">
        <f>IFERROR(IF(VLOOKUP(Tue_W2[[#This Row],[Employee Name]],'Base Schedules'!$A$160:$AW$203,25,FALSE)="","",VLOOKUP(Tue_W2[[#This Row],[Employee Name]],'Base Schedules'!$A$160:$AW$203,25,FALSE)),"")</f>
        <v/>
      </c>
      <c r="AA52" s="184" t="str">
        <f>IFERROR(IF(VLOOKUP(Tue_W2[[#This Row],[Employee Name]],'Base Schedules'!$A$160:$AW$203,26,FALSE)="","",VLOOKUP(Tue_W2[[#This Row],[Employee Name]],'Base Schedules'!$A$160:$AW$203,26,FALSE)),"")</f>
        <v/>
      </c>
      <c r="AB52" s="184" t="str">
        <f>IFERROR(IF(VLOOKUP(Tue_W2[[#This Row],[Employee Name]],'Base Schedules'!$A$160:$AW$203,27,FALSE)="","",VLOOKUP(Tue_W2[[#This Row],[Employee Name]],'Base Schedules'!$A$160:$AW$203,27,FALSE)),"")</f>
        <v/>
      </c>
      <c r="AC52" s="184" t="str">
        <f>IFERROR(IF(VLOOKUP(Tue_W2[[#This Row],[Employee Name]],'Base Schedules'!$A$160:$AW$203,28,FALSE)="","",VLOOKUP(Tue_W2[[#This Row],[Employee Name]],'Base Schedules'!$A$160:$AW$203,28,FALSE)),"")</f>
        <v/>
      </c>
      <c r="AD52" s="184" t="str">
        <f>IFERROR(IF(VLOOKUP(Tue_W2[[#This Row],[Employee Name]],'Base Schedules'!$A$160:$AW$203,29,FALSE)="","",VLOOKUP(Tue_W2[[#This Row],[Employee Name]],'Base Schedules'!$A$160:$AW$203,29,FALSE)),"")</f>
        <v/>
      </c>
      <c r="AE52" s="184" t="str">
        <f>IFERROR(IF(VLOOKUP(Tue_W2[[#This Row],[Employee Name]],'Base Schedules'!$A$160:$AW$203,30,FALSE)="","",VLOOKUP(Tue_W2[[#This Row],[Employee Name]],'Base Schedules'!$A$160:$AW$203,30,FALSE)),"")</f>
        <v/>
      </c>
      <c r="AF52" s="184" t="str">
        <f>IFERROR(IF(VLOOKUP(Tue_W2[[#This Row],[Employee Name]],'Base Schedules'!$A$160:$AW$203,31,FALSE)="","",VLOOKUP(Tue_W2[[#This Row],[Employee Name]],'Base Schedules'!$A$160:$AW$203,31,FALSE)),"")</f>
        <v/>
      </c>
      <c r="AG52" s="184" t="str">
        <f>IFERROR(IF(VLOOKUP(Tue_W2[[#This Row],[Employee Name]],'Base Schedules'!$A$160:$AW$203,32,FALSE)="","",VLOOKUP(Tue_W2[[#This Row],[Employee Name]],'Base Schedules'!$A$160:$AW$203,32,FALSE)),"")</f>
        <v/>
      </c>
      <c r="AH52" s="184" t="str">
        <f>IFERROR(IF(VLOOKUP(Tue_W2[[#This Row],[Employee Name]],'Base Schedules'!$A$160:$AW$203,33,FALSE)="","",VLOOKUP(Tue_W2[[#This Row],[Employee Name]],'Base Schedules'!$A$160:$AW$203,33,FALSE)),"")</f>
        <v/>
      </c>
      <c r="AI52" s="184" t="str">
        <f>IFERROR(IF(VLOOKUP(Tue_W2[[#This Row],[Employee Name]],'Base Schedules'!$A$160:$AW$203,34,FALSE)="","",VLOOKUP(Tue_W2[[#This Row],[Employee Name]],'Base Schedules'!$A$160:$AW$203,34,FALSE)),"")</f>
        <v/>
      </c>
      <c r="AJ52" s="184" t="str">
        <f>IFERROR(IF(VLOOKUP(Tue_W2[[#This Row],[Employee Name]],'Base Schedules'!$A$160:$AW$203,35,FALSE)="","",VLOOKUP(Tue_W2[[#This Row],[Employee Name]],'Base Schedules'!$A$160:$AW$203,35,FALSE)),"")</f>
        <v/>
      </c>
      <c r="AK52" s="184" t="str">
        <f>IFERROR(IF(VLOOKUP(Tue_W2[[#This Row],[Employee Name]],'Base Schedules'!$A$160:$AW$203,36,FALSE)="","",VLOOKUP(Tue_W2[[#This Row],[Employee Name]],'Base Schedules'!$A$160:$AW$203,36,FALSE)),"")</f>
        <v/>
      </c>
      <c r="AL52" s="184" t="str">
        <f>IFERROR(IF(VLOOKUP(Tue_W2[[#This Row],[Employee Name]],'Base Schedules'!$A$160:$AW$203,37,FALSE)="","",VLOOKUP(Tue_W2[[#This Row],[Employee Name]],'Base Schedules'!$A$160:$AW$203,37,FALSE)),"")</f>
        <v/>
      </c>
      <c r="AM52" s="184" t="str">
        <f>IFERROR(IF(VLOOKUP(Tue_W2[[#This Row],[Employee Name]],'Base Schedules'!$A$160:$AW$203,38,FALSE)="","",VLOOKUP(Tue_W2[[#This Row],[Employee Name]],'Base Schedules'!$A$160:$AW$203,38,FALSE)),"")</f>
        <v/>
      </c>
      <c r="AN52" s="184" t="str">
        <f>IFERROR(IF(VLOOKUP(Tue_W2[[#This Row],[Employee Name]],'Base Schedules'!$A$160:$AW$203,39,FALSE)="","",VLOOKUP(Tue_W2[[#This Row],[Employee Name]],'Base Schedules'!$A$160:$AW$203,39,FALSE)),"")</f>
        <v/>
      </c>
      <c r="AO52" s="184" t="str">
        <f>IFERROR(IF(VLOOKUP(Tue_W2[[#This Row],[Employee Name]],'Base Schedules'!$A$160:$AW$203,40,FALSE)="","",VLOOKUP(Tue_W2[[#This Row],[Employee Name]],'Base Schedules'!$A$160:$AW$203,40,FALSE)),"")</f>
        <v/>
      </c>
      <c r="AP52" s="184" t="str">
        <f>IFERROR(IF(VLOOKUP(Tue_W2[[#This Row],[Employee Name]],'Base Schedules'!$A$160:$AW$203,41,FALSE)="","",VLOOKUP(Tue_W2[[#This Row],[Employee Name]],'Base Schedules'!$A$160:$AW$203,41,FALSE)),"")</f>
        <v/>
      </c>
      <c r="AQ52" s="184" t="str">
        <f>IFERROR(IF(VLOOKUP(Tue_W2[[#This Row],[Employee Name]],'Base Schedules'!$A$160:$AW$203,42,FALSE)="","",VLOOKUP(Tue_W2[[#This Row],[Employee Name]],'Base Schedules'!$A$160:$AW$203,42,FALSE)),"")</f>
        <v/>
      </c>
      <c r="AR52" s="184" t="str">
        <f>IFERROR(IF(VLOOKUP(Tue_W2[[#This Row],[Employee Name]],'Base Schedules'!$A$160:$AW$203,43,FALSE)="","",VLOOKUP(Tue_W2[[#This Row],[Employee Name]],'Base Schedules'!$A$160:$AW$203,43,FALSE)),"")</f>
        <v/>
      </c>
      <c r="AS52" s="184" t="str">
        <f>IFERROR(IF(VLOOKUP(Tue_W2[[#This Row],[Employee Name]],'Base Schedules'!$A$160:$AW$203,44,FALSE)="","",VLOOKUP(Tue_W2[[#This Row],[Employee Name]],'Base Schedules'!$A$160:$AW$203,44,FALSE)),"")</f>
        <v/>
      </c>
      <c r="AT52" s="184" t="str">
        <f>IFERROR(IF(VLOOKUP(Tue_W2[[#This Row],[Employee Name]],'Base Schedules'!$A$160:$AW$203,45,FALSE)="","",VLOOKUP(Tue_W2[[#This Row],[Employee Name]],'Base Schedules'!$A$160:$AW$203,45,FALSE)),"")</f>
        <v/>
      </c>
      <c r="AU52" s="184" t="str">
        <f>IFERROR(IF(VLOOKUP(Tue_W2[[#This Row],[Employee Name]],'Base Schedules'!$A$160:$AW$203,46,FALSE)="","",VLOOKUP(Tue_W2[[#This Row],[Employee Name]],'Base Schedules'!$A$160:$AW$203,46,FALSE)),"")</f>
        <v/>
      </c>
      <c r="AV52" s="184" t="str">
        <f>IFERROR(IF(VLOOKUP(Tue_W2[[#This Row],[Employee Name]],'Base Schedules'!$A$160:$AW$203,47,FALSE)="","",VLOOKUP(Tue_W2[[#This Row],[Employee Name]],'Base Schedules'!$A$160:$AW$203,47,FALSE)),"")</f>
        <v/>
      </c>
      <c r="AW52" s="184" t="str">
        <f>IFERROR(IF(VLOOKUP(Tue_W2[[#This Row],[Employee Name]],'Base Schedules'!$A$160:$AW$203,48,FALSE)="","",VLOOKUP(Tue_W2[[#This Row],[Employee Name]],'Base Schedules'!$A$160:$AW$203,48,FALSE)),"")</f>
        <v/>
      </c>
      <c r="AX52" s="184" t="str">
        <f>IFERROR(IF(VLOOKUP(Tue_W2[[#This Row],[Employee Name]],'Base Schedules'!$A$160:$AW$203,49,FALSE)="","",VLOOKUP(Tue_W2[[#This Row],[Employee Name]],'Base Schedules'!$A$160:$AW$203,49,FALSE)),"")</f>
        <v/>
      </c>
      <c r="AY52" s="162" t="str">
        <f t="shared" si="2"/>
        <v/>
      </c>
    </row>
    <row r="53" spans="1:52" s="44" customFormat="1" ht="12" hidden="1" customHeight="1" x14ac:dyDescent="0.2">
      <c r="A53" s="39" t="str">
        <f>IF(B53="","",INDEX(TeamList[],MATCH($B53,TeamList[[Employee Name]:[Employee Name]],0),MATCH("Manager",TeamList[#Headers],0)))</f>
        <v/>
      </c>
      <c r="B53" s="201"/>
      <c r="C53" s="257" t="str">
        <f>_xlfn.IFNA(VLOOKUP(Tue_W2[[#This Row],[Employee Name]],'Base Schedules'!A:B,2,FALSE),"")</f>
        <v/>
      </c>
      <c r="D53" s="274" t="str">
        <f>_xlfn.IFNA(VLOOKUP(Tue_W2[[#This Row],[Employee Name]],'Base Schedules'!A:C,3,FALSE),"")</f>
        <v/>
      </c>
      <c r="E53" s="274" t="str">
        <f>_xlfn.IFNA(VLOOKUP(Tue_W2[[#This Row],[Employee Name]],'Base Schedules'!A:D,4,FALSE),"")</f>
        <v/>
      </c>
      <c r="F53" s="142" t="str">
        <f>IF(Tue_W2[[#This Row],[Employee Name]]="","",IF(Tue_W2[[#This Row],[Dept]]="Supervisor",COUNTIFS($J53:$AX53,"*HL*",$J53:$AX53,"&lt;&gt;"&amp;"pHL"),COUNTIFS($J53:$AX53,"*HL*",$J53:$AX53,"&lt;&gt;"&amp;"*pHL*",$J53:$AX53,"&lt;&gt;"&amp;"pB1 HL",$J53:$AX53,"&lt;&gt;"&amp;"pB2 HL")-SUM(COUNTIFS($J53:$AX53,"*HL B1*",$J53:$AX53,"&lt;&gt;"&amp;"pHL B1")*0.5,COUNTIFS($J53:$AX53,"*HL B2*",$J53:$AX53,"&lt;&gt;"&amp;"pHL B2")*0.5,COUNTIFS($J53:$AX53,"*B1 HL*",$J53:$AX53,"&lt;&gt;"&amp;"pB1 HL")*0.5,COUNTIFS($J53:$AX53,"*B2 HL*",$J53:$AX53,"&lt;&gt;"&amp;"pB2 HL")*0.5)))</f>
        <v/>
      </c>
      <c r="G53" s="142" t="str">
        <f t="shared" si="3"/>
        <v/>
      </c>
      <c r="H53" s="142" t="str">
        <f t="shared" si="1"/>
        <v/>
      </c>
      <c r="I53" s="142" t="str">
        <f>IF(Tue_W2[[#This Row],[Employee Name]]="","",IF(Tue_W2[[#This Row],[Dept]]="Supervisor",SUM(COUNTIFS($J53:$AX53,"RTA*",$J53:$AX53,"&lt;&gt;"&amp;"pRTA"),COUNTIFS($J53:$AX53,"*CRTA*",$J53:$AX53,"&lt;&gt;"&amp;"pCRTA")),COUNTIFS($J53:$AX53,"*RNNR*",$J53:$AX53,"&lt;&gt;"&amp;"*pRNNR*",$J53:$AX53,"&lt;&gt;"&amp;"pB1 RNNR",$J53:$AX53,"&lt;&gt;"&amp;"pB2 RNNR")-SUM(COUNTIFS($J53:$AX53,"*RNNR B1*",$J53:$AX53,"&lt;&gt;"&amp;"pRNNR B1")*0.5,COUNTIFS($J53:$AX53,"*RNNR B2*",$J53:$AX53,"&lt;&gt;"&amp;"pRNNR B2")*0.5,COUNTIFS($J53:$AX53,"*B1 RNNR*",$J53:$AX53,"&lt;&gt;"&amp;"pB1 RNNR")*0.5,COUNTIFS($J53:$AX53,"*B2 RNNR*",$J53:$AX53,"&lt;&gt;"&amp;"pB2 RNNR")*0.5)))</f>
        <v/>
      </c>
      <c r="J53" s="184" t="str">
        <f>IFERROR(IF(VLOOKUP(Tue_W2[[#This Row],[Employee Name]],'Base Schedules'!$A$160:$AW$203,9,FALSE)="","",VLOOKUP(Tue_W2[[#This Row],[Employee Name]],'Base Schedules'!$A$160:$AW$203,9,FALSE)),"")</f>
        <v/>
      </c>
      <c r="K53" s="184" t="str">
        <f>IFERROR(IF(VLOOKUP(Tue_W2[[#This Row],[Employee Name]],'Base Schedules'!$A$160:$AW$203,10,FALSE)="","",VLOOKUP(Tue_W2[[#This Row],[Employee Name]],'Base Schedules'!$A$160:$AW$203,10,FALSE)),"")</f>
        <v/>
      </c>
      <c r="L53" s="184" t="str">
        <f>IFERROR(IF(VLOOKUP(Tue_W2[[#This Row],[Employee Name]],'Base Schedules'!$A$160:$AW$203,11,FALSE)="","",VLOOKUP(Tue_W2[[#This Row],[Employee Name]],'Base Schedules'!$A$160:$AW$203,11,FALSE)),"")</f>
        <v/>
      </c>
      <c r="M53" s="184" t="str">
        <f>IFERROR(IF(VLOOKUP(Tue_W2[[#This Row],[Employee Name]],'Base Schedules'!$A$160:$AW$203,12,FALSE)="","",VLOOKUP(Tue_W2[[#This Row],[Employee Name]],'Base Schedules'!$A$160:$AW$203,12,FALSE)),"")</f>
        <v/>
      </c>
      <c r="N53" s="184" t="str">
        <f>IFERROR(IF(VLOOKUP(Tue_W2[[#This Row],[Employee Name]],'Base Schedules'!$A$160:$AW$203,13,FALSE)="","",VLOOKUP(Tue_W2[[#This Row],[Employee Name]],'Base Schedules'!$A$160:$AW$203,13,FALSE)),"")</f>
        <v/>
      </c>
      <c r="O53" s="184" t="str">
        <f>IFERROR(IF(VLOOKUP(Tue_W2[[#This Row],[Employee Name]],'Base Schedules'!$A$160:$AW$203,14,FALSE)="","",VLOOKUP(Tue_W2[[#This Row],[Employee Name]],'Base Schedules'!$A$160:$AW$203,14,FALSE)),"")</f>
        <v/>
      </c>
      <c r="P53" s="184" t="str">
        <f>IFERROR(IF(VLOOKUP(Tue_W2[[#This Row],[Employee Name]],'Base Schedules'!$A$160:$AW$203,15,FALSE)="","",VLOOKUP(Tue_W2[[#This Row],[Employee Name]],'Base Schedules'!$A$160:$AW$203,15,FALSE)),"")</f>
        <v/>
      </c>
      <c r="Q53" s="184" t="str">
        <f>IFERROR(IF(VLOOKUP(Tue_W2[[#This Row],[Employee Name]],'Base Schedules'!$A$160:$AW$203,16,FALSE)="","",VLOOKUP(Tue_W2[[#This Row],[Employee Name]],'Base Schedules'!$A$160:$AW$203,16,FALSE)),"")</f>
        <v/>
      </c>
      <c r="R53" s="184" t="str">
        <f>IFERROR(IF(VLOOKUP(Tue_W2[[#This Row],[Employee Name]],'Base Schedules'!$A$160:$AW$203,17,FALSE)="","",VLOOKUP(Tue_W2[[#This Row],[Employee Name]],'Base Schedules'!$A$160:$AW$203,17,FALSE)),"")</f>
        <v/>
      </c>
      <c r="S53" s="184" t="str">
        <f>IFERROR(IF(VLOOKUP(Tue_W2[[#This Row],[Employee Name]],'Base Schedules'!$A$160:$AW$203,18,FALSE)="","",VLOOKUP(Tue_W2[[#This Row],[Employee Name]],'Base Schedules'!$A$160:$AW$203,18,FALSE)),"")</f>
        <v/>
      </c>
      <c r="T53" s="184" t="str">
        <f>IFERROR(IF(VLOOKUP(Tue_W2[[#This Row],[Employee Name]],'Base Schedules'!$A$160:$AW$203,19,FALSE)="","",VLOOKUP(Tue_W2[[#This Row],[Employee Name]],'Base Schedules'!$A$160:$AW$203,19,FALSE)),"")</f>
        <v/>
      </c>
      <c r="U53" s="184" t="str">
        <f>IFERROR(IF(VLOOKUP(Tue_W2[[#This Row],[Employee Name]],'Base Schedules'!$A$160:$AW$203,20,FALSE)="","",VLOOKUP(Tue_W2[[#This Row],[Employee Name]],'Base Schedules'!$A$160:$AW$203,20,FALSE)),"")</f>
        <v/>
      </c>
      <c r="V53" s="184" t="str">
        <f>IFERROR(IF(VLOOKUP(Tue_W2[[#This Row],[Employee Name]],'Base Schedules'!$A$160:$AW$203,21,FALSE)="","",VLOOKUP(Tue_W2[[#This Row],[Employee Name]],'Base Schedules'!$A$160:$AW$203,21,FALSE)),"")</f>
        <v/>
      </c>
      <c r="W53" s="184" t="str">
        <f>IFERROR(IF(VLOOKUP(Tue_W2[[#This Row],[Employee Name]],'Base Schedules'!$A$160:$AW$203,22,FALSE)="","",VLOOKUP(Tue_W2[[#This Row],[Employee Name]],'Base Schedules'!$A$160:$AW$203,22,FALSE)),"")</f>
        <v/>
      </c>
      <c r="X53" s="184" t="str">
        <f>IFERROR(IF(VLOOKUP(Tue_W2[[#This Row],[Employee Name]],'Base Schedules'!$A$160:$AW$203,23,FALSE)="","",VLOOKUP(Tue_W2[[#This Row],[Employee Name]],'Base Schedules'!$A$160:$AW$203,23,FALSE)),"")</f>
        <v/>
      </c>
      <c r="Y53" s="184" t="str">
        <f>IFERROR(IF(VLOOKUP(Tue_W2[[#This Row],[Employee Name]],'Base Schedules'!$A$160:$AW$203,24,FALSE)="","",VLOOKUP(Tue_W2[[#This Row],[Employee Name]],'Base Schedules'!$A$160:$AW$203,24,FALSE)),"")</f>
        <v/>
      </c>
      <c r="Z53" s="184" t="str">
        <f>IFERROR(IF(VLOOKUP(Tue_W2[[#This Row],[Employee Name]],'Base Schedules'!$A$160:$AW$203,25,FALSE)="","",VLOOKUP(Tue_W2[[#This Row],[Employee Name]],'Base Schedules'!$A$160:$AW$203,25,FALSE)),"")</f>
        <v/>
      </c>
      <c r="AA53" s="184" t="str">
        <f>IFERROR(IF(VLOOKUP(Tue_W2[[#This Row],[Employee Name]],'Base Schedules'!$A$160:$AW$203,26,FALSE)="","",VLOOKUP(Tue_W2[[#This Row],[Employee Name]],'Base Schedules'!$A$160:$AW$203,26,FALSE)),"")</f>
        <v/>
      </c>
      <c r="AB53" s="184" t="str">
        <f>IFERROR(IF(VLOOKUP(Tue_W2[[#This Row],[Employee Name]],'Base Schedules'!$A$160:$AW$203,27,FALSE)="","",VLOOKUP(Tue_W2[[#This Row],[Employee Name]],'Base Schedules'!$A$160:$AW$203,27,FALSE)),"")</f>
        <v/>
      </c>
      <c r="AC53" s="184" t="str">
        <f>IFERROR(IF(VLOOKUP(Tue_W2[[#This Row],[Employee Name]],'Base Schedules'!$A$160:$AW$203,28,FALSE)="","",VLOOKUP(Tue_W2[[#This Row],[Employee Name]],'Base Schedules'!$A$160:$AW$203,28,FALSE)),"")</f>
        <v/>
      </c>
      <c r="AD53" s="184" t="str">
        <f>IFERROR(IF(VLOOKUP(Tue_W2[[#This Row],[Employee Name]],'Base Schedules'!$A$160:$AW$203,29,FALSE)="","",VLOOKUP(Tue_W2[[#This Row],[Employee Name]],'Base Schedules'!$A$160:$AW$203,29,FALSE)),"")</f>
        <v/>
      </c>
      <c r="AE53" s="184" t="str">
        <f>IFERROR(IF(VLOOKUP(Tue_W2[[#This Row],[Employee Name]],'Base Schedules'!$A$160:$AW$203,30,FALSE)="","",VLOOKUP(Tue_W2[[#This Row],[Employee Name]],'Base Schedules'!$A$160:$AW$203,30,FALSE)),"")</f>
        <v/>
      </c>
      <c r="AF53" s="184" t="str">
        <f>IFERROR(IF(VLOOKUP(Tue_W2[[#This Row],[Employee Name]],'Base Schedules'!$A$160:$AW$203,31,FALSE)="","",VLOOKUP(Tue_W2[[#This Row],[Employee Name]],'Base Schedules'!$A$160:$AW$203,31,FALSE)),"")</f>
        <v/>
      </c>
      <c r="AG53" s="184" t="str">
        <f>IFERROR(IF(VLOOKUP(Tue_W2[[#This Row],[Employee Name]],'Base Schedules'!$A$160:$AW$203,32,FALSE)="","",VLOOKUP(Tue_W2[[#This Row],[Employee Name]],'Base Schedules'!$A$160:$AW$203,32,FALSE)),"")</f>
        <v/>
      </c>
      <c r="AH53" s="184" t="str">
        <f>IFERROR(IF(VLOOKUP(Tue_W2[[#This Row],[Employee Name]],'Base Schedules'!$A$160:$AW$203,33,FALSE)="","",VLOOKUP(Tue_W2[[#This Row],[Employee Name]],'Base Schedules'!$A$160:$AW$203,33,FALSE)),"")</f>
        <v/>
      </c>
      <c r="AI53" s="184" t="str">
        <f>IFERROR(IF(VLOOKUP(Tue_W2[[#This Row],[Employee Name]],'Base Schedules'!$A$160:$AW$203,34,FALSE)="","",VLOOKUP(Tue_W2[[#This Row],[Employee Name]],'Base Schedules'!$A$160:$AW$203,34,FALSE)),"")</f>
        <v/>
      </c>
      <c r="AJ53" s="184" t="str">
        <f>IFERROR(IF(VLOOKUP(Tue_W2[[#This Row],[Employee Name]],'Base Schedules'!$A$160:$AW$203,35,FALSE)="","",VLOOKUP(Tue_W2[[#This Row],[Employee Name]],'Base Schedules'!$A$160:$AW$203,35,FALSE)),"")</f>
        <v/>
      </c>
      <c r="AK53" s="184" t="str">
        <f>IFERROR(IF(VLOOKUP(Tue_W2[[#This Row],[Employee Name]],'Base Schedules'!$A$160:$AW$203,36,FALSE)="","",VLOOKUP(Tue_W2[[#This Row],[Employee Name]],'Base Schedules'!$A$160:$AW$203,36,FALSE)),"")</f>
        <v/>
      </c>
      <c r="AL53" s="184" t="str">
        <f>IFERROR(IF(VLOOKUP(Tue_W2[[#This Row],[Employee Name]],'Base Schedules'!$A$160:$AW$203,37,FALSE)="","",VLOOKUP(Tue_W2[[#This Row],[Employee Name]],'Base Schedules'!$A$160:$AW$203,37,FALSE)),"")</f>
        <v/>
      </c>
      <c r="AM53" s="184" t="str">
        <f>IFERROR(IF(VLOOKUP(Tue_W2[[#This Row],[Employee Name]],'Base Schedules'!$A$160:$AW$203,38,FALSE)="","",VLOOKUP(Tue_W2[[#This Row],[Employee Name]],'Base Schedules'!$A$160:$AW$203,38,FALSE)),"")</f>
        <v/>
      </c>
      <c r="AN53" s="184" t="str">
        <f>IFERROR(IF(VLOOKUP(Tue_W2[[#This Row],[Employee Name]],'Base Schedules'!$A$160:$AW$203,39,FALSE)="","",VLOOKUP(Tue_W2[[#This Row],[Employee Name]],'Base Schedules'!$A$160:$AW$203,39,FALSE)),"")</f>
        <v/>
      </c>
      <c r="AO53" s="184" t="str">
        <f>IFERROR(IF(VLOOKUP(Tue_W2[[#This Row],[Employee Name]],'Base Schedules'!$A$160:$AW$203,40,FALSE)="","",VLOOKUP(Tue_W2[[#This Row],[Employee Name]],'Base Schedules'!$A$160:$AW$203,40,FALSE)),"")</f>
        <v/>
      </c>
      <c r="AP53" s="184" t="str">
        <f>IFERROR(IF(VLOOKUP(Tue_W2[[#This Row],[Employee Name]],'Base Schedules'!$A$160:$AW$203,41,FALSE)="","",VLOOKUP(Tue_W2[[#This Row],[Employee Name]],'Base Schedules'!$A$160:$AW$203,41,FALSE)),"")</f>
        <v/>
      </c>
      <c r="AQ53" s="184" t="str">
        <f>IFERROR(IF(VLOOKUP(Tue_W2[[#This Row],[Employee Name]],'Base Schedules'!$A$160:$AW$203,42,FALSE)="","",VLOOKUP(Tue_W2[[#This Row],[Employee Name]],'Base Schedules'!$A$160:$AW$203,42,FALSE)),"")</f>
        <v/>
      </c>
      <c r="AR53" s="184" t="str">
        <f>IFERROR(IF(VLOOKUP(Tue_W2[[#This Row],[Employee Name]],'Base Schedules'!$A$160:$AW$203,43,FALSE)="","",VLOOKUP(Tue_W2[[#This Row],[Employee Name]],'Base Schedules'!$A$160:$AW$203,43,FALSE)),"")</f>
        <v/>
      </c>
      <c r="AS53" s="184" t="str">
        <f>IFERROR(IF(VLOOKUP(Tue_W2[[#This Row],[Employee Name]],'Base Schedules'!$A$160:$AW$203,44,FALSE)="","",VLOOKUP(Tue_W2[[#This Row],[Employee Name]],'Base Schedules'!$A$160:$AW$203,44,FALSE)),"")</f>
        <v/>
      </c>
      <c r="AT53" s="184" t="str">
        <f>IFERROR(IF(VLOOKUP(Tue_W2[[#This Row],[Employee Name]],'Base Schedules'!$A$160:$AW$203,45,FALSE)="","",VLOOKUP(Tue_W2[[#This Row],[Employee Name]],'Base Schedules'!$A$160:$AW$203,45,FALSE)),"")</f>
        <v/>
      </c>
      <c r="AU53" s="184" t="str">
        <f>IFERROR(IF(VLOOKUP(Tue_W2[[#This Row],[Employee Name]],'Base Schedules'!$A$160:$AW$203,46,FALSE)="","",VLOOKUP(Tue_W2[[#This Row],[Employee Name]],'Base Schedules'!$A$160:$AW$203,46,FALSE)),"")</f>
        <v/>
      </c>
      <c r="AV53" s="184" t="str">
        <f>IFERROR(IF(VLOOKUP(Tue_W2[[#This Row],[Employee Name]],'Base Schedules'!$A$160:$AW$203,47,FALSE)="","",VLOOKUP(Tue_W2[[#This Row],[Employee Name]],'Base Schedules'!$A$160:$AW$203,47,FALSE)),"")</f>
        <v/>
      </c>
      <c r="AW53" s="184" t="str">
        <f>IFERROR(IF(VLOOKUP(Tue_W2[[#This Row],[Employee Name]],'Base Schedules'!$A$160:$AW$203,48,FALSE)="","",VLOOKUP(Tue_W2[[#This Row],[Employee Name]],'Base Schedules'!$A$160:$AW$203,48,FALSE)),"")</f>
        <v/>
      </c>
      <c r="AX53" s="184" t="str">
        <f>IFERROR(IF(VLOOKUP(Tue_W2[[#This Row],[Employee Name]],'Base Schedules'!$A$160:$AW$203,49,FALSE)="","",VLOOKUP(Tue_W2[[#This Row],[Employee Name]],'Base Schedules'!$A$160:$AW$203,49,FALSE)),"")</f>
        <v/>
      </c>
      <c r="AY53" s="159" t="str">
        <f t="shared" si="2"/>
        <v/>
      </c>
    </row>
    <row r="54" spans="1:52" s="44" customFormat="1" ht="12" hidden="1" customHeight="1" x14ac:dyDescent="0.2">
      <c r="A54" s="39" t="str">
        <f>IF(B54="","",INDEX(TeamList[],MATCH($B54,TeamList[[Employee Name]:[Employee Name]],0),MATCH("Manager",TeamList[#Headers],0)))</f>
        <v/>
      </c>
      <c r="B54" s="201"/>
      <c r="C54" s="257" t="str">
        <f>_xlfn.IFNA(VLOOKUP(Tue_W2[[#This Row],[Employee Name]],'Base Schedules'!A:B,2,FALSE),"")</f>
        <v/>
      </c>
      <c r="D54" s="274" t="str">
        <f>_xlfn.IFNA(VLOOKUP(Tue_W2[[#This Row],[Employee Name]],'Base Schedules'!A:C,3,FALSE),"")</f>
        <v/>
      </c>
      <c r="E54" s="274" t="str">
        <f>_xlfn.IFNA(VLOOKUP(Tue_W2[[#This Row],[Employee Name]],'Base Schedules'!A:D,4,FALSE),"")</f>
        <v/>
      </c>
      <c r="F54" s="142" t="str">
        <f>IF(Tue_W2[[#This Row],[Employee Name]]="","",IF(Tue_W2[[#This Row],[Dept]]="Supervisor",COUNTIFS($J54:$AX54,"*HL*",$J54:$AX54,"&lt;&gt;"&amp;"pHL"),COUNTIFS($J54:$AX54,"*HL*",$J54:$AX54,"&lt;&gt;"&amp;"*pHL*",$J54:$AX54,"&lt;&gt;"&amp;"pB1 HL",$J54:$AX54,"&lt;&gt;"&amp;"pB2 HL")-SUM(COUNTIFS($J54:$AX54,"*HL B1*",$J54:$AX54,"&lt;&gt;"&amp;"pHL B1")*0.5,COUNTIFS($J54:$AX54,"*HL B2*",$J54:$AX54,"&lt;&gt;"&amp;"pHL B2")*0.5,COUNTIFS($J54:$AX54,"*B1 HL*",$J54:$AX54,"&lt;&gt;"&amp;"pB1 HL")*0.5,COUNTIFS($J54:$AX54,"*B2 HL*",$J54:$AX54,"&lt;&gt;"&amp;"pB2 HL")*0.5)))</f>
        <v/>
      </c>
      <c r="G54" s="142" t="str">
        <f t="shared" si="3"/>
        <v/>
      </c>
      <c r="H54" s="142" t="str">
        <f t="shared" si="1"/>
        <v/>
      </c>
      <c r="I54" s="142" t="str">
        <f>IF(Tue_W2[[#This Row],[Employee Name]]="","",IF(Tue_W2[[#This Row],[Dept]]="Supervisor",SUM(COUNTIFS($J54:$AX54,"RTA*",$J54:$AX54,"&lt;&gt;"&amp;"pRTA"),COUNTIFS($J54:$AX54,"*CRTA*",$J54:$AX54,"&lt;&gt;"&amp;"pCRTA")),COUNTIFS($J54:$AX54,"*RNNR*",$J54:$AX54,"&lt;&gt;"&amp;"*pRNNR*",$J54:$AX54,"&lt;&gt;"&amp;"pB1 RNNR",$J54:$AX54,"&lt;&gt;"&amp;"pB2 RNNR")-SUM(COUNTIFS($J54:$AX54,"*RNNR B1*",$J54:$AX54,"&lt;&gt;"&amp;"pRNNR B1")*0.5,COUNTIFS($J54:$AX54,"*RNNR B2*",$J54:$AX54,"&lt;&gt;"&amp;"pRNNR B2")*0.5,COUNTIFS($J54:$AX54,"*B1 RNNR*",$J54:$AX54,"&lt;&gt;"&amp;"pB1 RNNR")*0.5,COUNTIFS($J54:$AX54,"*B2 RNNR*",$J54:$AX54,"&lt;&gt;"&amp;"pB2 RNNR")*0.5)))</f>
        <v/>
      </c>
      <c r="J54" s="184" t="str">
        <f>IFERROR(IF(VLOOKUP(Tue_W2[[#This Row],[Employee Name]],'Base Schedules'!$A$160:$AW$203,9,FALSE)="","",VLOOKUP(Tue_W2[[#This Row],[Employee Name]],'Base Schedules'!$A$160:$AW$203,9,FALSE)),"")</f>
        <v/>
      </c>
      <c r="K54" s="184" t="str">
        <f>IFERROR(IF(VLOOKUP(Tue_W2[[#This Row],[Employee Name]],'Base Schedules'!$A$160:$AW$203,10,FALSE)="","",VLOOKUP(Tue_W2[[#This Row],[Employee Name]],'Base Schedules'!$A$160:$AW$203,10,FALSE)),"")</f>
        <v/>
      </c>
      <c r="L54" s="184" t="str">
        <f>IFERROR(IF(VLOOKUP(Tue_W2[[#This Row],[Employee Name]],'Base Schedules'!$A$160:$AW$203,11,FALSE)="","",VLOOKUP(Tue_W2[[#This Row],[Employee Name]],'Base Schedules'!$A$160:$AW$203,11,FALSE)),"")</f>
        <v/>
      </c>
      <c r="M54" s="184" t="str">
        <f>IFERROR(IF(VLOOKUP(Tue_W2[[#This Row],[Employee Name]],'Base Schedules'!$A$160:$AW$203,12,FALSE)="","",VLOOKUP(Tue_W2[[#This Row],[Employee Name]],'Base Schedules'!$A$160:$AW$203,12,FALSE)),"")</f>
        <v/>
      </c>
      <c r="N54" s="184" t="str">
        <f>IFERROR(IF(VLOOKUP(Tue_W2[[#This Row],[Employee Name]],'Base Schedules'!$A$160:$AW$203,13,FALSE)="","",VLOOKUP(Tue_W2[[#This Row],[Employee Name]],'Base Schedules'!$A$160:$AW$203,13,FALSE)),"")</f>
        <v/>
      </c>
      <c r="O54" s="184" t="str">
        <f>IFERROR(IF(VLOOKUP(Tue_W2[[#This Row],[Employee Name]],'Base Schedules'!$A$160:$AW$203,14,FALSE)="","",VLOOKUP(Tue_W2[[#This Row],[Employee Name]],'Base Schedules'!$A$160:$AW$203,14,FALSE)),"")</f>
        <v/>
      </c>
      <c r="P54" s="184" t="str">
        <f>IFERROR(IF(VLOOKUP(Tue_W2[[#This Row],[Employee Name]],'Base Schedules'!$A$160:$AW$203,15,FALSE)="","",VLOOKUP(Tue_W2[[#This Row],[Employee Name]],'Base Schedules'!$A$160:$AW$203,15,FALSE)),"")</f>
        <v/>
      </c>
      <c r="Q54" s="184" t="str">
        <f>IFERROR(IF(VLOOKUP(Tue_W2[[#This Row],[Employee Name]],'Base Schedules'!$A$160:$AW$203,16,FALSE)="","",VLOOKUP(Tue_W2[[#This Row],[Employee Name]],'Base Schedules'!$A$160:$AW$203,16,FALSE)),"")</f>
        <v/>
      </c>
      <c r="R54" s="184" t="str">
        <f>IFERROR(IF(VLOOKUP(Tue_W2[[#This Row],[Employee Name]],'Base Schedules'!$A$160:$AW$203,17,FALSE)="","",VLOOKUP(Tue_W2[[#This Row],[Employee Name]],'Base Schedules'!$A$160:$AW$203,17,FALSE)),"")</f>
        <v/>
      </c>
      <c r="S54" s="184" t="str">
        <f>IFERROR(IF(VLOOKUP(Tue_W2[[#This Row],[Employee Name]],'Base Schedules'!$A$160:$AW$203,18,FALSE)="","",VLOOKUP(Tue_W2[[#This Row],[Employee Name]],'Base Schedules'!$A$160:$AW$203,18,FALSE)),"")</f>
        <v/>
      </c>
      <c r="T54" s="184" t="str">
        <f>IFERROR(IF(VLOOKUP(Tue_W2[[#This Row],[Employee Name]],'Base Schedules'!$A$160:$AW$203,19,FALSE)="","",VLOOKUP(Tue_W2[[#This Row],[Employee Name]],'Base Schedules'!$A$160:$AW$203,19,FALSE)),"")</f>
        <v/>
      </c>
      <c r="U54" s="184" t="str">
        <f>IFERROR(IF(VLOOKUP(Tue_W2[[#This Row],[Employee Name]],'Base Schedules'!$A$160:$AW$203,20,FALSE)="","",VLOOKUP(Tue_W2[[#This Row],[Employee Name]],'Base Schedules'!$A$160:$AW$203,20,FALSE)),"")</f>
        <v/>
      </c>
      <c r="V54" s="184" t="str">
        <f>IFERROR(IF(VLOOKUP(Tue_W2[[#This Row],[Employee Name]],'Base Schedules'!$A$160:$AW$203,21,FALSE)="","",VLOOKUP(Tue_W2[[#This Row],[Employee Name]],'Base Schedules'!$A$160:$AW$203,21,FALSE)),"")</f>
        <v/>
      </c>
      <c r="W54" s="184" t="str">
        <f>IFERROR(IF(VLOOKUP(Tue_W2[[#This Row],[Employee Name]],'Base Schedules'!$A$160:$AW$203,22,FALSE)="","",VLOOKUP(Tue_W2[[#This Row],[Employee Name]],'Base Schedules'!$A$160:$AW$203,22,FALSE)),"")</f>
        <v/>
      </c>
      <c r="X54" s="184" t="str">
        <f>IFERROR(IF(VLOOKUP(Tue_W2[[#This Row],[Employee Name]],'Base Schedules'!$A$160:$AW$203,23,FALSE)="","",VLOOKUP(Tue_W2[[#This Row],[Employee Name]],'Base Schedules'!$A$160:$AW$203,23,FALSE)),"")</f>
        <v/>
      </c>
      <c r="Y54" s="184" t="str">
        <f>IFERROR(IF(VLOOKUP(Tue_W2[[#This Row],[Employee Name]],'Base Schedules'!$A$160:$AW$203,24,FALSE)="","",VLOOKUP(Tue_W2[[#This Row],[Employee Name]],'Base Schedules'!$A$160:$AW$203,24,FALSE)),"")</f>
        <v/>
      </c>
      <c r="Z54" s="184" t="str">
        <f>IFERROR(IF(VLOOKUP(Tue_W2[[#This Row],[Employee Name]],'Base Schedules'!$A$160:$AW$203,25,FALSE)="","",VLOOKUP(Tue_W2[[#This Row],[Employee Name]],'Base Schedules'!$A$160:$AW$203,25,FALSE)),"")</f>
        <v/>
      </c>
      <c r="AA54" s="184" t="str">
        <f>IFERROR(IF(VLOOKUP(Tue_W2[[#This Row],[Employee Name]],'Base Schedules'!$A$160:$AW$203,26,FALSE)="","",VLOOKUP(Tue_W2[[#This Row],[Employee Name]],'Base Schedules'!$A$160:$AW$203,26,FALSE)),"")</f>
        <v/>
      </c>
      <c r="AB54" s="184" t="str">
        <f>IFERROR(IF(VLOOKUP(Tue_W2[[#This Row],[Employee Name]],'Base Schedules'!$A$160:$AW$203,27,FALSE)="","",VLOOKUP(Tue_W2[[#This Row],[Employee Name]],'Base Schedules'!$A$160:$AW$203,27,FALSE)),"")</f>
        <v/>
      </c>
      <c r="AC54" s="184" t="str">
        <f>IFERROR(IF(VLOOKUP(Tue_W2[[#This Row],[Employee Name]],'Base Schedules'!$A$160:$AW$203,28,FALSE)="","",VLOOKUP(Tue_W2[[#This Row],[Employee Name]],'Base Schedules'!$A$160:$AW$203,28,FALSE)),"")</f>
        <v/>
      </c>
      <c r="AD54" s="184" t="str">
        <f>IFERROR(IF(VLOOKUP(Tue_W2[[#This Row],[Employee Name]],'Base Schedules'!$A$160:$AW$203,29,FALSE)="","",VLOOKUP(Tue_W2[[#This Row],[Employee Name]],'Base Schedules'!$A$160:$AW$203,29,FALSE)),"")</f>
        <v/>
      </c>
      <c r="AE54" s="184" t="str">
        <f>IFERROR(IF(VLOOKUP(Tue_W2[[#This Row],[Employee Name]],'Base Schedules'!$A$160:$AW$203,30,FALSE)="","",VLOOKUP(Tue_W2[[#This Row],[Employee Name]],'Base Schedules'!$A$160:$AW$203,30,FALSE)),"")</f>
        <v/>
      </c>
      <c r="AF54" s="184" t="str">
        <f>IFERROR(IF(VLOOKUP(Tue_W2[[#This Row],[Employee Name]],'Base Schedules'!$A$160:$AW$203,31,FALSE)="","",VLOOKUP(Tue_W2[[#This Row],[Employee Name]],'Base Schedules'!$A$160:$AW$203,31,FALSE)),"")</f>
        <v/>
      </c>
      <c r="AG54" s="184" t="str">
        <f>IFERROR(IF(VLOOKUP(Tue_W2[[#This Row],[Employee Name]],'Base Schedules'!$A$160:$AW$203,32,FALSE)="","",VLOOKUP(Tue_W2[[#This Row],[Employee Name]],'Base Schedules'!$A$160:$AW$203,32,FALSE)),"")</f>
        <v/>
      </c>
      <c r="AH54" s="184" t="str">
        <f>IFERROR(IF(VLOOKUP(Tue_W2[[#This Row],[Employee Name]],'Base Schedules'!$A$160:$AW$203,33,FALSE)="","",VLOOKUP(Tue_W2[[#This Row],[Employee Name]],'Base Schedules'!$A$160:$AW$203,33,FALSE)),"")</f>
        <v/>
      </c>
      <c r="AI54" s="184" t="str">
        <f>IFERROR(IF(VLOOKUP(Tue_W2[[#This Row],[Employee Name]],'Base Schedules'!$A$160:$AW$203,34,FALSE)="","",VLOOKUP(Tue_W2[[#This Row],[Employee Name]],'Base Schedules'!$A$160:$AW$203,34,FALSE)),"")</f>
        <v/>
      </c>
      <c r="AJ54" s="184" t="str">
        <f>IFERROR(IF(VLOOKUP(Tue_W2[[#This Row],[Employee Name]],'Base Schedules'!$A$160:$AW$203,35,FALSE)="","",VLOOKUP(Tue_W2[[#This Row],[Employee Name]],'Base Schedules'!$A$160:$AW$203,35,FALSE)),"")</f>
        <v/>
      </c>
      <c r="AK54" s="184" t="str">
        <f>IFERROR(IF(VLOOKUP(Tue_W2[[#This Row],[Employee Name]],'Base Schedules'!$A$160:$AW$203,36,FALSE)="","",VLOOKUP(Tue_W2[[#This Row],[Employee Name]],'Base Schedules'!$A$160:$AW$203,36,FALSE)),"")</f>
        <v/>
      </c>
      <c r="AL54" s="184" t="str">
        <f>IFERROR(IF(VLOOKUP(Tue_W2[[#This Row],[Employee Name]],'Base Schedules'!$A$160:$AW$203,37,FALSE)="","",VLOOKUP(Tue_W2[[#This Row],[Employee Name]],'Base Schedules'!$A$160:$AW$203,37,FALSE)),"")</f>
        <v/>
      </c>
      <c r="AM54" s="184" t="str">
        <f>IFERROR(IF(VLOOKUP(Tue_W2[[#This Row],[Employee Name]],'Base Schedules'!$A$160:$AW$203,38,FALSE)="","",VLOOKUP(Tue_W2[[#This Row],[Employee Name]],'Base Schedules'!$A$160:$AW$203,38,FALSE)),"")</f>
        <v/>
      </c>
      <c r="AN54" s="184" t="str">
        <f>IFERROR(IF(VLOOKUP(Tue_W2[[#This Row],[Employee Name]],'Base Schedules'!$A$160:$AW$203,39,FALSE)="","",VLOOKUP(Tue_W2[[#This Row],[Employee Name]],'Base Schedules'!$A$160:$AW$203,39,FALSE)),"")</f>
        <v/>
      </c>
      <c r="AO54" s="184" t="str">
        <f>IFERROR(IF(VLOOKUP(Tue_W2[[#This Row],[Employee Name]],'Base Schedules'!$A$160:$AW$203,40,FALSE)="","",VLOOKUP(Tue_W2[[#This Row],[Employee Name]],'Base Schedules'!$A$160:$AW$203,40,FALSE)),"")</f>
        <v/>
      </c>
      <c r="AP54" s="184" t="str">
        <f>IFERROR(IF(VLOOKUP(Tue_W2[[#This Row],[Employee Name]],'Base Schedules'!$A$160:$AW$203,41,FALSE)="","",VLOOKUP(Tue_W2[[#This Row],[Employee Name]],'Base Schedules'!$A$160:$AW$203,41,FALSE)),"")</f>
        <v/>
      </c>
      <c r="AQ54" s="184" t="str">
        <f>IFERROR(IF(VLOOKUP(Tue_W2[[#This Row],[Employee Name]],'Base Schedules'!$A$160:$AW$203,42,FALSE)="","",VLOOKUP(Tue_W2[[#This Row],[Employee Name]],'Base Schedules'!$A$160:$AW$203,42,FALSE)),"")</f>
        <v/>
      </c>
      <c r="AR54" s="184" t="str">
        <f>IFERROR(IF(VLOOKUP(Tue_W2[[#This Row],[Employee Name]],'Base Schedules'!$A$160:$AW$203,43,FALSE)="","",VLOOKUP(Tue_W2[[#This Row],[Employee Name]],'Base Schedules'!$A$160:$AW$203,43,FALSE)),"")</f>
        <v/>
      </c>
      <c r="AS54" s="184" t="str">
        <f>IFERROR(IF(VLOOKUP(Tue_W2[[#This Row],[Employee Name]],'Base Schedules'!$A$160:$AW$203,44,FALSE)="","",VLOOKUP(Tue_W2[[#This Row],[Employee Name]],'Base Schedules'!$A$160:$AW$203,44,FALSE)),"")</f>
        <v/>
      </c>
      <c r="AT54" s="184" t="str">
        <f>IFERROR(IF(VLOOKUP(Tue_W2[[#This Row],[Employee Name]],'Base Schedules'!$A$160:$AW$203,45,FALSE)="","",VLOOKUP(Tue_W2[[#This Row],[Employee Name]],'Base Schedules'!$A$160:$AW$203,45,FALSE)),"")</f>
        <v/>
      </c>
      <c r="AU54" s="184" t="str">
        <f>IFERROR(IF(VLOOKUP(Tue_W2[[#This Row],[Employee Name]],'Base Schedules'!$A$160:$AW$203,46,FALSE)="","",VLOOKUP(Tue_W2[[#This Row],[Employee Name]],'Base Schedules'!$A$160:$AW$203,46,FALSE)),"")</f>
        <v/>
      </c>
      <c r="AV54" s="184" t="str">
        <f>IFERROR(IF(VLOOKUP(Tue_W2[[#This Row],[Employee Name]],'Base Schedules'!$A$160:$AW$203,47,FALSE)="","",VLOOKUP(Tue_W2[[#This Row],[Employee Name]],'Base Schedules'!$A$160:$AW$203,47,FALSE)),"")</f>
        <v/>
      </c>
      <c r="AW54" s="184" t="str">
        <f>IFERROR(IF(VLOOKUP(Tue_W2[[#This Row],[Employee Name]],'Base Schedules'!$A$160:$AW$203,48,FALSE)="","",VLOOKUP(Tue_W2[[#This Row],[Employee Name]],'Base Schedules'!$A$160:$AW$203,48,FALSE)),"")</f>
        <v/>
      </c>
      <c r="AX54" s="184" t="str">
        <f>IFERROR(IF(VLOOKUP(Tue_W2[[#This Row],[Employee Name]],'Base Schedules'!$A$160:$AW$203,49,FALSE)="","",VLOOKUP(Tue_W2[[#This Row],[Employee Name]],'Base Schedules'!$A$160:$AW$203,49,FALSE)),"")</f>
        <v/>
      </c>
      <c r="AY54" s="159" t="str">
        <f t="shared" si="2"/>
        <v/>
      </c>
    </row>
    <row r="55" spans="1:52" s="44" customFormat="1" ht="12" hidden="1" customHeight="1" x14ac:dyDescent="0.2">
      <c r="A55" s="39" t="str">
        <f>IF(B55="","",INDEX(TeamList[],MATCH($B55,TeamList[[Employee Name]:[Employee Name]],0),MATCH("Manager",TeamList[#Headers],0)))</f>
        <v/>
      </c>
      <c r="B55" s="201"/>
      <c r="C55" s="257" t="str">
        <f>_xlfn.IFNA(VLOOKUP(Tue_W2[[#This Row],[Employee Name]],'Base Schedules'!A:B,2,FALSE),"")</f>
        <v/>
      </c>
      <c r="D55" s="274" t="str">
        <f>_xlfn.IFNA(VLOOKUP(Tue_W2[[#This Row],[Employee Name]],'Base Schedules'!A:C,3,FALSE),"")</f>
        <v/>
      </c>
      <c r="E55" s="274" t="str">
        <f>_xlfn.IFNA(VLOOKUP(Tue_W2[[#This Row],[Employee Name]],'Base Schedules'!A:D,4,FALSE),"")</f>
        <v/>
      </c>
      <c r="F55" s="142" t="str">
        <f>IF(Tue_W2[[#This Row],[Employee Name]]="","",IF(Tue_W2[[#This Row],[Dept]]="Supervisor",COUNTIFS($J55:$AX55,"*HL*",$J55:$AX55,"&lt;&gt;"&amp;"pHL"),COUNTIFS($J55:$AX55,"*HL*",$J55:$AX55,"&lt;&gt;"&amp;"*pHL*",$J55:$AX55,"&lt;&gt;"&amp;"pB1 HL",$J55:$AX55,"&lt;&gt;"&amp;"pB2 HL")-SUM(COUNTIFS($J55:$AX55,"*HL B1*",$J55:$AX55,"&lt;&gt;"&amp;"pHL B1")*0.5,COUNTIFS($J55:$AX55,"*HL B2*",$J55:$AX55,"&lt;&gt;"&amp;"pHL B2")*0.5,COUNTIFS($J55:$AX55,"*B1 HL*",$J55:$AX55,"&lt;&gt;"&amp;"pB1 HL")*0.5,COUNTIFS($J55:$AX55,"*B2 HL*",$J55:$AX55,"&lt;&gt;"&amp;"pB2 HL")*0.5)))</f>
        <v/>
      </c>
      <c r="G55" s="142" t="str">
        <f t="shared" si="3"/>
        <v/>
      </c>
      <c r="H55" s="142" t="str">
        <f t="shared" si="1"/>
        <v/>
      </c>
      <c r="I55" s="142" t="str">
        <f>IF(Tue_W2[[#This Row],[Employee Name]]="","",IF(Tue_W2[[#This Row],[Dept]]="Supervisor",SUM(COUNTIFS($J55:$AX55,"RTA*",$J55:$AX55,"&lt;&gt;"&amp;"pRTA"),COUNTIFS($J55:$AX55,"*CRTA*",$J55:$AX55,"&lt;&gt;"&amp;"pCRTA")),COUNTIFS($J55:$AX55,"*RNNR*",$J55:$AX55,"&lt;&gt;"&amp;"*pRNNR*",$J55:$AX55,"&lt;&gt;"&amp;"pB1 RNNR",$J55:$AX55,"&lt;&gt;"&amp;"pB2 RNNR")-SUM(COUNTIFS($J55:$AX55,"*RNNR B1*",$J55:$AX55,"&lt;&gt;"&amp;"pRNNR B1")*0.5,COUNTIFS($J55:$AX55,"*RNNR B2*",$J55:$AX55,"&lt;&gt;"&amp;"pRNNR B2")*0.5,COUNTIFS($J55:$AX55,"*B1 RNNR*",$J55:$AX55,"&lt;&gt;"&amp;"pB1 RNNR")*0.5,COUNTIFS($J55:$AX55,"*B2 RNNR*",$J55:$AX55,"&lt;&gt;"&amp;"pB2 RNNR")*0.5)))</f>
        <v/>
      </c>
      <c r="J55" s="184" t="str">
        <f>IFERROR(IF(VLOOKUP(Tue_W2[[#This Row],[Employee Name]],'Base Schedules'!$A$160:$AW$203,9,FALSE)="","",VLOOKUP(Tue_W2[[#This Row],[Employee Name]],'Base Schedules'!$A$160:$AW$203,9,FALSE)),"")</f>
        <v/>
      </c>
      <c r="K55" s="184" t="str">
        <f>IFERROR(IF(VLOOKUP(Tue_W2[[#This Row],[Employee Name]],'Base Schedules'!$A$160:$AW$203,10,FALSE)="","",VLOOKUP(Tue_W2[[#This Row],[Employee Name]],'Base Schedules'!$A$160:$AW$203,10,FALSE)),"")</f>
        <v/>
      </c>
      <c r="L55" s="184" t="str">
        <f>IFERROR(IF(VLOOKUP(Tue_W2[[#This Row],[Employee Name]],'Base Schedules'!$A$160:$AW$203,11,FALSE)="","",VLOOKUP(Tue_W2[[#This Row],[Employee Name]],'Base Schedules'!$A$160:$AW$203,11,FALSE)),"")</f>
        <v/>
      </c>
      <c r="M55" s="184" t="str">
        <f>IFERROR(IF(VLOOKUP(Tue_W2[[#This Row],[Employee Name]],'Base Schedules'!$A$160:$AW$203,12,FALSE)="","",VLOOKUP(Tue_W2[[#This Row],[Employee Name]],'Base Schedules'!$A$160:$AW$203,12,FALSE)),"")</f>
        <v/>
      </c>
      <c r="N55" s="184" t="str">
        <f>IFERROR(IF(VLOOKUP(Tue_W2[[#This Row],[Employee Name]],'Base Schedules'!$A$160:$AW$203,13,FALSE)="","",VLOOKUP(Tue_W2[[#This Row],[Employee Name]],'Base Schedules'!$A$160:$AW$203,13,FALSE)),"")</f>
        <v/>
      </c>
      <c r="O55" s="184" t="str">
        <f>IFERROR(IF(VLOOKUP(Tue_W2[[#This Row],[Employee Name]],'Base Schedules'!$A$160:$AW$203,14,FALSE)="","",VLOOKUP(Tue_W2[[#This Row],[Employee Name]],'Base Schedules'!$A$160:$AW$203,14,FALSE)),"")</f>
        <v/>
      </c>
      <c r="P55" s="184" t="str">
        <f>IFERROR(IF(VLOOKUP(Tue_W2[[#This Row],[Employee Name]],'Base Schedules'!$A$160:$AW$203,15,FALSE)="","",VLOOKUP(Tue_W2[[#This Row],[Employee Name]],'Base Schedules'!$A$160:$AW$203,15,FALSE)),"")</f>
        <v/>
      </c>
      <c r="Q55" s="184" t="str">
        <f>IFERROR(IF(VLOOKUP(Tue_W2[[#This Row],[Employee Name]],'Base Schedules'!$A$160:$AW$203,16,FALSE)="","",VLOOKUP(Tue_W2[[#This Row],[Employee Name]],'Base Schedules'!$A$160:$AW$203,16,FALSE)),"")</f>
        <v/>
      </c>
      <c r="R55" s="184" t="str">
        <f>IFERROR(IF(VLOOKUP(Tue_W2[[#This Row],[Employee Name]],'Base Schedules'!$A$160:$AW$203,17,FALSE)="","",VLOOKUP(Tue_W2[[#This Row],[Employee Name]],'Base Schedules'!$A$160:$AW$203,17,FALSE)),"")</f>
        <v/>
      </c>
      <c r="S55" s="184" t="str">
        <f>IFERROR(IF(VLOOKUP(Tue_W2[[#This Row],[Employee Name]],'Base Schedules'!$A$160:$AW$203,18,FALSE)="","",VLOOKUP(Tue_W2[[#This Row],[Employee Name]],'Base Schedules'!$A$160:$AW$203,18,FALSE)),"")</f>
        <v/>
      </c>
      <c r="T55" s="184" t="str">
        <f>IFERROR(IF(VLOOKUP(Tue_W2[[#This Row],[Employee Name]],'Base Schedules'!$A$160:$AW$203,19,FALSE)="","",VLOOKUP(Tue_W2[[#This Row],[Employee Name]],'Base Schedules'!$A$160:$AW$203,19,FALSE)),"")</f>
        <v/>
      </c>
      <c r="U55" s="184" t="str">
        <f>IFERROR(IF(VLOOKUP(Tue_W2[[#This Row],[Employee Name]],'Base Schedules'!$A$160:$AW$203,20,FALSE)="","",VLOOKUP(Tue_W2[[#This Row],[Employee Name]],'Base Schedules'!$A$160:$AW$203,20,FALSE)),"")</f>
        <v/>
      </c>
      <c r="V55" s="184" t="str">
        <f>IFERROR(IF(VLOOKUP(Tue_W2[[#This Row],[Employee Name]],'Base Schedules'!$A$160:$AW$203,21,FALSE)="","",VLOOKUP(Tue_W2[[#This Row],[Employee Name]],'Base Schedules'!$A$160:$AW$203,21,FALSE)),"")</f>
        <v/>
      </c>
      <c r="W55" s="184" t="str">
        <f>IFERROR(IF(VLOOKUP(Tue_W2[[#This Row],[Employee Name]],'Base Schedules'!$A$160:$AW$203,22,FALSE)="","",VLOOKUP(Tue_W2[[#This Row],[Employee Name]],'Base Schedules'!$A$160:$AW$203,22,FALSE)),"")</f>
        <v/>
      </c>
      <c r="X55" s="184" t="str">
        <f>IFERROR(IF(VLOOKUP(Tue_W2[[#This Row],[Employee Name]],'Base Schedules'!$A$160:$AW$203,23,FALSE)="","",VLOOKUP(Tue_W2[[#This Row],[Employee Name]],'Base Schedules'!$A$160:$AW$203,23,FALSE)),"")</f>
        <v/>
      </c>
      <c r="Y55" s="184" t="str">
        <f>IFERROR(IF(VLOOKUP(Tue_W2[[#This Row],[Employee Name]],'Base Schedules'!$A$160:$AW$203,24,FALSE)="","",VLOOKUP(Tue_W2[[#This Row],[Employee Name]],'Base Schedules'!$A$160:$AW$203,24,FALSE)),"")</f>
        <v/>
      </c>
      <c r="Z55" s="184" t="str">
        <f>IFERROR(IF(VLOOKUP(Tue_W2[[#This Row],[Employee Name]],'Base Schedules'!$A$160:$AW$203,25,FALSE)="","",VLOOKUP(Tue_W2[[#This Row],[Employee Name]],'Base Schedules'!$A$160:$AW$203,25,FALSE)),"")</f>
        <v/>
      </c>
      <c r="AA55" s="184" t="str">
        <f>IFERROR(IF(VLOOKUP(Tue_W2[[#This Row],[Employee Name]],'Base Schedules'!$A$160:$AW$203,26,FALSE)="","",VLOOKUP(Tue_W2[[#This Row],[Employee Name]],'Base Schedules'!$A$160:$AW$203,26,FALSE)),"")</f>
        <v/>
      </c>
      <c r="AB55" s="184" t="str">
        <f>IFERROR(IF(VLOOKUP(Tue_W2[[#This Row],[Employee Name]],'Base Schedules'!$A$160:$AW$203,27,FALSE)="","",VLOOKUP(Tue_W2[[#This Row],[Employee Name]],'Base Schedules'!$A$160:$AW$203,27,FALSE)),"")</f>
        <v/>
      </c>
      <c r="AC55" s="184" t="str">
        <f>IFERROR(IF(VLOOKUP(Tue_W2[[#This Row],[Employee Name]],'Base Schedules'!$A$160:$AW$203,28,FALSE)="","",VLOOKUP(Tue_W2[[#This Row],[Employee Name]],'Base Schedules'!$A$160:$AW$203,28,FALSE)),"")</f>
        <v/>
      </c>
      <c r="AD55" s="184" t="str">
        <f>IFERROR(IF(VLOOKUP(Tue_W2[[#This Row],[Employee Name]],'Base Schedules'!$A$160:$AW$203,29,FALSE)="","",VLOOKUP(Tue_W2[[#This Row],[Employee Name]],'Base Schedules'!$A$160:$AW$203,29,FALSE)),"")</f>
        <v/>
      </c>
      <c r="AE55" s="184" t="str">
        <f>IFERROR(IF(VLOOKUP(Tue_W2[[#This Row],[Employee Name]],'Base Schedules'!$A$160:$AW$203,30,FALSE)="","",VLOOKUP(Tue_W2[[#This Row],[Employee Name]],'Base Schedules'!$A$160:$AW$203,30,FALSE)),"")</f>
        <v/>
      </c>
      <c r="AF55" s="184" t="str">
        <f>IFERROR(IF(VLOOKUP(Tue_W2[[#This Row],[Employee Name]],'Base Schedules'!$A$160:$AW$203,31,FALSE)="","",VLOOKUP(Tue_W2[[#This Row],[Employee Name]],'Base Schedules'!$A$160:$AW$203,31,FALSE)),"")</f>
        <v/>
      </c>
      <c r="AG55" s="184" t="str">
        <f>IFERROR(IF(VLOOKUP(Tue_W2[[#This Row],[Employee Name]],'Base Schedules'!$A$160:$AW$203,32,FALSE)="","",VLOOKUP(Tue_W2[[#This Row],[Employee Name]],'Base Schedules'!$A$160:$AW$203,32,FALSE)),"")</f>
        <v/>
      </c>
      <c r="AH55" s="184" t="str">
        <f>IFERROR(IF(VLOOKUP(Tue_W2[[#This Row],[Employee Name]],'Base Schedules'!$A$160:$AW$203,33,FALSE)="","",VLOOKUP(Tue_W2[[#This Row],[Employee Name]],'Base Schedules'!$A$160:$AW$203,33,FALSE)),"")</f>
        <v/>
      </c>
      <c r="AI55" s="184" t="str">
        <f>IFERROR(IF(VLOOKUP(Tue_W2[[#This Row],[Employee Name]],'Base Schedules'!$A$160:$AW$203,34,FALSE)="","",VLOOKUP(Tue_W2[[#This Row],[Employee Name]],'Base Schedules'!$A$160:$AW$203,34,FALSE)),"")</f>
        <v/>
      </c>
      <c r="AJ55" s="184" t="str">
        <f>IFERROR(IF(VLOOKUP(Tue_W2[[#This Row],[Employee Name]],'Base Schedules'!$A$160:$AW$203,35,FALSE)="","",VLOOKUP(Tue_W2[[#This Row],[Employee Name]],'Base Schedules'!$A$160:$AW$203,35,FALSE)),"")</f>
        <v/>
      </c>
      <c r="AK55" s="184" t="str">
        <f>IFERROR(IF(VLOOKUP(Tue_W2[[#This Row],[Employee Name]],'Base Schedules'!$A$160:$AW$203,36,FALSE)="","",VLOOKUP(Tue_W2[[#This Row],[Employee Name]],'Base Schedules'!$A$160:$AW$203,36,FALSE)),"")</f>
        <v/>
      </c>
      <c r="AL55" s="184" t="str">
        <f>IFERROR(IF(VLOOKUP(Tue_W2[[#This Row],[Employee Name]],'Base Schedules'!$A$160:$AW$203,37,FALSE)="","",VLOOKUP(Tue_W2[[#This Row],[Employee Name]],'Base Schedules'!$A$160:$AW$203,37,FALSE)),"")</f>
        <v/>
      </c>
      <c r="AM55" s="184" t="str">
        <f>IFERROR(IF(VLOOKUP(Tue_W2[[#This Row],[Employee Name]],'Base Schedules'!$A$160:$AW$203,38,FALSE)="","",VLOOKUP(Tue_W2[[#This Row],[Employee Name]],'Base Schedules'!$A$160:$AW$203,38,FALSE)),"")</f>
        <v/>
      </c>
      <c r="AN55" s="184" t="str">
        <f>IFERROR(IF(VLOOKUP(Tue_W2[[#This Row],[Employee Name]],'Base Schedules'!$A$160:$AW$203,39,FALSE)="","",VLOOKUP(Tue_W2[[#This Row],[Employee Name]],'Base Schedules'!$A$160:$AW$203,39,FALSE)),"")</f>
        <v/>
      </c>
      <c r="AO55" s="184" t="str">
        <f>IFERROR(IF(VLOOKUP(Tue_W2[[#This Row],[Employee Name]],'Base Schedules'!$A$160:$AW$203,40,FALSE)="","",VLOOKUP(Tue_W2[[#This Row],[Employee Name]],'Base Schedules'!$A$160:$AW$203,40,FALSE)),"")</f>
        <v/>
      </c>
      <c r="AP55" s="184" t="str">
        <f>IFERROR(IF(VLOOKUP(Tue_W2[[#This Row],[Employee Name]],'Base Schedules'!$A$160:$AW$203,41,FALSE)="","",VLOOKUP(Tue_W2[[#This Row],[Employee Name]],'Base Schedules'!$A$160:$AW$203,41,FALSE)),"")</f>
        <v/>
      </c>
      <c r="AQ55" s="184" t="str">
        <f>IFERROR(IF(VLOOKUP(Tue_W2[[#This Row],[Employee Name]],'Base Schedules'!$A$160:$AW$203,42,FALSE)="","",VLOOKUP(Tue_W2[[#This Row],[Employee Name]],'Base Schedules'!$A$160:$AW$203,42,FALSE)),"")</f>
        <v/>
      </c>
      <c r="AR55" s="184" t="str">
        <f>IFERROR(IF(VLOOKUP(Tue_W2[[#This Row],[Employee Name]],'Base Schedules'!$A$160:$AW$203,43,FALSE)="","",VLOOKUP(Tue_W2[[#This Row],[Employee Name]],'Base Schedules'!$A$160:$AW$203,43,FALSE)),"")</f>
        <v/>
      </c>
      <c r="AS55" s="184" t="str">
        <f>IFERROR(IF(VLOOKUP(Tue_W2[[#This Row],[Employee Name]],'Base Schedules'!$A$160:$AW$203,44,FALSE)="","",VLOOKUP(Tue_W2[[#This Row],[Employee Name]],'Base Schedules'!$A$160:$AW$203,44,FALSE)),"")</f>
        <v/>
      </c>
      <c r="AT55" s="184" t="str">
        <f>IFERROR(IF(VLOOKUP(Tue_W2[[#This Row],[Employee Name]],'Base Schedules'!$A$160:$AW$203,45,FALSE)="","",VLOOKUP(Tue_W2[[#This Row],[Employee Name]],'Base Schedules'!$A$160:$AW$203,45,FALSE)),"")</f>
        <v/>
      </c>
      <c r="AU55" s="184" t="str">
        <f>IFERROR(IF(VLOOKUP(Tue_W2[[#This Row],[Employee Name]],'Base Schedules'!$A$160:$AW$203,46,FALSE)="","",VLOOKUP(Tue_W2[[#This Row],[Employee Name]],'Base Schedules'!$A$160:$AW$203,46,FALSE)),"")</f>
        <v/>
      </c>
      <c r="AV55" s="184" t="str">
        <f>IFERROR(IF(VLOOKUP(Tue_W2[[#This Row],[Employee Name]],'Base Schedules'!$A$160:$AW$203,47,FALSE)="","",VLOOKUP(Tue_W2[[#This Row],[Employee Name]],'Base Schedules'!$A$160:$AW$203,47,FALSE)),"")</f>
        <v/>
      </c>
      <c r="AW55" s="184" t="str">
        <f>IFERROR(IF(VLOOKUP(Tue_W2[[#This Row],[Employee Name]],'Base Schedules'!$A$160:$AW$203,48,FALSE)="","",VLOOKUP(Tue_W2[[#This Row],[Employee Name]],'Base Schedules'!$A$160:$AW$203,48,FALSE)),"")</f>
        <v/>
      </c>
      <c r="AX55" s="184" t="str">
        <f>IFERROR(IF(VLOOKUP(Tue_W2[[#This Row],[Employee Name]],'Base Schedules'!$A$160:$AW$203,49,FALSE)="","",VLOOKUP(Tue_W2[[#This Row],[Employee Name]],'Base Schedules'!$A$160:$AW$203,49,FALSE)),"")</f>
        <v/>
      </c>
      <c r="AY55" s="159" t="str">
        <f t="shared" si="2"/>
        <v/>
      </c>
    </row>
    <row r="56" spans="1:52" ht="6" hidden="1" customHeight="1" thickBot="1" x14ac:dyDescent="0.25">
      <c r="B56" s="229"/>
      <c r="C56" s="233" t="e">
        <f>_xlfn.IFNA(VLOOKUP(Sat_W2[[#This Row],[Employee Name]],'Base Schedules'!A:B,2,FALSE),"")</f>
        <v>#VALUE!</v>
      </c>
      <c r="D56" s="234" t="e">
        <f>_xlfn.IFNA(VLOOKUP(Sat_W2[[#This Row],[Employee Name]],'Base Schedules'!A:C,3,FALSE),"")</f>
        <v>#VALUE!</v>
      </c>
      <c r="E56" s="234" t="e">
        <f>_xlfn.IFNA(VLOOKUP(Sat_W2[[#This Row],[Employee Name]],'Base Schedules'!A:D,4,FALSE),"")</f>
        <v>#VALUE!</v>
      </c>
      <c r="F56" s="235" t="str">
        <f>IF(Tue_W2[[#This Row],[Employee Name]]="","",IF(Tue_W2[[#This Row],[Dept]]="Supervisor",COUNTIFS($J56:$AU56,"*HL*",$J56:$AU56,"&lt;&gt;"&amp;"pHL"),COUNTIFS($J56:$AU56,"*HL*",$J56:$AU56,"&lt;&gt;"&amp;"*pHL*",$J56:$AU56,"&lt;&gt;"&amp;"pB1 HL",$J56:$AU56,"&lt;&gt;"&amp;"pB2 HL")-SUM(COUNTIFS($J56:$AU56,"*HL B1*",$J56:$AU56,"&lt;&gt;"&amp;"pHL B1")*0.5,COUNTIFS($J56:$AU56,"*HL B2*",$J56:$AU56,"&lt;&gt;"&amp;"pHL B2")*0.5,COUNTIFS($J56:$AU56,"*B1 HL*",$J56:$AU56,"&lt;&gt;"&amp;"pB1 HL")*0.5,COUNTIFS($J56:$AU56,"*B2 HL*",$J56:$AU56,"&lt;&gt;"&amp;"pB2 HL")*0.5)))</f>
        <v/>
      </c>
      <c r="G56" s="235" t="str">
        <f>IF(B56="","",COUNTIFS($J56:$AU56,"*TM*",$J56:$AU56,"&lt;&gt;"&amp;"pTM",$J56:$AU56,"&lt;&gt;"&amp;"uTM"))</f>
        <v/>
      </c>
      <c r="H56" s="235" t="str">
        <f>IF(B56="","",COUNTIFS($J56:$AU56,"*ADM*",$J56:$AU56,"&lt;&gt;"&amp;"pADM",$J56:$AU56,"&lt;&gt;"&amp;"uADM"))</f>
        <v/>
      </c>
      <c r="I56" s="235" t="str">
        <f>IF(Tue_W2[[#This Row],[Employee Name]]="","",IF(Tue_W2[[#This Row],[Dept]]="Supervisor",SUM(COUNTIFS($J56:$AU56,"RTA*",$J56:$AU56,"&lt;&gt;"&amp;"pRTA"),COUNTIFS($J56:$AU56,"*CRTA*",$J56:$AU56,"&lt;&gt;"&amp;"pCRTA")),COUNTIFS($J56:$AU56,"*RNNR*",$J56:$AU56,"&lt;&gt;"&amp;"*pRNNR*",$J56:$AU56,"&lt;&gt;"&amp;"pB1 RNNR",$J56:$AU56,"&lt;&gt;"&amp;"pB2 RNNR")-SUM(COUNTIFS($J56:$AU56,"*RNNR B1*",$J56:$AU56,"&lt;&gt;"&amp;"pRNNR B1")*0.5,COUNTIFS($J56:$AU56,"*RNNR B2*",$J56:$AU56,"&lt;&gt;"&amp;"pRNNR B2")*0.5,COUNTIFS($J56:$AU56,"*B1 RNNR*",$J56:$AU56,"&lt;&gt;"&amp;"pB1 RNNR")*0.5,COUNTIFS($J56:$AU56,"*B2 RNNR*",$J56:$AU56,"&lt;&gt;"&amp;"pB2 RNNR")*0.5)))</f>
        <v/>
      </c>
      <c r="J56" s="230" t="str">
        <f>IFERROR(IF(VLOOKUP(Sat_W2[[#This Row],[Employee Name]],'Base Schedules'!$A:$I,9,FALSE)="","",VLOOKUP(Sat_W2[[#This Row],[Employee Name]],'Base Schedules'!$A:$I,9,FALSE)),"")</f>
        <v/>
      </c>
      <c r="K56" s="236" t="str">
        <f>IFERROR(IF(VLOOKUP(Sat_W2[[#This Row],[Employee Name]],'Base Schedules'!$A:$J,10,FALSE)="","",VLOOKUP(Sat_W2[[#This Row],[Employee Name]],'Base Schedules'!$A:$J,10,FALSE)),"")</f>
        <v/>
      </c>
      <c r="L56" s="237" t="str">
        <f>IFERROR(IF(VLOOKUP(Sat_W2[[#This Row],[Employee Name]],'Base Schedules'!$A:$K,11,FALSE)="","",VLOOKUP(Sat_W2[[#This Row],[Employee Name]],'Base Schedules'!$A:$K,11,FALSE)),"")</f>
        <v/>
      </c>
      <c r="M56" s="237" t="str">
        <f>IFERROR(IF(VLOOKUP(Sat_W2[[#This Row],[Employee Name]],'Base Schedules'!$A:$L,12,FALSE)="","",VLOOKUP(Sat_W2[[#This Row],[Employee Name]],'Base Schedules'!$A:$L,12,FALSE)),"")</f>
        <v/>
      </c>
      <c r="N56" s="237" t="str">
        <f>IFERROR(IF(VLOOKUP(Sat_W2[[#This Row],[Employee Name]],'Base Schedules'!$A:$M,13,FALSE)="","",VLOOKUP(Sat_W2[[#This Row],[Employee Name]],'Base Schedules'!$A:$M,13,FALSE)),"")</f>
        <v/>
      </c>
      <c r="O56" s="237" t="str">
        <f>IFERROR(IF(VLOOKUP(Sat_W2[[#This Row],[Employee Name]],'Base Schedules'!$A:$N,14,FALSE)="","",VLOOKUP(Sat_W2[[#This Row],[Employee Name]],'Base Schedules'!$A:$N,14,FALSE)),"")</f>
        <v/>
      </c>
      <c r="P56" s="237" t="str">
        <f>IFERROR(IF(VLOOKUP(Sat_W2[[#This Row],[Employee Name]],'Base Schedules'!$A:$O,15,FALSE)="","",VLOOKUP(Sat_W2[[#This Row],[Employee Name]],'Base Schedules'!$A:$O,15,FALSE)),"")</f>
        <v/>
      </c>
      <c r="Q56" s="237" t="str">
        <f>IFERROR(IF(VLOOKUP(Sat_W2[[#This Row],[Employee Name]],'Base Schedules'!$A:$P,16,FALSE)="","",VLOOKUP(Sat_W2[[#This Row],[Employee Name]],'Base Schedules'!$A:$P,16,FALSE)),"")</f>
        <v/>
      </c>
      <c r="R56" s="237" t="str">
        <f>IFERROR(IF(VLOOKUP(Sat_W2[[#This Row],[Employee Name]],'Base Schedules'!$A:$Q,17,FALSE)="","",VLOOKUP(Sat_W2[[#This Row],[Employee Name]],'Base Schedules'!$A:$Q,17,FALSE)),"")</f>
        <v/>
      </c>
      <c r="S56" s="237" t="str">
        <f>IFERROR(IF(VLOOKUP(Sat_W2[[#This Row],[Employee Name]],'Base Schedules'!$A:$R,18,FALSE)="","",VLOOKUP(Sat_W2[[#This Row],[Employee Name]],'Base Schedules'!$A:$R,18,FALSE)),"")</f>
        <v/>
      </c>
      <c r="T56" s="237" t="str">
        <f>IFERROR(IF(VLOOKUP(Sat_W2[[#This Row],[Employee Name]],'Base Schedules'!$A:$S,19,FALSE)="","",VLOOKUP(Sat_W2[[#This Row],[Employee Name]],'Base Schedules'!$A:$S,19,FALSE)),"")</f>
        <v/>
      </c>
      <c r="U56" s="237" t="str">
        <f>IFERROR(IF(VLOOKUP(Sat_W2[[#This Row],[Employee Name]],'Base Schedules'!$A:$T,20,FALSE)="","",VLOOKUP(Sat_W2[[#This Row],[Employee Name]],'Base Schedules'!$A:$T,20,FALSE)),"")</f>
        <v/>
      </c>
      <c r="V56" s="237" t="str">
        <f>IFERROR(IF(VLOOKUP(Sat_W2[[#This Row],[Employee Name]],'Base Schedules'!$A:$U,21,FALSE)="","",VLOOKUP(Sat_W2[[#This Row],[Employee Name]],'Base Schedules'!$A:$U,21,FALSE)),"")</f>
        <v/>
      </c>
      <c r="W56" s="237" t="str">
        <f>IFERROR(IF(VLOOKUP(Sat_W2[[#This Row],[Employee Name]],'Base Schedules'!$A:$V,22,FALSE)="","",VLOOKUP(Sat_W2[[#This Row],[Employee Name]],'Base Schedules'!$A:$V,22,FALSE)),"")</f>
        <v/>
      </c>
      <c r="X56" s="237" t="str">
        <f>IFERROR(IF(VLOOKUP(Sat_W2[[#This Row],[Employee Name]],'Base Schedules'!$A:$W,23,FALSE)="","",VLOOKUP(Sat_W2[[#This Row],[Employee Name]],'Base Schedules'!$A:$W,23,FALSE)),"")</f>
        <v/>
      </c>
      <c r="Y56" s="237" t="str">
        <f>IFERROR(IF(VLOOKUP(Sat_W2[[#This Row],[Employee Name]],'Base Schedules'!$A:$X,24,FALSE)="","",VLOOKUP(Sat_W2[[#This Row],[Employee Name]],'Base Schedules'!$A:$X,24,FALSE)),"")</f>
        <v/>
      </c>
      <c r="Z56" s="237" t="str">
        <f>IFERROR(IF(VLOOKUP(Sat_W2[[#This Row],[Employee Name]],'Base Schedules'!$A:$Y,25,FALSE)="","",VLOOKUP(Sat_W2[[#This Row],[Employee Name]],'Base Schedules'!$A:$Y,25,FALSE)),"")</f>
        <v/>
      </c>
      <c r="AA56" s="237" t="str">
        <f>IFERROR(IF(VLOOKUP(Sat_W2[[#This Row],[Employee Name]],'Base Schedules'!$A:$Z,26,FALSE)="","",VLOOKUP(Sat_W2[[#This Row],[Employee Name]],'Base Schedules'!$A:$Z,26,FALSE)),"")</f>
        <v/>
      </c>
      <c r="AB56" s="237" t="str">
        <f>IFERROR(IF(VLOOKUP(Sat_W2[[#This Row],[Employee Name]],'Base Schedules'!$A:$AA,27,FALSE)="","",VLOOKUP(Sat_W2[[#This Row],[Employee Name]],'Base Schedules'!$A:$AA,27,FALSE)),"")</f>
        <v/>
      </c>
      <c r="AC56" s="237" t="str">
        <f>IFERROR(IF(VLOOKUP(Sat_W2[[#This Row],[Employee Name]],'Base Schedules'!$A:$AB,28,FALSE)="","",VLOOKUP(Sat_W2[[#This Row],[Employee Name]],'Base Schedules'!$A:$AB,28,FALSE)),"")</f>
        <v/>
      </c>
      <c r="AD56" s="237" t="str">
        <f>IFERROR(IF(VLOOKUP(Sat_W2[[#This Row],[Employee Name]],'Base Schedules'!$A:$AC,29,FALSE)="","",VLOOKUP(Sat_W2[[#This Row],[Employee Name]],'Base Schedules'!$A:$AC,29,FALSE)),"")</f>
        <v/>
      </c>
      <c r="AE56" s="237" t="str">
        <f>IFERROR(IF(VLOOKUP(Sat_W2[[#This Row],[Employee Name]],'Base Schedules'!$A:$AD,30,FALSE)="","",VLOOKUP(Sat_W2[[#This Row],[Employee Name]],'Base Schedules'!$A:$AD,30,FALSE)),"")</f>
        <v/>
      </c>
      <c r="AF56" s="237" t="str">
        <f>IFERROR(IF(VLOOKUP(Sat_W2[[#This Row],[Employee Name]],'Base Schedules'!$A:$AE,31,FALSE)="","",VLOOKUP(Sat_W2[[#This Row],[Employee Name]],'Base Schedules'!$A:$AE,31,FALSE)),"")</f>
        <v/>
      </c>
      <c r="AG56" s="237" t="str">
        <f>IFERROR(IF(VLOOKUP(Sat_W2[[#This Row],[Employee Name]],'Base Schedules'!$A:$AF,32,FALSE)="","",VLOOKUP(Sat_W2[[#This Row],[Employee Name]],'Base Schedules'!$A:$AF,32,FALSE)),"")</f>
        <v/>
      </c>
      <c r="AH56" s="237" t="str">
        <f>IFERROR(IF(VLOOKUP(Sat_W2[[#This Row],[Employee Name]],'Base Schedules'!$A:$AG,33,FALSE)="","",VLOOKUP(Sat_W2[[#This Row],[Employee Name]],'Base Schedules'!$A:$AG,33,FALSE)),"")</f>
        <v/>
      </c>
      <c r="AI56" s="237" t="str">
        <f>IFERROR(IF(VLOOKUP(Sat_W2[[#This Row],[Employee Name]],'Base Schedules'!$A:$AH,34,FALSE)="","",VLOOKUP(Sat_W2[[#This Row],[Employee Name]],'Base Schedules'!$A:$AH,34,FALSE)),"")</f>
        <v/>
      </c>
      <c r="AJ56" s="237" t="str">
        <f>IFERROR(IF(VLOOKUP(Sat_W2[[#This Row],[Employee Name]],'Base Schedules'!$A:$AI,35,FALSE)="","",VLOOKUP(Sat_W2[[#This Row],[Employee Name]],'Base Schedules'!$A:$AI,35,FALSE)),"")</f>
        <v/>
      </c>
      <c r="AK56" s="237" t="str">
        <f>IFERROR(IF(VLOOKUP(Sat_W2[[#This Row],[0030]],'Base Schedules'!$A:$AM,39,FALSE)="","",VLOOKUP(Sat_W2[[#This Row],[0030]],'Base Schedules'!$A:$AM,39,FALSE)),"")</f>
        <v/>
      </c>
      <c r="AL56" s="237" t="str">
        <f>IFERROR(IF(VLOOKUP(Sat_W2[[#This Row],[0100]],'Base Schedules'!$A:$AM,39,FALSE)="","",VLOOKUP(Sat_W2[[#This Row],[0100]],'Base Schedules'!$A:$AM,39,FALSE)),"")</f>
        <v/>
      </c>
      <c r="AM56" s="237" t="str">
        <f>IFERROR(IF(VLOOKUP(Sat_W2[[#This Row],[Employee Name ]],'Base Schedules'!$A:$AM,39,FALSE)="","",VLOOKUP(Sat_W2[[#This Row],[Employee Name ]],'Base Schedules'!$A:$AM,39,FALSE)),"")</f>
        <v/>
      </c>
      <c r="AN56" s="237" t="str">
        <f>IFERROR(IF(VLOOKUP(Sat_W2[[#This Row],[Employee Name]],'Base Schedules'!$A:$AM,39,FALSE)="","",VLOOKUP(Sat_W2[[#This Row],[Employee Name]],'Base Schedules'!$A:$AM,39,FALSE)),"")</f>
        <v/>
      </c>
      <c r="AO56" s="237" t="str">
        <f>IFERROR(IF(VLOOKUP(Sat_W2[[#This Row],[Employee Name]],'Base Schedules'!$A:$AN,40,FALSE)="","",VLOOKUP(Sat_W2[[#This Row],[Employee Name]],'Base Schedules'!$A:$AN,40,FALSE)),"")</f>
        <v/>
      </c>
      <c r="AP56" s="237" t="str">
        <f>IFERROR(IF(VLOOKUP(Sat_W2[[#This Row],[Employee Name]],'Base Schedules'!$A:$AO,41,FALSE)="","",VLOOKUP(Sat_W2[[#This Row],[Employee Name]],'Base Schedules'!$A:$AO,41,FALSE)),"")</f>
        <v/>
      </c>
      <c r="AQ56" s="237" t="str">
        <f>IFERROR(IF(VLOOKUP(Sat_W2[[#This Row],[Employee Name]],'Base Schedules'!$A:$AP,42,FALSE)="","",VLOOKUP(Sat_W2[[#This Row],[Employee Name]],'Base Schedules'!$A:$AP,42,FALSE)),"")</f>
        <v/>
      </c>
      <c r="AR56" s="237" t="str">
        <f>IFERROR(IF(VLOOKUP(Sat_W2[[#This Row],[Employee Name]],'Base Schedules'!$A:$AQ,43,FALSE)="","",VLOOKUP(Sat_W2[[#This Row],[Employee Name]],'Base Schedules'!$A:$AQ,43,FALSE)),"")</f>
        <v/>
      </c>
      <c r="AS56" s="237" t="str">
        <f>IFERROR(IF(VLOOKUP(Sat_W2[[#This Row],[Employee Name]],'Base Schedules'!$A:$AR,44,FALSE)="","",VLOOKUP(Sat_W2[[#This Row],[Employee Name]],'Base Schedules'!$A:$AR,44,FALSE)),"")</f>
        <v/>
      </c>
      <c r="AT56" s="237" t="str">
        <f>IFERROR(IF(VLOOKUP(Sat_W2[[#This Row],[Employee Name]],'Base Schedules'!$A:$AS,45,FALSE)="","",VLOOKUP(Sat_W2[[#This Row],[Employee Name]],'Base Schedules'!$A:$AS,45,FALSE)),"")</f>
        <v/>
      </c>
      <c r="AU56" s="237" t="str">
        <f>IFERROR(IF(VLOOKUP(Sat_W2[[#This Row],[Employee Name]],'Base Schedules'!$A:$AT,46,FALSE)="","",VLOOKUP(Sat_W2[[#This Row],[Employee Name]],'Base Schedules'!$A:$AT,46,FALSE)),"")</f>
        <v/>
      </c>
      <c r="AV56" s="361" t="str">
        <f>IFERROR(IF(VLOOKUP(Sat_W2[[#This Row],[Employee Name]],'Base Schedules'!$A:$AU,47,FALSE)="","",VLOOKUP(Sat_W2[[#This Row],[Employee Name]],'Base Schedules'!$A:$AU,47,FALSE)),"")</f>
        <v/>
      </c>
      <c r="AW56" s="361" t="str">
        <f>IFERROR(IF(VLOOKUP(Sat_W2[[#This Row],[Employee Name]],'Base Schedules'!$A:$AV,48,FALSE)="","",VLOOKUP(Sat_W2[[#This Row],[Employee Name]],'Base Schedules'!$A:$AV,48,FALSE)),"")</f>
        <v/>
      </c>
      <c r="AX56" s="231" t="str">
        <f>IFERROR(IF(VLOOKUP(Tue_W1[[#This Row],[Employee Name]],'Base Schedules'!$A$160:$AW$203,49,FALSE)="","",VLOOKUP(Tue_W1[[#This Row],[Employee Name]],'Base Schedules'!$A$160:$AW$203,49,FALSE)),"")</f>
        <v/>
      </c>
      <c r="AY56" s="232" t="str">
        <f t="shared" si="2"/>
        <v/>
      </c>
    </row>
    <row r="57" spans="1:52" ht="11.25" customHeight="1" thickBot="1" x14ac:dyDescent="0.25">
      <c r="B57" s="20"/>
      <c r="C57" s="21"/>
      <c r="D57" s="21"/>
      <c r="E57" s="21" t="s">
        <v>92</v>
      </c>
      <c r="F57" s="238">
        <f>SUM(F9:F56)</f>
        <v>139</v>
      </c>
      <c r="G57" s="238">
        <f>SUM(G9:G56)</f>
        <v>79</v>
      </c>
      <c r="H57" s="238">
        <f>SUM(H9:H56)</f>
        <v>126</v>
      </c>
      <c r="I57" s="238">
        <f>SUM(I9:I56)</f>
        <v>24</v>
      </c>
      <c r="J57" s="27">
        <v>500</v>
      </c>
      <c r="K57" s="27">
        <v>530</v>
      </c>
      <c r="L57" s="27">
        <v>600</v>
      </c>
      <c r="M57" s="27">
        <v>630</v>
      </c>
      <c r="N57" s="27">
        <v>700</v>
      </c>
      <c r="O57" s="27">
        <v>730</v>
      </c>
      <c r="P57" s="27">
        <v>800</v>
      </c>
      <c r="Q57" s="27">
        <v>830</v>
      </c>
      <c r="R57" s="27">
        <v>900</v>
      </c>
      <c r="S57" s="27">
        <v>930</v>
      </c>
      <c r="T57" s="27">
        <v>1000</v>
      </c>
      <c r="U57" s="27">
        <v>1030</v>
      </c>
      <c r="V57" s="27">
        <v>1100</v>
      </c>
      <c r="W57" s="27">
        <v>1130</v>
      </c>
      <c r="X57" s="27">
        <v>1200</v>
      </c>
      <c r="Y57" s="27">
        <v>1230</v>
      </c>
      <c r="Z57" s="27">
        <v>1300</v>
      </c>
      <c r="AA57" s="27">
        <v>1330</v>
      </c>
      <c r="AB57" s="27">
        <v>1400</v>
      </c>
      <c r="AC57" s="27">
        <v>1430</v>
      </c>
      <c r="AD57" s="27">
        <v>1500</v>
      </c>
      <c r="AE57" s="27">
        <v>1530</v>
      </c>
      <c r="AF57" s="27">
        <v>1600</v>
      </c>
      <c r="AG57" s="27">
        <v>1630</v>
      </c>
      <c r="AH57" s="27">
        <v>1700</v>
      </c>
      <c r="AI57" s="27">
        <v>1730</v>
      </c>
      <c r="AJ57" s="27">
        <v>1800</v>
      </c>
      <c r="AK57" s="27">
        <v>1830</v>
      </c>
      <c r="AL57" s="27">
        <v>1900</v>
      </c>
      <c r="AM57" s="27">
        <v>1930</v>
      </c>
      <c r="AN57" s="27">
        <v>2000</v>
      </c>
      <c r="AO57" s="27">
        <v>2030</v>
      </c>
      <c r="AP57" s="27">
        <v>2100</v>
      </c>
      <c r="AQ57" s="27">
        <v>2130</v>
      </c>
      <c r="AR57" s="27">
        <v>2200</v>
      </c>
      <c r="AS57" s="27">
        <v>2230</v>
      </c>
      <c r="AT57" s="27">
        <v>2300</v>
      </c>
      <c r="AU57" s="27">
        <v>2330</v>
      </c>
      <c r="AV57" s="27">
        <v>0</v>
      </c>
      <c r="AW57" s="27">
        <v>30</v>
      </c>
      <c r="AX57" s="221" t="s">
        <v>365</v>
      </c>
      <c r="AY57" s="222" t="s">
        <v>2</v>
      </c>
    </row>
    <row r="58" spans="1:52" ht="6" customHeight="1" thickBot="1" x14ac:dyDescent="0.25">
      <c r="G58" s="223"/>
      <c r="H58" s="224"/>
      <c r="I58" s="225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24"/>
      <c r="X58" s="224"/>
      <c r="Y58" s="224"/>
      <c r="Z58" s="224"/>
      <c r="AA58" s="224"/>
      <c r="AB58" s="224"/>
      <c r="AC58" s="224"/>
      <c r="AD58" s="224"/>
      <c r="AE58" s="224"/>
      <c r="AF58" s="224"/>
      <c r="AG58" s="224"/>
      <c r="AH58" s="224"/>
      <c r="AI58" s="224"/>
      <c r="AJ58" s="224"/>
      <c r="AK58" s="224"/>
      <c r="AL58" s="224"/>
      <c r="AM58" s="224"/>
      <c r="AN58" s="224"/>
      <c r="AO58" s="224"/>
      <c r="AP58" s="224"/>
      <c r="AQ58" s="224"/>
      <c r="AR58" s="224"/>
      <c r="AS58" s="224"/>
      <c r="AT58" s="224"/>
      <c r="AU58" s="224"/>
      <c r="AV58" s="224"/>
      <c r="AW58" s="225"/>
      <c r="AX58" s="226">
        <f>SUM(J58:AW58)</f>
        <v>0</v>
      </c>
      <c r="AY58" s="227">
        <f t="shared" ref="AY58" si="4">G58</f>
        <v>0</v>
      </c>
    </row>
    <row r="59" spans="1:52" ht="18.75" x14ac:dyDescent="0.3">
      <c r="B59" s="484" t="s">
        <v>368</v>
      </c>
      <c r="C59" s="484"/>
      <c r="D59" s="453"/>
      <c r="E59" s="453"/>
      <c r="F59" s="453"/>
      <c r="G59" s="484" t="s">
        <v>368</v>
      </c>
      <c r="H59" s="484"/>
      <c r="I59" s="484"/>
      <c r="J59" s="455">
        <f>COUNTIF(J9:J55,"RNNR")</f>
        <v>0</v>
      </c>
      <c r="K59" s="455">
        <f t="shared" ref="K59:AW59" si="5">COUNTIF(K9:K55,"RNNR")</f>
        <v>0</v>
      </c>
      <c r="L59" s="455">
        <f t="shared" si="5"/>
        <v>0</v>
      </c>
      <c r="M59" s="455">
        <f t="shared" si="5"/>
        <v>0</v>
      </c>
      <c r="N59" s="455">
        <f t="shared" si="5"/>
        <v>0</v>
      </c>
      <c r="O59" s="455">
        <f t="shared" si="5"/>
        <v>0</v>
      </c>
      <c r="P59" s="455">
        <f t="shared" si="5"/>
        <v>1</v>
      </c>
      <c r="Q59" s="455">
        <f t="shared" si="5"/>
        <v>1</v>
      </c>
      <c r="R59" s="455">
        <f t="shared" si="5"/>
        <v>1</v>
      </c>
      <c r="S59" s="455">
        <f t="shared" si="5"/>
        <v>1</v>
      </c>
      <c r="T59" s="455">
        <f t="shared" si="5"/>
        <v>1</v>
      </c>
      <c r="U59" s="455">
        <f t="shared" si="5"/>
        <v>1</v>
      </c>
      <c r="V59" s="455">
        <f t="shared" si="5"/>
        <v>1</v>
      </c>
      <c r="W59" s="455">
        <f t="shared" si="5"/>
        <v>1</v>
      </c>
      <c r="X59" s="455">
        <f t="shared" si="5"/>
        <v>0</v>
      </c>
      <c r="Y59" s="455">
        <f t="shared" si="5"/>
        <v>0</v>
      </c>
      <c r="Z59" s="455">
        <f t="shared" si="5"/>
        <v>2</v>
      </c>
      <c r="AA59" s="455">
        <f t="shared" si="5"/>
        <v>2</v>
      </c>
      <c r="AB59" s="455">
        <f t="shared" si="5"/>
        <v>1</v>
      </c>
      <c r="AC59" s="455">
        <f t="shared" si="5"/>
        <v>1</v>
      </c>
      <c r="AD59" s="455">
        <f t="shared" si="5"/>
        <v>1</v>
      </c>
      <c r="AE59" s="455">
        <f t="shared" si="5"/>
        <v>1</v>
      </c>
      <c r="AF59" s="455">
        <f t="shared" si="5"/>
        <v>1</v>
      </c>
      <c r="AG59" s="455">
        <f t="shared" si="5"/>
        <v>1</v>
      </c>
      <c r="AH59" s="455">
        <f t="shared" si="5"/>
        <v>1</v>
      </c>
      <c r="AI59" s="455">
        <f t="shared" si="5"/>
        <v>1</v>
      </c>
      <c r="AJ59" s="455">
        <f t="shared" si="5"/>
        <v>1</v>
      </c>
      <c r="AK59" s="455">
        <f t="shared" si="5"/>
        <v>1</v>
      </c>
      <c r="AL59" s="455">
        <f t="shared" si="5"/>
        <v>1</v>
      </c>
      <c r="AM59" s="455">
        <f t="shared" si="5"/>
        <v>1</v>
      </c>
      <c r="AN59" s="455">
        <f t="shared" si="5"/>
        <v>0</v>
      </c>
      <c r="AO59" s="455">
        <f t="shared" si="5"/>
        <v>0</v>
      </c>
      <c r="AP59" s="455">
        <f t="shared" si="5"/>
        <v>0</v>
      </c>
      <c r="AQ59" s="455">
        <f t="shared" si="5"/>
        <v>0</v>
      </c>
      <c r="AR59" s="455">
        <f t="shared" si="5"/>
        <v>0</v>
      </c>
      <c r="AS59" s="455">
        <f t="shared" si="5"/>
        <v>0</v>
      </c>
      <c r="AT59" s="455">
        <f t="shared" si="5"/>
        <v>0</v>
      </c>
      <c r="AU59" s="455">
        <f t="shared" si="5"/>
        <v>0</v>
      </c>
      <c r="AV59" s="455">
        <f t="shared" si="5"/>
        <v>0</v>
      </c>
      <c r="AW59" s="455">
        <f t="shared" si="5"/>
        <v>0</v>
      </c>
      <c r="AX59" s="451">
        <f>AVERAGE(J59:AW59)</f>
        <v>0.6</v>
      </c>
      <c r="AY59" s="485" t="s">
        <v>368</v>
      </c>
      <c r="AZ59" s="485"/>
    </row>
    <row r="60" spans="1:52" ht="15.75" customHeight="1" x14ac:dyDescent="0.3">
      <c r="B60" s="484" t="s">
        <v>581</v>
      </c>
      <c r="C60" s="484"/>
      <c r="D60" s="453"/>
      <c r="E60" s="453"/>
      <c r="F60" s="453"/>
      <c r="G60" s="484" t="s">
        <v>581</v>
      </c>
      <c r="H60" s="484"/>
      <c r="I60" s="484"/>
      <c r="J60" s="458">
        <f>COUNTIF(J9:J55,"HL")</f>
        <v>1</v>
      </c>
      <c r="K60" s="458">
        <f t="shared" ref="K60:AW60" si="6">COUNTIF(K9:K55,"HL")</f>
        <v>2</v>
      </c>
      <c r="L60" s="458">
        <f t="shared" si="6"/>
        <v>2</v>
      </c>
      <c r="M60" s="458">
        <f t="shared" si="6"/>
        <v>2</v>
      </c>
      <c r="N60" s="458">
        <f t="shared" si="6"/>
        <v>2</v>
      </c>
      <c r="O60" s="458">
        <f t="shared" si="6"/>
        <v>2</v>
      </c>
      <c r="P60" s="458">
        <f t="shared" si="6"/>
        <v>4</v>
      </c>
      <c r="Q60" s="458">
        <f t="shared" si="6"/>
        <v>4</v>
      </c>
      <c r="R60" s="458">
        <f t="shared" si="6"/>
        <v>4</v>
      </c>
      <c r="S60" s="458">
        <f t="shared" si="6"/>
        <v>3</v>
      </c>
      <c r="T60" s="458">
        <f t="shared" si="6"/>
        <v>2</v>
      </c>
      <c r="U60" s="458">
        <f t="shared" si="6"/>
        <v>3</v>
      </c>
      <c r="V60" s="458">
        <f t="shared" si="6"/>
        <v>5</v>
      </c>
      <c r="W60" s="458">
        <f t="shared" si="6"/>
        <v>7</v>
      </c>
      <c r="X60" s="458">
        <f t="shared" si="6"/>
        <v>3</v>
      </c>
      <c r="Y60" s="458">
        <f t="shared" si="6"/>
        <v>4</v>
      </c>
      <c r="Z60" s="458">
        <f t="shared" si="6"/>
        <v>3</v>
      </c>
      <c r="AA60" s="458">
        <f t="shared" si="6"/>
        <v>5</v>
      </c>
      <c r="AB60" s="458">
        <f t="shared" si="6"/>
        <v>6</v>
      </c>
      <c r="AC60" s="458">
        <f t="shared" si="6"/>
        <v>4</v>
      </c>
      <c r="AD60" s="458">
        <f t="shared" si="6"/>
        <v>4</v>
      </c>
      <c r="AE60" s="458">
        <f t="shared" si="6"/>
        <v>3</v>
      </c>
      <c r="AF60" s="458">
        <f t="shared" si="6"/>
        <v>3</v>
      </c>
      <c r="AG60" s="458">
        <f t="shared" si="6"/>
        <v>5</v>
      </c>
      <c r="AH60" s="458">
        <f t="shared" si="6"/>
        <v>2</v>
      </c>
      <c r="AI60" s="458">
        <f t="shared" si="6"/>
        <v>3</v>
      </c>
      <c r="AJ60" s="458">
        <f t="shared" si="6"/>
        <v>4</v>
      </c>
      <c r="AK60" s="458">
        <f t="shared" si="6"/>
        <v>4</v>
      </c>
      <c r="AL60" s="458">
        <f t="shared" si="6"/>
        <v>5</v>
      </c>
      <c r="AM60" s="458">
        <f t="shared" si="6"/>
        <v>5</v>
      </c>
      <c r="AN60" s="458">
        <f t="shared" si="6"/>
        <v>2</v>
      </c>
      <c r="AO60" s="458">
        <f t="shared" si="6"/>
        <v>3</v>
      </c>
      <c r="AP60" s="458">
        <f t="shared" si="6"/>
        <v>3</v>
      </c>
      <c r="AQ60" s="458">
        <f t="shared" si="6"/>
        <v>3</v>
      </c>
      <c r="AR60" s="458">
        <f t="shared" si="6"/>
        <v>2</v>
      </c>
      <c r="AS60" s="458">
        <f t="shared" si="6"/>
        <v>2</v>
      </c>
      <c r="AT60" s="458">
        <f t="shared" si="6"/>
        <v>2</v>
      </c>
      <c r="AU60" s="458">
        <f t="shared" si="6"/>
        <v>3</v>
      </c>
      <c r="AV60" s="458">
        <f t="shared" si="6"/>
        <v>2</v>
      </c>
      <c r="AW60" s="458">
        <f t="shared" si="6"/>
        <v>2</v>
      </c>
      <c r="AX60" s="452">
        <f>SUM(J60:AW60)</f>
        <v>130</v>
      </c>
      <c r="AY60" s="485" t="s">
        <v>581</v>
      </c>
      <c r="AZ60" s="485"/>
    </row>
    <row r="61" spans="1:52" ht="18.75" x14ac:dyDescent="0.3">
      <c r="B61" s="484" t="s">
        <v>588</v>
      </c>
      <c r="C61" s="484"/>
      <c r="D61" s="453"/>
      <c r="E61" s="453"/>
      <c r="F61" s="453"/>
      <c r="G61" s="484" t="s">
        <v>589</v>
      </c>
      <c r="H61" s="484"/>
      <c r="I61" s="484"/>
      <c r="J61" s="460">
        <f>[1]Weighted!$B$36</f>
        <v>1.1000000000000001</v>
      </c>
      <c r="K61" s="460">
        <f>[1]Weighted!$B$36</f>
        <v>1.1000000000000001</v>
      </c>
      <c r="L61" s="460">
        <f>[1]Weighted!$B$36</f>
        <v>1.1000000000000001</v>
      </c>
      <c r="M61" s="460">
        <f>[1]Weighted!$B$36</f>
        <v>1.1000000000000001</v>
      </c>
      <c r="N61" s="460">
        <f>[1]Weighted!$B$36</f>
        <v>1.1000000000000001</v>
      </c>
      <c r="O61" s="460">
        <f>[1]Weighted!$B$36</f>
        <v>1.1000000000000001</v>
      </c>
      <c r="P61" s="460">
        <f>[1]Weighted!$B$36</f>
        <v>1.1000000000000001</v>
      </c>
      <c r="Q61" s="460">
        <f>[1]Weighted!$B$36</f>
        <v>1.1000000000000001</v>
      </c>
      <c r="R61" s="460">
        <f>[1]Weighted!$B$36</f>
        <v>1.1000000000000001</v>
      </c>
      <c r="S61" s="460">
        <f>[1]Weighted!$B$36</f>
        <v>1.1000000000000001</v>
      </c>
      <c r="T61" s="460">
        <f>[1]Weighted!$B$36</f>
        <v>1.1000000000000001</v>
      </c>
      <c r="U61" s="460">
        <f>[1]Weighted!$B$36</f>
        <v>1.1000000000000001</v>
      </c>
      <c r="V61" s="460">
        <f>[1]Weighted!$B$36</f>
        <v>1.1000000000000001</v>
      </c>
      <c r="W61" s="460">
        <f>[1]Weighted!$B$36</f>
        <v>1.1000000000000001</v>
      </c>
      <c r="X61" s="460">
        <f>[1]Weighted!$B$36</f>
        <v>1.1000000000000001</v>
      </c>
      <c r="Y61" s="460">
        <f>[1]Weighted!$B$36</f>
        <v>1.1000000000000001</v>
      </c>
      <c r="Z61" s="460">
        <f>[1]Weighted!$B$36</f>
        <v>1.1000000000000001</v>
      </c>
      <c r="AA61" s="460">
        <f>[1]Weighted!$B$36</f>
        <v>1.1000000000000001</v>
      </c>
      <c r="AB61" s="460">
        <f>[1]Weighted!$B$36</f>
        <v>1.1000000000000001</v>
      </c>
      <c r="AC61" s="460">
        <f>[1]Weighted!$B$36</f>
        <v>1.1000000000000001</v>
      </c>
      <c r="AD61" s="460">
        <f>[1]Weighted!$B$36</f>
        <v>1.1000000000000001</v>
      </c>
      <c r="AE61" s="460">
        <f>[1]Weighted!$B$36</f>
        <v>1.1000000000000001</v>
      </c>
      <c r="AF61" s="460">
        <f>[1]Weighted!$B$36</f>
        <v>1.1000000000000001</v>
      </c>
      <c r="AG61" s="460">
        <f>[1]Weighted!$B$36</f>
        <v>1.1000000000000001</v>
      </c>
      <c r="AH61" s="460">
        <f>[1]Weighted!$B$36</f>
        <v>1.1000000000000001</v>
      </c>
      <c r="AI61" s="460">
        <f>[1]Weighted!$B$36</f>
        <v>1.1000000000000001</v>
      </c>
      <c r="AJ61" s="460">
        <f>[1]Weighted!$B$36</f>
        <v>1.1000000000000001</v>
      </c>
      <c r="AK61" s="460">
        <f>[1]Weighted!$B$36</f>
        <v>1.1000000000000001</v>
      </c>
      <c r="AL61" s="460">
        <f>[1]Weighted!$B$36</f>
        <v>1.1000000000000001</v>
      </c>
      <c r="AM61" s="460">
        <f>[1]Weighted!$B$36</f>
        <v>1.1000000000000001</v>
      </c>
      <c r="AN61" s="460">
        <f>[1]Weighted!$B$36</f>
        <v>1.1000000000000001</v>
      </c>
      <c r="AO61" s="460">
        <f>[1]Weighted!$B$36</f>
        <v>1.1000000000000001</v>
      </c>
      <c r="AP61" s="460">
        <f>[1]Weighted!$B$36</f>
        <v>1.1000000000000001</v>
      </c>
      <c r="AQ61" s="460">
        <f>[1]Weighted!$B$36</f>
        <v>1.1000000000000001</v>
      </c>
      <c r="AR61" s="460">
        <f>[1]Weighted!$B$36</f>
        <v>1.1000000000000001</v>
      </c>
      <c r="AS61" s="460">
        <f>[1]Weighted!$B$36</f>
        <v>1.1000000000000001</v>
      </c>
      <c r="AT61" s="460">
        <f>[1]Weighted!$B$36</f>
        <v>1.1000000000000001</v>
      </c>
      <c r="AU61" s="460">
        <f>[1]Weighted!$B$36</f>
        <v>1.1000000000000001</v>
      </c>
      <c r="AV61" s="460">
        <f>[1]Weighted!$B$36</f>
        <v>1.1000000000000001</v>
      </c>
      <c r="AW61" s="460">
        <f>[1]Weighted!$B$36</f>
        <v>1.1000000000000001</v>
      </c>
      <c r="AX61" s="452">
        <f>SUM(J61:AW61)</f>
        <v>44.000000000000028</v>
      </c>
      <c r="AY61" s="485" t="s">
        <v>588</v>
      </c>
      <c r="AZ61" s="485"/>
    </row>
    <row r="62" spans="1:52" ht="18.75" x14ac:dyDescent="0.3">
      <c r="B62" s="484" t="s">
        <v>590</v>
      </c>
      <c r="C62" s="484"/>
      <c r="D62" s="453"/>
      <c r="E62" s="453"/>
      <c r="F62" s="453"/>
      <c r="G62" s="484" t="s">
        <v>590</v>
      </c>
      <c r="H62" s="484"/>
      <c r="I62" s="484"/>
      <c r="J62" s="460">
        <f>ROUNDUP(J61/2,0)</f>
        <v>1</v>
      </c>
      <c r="K62" s="460">
        <f t="shared" ref="K62:AW62" si="7">ROUNDUP(K61/2,0)</f>
        <v>1</v>
      </c>
      <c r="L62" s="460">
        <f t="shared" si="7"/>
        <v>1</v>
      </c>
      <c r="M62" s="460">
        <f t="shared" si="7"/>
        <v>1</v>
      </c>
      <c r="N62" s="460">
        <f t="shared" si="7"/>
        <v>1</v>
      </c>
      <c r="O62" s="460">
        <f t="shared" si="7"/>
        <v>1</v>
      </c>
      <c r="P62" s="460">
        <f t="shared" si="7"/>
        <v>1</v>
      </c>
      <c r="Q62" s="460">
        <f t="shared" si="7"/>
        <v>1</v>
      </c>
      <c r="R62" s="460">
        <f t="shared" si="7"/>
        <v>1</v>
      </c>
      <c r="S62" s="460">
        <f t="shared" si="7"/>
        <v>1</v>
      </c>
      <c r="T62" s="460">
        <f t="shared" si="7"/>
        <v>1</v>
      </c>
      <c r="U62" s="460">
        <f t="shared" si="7"/>
        <v>1</v>
      </c>
      <c r="V62" s="460">
        <f t="shared" si="7"/>
        <v>1</v>
      </c>
      <c r="W62" s="460">
        <f t="shared" si="7"/>
        <v>1</v>
      </c>
      <c r="X62" s="460">
        <f t="shared" si="7"/>
        <v>1</v>
      </c>
      <c r="Y62" s="460">
        <f t="shared" si="7"/>
        <v>1</v>
      </c>
      <c r="Z62" s="460">
        <f t="shared" si="7"/>
        <v>1</v>
      </c>
      <c r="AA62" s="460">
        <f t="shared" si="7"/>
        <v>1</v>
      </c>
      <c r="AB62" s="460">
        <f t="shared" si="7"/>
        <v>1</v>
      </c>
      <c r="AC62" s="460">
        <f t="shared" si="7"/>
        <v>1</v>
      </c>
      <c r="AD62" s="460">
        <f t="shared" si="7"/>
        <v>1</v>
      </c>
      <c r="AE62" s="460">
        <f t="shared" si="7"/>
        <v>1</v>
      </c>
      <c r="AF62" s="460">
        <f t="shared" si="7"/>
        <v>1</v>
      </c>
      <c r="AG62" s="460">
        <f t="shared" si="7"/>
        <v>1</v>
      </c>
      <c r="AH62" s="460">
        <f t="shared" si="7"/>
        <v>1</v>
      </c>
      <c r="AI62" s="460">
        <f t="shared" si="7"/>
        <v>1</v>
      </c>
      <c r="AJ62" s="460">
        <f t="shared" si="7"/>
        <v>1</v>
      </c>
      <c r="AK62" s="460">
        <f t="shared" si="7"/>
        <v>1</v>
      </c>
      <c r="AL62" s="460">
        <f t="shared" si="7"/>
        <v>1</v>
      </c>
      <c r="AM62" s="460">
        <f t="shared" si="7"/>
        <v>1</v>
      </c>
      <c r="AN62" s="460">
        <f t="shared" si="7"/>
        <v>1</v>
      </c>
      <c r="AO62" s="460">
        <f t="shared" si="7"/>
        <v>1</v>
      </c>
      <c r="AP62" s="460">
        <f t="shared" si="7"/>
        <v>1</v>
      </c>
      <c r="AQ62" s="460">
        <f t="shared" si="7"/>
        <v>1</v>
      </c>
      <c r="AR62" s="460">
        <f t="shared" si="7"/>
        <v>1</v>
      </c>
      <c r="AS62" s="460">
        <f t="shared" si="7"/>
        <v>1</v>
      </c>
      <c r="AT62" s="460">
        <f t="shared" si="7"/>
        <v>1</v>
      </c>
      <c r="AU62" s="460">
        <f t="shared" si="7"/>
        <v>1</v>
      </c>
      <c r="AV62" s="460">
        <f t="shared" si="7"/>
        <v>1</v>
      </c>
      <c r="AW62" s="460">
        <f t="shared" si="7"/>
        <v>1</v>
      </c>
      <c r="AX62" s="452">
        <f>SUM(J62:AW62)</f>
        <v>40</v>
      </c>
      <c r="AY62" s="485" t="s">
        <v>590</v>
      </c>
      <c r="AZ62" s="485"/>
    </row>
    <row r="63" spans="1:52" ht="18.75" x14ac:dyDescent="0.3">
      <c r="B63" s="484" t="s">
        <v>591</v>
      </c>
      <c r="C63" s="484"/>
      <c r="D63" s="453"/>
      <c r="E63" s="453"/>
      <c r="F63" s="453"/>
      <c r="G63" s="484" t="s">
        <v>591</v>
      </c>
      <c r="H63" s="484"/>
      <c r="I63" s="484"/>
      <c r="J63" s="461">
        <f>J60-J62</f>
        <v>0</v>
      </c>
      <c r="K63" s="461">
        <f t="shared" ref="K63:AW63" si="8">K60-K62</f>
        <v>1</v>
      </c>
      <c r="L63" s="461">
        <f t="shared" si="8"/>
        <v>1</v>
      </c>
      <c r="M63" s="461">
        <f t="shared" si="8"/>
        <v>1</v>
      </c>
      <c r="N63" s="461">
        <f t="shared" si="8"/>
        <v>1</v>
      </c>
      <c r="O63" s="461">
        <f t="shared" si="8"/>
        <v>1</v>
      </c>
      <c r="P63" s="461">
        <f t="shared" si="8"/>
        <v>3</v>
      </c>
      <c r="Q63" s="461">
        <f t="shared" si="8"/>
        <v>3</v>
      </c>
      <c r="R63" s="461">
        <f t="shared" si="8"/>
        <v>3</v>
      </c>
      <c r="S63" s="461">
        <f t="shared" si="8"/>
        <v>2</v>
      </c>
      <c r="T63" s="461">
        <f t="shared" si="8"/>
        <v>1</v>
      </c>
      <c r="U63" s="461">
        <f t="shared" si="8"/>
        <v>2</v>
      </c>
      <c r="V63" s="461">
        <f t="shared" si="8"/>
        <v>4</v>
      </c>
      <c r="W63" s="461">
        <f t="shared" si="8"/>
        <v>6</v>
      </c>
      <c r="X63" s="461">
        <f t="shared" si="8"/>
        <v>2</v>
      </c>
      <c r="Y63" s="461">
        <f t="shared" si="8"/>
        <v>3</v>
      </c>
      <c r="Z63" s="461">
        <f t="shared" si="8"/>
        <v>2</v>
      </c>
      <c r="AA63" s="461">
        <f t="shared" si="8"/>
        <v>4</v>
      </c>
      <c r="AB63" s="461">
        <f t="shared" si="8"/>
        <v>5</v>
      </c>
      <c r="AC63" s="461">
        <f t="shared" si="8"/>
        <v>3</v>
      </c>
      <c r="AD63" s="461">
        <f t="shared" si="8"/>
        <v>3</v>
      </c>
      <c r="AE63" s="461">
        <f t="shared" si="8"/>
        <v>2</v>
      </c>
      <c r="AF63" s="461">
        <f t="shared" si="8"/>
        <v>2</v>
      </c>
      <c r="AG63" s="461">
        <f t="shared" si="8"/>
        <v>4</v>
      </c>
      <c r="AH63" s="461">
        <f t="shared" si="8"/>
        <v>1</v>
      </c>
      <c r="AI63" s="461">
        <f t="shared" si="8"/>
        <v>2</v>
      </c>
      <c r="AJ63" s="461">
        <f t="shared" si="8"/>
        <v>3</v>
      </c>
      <c r="AK63" s="461">
        <f t="shared" si="8"/>
        <v>3</v>
      </c>
      <c r="AL63" s="461">
        <f t="shared" si="8"/>
        <v>4</v>
      </c>
      <c r="AM63" s="461">
        <f t="shared" si="8"/>
        <v>4</v>
      </c>
      <c r="AN63" s="461">
        <f t="shared" si="8"/>
        <v>1</v>
      </c>
      <c r="AO63" s="461">
        <f t="shared" si="8"/>
        <v>2</v>
      </c>
      <c r="AP63" s="461">
        <f t="shared" si="8"/>
        <v>2</v>
      </c>
      <c r="AQ63" s="461">
        <f t="shared" si="8"/>
        <v>2</v>
      </c>
      <c r="AR63" s="461">
        <f t="shared" si="8"/>
        <v>1</v>
      </c>
      <c r="AS63" s="461">
        <f t="shared" si="8"/>
        <v>1</v>
      </c>
      <c r="AT63" s="461">
        <f t="shared" si="8"/>
        <v>1</v>
      </c>
      <c r="AU63" s="461">
        <f t="shared" si="8"/>
        <v>2</v>
      </c>
      <c r="AV63" s="461">
        <f t="shared" si="8"/>
        <v>1</v>
      </c>
      <c r="AW63" s="461">
        <f t="shared" si="8"/>
        <v>1</v>
      </c>
      <c r="AX63" s="454">
        <f>AVERAGE(J63:AW63)</f>
        <v>2.25</v>
      </c>
      <c r="AY63" s="486" t="s">
        <v>591</v>
      </c>
      <c r="AZ63" s="486"/>
    </row>
    <row r="64" spans="1:52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</sheetData>
  <sheetProtection autoFilter="0"/>
  <mergeCells count="18">
    <mergeCell ref="B62:C62"/>
    <mergeCell ref="G62:I62"/>
    <mergeCell ref="AY62:AZ62"/>
    <mergeCell ref="B63:C63"/>
    <mergeCell ref="G63:I63"/>
    <mergeCell ref="AY63:AZ63"/>
    <mergeCell ref="AY59:AZ59"/>
    <mergeCell ref="AY60:AZ60"/>
    <mergeCell ref="B61:C61"/>
    <mergeCell ref="G61:I61"/>
    <mergeCell ref="AY61:AZ61"/>
    <mergeCell ref="B3:C3"/>
    <mergeCell ref="F6:I6"/>
    <mergeCell ref="G59:I59"/>
    <mergeCell ref="G60:I60"/>
    <mergeCell ref="E3:F3"/>
    <mergeCell ref="B59:C59"/>
    <mergeCell ref="B60:C60"/>
  </mergeCells>
  <conditionalFormatting sqref="J9:AX55">
    <cfRule type="containsBlanks" dxfId="391" priority="15" stopIfTrue="1">
      <formula>LEN(TRIM(J9))=0</formula>
    </cfRule>
    <cfRule type="beginsWith" dxfId="390" priority="17" stopIfTrue="1" operator="beginsWith" text="u">
      <formula>LEFT(J9,LEN("u"))="u"</formula>
    </cfRule>
    <cfRule type="beginsWith" dxfId="389" priority="18" stopIfTrue="1" operator="beginsWith" text="p">
      <formula>LEFT(J9,LEN("p"))="p"</formula>
    </cfRule>
    <cfRule type="containsText" dxfId="388" priority="19" stopIfTrue="1" operator="containsText" text="B1">
      <formula>NOT(ISERROR(SEARCH("B1",J9)))</formula>
    </cfRule>
    <cfRule type="containsText" dxfId="387" priority="20" stopIfTrue="1" operator="containsText" text="B2">
      <formula>NOT(ISERROR(SEARCH("B2",J9)))</formula>
    </cfRule>
    <cfRule type="containsText" dxfId="386" priority="21" stopIfTrue="1" operator="containsText" text="Lunch">
      <formula>NOT(ISERROR(SEARCH("Lunch",J9)))</formula>
    </cfRule>
    <cfRule type="containsText" dxfId="385" priority="22" stopIfTrue="1" operator="containsText" text="Interview">
      <formula>NOT(ISERROR(SEARCH("Interview",J9)))</formula>
    </cfRule>
    <cfRule type="containsText" dxfId="384" priority="23" stopIfTrue="1" operator="containsText" text="Side by Side">
      <formula>NOT(ISERROR(SEARCH("Side by Side",J9)))</formula>
    </cfRule>
    <cfRule type="containsText" dxfId="383" priority="24" stopIfTrue="1" operator="containsText" text="COACHING">
      <formula>NOT(ISERROR(SEARCH("COACHING",J9)))</formula>
    </cfRule>
    <cfRule type="containsText" dxfId="382" priority="25" stopIfTrue="1" operator="containsText" text="TM">
      <formula>NOT(ISERROR(SEARCH("TM",J9)))</formula>
    </cfRule>
    <cfRule type="containsText" dxfId="381" priority="26" stopIfTrue="1" operator="containsText" text="RNNR">
      <formula>NOT(ISERROR(SEARCH("RNNR",J9)))</formula>
    </cfRule>
    <cfRule type="containsText" dxfId="380" priority="27" stopIfTrue="1" operator="containsText" text="ADM">
      <formula>NOT(ISERROR(SEARCH("ADM",J9)))</formula>
    </cfRule>
    <cfRule type="containsText" dxfId="379" priority="28" stopIfTrue="1" operator="containsText" text="HL">
      <formula>NOT(ISERROR(SEARCH("HL",J9)))</formula>
    </cfRule>
    <cfRule type="notContainsBlanks" dxfId="378" priority="29" stopIfTrue="1">
      <formula>LEN(TRIM(J9))&gt;0</formula>
    </cfRule>
  </conditionalFormatting>
  <conditionalFormatting sqref="J59:AW59">
    <cfRule type="cellIs" dxfId="377" priority="6" operator="greaterThanOrEqual">
      <formula>2</formula>
    </cfRule>
    <cfRule type="containsText" dxfId="376" priority="7" operator="containsText" text="1">
      <formula>NOT(ISERROR(SEARCH("1",J59)))</formula>
    </cfRule>
    <cfRule type="containsText" dxfId="375" priority="8" operator="containsText" text="0">
      <formula>NOT(ISERROR(SEARCH("0",J59)))</formula>
    </cfRule>
  </conditionalFormatting>
  <conditionalFormatting sqref="J60:AW60">
    <cfRule type="cellIs" dxfId="374" priority="3" operator="greaterThanOrEqual">
      <formula>2</formula>
    </cfRule>
    <cfRule type="containsText" dxfId="373" priority="4" operator="containsText" text="1">
      <formula>NOT(ISERROR(SEARCH("1",J60)))</formula>
    </cfRule>
    <cfRule type="containsText" dxfId="372" priority="5" operator="containsText" text="0">
      <formula>NOT(ISERROR(SEARCH("0",J60)))</formula>
    </cfRule>
  </conditionalFormatting>
  <conditionalFormatting sqref="J63:AW63">
    <cfRule type="colorScale" priority="1">
      <colorScale>
        <cfvo type="num" val="-0.05"/>
        <cfvo type="num" val="0"/>
        <cfvo type="num" val="0.05"/>
        <color rgb="FFF8696B"/>
        <color rgb="FFCDF3CD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stopIfTrue="1" operator="containsText" id="{B961D6CB-CA47-4B3C-ACCC-5DFA395A167C}">
            <xm:f>NOT(ISERROR(SEARCH("-",J9)))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J9:AX55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6" tint="0.59999389629810485"/>
    <outlinePr summaryBelow="0" summaryRight="0"/>
  </sheetPr>
  <dimension ref="A1:AZ99"/>
  <sheetViews>
    <sheetView workbookViewId="0">
      <pane xSplit="9" ySplit="8" topLeftCell="V12" activePane="bottomRight" state="frozen"/>
      <selection activeCell="BB1" sqref="BB1:XFD1048576"/>
      <selection pane="topRight" activeCell="BB1" sqref="BB1:XFD1048576"/>
      <selection pane="bottomLeft" activeCell="BB1" sqref="BB1:XFD1048576"/>
      <selection pane="bottomRight" activeCell="B3" sqref="B3:C3"/>
    </sheetView>
  </sheetViews>
  <sheetFormatPr defaultColWidth="0" defaultRowHeight="12.75" zeroHeight="1" x14ac:dyDescent="0.2"/>
  <cols>
    <col min="1" max="1" width="1.7109375" style="6" customWidth="1"/>
    <col min="2" max="2" width="20.28515625" style="6" bestFit="1" customWidth="1"/>
    <col min="3" max="3" width="10.7109375" style="6" customWidth="1"/>
    <col min="4" max="4" width="11.85546875" style="6" customWidth="1"/>
    <col min="5" max="5" width="11.42578125" style="6" customWidth="1"/>
    <col min="6" max="6" width="11.28515625" style="6" customWidth="1"/>
    <col min="7" max="7" width="12.28515625" style="6" customWidth="1"/>
    <col min="8" max="50" width="10.7109375" style="6" customWidth="1"/>
    <col min="51" max="51" width="23.5703125" style="6" customWidth="1"/>
    <col min="52" max="52" width="1.7109375" style="6" customWidth="1"/>
    <col min="53" max="16384" width="0" style="6" hidden="1"/>
  </cols>
  <sheetData>
    <row r="1" spans="1:51" ht="6" customHeight="1" x14ac:dyDescent="0.2">
      <c r="A1" s="6" t="s">
        <v>225</v>
      </c>
      <c r="D1" s="5"/>
    </row>
    <row r="2" spans="1:51" x14ac:dyDescent="0.2"/>
    <row r="3" spans="1:51" ht="24.95" customHeight="1" x14ac:dyDescent="0.2">
      <c r="B3" s="480" t="str">
        <f>TEXT(Day_11,"DDDD")&amp;" - "&amp;TEXT(Day_11,"mm/dd/yy")</f>
        <v>Wednesday - 04/01/20</v>
      </c>
      <c r="C3" s="480"/>
      <c r="D3" s="106"/>
      <c r="E3" s="490" t="s">
        <v>430</v>
      </c>
      <c r="F3" s="490"/>
      <c r="K3" s="94" t="s">
        <v>124</v>
      </c>
      <c r="L3" s="152" t="s">
        <v>218</v>
      </c>
      <c r="M3" s="153" t="s">
        <v>220</v>
      </c>
      <c r="N3" s="71" t="s">
        <v>126</v>
      </c>
      <c r="O3" s="72" t="s">
        <v>130</v>
      </c>
      <c r="P3" s="73" t="s">
        <v>90</v>
      </c>
      <c r="Q3" s="139" t="s">
        <v>215</v>
      </c>
      <c r="R3" s="138" t="s">
        <v>211</v>
      </c>
      <c r="S3" s="137" t="s">
        <v>127</v>
      </c>
      <c r="T3" s="151" t="s">
        <v>139</v>
      </c>
      <c r="U3" s="69" t="s">
        <v>129</v>
      </c>
      <c r="V3" s="155" t="s">
        <v>146</v>
      </c>
      <c r="W3" s="157" t="s">
        <v>222</v>
      </c>
      <c r="X3" s="228" t="s">
        <v>366</v>
      </c>
      <c r="Y3" s="243" t="s">
        <v>371</v>
      </c>
      <c r="Z3" s="212"/>
      <c r="AA3" s="213"/>
      <c r="AB3" s="214"/>
      <c r="AD3" s="94" t="s">
        <v>124</v>
      </c>
      <c r="AE3" s="152" t="s">
        <v>218</v>
      </c>
      <c r="AF3" s="153" t="s">
        <v>220</v>
      </c>
      <c r="AG3" s="71" t="s">
        <v>126</v>
      </c>
      <c r="AH3" s="72" t="s">
        <v>130</v>
      </c>
      <c r="AI3" s="73" t="s">
        <v>90</v>
      </c>
      <c r="AJ3" s="139" t="s">
        <v>215</v>
      </c>
      <c r="AK3" s="138" t="s">
        <v>211</v>
      </c>
      <c r="AL3" s="137" t="s">
        <v>127</v>
      </c>
      <c r="AM3" s="151" t="s">
        <v>139</v>
      </c>
      <c r="AN3" s="69" t="s">
        <v>129</v>
      </c>
      <c r="AO3" s="155" t="s">
        <v>146</v>
      </c>
      <c r="AP3" s="157" t="s">
        <v>222</v>
      </c>
      <c r="AQ3" s="228" t="s">
        <v>366</v>
      </c>
      <c r="AR3" s="243" t="s">
        <v>371</v>
      </c>
    </row>
    <row r="4" spans="1:51" ht="24.95" customHeight="1" x14ac:dyDescent="0.2">
      <c r="B4" s="7"/>
      <c r="J4" s="18"/>
      <c r="K4" s="94" t="s">
        <v>125</v>
      </c>
      <c r="L4" s="154" t="s">
        <v>217</v>
      </c>
      <c r="M4" s="154" t="s">
        <v>221</v>
      </c>
      <c r="N4" s="70" t="s">
        <v>87</v>
      </c>
      <c r="O4" s="67" t="s">
        <v>89</v>
      </c>
      <c r="P4" s="67" t="s">
        <v>213</v>
      </c>
      <c r="Q4" s="67" t="s">
        <v>214</v>
      </c>
      <c r="R4" s="67" t="s">
        <v>212</v>
      </c>
      <c r="S4" s="67" t="s">
        <v>128</v>
      </c>
      <c r="T4" s="67" t="s">
        <v>138</v>
      </c>
      <c r="U4" s="67" t="s">
        <v>129</v>
      </c>
      <c r="V4" s="156" t="s">
        <v>145</v>
      </c>
      <c r="W4" s="98" t="s">
        <v>223</v>
      </c>
      <c r="X4" s="98" t="s">
        <v>367</v>
      </c>
      <c r="Y4" s="241" t="s">
        <v>372</v>
      </c>
      <c r="Z4" s="215"/>
      <c r="AA4" s="216"/>
      <c r="AB4" s="217"/>
      <c r="AD4" s="94" t="s">
        <v>125</v>
      </c>
      <c r="AE4" s="154" t="s">
        <v>217</v>
      </c>
      <c r="AF4" s="154" t="s">
        <v>221</v>
      </c>
      <c r="AG4" s="70" t="s">
        <v>87</v>
      </c>
      <c r="AH4" s="67" t="s">
        <v>89</v>
      </c>
      <c r="AI4" s="67" t="s">
        <v>213</v>
      </c>
      <c r="AJ4" s="67" t="s">
        <v>214</v>
      </c>
      <c r="AK4" s="67" t="s">
        <v>212</v>
      </c>
      <c r="AL4" s="67" t="s">
        <v>128</v>
      </c>
      <c r="AM4" s="67" t="s">
        <v>138</v>
      </c>
      <c r="AN4" s="67" t="s">
        <v>129</v>
      </c>
      <c r="AO4" s="156" t="s">
        <v>145</v>
      </c>
      <c r="AP4" s="98" t="s">
        <v>223</v>
      </c>
      <c r="AQ4" s="98" t="s">
        <v>367</v>
      </c>
      <c r="AR4" s="241" t="s">
        <v>372</v>
      </c>
    </row>
    <row r="5" spans="1:51" ht="6" customHeight="1" x14ac:dyDescent="0.2"/>
    <row r="6" spans="1:51" ht="17.25" customHeight="1" x14ac:dyDescent="0.2">
      <c r="F6" s="477" t="s">
        <v>132</v>
      </c>
      <c r="G6" s="478"/>
      <c r="H6" s="478"/>
      <c r="I6" s="479"/>
      <c r="J6" s="19"/>
      <c r="K6" s="19"/>
    </row>
    <row r="7" spans="1:51" ht="6" customHeight="1" thickBot="1" x14ac:dyDescent="0.25">
      <c r="J7" s="104" t="s">
        <v>93</v>
      </c>
      <c r="K7" s="104" t="s">
        <v>95</v>
      </c>
      <c r="L7" s="104" t="s">
        <v>97</v>
      </c>
      <c r="M7" s="104" t="s">
        <v>140</v>
      </c>
      <c r="N7" s="104" t="s">
        <v>109</v>
      </c>
      <c r="O7" s="104" t="s">
        <v>103</v>
      </c>
      <c r="P7" s="104" t="s">
        <v>121</v>
      </c>
      <c r="Q7" s="104" t="s">
        <v>113</v>
      </c>
      <c r="R7" s="104" t="s">
        <v>105</v>
      </c>
      <c r="S7" s="104" t="s">
        <v>107</v>
      </c>
      <c r="T7" s="104" t="s">
        <v>141</v>
      </c>
      <c r="U7" s="104" t="s">
        <v>101</v>
      </c>
      <c r="V7" s="104" t="s">
        <v>122</v>
      </c>
      <c r="W7" s="104" t="s">
        <v>116</v>
      </c>
      <c r="X7" s="104" t="s">
        <v>148</v>
      </c>
      <c r="Y7" s="104" t="s">
        <v>149</v>
      </c>
      <c r="Z7" s="104" t="s">
        <v>111</v>
      </c>
      <c r="AA7" s="104" t="s">
        <v>94</v>
      </c>
      <c r="AB7" s="104" t="s">
        <v>96</v>
      </c>
      <c r="AC7" s="104" t="s">
        <v>98</v>
      </c>
      <c r="AD7" s="104" t="s">
        <v>118</v>
      </c>
      <c r="AE7" s="104" t="s">
        <v>99</v>
      </c>
      <c r="AF7" s="104" t="s">
        <v>104</v>
      </c>
      <c r="AG7" s="104" t="s">
        <v>150</v>
      </c>
      <c r="AH7" s="104" t="s">
        <v>114</v>
      </c>
      <c r="AI7" s="104" t="s">
        <v>106</v>
      </c>
      <c r="AJ7" s="104" t="s">
        <v>108</v>
      </c>
      <c r="AK7" s="104" t="s">
        <v>142</v>
      </c>
      <c r="AL7" s="104" t="s">
        <v>102</v>
      </c>
      <c r="AM7" s="104" t="s">
        <v>143</v>
      </c>
      <c r="AN7" s="104" t="s">
        <v>123</v>
      </c>
      <c r="AO7" s="104" t="s">
        <v>117</v>
      </c>
      <c r="AP7" s="104" t="s">
        <v>151</v>
      </c>
      <c r="AQ7" s="104" t="s">
        <v>112</v>
      </c>
      <c r="AR7" s="104" t="s">
        <v>110</v>
      </c>
      <c r="AS7" s="104" t="s">
        <v>119</v>
      </c>
      <c r="AT7" s="104" t="s">
        <v>115</v>
      </c>
      <c r="AU7" s="104" t="s">
        <v>120</v>
      </c>
      <c r="AV7" s="104"/>
      <c r="AW7" s="104"/>
      <c r="AX7" s="105">
        <v>0</v>
      </c>
    </row>
    <row r="8" spans="1:51" ht="13.5" thickBot="1" x14ac:dyDescent="0.25">
      <c r="A8" s="15" t="s">
        <v>14</v>
      </c>
      <c r="B8" s="168" t="s">
        <v>2</v>
      </c>
      <c r="C8" s="169" t="s">
        <v>5</v>
      </c>
      <c r="D8" s="169" t="s">
        <v>84</v>
      </c>
      <c r="E8" s="169" t="s">
        <v>86</v>
      </c>
      <c r="F8" s="169" t="s">
        <v>87</v>
      </c>
      <c r="G8" s="169" t="s">
        <v>223</v>
      </c>
      <c r="H8" s="169" t="s">
        <v>89</v>
      </c>
      <c r="I8" s="169" t="s">
        <v>90</v>
      </c>
      <c r="J8" s="170" t="s">
        <v>93</v>
      </c>
      <c r="K8" s="170" t="s">
        <v>95</v>
      </c>
      <c r="L8" s="170" t="s">
        <v>97</v>
      </c>
      <c r="M8" s="170" t="s">
        <v>140</v>
      </c>
      <c r="N8" s="170" t="s">
        <v>109</v>
      </c>
      <c r="O8" s="170" t="s">
        <v>103</v>
      </c>
      <c r="P8" s="170" t="s">
        <v>121</v>
      </c>
      <c r="Q8" s="170" t="s">
        <v>113</v>
      </c>
      <c r="R8" s="170" t="s">
        <v>105</v>
      </c>
      <c r="S8" s="170" t="s">
        <v>107</v>
      </c>
      <c r="T8" s="170" t="s">
        <v>141</v>
      </c>
      <c r="U8" s="170" t="s">
        <v>101</v>
      </c>
      <c r="V8" s="170" t="s">
        <v>122</v>
      </c>
      <c r="W8" s="170" t="s">
        <v>116</v>
      </c>
      <c r="X8" s="170" t="s">
        <v>148</v>
      </c>
      <c r="Y8" s="170" t="s">
        <v>149</v>
      </c>
      <c r="Z8" s="170" t="s">
        <v>111</v>
      </c>
      <c r="AA8" s="170" t="s">
        <v>94</v>
      </c>
      <c r="AB8" s="170" t="s">
        <v>96</v>
      </c>
      <c r="AC8" s="170" t="s">
        <v>98</v>
      </c>
      <c r="AD8" s="170" t="s">
        <v>118</v>
      </c>
      <c r="AE8" s="170" t="s">
        <v>99</v>
      </c>
      <c r="AF8" s="341" t="s">
        <v>104</v>
      </c>
      <c r="AG8" s="341" t="s">
        <v>150</v>
      </c>
      <c r="AH8" s="170" t="s">
        <v>114</v>
      </c>
      <c r="AI8" s="170" t="s">
        <v>106</v>
      </c>
      <c r="AJ8" s="170" t="s">
        <v>108</v>
      </c>
      <c r="AK8" s="170" t="s">
        <v>142</v>
      </c>
      <c r="AL8" s="170" t="s">
        <v>102</v>
      </c>
      <c r="AM8" s="170" t="s">
        <v>143</v>
      </c>
      <c r="AN8" s="170" t="s">
        <v>123</v>
      </c>
      <c r="AO8" s="170" t="s">
        <v>117</v>
      </c>
      <c r="AP8" s="170" t="s">
        <v>151</v>
      </c>
      <c r="AQ8" s="170" t="s">
        <v>112</v>
      </c>
      <c r="AR8" s="170" t="s">
        <v>110</v>
      </c>
      <c r="AS8" s="170" t="s">
        <v>119</v>
      </c>
      <c r="AT8" s="170" t="s">
        <v>115</v>
      </c>
      <c r="AU8" s="170" t="s">
        <v>120</v>
      </c>
      <c r="AV8" s="199" t="s">
        <v>100</v>
      </c>
      <c r="AW8" s="199" t="s">
        <v>243</v>
      </c>
      <c r="AX8" s="199" t="s">
        <v>244</v>
      </c>
      <c r="AY8" s="171" t="s">
        <v>147</v>
      </c>
    </row>
    <row r="9" spans="1:51" s="44" customFormat="1" ht="12" customHeight="1" x14ac:dyDescent="0.2">
      <c r="A9" s="39" t="str">
        <f>IF(B9="","",INDEX(TeamList[],MATCH($B9,TeamList[[Employee Name]:[Employee Name]],0),MATCH("Manager",TeamList[#Headers],0)))</f>
        <v>Olson, Katherine</v>
      </c>
      <c r="B9" s="201" t="s">
        <v>24</v>
      </c>
      <c r="C9" s="257" t="str">
        <f>_xlfn.IFNA(VLOOKUP(Wed_W2[[#This Row],[Employee Name]],'Base Schedules'!A:B,2,FALSE),"")</f>
        <v>Lead</v>
      </c>
      <c r="D9" s="274">
        <f>_xlfn.IFNA(VLOOKUP(Wed_W2[[#This Row],[Employee Name]],'Base Schedules'!A:C,3,FALSE),"")</f>
        <v>500</v>
      </c>
      <c r="E9" s="274">
        <f>_xlfn.IFNA(VLOOKUP(Wed_W2[[#This Row],[Employee Name]],'Base Schedules'!A:D,4,FALSE),"")</f>
        <v>1330</v>
      </c>
      <c r="F9" s="142">
        <f>IF(Wed_W2[[#This Row],[Employee Name]]="","",IF(Wed_W2[[#This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f>
        <v>9.5</v>
      </c>
      <c r="G9" s="142">
        <f t="shared" ref="G9:G41" si="0">IF(B9="","",COUNTIFS($J9:$AX9,"*Coaching*",$J9:$AX9,"&lt;&gt;"&amp;"pTM",$J9:$AX9,"&lt;&gt;"&amp;"uTM"))</f>
        <v>0</v>
      </c>
      <c r="H9" s="142">
        <f t="shared" ref="H9:H56" si="1">IF(B9="","",COUNTIFS($J9:$AX9,"*ADM*",$J9:$AX9,"&lt;&gt;"&amp;"pADM",$J9:$AX9,"&lt;&gt;"&amp;"uADM"))</f>
        <v>4</v>
      </c>
      <c r="I9" s="142">
        <f>IF(Wed_W2[[#This Row],[Employee Name]]="","",IF(Wed_W2[[#This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f>
        <v>2</v>
      </c>
      <c r="J9" s="184" t="str">
        <f>IFERROR(IF(VLOOKUP(Wed_W2[[#This Row],[Employee Name]],'Base Schedules'!$A$205:$AW$241,9,FALSE)="","",VLOOKUP(Wed_W2[[#This Row],[Employee Name]],'Base Schedules'!$A$205:$AW$241,9,FALSE)),"")</f>
        <v>HL</v>
      </c>
      <c r="K9" s="184" t="str">
        <f>IFERROR(IF(VLOOKUP(Wed_W2[[#This Row],[Employee Name]],'Base Schedules'!$A$205:$AW$241,10,FALSE)="","",VLOOKUP(Wed_W2[[#This Row],[Employee Name]],'Base Schedules'!$A$205:$AW$241,10,FALSE)),"")</f>
        <v>HL</v>
      </c>
      <c r="L9" s="184" t="str">
        <f>IFERROR(IF(VLOOKUP(Wed_W2[[#This Row],[Employee Name]],'Base Schedules'!$A$205:$AW$241,11,FALSE)="","",VLOOKUP(Wed_W2[[#This Row],[Employee Name]],'Base Schedules'!$A$205:$AW$241,11,FALSE)),"")</f>
        <v>HL</v>
      </c>
      <c r="M9" s="184" t="str">
        <f>IFERROR(IF(VLOOKUP(Wed_W2[[#This Row],[Employee Name]],'Base Schedules'!$A$205:$AW$241,12,FALSE)="","",VLOOKUP(Wed_W2[[#This Row],[Employee Name]],'Base Schedules'!$A$205:$AW$241,12,FALSE)),"")</f>
        <v>HL</v>
      </c>
      <c r="N9" s="184" t="str">
        <f>IFERROR(IF(VLOOKUP(Wed_W2[[#This Row],[Employee Name]],'Base Schedules'!$A$205:$AW$241,13,FALSE)="","",VLOOKUP(Wed_W2[[#This Row],[Employee Name]],'Base Schedules'!$A$205:$AW$241,13,FALSE)),"")</f>
        <v>HL</v>
      </c>
      <c r="O9" s="184" t="str">
        <f>IFERROR(IF(VLOOKUP(Wed_W2[[#This Row],[Employee Name]],'Base Schedules'!$A$205:$AW$241,14,FALSE)="","",VLOOKUP(Wed_W2[[#This Row],[Employee Name]],'Base Schedules'!$A$205:$AW$241,14,FALSE)),"")</f>
        <v>ADM B1</v>
      </c>
      <c r="P9" s="184" t="str">
        <f>IFERROR(IF(VLOOKUP(Wed_W2[[#This Row],[Employee Name]],'Base Schedules'!$A$205:$AW$241,15,FALSE)="","",VLOOKUP(Wed_W2[[#This Row],[Employee Name]],'Base Schedules'!$A$205:$AW$241,15,FALSE)),"")</f>
        <v>RNNR</v>
      </c>
      <c r="Q9" s="184" t="str">
        <f>IFERROR(IF(VLOOKUP(Wed_W2[[#This Row],[Employee Name]],'Base Schedules'!$A$205:$AW$241,16,FALSE)="","",VLOOKUP(Wed_W2[[#This Row],[Employee Name]],'Base Schedules'!$A$205:$AW$241,16,FALSE)),"")</f>
        <v>RNNR</v>
      </c>
      <c r="R9" s="184" t="str">
        <f>IFERROR(IF(VLOOKUP(Wed_W2[[#This Row],[Employee Name]],'Base Schedules'!$A$205:$AW$241,17,FALSE)="","",VLOOKUP(Wed_W2[[#This Row],[Employee Name]],'Base Schedules'!$A$205:$AW$241,17,FALSE)),"")</f>
        <v>LUNCH</v>
      </c>
      <c r="S9" s="184" t="str">
        <f>IFERROR(IF(VLOOKUP(Wed_W2[[#This Row],[Employee Name]],'Base Schedules'!$A$205:$AW$241,18,FALSE)="","",VLOOKUP(Wed_W2[[#This Row],[Employee Name]],'Base Schedules'!$A$205:$AW$241,18,FALSE)),"")</f>
        <v>ADM</v>
      </c>
      <c r="T9" s="184" t="str">
        <f>IFERROR(IF(VLOOKUP(Wed_W2[[#This Row],[Employee Name]],'Base Schedules'!$A$205:$AW$241,19,FALSE)="","",VLOOKUP(Wed_W2[[#This Row],[Employee Name]],'Base Schedules'!$A$205:$AW$241,19,FALSE)),"")</f>
        <v>ADM</v>
      </c>
      <c r="U9" s="184" t="str">
        <f>IFERROR(IF(VLOOKUP(Wed_W2[[#This Row],[Employee Name]],'Base Schedules'!$A$205:$AW$241,20,FALSE)="","",VLOOKUP(Wed_W2[[#This Row],[Employee Name]],'Base Schedules'!$A$205:$AW$241,20,FALSE)),"")</f>
        <v>ADM</v>
      </c>
      <c r="V9" s="184" t="str">
        <f>IFERROR(IF(VLOOKUP(Wed_W2[[#This Row],[Employee Name]],'Base Schedules'!$A$205:$AW$241,21,FALSE)="","",VLOOKUP(Wed_W2[[#This Row],[Employee Name]],'Base Schedules'!$A$205:$AW$241,21,FALSE)),"")</f>
        <v>B2 HL</v>
      </c>
      <c r="W9" s="184" t="str">
        <f>IFERROR(IF(VLOOKUP(Wed_W2[[#This Row],[Employee Name]],'Base Schedules'!$A$205:$AW$241,22,FALSE)="","",VLOOKUP(Wed_W2[[#This Row],[Employee Name]],'Base Schedules'!$A$205:$AW$241,22,FALSE)),"")</f>
        <v>HL</v>
      </c>
      <c r="X9" s="184" t="str">
        <f>IFERROR(IF(VLOOKUP(Wed_W2[[#This Row],[Employee Name]],'Base Schedules'!$A$205:$AW$241,23,FALSE)="","",VLOOKUP(Wed_W2[[#This Row],[Employee Name]],'Base Schedules'!$A$205:$AW$241,23,FALSE)),"")</f>
        <v>HL</v>
      </c>
      <c r="Y9" s="184" t="str">
        <f>IFERROR(IF(VLOOKUP(Wed_W2[[#This Row],[Employee Name]],'Base Schedules'!$A$205:$AW$241,24,FALSE)="","",VLOOKUP(Wed_W2[[#This Row],[Employee Name]],'Base Schedules'!$A$205:$AW$241,24,FALSE)),"")</f>
        <v>HL</v>
      </c>
      <c r="Z9" s="184" t="str">
        <f>IFERROR(IF(VLOOKUP(Wed_W2[[#This Row],[Employee Name]],'Base Schedules'!$A$205:$AW$241,25,FALSE)="","",VLOOKUP(Wed_W2[[#This Row],[Employee Name]],'Base Schedules'!$A$205:$AW$241,25,FALSE)),"")</f>
        <v>HL</v>
      </c>
      <c r="AA9" s="184" t="str">
        <f>IFERROR(IF(VLOOKUP(Wed_W2[[#This Row],[Employee Name]],'Base Schedules'!$A$205:$AW$241,26,FALSE)="","",VLOOKUP(Wed_W2[[#This Row],[Employee Name]],'Base Schedules'!$A$205:$AW$241,26,FALSE)),"")</f>
        <v/>
      </c>
      <c r="AB9" s="184" t="str">
        <f>IFERROR(IF(VLOOKUP(Wed_W2[[#This Row],[Employee Name]],'Base Schedules'!$A$205:$AW$241,27,FALSE)="","",VLOOKUP(Wed_W2[[#This Row],[Employee Name]],'Base Schedules'!$A$205:$AW$241,27,FALSE)),"")</f>
        <v/>
      </c>
      <c r="AC9" s="184" t="str">
        <f>IFERROR(IF(VLOOKUP(Wed_W2[[#This Row],[Employee Name]],'Base Schedules'!$A$205:$AW$241,28,FALSE)="","",VLOOKUP(Wed_W2[[#This Row],[Employee Name]],'Base Schedules'!$A$205:$AW$241,28,FALSE)),"")</f>
        <v/>
      </c>
      <c r="AD9" s="184" t="str">
        <f>IFERROR(IF(VLOOKUP(Wed_W2[[#This Row],[Employee Name]],'Base Schedules'!$A$205:$AW$241,29,FALSE)="","",VLOOKUP(Wed_W2[[#This Row],[Employee Name]],'Base Schedules'!$A$205:$AW$241,29,FALSE)),"")</f>
        <v/>
      </c>
      <c r="AE9" s="184" t="str">
        <f>IFERROR(IF(VLOOKUP(Wed_W2[[#This Row],[Employee Name]],'Base Schedules'!$A$205:$AW$241,30,FALSE)="","",VLOOKUP(Wed_W2[[#This Row],[Employee Name]],'Base Schedules'!$A$205:$AW$241,30,FALSE)),"")</f>
        <v/>
      </c>
      <c r="AF9" s="184" t="str">
        <f>IFERROR(IF(VLOOKUP(Wed_W2[[#This Row],[Employee Name]],'Base Schedules'!$A$205:$AW$241,31,FALSE)="","",VLOOKUP(Wed_W2[[#This Row],[Employee Name]],'Base Schedules'!$A$205:$AW$241,31,FALSE)),"")</f>
        <v/>
      </c>
      <c r="AG9" s="184" t="str">
        <f>IFERROR(IF(VLOOKUP(Wed_W2[[#This Row],[Employee Name]],'Base Schedules'!$A$205:$AW$241,32,FALSE)="","",VLOOKUP(Wed_W2[[#This Row],[Employee Name]],'Base Schedules'!$A$205:$AW$241,32,FALSE)),"")</f>
        <v/>
      </c>
      <c r="AH9" s="184" t="str">
        <f>IFERROR(IF(VLOOKUP(Wed_W2[[#This Row],[Employee Name]],'Base Schedules'!$A$205:$AW$241,33,FALSE)="","",VLOOKUP(Wed_W2[[#This Row],[Employee Name]],'Base Schedules'!$A$205:$AW$241,33,FALSE)),"")</f>
        <v/>
      </c>
      <c r="AI9" s="184" t="str">
        <f>IFERROR(IF(VLOOKUP(Wed_W2[[#This Row],[Employee Name]],'Base Schedules'!$A$205:$AW$241,34,FALSE)="","",VLOOKUP(Wed_W2[[#This Row],[Employee Name]],'Base Schedules'!$A$205:$AW$241,34,FALSE)),"")</f>
        <v/>
      </c>
      <c r="AJ9" s="184" t="str">
        <f>IFERROR(IF(VLOOKUP(Wed_W2[[#This Row],[Employee Name]],'Base Schedules'!$A$205:$AW$241,35,FALSE)="","",VLOOKUP(Wed_W2[[#This Row],[Employee Name]],'Base Schedules'!$A$205:$AW$241,35,FALSE)),"")</f>
        <v/>
      </c>
      <c r="AK9" s="184" t="str">
        <f>IFERROR(IF(VLOOKUP(Wed_W2[[#This Row],[Employee Name]],'Base Schedules'!$A$205:$AW$241,36,FALSE)="","",VLOOKUP(Wed_W2[[#This Row],[Employee Name]],'Base Schedules'!$A$205:$AW$241,36,FALSE)),"")</f>
        <v/>
      </c>
      <c r="AL9" s="184" t="str">
        <f>IFERROR(IF(VLOOKUP(Wed_W2[[#This Row],[Employee Name]],'Base Schedules'!$A$205:$AW$241,37,FALSE)="","",VLOOKUP(Wed_W2[[#This Row],[Employee Name]],'Base Schedules'!$A$205:$AW$241,37,FALSE)),"")</f>
        <v/>
      </c>
      <c r="AM9" s="184" t="str">
        <f>IFERROR(IF(VLOOKUP(Wed_W2[[#This Row],[Employee Name]],'Base Schedules'!$A$205:$AW$241,38,FALSE)="","",VLOOKUP(Wed_W2[[#This Row],[Employee Name]],'Base Schedules'!$A$205:$AW$241,38,FALSE)),"")</f>
        <v/>
      </c>
      <c r="AN9" s="184" t="str">
        <f>IFERROR(IF(VLOOKUP(Wed_W2[[#This Row],[Employee Name]],'Base Schedules'!$A$205:$AW$241,39,FALSE)="","",VLOOKUP(Wed_W2[[#This Row],[Employee Name]],'Base Schedules'!$A$205:$AW$241,39,FALSE)),"")</f>
        <v/>
      </c>
      <c r="AO9" s="184" t="str">
        <f>IFERROR(IF(VLOOKUP(Wed_W2[[#This Row],[Employee Name]],'Base Schedules'!$A$205:$AW$241,40,FALSE)="","",VLOOKUP(Wed_W2[[#This Row],[Employee Name]],'Base Schedules'!$A$205:$AW$241,40,FALSE)),"")</f>
        <v/>
      </c>
      <c r="AP9" s="184" t="str">
        <f>IFERROR(IF(VLOOKUP(Wed_W2[[#This Row],[Employee Name]],'Base Schedules'!$A$205:$AW$241,41,FALSE)="","",VLOOKUP(Wed_W2[[#This Row],[Employee Name]],'Base Schedules'!$A$205:$AW$241,41,FALSE)),"")</f>
        <v/>
      </c>
      <c r="AQ9" s="184" t="str">
        <f>IFERROR(IF(VLOOKUP(Wed_W2[[#This Row],[Employee Name]],'Base Schedules'!$A$205:$AW$241,42,FALSE)="","",VLOOKUP(Wed_W2[[#This Row],[Employee Name]],'Base Schedules'!$A$205:$AW$241,42,FALSE)),"")</f>
        <v/>
      </c>
      <c r="AR9" s="184" t="str">
        <f>IFERROR(IF(VLOOKUP(Wed_W2[[#This Row],[Employee Name]],'Base Schedules'!$A$205:$AW$241,43,FALSE)="","",VLOOKUP(Wed_W2[[#This Row],[Employee Name]],'Base Schedules'!$A$205:$AW$241,43,FALSE)),"")</f>
        <v/>
      </c>
      <c r="AS9" s="184" t="str">
        <f>IFERROR(IF(VLOOKUP(Wed_W2[[#This Row],[Employee Name]],'Base Schedules'!$A$205:$AW$241,44,FALSE)="","",VLOOKUP(Wed_W2[[#This Row],[Employee Name]],'Base Schedules'!$A$205:$AW$241,44,FALSE)),"")</f>
        <v/>
      </c>
      <c r="AT9" s="184" t="str">
        <f>IFERROR(IF(VLOOKUP(Wed_W2[[#This Row],[Employee Name]],'Base Schedules'!$A$205:$AW$241,45,FALSE)="","",VLOOKUP(Wed_W2[[#This Row],[Employee Name]],'Base Schedules'!$A$205:$AW$241,45,FALSE)),"")</f>
        <v/>
      </c>
      <c r="AU9" s="184" t="str">
        <f>IFERROR(IF(VLOOKUP(Wed_W2[[#This Row],[Employee Name]],'Base Schedules'!$A$205:$AW$241,46,FALSE)="","",VLOOKUP(Wed_W2[[#This Row],[Employee Name]],'Base Schedules'!$A$205:$AW$241,46,FALSE)),"")</f>
        <v/>
      </c>
      <c r="AV9" s="184" t="str">
        <f>IFERROR(IF(VLOOKUP(Wed_W2[[#This Row],[Employee Name]],'Base Schedules'!$A$205:$AW$241,47,FALSE)="","",VLOOKUP(Wed_W2[[#This Row],[Employee Name]],'Base Schedules'!$A$205:$AW$241,47,FALSE)),"")</f>
        <v/>
      </c>
      <c r="AW9" s="184" t="str">
        <f>IFERROR(IF(VLOOKUP(Wed_W2[[#This Row],[Employee Name]],'Base Schedules'!$A$205:$AW$241,48,FALSE)="","",VLOOKUP(Wed_W2[[#This Row],[Employee Name]],'Base Schedules'!$A$205:$AW$241,48,FALSE)),"")</f>
        <v/>
      </c>
      <c r="AX9" s="184" t="str">
        <f>IFERROR(IF(VLOOKUP(Wed_W2[[#This Row],[Employee Name]],'Base Schedules'!$A$205:$AW$241,49,FALSE)="","",VLOOKUP(Wed_W2[[#This Row],[Employee Name]],'Base Schedules'!$A$205:$AW$241,49,FALSE)),"")</f>
        <v/>
      </c>
      <c r="AY9" s="289" t="str">
        <f t="shared" ref="AY9:AY56" si="2">IF(B9="","",B9)</f>
        <v>Birrueta Arellano, Neftali</v>
      </c>
    </row>
    <row r="10" spans="1:51" s="44" customFormat="1" ht="12" customHeight="1" x14ac:dyDescent="0.2">
      <c r="A10" s="39" t="str">
        <f>IF(B10="","",INDEX(TeamList[],MATCH($B10,TeamList[[Employee Name]:[Employee Name]],0),MATCH("Manager",TeamList[#Headers],0)))</f>
        <v>Ahmed Hassan, Zahra</v>
      </c>
      <c r="B10" s="201" t="s">
        <v>25</v>
      </c>
      <c r="C10" s="257" t="str">
        <f>_xlfn.IFNA(VLOOKUP(Wed_W2[[#This Row],[Employee Name]],'Base Schedules'!A:B,2,FALSE),"")</f>
        <v>Supervisor</v>
      </c>
      <c r="D10" s="274">
        <f>_xlfn.IFNA(VLOOKUP(Wed_W2[[#This Row],[Employee Name]],'Base Schedules'!A:C,3,FALSE),"")</f>
        <v>500</v>
      </c>
      <c r="E10" s="274">
        <f>_xlfn.IFNA(VLOOKUP(Wed_W2[[#This Row],[Employee Name]],'Base Schedules'!A:D,4,FALSE),"")</f>
        <v>1400</v>
      </c>
      <c r="F10" s="142">
        <f>IF(Wed_W2[[#This Row],[Employee Name]]="","",IF(Wed_W2[[#This Row],[Dept]]="Supervisor",COUNTIFS($J10:$AX10,"*HL*",$J10:$AX10,"&lt;&gt;"&amp;"pHL"),COUNTIFS($J10:$AX10,"*HL*",$J10:$AX10,"&lt;&gt;"&amp;"*pHL*",$J10:$AX10,"&lt;&gt;"&amp;"pB1 HL",$J10:$AX10,"&lt;&gt;"&amp;"pB2 HL")-SUM(COUNTIFS($J10:$AX10,"*HL B1*",$J10:$AX10,"&lt;&gt;"&amp;"pHL B1")*0.5,COUNTIFS($J10:$AX10,"*HL B2*",$J10:$AX10,"&lt;&gt;"&amp;"pHL B2")*0.5,COUNTIFS($J10:$AX10,"*B1 HL*",$J10:$AX10,"&lt;&gt;"&amp;"pB1 HL")*0.5,COUNTIFS($J10:$AX10,"*B2 HL*",$J10:$AX10,"&lt;&gt;"&amp;"pB2 HL")*0.5)))</f>
        <v>0</v>
      </c>
      <c r="G10" s="142">
        <f t="shared" si="0"/>
        <v>4</v>
      </c>
      <c r="H10" s="142">
        <f t="shared" si="1"/>
        <v>0</v>
      </c>
      <c r="I10" s="142">
        <f>IF(Wed_W2[[#This Row],[Employee Name]]="","",IF(Wed_W2[[#This Row],[Dept]]="Supervisor",SUM(COUNTIFS($J10:$AX10,"RTA*",$J10:$AX10,"&lt;&gt;"&amp;"pRTA"),COUNTIFS($J10:$AX10,"*CRTA*",$J10:$AX10,"&lt;&gt;"&amp;"pCRTA")),COUNTIFS($J10:$AX10,"*RNNR*",$J10:$AX10,"&lt;&gt;"&amp;"*pRNNR*",$J10:$AX10,"&lt;&gt;"&amp;"pB1 RNNR",$J10:$AX10,"&lt;&gt;"&amp;"pB2 RNNR")-SUM(COUNTIFS($J10:$AX10,"*RNNR B1*",$J10:$AX10,"&lt;&gt;"&amp;"pRNNR B1")*0.5,COUNTIFS($J10:$AX10,"*RNNR B2*",$J10:$AX10,"&lt;&gt;"&amp;"pRNNR B2")*0.5,COUNTIFS($J10:$AX10,"*B1 RNNR*",$J10:$AX10,"&lt;&gt;"&amp;"pB1 RNNR")*0.5,COUNTIFS($J10:$AX10,"*B2 RNNR*",$J10:$AX10,"&lt;&gt;"&amp;"pB2 RNNR")*0.5)))</f>
        <v>0</v>
      </c>
      <c r="J10" s="184" t="str">
        <f>IFERROR(IF(VLOOKUP(Wed_W2[[#This Row],[Employee Name]],'Base Schedules'!$A$205:$AW$241,9,FALSE)="","",VLOOKUP(Wed_W2[[#This Row],[Employee Name]],'Base Schedules'!$A$205:$AW$241,9,FALSE)),"")</f>
        <v>-</v>
      </c>
      <c r="K10" s="184" t="str">
        <f>IFERROR(IF(VLOOKUP(Wed_W2[[#This Row],[Employee Name]],'Base Schedules'!$A$205:$AW$241,10,FALSE)="","",VLOOKUP(Wed_W2[[#This Row],[Employee Name]],'Base Schedules'!$A$205:$AW$241,10,FALSE)),"")</f>
        <v>-</v>
      </c>
      <c r="L10" s="184" t="str">
        <f>IFERROR(IF(VLOOKUP(Wed_W2[[#This Row],[Employee Name]],'Base Schedules'!$A$205:$AW$241,11,FALSE)="","",VLOOKUP(Wed_W2[[#This Row],[Employee Name]],'Base Schedules'!$A$205:$AW$241,11,FALSE)),"")</f>
        <v>-</v>
      </c>
      <c r="M10" s="184" t="str">
        <f>IFERROR(IF(VLOOKUP(Wed_W2[[#This Row],[Employee Name]],'Base Schedules'!$A$205:$AW$241,12,FALSE)="","",VLOOKUP(Wed_W2[[#This Row],[Employee Name]],'Base Schedules'!$A$205:$AW$241,12,FALSE)),"")</f>
        <v>-</v>
      </c>
      <c r="N10" s="184" t="str">
        <f>IFERROR(IF(VLOOKUP(Wed_W2[[#This Row],[Employee Name]],'Base Schedules'!$A$205:$AW$241,13,FALSE)="","",VLOOKUP(Wed_W2[[#This Row],[Employee Name]],'Base Schedules'!$A$205:$AW$241,13,FALSE)),"")</f>
        <v>-</v>
      </c>
      <c r="O10" s="184" t="str">
        <f>IFERROR(IF(VLOOKUP(Wed_W2[[#This Row],[Employee Name]],'Base Schedules'!$A$205:$AW$241,14,FALSE)="","",VLOOKUP(Wed_W2[[#This Row],[Employee Name]],'Base Schedules'!$A$205:$AW$241,14,FALSE)),"")</f>
        <v>-</v>
      </c>
      <c r="P10" s="184" t="str">
        <f>IFERROR(IF(VLOOKUP(Wed_W2[[#This Row],[Employee Name]],'Base Schedules'!$A$205:$AW$241,15,FALSE)="","",VLOOKUP(Wed_W2[[#This Row],[Employee Name]],'Base Schedules'!$A$205:$AW$241,15,FALSE)),"")</f>
        <v>Interview</v>
      </c>
      <c r="Q10" s="184" t="str">
        <f>IFERROR(IF(VLOOKUP(Wed_W2[[#This Row],[Employee Name]],'Base Schedules'!$A$205:$AW$241,16,FALSE)="","",VLOOKUP(Wed_W2[[#This Row],[Employee Name]],'Base Schedules'!$A$205:$AW$241,16,FALSE)),"")</f>
        <v>Interview</v>
      </c>
      <c r="R10" s="184" t="str">
        <f>IFERROR(IF(VLOOKUP(Wed_W2[[#This Row],[Employee Name]],'Base Schedules'!$A$205:$AW$241,17,FALSE)="","",VLOOKUP(Wed_W2[[#This Row],[Employee Name]],'Base Schedules'!$A$205:$AW$241,17,FALSE)),"")</f>
        <v>Coaching</v>
      </c>
      <c r="S10" s="184" t="str">
        <f>IFERROR(IF(VLOOKUP(Wed_W2[[#This Row],[Employee Name]],'Base Schedules'!$A$205:$AW$241,18,FALSE)="","",VLOOKUP(Wed_W2[[#This Row],[Employee Name]],'Base Schedules'!$A$205:$AW$241,18,FALSE)),"")</f>
        <v>Coaching</v>
      </c>
      <c r="T10" s="184" t="str">
        <f>IFERROR(IF(VLOOKUP(Wed_W2[[#This Row],[Employee Name]],'Base Schedules'!$A$205:$AW$241,19,FALSE)="","",VLOOKUP(Wed_W2[[#This Row],[Employee Name]],'Base Schedules'!$A$205:$AW$241,19,FALSE)),"")</f>
        <v>Coaching</v>
      </c>
      <c r="U10" s="184" t="str">
        <f>IFERROR(IF(VLOOKUP(Wed_W2[[#This Row],[Employee Name]],'Base Schedules'!$A$205:$AW$241,20,FALSE)="","",VLOOKUP(Wed_W2[[#This Row],[Employee Name]],'Base Schedules'!$A$205:$AW$241,20,FALSE)),"")</f>
        <v>Coaching</v>
      </c>
      <c r="V10" s="184" t="str">
        <f>IFERROR(IF(VLOOKUP(Wed_W2[[#This Row],[Employee Name]],'Base Schedules'!$A$205:$AW$241,21,FALSE)="","",VLOOKUP(Wed_W2[[#This Row],[Employee Name]],'Base Schedules'!$A$205:$AW$241,21,FALSE)),"")</f>
        <v>-</v>
      </c>
      <c r="W10" s="184" t="str">
        <f>IFERROR(IF(VLOOKUP(Wed_W2[[#This Row],[Employee Name]],'Base Schedules'!$A$205:$AW$241,22,FALSE)="","",VLOOKUP(Wed_W2[[#This Row],[Employee Name]],'Base Schedules'!$A$205:$AW$241,22,FALSE)),"")</f>
        <v>-</v>
      </c>
      <c r="X10" s="184" t="str">
        <f>IFERROR(IF(VLOOKUP(Wed_W2[[#This Row],[Employee Name]],'Base Schedules'!$A$205:$AW$241,23,FALSE)="","",VLOOKUP(Wed_W2[[#This Row],[Employee Name]],'Base Schedules'!$A$205:$AW$241,23,FALSE)),"")</f>
        <v>-</v>
      </c>
      <c r="Y10" s="184" t="str">
        <f>IFERROR(IF(VLOOKUP(Wed_W2[[#This Row],[Employee Name]],'Base Schedules'!$A$205:$AW$241,24,FALSE)="","",VLOOKUP(Wed_W2[[#This Row],[Employee Name]],'Base Schedules'!$A$205:$AW$241,24,FALSE)),"")</f>
        <v>-</v>
      </c>
      <c r="Z10" s="184" t="str">
        <f>IFERROR(IF(VLOOKUP(Wed_W2[[#This Row],[Employee Name]],'Base Schedules'!$A$205:$AW$241,25,FALSE)="","",VLOOKUP(Wed_W2[[#This Row],[Employee Name]],'Base Schedules'!$A$205:$AW$241,25,FALSE)),"")</f>
        <v>-</v>
      </c>
      <c r="AA10" s="184" t="str">
        <f>IFERROR(IF(VLOOKUP(Wed_W2[[#This Row],[Employee Name]],'Base Schedules'!$A$205:$AW$241,26,FALSE)="","",VLOOKUP(Wed_W2[[#This Row],[Employee Name]],'Base Schedules'!$A$205:$AW$241,26,FALSE)),"")</f>
        <v>-</v>
      </c>
      <c r="AB10" s="184" t="str">
        <f>IFERROR(IF(VLOOKUP(Wed_W2[[#This Row],[Employee Name]],'Base Schedules'!$A$205:$AW$241,27,FALSE)="","",VLOOKUP(Wed_W2[[#This Row],[Employee Name]],'Base Schedules'!$A$205:$AW$241,27,FALSE)),"")</f>
        <v/>
      </c>
      <c r="AC10" s="184" t="str">
        <f>IFERROR(IF(VLOOKUP(Wed_W2[[#This Row],[Employee Name]],'Base Schedules'!$A$205:$AW$241,28,FALSE)="","",VLOOKUP(Wed_W2[[#This Row],[Employee Name]],'Base Schedules'!$A$205:$AW$241,28,FALSE)),"")</f>
        <v/>
      </c>
      <c r="AD10" s="184" t="str">
        <f>IFERROR(IF(VLOOKUP(Wed_W2[[#This Row],[Employee Name]],'Base Schedules'!$A$205:$AW$241,29,FALSE)="","",VLOOKUP(Wed_W2[[#This Row],[Employee Name]],'Base Schedules'!$A$205:$AW$241,29,FALSE)),"")</f>
        <v/>
      </c>
      <c r="AE10" s="184" t="str">
        <f>IFERROR(IF(VLOOKUP(Wed_W2[[#This Row],[Employee Name]],'Base Schedules'!$A$205:$AW$241,30,FALSE)="","",VLOOKUP(Wed_W2[[#This Row],[Employee Name]],'Base Schedules'!$A$205:$AW$241,30,FALSE)),"")</f>
        <v/>
      </c>
      <c r="AF10" s="184" t="str">
        <f>IFERROR(IF(VLOOKUP(Wed_W2[[#This Row],[Employee Name]],'Base Schedules'!$A$205:$AW$241,31,FALSE)="","",VLOOKUP(Wed_W2[[#This Row],[Employee Name]],'Base Schedules'!$A$205:$AW$241,31,FALSE)),"")</f>
        <v/>
      </c>
      <c r="AG10" s="184" t="str">
        <f>IFERROR(IF(VLOOKUP(Wed_W2[[#This Row],[Employee Name]],'Base Schedules'!$A$205:$AW$241,32,FALSE)="","",VLOOKUP(Wed_W2[[#This Row],[Employee Name]],'Base Schedules'!$A$205:$AW$241,32,FALSE)),"")</f>
        <v/>
      </c>
      <c r="AH10" s="184" t="str">
        <f>IFERROR(IF(VLOOKUP(Wed_W2[[#This Row],[Employee Name]],'Base Schedules'!$A$205:$AW$241,33,FALSE)="","",VLOOKUP(Wed_W2[[#This Row],[Employee Name]],'Base Schedules'!$A$205:$AW$241,33,FALSE)),"")</f>
        <v/>
      </c>
      <c r="AI10" s="184" t="str">
        <f>IFERROR(IF(VLOOKUP(Wed_W2[[#This Row],[Employee Name]],'Base Schedules'!$A$205:$AW$241,34,FALSE)="","",VLOOKUP(Wed_W2[[#This Row],[Employee Name]],'Base Schedules'!$A$205:$AW$241,34,FALSE)),"")</f>
        <v/>
      </c>
      <c r="AJ10" s="184" t="str">
        <f>IFERROR(IF(VLOOKUP(Wed_W2[[#This Row],[Employee Name]],'Base Schedules'!$A$205:$AW$241,35,FALSE)="","",VLOOKUP(Wed_W2[[#This Row],[Employee Name]],'Base Schedules'!$A$205:$AW$241,35,FALSE)),"")</f>
        <v/>
      </c>
      <c r="AK10" s="184" t="str">
        <f>IFERROR(IF(VLOOKUP(Wed_W2[[#This Row],[Employee Name]],'Base Schedules'!$A$205:$AW$241,36,FALSE)="","",VLOOKUP(Wed_W2[[#This Row],[Employee Name]],'Base Schedules'!$A$205:$AW$241,36,FALSE)),"")</f>
        <v/>
      </c>
      <c r="AL10" s="184" t="str">
        <f>IFERROR(IF(VLOOKUP(Wed_W2[[#This Row],[Employee Name]],'Base Schedules'!$A$205:$AW$241,37,FALSE)="","",VLOOKUP(Wed_W2[[#This Row],[Employee Name]],'Base Schedules'!$A$205:$AW$241,37,FALSE)),"")</f>
        <v/>
      </c>
      <c r="AM10" s="184" t="str">
        <f>IFERROR(IF(VLOOKUP(Wed_W2[[#This Row],[Employee Name]],'Base Schedules'!$A$205:$AW$241,38,FALSE)="","",VLOOKUP(Wed_W2[[#This Row],[Employee Name]],'Base Schedules'!$A$205:$AW$241,38,FALSE)),"")</f>
        <v/>
      </c>
      <c r="AN10" s="184" t="str">
        <f>IFERROR(IF(VLOOKUP(Wed_W2[[#This Row],[Employee Name]],'Base Schedules'!$A$205:$AW$241,39,FALSE)="","",VLOOKUP(Wed_W2[[#This Row],[Employee Name]],'Base Schedules'!$A$205:$AW$241,39,FALSE)),"")</f>
        <v/>
      </c>
      <c r="AO10" s="184" t="str">
        <f>IFERROR(IF(VLOOKUP(Wed_W2[[#This Row],[Employee Name]],'Base Schedules'!$A$205:$AW$241,40,FALSE)="","",VLOOKUP(Wed_W2[[#This Row],[Employee Name]],'Base Schedules'!$A$205:$AW$241,40,FALSE)),"")</f>
        <v/>
      </c>
      <c r="AP10" s="184" t="str">
        <f>IFERROR(IF(VLOOKUP(Wed_W2[[#This Row],[Employee Name]],'Base Schedules'!$A$205:$AW$241,41,FALSE)="","",VLOOKUP(Wed_W2[[#This Row],[Employee Name]],'Base Schedules'!$A$205:$AW$241,41,FALSE)),"")</f>
        <v/>
      </c>
      <c r="AQ10" s="184" t="str">
        <f>IFERROR(IF(VLOOKUP(Wed_W2[[#This Row],[Employee Name]],'Base Schedules'!$A$205:$AW$241,42,FALSE)="","",VLOOKUP(Wed_W2[[#This Row],[Employee Name]],'Base Schedules'!$A$205:$AW$241,42,FALSE)),"")</f>
        <v/>
      </c>
      <c r="AR10" s="184" t="str">
        <f>IFERROR(IF(VLOOKUP(Wed_W2[[#This Row],[Employee Name]],'Base Schedules'!$A$205:$AW$241,43,FALSE)="","",VLOOKUP(Wed_W2[[#This Row],[Employee Name]],'Base Schedules'!$A$205:$AW$241,43,FALSE)),"")</f>
        <v/>
      </c>
      <c r="AS10" s="184" t="str">
        <f>IFERROR(IF(VLOOKUP(Wed_W2[[#This Row],[Employee Name]],'Base Schedules'!$A$205:$AW$241,44,FALSE)="","",VLOOKUP(Wed_W2[[#This Row],[Employee Name]],'Base Schedules'!$A$205:$AW$241,44,FALSE)),"")</f>
        <v/>
      </c>
      <c r="AT10" s="184" t="str">
        <f>IFERROR(IF(VLOOKUP(Wed_W2[[#This Row],[Employee Name]],'Base Schedules'!$A$205:$AW$241,45,FALSE)="","",VLOOKUP(Wed_W2[[#This Row],[Employee Name]],'Base Schedules'!$A$205:$AW$241,45,FALSE)),"")</f>
        <v/>
      </c>
      <c r="AU10" s="184" t="str">
        <f>IFERROR(IF(VLOOKUP(Wed_W2[[#This Row],[Employee Name]],'Base Schedules'!$A$205:$AW$241,46,FALSE)="","",VLOOKUP(Wed_W2[[#This Row],[Employee Name]],'Base Schedules'!$A$205:$AW$241,46,FALSE)),"")</f>
        <v/>
      </c>
      <c r="AV10" s="184" t="str">
        <f>IFERROR(IF(VLOOKUP(Wed_W2[[#This Row],[Employee Name]],'Base Schedules'!$A$205:$AW$241,47,FALSE)="","",VLOOKUP(Wed_W2[[#This Row],[Employee Name]],'Base Schedules'!$A$205:$AW$241,47,FALSE)),"")</f>
        <v/>
      </c>
      <c r="AW10" s="184" t="str">
        <f>IFERROR(IF(VLOOKUP(Wed_W2[[#This Row],[Employee Name]],'Base Schedules'!$A$205:$AW$241,48,FALSE)="","",VLOOKUP(Wed_W2[[#This Row],[Employee Name]],'Base Schedules'!$A$205:$AW$241,48,FALSE)),"")</f>
        <v/>
      </c>
      <c r="AX10" s="184" t="str">
        <f>IFERROR(IF(VLOOKUP(Wed_W2[[#This Row],[Employee Name]],'Base Schedules'!$A$205:$AW$241,49,FALSE)="","",VLOOKUP(Wed_W2[[#This Row],[Employee Name]],'Base Schedules'!$A$205:$AW$241,49,FALSE)),"")</f>
        <v/>
      </c>
      <c r="AY10" s="245" t="str">
        <f t="shared" si="2"/>
        <v>Oates, Eleanor</v>
      </c>
    </row>
    <row r="11" spans="1:51" s="44" customFormat="1" ht="12" customHeight="1" x14ac:dyDescent="0.2">
      <c r="A11" s="39" t="str">
        <f>IF(B11="","",INDEX(TeamList[],MATCH($B11,TeamList[[Employee Name]:[Employee Name]],0),MATCH("Manager",TeamList[#Headers],0)))</f>
        <v>Paulson, Matthew</v>
      </c>
      <c r="B11" s="201" t="s">
        <v>46</v>
      </c>
      <c r="C11" s="257" t="str">
        <f>_xlfn.IFNA(VLOOKUP(Wed_W2[[#This Row],[Employee Name]],'Base Schedules'!A:B,2,FALSE),"")</f>
        <v>Supervisor</v>
      </c>
      <c r="D11" s="274">
        <f>_xlfn.IFNA(VLOOKUP(Wed_W2[[#This Row],[Employee Name]],'Base Schedules'!A:C,3,FALSE),"")</f>
        <v>500</v>
      </c>
      <c r="E11" s="274">
        <f>_xlfn.IFNA(VLOOKUP(Wed_W2[[#This Row],[Employee Name]],'Base Schedules'!A:D,4,FALSE),"")</f>
        <v>1400</v>
      </c>
      <c r="F11" s="142">
        <f>IF(Wed_W2[[#This Row],[Employee Name]]="","",IF(Wed_W2[[#This Row],[Dept]]="Supervisor",COUNTIFS($J11:$AX11,"*HL*",$J11:$AX11,"&lt;&gt;"&amp;"pHL"),COUNTIFS($J11:$AX11,"*HL*",$J11:$AX11,"&lt;&gt;"&amp;"*pHL*",$J11:$AX11,"&lt;&gt;"&amp;"pB1 HL",$J11:$AX11,"&lt;&gt;"&amp;"pB2 HL")-SUM(COUNTIFS($J11:$AX11,"*HL B1*",$J11:$AX11,"&lt;&gt;"&amp;"pHL B1")*0.5,COUNTIFS($J11:$AX11,"*HL B2*",$J11:$AX11,"&lt;&gt;"&amp;"pHL B2")*0.5,COUNTIFS($J11:$AX11,"*B1 HL*",$J11:$AX11,"&lt;&gt;"&amp;"pB1 HL")*0.5,COUNTIFS($J11:$AX11,"*B2 HL*",$J11:$AX11,"&lt;&gt;"&amp;"pB2 HL")*0.5)))</f>
        <v>0</v>
      </c>
      <c r="G11" s="142">
        <f t="shared" si="0"/>
        <v>4</v>
      </c>
      <c r="H11" s="142">
        <f t="shared" si="1"/>
        <v>0</v>
      </c>
      <c r="I11" s="142">
        <f>IF(Wed_W2[[#This Row],[Employee Name]]="","",IF(Wed_W2[[#This Row],[Dept]]="Supervisor",SUM(COUNTIFS($J11:$AX11,"RTA*",$J11:$AX11,"&lt;&gt;"&amp;"pRTA"),COUNTIFS($J11:$AX11,"*CRTA*",$J11:$AX11,"&lt;&gt;"&amp;"pCRTA")),COUNTIFS($J11:$AX11,"*RNNR*",$J11:$AX11,"&lt;&gt;"&amp;"*pRNNR*",$J11:$AX11,"&lt;&gt;"&amp;"pB1 RNNR",$J11:$AX11,"&lt;&gt;"&amp;"pB2 RNNR")-SUM(COUNTIFS($J11:$AX11,"*RNNR B1*",$J11:$AX11,"&lt;&gt;"&amp;"pRNNR B1")*0.5,COUNTIFS($J11:$AX11,"*RNNR B2*",$J11:$AX11,"&lt;&gt;"&amp;"pRNNR B2")*0.5,COUNTIFS($J11:$AX11,"*B1 RNNR*",$J11:$AX11,"&lt;&gt;"&amp;"pB1 RNNR")*0.5,COUNTIFS($J11:$AX11,"*B2 RNNR*",$J11:$AX11,"&lt;&gt;"&amp;"pB2 RNNR")*0.5)))</f>
        <v>0</v>
      </c>
      <c r="J11" s="184" t="str">
        <f>IFERROR(IF(VLOOKUP(Wed_W2[[#This Row],[Employee Name]],'Base Schedules'!$A$205:$AW$241,9,FALSE)="","",VLOOKUP(Wed_W2[[#This Row],[Employee Name]],'Base Schedules'!$A$205:$AW$241,9,FALSE)),"")</f>
        <v>-</v>
      </c>
      <c r="K11" s="184" t="str">
        <f>IFERROR(IF(VLOOKUP(Wed_W2[[#This Row],[Employee Name]],'Base Schedules'!$A$205:$AW$241,10,FALSE)="","",VLOOKUP(Wed_W2[[#This Row],[Employee Name]],'Base Schedules'!$A$205:$AW$241,10,FALSE)),"")</f>
        <v>-</v>
      </c>
      <c r="L11" s="184" t="str">
        <f>IFERROR(IF(VLOOKUP(Wed_W2[[#This Row],[Employee Name]],'Base Schedules'!$A$205:$AW$241,11,FALSE)="","",VLOOKUP(Wed_W2[[#This Row],[Employee Name]],'Base Schedules'!$A$205:$AW$241,11,FALSE)),"")</f>
        <v>-</v>
      </c>
      <c r="M11" s="184" t="str">
        <f>IFERROR(IF(VLOOKUP(Wed_W2[[#This Row],[Employee Name]],'Base Schedules'!$A$205:$AW$241,12,FALSE)="","",VLOOKUP(Wed_W2[[#This Row],[Employee Name]],'Base Schedules'!$A$205:$AW$241,12,FALSE)),"")</f>
        <v>-</v>
      </c>
      <c r="N11" s="184" t="str">
        <f>IFERROR(IF(VLOOKUP(Wed_W2[[#This Row],[Employee Name]],'Base Schedules'!$A$205:$AW$241,13,FALSE)="","",VLOOKUP(Wed_W2[[#This Row],[Employee Name]],'Base Schedules'!$A$205:$AW$241,13,FALSE)),"")</f>
        <v>-</v>
      </c>
      <c r="O11" s="184" t="str">
        <f>IFERROR(IF(VLOOKUP(Wed_W2[[#This Row],[Employee Name]],'Base Schedules'!$A$205:$AW$241,14,FALSE)="","",VLOOKUP(Wed_W2[[#This Row],[Employee Name]],'Base Schedules'!$A$205:$AW$241,14,FALSE)),"")</f>
        <v>-</v>
      </c>
      <c r="P11" s="184" t="str">
        <f>IFERROR(IF(VLOOKUP(Wed_W2[[#This Row],[Employee Name]],'Base Schedules'!$A$205:$AW$241,15,FALSE)="","",VLOOKUP(Wed_W2[[#This Row],[Employee Name]],'Base Schedules'!$A$205:$AW$241,15,FALSE)),"")</f>
        <v>-</v>
      </c>
      <c r="Q11" s="184" t="str">
        <f>IFERROR(IF(VLOOKUP(Wed_W2[[#This Row],[Employee Name]],'Base Schedules'!$A$205:$AW$241,16,FALSE)="","",VLOOKUP(Wed_W2[[#This Row],[Employee Name]],'Base Schedules'!$A$205:$AW$241,16,FALSE)),"")</f>
        <v>-</v>
      </c>
      <c r="R11" s="184" t="str">
        <f>IFERROR(IF(VLOOKUP(Wed_W2[[#This Row],[Employee Name]],'Base Schedules'!$A$205:$AW$241,17,FALSE)="","",VLOOKUP(Wed_W2[[#This Row],[Employee Name]],'Base Schedules'!$A$205:$AW$241,17,FALSE)),"")</f>
        <v>-</v>
      </c>
      <c r="S11" s="184" t="str">
        <f>IFERROR(IF(VLOOKUP(Wed_W2[[#This Row],[Employee Name]],'Base Schedules'!$A$205:$AW$241,18,FALSE)="","",VLOOKUP(Wed_W2[[#This Row],[Employee Name]],'Base Schedules'!$A$205:$AW$241,18,FALSE)),"")</f>
        <v>-</v>
      </c>
      <c r="T11" s="184" t="str">
        <f>IFERROR(IF(VLOOKUP(Wed_W2[[#This Row],[Employee Name]],'Base Schedules'!$A$205:$AW$241,19,FALSE)="","",VLOOKUP(Wed_W2[[#This Row],[Employee Name]],'Base Schedules'!$A$205:$AW$241,19,FALSE)),"")</f>
        <v>Interview</v>
      </c>
      <c r="U11" s="184" t="str">
        <f>IFERROR(IF(VLOOKUP(Wed_W2[[#This Row],[Employee Name]],'Base Schedules'!$A$205:$AW$241,20,FALSE)="","",VLOOKUP(Wed_W2[[#This Row],[Employee Name]],'Base Schedules'!$A$205:$AW$241,20,FALSE)),"")</f>
        <v>Interview</v>
      </c>
      <c r="V11" s="184" t="str">
        <f>IFERROR(IF(VLOOKUP(Wed_W2[[#This Row],[Employee Name]],'Base Schedules'!$A$205:$AW$241,21,FALSE)="","",VLOOKUP(Wed_W2[[#This Row],[Employee Name]],'Base Schedules'!$A$205:$AW$241,21,FALSE)),"")</f>
        <v>-</v>
      </c>
      <c r="W11" s="184" t="str">
        <f>IFERROR(IF(VLOOKUP(Wed_W2[[#This Row],[Employee Name]],'Base Schedules'!$A$205:$AW$241,22,FALSE)="","",VLOOKUP(Wed_W2[[#This Row],[Employee Name]],'Base Schedules'!$A$205:$AW$241,22,FALSE)),"")</f>
        <v>Coaching</v>
      </c>
      <c r="X11" s="184" t="str">
        <f>IFERROR(IF(VLOOKUP(Wed_W2[[#This Row],[Employee Name]],'Base Schedules'!$A$205:$AW$241,23,FALSE)="","",VLOOKUP(Wed_W2[[#This Row],[Employee Name]],'Base Schedules'!$A$205:$AW$241,23,FALSE)),"")</f>
        <v>Coaching</v>
      </c>
      <c r="Y11" s="184" t="str">
        <f>IFERROR(IF(VLOOKUP(Wed_W2[[#This Row],[Employee Name]],'Base Schedules'!$A$205:$AW$241,24,FALSE)="","",VLOOKUP(Wed_W2[[#This Row],[Employee Name]],'Base Schedules'!$A$205:$AW$241,24,FALSE)),"")</f>
        <v>Coaching</v>
      </c>
      <c r="Z11" s="184" t="str">
        <f>IFERROR(IF(VLOOKUP(Wed_W2[[#This Row],[Employee Name]],'Base Schedules'!$A$205:$AW$241,25,FALSE)="","",VLOOKUP(Wed_W2[[#This Row],[Employee Name]],'Base Schedules'!$A$205:$AW$241,25,FALSE)),"")</f>
        <v>Coaching</v>
      </c>
      <c r="AA11" s="184" t="str">
        <f>IFERROR(IF(VLOOKUP(Wed_W2[[#This Row],[Employee Name]],'Base Schedules'!$A$205:$AW$241,26,FALSE)="","",VLOOKUP(Wed_W2[[#This Row],[Employee Name]],'Base Schedules'!$A$205:$AW$241,26,FALSE)),"")</f>
        <v>-</v>
      </c>
      <c r="AB11" s="184" t="str">
        <f>IFERROR(IF(VLOOKUP(Wed_W2[[#This Row],[Employee Name]],'Base Schedules'!$A$205:$AW$241,27,FALSE)="","",VLOOKUP(Wed_W2[[#This Row],[Employee Name]],'Base Schedules'!$A$205:$AW$241,27,FALSE)),"")</f>
        <v/>
      </c>
      <c r="AC11" s="184" t="str">
        <f>IFERROR(IF(VLOOKUP(Wed_W2[[#This Row],[Employee Name]],'Base Schedules'!$A$205:$AW$241,28,FALSE)="","",VLOOKUP(Wed_W2[[#This Row],[Employee Name]],'Base Schedules'!$A$205:$AW$241,28,FALSE)),"")</f>
        <v/>
      </c>
      <c r="AD11" s="184" t="str">
        <f>IFERROR(IF(VLOOKUP(Wed_W2[[#This Row],[Employee Name]],'Base Schedules'!$A$205:$AW$241,29,FALSE)="","",VLOOKUP(Wed_W2[[#This Row],[Employee Name]],'Base Schedules'!$A$205:$AW$241,29,FALSE)),"")</f>
        <v/>
      </c>
      <c r="AE11" s="184" t="str">
        <f>IFERROR(IF(VLOOKUP(Wed_W2[[#This Row],[Employee Name]],'Base Schedules'!$A$205:$AW$241,30,FALSE)="","",VLOOKUP(Wed_W2[[#This Row],[Employee Name]],'Base Schedules'!$A$205:$AW$241,30,FALSE)),"")</f>
        <v/>
      </c>
      <c r="AF11" s="184" t="str">
        <f>IFERROR(IF(VLOOKUP(Wed_W2[[#This Row],[Employee Name]],'Base Schedules'!$A$205:$AW$241,31,FALSE)="","",VLOOKUP(Wed_W2[[#This Row],[Employee Name]],'Base Schedules'!$A$205:$AW$241,31,FALSE)),"")</f>
        <v/>
      </c>
      <c r="AG11" s="184" t="str">
        <f>IFERROR(IF(VLOOKUP(Wed_W2[[#This Row],[Employee Name]],'Base Schedules'!$A$205:$AW$241,32,FALSE)="","",VLOOKUP(Wed_W2[[#This Row],[Employee Name]],'Base Schedules'!$A$205:$AW$241,32,FALSE)),"")</f>
        <v/>
      </c>
      <c r="AH11" s="184" t="str">
        <f>IFERROR(IF(VLOOKUP(Wed_W2[[#This Row],[Employee Name]],'Base Schedules'!$A$205:$AW$241,33,FALSE)="","",VLOOKUP(Wed_W2[[#This Row],[Employee Name]],'Base Schedules'!$A$205:$AW$241,33,FALSE)),"")</f>
        <v/>
      </c>
      <c r="AI11" s="184" t="str">
        <f>IFERROR(IF(VLOOKUP(Wed_W2[[#This Row],[Employee Name]],'Base Schedules'!$A$205:$AW$241,34,FALSE)="","",VLOOKUP(Wed_W2[[#This Row],[Employee Name]],'Base Schedules'!$A$205:$AW$241,34,FALSE)),"")</f>
        <v/>
      </c>
      <c r="AJ11" s="184" t="str">
        <f>IFERROR(IF(VLOOKUP(Wed_W2[[#This Row],[Employee Name]],'Base Schedules'!$A$205:$AW$241,35,FALSE)="","",VLOOKUP(Wed_W2[[#This Row],[Employee Name]],'Base Schedules'!$A$205:$AW$241,35,FALSE)),"")</f>
        <v/>
      </c>
      <c r="AK11" s="184" t="str">
        <f>IFERROR(IF(VLOOKUP(Wed_W2[[#This Row],[Employee Name]],'Base Schedules'!$A$205:$AW$241,36,FALSE)="","",VLOOKUP(Wed_W2[[#This Row],[Employee Name]],'Base Schedules'!$A$205:$AW$241,36,FALSE)),"")</f>
        <v/>
      </c>
      <c r="AL11" s="184" t="str">
        <f>IFERROR(IF(VLOOKUP(Wed_W2[[#This Row],[Employee Name]],'Base Schedules'!$A$205:$AW$241,37,FALSE)="","",VLOOKUP(Wed_W2[[#This Row],[Employee Name]],'Base Schedules'!$A$205:$AW$241,37,FALSE)),"")</f>
        <v/>
      </c>
      <c r="AM11" s="184" t="str">
        <f>IFERROR(IF(VLOOKUP(Wed_W2[[#This Row],[Employee Name]],'Base Schedules'!$A$205:$AW$241,38,FALSE)="","",VLOOKUP(Wed_W2[[#This Row],[Employee Name]],'Base Schedules'!$A$205:$AW$241,38,FALSE)),"")</f>
        <v/>
      </c>
      <c r="AN11" s="184" t="str">
        <f>IFERROR(IF(VLOOKUP(Wed_W2[[#This Row],[Employee Name]],'Base Schedules'!$A$205:$AW$241,39,FALSE)="","",VLOOKUP(Wed_W2[[#This Row],[Employee Name]],'Base Schedules'!$A$205:$AW$241,39,FALSE)),"")</f>
        <v/>
      </c>
      <c r="AO11" s="184" t="str">
        <f>IFERROR(IF(VLOOKUP(Wed_W2[[#This Row],[Employee Name]],'Base Schedules'!$A$205:$AW$241,40,FALSE)="","",VLOOKUP(Wed_W2[[#This Row],[Employee Name]],'Base Schedules'!$A$205:$AW$241,40,FALSE)),"")</f>
        <v/>
      </c>
      <c r="AP11" s="184" t="str">
        <f>IFERROR(IF(VLOOKUP(Wed_W2[[#This Row],[Employee Name]],'Base Schedules'!$A$205:$AW$241,41,FALSE)="","",VLOOKUP(Wed_W2[[#This Row],[Employee Name]],'Base Schedules'!$A$205:$AW$241,41,FALSE)),"")</f>
        <v/>
      </c>
      <c r="AQ11" s="184" t="str">
        <f>IFERROR(IF(VLOOKUP(Wed_W2[[#This Row],[Employee Name]],'Base Schedules'!$A$205:$AW$241,42,FALSE)="","",VLOOKUP(Wed_W2[[#This Row],[Employee Name]],'Base Schedules'!$A$205:$AW$241,42,FALSE)),"")</f>
        <v/>
      </c>
      <c r="AR11" s="184" t="str">
        <f>IFERROR(IF(VLOOKUP(Wed_W2[[#This Row],[Employee Name]],'Base Schedules'!$A$205:$AW$241,43,FALSE)="","",VLOOKUP(Wed_W2[[#This Row],[Employee Name]],'Base Schedules'!$A$205:$AW$241,43,FALSE)),"")</f>
        <v/>
      </c>
      <c r="AS11" s="184" t="str">
        <f>IFERROR(IF(VLOOKUP(Wed_W2[[#This Row],[Employee Name]],'Base Schedules'!$A$205:$AW$241,44,FALSE)="","",VLOOKUP(Wed_W2[[#This Row],[Employee Name]],'Base Schedules'!$A$205:$AW$241,44,FALSE)),"")</f>
        <v/>
      </c>
      <c r="AT11" s="184" t="str">
        <f>IFERROR(IF(VLOOKUP(Wed_W2[[#This Row],[Employee Name]],'Base Schedules'!$A$205:$AW$241,45,FALSE)="","",VLOOKUP(Wed_W2[[#This Row],[Employee Name]],'Base Schedules'!$A$205:$AW$241,45,FALSE)),"")</f>
        <v/>
      </c>
      <c r="AU11" s="184" t="str">
        <f>IFERROR(IF(VLOOKUP(Wed_W2[[#This Row],[Employee Name]],'Base Schedules'!$A$205:$AW$241,46,FALSE)="","",VLOOKUP(Wed_W2[[#This Row],[Employee Name]],'Base Schedules'!$A$205:$AW$241,46,FALSE)),"")</f>
        <v/>
      </c>
      <c r="AV11" s="184" t="str">
        <f>IFERROR(IF(VLOOKUP(Wed_W2[[#This Row],[Employee Name]],'Base Schedules'!$A$205:$AW$241,47,FALSE)="","",VLOOKUP(Wed_W2[[#This Row],[Employee Name]],'Base Schedules'!$A$205:$AW$241,47,FALSE)),"")</f>
        <v/>
      </c>
      <c r="AW11" s="184" t="str">
        <f>IFERROR(IF(VLOOKUP(Wed_W2[[#This Row],[Employee Name]],'Base Schedules'!$A$205:$AW$241,48,FALSE)="","",VLOOKUP(Wed_W2[[#This Row],[Employee Name]],'Base Schedules'!$A$205:$AW$241,48,FALSE)),"")</f>
        <v/>
      </c>
      <c r="AX11" s="184" t="str">
        <f>IFERROR(IF(VLOOKUP(Wed_W2[[#This Row],[Employee Name]],'Base Schedules'!$A$205:$AW$241,49,FALSE)="","",VLOOKUP(Wed_W2[[#This Row],[Employee Name]],'Base Schedules'!$A$205:$AW$241,49,FALSE)),"")</f>
        <v/>
      </c>
      <c r="AY11" s="245" t="str">
        <f t="shared" si="2"/>
        <v>Senft, Thomas</v>
      </c>
    </row>
    <row r="12" spans="1:51" s="44" customFormat="1" ht="12" customHeight="1" x14ac:dyDescent="0.2">
      <c r="A12" s="39" t="str">
        <f>IF(B12="","",INDEX(TeamList[],MATCH($B12,TeamList[[Employee Name]:[Employee Name]],0),MATCH("Manager",TeamList[#Headers],0)))</f>
        <v>Olson, Katherine</v>
      </c>
      <c r="B12" s="201" t="s">
        <v>233</v>
      </c>
      <c r="C12" s="257" t="str">
        <f>_xlfn.IFNA(VLOOKUP(Wed_W2[[#This Row],[Employee Name]],'Base Schedules'!A:B,2,FALSE),"")</f>
        <v>Lead</v>
      </c>
      <c r="D12" s="274">
        <f>_xlfn.IFNA(VLOOKUP(Wed_W2[[#This Row],[Employee Name]],'Base Schedules'!A:C,3,FALSE),"")</f>
        <v>500</v>
      </c>
      <c r="E12" s="274">
        <f>_xlfn.IFNA(VLOOKUP(Wed_W2[[#This Row],[Employee Name]],'Base Schedules'!A:D,4,FALSE),"")</f>
        <v>1330</v>
      </c>
      <c r="F12" s="142">
        <f>IF(Wed_W2[[#This Row],[Employee Name]]="","",IF(Wed_W2[[#This Row],[Dept]]="Supervisor",COUNTIFS($J12:$AX12,"*HL*",$J12:$AX12,"&lt;&gt;"&amp;"pHL"),COUNTIFS($J12:$AX12,"*HL*",$J12:$AX12,"&lt;&gt;"&amp;"*pHL*",$J12:$AX12,"&lt;&gt;"&amp;"pB1 HL",$J12:$AX12,"&lt;&gt;"&amp;"pB2 HL")-SUM(COUNTIFS($J12:$AX12,"*HL B1*",$J12:$AX12,"&lt;&gt;"&amp;"pHL B1")*0.5,COUNTIFS($J12:$AX12,"*HL B2*",$J12:$AX12,"&lt;&gt;"&amp;"pHL B2")*0.5,COUNTIFS($J12:$AX12,"*B1 HL*",$J12:$AX12,"&lt;&gt;"&amp;"pB1 HL")*0.5,COUNTIFS($J12:$AX12,"*B2 HL*",$J12:$AX12,"&lt;&gt;"&amp;"pB2 HL")*0.5)))</f>
        <v>9</v>
      </c>
      <c r="G12" s="142">
        <f t="shared" si="0"/>
        <v>0</v>
      </c>
      <c r="H12" s="142">
        <f t="shared" si="1"/>
        <v>6</v>
      </c>
      <c r="I12" s="142">
        <f>IF(Wed_W2[[#This Row],[Employee Name]]="","",IF(Wed_W2[[#This Row],[Dept]]="Supervisor",SUM(COUNTIFS($J12:$AX12,"RTA*",$J12:$AX12,"&lt;&gt;"&amp;"pRTA"),COUNTIFS($J12:$AX12,"*CRTA*",$J12:$AX12,"&lt;&gt;"&amp;"pCRTA")),COUNTIFS($J12:$AX12,"*RNNR*",$J12:$AX12,"&lt;&gt;"&amp;"*pRNNR*",$J12:$AX12,"&lt;&gt;"&amp;"pB1 RNNR",$J12:$AX12,"&lt;&gt;"&amp;"pB2 RNNR")-SUM(COUNTIFS($J12:$AX12,"*RNNR B1*",$J12:$AX12,"&lt;&gt;"&amp;"pRNNR B1")*0.5,COUNTIFS($J12:$AX12,"*RNNR B2*",$J12:$AX12,"&lt;&gt;"&amp;"pRNNR B2")*0.5,COUNTIFS($J12:$AX12,"*B1 RNNR*",$J12:$AX12,"&lt;&gt;"&amp;"pB1 RNNR")*0.5,COUNTIFS($J12:$AX12,"*B2 RNNR*",$J12:$AX12,"&lt;&gt;"&amp;"pB2 RNNR")*0.5)))</f>
        <v>0</v>
      </c>
      <c r="J12" s="184" t="str">
        <f>IFERROR(IF(VLOOKUP(Wed_W2[[#This Row],[Employee Name]],'Base Schedules'!$A$205:$AW$241,9,FALSE)="","",VLOOKUP(Wed_W2[[#This Row],[Employee Name]],'Base Schedules'!$A$205:$AW$241,9,FALSE)),"")</f>
        <v>HL</v>
      </c>
      <c r="K12" s="184" t="str">
        <f>IFERROR(IF(VLOOKUP(Wed_W2[[#This Row],[Employee Name]],'Base Schedules'!$A$205:$AW$241,10,FALSE)="","",VLOOKUP(Wed_W2[[#This Row],[Employee Name]],'Base Schedules'!$A$205:$AW$241,10,FALSE)),"")</f>
        <v>HL</v>
      </c>
      <c r="L12" s="184" t="str">
        <f>IFERROR(IF(VLOOKUP(Wed_W2[[#This Row],[Employee Name]],'Base Schedules'!$A$205:$AW$241,11,FALSE)="","",VLOOKUP(Wed_W2[[#This Row],[Employee Name]],'Base Schedules'!$A$205:$AW$241,11,FALSE)),"")</f>
        <v>HL</v>
      </c>
      <c r="M12" s="184" t="str">
        <f>IFERROR(IF(VLOOKUP(Wed_W2[[#This Row],[Employee Name]],'Base Schedules'!$A$205:$AW$241,12,FALSE)="","",VLOOKUP(Wed_W2[[#This Row],[Employee Name]],'Base Schedules'!$A$205:$AW$241,12,FALSE)),"")</f>
        <v>HL</v>
      </c>
      <c r="N12" s="184" t="str">
        <f>IFERROR(IF(VLOOKUP(Wed_W2[[#This Row],[Employee Name]],'Base Schedules'!$A$205:$AW$241,13,FALSE)="","",VLOOKUP(Wed_W2[[#This Row],[Employee Name]],'Base Schedules'!$A$205:$AW$241,13,FALSE)),"")</f>
        <v>B1 HL</v>
      </c>
      <c r="O12" s="184" t="str">
        <f>IFERROR(IF(VLOOKUP(Wed_W2[[#This Row],[Employee Name]],'Base Schedules'!$A$205:$AW$241,14,FALSE)="","",VLOOKUP(Wed_W2[[#This Row],[Employee Name]],'Base Schedules'!$A$205:$AW$241,14,FALSE)),"")</f>
        <v>ADM</v>
      </c>
      <c r="P12" s="184" t="str">
        <f>IFERROR(IF(VLOOKUP(Wed_W2[[#This Row],[Employee Name]],'Base Schedules'!$A$205:$AW$241,15,FALSE)="","",VLOOKUP(Wed_W2[[#This Row],[Employee Name]],'Base Schedules'!$A$205:$AW$241,15,FALSE)),"")</f>
        <v>ADM</v>
      </c>
      <c r="Q12" s="184" t="str">
        <f>IFERROR(IF(VLOOKUP(Wed_W2[[#This Row],[Employee Name]],'Base Schedules'!$A$205:$AW$241,16,FALSE)="","",VLOOKUP(Wed_W2[[#This Row],[Employee Name]],'Base Schedules'!$A$205:$AW$241,16,FALSE)),"")</f>
        <v>ADM</v>
      </c>
      <c r="R12" s="184" t="str">
        <f>IFERROR(IF(VLOOKUP(Wed_W2[[#This Row],[Employee Name]],'Base Schedules'!$A$205:$AW$241,17,FALSE)="","",VLOOKUP(Wed_W2[[#This Row],[Employee Name]],'Base Schedules'!$A$205:$AW$241,17,FALSE)),"")</f>
        <v>ADM</v>
      </c>
      <c r="S12" s="184" t="str">
        <f>IFERROR(IF(VLOOKUP(Wed_W2[[#This Row],[Employee Name]],'Base Schedules'!$A$205:$AW$241,18,FALSE)="","",VLOOKUP(Wed_W2[[#This Row],[Employee Name]],'Base Schedules'!$A$205:$AW$241,18,FALSE)),"")</f>
        <v>LUNCH</v>
      </c>
      <c r="T12" s="184" t="str">
        <f>IFERROR(IF(VLOOKUP(Wed_W2[[#This Row],[Employee Name]],'Base Schedules'!$A$205:$AW$241,19,FALSE)="","",VLOOKUP(Wed_W2[[#This Row],[Employee Name]],'Base Schedules'!$A$205:$AW$241,19,FALSE)),"")</f>
        <v>ADM</v>
      </c>
      <c r="U12" s="184" t="str">
        <f>IFERROR(IF(VLOOKUP(Wed_W2[[#This Row],[Employee Name]],'Base Schedules'!$A$205:$AW$241,20,FALSE)="","",VLOOKUP(Wed_W2[[#This Row],[Employee Name]],'Base Schedules'!$A$205:$AW$241,20,FALSE)),"")</f>
        <v>ADM</v>
      </c>
      <c r="V12" s="184" t="str">
        <f>IFERROR(IF(VLOOKUP(Wed_W2[[#This Row],[Employee Name]],'Base Schedules'!$A$205:$AW$241,21,FALSE)="","",VLOOKUP(Wed_W2[[#This Row],[Employee Name]],'Base Schedules'!$A$205:$AW$241,21,FALSE)),"")</f>
        <v>HL</v>
      </c>
      <c r="W12" s="184" t="str">
        <f>IFERROR(IF(VLOOKUP(Wed_W2[[#This Row],[Employee Name]],'Base Schedules'!$A$205:$AW$241,22,FALSE)="","",VLOOKUP(Wed_W2[[#This Row],[Employee Name]],'Base Schedules'!$A$205:$AW$241,22,FALSE)),"")</f>
        <v>B2 HL</v>
      </c>
      <c r="X12" s="184" t="str">
        <f>IFERROR(IF(VLOOKUP(Wed_W2[[#This Row],[Employee Name]],'Base Schedules'!$A$205:$AW$241,23,FALSE)="","",VLOOKUP(Wed_W2[[#This Row],[Employee Name]],'Base Schedules'!$A$205:$AW$241,23,FALSE)),"")</f>
        <v>HL</v>
      </c>
      <c r="Y12" s="184" t="str">
        <f>IFERROR(IF(VLOOKUP(Wed_W2[[#This Row],[Employee Name]],'Base Schedules'!$A$205:$AW$241,24,FALSE)="","",VLOOKUP(Wed_W2[[#This Row],[Employee Name]],'Base Schedules'!$A$205:$AW$241,24,FALSE)),"")</f>
        <v>HL</v>
      </c>
      <c r="Z12" s="184" t="str">
        <f>IFERROR(IF(VLOOKUP(Wed_W2[[#This Row],[Employee Name]],'Base Schedules'!$A$205:$AW$241,25,FALSE)="","",VLOOKUP(Wed_W2[[#This Row],[Employee Name]],'Base Schedules'!$A$205:$AW$241,25,FALSE)),"")</f>
        <v>HL</v>
      </c>
      <c r="AA12" s="184" t="str">
        <f>IFERROR(IF(VLOOKUP(Wed_W2[[#This Row],[Employee Name]],'Base Schedules'!$A$205:$AW$241,26,FALSE)="","",VLOOKUP(Wed_W2[[#This Row],[Employee Name]],'Base Schedules'!$A$205:$AW$241,26,FALSE)),"")</f>
        <v/>
      </c>
      <c r="AB12" s="184" t="str">
        <f>IFERROR(IF(VLOOKUP(Wed_W2[[#This Row],[Employee Name]],'Base Schedules'!$A$205:$AW$241,27,FALSE)="","",VLOOKUP(Wed_W2[[#This Row],[Employee Name]],'Base Schedules'!$A$205:$AW$241,27,FALSE)),"")</f>
        <v/>
      </c>
      <c r="AC12" s="184" t="str">
        <f>IFERROR(IF(VLOOKUP(Wed_W2[[#This Row],[Employee Name]],'Base Schedules'!$A$205:$AW$241,28,FALSE)="","",VLOOKUP(Wed_W2[[#This Row],[Employee Name]],'Base Schedules'!$A$205:$AW$241,28,FALSE)),"")</f>
        <v/>
      </c>
      <c r="AD12" s="184" t="str">
        <f>IFERROR(IF(VLOOKUP(Wed_W2[[#This Row],[Employee Name]],'Base Schedules'!$A$205:$AW$241,29,FALSE)="","",VLOOKUP(Wed_W2[[#This Row],[Employee Name]],'Base Schedules'!$A$205:$AW$241,29,FALSE)),"")</f>
        <v/>
      </c>
      <c r="AE12" s="184" t="str">
        <f>IFERROR(IF(VLOOKUP(Wed_W2[[#This Row],[Employee Name]],'Base Schedules'!$A$205:$AW$241,30,FALSE)="","",VLOOKUP(Wed_W2[[#This Row],[Employee Name]],'Base Schedules'!$A$205:$AW$241,30,FALSE)),"")</f>
        <v/>
      </c>
      <c r="AF12" s="184" t="str">
        <f>IFERROR(IF(VLOOKUP(Wed_W2[[#This Row],[Employee Name]],'Base Schedules'!$A$205:$AW$241,31,FALSE)="","",VLOOKUP(Wed_W2[[#This Row],[Employee Name]],'Base Schedules'!$A$205:$AW$241,31,FALSE)),"")</f>
        <v/>
      </c>
      <c r="AG12" s="184" t="str">
        <f>IFERROR(IF(VLOOKUP(Wed_W2[[#This Row],[Employee Name]],'Base Schedules'!$A$205:$AW$241,32,FALSE)="","",VLOOKUP(Wed_W2[[#This Row],[Employee Name]],'Base Schedules'!$A$205:$AW$241,32,FALSE)),"")</f>
        <v/>
      </c>
      <c r="AH12" s="184" t="str">
        <f>IFERROR(IF(VLOOKUP(Wed_W2[[#This Row],[Employee Name]],'Base Schedules'!$A$205:$AW$241,33,FALSE)="","",VLOOKUP(Wed_W2[[#This Row],[Employee Name]],'Base Schedules'!$A$205:$AW$241,33,FALSE)),"")</f>
        <v/>
      </c>
      <c r="AI12" s="184" t="str">
        <f>IFERROR(IF(VLOOKUP(Wed_W2[[#This Row],[Employee Name]],'Base Schedules'!$A$205:$AW$241,34,FALSE)="","",VLOOKUP(Wed_W2[[#This Row],[Employee Name]],'Base Schedules'!$A$205:$AW$241,34,FALSE)),"")</f>
        <v/>
      </c>
      <c r="AJ12" s="184" t="str">
        <f>IFERROR(IF(VLOOKUP(Wed_W2[[#This Row],[Employee Name]],'Base Schedules'!$A$205:$AW$241,35,FALSE)="","",VLOOKUP(Wed_W2[[#This Row],[Employee Name]],'Base Schedules'!$A$205:$AW$241,35,FALSE)),"")</f>
        <v/>
      </c>
      <c r="AK12" s="184" t="str">
        <f>IFERROR(IF(VLOOKUP(Wed_W2[[#This Row],[Employee Name]],'Base Schedules'!$A$205:$AW$241,36,FALSE)="","",VLOOKUP(Wed_W2[[#This Row],[Employee Name]],'Base Schedules'!$A$205:$AW$241,36,FALSE)),"")</f>
        <v/>
      </c>
      <c r="AL12" s="184" t="str">
        <f>IFERROR(IF(VLOOKUP(Wed_W2[[#This Row],[Employee Name]],'Base Schedules'!$A$205:$AW$241,37,FALSE)="","",VLOOKUP(Wed_W2[[#This Row],[Employee Name]],'Base Schedules'!$A$205:$AW$241,37,FALSE)),"")</f>
        <v/>
      </c>
      <c r="AM12" s="184" t="str">
        <f>IFERROR(IF(VLOOKUP(Wed_W2[[#This Row],[Employee Name]],'Base Schedules'!$A$205:$AW$241,38,FALSE)="","",VLOOKUP(Wed_W2[[#This Row],[Employee Name]],'Base Schedules'!$A$205:$AW$241,38,FALSE)),"")</f>
        <v/>
      </c>
      <c r="AN12" s="184" t="str">
        <f>IFERROR(IF(VLOOKUP(Wed_W2[[#This Row],[Employee Name]],'Base Schedules'!$A$205:$AW$241,39,FALSE)="","",VLOOKUP(Wed_W2[[#This Row],[Employee Name]],'Base Schedules'!$A$205:$AW$241,39,FALSE)),"")</f>
        <v/>
      </c>
      <c r="AO12" s="184" t="str">
        <f>IFERROR(IF(VLOOKUP(Wed_W2[[#This Row],[Employee Name]],'Base Schedules'!$A$205:$AW$241,40,FALSE)="","",VLOOKUP(Wed_W2[[#This Row],[Employee Name]],'Base Schedules'!$A$205:$AW$241,40,FALSE)),"")</f>
        <v/>
      </c>
      <c r="AP12" s="184" t="str">
        <f>IFERROR(IF(VLOOKUP(Wed_W2[[#This Row],[Employee Name]],'Base Schedules'!$A$205:$AW$241,41,FALSE)="","",VLOOKUP(Wed_W2[[#This Row],[Employee Name]],'Base Schedules'!$A$205:$AW$241,41,FALSE)),"")</f>
        <v/>
      </c>
      <c r="AQ12" s="184" t="str">
        <f>IFERROR(IF(VLOOKUP(Wed_W2[[#This Row],[Employee Name]],'Base Schedules'!$A$205:$AW$241,42,FALSE)="","",VLOOKUP(Wed_W2[[#This Row],[Employee Name]],'Base Schedules'!$A$205:$AW$241,42,FALSE)),"")</f>
        <v/>
      </c>
      <c r="AR12" s="184" t="str">
        <f>IFERROR(IF(VLOOKUP(Wed_W2[[#This Row],[Employee Name]],'Base Schedules'!$A$205:$AW$241,43,FALSE)="","",VLOOKUP(Wed_W2[[#This Row],[Employee Name]],'Base Schedules'!$A$205:$AW$241,43,FALSE)),"")</f>
        <v/>
      </c>
      <c r="AS12" s="184" t="str">
        <f>IFERROR(IF(VLOOKUP(Wed_W2[[#This Row],[Employee Name]],'Base Schedules'!$A$205:$AW$241,44,FALSE)="","",VLOOKUP(Wed_W2[[#This Row],[Employee Name]],'Base Schedules'!$A$205:$AW$241,44,FALSE)),"")</f>
        <v/>
      </c>
      <c r="AT12" s="184" t="str">
        <f>IFERROR(IF(VLOOKUP(Wed_W2[[#This Row],[Employee Name]],'Base Schedules'!$A$205:$AW$241,45,FALSE)="","",VLOOKUP(Wed_W2[[#This Row],[Employee Name]],'Base Schedules'!$A$205:$AW$241,45,FALSE)),"")</f>
        <v/>
      </c>
      <c r="AU12" s="184" t="str">
        <f>IFERROR(IF(VLOOKUP(Wed_W2[[#This Row],[Employee Name]],'Base Schedules'!$A$205:$AW$241,46,FALSE)="","",VLOOKUP(Wed_W2[[#This Row],[Employee Name]],'Base Schedules'!$A$205:$AW$241,46,FALSE)),"")</f>
        <v/>
      </c>
      <c r="AV12" s="184" t="str">
        <f>IFERROR(IF(VLOOKUP(Wed_W2[[#This Row],[Employee Name]],'Base Schedules'!$A$205:$AW$241,47,FALSE)="","",VLOOKUP(Wed_W2[[#This Row],[Employee Name]],'Base Schedules'!$A$205:$AW$241,47,FALSE)),"")</f>
        <v/>
      </c>
      <c r="AW12" s="184" t="str">
        <f>IFERROR(IF(VLOOKUP(Wed_W2[[#This Row],[Employee Name]],'Base Schedules'!$A$205:$AW$241,48,FALSE)="","",VLOOKUP(Wed_W2[[#This Row],[Employee Name]],'Base Schedules'!$A$205:$AW$241,48,FALSE)),"")</f>
        <v/>
      </c>
      <c r="AX12" s="184" t="str">
        <f>IFERROR(IF(VLOOKUP(Wed_W2[[#This Row],[Employee Name]],'Base Schedules'!$A$205:$AW$241,49,FALSE)="","",VLOOKUP(Wed_W2[[#This Row],[Employee Name]],'Base Schedules'!$A$205:$AW$241,49,FALSE)),"")</f>
        <v/>
      </c>
      <c r="AY12" s="245" t="str">
        <f t="shared" si="2"/>
        <v>Shiraki, Suzy</v>
      </c>
    </row>
    <row r="13" spans="1:51" s="44" customFormat="1" ht="12" customHeight="1" x14ac:dyDescent="0.2">
      <c r="A13" s="39" t="str">
        <f>IF(B13="","",INDEX(TeamList[],MATCH($B13,TeamList[[Employee Name]:[Employee Name]],0),MATCH("Manager",TeamList[#Headers],0)))</f>
        <v>Olson, Katherine</v>
      </c>
      <c r="B13" s="201" t="s">
        <v>44</v>
      </c>
      <c r="C13" s="257" t="str">
        <f>_xlfn.IFNA(VLOOKUP(Wed_W2[[#This Row],[Employee Name]],'Base Schedules'!A:B,2,FALSE),"")</f>
        <v>Lead</v>
      </c>
      <c r="D13" s="274">
        <f>_xlfn.IFNA(VLOOKUP(Wed_W2[[#This Row],[Employee Name]],'Base Schedules'!A:C,3,FALSE),"")</f>
        <v>530</v>
      </c>
      <c r="E13" s="274">
        <f>_xlfn.IFNA(VLOOKUP(Wed_W2[[#This Row],[Employee Name]],'Base Schedules'!A:D,4,FALSE),"")</f>
        <v>1400</v>
      </c>
      <c r="F13" s="142">
        <f>IF(Wed_W2[[#This Row],[Employee Name]]="","",IF(Wed_W2[[#This Row],[Dept]]="Supervisor",COUNTIFS($J13:$AX13,"*HL*",$J13:$AX13,"&lt;&gt;"&amp;"pHL"),COUNTIFS($J13:$AX13,"*HL*",$J13:$AX13,"&lt;&gt;"&amp;"*pHL*",$J13:$AX13,"&lt;&gt;"&amp;"pB1 HL",$J13:$AX13,"&lt;&gt;"&amp;"pB2 HL")-SUM(COUNTIFS($J13:$AX13,"*HL B1*",$J13:$AX13,"&lt;&gt;"&amp;"pHL B1")*0.5,COUNTIFS($J13:$AX13,"*HL B2*",$J13:$AX13,"&lt;&gt;"&amp;"pHL B2")*0.5,COUNTIFS($J13:$AX13,"*B1 HL*",$J13:$AX13,"&lt;&gt;"&amp;"pB1 HL")*0.5,COUNTIFS($J13:$AX13,"*B2 HL*",$J13:$AX13,"&lt;&gt;"&amp;"pB2 HL")*0.5)))</f>
        <v>5.5</v>
      </c>
      <c r="G13" s="142">
        <f t="shared" si="0"/>
        <v>0</v>
      </c>
      <c r="H13" s="142">
        <f t="shared" si="1"/>
        <v>8</v>
      </c>
      <c r="I13" s="142">
        <f>IF(Wed_W2[[#This Row],[Employee Name]]="","",IF(Wed_W2[[#This Row],[Dept]]="Supervisor",SUM(COUNTIFS($J13:$AX13,"RTA*",$J13:$AX13,"&lt;&gt;"&amp;"pRTA"),COUNTIFS($J13:$AX13,"*CRTA*",$J13:$AX13,"&lt;&gt;"&amp;"pCRTA")),COUNTIFS($J13:$AX13,"*RNNR*",$J13:$AX13,"&lt;&gt;"&amp;"*pRNNR*",$J13:$AX13,"&lt;&gt;"&amp;"pB1 RNNR",$J13:$AX13,"&lt;&gt;"&amp;"pB2 RNNR")-SUM(COUNTIFS($J13:$AX13,"*RNNR B1*",$J13:$AX13,"&lt;&gt;"&amp;"pRNNR B1")*0.5,COUNTIFS($J13:$AX13,"*RNNR B2*",$J13:$AX13,"&lt;&gt;"&amp;"pRNNR B2")*0.5,COUNTIFS($J13:$AX13,"*B1 RNNR*",$J13:$AX13,"&lt;&gt;"&amp;"pB1 RNNR")*0.5,COUNTIFS($J13:$AX13,"*B2 RNNR*",$J13:$AX13,"&lt;&gt;"&amp;"pB2 RNNR")*0.5)))</f>
        <v>2</v>
      </c>
      <c r="J13" s="184" t="str">
        <f>IFERROR(IF(VLOOKUP(Wed_W2[[#This Row],[Employee Name]],'Base Schedules'!$A$205:$AW$241,9,FALSE)="","",VLOOKUP(Wed_W2[[#This Row],[Employee Name]],'Base Schedules'!$A$205:$AW$241,9,FALSE)),"")</f>
        <v/>
      </c>
      <c r="K13" s="184" t="str">
        <f>IFERROR(IF(VLOOKUP(Wed_W2[[#This Row],[Employee Name]],'Base Schedules'!$A$205:$AW$241,10,FALSE)="","",VLOOKUP(Wed_W2[[#This Row],[Employee Name]],'Base Schedules'!$A$205:$AW$241,10,FALSE)),"")</f>
        <v>ADM</v>
      </c>
      <c r="L13" s="184" t="str">
        <f>IFERROR(IF(VLOOKUP(Wed_W2[[#This Row],[Employee Name]],'Base Schedules'!$A$205:$AW$241,11,FALSE)="","",VLOOKUP(Wed_W2[[#This Row],[Employee Name]],'Base Schedules'!$A$205:$AW$241,11,FALSE)),"")</f>
        <v>ADM</v>
      </c>
      <c r="M13" s="184" t="str">
        <f>IFERROR(IF(VLOOKUP(Wed_W2[[#This Row],[Employee Name]],'Base Schedules'!$A$205:$AW$241,12,FALSE)="","",VLOOKUP(Wed_W2[[#This Row],[Employee Name]],'Base Schedules'!$A$205:$AW$241,12,FALSE)),"")</f>
        <v>ADM</v>
      </c>
      <c r="N13" s="184" t="str">
        <f>IFERROR(IF(VLOOKUP(Wed_W2[[#This Row],[Employee Name]],'Base Schedules'!$A$205:$AW$241,13,FALSE)="","",VLOOKUP(Wed_W2[[#This Row],[Employee Name]],'Base Schedules'!$A$205:$AW$241,13,FALSE)),"")</f>
        <v>HL</v>
      </c>
      <c r="O13" s="184" t="str">
        <f>IFERROR(IF(VLOOKUP(Wed_W2[[#This Row],[Employee Name]],'Base Schedules'!$A$205:$AW$241,14,FALSE)="","",VLOOKUP(Wed_W2[[#This Row],[Employee Name]],'Base Schedules'!$A$205:$AW$241,14,FALSE)),"")</f>
        <v>B1 HL</v>
      </c>
      <c r="P13" s="184" t="str">
        <f>IFERROR(IF(VLOOKUP(Wed_W2[[#This Row],[Employee Name]],'Base Schedules'!$A$205:$AW$241,15,FALSE)="","",VLOOKUP(Wed_W2[[#This Row],[Employee Name]],'Base Schedules'!$A$205:$AW$241,15,FALSE)),"")</f>
        <v>HL</v>
      </c>
      <c r="Q13" s="184" t="str">
        <f>IFERROR(IF(VLOOKUP(Wed_W2[[#This Row],[Employee Name]],'Base Schedules'!$A$205:$AW$241,16,FALSE)="","",VLOOKUP(Wed_W2[[#This Row],[Employee Name]],'Base Schedules'!$A$205:$AW$241,16,FALSE)),"")</f>
        <v>HL</v>
      </c>
      <c r="R13" s="184" t="str">
        <f>IFERROR(IF(VLOOKUP(Wed_W2[[#This Row],[Employee Name]],'Base Schedules'!$A$205:$AW$241,17,FALSE)="","",VLOOKUP(Wed_W2[[#This Row],[Employee Name]],'Base Schedules'!$A$205:$AW$241,17,FALSE)),"")</f>
        <v>RNNR</v>
      </c>
      <c r="S13" s="184" t="str">
        <f>IFERROR(IF(VLOOKUP(Wed_W2[[#This Row],[Employee Name]],'Base Schedules'!$A$205:$AW$241,18,FALSE)="","",VLOOKUP(Wed_W2[[#This Row],[Employee Name]],'Base Schedules'!$A$205:$AW$241,18,FALSE)),"")</f>
        <v>RNNR</v>
      </c>
      <c r="T13" s="184" t="str">
        <f>IFERROR(IF(VLOOKUP(Wed_W2[[#This Row],[Employee Name]],'Base Schedules'!$A$205:$AW$241,19,FALSE)="","",VLOOKUP(Wed_W2[[#This Row],[Employee Name]],'Base Schedules'!$A$205:$AW$241,19,FALSE)),"")</f>
        <v>LUNCH</v>
      </c>
      <c r="U13" s="184" t="str">
        <f>IFERROR(IF(VLOOKUP(Wed_W2[[#This Row],[Employee Name]],'Base Schedules'!$A$205:$AW$241,20,FALSE)="","",VLOOKUP(Wed_W2[[#This Row],[Employee Name]],'Base Schedules'!$A$205:$AW$241,20,FALSE)),"")</f>
        <v>ADM</v>
      </c>
      <c r="V13" s="184" t="str">
        <f>IFERROR(IF(VLOOKUP(Wed_W2[[#This Row],[Employee Name]],'Base Schedules'!$A$205:$AW$241,21,FALSE)="","",VLOOKUP(Wed_W2[[#This Row],[Employee Name]],'Base Schedules'!$A$205:$AW$241,21,FALSE)),"")</f>
        <v>ADM</v>
      </c>
      <c r="W13" s="184" t="str">
        <f>IFERROR(IF(VLOOKUP(Wed_W2[[#This Row],[Employee Name]],'Base Schedules'!$A$205:$AW$241,22,FALSE)="","",VLOOKUP(Wed_W2[[#This Row],[Employee Name]],'Base Schedules'!$A$205:$AW$241,22,FALSE)),"")</f>
        <v>ADM B2</v>
      </c>
      <c r="X13" s="184" t="str">
        <f>IFERROR(IF(VLOOKUP(Wed_W2[[#This Row],[Employee Name]],'Base Schedules'!$A$205:$AW$241,23,FALSE)="","",VLOOKUP(Wed_W2[[#This Row],[Employee Name]],'Base Schedules'!$A$205:$AW$241,23,FALSE)),"")</f>
        <v>ADM</v>
      </c>
      <c r="Y13" s="184" t="str">
        <f>IFERROR(IF(VLOOKUP(Wed_W2[[#This Row],[Employee Name]],'Base Schedules'!$A$205:$AW$241,24,FALSE)="","",VLOOKUP(Wed_W2[[#This Row],[Employee Name]],'Base Schedules'!$A$205:$AW$241,24,FALSE)),"")</f>
        <v>ADM</v>
      </c>
      <c r="Z13" s="184" t="str">
        <f>IFERROR(IF(VLOOKUP(Wed_W2[[#This Row],[Employee Name]],'Base Schedules'!$A$205:$AW$241,25,FALSE)="","",VLOOKUP(Wed_W2[[#This Row],[Employee Name]],'Base Schedules'!$A$205:$AW$241,25,FALSE)),"")</f>
        <v>HL</v>
      </c>
      <c r="AA13" s="184" t="str">
        <f>IFERROR(IF(VLOOKUP(Wed_W2[[#This Row],[Employee Name]],'Base Schedules'!$A$205:$AW$241,26,FALSE)="","",VLOOKUP(Wed_W2[[#This Row],[Employee Name]],'Base Schedules'!$A$205:$AW$241,26,FALSE)),"")</f>
        <v>HL</v>
      </c>
      <c r="AB13" s="184" t="str">
        <f>IFERROR(IF(VLOOKUP(Wed_W2[[#This Row],[Employee Name]],'Base Schedules'!$A$205:$AW$241,27,FALSE)="","",VLOOKUP(Wed_W2[[#This Row],[Employee Name]],'Base Schedules'!$A$205:$AW$241,27,FALSE)),"")</f>
        <v/>
      </c>
      <c r="AC13" s="184" t="str">
        <f>IFERROR(IF(VLOOKUP(Wed_W2[[#This Row],[Employee Name]],'Base Schedules'!$A$205:$AW$241,28,FALSE)="","",VLOOKUP(Wed_W2[[#This Row],[Employee Name]],'Base Schedules'!$A$205:$AW$241,28,FALSE)),"")</f>
        <v/>
      </c>
      <c r="AD13" s="184" t="str">
        <f>IFERROR(IF(VLOOKUP(Wed_W2[[#This Row],[Employee Name]],'Base Schedules'!$A$205:$AW$241,29,FALSE)="","",VLOOKUP(Wed_W2[[#This Row],[Employee Name]],'Base Schedules'!$A$205:$AW$241,29,FALSE)),"")</f>
        <v/>
      </c>
      <c r="AE13" s="184" t="str">
        <f>IFERROR(IF(VLOOKUP(Wed_W2[[#This Row],[Employee Name]],'Base Schedules'!$A$205:$AW$241,30,FALSE)="","",VLOOKUP(Wed_W2[[#This Row],[Employee Name]],'Base Schedules'!$A$205:$AW$241,30,FALSE)),"")</f>
        <v/>
      </c>
      <c r="AF13" s="184" t="str">
        <f>IFERROR(IF(VLOOKUP(Wed_W2[[#This Row],[Employee Name]],'Base Schedules'!$A$205:$AW$241,31,FALSE)="","",VLOOKUP(Wed_W2[[#This Row],[Employee Name]],'Base Schedules'!$A$205:$AW$241,31,FALSE)),"")</f>
        <v/>
      </c>
      <c r="AG13" s="184" t="str">
        <f>IFERROR(IF(VLOOKUP(Wed_W2[[#This Row],[Employee Name]],'Base Schedules'!$A$205:$AW$241,32,FALSE)="","",VLOOKUP(Wed_W2[[#This Row],[Employee Name]],'Base Schedules'!$A$205:$AW$241,32,FALSE)),"")</f>
        <v/>
      </c>
      <c r="AH13" s="184" t="str">
        <f>IFERROR(IF(VLOOKUP(Wed_W2[[#This Row],[Employee Name]],'Base Schedules'!$A$205:$AW$241,33,FALSE)="","",VLOOKUP(Wed_W2[[#This Row],[Employee Name]],'Base Schedules'!$A$205:$AW$241,33,FALSE)),"")</f>
        <v/>
      </c>
      <c r="AI13" s="184" t="str">
        <f>IFERROR(IF(VLOOKUP(Wed_W2[[#This Row],[Employee Name]],'Base Schedules'!$A$205:$AW$241,34,FALSE)="","",VLOOKUP(Wed_W2[[#This Row],[Employee Name]],'Base Schedules'!$A$205:$AW$241,34,FALSE)),"")</f>
        <v/>
      </c>
      <c r="AJ13" s="184" t="str">
        <f>IFERROR(IF(VLOOKUP(Wed_W2[[#This Row],[Employee Name]],'Base Schedules'!$A$205:$AW$241,35,FALSE)="","",VLOOKUP(Wed_W2[[#This Row],[Employee Name]],'Base Schedules'!$A$205:$AW$241,35,FALSE)),"")</f>
        <v/>
      </c>
      <c r="AK13" s="184" t="str">
        <f>IFERROR(IF(VLOOKUP(Wed_W2[[#This Row],[Employee Name]],'Base Schedules'!$A$205:$AW$241,36,FALSE)="","",VLOOKUP(Wed_W2[[#This Row],[Employee Name]],'Base Schedules'!$A$205:$AW$241,36,FALSE)),"")</f>
        <v/>
      </c>
      <c r="AL13" s="184" t="str">
        <f>IFERROR(IF(VLOOKUP(Wed_W2[[#This Row],[Employee Name]],'Base Schedules'!$A$205:$AW$241,37,FALSE)="","",VLOOKUP(Wed_W2[[#This Row],[Employee Name]],'Base Schedules'!$A$205:$AW$241,37,FALSE)),"")</f>
        <v/>
      </c>
      <c r="AM13" s="184" t="str">
        <f>IFERROR(IF(VLOOKUP(Wed_W2[[#This Row],[Employee Name]],'Base Schedules'!$A$205:$AW$241,38,FALSE)="","",VLOOKUP(Wed_W2[[#This Row],[Employee Name]],'Base Schedules'!$A$205:$AW$241,38,FALSE)),"")</f>
        <v/>
      </c>
      <c r="AN13" s="184" t="str">
        <f>IFERROR(IF(VLOOKUP(Wed_W2[[#This Row],[Employee Name]],'Base Schedules'!$A$205:$AW$241,39,FALSE)="","",VLOOKUP(Wed_W2[[#This Row],[Employee Name]],'Base Schedules'!$A$205:$AW$241,39,FALSE)),"")</f>
        <v/>
      </c>
      <c r="AO13" s="184" t="str">
        <f>IFERROR(IF(VLOOKUP(Wed_W2[[#This Row],[Employee Name]],'Base Schedules'!$A$205:$AW$241,40,FALSE)="","",VLOOKUP(Wed_W2[[#This Row],[Employee Name]],'Base Schedules'!$A$205:$AW$241,40,FALSE)),"")</f>
        <v/>
      </c>
      <c r="AP13" s="184" t="str">
        <f>IFERROR(IF(VLOOKUP(Wed_W2[[#This Row],[Employee Name]],'Base Schedules'!$A$205:$AW$241,41,FALSE)="","",VLOOKUP(Wed_W2[[#This Row],[Employee Name]],'Base Schedules'!$A$205:$AW$241,41,FALSE)),"")</f>
        <v/>
      </c>
      <c r="AQ13" s="184" t="str">
        <f>IFERROR(IF(VLOOKUP(Wed_W2[[#This Row],[Employee Name]],'Base Schedules'!$A$205:$AW$241,42,FALSE)="","",VLOOKUP(Wed_W2[[#This Row],[Employee Name]],'Base Schedules'!$A$205:$AW$241,42,FALSE)),"")</f>
        <v/>
      </c>
      <c r="AR13" s="184" t="str">
        <f>IFERROR(IF(VLOOKUP(Wed_W2[[#This Row],[Employee Name]],'Base Schedules'!$A$205:$AW$241,43,FALSE)="","",VLOOKUP(Wed_W2[[#This Row],[Employee Name]],'Base Schedules'!$A$205:$AW$241,43,FALSE)),"")</f>
        <v/>
      </c>
      <c r="AS13" s="184" t="str">
        <f>IFERROR(IF(VLOOKUP(Wed_W2[[#This Row],[Employee Name]],'Base Schedules'!$A$205:$AW$241,44,FALSE)="","",VLOOKUP(Wed_W2[[#This Row],[Employee Name]],'Base Schedules'!$A$205:$AW$241,44,FALSE)),"")</f>
        <v/>
      </c>
      <c r="AT13" s="184" t="str">
        <f>IFERROR(IF(VLOOKUP(Wed_W2[[#This Row],[Employee Name]],'Base Schedules'!$A$205:$AW$241,45,FALSE)="","",VLOOKUP(Wed_W2[[#This Row],[Employee Name]],'Base Schedules'!$A$205:$AW$241,45,FALSE)),"")</f>
        <v/>
      </c>
      <c r="AU13" s="184" t="str">
        <f>IFERROR(IF(VLOOKUP(Wed_W2[[#This Row],[Employee Name]],'Base Schedules'!$A$205:$AW$241,46,FALSE)="","",VLOOKUP(Wed_W2[[#This Row],[Employee Name]],'Base Schedules'!$A$205:$AW$241,46,FALSE)),"")</f>
        <v/>
      </c>
      <c r="AV13" s="184" t="str">
        <f>IFERROR(IF(VLOOKUP(Wed_W2[[#This Row],[Employee Name]],'Base Schedules'!$A$205:$AW$241,47,FALSE)="","",VLOOKUP(Wed_W2[[#This Row],[Employee Name]],'Base Schedules'!$A$205:$AW$241,47,FALSE)),"")</f>
        <v/>
      </c>
      <c r="AW13" s="184" t="str">
        <f>IFERROR(IF(VLOOKUP(Wed_W2[[#This Row],[Employee Name]],'Base Schedules'!$A$205:$AW$241,48,FALSE)="","",VLOOKUP(Wed_W2[[#This Row],[Employee Name]],'Base Schedules'!$A$205:$AW$241,48,FALSE)),"")</f>
        <v/>
      </c>
      <c r="AX13" s="184" t="str">
        <f>IFERROR(IF(VLOOKUP(Wed_W2[[#This Row],[Employee Name]],'Base Schedules'!$A$205:$AW$241,49,FALSE)="","",VLOOKUP(Wed_W2[[#This Row],[Employee Name]],'Base Schedules'!$A$205:$AW$241,49,FALSE)),"")</f>
        <v/>
      </c>
      <c r="AY13" s="245" t="str">
        <f t="shared" si="2"/>
        <v>Albritton, Ahmed</v>
      </c>
    </row>
    <row r="14" spans="1:51" s="44" customFormat="1" ht="12" customHeight="1" x14ac:dyDescent="0.2">
      <c r="A14" s="39" t="str">
        <f>IF(B14="","",INDEX(TeamList[],MATCH($B14,TeamList[[Employee Name]:[Employee Name]],0),MATCH("Manager",TeamList[#Headers],0)))</f>
        <v>Paulson, Matthew</v>
      </c>
      <c r="B14" s="201" t="s">
        <v>17</v>
      </c>
      <c r="C14" s="257" t="str">
        <f>_xlfn.IFNA(VLOOKUP(Wed_W2[[#This Row],[Employee Name]],'Base Schedules'!A:B,2,FALSE),"")</f>
        <v>Supervisor</v>
      </c>
      <c r="D14" s="274">
        <f>_xlfn.IFNA(VLOOKUP(Wed_W2[[#This Row],[Employee Name]],'Base Schedules'!A:C,3,FALSE),"")</f>
        <v>530</v>
      </c>
      <c r="E14" s="274">
        <f>_xlfn.IFNA(VLOOKUP(Wed_W2[[#This Row],[Employee Name]],'Base Schedules'!A:D,4,FALSE),"")</f>
        <v>1430</v>
      </c>
      <c r="F14" s="142">
        <f>IF(Wed_W2[[#This Row],[Employee Name]]="","",IF(Wed_W2[[#This Row],[Dept]]="Supervisor",COUNTIFS($J14:$AX14,"*HL*",$J14:$AX14,"&lt;&gt;"&amp;"pHL"),COUNTIFS($J14:$AX14,"*HL*",$J14:$AX14,"&lt;&gt;"&amp;"*pHL*",$J14:$AX14,"&lt;&gt;"&amp;"pB1 HL",$J14:$AX14,"&lt;&gt;"&amp;"pB2 HL")-SUM(COUNTIFS($J14:$AX14,"*HL B1*",$J14:$AX14,"&lt;&gt;"&amp;"pHL B1")*0.5,COUNTIFS($J14:$AX14,"*HL B2*",$J14:$AX14,"&lt;&gt;"&amp;"pHL B2")*0.5,COUNTIFS($J14:$AX14,"*B1 HL*",$J14:$AX14,"&lt;&gt;"&amp;"pB1 HL")*0.5,COUNTIFS($J14:$AX14,"*B2 HL*",$J14:$AX14,"&lt;&gt;"&amp;"pB2 HL")*0.5)))</f>
        <v>0</v>
      </c>
      <c r="G14" s="142">
        <f t="shared" si="0"/>
        <v>0</v>
      </c>
      <c r="H14" s="142">
        <f t="shared" si="1"/>
        <v>0</v>
      </c>
      <c r="I14" s="142">
        <f>IF(Wed_W2[[#This Row],[Employee Name]]="","",IF(Wed_W2[[#This Row],[Dept]]="Supervisor",SUM(COUNTIFS($J14:$AX14,"RTA*",$J14:$AX14,"&lt;&gt;"&amp;"pRTA"),COUNTIFS($J14:$AX14,"*CRTA*",$J14:$AX14,"&lt;&gt;"&amp;"pCRTA")),COUNTIFS($J14:$AX14,"*RNNR*",$J14:$AX14,"&lt;&gt;"&amp;"*pRNNR*",$J14:$AX14,"&lt;&gt;"&amp;"pB1 RNNR",$J14:$AX14,"&lt;&gt;"&amp;"pB2 RNNR")-SUM(COUNTIFS($J14:$AX14,"*RNNR B1*",$J14:$AX14,"&lt;&gt;"&amp;"pRNNR B1")*0.5,COUNTIFS($J14:$AX14,"*RNNR B2*",$J14:$AX14,"&lt;&gt;"&amp;"pRNNR B2")*0.5,COUNTIFS($J14:$AX14,"*B1 RNNR*",$J14:$AX14,"&lt;&gt;"&amp;"pB1 RNNR")*0.5,COUNTIFS($J14:$AX14,"*B2 RNNR*",$J14:$AX14,"&lt;&gt;"&amp;"pB2 RNNR")*0.5)))</f>
        <v>0</v>
      </c>
      <c r="J14" s="184" t="str">
        <f>IFERROR(IF(VLOOKUP(Wed_W2[[#This Row],[Employee Name]],'Base Schedules'!$A$205:$AW$241,9,FALSE)="","",VLOOKUP(Wed_W2[[#This Row],[Employee Name]],'Base Schedules'!$A$205:$AW$241,9,FALSE)),"")</f>
        <v/>
      </c>
      <c r="K14" s="184" t="str">
        <f>IFERROR(IF(VLOOKUP(Wed_W2[[#This Row],[Employee Name]],'Base Schedules'!$A$205:$AW$241,10,FALSE)="","",VLOOKUP(Wed_W2[[#This Row],[Employee Name]],'Base Schedules'!$A$205:$AW$241,10,FALSE)),"")</f>
        <v/>
      </c>
      <c r="L14" s="184" t="str">
        <f>IFERROR(IF(VLOOKUP(Wed_W2[[#This Row],[Employee Name]],'Base Schedules'!$A$205:$AW$241,11,FALSE)="","",VLOOKUP(Wed_W2[[#This Row],[Employee Name]],'Base Schedules'!$A$205:$AW$241,11,FALSE)),"")</f>
        <v/>
      </c>
      <c r="M14" s="184" t="str">
        <f>IFERROR(IF(VLOOKUP(Wed_W2[[#This Row],[Employee Name]],'Base Schedules'!$A$205:$AW$241,12,FALSE)="","",VLOOKUP(Wed_W2[[#This Row],[Employee Name]],'Base Schedules'!$A$205:$AW$241,12,FALSE)),"")</f>
        <v/>
      </c>
      <c r="N14" s="184" t="str">
        <f>IFERROR(IF(VLOOKUP(Wed_W2[[#This Row],[Employee Name]],'Base Schedules'!$A$205:$AW$241,13,FALSE)="","",VLOOKUP(Wed_W2[[#This Row],[Employee Name]],'Base Schedules'!$A$205:$AW$241,13,FALSE)),"")</f>
        <v/>
      </c>
      <c r="O14" s="184" t="str">
        <f>IFERROR(IF(VLOOKUP(Wed_W2[[#This Row],[Employee Name]],'Base Schedules'!$A$205:$AW$241,14,FALSE)="","",VLOOKUP(Wed_W2[[#This Row],[Employee Name]],'Base Schedules'!$A$205:$AW$241,14,FALSE)),"")</f>
        <v/>
      </c>
      <c r="P14" s="184" t="str">
        <f>IFERROR(IF(VLOOKUP(Wed_W2[[#This Row],[Employee Name]],'Base Schedules'!$A$205:$AW$241,15,FALSE)="","",VLOOKUP(Wed_W2[[#This Row],[Employee Name]],'Base Schedules'!$A$205:$AW$241,15,FALSE)),"")</f>
        <v/>
      </c>
      <c r="Q14" s="184" t="str">
        <f>IFERROR(IF(VLOOKUP(Wed_W2[[#This Row],[Employee Name]],'Base Schedules'!$A$205:$AW$241,16,FALSE)="","",VLOOKUP(Wed_W2[[#This Row],[Employee Name]],'Base Schedules'!$A$205:$AW$241,16,FALSE)),"")</f>
        <v/>
      </c>
      <c r="R14" s="184" t="str">
        <f>IFERROR(IF(VLOOKUP(Wed_W2[[#This Row],[Employee Name]],'Base Schedules'!$A$205:$AW$241,17,FALSE)="","",VLOOKUP(Wed_W2[[#This Row],[Employee Name]],'Base Schedules'!$A$205:$AW$241,17,FALSE)),"")</f>
        <v/>
      </c>
      <c r="S14" s="184" t="str">
        <f>IFERROR(IF(VLOOKUP(Wed_W2[[#This Row],[Employee Name]],'Base Schedules'!$A$205:$AW$241,18,FALSE)="","",VLOOKUP(Wed_W2[[#This Row],[Employee Name]],'Base Schedules'!$A$205:$AW$241,18,FALSE)),"")</f>
        <v/>
      </c>
      <c r="T14" s="184" t="str">
        <f>IFERROR(IF(VLOOKUP(Wed_W2[[#This Row],[Employee Name]],'Base Schedules'!$A$205:$AW$241,19,FALSE)="","",VLOOKUP(Wed_W2[[#This Row],[Employee Name]],'Base Schedules'!$A$205:$AW$241,19,FALSE)),"")</f>
        <v/>
      </c>
      <c r="U14" s="184" t="str">
        <f>IFERROR(IF(VLOOKUP(Wed_W2[[#This Row],[Employee Name]],'Base Schedules'!$A$205:$AW$241,20,FALSE)="","",VLOOKUP(Wed_W2[[#This Row],[Employee Name]],'Base Schedules'!$A$205:$AW$241,20,FALSE)),"")</f>
        <v/>
      </c>
      <c r="V14" s="184" t="str">
        <f>IFERROR(IF(VLOOKUP(Wed_W2[[#This Row],[Employee Name]],'Base Schedules'!$A$205:$AW$241,21,FALSE)="","",VLOOKUP(Wed_W2[[#This Row],[Employee Name]],'Base Schedules'!$A$205:$AW$241,21,FALSE)),"")</f>
        <v/>
      </c>
      <c r="W14" s="184" t="str">
        <f>IFERROR(IF(VLOOKUP(Wed_W2[[#This Row],[Employee Name]],'Base Schedules'!$A$205:$AW$241,22,FALSE)="","",VLOOKUP(Wed_W2[[#This Row],[Employee Name]],'Base Schedules'!$A$205:$AW$241,22,FALSE)),"")</f>
        <v/>
      </c>
      <c r="X14" s="184" t="str">
        <f>IFERROR(IF(VLOOKUP(Wed_W2[[#This Row],[Employee Name]],'Base Schedules'!$A$205:$AW$241,23,FALSE)="","",VLOOKUP(Wed_W2[[#This Row],[Employee Name]],'Base Schedules'!$A$205:$AW$241,23,FALSE)),"")</f>
        <v/>
      </c>
      <c r="Y14" s="184" t="str">
        <f>IFERROR(IF(VLOOKUP(Wed_W2[[#This Row],[Employee Name]],'Base Schedules'!$A$205:$AW$241,24,FALSE)="","",VLOOKUP(Wed_W2[[#This Row],[Employee Name]],'Base Schedules'!$A$205:$AW$241,24,FALSE)),"")</f>
        <v/>
      </c>
      <c r="Z14" s="184" t="str">
        <f>IFERROR(IF(VLOOKUP(Wed_W2[[#This Row],[Employee Name]],'Base Schedules'!$A$205:$AW$241,25,FALSE)="","",VLOOKUP(Wed_W2[[#This Row],[Employee Name]],'Base Schedules'!$A$205:$AW$241,25,FALSE)),"")</f>
        <v/>
      </c>
      <c r="AA14" s="184" t="str">
        <f>IFERROR(IF(VLOOKUP(Wed_W2[[#This Row],[Employee Name]],'Base Schedules'!$A$205:$AW$241,26,FALSE)="","",VLOOKUP(Wed_W2[[#This Row],[Employee Name]],'Base Schedules'!$A$205:$AW$241,26,FALSE)),"")</f>
        <v/>
      </c>
      <c r="AB14" s="184" t="str">
        <f>IFERROR(IF(VLOOKUP(Wed_W2[[#This Row],[Employee Name]],'Base Schedules'!$A$205:$AW$241,27,FALSE)="","",VLOOKUP(Wed_W2[[#This Row],[Employee Name]],'Base Schedules'!$A$205:$AW$241,27,FALSE)),"")</f>
        <v/>
      </c>
      <c r="AC14" s="184" t="str">
        <f>IFERROR(IF(VLOOKUP(Wed_W2[[#This Row],[Employee Name]],'Base Schedules'!$A$205:$AW$241,28,FALSE)="","",VLOOKUP(Wed_W2[[#This Row],[Employee Name]],'Base Schedules'!$A$205:$AW$241,28,FALSE)),"")</f>
        <v/>
      </c>
      <c r="AD14" s="184" t="str">
        <f>IFERROR(IF(VLOOKUP(Wed_W2[[#This Row],[Employee Name]],'Base Schedules'!$A$205:$AW$241,29,FALSE)="","",VLOOKUP(Wed_W2[[#This Row],[Employee Name]],'Base Schedules'!$A$205:$AW$241,29,FALSE)),"")</f>
        <v/>
      </c>
      <c r="AE14" s="184" t="str">
        <f>IFERROR(IF(VLOOKUP(Wed_W2[[#This Row],[Employee Name]],'Base Schedules'!$A$205:$AW$241,30,FALSE)="","",VLOOKUP(Wed_W2[[#This Row],[Employee Name]],'Base Schedules'!$A$205:$AW$241,30,FALSE)),"")</f>
        <v/>
      </c>
      <c r="AF14" s="184" t="str">
        <f>IFERROR(IF(VLOOKUP(Wed_W2[[#This Row],[Employee Name]],'Base Schedules'!$A$205:$AW$241,31,FALSE)="","",VLOOKUP(Wed_W2[[#This Row],[Employee Name]],'Base Schedules'!$A$205:$AW$241,31,FALSE)),"")</f>
        <v/>
      </c>
      <c r="AG14" s="184" t="str">
        <f>IFERROR(IF(VLOOKUP(Wed_W2[[#This Row],[Employee Name]],'Base Schedules'!$A$205:$AW$241,32,FALSE)="","",VLOOKUP(Wed_W2[[#This Row],[Employee Name]],'Base Schedules'!$A$205:$AW$241,32,FALSE)),"")</f>
        <v/>
      </c>
      <c r="AH14" s="184" t="str">
        <f>IFERROR(IF(VLOOKUP(Wed_W2[[#This Row],[Employee Name]],'Base Schedules'!$A$205:$AW$241,33,FALSE)="","",VLOOKUP(Wed_W2[[#This Row],[Employee Name]],'Base Schedules'!$A$205:$AW$241,33,FALSE)),"")</f>
        <v/>
      </c>
      <c r="AI14" s="184" t="str">
        <f>IFERROR(IF(VLOOKUP(Wed_W2[[#This Row],[Employee Name]],'Base Schedules'!$A$205:$AW$241,34,FALSE)="","",VLOOKUP(Wed_W2[[#This Row],[Employee Name]],'Base Schedules'!$A$205:$AW$241,34,FALSE)),"")</f>
        <v/>
      </c>
      <c r="AJ14" s="184" t="str">
        <f>IFERROR(IF(VLOOKUP(Wed_W2[[#This Row],[Employee Name]],'Base Schedules'!$A$205:$AW$241,35,FALSE)="","",VLOOKUP(Wed_W2[[#This Row],[Employee Name]],'Base Schedules'!$A$205:$AW$241,35,FALSE)),"")</f>
        <v/>
      </c>
      <c r="AK14" s="184" t="str">
        <f>IFERROR(IF(VLOOKUP(Wed_W2[[#This Row],[Employee Name]],'Base Schedules'!$A$205:$AW$241,36,FALSE)="","",VLOOKUP(Wed_W2[[#This Row],[Employee Name]],'Base Schedules'!$A$205:$AW$241,36,FALSE)),"")</f>
        <v/>
      </c>
      <c r="AL14" s="184" t="str">
        <f>IFERROR(IF(VLOOKUP(Wed_W2[[#This Row],[Employee Name]],'Base Schedules'!$A$205:$AW$241,37,FALSE)="","",VLOOKUP(Wed_W2[[#This Row],[Employee Name]],'Base Schedules'!$A$205:$AW$241,37,FALSE)),"")</f>
        <v/>
      </c>
      <c r="AM14" s="184" t="str">
        <f>IFERROR(IF(VLOOKUP(Wed_W2[[#This Row],[Employee Name]],'Base Schedules'!$A$205:$AW$241,38,FALSE)="","",VLOOKUP(Wed_W2[[#This Row],[Employee Name]],'Base Schedules'!$A$205:$AW$241,38,FALSE)),"")</f>
        <v/>
      </c>
      <c r="AN14" s="184" t="str">
        <f>IFERROR(IF(VLOOKUP(Wed_W2[[#This Row],[Employee Name]],'Base Schedules'!$A$205:$AW$241,39,FALSE)="","",VLOOKUP(Wed_W2[[#This Row],[Employee Name]],'Base Schedules'!$A$205:$AW$241,39,FALSE)),"")</f>
        <v/>
      </c>
      <c r="AO14" s="184" t="str">
        <f>IFERROR(IF(VLOOKUP(Wed_W2[[#This Row],[Employee Name]],'Base Schedules'!$A$205:$AW$241,40,FALSE)="","",VLOOKUP(Wed_W2[[#This Row],[Employee Name]],'Base Schedules'!$A$205:$AW$241,40,FALSE)),"")</f>
        <v/>
      </c>
      <c r="AP14" s="184" t="str">
        <f>IFERROR(IF(VLOOKUP(Wed_W2[[#This Row],[Employee Name]],'Base Schedules'!$A$205:$AW$241,41,FALSE)="","",VLOOKUP(Wed_W2[[#This Row],[Employee Name]],'Base Schedules'!$A$205:$AW$241,41,FALSE)),"")</f>
        <v/>
      </c>
      <c r="AQ14" s="184" t="str">
        <f>IFERROR(IF(VLOOKUP(Wed_W2[[#This Row],[Employee Name]],'Base Schedules'!$A$205:$AW$241,42,FALSE)="","",VLOOKUP(Wed_W2[[#This Row],[Employee Name]],'Base Schedules'!$A$205:$AW$241,42,FALSE)),"")</f>
        <v/>
      </c>
      <c r="AR14" s="184" t="str">
        <f>IFERROR(IF(VLOOKUP(Wed_W2[[#This Row],[Employee Name]],'Base Schedules'!$A$205:$AW$241,43,FALSE)="","",VLOOKUP(Wed_W2[[#This Row],[Employee Name]],'Base Schedules'!$A$205:$AW$241,43,FALSE)),"")</f>
        <v/>
      </c>
      <c r="AS14" s="184" t="str">
        <f>IFERROR(IF(VLOOKUP(Wed_W2[[#This Row],[Employee Name]],'Base Schedules'!$A$205:$AW$241,44,FALSE)="","",VLOOKUP(Wed_W2[[#This Row],[Employee Name]],'Base Schedules'!$A$205:$AW$241,44,FALSE)),"")</f>
        <v/>
      </c>
      <c r="AT14" s="184" t="str">
        <f>IFERROR(IF(VLOOKUP(Wed_W2[[#This Row],[Employee Name]],'Base Schedules'!$A$205:$AW$241,45,FALSE)="","",VLOOKUP(Wed_W2[[#This Row],[Employee Name]],'Base Schedules'!$A$205:$AW$241,45,FALSE)),"")</f>
        <v/>
      </c>
      <c r="AU14" s="184" t="str">
        <f>IFERROR(IF(VLOOKUP(Wed_W2[[#This Row],[Employee Name]],'Base Schedules'!$A$205:$AW$241,46,FALSE)="","",VLOOKUP(Wed_W2[[#This Row],[Employee Name]],'Base Schedules'!$A$205:$AW$241,46,FALSE)),"")</f>
        <v/>
      </c>
      <c r="AV14" s="184" t="str">
        <f>IFERROR(IF(VLOOKUP(Wed_W2[[#This Row],[Employee Name]],'Base Schedules'!$A$205:$AW$241,47,FALSE)="","",VLOOKUP(Wed_W2[[#This Row],[Employee Name]],'Base Schedules'!$A$205:$AW$241,47,FALSE)),"")</f>
        <v/>
      </c>
      <c r="AW14" s="184" t="str">
        <f>IFERROR(IF(VLOOKUP(Wed_W2[[#This Row],[Employee Name]],'Base Schedules'!$A$205:$AW$241,48,FALSE)="","",VLOOKUP(Wed_W2[[#This Row],[Employee Name]],'Base Schedules'!$A$205:$AW$241,48,FALSE)),"")</f>
        <v/>
      </c>
      <c r="AX14" s="184" t="str">
        <f>IFERROR(IF(VLOOKUP(Wed_W2[[#This Row],[Employee Name]],'Base Schedules'!$A$205:$AW$241,49,FALSE)="","",VLOOKUP(Wed_W2[[#This Row],[Employee Name]],'Base Schedules'!$A$205:$AW$241,49,FALSE)),"")</f>
        <v/>
      </c>
      <c r="AY14" s="245" t="str">
        <f t="shared" si="2"/>
        <v>Breen, Mark</v>
      </c>
    </row>
    <row r="15" spans="1:51" s="44" customFormat="1" ht="12" customHeight="1" x14ac:dyDescent="0.2">
      <c r="A15" s="39" t="str">
        <f>IF(B15="","",INDEX(TeamList[],MATCH($B15,TeamList[[Employee Name]:[Employee Name]],0),MATCH("Manager",TeamList[#Headers],0)))</f>
        <v>Olson, Katherine</v>
      </c>
      <c r="B15" s="201" t="s">
        <v>19</v>
      </c>
      <c r="C15" s="257" t="str">
        <f>_xlfn.IFNA(VLOOKUP(Wed_W2[[#This Row],[Employee Name]],'Base Schedules'!A:B,2,FALSE),"")</f>
        <v>Lead</v>
      </c>
      <c r="D15" s="274">
        <f>_xlfn.IFNA(VLOOKUP(Wed_W2[[#This Row],[Employee Name]],'Base Schedules'!A:C,3,FALSE),"")</f>
        <v>600</v>
      </c>
      <c r="E15" s="274">
        <f>_xlfn.IFNA(VLOOKUP(Wed_W2[[#This Row],[Employee Name]],'Base Schedules'!A:D,4,FALSE),"")</f>
        <v>1430</v>
      </c>
      <c r="F15" s="142">
        <f>IF(Wed_W2[[#This Row],[Employee Name]]="","",IF(Wed_W2[[#This Row],[Dept]]="Supervisor",COUNTIFS($J15:$AX15,"*HL*",$J15:$AX15,"&lt;&gt;"&amp;"pHL"),COUNTIFS($J15:$AX15,"*HL*",$J15:$AX15,"&lt;&gt;"&amp;"*pHL*",$J15:$AX15,"&lt;&gt;"&amp;"pB1 HL",$J15:$AX15,"&lt;&gt;"&amp;"pB2 HL")-SUM(COUNTIFS($J15:$AX15,"*HL B1*",$J15:$AX15,"&lt;&gt;"&amp;"pHL B1")*0.5,COUNTIFS($J15:$AX15,"*HL B2*",$J15:$AX15,"&lt;&gt;"&amp;"pHL B2")*0.5,COUNTIFS($J15:$AX15,"*B1 HL*",$J15:$AX15,"&lt;&gt;"&amp;"pB1 HL")*0.5,COUNTIFS($J15:$AX15,"*B2 HL*",$J15:$AX15,"&lt;&gt;"&amp;"pB2 HL")*0.5)))</f>
        <v>5.5</v>
      </c>
      <c r="G15" s="142">
        <f t="shared" si="0"/>
        <v>0</v>
      </c>
      <c r="H15" s="142">
        <f t="shared" si="1"/>
        <v>8</v>
      </c>
      <c r="I15" s="142">
        <f>IF(Wed_W2[[#This Row],[Employee Name]]="","",IF(Wed_W2[[#This Row],[Dept]]="Supervisor",SUM(COUNTIFS($J15:$AX15,"RTA*",$J15:$AX15,"&lt;&gt;"&amp;"pRTA"),COUNTIFS($J15:$AX15,"*CRTA*",$J15:$AX15,"&lt;&gt;"&amp;"pCRTA")),COUNTIFS($J15:$AX15,"*RNNR*",$J15:$AX15,"&lt;&gt;"&amp;"*pRNNR*",$J15:$AX15,"&lt;&gt;"&amp;"pB1 RNNR",$J15:$AX15,"&lt;&gt;"&amp;"pB2 RNNR")-SUM(COUNTIFS($J15:$AX15,"*RNNR B1*",$J15:$AX15,"&lt;&gt;"&amp;"pRNNR B1")*0.5,COUNTIFS($J15:$AX15,"*RNNR B2*",$J15:$AX15,"&lt;&gt;"&amp;"pRNNR B2")*0.5,COUNTIFS($J15:$AX15,"*B1 RNNR*",$J15:$AX15,"&lt;&gt;"&amp;"pB1 RNNR")*0.5,COUNTIFS($J15:$AX15,"*B2 RNNR*",$J15:$AX15,"&lt;&gt;"&amp;"pB2 RNNR")*0.5)))</f>
        <v>2</v>
      </c>
      <c r="J15" s="184" t="str">
        <f>IFERROR(IF(VLOOKUP(Wed_W2[[#This Row],[Employee Name]],'Base Schedules'!$A$205:$AW$241,9,FALSE)="","",VLOOKUP(Wed_W2[[#This Row],[Employee Name]],'Base Schedules'!$A$205:$AW$241,9,FALSE)),"")</f>
        <v/>
      </c>
      <c r="K15" s="184" t="str">
        <f>IFERROR(IF(VLOOKUP(Wed_W2[[#This Row],[Employee Name]],'Base Schedules'!$A$205:$AW$241,10,FALSE)="","",VLOOKUP(Wed_W2[[#This Row],[Employee Name]],'Base Schedules'!$A$205:$AW$241,10,FALSE)),"")</f>
        <v/>
      </c>
      <c r="L15" s="184" t="str">
        <f>IFERROR(IF(VLOOKUP(Wed_W2[[#This Row],[Employee Name]],'Base Schedules'!$A$205:$AW$241,11,FALSE)="","",VLOOKUP(Wed_W2[[#This Row],[Employee Name]],'Base Schedules'!$A$205:$AW$241,11,FALSE)),"")</f>
        <v>ADM</v>
      </c>
      <c r="M15" s="184" t="str">
        <f>IFERROR(IF(VLOOKUP(Wed_W2[[#This Row],[Employee Name]],'Base Schedules'!$A$205:$AW$241,12,FALSE)="","",VLOOKUP(Wed_W2[[#This Row],[Employee Name]],'Base Schedules'!$A$205:$AW$241,12,FALSE)),"")</f>
        <v>ADM</v>
      </c>
      <c r="N15" s="184" t="str">
        <f>IFERROR(IF(VLOOKUP(Wed_W2[[#This Row],[Employee Name]],'Base Schedules'!$A$205:$AW$241,13,FALSE)="","",VLOOKUP(Wed_W2[[#This Row],[Employee Name]],'Base Schedules'!$A$205:$AW$241,13,FALSE)),"")</f>
        <v>ADM</v>
      </c>
      <c r="O15" s="184" t="str">
        <f>IFERROR(IF(VLOOKUP(Wed_W2[[#This Row],[Employee Name]],'Base Schedules'!$A$205:$AW$241,14,FALSE)="","",VLOOKUP(Wed_W2[[#This Row],[Employee Name]],'Base Schedules'!$A$205:$AW$241,14,FALSE)),"")</f>
        <v>HL</v>
      </c>
      <c r="P15" s="184" t="str">
        <f>IFERROR(IF(VLOOKUP(Wed_W2[[#This Row],[Employee Name]],'Base Schedules'!$A$205:$AW$241,15,FALSE)="","",VLOOKUP(Wed_W2[[#This Row],[Employee Name]],'Base Schedules'!$A$205:$AW$241,15,FALSE)),"")</f>
        <v>B1 HL</v>
      </c>
      <c r="Q15" s="184" t="str">
        <f>IFERROR(IF(VLOOKUP(Wed_W2[[#This Row],[Employee Name]],'Base Schedules'!$A$205:$AW$241,16,FALSE)="","",VLOOKUP(Wed_W2[[#This Row],[Employee Name]],'Base Schedules'!$A$205:$AW$241,16,FALSE)),"")</f>
        <v>HL</v>
      </c>
      <c r="R15" s="184" t="str">
        <f>IFERROR(IF(VLOOKUP(Wed_W2[[#This Row],[Employee Name]],'Base Schedules'!$A$205:$AW$241,17,FALSE)="","",VLOOKUP(Wed_W2[[#This Row],[Employee Name]],'Base Schedules'!$A$205:$AW$241,17,FALSE)),"")</f>
        <v>HL</v>
      </c>
      <c r="S15" s="184" t="str">
        <f>IFERROR(IF(VLOOKUP(Wed_W2[[#This Row],[Employee Name]],'Base Schedules'!$A$205:$AW$241,18,FALSE)="","",VLOOKUP(Wed_W2[[#This Row],[Employee Name]],'Base Schedules'!$A$205:$AW$241,18,FALSE)),"")</f>
        <v>HL</v>
      </c>
      <c r="T15" s="184" t="str">
        <f>IFERROR(IF(VLOOKUP(Wed_W2[[#This Row],[Employee Name]],'Base Schedules'!$A$205:$AW$241,19,FALSE)="","",VLOOKUP(Wed_W2[[#This Row],[Employee Name]],'Base Schedules'!$A$205:$AW$241,19,FALSE)),"")</f>
        <v>HL</v>
      </c>
      <c r="U15" s="184" t="str">
        <f>IFERROR(IF(VLOOKUP(Wed_W2[[#This Row],[Employee Name]],'Base Schedules'!$A$205:$AW$241,20,FALSE)="","",VLOOKUP(Wed_W2[[#This Row],[Employee Name]],'Base Schedules'!$A$205:$AW$241,20,FALSE)),"")</f>
        <v>LUNCH</v>
      </c>
      <c r="V15" s="184" t="str">
        <f>IFERROR(IF(VLOOKUP(Wed_W2[[#This Row],[Employee Name]],'Base Schedules'!$A$205:$AW$241,21,FALSE)="","",VLOOKUP(Wed_W2[[#This Row],[Employee Name]],'Base Schedules'!$A$205:$AW$241,21,FALSE)),"")</f>
        <v>RNNR</v>
      </c>
      <c r="W15" s="184" t="str">
        <f>IFERROR(IF(VLOOKUP(Wed_W2[[#This Row],[Employee Name]],'Base Schedules'!$A$205:$AW$241,22,FALSE)="","",VLOOKUP(Wed_W2[[#This Row],[Employee Name]],'Base Schedules'!$A$205:$AW$241,22,FALSE)),"")</f>
        <v>RNNR</v>
      </c>
      <c r="X15" s="184" t="str">
        <f>IFERROR(IF(VLOOKUP(Wed_W2[[#This Row],[Employee Name]],'Base Schedules'!$A$205:$AW$241,23,FALSE)="","",VLOOKUP(Wed_W2[[#This Row],[Employee Name]],'Base Schedules'!$A$205:$AW$241,23,FALSE)),"")</f>
        <v>ADM</v>
      </c>
      <c r="Y15" s="184" t="str">
        <f>IFERROR(IF(VLOOKUP(Wed_W2[[#This Row],[Employee Name]],'Base Schedules'!$A$205:$AW$241,24,FALSE)="","",VLOOKUP(Wed_W2[[#This Row],[Employee Name]],'Base Schedules'!$A$205:$AW$241,24,FALSE)),"")</f>
        <v>ADM B2</v>
      </c>
      <c r="Z15" s="184" t="str">
        <f>IFERROR(IF(VLOOKUP(Wed_W2[[#This Row],[Employee Name]],'Base Schedules'!$A$205:$AW$241,25,FALSE)="","",VLOOKUP(Wed_W2[[#This Row],[Employee Name]],'Base Schedules'!$A$205:$AW$241,25,FALSE)),"")</f>
        <v>ADM</v>
      </c>
      <c r="AA15" s="184" t="str">
        <f>IFERROR(IF(VLOOKUP(Wed_W2[[#This Row],[Employee Name]],'Base Schedules'!$A$205:$AW$241,26,FALSE)="","",VLOOKUP(Wed_W2[[#This Row],[Employee Name]],'Base Schedules'!$A$205:$AW$241,26,FALSE)),"")</f>
        <v>ADM</v>
      </c>
      <c r="AB15" s="184" t="str">
        <f>IFERROR(IF(VLOOKUP(Wed_W2[[#This Row],[Employee Name]],'Base Schedules'!$A$205:$AW$241,27,FALSE)="","",VLOOKUP(Wed_W2[[#This Row],[Employee Name]],'Base Schedules'!$A$205:$AW$241,27,FALSE)),"")</f>
        <v>ADM</v>
      </c>
      <c r="AC15" s="184" t="str">
        <f>IFERROR(IF(VLOOKUP(Wed_W2[[#This Row],[Employee Name]],'Base Schedules'!$A$205:$AW$241,28,FALSE)="","",VLOOKUP(Wed_W2[[#This Row],[Employee Name]],'Base Schedules'!$A$205:$AW$241,28,FALSE)),"")</f>
        <v/>
      </c>
      <c r="AD15" s="184" t="str">
        <f>IFERROR(IF(VLOOKUP(Wed_W2[[#This Row],[Employee Name]],'Base Schedules'!$A$205:$AW$241,29,FALSE)="","",VLOOKUP(Wed_W2[[#This Row],[Employee Name]],'Base Schedules'!$A$205:$AW$241,29,FALSE)),"")</f>
        <v/>
      </c>
      <c r="AE15" s="184" t="str">
        <f>IFERROR(IF(VLOOKUP(Wed_W2[[#This Row],[Employee Name]],'Base Schedules'!$A$205:$AW$241,30,FALSE)="","",VLOOKUP(Wed_W2[[#This Row],[Employee Name]],'Base Schedules'!$A$205:$AW$241,30,FALSE)),"")</f>
        <v/>
      </c>
      <c r="AF15" s="184" t="str">
        <f>IFERROR(IF(VLOOKUP(Wed_W2[[#This Row],[Employee Name]],'Base Schedules'!$A$205:$AW$241,31,FALSE)="","",VLOOKUP(Wed_W2[[#This Row],[Employee Name]],'Base Schedules'!$A$205:$AW$241,31,FALSE)),"")</f>
        <v/>
      </c>
      <c r="AG15" s="184" t="str">
        <f>IFERROR(IF(VLOOKUP(Wed_W2[[#This Row],[Employee Name]],'Base Schedules'!$A$205:$AW$241,32,FALSE)="","",VLOOKUP(Wed_W2[[#This Row],[Employee Name]],'Base Schedules'!$A$205:$AW$241,32,FALSE)),"")</f>
        <v/>
      </c>
      <c r="AH15" s="184" t="str">
        <f>IFERROR(IF(VLOOKUP(Wed_W2[[#This Row],[Employee Name]],'Base Schedules'!$A$205:$AW$241,33,FALSE)="","",VLOOKUP(Wed_W2[[#This Row],[Employee Name]],'Base Schedules'!$A$205:$AW$241,33,FALSE)),"")</f>
        <v/>
      </c>
      <c r="AI15" s="184" t="str">
        <f>IFERROR(IF(VLOOKUP(Wed_W2[[#This Row],[Employee Name]],'Base Schedules'!$A$205:$AW$241,34,FALSE)="","",VLOOKUP(Wed_W2[[#This Row],[Employee Name]],'Base Schedules'!$A$205:$AW$241,34,FALSE)),"")</f>
        <v/>
      </c>
      <c r="AJ15" s="184" t="str">
        <f>IFERROR(IF(VLOOKUP(Wed_W2[[#This Row],[Employee Name]],'Base Schedules'!$A$205:$AW$241,35,FALSE)="","",VLOOKUP(Wed_W2[[#This Row],[Employee Name]],'Base Schedules'!$A$205:$AW$241,35,FALSE)),"")</f>
        <v/>
      </c>
      <c r="AK15" s="184" t="str">
        <f>IFERROR(IF(VLOOKUP(Wed_W2[[#This Row],[Employee Name]],'Base Schedules'!$A$205:$AW$241,36,FALSE)="","",VLOOKUP(Wed_W2[[#This Row],[Employee Name]],'Base Schedules'!$A$205:$AW$241,36,FALSE)),"")</f>
        <v/>
      </c>
      <c r="AL15" s="184" t="str">
        <f>IFERROR(IF(VLOOKUP(Wed_W2[[#This Row],[Employee Name]],'Base Schedules'!$A$205:$AW$241,37,FALSE)="","",VLOOKUP(Wed_W2[[#This Row],[Employee Name]],'Base Schedules'!$A$205:$AW$241,37,FALSE)),"")</f>
        <v/>
      </c>
      <c r="AM15" s="184" t="str">
        <f>IFERROR(IF(VLOOKUP(Wed_W2[[#This Row],[Employee Name]],'Base Schedules'!$A$205:$AW$241,38,FALSE)="","",VLOOKUP(Wed_W2[[#This Row],[Employee Name]],'Base Schedules'!$A$205:$AW$241,38,FALSE)),"")</f>
        <v/>
      </c>
      <c r="AN15" s="184" t="str">
        <f>IFERROR(IF(VLOOKUP(Wed_W2[[#This Row],[Employee Name]],'Base Schedules'!$A$205:$AW$241,39,FALSE)="","",VLOOKUP(Wed_W2[[#This Row],[Employee Name]],'Base Schedules'!$A$205:$AW$241,39,FALSE)),"")</f>
        <v/>
      </c>
      <c r="AO15" s="184" t="str">
        <f>IFERROR(IF(VLOOKUP(Wed_W2[[#This Row],[Employee Name]],'Base Schedules'!$A$205:$AW$241,40,FALSE)="","",VLOOKUP(Wed_W2[[#This Row],[Employee Name]],'Base Schedules'!$A$205:$AW$241,40,FALSE)),"")</f>
        <v/>
      </c>
      <c r="AP15" s="184" t="str">
        <f>IFERROR(IF(VLOOKUP(Wed_W2[[#This Row],[Employee Name]],'Base Schedules'!$A$205:$AW$241,41,FALSE)="","",VLOOKUP(Wed_W2[[#This Row],[Employee Name]],'Base Schedules'!$A$205:$AW$241,41,FALSE)),"")</f>
        <v/>
      </c>
      <c r="AQ15" s="184" t="str">
        <f>IFERROR(IF(VLOOKUP(Wed_W2[[#This Row],[Employee Name]],'Base Schedules'!$A$205:$AW$241,42,FALSE)="","",VLOOKUP(Wed_W2[[#This Row],[Employee Name]],'Base Schedules'!$A$205:$AW$241,42,FALSE)),"")</f>
        <v/>
      </c>
      <c r="AR15" s="184" t="str">
        <f>IFERROR(IF(VLOOKUP(Wed_W2[[#This Row],[Employee Name]],'Base Schedules'!$A$205:$AW$241,43,FALSE)="","",VLOOKUP(Wed_W2[[#This Row],[Employee Name]],'Base Schedules'!$A$205:$AW$241,43,FALSE)),"")</f>
        <v/>
      </c>
      <c r="AS15" s="184" t="str">
        <f>IFERROR(IF(VLOOKUP(Wed_W2[[#This Row],[Employee Name]],'Base Schedules'!$A$205:$AW$241,44,FALSE)="","",VLOOKUP(Wed_W2[[#This Row],[Employee Name]],'Base Schedules'!$A$205:$AW$241,44,FALSE)),"")</f>
        <v/>
      </c>
      <c r="AT15" s="184" t="str">
        <f>IFERROR(IF(VLOOKUP(Wed_W2[[#This Row],[Employee Name]],'Base Schedules'!$A$205:$AW$241,45,FALSE)="","",VLOOKUP(Wed_W2[[#This Row],[Employee Name]],'Base Schedules'!$A$205:$AW$241,45,FALSE)),"")</f>
        <v/>
      </c>
      <c r="AU15" s="184" t="str">
        <f>IFERROR(IF(VLOOKUP(Wed_W2[[#This Row],[Employee Name]],'Base Schedules'!$A$205:$AW$241,46,FALSE)="","",VLOOKUP(Wed_W2[[#This Row],[Employee Name]],'Base Schedules'!$A$205:$AW$241,46,FALSE)),"")</f>
        <v/>
      </c>
      <c r="AV15" s="184" t="str">
        <f>IFERROR(IF(VLOOKUP(Wed_W2[[#This Row],[Employee Name]],'Base Schedules'!$A$205:$AW$241,47,FALSE)="","",VLOOKUP(Wed_W2[[#This Row],[Employee Name]],'Base Schedules'!$A$205:$AW$241,47,FALSE)),"")</f>
        <v/>
      </c>
      <c r="AW15" s="184" t="str">
        <f>IFERROR(IF(VLOOKUP(Wed_W2[[#This Row],[Employee Name]],'Base Schedules'!$A$205:$AW$241,48,FALSE)="","",VLOOKUP(Wed_W2[[#This Row],[Employee Name]],'Base Schedules'!$A$205:$AW$241,48,FALSE)),"")</f>
        <v/>
      </c>
      <c r="AX15" s="184" t="str">
        <f>IFERROR(IF(VLOOKUP(Wed_W2[[#This Row],[Employee Name]],'Base Schedules'!$A$205:$AW$241,49,FALSE)="","",VLOOKUP(Wed_W2[[#This Row],[Employee Name]],'Base Schedules'!$A$205:$AW$241,49,FALSE)),"")</f>
        <v/>
      </c>
      <c r="AY15" s="246" t="str">
        <f t="shared" si="2"/>
        <v>Albert, Christina</v>
      </c>
    </row>
    <row r="16" spans="1:51" s="44" customFormat="1" ht="12" customHeight="1" x14ac:dyDescent="0.2">
      <c r="A16" s="39" t="str">
        <f>IF(B16="","",INDEX(TeamList[],MATCH($B16,TeamList[[Employee Name]:[Employee Name]],0),MATCH("Manager",TeamList[#Headers],0)))</f>
        <v>Paulson, Matthew</v>
      </c>
      <c r="B16" s="201" t="s">
        <v>20</v>
      </c>
      <c r="C16" s="257" t="str">
        <f>_xlfn.IFNA(VLOOKUP(Wed_W2[[#This Row],[Employee Name]],'Base Schedules'!A:B,2,FALSE),"")</f>
        <v>Supervisor</v>
      </c>
      <c r="D16" s="274">
        <f>_xlfn.IFNA(VLOOKUP(Wed_W2[[#This Row],[Employee Name]],'Base Schedules'!A:C,3,FALSE),"")</f>
        <v>600</v>
      </c>
      <c r="E16" s="274">
        <f>_xlfn.IFNA(VLOOKUP(Wed_W2[[#This Row],[Employee Name]],'Base Schedules'!A:D,4,FALSE),"")</f>
        <v>1500</v>
      </c>
      <c r="F16" s="142">
        <f>IF(Wed_W2[[#This Row],[Employee Name]]="","",IF(Wed_W2[[#This Row],[Dept]]="Supervisor",COUNTIFS($J16:$AX16,"*HL*",$J16:$AX16,"&lt;&gt;"&amp;"pHL"),COUNTIFS($J16:$AX16,"*HL*",$J16:$AX16,"&lt;&gt;"&amp;"*pHL*",$J16:$AX16,"&lt;&gt;"&amp;"pB1 HL",$J16:$AX16,"&lt;&gt;"&amp;"pB2 HL")-SUM(COUNTIFS($J16:$AX16,"*HL B1*",$J16:$AX16,"&lt;&gt;"&amp;"pHL B1")*0.5,COUNTIFS($J16:$AX16,"*HL B2*",$J16:$AX16,"&lt;&gt;"&amp;"pHL B2")*0.5,COUNTIFS($J16:$AX16,"*B1 HL*",$J16:$AX16,"&lt;&gt;"&amp;"pB1 HL")*0.5,COUNTIFS($J16:$AX16,"*B2 HL*",$J16:$AX16,"&lt;&gt;"&amp;"pB2 HL")*0.5)))</f>
        <v>0</v>
      </c>
      <c r="G16" s="142">
        <f t="shared" si="0"/>
        <v>5</v>
      </c>
      <c r="H16" s="142">
        <f t="shared" si="1"/>
        <v>0</v>
      </c>
      <c r="I16" s="142">
        <f>IF(Wed_W2[[#This Row],[Employee Name]]="","",IF(Wed_W2[[#This Row],[Dept]]="Supervisor",SUM(COUNTIFS($J16:$AX16,"RTA*",$J16:$AX16,"&lt;&gt;"&amp;"pRTA"),COUNTIFS($J16:$AX16,"*CRTA*",$J16:$AX16,"&lt;&gt;"&amp;"pCRTA")),COUNTIFS($J16:$AX16,"*RNNR*",$J16:$AX16,"&lt;&gt;"&amp;"*pRNNR*",$J16:$AX16,"&lt;&gt;"&amp;"pB1 RNNR",$J16:$AX16,"&lt;&gt;"&amp;"pB2 RNNR")-SUM(COUNTIFS($J16:$AX16,"*RNNR B1*",$J16:$AX16,"&lt;&gt;"&amp;"pRNNR B1")*0.5,COUNTIFS($J16:$AX16,"*RNNR B2*",$J16:$AX16,"&lt;&gt;"&amp;"pRNNR B2")*0.5,COUNTIFS($J16:$AX16,"*B1 RNNR*",$J16:$AX16,"&lt;&gt;"&amp;"pB1 RNNR")*0.5,COUNTIFS($J16:$AX16,"*B2 RNNR*",$J16:$AX16,"&lt;&gt;"&amp;"pB2 RNNR")*0.5)))</f>
        <v>0</v>
      </c>
      <c r="J16" s="184" t="str">
        <f>IFERROR(IF(VLOOKUP(Wed_W2[[#This Row],[Employee Name]],'Base Schedules'!$A$205:$AW$241,9,FALSE)="","",VLOOKUP(Wed_W2[[#This Row],[Employee Name]],'Base Schedules'!$A$205:$AW$241,9,FALSE)),"")</f>
        <v/>
      </c>
      <c r="K16" s="184" t="str">
        <f>IFERROR(IF(VLOOKUP(Wed_W2[[#This Row],[Employee Name]],'Base Schedules'!$A$205:$AW$241,10,FALSE)="","",VLOOKUP(Wed_W2[[#This Row],[Employee Name]],'Base Schedules'!$A$205:$AW$241,10,FALSE)),"")</f>
        <v/>
      </c>
      <c r="L16" s="184" t="str">
        <f>IFERROR(IF(VLOOKUP(Wed_W2[[#This Row],[Employee Name]],'Base Schedules'!$A$205:$AW$241,11,FALSE)="","",VLOOKUP(Wed_W2[[#This Row],[Employee Name]],'Base Schedules'!$A$205:$AW$241,11,FALSE)),"")</f>
        <v>-</v>
      </c>
      <c r="M16" s="184" t="str">
        <f>IFERROR(IF(VLOOKUP(Wed_W2[[#This Row],[Employee Name]],'Base Schedules'!$A$205:$AW$241,12,FALSE)="","",VLOOKUP(Wed_W2[[#This Row],[Employee Name]],'Base Schedules'!$A$205:$AW$241,12,FALSE)),"")</f>
        <v>-</v>
      </c>
      <c r="N16" s="184" t="str">
        <f>IFERROR(IF(VLOOKUP(Wed_W2[[#This Row],[Employee Name]],'Base Schedules'!$A$205:$AW$241,13,FALSE)="","",VLOOKUP(Wed_W2[[#This Row],[Employee Name]],'Base Schedules'!$A$205:$AW$241,13,FALSE)),"")</f>
        <v>-</v>
      </c>
      <c r="O16" s="184" t="str">
        <f>IFERROR(IF(VLOOKUP(Wed_W2[[#This Row],[Employee Name]],'Base Schedules'!$A$205:$AW$241,14,FALSE)="","",VLOOKUP(Wed_W2[[#This Row],[Employee Name]],'Base Schedules'!$A$205:$AW$241,14,FALSE)),"")</f>
        <v>-</v>
      </c>
      <c r="P16" s="184" t="str">
        <f>IFERROR(IF(VLOOKUP(Wed_W2[[#This Row],[Employee Name]],'Base Schedules'!$A$205:$AW$241,15,FALSE)="","",VLOOKUP(Wed_W2[[#This Row],[Employee Name]],'Base Schedules'!$A$205:$AW$241,15,FALSE)),"")</f>
        <v>Interview</v>
      </c>
      <c r="Q16" s="184" t="str">
        <f>IFERROR(IF(VLOOKUP(Wed_W2[[#This Row],[Employee Name]],'Base Schedules'!$A$205:$AW$241,16,FALSE)="","",VLOOKUP(Wed_W2[[#This Row],[Employee Name]],'Base Schedules'!$A$205:$AW$241,16,FALSE)),"")</f>
        <v>Interview</v>
      </c>
      <c r="R16" s="184" t="str">
        <f>IFERROR(IF(VLOOKUP(Wed_W2[[#This Row],[Employee Name]],'Base Schedules'!$A$205:$AW$241,17,FALSE)="","",VLOOKUP(Wed_W2[[#This Row],[Employee Name]],'Base Schedules'!$A$205:$AW$241,17,FALSE)),"")</f>
        <v>Coaching</v>
      </c>
      <c r="S16" s="184" t="str">
        <f>IFERROR(IF(VLOOKUP(Wed_W2[[#This Row],[Employee Name]],'Base Schedules'!$A$205:$AW$241,18,FALSE)="","",VLOOKUP(Wed_W2[[#This Row],[Employee Name]],'Base Schedules'!$A$205:$AW$241,18,FALSE)),"")</f>
        <v>Coaching</v>
      </c>
      <c r="T16" s="184" t="str">
        <f>IFERROR(IF(VLOOKUP(Wed_W2[[#This Row],[Employee Name]],'Base Schedules'!$A$205:$AW$241,19,FALSE)="","",VLOOKUP(Wed_W2[[#This Row],[Employee Name]],'Base Schedules'!$A$205:$AW$241,19,FALSE)),"")</f>
        <v>Coaching</v>
      </c>
      <c r="U16" s="184" t="str">
        <f>IFERROR(IF(VLOOKUP(Wed_W2[[#This Row],[Employee Name]],'Base Schedules'!$A$205:$AW$241,20,FALSE)="","",VLOOKUP(Wed_W2[[#This Row],[Employee Name]],'Base Schedules'!$A$205:$AW$241,20,FALSE)),"")</f>
        <v>Coaching</v>
      </c>
      <c r="V16" s="184" t="str">
        <f>IFERROR(IF(VLOOKUP(Wed_W2[[#This Row],[Employee Name]],'Base Schedules'!$A$205:$AW$241,21,FALSE)="","",VLOOKUP(Wed_W2[[#This Row],[Employee Name]],'Base Schedules'!$A$205:$AW$241,21,FALSE)),"")</f>
        <v>Coaching</v>
      </c>
      <c r="W16" s="184" t="str">
        <f>IFERROR(IF(VLOOKUP(Wed_W2[[#This Row],[Employee Name]],'Base Schedules'!$A$205:$AW$241,22,FALSE)="","",VLOOKUP(Wed_W2[[#This Row],[Employee Name]],'Base Schedules'!$A$205:$AW$241,22,FALSE)),"")</f>
        <v>-</v>
      </c>
      <c r="X16" s="184" t="str">
        <f>IFERROR(IF(VLOOKUP(Wed_W2[[#This Row],[Employee Name]],'Base Schedules'!$A$205:$AW$241,23,FALSE)="","",VLOOKUP(Wed_W2[[#This Row],[Employee Name]],'Base Schedules'!$A$205:$AW$241,23,FALSE)),"")</f>
        <v>-</v>
      </c>
      <c r="Y16" s="184" t="str">
        <f>IFERROR(IF(VLOOKUP(Wed_W2[[#This Row],[Employee Name]],'Base Schedules'!$A$205:$AW$241,24,FALSE)="","",VLOOKUP(Wed_W2[[#This Row],[Employee Name]],'Base Schedules'!$A$205:$AW$241,24,FALSE)),"")</f>
        <v>-</v>
      </c>
      <c r="Z16" s="184" t="str">
        <f>IFERROR(IF(VLOOKUP(Wed_W2[[#This Row],[Employee Name]],'Base Schedules'!$A$205:$AW$241,25,FALSE)="","",VLOOKUP(Wed_W2[[#This Row],[Employee Name]],'Base Schedules'!$A$205:$AW$241,25,FALSE)),"")</f>
        <v>-</v>
      </c>
      <c r="AA16" s="184" t="str">
        <f>IFERROR(IF(VLOOKUP(Wed_W2[[#This Row],[Employee Name]],'Base Schedules'!$A$205:$AW$241,26,FALSE)="","",VLOOKUP(Wed_W2[[#This Row],[Employee Name]],'Base Schedules'!$A$205:$AW$241,26,FALSE)),"")</f>
        <v>-</v>
      </c>
      <c r="AB16" s="184" t="str">
        <f>IFERROR(IF(VLOOKUP(Wed_W2[[#This Row],[Employee Name]],'Base Schedules'!$A$205:$AW$241,27,FALSE)="","",VLOOKUP(Wed_W2[[#This Row],[Employee Name]],'Base Schedules'!$A$205:$AW$241,27,FALSE)),"")</f>
        <v>-</v>
      </c>
      <c r="AC16" s="184" t="str">
        <f>IFERROR(IF(VLOOKUP(Wed_W2[[#This Row],[Employee Name]],'Base Schedules'!$A$205:$AW$241,28,FALSE)="","",VLOOKUP(Wed_W2[[#This Row],[Employee Name]],'Base Schedules'!$A$205:$AW$241,28,FALSE)),"")</f>
        <v>-</v>
      </c>
      <c r="AD16" s="184" t="str">
        <f>IFERROR(IF(VLOOKUP(Wed_W2[[#This Row],[Employee Name]],'Base Schedules'!$A$205:$AW$241,29,FALSE)="","",VLOOKUP(Wed_W2[[#This Row],[Employee Name]],'Base Schedules'!$A$205:$AW$241,29,FALSE)),"")</f>
        <v/>
      </c>
      <c r="AE16" s="184" t="str">
        <f>IFERROR(IF(VLOOKUP(Wed_W2[[#This Row],[Employee Name]],'Base Schedules'!$A$205:$AW$241,30,FALSE)="","",VLOOKUP(Wed_W2[[#This Row],[Employee Name]],'Base Schedules'!$A$205:$AW$241,30,FALSE)),"")</f>
        <v/>
      </c>
      <c r="AF16" s="184" t="str">
        <f>IFERROR(IF(VLOOKUP(Wed_W2[[#This Row],[Employee Name]],'Base Schedules'!$A$205:$AW$241,31,FALSE)="","",VLOOKUP(Wed_W2[[#This Row],[Employee Name]],'Base Schedules'!$A$205:$AW$241,31,FALSE)),"")</f>
        <v/>
      </c>
      <c r="AG16" s="184" t="str">
        <f>IFERROR(IF(VLOOKUP(Wed_W2[[#This Row],[Employee Name]],'Base Schedules'!$A$205:$AW$241,32,FALSE)="","",VLOOKUP(Wed_W2[[#This Row],[Employee Name]],'Base Schedules'!$A$205:$AW$241,32,FALSE)),"")</f>
        <v/>
      </c>
      <c r="AH16" s="184" t="str">
        <f>IFERROR(IF(VLOOKUP(Wed_W2[[#This Row],[Employee Name]],'Base Schedules'!$A$205:$AW$241,33,FALSE)="","",VLOOKUP(Wed_W2[[#This Row],[Employee Name]],'Base Schedules'!$A$205:$AW$241,33,FALSE)),"")</f>
        <v/>
      </c>
      <c r="AI16" s="184" t="str">
        <f>IFERROR(IF(VLOOKUP(Wed_W2[[#This Row],[Employee Name]],'Base Schedules'!$A$205:$AW$241,34,FALSE)="","",VLOOKUP(Wed_W2[[#This Row],[Employee Name]],'Base Schedules'!$A$205:$AW$241,34,FALSE)),"")</f>
        <v/>
      </c>
      <c r="AJ16" s="184" t="str">
        <f>IFERROR(IF(VLOOKUP(Wed_W2[[#This Row],[Employee Name]],'Base Schedules'!$A$205:$AW$241,35,FALSE)="","",VLOOKUP(Wed_W2[[#This Row],[Employee Name]],'Base Schedules'!$A$205:$AW$241,35,FALSE)),"")</f>
        <v/>
      </c>
      <c r="AK16" s="184" t="str">
        <f>IFERROR(IF(VLOOKUP(Wed_W2[[#This Row],[Employee Name]],'Base Schedules'!$A$205:$AW$241,36,FALSE)="","",VLOOKUP(Wed_W2[[#This Row],[Employee Name]],'Base Schedules'!$A$205:$AW$241,36,FALSE)),"")</f>
        <v/>
      </c>
      <c r="AL16" s="184" t="str">
        <f>IFERROR(IF(VLOOKUP(Wed_W2[[#This Row],[Employee Name]],'Base Schedules'!$A$205:$AW$241,37,FALSE)="","",VLOOKUP(Wed_W2[[#This Row],[Employee Name]],'Base Schedules'!$A$205:$AW$241,37,FALSE)),"")</f>
        <v/>
      </c>
      <c r="AM16" s="184" t="str">
        <f>IFERROR(IF(VLOOKUP(Wed_W2[[#This Row],[Employee Name]],'Base Schedules'!$A$205:$AW$241,38,FALSE)="","",VLOOKUP(Wed_W2[[#This Row],[Employee Name]],'Base Schedules'!$A$205:$AW$241,38,FALSE)),"")</f>
        <v/>
      </c>
      <c r="AN16" s="184" t="str">
        <f>IFERROR(IF(VLOOKUP(Wed_W2[[#This Row],[Employee Name]],'Base Schedules'!$A$205:$AW$241,39,FALSE)="","",VLOOKUP(Wed_W2[[#This Row],[Employee Name]],'Base Schedules'!$A$205:$AW$241,39,FALSE)),"")</f>
        <v/>
      </c>
      <c r="AO16" s="184" t="str">
        <f>IFERROR(IF(VLOOKUP(Wed_W2[[#This Row],[Employee Name]],'Base Schedules'!$A$205:$AW$241,40,FALSE)="","",VLOOKUP(Wed_W2[[#This Row],[Employee Name]],'Base Schedules'!$A$205:$AW$241,40,FALSE)),"")</f>
        <v/>
      </c>
      <c r="AP16" s="184" t="str">
        <f>IFERROR(IF(VLOOKUP(Wed_W2[[#This Row],[Employee Name]],'Base Schedules'!$A$205:$AW$241,41,FALSE)="","",VLOOKUP(Wed_W2[[#This Row],[Employee Name]],'Base Schedules'!$A$205:$AW$241,41,FALSE)),"")</f>
        <v/>
      </c>
      <c r="AQ16" s="184" t="str">
        <f>IFERROR(IF(VLOOKUP(Wed_W2[[#This Row],[Employee Name]],'Base Schedules'!$A$205:$AW$241,42,FALSE)="","",VLOOKUP(Wed_W2[[#This Row],[Employee Name]],'Base Schedules'!$A$205:$AW$241,42,FALSE)),"")</f>
        <v/>
      </c>
      <c r="AR16" s="184" t="str">
        <f>IFERROR(IF(VLOOKUP(Wed_W2[[#This Row],[Employee Name]],'Base Schedules'!$A$205:$AW$241,43,FALSE)="","",VLOOKUP(Wed_W2[[#This Row],[Employee Name]],'Base Schedules'!$A$205:$AW$241,43,FALSE)),"")</f>
        <v/>
      </c>
      <c r="AS16" s="184" t="str">
        <f>IFERROR(IF(VLOOKUP(Wed_W2[[#This Row],[Employee Name]],'Base Schedules'!$A$205:$AW$241,44,FALSE)="","",VLOOKUP(Wed_W2[[#This Row],[Employee Name]],'Base Schedules'!$A$205:$AW$241,44,FALSE)),"")</f>
        <v/>
      </c>
      <c r="AT16" s="184" t="str">
        <f>IFERROR(IF(VLOOKUP(Wed_W2[[#This Row],[Employee Name]],'Base Schedules'!$A$205:$AW$241,45,FALSE)="","",VLOOKUP(Wed_W2[[#This Row],[Employee Name]],'Base Schedules'!$A$205:$AW$241,45,FALSE)),"")</f>
        <v/>
      </c>
      <c r="AU16" s="184" t="str">
        <f>IFERROR(IF(VLOOKUP(Wed_W2[[#This Row],[Employee Name]],'Base Schedules'!$A$205:$AW$241,46,FALSE)="","",VLOOKUP(Wed_W2[[#This Row],[Employee Name]],'Base Schedules'!$A$205:$AW$241,46,FALSE)),"")</f>
        <v/>
      </c>
      <c r="AV16" s="184" t="str">
        <f>IFERROR(IF(VLOOKUP(Wed_W2[[#This Row],[Employee Name]],'Base Schedules'!$A$205:$AW$241,47,FALSE)="","",VLOOKUP(Wed_W2[[#This Row],[Employee Name]],'Base Schedules'!$A$205:$AW$241,47,FALSE)),"")</f>
        <v/>
      </c>
      <c r="AW16" s="184" t="str">
        <f>IFERROR(IF(VLOOKUP(Wed_W2[[#This Row],[Employee Name]],'Base Schedules'!$A$205:$AW$241,48,FALSE)="","",VLOOKUP(Wed_W2[[#This Row],[Employee Name]],'Base Schedules'!$A$205:$AW$241,48,FALSE)),"")</f>
        <v/>
      </c>
      <c r="AX16" s="184" t="str">
        <f>IFERROR(IF(VLOOKUP(Wed_W2[[#This Row],[Employee Name]],'Base Schedules'!$A$205:$AW$241,49,FALSE)="","",VLOOKUP(Wed_W2[[#This Row],[Employee Name]],'Base Schedules'!$A$205:$AW$241,49,FALSE)),"")</f>
        <v/>
      </c>
      <c r="AY16" s="245" t="str">
        <f t="shared" si="2"/>
        <v>Germony, June</v>
      </c>
    </row>
    <row r="17" spans="1:51" s="44" customFormat="1" ht="12" customHeight="1" x14ac:dyDescent="0.2">
      <c r="A17" s="39" t="str">
        <f>IF(B17="","",INDEX(TeamList[],MATCH($B17,TeamList[[Employee Name]:[Employee Name]],0),MATCH("Manager",TeamList[#Headers],0)))</f>
        <v>Ahmed Hassan, Zahra</v>
      </c>
      <c r="B17" s="201" t="s">
        <v>51</v>
      </c>
      <c r="C17" s="257" t="str">
        <f>_xlfn.IFNA(VLOOKUP(Wed_W2[[#This Row],[Employee Name]],'Base Schedules'!A:B,2,FALSE),"")</f>
        <v>Supervisor</v>
      </c>
      <c r="D17" s="274">
        <f>_xlfn.IFNA(VLOOKUP(Wed_W2[[#This Row],[Employee Name]],'Base Schedules'!A:C,3,FALSE),"")</f>
        <v>700</v>
      </c>
      <c r="E17" s="274">
        <f>_xlfn.IFNA(VLOOKUP(Wed_W2[[#This Row],[Employee Name]],'Base Schedules'!A:D,4,FALSE),"")</f>
        <v>1600</v>
      </c>
      <c r="F17" s="142">
        <f>IF(Wed_W2[[#This Row],[Employee Name]]="","",IF(Wed_W2[[#This Row],[Dept]]="Supervisor",COUNTIFS($J17:$AX17,"*HL*",$J17:$AX17,"&lt;&gt;"&amp;"pHL"),COUNTIFS($J17:$AX17,"*HL*",$J17:$AX17,"&lt;&gt;"&amp;"*pHL*",$J17:$AX17,"&lt;&gt;"&amp;"pB1 HL",$J17:$AX17,"&lt;&gt;"&amp;"pB2 HL")-SUM(COUNTIFS($J17:$AX17,"*HL B1*",$J17:$AX17,"&lt;&gt;"&amp;"pHL B1")*0.5,COUNTIFS($J17:$AX17,"*HL B2*",$J17:$AX17,"&lt;&gt;"&amp;"pHL B2")*0.5,COUNTIFS($J17:$AX17,"*B1 HL*",$J17:$AX17,"&lt;&gt;"&amp;"pB1 HL")*0.5,COUNTIFS($J17:$AX17,"*B2 HL*",$J17:$AX17,"&lt;&gt;"&amp;"pB2 HL")*0.5)))</f>
        <v>0</v>
      </c>
      <c r="G17" s="142">
        <f t="shared" si="0"/>
        <v>4</v>
      </c>
      <c r="H17" s="142">
        <f t="shared" si="1"/>
        <v>0</v>
      </c>
      <c r="I17" s="142">
        <f>IF(Wed_W2[[#This Row],[Employee Name]]="","",IF(Wed_W2[[#This Row],[Dept]]="Supervisor",SUM(COUNTIFS($J17:$AX17,"RTA*",$J17:$AX17,"&lt;&gt;"&amp;"pRTA"),COUNTIFS($J17:$AX17,"*CRTA*",$J17:$AX17,"&lt;&gt;"&amp;"pCRTA")),COUNTIFS($J17:$AX17,"*RNNR*",$J17:$AX17,"&lt;&gt;"&amp;"*pRNNR*",$J17:$AX17,"&lt;&gt;"&amp;"pB1 RNNR",$J17:$AX17,"&lt;&gt;"&amp;"pB2 RNNR")-SUM(COUNTIFS($J17:$AX17,"*RNNR B1*",$J17:$AX17,"&lt;&gt;"&amp;"pRNNR B1")*0.5,COUNTIFS($J17:$AX17,"*RNNR B2*",$J17:$AX17,"&lt;&gt;"&amp;"pRNNR B2")*0.5,COUNTIFS($J17:$AX17,"*B1 RNNR*",$J17:$AX17,"&lt;&gt;"&amp;"pB1 RNNR")*0.5,COUNTIFS($J17:$AX17,"*B2 RNNR*",$J17:$AX17,"&lt;&gt;"&amp;"pB2 RNNR")*0.5)))</f>
        <v>0</v>
      </c>
      <c r="J17" s="184" t="str">
        <f>IFERROR(IF(VLOOKUP(Wed_W2[[#This Row],[Employee Name]],'Base Schedules'!$A$205:$AW$241,9,FALSE)="","",VLOOKUP(Wed_W2[[#This Row],[Employee Name]],'Base Schedules'!$A$205:$AW$241,9,FALSE)),"")</f>
        <v/>
      </c>
      <c r="K17" s="184" t="str">
        <f>IFERROR(IF(VLOOKUP(Wed_W2[[#This Row],[Employee Name]],'Base Schedules'!$A$205:$AW$241,10,FALSE)="","",VLOOKUP(Wed_W2[[#This Row],[Employee Name]],'Base Schedules'!$A$205:$AW$241,10,FALSE)),"")</f>
        <v/>
      </c>
      <c r="L17" s="184" t="str">
        <f>IFERROR(IF(VLOOKUP(Wed_W2[[#This Row],[Employee Name]],'Base Schedules'!$A$205:$AW$241,11,FALSE)="","",VLOOKUP(Wed_W2[[#This Row],[Employee Name]],'Base Schedules'!$A$205:$AW$241,11,FALSE)),"")</f>
        <v/>
      </c>
      <c r="M17" s="184" t="str">
        <f>IFERROR(IF(VLOOKUP(Wed_W2[[#This Row],[Employee Name]],'Base Schedules'!$A$205:$AW$241,12,FALSE)="","",VLOOKUP(Wed_W2[[#This Row],[Employee Name]],'Base Schedules'!$A$205:$AW$241,12,FALSE)),"")</f>
        <v/>
      </c>
      <c r="N17" s="184" t="str">
        <f>IFERROR(IF(VLOOKUP(Wed_W2[[#This Row],[Employee Name]],'Base Schedules'!$A$205:$AW$241,13,FALSE)="","",VLOOKUP(Wed_W2[[#This Row],[Employee Name]],'Base Schedules'!$A$205:$AW$241,13,FALSE)),"")</f>
        <v>-</v>
      </c>
      <c r="O17" s="184" t="str">
        <f>IFERROR(IF(VLOOKUP(Wed_W2[[#This Row],[Employee Name]],'Base Schedules'!$A$205:$AW$241,14,FALSE)="","",VLOOKUP(Wed_W2[[#This Row],[Employee Name]],'Base Schedules'!$A$205:$AW$241,14,FALSE)),"")</f>
        <v>-</v>
      </c>
      <c r="P17" s="184" t="str">
        <f>IFERROR(IF(VLOOKUP(Wed_W2[[#This Row],[Employee Name]],'Base Schedules'!$A$205:$AW$241,15,FALSE)="","",VLOOKUP(Wed_W2[[#This Row],[Employee Name]],'Base Schedules'!$A$205:$AW$241,15,FALSE)),"")</f>
        <v>-</v>
      </c>
      <c r="Q17" s="184" t="str">
        <f>IFERROR(IF(VLOOKUP(Wed_W2[[#This Row],[Employee Name]],'Base Schedules'!$A$205:$AW$241,16,FALSE)="","",VLOOKUP(Wed_W2[[#This Row],[Employee Name]],'Base Schedules'!$A$205:$AW$241,16,FALSE)),"")</f>
        <v>-</v>
      </c>
      <c r="R17" s="184" t="str">
        <f>IFERROR(IF(VLOOKUP(Wed_W2[[#This Row],[Employee Name]],'Base Schedules'!$A$205:$AW$241,17,FALSE)="","",VLOOKUP(Wed_W2[[#This Row],[Employee Name]],'Base Schedules'!$A$205:$AW$241,17,FALSE)),"")</f>
        <v>Interview</v>
      </c>
      <c r="S17" s="184" t="str">
        <f>IFERROR(IF(VLOOKUP(Wed_W2[[#This Row],[Employee Name]],'Base Schedules'!$A$205:$AW$241,18,FALSE)="","",VLOOKUP(Wed_W2[[#This Row],[Employee Name]],'Base Schedules'!$A$205:$AW$241,18,FALSE)),"")</f>
        <v>Interview</v>
      </c>
      <c r="T17" s="184" t="str">
        <f>IFERROR(IF(VLOOKUP(Wed_W2[[#This Row],[Employee Name]],'Base Schedules'!$A$205:$AW$241,19,FALSE)="","",VLOOKUP(Wed_W2[[#This Row],[Employee Name]],'Base Schedules'!$A$205:$AW$241,19,FALSE)),"")</f>
        <v>-</v>
      </c>
      <c r="U17" s="184" t="str">
        <f>IFERROR(IF(VLOOKUP(Wed_W2[[#This Row],[Employee Name]],'Base Schedules'!$A$205:$AW$241,20,FALSE)="","",VLOOKUP(Wed_W2[[#This Row],[Employee Name]],'Base Schedules'!$A$205:$AW$241,20,FALSE)),"")</f>
        <v>-</v>
      </c>
      <c r="V17" s="184" t="str">
        <f>IFERROR(IF(VLOOKUP(Wed_W2[[#This Row],[Employee Name]],'Base Schedules'!$A$205:$AW$241,21,FALSE)="","",VLOOKUP(Wed_W2[[#This Row],[Employee Name]],'Base Schedules'!$A$205:$AW$241,21,FALSE)),"")</f>
        <v>Coaching</v>
      </c>
      <c r="W17" s="184" t="str">
        <f>IFERROR(IF(VLOOKUP(Wed_W2[[#This Row],[Employee Name]],'Base Schedules'!$A$205:$AW$241,22,FALSE)="","",VLOOKUP(Wed_W2[[#This Row],[Employee Name]],'Base Schedules'!$A$205:$AW$241,22,FALSE)),"")</f>
        <v>Coaching</v>
      </c>
      <c r="X17" s="184" t="str">
        <f>IFERROR(IF(VLOOKUP(Wed_W2[[#This Row],[Employee Name]],'Base Schedules'!$A$205:$AW$241,23,FALSE)="","",VLOOKUP(Wed_W2[[#This Row],[Employee Name]],'Base Schedules'!$A$205:$AW$241,23,FALSE)),"")</f>
        <v>Coaching</v>
      </c>
      <c r="Y17" s="184" t="str">
        <f>IFERROR(IF(VLOOKUP(Wed_W2[[#This Row],[Employee Name]],'Base Schedules'!$A$205:$AW$241,24,FALSE)="","",VLOOKUP(Wed_W2[[#This Row],[Employee Name]],'Base Schedules'!$A$205:$AW$241,24,FALSE)),"")</f>
        <v>Coaching</v>
      </c>
      <c r="Z17" s="184" t="str">
        <f>IFERROR(IF(VLOOKUP(Wed_W2[[#This Row],[Employee Name]],'Base Schedules'!$A$205:$AW$241,25,FALSE)="","",VLOOKUP(Wed_W2[[#This Row],[Employee Name]],'Base Schedules'!$A$205:$AW$241,25,FALSE)),"")</f>
        <v>-</v>
      </c>
      <c r="AA17" s="184" t="str">
        <f>IFERROR(IF(VLOOKUP(Wed_W2[[#This Row],[Employee Name]],'Base Schedules'!$A$205:$AW$241,26,FALSE)="","",VLOOKUP(Wed_W2[[#This Row],[Employee Name]],'Base Schedules'!$A$205:$AW$241,26,FALSE)),"")</f>
        <v>TM PREP</v>
      </c>
      <c r="AB17" s="184" t="str">
        <f>IFERROR(IF(VLOOKUP(Wed_W2[[#This Row],[Employee Name]],'Base Schedules'!$A$205:$AW$241,27,FALSE)="","",VLOOKUP(Wed_W2[[#This Row],[Employee Name]],'Base Schedules'!$A$205:$AW$241,27,FALSE)),"")</f>
        <v>MARTIN TM</v>
      </c>
      <c r="AC17" s="184" t="str">
        <f>IFERROR(IF(VLOOKUP(Wed_W2[[#This Row],[Employee Name]],'Base Schedules'!$A$205:$AW$241,28,FALSE)="","",VLOOKUP(Wed_W2[[#This Row],[Employee Name]],'Base Schedules'!$A$205:$AW$241,28,FALSE)),"")</f>
        <v>MARTIN TM</v>
      </c>
      <c r="AD17" s="184" t="str">
        <f>IFERROR(IF(VLOOKUP(Wed_W2[[#This Row],[Employee Name]],'Base Schedules'!$A$205:$AW$241,29,FALSE)="","",VLOOKUP(Wed_W2[[#This Row],[Employee Name]],'Base Schedules'!$A$205:$AW$241,29,FALSE)),"")</f>
        <v>-</v>
      </c>
      <c r="AE17" s="184" t="str">
        <f>IFERROR(IF(VLOOKUP(Wed_W2[[#This Row],[Employee Name]],'Base Schedules'!$A$205:$AW$241,30,FALSE)="","",VLOOKUP(Wed_W2[[#This Row],[Employee Name]],'Base Schedules'!$A$205:$AW$241,30,FALSE)),"")</f>
        <v>-</v>
      </c>
      <c r="AF17" s="184" t="str">
        <f>IFERROR(IF(VLOOKUP(Wed_W2[[#This Row],[Employee Name]],'Base Schedules'!$A$205:$AW$241,31,FALSE)="","",VLOOKUP(Wed_W2[[#This Row],[Employee Name]],'Base Schedules'!$A$205:$AW$241,31,FALSE)),"")</f>
        <v/>
      </c>
      <c r="AG17" s="184" t="str">
        <f>IFERROR(IF(VLOOKUP(Wed_W2[[#This Row],[Employee Name]],'Base Schedules'!$A$205:$AW$241,32,FALSE)="","",VLOOKUP(Wed_W2[[#This Row],[Employee Name]],'Base Schedules'!$A$205:$AW$241,32,FALSE)),"")</f>
        <v/>
      </c>
      <c r="AH17" s="184" t="str">
        <f>IFERROR(IF(VLOOKUP(Wed_W2[[#This Row],[Employee Name]],'Base Schedules'!$A$205:$AW$241,33,FALSE)="","",VLOOKUP(Wed_W2[[#This Row],[Employee Name]],'Base Schedules'!$A$205:$AW$241,33,FALSE)),"")</f>
        <v/>
      </c>
      <c r="AI17" s="184" t="str">
        <f>IFERROR(IF(VLOOKUP(Wed_W2[[#This Row],[Employee Name]],'Base Schedules'!$A$205:$AW$241,34,FALSE)="","",VLOOKUP(Wed_W2[[#This Row],[Employee Name]],'Base Schedules'!$A$205:$AW$241,34,FALSE)),"")</f>
        <v/>
      </c>
      <c r="AJ17" s="184" t="str">
        <f>IFERROR(IF(VLOOKUP(Wed_W2[[#This Row],[Employee Name]],'Base Schedules'!$A$205:$AW$241,35,FALSE)="","",VLOOKUP(Wed_W2[[#This Row],[Employee Name]],'Base Schedules'!$A$205:$AW$241,35,FALSE)),"")</f>
        <v/>
      </c>
      <c r="AK17" s="184" t="str">
        <f>IFERROR(IF(VLOOKUP(Wed_W2[[#This Row],[Employee Name]],'Base Schedules'!$A$205:$AW$241,36,FALSE)="","",VLOOKUP(Wed_W2[[#This Row],[Employee Name]],'Base Schedules'!$A$205:$AW$241,36,FALSE)),"")</f>
        <v/>
      </c>
      <c r="AL17" s="184" t="str">
        <f>IFERROR(IF(VLOOKUP(Wed_W2[[#This Row],[Employee Name]],'Base Schedules'!$A$205:$AW$241,37,FALSE)="","",VLOOKUP(Wed_W2[[#This Row],[Employee Name]],'Base Schedules'!$A$205:$AW$241,37,FALSE)),"")</f>
        <v/>
      </c>
      <c r="AM17" s="184" t="str">
        <f>IFERROR(IF(VLOOKUP(Wed_W2[[#This Row],[Employee Name]],'Base Schedules'!$A$205:$AW$241,38,FALSE)="","",VLOOKUP(Wed_W2[[#This Row],[Employee Name]],'Base Schedules'!$A$205:$AW$241,38,FALSE)),"")</f>
        <v/>
      </c>
      <c r="AN17" s="184" t="str">
        <f>IFERROR(IF(VLOOKUP(Wed_W2[[#This Row],[Employee Name]],'Base Schedules'!$A$205:$AW$241,39,FALSE)="","",VLOOKUP(Wed_W2[[#This Row],[Employee Name]],'Base Schedules'!$A$205:$AW$241,39,FALSE)),"")</f>
        <v/>
      </c>
      <c r="AO17" s="184" t="str">
        <f>IFERROR(IF(VLOOKUP(Wed_W2[[#This Row],[Employee Name]],'Base Schedules'!$A$205:$AW$241,40,FALSE)="","",VLOOKUP(Wed_W2[[#This Row],[Employee Name]],'Base Schedules'!$A$205:$AW$241,40,FALSE)),"")</f>
        <v/>
      </c>
      <c r="AP17" s="184" t="str">
        <f>IFERROR(IF(VLOOKUP(Wed_W2[[#This Row],[Employee Name]],'Base Schedules'!$A$205:$AW$241,41,FALSE)="","",VLOOKUP(Wed_W2[[#This Row],[Employee Name]],'Base Schedules'!$A$205:$AW$241,41,FALSE)),"")</f>
        <v/>
      </c>
      <c r="AQ17" s="184" t="str">
        <f>IFERROR(IF(VLOOKUP(Wed_W2[[#This Row],[Employee Name]],'Base Schedules'!$A$205:$AW$241,42,FALSE)="","",VLOOKUP(Wed_W2[[#This Row],[Employee Name]],'Base Schedules'!$A$205:$AW$241,42,FALSE)),"")</f>
        <v/>
      </c>
      <c r="AR17" s="184" t="str">
        <f>IFERROR(IF(VLOOKUP(Wed_W2[[#This Row],[Employee Name]],'Base Schedules'!$A$205:$AW$241,43,FALSE)="","",VLOOKUP(Wed_W2[[#This Row],[Employee Name]],'Base Schedules'!$A$205:$AW$241,43,FALSE)),"")</f>
        <v/>
      </c>
      <c r="AS17" s="184" t="str">
        <f>IFERROR(IF(VLOOKUP(Wed_W2[[#This Row],[Employee Name]],'Base Schedules'!$A$205:$AW$241,44,FALSE)="","",VLOOKUP(Wed_W2[[#This Row],[Employee Name]],'Base Schedules'!$A$205:$AW$241,44,FALSE)),"")</f>
        <v/>
      </c>
      <c r="AT17" s="184" t="str">
        <f>IFERROR(IF(VLOOKUP(Wed_W2[[#This Row],[Employee Name]],'Base Schedules'!$A$205:$AW$241,45,FALSE)="","",VLOOKUP(Wed_W2[[#This Row],[Employee Name]],'Base Schedules'!$A$205:$AW$241,45,FALSE)),"")</f>
        <v/>
      </c>
      <c r="AU17" s="184" t="str">
        <f>IFERROR(IF(VLOOKUP(Wed_W2[[#This Row],[Employee Name]],'Base Schedules'!$A$205:$AW$241,46,FALSE)="","",VLOOKUP(Wed_W2[[#This Row],[Employee Name]],'Base Schedules'!$A$205:$AW$241,46,FALSE)),"")</f>
        <v/>
      </c>
      <c r="AV17" s="184" t="str">
        <f>IFERROR(IF(VLOOKUP(Wed_W2[[#This Row],[Employee Name]],'Base Schedules'!$A$205:$AW$241,47,FALSE)="","",VLOOKUP(Wed_W2[[#This Row],[Employee Name]],'Base Schedules'!$A$205:$AW$241,47,FALSE)),"")</f>
        <v/>
      </c>
      <c r="AW17" s="184" t="str">
        <f>IFERROR(IF(VLOOKUP(Wed_W2[[#This Row],[Employee Name]],'Base Schedules'!$A$205:$AW$241,48,FALSE)="","",VLOOKUP(Wed_W2[[#This Row],[Employee Name]],'Base Schedules'!$A$205:$AW$241,48,FALSE)),"")</f>
        <v/>
      </c>
      <c r="AX17" s="184" t="str">
        <f>IFERROR(IF(VLOOKUP(Wed_W2[[#This Row],[Employee Name]],'Base Schedules'!$A$205:$AW$241,49,FALSE)="","",VLOOKUP(Wed_W2[[#This Row],[Employee Name]],'Base Schedules'!$A$205:$AW$241,49,FALSE)),"")</f>
        <v/>
      </c>
      <c r="AY17" s="246" t="str">
        <f t="shared" si="2"/>
        <v>Martin, Gary</v>
      </c>
    </row>
    <row r="18" spans="1:51" s="44" customFormat="1" ht="12" customHeight="1" x14ac:dyDescent="0.2">
      <c r="A18" s="39" t="str">
        <f>IF(B18="","",INDEX(TeamList[],MATCH($B18,TeamList[[Employee Name]:[Employee Name]],0),MATCH("Manager",TeamList[#Headers],0)))</f>
        <v>Olson, Katherine</v>
      </c>
      <c r="B18" s="201" t="s">
        <v>237</v>
      </c>
      <c r="C18" s="257" t="str">
        <f>_xlfn.IFNA(VLOOKUP(Wed_W2[[#This Row],[Employee Name]],'Base Schedules'!A:B,2,FALSE),"")</f>
        <v>Lead</v>
      </c>
      <c r="D18" s="274">
        <f>_xlfn.IFNA(VLOOKUP(Wed_W2[[#This Row],[Employee Name]],'Base Schedules'!A:C,3,FALSE),"")</f>
        <v>730</v>
      </c>
      <c r="E18" s="274">
        <f>_xlfn.IFNA(VLOOKUP(Wed_W2[[#This Row],[Employee Name]],'Base Schedules'!A:D,4,FALSE),"")</f>
        <v>1600</v>
      </c>
      <c r="F18" s="142">
        <f>IF(Wed_W2[[#This Row],[Employee Name]]="","",IF(Wed_W2[[#This Row],[Dept]]="Supervisor",COUNTIFS($J18:$AX18,"*HL*",$J18:$AX18,"&lt;&gt;"&amp;"pHL"),COUNTIFS($J18:$AX18,"*HL*",$J18:$AX18,"&lt;&gt;"&amp;"*pHL*",$J18:$AX18,"&lt;&gt;"&amp;"pB1 HL",$J18:$AX18,"&lt;&gt;"&amp;"pB2 HL")-SUM(COUNTIFS($J18:$AX18,"*HL B1*",$J18:$AX18,"&lt;&gt;"&amp;"pHL B1")*0.5,COUNTIFS($J18:$AX18,"*HL B2*",$J18:$AX18,"&lt;&gt;"&amp;"pHL B2")*0.5,COUNTIFS($J18:$AX18,"*B1 HL*",$J18:$AX18,"&lt;&gt;"&amp;"pB1 HL")*0.5,COUNTIFS($J18:$AX18,"*B2 HL*",$J18:$AX18,"&lt;&gt;"&amp;"pB2 HL")*0.5)))</f>
        <v>7</v>
      </c>
      <c r="G18" s="142">
        <f t="shared" si="0"/>
        <v>0</v>
      </c>
      <c r="H18" s="142">
        <f t="shared" si="1"/>
        <v>7</v>
      </c>
      <c r="I18" s="142">
        <f>IF(Wed_W2[[#This Row],[Employee Name]]="","",IF(Wed_W2[[#This Row],[Dept]]="Supervisor",SUM(COUNTIFS($J18:$AX18,"RTA*",$J18:$AX18,"&lt;&gt;"&amp;"pRTA"),COUNTIFS($J18:$AX18,"*CRTA*",$J18:$AX18,"&lt;&gt;"&amp;"pCRTA")),COUNTIFS($J18:$AX18,"*RNNR*",$J18:$AX18,"&lt;&gt;"&amp;"*pRNNR*",$J18:$AX18,"&lt;&gt;"&amp;"pB1 RNNR",$J18:$AX18,"&lt;&gt;"&amp;"pB2 RNNR")-SUM(COUNTIFS($J18:$AX18,"*RNNR B1*",$J18:$AX18,"&lt;&gt;"&amp;"pRNNR B1")*0.5,COUNTIFS($J18:$AX18,"*RNNR B2*",$J18:$AX18,"&lt;&gt;"&amp;"pRNNR B2")*0.5,COUNTIFS($J18:$AX18,"*B1 RNNR*",$J18:$AX18,"&lt;&gt;"&amp;"pB1 RNNR")*0.5,COUNTIFS($J18:$AX18,"*B2 RNNR*",$J18:$AX18,"&lt;&gt;"&amp;"pB2 RNNR")*0.5)))</f>
        <v>2</v>
      </c>
      <c r="J18" s="184" t="str">
        <f>IFERROR(IF(VLOOKUP(Wed_W2[[#This Row],[Employee Name]],'Base Schedules'!$A$205:$AW$241,9,FALSE)="","",VLOOKUP(Wed_W2[[#This Row],[Employee Name]],'Base Schedules'!$A$205:$AW$241,9,FALSE)),"")</f>
        <v/>
      </c>
      <c r="K18" s="184" t="str">
        <f>IFERROR(IF(VLOOKUP(Wed_W2[[#This Row],[Employee Name]],'Base Schedules'!$A$205:$AW$241,10,FALSE)="","",VLOOKUP(Wed_W2[[#This Row],[Employee Name]],'Base Schedules'!$A$205:$AW$241,10,FALSE)),"")</f>
        <v/>
      </c>
      <c r="L18" s="184" t="str">
        <f>IFERROR(IF(VLOOKUP(Wed_W2[[#This Row],[Employee Name]],'Base Schedules'!$A$205:$AW$241,11,FALSE)="","",VLOOKUP(Wed_W2[[#This Row],[Employee Name]],'Base Schedules'!$A$205:$AW$241,11,FALSE)),"")</f>
        <v/>
      </c>
      <c r="M18" s="184" t="str">
        <f>IFERROR(IF(VLOOKUP(Wed_W2[[#This Row],[Employee Name]],'Base Schedules'!$A$205:$AW$241,12,FALSE)="","",VLOOKUP(Wed_W2[[#This Row],[Employee Name]],'Base Schedules'!$A$205:$AW$241,12,FALSE)),"")</f>
        <v/>
      </c>
      <c r="N18" s="184" t="str">
        <f>IFERROR(IF(VLOOKUP(Wed_W2[[#This Row],[Employee Name]],'Base Schedules'!$A$205:$AW$241,13,FALSE)="","",VLOOKUP(Wed_W2[[#This Row],[Employee Name]],'Base Schedules'!$A$205:$AW$241,13,FALSE)),"")</f>
        <v/>
      </c>
      <c r="O18" s="184" t="str">
        <f>IFERROR(IF(VLOOKUP(Wed_W2[[#This Row],[Employee Name]],'Base Schedules'!$A$205:$AW$241,14,FALSE)="","",VLOOKUP(Wed_W2[[#This Row],[Employee Name]],'Base Schedules'!$A$205:$AW$241,14,FALSE)),"")</f>
        <v>HL</v>
      </c>
      <c r="P18" s="184" t="str">
        <f>IFERROR(IF(VLOOKUP(Wed_W2[[#This Row],[Employee Name]],'Base Schedules'!$A$205:$AW$241,15,FALSE)="","",VLOOKUP(Wed_W2[[#This Row],[Employee Name]],'Base Schedules'!$A$205:$AW$241,15,FALSE)),"")</f>
        <v>HL</v>
      </c>
      <c r="Q18" s="184" t="str">
        <f>IFERROR(IF(VLOOKUP(Wed_W2[[#This Row],[Employee Name]],'Base Schedules'!$A$205:$AW$241,16,FALSE)="","",VLOOKUP(Wed_W2[[#This Row],[Employee Name]],'Base Schedules'!$A$205:$AW$241,16,FALSE)),"")</f>
        <v>ADM</v>
      </c>
      <c r="R18" s="184" t="str">
        <f>IFERROR(IF(VLOOKUP(Wed_W2[[#This Row],[Employee Name]],'Base Schedules'!$A$205:$AW$241,17,FALSE)="","",VLOOKUP(Wed_W2[[#This Row],[Employee Name]],'Base Schedules'!$A$205:$AW$241,17,FALSE)),"")</f>
        <v>ADM</v>
      </c>
      <c r="S18" s="184" t="str">
        <f>IFERROR(IF(VLOOKUP(Wed_W2[[#This Row],[Employee Name]],'Base Schedules'!$A$205:$AW$241,18,FALSE)="","",VLOOKUP(Wed_W2[[#This Row],[Employee Name]],'Base Schedules'!$A$205:$AW$241,18,FALSE)),"")</f>
        <v>B1 ADM</v>
      </c>
      <c r="T18" s="184" t="str">
        <f>IFERROR(IF(VLOOKUP(Wed_W2[[#This Row],[Employee Name]],'Base Schedules'!$A$205:$AW$241,19,FALSE)="","",VLOOKUP(Wed_W2[[#This Row],[Employee Name]],'Base Schedules'!$A$205:$AW$241,19,FALSE)),"")</f>
        <v>RNNR</v>
      </c>
      <c r="U18" s="184" t="str">
        <f>IFERROR(IF(VLOOKUP(Wed_W2[[#This Row],[Employee Name]],'Base Schedules'!$A$205:$AW$241,20,FALSE)="","",VLOOKUP(Wed_W2[[#This Row],[Employee Name]],'Base Schedules'!$A$205:$AW$241,20,FALSE)),"")</f>
        <v>RNNR</v>
      </c>
      <c r="V18" s="184" t="str">
        <f>IFERROR(IF(VLOOKUP(Wed_W2[[#This Row],[Employee Name]],'Base Schedules'!$A$205:$AW$241,21,FALSE)="","",VLOOKUP(Wed_W2[[#This Row],[Employee Name]],'Base Schedules'!$A$205:$AW$241,21,FALSE)),"")</f>
        <v>ADM</v>
      </c>
      <c r="W18" s="184" t="str">
        <f>IFERROR(IF(VLOOKUP(Wed_W2[[#This Row],[Employee Name]],'Base Schedules'!$A$205:$AW$241,22,FALSE)="","",VLOOKUP(Wed_W2[[#This Row],[Employee Name]],'Base Schedules'!$A$205:$AW$241,22,FALSE)),"")</f>
        <v>HL</v>
      </c>
      <c r="X18" s="184" t="str">
        <f>IFERROR(IF(VLOOKUP(Wed_W2[[#This Row],[Employee Name]],'Base Schedules'!$A$205:$AW$241,23,FALSE)="","",VLOOKUP(Wed_W2[[#This Row],[Employee Name]],'Base Schedules'!$A$205:$AW$241,23,FALSE)),"")</f>
        <v>LUNCH</v>
      </c>
      <c r="Y18" s="184" t="str">
        <f>IFERROR(IF(VLOOKUP(Wed_W2[[#This Row],[Employee Name]],'Base Schedules'!$A$205:$AW$241,24,FALSE)="","",VLOOKUP(Wed_W2[[#This Row],[Employee Name]],'Base Schedules'!$A$205:$AW$241,24,FALSE)),"")</f>
        <v>HL</v>
      </c>
      <c r="Z18" s="184" t="str">
        <f>IFERROR(IF(VLOOKUP(Wed_W2[[#This Row],[Employee Name]],'Base Schedules'!$A$205:$AW$241,25,FALSE)="","",VLOOKUP(Wed_W2[[#This Row],[Employee Name]],'Base Schedules'!$A$205:$AW$241,25,FALSE)),"")</f>
        <v>ADM</v>
      </c>
      <c r="AA18" s="184" t="str">
        <f>IFERROR(IF(VLOOKUP(Wed_W2[[#This Row],[Employee Name]],'Base Schedules'!$A$205:$AW$241,26,FALSE)="","",VLOOKUP(Wed_W2[[#This Row],[Employee Name]],'Base Schedules'!$A$205:$AW$241,26,FALSE)),"")</f>
        <v>ADM</v>
      </c>
      <c r="AB18" s="184" t="str">
        <f>IFERROR(IF(VLOOKUP(Wed_W2[[#This Row],[Employee Name]],'Base Schedules'!$A$205:$AW$241,27,FALSE)="","",VLOOKUP(Wed_W2[[#This Row],[Employee Name]],'Base Schedules'!$A$205:$AW$241,27,FALSE)),"")</f>
        <v>ADM B2</v>
      </c>
      <c r="AC18" s="184" t="str">
        <f>IFERROR(IF(VLOOKUP(Wed_W2[[#This Row],[Employee Name]],'Base Schedules'!$A$205:$AW$241,28,FALSE)="","",VLOOKUP(Wed_W2[[#This Row],[Employee Name]],'Base Schedules'!$A$205:$AW$241,28,FALSE)),"")</f>
        <v>HL</v>
      </c>
      <c r="AD18" s="184" t="str">
        <f>IFERROR(IF(VLOOKUP(Wed_W2[[#This Row],[Employee Name]],'Base Schedules'!$A$205:$AW$241,29,FALSE)="","",VLOOKUP(Wed_W2[[#This Row],[Employee Name]],'Base Schedules'!$A$205:$AW$241,29,FALSE)),"")</f>
        <v>HL</v>
      </c>
      <c r="AE18" s="184" t="str">
        <f>IFERROR(IF(VLOOKUP(Wed_W2[[#This Row],[Employee Name]],'Base Schedules'!$A$205:$AW$241,30,FALSE)="","",VLOOKUP(Wed_W2[[#This Row],[Employee Name]],'Base Schedules'!$A$205:$AW$241,30,FALSE)),"")</f>
        <v>HL</v>
      </c>
      <c r="AF18" s="184" t="str">
        <f>IFERROR(IF(VLOOKUP(Wed_W2[[#This Row],[Employee Name]],'Base Schedules'!$A$205:$AW$241,31,FALSE)="","",VLOOKUP(Wed_W2[[#This Row],[Employee Name]],'Base Schedules'!$A$205:$AW$241,31,FALSE)),"")</f>
        <v/>
      </c>
      <c r="AG18" s="184" t="str">
        <f>IFERROR(IF(VLOOKUP(Wed_W2[[#This Row],[Employee Name]],'Base Schedules'!$A$205:$AW$241,32,FALSE)="","",VLOOKUP(Wed_W2[[#This Row],[Employee Name]],'Base Schedules'!$A$205:$AW$241,32,FALSE)),"")</f>
        <v/>
      </c>
      <c r="AH18" s="184" t="str">
        <f>IFERROR(IF(VLOOKUP(Wed_W2[[#This Row],[Employee Name]],'Base Schedules'!$A$205:$AW$241,33,FALSE)="","",VLOOKUP(Wed_W2[[#This Row],[Employee Name]],'Base Schedules'!$A$205:$AW$241,33,FALSE)),"")</f>
        <v/>
      </c>
      <c r="AI18" s="184" t="str">
        <f>IFERROR(IF(VLOOKUP(Wed_W2[[#This Row],[Employee Name]],'Base Schedules'!$A$205:$AW$241,34,FALSE)="","",VLOOKUP(Wed_W2[[#This Row],[Employee Name]],'Base Schedules'!$A$205:$AW$241,34,FALSE)),"")</f>
        <v/>
      </c>
      <c r="AJ18" s="184" t="str">
        <f>IFERROR(IF(VLOOKUP(Wed_W2[[#This Row],[Employee Name]],'Base Schedules'!$A$205:$AW$241,35,FALSE)="","",VLOOKUP(Wed_W2[[#This Row],[Employee Name]],'Base Schedules'!$A$205:$AW$241,35,FALSE)),"")</f>
        <v/>
      </c>
      <c r="AK18" s="184" t="str">
        <f>IFERROR(IF(VLOOKUP(Wed_W2[[#This Row],[Employee Name]],'Base Schedules'!$A$205:$AW$241,36,FALSE)="","",VLOOKUP(Wed_W2[[#This Row],[Employee Name]],'Base Schedules'!$A$205:$AW$241,36,FALSE)),"")</f>
        <v/>
      </c>
      <c r="AL18" s="184" t="str">
        <f>IFERROR(IF(VLOOKUP(Wed_W2[[#This Row],[Employee Name]],'Base Schedules'!$A$205:$AW$241,37,FALSE)="","",VLOOKUP(Wed_W2[[#This Row],[Employee Name]],'Base Schedules'!$A$205:$AW$241,37,FALSE)),"")</f>
        <v/>
      </c>
      <c r="AM18" s="184" t="str">
        <f>IFERROR(IF(VLOOKUP(Wed_W2[[#This Row],[Employee Name]],'Base Schedules'!$A$205:$AW$241,38,FALSE)="","",VLOOKUP(Wed_W2[[#This Row],[Employee Name]],'Base Schedules'!$A$205:$AW$241,38,FALSE)),"")</f>
        <v/>
      </c>
      <c r="AN18" s="184" t="str">
        <f>IFERROR(IF(VLOOKUP(Wed_W2[[#This Row],[Employee Name]],'Base Schedules'!$A$205:$AW$241,39,FALSE)="","",VLOOKUP(Wed_W2[[#This Row],[Employee Name]],'Base Schedules'!$A$205:$AW$241,39,FALSE)),"")</f>
        <v/>
      </c>
      <c r="AO18" s="184" t="str">
        <f>IFERROR(IF(VLOOKUP(Wed_W2[[#This Row],[Employee Name]],'Base Schedules'!$A$205:$AW$241,40,FALSE)="","",VLOOKUP(Wed_W2[[#This Row],[Employee Name]],'Base Schedules'!$A$205:$AW$241,40,FALSE)),"")</f>
        <v/>
      </c>
      <c r="AP18" s="184" t="str">
        <f>IFERROR(IF(VLOOKUP(Wed_W2[[#This Row],[Employee Name]],'Base Schedules'!$A$205:$AW$241,41,FALSE)="","",VLOOKUP(Wed_W2[[#This Row],[Employee Name]],'Base Schedules'!$A$205:$AW$241,41,FALSE)),"")</f>
        <v/>
      </c>
      <c r="AQ18" s="184" t="str">
        <f>IFERROR(IF(VLOOKUP(Wed_W2[[#This Row],[Employee Name]],'Base Schedules'!$A$205:$AW$241,42,FALSE)="","",VLOOKUP(Wed_W2[[#This Row],[Employee Name]],'Base Schedules'!$A$205:$AW$241,42,FALSE)),"")</f>
        <v/>
      </c>
      <c r="AR18" s="184" t="str">
        <f>IFERROR(IF(VLOOKUP(Wed_W2[[#This Row],[Employee Name]],'Base Schedules'!$A$205:$AW$241,43,FALSE)="","",VLOOKUP(Wed_W2[[#This Row],[Employee Name]],'Base Schedules'!$A$205:$AW$241,43,FALSE)),"")</f>
        <v/>
      </c>
      <c r="AS18" s="184" t="str">
        <f>IFERROR(IF(VLOOKUP(Wed_W2[[#This Row],[Employee Name]],'Base Schedules'!$A$205:$AW$241,44,FALSE)="","",VLOOKUP(Wed_W2[[#This Row],[Employee Name]],'Base Schedules'!$A$205:$AW$241,44,FALSE)),"")</f>
        <v/>
      </c>
      <c r="AT18" s="184" t="str">
        <f>IFERROR(IF(VLOOKUP(Wed_W2[[#This Row],[Employee Name]],'Base Schedules'!$A$205:$AW$241,45,FALSE)="","",VLOOKUP(Wed_W2[[#This Row],[Employee Name]],'Base Schedules'!$A$205:$AW$241,45,FALSE)),"")</f>
        <v/>
      </c>
      <c r="AU18" s="184" t="str">
        <f>IFERROR(IF(VLOOKUP(Wed_W2[[#This Row],[Employee Name]],'Base Schedules'!$A$205:$AW$241,46,FALSE)="","",VLOOKUP(Wed_W2[[#This Row],[Employee Name]],'Base Schedules'!$A$205:$AW$241,46,FALSE)),"")</f>
        <v/>
      </c>
      <c r="AV18" s="184" t="str">
        <f>IFERROR(IF(VLOOKUP(Wed_W2[[#This Row],[Employee Name]],'Base Schedules'!$A$205:$AW$241,47,FALSE)="","",VLOOKUP(Wed_W2[[#This Row],[Employee Name]],'Base Schedules'!$A$205:$AW$241,47,FALSE)),"")</f>
        <v/>
      </c>
      <c r="AW18" s="184" t="str">
        <f>IFERROR(IF(VLOOKUP(Wed_W2[[#This Row],[Employee Name]],'Base Schedules'!$A$205:$AW$241,48,FALSE)="","",VLOOKUP(Wed_W2[[#This Row],[Employee Name]],'Base Schedules'!$A$205:$AW$241,48,FALSE)),"")</f>
        <v/>
      </c>
      <c r="AX18" s="184" t="str">
        <f>IFERROR(IF(VLOOKUP(Wed_W2[[#This Row],[Employee Name]],'Base Schedules'!$A$205:$AW$241,49,FALSE)="","",VLOOKUP(Wed_W2[[#This Row],[Employee Name]],'Base Schedules'!$A$205:$AW$241,49,FALSE)),"")</f>
        <v/>
      </c>
      <c r="AY18" s="245" t="str">
        <f t="shared" si="2"/>
        <v>Fine, Melissa</v>
      </c>
    </row>
    <row r="19" spans="1:51" s="44" customFormat="1" ht="12" customHeight="1" x14ac:dyDescent="0.2">
      <c r="A19" s="39" t="str">
        <f>IF(B19="","",INDEX(TeamList[],MATCH($B19,TeamList[[Employee Name]:[Employee Name]],0),MATCH("Manager",TeamList[#Headers],0)))</f>
        <v>Paulson, Matthew</v>
      </c>
      <c r="B19" s="201" t="s">
        <v>31</v>
      </c>
      <c r="C19" s="257" t="str">
        <f>_xlfn.IFNA(VLOOKUP(Wed_W2[[#This Row],[Employee Name]],'Base Schedules'!A:B,2,FALSE),"")</f>
        <v>Supervisor</v>
      </c>
      <c r="D19" s="274">
        <f>_xlfn.IFNA(VLOOKUP(Wed_W2[[#This Row],[Employee Name]],'Base Schedules'!A:C,3,FALSE),"")</f>
        <v>730</v>
      </c>
      <c r="E19" s="274">
        <f>_xlfn.IFNA(VLOOKUP(Wed_W2[[#This Row],[Employee Name]],'Base Schedules'!A:D,4,FALSE),"")</f>
        <v>1630</v>
      </c>
      <c r="F19" s="142">
        <f>IF(Wed_W2[[#This Row],[Employee Name]]="","",IF(Wed_W2[[#This Row],[Dept]]="Supervisor",COUNTIFS($J19:$AX19,"*HL*",$J19:$AX19,"&lt;&gt;"&amp;"pHL"),COUNTIFS($J19:$AX19,"*HL*",$J19:$AX19,"&lt;&gt;"&amp;"*pHL*",$J19:$AX19,"&lt;&gt;"&amp;"pB1 HL",$J19:$AX19,"&lt;&gt;"&amp;"pB2 HL")-SUM(COUNTIFS($J19:$AX19,"*HL B1*",$J19:$AX19,"&lt;&gt;"&amp;"pHL B1")*0.5,COUNTIFS($J19:$AX19,"*HL B2*",$J19:$AX19,"&lt;&gt;"&amp;"pHL B2")*0.5,COUNTIFS($J19:$AX19,"*B1 HL*",$J19:$AX19,"&lt;&gt;"&amp;"pB1 HL")*0.5,COUNTIFS($J19:$AX19,"*B2 HL*",$J19:$AX19,"&lt;&gt;"&amp;"pB2 HL")*0.5)))</f>
        <v>0</v>
      </c>
      <c r="G19" s="142">
        <f t="shared" si="0"/>
        <v>4</v>
      </c>
      <c r="H19" s="142">
        <f t="shared" si="1"/>
        <v>0</v>
      </c>
      <c r="I19" s="142">
        <f>IF(Wed_W2[[#This Row],[Employee Name]]="","",IF(Wed_W2[[#This Row],[Dept]]="Supervisor",SUM(COUNTIFS($J19:$AX19,"RTA*",$J19:$AX19,"&lt;&gt;"&amp;"pRTA"),COUNTIFS($J19:$AX19,"*CRTA*",$J19:$AX19,"&lt;&gt;"&amp;"pCRTA")),COUNTIFS($J19:$AX19,"*RNNR*",$J19:$AX19,"&lt;&gt;"&amp;"*pRNNR*",$J19:$AX19,"&lt;&gt;"&amp;"pB1 RNNR",$J19:$AX19,"&lt;&gt;"&amp;"pB2 RNNR")-SUM(COUNTIFS($J19:$AX19,"*RNNR B1*",$J19:$AX19,"&lt;&gt;"&amp;"pRNNR B1")*0.5,COUNTIFS($J19:$AX19,"*RNNR B2*",$J19:$AX19,"&lt;&gt;"&amp;"pRNNR B2")*0.5,COUNTIFS($J19:$AX19,"*B1 RNNR*",$J19:$AX19,"&lt;&gt;"&amp;"pB1 RNNR")*0.5,COUNTIFS($J19:$AX19,"*B2 RNNR*",$J19:$AX19,"&lt;&gt;"&amp;"pB2 RNNR")*0.5)))</f>
        <v>0</v>
      </c>
      <c r="J19" s="184" t="str">
        <f>IFERROR(IF(VLOOKUP(Wed_W2[[#This Row],[Employee Name]],'Base Schedules'!$A$205:$AW$241,9,FALSE)="","",VLOOKUP(Wed_W2[[#This Row],[Employee Name]],'Base Schedules'!$A$205:$AW$241,9,FALSE)),"")</f>
        <v/>
      </c>
      <c r="K19" s="184" t="str">
        <f>IFERROR(IF(VLOOKUP(Wed_W2[[#This Row],[Employee Name]],'Base Schedules'!$A$205:$AW$241,10,FALSE)="","",VLOOKUP(Wed_W2[[#This Row],[Employee Name]],'Base Schedules'!$A$205:$AW$241,10,FALSE)),"")</f>
        <v/>
      </c>
      <c r="L19" s="184" t="str">
        <f>IFERROR(IF(VLOOKUP(Wed_W2[[#This Row],[Employee Name]],'Base Schedules'!$A$205:$AW$241,11,FALSE)="","",VLOOKUP(Wed_W2[[#This Row],[Employee Name]],'Base Schedules'!$A$205:$AW$241,11,FALSE)),"")</f>
        <v/>
      </c>
      <c r="M19" s="184" t="str">
        <f>IFERROR(IF(VLOOKUP(Wed_W2[[#This Row],[Employee Name]],'Base Schedules'!$A$205:$AW$241,12,FALSE)="","",VLOOKUP(Wed_W2[[#This Row],[Employee Name]],'Base Schedules'!$A$205:$AW$241,12,FALSE)),"")</f>
        <v/>
      </c>
      <c r="N19" s="184" t="str">
        <f>IFERROR(IF(VLOOKUP(Wed_W2[[#This Row],[Employee Name]],'Base Schedules'!$A$205:$AW$241,13,FALSE)="","",VLOOKUP(Wed_W2[[#This Row],[Employee Name]],'Base Schedules'!$A$205:$AW$241,13,FALSE)),"")</f>
        <v/>
      </c>
      <c r="O19" s="184" t="str">
        <f>IFERROR(IF(VLOOKUP(Wed_W2[[#This Row],[Employee Name]],'Base Schedules'!$A$205:$AW$241,14,FALSE)="","",VLOOKUP(Wed_W2[[#This Row],[Employee Name]],'Base Schedules'!$A$205:$AW$241,14,FALSE)),"")</f>
        <v>-</v>
      </c>
      <c r="P19" s="184" t="str">
        <f>IFERROR(IF(VLOOKUP(Wed_W2[[#This Row],[Employee Name]],'Base Schedules'!$A$205:$AW$241,15,FALSE)="","",VLOOKUP(Wed_W2[[#This Row],[Employee Name]],'Base Schedules'!$A$205:$AW$241,15,FALSE)),"")</f>
        <v>-</v>
      </c>
      <c r="Q19" s="184" t="str">
        <f>IFERROR(IF(VLOOKUP(Wed_W2[[#This Row],[Employee Name]],'Base Schedules'!$A$205:$AW$241,16,FALSE)="","",VLOOKUP(Wed_W2[[#This Row],[Employee Name]],'Base Schedules'!$A$205:$AW$241,16,FALSE)),"")</f>
        <v>-</v>
      </c>
      <c r="R19" s="184" t="str">
        <f>IFERROR(IF(VLOOKUP(Wed_W2[[#This Row],[Employee Name]],'Base Schedules'!$A$205:$AW$241,17,FALSE)="","",VLOOKUP(Wed_W2[[#This Row],[Employee Name]],'Base Schedules'!$A$205:$AW$241,17,FALSE)),"")</f>
        <v>-</v>
      </c>
      <c r="S19" s="184" t="str">
        <f>IFERROR(IF(VLOOKUP(Wed_W2[[#This Row],[Employee Name]],'Base Schedules'!$A$205:$AW$241,18,FALSE)="","",VLOOKUP(Wed_W2[[#This Row],[Employee Name]],'Base Schedules'!$A$205:$AW$241,18,FALSE)),"")</f>
        <v>-</v>
      </c>
      <c r="T19" s="184" t="str">
        <f>IFERROR(IF(VLOOKUP(Wed_W2[[#This Row],[Employee Name]],'Base Schedules'!$A$205:$AW$241,19,FALSE)="","",VLOOKUP(Wed_W2[[#This Row],[Employee Name]],'Base Schedules'!$A$205:$AW$241,19,FALSE)),"")</f>
        <v>Interview</v>
      </c>
      <c r="U19" s="184" t="str">
        <f>IFERROR(IF(VLOOKUP(Wed_W2[[#This Row],[Employee Name]],'Base Schedules'!$A$205:$AW$241,20,FALSE)="","",VLOOKUP(Wed_W2[[#This Row],[Employee Name]],'Base Schedules'!$A$205:$AW$241,20,FALSE)),"")</f>
        <v>Interview</v>
      </c>
      <c r="V19" s="184" t="str">
        <f>IFERROR(IF(VLOOKUP(Wed_W2[[#This Row],[Employee Name]],'Base Schedules'!$A$205:$AW$241,21,FALSE)="","",VLOOKUP(Wed_W2[[#This Row],[Employee Name]],'Base Schedules'!$A$205:$AW$241,21,FALSE)),"")</f>
        <v>-</v>
      </c>
      <c r="W19" s="184" t="str">
        <f>IFERROR(IF(VLOOKUP(Wed_W2[[#This Row],[Employee Name]],'Base Schedules'!$A$205:$AW$241,22,FALSE)="","",VLOOKUP(Wed_W2[[#This Row],[Employee Name]],'Base Schedules'!$A$205:$AW$241,22,FALSE)),"")</f>
        <v>-</v>
      </c>
      <c r="X19" s="184" t="str">
        <f>IFERROR(IF(VLOOKUP(Wed_W2[[#This Row],[Employee Name]],'Base Schedules'!$A$205:$AW$241,23,FALSE)="","",VLOOKUP(Wed_W2[[#This Row],[Employee Name]],'Base Schedules'!$A$205:$AW$241,23,FALSE)),"")</f>
        <v>-</v>
      </c>
      <c r="Y19" s="184" t="str">
        <f>IFERROR(IF(VLOOKUP(Wed_W2[[#This Row],[Employee Name]],'Base Schedules'!$A$205:$AW$241,24,FALSE)="","",VLOOKUP(Wed_W2[[#This Row],[Employee Name]],'Base Schedules'!$A$205:$AW$241,24,FALSE)),"")</f>
        <v>-</v>
      </c>
      <c r="Z19" s="184" t="str">
        <f>IFERROR(IF(VLOOKUP(Wed_W2[[#This Row],[Employee Name]],'Base Schedules'!$A$205:$AW$241,25,FALSE)="","",VLOOKUP(Wed_W2[[#This Row],[Employee Name]],'Base Schedules'!$A$205:$AW$241,25,FALSE)),"")</f>
        <v>Coaching</v>
      </c>
      <c r="AA19" s="184" t="str">
        <f>IFERROR(IF(VLOOKUP(Wed_W2[[#This Row],[Employee Name]],'Base Schedules'!$A$205:$AW$241,26,FALSE)="","",VLOOKUP(Wed_W2[[#This Row],[Employee Name]],'Base Schedules'!$A$205:$AW$241,26,FALSE)),"")</f>
        <v>Coaching</v>
      </c>
      <c r="AB19" s="184" t="str">
        <f>IFERROR(IF(VLOOKUP(Wed_W2[[#This Row],[Employee Name]],'Base Schedules'!$A$205:$AW$241,27,FALSE)="","",VLOOKUP(Wed_W2[[#This Row],[Employee Name]],'Base Schedules'!$A$205:$AW$241,27,FALSE)),"")</f>
        <v>Coaching</v>
      </c>
      <c r="AC19" s="184" t="str">
        <f>IFERROR(IF(VLOOKUP(Wed_W2[[#This Row],[Employee Name]],'Base Schedules'!$A$205:$AW$241,28,FALSE)="","",VLOOKUP(Wed_W2[[#This Row],[Employee Name]],'Base Schedules'!$A$205:$AW$241,28,FALSE)),"")</f>
        <v>Coaching</v>
      </c>
      <c r="AD19" s="184" t="str">
        <f>IFERROR(IF(VLOOKUP(Wed_W2[[#This Row],[Employee Name]],'Base Schedules'!$A$205:$AW$241,29,FALSE)="","",VLOOKUP(Wed_W2[[#This Row],[Employee Name]],'Base Schedules'!$A$205:$AW$241,29,FALSE)),"")</f>
        <v>-</v>
      </c>
      <c r="AE19" s="184" t="str">
        <f>IFERROR(IF(VLOOKUP(Wed_W2[[#This Row],[Employee Name]],'Base Schedules'!$A$205:$AW$241,30,FALSE)="","",VLOOKUP(Wed_W2[[#This Row],[Employee Name]],'Base Schedules'!$A$205:$AW$241,30,FALSE)),"")</f>
        <v>-</v>
      </c>
      <c r="AF19" s="184" t="str">
        <f>IFERROR(IF(VLOOKUP(Wed_W2[[#This Row],[Employee Name]],'Base Schedules'!$A$205:$AW$241,31,FALSE)="","",VLOOKUP(Wed_W2[[#This Row],[Employee Name]],'Base Schedules'!$A$205:$AW$241,31,FALSE)),"")</f>
        <v>-</v>
      </c>
      <c r="AG19" s="184" t="str">
        <f>IFERROR(IF(VLOOKUP(Wed_W2[[#This Row],[Employee Name]],'Base Schedules'!$A$205:$AW$241,32,FALSE)="","",VLOOKUP(Wed_W2[[#This Row],[Employee Name]],'Base Schedules'!$A$205:$AW$241,32,FALSE)),"")</f>
        <v/>
      </c>
      <c r="AH19" s="184" t="str">
        <f>IFERROR(IF(VLOOKUP(Wed_W2[[#This Row],[Employee Name]],'Base Schedules'!$A$205:$AW$241,33,FALSE)="","",VLOOKUP(Wed_W2[[#This Row],[Employee Name]],'Base Schedules'!$A$205:$AW$241,33,FALSE)),"")</f>
        <v/>
      </c>
      <c r="AI19" s="184" t="str">
        <f>IFERROR(IF(VLOOKUP(Wed_W2[[#This Row],[Employee Name]],'Base Schedules'!$A$205:$AW$241,34,FALSE)="","",VLOOKUP(Wed_W2[[#This Row],[Employee Name]],'Base Schedules'!$A$205:$AW$241,34,FALSE)),"")</f>
        <v/>
      </c>
      <c r="AJ19" s="184" t="str">
        <f>IFERROR(IF(VLOOKUP(Wed_W2[[#This Row],[Employee Name]],'Base Schedules'!$A$205:$AW$241,35,FALSE)="","",VLOOKUP(Wed_W2[[#This Row],[Employee Name]],'Base Schedules'!$A$205:$AW$241,35,FALSE)),"")</f>
        <v/>
      </c>
      <c r="AK19" s="184" t="str">
        <f>IFERROR(IF(VLOOKUP(Wed_W2[[#This Row],[Employee Name]],'Base Schedules'!$A$205:$AW$241,36,FALSE)="","",VLOOKUP(Wed_W2[[#This Row],[Employee Name]],'Base Schedules'!$A$205:$AW$241,36,FALSE)),"")</f>
        <v/>
      </c>
      <c r="AL19" s="184" t="str">
        <f>IFERROR(IF(VLOOKUP(Wed_W2[[#This Row],[Employee Name]],'Base Schedules'!$A$205:$AW$241,37,FALSE)="","",VLOOKUP(Wed_W2[[#This Row],[Employee Name]],'Base Schedules'!$A$205:$AW$241,37,FALSE)),"")</f>
        <v/>
      </c>
      <c r="AM19" s="184" t="str">
        <f>IFERROR(IF(VLOOKUP(Wed_W2[[#This Row],[Employee Name]],'Base Schedules'!$A$205:$AW$241,38,FALSE)="","",VLOOKUP(Wed_W2[[#This Row],[Employee Name]],'Base Schedules'!$A$205:$AW$241,38,FALSE)),"")</f>
        <v/>
      </c>
      <c r="AN19" s="184" t="str">
        <f>IFERROR(IF(VLOOKUP(Wed_W2[[#This Row],[Employee Name]],'Base Schedules'!$A$205:$AW$241,39,FALSE)="","",VLOOKUP(Wed_W2[[#This Row],[Employee Name]],'Base Schedules'!$A$205:$AW$241,39,FALSE)),"")</f>
        <v/>
      </c>
      <c r="AO19" s="184" t="str">
        <f>IFERROR(IF(VLOOKUP(Wed_W2[[#This Row],[Employee Name]],'Base Schedules'!$A$205:$AW$241,40,FALSE)="","",VLOOKUP(Wed_W2[[#This Row],[Employee Name]],'Base Schedules'!$A$205:$AW$241,40,FALSE)),"")</f>
        <v/>
      </c>
      <c r="AP19" s="184" t="str">
        <f>IFERROR(IF(VLOOKUP(Wed_W2[[#This Row],[Employee Name]],'Base Schedules'!$A$205:$AW$241,41,FALSE)="","",VLOOKUP(Wed_W2[[#This Row],[Employee Name]],'Base Schedules'!$A$205:$AW$241,41,FALSE)),"")</f>
        <v/>
      </c>
      <c r="AQ19" s="184" t="str">
        <f>IFERROR(IF(VLOOKUP(Wed_W2[[#This Row],[Employee Name]],'Base Schedules'!$A$205:$AW$241,42,FALSE)="","",VLOOKUP(Wed_W2[[#This Row],[Employee Name]],'Base Schedules'!$A$205:$AW$241,42,FALSE)),"")</f>
        <v/>
      </c>
      <c r="AR19" s="184" t="str">
        <f>IFERROR(IF(VLOOKUP(Wed_W2[[#This Row],[Employee Name]],'Base Schedules'!$A$205:$AW$241,43,FALSE)="","",VLOOKUP(Wed_W2[[#This Row],[Employee Name]],'Base Schedules'!$A$205:$AW$241,43,FALSE)),"")</f>
        <v/>
      </c>
      <c r="AS19" s="184" t="str">
        <f>IFERROR(IF(VLOOKUP(Wed_W2[[#This Row],[Employee Name]],'Base Schedules'!$A$205:$AW$241,44,FALSE)="","",VLOOKUP(Wed_W2[[#This Row],[Employee Name]],'Base Schedules'!$A$205:$AW$241,44,FALSE)),"")</f>
        <v/>
      </c>
      <c r="AT19" s="184" t="str">
        <f>IFERROR(IF(VLOOKUP(Wed_W2[[#This Row],[Employee Name]],'Base Schedules'!$A$205:$AW$241,45,FALSE)="","",VLOOKUP(Wed_W2[[#This Row],[Employee Name]],'Base Schedules'!$A$205:$AW$241,45,FALSE)),"")</f>
        <v/>
      </c>
      <c r="AU19" s="184" t="str">
        <f>IFERROR(IF(VLOOKUP(Wed_W2[[#This Row],[Employee Name]],'Base Schedules'!$A$205:$AW$241,46,FALSE)="","",VLOOKUP(Wed_W2[[#This Row],[Employee Name]],'Base Schedules'!$A$205:$AW$241,46,FALSE)),"")</f>
        <v/>
      </c>
      <c r="AV19" s="184" t="str">
        <f>IFERROR(IF(VLOOKUP(Wed_W2[[#This Row],[Employee Name]],'Base Schedules'!$A$205:$AW$241,47,FALSE)="","",VLOOKUP(Wed_W2[[#This Row],[Employee Name]],'Base Schedules'!$A$205:$AW$241,47,FALSE)),"")</f>
        <v/>
      </c>
      <c r="AW19" s="184" t="str">
        <f>IFERROR(IF(VLOOKUP(Wed_W2[[#This Row],[Employee Name]],'Base Schedules'!$A$205:$AW$241,48,FALSE)="","",VLOOKUP(Wed_W2[[#This Row],[Employee Name]],'Base Schedules'!$A$205:$AW$241,48,FALSE)),"")</f>
        <v/>
      </c>
      <c r="AX19" s="184" t="str">
        <f>IFERROR(IF(VLOOKUP(Wed_W2[[#This Row],[Employee Name]],'Base Schedules'!$A$205:$AW$241,49,FALSE)="","",VLOOKUP(Wed_W2[[#This Row],[Employee Name]],'Base Schedules'!$A$205:$AW$241,49,FALSE)),"")</f>
        <v/>
      </c>
      <c r="AY19" s="245" t="str">
        <f t="shared" si="2"/>
        <v>Garcia, Valentin</v>
      </c>
    </row>
    <row r="20" spans="1:51" s="44" customFormat="1" ht="12" customHeight="1" x14ac:dyDescent="0.2">
      <c r="A20" s="39" t="str">
        <f>IF(B20="","",INDEX(TeamList[],MATCH($B20,TeamList[[Employee Name]:[Employee Name]],0),MATCH("Manager",TeamList[#Headers],0)))</f>
        <v>Paulson, Matthew</v>
      </c>
      <c r="B20" s="201" t="s">
        <v>33</v>
      </c>
      <c r="C20" s="257" t="str">
        <f>_xlfn.IFNA(VLOOKUP(Wed_W2[[#This Row],[Employee Name]],'Base Schedules'!A:B,2,FALSE),"")</f>
        <v>Supervisor</v>
      </c>
      <c r="D20" s="274">
        <f>_xlfn.IFNA(VLOOKUP(Wed_W2[[#This Row],[Employee Name]],'Base Schedules'!A:C,3,FALSE),"")</f>
        <v>730</v>
      </c>
      <c r="E20" s="274">
        <f>_xlfn.IFNA(VLOOKUP(Wed_W2[[#This Row],[Employee Name]],'Base Schedules'!A:D,4,FALSE),"")</f>
        <v>1630</v>
      </c>
      <c r="F20" s="142">
        <f>IF(Wed_W2[[#This Row],[Employee Name]]="","",IF(Wed_W2[[#This Row],[Dept]]="Supervisor",COUNTIFS($J20:$AX20,"*HL*",$J20:$AX20,"&lt;&gt;"&amp;"pHL"),COUNTIFS($J20:$AX20,"*HL*",$J20:$AX20,"&lt;&gt;"&amp;"*pHL*",$J20:$AX20,"&lt;&gt;"&amp;"pB1 HL",$J20:$AX20,"&lt;&gt;"&amp;"pB2 HL")-SUM(COUNTIFS($J20:$AX20,"*HL B1*",$J20:$AX20,"&lt;&gt;"&amp;"pHL B1")*0.5,COUNTIFS($J20:$AX20,"*HL B2*",$J20:$AX20,"&lt;&gt;"&amp;"pHL B2")*0.5,COUNTIFS($J20:$AX20,"*B1 HL*",$J20:$AX20,"&lt;&gt;"&amp;"pB1 HL")*0.5,COUNTIFS($J20:$AX20,"*B2 HL*",$J20:$AX20,"&lt;&gt;"&amp;"pB2 HL")*0.5)))</f>
        <v>0</v>
      </c>
      <c r="G20" s="142">
        <f t="shared" si="0"/>
        <v>6</v>
      </c>
      <c r="H20" s="142">
        <f t="shared" si="1"/>
        <v>0</v>
      </c>
      <c r="I20" s="142">
        <f>IF(Wed_W2[[#This Row],[Employee Name]]="","",IF(Wed_W2[[#This Row],[Dept]]="Supervisor",SUM(COUNTIFS($J20:$AX20,"RTA*",$J20:$AX20,"&lt;&gt;"&amp;"pRTA"),COUNTIFS($J20:$AX20,"*CRTA*",$J20:$AX20,"&lt;&gt;"&amp;"pCRTA")),COUNTIFS($J20:$AX20,"*RNNR*",$J20:$AX20,"&lt;&gt;"&amp;"*pRNNR*",$J20:$AX20,"&lt;&gt;"&amp;"pB1 RNNR",$J20:$AX20,"&lt;&gt;"&amp;"pB2 RNNR")-SUM(COUNTIFS($J20:$AX20,"*RNNR B1*",$J20:$AX20,"&lt;&gt;"&amp;"pRNNR B1")*0.5,COUNTIFS($J20:$AX20,"*RNNR B2*",$J20:$AX20,"&lt;&gt;"&amp;"pRNNR B2")*0.5,COUNTIFS($J20:$AX20,"*B1 RNNR*",$J20:$AX20,"&lt;&gt;"&amp;"pB1 RNNR")*0.5,COUNTIFS($J20:$AX20,"*B2 RNNR*",$J20:$AX20,"&lt;&gt;"&amp;"pB2 RNNR")*0.5)))</f>
        <v>0</v>
      </c>
      <c r="J20" s="184" t="str">
        <f>IFERROR(IF(VLOOKUP(Wed_W2[[#This Row],[Employee Name]],'Base Schedules'!$A$205:$AW$241,9,FALSE)="","",VLOOKUP(Wed_W2[[#This Row],[Employee Name]],'Base Schedules'!$A$205:$AW$241,9,FALSE)),"")</f>
        <v/>
      </c>
      <c r="K20" s="184" t="str">
        <f>IFERROR(IF(VLOOKUP(Wed_W2[[#This Row],[Employee Name]],'Base Schedules'!$A$205:$AW$241,10,FALSE)="","",VLOOKUP(Wed_W2[[#This Row],[Employee Name]],'Base Schedules'!$A$205:$AW$241,10,FALSE)),"")</f>
        <v/>
      </c>
      <c r="L20" s="184" t="str">
        <f>IFERROR(IF(VLOOKUP(Wed_W2[[#This Row],[Employee Name]],'Base Schedules'!$A$205:$AW$241,11,FALSE)="","",VLOOKUP(Wed_W2[[#This Row],[Employee Name]],'Base Schedules'!$A$205:$AW$241,11,FALSE)),"")</f>
        <v/>
      </c>
      <c r="M20" s="184" t="str">
        <f>IFERROR(IF(VLOOKUP(Wed_W2[[#This Row],[Employee Name]],'Base Schedules'!$A$205:$AW$241,12,FALSE)="","",VLOOKUP(Wed_W2[[#This Row],[Employee Name]],'Base Schedules'!$A$205:$AW$241,12,FALSE)),"")</f>
        <v/>
      </c>
      <c r="N20" s="184" t="str">
        <f>IFERROR(IF(VLOOKUP(Wed_W2[[#This Row],[Employee Name]],'Base Schedules'!$A$205:$AW$241,13,FALSE)="","",VLOOKUP(Wed_W2[[#This Row],[Employee Name]],'Base Schedules'!$A$205:$AW$241,13,FALSE)),"")</f>
        <v/>
      </c>
      <c r="O20" s="184" t="str">
        <f>IFERROR(IF(VLOOKUP(Wed_W2[[#This Row],[Employee Name]],'Base Schedules'!$A$205:$AW$241,14,FALSE)="","",VLOOKUP(Wed_W2[[#This Row],[Employee Name]],'Base Schedules'!$A$205:$AW$241,14,FALSE)),"")</f>
        <v>-</v>
      </c>
      <c r="P20" s="184" t="str">
        <f>IFERROR(IF(VLOOKUP(Wed_W2[[#This Row],[Employee Name]],'Base Schedules'!$A$205:$AW$241,15,FALSE)="","",VLOOKUP(Wed_W2[[#This Row],[Employee Name]],'Base Schedules'!$A$205:$AW$241,15,FALSE)),"")</f>
        <v>Coaching</v>
      </c>
      <c r="Q20" s="184" t="str">
        <f>IFERROR(IF(VLOOKUP(Wed_W2[[#This Row],[Employee Name]],'Base Schedules'!$A$205:$AW$241,16,FALSE)="","",VLOOKUP(Wed_W2[[#This Row],[Employee Name]],'Base Schedules'!$A$205:$AW$241,16,FALSE)),"")</f>
        <v>Coaching</v>
      </c>
      <c r="R20" s="184" t="str">
        <f>IFERROR(IF(VLOOKUP(Wed_W2[[#This Row],[Employee Name]],'Base Schedules'!$A$205:$AW$241,17,FALSE)="","",VLOOKUP(Wed_W2[[#This Row],[Employee Name]],'Base Schedules'!$A$205:$AW$241,17,FALSE)),"")</f>
        <v>Coaching</v>
      </c>
      <c r="S20" s="184" t="str">
        <f>IFERROR(IF(VLOOKUP(Wed_W2[[#This Row],[Employee Name]],'Base Schedules'!$A$205:$AW$241,18,FALSE)="","",VLOOKUP(Wed_W2[[#This Row],[Employee Name]],'Base Schedules'!$A$205:$AW$241,18,FALSE)),"")</f>
        <v>-</v>
      </c>
      <c r="T20" s="184" t="str">
        <f>IFERROR(IF(VLOOKUP(Wed_W2[[#This Row],[Employee Name]],'Base Schedules'!$A$205:$AW$241,19,FALSE)="","",VLOOKUP(Wed_W2[[#This Row],[Employee Name]],'Base Schedules'!$A$205:$AW$241,19,FALSE)),"")</f>
        <v>TM PREP</v>
      </c>
      <c r="U20" s="184" t="str">
        <f>IFERROR(IF(VLOOKUP(Wed_W2[[#This Row],[Employee Name]],'Base Schedules'!$A$205:$AW$241,20,FALSE)="","",VLOOKUP(Wed_W2[[#This Row],[Employee Name]],'Base Schedules'!$A$205:$AW$241,20,FALSE)),"")</f>
        <v>KPR TM</v>
      </c>
      <c r="V20" s="184" t="str">
        <f>IFERROR(IF(VLOOKUP(Wed_W2[[#This Row],[Employee Name]],'Base Schedules'!$A$205:$AW$241,21,FALSE)="","",VLOOKUP(Wed_W2[[#This Row],[Employee Name]],'Base Schedules'!$A$205:$AW$241,21,FALSE)),"")</f>
        <v>KPR TM</v>
      </c>
      <c r="W20" s="184" t="str">
        <f>IFERROR(IF(VLOOKUP(Wed_W2[[#This Row],[Employee Name]],'Base Schedules'!$A$205:$AW$241,22,FALSE)="","",VLOOKUP(Wed_W2[[#This Row],[Employee Name]],'Base Schedules'!$A$205:$AW$241,22,FALSE)),"")</f>
        <v>-</v>
      </c>
      <c r="X20" s="184" t="str">
        <f>IFERROR(IF(VLOOKUP(Wed_W2[[#This Row],[Employee Name]],'Base Schedules'!$A$205:$AW$241,23,FALSE)="","",VLOOKUP(Wed_W2[[#This Row],[Employee Name]],'Base Schedules'!$A$205:$AW$241,23,FALSE)),"")</f>
        <v>-</v>
      </c>
      <c r="Y20" s="184" t="str">
        <f>IFERROR(IF(VLOOKUP(Wed_W2[[#This Row],[Employee Name]],'Base Schedules'!$A$205:$AW$241,24,FALSE)="","",VLOOKUP(Wed_W2[[#This Row],[Employee Name]],'Base Schedules'!$A$205:$AW$241,24,FALSE)),"")</f>
        <v>-</v>
      </c>
      <c r="Z20" s="184" t="str">
        <f>IFERROR(IF(VLOOKUP(Wed_W2[[#This Row],[Employee Name]],'Base Schedules'!$A$205:$AW$241,25,FALSE)="","",VLOOKUP(Wed_W2[[#This Row],[Employee Name]],'Base Schedules'!$A$205:$AW$241,25,FALSE)),"")</f>
        <v>Interview</v>
      </c>
      <c r="AA20" s="184" t="str">
        <f>IFERROR(IF(VLOOKUP(Wed_W2[[#This Row],[Employee Name]],'Base Schedules'!$A$205:$AW$241,26,FALSE)="","",VLOOKUP(Wed_W2[[#This Row],[Employee Name]],'Base Schedules'!$A$205:$AW$241,26,FALSE)),"")</f>
        <v>Interview</v>
      </c>
      <c r="AB20" s="184" t="str">
        <f>IFERROR(IF(VLOOKUP(Wed_W2[[#This Row],[Employee Name]],'Base Schedules'!$A$205:$AW$241,27,FALSE)="","",VLOOKUP(Wed_W2[[#This Row],[Employee Name]],'Base Schedules'!$A$205:$AW$241,27,FALSE)),"")</f>
        <v>Coaching</v>
      </c>
      <c r="AC20" s="184" t="str">
        <f>IFERROR(IF(VLOOKUP(Wed_W2[[#This Row],[Employee Name]],'Base Schedules'!$A$205:$AW$241,28,FALSE)="","",VLOOKUP(Wed_W2[[#This Row],[Employee Name]],'Base Schedules'!$A$205:$AW$241,28,FALSE)),"")</f>
        <v>Coaching</v>
      </c>
      <c r="AD20" s="184" t="str">
        <f>IFERROR(IF(VLOOKUP(Wed_W2[[#This Row],[Employee Name]],'Base Schedules'!$A$205:$AW$241,29,FALSE)="","",VLOOKUP(Wed_W2[[#This Row],[Employee Name]],'Base Schedules'!$A$205:$AW$241,29,FALSE)),"")</f>
        <v>Coaching</v>
      </c>
      <c r="AE20" s="184" t="str">
        <f>IFERROR(IF(VLOOKUP(Wed_W2[[#This Row],[Employee Name]],'Base Schedules'!$A$205:$AW$241,30,FALSE)="","",VLOOKUP(Wed_W2[[#This Row],[Employee Name]],'Base Schedules'!$A$205:$AW$241,30,FALSE)),"")</f>
        <v>-</v>
      </c>
      <c r="AF20" s="184" t="str">
        <f>IFERROR(IF(VLOOKUP(Wed_W2[[#This Row],[Employee Name]],'Base Schedules'!$A$205:$AW$241,31,FALSE)="","",VLOOKUP(Wed_W2[[#This Row],[Employee Name]],'Base Schedules'!$A$205:$AW$241,31,FALSE)),"")</f>
        <v>-</v>
      </c>
      <c r="AG20" s="184" t="str">
        <f>IFERROR(IF(VLOOKUP(Wed_W2[[#This Row],[Employee Name]],'Base Schedules'!$A$205:$AW$241,32,FALSE)="","",VLOOKUP(Wed_W2[[#This Row],[Employee Name]],'Base Schedules'!$A$205:$AW$241,32,FALSE)),"")</f>
        <v/>
      </c>
      <c r="AH20" s="184" t="str">
        <f>IFERROR(IF(VLOOKUP(Wed_W2[[#This Row],[Employee Name]],'Base Schedules'!$A$205:$AW$241,33,FALSE)="","",VLOOKUP(Wed_W2[[#This Row],[Employee Name]],'Base Schedules'!$A$205:$AW$241,33,FALSE)),"")</f>
        <v/>
      </c>
      <c r="AI20" s="184" t="str">
        <f>IFERROR(IF(VLOOKUP(Wed_W2[[#This Row],[Employee Name]],'Base Schedules'!$A$205:$AW$241,34,FALSE)="","",VLOOKUP(Wed_W2[[#This Row],[Employee Name]],'Base Schedules'!$A$205:$AW$241,34,FALSE)),"")</f>
        <v/>
      </c>
      <c r="AJ20" s="184" t="str">
        <f>IFERROR(IF(VLOOKUP(Wed_W2[[#This Row],[Employee Name]],'Base Schedules'!$A$205:$AW$241,35,FALSE)="","",VLOOKUP(Wed_W2[[#This Row],[Employee Name]],'Base Schedules'!$A$205:$AW$241,35,FALSE)),"")</f>
        <v/>
      </c>
      <c r="AK20" s="184" t="str">
        <f>IFERROR(IF(VLOOKUP(Wed_W2[[#This Row],[Employee Name]],'Base Schedules'!$A$205:$AW$241,36,FALSE)="","",VLOOKUP(Wed_W2[[#This Row],[Employee Name]],'Base Schedules'!$A$205:$AW$241,36,FALSE)),"")</f>
        <v/>
      </c>
      <c r="AL20" s="184" t="str">
        <f>IFERROR(IF(VLOOKUP(Wed_W2[[#This Row],[Employee Name]],'Base Schedules'!$A$205:$AW$241,37,FALSE)="","",VLOOKUP(Wed_W2[[#This Row],[Employee Name]],'Base Schedules'!$A$205:$AW$241,37,FALSE)),"")</f>
        <v/>
      </c>
      <c r="AM20" s="184" t="str">
        <f>IFERROR(IF(VLOOKUP(Wed_W2[[#This Row],[Employee Name]],'Base Schedules'!$A$205:$AW$241,38,FALSE)="","",VLOOKUP(Wed_W2[[#This Row],[Employee Name]],'Base Schedules'!$A$205:$AW$241,38,FALSE)),"")</f>
        <v/>
      </c>
      <c r="AN20" s="184" t="str">
        <f>IFERROR(IF(VLOOKUP(Wed_W2[[#This Row],[Employee Name]],'Base Schedules'!$A$205:$AW$241,39,FALSE)="","",VLOOKUP(Wed_W2[[#This Row],[Employee Name]],'Base Schedules'!$A$205:$AW$241,39,FALSE)),"")</f>
        <v/>
      </c>
      <c r="AO20" s="184" t="str">
        <f>IFERROR(IF(VLOOKUP(Wed_W2[[#This Row],[Employee Name]],'Base Schedules'!$A$205:$AW$241,40,FALSE)="","",VLOOKUP(Wed_W2[[#This Row],[Employee Name]],'Base Schedules'!$A$205:$AW$241,40,FALSE)),"")</f>
        <v/>
      </c>
      <c r="AP20" s="184" t="str">
        <f>IFERROR(IF(VLOOKUP(Wed_W2[[#This Row],[Employee Name]],'Base Schedules'!$A$205:$AW$241,41,FALSE)="","",VLOOKUP(Wed_W2[[#This Row],[Employee Name]],'Base Schedules'!$A$205:$AW$241,41,FALSE)),"")</f>
        <v/>
      </c>
      <c r="AQ20" s="184" t="str">
        <f>IFERROR(IF(VLOOKUP(Wed_W2[[#This Row],[Employee Name]],'Base Schedules'!$A$205:$AW$241,42,FALSE)="","",VLOOKUP(Wed_W2[[#This Row],[Employee Name]],'Base Schedules'!$A$205:$AW$241,42,FALSE)),"")</f>
        <v/>
      </c>
      <c r="AR20" s="184" t="str">
        <f>IFERROR(IF(VLOOKUP(Wed_W2[[#This Row],[Employee Name]],'Base Schedules'!$A$205:$AW$241,43,FALSE)="","",VLOOKUP(Wed_W2[[#This Row],[Employee Name]],'Base Schedules'!$A$205:$AW$241,43,FALSE)),"")</f>
        <v/>
      </c>
      <c r="AS20" s="184" t="str">
        <f>IFERROR(IF(VLOOKUP(Wed_W2[[#This Row],[Employee Name]],'Base Schedules'!$A$205:$AW$241,44,FALSE)="","",VLOOKUP(Wed_W2[[#This Row],[Employee Name]],'Base Schedules'!$A$205:$AW$241,44,FALSE)),"")</f>
        <v/>
      </c>
      <c r="AT20" s="184" t="str">
        <f>IFERROR(IF(VLOOKUP(Wed_W2[[#This Row],[Employee Name]],'Base Schedules'!$A$205:$AW$241,45,FALSE)="","",VLOOKUP(Wed_W2[[#This Row],[Employee Name]],'Base Schedules'!$A$205:$AW$241,45,FALSE)),"")</f>
        <v/>
      </c>
      <c r="AU20" s="184" t="str">
        <f>IFERROR(IF(VLOOKUP(Wed_W2[[#This Row],[Employee Name]],'Base Schedules'!$A$205:$AW$241,46,FALSE)="","",VLOOKUP(Wed_W2[[#This Row],[Employee Name]],'Base Schedules'!$A$205:$AW$241,46,FALSE)),"")</f>
        <v/>
      </c>
      <c r="AV20" s="184" t="str">
        <f>IFERROR(IF(VLOOKUP(Wed_W2[[#This Row],[Employee Name]],'Base Schedules'!$A$205:$AW$241,47,FALSE)="","",VLOOKUP(Wed_W2[[#This Row],[Employee Name]],'Base Schedules'!$A$205:$AW$241,47,FALSE)),"")</f>
        <v/>
      </c>
      <c r="AW20" s="184" t="str">
        <f>IFERROR(IF(VLOOKUP(Wed_W2[[#This Row],[Employee Name]],'Base Schedules'!$A$205:$AW$241,48,FALSE)="","",VLOOKUP(Wed_W2[[#This Row],[Employee Name]],'Base Schedules'!$A$205:$AW$241,48,FALSE)),"")</f>
        <v/>
      </c>
      <c r="AX20" s="184" t="str">
        <f>IFERROR(IF(VLOOKUP(Wed_W2[[#This Row],[Employee Name]],'Base Schedules'!$A$205:$AW$241,49,FALSE)="","",VLOOKUP(Wed_W2[[#This Row],[Employee Name]],'Base Schedules'!$A$205:$AW$241,49,FALSE)),"")</f>
        <v/>
      </c>
      <c r="AY20" s="245" t="str">
        <f t="shared" si="2"/>
        <v>Parkin-Rego, Kimberlee</v>
      </c>
    </row>
    <row r="21" spans="1:51" s="44" customFormat="1" ht="12" customHeight="1" x14ac:dyDescent="0.2">
      <c r="A21" s="39" t="str">
        <f>IF(B21="","",INDEX(TeamList[],MATCH($B21,TeamList[[Employee Name]:[Employee Name]],0),MATCH("Manager",TeamList[#Headers],0)))</f>
        <v>Olson, Katherine</v>
      </c>
      <c r="B21" s="201" t="s">
        <v>41</v>
      </c>
      <c r="C21" s="257" t="str">
        <f>_xlfn.IFNA(VLOOKUP(Wed_W2[[#This Row],[Employee Name]],'Base Schedules'!A:B,2,FALSE),"")</f>
        <v>Lead</v>
      </c>
      <c r="D21" s="274">
        <f>_xlfn.IFNA(VLOOKUP(Wed_W2[[#This Row],[Employee Name]],'Base Schedules'!A:C,3,FALSE),"")</f>
        <v>800</v>
      </c>
      <c r="E21" s="274">
        <f>_xlfn.IFNA(VLOOKUP(Wed_W2[[#This Row],[Employee Name]],'Base Schedules'!A:D,4,FALSE),"")</f>
        <v>1630</v>
      </c>
      <c r="F21" s="142">
        <f>IF(Wed_W2[[#This Row],[Employee Name]]="","",IF(Wed_W2[[#This Row],[Dept]]="Supervisor",COUNTIFS($J21:$AX21,"*HL*",$J21:$AX21,"&lt;&gt;"&amp;"pHL"),COUNTIFS($J21:$AX21,"*HL*",$J21:$AX21,"&lt;&gt;"&amp;"*pHL*",$J21:$AX21,"&lt;&gt;"&amp;"pB1 HL",$J21:$AX21,"&lt;&gt;"&amp;"pB2 HL")-SUM(COUNTIFS($J21:$AX21,"*HL B1*",$J21:$AX21,"&lt;&gt;"&amp;"pHL B1")*0.5,COUNTIFS($J21:$AX21,"*HL B2*",$J21:$AX21,"&lt;&gt;"&amp;"pHL B2")*0.5,COUNTIFS($J21:$AX21,"*B1 HL*",$J21:$AX21,"&lt;&gt;"&amp;"pB1 HL")*0.5,COUNTIFS($J21:$AX21,"*B2 HL*",$J21:$AX21,"&lt;&gt;"&amp;"pB2 HL")*0.5)))</f>
        <v>7.5</v>
      </c>
      <c r="G21" s="142">
        <f t="shared" si="0"/>
        <v>0</v>
      </c>
      <c r="H21" s="142">
        <f t="shared" si="1"/>
        <v>8</v>
      </c>
      <c r="I21" s="142">
        <f>IF(Wed_W2[[#This Row],[Employee Name]]="","",IF(Wed_W2[[#This Row],[Dept]]="Supervisor",SUM(COUNTIFS($J21:$AX21,"RTA*",$J21:$AX21,"&lt;&gt;"&amp;"pRTA"),COUNTIFS($J21:$AX21,"*CRTA*",$J21:$AX21,"&lt;&gt;"&amp;"pCRTA")),COUNTIFS($J21:$AX21,"*RNNR*",$J21:$AX21,"&lt;&gt;"&amp;"*pRNNR*",$J21:$AX21,"&lt;&gt;"&amp;"pB1 RNNR",$J21:$AX21,"&lt;&gt;"&amp;"pB2 RNNR")-SUM(COUNTIFS($J21:$AX21,"*RNNR B1*",$J21:$AX21,"&lt;&gt;"&amp;"pRNNR B1")*0.5,COUNTIFS($J21:$AX21,"*RNNR B2*",$J21:$AX21,"&lt;&gt;"&amp;"pRNNR B2")*0.5,COUNTIFS($J21:$AX21,"*B1 RNNR*",$J21:$AX21,"&lt;&gt;"&amp;"pB1 RNNR")*0.5,COUNTIFS($J21:$AX21,"*B2 RNNR*",$J21:$AX21,"&lt;&gt;"&amp;"pB2 RNNR")*0.5)))</f>
        <v>0</v>
      </c>
      <c r="J21" s="184" t="str">
        <f>IFERROR(IF(VLOOKUP(Wed_W2[[#This Row],[Employee Name]],'Base Schedules'!$A$205:$AW$241,9,FALSE)="","",VLOOKUP(Wed_W2[[#This Row],[Employee Name]],'Base Schedules'!$A$205:$AW$241,9,FALSE)),"")</f>
        <v/>
      </c>
      <c r="K21" s="184" t="str">
        <f>IFERROR(IF(VLOOKUP(Wed_W2[[#This Row],[Employee Name]],'Base Schedules'!$A$205:$AW$241,10,FALSE)="","",VLOOKUP(Wed_W2[[#This Row],[Employee Name]],'Base Schedules'!$A$205:$AW$241,10,FALSE)),"")</f>
        <v/>
      </c>
      <c r="L21" s="184" t="str">
        <f>IFERROR(IF(VLOOKUP(Wed_W2[[#This Row],[Employee Name]],'Base Schedules'!$A$205:$AW$241,11,FALSE)="","",VLOOKUP(Wed_W2[[#This Row],[Employee Name]],'Base Schedules'!$A$205:$AW$241,11,FALSE)),"")</f>
        <v/>
      </c>
      <c r="M21" s="184" t="str">
        <f>IFERROR(IF(VLOOKUP(Wed_W2[[#This Row],[Employee Name]],'Base Schedules'!$A$205:$AW$241,12,FALSE)="","",VLOOKUP(Wed_W2[[#This Row],[Employee Name]],'Base Schedules'!$A$205:$AW$241,12,FALSE)),"")</f>
        <v/>
      </c>
      <c r="N21" s="184" t="str">
        <f>IFERROR(IF(VLOOKUP(Wed_W2[[#This Row],[Employee Name]],'Base Schedules'!$A$205:$AW$241,13,FALSE)="","",VLOOKUP(Wed_W2[[#This Row],[Employee Name]],'Base Schedules'!$A$205:$AW$241,13,FALSE)),"")</f>
        <v/>
      </c>
      <c r="O21" s="184" t="str">
        <f>IFERROR(IF(VLOOKUP(Wed_W2[[#This Row],[Employee Name]],'Base Schedules'!$A$205:$AW$241,14,FALSE)="","",VLOOKUP(Wed_W2[[#This Row],[Employee Name]],'Base Schedules'!$A$205:$AW$241,14,FALSE)),"")</f>
        <v/>
      </c>
      <c r="P21" s="184" t="str">
        <f>IFERROR(IF(VLOOKUP(Wed_W2[[#This Row],[Employee Name]],'Base Schedules'!$A$205:$AW$241,15,FALSE)="","",VLOOKUP(Wed_W2[[#This Row],[Employee Name]],'Base Schedules'!$A$205:$AW$241,15,FALSE)),"")</f>
        <v>HL</v>
      </c>
      <c r="Q21" s="184" t="str">
        <f>IFERROR(IF(VLOOKUP(Wed_W2[[#This Row],[Employee Name]],'Base Schedules'!$A$205:$AW$241,16,FALSE)="","",VLOOKUP(Wed_W2[[#This Row],[Employee Name]],'Base Schedules'!$A$205:$AW$241,16,FALSE)),"")</f>
        <v>HL</v>
      </c>
      <c r="R21" s="184" t="str">
        <f>IFERROR(IF(VLOOKUP(Wed_W2[[#This Row],[Employee Name]],'Base Schedules'!$A$205:$AW$241,17,FALSE)="","",VLOOKUP(Wed_W2[[#This Row],[Employee Name]],'Base Schedules'!$A$205:$AW$241,17,FALSE)),"")</f>
        <v>ADM</v>
      </c>
      <c r="S21" s="184" t="str">
        <f>IFERROR(IF(VLOOKUP(Wed_W2[[#This Row],[Employee Name]],'Base Schedules'!$A$205:$AW$241,18,FALSE)="","",VLOOKUP(Wed_W2[[#This Row],[Employee Name]],'Base Schedules'!$A$205:$AW$241,18,FALSE)),"")</f>
        <v>ADM</v>
      </c>
      <c r="T21" s="184" t="str">
        <f>IFERROR(IF(VLOOKUP(Wed_W2[[#This Row],[Employee Name]],'Base Schedules'!$A$205:$AW$241,19,FALSE)="","",VLOOKUP(Wed_W2[[#This Row],[Employee Name]],'Base Schedules'!$A$205:$AW$241,19,FALSE)),"")</f>
        <v>B1 HL</v>
      </c>
      <c r="U21" s="184" t="str">
        <f>IFERROR(IF(VLOOKUP(Wed_W2[[#This Row],[Employee Name]],'Base Schedules'!$A$205:$AW$241,20,FALSE)="","",VLOOKUP(Wed_W2[[#This Row],[Employee Name]],'Base Schedules'!$A$205:$AW$241,20,FALSE)),"")</f>
        <v>HL</v>
      </c>
      <c r="V21" s="184" t="str">
        <f>IFERROR(IF(VLOOKUP(Wed_W2[[#This Row],[Employee Name]],'Base Schedules'!$A$205:$AW$241,21,FALSE)="","",VLOOKUP(Wed_W2[[#This Row],[Employee Name]],'Base Schedules'!$A$205:$AW$241,21,FALSE)),"")</f>
        <v>HL</v>
      </c>
      <c r="W21" s="184" t="str">
        <f>IFERROR(IF(VLOOKUP(Wed_W2[[#This Row],[Employee Name]],'Base Schedules'!$A$205:$AW$241,22,FALSE)="","",VLOOKUP(Wed_W2[[#This Row],[Employee Name]],'Base Schedules'!$A$205:$AW$241,22,FALSE)),"")</f>
        <v>ADM</v>
      </c>
      <c r="X21" s="184" t="str">
        <f>IFERROR(IF(VLOOKUP(Wed_W2[[#This Row],[Employee Name]],'Base Schedules'!$A$205:$AW$241,23,FALSE)="","",VLOOKUP(Wed_W2[[#This Row],[Employee Name]],'Base Schedules'!$A$205:$AW$241,23,FALSE)),"")</f>
        <v>ADM</v>
      </c>
      <c r="Y21" s="184" t="str">
        <f>IFERROR(IF(VLOOKUP(Wed_W2[[#This Row],[Employee Name]],'Base Schedules'!$A$205:$AW$241,24,FALSE)="","",VLOOKUP(Wed_W2[[#This Row],[Employee Name]],'Base Schedules'!$A$205:$AW$241,24,FALSE)),"")</f>
        <v>LUNCH</v>
      </c>
      <c r="Z21" s="184" t="str">
        <f>IFERROR(IF(VLOOKUP(Wed_W2[[#This Row],[Employee Name]],'Base Schedules'!$A$205:$AW$241,25,FALSE)="","",VLOOKUP(Wed_W2[[#This Row],[Employee Name]],'Base Schedules'!$A$205:$AW$241,25,FALSE)),"")</f>
        <v>ADM</v>
      </c>
      <c r="AA21" s="184" t="str">
        <f>IFERROR(IF(VLOOKUP(Wed_W2[[#This Row],[Employee Name]],'Base Schedules'!$A$205:$AW$241,26,FALSE)="","",VLOOKUP(Wed_W2[[#This Row],[Employee Name]],'Base Schedules'!$A$205:$AW$241,26,FALSE)),"")</f>
        <v>HL</v>
      </c>
      <c r="AB21" s="184" t="str">
        <f>IFERROR(IF(VLOOKUP(Wed_W2[[#This Row],[Employee Name]],'Base Schedules'!$A$205:$AW$241,27,FALSE)="","",VLOOKUP(Wed_W2[[#This Row],[Employee Name]],'Base Schedules'!$A$205:$AW$241,27,FALSE)),"")</f>
        <v>HL</v>
      </c>
      <c r="AC21" s="184" t="str">
        <f>IFERROR(IF(VLOOKUP(Wed_W2[[#This Row],[Employee Name]],'Base Schedules'!$A$205:$AW$241,28,FALSE)="","",VLOOKUP(Wed_W2[[#This Row],[Employee Name]],'Base Schedules'!$A$205:$AW$241,28,FALSE)),"")</f>
        <v>B2 ADM</v>
      </c>
      <c r="AD21" s="184" t="str">
        <f>IFERROR(IF(VLOOKUP(Wed_W2[[#This Row],[Employee Name]],'Base Schedules'!$A$205:$AW$241,29,FALSE)="","",VLOOKUP(Wed_W2[[#This Row],[Employee Name]],'Base Schedules'!$A$205:$AW$241,29,FALSE)),"")</f>
        <v>ADM</v>
      </c>
      <c r="AE21" s="184" t="str">
        <f>IFERROR(IF(VLOOKUP(Wed_W2[[#This Row],[Employee Name]],'Base Schedules'!$A$205:$AW$241,30,FALSE)="","",VLOOKUP(Wed_W2[[#This Row],[Employee Name]],'Base Schedules'!$A$205:$AW$241,30,FALSE)),"")</f>
        <v>ADM</v>
      </c>
      <c r="AF21" s="184" t="str">
        <f>IFERROR(IF(VLOOKUP(Wed_W2[[#This Row],[Employee Name]],'Base Schedules'!$A$205:$AW$241,31,FALSE)="","",VLOOKUP(Wed_W2[[#This Row],[Employee Name]],'Base Schedules'!$A$205:$AW$241,31,FALSE)),"")</f>
        <v>HL</v>
      </c>
      <c r="AG21" s="184" t="str">
        <f>IFERROR(IF(VLOOKUP(Wed_W2[[#This Row],[Employee Name]],'Base Schedules'!$A$205:$AW$241,32,FALSE)="","",VLOOKUP(Wed_W2[[#This Row],[Employee Name]],'Base Schedules'!$A$205:$AW$241,32,FALSE)),"")</f>
        <v/>
      </c>
      <c r="AH21" s="184" t="str">
        <f>IFERROR(IF(VLOOKUP(Wed_W2[[#This Row],[Employee Name]],'Base Schedules'!$A$205:$AW$241,33,FALSE)="","",VLOOKUP(Wed_W2[[#This Row],[Employee Name]],'Base Schedules'!$A$205:$AW$241,33,FALSE)),"")</f>
        <v/>
      </c>
      <c r="AI21" s="184" t="str">
        <f>IFERROR(IF(VLOOKUP(Wed_W2[[#This Row],[Employee Name]],'Base Schedules'!$A$205:$AW$241,34,FALSE)="","",VLOOKUP(Wed_W2[[#This Row],[Employee Name]],'Base Schedules'!$A$205:$AW$241,34,FALSE)),"")</f>
        <v/>
      </c>
      <c r="AJ21" s="184" t="str">
        <f>IFERROR(IF(VLOOKUP(Wed_W2[[#This Row],[Employee Name]],'Base Schedules'!$A$205:$AW$241,35,FALSE)="","",VLOOKUP(Wed_W2[[#This Row],[Employee Name]],'Base Schedules'!$A$205:$AW$241,35,FALSE)),"")</f>
        <v/>
      </c>
      <c r="AK21" s="184" t="str">
        <f>IFERROR(IF(VLOOKUP(Wed_W2[[#This Row],[Employee Name]],'Base Schedules'!$A$205:$AW$241,36,FALSE)="","",VLOOKUP(Wed_W2[[#This Row],[Employee Name]],'Base Schedules'!$A$205:$AW$241,36,FALSE)),"")</f>
        <v/>
      </c>
      <c r="AL21" s="184" t="str">
        <f>IFERROR(IF(VLOOKUP(Wed_W2[[#This Row],[Employee Name]],'Base Schedules'!$A$205:$AW$241,37,FALSE)="","",VLOOKUP(Wed_W2[[#This Row],[Employee Name]],'Base Schedules'!$A$205:$AW$241,37,FALSE)),"")</f>
        <v/>
      </c>
      <c r="AM21" s="184" t="str">
        <f>IFERROR(IF(VLOOKUP(Wed_W2[[#This Row],[Employee Name]],'Base Schedules'!$A$205:$AW$241,38,FALSE)="","",VLOOKUP(Wed_W2[[#This Row],[Employee Name]],'Base Schedules'!$A$205:$AW$241,38,FALSE)),"")</f>
        <v/>
      </c>
      <c r="AN21" s="184" t="str">
        <f>IFERROR(IF(VLOOKUP(Wed_W2[[#This Row],[Employee Name]],'Base Schedules'!$A$205:$AW$241,39,FALSE)="","",VLOOKUP(Wed_W2[[#This Row],[Employee Name]],'Base Schedules'!$A$205:$AW$241,39,FALSE)),"")</f>
        <v/>
      </c>
      <c r="AO21" s="184" t="str">
        <f>IFERROR(IF(VLOOKUP(Wed_W2[[#This Row],[Employee Name]],'Base Schedules'!$A$205:$AW$241,40,FALSE)="","",VLOOKUP(Wed_W2[[#This Row],[Employee Name]],'Base Schedules'!$A$205:$AW$241,40,FALSE)),"")</f>
        <v/>
      </c>
      <c r="AP21" s="184" t="str">
        <f>IFERROR(IF(VLOOKUP(Wed_W2[[#This Row],[Employee Name]],'Base Schedules'!$A$205:$AW$241,41,FALSE)="","",VLOOKUP(Wed_W2[[#This Row],[Employee Name]],'Base Schedules'!$A$205:$AW$241,41,FALSE)),"")</f>
        <v/>
      </c>
      <c r="AQ21" s="184" t="str">
        <f>IFERROR(IF(VLOOKUP(Wed_W2[[#This Row],[Employee Name]],'Base Schedules'!$A$205:$AW$241,42,FALSE)="","",VLOOKUP(Wed_W2[[#This Row],[Employee Name]],'Base Schedules'!$A$205:$AW$241,42,FALSE)),"")</f>
        <v/>
      </c>
      <c r="AR21" s="184" t="str">
        <f>IFERROR(IF(VLOOKUP(Wed_W2[[#This Row],[Employee Name]],'Base Schedules'!$A$205:$AW$241,43,FALSE)="","",VLOOKUP(Wed_W2[[#This Row],[Employee Name]],'Base Schedules'!$A$205:$AW$241,43,FALSE)),"")</f>
        <v/>
      </c>
      <c r="AS21" s="184" t="str">
        <f>IFERROR(IF(VLOOKUP(Wed_W2[[#This Row],[Employee Name]],'Base Schedules'!$A$205:$AW$241,44,FALSE)="","",VLOOKUP(Wed_W2[[#This Row],[Employee Name]],'Base Schedules'!$A$205:$AW$241,44,FALSE)),"")</f>
        <v/>
      </c>
      <c r="AT21" s="184" t="str">
        <f>IFERROR(IF(VLOOKUP(Wed_W2[[#This Row],[Employee Name]],'Base Schedules'!$A$205:$AW$241,45,FALSE)="","",VLOOKUP(Wed_W2[[#This Row],[Employee Name]],'Base Schedules'!$A$205:$AW$241,45,FALSE)),"")</f>
        <v/>
      </c>
      <c r="AU21" s="184" t="str">
        <f>IFERROR(IF(VLOOKUP(Wed_W2[[#This Row],[Employee Name]],'Base Schedules'!$A$205:$AW$241,46,FALSE)="","",VLOOKUP(Wed_W2[[#This Row],[Employee Name]],'Base Schedules'!$A$205:$AW$241,46,FALSE)),"")</f>
        <v/>
      </c>
      <c r="AV21" s="184" t="str">
        <f>IFERROR(IF(VLOOKUP(Wed_W2[[#This Row],[Employee Name]],'Base Schedules'!$A$205:$AW$241,47,FALSE)="","",VLOOKUP(Wed_W2[[#This Row],[Employee Name]],'Base Schedules'!$A$205:$AW$241,47,FALSE)),"")</f>
        <v/>
      </c>
      <c r="AW21" s="184" t="str">
        <f>IFERROR(IF(VLOOKUP(Wed_W2[[#This Row],[Employee Name]],'Base Schedules'!$A$205:$AW$241,48,FALSE)="","",VLOOKUP(Wed_W2[[#This Row],[Employee Name]],'Base Schedules'!$A$205:$AW$241,48,FALSE)),"")</f>
        <v/>
      </c>
      <c r="AX21" s="184" t="str">
        <f>IFERROR(IF(VLOOKUP(Wed_W2[[#This Row],[Employee Name]],'Base Schedules'!$A$205:$AW$241,49,FALSE)="","",VLOOKUP(Wed_W2[[#This Row],[Employee Name]],'Base Schedules'!$A$205:$AW$241,49,FALSE)),"")</f>
        <v/>
      </c>
      <c r="AY21" s="245" t="str">
        <f t="shared" si="2"/>
        <v>Harley, Timothy</v>
      </c>
    </row>
    <row r="22" spans="1:51" s="44" customFormat="1" ht="12" customHeight="1" x14ac:dyDescent="0.2">
      <c r="A22" s="39" t="str">
        <f>IF(B22="","",INDEX(TeamList[],MATCH($B22,TeamList[[Employee Name]:[Employee Name]],0),MATCH("Manager",TeamList[#Headers],0)))</f>
        <v>Ahmed Hassan, Zahra</v>
      </c>
      <c r="B22" s="201" t="s">
        <v>70</v>
      </c>
      <c r="C22" s="257" t="str">
        <f>_xlfn.IFNA(VLOOKUP(Wed_W2[[#This Row],[Employee Name]],'Base Schedules'!A:B,2,FALSE),"")</f>
        <v>Supervisor</v>
      </c>
      <c r="D22" s="274">
        <f>_xlfn.IFNA(VLOOKUP(Wed_W2[[#This Row],[Employee Name]],'Base Schedules'!A:C,3,FALSE),"")</f>
        <v>800</v>
      </c>
      <c r="E22" s="274">
        <f>_xlfn.IFNA(VLOOKUP(Wed_W2[[#This Row],[Employee Name]],'Base Schedules'!A:D,4,FALSE),"")</f>
        <v>1700</v>
      </c>
      <c r="F22" s="142">
        <f>IF(Wed_W2[[#This Row],[Employee Name]]="","",IF(Wed_W2[[#This Row],[Dept]]="Supervisor",COUNTIFS($J22:$AX22,"*HL*",$J22:$AX22,"&lt;&gt;"&amp;"pHL"),COUNTIFS($J22:$AX22,"*HL*",$J22:$AX22,"&lt;&gt;"&amp;"*pHL*",$J22:$AX22,"&lt;&gt;"&amp;"pB1 HL",$J22:$AX22,"&lt;&gt;"&amp;"pB2 HL")-SUM(COUNTIFS($J22:$AX22,"*HL B1*",$J22:$AX22,"&lt;&gt;"&amp;"pHL B1")*0.5,COUNTIFS($J22:$AX22,"*HL B2*",$J22:$AX22,"&lt;&gt;"&amp;"pHL B2")*0.5,COUNTIFS($J22:$AX22,"*B1 HL*",$J22:$AX22,"&lt;&gt;"&amp;"pB1 HL")*0.5,COUNTIFS($J22:$AX22,"*B2 HL*",$J22:$AX22,"&lt;&gt;"&amp;"pB2 HL")*0.5)))</f>
        <v>0</v>
      </c>
      <c r="G22" s="142">
        <f t="shared" si="0"/>
        <v>4</v>
      </c>
      <c r="H22" s="142">
        <f t="shared" si="1"/>
        <v>0</v>
      </c>
      <c r="I22" s="142">
        <f>IF(Wed_W2[[#This Row],[Employee Name]]="","",IF(Wed_W2[[#This Row],[Dept]]="Supervisor",SUM(COUNTIFS($J22:$AX22,"RTA*",$J22:$AX22,"&lt;&gt;"&amp;"pRTA"),COUNTIFS($J22:$AX22,"*CRTA*",$J22:$AX22,"&lt;&gt;"&amp;"pCRTA")),COUNTIFS($J22:$AX22,"*RNNR*",$J22:$AX22,"&lt;&gt;"&amp;"*pRNNR*",$J22:$AX22,"&lt;&gt;"&amp;"pB1 RNNR",$J22:$AX22,"&lt;&gt;"&amp;"pB2 RNNR")-SUM(COUNTIFS($J22:$AX22,"*RNNR B1*",$J22:$AX22,"&lt;&gt;"&amp;"pRNNR B1")*0.5,COUNTIFS($J22:$AX22,"*RNNR B2*",$J22:$AX22,"&lt;&gt;"&amp;"pRNNR B2")*0.5,COUNTIFS($J22:$AX22,"*B1 RNNR*",$J22:$AX22,"&lt;&gt;"&amp;"pB1 RNNR")*0.5,COUNTIFS($J22:$AX22,"*B2 RNNR*",$J22:$AX22,"&lt;&gt;"&amp;"pB2 RNNR")*0.5)))</f>
        <v>0</v>
      </c>
      <c r="J22" s="184" t="str">
        <f>IFERROR(IF(VLOOKUP(Wed_W2[[#This Row],[Employee Name]],'Base Schedules'!$A$205:$AW$241,9,FALSE)="","",VLOOKUP(Wed_W2[[#This Row],[Employee Name]],'Base Schedules'!$A$205:$AW$241,9,FALSE)),"")</f>
        <v/>
      </c>
      <c r="K22" s="184" t="str">
        <f>IFERROR(IF(VLOOKUP(Wed_W2[[#This Row],[Employee Name]],'Base Schedules'!$A$205:$AW$241,10,FALSE)="","",VLOOKUP(Wed_W2[[#This Row],[Employee Name]],'Base Schedules'!$A$205:$AW$241,10,FALSE)),"")</f>
        <v/>
      </c>
      <c r="L22" s="184" t="str">
        <f>IFERROR(IF(VLOOKUP(Wed_W2[[#This Row],[Employee Name]],'Base Schedules'!$A$205:$AW$241,11,FALSE)="","",VLOOKUP(Wed_W2[[#This Row],[Employee Name]],'Base Schedules'!$A$205:$AW$241,11,FALSE)),"")</f>
        <v/>
      </c>
      <c r="M22" s="184" t="str">
        <f>IFERROR(IF(VLOOKUP(Wed_W2[[#This Row],[Employee Name]],'Base Schedules'!$A$205:$AW$241,12,FALSE)="","",VLOOKUP(Wed_W2[[#This Row],[Employee Name]],'Base Schedules'!$A$205:$AW$241,12,FALSE)),"")</f>
        <v/>
      </c>
      <c r="N22" s="184" t="str">
        <f>IFERROR(IF(VLOOKUP(Wed_W2[[#This Row],[Employee Name]],'Base Schedules'!$A$205:$AW$241,13,FALSE)="","",VLOOKUP(Wed_W2[[#This Row],[Employee Name]],'Base Schedules'!$A$205:$AW$241,13,FALSE)),"")</f>
        <v/>
      </c>
      <c r="O22" s="184" t="str">
        <f>IFERROR(IF(VLOOKUP(Wed_W2[[#This Row],[Employee Name]],'Base Schedules'!$A$205:$AW$241,14,FALSE)="","",VLOOKUP(Wed_W2[[#This Row],[Employee Name]],'Base Schedules'!$A$205:$AW$241,14,FALSE)),"")</f>
        <v/>
      </c>
      <c r="P22" s="184" t="str">
        <f>IFERROR(IF(VLOOKUP(Wed_W2[[#This Row],[Employee Name]],'Base Schedules'!$A$205:$AW$241,15,FALSE)="","",VLOOKUP(Wed_W2[[#This Row],[Employee Name]],'Base Schedules'!$A$205:$AW$241,15,FALSE)),"")</f>
        <v>-</v>
      </c>
      <c r="Q22" s="184" t="str">
        <f>IFERROR(IF(VLOOKUP(Wed_W2[[#This Row],[Employee Name]],'Base Schedules'!$A$205:$AW$241,16,FALSE)="","",VLOOKUP(Wed_W2[[#This Row],[Employee Name]],'Base Schedules'!$A$205:$AW$241,16,FALSE)),"")</f>
        <v>-</v>
      </c>
      <c r="R22" s="184" t="str">
        <f>IFERROR(IF(VLOOKUP(Wed_W2[[#This Row],[Employee Name]],'Base Schedules'!$A$205:$AW$241,17,FALSE)="","",VLOOKUP(Wed_W2[[#This Row],[Employee Name]],'Base Schedules'!$A$205:$AW$241,17,FALSE)),"")</f>
        <v>-</v>
      </c>
      <c r="S22" s="184" t="str">
        <f>IFERROR(IF(VLOOKUP(Wed_W2[[#This Row],[Employee Name]],'Base Schedules'!$A$205:$AW$241,18,FALSE)="","",VLOOKUP(Wed_W2[[#This Row],[Employee Name]],'Base Schedules'!$A$205:$AW$241,18,FALSE)),"")</f>
        <v>-</v>
      </c>
      <c r="T22" s="184" t="str">
        <f>IFERROR(IF(VLOOKUP(Wed_W2[[#This Row],[Employee Name]],'Base Schedules'!$A$205:$AW$241,19,FALSE)="","",VLOOKUP(Wed_W2[[#This Row],[Employee Name]],'Base Schedules'!$A$205:$AW$241,19,FALSE)),"")</f>
        <v>-</v>
      </c>
      <c r="U22" s="184" t="str">
        <f>IFERROR(IF(VLOOKUP(Wed_W2[[#This Row],[Employee Name]],'Base Schedules'!$A$205:$AW$241,20,FALSE)="","",VLOOKUP(Wed_W2[[#This Row],[Employee Name]],'Base Schedules'!$A$205:$AW$241,20,FALSE)),"")</f>
        <v>-</v>
      </c>
      <c r="V22" s="184" t="str">
        <f>IFERROR(IF(VLOOKUP(Wed_W2[[#This Row],[Employee Name]],'Base Schedules'!$A$205:$AW$241,21,FALSE)="","",VLOOKUP(Wed_W2[[#This Row],[Employee Name]],'Base Schedules'!$A$205:$AW$241,21,FALSE)),"")</f>
        <v>-</v>
      </c>
      <c r="W22" s="184" t="str">
        <f>IFERROR(IF(VLOOKUP(Wed_W2[[#This Row],[Employee Name]],'Base Schedules'!$A$205:$AW$241,22,FALSE)="","",VLOOKUP(Wed_W2[[#This Row],[Employee Name]],'Base Schedules'!$A$205:$AW$241,22,FALSE)),"")</f>
        <v>-</v>
      </c>
      <c r="X22" s="184" t="str">
        <f>IFERROR(IF(VLOOKUP(Wed_W2[[#This Row],[Employee Name]],'Base Schedules'!$A$205:$AW$241,23,FALSE)="","",VLOOKUP(Wed_W2[[#This Row],[Employee Name]],'Base Schedules'!$A$205:$AW$241,23,FALSE)),"")</f>
        <v>-</v>
      </c>
      <c r="Y22" s="184" t="str">
        <f>IFERROR(IF(VLOOKUP(Wed_W2[[#This Row],[Employee Name]],'Base Schedules'!$A$205:$AW$241,24,FALSE)="","",VLOOKUP(Wed_W2[[#This Row],[Employee Name]],'Base Schedules'!$A$205:$AW$241,24,FALSE)),"")</f>
        <v>-</v>
      </c>
      <c r="Z22" s="184" t="str">
        <f>IFERROR(IF(VLOOKUP(Wed_W2[[#This Row],[Employee Name]],'Base Schedules'!$A$205:$AW$241,25,FALSE)="","",VLOOKUP(Wed_W2[[#This Row],[Employee Name]],'Base Schedules'!$A$205:$AW$241,25,FALSE)),"")</f>
        <v>Interview</v>
      </c>
      <c r="AA22" s="184" t="str">
        <f>IFERROR(IF(VLOOKUP(Wed_W2[[#This Row],[Employee Name]],'Base Schedules'!$A$205:$AW$241,26,FALSE)="","",VLOOKUP(Wed_W2[[#This Row],[Employee Name]],'Base Schedules'!$A$205:$AW$241,26,FALSE)),"")</f>
        <v>Interview</v>
      </c>
      <c r="AB22" s="184" t="str">
        <f>IFERROR(IF(VLOOKUP(Wed_W2[[#This Row],[Employee Name]],'Base Schedules'!$A$205:$AW$241,27,FALSE)="","",VLOOKUP(Wed_W2[[#This Row],[Employee Name]],'Base Schedules'!$A$205:$AW$241,27,FALSE)),"")</f>
        <v>Coaching</v>
      </c>
      <c r="AC22" s="184" t="str">
        <f>IFERROR(IF(VLOOKUP(Wed_W2[[#This Row],[Employee Name]],'Base Schedules'!$A$205:$AW$241,28,FALSE)="","",VLOOKUP(Wed_W2[[#This Row],[Employee Name]],'Base Schedules'!$A$205:$AW$241,28,FALSE)),"")</f>
        <v>Coaching</v>
      </c>
      <c r="AD22" s="184" t="str">
        <f>IFERROR(IF(VLOOKUP(Wed_W2[[#This Row],[Employee Name]],'Base Schedules'!$A$205:$AW$241,29,FALSE)="","",VLOOKUP(Wed_W2[[#This Row],[Employee Name]],'Base Schedules'!$A$205:$AW$241,29,FALSE)),"")</f>
        <v>Coaching</v>
      </c>
      <c r="AE22" s="184" t="str">
        <f>IFERROR(IF(VLOOKUP(Wed_W2[[#This Row],[Employee Name]],'Base Schedules'!$A$205:$AW$241,30,FALSE)="","",VLOOKUP(Wed_W2[[#This Row],[Employee Name]],'Base Schedules'!$A$205:$AW$241,30,FALSE)),"")</f>
        <v>Coaching</v>
      </c>
      <c r="AF22" s="184" t="str">
        <f>IFERROR(IF(VLOOKUP(Wed_W2[[#This Row],[Employee Name]],'Base Schedules'!$A$205:$AW$241,31,FALSE)="","",VLOOKUP(Wed_W2[[#This Row],[Employee Name]],'Base Schedules'!$A$205:$AW$241,31,FALSE)),"")</f>
        <v>-</v>
      </c>
      <c r="AG22" s="184" t="str">
        <f>IFERROR(IF(VLOOKUP(Wed_W2[[#This Row],[Employee Name]],'Base Schedules'!$A$205:$AW$241,32,FALSE)="","",VLOOKUP(Wed_W2[[#This Row],[Employee Name]],'Base Schedules'!$A$205:$AW$241,32,FALSE)),"")</f>
        <v>-</v>
      </c>
      <c r="AH22" s="184" t="str">
        <f>IFERROR(IF(VLOOKUP(Wed_W2[[#This Row],[Employee Name]],'Base Schedules'!$A$205:$AW$241,33,FALSE)="","",VLOOKUP(Wed_W2[[#This Row],[Employee Name]],'Base Schedules'!$A$205:$AW$241,33,FALSE)),"")</f>
        <v/>
      </c>
      <c r="AI22" s="184" t="str">
        <f>IFERROR(IF(VLOOKUP(Wed_W2[[#This Row],[Employee Name]],'Base Schedules'!$A$205:$AW$241,34,FALSE)="","",VLOOKUP(Wed_W2[[#This Row],[Employee Name]],'Base Schedules'!$A$205:$AW$241,34,FALSE)),"")</f>
        <v/>
      </c>
      <c r="AJ22" s="184" t="str">
        <f>IFERROR(IF(VLOOKUP(Wed_W2[[#This Row],[Employee Name]],'Base Schedules'!$A$205:$AW$241,35,FALSE)="","",VLOOKUP(Wed_W2[[#This Row],[Employee Name]],'Base Schedules'!$A$205:$AW$241,35,FALSE)),"")</f>
        <v/>
      </c>
      <c r="AK22" s="184" t="str">
        <f>IFERROR(IF(VLOOKUP(Wed_W2[[#This Row],[Employee Name]],'Base Schedules'!$A$205:$AW$241,36,FALSE)="","",VLOOKUP(Wed_W2[[#This Row],[Employee Name]],'Base Schedules'!$A$205:$AW$241,36,FALSE)),"")</f>
        <v/>
      </c>
      <c r="AL22" s="184" t="str">
        <f>IFERROR(IF(VLOOKUP(Wed_W2[[#This Row],[Employee Name]],'Base Schedules'!$A$205:$AW$241,37,FALSE)="","",VLOOKUP(Wed_W2[[#This Row],[Employee Name]],'Base Schedules'!$A$205:$AW$241,37,FALSE)),"")</f>
        <v/>
      </c>
      <c r="AM22" s="184" t="str">
        <f>IFERROR(IF(VLOOKUP(Wed_W2[[#This Row],[Employee Name]],'Base Schedules'!$A$205:$AW$241,38,FALSE)="","",VLOOKUP(Wed_W2[[#This Row],[Employee Name]],'Base Schedules'!$A$205:$AW$241,38,FALSE)),"")</f>
        <v/>
      </c>
      <c r="AN22" s="184" t="str">
        <f>IFERROR(IF(VLOOKUP(Wed_W2[[#This Row],[Employee Name]],'Base Schedules'!$A$205:$AW$241,39,FALSE)="","",VLOOKUP(Wed_W2[[#This Row],[Employee Name]],'Base Schedules'!$A$205:$AW$241,39,FALSE)),"")</f>
        <v/>
      </c>
      <c r="AO22" s="184" t="str">
        <f>IFERROR(IF(VLOOKUP(Wed_W2[[#This Row],[Employee Name]],'Base Schedules'!$A$205:$AW$241,40,FALSE)="","",VLOOKUP(Wed_W2[[#This Row],[Employee Name]],'Base Schedules'!$A$205:$AW$241,40,FALSE)),"")</f>
        <v/>
      </c>
      <c r="AP22" s="184" t="str">
        <f>IFERROR(IF(VLOOKUP(Wed_W2[[#This Row],[Employee Name]],'Base Schedules'!$A$205:$AW$241,41,FALSE)="","",VLOOKUP(Wed_W2[[#This Row],[Employee Name]],'Base Schedules'!$A$205:$AW$241,41,FALSE)),"")</f>
        <v/>
      </c>
      <c r="AQ22" s="184" t="str">
        <f>IFERROR(IF(VLOOKUP(Wed_W2[[#This Row],[Employee Name]],'Base Schedules'!$A$205:$AW$241,42,FALSE)="","",VLOOKUP(Wed_W2[[#This Row],[Employee Name]],'Base Schedules'!$A$205:$AW$241,42,FALSE)),"")</f>
        <v/>
      </c>
      <c r="AR22" s="184" t="str">
        <f>IFERROR(IF(VLOOKUP(Wed_W2[[#This Row],[Employee Name]],'Base Schedules'!$A$205:$AW$241,43,FALSE)="","",VLOOKUP(Wed_W2[[#This Row],[Employee Name]],'Base Schedules'!$A$205:$AW$241,43,FALSE)),"")</f>
        <v/>
      </c>
      <c r="AS22" s="184" t="str">
        <f>IFERROR(IF(VLOOKUP(Wed_W2[[#This Row],[Employee Name]],'Base Schedules'!$A$205:$AW$241,44,FALSE)="","",VLOOKUP(Wed_W2[[#This Row],[Employee Name]],'Base Schedules'!$A$205:$AW$241,44,FALSE)),"")</f>
        <v/>
      </c>
      <c r="AT22" s="184" t="str">
        <f>IFERROR(IF(VLOOKUP(Wed_W2[[#This Row],[Employee Name]],'Base Schedules'!$A$205:$AW$241,45,FALSE)="","",VLOOKUP(Wed_W2[[#This Row],[Employee Name]],'Base Schedules'!$A$205:$AW$241,45,FALSE)),"")</f>
        <v/>
      </c>
      <c r="AU22" s="184" t="str">
        <f>IFERROR(IF(VLOOKUP(Wed_W2[[#This Row],[Employee Name]],'Base Schedules'!$A$205:$AW$241,46,FALSE)="","",VLOOKUP(Wed_W2[[#This Row],[Employee Name]],'Base Schedules'!$A$205:$AW$241,46,FALSE)),"")</f>
        <v/>
      </c>
      <c r="AV22" s="184" t="str">
        <f>IFERROR(IF(VLOOKUP(Wed_W2[[#This Row],[Employee Name]],'Base Schedules'!$A$205:$AW$241,47,FALSE)="","",VLOOKUP(Wed_W2[[#This Row],[Employee Name]],'Base Schedules'!$A$205:$AW$241,47,FALSE)),"")</f>
        <v/>
      </c>
      <c r="AW22" s="184" t="str">
        <f>IFERROR(IF(VLOOKUP(Wed_W2[[#This Row],[Employee Name]],'Base Schedules'!$A$205:$AW$241,48,FALSE)="","",VLOOKUP(Wed_W2[[#This Row],[Employee Name]],'Base Schedules'!$A$205:$AW$241,48,FALSE)),"")</f>
        <v/>
      </c>
      <c r="AX22" s="184" t="str">
        <f>IFERROR(IF(VLOOKUP(Wed_W2[[#This Row],[Employee Name]],'Base Schedules'!$A$205:$AW$241,49,FALSE)="","",VLOOKUP(Wed_W2[[#This Row],[Employee Name]],'Base Schedules'!$A$205:$AW$241,49,FALSE)),"")</f>
        <v/>
      </c>
      <c r="AY22" s="245" t="str">
        <f t="shared" si="2"/>
        <v>Vasbinder, Ryan</v>
      </c>
    </row>
    <row r="23" spans="1:51" s="44" customFormat="1" ht="12" customHeight="1" x14ac:dyDescent="0.2">
      <c r="A23" s="39" t="str">
        <f>IF(B23="","",INDEX(TeamList[],MATCH($B23,TeamList[[Employee Name]:[Employee Name]],0),MATCH("Manager",TeamList[#Headers],0)))</f>
        <v>Ahmed Hassan, Zahra</v>
      </c>
      <c r="B23" s="333" t="s">
        <v>53</v>
      </c>
      <c r="C23" s="257" t="str">
        <f>_xlfn.IFNA(VLOOKUP(Wed_W2[[#This Row],[Employee Name]],'Base Schedules'!A:B,2,FALSE),"")</f>
        <v>Supervisor</v>
      </c>
      <c r="D23" s="274">
        <f>_xlfn.IFNA(VLOOKUP(Wed_W2[[#This Row],[Employee Name]],'Base Schedules'!A:C,3,FALSE),"")</f>
        <v>830</v>
      </c>
      <c r="E23" s="274">
        <f>_xlfn.IFNA(VLOOKUP(Wed_W2[[#This Row],[Employee Name]],'Base Schedules'!A:D,4,FALSE),"")</f>
        <v>1730</v>
      </c>
      <c r="F23" s="142">
        <f>IF(Wed_W2[[#This Row],[Employee Name]]="","",IF(Wed_W2[[#This Row],[Dept]]="Supervisor",COUNTIFS($J23:$AX23,"*HL*",$J23:$AX23,"&lt;&gt;"&amp;"pHL"),COUNTIFS($J23:$AX23,"*HL*",$J23:$AX23,"&lt;&gt;"&amp;"*pHL*",$J23:$AX23,"&lt;&gt;"&amp;"pB1 HL",$J23:$AX23,"&lt;&gt;"&amp;"pB2 HL")-SUM(COUNTIFS($J23:$AX23,"*HL B1*",$J23:$AX23,"&lt;&gt;"&amp;"pHL B1")*0.5,COUNTIFS($J23:$AX23,"*HL B2*",$J23:$AX23,"&lt;&gt;"&amp;"pHL B2")*0.5,COUNTIFS($J23:$AX23,"*B1 HL*",$J23:$AX23,"&lt;&gt;"&amp;"pB1 HL")*0.5,COUNTIFS($J23:$AX23,"*B2 HL*",$J23:$AX23,"&lt;&gt;"&amp;"pB2 HL")*0.5)))</f>
        <v>0</v>
      </c>
      <c r="G23" s="142">
        <f t="shared" si="0"/>
        <v>4</v>
      </c>
      <c r="H23" s="142">
        <f t="shared" si="1"/>
        <v>0</v>
      </c>
      <c r="I23" s="142">
        <f>IF(Wed_W2[[#This Row],[Employee Name]]="","",IF(Wed_W2[[#This Row],[Dept]]="Supervisor",SUM(COUNTIFS($J23:$AX23,"RTA*",$J23:$AX23,"&lt;&gt;"&amp;"pRTA"),COUNTIFS($J23:$AX23,"*CRTA*",$J23:$AX23,"&lt;&gt;"&amp;"pCRTA")),COUNTIFS($J23:$AX23,"*RNNR*",$J23:$AX23,"&lt;&gt;"&amp;"*pRNNR*",$J23:$AX23,"&lt;&gt;"&amp;"pB1 RNNR",$J23:$AX23,"&lt;&gt;"&amp;"pB2 RNNR")-SUM(COUNTIFS($J23:$AX23,"*RNNR B1*",$J23:$AX23,"&lt;&gt;"&amp;"pRNNR B1")*0.5,COUNTIFS($J23:$AX23,"*RNNR B2*",$J23:$AX23,"&lt;&gt;"&amp;"pRNNR B2")*0.5,COUNTIFS($J23:$AX23,"*B1 RNNR*",$J23:$AX23,"&lt;&gt;"&amp;"pB1 RNNR")*0.5,COUNTIFS($J23:$AX23,"*B2 RNNR*",$J23:$AX23,"&lt;&gt;"&amp;"pB2 RNNR")*0.5)))</f>
        <v>0</v>
      </c>
      <c r="J23" s="184" t="str">
        <f>IFERROR(IF(VLOOKUP(Wed_W2[[#This Row],[Employee Name]],'Base Schedules'!$A$205:$AW$241,9,FALSE)="","",VLOOKUP(Wed_W2[[#This Row],[Employee Name]],'Base Schedules'!$A$205:$AW$241,9,FALSE)),"")</f>
        <v/>
      </c>
      <c r="K23" s="184" t="str">
        <f>IFERROR(IF(VLOOKUP(Wed_W2[[#This Row],[Employee Name]],'Base Schedules'!$A$205:$AW$241,10,FALSE)="","",VLOOKUP(Wed_W2[[#This Row],[Employee Name]],'Base Schedules'!$A$205:$AW$241,10,FALSE)),"")</f>
        <v/>
      </c>
      <c r="L23" s="184" t="str">
        <f>IFERROR(IF(VLOOKUP(Wed_W2[[#This Row],[Employee Name]],'Base Schedules'!$A$205:$AW$241,11,FALSE)="","",VLOOKUP(Wed_W2[[#This Row],[Employee Name]],'Base Schedules'!$A$205:$AW$241,11,FALSE)),"")</f>
        <v/>
      </c>
      <c r="M23" s="184" t="str">
        <f>IFERROR(IF(VLOOKUP(Wed_W2[[#This Row],[Employee Name]],'Base Schedules'!$A$205:$AW$241,12,FALSE)="","",VLOOKUP(Wed_W2[[#This Row],[Employee Name]],'Base Schedules'!$A$205:$AW$241,12,FALSE)),"")</f>
        <v/>
      </c>
      <c r="N23" s="184" t="str">
        <f>IFERROR(IF(VLOOKUP(Wed_W2[[#This Row],[Employee Name]],'Base Schedules'!$A$205:$AW$241,13,FALSE)="","",VLOOKUP(Wed_W2[[#This Row],[Employee Name]],'Base Schedules'!$A$205:$AW$241,13,FALSE)),"")</f>
        <v/>
      </c>
      <c r="O23" s="184" t="str">
        <f>IFERROR(IF(VLOOKUP(Wed_W2[[#This Row],[Employee Name]],'Base Schedules'!$A$205:$AW$241,14,FALSE)="","",VLOOKUP(Wed_W2[[#This Row],[Employee Name]],'Base Schedules'!$A$205:$AW$241,14,FALSE)),"")</f>
        <v/>
      </c>
      <c r="P23" s="184" t="str">
        <f>IFERROR(IF(VLOOKUP(Wed_W2[[#This Row],[Employee Name]],'Base Schedules'!$A$205:$AW$241,15,FALSE)="","",VLOOKUP(Wed_W2[[#This Row],[Employee Name]],'Base Schedules'!$A$205:$AW$241,15,FALSE)),"")</f>
        <v/>
      </c>
      <c r="Q23" s="184" t="str">
        <f>IFERROR(IF(VLOOKUP(Wed_W2[[#This Row],[Employee Name]],'Base Schedules'!$A$205:$AW$241,16,FALSE)="","",VLOOKUP(Wed_W2[[#This Row],[Employee Name]],'Base Schedules'!$A$205:$AW$241,16,FALSE)),"")</f>
        <v>-</v>
      </c>
      <c r="R23" s="184" t="str">
        <f>IFERROR(IF(VLOOKUP(Wed_W2[[#This Row],[Employee Name]],'Base Schedules'!$A$205:$AW$241,17,FALSE)="","",VLOOKUP(Wed_W2[[#This Row],[Employee Name]],'Base Schedules'!$A$205:$AW$241,17,FALSE)),"")</f>
        <v>-</v>
      </c>
      <c r="S23" s="184" t="str">
        <f>IFERROR(IF(VLOOKUP(Wed_W2[[#This Row],[Employee Name]],'Base Schedules'!$A$205:$AW$241,18,FALSE)="","",VLOOKUP(Wed_W2[[#This Row],[Employee Name]],'Base Schedules'!$A$205:$AW$241,18,FALSE)),"")</f>
        <v>-</v>
      </c>
      <c r="T23" s="184" t="str">
        <f>IFERROR(IF(VLOOKUP(Wed_W2[[#This Row],[Employee Name]],'Base Schedules'!$A$205:$AW$241,19,FALSE)="","",VLOOKUP(Wed_W2[[#This Row],[Employee Name]],'Base Schedules'!$A$205:$AW$241,19,FALSE)),"")</f>
        <v>Coaching</v>
      </c>
      <c r="U23" s="184" t="str">
        <f>IFERROR(IF(VLOOKUP(Wed_W2[[#This Row],[Employee Name]],'Base Schedules'!$A$205:$AW$241,20,FALSE)="","",VLOOKUP(Wed_W2[[#This Row],[Employee Name]],'Base Schedules'!$A$205:$AW$241,20,FALSE)),"")</f>
        <v>Coaching</v>
      </c>
      <c r="V23" s="184" t="str">
        <f>IFERROR(IF(VLOOKUP(Wed_W2[[#This Row],[Employee Name]],'Base Schedules'!$A$205:$AW$241,21,FALSE)="","",VLOOKUP(Wed_W2[[#This Row],[Employee Name]],'Base Schedules'!$A$205:$AW$241,21,FALSE)),"")</f>
        <v>Coaching</v>
      </c>
      <c r="W23" s="184" t="str">
        <f>IFERROR(IF(VLOOKUP(Wed_W2[[#This Row],[Employee Name]],'Base Schedules'!$A$205:$AW$241,22,FALSE)="","",VLOOKUP(Wed_W2[[#This Row],[Employee Name]],'Base Schedules'!$A$205:$AW$241,22,FALSE)),"")</f>
        <v>Coaching</v>
      </c>
      <c r="X23" s="184" t="str">
        <f>IFERROR(IF(VLOOKUP(Wed_W2[[#This Row],[Employee Name]],'Base Schedules'!$A$205:$AW$241,23,FALSE)="","",VLOOKUP(Wed_W2[[#This Row],[Employee Name]],'Base Schedules'!$A$205:$AW$241,23,FALSE)),"")</f>
        <v>-</v>
      </c>
      <c r="Y23" s="184" t="str">
        <f>IFERROR(IF(VLOOKUP(Wed_W2[[#This Row],[Employee Name]],'Base Schedules'!$A$205:$AW$241,24,FALSE)="","",VLOOKUP(Wed_W2[[#This Row],[Employee Name]],'Base Schedules'!$A$205:$AW$241,24,FALSE)),"")</f>
        <v>-</v>
      </c>
      <c r="Z23" s="184" t="str">
        <f>IFERROR(IF(VLOOKUP(Wed_W2[[#This Row],[Employee Name]],'Base Schedules'!$A$205:$AW$241,25,FALSE)="","",VLOOKUP(Wed_W2[[#This Row],[Employee Name]],'Base Schedules'!$A$205:$AW$241,25,FALSE)),"")</f>
        <v>-</v>
      </c>
      <c r="AA23" s="184" t="str">
        <f>IFERROR(IF(VLOOKUP(Wed_W2[[#This Row],[Employee Name]],'Base Schedules'!$A$205:$AW$241,26,FALSE)="","",VLOOKUP(Wed_W2[[#This Row],[Employee Name]],'Base Schedules'!$A$205:$AW$241,26,FALSE)),"")</f>
        <v>-</v>
      </c>
      <c r="AB23" s="184" t="str">
        <f>IFERROR(IF(VLOOKUP(Wed_W2[[#This Row],[Employee Name]],'Base Schedules'!$A$205:$AW$241,27,FALSE)="","",VLOOKUP(Wed_W2[[#This Row],[Employee Name]],'Base Schedules'!$A$205:$AW$241,27,FALSE)),"")</f>
        <v>Interview</v>
      </c>
      <c r="AC23" s="184" t="str">
        <f>IFERROR(IF(VLOOKUP(Wed_W2[[#This Row],[Employee Name]],'Base Schedules'!$A$205:$AW$241,28,FALSE)="","",VLOOKUP(Wed_W2[[#This Row],[Employee Name]],'Base Schedules'!$A$205:$AW$241,28,FALSE)),"")</f>
        <v>Interview</v>
      </c>
      <c r="AD23" s="184" t="str">
        <f>IFERROR(IF(VLOOKUP(Wed_W2[[#This Row],[Employee Name]],'Base Schedules'!$A$205:$AW$241,29,FALSE)="","",VLOOKUP(Wed_W2[[#This Row],[Employee Name]],'Base Schedules'!$A$205:$AW$241,29,FALSE)),"")</f>
        <v>-</v>
      </c>
      <c r="AE23" s="184" t="str">
        <f>IFERROR(IF(VLOOKUP(Wed_W2[[#This Row],[Employee Name]],'Base Schedules'!$A$205:$AW$241,30,FALSE)="","",VLOOKUP(Wed_W2[[#This Row],[Employee Name]],'Base Schedules'!$A$205:$AW$241,30,FALSE)),"")</f>
        <v>-</v>
      </c>
      <c r="AF23" s="184" t="str">
        <f>IFERROR(IF(VLOOKUP(Wed_W2[[#This Row],[Employee Name]],'Base Schedules'!$A$205:$AW$241,31,FALSE)="","",VLOOKUP(Wed_W2[[#This Row],[Employee Name]],'Base Schedules'!$A$205:$AW$241,31,FALSE)),"")</f>
        <v>Team RL TM</v>
      </c>
      <c r="AG23" s="184" t="str">
        <f>IFERROR(IF(VLOOKUP(Wed_W2[[#This Row],[Employee Name]],'Base Schedules'!$A$205:$AW$241,32,FALSE)="","",VLOOKUP(Wed_W2[[#This Row],[Employee Name]],'Base Schedules'!$A$205:$AW$241,32,FALSE)),"")</f>
        <v>Team RL TM</v>
      </c>
      <c r="AH23" s="184" t="str">
        <f>IFERROR(IF(VLOOKUP(Wed_W2[[#This Row],[Employee Name]],'Base Schedules'!$A$205:$AW$241,33,FALSE)="","",VLOOKUP(Wed_W2[[#This Row],[Employee Name]],'Base Schedules'!$A$205:$AW$241,33,FALSE)),"")</f>
        <v>-</v>
      </c>
      <c r="AI23" s="184" t="str">
        <f>IFERROR(IF(VLOOKUP(Wed_W2[[#This Row],[Employee Name]],'Base Schedules'!$A$205:$AW$241,34,FALSE)="","",VLOOKUP(Wed_W2[[#This Row],[Employee Name]],'Base Schedules'!$A$205:$AW$241,34,FALSE)),"")</f>
        <v/>
      </c>
      <c r="AJ23" s="184" t="str">
        <f>IFERROR(IF(VLOOKUP(Wed_W2[[#This Row],[Employee Name]],'Base Schedules'!$A$205:$AW$241,35,FALSE)="","",VLOOKUP(Wed_W2[[#This Row],[Employee Name]],'Base Schedules'!$A$205:$AW$241,35,FALSE)),"")</f>
        <v/>
      </c>
      <c r="AK23" s="184" t="str">
        <f>IFERROR(IF(VLOOKUP(Wed_W2[[#This Row],[Employee Name]],'Base Schedules'!$A$205:$AW$241,36,FALSE)="","",VLOOKUP(Wed_W2[[#This Row],[Employee Name]],'Base Schedules'!$A$205:$AW$241,36,FALSE)),"")</f>
        <v/>
      </c>
      <c r="AL23" s="184" t="str">
        <f>IFERROR(IF(VLOOKUP(Wed_W2[[#This Row],[Employee Name]],'Base Schedules'!$A$205:$AW$241,37,FALSE)="","",VLOOKUP(Wed_W2[[#This Row],[Employee Name]],'Base Schedules'!$A$205:$AW$241,37,FALSE)),"")</f>
        <v/>
      </c>
      <c r="AM23" s="184" t="str">
        <f>IFERROR(IF(VLOOKUP(Wed_W2[[#This Row],[Employee Name]],'Base Schedules'!$A$205:$AW$241,38,FALSE)="","",VLOOKUP(Wed_W2[[#This Row],[Employee Name]],'Base Schedules'!$A$205:$AW$241,38,FALSE)),"")</f>
        <v/>
      </c>
      <c r="AN23" s="184" t="str">
        <f>IFERROR(IF(VLOOKUP(Wed_W2[[#This Row],[Employee Name]],'Base Schedules'!$A$205:$AW$241,39,FALSE)="","",VLOOKUP(Wed_W2[[#This Row],[Employee Name]],'Base Schedules'!$A$205:$AW$241,39,FALSE)),"")</f>
        <v/>
      </c>
      <c r="AO23" s="184" t="str">
        <f>IFERROR(IF(VLOOKUP(Wed_W2[[#This Row],[Employee Name]],'Base Schedules'!$A$205:$AW$241,40,FALSE)="","",VLOOKUP(Wed_W2[[#This Row],[Employee Name]],'Base Schedules'!$A$205:$AW$241,40,FALSE)),"")</f>
        <v/>
      </c>
      <c r="AP23" s="184" t="str">
        <f>IFERROR(IF(VLOOKUP(Wed_W2[[#This Row],[Employee Name]],'Base Schedules'!$A$205:$AW$241,41,FALSE)="","",VLOOKUP(Wed_W2[[#This Row],[Employee Name]],'Base Schedules'!$A$205:$AW$241,41,FALSE)),"")</f>
        <v/>
      </c>
      <c r="AQ23" s="184" t="str">
        <f>IFERROR(IF(VLOOKUP(Wed_W2[[#This Row],[Employee Name]],'Base Schedules'!$A$205:$AW$241,42,FALSE)="","",VLOOKUP(Wed_W2[[#This Row],[Employee Name]],'Base Schedules'!$A$205:$AW$241,42,FALSE)),"")</f>
        <v/>
      </c>
      <c r="AR23" s="184" t="str">
        <f>IFERROR(IF(VLOOKUP(Wed_W2[[#This Row],[Employee Name]],'Base Schedules'!$A$205:$AW$241,43,FALSE)="","",VLOOKUP(Wed_W2[[#This Row],[Employee Name]],'Base Schedules'!$A$205:$AW$241,43,FALSE)),"")</f>
        <v/>
      </c>
      <c r="AS23" s="184" t="str">
        <f>IFERROR(IF(VLOOKUP(Wed_W2[[#This Row],[Employee Name]],'Base Schedules'!$A$205:$AW$241,44,FALSE)="","",VLOOKUP(Wed_W2[[#This Row],[Employee Name]],'Base Schedules'!$A$205:$AW$241,44,FALSE)),"")</f>
        <v/>
      </c>
      <c r="AT23" s="184" t="str">
        <f>IFERROR(IF(VLOOKUP(Wed_W2[[#This Row],[Employee Name]],'Base Schedules'!$A$205:$AW$241,45,FALSE)="","",VLOOKUP(Wed_W2[[#This Row],[Employee Name]],'Base Schedules'!$A$205:$AW$241,45,FALSE)),"")</f>
        <v/>
      </c>
      <c r="AU23" s="184" t="str">
        <f>IFERROR(IF(VLOOKUP(Wed_W2[[#This Row],[Employee Name]],'Base Schedules'!$A$205:$AW$241,46,FALSE)="","",VLOOKUP(Wed_W2[[#This Row],[Employee Name]],'Base Schedules'!$A$205:$AW$241,46,FALSE)),"")</f>
        <v/>
      </c>
      <c r="AV23" s="184" t="str">
        <f>IFERROR(IF(VLOOKUP(Wed_W2[[#This Row],[Employee Name]],'Base Schedules'!$A$205:$AW$241,47,FALSE)="","",VLOOKUP(Wed_W2[[#This Row],[Employee Name]],'Base Schedules'!$A$205:$AW$241,47,FALSE)),"")</f>
        <v/>
      </c>
      <c r="AW23" s="184" t="str">
        <f>IFERROR(IF(VLOOKUP(Wed_W2[[#This Row],[Employee Name]],'Base Schedules'!$A$205:$AW$241,48,FALSE)="","",VLOOKUP(Wed_W2[[#This Row],[Employee Name]],'Base Schedules'!$A$205:$AW$241,48,FALSE)),"")</f>
        <v/>
      </c>
      <c r="AX23" s="184" t="str">
        <f>IFERROR(IF(VLOOKUP(Wed_W2[[#This Row],[Employee Name]],'Base Schedules'!$A$205:$AW$241,49,FALSE)="","",VLOOKUP(Wed_W2[[#This Row],[Employee Name]],'Base Schedules'!$A$205:$AW$241,49,FALSE)),"")</f>
        <v/>
      </c>
      <c r="AY23" s="245" t="str">
        <f t="shared" si="2"/>
        <v>Stevens, Amanda</v>
      </c>
    </row>
    <row r="24" spans="1:51" s="44" customFormat="1" ht="12" customHeight="1" x14ac:dyDescent="0.2">
      <c r="A24" s="39" t="str">
        <f>IF(B24="","",INDEX(TeamList[],MATCH($B24,TeamList[[Employee Name]:[Employee Name]],0),MATCH("Manager",TeamList[#Headers],0)))</f>
        <v>Olson, Katherine</v>
      </c>
      <c r="B24" s="201" t="s">
        <v>231</v>
      </c>
      <c r="C24" s="257" t="str">
        <f>_xlfn.IFNA(VLOOKUP(Wed_W2[[#This Row],[Employee Name]],'Base Schedules'!A:B,2,FALSE),"")</f>
        <v>Lead</v>
      </c>
      <c r="D24" s="274">
        <f>_xlfn.IFNA(VLOOKUP(Wed_W2[[#This Row],[Employee Name]],'Base Schedules'!A:C,3,FALSE),"")</f>
        <v>900</v>
      </c>
      <c r="E24" s="274">
        <f>_xlfn.IFNA(VLOOKUP(Wed_W2[[#This Row],[Employee Name]],'Base Schedules'!A:D,4,FALSE),"")</f>
        <v>1730</v>
      </c>
      <c r="F24" s="142">
        <f>IF(Wed_W2[[#This Row],[Employee Name]]="","",IF(Wed_W2[[#This Row],[Dept]]="Supervisor",COUNTIFS($J24:$AX24,"*HL*",$J24:$AX24,"&lt;&gt;"&amp;"pHL"),COUNTIFS($J24:$AX24,"*HL*",$J24:$AX24,"&lt;&gt;"&amp;"*pHL*",$J24:$AX24,"&lt;&gt;"&amp;"pB1 HL",$J24:$AX24,"&lt;&gt;"&amp;"pB2 HL")-SUM(COUNTIFS($J24:$AX24,"*HL B1*",$J24:$AX24,"&lt;&gt;"&amp;"pHL B1")*0.5,COUNTIFS($J24:$AX24,"*HL B2*",$J24:$AX24,"&lt;&gt;"&amp;"pHL B2")*0.5,COUNTIFS($J24:$AX24,"*B1 HL*",$J24:$AX24,"&lt;&gt;"&amp;"pB1 HL")*0.5,COUNTIFS($J24:$AX24,"*B2 HL*",$J24:$AX24,"&lt;&gt;"&amp;"pB2 HL")*0.5)))</f>
        <v>6.5</v>
      </c>
      <c r="G24" s="142">
        <f t="shared" si="0"/>
        <v>0</v>
      </c>
      <c r="H24" s="142">
        <f t="shared" si="1"/>
        <v>7</v>
      </c>
      <c r="I24" s="142">
        <f>IF(Wed_W2[[#This Row],[Employee Name]]="","",IF(Wed_W2[[#This Row],[Dept]]="Supervisor",SUM(COUNTIFS($J24:$AX24,"RTA*",$J24:$AX24,"&lt;&gt;"&amp;"pRTA"),COUNTIFS($J24:$AX24,"*CRTA*",$J24:$AX24,"&lt;&gt;"&amp;"pCRTA")),COUNTIFS($J24:$AX24,"*RNNR*",$J24:$AX24,"&lt;&gt;"&amp;"*pRNNR*",$J24:$AX24,"&lt;&gt;"&amp;"pB1 RNNR",$J24:$AX24,"&lt;&gt;"&amp;"pB2 RNNR")-SUM(COUNTIFS($J24:$AX24,"*RNNR B1*",$J24:$AX24,"&lt;&gt;"&amp;"pRNNR B1")*0.5,COUNTIFS($J24:$AX24,"*RNNR B2*",$J24:$AX24,"&lt;&gt;"&amp;"pRNNR B2")*0.5,COUNTIFS($J24:$AX24,"*B1 RNNR*",$J24:$AX24,"&lt;&gt;"&amp;"pB1 RNNR")*0.5,COUNTIFS($J24:$AX24,"*B2 RNNR*",$J24:$AX24,"&lt;&gt;"&amp;"pB2 RNNR")*0.5)))</f>
        <v>2</v>
      </c>
      <c r="J24" s="184" t="str">
        <f>IFERROR(IF(VLOOKUP(Wed_W2[[#This Row],[Employee Name]],'Base Schedules'!$A$205:$AW$241,9,FALSE)="","",VLOOKUP(Wed_W2[[#This Row],[Employee Name]],'Base Schedules'!$A$205:$AW$241,9,FALSE)),"")</f>
        <v/>
      </c>
      <c r="K24" s="184" t="str">
        <f>IFERROR(IF(VLOOKUP(Wed_W2[[#This Row],[Employee Name]],'Base Schedules'!$A$205:$AW$241,10,FALSE)="","",VLOOKUP(Wed_W2[[#This Row],[Employee Name]],'Base Schedules'!$A$205:$AW$241,10,FALSE)),"")</f>
        <v/>
      </c>
      <c r="L24" s="184" t="str">
        <f>IFERROR(IF(VLOOKUP(Wed_W2[[#This Row],[Employee Name]],'Base Schedules'!$A$205:$AW$241,11,FALSE)="","",VLOOKUP(Wed_W2[[#This Row],[Employee Name]],'Base Schedules'!$A$205:$AW$241,11,FALSE)),"")</f>
        <v/>
      </c>
      <c r="M24" s="184" t="str">
        <f>IFERROR(IF(VLOOKUP(Wed_W2[[#This Row],[Employee Name]],'Base Schedules'!$A$205:$AW$241,12,FALSE)="","",VLOOKUP(Wed_W2[[#This Row],[Employee Name]],'Base Schedules'!$A$205:$AW$241,12,FALSE)),"")</f>
        <v/>
      </c>
      <c r="N24" s="184" t="str">
        <f>IFERROR(IF(VLOOKUP(Wed_W2[[#This Row],[Employee Name]],'Base Schedules'!$A$205:$AW$241,13,FALSE)="","",VLOOKUP(Wed_W2[[#This Row],[Employee Name]],'Base Schedules'!$A$205:$AW$241,13,FALSE)),"")</f>
        <v/>
      </c>
      <c r="O24" s="184" t="str">
        <f>IFERROR(IF(VLOOKUP(Wed_W2[[#This Row],[Employee Name]],'Base Schedules'!$A$205:$AW$241,14,FALSE)="","",VLOOKUP(Wed_W2[[#This Row],[Employee Name]],'Base Schedules'!$A$205:$AW$241,14,FALSE)),"")</f>
        <v/>
      </c>
      <c r="P24" s="184" t="str">
        <f>IFERROR(IF(VLOOKUP(Wed_W2[[#This Row],[Employee Name]],'Base Schedules'!$A$205:$AW$241,15,FALSE)="","",VLOOKUP(Wed_W2[[#This Row],[Employee Name]],'Base Schedules'!$A$205:$AW$241,15,FALSE)),"")</f>
        <v/>
      </c>
      <c r="Q24" s="184" t="str">
        <f>IFERROR(IF(VLOOKUP(Wed_W2[[#This Row],[Employee Name]],'Base Schedules'!$A$205:$AW$241,16,FALSE)="","",VLOOKUP(Wed_W2[[#This Row],[Employee Name]],'Base Schedules'!$A$205:$AW$241,16,FALSE)),"")</f>
        <v/>
      </c>
      <c r="R24" s="184" t="str">
        <f>IFERROR(IF(VLOOKUP(Wed_W2[[#This Row],[Employee Name]],'Base Schedules'!$A$205:$AW$241,17,FALSE)="","",VLOOKUP(Wed_W2[[#This Row],[Employee Name]],'Base Schedules'!$A$205:$AW$241,17,FALSE)),"")</f>
        <v>HL</v>
      </c>
      <c r="S24" s="184" t="str">
        <f>IFERROR(IF(VLOOKUP(Wed_W2[[#This Row],[Employee Name]],'Base Schedules'!$A$205:$AW$241,18,FALSE)="","",VLOOKUP(Wed_W2[[#This Row],[Employee Name]],'Base Schedules'!$A$205:$AW$241,18,FALSE)),"")</f>
        <v>HL</v>
      </c>
      <c r="T24" s="184" t="str">
        <f>IFERROR(IF(VLOOKUP(Wed_W2[[#This Row],[Employee Name]],'Base Schedules'!$A$205:$AW$241,19,FALSE)="","",VLOOKUP(Wed_W2[[#This Row],[Employee Name]],'Base Schedules'!$A$205:$AW$241,19,FALSE)),"")</f>
        <v>HL</v>
      </c>
      <c r="U24" s="184" t="str">
        <f>IFERROR(IF(VLOOKUP(Wed_W2[[#This Row],[Employee Name]],'Base Schedules'!$A$205:$AW$241,20,FALSE)="","",VLOOKUP(Wed_W2[[#This Row],[Employee Name]],'Base Schedules'!$A$205:$AW$241,20,FALSE)),"")</f>
        <v>HL B1</v>
      </c>
      <c r="V24" s="184" t="str">
        <f>IFERROR(IF(VLOOKUP(Wed_W2[[#This Row],[Employee Name]],'Base Schedules'!$A$205:$AW$241,21,FALSE)="","",VLOOKUP(Wed_W2[[#This Row],[Employee Name]],'Base Schedules'!$A$205:$AW$241,21,FALSE)),"")</f>
        <v>ADM</v>
      </c>
      <c r="W24" s="184" t="str">
        <f>IFERROR(IF(VLOOKUP(Wed_W2[[#This Row],[Employee Name]],'Base Schedules'!$A$205:$AW$241,22,FALSE)="","",VLOOKUP(Wed_W2[[#This Row],[Employee Name]],'Base Schedules'!$A$205:$AW$241,22,FALSE)),"")</f>
        <v>ADM</v>
      </c>
      <c r="X24" s="184" t="str">
        <f>IFERROR(IF(VLOOKUP(Wed_W2[[#This Row],[Employee Name]],'Base Schedules'!$A$205:$AW$241,23,FALSE)="","",VLOOKUP(Wed_W2[[#This Row],[Employee Name]],'Base Schedules'!$A$205:$AW$241,23,FALSE)),"")</f>
        <v>RNNR</v>
      </c>
      <c r="Y24" s="184" t="str">
        <f>IFERROR(IF(VLOOKUP(Wed_W2[[#This Row],[Employee Name]],'Base Schedules'!$A$205:$AW$241,24,FALSE)="","",VLOOKUP(Wed_W2[[#This Row],[Employee Name]],'Base Schedules'!$A$205:$AW$241,24,FALSE)),"")</f>
        <v>RNNR</v>
      </c>
      <c r="Z24" s="184" t="str">
        <f>IFERROR(IF(VLOOKUP(Wed_W2[[#This Row],[Employee Name]],'Base Schedules'!$A$205:$AW$241,25,FALSE)="","",VLOOKUP(Wed_W2[[#This Row],[Employee Name]],'Base Schedules'!$A$205:$AW$241,25,FALSE)),"")</f>
        <v>LUNCH</v>
      </c>
      <c r="AA24" s="184" t="str">
        <f>IFERROR(IF(VLOOKUP(Wed_W2[[#This Row],[Employee Name]],'Base Schedules'!$A$205:$AW$241,26,FALSE)="","",VLOOKUP(Wed_W2[[#This Row],[Employee Name]],'Base Schedules'!$A$205:$AW$241,26,FALSE)),"")</f>
        <v>ADM</v>
      </c>
      <c r="AB24" s="184" t="str">
        <f>IFERROR(IF(VLOOKUP(Wed_W2[[#This Row],[Employee Name]],'Base Schedules'!$A$205:$AW$241,27,FALSE)="","",VLOOKUP(Wed_W2[[#This Row],[Employee Name]],'Base Schedules'!$A$205:$AW$241,27,FALSE)),"")</f>
        <v>ADM</v>
      </c>
      <c r="AC24" s="184" t="str">
        <f>IFERROR(IF(VLOOKUP(Wed_W2[[#This Row],[Employee Name]],'Base Schedules'!$A$205:$AW$241,28,FALSE)="","",VLOOKUP(Wed_W2[[#This Row],[Employee Name]],'Base Schedules'!$A$205:$AW$241,28,FALSE)),"")</f>
        <v>HL</v>
      </c>
      <c r="AD24" s="184" t="str">
        <f>IFERROR(IF(VLOOKUP(Wed_W2[[#This Row],[Employee Name]],'Base Schedules'!$A$205:$AW$241,29,FALSE)="","",VLOOKUP(Wed_W2[[#This Row],[Employee Name]],'Base Schedules'!$A$205:$AW$241,29,FALSE)),"")</f>
        <v>HL</v>
      </c>
      <c r="AE24" s="184" t="str">
        <f>IFERROR(IF(VLOOKUP(Wed_W2[[#This Row],[Employee Name]],'Base Schedules'!$A$205:$AW$241,30,FALSE)="","",VLOOKUP(Wed_W2[[#This Row],[Employee Name]],'Base Schedules'!$A$205:$AW$241,30,FALSE)),"")</f>
        <v>B2 ADM</v>
      </c>
      <c r="AF24" s="184" t="str">
        <f>IFERROR(IF(VLOOKUP(Wed_W2[[#This Row],[Employee Name]],'Base Schedules'!$A$205:$AW$241,31,FALSE)="","",VLOOKUP(Wed_W2[[#This Row],[Employee Name]],'Base Schedules'!$A$205:$AW$241,31,FALSE)),"")</f>
        <v>ADM</v>
      </c>
      <c r="AG24" s="184" t="str">
        <f>IFERROR(IF(VLOOKUP(Wed_W2[[#This Row],[Employee Name]],'Base Schedules'!$A$205:$AW$241,32,FALSE)="","",VLOOKUP(Wed_W2[[#This Row],[Employee Name]],'Base Schedules'!$A$205:$AW$241,32,FALSE)),"")</f>
        <v>HL</v>
      </c>
      <c r="AH24" s="184" t="str">
        <f>IFERROR(IF(VLOOKUP(Wed_W2[[#This Row],[Employee Name]],'Base Schedules'!$A$205:$AW$241,33,FALSE)="","",VLOOKUP(Wed_W2[[#This Row],[Employee Name]],'Base Schedules'!$A$205:$AW$241,33,FALSE)),"")</f>
        <v>ADM</v>
      </c>
      <c r="AI24" s="184" t="str">
        <f>IFERROR(IF(VLOOKUP(Wed_W2[[#This Row],[Employee Name]],'Base Schedules'!$A$205:$AW$241,34,FALSE)="","",VLOOKUP(Wed_W2[[#This Row],[Employee Name]],'Base Schedules'!$A$205:$AW$241,34,FALSE)),"")</f>
        <v/>
      </c>
      <c r="AJ24" s="184" t="str">
        <f>IFERROR(IF(VLOOKUP(Wed_W2[[#This Row],[Employee Name]],'Base Schedules'!$A$205:$AW$241,35,FALSE)="","",VLOOKUP(Wed_W2[[#This Row],[Employee Name]],'Base Schedules'!$A$205:$AW$241,35,FALSE)),"")</f>
        <v/>
      </c>
      <c r="AK24" s="184" t="str">
        <f>IFERROR(IF(VLOOKUP(Wed_W2[[#This Row],[Employee Name]],'Base Schedules'!$A$205:$AW$241,36,FALSE)="","",VLOOKUP(Wed_W2[[#This Row],[Employee Name]],'Base Schedules'!$A$205:$AW$241,36,FALSE)),"")</f>
        <v/>
      </c>
      <c r="AL24" s="184" t="str">
        <f>IFERROR(IF(VLOOKUP(Wed_W2[[#This Row],[Employee Name]],'Base Schedules'!$A$205:$AW$241,37,FALSE)="","",VLOOKUP(Wed_W2[[#This Row],[Employee Name]],'Base Schedules'!$A$205:$AW$241,37,FALSE)),"")</f>
        <v/>
      </c>
      <c r="AM24" s="184" t="str">
        <f>IFERROR(IF(VLOOKUP(Wed_W2[[#This Row],[Employee Name]],'Base Schedules'!$A$205:$AW$241,38,FALSE)="","",VLOOKUP(Wed_W2[[#This Row],[Employee Name]],'Base Schedules'!$A$205:$AW$241,38,FALSE)),"")</f>
        <v/>
      </c>
      <c r="AN24" s="184" t="str">
        <f>IFERROR(IF(VLOOKUP(Wed_W2[[#This Row],[Employee Name]],'Base Schedules'!$A$205:$AW$241,39,FALSE)="","",VLOOKUP(Wed_W2[[#This Row],[Employee Name]],'Base Schedules'!$A$205:$AW$241,39,FALSE)),"")</f>
        <v/>
      </c>
      <c r="AO24" s="184" t="str">
        <f>IFERROR(IF(VLOOKUP(Wed_W2[[#This Row],[Employee Name]],'Base Schedules'!$A$205:$AW$241,40,FALSE)="","",VLOOKUP(Wed_W2[[#This Row],[Employee Name]],'Base Schedules'!$A$205:$AW$241,40,FALSE)),"")</f>
        <v/>
      </c>
      <c r="AP24" s="184" t="str">
        <f>IFERROR(IF(VLOOKUP(Wed_W2[[#This Row],[Employee Name]],'Base Schedules'!$A$205:$AW$241,41,FALSE)="","",VLOOKUP(Wed_W2[[#This Row],[Employee Name]],'Base Schedules'!$A$205:$AW$241,41,FALSE)),"")</f>
        <v/>
      </c>
      <c r="AQ24" s="184" t="str">
        <f>IFERROR(IF(VLOOKUP(Wed_W2[[#This Row],[Employee Name]],'Base Schedules'!$A$205:$AW$241,42,FALSE)="","",VLOOKUP(Wed_W2[[#This Row],[Employee Name]],'Base Schedules'!$A$205:$AW$241,42,FALSE)),"")</f>
        <v/>
      </c>
      <c r="AR24" s="184" t="str">
        <f>IFERROR(IF(VLOOKUP(Wed_W2[[#This Row],[Employee Name]],'Base Schedules'!$A$205:$AW$241,43,FALSE)="","",VLOOKUP(Wed_W2[[#This Row],[Employee Name]],'Base Schedules'!$A$205:$AW$241,43,FALSE)),"")</f>
        <v/>
      </c>
      <c r="AS24" s="184" t="str">
        <f>IFERROR(IF(VLOOKUP(Wed_W2[[#This Row],[Employee Name]],'Base Schedules'!$A$205:$AW$241,44,FALSE)="","",VLOOKUP(Wed_W2[[#This Row],[Employee Name]],'Base Schedules'!$A$205:$AW$241,44,FALSE)),"")</f>
        <v/>
      </c>
      <c r="AT24" s="184" t="str">
        <f>IFERROR(IF(VLOOKUP(Wed_W2[[#This Row],[Employee Name]],'Base Schedules'!$A$205:$AW$241,45,FALSE)="","",VLOOKUP(Wed_W2[[#This Row],[Employee Name]],'Base Schedules'!$A$205:$AW$241,45,FALSE)),"")</f>
        <v/>
      </c>
      <c r="AU24" s="184" t="str">
        <f>IFERROR(IF(VLOOKUP(Wed_W2[[#This Row],[Employee Name]],'Base Schedules'!$A$205:$AW$241,46,FALSE)="","",VLOOKUP(Wed_W2[[#This Row],[Employee Name]],'Base Schedules'!$A$205:$AW$241,46,FALSE)),"")</f>
        <v/>
      </c>
      <c r="AV24" s="184" t="str">
        <f>IFERROR(IF(VLOOKUP(Wed_W2[[#This Row],[Employee Name]],'Base Schedules'!$A$205:$AW$241,47,FALSE)="","",VLOOKUP(Wed_W2[[#This Row],[Employee Name]],'Base Schedules'!$A$205:$AW$241,47,FALSE)),"")</f>
        <v/>
      </c>
      <c r="AW24" s="184" t="str">
        <f>IFERROR(IF(VLOOKUP(Wed_W2[[#This Row],[Employee Name]],'Base Schedules'!$A$205:$AW$241,48,FALSE)="","",VLOOKUP(Wed_W2[[#This Row],[Employee Name]],'Base Schedules'!$A$205:$AW$241,48,FALSE)),"")</f>
        <v/>
      </c>
      <c r="AX24" s="184" t="str">
        <f>IFERROR(IF(VLOOKUP(Wed_W2[[#This Row],[Employee Name]],'Base Schedules'!$A$205:$AW$241,49,FALSE)="","",VLOOKUP(Wed_W2[[#This Row],[Employee Name]],'Base Schedules'!$A$205:$AW$241,49,FALSE)),"")</f>
        <v/>
      </c>
      <c r="AY24" s="245" t="str">
        <f t="shared" si="2"/>
        <v>Fiskvik, Christopher</v>
      </c>
    </row>
    <row r="25" spans="1:51" s="44" customFormat="1" ht="12" customHeight="1" x14ac:dyDescent="0.2">
      <c r="A25" s="39" t="str">
        <f>IF(B25="","",INDEX(TeamList[],MATCH($B25,TeamList[[Employee Name]:[Employee Name]],0),MATCH("Manager",TeamList[#Headers],0)))</f>
        <v>Ahmed Hassan, Zahra</v>
      </c>
      <c r="B25" s="201" t="s">
        <v>27</v>
      </c>
      <c r="C25" s="257" t="str">
        <f>_xlfn.IFNA(VLOOKUP(Wed_W2[[#This Row],[Employee Name]],'Base Schedules'!A:B,2,FALSE),"")</f>
        <v>Supervisor</v>
      </c>
      <c r="D25" s="274">
        <f>_xlfn.IFNA(VLOOKUP(Wed_W2[[#This Row],[Employee Name]],'Base Schedules'!A:C,3,FALSE),"")</f>
        <v>930</v>
      </c>
      <c r="E25" s="274">
        <f>_xlfn.IFNA(VLOOKUP(Wed_W2[[#This Row],[Employee Name]],'Base Schedules'!A:D,4,FALSE),"")</f>
        <v>1830</v>
      </c>
      <c r="F25" s="142">
        <f>IF(Wed_W2[[#This Row],[Employee Name]]="","",IF(Wed_W2[[#This Row],[Dept]]="Supervisor",COUNTIFS($J25:$AX25,"*HL*",$J25:$AX25,"&lt;&gt;"&amp;"pHL"),COUNTIFS($J25:$AX25,"*HL*",$J25:$AX25,"&lt;&gt;"&amp;"*pHL*",$J25:$AX25,"&lt;&gt;"&amp;"pB1 HL",$J25:$AX25,"&lt;&gt;"&amp;"pB2 HL")-SUM(COUNTIFS($J25:$AX25,"*HL B1*",$J25:$AX25,"&lt;&gt;"&amp;"pHL B1")*0.5,COUNTIFS($J25:$AX25,"*HL B2*",$J25:$AX25,"&lt;&gt;"&amp;"pHL B2")*0.5,COUNTIFS($J25:$AX25,"*B1 HL*",$J25:$AX25,"&lt;&gt;"&amp;"pB1 HL")*0.5,COUNTIFS($J25:$AX25,"*B2 HL*",$J25:$AX25,"&lt;&gt;"&amp;"pB2 HL")*0.5)))</f>
        <v>0</v>
      </c>
      <c r="G25" s="142">
        <f t="shared" si="0"/>
        <v>4</v>
      </c>
      <c r="H25" s="142">
        <f t="shared" si="1"/>
        <v>0</v>
      </c>
      <c r="I25" s="142">
        <f>IF(Wed_W2[[#This Row],[Employee Name]]="","",IF(Wed_W2[[#This Row],[Dept]]="Supervisor",SUM(COUNTIFS($J25:$AX25,"RTA*",$J25:$AX25,"&lt;&gt;"&amp;"pRTA"),COUNTIFS($J25:$AX25,"*CRTA*",$J25:$AX25,"&lt;&gt;"&amp;"pCRTA")),COUNTIFS($J25:$AX25,"*RNNR*",$J25:$AX25,"&lt;&gt;"&amp;"*pRNNR*",$J25:$AX25,"&lt;&gt;"&amp;"pB1 RNNR",$J25:$AX25,"&lt;&gt;"&amp;"pB2 RNNR")-SUM(COUNTIFS($J25:$AX25,"*RNNR B1*",$J25:$AX25,"&lt;&gt;"&amp;"pRNNR B1")*0.5,COUNTIFS($J25:$AX25,"*RNNR B2*",$J25:$AX25,"&lt;&gt;"&amp;"pRNNR B2")*0.5,COUNTIFS($J25:$AX25,"*B1 RNNR*",$J25:$AX25,"&lt;&gt;"&amp;"pB1 RNNR")*0.5,COUNTIFS($J25:$AX25,"*B2 RNNR*",$J25:$AX25,"&lt;&gt;"&amp;"pB2 RNNR")*0.5)))</f>
        <v>0</v>
      </c>
      <c r="J25" s="184" t="str">
        <f>IFERROR(IF(VLOOKUP(Wed_W2[[#This Row],[Employee Name]],'Base Schedules'!$A$205:$AW$241,9,FALSE)="","",VLOOKUP(Wed_W2[[#This Row],[Employee Name]],'Base Schedules'!$A$205:$AW$241,9,FALSE)),"")</f>
        <v/>
      </c>
      <c r="K25" s="184" t="str">
        <f>IFERROR(IF(VLOOKUP(Wed_W2[[#This Row],[Employee Name]],'Base Schedules'!$A$205:$AW$241,10,FALSE)="","",VLOOKUP(Wed_W2[[#This Row],[Employee Name]],'Base Schedules'!$A$205:$AW$241,10,FALSE)),"")</f>
        <v/>
      </c>
      <c r="L25" s="184" t="str">
        <f>IFERROR(IF(VLOOKUP(Wed_W2[[#This Row],[Employee Name]],'Base Schedules'!$A$205:$AW$241,11,FALSE)="","",VLOOKUP(Wed_W2[[#This Row],[Employee Name]],'Base Schedules'!$A$205:$AW$241,11,FALSE)),"")</f>
        <v/>
      </c>
      <c r="M25" s="184" t="str">
        <f>IFERROR(IF(VLOOKUP(Wed_W2[[#This Row],[Employee Name]],'Base Schedules'!$A$205:$AW$241,12,FALSE)="","",VLOOKUP(Wed_W2[[#This Row],[Employee Name]],'Base Schedules'!$A$205:$AW$241,12,FALSE)),"")</f>
        <v/>
      </c>
      <c r="N25" s="184" t="str">
        <f>IFERROR(IF(VLOOKUP(Wed_W2[[#This Row],[Employee Name]],'Base Schedules'!$A$205:$AW$241,13,FALSE)="","",VLOOKUP(Wed_W2[[#This Row],[Employee Name]],'Base Schedules'!$A$205:$AW$241,13,FALSE)),"")</f>
        <v/>
      </c>
      <c r="O25" s="184" t="str">
        <f>IFERROR(IF(VLOOKUP(Wed_W2[[#This Row],[Employee Name]],'Base Schedules'!$A$205:$AW$241,14,FALSE)="","",VLOOKUP(Wed_W2[[#This Row],[Employee Name]],'Base Schedules'!$A$205:$AW$241,14,FALSE)),"")</f>
        <v/>
      </c>
      <c r="P25" s="184" t="str">
        <f>IFERROR(IF(VLOOKUP(Wed_W2[[#This Row],[Employee Name]],'Base Schedules'!$A$205:$AW$241,15,FALSE)="","",VLOOKUP(Wed_W2[[#This Row],[Employee Name]],'Base Schedules'!$A$205:$AW$241,15,FALSE)),"")</f>
        <v/>
      </c>
      <c r="Q25" s="184" t="str">
        <f>IFERROR(IF(VLOOKUP(Wed_W2[[#This Row],[Employee Name]],'Base Schedules'!$A$205:$AW$241,16,FALSE)="","",VLOOKUP(Wed_W2[[#This Row],[Employee Name]],'Base Schedules'!$A$205:$AW$241,16,FALSE)),"")</f>
        <v/>
      </c>
      <c r="R25" s="184" t="str">
        <f>IFERROR(IF(VLOOKUP(Wed_W2[[#This Row],[Employee Name]],'Base Schedules'!$A$205:$AW$241,17,FALSE)="","",VLOOKUP(Wed_W2[[#This Row],[Employee Name]],'Base Schedules'!$A$205:$AW$241,17,FALSE)),"")</f>
        <v/>
      </c>
      <c r="S25" s="184" t="str">
        <f>IFERROR(IF(VLOOKUP(Wed_W2[[#This Row],[Employee Name]],'Base Schedules'!$A$205:$AW$241,18,FALSE)="","",VLOOKUP(Wed_W2[[#This Row],[Employee Name]],'Base Schedules'!$A$205:$AW$241,18,FALSE)),"")</f>
        <v>-</v>
      </c>
      <c r="T25" s="184" t="str">
        <f>IFERROR(IF(VLOOKUP(Wed_W2[[#This Row],[Employee Name]],'Base Schedules'!$A$205:$AW$241,19,FALSE)="","",VLOOKUP(Wed_W2[[#This Row],[Employee Name]],'Base Schedules'!$A$205:$AW$241,19,FALSE)),"")</f>
        <v>-</v>
      </c>
      <c r="U25" s="184" t="str">
        <f>IFERROR(IF(VLOOKUP(Wed_W2[[#This Row],[Employee Name]],'Base Schedules'!$A$205:$AW$241,20,FALSE)="","",VLOOKUP(Wed_W2[[#This Row],[Employee Name]],'Base Schedules'!$A$205:$AW$241,20,FALSE)),"")</f>
        <v>-</v>
      </c>
      <c r="V25" s="184" t="str">
        <f>IFERROR(IF(VLOOKUP(Wed_W2[[#This Row],[Employee Name]],'Base Schedules'!$A$205:$AW$241,21,FALSE)="","",VLOOKUP(Wed_W2[[#This Row],[Employee Name]],'Base Schedules'!$A$205:$AW$241,21,FALSE)),"")</f>
        <v>-</v>
      </c>
      <c r="W25" s="184" t="str">
        <f>IFERROR(IF(VLOOKUP(Wed_W2[[#This Row],[Employee Name]],'Base Schedules'!$A$205:$AW$241,22,FALSE)="","",VLOOKUP(Wed_W2[[#This Row],[Employee Name]],'Base Schedules'!$A$205:$AW$241,22,FALSE)),"")</f>
        <v>Coaching</v>
      </c>
      <c r="X25" s="184" t="str">
        <f>IFERROR(IF(VLOOKUP(Wed_W2[[#This Row],[Employee Name]],'Base Schedules'!$A$205:$AW$241,23,FALSE)="","",VLOOKUP(Wed_W2[[#This Row],[Employee Name]],'Base Schedules'!$A$205:$AW$241,23,FALSE)),"")</f>
        <v>Coaching</v>
      </c>
      <c r="Y25" s="184" t="str">
        <f>IFERROR(IF(VLOOKUP(Wed_W2[[#This Row],[Employee Name]],'Base Schedules'!$A$205:$AW$241,24,FALSE)="","",VLOOKUP(Wed_W2[[#This Row],[Employee Name]],'Base Schedules'!$A$205:$AW$241,24,FALSE)),"")</f>
        <v>Coaching</v>
      </c>
      <c r="Z25" s="184" t="str">
        <f>IFERROR(IF(VLOOKUP(Wed_W2[[#This Row],[Employee Name]],'Base Schedules'!$A$205:$AW$241,25,FALSE)="","",VLOOKUP(Wed_W2[[#This Row],[Employee Name]],'Base Schedules'!$A$205:$AW$241,25,FALSE)),"")</f>
        <v>Coaching</v>
      </c>
      <c r="AA25" s="184" t="str">
        <f>IFERROR(IF(VLOOKUP(Wed_W2[[#This Row],[Employee Name]],'Base Schedules'!$A$205:$AW$241,26,FALSE)="","",VLOOKUP(Wed_W2[[#This Row],[Employee Name]],'Base Schedules'!$A$205:$AW$241,26,FALSE)),"")</f>
        <v>-</v>
      </c>
      <c r="AB25" s="184" t="str">
        <f>IFERROR(IF(VLOOKUP(Wed_W2[[#This Row],[Employee Name]],'Base Schedules'!$A$205:$AW$241,27,FALSE)="","",VLOOKUP(Wed_W2[[#This Row],[Employee Name]],'Base Schedules'!$A$205:$AW$241,27,FALSE)),"")</f>
        <v>Interview</v>
      </c>
      <c r="AC25" s="184" t="str">
        <f>IFERROR(IF(VLOOKUP(Wed_W2[[#This Row],[Employee Name]],'Base Schedules'!$A$205:$AW$241,28,FALSE)="","",VLOOKUP(Wed_W2[[#This Row],[Employee Name]],'Base Schedules'!$A$205:$AW$241,28,FALSE)),"")</f>
        <v>Interview</v>
      </c>
      <c r="AD25" s="184" t="str">
        <f>IFERROR(IF(VLOOKUP(Wed_W2[[#This Row],[Employee Name]],'Base Schedules'!$A$205:$AW$241,29,FALSE)="","",VLOOKUP(Wed_W2[[#This Row],[Employee Name]],'Base Schedules'!$A$205:$AW$241,29,FALSE)),"")</f>
        <v>-</v>
      </c>
      <c r="AE25" s="184" t="str">
        <f>IFERROR(IF(VLOOKUP(Wed_W2[[#This Row],[Employee Name]],'Base Schedules'!$A$205:$AW$241,30,FALSE)="","",VLOOKUP(Wed_W2[[#This Row],[Employee Name]],'Base Schedules'!$A$205:$AW$241,30,FALSE)),"")</f>
        <v>-</v>
      </c>
      <c r="AF25" s="184" t="str">
        <f>IFERROR(IF(VLOOKUP(Wed_W2[[#This Row],[Employee Name]],'Base Schedules'!$A$205:$AW$241,31,FALSE)="","",VLOOKUP(Wed_W2[[#This Row],[Employee Name]],'Base Schedules'!$A$205:$AW$241,31,FALSE)),"")</f>
        <v>-</v>
      </c>
      <c r="AG25" s="184" t="str">
        <f>IFERROR(IF(VLOOKUP(Wed_W2[[#This Row],[Employee Name]],'Base Schedules'!$A$205:$AW$241,32,FALSE)="","",VLOOKUP(Wed_W2[[#This Row],[Employee Name]],'Base Schedules'!$A$205:$AW$241,32,FALSE)),"")</f>
        <v>-</v>
      </c>
      <c r="AH25" s="184" t="str">
        <f>IFERROR(IF(VLOOKUP(Wed_W2[[#This Row],[Employee Name]],'Base Schedules'!$A$205:$AW$241,33,FALSE)="","",VLOOKUP(Wed_W2[[#This Row],[Employee Name]],'Base Schedules'!$A$205:$AW$241,33,FALSE)),"")</f>
        <v>-</v>
      </c>
      <c r="AI25" s="184" t="str">
        <f>IFERROR(IF(VLOOKUP(Wed_W2[[#This Row],[Employee Name]],'Base Schedules'!$A$205:$AW$241,34,FALSE)="","",VLOOKUP(Wed_W2[[#This Row],[Employee Name]],'Base Schedules'!$A$205:$AW$241,34,FALSE)),"")</f>
        <v>-</v>
      </c>
      <c r="AJ25" s="184" t="str">
        <f>IFERROR(IF(VLOOKUP(Wed_W2[[#This Row],[Employee Name]],'Base Schedules'!$A$205:$AW$241,35,FALSE)="","",VLOOKUP(Wed_W2[[#This Row],[Employee Name]],'Base Schedules'!$A$205:$AW$241,35,FALSE)),"")</f>
        <v>-</v>
      </c>
      <c r="AK25" s="184" t="str">
        <f>IFERROR(IF(VLOOKUP(Wed_W2[[#This Row],[Employee Name]],'Base Schedules'!$A$205:$AW$241,36,FALSE)="","",VLOOKUP(Wed_W2[[#This Row],[Employee Name]],'Base Schedules'!$A$205:$AW$241,36,FALSE)),"")</f>
        <v/>
      </c>
      <c r="AL25" s="184" t="str">
        <f>IFERROR(IF(VLOOKUP(Wed_W2[[#This Row],[Employee Name]],'Base Schedules'!$A$205:$AW$241,37,FALSE)="","",VLOOKUP(Wed_W2[[#This Row],[Employee Name]],'Base Schedules'!$A$205:$AW$241,37,FALSE)),"")</f>
        <v/>
      </c>
      <c r="AM25" s="184" t="str">
        <f>IFERROR(IF(VLOOKUP(Wed_W2[[#This Row],[Employee Name]],'Base Schedules'!$A$205:$AW$241,38,FALSE)="","",VLOOKUP(Wed_W2[[#This Row],[Employee Name]],'Base Schedules'!$A$205:$AW$241,38,FALSE)),"")</f>
        <v/>
      </c>
      <c r="AN25" s="184" t="str">
        <f>IFERROR(IF(VLOOKUP(Wed_W2[[#This Row],[Employee Name]],'Base Schedules'!$A$205:$AW$241,39,FALSE)="","",VLOOKUP(Wed_W2[[#This Row],[Employee Name]],'Base Schedules'!$A$205:$AW$241,39,FALSE)),"")</f>
        <v/>
      </c>
      <c r="AO25" s="184" t="str">
        <f>IFERROR(IF(VLOOKUP(Wed_W2[[#This Row],[Employee Name]],'Base Schedules'!$A$205:$AW$241,40,FALSE)="","",VLOOKUP(Wed_W2[[#This Row],[Employee Name]],'Base Schedules'!$A$205:$AW$241,40,FALSE)),"")</f>
        <v/>
      </c>
      <c r="AP25" s="184" t="str">
        <f>IFERROR(IF(VLOOKUP(Wed_W2[[#This Row],[Employee Name]],'Base Schedules'!$A$205:$AW$241,41,FALSE)="","",VLOOKUP(Wed_W2[[#This Row],[Employee Name]],'Base Schedules'!$A$205:$AW$241,41,FALSE)),"")</f>
        <v/>
      </c>
      <c r="AQ25" s="184" t="str">
        <f>IFERROR(IF(VLOOKUP(Wed_W2[[#This Row],[Employee Name]],'Base Schedules'!$A$205:$AW$241,42,FALSE)="","",VLOOKUP(Wed_W2[[#This Row],[Employee Name]],'Base Schedules'!$A$205:$AW$241,42,FALSE)),"")</f>
        <v/>
      </c>
      <c r="AR25" s="184" t="str">
        <f>IFERROR(IF(VLOOKUP(Wed_W2[[#This Row],[Employee Name]],'Base Schedules'!$A$205:$AW$241,43,FALSE)="","",VLOOKUP(Wed_W2[[#This Row],[Employee Name]],'Base Schedules'!$A$205:$AW$241,43,FALSE)),"")</f>
        <v/>
      </c>
      <c r="AS25" s="184" t="str">
        <f>IFERROR(IF(VLOOKUP(Wed_W2[[#This Row],[Employee Name]],'Base Schedules'!$A$205:$AW$241,44,FALSE)="","",VLOOKUP(Wed_W2[[#This Row],[Employee Name]],'Base Schedules'!$A$205:$AW$241,44,FALSE)),"")</f>
        <v/>
      </c>
      <c r="AT25" s="184" t="str">
        <f>IFERROR(IF(VLOOKUP(Wed_W2[[#This Row],[Employee Name]],'Base Schedules'!$A$205:$AW$241,45,FALSE)="","",VLOOKUP(Wed_W2[[#This Row],[Employee Name]],'Base Schedules'!$A$205:$AW$241,45,FALSE)),"")</f>
        <v/>
      </c>
      <c r="AU25" s="184" t="str">
        <f>IFERROR(IF(VLOOKUP(Wed_W2[[#This Row],[Employee Name]],'Base Schedules'!$A$205:$AW$241,46,FALSE)="","",VLOOKUP(Wed_W2[[#This Row],[Employee Name]],'Base Schedules'!$A$205:$AW$241,46,FALSE)),"")</f>
        <v/>
      </c>
      <c r="AV25" s="184" t="str">
        <f>IFERROR(IF(VLOOKUP(Wed_W2[[#This Row],[Employee Name]],'Base Schedules'!$A$205:$AW$241,47,FALSE)="","",VLOOKUP(Wed_W2[[#This Row],[Employee Name]],'Base Schedules'!$A$205:$AW$241,47,FALSE)),"")</f>
        <v/>
      </c>
      <c r="AW25" s="184" t="str">
        <f>IFERROR(IF(VLOOKUP(Wed_W2[[#This Row],[Employee Name]],'Base Schedules'!$A$205:$AW$241,48,FALSE)="","",VLOOKUP(Wed_W2[[#This Row],[Employee Name]],'Base Schedules'!$A$205:$AW$241,48,FALSE)),"")</f>
        <v/>
      </c>
      <c r="AX25" s="184" t="str">
        <f>IFERROR(IF(VLOOKUP(Wed_W2[[#This Row],[Employee Name]],'Base Schedules'!$A$205:$AW$241,49,FALSE)="","",VLOOKUP(Wed_W2[[#This Row],[Employee Name]],'Base Schedules'!$A$205:$AW$241,49,FALSE)),"")</f>
        <v/>
      </c>
      <c r="AY25" s="245" t="str">
        <f t="shared" si="2"/>
        <v>McLean, Michael</v>
      </c>
    </row>
    <row r="26" spans="1:51" s="44" customFormat="1" ht="12" customHeight="1" x14ac:dyDescent="0.2">
      <c r="A26" s="39" t="str">
        <f>IF(B26="","",INDEX(TeamList[],MATCH($B26,TeamList[[Employee Name]:[Employee Name]],0),MATCH("Manager",TeamList[#Headers],0)))</f>
        <v>Olson, Katherine</v>
      </c>
      <c r="B26" s="201" t="s">
        <v>69</v>
      </c>
      <c r="C26" s="257" t="str">
        <f>_xlfn.IFNA(VLOOKUP(Wed_W2[[#This Row],[Employee Name]],'Base Schedules'!A:B,2,FALSE),"")</f>
        <v>Lead</v>
      </c>
      <c r="D26" s="274">
        <f>_xlfn.IFNA(VLOOKUP(Wed_W2[[#This Row],[Employee Name]],'Base Schedules'!A:C,3,FALSE),"")</f>
        <v>1000</v>
      </c>
      <c r="E26" s="274">
        <f>_xlfn.IFNA(VLOOKUP(Wed_W2[[#This Row],[Employee Name]],'Base Schedules'!A:D,4,FALSE),"")</f>
        <v>1900</v>
      </c>
      <c r="F26" s="142">
        <f>IF(Wed_W2[[#This Row],[Employee Name]]="","",IF(Wed_W2[[#This Row],[Dept]]="Supervisor",COUNTIFS($J26:$AX26,"*HL*",$J26:$AX26,"&lt;&gt;"&amp;"pHL"),COUNTIFS($J26:$AX26,"*HL*",$J26:$AX26,"&lt;&gt;"&amp;"*pHL*",$J26:$AX26,"&lt;&gt;"&amp;"pB1 HL",$J26:$AX26,"&lt;&gt;"&amp;"pB2 HL")-SUM(COUNTIFS($J26:$AX26,"*HL B1*",$J26:$AX26,"&lt;&gt;"&amp;"pHL B1")*0.5,COUNTIFS($J26:$AX26,"*HL B2*",$J26:$AX26,"&lt;&gt;"&amp;"pHL B2")*0.5,COUNTIFS($J26:$AX26,"*B1 HL*",$J26:$AX26,"&lt;&gt;"&amp;"pB1 HL")*0.5,COUNTIFS($J26:$AX26,"*B2 HL*",$J26:$AX26,"&lt;&gt;"&amp;"pB2 HL")*0.5)))</f>
        <v>7</v>
      </c>
      <c r="G26" s="142">
        <f t="shared" si="0"/>
        <v>0</v>
      </c>
      <c r="H26" s="142">
        <f t="shared" si="1"/>
        <v>6</v>
      </c>
      <c r="I26" s="142">
        <f>IF(Wed_W2[[#This Row],[Employee Name]]="","",IF(Wed_W2[[#This Row],[Dept]]="Supervisor",SUM(COUNTIFS($J26:$AX26,"RTA*",$J26:$AX26,"&lt;&gt;"&amp;"pRTA"),COUNTIFS($J26:$AX26,"*CRTA*",$J26:$AX26,"&lt;&gt;"&amp;"pCRTA")),COUNTIFS($J26:$AX26,"*RNNR*",$J26:$AX26,"&lt;&gt;"&amp;"*pRNNR*",$J26:$AX26,"&lt;&gt;"&amp;"pB1 RNNR",$J26:$AX26,"&lt;&gt;"&amp;"pB2 RNNR")-SUM(COUNTIFS($J26:$AX26,"*RNNR B1*",$J26:$AX26,"&lt;&gt;"&amp;"pRNNR B1")*0.5,COUNTIFS($J26:$AX26,"*RNNR B2*",$J26:$AX26,"&lt;&gt;"&amp;"pRNNR B2")*0.5,COUNTIFS($J26:$AX26,"*B1 RNNR*",$J26:$AX26,"&lt;&gt;"&amp;"pB1 RNNR")*0.5,COUNTIFS($J26:$AX26,"*B2 RNNR*",$J26:$AX26,"&lt;&gt;"&amp;"pB2 RNNR")*0.5)))</f>
        <v>2</v>
      </c>
      <c r="J26" s="184" t="str">
        <f>IFERROR(IF(VLOOKUP(Wed_W2[[#This Row],[Employee Name]],'Base Schedules'!$A$205:$AW$241,9,FALSE)="","",VLOOKUP(Wed_W2[[#This Row],[Employee Name]],'Base Schedules'!$A$205:$AW$241,9,FALSE)),"")</f>
        <v/>
      </c>
      <c r="K26" s="184" t="str">
        <f>IFERROR(IF(VLOOKUP(Wed_W2[[#This Row],[Employee Name]],'Base Schedules'!$A$205:$AW$241,10,FALSE)="","",VLOOKUP(Wed_W2[[#This Row],[Employee Name]],'Base Schedules'!$A$205:$AW$241,10,FALSE)),"")</f>
        <v/>
      </c>
      <c r="L26" s="184" t="str">
        <f>IFERROR(IF(VLOOKUP(Wed_W2[[#This Row],[Employee Name]],'Base Schedules'!$A$205:$AW$241,11,FALSE)="","",VLOOKUP(Wed_W2[[#This Row],[Employee Name]],'Base Schedules'!$A$205:$AW$241,11,FALSE)),"")</f>
        <v/>
      </c>
      <c r="M26" s="184" t="str">
        <f>IFERROR(IF(VLOOKUP(Wed_W2[[#This Row],[Employee Name]],'Base Schedules'!$A$205:$AW$241,12,FALSE)="","",VLOOKUP(Wed_W2[[#This Row],[Employee Name]],'Base Schedules'!$A$205:$AW$241,12,FALSE)),"")</f>
        <v/>
      </c>
      <c r="N26" s="184" t="str">
        <f>IFERROR(IF(VLOOKUP(Wed_W2[[#This Row],[Employee Name]],'Base Schedules'!$A$205:$AW$241,13,FALSE)="","",VLOOKUP(Wed_W2[[#This Row],[Employee Name]],'Base Schedules'!$A$205:$AW$241,13,FALSE)),"")</f>
        <v/>
      </c>
      <c r="O26" s="184" t="str">
        <f>IFERROR(IF(VLOOKUP(Wed_W2[[#This Row],[Employee Name]],'Base Schedules'!$A$205:$AW$241,14,FALSE)="","",VLOOKUP(Wed_W2[[#This Row],[Employee Name]],'Base Schedules'!$A$205:$AW$241,14,FALSE)),"")</f>
        <v/>
      </c>
      <c r="P26" s="184" t="str">
        <f>IFERROR(IF(VLOOKUP(Wed_W2[[#This Row],[Employee Name]],'Base Schedules'!$A$205:$AW$241,15,FALSE)="","",VLOOKUP(Wed_W2[[#This Row],[Employee Name]],'Base Schedules'!$A$205:$AW$241,15,FALSE)),"")</f>
        <v/>
      </c>
      <c r="Q26" s="184" t="str">
        <f>IFERROR(IF(VLOOKUP(Wed_W2[[#This Row],[Employee Name]],'Base Schedules'!$A$205:$AW$241,16,FALSE)="","",VLOOKUP(Wed_W2[[#This Row],[Employee Name]],'Base Schedules'!$A$205:$AW$241,16,FALSE)),"")</f>
        <v/>
      </c>
      <c r="R26" s="184" t="str">
        <f>IFERROR(IF(VLOOKUP(Wed_W2[[#This Row],[Employee Name]],'Base Schedules'!$A$205:$AW$241,17,FALSE)="","",VLOOKUP(Wed_W2[[#This Row],[Employee Name]],'Base Schedules'!$A$205:$AW$241,17,FALSE)),"")</f>
        <v/>
      </c>
      <c r="S26" s="184" t="str">
        <f>IFERROR(IF(VLOOKUP(Wed_W2[[#This Row],[Employee Name]],'Base Schedules'!$A$205:$AW$241,18,FALSE)="","",VLOOKUP(Wed_W2[[#This Row],[Employee Name]],'Base Schedules'!$A$205:$AW$241,18,FALSE)),"")</f>
        <v/>
      </c>
      <c r="T26" s="184" t="str">
        <f>IFERROR(IF(VLOOKUP(Wed_W2[[#This Row],[Employee Name]],'Base Schedules'!$A$205:$AW$241,19,FALSE)="","",VLOOKUP(Wed_W2[[#This Row],[Employee Name]],'Base Schedules'!$A$205:$AW$241,19,FALSE)),"")</f>
        <v>ADM</v>
      </c>
      <c r="U26" s="184" t="str">
        <f>IFERROR(IF(VLOOKUP(Wed_W2[[#This Row],[Employee Name]],'Base Schedules'!$A$205:$AW$241,20,FALSE)="","",VLOOKUP(Wed_W2[[#This Row],[Employee Name]],'Base Schedules'!$A$205:$AW$241,20,FALSE)),"")</f>
        <v>HL</v>
      </c>
      <c r="V26" s="184" t="str">
        <f>IFERROR(IF(VLOOKUP(Wed_W2[[#This Row],[Employee Name]],'Base Schedules'!$A$205:$AW$241,21,FALSE)="","",VLOOKUP(Wed_W2[[#This Row],[Employee Name]],'Base Schedules'!$A$205:$AW$241,21,FALSE)),"")</f>
        <v>HL</v>
      </c>
      <c r="W26" s="184" t="str">
        <f>IFERROR(IF(VLOOKUP(Wed_W2[[#This Row],[Employee Name]],'Base Schedules'!$A$205:$AW$241,22,FALSE)="","",VLOOKUP(Wed_W2[[#This Row],[Employee Name]],'Base Schedules'!$A$205:$AW$241,22,FALSE)),"")</f>
        <v>HL</v>
      </c>
      <c r="X26" s="184" t="str">
        <f>IFERROR(IF(VLOOKUP(Wed_W2[[#This Row],[Employee Name]],'Base Schedules'!$A$205:$AW$241,23,FALSE)="","",VLOOKUP(Wed_W2[[#This Row],[Employee Name]],'Base Schedules'!$A$205:$AW$241,23,FALSE)),"")</f>
        <v>HL B1</v>
      </c>
      <c r="Y26" s="184" t="str">
        <f>IFERROR(IF(VLOOKUP(Wed_W2[[#This Row],[Employee Name]],'Base Schedules'!$A$205:$AW$241,24,FALSE)="","",VLOOKUP(Wed_W2[[#This Row],[Employee Name]],'Base Schedules'!$A$205:$AW$241,24,FALSE)),"")</f>
        <v>ADM</v>
      </c>
      <c r="Z26" s="184" t="str">
        <f>IFERROR(IF(VLOOKUP(Wed_W2[[#This Row],[Employee Name]],'Base Schedules'!$A$205:$AW$241,25,FALSE)="","",VLOOKUP(Wed_W2[[#This Row],[Employee Name]],'Base Schedules'!$A$205:$AW$241,25,FALSE)),"")</f>
        <v>ADM</v>
      </c>
      <c r="AA26" s="184" t="str">
        <f>IFERROR(IF(VLOOKUP(Wed_W2[[#This Row],[Employee Name]],'Base Schedules'!$A$205:$AW$241,26,FALSE)="","",VLOOKUP(Wed_W2[[#This Row],[Employee Name]],'Base Schedules'!$A$205:$AW$241,26,FALSE)),"")</f>
        <v>ADM</v>
      </c>
      <c r="AB26" s="184" t="str">
        <f>IFERROR(IF(VLOOKUP(Wed_W2[[#This Row],[Employee Name]],'Base Schedules'!$A$205:$AW$241,27,FALSE)="","",VLOOKUP(Wed_W2[[#This Row],[Employee Name]],'Base Schedules'!$A$205:$AW$241,27,FALSE)),"")</f>
        <v>LUNCH</v>
      </c>
      <c r="AC26" s="184" t="str">
        <f>IFERROR(IF(VLOOKUP(Wed_W2[[#This Row],[Employee Name]],'Base Schedules'!$A$205:$AW$241,28,FALSE)="","",VLOOKUP(Wed_W2[[#This Row],[Employee Name]],'Base Schedules'!$A$205:$AW$241,28,FALSE)),"")</f>
        <v>LUNCH</v>
      </c>
      <c r="AD26" s="184" t="str">
        <f>IFERROR(IF(VLOOKUP(Wed_W2[[#This Row],[Employee Name]],'Base Schedules'!$A$205:$AW$241,29,FALSE)="","",VLOOKUP(Wed_W2[[#This Row],[Employee Name]],'Base Schedules'!$A$205:$AW$241,29,FALSE)),"")</f>
        <v>RNNR</v>
      </c>
      <c r="AE26" s="184" t="str">
        <f>IFERROR(IF(VLOOKUP(Wed_W2[[#This Row],[Employee Name]],'Base Schedules'!$A$205:$AW$241,30,FALSE)="","",VLOOKUP(Wed_W2[[#This Row],[Employee Name]],'Base Schedules'!$A$205:$AW$241,30,FALSE)),"")</f>
        <v>RNNR</v>
      </c>
      <c r="AF26" s="184" t="str">
        <f>IFERROR(IF(VLOOKUP(Wed_W2[[#This Row],[Employee Name]],'Base Schedules'!$A$205:$AW$241,31,FALSE)="","",VLOOKUP(Wed_W2[[#This Row],[Employee Name]],'Base Schedules'!$A$205:$AW$241,31,FALSE)),"")</f>
        <v>HL</v>
      </c>
      <c r="AG26" s="184" t="str">
        <f>IFERROR(IF(VLOOKUP(Wed_W2[[#This Row],[Employee Name]],'Base Schedules'!$A$205:$AW$241,32,FALSE)="","",VLOOKUP(Wed_W2[[#This Row],[Employee Name]],'Base Schedules'!$A$205:$AW$241,32,FALSE)),"")</f>
        <v>ADM</v>
      </c>
      <c r="AH26" s="184" t="str">
        <f>IFERROR(IF(VLOOKUP(Wed_W2[[#This Row],[Employee Name]],'Base Schedules'!$A$205:$AW$241,33,FALSE)="","",VLOOKUP(Wed_W2[[#This Row],[Employee Name]],'Base Schedules'!$A$205:$AW$241,33,FALSE)),"")</f>
        <v>B2 HL</v>
      </c>
      <c r="AI26" s="184" t="str">
        <f>IFERROR(IF(VLOOKUP(Wed_W2[[#This Row],[Employee Name]],'Base Schedules'!$A$205:$AW$241,34,FALSE)="","",VLOOKUP(Wed_W2[[#This Row],[Employee Name]],'Base Schedules'!$A$205:$AW$241,34,FALSE)),"")</f>
        <v>HL</v>
      </c>
      <c r="AJ26" s="184" t="str">
        <f>IFERROR(IF(VLOOKUP(Wed_W2[[#This Row],[Employee Name]],'Base Schedules'!$A$205:$AW$241,35,FALSE)="","",VLOOKUP(Wed_W2[[#This Row],[Employee Name]],'Base Schedules'!$A$205:$AW$241,35,FALSE)),"")</f>
        <v>HL</v>
      </c>
      <c r="AK26" s="184" t="str">
        <f>IFERROR(IF(VLOOKUP(Wed_W2[[#This Row],[Employee Name]],'Base Schedules'!$A$205:$AW$241,36,FALSE)="","",VLOOKUP(Wed_W2[[#This Row],[Employee Name]],'Base Schedules'!$A$205:$AW$241,36,FALSE)),"")</f>
        <v>ADM</v>
      </c>
      <c r="AL26" s="184" t="str">
        <f>IFERROR(IF(VLOOKUP(Wed_W2[[#This Row],[Employee Name]],'Base Schedules'!$A$205:$AW$241,37,FALSE)="","",VLOOKUP(Wed_W2[[#This Row],[Employee Name]],'Base Schedules'!$A$205:$AW$241,37,FALSE)),"")</f>
        <v/>
      </c>
      <c r="AM26" s="184" t="str">
        <f>IFERROR(IF(VLOOKUP(Wed_W2[[#This Row],[Employee Name]],'Base Schedules'!$A$205:$AW$241,38,FALSE)="","",VLOOKUP(Wed_W2[[#This Row],[Employee Name]],'Base Schedules'!$A$205:$AW$241,38,FALSE)),"")</f>
        <v/>
      </c>
      <c r="AN26" s="184" t="str">
        <f>IFERROR(IF(VLOOKUP(Wed_W2[[#This Row],[Employee Name]],'Base Schedules'!$A$205:$AW$241,39,FALSE)="","",VLOOKUP(Wed_W2[[#This Row],[Employee Name]],'Base Schedules'!$A$205:$AW$241,39,FALSE)),"")</f>
        <v/>
      </c>
      <c r="AO26" s="184" t="str">
        <f>IFERROR(IF(VLOOKUP(Wed_W2[[#This Row],[Employee Name]],'Base Schedules'!$A$205:$AW$241,40,FALSE)="","",VLOOKUP(Wed_W2[[#This Row],[Employee Name]],'Base Schedules'!$A$205:$AW$241,40,FALSE)),"")</f>
        <v/>
      </c>
      <c r="AP26" s="184" t="str">
        <f>IFERROR(IF(VLOOKUP(Wed_W2[[#This Row],[Employee Name]],'Base Schedules'!$A$205:$AW$241,41,FALSE)="","",VLOOKUP(Wed_W2[[#This Row],[Employee Name]],'Base Schedules'!$A$205:$AW$241,41,FALSE)),"")</f>
        <v/>
      </c>
      <c r="AQ26" s="184" t="str">
        <f>IFERROR(IF(VLOOKUP(Wed_W2[[#This Row],[Employee Name]],'Base Schedules'!$A$205:$AW$241,42,FALSE)="","",VLOOKUP(Wed_W2[[#This Row],[Employee Name]],'Base Schedules'!$A$205:$AW$241,42,FALSE)),"")</f>
        <v/>
      </c>
      <c r="AR26" s="184" t="str">
        <f>IFERROR(IF(VLOOKUP(Wed_W2[[#This Row],[Employee Name]],'Base Schedules'!$A$205:$AW$241,43,FALSE)="","",VLOOKUP(Wed_W2[[#This Row],[Employee Name]],'Base Schedules'!$A$205:$AW$241,43,FALSE)),"")</f>
        <v/>
      </c>
      <c r="AS26" s="184" t="str">
        <f>IFERROR(IF(VLOOKUP(Wed_W2[[#This Row],[Employee Name]],'Base Schedules'!$A$205:$AW$241,44,FALSE)="","",VLOOKUP(Wed_W2[[#This Row],[Employee Name]],'Base Schedules'!$A$205:$AW$241,44,FALSE)),"")</f>
        <v/>
      </c>
      <c r="AT26" s="184" t="str">
        <f>IFERROR(IF(VLOOKUP(Wed_W2[[#This Row],[Employee Name]],'Base Schedules'!$A$205:$AW$241,45,FALSE)="","",VLOOKUP(Wed_W2[[#This Row],[Employee Name]],'Base Schedules'!$A$205:$AW$241,45,FALSE)),"")</f>
        <v/>
      </c>
      <c r="AU26" s="184" t="str">
        <f>IFERROR(IF(VLOOKUP(Wed_W2[[#This Row],[Employee Name]],'Base Schedules'!$A$205:$AW$241,46,FALSE)="","",VLOOKUP(Wed_W2[[#This Row],[Employee Name]],'Base Schedules'!$A$205:$AW$241,46,FALSE)),"")</f>
        <v/>
      </c>
      <c r="AV26" s="184" t="str">
        <f>IFERROR(IF(VLOOKUP(Wed_W2[[#This Row],[Employee Name]],'Base Schedules'!$A$205:$AW$241,47,FALSE)="","",VLOOKUP(Wed_W2[[#This Row],[Employee Name]],'Base Schedules'!$A$205:$AW$241,47,FALSE)),"")</f>
        <v/>
      </c>
      <c r="AW26" s="184" t="str">
        <f>IFERROR(IF(VLOOKUP(Wed_W2[[#This Row],[Employee Name]],'Base Schedules'!$A$205:$AW$241,48,FALSE)="","",VLOOKUP(Wed_W2[[#This Row],[Employee Name]],'Base Schedules'!$A$205:$AW$241,48,FALSE)),"")</f>
        <v/>
      </c>
      <c r="AX26" s="184" t="str">
        <f>IFERROR(IF(VLOOKUP(Wed_W2[[#This Row],[Employee Name]],'Base Schedules'!$A$205:$AW$241,49,FALSE)="","",VLOOKUP(Wed_W2[[#This Row],[Employee Name]],'Base Schedules'!$A$205:$AW$241,49,FALSE)),"")</f>
        <v/>
      </c>
      <c r="AY26" s="245" t="str">
        <f t="shared" si="2"/>
        <v>Slagle, Natasha</v>
      </c>
    </row>
    <row r="27" spans="1:51" s="44" customFormat="1" ht="12" customHeight="1" x14ac:dyDescent="0.2">
      <c r="A27" s="39" t="str">
        <f>IF(B27="","",INDEX(TeamList[],MATCH($B27,TeamList[[Employee Name]:[Employee Name]],0),MATCH("Manager",TeamList[#Headers],0)))</f>
        <v>Olson, Katherine</v>
      </c>
      <c r="B27" s="201" t="s">
        <v>67</v>
      </c>
      <c r="C27" s="257" t="str">
        <f>_xlfn.IFNA(VLOOKUP(Wed_W2[[#This Row],[Employee Name]],'Base Schedules'!A:B,2,FALSE),"")</f>
        <v>Lead</v>
      </c>
      <c r="D27" s="274">
        <f>_xlfn.IFNA(VLOOKUP(Wed_W2[[#This Row],[Employee Name]],'Base Schedules'!A:C,3,FALSE),"")</f>
        <v>1030</v>
      </c>
      <c r="E27" s="274">
        <f>_xlfn.IFNA(VLOOKUP(Wed_W2[[#This Row],[Employee Name]],'Base Schedules'!A:D,4,FALSE),"")</f>
        <v>1900</v>
      </c>
      <c r="F27" s="142">
        <f>IF(Wed_W2[[#This Row],[Employee Name]]="","",IF(Wed_W2[[#This Row],[Dept]]="Supervisor",COUNTIFS($J27:$AX27,"*HL*",$J27:$AX27,"&lt;&gt;"&amp;"pHL"),COUNTIFS($J27:$AX27,"*HL*",$J27:$AX27,"&lt;&gt;"&amp;"*pHL*",$J27:$AX27,"&lt;&gt;"&amp;"pB1 HL",$J27:$AX27,"&lt;&gt;"&amp;"pB2 HL")-SUM(COUNTIFS($J27:$AX27,"*HL B1*",$J27:$AX27,"&lt;&gt;"&amp;"pHL B1")*0.5,COUNTIFS($J27:$AX27,"*HL B2*",$J27:$AX27,"&lt;&gt;"&amp;"pHL B2")*0.5,COUNTIFS($J27:$AX27,"*B1 HL*",$J27:$AX27,"&lt;&gt;"&amp;"pB1 HL")*0.5,COUNTIFS($J27:$AX27,"*B2 HL*",$J27:$AX27,"&lt;&gt;"&amp;"pB2 HL")*0.5)))</f>
        <v>6.5</v>
      </c>
      <c r="G27" s="142">
        <f t="shared" si="0"/>
        <v>0</v>
      </c>
      <c r="H27" s="142">
        <f t="shared" si="1"/>
        <v>7</v>
      </c>
      <c r="I27" s="142">
        <f>IF(Wed_W2[[#This Row],[Employee Name]]="","",IF(Wed_W2[[#This Row],[Dept]]="Supervisor",SUM(COUNTIFS($J27:$AX27,"RTA*",$J27:$AX27,"&lt;&gt;"&amp;"pRTA"),COUNTIFS($J27:$AX27,"*CRTA*",$J27:$AX27,"&lt;&gt;"&amp;"pCRTA")),COUNTIFS($J27:$AX27,"*RNNR*",$J27:$AX27,"&lt;&gt;"&amp;"*pRNNR*",$J27:$AX27,"&lt;&gt;"&amp;"pB1 RNNR",$J27:$AX27,"&lt;&gt;"&amp;"pB2 RNNR")-SUM(COUNTIFS($J27:$AX27,"*RNNR B1*",$J27:$AX27,"&lt;&gt;"&amp;"pRNNR B1")*0.5,COUNTIFS($J27:$AX27,"*RNNR B2*",$J27:$AX27,"&lt;&gt;"&amp;"pRNNR B2")*0.5,COUNTIFS($J27:$AX27,"*B1 RNNR*",$J27:$AX27,"&lt;&gt;"&amp;"pB1 RNNR")*0.5,COUNTIFS($J27:$AX27,"*B2 RNNR*",$J27:$AX27,"&lt;&gt;"&amp;"pB2 RNNR")*0.5)))</f>
        <v>2</v>
      </c>
      <c r="J27" s="184" t="str">
        <f>IFERROR(IF(VLOOKUP(Wed_W2[[#This Row],[Employee Name]],'Base Schedules'!$A$205:$AW$241,9,FALSE)="","",VLOOKUP(Wed_W2[[#This Row],[Employee Name]],'Base Schedules'!$A$205:$AW$241,9,FALSE)),"")</f>
        <v/>
      </c>
      <c r="K27" s="184" t="str">
        <f>IFERROR(IF(VLOOKUP(Wed_W2[[#This Row],[Employee Name]],'Base Schedules'!$A$205:$AW$241,10,FALSE)="","",VLOOKUP(Wed_W2[[#This Row],[Employee Name]],'Base Schedules'!$A$205:$AW$241,10,FALSE)),"")</f>
        <v/>
      </c>
      <c r="L27" s="184" t="str">
        <f>IFERROR(IF(VLOOKUP(Wed_W2[[#This Row],[Employee Name]],'Base Schedules'!$A$205:$AW$241,11,FALSE)="","",VLOOKUP(Wed_W2[[#This Row],[Employee Name]],'Base Schedules'!$A$205:$AW$241,11,FALSE)),"")</f>
        <v/>
      </c>
      <c r="M27" s="184" t="str">
        <f>IFERROR(IF(VLOOKUP(Wed_W2[[#This Row],[Employee Name]],'Base Schedules'!$A$205:$AW$241,12,FALSE)="","",VLOOKUP(Wed_W2[[#This Row],[Employee Name]],'Base Schedules'!$A$205:$AW$241,12,FALSE)),"")</f>
        <v/>
      </c>
      <c r="N27" s="184" t="str">
        <f>IFERROR(IF(VLOOKUP(Wed_W2[[#This Row],[Employee Name]],'Base Schedules'!$A$205:$AW$241,13,FALSE)="","",VLOOKUP(Wed_W2[[#This Row],[Employee Name]],'Base Schedules'!$A$205:$AW$241,13,FALSE)),"")</f>
        <v/>
      </c>
      <c r="O27" s="184" t="str">
        <f>IFERROR(IF(VLOOKUP(Wed_W2[[#This Row],[Employee Name]],'Base Schedules'!$A$205:$AW$241,14,FALSE)="","",VLOOKUP(Wed_W2[[#This Row],[Employee Name]],'Base Schedules'!$A$205:$AW$241,14,FALSE)),"")</f>
        <v/>
      </c>
      <c r="P27" s="184" t="str">
        <f>IFERROR(IF(VLOOKUP(Wed_W2[[#This Row],[Employee Name]],'Base Schedules'!$A$205:$AW$241,15,FALSE)="","",VLOOKUP(Wed_W2[[#This Row],[Employee Name]],'Base Schedules'!$A$205:$AW$241,15,FALSE)),"")</f>
        <v/>
      </c>
      <c r="Q27" s="184" t="str">
        <f>IFERROR(IF(VLOOKUP(Wed_W2[[#This Row],[Employee Name]],'Base Schedules'!$A$205:$AW$241,16,FALSE)="","",VLOOKUP(Wed_W2[[#This Row],[Employee Name]],'Base Schedules'!$A$205:$AW$241,16,FALSE)),"")</f>
        <v/>
      </c>
      <c r="R27" s="184" t="str">
        <f>IFERROR(IF(VLOOKUP(Wed_W2[[#This Row],[Employee Name]],'Base Schedules'!$A$205:$AW$241,17,FALSE)="","",VLOOKUP(Wed_W2[[#This Row],[Employee Name]],'Base Schedules'!$A$205:$AW$241,17,FALSE)),"")</f>
        <v/>
      </c>
      <c r="S27" s="184" t="str">
        <f>IFERROR(IF(VLOOKUP(Wed_W2[[#This Row],[Employee Name]],'Base Schedules'!$A$205:$AW$241,18,FALSE)="","",VLOOKUP(Wed_W2[[#This Row],[Employee Name]],'Base Schedules'!$A$205:$AW$241,18,FALSE)),"")</f>
        <v/>
      </c>
      <c r="T27" s="184" t="str">
        <f>IFERROR(IF(VLOOKUP(Wed_W2[[#This Row],[Employee Name]],'Base Schedules'!$A$205:$AW$241,19,FALSE)="","",VLOOKUP(Wed_W2[[#This Row],[Employee Name]],'Base Schedules'!$A$205:$AW$241,19,FALSE)),"")</f>
        <v/>
      </c>
      <c r="U27" s="184" t="str">
        <f>IFERROR(IF(VLOOKUP(Wed_W2[[#This Row],[Employee Name]],'Base Schedules'!$A$205:$AW$241,20,FALSE)="","",VLOOKUP(Wed_W2[[#This Row],[Employee Name]],'Base Schedules'!$A$205:$AW$241,20,FALSE)),"")</f>
        <v>ADM</v>
      </c>
      <c r="V27" s="184" t="str">
        <f>IFERROR(IF(VLOOKUP(Wed_W2[[#This Row],[Employee Name]],'Base Schedules'!$A$205:$AW$241,21,FALSE)="","",VLOOKUP(Wed_W2[[#This Row],[Employee Name]],'Base Schedules'!$A$205:$AW$241,21,FALSE)),"")</f>
        <v>HL</v>
      </c>
      <c r="W27" s="184" t="str">
        <f>IFERROR(IF(VLOOKUP(Wed_W2[[#This Row],[Employee Name]],'Base Schedules'!$A$205:$AW$241,22,FALSE)="","",VLOOKUP(Wed_W2[[#This Row],[Employee Name]],'Base Schedules'!$A$205:$AW$241,22,FALSE)),"")</f>
        <v>HL</v>
      </c>
      <c r="X27" s="184" t="str">
        <f>IFERROR(IF(VLOOKUP(Wed_W2[[#This Row],[Employee Name]],'Base Schedules'!$A$205:$AW$241,23,FALSE)="","",VLOOKUP(Wed_W2[[#This Row],[Employee Name]],'Base Schedules'!$A$205:$AW$241,23,FALSE)),"")</f>
        <v>HL</v>
      </c>
      <c r="Y27" s="184" t="str">
        <f>IFERROR(IF(VLOOKUP(Wed_W2[[#This Row],[Employee Name]],'Base Schedules'!$A$205:$AW$241,24,FALSE)="","",VLOOKUP(Wed_W2[[#This Row],[Employee Name]],'Base Schedules'!$A$205:$AW$241,24,FALSE)),"")</f>
        <v>B1 HL</v>
      </c>
      <c r="Z27" s="184" t="str">
        <f>IFERROR(IF(VLOOKUP(Wed_W2[[#This Row],[Employee Name]],'Base Schedules'!$A$205:$AW$241,25,FALSE)="","",VLOOKUP(Wed_W2[[#This Row],[Employee Name]],'Base Schedules'!$A$205:$AW$241,25,FALSE)),"")</f>
        <v>RNNR</v>
      </c>
      <c r="AA27" s="184" t="str">
        <f>IFERROR(IF(VLOOKUP(Wed_W2[[#This Row],[Employee Name]],'Base Schedules'!$A$205:$AW$241,26,FALSE)="","",VLOOKUP(Wed_W2[[#This Row],[Employee Name]],'Base Schedules'!$A$205:$AW$241,26,FALSE)),"")</f>
        <v>RNNR</v>
      </c>
      <c r="AB27" s="184" t="str">
        <f>IFERROR(IF(VLOOKUP(Wed_W2[[#This Row],[Employee Name]],'Base Schedules'!$A$205:$AW$241,27,FALSE)="","",VLOOKUP(Wed_W2[[#This Row],[Employee Name]],'Base Schedules'!$A$205:$AW$241,27,FALSE)),"")</f>
        <v>ADM</v>
      </c>
      <c r="AC27" s="184" t="str">
        <f>IFERROR(IF(VLOOKUP(Wed_W2[[#This Row],[Employee Name]],'Base Schedules'!$A$205:$AW$241,28,FALSE)="","",VLOOKUP(Wed_W2[[#This Row],[Employee Name]],'Base Schedules'!$A$205:$AW$241,28,FALSE)),"")</f>
        <v>LUNCH</v>
      </c>
      <c r="AD27" s="184" t="str">
        <f>IFERROR(IF(VLOOKUP(Wed_W2[[#This Row],[Employee Name]],'Base Schedules'!$A$205:$AW$241,29,FALSE)="","",VLOOKUP(Wed_W2[[#This Row],[Employee Name]],'Base Schedules'!$A$205:$AW$241,29,FALSE)),"")</f>
        <v>HL</v>
      </c>
      <c r="AE27" s="184" t="str">
        <f>IFERROR(IF(VLOOKUP(Wed_W2[[#This Row],[Employee Name]],'Base Schedules'!$A$205:$AW$241,30,FALSE)="","",VLOOKUP(Wed_W2[[#This Row],[Employee Name]],'Base Schedules'!$A$205:$AW$241,30,FALSE)),"")</f>
        <v>HL</v>
      </c>
      <c r="AF27" s="184" t="str">
        <f>IFERROR(IF(VLOOKUP(Wed_W2[[#This Row],[Employee Name]],'Base Schedules'!$A$205:$AW$241,31,FALSE)="","",VLOOKUP(Wed_W2[[#This Row],[Employee Name]],'Base Schedules'!$A$205:$AW$241,31,FALSE)),"")</f>
        <v>ADM</v>
      </c>
      <c r="AG27" s="184" t="str">
        <f>IFERROR(IF(VLOOKUP(Wed_W2[[#This Row],[Employee Name]],'Base Schedules'!$A$205:$AW$241,32,FALSE)="","",VLOOKUP(Wed_W2[[#This Row],[Employee Name]],'Base Schedules'!$A$205:$AW$241,32,FALSE)),"")</f>
        <v>ADM B2</v>
      </c>
      <c r="AH27" s="184" t="str">
        <f>IFERROR(IF(VLOOKUP(Wed_W2[[#This Row],[Employee Name]],'Base Schedules'!$A$205:$AW$241,33,FALSE)="","",VLOOKUP(Wed_W2[[#This Row],[Employee Name]],'Base Schedules'!$A$205:$AW$241,33,FALSE)),"")</f>
        <v>ADM</v>
      </c>
      <c r="AI27" s="184" t="str">
        <f>IFERROR(IF(VLOOKUP(Wed_W2[[#This Row],[Employee Name]],'Base Schedules'!$A$205:$AW$241,34,FALSE)="","",VLOOKUP(Wed_W2[[#This Row],[Employee Name]],'Base Schedules'!$A$205:$AW$241,34,FALSE)),"")</f>
        <v>ADM</v>
      </c>
      <c r="AJ27" s="184" t="str">
        <f>IFERROR(IF(VLOOKUP(Wed_W2[[#This Row],[Employee Name]],'Base Schedules'!$A$205:$AW$241,35,FALSE)="","",VLOOKUP(Wed_W2[[#This Row],[Employee Name]],'Base Schedules'!$A$205:$AW$241,35,FALSE)),"")</f>
        <v>ADM</v>
      </c>
      <c r="AK27" s="184" t="str">
        <f>IFERROR(IF(VLOOKUP(Wed_W2[[#This Row],[Employee Name]],'Base Schedules'!$A$205:$AW$241,36,FALSE)="","",VLOOKUP(Wed_W2[[#This Row],[Employee Name]],'Base Schedules'!$A$205:$AW$241,36,FALSE)),"")</f>
        <v>HL</v>
      </c>
      <c r="AL27" s="184" t="str">
        <f>IFERROR(IF(VLOOKUP(Wed_W2[[#This Row],[Employee Name]],'Base Schedules'!$A$205:$AW$241,37,FALSE)="","",VLOOKUP(Wed_W2[[#This Row],[Employee Name]],'Base Schedules'!$A$205:$AW$241,37,FALSE)),"")</f>
        <v/>
      </c>
      <c r="AM27" s="184" t="str">
        <f>IFERROR(IF(VLOOKUP(Wed_W2[[#This Row],[Employee Name]],'Base Schedules'!$A$205:$AW$241,38,FALSE)="","",VLOOKUP(Wed_W2[[#This Row],[Employee Name]],'Base Schedules'!$A$205:$AW$241,38,FALSE)),"")</f>
        <v/>
      </c>
      <c r="AN27" s="184" t="str">
        <f>IFERROR(IF(VLOOKUP(Wed_W2[[#This Row],[Employee Name]],'Base Schedules'!$A$205:$AW$241,39,FALSE)="","",VLOOKUP(Wed_W2[[#This Row],[Employee Name]],'Base Schedules'!$A$205:$AW$241,39,FALSE)),"")</f>
        <v/>
      </c>
      <c r="AO27" s="184" t="str">
        <f>IFERROR(IF(VLOOKUP(Wed_W2[[#This Row],[Employee Name]],'Base Schedules'!$A$205:$AW$241,40,FALSE)="","",VLOOKUP(Wed_W2[[#This Row],[Employee Name]],'Base Schedules'!$A$205:$AW$241,40,FALSE)),"")</f>
        <v/>
      </c>
      <c r="AP27" s="184" t="str">
        <f>IFERROR(IF(VLOOKUP(Wed_W2[[#This Row],[Employee Name]],'Base Schedules'!$A$205:$AW$241,41,FALSE)="","",VLOOKUP(Wed_W2[[#This Row],[Employee Name]],'Base Schedules'!$A$205:$AW$241,41,FALSE)),"")</f>
        <v/>
      </c>
      <c r="AQ27" s="184" t="str">
        <f>IFERROR(IF(VLOOKUP(Wed_W2[[#This Row],[Employee Name]],'Base Schedules'!$A$205:$AW$241,42,FALSE)="","",VLOOKUP(Wed_W2[[#This Row],[Employee Name]],'Base Schedules'!$A$205:$AW$241,42,FALSE)),"")</f>
        <v/>
      </c>
      <c r="AR27" s="184" t="str">
        <f>IFERROR(IF(VLOOKUP(Wed_W2[[#This Row],[Employee Name]],'Base Schedules'!$A$205:$AW$241,43,FALSE)="","",VLOOKUP(Wed_W2[[#This Row],[Employee Name]],'Base Schedules'!$A$205:$AW$241,43,FALSE)),"")</f>
        <v/>
      </c>
      <c r="AS27" s="184" t="str">
        <f>IFERROR(IF(VLOOKUP(Wed_W2[[#This Row],[Employee Name]],'Base Schedules'!$A$205:$AW$241,44,FALSE)="","",VLOOKUP(Wed_W2[[#This Row],[Employee Name]],'Base Schedules'!$A$205:$AW$241,44,FALSE)),"")</f>
        <v/>
      </c>
      <c r="AT27" s="184" t="str">
        <f>IFERROR(IF(VLOOKUP(Wed_W2[[#This Row],[Employee Name]],'Base Schedules'!$A$205:$AW$241,45,FALSE)="","",VLOOKUP(Wed_W2[[#This Row],[Employee Name]],'Base Schedules'!$A$205:$AW$241,45,FALSE)),"")</f>
        <v/>
      </c>
      <c r="AU27" s="184" t="str">
        <f>IFERROR(IF(VLOOKUP(Wed_W2[[#This Row],[Employee Name]],'Base Schedules'!$A$205:$AW$241,46,FALSE)="","",VLOOKUP(Wed_W2[[#This Row],[Employee Name]],'Base Schedules'!$A$205:$AW$241,46,FALSE)),"")</f>
        <v/>
      </c>
      <c r="AV27" s="184" t="str">
        <f>IFERROR(IF(VLOOKUP(Wed_W2[[#This Row],[Employee Name]],'Base Schedules'!$A$205:$AW$241,47,FALSE)="","",VLOOKUP(Wed_W2[[#This Row],[Employee Name]],'Base Schedules'!$A$205:$AW$241,47,FALSE)),"")</f>
        <v/>
      </c>
      <c r="AW27" s="184" t="str">
        <f>IFERROR(IF(VLOOKUP(Wed_W2[[#This Row],[Employee Name]],'Base Schedules'!$A$205:$AW$241,48,FALSE)="","",VLOOKUP(Wed_W2[[#This Row],[Employee Name]],'Base Schedules'!$A$205:$AW$241,48,FALSE)),"")</f>
        <v/>
      </c>
      <c r="AX27" s="184" t="str">
        <f>IFERROR(IF(VLOOKUP(Wed_W2[[#This Row],[Employee Name]],'Base Schedules'!$A$205:$AW$241,49,FALSE)="","",VLOOKUP(Wed_W2[[#This Row],[Employee Name]],'Base Schedules'!$A$205:$AW$241,49,FALSE)),"")</f>
        <v/>
      </c>
      <c r="AY27" s="245" t="str">
        <f t="shared" si="2"/>
        <v>Qualman, Sophy</v>
      </c>
    </row>
    <row r="28" spans="1:51" s="44" customFormat="1" ht="12" customHeight="1" x14ac:dyDescent="0.2">
      <c r="A28" s="39" t="str">
        <f>IF(B28="","",INDEX(TeamList[],MATCH($B28,TeamList[[Employee Name]:[Employee Name]],0),MATCH("Manager",TeamList[#Headers],0)))</f>
        <v>Olson, Katherine</v>
      </c>
      <c r="B28" s="201" t="s">
        <v>30</v>
      </c>
      <c r="C28" s="257" t="str">
        <f>_xlfn.IFNA(VLOOKUP(Wed_W2[[#This Row],[Employee Name]],'Base Schedules'!A:B,2,FALSE),"")</f>
        <v>Lead</v>
      </c>
      <c r="D28" s="274">
        <f>_xlfn.IFNA(VLOOKUP(Wed_W2[[#This Row],[Employee Name]],'Base Schedules'!A:C,3,FALSE),"")</f>
        <v>1100</v>
      </c>
      <c r="E28" s="274">
        <f>_xlfn.IFNA(VLOOKUP(Wed_W2[[#This Row],[Employee Name]],'Base Schedules'!A:D,4,FALSE),"")</f>
        <v>2000</v>
      </c>
      <c r="F28" s="142">
        <f>IF(Wed_W2[[#This Row],[Employee Name]]="","",IF(Wed_W2[[#This Row],[Dept]]="Supervisor",COUNTIFS($J28:$AX28,"*HL*",$J28:$AX28,"&lt;&gt;"&amp;"pHL"),COUNTIFS($J28:$AX28,"*HL*",$J28:$AX28,"&lt;&gt;"&amp;"*pHL*",$J28:$AX28,"&lt;&gt;"&amp;"pB1 HL",$J28:$AX28,"&lt;&gt;"&amp;"pB2 HL")-SUM(COUNTIFS($J28:$AX28,"*HL B1*",$J28:$AX28,"&lt;&gt;"&amp;"pHL B1")*0.5,COUNTIFS($J28:$AX28,"*HL B2*",$J28:$AX28,"&lt;&gt;"&amp;"pHL B2")*0.5,COUNTIFS($J28:$AX28,"*B1 HL*",$J28:$AX28,"&lt;&gt;"&amp;"pB1 HL")*0.5,COUNTIFS($J28:$AX28,"*B2 HL*",$J28:$AX28,"&lt;&gt;"&amp;"pB2 HL")*0.5)))</f>
        <v>5.5</v>
      </c>
      <c r="G28" s="142">
        <f t="shared" si="0"/>
        <v>0</v>
      </c>
      <c r="H28" s="142">
        <f t="shared" si="1"/>
        <v>6</v>
      </c>
      <c r="I28" s="142">
        <f>IF(Wed_W2[[#This Row],[Employee Name]]="","",IF(Wed_W2[[#This Row],[Dept]]="Supervisor",SUM(COUNTIFS($J28:$AX28,"RTA*",$J28:$AX28,"&lt;&gt;"&amp;"pRTA"),COUNTIFS($J28:$AX28,"*CRTA*",$J28:$AX28,"&lt;&gt;"&amp;"pCRTA")),COUNTIFS($J28:$AX28,"*RNNR*",$J28:$AX28,"&lt;&gt;"&amp;"*pRNNR*",$J28:$AX28,"&lt;&gt;"&amp;"pB1 RNNR",$J28:$AX28,"&lt;&gt;"&amp;"pB2 RNNR")-SUM(COUNTIFS($J28:$AX28,"*RNNR B1*",$J28:$AX28,"&lt;&gt;"&amp;"pRNNR B1")*0.5,COUNTIFS($J28:$AX28,"*RNNR B2*",$J28:$AX28,"&lt;&gt;"&amp;"pRNNR B2")*0.5,COUNTIFS($J28:$AX28,"*B1 RNNR*",$J28:$AX28,"&lt;&gt;"&amp;"pB1 RNNR")*0.5,COUNTIFS($J28:$AX28,"*B2 RNNR*",$J28:$AX28,"&lt;&gt;"&amp;"pB2 RNNR")*0.5)))</f>
        <v>2</v>
      </c>
      <c r="J28" s="184" t="str">
        <f>IFERROR(IF(VLOOKUP(Wed_W2[[#This Row],[Employee Name]],'Base Schedules'!$A$205:$AW$241,9,FALSE)="","",VLOOKUP(Wed_W2[[#This Row],[Employee Name]],'Base Schedules'!$A$205:$AW$241,9,FALSE)),"")</f>
        <v/>
      </c>
      <c r="K28" s="184" t="str">
        <f>IFERROR(IF(VLOOKUP(Wed_W2[[#This Row],[Employee Name]],'Base Schedules'!$A$205:$AW$241,10,FALSE)="","",VLOOKUP(Wed_W2[[#This Row],[Employee Name]],'Base Schedules'!$A$205:$AW$241,10,FALSE)),"")</f>
        <v/>
      </c>
      <c r="L28" s="184" t="str">
        <f>IFERROR(IF(VLOOKUP(Wed_W2[[#This Row],[Employee Name]],'Base Schedules'!$A$205:$AW$241,11,FALSE)="","",VLOOKUP(Wed_W2[[#This Row],[Employee Name]],'Base Schedules'!$A$205:$AW$241,11,FALSE)),"")</f>
        <v/>
      </c>
      <c r="M28" s="184" t="str">
        <f>IFERROR(IF(VLOOKUP(Wed_W2[[#This Row],[Employee Name]],'Base Schedules'!$A$205:$AW$241,12,FALSE)="","",VLOOKUP(Wed_W2[[#This Row],[Employee Name]],'Base Schedules'!$A$205:$AW$241,12,FALSE)),"")</f>
        <v/>
      </c>
      <c r="N28" s="184" t="str">
        <f>IFERROR(IF(VLOOKUP(Wed_W2[[#This Row],[Employee Name]],'Base Schedules'!$A$205:$AW$241,13,FALSE)="","",VLOOKUP(Wed_W2[[#This Row],[Employee Name]],'Base Schedules'!$A$205:$AW$241,13,FALSE)),"")</f>
        <v/>
      </c>
      <c r="O28" s="184" t="str">
        <f>IFERROR(IF(VLOOKUP(Wed_W2[[#This Row],[Employee Name]],'Base Schedules'!$A$205:$AW$241,14,FALSE)="","",VLOOKUP(Wed_W2[[#This Row],[Employee Name]],'Base Schedules'!$A$205:$AW$241,14,FALSE)),"")</f>
        <v/>
      </c>
      <c r="P28" s="184" t="str">
        <f>IFERROR(IF(VLOOKUP(Wed_W2[[#This Row],[Employee Name]],'Base Schedules'!$A$205:$AW$241,15,FALSE)="","",VLOOKUP(Wed_W2[[#This Row],[Employee Name]],'Base Schedules'!$A$205:$AW$241,15,FALSE)),"")</f>
        <v/>
      </c>
      <c r="Q28" s="184" t="str">
        <f>IFERROR(IF(VLOOKUP(Wed_W2[[#This Row],[Employee Name]],'Base Schedules'!$A$205:$AW$241,16,FALSE)="","",VLOOKUP(Wed_W2[[#This Row],[Employee Name]],'Base Schedules'!$A$205:$AW$241,16,FALSE)),"")</f>
        <v/>
      </c>
      <c r="R28" s="184" t="str">
        <f>IFERROR(IF(VLOOKUP(Wed_W2[[#This Row],[Employee Name]],'Base Schedules'!$A$205:$AW$241,17,FALSE)="","",VLOOKUP(Wed_W2[[#This Row],[Employee Name]],'Base Schedules'!$A$205:$AW$241,17,FALSE)),"")</f>
        <v/>
      </c>
      <c r="S28" s="184" t="str">
        <f>IFERROR(IF(VLOOKUP(Wed_W2[[#This Row],[Employee Name]],'Base Schedules'!$A$205:$AW$241,18,FALSE)="","",VLOOKUP(Wed_W2[[#This Row],[Employee Name]],'Base Schedules'!$A$205:$AW$241,18,FALSE)),"")</f>
        <v/>
      </c>
      <c r="T28" s="184" t="str">
        <f>IFERROR(IF(VLOOKUP(Wed_W2[[#This Row],[Employee Name]],'Base Schedules'!$A$205:$AW$241,19,FALSE)="","",VLOOKUP(Wed_W2[[#This Row],[Employee Name]],'Base Schedules'!$A$205:$AW$241,19,FALSE)),"")</f>
        <v/>
      </c>
      <c r="U28" s="184" t="str">
        <f>IFERROR(IF(VLOOKUP(Wed_W2[[#This Row],[Employee Name]],'Base Schedules'!$A$205:$AW$241,20,FALSE)="","",VLOOKUP(Wed_W2[[#This Row],[Employee Name]],'Base Schedules'!$A$205:$AW$241,20,FALSE)),"")</f>
        <v/>
      </c>
      <c r="V28" s="184" t="str">
        <f>IFERROR(IF(VLOOKUP(Wed_W2[[#This Row],[Employee Name]],'Base Schedules'!$A$205:$AW$241,21,FALSE)="","",VLOOKUP(Wed_W2[[#This Row],[Employee Name]],'Base Schedules'!$A$205:$AW$241,21,FALSE)),"")</f>
        <v>ADM</v>
      </c>
      <c r="W28" s="184" t="str">
        <f>IFERROR(IF(VLOOKUP(Wed_W2[[#This Row],[Employee Name]],'Base Schedules'!$A$205:$AW$241,22,FALSE)="","",VLOOKUP(Wed_W2[[#This Row],[Employee Name]],'Base Schedules'!$A$205:$AW$241,22,FALSE)),"")</f>
        <v>ADM</v>
      </c>
      <c r="X28" s="184" t="str">
        <f>IFERROR(IF(VLOOKUP(Wed_W2[[#This Row],[Employee Name]],'Base Schedules'!$A$205:$AW$241,23,FALSE)="","",VLOOKUP(Wed_W2[[#This Row],[Employee Name]],'Base Schedules'!$A$205:$AW$241,23,FALSE)),"")</f>
        <v>PROJECT</v>
      </c>
      <c r="Y28" s="184" t="str">
        <f>IFERROR(IF(VLOOKUP(Wed_W2[[#This Row],[Employee Name]],'Base Schedules'!$A$205:$AW$241,24,FALSE)="","",VLOOKUP(Wed_W2[[#This Row],[Employee Name]],'Base Schedules'!$A$205:$AW$241,24,FALSE)),"")</f>
        <v>PROJECT</v>
      </c>
      <c r="Z28" s="184" t="str">
        <f>IFERROR(IF(VLOOKUP(Wed_W2[[#This Row],[Employee Name]],'Base Schedules'!$A$205:$AW$241,25,FALSE)="","",VLOOKUP(Wed_W2[[#This Row],[Employee Name]],'Base Schedules'!$A$205:$AW$241,25,FALSE)),"")</f>
        <v>ADM B1</v>
      </c>
      <c r="AA28" s="184" t="str">
        <f>IFERROR(IF(VLOOKUP(Wed_W2[[#This Row],[Employee Name]],'Base Schedules'!$A$205:$AW$241,26,FALSE)="","",VLOOKUP(Wed_W2[[#This Row],[Employee Name]],'Base Schedules'!$A$205:$AW$241,26,FALSE)),"")</f>
        <v>ADM</v>
      </c>
      <c r="AB28" s="184" t="str">
        <f>IFERROR(IF(VLOOKUP(Wed_W2[[#This Row],[Employee Name]],'Base Schedules'!$A$205:$AW$241,27,FALSE)="","",VLOOKUP(Wed_W2[[#This Row],[Employee Name]],'Base Schedules'!$A$205:$AW$241,27,FALSE)),"")</f>
        <v>HL</v>
      </c>
      <c r="AC28" s="184" t="str">
        <f>IFERROR(IF(VLOOKUP(Wed_W2[[#This Row],[Employee Name]],'Base Schedules'!$A$205:$AW$241,28,FALSE)="","",VLOOKUP(Wed_W2[[#This Row],[Employee Name]],'Base Schedules'!$A$205:$AW$241,28,FALSE)),"")</f>
        <v>ADM</v>
      </c>
      <c r="AD28" s="184" t="str">
        <f>IFERROR(IF(VLOOKUP(Wed_W2[[#This Row],[Employee Name]],'Base Schedules'!$A$205:$AW$241,29,FALSE)="","",VLOOKUP(Wed_W2[[#This Row],[Employee Name]],'Base Schedules'!$A$205:$AW$241,29,FALSE)),"")</f>
        <v>LUNCH</v>
      </c>
      <c r="AE28" s="184" t="str">
        <f>IFERROR(IF(VLOOKUP(Wed_W2[[#This Row],[Employee Name]],'Base Schedules'!$A$205:$AW$241,30,FALSE)="","",VLOOKUP(Wed_W2[[#This Row],[Employee Name]],'Base Schedules'!$A$205:$AW$241,30,FALSE)),"")</f>
        <v>ADM</v>
      </c>
      <c r="AF28" s="184" t="str">
        <f>IFERROR(IF(VLOOKUP(Wed_W2[[#This Row],[Employee Name]],'Base Schedules'!$A$205:$AW$241,31,FALSE)="","",VLOOKUP(Wed_W2[[#This Row],[Employee Name]],'Base Schedules'!$A$205:$AW$241,31,FALSE)),"")</f>
        <v>RNNR</v>
      </c>
      <c r="AG28" s="184" t="str">
        <f>IFERROR(IF(VLOOKUP(Wed_W2[[#This Row],[Employee Name]],'Base Schedules'!$A$205:$AW$241,32,FALSE)="","",VLOOKUP(Wed_W2[[#This Row],[Employee Name]],'Base Schedules'!$A$205:$AW$241,32,FALSE)),"")</f>
        <v>RNNR</v>
      </c>
      <c r="AH28" s="184" t="str">
        <f>IFERROR(IF(VLOOKUP(Wed_W2[[#This Row],[Employee Name]],'Base Schedules'!$A$205:$AW$241,33,FALSE)="","",VLOOKUP(Wed_W2[[#This Row],[Employee Name]],'Base Schedules'!$A$205:$AW$241,33,FALSE)),"")</f>
        <v>HL</v>
      </c>
      <c r="AI28" s="184" t="str">
        <f>IFERROR(IF(VLOOKUP(Wed_W2[[#This Row],[Employee Name]],'Base Schedules'!$A$205:$AW$241,34,FALSE)="","",VLOOKUP(Wed_W2[[#This Row],[Employee Name]],'Base Schedules'!$A$205:$AW$241,34,FALSE)),"")</f>
        <v>B2 HL</v>
      </c>
      <c r="AJ28" s="184" t="str">
        <f>IFERROR(IF(VLOOKUP(Wed_W2[[#This Row],[Employee Name]],'Base Schedules'!$A$205:$AW$241,35,FALSE)="","",VLOOKUP(Wed_W2[[#This Row],[Employee Name]],'Base Schedules'!$A$205:$AW$241,35,FALSE)),"")</f>
        <v>HL</v>
      </c>
      <c r="AK28" s="184" t="str">
        <f>IFERROR(IF(VLOOKUP(Wed_W2[[#This Row],[Employee Name]],'Base Schedules'!$A$205:$AW$241,36,FALSE)="","",VLOOKUP(Wed_W2[[#This Row],[Employee Name]],'Base Schedules'!$A$205:$AW$241,36,FALSE)),"")</f>
        <v>HL</v>
      </c>
      <c r="AL28" s="184" t="str">
        <f>IFERROR(IF(VLOOKUP(Wed_W2[[#This Row],[Employee Name]],'Base Schedules'!$A$205:$AW$241,37,FALSE)="","",VLOOKUP(Wed_W2[[#This Row],[Employee Name]],'Base Schedules'!$A$205:$AW$241,37,FALSE)),"")</f>
        <v>HL</v>
      </c>
      <c r="AM28" s="184" t="str">
        <f>IFERROR(IF(VLOOKUP(Wed_W2[[#This Row],[Employee Name]],'Base Schedules'!$A$205:$AW$241,38,FALSE)="","",VLOOKUP(Wed_W2[[#This Row],[Employee Name]],'Base Schedules'!$A$205:$AW$241,38,FALSE)),"")</f>
        <v/>
      </c>
      <c r="AN28" s="184" t="str">
        <f>IFERROR(IF(VLOOKUP(Wed_W2[[#This Row],[Employee Name]],'Base Schedules'!$A$205:$AW$241,39,FALSE)="","",VLOOKUP(Wed_W2[[#This Row],[Employee Name]],'Base Schedules'!$A$205:$AW$241,39,FALSE)),"")</f>
        <v/>
      </c>
      <c r="AO28" s="184" t="str">
        <f>IFERROR(IF(VLOOKUP(Wed_W2[[#This Row],[Employee Name]],'Base Schedules'!$A$205:$AW$241,40,FALSE)="","",VLOOKUP(Wed_W2[[#This Row],[Employee Name]],'Base Schedules'!$A$205:$AW$241,40,FALSE)),"")</f>
        <v/>
      </c>
      <c r="AP28" s="184" t="str">
        <f>IFERROR(IF(VLOOKUP(Wed_W2[[#This Row],[Employee Name]],'Base Schedules'!$A$205:$AW$241,41,FALSE)="","",VLOOKUP(Wed_W2[[#This Row],[Employee Name]],'Base Schedules'!$A$205:$AW$241,41,FALSE)),"")</f>
        <v/>
      </c>
      <c r="AQ28" s="184" t="str">
        <f>IFERROR(IF(VLOOKUP(Wed_W2[[#This Row],[Employee Name]],'Base Schedules'!$A$205:$AW$241,42,FALSE)="","",VLOOKUP(Wed_W2[[#This Row],[Employee Name]],'Base Schedules'!$A$205:$AW$241,42,FALSE)),"")</f>
        <v/>
      </c>
      <c r="AR28" s="184" t="str">
        <f>IFERROR(IF(VLOOKUP(Wed_W2[[#This Row],[Employee Name]],'Base Schedules'!$A$205:$AW$241,43,FALSE)="","",VLOOKUP(Wed_W2[[#This Row],[Employee Name]],'Base Schedules'!$A$205:$AW$241,43,FALSE)),"")</f>
        <v/>
      </c>
      <c r="AS28" s="184" t="str">
        <f>IFERROR(IF(VLOOKUP(Wed_W2[[#This Row],[Employee Name]],'Base Schedules'!$A$205:$AW$241,44,FALSE)="","",VLOOKUP(Wed_W2[[#This Row],[Employee Name]],'Base Schedules'!$A$205:$AW$241,44,FALSE)),"")</f>
        <v/>
      </c>
      <c r="AT28" s="184" t="str">
        <f>IFERROR(IF(VLOOKUP(Wed_W2[[#This Row],[Employee Name]],'Base Schedules'!$A$205:$AW$241,45,FALSE)="","",VLOOKUP(Wed_W2[[#This Row],[Employee Name]],'Base Schedules'!$A$205:$AW$241,45,FALSE)),"")</f>
        <v/>
      </c>
      <c r="AU28" s="184" t="str">
        <f>IFERROR(IF(VLOOKUP(Wed_W2[[#This Row],[Employee Name]],'Base Schedules'!$A$205:$AW$241,46,FALSE)="","",VLOOKUP(Wed_W2[[#This Row],[Employee Name]],'Base Schedules'!$A$205:$AW$241,46,FALSE)),"")</f>
        <v/>
      </c>
      <c r="AV28" s="184" t="str">
        <f>IFERROR(IF(VLOOKUP(Wed_W2[[#This Row],[Employee Name]],'Base Schedules'!$A$205:$AW$241,47,FALSE)="","",VLOOKUP(Wed_W2[[#This Row],[Employee Name]],'Base Schedules'!$A$205:$AW$241,47,FALSE)),"")</f>
        <v/>
      </c>
      <c r="AW28" s="184" t="str">
        <f>IFERROR(IF(VLOOKUP(Wed_W2[[#This Row],[Employee Name]],'Base Schedules'!$A$205:$AW$241,48,FALSE)="","",VLOOKUP(Wed_W2[[#This Row],[Employee Name]],'Base Schedules'!$A$205:$AW$241,48,FALSE)),"")</f>
        <v/>
      </c>
      <c r="AX28" s="184" t="str">
        <f>IFERROR(IF(VLOOKUP(Wed_W2[[#This Row],[Employee Name]],'Base Schedules'!$A$205:$AW$241,49,FALSE)="","",VLOOKUP(Wed_W2[[#This Row],[Employee Name]],'Base Schedules'!$A$205:$AW$241,49,FALSE)),"")</f>
        <v/>
      </c>
      <c r="AY28" s="245" t="str">
        <f t="shared" si="2"/>
        <v>Koistinen, Shaun</v>
      </c>
    </row>
    <row r="29" spans="1:51" s="44" customFormat="1" ht="12" customHeight="1" x14ac:dyDescent="0.2">
      <c r="A29" s="39" t="str">
        <f>IF(B29="","",INDEX(TeamList[],MATCH($B29,TeamList[[Employee Name]:[Employee Name]],0),MATCH("Manager",TeamList[#Headers],0)))</f>
        <v>Olson, Katherine</v>
      </c>
      <c r="B29" s="201" t="s">
        <v>236</v>
      </c>
      <c r="C29" s="257" t="str">
        <f>_xlfn.IFNA(VLOOKUP(Wed_W2[[#This Row],[Employee Name]],'Base Schedules'!A:B,2,FALSE),"")</f>
        <v>Lead</v>
      </c>
      <c r="D29" s="274">
        <f>_xlfn.IFNA(VLOOKUP(Wed_W2[[#This Row],[Employee Name]],'Base Schedules'!A:C,3,FALSE),"")</f>
        <v>1130</v>
      </c>
      <c r="E29" s="274">
        <f>_xlfn.IFNA(VLOOKUP(Wed_W2[[#This Row],[Employee Name]],'Base Schedules'!A:D,4,FALSE),"")</f>
        <v>2000</v>
      </c>
      <c r="F29" s="142">
        <f>IF(Wed_W2[[#This Row],[Employee Name]]="","",IF(Wed_W2[[#This Row],[Dept]]="Supervisor",COUNTIFS($J29:$AX29,"*HL*",$J29:$AX29,"&lt;&gt;"&amp;"pHL"),COUNTIFS($J29:$AX29,"*HL*",$J29:$AX29,"&lt;&gt;"&amp;"*pHL*",$J29:$AX29,"&lt;&gt;"&amp;"pB1 HL",$J29:$AX29,"&lt;&gt;"&amp;"pB2 HL")-SUM(COUNTIFS($J29:$AX29,"*HL B1*",$J29:$AX29,"&lt;&gt;"&amp;"pHL B1")*0.5,COUNTIFS($J29:$AX29,"*HL B2*",$J29:$AX29,"&lt;&gt;"&amp;"pHL B2")*0.5,COUNTIFS($J29:$AX29,"*B1 HL*",$J29:$AX29,"&lt;&gt;"&amp;"pB1 HL")*0.5,COUNTIFS($J29:$AX29,"*B2 HL*",$J29:$AX29,"&lt;&gt;"&amp;"pB2 HL")*0.5)))</f>
        <v>0</v>
      </c>
      <c r="G29" s="142">
        <f t="shared" si="0"/>
        <v>0</v>
      </c>
      <c r="H29" s="142">
        <f t="shared" si="1"/>
        <v>0</v>
      </c>
      <c r="I29" s="142">
        <f>IF(Wed_W2[[#This Row],[Employee Name]]="","",IF(Wed_W2[[#This Row],[Dept]]="Supervisor",SUM(COUNTIFS($J29:$AX29,"RTA*",$J29:$AX29,"&lt;&gt;"&amp;"pRTA"),COUNTIFS($J29:$AX29,"*CRTA*",$J29:$AX29,"&lt;&gt;"&amp;"pCRTA")),COUNTIFS($J29:$AX29,"*RNNR*",$J29:$AX29,"&lt;&gt;"&amp;"*pRNNR*",$J29:$AX29,"&lt;&gt;"&amp;"pB1 RNNR",$J29:$AX29,"&lt;&gt;"&amp;"pB2 RNNR")-SUM(COUNTIFS($J29:$AX29,"*RNNR B1*",$J29:$AX29,"&lt;&gt;"&amp;"pRNNR B1")*0.5,COUNTIFS($J29:$AX29,"*RNNR B2*",$J29:$AX29,"&lt;&gt;"&amp;"pRNNR B2")*0.5,COUNTIFS($J29:$AX29,"*B1 RNNR*",$J29:$AX29,"&lt;&gt;"&amp;"pB1 RNNR")*0.5,COUNTIFS($J29:$AX29,"*B2 RNNR*",$J29:$AX29,"&lt;&gt;"&amp;"pB2 RNNR")*0.5)))</f>
        <v>0</v>
      </c>
      <c r="J29" s="184" t="str">
        <f>IFERROR(IF(VLOOKUP(Wed_W2[[#This Row],[Employee Name]],'Base Schedules'!$A$205:$AW$241,9,FALSE)="","",VLOOKUP(Wed_W2[[#This Row],[Employee Name]],'Base Schedules'!$A$205:$AW$241,9,FALSE)),"")</f>
        <v/>
      </c>
      <c r="K29" s="184" t="str">
        <f>IFERROR(IF(VLOOKUP(Wed_W2[[#This Row],[Employee Name]],'Base Schedules'!$A$205:$AW$241,10,FALSE)="","",VLOOKUP(Wed_W2[[#This Row],[Employee Name]],'Base Schedules'!$A$205:$AW$241,10,FALSE)),"")</f>
        <v/>
      </c>
      <c r="L29" s="184" t="str">
        <f>IFERROR(IF(VLOOKUP(Wed_W2[[#This Row],[Employee Name]],'Base Schedules'!$A$205:$AW$241,11,FALSE)="","",VLOOKUP(Wed_W2[[#This Row],[Employee Name]],'Base Schedules'!$A$205:$AW$241,11,FALSE)),"")</f>
        <v/>
      </c>
      <c r="M29" s="184" t="str">
        <f>IFERROR(IF(VLOOKUP(Wed_W2[[#This Row],[Employee Name]],'Base Schedules'!$A$205:$AW$241,12,FALSE)="","",VLOOKUP(Wed_W2[[#This Row],[Employee Name]],'Base Schedules'!$A$205:$AW$241,12,FALSE)),"")</f>
        <v/>
      </c>
      <c r="N29" s="184" t="str">
        <f>IFERROR(IF(VLOOKUP(Wed_W2[[#This Row],[Employee Name]],'Base Schedules'!$A$205:$AW$241,13,FALSE)="","",VLOOKUP(Wed_W2[[#This Row],[Employee Name]],'Base Schedules'!$A$205:$AW$241,13,FALSE)),"")</f>
        <v/>
      </c>
      <c r="O29" s="184" t="str">
        <f>IFERROR(IF(VLOOKUP(Wed_W2[[#This Row],[Employee Name]],'Base Schedules'!$A$205:$AW$241,14,FALSE)="","",VLOOKUP(Wed_W2[[#This Row],[Employee Name]],'Base Schedules'!$A$205:$AW$241,14,FALSE)),"")</f>
        <v/>
      </c>
      <c r="P29" s="184" t="str">
        <f>IFERROR(IF(VLOOKUP(Wed_W2[[#This Row],[Employee Name]],'Base Schedules'!$A$205:$AW$241,15,FALSE)="","",VLOOKUP(Wed_W2[[#This Row],[Employee Name]],'Base Schedules'!$A$205:$AW$241,15,FALSE)),"")</f>
        <v/>
      </c>
      <c r="Q29" s="184" t="str">
        <f>IFERROR(IF(VLOOKUP(Wed_W2[[#This Row],[Employee Name]],'Base Schedules'!$A$205:$AW$241,16,FALSE)="","",VLOOKUP(Wed_W2[[#This Row],[Employee Name]],'Base Schedules'!$A$205:$AW$241,16,FALSE)),"")</f>
        <v/>
      </c>
      <c r="R29" s="184" t="str">
        <f>IFERROR(IF(VLOOKUP(Wed_W2[[#This Row],[Employee Name]],'Base Schedules'!$A$205:$AW$241,17,FALSE)="","",VLOOKUP(Wed_W2[[#This Row],[Employee Name]],'Base Schedules'!$A$205:$AW$241,17,FALSE)),"")</f>
        <v/>
      </c>
      <c r="S29" s="184" t="str">
        <f>IFERROR(IF(VLOOKUP(Wed_W2[[#This Row],[Employee Name]],'Base Schedules'!$A$205:$AW$241,18,FALSE)="","",VLOOKUP(Wed_W2[[#This Row],[Employee Name]],'Base Schedules'!$A$205:$AW$241,18,FALSE)),"")</f>
        <v/>
      </c>
      <c r="T29" s="184" t="str">
        <f>IFERROR(IF(VLOOKUP(Wed_W2[[#This Row],[Employee Name]],'Base Schedules'!$A$205:$AW$241,19,FALSE)="","",VLOOKUP(Wed_W2[[#This Row],[Employee Name]],'Base Schedules'!$A$205:$AW$241,19,FALSE)),"")</f>
        <v/>
      </c>
      <c r="U29" s="184" t="str">
        <f>IFERROR(IF(VLOOKUP(Wed_W2[[#This Row],[Employee Name]],'Base Schedules'!$A$205:$AW$241,20,FALSE)="","",VLOOKUP(Wed_W2[[#This Row],[Employee Name]],'Base Schedules'!$A$205:$AW$241,20,FALSE)),"")</f>
        <v/>
      </c>
      <c r="V29" s="184" t="str">
        <f>IFERROR(IF(VLOOKUP(Wed_W2[[#This Row],[Employee Name]],'Base Schedules'!$A$205:$AW$241,21,FALSE)="","",VLOOKUP(Wed_W2[[#This Row],[Employee Name]],'Base Schedules'!$A$205:$AW$241,21,FALSE)),"")</f>
        <v/>
      </c>
      <c r="W29" s="184" t="str">
        <f>IFERROR(IF(VLOOKUP(Wed_W2[[#This Row],[Employee Name]],'Base Schedules'!$A$205:$AW$241,22,FALSE)="","",VLOOKUP(Wed_W2[[#This Row],[Employee Name]],'Base Schedules'!$A$205:$AW$241,22,FALSE)),"")</f>
        <v/>
      </c>
      <c r="X29" s="184" t="str">
        <f>IFERROR(IF(VLOOKUP(Wed_W2[[#This Row],[Employee Name]],'Base Schedules'!$A$205:$AW$241,23,FALSE)="","",VLOOKUP(Wed_W2[[#This Row],[Employee Name]],'Base Schedules'!$A$205:$AW$241,23,FALSE)),"")</f>
        <v/>
      </c>
      <c r="Y29" s="184" t="str">
        <f>IFERROR(IF(VLOOKUP(Wed_W2[[#This Row],[Employee Name]],'Base Schedules'!$A$205:$AW$241,24,FALSE)="","",VLOOKUP(Wed_W2[[#This Row],[Employee Name]],'Base Schedules'!$A$205:$AW$241,24,FALSE)),"")</f>
        <v/>
      </c>
      <c r="Z29" s="184" t="str">
        <f>IFERROR(IF(VLOOKUP(Wed_W2[[#This Row],[Employee Name]],'Base Schedules'!$A$205:$AW$241,25,FALSE)="","",VLOOKUP(Wed_W2[[#This Row],[Employee Name]],'Base Schedules'!$A$205:$AW$241,25,FALSE)),"")</f>
        <v/>
      </c>
      <c r="AA29" s="184" t="str">
        <f>IFERROR(IF(VLOOKUP(Wed_W2[[#This Row],[Employee Name]],'Base Schedules'!$A$205:$AW$241,26,FALSE)="","",VLOOKUP(Wed_W2[[#This Row],[Employee Name]],'Base Schedules'!$A$205:$AW$241,26,FALSE)),"")</f>
        <v/>
      </c>
      <c r="AB29" s="184" t="str">
        <f>IFERROR(IF(VLOOKUP(Wed_W2[[#This Row],[Employee Name]],'Base Schedules'!$A$205:$AW$241,27,FALSE)="","",VLOOKUP(Wed_W2[[#This Row],[Employee Name]],'Base Schedules'!$A$205:$AW$241,27,FALSE)),"")</f>
        <v/>
      </c>
      <c r="AC29" s="184" t="str">
        <f>IFERROR(IF(VLOOKUP(Wed_W2[[#This Row],[Employee Name]],'Base Schedules'!$A$205:$AW$241,28,FALSE)="","",VLOOKUP(Wed_W2[[#This Row],[Employee Name]],'Base Schedules'!$A$205:$AW$241,28,FALSE)),"")</f>
        <v/>
      </c>
      <c r="AD29" s="184" t="str">
        <f>IFERROR(IF(VLOOKUP(Wed_W2[[#This Row],[Employee Name]],'Base Schedules'!$A$205:$AW$241,29,FALSE)="","",VLOOKUP(Wed_W2[[#This Row],[Employee Name]],'Base Schedules'!$A$205:$AW$241,29,FALSE)),"")</f>
        <v/>
      </c>
      <c r="AE29" s="184" t="str">
        <f>IFERROR(IF(VLOOKUP(Wed_W2[[#This Row],[Employee Name]],'Base Schedules'!$A$205:$AW$241,30,FALSE)="","",VLOOKUP(Wed_W2[[#This Row],[Employee Name]],'Base Schedules'!$A$205:$AW$241,30,FALSE)),"")</f>
        <v/>
      </c>
      <c r="AF29" s="184" t="str">
        <f>IFERROR(IF(VLOOKUP(Wed_W2[[#This Row],[Employee Name]],'Base Schedules'!$A$205:$AW$241,31,FALSE)="","",VLOOKUP(Wed_W2[[#This Row],[Employee Name]],'Base Schedules'!$A$205:$AW$241,31,FALSE)),"")</f>
        <v/>
      </c>
      <c r="AG29" s="184" t="str">
        <f>IFERROR(IF(VLOOKUP(Wed_W2[[#This Row],[Employee Name]],'Base Schedules'!$A$205:$AW$241,32,FALSE)="","",VLOOKUP(Wed_W2[[#This Row],[Employee Name]],'Base Schedules'!$A$205:$AW$241,32,FALSE)),"")</f>
        <v/>
      </c>
      <c r="AH29" s="184" t="str">
        <f>IFERROR(IF(VLOOKUP(Wed_W2[[#This Row],[Employee Name]],'Base Schedules'!$A$205:$AW$241,33,FALSE)="","",VLOOKUP(Wed_W2[[#This Row],[Employee Name]],'Base Schedules'!$A$205:$AW$241,33,FALSE)),"")</f>
        <v/>
      </c>
      <c r="AI29" s="184" t="str">
        <f>IFERROR(IF(VLOOKUP(Wed_W2[[#This Row],[Employee Name]],'Base Schedules'!$A$205:$AW$241,34,FALSE)="","",VLOOKUP(Wed_W2[[#This Row],[Employee Name]],'Base Schedules'!$A$205:$AW$241,34,FALSE)),"")</f>
        <v/>
      </c>
      <c r="AJ29" s="184" t="str">
        <f>IFERROR(IF(VLOOKUP(Wed_W2[[#This Row],[Employee Name]],'Base Schedules'!$A$205:$AW$241,35,FALSE)="","",VLOOKUP(Wed_W2[[#This Row],[Employee Name]],'Base Schedules'!$A$205:$AW$241,35,FALSE)),"")</f>
        <v/>
      </c>
      <c r="AK29" s="184" t="str">
        <f>IFERROR(IF(VLOOKUP(Wed_W2[[#This Row],[Employee Name]],'Base Schedules'!$A$205:$AW$241,36,FALSE)="","",VLOOKUP(Wed_W2[[#This Row],[Employee Name]],'Base Schedules'!$A$205:$AW$241,36,FALSE)),"")</f>
        <v/>
      </c>
      <c r="AL29" s="184" t="str">
        <f>IFERROR(IF(VLOOKUP(Wed_W2[[#This Row],[Employee Name]],'Base Schedules'!$A$205:$AW$241,37,FALSE)="","",VLOOKUP(Wed_W2[[#This Row],[Employee Name]],'Base Schedules'!$A$205:$AW$241,37,FALSE)),"")</f>
        <v/>
      </c>
      <c r="AM29" s="184" t="str">
        <f>IFERROR(IF(VLOOKUP(Wed_W2[[#This Row],[Employee Name]],'Base Schedules'!$A$205:$AW$241,38,FALSE)="","",VLOOKUP(Wed_W2[[#This Row],[Employee Name]],'Base Schedules'!$A$205:$AW$241,38,FALSE)),"")</f>
        <v/>
      </c>
      <c r="AN29" s="184" t="str">
        <f>IFERROR(IF(VLOOKUP(Wed_W2[[#This Row],[Employee Name]],'Base Schedules'!$A$205:$AW$241,39,FALSE)="","",VLOOKUP(Wed_W2[[#This Row],[Employee Name]],'Base Schedules'!$A$205:$AW$241,39,FALSE)),"")</f>
        <v/>
      </c>
      <c r="AO29" s="184" t="str">
        <f>IFERROR(IF(VLOOKUP(Wed_W2[[#This Row],[Employee Name]],'Base Schedules'!$A$205:$AW$241,40,FALSE)="","",VLOOKUP(Wed_W2[[#This Row],[Employee Name]],'Base Schedules'!$A$205:$AW$241,40,FALSE)),"")</f>
        <v/>
      </c>
      <c r="AP29" s="184" t="str">
        <f>IFERROR(IF(VLOOKUP(Wed_W2[[#This Row],[Employee Name]],'Base Schedules'!$A$205:$AW$241,41,FALSE)="","",VLOOKUP(Wed_W2[[#This Row],[Employee Name]],'Base Schedules'!$A$205:$AW$241,41,FALSE)),"")</f>
        <v/>
      </c>
      <c r="AQ29" s="184" t="str">
        <f>IFERROR(IF(VLOOKUP(Wed_W2[[#This Row],[Employee Name]],'Base Schedules'!$A$205:$AW$241,42,FALSE)="","",VLOOKUP(Wed_W2[[#This Row],[Employee Name]],'Base Schedules'!$A$205:$AW$241,42,FALSE)),"")</f>
        <v/>
      </c>
      <c r="AR29" s="184" t="str">
        <f>IFERROR(IF(VLOOKUP(Wed_W2[[#This Row],[Employee Name]],'Base Schedules'!$A$205:$AW$241,43,FALSE)="","",VLOOKUP(Wed_W2[[#This Row],[Employee Name]],'Base Schedules'!$A$205:$AW$241,43,FALSE)),"")</f>
        <v/>
      </c>
      <c r="AS29" s="184" t="str">
        <f>IFERROR(IF(VLOOKUP(Wed_W2[[#This Row],[Employee Name]],'Base Schedules'!$A$205:$AW$241,44,FALSE)="","",VLOOKUP(Wed_W2[[#This Row],[Employee Name]],'Base Schedules'!$A$205:$AW$241,44,FALSE)),"")</f>
        <v/>
      </c>
      <c r="AT29" s="184" t="str">
        <f>IFERROR(IF(VLOOKUP(Wed_W2[[#This Row],[Employee Name]],'Base Schedules'!$A$205:$AW$241,45,FALSE)="","",VLOOKUP(Wed_W2[[#This Row],[Employee Name]],'Base Schedules'!$A$205:$AW$241,45,FALSE)),"")</f>
        <v/>
      </c>
      <c r="AU29" s="184" t="str">
        <f>IFERROR(IF(VLOOKUP(Wed_W2[[#This Row],[Employee Name]],'Base Schedules'!$A$205:$AW$241,46,FALSE)="","",VLOOKUP(Wed_W2[[#This Row],[Employee Name]],'Base Schedules'!$A$205:$AW$241,46,FALSE)),"")</f>
        <v/>
      </c>
      <c r="AV29" s="184" t="str">
        <f>IFERROR(IF(VLOOKUP(Wed_W2[[#This Row],[Employee Name]],'Base Schedules'!$A$205:$AW$241,47,FALSE)="","",VLOOKUP(Wed_W2[[#This Row],[Employee Name]],'Base Schedules'!$A$205:$AW$241,47,FALSE)),"")</f>
        <v/>
      </c>
      <c r="AW29" s="184" t="str">
        <f>IFERROR(IF(VLOOKUP(Wed_W2[[#This Row],[Employee Name]],'Base Schedules'!$A$205:$AW$241,48,FALSE)="","",VLOOKUP(Wed_W2[[#This Row],[Employee Name]],'Base Schedules'!$A$205:$AW$241,48,FALSE)),"")</f>
        <v/>
      </c>
      <c r="AX29" s="184" t="str">
        <f>IFERROR(IF(VLOOKUP(Wed_W2[[#This Row],[Employee Name]],'Base Schedules'!$A$205:$AW$241,49,FALSE)="","",VLOOKUP(Wed_W2[[#This Row],[Employee Name]],'Base Schedules'!$A$205:$AW$241,49,FALSE)),"")</f>
        <v/>
      </c>
      <c r="AY29" s="245" t="str">
        <f t="shared" si="2"/>
        <v>Goss, Ian</v>
      </c>
    </row>
    <row r="30" spans="1:51" s="44" customFormat="1" ht="12" customHeight="1" x14ac:dyDescent="0.2">
      <c r="A30" s="39" t="e">
        <f>IF(B30="","",INDEX(TeamList[],MATCH($B30,TeamList[[Employee Name]:[Employee Name]],0),MATCH("Manager",TeamList[#Headers],0)))</f>
        <v>#N/A</v>
      </c>
      <c r="B30" s="202" t="s">
        <v>414</v>
      </c>
      <c r="C30" s="257" t="str">
        <f>_xlfn.IFNA(VLOOKUP(Wed_W2[[#This Row],[Employee Name]],'Base Schedules'!A:B,2,FALSE),"")</f>
        <v>Lead</v>
      </c>
      <c r="D30" s="274">
        <f>_xlfn.IFNA(VLOOKUP(Wed_W2[[#This Row],[Employee Name]],'Base Schedules'!A:C,3,FALSE),"")</f>
        <v>1130</v>
      </c>
      <c r="E30" s="274">
        <f>_xlfn.IFNA(VLOOKUP(Wed_W2[[#This Row],[Employee Name]],'Base Schedules'!A:D,4,FALSE),"")</f>
        <v>1930</v>
      </c>
      <c r="F30" s="142">
        <f>IF(Wed_W2[[#This Row],[Employee Name]]="","",IF(Wed_W2[[#This Row],[Dept]]="Supervisor",COUNTIFS($J30:$AX30,"*HL*",$J30:$AX30,"&lt;&gt;"&amp;"pHL"),COUNTIFS($J30:$AX30,"*HL*",$J30:$AX30,"&lt;&gt;"&amp;"*pHL*",$J30:$AX30,"&lt;&gt;"&amp;"pB1 HL",$J30:$AX30,"&lt;&gt;"&amp;"pB2 HL")-SUM(COUNTIFS($J30:$AX30,"*HL B1*",$J30:$AX30,"&lt;&gt;"&amp;"pHL B1")*0.5,COUNTIFS($J30:$AX30,"*HL B2*",$J30:$AX30,"&lt;&gt;"&amp;"pHL B2")*0.5,COUNTIFS($J30:$AX30,"*B1 HL*",$J30:$AX30,"&lt;&gt;"&amp;"pB1 HL")*0.5,COUNTIFS($J30:$AX30,"*B2 HL*",$J30:$AX30,"&lt;&gt;"&amp;"pB2 HL")*0.5)))</f>
        <v>7</v>
      </c>
      <c r="G30" s="142">
        <f t="shared" si="0"/>
        <v>0</v>
      </c>
      <c r="H30" s="142">
        <f t="shared" si="1"/>
        <v>6</v>
      </c>
      <c r="I30" s="142">
        <f>IF(Wed_W2[[#This Row],[Employee Name]]="","",IF(Wed_W2[[#This Row],[Dept]]="Supervisor",SUM(COUNTIFS($J30:$AX30,"RTA*",$J30:$AX30,"&lt;&gt;"&amp;"pRTA"),COUNTIFS($J30:$AX30,"*CRTA*",$J30:$AX30,"&lt;&gt;"&amp;"pCRTA")),COUNTIFS($J30:$AX30,"*RNNR*",$J30:$AX30,"&lt;&gt;"&amp;"*pRNNR*",$J30:$AX30,"&lt;&gt;"&amp;"pB1 RNNR",$J30:$AX30,"&lt;&gt;"&amp;"pB2 RNNR")-SUM(COUNTIFS($J30:$AX30,"*RNNR B1*",$J30:$AX30,"&lt;&gt;"&amp;"pRNNR B1")*0.5,COUNTIFS($J30:$AX30,"*RNNR B2*",$J30:$AX30,"&lt;&gt;"&amp;"pRNNR B2")*0.5,COUNTIFS($J30:$AX30,"*B1 RNNR*",$J30:$AX30,"&lt;&gt;"&amp;"pB1 RNNR")*0.5,COUNTIFS($J30:$AX30,"*B2 RNNR*",$J30:$AX30,"&lt;&gt;"&amp;"pB2 RNNR")*0.5)))</f>
        <v>3</v>
      </c>
      <c r="J30" s="184" t="str">
        <f>IFERROR(IF(VLOOKUP(Wed_W2[[#This Row],[Employee Name]],'Base Schedules'!$A$205:$AW$241,9,FALSE)="","",VLOOKUP(Wed_W2[[#This Row],[Employee Name]],'Base Schedules'!$A$205:$AW$241,9,FALSE)),"")</f>
        <v/>
      </c>
      <c r="K30" s="184" t="str">
        <f>IFERROR(IF(VLOOKUP(Wed_W2[[#This Row],[Employee Name]],'Base Schedules'!$A$205:$AW$241,10,FALSE)="","",VLOOKUP(Wed_W2[[#This Row],[Employee Name]],'Base Schedules'!$A$205:$AW$241,10,FALSE)),"")</f>
        <v/>
      </c>
      <c r="L30" s="184" t="str">
        <f>IFERROR(IF(VLOOKUP(Wed_W2[[#This Row],[Employee Name]],'Base Schedules'!$A$205:$AW$241,11,FALSE)="","",VLOOKUP(Wed_W2[[#This Row],[Employee Name]],'Base Schedules'!$A$205:$AW$241,11,FALSE)),"")</f>
        <v/>
      </c>
      <c r="M30" s="184" t="str">
        <f>IFERROR(IF(VLOOKUP(Wed_W2[[#This Row],[Employee Name]],'Base Schedules'!$A$205:$AW$241,12,FALSE)="","",VLOOKUP(Wed_W2[[#This Row],[Employee Name]],'Base Schedules'!$A$205:$AW$241,12,FALSE)),"")</f>
        <v/>
      </c>
      <c r="N30" s="184" t="str">
        <f>IFERROR(IF(VLOOKUP(Wed_W2[[#This Row],[Employee Name]],'Base Schedules'!$A$205:$AW$241,13,FALSE)="","",VLOOKUP(Wed_W2[[#This Row],[Employee Name]],'Base Schedules'!$A$205:$AW$241,13,FALSE)),"")</f>
        <v/>
      </c>
      <c r="O30" s="184" t="str">
        <f>IFERROR(IF(VLOOKUP(Wed_W2[[#This Row],[Employee Name]],'Base Schedules'!$A$205:$AW$241,14,FALSE)="","",VLOOKUP(Wed_W2[[#This Row],[Employee Name]],'Base Schedules'!$A$205:$AW$241,14,FALSE)),"")</f>
        <v/>
      </c>
      <c r="P30" s="184" t="str">
        <f>IFERROR(IF(VLOOKUP(Wed_W2[[#This Row],[Employee Name]],'Base Schedules'!$A$205:$AW$241,15,FALSE)="","",VLOOKUP(Wed_W2[[#This Row],[Employee Name]],'Base Schedules'!$A$205:$AW$241,15,FALSE)),"")</f>
        <v/>
      </c>
      <c r="Q30" s="184" t="str">
        <f>IFERROR(IF(VLOOKUP(Wed_W2[[#This Row],[Employee Name]],'Base Schedules'!$A$205:$AW$241,16,FALSE)="","",VLOOKUP(Wed_W2[[#This Row],[Employee Name]],'Base Schedules'!$A$205:$AW$241,16,FALSE)),"")</f>
        <v/>
      </c>
      <c r="R30" s="184" t="str">
        <f>IFERROR(IF(VLOOKUP(Wed_W2[[#This Row],[Employee Name]],'Base Schedules'!$A$205:$AW$241,17,FALSE)="","",VLOOKUP(Wed_W2[[#This Row],[Employee Name]],'Base Schedules'!$A$205:$AW$241,17,FALSE)),"")</f>
        <v/>
      </c>
      <c r="S30" s="184" t="str">
        <f>IFERROR(IF(VLOOKUP(Wed_W2[[#This Row],[Employee Name]],'Base Schedules'!$A$205:$AW$241,18,FALSE)="","",VLOOKUP(Wed_W2[[#This Row],[Employee Name]],'Base Schedules'!$A$205:$AW$241,18,FALSE)),"")</f>
        <v/>
      </c>
      <c r="T30" s="184" t="str">
        <f>IFERROR(IF(VLOOKUP(Wed_W2[[#This Row],[Employee Name]],'Base Schedules'!$A$205:$AW$241,19,FALSE)="","",VLOOKUP(Wed_W2[[#This Row],[Employee Name]],'Base Schedules'!$A$205:$AW$241,19,FALSE)),"")</f>
        <v/>
      </c>
      <c r="U30" s="184" t="str">
        <f>IFERROR(IF(VLOOKUP(Wed_W2[[#This Row],[Employee Name]],'Base Schedules'!$A$205:$AW$241,20,FALSE)="","",VLOOKUP(Wed_W2[[#This Row],[Employee Name]],'Base Schedules'!$A$205:$AW$241,20,FALSE)),"")</f>
        <v/>
      </c>
      <c r="V30" s="184" t="str">
        <f>IFERROR(IF(VLOOKUP(Wed_W2[[#This Row],[Employee Name]],'Base Schedules'!$A$205:$AW$241,21,FALSE)="","",VLOOKUP(Wed_W2[[#This Row],[Employee Name]],'Base Schedules'!$A$205:$AW$241,21,FALSE)),"")</f>
        <v/>
      </c>
      <c r="W30" s="184" t="str">
        <f>IFERROR(IF(VLOOKUP(Wed_W2[[#This Row],[Employee Name]],'Base Schedules'!$A$205:$AW$241,22,FALSE)="","",VLOOKUP(Wed_W2[[#This Row],[Employee Name]],'Base Schedules'!$A$205:$AW$241,22,FALSE)),"")</f>
        <v>ADM</v>
      </c>
      <c r="X30" s="184" t="str">
        <f>IFERROR(IF(VLOOKUP(Wed_W2[[#This Row],[Employee Name]],'Base Schedules'!$A$205:$AW$241,23,FALSE)="","",VLOOKUP(Wed_W2[[#This Row],[Employee Name]],'Base Schedules'!$A$205:$AW$241,23,FALSE)),"")</f>
        <v>ADM</v>
      </c>
      <c r="Y30" s="184" t="str">
        <f>IFERROR(IF(VLOOKUP(Wed_W2[[#This Row],[Employee Name]],'Base Schedules'!$A$205:$AW$241,24,FALSE)="","",VLOOKUP(Wed_W2[[#This Row],[Employee Name]],'Base Schedules'!$A$205:$AW$241,24,FALSE)),"")</f>
        <v>ADM</v>
      </c>
      <c r="Z30" s="184" t="str">
        <f>IFERROR(IF(VLOOKUP(Wed_W2[[#This Row],[Employee Name]],'Base Schedules'!$A$205:$AW$241,25,FALSE)="","",VLOOKUP(Wed_W2[[#This Row],[Employee Name]],'Base Schedules'!$A$205:$AW$241,25,FALSE)),"")</f>
        <v>B1 ADM</v>
      </c>
      <c r="AA30" s="184" t="str">
        <f>IFERROR(IF(VLOOKUP(Wed_W2[[#This Row],[Employee Name]],'Base Schedules'!$A$205:$AW$241,26,FALSE)="","",VLOOKUP(Wed_W2[[#This Row],[Employee Name]],'Base Schedules'!$A$205:$AW$241,26,FALSE)),"")</f>
        <v>HL</v>
      </c>
      <c r="AB30" s="184" t="str">
        <f>IFERROR(IF(VLOOKUP(Wed_W2[[#This Row],[Employee Name]],'Base Schedules'!$A$205:$AW$241,27,FALSE)="","",VLOOKUP(Wed_W2[[#This Row],[Employee Name]],'Base Schedules'!$A$205:$AW$241,27,FALSE)),"")</f>
        <v>HL</v>
      </c>
      <c r="AC30" s="184" t="str">
        <f>IFERROR(IF(VLOOKUP(Wed_W2[[#This Row],[Employee Name]],'Base Schedules'!$A$205:$AW$241,28,FALSE)="","",VLOOKUP(Wed_W2[[#This Row],[Employee Name]],'Base Schedules'!$A$205:$AW$241,28,FALSE)),"")</f>
        <v>HL</v>
      </c>
      <c r="AD30" s="184" t="str">
        <f>IFERROR(IF(VLOOKUP(Wed_W2[[#This Row],[Employee Name]],'Base Schedules'!$A$205:$AW$241,29,FALSE)="","",VLOOKUP(Wed_W2[[#This Row],[Employee Name]],'Base Schedules'!$A$205:$AW$241,29,FALSE)),"")</f>
        <v>HL</v>
      </c>
      <c r="AE30" s="184" t="str">
        <f>IFERROR(IF(VLOOKUP(Wed_W2[[#This Row],[Employee Name]],'Base Schedules'!$A$205:$AW$241,30,FALSE)="","",VLOOKUP(Wed_W2[[#This Row],[Employee Name]],'Base Schedules'!$A$205:$AW$241,30,FALSE)),"")</f>
        <v>LUNCH</v>
      </c>
      <c r="AF30" s="184" t="str">
        <f>IFERROR(IF(VLOOKUP(Wed_W2[[#This Row],[Employee Name]],'Base Schedules'!$A$205:$AW$241,31,FALSE)="","",VLOOKUP(Wed_W2[[#This Row],[Employee Name]],'Base Schedules'!$A$205:$AW$241,31,FALSE)),"")</f>
        <v>RNNR</v>
      </c>
      <c r="AG30" s="184" t="str">
        <f>IFERROR(IF(VLOOKUP(Wed_W2[[#This Row],[Employee Name]],'Base Schedules'!$A$205:$AW$241,32,FALSE)="","",VLOOKUP(Wed_W2[[#This Row],[Employee Name]],'Base Schedules'!$A$205:$AW$241,32,FALSE)),"")</f>
        <v>HL</v>
      </c>
      <c r="AH30" s="184" t="str">
        <f>IFERROR(IF(VLOOKUP(Wed_W2[[#This Row],[Employee Name]],'Base Schedules'!$A$205:$AW$241,33,FALSE)="","",VLOOKUP(Wed_W2[[#This Row],[Employee Name]],'Base Schedules'!$A$205:$AW$241,33,FALSE)),"")</f>
        <v>HL</v>
      </c>
      <c r="AI30" s="184" t="str">
        <f>IFERROR(IF(VLOOKUP(Wed_W2[[#This Row],[Employee Name]],'Base Schedules'!$A$205:$AW$241,34,FALSE)="","",VLOOKUP(Wed_W2[[#This Row],[Employee Name]],'Base Schedules'!$A$205:$AW$241,34,FALSE)),"")</f>
        <v>HL</v>
      </c>
      <c r="AJ30" s="184" t="str">
        <f>IFERROR(IF(VLOOKUP(Wed_W2[[#This Row],[Employee Name]],'Base Schedules'!$A$205:$AW$241,35,FALSE)="","",VLOOKUP(Wed_W2[[#This Row],[Employee Name]],'Base Schedules'!$A$205:$AW$241,35,FALSE)),"")</f>
        <v>B2 ADM</v>
      </c>
      <c r="AK30" s="184" t="str">
        <f>IFERROR(IF(VLOOKUP(Wed_W2[[#This Row],[Employee Name]],'Base Schedules'!$A$205:$AW$241,36,FALSE)="","",VLOOKUP(Wed_W2[[#This Row],[Employee Name]],'Base Schedules'!$A$205:$AW$241,36,FALSE)),"")</f>
        <v>ADM</v>
      </c>
      <c r="AL30" s="184" t="str">
        <f>IFERROR(IF(VLOOKUP(Wed_W2[[#This Row],[Employee Name]],'Base Schedules'!$A$205:$AW$241,37,FALSE)="","",VLOOKUP(Wed_W2[[#This Row],[Employee Name]],'Base Schedules'!$A$205:$AW$241,37,FALSE)),"")</f>
        <v>RNNR</v>
      </c>
      <c r="AM30" s="184" t="str">
        <f>IFERROR(IF(VLOOKUP(Wed_W2[[#This Row],[Employee Name]],'Base Schedules'!$A$205:$AW$241,38,FALSE)="","",VLOOKUP(Wed_W2[[#This Row],[Employee Name]],'Base Schedules'!$A$205:$AW$241,38,FALSE)),"")</f>
        <v>RNNR</v>
      </c>
      <c r="AN30" s="184" t="str">
        <f>IFERROR(IF(VLOOKUP(Wed_W2[[#This Row],[Employee Name]],'Base Schedules'!$A$205:$AW$241,39,FALSE)="","",VLOOKUP(Wed_W2[[#This Row],[Employee Name]],'Base Schedules'!$A$205:$AW$241,39,FALSE)),"")</f>
        <v/>
      </c>
      <c r="AO30" s="184" t="str">
        <f>IFERROR(IF(VLOOKUP(Wed_W2[[#This Row],[Employee Name]],'Base Schedules'!$A$205:$AW$241,40,FALSE)="","",VLOOKUP(Wed_W2[[#This Row],[Employee Name]],'Base Schedules'!$A$205:$AW$241,40,FALSE)),"")</f>
        <v/>
      </c>
      <c r="AP30" s="184" t="str">
        <f>IFERROR(IF(VLOOKUP(Wed_W2[[#This Row],[Employee Name]],'Base Schedules'!$A$205:$AW$241,41,FALSE)="","",VLOOKUP(Wed_W2[[#This Row],[Employee Name]],'Base Schedules'!$A$205:$AW$241,41,FALSE)),"")</f>
        <v/>
      </c>
      <c r="AQ30" s="184" t="str">
        <f>IFERROR(IF(VLOOKUP(Wed_W2[[#This Row],[Employee Name]],'Base Schedules'!$A$205:$AW$241,42,FALSE)="","",VLOOKUP(Wed_W2[[#This Row],[Employee Name]],'Base Schedules'!$A$205:$AW$241,42,FALSE)),"")</f>
        <v/>
      </c>
      <c r="AR30" s="184" t="str">
        <f>IFERROR(IF(VLOOKUP(Wed_W2[[#This Row],[Employee Name]],'Base Schedules'!$A$205:$AW$241,43,FALSE)="","",VLOOKUP(Wed_W2[[#This Row],[Employee Name]],'Base Schedules'!$A$205:$AW$241,43,FALSE)),"")</f>
        <v/>
      </c>
      <c r="AS30" s="184" t="str">
        <f>IFERROR(IF(VLOOKUP(Wed_W2[[#This Row],[Employee Name]],'Base Schedules'!$A$205:$AW$241,44,FALSE)="","",VLOOKUP(Wed_W2[[#This Row],[Employee Name]],'Base Schedules'!$A$205:$AW$241,44,FALSE)),"")</f>
        <v/>
      </c>
      <c r="AT30" s="184" t="str">
        <f>IFERROR(IF(VLOOKUP(Wed_W2[[#This Row],[Employee Name]],'Base Schedules'!$A$205:$AW$241,45,FALSE)="","",VLOOKUP(Wed_W2[[#This Row],[Employee Name]],'Base Schedules'!$A$205:$AW$241,45,FALSE)),"")</f>
        <v/>
      </c>
      <c r="AU30" s="184" t="str">
        <f>IFERROR(IF(VLOOKUP(Wed_W2[[#This Row],[Employee Name]],'Base Schedules'!$A$205:$AW$241,46,FALSE)="","",VLOOKUP(Wed_W2[[#This Row],[Employee Name]],'Base Schedules'!$A$205:$AW$241,46,FALSE)),"")</f>
        <v/>
      </c>
      <c r="AV30" s="184" t="str">
        <f>IFERROR(IF(VLOOKUP(Wed_W2[[#This Row],[Employee Name]],'Base Schedules'!$A$205:$AW$241,47,FALSE)="","",VLOOKUP(Wed_W2[[#This Row],[Employee Name]],'Base Schedules'!$A$205:$AW$241,47,FALSE)),"")</f>
        <v/>
      </c>
      <c r="AW30" s="184" t="str">
        <f>IFERROR(IF(VLOOKUP(Wed_W2[[#This Row],[Employee Name]],'Base Schedules'!$A$205:$AW$241,48,FALSE)="","",VLOOKUP(Wed_W2[[#This Row],[Employee Name]],'Base Schedules'!$A$205:$AW$241,48,FALSE)),"")</f>
        <v/>
      </c>
      <c r="AX30" s="184" t="str">
        <f>IFERROR(IF(VLOOKUP(Wed_W2[[#This Row],[Employee Name]],'Base Schedules'!$A$205:$AW$241,49,FALSE)="","",VLOOKUP(Wed_W2[[#This Row],[Employee Name]],'Base Schedules'!$A$205:$AW$241,49,FALSE)),"")</f>
        <v/>
      </c>
      <c r="AY30" s="245" t="str">
        <f t="shared" si="2"/>
        <v>Condon, Heather</v>
      </c>
    </row>
    <row r="31" spans="1:51" s="44" customFormat="1" ht="12" customHeight="1" x14ac:dyDescent="0.2">
      <c r="A31" s="39" t="str">
        <f>IF(B31="","",INDEX(TeamList[],MATCH($B31,TeamList[[Employee Name]:[Employee Name]],0),MATCH("Manager",TeamList[#Headers],0)))</f>
        <v>Ahmed Hassan, Zahra</v>
      </c>
      <c r="B31" s="333" t="s">
        <v>63</v>
      </c>
      <c r="C31" s="257" t="str">
        <f>_xlfn.IFNA(VLOOKUP(Wed_W2[[#This Row],[Employee Name]],'Base Schedules'!A:B,2,FALSE),"")</f>
        <v>Supervisor</v>
      </c>
      <c r="D31" s="274">
        <f>_xlfn.IFNA(VLOOKUP(Wed_W2[[#This Row],[Employee Name]],'Base Schedules'!A:C,3,FALSE),"")</f>
        <v>1200</v>
      </c>
      <c r="E31" s="274">
        <f>_xlfn.IFNA(VLOOKUP(Wed_W2[[#This Row],[Employee Name]],'Base Schedules'!A:D,4,FALSE),"")</f>
        <v>2100</v>
      </c>
      <c r="F31" s="142">
        <f>IF(Wed_W2[[#This Row],[Employee Name]]="","",IF(Wed_W2[[#This Row],[Dept]]="Supervisor",COUNTIFS($J31:$AX31,"*HL*",$J31:$AX31,"&lt;&gt;"&amp;"pHL"),COUNTIFS($J31:$AX31,"*HL*",$J31:$AX31,"&lt;&gt;"&amp;"*pHL*",$J31:$AX31,"&lt;&gt;"&amp;"pB1 HL",$J31:$AX31,"&lt;&gt;"&amp;"pB2 HL")-SUM(COUNTIFS($J31:$AX31,"*HL B1*",$J31:$AX31,"&lt;&gt;"&amp;"pHL B1")*0.5,COUNTIFS($J31:$AX31,"*HL B2*",$J31:$AX31,"&lt;&gt;"&amp;"pHL B2")*0.5,COUNTIFS($J31:$AX31,"*B1 HL*",$J31:$AX31,"&lt;&gt;"&amp;"pB1 HL")*0.5,COUNTIFS($J31:$AX31,"*B2 HL*",$J31:$AX31,"&lt;&gt;"&amp;"pB2 HL")*0.5)))</f>
        <v>0</v>
      </c>
      <c r="G31" s="142">
        <f t="shared" si="0"/>
        <v>5</v>
      </c>
      <c r="H31" s="142">
        <f t="shared" si="1"/>
        <v>0</v>
      </c>
      <c r="I31" s="142">
        <f>IF(Wed_W2[[#This Row],[Employee Name]]="","",IF(Wed_W2[[#This Row],[Dept]]="Supervisor",SUM(COUNTIFS($J31:$AX31,"RTA*",$J31:$AX31,"&lt;&gt;"&amp;"pRTA"),COUNTIFS($J31:$AX31,"*CRTA*",$J31:$AX31,"&lt;&gt;"&amp;"pCRTA")),COUNTIFS($J31:$AX31,"*RNNR*",$J31:$AX31,"&lt;&gt;"&amp;"*pRNNR*",$J31:$AX31,"&lt;&gt;"&amp;"pB1 RNNR",$J31:$AX31,"&lt;&gt;"&amp;"pB2 RNNR")-SUM(COUNTIFS($J31:$AX31,"*RNNR B1*",$J31:$AX31,"&lt;&gt;"&amp;"pRNNR B1")*0.5,COUNTIFS($J31:$AX31,"*RNNR B2*",$J31:$AX31,"&lt;&gt;"&amp;"pRNNR B2")*0.5,COUNTIFS($J31:$AX31,"*B1 RNNR*",$J31:$AX31,"&lt;&gt;"&amp;"pB1 RNNR")*0.5,COUNTIFS($J31:$AX31,"*B2 RNNR*",$J31:$AX31,"&lt;&gt;"&amp;"pB2 RNNR")*0.5)))</f>
        <v>0</v>
      </c>
      <c r="J31" s="184" t="str">
        <f>IFERROR(IF(VLOOKUP(Wed_W2[[#This Row],[Employee Name]],'Base Schedules'!$A$205:$AW$241,9,FALSE)="","",VLOOKUP(Wed_W2[[#This Row],[Employee Name]],'Base Schedules'!$A$205:$AW$241,9,FALSE)),"")</f>
        <v/>
      </c>
      <c r="K31" s="184" t="str">
        <f>IFERROR(IF(VLOOKUP(Wed_W2[[#This Row],[Employee Name]],'Base Schedules'!$A$205:$AW$241,10,FALSE)="","",VLOOKUP(Wed_W2[[#This Row],[Employee Name]],'Base Schedules'!$A$205:$AW$241,10,FALSE)),"")</f>
        <v/>
      </c>
      <c r="L31" s="184" t="str">
        <f>IFERROR(IF(VLOOKUP(Wed_W2[[#This Row],[Employee Name]],'Base Schedules'!$A$205:$AW$241,11,FALSE)="","",VLOOKUP(Wed_W2[[#This Row],[Employee Name]],'Base Schedules'!$A$205:$AW$241,11,FALSE)),"")</f>
        <v/>
      </c>
      <c r="M31" s="184" t="str">
        <f>IFERROR(IF(VLOOKUP(Wed_W2[[#This Row],[Employee Name]],'Base Schedules'!$A$205:$AW$241,12,FALSE)="","",VLOOKUP(Wed_W2[[#This Row],[Employee Name]],'Base Schedules'!$A$205:$AW$241,12,FALSE)),"")</f>
        <v/>
      </c>
      <c r="N31" s="184" t="str">
        <f>IFERROR(IF(VLOOKUP(Wed_W2[[#This Row],[Employee Name]],'Base Schedules'!$A$205:$AW$241,13,FALSE)="","",VLOOKUP(Wed_W2[[#This Row],[Employee Name]],'Base Schedules'!$A$205:$AW$241,13,FALSE)),"")</f>
        <v/>
      </c>
      <c r="O31" s="184" t="str">
        <f>IFERROR(IF(VLOOKUP(Wed_W2[[#This Row],[Employee Name]],'Base Schedules'!$A$205:$AW$241,14,FALSE)="","",VLOOKUP(Wed_W2[[#This Row],[Employee Name]],'Base Schedules'!$A$205:$AW$241,14,FALSE)),"")</f>
        <v/>
      </c>
      <c r="P31" s="184" t="str">
        <f>IFERROR(IF(VLOOKUP(Wed_W2[[#This Row],[Employee Name]],'Base Schedules'!$A$205:$AW$241,15,FALSE)="","",VLOOKUP(Wed_W2[[#This Row],[Employee Name]],'Base Schedules'!$A$205:$AW$241,15,FALSE)),"")</f>
        <v/>
      </c>
      <c r="Q31" s="184" t="str">
        <f>IFERROR(IF(VLOOKUP(Wed_W2[[#This Row],[Employee Name]],'Base Schedules'!$A$205:$AW$241,16,FALSE)="","",VLOOKUP(Wed_W2[[#This Row],[Employee Name]],'Base Schedules'!$A$205:$AW$241,16,FALSE)),"")</f>
        <v/>
      </c>
      <c r="R31" s="184" t="str">
        <f>IFERROR(IF(VLOOKUP(Wed_W2[[#This Row],[Employee Name]],'Base Schedules'!$A$205:$AW$241,17,FALSE)="","",VLOOKUP(Wed_W2[[#This Row],[Employee Name]],'Base Schedules'!$A$205:$AW$241,17,FALSE)),"")</f>
        <v/>
      </c>
      <c r="S31" s="184" t="str">
        <f>IFERROR(IF(VLOOKUP(Wed_W2[[#This Row],[Employee Name]],'Base Schedules'!$A$205:$AW$241,18,FALSE)="","",VLOOKUP(Wed_W2[[#This Row],[Employee Name]],'Base Schedules'!$A$205:$AW$241,18,FALSE)),"")</f>
        <v/>
      </c>
      <c r="T31" s="184" t="str">
        <f>IFERROR(IF(VLOOKUP(Wed_W2[[#This Row],[Employee Name]],'Base Schedules'!$A$205:$AW$241,19,FALSE)="","",VLOOKUP(Wed_W2[[#This Row],[Employee Name]],'Base Schedules'!$A$205:$AW$241,19,FALSE)),"")</f>
        <v/>
      </c>
      <c r="U31" s="184" t="str">
        <f>IFERROR(IF(VLOOKUP(Wed_W2[[#This Row],[Employee Name]],'Base Schedules'!$A$205:$AW$241,20,FALSE)="","",VLOOKUP(Wed_W2[[#This Row],[Employee Name]],'Base Schedules'!$A$205:$AW$241,20,FALSE)),"")</f>
        <v/>
      </c>
      <c r="V31" s="184" t="str">
        <f>IFERROR(IF(VLOOKUP(Wed_W2[[#This Row],[Employee Name]],'Base Schedules'!$A$205:$AW$241,21,FALSE)="","",VLOOKUP(Wed_W2[[#This Row],[Employee Name]],'Base Schedules'!$A$205:$AW$241,21,FALSE)),"")</f>
        <v/>
      </c>
      <c r="W31" s="184" t="str">
        <f>IFERROR(IF(VLOOKUP(Wed_W2[[#This Row],[Employee Name]],'Base Schedules'!$A$205:$AW$241,22,FALSE)="","",VLOOKUP(Wed_W2[[#This Row],[Employee Name]],'Base Schedules'!$A$205:$AW$241,22,FALSE)),"")</f>
        <v/>
      </c>
      <c r="X31" s="184" t="str">
        <f>IFERROR(IF(VLOOKUP(Wed_W2[[#This Row],[Employee Name]],'Base Schedules'!$A$205:$AW$241,23,FALSE)="","",VLOOKUP(Wed_W2[[#This Row],[Employee Name]],'Base Schedules'!$A$205:$AW$241,23,FALSE)),"")</f>
        <v>-</v>
      </c>
      <c r="Y31" s="184" t="str">
        <f>IFERROR(IF(VLOOKUP(Wed_W2[[#This Row],[Employee Name]],'Base Schedules'!$A$205:$AW$241,24,FALSE)="","",VLOOKUP(Wed_W2[[#This Row],[Employee Name]],'Base Schedules'!$A$205:$AW$241,24,FALSE)),"")</f>
        <v>Coaching</v>
      </c>
      <c r="Z31" s="184" t="str">
        <f>IFERROR(IF(VLOOKUP(Wed_W2[[#This Row],[Employee Name]],'Base Schedules'!$A$205:$AW$241,25,FALSE)="","",VLOOKUP(Wed_W2[[#This Row],[Employee Name]],'Base Schedules'!$A$205:$AW$241,25,FALSE)),"")</f>
        <v>Coaching</v>
      </c>
      <c r="AA31" s="184" t="str">
        <f>IFERROR(IF(VLOOKUP(Wed_W2[[#This Row],[Employee Name]],'Base Schedules'!$A$205:$AW$241,26,FALSE)="","",VLOOKUP(Wed_W2[[#This Row],[Employee Name]],'Base Schedules'!$A$205:$AW$241,26,FALSE)),"")</f>
        <v>-</v>
      </c>
      <c r="AB31" s="184" t="str">
        <f>IFERROR(IF(VLOOKUP(Wed_W2[[#This Row],[Employee Name]],'Base Schedules'!$A$205:$AW$241,27,FALSE)="","",VLOOKUP(Wed_W2[[#This Row],[Employee Name]],'Base Schedules'!$A$205:$AW$241,27,FALSE)),"")</f>
        <v>-</v>
      </c>
      <c r="AC31" s="184" t="str">
        <f>IFERROR(IF(VLOOKUP(Wed_W2[[#This Row],[Employee Name]],'Base Schedules'!$A$205:$AW$241,28,FALSE)="","",VLOOKUP(Wed_W2[[#This Row],[Employee Name]],'Base Schedules'!$A$205:$AW$241,28,FALSE)),"")</f>
        <v>-</v>
      </c>
      <c r="AD31" s="184" t="str">
        <f>IFERROR(IF(VLOOKUP(Wed_W2[[#This Row],[Employee Name]],'Base Schedules'!$A$205:$AW$241,29,FALSE)="","",VLOOKUP(Wed_W2[[#This Row],[Employee Name]],'Base Schedules'!$A$205:$AW$241,29,FALSE)),"")</f>
        <v>Interview</v>
      </c>
      <c r="AE31" s="184" t="str">
        <f>IFERROR(IF(VLOOKUP(Wed_W2[[#This Row],[Employee Name]],'Base Schedules'!$A$205:$AW$241,30,FALSE)="","",VLOOKUP(Wed_W2[[#This Row],[Employee Name]],'Base Schedules'!$A$205:$AW$241,30,FALSE)),"")</f>
        <v>Interview</v>
      </c>
      <c r="AF31" s="184" t="str">
        <f>IFERROR(IF(VLOOKUP(Wed_W2[[#This Row],[Employee Name]],'Base Schedules'!$A$205:$AW$241,31,FALSE)="","",VLOOKUP(Wed_W2[[#This Row],[Employee Name]],'Base Schedules'!$A$205:$AW$241,31,FALSE)),"")</f>
        <v>Team RL TM</v>
      </c>
      <c r="AG31" s="184" t="str">
        <f>IFERROR(IF(VLOOKUP(Wed_W2[[#This Row],[Employee Name]],'Base Schedules'!$A$205:$AW$241,32,FALSE)="","",VLOOKUP(Wed_W2[[#This Row],[Employee Name]],'Base Schedules'!$A$205:$AW$241,32,FALSE)),"")</f>
        <v>Team RL TM</v>
      </c>
      <c r="AH31" s="184" t="str">
        <f>IFERROR(IF(VLOOKUP(Wed_W2[[#This Row],[Employee Name]],'Base Schedules'!$A$205:$AW$241,33,FALSE)="","",VLOOKUP(Wed_W2[[#This Row],[Employee Name]],'Base Schedules'!$A$205:$AW$241,33,FALSE)),"")</f>
        <v>Coaching</v>
      </c>
      <c r="AI31" s="184" t="str">
        <f>IFERROR(IF(VLOOKUP(Wed_W2[[#This Row],[Employee Name]],'Base Schedules'!$A$205:$AW$241,34,FALSE)="","",VLOOKUP(Wed_W2[[#This Row],[Employee Name]],'Base Schedules'!$A$205:$AW$241,34,FALSE)),"")</f>
        <v>Coaching</v>
      </c>
      <c r="AJ31" s="184" t="str">
        <f>IFERROR(IF(VLOOKUP(Wed_W2[[#This Row],[Employee Name]],'Base Schedules'!$A$205:$AW$241,35,FALSE)="","",VLOOKUP(Wed_W2[[#This Row],[Employee Name]],'Base Schedules'!$A$205:$AW$241,35,FALSE)),"")</f>
        <v>Coaching</v>
      </c>
      <c r="AK31" s="184" t="str">
        <f>IFERROR(IF(VLOOKUP(Wed_W2[[#This Row],[Employee Name]],'Base Schedules'!$A$205:$AW$241,36,FALSE)="","",VLOOKUP(Wed_W2[[#This Row],[Employee Name]],'Base Schedules'!$A$205:$AW$241,36,FALSE)),"")</f>
        <v>-</v>
      </c>
      <c r="AL31" s="184" t="str">
        <f>IFERROR(IF(VLOOKUP(Wed_W2[[#This Row],[Employee Name]],'Base Schedules'!$A$205:$AW$241,37,FALSE)="","",VLOOKUP(Wed_W2[[#This Row],[Employee Name]],'Base Schedules'!$A$205:$AW$241,37,FALSE)),"")</f>
        <v>-</v>
      </c>
      <c r="AM31" s="184" t="str">
        <f>IFERROR(IF(VLOOKUP(Wed_W2[[#This Row],[Employee Name]],'Base Schedules'!$A$205:$AW$241,38,FALSE)="","",VLOOKUP(Wed_W2[[#This Row],[Employee Name]],'Base Schedules'!$A$205:$AW$241,38,FALSE)),"")</f>
        <v>-</v>
      </c>
      <c r="AN31" s="184" t="str">
        <f>IFERROR(IF(VLOOKUP(Wed_W2[[#This Row],[Employee Name]],'Base Schedules'!$A$205:$AW$241,39,FALSE)="","",VLOOKUP(Wed_W2[[#This Row],[Employee Name]],'Base Schedules'!$A$205:$AW$241,39,FALSE)),"")</f>
        <v>-</v>
      </c>
      <c r="AO31" s="184" t="str">
        <f>IFERROR(IF(VLOOKUP(Wed_W2[[#This Row],[Employee Name]],'Base Schedules'!$A$205:$AW$241,40,FALSE)="","",VLOOKUP(Wed_W2[[#This Row],[Employee Name]],'Base Schedules'!$A$205:$AW$241,40,FALSE)),"")</f>
        <v>-</v>
      </c>
      <c r="AP31" s="184" t="str">
        <f>IFERROR(IF(VLOOKUP(Wed_W2[[#This Row],[Employee Name]],'Base Schedules'!$A$205:$AW$241,41,FALSE)="","",VLOOKUP(Wed_W2[[#This Row],[Employee Name]],'Base Schedules'!$A$205:$AW$241,41,FALSE)),"")</f>
        <v/>
      </c>
      <c r="AQ31" s="184" t="str">
        <f>IFERROR(IF(VLOOKUP(Wed_W2[[#This Row],[Employee Name]],'Base Schedules'!$A$205:$AW$241,42,FALSE)="","",VLOOKUP(Wed_W2[[#This Row],[Employee Name]],'Base Schedules'!$A$205:$AW$241,42,FALSE)),"")</f>
        <v/>
      </c>
      <c r="AR31" s="184" t="str">
        <f>IFERROR(IF(VLOOKUP(Wed_W2[[#This Row],[Employee Name]],'Base Schedules'!$A$205:$AW$241,43,FALSE)="","",VLOOKUP(Wed_W2[[#This Row],[Employee Name]],'Base Schedules'!$A$205:$AW$241,43,FALSE)),"")</f>
        <v/>
      </c>
      <c r="AS31" s="184" t="str">
        <f>IFERROR(IF(VLOOKUP(Wed_W2[[#This Row],[Employee Name]],'Base Schedules'!$A$205:$AW$241,44,FALSE)="","",VLOOKUP(Wed_W2[[#This Row],[Employee Name]],'Base Schedules'!$A$205:$AW$241,44,FALSE)),"")</f>
        <v/>
      </c>
      <c r="AT31" s="184" t="str">
        <f>IFERROR(IF(VLOOKUP(Wed_W2[[#This Row],[Employee Name]],'Base Schedules'!$A$205:$AW$241,45,FALSE)="","",VLOOKUP(Wed_W2[[#This Row],[Employee Name]],'Base Schedules'!$A$205:$AW$241,45,FALSE)),"")</f>
        <v/>
      </c>
      <c r="AU31" s="184" t="str">
        <f>IFERROR(IF(VLOOKUP(Wed_W2[[#This Row],[Employee Name]],'Base Schedules'!$A$205:$AW$241,46,FALSE)="","",VLOOKUP(Wed_W2[[#This Row],[Employee Name]],'Base Schedules'!$A$205:$AW$241,46,FALSE)),"")</f>
        <v/>
      </c>
      <c r="AV31" s="184" t="str">
        <f>IFERROR(IF(VLOOKUP(Wed_W2[[#This Row],[Employee Name]],'Base Schedules'!$A$205:$AW$241,47,FALSE)="","",VLOOKUP(Wed_W2[[#This Row],[Employee Name]],'Base Schedules'!$A$205:$AW$241,47,FALSE)),"")</f>
        <v/>
      </c>
      <c r="AW31" s="184" t="str">
        <f>IFERROR(IF(VLOOKUP(Wed_W2[[#This Row],[Employee Name]],'Base Schedules'!$A$205:$AW$241,48,FALSE)="","",VLOOKUP(Wed_W2[[#This Row],[Employee Name]],'Base Schedules'!$A$205:$AW$241,48,FALSE)),"")</f>
        <v/>
      </c>
      <c r="AX31" s="184" t="str">
        <f>IFERROR(IF(VLOOKUP(Wed_W2[[#This Row],[Employee Name]],'Base Schedules'!$A$205:$AW$241,49,FALSE)="","",VLOOKUP(Wed_W2[[#This Row],[Employee Name]],'Base Schedules'!$A$205:$AW$241,49,FALSE)),"")</f>
        <v/>
      </c>
      <c r="AY31" s="159" t="str">
        <f t="shared" si="2"/>
        <v>Conner, Mark</v>
      </c>
    </row>
    <row r="32" spans="1:51" s="44" customFormat="1" ht="12" customHeight="1" x14ac:dyDescent="0.2">
      <c r="A32" s="39" t="str">
        <f>IF(B32="","",INDEX(TeamList[],MATCH($B32,TeamList[[Employee Name]:[Employee Name]],0),MATCH("Manager",TeamList[#Headers],0)))</f>
        <v>Paulson, Matthew</v>
      </c>
      <c r="B32" s="201" t="s">
        <v>66</v>
      </c>
      <c r="C32" s="257" t="str">
        <f>_xlfn.IFNA(VLOOKUP(Wed_W2[[#This Row],[Employee Name]],'Base Schedules'!A:B,2,FALSE),"")</f>
        <v>Supervisor</v>
      </c>
      <c r="D32" s="274">
        <f>_xlfn.IFNA(VLOOKUP(Wed_W2[[#This Row],[Employee Name]],'Base Schedules'!A:C,3,FALSE),"")</f>
        <v>1230</v>
      </c>
      <c r="E32" s="274">
        <f>_xlfn.IFNA(VLOOKUP(Wed_W2[[#This Row],[Employee Name]],'Base Schedules'!A:D,4,FALSE),"")</f>
        <v>2130</v>
      </c>
      <c r="F32" s="142">
        <f>IF(Wed_W2[[#This Row],[Employee Name]]="","",IF(Wed_W2[[#This Row],[Dept]]="Supervisor",COUNTIFS($J32:$AX32,"*HL*",$J32:$AX32,"&lt;&gt;"&amp;"pHL"),COUNTIFS($J32:$AX32,"*HL*",$J32:$AX32,"&lt;&gt;"&amp;"*pHL*",$J32:$AX32,"&lt;&gt;"&amp;"pB1 HL",$J32:$AX32,"&lt;&gt;"&amp;"pB2 HL")-SUM(COUNTIFS($J32:$AX32,"*HL B1*",$J32:$AX32,"&lt;&gt;"&amp;"pHL B1")*0.5,COUNTIFS($J32:$AX32,"*HL B2*",$J32:$AX32,"&lt;&gt;"&amp;"pHL B2")*0.5,COUNTIFS($J32:$AX32,"*B1 HL*",$J32:$AX32,"&lt;&gt;"&amp;"pB1 HL")*0.5,COUNTIFS($J32:$AX32,"*B2 HL*",$J32:$AX32,"&lt;&gt;"&amp;"pB2 HL")*0.5)))</f>
        <v>0</v>
      </c>
      <c r="G32" s="142">
        <f t="shared" si="0"/>
        <v>4</v>
      </c>
      <c r="H32" s="142">
        <f t="shared" si="1"/>
        <v>0</v>
      </c>
      <c r="I32" s="142">
        <f>IF(Wed_W2[[#This Row],[Employee Name]]="","",IF(Wed_W2[[#This Row],[Dept]]="Supervisor",SUM(COUNTIFS($J32:$AX32,"RTA*",$J32:$AX32,"&lt;&gt;"&amp;"pRTA"),COUNTIFS($J32:$AX32,"*CRTA*",$J32:$AX32,"&lt;&gt;"&amp;"pCRTA")),COUNTIFS($J32:$AX32,"*RNNR*",$J32:$AX32,"&lt;&gt;"&amp;"*pRNNR*",$J32:$AX32,"&lt;&gt;"&amp;"pB1 RNNR",$J32:$AX32,"&lt;&gt;"&amp;"pB2 RNNR")-SUM(COUNTIFS($J32:$AX32,"*RNNR B1*",$J32:$AX32,"&lt;&gt;"&amp;"pRNNR B1")*0.5,COUNTIFS($J32:$AX32,"*RNNR B2*",$J32:$AX32,"&lt;&gt;"&amp;"pRNNR B2")*0.5,COUNTIFS($J32:$AX32,"*B1 RNNR*",$J32:$AX32,"&lt;&gt;"&amp;"pB1 RNNR")*0.5,COUNTIFS($J32:$AX32,"*B2 RNNR*",$J32:$AX32,"&lt;&gt;"&amp;"pB2 RNNR")*0.5)))</f>
        <v>0</v>
      </c>
      <c r="J32" s="184" t="str">
        <f>IFERROR(IF(VLOOKUP(Wed_W2[[#This Row],[Employee Name]],'Base Schedules'!$A$205:$AW$241,9,FALSE)="","",VLOOKUP(Wed_W2[[#This Row],[Employee Name]],'Base Schedules'!$A$205:$AW$241,9,FALSE)),"")</f>
        <v/>
      </c>
      <c r="K32" s="184" t="str">
        <f>IFERROR(IF(VLOOKUP(Wed_W2[[#This Row],[Employee Name]],'Base Schedules'!$A$205:$AW$241,10,FALSE)="","",VLOOKUP(Wed_W2[[#This Row],[Employee Name]],'Base Schedules'!$A$205:$AW$241,10,FALSE)),"")</f>
        <v/>
      </c>
      <c r="L32" s="184" t="str">
        <f>IFERROR(IF(VLOOKUP(Wed_W2[[#This Row],[Employee Name]],'Base Schedules'!$A$205:$AW$241,11,FALSE)="","",VLOOKUP(Wed_W2[[#This Row],[Employee Name]],'Base Schedules'!$A$205:$AW$241,11,FALSE)),"")</f>
        <v/>
      </c>
      <c r="M32" s="184" t="str">
        <f>IFERROR(IF(VLOOKUP(Wed_W2[[#This Row],[Employee Name]],'Base Schedules'!$A$205:$AW$241,12,FALSE)="","",VLOOKUP(Wed_W2[[#This Row],[Employee Name]],'Base Schedules'!$A$205:$AW$241,12,FALSE)),"")</f>
        <v/>
      </c>
      <c r="N32" s="184" t="str">
        <f>IFERROR(IF(VLOOKUP(Wed_W2[[#This Row],[Employee Name]],'Base Schedules'!$A$205:$AW$241,13,FALSE)="","",VLOOKUP(Wed_W2[[#This Row],[Employee Name]],'Base Schedules'!$A$205:$AW$241,13,FALSE)),"")</f>
        <v/>
      </c>
      <c r="O32" s="184" t="str">
        <f>IFERROR(IF(VLOOKUP(Wed_W2[[#This Row],[Employee Name]],'Base Schedules'!$A$205:$AW$241,14,FALSE)="","",VLOOKUP(Wed_W2[[#This Row],[Employee Name]],'Base Schedules'!$A$205:$AW$241,14,FALSE)),"")</f>
        <v/>
      </c>
      <c r="P32" s="184" t="str">
        <f>IFERROR(IF(VLOOKUP(Wed_W2[[#This Row],[Employee Name]],'Base Schedules'!$A$205:$AW$241,15,FALSE)="","",VLOOKUP(Wed_W2[[#This Row],[Employee Name]],'Base Schedules'!$A$205:$AW$241,15,FALSE)),"")</f>
        <v/>
      </c>
      <c r="Q32" s="184" t="str">
        <f>IFERROR(IF(VLOOKUP(Wed_W2[[#This Row],[Employee Name]],'Base Schedules'!$A$205:$AW$241,16,FALSE)="","",VLOOKUP(Wed_W2[[#This Row],[Employee Name]],'Base Schedules'!$A$205:$AW$241,16,FALSE)),"")</f>
        <v/>
      </c>
      <c r="R32" s="184" t="str">
        <f>IFERROR(IF(VLOOKUP(Wed_W2[[#This Row],[Employee Name]],'Base Schedules'!$A$205:$AW$241,17,FALSE)="","",VLOOKUP(Wed_W2[[#This Row],[Employee Name]],'Base Schedules'!$A$205:$AW$241,17,FALSE)),"")</f>
        <v/>
      </c>
      <c r="S32" s="184" t="str">
        <f>IFERROR(IF(VLOOKUP(Wed_W2[[#This Row],[Employee Name]],'Base Schedules'!$A$205:$AW$241,18,FALSE)="","",VLOOKUP(Wed_W2[[#This Row],[Employee Name]],'Base Schedules'!$A$205:$AW$241,18,FALSE)),"")</f>
        <v/>
      </c>
      <c r="T32" s="184" t="str">
        <f>IFERROR(IF(VLOOKUP(Wed_W2[[#This Row],[Employee Name]],'Base Schedules'!$A$205:$AW$241,19,FALSE)="","",VLOOKUP(Wed_W2[[#This Row],[Employee Name]],'Base Schedules'!$A$205:$AW$241,19,FALSE)),"")</f>
        <v/>
      </c>
      <c r="U32" s="184" t="str">
        <f>IFERROR(IF(VLOOKUP(Wed_W2[[#This Row],[Employee Name]],'Base Schedules'!$A$205:$AW$241,20,FALSE)="","",VLOOKUP(Wed_W2[[#This Row],[Employee Name]],'Base Schedules'!$A$205:$AW$241,20,FALSE)),"")</f>
        <v/>
      </c>
      <c r="V32" s="184" t="str">
        <f>IFERROR(IF(VLOOKUP(Wed_W2[[#This Row],[Employee Name]],'Base Schedules'!$A$205:$AW$241,21,FALSE)="","",VLOOKUP(Wed_W2[[#This Row],[Employee Name]],'Base Schedules'!$A$205:$AW$241,21,FALSE)),"")</f>
        <v/>
      </c>
      <c r="W32" s="184" t="str">
        <f>IFERROR(IF(VLOOKUP(Wed_W2[[#This Row],[Employee Name]],'Base Schedules'!$A$205:$AW$241,22,FALSE)="","",VLOOKUP(Wed_W2[[#This Row],[Employee Name]],'Base Schedules'!$A$205:$AW$241,22,FALSE)),"")</f>
        <v/>
      </c>
      <c r="X32" s="184" t="str">
        <f>IFERROR(IF(VLOOKUP(Wed_W2[[#This Row],[Employee Name]],'Base Schedules'!$A$205:$AW$241,23,FALSE)="","",VLOOKUP(Wed_W2[[#This Row],[Employee Name]],'Base Schedules'!$A$205:$AW$241,23,FALSE)),"")</f>
        <v/>
      </c>
      <c r="Y32" s="184" t="str">
        <f>IFERROR(IF(VLOOKUP(Wed_W2[[#This Row],[Employee Name]],'Base Schedules'!$A$205:$AW$241,24,FALSE)="","",VLOOKUP(Wed_W2[[#This Row],[Employee Name]],'Base Schedules'!$A$205:$AW$241,24,FALSE)),"")</f>
        <v>-</v>
      </c>
      <c r="Z32" s="184" t="str">
        <f>IFERROR(IF(VLOOKUP(Wed_W2[[#This Row],[Employee Name]],'Base Schedules'!$A$205:$AW$241,25,FALSE)="","",VLOOKUP(Wed_W2[[#This Row],[Employee Name]],'Base Schedules'!$A$205:$AW$241,25,FALSE)),"")</f>
        <v>-</v>
      </c>
      <c r="AA32" s="184" t="str">
        <f>IFERROR(IF(VLOOKUP(Wed_W2[[#This Row],[Employee Name]],'Base Schedules'!$A$205:$AW$241,26,FALSE)="","",VLOOKUP(Wed_W2[[#This Row],[Employee Name]],'Base Schedules'!$A$205:$AW$241,26,FALSE)),"")</f>
        <v>-</v>
      </c>
      <c r="AB32" s="184" t="str">
        <f>IFERROR(IF(VLOOKUP(Wed_W2[[#This Row],[Employee Name]],'Base Schedules'!$A$205:$AW$241,27,FALSE)="","",VLOOKUP(Wed_W2[[#This Row],[Employee Name]],'Base Schedules'!$A$205:$AW$241,27,FALSE)),"")</f>
        <v>-</v>
      </c>
      <c r="AC32" s="184" t="str">
        <f>IFERROR(IF(VLOOKUP(Wed_W2[[#This Row],[Employee Name]],'Base Schedules'!$A$205:$AW$241,28,FALSE)="","",VLOOKUP(Wed_W2[[#This Row],[Employee Name]],'Base Schedules'!$A$205:$AW$241,28,FALSE)),"")</f>
        <v>-</v>
      </c>
      <c r="AD32" s="184" t="str">
        <f>IFERROR(IF(VLOOKUP(Wed_W2[[#This Row],[Employee Name]],'Base Schedules'!$A$205:$AW$241,29,FALSE)="","",VLOOKUP(Wed_W2[[#This Row],[Employee Name]],'Base Schedules'!$A$205:$AW$241,29,FALSE)),"")</f>
        <v>Interview</v>
      </c>
      <c r="AE32" s="184" t="str">
        <f>IFERROR(IF(VLOOKUP(Wed_W2[[#This Row],[Employee Name]],'Base Schedules'!$A$205:$AW$241,30,FALSE)="","",VLOOKUP(Wed_W2[[#This Row],[Employee Name]],'Base Schedules'!$A$205:$AW$241,30,FALSE)),"")</f>
        <v>Interview</v>
      </c>
      <c r="AF32" s="184" t="str">
        <f>IFERROR(IF(VLOOKUP(Wed_W2[[#This Row],[Employee Name]],'Base Schedules'!$A$205:$AW$241,31,FALSE)="","",VLOOKUP(Wed_W2[[#This Row],[Employee Name]],'Base Schedules'!$A$205:$AW$241,31,FALSE)),"")</f>
        <v>-</v>
      </c>
      <c r="AG32" s="184" t="str">
        <f>IFERROR(IF(VLOOKUP(Wed_W2[[#This Row],[Employee Name]],'Base Schedules'!$A$205:$AW$241,32,FALSE)="","",VLOOKUP(Wed_W2[[#This Row],[Employee Name]],'Base Schedules'!$A$205:$AW$241,32,FALSE)),"")</f>
        <v>-</v>
      </c>
      <c r="AH32" s="184" t="str">
        <f>IFERROR(IF(VLOOKUP(Wed_W2[[#This Row],[Employee Name]],'Base Schedules'!$A$205:$AW$241,33,FALSE)="","",VLOOKUP(Wed_W2[[#This Row],[Employee Name]],'Base Schedules'!$A$205:$AW$241,33,FALSE)),"")</f>
        <v>-</v>
      </c>
      <c r="AI32" s="184" t="str">
        <f>IFERROR(IF(VLOOKUP(Wed_W2[[#This Row],[Employee Name]],'Base Schedules'!$A$205:$AW$241,34,FALSE)="","",VLOOKUP(Wed_W2[[#This Row],[Employee Name]],'Base Schedules'!$A$205:$AW$241,34,FALSE)),"")</f>
        <v>-</v>
      </c>
      <c r="AJ32" s="184" t="str">
        <f>IFERROR(IF(VLOOKUP(Wed_W2[[#This Row],[Employee Name]],'Base Schedules'!$A$205:$AW$241,35,FALSE)="","",VLOOKUP(Wed_W2[[#This Row],[Employee Name]],'Base Schedules'!$A$205:$AW$241,35,FALSE)),"")</f>
        <v>-</v>
      </c>
      <c r="AK32" s="184" t="str">
        <f>IFERROR(IF(VLOOKUP(Wed_W2[[#This Row],[Employee Name]],'Base Schedules'!$A$205:$AW$241,36,FALSE)="","",VLOOKUP(Wed_W2[[#This Row],[Employee Name]],'Base Schedules'!$A$205:$AW$241,36,FALSE)),"")</f>
        <v>-</v>
      </c>
      <c r="AL32" s="184" t="str">
        <f>IFERROR(IF(VLOOKUP(Wed_W2[[#This Row],[Employee Name]],'Base Schedules'!$A$205:$AW$241,37,FALSE)="","",VLOOKUP(Wed_W2[[#This Row],[Employee Name]],'Base Schedules'!$A$205:$AW$241,37,FALSE)),"")</f>
        <v>-</v>
      </c>
      <c r="AM32" s="184" t="str">
        <f>IFERROR(IF(VLOOKUP(Wed_W2[[#This Row],[Employee Name]],'Base Schedules'!$A$205:$AW$241,38,FALSE)="","",VLOOKUP(Wed_W2[[#This Row],[Employee Name]],'Base Schedules'!$A$205:$AW$241,38,FALSE)),"")</f>
        <v>Coaching</v>
      </c>
      <c r="AN32" s="184" t="str">
        <f>IFERROR(IF(VLOOKUP(Wed_W2[[#This Row],[Employee Name]],'Base Schedules'!$A$205:$AW$241,39,FALSE)="","",VLOOKUP(Wed_W2[[#This Row],[Employee Name]],'Base Schedules'!$A$205:$AW$241,39,FALSE)),"")</f>
        <v>Coaching</v>
      </c>
      <c r="AO32" s="184" t="str">
        <f>IFERROR(IF(VLOOKUP(Wed_W2[[#This Row],[Employee Name]],'Base Schedules'!$A$205:$AW$241,40,FALSE)="","",VLOOKUP(Wed_W2[[#This Row],[Employee Name]],'Base Schedules'!$A$205:$AW$241,40,FALSE)),"")</f>
        <v>Coaching</v>
      </c>
      <c r="AP32" s="184" t="str">
        <f>IFERROR(IF(VLOOKUP(Wed_W2[[#This Row],[Employee Name]],'Base Schedules'!$A$205:$AW$241,41,FALSE)="","",VLOOKUP(Wed_W2[[#This Row],[Employee Name]],'Base Schedules'!$A$205:$AW$241,41,FALSE)),"")</f>
        <v>Coaching</v>
      </c>
      <c r="AQ32" s="184" t="str">
        <f>IFERROR(IF(VLOOKUP(Wed_W2[[#This Row],[Employee Name]],'Base Schedules'!$A$205:$AW$241,42,FALSE)="","",VLOOKUP(Wed_W2[[#This Row],[Employee Name]],'Base Schedules'!$A$205:$AW$241,42,FALSE)),"")</f>
        <v>-</v>
      </c>
      <c r="AR32" s="184" t="str">
        <f>IFERROR(IF(VLOOKUP(Wed_W2[[#This Row],[Employee Name]],'Base Schedules'!$A$205:$AW$241,43,FALSE)="","",VLOOKUP(Wed_W2[[#This Row],[Employee Name]],'Base Schedules'!$A$205:$AW$241,43,FALSE)),"")</f>
        <v/>
      </c>
      <c r="AS32" s="184" t="str">
        <f>IFERROR(IF(VLOOKUP(Wed_W2[[#This Row],[Employee Name]],'Base Schedules'!$A$205:$AW$241,44,FALSE)="","",VLOOKUP(Wed_W2[[#This Row],[Employee Name]],'Base Schedules'!$A$205:$AW$241,44,FALSE)),"")</f>
        <v/>
      </c>
      <c r="AT32" s="184" t="str">
        <f>IFERROR(IF(VLOOKUP(Wed_W2[[#This Row],[Employee Name]],'Base Schedules'!$A$205:$AW$241,45,FALSE)="","",VLOOKUP(Wed_W2[[#This Row],[Employee Name]],'Base Schedules'!$A$205:$AW$241,45,FALSE)),"")</f>
        <v/>
      </c>
      <c r="AU32" s="184" t="str">
        <f>IFERROR(IF(VLOOKUP(Wed_W2[[#This Row],[Employee Name]],'Base Schedules'!$A$205:$AW$241,46,FALSE)="","",VLOOKUP(Wed_W2[[#This Row],[Employee Name]],'Base Schedules'!$A$205:$AW$241,46,FALSE)),"")</f>
        <v/>
      </c>
      <c r="AV32" s="184" t="str">
        <f>IFERROR(IF(VLOOKUP(Wed_W2[[#This Row],[Employee Name]],'Base Schedules'!$A$205:$AW$241,47,FALSE)="","",VLOOKUP(Wed_W2[[#This Row],[Employee Name]],'Base Schedules'!$A$205:$AW$241,47,FALSE)),"")</f>
        <v/>
      </c>
      <c r="AW32" s="184" t="str">
        <f>IFERROR(IF(VLOOKUP(Wed_W2[[#This Row],[Employee Name]],'Base Schedules'!$A$205:$AW$241,48,FALSE)="","",VLOOKUP(Wed_W2[[#This Row],[Employee Name]],'Base Schedules'!$A$205:$AW$241,48,FALSE)),"")</f>
        <v/>
      </c>
      <c r="AX32" s="184" t="str">
        <f>IFERROR(IF(VLOOKUP(Wed_W2[[#This Row],[Employee Name]],'Base Schedules'!$A$205:$AW$241,49,FALSE)="","",VLOOKUP(Wed_W2[[#This Row],[Employee Name]],'Base Schedules'!$A$205:$AW$241,49,FALSE)),"")</f>
        <v/>
      </c>
      <c r="AY32" s="245" t="str">
        <f t="shared" si="2"/>
        <v>Aguilar, Angelica</v>
      </c>
    </row>
    <row r="33" spans="1:51" s="44" customFormat="1" ht="12" customHeight="1" x14ac:dyDescent="0.2">
      <c r="A33" s="39" t="str">
        <f>IF(B33="","",INDEX(TeamList[],MATCH($B33,TeamList[[Employee Name]:[Employee Name]],0),MATCH("Manager",TeamList[#Headers],0)))</f>
        <v>Paulson, Matthew</v>
      </c>
      <c r="B33" s="333" t="s">
        <v>59</v>
      </c>
      <c r="C33" s="257" t="str">
        <f>_xlfn.IFNA(VLOOKUP(Wed_W2[[#This Row],[Employee Name]],'Base Schedules'!A:B,2,FALSE),"")</f>
        <v>Supervisor</v>
      </c>
      <c r="D33" s="274">
        <f>_xlfn.IFNA(VLOOKUP(Wed_W2[[#This Row],[Employee Name]],'Base Schedules'!A:C,3,FALSE),"")</f>
        <v>1300</v>
      </c>
      <c r="E33" s="274">
        <f>_xlfn.IFNA(VLOOKUP(Wed_W2[[#This Row],[Employee Name]],'Base Schedules'!A:D,4,FALSE),"")</f>
        <v>2200</v>
      </c>
      <c r="F33" s="142">
        <f>IF(Wed_W2[[#This Row],[Employee Name]]="","",IF(Wed_W2[[#This Row],[Dept]]="Supervisor",COUNTIFS($J33:$AX33,"*HL*",$J33:$AX33,"&lt;&gt;"&amp;"pHL"),COUNTIFS($J33:$AX33,"*HL*",$J33:$AX33,"&lt;&gt;"&amp;"*pHL*",$J33:$AX33,"&lt;&gt;"&amp;"pB1 HL",$J33:$AX33,"&lt;&gt;"&amp;"pB2 HL")-SUM(COUNTIFS($J33:$AX33,"*HL B1*",$J33:$AX33,"&lt;&gt;"&amp;"pHL B1")*0.5,COUNTIFS($J33:$AX33,"*HL B2*",$J33:$AX33,"&lt;&gt;"&amp;"pHL B2")*0.5,COUNTIFS($J33:$AX33,"*B1 HL*",$J33:$AX33,"&lt;&gt;"&amp;"pB1 HL")*0.5,COUNTIFS($J33:$AX33,"*B2 HL*",$J33:$AX33,"&lt;&gt;"&amp;"pB2 HL")*0.5)))</f>
        <v>0</v>
      </c>
      <c r="G33" s="142">
        <f t="shared" si="0"/>
        <v>4</v>
      </c>
      <c r="H33" s="142">
        <f t="shared" si="1"/>
        <v>0</v>
      </c>
      <c r="I33" s="142">
        <f>IF(Wed_W2[[#This Row],[Employee Name]]="","",IF(Wed_W2[[#This Row],[Dept]]="Supervisor",SUM(COUNTIFS($J33:$AX33,"RTA*",$J33:$AX33,"&lt;&gt;"&amp;"pRTA"),COUNTIFS($J33:$AX33,"*CRTA*",$J33:$AX33,"&lt;&gt;"&amp;"pCRTA")),COUNTIFS($J33:$AX33,"*RNNR*",$J33:$AX33,"&lt;&gt;"&amp;"*pRNNR*",$J33:$AX33,"&lt;&gt;"&amp;"pB1 RNNR",$J33:$AX33,"&lt;&gt;"&amp;"pB2 RNNR")-SUM(COUNTIFS($J33:$AX33,"*RNNR B1*",$J33:$AX33,"&lt;&gt;"&amp;"pRNNR B1")*0.5,COUNTIFS($J33:$AX33,"*RNNR B2*",$J33:$AX33,"&lt;&gt;"&amp;"pRNNR B2")*0.5,COUNTIFS($J33:$AX33,"*B1 RNNR*",$J33:$AX33,"&lt;&gt;"&amp;"pB1 RNNR")*0.5,COUNTIFS($J33:$AX33,"*B2 RNNR*",$J33:$AX33,"&lt;&gt;"&amp;"pB2 RNNR")*0.5)))</f>
        <v>0</v>
      </c>
      <c r="J33" s="184" t="str">
        <f>IFERROR(IF(VLOOKUP(Wed_W2[[#This Row],[Employee Name]],'Base Schedules'!$A$205:$AW$241,9,FALSE)="","",VLOOKUP(Wed_W2[[#This Row],[Employee Name]],'Base Schedules'!$A$205:$AW$241,9,FALSE)),"")</f>
        <v/>
      </c>
      <c r="K33" s="184" t="str">
        <f>IFERROR(IF(VLOOKUP(Wed_W2[[#This Row],[Employee Name]],'Base Schedules'!$A$205:$AW$241,10,FALSE)="","",VLOOKUP(Wed_W2[[#This Row],[Employee Name]],'Base Schedules'!$A$205:$AW$241,10,FALSE)),"")</f>
        <v/>
      </c>
      <c r="L33" s="184" t="str">
        <f>IFERROR(IF(VLOOKUP(Wed_W2[[#This Row],[Employee Name]],'Base Schedules'!$A$205:$AW$241,11,FALSE)="","",VLOOKUP(Wed_W2[[#This Row],[Employee Name]],'Base Schedules'!$A$205:$AW$241,11,FALSE)),"")</f>
        <v/>
      </c>
      <c r="M33" s="184" t="str">
        <f>IFERROR(IF(VLOOKUP(Wed_W2[[#This Row],[Employee Name]],'Base Schedules'!$A$205:$AW$241,12,FALSE)="","",VLOOKUP(Wed_W2[[#This Row],[Employee Name]],'Base Schedules'!$A$205:$AW$241,12,FALSE)),"")</f>
        <v/>
      </c>
      <c r="N33" s="184" t="str">
        <f>IFERROR(IF(VLOOKUP(Wed_W2[[#This Row],[Employee Name]],'Base Schedules'!$A$205:$AW$241,13,FALSE)="","",VLOOKUP(Wed_W2[[#This Row],[Employee Name]],'Base Schedules'!$A$205:$AW$241,13,FALSE)),"")</f>
        <v/>
      </c>
      <c r="O33" s="184" t="str">
        <f>IFERROR(IF(VLOOKUP(Wed_W2[[#This Row],[Employee Name]],'Base Schedules'!$A$205:$AW$241,14,FALSE)="","",VLOOKUP(Wed_W2[[#This Row],[Employee Name]],'Base Schedules'!$A$205:$AW$241,14,FALSE)),"")</f>
        <v/>
      </c>
      <c r="P33" s="184" t="str">
        <f>IFERROR(IF(VLOOKUP(Wed_W2[[#This Row],[Employee Name]],'Base Schedules'!$A$205:$AW$241,15,FALSE)="","",VLOOKUP(Wed_W2[[#This Row],[Employee Name]],'Base Schedules'!$A$205:$AW$241,15,FALSE)),"")</f>
        <v/>
      </c>
      <c r="Q33" s="184" t="str">
        <f>IFERROR(IF(VLOOKUP(Wed_W2[[#This Row],[Employee Name]],'Base Schedules'!$A$205:$AW$241,16,FALSE)="","",VLOOKUP(Wed_W2[[#This Row],[Employee Name]],'Base Schedules'!$A$205:$AW$241,16,FALSE)),"")</f>
        <v/>
      </c>
      <c r="R33" s="184" t="str">
        <f>IFERROR(IF(VLOOKUP(Wed_W2[[#This Row],[Employee Name]],'Base Schedules'!$A$205:$AW$241,17,FALSE)="","",VLOOKUP(Wed_W2[[#This Row],[Employee Name]],'Base Schedules'!$A$205:$AW$241,17,FALSE)),"")</f>
        <v/>
      </c>
      <c r="S33" s="184" t="str">
        <f>IFERROR(IF(VLOOKUP(Wed_W2[[#This Row],[Employee Name]],'Base Schedules'!$A$205:$AW$241,18,FALSE)="","",VLOOKUP(Wed_W2[[#This Row],[Employee Name]],'Base Schedules'!$A$205:$AW$241,18,FALSE)),"")</f>
        <v/>
      </c>
      <c r="T33" s="184" t="str">
        <f>IFERROR(IF(VLOOKUP(Wed_W2[[#This Row],[Employee Name]],'Base Schedules'!$A$205:$AW$241,19,FALSE)="","",VLOOKUP(Wed_W2[[#This Row],[Employee Name]],'Base Schedules'!$A$205:$AW$241,19,FALSE)),"")</f>
        <v/>
      </c>
      <c r="U33" s="184" t="str">
        <f>IFERROR(IF(VLOOKUP(Wed_W2[[#This Row],[Employee Name]],'Base Schedules'!$A$205:$AW$241,20,FALSE)="","",VLOOKUP(Wed_W2[[#This Row],[Employee Name]],'Base Schedules'!$A$205:$AW$241,20,FALSE)),"")</f>
        <v/>
      </c>
      <c r="V33" s="184" t="str">
        <f>IFERROR(IF(VLOOKUP(Wed_W2[[#This Row],[Employee Name]],'Base Schedules'!$A$205:$AW$241,21,FALSE)="","",VLOOKUP(Wed_W2[[#This Row],[Employee Name]],'Base Schedules'!$A$205:$AW$241,21,FALSE)),"")</f>
        <v/>
      </c>
      <c r="W33" s="184" t="str">
        <f>IFERROR(IF(VLOOKUP(Wed_W2[[#This Row],[Employee Name]],'Base Schedules'!$A$205:$AW$241,22,FALSE)="","",VLOOKUP(Wed_W2[[#This Row],[Employee Name]],'Base Schedules'!$A$205:$AW$241,22,FALSE)),"")</f>
        <v/>
      </c>
      <c r="X33" s="184" t="str">
        <f>IFERROR(IF(VLOOKUP(Wed_W2[[#This Row],[Employee Name]],'Base Schedules'!$A$205:$AW$241,23,FALSE)="","",VLOOKUP(Wed_W2[[#This Row],[Employee Name]],'Base Schedules'!$A$205:$AW$241,23,FALSE)),"")</f>
        <v/>
      </c>
      <c r="Y33" s="184" t="str">
        <f>IFERROR(IF(VLOOKUP(Wed_W2[[#This Row],[Employee Name]],'Base Schedules'!$A$205:$AW$241,24,FALSE)="","",VLOOKUP(Wed_W2[[#This Row],[Employee Name]],'Base Schedules'!$A$205:$AW$241,24,FALSE)),"")</f>
        <v/>
      </c>
      <c r="Z33" s="184" t="str">
        <f>IFERROR(IF(VLOOKUP(Wed_W2[[#This Row],[Employee Name]],'Base Schedules'!$A$205:$AW$241,25,FALSE)="","",VLOOKUP(Wed_W2[[#This Row],[Employee Name]],'Base Schedules'!$A$205:$AW$241,25,FALSE)),"")</f>
        <v>-</v>
      </c>
      <c r="AA33" s="184" t="str">
        <f>IFERROR(IF(VLOOKUP(Wed_W2[[#This Row],[Employee Name]],'Base Schedules'!$A$205:$AW$241,26,FALSE)="","",VLOOKUP(Wed_W2[[#This Row],[Employee Name]],'Base Schedules'!$A$205:$AW$241,26,FALSE)),"")</f>
        <v>Coaching</v>
      </c>
      <c r="AB33" s="184" t="str">
        <f>IFERROR(IF(VLOOKUP(Wed_W2[[#This Row],[Employee Name]],'Base Schedules'!$A$205:$AW$241,27,FALSE)="","",VLOOKUP(Wed_W2[[#This Row],[Employee Name]],'Base Schedules'!$A$205:$AW$241,27,FALSE)),"")</f>
        <v>Coaching</v>
      </c>
      <c r="AC33" s="184" t="str">
        <f>IFERROR(IF(VLOOKUP(Wed_W2[[#This Row],[Employee Name]],'Base Schedules'!$A$205:$AW$241,28,FALSE)="","",VLOOKUP(Wed_W2[[#This Row],[Employee Name]],'Base Schedules'!$A$205:$AW$241,28,FALSE)),"")</f>
        <v>Coaching</v>
      </c>
      <c r="AD33" s="184" t="str">
        <f>IFERROR(IF(VLOOKUP(Wed_W2[[#This Row],[Employee Name]],'Base Schedules'!$A$205:$AW$241,29,FALSE)="","",VLOOKUP(Wed_W2[[#This Row],[Employee Name]],'Base Schedules'!$A$205:$AW$241,29,FALSE)),"")</f>
        <v>Coaching</v>
      </c>
      <c r="AE33" s="184" t="str">
        <f>IFERROR(IF(VLOOKUP(Wed_W2[[#This Row],[Employee Name]],'Base Schedules'!$A$205:$AW$241,30,FALSE)="","",VLOOKUP(Wed_W2[[#This Row],[Employee Name]],'Base Schedules'!$A$205:$AW$241,30,FALSE)),"")</f>
        <v>-</v>
      </c>
      <c r="AF33" s="184" t="str">
        <f>IFERROR(IF(VLOOKUP(Wed_W2[[#This Row],[Employee Name]],'Base Schedules'!$A$205:$AW$241,31,FALSE)="","",VLOOKUP(Wed_W2[[#This Row],[Employee Name]],'Base Schedules'!$A$205:$AW$241,31,FALSE)),"")</f>
        <v>Team RL TM</v>
      </c>
      <c r="AG33" s="184" t="str">
        <f>IFERROR(IF(VLOOKUP(Wed_W2[[#This Row],[Employee Name]],'Base Schedules'!$A$205:$AW$241,32,FALSE)="","",VLOOKUP(Wed_W2[[#This Row],[Employee Name]],'Base Schedules'!$A$205:$AW$241,32,FALSE)),"")</f>
        <v>Team RL TM</v>
      </c>
      <c r="AH33" s="184" t="str">
        <f>IFERROR(IF(VLOOKUP(Wed_W2[[#This Row],[Employee Name]],'Base Schedules'!$A$205:$AW$241,33,FALSE)="","",VLOOKUP(Wed_W2[[#This Row],[Employee Name]],'Base Schedules'!$A$205:$AW$241,33,FALSE)),"")</f>
        <v>-</v>
      </c>
      <c r="AI33" s="184" t="str">
        <f>IFERROR(IF(VLOOKUP(Wed_W2[[#This Row],[Employee Name]],'Base Schedules'!$A$205:$AW$241,34,FALSE)="","",VLOOKUP(Wed_W2[[#This Row],[Employee Name]],'Base Schedules'!$A$205:$AW$241,34,FALSE)),"")</f>
        <v>TM PREP</v>
      </c>
      <c r="AJ33" s="184" t="str">
        <f>IFERROR(IF(VLOOKUP(Wed_W2[[#This Row],[Employee Name]],'Base Schedules'!$A$205:$AW$241,35,FALSE)="","",VLOOKUP(Wed_W2[[#This Row],[Employee Name]],'Base Schedules'!$A$205:$AW$241,35,FALSE)),"")</f>
        <v>BANUELOS TM</v>
      </c>
      <c r="AK33" s="184" t="str">
        <f>IFERROR(IF(VLOOKUP(Wed_W2[[#This Row],[Employee Name]],'Base Schedules'!$A$205:$AW$241,36,FALSE)="","",VLOOKUP(Wed_W2[[#This Row],[Employee Name]],'Base Schedules'!$A$205:$AW$241,36,FALSE)),"")</f>
        <v>BANUELOS TM</v>
      </c>
      <c r="AL33" s="184" t="str">
        <f>IFERROR(IF(VLOOKUP(Wed_W2[[#This Row],[Employee Name]],'Base Schedules'!$A$205:$AW$241,37,FALSE)="","",VLOOKUP(Wed_W2[[#This Row],[Employee Name]],'Base Schedules'!$A$205:$AW$241,37,FALSE)),"")</f>
        <v>-</v>
      </c>
      <c r="AM33" s="184" t="str">
        <f>IFERROR(IF(VLOOKUP(Wed_W2[[#This Row],[Employee Name]],'Base Schedules'!$A$205:$AW$241,38,FALSE)="","",VLOOKUP(Wed_W2[[#This Row],[Employee Name]],'Base Schedules'!$A$205:$AW$241,38,FALSE)),"")</f>
        <v>-</v>
      </c>
      <c r="AN33" s="184" t="str">
        <f>IFERROR(IF(VLOOKUP(Wed_W2[[#This Row],[Employee Name]],'Base Schedules'!$A$205:$AW$241,39,FALSE)="","",VLOOKUP(Wed_W2[[#This Row],[Employee Name]],'Base Schedules'!$A$205:$AW$241,39,FALSE)),"")</f>
        <v>-</v>
      </c>
      <c r="AO33" s="184" t="str">
        <f>IFERROR(IF(VLOOKUP(Wed_W2[[#This Row],[Employee Name]],'Base Schedules'!$A$205:$AW$241,40,FALSE)="","",VLOOKUP(Wed_W2[[#This Row],[Employee Name]],'Base Schedules'!$A$205:$AW$241,40,FALSE)),"")</f>
        <v>-</v>
      </c>
      <c r="AP33" s="184" t="str">
        <f>IFERROR(IF(VLOOKUP(Wed_W2[[#This Row],[Employee Name]],'Base Schedules'!$A$205:$AW$241,41,FALSE)="","",VLOOKUP(Wed_W2[[#This Row],[Employee Name]],'Base Schedules'!$A$205:$AW$241,41,FALSE)),"")</f>
        <v>-</v>
      </c>
      <c r="AQ33" s="184" t="str">
        <f>IFERROR(IF(VLOOKUP(Wed_W2[[#This Row],[Employee Name]],'Base Schedules'!$A$205:$AW$241,42,FALSE)="","",VLOOKUP(Wed_W2[[#This Row],[Employee Name]],'Base Schedules'!$A$205:$AW$241,42,FALSE)),"")</f>
        <v>-</v>
      </c>
      <c r="AR33" s="184" t="str">
        <f>IFERROR(IF(VLOOKUP(Wed_W2[[#This Row],[Employee Name]],'Base Schedules'!$A$205:$AW$241,43,FALSE)="","",VLOOKUP(Wed_W2[[#This Row],[Employee Name]],'Base Schedules'!$A$205:$AW$241,43,FALSE)),"")</f>
        <v/>
      </c>
      <c r="AS33" s="184" t="str">
        <f>IFERROR(IF(VLOOKUP(Wed_W2[[#This Row],[Employee Name]],'Base Schedules'!$A$205:$AW$241,44,FALSE)="","",VLOOKUP(Wed_W2[[#This Row],[Employee Name]],'Base Schedules'!$A$205:$AW$241,44,FALSE)),"")</f>
        <v/>
      </c>
      <c r="AT33" s="184" t="str">
        <f>IFERROR(IF(VLOOKUP(Wed_W2[[#This Row],[Employee Name]],'Base Schedules'!$A$205:$AW$241,45,FALSE)="","",VLOOKUP(Wed_W2[[#This Row],[Employee Name]],'Base Schedules'!$A$205:$AW$241,45,FALSE)),"")</f>
        <v/>
      </c>
      <c r="AU33" s="184" t="str">
        <f>IFERROR(IF(VLOOKUP(Wed_W2[[#This Row],[Employee Name]],'Base Schedules'!$A$205:$AW$241,46,FALSE)="","",VLOOKUP(Wed_W2[[#This Row],[Employee Name]],'Base Schedules'!$A$205:$AW$241,46,FALSE)),"")</f>
        <v/>
      </c>
      <c r="AV33" s="184" t="str">
        <f>IFERROR(IF(VLOOKUP(Wed_W2[[#This Row],[Employee Name]],'Base Schedules'!$A$205:$AW$241,47,FALSE)="","",VLOOKUP(Wed_W2[[#This Row],[Employee Name]],'Base Schedules'!$A$205:$AW$241,47,FALSE)),"")</f>
        <v/>
      </c>
      <c r="AW33" s="184" t="str">
        <f>IFERROR(IF(VLOOKUP(Wed_W2[[#This Row],[Employee Name]],'Base Schedules'!$A$205:$AW$241,48,FALSE)="","",VLOOKUP(Wed_W2[[#This Row],[Employee Name]],'Base Schedules'!$A$205:$AW$241,48,FALSE)),"")</f>
        <v/>
      </c>
      <c r="AX33" s="184" t="str">
        <f>IFERROR(IF(VLOOKUP(Wed_W2[[#This Row],[Employee Name]],'Base Schedules'!$A$205:$AW$241,49,FALSE)="","",VLOOKUP(Wed_W2[[#This Row],[Employee Name]],'Base Schedules'!$A$205:$AW$241,49,FALSE)),"")</f>
        <v/>
      </c>
      <c r="AY33" s="245" t="str">
        <f t="shared" si="2"/>
        <v>Banuelos, Lincoln</v>
      </c>
    </row>
    <row r="34" spans="1:51" s="44" customFormat="1" ht="12" customHeight="1" x14ac:dyDescent="0.2">
      <c r="A34" s="39" t="str">
        <f>IF(B34="","",INDEX(TeamList[],MATCH($B34,TeamList[[Employee Name]:[Employee Name]],0),MATCH("Manager",TeamList[#Headers],0)))</f>
        <v>Olson, Katherine</v>
      </c>
      <c r="B34" s="201" t="s">
        <v>57</v>
      </c>
      <c r="C34" s="257" t="str">
        <f>_xlfn.IFNA(VLOOKUP(Wed_W2[[#This Row],[Employee Name]],'Base Schedules'!A:B,2,FALSE),"")</f>
        <v>Supervisor</v>
      </c>
      <c r="D34" s="274">
        <f>_xlfn.IFNA(VLOOKUP(Wed_W2[[#This Row],[Employee Name]],'Base Schedules'!A:C,3,FALSE),"")</f>
        <v>1300</v>
      </c>
      <c r="E34" s="274">
        <f>_xlfn.IFNA(VLOOKUP(Wed_W2[[#This Row],[Employee Name]],'Base Schedules'!A:D,4,FALSE),"")</f>
        <v>2200</v>
      </c>
      <c r="F34" s="142">
        <f>IF(Wed_W2[[#This Row],[Employee Name]]="","",IF(Wed_W2[[#This Row],[Dept]]="Supervisor",COUNTIFS($J34:$AX34,"*HL*",$J34:$AX34,"&lt;&gt;"&amp;"pHL"),COUNTIFS($J34:$AX34,"*HL*",$J34:$AX34,"&lt;&gt;"&amp;"*pHL*",$J34:$AX34,"&lt;&gt;"&amp;"pB1 HL",$J34:$AX34,"&lt;&gt;"&amp;"pB2 HL")-SUM(COUNTIFS($J34:$AX34,"*HL B1*",$J34:$AX34,"&lt;&gt;"&amp;"pHL B1")*0.5,COUNTIFS($J34:$AX34,"*HL B2*",$J34:$AX34,"&lt;&gt;"&amp;"pHL B2")*0.5,COUNTIFS($J34:$AX34,"*B1 HL*",$J34:$AX34,"&lt;&gt;"&amp;"pB1 HL")*0.5,COUNTIFS($J34:$AX34,"*B2 HL*",$J34:$AX34,"&lt;&gt;"&amp;"pB2 HL")*0.5)))</f>
        <v>0</v>
      </c>
      <c r="G34" s="142">
        <f t="shared" si="0"/>
        <v>4</v>
      </c>
      <c r="H34" s="142">
        <f t="shared" si="1"/>
        <v>0</v>
      </c>
      <c r="I34" s="142">
        <f>IF(Wed_W2[[#This Row],[Employee Name]]="","",IF(Wed_W2[[#This Row],[Dept]]="Supervisor",SUM(COUNTIFS($J34:$AX34,"RTA*",$J34:$AX34,"&lt;&gt;"&amp;"pRTA"),COUNTIFS($J34:$AX34,"*CRTA*",$J34:$AX34,"&lt;&gt;"&amp;"pCRTA")),COUNTIFS($J34:$AX34,"*RNNR*",$J34:$AX34,"&lt;&gt;"&amp;"*pRNNR*",$J34:$AX34,"&lt;&gt;"&amp;"pB1 RNNR",$J34:$AX34,"&lt;&gt;"&amp;"pB2 RNNR")-SUM(COUNTIFS($J34:$AX34,"*RNNR B1*",$J34:$AX34,"&lt;&gt;"&amp;"pRNNR B1")*0.5,COUNTIFS($J34:$AX34,"*RNNR B2*",$J34:$AX34,"&lt;&gt;"&amp;"pRNNR B2")*0.5,COUNTIFS($J34:$AX34,"*B1 RNNR*",$J34:$AX34,"&lt;&gt;"&amp;"pB1 RNNR")*0.5,COUNTIFS($J34:$AX34,"*B2 RNNR*",$J34:$AX34,"&lt;&gt;"&amp;"pB2 RNNR")*0.5)))</f>
        <v>0</v>
      </c>
      <c r="J34" s="184" t="str">
        <f>IFERROR(IF(VLOOKUP(Wed_W2[[#This Row],[Employee Name]],'Base Schedules'!$A$205:$AW$241,9,FALSE)="","",VLOOKUP(Wed_W2[[#This Row],[Employee Name]],'Base Schedules'!$A$205:$AW$241,9,FALSE)),"")</f>
        <v/>
      </c>
      <c r="K34" s="184" t="str">
        <f>IFERROR(IF(VLOOKUP(Wed_W2[[#This Row],[Employee Name]],'Base Schedules'!$A$205:$AW$241,10,FALSE)="","",VLOOKUP(Wed_W2[[#This Row],[Employee Name]],'Base Schedules'!$A$205:$AW$241,10,FALSE)),"")</f>
        <v/>
      </c>
      <c r="L34" s="184" t="str">
        <f>IFERROR(IF(VLOOKUP(Wed_W2[[#This Row],[Employee Name]],'Base Schedules'!$A$205:$AW$241,11,FALSE)="","",VLOOKUP(Wed_W2[[#This Row],[Employee Name]],'Base Schedules'!$A$205:$AW$241,11,FALSE)),"")</f>
        <v/>
      </c>
      <c r="M34" s="184" t="str">
        <f>IFERROR(IF(VLOOKUP(Wed_W2[[#This Row],[Employee Name]],'Base Schedules'!$A$205:$AW$241,12,FALSE)="","",VLOOKUP(Wed_W2[[#This Row],[Employee Name]],'Base Schedules'!$A$205:$AW$241,12,FALSE)),"")</f>
        <v/>
      </c>
      <c r="N34" s="184" t="str">
        <f>IFERROR(IF(VLOOKUP(Wed_W2[[#This Row],[Employee Name]],'Base Schedules'!$A$205:$AW$241,13,FALSE)="","",VLOOKUP(Wed_W2[[#This Row],[Employee Name]],'Base Schedules'!$A$205:$AW$241,13,FALSE)),"")</f>
        <v/>
      </c>
      <c r="O34" s="184" t="str">
        <f>IFERROR(IF(VLOOKUP(Wed_W2[[#This Row],[Employee Name]],'Base Schedules'!$A$205:$AW$241,14,FALSE)="","",VLOOKUP(Wed_W2[[#This Row],[Employee Name]],'Base Schedules'!$A$205:$AW$241,14,FALSE)),"")</f>
        <v/>
      </c>
      <c r="P34" s="184" t="str">
        <f>IFERROR(IF(VLOOKUP(Wed_W2[[#This Row],[Employee Name]],'Base Schedules'!$A$205:$AW$241,15,FALSE)="","",VLOOKUP(Wed_W2[[#This Row],[Employee Name]],'Base Schedules'!$A$205:$AW$241,15,FALSE)),"")</f>
        <v/>
      </c>
      <c r="Q34" s="184" t="str">
        <f>IFERROR(IF(VLOOKUP(Wed_W2[[#This Row],[Employee Name]],'Base Schedules'!$A$205:$AW$241,16,FALSE)="","",VLOOKUP(Wed_W2[[#This Row],[Employee Name]],'Base Schedules'!$A$205:$AW$241,16,FALSE)),"")</f>
        <v/>
      </c>
      <c r="R34" s="184" t="str">
        <f>IFERROR(IF(VLOOKUP(Wed_W2[[#This Row],[Employee Name]],'Base Schedules'!$A$205:$AW$241,17,FALSE)="","",VLOOKUP(Wed_W2[[#This Row],[Employee Name]],'Base Schedules'!$A$205:$AW$241,17,FALSE)),"")</f>
        <v/>
      </c>
      <c r="S34" s="184" t="str">
        <f>IFERROR(IF(VLOOKUP(Wed_W2[[#This Row],[Employee Name]],'Base Schedules'!$A$205:$AW$241,18,FALSE)="","",VLOOKUP(Wed_W2[[#This Row],[Employee Name]],'Base Schedules'!$A$205:$AW$241,18,FALSE)),"")</f>
        <v/>
      </c>
      <c r="T34" s="184" t="str">
        <f>IFERROR(IF(VLOOKUP(Wed_W2[[#This Row],[Employee Name]],'Base Schedules'!$A$205:$AW$241,19,FALSE)="","",VLOOKUP(Wed_W2[[#This Row],[Employee Name]],'Base Schedules'!$A$205:$AW$241,19,FALSE)),"")</f>
        <v/>
      </c>
      <c r="U34" s="184" t="str">
        <f>IFERROR(IF(VLOOKUP(Wed_W2[[#This Row],[Employee Name]],'Base Schedules'!$A$205:$AW$241,20,FALSE)="","",VLOOKUP(Wed_W2[[#This Row],[Employee Name]],'Base Schedules'!$A$205:$AW$241,20,FALSE)),"")</f>
        <v/>
      </c>
      <c r="V34" s="184" t="str">
        <f>IFERROR(IF(VLOOKUP(Wed_W2[[#This Row],[Employee Name]],'Base Schedules'!$A$205:$AW$241,21,FALSE)="","",VLOOKUP(Wed_W2[[#This Row],[Employee Name]],'Base Schedules'!$A$205:$AW$241,21,FALSE)),"")</f>
        <v/>
      </c>
      <c r="W34" s="184" t="str">
        <f>IFERROR(IF(VLOOKUP(Wed_W2[[#This Row],[Employee Name]],'Base Schedules'!$A$205:$AW$241,22,FALSE)="","",VLOOKUP(Wed_W2[[#This Row],[Employee Name]],'Base Schedules'!$A$205:$AW$241,22,FALSE)),"")</f>
        <v/>
      </c>
      <c r="X34" s="184" t="str">
        <f>IFERROR(IF(VLOOKUP(Wed_W2[[#This Row],[Employee Name]],'Base Schedules'!$A$205:$AW$241,23,FALSE)="","",VLOOKUP(Wed_W2[[#This Row],[Employee Name]],'Base Schedules'!$A$205:$AW$241,23,FALSE)),"")</f>
        <v/>
      </c>
      <c r="Y34" s="184" t="str">
        <f>IFERROR(IF(VLOOKUP(Wed_W2[[#This Row],[Employee Name]],'Base Schedules'!$A$205:$AW$241,24,FALSE)="","",VLOOKUP(Wed_W2[[#This Row],[Employee Name]],'Base Schedules'!$A$205:$AW$241,24,FALSE)),"")</f>
        <v/>
      </c>
      <c r="Z34" s="184" t="str">
        <f>IFERROR(IF(VLOOKUP(Wed_W2[[#This Row],[Employee Name]],'Base Schedules'!$A$205:$AW$241,25,FALSE)="","",VLOOKUP(Wed_W2[[#This Row],[Employee Name]],'Base Schedules'!$A$205:$AW$241,25,FALSE)),"")</f>
        <v>-</v>
      </c>
      <c r="AA34" s="184" t="str">
        <f>IFERROR(IF(VLOOKUP(Wed_W2[[#This Row],[Employee Name]],'Base Schedules'!$A$205:$AW$241,26,FALSE)="","",VLOOKUP(Wed_W2[[#This Row],[Employee Name]],'Base Schedules'!$A$205:$AW$241,26,FALSE)),"")</f>
        <v>-</v>
      </c>
      <c r="AB34" s="184" t="str">
        <f>IFERROR(IF(VLOOKUP(Wed_W2[[#This Row],[Employee Name]],'Base Schedules'!$A$205:$AW$241,27,FALSE)="","",VLOOKUP(Wed_W2[[#This Row],[Employee Name]],'Base Schedules'!$A$205:$AW$241,27,FALSE)),"")</f>
        <v>-</v>
      </c>
      <c r="AC34" s="184" t="str">
        <f>IFERROR(IF(VLOOKUP(Wed_W2[[#This Row],[Employee Name]],'Base Schedules'!$A$205:$AW$241,28,FALSE)="","",VLOOKUP(Wed_W2[[#This Row],[Employee Name]],'Base Schedules'!$A$205:$AW$241,28,FALSE)),"")</f>
        <v>-</v>
      </c>
      <c r="AD34" s="184" t="str">
        <f>IFERROR(IF(VLOOKUP(Wed_W2[[#This Row],[Employee Name]],'Base Schedules'!$A$205:$AW$241,29,FALSE)="","",VLOOKUP(Wed_W2[[#This Row],[Employee Name]],'Base Schedules'!$A$205:$AW$241,29,FALSE)),"")</f>
        <v>-</v>
      </c>
      <c r="AE34" s="184" t="str">
        <f>IFERROR(IF(VLOOKUP(Wed_W2[[#This Row],[Employee Name]],'Base Schedules'!$A$205:$AW$241,30,FALSE)="","",VLOOKUP(Wed_W2[[#This Row],[Employee Name]],'Base Schedules'!$A$205:$AW$241,30,FALSE)),"")</f>
        <v>-</v>
      </c>
      <c r="AF34" s="184" t="str">
        <f>IFERROR(IF(VLOOKUP(Wed_W2[[#This Row],[Employee Name]],'Base Schedules'!$A$205:$AW$241,31,FALSE)="","",VLOOKUP(Wed_W2[[#This Row],[Employee Name]],'Base Schedules'!$A$205:$AW$241,31,FALSE)),"")</f>
        <v>-</v>
      </c>
      <c r="AG34" s="184" t="str">
        <f>IFERROR(IF(VLOOKUP(Wed_W2[[#This Row],[Employee Name]],'Base Schedules'!$A$205:$AW$241,32,FALSE)="","",VLOOKUP(Wed_W2[[#This Row],[Employee Name]],'Base Schedules'!$A$205:$AW$241,32,FALSE)),"")</f>
        <v>-</v>
      </c>
      <c r="AH34" s="184" t="str">
        <f>IFERROR(IF(VLOOKUP(Wed_W2[[#This Row],[Employee Name]],'Base Schedules'!$A$205:$AW$241,33,FALSE)="","",VLOOKUP(Wed_W2[[#This Row],[Employee Name]],'Base Schedules'!$A$205:$AW$241,33,FALSE)),"")</f>
        <v>-</v>
      </c>
      <c r="AI34" s="184" t="str">
        <f>IFERROR(IF(VLOOKUP(Wed_W2[[#This Row],[Employee Name]],'Base Schedules'!$A$205:$AW$241,34,FALSE)="","",VLOOKUP(Wed_W2[[#This Row],[Employee Name]],'Base Schedules'!$A$205:$AW$241,34,FALSE)),"")</f>
        <v>Coaching</v>
      </c>
      <c r="AJ34" s="184" t="str">
        <f>IFERROR(IF(VLOOKUP(Wed_W2[[#This Row],[Employee Name]],'Base Schedules'!$A$205:$AW$241,35,FALSE)="","",VLOOKUP(Wed_W2[[#This Row],[Employee Name]],'Base Schedules'!$A$205:$AW$241,35,FALSE)),"")</f>
        <v>Coaching</v>
      </c>
      <c r="AK34" s="184" t="str">
        <f>IFERROR(IF(VLOOKUP(Wed_W2[[#This Row],[Employee Name]],'Base Schedules'!$A$205:$AW$241,36,FALSE)="","",VLOOKUP(Wed_W2[[#This Row],[Employee Name]],'Base Schedules'!$A$205:$AW$241,36,FALSE)),"")</f>
        <v>Coaching</v>
      </c>
      <c r="AL34" s="184" t="str">
        <f>IFERROR(IF(VLOOKUP(Wed_W2[[#This Row],[Employee Name]],'Base Schedules'!$A$205:$AW$241,37,FALSE)="","",VLOOKUP(Wed_W2[[#This Row],[Employee Name]],'Base Schedules'!$A$205:$AW$241,37,FALSE)),"")</f>
        <v>Coaching</v>
      </c>
      <c r="AM34" s="184" t="str">
        <f>IFERROR(IF(VLOOKUP(Wed_W2[[#This Row],[Employee Name]],'Base Schedules'!$A$205:$AW$241,38,FALSE)="","",VLOOKUP(Wed_W2[[#This Row],[Employee Name]],'Base Schedules'!$A$205:$AW$241,38,FALSE)),"")</f>
        <v>-</v>
      </c>
      <c r="AN34" s="184" t="str">
        <f>IFERROR(IF(VLOOKUP(Wed_W2[[#This Row],[Employee Name]],'Base Schedules'!$A$205:$AW$241,39,FALSE)="","",VLOOKUP(Wed_W2[[#This Row],[Employee Name]],'Base Schedules'!$A$205:$AW$241,39,FALSE)),"")</f>
        <v>-</v>
      </c>
      <c r="AO34" s="184" t="str">
        <f>IFERROR(IF(VLOOKUP(Wed_W2[[#This Row],[Employee Name]],'Base Schedules'!$A$205:$AW$241,40,FALSE)="","",VLOOKUP(Wed_W2[[#This Row],[Employee Name]],'Base Schedules'!$A$205:$AW$241,40,FALSE)),"")</f>
        <v>-</v>
      </c>
      <c r="AP34" s="184" t="str">
        <f>IFERROR(IF(VLOOKUP(Wed_W2[[#This Row],[Employee Name]],'Base Schedules'!$A$205:$AW$241,41,FALSE)="","",VLOOKUP(Wed_W2[[#This Row],[Employee Name]],'Base Schedules'!$A$205:$AW$241,41,FALSE)),"")</f>
        <v>-</v>
      </c>
      <c r="AQ34" s="184" t="str">
        <f>IFERROR(IF(VLOOKUP(Wed_W2[[#This Row],[Employee Name]],'Base Schedules'!$A$205:$AW$241,42,FALSE)="","",VLOOKUP(Wed_W2[[#This Row],[Employee Name]],'Base Schedules'!$A$205:$AW$241,42,FALSE)),"")</f>
        <v>-</v>
      </c>
      <c r="AR34" s="184" t="str">
        <f>IFERROR(IF(VLOOKUP(Wed_W2[[#This Row],[Employee Name]],'Base Schedules'!$A$205:$AW$241,43,FALSE)="","",VLOOKUP(Wed_W2[[#This Row],[Employee Name]],'Base Schedules'!$A$205:$AW$241,43,FALSE)),"")</f>
        <v/>
      </c>
      <c r="AS34" s="184" t="str">
        <f>IFERROR(IF(VLOOKUP(Wed_W2[[#This Row],[Employee Name]],'Base Schedules'!$A$205:$AW$241,44,FALSE)="","",VLOOKUP(Wed_W2[[#This Row],[Employee Name]],'Base Schedules'!$A$205:$AW$241,44,FALSE)),"")</f>
        <v/>
      </c>
      <c r="AT34" s="184" t="str">
        <f>IFERROR(IF(VLOOKUP(Wed_W2[[#This Row],[Employee Name]],'Base Schedules'!$A$205:$AW$241,45,FALSE)="","",VLOOKUP(Wed_W2[[#This Row],[Employee Name]],'Base Schedules'!$A$205:$AW$241,45,FALSE)),"")</f>
        <v/>
      </c>
      <c r="AU34" s="184" t="str">
        <f>IFERROR(IF(VLOOKUP(Wed_W2[[#This Row],[Employee Name]],'Base Schedules'!$A$205:$AW$241,46,FALSE)="","",VLOOKUP(Wed_W2[[#This Row],[Employee Name]],'Base Schedules'!$A$205:$AW$241,46,FALSE)),"")</f>
        <v/>
      </c>
      <c r="AV34" s="184" t="str">
        <f>IFERROR(IF(VLOOKUP(Wed_W2[[#This Row],[Employee Name]],'Base Schedules'!$A$205:$AW$241,47,FALSE)="","",VLOOKUP(Wed_W2[[#This Row],[Employee Name]],'Base Schedules'!$A$205:$AW$241,47,FALSE)),"")</f>
        <v/>
      </c>
      <c r="AW34" s="184" t="str">
        <f>IFERROR(IF(VLOOKUP(Wed_W2[[#This Row],[Employee Name]],'Base Schedules'!$A$205:$AW$241,48,FALSE)="","",VLOOKUP(Wed_W2[[#This Row],[Employee Name]],'Base Schedules'!$A$205:$AW$241,48,FALSE)),"")</f>
        <v/>
      </c>
      <c r="AX34" s="184" t="str">
        <f>IFERROR(IF(VLOOKUP(Wed_W2[[#This Row],[Employee Name]],'Base Schedules'!$A$205:$AW$241,49,FALSE)="","",VLOOKUP(Wed_W2[[#This Row],[Employee Name]],'Base Schedules'!$A$205:$AW$241,49,FALSE)),"")</f>
        <v/>
      </c>
      <c r="AY34" s="245" t="str">
        <f t="shared" si="2"/>
        <v>Cultice, Diana</v>
      </c>
    </row>
    <row r="35" spans="1:51" s="44" customFormat="1" ht="12" customHeight="1" x14ac:dyDescent="0.2">
      <c r="A35" s="39" t="str">
        <f>IF(B35="","",INDEX(TeamList[],MATCH($B35,TeamList[[Employee Name]:[Employee Name]],0),MATCH("Manager",TeamList[#Headers],0)))</f>
        <v>Olson, Katherine</v>
      </c>
      <c r="B35" s="201" t="s">
        <v>29</v>
      </c>
      <c r="C35" s="257" t="str">
        <f>_xlfn.IFNA(VLOOKUP(Wed_W2[[#This Row],[Employee Name]],'Base Schedules'!A:B,2,FALSE),"")</f>
        <v>Lead</v>
      </c>
      <c r="D35" s="274">
        <f>_xlfn.IFNA(VLOOKUP(Wed_W2[[#This Row],[Employee Name]],'Base Schedules'!A:C,3,FALSE),"")</f>
        <v>1300</v>
      </c>
      <c r="E35" s="274">
        <f>_xlfn.IFNA(VLOOKUP(Wed_W2[[#This Row],[Employee Name]],'Base Schedules'!A:D,4,FALSE),"")</f>
        <v>2130</v>
      </c>
      <c r="F35" s="142">
        <f>IF(Wed_W2[[#This Row],[Employee Name]]="","",IF(Wed_W2[[#This Row],[Dept]]="Supervisor",COUNTIFS($J35:$AX35,"*HL*",$J35:$AX35,"&lt;&gt;"&amp;"pHL"),COUNTIFS($J35:$AX35,"*HL*",$J35:$AX35,"&lt;&gt;"&amp;"*pHL*",$J35:$AX35,"&lt;&gt;"&amp;"pB1 HL",$J35:$AX35,"&lt;&gt;"&amp;"pB2 HL")-SUM(COUNTIFS($J35:$AX35,"*HL B1*",$J35:$AX35,"&lt;&gt;"&amp;"pHL B1")*0.5,COUNTIFS($J35:$AX35,"*HL B2*",$J35:$AX35,"&lt;&gt;"&amp;"pHL B2")*0.5,COUNTIFS($J35:$AX35,"*B1 HL*",$J35:$AX35,"&lt;&gt;"&amp;"pB1 HL")*0.5,COUNTIFS($J35:$AX35,"*B2 HL*",$J35:$AX35,"&lt;&gt;"&amp;"pB2 HL")*0.5)))</f>
        <v>6</v>
      </c>
      <c r="G35" s="142">
        <f t="shared" si="0"/>
        <v>0</v>
      </c>
      <c r="H35" s="142">
        <f t="shared" si="1"/>
        <v>6</v>
      </c>
      <c r="I35" s="142">
        <f>IF(Wed_W2[[#This Row],[Employee Name]]="","",IF(Wed_W2[[#This Row],[Dept]]="Supervisor",SUM(COUNTIFS($J35:$AX35,"RTA*",$J35:$AX35,"&lt;&gt;"&amp;"pRTA"),COUNTIFS($J35:$AX35,"*CRTA*",$J35:$AX35,"&lt;&gt;"&amp;"pCRTA")),COUNTIFS($J35:$AX35,"*RNNR*",$J35:$AX35,"&lt;&gt;"&amp;"*pRNNR*",$J35:$AX35,"&lt;&gt;"&amp;"pB1 RNNR",$J35:$AX35,"&lt;&gt;"&amp;"pB2 RNNR")-SUM(COUNTIFS($J35:$AX35,"*RNNR B1*",$J35:$AX35,"&lt;&gt;"&amp;"pRNNR B1")*0.5,COUNTIFS($J35:$AX35,"*RNNR B2*",$J35:$AX35,"&lt;&gt;"&amp;"pRNNR B2")*0.5,COUNTIFS($J35:$AX35,"*B1 RNNR*",$J35:$AX35,"&lt;&gt;"&amp;"pB1 RNNR")*0.5,COUNTIFS($J35:$AX35,"*B2 RNNR*",$J35:$AX35,"&lt;&gt;"&amp;"pB2 RNNR")*0.5)))</f>
        <v>2</v>
      </c>
      <c r="J35" s="184" t="str">
        <f>IFERROR(IF(VLOOKUP(Wed_W2[[#This Row],[Employee Name]],'Base Schedules'!$A$205:$AW$241,9,FALSE)="","",VLOOKUP(Wed_W2[[#This Row],[Employee Name]],'Base Schedules'!$A$205:$AW$241,9,FALSE)),"")</f>
        <v/>
      </c>
      <c r="K35" s="184" t="str">
        <f>IFERROR(IF(VLOOKUP(Wed_W2[[#This Row],[Employee Name]],'Base Schedules'!$A$205:$AW$241,10,FALSE)="","",VLOOKUP(Wed_W2[[#This Row],[Employee Name]],'Base Schedules'!$A$205:$AW$241,10,FALSE)),"")</f>
        <v/>
      </c>
      <c r="L35" s="184" t="str">
        <f>IFERROR(IF(VLOOKUP(Wed_W2[[#This Row],[Employee Name]],'Base Schedules'!$A$205:$AW$241,11,FALSE)="","",VLOOKUP(Wed_W2[[#This Row],[Employee Name]],'Base Schedules'!$A$205:$AW$241,11,FALSE)),"")</f>
        <v/>
      </c>
      <c r="M35" s="184" t="str">
        <f>IFERROR(IF(VLOOKUP(Wed_W2[[#This Row],[Employee Name]],'Base Schedules'!$A$205:$AW$241,12,FALSE)="","",VLOOKUP(Wed_W2[[#This Row],[Employee Name]],'Base Schedules'!$A$205:$AW$241,12,FALSE)),"")</f>
        <v/>
      </c>
      <c r="N35" s="184" t="str">
        <f>IFERROR(IF(VLOOKUP(Wed_W2[[#This Row],[Employee Name]],'Base Schedules'!$A$205:$AW$241,13,FALSE)="","",VLOOKUP(Wed_W2[[#This Row],[Employee Name]],'Base Schedules'!$A$205:$AW$241,13,FALSE)),"")</f>
        <v/>
      </c>
      <c r="O35" s="184" t="str">
        <f>IFERROR(IF(VLOOKUP(Wed_W2[[#This Row],[Employee Name]],'Base Schedules'!$A$205:$AW$241,14,FALSE)="","",VLOOKUP(Wed_W2[[#This Row],[Employee Name]],'Base Schedules'!$A$205:$AW$241,14,FALSE)),"")</f>
        <v/>
      </c>
      <c r="P35" s="184" t="str">
        <f>IFERROR(IF(VLOOKUP(Wed_W2[[#This Row],[Employee Name]],'Base Schedules'!$A$205:$AW$241,15,FALSE)="","",VLOOKUP(Wed_W2[[#This Row],[Employee Name]],'Base Schedules'!$A$205:$AW$241,15,FALSE)),"")</f>
        <v/>
      </c>
      <c r="Q35" s="184" t="str">
        <f>IFERROR(IF(VLOOKUP(Wed_W2[[#This Row],[Employee Name]],'Base Schedules'!$A$205:$AW$241,16,FALSE)="","",VLOOKUP(Wed_W2[[#This Row],[Employee Name]],'Base Schedules'!$A$205:$AW$241,16,FALSE)),"")</f>
        <v/>
      </c>
      <c r="R35" s="184" t="str">
        <f>IFERROR(IF(VLOOKUP(Wed_W2[[#This Row],[Employee Name]],'Base Schedules'!$A$205:$AW$241,17,FALSE)="","",VLOOKUP(Wed_W2[[#This Row],[Employee Name]],'Base Schedules'!$A$205:$AW$241,17,FALSE)),"")</f>
        <v/>
      </c>
      <c r="S35" s="184" t="str">
        <f>IFERROR(IF(VLOOKUP(Wed_W2[[#This Row],[Employee Name]],'Base Schedules'!$A$205:$AW$241,18,FALSE)="","",VLOOKUP(Wed_W2[[#This Row],[Employee Name]],'Base Schedules'!$A$205:$AW$241,18,FALSE)),"")</f>
        <v/>
      </c>
      <c r="T35" s="184" t="str">
        <f>IFERROR(IF(VLOOKUP(Wed_W2[[#This Row],[Employee Name]],'Base Schedules'!$A$205:$AW$241,19,FALSE)="","",VLOOKUP(Wed_W2[[#This Row],[Employee Name]],'Base Schedules'!$A$205:$AW$241,19,FALSE)),"")</f>
        <v/>
      </c>
      <c r="U35" s="184" t="str">
        <f>IFERROR(IF(VLOOKUP(Wed_W2[[#This Row],[Employee Name]],'Base Schedules'!$A$205:$AW$241,20,FALSE)="","",VLOOKUP(Wed_W2[[#This Row],[Employee Name]],'Base Schedules'!$A$205:$AW$241,20,FALSE)),"")</f>
        <v/>
      </c>
      <c r="V35" s="184" t="str">
        <f>IFERROR(IF(VLOOKUP(Wed_W2[[#This Row],[Employee Name]],'Base Schedules'!$A$205:$AW$241,21,FALSE)="","",VLOOKUP(Wed_W2[[#This Row],[Employee Name]],'Base Schedules'!$A$205:$AW$241,21,FALSE)),"")</f>
        <v/>
      </c>
      <c r="W35" s="184" t="str">
        <f>IFERROR(IF(VLOOKUP(Wed_W2[[#This Row],[Employee Name]],'Base Schedules'!$A$205:$AW$241,22,FALSE)="","",VLOOKUP(Wed_W2[[#This Row],[Employee Name]],'Base Schedules'!$A$205:$AW$241,22,FALSE)),"")</f>
        <v/>
      </c>
      <c r="X35" s="184" t="str">
        <f>IFERROR(IF(VLOOKUP(Wed_W2[[#This Row],[Employee Name]],'Base Schedules'!$A$205:$AW$241,23,FALSE)="","",VLOOKUP(Wed_W2[[#This Row],[Employee Name]],'Base Schedules'!$A$205:$AW$241,23,FALSE)),"")</f>
        <v/>
      </c>
      <c r="Y35" s="184" t="str">
        <f>IFERROR(IF(VLOOKUP(Wed_W2[[#This Row],[Employee Name]],'Base Schedules'!$A$205:$AW$241,24,FALSE)="","",VLOOKUP(Wed_W2[[#This Row],[Employee Name]],'Base Schedules'!$A$205:$AW$241,24,FALSE)),"")</f>
        <v/>
      </c>
      <c r="Z35" s="184" t="str">
        <f>IFERROR(IF(VLOOKUP(Wed_W2[[#This Row],[Employee Name]],'Base Schedules'!$A$205:$AW$241,25,FALSE)="","",VLOOKUP(Wed_W2[[#This Row],[Employee Name]],'Base Schedules'!$A$205:$AW$241,25,FALSE)),"")</f>
        <v>ADM</v>
      </c>
      <c r="AA35" s="184" t="str">
        <f>IFERROR(IF(VLOOKUP(Wed_W2[[#This Row],[Employee Name]],'Base Schedules'!$A$205:$AW$241,26,FALSE)="","",VLOOKUP(Wed_W2[[#This Row],[Employee Name]],'Base Schedules'!$A$205:$AW$241,26,FALSE)),"")</f>
        <v>ADM</v>
      </c>
      <c r="AB35" s="184" t="str">
        <f>IFERROR(IF(VLOOKUP(Wed_W2[[#This Row],[Employee Name]],'Base Schedules'!$A$205:$AW$241,27,FALSE)="","",VLOOKUP(Wed_W2[[#This Row],[Employee Name]],'Base Schedules'!$A$205:$AW$241,27,FALSE)),"")</f>
        <v>RNNR</v>
      </c>
      <c r="AC35" s="184" t="str">
        <f>IFERROR(IF(VLOOKUP(Wed_W2[[#This Row],[Employee Name]],'Base Schedules'!$A$205:$AW$241,28,FALSE)="","",VLOOKUP(Wed_W2[[#This Row],[Employee Name]],'Base Schedules'!$A$205:$AW$241,28,FALSE)),"")</f>
        <v>RNNR</v>
      </c>
      <c r="AD35" s="184" t="str">
        <f>IFERROR(IF(VLOOKUP(Wed_W2[[#This Row],[Employee Name]],'Base Schedules'!$A$205:$AW$241,29,FALSE)="","",VLOOKUP(Wed_W2[[#This Row],[Employee Name]],'Base Schedules'!$A$205:$AW$241,29,FALSE)),"")</f>
        <v>B1 ADM</v>
      </c>
      <c r="AE35" s="184" t="str">
        <f>IFERROR(IF(VLOOKUP(Wed_W2[[#This Row],[Employee Name]],'Base Schedules'!$A$205:$AW$241,30,FALSE)="","",VLOOKUP(Wed_W2[[#This Row],[Employee Name]],'Base Schedules'!$A$205:$AW$241,30,FALSE)),"")</f>
        <v>ADM</v>
      </c>
      <c r="AF35" s="184" t="str">
        <f>IFERROR(IF(VLOOKUP(Wed_W2[[#This Row],[Employee Name]],'Base Schedules'!$A$205:$AW$241,31,FALSE)="","",VLOOKUP(Wed_W2[[#This Row],[Employee Name]],'Base Schedules'!$A$205:$AW$241,31,FALSE)),"")</f>
        <v>ADM</v>
      </c>
      <c r="AG35" s="184" t="str">
        <f>IFERROR(IF(VLOOKUP(Wed_W2[[#This Row],[Employee Name]],'Base Schedules'!$A$205:$AW$241,32,FALSE)="","",VLOOKUP(Wed_W2[[#This Row],[Employee Name]],'Base Schedules'!$A$205:$AW$241,32,FALSE)),"")</f>
        <v>HL</v>
      </c>
      <c r="AH35" s="184" t="str">
        <f>IFERROR(IF(VLOOKUP(Wed_W2[[#This Row],[Employee Name]],'Base Schedules'!$A$205:$AW$241,33,FALSE)="","",VLOOKUP(Wed_W2[[#This Row],[Employee Name]],'Base Schedules'!$A$205:$AW$241,33,FALSE)),"")</f>
        <v>LUNCH</v>
      </c>
      <c r="AI35" s="184" t="str">
        <f>IFERROR(IF(VLOOKUP(Wed_W2[[#This Row],[Employee Name]],'Base Schedules'!$A$205:$AW$241,34,FALSE)="","",VLOOKUP(Wed_W2[[#This Row],[Employee Name]],'Base Schedules'!$A$205:$AW$241,34,FALSE)),"")</f>
        <v>HL</v>
      </c>
      <c r="AJ35" s="184" t="str">
        <f>IFERROR(IF(VLOOKUP(Wed_W2[[#This Row],[Employee Name]],'Base Schedules'!$A$205:$AW$241,35,FALSE)="","",VLOOKUP(Wed_W2[[#This Row],[Employee Name]],'Base Schedules'!$A$205:$AW$241,35,FALSE)),"")</f>
        <v>PROJECT</v>
      </c>
      <c r="AK35" s="184" t="str">
        <f>IFERROR(IF(VLOOKUP(Wed_W2[[#This Row],[Employee Name]],'Base Schedules'!$A$205:$AW$241,36,FALSE)="","",VLOOKUP(Wed_W2[[#This Row],[Employee Name]],'Base Schedules'!$A$205:$AW$241,36,FALSE)),"")</f>
        <v>PROJECT</v>
      </c>
      <c r="AL35" s="184" t="str">
        <f>IFERROR(IF(VLOOKUP(Wed_W2[[#This Row],[Employee Name]],'Base Schedules'!$A$205:$AW$241,37,FALSE)="","",VLOOKUP(Wed_W2[[#This Row],[Employee Name]],'Base Schedules'!$A$205:$AW$241,37,FALSE)),"")</f>
        <v>HL</v>
      </c>
      <c r="AM35" s="184" t="str">
        <f>IFERROR(IF(VLOOKUP(Wed_W2[[#This Row],[Employee Name]],'Base Schedules'!$A$205:$AW$241,38,FALSE)="","",VLOOKUP(Wed_W2[[#This Row],[Employee Name]],'Base Schedules'!$A$205:$AW$241,38,FALSE)),"")</f>
        <v>ADM B2</v>
      </c>
      <c r="AN35" s="184" t="str">
        <f>IFERROR(IF(VLOOKUP(Wed_W2[[#This Row],[Employee Name]],'Base Schedules'!$A$205:$AW$241,39,FALSE)="","",VLOOKUP(Wed_W2[[#This Row],[Employee Name]],'Base Schedules'!$A$205:$AW$241,39,FALSE)),"")</f>
        <v>HL</v>
      </c>
      <c r="AO35" s="184" t="str">
        <f>IFERROR(IF(VLOOKUP(Wed_W2[[#This Row],[Employee Name]],'Base Schedules'!$A$205:$AW$241,40,FALSE)="","",VLOOKUP(Wed_W2[[#This Row],[Employee Name]],'Base Schedules'!$A$205:$AW$241,40,FALSE)),"")</f>
        <v>HL</v>
      </c>
      <c r="AP35" s="184" t="str">
        <f>IFERROR(IF(VLOOKUP(Wed_W2[[#This Row],[Employee Name]],'Base Schedules'!$A$205:$AW$241,41,FALSE)="","",VLOOKUP(Wed_W2[[#This Row],[Employee Name]],'Base Schedules'!$A$205:$AW$241,41,FALSE)),"")</f>
        <v>HL</v>
      </c>
      <c r="AQ35" s="184" t="str">
        <f>IFERROR(IF(VLOOKUP(Wed_W2[[#This Row],[Employee Name]],'Base Schedules'!$A$205:$AW$241,42,FALSE)="","",VLOOKUP(Wed_W2[[#This Row],[Employee Name]],'Base Schedules'!$A$205:$AW$241,42,FALSE)),"")</f>
        <v/>
      </c>
      <c r="AR35" s="184" t="str">
        <f>IFERROR(IF(VLOOKUP(Wed_W2[[#This Row],[Employee Name]],'Base Schedules'!$A$205:$AW$241,43,FALSE)="","",VLOOKUP(Wed_W2[[#This Row],[Employee Name]],'Base Schedules'!$A$205:$AW$241,43,FALSE)),"")</f>
        <v/>
      </c>
      <c r="AS35" s="184" t="str">
        <f>IFERROR(IF(VLOOKUP(Wed_W2[[#This Row],[Employee Name]],'Base Schedules'!$A$205:$AW$241,44,FALSE)="","",VLOOKUP(Wed_W2[[#This Row],[Employee Name]],'Base Schedules'!$A$205:$AW$241,44,FALSE)),"")</f>
        <v/>
      </c>
      <c r="AT35" s="184" t="str">
        <f>IFERROR(IF(VLOOKUP(Wed_W2[[#This Row],[Employee Name]],'Base Schedules'!$A$205:$AW$241,45,FALSE)="","",VLOOKUP(Wed_W2[[#This Row],[Employee Name]],'Base Schedules'!$A$205:$AW$241,45,FALSE)),"")</f>
        <v/>
      </c>
      <c r="AU35" s="184" t="str">
        <f>IFERROR(IF(VLOOKUP(Wed_W2[[#This Row],[Employee Name]],'Base Schedules'!$A$205:$AW$241,46,FALSE)="","",VLOOKUP(Wed_W2[[#This Row],[Employee Name]],'Base Schedules'!$A$205:$AW$241,46,FALSE)),"")</f>
        <v/>
      </c>
      <c r="AV35" s="184" t="str">
        <f>IFERROR(IF(VLOOKUP(Wed_W2[[#This Row],[Employee Name]],'Base Schedules'!$A$205:$AW$241,47,FALSE)="","",VLOOKUP(Wed_W2[[#This Row],[Employee Name]],'Base Schedules'!$A$205:$AW$241,47,FALSE)),"")</f>
        <v/>
      </c>
      <c r="AW35" s="184" t="str">
        <f>IFERROR(IF(VLOOKUP(Wed_W2[[#This Row],[Employee Name]],'Base Schedules'!$A$205:$AW$241,48,FALSE)="","",VLOOKUP(Wed_W2[[#This Row],[Employee Name]],'Base Schedules'!$A$205:$AW$241,48,FALSE)),"")</f>
        <v/>
      </c>
      <c r="AX35" s="184" t="str">
        <f>IFERROR(IF(VLOOKUP(Wed_W2[[#This Row],[Employee Name]],'Base Schedules'!$A$205:$AW$241,49,FALSE)="","",VLOOKUP(Wed_W2[[#This Row],[Employee Name]],'Base Schedules'!$A$205:$AW$241,49,FALSE)),"")</f>
        <v/>
      </c>
      <c r="AY35" s="159" t="str">
        <f t="shared" si="2"/>
        <v>Mood, Ken</v>
      </c>
    </row>
    <row r="36" spans="1:51" s="44" customFormat="1" ht="12" customHeight="1" x14ac:dyDescent="0.2">
      <c r="A36" s="39" t="e">
        <f>IF(B36="","",INDEX(TeamList[],MATCH($B36,TeamList[[Employee Name]:[Employee Name]],0),MATCH("Manager",TeamList[#Headers],0)))</f>
        <v>#N/A</v>
      </c>
      <c r="B36" s="201" t="s">
        <v>586</v>
      </c>
      <c r="C36" s="257" t="str">
        <f>_xlfn.IFNA(VLOOKUP(Wed_W2[[#This Row],[Employee Name]],'Base Schedules'!A:B,2,FALSE),"")</f>
        <v>Lead</v>
      </c>
      <c r="D36" s="274">
        <f>_xlfn.IFNA(VLOOKUP(Wed_W2[[#This Row],[Employee Name]],'Base Schedules'!A:C,3,FALSE),"")</f>
        <v>1330</v>
      </c>
      <c r="E36" s="274">
        <f>_xlfn.IFNA(VLOOKUP(Wed_W2[[#This Row],[Employee Name]],'Base Schedules'!A:D,4,FALSE),"")</f>
        <v>2200</v>
      </c>
      <c r="F36" s="142">
        <f>IF(Wed_W2[[#This Row],[Employee Name]]="","",IF(Wed_W2[[#This Row],[Dept]]="Supervisor",COUNTIFS($J36:$AX36,"*HL*",$J36:$AX36,"&lt;&gt;"&amp;"pHL"),COUNTIFS($J36:$AX36,"*HL*",$J36:$AX36,"&lt;&gt;"&amp;"*pHL*",$J36:$AX36,"&lt;&gt;"&amp;"pB1 HL",$J36:$AX36,"&lt;&gt;"&amp;"pB2 HL")-SUM(COUNTIFS($J36:$AX36,"*HL B1*",$J36:$AX36,"&lt;&gt;"&amp;"pHL B1")*0.5,COUNTIFS($J36:$AX36,"*HL B2*",$J36:$AX36,"&lt;&gt;"&amp;"pHL B2")*0.5,COUNTIFS($J36:$AX36,"*B1 HL*",$J36:$AX36,"&lt;&gt;"&amp;"pB1 HL")*0.5,COUNTIFS($J36:$AX36,"*B2 HL*",$J36:$AX36,"&lt;&gt;"&amp;"pB2 HL")*0.5)))</f>
        <v>6.5</v>
      </c>
      <c r="G36" s="142">
        <f t="shared" si="0"/>
        <v>0</v>
      </c>
      <c r="H36" s="142">
        <f t="shared" si="1"/>
        <v>6</v>
      </c>
      <c r="I36" s="142">
        <f>IF(Wed_W2[[#This Row],[Employee Name]]="","",IF(Wed_W2[[#This Row],[Dept]]="Supervisor",SUM(COUNTIFS($J36:$AX36,"RTA*",$J36:$AX36,"&lt;&gt;"&amp;"pRTA"),COUNTIFS($J36:$AX36,"*CRTA*",$J36:$AX36,"&lt;&gt;"&amp;"pCRTA")),COUNTIFS($J36:$AX36,"*RNNR*",$J36:$AX36,"&lt;&gt;"&amp;"*pRNNR*",$J36:$AX36,"&lt;&gt;"&amp;"pB1 RNNR",$J36:$AX36,"&lt;&gt;"&amp;"pB2 RNNR")-SUM(COUNTIFS($J36:$AX36,"*RNNR B1*",$J36:$AX36,"&lt;&gt;"&amp;"pRNNR B1")*0.5,COUNTIFS($J36:$AX36,"*RNNR B2*",$J36:$AX36,"&lt;&gt;"&amp;"pRNNR B2")*0.5,COUNTIFS($J36:$AX36,"*B1 RNNR*",$J36:$AX36,"&lt;&gt;"&amp;"pB1 RNNR")*0.5,COUNTIFS($J36:$AX36,"*B2 RNNR*",$J36:$AX36,"&lt;&gt;"&amp;"pB2 RNNR")*0.5)))</f>
        <v>3</v>
      </c>
      <c r="J36" s="184" t="str">
        <f>IFERROR(IF(VLOOKUP(Wed_W2[[#This Row],[Employee Name]],'Base Schedules'!$A$205:$AW$241,9,FALSE)="","",VLOOKUP(Wed_W2[[#This Row],[Employee Name]],'Base Schedules'!$A$205:$AW$241,9,FALSE)),"")</f>
        <v/>
      </c>
      <c r="K36" s="184" t="str">
        <f>IFERROR(IF(VLOOKUP(Wed_W2[[#This Row],[Employee Name]],'Base Schedules'!$A$205:$AW$241,10,FALSE)="","",VLOOKUP(Wed_W2[[#This Row],[Employee Name]],'Base Schedules'!$A$205:$AW$241,10,FALSE)),"")</f>
        <v/>
      </c>
      <c r="L36" s="184" t="str">
        <f>IFERROR(IF(VLOOKUP(Wed_W2[[#This Row],[Employee Name]],'Base Schedules'!$A$205:$AW$241,11,FALSE)="","",VLOOKUP(Wed_W2[[#This Row],[Employee Name]],'Base Schedules'!$A$205:$AW$241,11,FALSE)),"")</f>
        <v/>
      </c>
      <c r="M36" s="184" t="str">
        <f>IFERROR(IF(VLOOKUP(Wed_W2[[#This Row],[Employee Name]],'Base Schedules'!$A$205:$AW$241,12,FALSE)="","",VLOOKUP(Wed_W2[[#This Row],[Employee Name]],'Base Schedules'!$A$205:$AW$241,12,FALSE)),"")</f>
        <v/>
      </c>
      <c r="N36" s="184" t="str">
        <f>IFERROR(IF(VLOOKUP(Wed_W2[[#This Row],[Employee Name]],'Base Schedules'!$A$205:$AW$241,13,FALSE)="","",VLOOKUP(Wed_W2[[#This Row],[Employee Name]],'Base Schedules'!$A$205:$AW$241,13,FALSE)),"")</f>
        <v/>
      </c>
      <c r="O36" s="184" t="str">
        <f>IFERROR(IF(VLOOKUP(Wed_W2[[#This Row],[Employee Name]],'Base Schedules'!$A$205:$AW$241,14,FALSE)="","",VLOOKUP(Wed_W2[[#This Row],[Employee Name]],'Base Schedules'!$A$205:$AW$241,14,FALSE)),"")</f>
        <v/>
      </c>
      <c r="P36" s="184" t="str">
        <f>IFERROR(IF(VLOOKUP(Wed_W2[[#This Row],[Employee Name]],'Base Schedules'!$A$205:$AW$241,15,FALSE)="","",VLOOKUP(Wed_W2[[#This Row],[Employee Name]],'Base Schedules'!$A$205:$AW$241,15,FALSE)),"")</f>
        <v/>
      </c>
      <c r="Q36" s="184" t="str">
        <f>IFERROR(IF(VLOOKUP(Wed_W2[[#This Row],[Employee Name]],'Base Schedules'!$A$205:$AW$241,16,FALSE)="","",VLOOKUP(Wed_W2[[#This Row],[Employee Name]],'Base Schedules'!$A$205:$AW$241,16,FALSE)),"")</f>
        <v/>
      </c>
      <c r="R36" s="184" t="str">
        <f>IFERROR(IF(VLOOKUP(Wed_W2[[#This Row],[Employee Name]],'Base Schedules'!$A$205:$AW$241,17,FALSE)="","",VLOOKUP(Wed_W2[[#This Row],[Employee Name]],'Base Schedules'!$A$205:$AW$241,17,FALSE)),"")</f>
        <v/>
      </c>
      <c r="S36" s="184" t="str">
        <f>IFERROR(IF(VLOOKUP(Wed_W2[[#This Row],[Employee Name]],'Base Schedules'!$A$205:$AW$241,18,FALSE)="","",VLOOKUP(Wed_W2[[#This Row],[Employee Name]],'Base Schedules'!$A$205:$AW$241,18,FALSE)),"")</f>
        <v/>
      </c>
      <c r="T36" s="184" t="str">
        <f>IFERROR(IF(VLOOKUP(Wed_W2[[#This Row],[Employee Name]],'Base Schedules'!$A$205:$AW$241,19,FALSE)="","",VLOOKUP(Wed_W2[[#This Row],[Employee Name]],'Base Schedules'!$A$205:$AW$241,19,FALSE)),"")</f>
        <v/>
      </c>
      <c r="U36" s="184" t="str">
        <f>IFERROR(IF(VLOOKUP(Wed_W2[[#This Row],[Employee Name]],'Base Schedules'!$A$205:$AW$241,20,FALSE)="","",VLOOKUP(Wed_W2[[#This Row],[Employee Name]],'Base Schedules'!$A$205:$AW$241,20,FALSE)),"")</f>
        <v/>
      </c>
      <c r="V36" s="184" t="str">
        <f>IFERROR(IF(VLOOKUP(Wed_W2[[#This Row],[Employee Name]],'Base Schedules'!$A$205:$AW$241,21,FALSE)="","",VLOOKUP(Wed_W2[[#This Row],[Employee Name]],'Base Schedules'!$A$205:$AW$241,21,FALSE)),"")</f>
        <v/>
      </c>
      <c r="W36" s="184" t="str">
        <f>IFERROR(IF(VLOOKUP(Wed_W2[[#This Row],[Employee Name]],'Base Schedules'!$A$205:$AW$241,22,FALSE)="","",VLOOKUP(Wed_W2[[#This Row],[Employee Name]],'Base Schedules'!$A$205:$AW$241,22,FALSE)),"")</f>
        <v/>
      </c>
      <c r="X36" s="184" t="str">
        <f>IFERROR(IF(VLOOKUP(Wed_W2[[#This Row],[Employee Name]],'Base Schedules'!$A$205:$AW$241,23,FALSE)="","",VLOOKUP(Wed_W2[[#This Row],[Employee Name]],'Base Schedules'!$A$205:$AW$241,23,FALSE)),"")</f>
        <v/>
      </c>
      <c r="Y36" s="184" t="str">
        <f>IFERROR(IF(VLOOKUP(Wed_W2[[#This Row],[Employee Name]],'Base Schedules'!$A$205:$AW$241,24,FALSE)="","",VLOOKUP(Wed_W2[[#This Row],[Employee Name]],'Base Schedules'!$A$205:$AW$241,24,FALSE)),"")</f>
        <v/>
      </c>
      <c r="Z36" s="184" t="str">
        <f>IFERROR(IF(VLOOKUP(Wed_W2[[#This Row],[Employee Name]],'Base Schedules'!$A$205:$AW$241,25,FALSE)="","",VLOOKUP(Wed_W2[[#This Row],[Employee Name]],'Base Schedules'!$A$205:$AW$241,25,FALSE)),"")</f>
        <v/>
      </c>
      <c r="AA36" s="184" t="str">
        <f>IFERROR(IF(VLOOKUP(Wed_W2[[#This Row],[Employee Name]],'Base Schedules'!$A$205:$AW$241,26,FALSE)="","",VLOOKUP(Wed_W2[[#This Row],[Employee Name]],'Base Schedules'!$A$205:$AW$241,26,FALSE)),"")</f>
        <v>HL</v>
      </c>
      <c r="AB36" s="184" t="str">
        <f>IFERROR(IF(VLOOKUP(Wed_W2[[#This Row],[Employee Name]],'Base Schedules'!$A$205:$AW$241,27,FALSE)="","",VLOOKUP(Wed_W2[[#This Row],[Employee Name]],'Base Schedules'!$A$205:$AW$241,27,FALSE)),"")</f>
        <v>HL</v>
      </c>
      <c r="AC36" s="184" t="str">
        <f>IFERROR(IF(VLOOKUP(Wed_W2[[#This Row],[Employee Name]],'Base Schedules'!$A$205:$AW$241,28,FALSE)="","",VLOOKUP(Wed_W2[[#This Row],[Employee Name]],'Base Schedules'!$A$205:$AW$241,28,FALSE)),"")</f>
        <v>HL</v>
      </c>
      <c r="AD36" s="184" t="str">
        <f>IFERROR(IF(VLOOKUP(Wed_W2[[#This Row],[Employee Name]],'Base Schedules'!$A$205:$AW$241,29,FALSE)="","",VLOOKUP(Wed_W2[[#This Row],[Employee Name]],'Base Schedules'!$A$205:$AW$241,29,FALSE)),"")</f>
        <v>ADM</v>
      </c>
      <c r="AE36" s="184" t="str">
        <f>IFERROR(IF(VLOOKUP(Wed_W2[[#This Row],[Employee Name]],'Base Schedules'!$A$205:$AW$241,30,FALSE)="","",VLOOKUP(Wed_W2[[#This Row],[Employee Name]],'Base Schedules'!$A$205:$AW$241,30,FALSE)),"")</f>
        <v>B1 ADM</v>
      </c>
      <c r="AF36" s="184" t="str">
        <f>IFERROR(IF(VLOOKUP(Wed_W2[[#This Row],[Employee Name]],'Base Schedules'!$A$205:$AW$241,31,FALSE)="","",VLOOKUP(Wed_W2[[#This Row],[Employee Name]],'Base Schedules'!$A$205:$AW$241,31,FALSE)),"")</f>
        <v>ADM</v>
      </c>
      <c r="AG36" s="184" t="str">
        <f>IFERROR(IF(VLOOKUP(Wed_W2[[#This Row],[Employee Name]],'Base Schedules'!$A$205:$AW$241,32,FALSE)="","",VLOOKUP(Wed_W2[[#This Row],[Employee Name]],'Base Schedules'!$A$205:$AW$241,32,FALSE)),"")</f>
        <v>RNNR</v>
      </c>
      <c r="AH36" s="184" t="str">
        <f>IFERROR(IF(VLOOKUP(Wed_W2[[#This Row],[Employee Name]],'Base Schedules'!$A$205:$AW$241,33,FALSE)="","",VLOOKUP(Wed_W2[[#This Row],[Employee Name]],'Base Schedules'!$A$205:$AW$241,33,FALSE)),"")</f>
        <v>RNNR</v>
      </c>
      <c r="AI36" s="184" t="str">
        <f>IFERROR(IF(VLOOKUP(Wed_W2[[#This Row],[Employee Name]],'Base Schedules'!$A$205:$AW$241,34,FALSE)="","",VLOOKUP(Wed_W2[[#This Row],[Employee Name]],'Base Schedules'!$A$205:$AW$241,34,FALSE)),"")</f>
        <v>RNNR</v>
      </c>
      <c r="AJ36" s="184" t="str">
        <f>IFERROR(IF(VLOOKUP(Wed_W2[[#This Row],[Employee Name]],'Base Schedules'!$A$205:$AW$241,35,FALSE)="","",VLOOKUP(Wed_W2[[#This Row],[Employee Name]],'Base Schedules'!$A$205:$AW$241,35,FALSE)),"")</f>
        <v>LUNCH</v>
      </c>
      <c r="AK36" s="184" t="str">
        <f>IFERROR(IF(VLOOKUP(Wed_W2[[#This Row],[Employee Name]],'Base Schedules'!$A$205:$AW$241,36,FALSE)="","",VLOOKUP(Wed_W2[[#This Row],[Employee Name]],'Base Schedules'!$A$205:$AW$241,36,FALSE)),"")</f>
        <v>HL</v>
      </c>
      <c r="AL36" s="184" t="str">
        <f>IFERROR(IF(VLOOKUP(Wed_W2[[#This Row],[Employee Name]],'Base Schedules'!$A$205:$AW$241,37,FALSE)="","",VLOOKUP(Wed_W2[[#This Row],[Employee Name]],'Base Schedules'!$A$205:$AW$241,37,FALSE)),"")</f>
        <v>HL</v>
      </c>
      <c r="AM36" s="184" t="str">
        <f>IFERROR(IF(VLOOKUP(Wed_W2[[#This Row],[Employee Name]],'Base Schedules'!$A$205:$AW$241,38,FALSE)="","",VLOOKUP(Wed_W2[[#This Row],[Employee Name]],'Base Schedules'!$A$205:$AW$241,38,FALSE)),"")</f>
        <v>HL</v>
      </c>
      <c r="AN36" s="184" t="str">
        <f>IFERROR(IF(VLOOKUP(Wed_W2[[#This Row],[Employee Name]],'Base Schedules'!$A$205:$AW$241,39,FALSE)="","",VLOOKUP(Wed_W2[[#This Row],[Employee Name]],'Base Schedules'!$A$205:$AW$241,39,FALSE)),"")</f>
        <v>HL B2</v>
      </c>
      <c r="AO36" s="184" t="str">
        <f>IFERROR(IF(VLOOKUP(Wed_W2[[#This Row],[Employee Name]],'Base Schedules'!$A$205:$AW$241,40,FALSE)="","",VLOOKUP(Wed_W2[[#This Row],[Employee Name]],'Base Schedules'!$A$205:$AW$241,40,FALSE)),"")</f>
        <v>ADM</v>
      </c>
      <c r="AP36" s="184" t="str">
        <f>IFERROR(IF(VLOOKUP(Wed_W2[[#This Row],[Employee Name]],'Base Schedules'!$A$205:$AW$241,41,FALSE)="","",VLOOKUP(Wed_W2[[#This Row],[Employee Name]],'Base Schedules'!$A$205:$AW$241,41,FALSE)),"")</f>
        <v>ADM</v>
      </c>
      <c r="AQ36" s="184" t="str">
        <f>IFERROR(IF(VLOOKUP(Wed_W2[[#This Row],[Employee Name]],'Base Schedules'!$A$205:$AW$241,42,FALSE)="","",VLOOKUP(Wed_W2[[#This Row],[Employee Name]],'Base Schedules'!$A$205:$AW$241,42,FALSE)),"")</f>
        <v>ADM</v>
      </c>
      <c r="AR36" s="184" t="str">
        <f>IFERROR(IF(VLOOKUP(Wed_W2[[#This Row],[Employee Name]],'Base Schedules'!$A$205:$AW$241,43,FALSE)="","",VLOOKUP(Wed_W2[[#This Row],[Employee Name]],'Base Schedules'!$A$205:$AW$241,43,FALSE)),"")</f>
        <v/>
      </c>
      <c r="AS36" s="184" t="str">
        <f>IFERROR(IF(VLOOKUP(Wed_W2[[#This Row],[Employee Name]],'Base Schedules'!$A$205:$AW$241,44,FALSE)="","",VLOOKUP(Wed_W2[[#This Row],[Employee Name]],'Base Schedules'!$A$205:$AW$241,44,FALSE)),"")</f>
        <v/>
      </c>
      <c r="AT36" s="184" t="str">
        <f>IFERROR(IF(VLOOKUP(Wed_W2[[#This Row],[Employee Name]],'Base Schedules'!$A$205:$AW$241,45,FALSE)="","",VLOOKUP(Wed_W2[[#This Row],[Employee Name]],'Base Schedules'!$A$205:$AW$241,45,FALSE)),"")</f>
        <v/>
      </c>
      <c r="AU36" s="184" t="str">
        <f>IFERROR(IF(VLOOKUP(Wed_W2[[#This Row],[Employee Name]],'Base Schedules'!$A$205:$AW$241,46,FALSE)="","",VLOOKUP(Wed_W2[[#This Row],[Employee Name]],'Base Schedules'!$A$205:$AW$241,46,FALSE)),"")</f>
        <v/>
      </c>
      <c r="AV36" s="184" t="str">
        <f>IFERROR(IF(VLOOKUP(Wed_W2[[#This Row],[Employee Name]],'Base Schedules'!$A$205:$AW$241,47,FALSE)="","",VLOOKUP(Wed_W2[[#This Row],[Employee Name]],'Base Schedules'!$A$205:$AW$241,47,FALSE)),"")</f>
        <v/>
      </c>
      <c r="AW36" s="184" t="str">
        <f>IFERROR(IF(VLOOKUP(Wed_W2[[#This Row],[Employee Name]],'Base Schedules'!$A$205:$AW$241,48,FALSE)="","",VLOOKUP(Wed_W2[[#This Row],[Employee Name]],'Base Schedules'!$A$205:$AW$241,48,FALSE)),"")</f>
        <v/>
      </c>
      <c r="AX36" s="184" t="str">
        <f>IFERROR(IF(VLOOKUP(Wed_W2[[#This Row],[Employee Name]],'Base Schedules'!$A$205:$AW$241,49,FALSE)="","",VLOOKUP(Wed_W2[[#This Row],[Employee Name]],'Base Schedules'!$A$205:$AW$241,49,FALSE)),"")</f>
        <v/>
      </c>
      <c r="AY36" s="245" t="str">
        <f t="shared" si="2"/>
        <v>Harris, Austin</v>
      </c>
    </row>
    <row r="37" spans="1:51" s="44" customFormat="1" ht="12" customHeight="1" x14ac:dyDescent="0.2">
      <c r="A37" s="39" t="str">
        <f>IF(B37="","",INDEX(TeamList[],MATCH($B37,TeamList[[Employee Name]:[Employee Name]],0),MATCH("Manager",TeamList[#Headers],0)))</f>
        <v>Ahmed Hassan, Zahra</v>
      </c>
      <c r="B37" s="334" t="s">
        <v>245</v>
      </c>
      <c r="C37" s="257" t="str">
        <f>_xlfn.IFNA(VLOOKUP(Wed_W2[[#This Row],[Employee Name]],'Base Schedules'!A:B,2,FALSE),"")</f>
        <v>Supervisor</v>
      </c>
      <c r="D37" s="274">
        <f>_xlfn.IFNA(VLOOKUP(Wed_W2[[#This Row],[Employee Name]],'Base Schedules'!A:C,3,FALSE),"")</f>
        <v>1400</v>
      </c>
      <c r="E37" s="274">
        <f>_xlfn.IFNA(VLOOKUP(Wed_W2[[#This Row],[Employee Name]],'Base Schedules'!A:D,4,FALSE),"")</f>
        <v>100</v>
      </c>
      <c r="F37" s="142">
        <f>IF(Wed_W2[[#This Row],[Employee Name]]="","",IF(Wed_W2[[#This Row],[Dept]]="Supervisor",COUNTIFS($J37:$AX37,"*HL*",$J37:$AX37,"&lt;&gt;"&amp;"pHL"),COUNTIFS($J37:$AX37,"*HL*",$J37:$AX37,"&lt;&gt;"&amp;"*pHL*",$J37:$AX37,"&lt;&gt;"&amp;"pB1 HL",$J37:$AX37,"&lt;&gt;"&amp;"pB2 HL")-SUM(COUNTIFS($J37:$AX37,"*HL B1*",$J37:$AX37,"&lt;&gt;"&amp;"pHL B1")*0.5,COUNTIFS($J37:$AX37,"*HL B2*",$J37:$AX37,"&lt;&gt;"&amp;"pHL B2")*0.5,COUNTIFS($J37:$AX37,"*B1 HL*",$J37:$AX37,"&lt;&gt;"&amp;"pB1 HL")*0.5,COUNTIFS($J37:$AX37,"*B2 HL*",$J37:$AX37,"&lt;&gt;"&amp;"pB2 HL")*0.5)))</f>
        <v>0</v>
      </c>
      <c r="G37" s="142">
        <f t="shared" si="0"/>
        <v>4</v>
      </c>
      <c r="H37" s="142">
        <f t="shared" si="1"/>
        <v>0</v>
      </c>
      <c r="I37" s="142">
        <f>IF(Wed_W2[[#This Row],[Employee Name]]="","",IF(Wed_W2[[#This Row],[Dept]]="Supervisor",SUM(COUNTIFS($J37:$AX37,"RTA*",$J37:$AX37,"&lt;&gt;"&amp;"pRTA"),COUNTIFS($J37:$AX37,"*CRTA*",$J37:$AX37,"&lt;&gt;"&amp;"pCRTA")),COUNTIFS($J37:$AX37,"*RNNR*",$J37:$AX37,"&lt;&gt;"&amp;"*pRNNR*",$J37:$AX37,"&lt;&gt;"&amp;"pB1 RNNR",$J37:$AX37,"&lt;&gt;"&amp;"pB2 RNNR")-SUM(COUNTIFS($J37:$AX37,"*RNNR B1*",$J37:$AX37,"&lt;&gt;"&amp;"pRNNR B1")*0.5,COUNTIFS($J37:$AX37,"*RNNR B2*",$J37:$AX37,"&lt;&gt;"&amp;"pRNNR B2")*0.5,COUNTIFS($J37:$AX37,"*B1 RNNR*",$J37:$AX37,"&lt;&gt;"&amp;"pB1 RNNR")*0.5,COUNTIFS($J37:$AX37,"*B2 RNNR*",$J37:$AX37,"&lt;&gt;"&amp;"pB2 RNNR")*0.5)))</f>
        <v>0</v>
      </c>
      <c r="J37" s="184" t="str">
        <f>IFERROR(IF(VLOOKUP(Wed_W2[[#This Row],[Employee Name]],'Base Schedules'!$A$205:$AW$241,9,FALSE)="","",VLOOKUP(Wed_W2[[#This Row],[Employee Name]],'Base Schedules'!$A$205:$AW$241,9,FALSE)),"")</f>
        <v/>
      </c>
      <c r="K37" s="184" t="str">
        <f>IFERROR(IF(VLOOKUP(Wed_W2[[#This Row],[Employee Name]],'Base Schedules'!$A$205:$AW$241,10,FALSE)="","",VLOOKUP(Wed_W2[[#This Row],[Employee Name]],'Base Schedules'!$A$205:$AW$241,10,FALSE)),"")</f>
        <v/>
      </c>
      <c r="L37" s="184" t="str">
        <f>IFERROR(IF(VLOOKUP(Wed_W2[[#This Row],[Employee Name]],'Base Schedules'!$A$205:$AW$241,11,FALSE)="","",VLOOKUP(Wed_W2[[#This Row],[Employee Name]],'Base Schedules'!$A$205:$AW$241,11,FALSE)),"")</f>
        <v/>
      </c>
      <c r="M37" s="184" t="str">
        <f>IFERROR(IF(VLOOKUP(Wed_W2[[#This Row],[Employee Name]],'Base Schedules'!$A$205:$AW$241,12,FALSE)="","",VLOOKUP(Wed_W2[[#This Row],[Employee Name]],'Base Schedules'!$A$205:$AW$241,12,FALSE)),"")</f>
        <v/>
      </c>
      <c r="N37" s="184" t="str">
        <f>IFERROR(IF(VLOOKUP(Wed_W2[[#This Row],[Employee Name]],'Base Schedules'!$A$205:$AW$241,13,FALSE)="","",VLOOKUP(Wed_W2[[#This Row],[Employee Name]],'Base Schedules'!$A$205:$AW$241,13,FALSE)),"")</f>
        <v/>
      </c>
      <c r="O37" s="184" t="str">
        <f>IFERROR(IF(VLOOKUP(Wed_W2[[#This Row],[Employee Name]],'Base Schedules'!$A$205:$AW$241,14,FALSE)="","",VLOOKUP(Wed_W2[[#This Row],[Employee Name]],'Base Schedules'!$A$205:$AW$241,14,FALSE)),"")</f>
        <v/>
      </c>
      <c r="P37" s="184" t="str">
        <f>IFERROR(IF(VLOOKUP(Wed_W2[[#This Row],[Employee Name]],'Base Schedules'!$A$205:$AW$241,15,FALSE)="","",VLOOKUP(Wed_W2[[#This Row],[Employee Name]],'Base Schedules'!$A$205:$AW$241,15,FALSE)),"")</f>
        <v/>
      </c>
      <c r="Q37" s="184" t="str">
        <f>IFERROR(IF(VLOOKUP(Wed_W2[[#This Row],[Employee Name]],'Base Schedules'!$A$205:$AW$241,16,FALSE)="","",VLOOKUP(Wed_W2[[#This Row],[Employee Name]],'Base Schedules'!$A$205:$AW$241,16,FALSE)),"")</f>
        <v/>
      </c>
      <c r="R37" s="184" t="str">
        <f>IFERROR(IF(VLOOKUP(Wed_W2[[#This Row],[Employee Name]],'Base Schedules'!$A$205:$AW$241,17,FALSE)="","",VLOOKUP(Wed_W2[[#This Row],[Employee Name]],'Base Schedules'!$A$205:$AW$241,17,FALSE)),"")</f>
        <v/>
      </c>
      <c r="S37" s="184" t="str">
        <f>IFERROR(IF(VLOOKUP(Wed_W2[[#This Row],[Employee Name]],'Base Schedules'!$A$205:$AW$241,18,FALSE)="","",VLOOKUP(Wed_W2[[#This Row],[Employee Name]],'Base Schedules'!$A$205:$AW$241,18,FALSE)),"")</f>
        <v/>
      </c>
      <c r="T37" s="184" t="str">
        <f>IFERROR(IF(VLOOKUP(Wed_W2[[#This Row],[Employee Name]],'Base Schedules'!$A$205:$AW$241,19,FALSE)="","",VLOOKUP(Wed_W2[[#This Row],[Employee Name]],'Base Schedules'!$A$205:$AW$241,19,FALSE)),"")</f>
        <v/>
      </c>
      <c r="U37" s="184" t="str">
        <f>IFERROR(IF(VLOOKUP(Wed_W2[[#This Row],[Employee Name]],'Base Schedules'!$A$205:$AW$241,20,FALSE)="","",VLOOKUP(Wed_W2[[#This Row],[Employee Name]],'Base Schedules'!$A$205:$AW$241,20,FALSE)),"")</f>
        <v/>
      </c>
      <c r="V37" s="184" t="str">
        <f>IFERROR(IF(VLOOKUP(Wed_W2[[#This Row],[Employee Name]],'Base Schedules'!$A$205:$AW$241,21,FALSE)="","",VLOOKUP(Wed_W2[[#This Row],[Employee Name]],'Base Schedules'!$A$205:$AW$241,21,FALSE)),"")</f>
        <v/>
      </c>
      <c r="W37" s="184" t="str">
        <f>IFERROR(IF(VLOOKUP(Wed_W2[[#This Row],[Employee Name]],'Base Schedules'!$A$205:$AW$241,22,FALSE)="","",VLOOKUP(Wed_W2[[#This Row],[Employee Name]],'Base Schedules'!$A$205:$AW$241,22,FALSE)),"")</f>
        <v/>
      </c>
      <c r="X37" s="184" t="str">
        <f>IFERROR(IF(VLOOKUP(Wed_W2[[#This Row],[Employee Name]],'Base Schedules'!$A$205:$AW$241,23,FALSE)="","",VLOOKUP(Wed_W2[[#This Row],[Employee Name]],'Base Schedules'!$A$205:$AW$241,23,FALSE)),"")</f>
        <v/>
      </c>
      <c r="Y37" s="184" t="str">
        <f>IFERROR(IF(VLOOKUP(Wed_W2[[#This Row],[Employee Name]],'Base Schedules'!$A$205:$AW$241,24,FALSE)="","",VLOOKUP(Wed_W2[[#This Row],[Employee Name]],'Base Schedules'!$A$205:$AW$241,24,FALSE)),"")</f>
        <v/>
      </c>
      <c r="Z37" s="184" t="str">
        <f>IFERROR(IF(VLOOKUP(Wed_W2[[#This Row],[Employee Name]],'Base Schedules'!$A$205:$AW$241,25,FALSE)="","",VLOOKUP(Wed_W2[[#This Row],[Employee Name]],'Base Schedules'!$A$205:$AW$241,25,FALSE)),"")</f>
        <v/>
      </c>
      <c r="AA37" s="184" t="str">
        <f>IFERROR(IF(VLOOKUP(Wed_W2[[#This Row],[Employee Name]],'Base Schedules'!$A$205:$AW$241,26,FALSE)="","",VLOOKUP(Wed_W2[[#This Row],[Employee Name]],'Base Schedules'!$A$205:$AW$241,26,FALSE)),"")</f>
        <v/>
      </c>
      <c r="AB37" s="184" t="str">
        <f>IFERROR(IF(VLOOKUP(Wed_W2[[#This Row],[Employee Name]],'Base Schedules'!$A$205:$AW$241,27,FALSE)="","",VLOOKUP(Wed_W2[[#This Row],[Employee Name]],'Base Schedules'!$A$205:$AW$241,27,FALSE)),"")</f>
        <v>-</v>
      </c>
      <c r="AC37" s="184" t="str">
        <f>IFERROR(IF(VLOOKUP(Wed_W2[[#This Row],[Employee Name]],'Base Schedules'!$A$205:$AW$241,28,FALSE)="","",VLOOKUP(Wed_W2[[#This Row],[Employee Name]],'Base Schedules'!$A$205:$AW$241,28,FALSE)),"")</f>
        <v>-</v>
      </c>
      <c r="AD37" s="184" t="str">
        <f>IFERROR(IF(VLOOKUP(Wed_W2[[#This Row],[Employee Name]],'Base Schedules'!$A$205:$AW$241,29,FALSE)="","",VLOOKUP(Wed_W2[[#This Row],[Employee Name]],'Base Schedules'!$A$205:$AW$241,29,FALSE)),"")</f>
        <v>-</v>
      </c>
      <c r="AE37" s="184" t="str">
        <f>IFERROR(IF(VLOOKUP(Wed_W2[[#This Row],[Employee Name]],'Base Schedules'!$A$205:$AW$241,30,FALSE)="","",VLOOKUP(Wed_W2[[#This Row],[Employee Name]],'Base Schedules'!$A$205:$AW$241,30,FALSE)),"")</f>
        <v>-</v>
      </c>
      <c r="AF37" s="184" t="str">
        <f>IFERROR(IF(VLOOKUP(Wed_W2[[#This Row],[Employee Name]],'Base Schedules'!$A$205:$AW$241,31,FALSE)="","",VLOOKUP(Wed_W2[[#This Row],[Employee Name]],'Base Schedules'!$A$205:$AW$241,31,FALSE)),"")</f>
        <v>Team RL TM</v>
      </c>
      <c r="AG37" s="184" t="str">
        <f>IFERROR(IF(VLOOKUP(Wed_W2[[#This Row],[Employee Name]],'Base Schedules'!$A$205:$AW$241,32,FALSE)="","",VLOOKUP(Wed_W2[[#This Row],[Employee Name]],'Base Schedules'!$A$205:$AW$241,32,FALSE)),"")</f>
        <v>Team RL TM</v>
      </c>
      <c r="AH37" s="184" t="str">
        <f>IFERROR(IF(VLOOKUP(Wed_W2[[#This Row],[Employee Name]],'Base Schedules'!$A$205:$AW$241,33,FALSE)="","",VLOOKUP(Wed_W2[[#This Row],[Employee Name]],'Base Schedules'!$A$205:$AW$241,33,FALSE)),"")</f>
        <v>-</v>
      </c>
      <c r="AI37" s="184" t="str">
        <f>IFERROR(IF(VLOOKUP(Wed_W2[[#This Row],[Employee Name]],'Base Schedules'!$A$205:$AW$241,34,FALSE)="","",VLOOKUP(Wed_W2[[#This Row],[Employee Name]],'Base Schedules'!$A$205:$AW$241,34,FALSE)),"")</f>
        <v>-</v>
      </c>
      <c r="AJ37" s="184" t="str">
        <f>IFERROR(IF(VLOOKUP(Wed_W2[[#This Row],[Employee Name]],'Base Schedules'!$A$205:$AW$241,35,FALSE)="","",VLOOKUP(Wed_W2[[#This Row],[Employee Name]],'Base Schedules'!$A$205:$AW$241,35,FALSE)),"")</f>
        <v>-</v>
      </c>
      <c r="AK37" s="184" t="str">
        <f>IFERROR(IF(VLOOKUP(Wed_W2[[#This Row],[Employee Name]],'Base Schedules'!$A$205:$AW$241,36,FALSE)="","",VLOOKUP(Wed_W2[[#This Row],[Employee Name]],'Base Schedules'!$A$205:$AW$241,36,FALSE)),"")</f>
        <v>Coaching</v>
      </c>
      <c r="AL37" s="184" t="str">
        <f>IFERROR(IF(VLOOKUP(Wed_W2[[#This Row],[Employee Name]],'Base Schedules'!$A$205:$AW$241,37,FALSE)="","",VLOOKUP(Wed_W2[[#This Row],[Employee Name]],'Base Schedules'!$A$205:$AW$241,37,FALSE)),"")</f>
        <v>Coaching</v>
      </c>
      <c r="AM37" s="184" t="str">
        <f>IFERROR(IF(VLOOKUP(Wed_W2[[#This Row],[Employee Name]],'Base Schedules'!$A$205:$AW$241,38,FALSE)="","",VLOOKUP(Wed_W2[[#This Row],[Employee Name]],'Base Schedules'!$A$205:$AW$241,38,FALSE)),"")</f>
        <v>Coaching</v>
      </c>
      <c r="AN37" s="184" t="str">
        <f>IFERROR(IF(VLOOKUP(Wed_W2[[#This Row],[Employee Name]],'Base Schedules'!$A$205:$AW$241,39,FALSE)="","",VLOOKUP(Wed_W2[[#This Row],[Employee Name]],'Base Schedules'!$A$205:$AW$241,39,FALSE)),"")</f>
        <v>Coaching</v>
      </c>
      <c r="AO37" s="184" t="str">
        <f>IFERROR(IF(VLOOKUP(Wed_W2[[#This Row],[Employee Name]],'Base Schedules'!$A$205:$AW$241,40,FALSE)="","",VLOOKUP(Wed_W2[[#This Row],[Employee Name]],'Base Schedules'!$A$205:$AW$241,40,FALSE)),"")</f>
        <v>-</v>
      </c>
      <c r="AP37" s="184" t="str">
        <f>IFERROR(IF(VLOOKUP(Wed_W2[[#This Row],[Employee Name]],'Base Schedules'!$A$205:$AW$241,41,FALSE)="","",VLOOKUP(Wed_W2[[#This Row],[Employee Name]],'Base Schedules'!$A$205:$AW$241,41,FALSE)),"")</f>
        <v>-</v>
      </c>
      <c r="AQ37" s="184" t="str">
        <f>IFERROR(IF(VLOOKUP(Wed_W2[[#This Row],[Employee Name]],'Base Schedules'!$A$205:$AW$241,42,FALSE)="","",VLOOKUP(Wed_W2[[#This Row],[Employee Name]],'Base Schedules'!$A$205:$AW$241,42,FALSE)),"")</f>
        <v>-</v>
      </c>
      <c r="AR37" s="184" t="str">
        <f>IFERROR(IF(VLOOKUP(Wed_W2[[#This Row],[Employee Name]],'Base Schedules'!$A$205:$AW$241,43,FALSE)="","",VLOOKUP(Wed_W2[[#This Row],[Employee Name]],'Base Schedules'!$A$205:$AW$241,43,FALSE)),"")</f>
        <v>-</v>
      </c>
      <c r="AS37" s="184" t="str">
        <f>IFERROR(IF(VLOOKUP(Wed_W2[[#This Row],[Employee Name]],'Base Schedules'!$A$205:$AW$241,44,FALSE)="","",VLOOKUP(Wed_W2[[#This Row],[Employee Name]],'Base Schedules'!$A$205:$AW$241,44,FALSE)),"")</f>
        <v>-</v>
      </c>
      <c r="AT37" s="184" t="str">
        <f>IFERROR(IF(VLOOKUP(Wed_W2[[#This Row],[Employee Name]],'Base Schedules'!$A$205:$AW$241,45,FALSE)="","",VLOOKUP(Wed_W2[[#This Row],[Employee Name]],'Base Schedules'!$A$205:$AW$241,45,FALSE)),"")</f>
        <v>-</v>
      </c>
      <c r="AU37" s="184" t="str">
        <f>IFERROR(IF(VLOOKUP(Wed_W2[[#This Row],[Employee Name]],'Base Schedules'!$A$205:$AW$241,46,FALSE)="","",VLOOKUP(Wed_W2[[#This Row],[Employee Name]],'Base Schedules'!$A$205:$AW$241,46,FALSE)),"")</f>
        <v>-</v>
      </c>
      <c r="AV37" s="184" t="str">
        <f>IFERROR(IF(VLOOKUP(Wed_W2[[#This Row],[Employee Name]],'Base Schedules'!$A$205:$AW$241,47,FALSE)="","",VLOOKUP(Wed_W2[[#This Row],[Employee Name]],'Base Schedules'!$A$205:$AW$241,47,FALSE)),"")</f>
        <v>-</v>
      </c>
      <c r="AW37" s="184" t="str">
        <f>IFERROR(IF(VLOOKUP(Wed_W2[[#This Row],[Employee Name]],'Base Schedules'!$A$205:$AW$241,48,FALSE)="","",VLOOKUP(Wed_W2[[#This Row],[Employee Name]],'Base Schedules'!$A$205:$AW$241,48,FALSE)),"")</f>
        <v>-</v>
      </c>
      <c r="AX37" s="184" t="str">
        <f>IFERROR(IF(VLOOKUP(Wed_W2[[#This Row],[Employee Name]],'Base Schedules'!$A$205:$AW$241,49,FALSE)="","",VLOOKUP(Wed_W2[[#This Row],[Employee Name]],'Base Schedules'!$A$205:$AW$241,49,FALSE)),"")</f>
        <v/>
      </c>
      <c r="AY37" s="159" t="str">
        <f t="shared" si="2"/>
        <v>Donaca, Jeff</v>
      </c>
    </row>
    <row r="38" spans="1:51" s="44" customFormat="1" ht="12" customHeight="1" x14ac:dyDescent="0.2">
      <c r="A38" s="39" t="str">
        <f>IF(B38="","",INDEX(TeamList[],MATCH($B38,TeamList[[Employee Name]:[Employee Name]],0),MATCH("Manager",TeamList[#Headers],0)))</f>
        <v>Olson, Katherine</v>
      </c>
      <c r="B38" s="201" t="s">
        <v>232</v>
      </c>
      <c r="C38" s="257" t="str">
        <f>_xlfn.IFNA(VLOOKUP(Wed_W2[[#This Row],[Employee Name]],'Base Schedules'!A:B,2,FALSE),"")</f>
        <v>Lead</v>
      </c>
      <c r="D38" s="274">
        <f>_xlfn.IFNA(VLOOKUP(Wed_W2[[#This Row],[Employee Name]],'Base Schedules'!A:C,3,FALSE),"")</f>
        <v>1600</v>
      </c>
      <c r="E38" s="274">
        <f>_xlfn.IFNA(VLOOKUP(Wed_W2[[#This Row],[Employee Name]],'Base Schedules'!A:D,4,FALSE),"")</f>
        <v>100</v>
      </c>
      <c r="F38" s="142">
        <f>IF(Wed_W2[[#This Row],[Employee Name]]="","",IF(Wed_W2[[#This Row],[Dept]]="Supervisor",COUNTIFS($J38:$AX38,"*HL*",$J38:$AX38,"&lt;&gt;"&amp;"pHL"),COUNTIFS($J38:$AX38,"*HL*",$J38:$AX38,"&lt;&gt;"&amp;"*pHL*",$J38:$AX38,"&lt;&gt;"&amp;"pB1 HL",$J38:$AX38,"&lt;&gt;"&amp;"pB2 HL")-SUM(COUNTIFS($J38:$AX38,"*HL B1*",$J38:$AX38,"&lt;&gt;"&amp;"pHL B1")*0.5,COUNTIFS($J38:$AX38,"*HL B2*",$J38:$AX38,"&lt;&gt;"&amp;"pHL B2")*0.5,COUNTIFS($J38:$AX38,"*B1 HL*",$J38:$AX38,"&lt;&gt;"&amp;"pB1 HL")*0.5,COUNTIFS($J38:$AX38,"*B2 HL*",$J38:$AX38,"&lt;&gt;"&amp;"pB2 HL")*0.5)))</f>
        <v>8.5</v>
      </c>
      <c r="G38" s="142">
        <f t="shared" si="0"/>
        <v>0</v>
      </c>
      <c r="H38" s="142">
        <f t="shared" si="1"/>
        <v>5</v>
      </c>
      <c r="I38" s="142">
        <f>IF(Wed_W2[[#This Row],[Employee Name]]="","",IF(Wed_W2[[#This Row],[Dept]]="Supervisor",SUM(COUNTIFS($J38:$AX38,"RTA*",$J38:$AX38,"&lt;&gt;"&amp;"pRTA"),COUNTIFS($J38:$AX38,"*CRTA*",$J38:$AX38,"&lt;&gt;"&amp;"pCRTA")),COUNTIFS($J38:$AX38,"*RNNR*",$J38:$AX38,"&lt;&gt;"&amp;"*pRNNR*",$J38:$AX38,"&lt;&gt;"&amp;"pB1 RNNR",$J38:$AX38,"&lt;&gt;"&amp;"pB2 RNNR")-SUM(COUNTIFS($J38:$AX38,"*RNNR B1*",$J38:$AX38,"&lt;&gt;"&amp;"pRNNR B1")*0.5,COUNTIFS($J38:$AX38,"*RNNR B2*",$J38:$AX38,"&lt;&gt;"&amp;"pRNNR B2")*0.5,COUNTIFS($J38:$AX38,"*B1 RNNR*",$J38:$AX38,"&lt;&gt;"&amp;"pB1 RNNR")*0.5,COUNTIFS($J38:$AX38,"*B2 RNNR*",$J38:$AX38,"&lt;&gt;"&amp;"pB2 RNNR")*0.5)))</f>
        <v>2</v>
      </c>
      <c r="J38" s="184" t="str">
        <f>IFERROR(IF(VLOOKUP(Wed_W2[[#This Row],[Employee Name]],'Base Schedules'!$A$205:$AW$241,9,FALSE)="","",VLOOKUP(Wed_W2[[#This Row],[Employee Name]],'Base Schedules'!$A$205:$AW$241,9,FALSE)),"")</f>
        <v/>
      </c>
      <c r="K38" s="184" t="str">
        <f>IFERROR(IF(VLOOKUP(Wed_W2[[#This Row],[Employee Name]],'Base Schedules'!$A$205:$AW$241,10,FALSE)="","",VLOOKUP(Wed_W2[[#This Row],[Employee Name]],'Base Schedules'!$A$205:$AW$241,10,FALSE)),"")</f>
        <v/>
      </c>
      <c r="L38" s="184" t="str">
        <f>IFERROR(IF(VLOOKUP(Wed_W2[[#This Row],[Employee Name]],'Base Schedules'!$A$205:$AW$241,11,FALSE)="","",VLOOKUP(Wed_W2[[#This Row],[Employee Name]],'Base Schedules'!$A$205:$AW$241,11,FALSE)),"")</f>
        <v/>
      </c>
      <c r="M38" s="184" t="str">
        <f>IFERROR(IF(VLOOKUP(Wed_W2[[#This Row],[Employee Name]],'Base Schedules'!$A$205:$AW$241,12,FALSE)="","",VLOOKUP(Wed_W2[[#This Row],[Employee Name]],'Base Schedules'!$A$205:$AW$241,12,FALSE)),"")</f>
        <v/>
      </c>
      <c r="N38" s="184" t="str">
        <f>IFERROR(IF(VLOOKUP(Wed_W2[[#This Row],[Employee Name]],'Base Schedules'!$A$205:$AW$241,13,FALSE)="","",VLOOKUP(Wed_W2[[#This Row],[Employee Name]],'Base Schedules'!$A$205:$AW$241,13,FALSE)),"")</f>
        <v/>
      </c>
      <c r="O38" s="184" t="str">
        <f>IFERROR(IF(VLOOKUP(Wed_W2[[#This Row],[Employee Name]],'Base Schedules'!$A$205:$AW$241,14,FALSE)="","",VLOOKUP(Wed_W2[[#This Row],[Employee Name]],'Base Schedules'!$A$205:$AW$241,14,FALSE)),"")</f>
        <v/>
      </c>
      <c r="P38" s="184" t="str">
        <f>IFERROR(IF(VLOOKUP(Wed_W2[[#This Row],[Employee Name]],'Base Schedules'!$A$205:$AW$241,15,FALSE)="","",VLOOKUP(Wed_W2[[#This Row],[Employee Name]],'Base Schedules'!$A$205:$AW$241,15,FALSE)),"")</f>
        <v/>
      </c>
      <c r="Q38" s="184" t="str">
        <f>IFERROR(IF(VLOOKUP(Wed_W2[[#This Row],[Employee Name]],'Base Schedules'!$A$205:$AW$241,16,FALSE)="","",VLOOKUP(Wed_W2[[#This Row],[Employee Name]],'Base Schedules'!$A$205:$AW$241,16,FALSE)),"")</f>
        <v/>
      </c>
      <c r="R38" s="184" t="str">
        <f>IFERROR(IF(VLOOKUP(Wed_W2[[#This Row],[Employee Name]],'Base Schedules'!$A$205:$AW$241,17,FALSE)="","",VLOOKUP(Wed_W2[[#This Row],[Employee Name]],'Base Schedules'!$A$205:$AW$241,17,FALSE)),"")</f>
        <v/>
      </c>
      <c r="S38" s="184" t="str">
        <f>IFERROR(IF(VLOOKUP(Wed_W2[[#This Row],[Employee Name]],'Base Schedules'!$A$205:$AW$241,18,FALSE)="","",VLOOKUP(Wed_W2[[#This Row],[Employee Name]],'Base Schedules'!$A$205:$AW$241,18,FALSE)),"")</f>
        <v/>
      </c>
      <c r="T38" s="184" t="str">
        <f>IFERROR(IF(VLOOKUP(Wed_W2[[#This Row],[Employee Name]],'Base Schedules'!$A$205:$AW$241,19,FALSE)="","",VLOOKUP(Wed_W2[[#This Row],[Employee Name]],'Base Schedules'!$A$205:$AW$241,19,FALSE)),"")</f>
        <v/>
      </c>
      <c r="U38" s="184" t="str">
        <f>IFERROR(IF(VLOOKUP(Wed_W2[[#This Row],[Employee Name]],'Base Schedules'!$A$205:$AW$241,20,FALSE)="","",VLOOKUP(Wed_W2[[#This Row],[Employee Name]],'Base Schedules'!$A$205:$AW$241,20,FALSE)),"")</f>
        <v/>
      </c>
      <c r="V38" s="184" t="str">
        <f>IFERROR(IF(VLOOKUP(Wed_W2[[#This Row],[Employee Name]],'Base Schedules'!$A$205:$AW$241,21,FALSE)="","",VLOOKUP(Wed_W2[[#This Row],[Employee Name]],'Base Schedules'!$A$205:$AW$241,21,FALSE)),"")</f>
        <v/>
      </c>
      <c r="W38" s="184" t="str">
        <f>IFERROR(IF(VLOOKUP(Wed_W2[[#This Row],[Employee Name]],'Base Schedules'!$A$205:$AW$241,22,FALSE)="","",VLOOKUP(Wed_W2[[#This Row],[Employee Name]],'Base Schedules'!$A$205:$AW$241,22,FALSE)),"")</f>
        <v/>
      </c>
      <c r="X38" s="184" t="str">
        <f>IFERROR(IF(VLOOKUP(Wed_W2[[#This Row],[Employee Name]],'Base Schedules'!$A$205:$AW$241,23,FALSE)="","",VLOOKUP(Wed_W2[[#This Row],[Employee Name]],'Base Schedules'!$A$205:$AW$241,23,FALSE)),"")</f>
        <v/>
      </c>
      <c r="Y38" s="184" t="str">
        <f>IFERROR(IF(VLOOKUP(Wed_W2[[#This Row],[Employee Name]],'Base Schedules'!$A$205:$AW$241,24,FALSE)="","",VLOOKUP(Wed_W2[[#This Row],[Employee Name]],'Base Schedules'!$A$205:$AW$241,24,FALSE)),"")</f>
        <v/>
      </c>
      <c r="Z38" s="184" t="str">
        <f>IFERROR(IF(VLOOKUP(Wed_W2[[#This Row],[Employee Name]],'Base Schedules'!$A$205:$AW$241,25,FALSE)="","",VLOOKUP(Wed_W2[[#This Row],[Employee Name]],'Base Schedules'!$A$205:$AW$241,25,FALSE)),"")</f>
        <v/>
      </c>
      <c r="AA38" s="184" t="str">
        <f>IFERROR(IF(VLOOKUP(Wed_W2[[#This Row],[Employee Name]],'Base Schedules'!$A$205:$AW$241,26,FALSE)="","",VLOOKUP(Wed_W2[[#This Row],[Employee Name]],'Base Schedules'!$A$205:$AW$241,26,FALSE)),"")</f>
        <v/>
      </c>
      <c r="AB38" s="184" t="str">
        <f>IFERROR(IF(VLOOKUP(Wed_W2[[#This Row],[Employee Name]],'Base Schedules'!$A$205:$AW$241,27,FALSE)="","",VLOOKUP(Wed_W2[[#This Row],[Employee Name]],'Base Schedules'!$A$205:$AW$241,27,FALSE)),"")</f>
        <v/>
      </c>
      <c r="AC38" s="184" t="str">
        <f>IFERROR(IF(VLOOKUP(Wed_W2[[#This Row],[Employee Name]],'Base Schedules'!$A$205:$AW$241,28,FALSE)="","",VLOOKUP(Wed_W2[[#This Row],[Employee Name]],'Base Schedules'!$A$205:$AW$241,28,FALSE)),"")</f>
        <v/>
      </c>
      <c r="AD38" s="184" t="str">
        <f>IFERROR(IF(VLOOKUP(Wed_W2[[#This Row],[Employee Name]],'Base Schedules'!$A$205:$AW$241,29,FALSE)="","",VLOOKUP(Wed_W2[[#This Row],[Employee Name]],'Base Schedules'!$A$205:$AW$241,29,FALSE)),"")</f>
        <v/>
      </c>
      <c r="AE38" s="184" t="str">
        <f>IFERROR(IF(VLOOKUP(Wed_W2[[#This Row],[Employee Name]],'Base Schedules'!$A$205:$AW$241,30,FALSE)="","",VLOOKUP(Wed_W2[[#This Row],[Employee Name]],'Base Schedules'!$A$205:$AW$241,30,FALSE)),"")</f>
        <v/>
      </c>
      <c r="AF38" s="184" t="str">
        <f>IFERROR(IF(VLOOKUP(Wed_W2[[#This Row],[Employee Name]],'Base Schedules'!$A$205:$AW$241,31,FALSE)="","",VLOOKUP(Wed_W2[[#This Row],[Employee Name]],'Base Schedules'!$A$205:$AW$241,31,FALSE)),"")</f>
        <v>ADM</v>
      </c>
      <c r="AG38" s="184" t="str">
        <f>IFERROR(IF(VLOOKUP(Wed_W2[[#This Row],[Employee Name]],'Base Schedules'!$A$205:$AW$241,32,FALSE)="","",VLOOKUP(Wed_W2[[#This Row],[Employee Name]],'Base Schedules'!$A$205:$AW$241,32,FALSE)),"")</f>
        <v>ADM</v>
      </c>
      <c r="AH38" s="184" t="str">
        <f>IFERROR(IF(VLOOKUP(Wed_W2[[#This Row],[Employee Name]],'Base Schedules'!$A$205:$AW$241,33,FALSE)="","",VLOOKUP(Wed_W2[[#This Row],[Employee Name]],'Base Schedules'!$A$205:$AW$241,33,FALSE)),"")</f>
        <v>ADM</v>
      </c>
      <c r="AI38" s="184" t="str">
        <f>IFERROR(IF(VLOOKUP(Wed_W2[[#This Row],[Employee Name]],'Base Schedules'!$A$205:$AW$241,34,FALSE)="","",VLOOKUP(Wed_W2[[#This Row],[Employee Name]],'Base Schedules'!$A$205:$AW$241,34,FALSE)),"")</f>
        <v>ADM B1</v>
      </c>
      <c r="AJ38" s="184" t="str">
        <f>IFERROR(IF(VLOOKUP(Wed_W2[[#This Row],[Employee Name]],'Base Schedules'!$A$205:$AW$241,35,FALSE)="","",VLOOKUP(Wed_W2[[#This Row],[Employee Name]],'Base Schedules'!$A$205:$AW$241,35,FALSE)),"")</f>
        <v>RNNR</v>
      </c>
      <c r="AK38" s="184" t="str">
        <f>IFERROR(IF(VLOOKUP(Wed_W2[[#This Row],[Employee Name]],'Base Schedules'!$A$205:$AW$241,36,FALSE)="","",VLOOKUP(Wed_W2[[#This Row],[Employee Name]],'Base Schedules'!$A$205:$AW$241,36,FALSE)),"")</f>
        <v>RNNR</v>
      </c>
      <c r="AL38" s="184" t="str">
        <f>IFERROR(IF(VLOOKUP(Wed_W2[[#This Row],[Employee Name]],'Base Schedules'!$A$205:$AW$241,37,FALSE)="","",VLOOKUP(Wed_W2[[#This Row],[Employee Name]],'Base Schedules'!$A$205:$AW$241,37,FALSE)),"")</f>
        <v>ADM</v>
      </c>
      <c r="AM38" s="184" t="str">
        <f>IFERROR(IF(VLOOKUP(Wed_W2[[#This Row],[Employee Name]],'Base Schedules'!$A$205:$AW$241,38,FALSE)="","",VLOOKUP(Wed_W2[[#This Row],[Employee Name]],'Base Schedules'!$A$205:$AW$241,38,FALSE)),"")</f>
        <v>HL</v>
      </c>
      <c r="AN38" s="184" t="str">
        <f>IFERROR(IF(VLOOKUP(Wed_W2[[#This Row],[Employee Name]],'Base Schedules'!$A$205:$AW$241,39,FALSE)="","",VLOOKUP(Wed_W2[[#This Row],[Employee Name]],'Base Schedules'!$A$205:$AW$241,39,FALSE)),"")</f>
        <v>LUNCH</v>
      </c>
      <c r="AO38" s="184" t="str">
        <f>IFERROR(IF(VLOOKUP(Wed_W2[[#This Row],[Employee Name]],'Base Schedules'!$A$205:$AW$241,40,FALSE)="","",VLOOKUP(Wed_W2[[#This Row],[Employee Name]],'Base Schedules'!$A$205:$AW$241,40,FALSE)),"")</f>
        <v>LUNCH</v>
      </c>
      <c r="AP38" s="184" t="str">
        <f>IFERROR(IF(VLOOKUP(Wed_W2[[#This Row],[Employee Name]],'Base Schedules'!$A$205:$AW$241,41,FALSE)="","",VLOOKUP(Wed_W2[[#This Row],[Employee Name]],'Base Schedules'!$A$205:$AW$241,41,FALSE)),"")</f>
        <v>HL</v>
      </c>
      <c r="AQ38" s="184" t="str">
        <f>IFERROR(IF(VLOOKUP(Wed_W2[[#This Row],[Employee Name]],'Base Schedules'!$A$205:$AW$241,42,FALSE)="","",VLOOKUP(Wed_W2[[#This Row],[Employee Name]],'Base Schedules'!$A$205:$AW$241,42,FALSE)),"")</f>
        <v>HL</v>
      </c>
      <c r="AR38" s="184" t="str">
        <f>IFERROR(IF(VLOOKUP(Wed_W2[[#This Row],[Employee Name]],'Base Schedules'!$A$205:$AW$241,43,FALSE)="","",VLOOKUP(Wed_W2[[#This Row],[Employee Name]],'Base Schedules'!$A$205:$AW$241,43,FALSE)),"")</f>
        <v>HL</v>
      </c>
      <c r="AS38" s="184" t="str">
        <f>IFERROR(IF(VLOOKUP(Wed_W2[[#This Row],[Employee Name]],'Base Schedules'!$A$205:$AW$241,44,FALSE)="","",VLOOKUP(Wed_W2[[#This Row],[Employee Name]],'Base Schedules'!$A$205:$AW$241,44,FALSE)),"")</f>
        <v>B2 HL</v>
      </c>
      <c r="AT38" s="184" t="str">
        <f>IFERROR(IF(VLOOKUP(Wed_W2[[#This Row],[Employee Name]],'Base Schedules'!$A$205:$AW$241,45,FALSE)="","",VLOOKUP(Wed_W2[[#This Row],[Employee Name]],'Base Schedules'!$A$205:$AW$241,45,FALSE)),"")</f>
        <v>HL</v>
      </c>
      <c r="AU38" s="184" t="str">
        <f>IFERROR(IF(VLOOKUP(Wed_W2[[#This Row],[Employee Name]],'Base Schedules'!$A$205:$AW$241,46,FALSE)="","",VLOOKUP(Wed_W2[[#This Row],[Employee Name]],'Base Schedules'!$A$205:$AW$241,46,FALSE)),"")</f>
        <v>HL</v>
      </c>
      <c r="AV38" s="184" t="str">
        <f>IFERROR(IF(VLOOKUP(Wed_W2[[#This Row],[Employee Name]],'Base Schedules'!$A$205:$AW$241,47,FALSE)="","",VLOOKUP(Wed_W2[[#This Row],[Employee Name]],'Base Schedules'!$A$205:$AW$241,47,FALSE)),"")</f>
        <v>HL</v>
      </c>
      <c r="AW38" s="184" t="str">
        <f>IFERROR(IF(VLOOKUP(Wed_W2[[#This Row],[Employee Name]],'Base Schedules'!$A$205:$AW$241,48,FALSE)="","",VLOOKUP(Wed_W2[[#This Row],[Employee Name]],'Base Schedules'!$A$205:$AW$241,48,FALSE)),"")</f>
        <v>HL</v>
      </c>
      <c r="AX38" s="184" t="str">
        <f>IFERROR(IF(VLOOKUP(Wed_W2[[#This Row],[Employee Name]],'Base Schedules'!$A$205:$AW$241,49,FALSE)="","",VLOOKUP(Wed_W2[[#This Row],[Employee Name]],'Base Schedules'!$A$205:$AW$241,49,FALSE)),"")</f>
        <v/>
      </c>
      <c r="AY38" s="245" t="str">
        <f t="shared" si="2"/>
        <v>Wonser, Shannon</v>
      </c>
    </row>
    <row r="39" spans="1:51" s="44" customFormat="1" ht="12" customHeight="1" x14ac:dyDescent="0.2">
      <c r="A39" s="39" t="str">
        <f>IF(B39="","",INDEX(TeamList[],MATCH($B39,TeamList[[Employee Name]:[Employee Name]],0),MATCH("Manager",TeamList[#Headers],0)))</f>
        <v>Olson, Katherine</v>
      </c>
      <c r="B39" s="333" t="s">
        <v>52</v>
      </c>
      <c r="C39" s="257" t="str">
        <f>_xlfn.IFNA(VLOOKUP(Wed_W2[[#This Row],[Employee Name]],'Base Schedules'!A:B,2,FALSE),"")</f>
        <v>Supervisor</v>
      </c>
      <c r="D39" s="274">
        <f>_xlfn.IFNA(VLOOKUP(Wed_W2[[#This Row],[Employee Name]],'Base Schedules'!A:C,3,FALSE),"")</f>
        <v>1600</v>
      </c>
      <c r="E39" s="274">
        <f>_xlfn.IFNA(VLOOKUP(Wed_W2[[#This Row],[Employee Name]],'Base Schedules'!A:D,4,FALSE),"")</f>
        <v>100</v>
      </c>
      <c r="F39" s="142">
        <f>IF(Wed_W2[[#This Row],[Employee Name]]="","",IF(Wed_W2[[#This Row],[Dept]]="Supervisor",COUNTIFS($J39:$AX39,"*HL*",$J39:$AX39,"&lt;&gt;"&amp;"pHL"),COUNTIFS($J39:$AX39,"*HL*",$J39:$AX39,"&lt;&gt;"&amp;"*pHL*",$J39:$AX39,"&lt;&gt;"&amp;"pB1 HL",$J39:$AX39,"&lt;&gt;"&amp;"pB2 HL")-SUM(COUNTIFS($J39:$AX39,"*HL B1*",$J39:$AX39,"&lt;&gt;"&amp;"pHL B1")*0.5,COUNTIFS($J39:$AX39,"*HL B2*",$J39:$AX39,"&lt;&gt;"&amp;"pHL B2")*0.5,COUNTIFS($J39:$AX39,"*B1 HL*",$J39:$AX39,"&lt;&gt;"&amp;"pB1 HL")*0.5,COUNTIFS($J39:$AX39,"*B2 HL*",$J39:$AX39,"&lt;&gt;"&amp;"pB2 HL")*0.5)))</f>
        <v>0</v>
      </c>
      <c r="G39" s="142">
        <f t="shared" si="0"/>
        <v>4</v>
      </c>
      <c r="H39" s="142">
        <f t="shared" si="1"/>
        <v>0</v>
      </c>
      <c r="I39" s="142">
        <f>IF(Wed_W2[[#This Row],[Employee Name]]="","",IF(Wed_W2[[#This Row],[Dept]]="Supervisor",SUM(COUNTIFS($J39:$AX39,"RTA*",$J39:$AX39,"&lt;&gt;"&amp;"pRTA"),COUNTIFS($J39:$AX39,"*CRTA*",$J39:$AX39,"&lt;&gt;"&amp;"pCRTA")),COUNTIFS($J39:$AX39,"*RNNR*",$J39:$AX39,"&lt;&gt;"&amp;"*pRNNR*",$J39:$AX39,"&lt;&gt;"&amp;"pB1 RNNR",$J39:$AX39,"&lt;&gt;"&amp;"pB2 RNNR")-SUM(COUNTIFS($J39:$AX39,"*RNNR B1*",$J39:$AX39,"&lt;&gt;"&amp;"pRNNR B1")*0.5,COUNTIFS($J39:$AX39,"*RNNR B2*",$J39:$AX39,"&lt;&gt;"&amp;"pRNNR B2")*0.5,COUNTIFS($J39:$AX39,"*B1 RNNR*",$J39:$AX39,"&lt;&gt;"&amp;"pB1 RNNR")*0.5,COUNTIFS($J39:$AX39,"*B2 RNNR*",$J39:$AX39,"&lt;&gt;"&amp;"pB2 RNNR")*0.5)))</f>
        <v>0</v>
      </c>
      <c r="J39" s="184" t="str">
        <f>IFERROR(IF(VLOOKUP(Wed_W2[[#This Row],[Employee Name]],'Base Schedules'!$A$205:$AW$241,9,FALSE)="","",VLOOKUP(Wed_W2[[#This Row],[Employee Name]],'Base Schedules'!$A$205:$AW$241,9,FALSE)),"")</f>
        <v/>
      </c>
      <c r="K39" s="184" t="str">
        <f>IFERROR(IF(VLOOKUP(Wed_W2[[#This Row],[Employee Name]],'Base Schedules'!$A$205:$AW$241,10,FALSE)="","",VLOOKUP(Wed_W2[[#This Row],[Employee Name]],'Base Schedules'!$A$205:$AW$241,10,FALSE)),"")</f>
        <v/>
      </c>
      <c r="L39" s="184" t="str">
        <f>IFERROR(IF(VLOOKUP(Wed_W2[[#This Row],[Employee Name]],'Base Schedules'!$A$205:$AW$241,11,FALSE)="","",VLOOKUP(Wed_W2[[#This Row],[Employee Name]],'Base Schedules'!$A$205:$AW$241,11,FALSE)),"")</f>
        <v/>
      </c>
      <c r="M39" s="184" t="str">
        <f>IFERROR(IF(VLOOKUP(Wed_W2[[#This Row],[Employee Name]],'Base Schedules'!$A$205:$AW$241,12,FALSE)="","",VLOOKUP(Wed_W2[[#This Row],[Employee Name]],'Base Schedules'!$A$205:$AW$241,12,FALSE)),"")</f>
        <v/>
      </c>
      <c r="N39" s="184" t="str">
        <f>IFERROR(IF(VLOOKUP(Wed_W2[[#This Row],[Employee Name]],'Base Schedules'!$A$205:$AW$241,13,FALSE)="","",VLOOKUP(Wed_W2[[#This Row],[Employee Name]],'Base Schedules'!$A$205:$AW$241,13,FALSE)),"")</f>
        <v/>
      </c>
      <c r="O39" s="184" t="str">
        <f>IFERROR(IF(VLOOKUP(Wed_W2[[#This Row],[Employee Name]],'Base Schedules'!$A$205:$AW$241,14,FALSE)="","",VLOOKUP(Wed_W2[[#This Row],[Employee Name]],'Base Schedules'!$A$205:$AW$241,14,FALSE)),"")</f>
        <v/>
      </c>
      <c r="P39" s="184" t="str">
        <f>IFERROR(IF(VLOOKUP(Wed_W2[[#This Row],[Employee Name]],'Base Schedules'!$A$205:$AW$241,15,FALSE)="","",VLOOKUP(Wed_W2[[#This Row],[Employee Name]],'Base Schedules'!$A$205:$AW$241,15,FALSE)),"")</f>
        <v/>
      </c>
      <c r="Q39" s="184" t="str">
        <f>IFERROR(IF(VLOOKUP(Wed_W2[[#This Row],[Employee Name]],'Base Schedules'!$A$205:$AW$241,16,FALSE)="","",VLOOKUP(Wed_W2[[#This Row],[Employee Name]],'Base Schedules'!$A$205:$AW$241,16,FALSE)),"")</f>
        <v/>
      </c>
      <c r="R39" s="184" t="str">
        <f>IFERROR(IF(VLOOKUP(Wed_W2[[#This Row],[Employee Name]],'Base Schedules'!$A$205:$AW$241,17,FALSE)="","",VLOOKUP(Wed_W2[[#This Row],[Employee Name]],'Base Schedules'!$A$205:$AW$241,17,FALSE)),"")</f>
        <v/>
      </c>
      <c r="S39" s="184" t="str">
        <f>IFERROR(IF(VLOOKUP(Wed_W2[[#This Row],[Employee Name]],'Base Schedules'!$A$205:$AW$241,18,FALSE)="","",VLOOKUP(Wed_W2[[#This Row],[Employee Name]],'Base Schedules'!$A$205:$AW$241,18,FALSE)),"")</f>
        <v/>
      </c>
      <c r="T39" s="184" t="str">
        <f>IFERROR(IF(VLOOKUP(Wed_W2[[#This Row],[Employee Name]],'Base Schedules'!$A$205:$AW$241,19,FALSE)="","",VLOOKUP(Wed_W2[[#This Row],[Employee Name]],'Base Schedules'!$A$205:$AW$241,19,FALSE)),"")</f>
        <v/>
      </c>
      <c r="U39" s="184" t="str">
        <f>IFERROR(IF(VLOOKUP(Wed_W2[[#This Row],[Employee Name]],'Base Schedules'!$A$205:$AW$241,20,FALSE)="","",VLOOKUP(Wed_W2[[#This Row],[Employee Name]],'Base Schedules'!$A$205:$AW$241,20,FALSE)),"")</f>
        <v/>
      </c>
      <c r="V39" s="184" t="str">
        <f>IFERROR(IF(VLOOKUP(Wed_W2[[#This Row],[Employee Name]],'Base Schedules'!$A$205:$AW$241,21,FALSE)="","",VLOOKUP(Wed_W2[[#This Row],[Employee Name]],'Base Schedules'!$A$205:$AW$241,21,FALSE)),"")</f>
        <v/>
      </c>
      <c r="W39" s="184" t="str">
        <f>IFERROR(IF(VLOOKUP(Wed_W2[[#This Row],[Employee Name]],'Base Schedules'!$A$205:$AW$241,22,FALSE)="","",VLOOKUP(Wed_W2[[#This Row],[Employee Name]],'Base Schedules'!$A$205:$AW$241,22,FALSE)),"")</f>
        <v/>
      </c>
      <c r="X39" s="184" t="str">
        <f>IFERROR(IF(VLOOKUP(Wed_W2[[#This Row],[Employee Name]],'Base Schedules'!$A$205:$AW$241,23,FALSE)="","",VLOOKUP(Wed_W2[[#This Row],[Employee Name]],'Base Schedules'!$A$205:$AW$241,23,FALSE)),"")</f>
        <v/>
      </c>
      <c r="Y39" s="184" t="str">
        <f>IFERROR(IF(VLOOKUP(Wed_W2[[#This Row],[Employee Name]],'Base Schedules'!$A$205:$AW$241,24,FALSE)="","",VLOOKUP(Wed_W2[[#This Row],[Employee Name]],'Base Schedules'!$A$205:$AW$241,24,FALSE)),"")</f>
        <v/>
      </c>
      <c r="Z39" s="184" t="str">
        <f>IFERROR(IF(VLOOKUP(Wed_W2[[#This Row],[Employee Name]],'Base Schedules'!$A$205:$AW$241,25,FALSE)="","",VLOOKUP(Wed_W2[[#This Row],[Employee Name]],'Base Schedules'!$A$205:$AW$241,25,FALSE)),"")</f>
        <v/>
      </c>
      <c r="AA39" s="184" t="str">
        <f>IFERROR(IF(VLOOKUP(Wed_W2[[#This Row],[Employee Name]],'Base Schedules'!$A$205:$AW$241,26,FALSE)="","",VLOOKUP(Wed_W2[[#This Row],[Employee Name]],'Base Schedules'!$A$205:$AW$241,26,FALSE)),"")</f>
        <v/>
      </c>
      <c r="AB39" s="184" t="str">
        <f>IFERROR(IF(VLOOKUP(Wed_W2[[#This Row],[Employee Name]],'Base Schedules'!$A$205:$AW$241,27,FALSE)="","",VLOOKUP(Wed_W2[[#This Row],[Employee Name]],'Base Schedules'!$A$205:$AW$241,27,FALSE)),"")</f>
        <v/>
      </c>
      <c r="AC39" s="184" t="str">
        <f>IFERROR(IF(VLOOKUP(Wed_W2[[#This Row],[Employee Name]],'Base Schedules'!$A$205:$AW$241,28,FALSE)="","",VLOOKUP(Wed_W2[[#This Row],[Employee Name]],'Base Schedules'!$A$205:$AW$241,28,FALSE)),"")</f>
        <v/>
      </c>
      <c r="AD39" s="184" t="str">
        <f>IFERROR(IF(VLOOKUP(Wed_W2[[#This Row],[Employee Name]],'Base Schedules'!$A$205:$AW$241,29,FALSE)="","",VLOOKUP(Wed_W2[[#This Row],[Employee Name]],'Base Schedules'!$A$205:$AW$241,29,FALSE)),"")</f>
        <v/>
      </c>
      <c r="AE39" s="184" t="str">
        <f>IFERROR(IF(VLOOKUP(Wed_W2[[#This Row],[Employee Name]],'Base Schedules'!$A$205:$AW$241,30,FALSE)="","",VLOOKUP(Wed_W2[[#This Row],[Employee Name]],'Base Schedules'!$A$205:$AW$241,30,FALSE)),"")</f>
        <v/>
      </c>
      <c r="AF39" s="184" t="str">
        <f>IFERROR(IF(VLOOKUP(Wed_W2[[#This Row],[Employee Name]],'Base Schedules'!$A$205:$AW$241,31,FALSE)="","",VLOOKUP(Wed_W2[[#This Row],[Employee Name]],'Base Schedules'!$A$205:$AW$241,31,FALSE)),"")</f>
        <v>Team RL TM</v>
      </c>
      <c r="AG39" s="184" t="str">
        <f>IFERROR(IF(VLOOKUP(Wed_W2[[#This Row],[Employee Name]],'Base Schedules'!$A$205:$AW$241,32,FALSE)="","",VLOOKUP(Wed_W2[[#This Row],[Employee Name]],'Base Schedules'!$A$205:$AW$241,32,FALSE)),"")</f>
        <v>Team RL TM</v>
      </c>
      <c r="AH39" s="184" t="str">
        <f>IFERROR(IF(VLOOKUP(Wed_W2[[#This Row],[Employee Name]],'Base Schedules'!$A$205:$AW$241,33,FALSE)="","",VLOOKUP(Wed_W2[[#This Row],[Employee Name]],'Base Schedules'!$A$205:$AW$241,33,FALSE)),"")</f>
        <v>-</v>
      </c>
      <c r="AI39" s="184" t="str">
        <f>IFERROR(IF(VLOOKUP(Wed_W2[[#This Row],[Employee Name]],'Base Schedules'!$A$205:$AW$241,34,FALSE)="","",VLOOKUP(Wed_W2[[#This Row],[Employee Name]],'Base Schedules'!$A$205:$AW$241,34,FALSE)),"")</f>
        <v>-</v>
      </c>
      <c r="AJ39" s="184" t="str">
        <f>IFERROR(IF(VLOOKUP(Wed_W2[[#This Row],[Employee Name]],'Base Schedules'!$A$205:$AW$241,35,FALSE)="","",VLOOKUP(Wed_W2[[#This Row],[Employee Name]],'Base Schedules'!$A$205:$AW$241,35,FALSE)),"")</f>
        <v>-</v>
      </c>
      <c r="AK39" s="184" t="str">
        <f>IFERROR(IF(VLOOKUP(Wed_W2[[#This Row],[Employee Name]],'Base Schedules'!$A$205:$AW$241,36,FALSE)="","",VLOOKUP(Wed_W2[[#This Row],[Employee Name]],'Base Schedules'!$A$205:$AW$241,36,FALSE)),"")</f>
        <v>-</v>
      </c>
      <c r="AL39" s="184" t="str">
        <f>IFERROR(IF(VLOOKUP(Wed_W2[[#This Row],[Employee Name]],'Base Schedules'!$A$205:$AW$241,37,FALSE)="","",VLOOKUP(Wed_W2[[#This Row],[Employee Name]],'Base Schedules'!$A$205:$AW$241,37,FALSE)),"")</f>
        <v>-</v>
      </c>
      <c r="AM39" s="184" t="str">
        <f>IFERROR(IF(VLOOKUP(Wed_W2[[#This Row],[Employee Name]],'Base Schedules'!$A$205:$AW$241,38,FALSE)="","",VLOOKUP(Wed_W2[[#This Row],[Employee Name]],'Base Schedules'!$A$205:$AW$241,38,FALSE)),"")</f>
        <v>-</v>
      </c>
      <c r="AN39" s="184" t="str">
        <f>IFERROR(IF(VLOOKUP(Wed_W2[[#This Row],[Employee Name]],'Base Schedules'!$A$205:$AW$241,39,FALSE)="","",VLOOKUP(Wed_W2[[#This Row],[Employee Name]],'Base Schedules'!$A$205:$AW$241,39,FALSE)),"")</f>
        <v>-</v>
      </c>
      <c r="AO39" s="184" t="str">
        <f>IFERROR(IF(VLOOKUP(Wed_W2[[#This Row],[Employee Name]],'Base Schedules'!$A$205:$AW$241,40,FALSE)="","",VLOOKUP(Wed_W2[[#This Row],[Employee Name]],'Base Schedules'!$A$205:$AW$241,40,FALSE)),"")</f>
        <v>Coaching</v>
      </c>
      <c r="AP39" s="184" t="str">
        <f>IFERROR(IF(VLOOKUP(Wed_W2[[#This Row],[Employee Name]],'Base Schedules'!$A$205:$AW$241,41,FALSE)="","",VLOOKUP(Wed_W2[[#This Row],[Employee Name]],'Base Schedules'!$A$205:$AW$241,41,FALSE)),"")</f>
        <v>Coaching</v>
      </c>
      <c r="AQ39" s="184" t="str">
        <f>IFERROR(IF(VLOOKUP(Wed_W2[[#This Row],[Employee Name]],'Base Schedules'!$A$205:$AW$241,42,FALSE)="","",VLOOKUP(Wed_W2[[#This Row],[Employee Name]],'Base Schedules'!$A$205:$AW$241,42,FALSE)),"")</f>
        <v>Coaching</v>
      </c>
      <c r="AR39" s="184" t="str">
        <f>IFERROR(IF(VLOOKUP(Wed_W2[[#This Row],[Employee Name]],'Base Schedules'!$A$205:$AW$241,43,FALSE)="","",VLOOKUP(Wed_W2[[#This Row],[Employee Name]],'Base Schedules'!$A$205:$AW$241,43,FALSE)),"")</f>
        <v>Coaching</v>
      </c>
      <c r="AS39" s="184" t="str">
        <f>IFERROR(IF(VLOOKUP(Wed_W2[[#This Row],[Employee Name]],'Base Schedules'!$A$205:$AW$241,44,FALSE)="","",VLOOKUP(Wed_W2[[#This Row],[Employee Name]],'Base Schedules'!$A$205:$AW$241,44,FALSE)),"")</f>
        <v>-</v>
      </c>
      <c r="AT39" s="184" t="str">
        <f>IFERROR(IF(VLOOKUP(Wed_W2[[#This Row],[Employee Name]],'Base Schedules'!$A$205:$AW$241,45,FALSE)="","",VLOOKUP(Wed_W2[[#This Row],[Employee Name]],'Base Schedules'!$A$205:$AW$241,45,FALSE)),"")</f>
        <v>-</v>
      </c>
      <c r="AU39" s="184" t="str">
        <f>IFERROR(IF(VLOOKUP(Wed_W2[[#This Row],[Employee Name]],'Base Schedules'!$A$205:$AW$241,46,FALSE)="","",VLOOKUP(Wed_W2[[#This Row],[Employee Name]],'Base Schedules'!$A$205:$AW$241,46,FALSE)),"")</f>
        <v>-</v>
      </c>
      <c r="AV39" s="184" t="str">
        <f>IFERROR(IF(VLOOKUP(Wed_W2[[#This Row],[Employee Name]],'Base Schedules'!$A$205:$AW$241,47,FALSE)="","",VLOOKUP(Wed_W2[[#This Row],[Employee Name]],'Base Schedules'!$A$205:$AW$241,47,FALSE)),"")</f>
        <v>-</v>
      </c>
      <c r="AW39" s="184" t="str">
        <f>IFERROR(IF(VLOOKUP(Wed_W2[[#This Row],[Employee Name]],'Base Schedules'!$A$205:$AW$241,48,FALSE)="","",VLOOKUP(Wed_W2[[#This Row],[Employee Name]],'Base Schedules'!$A$205:$AW$241,48,FALSE)),"")</f>
        <v>-</v>
      </c>
      <c r="AX39" s="184" t="str">
        <f>IFERROR(IF(VLOOKUP(Wed_W2[[#This Row],[Employee Name]],'Base Schedules'!$A$205:$AW$241,49,FALSE)="","",VLOOKUP(Wed_W2[[#This Row],[Employee Name]],'Base Schedules'!$A$205:$AW$241,49,FALSE)),"")</f>
        <v/>
      </c>
      <c r="AY39" s="159" t="str">
        <f t="shared" si="2"/>
        <v>Zornick, David</v>
      </c>
    </row>
    <row r="40" spans="1:51" s="44" customFormat="1" ht="12" customHeight="1" x14ac:dyDescent="0.2">
      <c r="A40" s="39" t="str">
        <f>IF(B40="","",INDEX(TeamList[],MATCH($B40,TeamList[[Employee Name]:[Employee Name]],0),MATCH("Manager",TeamList[#Headers],0)))</f>
        <v>Olson, Katherine</v>
      </c>
      <c r="B40" s="201" t="s">
        <v>229</v>
      </c>
      <c r="C40" s="257" t="str">
        <f>_xlfn.IFNA(VLOOKUP(Wed_W2[[#This Row],[Employee Name]],'Base Schedules'!A:B,2,FALSE),"")</f>
        <v>Lead</v>
      </c>
      <c r="D40" s="274">
        <f>_xlfn.IFNA(VLOOKUP(Wed_W2[[#This Row],[Employee Name]],'Base Schedules'!A:C,3,FALSE),"")</f>
        <v>1630</v>
      </c>
      <c r="E40" s="274">
        <f>_xlfn.IFNA(VLOOKUP(Wed_W2[[#This Row],[Employee Name]],'Base Schedules'!A:D,4,FALSE),"")</f>
        <v>100</v>
      </c>
      <c r="F40" s="142">
        <f>IF(Wed_W2[[#This Row],[Employee Name]]="","",IF(Wed_W2[[#This Row],[Dept]]="Supervisor",COUNTIFS($J40:$AX40,"*HL*",$J40:$AX40,"&lt;&gt;"&amp;"pHL"),COUNTIFS($J40:$AX40,"*HL*",$J40:$AX40,"&lt;&gt;"&amp;"*pHL*",$J40:$AX40,"&lt;&gt;"&amp;"pB1 HL",$J40:$AX40,"&lt;&gt;"&amp;"pB2 HL")-SUM(COUNTIFS($J40:$AX40,"*HL B1*",$J40:$AX40,"&lt;&gt;"&amp;"pHL B1")*0.5,COUNTIFS($J40:$AX40,"*HL B2*",$J40:$AX40,"&lt;&gt;"&amp;"pHL B2")*0.5,COUNTIFS($J40:$AX40,"*B1 HL*",$J40:$AX40,"&lt;&gt;"&amp;"pB1 HL")*0.5,COUNTIFS($J40:$AX40,"*B2 HL*",$J40:$AX40,"&lt;&gt;"&amp;"pB2 HL")*0.5)))</f>
        <v>9.5</v>
      </c>
      <c r="G40" s="142">
        <f t="shared" si="0"/>
        <v>0</v>
      </c>
      <c r="H40" s="142">
        <f t="shared" si="1"/>
        <v>6</v>
      </c>
      <c r="I40" s="142">
        <f>IF(Wed_W2[[#This Row],[Employee Name]]="","",IF(Wed_W2[[#This Row],[Dept]]="Supervisor",SUM(COUNTIFS($J40:$AX40,"RTA*",$J40:$AX40,"&lt;&gt;"&amp;"pRTA"),COUNTIFS($J40:$AX40,"*CRTA*",$J40:$AX40,"&lt;&gt;"&amp;"pCRTA")),COUNTIFS($J40:$AX40,"*RNNR*",$J40:$AX40,"&lt;&gt;"&amp;"*pRNNR*",$J40:$AX40,"&lt;&gt;"&amp;"pB1 RNNR",$J40:$AX40,"&lt;&gt;"&amp;"pB2 RNNR")-SUM(COUNTIFS($J40:$AX40,"*RNNR B1*",$J40:$AX40,"&lt;&gt;"&amp;"pRNNR B1")*0.5,COUNTIFS($J40:$AX40,"*RNNR B2*",$J40:$AX40,"&lt;&gt;"&amp;"pRNNR B2")*0.5,COUNTIFS($J40:$AX40,"*B1 RNNR*",$J40:$AX40,"&lt;&gt;"&amp;"pB1 RNNR")*0.5,COUNTIFS($J40:$AX40,"*B2 RNNR*",$J40:$AX40,"&lt;&gt;"&amp;"pB2 RNNR")*0.5)))</f>
        <v>0</v>
      </c>
      <c r="J40" s="184" t="str">
        <f>IFERROR(IF(VLOOKUP(Wed_W2[[#This Row],[Employee Name]],'Base Schedules'!$A$205:$AW$241,9,FALSE)="","",VLOOKUP(Wed_W2[[#This Row],[Employee Name]],'Base Schedules'!$A$205:$AW$241,9,FALSE)),"")</f>
        <v/>
      </c>
      <c r="K40" s="184" t="str">
        <f>IFERROR(IF(VLOOKUP(Wed_W2[[#This Row],[Employee Name]],'Base Schedules'!$A$205:$AW$241,10,FALSE)="","",VLOOKUP(Wed_W2[[#This Row],[Employee Name]],'Base Schedules'!$A$205:$AW$241,10,FALSE)),"")</f>
        <v/>
      </c>
      <c r="L40" s="184" t="str">
        <f>IFERROR(IF(VLOOKUP(Wed_W2[[#This Row],[Employee Name]],'Base Schedules'!$A$205:$AW$241,11,FALSE)="","",VLOOKUP(Wed_W2[[#This Row],[Employee Name]],'Base Schedules'!$A$205:$AW$241,11,FALSE)),"")</f>
        <v/>
      </c>
      <c r="M40" s="184" t="str">
        <f>IFERROR(IF(VLOOKUP(Wed_W2[[#This Row],[Employee Name]],'Base Schedules'!$A$205:$AW$241,12,FALSE)="","",VLOOKUP(Wed_W2[[#This Row],[Employee Name]],'Base Schedules'!$A$205:$AW$241,12,FALSE)),"")</f>
        <v/>
      </c>
      <c r="N40" s="184" t="str">
        <f>IFERROR(IF(VLOOKUP(Wed_W2[[#This Row],[Employee Name]],'Base Schedules'!$A$205:$AW$241,13,FALSE)="","",VLOOKUP(Wed_W2[[#This Row],[Employee Name]],'Base Schedules'!$A$205:$AW$241,13,FALSE)),"")</f>
        <v/>
      </c>
      <c r="O40" s="184" t="str">
        <f>IFERROR(IF(VLOOKUP(Wed_W2[[#This Row],[Employee Name]],'Base Schedules'!$A$205:$AW$241,14,FALSE)="","",VLOOKUP(Wed_W2[[#This Row],[Employee Name]],'Base Schedules'!$A$205:$AW$241,14,FALSE)),"")</f>
        <v/>
      </c>
      <c r="P40" s="184" t="str">
        <f>IFERROR(IF(VLOOKUP(Wed_W2[[#This Row],[Employee Name]],'Base Schedules'!$A$205:$AW$241,15,FALSE)="","",VLOOKUP(Wed_W2[[#This Row],[Employee Name]],'Base Schedules'!$A$205:$AW$241,15,FALSE)),"")</f>
        <v/>
      </c>
      <c r="Q40" s="184" t="str">
        <f>IFERROR(IF(VLOOKUP(Wed_W2[[#This Row],[Employee Name]],'Base Schedules'!$A$205:$AW$241,16,FALSE)="","",VLOOKUP(Wed_W2[[#This Row],[Employee Name]],'Base Schedules'!$A$205:$AW$241,16,FALSE)),"")</f>
        <v/>
      </c>
      <c r="R40" s="184" t="str">
        <f>IFERROR(IF(VLOOKUP(Wed_W2[[#This Row],[Employee Name]],'Base Schedules'!$A$205:$AW$241,17,FALSE)="","",VLOOKUP(Wed_W2[[#This Row],[Employee Name]],'Base Schedules'!$A$205:$AW$241,17,FALSE)),"")</f>
        <v/>
      </c>
      <c r="S40" s="184" t="str">
        <f>IFERROR(IF(VLOOKUP(Wed_W2[[#This Row],[Employee Name]],'Base Schedules'!$A$205:$AW$241,18,FALSE)="","",VLOOKUP(Wed_W2[[#This Row],[Employee Name]],'Base Schedules'!$A$205:$AW$241,18,FALSE)),"")</f>
        <v/>
      </c>
      <c r="T40" s="184" t="str">
        <f>IFERROR(IF(VLOOKUP(Wed_W2[[#This Row],[Employee Name]],'Base Schedules'!$A$205:$AW$241,19,FALSE)="","",VLOOKUP(Wed_W2[[#This Row],[Employee Name]],'Base Schedules'!$A$205:$AW$241,19,FALSE)),"")</f>
        <v/>
      </c>
      <c r="U40" s="184" t="str">
        <f>IFERROR(IF(VLOOKUP(Wed_W2[[#This Row],[Employee Name]],'Base Schedules'!$A$205:$AW$241,20,FALSE)="","",VLOOKUP(Wed_W2[[#This Row],[Employee Name]],'Base Schedules'!$A$205:$AW$241,20,FALSE)),"")</f>
        <v/>
      </c>
      <c r="V40" s="184" t="str">
        <f>IFERROR(IF(VLOOKUP(Wed_W2[[#This Row],[Employee Name]],'Base Schedules'!$A$205:$AW$241,21,FALSE)="","",VLOOKUP(Wed_W2[[#This Row],[Employee Name]],'Base Schedules'!$A$205:$AW$241,21,FALSE)),"")</f>
        <v/>
      </c>
      <c r="W40" s="184" t="str">
        <f>IFERROR(IF(VLOOKUP(Wed_W2[[#This Row],[Employee Name]],'Base Schedules'!$A$205:$AW$241,22,FALSE)="","",VLOOKUP(Wed_W2[[#This Row],[Employee Name]],'Base Schedules'!$A$205:$AW$241,22,FALSE)),"")</f>
        <v/>
      </c>
      <c r="X40" s="184" t="str">
        <f>IFERROR(IF(VLOOKUP(Wed_W2[[#This Row],[Employee Name]],'Base Schedules'!$A$205:$AW$241,23,FALSE)="","",VLOOKUP(Wed_W2[[#This Row],[Employee Name]],'Base Schedules'!$A$205:$AW$241,23,FALSE)),"")</f>
        <v/>
      </c>
      <c r="Y40" s="184" t="str">
        <f>IFERROR(IF(VLOOKUP(Wed_W2[[#This Row],[Employee Name]],'Base Schedules'!$A$205:$AW$241,24,FALSE)="","",VLOOKUP(Wed_W2[[#This Row],[Employee Name]],'Base Schedules'!$A$205:$AW$241,24,FALSE)),"")</f>
        <v/>
      </c>
      <c r="Z40" s="184" t="str">
        <f>IFERROR(IF(VLOOKUP(Wed_W2[[#This Row],[Employee Name]],'Base Schedules'!$A$205:$AW$241,25,FALSE)="","",VLOOKUP(Wed_W2[[#This Row],[Employee Name]],'Base Schedules'!$A$205:$AW$241,25,FALSE)),"")</f>
        <v/>
      </c>
      <c r="AA40" s="184" t="str">
        <f>IFERROR(IF(VLOOKUP(Wed_W2[[#This Row],[Employee Name]],'Base Schedules'!$A$205:$AW$241,26,FALSE)="","",VLOOKUP(Wed_W2[[#This Row],[Employee Name]],'Base Schedules'!$A$205:$AW$241,26,FALSE)),"")</f>
        <v/>
      </c>
      <c r="AB40" s="184" t="str">
        <f>IFERROR(IF(VLOOKUP(Wed_W2[[#This Row],[Employee Name]],'Base Schedules'!$A$205:$AW$241,27,FALSE)="","",VLOOKUP(Wed_W2[[#This Row],[Employee Name]],'Base Schedules'!$A$205:$AW$241,27,FALSE)),"")</f>
        <v/>
      </c>
      <c r="AC40" s="184" t="str">
        <f>IFERROR(IF(VLOOKUP(Wed_W2[[#This Row],[Employee Name]],'Base Schedules'!$A$205:$AW$241,28,FALSE)="","",VLOOKUP(Wed_W2[[#This Row],[Employee Name]],'Base Schedules'!$A$205:$AW$241,28,FALSE)),"")</f>
        <v/>
      </c>
      <c r="AD40" s="184" t="str">
        <f>IFERROR(IF(VLOOKUP(Wed_W2[[#This Row],[Employee Name]],'Base Schedules'!$A$205:$AW$241,29,FALSE)="","",VLOOKUP(Wed_W2[[#This Row],[Employee Name]],'Base Schedules'!$A$205:$AW$241,29,FALSE)),"")</f>
        <v/>
      </c>
      <c r="AE40" s="184" t="str">
        <f>IFERROR(IF(VLOOKUP(Wed_W2[[#This Row],[Employee Name]],'Base Schedules'!$A$205:$AW$241,30,FALSE)="","",VLOOKUP(Wed_W2[[#This Row],[Employee Name]],'Base Schedules'!$A$205:$AW$241,30,FALSE)),"")</f>
        <v/>
      </c>
      <c r="AF40" s="184" t="str">
        <f>IFERROR(IF(VLOOKUP(Wed_W2[[#This Row],[Employee Name]],'Base Schedules'!$A$205:$AW$241,31,FALSE)="","",VLOOKUP(Wed_W2[[#This Row],[Employee Name]],'Base Schedules'!$A$205:$AW$241,31,FALSE)),"")</f>
        <v/>
      </c>
      <c r="AG40" s="184" t="str">
        <f>IFERROR(IF(VLOOKUP(Wed_W2[[#This Row],[Employee Name]],'Base Schedules'!$A$205:$AW$241,32,FALSE)="","",VLOOKUP(Wed_W2[[#This Row],[Employee Name]],'Base Schedules'!$A$205:$AW$241,32,FALSE)),"")</f>
        <v>ADM</v>
      </c>
      <c r="AH40" s="184" t="str">
        <f>IFERROR(IF(VLOOKUP(Wed_W2[[#This Row],[Employee Name]],'Base Schedules'!$A$205:$AW$241,33,FALSE)="","",VLOOKUP(Wed_W2[[#This Row],[Employee Name]],'Base Schedules'!$A$205:$AW$241,33,FALSE)),"")</f>
        <v>ADM</v>
      </c>
      <c r="AI40" s="184" t="str">
        <f>IFERROR(IF(VLOOKUP(Wed_W2[[#This Row],[Employee Name]],'Base Schedules'!$A$205:$AW$241,34,FALSE)="","",VLOOKUP(Wed_W2[[#This Row],[Employee Name]],'Base Schedules'!$A$205:$AW$241,34,FALSE)),"")</f>
        <v>ADM</v>
      </c>
      <c r="AJ40" s="184" t="str">
        <f>IFERROR(IF(VLOOKUP(Wed_W2[[#This Row],[Employee Name]],'Base Schedules'!$A$205:$AW$241,35,FALSE)="","",VLOOKUP(Wed_W2[[#This Row],[Employee Name]],'Base Schedules'!$A$205:$AW$241,35,FALSE)),"")</f>
        <v>ADM B1</v>
      </c>
      <c r="AK40" s="184" t="str">
        <f>IFERROR(IF(VLOOKUP(Wed_W2[[#This Row],[Employee Name]],'Base Schedules'!$A$205:$AW$241,36,FALSE)="","",VLOOKUP(Wed_W2[[#This Row],[Employee Name]],'Base Schedules'!$A$205:$AW$241,36,FALSE)),"")</f>
        <v>ADM</v>
      </c>
      <c r="AL40" s="184" t="str">
        <f>IFERROR(IF(VLOOKUP(Wed_W2[[#This Row],[Employee Name]],'Base Schedules'!$A$205:$AW$241,37,FALSE)="","",VLOOKUP(Wed_W2[[#This Row],[Employee Name]],'Base Schedules'!$A$205:$AW$241,37,FALSE)),"")</f>
        <v>ADM</v>
      </c>
      <c r="AM40" s="184" t="str">
        <f>IFERROR(IF(VLOOKUP(Wed_W2[[#This Row],[Employee Name]],'Base Schedules'!$A$205:$AW$241,38,FALSE)="","",VLOOKUP(Wed_W2[[#This Row],[Employee Name]],'Base Schedules'!$A$205:$AW$241,38,FALSE)),"")</f>
        <v>HL</v>
      </c>
      <c r="AN40" s="184" t="str">
        <f>IFERROR(IF(VLOOKUP(Wed_W2[[#This Row],[Employee Name]],'Base Schedules'!$A$205:$AW$241,39,FALSE)="","",VLOOKUP(Wed_W2[[#This Row],[Employee Name]],'Base Schedules'!$A$205:$AW$241,39,FALSE)),"")</f>
        <v>HL</v>
      </c>
      <c r="AO40" s="184" t="str">
        <f>IFERROR(IF(VLOOKUP(Wed_W2[[#This Row],[Employee Name]],'Base Schedules'!$A$205:$AW$241,40,FALSE)="","",VLOOKUP(Wed_W2[[#This Row],[Employee Name]],'Base Schedules'!$A$205:$AW$241,40,FALSE)),"")</f>
        <v>HL</v>
      </c>
      <c r="AP40" s="184" t="str">
        <f>IFERROR(IF(VLOOKUP(Wed_W2[[#This Row],[Employee Name]],'Base Schedules'!$A$205:$AW$241,41,FALSE)="","",VLOOKUP(Wed_W2[[#This Row],[Employee Name]],'Base Schedules'!$A$205:$AW$241,41,FALSE)),"")</f>
        <v>LUNCH</v>
      </c>
      <c r="AQ40" s="184" t="str">
        <f>IFERROR(IF(VLOOKUP(Wed_W2[[#This Row],[Employee Name]],'Base Schedules'!$A$205:$AW$241,42,FALSE)="","",VLOOKUP(Wed_W2[[#This Row],[Employee Name]],'Base Schedules'!$A$205:$AW$241,42,FALSE)),"")</f>
        <v>HL</v>
      </c>
      <c r="AR40" s="184" t="str">
        <f>IFERROR(IF(VLOOKUP(Wed_W2[[#This Row],[Employee Name]],'Base Schedules'!$A$205:$AW$241,43,FALSE)="","",VLOOKUP(Wed_W2[[#This Row],[Employee Name]],'Base Schedules'!$A$205:$AW$241,43,FALSE)),"")</f>
        <v>HL</v>
      </c>
      <c r="AS40" s="184" t="str">
        <f>IFERROR(IF(VLOOKUP(Wed_W2[[#This Row],[Employee Name]],'Base Schedules'!$A$205:$AW$241,44,FALSE)="","",VLOOKUP(Wed_W2[[#This Row],[Employee Name]],'Base Schedules'!$A$205:$AW$241,44,FALSE)),"")</f>
        <v>HL</v>
      </c>
      <c r="AT40" s="184" t="str">
        <f>IFERROR(IF(VLOOKUP(Wed_W2[[#This Row],[Employee Name]],'Base Schedules'!$A$205:$AW$241,45,FALSE)="","",VLOOKUP(Wed_W2[[#This Row],[Employee Name]],'Base Schedules'!$A$205:$AW$241,45,FALSE)),"")</f>
        <v>B2 HL</v>
      </c>
      <c r="AU40" s="184" t="str">
        <f>IFERROR(IF(VLOOKUP(Wed_W2[[#This Row],[Employee Name]],'Base Schedules'!$A$205:$AW$241,46,FALSE)="","",VLOOKUP(Wed_W2[[#This Row],[Employee Name]],'Base Schedules'!$A$205:$AW$241,46,FALSE)),"")</f>
        <v>hl</v>
      </c>
      <c r="AV40" s="184" t="str">
        <f>IFERROR(IF(VLOOKUP(Wed_W2[[#This Row],[Employee Name]],'Base Schedules'!$A$205:$AW$241,47,FALSE)="","",VLOOKUP(Wed_W2[[#This Row],[Employee Name]],'Base Schedules'!$A$205:$AW$241,47,FALSE)),"")</f>
        <v>HL</v>
      </c>
      <c r="AW40" s="184" t="str">
        <f>IFERROR(IF(VLOOKUP(Wed_W2[[#This Row],[Employee Name]],'Base Schedules'!$A$205:$AW$241,48,FALSE)="","",VLOOKUP(Wed_W2[[#This Row],[Employee Name]],'Base Schedules'!$A$205:$AW$241,48,FALSE)),"")</f>
        <v>HL</v>
      </c>
      <c r="AX40" s="184" t="str">
        <f>IFERROR(IF(VLOOKUP(Wed_W2[[#This Row],[Employee Name]],'Base Schedules'!$A$205:$AW$241,49,FALSE)="","",VLOOKUP(Wed_W2[[#This Row],[Employee Name]],'Base Schedules'!$A$205:$AW$241,49,FALSE)),"")</f>
        <v/>
      </c>
      <c r="AY40" s="245" t="str">
        <f t="shared" si="2"/>
        <v>Fairbrother, Amy</v>
      </c>
    </row>
    <row r="41" spans="1:51" s="44" customFormat="1" ht="12" hidden="1" customHeight="1" x14ac:dyDescent="0.2">
      <c r="A41" s="39" t="str">
        <f>IF(B41="","",INDEX(TeamList[],MATCH($B41,TeamList[[Employee Name]:[Employee Name]],0),MATCH("Manager",TeamList[#Headers],0)))</f>
        <v/>
      </c>
      <c r="B41" s="201"/>
      <c r="C41" s="257" t="str">
        <f>_xlfn.IFNA(VLOOKUP(Wed_W2[[#This Row],[Employee Name]],'Base Schedules'!A:B,2,FALSE),"")</f>
        <v/>
      </c>
      <c r="D41" s="274" t="str">
        <f>_xlfn.IFNA(VLOOKUP(Wed_W2[[#This Row],[Employee Name]],'Base Schedules'!A:C,3,FALSE),"")</f>
        <v/>
      </c>
      <c r="E41" s="274" t="str">
        <f>_xlfn.IFNA(VLOOKUP(Wed_W2[[#This Row],[Employee Name]],'Base Schedules'!A:D,4,FALSE),"")</f>
        <v/>
      </c>
      <c r="F41" s="142" t="str">
        <f>IF(Wed_W2[[#This Row],[Employee Name]]="","",IF(Wed_W2[[#This Row],[Dept]]="Supervisor",COUNTIFS($J41:$AX41,"*HL*",$J41:$AX41,"&lt;&gt;"&amp;"pHL"),COUNTIFS($J41:$AX41,"*HL*",$J41:$AX41,"&lt;&gt;"&amp;"*pHL*",$J41:$AX41,"&lt;&gt;"&amp;"pB1 HL",$J41:$AX41,"&lt;&gt;"&amp;"pB2 HL")-SUM(COUNTIFS($J41:$AX41,"*HL B1*",$J41:$AX41,"&lt;&gt;"&amp;"pHL B1")*0.5,COUNTIFS($J41:$AX41,"*HL B2*",$J41:$AX41,"&lt;&gt;"&amp;"pHL B2")*0.5,COUNTIFS($J41:$AX41,"*B1 HL*",$J41:$AX41,"&lt;&gt;"&amp;"pB1 HL")*0.5,COUNTIFS($J41:$AX41,"*B2 HL*",$J41:$AX41,"&lt;&gt;"&amp;"pB2 HL")*0.5)))</f>
        <v/>
      </c>
      <c r="G41" s="142" t="str">
        <f t="shared" si="0"/>
        <v/>
      </c>
      <c r="H41" s="142" t="str">
        <f t="shared" si="1"/>
        <v/>
      </c>
      <c r="I41" s="142" t="str">
        <f>IF(Wed_W2[[#This Row],[Employee Name]]="","",IF(Wed_W2[[#This Row],[Dept]]="Supervisor",SUM(COUNTIFS($J41:$AX41,"RTA*",$J41:$AX41,"&lt;&gt;"&amp;"pRTA"),COUNTIFS($J41:$AX41,"*CRTA*",$J41:$AX41,"&lt;&gt;"&amp;"pCRTA")),COUNTIFS($J41:$AX41,"*RNNR*",$J41:$AX41,"&lt;&gt;"&amp;"*pRNNR*",$J41:$AX41,"&lt;&gt;"&amp;"pB1 RNNR",$J41:$AX41,"&lt;&gt;"&amp;"pB2 RNNR")-SUM(COUNTIFS($J41:$AX41,"*RNNR B1*",$J41:$AX41,"&lt;&gt;"&amp;"pRNNR B1")*0.5,COUNTIFS($J41:$AX41,"*RNNR B2*",$J41:$AX41,"&lt;&gt;"&amp;"pRNNR B2")*0.5,COUNTIFS($J41:$AX41,"*B1 RNNR*",$J41:$AX41,"&lt;&gt;"&amp;"pB1 RNNR")*0.5,COUNTIFS($J41:$AX41,"*B2 RNNR*",$J41:$AX41,"&lt;&gt;"&amp;"pB2 RNNR")*0.5)))</f>
        <v/>
      </c>
      <c r="J41" s="184" t="str">
        <f>IFERROR(IF(VLOOKUP(Wed_W2[[#This Row],[Employee Name]],'Base Schedules'!$A$205:$AW$241,9,FALSE)="","",VLOOKUP(Wed_W2[[#This Row],[Employee Name]],'Base Schedules'!$A$205:$AW$241,9,FALSE)),"")</f>
        <v/>
      </c>
      <c r="K41" s="184" t="str">
        <f>IFERROR(IF(VLOOKUP(Wed_W2[[#This Row],[Employee Name]],'Base Schedules'!$A$205:$AW$241,10,FALSE)="","",VLOOKUP(Wed_W2[[#This Row],[Employee Name]],'Base Schedules'!$A$205:$AW$241,10,FALSE)),"")</f>
        <v/>
      </c>
      <c r="L41" s="184" t="str">
        <f>IFERROR(IF(VLOOKUP(Wed_W2[[#This Row],[Employee Name]],'Base Schedules'!$A$205:$AW$241,11,FALSE)="","",VLOOKUP(Wed_W2[[#This Row],[Employee Name]],'Base Schedules'!$A$205:$AW$241,11,FALSE)),"")</f>
        <v/>
      </c>
      <c r="M41" s="184" t="str">
        <f>IFERROR(IF(VLOOKUP(Wed_W2[[#This Row],[Employee Name]],'Base Schedules'!$A$205:$AW$241,12,FALSE)="","",VLOOKUP(Wed_W2[[#This Row],[Employee Name]],'Base Schedules'!$A$205:$AW$241,12,FALSE)),"")</f>
        <v/>
      </c>
      <c r="N41" s="184" t="str">
        <f>IFERROR(IF(VLOOKUP(Wed_W2[[#This Row],[Employee Name]],'Base Schedules'!$A$205:$AW$241,13,FALSE)="","",VLOOKUP(Wed_W2[[#This Row],[Employee Name]],'Base Schedules'!$A$205:$AW$241,13,FALSE)),"")</f>
        <v/>
      </c>
      <c r="O41" s="184" t="str">
        <f>IFERROR(IF(VLOOKUP(Wed_W2[[#This Row],[Employee Name]],'Base Schedules'!$A$205:$AW$241,14,FALSE)="","",VLOOKUP(Wed_W2[[#This Row],[Employee Name]],'Base Schedules'!$A$205:$AW$241,14,FALSE)),"")</f>
        <v/>
      </c>
      <c r="P41" s="184" t="str">
        <f>IFERROR(IF(VLOOKUP(Wed_W2[[#This Row],[Employee Name]],'Base Schedules'!$A$205:$AW$241,15,FALSE)="","",VLOOKUP(Wed_W2[[#This Row],[Employee Name]],'Base Schedules'!$A$205:$AW$241,15,FALSE)),"")</f>
        <v/>
      </c>
      <c r="Q41" s="184" t="str">
        <f>IFERROR(IF(VLOOKUP(Wed_W2[[#This Row],[Employee Name]],'Base Schedules'!$A$205:$AW$241,16,FALSE)="","",VLOOKUP(Wed_W2[[#This Row],[Employee Name]],'Base Schedules'!$A$205:$AW$241,16,FALSE)),"")</f>
        <v/>
      </c>
      <c r="R41" s="184" t="str">
        <f>IFERROR(IF(VLOOKUP(Wed_W2[[#This Row],[Employee Name]],'Base Schedules'!$A$205:$AW$241,17,FALSE)="","",VLOOKUP(Wed_W2[[#This Row],[Employee Name]],'Base Schedules'!$A$205:$AW$241,17,FALSE)),"")</f>
        <v/>
      </c>
      <c r="S41" s="184" t="str">
        <f>IFERROR(IF(VLOOKUP(Wed_W2[[#This Row],[Employee Name]],'Base Schedules'!$A$205:$AW$241,18,FALSE)="","",VLOOKUP(Wed_W2[[#This Row],[Employee Name]],'Base Schedules'!$A$205:$AW$241,18,FALSE)),"")</f>
        <v/>
      </c>
      <c r="T41" s="184" t="str">
        <f>IFERROR(IF(VLOOKUP(Wed_W2[[#This Row],[Employee Name]],'Base Schedules'!$A$205:$AW$241,19,FALSE)="","",VLOOKUP(Wed_W2[[#This Row],[Employee Name]],'Base Schedules'!$A$205:$AW$241,19,FALSE)),"")</f>
        <v/>
      </c>
      <c r="U41" s="184" t="str">
        <f>IFERROR(IF(VLOOKUP(Wed_W2[[#This Row],[Employee Name]],'Base Schedules'!$A$205:$AW$241,20,FALSE)="","",VLOOKUP(Wed_W2[[#This Row],[Employee Name]],'Base Schedules'!$A$205:$AW$241,20,FALSE)),"")</f>
        <v/>
      </c>
      <c r="V41" s="184" t="str">
        <f>IFERROR(IF(VLOOKUP(Wed_W2[[#This Row],[Employee Name]],'Base Schedules'!$A$205:$AW$241,21,FALSE)="","",VLOOKUP(Wed_W2[[#This Row],[Employee Name]],'Base Schedules'!$A$205:$AW$241,21,FALSE)),"")</f>
        <v/>
      </c>
      <c r="W41" s="184" t="str">
        <f>IFERROR(IF(VLOOKUP(Wed_W2[[#This Row],[Employee Name]],'Base Schedules'!$A$205:$AW$241,22,FALSE)="","",VLOOKUP(Wed_W2[[#This Row],[Employee Name]],'Base Schedules'!$A$205:$AW$241,22,FALSE)),"")</f>
        <v/>
      </c>
      <c r="X41" s="184" t="str">
        <f>IFERROR(IF(VLOOKUP(Wed_W2[[#This Row],[Employee Name]],'Base Schedules'!$A$205:$AW$241,23,FALSE)="","",VLOOKUP(Wed_W2[[#This Row],[Employee Name]],'Base Schedules'!$A$205:$AW$241,23,FALSE)),"")</f>
        <v/>
      </c>
      <c r="Y41" s="184" t="str">
        <f>IFERROR(IF(VLOOKUP(Wed_W2[[#This Row],[Employee Name]],'Base Schedules'!$A$205:$AW$241,24,FALSE)="","",VLOOKUP(Wed_W2[[#This Row],[Employee Name]],'Base Schedules'!$A$205:$AW$241,24,FALSE)),"")</f>
        <v/>
      </c>
      <c r="Z41" s="184" t="str">
        <f>IFERROR(IF(VLOOKUP(Wed_W2[[#This Row],[Employee Name]],'Base Schedules'!$A$205:$AW$241,25,FALSE)="","",VLOOKUP(Wed_W2[[#This Row],[Employee Name]],'Base Schedules'!$A$205:$AW$241,25,FALSE)),"")</f>
        <v/>
      </c>
      <c r="AA41" s="184" t="str">
        <f>IFERROR(IF(VLOOKUP(Wed_W2[[#This Row],[Employee Name]],'Base Schedules'!$A$205:$AW$241,26,FALSE)="","",VLOOKUP(Wed_W2[[#This Row],[Employee Name]],'Base Schedules'!$A$205:$AW$241,26,FALSE)),"")</f>
        <v/>
      </c>
      <c r="AB41" s="184" t="str">
        <f>IFERROR(IF(VLOOKUP(Wed_W2[[#This Row],[Employee Name]],'Base Schedules'!$A$205:$AW$241,27,FALSE)="","",VLOOKUP(Wed_W2[[#This Row],[Employee Name]],'Base Schedules'!$A$205:$AW$241,27,FALSE)),"")</f>
        <v/>
      </c>
      <c r="AC41" s="184" t="str">
        <f>IFERROR(IF(VLOOKUP(Wed_W2[[#This Row],[Employee Name]],'Base Schedules'!$A$205:$AW$241,28,FALSE)="","",VLOOKUP(Wed_W2[[#This Row],[Employee Name]],'Base Schedules'!$A$205:$AW$241,28,FALSE)),"")</f>
        <v/>
      </c>
      <c r="AD41" s="184" t="str">
        <f>IFERROR(IF(VLOOKUP(Wed_W2[[#This Row],[Employee Name]],'Base Schedules'!$A$205:$AW$241,29,FALSE)="","",VLOOKUP(Wed_W2[[#This Row],[Employee Name]],'Base Schedules'!$A$205:$AW$241,29,FALSE)),"")</f>
        <v/>
      </c>
      <c r="AE41" s="184" t="str">
        <f>IFERROR(IF(VLOOKUP(Wed_W2[[#This Row],[Employee Name]],'Base Schedules'!$A$205:$AW$241,30,FALSE)="","",VLOOKUP(Wed_W2[[#This Row],[Employee Name]],'Base Schedules'!$A$205:$AW$241,30,FALSE)),"")</f>
        <v/>
      </c>
      <c r="AF41" s="184" t="str">
        <f>IFERROR(IF(VLOOKUP(Wed_W2[[#This Row],[Employee Name]],'Base Schedules'!$A$205:$AW$241,31,FALSE)="","",VLOOKUP(Wed_W2[[#This Row],[Employee Name]],'Base Schedules'!$A$205:$AW$241,31,FALSE)),"")</f>
        <v/>
      </c>
      <c r="AG41" s="184" t="str">
        <f>IFERROR(IF(VLOOKUP(Wed_W2[[#This Row],[Employee Name]],'Base Schedules'!$A$205:$AW$241,32,FALSE)="","",VLOOKUP(Wed_W2[[#This Row],[Employee Name]],'Base Schedules'!$A$205:$AW$241,32,FALSE)),"")</f>
        <v/>
      </c>
      <c r="AH41" s="184" t="str">
        <f>IFERROR(IF(VLOOKUP(Wed_W2[[#This Row],[Employee Name]],'Base Schedules'!$A$205:$AW$241,33,FALSE)="","",VLOOKUP(Wed_W2[[#This Row],[Employee Name]],'Base Schedules'!$A$205:$AW$241,33,FALSE)),"")</f>
        <v/>
      </c>
      <c r="AI41" s="184" t="str">
        <f>IFERROR(IF(VLOOKUP(Wed_W2[[#This Row],[Employee Name]],'Base Schedules'!$A$205:$AW$241,34,FALSE)="","",VLOOKUP(Wed_W2[[#This Row],[Employee Name]],'Base Schedules'!$A$205:$AW$241,34,FALSE)),"")</f>
        <v/>
      </c>
      <c r="AJ41" s="184" t="str">
        <f>IFERROR(IF(VLOOKUP(Wed_W2[[#This Row],[Employee Name]],'Base Schedules'!$A$205:$AW$241,35,FALSE)="","",VLOOKUP(Wed_W2[[#This Row],[Employee Name]],'Base Schedules'!$A$205:$AW$241,35,FALSE)),"")</f>
        <v/>
      </c>
      <c r="AK41" s="184" t="str">
        <f>IFERROR(IF(VLOOKUP(Wed_W2[[#This Row],[Employee Name]],'Base Schedules'!$A$205:$AW$241,36,FALSE)="","",VLOOKUP(Wed_W2[[#This Row],[Employee Name]],'Base Schedules'!$A$205:$AW$241,36,FALSE)),"")</f>
        <v/>
      </c>
      <c r="AL41" s="184" t="str">
        <f>IFERROR(IF(VLOOKUP(Wed_W2[[#This Row],[Employee Name]],'Base Schedules'!$A$205:$AW$241,37,FALSE)="","",VLOOKUP(Wed_W2[[#This Row],[Employee Name]],'Base Schedules'!$A$205:$AW$241,37,FALSE)),"")</f>
        <v/>
      </c>
      <c r="AM41" s="184" t="str">
        <f>IFERROR(IF(VLOOKUP(Wed_W2[[#This Row],[Employee Name]],'Base Schedules'!$A$205:$AW$241,38,FALSE)="","",VLOOKUP(Wed_W2[[#This Row],[Employee Name]],'Base Schedules'!$A$205:$AW$241,38,FALSE)),"")</f>
        <v/>
      </c>
      <c r="AN41" s="184" t="str">
        <f>IFERROR(IF(VLOOKUP(Wed_W2[[#This Row],[Employee Name]],'Base Schedules'!$A$205:$AW$241,39,FALSE)="","",VLOOKUP(Wed_W2[[#This Row],[Employee Name]],'Base Schedules'!$A$205:$AW$241,39,FALSE)),"")</f>
        <v/>
      </c>
      <c r="AO41" s="184" t="str">
        <f>IFERROR(IF(VLOOKUP(Wed_W2[[#This Row],[Employee Name]],'Base Schedules'!$A$205:$AW$241,40,FALSE)="","",VLOOKUP(Wed_W2[[#This Row],[Employee Name]],'Base Schedules'!$A$205:$AW$241,40,FALSE)),"")</f>
        <v/>
      </c>
      <c r="AP41" s="184" t="str">
        <f>IFERROR(IF(VLOOKUP(Wed_W2[[#This Row],[Employee Name]],'Base Schedules'!$A$205:$AW$241,41,FALSE)="","",VLOOKUP(Wed_W2[[#This Row],[Employee Name]],'Base Schedules'!$A$205:$AW$241,41,FALSE)),"")</f>
        <v/>
      </c>
      <c r="AQ41" s="184" t="str">
        <f>IFERROR(IF(VLOOKUP(Wed_W2[[#This Row],[Employee Name]],'Base Schedules'!$A$205:$AW$241,42,FALSE)="","",VLOOKUP(Wed_W2[[#This Row],[Employee Name]],'Base Schedules'!$A$205:$AW$241,42,FALSE)),"")</f>
        <v/>
      </c>
      <c r="AR41" s="184" t="str">
        <f>IFERROR(IF(VLOOKUP(Wed_W2[[#This Row],[Employee Name]],'Base Schedules'!$A$205:$AW$241,43,FALSE)="","",VLOOKUP(Wed_W2[[#This Row],[Employee Name]],'Base Schedules'!$A$205:$AW$241,43,FALSE)),"")</f>
        <v/>
      </c>
      <c r="AS41" s="184" t="str">
        <f>IFERROR(IF(VLOOKUP(Wed_W2[[#This Row],[Employee Name]],'Base Schedules'!$A$205:$AW$241,44,FALSE)="","",VLOOKUP(Wed_W2[[#This Row],[Employee Name]],'Base Schedules'!$A$205:$AW$241,44,FALSE)),"")</f>
        <v/>
      </c>
      <c r="AT41" s="184" t="str">
        <f>IFERROR(IF(VLOOKUP(Wed_W2[[#This Row],[Employee Name]],'Base Schedules'!$A$205:$AW$241,45,FALSE)="","",VLOOKUP(Wed_W2[[#This Row],[Employee Name]],'Base Schedules'!$A$205:$AW$241,45,FALSE)),"")</f>
        <v/>
      </c>
      <c r="AU41" s="184" t="str">
        <f>IFERROR(IF(VLOOKUP(Wed_W2[[#This Row],[Employee Name]],'Base Schedules'!$A$205:$AW$241,46,FALSE)="","",VLOOKUP(Wed_W2[[#This Row],[Employee Name]],'Base Schedules'!$A$205:$AW$241,46,FALSE)),"")</f>
        <v/>
      </c>
      <c r="AV41" s="184" t="str">
        <f>IFERROR(IF(VLOOKUP(Wed_W2[[#This Row],[Employee Name]],'Base Schedules'!$A$205:$AW$241,47,FALSE)="","",VLOOKUP(Wed_W2[[#This Row],[Employee Name]],'Base Schedules'!$A$205:$AW$241,47,FALSE)),"")</f>
        <v/>
      </c>
      <c r="AW41" s="184" t="str">
        <f>IFERROR(IF(VLOOKUP(Wed_W2[[#This Row],[Employee Name]],'Base Schedules'!$A$205:$AW$241,48,FALSE)="","",VLOOKUP(Wed_W2[[#This Row],[Employee Name]],'Base Schedules'!$A$205:$AW$241,48,FALSE)),"")</f>
        <v/>
      </c>
      <c r="AX41" s="184" t="str">
        <f>IFERROR(IF(VLOOKUP(Wed_W2[[#This Row],[Employee Name]],'Base Schedules'!$A$205:$AW$241,49,FALSE)="","",VLOOKUP(Wed_W2[[#This Row],[Employee Name]],'Base Schedules'!$A$205:$AW$241,49,FALSE)),"")</f>
        <v/>
      </c>
      <c r="AY41" s="159" t="str">
        <f t="shared" si="2"/>
        <v/>
      </c>
    </row>
    <row r="42" spans="1:51" s="44" customFormat="1" ht="12" hidden="1" customHeight="1" x14ac:dyDescent="0.2">
      <c r="A42" s="39" t="str">
        <f>IF(B42="","",INDEX(TeamList[],MATCH($B42,TeamList[[Employee Name]:[Employee Name]],0),MATCH("Manager",TeamList[#Headers],0)))</f>
        <v/>
      </c>
      <c r="B42" s="201"/>
      <c r="C42" s="257" t="str">
        <f>_xlfn.IFNA(VLOOKUP(Wed_W2[[#This Row],[Employee Name]],'Base Schedules'!A:B,2,FALSE),"")</f>
        <v/>
      </c>
      <c r="D42" s="274" t="str">
        <f>_xlfn.IFNA(VLOOKUP(Wed_W2[[#This Row],[Employee Name]],'Base Schedules'!A:C,3,FALSE),"")</f>
        <v/>
      </c>
      <c r="E42" s="274" t="str">
        <f>_xlfn.IFNA(VLOOKUP(Wed_W2[[#This Row],[Employee Name]],'Base Schedules'!A:D,4,FALSE),"")</f>
        <v/>
      </c>
      <c r="F42" s="142" t="str">
        <f>IF(Wed_W2[[#This Row],[Employee Name]]="","",IF(Wed_W2[[#This Row],[Dept]]="Supervisor",COUNTIFS($J42:$AX42,"*HL*",$J42:$AX42,"&lt;&gt;"&amp;"pHL"),COUNTIFS($J42:$AX42,"*HL*",$J42:$AX42,"&lt;&gt;"&amp;"*pHL*",$J42:$AX42,"&lt;&gt;"&amp;"pB1 HL",$J42:$AX42,"&lt;&gt;"&amp;"pB2 HL")-SUM(COUNTIFS($J42:$AX42,"*HL B1*",$J42:$AX42,"&lt;&gt;"&amp;"pHL B1")*0.5,COUNTIFS($J42:$AX42,"*HL B2*",$J42:$AX42,"&lt;&gt;"&amp;"pHL B2")*0.5,COUNTIFS($J42:$AX42,"*B1 HL*",$J42:$AX42,"&lt;&gt;"&amp;"pB1 HL")*0.5,COUNTIFS($J42:$AX42,"*B2 HL*",$J42:$AX42,"&lt;&gt;"&amp;"pB2 HL")*0.5)))</f>
        <v/>
      </c>
      <c r="G42" s="142" t="str">
        <f t="shared" ref="G42:G56" si="3">IF(B42="","",COUNTIFS($J42:$AX42,"*TM*",$J42:$AX42,"&lt;&gt;"&amp;"pTM",$J42:$AX42,"&lt;&gt;"&amp;"uTM"))</f>
        <v/>
      </c>
      <c r="H42" s="142" t="str">
        <f t="shared" si="1"/>
        <v/>
      </c>
      <c r="I42" s="142" t="str">
        <f>IF(Wed_W2[[#This Row],[Employee Name]]="","",IF(Wed_W2[[#This Row],[Dept]]="Supervisor",SUM(COUNTIFS($J42:$AX42,"RTA*",$J42:$AX42,"&lt;&gt;"&amp;"pRTA"),COUNTIFS($J42:$AX42,"*CRTA*",$J42:$AX42,"&lt;&gt;"&amp;"pCRTA")),COUNTIFS($J42:$AX42,"*RNNR*",$J42:$AX42,"&lt;&gt;"&amp;"*pRNNR*",$J42:$AX42,"&lt;&gt;"&amp;"pB1 RNNR",$J42:$AX42,"&lt;&gt;"&amp;"pB2 RNNR")-SUM(COUNTIFS($J42:$AX42,"*RNNR B1*",$J42:$AX42,"&lt;&gt;"&amp;"pRNNR B1")*0.5,COUNTIFS($J42:$AX42,"*RNNR B2*",$J42:$AX42,"&lt;&gt;"&amp;"pRNNR B2")*0.5,COUNTIFS($J42:$AX42,"*B1 RNNR*",$J42:$AX42,"&lt;&gt;"&amp;"pB1 RNNR")*0.5,COUNTIFS($J42:$AX42,"*B2 RNNR*",$J42:$AX42,"&lt;&gt;"&amp;"pB2 RNNR")*0.5)))</f>
        <v/>
      </c>
      <c r="J42" s="184" t="str">
        <f>IFERROR(IF(VLOOKUP(Wed_W2[[#This Row],[Employee Name]],'Base Schedules'!$A$205:$AW$241,9,FALSE)="","",VLOOKUP(Wed_W2[[#This Row],[Employee Name]],'Base Schedules'!$A$205:$AW$241,9,FALSE)),"")</f>
        <v/>
      </c>
      <c r="K42" s="184" t="str">
        <f>IFERROR(IF(VLOOKUP(Wed_W2[[#This Row],[Employee Name]],'Base Schedules'!$A$205:$AW$241,10,FALSE)="","",VLOOKUP(Wed_W2[[#This Row],[Employee Name]],'Base Schedules'!$A$205:$AW$241,10,FALSE)),"")</f>
        <v/>
      </c>
      <c r="L42" s="184" t="str">
        <f>IFERROR(IF(VLOOKUP(Wed_W2[[#This Row],[Employee Name]],'Base Schedules'!$A$205:$AW$241,11,FALSE)="","",VLOOKUP(Wed_W2[[#This Row],[Employee Name]],'Base Schedules'!$A$205:$AW$241,11,FALSE)),"")</f>
        <v/>
      </c>
      <c r="M42" s="184" t="str">
        <f>IFERROR(IF(VLOOKUP(Wed_W2[[#This Row],[Employee Name]],'Base Schedules'!$A$205:$AW$241,12,FALSE)="","",VLOOKUP(Wed_W2[[#This Row],[Employee Name]],'Base Schedules'!$A$205:$AW$241,12,FALSE)),"")</f>
        <v/>
      </c>
      <c r="N42" s="184" t="str">
        <f>IFERROR(IF(VLOOKUP(Wed_W2[[#This Row],[Employee Name]],'Base Schedules'!$A$205:$AW$241,13,FALSE)="","",VLOOKUP(Wed_W2[[#This Row],[Employee Name]],'Base Schedules'!$A$205:$AW$241,13,FALSE)),"")</f>
        <v/>
      </c>
      <c r="O42" s="184" t="str">
        <f>IFERROR(IF(VLOOKUP(Wed_W2[[#This Row],[Employee Name]],'Base Schedules'!$A$205:$AW$241,14,FALSE)="","",VLOOKUP(Wed_W2[[#This Row],[Employee Name]],'Base Schedules'!$A$205:$AW$241,14,FALSE)),"")</f>
        <v/>
      </c>
      <c r="P42" s="184" t="str">
        <f>IFERROR(IF(VLOOKUP(Wed_W2[[#This Row],[Employee Name]],'Base Schedules'!$A$205:$AW$241,15,FALSE)="","",VLOOKUP(Wed_W2[[#This Row],[Employee Name]],'Base Schedules'!$A$205:$AW$241,15,FALSE)),"")</f>
        <v/>
      </c>
      <c r="Q42" s="184" t="str">
        <f>IFERROR(IF(VLOOKUP(Wed_W2[[#This Row],[Employee Name]],'Base Schedules'!$A$205:$AW$241,16,FALSE)="","",VLOOKUP(Wed_W2[[#This Row],[Employee Name]],'Base Schedules'!$A$205:$AW$241,16,FALSE)),"")</f>
        <v/>
      </c>
      <c r="R42" s="184" t="str">
        <f>IFERROR(IF(VLOOKUP(Wed_W2[[#This Row],[Employee Name]],'Base Schedules'!$A$205:$AW$241,17,FALSE)="","",VLOOKUP(Wed_W2[[#This Row],[Employee Name]],'Base Schedules'!$A$205:$AW$241,17,FALSE)),"")</f>
        <v/>
      </c>
      <c r="S42" s="184" t="str">
        <f>IFERROR(IF(VLOOKUP(Wed_W2[[#This Row],[Employee Name]],'Base Schedules'!$A$205:$AW$241,18,FALSE)="","",VLOOKUP(Wed_W2[[#This Row],[Employee Name]],'Base Schedules'!$A$205:$AW$241,18,FALSE)),"")</f>
        <v/>
      </c>
      <c r="T42" s="184" t="str">
        <f>IFERROR(IF(VLOOKUP(Wed_W2[[#This Row],[Employee Name]],'Base Schedules'!$A$205:$AW$241,19,FALSE)="","",VLOOKUP(Wed_W2[[#This Row],[Employee Name]],'Base Schedules'!$A$205:$AW$241,19,FALSE)),"")</f>
        <v/>
      </c>
      <c r="U42" s="184" t="str">
        <f>IFERROR(IF(VLOOKUP(Wed_W2[[#This Row],[Employee Name]],'Base Schedules'!$A$205:$AW$241,20,FALSE)="","",VLOOKUP(Wed_W2[[#This Row],[Employee Name]],'Base Schedules'!$A$205:$AW$241,20,FALSE)),"")</f>
        <v/>
      </c>
      <c r="V42" s="184" t="str">
        <f>IFERROR(IF(VLOOKUP(Wed_W2[[#This Row],[Employee Name]],'Base Schedules'!$A$205:$AW$241,21,FALSE)="","",VLOOKUP(Wed_W2[[#This Row],[Employee Name]],'Base Schedules'!$A$205:$AW$241,21,FALSE)),"")</f>
        <v/>
      </c>
      <c r="W42" s="184" t="str">
        <f>IFERROR(IF(VLOOKUP(Wed_W2[[#This Row],[Employee Name]],'Base Schedules'!$A$205:$AW$241,22,FALSE)="","",VLOOKUP(Wed_W2[[#This Row],[Employee Name]],'Base Schedules'!$A$205:$AW$241,22,FALSE)),"")</f>
        <v/>
      </c>
      <c r="X42" s="184" t="str">
        <f>IFERROR(IF(VLOOKUP(Wed_W2[[#This Row],[Employee Name]],'Base Schedules'!$A$205:$AW$241,23,FALSE)="","",VLOOKUP(Wed_W2[[#This Row],[Employee Name]],'Base Schedules'!$A$205:$AW$241,23,FALSE)),"")</f>
        <v/>
      </c>
      <c r="Y42" s="184" t="str">
        <f>IFERROR(IF(VLOOKUP(Wed_W2[[#This Row],[Employee Name]],'Base Schedules'!$A$205:$AW$241,24,FALSE)="","",VLOOKUP(Wed_W2[[#This Row],[Employee Name]],'Base Schedules'!$A$205:$AW$241,24,FALSE)),"")</f>
        <v/>
      </c>
      <c r="Z42" s="184" t="str">
        <f>IFERROR(IF(VLOOKUP(Wed_W2[[#This Row],[Employee Name]],'Base Schedules'!$A$205:$AW$241,25,FALSE)="","",VLOOKUP(Wed_W2[[#This Row],[Employee Name]],'Base Schedules'!$A$205:$AW$241,25,FALSE)),"")</f>
        <v/>
      </c>
      <c r="AA42" s="184" t="str">
        <f>IFERROR(IF(VLOOKUP(Wed_W2[[#This Row],[Employee Name]],'Base Schedules'!$A$205:$AW$241,26,FALSE)="","",VLOOKUP(Wed_W2[[#This Row],[Employee Name]],'Base Schedules'!$A$205:$AW$241,26,FALSE)),"")</f>
        <v/>
      </c>
      <c r="AB42" s="184" t="str">
        <f>IFERROR(IF(VLOOKUP(Wed_W2[[#This Row],[Employee Name]],'Base Schedules'!$A$205:$AW$241,27,FALSE)="","",VLOOKUP(Wed_W2[[#This Row],[Employee Name]],'Base Schedules'!$A$205:$AW$241,27,FALSE)),"")</f>
        <v/>
      </c>
      <c r="AC42" s="184" t="str">
        <f>IFERROR(IF(VLOOKUP(Wed_W2[[#This Row],[Employee Name]],'Base Schedules'!$A$205:$AW$241,28,FALSE)="","",VLOOKUP(Wed_W2[[#This Row],[Employee Name]],'Base Schedules'!$A$205:$AW$241,28,FALSE)),"")</f>
        <v/>
      </c>
      <c r="AD42" s="184" t="str">
        <f>IFERROR(IF(VLOOKUP(Wed_W2[[#This Row],[Employee Name]],'Base Schedules'!$A$205:$AW$241,29,FALSE)="","",VLOOKUP(Wed_W2[[#This Row],[Employee Name]],'Base Schedules'!$A$205:$AW$241,29,FALSE)),"")</f>
        <v/>
      </c>
      <c r="AE42" s="184" t="str">
        <f>IFERROR(IF(VLOOKUP(Wed_W2[[#This Row],[Employee Name]],'Base Schedules'!$A$205:$AW$241,30,FALSE)="","",VLOOKUP(Wed_W2[[#This Row],[Employee Name]],'Base Schedules'!$A$205:$AW$241,30,FALSE)),"")</f>
        <v/>
      </c>
      <c r="AF42" s="184" t="str">
        <f>IFERROR(IF(VLOOKUP(Wed_W2[[#This Row],[Employee Name]],'Base Schedules'!$A$205:$AW$241,31,FALSE)="","",VLOOKUP(Wed_W2[[#This Row],[Employee Name]],'Base Schedules'!$A$205:$AW$241,31,FALSE)),"")</f>
        <v/>
      </c>
      <c r="AG42" s="184" t="str">
        <f>IFERROR(IF(VLOOKUP(Wed_W2[[#This Row],[Employee Name]],'Base Schedules'!$A$205:$AW$241,32,FALSE)="","",VLOOKUP(Wed_W2[[#This Row],[Employee Name]],'Base Schedules'!$A$205:$AW$241,32,FALSE)),"")</f>
        <v/>
      </c>
      <c r="AH42" s="184" t="str">
        <f>IFERROR(IF(VLOOKUP(Wed_W2[[#This Row],[Employee Name]],'Base Schedules'!$A$205:$AW$241,33,FALSE)="","",VLOOKUP(Wed_W2[[#This Row],[Employee Name]],'Base Schedules'!$A$205:$AW$241,33,FALSE)),"")</f>
        <v/>
      </c>
      <c r="AI42" s="184" t="str">
        <f>IFERROR(IF(VLOOKUP(Wed_W2[[#This Row],[Employee Name]],'Base Schedules'!$A$205:$AW$241,34,FALSE)="","",VLOOKUP(Wed_W2[[#This Row],[Employee Name]],'Base Schedules'!$A$205:$AW$241,34,FALSE)),"")</f>
        <v/>
      </c>
      <c r="AJ42" s="184" t="str">
        <f>IFERROR(IF(VLOOKUP(Wed_W2[[#This Row],[Employee Name]],'Base Schedules'!$A$205:$AW$241,35,FALSE)="","",VLOOKUP(Wed_W2[[#This Row],[Employee Name]],'Base Schedules'!$A$205:$AW$241,35,FALSE)),"")</f>
        <v/>
      </c>
      <c r="AK42" s="184" t="str">
        <f>IFERROR(IF(VLOOKUP(Wed_W2[[#This Row],[Employee Name]],'Base Schedules'!$A$205:$AW$241,36,FALSE)="","",VLOOKUP(Wed_W2[[#This Row],[Employee Name]],'Base Schedules'!$A$205:$AW$241,36,FALSE)),"")</f>
        <v/>
      </c>
      <c r="AL42" s="184" t="str">
        <f>IFERROR(IF(VLOOKUP(Wed_W2[[#This Row],[Employee Name]],'Base Schedules'!$A$205:$AW$241,37,FALSE)="","",VLOOKUP(Wed_W2[[#This Row],[Employee Name]],'Base Schedules'!$A$205:$AW$241,37,FALSE)),"")</f>
        <v/>
      </c>
      <c r="AM42" s="184" t="str">
        <f>IFERROR(IF(VLOOKUP(Wed_W2[[#This Row],[Employee Name]],'Base Schedules'!$A$205:$AW$241,38,FALSE)="","",VLOOKUP(Wed_W2[[#This Row],[Employee Name]],'Base Schedules'!$A$205:$AW$241,38,FALSE)),"")</f>
        <v/>
      </c>
      <c r="AN42" s="184" t="str">
        <f>IFERROR(IF(VLOOKUP(Wed_W2[[#This Row],[Employee Name]],'Base Schedules'!$A$205:$AW$241,39,FALSE)="","",VLOOKUP(Wed_W2[[#This Row],[Employee Name]],'Base Schedules'!$A$205:$AW$241,39,FALSE)),"")</f>
        <v/>
      </c>
      <c r="AO42" s="184" t="str">
        <f>IFERROR(IF(VLOOKUP(Wed_W2[[#This Row],[Employee Name]],'Base Schedules'!$A$205:$AW$241,40,FALSE)="","",VLOOKUP(Wed_W2[[#This Row],[Employee Name]],'Base Schedules'!$A$205:$AW$241,40,FALSE)),"")</f>
        <v/>
      </c>
      <c r="AP42" s="184" t="str">
        <f>IFERROR(IF(VLOOKUP(Wed_W2[[#This Row],[Employee Name]],'Base Schedules'!$A$205:$AW$241,41,FALSE)="","",VLOOKUP(Wed_W2[[#This Row],[Employee Name]],'Base Schedules'!$A$205:$AW$241,41,FALSE)),"")</f>
        <v/>
      </c>
      <c r="AQ42" s="184" t="str">
        <f>IFERROR(IF(VLOOKUP(Wed_W2[[#This Row],[Employee Name]],'Base Schedules'!$A$205:$AW$241,42,FALSE)="","",VLOOKUP(Wed_W2[[#This Row],[Employee Name]],'Base Schedules'!$A$205:$AW$241,42,FALSE)),"")</f>
        <v/>
      </c>
      <c r="AR42" s="184" t="str">
        <f>IFERROR(IF(VLOOKUP(Wed_W2[[#This Row],[Employee Name]],'Base Schedules'!$A$205:$AW$241,43,FALSE)="","",VLOOKUP(Wed_W2[[#This Row],[Employee Name]],'Base Schedules'!$A$205:$AW$241,43,FALSE)),"")</f>
        <v/>
      </c>
      <c r="AS42" s="184" t="str">
        <f>IFERROR(IF(VLOOKUP(Wed_W2[[#This Row],[Employee Name]],'Base Schedules'!$A$205:$AW$241,44,FALSE)="","",VLOOKUP(Wed_W2[[#This Row],[Employee Name]],'Base Schedules'!$A$205:$AW$241,44,FALSE)),"")</f>
        <v/>
      </c>
      <c r="AT42" s="184" t="str">
        <f>IFERROR(IF(VLOOKUP(Wed_W2[[#This Row],[Employee Name]],'Base Schedules'!$A$205:$AW$241,45,FALSE)="","",VLOOKUP(Wed_W2[[#This Row],[Employee Name]],'Base Schedules'!$A$205:$AW$241,45,FALSE)),"")</f>
        <v/>
      </c>
      <c r="AU42" s="184" t="str">
        <f>IFERROR(IF(VLOOKUP(Wed_W2[[#This Row],[Employee Name]],'Base Schedules'!$A$205:$AW$241,46,FALSE)="","",VLOOKUP(Wed_W2[[#This Row],[Employee Name]],'Base Schedules'!$A$205:$AW$241,46,FALSE)),"")</f>
        <v/>
      </c>
      <c r="AV42" s="184" t="str">
        <f>IFERROR(IF(VLOOKUP(Wed_W2[[#This Row],[Employee Name]],'Base Schedules'!$A$205:$AW$241,47,FALSE)="","",VLOOKUP(Wed_W2[[#This Row],[Employee Name]],'Base Schedules'!$A$205:$AW$241,47,FALSE)),"")</f>
        <v/>
      </c>
      <c r="AW42" s="184" t="str">
        <f>IFERROR(IF(VLOOKUP(Wed_W2[[#This Row],[Employee Name]],'Base Schedules'!$A$205:$AW$241,48,FALSE)="","",VLOOKUP(Wed_W2[[#This Row],[Employee Name]],'Base Schedules'!$A$205:$AW$241,48,FALSE)),"")</f>
        <v/>
      </c>
      <c r="AX42" s="184" t="str">
        <f>IFERROR(IF(VLOOKUP(Wed_W2[[#This Row],[Employee Name]],'Base Schedules'!$A$205:$AW$241,49,FALSE)="","",VLOOKUP(Wed_W2[[#This Row],[Employee Name]],'Base Schedules'!$A$205:$AW$241,49,FALSE)),"")</f>
        <v/>
      </c>
      <c r="AY42" s="245" t="str">
        <f t="shared" si="2"/>
        <v/>
      </c>
    </row>
    <row r="43" spans="1:51" s="44" customFormat="1" ht="12" hidden="1" customHeight="1" x14ac:dyDescent="0.2">
      <c r="A43" s="39" t="str">
        <f>IF(B43="","",INDEX(TeamList[],MATCH($B43,TeamList[[Employee Name]:[Employee Name]],0),MATCH("Manager",TeamList[#Headers],0)))</f>
        <v/>
      </c>
      <c r="B43" s="201"/>
      <c r="C43" s="257" t="str">
        <f>_xlfn.IFNA(VLOOKUP(Wed_W2[[#This Row],[Employee Name]],'Base Schedules'!A:B,2,FALSE),"")</f>
        <v/>
      </c>
      <c r="D43" s="274" t="str">
        <f>_xlfn.IFNA(VLOOKUP(Wed_W2[[#This Row],[Employee Name]],'Base Schedules'!A:C,3,FALSE),"")</f>
        <v/>
      </c>
      <c r="E43" s="274" t="str">
        <f>_xlfn.IFNA(VLOOKUP(Wed_W2[[#This Row],[Employee Name]],'Base Schedules'!A:D,4,FALSE),"")</f>
        <v/>
      </c>
      <c r="F43" s="142" t="str">
        <f>IF(Wed_W2[[#This Row],[Employee Name]]="","",IF(Wed_W2[[#This Row],[Dept]]="Supervisor",COUNTIFS($J43:$AX43,"*HL*",$J43:$AX43,"&lt;&gt;"&amp;"pHL"),COUNTIFS($J43:$AX43,"*HL*",$J43:$AX43,"&lt;&gt;"&amp;"*pHL*",$J43:$AX43,"&lt;&gt;"&amp;"pB1 HL",$J43:$AX43,"&lt;&gt;"&amp;"pB2 HL")-SUM(COUNTIFS($J43:$AX43,"*HL B1*",$J43:$AX43,"&lt;&gt;"&amp;"pHL B1")*0.5,COUNTIFS($J43:$AX43,"*HL B2*",$J43:$AX43,"&lt;&gt;"&amp;"pHL B2")*0.5,COUNTIFS($J43:$AX43,"*B1 HL*",$J43:$AX43,"&lt;&gt;"&amp;"pB1 HL")*0.5,COUNTIFS($J43:$AX43,"*B2 HL*",$J43:$AX43,"&lt;&gt;"&amp;"pB2 HL")*0.5)))</f>
        <v/>
      </c>
      <c r="G43" s="142" t="str">
        <f t="shared" si="3"/>
        <v/>
      </c>
      <c r="H43" s="142" t="str">
        <f t="shared" si="1"/>
        <v/>
      </c>
      <c r="I43" s="142" t="str">
        <f>IF(Wed_W2[[#This Row],[Employee Name]]="","",IF(Wed_W2[[#This Row],[Dept]]="Supervisor",SUM(COUNTIFS($J43:$AX43,"RTA*",$J43:$AX43,"&lt;&gt;"&amp;"pRTA"),COUNTIFS($J43:$AX43,"*CRTA*",$J43:$AX43,"&lt;&gt;"&amp;"pCRTA")),COUNTIFS($J43:$AX43,"*RNNR*",$J43:$AX43,"&lt;&gt;"&amp;"*pRNNR*",$J43:$AX43,"&lt;&gt;"&amp;"pB1 RNNR",$J43:$AX43,"&lt;&gt;"&amp;"pB2 RNNR")-SUM(COUNTIFS($J43:$AX43,"*RNNR B1*",$J43:$AX43,"&lt;&gt;"&amp;"pRNNR B1")*0.5,COUNTIFS($J43:$AX43,"*RNNR B2*",$J43:$AX43,"&lt;&gt;"&amp;"pRNNR B2")*0.5,COUNTIFS($J43:$AX43,"*B1 RNNR*",$J43:$AX43,"&lt;&gt;"&amp;"pB1 RNNR")*0.5,COUNTIFS($J43:$AX43,"*B2 RNNR*",$J43:$AX43,"&lt;&gt;"&amp;"pB2 RNNR")*0.5)))</f>
        <v/>
      </c>
      <c r="J43" s="184" t="str">
        <f>IFERROR(IF(VLOOKUP(Wed_W2[[#This Row],[Employee Name]],'Base Schedules'!$A$205:$AW$241,9,FALSE)="","",VLOOKUP(Wed_W2[[#This Row],[Employee Name]],'Base Schedules'!$A$205:$AW$241,9,FALSE)),"")</f>
        <v/>
      </c>
      <c r="K43" s="184" t="str">
        <f>IFERROR(IF(VLOOKUP(Wed_W2[[#This Row],[Employee Name]],'Base Schedules'!$A$205:$AW$241,10,FALSE)="","",VLOOKUP(Wed_W2[[#This Row],[Employee Name]],'Base Schedules'!$A$205:$AW$241,10,FALSE)),"")</f>
        <v/>
      </c>
      <c r="L43" s="184" t="str">
        <f>IFERROR(IF(VLOOKUP(Wed_W2[[#This Row],[Employee Name]],'Base Schedules'!$A$205:$AW$241,11,FALSE)="","",VLOOKUP(Wed_W2[[#This Row],[Employee Name]],'Base Schedules'!$A$205:$AW$241,11,FALSE)),"")</f>
        <v/>
      </c>
      <c r="M43" s="184" t="str">
        <f>IFERROR(IF(VLOOKUP(Wed_W2[[#This Row],[Employee Name]],'Base Schedules'!$A$205:$AW$241,12,FALSE)="","",VLOOKUP(Wed_W2[[#This Row],[Employee Name]],'Base Schedules'!$A$205:$AW$241,12,FALSE)),"")</f>
        <v/>
      </c>
      <c r="N43" s="184" t="str">
        <f>IFERROR(IF(VLOOKUP(Wed_W2[[#This Row],[Employee Name]],'Base Schedules'!$A$205:$AW$241,13,FALSE)="","",VLOOKUP(Wed_W2[[#This Row],[Employee Name]],'Base Schedules'!$A$205:$AW$241,13,FALSE)),"")</f>
        <v/>
      </c>
      <c r="O43" s="184" t="str">
        <f>IFERROR(IF(VLOOKUP(Wed_W2[[#This Row],[Employee Name]],'Base Schedules'!$A$205:$AW$241,14,FALSE)="","",VLOOKUP(Wed_W2[[#This Row],[Employee Name]],'Base Schedules'!$A$205:$AW$241,14,FALSE)),"")</f>
        <v/>
      </c>
      <c r="P43" s="184" t="str">
        <f>IFERROR(IF(VLOOKUP(Wed_W2[[#This Row],[Employee Name]],'Base Schedules'!$A$205:$AW$241,15,FALSE)="","",VLOOKUP(Wed_W2[[#This Row],[Employee Name]],'Base Schedules'!$A$205:$AW$241,15,FALSE)),"")</f>
        <v/>
      </c>
      <c r="Q43" s="184" t="str">
        <f>IFERROR(IF(VLOOKUP(Wed_W2[[#This Row],[Employee Name]],'Base Schedules'!$A$205:$AW$241,16,FALSE)="","",VLOOKUP(Wed_W2[[#This Row],[Employee Name]],'Base Schedules'!$A$205:$AW$241,16,FALSE)),"")</f>
        <v/>
      </c>
      <c r="R43" s="184" t="str">
        <f>IFERROR(IF(VLOOKUP(Wed_W2[[#This Row],[Employee Name]],'Base Schedules'!$A$205:$AW$241,17,FALSE)="","",VLOOKUP(Wed_W2[[#This Row],[Employee Name]],'Base Schedules'!$A$205:$AW$241,17,FALSE)),"")</f>
        <v/>
      </c>
      <c r="S43" s="184" t="str">
        <f>IFERROR(IF(VLOOKUP(Wed_W2[[#This Row],[Employee Name]],'Base Schedules'!$A$205:$AW$241,18,FALSE)="","",VLOOKUP(Wed_W2[[#This Row],[Employee Name]],'Base Schedules'!$A$205:$AW$241,18,FALSE)),"")</f>
        <v/>
      </c>
      <c r="T43" s="184" t="str">
        <f>IFERROR(IF(VLOOKUP(Wed_W2[[#This Row],[Employee Name]],'Base Schedules'!$A$205:$AW$241,19,FALSE)="","",VLOOKUP(Wed_W2[[#This Row],[Employee Name]],'Base Schedules'!$A$205:$AW$241,19,FALSE)),"")</f>
        <v/>
      </c>
      <c r="U43" s="184" t="str">
        <f>IFERROR(IF(VLOOKUP(Wed_W2[[#This Row],[Employee Name]],'Base Schedules'!$A$205:$AW$241,20,FALSE)="","",VLOOKUP(Wed_W2[[#This Row],[Employee Name]],'Base Schedules'!$A$205:$AW$241,20,FALSE)),"")</f>
        <v/>
      </c>
      <c r="V43" s="184" t="str">
        <f>IFERROR(IF(VLOOKUP(Wed_W2[[#This Row],[Employee Name]],'Base Schedules'!$A$205:$AW$241,21,FALSE)="","",VLOOKUP(Wed_W2[[#This Row],[Employee Name]],'Base Schedules'!$A$205:$AW$241,21,FALSE)),"")</f>
        <v/>
      </c>
      <c r="W43" s="184" t="str">
        <f>IFERROR(IF(VLOOKUP(Wed_W2[[#This Row],[Employee Name]],'Base Schedules'!$A$205:$AW$241,22,FALSE)="","",VLOOKUP(Wed_W2[[#This Row],[Employee Name]],'Base Schedules'!$A$205:$AW$241,22,FALSE)),"")</f>
        <v/>
      </c>
      <c r="X43" s="184" t="str">
        <f>IFERROR(IF(VLOOKUP(Wed_W2[[#This Row],[Employee Name]],'Base Schedules'!$A$205:$AW$241,23,FALSE)="","",VLOOKUP(Wed_W2[[#This Row],[Employee Name]],'Base Schedules'!$A$205:$AW$241,23,FALSE)),"")</f>
        <v/>
      </c>
      <c r="Y43" s="184" t="str">
        <f>IFERROR(IF(VLOOKUP(Wed_W2[[#This Row],[Employee Name]],'Base Schedules'!$A$205:$AW$241,24,FALSE)="","",VLOOKUP(Wed_W2[[#This Row],[Employee Name]],'Base Schedules'!$A$205:$AW$241,24,FALSE)),"")</f>
        <v/>
      </c>
      <c r="Z43" s="184" t="str">
        <f>IFERROR(IF(VLOOKUP(Wed_W2[[#This Row],[Employee Name]],'Base Schedules'!$A$205:$AW$241,25,FALSE)="","",VLOOKUP(Wed_W2[[#This Row],[Employee Name]],'Base Schedules'!$A$205:$AW$241,25,FALSE)),"")</f>
        <v/>
      </c>
      <c r="AA43" s="184" t="str">
        <f>IFERROR(IF(VLOOKUP(Wed_W2[[#This Row],[Employee Name]],'Base Schedules'!$A$205:$AW$241,26,FALSE)="","",VLOOKUP(Wed_W2[[#This Row],[Employee Name]],'Base Schedules'!$A$205:$AW$241,26,FALSE)),"")</f>
        <v/>
      </c>
      <c r="AB43" s="184" t="str">
        <f>IFERROR(IF(VLOOKUP(Wed_W2[[#This Row],[Employee Name]],'Base Schedules'!$A$205:$AW$241,27,FALSE)="","",VLOOKUP(Wed_W2[[#This Row],[Employee Name]],'Base Schedules'!$A$205:$AW$241,27,FALSE)),"")</f>
        <v/>
      </c>
      <c r="AC43" s="184" t="str">
        <f>IFERROR(IF(VLOOKUP(Wed_W2[[#This Row],[Employee Name]],'Base Schedules'!$A$205:$AW$241,28,FALSE)="","",VLOOKUP(Wed_W2[[#This Row],[Employee Name]],'Base Schedules'!$A$205:$AW$241,28,FALSE)),"")</f>
        <v/>
      </c>
      <c r="AD43" s="184" t="str">
        <f>IFERROR(IF(VLOOKUP(Wed_W2[[#This Row],[Employee Name]],'Base Schedules'!$A$205:$AW$241,29,FALSE)="","",VLOOKUP(Wed_W2[[#This Row],[Employee Name]],'Base Schedules'!$A$205:$AW$241,29,FALSE)),"")</f>
        <v/>
      </c>
      <c r="AE43" s="184" t="str">
        <f>IFERROR(IF(VLOOKUP(Wed_W2[[#This Row],[Employee Name]],'Base Schedules'!$A$205:$AW$241,30,FALSE)="","",VLOOKUP(Wed_W2[[#This Row],[Employee Name]],'Base Schedules'!$A$205:$AW$241,30,FALSE)),"")</f>
        <v/>
      </c>
      <c r="AF43" s="184" t="str">
        <f>IFERROR(IF(VLOOKUP(Wed_W2[[#This Row],[Employee Name]],'Base Schedules'!$A$205:$AW$241,31,FALSE)="","",VLOOKUP(Wed_W2[[#This Row],[Employee Name]],'Base Schedules'!$A$205:$AW$241,31,FALSE)),"")</f>
        <v/>
      </c>
      <c r="AG43" s="184" t="str">
        <f>IFERROR(IF(VLOOKUP(Wed_W2[[#This Row],[Employee Name]],'Base Schedules'!$A$205:$AW$241,32,FALSE)="","",VLOOKUP(Wed_W2[[#This Row],[Employee Name]],'Base Schedules'!$A$205:$AW$241,32,FALSE)),"")</f>
        <v/>
      </c>
      <c r="AH43" s="184" t="str">
        <f>IFERROR(IF(VLOOKUP(Wed_W2[[#This Row],[Employee Name]],'Base Schedules'!$A$205:$AW$241,33,FALSE)="","",VLOOKUP(Wed_W2[[#This Row],[Employee Name]],'Base Schedules'!$A$205:$AW$241,33,FALSE)),"")</f>
        <v/>
      </c>
      <c r="AI43" s="184" t="str">
        <f>IFERROR(IF(VLOOKUP(Wed_W2[[#This Row],[Employee Name]],'Base Schedules'!$A$205:$AW$241,34,FALSE)="","",VLOOKUP(Wed_W2[[#This Row],[Employee Name]],'Base Schedules'!$A$205:$AW$241,34,FALSE)),"")</f>
        <v/>
      </c>
      <c r="AJ43" s="184" t="str">
        <f>IFERROR(IF(VLOOKUP(Wed_W2[[#This Row],[Employee Name]],'Base Schedules'!$A$205:$AW$241,35,FALSE)="","",VLOOKUP(Wed_W2[[#This Row],[Employee Name]],'Base Schedules'!$A$205:$AW$241,35,FALSE)),"")</f>
        <v/>
      </c>
      <c r="AK43" s="184" t="str">
        <f>IFERROR(IF(VLOOKUP(Wed_W2[[#This Row],[Employee Name]],'Base Schedules'!$A$205:$AW$241,36,FALSE)="","",VLOOKUP(Wed_W2[[#This Row],[Employee Name]],'Base Schedules'!$A$205:$AW$241,36,FALSE)),"")</f>
        <v/>
      </c>
      <c r="AL43" s="184" t="str">
        <f>IFERROR(IF(VLOOKUP(Wed_W2[[#This Row],[Employee Name]],'Base Schedules'!$A$205:$AW$241,37,FALSE)="","",VLOOKUP(Wed_W2[[#This Row],[Employee Name]],'Base Schedules'!$A$205:$AW$241,37,FALSE)),"")</f>
        <v/>
      </c>
      <c r="AM43" s="184" t="str">
        <f>IFERROR(IF(VLOOKUP(Wed_W2[[#This Row],[Employee Name]],'Base Schedules'!$A$205:$AW$241,38,FALSE)="","",VLOOKUP(Wed_W2[[#This Row],[Employee Name]],'Base Schedules'!$A$205:$AW$241,38,FALSE)),"")</f>
        <v/>
      </c>
      <c r="AN43" s="184" t="str">
        <f>IFERROR(IF(VLOOKUP(Wed_W2[[#This Row],[Employee Name]],'Base Schedules'!$A$205:$AW$241,39,FALSE)="","",VLOOKUP(Wed_W2[[#This Row],[Employee Name]],'Base Schedules'!$A$205:$AW$241,39,FALSE)),"")</f>
        <v/>
      </c>
      <c r="AO43" s="184" t="str">
        <f>IFERROR(IF(VLOOKUP(Wed_W2[[#This Row],[Employee Name]],'Base Schedules'!$A$205:$AW$241,40,FALSE)="","",VLOOKUP(Wed_W2[[#This Row],[Employee Name]],'Base Schedules'!$A$205:$AW$241,40,FALSE)),"")</f>
        <v/>
      </c>
      <c r="AP43" s="184" t="str">
        <f>IFERROR(IF(VLOOKUP(Wed_W2[[#This Row],[Employee Name]],'Base Schedules'!$A$205:$AW$241,41,FALSE)="","",VLOOKUP(Wed_W2[[#This Row],[Employee Name]],'Base Schedules'!$A$205:$AW$241,41,FALSE)),"")</f>
        <v/>
      </c>
      <c r="AQ43" s="184" t="str">
        <f>IFERROR(IF(VLOOKUP(Wed_W2[[#This Row],[Employee Name]],'Base Schedules'!$A$205:$AW$241,42,FALSE)="","",VLOOKUP(Wed_W2[[#This Row],[Employee Name]],'Base Schedules'!$A$205:$AW$241,42,FALSE)),"")</f>
        <v/>
      </c>
      <c r="AR43" s="184" t="str">
        <f>IFERROR(IF(VLOOKUP(Wed_W2[[#This Row],[Employee Name]],'Base Schedules'!$A$205:$AW$241,43,FALSE)="","",VLOOKUP(Wed_W2[[#This Row],[Employee Name]],'Base Schedules'!$A$205:$AW$241,43,FALSE)),"")</f>
        <v/>
      </c>
      <c r="AS43" s="184" t="str">
        <f>IFERROR(IF(VLOOKUP(Wed_W2[[#This Row],[Employee Name]],'Base Schedules'!$A$205:$AW$241,44,FALSE)="","",VLOOKUP(Wed_W2[[#This Row],[Employee Name]],'Base Schedules'!$A$205:$AW$241,44,FALSE)),"")</f>
        <v/>
      </c>
      <c r="AT43" s="184" t="str">
        <f>IFERROR(IF(VLOOKUP(Wed_W2[[#This Row],[Employee Name]],'Base Schedules'!$A$205:$AW$241,45,FALSE)="","",VLOOKUP(Wed_W2[[#This Row],[Employee Name]],'Base Schedules'!$A$205:$AW$241,45,FALSE)),"")</f>
        <v/>
      </c>
      <c r="AU43" s="184" t="str">
        <f>IFERROR(IF(VLOOKUP(Wed_W2[[#This Row],[Employee Name]],'Base Schedules'!$A$205:$AW$241,46,FALSE)="","",VLOOKUP(Wed_W2[[#This Row],[Employee Name]],'Base Schedules'!$A$205:$AW$241,46,FALSE)),"")</f>
        <v/>
      </c>
      <c r="AV43" s="184" t="str">
        <f>IFERROR(IF(VLOOKUP(Wed_W2[[#This Row],[Employee Name]],'Base Schedules'!$A$205:$AW$241,47,FALSE)="","",VLOOKUP(Wed_W2[[#This Row],[Employee Name]],'Base Schedules'!$A$205:$AW$241,47,FALSE)),"")</f>
        <v/>
      </c>
      <c r="AW43" s="184" t="str">
        <f>IFERROR(IF(VLOOKUP(Wed_W2[[#This Row],[Employee Name]],'Base Schedules'!$A$205:$AW$241,48,FALSE)="","",VLOOKUP(Wed_W2[[#This Row],[Employee Name]],'Base Schedules'!$A$205:$AW$241,48,FALSE)),"")</f>
        <v/>
      </c>
      <c r="AX43" s="184" t="str">
        <f>IFERROR(IF(VLOOKUP(Wed_W2[[#This Row],[Employee Name]],'Base Schedules'!$A$205:$AW$241,49,FALSE)="","",VLOOKUP(Wed_W2[[#This Row],[Employee Name]],'Base Schedules'!$A$205:$AW$241,49,FALSE)),"")</f>
        <v/>
      </c>
      <c r="AY43" s="245" t="str">
        <f t="shared" si="2"/>
        <v/>
      </c>
    </row>
    <row r="44" spans="1:51" s="44" customFormat="1" ht="12" hidden="1" customHeight="1" x14ac:dyDescent="0.2">
      <c r="A44" s="39" t="str">
        <f>IF(B44="","",INDEX(TeamList[],MATCH($B44,TeamList[[Employee Name]:[Employee Name]],0),MATCH("Manager",TeamList[#Headers],0)))</f>
        <v/>
      </c>
      <c r="B44" s="201"/>
      <c r="C44" s="257" t="str">
        <f>_xlfn.IFNA(VLOOKUP(Wed_W2[[#This Row],[Employee Name]],'Base Schedules'!A:B,2,FALSE),"")</f>
        <v/>
      </c>
      <c r="D44" s="274" t="str">
        <f>_xlfn.IFNA(VLOOKUP(Wed_W2[[#This Row],[Employee Name]],'Base Schedules'!A:C,3,FALSE),"")</f>
        <v/>
      </c>
      <c r="E44" s="274" t="str">
        <f>_xlfn.IFNA(VLOOKUP(Wed_W2[[#This Row],[Employee Name]],'Base Schedules'!A:D,4,FALSE),"")</f>
        <v/>
      </c>
      <c r="F44" s="142" t="str">
        <f>IF(Wed_W2[[#This Row],[Employee Name]]="","",IF(Wed_W2[[#This Row],[Dept]]="Supervisor",COUNTIFS($J44:$AX44,"*HL*",$J44:$AX44,"&lt;&gt;"&amp;"pHL"),COUNTIFS($J44:$AX44,"*HL*",$J44:$AX44,"&lt;&gt;"&amp;"*pHL*",$J44:$AX44,"&lt;&gt;"&amp;"pB1 HL",$J44:$AX44,"&lt;&gt;"&amp;"pB2 HL")-SUM(COUNTIFS($J44:$AX44,"*HL B1*",$J44:$AX44,"&lt;&gt;"&amp;"pHL B1")*0.5,COUNTIFS($J44:$AX44,"*HL B2*",$J44:$AX44,"&lt;&gt;"&amp;"pHL B2")*0.5,COUNTIFS($J44:$AX44,"*B1 HL*",$J44:$AX44,"&lt;&gt;"&amp;"pB1 HL")*0.5,COUNTIFS($J44:$AX44,"*B2 HL*",$J44:$AX44,"&lt;&gt;"&amp;"pB2 HL")*0.5)))</f>
        <v/>
      </c>
      <c r="G44" s="142" t="str">
        <f t="shared" si="3"/>
        <v/>
      </c>
      <c r="H44" s="142" t="str">
        <f t="shared" si="1"/>
        <v/>
      </c>
      <c r="I44" s="142" t="str">
        <f>IF(Wed_W2[[#This Row],[Employee Name]]="","",IF(Wed_W2[[#This Row],[Dept]]="Supervisor",SUM(COUNTIFS($J44:$AX44,"RTA*",$J44:$AX44,"&lt;&gt;"&amp;"pRTA"),COUNTIFS($J44:$AX44,"*CRTA*",$J44:$AX44,"&lt;&gt;"&amp;"pCRTA")),COUNTIFS($J44:$AX44,"*RNNR*",$J44:$AX44,"&lt;&gt;"&amp;"*pRNNR*",$J44:$AX44,"&lt;&gt;"&amp;"pB1 RNNR",$J44:$AX44,"&lt;&gt;"&amp;"pB2 RNNR")-SUM(COUNTIFS($J44:$AX44,"*RNNR B1*",$J44:$AX44,"&lt;&gt;"&amp;"pRNNR B1")*0.5,COUNTIFS($J44:$AX44,"*RNNR B2*",$J44:$AX44,"&lt;&gt;"&amp;"pRNNR B2")*0.5,COUNTIFS($J44:$AX44,"*B1 RNNR*",$J44:$AX44,"&lt;&gt;"&amp;"pB1 RNNR")*0.5,COUNTIFS($J44:$AX44,"*B2 RNNR*",$J44:$AX44,"&lt;&gt;"&amp;"pB2 RNNR")*0.5)))</f>
        <v/>
      </c>
      <c r="J44" s="184" t="str">
        <f>IFERROR(IF(VLOOKUP(Wed_W2[[#This Row],[Employee Name]],'Base Schedules'!$A$205:$AW$241,9,FALSE)="","",VLOOKUP(Wed_W2[[#This Row],[Employee Name]],'Base Schedules'!$A$205:$AW$241,9,FALSE)),"")</f>
        <v/>
      </c>
      <c r="K44" s="184" t="str">
        <f>IFERROR(IF(VLOOKUP(Wed_W2[[#This Row],[Employee Name]],'Base Schedules'!$A$205:$AW$241,10,FALSE)="","",VLOOKUP(Wed_W2[[#This Row],[Employee Name]],'Base Schedules'!$A$205:$AW$241,10,FALSE)),"")</f>
        <v/>
      </c>
      <c r="L44" s="184" t="str">
        <f>IFERROR(IF(VLOOKUP(Wed_W2[[#This Row],[Employee Name]],'Base Schedules'!$A$205:$AW$241,11,FALSE)="","",VLOOKUP(Wed_W2[[#This Row],[Employee Name]],'Base Schedules'!$A$205:$AW$241,11,FALSE)),"")</f>
        <v/>
      </c>
      <c r="M44" s="184" t="str">
        <f>IFERROR(IF(VLOOKUP(Wed_W2[[#This Row],[Employee Name]],'Base Schedules'!$A$205:$AW$241,12,FALSE)="","",VLOOKUP(Wed_W2[[#This Row],[Employee Name]],'Base Schedules'!$A$205:$AW$241,12,FALSE)),"")</f>
        <v/>
      </c>
      <c r="N44" s="184" t="str">
        <f>IFERROR(IF(VLOOKUP(Wed_W2[[#This Row],[Employee Name]],'Base Schedules'!$A$205:$AW$241,13,FALSE)="","",VLOOKUP(Wed_W2[[#This Row],[Employee Name]],'Base Schedules'!$A$205:$AW$241,13,FALSE)),"")</f>
        <v/>
      </c>
      <c r="O44" s="184" t="str">
        <f>IFERROR(IF(VLOOKUP(Wed_W2[[#This Row],[Employee Name]],'Base Schedules'!$A$205:$AW$241,14,FALSE)="","",VLOOKUP(Wed_W2[[#This Row],[Employee Name]],'Base Schedules'!$A$205:$AW$241,14,FALSE)),"")</f>
        <v/>
      </c>
      <c r="P44" s="184" t="str">
        <f>IFERROR(IF(VLOOKUP(Wed_W2[[#This Row],[Employee Name]],'Base Schedules'!$A$205:$AW$241,15,FALSE)="","",VLOOKUP(Wed_W2[[#This Row],[Employee Name]],'Base Schedules'!$A$205:$AW$241,15,FALSE)),"")</f>
        <v/>
      </c>
      <c r="Q44" s="184" t="str">
        <f>IFERROR(IF(VLOOKUP(Wed_W2[[#This Row],[Employee Name]],'Base Schedules'!$A$205:$AW$241,16,FALSE)="","",VLOOKUP(Wed_W2[[#This Row],[Employee Name]],'Base Schedules'!$A$205:$AW$241,16,FALSE)),"")</f>
        <v/>
      </c>
      <c r="R44" s="184" t="str">
        <f>IFERROR(IF(VLOOKUP(Wed_W2[[#This Row],[Employee Name]],'Base Schedules'!$A$205:$AW$241,17,FALSE)="","",VLOOKUP(Wed_W2[[#This Row],[Employee Name]],'Base Schedules'!$A$205:$AW$241,17,FALSE)),"")</f>
        <v/>
      </c>
      <c r="S44" s="184" t="str">
        <f>IFERROR(IF(VLOOKUP(Wed_W2[[#This Row],[Employee Name]],'Base Schedules'!$A$205:$AW$241,18,FALSE)="","",VLOOKUP(Wed_W2[[#This Row],[Employee Name]],'Base Schedules'!$A$205:$AW$241,18,FALSE)),"")</f>
        <v/>
      </c>
      <c r="T44" s="184" t="str">
        <f>IFERROR(IF(VLOOKUP(Wed_W2[[#This Row],[Employee Name]],'Base Schedules'!$A$205:$AW$241,19,FALSE)="","",VLOOKUP(Wed_W2[[#This Row],[Employee Name]],'Base Schedules'!$A$205:$AW$241,19,FALSE)),"")</f>
        <v/>
      </c>
      <c r="U44" s="184" t="str">
        <f>IFERROR(IF(VLOOKUP(Wed_W2[[#This Row],[Employee Name]],'Base Schedules'!$A$205:$AW$241,20,FALSE)="","",VLOOKUP(Wed_W2[[#This Row],[Employee Name]],'Base Schedules'!$A$205:$AW$241,20,FALSE)),"")</f>
        <v/>
      </c>
      <c r="V44" s="184" t="str">
        <f>IFERROR(IF(VLOOKUP(Wed_W2[[#This Row],[Employee Name]],'Base Schedules'!$A$205:$AW$241,21,FALSE)="","",VLOOKUP(Wed_W2[[#This Row],[Employee Name]],'Base Schedules'!$A$205:$AW$241,21,FALSE)),"")</f>
        <v/>
      </c>
      <c r="W44" s="184" t="str">
        <f>IFERROR(IF(VLOOKUP(Wed_W2[[#This Row],[Employee Name]],'Base Schedules'!$A$205:$AW$241,22,FALSE)="","",VLOOKUP(Wed_W2[[#This Row],[Employee Name]],'Base Schedules'!$A$205:$AW$241,22,FALSE)),"")</f>
        <v/>
      </c>
      <c r="X44" s="184" t="str">
        <f>IFERROR(IF(VLOOKUP(Wed_W2[[#This Row],[Employee Name]],'Base Schedules'!$A$205:$AW$241,23,FALSE)="","",VLOOKUP(Wed_W2[[#This Row],[Employee Name]],'Base Schedules'!$A$205:$AW$241,23,FALSE)),"")</f>
        <v/>
      </c>
      <c r="Y44" s="184" t="str">
        <f>IFERROR(IF(VLOOKUP(Wed_W2[[#This Row],[Employee Name]],'Base Schedules'!$A$205:$AW$241,24,FALSE)="","",VLOOKUP(Wed_W2[[#This Row],[Employee Name]],'Base Schedules'!$A$205:$AW$241,24,FALSE)),"")</f>
        <v/>
      </c>
      <c r="Z44" s="184" t="str">
        <f>IFERROR(IF(VLOOKUP(Wed_W2[[#This Row],[Employee Name]],'Base Schedules'!$A$205:$AW$241,25,FALSE)="","",VLOOKUP(Wed_W2[[#This Row],[Employee Name]],'Base Schedules'!$A$205:$AW$241,25,FALSE)),"")</f>
        <v/>
      </c>
      <c r="AA44" s="184" t="str">
        <f>IFERROR(IF(VLOOKUP(Wed_W2[[#This Row],[Employee Name]],'Base Schedules'!$A$205:$AW$241,26,FALSE)="","",VLOOKUP(Wed_W2[[#This Row],[Employee Name]],'Base Schedules'!$A$205:$AW$241,26,FALSE)),"")</f>
        <v/>
      </c>
      <c r="AB44" s="184" t="str">
        <f>IFERROR(IF(VLOOKUP(Wed_W2[[#This Row],[Employee Name]],'Base Schedules'!$A$205:$AW$241,27,FALSE)="","",VLOOKUP(Wed_W2[[#This Row],[Employee Name]],'Base Schedules'!$A$205:$AW$241,27,FALSE)),"")</f>
        <v/>
      </c>
      <c r="AC44" s="184" t="str">
        <f>IFERROR(IF(VLOOKUP(Wed_W2[[#This Row],[Employee Name]],'Base Schedules'!$A$205:$AW$241,28,FALSE)="","",VLOOKUP(Wed_W2[[#This Row],[Employee Name]],'Base Schedules'!$A$205:$AW$241,28,FALSE)),"")</f>
        <v/>
      </c>
      <c r="AD44" s="184" t="str">
        <f>IFERROR(IF(VLOOKUP(Wed_W2[[#This Row],[Employee Name]],'Base Schedules'!$A$205:$AW$241,29,FALSE)="","",VLOOKUP(Wed_W2[[#This Row],[Employee Name]],'Base Schedules'!$A$205:$AW$241,29,FALSE)),"")</f>
        <v/>
      </c>
      <c r="AE44" s="184" t="str">
        <f>IFERROR(IF(VLOOKUP(Wed_W2[[#This Row],[Employee Name]],'Base Schedules'!$A$205:$AW$241,30,FALSE)="","",VLOOKUP(Wed_W2[[#This Row],[Employee Name]],'Base Schedules'!$A$205:$AW$241,30,FALSE)),"")</f>
        <v/>
      </c>
      <c r="AF44" s="184" t="str">
        <f>IFERROR(IF(VLOOKUP(Wed_W2[[#This Row],[Employee Name]],'Base Schedules'!$A$205:$AW$241,31,FALSE)="","",VLOOKUP(Wed_W2[[#This Row],[Employee Name]],'Base Schedules'!$A$205:$AW$241,31,FALSE)),"")</f>
        <v/>
      </c>
      <c r="AG44" s="184" t="str">
        <f>IFERROR(IF(VLOOKUP(Wed_W2[[#This Row],[Employee Name]],'Base Schedules'!$A$205:$AW$241,32,FALSE)="","",VLOOKUP(Wed_W2[[#This Row],[Employee Name]],'Base Schedules'!$A$205:$AW$241,32,FALSE)),"")</f>
        <v/>
      </c>
      <c r="AH44" s="184" t="str">
        <f>IFERROR(IF(VLOOKUP(Wed_W2[[#This Row],[Employee Name]],'Base Schedules'!$A$205:$AW$241,33,FALSE)="","",VLOOKUP(Wed_W2[[#This Row],[Employee Name]],'Base Schedules'!$A$205:$AW$241,33,FALSE)),"")</f>
        <v/>
      </c>
      <c r="AI44" s="184" t="str">
        <f>IFERROR(IF(VLOOKUP(Wed_W2[[#This Row],[Employee Name]],'Base Schedules'!$A$205:$AW$241,34,FALSE)="","",VLOOKUP(Wed_W2[[#This Row],[Employee Name]],'Base Schedules'!$A$205:$AW$241,34,FALSE)),"")</f>
        <v/>
      </c>
      <c r="AJ44" s="184" t="str">
        <f>IFERROR(IF(VLOOKUP(Wed_W2[[#This Row],[Employee Name]],'Base Schedules'!$A$205:$AW$241,35,FALSE)="","",VLOOKUP(Wed_W2[[#This Row],[Employee Name]],'Base Schedules'!$A$205:$AW$241,35,FALSE)),"")</f>
        <v/>
      </c>
      <c r="AK44" s="184" t="str">
        <f>IFERROR(IF(VLOOKUP(Wed_W2[[#This Row],[Employee Name]],'Base Schedules'!$A$205:$AW$241,36,FALSE)="","",VLOOKUP(Wed_W2[[#This Row],[Employee Name]],'Base Schedules'!$A$205:$AW$241,36,FALSE)),"")</f>
        <v/>
      </c>
      <c r="AL44" s="184" t="str">
        <f>IFERROR(IF(VLOOKUP(Wed_W2[[#This Row],[Employee Name]],'Base Schedules'!$A$205:$AW$241,37,FALSE)="","",VLOOKUP(Wed_W2[[#This Row],[Employee Name]],'Base Schedules'!$A$205:$AW$241,37,FALSE)),"")</f>
        <v/>
      </c>
      <c r="AM44" s="184" t="str">
        <f>IFERROR(IF(VLOOKUP(Wed_W2[[#This Row],[Employee Name]],'Base Schedules'!$A$205:$AW$241,38,FALSE)="","",VLOOKUP(Wed_W2[[#This Row],[Employee Name]],'Base Schedules'!$A$205:$AW$241,38,FALSE)),"")</f>
        <v/>
      </c>
      <c r="AN44" s="184" t="str">
        <f>IFERROR(IF(VLOOKUP(Wed_W2[[#This Row],[Employee Name]],'Base Schedules'!$A$205:$AW$241,39,FALSE)="","",VLOOKUP(Wed_W2[[#This Row],[Employee Name]],'Base Schedules'!$A$205:$AW$241,39,FALSE)),"")</f>
        <v/>
      </c>
      <c r="AO44" s="184" t="str">
        <f>IFERROR(IF(VLOOKUP(Wed_W2[[#This Row],[Employee Name]],'Base Schedules'!$A$205:$AW$241,40,FALSE)="","",VLOOKUP(Wed_W2[[#This Row],[Employee Name]],'Base Schedules'!$A$205:$AW$241,40,FALSE)),"")</f>
        <v/>
      </c>
      <c r="AP44" s="184" t="str">
        <f>IFERROR(IF(VLOOKUP(Wed_W2[[#This Row],[Employee Name]],'Base Schedules'!$A$205:$AW$241,41,FALSE)="","",VLOOKUP(Wed_W2[[#This Row],[Employee Name]],'Base Schedules'!$A$205:$AW$241,41,FALSE)),"")</f>
        <v/>
      </c>
      <c r="AQ44" s="184" t="str">
        <f>IFERROR(IF(VLOOKUP(Wed_W2[[#This Row],[Employee Name]],'Base Schedules'!$A$205:$AW$241,42,FALSE)="","",VLOOKUP(Wed_W2[[#This Row],[Employee Name]],'Base Schedules'!$A$205:$AW$241,42,FALSE)),"")</f>
        <v/>
      </c>
      <c r="AR44" s="184" t="str">
        <f>IFERROR(IF(VLOOKUP(Wed_W2[[#This Row],[Employee Name]],'Base Schedules'!$A$205:$AW$241,43,FALSE)="","",VLOOKUP(Wed_W2[[#This Row],[Employee Name]],'Base Schedules'!$A$205:$AW$241,43,FALSE)),"")</f>
        <v/>
      </c>
      <c r="AS44" s="184" t="str">
        <f>IFERROR(IF(VLOOKUP(Wed_W2[[#This Row],[Employee Name]],'Base Schedules'!$A$205:$AW$241,44,FALSE)="","",VLOOKUP(Wed_W2[[#This Row],[Employee Name]],'Base Schedules'!$A$205:$AW$241,44,FALSE)),"")</f>
        <v/>
      </c>
      <c r="AT44" s="184" t="str">
        <f>IFERROR(IF(VLOOKUP(Wed_W2[[#This Row],[Employee Name]],'Base Schedules'!$A$205:$AW$241,45,FALSE)="","",VLOOKUP(Wed_W2[[#This Row],[Employee Name]],'Base Schedules'!$A$205:$AW$241,45,FALSE)),"")</f>
        <v/>
      </c>
      <c r="AU44" s="184" t="str">
        <f>IFERROR(IF(VLOOKUP(Wed_W2[[#This Row],[Employee Name]],'Base Schedules'!$A$205:$AW$241,46,FALSE)="","",VLOOKUP(Wed_W2[[#This Row],[Employee Name]],'Base Schedules'!$A$205:$AW$241,46,FALSE)),"")</f>
        <v/>
      </c>
      <c r="AV44" s="184" t="str">
        <f>IFERROR(IF(VLOOKUP(Wed_W2[[#This Row],[Employee Name]],'Base Schedules'!$A$205:$AW$241,47,FALSE)="","",VLOOKUP(Wed_W2[[#This Row],[Employee Name]],'Base Schedules'!$A$205:$AW$241,47,FALSE)),"")</f>
        <v/>
      </c>
      <c r="AW44" s="184" t="str">
        <f>IFERROR(IF(VLOOKUP(Wed_W2[[#This Row],[Employee Name]],'Base Schedules'!$A$205:$AW$241,48,FALSE)="","",VLOOKUP(Wed_W2[[#This Row],[Employee Name]],'Base Schedules'!$A$205:$AW$241,48,FALSE)),"")</f>
        <v/>
      </c>
      <c r="AX44" s="184" t="str">
        <f>IFERROR(IF(VLOOKUP(Wed_W2[[#This Row],[Employee Name]],'Base Schedules'!$A$205:$AW$241,49,FALSE)="","",VLOOKUP(Wed_W2[[#This Row],[Employee Name]],'Base Schedules'!$A$205:$AW$241,49,FALSE)),"")</f>
        <v/>
      </c>
      <c r="AY44" s="159" t="str">
        <f t="shared" si="2"/>
        <v/>
      </c>
    </row>
    <row r="45" spans="1:51" s="44" customFormat="1" ht="12" hidden="1" customHeight="1" x14ac:dyDescent="0.2">
      <c r="A45" s="39" t="str">
        <f>IF(B45="","",INDEX(TeamList[],MATCH($B45,TeamList[[Employee Name]:[Employee Name]],0),MATCH("Manager",TeamList[#Headers],0)))</f>
        <v/>
      </c>
      <c r="B45" s="201"/>
      <c r="C45" s="257" t="str">
        <f>_xlfn.IFNA(VLOOKUP(Wed_W2[[#This Row],[Employee Name]],'Base Schedules'!A:B,2,FALSE),"")</f>
        <v/>
      </c>
      <c r="D45" s="274" t="str">
        <f>_xlfn.IFNA(VLOOKUP(Wed_W2[[#This Row],[Employee Name]],'Base Schedules'!A:C,3,FALSE),"")</f>
        <v/>
      </c>
      <c r="E45" s="274" t="str">
        <f>_xlfn.IFNA(VLOOKUP(Wed_W2[[#This Row],[Employee Name]],'Base Schedules'!A:D,4,FALSE),"")</f>
        <v/>
      </c>
      <c r="F45" s="142" t="str">
        <f>IF(Wed_W2[[#This Row],[Employee Name]]="","",IF(Wed_W2[[#This Row],[Dept]]="Supervisor",COUNTIFS($J45:$AX45,"*HL*",$J45:$AX45,"&lt;&gt;"&amp;"pHL"),COUNTIFS($J45:$AX45,"*HL*",$J45:$AX45,"&lt;&gt;"&amp;"*pHL*",$J45:$AX45,"&lt;&gt;"&amp;"pB1 HL",$J45:$AX45,"&lt;&gt;"&amp;"pB2 HL")-SUM(COUNTIFS($J45:$AX45,"*HL B1*",$J45:$AX45,"&lt;&gt;"&amp;"pHL B1")*0.5,COUNTIFS($J45:$AX45,"*HL B2*",$J45:$AX45,"&lt;&gt;"&amp;"pHL B2")*0.5,COUNTIFS($J45:$AX45,"*B1 HL*",$J45:$AX45,"&lt;&gt;"&amp;"pB1 HL")*0.5,COUNTIFS($J45:$AX45,"*B2 HL*",$J45:$AX45,"&lt;&gt;"&amp;"pB2 HL")*0.5)))</f>
        <v/>
      </c>
      <c r="G45" s="142" t="str">
        <f t="shared" si="3"/>
        <v/>
      </c>
      <c r="H45" s="142" t="str">
        <f t="shared" si="1"/>
        <v/>
      </c>
      <c r="I45" s="142" t="str">
        <f>IF(Wed_W2[[#This Row],[Employee Name]]="","",IF(Wed_W2[[#This Row],[Dept]]="Supervisor",SUM(COUNTIFS($J45:$AX45,"RTA*",$J45:$AX45,"&lt;&gt;"&amp;"pRTA"),COUNTIFS($J45:$AX45,"*CRTA*",$J45:$AX45,"&lt;&gt;"&amp;"pCRTA")),COUNTIFS($J45:$AX45,"*RNNR*",$J45:$AX45,"&lt;&gt;"&amp;"*pRNNR*",$J45:$AX45,"&lt;&gt;"&amp;"pB1 RNNR",$J45:$AX45,"&lt;&gt;"&amp;"pB2 RNNR")-SUM(COUNTIFS($J45:$AX45,"*RNNR B1*",$J45:$AX45,"&lt;&gt;"&amp;"pRNNR B1")*0.5,COUNTIFS($J45:$AX45,"*RNNR B2*",$J45:$AX45,"&lt;&gt;"&amp;"pRNNR B2")*0.5,COUNTIFS($J45:$AX45,"*B1 RNNR*",$J45:$AX45,"&lt;&gt;"&amp;"pB1 RNNR")*0.5,COUNTIFS($J45:$AX45,"*B2 RNNR*",$J45:$AX45,"&lt;&gt;"&amp;"pB2 RNNR")*0.5)))</f>
        <v/>
      </c>
      <c r="J45" s="184" t="str">
        <f>IFERROR(IF(VLOOKUP(Wed_W2[[#This Row],[Employee Name]],'Base Schedules'!$A$205:$AW$241,9,FALSE)="","",VLOOKUP(Wed_W2[[#This Row],[Employee Name]],'Base Schedules'!$A$205:$AW$241,9,FALSE)),"")</f>
        <v/>
      </c>
      <c r="K45" s="184" t="str">
        <f>IFERROR(IF(VLOOKUP(Wed_W2[[#This Row],[Employee Name]],'Base Schedules'!$A$205:$AW$241,10,FALSE)="","",VLOOKUP(Wed_W2[[#This Row],[Employee Name]],'Base Schedules'!$A$205:$AW$241,10,FALSE)),"")</f>
        <v/>
      </c>
      <c r="L45" s="184" t="str">
        <f>IFERROR(IF(VLOOKUP(Wed_W2[[#This Row],[Employee Name]],'Base Schedules'!$A$205:$AW$241,11,FALSE)="","",VLOOKUP(Wed_W2[[#This Row],[Employee Name]],'Base Schedules'!$A$205:$AW$241,11,FALSE)),"")</f>
        <v/>
      </c>
      <c r="M45" s="184" t="str">
        <f>IFERROR(IF(VLOOKUP(Wed_W2[[#This Row],[Employee Name]],'Base Schedules'!$A$205:$AW$241,12,FALSE)="","",VLOOKUP(Wed_W2[[#This Row],[Employee Name]],'Base Schedules'!$A$205:$AW$241,12,FALSE)),"")</f>
        <v/>
      </c>
      <c r="N45" s="184" t="str">
        <f>IFERROR(IF(VLOOKUP(Wed_W2[[#This Row],[Employee Name]],'Base Schedules'!$A$205:$AW$241,13,FALSE)="","",VLOOKUP(Wed_W2[[#This Row],[Employee Name]],'Base Schedules'!$A$205:$AW$241,13,FALSE)),"")</f>
        <v/>
      </c>
      <c r="O45" s="184" t="str">
        <f>IFERROR(IF(VLOOKUP(Wed_W2[[#This Row],[Employee Name]],'Base Schedules'!$A$205:$AW$241,14,FALSE)="","",VLOOKUP(Wed_W2[[#This Row],[Employee Name]],'Base Schedules'!$A$205:$AW$241,14,FALSE)),"")</f>
        <v/>
      </c>
      <c r="P45" s="184" t="str">
        <f>IFERROR(IF(VLOOKUP(Wed_W2[[#This Row],[Employee Name]],'Base Schedules'!$A$205:$AW$241,15,FALSE)="","",VLOOKUP(Wed_W2[[#This Row],[Employee Name]],'Base Schedules'!$A$205:$AW$241,15,FALSE)),"")</f>
        <v/>
      </c>
      <c r="Q45" s="184" t="str">
        <f>IFERROR(IF(VLOOKUP(Wed_W2[[#This Row],[Employee Name]],'Base Schedules'!$A$205:$AW$241,16,FALSE)="","",VLOOKUP(Wed_W2[[#This Row],[Employee Name]],'Base Schedules'!$A$205:$AW$241,16,FALSE)),"")</f>
        <v/>
      </c>
      <c r="R45" s="184" t="str">
        <f>IFERROR(IF(VLOOKUP(Wed_W2[[#This Row],[Employee Name]],'Base Schedules'!$A$205:$AW$241,17,FALSE)="","",VLOOKUP(Wed_W2[[#This Row],[Employee Name]],'Base Schedules'!$A$205:$AW$241,17,FALSE)),"")</f>
        <v/>
      </c>
      <c r="S45" s="184" t="str">
        <f>IFERROR(IF(VLOOKUP(Wed_W2[[#This Row],[Employee Name]],'Base Schedules'!$A$205:$AW$241,18,FALSE)="","",VLOOKUP(Wed_W2[[#This Row],[Employee Name]],'Base Schedules'!$A$205:$AW$241,18,FALSE)),"")</f>
        <v/>
      </c>
      <c r="T45" s="184" t="str">
        <f>IFERROR(IF(VLOOKUP(Wed_W2[[#This Row],[Employee Name]],'Base Schedules'!$A$205:$AW$241,19,FALSE)="","",VLOOKUP(Wed_W2[[#This Row],[Employee Name]],'Base Schedules'!$A$205:$AW$241,19,FALSE)),"")</f>
        <v/>
      </c>
      <c r="U45" s="184" t="str">
        <f>IFERROR(IF(VLOOKUP(Wed_W2[[#This Row],[Employee Name]],'Base Schedules'!$A$205:$AW$241,20,FALSE)="","",VLOOKUP(Wed_W2[[#This Row],[Employee Name]],'Base Schedules'!$A$205:$AW$241,20,FALSE)),"")</f>
        <v/>
      </c>
      <c r="V45" s="184" t="str">
        <f>IFERROR(IF(VLOOKUP(Wed_W2[[#This Row],[Employee Name]],'Base Schedules'!$A$205:$AW$241,21,FALSE)="","",VLOOKUP(Wed_W2[[#This Row],[Employee Name]],'Base Schedules'!$A$205:$AW$241,21,FALSE)),"")</f>
        <v/>
      </c>
      <c r="W45" s="184" t="str">
        <f>IFERROR(IF(VLOOKUP(Wed_W2[[#This Row],[Employee Name]],'Base Schedules'!$A$205:$AW$241,22,FALSE)="","",VLOOKUP(Wed_W2[[#This Row],[Employee Name]],'Base Schedules'!$A$205:$AW$241,22,FALSE)),"")</f>
        <v/>
      </c>
      <c r="X45" s="184" t="str">
        <f>IFERROR(IF(VLOOKUP(Wed_W2[[#This Row],[Employee Name]],'Base Schedules'!$A$205:$AW$241,23,FALSE)="","",VLOOKUP(Wed_W2[[#This Row],[Employee Name]],'Base Schedules'!$A$205:$AW$241,23,FALSE)),"")</f>
        <v/>
      </c>
      <c r="Y45" s="184" t="str">
        <f>IFERROR(IF(VLOOKUP(Wed_W2[[#This Row],[Employee Name]],'Base Schedules'!$A$205:$AW$241,24,FALSE)="","",VLOOKUP(Wed_W2[[#This Row],[Employee Name]],'Base Schedules'!$A$205:$AW$241,24,FALSE)),"")</f>
        <v/>
      </c>
      <c r="Z45" s="184" t="str">
        <f>IFERROR(IF(VLOOKUP(Wed_W2[[#This Row],[Employee Name]],'Base Schedules'!$A$205:$AW$241,25,FALSE)="","",VLOOKUP(Wed_W2[[#This Row],[Employee Name]],'Base Schedules'!$A$205:$AW$241,25,FALSE)),"")</f>
        <v/>
      </c>
      <c r="AA45" s="184" t="str">
        <f>IFERROR(IF(VLOOKUP(Wed_W2[[#This Row],[Employee Name]],'Base Schedules'!$A$205:$AW$241,26,FALSE)="","",VLOOKUP(Wed_W2[[#This Row],[Employee Name]],'Base Schedules'!$A$205:$AW$241,26,FALSE)),"")</f>
        <v/>
      </c>
      <c r="AB45" s="184" t="str">
        <f>IFERROR(IF(VLOOKUP(Wed_W2[[#This Row],[Employee Name]],'Base Schedules'!$A$205:$AW$241,27,FALSE)="","",VLOOKUP(Wed_W2[[#This Row],[Employee Name]],'Base Schedules'!$A$205:$AW$241,27,FALSE)),"")</f>
        <v/>
      </c>
      <c r="AC45" s="184" t="str">
        <f>IFERROR(IF(VLOOKUP(Wed_W2[[#This Row],[Employee Name]],'Base Schedules'!$A$205:$AW$241,28,FALSE)="","",VLOOKUP(Wed_W2[[#This Row],[Employee Name]],'Base Schedules'!$A$205:$AW$241,28,FALSE)),"")</f>
        <v/>
      </c>
      <c r="AD45" s="184" t="str">
        <f>IFERROR(IF(VLOOKUP(Wed_W2[[#This Row],[Employee Name]],'Base Schedules'!$A$205:$AW$241,29,FALSE)="","",VLOOKUP(Wed_W2[[#This Row],[Employee Name]],'Base Schedules'!$A$205:$AW$241,29,FALSE)),"")</f>
        <v/>
      </c>
      <c r="AE45" s="184" t="str">
        <f>IFERROR(IF(VLOOKUP(Wed_W2[[#This Row],[Employee Name]],'Base Schedules'!$A$205:$AW$241,30,FALSE)="","",VLOOKUP(Wed_W2[[#This Row],[Employee Name]],'Base Schedules'!$A$205:$AW$241,30,FALSE)),"")</f>
        <v/>
      </c>
      <c r="AF45" s="184" t="str">
        <f>IFERROR(IF(VLOOKUP(Wed_W2[[#This Row],[Employee Name]],'Base Schedules'!$A$205:$AW$241,31,FALSE)="","",VLOOKUP(Wed_W2[[#This Row],[Employee Name]],'Base Schedules'!$A$205:$AW$241,31,FALSE)),"")</f>
        <v/>
      </c>
      <c r="AG45" s="184" t="str">
        <f>IFERROR(IF(VLOOKUP(Wed_W2[[#This Row],[Employee Name]],'Base Schedules'!$A$205:$AW$241,32,FALSE)="","",VLOOKUP(Wed_W2[[#This Row],[Employee Name]],'Base Schedules'!$A$205:$AW$241,32,FALSE)),"")</f>
        <v/>
      </c>
      <c r="AH45" s="184" t="str">
        <f>IFERROR(IF(VLOOKUP(Wed_W2[[#This Row],[Employee Name]],'Base Schedules'!$A$205:$AW$241,33,FALSE)="","",VLOOKUP(Wed_W2[[#This Row],[Employee Name]],'Base Schedules'!$A$205:$AW$241,33,FALSE)),"")</f>
        <v/>
      </c>
      <c r="AI45" s="184" t="str">
        <f>IFERROR(IF(VLOOKUP(Wed_W2[[#This Row],[Employee Name]],'Base Schedules'!$A$205:$AW$241,34,FALSE)="","",VLOOKUP(Wed_W2[[#This Row],[Employee Name]],'Base Schedules'!$A$205:$AW$241,34,FALSE)),"")</f>
        <v/>
      </c>
      <c r="AJ45" s="184" t="str">
        <f>IFERROR(IF(VLOOKUP(Wed_W2[[#This Row],[Employee Name]],'Base Schedules'!$A$205:$AW$241,35,FALSE)="","",VLOOKUP(Wed_W2[[#This Row],[Employee Name]],'Base Schedules'!$A$205:$AW$241,35,FALSE)),"")</f>
        <v/>
      </c>
      <c r="AK45" s="184" t="str">
        <f>IFERROR(IF(VLOOKUP(Wed_W2[[#This Row],[Employee Name]],'Base Schedules'!$A$205:$AW$241,36,FALSE)="","",VLOOKUP(Wed_W2[[#This Row],[Employee Name]],'Base Schedules'!$A$205:$AW$241,36,FALSE)),"")</f>
        <v/>
      </c>
      <c r="AL45" s="184" t="str">
        <f>IFERROR(IF(VLOOKUP(Wed_W2[[#This Row],[Employee Name]],'Base Schedules'!$A$205:$AW$241,37,FALSE)="","",VLOOKUP(Wed_W2[[#This Row],[Employee Name]],'Base Schedules'!$A$205:$AW$241,37,FALSE)),"")</f>
        <v/>
      </c>
      <c r="AM45" s="184" t="str">
        <f>IFERROR(IF(VLOOKUP(Wed_W2[[#This Row],[Employee Name]],'Base Schedules'!$A$205:$AW$241,38,FALSE)="","",VLOOKUP(Wed_W2[[#This Row],[Employee Name]],'Base Schedules'!$A$205:$AW$241,38,FALSE)),"")</f>
        <v/>
      </c>
      <c r="AN45" s="184" t="str">
        <f>IFERROR(IF(VLOOKUP(Wed_W2[[#This Row],[Employee Name]],'Base Schedules'!$A$205:$AW$241,39,FALSE)="","",VLOOKUP(Wed_W2[[#This Row],[Employee Name]],'Base Schedules'!$A$205:$AW$241,39,FALSE)),"")</f>
        <v/>
      </c>
      <c r="AO45" s="184" t="str">
        <f>IFERROR(IF(VLOOKUP(Wed_W2[[#This Row],[Employee Name]],'Base Schedules'!$A$205:$AW$241,40,FALSE)="","",VLOOKUP(Wed_W2[[#This Row],[Employee Name]],'Base Schedules'!$A$205:$AW$241,40,FALSE)),"")</f>
        <v/>
      </c>
      <c r="AP45" s="184" t="str">
        <f>IFERROR(IF(VLOOKUP(Wed_W2[[#This Row],[Employee Name]],'Base Schedules'!$A$205:$AW$241,41,FALSE)="","",VLOOKUP(Wed_W2[[#This Row],[Employee Name]],'Base Schedules'!$A$205:$AW$241,41,FALSE)),"")</f>
        <v/>
      </c>
      <c r="AQ45" s="184" t="str">
        <f>IFERROR(IF(VLOOKUP(Wed_W2[[#This Row],[Employee Name]],'Base Schedules'!$A$205:$AW$241,42,FALSE)="","",VLOOKUP(Wed_W2[[#This Row],[Employee Name]],'Base Schedules'!$A$205:$AW$241,42,FALSE)),"")</f>
        <v/>
      </c>
      <c r="AR45" s="184" t="str">
        <f>IFERROR(IF(VLOOKUP(Wed_W2[[#This Row],[Employee Name]],'Base Schedules'!$A$205:$AW$241,43,FALSE)="","",VLOOKUP(Wed_W2[[#This Row],[Employee Name]],'Base Schedules'!$A$205:$AW$241,43,FALSE)),"")</f>
        <v/>
      </c>
      <c r="AS45" s="184" t="str">
        <f>IFERROR(IF(VLOOKUP(Wed_W2[[#This Row],[Employee Name]],'Base Schedules'!$A$205:$AW$241,44,FALSE)="","",VLOOKUP(Wed_W2[[#This Row],[Employee Name]],'Base Schedules'!$A$205:$AW$241,44,FALSE)),"")</f>
        <v/>
      </c>
      <c r="AT45" s="184" t="str">
        <f>IFERROR(IF(VLOOKUP(Wed_W2[[#This Row],[Employee Name]],'Base Schedules'!$A$205:$AW$241,45,FALSE)="","",VLOOKUP(Wed_W2[[#This Row],[Employee Name]],'Base Schedules'!$A$205:$AW$241,45,FALSE)),"")</f>
        <v/>
      </c>
      <c r="AU45" s="184" t="str">
        <f>IFERROR(IF(VLOOKUP(Wed_W2[[#This Row],[Employee Name]],'Base Schedules'!$A$205:$AW$241,46,FALSE)="","",VLOOKUP(Wed_W2[[#This Row],[Employee Name]],'Base Schedules'!$A$205:$AW$241,46,FALSE)),"")</f>
        <v/>
      </c>
      <c r="AV45" s="184" t="str">
        <f>IFERROR(IF(VLOOKUP(Wed_W2[[#This Row],[Employee Name]],'Base Schedules'!$A$205:$AW$241,47,FALSE)="","",VLOOKUP(Wed_W2[[#This Row],[Employee Name]],'Base Schedules'!$A$205:$AW$241,47,FALSE)),"")</f>
        <v/>
      </c>
      <c r="AW45" s="184" t="str">
        <f>IFERROR(IF(VLOOKUP(Wed_W2[[#This Row],[Employee Name]],'Base Schedules'!$A$205:$AW$241,48,FALSE)="","",VLOOKUP(Wed_W2[[#This Row],[Employee Name]],'Base Schedules'!$A$205:$AW$241,48,FALSE)),"")</f>
        <v/>
      </c>
      <c r="AX45" s="184" t="str">
        <f>IFERROR(IF(VLOOKUP(Wed_W2[[#This Row],[Employee Name]],'Base Schedules'!$A$205:$AW$241,49,FALSE)="","",VLOOKUP(Wed_W2[[#This Row],[Employee Name]],'Base Schedules'!$A$205:$AW$241,49,FALSE)),"")</f>
        <v/>
      </c>
      <c r="AY45" s="245" t="str">
        <f t="shared" si="2"/>
        <v/>
      </c>
    </row>
    <row r="46" spans="1:51" s="44" customFormat="1" ht="12" hidden="1" customHeight="1" x14ac:dyDescent="0.2">
      <c r="A46" s="39" t="str">
        <f>IF(B46="","",INDEX(TeamList[],MATCH($B46,TeamList[[Employee Name]:[Employee Name]],0),MATCH("Manager",TeamList[#Headers],0)))</f>
        <v/>
      </c>
      <c r="B46" s="201"/>
      <c r="C46" s="257" t="str">
        <f>_xlfn.IFNA(VLOOKUP(Wed_W2[[#This Row],[Employee Name]],'Base Schedules'!A:B,2,FALSE),"")</f>
        <v/>
      </c>
      <c r="D46" s="274" t="str">
        <f>_xlfn.IFNA(VLOOKUP(Wed_W2[[#This Row],[Employee Name]],'Base Schedules'!A:C,3,FALSE),"")</f>
        <v/>
      </c>
      <c r="E46" s="274" t="str">
        <f>_xlfn.IFNA(VLOOKUP(Wed_W2[[#This Row],[Employee Name]],'Base Schedules'!A:D,4,FALSE),"")</f>
        <v/>
      </c>
      <c r="F46" s="142" t="str">
        <f>IF(Wed_W2[[#This Row],[Employee Name]]="","",IF(Wed_W2[[#This Row],[Dept]]="Supervisor",COUNTIFS($J46:$AX46,"*HL*",$J46:$AX46,"&lt;&gt;"&amp;"pHL"),COUNTIFS($J46:$AX46,"*HL*",$J46:$AX46,"&lt;&gt;"&amp;"*pHL*",$J46:$AX46,"&lt;&gt;"&amp;"pB1 HL",$J46:$AX46,"&lt;&gt;"&amp;"pB2 HL")-SUM(COUNTIFS($J46:$AX46,"*HL B1*",$J46:$AX46,"&lt;&gt;"&amp;"pHL B1")*0.5,COUNTIFS($J46:$AX46,"*HL B2*",$J46:$AX46,"&lt;&gt;"&amp;"pHL B2")*0.5,COUNTIFS($J46:$AX46,"*B1 HL*",$J46:$AX46,"&lt;&gt;"&amp;"pB1 HL")*0.5,COUNTIFS($J46:$AX46,"*B2 HL*",$J46:$AX46,"&lt;&gt;"&amp;"pB2 HL")*0.5)))</f>
        <v/>
      </c>
      <c r="G46" s="142" t="str">
        <f t="shared" si="3"/>
        <v/>
      </c>
      <c r="H46" s="142" t="str">
        <f t="shared" si="1"/>
        <v/>
      </c>
      <c r="I46" s="142" t="str">
        <f>IF(Wed_W2[[#This Row],[Employee Name]]="","",IF(Wed_W2[[#This Row],[Dept]]="Supervisor",SUM(COUNTIFS($J46:$AX46,"RTA*",$J46:$AX46,"&lt;&gt;"&amp;"pRTA"),COUNTIFS($J46:$AX46,"*CRTA*",$J46:$AX46,"&lt;&gt;"&amp;"pCRTA")),COUNTIFS($J46:$AX46,"*RNNR*",$J46:$AX46,"&lt;&gt;"&amp;"*pRNNR*",$J46:$AX46,"&lt;&gt;"&amp;"pB1 RNNR",$J46:$AX46,"&lt;&gt;"&amp;"pB2 RNNR")-SUM(COUNTIFS($J46:$AX46,"*RNNR B1*",$J46:$AX46,"&lt;&gt;"&amp;"pRNNR B1")*0.5,COUNTIFS($J46:$AX46,"*RNNR B2*",$J46:$AX46,"&lt;&gt;"&amp;"pRNNR B2")*0.5,COUNTIFS($J46:$AX46,"*B1 RNNR*",$J46:$AX46,"&lt;&gt;"&amp;"pB1 RNNR")*0.5,COUNTIFS($J46:$AX46,"*B2 RNNR*",$J46:$AX46,"&lt;&gt;"&amp;"pB2 RNNR")*0.5)))</f>
        <v/>
      </c>
      <c r="J46" s="184" t="str">
        <f>IFERROR(IF(VLOOKUP(Wed_W2[[#This Row],[Employee Name]],'Base Schedules'!$A$205:$AW$241,9,FALSE)="","",VLOOKUP(Wed_W2[[#This Row],[Employee Name]],'Base Schedules'!$A$205:$AW$241,9,FALSE)),"")</f>
        <v/>
      </c>
      <c r="K46" s="184" t="str">
        <f>IFERROR(IF(VLOOKUP(Wed_W2[[#This Row],[Employee Name]],'Base Schedules'!$A$205:$AW$241,10,FALSE)="","",VLOOKUP(Wed_W2[[#This Row],[Employee Name]],'Base Schedules'!$A$205:$AW$241,10,FALSE)),"")</f>
        <v/>
      </c>
      <c r="L46" s="184" t="str">
        <f>IFERROR(IF(VLOOKUP(Wed_W2[[#This Row],[Employee Name]],'Base Schedules'!$A$205:$AW$241,11,FALSE)="","",VLOOKUP(Wed_W2[[#This Row],[Employee Name]],'Base Schedules'!$A$205:$AW$241,11,FALSE)),"")</f>
        <v/>
      </c>
      <c r="M46" s="184" t="str">
        <f>IFERROR(IF(VLOOKUP(Wed_W2[[#This Row],[Employee Name]],'Base Schedules'!$A$205:$AW$241,12,FALSE)="","",VLOOKUP(Wed_W2[[#This Row],[Employee Name]],'Base Schedules'!$A$205:$AW$241,12,FALSE)),"")</f>
        <v/>
      </c>
      <c r="N46" s="184" t="str">
        <f>IFERROR(IF(VLOOKUP(Wed_W2[[#This Row],[Employee Name]],'Base Schedules'!$A$205:$AW$241,13,FALSE)="","",VLOOKUP(Wed_W2[[#This Row],[Employee Name]],'Base Schedules'!$A$205:$AW$241,13,FALSE)),"")</f>
        <v/>
      </c>
      <c r="O46" s="184" t="str">
        <f>IFERROR(IF(VLOOKUP(Wed_W2[[#This Row],[Employee Name]],'Base Schedules'!$A$205:$AW$241,14,FALSE)="","",VLOOKUP(Wed_W2[[#This Row],[Employee Name]],'Base Schedules'!$A$205:$AW$241,14,FALSE)),"")</f>
        <v/>
      </c>
      <c r="P46" s="184" t="str">
        <f>IFERROR(IF(VLOOKUP(Wed_W2[[#This Row],[Employee Name]],'Base Schedules'!$A$205:$AW$241,15,FALSE)="","",VLOOKUP(Wed_W2[[#This Row],[Employee Name]],'Base Schedules'!$A$205:$AW$241,15,FALSE)),"")</f>
        <v/>
      </c>
      <c r="Q46" s="184" t="str">
        <f>IFERROR(IF(VLOOKUP(Wed_W2[[#This Row],[Employee Name]],'Base Schedules'!$A$205:$AW$241,16,FALSE)="","",VLOOKUP(Wed_W2[[#This Row],[Employee Name]],'Base Schedules'!$A$205:$AW$241,16,FALSE)),"")</f>
        <v/>
      </c>
      <c r="R46" s="184" t="str">
        <f>IFERROR(IF(VLOOKUP(Wed_W2[[#This Row],[Employee Name]],'Base Schedules'!$A$205:$AW$241,17,FALSE)="","",VLOOKUP(Wed_W2[[#This Row],[Employee Name]],'Base Schedules'!$A$205:$AW$241,17,FALSE)),"")</f>
        <v/>
      </c>
      <c r="S46" s="184" t="str">
        <f>IFERROR(IF(VLOOKUP(Wed_W2[[#This Row],[Employee Name]],'Base Schedules'!$A$205:$AW$241,18,FALSE)="","",VLOOKUP(Wed_W2[[#This Row],[Employee Name]],'Base Schedules'!$A$205:$AW$241,18,FALSE)),"")</f>
        <v/>
      </c>
      <c r="T46" s="184" t="str">
        <f>IFERROR(IF(VLOOKUP(Wed_W2[[#This Row],[Employee Name]],'Base Schedules'!$A$205:$AW$241,19,FALSE)="","",VLOOKUP(Wed_W2[[#This Row],[Employee Name]],'Base Schedules'!$A$205:$AW$241,19,FALSE)),"")</f>
        <v/>
      </c>
      <c r="U46" s="184" t="str">
        <f>IFERROR(IF(VLOOKUP(Wed_W2[[#This Row],[Employee Name]],'Base Schedules'!$A$205:$AW$241,20,FALSE)="","",VLOOKUP(Wed_W2[[#This Row],[Employee Name]],'Base Schedules'!$A$205:$AW$241,20,FALSE)),"")</f>
        <v/>
      </c>
      <c r="V46" s="184" t="str">
        <f>IFERROR(IF(VLOOKUP(Wed_W2[[#This Row],[Employee Name]],'Base Schedules'!$A$205:$AW$241,21,FALSE)="","",VLOOKUP(Wed_W2[[#This Row],[Employee Name]],'Base Schedules'!$A$205:$AW$241,21,FALSE)),"")</f>
        <v/>
      </c>
      <c r="W46" s="184" t="str">
        <f>IFERROR(IF(VLOOKUP(Wed_W2[[#This Row],[Employee Name]],'Base Schedules'!$A$205:$AW$241,22,FALSE)="","",VLOOKUP(Wed_W2[[#This Row],[Employee Name]],'Base Schedules'!$A$205:$AW$241,22,FALSE)),"")</f>
        <v/>
      </c>
      <c r="X46" s="184" t="str">
        <f>IFERROR(IF(VLOOKUP(Wed_W2[[#This Row],[Employee Name]],'Base Schedules'!$A$205:$AW$241,23,FALSE)="","",VLOOKUP(Wed_W2[[#This Row],[Employee Name]],'Base Schedules'!$A$205:$AW$241,23,FALSE)),"")</f>
        <v/>
      </c>
      <c r="Y46" s="184" t="str">
        <f>IFERROR(IF(VLOOKUP(Wed_W2[[#This Row],[Employee Name]],'Base Schedules'!$A$205:$AW$241,24,FALSE)="","",VLOOKUP(Wed_W2[[#This Row],[Employee Name]],'Base Schedules'!$A$205:$AW$241,24,FALSE)),"")</f>
        <v/>
      </c>
      <c r="Z46" s="184" t="str">
        <f>IFERROR(IF(VLOOKUP(Wed_W2[[#This Row],[Employee Name]],'Base Schedules'!$A$205:$AW$241,25,FALSE)="","",VLOOKUP(Wed_W2[[#This Row],[Employee Name]],'Base Schedules'!$A$205:$AW$241,25,FALSE)),"")</f>
        <v/>
      </c>
      <c r="AA46" s="184" t="str">
        <f>IFERROR(IF(VLOOKUP(Wed_W2[[#This Row],[Employee Name]],'Base Schedules'!$A$205:$AW$241,26,FALSE)="","",VLOOKUP(Wed_W2[[#This Row],[Employee Name]],'Base Schedules'!$A$205:$AW$241,26,FALSE)),"")</f>
        <v/>
      </c>
      <c r="AB46" s="184" t="str">
        <f>IFERROR(IF(VLOOKUP(Wed_W2[[#This Row],[Employee Name]],'Base Schedules'!$A$205:$AW$241,27,FALSE)="","",VLOOKUP(Wed_W2[[#This Row],[Employee Name]],'Base Schedules'!$A$205:$AW$241,27,FALSE)),"")</f>
        <v/>
      </c>
      <c r="AC46" s="184" t="str">
        <f>IFERROR(IF(VLOOKUP(Wed_W2[[#This Row],[Employee Name]],'Base Schedules'!$A$205:$AW$241,28,FALSE)="","",VLOOKUP(Wed_W2[[#This Row],[Employee Name]],'Base Schedules'!$A$205:$AW$241,28,FALSE)),"")</f>
        <v/>
      </c>
      <c r="AD46" s="184" t="str">
        <f>IFERROR(IF(VLOOKUP(Wed_W2[[#This Row],[Employee Name]],'Base Schedules'!$A$205:$AW$241,29,FALSE)="","",VLOOKUP(Wed_W2[[#This Row],[Employee Name]],'Base Schedules'!$A$205:$AW$241,29,FALSE)),"")</f>
        <v/>
      </c>
      <c r="AE46" s="184" t="str">
        <f>IFERROR(IF(VLOOKUP(Wed_W2[[#This Row],[Employee Name]],'Base Schedules'!$A$205:$AW$241,30,FALSE)="","",VLOOKUP(Wed_W2[[#This Row],[Employee Name]],'Base Schedules'!$A$205:$AW$241,30,FALSE)),"")</f>
        <v/>
      </c>
      <c r="AF46" s="184" t="str">
        <f>IFERROR(IF(VLOOKUP(Wed_W2[[#This Row],[Employee Name]],'Base Schedules'!$A$205:$AW$241,31,FALSE)="","",VLOOKUP(Wed_W2[[#This Row],[Employee Name]],'Base Schedules'!$A$205:$AW$241,31,FALSE)),"")</f>
        <v/>
      </c>
      <c r="AG46" s="184" t="str">
        <f>IFERROR(IF(VLOOKUP(Wed_W2[[#This Row],[Employee Name]],'Base Schedules'!$A$205:$AW$241,32,FALSE)="","",VLOOKUP(Wed_W2[[#This Row],[Employee Name]],'Base Schedules'!$A$205:$AW$241,32,FALSE)),"")</f>
        <v/>
      </c>
      <c r="AH46" s="184" t="str">
        <f>IFERROR(IF(VLOOKUP(Wed_W2[[#This Row],[Employee Name]],'Base Schedules'!$A$205:$AW$241,33,FALSE)="","",VLOOKUP(Wed_W2[[#This Row],[Employee Name]],'Base Schedules'!$A$205:$AW$241,33,FALSE)),"")</f>
        <v/>
      </c>
      <c r="AI46" s="184" t="str">
        <f>IFERROR(IF(VLOOKUP(Wed_W2[[#This Row],[Employee Name]],'Base Schedules'!$A$205:$AW$241,34,FALSE)="","",VLOOKUP(Wed_W2[[#This Row],[Employee Name]],'Base Schedules'!$A$205:$AW$241,34,FALSE)),"")</f>
        <v/>
      </c>
      <c r="AJ46" s="184" t="str">
        <f>IFERROR(IF(VLOOKUP(Wed_W2[[#This Row],[Employee Name]],'Base Schedules'!$A$205:$AW$241,35,FALSE)="","",VLOOKUP(Wed_W2[[#This Row],[Employee Name]],'Base Schedules'!$A$205:$AW$241,35,FALSE)),"")</f>
        <v/>
      </c>
      <c r="AK46" s="184" t="str">
        <f>IFERROR(IF(VLOOKUP(Wed_W2[[#This Row],[Employee Name]],'Base Schedules'!$A$205:$AW$241,36,FALSE)="","",VLOOKUP(Wed_W2[[#This Row],[Employee Name]],'Base Schedules'!$A$205:$AW$241,36,FALSE)),"")</f>
        <v/>
      </c>
      <c r="AL46" s="184" t="str">
        <f>IFERROR(IF(VLOOKUP(Wed_W2[[#This Row],[Employee Name]],'Base Schedules'!$A$205:$AW$241,37,FALSE)="","",VLOOKUP(Wed_W2[[#This Row],[Employee Name]],'Base Schedules'!$A$205:$AW$241,37,FALSE)),"")</f>
        <v/>
      </c>
      <c r="AM46" s="184" t="str">
        <f>IFERROR(IF(VLOOKUP(Wed_W2[[#This Row],[Employee Name]],'Base Schedules'!$A$205:$AW$241,38,FALSE)="","",VLOOKUP(Wed_W2[[#This Row],[Employee Name]],'Base Schedules'!$A$205:$AW$241,38,FALSE)),"")</f>
        <v/>
      </c>
      <c r="AN46" s="184" t="str">
        <f>IFERROR(IF(VLOOKUP(Wed_W2[[#This Row],[Employee Name]],'Base Schedules'!$A$205:$AW$241,39,FALSE)="","",VLOOKUP(Wed_W2[[#This Row],[Employee Name]],'Base Schedules'!$A$205:$AW$241,39,FALSE)),"")</f>
        <v/>
      </c>
      <c r="AO46" s="184" t="str">
        <f>IFERROR(IF(VLOOKUP(Wed_W2[[#This Row],[Employee Name]],'Base Schedules'!$A$205:$AW$241,40,FALSE)="","",VLOOKUP(Wed_W2[[#This Row],[Employee Name]],'Base Schedules'!$A$205:$AW$241,40,FALSE)),"")</f>
        <v/>
      </c>
      <c r="AP46" s="184" t="str">
        <f>IFERROR(IF(VLOOKUP(Wed_W2[[#This Row],[Employee Name]],'Base Schedules'!$A$205:$AW$241,41,FALSE)="","",VLOOKUP(Wed_W2[[#This Row],[Employee Name]],'Base Schedules'!$A$205:$AW$241,41,FALSE)),"")</f>
        <v/>
      </c>
      <c r="AQ46" s="184" t="str">
        <f>IFERROR(IF(VLOOKUP(Wed_W2[[#This Row],[Employee Name]],'Base Schedules'!$A$205:$AW$241,42,FALSE)="","",VLOOKUP(Wed_W2[[#This Row],[Employee Name]],'Base Schedules'!$A$205:$AW$241,42,FALSE)),"")</f>
        <v/>
      </c>
      <c r="AR46" s="184" t="str">
        <f>IFERROR(IF(VLOOKUP(Wed_W2[[#This Row],[Employee Name]],'Base Schedules'!$A$205:$AW$241,43,FALSE)="","",VLOOKUP(Wed_W2[[#This Row],[Employee Name]],'Base Schedules'!$A$205:$AW$241,43,FALSE)),"")</f>
        <v/>
      </c>
      <c r="AS46" s="184" t="str">
        <f>IFERROR(IF(VLOOKUP(Wed_W2[[#This Row],[Employee Name]],'Base Schedules'!$A$205:$AW$241,44,FALSE)="","",VLOOKUP(Wed_W2[[#This Row],[Employee Name]],'Base Schedules'!$A$205:$AW$241,44,FALSE)),"")</f>
        <v/>
      </c>
      <c r="AT46" s="184" t="str">
        <f>IFERROR(IF(VLOOKUP(Wed_W2[[#This Row],[Employee Name]],'Base Schedules'!$A$205:$AW$241,45,FALSE)="","",VLOOKUP(Wed_W2[[#This Row],[Employee Name]],'Base Schedules'!$A$205:$AW$241,45,FALSE)),"")</f>
        <v/>
      </c>
      <c r="AU46" s="184" t="str">
        <f>IFERROR(IF(VLOOKUP(Wed_W2[[#This Row],[Employee Name]],'Base Schedules'!$A$205:$AW$241,46,FALSE)="","",VLOOKUP(Wed_W2[[#This Row],[Employee Name]],'Base Schedules'!$A$205:$AW$241,46,FALSE)),"")</f>
        <v/>
      </c>
      <c r="AV46" s="184" t="str">
        <f>IFERROR(IF(VLOOKUP(Wed_W2[[#This Row],[Employee Name]],'Base Schedules'!$A$205:$AW$241,47,FALSE)="","",VLOOKUP(Wed_W2[[#This Row],[Employee Name]],'Base Schedules'!$A$205:$AW$241,47,FALSE)),"")</f>
        <v/>
      </c>
      <c r="AW46" s="184" t="str">
        <f>IFERROR(IF(VLOOKUP(Wed_W2[[#This Row],[Employee Name]],'Base Schedules'!$A$205:$AW$241,48,FALSE)="","",VLOOKUP(Wed_W2[[#This Row],[Employee Name]],'Base Schedules'!$A$205:$AW$241,48,FALSE)),"")</f>
        <v/>
      </c>
      <c r="AX46" s="184" t="str">
        <f>IFERROR(IF(VLOOKUP(Wed_W2[[#This Row],[Employee Name]],'Base Schedules'!$A$205:$AW$241,49,FALSE)="","",VLOOKUP(Wed_W2[[#This Row],[Employee Name]],'Base Schedules'!$A$205:$AW$241,49,FALSE)),"")</f>
        <v/>
      </c>
      <c r="AY46" s="159" t="str">
        <f t="shared" si="2"/>
        <v/>
      </c>
    </row>
    <row r="47" spans="1:51" s="44" customFormat="1" ht="12" hidden="1" customHeight="1" x14ac:dyDescent="0.2">
      <c r="A47" s="39" t="str">
        <f>IF(B47="","",INDEX(TeamList[],MATCH($B47,TeamList[[Employee Name]:[Employee Name]],0),MATCH("Manager",TeamList[#Headers],0)))</f>
        <v/>
      </c>
      <c r="B47" s="201"/>
      <c r="C47" s="257" t="str">
        <f>_xlfn.IFNA(VLOOKUP(Wed_W2[[#This Row],[Employee Name]],'Base Schedules'!A:B,2,FALSE),"")</f>
        <v/>
      </c>
      <c r="D47" s="274" t="str">
        <f>_xlfn.IFNA(VLOOKUP(Wed_W2[[#This Row],[Employee Name]],'Base Schedules'!A:C,3,FALSE),"")</f>
        <v/>
      </c>
      <c r="E47" s="274" t="str">
        <f>_xlfn.IFNA(VLOOKUP(Wed_W2[[#This Row],[Employee Name]],'Base Schedules'!A:D,4,FALSE),"")</f>
        <v/>
      </c>
      <c r="F47" s="142" t="str">
        <f>IF(Wed_W2[[#This Row],[Employee Name]]="","",IF(Wed_W2[[#This Row],[Dept]]="Supervisor",COUNTIFS($J47:$AX47,"*HL*",$J47:$AX47,"&lt;&gt;"&amp;"pHL"),COUNTIFS($J47:$AX47,"*HL*",$J47:$AX47,"&lt;&gt;"&amp;"*pHL*",$J47:$AX47,"&lt;&gt;"&amp;"pB1 HL",$J47:$AX47,"&lt;&gt;"&amp;"pB2 HL")-SUM(COUNTIFS($J47:$AX47,"*HL B1*",$J47:$AX47,"&lt;&gt;"&amp;"pHL B1")*0.5,COUNTIFS($J47:$AX47,"*HL B2*",$J47:$AX47,"&lt;&gt;"&amp;"pHL B2")*0.5,COUNTIFS($J47:$AX47,"*B1 HL*",$J47:$AX47,"&lt;&gt;"&amp;"pB1 HL")*0.5,COUNTIFS($J47:$AX47,"*B2 HL*",$J47:$AX47,"&lt;&gt;"&amp;"pB2 HL")*0.5)))</f>
        <v/>
      </c>
      <c r="G47" s="142" t="str">
        <f t="shared" si="3"/>
        <v/>
      </c>
      <c r="H47" s="142" t="str">
        <f t="shared" si="1"/>
        <v/>
      </c>
      <c r="I47" s="142" t="str">
        <f>IF(Wed_W2[[#This Row],[Employee Name]]="","",IF(Wed_W2[[#This Row],[Dept]]="Supervisor",SUM(COUNTIFS($J47:$AX47,"RTA*",$J47:$AX47,"&lt;&gt;"&amp;"pRTA"),COUNTIFS($J47:$AX47,"*CRTA*",$J47:$AX47,"&lt;&gt;"&amp;"pCRTA")),COUNTIFS($J47:$AX47,"*RNNR*",$J47:$AX47,"&lt;&gt;"&amp;"*pRNNR*",$J47:$AX47,"&lt;&gt;"&amp;"pB1 RNNR",$J47:$AX47,"&lt;&gt;"&amp;"pB2 RNNR")-SUM(COUNTIFS($J47:$AX47,"*RNNR B1*",$J47:$AX47,"&lt;&gt;"&amp;"pRNNR B1")*0.5,COUNTIFS($J47:$AX47,"*RNNR B2*",$J47:$AX47,"&lt;&gt;"&amp;"pRNNR B2")*0.5,COUNTIFS($J47:$AX47,"*B1 RNNR*",$J47:$AX47,"&lt;&gt;"&amp;"pB1 RNNR")*0.5,COUNTIFS($J47:$AX47,"*B2 RNNR*",$J47:$AX47,"&lt;&gt;"&amp;"pB2 RNNR")*0.5)))</f>
        <v/>
      </c>
      <c r="J47" s="184" t="str">
        <f>IFERROR(IF(VLOOKUP(Wed_W2[[#This Row],[Employee Name]],'Base Schedules'!$A$205:$AW$241,9,FALSE)="","",VLOOKUP(Wed_W2[[#This Row],[Employee Name]],'Base Schedules'!$A$205:$AW$241,9,FALSE)),"")</f>
        <v/>
      </c>
      <c r="K47" s="184" t="str">
        <f>IFERROR(IF(VLOOKUP(Wed_W2[[#This Row],[Employee Name]],'Base Schedules'!$A$205:$AW$241,10,FALSE)="","",VLOOKUP(Wed_W2[[#This Row],[Employee Name]],'Base Schedules'!$A$205:$AW$241,10,FALSE)),"")</f>
        <v/>
      </c>
      <c r="L47" s="184" t="str">
        <f>IFERROR(IF(VLOOKUP(Wed_W2[[#This Row],[Employee Name]],'Base Schedules'!$A$205:$AW$241,11,FALSE)="","",VLOOKUP(Wed_W2[[#This Row],[Employee Name]],'Base Schedules'!$A$205:$AW$241,11,FALSE)),"")</f>
        <v/>
      </c>
      <c r="M47" s="184" t="str">
        <f>IFERROR(IF(VLOOKUP(Wed_W2[[#This Row],[Employee Name]],'Base Schedules'!$A$205:$AW$241,12,FALSE)="","",VLOOKUP(Wed_W2[[#This Row],[Employee Name]],'Base Schedules'!$A$205:$AW$241,12,FALSE)),"")</f>
        <v/>
      </c>
      <c r="N47" s="184" t="str">
        <f>IFERROR(IF(VLOOKUP(Wed_W2[[#This Row],[Employee Name]],'Base Schedules'!$A$205:$AW$241,13,FALSE)="","",VLOOKUP(Wed_W2[[#This Row],[Employee Name]],'Base Schedules'!$A$205:$AW$241,13,FALSE)),"")</f>
        <v/>
      </c>
      <c r="O47" s="184" t="str">
        <f>IFERROR(IF(VLOOKUP(Wed_W2[[#This Row],[Employee Name]],'Base Schedules'!$A$205:$AW$241,14,FALSE)="","",VLOOKUP(Wed_W2[[#This Row],[Employee Name]],'Base Schedules'!$A$205:$AW$241,14,FALSE)),"")</f>
        <v/>
      </c>
      <c r="P47" s="184" t="str">
        <f>IFERROR(IF(VLOOKUP(Wed_W2[[#This Row],[Employee Name]],'Base Schedules'!$A$205:$AW$241,15,FALSE)="","",VLOOKUP(Wed_W2[[#This Row],[Employee Name]],'Base Schedules'!$A$205:$AW$241,15,FALSE)),"")</f>
        <v/>
      </c>
      <c r="Q47" s="184" t="str">
        <f>IFERROR(IF(VLOOKUP(Wed_W2[[#This Row],[Employee Name]],'Base Schedules'!$A$205:$AW$241,16,FALSE)="","",VLOOKUP(Wed_W2[[#This Row],[Employee Name]],'Base Schedules'!$A$205:$AW$241,16,FALSE)),"")</f>
        <v/>
      </c>
      <c r="R47" s="184" t="str">
        <f>IFERROR(IF(VLOOKUP(Wed_W2[[#This Row],[Employee Name]],'Base Schedules'!$A$205:$AW$241,17,FALSE)="","",VLOOKUP(Wed_W2[[#This Row],[Employee Name]],'Base Schedules'!$A$205:$AW$241,17,FALSE)),"")</f>
        <v/>
      </c>
      <c r="S47" s="184" t="str">
        <f>IFERROR(IF(VLOOKUP(Wed_W2[[#This Row],[Employee Name]],'Base Schedules'!$A$205:$AW$241,18,FALSE)="","",VLOOKUP(Wed_W2[[#This Row],[Employee Name]],'Base Schedules'!$A$205:$AW$241,18,FALSE)),"")</f>
        <v/>
      </c>
      <c r="T47" s="184" t="str">
        <f>IFERROR(IF(VLOOKUP(Wed_W2[[#This Row],[Employee Name]],'Base Schedules'!$A$205:$AW$241,19,FALSE)="","",VLOOKUP(Wed_W2[[#This Row],[Employee Name]],'Base Schedules'!$A$205:$AW$241,19,FALSE)),"")</f>
        <v/>
      </c>
      <c r="U47" s="184" t="str">
        <f>IFERROR(IF(VLOOKUP(Wed_W2[[#This Row],[Employee Name]],'Base Schedules'!$A$205:$AW$241,20,FALSE)="","",VLOOKUP(Wed_W2[[#This Row],[Employee Name]],'Base Schedules'!$A$205:$AW$241,20,FALSE)),"")</f>
        <v/>
      </c>
      <c r="V47" s="184" t="str">
        <f>IFERROR(IF(VLOOKUP(Wed_W2[[#This Row],[Employee Name]],'Base Schedules'!$A$205:$AW$241,21,FALSE)="","",VLOOKUP(Wed_W2[[#This Row],[Employee Name]],'Base Schedules'!$A$205:$AW$241,21,FALSE)),"")</f>
        <v/>
      </c>
      <c r="W47" s="184" t="str">
        <f>IFERROR(IF(VLOOKUP(Wed_W2[[#This Row],[Employee Name]],'Base Schedules'!$A$205:$AW$241,22,FALSE)="","",VLOOKUP(Wed_W2[[#This Row],[Employee Name]],'Base Schedules'!$A$205:$AW$241,22,FALSE)),"")</f>
        <v/>
      </c>
      <c r="X47" s="184" t="str">
        <f>IFERROR(IF(VLOOKUP(Wed_W2[[#This Row],[Employee Name]],'Base Schedules'!$A$205:$AW$241,23,FALSE)="","",VLOOKUP(Wed_W2[[#This Row],[Employee Name]],'Base Schedules'!$A$205:$AW$241,23,FALSE)),"")</f>
        <v/>
      </c>
      <c r="Y47" s="184" t="str">
        <f>IFERROR(IF(VLOOKUP(Wed_W2[[#This Row],[Employee Name]],'Base Schedules'!$A$205:$AW$241,24,FALSE)="","",VLOOKUP(Wed_W2[[#This Row],[Employee Name]],'Base Schedules'!$A$205:$AW$241,24,FALSE)),"")</f>
        <v/>
      </c>
      <c r="Z47" s="184" t="str">
        <f>IFERROR(IF(VLOOKUP(Wed_W2[[#This Row],[Employee Name]],'Base Schedules'!$A$205:$AW$241,25,FALSE)="","",VLOOKUP(Wed_W2[[#This Row],[Employee Name]],'Base Schedules'!$A$205:$AW$241,25,FALSE)),"")</f>
        <v/>
      </c>
      <c r="AA47" s="184" t="str">
        <f>IFERROR(IF(VLOOKUP(Wed_W2[[#This Row],[Employee Name]],'Base Schedules'!$A$205:$AW$241,26,FALSE)="","",VLOOKUP(Wed_W2[[#This Row],[Employee Name]],'Base Schedules'!$A$205:$AW$241,26,FALSE)),"")</f>
        <v/>
      </c>
      <c r="AB47" s="184" t="str">
        <f>IFERROR(IF(VLOOKUP(Wed_W2[[#This Row],[Employee Name]],'Base Schedules'!$A$205:$AW$241,27,FALSE)="","",VLOOKUP(Wed_W2[[#This Row],[Employee Name]],'Base Schedules'!$A$205:$AW$241,27,FALSE)),"")</f>
        <v/>
      </c>
      <c r="AC47" s="184" t="str">
        <f>IFERROR(IF(VLOOKUP(Wed_W2[[#This Row],[Employee Name]],'Base Schedules'!$A$205:$AW$241,28,FALSE)="","",VLOOKUP(Wed_W2[[#This Row],[Employee Name]],'Base Schedules'!$A$205:$AW$241,28,FALSE)),"")</f>
        <v/>
      </c>
      <c r="AD47" s="184" t="str">
        <f>IFERROR(IF(VLOOKUP(Wed_W2[[#This Row],[Employee Name]],'Base Schedules'!$A$205:$AW$241,29,FALSE)="","",VLOOKUP(Wed_W2[[#This Row],[Employee Name]],'Base Schedules'!$A$205:$AW$241,29,FALSE)),"")</f>
        <v/>
      </c>
      <c r="AE47" s="184" t="str">
        <f>IFERROR(IF(VLOOKUP(Wed_W2[[#This Row],[Employee Name]],'Base Schedules'!$A$205:$AW$241,30,FALSE)="","",VLOOKUP(Wed_W2[[#This Row],[Employee Name]],'Base Schedules'!$A$205:$AW$241,30,FALSE)),"")</f>
        <v/>
      </c>
      <c r="AF47" s="184" t="str">
        <f>IFERROR(IF(VLOOKUP(Wed_W2[[#This Row],[Employee Name]],'Base Schedules'!$A$205:$AW$241,31,FALSE)="","",VLOOKUP(Wed_W2[[#This Row],[Employee Name]],'Base Schedules'!$A$205:$AW$241,31,FALSE)),"")</f>
        <v/>
      </c>
      <c r="AG47" s="184" t="str">
        <f>IFERROR(IF(VLOOKUP(Wed_W2[[#This Row],[Employee Name]],'Base Schedules'!$A$205:$AW$241,32,FALSE)="","",VLOOKUP(Wed_W2[[#This Row],[Employee Name]],'Base Schedules'!$A$205:$AW$241,32,FALSE)),"")</f>
        <v/>
      </c>
      <c r="AH47" s="184" t="str">
        <f>IFERROR(IF(VLOOKUP(Wed_W2[[#This Row],[Employee Name]],'Base Schedules'!$A$205:$AW$241,33,FALSE)="","",VLOOKUP(Wed_W2[[#This Row],[Employee Name]],'Base Schedules'!$A$205:$AW$241,33,FALSE)),"")</f>
        <v/>
      </c>
      <c r="AI47" s="184" t="str">
        <f>IFERROR(IF(VLOOKUP(Wed_W2[[#This Row],[Employee Name]],'Base Schedules'!$A$205:$AW$241,34,FALSE)="","",VLOOKUP(Wed_W2[[#This Row],[Employee Name]],'Base Schedules'!$A$205:$AW$241,34,FALSE)),"")</f>
        <v/>
      </c>
      <c r="AJ47" s="184" t="str">
        <f>IFERROR(IF(VLOOKUP(Wed_W2[[#This Row],[Employee Name]],'Base Schedules'!$A$205:$AW$241,35,FALSE)="","",VLOOKUP(Wed_W2[[#This Row],[Employee Name]],'Base Schedules'!$A$205:$AW$241,35,FALSE)),"")</f>
        <v/>
      </c>
      <c r="AK47" s="184" t="str">
        <f>IFERROR(IF(VLOOKUP(Wed_W2[[#This Row],[Employee Name]],'Base Schedules'!$A$205:$AW$241,36,FALSE)="","",VLOOKUP(Wed_W2[[#This Row],[Employee Name]],'Base Schedules'!$A$205:$AW$241,36,FALSE)),"")</f>
        <v/>
      </c>
      <c r="AL47" s="184" t="str">
        <f>IFERROR(IF(VLOOKUP(Wed_W2[[#This Row],[Employee Name]],'Base Schedules'!$A$205:$AW$241,37,FALSE)="","",VLOOKUP(Wed_W2[[#This Row],[Employee Name]],'Base Schedules'!$A$205:$AW$241,37,FALSE)),"")</f>
        <v/>
      </c>
      <c r="AM47" s="184" t="str">
        <f>IFERROR(IF(VLOOKUP(Wed_W2[[#This Row],[Employee Name]],'Base Schedules'!$A$205:$AW$241,38,FALSE)="","",VLOOKUP(Wed_W2[[#This Row],[Employee Name]],'Base Schedules'!$A$205:$AW$241,38,FALSE)),"")</f>
        <v/>
      </c>
      <c r="AN47" s="184" t="str">
        <f>IFERROR(IF(VLOOKUP(Wed_W2[[#This Row],[Employee Name]],'Base Schedules'!$A$205:$AW$241,39,FALSE)="","",VLOOKUP(Wed_W2[[#This Row],[Employee Name]],'Base Schedules'!$A$205:$AW$241,39,FALSE)),"")</f>
        <v/>
      </c>
      <c r="AO47" s="184" t="str">
        <f>IFERROR(IF(VLOOKUP(Wed_W2[[#This Row],[Employee Name]],'Base Schedules'!$A$205:$AW$241,40,FALSE)="","",VLOOKUP(Wed_W2[[#This Row],[Employee Name]],'Base Schedules'!$A$205:$AW$241,40,FALSE)),"")</f>
        <v/>
      </c>
      <c r="AP47" s="184" t="str">
        <f>IFERROR(IF(VLOOKUP(Wed_W2[[#This Row],[Employee Name]],'Base Schedules'!$A$205:$AW$241,41,FALSE)="","",VLOOKUP(Wed_W2[[#This Row],[Employee Name]],'Base Schedules'!$A$205:$AW$241,41,FALSE)),"")</f>
        <v/>
      </c>
      <c r="AQ47" s="184" t="str">
        <f>IFERROR(IF(VLOOKUP(Wed_W2[[#This Row],[Employee Name]],'Base Schedules'!$A$205:$AW$241,42,FALSE)="","",VLOOKUP(Wed_W2[[#This Row],[Employee Name]],'Base Schedules'!$A$205:$AW$241,42,FALSE)),"")</f>
        <v/>
      </c>
      <c r="AR47" s="184" t="str">
        <f>IFERROR(IF(VLOOKUP(Wed_W2[[#This Row],[Employee Name]],'Base Schedules'!$A$205:$AW$241,43,FALSE)="","",VLOOKUP(Wed_W2[[#This Row],[Employee Name]],'Base Schedules'!$A$205:$AW$241,43,FALSE)),"")</f>
        <v/>
      </c>
      <c r="AS47" s="184" t="str">
        <f>IFERROR(IF(VLOOKUP(Wed_W2[[#This Row],[Employee Name]],'Base Schedules'!$A$205:$AW$241,44,FALSE)="","",VLOOKUP(Wed_W2[[#This Row],[Employee Name]],'Base Schedules'!$A$205:$AW$241,44,FALSE)),"")</f>
        <v/>
      </c>
      <c r="AT47" s="184" t="str">
        <f>IFERROR(IF(VLOOKUP(Wed_W2[[#This Row],[Employee Name]],'Base Schedules'!$A$205:$AW$241,45,FALSE)="","",VLOOKUP(Wed_W2[[#This Row],[Employee Name]],'Base Schedules'!$A$205:$AW$241,45,FALSE)),"")</f>
        <v/>
      </c>
      <c r="AU47" s="184" t="str">
        <f>IFERROR(IF(VLOOKUP(Wed_W2[[#This Row],[Employee Name]],'Base Schedules'!$A$205:$AW$241,46,FALSE)="","",VLOOKUP(Wed_W2[[#This Row],[Employee Name]],'Base Schedules'!$A$205:$AW$241,46,FALSE)),"")</f>
        <v/>
      </c>
      <c r="AV47" s="184" t="str">
        <f>IFERROR(IF(VLOOKUP(Wed_W2[[#This Row],[Employee Name]],'Base Schedules'!$A$205:$AW$241,47,FALSE)="","",VLOOKUP(Wed_W2[[#This Row],[Employee Name]],'Base Schedules'!$A$205:$AW$241,47,FALSE)),"")</f>
        <v/>
      </c>
      <c r="AW47" s="184" t="str">
        <f>IFERROR(IF(VLOOKUP(Wed_W2[[#This Row],[Employee Name]],'Base Schedules'!$A$205:$AW$241,48,FALSE)="","",VLOOKUP(Wed_W2[[#This Row],[Employee Name]],'Base Schedules'!$A$205:$AW$241,48,FALSE)),"")</f>
        <v/>
      </c>
      <c r="AX47" s="184" t="str">
        <f>IFERROR(IF(VLOOKUP(Wed_W2[[#This Row],[Employee Name]],'Base Schedules'!$A$205:$AW$241,49,FALSE)="","",VLOOKUP(Wed_W2[[#This Row],[Employee Name]],'Base Schedules'!$A$205:$AW$241,49,FALSE)),"")</f>
        <v/>
      </c>
      <c r="AY47" s="159" t="str">
        <f t="shared" si="2"/>
        <v/>
      </c>
    </row>
    <row r="48" spans="1:51" s="44" customFormat="1" ht="12" hidden="1" customHeight="1" x14ac:dyDescent="0.2">
      <c r="A48" s="39" t="str">
        <f>IF(B48="","",INDEX(TeamList[],MATCH($B48,TeamList[[Employee Name]:[Employee Name]],0),MATCH("Manager",TeamList[#Headers],0)))</f>
        <v/>
      </c>
      <c r="B48" s="201"/>
      <c r="C48" s="257" t="str">
        <f>_xlfn.IFNA(VLOOKUP(Wed_W2[[#This Row],[Employee Name]],'Base Schedules'!A:B,2,FALSE),"")</f>
        <v/>
      </c>
      <c r="D48" s="274" t="str">
        <f>_xlfn.IFNA(VLOOKUP(Wed_W2[[#This Row],[Employee Name]],'Base Schedules'!A:C,3,FALSE),"")</f>
        <v/>
      </c>
      <c r="E48" s="274" t="str">
        <f>_xlfn.IFNA(VLOOKUP(Wed_W2[[#This Row],[Employee Name]],'Base Schedules'!A:D,4,FALSE),"")</f>
        <v/>
      </c>
      <c r="F48" s="142" t="str">
        <f>IF(Wed_W2[[#This Row],[Employee Name]]="","",IF(Wed_W2[[#This Row],[Dept]]="Supervisor",COUNTIFS($J48:$AX48,"*HL*",$J48:$AX48,"&lt;&gt;"&amp;"pHL"),COUNTIFS($J48:$AX48,"*HL*",$J48:$AX48,"&lt;&gt;"&amp;"*pHL*",$J48:$AX48,"&lt;&gt;"&amp;"pB1 HL",$J48:$AX48,"&lt;&gt;"&amp;"pB2 HL")-SUM(COUNTIFS($J48:$AX48,"*HL B1*",$J48:$AX48,"&lt;&gt;"&amp;"pHL B1")*0.5,COUNTIFS($J48:$AX48,"*HL B2*",$J48:$AX48,"&lt;&gt;"&amp;"pHL B2")*0.5,COUNTIFS($J48:$AX48,"*B1 HL*",$J48:$AX48,"&lt;&gt;"&amp;"pB1 HL")*0.5,COUNTIFS($J48:$AX48,"*B2 HL*",$J48:$AX48,"&lt;&gt;"&amp;"pB2 HL")*0.5)))</f>
        <v/>
      </c>
      <c r="G48" s="142" t="str">
        <f t="shared" si="3"/>
        <v/>
      </c>
      <c r="H48" s="142" t="str">
        <f t="shared" si="1"/>
        <v/>
      </c>
      <c r="I48" s="142" t="str">
        <f>IF(Wed_W2[[#This Row],[Employee Name]]="","",IF(Wed_W2[[#This Row],[Dept]]="Supervisor",SUM(COUNTIFS($J48:$AX48,"RTA*",$J48:$AX48,"&lt;&gt;"&amp;"pRTA"),COUNTIFS($J48:$AX48,"*CRTA*",$J48:$AX48,"&lt;&gt;"&amp;"pCRTA")),COUNTIFS($J48:$AX48,"*RNNR*",$J48:$AX48,"&lt;&gt;"&amp;"*pRNNR*",$J48:$AX48,"&lt;&gt;"&amp;"pB1 RNNR",$J48:$AX48,"&lt;&gt;"&amp;"pB2 RNNR")-SUM(COUNTIFS($J48:$AX48,"*RNNR B1*",$J48:$AX48,"&lt;&gt;"&amp;"pRNNR B1")*0.5,COUNTIFS($J48:$AX48,"*RNNR B2*",$J48:$AX48,"&lt;&gt;"&amp;"pRNNR B2")*0.5,COUNTIFS($J48:$AX48,"*B1 RNNR*",$J48:$AX48,"&lt;&gt;"&amp;"pB1 RNNR")*0.5,COUNTIFS($J48:$AX48,"*B2 RNNR*",$J48:$AX48,"&lt;&gt;"&amp;"pB2 RNNR")*0.5)))</f>
        <v/>
      </c>
      <c r="J48" s="184" t="str">
        <f>IFERROR(IF(VLOOKUP(Wed_W2[[#This Row],[Employee Name]],'Base Schedules'!$A$205:$AW$241,9,FALSE)="","",VLOOKUP(Wed_W2[[#This Row],[Employee Name]],'Base Schedules'!$A$205:$AW$241,9,FALSE)),"")</f>
        <v/>
      </c>
      <c r="K48" s="184" t="str">
        <f>IFERROR(IF(VLOOKUP(Wed_W2[[#This Row],[Employee Name]],'Base Schedules'!$A$205:$AW$241,10,FALSE)="","",VLOOKUP(Wed_W2[[#This Row],[Employee Name]],'Base Schedules'!$A$205:$AW$241,10,FALSE)),"")</f>
        <v/>
      </c>
      <c r="L48" s="184" t="str">
        <f>IFERROR(IF(VLOOKUP(Wed_W2[[#This Row],[Employee Name]],'Base Schedules'!$A$205:$AW$241,11,FALSE)="","",VLOOKUP(Wed_W2[[#This Row],[Employee Name]],'Base Schedules'!$A$205:$AW$241,11,FALSE)),"")</f>
        <v/>
      </c>
      <c r="M48" s="184" t="str">
        <f>IFERROR(IF(VLOOKUP(Wed_W2[[#This Row],[Employee Name]],'Base Schedules'!$A$205:$AW$241,12,FALSE)="","",VLOOKUP(Wed_W2[[#This Row],[Employee Name]],'Base Schedules'!$A$205:$AW$241,12,FALSE)),"")</f>
        <v/>
      </c>
      <c r="N48" s="184" t="str">
        <f>IFERROR(IF(VLOOKUP(Wed_W2[[#This Row],[Employee Name]],'Base Schedules'!$A$205:$AW$241,13,FALSE)="","",VLOOKUP(Wed_W2[[#This Row],[Employee Name]],'Base Schedules'!$A$205:$AW$241,13,FALSE)),"")</f>
        <v/>
      </c>
      <c r="O48" s="184" t="str">
        <f>IFERROR(IF(VLOOKUP(Wed_W2[[#This Row],[Employee Name]],'Base Schedules'!$A$205:$AW$241,14,FALSE)="","",VLOOKUP(Wed_W2[[#This Row],[Employee Name]],'Base Schedules'!$A$205:$AW$241,14,FALSE)),"")</f>
        <v/>
      </c>
      <c r="P48" s="184" t="str">
        <f>IFERROR(IF(VLOOKUP(Wed_W2[[#This Row],[Employee Name]],'Base Schedules'!$A$205:$AW$241,15,FALSE)="","",VLOOKUP(Wed_W2[[#This Row],[Employee Name]],'Base Schedules'!$A$205:$AW$241,15,FALSE)),"")</f>
        <v/>
      </c>
      <c r="Q48" s="184" t="str">
        <f>IFERROR(IF(VLOOKUP(Wed_W2[[#This Row],[Employee Name]],'Base Schedules'!$A$205:$AW$241,16,FALSE)="","",VLOOKUP(Wed_W2[[#This Row],[Employee Name]],'Base Schedules'!$A$205:$AW$241,16,FALSE)),"")</f>
        <v/>
      </c>
      <c r="R48" s="184" t="str">
        <f>IFERROR(IF(VLOOKUP(Wed_W2[[#This Row],[Employee Name]],'Base Schedules'!$A$205:$AW$241,17,FALSE)="","",VLOOKUP(Wed_W2[[#This Row],[Employee Name]],'Base Schedules'!$A$205:$AW$241,17,FALSE)),"")</f>
        <v/>
      </c>
      <c r="S48" s="184" t="str">
        <f>IFERROR(IF(VLOOKUP(Wed_W2[[#This Row],[Employee Name]],'Base Schedules'!$A$205:$AW$241,18,FALSE)="","",VLOOKUP(Wed_W2[[#This Row],[Employee Name]],'Base Schedules'!$A$205:$AW$241,18,FALSE)),"")</f>
        <v/>
      </c>
      <c r="T48" s="184" t="str">
        <f>IFERROR(IF(VLOOKUP(Wed_W2[[#This Row],[Employee Name]],'Base Schedules'!$A$205:$AW$241,19,FALSE)="","",VLOOKUP(Wed_W2[[#This Row],[Employee Name]],'Base Schedules'!$A$205:$AW$241,19,FALSE)),"")</f>
        <v/>
      </c>
      <c r="U48" s="184" t="str">
        <f>IFERROR(IF(VLOOKUP(Wed_W2[[#This Row],[Employee Name]],'Base Schedules'!$A$205:$AW$241,20,FALSE)="","",VLOOKUP(Wed_W2[[#This Row],[Employee Name]],'Base Schedules'!$A$205:$AW$241,20,FALSE)),"")</f>
        <v/>
      </c>
      <c r="V48" s="184" t="str">
        <f>IFERROR(IF(VLOOKUP(Wed_W2[[#This Row],[Employee Name]],'Base Schedules'!$A$205:$AW$241,21,FALSE)="","",VLOOKUP(Wed_W2[[#This Row],[Employee Name]],'Base Schedules'!$A$205:$AW$241,21,FALSE)),"")</f>
        <v/>
      </c>
      <c r="W48" s="184" t="str">
        <f>IFERROR(IF(VLOOKUP(Wed_W2[[#This Row],[Employee Name]],'Base Schedules'!$A$205:$AW$241,22,FALSE)="","",VLOOKUP(Wed_W2[[#This Row],[Employee Name]],'Base Schedules'!$A$205:$AW$241,22,FALSE)),"")</f>
        <v/>
      </c>
      <c r="X48" s="184" t="str">
        <f>IFERROR(IF(VLOOKUP(Wed_W2[[#This Row],[Employee Name]],'Base Schedules'!$A$205:$AW$241,23,FALSE)="","",VLOOKUP(Wed_W2[[#This Row],[Employee Name]],'Base Schedules'!$A$205:$AW$241,23,FALSE)),"")</f>
        <v/>
      </c>
      <c r="Y48" s="184" t="str">
        <f>IFERROR(IF(VLOOKUP(Wed_W2[[#This Row],[Employee Name]],'Base Schedules'!$A$205:$AW$241,24,FALSE)="","",VLOOKUP(Wed_W2[[#This Row],[Employee Name]],'Base Schedules'!$A$205:$AW$241,24,FALSE)),"")</f>
        <v/>
      </c>
      <c r="Z48" s="184" t="str">
        <f>IFERROR(IF(VLOOKUP(Wed_W2[[#This Row],[Employee Name]],'Base Schedules'!$A$205:$AW$241,25,FALSE)="","",VLOOKUP(Wed_W2[[#This Row],[Employee Name]],'Base Schedules'!$A$205:$AW$241,25,FALSE)),"")</f>
        <v/>
      </c>
      <c r="AA48" s="184" t="str">
        <f>IFERROR(IF(VLOOKUP(Wed_W2[[#This Row],[Employee Name]],'Base Schedules'!$A$205:$AW$241,26,FALSE)="","",VLOOKUP(Wed_W2[[#This Row],[Employee Name]],'Base Schedules'!$A$205:$AW$241,26,FALSE)),"")</f>
        <v/>
      </c>
      <c r="AB48" s="184" t="str">
        <f>IFERROR(IF(VLOOKUP(Wed_W2[[#This Row],[Employee Name]],'Base Schedules'!$A$205:$AW$241,27,FALSE)="","",VLOOKUP(Wed_W2[[#This Row],[Employee Name]],'Base Schedules'!$A$205:$AW$241,27,FALSE)),"")</f>
        <v/>
      </c>
      <c r="AC48" s="184" t="str">
        <f>IFERROR(IF(VLOOKUP(Wed_W2[[#This Row],[Employee Name]],'Base Schedules'!$A$205:$AW$241,28,FALSE)="","",VLOOKUP(Wed_W2[[#This Row],[Employee Name]],'Base Schedules'!$A$205:$AW$241,28,FALSE)),"")</f>
        <v/>
      </c>
      <c r="AD48" s="184" t="str">
        <f>IFERROR(IF(VLOOKUP(Wed_W2[[#This Row],[Employee Name]],'Base Schedules'!$A$205:$AW$241,29,FALSE)="","",VLOOKUP(Wed_W2[[#This Row],[Employee Name]],'Base Schedules'!$A$205:$AW$241,29,FALSE)),"")</f>
        <v/>
      </c>
      <c r="AE48" s="184" t="str">
        <f>IFERROR(IF(VLOOKUP(Wed_W2[[#This Row],[Employee Name]],'Base Schedules'!$A$205:$AW$241,30,FALSE)="","",VLOOKUP(Wed_W2[[#This Row],[Employee Name]],'Base Schedules'!$A$205:$AW$241,30,FALSE)),"")</f>
        <v/>
      </c>
      <c r="AF48" s="184" t="str">
        <f>IFERROR(IF(VLOOKUP(Wed_W2[[#This Row],[Employee Name]],'Base Schedules'!$A$205:$AW$241,31,FALSE)="","",VLOOKUP(Wed_W2[[#This Row],[Employee Name]],'Base Schedules'!$A$205:$AW$241,31,FALSE)),"")</f>
        <v/>
      </c>
      <c r="AG48" s="184" t="str">
        <f>IFERROR(IF(VLOOKUP(Wed_W2[[#This Row],[Employee Name]],'Base Schedules'!$A$205:$AW$241,32,FALSE)="","",VLOOKUP(Wed_W2[[#This Row],[Employee Name]],'Base Schedules'!$A$205:$AW$241,32,FALSE)),"")</f>
        <v/>
      </c>
      <c r="AH48" s="184" t="str">
        <f>IFERROR(IF(VLOOKUP(Wed_W2[[#This Row],[Employee Name]],'Base Schedules'!$A$205:$AW$241,33,FALSE)="","",VLOOKUP(Wed_W2[[#This Row],[Employee Name]],'Base Schedules'!$A$205:$AW$241,33,FALSE)),"")</f>
        <v/>
      </c>
      <c r="AI48" s="184" t="str">
        <f>IFERROR(IF(VLOOKUP(Wed_W2[[#This Row],[Employee Name]],'Base Schedules'!$A$205:$AW$241,34,FALSE)="","",VLOOKUP(Wed_W2[[#This Row],[Employee Name]],'Base Schedules'!$A$205:$AW$241,34,FALSE)),"")</f>
        <v/>
      </c>
      <c r="AJ48" s="184" t="str">
        <f>IFERROR(IF(VLOOKUP(Wed_W2[[#This Row],[Employee Name]],'Base Schedules'!$A$205:$AW$241,35,FALSE)="","",VLOOKUP(Wed_W2[[#This Row],[Employee Name]],'Base Schedules'!$A$205:$AW$241,35,FALSE)),"")</f>
        <v/>
      </c>
      <c r="AK48" s="184" t="str">
        <f>IFERROR(IF(VLOOKUP(Wed_W2[[#This Row],[Employee Name]],'Base Schedules'!$A$205:$AW$241,36,FALSE)="","",VLOOKUP(Wed_W2[[#This Row],[Employee Name]],'Base Schedules'!$A$205:$AW$241,36,FALSE)),"")</f>
        <v/>
      </c>
      <c r="AL48" s="184" t="str">
        <f>IFERROR(IF(VLOOKUP(Wed_W2[[#This Row],[Employee Name]],'Base Schedules'!$A$205:$AW$241,37,FALSE)="","",VLOOKUP(Wed_W2[[#This Row],[Employee Name]],'Base Schedules'!$A$205:$AW$241,37,FALSE)),"")</f>
        <v/>
      </c>
      <c r="AM48" s="184" t="str">
        <f>IFERROR(IF(VLOOKUP(Wed_W2[[#This Row],[Employee Name]],'Base Schedules'!$A$205:$AW$241,38,FALSE)="","",VLOOKUP(Wed_W2[[#This Row],[Employee Name]],'Base Schedules'!$A$205:$AW$241,38,FALSE)),"")</f>
        <v/>
      </c>
      <c r="AN48" s="184" t="str">
        <f>IFERROR(IF(VLOOKUP(Wed_W2[[#This Row],[Employee Name]],'Base Schedules'!$A$205:$AW$241,39,FALSE)="","",VLOOKUP(Wed_W2[[#This Row],[Employee Name]],'Base Schedules'!$A$205:$AW$241,39,FALSE)),"")</f>
        <v/>
      </c>
      <c r="AO48" s="184" t="str">
        <f>IFERROR(IF(VLOOKUP(Wed_W2[[#This Row],[Employee Name]],'Base Schedules'!$A$205:$AW$241,40,FALSE)="","",VLOOKUP(Wed_W2[[#This Row],[Employee Name]],'Base Schedules'!$A$205:$AW$241,40,FALSE)),"")</f>
        <v/>
      </c>
      <c r="AP48" s="184" t="str">
        <f>IFERROR(IF(VLOOKUP(Wed_W2[[#This Row],[Employee Name]],'Base Schedules'!$A$205:$AW$241,41,FALSE)="","",VLOOKUP(Wed_W2[[#This Row],[Employee Name]],'Base Schedules'!$A$205:$AW$241,41,FALSE)),"")</f>
        <v/>
      </c>
      <c r="AQ48" s="184" t="str">
        <f>IFERROR(IF(VLOOKUP(Wed_W2[[#This Row],[Employee Name]],'Base Schedules'!$A$205:$AW$241,42,FALSE)="","",VLOOKUP(Wed_W2[[#This Row],[Employee Name]],'Base Schedules'!$A$205:$AW$241,42,FALSE)),"")</f>
        <v/>
      </c>
      <c r="AR48" s="184" t="str">
        <f>IFERROR(IF(VLOOKUP(Wed_W2[[#This Row],[Employee Name]],'Base Schedules'!$A$205:$AW$241,43,FALSE)="","",VLOOKUP(Wed_W2[[#This Row],[Employee Name]],'Base Schedules'!$A$205:$AW$241,43,FALSE)),"")</f>
        <v/>
      </c>
      <c r="AS48" s="184" t="str">
        <f>IFERROR(IF(VLOOKUP(Wed_W2[[#This Row],[Employee Name]],'Base Schedules'!$A$205:$AW$241,44,FALSE)="","",VLOOKUP(Wed_W2[[#This Row],[Employee Name]],'Base Schedules'!$A$205:$AW$241,44,FALSE)),"")</f>
        <v/>
      </c>
      <c r="AT48" s="184" t="str">
        <f>IFERROR(IF(VLOOKUP(Wed_W2[[#This Row],[Employee Name]],'Base Schedules'!$A$205:$AW$241,45,FALSE)="","",VLOOKUP(Wed_W2[[#This Row],[Employee Name]],'Base Schedules'!$A$205:$AW$241,45,FALSE)),"")</f>
        <v/>
      </c>
      <c r="AU48" s="184" t="str">
        <f>IFERROR(IF(VLOOKUP(Wed_W2[[#This Row],[Employee Name]],'Base Schedules'!$A$205:$AW$241,46,FALSE)="","",VLOOKUP(Wed_W2[[#This Row],[Employee Name]],'Base Schedules'!$A$205:$AW$241,46,FALSE)),"")</f>
        <v/>
      </c>
      <c r="AV48" s="184" t="str">
        <f>IFERROR(IF(VLOOKUP(Wed_W2[[#This Row],[Employee Name]],'Base Schedules'!$A$205:$AW$241,47,FALSE)="","",VLOOKUP(Wed_W2[[#This Row],[Employee Name]],'Base Schedules'!$A$205:$AW$241,47,FALSE)),"")</f>
        <v/>
      </c>
      <c r="AW48" s="184" t="str">
        <f>IFERROR(IF(VLOOKUP(Wed_W2[[#This Row],[Employee Name]],'Base Schedules'!$A$205:$AW$241,48,FALSE)="","",VLOOKUP(Wed_W2[[#This Row],[Employee Name]],'Base Schedules'!$A$205:$AW$241,48,FALSE)),"")</f>
        <v/>
      </c>
      <c r="AX48" s="184" t="str">
        <f>IFERROR(IF(VLOOKUP(Wed_W2[[#This Row],[Employee Name]],'Base Schedules'!$A$205:$AW$241,49,FALSE)="","",VLOOKUP(Wed_W2[[#This Row],[Employee Name]],'Base Schedules'!$A$205:$AW$241,49,FALSE)),"")</f>
        <v/>
      </c>
      <c r="AY48" s="161" t="str">
        <f t="shared" si="2"/>
        <v/>
      </c>
    </row>
    <row r="49" spans="1:52" s="44" customFormat="1" ht="12" hidden="1" customHeight="1" x14ac:dyDescent="0.2">
      <c r="A49" s="39" t="str">
        <f>IF(B49="","",INDEX(TeamList[],MATCH($B49,TeamList[[Employee Name]:[Employee Name]],0),MATCH("Manager",TeamList[#Headers],0)))</f>
        <v/>
      </c>
      <c r="B49" s="201"/>
      <c r="C49" s="257" t="str">
        <f>_xlfn.IFNA(VLOOKUP(Wed_W2[[#This Row],[Employee Name]],'Base Schedules'!A:B,2,FALSE),"")</f>
        <v/>
      </c>
      <c r="D49" s="274" t="str">
        <f>_xlfn.IFNA(VLOOKUP(Wed_W2[[#This Row],[Employee Name]],'Base Schedules'!A:C,3,FALSE),"")</f>
        <v/>
      </c>
      <c r="E49" s="274" t="str">
        <f>_xlfn.IFNA(VLOOKUP(Wed_W2[[#This Row],[Employee Name]],'Base Schedules'!A:D,4,FALSE),"")</f>
        <v/>
      </c>
      <c r="F49" s="142" t="str">
        <f>IF(Wed_W2[[#This Row],[Employee Name]]="","",IF(Wed_W2[[#This Row],[Dept]]="Supervisor",COUNTIFS($J49:$AX49,"*HL*",$J49:$AX49,"&lt;&gt;"&amp;"pHL"),COUNTIFS($J49:$AX49,"*HL*",$J49:$AX49,"&lt;&gt;"&amp;"*pHL*",$J49:$AX49,"&lt;&gt;"&amp;"pB1 HL",$J49:$AX49,"&lt;&gt;"&amp;"pB2 HL")-SUM(COUNTIFS($J49:$AX49,"*HL B1*",$J49:$AX49,"&lt;&gt;"&amp;"pHL B1")*0.5,COUNTIFS($J49:$AX49,"*HL B2*",$J49:$AX49,"&lt;&gt;"&amp;"pHL B2")*0.5,COUNTIFS($J49:$AX49,"*B1 HL*",$J49:$AX49,"&lt;&gt;"&amp;"pB1 HL")*0.5,COUNTIFS($J49:$AX49,"*B2 HL*",$J49:$AX49,"&lt;&gt;"&amp;"pB2 HL")*0.5)))</f>
        <v/>
      </c>
      <c r="G49" s="142" t="str">
        <f t="shared" si="3"/>
        <v/>
      </c>
      <c r="H49" s="142" t="str">
        <f t="shared" si="1"/>
        <v/>
      </c>
      <c r="I49" s="142" t="str">
        <f>IF(Wed_W2[[#This Row],[Employee Name]]="","",IF(Wed_W2[[#This Row],[Dept]]="Supervisor",SUM(COUNTIFS($J49:$AX49,"RTA*",$J49:$AX49,"&lt;&gt;"&amp;"pRTA"),COUNTIFS($J49:$AX49,"*CRTA*",$J49:$AX49,"&lt;&gt;"&amp;"pCRTA")),COUNTIFS($J49:$AX49,"*RNNR*",$J49:$AX49,"&lt;&gt;"&amp;"*pRNNR*",$J49:$AX49,"&lt;&gt;"&amp;"pB1 RNNR",$J49:$AX49,"&lt;&gt;"&amp;"pB2 RNNR")-SUM(COUNTIFS($J49:$AX49,"*RNNR B1*",$J49:$AX49,"&lt;&gt;"&amp;"pRNNR B1")*0.5,COUNTIFS($J49:$AX49,"*RNNR B2*",$J49:$AX49,"&lt;&gt;"&amp;"pRNNR B2")*0.5,COUNTIFS($J49:$AX49,"*B1 RNNR*",$J49:$AX49,"&lt;&gt;"&amp;"pB1 RNNR")*0.5,COUNTIFS($J49:$AX49,"*B2 RNNR*",$J49:$AX49,"&lt;&gt;"&amp;"pB2 RNNR")*0.5)))</f>
        <v/>
      </c>
      <c r="J49" s="184" t="str">
        <f>IFERROR(IF(VLOOKUP(Wed_W2[[#This Row],[Employee Name]],'Base Schedules'!$A$205:$AW$241,9,FALSE)="","",VLOOKUP(Wed_W2[[#This Row],[Employee Name]],'Base Schedules'!$A$205:$AW$241,9,FALSE)),"")</f>
        <v/>
      </c>
      <c r="K49" s="184" t="str">
        <f>IFERROR(IF(VLOOKUP(Wed_W2[[#This Row],[Employee Name]],'Base Schedules'!$A$205:$AW$241,10,FALSE)="","",VLOOKUP(Wed_W2[[#This Row],[Employee Name]],'Base Schedules'!$A$205:$AW$241,10,FALSE)),"")</f>
        <v/>
      </c>
      <c r="L49" s="184" t="str">
        <f>IFERROR(IF(VLOOKUP(Wed_W2[[#This Row],[Employee Name]],'Base Schedules'!$A$205:$AW$241,11,FALSE)="","",VLOOKUP(Wed_W2[[#This Row],[Employee Name]],'Base Schedules'!$A$205:$AW$241,11,FALSE)),"")</f>
        <v/>
      </c>
      <c r="M49" s="184" t="str">
        <f>IFERROR(IF(VLOOKUP(Wed_W2[[#This Row],[Employee Name]],'Base Schedules'!$A$205:$AW$241,12,FALSE)="","",VLOOKUP(Wed_W2[[#This Row],[Employee Name]],'Base Schedules'!$A$205:$AW$241,12,FALSE)),"")</f>
        <v/>
      </c>
      <c r="N49" s="184" t="str">
        <f>IFERROR(IF(VLOOKUP(Wed_W2[[#This Row],[Employee Name]],'Base Schedules'!$A$205:$AW$241,13,FALSE)="","",VLOOKUP(Wed_W2[[#This Row],[Employee Name]],'Base Schedules'!$A$205:$AW$241,13,FALSE)),"")</f>
        <v/>
      </c>
      <c r="O49" s="184" t="str">
        <f>IFERROR(IF(VLOOKUP(Wed_W2[[#This Row],[Employee Name]],'Base Schedules'!$A$205:$AW$241,14,FALSE)="","",VLOOKUP(Wed_W2[[#This Row],[Employee Name]],'Base Schedules'!$A$205:$AW$241,14,FALSE)),"")</f>
        <v/>
      </c>
      <c r="P49" s="184" t="str">
        <f>IFERROR(IF(VLOOKUP(Wed_W2[[#This Row],[Employee Name]],'Base Schedules'!$A$205:$AW$241,15,FALSE)="","",VLOOKUP(Wed_W2[[#This Row],[Employee Name]],'Base Schedules'!$A$205:$AW$241,15,FALSE)),"")</f>
        <v/>
      </c>
      <c r="Q49" s="184" t="str">
        <f>IFERROR(IF(VLOOKUP(Wed_W2[[#This Row],[Employee Name]],'Base Schedules'!$A$205:$AW$241,16,FALSE)="","",VLOOKUP(Wed_W2[[#This Row],[Employee Name]],'Base Schedules'!$A$205:$AW$241,16,FALSE)),"")</f>
        <v/>
      </c>
      <c r="R49" s="184" t="str">
        <f>IFERROR(IF(VLOOKUP(Wed_W2[[#This Row],[Employee Name]],'Base Schedules'!$A$205:$AW$241,17,FALSE)="","",VLOOKUP(Wed_W2[[#This Row],[Employee Name]],'Base Schedules'!$A$205:$AW$241,17,FALSE)),"")</f>
        <v/>
      </c>
      <c r="S49" s="184" t="str">
        <f>IFERROR(IF(VLOOKUP(Wed_W2[[#This Row],[Employee Name]],'Base Schedules'!$A$205:$AW$241,18,FALSE)="","",VLOOKUP(Wed_W2[[#This Row],[Employee Name]],'Base Schedules'!$A$205:$AW$241,18,FALSE)),"")</f>
        <v/>
      </c>
      <c r="T49" s="184" t="str">
        <f>IFERROR(IF(VLOOKUP(Wed_W2[[#This Row],[Employee Name]],'Base Schedules'!$A$205:$AW$241,19,FALSE)="","",VLOOKUP(Wed_W2[[#This Row],[Employee Name]],'Base Schedules'!$A$205:$AW$241,19,FALSE)),"")</f>
        <v/>
      </c>
      <c r="U49" s="184" t="str">
        <f>IFERROR(IF(VLOOKUP(Wed_W2[[#This Row],[Employee Name]],'Base Schedules'!$A$205:$AW$241,20,FALSE)="","",VLOOKUP(Wed_W2[[#This Row],[Employee Name]],'Base Schedules'!$A$205:$AW$241,20,FALSE)),"")</f>
        <v/>
      </c>
      <c r="V49" s="184" t="str">
        <f>IFERROR(IF(VLOOKUP(Wed_W2[[#This Row],[Employee Name]],'Base Schedules'!$A$205:$AW$241,21,FALSE)="","",VLOOKUP(Wed_W2[[#This Row],[Employee Name]],'Base Schedules'!$A$205:$AW$241,21,FALSE)),"")</f>
        <v/>
      </c>
      <c r="W49" s="184" t="str">
        <f>IFERROR(IF(VLOOKUP(Wed_W2[[#This Row],[Employee Name]],'Base Schedules'!$A$205:$AW$241,22,FALSE)="","",VLOOKUP(Wed_W2[[#This Row],[Employee Name]],'Base Schedules'!$A$205:$AW$241,22,FALSE)),"")</f>
        <v/>
      </c>
      <c r="X49" s="184" t="str">
        <f>IFERROR(IF(VLOOKUP(Wed_W2[[#This Row],[Employee Name]],'Base Schedules'!$A$205:$AW$241,23,FALSE)="","",VLOOKUP(Wed_W2[[#This Row],[Employee Name]],'Base Schedules'!$A$205:$AW$241,23,FALSE)),"")</f>
        <v/>
      </c>
      <c r="Y49" s="184" t="str">
        <f>IFERROR(IF(VLOOKUP(Wed_W2[[#This Row],[Employee Name]],'Base Schedules'!$A$205:$AW$241,24,FALSE)="","",VLOOKUP(Wed_W2[[#This Row],[Employee Name]],'Base Schedules'!$A$205:$AW$241,24,FALSE)),"")</f>
        <v/>
      </c>
      <c r="Z49" s="184" t="str">
        <f>IFERROR(IF(VLOOKUP(Wed_W2[[#This Row],[Employee Name]],'Base Schedules'!$A$205:$AW$241,25,FALSE)="","",VLOOKUP(Wed_W2[[#This Row],[Employee Name]],'Base Schedules'!$A$205:$AW$241,25,FALSE)),"")</f>
        <v/>
      </c>
      <c r="AA49" s="184" t="str">
        <f>IFERROR(IF(VLOOKUP(Wed_W2[[#This Row],[Employee Name]],'Base Schedules'!$A$205:$AW$241,26,FALSE)="","",VLOOKUP(Wed_W2[[#This Row],[Employee Name]],'Base Schedules'!$A$205:$AW$241,26,FALSE)),"")</f>
        <v/>
      </c>
      <c r="AB49" s="184" t="str">
        <f>IFERROR(IF(VLOOKUP(Wed_W2[[#This Row],[Employee Name]],'Base Schedules'!$A$205:$AW$241,27,FALSE)="","",VLOOKUP(Wed_W2[[#This Row],[Employee Name]],'Base Schedules'!$A$205:$AW$241,27,FALSE)),"")</f>
        <v/>
      </c>
      <c r="AC49" s="184" t="str">
        <f>IFERROR(IF(VLOOKUP(Wed_W2[[#This Row],[Employee Name]],'Base Schedules'!$A$205:$AW$241,28,FALSE)="","",VLOOKUP(Wed_W2[[#This Row],[Employee Name]],'Base Schedules'!$A$205:$AW$241,28,FALSE)),"")</f>
        <v/>
      </c>
      <c r="AD49" s="184" t="str">
        <f>IFERROR(IF(VLOOKUP(Wed_W2[[#This Row],[Employee Name]],'Base Schedules'!$A$205:$AW$241,29,FALSE)="","",VLOOKUP(Wed_W2[[#This Row],[Employee Name]],'Base Schedules'!$A$205:$AW$241,29,FALSE)),"")</f>
        <v/>
      </c>
      <c r="AE49" s="184" t="str">
        <f>IFERROR(IF(VLOOKUP(Wed_W2[[#This Row],[Employee Name]],'Base Schedules'!$A$205:$AW$241,30,FALSE)="","",VLOOKUP(Wed_W2[[#This Row],[Employee Name]],'Base Schedules'!$A$205:$AW$241,30,FALSE)),"")</f>
        <v/>
      </c>
      <c r="AF49" s="184" t="str">
        <f>IFERROR(IF(VLOOKUP(Wed_W2[[#This Row],[Employee Name]],'Base Schedules'!$A$205:$AW$241,31,FALSE)="","",VLOOKUP(Wed_W2[[#This Row],[Employee Name]],'Base Schedules'!$A$205:$AW$241,31,FALSE)),"")</f>
        <v/>
      </c>
      <c r="AG49" s="184" t="str">
        <f>IFERROR(IF(VLOOKUP(Wed_W2[[#This Row],[Employee Name]],'Base Schedules'!$A$205:$AW$241,32,FALSE)="","",VLOOKUP(Wed_W2[[#This Row],[Employee Name]],'Base Schedules'!$A$205:$AW$241,32,FALSE)),"")</f>
        <v/>
      </c>
      <c r="AH49" s="184" t="str">
        <f>IFERROR(IF(VLOOKUP(Wed_W2[[#This Row],[Employee Name]],'Base Schedules'!$A$205:$AW$241,33,FALSE)="","",VLOOKUP(Wed_W2[[#This Row],[Employee Name]],'Base Schedules'!$A$205:$AW$241,33,FALSE)),"")</f>
        <v/>
      </c>
      <c r="AI49" s="184" t="str">
        <f>IFERROR(IF(VLOOKUP(Wed_W2[[#This Row],[Employee Name]],'Base Schedules'!$A$205:$AW$241,34,FALSE)="","",VLOOKUP(Wed_W2[[#This Row],[Employee Name]],'Base Schedules'!$A$205:$AW$241,34,FALSE)),"")</f>
        <v/>
      </c>
      <c r="AJ49" s="184" t="str">
        <f>IFERROR(IF(VLOOKUP(Wed_W2[[#This Row],[Employee Name]],'Base Schedules'!$A$205:$AW$241,35,FALSE)="","",VLOOKUP(Wed_W2[[#This Row],[Employee Name]],'Base Schedules'!$A$205:$AW$241,35,FALSE)),"")</f>
        <v/>
      </c>
      <c r="AK49" s="184" t="str">
        <f>IFERROR(IF(VLOOKUP(Wed_W2[[#This Row],[Employee Name]],'Base Schedules'!$A$205:$AW$241,36,FALSE)="","",VLOOKUP(Wed_W2[[#This Row],[Employee Name]],'Base Schedules'!$A$205:$AW$241,36,FALSE)),"")</f>
        <v/>
      </c>
      <c r="AL49" s="184" t="str">
        <f>IFERROR(IF(VLOOKUP(Wed_W2[[#This Row],[Employee Name]],'Base Schedules'!$A$205:$AW$241,37,FALSE)="","",VLOOKUP(Wed_W2[[#This Row],[Employee Name]],'Base Schedules'!$A$205:$AW$241,37,FALSE)),"")</f>
        <v/>
      </c>
      <c r="AM49" s="184" t="str">
        <f>IFERROR(IF(VLOOKUP(Wed_W2[[#This Row],[Employee Name]],'Base Schedules'!$A$205:$AW$241,38,FALSE)="","",VLOOKUP(Wed_W2[[#This Row],[Employee Name]],'Base Schedules'!$A$205:$AW$241,38,FALSE)),"")</f>
        <v/>
      </c>
      <c r="AN49" s="184" t="str">
        <f>IFERROR(IF(VLOOKUP(Wed_W2[[#This Row],[Employee Name]],'Base Schedules'!$A$205:$AW$241,39,FALSE)="","",VLOOKUP(Wed_W2[[#This Row],[Employee Name]],'Base Schedules'!$A$205:$AW$241,39,FALSE)),"")</f>
        <v/>
      </c>
      <c r="AO49" s="184" t="str">
        <f>IFERROR(IF(VLOOKUP(Wed_W2[[#This Row],[Employee Name]],'Base Schedules'!$A$205:$AW$241,40,FALSE)="","",VLOOKUP(Wed_W2[[#This Row],[Employee Name]],'Base Schedules'!$A$205:$AW$241,40,FALSE)),"")</f>
        <v/>
      </c>
      <c r="AP49" s="184" t="str">
        <f>IFERROR(IF(VLOOKUP(Wed_W2[[#This Row],[Employee Name]],'Base Schedules'!$A$205:$AW$241,41,FALSE)="","",VLOOKUP(Wed_W2[[#This Row],[Employee Name]],'Base Schedules'!$A$205:$AW$241,41,FALSE)),"")</f>
        <v/>
      </c>
      <c r="AQ49" s="184" t="str">
        <f>IFERROR(IF(VLOOKUP(Wed_W2[[#This Row],[Employee Name]],'Base Schedules'!$A$205:$AW$241,42,FALSE)="","",VLOOKUP(Wed_W2[[#This Row],[Employee Name]],'Base Schedules'!$A$205:$AW$241,42,FALSE)),"")</f>
        <v/>
      </c>
      <c r="AR49" s="184" t="str">
        <f>IFERROR(IF(VLOOKUP(Wed_W2[[#This Row],[Employee Name]],'Base Schedules'!$A$205:$AW$241,43,FALSE)="","",VLOOKUP(Wed_W2[[#This Row],[Employee Name]],'Base Schedules'!$A$205:$AW$241,43,FALSE)),"")</f>
        <v/>
      </c>
      <c r="AS49" s="184" t="str">
        <f>IFERROR(IF(VLOOKUP(Wed_W2[[#This Row],[Employee Name]],'Base Schedules'!$A$205:$AW$241,44,FALSE)="","",VLOOKUP(Wed_W2[[#This Row],[Employee Name]],'Base Schedules'!$A$205:$AW$241,44,FALSE)),"")</f>
        <v/>
      </c>
      <c r="AT49" s="184" t="str">
        <f>IFERROR(IF(VLOOKUP(Wed_W2[[#This Row],[Employee Name]],'Base Schedules'!$A$205:$AW$241,45,FALSE)="","",VLOOKUP(Wed_W2[[#This Row],[Employee Name]],'Base Schedules'!$A$205:$AW$241,45,FALSE)),"")</f>
        <v/>
      </c>
      <c r="AU49" s="184" t="str">
        <f>IFERROR(IF(VLOOKUP(Wed_W2[[#This Row],[Employee Name]],'Base Schedules'!$A$205:$AW$241,46,FALSE)="","",VLOOKUP(Wed_W2[[#This Row],[Employee Name]],'Base Schedules'!$A$205:$AW$241,46,FALSE)),"")</f>
        <v/>
      </c>
      <c r="AV49" s="184" t="str">
        <f>IFERROR(IF(VLOOKUP(Wed_W2[[#This Row],[Employee Name]],'Base Schedules'!$A$205:$AW$241,47,FALSE)="","",VLOOKUP(Wed_W2[[#This Row],[Employee Name]],'Base Schedules'!$A$205:$AW$241,47,FALSE)),"")</f>
        <v/>
      </c>
      <c r="AW49" s="184" t="str">
        <f>IFERROR(IF(VLOOKUP(Wed_W2[[#This Row],[Employee Name]],'Base Schedules'!$A$205:$AW$241,48,FALSE)="","",VLOOKUP(Wed_W2[[#This Row],[Employee Name]],'Base Schedules'!$A$205:$AW$241,48,FALSE)),"")</f>
        <v/>
      </c>
      <c r="AX49" s="184" t="str">
        <f>IFERROR(IF(VLOOKUP(Wed_W2[[#This Row],[Employee Name]],'Base Schedules'!$A$205:$AW$241,49,FALSE)="","",VLOOKUP(Wed_W2[[#This Row],[Employee Name]],'Base Schedules'!$A$205:$AW$241,49,FALSE)),"")</f>
        <v/>
      </c>
      <c r="AY49" s="159" t="str">
        <f t="shared" si="2"/>
        <v/>
      </c>
    </row>
    <row r="50" spans="1:52" s="44" customFormat="1" ht="12" hidden="1" customHeight="1" x14ac:dyDescent="0.2">
      <c r="A50" s="39" t="str">
        <f>IF(B50="","",INDEX(TeamList[],MATCH($B50,TeamList[[Employee Name]:[Employee Name]],0),MATCH("Manager",TeamList[#Headers],0)))</f>
        <v/>
      </c>
      <c r="B50" s="201"/>
      <c r="C50" s="257" t="str">
        <f>_xlfn.IFNA(VLOOKUP(Wed_W2[[#This Row],[Employee Name]],'Base Schedules'!A:B,2,FALSE),"")</f>
        <v/>
      </c>
      <c r="D50" s="274" t="str">
        <f>_xlfn.IFNA(VLOOKUP(Wed_W2[[#This Row],[Employee Name]],'Base Schedules'!A:C,3,FALSE),"")</f>
        <v/>
      </c>
      <c r="E50" s="274" t="str">
        <f>_xlfn.IFNA(VLOOKUP(Wed_W2[[#This Row],[Employee Name]],'Base Schedules'!A:D,4,FALSE),"")</f>
        <v/>
      </c>
      <c r="F50" s="142" t="str">
        <f>IF(Wed_W2[[#This Row],[Employee Name]]="","",IF(Wed_W2[[#This Row],[Dept]]="Supervisor",COUNTIFS($J50:$AX50,"*HL*",$J50:$AX50,"&lt;&gt;"&amp;"pHL"),COUNTIFS($J50:$AX50,"*HL*",$J50:$AX50,"&lt;&gt;"&amp;"*pHL*",$J50:$AX50,"&lt;&gt;"&amp;"pB1 HL",$J50:$AX50,"&lt;&gt;"&amp;"pB2 HL")-SUM(COUNTIFS($J50:$AX50,"*HL B1*",$J50:$AX50,"&lt;&gt;"&amp;"pHL B1")*0.5,COUNTIFS($J50:$AX50,"*HL B2*",$J50:$AX50,"&lt;&gt;"&amp;"pHL B2")*0.5,COUNTIFS($J50:$AX50,"*B1 HL*",$J50:$AX50,"&lt;&gt;"&amp;"pB1 HL")*0.5,COUNTIFS($J50:$AX50,"*B2 HL*",$J50:$AX50,"&lt;&gt;"&amp;"pB2 HL")*0.5)))</f>
        <v/>
      </c>
      <c r="G50" s="142" t="str">
        <f t="shared" si="3"/>
        <v/>
      </c>
      <c r="H50" s="142" t="str">
        <f t="shared" si="1"/>
        <v/>
      </c>
      <c r="I50" s="142" t="str">
        <f>IF(Wed_W2[[#This Row],[Employee Name]]="","",IF(Wed_W2[[#This Row],[Dept]]="Supervisor",SUM(COUNTIFS($J50:$AX50,"RTA*",$J50:$AX50,"&lt;&gt;"&amp;"pRTA"),COUNTIFS($J50:$AX50,"*CRTA*",$J50:$AX50,"&lt;&gt;"&amp;"pCRTA")),COUNTIFS($J50:$AX50,"*RNNR*",$J50:$AX50,"&lt;&gt;"&amp;"*pRNNR*",$J50:$AX50,"&lt;&gt;"&amp;"pB1 RNNR",$J50:$AX50,"&lt;&gt;"&amp;"pB2 RNNR")-SUM(COUNTIFS($J50:$AX50,"*RNNR B1*",$J50:$AX50,"&lt;&gt;"&amp;"pRNNR B1")*0.5,COUNTIFS($J50:$AX50,"*RNNR B2*",$J50:$AX50,"&lt;&gt;"&amp;"pRNNR B2")*0.5,COUNTIFS($J50:$AX50,"*B1 RNNR*",$J50:$AX50,"&lt;&gt;"&amp;"pB1 RNNR")*0.5,COUNTIFS($J50:$AX50,"*B2 RNNR*",$J50:$AX50,"&lt;&gt;"&amp;"pB2 RNNR")*0.5)))</f>
        <v/>
      </c>
      <c r="J50" s="184" t="str">
        <f>IFERROR(IF(VLOOKUP(Wed_W2[[#This Row],[Employee Name]],'Base Schedules'!$A$205:$AW$241,9,FALSE)="","",VLOOKUP(Wed_W2[[#This Row],[Employee Name]],'Base Schedules'!$A$205:$AW$241,9,FALSE)),"")</f>
        <v/>
      </c>
      <c r="K50" s="184" t="str">
        <f>IFERROR(IF(VLOOKUP(Wed_W2[[#This Row],[Employee Name]],'Base Schedules'!$A$205:$AW$241,10,FALSE)="","",VLOOKUP(Wed_W2[[#This Row],[Employee Name]],'Base Schedules'!$A$205:$AW$241,10,FALSE)),"")</f>
        <v/>
      </c>
      <c r="L50" s="184" t="str">
        <f>IFERROR(IF(VLOOKUP(Wed_W2[[#This Row],[Employee Name]],'Base Schedules'!$A$205:$AW$241,11,FALSE)="","",VLOOKUP(Wed_W2[[#This Row],[Employee Name]],'Base Schedules'!$A$205:$AW$241,11,FALSE)),"")</f>
        <v/>
      </c>
      <c r="M50" s="184" t="str">
        <f>IFERROR(IF(VLOOKUP(Wed_W2[[#This Row],[Employee Name]],'Base Schedules'!$A$205:$AW$241,12,FALSE)="","",VLOOKUP(Wed_W2[[#This Row],[Employee Name]],'Base Schedules'!$A$205:$AW$241,12,FALSE)),"")</f>
        <v/>
      </c>
      <c r="N50" s="184" t="str">
        <f>IFERROR(IF(VLOOKUP(Wed_W2[[#This Row],[Employee Name]],'Base Schedules'!$A$205:$AW$241,13,FALSE)="","",VLOOKUP(Wed_W2[[#This Row],[Employee Name]],'Base Schedules'!$A$205:$AW$241,13,FALSE)),"")</f>
        <v/>
      </c>
      <c r="O50" s="184" t="str">
        <f>IFERROR(IF(VLOOKUP(Wed_W2[[#This Row],[Employee Name]],'Base Schedules'!$A$205:$AW$241,14,FALSE)="","",VLOOKUP(Wed_W2[[#This Row],[Employee Name]],'Base Schedules'!$A$205:$AW$241,14,FALSE)),"")</f>
        <v/>
      </c>
      <c r="P50" s="184" t="str">
        <f>IFERROR(IF(VLOOKUP(Wed_W2[[#This Row],[Employee Name]],'Base Schedules'!$A$205:$AW$241,15,FALSE)="","",VLOOKUP(Wed_W2[[#This Row],[Employee Name]],'Base Schedules'!$A$205:$AW$241,15,FALSE)),"")</f>
        <v/>
      </c>
      <c r="Q50" s="184" t="str">
        <f>IFERROR(IF(VLOOKUP(Wed_W2[[#This Row],[Employee Name]],'Base Schedules'!$A$205:$AW$241,16,FALSE)="","",VLOOKUP(Wed_W2[[#This Row],[Employee Name]],'Base Schedules'!$A$205:$AW$241,16,FALSE)),"")</f>
        <v/>
      </c>
      <c r="R50" s="184" t="str">
        <f>IFERROR(IF(VLOOKUP(Wed_W2[[#This Row],[Employee Name]],'Base Schedules'!$A$205:$AW$241,17,FALSE)="","",VLOOKUP(Wed_W2[[#This Row],[Employee Name]],'Base Schedules'!$A$205:$AW$241,17,FALSE)),"")</f>
        <v/>
      </c>
      <c r="S50" s="184" t="str">
        <f>IFERROR(IF(VLOOKUP(Wed_W2[[#This Row],[Employee Name]],'Base Schedules'!$A$205:$AW$241,18,FALSE)="","",VLOOKUP(Wed_W2[[#This Row],[Employee Name]],'Base Schedules'!$A$205:$AW$241,18,FALSE)),"")</f>
        <v/>
      </c>
      <c r="T50" s="184" t="str">
        <f>IFERROR(IF(VLOOKUP(Wed_W2[[#This Row],[Employee Name]],'Base Schedules'!$A$205:$AW$241,19,FALSE)="","",VLOOKUP(Wed_W2[[#This Row],[Employee Name]],'Base Schedules'!$A$205:$AW$241,19,FALSE)),"")</f>
        <v/>
      </c>
      <c r="U50" s="184" t="str">
        <f>IFERROR(IF(VLOOKUP(Wed_W2[[#This Row],[Employee Name]],'Base Schedules'!$A$205:$AW$241,20,FALSE)="","",VLOOKUP(Wed_W2[[#This Row],[Employee Name]],'Base Schedules'!$A$205:$AW$241,20,FALSE)),"")</f>
        <v/>
      </c>
      <c r="V50" s="184" t="str">
        <f>IFERROR(IF(VLOOKUP(Wed_W2[[#This Row],[Employee Name]],'Base Schedules'!$A$205:$AW$241,21,FALSE)="","",VLOOKUP(Wed_W2[[#This Row],[Employee Name]],'Base Schedules'!$A$205:$AW$241,21,FALSE)),"")</f>
        <v/>
      </c>
      <c r="W50" s="184" t="str">
        <f>IFERROR(IF(VLOOKUP(Wed_W2[[#This Row],[Employee Name]],'Base Schedules'!$A$205:$AW$241,22,FALSE)="","",VLOOKUP(Wed_W2[[#This Row],[Employee Name]],'Base Schedules'!$A$205:$AW$241,22,FALSE)),"")</f>
        <v/>
      </c>
      <c r="X50" s="184" t="str">
        <f>IFERROR(IF(VLOOKUP(Wed_W2[[#This Row],[Employee Name]],'Base Schedules'!$A$205:$AW$241,23,FALSE)="","",VLOOKUP(Wed_W2[[#This Row],[Employee Name]],'Base Schedules'!$A$205:$AW$241,23,FALSE)),"")</f>
        <v/>
      </c>
      <c r="Y50" s="184" t="str">
        <f>IFERROR(IF(VLOOKUP(Wed_W2[[#This Row],[Employee Name]],'Base Schedules'!$A$205:$AW$241,24,FALSE)="","",VLOOKUP(Wed_W2[[#This Row],[Employee Name]],'Base Schedules'!$A$205:$AW$241,24,FALSE)),"")</f>
        <v/>
      </c>
      <c r="Z50" s="184" t="str">
        <f>IFERROR(IF(VLOOKUP(Wed_W2[[#This Row],[Employee Name]],'Base Schedules'!$A$205:$AW$241,25,FALSE)="","",VLOOKUP(Wed_W2[[#This Row],[Employee Name]],'Base Schedules'!$A$205:$AW$241,25,FALSE)),"")</f>
        <v/>
      </c>
      <c r="AA50" s="184" t="str">
        <f>IFERROR(IF(VLOOKUP(Wed_W2[[#This Row],[Employee Name]],'Base Schedules'!$A$205:$AW$241,26,FALSE)="","",VLOOKUP(Wed_W2[[#This Row],[Employee Name]],'Base Schedules'!$A$205:$AW$241,26,FALSE)),"")</f>
        <v/>
      </c>
      <c r="AB50" s="184" t="str">
        <f>IFERROR(IF(VLOOKUP(Wed_W2[[#This Row],[Employee Name]],'Base Schedules'!$A$205:$AW$241,27,FALSE)="","",VLOOKUP(Wed_W2[[#This Row],[Employee Name]],'Base Schedules'!$A$205:$AW$241,27,FALSE)),"")</f>
        <v/>
      </c>
      <c r="AC50" s="184" t="str">
        <f>IFERROR(IF(VLOOKUP(Wed_W2[[#This Row],[Employee Name]],'Base Schedules'!$A$205:$AW$241,28,FALSE)="","",VLOOKUP(Wed_W2[[#This Row],[Employee Name]],'Base Schedules'!$A$205:$AW$241,28,FALSE)),"")</f>
        <v/>
      </c>
      <c r="AD50" s="184" t="str">
        <f>IFERROR(IF(VLOOKUP(Wed_W2[[#This Row],[Employee Name]],'Base Schedules'!$A$205:$AW$241,29,FALSE)="","",VLOOKUP(Wed_W2[[#This Row],[Employee Name]],'Base Schedules'!$A$205:$AW$241,29,FALSE)),"")</f>
        <v/>
      </c>
      <c r="AE50" s="184" t="str">
        <f>IFERROR(IF(VLOOKUP(Wed_W2[[#This Row],[Employee Name]],'Base Schedules'!$A$205:$AW$241,30,FALSE)="","",VLOOKUP(Wed_W2[[#This Row],[Employee Name]],'Base Schedules'!$A$205:$AW$241,30,FALSE)),"")</f>
        <v/>
      </c>
      <c r="AF50" s="184" t="str">
        <f>IFERROR(IF(VLOOKUP(Wed_W2[[#This Row],[Employee Name]],'Base Schedules'!$A$205:$AW$241,31,FALSE)="","",VLOOKUP(Wed_W2[[#This Row],[Employee Name]],'Base Schedules'!$A$205:$AW$241,31,FALSE)),"")</f>
        <v/>
      </c>
      <c r="AG50" s="184" t="str">
        <f>IFERROR(IF(VLOOKUP(Wed_W2[[#This Row],[Employee Name]],'Base Schedules'!$A$205:$AW$241,32,FALSE)="","",VLOOKUP(Wed_W2[[#This Row],[Employee Name]],'Base Schedules'!$A$205:$AW$241,32,FALSE)),"")</f>
        <v/>
      </c>
      <c r="AH50" s="184" t="str">
        <f>IFERROR(IF(VLOOKUP(Wed_W2[[#This Row],[Employee Name]],'Base Schedules'!$A$205:$AW$241,33,FALSE)="","",VLOOKUP(Wed_W2[[#This Row],[Employee Name]],'Base Schedules'!$A$205:$AW$241,33,FALSE)),"")</f>
        <v/>
      </c>
      <c r="AI50" s="184" t="str">
        <f>IFERROR(IF(VLOOKUP(Wed_W2[[#This Row],[Employee Name]],'Base Schedules'!$A$205:$AW$241,34,FALSE)="","",VLOOKUP(Wed_W2[[#This Row],[Employee Name]],'Base Schedules'!$A$205:$AW$241,34,FALSE)),"")</f>
        <v/>
      </c>
      <c r="AJ50" s="184" t="str">
        <f>IFERROR(IF(VLOOKUP(Wed_W2[[#This Row],[Employee Name]],'Base Schedules'!$A$205:$AW$241,35,FALSE)="","",VLOOKUP(Wed_W2[[#This Row],[Employee Name]],'Base Schedules'!$A$205:$AW$241,35,FALSE)),"")</f>
        <v/>
      </c>
      <c r="AK50" s="184" t="str">
        <f>IFERROR(IF(VLOOKUP(Wed_W2[[#This Row],[Employee Name]],'Base Schedules'!$A$205:$AW$241,36,FALSE)="","",VLOOKUP(Wed_W2[[#This Row],[Employee Name]],'Base Schedules'!$A$205:$AW$241,36,FALSE)),"")</f>
        <v/>
      </c>
      <c r="AL50" s="184" t="str">
        <f>IFERROR(IF(VLOOKUP(Wed_W2[[#This Row],[Employee Name]],'Base Schedules'!$A$205:$AW$241,37,FALSE)="","",VLOOKUP(Wed_W2[[#This Row],[Employee Name]],'Base Schedules'!$A$205:$AW$241,37,FALSE)),"")</f>
        <v/>
      </c>
      <c r="AM50" s="184" t="str">
        <f>IFERROR(IF(VLOOKUP(Wed_W2[[#This Row],[Employee Name]],'Base Schedules'!$A$205:$AW$241,38,FALSE)="","",VLOOKUP(Wed_W2[[#This Row],[Employee Name]],'Base Schedules'!$A$205:$AW$241,38,FALSE)),"")</f>
        <v/>
      </c>
      <c r="AN50" s="184" t="str">
        <f>IFERROR(IF(VLOOKUP(Wed_W2[[#This Row],[Employee Name]],'Base Schedules'!$A$205:$AW$241,39,FALSE)="","",VLOOKUP(Wed_W2[[#This Row],[Employee Name]],'Base Schedules'!$A$205:$AW$241,39,FALSE)),"")</f>
        <v/>
      </c>
      <c r="AO50" s="184" t="str">
        <f>IFERROR(IF(VLOOKUP(Wed_W2[[#This Row],[Employee Name]],'Base Schedules'!$A$205:$AW$241,40,FALSE)="","",VLOOKUP(Wed_W2[[#This Row],[Employee Name]],'Base Schedules'!$A$205:$AW$241,40,FALSE)),"")</f>
        <v/>
      </c>
      <c r="AP50" s="184" t="str">
        <f>IFERROR(IF(VLOOKUP(Wed_W2[[#This Row],[Employee Name]],'Base Schedules'!$A$205:$AW$241,41,FALSE)="","",VLOOKUP(Wed_W2[[#This Row],[Employee Name]],'Base Schedules'!$A$205:$AW$241,41,FALSE)),"")</f>
        <v/>
      </c>
      <c r="AQ50" s="184" t="str">
        <f>IFERROR(IF(VLOOKUP(Wed_W2[[#This Row],[Employee Name]],'Base Schedules'!$A$205:$AW$241,42,FALSE)="","",VLOOKUP(Wed_W2[[#This Row],[Employee Name]],'Base Schedules'!$A$205:$AW$241,42,FALSE)),"")</f>
        <v/>
      </c>
      <c r="AR50" s="184" t="str">
        <f>IFERROR(IF(VLOOKUP(Wed_W2[[#This Row],[Employee Name]],'Base Schedules'!$A$205:$AW$241,43,FALSE)="","",VLOOKUP(Wed_W2[[#This Row],[Employee Name]],'Base Schedules'!$A$205:$AW$241,43,FALSE)),"")</f>
        <v/>
      </c>
      <c r="AS50" s="184" t="str">
        <f>IFERROR(IF(VLOOKUP(Wed_W2[[#This Row],[Employee Name]],'Base Schedules'!$A$205:$AW$241,44,FALSE)="","",VLOOKUP(Wed_W2[[#This Row],[Employee Name]],'Base Schedules'!$A$205:$AW$241,44,FALSE)),"")</f>
        <v/>
      </c>
      <c r="AT50" s="184" t="str">
        <f>IFERROR(IF(VLOOKUP(Wed_W2[[#This Row],[Employee Name]],'Base Schedules'!$A$205:$AW$241,45,FALSE)="","",VLOOKUP(Wed_W2[[#This Row],[Employee Name]],'Base Schedules'!$A$205:$AW$241,45,FALSE)),"")</f>
        <v/>
      </c>
      <c r="AU50" s="184" t="str">
        <f>IFERROR(IF(VLOOKUP(Wed_W2[[#This Row],[Employee Name]],'Base Schedules'!$A$205:$AW$241,46,FALSE)="","",VLOOKUP(Wed_W2[[#This Row],[Employee Name]],'Base Schedules'!$A$205:$AW$241,46,FALSE)),"")</f>
        <v/>
      </c>
      <c r="AV50" s="184" t="str">
        <f>IFERROR(IF(VLOOKUP(Wed_W2[[#This Row],[Employee Name]],'Base Schedules'!$A$205:$AW$241,47,FALSE)="","",VLOOKUP(Wed_W2[[#This Row],[Employee Name]],'Base Schedules'!$A$205:$AW$241,47,FALSE)),"")</f>
        <v/>
      </c>
      <c r="AW50" s="184" t="str">
        <f>IFERROR(IF(VLOOKUP(Wed_W2[[#This Row],[Employee Name]],'Base Schedules'!$A$205:$AW$241,48,FALSE)="","",VLOOKUP(Wed_W2[[#This Row],[Employee Name]],'Base Schedules'!$A$205:$AW$241,48,FALSE)),"")</f>
        <v/>
      </c>
      <c r="AX50" s="184" t="str">
        <f>IFERROR(IF(VLOOKUP(Wed_W2[[#This Row],[Employee Name]],'Base Schedules'!$A$205:$AW$241,49,FALSE)="","",VLOOKUP(Wed_W2[[#This Row],[Employee Name]],'Base Schedules'!$A$205:$AW$241,49,FALSE)),"")</f>
        <v/>
      </c>
      <c r="AY50" s="159" t="str">
        <f t="shared" si="2"/>
        <v/>
      </c>
    </row>
    <row r="51" spans="1:52" s="44" customFormat="1" ht="12" hidden="1" customHeight="1" x14ac:dyDescent="0.2">
      <c r="A51" s="39" t="str">
        <f>IF(B51="","",INDEX(TeamList[],MATCH($B51,TeamList[[Employee Name]:[Employee Name]],0),MATCH("Manager",TeamList[#Headers],0)))</f>
        <v/>
      </c>
      <c r="B51" s="201"/>
      <c r="C51" s="257" t="str">
        <f>_xlfn.IFNA(VLOOKUP(Wed_W2[[#This Row],[Employee Name]],'Base Schedules'!A:B,2,FALSE),"")</f>
        <v/>
      </c>
      <c r="D51" s="274" t="str">
        <f>_xlfn.IFNA(VLOOKUP(Wed_W2[[#This Row],[Employee Name]],'Base Schedules'!A:C,3,FALSE),"")</f>
        <v/>
      </c>
      <c r="E51" s="274" t="str">
        <f>_xlfn.IFNA(VLOOKUP(Wed_W2[[#This Row],[Employee Name]],'Base Schedules'!A:D,4,FALSE),"")</f>
        <v/>
      </c>
      <c r="F51" s="142" t="str">
        <f>IF(Wed_W2[[#This Row],[Employee Name]]="","",IF(Wed_W2[[#This Row],[Dept]]="Supervisor",COUNTIFS($J51:$AX51,"*HL*",$J51:$AX51,"&lt;&gt;"&amp;"pHL"),COUNTIFS($J51:$AX51,"*HL*",$J51:$AX51,"&lt;&gt;"&amp;"*pHL*",$J51:$AX51,"&lt;&gt;"&amp;"pB1 HL",$J51:$AX51,"&lt;&gt;"&amp;"pB2 HL")-SUM(COUNTIFS($J51:$AX51,"*HL B1*",$J51:$AX51,"&lt;&gt;"&amp;"pHL B1")*0.5,COUNTIFS($J51:$AX51,"*HL B2*",$J51:$AX51,"&lt;&gt;"&amp;"pHL B2")*0.5,COUNTIFS($J51:$AX51,"*B1 HL*",$J51:$AX51,"&lt;&gt;"&amp;"pB1 HL")*0.5,COUNTIFS($J51:$AX51,"*B2 HL*",$J51:$AX51,"&lt;&gt;"&amp;"pB2 HL")*0.5)))</f>
        <v/>
      </c>
      <c r="G51" s="142" t="str">
        <f t="shared" si="3"/>
        <v/>
      </c>
      <c r="H51" s="142" t="str">
        <f t="shared" si="1"/>
        <v/>
      </c>
      <c r="I51" s="142" t="str">
        <f>IF(Wed_W2[[#This Row],[Employee Name]]="","",IF(Wed_W2[[#This Row],[Dept]]="Supervisor",SUM(COUNTIFS($J51:$AX51,"RTA*",$J51:$AX51,"&lt;&gt;"&amp;"pRTA"),COUNTIFS($J51:$AX51,"*CRTA*",$J51:$AX51,"&lt;&gt;"&amp;"pCRTA")),COUNTIFS($J51:$AX51,"*RNNR*",$J51:$AX51,"&lt;&gt;"&amp;"*pRNNR*",$J51:$AX51,"&lt;&gt;"&amp;"pB1 RNNR",$J51:$AX51,"&lt;&gt;"&amp;"pB2 RNNR")-SUM(COUNTIFS($J51:$AX51,"*RNNR B1*",$J51:$AX51,"&lt;&gt;"&amp;"pRNNR B1")*0.5,COUNTIFS($J51:$AX51,"*RNNR B2*",$J51:$AX51,"&lt;&gt;"&amp;"pRNNR B2")*0.5,COUNTIFS($J51:$AX51,"*B1 RNNR*",$J51:$AX51,"&lt;&gt;"&amp;"pB1 RNNR")*0.5,COUNTIFS($J51:$AX51,"*B2 RNNR*",$J51:$AX51,"&lt;&gt;"&amp;"pB2 RNNR")*0.5)))</f>
        <v/>
      </c>
      <c r="J51" s="184" t="str">
        <f>IFERROR(IF(VLOOKUP(Wed_W2[[#This Row],[Employee Name]],'Base Schedules'!$A$205:$AW$241,9,FALSE)="","",VLOOKUP(Wed_W2[[#This Row],[Employee Name]],'Base Schedules'!$A$205:$AW$241,9,FALSE)),"")</f>
        <v/>
      </c>
      <c r="K51" s="184" t="str">
        <f>IFERROR(IF(VLOOKUP(Wed_W2[[#This Row],[Employee Name]],'Base Schedules'!$A$205:$AW$241,10,FALSE)="","",VLOOKUP(Wed_W2[[#This Row],[Employee Name]],'Base Schedules'!$A$205:$AW$241,10,FALSE)),"")</f>
        <v/>
      </c>
      <c r="L51" s="184" t="str">
        <f>IFERROR(IF(VLOOKUP(Wed_W2[[#This Row],[Employee Name]],'Base Schedules'!$A$205:$AW$241,11,FALSE)="","",VLOOKUP(Wed_W2[[#This Row],[Employee Name]],'Base Schedules'!$A$205:$AW$241,11,FALSE)),"")</f>
        <v/>
      </c>
      <c r="M51" s="184" t="str">
        <f>IFERROR(IF(VLOOKUP(Wed_W2[[#This Row],[Employee Name]],'Base Schedules'!$A$205:$AW$241,12,FALSE)="","",VLOOKUP(Wed_W2[[#This Row],[Employee Name]],'Base Schedules'!$A$205:$AW$241,12,FALSE)),"")</f>
        <v/>
      </c>
      <c r="N51" s="184" t="str">
        <f>IFERROR(IF(VLOOKUP(Wed_W2[[#This Row],[Employee Name]],'Base Schedules'!$A$205:$AW$241,13,FALSE)="","",VLOOKUP(Wed_W2[[#This Row],[Employee Name]],'Base Schedules'!$A$205:$AW$241,13,FALSE)),"")</f>
        <v/>
      </c>
      <c r="O51" s="184" t="str">
        <f>IFERROR(IF(VLOOKUP(Wed_W2[[#This Row],[Employee Name]],'Base Schedules'!$A$205:$AW$241,14,FALSE)="","",VLOOKUP(Wed_W2[[#This Row],[Employee Name]],'Base Schedules'!$A$205:$AW$241,14,FALSE)),"")</f>
        <v/>
      </c>
      <c r="P51" s="184" t="str">
        <f>IFERROR(IF(VLOOKUP(Wed_W2[[#This Row],[Employee Name]],'Base Schedules'!$A$205:$AW$241,15,FALSE)="","",VLOOKUP(Wed_W2[[#This Row],[Employee Name]],'Base Schedules'!$A$205:$AW$241,15,FALSE)),"")</f>
        <v/>
      </c>
      <c r="Q51" s="184" t="str">
        <f>IFERROR(IF(VLOOKUP(Wed_W2[[#This Row],[Employee Name]],'Base Schedules'!$A$205:$AW$241,16,FALSE)="","",VLOOKUP(Wed_W2[[#This Row],[Employee Name]],'Base Schedules'!$A$205:$AW$241,16,FALSE)),"")</f>
        <v/>
      </c>
      <c r="R51" s="184" t="str">
        <f>IFERROR(IF(VLOOKUP(Wed_W2[[#This Row],[Employee Name]],'Base Schedules'!$A$205:$AW$241,17,FALSE)="","",VLOOKUP(Wed_W2[[#This Row],[Employee Name]],'Base Schedules'!$A$205:$AW$241,17,FALSE)),"")</f>
        <v/>
      </c>
      <c r="S51" s="184" t="str">
        <f>IFERROR(IF(VLOOKUP(Wed_W2[[#This Row],[Employee Name]],'Base Schedules'!$A$205:$AW$241,18,FALSE)="","",VLOOKUP(Wed_W2[[#This Row],[Employee Name]],'Base Schedules'!$A$205:$AW$241,18,FALSE)),"")</f>
        <v/>
      </c>
      <c r="T51" s="184" t="str">
        <f>IFERROR(IF(VLOOKUP(Wed_W2[[#This Row],[Employee Name]],'Base Schedules'!$A$205:$AW$241,19,FALSE)="","",VLOOKUP(Wed_W2[[#This Row],[Employee Name]],'Base Schedules'!$A$205:$AW$241,19,FALSE)),"")</f>
        <v/>
      </c>
      <c r="U51" s="184" t="str">
        <f>IFERROR(IF(VLOOKUP(Wed_W2[[#This Row],[Employee Name]],'Base Schedules'!$A$205:$AW$241,20,FALSE)="","",VLOOKUP(Wed_W2[[#This Row],[Employee Name]],'Base Schedules'!$A$205:$AW$241,20,FALSE)),"")</f>
        <v/>
      </c>
      <c r="V51" s="184" t="str">
        <f>IFERROR(IF(VLOOKUP(Wed_W2[[#This Row],[Employee Name]],'Base Schedules'!$A$205:$AW$241,21,FALSE)="","",VLOOKUP(Wed_W2[[#This Row],[Employee Name]],'Base Schedules'!$A$205:$AW$241,21,FALSE)),"")</f>
        <v/>
      </c>
      <c r="W51" s="184" t="str">
        <f>IFERROR(IF(VLOOKUP(Wed_W2[[#This Row],[Employee Name]],'Base Schedules'!$A$205:$AW$241,22,FALSE)="","",VLOOKUP(Wed_W2[[#This Row],[Employee Name]],'Base Schedules'!$A$205:$AW$241,22,FALSE)),"")</f>
        <v/>
      </c>
      <c r="X51" s="184" t="str">
        <f>IFERROR(IF(VLOOKUP(Wed_W2[[#This Row],[Employee Name]],'Base Schedules'!$A$205:$AW$241,23,FALSE)="","",VLOOKUP(Wed_W2[[#This Row],[Employee Name]],'Base Schedules'!$A$205:$AW$241,23,FALSE)),"")</f>
        <v/>
      </c>
      <c r="Y51" s="184" t="str">
        <f>IFERROR(IF(VLOOKUP(Wed_W2[[#This Row],[Employee Name]],'Base Schedules'!$A$205:$AW$241,24,FALSE)="","",VLOOKUP(Wed_W2[[#This Row],[Employee Name]],'Base Schedules'!$A$205:$AW$241,24,FALSE)),"")</f>
        <v/>
      </c>
      <c r="Z51" s="184" t="str">
        <f>IFERROR(IF(VLOOKUP(Wed_W2[[#This Row],[Employee Name]],'Base Schedules'!$A$205:$AW$241,25,FALSE)="","",VLOOKUP(Wed_W2[[#This Row],[Employee Name]],'Base Schedules'!$A$205:$AW$241,25,FALSE)),"")</f>
        <v/>
      </c>
      <c r="AA51" s="184" t="str">
        <f>IFERROR(IF(VLOOKUP(Wed_W2[[#This Row],[Employee Name]],'Base Schedules'!$A$205:$AW$241,26,FALSE)="","",VLOOKUP(Wed_W2[[#This Row],[Employee Name]],'Base Schedules'!$A$205:$AW$241,26,FALSE)),"")</f>
        <v/>
      </c>
      <c r="AB51" s="184" t="str">
        <f>IFERROR(IF(VLOOKUP(Wed_W2[[#This Row],[Employee Name]],'Base Schedules'!$A$205:$AW$241,27,FALSE)="","",VLOOKUP(Wed_W2[[#This Row],[Employee Name]],'Base Schedules'!$A$205:$AW$241,27,FALSE)),"")</f>
        <v/>
      </c>
      <c r="AC51" s="184" t="str">
        <f>IFERROR(IF(VLOOKUP(Wed_W2[[#This Row],[Employee Name]],'Base Schedules'!$A$205:$AW$241,28,FALSE)="","",VLOOKUP(Wed_W2[[#This Row],[Employee Name]],'Base Schedules'!$A$205:$AW$241,28,FALSE)),"")</f>
        <v/>
      </c>
      <c r="AD51" s="184" t="str">
        <f>IFERROR(IF(VLOOKUP(Wed_W2[[#This Row],[Employee Name]],'Base Schedules'!$A$205:$AW$241,29,FALSE)="","",VLOOKUP(Wed_W2[[#This Row],[Employee Name]],'Base Schedules'!$A$205:$AW$241,29,FALSE)),"")</f>
        <v/>
      </c>
      <c r="AE51" s="184" t="str">
        <f>IFERROR(IF(VLOOKUP(Wed_W2[[#This Row],[Employee Name]],'Base Schedules'!$A$205:$AW$241,30,FALSE)="","",VLOOKUP(Wed_W2[[#This Row],[Employee Name]],'Base Schedules'!$A$205:$AW$241,30,FALSE)),"")</f>
        <v/>
      </c>
      <c r="AF51" s="184" t="str">
        <f>IFERROR(IF(VLOOKUP(Wed_W2[[#This Row],[Employee Name]],'Base Schedules'!$A$205:$AW$241,31,FALSE)="","",VLOOKUP(Wed_W2[[#This Row],[Employee Name]],'Base Schedules'!$A$205:$AW$241,31,FALSE)),"")</f>
        <v/>
      </c>
      <c r="AG51" s="184" t="str">
        <f>IFERROR(IF(VLOOKUP(Wed_W2[[#This Row],[Employee Name]],'Base Schedules'!$A$205:$AW$241,32,FALSE)="","",VLOOKUP(Wed_W2[[#This Row],[Employee Name]],'Base Schedules'!$A$205:$AW$241,32,FALSE)),"")</f>
        <v/>
      </c>
      <c r="AH51" s="184" t="str">
        <f>IFERROR(IF(VLOOKUP(Wed_W2[[#This Row],[Employee Name]],'Base Schedules'!$A$205:$AW$241,33,FALSE)="","",VLOOKUP(Wed_W2[[#This Row],[Employee Name]],'Base Schedules'!$A$205:$AW$241,33,FALSE)),"")</f>
        <v/>
      </c>
      <c r="AI51" s="184" t="str">
        <f>IFERROR(IF(VLOOKUP(Wed_W2[[#This Row],[Employee Name]],'Base Schedules'!$A$205:$AW$241,34,FALSE)="","",VLOOKUP(Wed_W2[[#This Row],[Employee Name]],'Base Schedules'!$A$205:$AW$241,34,FALSE)),"")</f>
        <v/>
      </c>
      <c r="AJ51" s="184" t="str">
        <f>IFERROR(IF(VLOOKUP(Wed_W2[[#This Row],[Employee Name]],'Base Schedules'!$A$205:$AW$241,35,FALSE)="","",VLOOKUP(Wed_W2[[#This Row],[Employee Name]],'Base Schedules'!$A$205:$AW$241,35,FALSE)),"")</f>
        <v/>
      </c>
      <c r="AK51" s="184" t="str">
        <f>IFERROR(IF(VLOOKUP(Wed_W2[[#This Row],[Employee Name]],'Base Schedules'!$A$205:$AW$241,36,FALSE)="","",VLOOKUP(Wed_W2[[#This Row],[Employee Name]],'Base Schedules'!$A$205:$AW$241,36,FALSE)),"")</f>
        <v/>
      </c>
      <c r="AL51" s="184" t="str">
        <f>IFERROR(IF(VLOOKUP(Wed_W2[[#This Row],[Employee Name]],'Base Schedules'!$A$205:$AW$241,37,FALSE)="","",VLOOKUP(Wed_W2[[#This Row],[Employee Name]],'Base Schedules'!$A$205:$AW$241,37,FALSE)),"")</f>
        <v/>
      </c>
      <c r="AM51" s="184" t="str">
        <f>IFERROR(IF(VLOOKUP(Wed_W2[[#This Row],[Employee Name]],'Base Schedules'!$A$205:$AW$241,38,FALSE)="","",VLOOKUP(Wed_W2[[#This Row],[Employee Name]],'Base Schedules'!$A$205:$AW$241,38,FALSE)),"")</f>
        <v/>
      </c>
      <c r="AN51" s="184" t="str">
        <f>IFERROR(IF(VLOOKUP(Wed_W2[[#This Row],[Employee Name]],'Base Schedules'!$A$205:$AW$241,39,FALSE)="","",VLOOKUP(Wed_W2[[#This Row],[Employee Name]],'Base Schedules'!$A$205:$AW$241,39,FALSE)),"")</f>
        <v/>
      </c>
      <c r="AO51" s="184" t="str">
        <f>IFERROR(IF(VLOOKUP(Wed_W2[[#This Row],[Employee Name]],'Base Schedules'!$A$205:$AW$241,40,FALSE)="","",VLOOKUP(Wed_W2[[#This Row],[Employee Name]],'Base Schedules'!$A$205:$AW$241,40,FALSE)),"")</f>
        <v/>
      </c>
      <c r="AP51" s="184" t="str">
        <f>IFERROR(IF(VLOOKUP(Wed_W2[[#This Row],[Employee Name]],'Base Schedules'!$A$205:$AW$241,41,FALSE)="","",VLOOKUP(Wed_W2[[#This Row],[Employee Name]],'Base Schedules'!$A$205:$AW$241,41,FALSE)),"")</f>
        <v/>
      </c>
      <c r="AQ51" s="184" t="str">
        <f>IFERROR(IF(VLOOKUP(Wed_W2[[#This Row],[Employee Name]],'Base Schedules'!$A$205:$AW$241,42,FALSE)="","",VLOOKUP(Wed_W2[[#This Row],[Employee Name]],'Base Schedules'!$A$205:$AW$241,42,FALSE)),"")</f>
        <v/>
      </c>
      <c r="AR51" s="184" t="str">
        <f>IFERROR(IF(VLOOKUP(Wed_W2[[#This Row],[Employee Name]],'Base Schedules'!$A$205:$AW$241,43,FALSE)="","",VLOOKUP(Wed_W2[[#This Row],[Employee Name]],'Base Schedules'!$A$205:$AW$241,43,FALSE)),"")</f>
        <v/>
      </c>
      <c r="AS51" s="184" t="str">
        <f>IFERROR(IF(VLOOKUP(Wed_W2[[#This Row],[Employee Name]],'Base Schedules'!$A$205:$AW$241,44,FALSE)="","",VLOOKUP(Wed_W2[[#This Row],[Employee Name]],'Base Schedules'!$A$205:$AW$241,44,FALSE)),"")</f>
        <v/>
      </c>
      <c r="AT51" s="184" t="str">
        <f>IFERROR(IF(VLOOKUP(Wed_W2[[#This Row],[Employee Name]],'Base Schedules'!$A$205:$AW$241,45,FALSE)="","",VLOOKUP(Wed_W2[[#This Row],[Employee Name]],'Base Schedules'!$A$205:$AW$241,45,FALSE)),"")</f>
        <v/>
      </c>
      <c r="AU51" s="184" t="str">
        <f>IFERROR(IF(VLOOKUP(Wed_W2[[#This Row],[Employee Name]],'Base Schedules'!$A$205:$AW$241,46,FALSE)="","",VLOOKUP(Wed_W2[[#This Row],[Employee Name]],'Base Schedules'!$A$205:$AW$241,46,FALSE)),"")</f>
        <v/>
      </c>
      <c r="AV51" s="184" t="str">
        <f>IFERROR(IF(VLOOKUP(Wed_W2[[#This Row],[Employee Name]],'Base Schedules'!$A$205:$AW$241,47,FALSE)="","",VLOOKUP(Wed_W2[[#This Row],[Employee Name]],'Base Schedules'!$A$205:$AW$241,47,FALSE)),"")</f>
        <v/>
      </c>
      <c r="AW51" s="184" t="str">
        <f>IFERROR(IF(VLOOKUP(Wed_W2[[#This Row],[Employee Name]],'Base Schedules'!$A$205:$AW$241,48,FALSE)="","",VLOOKUP(Wed_W2[[#This Row],[Employee Name]],'Base Schedules'!$A$205:$AW$241,48,FALSE)),"")</f>
        <v/>
      </c>
      <c r="AX51" s="184" t="str">
        <f>IFERROR(IF(VLOOKUP(Wed_W2[[#This Row],[Employee Name]],'Base Schedules'!$A$205:$AW$241,49,FALSE)="","",VLOOKUP(Wed_W2[[#This Row],[Employee Name]],'Base Schedules'!$A$205:$AW$241,49,FALSE)),"")</f>
        <v/>
      </c>
      <c r="AY51" s="159" t="str">
        <f t="shared" si="2"/>
        <v/>
      </c>
    </row>
    <row r="52" spans="1:52" s="44" customFormat="1" ht="12" hidden="1" customHeight="1" x14ac:dyDescent="0.2">
      <c r="A52" s="39" t="str">
        <f>IF(B52="","",INDEX(TeamList[],MATCH($B52,TeamList[[Employee Name]:[Employee Name]],0),MATCH("Manager",TeamList[#Headers],0)))</f>
        <v/>
      </c>
      <c r="B52" s="201"/>
      <c r="C52" s="257" t="str">
        <f>_xlfn.IFNA(VLOOKUP(Wed_W2[[#This Row],[Employee Name]],'Base Schedules'!A:B,2,FALSE),"")</f>
        <v/>
      </c>
      <c r="D52" s="274" t="str">
        <f>_xlfn.IFNA(VLOOKUP(Wed_W2[[#This Row],[Employee Name]],'Base Schedules'!A:C,3,FALSE),"")</f>
        <v/>
      </c>
      <c r="E52" s="274" t="str">
        <f>_xlfn.IFNA(VLOOKUP(Wed_W2[[#This Row],[Employee Name]],'Base Schedules'!A:D,4,FALSE),"")</f>
        <v/>
      </c>
      <c r="F52" s="142" t="str">
        <f>IF(Wed_W2[[#This Row],[Employee Name]]="","",IF(Wed_W2[[#This Row],[Dept]]="Supervisor",COUNTIFS($J52:$AX52,"*HL*",$J52:$AX52,"&lt;&gt;"&amp;"pHL"),COUNTIFS($J52:$AX52,"*HL*",$J52:$AX52,"&lt;&gt;"&amp;"*pHL*",$J52:$AX52,"&lt;&gt;"&amp;"pB1 HL",$J52:$AX52,"&lt;&gt;"&amp;"pB2 HL")-SUM(COUNTIFS($J52:$AX52,"*HL B1*",$J52:$AX52,"&lt;&gt;"&amp;"pHL B1")*0.5,COUNTIFS($J52:$AX52,"*HL B2*",$J52:$AX52,"&lt;&gt;"&amp;"pHL B2")*0.5,COUNTIFS($J52:$AX52,"*B1 HL*",$J52:$AX52,"&lt;&gt;"&amp;"pB1 HL")*0.5,COUNTIFS($J52:$AX52,"*B2 HL*",$J52:$AX52,"&lt;&gt;"&amp;"pB2 HL")*0.5)))</f>
        <v/>
      </c>
      <c r="G52" s="142" t="str">
        <f t="shared" si="3"/>
        <v/>
      </c>
      <c r="H52" s="142" t="str">
        <f t="shared" si="1"/>
        <v/>
      </c>
      <c r="I52" s="142" t="str">
        <f>IF(Wed_W2[[#This Row],[Employee Name]]="","",IF(Wed_W2[[#This Row],[Dept]]="Supervisor",SUM(COUNTIFS($J52:$AX52,"RTA*",$J52:$AX52,"&lt;&gt;"&amp;"pRTA"),COUNTIFS($J52:$AX52,"*CRTA*",$J52:$AX52,"&lt;&gt;"&amp;"pCRTA")),COUNTIFS($J52:$AX52,"*RNNR*",$J52:$AX52,"&lt;&gt;"&amp;"*pRNNR*",$J52:$AX52,"&lt;&gt;"&amp;"pB1 RNNR",$J52:$AX52,"&lt;&gt;"&amp;"pB2 RNNR")-SUM(COUNTIFS($J52:$AX52,"*RNNR B1*",$J52:$AX52,"&lt;&gt;"&amp;"pRNNR B1")*0.5,COUNTIFS($J52:$AX52,"*RNNR B2*",$J52:$AX52,"&lt;&gt;"&amp;"pRNNR B2")*0.5,COUNTIFS($J52:$AX52,"*B1 RNNR*",$J52:$AX52,"&lt;&gt;"&amp;"pB1 RNNR")*0.5,COUNTIFS($J52:$AX52,"*B2 RNNR*",$J52:$AX52,"&lt;&gt;"&amp;"pB2 RNNR")*0.5)))</f>
        <v/>
      </c>
      <c r="J52" s="184" t="str">
        <f>IFERROR(IF(VLOOKUP(Wed_W2[[#This Row],[Employee Name]],'Base Schedules'!$A$205:$AW$241,9,FALSE)="","",VLOOKUP(Wed_W2[[#This Row],[Employee Name]],'Base Schedules'!$A$205:$AW$241,9,FALSE)),"")</f>
        <v/>
      </c>
      <c r="K52" s="184" t="str">
        <f>IFERROR(IF(VLOOKUP(Wed_W2[[#This Row],[Employee Name]],'Base Schedules'!$A$205:$AW$241,10,FALSE)="","",VLOOKUP(Wed_W2[[#This Row],[Employee Name]],'Base Schedules'!$A$205:$AW$241,10,FALSE)),"")</f>
        <v/>
      </c>
      <c r="L52" s="184" t="str">
        <f>IFERROR(IF(VLOOKUP(Wed_W2[[#This Row],[Employee Name]],'Base Schedules'!$A$205:$AW$241,11,FALSE)="","",VLOOKUP(Wed_W2[[#This Row],[Employee Name]],'Base Schedules'!$A$205:$AW$241,11,FALSE)),"")</f>
        <v/>
      </c>
      <c r="M52" s="184" t="str">
        <f>IFERROR(IF(VLOOKUP(Wed_W2[[#This Row],[Employee Name]],'Base Schedules'!$A$205:$AW$241,12,FALSE)="","",VLOOKUP(Wed_W2[[#This Row],[Employee Name]],'Base Schedules'!$A$205:$AW$241,12,FALSE)),"")</f>
        <v/>
      </c>
      <c r="N52" s="184" t="str">
        <f>IFERROR(IF(VLOOKUP(Wed_W2[[#This Row],[Employee Name]],'Base Schedules'!$A$205:$AW$241,13,FALSE)="","",VLOOKUP(Wed_W2[[#This Row],[Employee Name]],'Base Schedules'!$A$205:$AW$241,13,FALSE)),"")</f>
        <v/>
      </c>
      <c r="O52" s="184" t="str">
        <f>IFERROR(IF(VLOOKUP(Wed_W2[[#This Row],[Employee Name]],'Base Schedules'!$A$205:$AW$241,14,FALSE)="","",VLOOKUP(Wed_W2[[#This Row],[Employee Name]],'Base Schedules'!$A$205:$AW$241,14,FALSE)),"")</f>
        <v/>
      </c>
      <c r="P52" s="184" t="str">
        <f>IFERROR(IF(VLOOKUP(Wed_W2[[#This Row],[Employee Name]],'Base Schedules'!$A$205:$AW$241,15,FALSE)="","",VLOOKUP(Wed_W2[[#This Row],[Employee Name]],'Base Schedules'!$A$205:$AW$241,15,FALSE)),"")</f>
        <v/>
      </c>
      <c r="Q52" s="184" t="str">
        <f>IFERROR(IF(VLOOKUP(Wed_W2[[#This Row],[Employee Name]],'Base Schedules'!$A$205:$AW$241,16,FALSE)="","",VLOOKUP(Wed_W2[[#This Row],[Employee Name]],'Base Schedules'!$A$205:$AW$241,16,FALSE)),"")</f>
        <v/>
      </c>
      <c r="R52" s="184" t="str">
        <f>IFERROR(IF(VLOOKUP(Wed_W2[[#This Row],[Employee Name]],'Base Schedules'!$A$205:$AW$241,17,FALSE)="","",VLOOKUP(Wed_W2[[#This Row],[Employee Name]],'Base Schedules'!$A$205:$AW$241,17,FALSE)),"")</f>
        <v/>
      </c>
      <c r="S52" s="184" t="str">
        <f>IFERROR(IF(VLOOKUP(Wed_W2[[#This Row],[Employee Name]],'Base Schedules'!$A$205:$AW$241,18,FALSE)="","",VLOOKUP(Wed_W2[[#This Row],[Employee Name]],'Base Schedules'!$A$205:$AW$241,18,FALSE)),"")</f>
        <v/>
      </c>
      <c r="T52" s="184" t="str">
        <f>IFERROR(IF(VLOOKUP(Wed_W2[[#This Row],[Employee Name]],'Base Schedules'!$A$205:$AW$241,19,FALSE)="","",VLOOKUP(Wed_W2[[#This Row],[Employee Name]],'Base Schedules'!$A$205:$AW$241,19,FALSE)),"")</f>
        <v/>
      </c>
      <c r="U52" s="184" t="str">
        <f>IFERROR(IF(VLOOKUP(Wed_W2[[#This Row],[Employee Name]],'Base Schedules'!$A$205:$AW$241,20,FALSE)="","",VLOOKUP(Wed_W2[[#This Row],[Employee Name]],'Base Schedules'!$A$205:$AW$241,20,FALSE)),"")</f>
        <v/>
      </c>
      <c r="V52" s="184" t="str">
        <f>IFERROR(IF(VLOOKUP(Wed_W2[[#This Row],[Employee Name]],'Base Schedules'!$A$205:$AW$241,21,FALSE)="","",VLOOKUP(Wed_W2[[#This Row],[Employee Name]],'Base Schedules'!$A$205:$AW$241,21,FALSE)),"")</f>
        <v/>
      </c>
      <c r="W52" s="184" t="str">
        <f>IFERROR(IF(VLOOKUP(Wed_W2[[#This Row],[Employee Name]],'Base Schedules'!$A$205:$AW$241,22,FALSE)="","",VLOOKUP(Wed_W2[[#This Row],[Employee Name]],'Base Schedules'!$A$205:$AW$241,22,FALSE)),"")</f>
        <v/>
      </c>
      <c r="X52" s="184" t="str">
        <f>IFERROR(IF(VLOOKUP(Wed_W2[[#This Row],[Employee Name]],'Base Schedules'!$A$205:$AW$241,23,FALSE)="","",VLOOKUP(Wed_W2[[#This Row],[Employee Name]],'Base Schedules'!$A$205:$AW$241,23,FALSE)),"")</f>
        <v/>
      </c>
      <c r="Y52" s="184" t="str">
        <f>IFERROR(IF(VLOOKUP(Wed_W2[[#This Row],[Employee Name]],'Base Schedules'!$A$205:$AW$241,24,FALSE)="","",VLOOKUP(Wed_W2[[#This Row],[Employee Name]],'Base Schedules'!$A$205:$AW$241,24,FALSE)),"")</f>
        <v/>
      </c>
      <c r="Z52" s="184" t="str">
        <f>IFERROR(IF(VLOOKUP(Wed_W2[[#This Row],[Employee Name]],'Base Schedules'!$A$205:$AW$241,25,FALSE)="","",VLOOKUP(Wed_W2[[#This Row],[Employee Name]],'Base Schedules'!$A$205:$AW$241,25,FALSE)),"")</f>
        <v/>
      </c>
      <c r="AA52" s="184" t="str">
        <f>IFERROR(IF(VLOOKUP(Wed_W2[[#This Row],[Employee Name]],'Base Schedules'!$A$205:$AW$241,26,FALSE)="","",VLOOKUP(Wed_W2[[#This Row],[Employee Name]],'Base Schedules'!$A$205:$AW$241,26,FALSE)),"")</f>
        <v/>
      </c>
      <c r="AB52" s="184" t="str">
        <f>IFERROR(IF(VLOOKUP(Wed_W2[[#This Row],[Employee Name]],'Base Schedules'!$A$205:$AW$241,27,FALSE)="","",VLOOKUP(Wed_W2[[#This Row],[Employee Name]],'Base Schedules'!$A$205:$AW$241,27,FALSE)),"")</f>
        <v/>
      </c>
      <c r="AC52" s="184" t="str">
        <f>IFERROR(IF(VLOOKUP(Wed_W2[[#This Row],[Employee Name]],'Base Schedules'!$A$205:$AW$241,28,FALSE)="","",VLOOKUP(Wed_W2[[#This Row],[Employee Name]],'Base Schedules'!$A$205:$AW$241,28,FALSE)),"")</f>
        <v/>
      </c>
      <c r="AD52" s="184" t="str">
        <f>IFERROR(IF(VLOOKUP(Wed_W2[[#This Row],[Employee Name]],'Base Schedules'!$A$205:$AW$241,29,FALSE)="","",VLOOKUP(Wed_W2[[#This Row],[Employee Name]],'Base Schedules'!$A$205:$AW$241,29,FALSE)),"")</f>
        <v/>
      </c>
      <c r="AE52" s="184" t="str">
        <f>IFERROR(IF(VLOOKUP(Wed_W2[[#This Row],[Employee Name]],'Base Schedules'!$A$205:$AW$241,30,FALSE)="","",VLOOKUP(Wed_W2[[#This Row],[Employee Name]],'Base Schedules'!$A$205:$AW$241,30,FALSE)),"")</f>
        <v/>
      </c>
      <c r="AF52" s="184" t="str">
        <f>IFERROR(IF(VLOOKUP(Wed_W2[[#This Row],[Employee Name]],'Base Schedules'!$A$205:$AW$241,31,FALSE)="","",VLOOKUP(Wed_W2[[#This Row],[Employee Name]],'Base Schedules'!$A$205:$AW$241,31,FALSE)),"")</f>
        <v/>
      </c>
      <c r="AG52" s="184" t="str">
        <f>IFERROR(IF(VLOOKUP(Wed_W2[[#This Row],[Employee Name]],'Base Schedules'!$A$205:$AW$241,32,FALSE)="","",VLOOKUP(Wed_W2[[#This Row],[Employee Name]],'Base Schedules'!$A$205:$AW$241,32,FALSE)),"")</f>
        <v/>
      </c>
      <c r="AH52" s="184" t="str">
        <f>IFERROR(IF(VLOOKUP(Wed_W2[[#This Row],[Employee Name]],'Base Schedules'!$A$205:$AW$241,33,FALSE)="","",VLOOKUP(Wed_W2[[#This Row],[Employee Name]],'Base Schedules'!$A$205:$AW$241,33,FALSE)),"")</f>
        <v/>
      </c>
      <c r="AI52" s="184" t="str">
        <f>IFERROR(IF(VLOOKUP(Wed_W2[[#This Row],[Employee Name]],'Base Schedules'!$A$205:$AW$241,34,FALSE)="","",VLOOKUP(Wed_W2[[#This Row],[Employee Name]],'Base Schedules'!$A$205:$AW$241,34,FALSE)),"")</f>
        <v/>
      </c>
      <c r="AJ52" s="184" t="str">
        <f>IFERROR(IF(VLOOKUP(Wed_W2[[#This Row],[Employee Name]],'Base Schedules'!$A$205:$AW$241,35,FALSE)="","",VLOOKUP(Wed_W2[[#This Row],[Employee Name]],'Base Schedules'!$A$205:$AW$241,35,FALSE)),"")</f>
        <v/>
      </c>
      <c r="AK52" s="184" t="str">
        <f>IFERROR(IF(VLOOKUP(Wed_W2[[#This Row],[Employee Name]],'Base Schedules'!$A$205:$AW$241,36,FALSE)="","",VLOOKUP(Wed_W2[[#This Row],[Employee Name]],'Base Schedules'!$A$205:$AW$241,36,FALSE)),"")</f>
        <v/>
      </c>
      <c r="AL52" s="184" t="str">
        <f>IFERROR(IF(VLOOKUP(Wed_W2[[#This Row],[Employee Name]],'Base Schedules'!$A$205:$AW$241,37,FALSE)="","",VLOOKUP(Wed_W2[[#This Row],[Employee Name]],'Base Schedules'!$A$205:$AW$241,37,FALSE)),"")</f>
        <v/>
      </c>
      <c r="AM52" s="184" t="str">
        <f>IFERROR(IF(VLOOKUP(Wed_W2[[#This Row],[Employee Name]],'Base Schedules'!$A$205:$AW$241,38,FALSE)="","",VLOOKUP(Wed_W2[[#This Row],[Employee Name]],'Base Schedules'!$A$205:$AW$241,38,FALSE)),"")</f>
        <v/>
      </c>
      <c r="AN52" s="184" t="str">
        <f>IFERROR(IF(VLOOKUP(Wed_W2[[#This Row],[Employee Name]],'Base Schedules'!$A$205:$AW$241,39,FALSE)="","",VLOOKUP(Wed_W2[[#This Row],[Employee Name]],'Base Schedules'!$A$205:$AW$241,39,FALSE)),"")</f>
        <v/>
      </c>
      <c r="AO52" s="184" t="str">
        <f>IFERROR(IF(VLOOKUP(Wed_W2[[#This Row],[Employee Name]],'Base Schedules'!$A$205:$AW$241,40,FALSE)="","",VLOOKUP(Wed_W2[[#This Row],[Employee Name]],'Base Schedules'!$A$205:$AW$241,40,FALSE)),"")</f>
        <v/>
      </c>
      <c r="AP52" s="184" t="str">
        <f>IFERROR(IF(VLOOKUP(Wed_W2[[#This Row],[Employee Name]],'Base Schedules'!$A$205:$AW$241,41,FALSE)="","",VLOOKUP(Wed_W2[[#This Row],[Employee Name]],'Base Schedules'!$A$205:$AW$241,41,FALSE)),"")</f>
        <v/>
      </c>
      <c r="AQ52" s="184" t="str">
        <f>IFERROR(IF(VLOOKUP(Wed_W2[[#This Row],[Employee Name]],'Base Schedules'!$A$205:$AW$241,42,FALSE)="","",VLOOKUP(Wed_W2[[#This Row],[Employee Name]],'Base Schedules'!$A$205:$AW$241,42,FALSE)),"")</f>
        <v/>
      </c>
      <c r="AR52" s="184" t="str">
        <f>IFERROR(IF(VLOOKUP(Wed_W2[[#This Row],[Employee Name]],'Base Schedules'!$A$205:$AW$241,43,FALSE)="","",VLOOKUP(Wed_W2[[#This Row],[Employee Name]],'Base Schedules'!$A$205:$AW$241,43,FALSE)),"")</f>
        <v/>
      </c>
      <c r="AS52" s="184" t="str">
        <f>IFERROR(IF(VLOOKUP(Wed_W2[[#This Row],[Employee Name]],'Base Schedules'!$A$205:$AW$241,44,FALSE)="","",VLOOKUP(Wed_W2[[#This Row],[Employee Name]],'Base Schedules'!$A$205:$AW$241,44,FALSE)),"")</f>
        <v/>
      </c>
      <c r="AT52" s="184" t="str">
        <f>IFERROR(IF(VLOOKUP(Wed_W2[[#This Row],[Employee Name]],'Base Schedules'!$A$205:$AW$241,45,FALSE)="","",VLOOKUP(Wed_W2[[#This Row],[Employee Name]],'Base Schedules'!$A$205:$AW$241,45,FALSE)),"")</f>
        <v/>
      </c>
      <c r="AU52" s="184" t="str">
        <f>IFERROR(IF(VLOOKUP(Wed_W2[[#This Row],[Employee Name]],'Base Schedules'!$A$205:$AW$241,46,FALSE)="","",VLOOKUP(Wed_W2[[#This Row],[Employee Name]],'Base Schedules'!$A$205:$AW$241,46,FALSE)),"")</f>
        <v/>
      </c>
      <c r="AV52" s="184" t="str">
        <f>IFERROR(IF(VLOOKUP(Wed_W2[[#This Row],[Employee Name]],'Base Schedules'!$A$205:$AW$241,47,FALSE)="","",VLOOKUP(Wed_W2[[#This Row],[Employee Name]],'Base Schedules'!$A$205:$AW$241,47,FALSE)),"")</f>
        <v/>
      </c>
      <c r="AW52" s="184" t="str">
        <f>IFERROR(IF(VLOOKUP(Wed_W2[[#This Row],[Employee Name]],'Base Schedules'!$A$205:$AW$241,48,FALSE)="","",VLOOKUP(Wed_W2[[#This Row],[Employee Name]],'Base Schedules'!$A$205:$AW$241,48,FALSE)),"")</f>
        <v/>
      </c>
      <c r="AX52" s="184" t="str">
        <f>IFERROR(IF(VLOOKUP(Wed_W2[[#This Row],[Employee Name]],'Base Schedules'!$A$205:$AW$241,49,FALSE)="","",VLOOKUP(Wed_W2[[#This Row],[Employee Name]],'Base Schedules'!$A$205:$AW$241,49,FALSE)),"")</f>
        <v/>
      </c>
      <c r="AY52" s="245" t="str">
        <f t="shared" si="2"/>
        <v/>
      </c>
    </row>
    <row r="53" spans="1:52" s="44" customFormat="1" ht="12" hidden="1" customHeight="1" x14ac:dyDescent="0.2">
      <c r="A53" s="39" t="str">
        <f>IF(B53="","",INDEX(TeamList[],MATCH($B53,TeamList[[Employee Name]:[Employee Name]],0),MATCH("Manager",TeamList[#Headers],0)))</f>
        <v/>
      </c>
      <c r="B53" s="201"/>
      <c r="C53" s="257" t="str">
        <f>_xlfn.IFNA(VLOOKUP(Wed_W2[[#This Row],[Employee Name]],'Base Schedules'!A:B,2,FALSE),"")</f>
        <v/>
      </c>
      <c r="D53" s="274" t="str">
        <f>_xlfn.IFNA(VLOOKUP(Wed_W2[[#This Row],[Employee Name]],'Base Schedules'!A:C,3,FALSE),"")</f>
        <v/>
      </c>
      <c r="E53" s="274" t="str">
        <f>_xlfn.IFNA(VLOOKUP(Wed_W2[[#This Row],[Employee Name]],'Base Schedules'!A:D,4,FALSE),"")</f>
        <v/>
      </c>
      <c r="F53" s="142" t="str">
        <f>IF(Wed_W2[[#This Row],[Employee Name]]="","",IF(Wed_W2[[#This Row],[Dept]]="Supervisor",COUNTIFS($J53:$AX53,"*HL*",$J53:$AX53,"&lt;&gt;"&amp;"pHL"),COUNTIFS($J53:$AX53,"*HL*",$J53:$AX53,"&lt;&gt;"&amp;"*pHL*",$J53:$AX53,"&lt;&gt;"&amp;"pB1 HL",$J53:$AX53,"&lt;&gt;"&amp;"pB2 HL")-SUM(COUNTIFS($J53:$AX53,"*HL B1*",$J53:$AX53,"&lt;&gt;"&amp;"pHL B1")*0.5,COUNTIFS($J53:$AX53,"*HL B2*",$J53:$AX53,"&lt;&gt;"&amp;"pHL B2")*0.5,COUNTIFS($J53:$AX53,"*B1 HL*",$J53:$AX53,"&lt;&gt;"&amp;"pB1 HL")*0.5,COUNTIFS($J53:$AX53,"*B2 HL*",$J53:$AX53,"&lt;&gt;"&amp;"pB2 HL")*0.5)))</f>
        <v/>
      </c>
      <c r="G53" s="142" t="str">
        <f t="shared" si="3"/>
        <v/>
      </c>
      <c r="H53" s="142" t="str">
        <f t="shared" si="1"/>
        <v/>
      </c>
      <c r="I53" s="142" t="str">
        <f>IF(Wed_W2[[#This Row],[Employee Name]]="","",IF(Wed_W2[[#This Row],[Dept]]="Supervisor",SUM(COUNTIFS($J53:$AX53,"RTA*",$J53:$AX53,"&lt;&gt;"&amp;"pRTA"),COUNTIFS($J53:$AX53,"*CRTA*",$J53:$AX53,"&lt;&gt;"&amp;"pCRTA")),COUNTIFS($J53:$AX53,"*RNNR*",$J53:$AX53,"&lt;&gt;"&amp;"*pRNNR*",$J53:$AX53,"&lt;&gt;"&amp;"pB1 RNNR",$J53:$AX53,"&lt;&gt;"&amp;"pB2 RNNR")-SUM(COUNTIFS($J53:$AX53,"*RNNR B1*",$J53:$AX53,"&lt;&gt;"&amp;"pRNNR B1")*0.5,COUNTIFS($J53:$AX53,"*RNNR B2*",$J53:$AX53,"&lt;&gt;"&amp;"pRNNR B2")*0.5,COUNTIFS($J53:$AX53,"*B1 RNNR*",$J53:$AX53,"&lt;&gt;"&amp;"pB1 RNNR")*0.5,COUNTIFS($J53:$AX53,"*B2 RNNR*",$J53:$AX53,"&lt;&gt;"&amp;"pB2 RNNR")*0.5)))</f>
        <v/>
      </c>
      <c r="J53" s="184" t="str">
        <f>IFERROR(IF(VLOOKUP(Wed_W2[[#This Row],[Employee Name]],'Base Schedules'!$A$205:$AW$241,9,FALSE)="","",VLOOKUP(Wed_W2[[#This Row],[Employee Name]],'Base Schedules'!$A$205:$AW$241,9,FALSE)),"")</f>
        <v/>
      </c>
      <c r="K53" s="184" t="str">
        <f>IFERROR(IF(VLOOKUP(Wed_W2[[#This Row],[Employee Name]],'Base Schedules'!$A$205:$AW$241,10,FALSE)="","",VLOOKUP(Wed_W2[[#This Row],[Employee Name]],'Base Schedules'!$A$205:$AW$241,10,FALSE)),"")</f>
        <v/>
      </c>
      <c r="L53" s="184" t="str">
        <f>IFERROR(IF(VLOOKUP(Wed_W2[[#This Row],[Employee Name]],'Base Schedules'!$A$205:$AW$241,11,FALSE)="","",VLOOKUP(Wed_W2[[#This Row],[Employee Name]],'Base Schedules'!$A$205:$AW$241,11,FALSE)),"")</f>
        <v/>
      </c>
      <c r="M53" s="184" t="str">
        <f>IFERROR(IF(VLOOKUP(Wed_W2[[#This Row],[Employee Name]],'Base Schedules'!$A$205:$AW$241,12,FALSE)="","",VLOOKUP(Wed_W2[[#This Row],[Employee Name]],'Base Schedules'!$A$205:$AW$241,12,FALSE)),"")</f>
        <v/>
      </c>
      <c r="N53" s="184" t="str">
        <f>IFERROR(IF(VLOOKUP(Wed_W2[[#This Row],[Employee Name]],'Base Schedules'!$A$205:$AW$241,13,FALSE)="","",VLOOKUP(Wed_W2[[#This Row],[Employee Name]],'Base Schedules'!$A$205:$AW$241,13,FALSE)),"")</f>
        <v/>
      </c>
      <c r="O53" s="184" t="str">
        <f>IFERROR(IF(VLOOKUP(Wed_W2[[#This Row],[Employee Name]],'Base Schedules'!$A$205:$AW$241,14,FALSE)="","",VLOOKUP(Wed_W2[[#This Row],[Employee Name]],'Base Schedules'!$A$205:$AW$241,14,FALSE)),"")</f>
        <v/>
      </c>
      <c r="P53" s="184" t="str">
        <f>IFERROR(IF(VLOOKUP(Wed_W2[[#This Row],[Employee Name]],'Base Schedules'!$A$205:$AW$241,15,FALSE)="","",VLOOKUP(Wed_W2[[#This Row],[Employee Name]],'Base Schedules'!$A$205:$AW$241,15,FALSE)),"")</f>
        <v/>
      </c>
      <c r="Q53" s="184" t="str">
        <f>IFERROR(IF(VLOOKUP(Wed_W2[[#This Row],[Employee Name]],'Base Schedules'!$A$205:$AW$241,16,FALSE)="","",VLOOKUP(Wed_W2[[#This Row],[Employee Name]],'Base Schedules'!$A$205:$AW$241,16,FALSE)),"")</f>
        <v/>
      </c>
      <c r="R53" s="184" t="str">
        <f>IFERROR(IF(VLOOKUP(Wed_W2[[#This Row],[Employee Name]],'Base Schedules'!$A$205:$AW$241,17,FALSE)="","",VLOOKUP(Wed_W2[[#This Row],[Employee Name]],'Base Schedules'!$A$205:$AW$241,17,FALSE)),"")</f>
        <v/>
      </c>
      <c r="S53" s="184" t="str">
        <f>IFERROR(IF(VLOOKUP(Wed_W2[[#This Row],[Employee Name]],'Base Schedules'!$A$205:$AW$241,18,FALSE)="","",VLOOKUP(Wed_W2[[#This Row],[Employee Name]],'Base Schedules'!$A$205:$AW$241,18,FALSE)),"")</f>
        <v/>
      </c>
      <c r="T53" s="184" t="str">
        <f>IFERROR(IF(VLOOKUP(Wed_W2[[#This Row],[Employee Name]],'Base Schedules'!$A$205:$AW$241,19,FALSE)="","",VLOOKUP(Wed_W2[[#This Row],[Employee Name]],'Base Schedules'!$A$205:$AW$241,19,FALSE)),"")</f>
        <v/>
      </c>
      <c r="U53" s="184" t="str">
        <f>IFERROR(IF(VLOOKUP(Wed_W2[[#This Row],[Employee Name]],'Base Schedules'!$A$205:$AW$241,20,FALSE)="","",VLOOKUP(Wed_W2[[#This Row],[Employee Name]],'Base Schedules'!$A$205:$AW$241,20,FALSE)),"")</f>
        <v/>
      </c>
      <c r="V53" s="184" t="str">
        <f>IFERROR(IF(VLOOKUP(Wed_W2[[#This Row],[Employee Name]],'Base Schedules'!$A$205:$AW$241,21,FALSE)="","",VLOOKUP(Wed_W2[[#This Row],[Employee Name]],'Base Schedules'!$A$205:$AW$241,21,FALSE)),"")</f>
        <v/>
      </c>
      <c r="W53" s="184" t="str">
        <f>IFERROR(IF(VLOOKUP(Wed_W2[[#This Row],[Employee Name]],'Base Schedules'!$A$205:$AW$241,22,FALSE)="","",VLOOKUP(Wed_W2[[#This Row],[Employee Name]],'Base Schedules'!$A$205:$AW$241,22,FALSE)),"")</f>
        <v/>
      </c>
      <c r="X53" s="184" t="str">
        <f>IFERROR(IF(VLOOKUP(Wed_W2[[#This Row],[Employee Name]],'Base Schedules'!$A$205:$AW$241,23,FALSE)="","",VLOOKUP(Wed_W2[[#This Row],[Employee Name]],'Base Schedules'!$A$205:$AW$241,23,FALSE)),"")</f>
        <v/>
      </c>
      <c r="Y53" s="184" t="str">
        <f>IFERROR(IF(VLOOKUP(Wed_W2[[#This Row],[Employee Name]],'Base Schedules'!$A$205:$AW$241,24,FALSE)="","",VLOOKUP(Wed_W2[[#This Row],[Employee Name]],'Base Schedules'!$A$205:$AW$241,24,FALSE)),"")</f>
        <v/>
      </c>
      <c r="Z53" s="184" t="str">
        <f>IFERROR(IF(VLOOKUP(Wed_W2[[#This Row],[Employee Name]],'Base Schedules'!$A$205:$AW$241,25,FALSE)="","",VLOOKUP(Wed_W2[[#This Row],[Employee Name]],'Base Schedules'!$A$205:$AW$241,25,FALSE)),"")</f>
        <v/>
      </c>
      <c r="AA53" s="184" t="str">
        <f>IFERROR(IF(VLOOKUP(Wed_W2[[#This Row],[Employee Name]],'Base Schedules'!$A$205:$AW$241,26,FALSE)="","",VLOOKUP(Wed_W2[[#This Row],[Employee Name]],'Base Schedules'!$A$205:$AW$241,26,FALSE)),"")</f>
        <v/>
      </c>
      <c r="AB53" s="184" t="str">
        <f>IFERROR(IF(VLOOKUP(Wed_W2[[#This Row],[Employee Name]],'Base Schedules'!$A$205:$AW$241,27,FALSE)="","",VLOOKUP(Wed_W2[[#This Row],[Employee Name]],'Base Schedules'!$A$205:$AW$241,27,FALSE)),"")</f>
        <v/>
      </c>
      <c r="AC53" s="184" t="str">
        <f>IFERROR(IF(VLOOKUP(Wed_W2[[#This Row],[Employee Name]],'Base Schedules'!$A$205:$AW$241,28,FALSE)="","",VLOOKUP(Wed_W2[[#This Row],[Employee Name]],'Base Schedules'!$A$205:$AW$241,28,FALSE)),"")</f>
        <v/>
      </c>
      <c r="AD53" s="184" t="str">
        <f>IFERROR(IF(VLOOKUP(Wed_W2[[#This Row],[Employee Name]],'Base Schedules'!$A$205:$AW$241,29,FALSE)="","",VLOOKUP(Wed_W2[[#This Row],[Employee Name]],'Base Schedules'!$A$205:$AW$241,29,FALSE)),"")</f>
        <v/>
      </c>
      <c r="AE53" s="184" t="str">
        <f>IFERROR(IF(VLOOKUP(Wed_W2[[#This Row],[Employee Name]],'Base Schedules'!$A$205:$AW$241,30,FALSE)="","",VLOOKUP(Wed_W2[[#This Row],[Employee Name]],'Base Schedules'!$A$205:$AW$241,30,FALSE)),"")</f>
        <v/>
      </c>
      <c r="AF53" s="184" t="str">
        <f>IFERROR(IF(VLOOKUP(Wed_W2[[#This Row],[Employee Name]],'Base Schedules'!$A$205:$AW$241,31,FALSE)="","",VLOOKUP(Wed_W2[[#This Row],[Employee Name]],'Base Schedules'!$A$205:$AW$241,31,FALSE)),"")</f>
        <v/>
      </c>
      <c r="AG53" s="184" t="str">
        <f>IFERROR(IF(VLOOKUP(Wed_W2[[#This Row],[Employee Name]],'Base Schedules'!$A$205:$AW$241,32,FALSE)="","",VLOOKUP(Wed_W2[[#This Row],[Employee Name]],'Base Schedules'!$A$205:$AW$241,32,FALSE)),"")</f>
        <v/>
      </c>
      <c r="AH53" s="184" t="str">
        <f>IFERROR(IF(VLOOKUP(Wed_W2[[#This Row],[Employee Name]],'Base Schedules'!$A$205:$AW$241,33,FALSE)="","",VLOOKUP(Wed_W2[[#This Row],[Employee Name]],'Base Schedules'!$A$205:$AW$241,33,FALSE)),"")</f>
        <v/>
      </c>
      <c r="AI53" s="184" t="str">
        <f>IFERROR(IF(VLOOKUP(Wed_W2[[#This Row],[Employee Name]],'Base Schedules'!$A$205:$AW$241,34,FALSE)="","",VLOOKUP(Wed_W2[[#This Row],[Employee Name]],'Base Schedules'!$A$205:$AW$241,34,FALSE)),"")</f>
        <v/>
      </c>
      <c r="AJ53" s="184" t="str">
        <f>IFERROR(IF(VLOOKUP(Wed_W2[[#This Row],[Employee Name]],'Base Schedules'!$A$205:$AW$241,35,FALSE)="","",VLOOKUP(Wed_W2[[#This Row],[Employee Name]],'Base Schedules'!$A$205:$AW$241,35,FALSE)),"")</f>
        <v/>
      </c>
      <c r="AK53" s="184" t="str">
        <f>IFERROR(IF(VLOOKUP(Wed_W2[[#This Row],[Employee Name]],'Base Schedules'!$A$205:$AW$241,36,FALSE)="","",VLOOKUP(Wed_W2[[#This Row],[Employee Name]],'Base Schedules'!$A$205:$AW$241,36,FALSE)),"")</f>
        <v/>
      </c>
      <c r="AL53" s="184" t="str">
        <f>IFERROR(IF(VLOOKUP(Wed_W2[[#This Row],[Employee Name]],'Base Schedules'!$A$205:$AW$241,37,FALSE)="","",VLOOKUP(Wed_W2[[#This Row],[Employee Name]],'Base Schedules'!$A$205:$AW$241,37,FALSE)),"")</f>
        <v/>
      </c>
      <c r="AM53" s="184" t="str">
        <f>IFERROR(IF(VLOOKUP(Wed_W2[[#This Row],[Employee Name]],'Base Schedules'!$A$205:$AW$241,38,FALSE)="","",VLOOKUP(Wed_W2[[#This Row],[Employee Name]],'Base Schedules'!$A$205:$AW$241,38,FALSE)),"")</f>
        <v/>
      </c>
      <c r="AN53" s="184" t="str">
        <f>IFERROR(IF(VLOOKUP(Wed_W2[[#This Row],[Employee Name]],'Base Schedules'!$A$205:$AW$241,39,FALSE)="","",VLOOKUP(Wed_W2[[#This Row],[Employee Name]],'Base Schedules'!$A$205:$AW$241,39,FALSE)),"")</f>
        <v/>
      </c>
      <c r="AO53" s="184" t="str">
        <f>IFERROR(IF(VLOOKUP(Wed_W2[[#This Row],[Employee Name]],'Base Schedules'!$A$205:$AW$241,40,FALSE)="","",VLOOKUP(Wed_W2[[#This Row],[Employee Name]],'Base Schedules'!$A$205:$AW$241,40,FALSE)),"")</f>
        <v/>
      </c>
      <c r="AP53" s="184" t="str">
        <f>IFERROR(IF(VLOOKUP(Wed_W2[[#This Row],[Employee Name]],'Base Schedules'!$A$205:$AW$241,41,FALSE)="","",VLOOKUP(Wed_W2[[#This Row],[Employee Name]],'Base Schedules'!$A$205:$AW$241,41,FALSE)),"")</f>
        <v/>
      </c>
      <c r="AQ53" s="184" t="str">
        <f>IFERROR(IF(VLOOKUP(Wed_W2[[#This Row],[Employee Name]],'Base Schedules'!$A$205:$AW$241,42,FALSE)="","",VLOOKUP(Wed_W2[[#This Row],[Employee Name]],'Base Schedules'!$A$205:$AW$241,42,FALSE)),"")</f>
        <v/>
      </c>
      <c r="AR53" s="184" t="str">
        <f>IFERROR(IF(VLOOKUP(Wed_W2[[#This Row],[Employee Name]],'Base Schedules'!$A$205:$AW$241,43,FALSE)="","",VLOOKUP(Wed_W2[[#This Row],[Employee Name]],'Base Schedules'!$A$205:$AW$241,43,FALSE)),"")</f>
        <v/>
      </c>
      <c r="AS53" s="184" t="str">
        <f>IFERROR(IF(VLOOKUP(Wed_W2[[#This Row],[Employee Name]],'Base Schedules'!$A$205:$AW$241,44,FALSE)="","",VLOOKUP(Wed_W2[[#This Row],[Employee Name]],'Base Schedules'!$A$205:$AW$241,44,FALSE)),"")</f>
        <v/>
      </c>
      <c r="AT53" s="184" t="str">
        <f>IFERROR(IF(VLOOKUP(Wed_W2[[#This Row],[Employee Name]],'Base Schedules'!$A$205:$AW$241,45,FALSE)="","",VLOOKUP(Wed_W2[[#This Row],[Employee Name]],'Base Schedules'!$A$205:$AW$241,45,FALSE)),"")</f>
        <v/>
      </c>
      <c r="AU53" s="184" t="str">
        <f>IFERROR(IF(VLOOKUP(Wed_W2[[#This Row],[Employee Name]],'Base Schedules'!$A$205:$AW$241,46,FALSE)="","",VLOOKUP(Wed_W2[[#This Row],[Employee Name]],'Base Schedules'!$A$205:$AW$241,46,FALSE)),"")</f>
        <v/>
      </c>
      <c r="AV53" s="184" t="str">
        <f>IFERROR(IF(VLOOKUP(Wed_W2[[#This Row],[Employee Name]],'Base Schedules'!$A$205:$AW$241,47,FALSE)="","",VLOOKUP(Wed_W2[[#This Row],[Employee Name]],'Base Schedules'!$A$205:$AW$241,47,FALSE)),"")</f>
        <v/>
      </c>
      <c r="AW53" s="184" t="str">
        <f>IFERROR(IF(VLOOKUP(Wed_W2[[#This Row],[Employee Name]],'Base Schedules'!$A$205:$AW$241,48,FALSE)="","",VLOOKUP(Wed_W2[[#This Row],[Employee Name]],'Base Schedules'!$A$205:$AW$241,48,FALSE)),"")</f>
        <v/>
      </c>
      <c r="AX53" s="184" t="str">
        <f>IFERROR(IF(VLOOKUP(Wed_W2[[#This Row],[Employee Name]],'Base Schedules'!$A$205:$AW$241,49,FALSE)="","",VLOOKUP(Wed_W2[[#This Row],[Employee Name]],'Base Schedules'!$A$205:$AW$241,49,FALSE)),"")</f>
        <v/>
      </c>
      <c r="AY53" s="245" t="str">
        <f t="shared" si="2"/>
        <v/>
      </c>
    </row>
    <row r="54" spans="1:52" s="44" customFormat="1" ht="12" hidden="1" customHeight="1" x14ac:dyDescent="0.2">
      <c r="A54" s="39" t="str">
        <f>IF(B54="","",INDEX(TeamList[],MATCH($B54,TeamList[[Employee Name]:[Employee Name]],0),MATCH("Manager",TeamList[#Headers],0)))</f>
        <v/>
      </c>
      <c r="B54" s="201"/>
      <c r="C54" s="257" t="str">
        <f>_xlfn.IFNA(VLOOKUP(Wed_W2[[#This Row],[Employee Name]],'Base Schedules'!A:B,2,FALSE),"")</f>
        <v/>
      </c>
      <c r="D54" s="274" t="str">
        <f>_xlfn.IFNA(VLOOKUP(Wed_W2[[#This Row],[Employee Name]],'Base Schedules'!A:C,3,FALSE),"")</f>
        <v/>
      </c>
      <c r="E54" s="274" t="str">
        <f>_xlfn.IFNA(VLOOKUP(Wed_W2[[#This Row],[Employee Name]],'Base Schedules'!A:D,4,FALSE),"")</f>
        <v/>
      </c>
      <c r="F54" s="142" t="str">
        <f>IF(Wed_W2[[#This Row],[Employee Name]]="","",IF(Wed_W2[[#This Row],[Dept]]="Supervisor",COUNTIFS($J54:$AX54,"*HL*",$J54:$AX54,"&lt;&gt;"&amp;"pHL"),COUNTIFS($J54:$AX54,"*HL*",$J54:$AX54,"&lt;&gt;"&amp;"*pHL*",$J54:$AX54,"&lt;&gt;"&amp;"pB1 HL",$J54:$AX54,"&lt;&gt;"&amp;"pB2 HL")-SUM(COUNTIFS($J54:$AX54,"*HL B1*",$J54:$AX54,"&lt;&gt;"&amp;"pHL B1")*0.5,COUNTIFS($J54:$AX54,"*HL B2*",$J54:$AX54,"&lt;&gt;"&amp;"pHL B2")*0.5,COUNTIFS($J54:$AX54,"*B1 HL*",$J54:$AX54,"&lt;&gt;"&amp;"pB1 HL")*0.5,COUNTIFS($J54:$AX54,"*B2 HL*",$J54:$AX54,"&lt;&gt;"&amp;"pB2 HL")*0.5)))</f>
        <v/>
      </c>
      <c r="G54" s="142" t="str">
        <f t="shared" si="3"/>
        <v/>
      </c>
      <c r="H54" s="142" t="str">
        <f t="shared" si="1"/>
        <v/>
      </c>
      <c r="I54" s="142" t="str">
        <f>IF(Wed_W2[[#This Row],[Employee Name]]="","",IF(Wed_W2[[#This Row],[Dept]]="Supervisor",SUM(COUNTIFS($J54:$AX54,"RTA*",$J54:$AX54,"&lt;&gt;"&amp;"pRTA"),COUNTIFS($J54:$AX54,"*CRTA*",$J54:$AX54,"&lt;&gt;"&amp;"pCRTA")),COUNTIFS($J54:$AX54,"*RNNR*",$J54:$AX54,"&lt;&gt;"&amp;"*pRNNR*",$J54:$AX54,"&lt;&gt;"&amp;"pB1 RNNR",$J54:$AX54,"&lt;&gt;"&amp;"pB2 RNNR")-SUM(COUNTIFS($J54:$AX54,"*RNNR B1*",$J54:$AX54,"&lt;&gt;"&amp;"pRNNR B1")*0.5,COUNTIFS($J54:$AX54,"*RNNR B2*",$J54:$AX54,"&lt;&gt;"&amp;"pRNNR B2")*0.5,COUNTIFS($J54:$AX54,"*B1 RNNR*",$J54:$AX54,"&lt;&gt;"&amp;"pB1 RNNR")*0.5,COUNTIFS($J54:$AX54,"*B2 RNNR*",$J54:$AX54,"&lt;&gt;"&amp;"pB2 RNNR")*0.5)))</f>
        <v/>
      </c>
      <c r="J54" s="184" t="str">
        <f>IFERROR(IF(VLOOKUP(Wed_W2[[#This Row],[Employee Name]],'Base Schedules'!$A$205:$AW$241,9,FALSE)="","",VLOOKUP(Wed_W2[[#This Row],[Employee Name]],'Base Schedules'!$A$205:$AW$241,9,FALSE)),"")</f>
        <v/>
      </c>
      <c r="K54" s="184" t="str">
        <f>IFERROR(IF(VLOOKUP(Wed_W2[[#This Row],[Employee Name]],'Base Schedules'!$A$205:$AW$241,10,FALSE)="","",VLOOKUP(Wed_W2[[#This Row],[Employee Name]],'Base Schedules'!$A$205:$AW$241,10,FALSE)),"")</f>
        <v/>
      </c>
      <c r="L54" s="184" t="str">
        <f>IFERROR(IF(VLOOKUP(Wed_W2[[#This Row],[Employee Name]],'Base Schedules'!$A$205:$AW$241,11,FALSE)="","",VLOOKUP(Wed_W2[[#This Row],[Employee Name]],'Base Schedules'!$A$205:$AW$241,11,FALSE)),"")</f>
        <v/>
      </c>
      <c r="M54" s="184" t="str">
        <f>IFERROR(IF(VLOOKUP(Wed_W2[[#This Row],[Employee Name]],'Base Schedules'!$A$205:$AW$241,12,FALSE)="","",VLOOKUP(Wed_W2[[#This Row],[Employee Name]],'Base Schedules'!$A$205:$AW$241,12,FALSE)),"")</f>
        <v/>
      </c>
      <c r="N54" s="184" t="str">
        <f>IFERROR(IF(VLOOKUP(Wed_W2[[#This Row],[Employee Name]],'Base Schedules'!$A$205:$AW$241,13,FALSE)="","",VLOOKUP(Wed_W2[[#This Row],[Employee Name]],'Base Schedules'!$A$205:$AW$241,13,FALSE)),"")</f>
        <v/>
      </c>
      <c r="O54" s="184" t="str">
        <f>IFERROR(IF(VLOOKUP(Wed_W2[[#This Row],[Employee Name]],'Base Schedules'!$A$205:$AW$241,14,FALSE)="","",VLOOKUP(Wed_W2[[#This Row],[Employee Name]],'Base Schedules'!$A$205:$AW$241,14,FALSE)),"")</f>
        <v/>
      </c>
      <c r="P54" s="184" t="str">
        <f>IFERROR(IF(VLOOKUP(Wed_W2[[#This Row],[Employee Name]],'Base Schedules'!$A$205:$AW$241,15,FALSE)="","",VLOOKUP(Wed_W2[[#This Row],[Employee Name]],'Base Schedules'!$A$205:$AW$241,15,FALSE)),"")</f>
        <v/>
      </c>
      <c r="Q54" s="184" t="str">
        <f>IFERROR(IF(VLOOKUP(Wed_W2[[#This Row],[Employee Name]],'Base Schedules'!$A$205:$AW$241,16,FALSE)="","",VLOOKUP(Wed_W2[[#This Row],[Employee Name]],'Base Schedules'!$A$205:$AW$241,16,FALSE)),"")</f>
        <v/>
      </c>
      <c r="R54" s="184" t="str">
        <f>IFERROR(IF(VLOOKUP(Wed_W2[[#This Row],[Employee Name]],'Base Schedules'!$A$205:$AW$241,17,FALSE)="","",VLOOKUP(Wed_W2[[#This Row],[Employee Name]],'Base Schedules'!$A$205:$AW$241,17,FALSE)),"")</f>
        <v/>
      </c>
      <c r="S54" s="184" t="str">
        <f>IFERROR(IF(VLOOKUP(Wed_W2[[#This Row],[Employee Name]],'Base Schedules'!$A$205:$AW$241,18,FALSE)="","",VLOOKUP(Wed_W2[[#This Row],[Employee Name]],'Base Schedules'!$A$205:$AW$241,18,FALSE)),"")</f>
        <v/>
      </c>
      <c r="T54" s="184" t="str">
        <f>IFERROR(IF(VLOOKUP(Wed_W2[[#This Row],[Employee Name]],'Base Schedules'!$A$205:$AW$241,19,FALSE)="","",VLOOKUP(Wed_W2[[#This Row],[Employee Name]],'Base Schedules'!$A$205:$AW$241,19,FALSE)),"")</f>
        <v/>
      </c>
      <c r="U54" s="184" t="str">
        <f>IFERROR(IF(VLOOKUP(Wed_W2[[#This Row],[Employee Name]],'Base Schedules'!$A$205:$AW$241,20,FALSE)="","",VLOOKUP(Wed_W2[[#This Row],[Employee Name]],'Base Schedules'!$A$205:$AW$241,20,FALSE)),"")</f>
        <v/>
      </c>
      <c r="V54" s="184" t="str">
        <f>IFERROR(IF(VLOOKUP(Wed_W2[[#This Row],[Employee Name]],'Base Schedules'!$A$205:$AW$241,21,FALSE)="","",VLOOKUP(Wed_W2[[#This Row],[Employee Name]],'Base Schedules'!$A$205:$AW$241,21,FALSE)),"")</f>
        <v/>
      </c>
      <c r="W54" s="184" t="str">
        <f>IFERROR(IF(VLOOKUP(Wed_W2[[#This Row],[Employee Name]],'Base Schedules'!$A$205:$AW$241,22,FALSE)="","",VLOOKUP(Wed_W2[[#This Row],[Employee Name]],'Base Schedules'!$A$205:$AW$241,22,FALSE)),"")</f>
        <v/>
      </c>
      <c r="X54" s="184" t="str">
        <f>IFERROR(IF(VLOOKUP(Wed_W2[[#This Row],[Employee Name]],'Base Schedules'!$A$205:$AW$241,23,FALSE)="","",VLOOKUP(Wed_W2[[#This Row],[Employee Name]],'Base Schedules'!$A$205:$AW$241,23,FALSE)),"")</f>
        <v/>
      </c>
      <c r="Y54" s="184" t="str">
        <f>IFERROR(IF(VLOOKUP(Wed_W2[[#This Row],[Employee Name]],'Base Schedules'!$A$205:$AW$241,24,FALSE)="","",VLOOKUP(Wed_W2[[#This Row],[Employee Name]],'Base Schedules'!$A$205:$AW$241,24,FALSE)),"")</f>
        <v/>
      </c>
      <c r="Z54" s="184" t="str">
        <f>IFERROR(IF(VLOOKUP(Wed_W2[[#This Row],[Employee Name]],'Base Schedules'!$A$205:$AW$241,25,FALSE)="","",VLOOKUP(Wed_W2[[#This Row],[Employee Name]],'Base Schedules'!$A$205:$AW$241,25,FALSE)),"")</f>
        <v/>
      </c>
      <c r="AA54" s="184" t="str">
        <f>IFERROR(IF(VLOOKUP(Wed_W2[[#This Row],[Employee Name]],'Base Schedules'!$A$205:$AW$241,26,FALSE)="","",VLOOKUP(Wed_W2[[#This Row],[Employee Name]],'Base Schedules'!$A$205:$AW$241,26,FALSE)),"")</f>
        <v/>
      </c>
      <c r="AB54" s="184" t="str">
        <f>IFERROR(IF(VLOOKUP(Wed_W2[[#This Row],[Employee Name]],'Base Schedules'!$A$205:$AW$241,27,FALSE)="","",VLOOKUP(Wed_W2[[#This Row],[Employee Name]],'Base Schedules'!$A$205:$AW$241,27,FALSE)),"")</f>
        <v/>
      </c>
      <c r="AC54" s="184" t="str">
        <f>IFERROR(IF(VLOOKUP(Wed_W2[[#This Row],[Employee Name]],'Base Schedules'!$A$205:$AW$241,28,FALSE)="","",VLOOKUP(Wed_W2[[#This Row],[Employee Name]],'Base Schedules'!$A$205:$AW$241,28,FALSE)),"")</f>
        <v/>
      </c>
      <c r="AD54" s="184" t="str">
        <f>IFERROR(IF(VLOOKUP(Wed_W2[[#This Row],[Employee Name]],'Base Schedules'!$A$205:$AW$241,29,FALSE)="","",VLOOKUP(Wed_W2[[#This Row],[Employee Name]],'Base Schedules'!$A$205:$AW$241,29,FALSE)),"")</f>
        <v/>
      </c>
      <c r="AE54" s="184" t="str">
        <f>IFERROR(IF(VLOOKUP(Wed_W2[[#This Row],[Employee Name]],'Base Schedules'!$A$205:$AW$241,30,FALSE)="","",VLOOKUP(Wed_W2[[#This Row],[Employee Name]],'Base Schedules'!$A$205:$AW$241,30,FALSE)),"")</f>
        <v/>
      </c>
      <c r="AF54" s="184" t="str">
        <f>IFERROR(IF(VLOOKUP(Wed_W2[[#This Row],[Employee Name]],'Base Schedules'!$A$205:$AW$241,31,FALSE)="","",VLOOKUP(Wed_W2[[#This Row],[Employee Name]],'Base Schedules'!$A$205:$AW$241,31,FALSE)),"")</f>
        <v/>
      </c>
      <c r="AG54" s="184" t="str">
        <f>IFERROR(IF(VLOOKUP(Wed_W2[[#This Row],[Employee Name]],'Base Schedules'!$A$205:$AW$241,32,FALSE)="","",VLOOKUP(Wed_W2[[#This Row],[Employee Name]],'Base Schedules'!$A$205:$AW$241,32,FALSE)),"")</f>
        <v/>
      </c>
      <c r="AH54" s="184" t="str">
        <f>IFERROR(IF(VLOOKUP(Wed_W2[[#This Row],[Employee Name]],'Base Schedules'!$A$205:$AW$241,33,FALSE)="","",VLOOKUP(Wed_W2[[#This Row],[Employee Name]],'Base Schedules'!$A$205:$AW$241,33,FALSE)),"")</f>
        <v/>
      </c>
      <c r="AI54" s="184" t="str">
        <f>IFERROR(IF(VLOOKUP(Wed_W2[[#This Row],[Employee Name]],'Base Schedules'!$A$205:$AW$241,34,FALSE)="","",VLOOKUP(Wed_W2[[#This Row],[Employee Name]],'Base Schedules'!$A$205:$AW$241,34,FALSE)),"")</f>
        <v/>
      </c>
      <c r="AJ54" s="184" t="str">
        <f>IFERROR(IF(VLOOKUP(Wed_W2[[#This Row],[Employee Name]],'Base Schedules'!$A$205:$AW$241,35,FALSE)="","",VLOOKUP(Wed_W2[[#This Row],[Employee Name]],'Base Schedules'!$A$205:$AW$241,35,FALSE)),"")</f>
        <v/>
      </c>
      <c r="AK54" s="184" t="str">
        <f>IFERROR(IF(VLOOKUP(Wed_W2[[#This Row],[Employee Name]],'Base Schedules'!$A$205:$AW$241,36,FALSE)="","",VLOOKUP(Wed_W2[[#This Row],[Employee Name]],'Base Schedules'!$A$205:$AW$241,36,FALSE)),"")</f>
        <v/>
      </c>
      <c r="AL54" s="184" t="str">
        <f>IFERROR(IF(VLOOKUP(Wed_W2[[#This Row],[Employee Name]],'Base Schedules'!$A$205:$AW$241,37,FALSE)="","",VLOOKUP(Wed_W2[[#This Row],[Employee Name]],'Base Schedules'!$A$205:$AW$241,37,FALSE)),"")</f>
        <v/>
      </c>
      <c r="AM54" s="184" t="str">
        <f>IFERROR(IF(VLOOKUP(Wed_W2[[#This Row],[Employee Name]],'Base Schedules'!$A$205:$AW$241,38,FALSE)="","",VLOOKUP(Wed_W2[[#This Row],[Employee Name]],'Base Schedules'!$A$205:$AW$241,38,FALSE)),"")</f>
        <v/>
      </c>
      <c r="AN54" s="184" t="str">
        <f>IFERROR(IF(VLOOKUP(Wed_W2[[#This Row],[Employee Name]],'Base Schedules'!$A$205:$AW$241,39,FALSE)="","",VLOOKUP(Wed_W2[[#This Row],[Employee Name]],'Base Schedules'!$A$205:$AW$241,39,FALSE)),"")</f>
        <v/>
      </c>
      <c r="AO54" s="184" t="str">
        <f>IFERROR(IF(VLOOKUP(Wed_W2[[#This Row],[Employee Name]],'Base Schedules'!$A$205:$AW$241,40,FALSE)="","",VLOOKUP(Wed_W2[[#This Row],[Employee Name]],'Base Schedules'!$A$205:$AW$241,40,FALSE)),"")</f>
        <v/>
      </c>
      <c r="AP54" s="184" t="str">
        <f>IFERROR(IF(VLOOKUP(Wed_W2[[#This Row],[Employee Name]],'Base Schedules'!$A$205:$AW$241,41,FALSE)="","",VLOOKUP(Wed_W2[[#This Row],[Employee Name]],'Base Schedules'!$A$205:$AW$241,41,FALSE)),"")</f>
        <v/>
      </c>
      <c r="AQ54" s="184" t="str">
        <f>IFERROR(IF(VLOOKUP(Wed_W2[[#This Row],[Employee Name]],'Base Schedules'!$A$205:$AW$241,42,FALSE)="","",VLOOKUP(Wed_W2[[#This Row],[Employee Name]],'Base Schedules'!$A$205:$AW$241,42,FALSE)),"")</f>
        <v/>
      </c>
      <c r="AR54" s="184" t="str">
        <f>IFERROR(IF(VLOOKUP(Wed_W2[[#This Row],[Employee Name]],'Base Schedules'!$A$205:$AW$241,43,FALSE)="","",VLOOKUP(Wed_W2[[#This Row],[Employee Name]],'Base Schedules'!$A$205:$AW$241,43,FALSE)),"")</f>
        <v/>
      </c>
      <c r="AS54" s="184" t="str">
        <f>IFERROR(IF(VLOOKUP(Wed_W2[[#This Row],[Employee Name]],'Base Schedules'!$A$205:$AW$241,44,FALSE)="","",VLOOKUP(Wed_W2[[#This Row],[Employee Name]],'Base Schedules'!$A$205:$AW$241,44,FALSE)),"")</f>
        <v/>
      </c>
      <c r="AT54" s="184" t="str">
        <f>IFERROR(IF(VLOOKUP(Wed_W2[[#This Row],[Employee Name]],'Base Schedules'!$A$205:$AW$241,45,FALSE)="","",VLOOKUP(Wed_W2[[#This Row],[Employee Name]],'Base Schedules'!$A$205:$AW$241,45,FALSE)),"")</f>
        <v/>
      </c>
      <c r="AU54" s="184" t="str">
        <f>IFERROR(IF(VLOOKUP(Wed_W2[[#This Row],[Employee Name]],'Base Schedules'!$A$205:$AW$241,46,FALSE)="","",VLOOKUP(Wed_W2[[#This Row],[Employee Name]],'Base Schedules'!$A$205:$AW$241,46,FALSE)),"")</f>
        <v/>
      </c>
      <c r="AV54" s="184" t="str">
        <f>IFERROR(IF(VLOOKUP(Wed_W2[[#This Row],[Employee Name]],'Base Schedules'!$A$205:$AW$241,47,FALSE)="","",VLOOKUP(Wed_W2[[#This Row],[Employee Name]],'Base Schedules'!$A$205:$AW$241,47,FALSE)),"")</f>
        <v/>
      </c>
      <c r="AW54" s="184" t="str">
        <f>IFERROR(IF(VLOOKUP(Wed_W2[[#This Row],[Employee Name]],'Base Schedules'!$A$205:$AW$241,48,FALSE)="","",VLOOKUP(Wed_W2[[#This Row],[Employee Name]],'Base Schedules'!$A$205:$AW$241,48,FALSE)),"")</f>
        <v/>
      </c>
      <c r="AX54" s="184" t="str">
        <f>IFERROR(IF(VLOOKUP(Wed_W2[[#This Row],[Employee Name]],'Base Schedules'!$A$205:$AW$241,49,FALSE)="","",VLOOKUP(Wed_W2[[#This Row],[Employee Name]],'Base Schedules'!$A$205:$AW$241,49,FALSE)),"")</f>
        <v/>
      </c>
      <c r="AY54" s="159" t="str">
        <f t="shared" si="2"/>
        <v/>
      </c>
    </row>
    <row r="55" spans="1:52" s="44" customFormat="1" ht="12" hidden="1" customHeight="1" x14ac:dyDescent="0.2">
      <c r="A55" s="39" t="str">
        <f>IF(B55="","",INDEX(TeamList[],MATCH($B55,TeamList[[Employee Name]:[Employee Name]],0),MATCH("Manager",TeamList[#Headers],0)))</f>
        <v/>
      </c>
      <c r="B55" s="201"/>
      <c r="C55" s="257" t="str">
        <f>_xlfn.IFNA(VLOOKUP(Wed_W2[[#This Row],[Employee Name]],'Base Schedules'!A:B,2,FALSE),"")</f>
        <v/>
      </c>
      <c r="D55" s="274" t="str">
        <f>_xlfn.IFNA(VLOOKUP(Wed_W2[[#This Row],[Employee Name]],'Base Schedules'!A:C,3,FALSE),"")</f>
        <v/>
      </c>
      <c r="E55" s="274" t="str">
        <f>_xlfn.IFNA(VLOOKUP(Wed_W2[[#This Row],[Employee Name]],'Base Schedules'!A:D,4,FALSE),"")</f>
        <v/>
      </c>
      <c r="F55" s="142" t="str">
        <f>IF(Wed_W2[[#This Row],[Employee Name]]="","",IF(Wed_W2[[#This Row],[Dept]]="Supervisor",COUNTIFS($J55:$AX55,"*HL*",$J55:$AX55,"&lt;&gt;"&amp;"pHL"),COUNTIFS($J55:$AX55,"*HL*",$J55:$AX55,"&lt;&gt;"&amp;"*pHL*",$J55:$AX55,"&lt;&gt;"&amp;"pB1 HL",$J55:$AX55,"&lt;&gt;"&amp;"pB2 HL")-SUM(COUNTIFS($J55:$AX55,"*HL B1*",$J55:$AX55,"&lt;&gt;"&amp;"pHL B1")*0.5,COUNTIFS($J55:$AX55,"*HL B2*",$J55:$AX55,"&lt;&gt;"&amp;"pHL B2")*0.5,COUNTIFS($J55:$AX55,"*B1 HL*",$J55:$AX55,"&lt;&gt;"&amp;"pB1 HL")*0.5,COUNTIFS($J55:$AX55,"*B2 HL*",$J55:$AX55,"&lt;&gt;"&amp;"pB2 HL")*0.5)))</f>
        <v/>
      </c>
      <c r="G55" s="142" t="str">
        <f t="shared" si="3"/>
        <v/>
      </c>
      <c r="H55" s="142" t="str">
        <f t="shared" si="1"/>
        <v/>
      </c>
      <c r="I55" s="142" t="str">
        <f>IF(Wed_W2[[#This Row],[Employee Name]]="","",IF(Wed_W2[[#This Row],[Dept]]="Supervisor",SUM(COUNTIFS($J55:$AX55,"RTA*",$J55:$AX55,"&lt;&gt;"&amp;"pRTA"),COUNTIFS($J55:$AX55,"*CRTA*",$J55:$AX55,"&lt;&gt;"&amp;"pCRTA")),COUNTIFS($J55:$AX55,"*RNNR*",$J55:$AX55,"&lt;&gt;"&amp;"*pRNNR*",$J55:$AX55,"&lt;&gt;"&amp;"pB1 RNNR",$J55:$AX55,"&lt;&gt;"&amp;"pB2 RNNR")-SUM(COUNTIFS($J55:$AX55,"*RNNR B1*",$J55:$AX55,"&lt;&gt;"&amp;"pRNNR B1")*0.5,COUNTIFS($J55:$AX55,"*RNNR B2*",$J55:$AX55,"&lt;&gt;"&amp;"pRNNR B2")*0.5,COUNTIFS($J55:$AX55,"*B1 RNNR*",$J55:$AX55,"&lt;&gt;"&amp;"pB1 RNNR")*0.5,COUNTIFS($J55:$AX55,"*B2 RNNR*",$J55:$AX55,"&lt;&gt;"&amp;"pB2 RNNR")*0.5)))</f>
        <v/>
      </c>
      <c r="J55" s="184" t="str">
        <f>IFERROR(IF(VLOOKUP(Wed_W2[[#This Row],[Employee Name]],'Base Schedules'!$A$205:$AW$241,9,FALSE)="","",VLOOKUP(Wed_W2[[#This Row],[Employee Name]],'Base Schedules'!$A$205:$AW$241,9,FALSE)),"")</f>
        <v/>
      </c>
      <c r="K55" s="184" t="str">
        <f>IFERROR(IF(VLOOKUP(Wed_W2[[#This Row],[Employee Name]],'Base Schedules'!$A$205:$AW$241,10,FALSE)="","",VLOOKUP(Wed_W2[[#This Row],[Employee Name]],'Base Schedules'!$A$205:$AW$241,10,FALSE)),"")</f>
        <v/>
      </c>
      <c r="L55" s="184" t="str">
        <f>IFERROR(IF(VLOOKUP(Wed_W2[[#This Row],[Employee Name]],'Base Schedules'!$A$205:$AW$241,11,FALSE)="","",VLOOKUP(Wed_W2[[#This Row],[Employee Name]],'Base Schedules'!$A$205:$AW$241,11,FALSE)),"")</f>
        <v/>
      </c>
      <c r="M55" s="184" t="str">
        <f>IFERROR(IF(VLOOKUP(Wed_W2[[#This Row],[Employee Name]],'Base Schedules'!$A$205:$AW$241,12,FALSE)="","",VLOOKUP(Wed_W2[[#This Row],[Employee Name]],'Base Schedules'!$A$205:$AW$241,12,FALSE)),"")</f>
        <v/>
      </c>
      <c r="N55" s="184" t="str">
        <f>IFERROR(IF(VLOOKUP(Wed_W2[[#This Row],[Employee Name]],'Base Schedules'!$A$205:$AW$241,13,FALSE)="","",VLOOKUP(Wed_W2[[#This Row],[Employee Name]],'Base Schedules'!$A$205:$AW$241,13,FALSE)),"")</f>
        <v/>
      </c>
      <c r="O55" s="184" t="str">
        <f>IFERROR(IF(VLOOKUP(Wed_W2[[#This Row],[Employee Name]],'Base Schedules'!$A$205:$AW$241,14,FALSE)="","",VLOOKUP(Wed_W2[[#This Row],[Employee Name]],'Base Schedules'!$A$205:$AW$241,14,FALSE)),"")</f>
        <v/>
      </c>
      <c r="P55" s="184" t="str">
        <f>IFERROR(IF(VLOOKUP(Wed_W2[[#This Row],[Employee Name]],'Base Schedules'!$A$205:$AW$241,15,FALSE)="","",VLOOKUP(Wed_W2[[#This Row],[Employee Name]],'Base Schedules'!$A$205:$AW$241,15,FALSE)),"")</f>
        <v/>
      </c>
      <c r="Q55" s="184" t="str">
        <f>IFERROR(IF(VLOOKUP(Wed_W2[[#This Row],[Employee Name]],'Base Schedules'!$A$205:$AW$241,16,FALSE)="","",VLOOKUP(Wed_W2[[#This Row],[Employee Name]],'Base Schedules'!$A$205:$AW$241,16,FALSE)),"")</f>
        <v/>
      </c>
      <c r="R55" s="184" t="str">
        <f>IFERROR(IF(VLOOKUP(Wed_W2[[#This Row],[Employee Name]],'Base Schedules'!$A$205:$AW$241,17,FALSE)="","",VLOOKUP(Wed_W2[[#This Row],[Employee Name]],'Base Schedules'!$A$205:$AW$241,17,FALSE)),"")</f>
        <v/>
      </c>
      <c r="S55" s="184" t="str">
        <f>IFERROR(IF(VLOOKUP(Wed_W2[[#This Row],[Employee Name]],'Base Schedules'!$A$205:$AW$241,18,FALSE)="","",VLOOKUP(Wed_W2[[#This Row],[Employee Name]],'Base Schedules'!$A$205:$AW$241,18,FALSE)),"")</f>
        <v/>
      </c>
      <c r="T55" s="184" t="str">
        <f>IFERROR(IF(VLOOKUP(Wed_W2[[#This Row],[Employee Name]],'Base Schedules'!$A$205:$AW$241,19,FALSE)="","",VLOOKUP(Wed_W2[[#This Row],[Employee Name]],'Base Schedules'!$A$205:$AW$241,19,FALSE)),"")</f>
        <v/>
      </c>
      <c r="U55" s="184" t="str">
        <f>IFERROR(IF(VLOOKUP(Wed_W2[[#This Row],[Employee Name]],'Base Schedules'!$A$205:$AW$241,20,FALSE)="","",VLOOKUP(Wed_W2[[#This Row],[Employee Name]],'Base Schedules'!$A$205:$AW$241,20,FALSE)),"")</f>
        <v/>
      </c>
      <c r="V55" s="184" t="str">
        <f>IFERROR(IF(VLOOKUP(Wed_W2[[#This Row],[Employee Name]],'Base Schedules'!$A$205:$AW$241,21,FALSE)="","",VLOOKUP(Wed_W2[[#This Row],[Employee Name]],'Base Schedules'!$A$205:$AW$241,21,FALSE)),"")</f>
        <v/>
      </c>
      <c r="W55" s="184" t="str">
        <f>IFERROR(IF(VLOOKUP(Wed_W2[[#This Row],[Employee Name]],'Base Schedules'!$A$205:$AW$241,22,FALSE)="","",VLOOKUP(Wed_W2[[#This Row],[Employee Name]],'Base Schedules'!$A$205:$AW$241,22,FALSE)),"")</f>
        <v/>
      </c>
      <c r="X55" s="184" t="str">
        <f>IFERROR(IF(VLOOKUP(Wed_W2[[#This Row],[Employee Name]],'Base Schedules'!$A$205:$AW$241,23,FALSE)="","",VLOOKUP(Wed_W2[[#This Row],[Employee Name]],'Base Schedules'!$A$205:$AW$241,23,FALSE)),"")</f>
        <v/>
      </c>
      <c r="Y55" s="184" t="str">
        <f>IFERROR(IF(VLOOKUP(Wed_W2[[#This Row],[Employee Name]],'Base Schedules'!$A$205:$AW$241,24,FALSE)="","",VLOOKUP(Wed_W2[[#This Row],[Employee Name]],'Base Schedules'!$A$205:$AW$241,24,FALSE)),"")</f>
        <v/>
      </c>
      <c r="Z55" s="184" t="str">
        <f>IFERROR(IF(VLOOKUP(Wed_W2[[#This Row],[Employee Name]],'Base Schedules'!$A$205:$AW$241,25,FALSE)="","",VLOOKUP(Wed_W2[[#This Row],[Employee Name]],'Base Schedules'!$A$205:$AW$241,25,FALSE)),"")</f>
        <v/>
      </c>
      <c r="AA55" s="184" t="str">
        <f>IFERROR(IF(VLOOKUP(Wed_W2[[#This Row],[Employee Name]],'Base Schedules'!$A$205:$AW$241,26,FALSE)="","",VLOOKUP(Wed_W2[[#This Row],[Employee Name]],'Base Schedules'!$A$205:$AW$241,26,FALSE)),"")</f>
        <v/>
      </c>
      <c r="AB55" s="184" t="str">
        <f>IFERROR(IF(VLOOKUP(Wed_W2[[#This Row],[Employee Name]],'Base Schedules'!$A$205:$AW$241,27,FALSE)="","",VLOOKUP(Wed_W2[[#This Row],[Employee Name]],'Base Schedules'!$A$205:$AW$241,27,FALSE)),"")</f>
        <v/>
      </c>
      <c r="AC55" s="184" t="str">
        <f>IFERROR(IF(VLOOKUP(Wed_W2[[#This Row],[Employee Name]],'Base Schedules'!$A$205:$AW$241,28,FALSE)="","",VLOOKUP(Wed_W2[[#This Row],[Employee Name]],'Base Schedules'!$A$205:$AW$241,28,FALSE)),"")</f>
        <v/>
      </c>
      <c r="AD55" s="184" t="str">
        <f>IFERROR(IF(VLOOKUP(Wed_W2[[#This Row],[Employee Name]],'Base Schedules'!$A$205:$AW$241,29,FALSE)="","",VLOOKUP(Wed_W2[[#This Row],[Employee Name]],'Base Schedules'!$A$205:$AW$241,29,FALSE)),"")</f>
        <v/>
      </c>
      <c r="AE55" s="184" t="str">
        <f>IFERROR(IF(VLOOKUP(Wed_W2[[#This Row],[Employee Name]],'Base Schedules'!$A$205:$AW$241,30,FALSE)="","",VLOOKUP(Wed_W2[[#This Row],[Employee Name]],'Base Schedules'!$A$205:$AW$241,30,FALSE)),"")</f>
        <v/>
      </c>
      <c r="AF55" s="184" t="str">
        <f>IFERROR(IF(VLOOKUP(Wed_W2[[#This Row],[Employee Name]],'Base Schedules'!$A$205:$AW$241,31,FALSE)="","",VLOOKUP(Wed_W2[[#This Row],[Employee Name]],'Base Schedules'!$A$205:$AW$241,31,FALSE)),"")</f>
        <v/>
      </c>
      <c r="AG55" s="184" t="str">
        <f>IFERROR(IF(VLOOKUP(Wed_W2[[#This Row],[Employee Name]],'Base Schedules'!$A$205:$AW$241,32,FALSE)="","",VLOOKUP(Wed_W2[[#This Row],[Employee Name]],'Base Schedules'!$A$205:$AW$241,32,FALSE)),"")</f>
        <v/>
      </c>
      <c r="AH55" s="184" t="str">
        <f>IFERROR(IF(VLOOKUP(Wed_W2[[#This Row],[Employee Name]],'Base Schedules'!$A$205:$AW$241,33,FALSE)="","",VLOOKUP(Wed_W2[[#This Row],[Employee Name]],'Base Schedules'!$A$205:$AW$241,33,FALSE)),"")</f>
        <v/>
      </c>
      <c r="AI55" s="184" t="str">
        <f>IFERROR(IF(VLOOKUP(Wed_W2[[#This Row],[Employee Name]],'Base Schedules'!$A$205:$AW$241,34,FALSE)="","",VLOOKUP(Wed_W2[[#This Row],[Employee Name]],'Base Schedules'!$A$205:$AW$241,34,FALSE)),"")</f>
        <v/>
      </c>
      <c r="AJ55" s="184" t="str">
        <f>IFERROR(IF(VLOOKUP(Wed_W2[[#This Row],[Employee Name]],'Base Schedules'!$A$205:$AW$241,35,FALSE)="","",VLOOKUP(Wed_W2[[#This Row],[Employee Name]],'Base Schedules'!$A$205:$AW$241,35,FALSE)),"")</f>
        <v/>
      </c>
      <c r="AK55" s="184" t="str">
        <f>IFERROR(IF(VLOOKUP(Wed_W2[[#This Row],[Employee Name]],'Base Schedules'!$A$205:$AW$241,36,FALSE)="","",VLOOKUP(Wed_W2[[#This Row],[Employee Name]],'Base Schedules'!$A$205:$AW$241,36,FALSE)),"")</f>
        <v/>
      </c>
      <c r="AL55" s="184" t="str">
        <f>IFERROR(IF(VLOOKUP(Wed_W2[[#This Row],[Employee Name]],'Base Schedules'!$A$205:$AW$241,37,FALSE)="","",VLOOKUP(Wed_W2[[#This Row],[Employee Name]],'Base Schedules'!$A$205:$AW$241,37,FALSE)),"")</f>
        <v/>
      </c>
      <c r="AM55" s="184" t="str">
        <f>IFERROR(IF(VLOOKUP(Wed_W2[[#This Row],[Employee Name]],'Base Schedules'!$A$205:$AW$241,38,FALSE)="","",VLOOKUP(Wed_W2[[#This Row],[Employee Name]],'Base Schedules'!$A$205:$AW$241,38,FALSE)),"")</f>
        <v/>
      </c>
      <c r="AN55" s="184" t="str">
        <f>IFERROR(IF(VLOOKUP(Wed_W2[[#This Row],[Employee Name]],'Base Schedules'!$A$205:$AW$241,39,FALSE)="","",VLOOKUP(Wed_W2[[#This Row],[Employee Name]],'Base Schedules'!$A$205:$AW$241,39,FALSE)),"")</f>
        <v/>
      </c>
      <c r="AO55" s="184" t="str">
        <f>IFERROR(IF(VLOOKUP(Wed_W2[[#This Row],[Employee Name]],'Base Schedules'!$A$205:$AW$241,40,FALSE)="","",VLOOKUP(Wed_W2[[#This Row],[Employee Name]],'Base Schedules'!$A$205:$AW$241,40,FALSE)),"")</f>
        <v/>
      </c>
      <c r="AP55" s="184" t="str">
        <f>IFERROR(IF(VLOOKUP(Wed_W2[[#This Row],[Employee Name]],'Base Schedules'!$A$205:$AW$241,41,FALSE)="","",VLOOKUP(Wed_W2[[#This Row],[Employee Name]],'Base Schedules'!$A$205:$AW$241,41,FALSE)),"")</f>
        <v/>
      </c>
      <c r="AQ55" s="184" t="str">
        <f>IFERROR(IF(VLOOKUP(Wed_W2[[#This Row],[Employee Name]],'Base Schedules'!$A$205:$AW$241,42,FALSE)="","",VLOOKUP(Wed_W2[[#This Row],[Employee Name]],'Base Schedules'!$A$205:$AW$241,42,FALSE)),"")</f>
        <v/>
      </c>
      <c r="AR55" s="184" t="str">
        <f>IFERROR(IF(VLOOKUP(Wed_W2[[#This Row],[Employee Name]],'Base Schedules'!$A$205:$AW$241,43,FALSE)="","",VLOOKUP(Wed_W2[[#This Row],[Employee Name]],'Base Schedules'!$A$205:$AW$241,43,FALSE)),"")</f>
        <v/>
      </c>
      <c r="AS55" s="184" t="str">
        <f>IFERROR(IF(VLOOKUP(Wed_W2[[#This Row],[Employee Name]],'Base Schedules'!$A$205:$AW$241,44,FALSE)="","",VLOOKUP(Wed_W2[[#This Row],[Employee Name]],'Base Schedules'!$A$205:$AW$241,44,FALSE)),"")</f>
        <v/>
      </c>
      <c r="AT55" s="184" t="str">
        <f>IFERROR(IF(VLOOKUP(Wed_W2[[#This Row],[Employee Name]],'Base Schedules'!$A$205:$AW$241,45,FALSE)="","",VLOOKUP(Wed_W2[[#This Row],[Employee Name]],'Base Schedules'!$A$205:$AW$241,45,FALSE)),"")</f>
        <v/>
      </c>
      <c r="AU55" s="184" t="str">
        <f>IFERROR(IF(VLOOKUP(Wed_W2[[#This Row],[Employee Name]],'Base Schedules'!$A$205:$AW$241,46,FALSE)="","",VLOOKUP(Wed_W2[[#This Row],[Employee Name]],'Base Schedules'!$A$205:$AW$241,46,FALSE)),"")</f>
        <v/>
      </c>
      <c r="AV55" s="184" t="str">
        <f>IFERROR(IF(VLOOKUP(Wed_W2[[#This Row],[Employee Name]],'Base Schedules'!$A$205:$AW$241,47,FALSE)="","",VLOOKUP(Wed_W2[[#This Row],[Employee Name]],'Base Schedules'!$A$205:$AW$241,47,FALSE)),"")</f>
        <v/>
      </c>
      <c r="AW55" s="184" t="str">
        <f>IFERROR(IF(VLOOKUP(Wed_W2[[#This Row],[Employee Name]],'Base Schedules'!$A$205:$AW$241,48,FALSE)="","",VLOOKUP(Wed_W2[[#This Row],[Employee Name]],'Base Schedules'!$A$205:$AW$241,48,FALSE)),"")</f>
        <v/>
      </c>
      <c r="AX55" s="184" t="str">
        <f>IFERROR(IF(VLOOKUP(Wed_W2[[#This Row],[Employee Name]],'Base Schedules'!$A$205:$AW$241,49,FALSE)="","",VLOOKUP(Wed_W2[[#This Row],[Employee Name]],'Base Schedules'!$A$205:$AW$241,49,FALSE)),"")</f>
        <v/>
      </c>
      <c r="AY55" s="245" t="str">
        <f t="shared" si="2"/>
        <v/>
      </c>
    </row>
    <row r="56" spans="1:52" ht="11.25" hidden="1" customHeight="1" thickBot="1" x14ac:dyDescent="0.25">
      <c r="A56" s="39" t="str">
        <f>IF(B56="","",INDEX(TeamList[],MATCH($B56,TeamList[[Employee Name]:[Employee Name]],0),MATCH("Manager",TeamList[#Headers],0)))</f>
        <v/>
      </c>
      <c r="B56" s="203"/>
      <c r="C56" s="290" t="str">
        <f>IFERROR(VLOOKUP(Wed_W2[[#This Row],[Employee Name]],Schedules[[#All],[Employee Name]:[Dept]],2,0),"")</f>
        <v/>
      </c>
      <c r="D56" s="92" t="e">
        <f>_xlfn.IFNA(VLOOKUP(Sat_W2[[#This Row],[Employee Name]],'Base Schedules'!A:C,3,FALSE),"")</f>
        <v>#VALUE!</v>
      </c>
      <c r="E56" s="92" t="e">
        <f>_xlfn.IFNA(VLOOKUP(Sat_W2[[#This Row],[Employee Name]],'Base Schedules'!A:D,4,FALSE),"")</f>
        <v>#VALUE!</v>
      </c>
      <c r="F56" s="63" t="str">
        <f>IF(Wed_W2[[#This Row],[Employee Name]]="","",IF(Wed_W2[[#This Row],[Dept]]="Supervisor",COUNTIFS($J56:$AX56,"*HL*",$J56:$AX56,"&lt;&gt;"&amp;"pHL"),COUNTIFS($J56:$AX56,"*HL*",$J56:$AX56,"&lt;&gt;"&amp;"*pHL*",$J56:$AX56,"&lt;&gt;"&amp;"pB1 HL",$J56:$AX56,"&lt;&gt;"&amp;"pB2 HL")-SUM(COUNTIFS($J56:$AX56,"*HL B1*",$J56:$AX56,"&lt;&gt;"&amp;"pHL B1")*0.5,COUNTIFS($J56:$AX56,"*HL B2*",$J56:$AX56,"&lt;&gt;"&amp;"pHL B2")*0.5,COUNTIFS($J56:$AX56,"*B1 HL*",$J56:$AX56,"&lt;&gt;"&amp;"pB1 HL")*0.5,COUNTIFS($J56:$AX56,"*B2 HL*",$J56:$AX56,"&lt;&gt;"&amp;"pB2 HL")*0.5)))</f>
        <v/>
      </c>
      <c r="G56" s="63" t="str">
        <f t="shared" si="3"/>
        <v/>
      </c>
      <c r="H56" s="63" t="str">
        <f t="shared" si="1"/>
        <v/>
      </c>
      <c r="I56" s="63" t="str">
        <f>IF(Wed_W2[[#This Row],[Employee Name]]="","",IF(Wed_W2[[#This Row],[Dept]]="Supervisor",SUM(COUNTIFS($J56:$AX56,"RTA*",$J56:$AX56,"&lt;&gt;"&amp;"pRTA"),COUNTIFS($J56:$AX56,"*CRTA*",$J56:$AX56,"&lt;&gt;"&amp;"pCRTA")),COUNTIFS($J56:$AX56,"*RNNR*",$J56:$AX56,"&lt;&gt;"&amp;"*pRNNR*",$J56:$AX56,"&lt;&gt;"&amp;"pB1 RNNR",$J56:$AX56,"&lt;&gt;"&amp;"pB2 RNNR")-SUM(COUNTIFS($J56:$AX56,"*RNNR B1*",$J56:$AX56,"&lt;&gt;"&amp;"pRNNR B1")*0.5,COUNTIFS($J56:$AX56,"*RNNR B2*",$J56:$AX56,"&lt;&gt;"&amp;"pRNNR B2")*0.5,COUNTIFS($J56:$AX56,"*B1 RNNR*",$J56:$AX56,"&lt;&gt;"&amp;"pB1 RNNR")*0.5,COUNTIFS($J56:$AX56,"*B2 RNNR*",$J56:$AX56,"&lt;&gt;"&amp;"pB2 RNNR")*0.5)))</f>
        <v/>
      </c>
      <c r="J56" s="184" t="str">
        <f>IFERROR(IF(VLOOKUP(Sat_W2[[#This Row],[Employee Name]],'Base Schedules'!$A:$I,9,FALSE)="","",VLOOKUP(Sat_W2[[#This Row],[Employee Name]],'Base Schedules'!$A:$I,9,FALSE)),"")</f>
        <v/>
      </c>
      <c r="K56" s="184" t="str">
        <f>IFERROR(IF(VLOOKUP(Sat_W2[[#This Row],[Employee Name]],'Base Schedules'!$A:$J,10,FALSE)="","",VLOOKUP(Sat_W2[[#This Row],[Employee Name]],'Base Schedules'!$A:$J,10,FALSE)),"")</f>
        <v/>
      </c>
      <c r="L56" s="184" t="str">
        <f>IFERROR(IF(VLOOKUP(Sat_W2[[#This Row],[Employee Name]],'Base Schedules'!$A:$K,11,FALSE)="","",VLOOKUP(Sat_W2[[#This Row],[Employee Name]],'Base Schedules'!$A:$K,11,FALSE)),"")</f>
        <v/>
      </c>
      <c r="M56" s="184" t="str">
        <f>IFERROR(IF(VLOOKUP(Sat_W2[[#This Row],[Employee Name]],'Base Schedules'!$A:$L,12,FALSE)="","",VLOOKUP(Sat_W2[[#This Row],[Employee Name]],'Base Schedules'!$A:$L,12,FALSE)),"")</f>
        <v/>
      </c>
      <c r="N56" s="184" t="str">
        <f>IFERROR(IF(VLOOKUP(Sat_W2[[#This Row],[Employee Name]],'Base Schedules'!$A:$M,13,FALSE)="","",VLOOKUP(Sat_W2[[#This Row],[Employee Name]],'Base Schedules'!$A:$M,13,FALSE)),"")</f>
        <v/>
      </c>
      <c r="O56" s="184" t="str">
        <f>IFERROR(IF(VLOOKUP(Sat_W2[[#This Row],[Employee Name]],'Base Schedules'!$A:$N,14,FALSE)="","",VLOOKUP(Sat_W2[[#This Row],[Employee Name]],'Base Schedules'!$A:$N,14,FALSE)),"")</f>
        <v/>
      </c>
      <c r="P56" s="184" t="str">
        <f>IFERROR(IF(VLOOKUP(Sat_W2[[#This Row],[Employee Name]],'Base Schedules'!$A:$O,15,FALSE)="","",VLOOKUP(Sat_W2[[#This Row],[Employee Name]],'Base Schedules'!$A:$O,15,FALSE)),"")</f>
        <v/>
      </c>
      <c r="Q56" s="184" t="str">
        <f>IFERROR(IF(VLOOKUP(Sat_W2[[#This Row],[Employee Name]],'Base Schedules'!$A:$P,16,FALSE)="","",VLOOKUP(Sat_W2[[#This Row],[Employee Name]],'Base Schedules'!$A:$P,16,FALSE)),"")</f>
        <v/>
      </c>
      <c r="R56" s="184" t="str">
        <f>IFERROR(IF(VLOOKUP(Sat_W2[[#This Row],[Employee Name]],'Base Schedules'!$A:$Q,17,FALSE)="","",VLOOKUP(Sat_W2[[#This Row],[Employee Name]],'Base Schedules'!$A:$Q,17,FALSE)),"")</f>
        <v/>
      </c>
      <c r="S56" s="184" t="str">
        <f>IFERROR(IF(VLOOKUP(Sat_W2[[#This Row],[Employee Name]],'Base Schedules'!$A:$R,18,FALSE)="","",VLOOKUP(Sat_W2[[#This Row],[Employee Name]],'Base Schedules'!$A:$R,18,FALSE)),"")</f>
        <v/>
      </c>
      <c r="T56" s="184" t="str">
        <f>IFERROR(IF(VLOOKUP(Sat_W2[[#This Row],[Employee Name]],'Base Schedules'!$A:$S,19,FALSE)="","",VLOOKUP(Sat_W2[[#This Row],[Employee Name]],'Base Schedules'!$A:$S,19,FALSE)),"")</f>
        <v/>
      </c>
      <c r="U56" s="184" t="str">
        <f>IFERROR(IF(VLOOKUP(Sat_W2[[#This Row],[Employee Name]],'Base Schedules'!$A:$T,20,FALSE)="","",VLOOKUP(Sat_W2[[#This Row],[Employee Name]],'Base Schedules'!$A:$T,20,FALSE)),"")</f>
        <v/>
      </c>
      <c r="V56" s="184" t="str">
        <f>IFERROR(IF(VLOOKUP(Sat_W2[[#This Row],[Employee Name]],'Base Schedules'!$A:$U,21,FALSE)="","",VLOOKUP(Sat_W2[[#This Row],[Employee Name]],'Base Schedules'!$A:$U,21,FALSE)),"")</f>
        <v/>
      </c>
      <c r="W56" s="184" t="str">
        <f>IFERROR(IF(VLOOKUP(Sat_W2[[#This Row],[Employee Name]],'Base Schedules'!$A:$V,22,FALSE)="","",VLOOKUP(Sat_W2[[#This Row],[Employee Name]],'Base Schedules'!$A:$V,22,FALSE)),"")</f>
        <v/>
      </c>
      <c r="X56" s="184" t="str">
        <f>IFERROR(IF(VLOOKUP(Sat_W2[[#This Row],[Employee Name]],'Base Schedules'!$A:$W,23,FALSE)="","",VLOOKUP(Sat_W2[[#This Row],[Employee Name]],'Base Schedules'!$A:$W,23,FALSE)),"")</f>
        <v/>
      </c>
      <c r="Y56" s="184" t="str">
        <f>IFERROR(IF(VLOOKUP(Sat_W2[[#This Row],[Employee Name]],'Base Schedules'!$A:$X,24,FALSE)="","",VLOOKUP(Sat_W2[[#This Row],[Employee Name]],'Base Schedules'!$A:$X,24,FALSE)),"")</f>
        <v/>
      </c>
      <c r="Z56" s="184" t="str">
        <f>IFERROR(IF(VLOOKUP(Sat_W2[[#This Row],[Employee Name]],'Base Schedules'!$A:$Y,25,FALSE)="","",VLOOKUP(Sat_W2[[#This Row],[Employee Name]],'Base Schedules'!$A:$Y,25,FALSE)),"")</f>
        <v/>
      </c>
      <c r="AA56" s="184" t="str">
        <f>IFERROR(IF(VLOOKUP(Sat_W2[[#This Row],[Employee Name]],'Base Schedules'!$A:$Z,26,FALSE)="","",VLOOKUP(Sat_W2[[#This Row],[Employee Name]],'Base Schedules'!$A:$Z,26,FALSE)),"")</f>
        <v/>
      </c>
      <c r="AB56" s="184" t="str">
        <f>IFERROR(IF(VLOOKUP(Sat_W2[[#This Row],[Employee Name]],'Base Schedules'!$A:$AA,27,FALSE)="","",VLOOKUP(Sat_W2[[#This Row],[Employee Name]],'Base Schedules'!$A:$AA,27,FALSE)),"")</f>
        <v/>
      </c>
      <c r="AC56" s="184" t="str">
        <f>IFERROR(IF(VLOOKUP(Sat_W2[[#This Row],[Employee Name]],'Base Schedules'!$A:$AB,28,FALSE)="","",VLOOKUP(Sat_W2[[#This Row],[Employee Name]],'Base Schedules'!$A:$AB,28,FALSE)),"")</f>
        <v/>
      </c>
      <c r="AD56" s="184" t="str">
        <f>IFERROR(IF(VLOOKUP(Sat_W2[[#This Row],[Employee Name]],'Base Schedules'!$A:$AC,29,FALSE)="","",VLOOKUP(Sat_W2[[#This Row],[Employee Name]],'Base Schedules'!$A:$AC,29,FALSE)),"")</f>
        <v/>
      </c>
      <c r="AE56" s="184" t="str">
        <f>IFERROR(IF(VLOOKUP(Sat_W2[[#This Row],[Employee Name]],'Base Schedules'!$A:$AD,30,FALSE)="","",VLOOKUP(Sat_W2[[#This Row],[Employee Name]],'Base Schedules'!$A:$AD,30,FALSE)),"")</f>
        <v/>
      </c>
      <c r="AF56" s="184" t="str">
        <f>IFERROR(IF(VLOOKUP(Sat_W2[[#This Row],[Employee Name]],'Base Schedules'!$A:$AE,31,FALSE)="","",VLOOKUP(Sat_W2[[#This Row],[Employee Name]],'Base Schedules'!$A:$AE,31,FALSE)),"")</f>
        <v/>
      </c>
      <c r="AG56" s="184" t="str">
        <f>IFERROR(IF(VLOOKUP(Sat_W2[[#This Row],[Employee Name]],'Base Schedules'!$A:$AF,32,FALSE)="","",VLOOKUP(Sat_W2[[#This Row],[Employee Name]],'Base Schedules'!$A:$AF,32,FALSE)),"")</f>
        <v/>
      </c>
      <c r="AH56" s="184" t="str">
        <f>IFERROR(IF(VLOOKUP(Sat_W2[[#This Row],[Employee Name]],'Base Schedules'!$A:$AG,33,FALSE)="","",VLOOKUP(Sat_W2[[#This Row],[Employee Name]],'Base Schedules'!$A:$AG,33,FALSE)),"")</f>
        <v/>
      </c>
      <c r="AI56" s="184" t="str">
        <f>IFERROR(IF(VLOOKUP(Sat_W2[[#This Row],[Employee Name]],'Base Schedules'!$A:$AH,34,FALSE)="","",VLOOKUP(Sat_W2[[#This Row],[Employee Name]],'Base Schedules'!$A:$AH,34,FALSE)),"")</f>
        <v/>
      </c>
      <c r="AJ56" s="184" t="str">
        <f>IFERROR(IF(VLOOKUP(Sat_W2[[#This Row],[Employee Name]],'Base Schedules'!$A:$AI,35,FALSE)="","",VLOOKUP(Sat_W2[[#This Row],[Employee Name]],'Base Schedules'!$A:$AI,35,FALSE)),"")</f>
        <v/>
      </c>
      <c r="AK56" s="184" t="str">
        <f>IFERROR(IF(VLOOKUP(Sat_W2[[#This Row],[Employee Name]],'Base Schedules'!$A:$AJ,36,FALSE)="","",VLOOKUP(Sat_W2[[#This Row],[Employee Name]],'Base Schedules'!$A:$AJ,36,FALSE)),"")</f>
        <v/>
      </c>
      <c r="AL56" s="184" t="str">
        <f>IFERROR(IF(VLOOKUP(Sat_W2[[#This Row],[Employee Name]],'Base Schedules'!$A:$AK,37,FALSE)="","",VLOOKUP(Sat_W2[[#This Row],[Employee Name]],'Base Schedules'!$A:$AK,37,FALSE)),"")</f>
        <v/>
      </c>
      <c r="AM56" s="184" t="str">
        <f>IFERROR(IF(VLOOKUP(Sat_W2[[#This Row],[Employee Name]],'Base Schedules'!$A:$AL,38,FALSE)="","",VLOOKUP(Sat_W2[[#This Row],[Employee Name]],'Base Schedules'!$A:$AL,38,FALSE)),"")</f>
        <v/>
      </c>
      <c r="AN56" s="184" t="str">
        <f>IFERROR(IF(VLOOKUP(Sat_W2[[#This Row],[Employee Name]],'Base Schedules'!$A:$AM,39,FALSE)="","",VLOOKUP(Sat_W2[[#This Row],[Employee Name]],'Base Schedules'!$A:$AM,39,FALSE)),"")</f>
        <v/>
      </c>
      <c r="AO56" s="184" t="str">
        <f>IFERROR(IF(VLOOKUP(Sat_W2[[#This Row],[Employee Name]],'Base Schedules'!$A:$AN,40,FALSE)="","",VLOOKUP(Sat_W2[[#This Row],[Employee Name]],'Base Schedules'!$A:$AN,40,FALSE)),"")</f>
        <v/>
      </c>
      <c r="AP56" s="184" t="str">
        <f>IFERROR(IF(VLOOKUP(Sat_W2[[#This Row],[Employee Name]],'Base Schedules'!$A:$AO,41,FALSE)="","",VLOOKUP(Sat_W2[[#This Row],[Employee Name]],'Base Schedules'!$A:$AO,41,FALSE)),"")</f>
        <v/>
      </c>
      <c r="AQ56" s="184" t="str">
        <f>IFERROR(IF(VLOOKUP(Sat_W2[[#This Row],[Employee Name]],'Base Schedules'!$A:$AP,42,FALSE)="","",VLOOKUP(Sat_W2[[#This Row],[Employee Name]],'Base Schedules'!$A:$AP,42,FALSE)),"")</f>
        <v/>
      </c>
      <c r="AR56" s="184" t="str">
        <f>IFERROR(IF(VLOOKUP(Sat_W2[[#This Row],[Employee Name]],'Base Schedules'!$A:$AQ,43,FALSE)="","",VLOOKUP(Sat_W2[[#This Row],[Employee Name]],'Base Schedules'!$A:$AQ,43,FALSE)),"")</f>
        <v/>
      </c>
      <c r="AS56" s="184" t="str">
        <f>IFERROR(IF(VLOOKUP(Sat_W2[[#This Row],[Employee Name]],'Base Schedules'!$A:$AR,44,FALSE)="","",VLOOKUP(Sat_W2[[#This Row],[Employee Name]],'Base Schedules'!$A:$AR,44,FALSE)),"")</f>
        <v/>
      </c>
      <c r="AT56" s="184" t="str">
        <f>IFERROR(IF(VLOOKUP(Sat_W2[[#This Row],[Employee Name]],'Base Schedules'!$A:$AS,45,FALSE)="","",VLOOKUP(Sat_W2[[#This Row],[Employee Name]],'Base Schedules'!$A:$AS,45,FALSE)),"")</f>
        <v/>
      </c>
      <c r="AU56" s="184" t="str">
        <f>IFERROR(IF(VLOOKUP(Sat_W2[[#This Row],[Employee Name]],'Base Schedules'!$A:$AT,46,FALSE)="","",VLOOKUP(Sat_W2[[#This Row],[Employee Name]],'Base Schedules'!$A:$AT,46,FALSE)),"")</f>
        <v/>
      </c>
      <c r="AV56" s="184" t="str">
        <f>IFERROR(IF(VLOOKUP(Sat_W2[[#This Row],[Employee Name]],'Base Schedules'!$A:$AU,47,FALSE)="","",VLOOKUP(Sat_W2[[#This Row],[Employee Name]],'Base Schedules'!$A:$AU,47,FALSE)),"")</f>
        <v/>
      </c>
      <c r="AW56" s="184" t="str">
        <f>IFERROR(IF(VLOOKUP(Sat_W2[[#This Row],[Employee Name]],'Base Schedules'!$A:$AV,48,FALSE)="","",VLOOKUP(Sat_W2[[#This Row],[Employee Name]],'Base Schedules'!$A:$AV,48,FALSE)),"")</f>
        <v/>
      </c>
      <c r="AX56" s="184" t="str">
        <f>IFERROR(IF(VLOOKUP(Wed_W1[[#This Row],[Employee Name]],'Base Schedules'!$A$205:$AW$241,49,FALSE)="","",VLOOKUP(Wed_W1[[#This Row],[Employee Name]],'Base Schedules'!$A$205:$AW$241,49,FALSE)),"")</f>
        <v/>
      </c>
      <c r="AY56" s="190" t="str">
        <f t="shared" si="2"/>
        <v/>
      </c>
    </row>
    <row r="57" spans="1:52" ht="11.25" customHeight="1" thickBot="1" x14ac:dyDescent="0.25">
      <c r="B57" s="28"/>
      <c r="C57" s="28"/>
      <c r="D57" s="29"/>
      <c r="E57" s="29"/>
      <c r="F57" s="30"/>
      <c r="G57" s="30"/>
      <c r="H57" s="30"/>
      <c r="I57" s="30"/>
      <c r="J57" s="240"/>
      <c r="K57" s="240"/>
      <c r="L57" s="240"/>
      <c r="M57" s="240"/>
      <c r="N57" s="240"/>
      <c r="O57" s="240"/>
      <c r="P57" s="240"/>
      <c r="Q57" s="240"/>
      <c r="R57" s="240"/>
      <c r="S57" s="240"/>
      <c r="T57" s="240"/>
      <c r="U57" s="240"/>
      <c r="V57" s="240"/>
      <c r="W57" s="240"/>
      <c r="X57" s="240"/>
      <c r="Y57" s="240"/>
      <c r="Z57" s="240"/>
      <c r="AA57" s="240"/>
      <c r="AB57" s="240"/>
      <c r="AC57" s="240"/>
      <c r="AD57" s="240"/>
      <c r="AE57" s="240"/>
      <c r="AF57" s="185"/>
      <c r="AG57" s="185"/>
      <c r="AH57" s="185"/>
      <c r="AI57" s="185"/>
      <c r="AJ57" s="185"/>
      <c r="AK57" s="185"/>
      <c r="AL57" s="185"/>
      <c r="AM57" s="185"/>
      <c r="AN57" s="185"/>
      <c r="AO57" s="185"/>
      <c r="AP57" s="185"/>
      <c r="AQ57" s="185"/>
      <c r="AR57" s="185"/>
      <c r="AS57" s="185"/>
      <c r="AT57" s="185"/>
      <c r="AU57" s="185"/>
      <c r="AV57" s="185"/>
      <c r="AW57" s="185"/>
      <c r="AX57" s="185"/>
      <c r="AY57" s="28"/>
    </row>
    <row r="58" spans="1:52" ht="8.25" customHeight="1" thickBot="1" x14ac:dyDescent="0.25">
      <c r="B58" s="20"/>
      <c r="C58" s="21"/>
      <c r="D58" s="21"/>
      <c r="E58" s="21" t="s">
        <v>92</v>
      </c>
      <c r="F58" s="259">
        <f>SUM(F9:F56)</f>
        <v>107</v>
      </c>
      <c r="G58" s="259">
        <f>SUM(G9:G56)</f>
        <v>64</v>
      </c>
      <c r="H58" s="259">
        <f>SUM(H9:H56)</f>
        <v>96</v>
      </c>
      <c r="I58" s="259">
        <f>SUM(I9:I56)</f>
        <v>26</v>
      </c>
      <c r="J58" s="260">
        <v>500</v>
      </c>
      <c r="K58" s="260">
        <v>530</v>
      </c>
      <c r="L58" s="260">
        <v>600</v>
      </c>
      <c r="M58" s="260">
        <v>630</v>
      </c>
      <c r="N58" s="260">
        <v>700</v>
      </c>
      <c r="O58" s="260">
        <v>730</v>
      </c>
      <c r="P58" s="260">
        <v>800</v>
      </c>
      <c r="Q58" s="260">
        <v>830</v>
      </c>
      <c r="R58" s="260">
        <v>900</v>
      </c>
      <c r="S58" s="260">
        <v>930</v>
      </c>
      <c r="T58" s="260">
        <v>1000</v>
      </c>
      <c r="U58" s="260">
        <v>1030</v>
      </c>
      <c r="V58" s="260">
        <v>1100</v>
      </c>
      <c r="W58" s="260">
        <v>1130</v>
      </c>
      <c r="X58" s="260">
        <v>1200</v>
      </c>
      <c r="Y58" s="260">
        <v>1230</v>
      </c>
      <c r="Z58" s="260">
        <v>1300</v>
      </c>
      <c r="AA58" s="260">
        <v>1330</v>
      </c>
      <c r="AB58" s="260">
        <v>1400</v>
      </c>
      <c r="AC58" s="260">
        <v>1430</v>
      </c>
      <c r="AD58" s="260">
        <v>1500</v>
      </c>
      <c r="AE58" s="260">
        <v>1530</v>
      </c>
      <c r="AF58" s="261">
        <v>1600</v>
      </c>
      <c r="AG58" s="261">
        <v>1630</v>
      </c>
      <c r="AH58" s="261">
        <v>1700</v>
      </c>
      <c r="AI58" s="261">
        <v>1730</v>
      </c>
      <c r="AJ58" s="261">
        <v>1800</v>
      </c>
      <c r="AK58" s="261">
        <v>1830</v>
      </c>
      <c r="AL58" s="261">
        <v>1900</v>
      </c>
      <c r="AM58" s="261">
        <v>1930</v>
      </c>
      <c r="AN58" s="261">
        <v>2000</v>
      </c>
      <c r="AO58" s="261">
        <v>2030</v>
      </c>
      <c r="AP58" s="261">
        <v>2100</v>
      </c>
      <c r="AQ58" s="261">
        <v>2130</v>
      </c>
      <c r="AR58" s="261">
        <v>2200</v>
      </c>
      <c r="AS58" s="261">
        <v>2230</v>
      </c>
      <c r="AT58" s="261">
        <v>2300</v>
      </c>
      <c r="AU58" s="261">
        <v>2330</v>
      </c>
      <c r="AV58" s="261">
        <v>0</v>
      </c>
      <c r="AW58" s="261">
        <v>30</v>
      </c>
      <c r="AX58" s="221" t="s">
        <v>365</v>
      </c>
      <c r="AY58" s="222" t="s">
        <v>2</v>
      </c>
    </row>
    <row r="59" spans="1:52" s="258" customFormat="1" ht="6" customHeight="1" thickBot="1" x14ac:dyDescent="0.25">
      <c r="A59" s="6"/>
      <c r="B59" s="6"/>
      <c r="C59" s="6"/>
      <c r="D59" s="6"/>
      <c r="E59" s="6"/>
      <c r="AX59" s="258">
        <f>SUM(J59:AW59)</f>
        <v>0</v>
      </c>
      <c r="AY59" s="258">
        <f t="shared" ref="AY59" si="4">G59</f>
        <v>0</v>
      </c>
    </row>
    <row r="60" spans="1:52" ht="18.75" x14ac:dyDescent="0.3">
      <c r="B60" s="484" t="s">
        <v>368</v>
      </c>
      <c r="C60" s="484"/>
      <c r="D60" s="453"/>
      <c r="E60" s="453"/>
      <c r="F60" s="453"/>
      <c r="G60" s="484" t="s">
        <v>368</v>
      </c>
      <c r="H60" s="484"/>
      <c r="I60" s="484"/>
      <c r="J60" s="455">
        <f>COUNTIF(J9:J56,"RNNR")</f>
        <v>0</v>
      </c>
      <c r="K60" s="455">
        <f t="shared" ref="K60:AW60" si="5">COUNTIF(K9:K56,"RNNR")</f>
        <v>0</v>
      </c>
      <c r="L60" s="455">
        <f t="shared" si="5"/>
        <v>0</v>
      </c>
      <c r="M60" s="455">
        <f t="shared" si="5"/>
        <v>0</v>
      </c>
      <c r="N60" s="455">
        <f t="shared" si="5"/>
        <v>0</v>
      </c>
      <c r="O60" s="455">
        <f t="shared" si="5"/>
        <v>0</v>
      </c>
      <c r="P60" s="455">
        <f t="shared" si="5"/>
        <v>1</v>
      </c>
      <c r="Q60" s="455">
        <f t="shared" si="5"/>
        <v>1</v>
      </c>
      <c r="R60" s="455">
        <f t="shared" si="5"/>
        <v>1</v>
      </c>
      <c r="S60" s="455">
        <f t="shared" si="5"/>
        <v>1</v>
      </c>
      <c r="T60" s="455">
        <f t="shared" si="5"/>
        <v>1</v>
      </c>
      <c r="U60" s="455">
        <f t="shared" si="5"/>
        <v>1</v>
      </c>
      <c r="V60" s="455">
        <f t="shared" si="5"/>
        <v>1</v>
      </c>
      <c r="W60" s="455">
        <f t="shared" si="5"/>
        <v>1</v>
      </c>
      <c r="X60" s="455">
        <f t="shared" si="5"/>
        <v>1</v>
      </c>
      <c r="Y60" s="455">
        <f t="shared" si="5"/>
        <v>1</v>
      </c>
      <c r="Z60" s="455">
        <f t="shared" si="5"/>
        <v>1</v>
      </c>
      <c r="AA60" s="455">
        <f t="shared" si="5"/>
        <v>1</v>
      </c>
      <c r="AB60" s="455">
        <f t="shared" si="5"/>
        <v>1</v>
      </c>
      <c r="AC60" s="455">
        <f t="shared" si="5"/>
        <v>1</v>
      </c>
      <c r="AD60" s="455">
        <f t="shared" si="5"/>
        <v>1</v>
      </c>
      <c r="AE60" s="455">
        <f t="shared" si="5"/>
        <v>1</v>
      </c>
      <c r="AF60" s="455">
        <f t="shared" si="5"/>
        <v>2</v>
      </c>
      <c r="AG60" s="455">
        <f t="shared" si="5"/>
        <v>2</v>
      </c>
      <c r="AH60" s="455">
        <f t="shared" si="5"/>
        <v>1</v>
      </c>
      <c r="AI60" s="455">
        <f t="shared" si="5"/>
        <v>1</v>
      </c>
      <c r="AJ60" s="455">
        <f t="shared" si="5"/>
        <v>1</v>
      </c>
      <c r="AK60" s="455">
        <f t="shared" si="5"/>
        <v>1</v>
      </c>
      <c r="AL60" s="455">
        <f t="shared" si="5"/>
        <v>1</v>
      </c>
      <c r="AM60" s="455">
        <f t="shared" si="5"/>
        <v>1</v>
      </c>
      <c r="AN60" s="455">
        <f t="shared" si="5"/>
        <v>0</v>
      </c>
      <c r="AO60" s="455">
        <f t="shared" si="5"/>
        <v>0</v>
      </c>
      <c r="AP60" s="455">
        <f t="shared" si="5"/>
        <v>0</v>
      </c>
      <c r="AQ60" s="455">
        <f t="shared" si="5"/>
        <v>0</v>
      </c>
      <c r="AR60" s="455">
        <f t="shared" si="5"/>
        <v>0</v>
      </c>
      <c r="AS60" s="455">
        <f t="shared" si="5"/>
        <v>0</v>
      </c>
      <c r="AT60" s="455">
        <f t="shared" si="5"/>
        <v>0</v>
      </c>
      <c r="AU60" s="455">
        <f t="shared" si="5"/>
        <v>0</v>
      </c>
      <c r="AV60" s="455">
        <f t="shared" si="5"/>
        <v>0</v>
      </c>
      <c r="AW60" s="455">
        <f t="shared" si="5"/>
        <v>0</v>
      </c>
      <c r="AX60" s="451">
        <f>AVERAGE(J60:AW60)</f>
        <v>0.65</v>
      </c>
      <c r="AY60" s="485" t="s">
        <v>368</v>
      </c>
      <c r="AZ60" s="485"/>
    </row>
    <row r="61" spans="1:52" ht="15.75" customHeight="1" x14ac:dyDescent="0.3">
      <c r="B61" s="484" t="s">
        <v>581</v>
      </c>
      <c r="C61" s="484"/>
      <c r="D61" s="453"/>
      <c r="E61" s="453"/>
      <c r="F61" s="453"/>
      <c r="G61" s="484" t="s">
        <v>581</v>
      </c>
      <c r="H61" s="484"/>
      <c r="I61" s="484"/>
      <c r="J61" s="458">
        <f>COUNTIF(J9:J56,"HL")</f>
        <v>2</v>
      </c>
      <c r="K61" s="458">
        <f t="shared" ref="K61:AW61" si="6">COUNTIF(K9:K56,"HL")</f>
        <v>2</v>
      </c>
      <c r="L61" s="458">
        <f t="shared" si="6"/>
        <v>2</v>
      </c>
      <c r="M61" s="458">
        <f t="shared" si="6"/>
        <v>2</v>
      </c>
      <c r="N61" s="458">
        <f t="shared" si="6"/>
        <v>2</v>
      </c>
      <c r="O61" s="458">
        <f t="shared" si="6"/>
        <v>2</v>
      </c>
      <c r="P61" s="458">
        <f t="shared" si="6"/>
        <v>3</v>
      </c>
      <c r="Q61" s="458">
        <f t="shared" si="6"/>
        <v>3</v>
      </c>
      <c r="R61" s="458">
        <f t="shared" si="6"/>
        <v>2</v>
      </c>
      <c r="S61" s="458">
        <f t="shared" si="6"/>
        <v>2</v>
      </c>
      <c r="T61" s="458">
        <f t="shared" si="6"/>
        <v>2</v>
      </c>
      <c r="U61" s="458">
        <f t="shared" si="6"/>
        <v>2</v>
      </c>
      <c r="V61" s="458">
        <f t="shared" si="6"/>
        <v>4</v>
      </c>
      <c r="W61" s="458">
        <f t="shared" si="6"/>
        <v>4</v>
      </c>
      <c r="X61" s="458">
        <f t="shared" si="6"/>
        <v>3</v>
      </c>
      <c r="Y61" s="458">
        <f t="shared" si="6"/>
        <v>3</v>
      </c>
      <c r="Z61" s="458">
        <f t="shared" si="6"/>
        <v>3</v>
      </c>
      <c r="AA61" s="458">
        <f t="shared" si="6"/>
        <v>4</v>
      </c>
      <c r="AB61" s="458">
        <f t="shared" si="6"/>
        <v>4</v>
      </c>
      <c r="AC61" s="458">
        <f t="shared" si="6"/>
        <v>4</v>
      </c>
      <c r="AD61" s="458">
        <f t="shared" si="6"/>
        <v>4</v>
      </c>
      <c r="AE61" s="458">
        <f t="shared" si="6"/>
        <v>2</v>
      </c>
      <c r="AF61" s="458">
        <f t="shared" si="6"/>
        <v>2</v>
      </c>
      <c r="AG61" s="458">
        <f t="shared" si="6"/>
        <v>3</v>
      </c>
      <c r="AH61" s="458">
        <f t="shared" si="6"/>
        <v>2</v>
      </c>
      <c r="AI61" s="458">
        <f t="shared" si="6"/>
        <v>3</v>
      </c>
      <c r="AJ61" s="458">
        <f t="shared" si="6"/>
        <v>2</v>
      </c>
      <c r="AK61" s="458">
        <f t="shared" si="6"/>
        <v>3</v>
      </c>
      <c r="AL61" s="458">
        <f t="shared" si="6"/>
        <v>3</v>
      </c>
      <c r="AM61" s="458">
        <f t="shared" si="6"/>
        <v>3</v>
      </c>
      <c r="AN61" s="458">
        <f t="shared" si="6"/>
        <v>2</v>
      </c>
      <c r="AO61" s="458">
        <f t="shared" si="6"/>
        <v>2</v>
      </c>
      <c r="AP61" s="458">
        <f t="shared" si="6"/>
        <v>2</v>
      </c>
      <c r="AQ61" s="458">
        <f t="shared" si="6"/>
        <v>2</v>
      </c>
      <c r="AR61" s="458">
        <f t="shared" si="6"/>
        <v>2</v>
      </c>
      <c r="AS61" s="458">
        <f t="shared" si="6"/>
        <v>1</v>
      </c>
      <c r="AT61" s="458">
        <f t="shared" si="6"/>
        <v>1</v>
      </c>
      <c r="AU61" s="458">
        <f t="shared" si="6"/>
        <v>2</v>
      </c>
      <c r="AV61" s="458">
        <f t="shared" si="6"/>
        <v>2</v>
      </c>
      <c r="AW61" s="458">
        <f t="shared" si="6"/>
        <v>2</v>
      </c>
      <c r="AX61" s="452">
        <f>SUM(J61:AW61)</f>
        <v>100</v>
      </c>
      <c r="AY61" s="485" t="s">
        <v>581</v>
      </c>
      <c r="AZ61" s="485"/>
    </row>
    <row r="62" spans="1:52" ht="18.75" x14ac:dyDescent="0.3">
      <c r="B62" s="484" t="s">
        <v>588</v>
      </c>
      <c r="C62" s="484"/>
      <c r="D62" s="453"/>
      <c r="E62" s="453"/>
      <c r="F62" s="453"/>
      <c r="G62" s="484" t="s">
        <v>589</v>
      </c>
      <c r="H62" s="484"/>
      <c r="I62" s="484"/>
      <c r="J62" s="460">
        <f>[1]Weighted!B$39</f>
        <v>1.1000000000000001</v>
      </c>
      <c r="K62" s="460">
        <f>[1]Weighted!C$39</f>
        <v>1.1000000000000001</v>
      </c>
      <c r="L62" s="460">
        <f>[1]Weighted!D$39</f>
        <v>1.1000000000000001</v>
      </c>
      <c r="M62" s="460">
        <f>[1]Weighted!E$39</f>
        <v>2.2000000000000002</v>
      </c>
      <c r="N62" s="460">
        <f>[1]Weighted!F$39</f>
        <v>1.1000000000000001</v>
      </c>
      <c r="O62" s="460">
        <f>[1]Weighted!G$39</f>
        <v>2.2000000000000002</v>
      </c>
      <c r="P62" s="460">
        <f>[1]Weighted!H$39</f>
        <v>2.2000000000000002</v>
      </c>
      <c r="Q62" s="460">
        <f>[1]Weighted!I$39</f>
        <v>2.2000000000000002</v>
      </c>
      <c r="R62" s="460">
        <f>[1]Weighted!J$39</f>
        <v>2.2000000000000002</v>
      </c>
      <c r="S62" s="460">
        <f>[1]Weighted!K$39</f>
        <v>2.2000000000000002</v>
      </c>
      <c r="T62" s="460">
        <f>[1]Weighted!L$39</f>
        <v>2.2000000000000002</v>
      </c>
      <c r="U62" s="460">
        <f>[1]Weighted!M$39</f>
        <v>2.2000000000000002</v>
      </c>
      <c r="V62" s="460">
        <f>[1]Weighted!N$39</f>
        <v>3.3000000000000003</v>
      </c>
      <c r="W62" s="460">
        <f>[1]Weighted!O$39</f>
        <v>3.3000000000000003</v>
      </c>
      <c r="X62" s="460">
        <f>[1]Weighted!P$39</f>
        <v>2.2000000000000002</v>
      </c>
      <c r="Y62" s="460">
        <f>[1]Weighted!Q$39</f>
        <v>2.2000000000000002</v>
      </c>
      <c r="Z62" s="460">
        <f>[1]Weighted!R$39</f>
        <v>3.3000000000000003</v>
      </c>
      <c r="AA62" s="460">
        <f>[1]Weighted!S$39</f>
        <v>2.2000000000000002</v>
      </c>
      <c r="AB62" s="460">
        <f>[1]Weighted!T$39</f>
        <v>3.3000000000000003</v>
      </c>
      <c r="AC62" s="460">
        <f>[1]Weighted!U$39</f>
        <v>3.3000000000000003</v>
      </c>
      <c r="AD62" s="460">
        <f>[1]Weighted!V$39</f>
        <v>3.3000000000000003</v>
      </c>
      <c r="AE62" s="460">
        <f>[1]Weighted!W$39</f>
        <v>3.3000000000000003</v>
      </c>
      <c r="AF62" s="460">
        <f>[1]Weighted!X$39</f>
        <v>3.3000000000000003</v>
      </c>
      <c r="AG62" s="460">
        <f>[1]Weighted!Y$39</f>
        <v>4.4000000000000004</v>
      </c>
      <c r="AH62" s="460">
        <f>[1]Weighted!Z$39</f>
        <v>2.2000000000000002</v>
      </c>
      <c r="AI62" s="460">
        <f>[1]Weighted!AA$39</f>
        <v>3.3000000000000003</v>
      </c>
      <c r="AJ62" s="460">
        <f>[1]Weighted!AB$39</f>
        <v>2.2000000000000002</v>
      </c>
      <c r="AK62" s="460">
        <f>[1]Weighted!AC$39</f>
        <v>2.2000000000000002</v>
      </c>
      <c r="AL62" s="460">
        <f>[1]Weighted!AD$39</f>
        <v>2.2000000000000002</v>
      </c>
      <c r="AM62" s="460">
        <f>[1]Weighted!AE$39</f>
        <v>1.1000000000000001</v>
      </c>
      <c r="AN62" s="460">
        <f>[1]Weighted!AF$39</f>
        <v>2.2000000000000002</v>
      </c>
      <c r="AO62" s="460">
        <f>[1]Weighted!AG$39</f>
        <v>1.1000000000000001</v>
      </c>
      <c r="AP62" s="460">
        <f>[1]Weighted!AH$39</f>
        <v>1.1000000000000001</v>
      </c>
      <c r="AQ62" s="460">
        <f>[1]Weighted!AI$39</f>
        <v>1.1000000000000001</v>
      </c>
      <c r="AR62" s="460">
        <f>[1]Weighted!AJ$39</f>
        <v>1.1000000000000001</v>
      </c>
      <c r="AS62" s="460">
        <f>[1]Weighted!AK$39</f>
        <v>1.1000000000000001</v>
      </c>
      <c r="AT62" s="460">
        <f>[1]Weighted!AL$39</f>
        <v>1.1000000000000001</v>
      </c>
      <c r="AU62" s="460">
        <f>[1]Weighted!AM$39</f>
        <v>1.1000000000000001</v>
      </c>
      <c r="AV62" s="460">
        <f>[1]Weighted!AN$39</f>
        <v>1.1000000000000001</v>
      </c>
      <c r="AW62" s="460">
        <f>[1]Weighted!AO$39</f>
        <v>1.1000000000000001</v>
      </c>
      <c r="AX62" s="452">
        <f>SUM(J62:AW62)</f>
        <v>84.699999999999946</v>
      </c>
      <c r="AY62" s="485" t="s">
        <v>588</v>
      </c>
      <c r="AZ62" s="485"/>
    </row>
    <row r="63" spans="1:52" ht="18.75" x14ac:dyDescent="0.3">
      <c r="B63" s="484" t="s">
        <v>590</v>
      </c>
      <c r="C63" s="484"/>
      <c r="D63" s="453"/>
      <c r="E63" s="453"/>
      <c r="F63" s="453"/>
      <c r="G63" s="484" t="s">
        <v>590</v>
      </c>
      <c r="H63" s="484"/>
      <c r="I63" s="484"/>
      <c r="J63" s="460">
        <f>ROUNDUP(J62/2,0)</f>
        <v>1</v>
      </c>
      <c r="K63" s="460">
        <f t="shared" ref="K63:AW63" si="7">ROUNDUP(K62/2,0)</f>
        <v>1</v>
      </c>
      <c r="L63" s="460">
        <f t="shared" si="7"/>
        <v>1</v>
      </c>
      <c r="M63" s="460">
        <f t="shared" si="7"/>
        <v>2</v>
      </c>
      <c r="N63" s="460">
        <f t="shared" si="7"/>
        <v>1</v>
      </c>
      <c r="O63" s="460">
        <f t="shared" si="7"/>
        <v>2</v>
      </c>
      <c r="P63" s="460">
        <f t="shared" si="7"/>
        <v>2</v>
      </c>
      <c r="Q63" s="460">
        <f t="shared" si="7"/>
        <v>2</v>
      </c>
      <c r="R63" s="460">
        <f t="shared" si="7"/>
        <v>2</v>
      </c>
      <c r="S63" s="460">
        <f t="shared" si="7"/>
        <v>2</v>
      </c>
      <c r="T63" s="460">
        <f t="shared" si="7"/>
        <v>2</v>
      </c>
      <c r="U63" s="460">
        <f t="shared" si="7"/>
        <v>2</v>
      </c>
      <c r="V63" s="460">
        <f t="shared" si="7"/>
        <v>2</v>
      </c>
      <c r="W63" s="460">
        <f t="shared" si="7"/>
        <v>2</v>
      </c>
      <c r="X63" s="460">
        <f t="shared" si="7"/>
        <v>2</v>
      </c>
      <c r="Y63" s="460">
        <f t="shared" si="7"/>
        <v>2</v>
      </c>
      <c r="Z63" s="460">
        <f t="shared" si="7"/>
        <v>2</v>
      </c>
      <c r="AA63" s="460">
        <f t="shared" si="7"/>
        <v>2</v>
      </c>
      <c r="AB63" s="460">
        <f t="shared" si="7"/>
        <v>2</v>
      </c>
      <c r="AC63" s="460">
        <f t="shared" si="7"/>
        <v>2</v>
      </c>
      <c r="AD63" s="460">
        <f t="shared" si="7"/>
        <v>2</v>
      </c>
      <c r="AE63" s="460">
        <f t="shared" si="7"/>
        <v>2</v>
      </c>
      <c r="AF63" s="460">
        <f t="shared" si="7"/>
        <v>2</v>
      </c>
      <c r="AG63" s="460">
        <f t="shared" si="7"/>
        <v>3</v>
      </c>
      <c r="AH63" s="460">
        <f t="shared" si="7"/>
        <v>2</v>
      </c>
      <c r="AI63" s="460">
        <f t="shared" si="7"/>
        <v>2</v>
      </c>
      <c r="AJ63" s="460">
        <f t="shared" si="7"/>
        <v>2</v>
      </c>
      <c r="AK63" s="460">
        <f t="shared" si="7"/>
        <v>2</v>
      </c>
      <c r="AL63" s="460">
        <f t="shared" si="7"/>
        <v>2</v>
      </c>
      <c r="AM63" s="460">
        <f t="shared" si="7"/>
        <v>1</v>
      </c>
      <c r="AN63" s="460">
        <f t="shared" si="7"/>
        <v>2</v>
      </c>
      <c r="AO63" s="460">
        <f t="shared" si="7"/>
        <v>1</v>
      </c>
      <c r="AP63" s="460">
        <f t="shared" si="7"/>
        <v>1</v>
      </c>
      <c r="AQ63" s="460">
        <f t="shared" si="7"/>
        <v>1</v>
      </c>
      <c r="AR63" s="460">
        <f t="shared" si="7"/>
        <v>1</v>
      </c>
      <c r="AS63" s="460">
        <f t="shared" si="7"/>
        <v>1</v>
      </c>
      <c r="AT63" s="460">
        <f t="shared" si="7"/>
        <v>1</v>
      </c>
      <c r="AU63" s="460">
        <f t="shared" si="7"/>
        <v>1</v>
      </c>
      <c r="AV63" s="460">
        <f t="shared" si="7"/>
        <v>1</v>
      </c>
      <c r="AW63" s="460">
        <f t="shared" si="7"/>
        <v>1</v>
      </c>
      <c r="AX63" s="452">
        <f>SUM(J63:AW63)</f>
        <v>67</v>
      </c>
      <c r="AY63" s="485" t="s">
        <v>590</v>
      </c>
      <c r="AZ63" s="485"/>
    </row>
    <row r="64" spans="1:52" ht="18.75" x14ac:dyDescent="0.3">
      <c r="B64" s="484" t="s">
        <v>591</v>
      </c>
      <c r="C64" s="484"/>
      <c r="D64" s="453"/>
      <c r="E64" s="453"/>
      <c r="F64" s="453"/>
      <c r="G64" s="484" t="s">
        <v>591</v>
      </c>
      <c r="H64" s="484"/>
      <c r="I64" s="484"/>
      <c r="J64" s="461">
        <f>J61-J63</f>
        <v>1</v>
      </c>
      <c r="K64" s="461">
        <f t="shared" ref="K64:AW64" si="8">K61-K63</f>
        <v>1</v>
      </c>
      <c r="L64" s="461">
        <f t="shared" si="8"/>
        <v>1</v>
      </c>
      <c r="M64" s="461">
        <f t="shared" si="8"/>
        <v>0</v>
      </c>
      <c r="N64" s="461">
        <f t="shared" si="8"/>
        <v>1</v>
      </c>
      <c r="O64" s="461">
        <f t="shared" si="8"/>
        <v>0</v>
      </c>
      <c r="P64" s="461">
        <f t="shared" si="8"/>
        <v>1</v>
      </c>
      <c r="Q64" s="461">
        <f t="shared" si="8"/>
        <v>1</v>
      </c>
      <c r="R64" s="461">
        <f t="shared" si="8"/>
        <v>0</v>
      </c>
      <c r="S64" s="461">
        <f t="shared" si="8"/>
        <v>0</v>
      </c>
      <c r="T64" s="461">
        <f t="shared" si="8"/>
        <v>0</v>
      </c>
      <c r="U64" s="461">
        <f t="shared" si="8"/>
        <v>0</v>
      </c>
      <c r="V64" s="461">
        <f t="shared" si="8"/>
        <v>2</v>
      </c>
      <c r="W64" s="461">
        <f t="shared" si="8"/>
        <v>2</v>
      </c>
      <c r="X64" s="461">
        <f t="shared" si="8"/>
        <v>1</v>
      </c>
      <c r="Y64" s="461">
        <f t="shared" si="8"/>
        <v>1</v>
      </c>
      <c r="Z64" s="461">
        <f t="shared" si="8"/>
        <v>1</v>
      </c>
      <c r="AA64" s="461">
        <f t="shared" si="8"/>
        <v>2</v>
      </c>
      <c r="AB64" s="461">
        <f t="shared" si="8"/>
        <v>2</v>
      </c>
      <c r="AC64" s="461">
        <f t="shared" si="8"/>
        <v>2</v>
      </c>
      <c r="AD64" s="461">
        <f t="shared" si="8"/>
        <v>2</v>
      </c>
      <c r="AE64" s="461">
        <f t="shared" si="8"/>
        <v>0</v>
      </c>
      <c r="AF64" s="461">
        <f t="shared" si="8"/>
        <v>0</v>
      </c>
      <c r="AG64" s="461">
        <f t="shared" si="8"/>
        <v>0</v>
      </c>
      <c r="AH64" s="461">
        <f t="shared" si="8"/>
        <v>0</v>
      </c>
      <c r="AI64" s="461">
        <f t="shared" si="8"/>
        <v>1</v>
      </c>
      <c r="AJ64" s="461">
        <f t="shared" si="8"/>
        <v>0</v>
      </c>
      <c r="AK64" s="461">
        <f t="shared" si="8"/>
        <v>1</v>
      </c>
      <c r="AL64" s="461">
        <f t="shared" si="8"/>
        <v>1</v>
      </c>
      <c r="AM64" s="461">
        <f t="shared" si="8"/>
        <v>2</v>
      </c>
      <c r="AN64" s="461">
        <f t="shared" si="8"/>
        <v>0</v>
      </c>
      <c r="AO64" s="461">
        <f t="shared" si="8"/>
        <v>1</v>
      </c>
      <c r="AP64" s="461">
        <f t="shared" si="8"/>
        <v>1</v>
      </c>
      <c r="AQ64" s="461">
        <f t="shared" si="8"/>
        <v>1</v>
      </c>
      <c r="AR64" s="461">
        <f t="shared" si="8"/>
        <v>1</v>
      </c>
      <c r="AS64" s="461">
        <f t="shared" si="8"/>
        <v>0</v>
      </c>
      <c r="AT64" s="461">
        <f t="shared" si="8"/>
        <v>0</v>
      </c>
      <c r="AU64" s="461">
        <f t="shared" si="8"/>
        <v>1</v>
      </c>
      <c r="AV64" s="461">
        <f t="shared" si="8"/>
        <v>1</v>
      </c>
      <c r="AW64" s="461">
        <f t="shared" si="8"/>
        <v>1</v>
      </c>
      <c r="AX64" s="454">
        <f>AVERAGE(J64:AW64)</f>
        <v>0.82499999999999996</v>
      </c>
      <c r="AY64" s="486" t="s">
        <v>591</v>
      </c>
      <c r="AZ64" s="486"/>
    </row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</sheetData>
  <sheetProtection autoFilter="0"/>
  <mergeCells count="18">
    <mergeCell ref="B63:C63"/>
    <mergeCell ref="G63:I63"/>
    <mergeCell ref="AY63:AZ63"/>
    <mergeCell ref="B64:C64"/>
    <mergeCell ref="G64:I64"/>
    <mergeCell ref="AY64:AZ64"/>
    <mergeCell ref="AY60:AZ60"/>
    <mergeCell ref="AY61:AZ61"/>
    <mergeCell ref="B62:C62"/>
    <mergeCell ref="G62:I62"/>
    <mergeCell ref="AY62:AZ62"/>
    <mergeCell ref="B3:C3"/>
    <mergeCell ref="F6:I6"/>
    <mergeCell ref="G60:I60"/>
    <mergeCell ref="G61:I61"/>
    <mergeCell ref="E3:F3"/>
    <mergeCell ref="B60:C60"/>
    <mergeCell ref="B61:C61"/>
  </mergeCells>
  <conditionalFormatting sqref="J9:AX41">
    <cfRule type="containsBlanks" dxfId="370" priority="36" stopIfTrue="1">
      <formula>LEN(TRIM(J9))=0</formula>
    </cfRule>
    <cfRule type="beginsWith" dxfId="369" priority="38" stopIfTrue="1" operator="beginsWith" text="u">
      <formula>LEFT(J9,LEN("u"))="u"</formula>
    </cfRule>
    <cfRule type="beginsWith" dxfId="368" priority="39" stopIfTrue="1" operator="beginsWith" text="p">
      <formula>LEFT(J9,LEN("p"))="p"</formula>
    </cfRule>
    <cfRule type="containsText" dxfId="367" priority="40" stopIfTrue="1" operator="containsText" text="B1">
      <formula>NOT(ISERROR(SEARCH("B1",J9)))</formula>
    </cfRule>
    <cfRule type="containsText" dxfId="366" priority="41" stopIfTrue="1" operator="containsText" text="B2">
      <formula>NOT(ISERROR(SEARCH("B2",J9)))</formula>
    </cfRule>
    <cfRule type="containsText" dxfId="365" priority="42" stopIfTrue="1" operator="containsText" text="Lunch">
      <formula>NOT(ISERROR(SEARCH("Lunch",J9)))</formula>
    </cfRule>
    <cfRule type="containsText" dxfId="364" priority="43" stopIfTrue="1" operator="containsText" text="Interview">
      <formula>NOT(ISERROR(SEARCH("Interview",J9)))</formula>
    </cfRule>
    <cfRule type="containsText" dxfId="363" priority="44" stopIfTrue="1" operator="containsText" text="Side by Side">
      <formula>NOT(ISERROR(SEARCH("Side by Side",J9)))</formula>
    </cfRule>
    <cfRule type="containsText" dxfId="362" priority="45" stopIfTrue="1" operator="containsText" text="COACHING">
      <formula>NOT(ISERROR(SEARCH("COACHING",J9)))</formula>
    </cfRule>
    <cfRule type="containsText" dxfId="361" priority="46" stopIfTrue="1" operator="containsText" text="TM">
      <formula>NOT(ISERROR(SEARCH("TM",J9)))</formula>
    </cfRule>
    <cfRule type="containsText" dxfId="360" priority="47" stopIfTrue="1" operator="containsText" text="RNNR">
      <formula>NOT(ISERROR(SEARCH("RNNR",J9)))</formula>
    </cfRule>
    <cfRule type="containsText" dxfId="359" priority="48" stopIfTrue="1" operator="containsText" text="ADM">
      <formula>NOT(ISERROR(SEARCH("ADM",J9)))</formula>
    </cfRule>
    <cfRule type="containsText" dxfId="358" priority="49" stopIfTrue="1" operator="containsText" text="HL">
      <formula>NOT(ISERROR(SEARCH("HL",J9)))</formula>
    </cfRule>
    <cfRule type="notContainsBlanks" dxfId="357" priority="50" stopIfTrue="1">
      <formula>LEN(TRIM(J9))&gt;0</formula>
    </cfRule>
  </conditionalFormatting>
  <conditionalFormatting sqref="J42:AX56">
    <cfRule type="containsBlanks" dxfId="356" priority="21" stopIfTrue="1">
      <formula>LEN(TRIM(J42))=0</formula>
    </cfRule>
    <cfRule type="beginsWith" dxfId="355" priority="23" stopIfTrue="1" operator="beginsWith" text="u">
      <formula>LEFT(J42,LEN("u"))="u"</formula>
    </cfRule>
    <cfRule type="beginsWith" dxfId="354" priority="24" stopIfTrue="1" operator="beginsWith" text="p">
      <formula>LEFT(J42,LEN("p"))="p"</formula>
    </cfRule>
    <cfRule type="containsText" dxfId="353" priority="25" stopIfTrue="1" operator="containsText" text="B1">
      <formula>NOT(ISERROR(SEARCH("B1",J42)))</formula>
    </cfRule>
    <cfRule type="containsText" dxfId="352" priority="26" stopIfTrue="1" operator="containsText" text="B2">
      <formula>NOT(ISERROR(SEARCH("B2",J42)))</formula>
    </cfRule>
    <cfRule type="containsText" dxfId="351" priority="27" stopIfTrue="1" operator="containsText" text="Lunch">
      <formula>NOT(ISERROR(SEARCH("Lunch",J42)))</formula>
    </cfRule>
    <cfRule type="containsText" dxfId="350" priority="28" stopIfTrue="1" operator="containsText" text="Interview">
      <formula>NOT(ISERROR(SEARCH("Interview",J42)))</formula>
    </cfRule>
    <cfRule type="containsText" dxfId="349" priority="29" stopIfTrue="1" operator="containsText" text="Side by Side">
      <formula>NOT(ISERROR(SEARCH("Side by Side",J42)))</formula>
    </cfRule>
    <cfRule type="containsText" dxfId="348" priority="30" stopIfTrue="1" operator="containsText" text="COACHING">
      <formula>NOT(ISERROR(SEARCH("COACHING",J42)))</formula>
    </cfRule>
    <cfRule type="containsText" dxfId="347" priority="31" stopIfTrue="1" operator="containsText" text="TM">
      <formula>NOT(ISERROR(SEARCH("TM",J42)))</formula>
    </cfRule>
    <cfRule type="containsText" dxfId="346" priority="32" stopIfTrue="1" operator="containsText" text="RNNR">
      <formula>NOT(ISERROR(SEARCH("RNNR",J42)))</formula>
    </cfRule>
    <cfRule type="containsText" dxfId="345" priority="33" stopIfTrue="1" operator="containsText" text="ADM">
      <formula>NOT(ISERROR(SEARCH("ADM",J42)))</formula>
    </cfRule>
    <cfRule type="containsText" dxfId="344" priority="34" stopIfTrue="1" operator="containsText" text="HL">
      <formula>NOT(ISERROR(SEARCH("HL",J42)))</formula>
    </cfRule>
    <cfRule type="notContainsBlanks" dxfId="343" priority="35" stopIfTrue="1">
      <formula>LEN(TRIM(J42))&gt;0</formula>
    </cfRule>
  </conditionalFormatting>
  <conditionalFormatting sqref="J60:AW60">
    <cfRule type="cellIs" dxfId="342" priority="5" operator="greaterThanOrEqual">
      <formula>2</formula>
    </cfRule>
    <cfRule type="containsText" dxfId="341" priority="6" operator="containsText" text="1">
      <formula>NOT(ISERROR(SEARCH("1",J60)))</formula>
    </cfRule>
    <cfRule type="containsText" dxfId="340" priority="7" operator="containsText" text="0">
      <formula>NOT(ISERROR(SEARCH("0",J60)))</formula>
    </cfRule>
  </conditionalFormatting>
  <conditionalFormatting sqref="J61:AW61">
    <cfRule type="cellIs" dxfId="339" priority="2" operator="greaterThanOrEqual">
      <formula>2</formula>
    </cfRule>
    <cfRule type="containsText" dxfId="338" priority="3" operator="containsText" text="1">
      <formula>NOT(ISERROR(SEARCH("1",J61)))</formula>
    </cfRule>
    <cfRule type="containsText" dxfId="337" priority="4" operator="containsText" text="0">
      <formula>NOT(ISERROR(SEARCH("0",J61)))</formula>
    </cfRule>
  </conditionalFormatting>
  <conditionalFormatting sqref="J64:AW64">
    <cfRule type="colorScale" priority="1">
      <colorScale>
        <cfvo type="num" val="-0.05"/>
        <cfvo type="num" val="0"/>
        <cfvo type="num" val="0.05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r:id="rId1"/>
  <ignoredErrors>
    <ignoredError sqref="A28" evalError="1"/>
  </ignoredErrors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7" stopIfTrue="1" operator="containsText" id="{3624104F-1578-4069-A0C7-E59D387E946B}">
            <xm:f>NOT(ISERROR(SEARCH("-",J9)))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J9:AX41</xm:sqref>
        </x14:conditionalFormatting>
        <x14:conditionalFormatting xmlns:xm="http://schemas.microsoft.com/office/excel/2006/main">
          <x14:cfRule type="containsText" priority="22" stopIfTrue="1" operator="containsText" id="{45F2FDA7-F9DE-4A7C-A22E-E02D5B66E74C}">
            <xm:f>NOT(ISERROR(SEARCH("-",J42)))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J42:AX56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59999389629810485"/>
    <outlinePr summaryBelow="0" summaryRight="0"/>
  </sheetPr>
  <dimension ref="A1:BA99"/>
  <sheetViews>
    <sheetView workbookViewId="0">
      <pane xSplit="9" ySplit="8" topLeftCell="J9" activePane="bottomRight" state="frozen"/>
      <selection activeCell="BB1" sqref="BB1:XFD1048576"/>
      <selection pane="topRight" activeCell="BB1" sqref="BB1:XFD1048576"/>
      <selection pane="bottomLeft" activeCell="BB1" sqref="BB1:XFD1048576"/>
      <selection pane="bottomRight" activeCell="B3" sqref="B3:C3"/>
    </sheetView>
  </sheetViews>
  <sheetFormatPr defaultColWidth="0" defaultRowHeight="12.75" zeroHeight="1" x14ac:dyDescent="0.2"/>
  <cols>
    <col min="1" max="1" width="1.7109375" style="6" customWidth="1"/>
    <col min="2" max="2" width="20.28515625" style="6" bestFit="1" customWidth="1"/>
    <col min="3" max="3" width="10.7109375" style="6" customWidth="1"/>
    <col min="4" max="4" width="11.85546875" style="6" customWidth="1"/>
    <col min="5" max="5" width="11.42578125" style="6" customWidth="1"/>
    <col min="6" max="6" width="11.28515625" style="6" customWidth="1"/>
    <col min="7" max="7" width="12.28515625" style="6" customWidth="1"/>
    <col min="8" max="50" width="10.7109375" style="6" customWidth="1"/>
    <col min="51" max="51" width="23.5703125" style="6" customWidth="1"/>
    <col min="52" max="52" width="1.7109375" style="6" customWidth="1"/>
    <col min="53" max="53" width="9.140625" style="6" customWidth="1"/>
    <col min="54" max="16384" width="9.140625" style="6" hidden="1"/>
  </cols>
  <sheetData>
    <row r="1" spans="1:51" ht="6" customHeight="1" x14ac:dyDescent="0.2">
      <c r="D1" s="5"/>
    </row>
    <row r="2" spans="1:51" x14ac:dyDescent="0.2"/>
    <row r="3" spans="1:51" ht="24.95" customHeight="1" x14ac:dyDescent="0.2">
      <c r="B3" s="480" t="str">
        <f>TEXT(Day_12,"DDDD")&amp;" - "&amp;TEXT(Day_12,"mm/dd/yy")</f>
        <v>Thursday - 04/02/20</v>
      </c>
      <c r="C3" s="480"/>
      <c r="D3" s="106"/>
      <c r="E3" s="492" t="s">
        <v>381</v>
      </c>
      <c r="F3" s="492"/>
      <c r="K3" s="94" t="s">
        <v>124</v>
      </c>
      <c r="L3" s="152" t="s">
        <v>218</v>
      </c>
      <c r="M3" s="153" t="s">
        <v>220</v>
      </c>
      <c r="N3" s="71" t="s">
        <v>126</v>
      </c>
      <c r="O3" s="72" t="s">
        <v>130</v>
      </c>
      <c r="P3" s="73" t="s">
        <v>90</v>
      </c>
      <c r="Q3" s="139" t="s">
        <v>215</v>
      </c>
      <c r="R3" s="138" t="s">
        <v>211</v>
      </c>
      <c r="S3" s="137" t="s">
        <v>127</v>
      </c>
      <c r="T3" s="151" t="s">
        <v>139</v>
      </c>
      <c r="U3" s="69" t="s">
        <v>129</v>
      </c>
      <c r="V3" s="155" t="s">
        <v>146</v>
      </c>
      <c r="W3" s="157" t="s">
        <v>222</v>
      </c>
      <c r="X3" s="228" t="s">
        <v>366</v>
      </c>
      <c r="Y3" s="243" t="s">
        <v>371</v>
      </c>
      <c r="Z3" s="212"/>
      <c r="AA3" s="213"/>
      <c r="AB3" s="214"/>
      <c r="AD3" s="94" t="s">
        <v>124</v>
      </c>
      <c r="AE3" s="152" t="s">
        <v>218</v>
      </c>
      <c r="AF3" s="153" t="s">
        <v>220</v>
      </c>
      <c r="AG3" s="71" t="s">
        <v>126</v>
      </c>
      <c r="AH3" s="72" t="s">
        <v>130</v>
      </c>
      <c r="AI3" s="73" t="s">
        <v>90</v>
      </c>
      <c r="AJ3" s="139" t="s">
        <v>215</v>
      </c>
      <c r="AK3" s="138" t="s">
        <v>211</v>
      </c>
      <c r="AL3" s="137" t="s">
        <v>127</v>
      </c>
      <c r="AM3" s="151" t="s">
        <v>139</v>
      </c>
      <c r="AN3" s="69" t="s">
        <v>129</v>
      </c>
      <c r="AO3" s="155" t="s">
        <v>146</v>
      </c>
      <c r="AP3" s="157" t="s">
        <v>222</v>
      </c>
      <c r="AQ3" s="228" t="s">
        <v>366</v>
      </c>
      <c r="AR3" s="243" t="s">
        <v>371</v>
      </c>
    </row>
    <row r="4" spans="1:51" ht="24.95" customHeight="1" x14ac:dyDescent="0.2">
      <c r="B4" s="7"/>
      <c r="J4" s="18"/>
      <c r="K4" s="94" t="s">
        <v>125</v>
      </c>
      <c r="L4" s="154" t="s">
        <v>217</v>
      </c>
      <c r="M4" s="154" t="s">
        <v>221</v>
      </c>
      <c r="N4" s="70" t="s">
        <v>87</v>
      </c>
      <c r="O4" s="67" t="s">
        <v>89</v>
      </c>
      <c r="P4" s="67" t="s">
        <v>213</v>
      </c>
      <c r="Q4" s="67" t="s">
        <v>214</v>
      </c>
      <c r="R4" s="67" t="s">
        <v>212</v>
      </c>
      <c r="S4" s="67" t="s">
        <v>128</v>
      </c>
      <c r="T4" s="67" t="s">
        <v>138</v>
      </c>
      <c r="U4" s="67" t="s">
        <v>129</v>
      </c>
      <c r="V4" s="156" t="s">
        <v>145</v>
      </c>
      <c r="W4" s="98" t="s">
        <v>223</v>
      </c>
      <c r="X4" s="98" t="s">
        <v>367</v>
      </c>
      <c r="Y4" s="241" t="s">
        <v>372</v>
      </c>
      <c r="Z4" s="215"/>
      <c r="AA4" s="216"/>
      <c r="AB4" s="217"/>
      <c r="AD4" s="94" t="s">
        <v>125</v>
      </c>
      <c r="AE4" s="154" t="s">
        <v>217</v>
      </c>
      <c r="AF4" s="154" t="s">
        <v>221</v>
      </c>
      <c r="AG4" s="70" t="s">
        <v>87</v>
      </c>
      <c r="AH4" s="67" t="s">
        <v>89</v>
      </c>
      <c r="AI4" s="67" t="s">
        <v>213</v>
      </c>
      <c r="AJ4" s="67" t="s">
        <v>214</v>
      </c>
      <c r="AK4" s="67" t="s">
        <v>212</v>
      </c>
      <c r="AL4" s="67" t="s">
        <v>128</v>
      </c>
      <c r="AM4" s="67" t="s">
        <v>138</v>
      </c>
      <c r="AN4" s="67" t="s">
        <v>129</v>
      </c>
      <c r="AO4" s="156" t="s">
        <v>145</v>
      </c>
      <c r="AP4" s="98" t="s">
        <v>223</v>
      </c>
      <c r="AQ4" s="98" t="s">
        <v>367</v>
      </c>
      <c r="AR4" s="241" t="s">
        <v>372</v>
      </c>
    </row>
    <row r="5" spans="1:51" ht="6" customHeight="1" x14ac:dyDescent="0.2"/>
    <row r="6" spans="1:51" ht="17.25" customHeight="1" x14ac:dyDescent="0.2">
      <c r="F6" s="477" t="s">
        <v>132</v>
      </c>
      <c r="G6" s="478"/>
      <c r="H6" s="478"/>
      <c r="I6" s="479"/>
      <c r="J6" s="19"/>
      <c r="K6" s="19"/>
    </row>
    <row r="7" spans="1:51" ht="6" customHeight="1" thickBot="1" x14ac:dyDescent="0.25">
      <c r="J7" s="104" t="s">
        <v>93</v>
      </c>
      <c r="K7" s="104" t="s">
        <v>95</v>
      </c>
      <c r="L7" s="104" t="s">
        <v>97</v>
      </c>
      <c r="M7" s="104" t="s">
        <v>140</v>
      </c>
      <c r="N7" s="104" t="s">
        <v>109</v>
      </c>
      <c r="O7" s="104" t="s">
        <v>103</v>
      </c>
      <c r="P7" s="104" t="s">
        <v>121</v>
      </c>
      <c r="Q7" s="104" t="s">
        <v>113</v>
      </c>
      <c r="R7" s="104" t="s">
        <v>105</v>
      </c>
      <c r="S7" s="104" t="s">
        <v>107</v>
      </c>
      <c r="T7" s="104" t="s">
        <v>141</v>
      </c>
      <c r="U7" s="104" t="s">
        <v>101</v>
      </c>
      <c r="V7" s="104" t="s">
        <v>122</v>
      </c>
      <c r="W7" s="104" t="s">
        <v>116</v>
      </c>
      <c r="X7" s="104" t="s">
        <v>148</v>
      </c>
      <c r="Y7" s="104" t="s">
        <v>149</v>
      </c>
      <c r="Z7" s="104" t="s">
        <v>111</v>
      </c>
      <c r="AA7" s="104" t="s">
        <v>94</v>
      </c>
      <c r="AB7" s="104" t="s">
        <v>96</v>
      </c>
      <c r="AC7" s="104" t="s">
        <v>98</v>
      </c>
      <c r="AD7" s="104" t="s">
        <v>118</v>
      </c>
      <c r="AE7" s="104" t="s">
        <v>99</v>
      </c>
      <c r="AF7" s="104" t="s">
        <v>104</v>
      </c>
      <c r="AG7" s="104" t="s">
        <v>150</v>
      </c>
      <c r="AH7" s="104" t="s">
        <v>114</v>
      </c>
      <c r="AI7" s="104" t="s">
        <v>106</v>
      </c>
      <c r="AJ7" s="104" t="s">
        <v>108</v>
      </c>
      <c r="AK7" s="104" t="s">
        <v>142</v>
      </c>
      <c r="AL7" s="104" t="s">
        <v>102</v>
      </c>
      <c r="AM7" s="104" t="s">
        <v>143</v>
      </c>
      <c r="AN7" s="104" t="s">
        <v>123</v>
      </c>
      <c r="AO7" s="104" t="s">
        <v>117</v>
      </c>
      <c r="AP7" s="104" t="s">
        <v>151</v>
      </c>
      <c r="AQ7" s="104" t="s">
        <v>112</v>
      </c>
      <c r="AR7" s="104" t="s">
        <v>110</v>
      </c>
      <c r="AS7" s="104" t="s">
        <v>119</v>
      </c>
      <c r="AT7" s="104" t="s">
        <v>115</v>
      </c>
      <c r="AU7" s="104" t="s">
        <v>120</v>
      </c>
      <c r="AV7" s="104"/>
      <c r="AW7" s="104"/>
      <c r="AX7" s="105">
        <v>0</v>
      </c>
    </row>
    <row r="8" spans="1:51" ht="13.5" thickBot="1" x14ac:dyDescent="0.25">
      <c r="A8" s="15" t="s">
        <v>14</v>
      </c>
      <c r="B8" s="168" t="s">
        <v>2</v>
      </c>
      <c r="C8" s="169" t="s">
        <v>5</v>
      </c>
      <c r="D8" s="169" t="s">
        <v>84</v>
      </c>
      <c r="E8" s="169" t="s">
        <v>86</v>
      </c>
      <c r="F8" s="169" t="s">
        <v>87</v>
      </c>
      <c r="G8" s="169" t="s">
        <v>223</v>
      </c>
      <c r="H8" s="169" t="s">
        <v>89</v>
      </c>
      <c r="I8" s="169" t="s">
        <v>90</v>
      </c>
      <c r="J8" s="170" t="s">
        <v>93</v>
      </c>
      <c r="K8" s="170" t="s">
        <v>95</v>
      </c>
      <c r="L8" s="170" t="s">
        <v>97</v>
      </c>
      <c r="M8" s="170" t="s">
        <v>140</v>
      </c>
      <c r="N8" s="170" t="s">
        <v>109</v>
      </c>
      <c r="O8" s="170" t="s">
        <v>103</v>
      </c>
      <c r="P8" s="170" t="s">
        <v>121</v>
      </c>
      <c r="Q8" s="170" t="s">
        <v>113</v>
      </c>
      <c r="R8" s="170" t="s">
        <v>105</v>
      </c>
      <c r="S8" s="170" t="s">
        <v>107</v>
      </c>
      <c r="T8" s="170" t="s">
        <v>141</v>
      </c>
      <c r="U8" s="170" t="s">
        <v>101</v>
      </c>
      <c r="V8" s="170" t="s">
        <v>122</v>
      </c>
      <c r="W8" s="170" t="s">
        <v>116</v>
      </c>
      <c r="X8" s="170" t="s">
        <v>148</v>
      </c>
      <c r="Y8" s="170" t="s">
        <v>149</v>
      </c>
      <c r="Z8" s="170" t="s">
        <v>111</v>
      </c>
      <c r="AA8" s="170" t="s">
        <v>94</v>
      </c>
      <c r="AB8" s="170" t="s">
        <v>96</v>
      </c>
      <c r="AC8" s="170" t="s">
        <v>98</v>
      </c>
      <c r="AD8" s="170" t="s">
        <v>118</v>
      </c>
      <c r="AE8" s="170" t="s">
        <v>99</v>
      </c>
      <c r="AF8" s="170" t="s">
        <v>104</v>
      </c>
      <c r="AG8" s="170" t="s">
        <v>150</v>
      </c>
      <c r="AH8" s="170" t="s">
        <v>114</v>
      </c>
      <c r="AI8" s="170" t="s">
        <v>106</v>
      </c>
      <c r="AJ8" s="170" t="s">
        <v>108</v>
      </c>
      <c r="AK8" s="170" t="s">
        <v>142</v>
      </c>
      <c r="AL8" s="170" t="s">
        <v>102</v>
      </c>
      <c r="AM8" s="170" t="s">
        <v>143</v>
      </c>
      <c r="AN8" s="170" t="s">
        <v>123</v>
      </c>
      <c r="AO8" s="170" t="s">
        <v>117</v>
      </c>
      <c r="AP8" s="170" t="s">
        <v>151</v>
      </c>
      <c r="AQ8" s="170" t="s">
        <v>112</v>
      </c>
      <c r="AR8" s="170" t="s">
        <v>110</v>
      </c>
      <c r="AS8" s="170" t="s">
        <v>119</v>
      </c>
      <c r="AT8" s="170" t="s">
        <v>115</v>
      </c>
      <c r="AU8" s="170" t="s">
        <v>120</v>
      </c>
      <c r="AV8" s="199" t="s">
        <v>100</v>
      </c>
      <c r="AW8" s="199" t="s">
        <v>243</v>
      </c>
      <c r="AX8" s="199" t="s">
        <v>244</v>
      </c>
      <c r="AY8" s="171" t="s">
        <v>147</v>
      </c>
    </row>
    <row r="9" spans="1:51" s="44" customFormat="1" ht="12" customHeight="1" x14ac:dyDescent="0.2">
      <c r="A9" s="39" t="str">
        <f>IF(B9="","",INDEX(TeamList[],MATCH($B9,TeamList[[Employee Name]:[Employee Name]],0),MATCH("Manager",TeamList[#Headers],0)))</f>
        <v>Olson, Katherine</v>
      </c>
      <c r="B9" s="201" t="s">
        <v>24</v>
      </c>
      <c r="C9" s="257" t="str">
        <f>_xlfn.IFNA(VLOOKUP(Thu_W2[[#This Row],[Employee Name]],'Base Schedules'!A:B,2,FALSE),"")</f>
        <v>Lead</v>
      </c>
      <c r="D9" s="274">
        <f>_xlfn.IFNA(VLOOKUP(Thu_W2[[#This Row],[Employee Name]],'Base Schedules'!A:C,3,FALSE),"")</f>
        <v>500</v>
      </c>
      <c r="E9" s="274">
        <f>_xlfn.IFNA(VLOOKUP(Thu_W2[[#This Row],[Employee Name]],'Base Schedules'!A:D,4,FALSE),"")</f>
        <v>1330</v>
      </c>
      <c r="F9" s="142">
        <f>IF(Thu_W2[[#This Row],[Employee Name]]="","",IF(Thu_W2[[#This Row],[Dept]]="Supervisor",COUNTIFS($J9:$AX9,"*HL*",$J9:$AX9,"&lt;&gt;"&amp;"pHL"),COUNTIFS($J9:$AX9,"*HL*",$J9:$AX9,"&lt;&gt;"&amp;"*pHL*",$J9:$AX9,"&lt;&gt;"&amp;"pB1 HL",$J9:$AX9,"&lt;&gt;"&amp;"pB2 HL")-SUM(COUNTIFS($J9:$AX9,"*HL B1*",$J9:$AX9,"&lt;&gt;"&amp;"pHL B1")*0.5,COUNTIFS($J9:$AX9,"*HL B2*",$J9:$AX9,"&lt;&gt;"&amp;"pHL B2")*0.5,COUNTIFS($J9:$AX9,"*B1 HL*",$J9:$AX9,"&lt;&gt;"&amp;"pB1 HL")*0.5,COUNTIFS($J9:$AX9,"*B2 HL*",$J9:$AX9,"&lt;&gt;"&amp;"pB2 HL")*0.5)))</f>
        <v>9</v>
      </c>
      <c r="G9" s="142">
        <f t="shared" ref="G9:G29" si="0">IF(B9="","",COUNTIFS($J9:$AX9,"*Coaching*",$J9:$AX9,"&lt;&gt;"&amp;"pTM",$J9:$AX9,"&lt;&gt;"&amp;"uTM"))</f>
        <v>0</v>
      </c>
      <c r="H9" s="142">
        <f t="shared" ref="H9:H46" si="1">IF(B9="","",COUNTIFS($J9:$AX9,"*ADM*",$J9:$AX9,"&lt;&gt;"&amp;"pADM",$J9:$AX9,"&lt;&gt;"&amp;"uADM"))</f>
        <v>4</v>
      </c>
      <c r="I9" s="142">
        <f>IF(Thu_W2[[#This Row],[Employee Name]]="","",IF(Thu_W2[[#This Row],[Dept]]="Supervisor",SUM(COUNTIFS($J9:$AX9,"RTA*",$J9:$AX9,"&lt;&gt;"&amp;"pRTA"),COUNTIFS($J9:$AX9,"*CRTA*",$J9:$AX9,"&lt;&gt;"&amp;"pCRTA")),COUNTIFS($J9:$AX9,"*RNNR*",$J9:$AX9,"&lt;&gt;"&amp;"*pRNNR*",$J9:$AX9,"&lt;&gt;"&amp;"pB1 RNNR",$J9:$AX9,"&lt;&gt;"&amp;"pB2 RNNR")-SUM(COUNTIFS($J9:$AX9,"*RNNR B1*",$J9:$AX9,"&lt;&gt;"&amp;"pRNNR B1")*0.5,COUNTIFS($J9:$AX9,"*RNNR B2*",$J9:$AX9,"&lt;&gt;"&amp;"pRNNR B2")*0.5,COUNTIFS($J9:$AX9,"*B1 RNNR*",$J9:$AX9,"&lt;&gt;"&amp;"pB1 RNNR")*0.5,COUNTIFS($J9:$AX9,"*B2 RNNR*",$J9:$AX9,"&lt;&gt;"&amp;"pB2 RNNR")*0.5)))</f>
        <v>2</v>
      </c>
      <c r="J9" s="184" t="str">
        <f>IFERROR(IF(VLOOKUP(Thu_W2[[#This Row],[Employee Name]],'Base Schedules'!$A$243:$AW$281,9,FALSE)="","",VLOOKUP(Thu_W2[[#This Row],[Employee Name]],'Base Schedules'!$A$243:$AW$281,9,FALSE)),"")</f>
        <v>HL</v>
      </c>
      <c r="K9" s="184" t="str">
        <f>IFERROR(IF(VLOOKUP(Thu_W2[[#This Row],[Employee Name]],'Base Schedules'!$A$243:$AW$281,10,FALSE)="","",VLOOKUP(Thu_W2[[#This Row],[Employee Name]],'Base Schedules'!$A$243:$AW$281,10,FALSE)),"")</f>
        <v>HL</v>
      </c>
      <c r="L9" s="184" t="str">
        <f>IFERROR(IF(VLOOKUP(Thu_W2[[#This Row],[Employee Name]],'Base Schedules'!$A$243:$AW$281,11,FALSE)="","",VLOOKUP(Thu_W2[[#This Row],[Employee Name]],'Base Schedules'!$A$243:$AW$281,11,FALSE)),"")</f>
        <v>HL</v>
      </c>
      <c r="M9" s="184" t="str">
        <f>IFERROR(IF(VLOOKUP(Thu_W2[[#This Row],[Employee Name]],'Base Schedules'!$A$243:$AW$281,12,FALSE)="","",VLOOKUP(Thu_W2[[#This Row],[Employee Name]],'Base Schedules'!$A$243:$AW$281,12,FALSE)),"")</f>
        <v>HL</v>
      </c>
      <c r="N9" s="184" t="str">
        <f>IFERROR(IF(VLOOKUP(Thu_W2[[#This Row],[Employee Name]],'Base Schedules'!$A$243:$AW$281,13,FALSE)="","",VLOOKUP(Thu_W2[[#This Row],[Employee Name]],'Base Schedules'!$A$243:$AW$281,13,FALSE)),"")</f>
        <v>HL B1</v>
      </c>
      <c r="O9" s="184" t="str">
        <f>IFERROR(IF(VLOOKUP(Thu_W2[[#This Row],[Employee Name]],'Base Schedules'!$A$243:$AW$281,14,FALSE)="","",VLOOKUP(Thu_W2[[#This Row],[Employee Name]],'Base Schedules'!$A$243:$AW$281,14,FALSE)),"")</f>
        <v>ADM</v>
      </c>
      <c r="P9" s="184" t="str">
        <f>IFERROR(IF(VLOOKUP(Thu_W2[[#This Row],[Employee Name]],'Base Schedules'!$A$243:$AW$281,15,FALSE)="","",VLOOKUP(Thu_W2[[#This Row],[Employee Name]],'Base Schedules'!$A$243:$AW$281,15,FALSE)),"")</f>
        <v>RNNR</v>
      </c>
      <c r="Q9" s="184" t="str">
        <f>IFERROR(IF(VLOOKUP(Thu_W2[[#This Row],[Employee Name]],'Base Schedules'!$A$243:$AW$281,16,FALSE)="","",VLOOKUP(Thu_W2[[#This Row],[Employee Name]],'Base Schedules'!$A$243:$AW$281,16,FALSE)),"")</f>
        <v>RNNR</v>
      </c>
      <c r="R9" s="184" t="str">
        <f>IFERROR(IF(VLOOKUP(Thu_W2[[#This Row],[Employee Name]],'Base Schedules'!$A$243:$AW$281,17,FALSE)="","",VLOOKUP(Thu_W2[[#This Row],[Employee Name]],'Base Schedules'!$A$243:$AW$281,17,FALSE)),"")</f>
        <v>LUNCH</v>
      </c>
      <c r="S9" s="184" t="str">
        <f>IFERROR(IF(VLOOKUP(Thu_W2[[#This Row],[Employee Name]],'Base Schedules'!$A$243:$AW$281,18,FALSE)="","",VLOOKUP(Thu_W2[[#This Row],[Employee Name]],'Base Schedules'!$A$243:$AW$281,18,FALSE)),"")</f>
        <v>ADM</v>
      </c>
      <c r="T9" s="184" t="str">
        <f>IFERROR(IF(VLOOKUP(Thu_W2[[#This Row],[Employee Name]],'Base Schedules'!$A$243:$AW$281,19,FALSE)="","",VLOOKUP(Thu_W2[[#This Row],[Employee Name]],'Base Schedules'!$A$243:$AW$281,19,FALSE)),"")</f>
        <v>ADM</v>
      </c>
      <c r="U9" s="184" t="str">
        <f>IFERROR(IF(VLOOKUP(Thu_W2[[#This Row],[Employee Name]],'Base Schedules'!$A$243:$AW$281,20,FALSE)="","",VLOOKUP(Thu_W2[[#This Row],[Employee Name]],'Base Schedules'!$A$243:$AW$281,20,FALSE)),"")</f>
        <v>ADM</v>
      </c>
      <c r="V9" s="184" t="str">
        <f>IFERROR(IF(VLOOKUP(Thu_W2[[#This Row],[Employee Name]],'Base Schedules'!$A$243:$AW$281,21,FALSE)="","",VLOOKUP(Thu_W2[[#This Row],[Employee Name]],'Base Schedules'!$A$243:$AW$281,21,FALSE)),"")</f>
        <v>B2 HL</v>
      </c>
      <c r="W9" s="184" t="str">
        <f>IFERROR(IF(VLOOKUP(Thu_W2[[#This Row],[Employee Name]],'Base Schedules'!$A$243:$AW$281,22,FALSE)="","",VLOOKUP(Thu_W2[[#This Row],[Employee Name]],'Base Schedules'!$A$243:$AW$281,22,FALSE)),"")</f>
        <v>HL</v>
      </c>
      <c r="X9" s="184" t="str">
        <f>IFERROR(IF(VLOOKUP(Thu_W2[[#This Row],[Employee Name]],'Base Schedules'!$A$243:$AW$281,23,FALSE)="","",VLOOKUP(Thu_W2[[#This Row],[Employee Name]],'Base Schedules'!$A$243:$AW$281,23,FALSE)),"")</f>
        <v>HL</v>
      </c>
      <c r="Y9" s="184" t="str">
        <f>IFERROR(IF(VLOOKUP(Thu_W2[[#This Row],[Employee Name]],'Base Schedules'!$A$243:$AW$281,24,FALSE)="","",VLOOKUP(Thu_W2[[#This Row],[Employee Name]],'Base Schedules'!$A$243:$AW$281,24,FALSE)),"")</f>
        <v>HL</v>
      </c>
      <c r="Z9" s="184" t="str">
        <f>IFERROR(IF(VLOOKUP(Thu_W2[[#This Row],[Employee Name]],'Base Schedules'!$A$243:$AW$281,25,FALSE)="","",VLOOKUP(Thu_W2[[#This Row],[Employee Name]],'Base Schedules'!$A$243:$AW$281,25,FALSE)),"")</f>
        <v>HL</v>
      </c>
      <c r="AA9" s="184" t="str">
        <f>IFERROR(IF(VLOOKUP(Thu_W2[[#This Row],[Employee Name]],'Base Schedules'!$A$243:$AW$281,26,FALSE)="","",VLOOKUP(Thu_W2[[#This Row],[Employee Name]],'Base Schedules'!$A$243:$AW$281,26,FALSE)),"")</f>
        <v/>
      </c>
      <c r="AB9" s="184" t="str">
        <f>IFERROR(IF(VLOOKUP(Thu_W2[[#This Row],[Employee Name]],'Base Schedules'!$A$243:$AW$281,27,FALSE)="","",VLOOKUP(Thu_W2[[#This Row],[Employee Name]],'Base Schedules'!$A$243:$AW$281,27,FALSE)),"")</f>
        <v/>
      </c>
      <c r="AC9" s="184" t="str">
        <f>IFERROR(IF(VLOOKUP(Thu_W2[[#This Row],[Employee Name]],'Base Schedules'!$A$243:$AW$281,28,FALSE)="","",VLOOKUP(Thu_W2[[#This Row],[Employee Name]],'Base Schedules'!$A$243:$AW$281,28,FALSE)),"")</f>
        <v/>
      </c>
      <c r="AD9" s="184" t="str">
        <f>IFERROR(IF(VLOOKUP(Thu_W2[[#This Row],[Employee Name]],'Base Schedules'!$A$243:$AW$281,29,FALSE)="","",VLOOKUP(Thu_W2[[#This Row],[Employee Name]],'Base Schedules'!$A$243:$AW$281,29,FALSE)),"")</f>
        <v/>
      </c>
      <c r="AE9" s="184" t="str">
        <f>IFERROR(IF(VLOOKUP(Thu_W2[[#This Row],[Employee Name]],'Base Schedules'!$A$243:$AW$281,30,FALSE)="","",VLOOKUP(Thu_W2[[#This Row],[Employee Name]],'Base Schedules'!$A$243:$AW$281,30,FALSE)),"")</f>
        <v/>
      </c>
      <c r="AF9" s="184" t="str">
        <f>IFERROR(IF(VLOOKUP(Thu_W2[[#This Row],[Employee Name]],'Base Schedules'!$A$243:$AW$281,31,FALSE)="","",VLOOKUP(Thu_W2[[#This Row],[Employee Name]],'Base Schedules'!$A$243:$AW$281,31,FALSE)),"")</f>
        <v/>
      </c>
      <c r="AG9" s="184" t="str">
        <f>IFERROR(IF(VLOOKUP(Thu_W2[[#This Row],[Employee Name]],'Base Schedules'!$A$243:$AW$281,32,FALSE)="","",VLOOKUP(Thu_W2[[#This Row],[Employee Name]],'Base Schedules'!$A$243:$AW$281,32,FALSE)),"")</f>
        <v/>
      </c>
      <c r="AH9" s="184" t="str">
        <f>IFERROR(IF(VLOOKUP(Thu_W2[[#This Row],[Employee Name]],'Base Schedules'!$A$243:$AW$281,33,FALSE)="","",VLOOKUP(Thu_W2[[#This Row],[Employee Name]],'Base Schedules'!$A$243:$AW$281,33,FALSE)),"")</f>
        <v/>
      </c>
      <c r="AI9" s="184" t="str">
        <f>IFERROR(IF(VLOOKUP(Thu_W2[[#This Row],[Employee Name]],'Base Schedules'!$A$243:$AW$281,34,FALSE)="","",VLOOKUP(Thu_W2[[#This Row],[Employee Name]],'Base Schedules'!$A$243:$AW$281,34,FALSE)),"")</f>
        <v/>
      </c>
      <c r="AJ9" s="184" t="str">
        <f>IFERROR(IF(VLOOKUP(Thu_W2[[#This Row],[Employee Name]],'Base Schedules'!$A$243:$AW$281,35,FALSE)="","",VLOOKUP(Thu_W2[[#This Row],[Employee Name]],'Base Schedules'!$A$243:$AW$281,35,FALSE)),"")</f>
        <v/>
      </c>
      <c r="AK9" s="184" t="str">
        <f>IFERROR(IF(VLOOKUP(Thu_W2[[#This Row],[Employee Name]],'Base Schedules'!$A$243:$AW$281,36,FALSE)="","",VLOOKUP(Thu_W2[[#This Row],[Employee Name]],'Base Schedules'!$A$243:$AW$281,36,FALSE)),"")</f>
        <v/>
      </c>
      <c r="AL9" s="184" t="str">
        <f>IFERROR(IF(VLOOKUP(Thu_W2[[#This Row],[Employee Name]],'Base Schedules'!$A$243:$AW$281,37,FALSE)="","",VLOOKUP(Thu_W2[[#This Row],[Employee Name]],'Base Schedules'!$A$243:$AW$281,37,FALSE)),"")</f>
        <v/>
      </c>
      <c r="AM9" s="184" t="str">
        <f>IFERROR(IF(VLOOKUP(Thu_W2[[#This Row],[Employee Name]],'Base Schedules'!$A$243:$AW$281,38,FALSE)="","",VLOOKUP(Thu_W2[[#This Row],[Employee Name]],'Base Schedules'!$A$243:$AW$281,38,FALSE)),"")</f>
        <v/>
      </c>
      <c r="AN9" s="184" t="str">
        <f>IFERROR(IF(VLOOKUP(Thu_W2[[#This Row],[Employee Name]],'Base Schedules'!$A$243:$AW$281,39,FALSE)="","",VLOOKUP(Thu_W2[[#This Row],[Employee Name]],'Base Schedules'!$A$243:$AW$281,39,FALSE)),"")</f>
        <v/>
      </c>
      <c r="AO9" s="184" t="str">
        <f>IFERROR(IF(VLOOKUP(Thu_W2[[#This Row],[Employee Name]],'Base Schedules'!$A$243:$AW$281,40,FALSE)="","",VLOOKUP(Thu_W2[[#This Row],[Employee Name]],'Base Schedules'!$A$243:$AW$281,40,FALSE)),"")</f>
        <v/>
      </c>
      <c r="AP9" s="184" t="str">
        <f>IFERROR(IF(VLOOKUP(Thu_W2[[#This Row],[Employee Name]],'Base Schedules'!$A$243:$AW$281,41,FALSE)="","",VLOOKUP(Thu_W2[[#This Row],[Employee Name]],'Base Schedules'!$A$243:$AW$281,41,FALSE)),"")</f>
        <v/>
      </c>
      <c r="AQ9" s="184" t="str">
        <f>IFERROR(IF(VLOOKUP(Thu_W2[[#This Row],[Employee Name]],'Base Schedules'!$A$243:$AW$281,42,FALSE)="","",VLOOKUP(Thu_W2[[#This Row],[Employee Name]],'Base Schedules'!$A$243:$AW$281,42,FALSE)),"")</f>
        <v/>
      </c>
      <c r="AR9" s="184" t="str">
        <f>IFERROR(IF(VLOOKUP(Thu_W2[[#This Row],[Employee Name]],'Base Schedules'!$A$243:$AW$281,43,FALSE)="","",VLOOKUP(Thu_W2[[#This Row],[Employee Name]],'Base Schedules'!$A$243:$AW$281,43,FALSE)),"")</f>
        <v/>
      </c>
      <c r="AS9" s="184" t="str">
        <f>IFERROR(IF(VLOOKUP(Thu_W2[[#This Row],[Employee Name]],'Base Schedules'!$A$243:$AW$281,44,FALSE)="","",VLOOKUP(Thu_W2[[#This Row],[Employee Name]],'Base Schedules'!$A$243:$AW$281,44,FALSE)),"")</f>
        <v/>
      </c>
      <c r="AT9" s="184" t="str">
        <f>IFERROR(IF(VLOOKUP(Thu_W2[[#This Row],[Employee Name]],'Base Schedules'!$A$243:$AW$281,45,FALSE)="","",VLOOKUP(Thu_W2[[#This Row],[Employee Name]],'Base Schedules'!$A$243:$AW$281,45,FALSE)),"")</f>
        <v/>
      </c>
      <c r="AU9" s="184" t="str">
        <f>IFERROR(IF(VLOOKUP(Thu_W2[[#This Row],[Employee Name]],'Base Schedules'!$A$243:$AW$281,46,FALSE)="","",VLOOKUP(Thu_W2[[#This Row],[Employee Name]],'Base Schedules'!$A$243:$AW$281,46,FALSE)),"")</f>
        <v/>
      </c>
      <c r="AV9" s="184" t="str">
        <f>IFERROR(IF(VLOOKUP(Thu_W2[[#This Row],[Employee Name]],'Base Schedules'!$A$243:$AW$281,47,FALSE)="","",VLOOKUP(Thu_W2[[#This Row],[Employee Name]],'Base Schedules'!$A$243:$AW$281,47,FALSE)),"")</f>
        <v/>
      </c>
      <c r="AW9" s="184" t="str">
        <f>IFERROR(IF(VLOOKUP(Thu_W2[[#This Row],[Employee Name]],'Base Schedules'!$A$243:$AW$281,48,FALSE)="","",VLOOKUP(Thu_W2[[#This Row],[Employee Name]],'Base Schedules'!$A$243:$AW$281,48,FALSE)),"")</f>
        <v/>
      </c>
      <c r="AX9" s="184" t="str">
        <f>IFERROR(IF(VLOOKUP(Thu_W2[[#This Row],[Employee Name]],'Base Schedules'!$A$243:$AW$281,49,FALSE)="","",VLOOKUP(Thu_W2[[#This Row],[Employee Name]],'Base Schedules'!$A$243:$AW$281,49,FALSE)),"")</f>
        <v/>
      </c>
      <c r="AY9" s="247" t="str">
        <f t="shared" ref="AY9:AY46" si="2">IF(B9="","",B9)</f>
        <v>Birrueta Arellano, Neftali</v>
      </c>
    </row>
    <row r="10" spans="1:51" s="44" customFormat="1" ht="12" customHeight="1" x14ac:dyDescent="0.2">
      <c r="A10" s="39" t="str">
        <f>IF(B10="","",INDEX(TeamList[],MATCH($B10,TeamList[[Employee Name]:[Employee Name]],0),MATCH("Manager",TeamList[#Headers],0)))</f>
        <v>Olson, Katherine</v>
      </c>
      <c r="B10" s="201" t="s">
        <v>233</v>
      </c>
      <c r="C10" s="257" t="str">
        <f>_xlfn.IFNA(VLOOKUP(Thu_W2[[#This Row],[Employee Name]],'Base Schedules'!A:B,2,FALSE),"")</f>
        <v>Lead</v>
      </c>
      <c r="D10" s="274">
        <f>_xlfn.IFNA(VLOOKUP(Thu_W2[[#This Row],[Employee Name]],'Base Schedules'!A:C,3,FALSE),"")</f>
        <v>500</v>
      </c>
      <c r="E10" s="274">
        <f>_xlfn.IFNA(VLOOKUP(Thu_W2[[#This Row],[Employee Name]],'Base Schedules'!A:D,4,FALSE),"")</f>
        <v>1330</v>
      </c>
      <c r="F10" s="142">
        <f>IF(Thu_W2[[#This Row],[Employee Name]]="","",IF(Thu_W2[[#This Row],[Dept]]="Supervisor",COUNTIFS($J10:$AX10,"*HL*",$J10:$AX10,"&lt;&gt;"&amp;"pHL"),COUNTIFS($J10:$AX10,"*HL*",$J10:$AX10,"&lt;&gt;"&amp;"*pHL*",$J10:$AX10,"&lt;&gt;"&amp;"pB1 HL",$J10:$AX10,"&lt;&gt;"&amp;"pB2 HL")-SUM(COUNTIFS($J10:$AX10,"*HL B1*",$J10:$AX10,"&lt;&gt;"&amp;"pHL B1")*0.5,COUNTIFS($J10:$AX10,"*HL B2*",$J10:$AX10,"&lt;&gt;"&amp;"pHL B2")*0.5,COUNTIFS($J10:$AX10,"*B1 HL*",$J10:$AX10,"&lt;&gt;"&amp;"pB1 HL")*0.5,COUNTIFS($J10:$AX10,"*B2 HL*",$J10:$AX10,"&lt;&gt;"&amp;"pB2 HL")*0.5)))</f>
        <v>9</v>
      </c>
      <c r="G10" s="142">
        <f t="shared" si="0"/>
        <v>0</v>
      </c>
      <c r="H10" s="142">
        <f t="shared" si="1"/>
        <v>4</v>
      </c>
      <c r="I10" s="142">
        <f>IF(Thu_W2[[#This Row],[Employee Name]]="","",IF(Thu_W2[[#This Row],[Dept]]="Supervisor",SUM(COUNTIFS($J10:$AX10,"RTA*",$J10:$AX10,"&lt;&gt;"&amp;"pRTA"),COUNTIFS($J10:$AX10,"*CRTA*",$J10:$AX10,"&lt;&gt;"&amp;"pCRTA")),COUNTIFS($J10:$AX10,"*RNNR*",$J10:$AX10,"&lt;&gt;"&amp;"*pRNNR*",$J10:$AX10,"&lt;&gt;"&amp;"pB1 RNNR",$J10:$AX10,"&lt;&gt;"&amp;"pB2 RNNR")-SUM(COUNTIFS($J10:$AX10,"*RNNR B1*",$J10:$AX10,"&lt;&gt;"&amp;"pRNNR B1")*0.5,COUNTIFS($J10:$AX10,"*RNNR B2*",$J10:$AX10,"&lt;&gt;"&amp;"pRNNR B2")*0.5,COUNTIFS($J10:$AX10,"*B1 RNNR*",$J10:$AX10,"&lt;&gt;"&amp;"pB1 RNNR")*0.5,COUNTIFS($J10:$AX10,"*B2 RNNR*",$J10:$AX10,"&lt;&gt;"&amp;"pB2 RNNR")*0.5)))</f>
        <v>2</v>
      </c>
      <c r="J10" s="184" t="str">
        <f>IFERROR(IF(VLOOKUP(Thu_W2[[#This Row],[Employee Name]],'Base Schedules'!$A$243:$AW$281,9,FALSE)="","",VLOOKUP(Thu_W2[[#This Row],[Employee Name]],'Base Schedules'!$A$243:$AW$281,9,FALSE)),"")</f>
        <v>HL</v>
      </c>
      <c r="K10" s="184" t="str">
        <f>IFERROR(IF(VLOOKUP(Thu_W2[[#This Row],[Employee Name]],'Base Schedules'!$A$243:$AW$281,10,FALSE)="","",VLOOKUP(Thu_W2[[#This Row],[Employee Name]],'Base Schedules'!$A$243:$AW$281,10,FALSE)),"")</f>
        <v>HL</v>
      </c>
      <c r="L10" s="184" t="str">
        <f>IFERROR(IF(VLOOKUP(Thu_W2[[#This Row],[Employee Name]],'Base Schedules'!$A$243:$AW$281,11,FALSE)="","",VLOOKUP(Thu_W2[[#This Row],[Employee Name]],'Base Schedules'!$A$243:$AW$281,11,FALSE)),"")</f>
        <v>HL</v>
      </c>
      <c r="M10" s="184" t="str">
        <f>IFERROR(IF(VLOOKUP(Thu_W2[[#This Row],[Employee Name]],'Base Schedules'!$A$243:$AW$281,12,FALSE)="","",VLOOKUP(Thu_W2[[#This Row],[Employee Name]],'Base Schedules'!$A$243:$AW$281,12,FALSE)),"")</f>
        <v>HL B1</v>
      </c>
      <c r="N10" s="184" t="str">
        <f>IFERROR(IF(VLOOKUP(Thu_W2[[#This Row],[Employee Name]],'Base Schedules'!$A$243:$AW$281,13,FALSE)="","",VLOOKUP(Thu_W2[[#This Row],[Employee Name]],'Base Schedules'!$A$243:$AW$281,13,FALSE)),"")</f>
        <v>HL</v>
      </c>
      <c r="O10" s="184" t="str">
        <f>IFERROR(IF(VLOOKUP(Thu_W2[[#This Row],[Employee Name]],'Base Schedules'!$A$243:$AW$281,14,FALSE)="","",VLOOKUP(Thu_W2[[#This Row],[Employee Name]],'Base Schedules'!$A$243:$AW$281,14,FALSE)),"")</f>
        <v>ADM</v>
      </c>
      <c r="P10" s="184" t="str">
        <f>IFERROR(IF(VLOOKUP(Thu_W2[[#This Row],[Employee Name]],'Base Schedules'!$A$243:$AW$281,15,FALSE)="","",VLOOKUP(Thu_W2[[#This Row],[Employee Name]],'Base Schedules'!$A$243:$AW$281,15,FALSE)),"")</f>
        <v>ADM</v>
      </c>
      <c r="Q10" s="184" t="str">
        <f>IFERROR(IF(VLOOKUP(Thu_W2[[#This Row],[Employee Name]],'Base Schedules'!$A$243:$AW$281,16,FALSE)="","",VLOOKUP(Thu_W2[[#This Row],[Employee Name]],'Base Schedules'!$A$243:$AW$281,16,FALSE)),"")</f>
        <v>ADM</v>
      </c>
      <c r="R10" s="184" t="str">
        <f>IFERROR(IF(VLOOKUP(Thu_W2[[#This Row],[Employee Name]],'Base Schedules'!$A$243:$AW$281,17,FALSE)="","",VLOOKUP(Thu_W2[[#This Row],[Employee Name]],'Base Schedules'!$A$243:$AW$281,17,FALSE)),"")</f>
        <v>ADM</v>
      </c>
      <c r="S10" s="184" t="str">
        <f>IFERROR(IF(VLOOKUP(Thu_W2[[#This Row],[Employee Name]],'Base Schedules'!$A$243:$AW$281,18,FALSE)="","",VLOOKUP(Thu_W2[[#This Row],[Employee Name]],'Base Schedules'!$A$243:$AW$281,18,FALSE)),"")</f>
        <v>LUNCH</v>
      </c>
      <c r="T10" s="184" t="str">
        <f>IFERROR(IF(VLOOKUP(Thu_W2[[#This Row],[Employee Name]],'Base Schedules'!$A$243:$AW$281,19,FALSE)="","",VLOOKUP(Thu_W2[[#This Row],[Employee Name]],'Base Schedules'!$A$243:$AW$281,19,FALSE)),"")</f>
        <v>RNNR</v>
      </c>
      <c r="U10" s="184" t="str">
        <f>IFERROR(IF(VLOOKUP(Thu_W2[[#This Row],[Employee Name]],'Base Schedules'!$A$243:$AW$281,20,FALSE)="","",VLOOKUP(Thu_W2[[#This Row],[Employee Name]],'Base Schedules'!$A$243:$AW$281,20,FALSE)),"")</f>
        <v>RNNR</v>
      </c>
      <c r="V10" s="184" t="str">
        <f>IFERROR(IF(VLOOKUP(Thu_W2[[#This Row],[Employee Name]],'Base Schedules'!$A$243:$AW$281,21,FALSE)="","",VLOOKUP(Thu_W2[[#This Row],[Employee Name]],'Base Schedules'!$A$243:$AW$281,21,FALSE)),"")</f>
        <v>HL</v>
      </c>
      <c r="W10" s="184" t="str">
        <f>IFERROR(IF(VLOOKUP(Thu_W2[[#This Row],[Employee Name]],'Base Schedules'!$A$243:$AW$281,22,FALSE)="","",VLOOKUP(Thu_W2[[#This Row],[Employee Name]],'Base Schedules'!$A$243:$AW$281,22,FALSE)),"")</f>
        <v>B2 HL</v>
      </c>
      <c r="X10" s="184" t="str">
        <f>IFERROR(IF(VLOOKUP(Thu_W2[[#This Row],[Employee Name]],'Base Schedules'!$A$243:$AW$281,23,FALSE)="","",VLOOKUP(Thu_W2[[#This Row],[Employee Name]],'Base Schedules'!$A$243:$AW$281,23,FALSE)),"")</f>
        <v>HL</v>
      </c>
      <c r="Y10" s="184" t="str">
        <f>IFERROR(IF(VLOOKUP(Thu_W2[[#This Row],[Employee Name]],'Base Schedules'!$A$243:$AW$281,24,FALSE)="","",VLOOKUP(Thu_W2[[#This Row],[Employee Name]],'Base Schedules'!$A$243:$AW$281,24,FALSE)),"")</f>
        <v>HL</v>
      </c>
      <c r="Z10" s="184" t="str">
        <f>IFERROR(IF(VLOOKUP(Thu_W2[[#This Row],[Employee Name]],'Base Schedules'!$A$243:$AW$281,25,FALSE)="","",VLOOKUP(Thu_W2[[#This Row],[Employee Name]],'Base Schedules'!$A$243:$AW$281,25,FALSE)),"")</f>
        <v>HL</v>
      </c>
      <c r="AA10" s="184" t="str">
        <f>IFERROR(IF(VLOOKUP(Thu_W2[[#This Row],[Employee Name]],'Base Schedules'!$A$243:$AW$281,26,FALSE)="","",VLOOKUP(Thu_W2[[#This Row],[Employee Name]],'Base Schedules'!$A$243:$AW$281,26,FALSE)),"")</f>
        <v/>
      </c>
      <c r="AB10" s="184" t="str">
        <f>IFERROR(IF(VLOOKUP(Thu_W2[[#This Row],[Employee Name]],'Base Schedules'!$A$243:$AW$281,27,FALSE)="","",VLOOKUP(Thu_W2[[#This Row],[Employee Name]],'Base Schedules'!$A$243:$AW$281,27,FALSE)),"")</f>
        <v/>
      </c>
      <c r="AC10" s="184" t="str">
        <f>IFERROR(IF(VLOOKUP(Thu_W2[[#This Row],[Employee Name]],'Base Schedules'!$A$243:$AW$281,28,FALSE)="","",VLOOKUP(Thu_W2[[#This Row],[Employee Name]],'Base Schedules'!$A$243:$AW$281,28,FALSE)),"")</f>
        <v/>
      </c>
      <c r="AD10" s="184" t="str">
        <f>IFERROR(IF(VLOOKUP(Thu_W2[[#This Row],[Employee Name]],'Base Schedules'!$A$243:$AW$281,29,FALSE)="","",VLOOKUP(Thu_W2[[#This Row],[Employee Name]],'Base Schedules'!$A$243:$AW$281,29,FALSE)),"")</f>
        <v/>
      </c>
      <c r="AE10" s="184" t="str">
        <f>IFERROR(IF(VLOOKUP(Thu_W2[[#This Row],[Employee Name]],'Base Schedules'!$A$243:$AW$281,30,FALSE)="","",VLOOKUP(Thu_W2[[#This Row],[Employee Name]],'Base Schedules'!$A$243:$AW$281,30,FALSE)),"")</f>
        <v/>
      </c>
      <c r="AF10" s="184" t="str">
        <f>IFERROR(IF(VLOOKUP(Thu_W2[[#This Row],[Employee Name]],'Base Schedules'!$A$243:$AW$281,31,FALSE)="","",VLOOKUP(Thu_W2[[#This Row],[Employee Name]],'Base Schedules'!$A$243:$AW$281,31,FALSE)),"")</f>
        <v/>
      </c>
      <c r="AG10" s="184" t="str">
        <f>IFERROR(IF(VLOOKUP(Thu_W2[[#This Row],[Employee Name]],'Base Schedules'!$A$243:$AW$281,32,FALSE)="","",VLOOKUP(Thu_W2[[#This Row],[Employee Name]],'Base Schedules'!$A$243:$AW$281,32,FALSE)),"")</f>
        <v/>
      </c>
      <c r="AH10" s="184" t="str">
        <f>IFERROR(IF(VLOOKUP(Thu_W2[[#This Row],[Employee Name]],'Base Schedules'!$A$243:$AW$281,33,FALSE)="","",VLOOKUP(Thu_W2[[#This Row],[Employee Name]],'Base Schedules'!$A$243:$AW$281,33,FALSE)),"")</f>
        <v/>
      </c>
      <c r="AI10" s="184" t="str">
        <f>IFERROR(IF(VLOOKUP(Thu_W2[[#This Row],[Employee Name]],'Base Schedules'!$A$243:$AW$281,34,FALSE)="","",VLOOKUP(Thu_W2[[#This Row],[Employee Name]],'Base Schedules'!$A$243:$AW$281,34,FALSE)),"")</f>
        <v/>
      </c>
      <c r="AJ10" s="184" t="str">
        <f>IFERROR(IF(VLOOKUP(Thu_W2[[#This Row],[Employee Name]],'Base Schedules'!$A$243:$AW$281,35,FALSE)="","",VLOOKUP(Thu_W2[[#This Row],[Employee Name]],'Base Schedules'!$A$243:$AW$281,35,FALSE)),"")</f>
        <v/>
      </c>
      <c r="AK10" s="184" t="str">
        <f>IFERROR(IF(VLOOKUP(Thu_W2[[#This Row],[Employee Name]],'Base Schedules'!$A$243:$AW$281,36,FALSE)="","",VLOOKUP(Thu_W2[[#This Row],[Employee Name]],'Base Schedules'!$A$243:$AW$281,36,FALSE)),"")</f>
        <v/>
      </c>
      <c r="AL10" s="184" t="str">
        <f>IFERROR(IF(VLOOKUP(Thu_W2[[#This Row],[Employee Name]],'Base Schedules'!$A$243:$AW$281,37,FALSE)="","",VLOOKUP(Thu_W2[[#This Row],[Employee Name]],'Base Schedules'!$A$243:$AW$281,37,FALSE)),"")</f>
        <v/>
      </c>
      <c r="AM10" s="184" t="str">
        <f>IFERROR(IF(VLOOKUP(Thu_W2[[#This Row],[Employee Name]],'Base Schedules'!$A$243:$AW$281,38,FALSE)="","",VLOOKUP(Thu_W2[[#This Row],[Employee Name]],'Base Schedules'!$A$243:$AW$281,38,FALSE)),"")</f>
        <v/>
      </c>
      <c r="AN10" s="184" t="str">
        <f>IFERROR(IF(VLOOKUP(Thu_W2[[#This Row],[Employee Name]],'Base Schedules'!$A$243:$AW$281,39,FALSE)="","",VLOOKUP(Thu_W2[[#This Row],[Employee Name]],'Base Schedules'!$A$243:$AW$281,39,FALSE)),"")</f>
        <v/>
      </c>
      <c r="AO10" s="184" t="str">
        <f>IFERROR(IF(VLOOKUP(Thu_W2[[#This Row],[Employee Name]],'Base Schedules'!$A$243:$AW$281,40,FALSE)="","",VLOOKUP(Thu_W2[[#This Row],[Employee Name]],'Base Schedules'!$A$243:$AW$281,40,FALSE)),"")</f>
        <v/>
      </c>
      <c r="AP10" s="184" t="str">
        <f>IFERROR(IF(VLOOKUP(Thu_W2[[#This Row],[Employee Name]],'Base Schedules'!$A$243:$AW$281,41,FALSE)="","",VLOOKUP(Thu_W2[[#This Row],[Employee Name]],'Base Schedules'!$A$243:$AW$281,41,FALSE)),"")</f>
        <v/>
      </c>
      <c r="AQ10" s="184" t="str">
        <f>IFERROR(IF(VLOOKUP(Thu_W2[[#This Row],[Employee Name]],'Base Schedules'!$A$243:$AW$281,42,FALSE)="","",VLOOKUP(Thu_W2[[#This Row],[Employee Name]],'Base Schedules'!$A$243:$AW$281,42,FALSE)),"")</f>
        <v/>
      </c>
      <c r="AR10" s="184" t="str">
        <f>IFERROR(IF(VLOOKUP(Thu_W2[[#This Row],[Employee Name]],'Base Schedules'!$A$243:$AW$281,43,FALSE)="","",VLOOKUP(Thu_W2[[#This Row],[Employee Name]],'Base Schedules'!$A$243:$AW$281,43,FALSE)),"")</f>
        <v/>
      </c>
      <c r="AS10" s="184" t="str">
        <f>IFERROR(IF(VLOOKUP(Thu_W2[[#This Row],[Employee Name]],'Base Schedules'!$A$243:$AW$281,44,FALSE)="","",VLOOKUP(Thu_W2[[#This Row],[Employee Name]],'Base Schedules'!$A$243:$AW$281,44,FALSE)),"")</f>
        <v/>
      </c>
      <c r="AT10" s="184" t="str">
        <f>IFERROR(IF(VLOOKUP(Thu_W2[[#This Row],[Employee Name]],'Base Schedules'!$A$243:$AW$281,45,FALSE)="","",VLOOKUP(Thu_W2[[#This Row],[Employee Name]],'Base Schedules'!$A$243:$AW$281,45,FALSE)),"")</f>
        <v/>
      </c>
      <c r="AU10" s="184" t="str">
        <f>IFERROR(IF(VLOOKUP(Thu_W2[[#This Row],[Employee Name]],'Base Schedules'!$A$243:$AW$281,46,FALSE)="","",VLOOKUP(Thu_W2[[#This Row],[Employee Name]],'Base Schedules'!$A$243:$AW$281,46,FALSE)),"")</f>
        <v/>
      </c>
      <c r="AV10" s="184" t="str">
        <f>IFERROR(IF(VLOOKUP(Thu_W2[[#This Row],[Employee Name]],'Base Schedules'!$A$243:$AW$281,47,FALSE)="","",VLOOKUP(Thu_W2[[#This Row],[Employee Name]],'Base Schedules'!$A$243:$AW$281,47,FALSE)),"")</f>
        <v/>
      </c>
      <c r="AW10" s="184" t="str">
        <f>IFERROR(IF(VLOOKUP(Thu_W2[[#This Row],[Employee Name]],'Base Schedules'!$A$243:$AW$281,48,FALSE)="","",VLOOKUP(Thu_W2[[#This Row],[Employee Name]],'Base Schedules'!$A$243:$AW$281,48,FALSE)),"")</f>
        <v/>
      </c>
      <c r="AX10" s="184" t="str">
        <f>IFERROR(IF(VLOOKUP(Thu_W2[[#This Row],[Employee Name]],'Base Schedules'!$A$243:$AW$281,49,FALSE)="","",VLOOKUP(Thu_W2[[#This Row],[Employee Name]],'Base Schedules'!$A$243:$AW$281,49,FALSE)),"")</f>
        <v/>
      </c>
      <c r="AY10" s="245" t="str">
        <f t="shared" si="2"/>
        <v>Shiraki, Suzy</v>
      </c>
    </row>
    <row r="11" spans="1:51" s="44" customFormat="1" ht="12" customHeight="1" x14ac:dyDescent="0.2">
      <c r="A11" s="39" t="str">
        <f>IF(B11="","",INDEX(TeamList[],MATCH($B11,TeamList[[Employee Name]:[Employee Name]],0),MATCH("Manager",TeamList[#Headers],0)))</f>
        <v>Paulson, Matthew</v>
      </c>
      <c r="B11" s="201" t="s">
        <v>46</v>
      </c>
      <c r="C11" s="257" t="str">
        <f>_xlfn.IFNA(VLOOKUP(Thu_W2[[#This Row],[Employee Name]],'Base Schedules'!A:B,2,FALSE),"")</f>
        <v>Supervisor</v>
      </c>
      <c r="D11" s="274">
        <f>_xlfn.IFNA(VLOOKUP(Thu_W2[[#This Row],[Employee Name]],'Base Schedules'!A:C,3,FALSE),"")</f>
        <v>500</v>
      </c>
      <c r="E11" s="274">
        <f>_xlfn.IFNA(VLOOKUP(Thu_W2[[#This Row],[Employee Name]],'Base Schedules'!A:D,4,FALSE),"")</f>
        <v>1400</v>
      </c>
      <c r="F11" s="142">
        <f>IF(Thu_W2[[#This Row],[Employee Name]]="","",IF(Thu_W2[[#This Row],[Dept]]="Supervisor",COUNTIFS($J11:$AX11,"*HL*",$J11:$AX11,"&lt;&gt;"&amp;"pHL"),COUNTIFS($J11:$AX11,"*HL*",$J11:$AX11,"&lt;&gt;"&amp;"*pHL*",$J11:$AX11,"&lt;&gt;"&amp;"pB1 HL",$J11:$AX11,"&lt;&gt;"&amp;"pB2 HL")-SUM(COUNTIFS($J11:$AX11,"*HL B1*",$J11:$AX11,"&lt;&gt;"&amp;"pHL B1")*0.5,COUNTIFS($J11:$AX11,"*HL B2*",$J11:$AX11,"&lt;&gt;"&amp;"pHL B2")*0.5,COUNTIFS($J11:$AX11,"*B1 HL*",$J11:$AX11,"&lt;&gt;"&amp;"pB1 HL")*0.5,COUNTIFS($J11:$AX11,"*B2 HL*",$J11:$AX11,"&lt;&gt;"&amp;"pB2 HL")*0.5)))</f>
        <v>0</v>
      </c>
      <c r="G11" s="142">
        <f t="shared" si="0"/>
        <v>4</v>
      </c>
      <c r="H11" s="142">
        <f t="shared" si="1"/>
        <v>0</v>
      </c>
      <c r="I11" s="142">
        <f>IF(Thu_W2[[#This Row],[Employee Name]]="","",IF(Thu_W2[[#This Row],[Dept]]="Supervisor",SUM(COUNTIFS($J11:$AX11,"RTA*",$J11:$AX11,"&lt;&gt;"&amp;"pRTA"),COUNTIFS($J11:$AX11,"*CRTA*",$J11:$AX11,"&lt;&gt;"&amp;"pCRTA")),COUNTIFS($J11:$AX11,"*RNNR*",$J11:$AX11,"&lt;&gt;"&amp;"*pRNNR*",$J11:$AX11,"&lt;&gt;"&amp;"pB1 RNNR",$J11:$AX11,"&lt;&gt;"&amp;"pB2 RNNR")-SUM(COUNTIFS($J11:$AX11,"*RNNR B1*",$J11:$AX11,"&lt;&gt;"&amp;"pRNNR B1")*0.5,COUNTIFS($J11:$AX11,"*RNNR B2*",$J11:$AX11,"&lt;&gt;"&amp;"pRNNR B2")*0.5,COUNTIFS($J11:$AX11,"*B1 RNNR*",$J11:$AX11,"&lt;&gt;"&amp;"pB1 RNNR")*0.5,COUNTIFS($J11:$AX11,"*B2 RNNR*",$J11:$AX11,"&lt;&gt;"&amp;"pB2 RNNR")*0.5)))</f>
        <v>0</v>
      </c>
      <c r="J11" s="184" t="str">
        <f>IFERROR(IF(VLOOKUP(Thu_W2[[#This Row],[Employee Name]],'Base Schedules'!$A$243:$AW$281,9,FALSE)="","",VLOOKUP(Thu_W2[[#This Row],[Employee Name]],'Base Schedules'!$A$243:$AW$281,9,FALSE)),"")</f>
        <v>-</v>
      </c>
      <c r="K11" s="184" t="str">
        <f>IFERROR(IF(VLOOKUP(Thu_W2[[#This Row],[Employee Name]],'Base Schedules'!$A$243:$AW$281,10,FALSE)="","",VLOOKUP(Thu_W2[[#This Row],[Employee Name]],'Base Schedules'!$A$243:$AW$281,10,FALSE)),"")</f>
        <v>Coaching</v>
      </c>
      <c r="L11" s="184" t="str">
        <f>IFERROR(IF(VLOOKUP(Thu_W2[[#This Row],[Employee Name]],'Base Schedules'!$A$243:$AW$281,11,FALSE)="","",VLOOKUP(Thu_W2[[#This Row],[Employee Name]],'Base Schedules'!$A$243:$AW$281,11,FALSE)),"")</f>
        <v>Coaching</v>
      </c>
      <c r="M11" s="184" t="str">
        <f>IFERROR(IF(VLOOKUP(Thu_W2[[#This Row],[Employee Name]],'Base Schedules'!$A$243:$AW$281,12,FALSE)="","",VLOOKUP(Thu_W2[[#This Row],[Employee Name]],'Base Schedules'!$A$243:$AW$281,12,FALSE)),"")</f>
        <v>Coaching</v>
      </c>
      <c r="N11" s="184" t="str">
        <f>IFERROR(IF(VLOOKUP(Thu_W2[[#This Row],[Employee Name]],'Base Schedules'!$A$243:$AW$281,13,FALSE)="","",VLOOKUP(Thu_W2[[#This Row],[Employee Name]],'Base Schedules'!$A$243:$AW$281,13,FALSE)),"")</f>
        <v>Coaching</v>
      </c>
      <c r="O11" s="184" t="str">
        <f>IFERROR(IF(VLOOKUP(Thu_W2[[#This Row],[Employee Name]],'Base Schedules'!$A$243:$AW$281,14,FALSE)="","",VLOOKUP(Thu_W2[[#This Row],[Employee Name]],'Base Schedules'!$A$243:$AW$281,14,FALSE)),"")</f>
        <v>-</v>
      </c>
      <c r="P11" s="184" t="str">
        <f>IFERROR(IF(VLOOKUP(Thu_W2[[#This Row],[Employee Name]],'Base Schedules'!$A$243:$AW$281,15,FALSE)="","",VLOOKUP(Thu_W2[[#This Row],[Employee Name]],'Base Schedules'!$A$243:$AW$281,15,FALSE)),"")</f>
        <v>-</v>
      </c>
      <c r="Q11" s="184" t="str">
        <f>IFERROR(IF(VLOOKUP(Thu_W2[[#This Row],[Employee Name]],'Base Schedules'!$A$243:$AW$281,16,FALSE)="","",VLOOKUP(Thu_W2[[#This Row],[Employee Name]],'Base Schedules'!$A$243:$AW$281,16,FALSE)),"")</f>
        <v>-</v>
      </c>
      <c r="R11" s="184" t="str">
        <f>IFERROR(IF(VLOOKUP(Thu_W2[[#This Row],[Employee Name]],'Base Schedules'!$A$243:$AW$281,17,FALSE)="","",VLOOKUP(Thu_W2[[#This Row],[Employee Name]],'Base Schedules'!$A$243:$AW$281,17,FALSE)),"")</f>
        <v>Interview</v>
      </c>
      <c r="S11" s="184" t="str">
        <f>IFERROR(IF(VLOOKUP(Thu_W2[[#This Row],[Employee Name]],'Base Schedules'!$A$243:$AW$281,18,FALSE)="","",VLOOKUP(Thu_W2[[#This Row],[Employee Name]],'Base Schedules'!$A$243:$AW$281,18,FALSE)),"")</f>
        <v>Interview</v>
      </c>
      <c r="T11" s="184" t="str">
        <f>IFERROR(IF(VLOOKUP(Thu_W2[[#This Row],[Employee Name]],'Base Schedules'!$A$243:$AW$281,19,FALSE)="","",VLOOKUP(Thu_W2[[#This Row],[Employee Name]],'Base Schedules'!$A$243:$AW$281,19,FALSE)),"")</f>
        <v>-</v>
      </c>
      <c r="U11" s="184" t="str">
        <f>IFERROR(IF(VLOOKUP(Thu_W2[[#This Row],[Employee Name]],'Base Schedules'!$A$243:$AW$281,20,FALSE)="","",VLOOKUP(Thu_W2[[#This Row],[Employee Name]],'Base Schedules'!$A$243:$AW$281,20,FALSE)),"")</f>
        <v>-</v>
      </c>
      <c r="V11" s="184" t="str">
        <f>IFERROR(IF(VLOOKUP(Thu_W2[[#This Row],[Employee Name]],'Base Schedules'!$A$243:$AW$281,21,FALSE)="","",VLOOKUP(Thu_W2[[#This Row],[Employee Name]],'Base Schedules'!$A$243:$AW$281,21,FALSE)),"")</f>
        <v>-</v>
      </c>
      <c r="W11" s="184" t="str">
        <f>IFERROR(IF(VLOOKUP(Thu_W2[[#This Row],[Employee Name]],'Base Schedules'!$A$243:$AW$281,22,FALSE)="","",VLOOKUP(Thu_W2[[#This Row],[Employee Name]],'Base Schedules'!$A$243:$AW$281,22,FALSE)),"")</f>
        <v>TM PREP</v>
      </c>
      <c r="X11" s="184" t="str">
        <f>IFERROR(IF(VLOOKUP(Thu_W2[[#This Row],[Employee Name]],'Base Schedules'!$A$243:$AW$281,23,FALSE)="","",VLOOKUP(Thu_W2[[#This Row],[Employee Name]],'Base Schedules'!$A$243:$AW$281,23,FALSE)),"")</f>
        <v>SENFT TM</v>
      </c>
      <c r="Y11" s="184" t="str">
        <f>IFERROR(IF(VLOOKUP(Thu_W2[[#This Row],[Employee Name]],'Base Schedules'!$A$243:$AW$281,24,FALSE)="","",VLOOKUP(Thu_W2[[#This Row],[Employee Name]],'Base Schedules'!$A$243:$AW$281,24,FALSE)),"")</f>
        <v>SENFT TM</v>
      </c>
      <c r="Z11" s="184" t="str">
        <f>IFERROR(IF(VLOOKUP(Thu_W2[[#This Row],[Employee Name]],'Base Schedules'!$A$243:$AW$281,25,FALSE)="","",VLOOKUP(Thu_W2[[#This Row],[Employee Name]],'Base Schedules'!$A$243:$AW$281,25,FALSE)),"")</f>
        <v>-</v>
      </c>
      <c r="AA11" s="184" t="str">
        <f>IFERROR(IF(VLOOKUP(Thu_W2[[#This Row],[Employee Name]],'Base Schedules'!$A$243:$AW$281,26,FALSE)="","",VLOOKUP(Thu_W2[[#This Row],[Employee Name]],'Base Schedules'!$A$243:$AW$281,26,FALSE)),"")</f>
        <v>-</v>
      </c>
      <c r="AB11" s="184" t="str">
        <f>IFERROR(IF(VLOOKUP(Thu_W2[[#This Row],[Employee Name]],'Base Schedules'!$A$243:$AW$281,27,FALSE)="","",VLOOKUP(Thu_W2[[#This Row],[Employee Name]],'Base Schedules'!$A$243:$AW$281,27,FALSE)),"")</f>
        <v/>
      </c>
      <c r="AC11" s="184" t="str">
        <f>IFERROR(IF(VLOOKUP(Thu_W2[[#This Row],[Employee Name]],'Base Schedules'!$A$243:$AW$281,28,FALSE)="","",VLOOKUP(Thu_W2[[#This Row],[Employee Name]],'Base Schedules'!$A$243:$AW$281,28,FALSE)),"")</f>
        <v/>
      </c>
      <c r="AD11" s="184" t="str">
        <f>IFERROR(IF(VLOOKUP(Thu_W2[[#This Row],[Employee Name]],'Base Schedules'!$A$243:$AW$281,29,FALSE)="","",VLOOKUP(Thu_W2[[#This Row],[Employee Name]],'Base Schedules'!$A$243:$AW$281,29,FALSE)),"")</f>
        <v/>
      </c>
      <c r="AE11" s="184" t="str">
        <f>IFERROR(IF(VLOOKUP(Thu_W2[[#This Row],[Employee Name]],'Base Schedules'!$A$243:$AW$281,30,FALSE)="","",VLOOKUP(Thu_W2[[#This Row],[Employee Name]],'Base Schedules'!$A$243:$AW$281,30,FALSE)),"")</f>
        <v/>
      </c>
      <c r="AF11" s="184" t="str">
        <f>IFERROR(IF(VLOOKUP(Thu_W2[[#This Row],[Employee Name]],'Base Schedules'!$A$243:$AW$281,31,FALSE)="","",VLOOKUP(Thu_W2[[#This Row],[Employee Name]],'Base Schedules'!$A$243:$AW$281,31,FALSE)),"")</f>
        <v/>
      </c>
      <c r="AG11" s="184" t="str">
        <f>IFERROR(IF(VLOOKUP(Thu_W2[[#This Row],[Employee Name]],'Base Schedules'!$A$243:$AW$281,32,FALSE)="","",VLOOKUP(Thu_W2[[#This Row],[Employee Name]],'Base Schedules'!$A$243:$AW$281,32,FALSE)),"")</f>
        <v/>
      </c>
      <c r="AH11" s="184" t="str">
        <f>IFERROR(IF(VLOOKUP(Thu_W2[[#This Row],[Employee Name]],'Base Schedules'!$A$243:$AW$281,33,FALSE)="","",VLOOKUP(Thu_W2[[#This Row],[Employee Name]],'Base Schedules'!$A$243:$AW$281,33,FALSE)),"")</f>
        <v/>
      </c>
      <c r="AI11" s="184" t="str">
        <f>IFERROR(IF(VLOOKUP(Thu_W2[[#This Row],[Employee Name]],'Base Schedules'!$A$243:$AW$281,34,FALSE)="","",VLOOKUP(Thu_W2[[#This Row],[Employee Name]],'Base Schedules'!$A$243:$AW$281,34,FALSE)),"")</f>
        <v/>
      </c>
      <c r="AJ11" s="184" t="str">
        <f>IFERROR(IF(VLOOKUP(Thu_W2[[#This Row],[Employee Name]],'Base Schedules'!$A$243:$AW$281,35,FALSE)="","",VLOOKUP(Thu_W2[[#This Row],[Employee Name]],'Base Schedules'!$A$243:$AW$281,35,FALSE)),"")</f>
        <v/>
      </c>
      <c r="AK11" s="184" t="str">
        <f>IFERROR(IF(VLOOKUP(Thu_W2[[#This Row],[Employee Name]],'Base Schedules'!$A$243:$AW$281,36,FALSE)="","",VLOOKUP(Thu_W2[[#This Row],[Employee Name]],'Base Schedules'!$A$243:$AW$281,36,FALSE)),"")</f>
        <v/>
      </c>
      <c r="AL11" s="184" t="str">
        <f>IFERROR(IF(VLOOKUP(Thu_W2[[#This Row],[Employee Name]],'Base Schedules'!$A$243:$AW$281,37,FALSE)="","",VLOOKUP(Thu_W2[[#This Row],[Employee Name]],'Base Schedules'!$A$243:$AW$281,37,FALSE)),"")</f>
        <v/>
      </c>
      <c r="AM11" s="184" t="str">
        <f>IFERROR(IF(VLOOKUP(Thu_W2[[#This Row],[Employee Name]],'Base Schedules'!$A$243:$AW$281,38,FALSE)="","",VLOOKUP(Thu_W2[[#This Row],[Employee Name]],'Base Schedules'!$A$243:$AW$281,38,FALSE)),"")</f>
        <v/>
      </c>
      <c r="AN11" s="184" t="str">
        <f>IFERROR(IF(VLOOKUP(Thu_W2[[#This Row],[Employee Name]],'Base Schedules'!$A$243:$AW$281,39,FALSE)="","",VLOOKUP(Thu_W2[[#This Row],[Employee Name]],'Base Schedules'!$A$243:$AW$281,39,FALSE)),"")</f>
        <v/>
      </c>
      <c r="AO11" s="184" t="str">
        <f>IFERROR(IF(VLOOKUP(Thu_W2[[#This Row],[Employee Name]],'Base Schedules'!$A$243:$AW$281,40,FALSE)="","",VLOOKUP(Thu_W2[[#This Row],[Employee Name]],'Base Schedules'!$A$243:$AW$281,40,FALSE)),"")</f>
        <v/>
      </c>
      <c r="AP11" s="184" t="str">
        <f>IFERROR(IF(VLOOKUP(Thu_W2[[#This Row],[Employee Name]],'Base Schedules'!$A$243:$AW$281,41,FALSE)="","",VLOOKUP(Thu_W2[[#This Row],[Employee Name]],'Base Schedules'!$A$243:$AW$281,41,FALSE)),"")</f>
        <v/>
      </c>
      <c r="AQ11" s="184" t="str">
        <f>IFERROR(IF(VLOOKUP(Thu_W2[[#This Row],[Employee Name]],'Base Schedules'!$A$243:$AW$281,42,FALSE)="","",VLOOKUP(Thu_W2[[#This Row],[Employee Name]],'Base Schedules'!$A$243:$AW$281,42,FALSE)),"")</f>
        <v/>
      </c>
      <c r="AR11" s="184" t="str">
        <f>IFERROR(IF(VLOOKUP(Thu_W2[[#This Row],[Employee Name]],'Base Schedules'!$A$243:$AW$281,43,FALSE)="","",VLOOKUP(Thu_W2[[#This Row],[Employee Name]],'Base Schedules'!$A$243:$AW$281,43,FALSE)),"")</f>
        <v/>
      </c>
      <c r="AS11" s="184" t="str">
        <f>IFERROR(IF(VLOOKUP(Thu_W2[[#This Row],[Employee Name]],'Base Schedules'!$A$243:$AW$281,44,FALSE)="","",VLOOKUP(Thu_W2[[#This Row],[Employee Name]],'Base Schedules'!$A$243:$AW$281,44,FALSE)),"")</f>
        <v/>
      </c>
      <c r="AT11" s="184" t="str">
        <f>IFERROR(IF(VLOOKUP(Thu_W2[[#This Row],[Employee Name]],'Base Schedules'!$A$243:$AW$281,45,FALSE)="","",VLOOKUP(Thu_W2[[#This Row],[Employee Name]],'Base Schedules'!$A$243:$AW$281,45,FALSE)),"")</f>
        <v/>
      </c>
      <c r="AU11" s="184" t="str">
        <f>IFERROR(IF(VLOOKUP(Thu_W2[[#This Row],[Employee Name]],'Base Schedules'!$A$243:$AW$281,46,FALSE)="","",VLOOKUP(Thu_W2[[#This Row],[Employee Name]],'Base Schedules'!$A$243:$AW$281,46,FALSE)),"")</f>
        <v/>
      </c>
      <c r="AV11" s="184" t="str">
        <f>IFERROR(IF(VLOOKUP(Thu_W2[[#This Row],[Employee Name]],'Base Schedules'!$A$243:$AW$281,47,FALSE)="","",VLOOKUP(Thu_W2[[#This Row],[Employee Name]],'Base Schedules'!$A$243:$AW$281,47,FALSE)),"")</f>
        <v/>
      </c>
      <c r="AW11" s="184" t="str">
        <f>IFERROR(IF(VLOOKUP(Thu_W2[[#This Row],[Employee Name]],'Base Schedules'!$A$243:$AW$281,48,FALSE)="","",VLOOKUP(Thu_W2[[#This Row],[Employee Name]],'Base Schedules'!$A$243:$AW$281,48,FALSE)),"")</f>
        <v/>
      </c>
      <c r="AX11" s="184" t="str">
        <f>IFERROR(IF(VLOOKUP(Thu_W2[[#This Row],[Employee Name]],'Base Schedules'!$A$243:$AW$281,49,FALSE)="","",VLOOKUP(Thu_W2[[#This Row],[Employee Name]],'Base Schedules'!$A$243:$AW$281,49,FALSE)),"")</f>
        <v/>
      </c>
      <c r="AY11" s="245" t="str">
        <f t="shared" si="2"/>
        <v>Senft, Thomas</v>
      </c>
    </row>
    <row r="12" spans="1:51" s="44" customFormat="1" ht="12" customHeight="1" x14ac:dyDescent="0.2">
      <c r="A12" s="39" t="str">
        <f>IF(B12="","",INDEX(TeamList[],MATCH($B12,TeamList[[Employee Name]:[Employee Name]],0),MATCH("Manager",TeamList[#Headers],0)))</f>
        <v>Ahmed Hassan, Zahra</v>
      </c>
      <c r="B12" s="201" t="s">
        <v>25</v>
      </c>
      <c r="C12" s="257" t="str">
        <f>_xlfn.IFNA(VLOOKUP(Thu_W2[[#This Row],[Employee Name]],'Base Schedules'!A:B,2,FALSE),"")</f>
        <v>Supervisor</v>
      </c>
      <c r="D12" s="274">
        <f>_xlfn.IFNA(VLOOKUP(Thu_W2[[#This Row],[Employee Name]],'Base Schedules'!A:C,3,FALSE),"")</f>
        <v>500</v>
      </c>
      <c r="E12" s="274">
        <f>_xlfn.IFNA(VLOOKUP(Thu_W2[[#This Row],[Employee Name]],'Base Schedules'!A:D,4,FALSE),"")</f>
        <v>1400</v>
      </c>
      <c r="F12" s="142">
        <f>IF(Thu_W2[[#This Row],[Employee Name]]="","",IF(Thu_W2[[#This Row],[Dept]]="Supervisor",COUNTIFS($J12:$AX12,"*HL*",$J12:$AX12,"&lt;&gt;"&amp;"pHL"),COUNTIFS($J12:$AX12,"*HL*",$J12:$AX12,"&lt;&gt;"&amp;"*pHL*",$J12:$AX12,"&lt;&gt;"&amp;"pB1 HL",$J12:$AX12,"&lt;&gt;"&amp;"pB2 HL")-SUM(COUNTIFS($J12:$AX12,"*HL B1*",$J12:$AX12,"&lt;&gt;"&amp;"pHL B1")*0.5,COUNTIFS($J12:$AX12,"*HL B2*",$J12:$AX12,"&lt;&gt;"&amp;"pHL B2")*0.5,COUNTIFS($J12:$AX12,"*B1 HL*",$J12:$AX12,"&lt;&gt;"&amp;"pB1 HL")*0.5,COUNTIFS($J12:$AX12,"*B2 HL*",$J12:$AX12,"&lt;&gt;"&amp;"pB2 HL")*0.5)))</f>
        <v>0</v>
      </c>
      <c r="G12" s="142">
        <f t="shared" si="0"/>
        <v>4</v>
      </c>
      <c r="H12" s="142">
        <f t="shared" si="1"/>
        <v>0</v>
      </c>
      <c r="I12" s="142">
        <f>IF(Thu_W2[[#This Row],[Employee Name]]="","",IF(Thu_W2[[#This Row],[Dept]]="Supervisor",SUM(COUNTIFS($J12:$AX12,"RTA*",$J12:$AX12,"&lt;&gt;"&amp;"pRTA"),COUNTIFS($J12:$AX12,"*CRTA*",$J12:$AX12,"&lt;&gt;"&amp;"pCRTA")),COUNTIFS($J12:$AX12,"*RNNR*",$J12:$AX12,"&lt;&gt;"&amp;"*pRNNR*",$J12:$AX12,"&lt;&gt;"&amp;"pB1 RNNR",$J12:$AX12,"&lt;&gt;"&amp;"pB2 RNNR")-SUM(COUNTIFS($J12:$AX12,"*RNNR B1*",$J12:$AX12,"&lt;&gt;"&amp;"pRNNR B1")*0.5,COUNTIFS($J12:$AX12,"*RNNR B2*",$J12:$AX12,"&lt;&gt;"&amp;"pRNNR B2")*0.5,COUNTIFS($J12:$AX12,"*B1 RNNR*",$J12:$AX12,"&lt;&gt;"&amp;"pB1 RNNR")*0.5,COUNTIFS($J12:$AX12,"*B2 RNNR*",$J12:$AX12,"&lt;&gt;"&amp;"pB2 RNNR")*0.5)))</f>
        <v>0</v>
      </c>
      <c r="J12" s="184" t="str">
        <f>IFERROR(IF(VLOOKUP(Thu_W2[[#This Row],[Employee Name]],'Base Schedules'!$A$243:$AW$281,9,FALSE)="","",VLOOKUP(Thu_W2[[#This Row],[Employee Name]],'Base Schedules'!$A$243:$AW$281,9,FALSE)),"")</f>
        <v>-</v>
      </c>
      <c r="K12" s="184" t="str">
        <f>IFERROR(IF(VLOOKUP(Thu_W2[[#This Row],[Employee Name]],'Base Schedules'!$A$243:$AW$281,10,FALSE)="","",VLOOKUP(Thu_W2[[#This Row],[Employee Name]],'Base Schedules'!$A$243:$AW$281,10,FALSE)),"")</f>
        <v>-</v>
      </c>
      <c r="L12" s="184" t="str">
        <f>IFERROR(IF(VLOOKUP(Thu_W2[[#This Row],[Employee Name]],'Base Schedules'!$A$243:$AW$281,11,FALSE)="","",VLOOKUP(Thu_W2[[#This Row],[Employee Name]],'Base Schedules'!$A$243:$AW$281,11,FALSE)),"")</f>
        <v>-</v>
      </c>
      <c r="M12" s="184" t="str">
        <f>IFERROR(IF(VLOOKUP(Thu_W2[[#This Row],[Employee Name]],'Base Schedules'!$A$243:$AW$281,12,FALSE)="","",VLOOKUP(Thu_W2[[#This Row],[Employee Name]],'Base Schedules'!$A$243:$AW$281,12,FALSE)),"")</f>
        <v>Coaching</v>
      </c>
      <c r="N12" s="184" t="str">
        <f>IFERROR(IF(VLOOKUP(Thu_W2[[#This Row],[Employee Name]],'Base Schedules'!$A$243:$AW$281,13,FALSE)="","",VLOOKUP(Thu_W2[[#This Row],[Employee Name]],'Base Schedules'!$A$243:$AW$281,13,FALSE)),"")</f>
        <v>Coaching</v>
      </c>
      <c r="O12" s="184" t="str">
        <f>IFERROR(IF(VLOOKUP(Thu_W2[[#This Row],[Employee Name]],'Base Schedules'!$A$243:$AW$281,14,FALSE)="","",VLOOKUP(Thu_W2[[#This Row],[Employee Name]],'Base Schedules'!$A$243:$AW$281,14,FALSE)),"")</f>
        <v>Coaching</v>
      </c>
      <c r="P12" s="184" t="str">
        <f>IFERROR(IF(VLOOKUP(Thu_W2[[#This Row],[Employee Name]],'Base Schedules'!$A$243:$AW$281,15,FALSE)="","",VLOOKUP(Thu_W2[[#This Row],[Employee Name]],'Base Schedules'!$A$243:$AW$281,15,FALSE)),"")</f>
        <v>Coaching</v>
      </c>
      <c r="Q12" s="184" t="str">
        <f>IFERROR(IF(VLOOKUP(Thu_W2[[#This Row],[Employee Name]],'Base Schedules'!$A$243:$AW$281,16,FALSE)="","",VLOOKUP(Thu_W2[[#This Row],[Employee Name]],'Base Schedules'!$A$243:$AW$281,16,FALSE)),"")</f>
        <v>-</v>
      </c>
      <c r="R12" s="184" t="str">
        <f>IFERROR(IF(VLOOKUP(Thu_W2[[#This Row],[Employee Name]],'Base Schedules'!$A$243:$AW$281,17,FALSE)="","",VLOOKUP(Thu_W2[[#This Row],[Employee Name]],'Base Schedules'!$A$243:$AW$281,17,FALSE)),"")</f>
        <v>Interview</v>
      </c>
      <c r="S12" s="184" t="str">
        <f>IFERROR(IF(VLOOKUP(Thu_W2[[#This Row],[Employee Name]],'Base Schedules'!$A$243:$AW$281,18,FALSE)="","",VLOOKUP(Thu_W2[[#This Row],[Employee Name]],'Base Schedules'!$A$243:$AW$281,18,FALSE)),"")</f>
        <v>Interview</v>
      </c>
      <c r="T12" s="184" t="str">
        <f>IFERROR(IF(VLOOKUP(Thu_W2[[#This Row],[Employee Name]],'Base Schedules'!$A$243:$AW$281,19,FALSE)="","",VLOOKUP(Thu_W2[[#This Row],[Employee Name]],'Base Schedules'!$A$243:$AW$281,19,FALSE)),"")</f>
        <v>-</v>
      </c>
      <c r="U12" s="184" t="str">
        <f>IFERROR(IF(VLOOKUP(Thu_W2[[#This Row],[Employee Name]],'Base Schedules'!$A$243:$AW$281,20,FALSE)="","",VLOOKUP(Thu_W2[[#This Row],[Employee Name]],'Base Schedules'!$A$243:$AW$281,20,FALSE)),"")</f>
        <v>-</v>
      </c>
      <c r="V12" s="184" t="str">
        <f>IFERROR(IF(VLOOKUP(Thu_W2[[#This Row],[Employee Name]],'Base Schedules'!$A$243:$AW$281,21,FALSE)="","",VLOOKUP(Thu_W2[[#This Row],[Employee Name]],'Base Schedules'!$A$243:$AW$281,21,FALSE)),"")</f>
        <v>-</v>
      </c>
      <c r="W12" s="184" t="str">
        <f>IFERROR(IF(VLOOKUP(Thu_W2[[#This Row],[Employee Name]],'Base Schedules'!$A$243:$AW$281,22,FALSE)="","",VLOOKUP(Thu_W2[[#This Row],[Employee Name]],'Base Schedules'!$A$243:$AW$281,22,FALSE)),"")</f>
        <v>-</v>
      </c>
      <c r="X12" s="184" t="str">
        <f>IFERROR(IF(VLOOKUP(Thu_W2[[#This Row],[Employee Name]],'Base Schedules'!$A$243:$AW$281,23,FALSE)="","",VLOOKUP(Thu_W2[[#This Row],[Employee Name]],'Base Schedules'!$A$243:$AW$281,23,FALSE)),"")</f>
        <v>-</v>
      </c>
      <c r="Y12" s="184" t="str">
        <f>IFERROR(IF(VLOOKUP(Thu_W2[[#This Row],[Employee Name]],'Base Schedules'!$A$243:$AW$281,24,FALSE)="","",VLOOKUP(Thu_W2[[#This Row],[Employee Name]],'Base Schedules'!$A$243:$AW$281,24,FALSE)),"")</f>
        <v>-</v>
      </c>
      <c r="Z12" s="184" t="str">
        <f>IFERROR(IF(VLOOKUP(Thu_W2[[#This Row],[Employee Name]],'Base Schedules'!$A$243:$AW$281,25,FALSE)="","",VLOOKUP(Thu_W2[[#This Row],[Employee Name]],'Base Schedules'!$A$243:$AW$281,25,FALSE)),"")</f>
        <v>-</v>
      </c>
      <c r="AA12" s="184" t="str">
        <f>IFERROR(IF(VLOOKUP(Thu_W2[[#This Row],[Employee Name]],'Base Schedules'!$A$243:$AW$281,26,FALSE)="","",VLOOKUP(Thu_W2[[#This Row],[Employee Name]],'Base Schedules'!$A$243:$AW$281,26,FALSE)),"")</f>
        <v>-</v>
      </c>
      <c r="AB12" s="184" t="str">
        <f>IFERROR(IF(VLOOKUP(Thu_W2[[#This Row],[Employee Name]],'Base Schedules'!$A$243:$AW$281,27,FALSE)="","",VLOOKUP(Thu_W2[[#This Row],[Employee Name]],'Base Schedules'!$A$243:$AW$281,27,FALSE)),"")</f>
        <v/>
      </c>
      <c r="AC12" s="184" t="str">
        <f>IFERROR(IF(VLOOKUP(Thu_W2[[#This Row],[Employee Name]],'Base Schedules'!$A$243:$AW$281,28,FALSE)="","",VLOOKUP(Thu_W2[[#This Row],[Employee Name]],'Base Schedules'!$A$243:$AW$281,28,FALSE)),"")</f>
        <v/>
      </c>
      <c r="AD12" s="184" t="str">
        <f>IFERROR(IF(VLOOKUP(Thu_W2[[#This Row],[Employee Name]],'Base Schedules'!$A$243:$AW$281,29,FALSE)="","",VLOOKUP(Thu_W2[[#This Row],[Employee Name]],'Base Schedules'!$A$243:$AW$281,29,FALSE)),"")</f>
        <v/>
      </c>
      <c r="AE12" s="184" t="str">
        <f>IFERROR(IF(VLOOKUP(Thu_W2[[#This Row],[Employee Name]],'Base Schedules'!$A$243:$AW$281,30,FALSE)="","",VLOOKUP(Thu_W2[[#This Row],[Employee Name]],'Base Schedules'!$A$243:$AW$281,30,FALSE)),"")</f>
        <v/>
      </c>
      <c r="AF12" s="184" t="str">
        <f>IFERROR(IF(VLOOKUP(Thu_W2[[#This Row],[Employee Name]],'Base Schedules'!$A$243:$AW$281,31,FALSE)="","",VLOOKUP(Thu_W2[[#This Row],[Employee Name]],'Base Schedules'!$A$243:$AW$281,31,FALSE)),"")</f>
        <v/>
      </c>
      <c r="AG12" s="184" t="str">
        <f>IFERROR(IF(VLOOKUP(Thu_W2[[#This Row],[Employee Name]],'Base Schedules'!$A$243:$AW$281,32,FALSE)="","",VLOOKUP(Thu_W2[[#This Row],[Employee Name]],'Base Schedules'!$A$243:$AW$281,32,FALSE)),"")</f>
        <v/>
      </c>
      <c r="AH12" s="184" t="str">
        <f>IFERROR(IF(VLOOKUP(Thu_W2[[#This Row],[Employee Name]],'Base Schedules'!$A$243:$AW$281,33,FALSE)="","",VLOOKUP(Thu_W2[[#This Row],[Employee Name]],'Base Schedules'!$A$243:$AW$281,33,FALSE)),"")</f>
        <v/>
      </c>
      <c r="AI12" s="184" t="str">
        <f>IFERROR(IF(VLOOKUP(Thu_W2[[#This Row],[Employee Name]],'Base Schedules'!$A$243:$AW$281,34,FALSE)="","",VLOOKUP(Thu_W2[[#This Row],[Employee Name]],'Base Schedules'!$A$243:$AW$281,34,FALSE)),"")</f>
        <v/>
      </c>
      <c r="AJ12" s="184" t="str">
        <f>IFERROR(IF(VLOOKUP(Thu_W2[[#This Row],[Employee Name]],'Base Schedules'!$A$243:$AW$281,35,FALSE)="","",VLOOKUP(Thu_W2[[#This Row],[Employee Name]],'Base Schedules'!$A$243:$AW$281,35,FALSE)),"")</f>
        <v/>
      </c>
      <c r="AK12" s="184" t="str">
        <f>IFERROR(IF(VLOOKUP(Thu_W2[[#This Row],[Employee Name]],'Base Schedules'!$A$243:$AW$281,36,FALSE)="","",VLOOKUP(Thu_W2[[#This Row],[Employee Name]],'Base Schedules'!$A$243:$AW$281,36,FALSE)),"")</f>
        <v/>
      </c>
      <c r="AL12" s="184" t="str">
        <f>IFERROR(IF(VLOOKUP(Thu_W2[[#This Row],[Employee Name]],'Base Schedules'!$A$243:$AW$281,37,FALSE)="","",VLOOKUP(Thu_W2[[#This Row],[Employee Name]],'Base Schedules'!$A$243:$AW$281,37,FALSE)),"")</f>
        <v/>
      </c>
      <c r="AM12" s="184" t="str">
        <f>IFERROR(IF(VLOOKUP(Thu_W2[[#This Row],[Employee Name]],'Base Schedules'!$A$243:$AW$281,38,FALSE)="","",VLOOKUP(Thu_W2[[#This Row],[Employee Name]],'Base Schedules'!$A$243:$AW$281,38,FALSE)),"")</f>
        <v/>
      </c>
      <c r="AN12" s="184" t="str">
        <f>IFERROR(IF(VLOOKUP(Thu_W2[[#This Row],[Employee Name]],'Base Schedules'!$A$243:$AW$281,39,FALSE)="","",VLOOKUP(Thu_W2[[#This Row],[Employee Name]],'Base Schedules'!$A$243:$AW$281,39,FALSE)),"")</f>
        <v/>
      </c>
      <c r="AO12" s="184" t="str">
        <f>IFERROR(IF(VLOOKUP(Thu_W2[[#This Row],[Employee Name]],'Base Schedules'!$A$243:$AW$281,40,FALSE)="","",VLOOKUP(Thu_W2[[#This Row],[Employee Name]],'Base Schedules'!$A$243:$AW$281,40,FALSE)),"")</f>
        <v/>
      </c>
      <c r="AP12" s="184" t="str">
        <f>IFERROR(IF(VLOOKUP(Thu_W2[[#This Row],[Employee Name]],'Base Schedules'!$A$243:$AW$281,41,FALSE)="","",VLOOKUP(Thu_W2[[#This Row],[Employee Name]],'Base Schedules'!$A$243:$AW$281,41,FALSE)),"")</f>
        <v/>
      </c>
      <c r="AQ12" s="184" t="str">
        <f>IFERROR(IF(VLOOKUP(Thu_W2[[#This Row],[Employee Name]],'Base Schedules'!$A$243:$AW$281,42,FALSE)="","",VLOOKUP(Thu_W2[[#This Row],[Employee Name]],'Base Schedules'!$A$243:$AW$281,42,FALSE)),"")</f>
        <v/>
      </c>
      <c r="AR12" s="184" t="str">
        <f>IFERROR(IF(VLOOKUP(Thu_W2[[#This Row],[Employee Name]],'Base Schedules'!$A$243:$AW$281,43,FALSE)="","",VLOOKUP(Thu_W2[[#This Row],[Employee Name]],'Base Schedules'!$A$243:$AW$281,43,FALSE)),"")</f>
        <v/>
      </c>
      <c r="AS12" s="184" t="str">
        <f>IFERROR(IF(VLOOKUP(Thu_W2[[#This Row],[Employee Name]],'Base Schedules'!$A$243:$AW$281,44,FALSE)="","",VLOOKUP(Thu_W2[[#This Row],[Employee Name]],'Base Schedules'!$A$243:$AW$281,44,FALSE)),"")</f>
        <v/>
      </c>
      <c r="AT12" s="184" t="str">
        <f>IFERROR(IF(VLOOKUP(Thu_W2[[#This Row],[Employee Name]],'Base Schedules'!$A$243:$AW$281,45,FALSE)="","",VLOOKUP(Thu_W2[[#This Row],[Employee Name]],'Base Schedules'!$A$243:$AW$281,45,FALSE)),"")</f>
        <v/>
      </c>
      <c r="AU12" s="184" t="str">
        <f>IFERROR(IF(VLOOKUP(Thu_W2[[#This Row],[Employee Name]],'Base Schedules'!$A$243:$AW$281,46,FALSE)="","",VLOOKUP(Thu_W2[[#This Row],[Employee Name]],'Base Schedules'!$A$243:$AW$281,46,FALSE)),"")</f>
        <v/>
      </c>
      <c r="AV12" s="184" t="str">
        <f>IFERROR(IF(VLOOKUP(Thu_W2[[#This Row],[Employee Name]],'Base Schedules'!$A$243:$AW$281,47,FALSE)="","",VLOOKUP(Thu_W2[[#This Row],[Employee Name]],'Base Schedules'!$A$243:$AW$281,47,FALSE)),"")</f>
        <v/>
      </c>
      <c r="AW12" s="184" t="str">
        <f>IFERROR(IF(VLOOKUP(Thu_W2[[#This Row],[Employee Name]],'Base Schedules'!$A$243:$AW$281,48,FALSE)="","",VLOOKUP(Thu_W2[[#This Row],[Employee Name]],'Base Schedules'!$A$243:$AW$281,48,FALSE)),"")</f>
        <v/>
      </c>
      <c r="AX12" s="184" t="str">
        <f>IFERROR(IF(VLOOKUP(Thu_W2[[#This Row],[Employee Name]],'Base Schedules'!$A$243:$AW$281,49,FALSE)="","",VLOOKUP(Thu_W2[[#This Row],[Employee Name]],'Base Schedules'!$A$243:$AW$281,49,FALSE)),"")</f>
        <v/>
      </c>
      <c r="AY12" s="245" t="str">
        <f t="shared" si="2"/>
        <v>Oates, Eleanor</v>
      </c>
    </row>
    <row r="13" spans="1:51" s="44" customFormat="1" ht="12" customHeight="1" x14ac:dyDescent="0.2">
      <c r="A13" s="39" t="str">
        <f>IF(B13="","",INDEX(TeamList[],MATCH($B13,TeamList[[Employee Name]:[Employee Name]],0),MATCH("Manager",TeamList[#Headers],0)))</f>
        <v>Olson, Katherine</v>
      </c>
      <c r="B13" s="201" t="s">
        <v>32</v>
      </c>
      <c r="C13" s="257" t="str">
        <f>_xlfn.IFNA(VLOOKUP(Thu_W2[[#This Row],[Employee Name]],'Base Schedules'!A:B,2,FALSE),"")</f>
        <v>Supervisor</v>
      </c>
      <c r="D13" s="274">
        <f>_xlfn.IFNA(VLOOKUP(Thu_W2[[#This Row],[Employee Name]],'Base Schedules'!A:C,3,FALSE),"")</f>
        <v>500</v>
      </c>
      <c r="E13" s="274">
        <f>_xlfn.IFNA(VLOOKUP(Thu_W2[[#This Row],[Employee Name]],'Base Schedules'!A:D,4,FALSE),"")</f>
        <v>1400</v>
      </c>
      <c r="F13" s="142">
        <f>IF(Thu_W2[[#This Row],[Employee Name]]="","",IF(Thu_W2[[#This Row],[Dept]]="Supervisor",COUNTIFS($J13:$AX13,"*HL*",$J13:$AX13,"&lt;&gt;"&amp;"pHL"),COUNTIFS($J13:$AX13,"*HL*",$J13:$AX13,"&lt;&gt;"&amp;"*pHL*",$J13:$AX13,"&lt;&gt;"&amp;"pB1 HL",$J13:$AX13,"&lt;&gt;"&amp;"pB2 HL")-SUM(COUNTIFS($J13:$AX13,"*HL B1*",$J13:$AX13,"&lt;&gt;"&amp;"pHL B1")*0.5,COUNTIFS($J13:$AX13,"*HL B2*",$J13:$AX13,"&lt;&gt;"&amp;"pHL B2")*0.5,COUNTIFS($J13:$AX13,"*B1 HL*",$J13:$AX13,"&lt;&gt;"&amp;"pB1 HL")*0.5,COUNTIFS($J13:$AX13,"*B2 HL*",$J13:$AX13,"&lt;&gt;"&amp;"pB2 HL")*0.5)))</f>
        <v>0</v>
      </c>
      <c r="G13" s="142">
        <f t="shared" si="0"/>
        <v>4</v>
      </c>
      <c r="H13" s="142">
        <f t="shared" si="1"/>
        <v>0</v>
      </c>
      <c r="I13" s="142">
        <f>IF(Thu_W2[[#This Row],[Employee Name]]="","",IF(Thu_W2[[#This Row],[Dept]]="Supervisor",SUM(COUNTIFS($J13:$AX13,"RTA*",$J13:$AX13,"&lt;&gt;"&amp;"pRTA"),COUNTIFS($J13:$AX13,"*CRTA*",$J13:$AX13,"&lt;&gt;"&amp;"pCRTA")),COUNTIFS($J13:$AX13,"*RNNR*",$J13:$AX13,"&lt;&gt;"&amp;"*pRNNR*",$J13:$AX13,"&lt;&gt;"&amp;"pB1 RNNR",$J13:$AX13,"&lt;&gt;"&amp;"pB2 RNNR")-SUM(COUNTIFS($J13:$AX13,"*RNNR B1*",$J13:$AX13,"&lt;&gt;"&amp;"pRNNR B1")*0.5,COUNTIFS($J13:$AX13,"*RNNR B2*",$J13:$AX13,"&lt;&gt;"&amp;"pRNNR B2")*0.5,COUNTIFS($J13:$AX13,"*B1 RNNR*",$J13:$AX13,"&lt;&gt;"&amp;"pB1 RNNR")*0.5,COUNTIFS($J13:$AX13,"*B2 RNNR*",$J13:$AX13,"&lt;&gt;"&amp;"pB2 RNNR")*0.5)))</f>
        <v>0</v>
      </c>
      <c r="J13" s="184" t="str">
        <f>IFERROR(IF(VLOOKUP(Thu_W2[[#This Row],[Employee Name]],'Base Schedules'!$A$243:$AW$281,9,FALSE)="","",VLOOKUP(Thu_W2[[#This Row],[Employee Name]],'Base Schedules'!$A$243:$AW$281,9,FALSE)),"")</f>
        <v>-</v>
      </c>
      <c r="K13" s="184" t="str">
        <f>IFERROR(IF(VLOOKUP(Thu_W2[[#This Row],[Employee Name]],'Base Schedules'!$A$243:$AW$281,10,FALSE)="","",VLOOKUP(Thu_W2[[#This Row],[Employee Name]],'Base Schedules'!$A$243:$AW$281,10,FALSE)),"")</f>
        <v>-</v>
      </c>
      <c r="L13" s="184" t="str">
        <f>IFERROR(IF(VLOOKUP(Thu_W2[[#This Row],[Employee Name]],'Base Schedules'!$A$243:$AW$281,11,FALSE)="","",VLOOKUP(Thu_W2[[#This Row],[Employee Name]],'Base Schedules'!$A$243:$AW$281,11,FALSE)),"")</f>
        <v>-</v>
      </c>
      <c r="M13" s="184" t="str">
        <f>IFERROR(IF(VLOOKUP(Thu_W2[[#This Row],[Employee Name]],'Base Schedules'!$A$243:$AW$281,12,FALSE)="","",VLOOKUP(Thu_W2[[#This Row],[Employee Name]],'Base Schedules'!$A$243:$AW$281,12,FALSE)),"")</f>
        <v>-</v>
      </c>
      <c r="N13" s="184" t="str">
        <f>IFERROR(IF(VLOOKUP(Thu_W2[[#This Row],[Employee Name]],'Base Schedules'!$A$243:$AW$281,13,FALSE)="","",VLOOKUP(Thu_W2[[#This Row],[Employee Name]],'Base Schedules'!$A$243:$AW$281,13,FALSE)),"")</f>
        <v>-</v>
      </c>
      <c r="O13" s="184" t="str">
        <f>IFERROR(IF(VLOOKUP(Thu_W2[[#This Row],[Employee Name]],'Base Schedules'!$A$243:$AW$281,14,FALSE)="","",VLOOKUP(Thu_W2[[#This Row],[Employee Name]],'Base Schedules'!$A$243:$AW$281,14,FALSE)),"")</f>
        <v>-</v>
      </c>
      <c r="P13" s="184" t="str">
        <f>IFERROR(IF(VLOOKUP(Thu_W2[[#This Row],[Employee Name]],'Base Schedules'!$A$243:$AW$281,15,FALSE)="","",VLOOKUP(Thu_W2[[#This Row],[Employee Name]],'Base Schedules'!$A$243:$AW$281,15,FALSE)),"")</f>
        <v>Interview</v>
      </c>
      <c r="Q13" s="184" t="str">
        <f>IFERROR(IF(VLOOKUP(Thu_W2[[#This Row],[Employee Name]],'Base Schedules'!$A$243:$AW$281,16,FALSE)="","",VLOOKUP(Thu_W2[[#This Row],[Employee Name]],'Base Schedules'!$A$243:$AW$281,16,FALSE)),"")</f>
        <v>Interview</v>
      </c>
      <c r="R13" s="184" t="str">
        <f>IFERROR(IF(VLOOKUP(Thu_W2[[#This Row],[Employee Name]],'Base Schedules'!$A$243:$AW$281,17,FALSE)="","",VLOOKUP(Thu_W2[[#This Row],[Employee Name]],'Base Schedules'!$A$243:$AW$281,17,FALSE)),"")</f>
        <v>-</v>
      </c>
      <c r="S13" s="184" t="str">
        <f>IFERROR(IF(VLOOKUP(Thu_W2[[#This Row],[Employee Name]],'Base Schedules'!$A$243:$AW$281,18,FALSE)="","",VLOOKUP(Thu_W2[[#This Row],[Employee Name]],'Base Schedules'!$A$243:$AW$281,18,FALSE)),"")</f>
        <v>-</v>
      </c>
      <c r="T13" s="184" t="str">
        <f>IFERROR(IF(VLOOKUP(Thu_W2[[#This Row],[Employee Name]],'Base Schedules'!$A$243:$AW$281,19,FALSE)="","",VLOOKUP(Thu_W2[[#This Row],[Employee Name]],'Base Schedules'!$A$243:$AW$281,19,FALSE)),"")</f>
        <v>Coaching</v>
      </c>
      <c r="U13" s="184" t="str">
        <f>IFERROR(IF(VLOOKUP(Thu_W2[[#This Row],[Employee Name]],'Base Schedules'!$A$243:$AW$281,20,FALSE)="","",VLOOKUP(Thu_W2[[#This Row],[Employee Name]],'Base Schedules'!$A$243:$AW$281,20,FALSE)),"")</f>
        <v>Coaching</v>
      </c>
      <c r="V13" s="184" t="str">
        <f>IFERROR(IF(VLOOKUP(Thu_W2[[#This Row],[Employee Name]],'Base Schedules'!$A$243:$AW$281,21,FALSE)="","",VLOOKUP(Thu_W2[[#This Row],[Employee Name]],'Base Schedules'!$A$243:$AW$281,21,FALSE)),"")</f>
        <v>Coaching</v>
      </c>
      <c r="W13" s="184" t="str">
        <f>IFERROR(IF(VLOOKUP(Thu_W2[[#This Row],[Employee Name]],'Base Schedules'!$A$243:$AW$281,22,FALSE)="","",VLOOKUP(Thu_W2[[#This Row],[Employee Name]],'Base Schedules'!$A$243:$AW$281,22,FALSE)),"")</f>
        <v>Coaching</v>
      </c>
      <c r="X13" s="184" t="str">
        <f>IFERROR(IF(VLOOKUP(Thu_W2[[#This Row],[Employee Name]],'Base Schedules'!$A$243:$AW$281,23,FALSE)="","",VLOOKUP(Thu_W2[[#This Row],[Employee Name]],'Base Schedules'!$A$243:$AW$281,23,FALSE)),"")</f>
        <v>-</v>
      </c>
      <c r="Y13" s="184" t="str">
        <f>IFERROR(IF(VLOOKUP(Thu_W2[[#This Row],[Employee Name]],'Base Schedules'!$A$243:$AW$281,24,FALSE)="","",VLOOKUP(Thu_W2[[#This Row],[Employee Name]],'Base Schedules'!$A$243:$AW$281,24,FALSE)),"")</f>
        <v>-</v>
      </c>
      <c r="Z13" s="184" t="str">
        <f>IFERROR(IF(VLOOKUP(Thu_W2[[#This Row],[Employee Name]],'Base Schedules'!$A$243:$AW$281,25,FALSE)="","",VLOOKUP(Thu_W2[[#This Row],[Employee Name]],'Base Schedules'!$A$243:$AW$281,25,FALSE)),"")</f>
        <v>-</v>
      </c>
      <c r="AA13" s="184" t="str">
        <f>IFERROR(IF(VLOOKUP(Thu_W2[[#This Row],[Employee Name]],'Base Schedules'!$A$243:$AW$281,26,FALSE)="","",VLOOKUP(Thu_W2[[#This Row],[Employee Name]],'Base Schedules'!$A$243:$AW$281,26,FALSE)),"")</f>
        <v>-</v>
      </c>
      <c r="AB13" s="184" t="str">
        <f>IFERROR(IF(VLOOKUP(Thu_W2[[#This Row],[Employee Name]],'Base Schedules'!$A$243:$AW$281,27,FALSE)="","",VLOOKUP(Thu_W2[[#This Row],[Employee Name]],'Base Schedules'!$A$243:$AW$281,27,FALSE)),"")</f>
        <v/>
      </c>
      <c r="AC13" s="184" t="str">
        <f>IFERROR(IF(VLOOKUP(Thu_W2[[#This Row],[Employee Name]],'Base Schedules'!$A$243:$AW$281,28,FALSE)="","",VLOOKUP(Thu_W2[[#This Row],[Employee Name]],'Base Schedules'!$A$243:$AW$281,28,FALSE)),"")</f>
        <v/>
      </c>
      <c r="AD13" s="184" t="str">
        <f>IFERROR(IF(VLOOKUP(Thu_W2[[#This Row],[Employee Name]],'Base Schedules'!$A$243:$AW$281,29,FALSE)="","",VLOOKUP(Thu_W2[[#This Row],[Employee Name]],'Base Schedules'!$A$243:$AW$281,29,FALSE)),"")</f>
        <v/>
      </c>
      <c r="AE13" s="184" t="str">
        <f>IFERROR(IF(VLOOKUP(Thu_W2[[#This Row],[Employee Name]],'Base Schedules'!$A$243:$AW$281,30,FALSE)="","",VLOOKUP(Thu_W2[[#This Row],[Employee Name]],'Base Schedules'!$A$243:$AW$281,30,FALSE)),"")</f>
        <v/>
      </c>
      <c r="AF13" s="184" t="str">
        <f>IFERROR(IF(VLOOKUP(Thu_W2[[#This Row],[Employee Name]],'Base Schedules'!$A$243:$AW$281,31,FALSE)="","",VLOOKUP(Thu_W2[[#This Row],[Employee Name]],'Base Schedules'!$A$243:$AW$281,31,FALSE)),"")</f>
        <v/>
      </c>
      <c r="AG13" s="184" t="str">
        <f>IFERROR(IF(VLOOKUP(Thu_W2[[#This Row],[Employee Name]],'Base Schedules'!$A$243:$AW$281,32,FALSE)="","",VLOOKUP(Thu_W2[[#This Row],[Employee Name]],'Base Schedules'!$A$243:$AW$281,32,FALSE)),"")</f>
        <v/>
      </c>
      <c r="AH13" s="184" t="str">
        <f>IFERROR(IF(VLOOKUP(Thu_W2[[#This Row],[Employee Name]],'Base Schedules'!$A$243:$AW$281,33,FALSE)="","",VLOOKUP(Thu_W2[[#This Row],[Employee Name]],'Base Schedules'!$A$243:$AW$281,33,FALSE)),"")</f>
        <v/>
      </c>
      <c r="AI13" s="184" t="str">
        <f>IFERROR(IF(VLOOKUP(Thu_W2[[#This Row],[Employee Name]],'Base Schedules'!$A$243:$AW$281,34,FALSE)="","",VLOOKUP(Thu_W2[[#This Row],[Employee Name]],'Base Schedules'!$A$243:$AW$281,34,FALSE)),"")</f>
        <v/>
      </c>
      <c r="AJ13" s="184" t="str">
        <f>IFERROR(IF(VLOOKUP(Thu_W2[[#This Row],[Employee Name]],'Base Schedules'!$A$243:$AW$281,35,FALSE)="","",VLOOKUP(Thu_W2[[#This Row],[Employee Name]],'Base Schedules'!$A$243:$AW$281,35,FALSE)),"")</f>
        <v/>
      </c>
      <c r="AK13" s="184" t="str">
        <f>IFERROR(IF(VLOOKUP(Thu_W2[[#This Row],[Employee Name]],'Base Schedules'!$A$243:$AW$281,36,FALSE)="","",VLOOKUP(Thu_W2[[#This Row],[Employee Name]],'Base Schedules'!$A$243:$AW$281,36,FALSE)),"")</f>
        <v/>
      </c>
      <c r="AL13" s="184" t="str">
        <f>IFERROR(IF(VLOOKUP(Thu_W2[[#This Row],[Employee Name]],'Base Schedules'!$A$243:$AW$281,37,FALSE)="","",VLOOKUP(Thu_W2[[#This Row],[Employee Name]],'Base Schedules'!$A$243:$AW$281,37,FALSE)),"")</f>
        <v/>
      </c>
      <c r="AM13" s="184" t="str">
        <f>IFERROR(IF(VLOOKUP(Thu_W2[[#This Row],[Employee Name]],'Base Schedules'!$A$243:$AW$281,38,FALSE)="","",VLOOKUP(Thu_W2[[#This Row],[Employee Name]],'Base Schedules'!$A$243:$AW$281,38,FALSE)),"")</f>
        <v/>
      </c>
      <c r="AN13" s="184" t="str">
        <f>IFERROR(IF(VLOOKUP(Thu_W2[[#This Row],[Employee Name]],'Base Schedules'!$A$243:$AW$281,39,FALSE)="","",VLOOKUP(Thu_W2[[#This Row],[Employee Name]],'Base Schedules'!$A$243:$AW$281,39,FALSE)),"")</f>
        <v/>
      </c>
      <c r="AO13" s="184" t="str">
        <f>IFERROR(IF(VLOOKUP(Thu_W2[[#This Row],[Employee Name]],'Base Schedules'!$A$243:$AW$281,40,FALSE)="","",VLOOKUP(Thu_W2[[#This Row],[Employee Name]],'Base Schedules'!$A$243:$AW$281,40,FALSE)),"")</f>
        <v/>
      </c>
      <c r="AP13" s="184" t="str">
        <f>IFERROR(IF(VLOOKUP(Thu_W2[[#This Row],[Employee Name]],'Base Schedules'!$A$243:$AW$281,41,FALSE)="","",VLOOKUP(Thu_W2[[#This Row],[Employee Name]],'Base Schedules'!$A$243:$AW$281,41,FALSE)),"")</f>
        <v/>
      </c>
      <c r="AQ13" s="184" t="str">
        <f>IFERROR(IF(VLOOKUP(Thu_W2[[#This Row],[Employee Name]],'Base Schedules'!$A$243:$AW$281,42,FALSE)="","",VLOOKUP(Thu_W2[[#This Row],[Employee Name]],'Base Schedules'!$A$243:$AW$281,42,FALSE)),"")</f>
        <v/>
      </c>
      <c r="AR13" s="184" t="str">
        <f>IFERROR(IF(VLOOKUP(Thu_W2[[#This Row],[Employee Name]],'Base Schedules'!$A$243:$AW$281,43,FALSE)="","",VLOOKUP(Thu_W2[[#This Row],[Employee Name]],'Base Schedules'!$A$243:$AW$281,43,FALSE)),"")</f>
        <v/>
      </c>
      <c r="AS13" s="184" t="str">
        <f>IFERROR(IF(VLOOKUP(Thu_W2[[#This Row],[Employee Name]],'Base Schedules'!$A$243:$AW$281,44,FALSE)="","",VLOOKUP(Thu_W2[[#This Row],[Employee Name]],'Base Schedules'!$A$243:$AW$281,44,FALSE)),"")</f>
        <v/>
      </c>
      <c r="AT13" s="184" t="str">
        <f>IFERROR(IF(VLOOKUP(Thu_W2[[#This Row],[Employee Name]],'Base Schedules'!$A$243:$AW$281,45,FALSE)="","",VLOOKUP(Thu_W2[[#This Row],[Employee Name]],'Base Schedules'!$A$243:$AW$281,45,FALSE)),"")</f>
        <v/>
      </c>
      <c r="AU13" s="184" t="str">
        <f>IFERROR(IF(VLOOKUP(Thu_W2[[#This Row],[Employee Name]],'Base Schedules'!$A$243:$AW$281,46,FALSE)="","",VLOOKUP(Thu_W2[[#This Row],[Employee Name]],'Base Schedules'!$A$243:$AW$281,46,FALSE)),"")</f>
        <v/>
      </c>
      <c r="AV13" s="184" t="str">
        <f>IFERROR(IF(VLOOKUP(Thu_W2[[#This Row],[Employee Name]],'Base Schedules'!$A$243:$AW$281,47,FALSE)="","",VLOOKUP(Thu_W2[[#This Row],[Employee Name]],'Base Schedules'!$A$243:$AW$281,47,FALSE)),"")</f>
        <v/>
      </c>
      <c r="AW13" s="184" t="str">
        <f>IFERROR(IF(VLOOKUP(Thu_W2[[#This Row],[Employee Name]],'Base Schedules'!$A$243:$AW$281,48,FALSE)="","",VLOOKUP(Thu_W2[[#This Row],[Employee Name]],'Base Schedules'!$A$243:$AW$281,48,FALSE)),"")</f>
        <v/>
      </c>
      <c r="AX13" s="184" t="str">
        <f>IFERROR(IF(VLOOKUP(Thu_W2[[#This Row],[Employee Name]],'Base Schedules'!$A$243:$AW$281,49,FALSE)="","",VLOOKUP(Thu_W2[[#This Row],[Employee Name]],'Base Schedules'!$A$243:$AW$281,49,FALSE)),"")</f>
        <v/>
      </c>
      <c r="AY13" s="245" t="str">
        <f t="shared" si="2"/>
        <v>Alvarez, Carlos</v>
      </c>
    </row>
    <row r="14" spans="1:51" s="44" customFormat="1" ht="12" customHeight="1" x14ac:dyDescent="0.2">
      <c r="A14" s="39" t="str">
        <f>IF(B14="","",INDEX(TeamList[],MATCH($B14,TeamList[[Employee Name]:[Employee Name]],0),MATCH("Manager",TeamList[#Headers],0)))</f>
        <v>Olson, Katherine</v>
      </c>
      <c r="B14" s="201" t="s">
        <v>44</v>
      </c>
      <c r="C14" s="257" t="str">
        <f>_xlfn.IFNA(VLOOKUP(Thu_W2[[#This Row],[Employee Name]],'Base Schedules'!A:B,2,FALSE),"")</f>
        <v>Lead</v>
      </c>
      <c r="D14" s="274">
        <f>_xlfn.IFNA(VLOOKUP(Thu_W2[[#This Row],[Employee Name]],'Base Schedules'!A:C,3,FALSE),"")</f>
        <v>530</v>
      </c>
      <c r="E14" s="274">
        <f>_xlfn.IFNA(VLOOKUP(Thu_W2[[#This Row],[Employee Name]],'Base Schedules'!A:D,4,FALSE),"")</f>
        <v>1400</v>
      </c>
      <c r="F14" s="142">
        <f>IF(Thu_W2[[#This Row],[Employee Name]]="","",IF(Thu_W2[[#This Row],[Dept]]="Supervisor",COUNTIFS($J14:$AX14,"*HL*",$J14:$AX14,"&lt;&gt;"&amp;"pHL"),COUNTIFS($J14:$AX14,"*HL*",$J14:$AX14,"&lt;&gt;"&amp;"*pHL*",$J14:$AX14,"&lt;&gt;"&amp;"pB1 HL",$J14:$AX14,"&lt;&gt;"&amp;"pB2 HL")-SUM(COUNTIFS($J14:$AX14,"*HL B1*",$J14:$AX14,"&lt;&gt;"&amp;"pHL B1")*0.5,COUNTIFS($J14:$AX14,"*HL B2*",$J14:$AX14,"&lt;&gt;"&amp;"pHL B2")*0.5,COUNTIFS($J14:$AX14,"*B1 HL*",$J14:$AX14,"&lt;&gt;"&amp;"pB1 HL")*0.5,COUNTIFS($J14:$AX14,"*B2 HL*",$J14:$AX14,"&lt;&gt;"&amp;"pB2 HL")*0.5)))</f>
        <v>4.5</v>
      </c>
      <c r="G14" s="142">
        <f t="shared" si="0"/>
        <v>0</v>
      </c>
      <c r="H14" s="142">
        <f t="shared" si="1"/>
        <v>9</v>
      </c>
      <c r="I14" s="142">
        <f>IF(Thu_W2[[#This Row],[Employee Name]]="","",IF(Thu_W2[[#This Row],[Dept]]="Supervisor",SUM(COUNTIFS($J14:$AX14,"RTA*",$J14:$AX14,"&lt;&gt;"&amp;"pRTA"),COUNTIFS($J14:$AX14,"*CRTA*",$J14:$AX14,"&lt;&gt;"&amp;"pCRTA")),COUNTIFS($J14:$AX14,"*RNNR*",$J14:$AX14,"&lt;&gt;"&amp;"*pRNNR*",$J14:$AX14,"&lt;&gt;"&amp;"pB1 RNNR",$J14:$AX14,"&lt;&gt;"&amp;"pB2 RNNR")-SUM(COUNTIFS($J14:$AX14,"*RNNR B1*",$J14:$AX14,"&lt;&gt;"&amp;"pRNNR B1")*0.5,COUNTIFS($J14:$AX14,"*RNNR B2*",$J14:$AX14,"&lt;&gt;"&amp;"pRNNR B2")*0.5,COUNTIFS($J14:$AX14,"*B1 RNNR*",$J14:$AX14,"&lt;&gt;"&amp;"pB1 RNNR")*0.5,COUNTIFS($J14:$AX14,"*B2 RNNR*",$J14:$AX14,"&lt;&gt;"&amp;"pB2 RNNR")*0.5)))</f>
        <v>2</v>
      </c>
      <c r="J14" s="184" t="str">
        <f>IFERROR(IF(VLOOKUP(Thu_W2[[#This Row],[Employee Name]],'Base Schedules'!$A$243:$AW$281,9,FALSE)="","",VLOOKUP(Thu_W2[[#This Row],[Employee Name]],'Base Schedules'!$A$243:$AW$281,9,FALSE)),"")</f>
        <v/>
      </c>
      <c r="K14" s="184" t="str">
        <f>IFERROR(IF(VLOOKUP(Thu_W2[[#This Row],[Employee Name]],'Base Schedules'!$A$243:$AW$281,10,FALSE)="","",VLOOKUP(Thu_W2[[#This Row],[Employee Name]],'Base Schedules'!$A$243:$AW$281,10,FALSE)),"")</f>
        <v>ADM</v>
      </c>
      <c r="L14" s="184" t="str">
        <f>IFERROR(IF(VLOOKUP(Thu_W2[[#This Row],[Employee Name]],'Base Schedules'!$A$243:$AW$281,11,FALSE)="","",VLOOKUP(Thu_W2[[#This Row],[Employee Name]],'Base Schedules'!$A$243:$AW$281,11,FALSE)),"")</f>
        <v>ADM</v>
      </c>
      <c r="M14" s="184" t="str">
        <f>IFERROR(IF(VLOOKUP(Thu_W2[[#This Row],[Employee Name]],'Base Schedules'!$A$243:$AW$281,12,FALSE)="","",VLOOKUP(Thu_W2[[#This Row],[Employee Name]],'Base Schedules'!$A$243:$AW$281,12,FALSE)),"")</f>
        <v>ADM</v>
      </c>
      <c r="N14" s="184" t="str">
        <f>IFERROR(IF(VLOOKUP(Thu_W2[[#This Row],[Employee Name]],'Base Schedules'!$A$243:$AW$281,13,FALSE)="","",VLOOKUP(Thu_W2[[#This Row],[Employee Name]],'Base Schedules'!$A$243:$AW$281,13,FALSE)),"")</f>
        <v>ADM</v>
      </c>
      <c r="O14" s="184" t="str">
        <f>IFERROR(IF(VLOOKUP(Thu_W2[[#This Row],[Employee Name]],'Base Schedules'!$A$243:$AW$281,14,FALSE)="","",VLOOKUP(Thu_W2[[#This Row],[Employee Name]],'Base Schedules'!$A$243:$AW$281,14,FALSE)),"")</f>
        <v>B1 HL</v>
      </c>
      <c r="P14" s="184" t="str">
        <f>IFERROR(IF(VLOOKUP(Thu_W2[[#This Row],[Employee Name]],'Base Schedules'!$A$243:$AW$281,15,FALSE)="","",VLOOKUP(Thu_W2[[#This Row],[Employee Name]],'Base Schedules'!$A$243:$AW$281,15,FALSE)),"")</f>
        <v>HL</v>
      </c>
      <c r="Q14" s="184" t="str">
        <f>IFERROR(IF(VLOOKUP(Thu_W2[[#This Row],[Employee Name]],'Base Schedules'!$A$243:$AW$281,16,FALSE)="","",VLOOKUP(Thu_W2[[#This Row],[Employee Name]],'Base Schedules'!$A$243:$AW$281,16,FALSE)),"")</f>
        <v>HL</v>
      </c>
      <c r="R14" s="184" t="str">
        <f>IFERROR(IF(VLOOKUP(Thu_W2[[#This Row],[Employee Name]],'Base Schedules'!$A$243:$AW$281,17,FALSE)="","",VLOOKUP(Thu_W2[[#This Row],[Employee Name]],'Base Schedules'!$A$243:$AW$281,17,FALSE)),"")</f>
        <v>RNNR</v>
      </c>
      <c r="S14" s="184" t="str">
        <f>IFERROR(IF(VLOOKUP(Thu_W2[[#This Row],[Employee Name]],'Base Schedules'!$A$243:$AW$281,18,FALSE)="","",VLOOKUP(Thu_W2[[#This Row],[Employee Name]],'Base Schedules'!$A$243:$AW$281,18,FALSE)),"")</f>
        <v>RNNR</v>
      </c>
      <c r="T14" s="184" t="str">
        <f>IFERROR(IF(VLOOKUP(Thu_W2[[#This Row],[Employee Name]],'Base Schedules'!$A$243:$AW$281,19,FALSE)="","",VLOOKUP(Thu_W2[[#This Row],[Employee Name]],'Base Schedules'!$A$243:$AW$281,19,FALSE)),"")</f>
        <v>LUNCH</v>
      </c>
      <c r="U14" s="184" t="str">
        <f>IFERROR(IF(VLOOKUP(Thu_W2[[#This Row],[Employee Name]],'Base Schedules'!$A$243:$AW$281,20,FALSE)="","",VLOOKUP(Thu_W2[[#This Row],[Employee Name]],'Base Schedules'!$A$243:$AW$281,20,FALSE)),"")</f>
        <v>ADM</v>
      </c>
      <c r="V14" s="184" t="str">
        <f>IFERROR(IF(VLOOKUP(Thu_W2[[#This Row],[Employee Name]],'Base Schedules'!$A$243:$AW$281,21,FALSE)="","",VLOOKUP(Thu_W2[[#This Row],[Employee Name]],'Base Schedules'!$A$243:$AW$281,21,FALSE)),"")</f>
        <v>ADM</v>
      </c>
      <c r="W14" s="184" t="str">
        <f>IFERROR(IF(VLOOKUP(Thu_W2[[#This Row],[Employee Name]],'Base Schedules'!$A$243:$AW$281,22,FALSE)="","",VLOOKUP(Thu_W2[[#This Row],[Employee Name]],'Base Schedules'!$A$243:$AW$281,22,FALSE)),"")</f>
        <v>ADM B2</v>
      </c>
      <c r="X14" s="184" t="str">
        <f>IFERROR(IF(VLOOKUP(Thu_W2[[#This Row],[Employee Name]],'Base Schedules'!$A$243:$AW$281,23,FALSE)="","",VLOOKUP(Thu_W2[[#This Row],[Employee Name]],'Base Schedules'!$A$243:$AW$281,23,FALSE)),"")</f>
        <v>ADM</v>
      </c>
      <c r="Y14" s="184" t="str">
        <f>IFERROR(IF(VLOOKUP(Thu_W2[[#This Row],[Employee Name]],'Base Schedules'!$A$243:$AW$281,24,FALSE)="","",VLOOKUP(Thu_W2[[#This Row],[Employee Name]],'Base Schedules'!$A$243:$AW$281,24,FALSE)),"")</f>
        <v>ADM</v>
      </c>
      <c r="Z14" s="184" t="str">
        <f>IFERROR(IF(VLOOKUP(Thu_W2[[#This Row],[Employee Name]],'Base Schedules'!$A$243:$AW$281,25,FALSE)="","",VLOOKUP(Thu_W2[[#This Row],[Employee Name]],'Base Schedules'!$A$243:$AW$281,25,FALSE)),"")</f>
        <v>HL</v>
      </c>
      <c r="AA14" s="184" t="str">
        <f>IFERROR(IF(VLOOKUP(Thu_W2[[#This Row],[Employee Name]],'Base Schedules'!$A$243:$AW$281,26,FALSE)="","",VLOOKUP(Thu_W2[[#This Row],[Employee Name]],'Base Schedules'!$A$243:$AW$281,26,FALSE)),"")</f>
        <v>HL</v>
      </c>
      <c r="AB14" s="184" t="str">
        <f>IFERROR(IF(VLOOKUP(Thu_W2[[#This Row],[Employee Name]],'Base Schedules'!$A$243:$AW$281,27,FALSE)="","",VLOOKUP(Thu_W2[[#This Row],[Employee Name]],'Base Schedules'!$A$243:$AW$281,27,FALSE)),"")</f>
        <v/>
      </c>
      <c r="AC14" s="184" t="str">
        <f>IFERROR(IF(VLOOKUP(Thu_W2[[#This Row],[Employee Name]],'Base Schedules'!$A$243:$AW$281,28,FALSE)="","",VLOOKUP(Thu_W2[[#This Row],[Employee Name]],'Base Schedules'!$A$243:$AW$281,28,FALSE)),"")</f>
        <v/>
      </c>
      <c r="AD14" s="184" t="str">
        <f>IFERROR(IF(VLOOKUP(Thu_W2[[#This Row],[Employee Name]],'Base Schedules'!$A$243:$AW$281,29,FALSE)="","",VLOOKUP(Thu_W2[[#This Row],[Employee Name]],'Base Schedules'!$A$243:$AW$281,29,FALSE)),"")</f>
        <v/>
      </c>
      <c r="AE14" s="184" t="str">
        <f>IFERROR(IF(VLOOKUP(Thu_W2[[#This Row],[Employee Name]],'Base Schedules'!$A$243:$AW$281,30,FALSE)="","",VLOOKUP(Thu_W2[[#This Row],[Employee Name]],'Base Schedules'!$A$243:$AW$281,30,FALSE)),"")</f>
        <v/>
      </c>
      <c r="AF14" s="184" t="str">
        <f>IFERROR(IF(VLOOKUP(Thu_W2[[#This Row],[Employee Name]],'Base Schedules'!$A$243:$AW$281,31,FALSE)="","",VLOOKUP(Thu_W2[[#This Row],[Employee Name]],'Base Schedules'!$A$243:$AW$281,31,FALSE)),"")</f>
        <v/>
      </c>
      <c r="AG14" s="184" t="str">
        <f>IFERROR(IF(VLOOKUP(Thu_W2[[#This Row],[Employee Name]],'Base Schedules'!$A$243:$AW$281,32,FALSE)="","",VLOOKUP(Thu_W2[[#This Row],[Employee Name]],'Base Schedules'!$A$243:$AW$281,32,FALSE)),"")</f>
        <v/>
      </c>
      <c r="AH14" s="184" t="str">
        <f>IFERROR(IF(VLOOKUP(Thu_W2[[#This Row],[Employee Name]],'Base Schedules'!$A$243:$AW$281,33,FALSE)="","",VLOOKUP(Thu_W2[[#This Row],[Employee Name]],'Base Schedules'!$A$243:$AW$281,33,FALSE)),"")</f>
        <v/>
      </c>
      <c r="AI14" s="184" t="str">
        <f>IFERROR(IF(VLOOKUP(Thu_W2[[#This Row],[Employee Name]],'Base Schedules'!$A$243:$AW$281,34,FALSE)="","",VLOOKUP(Thu_W2[[#This Row],[Employee Name]],'Base Schedules'!$A$243:$AW$281,34,FALSE)),"")</f>
        <v/>
      </c>
      <c r="AJ14" s="184" t="str">
        <f>IFERROR(IF(VLOOKUP(Thu_W2[[#This Row],[Employee Name]],'Base Schedules'!$A$243:$AW$281,35,FALSE)="","",VLOOKUP(Thu_W2[[#This Row],[Employee Name]],'Base Schedules'!$A$243:$AW$281,35,FALSE)),"")</f>
        <v/>
      </c>
      <c r="AK14" s="184" t="str">
        <f>IFERROR(IF(VLOOKUP(Thu_W2[[#This Row],[Employee Name]],'Base Schedules'!$A$243:$AW$281,36,FALSE)="","",VLOOKUP(Thu_W2[[#This Row],[Employee Name]],'Base Schedules'!$A$243:$AW$281,36,FALSE)),"")</f>
        <v/>
      </c>
      <c r="AL14" s="184" t="str">
        <f>IFERROR(IF(VLOOKUP(Thu_W2[[#This Row],[Employee Name]],'Base Schedules'!$A$243:$AW$281,37,FALSE)="","",VLOOKUP(Thu_W2[[#This Row],[Employee Name]],'Base Schedules'!$A$243:$AW$281,37,FALSE)),"")</f>
        <v/>
      </c>
      <c r="AM14" s="184" t="str">
        <f>IFERROR(IF(VLOOKUP(Thu_W2[[#This Row],[Employee Name]],'Base Schedules'!$A$243:$AW$281,38,FALSE)="","",VLOOKUP(Thu_W2[[#This Row],[Employee Name]],'Base Schedules'!$A$243:$AW$281,38,FALSE)),"")</f>
        <v/>
      </c>
      <c r="AN14" s="184" t="str">
        <f>IFERROR(IF(VLOOKUP(Thu_W2[[#This Row],[Employee Name]],'Base Schedules'!$A$243:$AW$281,39,FALSE)="","",VLOOKUP(Thu_W2[[#This Row],[Employee Name]],'Base Schedules'!$A$243:$AW$281,39,FALSE)),"")</f>
        <v/>
      </c>
      <c r="AO14" s="184" t="str">
        <f>IFERROR(IF(VLOOKUP(Thu_W2[[#This Row],[Employee Name]],'Base Schedules'!$A$243:$AW$281,40,FALSE)="","",VLOOKUP(Thu_W2[[#This Row],[Employee Name]],'Base Schedules'!$A$243:$AW$281,40,FALSE)),"")</f>
        <v/>
      </c>
      <c r="AP14" s="184" t="str">
        <f>IFERROR(IF(VLOOKUP(Thu_W2[[#This Row],[Employee Name]],'Base Schedules'!$A$243:$AW$281,41,FALSE)="","",VLOOKUP(Thu_W2[[#This Row],[Employee Name]],'Base Schedules'!$A$243:$AW$281,41,FALSE)),"")</f>
        <v/>
      </c>
      <c r="AQ14" s="184" t="str">
        <f>IFERROR(IF(VLOOKUP(Thu_W2[[#This Row],[Employee Name]],'Base Schedules'!$A$243:$AW$281,42,FALSE)="","",VLOOKUP(Thu_W2[[#This Row],[Employee Name]],'Base Schedules'!$A$243:$AW$281,42,FALSE)),"")</f>
        <v/>
      </c>
      <c r="AR14" s="184" t="str">
        <f>IFERROR(IF(VLOOKUP(Thu_W2[[#This Row],[Employee Name]],'Base Schedules'!$A$243:$AW$281,43,FALSE)="","",VLOOKUP(Thu_W2[[#This Row],[Employee Name]],'Base Schedules'!$A$243:$AW$281,43,FALSE)),"")</f>
        <v/>
      </c>
      <c r="AS14" s="184" t="str">
        <f>IFERROR(IF(VLOOKUP(Thu_W2[[#This Row],[Employee Name]],'Base Schedules'!$A$243:$AW$281,44,FALSE)="","",VLOOKUP(Thu_W2[[#This Row],[Employee Name]],'Base Schedules'!$A$243:$AW$281,44,FALSE)),"")</f>
        <v/>
      </c>
      <c r="AT14" s="184" t="str">
        <f>IFERROR(IF(VLOOKUP(Thu_W2[[#This Row],[Employee Name]],'Base Schedules'!$A$243:$AW$281,45,FALSE)="","",VLOOKUP(Thu_W2[[#This Row],[Employee Name]],'Base Schedules'!$A$243:$AW$281,45,FALSE)),"")</f>
        <v/>
      </c>
      <c r="AU14" s="184" t="str">
        <f>IFERROR(IF(VLOOKUP(Thu_W2[[#This Row],[Employee Name]],'Base Schedules'!$A$243:$AW$281,46,FALSE)="","",VLOOKUP(Thu_W2[[#This Row],[Employee Name]],'Base Schedules'!$A$243:$AW$281,46,FALSE)),"")</f>
        <v/>
      </c>
      <c r="AV14" s="184" t="str">
        <f>IFERROR(IF(VLOOKUP(Thu_W2[[#This Row],[Employee Name]],'Base Schedules'!$A$243:$AW$281,47,FALSE)="","",VLOOKUP(Thu_W2[[#This Row],[Employee Name]],'Base Schedules'!$A$243:$AW$281,47,FALSE)),"")</f>
        <v/>
      </c>
      <c r="AW14" s="184" t="str">
        <f>IFERROR(IF(VLOOKUP(Thu_W2[[#This Row],[Employee Name]],'Base Schedules'!$A$243:$AW$281,48,FALSE)="","",VLOOKUP(Thu_W2[[#This Row],[Employee Name]],'Base Schedules'!$A$243:$AW$281,48,FALSE)),"")</f>
        <v/>
      </c>
      <c r="AX14" s="184" t="str">
        <f>IFERROR(IF(VLOOKUP(Thu_W2[[#This Row],[Employee Name]],'Base Schedules'!$A$243:$AW$281,49,FALSE)="","",VLOOKUP(Thu_W2[[#This Row],[Employee Name]],'Base Schedules'!$A$243:$AW$281,49,FALSE)),"")</f>
        <v/>
      </c>
      <c r="AY14" s="245" t="str">
        <f t="shared" si="2"/>
        <v>Albritton, Ahmed</v>
      </c>
    </row>
    <row r="15" spans="1:51" s="44" customFormat="1" ht="12" customHeight="1" x14ac:dyDescent="0.2">
      <c r="A15" s="39" t="str">
        <f>IF(B15="","",INDEX(TeamList[],MATCH($B15,TeamList[[Employee Name]:[Employee Name]],0),MATCH("Manager",TeamList[#Headers],0)))</f>
        <v>Paulson, Matthew</v>
      </c>
      <c r="B15" s="201" t="s">
        <v>17</v>
      </c>
      <c r="C15" s="257" t="str">
        <f>_xlfn.IFNA(VLOOKUP(Thu_W2[[#This Row],[Employee Name]],'Base Schedules'!A:B,2,FALSE),"")</f>
        <v>Supervisor</v>
      </c>
      <c r="D15" s="274">
        <f>_xlfn.IFNA(VLOOKUP(Thu_W2[[#This Row],[Employee Name]],'Base Schedules'!A:C,3,FALSE),"")</f>
        <v>530</v>
      </c>
      <c r="E15" s="274">
        <f>_xlfn.IFNA(VLOOKUP(Thu_W2[[#This Row],[Employee Name]],'Base Schedules'!A:D,4,FALSE),"")</f>
        <v>1430</v>
      </c>
      <c r="F15" s="142">
        <f>IF(Thu_W2[[#This Row],[Employee Name]]="","",IF(Thu_W2[[#This Row],[Dept]]="Supervisor",COUNTIFS($J15:$AX15,"*HL*",$J15:$AX15,"&lt;&gt;"&amp;"pHL"),COUNTIFS($J15:$AX15,"*HL*",$J15:$AX15,"&lt;&gt;"&amp;"*pHL*",$J15:$AX15,"&lt;&gt;"&amp;"pB1 HL",$J15:$AX15,"&lt;&gt;"&amp;"pB2 HL")-SUM(COUNTIFS($J15:$AX15,"*HL B1*",$J15:$AX15,"&lt;&gt;"&amp;"pHL B1")*0.5,COUNTIFS($J15:$AX15,"*HL B2*",$J15:$AX15,"&lt;&gt;"&amp;"pHL B2")*0.5,COUNTIFS($J15:$AX15,"*B1 HL*",$J15:$AX15,"&lt;&gt;"&amp;"pB1 HL")*0.5,COUNTIFS($J15:$AX15,"*B2 HL*",$J15:$AX15,"&lt;&gt;"&amp;"pB2 HL")*0.5)))</f>
        <v>0</v>
      </c>
      <c r="G15" s="142">
        <f t="shared" si="0"/>
        <v>0</v>
      </c>
      <c r="H15" s="142">
        <f t="shared" si="1"/>
        <v>0</v>
      </c>
      <c r="I15" s="142">
        <f>IF(Thu_W2[[#This Row],[Employee Name]]="","",IF(Thu_W2[[#This Row],[Dept]]="Supervisor",SUM(COUNTIFS($J15:$AX15,"RTA*",$J15:$AX15,"&lt;&gt;"&amp;"pRTA"),COUNTIFS($J15:$AX15,"*CRTA*",$J15:$AX15,"&lt;&gt;"&amp;"pCRTA")),COUNTIFS($J15:$AX15,"*RNNR*",$J15:$AX15,"&lt;&gt;"&amp;"*pRNNR*",$J15:$AX15,"&lt;&gt;"&amp;"pB1 RNNR",$J15:$AX15,"&lt;&gt;"&amp;"pB2 RNNR")-SUM(COUNTIFS($J15:$AX15,"*RNNR B1*",$J15:$AX15,"&lt;&gt;"&amp;"pRNNR B1")*0.5,COUNTIFS($J15:$AX15,"*RNNR B2*",$J15:$AX15,"&lt;&gt;"&amp;"pRNNR B2")*0.5,COUNTIFS($J15:$AX15,"*B1 RNNR*",$J15:$AX15,"&lt;&gt;"&amp;"pB1 RNNR")*0.5,COUNTIFS($J15:$AX15,"*B2 RNNR*",$J15:$AX15,"&lt;&gt;"&amp;"pB2 RNNR")*0.5)))</f>
        <v>0</v>
      </c>
      <c r="J15" s="184" t="str">
        <f>IFERROR(IF(VLOOKUP(Thu_W2[[#This Row],[Employee Name]],'Base Schedules'!$A$243:$AW$281,9,FALSE)="","",VLOOKUP(Thu_W2[[#This Row],[Employee Name]],'Base Schedules'!$A$243:$AW$281,9,FALSE)),"")</f>
        <v/>
      </c>
      <c r="K15" s="184" t="str">
        <f>IFERROR(IF(VLOOKUP(Thu_W2[[#This Row],[Employee Name]],'Base Schedules'!$A$243:$AW$281,10,FALSE)="","",VLOOKUP(Thu_W2[[#This Row],[Employee Name]],'Base Schedules'!$A$243:$AW$281,10,FALSE)),"")</f>
        <v/>
      </c>
      <c r="L15" s="184" t="str">
        <f>IFERROR(IF(VLOOKUP(Thu_W2[[#This Row],[Employee Name]],'Base Schedules'!$A$243:$AW$281,11,FALSE)="","",VLOOKUP(Thu_W2[[#This Row],[Employee Name]],'Base Schedules'!$A$243:$AW$281,11,FALSE)),"")</f>
        <v/>
      </c>
      <c r="M15" s="184" t="str">
        <f>IFERROR(IF(VLOOKUP(Thu_W2[[#This Row],[Employee Name]],'Base Schedules'!$A$243:$AW$281,12,FALSE)="","",VLOOKUP(Thu_W2[[#This Row],[Employee Name]],'Base Schedules'!$A$243:$AW$281,12,FALSE)),"")</f>
        <v/>
      </c>
      <c r="N15" s="184" t="str">
        <f>IFERROR(IF(VLOOKUP(Thu_W2[[#This Row],[Employee Name]],'Base Schedules'!$A$243:$AW$281,13,FALSE)="","",VLOOKUP(Thu_W2[[#This Row],[Employee Name]],'Base Schedules'!$A$243:$AW$281,13,FALSE)),"")</f>
        <v/>
      </c>
      <c r="O15" s="184" t="str">
        <f>IFERROR(IF(VLOOKUP(Thu_W2[[#This Row],[Employee Name]],'Base Schedules'!$A$243:$AW$281,14,FALSE)="","",VLOOKUP(Thu_W2[[#This Row],[Employee Name]],'Base Schedules'!$A$243:$AW$281,14,FALSE)),"")</f>
        <v/>
      </c>
      <c r="P15" s="184" t="str">
        <f>IFERROR(IF(VLOOKUP(Thu_W2[[#This Row],[Employee Name]],'Base Schedules'!$A$243:$AW$281,15,FALSE)="","",VLOOKUP(Thu_W2[[#This Row],[Employee Name]],'Base Schedules'!$A$243:$AW$281,15,FALSE)),"")</f>
        <v/>
      </c>
      <c r="Q15" s="184" t="str">
        <f>IFERROR(IF(VLOOKUP(Thu_W2[[#This Row],[Employee Name]],'Base Schedules'!$A$243:$AW$281,16,FALSE)="","",VLOOKUP(Thu_W2[[#This Row],[Employee Name]],'Base Schedules'!$A$243:$AW$281,16,FALSE)),"")</f>
        <v/>
      </c>
      <c r="R15" s="184" t="str">
        <f>IFERROR(IF(VLOOKUP(Thu_W2[[#This Row],[Employee Name]],'Base Schedules'!$A$243:$AW$281,17,FALSE)="","",VLOOKUP(Thu_W2[[#This Row],[Employee Name]],'Base Schedules'!$A$243:$AW$281,17,FALSE)),"")</f>
        <v/>
      </c>
      <c r="S15" s="184" t="str">
        <f>IFERROR(IF(VLOOKUP(Thu_W2[[#This Row],[Employee Name]],'Base Schedules'!$A$243:$AW$281,18,FALSE)="","",VLOOKUP(Thu_W2[[#This Row],[Employee Name]],'Base Schedules'!$A$243:$AW$281,18,FALSE)),"")</f>
        <v/>
      </c>
      <c r="T15" s="184" t="str">
        <f>IFERROR(IF(VLOOKUP(Thu_W2[[#This Row],[Employee Name]],'Base Schedules'!$A$243:$AW$281,19,FALSE)="","",VLOOKUP(Thu_W2[[#This Row],[Employee Name]],'Base Schedules'!$A$243:$AW$281,19,FALSE)),"")</f>
        <v/>
      </c>
      <c r="U15" s="184" t="str">
        <f>IFERROR(IF(VLOOKUP(Thu_W2[[#This Row],[Employee Name]],'Base Schedules'!$A$243:$AW$281,20,FALSE)="","",VLOOKUP(Thu_W2[[#This Row],[Employee Name]],'Base Schedules'!$A$243:$AW$281,20,FALSE)),"")</f>
        <v/>
      </c>
      <c r="V15" s="184" t="str">
        <f>IFERROR(IF(VLOOKUP(Thu_W2[[#This Row],[Employee Name]],'Base Schedules'!$A$243:$AW$281,21,FALSE)="","",VLOOKUP(Thu_W2[[#This Row],[Employee Name]],'Base Schedules'!$A$243:$AW$281,21,FALSE)),"")</f>
        <v/>
      </c>
      <c r="W15" s="184" t="str">
        <f>IFERROR(IF(VLOOKUP(Thu_W2[[#This Row],[Employee Name]],'Base Schedules'!$A$243:$AW$281,22,FALSE)="","",VLOOKUP(Thu_W2[[#This Row],[Employee Name]],'Base Schedules'!$A$243:$AW$281,22,FALSE)),"")</f>
        <v/>
      </c>
      <c r="X15" s="184" t="str">
        <f>IFERROR(IF(VLOOKUP(Thu_W2[[#This Row],[Employee Name]],'Base Schedules'!$A$243:$AW$281,23,FALSE)="","",VLOOKUP(Thu_W2[[#This Row],[Employee Name]],'Base Schedules'!$A$243:$AW$281,23,FALSE)),"")</f>
        <v/>
      </c>
      <c r="Y15" s="184" t="str">
        <f>IFERROR(IF(VLOOKUP(Thu_W2[[#This Row],[Employee Name]],'Base Schedules'!$A$243:$AW$281,24,FALSE)="","",VLOOKUP(Thu_W2[[#This Row],[Employee Name]],'Base Schedules'!$A$243:$AW$281,24,FALSE)),"")</f>
        <v/>
      </c>
      <c r="Z15" s="184" t="str">
        <f>IFERROR(IF(VLOOKUP(Thu_W2[[#This Row],[Employee Name]],'Base Schedules'!$A$243:$AW$281,25,FALSE)="","",VLOOKUP(Thu_W2[[#This Row],[Employee Name]],'Base Schedules'!$A$243:$AW$281,25,FALSE)),"")</f>
        <v/>
      </c>
      <c r="AA15" s="184" t="str">
        <f>IFERROR(IF(VLOOKUP(Thu_W2[[#This Row],[Employee Name]],'Base Schedules'!$A$243:$AW$281,26,FALSE)="","",VLOOKUP(Thu_W2[[#This Row],[Employee Name]],'Base Schedules'!$A$243:$AW$281,26,FALSE)),"")</f>
        <v/>
      </c>
      <c r="AB15" s="184" t="str">
        <f>IFERROR(IF(VLOOKUP(Thu_W2[[#This Row],[Employee Name]],'Base Schedules'!$A$243:$AW$281,27,FALSE)="","",VLOOKUP(Thu_W2[[#This Row],[Employee Name]],'Base Schedules'!$A$243:$AW$281,27,FALSE)),"")</f>
        <v/>
      </c>
      <c r="AC15" s="184" t="str">
        <f>IFERROR(IF(VLOOKUP(Thu_W2[[#This Row],[Employee Name]],'Base Schedules'!$A$243:$AW$281,28,FALSE)="","",VLOOKUP(Thu_W2[[#This Row],[Employee Name]],'Base Schedules'!$A$243:$AW$281,28,FALSE)),"")</f>
        <v/>
      </c>
      <c r="AD15" s="184" t="str">
        <f>IFERROR(IF(VLOOKUP(Thu_W2[[#This Row],[Employee Name]],'Base Schedules'!$A$243:$AW$281,29,FALSE)="","",VLOOKUP(Thu_W2[[#This Row],[Employee Name]],'Base Schedules'!$A$243:$AW$281,29,FALSE)),"")</f>
        <v/>
      </c>
      <c r="AE15" s="184" t="str">
        <f>IFERROR(IF(VLOOKUP(Thu_W2[[#This Row],[Employee Name]],'Base Schedules'!$A$243:$AW$281,30,FALSE)="","",VLOOKUP(Thu_W2[[#This Row],[Employee Name]],'Base Schedules'!$A$243:$AW$281,30,FALSE)),"")</f>
        <v/>
      </c>
      <c r="AF15" s="184" t="str">
        <f>IFERROR(IF(VLOOKUP(Thu_W2[[#This Row],[Employee Name]],'Base Schedules'!$A$243:$AW$281,31,FALSE)="","",VLOOKUP(Thu_W2[[#This Row],[Employee Name]],'Base Schedules'!$A$243:$AW$281,31,FALSE)),"")</f>
        <v/>
      </c>
      <c r="AG15" s="184" t="str">
        <f>IFERROR(IF(VLOOKUP(Thu_W2[[#This Row],[Employee Name]],'Base Schedules'!$A$243:$AW$281,32,FALSE)="","",VLOOKUP(Thu_W2[[#This Row],[Employee Name]],'Base Schedules'!$A$243:$AW$281,32,FALSE)),"")</f>
        <v/>
      </c>
      <c r="AH15" s="184" t="str">
        <f>IFERROR(IF(VLOOKUP(Thu_W2[[#This Row],[Employee Name]],'Base Schedules'!$A$243:$AW$281,33,FALSE)="","",VLOOKUP(Thu_W2[[#This Row],[Employee Name]],'Base Schedules'!$A$243:$AW$281,33,FALSE)),"")</f>
        <v/>
      </c>
      <c r="AI15" s="184" t="str">
        <f>IFERROR(IF(VLOOKUP(Thu_W2[[#This Row],[Employee Name]],'Base Schedules'!$A$243:$AW$281,34,FALSE)="","",VLOOKUP(Thu_W2[[#This Row],[Employee Name]],'Base Schedules'!$A$243:$AW$281,34,FALSE)),"")</f>
        <v/>
      </c>
      <c r="AJ15" s="184" t="str">
        <f>IFERROR(IF(VLOOKUP(Thu_W2[[#This Row],[Employee Name]],'Base Schedules'!$A$243:$AW$281,35,FALSE)="","",VLOOKUP(Thu_W2[[#This Row],[Employee Name]],'Base Schedules'!$A$243:$AW$281,35,FALSE)),"")</f>
        <v/>
      </c>
      <c r="AK15" s="184" t="str">
        <f>IFERROR(IF(VLOOKUP(Thu_W2[[#This Row],[Employee Name]],'Base Schedules'!$A$243:$AW$281,36,FALSE)="","",VLOOKUP(Thu_W2[[#This Row],[Employee Name]],'Base Schedules'!$A$243:$AW$281,36,FALSE)),"")</f>
        <v/>
      </c>
      <c r="AL15" s="184" t="str">
        <f>IFERROR(IF(VLOOKUP(Thu_W2[[#This Row],[Employee Name]],'Base Schedules'!$A$243:$AW$281,37,FALSE)="","",VLOOKUP(Thu_W2[[#This Row],[Employee Name]],'Base Schedules'!$A$243:$AW$281,37,FALSE)),"")</f>
        <v/>
      </c>
      <c r="AM15" s="184" t="str">
        <f>IFERROR(IF(VLOOKUP(Thu_W2[[#This Row],[Employee Name]],'Base Schedules'!$A$243:$AW$281,38,FALSE)="","",VLOOKUP(Thu_W2[[#This Row],[Employee Name]],'Base Schedules'!$A$243:$AW$281,38,FALSE)),"")</f>
        <v/>
      </c>
      <c r="AN15" s="184" t="str">
        <f>IFERROR(IF(VLOOKUP(Thu_W2[[#This Row],[Employee Name]],'Base Schedules'!$A$243:$AW$281,39,FALSE)="","",VLOOKUP(Thu_W2[[#This Row],[Employee Name]],'Base Schedules'!$A$243:$AW$281,39,FALSE)),"")</f>
        <v/>
      </c>
      <c r="AO15" s="184" t="str">
        <f>IFERROR(IF(VLOOKUP(Thu_W2[[#This Row],[Employee Name]],'Base Schedules'!$A$243:$AW$281,40,FALSE)="","",VLOOKUP(Thu_W2[[#This Row],[Employee Name]],'Base Schedules'!$A$243:$AW$281,40,FALSE)),"")</f>
        <v/>
      </c>
      <c r="AP15" s="184" t="str">
        <f>IFERROR(IF(VLOOKUP(Thu_W2[[#This Row],[Employee Name]],'Base Schedules'!$A$243:$AW$281,41,FALSE)="","",VLOOKUP(Thu_W2[[#This Row],[Employee Name]],'Base Schedules'!$A$243:$AW$281,41,FALSE)),"")</f>
        <v/>
      </c>
      <c r="AQ15" s="184" t="str">
        <f>IFERROR(IF(VLOOKUP(Thu_W2[[#This Row],[Employee Name]],'Base Schedules'!$A$243:$AW$281,42,FALSE)="","",VLOOKUP(Thu_W2[[#This Row],[Employee Name]],'Base Schedules'!$A$243:$AW$281,42,FALSE)),"")</f>
        <v/>
      </c>
      <c r="AR15" s="184" t="str">
        <f>IFERROR(IF(VLOOKUP(Thu_W2[[#This Row],[Employee Name]],'Base Schedules'!$A$243:$AW$281,43,FALSE)="","",VLOOKUP(Thu_W2[[#This Row],[Employee Name]],'Base Schedules'!$A$243:$AW$281,43,FALSE)),"")</f>
        <v/>
      </c>
      <c r="AS15" s="184" t="str">
        <f>IFERROR(IF(VLOOKUP(Thu_W2[[#This Row],[Employee Name]],'Base Schedules'!$A$243:$AW$281,44,FALSE)="","",VLOOKUP(Thu_W2[[#This Row],[Employee Name]],'Base Schedules'!$A$243:$AW$281,44,FALSE)),"")</f>
        <v/>
      </c>
      <c r="AT15" s="184" t="str">
        <f>IFERROR(IF(VLOOKUP(Thu_W2[[#This Row],[Employee Name]],'Base Schedules'!$A$243:$AW$281,45,FALSE)="","",VLOOKUP(Thu_W2[[#This Row],[Employee Name]],'Base Schedules'!$A$243:$AW$281,45,FALSE)),"")</f>
        <v/>
      </c>
      <c r="AU15" s="184" t="str">
        <f>IFERROR(IF(VLOOKUP(Thu_W2[[#This Row],[Employee Name]],'Base Schedules'!$A$243:$AW$281,46,FALSE)="","",VLOOKUP(Thu_W2[[#This Row],[Employee Name]],'Base Schedules'!$A$243:$AW$281,46,FALSE)),"")</f>
        <v/>
      </c>
      <c r="AV15" s="184" t="str">
        <f>IFERROR(IF(VLOOKUP(Thu_W2[[#This Row],[Employee Name]],'Base Schedules'!$A$243:$AW$281,47,FALSE)="","",VLOOKUP(Thu_W2[[#This Row],[Employee Name]],'Base Schedules'!$A$243:$AW$281,47,FALSE)),"")</f>
        <v/>
      </c>
      <c r="AW15" s="184" t="str">
        <f>IFERROR(IF(VLOOKUP(Thu_W2[[#This Row],[Employee Name]],'Base Schedules'!$A$243:$AW$281,48,FALSE)="","",VLOOKUP(Thu_W2[[#This Row],[Employee Name]],'Base Schedules'!$A$243:$AW$281,48,FALSE)),"")</f>
        <v/>
      </c>
      <c r="AX15" s="184" t="str">
        <f>IFERROR(IF(VLOOKUP(Thu_W2[[#This Row],[Employee Name]],'Base Schedules'!$A$243:$AW$281,49,FALSE)="","",VLOOKUP(Thu_W2[[#This Row],[Employee Name]],'Base Schedules'!$A$243:$AW$281,49,FALSE)),"")</f>
        <v/>
      </c>
      <c r="AY15" s="245" t="str">
        <f t="shared" si="2"/>
        <v>Breen, Mark</v>
      </c>
    </row>
    <row r="16" spans="1:51" s="44" customFormat="1" ht="12" customHeight="1" x14ac:dyDescent="0.2">
      <c r="A16" s="39" t="str">
        <f>IF(B16="","",INDEX(TeamList[],MATCH($B16,TeamList[[Employee Name]:[Employee Name]],0),MATCH("Manager",TeamList[#Headers],0)))</f>
        <v>Olson, Katherine</v>
      </c>
      <c r="B16" s="201" t="s">
        <v>19</v>
      </c>
      <c r="C16" s="257" t="str">
        <f>_xlfn.IFNA(VLOOKUP(Thu_W2[[#This Row],[Employee Name]],'Base Schedules'!A:B,2,FALSE),"")</f>
        <v>Lead</v>
      </c>
      <c r="D16" s="274">
        <f>_xlfn.IFNA(VLOOKUP(Thu_W2[[#This Row],[Employee Name]],'Base Schedules'!A:C,3,FALSE),"")</f>
        <v>600</v>
      </c>
      <c r="E16" s="274">
        <f>_xlfn.IFNA(VLOOKUP(Thu_W2[[#This Row],[Employee Name]],'Base Schedules'!A:D,4,FALSE),"")</f>
        <v>1430</v>
      </c>
      <c r="F16" s="142">
        <f>IF(Thu_W2[[#This Row],[Employee Name]]="","",IF(Thu_W2[[#This Row],[Dept]]="Supervisor",COUNTIFS($J16:$AX16,"*HL*",$J16:$AX16,"&lt;&gt;"&amp;"pHL"),COUNTIFS($J16:$AX16,"*HL*",$J16:$AX16,"&lt;&gt;"&amp;"*pHL*",$J16:$AX16,"&lt;&gt;"&amp;"pB1 HL",$J16:$AX16,"&lt;&gt;"&amp;"pB2 HL")-SUM(COUNTIFS($J16:$AX16,"*HL B1*",$J16:$AX16,"&lt;&gt;"&amp;"pHL B1")*0.5,COUNTIFS($J16:$AX16,"*HL B2*",$J16:$AX16,"&lt;&gt;"&amp;"pHL B2")*0.5,COUNTIFS($J16:$AX16,"*B1 HL*",$J16:$AX16,"&lt;&gt;"&amp;"pB1 HL")*0.5,COUNTIFS($J16:$AX16,"*B2 HL*",$J16:$AX16,"&lt;&gt;"&amp;"pB2 HL")*0.5)))</f>
        <v>6</v>
      </c>
      <c r="G16" s="142">
        <f t="shared" si="0"/>
        <v>0</v>
      </c>
      <c r="H16" s="142">
        <f t="shared" si="1"/>
        <v>8</v>
      </c>
      <c r="I16" s="142">
        <f>IF(Thu_W2[[#This Row],[Employee Name]]="","",IF(Thu_W2[[#This Row],[Dept]]="Supervisor",SUM(COUNTIFS($J16:$AX16,"RTA*",$J16:$AX16,"&lt;&gt;"&amp;"pRTA"),COUNTIFS($J16:$AX16,"*CRTA*",$J16:$AX16,"&lt;&gt;"&amp;"pCRTA")),COUNTIFS($J16:$AX16,"*RNNR*",$J16:$AX16,"&lt;&gt;"&amp;"*pRNNR*",$J16:$AX16,"&lt;&gt;"&amp;"pB1 RNNR",$J16:$AX16,"&lt;&gt;"&amp;"pB2 RNNR")-SUM(COUNTIFS($J16:$AX16,"*RNNR B1*",$J16:$AX16,"&lt;&gt;"&amp;"pRNNR B1")*0.5,COUNTIFS($J16:$AX16,"*RNNR B2*",$J16:$AX16,"&lt;&gt;"&amp;"pRNNR B2")*0.5,COUNTIFS($J16:$AX16,"*B1 RNNR*",$J16:$AX16,"&lt;&gt;"&amp;"pB1 RNNR")*0.5,COUNTIFS($J16:$AX16,"*B2 RNNR*",$J16:$AX16,"&lt;&gt;"&amp;"pB2 RNNR")*0.5)))</f>
        <v>2</v>
      </c>
      <c r="J16" s="184" t="str">
        <f>IFERROR(IF(VLOOKUP(Thu_W2[[#This Row],[Employee Name]],'Base Schedules'!$A$243:$AW$281,9,FALSE)="","",VLOOKUP(Thu_W2[[#This Row],[Employee Name]],'Base Schedules'!$A$243:$AW$281,9,FALSE)),"")</f>
        <v/>
      </c>
      <c r="K16" s="184" t="str">
        <f>IFERROR(IF(VLOOKUP(Thu_W2[[#This Row],[Employee Name]],'Base Schedules'!$A$243:$AW$281,10,FALSE)="","",VLOOKUP(Thu_W2[[#This Row],[Employee Name]],'Base Schedules'!$A$243:$AW$281,10,FALSE)),"")</f>
        <v/>
      </c>
      <c r="L16" s="184" t="str">
        <f>IFERROR(IF(VLOOKUP(Thu_W2[[#This Row],[Employee Name]],'Base Schedules'!$A$243:$AW$281,11,FALSE)="","",VLOOKUP(Thu_W2[[#This Row],[Employee Name]],'Base Schedules'!$A$243:$AW$281,11,FALSE)),"")</f>
        <v>ADM</v>
      </c>
      <c r="M16" s="184" t="str">
        <f>IFERROR(IF(VLOOKUP(Thu_W2[[#This Row],[Employee Name]],'Base Schedules'!$A$243:$AW$281,12,FALSE)="","",VLOOKUP(Thu_W2[[#This Row],[Employee Name]],'Base Schedules'!$A$243:$AW$281,12,FALSE)),"")</f>
        <v>HL</v>
      </c>
      <c r="N16" s="184" t="str">
        <f>IFERROR(IF(VLOOKUP(Thu_W2[[#This Row],[Employee Name]],'Base Schedules'!$A$243:$AW$281,13,FALSE)="","",VLOOKUP(Thu_W2[[#This Row],[Employee Name]],'Base Schedules'!$A$243:$AW$281,13,FALSE)),"")</f>
        <v>HL</v>
      </c>
      <c r="O16" s="184" t="str">
        <f>IFERROR(IF(VLOOKUP(Thu_W2[[#This Row],[Employee Name]],'Base Schedules'!$A$243:$AW$281,14,FALSE)="","",VLOOKUP(Thu_W2[[#This Row],[Employee Name]],'Base Schedules'!$A$243:$AW$281,14,FALSE)),"")</f>
        <v>ADM</v>
      </c>
      <c r="P16" s="184" t="str">
        <f>IFERROR(IF(VLOOKUP(Thu_W2[[#This Row],[Employee Name]],'Base Schedules'!$A$243:$AW$281,15,FALSE)="","",VLOOKUP(Thu_W2[[#This Row],[Employee Name]],'Base Schedules'!$A$243:$AW$281,15,FALSE)),"")</f>
        <v>B1 ADM</v>
      </c>
      <c r="Q16" s="184" t="str">
        <f>IFERROR(IF(VLOOKUP(Thu_W2[[#This Row],[Employee Name]],'Base Schedules'!$A$243:$AW$281,16,FALSE)="","",VLOOKUP(Thu_W2[[#This Row],[Employee Name]],'Base Schedules'!$A$243:$AW$281,16,FALSE)),"")</f>
        <v>ADM</v>
      </c>
      <c r="R16" s="184" t="str">
        <f>IFERROR(IF(VLOOKUP(Thu_W2[[#This Row],[Employee Name]],'Base Schedules'!$A$243:$AW$281,17,FALSE)="","",VLOOKUP(Thu_W2[[#This Row],[Employee Name]],'Base Schedules'!$A$243:$AW$281,17,FALSE)),"")</f>
        <v>HL</v>
      </c>
      <c r="S16" s="184" t="str">
        <f>IFERROR(IF(VLOOKUP(Thu_W2[[#This Row],[Employee Name]],'Base Schedules'!$A$243:$AW$281,18,FALSE)="","",VLOOKUP(Thu_W2[[#This Row],[Employee Name]],'Base Schedules'!$A$243:$AW$281,18,FALSE)),"")</f>
        <v>HL</v>
      </c>
      <c r="T16" s="184" t="str">
        <f>IFERROR(IF(VLOOKUP(Thu_W2[[#This Row],[Employee Name]],'Base Schedules'!$A$243:$AW$281,19,FALSE)="","",VLOOKUP(Thu_W2[[#This Row],[Employee Name]],'Base Schedules'!$A$243:$AW$281,19,FALSE)),"")</f>
        <v>ADM</v>
      </c>
      <c r="U16" s="184" t="str">
        <f>IFERROR(IF(VLOOKUP(Thu_W2[[#This Row],[Employee Name]],'Base Schedules'!$A$243:$AW$281,20,FALSE)="","",VLOOKUP(Thu_W2[[#This Row],[Employee Name]],'Base Schedules'!$A$243:$AW$281,20,FALSE)),"")</f>
        <v>LUNCH</v>
      </c>
      <c r="V16" s="184" t="str">
        <f>IFERROR(IF(VLOOKUP(Thu_W2[[#This Row],[Employee Name]],'Base Schedules'!$A$243:$AW$281,21,FALSE)="","",VLOOKUP(Thu_W2[[#This Row],[Employee Name]],'Base Schedules'!$A$243:$AW$281,21,FALSE)),"")</f>
        <v>RNNR</v>
      </c>
      <c r="W16" s="184" t="str">
        <f>IFERROR(IF(VLOOKUP(Thu_W2[[#This Row],[Employee Name]],'Base Schedules'!$A$243:$AW$281,22,FALSE)="","",VLOOKUP(Thu_W2[[#This Row],[Employee Name]],'Base Schedules'!$A$243:$AW$281,22,FALSE)),"")</f>
        <v>RNNR</v>
      </c>
      <c r="X16" s="184" t="str">
        <f>IFERROR(IF(VLOOKUP(Thu_W2[[#This Row],[Employee Name]],'Base Schedules'!$A$243:$AW$281,23,FALSE)="","",VLOOKUP(Thu_W2[[#This Row],[Employee Name]],'Base Schedules'!$A$243:$AW$281,23,FALSE)),"")</f>
        <v>ADM</v>
      </c>
      <c r="Y16" s="184" t="str">
        <f>IFERROR(IF(VLOOKUP(Thu_W2[[#This Row],[Employee Name]],'Base Schedules'!$A$243:$AW$281,24,FALSE)="","",VLOOKUP(Thu_W2[[#This Row],[Employee Name]],'Base Schedules'!$A$243:$AW$281,24,FALSE)),"")</f>
        <v>ADM</v>
      </c>
      <c r="Z16" s="184" t="str">
        <f>IFERROR(IF(VLOOKUP(Thu_W2[[#This Row],[Employee Name]],'Base Schedules'!$A$243:$AW$281,25,FALSE)="","",VLOOKUP(Thu_W2[[#This Row],[Employee Name]],'Base Schedules'!$A$243:$AW$281,25,FALSE)),"")</f>
        <v>ADM B2</v>
      </c>
      <c r="AA16" s="184" t="str">
        <f>IFERROR(IF(VLOOKUP(Thu_W2[[#This Row],[Employee Name]],'Base Schedules'!$A$243:$AW$281,26,FALSE)="","",VLOOKUP(Thu_W2[[#This Row],[Employee Name]],'Base Schedules'!$A$243:$AW$281,26,FALSE)),"")</f>
        <v>HL</v>
      </c>
      <c r="AB16" s="184" t="str">
        <f>IFERROR(IF(VLOOKUP(Thu_W2[[#This Row],[Employee Name]],'Base Schedules'!$A$243:$AW$281,27,FALSE)="","",VLOOKUP(Thu_W2[[#This Row],[Employee Name]],'Base Schedules'!$A$243:$AW$281,27,FALSE)),"")</f>
        <v>HL</v>
      </c>
      <c r="AC16" s="184" t="str">
        <f>IFERROR(IF(VLOOKUP(Thu_W2[[#This Row],[Employee Name]],'Base Schedules'!$A$243:$AW$281,28,FALSE)="","",VLOOKUP(Thu_W2[[#This Row],[Employee Name]],'Base Schedules'!$A$243:$AW$281,28,FALSE)),"")</f>
        <v/>
      </c>
      <c r="AD16" s="184" t="str">
        <f>IFERROR(IF(VLOOKUP(Thu_W2[[#This Row],[Employee Name]],'Base Schedules'!$A$243:$AW$281,29,FALSE)="","",VLOOKUP(Thu_W2[[#This Row],[Employee Name]],'Base Schedules'!$A$243:$AW$281,29,FALSE)),"")</f>
        <v/>
      </c>
      <c r="AE16" s="184" t="str">
        <f>IFERROR(IF(VLOOKUP(Thu_W2[[#This Row],[Employee Name]],'Base Schedules'!$A$243:$AW$281,30,FALSE)="","",VLOOKUP(Thu_W2[[#This Row],[Employee Name]],'Base Schedules'!$A$243:$AW$281,30,FALSE)),"")</f>
        <v/>
      </c>
      <c r="AF16" s="184" t="str">
        <f>IFERROR(IF(VLOOKUP(Thu_W2[[#This Row],[Employee Name]],'Base Schedules'!$A$243:$AW$281,31,FALSE)="","",VLOOKUP(Thu_W2[[#This Row],[Employee Name]],'Base Schedules'!$A$243:$AW$281,31,FALSE)),"")</f>
        <v/>
      </c>
      <c r="AG16" s="184" t="str">
        <f>IFERROR(IF(VLOOKUP(Thu_W2[[#This Row],[Employee Name]],'Base Schedules'!$A$243:$AW$281,32,FALSE)="","",VLOOKUP(Thu_W2[[#This Row],[Employee Name]],'Base Schedules'!$A$243:$AW$281,32,FALSE)),"")</f>
        <v/>
      </c>
      <c r="AH16" s="184" t="str">
        <f>IFERROR(IF(VLOOKUP(Thu_W2[[#This Row],[Employee Name]],'Base Schedules'!$A$243:$AW$281,33,FALSE)="","",VLOOKUP(Thu_W2[[#This Row],[Employee Name]],'Base Schedules'!$A$243:$AW$281,33,FALSE)),"")</f>
        <v/>
      </c>
      <c r="AI16" s="184" t="str">
        <f>IFERROR(IF(VLOOKUP(Thu_W2[[#This Row],[Employee Name]],'Base Schedules'!$A$243:$AW$281,34,FALSE)="","",VLOOKUP(Thu_W2[[#This Row],[Employee Name]],'Base Schedules'!$A$243:$AW$281,34,FALSE)),"")</f>
        <v/>
      </c>
      <c r="AJ16" s="184" t="str">
        <f>IFERROR(IF(VLOOKUP(Thu_W2[[#This Row],[Employee Name]],'Base Schedules'!$A$243:$AW$281,35,FALSE)="","",VLOOKUP(Thu_W2[[#This Row],[Employee Name]],'Base Schedules'!$A$243:$AW$281,35,FALSE)),"")</f>
        <v/>
      </c>
      <c r="AK16" s="184" t="str">
        <f>IFERROR(IF(VLOOKUP(Thu_W2[[#This Row],[Employee Name]],'Base Schedules'!$A$243:$AW$281,36,FALSE)="","",VLOOKUP(Thu_W2[[#This Row],[Employee Name]],'Base Schedules'!$A$243:$AW$281,36,FALSE)),"")</f>
        <v/>
      </c>
      <c r="AL16" s="184" t="str">
        <f>IFERROR(IF(VLOOKUP(Thu_W2[[#This Row],[Employee Name]],'Base Schedules'!$A$243:$AW$281,37,FALSE)="","",VLOOKUP(Thu_W2[[#This Row],[Employee Name]],'Base Schedules'!$A$243:$AW$281,37,FALSE)),"")</f>
        <v/>
      </c>
      <c r="AM16" s="184" t="str">
        <f>IFERROR(IF(VLOOKUP(Thu_W2[[#This Row],[Employee Name]],'Base Schedules'!$A$243:$AW$281,38,FALSE)="","",VLOOKUP(Thu_W2[[#This Row],[Employee Name]],'Base Schedules'!$A$243:$AW$281,38,FALSE)),"")</f>
        <v/>
      </c>
      <c r="AN16" s="184" t="str">
        <f>IFERROR(IF(VLOOKUP(Thu_W2[[#This Row],[Employee Name]],'Base Schedules'!$A$243:$AW$281,39,FALSE)="","",VLOOKUP(Thu_W2[[#This Row],[Employee Name]],'Base Schedules'!$A$243:$AW$281,39,FALSE)),"")</f>
        <v/>
      </c>
      <c r="AO16" s="184" t="str">
        <f>IFERROR(IF(VLOOKUP(Thu_W2[[#This Row],[Employee Name]],'Base Schedules'!$A$243:$AW$281,40,FALSE)="","",VLOOKUP(Thu_W2[[#This Row],[Employee Name]],'Base Schedules'!$A$243:$AW$281,40,FALSE)),"")</f>
        <v/>
      </c>
      <c r="AP16" s="184" t="str">
        <f>IFERROR(IF(VLOOKUP(Thu_W2[[#This Row],[Employee Name]],'Base Schedules'!$A$243:$AW$281,41,FALSE)="","",VLOOKUP(Thu_W2[[#This Row],[Employee Name]],'Base Schedules'!$A$243:$AW$281,41,FALSE)),"")</f>
        <v/>
      </c>
      <c r="AQ16" s="184" t="str">
        <f>IFERROR(IF(VLOOKUP(Thu_W2[[#This Row],[Employee Name]],'Base Schedules'!$A$243:$AW$281,42,FALSE)="","",VLOOKUP(Thu_W2[[#This Row],[Employee Name]],'Base Schedules'!$A$243:$AW$281,42,FALSE)),"")</f>
        <v/>
      </c>
      <c r="AR16" s="184" t="str">
        <f>IFERROR(IF(VLOOKUP(Thu_W2[[#This Row],[Employee Name]],'Base Schedules'!$A$243:$AW$281,43,FALSE)="","",VLOOKUP(Thu_W2[[#This Row],[Employee Name]],'Base Schedules'!$A$243:$AW$281,43,FALSE)),"")</f>
        <v/>
      </c>
      <c r="AS16" s="184" t="str">
        <f>IFERROR(IF(VLOOKUP(Thu_W2[[#This Row],[Employee Name]],'Base Schedules'!$A$243:$AW$281,44,FALSE)="","",VLOOKUP(Thu_W2[[#This Row],[Employee Name]],'Base Schedules'!$A$243:$AW$281,44,FALSE)),"")</f>
        <v/>
      </c>
      <c r="AT16" s="184" t="str">
        <f>IFERROR(IF(VLOOKUP(Thu_W2[[#This Row],[Employee Name]],'Base Schedules'!$A$243:$AW$281,45,FALSE)="","",VLOOKUP(Thu_W2[[#This Row],[Employee Name]],'Base Schedules'!$A$243:$AW$281,45,FALSE)),"")</f>
        <v/>
      </c>
      <c r="AU16" s="184" t="str">
        <f>IFERROR(IF(VLOOKUP(Thu_W2[[#This Row],[Employee Name]],'Base Schedules'!$A$243:$AW$281,46,FALSE)="","",VLOOKUP(Thu_W2[[#This Row],[Employee Name]],'Base Schedules'!$A$243:$AW$281,46,FALSE)),"")</f>
        <v/>
      </c>
      <c r="AV16" s="184" t="str">
        <f>IFERROR(IF(VLOOKUP(Thu_W2[[#This Row],[Employee Name]],'Base Schedules'!$A$243:$AW$281,47,FALSE)="","",VLOOKUP(Thu_W2[[#This Row],[Employee Name]],'Base Schedules'!$A$243:$AW$281,47,FALSE)),"")</f>
        <v/>
      </c>
      <c r="AW16" s="184" t="str">
        <f>IFERROR(IF(VLOOKUP(Thu_W2[[#This Row],[Employee Name]],'Base Schedules'!$A$243:$AW$281,48,FALSE)="","",VLOOKUP(Thu_W2[[#This Row],[Employee Name]],'Base Schedules'!$A$243:$AW$281,48,FALSE)),"")</f>
        <v/>
      </c>
      <c r="AX16" s="184" t="str">
        <f>IFERROR(IF(VLOOKUP(Thu_W2[[#This Row],[Employee Name]],'Base Schedules'!$A$243:$AW$281,49,FALSE)="","",VLOOKUP(Thu_W2[[#This Row],[Employee Name]],'Base Schedules'!$A$243:$AW$281,49,FALSE)),"")</f>
        <v/>
      </c>
      <c r="AY16" s="245" t="str">
        <f t="shared" si="2"/>
        <v>Albert, Christina</v>
      </c>
    </row>
    <row r="17" spans="1:51" s="44" customFormat="1" ht="12" customHeight="1" x14ac:dyDescent="0.2">
      <c r="A17" s="39" t="str">
        <f>IF(B17="","",INDEX(TeamList[],MATCH($B17,TeamList[[Employee Name]:[Employee Name]],0),MATCH("Manager",TeamList[#Headers],0)))</f>
        <v>Paulson, Matthew</v>
      </c>
      <c r="B17" s="201" t="s">
        <v>20</v>
      </c>
      <c r="C17" s="257" t="str">
        <f>_xlfn.IFNA(VLOOKUP(Thu_W2[[#This Row],[Employee Name]],'Base Schedules'!A:B,2,FALSE),"")</f>
        <v>Supervisor</v>
      </c>
      <c r="D17" s="274">
        <f>_xlfn.IFNA(VLOOKUP(Thu_W2[[#This Row],[Employee Name]],'Base Schedules'!A:C,3,FALSE),"")</f>
        <v>600</v>
      </c>
      <c r="E17" s="274">
        <f>_xlfn.IFNA(VLOOKUP(Thu_W2[[#This Row],[Employee Name]],'Base Schedules'!A:D,4,FALSE),"")</f>
        <v>1500</v>
      </c>
      <c r="F17" s="142">
        <f>IF(Thu_W2[[#This Row],[Employee Name]]="","",IF(Thu_W2[[#This Row],[Dept]]="Supervisor",COUNTIFS($J17:$AX17,"*HL*",$J17:$AX17,"&lt;&gt;"&amp;"pHL"),COUNTIFS($J17:$AX17,"*HL*",$J17:$AX17,"&lt;&gt;"&amp;"*pHL*",$J17:$AX17,"&lt;&gt;"&amp;"pB1 HL",$J17:$AX17,"&lt;&gt;"&amp;"pB2 HL")-SUM(COUNTIFS($J17:$AX17,"*HL B1*",$J17:$AX17,"&lt;&gt;"&amp;"pHL B1")*0.5,COUNTIFS($J17:$AX17,"*HL B2*",$J17:$AX17,"&lt;&gt;"&amp;"pHL B2")*0.5,COUNTIFS($J17:$AX17,"*B1 HL*",$J17:$AX17,"&lt;&gt;"&amp;"pB1 HL")*0.5,COUNTIFS($J17:$AX17,"*B2 HL*",$J17:$AX17,"&lt;&gt;"&amp;"pB2 HL")*0.5)))</f>
        <v>0</v>
      </c>
      <c r="G17" s="142">
        <f t="shared" si="0"/>
        <v>4</v>
      </c>
      <c r="H17" s="142">
        <f t="shared" si="1"/>
        <v>0</v>
      </c>
      <c r="I17" s="142">
        <f>IF(Thu_W2[[#This Row],[Employee Name]]="","",IF(Thu_W2[[#This Row],[Dept]]="Supervisor",SUM(COUNTIFS($J17:$AX17,"RTA*",$J17:$AX17,"&lt;&gt;"&amp;"pRTA"),COUNTIFS($J17:$AX17,"*CRTA*",$J17:$AX17,"&lt;&gt;"&amp;"pCRTA")),COUNTIFS($J17:$AX17,"*RNNR*",$J17:$AX17,"&lt;&gt;"&amp;"*pRNNR*",$J17:$AX17,"&lt;&gt;"&amp;"pB1 RNNR",$J17:$AX17,"&lt;&gt;"&amp;"pB2 RNNR")-SUM(COUNTIFS($J17:$AX17,"*RNNR B1*",$J17:$AX17,"&lt;&gt;"&amp;"pRNNR B1")*0.5,COUNTIFS($J17:$AX17,"*RNNR B2*",$J17:$AX17,"&lt;&gt;"&amp;"pRNNR B2")*0.5,COUNTIFS($J17:$AX17,"*B1 RNNR*",$J17:$AX17,"&lt;&gt;"&amp;"pB1 RNNR")*0.5,COUNTIFS($J17:$AX17,"*B2 RNNR*",$J17:$AX17,"&lt;&gt;"&amp;"pB2 RNNR")*0.5)))</f>
        <v>0</v>
      </c>
      <c r="J17" s="184" t="str">
        <f>IFERROR(IF(VLOOKUP(Thu_W2[[#This Row],[Employee Name]],'Base Schedules'!$A$243:$AW$281,9,FALSE)="","",VLOOKUP(Thu_W2[[#This Row],[Employee Name]],'Base Schedules'!$A$243:$AW$281,9,FALSE)),"")</f>
        <v/>
      </c>
      <c r="K17" s="184" t="str">
        <f>IFERROR(IF(VLOOKUP(Thu_W2[[#This Row],[Employee Name]],'Base Schedules'!$A$243:$AW$281,10,FALSE)="","",VLOOKUP(Thu_W2[[#This Row],[Employee Name]],'Base Schedules'!$A$243:$AW$281,10,FALSE)),"")</f>
        <v/>
      </c>
      <c r="L17" s="184" t="str">
        <f>IFERROR(IF(VLOOKUP(Thu_W2[[#This Row],[Employee Name]],'Base Schedules'!$A$243:$AW$281,11,FALSE)="","",VLOOKUP(Thu_W2[[#This Row],[Employee Name]],'Base Schedules'!$A$243:$AW$281,11,FALSE)),"")</f>
        <v>-</v>
      </c>
      <c r="M17" s="184" t="str">
        <f>IFERROR(IF(VLOOKUP(Thu_W2[[#This Row],[Employee Name]],'Base Schedules'!$A$243:$AW$281,12,FALSE)="","",VLOOKUP(Thu_W2[[#This Row],[Employee Name]],'Base Schedules'!$A$243:$AW$281,12,FALSE)),"")</f>
        <v>-</v>
      </c>
      <c r="N17" s="184" t="str">
        <f>IFERROR(IF(VLOOKUP(Thu_W2[[#This Row],[Employee Name]],'Base Schedules'!$A$243:$AW$281,13,FALSE)="","",VLOOKUP(Thu_W2[[#This Row],[Employee Name]],'Base Schedules'!$A$243:$AW$281,13,FALSE)),"")</f>
        <v>-</v>
      </c>
      <c r="O17" s="184" t="str">
        <f>IFERROR(IF(VLOOKUP(Thu_W2[[#This Row],[Employee Name]],'Base Schedules'!$A$243:$AW$281,14,FALSE)="","",VLOOKUP(Thu_W2[[#This Row],[Employee Name]],'Base Schedules'!$A$243:$AW$281,14,FALSE)),"")</f>
        <v>-</v>
      </c>
      <c r="P17" s="184" t="str">
        <f>IFERROR(IF(VLOOKUP(Thu_W2[[#This Row],[Employee Name]],'Base Schedules'!$A$243:$AW$281,15,FALSE)="","",VLOOKUP(Thu_W2[[#This Row],[Employee Name]],'Base Schedules'!$A$243:$AW$281,15,FALSE)),"")</f>
        <v>-</v>
      </c>
      <c r="Q17" s="184" t="str">
        <f>IFERROR(IF(VLOOKUP(Thu_W2[[#This Row],[Employee Name]],'Base Schedules'!$A$243:$AW$281,16,FALSE)="","",VLOOKUP(Thu_W2[[#This Row],[Employee Name]],'Base Schedules'!$A$243:$AW$281,16,FALSE)),"")</f>
        <v>-</v>
      </c>
      <c r="R17" s="184" t="str">
        <f>IFERROR(IF(VLOOKUP(Thu_W2[[#This Row],[Employee Name]],'Base Schedules'!$A$243:$AW$281,17,FALSE)="","",VLOOKUP(Thu_W2[[#This Row],[Employee Name]],'Base Schedules'!$A$243:$AW$281,17,FALSE)),"")</f>
        <v>-</v>
      </c>
      <c r="S17" s="184" t="str">
        <f>IFERROR(IF(VLOOKUP(Thu_W2[[#This Row],[Employee Name]],'Base Schedules'!$A$243:$AW$281,18,FALSE)="","",VLOOKUP(Thu_W2[[#This Row],[Employee Name]],'Base Schedules'!$A$243:$AW$281,18,FALSE)),"")</f>
        <v>-</v>
      </c>
      <c r="T17" s="184" t="str">
        <f>IFERROR(IF(VLOOKUP(Thu_W2[[#This Row],[Employee Name]],'Base Schedules'!$A$243:$AW$281,19,FALSE)="","",VLOOKUP(Thu_W2[[#This Row],[Employee Name]],'Base Schedules'!$A$243:$AW$281,19,FALSE)),"")</f>
        <v>-</v>
      </c>
      <c r="U17" s="184" t="str">
        <f>IFERROR(IF(VLOOKUP(Thu_W2[[#This Row],[Employee Name]],'Base Schedules'!$A$243:$AW$281,20,FALSE)="","",VLOOKUP(Thu_W2[[#This Row],[Employee Name]],'Base Schedules'!$A$243:$AW$281,20,FALSE)),"")</f>
        <v>Coaching</v>
      </c>
      <c r="V17" s="184" t="str">
        <f>IFERROR(IF(VLOOKUP(Thu_W2[[#This Row],[Employee Name]],'Base Schedules'!$A$243:$AW$281,21,FALSE)="","",VLOOKUP(Thu_W2[[#This Row],[Employee Name]],'Base Schedules'!$A$243:$AW$281,21,FALSE)),"")</f>
        <v>Coaching</v>
      </c>
      <c r="W17" s="184" t="str">
        <f>IFERROR(IF(VLOOKUP(Thu_W2[[#This Row],[Employee Name]],'Base Schedules'!$A$243:$AW$281,22,FALSE)="","",VLOOKUP(Thu_W2[[#This Row],[Employee Name]],'Base Schedules'!$A$243:$AW$281,22,FALSE)),"")</f>
        <v>Coaching</v>
      </c>
      <c r="X17" s="184" t="str">
        <f>IFERROR(IF(VLOOKUP(Thu_W2[[#This Row],[Employee Name]],'Base Schedules'!$A$243:$AW$281,23,FALSE)="","",VLOOKUP(Thu_W2[[#This Row],[Employee Name]],'Base Schedules'!$A$243:$AW$281,23,FALSE)),"")</f>
        <v>Coaching</v>
      </c>
      <c r="Y17" s="184" t="str">
        <f>IFERROR(IF(VLOOKUP(Thu_W2[[#This Row],[Employee Name]],'Base Schedules'!$A$243:$AW$281,24,FALSE)="","",VLOOKUP(Thu_W2[[#This Row],[Employee Name]],'Base Schedules'!$A$243:$AW$281,24,FALSE)),"")</f>
        <v>-</v>
      </c>
      <c r="Z17" s="184" t="str">
        <f>IFERROR(IF(VLOOKUP(Thu_W2[[#This Row],[Employee Name]],'Base Schedules'!$A$243:$AW$281,25,FALSE)="","",VLOOKUP(Thu_W2[[#This Row],[Employee Name]],'Base Schedules'!$A$243:$AW$281,25,FALSE)),"")</f>
        <v>-</v>
      </c>
      <c r="AA17" s="184" t="str">
        <f>IFERROR(IF(VLOOKUP(Thu_W2[[#This Row],[Employee Name]],'Base Schedules'!$A$243:$AW$281,26,FALSE)="","",VLOOKUP(Thu_W2[[#This Row],[Employee Name]],'Base Schedules'!$A$243:$AW$281,26,FALSE)),"")</f>
        <v>-</v>
      </c>
      <c r="AB17" s="184" t="str">
        <f>IFERROR(IF(VLOOKUP(Thu_W2[[#This Row],[Employee Name]],'Base Schedules'!$A$243:$AW$281,27,FALSE)="","",VLOOKUP(Thu_W2[[#This Row],[Employee Name]],'Base Schedules'!$A$243:$AW$281,27,FALSE)),"")</f>
        <v>-</v>
      </c>
      <c r="AC17" s="184" t="str">
        <f>IFERROR(IF(VLOOKUP(Thu_W2[[#This Row],[Employee Name]],'Base Schedules'!$A$243:$AW$281,28,FALSE)="","",VLOOKUP(Thu_W2[[#This Row],[Employee Name]],'Base Schedules'!$A$243:$AW$281,28,FALSE)),"")</f>
        <v>-</v>
      </c>
      <c r="AD17" s="184" t="str">
        <f>IFERROR(IF(VLOOKUP(Thu_W2[[#This Row],[Employee Name]],'Base Schedules'!$A$243:$AW$281,29,FALSE)="","",VLOOKUP(Thu_W2[[#This Row],[Employee Name]],'Base Schedules'!$A$243:$AW$281,29,FALSE)),"")</f>
        <v/>
      </c>
      <c r="AE17" s="184" t="str">
        <f>IFERROR(IF(VLOOKUP(Thu_W2[[#This Row],[Employee Name]],'Base Schedules'!$A$243:$AW$281,30,FALSE)="","",VLOOKUP(Thu_W2[[#This Row],[Employee Name]],'Base Schedules'!$A$243:$AW$281,30,FALSE)),"")</f>
        <v/>
      </c>
      <c r="AF17" s="184" t="str">
        <f>IFERROR(IF(VLOOKUP(Thu_W2[[#This Row],[Employee Name]],'Base Schedules'!$A$243:$AW$281,31,FALSE)="","",VLOOKUP(Thu_W2[[#This Row],[Employee Name]],'Base Schedules'!$A$243:$AW$281,31,FALSE)),"")</f>
        <v/>
      </c>
      <c r="AG17" s="184" t="str">
        <f>IFERROR(IF(VLOOKUP(Thu_W2[[#This Row],[Employee Name]],'Base Schedules'!$A$243:$AW$281,32,FALSE)="","",VLOOKUP(Thu_W2[[#This Row],[Employee Name]],'Base Schedules'!$A$243:$AW$281,32,FALSE)),"")</f>
        <v/>
      </c>
      <c r="AH17" s="184" t="str">
        <f>IFERROR(IF(VLOOKUP(Thu_W2[[#This Row],[Employee Name]],'Base Schedules'!$A$243:$AW$281,33,FALSE)="","",VLOOKUP(Thu_W2[[#This Row],[Employee Name]],'Base Schedules'!$A$243:$AW$281,33,FALSE)),"")</f>
        <v/>
      </c>
      <c r="AI17" s="184" t="str">
        <f>IFERROR(IF(VLOOKUP(Thu_W2[[#This Row],[Employee Name]],'Base Schedules'!$A$243:$AW$281,34,FALSE)="","",VLOOKUP(Thu_W2[[#This Row],[Employee Name]],'Base Schedules'!$A$243:$AW$281,34,FALSE)),"")</f>
        <v/>
      </c>
      <c r="AJ17" s="184" t="str">
        <f>IFERROR(IF(VLOOKUP(Thu_W2[[#This Row],[Employee Name]],'Base Schedules'!$A$243:$AW$281,35,FALSE)="","",VLOOKUP(Thu_W2[[#This Row],[Employee Name]],'Base Schedules'!$A$243:$AW$281,35,FALSE)),"")</f>
        <v/>
      </c>
      <c r="AK17" s="184" t="str">
        <f>IFERROR(IF(VLOOKUP(Thu_W2[[#This Row],[Employee Name]],'Base Schedules'!$A$243:$AW$281,36,FALSE)="","",VLOOKUP(Thu_W2[[#This Row],[Employee Name]],'Base Schedules'!$A$243:$AW$281,36,FALSE)),"")</f>
        <v/>
      </c>
      <c r="AL17" s="184" t="str">
        <f>IFERROR(IF(VLOOKUP(Thu_W2[[#This Row],[Employee Name]],'Base Schedules'!$A$243:$AW$281,37,FALSE)="","",VLOOKUP(Thu_W2[[#This Row],[Employee Name]],'Base Schedules'!$A$243:$AW$281,37,FALSE)),"")</f>
        <v/>
      </c>
      <c r="AM17" s="184" t="str">
        <f>IFERROR(IF(VLOOKUP(Thu_W2[[#This Row],[Employee Name]],'Base Schedules'!$A$243:$AW$281,38,FALSE)="","",VLOOKUP(Thu_W2[[#This Row],[Employee Name]],'Base Schedules'!$A$243:$AW$281,38,FALSE)),"")</f>
        <v/>
      </c>
      <c r="AN17" s="184" t="str">
        <f>IFERROR(IF(VLOOKUP(Thu_W2[[#This Row],[Employee Name]],'Base Schedules'!$A$243:$AW$281,39,FALSE)="","",VLOOKUP(Thu_W2[[#This Row],[Employee Name]],'Base Schedules'!$A$243:$AW$281,39,FALSE)),"")</f>
        <v/>
      </c>
      <c r="AO17" s="184" t="str">
        <f>IFERROR(IF(VLOOKUP(Thu_W2[[#This Row],[Employee Name]],'Base Schedules'!$A$243:$AW$281,40,FALSE)="","",VLOOKUP(Thu_W2[[#This Row],[Employee Name]],'Base Schedules'!$A$243:$AW$281,40,FALSE)),"")</f>
        <v/>
      </c>
      <c r="AP17" s="184" t="str">
        <f>IFERROR(IF(VLOOKUP(Thu_W2[[#This Row],[Employee Name]],'Base Schedules'!$A$243:$AW$281,41,FALSE)="","",VLOOKUP(Thu_W2[[#This Row],[Employee Name]],'Base Schedules'!$A$243:$AW$281,41,FALSE)),"")</f>
        <v/>
      </c>
      <c r="AQ17" s="184" t="str">
        <f>IFERROR(IF(VLOOKUP(Thu_W2[[#This Row],[Employee Name]],'Base Schedules'!$A$243:$AW$281,42,FALSE)="","",VLOOKUP(Thu_W2[[#This Row],[Employee Name]],'Base Schedules'!$A$243:$AW$281,42,FALSE)),"")</f>
        <v/>
      </c>
      <c r="AR17" s="184" t="str">
        <f>IFERROR(IF(VLOOKUP(Thu_W2[[#This Row],[Employee Name]],'Base Schedules'!$A$243:$AW$281,43,FALSE)="","",VLOOKUP(Thu_W2[[#This Row],[Employee Name]],'Base Schedules'!$A$243:$AW$281,43,FALSE)),"")</f>
        <v/>
      </c>
      <c r="AS17" s="184" t="str">
        <f>IFERROR(IF(VLOOKUP(Thu_W2[[#This Row],[Employee Name]],'Base Schedules'!$A$243:$AW$281,44,FALSE)="","",VLOOKUP(Thu_W2[[#This Row],[Employee Name]],'Base Schedules'!$A$243:$AW$281,44,FALSE)),"")</f>
        <v/>
      </c>
      <c r="AT17" s="184" t="str">
        <f>IFERROR(IF(VLOOKUP(Thu_W2[[#This Row],[Employee Name]],'Base Schedules'!$A$243:$AW$281,45,FALSE)="","",VLOOKUP(Thu_W2[[#This Row],[Employee Name]],'Base Schedules'!$A$243:$AW$281,45,FALSE)),"")</f>
        <v/>
      </c>
      <c r="AU17" s="184" t="str">
        <f>IFERROR(IF(VLOOKUP(Thu_W2[[#This Row],[Employee Name]],'Base Schedules'!$A$243:$AW$281,46,FALSE)="","",VLOOKUP(Thu_W2[[#This Row],[Employee Name]],'Base Schedules'!$A$243:$AW$281,46,FALSE)),"")</f>
        <v/>
      </c>
      <c r="AV17" s="184" t="str">
        <f>IFERROR(IF(VLOOKUP(Thu_W2[[#This Row],[Employee Name]],'Base Schedules'!$A$243:$AW$281,47,FALSE)="","",VLOOKUP(Thu_W2[[#This Row],[Employee Name]],'Base Schedules'!$A$243:$AW$281,47,FALSE)),"")</f>
        <v/>
      </c>
      <c r="AW17" s="184" t="str">
        <f>IFERROR(IF(VLOOKUP(Thu_W2[[#This Row],[Employee Name]],'Base Schedules'!$A$243:$AW$281,48,FALSE)="","",VLOOKUP(Thu_W2[[#This Row],[Employee Name]],'Base Schedules'!$A$243:$AW$281,48,FALSE)),"")</f>
        <v/>
      </c>
      <c r="AX17" s="184" t="str">
        <f>IFERROR(IF(VLOOKUP(Thu_W2[[#This Row],[Employee Name]],'Base Schedules'!$A$243:$AW$281,49,FALSE)="","",VLOOKUP(Thu_W2[[#This Row],[Employee Name]],'Base Schedules'!$A$243:$AW$281,49,FALSE)),"")</f>
        <v/>
      </c>
      <c r="AY17" s="245" t="str">
        <f t="shared" si="2"/>
        <v>Germony, June</v>
      </c>
    </row>
    <row r="18" spans="1:51" s="44" customFormat="1" ht="12" customHeight="1" x14ac:dyDescent="0.2">
      <c r="A18" s="39" t="e">
        <f>IF(B18="","",INDEX(TeamList[],MATCH($B18,TeamList[[Employee Name]:[Employee Name]],0),MATCH("Manager",TeamList[#Headers],0)))</f>
        <v>#N/A</v>
      </c>
      <c r="B18" s="201" t="s">
        <v>369</v>
      </c>
      <c r="C18" s="257" t="str">
        <f>_xlfn.IFNA(VLOOKUP(Thu_W2[[#This Row],[Employee Name]],'Base Schedules'!A:B,2,FALSE),"")</f>
        <v>Supervisor</v>
      </c>
      <c r="D18" s="274">
        <f>_xlfn.IFNA(VLOOKUP(Thu_W2[[#This Row],[Employee Name]],'Base Schedules'!A:C,3,FALSE),"")</f>
        <v>600</v>
      </c>
      <c r="E18" s="274">
        <f>_xlfn.IFNA(VLOOKUP(Thu_W2[[#This Row],[Employee Name]],'Base Schedules'!A:D,4,FALSE),"")</f>
        <v>1500</v>
      </c>
      <c r="F18" s="142">
        <f>IF(Thu_W2[[#This Row],[Employee Name]]="","",IF(Thu_W2[[#This Row],[Dept]]="Supervisor",COUNTIFS($J18:$AX18,"*HL*",$J18:$AX18,"&lt;&gt;"&amp;"pHL"),COUNTIFS($J18:$AX18,"*HL*",$J18:$AX18,"&lt;&gt;"&amp;"*pHL*",$J18:$AX18,"&lt;&gt;"&amp;"pB1 HL",$J18:$AX18,"&lt;&gt;"&amp;"pB2 HL")-SUM(COUNTIFS($J18:$AX18,"*HL B1*",$J18:$AX18,"&lt;&gt;"&amp;"pHL B1")*0.5,COUNTIFS($J18:$AX18,"*HL B2*",$J18:$AX18,"&lt;&gt;"&amp;"pHL B2")*0.5,COUNTIFS($J18:$AX18,"*B1 HL*",$J18:$AX18,"&lt;&gt;"&amp;"pB1 HL")*0.5,COUNTIFS($J18:$AX18,"*B2 HL*",$J18:$AX18,"&lt;&gt;"&amp;"pB2 HL")*0.5)))</f>
        <v>0</v>
      </c>
      <c r="G18" s="142">
        <f t="shared" si="0"/>
        <v>4</v>
      </c>
      <c r="H18" s="142">
        <f t="shared" si="1"/>
        <v>0</v>
      </c>
      <c r="I18" s="142">
        <f>IF(Thu_W2[[#This Row],[Employee Name]]="","",IF(Thu_W2[[#This Row],[Dept]]="Supervisor",SUM(COUNTIFS($J18:$AX18,"RTA*",$J18:$AX18,"&lt;&gt;"&amp;"pRTA"),COUNTIFS($J18:$AX18,"*CRTA*",$J18:$AX18,"&lt;&gt;"&amp;"pCRTA")),COUNTIFS($J18:$AX18,"*RNNR*",$J18:$AX18,"&lt;&gt;"&amp;"*pRNNR*",$J18:$AX18,"&lt;&gt;"&amp;"pB1 RNNR",$J18:$AX18,"&lt;&gt;"&amp;"pB2 RNNR")-SUM(COUNTIFS($J18:$AX18,"*RNNR B1*",$J18:$AX18,"&lt;&gt;"&amp;"pRNNR B1")*0.5,COUNTIFS($J18:$AX18,"*RNNR B2*",$J18:$AX18,"&lt;&gt;"&amp;"pRNNR B2")*0.5,COUNTIFS($J18:$AX18,"*B1 RNNR*",$J18:$AX18,"&lt;&gt;"&amp;"pB1 RNNR")*0.5,COUNTIFS($J18:$AX18,"*B2 RNNR*",$J18:$AX18,"&lt;&gt;"&amp;"pB2 RNNR")*0.5)))</f>
        <v>0</v>
      </c>
      <c r="J18" s="184" t="str">
        <f>IFERROR(IF(VLOOKUP(Thu_W2[[#This Row],[Employee Name]],'Base Schedules'!$A$243:$AW$281,9,FALSE)="","",VLOOKUP(Thu_W2[[#This Row],[Employee Name]],'Base Schedules'!$A$243:$AW$281,9,FALSE)),"")</f>
        <v/>
      </c>
      <c r="K18" s="184" t="str">
        <f>IFERROR(IF(VLOOKUP(Thu_W2[[#This Row],[Employee Name]],'Base Schedules'!$A$243:$AW$281,10,FALSE)="","",VLOOKUP(Thu_W2[[#This Row],[Employee Name]],'Base Schedules'!$A$243:$AW$281,10,FALSE)),"")</f>
        <v/>
      </c>
      <c r="L18" s="184" t="str">
        <f>IFERROR(IF(VLOOKUP(Thu_W2[[#This Row],[Employee Name]],'Base Schedules'!$A$243:$AW$281,11,FALSE)="","",VLOOKUP(Thu_W2[[#This Row],[Employee Name]],'Base Schedules'!$A$243:$AW$281,11,FALSE)),"")</f>
        <v>-</v>
      </c>
      <c r="M18" s="184" t="str">
        <f>IFERROR(IF(VLOOKUP(Thu_W2[[#This Row],[Employee Name]],'Base Schedules'!$A$243:$AW$281,12,FALSE)="","",VLOOKUP(Thu_W2[[#This Row],[Employee Name]],'Base Schedules'!$A$243:$AW$281,12,FALSE)),"")</f>
        <v>-</v>
      </c>
      <c r="N18" s="184" t="str">
        <f>IFERROR(IF(VLOOKUP(Thu_W2[[#This Row],[Employee Name]],'Base Schedules'!$A$243:$AW$281,13,FALSE)="","",VLOOKUP(Thu_W2[[#This Row],[Employee Name]],'Base Schedules'!$A$243:$AW$281,13,FALSE)),"")</f>
        <v>-</v>
      </c>
      <c r="O18" s="184" t="str">
        <f>IFERROR(IF(VLOOKUP(Thu_W2[[#This Row],[Employee Name]],'Base Schedules'!$A$243:$AW$281,14,FALSE)="","",VLOOKUP(Thu_W2[[#This Row],[Employee Name]],'Base Schedules'!$A$243:$AW$281,14,FALSE)),"")</f>
        <v>-</v>
      </c>
      <c r="P18" s="184" t="str">
        <f>IFERROR(IF(VLOOKUP(Thu_W2[[#This Row],[Employee Name]],'Base Schedules'!$A$243:$AW$281,15,FALSE)="","",VLOOKUP(Thu_W2[[#This Row],[Employee Name]],'Base Schedules'!$A$243:$AW$281,15,FALSE)),"")</f>
        <v>Coaching</v>
      </c>
      <c r="Q18" s="184" t="str">
        <f>IFERROR(IF(VLOOKUP(Thu_W2[[#This Row],[Employee Name]],'Base Schedules'!$A$243:$AW$281,16,FALSE)="","",VLOOKUP(Thu_W2[[#This Row],[Employee Name]],'Base Schedules'!$A$243:$AW$281,16,FALSE)),"")</f>
        <v>Coaching</v>
      </c>
      <c r="R18" s="184" t="str">
        <f>IFERROR(IF(VLOOKUP(Thu_W2[[#This Row],[Employee Name]],'Base Schedules'!$A$243:$AW$281,17,FALSE)="","",VLOOKUP(Thu_W2[[#This Row],[Employee Name]],'Base Schedules'!$A$243:$AW$281,17,FALSE)),"")</f>
        <v>Coaching</v>
      </c>
      <c r="S18" s="184" t="str">
        <f>IFERROR(IF(VLOOKUP(Thu_W2[[#This Row],[Employee Name]],'Base Schedules'!$A$243:$AW$281,18,FALSE)="","",VLOOKUP(Thu_W2[[#This Row],[Employee Name]],'Base Schedules'!$A$243:$AW$281,18,FALSE)),"")</f>
        <v>Coaching</v>
      </c>
      <c r="T18" s="184" t="str">
        <f>IFERROR(IF(VLOOKUP(Thu_W2[[#This Row],[Employee Name]],'Base Schedules'!$A$243:$AW$281,19,FALSE)="","",VLOOKUP(Thu_W2[[#This Row],[Employee Name]],'Base Schedules'!$A$243:$AW$281,19,FALSE)),"")</f>
        <v>Interview</v>
      </c>
      <c r="U18" s="184" t="str">
        <f>IFERROR(IF(VLOOKUP(Thu_W2[[#This Row],[Employee Name]],'Base Schedules'!$A$243:$AW$281,20,FALSE)="","",VLOOKUP(Thu_W2[[#This Row],[Employee Name]],'Base Schedules'!$A$243:$AW$281,20,FALSE)),"")</f>
        <v>Interview</v>
      </c>
      <c r="V18" s="184" t="str">
        <f>IFERROR(IF(VLOOKUP(Thu_W2[[#This Row],[Employee Name]],'Base Schedules'!$A$243:$AW$281,21,FALSE)="","",VLOOKUP(Thu_W2[[#This Row],[Employee Name]],'Base Schedules'!$A$243:$AW$281,21,FALSE)),"")</f>
        <v>-</v>
      </c>
      <c r="W18" s="184" t="str">
        <f>IFERROR(IF(VLOOKUP(Thu_W2[[#This Row],[Employee Name]],'Base Schedules'!$A$243:$AW$281,22,FALSE)="","",VLOOKUP(Thu_W2[[#This Row],[Employee Name]],'Base Schedules'!$A$243:$AW$281,22,FALSE)),"")</f>
        <v>-</v>
      </c>
      <c r="X18" s="184" t="str">
        <f>IFERROR(IF(VLOOKUP(Thu_W2[[#This Row],[Employee Name]],'Base Schedules'!$A$243:$AW$281,23,FALSE)="","",VLOOKUP(Thu_W2[[#This Row],[Employee Name]],'Base Schedules'!$A$243:$AW$281,23,FALSE)),"")</f>
        <v>-</v>
      </c>
      <c r="Y18" s="184" t="str">
        <f>IFERROR(IF(VLOOKUP(Thu_W2[[#This Row],[Employee Name]],'Base Schedules'!$A$243:$AW$281,24,FALSE)="","",VLOOKUP(Thu_W2[[#This Row],[Employee Name]],'Base Schedules'!$A$243:$AW$281,24,FALSE)),"")</f>
        <v>-</v>
      </c>
      <c r="Z18" s="184" t="str">
        <f>IFERROR(IF(VLOOKUP(Thu_W2[[#This Row],[Employee Name]],'Base Schedules'!$A$243:$AW$281,25,FALSE)="","",VLOOKUP(Thu_W2[[#This Row],[Employee Name]],'Base Schedules'!$A$243:$AW$281,25,FALSE)),"")</f>
        <v>-</v>
      </c>
      <c r="AA18" s="184" t="str">
        <f>IFERROR(IF(VLOOKUP(Thu_W2[[#This Row],[Employee Name]],'Base Schedules'!$A$243:$AW$281,26,FALSE)="","",VLOOKUP(Thu_W2[[#This Row],[Employee Name]],'Base Schedules'!$A$243:$AW$281,26,FALSE)),"")</f>
        <v>-</v>
      </c>
      <c r="AB18" s="184" t="str">
        <f>IFERROR(IF(VLOOKUP(Thu_W2[[#This Row],[Employee Name]],'Base Schedules'!$A$243:$AW$281,27,FALSE)="","",VLOOKUP(Thu_W2[[#This Row],[Employee Name]],'Base Schedules'!$A$243:$AW$281,27,FALSE)),"")</f>
        <v>-</v>
      </c>
      <c r="AC18" s="184" t="str">
        <f>IFERROR(IF(VLOOKUP(Thu_W2[[#This Row],[Employee Name]],'Base Schedules'!$A$243:$AW$281,28,FALSE)="","",VLOOKUP(Thu_W2[[#This Row],[Employee Name]],'Base Schedules'!$A$243:$AW$281,28,FALSE)),"")</f>
        <v>-</v>
      </c>
      <c r="AD18" s="184" t="str">
        <f>IFERROR(IF(VLOOKUP(Thu_W2[[#This Row],[Employee Name]],'Base Schedules'!$A$243:$AW$281,29,FALSE)="","",VLOOKUP(Thu_W2[[#This Row],[Employee Name]],'Base Schedules'!$A$243:$AW$281,29,FALSE)),"")</f>
        <v/>
      </c>
      <c r="AE18" s="184" t="str">
        <f>IFERROR(IF(VLOOKUP(Thu_W2[[#This Row],[Employee Name]],'Base Schedules'!$A$243:$AW$281,30,FALSE)="","",VLOOKUP(Thu_W2[[#This Row],[Employee Name]],'Base Schedules'!$A$243:$AW$281,30,FALSE)),"")</f>
        <v/>
      </c>
      <c r="AF18" s="184" t="str">
        <f>IFERROR(IF(VLOOKUP(Thu_W2[[#This Row],[Employee Name]],'Base Schedules'!$A$243:$AW$281,31,FALSE)="","",VLOOKUP(Thu_W2[[#This Row],[Employee Name]],'Base Schedules'!$A$243:$AW$281,31,FALSE)),"")</f>
        <v/>
      </c>
      <c r="AG18" s="184" t="str">
        <f>IFERROR(IF(VLOOKUP(Thu_W2[[#This Row],[Employee Name]],'Base Schedules'!$A$243:$AW$281,32,FALSE)="","",VLOOKUP(Thu_W2[[#This Row],[Employee Name]],'Base Schedules'!$A$243:$AW$281,32,FALSE)),"")</f>
        <v/>
      </c>
      <c r="AH18" s="184" t="str">
        <f>IFERROR(IF(VLOOKUP(Thu_W2[[#This Row],[Employee Name]],'Base Schedules'!$A$243:$AW$281,33,FALSE)="","",VLOOKUP(Thu_W2[[#This Row],[Employee Name]],'Base Schedules'!$A$243:$AW$281,33,FALSE)),"")</f>
        <v/>
      </c>
      <c r="AI18" s="184" t="str">
        <f>IFERROR(IF(VLOOKUP(Thu_W2[[#This Row],[Employee Name]],'Base Schedules'!$A$243:$AW$281,34,FALSE)="","",VLOOKUP(Thu_W2[[#This Row],[Employee Name]],'Base Schedules'!$A$243:$AW$281,34,FALSE)),"")</f>
        <v/>
      </c>
      <c r="AJ18" s="184" t="str">
        <f>IFERROR(IF(VLOOKUP(Thu_W2[[#This Row],[Employee Name]],'Base Schedules'!$A$243:$AW$281,35,FALSE)="","",VLOOKUP(Thu_W2[[#This Row],[Employee Name]],'Base Schedules'!$A$243:$AW$281,35,FALSE)),"")</f>
        <v/>
      </c>
      <c r="AK18" s="184" t="str">
        <f>IFERROR(IF(VLOOKUP(Thu_W2[[#This Row],[Employee Name]],'Base Schedules'!$A$243:$AW$281,36,FALSE)="","",VLOOKUP(Thu_W2[[#This Row],[Employee Name]],'Base Schedules'!$A$243:$AW$281,36,FALSE)),"")</f>
        <v/>
      </c>
      <c r="AL18" s="184" t="str">
        <f>IFERROR(IF(VLOOKUP(Thu_W2[[#This Row],[Employee Name]],'Base Schedules'!$A$243:$AW$281,37,FALSE)="","",VLOOKUP(Thu_W2[[#This Row],[Employee Name]],'Base Schedules'!$A$243:$AW$281,37,FALSE)),"")</f>
        <v/>
      </c>
      <c r="AM18" s="184" t="str">
        <f>IFERROR(IF(VLOOKUP(Thu_W2[[#This Row],[Employee Name]],'Base Schedules'!$A$243:$AW$281,38,FALSE)="","",VLOOKUP(Thu_W2[[#This Row],[Employee Name]],'Base Schedules'!$A$243:$AW$281,38,FALSE)),"")</f>
        <v/>
      </c>
      <c r="AN18" s="184" t="str">
        <f>IFERROR(IF(VLOOKUP(Thu_W2[[#This Row],[Employee Name]],'Base Schedules'!$A$243:$AW$281,39,FALSE)="","",VLOOKUP(Thu_W2[[#This Row],[Employee Name]],'Base Schedules'!$A$243:$AW$281,39,FALSE)),"")</f>
        <v/>
      </c>
      <c r="AO18" s="184" t="str">
        <f>IFERROR(IF(VLOOKUP(Thu_W2[[#This Row],[Employee Name]],'Base Schedules'!$A$243:$AW$281,40,FALSE)="","",VLOOKUP(Thu_W2[[#This Row],[Employee Name]],'Base Schedules'!$A$243:$AW$281,40,FALSE)),"")</f>
        <v/>
      </c>
      <c r="AP18" s="184" t="str">
        <f>IFERROR(IF(VLOOKUP(Thu_W2[[#This Row],[Employee Name]],'Base Schedules'!$A$243:$AW$281,41,FALSE)="","",VLOOKUP(Thu_W2[[#This Row],[Employee Name]],'Base Schedules'!$A$243:$AW$281,41,FALSE)),"")</f>
        <v/>
      </c>
      <c r="AQ18" s="184" t="str">
        <f>IFERROR(IF(VLOOKUP(Thu_W2[[#This Row],[Employee Name]],'Base Schedules'!$A$243:$AW$281,42,FALSE)="","",VLOOKUP(Thu_W2[[#This Row],[Employee Name]],'Base Schedules'!$A$243:$AW$281,42,FALSE)),"")</f>
        <v/>
      </c>
      <c r="AR18" s="184" t="str">
        <f>IFERROR(IF(VLOOKUP(Thu_W2[[#This Row],[Employee Name]],'Base Schedules'!$A$243:$AW$281,43,FALSE)="","",VLOOKUP(Thu_W2[[#This Row],[Employee Name]],'Base Schedules'!$A$243:$AW$281,43,FALSE)),"")</f>
        <v/>
      </c>
      <c r="AS18" s="184" t="str">
        <f>IFERROR(IF(VLOOKUP(Thu_W2[[#This Row],[Employee Name]],'Base Schedules'!$A$243:$AW$281,44,FALSE)="","",VLOOKUP(Thu_W2[[#This Row],[Employee Name]],'Base Schedules'!$A$243:$AW$281,44,FALSE)),"")</f>
        <v/>
      </c>
      <c r="AT18" s="184" t="str">
        <f>IFERROR(IF(VLOOKUP(Thu_W2[[#This Row],[Employee Name]],'Base Schedules'!$A$243:$AW$281,45,FALSE)="","",VLOOKUP(Thu_W2[[#This Row],[Employee Name]],'Base Schedules'!$A$243:$AW$281,45,FALSE)),"")</f>
        <v/>
      </c>
      <c r="AU18" s="184" t="str">
        <f>IFERROR(IF(VLOOKUP(Thu_W2[[#This Row],[Employee Name]],'Base Schedules'!$A$243:$AW$281,46,FALSE)="","",VLOOKUP(Thu_W2[[#This Row],[Employee Name]],'Base Schedules'!$A$243:$AW$281,46,FALSE)),"")</f>
        <v/>
      </c>
      <c r="AV18" s="184" t="str">
        <f>IFERROR(IF(VLOOKUP(Thu_W2[[#This Row],[Employee Name]],'Base Schedules'!$A$243:$AW$281,47,FALSE)="","",VLOOKUP(Thu_W2[[#This Row],[Employee Name]],'Base Schedules'!$A$243:$AW$281,47,FALSE)),"")</f>
        <v/>
      </c>
      <c r="AW18" s="184" t="str">
        <f>IFERROR(IF(VLOOKUP(Thu_W2[[#This Row],[Employee Name]],'Base Schedules'!$A$243:$AW$281,48,FALSE)="","",VLOOKUP(Thu_W2[[#This Row],[Employee Name]],'Base Schedules'!$A$243:$AW$281,48,FALSE)),"")</f>
        <v/>
      </c>
      <c r="AX18" s="184" t="str">
        <f>IFERROR(IF(VLOOKUP(Thu_W2[[#This Row],[Employee Name]],'Base Schedules'!$A$243:$AW$281,49,FALSE)="","",VLOOKUP(Thu_W2[[#This Row],[Employee Name]],'Base Schedules'!$A$243:$AW$281,49,FALSE)),"")</f>
        <v/>
      </c>
      <c r="AY18" s="245" t="str">
        <f t="shared" si="2"/>
        <v>Madamba, Rocky</v>
      </c>
    </row>
    <row r="19" spans="1:51" s="44" customFormat="1" ht="12" customHeight="1" x14ac:dyDescent="0.2">
      <c r="A19" s="39" t="str">
        <f>IF(B19="","",INDEX(TeamList[],MATCH($B19,TeamList[[Employee Name]:[Employee Name]],0),MATCH("Manager",TeamList[#Headers],0)))</f>
        <v>Olson, Katherine</v>
      </c>
      <c r="B19" s="201" t="s">
        <v>22</v>
      </c>
      <c r="C19" s="257" t="str">
        <f>_xlfn.IFNA(VLOOKUP(Thu_W2[[#This Row],[Employee Name]],'Base Schedules'!A:B,2,FALSE),"")</f>
        <v>Lead</v>
      </c>
      <c r="D19" s="274">
        <f>_xlfn.IFNA(VLOOKUP(Thu_W2[[#This Row],[Employee Name]],'Base Schedules'!A:C,3,FALSE),"")</f>
        <v>700</v>
      </c>
      <c r="E19" s="274">
        <f>_xlfn.IFNA(VLOOKUP(Thu_W2[[#This Row],[Employee Name]],'Base Schedules'!A:D,4,FALSE),"")</f>
        <v>1600</v>
      </c>
      <c r="F19" s="142">
        <f>IF(Thu_W2[[#This Row],[Employee Name]]="","",IF(Thu_W2[[#This Row],[Dept]]="Supervisor",COUNTIFS($J19:$AX19,"*HL*",$J19:$AX19,"&lt;&gt;"&amp;"pHL"),COUNTIFS($J19:$AX19,"*HL*",$J19:$AX19,"&lt;&gt;"&amp;"*pHL*",$J19:$AX19,"&lt;&gt;"&amp;"pB1 HL",$J19:$AX19,"&lt;&gt;"&amp;"pB2 HL")-SUM(COUNTIFS($J19:$AX19,"*HL B1*",$J19:$AX19,"&lt;&gt;"&amp;"pHL B1")*0.5,COUNTIFS($J19:$AX19,"*HL B2*",$J19:$AX19,"&lt;&gt;"&amp;"pHL B2")*0.5,COUNTIFS($J19:$AX19,"*B1 HL*",$J19:$AX19,"&lt;&gt;"&amp;"pB1 HL")*0.5,COUNTIFS($J19:$AX19,"*B2 HL*",$J19:$AX19,"&lt;&gt;"&amp;"pB2 HL")*0.5)))</f>
        <v>9</v>
      </c>
      <c r="G19" s="142">
        <f t="shared" si="0"/>
        <v>0</v>
      </c>
      <c r="H19" s="142">
        <f t="shared" si="1"/>
        <v>7</v>
      </c>
      <c r="I19" s="142">
        <f>IF(Thu_W2[[#This Row],[Employee Name]]="","",IF(Thu_W2[[#This Row],[Dept]]="Supervisor",SUM(COUNTIFS($J19:$AX19,"RTA*",$J19:$AX19,"&lt;&gt;"&amp;"pRTA"),COUNTIFS($J19:$AX19,"*CRTA*",$J19:$AX19,"&lt;&gt;"&amp;"pCRTA")),COUNTIFS($J19:$AX19,"*RNNR*",$J19:$AX19,"&lt;&gt;"&amp;"*pRNNR*",$J19:$AX19,"&lt;&gt;"&amp;"pB1 RNNR",$J19:$AX19,"&lt;&gt;"&amp;"pB2 RNNR")-SUM(COUNTIFS($J19:$AX19,"*RNNR B1*",$J19:$AX19,"&lt;&gt;"&amp;"pRNNR B1")*0.5,COUNTIFS($J19:$AX19,"*RNNR B2*",$J19:$AX19,"&lt;&gt;"&amp;"pRNNR B2")*0.5,COUNTIFS($J19:$AX19,"*B1 RNNR*",$J19:$AX19,"&lt;&gt;"&amp;"pB1 RNNR")*0.5,COUNTIFS($J19:$AX19,"*B2 RNNR*",$J19:$AX19,"&lt;&gt;"&amp;"pB2 RNNR")*0.5)))</f>
        <v>0</v>
      </c>
      <c r="J19" s="184" t="str">
        <f>IFERROR(IF(VLOOKUP(Thu_W2[[#This Row],[Employee Name]],'Base Schedules'!$A$243:$AW$281,9,FALSE)="","",VLOOKUP(Thu_W2[[#This Row],[Employee Name]],'Base Schedules'!$A$243:$AW$281,9,FALSE)),"")</f>
        <v/>
      </c>
      <c r="K19" s="184" t="str">
        <f>IFERROR(IF(VLOOKUP(Thu_W2[[#This Row],[Employee Name]],'Base Schedules'!$A$243:$AW$281,10,FALSE)="","",VLOOKUP(Thu_W2[[#This Row],[Employee Name]],'Base Schedules'!$A$243:$AW$281,10,FALSE)),"")</f>
        <v/>
      </c>
      <c r="L19" s="184" t="str">
        <f>IFERROR(IF(VLOOKUP(Thu_W2[[#This Row],[Employee Name]],'Base Schedules'!$A$243:$AW$281,11,FALSE)="","",VLOOKUP(Thu_W2[[#This Row],[Employee Name]],'Base Schedules'!$A$243:$AW$281,11,FALSE)),"")</f>
        <v/>
      </c>
      <c r="M19" s="184" t="str">
        <f>IFERROR(IF(VLOOKUP(Thu_W2[[#This Row],[Employee Name]],'Base Schedules'!$A$243:$AW$281,12,FALSE)="","",VLOOKUP(Thu_W2[[#This Row],[Employee Name]],'Base Schedules'!$A$243:$AW$281,12,FALSE)),"")</f>
        <v/>
      </c>
      <c r="N19" s="184" t="str">
        <f>IFERROR(IF(VLOOKUP(Thu_W2[[#This Row],[Employee Name]],'Base Schedules'!$A$243:$AW$281,13,FALSE)="","",VLOOKUP(Thu_W2[[#This Row],[Employee Name]],'Base Schedules'!$A$243:$AW$281,13,FALSE)),"")</f>
        <v>HL</v>
      </c>
      <c r="O19" s="184" t="str">
        <f>IFERROR(IF(VLOOKUP(Thu_W2[[#This Row],[Employee Name]],'Base Schedules'!$A$243:$AW$281,14,FALSE)="","",VLOOKUP(Thu_W2[[#This Row],[Employee Name]],'Base Schedules'!$A$243:$AW$281,14,FALSE)),"")</f>
        <v>HL</v>
      </c>
      <c r="P19" s="184" t="str">
        <f>IFERROR(IF(VLOOKUP(Thu_W2[[#This Row],[Employee Name]],'Base Schedules'!$A$243:$AW$281,15,FALSE)="","",VLOOKUP(Thu_W2[[#This Row],[Employee Name]],'Base Schedules'!$A$243:$AW$281,15,FALSE)),"")</f>
        <v>HL</v>
      </c>
      <c r="Q19" s="184" t="str">
        <f>IFERROR(IF(VLOOKUP(Thu_W2[[#This Row],[Employee Name]],'Base Schedules'!$A$243:$AW$281,16,FALSE)="","",VLOOKUP(Thu_W2[[#This Row],[Employee Name]],'Base Schedules'!$A$243:$AW$281,16,FALSE)),"")</f>
        <v>HL</v>
      </c>
      <c r="R19" s="184" t="str">
        <f>IFERROR(IF(VLOOKUP(Thu_W2[[#This Row],[Employee Name]],'Base Schedules'!$A$243:$AW$281,17,FALSE)="","",VLOOKUP(Thu_W2[[#This Row],[Employee Name]],'Base Schedules'!$A$243:$AW$281,17,FALSE)),"")</f>
        <v>B1 ADM</v>
      </c>
      <c r="S19" s="184" t="str">
        <f>IFERROR(IF(VLOOKUP(Thu_W2[[#This Row],[Employee Name]],'Base Schedules'!$A$243:$AW$281,18,FALSE)="","",VLOOKUP(Thu_W2[[#This Row],[Employee Name]],'Base Schedules'!$A$243:$AW$281,18,FALSE)),"")</f>
        <v>ADM</v>
      </c>
      <c r="T19" s="184" t="str">
        <f>IFERROR(IF(VLOOKUP(Thu_W2[[#This Row],[Employee Name]],'Base Schedules'!$A$243:$AW$281,19,FALSE)="","",VLOOKUP(Thu_W2[[#This Row],[Employee Name]],'Base Schedules'!$A$243:$AW$281,19,FALSE)),"")</f>
        <v>ADM</v>
      </c>
      <c r="U19" s="184" t="str">
        <f>IFERROR(IF(VLOOKUP(Thu_W2[[#This Row],[Employee Name]],'Base Schedules'!$A$243:$AW$281,20,FALSE)="","",VLOOKUP(Thu_W2[[#This Row],[Employee Name]],'Base Schedules'!$A$243:$AW$281,20,FALSE)),"")</f>
        <v>ADM</v>
      </c>
      <c r="V19" s="184" t="str">
        <f>IFERROR(IF(VLOOKUP(Thu_W2[[#This Row],[Employee Name]],'Base Schedules'!$A$243:$AW$281,21,FALSE)="","",VLOOKUP(Thu_W2[[#This Row],[Employee Name]],'Base Schedules'!$A$243:$AW$281,21,FALSE)),"")</f>
        <v>HL</v>
      </c>
      <c r="W19" s="184" t="str">
        <f>IFERROR(IF(VLOOKUP(Thu_W2[[#This Row],[Employee Name]],'Base Schedules'!$A$243:$AW$281,22,FALSE)="","",VLOOKUP(Thu_W2[[#This Row],[Employee Name]],'Base Schedules'!$A$243:$AW$281,22,FALSE)),"")</f>
        <v>LUNCH</v>
      </c>
      <c r="X19" s="184" t="str">
        <f>IFERROR(IF(VLOOKUP(Thu_W2[[#This Row],[Employee Name]],'Base Schedules'!$A$243:$AW$281,23,FALSE)="","",VLOOKUP(Thu_W2[[#This Row],[Employee Name]],'Base Schedules'!$A$243:$AW$281,23,FALSE)),"")</f>
        <v>LUNCH</v>
      </c>
      <c r="Y19" s="184" t="str">
        <f>IFERROR(IF(VLOOKUP(Thu_W2[[#This Row],[Employee Name]],'Base Schedules'!$A$243:$AW$281,24,FALSE)="","",VLOOKUP(Thu_W2[[#This Row],[Employee Name]],'Base Schedules'!$A$243:$AW$281,24,FALSE)),"")</f>
        <v>ADM</v>
      </c>
      <c r="Z19" s="184" t="str">
        <f>IFERROR(IF(VLOOKUP(Thu_W2[[#This Row],[Employee Name]],'Base Schedules'!$A$243:$AW$281,25,FALSE)="","",VLOOKUP(Thu_W2[[#This Row],[Employee Name]],'Base Schedules'!$A$243:$AW$281,25,FALSE)),"")</f>
        <v>HL</v>
      </c>
      <c r="AA19" s="184" t="str">
        <f>IFERROR(IF(VLOOKUP(Thu_W2[[#This Row],[Employee Name]],'Base Schedules'!$A$243:$AW$281,26,FALSE)="","",VLOOKUP(Thu_W2[[#This Row],[Employee Name]],'Base Schedules'!$A$243:$AW$281,26,FALSE)),"")</f>
        <v>HL</v>
      </c>
      <c r="AB19" s="184" t="str">
        <f>IFERROR(IF(VLOOKUP(Thu_W2[[#This Row],[Employee Name]],'Base Schedules'!$A$243:$AW$281,27,FALSE)="","",VLOOKUP(Thu_W2[[#This Row],[Employee Name]],'Base Schedules'!$A$243:$AW$281,27,FALSE)),"")</f>
        <v>B2 ADM</v>
      </c>
      <c r="AC19" s="184" t="str">
        <f>IFERROR(IF(VLOOKUP(Thu_W2[[#This Row],[Employee Name]],'Base Schedules'!$A$243:$AW$281,28,FALSE)="","",VLOOKUP(Thu_W2[[#This Row],[Employee Name]],'Base Schedules'!$A$243:$AW$281,28,FALSE)),"")</f>
        <v>ADM</v>
      </c>
      <c r="AD19" s="184" t="str">
        <f>IFERROR(IF(VLOOKUP(Thu_W2[[#This Row],[Employee Name]],'Base Schedules'!$A$243:$AW$281,29,FALSE)="","",VLOOKUP(Thu_W2[[#This Row],[Employee Name]],'Base Schedules'!$A$243:$AW$281,29,FALSE)),"")</f>
        <v>HL</v>
      </c>
      <c r="AE19" s="184" t="str">
        <f>IFERROR(IF(VLOOKUP(Thu_W2[[#This Row],[Employee Name]],'Base Schedules'!$A$243:$AW$281,30,FALSE)="","",VLOOKUP(Thu_W2[[#This Row],[Employee Name]],'Base Schedules'!$A$243:$AW$281,30,FALSE)),"")</f>
        <v>HL</v>
      </c>
      <c r="AF19" s="184" t="str">
        <f>IFERROR(IF(VLOOKUP(Thu_W2[[#This Row],[Employee Name]],'Base Schedules'!$A$243:$AW$281,31,FALSE)="","",VLOOKUP(Thu_W2[[#This Row],[Employee Name]],'Base Schedules'!$A$243:$AW$281,31,FALSE)),"")</f>
        <v/>
      </c>
      <c r="AG19" s="184" t="str">
        <f>IFERROR(IF(VLOOKUP(Thu_W2[[#This Row],[Employee Name]],'Base Schedules'!$A$243:$AW$281,32,FALSE)="","",VLOOKUP(Thu_W2[[#This Row],[Employee Name]],'Base Schedules'!$A$243:$AW$281,32,FALSE)),"")</f>
        <v/>
      </c>
      <c r="AH19" s="184" t="str">
        <f>IFERROR(IF(VLOOKUP(Thu_W2[[#This Row],[Employee Name]],'Base Schedules'!$A$243:$AW$281,33,FALSE)="","",VLOOKUP(Thu_W2[[#This Row],[Employee Name]],'Base Schedules'!$A$243:$AW$281,33,FALSE)),"")</f>
        <v/>
      </c>
      <c r="AI19" s="184" t="str">
        <f>IFERROR(IF(VLOOKUP(Thu_W2[[#This Row],[Employee Name]],'Base Schedules'!$A$243:$AW$281,34,FALSE)="","",VLOOKUP(Thu_W2[[#This Row],[Employee Name]],'Base Schedules'!$A$243:$AW$281,34,FALSE)),"")</f>
        <v/>
      </c>
      <c r="AJ19" s="184" t="str">
        <f>IFERROR(IF(VLOOKUP(Thu_W2[[#This Row],[Employee Name]],'Base Schedules'!$A$243:$AW$281,35,FALSE)="","",VLOOKUP(Thu_W2[[#This Row],[Employee Name]],'Base Schedules'!$A$243:$AW$281,35,FALSE)),"")</f>
        <v/>
      </c>
      <c r="AK19" s="184" t="str">
        <f>IFERROR(IF(VLOOKUP(Thu_W2[[#This Row],[Employee Name]],'Base Schedules'!$A$243:$AW$281,36,FALSE)="","",VLOOKUP(Thu_W2[[#This Row],[Employee Name]],'Base Schedules'!$A$243:$AW$281,36,FALSE)),"")</f>
        <v/>
      </c>
      <c r="AL19" s="184" t="str">
        <f>IFERROR(IF(VLOOKUP(Thu_W2[[#This Row],[Employee Name]],'Base Schedules'!$A$243:$AW$281,37,FALSE)="","",VLOOKUP(Thu_W2[[#This Row],[Employee Name]],'Base Schedules'!$A$243:$AW$281,37,FALSE)),"")</f>
        <v/>
      </c>
      <c r="AM19" s="184" t="str">
        <f>IFERROR(IF(VLOOKUP(Thu_W2[[#This Row],[Employee Name]],'Base Schedules'!$A$243:$AW$281,38,FALSE)="","",VLOOKUP(Thu_W2[[#This Row],[Employee Name]],'Base Schedules'!$A$243:$AW$281,38,FALSE)),"")</f>
        <v/>
      </c>
      <c r="AN19" s="184" t="str">
        <f>IFERROR(IF(VLOOKUP(Thu_W2[[#This Row],[Employee Name]],'Base Schedules'!$A$243:$AW$281,39,FALSE)="","",VLOOKUP(Thu_W2[[#This Row],[Employee Name]],'Base Schedules'!$A$243:$AW$281,39,FALSE)),"")</f>
        <v/>
      </c>
      <c r="AO19" s="184" t="str">
        <f>IFERROR(IF(VLOOKUP(Thu_W2[[#This Row],[Employee Name]],'Base Schedules'!$A$243:$AW$281,40,FALSE)="","",VLOOKUP(Thu_W2[[#This Row],[Employee Name]],'Base Schedules'!$A$243:$AW$281,40,FALSE)),"")</f>
        <v/>
      </c>
      <c r="AP19" s="184" t="str">
        <f>IFERROR(IF(VLOOKUP(Thu_W2[[#This Row],[Employee Name]],'Base Schedules'!$A$243:$AW$281,41,FALSE)="","",VLOOKUP(Thu_W2[[#This Row],[Employee Name]],'Base Schedules'!$A$243:$AW$281,41,FALSE)),"")</f>
        <v/>
      </c>
      <c r="AQ19" s="184" t="str">
        <f>IFERROR(IF(VLOOKUP(Thu_W2[[#This Row],[Employee Name]],'Base Schedules'!$A$243:$AW$281,42,FALSE)="","",VLOOKUP(Thu_W2[[#This Row],[Employee Name]],'Base Schedules'!$A$243:$AW$281,42,FALSE)),"")</f>
        <v/>
      </c>
      <c r="AR19" s="184" t="str">
        <f>IFERROR(IF(VLOOKUP(Thu_W2[[#This Row],[Employee Name]],'Base Schedules'!$A$243:$AW$281,43,FALSE)="","",VLOOKUP(Thu_W2[[#This Row],[Employee Name]],'Base Schedules'!$A$243:$AW$281,43,FALSE)),"")</f>
        <v/>
      </c>
      <c r="AS19" s="184" t="str">
        <f>IFERROR(IF(VLOOKUP(Thu_W2[[#This Row],[Employee Name]],'Base Schedules'!$A$243:$AW$281,44,FALSE)="","",VLOOKUP(Thu_W2[[#This Row],[Employee Name]],'Base Schedules'!$A$243:$AW$281,44,FALSE)),"")</f>
        <v/>
      </c>
      <c r="AT19" s="184" t="str">
        <f>IFERROR(IF(VLOOKUP(Thu_W2[[#This Row],[Employee Name]],'Base Schedules'!$A$243:$AW$281,45,FALSE)="","",VLOOKUP(Thu_W2[[#This Row],[Employee Name]],'Base Schedules'!$A$243:$AW$281,45,FALSE)),"")</f>
        <v/>
      </c>
      <c r="AU19" s="184" t="str">
        <f>IFERROR(IF(VLOOKUP(Thu_W2[[#This Row],[Employee Name]],'Base Schedules'!$A$243:$AW$281,46,FALSE)="","",VLOOKUP(Thu_W2[[#This Row],[Employee Name]],'Base Schedules'!$A$243:$AW$281,46,FALSE)),"")</f>
        <v/>
      </c>
      <c r="AV19" s="184" t="str">
        <f>IFERROR(IF(VLOOKUP(Thu_W2[[#This Row],[Employee Name]],'Base Schedules'!$A$243:$AW$281,47,FALSE)="","",VLOOKUP(Thu_W2[[#This Row],[Employee Name]],'Base Schedules'!$A$243:$AW$281,47,FALSE)),"")</f>
        <v/>
      </c>
      <c r="AW19" s="184" t="str">
        <f>IFERROR(IF(VLOOKUP(Thu_W2[[#This Row],[Employee Name]],'Base Schedules'!$A$243:$AW$281,48,FALSE)="","",VLOOKUP(Thu_W2[[#This Row],[Employee Name]],'Base Schedules'!$A$243:$AW$281,48,FALSE)),"")</f>
        <v/>
      </c>
      <c r="AX19" s="184" t="str">
        <f>IFERROR(IF(VLOOKUP(Thu_W2[[#This Row],[Employee Name]],'Base Schedules'!$A$243:$AW$281,49,FALSE)="","",VLOOKUP(Thu_W2[[#This Row],[Employee Name]],'Base Schedules'!$A$243:$AW$281,49,FALSE)),"")</f>
        <v/>
      </c>
      <c r="AY19" s="245" t="str">
        <f t="shared" si="2"/>
        <v>Benish, Elisha</v>
      </c>
    </row>
    <row r="20" spans="1:51" s="44" customFormat="1" ht="12" customHeight="1" x14ac:dyDescent="0.2">
      <c r="A20" s="39" t="str">
        <f>IF(B20="","",INDEX(TeamList[],MATCH($B20,TeamList[[Employee Name]:[Employee Name]],0),MATCH("Manager",TeamList[#Headers],0)))</f>
        <v>Ahmed Hassan, Zahra</v>
      </c>
      <c r="B20" s="201" t="s">
        <v>51</v>
      </c>
      <c r="C20" s="257" t="str">
        <f>_xlfn.IFNA(VLOOKUP(Thu_W2[[#This Row],[Employee Name]],'Base Schedules'!A:B,2,FALSE),"")</f>
        <v>Supervisor</v>
      </c>
      <c r="D20" s="274">
        <f>_xlfn.IFNA(VLOOKUP(Thu_W2[[#This Row],[Employee Name]],'Base Schedules'!A:C,3,FALSE),"")</f>
        <v>700</v>
      </c>
      <c r="E20" s="274">
        <f>_xlfn.IFNA(VLOOKUP(Thu_W2[[#This Row],[Employee Name]],'Base Schedules'!A:D,4,FALSE),"")</f>
        <v>1600</v>
      </c>
      <c r="F20" s="142">
        <f>IF(Thu_W2[[#This Row],[Employee Name]]="","",IF(Thu_W2[[#This Row],[Dept]]="Supervisor",COUNTIFS($J20:$AX20,"*HL*",$J20:$AX20,"&lt;&gt;"&amp;"pHL"),COUNTIFS($J20:$AX20,"*HL*",$J20:$AX20,"&lt;&gt;"&amp;"*pHL*",$J20:$AX20,"&lt;&gt;"&amp;"pB1 HL",$J20:$AX20,"&lt;&gt;"&amp;"pB2 HL")-SUM(COUNTIFS($J20:$AX20,"*HL B1*",$J20:$AX20,"&lt;&gt;"&amp;"pHL B1")*0.5,COUNTIFS($J20:$AX20,"*HL B2*",$J20:$AX20,"&lt;&gt;"&amp;"pHL B2")*0.5,COUNTIFS($J20:$AX20,"*B1 HL*",$J20:$AX20,"&lt;&gt;"&amp;"pB1 HL")*0.5,COUNTIFS($J20:$AX20,"*B2 HL*",$J20:$AX20,"&lt;&gt;"&amp;"pB2 HL")*0.5)))</f>
        <v>0</v>
      </c>
      <c r="G20" s="142">
        <f t="shared" si="0"/>
        <v>5</v>
      </c>
      <c r="H20" s="142">
        <f t="shared" si="1"/>
        <v>0</v>
      </c>
      <c r="I20" s="142">
        <f>IF(Thu_W2[[#This Row],[Employee Name]]="","",IF(Thu_W2[[#This Row],[Dept]]="Supervisor",SUM(COUNTIFS($J20:$AX20,"RTA*",$J20:$AX20,"&lt;&gt;"&amp;"pRTA"),COUNTIFS($J20:$AX20,"*CRTA*",$J20:$AX20,"&lt;&gt;"&amp;"pCRTA")),COUNTIFS($J20:$AX20,"*RNNR*",$J20:$AX20,"&lt;&gt;"&amp;"*pRNNR*",$J20:$AX20,"&lt;&gt;"&amp;"pB1 RNNR",$J20:$AX20,"&lt;&gt;"&amp;"pB2 RNNR")-SUM(COUNTIFS($J20:$AX20,"*RNNR B1*",$J20:$AX20,"&lt;&gt;"&amp;"pRNNR B1")*0.5,COUNTIFS($J20:$AX20,"*RNNR B2*",$J20:$AX20,"&lt;&gt;"&amp;"pRNNR B2")*0.5,COUNTIFS($J20:$AX20,"*B1 RNNR*",$J20:$AX20,"&lt;&gt;"&amp;"pB1 RNNR")*0.5,COUNTIFS($J20:$AX20,"*B2 RNNR*",$J20:$AX20,"&lt;&gt;"&amp;"pB2 RNNR")*0.5)))</f>
        <v>0</v>
      </c>
      <c r="J20" s="184" t="str">
        <f>IFERROR(IF(VLOOKUP(Thu_W2[[#This Row],[Employee Name]],'Base Schedules'!$A$243:$AW$281,9,FALSE)="","",VLOOKUP(Thu_W2[[#This Row],[Employee Name]],'Base Schedules'!$A$243:$AW$281,9,FALSE)),"")</f>
        <v/>
      </c>
      <c r="K20" s="184" t="str">
        <f>IFERROR(IF(VLOOKUP(Thu_W2[[#This Row],[Employee Name]],'Base Schedules'!$A$243:$AW$281,10,FALSE)="","",VLOOKUP(Thu_W2[[#This Row],[Employee Name]],'Base Schedules'!$A$243:$AW$281,10,FALSE)),"")</f>
        <v/>
      </c>
      <c r="L20" s="184" t="str">
        <f>IFERROR(IF(VLOOKUP(Thu_W2[[#This Row],[Employee Name]],'Base Schedules'!$A$243:$AW$281,11,FALSE)="","",VLOOKUP(Thu_W2[[#This Row],[Employee Name]],'Base Schedules'!$A$243:$AW$281,11,FALSE)),"")</f>
        <v/>
      </c>
      <c r="M20" s="184" t="str">
        <f>IFERROR(IF(VLOOKUP(Thu_W2[[#This Row],[Employee Name]],'Base Schedules'!$A$243:$AW$281,12,FALSE)="","",VLOOKUP(Thu_W2[[#This Row],[Employee Name]],'Base Schedules'!$A$243:$AW$281,12,FALSE)),"")</f>
        <v/>
      </c>
      <c r="N20" s="184" t="str">
        <f>IFERROR(IF(VLOOKUP(Thu_W2[[#This Row],[Employee Name]],'Base Schedules'!$A$243:$AW$281,13,FALSE)="","",VLOOKUP(Thu_W2[[#This Row],[Employee Name]],'Base Schedules'!$A$243:$AW$281,13,FALSE)),"")</f>
        <v>-</v>
      </c>
      <c r="O20" s="184" t="str">
        <f>IFERROR(IF(VLOOKUP(Thu_W2[[#This Row],[Employee Name]],'Base Schedules'!$A$243:$AW$281,14,FALSE)="","",VLOOKUP(Thu_W2[[#This Row],[Employee Name]],'Base Schedules'!$A$243:$AW$281,14,FALSE)),"")</f>
        <v>-</v>
      </c>
      <c r="P20" s="184" t="str">
        <f>IFERROR(IF(VLOOKUP(Thu_W2[[#This Row],[Employee Name]],'Base Schedules'!$A$243:$AW$281,15,FALSE)="","",VLOOKUP(Thu_W2[[#This Row],[Employee Name]],'Base Schedules'!$A$243:$AW$281,15,FALSE)),"")</f>
        <v>-</v>
      </c>
      <c r="Q20" s="184" t="str">
        <f>IFERROR(IF(VLOOKUP(Thu_W2[[#This Row],[Employee Name]],'Base Schedules'!$A$243:$AW$281,16,FALSE)="","",VLOOKUP(Thu_W2[[#This Row],[Employee Name]],'Base Schedules'!$A$243:$AW$281,16,FALSE)),"")</f>
        <v>-</v>
      </c>
      <c r="R20" s="184" t="str">
        <f>IFERROR(IF(VLOOKUP(Thu_W2[[#This Row],[Employee Name]],'Base Schedules'!$A$243:$AW$281,17,FALSE)="","",VLOOKUP(Thu_W2[[#This Row],[Employee Name]],'Base Schedules'!$A$243:$AW$281,17,FALSE)),"")</f>
        <v>-</v>
      </c>
      <c r="S20" s="184" t="str">
        <f>IFERROR(IF(VLOOKUP(Thu_W2[[#This Row],[Employee Name]],'Base Schedules'!$A$243:$AW$281,18,FALSE)="","",VLOOKUP(Thu_W2[[#This Row],[Employee Name]],'Base Schedules'!$A$243:$AW$281,18,FALSE)),"")</f>
        <v>-</v>
      </c>
      <c r="T20" s="184" t="str">
        <f>IFERROR(IF(VLOOKUP(Thu_W2[[#This Row],[Employee Name]],'Base Schedules'!$A$243:$AW$281,19,FALSE)="","",VLOOKUP(Thu_W2[[#This Row],[Employee Name]],'Base Schedules'!$A$243:$AW$281,19,FALSE)),"")</f>
        <v>Interview</v>
      </c>
      <c r="U20" s="184" t="str">
        <f>IFERROR(IF(VLOOKUP(Thu_W2[[#This Row],[Employee Name]],'Base Schedules'!$A$243:$AW$281,20,FALSE)="","",VLOOKUP(Thu_W2[[#This Row],[Employee Name]],'Base Schedules'!$A$243:$AW$281,20,FALSE)),"")</f>
        <v>Interview</v>
      </c>
      <c r="V20" s="184" t="str">
        <f>IFERROR(IF(VLOOKUP(Thu_W2[[#This Row],[Employee Name]],'Base Schedules'!$A$243:$AW$281,21,FALSE)="","",VLOOKUP(Thu_W2[[#This Row],[Employee Name]],'Base Schedules'!$A$243:$AW$281,21,FALSE)),"")</f>
        <v>Coaching</v>
      </c>
      <c r="W20" s="184" t="str">
        <f>IFERROR(IF(VLOOKUP(Thu_W2[[#This Row],[Employee Name]],'Base Schedules'!$A$243:$AW$281,22,FALSE)="","",VLOOKUP(Thu_W2[[#This Row],[Employee Name]],'Base Schedules'!$A$243:$AW$281,22,FALSE)),"")</f>
        <v>Coaching</v>
      </c>
      <c r="X20" s="184" t="str">
        <f>IFERROR(IF(VLOOKUP(Thu_W2[[#This Row],[Employee Name]],'Base Schedules'!$A$243:$AW$281,23,FALSE)="","",VLOOKUP(Thu_W2[[#This Row],[Employee Name]],'Base Schedules'!$A$243:$AW$281,23,FALSE)),"")</f>
        <v>-</v>
      </c>
      <c r="Y20" s="184" t="str">
        <f>IFERROR(IF(VLOOKUP(Thu_W2[[#This Row],[Employee Name]],'Base Schedules'!$A$243:$AW$281,24,FALSE)="","",VLOOKUP(Thu_W2[[#This Row],[Employee Name]],'Base Schedules'!$A$243:$AW$281,24,FALSE)),"")</f>
        <v>-</v>
      </c>
      <c r="Z20" s="184" t="str">
        <f>IFERROR(IF(VLOOKUP(Thu_W2[[#This Row],[Employee Name]],'Base Schedules'!$A$243:$AW$281,25,FALSE)="","",VLOOKUP(Thu_W2[[#This Row],[Employee Name]],'Base Schedules'!$A$243:$AW$281,25,FALSE)),"")</f>
        <v>-</v>
      </c>
      <c r="AA20" s="184" t="str">
        <f>IFERROR(IF(VLOOKUP(Thu_W2[[#This Row],[Employee Name]],'Base Schedules'!$A$243:$AW$281,26,FALSE)="","",VLOOKUP(Thu_W2[[#This Row],[Employee Name]],'Base Schedules'!$A$243:$AW$281,26,FALSE)),"")</f>
        <v>Coaching</v>
      </c>
      <c r="AB20" s="184" t="str">
        <f>IFERROR(IF(VLOOKUP(Thu_W2[[#This Row],[Employee Name]],'Base Schedules'!$A$243:$AW$281,27,FALSE)="","",VLOOKUP(Thu_W2[[#This Row],[Employee Name]],'Base Schedules'!$A$243:$AW$281,27,FALSE)),"")</f>
        <v>Coaching</v>
      </c>
      <c r="AC20" s="184" t="str">
        <f>IFERROR(IF(VLOOKUP(Thu_W2[[#This Row],[Employee Name]],'Base Schedules'!$A$243:$AW$281,28,FALSE)="","",VLOOKUP(Thu_W2[[#This Row],[Employee Name]],'Base Schedules'!$A$243:$AW$281,28,FALSE)),"")</f>
        <v>Coaching</v>
      </c>
      <c r="AD20" s="184" t="str">
        <f>IFERROR(IF(VLOOKUP(Thu_W2[[#This Row],[Employee Name]],'Base Schedules'!$A$243:$AW$281,29,FALSE)="","",VLOOKUP(Thu_W2[[#This Row],[Employee Name]],'Base Schedules'!$A$243:$AW$281,29,FALSE)),"")</f>
        <v>-</v>
      </c>
      <c r="AE20" s="184" t="str">
        <f>IFERROR(IF(VLOOKUP(Thu_W2[[#This Row],[Employee Name]],'Base Schedules'!$A$243:$AW$281,30,FALSE)="","",VLOOKUP(Thu_W2[[#This Row],[Employee Name]],'Base Schedules'!$A$243:$AW$281,30,FALSE)),"")</f>
        <v>-</v>
      </c>
      <c r="AF20" s="184" t="str">
        <f>IFERROR(IF(VLOOKUP(Thu_W2[[#This Row],[Employee Name]],'Base Schedules'!$A$243:$AW$281,31,FALSE)="","",VLOOKUP(Thu_W2[[#This Row],[Employee Name]],'Base Schedules'!$A$243:$AW$281,31,FALSE)),"")</f>
        <v/>
      </c>
      <c r="AG20" s="184" t="str">
        <f>IFERROR(IF(VLOOKUP(Thu_W2[[#This Row],[Employee Name]],'Base Schedules'!$A$243:$AW$281,32,FALSE)="","",VLOOKUP(Thu_W2[[#This Row],[Employee Name]],'Base Schedules'!$A$243:$AW$281,32,FALSE)),"")</f>
        <v/>
      </c>
      <c r="AH20" s="184" t="str">
        <f>IFERROR(IF(VLOOKUP(Thu_W2[[#This Row],[Employee Name]],'Base Schedules'!$A$243:$AW$281,33,FALSE)="","",VLOOKUP(Thu_W2[[#This Row],[Employee Name]],'Base Schedules'!$A$243:$AW$281,33,FALSE)),"")</f>
        <v/>
      </c>
      <c r="AI20" s="184" t="str">
        <f>IFERROR(IF(VLOOKUP(Thu_W2[[#This Row],[Employee Name]],'Base Schedules'!$A$243:$AW$281,34,FALSE)="","",VLOOKUP(Thu_W2[[#This Row],[Employee Name]],'Base Schedules'!$A$243:$AW$281,34,FALSE)),"")</f>
        <v/>
      </c>
      <c r="AJ20" s="184" t="str">
        <f>IFERROR(IF(VLOOKUP(Thu_W2[[#This Row],[Employee Name]],'Base Schedules'!$A$243:$AW$281,35,FALSE)="","",VLOOKUP(Thu_W2[[#This Row],[Employee Name]],'Base Schedules'!$A$243:$AW$281,35,FALSE)),"")</f>
        <v/>
      </c>
      <c r="AK20" s="184" t="str">
        <f>IFERROR(IF(VLOOKUP(Thu_W2[[#This Row],[Employee Name]],'Base Schedules'!$A$243:$AW$281,36,FALSE)="","",VLOOKUP(Thu_W2[[#This Row],[Employee Name]],'Base Schedules'!$A$243:$AW$281,36,FALSE)),"")</f>
        <v/>
      </c>
      <c r="AL20" s="184" t="str">
        <f>IFERROR(IF(VLOOKUP(Thu_W2[[#This Row],[Employee Name]],'Base Schedules'!$A$243:$AW$281,37,FALSE)="","",VLOOKUP(Thu_W2[[#This Row],[Employee Name]],'Base Schedules'!$A$243:$AW$281,37,FALSE)),"")</f>
        <v/>
      </c>
      <c r="AM20" s="184" t="str">
        <f>IFERROR(IF(VLOOKUP(Thu_W2[[#This Row],[Employee Name]],'Base Schedules'!$A$243:$AW$281,38,FALSE)="","",VLOOKUP(Thu_W2[[#This Row],[Employee Name]],'Base Schedules'!$A$243:$AW$281,38,FALSE)),"")</f>
        <v/>
      </c>
      <c r="AN20" s="184" t="str">
        <f>IFERROR(IF(VLOOKUP(Thu_W2[[#This Row],[Employee Name]],'Base Schedules'!$A$243:$AW$281,39,FALSE)="","",VLOOKUP(Thu_W2[[#This Row],[Employee Name]],'Base Schedules'!$A$243:$AW$281,39,FALSE)),"")</f>
        <v/>
      </c>
      <c r="AO20" s="184" t="str">
        <f>IFERROR(IF(VLOOKUP(Thu_W2[[#This Row],[Employee Name]],'Base Schedules'!$A$243:$AW$281,40,FALSE)="","",VLOOKUP(Thu_W2[[#This Row],[Employee Name]],'Base Schedules'!$A$243:$AW$281,40,FALSE)),"")</f>
        <v/>
      </c>
      <c r="AP20" s="184" t="str">
        <f>IFERROR(IF(VLOOKUP(Thu_W2[[#This Row],[Employee Name]],'Base Schedules'!$A$243:$AW$281,41,FALSE)="","",VLOOKUP(Thu_W2[[#This Row],[Employee Name]],'Base Schedules'!$A$243:$AW$281,41,FALSE)),"")</f>
        <v/>
      </c>
      <c r="AQ20" s="184" t="str">
        <f>IFERROR(IF(VLOOKUP(Thu_W2[[#This Row],[Employee Name]],'Base Schedules'!$A$243:$AW$281,42,FALSE)="","",VLOOKUP(Thu_W2[[#This Row],[Employee Name]],'Base Schedules'!$A$243:$AW$281,42,FALSE)),"")</f>
        <v/>
      </c>
      <c r="AR20" s="184" t="str">
        <f>IFERROR(IF(VLOOKUP(Thu_W2[[#This Row],[Employee Name]],'Base Schedules'!$A$243:$AW$281,43,FALSE)="","",VLOOKUP(Thu_W2[[#This Row],[Employee Name]],'Base Schedules'!$A$243:$AW$281,43,FALSE)),"")</f>
        <v/>
      </c>
      <c r="AS20" s="184" t="str">
        <f>IFERROR(IF(VLOOKUP(Thu_W2[[#This Row],[Employee Name]],'Base Schedules'!$A$243:$AW$281,44,FALSE)="","",VLOOKUP(Thu_W2[[#This Row],[Employee Name]],'Base Schedules'!$A$243:$AW$281,44,FALSE)),"")</f>
        <v/>
      </c>
      <c r="AT20" s="184" t="str">
        <f>IFERROR(IF(VLOOKUP(Thu_W2[[#This Row],[Employee Name]],'Base Schedules'!$A$243:$AW$281,45,FALSE)="","",VLOOKUP(Thu_W2[[#This Row],[Employee Name]],'Base Schedules'!$A$243:$AW$281,45,FALSE)),"")</f>
        <v/>
      </c>
      <c r="AU20" s="184" t="str">
        <f>IFERROR(IF(VLOOKUP(Thu_W2[[#This Row],[Employee Name]],'Base Schedules'!$A$243:$AW$281,46,FALSE)="","",VLOOKUP(Thu_W2[[#This Row],[Employee Name]],'Base Schedules'!$A$243:$AW$281,46,FALSE)),"")</f>
        <v/>
      </c>
      <c r="AV20" s="184" t="str">
        <f>IFERROR(IF(VLOOKUP(Thu_W2[[#This Row],[Employee Name]],'Base Schedules'!$A$243:$AW$281,47,FALSE)="","",VLOOKUP(Thu_W2[[#This Row],[Employee Name]],'Base Schedules'!$A$243:$AW$281,47,FALSE)),"")</f>
        <v/>
      </c>
      <c r="AW20" s="184" t="str">
        <f>IFERROR(IF(VLOOKUP(Thu_W2[[#This Row],[Employee Name]],'Base Schedules'!$A$243:$AW$281,48,FALSE)="","",VLOOKUP(Thu_W2[[#This Row],[Employee Name]],'Base Schedules'!$A$243:$AW$281,48,FALSE)),"")</f>
        <v/>
      </c>
      <c r="AX20" s="184" t="str">
        <f>IFERROR(IF(VLOOKUP(Thu_W2[[#This Row],[Employee Name]],'Base Schedules'!$A$243:$AW$281,49,FALSE)="","",VLOOKUP(Thu_W2[[#This Row],[Employee Name]],'Base Schedules'!$A$243:$AW$281,49,FALSE)),"")</f>
        <v/>
      </c>
      <c r="AY20" s="245" t="str">
        <f t="shared" si="2"/>
        <v>Martin, Gary</v>
      </c>
    </row>
    <row r="21" spans="1:51" s="44" customFormat="1" ht="12" customHeight="1" x14ac:dyDescent="0.2">
      <c r="A21" s="39" t="str">
        <f>IF(B21="","",INDEX(TeamList[],MATCH($B21,TeamList[[Employee Name]:[Employee Name]],0),MATCH("Manager",TeamList[#Headers],0)))</f>
        <v>Olson, Katherine</v>
      </c>
      <c r="B21" s="201" t="s">
        <v>237</v>
      </c>
      <c r="C21" s="257" t="str">
        <f>_xlfn.IFNA(VLOOKUP(Thu_W2[[#This Row],[Employee Name]],'Base Schedules'!A:B,2,FALSE),"")</f>
        <v>Lead</v>
      </c>
      <c r="D21" s="274">
        <f>_xlfn.IFNA(VLOOKUP(Thu_W2[[#This Row],[Employee Name]],'Base Schedules'!A:C,3,FALSE),"")</f>
        <v>730</v>
      </c>
      <c r="E21" s="274">
        <f>_xlfn.IFNA(VLOOKUP(Thu_W2[[#This Row],[Employee Name]],'Base Schedules'!A:D,4,FALSE),"")</f>
        <v>1600</v>
      </c>
      <c r="F21" s="142">
        <f>IF(Thu_W2[[#This Row],[Employee Name]]="","",IF(Thu_W2[[#This Row],[Dept]]="Supervisor",COUNTIFS($J21:$AX21,"*HL*",$J21:$AX21,"&lt;&gt;"&amp;"pHL"),COUNTIFS($J21:$AX21,"*HL*",$J21:$AX21,"&lt;&gt;"&amp;"*pHL*",$J21:$AX21,"&lt;&gt;"&amp;"pB1 HL",$J21:$AX21,"&lt;&gt;"&amp;"pB2 HL")-SUM(COUNTIFS($J21:$AX21,"*HL B1*",$J21:$AX21,"&lt;&gt;"&amp;"pHL B1")*0.5,COUNTIFS($J21:$AX21,"*HL B2*",$J21:$AX21,"&lt;&gt;"&amp;"pHL B2")*0.5,COUNTIFS($J21:$AX21,"*B1 HL*",$J21:$AX21,"&lt;&gt;"&amp;"pB1 HL")*0.5,COUNTIFS($J21:$AX21,"*B2 HL*",$J21:$AX21,"&lt;&gt;"&amp;"pB2 HL")*0.5)))</f>
        <v>6</v>
      </c>
      <c r="G21" s="142">
        <f t="shared" si="0"/>
        <v>0</v>
      </c>
      <c r="H21" s="142">
        <f t="shared" si="1"/>
        <v>10</v>
      </c>
      <c r="I21" s="142">
        <f>IF(Thu_W2[[#This Row],[Employee Name]]="","",IF(Thu_W2[[#This Row],[Dept]]="Supervisor",SUM(COUNTIFS($J21:$AX21,"RTA*",$J21:$AX21,"&lt;&gt;"&amp;"pRTA"),COUNTIFS($J21:$AX21,"*CRTA*",$J21:$AX21,"&lt;&gt;"&amp;"pCRTA")),COUNTIFS($J21:$AX21,"*RNNR*",$J21:$AX21,"&lt;&gt;"&amp;"*pRNNR*",$J21:$AX21,"&lt;&gt;"&amp;"pB1 RNNR",$J21:$AX21,"&lt;&gt;"&amp;"pB2 RNNR")-SUM(COUNTIFS($J21:$AX21,"*RNNR B1*",$J21:$AX21,"&lt;&gt;"&amp;"pRNNR B1")*0.5,COUNTIFS($J21:$AX21,"*RNNR B2*",$J21:$AX21,"&lt;&gt;"&amp;"pRNNR B2")*0.5,COUNTIFS($J21:$AX21,"*B1 RNNR*",$J21:$AX21,"&lt;&gt;"&amp;"pB1 RNNR")*0.5,COUNTIFS($J21:$AX21,"*B2 RNNR*",$J21:$AX21,"&lt;&gt;"&amp;"pB2 RNNR")*0.5)))</f>
        <v>0</v>
      </c>
      <c r="J21" s="184" t="str">
        <f>IFERROR(IF(VLOOKUP(Thu_W2[[#This Row],[Employee Name]],'Base Schedules'!$A$243:$AW$281,9,FALSE)="","",VLOOKUP(Thu_W2[[#This Row],[Employee Name]],'Base Schedules'!$A$243:$AW$281,9,FALSE)),"")</f>
        <v/>
      </c>
      <c r="K21" s="184" t="str">
        <f>IFERROR(IF(VLOOKUP(Thu_W2[[#This Row],[Employee Name]],'Base Schedules'!$A$243:$AW$281,10,FALSE)="","",VLOOKUP(Thu_W2[[#This Row],[Employee Name]],'Base Schedules'!$A$243:$AW$281,10,FALSE)),"")</f>
        <v/>
      </c>
      <c r="L21" s="184" t="str">
        <f>IFERROR(IF(VLOOKUP(Thu_W2[[#This Row],[Employee Name]],'Base Schedules'!$A$243:$AW$281,11,FALSE)="","",VLOOKUP(Thu_W2[[#This Row],[Employee Name]],'Base Schedules'!$A$243:$AW$281,11,FALSE)),"")</f>
        <v/>
      </c>
      <c r="M21" s="184" t="str">
        <f>IFERROR(IF(VLOOKUP(Thu_W2[[#This Row],[Employee Name]],'Base Schedules'!$A$243:$AW$281,12,FALSE)="","",VLOOKUP(Thu_W2[[#This Row],[Employee Name]],'Base Schedules'!$A$243:$AW$281,12,FALSE)),"")</f>
        <v/>
      </c>
      <c r="N21" s="184" t="str">
        <f>IFERROR(IF(VLOOKUP(Thu_W2[[#This Row],[Employee Name]],'Base Schedules'!$A$243:$AW$281,13,FALSE)="","",VLOOKUP(Thu_W2[[#This Row],[Employee Name]],'Base Schedules'!$A$243:$AW$281,13,FALSE)),"")</f>
        <v/>
      </c>
      <c r="O21" s="184" t="str">
        <f>IFERROR(IF(VLOOKUP(Thu_W2[[#This Row],[Employee Name]],'Base Schedules'!$A$243:$AW$281,14,FALSE)="","",VLOOKUP(Thu_W2[[#This Row],[Employee Name]],'Base Schedules'!$A$243:$AW$281,14,FALSE)),"")</f>
        <v>HL</v>
      </c>
      <c r="P21" s="184" t="str">
        <f>IFERROR(IF(VLOOKUP(Thu_W2[[#This Row],[Employee Name]],'Base Schedules'!$A$243:$AW$281,15,FALSE)="","",VLOOKUP(Thu_W2[[#This Row],[Employee Name]],'Base Schedules'!$A$243:$AW$281,15,FALSE)),"")</f>
        <v>HL</v>
      </c>
      <c r="Q21" s="184" t="str">
        <f>IFERROR(IF(VLOOKUP(Thu_W2[[#This Row],[Employee Name]],'Base Schedules'!$A$243:$AW$281,16,FALSE)="","",VLOOKUP(Thu_W2[[#This Row],[Employee Name]],'Base Schedules'!$A$243:$AW$281,16,FALSE)),"")</f>
        <v>HL</v>
      </c>
      <c r="R21" s="184" t="str">
        <f>IFERROR(IF(VLOOKUP(Thu_W2[[#This Row],[Employee Name]],'Base Schedules'!$A$243:$AW$281,17,FALSE)="","",VLOOKUP(Thu_W2[[#This Row],[Employee Name]],'Base Schedules'!$A$243:$AW$281,17,FALSE)),"")</f>
        <v>ADM</v>
      </c>
      <c r="S21" s="184" t="str">
        <f>IFERROR(IF(VLOOKUP(Thu_W2[[#This Row],[Employee Name]],'Base Schedules'!$A$243:$AW$281,18,FALSE)="","",VLOOKUP(Thu_W2[[#This Row],[Employee Name]],'Base Schedules'!$A$243:$AW$281,18,FALSE)),"")</f>
        <v>B1 ADM</v>
      </c>
      <c r="T21" s="184" t="str">
        <f>IFERROR(IF(VLOOKUP(Thu_W2[[#This Row],[Employee Name]],'Base Schedules'!$A$243:$AW$281,19,FALSE)="","",VLOOKUP(Thu_W2[[#This Row],[Employee Name]],'Base Schedules'!$A$243:$AW$281,19,FALSE)),"")</f>
        <v>ADM</v>
      </c>
      <c r="U21" s="184" t="str">
        <f>IFERROR(IF(VLOOKUP(Thu_W2[[#This Row],[Employee Name]],'Base Schedules'!$A$243:$AW$281,20,FALSE)="","",VLOOKUP(Thu_W2[[#This Row],[Employee Name]],'Base Schedules'!$A$243:$AW$281,20,FALSE)),"")</f>
        <v>ADM</v>
      </c>
      <c r="V21" s="184" t="str">
        <f>IFERROR(IF(VLOOKUP(Thu_W2[[#This Row],[Employee Name]],'Base Schedules'!$A$243:$AW$281,21,FALSE)="","",VLOOKUP(Thu_W2[[#This Row],[Employee Name]],'Base Schedules'!$A$243:$AW$281,21,FALSE)),"")</f>
        <v>HL</v>
      </c>
      <c r="W21" s="184" t="str">
        <f>IFERROR(IF(VLOOKUP(Thu_W2[[#This Row],[Employee Name]],'Base Schedules'!$A$243:$AW$281,22,FALSE)="","",VLOOKUP(Thu_W2[[#This Row],[Employee Name]],'Base Schedules'!$A$243:$AW$281,22,FALSE)),"")</f>
        <v>HL</v>
      </c>
      <c r="X21" s="184" t="str">
        <f>IFERROR(IF(VLOOKUP(Thu_W2[[#This Row],[Employee Name]],'Base Schedules'!$A$243:$AW$281,23,FALSE)="","",VLOOKUP(Thu_W2[[#This Row],[Employee Name]],'Base Schedules'!$A$243:$AW$281,23,FALSE)),"")</f>
        <v>LUNCH</v>
      </c>
      <c r="Y21" s="184" t="str">
        <f>IFERROR(IF(VLOOKUP(Thu_W2[[#This Row],[Employee Name]],'Base Schedules'!$A$243:$AW$281,24,FALSE)="","",VLOOKUP(Thu_W2[[#This Row],[Employee Name]],'Base Schedules'!$A$243:$AW$281,24,FALSE)),"")</f>
        <v>HL</v>
      </c>
      <c r="Z21" s="184" t="str">
        <f>IFERROR(IF(VLOOKUP(Thu_W2[[#This Row],[Employee Name]],'Base Schedules'!$A$243:$AW$281,25,FALSE)="","",VLOOKUP(Thu_W2[[#This Row],[Employee Name]],'Base Schedules'!$A$243:$AW$281,25,FALSE)),"")</f>
        <v>ADM</v>
      </c>
      <c r="AA21" s="184" t="str">
        <f>IFERROR(IF(VLOOKUP(Thu_W2[[#This Row],[Employee Name]],'Base Schedules'!$A$243:$AW$281,26,FALSE)="","",VLOOKUP(Thu_W2[[#This Row],[Employee Name]],'Base Schedules'!$A$243:$AW$281,26,FALSE)),"")</f>
        <v>ADM</v>
      </c>
      <c r="AB21" s="184" t="str">
        <f>IFERROR(IF(VLOOKUP(Thu_W2[[#This Row],[Employee Name]],'Base Schedules'!$A$243:$AW$281,27,FALSE)="","",VLOOKUP(Thu_W2[[#This Row],[Employee Name]],'Base Schedules'!$A$243:$AW$281,27,FALSE)),"")</f>
        <v>ADM B2</v>
      </c>
      <c r="AC21" s="184" t="str">
        <f>IFERROR(IF(VLOOKUP(Thu_W2[[#This Row],[Employee Name]],'Base Schedules'!$A$243:$AW$281,28,FALSE)="","",VLOOKUP(Thu_W2[[#This Row],[Employee Name]],'Base Schedules'!$A$243:$AW$281,28,FALSE)),"")</f>
        <v>ADM</v>
      </c>
      <c r="AD21" s="184" t="str">
        <f>IFERROR(IF(VLOOKUP(Thu_W2[[#This Row],[Employee Name]],'Base Schedules'!$A$243:$AW$281,29,FALSE)="","",VLOOKUP(Thu_W2[[#This Row],[Employee Name]],'Base Schedules'!$A$243:$AW$281,29,FALSE)),"")</f>
        <v>ADM</v>
      </c>
      <c r="AE21" s="184" t="str">
        <f>IFERROR(IF(VLOOKUP(Thu_W2[[#This Row],[Employee Name]],'Base Schedules'!$A$243:$AW$281,30,FALSE)="","",VLOOKUP(Thu_W2[[#This Row],[Employee Name]],'Base Schedules'!$A$243:$AW$281,30,FALSE)),"")</f>
        <v>ADM</v>
      </c>
      <c r="AF21" s="184" t="str">
        <f>IFERROR(IF(VLOOKUP(Thu_W2[[#This Row],[Employee Name]],'Base Schedules'!$A$243:$AW$281,31,FALSE)="","",VLOOKUP(Thu_W2[[#This Row],[Employee Name]],'Base Schedules'!$A$243:$AW$281,31,FALSE)),"")</f>
        <v/>
      </c>
      <c r="AG21" s="184" t="str">
        <f>IFERROR(IF(VLOOKUP(Thu_W2[[#This Row],[Employee Name]],'Base Schedules'!$A$243:$AW$281,32,FALSE)="","",VLOOKUP(Thu_W2[[#This Row],[Employee Name]],'Base Schedules'!$A$243:$AW$281,32,FALSE)),"")</f>
        <v/>
      </c>
      <c r="AH21" s="184" t="str">
        <f>IFERROR(IF(VLOOKUP(Thu_W2[[#This Row],[Employee Name]],'Base Schedules'!$A$243:$AW$281,33,FALSE)="","",VLOOKUP(Thu_W2[[#This Row],[Employee Name]],'Base Schedules'!$A$243:$AW$281,33,FALSE)),"")</f>
        <v/>
      </c>
      <c r="AI21" s="184" t="str">
        <f>IFERROR(IF(VLOOKUP(Thu_W2[[#This Row],[Employee Name]],'Base Schedules'!$A$243:$AW$281,34,FALSE)="","",VLOOKUP(Thu_W2[[#This Row],[Employee Name]],'Base Schedules'!$A$243:$AW$281,34,FALSE)),"")</f>
        <v/>
      </c>
      <c r="AJ21" s="184" t="str">
        <f>IFERROR(IF(VLOOKUP(Thu_W2[[#This Row],[Employee Name]],'Base Schedules'!$A$243:$AW$281,35,FALSE)="","",VLOOKUP(Thu_W2[[#This Row],[Employee Name]],'Base Schedules'!$A$243:$AW$281,35,FALSE)),"")</f>
        <v/>
      </c>
      <c r="AK21" s="184" t="str">
        <f>IFERROR(IF(VLOOKUP(Thu_W2[[#This Row],[Employee Name]],'Base Schedules'!$A$243:$AW$281,36,FALSE)="","",VLOOKUP(Thu_W2[[#This Row],[Employee Name]],'Base Schedules'!$A$243:$AW$281,36,FALSE)),"")</f>
        <v/>
      </c>
      <c r="AL21" s="184" t="str">
        <f>IFERROR(IF(VLOOKUP(Thu_W2[[#This Row],[Employee Name]],'Base Schedules'!$A$243:$AW$281,37,FALSE)="","",VLOOKUP(Thu_W2[[#This Row],[Employee Name]],'Base Schedules'!$A$243:$AW$281,37,FALSE)),"")</f>
        <v/>
      </c>
      <c r="AM21" s="184" t="str">
        <f>IFERROR(IF(VLOOKUP(Thu_W2[[#This Row],[Employee Name]],'Base Schedules'!$A$243:$AW$281,38,FALSE)="","",VLOOKUP(Thu_W2[[#This Row],[Employee Name]],'Base Schedules'!$A$243:$AW$281,38,FALSE)),"")</f>
        <v/>
      </c>
      <c r="AN21" s="184" t="str">
        <f>IFERROR(IF(VLOOKUP(Thu_W2[[#This Row],[Employee Name]],'Base Schedules'!$A$243:$AW$281,39,FALSE)="","",VLOOKUP(Thu_W2[[#This Row],[Employee Name]],'Base Schedules'!$A$243:$AW$281,39,FALSE)),"")</f>
        <v/>
      </c>
      <c r="AO21" s="184" t="str">
        <f>IFERROR(IF(VLOOKUP(Thu_W2[[#This Row],[Employee Name]],'Base Schedules'!$A$243:$AW$281,40,FALSE)="","",VLOOKUP(Thu_W2[[#This Row],[Employee Name]],'Base Schedules'!$A$243:$AW$281,40,FALSE)),"")</f>
        <v/>
      </c>
      <c r="AP21" s="184" t="str">
        <f>IFERROR(IF(VLOOKUP(Thu_W2[[#This Row],[Employee Name]],'Base Schedules'!$A$243:$AW$281,41,FALSE)="","",VLOOKUP(Thu_W2[[#This Row],[Employee Name]],'Base Schedules'!$A$243:$AW$281,41,FALSE)),"")</f>
        <v/>
      </c>
      <c r="AQ21" s="184" t="str">
        <f>IFERROR(IF(VLOOKUP(Thu_W2[[#This Row],[Employee Name]],'Base Schedules'!$A$243:$AW$281,42,FALSE)="","",VLOOKUP(Thu_W2[[#This Row],[Employee Name]],'Base Schedules'!$A$243:$AW$281,42,FALSE)),"")</f>
        <v/>
      </c>
      <c r="AR21" s="184" t="str">
        <f>IFERROR(IF(VLOOKUP(Thu_W2[[#This Row],[Employee Name]],'Base Schedules'!$A$243:$AW$281,43,FALSE)="","",VLOOKUP(Thu_W2[[#This Row],[Employee Name]],'Base Schedules'!$A$243:$AW$281,43,FALSE)),"")</f>
        <v/>
      </c>
      <c r="AS21" s="184" t="str">
        <f>IFERROR(IF(VLOOKUP(Thu_W2[[#This Row],[Employee Name]],'Base Schedules'!$A$243:$AW$281,44,FALSE)="","",VLOOKUP(Thu_W2[[#This Row],[Employee Name]],'Base Schedules'!$A$243:$AW$281,44,FALSE)),"")</f>
        <v/>
      </c>
      <c r="AT21" s="184" t="str">
        <f>IFERROR(IF(VLOOKUP(Thu_W2[[#This Row],[Employee Name]],'Base Schedules'!$A$243:$AW$281,45,FALSE)="","",VLOOKUP(Thu_W2[[#This Row],[Employee Name]],'Base Schedules'!$A$243:$AW$281,45,FALSE)),"")</f>
        <v/>
      </c>
      <c r="AU21" s="184" t="str">
        <f>IFERROR(IF(VLOOKUP(Thu_W2[[#This Row],[Employee Name]],'Base Schedules'!$A$243:$AW$281,46,FALSE)="","",VLOOKUP(Thu_W2[[#This Row],[Employee Name]],'Base Schedules'!$A$243:$AW$281,46,FALSE)),"")</f>
        <v/>
      </c>
      <c r="AV21" s="184" t="str">
        <f>IFERROR(IF(VLOOKUP(Thu_W2[[#This Row],[Employee Name]],'Base Schedules'!$A$243:$AW$281,47,FALSE)="","",VLOOKUP(Thu_W2[[#This Row],[Employee Name]],'Base Schedules'!$A$243:$AW$281,47,FALSE)),"")</f>
        <v/>
      </c>
      <c r="AW21" s="184" t="str">
        <f>IFERROR(IF(VLOOKUP(Thu_W2[[#This Row],[Employee Name]],'Base Schedules'!$A$243:$AW$281,48,FALSE)="","",VLOOKUP(Thu_W2[[#This Row],[Employee Name]],'Base Schedules'!$A$243:$AW$281,48,FALSE)),"")</f>
        <v/>
      </c>
      <c r="AX21" s="184" t="str">
        <f>IFERROR(IF(VLOOKUP(Thu_W2[[#This Row],[Employee Name]],'Base Schedules'!$A$243:$AW$281,49,FALSE)="","",VLOOKUP(Thu_W2[[#This Row],[Employee Name]],'Base Schedules'!$A$243:$AW$281,49,FALSE)),"")</f>
        <v/>
      </c>
      <c r="AY21" s="245" t="str">
        <f t="shared" si="2"/>
        <v>Fine, Melissa</v>
      </c>
    </row>
    <row r="22" spans="1:51" s="44" customFormat="1" ht="12" customHeight="1" x14ac:dyDescent="0.2">
      <c r="A22" s="39" t="str">
        <f>IF(B22="","",INDEX(TeamList[],MATCH($B22,TeamList[[Employee Name]:[Employee Name]],0),MATCH("Manager",TeamList[#Headers],0)))</f>
        <v>Paulson, Matthew</v>
      </c>
      <c r="B22" s="201" t="s">
        <v>33</v>
      </c>
      <c r="C22" s="257" t="str">
        <f>_xlfn.IFNA(VLOOKUP(Thu_W2[[#This Row],[Employee Name]],'Base Schedules'!A:B,2,FALSE),"")</f>
        <v>Supervisor</v>
      </c>
      <c r="D22" s="274">
        <f>_xlfn.IFNA(VLOOKUP(Thu_W2[[#This Row],[Employee Name]],'Base Schedules'!A:C,3,FALSE),"")</f>
        <v>730</v>
      </c>
      <c r="E22" s="274">
        <f>_xlfn.IFNA(VLOOKUP(Thu_W2[[#This Row],[Employee Name]],'Base Schedules'!A:D,4,FALSE),"")</f>
        <v>1630</v>
      </c>
      <c r="F22" s="142">
        <f>IF(Thu_W2[[#This Row],[Employee Name]]="","",IF(Thu_W2[[#This Row],[Dept]]="Supervisor",COUNTIFS($J22:$AX22,"*HL*",$J22:$AX22,"&lt;&gt;"&amp;"pHL"),COUNTIFS($J22:$AX22,"*HL*",$J22:$AX22,"&lt;&gt;"&amp;"*pHL*",$J22:$AX22,"&lt;&gt;"&amp;"pB1 HL",$J22:$AX22,"&lt;&gt;"&amp;"pB2 HL")-SUM(COUNTIFS($J22:$AX22,"*HL B1*",$J22:$AX22,"&lt;&gt;"&amp;"pHL B1")*0.5,COUNTIFS($J22:$AX22,"*HL B2*",$J22:$AX22,"&lt;&gt;"&amp;"pHL B2")*0.5,COUNTIFS($J22:$AX22,"*B1 HL*",$J22:$AX22,"&lt;&gt;"&amp;"pB1 HL")*0.5,COUNTIFS($J22:$AX22,"*B2 HL*",$J22:$AX22,"&lt;&gt;"&amp;"pB2 HL")*0.5)))</f>
        <v>0</v>
      </c>
      <c r="G22" s="142">
        <f t="shared" si="0"/>
        <v>4</v>
      </c>
      <c r="H22" s="142">
        <f t="shared" si="1"/>
        <v>0</v>
      </c>
      <c r="I22" s="142">
        <f>IF(Thu_W2[[#This Row],[Employee Name]]="","",IF(Thu_W2[[#This Row],[Dept]]="Supervisor",SUM(COUNTIFS($J22:$AX22,"RTA*",$J22:$AX22,"&lt;&gt;"&amp;"pRTA"),COUNTIFS($J22:$AX22,"*CRTA*",$J22:$AX22,"&lt;&gt;"&amp;"pCRTA")),COUNTIFS($J22:$AX22,"*RNNR*",$J22:$AX22,"&lt;&gt;"&amp;"*pRNNR*",$J22:$AX22,"&lt;&gt;"&amp;"pB1 RNNR",$J22:$AX22,"&lt;&gt;"&amp;"pB2 RNNR")-SUM(COUNTIFS($J22:$AX22,"*RNNR B1*",$J22:$AX22,"&lt;&gt;"&amp;"pRNNR B1")*0.5,COUNTIFS($J22:$AX22,"*RNNR B2*",$J22:$AX22,"&lt;&gt;"&amp;"pRNNR B2")*0.5,COUNTIFS($J22:$AX22,"*B1 RNNR*",$J22:$AX22,"&lt;&gt;"&amp;"pB1 RNNR")*0.5,COUNTIFS($J22:$AX22,"*B2 RNNR*",$J22:$AX22,"&lt;&gt;"&amp;"pB2 RNNR")*0.5)))</f>
        <v>0</v>
      </c>
      <c r="J22" s="184" t="str">
        <f>IFERROR(IF(VLOOKUP(Thu_W2[[#This Row],[Employee Name]],'Base Schedules'!$A$243:$AW$281,9,FALSE)="","",VLOOKUP(Thu_W2[[#This Row],[Employee Name]],'Base Schedules'!$A$243:$AW$281,9,FALSE)),"")</f>
        <v/>
      </c>
      <c r="K22" s="184" t="str">
        <f>IFERROR(IF(VLOOKUP(Thu_W2[[#This Row],[Employee Name]],'Base Schedules'!$A$243:$AW$281,10,FALSE)="","",VLOOKUP(Thu_W2[[#This Row],[Employee Name]],'Base Schedules'!$A$243:$AW$281,10,FALSE)),"")</f>
        <v/>
      </c>
      <c r="L22" s="184" t="str">
        <f>IFERROR(IF(VLOOKUP(Thu_W2[[#This Row],[Employee Name]],'Base Schedules'!$A$243:$AW$281,11,FALSE)="","",VLOOKUP(Thu_W2[[#This Row],[Employee Name]],'Base Schedules'!$A$243:$AW$281,11,FALSE)),"")</f>
        <v/>
      </c>
      <c r="M22" s="184" t="str">
        <f>IFERROR(IF(VLOOKUP(Thu_W2[[#This Row],[Employee Name]],'Base Schedules'!$A$243:$AW$281,12,FALSE)="","",VLOOKUP(Thu_W2[[#This Row],[Employee Name]],'Base Schedules'!$A$243:$AW$281,12,FALSE)),"")</f>
        <v/>
      </c>
      <c r="N22" s="184" t="str">
        <f>IFERROR(IF(VLOOKUP(Thu_W2[[#This Row],[Employee Name]],'Base Schedules'!$A$243:$AW$281,13,FALSE)="","",VLOOKUP(Thu_W2[[#This Row],[Employee Name]],'Base Schedules'!$A$243:$AW$281,13,FALSE)),"")</f>
        <v/>
      </c>
      <c r="O22" s="184" t="str">
        <f>IFERROR(IF(VLOOKUP(Thu_W2[[#This Row],[Employee Name]],'Base Schedules'!$A$243:$AW$281,14,FALSE)="","",VLOOKUP(Thu_W2[[#This Row],[Employee Name]],'Base Schedules'!$A$243:$AW$281,14,FALSE)),"")</f>
        <v>-</v>
      </c>
      <c r="P22" s="184" t="str">
        <f>IFERROR(IF(VLOOKUP(Thu_W2[[#This Row],[Employee Name]],'Base Schedules'!$A$243:$AW$281,15,FALSE)="","",VLOOKUP(Thu_W2[[#This Row],[Employee Name]],'Base Schedules'!$A$243:$AW$281,15,FALSE)),"")</f>
        <v>-</v>
      </c>
      <c r="Q22" s="184" t="str">
        <f>IFERROR(IF(VLOOKUP(Thu_W2[[#This Row],[Employee Name]],'Base Schedules'!$A$243:$AW$281,16,FALSE)="","",VLOOKUP(Thu_W2[[#This Row],[Employee Name]],'Base Schedules'!$A$243:$AW$281,16,FALSE)),"")</f>
        <v>-</v>
      </c>
      <c r="R22" s="184" t="str">
        <f>IFERROR(IF(VLOOKUP(Thu_W2[[#This Row],[Employee Name]],'Base Schedules'!$A$243:$AW$281,17,FALSE)="","",VLOOKUP(Thu_W2[[#This Row],[Employee Name]],'Base Schedules'!$A$243:$AW$281,17,FALSE)),"")</f>
        <v>-</v>
      </c>
      <c r="S22" s="184" t="str">
        <f>IFERROR(IF(VLOOKUP(Thu_W2[[#This Row],[Employee Name]],'Base Schedules'!$A$243:$AW$281,18,FALSE)="","",VLOOKUP(Thu_W2[[#This Row],[Employee Name]],'Base Schedules'!$A$243:$AW$281,18,FALSE)),"")</f>
        <v>-</v>
      </c>
      <c r="T22" s="184" t="str">
        <f>IFERROR(IF(VLOOKUP(Thu_W2[[#This Row],[Employee Name]],'Base Schedules'!$A$243:$AW$281,19,FALSE)="","",VLOOKUP(Thu_W2[[#This Row],[Employee Name]],'Base Schedules'!$A$243:$AW$281,19,FALSE)),"")</f>
        <v>-</v>
      </c>
      <c r="U22" s="184" t="str">
        <f>IFERROR(IF(VLOOKUP(Thu_W2[[#This Row],[Employee Name]],'Base Schedules'!$A$243:$AW$281,20,FALSE)="","",VLOOKUP(Thu_W2[[#This Row],[Employee Name]],'Base Schedules'!$A$243:$AW$281,20,FALSE)),"")</f>
        <v>-</v>
      </c>
      <c r="V22" s="184" t="str">
        <f>IFERROR(IF(VLOOKUP(Thu_W2[[#This Row],[Employee Name]],'Base Schedules'!$A$243:$AW$281,21,FALSE)="","",VLOOKUP(Thu_W2[[#This Row],[Employee Name]],'Base Schedules'!$A$243:$AW$281,21,FALSE)),"")</f>
        <v>Coaching</v>
      </c>
      <c r="W22" s="184" t="str">
        <f>IFERROR(IF(VLOOKUP(Thu_W2[[#This Row],[Employee Name]],'Base Schedules'!$A$243:$AW$281,22,FALSE)="","",VLOOKUP(Thu_W2[[#This Row],[Employee Name]],'Base Schedules'!$A$243:$AW$281,22,FALSE)),"")</f>
        <v>Coaching</v>
      </c>
      <c r="X22" s="184" t="str">
        <f>IFERROR(IF(VLOOKUP(Thu_W2[[#This Row],[Employee Name]],'Base Schedules'!$A$243:$AW$281,23,FALSE)="","",VLOOKUP(Thu_W2[[#This Row],[Employee Name]],'Base Schedules'!$A$243:$AW$281,23,FALSE)),"")</f>
        <v>Coaching</v>
      </c>
      <c r="Y22" s="184" t="str">
        <f>IFERROR(IF(VLOOKUP(Thu_W2[[#This Row],[Employee Name]],'Base Schedules'!$A$243:$AW$281,24,FALSE)="","",VLOOKUP(Thu_W2[[#This Row],[Employee Name]],'Base Schedules'!$A$243:$AW$281,24,FALSE)),"")</f>
        <v>Coaching</v>
      </c>
      <c r="Z22" s="184" t="str">
        <f>IFERROR(IF(VLOOKUP(Thu_W2[[#This Row],[Employee Name]],'Base Schedules'!$A$243:$AW$281,25,FALSE)="","",VLOOKUP(Thu_W2[[#This Row],[Employee Name]],'Base Schedules'!$A$243:$AW$281,25,FALSE)),"")</f>
        <v>Interview</v>
      </c>
      <c r="AA22" s="184" t="str">
        <f>IFERROR(IF(VLOOKUP(Thu_W2[[#This Row],[Employee Name]],'Base Schedules'!$A$243:$AW$281,26,FALSE)="","",VLOOKUP(Thu_W2[[#This Row],[Employee Name]],'Base Schedules'!$A$243:$AW$281,26,FALSE)),"")</f>
        <v>Interview</v>
      </c>
      <c r="AB22" s="184" t="str">
        <f>IFERROR(IF(VLOOKUP(Thu_W2[[#This Row],[Employee Name]],'Base Schedules'!$A$243:$AW$281,27,FALSE)="","",VLOOKUP(Thu_W2[[#This Row],[Employee Name]],'Base Schedules'!$A$243:$AW$281,27,FALSE)),"")</f>
        <v>-</v>
      </c>
      <c r="AC22" s="184" t="str">
        <f>IFERROR(IF(VLOOKUP(Thu_W2[[#This Row],[Employee Name]],'Base Schedules'!$A$243:$AW$281,28,FALSE)="","",VLOOKUP(Thu_W2[[#This Row],[Employee Name]],'Base Schedules'!$A$243:$AW$281,28,FALSE)),"")</f>
        <v>-</v>
      </c>
      <c r="AD22" s="184" t="str">
        <f>IFERROR(IF(VLOOKUP(Thu_W2[[#This Row],[Employee Name]],'Base Schedules'!$A$243:$AW$281,29,FALSE)="","",VLOOKUP(Thu_W2[[#This Row],[Employee Name]],'Base Schedules'!$A$243:$AW$281,29,FALSE)),"")</f>
        <v>-</v>
      </c>
      <c r="AE22" s="184" t="str">
        <f>IFERROR(IF(VLOOKUP(Thu_W2[[#This Row],[Employee Name]],'Base Schedules'!$A$243:$AW$281,30,FALSE)="","",VLOOKUP(Thu_W2[[#This Row],[Employee Name]],'Base Schedules'!$A$243:$AW$281,30,FALSE)),"")</f>
        <v>-</v>
      </c>
      <c r="AF22" s="184" t="str">
        <f>IFERROR(IF(VLOOKUP(Thu_W2[[#This Row],[Employee Name]],'Base Schedules'!$A$243:$AW$281,31,FALSE)="","",VLOOKUP(Thu_W2[[#This Row],[Employee Name]],'Base Schedules'!$A$243:$AW$281,31,FALSE)),"")</f>
        <v>-</v>
      </c>
      <c r="AG22" s="184" t="str">
        <f>IFERROR(IF(VLOOKUP(Thu_W2[[#This Row],[Employee Name]],'Base Schedules'!$A$243:$AW$281,32,FALSE)="","",VLOOKUP(Thu_W2[[#This Row],[Employee Name]],'Base Schedules'!$A$243:$AW$281,32,FALSE)),"")</f>
        <v/>
      </c>
      <c r="AH22" s="184" t="str">
        <f>IFERROR(IF(VLOOKUP(Thu_W2[[#This Row],[Employee Name]],'Base Schedules'!$A$243:$AW$281,33,FALSE)="","",VLOOKUP(Thu_W2[[#This Row],[Employee Name]],'Base Schedules'!$A$243:$AW$281,33,FALSE)),"")</f>
        <v/>
      </c>
      <c r="AI22" s="184" t="str">
        <f>IFERROR(IF(VLOOKUP(Thu_W2[[#This Row],[Employee Name]],'Base Schedules'!$A$243:$AW$281,34,FALSE)="","",VLOOKUP(Thu_W2[[#This Row],[Employee Name]],'Base Schedules'!$A$243:$AW$281,34,FALSE)),"")</f>
        <v/>
      </c>
      <c r="AJ22" s="184" t="str">
        <f>IFERROR(IF(VLOOKUP(Thu_W2[[#This Row],[Employee Name]],'Base Schedules'!$A$243:$AW$281,35,FALSE)="","",VLOOKUP(Thu_W2[[#This Row],[Employee Name]],'Base Schedules'!$A$243:$AW$281,35,FALSE)),"")</f>
        <v/>
      </c>
      <c r="AK22" s="184" t="str">
        <f>IFERROR(IF(VLOOKUP(Thu_W2[[#This Row],[Employee Name]],'Base Schedules'!$A$243:$AW$281,36,FALSE)="","",VLOOKUP(Thu_W2[[#This Row],[Employee Name]],'Base Schedules'!$A$243:$AW$281,36,FALSE)),"")</f>
        <v/>
      </c>
      <c r="AL22" s="184" t="str">
        <f>IFERROR(IF(VLOOKUP(Thu_W2[[#This Row],[Employee Name]],'Base Schedules'!$A$243:$AW$281,37,FALSE)="","",VLOOKUP(Thu_W2[[#This Row],[Employee Name]],'Base Schedules'!$A$243:$AW$281,37,FALSE)),"")</f>
        <v/>
      </c>
      <c r="AM22" s="184" t="str">
        <f>IFERROR(IF(VLOOKUP(Thu_W2[[#This Row],[Employee Name]],'Base Schedules'!$A$243:$AW$281,38,FALSE)="","",VLOOKUP(Thu_W2[[#This Row],[Employee Name]],'Base Schedules'!$A$243:$AW$281,38,FALSE)),"")</f>
        <v/>
      </c>
      <c r="AN22" s="184" t="str">
        <f>IFERROR(IF(VLOOKUP(Thu_W2[[#This Row],[Employee Name]],'Base Schedules'!$A$243:$AW$281,39,FALSE)="","",VLOOKUP(Thu_W2[[#This Row],[Employee Name]],'Base Schedules'!$A$243:$AW$281,39,FALSE)),"")</f>
        <v/>
      </c>
      <c r="AO22" s="184" t="str">
        <f>IFERROR(IF(VLOOKUP(Thu_W2[[#This Row],[Employee Name]],'Base Schedules'!$A$243:$AW$281,40,FALSE)="","",VLOOKUP(Thu_W2[[#This Row],[Employee Name]],'Base Schedules'!$A$243:$AW$281,40,FALSE)),"")</f>
        <v/>
      </c>
      <c r="AP22" s="184" t="str">
        <f>IFERROR(IF(VLOOKUP(Thu_W2[[#This Row],[Employee Name]],'Base Schedules'!$A$243:$AW$281,41,FALSE)="","",VLOOKUP(Thu_W2[[#This Row],[Employee Name]],'Base Schedules'!$A$243:$AW$281,41,FALSE)),"")</f>
        <v/>
      </c>
      <c r="AQ22" s="184" t="str">
        <f>IFERROR(IF(VLOOKUP(Thu_W2[[#This Row],[Employee Name]],'Base Schedules'!$A$243:$AW$281,42,FALSE)="","",VLOOKUP(Thu_W2[[#This Row],[Employee Name]],'Base Schedules'!$A$243:$AW$281,42,FALSE)),"")</f>
        <v/>
      </c>
      <c r="AR22" s="184" t="str">
        <f>IFERROR(IF(VLOOKUP(Thu_W2[[#This Row],[Employee Name]],'Base Schedules'!$A$243:$AW$281,43,FALSE)="","",VLOOKUP(Thu_W2[[#This Row],[Employee Name]],'Base Schedules'!$A$243:$AW$281,43,FALSE)),"")</f>
        <v/>
      </c>
      <c r="AS22" s="184" t="str">
        <f>IFERROR(IF(VLOOKUP(Thu_W2[[#This Row],[Employee Name]],'Base Schedules'!$A$243:$AW$281,44,FALSE)="","",VLOOKUP(Thu_W2[[#This Row],[Employee Name]],'Base Schedules'!$A$243:$AW$281,44,FALSE)),"")</f>
        <v/>
      </c>
      <c r="AT22" s="184" t="str">
        <f>IFERROR(IF(VLOOKUP(Thu_W2[[#This Row],[Employee Name]],'Base Schedules'!$A$243:$AW$281,45,FALSE)="","",VLOOKUP(Thu_W2[[#This Row],[Employee Name]],'Base Schedules'!$A$243:$AW$281,45,FALSE)),"")</f>
        <v/>
      </c>
      <c r="AU22" s="184" t="str">
        <f>IFERROR(IF(VLOOKUP(Thu_W2[[#This Row],[Employee Name]],'Base Schedules'!$A$243:$AW$281,46,FALSE)="","",VLOOKUP(Thu_W2[[#This Row],[Employee Name]],'Base Schedules'!$A$243:$AW$281,46,FALSE)),"")</f>
        <v/>
      </c>
      <c r="AV22" s="184" t="str">
        <f>IFERROR(IF(VLOOKUP(Thu_W2[[#This Row],[Employee Name]],'Base Schedules'!$A$243:$AW$281,47,FALSE)="","",VLOOKUP(Thu_W2[[#This Row],[Employee Name]],'Base Schedules'!$A$243:$AW$281,47,FALSE)),"")</f>
        <v/>
      </c>
      <c r="AW22" s="184" t="str">
        <f>IFERROR(IF(VLOOKUP(Thu_W2[[#This Row],[Employee Name]],'Base Schedules'!$A$243:$AW$281,48,FALSE)="","",VLOOKUP(Thu_W2[[#This Row],[Employee Name]],'Base Schedules'!$A$243:$AW$281,48,FALSE)),"")</f>
        <v/>
      </c>
      <c r="AX22" s="184" t="str">
        <f>IFERROR(IF(VLOOKUP(Thu_W2[[#This Row],[Employee Name]],'Base Schedules'!$A$243:$AW$281,49,FALSE)="","",VLOOKUP(Thu_W2[[#This Row],[Employee Name]],'Base Schedules'!$A$243:$AW$281,49,FALSE)),"")</f>
        <v/>
      </c>
      <c r="AY22" s="245" t="str">
        <f t="shared" si="2"/>
        <v>Parkin-Rego, Kimberlee</v>
      </c>
    </row>
    <row r="23" spans="1:51" s="44" customFormat="1" ht="12" customHeight="1" x14ac:dyDescent="0.2">
      <c r="A23" s="39" t="str">
        <f>IF(B23="","",INDEX(TeamList[],MATCH($B23,TeamList[[Employee Name]:[Employee Name]],0),MATCH("Manager",TeamList[#Headers],0)))</f>
        <v>Ahmed Hassan, Zahra</v>
      </c>
      <c r="B23" s="201" t="s">
        <v>70</v>
      </c>
      <c r="C23" s="257" t="str">
        <f>_xlfn.IFNA(VLOOKUP(Thu_W2[[#This Row],[Employee Name]],'Base Schedules'!A:B,2,FALSE),"")</f>
        <v>Supervisor</v>
      </c>
      <c r="D23" s="274">
        <f>_xlfn.IFNA(VLOOKUP(Thu_W2[[#This Row],[Employee Name]],'Base Schedules'!A:C,3,FALSE),"")</f>
        <v>800</v>
      </c>
      <c r="E23" s="274">
        <f>_xlfn.IFNA(VLOOKUP(Thu_W2[[#This Row],[Employee Name]],'Base Schedules'!A:D,4,FALSE),"")</f>
        <v>1700</v>
      </c>
      <c r="F23" s="142">
        <f>IF(Thu_W2[[#This Row],[Employee Name]]="","",IF(Thu_W2[[#This Row],[Dept]]="Supervisor",COUNTIFS($J23:$AX23,"*HL*",$J23:$AX23,"&lt;&gt;"&amp;"pHL"),COUNTIFS($J23:$AX23,"*HL*",$J23:$AX23,"&lt;&gt;"&amp;"*pHL*",$J23:$AX23,"&lt;&gt;"&amp;"pB1 HL",$J23:$AX23,"&lt;&gt;"&amp;"pB2 HL")-SUM(COUNTIFS($J23:$AX23,"*HL B1*",$J23:$AX23,"&lt;&gt;"&amp;"pHL B1")*0.5,COUNTIFS($J23:$AX23,"*HL B2*",$J23:$AX23,"&lt;&gt;"&amp;"pHL B2")*0.5,COUNTIFS($J23:$AX23,"*B1 HL*",$J23:$AX23,"&lt;&gt;"&amp;"pB1 HL")*0.5,COUNTIFS($J23:$AX23,"*B2 HL*",$J23:$AX23,"&lt;&gt;"&amp;"pB2 HL")*0.5)))</f>
        <v>0</v>
      </c>
      <c r="G23" s="142">
        <f t="shared" si="0"/>
        <v>4</v>
      </c>
      <c r="H23" s="142">
        <f t="shared" si="1"/>
        <v>0</v>
      </c>
      <c r="I23" s="142">
        <f>IF(Thu_W2[[#This Row],[Employee Name]]="","",IF(Thu_W2[[#This Row],[Dept]]="Supervisor",SUM(COUNTIFS($J23:$AX23,"RTA*",$J23:$AX23,"&lt;&gt;"&amp;"pRTA"),COUNTIFS($J23:$AX23,"*CRTA*",$J23:$AX23,"&lt;&gt;"&amp;"pCRTA")),COUNTIFS($J23:$AX23,"*RNNR*",$J23:$AX23,"&lt;&gt;"&amp;"*pRNNR*",$J23:$AX23,"&lt;&gt;"&amp;"pB1 RNNR",$J23:$AX23,"&lt;&gt;"&amp;"pB2 RNNR")-SUM(COUNTIFS($J23:$AX23,"*RNNR B1*",$J23:$AX23,"&lt;&gt;"&amp;"pRNNR B1")*0.5,COUNTIFS($J23:$AX23,"*RNNR B2*",$J23:$AX23,"&lt;&gt;"&amp;"pRNNR B2")*0.5,COUNTIFS($J23:$AX23,"*B1 RNNR*",$J23:$AX23,"&lt;&gt;"&amp;"pB1 RNNR")*0.5,COUNTIFS($J23:$AX23,"*B2 RNNR*",$J23:$AX23,"&lt;&gt;"&amp;"pB2 RNNR")*0.5)))</f>
        <v>0</v>
      </c>
      <c r="J23" s="184" t="str">
        <f>IFERROR(IF(VLOOKUP(Thu_W2[[#This Row],[Employee Name]],'Base Schedules'!$A$243:$AW$281,9,FALSE)="","",VLOOKUP(Thu_W2[[#This Row],[Employee Name]],'Base Schedules'!$A$243:$AW$281,9,FALSE)),"")</f>
        <v/>
      </c>
      <c r="K23" s="184" t="str">
        <f>IFERROR(IF(VLOOKUP(Thu_W2[[#This Row],[Employee Name]],'Base Schedules'!$A$243:$AW$281,10,FALSE)="","",VLOOKUP(Thu_W2[[#This Row],[Employee Name]],'Base Schedules'!$A$243:$AW$281,10,FALSE)),"")</f>
        <v/>
      </c>
      <c r="L23" s="184" t="str">
        <f>IFERROR(IF(VLOOKUP(Thu_W2[[#This Row],[Employee Name]],'Base Schedules'!$A$243:$AW$281,11,FALSE)="","",VLOOKUP(Thu_W2[[#This Row],[Employee Name]],'Base Schedules'!$A$243:$AW$281,11,FALSE)),"")</f>
        <v/>
      </c>
      <c r="M23" s="184" t="str">
        <f>IFERROR(IF(VLOOKUP(Thu_W2[[#This Row],[Employee Name]],'Base Schedules'!$A$243:$AW$281,12,FALSE)="","",VLOOKUP(Thu_W2[[#This Row],[Employee Name]],'Base Schedules'!$A$243:$AW$281,12,FALSE)),"")</f>
        <v/>
      </c>
      <c r="N23" s="184" t="str">
        <f>IFERROR(IF(VLOOKUP(Thu_W2[[#This Row],[Employee Name]],'Base Schedules'!$A$243:$AW$281,13,FALSE)="","",VLOOKUP(Thu_W2[[#This Row],[Employee Name]],'Base Schedules'!$A$243:$AW$281,13,FALSE)),"")</f>
        <v/>
      </c>
      <c r="O23" s="184" t="str">
        <f>IFERROR(IF(VLOOKUP(Thu_W2[[#This Row],[Employee Name]],'Base Schedules'!$A$243:$AW$281,14,FALSE)="","",VLOOKUP(Thu_W2[[#This Row],[Employee Name]],'Base Schedules'!$A$243:$AW$281,14,FALSE)),"")</f>
        <v/>
      </c>
      <c r="P23" s="184" t="str">
        <f>IFERROR(IF(VLOOKUP(Thu_W2[[#This Row],[Employee Name]],'Base Schedules'!$A$243:$AW$281,15,FALSE)="","",VLOOKUP(Thu_W2[[#This Row],[Employee Name]],'Base Schedules'!$A$243:$AW$281,15,FALSE)),"")</f>
        <v>-</v>
      </c>
      <c r="Q23" s="184" t="str">
        <f>IFERROR(IF(VLOOKUP(Thu_W2[[#This Row],[Employee Name]],'Base Schedules'!$A$243:$AW$281,16,FALSE)="","",VLOOKUP(Thu_W2[[#This Row],[Employee Name]],'Base Schedules'!$A$243:$AW$281,16,FALSE)),"")</f>
        <v>-</v>
      </c>
      <c r="R23" s="184" t="str">
        <f>IFERROR(IF(VLOOKUP(Thu_W2[[#This Row],[Employee Name]],'Base Schedules'!$A$243:$AW$281,17,FALSE)="","",VLOOKUP(Thu_W2[[#This Row],[Employee Name]],'Base Schedules'!$A$243:$AW$281,17,FALSE)),"")</f>
        <v>Coaching</v>
      </c>
      <c r="S23" s="184" t="str">
        <f>IFERROR(IF(VLOOKUP(Thu_W2[[#This Row],[Employee Name]],'Base Schedules'!$A$243:$AW$281,18,FALSE)="","",VLOOKUP(Thu_W2[[#This Row],[Employee Name]],'Base Schedules'!$A$243:$AW$281,18,FALSE)),"")</f>
        <v>Coaching</v>
      </c>
      <c r="T23" s="184" t="str">
        <f>IFERROR(IF(VLOOKUP(Thu_W2[[#This Row],[Employee Name]],'Base Schedules'!$A$243:$AW$281,19,FALSE)="","",VLOOKUP(Thu_W2[[#This Row],[Employee Name]],'Base Schedules'!$A$243:$AW$281,19,FALSE)),"")</f>
        <v>Coaching</v>
      </c>
      <c r="U23" s="184" t="str">
        <f>IFERROR(IF(VLOOKUP(Thu_W2[[#This Row],[Employee Name]],'Base Schedules'!$A$243:$AW$281,20,FALSE)="","",VLOOKUP(Thu_W2[[#This Row],[Employee Name]],'Base Schedules'!$A$243:$AW$281,20,FALSE)),"")</f>
        <v>Coaching</v>
      </c>
      <c r="V23" s="184" t="str">
        <f>IFERROR(IF(VLOOKUP(Thu_W2[[#This Row],[Employee Name]],'Base Schedules'!$A$243:$AW$281,21,FALSE)="","",VLOOKUP(Thu_W2[[#This Row],[Employee Name]],'Base Schedules'!$A$243:$AW$281,21,FALSE)),"")</f>
        <v>-</v>
      </c>
      <c r="W23" s="184" t="str">
        <f>IFERROR(IF(VLOOKUP(Thu_W2[[#This Row],[Employee Name]],'Base Schedules'!$A$243:$AW$281,22,FALSE)="","",VLOOKUP(Thu_W2[[#This Row],[Employee Name]],'Base Schedules'!$A$243:$AW$281,22,FALSE)),"")</f>
        <v>-</v>
      </c>
      <c r="X23" s="184" t="str">
        <f>IFERROR(IF(VLOOKUP(Thu_W2[[#This Row],[Employee Name]],'Base Schedules'!$A$243:$AW$281,23,FALSE)="","",VLOOKUP(Thu_W2[[#This Row],[Employee Name]],'Base Schedules'!$A$243:$AW$281,23,FALSE)),"")</f>
        <v>-</v>
      </c>
      <c r="Y23" s="184" t="str">
        <f>IFERROR(IF(VLOOKUP(Thu_W2[[#This Row],[Employee Name]],'Base Schedules'!$A$243:$AW$281,24,FALSE)="","",VLOOKUP(Thu_W2[[#This Row],[Employee Name]],'Base Schedules'!$A$243:$AW$281,24,FALSE)),"")</f>
        <v>-</v>
      </c>
      <c r="Z23" s="184" t="str">
        <f>IFERROR(IF(VLOOKUP(Thu_W2[[#This Row],[Employee Name]],'Base Schedules'!$A$243:$AW$281,25,FALSE)="","",VLOOKUP(Thu_W2[[#This Row],[Employee Name]],'Base Schedules'!$A$243:$AW$281,25,FALSE)),"")</f>
        <v>TM PREP</v>
      </c>
      <c r="AA23" s="184" t="str">
        <f>IFERROR(IF(VLOOKUP(Thu_W2[[#This Row],[Employee Name]],'Base Schedules'!$A$243:$AW$281,26,FALSE)="","",VLOOKUP(Thu_W2[[#This Row],[Employee Name]],'Base Schedules'!$A$243:$AW$281,26,FALSE)),"")</f>
        <v>VASBINDER TM</v>
      </c>
      <c r="AB23" s="184" t="str">
        <f>IFERROR(IF(VLOOKUP(Thu_W2[[#This Row],[Employee Name]],'Base Schedules'!$A$243:$AW$281,27,FALSE)="","",VLOOKUP(Thu_W2[[#This Row],[Employee Name]],'Base Schedules'!$A$243:$AW$281,27,FALSE)),"")</f>
        <v>VASBINDER TM</v>
      </c>
      <c r="AC23" s="184" t="str">
        <f>IFERROR(IF(VLOOKUP(Thu_W2[[#This Row],[Employee Name]],'Base Schedules'!$A$243:$AW$281,28,FALSE)="","",VLOOKUP(Thu_W2[[#This Row],[Employee Name]],'Base Schedules'!$A$243:$AW$281,28,FALSE)),"")</f>
        <v>-</v>
      </c>
      <c r="AD23" s="184" t="str">
        <f>IFERROR(IF(VLOOKUP(Thu_W2[[#This Row],[Employee Name]],'Base Schedules'!$A$243:$AW$281,29,FALSE)="","",VLOOKUP(Thu_W2[[#This Row],[Employee Name]],'Base Schedules'!$A$243:$AW$281,29,FALSE)),"")</f>
        <v>Interview</v>
      </c>
      <c r="AE23" s="184" t="str">
        <f>IFERROR(IF(VLOOKUP(Thu_W2[[#This Row],[Employee Name]],'Base Schedules'!$A$243:$AW$281,30,FALSE)="","",VLOOKUP(Thu_W2[[#This Row],[Employee Name]],'Base Schedules'!$A$243:$AW$281,30,FALSE)),"")</f>
        <v>Interview</v>
      </c>
      <c r="AF23" s="184" t="str">
        <f>IFERROR(IF(VLOOKUP(Thu_W2[[#This Row],[Employee Name]],'Base Schedules'!$A$243:$AW$281,31,FALSE)="","",VLOOKUP(Thu_W2[[#This Row],[Employee Name]],'Base Schedules'!$A$243:$AW$281,31,FALSE)),"")</f>
        <v>-</v>
      </c>
      <c r="AG23" s="184" t="str">
        <f>IFERROR(IF(VLOOKUP(Thu_W2[[#This Row],[Employee Name]],'Base Schedules'!$A$243:$AW$281,32,FALSE)="","",VLOOKUP(Thu_W2[[#This Row],[Employee Name]],'Base Schedules'!$A$243:$AW$281,32,FALSE)),"")</f>
        <v>-</v>
      </c>
      <c r="AH23" s="184" t="str">
        <f>IFERROR(IF(VLOOKUP(Thu_W2[[#This Row],[Employee Name]],'Base Schedules'!$A$243:$AW$281,33,FALSE)="","",VLOOKUP(Thu_W2[[#This Row],[Employee Name]],'Base Schedules'!$A$243:$AW$281,33,FALSE)),"")</f>
        <v/>
      </c>
      <c r="AI23" s="184" t="str">
        <f>IFERROR(IF(VLOOKUP(Thu_W2[[#This Row],[Employee Name]],'Base Schedules'!$A$243:$AW$281,34,FALSE)="","",VLOOKUP(Thu_W2[[#This Row],[Employee Name]],'Base Schedules'!$A$243:$AW$281,34,FALSE)),"")</f>
        <v/>
      </c>
      <c r="AJ23" s="184" t="str">
        <f>IFERROR(IF(VLOOKUP(Thu_W2[[#This Row],[Employee Name]],'Base Schedules'!$A$243:$AW$281,35,FALSE)="","",VLOOKUP(Thu_W2[[#This Row],[Employee Name]],'Base Schedules'!$A$243:$AW$281,35,FALSE)),"")</f>
        <v/>
      </c>
      <c r="AK23" s="184" t="str">
        <f>IFERROR(IF(VLOOKUP(Thu_W2[[#This Row],[Employee Name]],'Base Schedules'!$A$243:$AW$281,36,FALSE)="","",VLOOKUP(Thu_W2[[#This Row],[Employee Name]],'Base Schedules'!$A$243:$AW$281,36,FALSE)),"")</f>
        <v/>
      </c>
      <c r="AL23" s="184" t="str">
        <f>IFERROR(IF(VLOOKUP(Thu_W2[[#This Row],[Employee Name]],'Base Schedules'!$A$243:$AW$281,37,FALSE)="","",VLOOKUP(Thu_W2[[#This Row],[Employee Name]],'Base Schedules'!$A$243:$AW$281,37,FALSE)),"")</f>
        <v/>
      </c>
      <c r="AM23" s="184" t="str">
        <f>IFERROR(IF(VLOOKUP(Thu_W2[[#This Row],[Employee Name]],'Base Schedules'!$A$243:$AW$281,38,FALSE)="","",VLOOKUP(Thu_W2[[#This Row],[Employee Name]],'Base Schedules'!$A$243:$AW$281,38,FALSE)),"")</f>
        <v/>
      </c>
      <c r="AN23" s="184" t="str">
        <f>IFERROR(IF(VLOOKUP(Thu_W2[[#This Row],[Employee Name]],'Base Schedules'!$A$243:$AW$281,39,FALSE)="","",VLOOKUP(Thu_W2[[#This Row],[Employee Name]],'Base Schedules'!$A$243:$AW$281,39,FALSE)),"")</f>
        <v/>
      </c>
      <c r="AO23" s="184" t="str">
        <f>IFERROR(IF(VLOOKUP(Thu_W2[[#This Row],[Employee Name]],'Base Schedules'!$A$243:$AW$281,40,FALSE)="","",VLOOKUP(Thu_W2[[#This Row],[Employee Name]],'Base Schedules'!$A$243:$AW$281,40,FALSE)),"")</f>
        <v/>
      </c>
      <c r="AP23" s="184" t="str">
        <f>IFERROR(IF(VLOOKUP(Thu_W2[[#This Row],[Employee Name]],'Base Schedules'!$A$243:$AW$281,41,FALSE)="","",VLOOKUP(Thu_W2[[#This Row],[Employee Name]],'Base Schedules'!$A$243:$AW$281,41,FALSE)),"")</f>
        <v/>
      </c>
      <c r="AQ23" s="184" t="str">
        <f>IFERROR(IF(VLOOKUP(Thu_W2[[#This Row],[Employee Name]],'Base Schedules'!$A$243:$AW$281,42,FALSE)="","",VLOOKUP(Thu_W2[[#This Row],[Employee Name]],'Base Schedules'!$A$243:$AW$281,42,FALSE)),"")</f>
        <v/>
      </c>
      <c r="AR23" s="184" t="str">
        <f>IFERROR(IF(VLOOKUP(Thu_W2[[#This Row],[Employee Name]],'Base Schedules'!$A$243:$AW$281,43,FALSE)="","",VLOOKUP(Thu_W2[[#This Row],[Employee Name]],'Base Schedules'!$A$243:$AW$281,43,FALSE)),"")</f>
        <v/>
      </c>
      <c r="AS23" s="184" t="str">
        <f>IFERROR(IF(VLOOKUP(Thu_W2[[#This Row],[Employee Name]],'Base Schedules'!$A$243:$AW$281,44,FALSE)="","",VLOOKUP(Thu_W2[[#This Row],[Employee Name]],'Base Schedules'!$A$243:$AW$281,44,FALSE)),"")</f>
        <v/>
      </c>
      <c r="AT23" s="184" t="str">
        <f>IFERROR(IF(VLOOKUP(Thu_W2[[#This Row],[Employee Name]],'Base Schedules'!$A$243:$AW$281,45,FALSE)="","",VLOOKUP(Thu_W2[[#This Row],[Employee Name]],'Base Schedules'!$A$243:$AW$281,45,FALSE)),"")</f>
        <v/>
      </c>
      <c r="AU23" s="184" t="str">
        <f>IFERROR(IF(VLOOKUP(Thu_W2[[#This Row],[Employee Name]],'Base Schedules'!$A$243:$AW$281,46,FALSE)="","",VLOOKUP(Thu_W2[[#This Row],[Employee Name]],'Base Schedules'!$A$243:$AW$281,46,FALSE)),"")</f>
        <v/>
      </c>
      <c r="AV23" s="184" t="str">
        <f>IFERROR(IF(VLOOKUP(Thu_W2[[#This Row],[Employee Name]],'Base Schedules'!$A$243:$AW$281,47,FALSE)="","",VLOOKUP(Thu_W2[[#This Row],[Employee Name]],'Base Schedules'!$A$243:$AW$281,47,FALSE)),"")</f>
        <v/>
      </c>
      <c r="AW23" s="184" t="str">
        <f>IFERROR(IF(VLOOKUP(Thu_W2[[#This Row],[Employee Name]],'Base Schedules'!$A$243:$AW$281,48,FALSE)="","",VLOOKUP(Thu_W2[[#This Row],[Employee Name]],'Base Schedules'!$A$243:$AW$281,48,FALSE)),"")</f>
        <v/>
      </c>
      <c r="AX23" s="184" t="str">
        <f>IFERROR(IF(VLOOKUP(Thu_W2[[#This Row],[Employee Name]],'Base Schedules'!$A$243:$AW$281,49,FALSE)="","",VLOOKUP(Thu_W2[[#This Row],[Employee Name]],'Base Schedules'!$A$243:$AW$281,49,FALSE)),"")</f>
        <v/>
      </c>
      <c r="AY23" s="245" t="str">
        <f t="shared" si="2"/>
        <v>Vasbinder, Ryan</v>
      </c>
    </row>
    <row r="24" spans="1:51" s="44" customFormat="1" ht="12" customHeight="1" x14ac:dyDescent="0.2">
      <c r="A24" s="39" t="str">
        <f>IF(B24="","",INDEX(TeamList[],MATCH($B24,TeamList[[Employee Name]:[Employee Name]],0),MATCH("Manager",TeamList[#Headers],0)))</f>
        <v>Olson, Katherine</v>
      </c>
      <c r="B24" s="202" t="s">
        <v>49</v>
      </c>
      <c r="C24" s="257" t="str">
        <f>_xlfn.IFNA(VLOOKUP(Thu_W2[[#This Row],[Employee Name]],'Base Schedules'!A:B,2,FALSE),"")</f>
        <v>Supervisor</v>
      </c>
      <c r="D24" s="274">
        <f>_xlfn.IFNA(VLOOKUP(Thu_W2[[#This Row],[Employee Name]],'Base Schedules'!A:C,3,FALSE),"")</f>
        <v>800</v>
      </c>
      <c r="E24" s="274">
        <f>_xlfn.IFNA(VLOOKUP(Thu_W2[[#This Row],[Employee Name]],'Base Schedules'!A:D,4,FALSE),"")</f>
        <v>1700</v>
      </c>
      <c r="F24" s="142">
        <f>IF(Thu_W2[[#This Row],[Employee Name]]="","",IF(Thu_W2[[#This Row],[Dept]]="Supervisor",COUNTIFS($J24:$AX24,"*HL*",$J24:$AX24,"&lt;&gt;"&amp;"pHL"),COUNTIFS($J24:$AX24,"*HL*",$J24:$AX24,"&lt;&gt;"&amp;"*pHL*",$J24:$AX24,"&lt;&gt;"&amp;"pB1 HL",$J24:$AX24,"&lt;&gt;"&amp;"pB2 HL")-SUM(COUNTIFS($J24:$AX24,"*HL B1*",$J24:$AX24,"&lt;&gt;"&amp;"pHL B1")*0.5,COUNTIFS($J24:$AX24,"*HL B2*",$J24:$AX24,"&lt;&gt;"&amp;"pHL B2")*0.5,COUNTIFS($J24:$AX24,"*B1 HL*",$J24:$AX24,"&lt;&gt;"&amp;"pB1 HL")*0.5,COUNTIFS($J24:$AX24,"*B2 HL*",$J24:$AX24,"&lt;&gt;"&amp;"pB2 HL")*0.5)))</f>
        <v>0</v>
      </c>
      <c r="G24" s="142">
        <f t="shared" si="0"/>
        <v>4</v>
      </c>
      <c r="H24" s="142">
        <f t="shared" si="1"/>
        <v>0</v>
      </c>
      <c r="I24" s="142">
        <f>IF(Thu_W2[[#This Row],[Employee Name]]="","",IF(Thu_W2[[#This Row],[Dept]]="Supervisor",SUM(COUNTIFS($J24:$AX24,"RTA*",$J24:$AX24,"&lt;&gt;"&amp;"pRTA"),COUNTIFS($J24:$AX24,"*CRTA*",$J24:$AX24,"&lt;&gt;"&amp;"pCRTA")),COUNTIFS($J24:$AX24,"*RNNR*",$J24:$AX24,"&lt;&gt;"&amp;"*pRNNR*",$J24:$AX24,"&lt;&gt;"&amp;"pB1 RNNR",$J24:$AX24,"&lt;&gt;"&amp;"pB2 RNNR")-SUM(COUNTIFS($J24:$AX24,"*RNNR B1*",$J24:$AX24,"&lt;&gt;"&amp;"pRNNR B1")*0.5,COUNTIFS($J24:$AX24,"*RNNR B2*",$J24:$AX24,"&lt;&gt;"&amp;"pRNNR B2")*0.5,COUNTIFS($J24:$AX24,"*B1 RNNR*",$J24:$AX24,"&lt;&gt;"&amp;"pB1 RNNR")*0.5,COUNTIFS($J24:$AX24,"*B2 RNNR*",$J24:$AX24,"&lt;&gt;"&amp;"pB2 RNNR")*0.5)))</f>
        <v>0</v>
      </c>
      <c r="J24" s="184" t="str">
        <f>IFERROR(IF(VLOOKUP(Thu_W2[[#This Row],[Employee Name]],'Base Schedules'!$A$243:$AW$281,9,FALSE)="","",VLOOKUP(Thu_W2[[#This Row],[Employee Name]],'Base Schedules'!$A$243:$AW$281,9,FALSE)),"")</f>
        <v/>
      </c>
      <c r="K24" s="184" t="str">
        <f>IFERROR(IF(VLOOKUP(Thu_W2[[#This Row],[Employee Name]],'Base Schedules'!$A$243:$AW$281,10,FALSE)="","",VLOOKUP(Thu_W2[[#This Row],[Employee Name]],'Base Schedules'!$A$243:$AW$281,10,FALSE)),"")</f>
        <v/>
      </c>
      <c r="L24" s="184" t="str">
        <f>IFERROR(IF(VLOOKUP(Thu_W2[[#This Row],[Employee Name]],'Base Schedules'!$A$243:$AW$281,11,FALSE)="","",VLOOKUP(Thu_W2[[#This Row],[Employee Name]],'Base Schedules'!$A$243:$AW$281,11,FALSE)),"")</f>
        <v/>
      </c>
      <c r="M24" s="184" t="str">
        <f>IFERROR(IF(VLOOKUP(Thu_W2[[#This Row],[Employee Name]],'Base Schedules'!$A$243:$AW$281,12,FALSE)="","",VLOOKUP(Thu_W2[[#This Row],[Employee Name]],'Base Schedules'!$A$243:$AW$281,12,FALSE)),"")</f>
        <v/>
      </c>
      <c r="N24" s="184" t="str">
        <f>IFERROR(IF(VLOOKUP(Thu_W2[[#This Row],[Employee Name]],'Base Schedules'!$A$243:$AW$281,13,FALSE)="","",VLOOKUP(Thu_W2[[#This Row],[Employee Name]],'Base Schedules'!$A$243:$AW$281,13,FALSE)),"")</f>
        <v/>
      </c>
      <c r="O24" s="184" t="str">
        <f>IFERROR(IF(VLOOKUP(Thu_W2[[#This Row],[Employee Name]],'Base Schedules'!$A$243:$AW$281,14,FALSE)="","",VLOOKUP(Thu_W2[[#This Row],[Employee Name]],'Base Schedules'!$A$243:$AW$281,14,FALSE)),"")</f>
        <v/>
      </c>
      <c r="P24" s="184" t="str">
        <f>IFERROR(IF(VLOOKUP(Thu_W2[[#This Row],[Employee Name]],'Base Schedules'!$A$243:$AW$281,15,FALSE)="","",VLOOKUP(Thu_W2[[#This Row],[Employee Name]],'Base Schedules'!$A$243:$AW$281,15,FALSE)),"")</f>
        <v>-</v>
      </c>
      <c r="Q24" s="184" t="str">
        <f>IFERROR(IF(VLOOKUP(Thu_W2[[#This Row],[Employee Name]],'Base Schedules'!$A$243:$AW$281,16,FALSE)="","",VLOOKUP(Thu_W2[[#This Row],[Employee Name]],'Base Schedules'!$A$243:$AW$281,16,FALSE)),"")</f>
        <v>-</v>
      </c>
      <c r="R24" s="184" t="str">
        <f>IFERROR(IF(VLOOKUP(Thu_W2[[#This Row],[Employee Name]],'Base Schedules'!$A$243:$AW$281,17,FALSE)="","",VLOOKUP(Thu_W2[[#This Row],[Employee Name]],'Base Schedules'!$A$243:$AW$281,17,FALSE)),"")</f>
        <v>-</v>
      </c>
      <c r="S24" s="184" t="str">
        <f>IFERROR(IF(VLOOKUP(Thu_W2[[#This Row],[Employee Name]],'Base Schedules'!$A$243:$AW$281,18,FALSE)="","",VLOOKUP(Thu_W2[[#This Row],[Employee Name]],'Base Schedules'!$A$243:$AW$281,18,FALSE)),"")</f>
        <v>Coaching</v>
      </c>
      <c r="T24" s="184" t="str">
        <f>IFERROR(IF(VLOOKUP(Thu_W2[[#This Row],[Employee Name]],'Base Schedules'!$A$243:$AW$281,19,FALSE)="","",VLOOKUP(Thu_W2[[#This Row],[Employee Name]],'Base Schedules'!$A$243:$AW$281,19,FALSE)),"")</f>
        <v>Coaching</v>
      </c>
      <c r="U24" s="184" t="str">
        <f>IFERROR(IF(VLOOKUP(Thu_W2[[#This Row],[Employee Name]],'Base Schedules'!$A$243:$AW$281,20,FALSE)="","",VLOOKUP(Thu_W2[[#This Row],[Employee Name]],'Base Schedules'!$A$243:$AW$281,20,FALSE)),"")</f>
        <v>Coaching</v>
      </c>
      <c r="V24" s="184" t="str">
        <f>IFERROR(IF(VLOOKUP(Thu_W2[[#This Row],[Employee Name]],'Base Schedules'!$A$243:$AW$281,21,FALSE)="","",VLOOKUP(Thu_W2[[#This Row],[Employee Name]],'Base Schedules'!$A$243:$AW$281,21,FALSE)),"")</f>
        <v>Coaching</v>
      </c>
      <c r="W24" s="184" t="str">
        <f>IFERROR(IF(VLOOKUP(Thu_W2[[#This Row],[Employee Name]],'Base Schedules'!$A$243:$AW$281,22,FALSE)="","",VLOOKUP(Thu_W2[[#This Row],[Employee Name]],'Base Schedules'!$A$243:$AW$281,22,FALSE)),"")</f>
        <v>-</v>
      </c>
      <c r="X24" s="184" t="str">
        <f>IFERROR(IF(VLOOKUP(Thu_W2[[#This Row],[Employee Name]],'Base Schedules'!$A$243:$AW$281,23,FALSE)="","",VLOOKUP(Thu_W2[[#This Row],[Employee Name]],'Base Schedules'!$A$243:$AW$281,23,FALSE)),"")</f>
        <v>-</v>
      </c>
      <c r="Y24" s="184" t="str">
        <f>IFERROR(IF(VLOOKUP(Thu_W2[[#This Row],[Employee Name]],'Base Schedules'!$A$243:$AW$281,24,FALSE)="","",VLOOKUP(Thu_W2[[#This Row],[Employee Name]],'Base Schedules'!$A$243:$AW$281,24,FALSE)),"")</f>
        <v>-</v>
      </c>
      <c r="Z24" s="184" t="str">
        <f>IFERROR(IF(VLOOKUP(Thu_W2[[#This Row],[Employee Name]],'Base Schedules'!$A$243:$AW$281,25,FALSE)="","",VLOOKUP(Thu_W2[[#This Row],[Employee Name]],'Base Schedules'!$A$243:$AW$281,25,FALSE)),"")</f>
        <v>-</v>
      </c>
      <c r="AA24" s="184" t="str">
        <f>IFERROR(IF(VLOOKUP(Thu_W2[[#This Row],[Employee Name]],'Base Schedules'!$A$243:$AW$281,26,FALSE)="","",VLOOKUP(Thu_W2[[#This Row],[Employee Name]],'Base Schedules'!$A$243:$AW$281,26,FALSE)),"")</f>
        <v>-</v>
      </c>
      <c r="AB24" s="184" t="str">
        <f>IFERROR(IF(VLOOKUP(Thu_W2[[#This Row],[Employee Name]],'Base Schedules'!$A$243:$AW$281,27,FALSE)="","",VLOOKUP(Thu_W2[[#This Row],[Employee Name]],'Base Schedules'!$A$243:$AW$281,27,FALSE)),"")</f>
        <v>TM PREP</v>
      </c>
      <c r="AC24" s="184" t="str">
        <f>IFERROR(IF(VLOOKUP(Thu_W2[[#This Row],[Employee Name]],'Base Schedules'!$A$243:$AW$281,28,FALSE)="","",VLOOKUP(Thu_W2[[#This Row],[Employee Name]],'Base Schedules'!$A$243:$AW$281,28,FALSE)),"")</f>
        <v>OLSON TM</v>
      </c>
      <c r="AD24" s="184" t="str">
        <f>IFERROR(IF(VLOOKUP(Thu_W2[[#This Row],[Employee Name]],'Base Schedules'!$A$243:$AW$281,29,FALSE)="","",VLOOKUP(Thu_W2[[#This Row],[Employee Name]],'Base Schedules'!$A$243:$AW$281,29,FALSE)),"")</f>
        <v>OLSON TM</v>
      </c>
      <c r="AE24" s="184" t="str">
        <f>IFERROR(IF(VLOOKUP(Thu_W2[[#This Row],[Employee Name]],'Base Schedules'!$A$243:$AW$281,30,FALSE)="","",VLOOKUP(Thu_W2[[#This Row],[Employee Name]],'Base Schedules'!$A$243:$AW$281,30,FALSE)),"")</f>
        <v>-</v>
      </c>
      <c r="AF24" s="184" t="str">
        <f>IFERROR(IF(VLOOKUP(Thu_W2[[#This Row],[Employee Name]],'Base Schedules'!$A$243:$AW$281,31,FALSE)="","",VLOOKUP(Thu_W2[[#This Row],[Employee Name]],'Base Schedules'!$A$243:$AW$281,31,FALSE)),"")</f>
        <v>-</v>
      </c>
      <c r="AG24" s="184" t="str">
        <f>IFERROR(IF(VLOOKUP(Thu_W2[[#This Row],[Employee Name]],'Base Schedules'!$A$243:$AW$281,32,FALSE)="","",VLOOKUP(Thu_W2[[#This Row],[Employee Name]],'Base Schedules'!$A$243:$AW$281,32,FALSE)),"")</f>
        <v>-</v>
      </c>
      <c r="AH24" s="184" t="str">
        <f>IFERROR(IF(VLOOKUP(Thu_W2[[#This Row],[Employee Name]],'Base Schedules'!$A$243:$AW$281,33,FALSE)="","",VLOOKUP(Thu_W2[[#This Row],[Employee Name]],'Base Schedules'!$A$243:$AW$281,33,FALSE)),"")</f>
        <v/>
      </c>
      <c r="AI24" s="184" t="str">
        <f>IFERROR(IF(VLOOKUP(Thu_W2[[#This Row],[Employee Name]],'Base Schedules'!$A$243:$AW$281,34,FALSE)="","",VLOOKUP(Thu_W2[[#This Row],[Employee Name]],'Base Schedules'!$A$243:$AW$281,34,FALSE)),"")</f>
        <v/>
      </c>
      <c r="AJ24" s="184" t="str">
        <f>IFERROR(IF(VLOOKUP(Thu_W2[[#This Row],[Employee Name]],'Base Schedules'!$A$243:$AW$281,35,FALSE)="","",VLOOKUP(Thu_W2[[#This Row],[Employee Name]],'Base Schedules'!$A$243:$AW$281,35,FALSE)),"")</f>
        <v/>
      </c>
      <c r="AK24" s="184" t="str">
        <f>IFERROR(IF(VLOOKUP(Thu_W2[[#This Row],[Employee Name]],'Base Schedules'!$A$243:$AW$281,36,FALSE)="","",VLOOKUP(Thu_W2[[#This Row],[Employee Name]],'Base Schedules'!$A$243:$AW$281,36,FALSE)),"")</f>
        <v/>
      </c>
      <c r="AL24" s="184" t="str">
        <f>IFERROR(IF(VLOOKUP(Thu_W2[[#This Row],[Employee Name]],'Base Schedules'!$A$243:$AW$281,37,FALSE)="","",VLOOKUP(Thu_W2[[#This Row],[Employee Name]],'Base Schedules'!$A$243:$AW$281,37,FALSE)),"")</f>
        <v/>
      </c>
      <c r="AM24" s="184" t="str">
        <f>IFERROR(IF(VLOOKUP(Thu_W2[[#This Row],[Employee Name]],'Base Schedules'!$A$243:$AW$281,38,FALSE)="","",VLOOKUP(Thu_W2[[#This Row],[Employee Name]],'Base Schedules'!$A$243:$AW$281,38,FALSE)),"")</f>
        <v/>
      </c>
      <c r="AN24" s="184" t="str">
        <f>IFERROR(IF(VLOOKUP(Thu_W2[[#This Row],[Employee Name]],'Base Schedules'!$A$243:$AW$281,39,FALSE)="","",VLOOKUP(Thu_W2[[#This Row],[Employee Name]],'Base Schedules'!$A$243:$AW$281,39,FALSE)),"")</f>
        <v/>
      </c>
      <c r="AO24" s="184" t="str">
        <f>IFERROR(IF(VLOOKUP(Thu_W2[[#This Row],[Employee Name]],'Base Schedules'!$A$243:$AW$281,40,FALSE)="","",VLOOKUP(Thu_W2[[#This Row],[Employee Name]],'Base Schedules'!$A$243:$AW$281,40,FALSE)),"")</f>
        <v/>
      </c>
      <c r="AP24" s="184" t="str">
        <f>IFERROR(IF(VLOOKUP(Thu_W2[[#This Row],[Employee Name]],'Base Schedules'!$A$243:$AW$281,41,FALSE)="","",VLOOKUP(Thu_W2[[#This Row],[Employee Name]],'Base Schedules'!$A$243:$AW$281,41,FALSE)),"")</f>
        <v/>
      </c>
      <c r="AQ24" s="184" t="str">
        <f>IFERROR(IF(VLOOKUP(Thu_W2[[#This Row],[Employee Name]],'Base Schedules'!$A$243:$AW$281,42,FALSE)="","",VLOOKUP(Thu_W2[[#This Row],[Employee Name]],'Base Schedules'!$A$243:$AW$281,42,FALSE)),"")</f>
        <v/>
      </c>
      <c r="AR24" s="184" t="str">
        <f>IFERROR(IF(VLOOKUP(Thu_W2[[#This Row],[Employee Name]],'Base Schedules'!$A$243:$AW$281,43,FALSE)="","",VLOOKUP(Thu_W2[[#This Row],[Employee Name]],'Base Schedules'!$A$243:$AW$281,43,FALSE)),"")</f>
        <v/>
      </c>
      <c r="AS24" s="184" t="str">
        <f>IFERROR(IF(VLOOKUP(Thu_W2[[#This Row],[Employee Name]],'Base Schedules'!$A$243:$AW$281,44,FALSE)="","",VLOOKUP(Thu_W2[[#This Row],[Employee Name]],'Base Schedules'!$A$243:$AW$281,44,FALSE)),"")</f>
        <v/>
      </c>
      <c r="AT24" s="184" t="str">
        <f>IFERROR(IF(VLOOKUP(Thu_W2[[#This Row],[Employee Name]],'Base Schedules'!$A$243:$AW$281,45,FALSE)="","",VLOOKUP(Thu_W2[[#This Row],[Employee Name]],'Base Schedules'!$A$243:$AW$281,45,FALSE)),"")</f>
        <v/>
      </c>
      <c r="AU24" s="184" t="str">
        <f>IFERROR(IF(VLOOKUP(Thu_W2[[#This Row],[Employee Name]],'Base Schedules'!$A$243:$AW$281,46,FALSE)="","",VLOOKUP(Thu_W2[[#This Row],[Employee Name]],'Base Schedules'!$A$243:$AW$281,46,FALSE)),"")</f>
        <v/>
      </c>
      <c r="AV24" s="184" t="str">
        <f>IFERROR(IF(VLOOKUP(Thu_W2[[#This Row],[Employee Name]],'Base Schedules'!$A$243:$AW$281,47,FALSE)="","",VLOOKUP(Thu_W2[[#This Row],[Employee Name]],'Base Schedules'!$A$243:$AW$281,47,FALSE)),"")</f>
        <v/>
      </c>
      <c r="AW24" s="184" t="str">
        <f>IFERROR(IF(VLOOKUP(Thu_W2[[#This Row],[Employee Name]],'Base Schedules'!$A$243:$AW$281,48,FALSE)="","",VLOOKUP(Thu_W2[[#This Row],[Employee Name]],'Base Schedules'!$A$243:$AW$281,48,FALSE)),"")</f>
        <v/>
      </c>
      <c r="AX24" s="184" t="str">
        <f>IFERROR(IF(VLOOKUP(Thu_W2[[#This Row],[Employee Name]],'Base Schedules'!$A$243:$AW$281,49,FALSE)="","",VLOOKUP(Thu_W2[[#This Row],[Employee Name]],'Base Schedules'!$A$243:$AW$281,49,FALSE)),"")</f>
        <v/>
      </c>
      <c r="AY24" s="245" t="str">
        <f t="shared" si="2"/>
        <v>Olson, Dan</v>
      </c>
    </row>
    <row r="25" spans="1:51" s="44" customFormat="1" ht="12" customHeight="1" x14ac:dyDescent="0.2">
      <c r="A25" s="39" t="str">
        <f>IF(B25="","",INDEX(TeamList[],MATCH($B25,TeamList[[Employee Name]:[Employee Name]],0),MATCH("Manager",TeamList[#Headers],0)))</f>
        <v>Olson, Katherine</v>
      </c>
      <c r="B25" s="201" t="s">
        <v>231</v>
      </c>
      <c r="C25" s="257" t="str">
        <f>_xlfn.IFNA(VLOOKUP(Thu_W2[[#This Row],[Employee Name]],'Base Schedules'!A:B,2,FALSE),"")</f>
        <v>Lead</v>
      </c>
      <c r="D25" s="274">
        <f>_xlfn.IFNA(VLOOKUP(Thu_W2[[#This Row],[Employee Name]],'Base Schedules'!A:C,3,FALSE),"")</f>
        <v>900</v>
      </c>
      <c r="E25" s="274">
        <f>_xlfn.IFNA(VLOOKUP(Thu_W2[[#This Row],[Employee Name]],'Base Schedules'!A:D,4,FALSE),"")</f>
        <v>1730</v>
      </c>
      <c r="F25" s="142">
        <f>IF(Thu_W2[[#This Row],[Employee Name]]="","",IF(Thu_W2[[#This Row],[Dept]]="Supervisor",COUNTIFS($J25:$AX25,"*HL*",$J25:$AX25,"&lt;&gt;"&amp;"pHL"),COUNTIFS($J25:$AX25,"*HL*",$J25:$AX25,"&lt;&gt;"&amp;"*pHL*",$J25:$AX25,"&lt;&gt;"&amp;"pB1 HL",$J25:$AX25,"&lt;&gt;"&amp;"pB2 HL")-SUM(COUNTIFS($J25:$AX25,"*HL B1*",$J25:$AX25,"&lt;&gt;"&amp;"pHL B1")*0.5,COUNTIFS($J25:$AX25,"*HL B2*",$J25:$AX25,"&lt;&gt;"&amp;"pHL B2")*0.5,COUNTIFS($J25:$AX25,"*B1 HL*",$J25:$AX25,"&lt;&gt;"&amp;"pB1 HL")*0.5,COUNTIFS($J25:$AX25,"*B2 HL*",$J25:$AX25,"&lt;&gt;"&amp;"pB2 HL")*0.5)))</f>
        <v>5.5</v>
      </c>
      <c r="G25" s="142">
        <f t="shared" si="0"/>
        <v>0</v>
      </c>
      <c r="H25" s="142">
        <f t="shared" si="1"/>
        <v>8</v>
      </c>
      <c r="I25" s="142">
        <f>IF(Thu_W2[[#This Row],[Employee Name]]="","",IF(Thu_W2[[#This Row],[Dept]]="Supervisor",SUM(COUNTIFS($J25:$AX25,"RTA*",$J25:$AX25,"&lt;&gt;"&amp;"pRTA"),COUNTIFS($J25:$AX25,"*CRTA*",$J25:$AX25,"&lt;&gt;"&amp;"pCRTA")),COUNTIFS($J25:$AX25,"*RNNR*",$J25:$AX25,"&lt;&gt;"&amp;"*pRNNR*",$J25:$AX25,"&lt;&gt;"&amp;"pB1 RNNR",$J25:$AX25,"&lt;&gt;"&amp;"pB2 RNNR")-SUM(COUNTIFS($J25:$AX25,"*RNNR B1*",$J25:$AX25,"&lt;&gt;"&amp;"pRNNR B1")*0.5,COUNTIFS($J25:$AX25,"*RNNR B2*",$J25:$AX25,"&lt;&gt;"&amp;"pRNNR B2")*0.5,COUNTIFS($J25:$AX25,"*B1 RNNR*",$J25:$AX25,"&lt;&gt;"&amp;"pB1 RNNR")*0.5,COUNTIFS($J25:$AX25,"*B2 RNNR*",$J25:$AX25,"&lt;&gt;"&amp;"pB2 RNNR")*0.5)))</f>
        <v>2</v>
      </c>
      <c r="J25" s="184" t="str">
        <f>IFERROR(IF(VLOOKUP(Thu_W2[[#This Row],[Employee Name]],'Base Schedules'!$A$243:$AW$281,9,FALSE)="","",VLOOKUP(Thu_W2[[#This Row],[Employee Name]],'Base Schedules'!$A$243:$AW$281,9,FALSE)),"")</f>
        <v/>
      </c>
      <c r="K25" s="184" t="str">
        <f>IFERROR(IF(VLOOKUP(Thu_W2[[#This Row],[Employee Name]],'Base Schedules'!$A$243:$AW$281,10,FALSE)="","",VLOOKUP(Thu_W2[[#This Row],[Employee Name]],'Base Schedules'!$A$243:$AW$281,10,FALSE)),"")</f>
        <v/>
      </c>
      <c r="L25" s="184" t="str">
        <f>IFERROR(IF(VLOOKUP(Thu_W2[[#This Row],[Employee Name]],'Base Schedules'!$A$243:$AW$281,11,FALSE)="","",VLOOKUP(Thu_W2[[#This Row],[Employee Name]],'Base Schedules'!$A$243:$AW$281,11,FALSE)),"")</f>
        <v/>
      </c>
      <c r="M25" s="184" t="str">
        <f>IFERROR(IF(VLOOKUP(Thu_W2[[#This Row],[Employee Name]],'Base Schedules'!$A$243:$AW$281,12,FALSE)="","",VLOOKUP(Thu_W2[[#This Row],[Employee Name]],'Base Schedules'!$A$243:$AW$281,12,FALSE)),"")</f>
        <v/>
      </c>
      <c r="N25" s="184" t="str">
        <f>IFERROR(IF(VLOOKUP(Thu_W2[[#This Row],[Employee Name]],'Base Schedules'!$A$243:$AW$281,13,FALSE)="","",VLOOKUP(Thu_W2[[#This Row],[Employee Name]],'Base Schedules'!$A$243:$AW$281,13,FALSE)),"")</f>
        <v/>
      </c>
      <c r="O25" s="184" t="str">
        <f>IFERROR(IF(VLOOKUP(Thu_W2[[#This Row],[Employee Name]],'Base Schedules'!$A$243:$AW$281,14,FALSE)="","",VLOOKUP(Thu_W2[[#This Row],[Employee Name]],'Base Schedules'!$A$243:$AW$281,14,FALSE)),"")</f>
        <v/>
      </c>
      <c r="P25" s="184" t="str">
        <f>IFERROR(IF(VLOOKUP(Thu_W2[[#This Row],[Employee Name]],'Base Schedules'!$A$243:$AW$281,15,FALSE)="","",VLOOKUP(Thu_W2[[#This Row],[Employee Name]],'Base Schedules'!$A$243:$AW$281,15,FALSE)),"")</f>
        <v/>
      </c>
      <c r="Q25" s="184" t="str">
        <f>IFERROR(IF(VLOOKUP(Thu_W2[[#This Row],[Employee Name]],'Base Schedules'!$A$243:$AW$281,16,FALSE)="","",VLOOKUP(Thu_W2[[#This Row],[Employee Name]],'Base Schedules'!$A$243:$AW$281,16,FALSE)),"")</f>
        <v/>
      </c>
      <c r="R25" s="184" t="str">
        <f>IFERROR(IF(VLOOKUP(Thu_W2[[#This Row],[Employee Name]],'Base Schedules'!$A$243:$AW$281,17,FALSE)="","",VLOOKUP(Thu_W2[[#This Row],[Employee Name]],'Base Schedules'!$A$243:$AW$281,17,FALSE)),"")</f>
        <v>HL</v>
      </c>
      <c r="S25" s="184" t="str">
        <f>IFERROR(IF(VLOOKUP(Thu_W2[[#This Row],[Employee Name]],'Base Schedules'!$A$243:$AW$281,18,FALSE)="","",VLOOKUP(Thu_W2[[#This Row],[Employee Name]],'Base Schedules'!$A$243:$AW$281,18,FALSE)),"")</f>
        <v>HL</v>
      </c>
      <c r="T25" s="184" t="str">
        <f>IFERROR(IF(VLOOKUP(Thu_W2[[#This Row],[Employee Name]],'Base Schedules'!$A$243:$AW$281,19,FALSE)="","",VLOOKUP(Thu_W2[[#This Row],[Employee Name]],'Base Schedules'!$A$243:$AW$281,19,FALSE)),"")</f>
        <v>HL</v>
      </c>
      <c r="U25" s="184" t="str">
        <f>IFERROR(IF(VLOOKUP(Thu_W2[[#This Row],[Employee Name]],'Base Schedules'!$A$243:$AW$281,20,FALSE)="","",VLOOKUP(Thu_W2[[#This Row],[Employee Name]],'Base Schedules'!$A$243:$AW$281,20,FALSE)),"")</f>
        <v>HL B1</v>
      </c>
      <c r="V25" s="184" t="str">
        <f>IFERROR(IF(VLOOKUP(Thu_W2[[#This Row],[Employee Name]],'Base Schedules'!$A$243:$AW$281,21,FALSE)="","",VLOOKUP(Thu_W2[[#This Row],[Employee Name]],'Base Schedules'!$A$243:$AW$281,21,FALSE)),"")</f>
        <v>ADM</v>
      </c>
      <c r="W25" s="184" t="str">
        <f>IFERROR(IF(VLOOKUP(Thu_W2[[#This Row],[Employee Name]],'Base Schedules'!$A$243:$AW$281,22,FALSE)="","",VLOOKUP(Thu_W2[[#This Row],[Employee Name]],'Base Schedules'!$A$243:$AW$281,22,FALSE)),"")</f>
        <v>ADM</v>
      </c>
      <c r="X25" s="184" t="str">
        <f>IFERROR(IF(VLOOKUP(Thu_W2[[#This Row],[Employee Name]],'Base Schedules'!$A$243:$AW$281,23,FALSE)="","",VLOOKUP(Thu_W2[[#This Row],[Employee Name]],'Base Schedules'!$A$243:$AW$281,23,FALSE)),"")</f>
        <v>RNNR</v>
      </c>
      <c r="Y25" s="184" t="str">
        <f>IFERROR(IF(VLOOKUP(Thu_W2[[#This Row],[Employee Name]],'Base Schedules'!$A$243:$AW$281,24,FALSE)="","",VLOOKUP(Thu_W2[[#This Row],[Employee Name]],'Base Schedules'!$A$243:$AW$281,24,FALSE)),"")</f>
        <v>RNNR</v>
      </c>
      <c r="Z25" s="184" t="str">
        <f>IFERROR(IF(VLOOKUP(Thu_W2[[#This Row],[Employee Name]],'Base Schedules'!$A$243:$AW$281,25,FALSE)="","",VLOOKUP(Thu_W2[[#This Row],[Employee Name]],'Base Schedules'!$A$243:$AW$281,25,FALSE)),"")</f>
        <v>LUNCH</v>
      </c>
      <c r="AA25" s="184" t="str">
        <f>IFERROR(IF(VLOOKUP(Thu_W2[[#This Row],[Employee Name]],'Base Schedules'!$A$243:$AW$281,26,FALSE)="","",VLOOKUP(Thu_W2[[#This Row],[Employee Name]],'Base Schedules'!$A$243:$AW$281,26,FALSE)),"")</f>
        <v>ADM</v>
      </c>
      <c r="AB25" s="184" t="str">
        <f>IFERROR(IF(VLOOKUP(Thu_W2[[#This Row],[Employee Name]],'Base Schedules'!$A$243:$AW$281,27,FALSE)="","",VLOOKUP(Thu_W2[[#This Row],[Employee Name]],'Base Schedules'!$A$243:$AW$281,27,FALSE)),"")</f>
        <v>ADM</v>
      </c>
      <c r="AC25" s="184" t="str">
        <f>IFERROR(IF(VLOOKUP(Thu_W2[[#This Row],[Employee Name]],'Base Schedules'!$A$243:$AW$281,28,FALSE)="","",VLOOKUP(Thu_W2[[#This Row],[Employee Name]],'Base Schedules'!$A$243:$AW$281,28,FALSE)),"")</f>
        <v>HL</v>
      </c>
      <c r="AD25" s="184" t="str">
        <f>IFERROR(IF(VLOOKUP(Thu_W2[[#This Row],[Employee Name]],'Base Schedules'!$A$243:$AW$281,29,FALSE)="","",VLOOKUP(Thu_W2[[#This Row],[Employee Name]],'Base Schedules'!$A$243:$AW$281,29,FALSE)),"")</f>
        <v>HL</v>
      </c>
      <c r="AE25" s="184" t="str">
        <f>IFERROR(IF(VLOOKUP(Thu_W2[[#This Row],[Employee Name]],'Base Schedules'!$A$243:$AW$281,30,FALSE)="","",VLOOKUP(Thu_W2[[#This Row],[Employee Name]],'Base Schedules'!$A$243:$AW$281,30,FALSE)),"")</f>
        <v>B2 ADM</v>
      </c>
      <c r="AF25" s="184" t="str">
        <f>IFERROR(IF(VLOOKUP(Thu_W2[[#This Row],[Employee Name]],'Base Schedules'!$A$243:$AW$281,31,FALSE)="","",VLOOKUP(Thu_W2[[#This Row],[Employee Name]],'Base Schedules'!$A$243:$AW$281,31,FALSE)),"")</f>
        <v>ADM</v>
      </c>
      <c r="AG25" s="184" t="str">
        <f>IFERROR(IF(VLOOKUP(Thu_W2[[#This Row],[Employee Name]],'Base Schedules'!$A$243:$AW$281,32,FALSE)="","",VLOOKUP(Thu_W2[[#This Row],[Employee Name]],'Base Schedules'!$A$243:$AW$281,32,FALSE)),"")</f>
        <v>ADM</v>
      </c>
      <c r="AH25" s="184" t="str">
        <f>IFERROR(IF(VLOOKUP(Thu_W2[[#This Row],[Employee Name]],'Base Schedules'!$A$243:$AW$281,33,FALSE)="","",VLOOKUP(Thu_W2[[#This Row],[Employee Name]],'Base Schedules'!$A$243:$AW$281,33,FALSE)),"")</f>
        <v>ADM</v>
      </c>
      <c r="AI25" s="184" t="str">
        <f>IFERROR(IF(VLOOKUP(Thu_W2[[#This Row],[Employee Name]],'Base Schedules'!$A$243:$AW$281,34,FALSE)="","",VLOOKUP(Thu_W2[[#This Row],[Employee Name]],'Base Schedules'!$A$243:$AW$281,34,FALSE)),"")</f>
        <v/>
      </c>
      <c r="AJ25" s="184" t="str">
        <f>IFERROR(IF(VLOOKUP(Thu_W2[[#This Row],[Employee Name]],'Base Schedules'!$A$243:$AW$281,35,FALSE)="","",VLOOKUP(Thu_W2[[#This Row],[Employee Name]],'Base Schedules'!$A$243:$AW$281,35,FALSE)),"")</f>
        <v/>
      </c>
      <c r="AK25" s="184" t="str">
        <f>IFERROR(IF(VLOOKUP(Thu_W2[[#This Row],[Employee Name]],'Base Schedules'!$A$243:$AW$281,36,FALSE)="","",VLOOKUP(Thu_W2[[#This Row],[Employee Name]],'Base Schedules'!$A$243:$AW$281,36,FALSE)),"")</f>
        <v/>
      </c>
      <c r="AL25" s="184" t="str">
        <f>IFERROR(IF(VLOOKUP(Thu_W2[[#This Row],[Employee Name]],'Base Schedules'!$A$243:$AW$281,37,FALSE)="","",VLOOKUP(Thu_W2[[#This Row],[Employee Name]],'Base Schedules'!$A$243:$AW$281,37,FALSE)),"")</f>
        <v/>
      </c>
      <c r="AM25" s="184" t="str">
        <f>IFERROR(IF(VLOOKUP(Thu_W2[[#This Row],[Employee Name]],'Base Schedules'!$A$243:$AW$281,38,FALSE)="","",VLOOKUP(Thu_W2[[#This Row],[Employee Name]],'Base Schedules'!$A$243:$AW$281,38,FALSE)),"")</f>
        <v/>
      </c>
      <c r="AN25" s="184" t="str">
        <f>IFERROR(IF(VLOOKUP(Thu_W2[[#This Row],[Employee Name]],'Base Schedules'!$A$243:$AW$281,39,FALSE)="","",VLOOKUP(Thu_W2[[#This Row],[Employee Name]],'Base Schedules'!$A$243:$AW$281,39,FALSE)),"")</f>
        <v/>
      </c>
      <c r="AO25" s="184" t="str">
        <f>IFERROR(IF(VLOOKUP(Thu_W2[[#This Row],[Employee Name]],'Base Schedules'!$A$243:$AW$281,40,FALSE)="","",VLOOKUP(Thu_W2[[#This Row],[Employee Name]],'Base Schedules'!$A$243:$AW$281,40,FALSE)),"")</f>
        <v/>
      </c>
      <c r="AP25" s="184" t="str">
        <f>IFERROR(IF(VLOOKUP(Thu_W2[[#This Row],[Employee Name]],'Base Schedules'!$A$243:$AW$281,41,FALSE)="","",VLOOKUP(Thu_W2[[#This Row],[Employee Name]],'Base Schedules'!$A$243:$AW$281,41,FALSE)),"")</f>
        <v/>
      </c>
      <c r="AQ25" s="184" t="str">
        <f>IFERROR(IF(VLOOKUP(Thu_W2[[#This Row],[Employee Name]],'Base Schedules'!$A$243:$AW$281,42,FALSE)="","",VLOOKUP(Thu_W2[[#This Row],[Employee Name]],'Base Schedules'!$A$243:$AW$281,42,FALSE)),"")</f>
        <v/>
      </c>
      <c r="AR25" s="184" t="str">
        <f>IFERROR(IF(VLOOKUP(Thu_W2[[#This Row],[Employee Name]],'Base Schedules'!$A$243:$AW$281,43,FALSE)="","",VLOOKUP(Thu_W2[[#This Row],[Employee Name]],'Base Schedules'!$A$243:$AW$281,43,FALSE)),"")</f>
        <v/>
      </c>
      <c r="AS25" s="184" t="str">
        <f>IFERROR(IF(VLOOKUP(Thu_W2[[#This Row],[Employee Name]],'Base Schedules'!$A$243:$AW$281,44,FALSE)="","",VLOOKUP(Thu_W2[[#This Row],[Employee Name]],'Base Schedules'!$A$243:$AW$281,44,FALSE)),"")</f>
        <v/>
      </c>
      <c r="AT25" s="184" t="str">
        <f>IFERROR(IF(VLOOKUP(Thu_W2[[#This Row],[Employee Name]],'Base Schedules'!$A$243:$AW$281,45,FALSE)="","",VLOOKUP(Thu_W2[[#This Row],[Employee Name]],'Base Schedules'!$A$243:$AW$281,45,FALSE)),"")</f>
        <v/>
      </c>
      <c r="AU25" s="184" t="str">
        <f>IFERROR(IF(VLOOKUP(Thu_W2[[#This Row],[Employee Name]],'Base Schedules'!$A$243:$AW$281,46,FALSE)="","",VLOOKUP(Thu_W2[[#This Row],[Employee Name]],'Base Schedules'!$A$243:$AW$281,46,FALSE)),"")</f>
        <v/>
      </c>
      <c r="AV25" s="184" t="str">
        <f>IFERROR(IF(VLOOKUP(Thu_W2[[#This Row],[Employee Name]],'Base Schedules'!$A$243:$AW$281,47,FALSE)="","",VLOOKUP(Thu_W2[[#This Row],[Employee Name]],'Base Schedules'!$A$243:$AW$281,47,FALSE)),"")</f>
        <v/>
      </c>
      <c r="AW25" s="184" t="str">
        <f>IFERROR(IF(VLOOKUP(Thu_W2[[#This Row],[Employee Name]],'Base Schedules'!$A$243:$AW$281,48,FALSE)="","",VLOOKUP(Thu_W2[[#This Row],[Employee Name]],'Base Schedules'!$A$243:$AW$281,48,FALSE)),"")</f>
        <v/>
      </c>
      <c r="AX25" s="184" t="str">
        <f>IFERROR(IF(VLOOKUP(Thu_W2[[#This Row],[Employee Name]],'Base Schedules'!$A$243:$AW$281,49,FALSE)="","",VLOOKUP(Thu_W2[[#This Row],[Employee Name]],'Base Schedules'!$A$243:$AW$281,49,FALSE)),"")</f>
        <v/>
      </c>
      <c r="AY25" s="245" t="str">
        <f t="shared" si="2"/>
        <v>Fiskvik, Christopher</v>
      </c>
    </row>
    <row r="26" spans="1:51" s="44" customFormat="1" ht="12" customHeight="1" x14ac:dyDescent="0.2">
      <c r="A26" s="39" t="str">
        <f>IF(B26="","",INDEX(TeamList[],MATCH($B26,TeamList[[Employee Name]:[Employee Name]],0),MATCH("Manager",TeamList[#Headers],0)))</f>
        <v>Ahmed Hassan, Zahra</v>
      </c>
      <c r="B26" s="201" t="s">
        <v>27</v>
      </c>
      <c r="C26" s="257" t="str">
        <f>_xlfn.IFNA(VLOOKUP(Thu_W2[[#This Row],[Employee Name]],'Base Schedules'!A:B,2,FALSE),"")</f>
        <v>Supervisor</v>
      </c>
      <c r="D26" s="274">
        <f>_xlfn.IFNA(VLOOKUP(Thu_W2[[#This Row],[Employee Name]],'Base Schedules'!A:C,3,FALSE),"")</f>
        <v>930</v>
      </c>
      <c r="E26" s="274">
        <f>_xlfn.IFNA(VLOOKUP(Thu_W2[[#This Row],[Employee Name]],'Base Schedules'!A:D,4,FALSE),"")</f>
        <v>1830</v>
      </c>
      <c r="F26" s="142">
        <f>IF(Thu_W2[[#This Row],[Employee Name]]="","",IF(Thu_W2[[#This Row],[Dept]]="Supervisor",COUNTIFS($J26:$AX26,"*HL*",$J26:$AX26,"&lt;&gt;"&amp;"pHL"),COUNTIFS($J26:$AX26,"*HL*",$J26:$AX26,"&lt;&gt;"&amp;"*pHL*",$J26:$AX26,"&lt;&gt;"&amp;"pB1 HL",$J26:$AX26,"&lt;&gt;"&amp;"pB2 HL")-SUM(COUNTIFS($J26:$AX26,"*HL B1*",$J26:$AX26,"&lt;&gt;"&amp;"pHL B1")*0.5,COUNTIFS($J26:$AX26,"*HL B2*",$J26:$AX26,"&lt;&gt;"&amp;"pHL B2")*0.5,COUNTIFS($J26:$AX26,"*B1 HL*",$J26:$AX26,"&lt;&gt;"&amp;"pB1 HL")*0.5,COUNTIFS($J26:$AX26,"*B2 HL*",$J26:$AX26,"&lt;&gt;"&amp;"pB2 HL")*0.5)))</f>
        <v>0</v>
      </c>
      <c r="G26" s="142">
        <f t="shared" si="0"/>
        <v>4</v>
      </c>
      <c r="H26" s="142">
        <f t="shared" si="1"/>
        <v>0</v>
      </c>
      <c r="I26" s="142">
        <f>IF(Thu_W2[[#This Row],[Employee Name]]="","",IF(Thu_W2[[#This Row],[Dept]]="Supervisor",SUM(COUNTIFS($J26:$AX26,"RTA*",$J26:$AX26,"&lt;&gt;"&amp;"pRTA"),COUNTIFS($J26:$AX26,"*CRTA*",$J26:$AX26,"&lt;&gt;"&amp;"pCRTA")),COUNTIFS($J26:$AX26,"*RNNR*",$J26:$AX26,"&lt;&gt;"&amp;"*pRNNR*",$J26:$AX26,"&lt;&gt;"&amp;"pB1 RNNR",$J26:$AX26,"&lt;&gt;"&amp;"pB2 RNNR")-SUM(COUNTIFS($J26:$AX26,"*RNNR B1*",$J26:$AX26,"&lt;&gt;"&amp;"pRNNR B1")*0.5,COUNTIFS($J26:$AX26,"*RNNR B2*",$J26:$AX26,"&lt;&gt;"&amp;"pRNNR B2")*0.5,COUNTIFS($J26:$AX26,"*B1 RNNR*",$J26:$AX26,"&lt;&gt;"&amp;"pB1 RNNR")*0.5,COUNTIFS($J26:$AX26,"*B2 RNNR*",$J26:$AX26,"&lt;&gt;"&amp;"pB2 RNNR")*0.5)))</f>
        <v>0</v>
      </c>
      <c r="J26" s="184" t="str">
        <f>IFERROR(IF(VLOOKUP(Thu_W2[[#This Row],[Employee Name]],'Base Schedules'!$A$243:$AW$281,9,FALSE)="","",VLOOKUP(Thu_W2[[#This Row],[Employee Name]],'Base Schedules'!$A$243:$AW$281,9,FALSE)),"")</f>
        <v/>
      </c>
      <c r="K26" s="184" t="str">
        <f>IFERROR(IF(VLOOKUP(Thu_W2[[#This Row],[Employee Name]],'Base Schedules'!$A$243:$AW$281,10,FALSE)="","",VLOOKUP(Thu_W2[[#This Row],[Employee Name]],'Base Schedules'!$A$243:$AW$281,10,FALSE)),"")</f>
        <v/>
      </c>
      <c r="L26" s="184" t="str">
        <f>IFERROR(IF(VLOOKUP(Thu_W2[[#This Row],[Employee Name]],'Base Schedules'!$A$243:$AW$281,11,FALSE)="","",VLOOKUP(Thu_W2[[#This Row],[Employee Name]],'Base Schedules'!$A$243:$AW$281,11,FALSE)),"")</f>
        <v/>
      </c>
      <c r="M26" s="184" t="str">
        <f>IFERROR(IF(VLOOKUP(Thu_W2[[#This Row],[Employee Name]],'Base Schedules'!$A$243:$AW$281,12,FALSE)="","",VLOOKUP(Thu_W2[[#This Row],[Employee Name]],'Base Schedules'!$A$243:$AW$281,12,FALSE)),"")</f>
        <v/>
      </c>
      <c r="N26" s="184" t="str">
        <f>IFERROR(IF(VLOOKUP(Thu_W2[[#This Row],[Employee Name]],'Base Schedules'!$A$243:$AW$281,13,FALSE)="","",VLOOKUP(Thu_W2[[#This Row],[Employee Name]],'Base Schedules'!$A$243:$AW$281,13,FALSE)),"")</f>
        <v/>
      </c>
      <c r="O26" s="184" t="str">
        <f>IFERROR(IF(VLOOKUP(Thu_W2[[#This Row],[Employee Name]],'Base Schedules'!$A$243:$AW$281,14,FALSE)="","",VLOOKUP(Thu_W2[[#This Row],[Employee Name]],'Base Schedules'!$A$243:$AW$281,14,FALSE)),"")</f>
        <v/>
      </c>
      <c r="P26" s="184" t="str">
        <f>IFERROR(IF(VLOOKUP(Thu_W2[[#This Row],[Employee Name]],'Base Schedules'!$A$243:$AW$281,15,FALSE)="","",VLOOKUP(Thu_W2[[#This Row],[Employee Name]],'Base Schedules'!$A$243:$AW$281,15,FALSE)),"")</f>
        <v/>
      </c>
      <c r="Q26" s="184" t="str">
        <f>IFERROR(IF(VLOOKUP(Thu_W2[[#This Row],[Employee Name]],'Base Schedules'!$A$243:$AW$281,16,FALSE)="","",VLOOKUP(Thu_W2[[#This Row],[Employee Name]],'Base Schedules'!$A$243:$AW$281,16,FALSE)),"")</f>
        <v/>
      </c>
      <c r="R26" s="184" t="str">
        <f>IFERROR(IF(VLOOKUP(Thu_W2[[#This Row],[Employee Name]],'Base Schedules'!$A$243:$AW$281,17,FALSE)="","",VLOOKUP(Thu_W2[[#This Row],[Employee Name]],'Base Schedules'!$A$243:$AW$281,17,FALSE)),"")</f>
        <v/>
      </c>
      <c r="S26" s="184" t="str">
        <f>IFERROR(IF(VLOOKUP(Thu_W2[[#This Row],[Employee Name]],'Base Schedules'!$A$243:$AW$281,18,FALSE)="","",VLOOKUP(Thu_W2[[#This Row],[Employee Name]],'Base Schedules'!$A$243:$AW$281,18,FALSE)),"")</f>
        <v>-</v>
      </c>
      <c r="T26" s="184" t="str">
        <f>IFERROR(IF(VLOOKUP(Thu_W2[[#This Row],[Employee Name]],'Base Schedules'!$A$243:$AW$281,19,FALSE)="","",VLOOKUP(Thu_W2[[#This Row],[Employee Name]],'Base Schedules'!$A$243:$AW$281,19,FALSE)),"")</f>
        <v>-</v>
      </c>
      <c r="U26" s="184" t="str">
        <f>IFERROR(IF(VLOOKUP(Thu_W2[[#This Row],[Employee Name]],'Base Schedules'!$A$243:$AW$281,20,FALSE)="","",VLOOKUP(Thu_W2[[#This Row],[Employee Name]],'Base Schedules'!$A$243:$AW$281,20,FALSE)),"")</f>
        <v>TM PREP</v>
      </c>
      <c r="V26" s="184" t="str">
        <f>IFERROR(IF(VLOOKUP(Thu_W2[[#This Row],[Employee Name]],'Base Schedules'!$A$243:$AW$281,21,FALSE)="","",VLOOKUP(Thu_W2[[#This Row],[Employee Name]],'Base Schedules'!$A$243:$AW$281,21,FALSE)),"")</f>
        <v>MCLEAN TM</v>
      </c>
      <c r="W26" s="184" t="str">
        <f>IFERROR(IF(VLOOKUP(Thu_W2[[#This Row],[Employee Name]],'Base Schedules'!$A$243:$AW$281,22,FALSE)="","",VLOOKUP(Thu_W2[[#This Row],[Employee Name]],'Base Schedules'!$A$243:$AW$281,22,FALSE)),"")</f>
        <v>MCLEAN TM</v>
      </c>
      <c r="X26" s="184" t="str">
        <f>IFERROR(IF(VLOOKUP(Thu_W2[[#This Row],[Employee Name]],'Base Schedules'!$A$243:$AW$281,23,FALSE)="","",VLOOKUP(Thu_W2[[#This Row],[Employee Name]],'Base Schedules'!$A$243:$AW$281,23,FALSE)),"")</f>
        <v>-</v>
      </c>
      <c r="Y26" s="184" t="str">
        <f>IFERROR(IF(VLOOKUP(Thu_W2[[#This Row],[Employee Name]],'Base Schedules'!$A$243:$AW$281,24,FALSE)="","",VLOOKUP(Thu_W2[[#This Row],[Employee Name]],'Base Schedules'!$A$243:$AW$281,24,FALSE)),"")</f>
        <v>-</v>
      </c>
      <c r="Z26" s="184" t="str">
        <f>IFERROR(IF(VLOOKUP(Thu_W2[[#This Row],[Employee Name]],'Base Schedules'!$A$243:$AW$281,25,FALSE)="","",VLOOKUP(Thu_W2[[#This Row],[Employee Name]],'Base Schedules'!$A$243:$AW$281,25,FALSE)),"")</f>
        <v>Interview</v>
      </c>
      <c r="AA26" s="184" t="str">
        <f>IFERROR(IF(VLOOKUP(Thu_W2[[#This Row],[Employee Name]],'Base Schedules'!$A$243:$AW$281,26,FALSE)="","",VLOOKUP(Thu_W2[[#This Row],[Employee Name]],'Base Schedules'!$A$243:$AW$281,26,FALSE)),"")</f>
        <v>Interview</v>
      </c>
      <c r="AB26" s="184" t="str">
        <f>IFERROR(IF(VLOOKUP(Thu_W2[[#This Row],[Employee Name]],'Base Schedules'!$A$243:$AW$281,27,FALSE)="","",VLOOKUP(Thu_W2[[#This Row],[Employee Name]],'Base Schedules'!$A$243:$AW$281,27,FALSE)),"")</f>
        <v>Coaching</v>
      </c>
      <c r="AC26" s="184" t="str">
        <f>IFERROR(IF(VLOOKUP(Thu_W2[[#This Row],[Employee Name]],'Base Schedules'!$A$243:$AW$281,28,FALSE)="","",VLOOKUP(Thu_W2[[#This Row],[Employee Name]],'Base Schedules'!$A$243:$AW$281,28,FALSE)),"")</f>
        <v>Coaching</v>
      </c>
      <c r="AD26" s="184" t="str">
        <f>IFERROR(IF(VLOOKUP(Thu_W2[[#This Row],[Employee Name]],'Base Schedules'!$A$243:$AW$281,29,FALSE)="","",VLOOKUP(Thu_W2[[#This Row],[Employee Name]],'Base Schedules'!$A$243:$AW$281,29,FALSE)),"")</f>
        <v>Coaching</v>
      </c>
      <c r="AE26" s="184" t="str">
        <f>IFERROR(IF(VLOOKUP(Thu_W2[[#This Row],[Employee Name]],'Base Schedules'!$A$243:$AW$281,30,FALSE)="","",VLOOKUP(Thu_W2[[#This Row],[Employee Name]],'Base Schedules'!$A$243:$AW$281,30,FALSE)),"")</f>
        <v>Coaching</v>
      </c>
      <c r="AF26" s="184" t="str">
        <f>IFERROR(IF(VLOOKUP(Thu_W2[[#This Row],[Employee Name]],'Base Schedules'!$A$243:$AW$281,31,FALSE)="","",VLOOKUP(Thu_W2[[#This Row],[Employee Name]],'Base Schedules'!$A$243:$AW$281,31,FALSE)),"")</f>
        <v>-</v>
      </c>
      <c r="AG26" s="184" t="str">
        <f>IFERROR(IF(VLOOKUP(Thu_W2[[#This Row],[Employee Name]],'Base Schedules'!$A$243:$AW$281,32,FALSE)="","",VLOOKUP(Thu_W2[[#This Row],[Employee Name]],'Base Schedules'!$A$243:$AW$281,32,FALSE)),"")</f>
        <v>-</v>
      </c>
      <c r="AH26" s="184" t="str">
        <f>IFERROR(IF(VLOOKUP(Thu_W2[[#This Row],[Employee Name]],'Base Schedules'!$A$243:$AW$281,33,FALSE)="","",VLOOKUP(Thu_W2[[#This Row],[Employee Name]],'Base Schedules'!$A$243:$AW$281,33,FALSE)),"")</f>
        <v>-</v>
      </c>
      <c r="AI26" s="184" t="str">
        <f>IFERROR(IF(VLOOKUP(Thu_W2[[#This Row],[Employee Name]],'Base Schedules'!$A$243:$AW$281,34,FALSE)="","",VLOOKUP(Thu_W2[[#This Row],[Employee Name]],'Base Schedules'!$A$243:$AW$281,34,FALSE)),"")</f>
        <v>-</v>
      </c>
      <c r="AJ26" s="184" t="str">
        <f>IFERROR(IF(VLOOKUP(Thu_W2[[#This Row],[Employee Name]],'Base Schedules'!$A$243:$AW$281,35,FALSE)="","",VLOOKUP(Thu_W2[[#This Row],[Employee Name]],'Base Schedules'!$A$243:$AW$281,35,FALSE)),"")</f>
        <v>-</v>
      </c>
      <c r="AK26" s="184" t="str">
        <f>IFERROR(IF(VLOOKUP(Thu_W2[[#This Row],[Employee Name]],'Base Schedules'!$A$243:$AW$281,36,FALSE)="","",VLOOKUP(Thu_W2[[#This Row],[Employee Name]],'Base Schedules'!$A$243:$AW$281,36,FALSE)),"")</f>
        <v/>
      </c>
      <c r="AL26" s="184" t="str">
        <f>IFERROR(IF(VLOOKUP(Thu_W2[[#This Row],[Employee Name]],'Base Schedules'!$A$243:$AW$281,37,FALSE)="","",VLOOKUP(Thu_W2[[#This Row],[Employee Name]],'Base Schedules'!$A$243:$AW$281,37,FALSE)),"")</f>
        <v/>
      </c>
      <c r="AM26" s="184" t="str">
        <f>IFERROR(IF(VLOOKUP(Thu_W2[[#This Row],[Employee Name]],'Base Schedules'!$A$243:$AW$281,38,FALSE)="","",VLOOKUP(Thu_W2[[#This Row],[Employee Name]],'Base Schedules'!$A$243:$AW$281,38,FALSE)),"")</f>
        <v/>
      </c>
      <c r="AN26" s="184" t="str">
        <f>IFERROR(IF(VLOOKUP(Thu_W2[[#This Row],[Employee Name]],'Base Schedules'!$A$243:$AW$281,39,FALSE)="","",VLOOKUP(Thu_W2[[#This Row],[Employee Name]],'Base Schedules'!$A$243:$AW$281,39,FALSE)),"")</f>
        <v/>
      </c>
      <c r="AO26" s="184" t="str">
        <f>IFERROR(IF(VLOOKUP(Thu_W2[[#This Row],[Employee Name]],'Base Schedules'!$A$243:$AW$281,40,FALSE)="","",VLOOKUP(Thu_W2[[#This Row],[Employee Name]],'Base Schedules'!$A$243:$AW$281,40,FALSE)),"")</f>
        <v/>
      </c>
      <c r="AP26" s="184" t="str">
        <f>IFERROR(IF(VLOOKUP(Thu_W2[[#This Row],[Employee Name]],'Base Schedules'!$A$243:$AW$281,41,FALSE)="","",VLOOKUP(Thu_W2[[#This Row],[Employee Name]],'Base Schedules'!$A$243:$AW$281,41,FALSE)),"")</f>
        <v/>
      </c>
      <c r="AQ26" s="184" t="str">
        <f>IFERROR(IF(VLOOKUP(Thu_W2[[#This Row],[Employee Name]],'Base Schedules'!$A$243:$AW$281,42,FALSE)="","",VLOOKUP(Thu_W2[[#This Row],[Employee Name]],'Base Schedules'!$A$243:$AW$281,42,FALSE)),"")</f>
        <v/>
      </c>
      <c r="AR26" s="184" t="str">
        <f>IFERROR(IF(VLOOKUP(Thu_W2[[#This Row],[Employee Name]],'Base Schedules'!$A$243:$AW$281,43,FALSE)="","",VLOOKUP(Thu_W2[[#This Row],[Employee Name]],'Base Schedules'!$A$243:$AW$281,43,FALSE)),"")</f>
        <v/>
      </c>
      <c r="AS26" s="184" t="str">
        <f>IFERROR(IF(VLOOKUP(Thu_W2[[#This Row],[Employee Name]],'Base Schedules'!$A$243:$AW$281,44,FALSE)="","",VLOOKUP(Thu_W2[[#This Row],[Employee Name]],'Base Schedules'!$A$243:$AW$281,44,FALSE)),"")</f>
        <v/>
      </c>
      <c r="AT26" s="184" t="str">
        <f>IFERROR(IF(VLOOKUP(Thu_W2[[#This Row],[Employee Name]],'Base Schedules'!$A$243:$AW$281,45,FALSE)="","",VLOOKUP(Thu_W2[[#This Row],[Employee Name]],'Base Schedules'!$A$243:$AW$281,45,FALSE)),"")</f>
        <v/>
      </c>
      <c r="AU26" s="184" t="str">
        <f>IFERROR(IF(VLOOKUP(Thu_W2[[#This Row],[Employee Name]],'Base Schedules'!$A$243:$AW$281,46,FALSE)="","",VLOOKUP(Thu_W2[[#This Row],[Employee Name]],'Base Schedules'!$A$243:$AW$281,46,FALSE)),"")</f>
        <v/>
      </c>
      <c r="AV26" s="184" t="str">
        <f>IFERROR(IF(VLOOKUP(Thu_W2[[#This Row],[Employee Name]],'Base Schedules'!$A$243:$AW$281,47,FALSE)="","",VLOOKUP(Thu_W2[[#This Row],[Employee Name]],'Base Schedules'!$A$243:$AW$281,47,FALSE)),"")</f>
        <v/>
      </c>
      <c r="AW26" s="184" t="str">
        <f>IFERROR(IF(VLOOKUP(Thu_W2[[#This Row],[Employee Name]],'Base Schedules'!$A$243:$AW$281,48,FALSE)="","",VLOOKUP(Thu_W2[[#This Row],[Employee Name]],'Base Schedules'!$A$243:$AW$281,48,FALSE)),"")</f>
        <v/>
      </c>
      <c r="AX26" s="184" t="str">
        <f>IFERROR(IF(VLOOKUP(Thu_W2[[#This Row],[Employee Name]],'Base Schedules'!$A$243:$AW$281,49,FALSE)="","",VLOOKUP(Thu_W2[[#This Row],[Employee Name]],'Base Schedules'!$A$243:$AW$281,49,FALSE)),"")</f>
        <v/>
      </c>
      <c r="AY26" s="245" t="str">
        <f t="shared" si="2"/>
        <v>McLean, Michael</v>
      </c>
    </row>
    <row r="27" spans="1:51" s="44" customFormat="1" ht="12" customHeight="1" x14ac:dyDescent="0.2">
      <c r="A27" s="39" t="str">
        <f>IF(B27="","",INDEX(TeamList[],MATCH($B27,TeamList[[Employee Name]:[Employee Name]],0),MATCH("Manager",TeamList[#Headers],0)))</f>
        <v>Olson, Katherine</v>
      </c>
      <c r="B27" s="201" t="s">
        <v>69</v>
      </c>
      <c r="C27" s="257" t="str">
        <f>_xlfn.IFNA(VLOOKUP(Thu_W2[[#This Row],[Employee Name]],'Base Schedules'!A:B,2,FALSE),"")</f>
        <v>Lead</v>
      </c>
      <c r="D27" s="274">
        <f>_xlfn.IFNA(VLOOKUP(Thu_W2[[#This Row],[Employee Name]],'Base Schedules'!A:C,3,FALSE),"")</f>
        <v>1000</v>
      </c>
      <c r="E27" s="274">
        <f>_xlfn.IFNA(VLOOKUP(Thu_W2[[#This Row],[Employee Name]],'Base Schedules'!A:D,4,FALSE),"")</f>
        <v>1900</v>
      </c>
      <c r="F27" s="142">
        <f>IF(Thu_W2[[#This Row],[Employee Name]]="","",IF(Thu_W2[[#This Row],[Dept]]="Supervisor",COUNTIFS($J27:$AX27,"*HL*",$J27:$AX27,"&lt;&gt;"&amp;"pHL"),COUNTIFS($J27:$AX27,"*HL*",$J27:$AX27,"&lt;&gt;"&amp;"*pHL*",$J27:$AX27,"&lt;&gt;"&amp;"pB1 HL",$J27:$AX27,"&lt;&gt;"&amp;"pB2 HL")-SUM(COUNTIFS($J27:$AX27,"*HL B1*",$J27:$AX27,"&lt;&gt;"&amp;"pHL B1")*0.5,COUNTIFS($J27:$AX27,"*HL B2*",$J27:$AX27,"&lt;&gt;"&amp;"pHL B2")*0.5,COUNTIFS($J27:$AX27,"*B1 HL*",$J27:$AX27,"&lt;&gt;"&amp;"pB1 HL")*0.5,COUNTIFS($J27:$AX27,"*B2 HL*",$J27:$AX27,"&lt;&gt;"&amp;"pB2 HL")*0.5)))</f>
        <v>5.5</v>
      </c>
      <c r="G27" s="142">
        <f t="shared" si="0"/>
        <v>0</v>
      </c>
      <c r="H27" s="142">
        <f t="shared" si="1"/>
        <v>8</v>
      </c>
      <c r="I27" s="142">
        <f>IF(Thu_W2[[#This Row],[Employee Name]]="","",IF(Thu_W2[[#This Row],[Dept]]="Supervisor",SUM(COUNTIFS($J27:$AX27,"RTA*",$J27:$AX27,"&lt;&gt;"&amp;"pRTA"),COUNTIFS($J27:$AX27,"*CRTA*",$J27:$AX27,"&lt;&gt;"&amp;"pCRTA")),COUNTIFS($J27:$AX27,"*RNNR*",$J27:$AX27,"&lt;&gt;"&amp;"*pRNNR*",$J27:$AX27,"&lt;&gt;"&amp;"pB1 RNNR",$J27:$AX27,"&lt;&gt;"&amp;"pB2 RNNR")-SUM(COUNTIFS($J27:$AX27,"*RNNR B1*",$J27:$AX27,"&lt;&gt;"&amp;"pRNNR B1")*0.5,COUNTIFS($J27:$AX27,"*RNNR B2*",$J27:$AX27,"&lt;&gt;"&amp;"pRNNR B2")*0.5,COUNTIFS($J27:$AX27,"*B1 RNNR*",$J27:$AX27,"&lt;&gt;"&amp;"pB1 RNNR")*0.5,COUNTIFS($J27:$AX27,"*B2 RNNR*",$J27:$AX27,"&lt;&gt;"&amp;"pB2 RNNR")*0.5)))</f>
        <v>2</v>
      </c>
      <c r="J27" s="184" t="str">
        <f>IFERROR(IF(VLOOKUP(Thu_W2[[#This Row],[Employee Name]],'Base Schedules'!$A$243:$AW$281,9,FALSE)="","",VLOOKUP(Thu_W2[[#This Row],[Employee Name]],'Base Schedules'!$A$243:$AW$281,9,FALSE)),"")</f>
        <v/>
      </c>
      <c r="K27" s="184" t="str">
        <f>IFERROR(IF(VLOOKUP(Thu_W2[[#This Row],[Employee Name]],'Base Schedules'!$A$243:$AW$281,10,FALSE)="","",VLOOKUP(Thu_W2[[#This Row],[Employee Name]],'Base Schedules'!$A$243:$AW$281,10,FALSE)),"")</f>
        <v/>
      </c>
      <c r="L27" s="184" t="str">
        <f>IFERROR(IF(VLOOKUP(Thu_W2[[#This Row],[Employee Name]],'Base Schedules'!$A$243:$AW$281,11,FALSE)="","",VLOOKUP(Thu_W2[[#This Row],[Employee Name]],'Base Schedules'!$A$243:$AW$281,11,FALSE)),"")</f>
        <v/>
      </c>
      <c r="M27" s="184" t="str">
        <f>IFERROR(IF(VLOOKUP(Thu_W2[[#This Row],[Employee Name]],'Base Schedules'!$A$243:$AW$281,12,FALSE)="","",VLOOKUP(Thu_W2[[#This Row],[Employee Name]],'Base Schedules'!$A$243:$AW$281,12,FALSE)),"")</f>
        <v/>
      </c>
      <c r="N27" s="184" t="str">
        <f>IFERROR(IF(VLOOKUP(Thu_W2[[#This Row],[Employee Name]],'Base Schedules'!$A$243:$AW$281,13,FALSE)="","",VLOOKUP(Thu_W2[[#This Row],[Employee Name]],'Base Schedules'!$A$243:$AW$281,13,FALSE)),"")</f>
        <v/>
      </c>
      <c r="O27" s="184" t="str">
        <f>IFERROR(IF(VLOOKUP(Thu_W2[[#This Row],[Employee Name]],'Base Schedules'!$A$243:$AW$281,14,FALSE)="","",VLOOKUP(Thu_W2[[#This Row],[Employee Name]],'Base Schedules'!$A$243:$AW$281,14,FALSE)),"")</f>
        <v/>
      </c>
      <c r="P27" s="184" t="str">
        <f>IFERROR(IF(VLOOKUP(Thu_W2[[#This Row],[Employee Name]],'Base Schedules'!$A$243:$AW$281,15,FALSE)="","",VLOOKUP(Thu_W2[[#This Row],[Employee Name]],'Base Schedules'!$A$243:$AW$281,15,FALSE)),"")</f>
        <v/>
      </c>
      <c r="Q27" s="184" t="str">
        <f>IFERROR(IF(VLOOKUP(Thu_W2[[#This Row],[Employee Name]],'Base Schedules'!$A$243:$AW$281,16,FALSE)="","",VLOOKUP(Thu_W2[[#This Row],[Employee Name]],'Base Schedules'!$A$243:$AW$281,16,FALSE)),"")</f>
        <v/>
      </c>
      <c r="R27" s="184" t="str">
        <f>IFERROR(IF(VLOOKUP(Thu_W2[[#This Row],[Employee Name]],'Base Schedules'!$A$243:$AW$281,17,FALSE)="","",VLOOKUP(Thu_W2[[#This Row],[Employee Name]],'Base Schedules'!$A$243:$AW$281,17,FALSE)),"")</f>
        <v/>
      </c>
      <c r="S27" s="184" t="str">
        <f>IFERROR(IF(VLOOKUP(Thu_W2[[#This Row],[Employee Name]],'Base Schedules'!$A$243:$AW$281,18,FALSE)="","",VLOOKUP(Thu_W2[[#This Row],[Employee Name]],'Base Schedules'!$A$243:$AW$281,18,FALSE)),"")</f>
        <v/>
      </c>
      <c r="T27" s="184" t="str">
        <f>IFERROR(IF(VLOOKUP(Thu_W2[[#This Row],[Employee Name]],'Base Schedules'!$A$243:$AW$281,19,FALSE)="","",VLOOKUP(Thu_W2[[#This Row],[Employee Name]],'Base Schedules'!$A$243:$AW$281,19,FALSE)),"")</f>
        <v>HL</v>
      </c>
      <c r="U27" s="184" t="str">
        <f>IFERROR(IF(VLOOKUP(Thu_W2[[#This Row],[Employee Name]],'Base Schedules'!$A$243:$AW$281,20,FALSE)="","",VLOOKUP(Thu_W2[[#This Row],[Employee Name]],'Base Schedules'!$A$243:$AW$281,20,FALSE)),"")</f>
        <v>HL</v>
      </c>
      <c r="V27" s="184" t="str">
        <f>IFERROR(IF(VLOOKUP(Thu_W2[[#This Row],[Employee Name]],'Base Schedules'!$A$243:$AW$281,21,FALSE)="","",VLOOKUP(Thu_W2[[#This Row],[Employee Name]],'Base Schedules'!$A$243:$AW$281,21,FALSE)),"")</f>
        <v>ADM</v>
      </c>
      <c r="W27" s="184" t="str">
        <f>IFERROR(IF(VLOOKUP(Thu_W2[[#This Row],[Employee Name]],'Base Schedules'!$A$243:$AW$281,22,FALSE)="","",VLOOKUP(Thu_W2[[#This Row],[Employee Name]],'Base Schedules'!$A$243:$AW$281,22,FALSE)),"")</f>
        <v>ADM</v>
      </c>
      <c r="X27" s="184" t="str">
        <f>IFERROR(IF(VLOOKUP(Thu_W2[[#This Row],[Employee Name]],'Base Schedules'!$A$243:$AW$281,23,FALSE)="","",VLOOKUP(Thu_W2[[#This Row],[Employee Name]],'Base Schedules'!$A$243:$AW$281,23,FALSE)),"")</f>
        <v>B1 HL</v>
      </c>
      <c r="Y27" s="184" t="str">
        <f>IFERROR(IF(VLOOKUP(Thu_W2[[#This Row],[Employee Name]],'Base Schedules'!$A$243:$AW$281,24,FALSE)="","",VLOOKUP(Thu_W2[[#This Row],[Employee Name]],'Base Schedules'!$A$243:$AW$281,24,FALSE)),"")</f>
        <v>HL</v>
      </c>
      <c r="Z27" s="184" t="str">
        <f>IFERROR(IF(VLOOKUP(Thu_W2[[#This Row],[Employee Name]],'Base Schedules'!$A$243:$AW$281,25,FALSE)="","",VLOOKUP(Thu_W2[[#This Row],[Employee Name]],'Base Schedules'!$A$243:$AW$281,25,FALSE)),"")</f>
        <v>ADM</v>
      </c>
      <c r="AA27" s="184" t="str">
        <f>IFERROR(IF(VLOOKUP(Thu_W2[[#This Row],[Employee Name]],'Base Schedules'!$A$243:$AW$281,26,FALSE)="","",VLOOKUP(Thu_W2[[#This Row],[Employee Name]],'Base Schedules'!$A$243:$AW$281,26,FALSE)),"")</f>
        <v>ADM</v>
      </c>
      <c r="AB27" s="184" t="str">
        <f>IFERROR(IF(VLOOKUP(Thu_W2[[#This Row],[Employee Name]],'Base Schedules'!$A$243:$AW$281,27,FALSE)="","",VLOOKUP(Thu_W2[[#This Row],[Employee Name]],'Base Schedules'!$A$243:$AW$281,27,FALSE)),"")</f>
        <v>LUNCH</v>
      </c>
      <c r="AC27" s="184" t="str">
        <f>IFERROR(IF(VLOOKUP(Thu_W2[[#This Row],[Employee Name]],'Base Schedules'!$A$243:$AW$281,28,FALSE)="","",VLOOKUP(Thu_W2[[#This Row],[Employee Name]],'Base Schedules'!$A$243:$AW$281,28,FALSE)),"")</f>
        <v>LUNCH</v>
      </c>
      <c r="AD27" s="184" t="str">
        <f>IFERROR(IF(VLOOKUP(Thu_W2[[#This Row],[Employee Name]],'Base Schedules'!$A$243:$AW$281,29,FALSE)="","",VLOOKUP(Thu_W2[[#This Row],[Employee Name]],'Base Schedules'!$A$243:$AW$281,29,FALSE)),"")</f>
        <v>RNNR</v>
      </c>
      <c r="AE27" s="184" t="str">
        <f>IFERROR(IF(VLOOKUP(Thu_W2[[#This Row],[Employee Name]],'Base Schedules'!$A$243:$AW$281,30,FALSE)="","",VLOOKUP(Thu_W2[[#This Row],[Employee Name]],'Base Schedules'!$A$243:$AW$281,30,FALSE)),"")</f>
        <v>RNNR</v>
      </c>
      <c r="AF27" s="184" t="str">
        <f>IFERROR(IF(VLOOKUP(Thu_W2[[#This Row],[Employee Name]],'Base Schedules'!$A$243:$AW$281,31,FALSE)="","",VLOOKUP(Thu_W2[[#This Row],[Employee Name]],'Base Schedules'!$A$243:$AW$281,31,FALSE)),"")</f>
        <v>HL</v>
      </c>
      <c r="AG27" s="184" t="str">
        <f>IFERROR(IF(VLOOKUP(Thu_W2[[#This Row],[Employee Name]],'Base Schedules'!$A$243:$AW$281,32,FALSE)="","",VLOOKUP(Thu_W2[[#This Row],[Employee Name]],'Base Schedules'!$A$243:$AW$281,32,FALSE)),"")</f>
        <v>HL</v>
      </c>
      <c r="AH27" s="184" t="str">
        <f>IFERROR(IF(VLOOKUP(Thu_W2[[#This Row],[Employee Name]],'Base Schedules'!$A$243:$AW$281,33,FALSE)="","",VLOOKUP(Thu_W2[[#This Row],[Employee Name]],'Base Schedules'!$A$243:$AW$281,33,FALSE)),"")</f>
        <v>ADM B2</v>
      </c>
      <c r="AI27" s="184" t="str">
        <f>IFERROR(IF(VLOOKUP(Thu_W2[[#This Row],[Employee Name]],'Base Schedules'!$A$243:$AW$281,34,FALSE)="","",VLOOKUP(Thu_W2[[#This Row],[Employee Name]],'Base Schedules'!$A$243:$AW$281,34,FALSE)),"")</f>
        <v>ADM</v>
      </c>
      <c r="AJ27" s="184" t="str">
        <f>IFERROR(IF(VLOOKUP(Thu_W2[[#This Row],[Employee Name]],'Base Schedules'!$A$243:$AW$281,35,FALSE)="","",VLOOKUP(Thu_W2[[#This Row],[Employee Name]],'Base Schedules'!$A$243:$AW$281,35,FALSE)),"")</f>
        <v>ADM</v>
      </c>
      <c r="AK27" s="184" t="str">
        <f>IFERROR(IF(VLOOKUP(Thu_W2[[#This Row],[Employee Name]],'Base Schedules'!$A$243:$AW$281,36,FALSE)="","",VLOOKUP(Thu_W2[[#This Row],[Employee Name]],'Base Schedules'!$A$243:$AW$281,36,FALSE)),"")</f>
        <v>ADM</v>
      </c>
      <c r="AL27" s="184" t="str">
        <f>IFERROR(IF(VLOOKUP(Thu_W2[[#This Row],[Employee Name]],'Base Schedules'!$A$243:$AW$281,37,FALSE)="","",VLOOKUP(Thu_W2[[#This Row],[Employee Name]],'Base Schedules'!$A$243:$AW$281,37,FALSE)),"")</f>
        <v/>
      </c>
      <c r="AM27" s="184" t="str">
        <f>IFERROR(IF(VLOOKUP(Thu_W2[[#This Row],[Employee Name]],'Base Schedules'!$A$243:$AW$281,38,FALSE)="","",VLOOKUP(Thu_W2[[#This Row],[Employee Name]],'Base Schedules'!$A$243:$AW$281,38,FALSE)),"")</f>
        <v/>
      </c>
      <c r="AN27" s="184" t="str">
        <f>IFERROR(IF(VLOOKUP(Thu_W2[[#This Row],[Employee Name]],'Base Schedules'!$A$243:$AW$281,39,FALSE)="","",VLOOKUP(Thu_W2[[#This Row],[Employee Name]],'Base Schedules'!$A$243:$AW$281,39,FALSE)),"")</f>
        <v/>
      </c>
      <c r="AO27" s="184" t="str">
        <f>IFERROR(IF(VLOOKUP(Thu_W2[[#This Row],[Employee Name]],'Base Schedules'!$A$243:$AW$281,40,FALSE)="","",VLOOKUP(Thu_W2[[#This Row],[Employee Name]],'Base Schedules'!$A$243:$AW$281,40,FALSE)),"")</f>
        <v/>
      </c>
      <c r="AP27" s="184" t="str">
        <f>IFERROR(IF(VLOOKUP(Thu_W2[[#This Row],[Employee Name]],'Base Schedules'!$A$243:$AW$281,41,FALSE)="","",VLOOKUP(Thu_W2[[#This Row],[Employee Name]],'Base Schedules'!$A$243:$AW$281,41,FALSE)),"")</f>
        <v/>
      </c>
      <c r="AQ27" s="184" t="str">
        <f>IFERROR(IF(VLOOKUP(Thu_W2[[#This Row],[Employee Name]],'Base Schedules'!$A$243:$AW$281,42,FALSE)="","",VLOOKUP(Thu_W2[[#This Row],[Employee Name]],'Base Schedules'!$A$243:$AW$281,42,FALSE)),"")</f>
        <v/>
      </c>
      <c r="AR27" s="184" t="str">
        <f>IFERROR(IF(VLOOKUP(Thu_W2[[#This Row],[Employee Name]],'Base Schedules'!$A$243:$AW$281,43,FALSE)="","",VLOOKUP(Thu_W2[[#This Row],[Employee Name]],'Base Schedules'!$A$243:$AW$281,43,FALSE)),"")</f>
        <v/>
      </c>
      <c r="AS27" s="184" t="str">
        <f>IFERROR(IF(VLOOKUP(Thu_W2[[#This Row],[Employee Name]],'Base Schedules'!$A$243:$AW$281,44,FALSE)="","",VLOOKUP(Thu_W2[[#This Row],[Employee Name]],'Base Schedules'!$A$243:$AW$281,44,FALSE)),"")</f>
        <v/>
      </c>
      <c r="AT27" s="184" t="str">
        <f>IFERROR(IF(VLOOKUP(Thu_W2[[#This Row],[Employee Name]],'Base Schedules'!$A$243:$AW$281,45,FALSE)="","",VLOOKUP(Thu_W2[[#This Row],[Employee Name]],'Base Schedules'!$A$243:$AW$281,45,FALSE)),"")</f>
        <v/>
      </c>
      <c r="AU27" s="184" t="str">
        <f>IFERROR(IF(VLOOKUP(Thu_W2[[#This Row],[Employee Name]],'Base Schedules'!$A$243:$AW$281,46,FALSE)="","",VLOOKUP(Thu_W2[[#This Row],[Employee Name]],'Base Schedules'!$A$243:$AW$281,46,FALSE)),"")</f>
        <v/>
      </c>
      <c r="AV27" s="184" t="str">
        <f>IFERROR(IF(VLOOKUP(Thu_W2[[#This Row],[Employee Name]],'Base Schedules'!$A$243:$AW$281,47,FALSE)="","",VLOOKUP(Thu_W2[[#This Row],[Employee Name]],'Base Schedules'!$A$243:$AW$281,47,FALSE)),"")</f>
        <v/>
      </c>
      <c r="AW27" s="184" t="str">
        <f>IFERROR(IF(VLOOKUP(Thu_W2[[#This Row],[Employee Name]],'Base Schedules'!$A$243:$AW$281,48,FALSE)="","",VLOOKUP(Thu_W2[[#This Row],[Employee Name]],'Base Schedules'!$A$243:$AW$281,48,FALSE)),"")</f>
        <v/>
      </c>
      <c r="AX27" s="184" t="str">
        <f>IFERROR(IF(VLOOKUP(Thu_W2[[#This Row],[Employee Name]],'Base Schedules'!$A$243:$AW$281,49,FALSE)="","",VLOOKUP(Thu_W2[[#This Row],[Employee Name]],'Base Schedules'!$A$243:$AW$281,49,FALSE)),"")</f>
        <v/>
      </c>
      <c r="AY27" s="245" t="str">
        <f t="shared" si="2"/>
        <v>Slagle, Natasha</v>
      </c>
    </row>
    <row r="28" spans="1:51" s="44" customFormat="1" ht="12" customHeight="1" x14ac:dyDescent="0.2">
      <c r="A28" s="39" t="str">
        <f>IF(B28="","",INDEX(TeamList[],MATCH($B28,TeamList[[Employee Name]:[Employee Name]],0),MATCH("Manager",TeamList[#Headers],0)))</f>
        <v>Olson, Katherine</v>
      </c>
      <c r="B28" s="201" t="s">
        <v>67</v>
      </c>
      <c r="C28" s="257" t="str">
        <f>_xlfn.IFNA(VLOOKUP(Thu_W2[[#This Row],[Employee Name]],'Base Schedules'!A:B,2,FALSE),"")</f>
        <v>Lead</v>
      </c>
      <c r="D28" s="274">
        <f>_xlfn.IFNA(VLOOKUP(Thu_W2[[#This Row],[Employee Name]],'Base Schedules'!A:C,3,FALSE),"")</f>
        <v>1030</v>
      </c>
      <c r="E28" s="274">
        <f>_xlfn.IFNA(VLOOKUP(Thu_W2[[#This Row],[Employee Name]],'Base Schedules'!A:D,4,FALSE),"")</f>
        <v>1900</v>
      </c>
      <c r="F28" s="142">
        <f>IF(Thu_W2[[#This Row],[Employee Name]]="","",IF(Thu_W2[[#This Row],[Dept]]="Supervisor",COUNTIFS($J28:$AX28,"*HL*",$J28:$AX28,"&lt;&gt;"&amp;"pHL"),COUNTIFS($J28:$AX28,"*HL*",$J28:$AX28,"&lt;&gt;"&amp;"*pHL*",$J28:$AX28,"&lt;&gt;"&amp;"pB1 HL",$J28:$AX28,"&lt;&gt;"&amp;"pB2 HL")-SUM(COUNTIFS($J28:$AX28,"*HL B1*",$J28:$AX28,"&lt;&gt;"&amp;"pHL B1")*0.5,COUNTIFS($J28:$AX28,"*HL B2*",$J28:$AX28,"&lt;&gt;"&amp;"pHL B2")*0.5,COUNTIFS($J28:$AX28,"*B1 HL*",$J28:$AX28,"&lt;&gt;"&amp;"pB1 HL")*0.5,COUNTIFS($J28:$AX28,"*B2 HL*",$J28:$AX28,"&lt;&gt;"&amp;"pB2 HL")*0.5)))</f>
        <v>6.5</v>
      </c>
      <c r="G28" s="142">
        <f t="shared" si="0"/>
        <v>0</v>
      </c>
      <c r="H28" s="142">
        <f t="shared" si="1"/>
        <v>7</v>
      </c>
      <c r="I28" s="142">
        <f>IF(Thu_W2[[#This Row],[Employee Name]]="","",IF(Thu_W2[[#This Row],[Dept]]="Supervisor",SUM(COUNTIFS($J28:$AX28,"RTA*",$J28:$AX28,"&lt;&gt;"&amp;"pRTA"),COUNTIFS($J28:$AX28,"*CRTA*",$J28:$AX28,"&lt;&gt;"&amp;"pCRTA")),COUNTIFS($J28:$AX28,"*RNNR*",$J28:$AX28,"&lt;&gt;"&amp;"*pRNNR*",$J28:$AX28,"&lt;&gt;"&amp;"pB1 RNNR",$J28:$AX28,"&lt;&gt;"&amp;"pB2 RNNR")-SUM(COUNTIFS($J28:$AX28,"*RNNR B1*",$J28:$AX28,"&lt;&gt;"&amp;"pRNNR B1")*0.5,COUNTIFS($J28:$AX28,"*RNNR B2*",$J28:$AX28,"&lt;&gt;"&amp;"pRNNR B2")*0.5,COUNTIFS($J28:$AX28,"*B1 RNNR*",$J28:$AX28,"&lt;&gt;"&amp;"pB1 RNNR")*0.5,COUNTIFS($J28:$AX28,"*B2 RNNR*",$J28:$AX28,"&lt;&gt;"&amp;"pB2 RNNR")*0.5)))</f>
        <v>2</v>
      </c>
      <c r="J28" s="184" t="str">
        <f>IFERROR(IF(VLOOKUP(Thu_W2[[#This Row],[Employee Name]],'Base Schedules'!$A$243:$AW$281,9,FALSE)="","",VLOOKUP(Thu_W2[[#This Row],[Employee Name]],'Base Schedules'!$A$243:$AW$281,9,FALSE)),"")</f>
        <v/>
      </c>
      <c r="K28" s="184" t="str">
        <f>IFERROR(IF(VLOOKUP(Thu_W2[[#This Row],[Employee Name]],'Base Schedules'!$A$243:$AW$281,10,FALSE)="","",VLOOKUP(Thu_W2[[#This Row],[Employee Name]],'Base Schedules'!$A$243:$AW$281,10,FALSE)),"")</f>
        <v/>
      </c>
      <c r="L28" s="184" t="str">
        <f>IFERROR(IF(VLOOKUP(Thu_W2[[#This Row],[Employee Name]],'Base Schedules'!$A$243:$AW$281,11,FALSE)="","",VLOOKUP(Thu_W2[[#This Row],[Employee Name]],'Base Schedules'!$A$243:$AW$281,11,FALSE)),"")</f>
        <v/>
      </c>
      <c r="M28" s="184" t="str">
        <f>IFERROR(IF(VLOOKUP(Thu_W2[[#This Row],[Employee Name]],'Base Schedules'!$A$243:$AW$281,12,FALSE)="","",VLOOKUP(Thu_W2[[#This Row],[Employee Name]],'Base Schedules'!$A$243:$AW$281,12,FALSE)),"")</f>
        <v/>
      </c>
      <c r="N28" s="184" t="str">
        <f>IFERROR(IF(VLOOKUP(Thu_W2[[#This Row],[Employee Name]],'Base Schedules'!$A$243:$AW$281,13,FALSE)="","",VLOOKUP(Thu_W2[[#This Row],[Employee Name]],'Base Schedules'!$A$243:$AW$281,13,FALSE)),"")</f>
        <v/>
      </c>
      <c r="O28" s="184" t="str">
        <f>IFERROR(IF(VLOOKUP(Thu_W2[[#This Row],[Employee Name]],'Base Schedules'!$A$243:$AW$281,14,FALSE)="","",VLOOKUP(Thu_W2[[#This Row],[Employee Name]],'Base Schedules'!$A$243:$AW$281,14,FALSE)),"")</f>
        <v/>
      </c>
      <c r="P28" s="184" t="str">
        <f>IFERROR(IF(VLOOKUP(Thu_W2[[#This Row],[Employee Name]],'Base Schedules'!$A$243:$AW$281,15,FALSE)="","",VLOOKUP(Thu_W2[[#This Row],[Employee Name]],'Base Schedules'!$A$243:$AW$281,15,FALSE)),"")</f>
        <v/>
      </c>
      <c r="Q28" s="184" t="str">
        <f>IFERROR(IF(VLOOKUP(Thu_W2[[#This Row],[Employee Name]],'Base Schedules'!$A$243:$AW$281,16,FALSE)="","",VLOOKUP(Thu_W2[[#This Row],[Employee Name]],'Base Schedules'!$A$243:$AW$281,16,FALSE)),"")</f>
        <v/>
      </c>
      <c r="R28" s="184" t="str">
        <f>IFERROR(IF(VLOOKUP(Thu_W2[[#This Row],[Employee Name]],'Base Schedules'!$A$243:$AW$281,17,FALSE)="","",VLOOKUP(Thu_W2[[#This Row],[Employee Name]],'Base Schedules'!$A$243:$AW$281,17,FALSE)),"")</f>
        <v/>
      </c>
      <c r="S28" s="184" t="str">
        <f>IFERROR(IF(VLOOKUP(Thu_W2[[#This Row],[Employee Name]],'Base Schedules'!$A$243:$AW$281,18,FALSE)="","",VLOOKUP(Thu_W2[[#This Row],[Employee Name]],'Base Schedules'!$A$243:$AW$281,18,FALSE)),"")</f>
        <v/>
      </c>
      <c r="T28" s="184" t="str">
        <f>IFERROR(IF(VLOOKUP(Thu_W2[[#This Row],[Employee Name]],'Base Schedules'!$A$243:$AW$281,19,FALSE)="","",VLOOKUP(Thu_W2[[#This Row],[Employee Name]],'Base Schedules'!$A$243:$AW$281,19,FALSE)),"")</f>
        <v/>
      </c>
      <c r="U28" s="184" t="str">
        <f>IFERROR(IF(VLOOKUP(Thu_W2[[#This Row],[Employee Name]],'Base Schedules'!$A$243:$AW$281,20,FALSE)="","",VLOOKUP(Thu_W2[[#This Row],[Employee Name]],'Base Schedules'!$A$243:$AW$281,20,FALSE)),"")</f>
        <v>HL</v>
      </c>
      <c r="V28" s="184" t="str">
        <f>IFERROR(IF(VLOOKUP(Thu_W2[[#This Row],[Employee Name]],'Base Schedules'!$A$243:$AW$281,21,FALSE)="","",VLOOKUP(Thu_W2[[#This Row],[Employee Name]],'Base Schedules'!$A$243:$AW$281,21,FALSE)),"")</f>
        <v>HL</v>
      </c>
      <c r="W28" s="184" t="str">
        <f>IFERROR(IF(VLOOKUP(Thu_W2[[#This Row],[Employee Name]],'Base Schedules'!$A$243:$AW$281,22,FALSE)="","",VLOOKUP(Thu_W2[[#This Row],[Employee Name]],'Base Schedules'!$A$243:$AW$281,22,FALSE)),"")</f>
        <v>ADM</v>
      </c>
      <c r="X28" s="184" t="str">
        <f>IFERROR(IF(VLOOKUP(Thu_W2[[#This Row],[Employee Name]],'Base Schedules'!$A$243:$AW$281,23,FALSE)="","",VLOOKUP(Thu_W2[[#This Row],[Employee Name]],'Base Schedules'!$A$243:$AW$281,23,FALSE)),"")</f>
        <v>HL</v>
      </c>
      <c r="Y28" s="184" t="str">
        <f>IFERROR(IF(VLOOKUP(Thu_W2[[#This Row],[Employee Name]],'Base Schedules'!$A$243:$AW$281,24,FALSE)="","",VLOOKUP(Thu_W2[[#This Row],[Employee Name]],'Base Schedules'!$A$243:$AW$281,24,FALSE)),"")</f>
        <v>B1 HL</v>
      </c>
      <c r="Z28" s="184" t="str">
        <f>IFERROR(IF(VLOOKUP(Thu_W2[[#This Row],[Employee Name]],'Base Schedules'!$A$243:$AW$281,25,FALSE)="","",VLOOKUP(Thu_W2[[#This Row],[Employee Name]],'Base Schedules'!$A$243:$AW$281,25,FALSE)),"")</f>
        <v>ADM</v>
      </c>
      <c r="AA28" s="184" t="str">
        <f>IFERROR(IF(VLOOKUP(Thu_W2[[#This Row],[Employee Name]],'Base Schedules'!$A$243:$AW$281,26,FALSE)="","",VLOOKUP(Thu_W2[[#This Row],[Employee Name]],'Base Schedules'!$A$243:$AW$281,26,FALSE)),"")</f>
        <v>ADM</v>
      </c>
      <c r="AB28" s="184" t="str">
        <f>IFERROR(IF(VLOOKUP(Thu_W2[[#This Row],[Employee Name]],'Base Schedules'!$A$243:$AW$281,27,FALSE)="","",VLOOKUP(Thu_W2[[#This Row],[Employee Name]],'Base Schedules'!$A$243:$AW$281,27,FALSE)),"")</f>
        <v>HL</v>
      </c>
      <c r="AC28" s="184" t="str">
        <f>IFERROR(IF(VLOOKUP(Thu_W2[[#This Row],[Employee Name]],'Base Schedules'!$A$243:$AW$281,28,FALSE)="","",VLOOKUP(Thu_W2[[#This Row],[Employee Name]],'Base Schedules'!$A$243:$AW$281,28,FALSE)),"")</f>
        <v>LUNCH</v>
      </c>
      <c r="AD28" s="184" t="str">
        <f>IFERROR(IF(VLOOKUP(Thu_W2[[#This Row],[Employee Name]],'Base Schedules'!$A$243:$AW$281,29,FALSE)="","",VLOOKUP(Thu_W2[[#This Row],[Employee Name]],'Base Schedules'!$A$243:$AW$281,29,FALSE)),"")</f>
        <v>ADM</v>
      </c>
      <c r="AE28" s="184" t="str">
        <f>IFERROR(IF(VLOOKUP(Thu_W2[[#This Row],[Employee Name]],'Base Schedules'!$A$243:$AW$281,30,FALSE)="","",VLOOKUP(Thu_W2[[#This Row],[Employee Name]],'Base Schedules'!$A$243:$AW$281,30,FALSE)),"")</f>
        <v>ADM</v>
      </c>
      <c r="AF28" s="184" t="str">
        <f>IFERROR(IF(VLOOKUP(Thu_W2[[#This Row],[Employee Name]],'Base Schedules'!$A$243:$AW$281,31,FALSE)="","",VLOOKUP(Thu_W2[[#This Row],[Employee Name]],'Base Schedules'!$A$243:$AW$281,31,FALSE)),"")</f>
        <v>ADM</v>
      </c>
      <c r="AG28" s="184" t="str">
        <f>IFERROR(IF(VLOOKUP(Thu_W2[[#This Row],[Employee Name]],'Base Schedules'!$A$243:$AW$281,32,FALSE)="","",VLOOKUP(Thu_W2[[#This Row],[Employee Name]],'Base Schedules'!$A$243:$AW$281,32,FALSE)),"")</f>
        <v>HL</v>
      </c>
      <c r="AH28" s="184" t="str">
        <f>IFERROR(IF(VLOOKUP(Thu_W2[[#This Row],[Employee Name]],'Base Schedules'!$A$243:$AW$281,33,FALSE)="","",VLOOKUP(Thu_W2[[#This Row],[Employee Name]],'Base Schedules'!$A$243:$AW$281,33,FALSE)),"")</f>
        <v>B2 ADM</v>
      </c>
      <c r="AI28" s="184" t="str">
        <f>IFERROR(IF(VLOOKUP(Thu_W2[[#This Row],[Employee Name]],'Base Schedules'!$A$243:$AW$281,34,FALSE)="","",VLOOKUP(Thu_W2[[#This Row],[Employee Name]],'Base Schedules'!$A$243:$AW$281,34,FALSE)),"")</f>
        <v>HL</v>
      </c>
      <c r="AJ28" s="184" t="str">
        <f>IFERROR(IF(VLOOKUP(Thu_W2[[#This Row],[Employee Name]],'Base Schedules'!$A$243:$AW$281,35,FALSE)="","",VLOOKUP(Thu_W2[[#This Row],[Employee Name]],'Base Schedules'!$A$243:$AW$281,35,FALSE)),"")</f>
        <v>RNNR</v>
      </c>
      <c r="AK28" s="184" t="str">
        <f>IFERROR(IF(VLOOKUP(Thu_W2[[#This Row],[Employee Name]],'Base Schedules'!$A$243:$AW$281,36,FALSE)="","",VLOOKUP(Thu_W2[[#This Row],[Employee Name]],'Base Schedules'!$A$243:$AW$281,36,FALSE)),"")</f>
        <v>RNNR</v>
      </c>
      <c r="AL28" s="184" t="str">
        <f>IFERROR(IF(VLOOKUP(Thu_W2[[#This Row],[Employee Name]],'Base Schedules'!$A$243:$AW$281,37,FALSE)="","",VLOOKUP(Thu_W2[[#This Row],[Employee Name]],'Base Schedules'!$A$243:$AW$281,37,FALSE)),"")</f>
        <v/>
      </c>
      <c r="AM28" s="184" t="str">
        <f>IFERROR(IF(VLOOKUP(Thu_W2[[#This Row],[Employee Name]],'Base Schedules'!$A$243:$AW$281,38,FALSE)="","",VLOOKUP(Thu_W2[[#This Row],[Employee Name]],'Base Schedules'!$A$243:$AW$281,38,FALSE)),"")</f>
        <v/>
      </c>
      <c r="AN28" s="184" t="str">
        <f>IFERROR(IF(VLOOKUP(Thu_W2[[#This Row],[Employee Name]],'Base Schedules'!$A$243:$AW$281,39,FALSE)="","",VLOOKUP(Thu_W2[[#This Row],[Employee Name]],'Base Schedules'!$A$243:$AW$281,39,FALSE)),"")</f>
        <v/>
      </c>
      <c r="AO28" s="184" t="str">
        <f>IFERROR(IF(VLOOKUP(Thu_W2[[#This Row],[Employee Name]],'Base Schedules'!$A$243:$AW$281,40,FALSE)="","",VLOOKUP(Thu_W2[[#This Row],[Employee Name]],'Base Schedules'!$A$243:$AW$281,40,FALSE)),"")</f>
        <v/>
      </c>
      <c r="AP28" s="184" t="str">
        <f>IFERROR(IF(VLOOKUP(Thu_W2[[#This Row],[Employee Name]],'Base Schedules'!$A$243:$AW$281,41,FALSE)="","",VLOOKUP(Thu_W2[[#This Row],[Employee Name]],'Base Schedules'!$A$243:$AW$281,41,FALSE)),"")</f>
        <v/>
      </c>
      <c r="AQ28" s="184" t="str">
        <f>IFERROR(IF(VLOOKUP(Thu_W2[[#This Row],[Employee Name]],'Base Schedules'!$A$243:$AW$281,42,FALSE)="","",VLOOKUP(Thu_W2[[#This Row],[Employee Name]],'Base Schedules'!$A$243:$AW$281,42,FALSE)),"")</f>
        <v/>
      </c>
      <c r="AR28" s="184" t="str">
        <f>IFERROR(IF(VLOOKUP(Thu_W2[[#This Row],[Employee Name]],'Base Schedules'!$A$243:$AW$281,43,FALSE)="","",VLOOKUP(Thu_W2[[#This Row],[Employee Name]],'Base Schedules'!$A$243:$AW$281,43,FALSE)),"")</f>
        <v/>
      </c>
      <c r="AS28" s="184" t="str">
        <f>IFERROR(IF(VLOOKUP(Thu_W2[[#This Row],[Employee Name]],'Base Schedules'!$A$243:$AW$281,44,FALSE)="","",VLOOKUP(Thu_W2[[#This Row],[Employee Name]],'Base Schedules'!$A$243:$AW$281,44,FALSE)),"")</f>
        <v/>
      </c>
      <c r="AT28" s="184" t="str">
        <f>IFERROR(IF(VLOOKUP(Thu_W2[[#This Row],[Employee Name]],'Base Schedules'!$A$243:$AW$281,45,FALSE)="","",VLOOKUP(Thu_W2[[#This Row],[Employee Name]],'Base Schedules'!$A$243:$AW$281,45,FALSE)),"")</f>
        <v/>
      </c>
      <c r="AU28" s="184" t="str">
        <f>IFERROR(IF(VLOOKUP(Thu_W2[[#This Row],[Employee Name]],'Base Schedules'!$A$243:$AW$281,46,FALSE)="","",VLOOKUP(Thu_W2[[#This Row],[Employee Name]],'Base Schedules'!$A$243:$AW$281,46,FALSE)),"")</f>
        <v/>
      </c>
      <c r="AV28" s="184" t="str">
        <f>IFERROR(IF(VLOOKUP(Thu_W2[[#This Row],[Employee Name]],'Base Schedules'!$A$243:$AW$281,47,FALSE)="","",VLOOKUP(Thu_W2[[#This Row],[Employee Name]],'Base Schedules'!$A$243:$AW$281,47,FALSE)),"")</f>
        <v/>
      </c>
      <c r="AW28" s="184" t="str">
        <f>IFERROR(IF(VLOOKUP(Thu_W2[[#This Row],[Employee Name]],'Base Schedules'!$A$243:$AW$281,48,FALSE)="","",VLOOKUP(Thu_W2[[#This Row],[Employee Name]],'Base Schedules'!$A$243:$AW$281,48,FALSE)),"")</f>
        <v/>
      </c>
      <c r="AX28" s="184" t="str">
        <f>IFERROR(IF(VLOOKUP(Thu_W2[[#This Row],[Employee Name]],'Base Schedules'!$A$243:$AW$281,49,FALSE)="","",VLOOKUP(Thu_W2[[#This Row],[Employee Name]],'Base Schedules'!$A$243:$AW$281,49,FALSE)),"")</f>
        <v/>
      </c>
      <c r="AY28" s="245" t="str">
        <f t="shared" si="2"/>
        <v>Qualman, Sophy</v>
      </c>
    </row>
    <row r="29" spans="1:51" s="44" customFormat="1" ht="12" customHeight="1" x14ac:dyDescent="0.2">
      <c r="A29" s="39" t="str">
        <f>IF(B29="","",INDEX(TeamList[],MATCH($B29,TeamList[[Employee Name]:[Employee Name]],0),MATCH("Manager",TeamList[#Headers],0)))</f>
        <v>Olson, Katherine</v>
      </c>
      <c r="B29" s="201" t="s">
        <v>30</v>
      </c>
      <c r="C29" s="257" t="str">
        <f>_xlfn.IFNA(VLOOKUP(Thu_W2[[#This Row],[Employee Name]],'Base Schedules'!A:B,2,FALSE),"")</f>
        <v>Lead</v>
      </c>
      <c r="D29" s="274">
        <f>_xlfn.IFNA(VLOOKUP(Thu_W2[[#This Row],[Employee Name]],'Base Schedules'!A:C,3,FALSE),"")</f>
        <v>1100</v>
      </c>
      <c r="E29" s="274">
        <f>_xlfn.IFNA(VLOOKUP(Thu_W2[[#This Row],[Employee Name]],'Base Schedules'!A:D,4,FALSE),"")</f>
        <v>2000</v>
      </c>
      <c r="F29" s="142">
        <f>IF(Thu_W2[[#This Row],[Employee Name]]="","",IF(Thu_W2[[#This Row],[Dept]]="Supervisor",COUNTIFS($J29:$AX29,"*HL*",$J29:$AX29,"&lt;&gt;"&amp;"pHL"),COUNTIFS($J29:$AX29,"*HL*",$J29:$AX29,"&lt;&gt;"&amp;"*pHL*",$J29:$AX29,"&lt;&gt;"&amp;"pB1 HL",$J29:$AX29,"&lt;&gt;"&amp;"pB2 HL")-SUM(COUNTIFS($J29:$AX29,"*HL B1*",$J29:$AX29,"&lt;&gt;"&amp;"pHL B1")*0.5,COUNTIFS($J29:$AX29,"*HL B2*",$J29:$AX29,"&lt;&gt;"&amp;"pHL B2")*0.5,COUNTIFS($J29:$AX29,"*B1 HL*",$J29:$AX29,"&lt;&gt;"&amp;"pB1 HL")*0.5,COUNTIFS($J29:$AX29,"*B2 HL*",$J29:$AX29,"&lt;&gt;"&amp;"pB2 HL")*0.5)))</f>
        <v>6.5</v>
      </c>
      <c r="G29" s="142">
        <f t="shared" si="0"/>
        <v>0</v>
      </c>
      <c r="H29" s="142">
        <f t="shared" si="1"/>
        <v>7</v>
      </c>
      <c r="I29" s="142">
        <f>IF(Thu_W2[[#This Row],[Employee Name]]="","",IF(Thu_W2[[#This Row],[Dept]]="Supervisor",SUM(COUNTIFS($J29:$AX29,"RTA*",$J29:$AX29,"&lt;&gt;"&amp;"pRTA"),COUNTIFS($J29:$AX29,"*CRTA*",$J29:$AX29,"&lt;&gt;"&amp;"pCRTA")),COUNTIFS($J29:$AX29,"*RNNR*",$J29:$AX29,"&lt;&gt;"&amp;"*pRNNR*",$J29:$AX29,"&lt;&gt;"&amp;"pB1 RNNR",$J29:$AX29,"&lt;&gt;"&amp;"pB2 RNNR")-SUM(COUNTIFS($J29:$AX29,"*RNNR B1*",$J29:$AX29,"&lt;&gt;"&amp;"pRNNR B1")*0.5,COUNTIFS($J29:$AX29,"*RNNR B2*",$J29:$AX29,"&lt;&gt;"&amp;"pRNNR B2")*0.5,COUNTIFS($J29:$AX29,"*B1 RNNR*",$J29:$AX29,"&lt;&gt;"&amp;"pB1 RNNR")*0.5,COUNTIFS($J29:$AX29,"*B2 RNNR*",$J29:$AX29,"&lt;&gt;"&amp;"pB2 RNNR")*0.5)))</f>
        <v>2</v>
      </c>
      <c r="J29" s="184" t="str">
        <f>IFERROR(IF(VLOOKUP(Thu_W2[[#This Row],[Employee Name]],'Base Schedules'!$A$243:$AW$281,9,FALSE)="","",VLOOKUP(Thu_W2[[#This Row],[Employee Name]],'Base Schedules'!$A$243:$AW$281,9,FALSE)),"")</f>
        <v/>
      </c>
      <c r="K29" s="184" t="str">
        <f>IFERROR(IF(VLOOKUP(Thu_W2[[#This Row],[Employee Name]],'Base Schedules'!$A$243:$AW$281,10,FALSE)="","",VLOOKUP(Thu_W2[[#This Row],[Employee Name]],'Base Schedules'!$A$243:$AW$281,10,FALSE)),"")</f>
        <v/>
      </c>
      <c r="L29" s="184" t="str">
        <f>IFERROR(IF(VLOOKUP(Thu_W2[[#This Row],[Employee Name]],'Base Schedules'!$A$243:$AW$281,11,FALSE)="","",VLOOKUP(Thu_W2[[#This Row],[Employee Name]],'Base Schedules'!$A$243:$AW$281,11,FALSE)),"")</f>
        <v/>
      </c>
      <c r="M29" s="184" t="str">
        <f>IFERROR(IF(VLOOKUP(Thu_W2[[#This Row],[Employee Name]],'Base Schedules'!$A$243:$AW$281,12,FALSE)="","",VLOOKUP(Thu_W2[[#This Row],[Employee Name]],'Base Schedules'!$A$243:$AW$281,12,FALSE)),"")</f>
        <v/>
      </c>
      <c r="N29" s="184" t="str">
        <f>IFERROR(IF(VLOOKUP(Thu_W2[[#This Row],[Employee Name]],'Base Schedules'!$A$243:$AW$281,13,FALSE)="","",VLOOKUP(Thu_W2[[#This Row],[Employee Name]],'Base Schedules'!$A$243:$AW$281,13,FALSE)),"")</f>
        <v/>
      </c>
      <c r="O29" s="184" t="str">
        <f>IFERROR(IF(VLOOKUP(Thu_W2[[#This Row],[Employee Name]],'Base Schedules'!$A$243:$AW$281,14,FALSE)="","",VLOOKUP(Thu_W2[[#This Row],[Employee Name]],'Base Schedules'!$A$243:$AW$281,14,FALSE)),"")</f>
        <v/>
      </c>
      <c r="P29" s="184" t="str">
        <f>IFERROR(IF(VLOOKUP(Thu_W2[[#This Row],[Employee Name]],'Base Schedules'!$A$243:$AW$281,15,FALSE)="","",VLOOKUP(Thu_W2[[#This Row],[Employee Name]],'Base Schedules'!$A$243:$AW$281,15,FALSE)),"")</f>
        <v/>
      </c>
      <c r="Q29" s="184" t="str">
        <f>IFERROR(IF(VLOOKUP(Thu_W2[[#This Row],[Employee Name]],'Base Schedules'!$A$243:$AW$281,16,FALSE)="","",VLOOKUP(Thu_W2[[#This Row],[Employee Name]],'Base Schedules'!$A$243:$AW$281,16,FALSE)),"")</f>
        <v/>
      </c>
      <c r="R29" s="184" t="str">
        <f>IFERROR(IF(VLOOKUP(Thu_W2[[#This Row],[Employee Name]],'Base Schedules'!$A$243:$AW$281,17,FALSE)="","",VLOOKUP(Thu_W2[[#This Row],[Employee Name]],'Base Schedules'!$A$243:$AW$281,17,FALSE)),"")</f>
        <v/>
      </c>
      <c r="S29" s="184" t="str">
        <f>IFERROR(IF(VLOOKUP(Thu_W2[[#This Row],[Employee Name]],'Base Schedules'!$A$243:$AW$281,18,FALSE)="","",VLOOKUP(Thu_W2[[#This Row],[Employee Name]],'Base Schedules'!$A$243:$AW$281,18,FALSE)),"")</f>
        <v/>
      </c>
      <c r="T29" s="184" t="str">
        <f>IFERROR(IF(VLOOKUP(Thu_W2[[#This Row],[Employee Name]],'Base Schedules'!$A$243:$AW$281,19,FALSE)="","",VLOOKUP(Thu_W2[[#This Row],[Employee Name]],'Base Schedules'!$A$243:$AW$281,19,FALSE)),"")</f>
        <v/>
      </c>
      <c r="U29" s="184" t="str">
        <f>IFERROR(IF(VLOOKUP(Thu_W2[[#This Row],[Employee Name]],'Base Schedules'!$A$243:$AW$281,20,FALSE)="","",VLOOKUP(Thu_W2[[#This Row],[Employee Name]],'Base Schedules'!$A$243:$AW$281,20,FALSE)),"")</f>
        <v/>
      </c>
      <c r="V29" s="184" t="str">
        <f>IFERROR(IF(VLOOKUP(Thu_W2[[#This Row],[Employee Name]],'Base Schedules'!$A$243:$AW$281,21,FALSE)="","",VLOOKUP(Thu_W2[[#This Row],[Employee Name]],'Base Schedules'!$A$243:$AW$281,21,FALSE)),"")</f>
        <v>ADM</v>
      </c>
      <c r="W29" s="184" t="str">
        <f>IFERROR(IF(VLOOKUP(Thu_W2[[#This Row],[Employee Name]],'Base Schedules'!$A$243:$AW$281,22,FALSE)="","",VLOOKUP(Thu_W2[[#This Row],[Employee Name]],'Base Schedules'!$A$243:$AW$281,22,FALSE)),"")</f>
        <v>HL</v>
      </c>
      <c r="X29" s="184" t="str">
        <f>IFERROR(IF(VLOOKUP(Thu_W2[[#This Row],[Employee Name]],'Base Schedules'!$A$243:$AW$281,23,FALSE)="","",VLOOKUP(Thu_W2[[#This Row],[Employee Name]],'Base Schedules'!$A$243:$AW$281,23,FALSE)),"")</f>
        <v>ADM</v>
      </c>
      <c r="Y29" s="184" t="str">
        <f>IFERROR(IF(VLOOKUP(Thu_W2[[#This Row],[Employee Name]],'Base Schedules'!$A$243:$AW$281,24,FALSE)="","",VLOOKUP(Thu_W2[[#This Row],[Employee Name]],'Base Schedules'!$A$243:$AW$281,24,FALSE)),"")</f>
        <v>ADM</v>
      </c>
      <c r="Z29" s="184" t="str">
        <f>IFERROR(IF(VLOOKUP(Thu_W2[[#This Row],[Employee Name]],'Base Schedules'!$A$243:$AW$281,25,FALSE)="","",VLOOKUP(Thu_W2[[#This Row],[Employee Name]],'Base Schedules'!$A$243:$AW$281,25,FALSE)),"")</f>
        <v>ADM B1</v>
      </c>
      <c r="AA29" s="184" t="str">
        <f>IFERROR(IF(VLOOKUP(Thu_W2[[#This Row],[Employee Name]],'Base Schedules'!$A$243:$AW$281,26,FALSE)="","",VLOOKUP(Thu_W2[[#This Row],[Employee Name]],'Base Schedules'!$A$243:$AW$281,26,FALSE)),"")</f>
        <v>HL</v>
      </c>
      <c r="AB29" s="184" t="str">
        <f>IFERROR(IF(VLOOKUP(Thu_W2[[#This Row],[Employee Name]],'Base Schedules'!$A$243:$AW$281,27,FALSE)="","",VLOOKUP(Thu_W2[[#This Row],[Employee Name]],'Base Schedules'!$A$243:$AW$281,27,FALSE)),"")</f>
        <v>RNNR</v>
      </c>
      <c r="AC29" s="184" t="str">
        <f>IFERROR(IF(VLOOKUP(Thu_W2[[#This Row],[Employee Name]],'Base Schedules'!$A$243:$AW$281,28,FALSE)="","",VLOOKUP(Thu_W2[[#This Row],[Employee Name]],'Base Schedules'!$A$243:$AW$281,28,FALSE)),"")</f>
        <v>RNNR</v>
      </c>
      <c r="AD29" s="184" t="str">
        <f>IFERROR(IF(VLOOKUP(Thu_W2[[#This Row],[Employee Name]],'Base Schedules'!$A$243:$AW$281,29,FALSE)="","",VLOOKUP(Thu_W2[[#This Row],[Employee Name]],'Base Schedules'!$A$243:$AW$281,29,FALSE)),"")</f>
        <v>ADM</v>
      </c>
      <c r="AE29" s="184" t="str">
        <f>IFERROR(IF(VLOOKUP(Thu_W2[[#This Row],[Employee Name]],'Base Schedules'!$A$243:$AW$281,30,FALSE)="","",VLOOKUP(Thu_W2[[#This Row],[Employee Name]],'Base Schedules'!$A$243:$AW$281,30,FALSE)),"")</f>
        <v>LUNCH</v>
      </c>
      <c r="AF29" s="184" t="str">
        <f>IFERROR(IF(VLOOKUP(Thu_W2[[#This Row],[Employee Name]],'Base Schedules'!$A$243:$AW$281,31,FALSE)="","",VLOOKUP(Thu_W2[[#This Row],[Employee Name]],'Base Schedules'!$A$243:$AW$281,31,FALSE)),"")</f>
        <v>ADM</v>
      </c>
      <c r="AG29" s="184" t="str">
        <f>IFERROR(IF(VLOOKUP(Thu_W2[[#This Row],[Employee Name]],'Base Schedules'!$A$243:$AW$281,32,FALSE)="","",VLOOKUP(Thu_W2[[#This Row],[Employee Name]],'Base Schedules'!$A$243:$AW$281,32,FALSE)),"")</f>
        <v>ADM</v>
      </c>
      <c r="AH29" s="184" t="str">
        <f>IFERROR(IF(VLOOKUP(Thu_W2[[#This Row],[Employee Name]],'Base Schedules'!$A$243:$AW$281,33,FALSE)="","",VLOOKUP(Thu_W2[[#This Row],[Employee Name]],'Base Schedules'!$A$243:$AW$281,33,FALSE)),"")</f>
        <v>HL</v>
      </c>
      <c r="AI29" s="184" t="str">
        <f>IFERROR(IF(VLOOKUP(Thu_W2[[#This Row],[Employee Name]],'Base Schedules'!$A$243:$AW$281,34,FALSE)="","",VLOOKUP(Thu_W2[[#This Row],[Employee Name]],'Base Schedules'!$A$243:$AW$281,34,FALSE)),"")</f>
        <v>B2 HL</v>
      </c>
      <c r="AJ29" s="184" t="str">
        <f>IFERROR(IF(VLOOKUP(Thu_W2[[#This Row],[Employee Name]],'Base Schedules'!$A$243:$AW$281,35,FALSE)="","",VLOOKUP(Thu_W2[[#This Row],[Employee Name]],'Base Schedules'!$A$243:$AW$281,35,FALSE)),"")</f>
        <v>HL</v>
      </c>
      <c r="AK29" s="184" t="str">
        <f>IFERROR(IF(VLOOKUP(Thu_W2[[#This Row],[Employee Name]],'Base Schedules'!$A$243:$AW$281,36,FALSE)="","",VLOOKUP(Thu_W2[[#This Row],[Employee Name]],'Base Schedules'!$A$243:$AW$281,36,FALSE)),"")</f>
        <v>HL</v>
      </c>
      <c r="AL29" s="184" t="str">
        <f>IFERROR(IF(VLOOKUP(Thu_W2[[#This Row],[Employee Name]],'Base Schedules'!$A$243:$AW$281,37,FALSE)="","",VLOOKUP(Thu_W2[[#This Row],[Employee Name]],'Base Schedules'!$A$243:$AW$281,37,FALSE)),"")</f>
        <v>HL</v>
      </c>
      <c r="AM29" s="184" t="str">
        <f>IFERROR(IF(VLOOKUP(Thu_W2[[#This Row],[Employee Name]],'Base Schedules'!$A$243:$AW$281,38,FALSE)="","",VLOOKUP(Thu_W2[[#This Row],[Employee Name]],'Base Schedules'!$A$243:$AW$281,38,FALSE)),"")</f>
        <v/>
      </c>
      <c r="AN29" s="184" t="str">
        <f>IFERROR(IF(VLOOKUP(Thu_W2[[#This Row],[Employee Name]],'Base Schedules'!$A$243:$AW$281,39,FALSE)="","",VLOOKUP(Thu_W2[[#This Row],[Employee Name]],'Base Schedules'!$A$243:$AW$281,39,FALSE)),"")</f>
        <v/>
      </c>
      <c r="AO29" s="184" t="str">
        <f>IFERROR(IF(VLOOKUP(Thu_W2[[#This Row],[Employee Name]],'Base Schedules'!$A$243:$AW$281,40,FALSE)="","",VLOOKUP(Thu_W2[[#This Row],[Employee Name]],'Base Schedules'!$A$243:$AW$281,40,FALSE)),"")</f>
        <v/>
      </c>
      <c r="AP29" s="184" t="str">
        <f>IFERROR(IF(VLOOKUP(Thu_W2[[#This Row],[Employee Name]],'Base Schedules'!$A$243:$AW$281,41,FALSE)="","",VLOOKUP(Thu_W2[[#This Row],[Employee Name]],'Base Schedules'!$A$243:$AW$281,41,FALSE)),"")</f>
        <v/>
      </c>
      <c r="AQ29" s="184" t="str">
        <f>IFERROR(IF(VLOOKUP(Thu_W2[[#This Row],[Employee Name]],'Base Schedules'!$A$243:$AW$281,42,FALSE)="","",VLOOKUP(Thu_W2[[#This Row],[Employee Name]],'Base Schedules'!$A$243:$AW$281,42,FALSE)),"")</f>
        <v/>
      </c>
      <c r="AR29" s="184" t="str">
        <f>IFERROR(IF(VLOOKUP(Thu_W2[[#This Row],[Employee Name]],'Base Schedules'!$A$243:$AW$281,43,FALSE)="","",VLOOKUP(Thu_W2[[#This Row],[Employee Name]],'Base Schedules'!$A$243:$AW$281,43,FALSE)),"")</f>
        <v/>
      </c>
      <c r="AS29" s="184" t="str">
        <f>IFERROR(IF(VLOOKUP(Thu_W2[[#This Row],[Employee Name]],'Base Schedules'!$A$243:$AW$281,44,FALSE)="","",VLOOKUP(Thu_W2[[#This Row],[Employee Name]],'Base Schedules'!$A$243:$AW$281,44,FALSE)),"")</f>
        <v/>
      </c>
      <c r="AT29" s="184" t="str">
        <f>IFERROR(IF(VLOOKUP(Thu_W2[[#This Row],[Employee Name]],'Base Schedules'!$A$243:$AW$281,45,FALSE)="","",VLOOKUP(Thu_W2[[#This Row],[Employee Name]],'Base Schedules'!$A$243:$AW$281,45,FALSE)),"")</f>
        <v/>
      </c>
      <c r="AU29" s="184" t="str">
        <f>IFERROR(IF(VLOOKUP(Thu_W2[[#This Row],[Employee Name]],'Base Schedules'!$A$243:$AW$281,46,FALSE)="","",VLOOKUP(Thu_W2[[#This Row],[Employee Name]],'Base Schedules'!$A$243:$AW$281,46,FALSE)),"")</f>
        <v/>
      </c>
      <c r="AV29" s="184" t="str">
        <f>IFERROR(IF(VLOOKUP(Thu_W2[[#This Row],[Employee Name]],'Base Schedules'!$A$243:$AW$281,47,FALSE)="","",VLOOKUP(Thu_W2[[#This Row],[Employee Name]],'Base Schedules'!$A$243:$AW$281,47,FALSE)),"")</f>
        <v/>
      </c>
      <c r="AW29" s="184" t="str">
        <f>IFERROR(IF(VLOOKUP(Thu_W2[[#This Row],[Employee Name]],'Base Schedules'!$A$243:$AW$281,48,FALSE)="","",VLOOKUP(Thu_W2[[#This Row],[Employee Name]],'Base Schedules'!$A$243:$AW$281,48,FALSE)),"")</f>
        <v/>
      </c>
      <c r="AX29" s="184" t="str">
        <f>IFERROR(IF(VLOOKUP(Thu_W2[[#This Row],[Employee Name]],'Base Schedules'!$A$243:$AW$281,49,FALSE)="","",VLOOKUP(Thu_W2[[#This Row],[Employee Name]],'Base Schedules'!$A$243:$AW$281,49,FALSE)),"")</f>
        <v/>
      </c>
      <c r="AY29" s="245" t="str">
        <f t="shared" si="2"/>
        <v>Koistinen, Shaun</v>
      </c>
    </row>
    <row r="30" spans="1:51" s="44" customFormat="1" ht="12" customHeight="1" x14ac:dyDescent="0.2">
      <c r="A30" s="39" t="e">
        <f>IF(B30="","",INDEX(TeamList[],MATCH($B30,TeamList[[Employee Name]:[Employee Name]],0),MATCH("Manager",TeamList[#Headers],0)))</f>
        <v>#N/A</v>
      </c>
      <c r="B30" s="202" t="s">
        <v>414</v>
      </c>
      <c r="C30" s="257" t="str">
        <f>_xlfn.IFNA(VLOOKUP(Thu_W2[[#This Row],[Employee Name]],'Base Schedules'!A:B,2,FALSE),"")</f>
        <v>Lead</v>
      </c>
      <c r="D30" s="274">
        <f>_xlfn.IFNA(VLOOKUP(Thu_W2[[#This Row],[Employee Name]],'Base Schedules'!A:C,3,FALSE),"")</f>
        <v>1130</v>
      </c>
      <c r="E30" s="274">
        <f>_xlfn.IFNA(VLOOKUP(Thu_W2[[#This Row],[Employee Name]],'Base Schedules'!A:D,4,FALSE),"")</f>
        <v>1930</v>
      </c>
      <c r="F30" s="142">
        <f>IF(Thu_W2[[#This Row],[Employee Name]]="","",IF(Thu_W2[[#This Row],[Dept]]="Supervisor",COUNTIFS($J30:$AX30,"*HL*",$J30:$AX30,"&lt;&gt;"&amp;"pHL"),COUNTIFS($J30:$AX30,"*HL*",$J30:$AX30,"&lt;&gt;"&amp;"*pHL*",$J30:$AX30,"&lt;&gt;"&amp;"pB1 HL",$J30:$AX30,"&lt;&gt;"&amp;"pB2 HL")-SUM(COUNTIFS($J30:$AX30,"*HL B1*",$J30:$AX30,"&lt;&gt;"&amp;"pHL B1")*0.5,COUNTIFS($J30:$AX30,"*HL B2*",$J30:$AX30,"&lt;&gt;"&amp;"pHL B2")*0.5,COUNTIFS($J30:$AX30,"*B1 HL*",$J30:$AX30,"&lt;&gt;"&amp;"pB1 HL")*0.5,COUNTIFS($J30:$AX30,"*B2 HL*",$J30:$AX30,"&lt;&gt;"&amp;"pB2 HL")*0.5)))</f>
        <v>9</v>
      </c>
      <c r="G30" s="142">
        <f>IF(B30="","",COUNTIFS($J30:$AX30,"*TM*",$J30:$AX30,"&lt;&gt;"&amp;"pTM",$J30:$AX30,"&lt;&gt;"&amp;"uTM"))</f>
        <v>0</v>
      </c>
      <c r="H30" s="142">
        <f t="shared" si="1"/>
        <v>7</v>
      </c>
      <c r="I30" s="142">
        <f>IF(Thu_W2[[#This Row],[Employee Name]]="","",IF(Thu_W2[[#This Row],[Dept]]="Supervisor",SUM(COUNTIFS($J30:$AX30,"RTA*",$J30:$AX30,"&lt;&gt;"&amp;"pRTA"),COUNTIFS($J30:$AX30,"*CRTA*",$J30:$AX30,"&lt;&gt;"&amp;"pCRTA")),COUNTIFS($J30:$AX30,"*RNNR*",$J30:$AX30,"&lt;&gt;"&amp;"*pRNNR*",$J30:$AX30,"&lt;&gt;"&amp;"pB1 RNNR",$J30:$AX30,"&lt;&gt;"&amp;"pB2 RNNR")-SUM(COUNTIFS($J30:$AX30,"*RNNR B1*",$J30:$AX30,"&lt;&gt;"&amp;"pRNNR B1")*0.5,COUNTIFS($J30:$AX30,"*RNNR B2*",$J30:$AX30,"&lt;&gt;"&amp;"pRNNR B2")*0.5,COUNTIFS($J30:$AX30,"*B1 RNNR*",$J30:$AX30,"&lt;&gt;"&amp;"pB1 RNNR")*0.5,COUNTIFS($J30:$AX30,"*B2 RNNR*",$J30:$AX30,"&lt;&gt;"&amp;"pB2 RNNR")*0.5)))</f>
        <v>0</v>
      </c>
      <c r="J30" s="184" t="str">
        <f>IFERROR(IF(VLOOKUP(Thu_W2[[#This Row],[Employee Name]],'Base Schedules'!$A$243:$AW$281,9,FALSE)="","",VLOOKUP(Thu_W2[[#This Row],[Employee Name]],'Base Schedules'!$A$243:$AW$281,9,FALSE)),"")</f>
        <v/>
      </c>
      <c r="K30" s="184" t="str">
        <f>IFERROR(IF(VLOOKUP(Thu_W2[[#This Row],[Employee Name]],'Base Schedules'!$A$243:$AW$281,10,FALSE)="","",VLOOKUP(Thu_W2[[#This Row],[Employee Name]],'Base Schedules'!$A$243:$AW$281,10,FALSE)),"")</f>
        <v/>
      </c>
      <c r="L30" s="184" t="str">
        <f>IFERROR(IF(VLOOKUP(Thu_W2[[#This Row],[Employee Name]],'Base Schedules'!$A$243:$AW$281,11,FALSE)="","",VLOOKUP(Thu_W2[[#This Row],[Employee Name]],'Base Schedules'!$A$243:$AW$281,11,FALSE)),"")</f>
        <v/>
      </c>
      <c r="M30" s="184" t="str">
        <f>IFERROR(IF(VLOOKUP(Thu_W2[[#This Row],[Employee Name]],'Base Schedules'!$A$243:$AW$281,12,FALSE)="","",VLOOKUP(Thu_W2[[#This Row],[Employee Name]],'Base Schedules'!$A$243:$AW$281,12,FALSE)),"")</f>
        <v/>
      </c>
      <c r="N30" s="184" t="str">
        <f>IFERROR(IF(VLOOKUP(Thu_W2[[#This Row],[Employee Name]],'Base Schedules'!$A$243:$AW$281,13,FALSE)="","",VLOOKUP(Thu_W2[[#This Row],[Employee Name]],'Base Schedules'!$A$243:$AW$281,13,FALSE)),"")</f>
        <v/>
      </c>
      <c r="O30" s="184" t="str">
        <f>IFERROR(IF(VLOOKUP(Thu_W2[[#This Row],[Employee Name]],'Base Schedules'!$A$243:$AW$281,14,FALSE)="","",VLOOKUP(Thu_W2[[#This Row],[Employee Name]],'Base Schedules'!$A$243:$AW$281,14,FALSE)),"")</f>
        <v/>
      </c>
      <c r="P30" s="184" t="str">
        <f>IFERROR(IF(VLOOKUP(Thu_W2[[#This Row],[Employee Name]],'Base Schedules'!$A$243:$AW$281,15,FALSE)="","",VLOOKUP(Thu_W2[[#This Row],[Employee Name]],'Base Schedules'!$A$243:$AW$281,15,FALSE)),"")</f>
        <v/>
      </c>
      <c r="Q30" s="184" t="str">
        <f>IFERROR(IF(VLOOKUP(Thu_W2[[#This Row],[Employee Name]],'Base Schedules'!$A$243:$AW$281,16,FALSE)="","",VLOOKUP(Thu_W2[[#This Row],[Employee Name]],'Base Schedules'!$A$243:$AW$281,16,FALSE)),"")</f>
        <v/>
      </c>
      <c r="R30" s="184" t="str">
        <f>IFERROR(IF(VLOOKUP(Thu_W2[[#This Row],[Employee Name]],'Base Schedules'!$A$243:$AW$281,17,FALSE)="","",VLOOKUP(Thu_W2[[#This Row],[Employee Name]],'Base Schedules'!$A$243:$AW$281,17,FALSE)),"")</f>
        <v/>
      </c>
      <c r="S30" s="184" t="str">
        <f>IFERROR(IF(VLOOKUP(Thu_W2[[#This Row],[Employee Name]],'Base Schedules'!$A$243:$AW$281,18,FALSE)="","",VLOOKUP(Thu_W2[[#This Row],[Employee Name]],'Base Schedules'!$A$243:$AW$281,18,FALSE)),"")</f>
        <v/>
      </c>
      <c r="T30" s="184" t="str">
        <f>IFERROR(IF(VLOOKUP(Thu_W2[[#This Row],[Employee Name]],'Base Schedules'!$A$243:$AW$281,19,FALSE)="","",VLOOKUP(Thu_W2[[#This Row],[Employee Name]],'Base Schedules'!$A$243:$AW$281,19,FALSE)),"")</f>
        <v/>
      </c>
      <c r="U30" s="184" t="str">
        <f>IFERROR(IF(VLOOKUP(Thu_W2[[#This Row],[Employee Name]],'Base Schedules'!$A$243:$AW$281,20,FALSE)="","",VLOOKUP(Thu_W2[[#This Row],[Employee Name]],'Base Schedules'!$A$243:$AW$281,20,FALSE)),"")</f>
        <v/>
      </c>
      <c r="V30" s="184" t="str">
        <f>IFERROR(IF(VLOOKUP(Thu_W2[[#This Row],[Employee Name]],'Base Schedules'!$A$243:$AW$281,21,FALSE)="","",VLOOKUP(Thu_W2[[#This Row],[Employee Name]],'Base Schedules'!$A$243:$AW$281,21,FALSE)),"")</f>
        <v/>
      </c>
      <c r="W30" s="184" t="str">
        <f>IFERROR(IF(VLOOKUP(Thu_W2[[#This Row],[Employee Name]],'Base Schedules'!$A$243:$AW$281,22,FALSE)="","",VLOOKUP(Thu_W2[[#This Row],[Employee Name]],'Base Schedules'!$A$243:$AW$281,22,FALSE)),"")</f>
        <v>ADM</v>
      </c>
      <c r="X30" s="184" t="str">
        <f>IFERROR(IF(VLOOKUP(Thu_W2[[#This Row],[Employee Name]],'Base Schedules'!$A$243:$AW$281,23,FALSE)="","",VLOOKUP(Thu_W2[[#This Row],[Employee Name]],'Base Schedules'!$A$243:$AW$281,23,FALSE)),"")</f>
        <v>ADM</v>
      </c>
      <c r="Y30" s="184" t="str">
        <f>IFERROR(IF(VLOOKUP(Thu_W2[[#This Row],[Employee Name]],'Base Schedules'!$A$243:$AW$281,24,FALSE)="","",VLOOKUP(Thu_W2[[#This Row],[Employee Name]],'Base Schedules'!$A$243:$AW$281,24,FALSE)),"")</f>
        <v>ADM</v>
      </c>
      <c r="Z30" s="184" t="str">
        <f>IFERROR(IF(VLOOKUP(Thu_W2[[#This Row],[Employee Name]],'Base Schedules'!$A$243:$AW$281,25,FALSE)="","",VLOOKUP(Thu_W2[[#This Row],[Employee Name]],'Base Schedules'!$A$243:$AW$281,25,FALSE)),"")</f>
        <v>ADM</v>
      </c>
      <c r="AA30" s="184" t="str">
        <f>IFERROR(IF(VLOOKUP(Thu_W2[[#This Row],[Employee Name]],'Base Schedules'!$A$243:$AW$281,26,FALSE)="","",VLOOKUP(Thu_W2[[#This Row],[Employee Name]],'Base Schedules'!$A$243:$AW$281,26,FALSE)),"")</f>
        <v>ADM B1</v>
      </c>
      <c r="AB30" s="184" t="str">
        <f>IFERROR(IF(VLOOKUP(Thu_W2[[#This Row],[Employee Name]],'Base Schedules'!$A$243:$AW$281,27,FALSE)="","",VLOOKUP(Thu_W2[[#This Row],[Employee Name]],'Base Schedules'!$A$243:$AW$281,27,FALSE)),"")</f>
        <v>HL</v>
      </c>
      <c r="AC30" s="184" t="str">
        <f>IFERROR(IF(VLOOKUP(Thu_W2[[#This Row],[Employee Name]],'Base Schedules'!$A$243:$AW$281,28,FALSE)="","",VLOOKUP(Thu_W2[[#This Row],[Employee Name]],'Base Schedules'!$A$243:$AW$281,28,FALSE)),"")</f>
        <v>HL</v>
      </c>
      <c r="AD30" s="184" t="str">
        <f>IFERROR(IF(VLOOKUP(Thu_W2[[#This Row],[Employee Name]],'Base Schedules'!$A$243:$AW$281,29,FALSE)="","",VLOOKUP(Thu_W2[[#This Row],[Employee Name]],'Base Schedules'!$A$243:$AW$281,29,FALSE)),"")</f>
        <v>HL</v>
      </c>
      <c r="AE30" s="184" t="str">
        <f>IFERROR(IF(VLOOKUP(Thu_W2[[#This Row],[Employee Name]],'Base Schedules'!$A$243:$AW$281,30,FALSE)="","",VLOOKUP(Thu_W2[[#This Row],[Employee Name]],'Base Schedules'!$A$243:$AW$281,30,FALSE)),"")</f>
        <v>HL</v>
      </c>
      <c r="AF30" s="184" t="str">
        <f>IFERROR(IF(VLOOKUP(Thu_W2[[#This Row],[Employee Name]],'Base Schedules'!$A$243:$AW$281,31,FALSE)="","",VLOOKUP(Thu_W2[[#This Row],[Employee Name]],'Base Schedules'!$A$243:$AW$281,31,FALSE)),"")</f>
        <v>LUNCH</v>
      </c>
      <c r="AG30" s="184" t="str">
        <f>IFERROR(IF(VLOOKUP(Thu_W2[[#This Row],[Employee Name]],'Base Schedules'!$A$243:$AW$281,32,FALSE)="","",VLOOKUP(Thu_W2[[#This Row],[Employee Name]],'Base Schedules'!$A$243:$AW$281,32,FALSE)),"")</f>
        <v>HL</v>
      </c>
      <c r="AH30" s="184" t="str">
        <f>IFERROR(IF(VLOOKUP(Thu_W2[[#This Row],[Employee Name]],'Base Schedules'!$A$243:$AW$281,33,FALSE)="","",VLOOKUP(Thu_W2[[#This Row],[Employee Name]],'Base Schedules'!$A$243:$AW$281,33,FALSE)),"")</f>
        <v>HL</v>
      </c>
      <c r="AI30" s="184" t="str">
        <f>IFERROR(IF(VLOOKUP(Thu_W2[[#This Row],[Employee Name]],'Base Schedules'!$A$243:$AW$281,34,FALSE)="","",VLOOKUP(Thu_W2[[#This Row],[Employee Name]],'Base Schedules'!$A$243:$AW$281,34,FALSE)),"")</f>
        <v>ADM B2</v>
      </c>
      <c r="AJ30" s="184" t="str">
        <f>IFERROR(IF(VLOOKUP(Thu_W2[[#This Row],[Employee Name]],'Base Schedules'!$A$243:$AW$281,35,FALSE)="","",VLOOKUP(Thu_W2[[#This Row],[Employee Name]],'Base Schedules'!$A$243:$AW$281,35,FALSE)),"")</f>
        <v>ADM</v>
      </c>
      <c r="AK30" s="184" t="str">
        <f>IFERROR(IF(VLOOKUP(Thu_W2[[#This Row],[Employee Name]],'Base Schedules'!$A$243:$AW$281,36,FALSE)="","",VLOOKUP(Thu_W2[[#This Row],[Employee Name]],'Base Schedules'!$A$243:$AW$281,36,FALSE)),"")</f>
        <v>HL</v>
      </c>
      <c r="AL30" s="184" t="str">
        <f>IFERROR(IF(VLOOKUP(Thu_W2[[#This Row],[Employee Name]],'Base Schedules'!$A$243:$AW$281,37,FALSE)="","",VLOOKUP(Thu_W2[[#This Row],[Employee Name]],'Base Schedules'!$A$243:$AW$281,37,FALSE)),"")</f>
        <v>HL</v>
      </c>
      <c r="AM30" s="184" t="str">
        <f>IFERROR(IF(VLOOKUP(Thu_W2[[#This Row],[Employee Name]],'Base Schedules'!$A$243:$AW$281,38,FALSE)="","",VLOOKUP(Thu_W2[[#This Row],[Employee Name]],'Base Schedules'!$A$243:$AW$281,38,FALSE)),"")</f>
        <v>HL</v>
      </c>
      <c r="AN30" s="184" t="str">
        <f>IFERROR(IF(VLOOKUP(Thu_W2[[#This Row],[Employee Name]],'Base Schedules'!$A$243:$AW$281,39,FALSE)="","",VLOOKUP(Thu_W2[[#This Row],[Employee Name]],'Base Schedules'!$A$243:$AW$281,39,FALSE)),"")</f>
        <v/>
      </c>
      <c r="AO30" s="184" t="str">
        <f>IFERROR(IF(VLOOKUP(Thu_W2[[#This Row],[Employee Name]],'Base Schedules'!$A$243:$AW$281,40,FALSE)="","",VLOOKUP(Thu_W2[[#This Row],[Employee Name]],'Base Schedules'!$A$243:$AW$281,40,FALSE)),"")</f>
        <v/>
      </c>
      <c r="AP30" s="184" t="str">
        <f>IFERROR(IF(VLOOKUP(Thu_W2[[#This Row],[Employee Name]],'Base Schedules'!$A$243:$AW$281,41,FALSE)="","",VLOOKUP(Thu_W2[[#This Row],[Employee Name]],'Base Schedules'!$A$243:$AW$281,41,FALSE)),"")</f>
        <v/>
      </c>
      <c r="AQ30" s="184" t="str">
        <f>IFERROR(IF(VLOOKUP(Thu_W2[[#This Row],[Employee Name]],'Base Schedules'!$A$243:$AW$281,42,FALSE)="","",VLOOKUP(Thu_W2[[#This Row],[Employee Name]],'Base Schedules'!$A$243:$AW$281,42,FALSE)),"")</f>
        <v/>
      </c>
      <c r="AR30" s="184" t="str">
        <f>IFERROR(IF(VLOOKUP(Thu_W2[[#This Row],[Employee Name]],'Base Schedules'!$A$243:$AW$281,43,FALSE)="","",VLOOKUP(Thu_W2[[#This Row],[Employee Name]],'Base Schedules'!$A$243:$AW$281,43,FALSE)),"")</f>
        <v/>
      </c>
      <c r="AS30" s="184" t="str">
        <f>IFERROR(IF(VLOOKUP(Thu_W2[[#This Row],[Employee Name]],'Base Schedules'!$A$243:$AW$281,44,FALSE)="","",VLOOKUP(Thu_W2[[#This Row],[Employee Name]],'Base Schedules'!$A$243:$AW$281,44,FALSE)),"")</f>
        <v/>
      </c>
      <c r="AT30" s="184" t="str">
        <f>IFERROR(IF(VLOOKUP(Thu_W2[[#This Row],[Employee Name]],'Base Schedules'!$A$243:$AW$281,45,FALSE)="","",VLOOKUP(Thu_W2[[#This Row],[Employee Name]],'Base Schedules'!$A$243:$AW$281,45,FALSE)),"")</f>
        <v/>
      </c>
      <c r="AU30" s="184" t="str">
        <f>IFERROR(IF(VLOOKUP(Thu_W2[[#This Row],[Employee Name]],'Base Schedules'!$A$243:$AW$281,46,FALSE)="","",VLOOKUP(Thu_W2[[#This Row],[Employee Name]],'Base Schedules'!$A$243:$AW$281,46,FALSE)),"")</f>
        <v/>
      </c>
      <c r="AV30" s="184" t="str">
        <f>IFERROR(IF(VLOOKUP(Thu_W2[[#This Row],[Employee Name]],'Base Schedules'!$A$243:$AW$281,47,FALSE)="","",VLOOKUP(Thu_W2[[#This Row],[Employee Name]],'Base Schedules'!$A$243:$AW$281,47,FALSE)),"")</f>
        <v/>
      </c>
      <c r="AW30" s="184" t="str">
        <f>IFERROR(IF(VLOOKUP(Thu_W2[[#This Row],[Employee Name]],'Base Schedules'!$A$243:$AW$281,48,FALSE)="","",VLOOKUP(Thu_W2[[#This Row],[Employee Name]],'Base Schedules'!$A$243:$AW$281,48,FALSE)),"")</f>
        <v/>
      </c>
      <c r="AX30" s="184" t="str">
        <f>IFERROR(IF(VLOOKUP(Thu_W2[[#This Row],[Employee Name]],'Base Schedules'!$A$243:$AW$281,49,FALSE)="","",VLOOKUP(Thu_W2[[#This Row],[Employee Name]],'Base Schedules'!$A$243:$AW$281,49,FALSE)),"")</f>
        <v/>
      </c>
      <c r="AY30" s="245" t="str">
        <f t="shared" si="2"/>
        <v>Condon, Heather</v>
      </c>
    </row>
    <row r="31" spans="1:51" s="44" customFormat="1" ht="12" customHeight="1" x14ac:dyDescent="0.2">
      <c r="A31" s="39" t="str">
        <f>IF(B31="","",INDEX(TeamList[],MATCH($B31,TeamList[[Employee Name]:[Employee Name]],0),MATCH("Manager",TeamList[#Headers],0)))</f>
        <v>Olson, Katherine</v>
      </c>
      <c r="B31" s="201" t="s">
        <v>226</v>
      </c>
      <c r="C31" s="257" t="str">
        <f>_xlfn.IFNA(VLOOKUP(Thu_W2[[#This Row],[Employee Name]],'Base Schedules'!A:B,2,FALSE),"")</f>
        <v>Lead</v>
      </c>
      <c r="D31" s="274">
        <f>_xlfn.IFNA(VLOOKUP(Thu_W2[[#This Row],[Employee Name]],'Base Schedules'!A:C,3,FALSE),"")</f>
        <v>1200</v>
      </c>
      <c r="E31" s="274">
        <f>_xlfn.IFNA(VLOOKUP(Thu_W2[[#This Row],[Employee Name]],'Base Schedules'!A:D,4,FALSE),"")</f>
        <v>2030</v>
      </c>
      <c r="F31" s="142">
        <f>IF(Thu_W2[[#This Row],[Employee Name]]="","",IF(Thu_W2[[#This Row],[Dept]]="Supervisor",COUNTIFS($J31:$AX31,"*HL*",$J31:$AX31,"&lt;&gt;"&amp;"pHL"),COUNTIFS($J31:$AX31,"*HL*",$J31:$AX31,"&lt;&gt;"&amp;"*pHL*",$J31:$AX31,"&lt;&gt;"&amp;"pB1 HL",$J31:$AX31,"&lt;&gt;"&amp;"pB2 HL")-SUM(COUNTIFS($J31:$AX31,"*HL B1*",$J31:$AX31,"&lt;&gt;"&amp;"pHL B1")*0.5,COUNTIFS($J31:$AX31,"*HL B2*",$J31:$AX31,"&lt;&gt;"&amp;"pHL B2")*0.5,COUNTIFS($J31:$AX31,"*B1 HL*",$J31:$AX31,"&lt;&gt;"&amp;"pB1 HL")*0.5,COUNTIFS($J31:$AX31,"*B2 HL*",$J31:$AX31,"&lt;&gt;"&amp;"pB2 HL")*0.5)))</f>
        <v>7.5</v>
      </c>
      <c r="G31" s="142">
        <f t="shared" ref="G31:G41" si="3">IF(B31="","",COUNTIFS($J31:$AX31,"*Coaching*",$J31:$AX31,"&lt;&gt;"&amp;"pTM",$J31:$AX31,"&lt;&gt;"&amp;"uTM"))</f>
        <v>0</v>
      </c>
      <c r="H31" s="142">
        <f t="shared" si="1"/>
        <v>6</v>
      </c>
      <c r="I31" s="142">
        <f>IF(Thu_W2[[#This Row],[Employee Name]]="","",IF(Thu_W2[[#This Row],[Dept]]="Supervisor",SUM(COUNTIFS($J31:$AX31,"RTA*",$J31:$AX31,"&lt;&gt;"&amp;"pRTA"),COUNTIFS($J31:$AX31,"*CRTA*",$J31:$AX31,"&lt;&gt;"&amp;"pCRTA")),COUNTIFS($J31:$AX31,"*RNNR*",$J31:$AX31,"&lt;&gt;"&amp;"*pRNNR*",$J31:$AX31,"&lt;&gt;"&amp;"pB1 RNNR",$J31:$AX31,"&lt;&gt;"&amp;"pB2 RNNR")-SUM(COUNTIFS($J31:$AX31,"*RNNR B1*",$J31:$AX31,"&lt;&gt;"&amp;"pRNNR B1")*0.5,COUNTIFS($J31:$AX31,"*RNNR B2*",$J31:$AX31,"&lt;&gt;"&amp;"pRNNR B2")*0.5,COUNTIFS($J31:$AX31,"*B1 RNNR*",$J31:$AX31,"&lt;&gt;"&amp;"pB1 RNNR")*0.5,COUNTIFS($J31:$AX31,"*B2 RNNR*",$J31:$AX31,"&lt;&gt;"&amp;"pB2 RNNR")*0.5)))</f>
        <v>2</v>
      </c>
      <c r="J31" s="184" t="str">
        <f>IFERROR(IF(VLOOKUP(Thu_W2[[#This Row],[Employee Name]],'Base Schedules'!$A$243:$AW$281,9,FALSE)="","",VLOOKUP(Thu_W2[[#This Row],[Employee Name]],'Base Schedules'!$A$243:$AW$281,9,FALSE)),"")</f>
        <v/>
      </c>
      <c r="K31" s="184" t="str">
        <f>IFERROR(IF(VLOOKUP(Thu_W2[[#This Row],[Employee Name]],'Base Schedules'!$A$243:$AW$281,10,FALSE)="","",VLOOKUP(Thu_W2[[#This Row],[Employee Name]],'Base Schedules'!$A$243:$AW$281,10,FALSE)),"")</f>
        <v/>
      </c>
      <c r="L31" s="184" t="str">
        <f>IFERROR(IF(VLOOKUP(Thu_W2[[#This Row],[Employee Name]],'Base Schedules'!$A$243:$AW$281,11,FALSE)="","",VLOOKUP(Thu_W2[[#This Row],[Employee Name]],'Base Schedules'!$A$243:$AW$281,11,FALSE)),"")</f>
        <v/>
      </c>
      <c r="M31" s="184" t="str">
        <f>IFERROR(IF(VLOOKUP(Thu_W2[[#This Row],[Employee Name]],'Base Schedules'!$A$243:$AW$281,12,FALSE)="","",VLOOKUP(Thu_W2[[#This Row],[Employee Name]],'Base Schedules'!$A$243:$AW$281,12,FALSE)),"")</f>
        <v/>
      </c>
      <c r="N31" s="184" t="str">
        <f>IFERROR(IF(VLOOKUP(Thu_W2[[#This Row],[Employee Name]],'Base Schedules'!$A$243:$AW$281,13,FALSE)="","",VLOOKUP(Thu_W2[[#This Row],[Employee Name]],'Base Schedules'!$A$243:$AW$281,13,FALSE)),"")</f>
        <v/>
      </c>
      <c r="O31" s="184" t="str">
        <f>IFERROR(IF(VLOOKUP(Thu_W2[[#This Row],[Employee Name]],'Base Schedules'!$A$243:$AW$281,14,FALSE)="","",VLOOKUP(Thu_W2[[#This Row],[Employee Name]],'Base Schedules'!$A$243:$AW$281,14,FALSE)),"")</f>
        <v/>
      </c>
      <c r="P31" s="184" t="str">
        <f>IFERROR(IF(VLOOKUP(Thu_W2[[#This Row],[Employee Name]],'Base Schedules'!$A$243:$AW$281,15,FALSE)="","",VLOOKUP(Thu_W2[[#This Row],[Employee Name]],'Base Schedules'!$A$243:$AW$281,15,FALSE)),"")</f>
        <v/>
      </c>
      <c r="Q31" s="184" t="str">
        <f>IFERROR(IF(VLOOKUP(Thu_W2[[#This Row],[Employee Name]],'Base Schedules'!$A$243:$AW$281,16,FALSE)="","",VLOOKUP(Thu_W2[[#This Row],[Employee Name]],'Base Schedules'!$A$243:$AW$281,16,FALSE)),"")</f>
        <v/>
      </c>
      <c r="R31" s="184" t="str">
        <f>IFERROR(IF(VLOOKUP(Thu_W2[[#This Row],[Employee Name]],'Base Schedules'!$A$243:$AW$281,17,FALSE)="","",VLOOKUP(Thu_W2[[#This Row],[Employee Name]],'Base Schedules'!$A$243:$AW$281,17,FALSE)),"")</f>
        <v/>
      </c>
      <c r="S31" s="184" t="str">
        <f>IFERROR(IF(VLOOKUP(Thu_W2[[#This Row],[Employee Name]],'Base Schedules'!$A$243:$AW$281,18,FALSE)="","",VLOOKUP(Thu_W2[[#This Row],[Employee Name]],'Base Schedules'!$A$243:$AW$281,18,FALSE)),"")</f>
        <v/>
      </c>
      <c r="T31" s="184" t="str">
        <f>IFERROR(IF(VLOOKUP(Thu_W2[[#This Row],[Employee Name]],'Base Schedules'!$A$243:$AW$281,19,FALSE)="","",VLOOKUP(Thu_W2[[#This Row],[Employee Name]],'Base Schedules'!$A$243:$AW$281,19,FALSE)),"")</f>
        <v/>
      </c>
      <c r="U31" s="184" t="str">
        <f>IFERROR(IF(VLOOKUP(Thu_W2[[#This Row],[Employee Name]],'Base Schedules'!$A$243:$AW$281,20,FALSE)="","",VLOOKUP(Thu_W2[[#This Row],[Employee Name]],'Base Schedules'!$A$243:$AW$281,20,FALSE)),"")</f>
        <v/>
      </c>
      <c r="V31" s="184" t="str">
        <f>IFERROR(IF(VLOOKUP(Thu_W2[[#This Row],[Employee Name]],'Base Schedules'!$A$243:$AW$281,21,FALSE)="","",VLOOKUP(Thu_W2[[#This Row],[Employee Name]],'Base Schedules'!$A$243:$AW$281,21,FALSE)),"")</f>
        <v/>
      </c>
      <c r="W31" s="184" t="str">
        <f>IFERROR(IF(VLOOKUP(Thu_W2[[#This Row],[Employee Name]],'Base Schedules'!$A$243:$AW$281,22,FALSE)="","",VLOOKUP(Thu_W2[[#This Row],[Employee Name]],'Base Schedules'!$A$243:$AW$281,22,FALSE)),"")</f>
        <v/>
      </c>
      <c r="X31" s="184" t="str">
        <f>IFERROR(IF(VLOOKUP(Thu_W2[[#This Row],[Employee Name]],'Base Schedules'!$A$243:$AW$281,23,FALSE)="","",VLOOKUP(Thu_W2[[#This Row],[Employee Name]],'Base Schedules'!$A$243:$AW$281,23,FALSE)),"")</f>
        <v>ADM</v>
      </c>
      <c r="Y31" s="184" t="str">
        <f>IFERROR(IF(VLOOKUP(Thu_W2[[#This Row],[Employee Name]],'Base Schedules'!$A$243:$AW$281,24,FALSE)="","",VLOOKUP(Thu_W2[[#This Row],[Employee Name]],'Base Schedules'!$A$243:$AW$281,24,FALSE)),"")</f>
        <v>HL</v>
      </c>
      <c r="Z31" s="184" t="str">
        <f>IFERROR(IF(VLOOKUP(Thu_W2[[#This Row],[Employee Name]],'Base Schedules'!$A$243:$AW$281,25,FALSE)="","",VLOOKUP(Thu_W2[[#This Row],[Employee Name]],'Base Schedules'!$A$243:$AW$281,25,FALSE)),"")</f>
        <v>RNNR</v>
      </c>
      <c r="AA31" s="184" t="str">
        <f>IFERROR(IF(VLOOKUP(Thu_W2[[#This Row],[Employee Name]],'Base Schedules'!$A$243:$AW$281,26,FALSE)="","",VLOOKUP(Thu_W2[[#This Row],[Employee Name]],'Base Schedules'!$A$243:$AW$281,26,FALSE)),"")</f>
        <v>RNNR</v>
      </c>
      <c r="AB31" s="184" t="str">
        <f>IFERROR(IF(VLOOKUP(Thu_W2[[#This Row],[Employee Name]],'Base Schedules'!$A$243:$AW$281,27,FALSE)="","",VLOOKUP(Thu_W2[[#This Row],[Employee Name]],'Base Schedules'!$A$243:$AW$281,27,FALSE)),"")</f>
        <v>B1 ADM</v>
      </c>
      <c r="AC31" s="184" t="str">
        <f>IFERROR(IF(VLOOKUP(Thu_W2[[#This Row],[Employee Name]],'Base Schedules'!$A$243:$AW$281,28,FALSE)="","",VLOOKUP(Thu_W2[[#This Row],[Employee Name]],'Base Schedules'!$A$243:$AW$281,28,FALSE)),"")</f>
        <v>ADM</v>
      </c>
      <c r="AD31" s="184" t="str">
        <f>IFERROR(IF(VLOOKUP(Thu_W2[[#This Row],[Employee Name]],'Base Schedules'!$A$243:$AW$281,29,FALSE)="","",VLOOKUP(Thu_W2[[#This Row],[Employee Name]],'Base Schedules'!$A$243:$AW$281,29,FALSE)),"")</f>
        <v>HL</v>
      </c>
      <c r="AE31" s="184" t="str">
        <f>IFERROR(IF(VLOOKUP(Thu_W2[[#This Row],[Employee Name]],'Base Schedules'!$A$243:$AW$281,30,FALSE)="","",VLOOKUP(Thu_W2[[#This Row],[Employee Name]],'Base Schedules'!$A$243:$AW$281,30,FALSE)),"")</f>
        <v>HL</v>
      </c>
      <c r="AF31" s="184" t="str">
        <f>IFERROR(IF(VLOOKUP(Thu_W2[[#This Row],[Employee Name]],'Base Schedules'!$A$243:$AW$281,31,FALSE)="","",VLOOKUP(Thu_W2[[#This Row],[Employee Name]],'Base Schedules'!$A$243:$AW$281,31,FALSE)),"")</f>
        <v>HL</v>
      </c>
      <c r="AG31" s="184" t="str">
        <f>IFERROR(IF(VLOOKUP(Thu_W2[[#This Row],[Employee Name]],'Base Schedules'!$A$243:$AW$281,32,FALSE)="","",VLOOKUP(Thu_W2[[#This Row],[Employee Name]],'Base Schedules'!$A$243:$AW$281,32,FALSE)),"")</f>
        <v>LUNCH</v>
      </c>
      <c r="AH31" s="184" t="str">
        <f>IFERROR(IF(VLOOKUP(Thu_W2[[#This Row],[Employee Name]],'Base Schedules'!$A$243:$AW$281,33,FALSE)="","",VLOOKUP(Thu_W2[[#This Row],[Employee Name]],'Base Schedules'!$A$243:$AW$281,33,FALSE)),"")</f>
        <v>HL</v>
      </c>
      <c r="AI31" s="184" t="str">
        <f>IFERROR(IF(VLOOKUP(Thu_W2[[#This Row],[Employee Name]],'Base Schedules'!$A$243:$AW$281,34,FALSE)="","",VLOOKUP(Thu_W2[[#This Row],[Employee Name]],'Base Schedules'!$A$243:$AW$281,34,FALSE)),"")</f>
        <v>ADM</v>
      </c>
      <c r="AJ31" s="184" t="str">
        <f>IFERROR(IF(VLOOKUP(Thu_W2[[#This Row],[Employee Name]],'Base Schedules'!$A$243:$AW$281,35,FALSE)="","",VLOOKUP(Thu_W2[[#This Row],[Employee Name]],'Base Schedules'!$A$243:$AW$281,35,FALSE)),"")</f>
        <v>HL B2</v>
      </c>
      <c r="AK31" s="184" t="str">
        <f>IFERROR(IF(VLOOKUP(Thu_W2[[#This Row],[Employee Name]],'Base Schedules'!$A$243:$AW$281,36,FALSE)="","",VLOOKUP(Thu_W2[[#This Row],[Employee Name]],'Base Schedules'!$A$243:$AW$281,36,FALSE)),"")</f>
        <v>HL</v>
      </c>
      <c r="AL31" s="184" t="str">
        <f>IFERROR(IF(VLOOKUP(Thu_W2[[#This Row],[Employee Name]],'Base Schedules'!$A$243:$AW$281,37,FALSE)="","",VLOOKUP(Thu_W2[[#This Row],[Employee Name]],'Base Schedules'!$A$243:$AW$281,37,FALSE)),"")</f>
        <v>HL</v>
      </c>
      <c r="AM31" s="184" t="str">
        <f>IFERROR(IF(VLOOKUP(Thu_W2[[#This Row],[Employee Name]],'Base Schedules'!$A$243:$AW$281,38,FALSE)="","",VLOOKUP(Thu_W2[[#This Row],[Employee Name]],'Base Schedules'!$A$243:$AW$281,38,FALSE)),"")</f>
        <v>ADM</v>
      </c>
      <c r="AN31" s="184" t="str">
        <f>IFERROR(IF(VLOOKUP(Thu_W2[[#This Row],[Employee Name]],'Base Schedules'!$A$243:$AW$281,39,FALSE)="","",VLOOKUP(Thu_W2[[#This Row],[Employee Name]],'Base Schedules'!$A$243:$AW$281,39,FALSE)),"")</f>
        <v>ADM</v>
      </c>
      <c r="AO31" s="184" t="str">
        <f>IFERROR(IF(VLOOKUP(Thu_W2[[#This Row],[Employee Name]],'Base Schedules'!$A$243:$AW$281,40,FALSE)="","",VLOOKUP(Thu_W2[[#This Row],[Employee Name]],'Base Schedules'!$A$243:$AW$281,40,FALSE)),"")</f>
        <v/>
      </c>
      <c r="AP31" s="184" t="str">
        <f>IFERROR(IF(VLOOKUP(Thu_W2[[#This Row],[Employee Name]],'Base Schedules'!$A$243:$AW$281,41,FALSE)="","",VLOOKUP(Thu_W2[[#This Row],[Employee Name]],'Base Schedules'!$A$243:$AW$281,41,FALSE)),"")</f>
        <v/>
      </c>
      <c r="AQ31" s="184" t="str">
        <f>IFERROR(IF(VLOOKUP(Thu_W2[[#This Row],[Employee Name]],'Base Schedules'!$A$243:$AW$281,42,FALSE)="","",VLOOKUP(Thu_W2[[#This Row],[Employee Name]],'Base Schedules'!$A$243:$AW$281,42,FALSE)),"")</f>
        <v/>
      </c>
      <c r="AR31" s="184" t="str">
        <f>IFERROR(IF(VLOOKUP(Thu_W2[[#This Row],[Employee Name]],'Base Schedules'!$A$243:$AW$281,43,FALSE)="","",VLOOKUP(Thu_W2[[#This Row],[Employee Name]],'Base Schedules'!$A$243:$AW$281,43,FALSE)),"")</f>
        <v/>
      </c>
      <c r="AS31" s="184" t="str">
        <f>IFERROR(IF(VLOOKUP(Thu_W2[[#This Row],[Employee Name]],'Base Schedules'!$A$243:$AW$281,44,FALSE)="","",VLOOKUP(Thu_W2[[#This Row],[Employee Name]],'Base Schedules'!$A$243:$AW$281,44,FALSE)),"")</f>
        <v/>
      </c>
      <c r="AT31" s="184" t="str">
        <f>IFERROR(IF(VLOOKUP(Thu_W2[[#This Row],[Employee Name]],'Base Schedules'!$A$243:$AW$281,45,FALSE)="","",VLOOKUP(Thu_W2[[#This Row],[Employee Name]],'Base Schedules'!$A$243:$AW$281,45,FALSE)),"")</f>
        <v/>
      </c>
      <c r="AU31" s="184" t="str">
        <f>IFERROR(IF(VLOOKUP(Thu_W2[[#This Row],[Employee Name]],'Base Schedules'!$A$243:$AW$281,46,FALSE)="","",VLOOKUP(Thu_W2[[#This Row],[Employee Name]],'Base Schedules'!$A$243:$AW$281,46,FALSE)),"")</f>
        <v/>
      </c>
      <c r="AV31" s="184" t="str">
        <f>IFERROR(IF(VLOOKUP(Thu_W2[[#This Row],[Employee Name]],'Base Schedules'!$A$243:$AW$281,47,FALSE)="","",VLOOKUP(Thu_W2[[#This Row],[Employee Name]],'Base Schedules'!$A$243:$AW$281,47,FALSE)),"")</f>
        <v/>
      </c>
      <c r="AW31" s="184" t="str">
        <f>IFERROR(IF(VLOOKUP(Thu_W2[[#This Row],[Employee Name]],'Base Schedules'!$A$243:$AW$281,48,FALSE)="","",VLOOKUP(Thu_W2[[#This Row],[Employee Name]],'Base Schedules'!$A$243:$AW$281,48,FALSE)),"")</f>
        <v/>
      </c>
      <c r="AX31" s="184" t="str">
        <f>IFERROR(IF(VLOOKUP(Thu_W2[[#This Row],[Employee Name]],'Base Schedules'!$A$243:$AW$281,49,FALSE)="","",VLOOKUP(Thu_W2[[#This Row],[Employee Name]],'Base Schedules'!$A$243:$AW$281,49,FALSE)),"")</f>
        <v/>
      </c>
      <c r="AY31" s="245" t="str">
        <f t="shared" si="2"/>
        <v>Harding, Mickeya</v>
      </c>
    </row>
    <row r="32" spans="1:51" s="44" customFormat="1" ht="12" customHeight="1" x14ac:dyDescent="0.2">
      <c r="A32" s="39" t="str">
        <f>IF(B32="","",INDEX(TeamList[],MATCH($B32,TeamList[[Employee Name]:[Employee Name]],0),MATCH("Manager",TeamList[#Headers],0)))</f>
        <v>Ahmed Hassan, Zahra</v>
      </c>
      <c r="B32" s="201" t="s">
        <v>63</v>
      </c>
      <c r="C32" s="257" t="str">
        <f>_xlfn.IFNA(VLOOKUP(Thu_W2[[#This Row],[Employee Name]],'Base Schedules'!A:B,2,FALSE),"")</f>
        <v>Supervisor</v>
      </c>
      <c r="D32" s="274">
        <f>_xlfn.IFNA(VLOOKUP(Thu_W2[[#This Row],[Employee Name]],'Base Schedules'!A:C,3,FALSE),"")</f>
        <v>1200</v>
      </c>
      <c r="E32" s="274">
        <f>_xlfn.IFNA(VLOOKUP(Thu_W2[[#This Row],[Employee Name]],'Base Schedules'!A:D,4,FALSE),"")</f>
        <v>2100</v>
      </c>
      <c r="F32" s="142">
        <f>IF(Thu_W2[[#This Row],[Employee Name]]="","",IF(Thu_W2[[#This Row],[Dept]]="Supervisor",COUNTIFS($J32:$AX32,"*HL*",$J32:$AX32,"&lt;&gt;"&amp;"pHL"),COUNTIFS($J32:$AX32,"*HL*",$J32:$AX32,"&lt;&gt;"&amp;"*pHL*",$J32:$AX32,"&lt;&gt;"&amp;"pB1 HL",$J32:$AX32,"&lt;&gt;"&amp;"pB2 HL")-SUM(COUNTIFS($J32:$AX32,"*HL B1*",$J32:$AX32,"&lt;&gt;"&amp;"pHL B1")*0.5,COUNTIFS($J32:$AX32,"*HL B2*",$J32:$AX32,"&lt;&gt;"&amp;"pHL B2")*0.5,COUNTIFS($J32:$AX32,"*B1 HL*",$J32:$AX32,"&lt;&gt;"&amp;"pB1 HL")*0.5,COUNTIFS($J32:$AX32,"*B2 HL*",$J32:$AX32,"&lt;&gt;"&amp;"pB2 HL")*0.5)))</f>
        <v>0</v>
      </c>
      <c r="G32" s="142">
        <f t="shared" si="3"/>
        <v>4</v>
      </c>
      <c r="H32" s="142">
        <f t="shared" si="1"/>
        <v>0</v>
      </c>
      <c r="I32" s="142">
        <f>IF(Thu_W2[[#This Row],[Employee Name]]="","",IF(Thu_W2[[#This Row],[Dept]]="Supervisor",SUM(COUNTIFS($J32:$AX32,"RTA*",$J32:$AX32,"&lt;&gt;"&amp;"pRTA"),COUNTIFS($J32:$AX32,"*CRTA*",$J32:$AX32,"&lt;&gt;"&amp;"pCRTA")),COUNTIFS($J32:$AX32,"*RNNR*",$J32:$AX32,"&lt;&gt;"&amp;"*pRNNR*",$J32:$AX32,"&lt;&gt;"&amp;"pB1 RNNR",$J32:$AX32,"&lt;&gt;"&amp;"pB2 RNNR")-SUM(COUNTIFS($J32:$AX32,"*RNNR B1*",$J32:$AX32,"&lt;&gt;"&amp;"pRNNR B1")*0.5,COUNTIFS($J32:$AX32,"*RNNR B2*",$J32:$AX32,"&lt;&gt;"&amp;"pRNNR B2")*0.5,COUNTIFS($J32:$AX32,"*B1 RNNR*",$J32:$AX32,"&lt;&gt;"&amp;"pB1 RNNR")*0.5,COUNTIFS($J32:$AX32,"*B2 RNNR*",$J32:$AX32,"&lt;&gt;"&amp;"pB2 RNNR")*0.5)))</f>
        <v>0</v>
      </c>
      <c r="J32" s="184" t="str">
        <f>IFERROR(IF(VLOOKUP(Thu_W2[[#This Row],[Employee Name]],'Base Schedules'!$A$243:$AW$281,9,FALSE)="","",VLOOKUP(Thu_W2[[#This Row],[Employee Name]],'Base Schedules'!$A$243:$AW$281,9,FALSE)),"")</f>
        <v/>
      </c>
      <c r="K32" s="184" t="str">
        <f>IFERROR(IF(VLOOKUP(Thu_W2[[#This Row],[Employee Name]],'Base Schedules'!$A$243:$AW$281,10,FALSE)="","",VLOOKUP(Thu_W2[[#This Row],[Employee Name]],'Base Schedules'!$A$243:$AW$281,10,FALSE)),"")</f>
        <v/>
      </c>
      <c r="L32" s="184" t="str">
        <f>IFERROR(IF(VLOOKUP(Thu_W2[[#This Row],[Employee Name]],'Base Schedules'!$A$243:$AW$281,11,FALSE)="","",VLOOKUP(Thu_W2[[#This Row],[Employee Name]],'Base Schedules'!$A$243:$AW$281,11,FALSE)),"")</f>
        <v/>
      </c>
      <c r="M32" s="184" t="str">
        <f>IFERROR(IF(VLOOKUP(Thu_W2[[#This Row],[Employee Name]],'Base Schedules'!$A$243:$AW$281,12,FALSE)="","",VLOOKUP(Thu_W2[[#This Row],[Employee Name]],'Base Schedules'!$A$243:$AW$281,12,FALSE)),"")</f>
        <v/>
      </c>
      <c r="N32" s="184" t="str">
        <f>IFERROR(IF(VLOOKUP(Thu_W2[[#This Row],[Employee Name]],'Base Schedules'!$A$243:$AW$281,13,FALSE)="","",VLOOKUP(Thu_W2[[#This Row],[Employee Name]],'Base Schedules'!$A$243:$AW$281,13,FALSE)),"")</f>
        <v/>
      </c>
      <c r="O32" s="184" t="str">
        <f>IFERROR(IF(VLOOKUP(Thu_W2[[#This Row],[Employee Name]],'Base Schedules'!$A$243:$AW$281,14,FALSE)="","",VLOOKUP(Thu_W2[[#This Row],[Employee Name]],'Base Schedules'!$A$243:$AW$281,14,FALSE)),"")</f>
        <v/>
      </c>
      <c r="P32" s="184" t="str">
        <f>IFERROR(IF(VLOOKUP(Thu_W2[[#This Row],[Employee Name]],'Base Schedules'!$A$243:$AW$281,15,FALSE)="","",VLOOKUP(Thu_W2[[#This Row],[Employee Name]],'Base Schedules'!$A$243:$AW$281,15,FALSE)),"")</f>
        <v/>
      </c>
      <c r="Q32" s="184" t="str">
        <f>IFERROR(IF(VLOOKUP(Thu_W2[[#This Row],[Employee Name]],'Base Schedules'!$A$243:$AW$281,16,FALSE)="","",VLOOKUP(Thu_W2[[#This Row],[Employee Name]],'Base Schedules'!$A$243:$AW$281,16,FALSE)),"")</f>
        <v/>
      </c>
      <c r="R32" s="184" t="str">
        <f>IFERROR(IF(VLOOKUP(Thu_W2[[#This Row],[Employee Name]],'Base Schedules'!$A$243:$AW$281,17,FALSE)="","",VLOOKUP(Thu_W2[[#This Row],[Employee Name]],'Base Schedules'!$A$243:$AW$281,17,FALSE)),"")</f>
        <v/>
      </c>
      <c r="S32" s="184" t="str">
        <f>IFERROR(IF(VLOOKUP(Thu_W2[[#This Row],[Employee Name]],'Base Schedules'!$A$243:$AW$281,18,FALSE)="","",VLOOKUP(Thu_W2[[#This Row],[Employee Name]],'Base Schedules'!$A$243:$AW$281,18,FALSE)),"")</f>
        <v/>
      </c>
      <c r="T32" s="184" t="str">
        <f>IFERROR(IF(VLOOKUP(Thu_W2[[#This Row],[Employee Name]],'Base Schedules'!$A$243:$AW$281,19,FALSE)="","",VLOOKUP(Thu_W2[[#This Row],[Employee Name]],'Base Schedules'!$A$243:$AW$281,19,FALSE)),"")</f>
        <v/>
      </c>
      <c r="U32" s="184" t="str">
        <f>IFERROR(IF(VLOOKUP(Thu_W2[[#This Row],[Employee Name]],'Base Schedules'!$A$243:$AW$281,20,FALSE)="","",VLOOKUP(Thu_W2[[#This Row],[Employee Name]],'Base Schedules'!$A$243:$AW$281,20,FALSE)),"")</f>
        <v/>
      </c>
      <c r="V32" s="184" t="str">
        <f>IFERROR(IF(VLOOKUP(Thu_W2[[#This Row],[Employee Name]],'Base Schedules'!$A$243:$AW$281,21,FALSE)="","",VLOOKUP(Thu_W2[[#This Row],[Employee Name]],'Base Schedules'!$A$243:$AW$281,21,FALSE)),"")</f>
        <v/>
      </c>
      <c r="W32" s="184" t="str">
        <f>IFERROR(IF(VLOOKUP(Thu_W2[[#This Row],[Employee Name]],'Base Schedules'!$A$243:$AW$281,22,FALSE)="","",VLOOKUP(Thu_W2[[#This Row],[Employee Name]],'Base Schedules'!$A$243:$AW$281,22,FALSE)),"")</f>
        <v/>
      </c>
      <c r="X32" s="184" t="str">
        <f>IFERROR(IF(VLOOKUP(Thu_W2[[#This Row],[Employee Name]],'Base Schedules'!$A$243:$AW$281,23,FALSE)="","",VLOOKUP(Thu_W2[[#This Row],[Employee Name]],'Base Schedules'!$A$243:$AW$281,23,FALSE)),"")</f>
        <v>-</v>
      </c>
      <c r="Y32" s="184" t="str">
        <f>IFERROR(IF(VLOOKUP(Thu_W2[[#This Row],[Employee Name]],'Base Schedules'!$A$243:$AW$281,24,FALSE)="","",VLOOKUP(Thu_W2[[#This Row],[Employee Name]],'Base Schedules'!$A$243:$AW$281,24,FALSE)),"")</f>
        <v>-</v>
      </c>
      <c r="Z32" s="184" t="str">
        <f>IFERROR(IF(VLOOKUP(Thu_W2[[#This Row],[Employee Name]],'Base Schedules'!$A$243:$AW$281,25,FALSE)="","",VLOOKUP(Thu_W2[[#This Row],[Employee Name]],'Base Schedules'!$A$243:$AW$281,25,FALSE)),"")</f>
        <v>-</v>
      </c>
      <c r="AA32" s="184" t="str">
        <f>IFERROR(IF(VLOOKUP(Thu_W2[[#This Row],[Employee Name]],'Base Schedules'!$A$243:$AW$281,26,FALSE)="","",VLOOKUP(Thu_W2[[#This Row],[Employee Name]],'Base Schedules'!$A$243:$AW$281,26,FALSE)),"")</f>
        <v>-</v>
      </c>
      <c r="AB32" s="184" t="str">
        <f>IFERROR(IF(VLOOKUP(Thu_W2[[#This Row],[Employee Name]],'Base Schedules'!$A$243:$AW$281,27,FALSE)="","",VLOOKUP(Thu_W2[[#This Row],[Employee Name]],'Base Schedules'!$A$243:$AW$281,27,FALSE)),"")</f>
        <v>Interview</v>
      </c>
      <c r="AC32" s="184" t="str">
        <f>IFERROR(IF(VLOOKUP(Thu_W2[[#This Row],[Employee Name]],'Base Schedules'!$A$243:$AW$281,28,FALSE)="","",VLOOKUP(Thu_W2[[#This Row],[Employee Name]],'Base Schedules'!$A$243:$AW$281,28,FALSE)),"")</f>
        <v>Interview</v>
      </c>
      <c r="AD32" s="184" t="str">
        <f>IFERROR(IF(VLOOKUP(Thu_W2[[#This Row],[Employee Name]],'Base Schedules'!$A$243:$AW$281,29,FALSE)="","",VLOOKUP(Thu_W2[[#This Row],[Employee Name]],'Base Schedules'!$A$243:$AW$281,29,FALSE)),"")</f>
        <v>-</v>
      </c>
      <c r="AE32" s="184" t="str">
        <f>IFERROR(IF(VLOOKUP(Thu_W2[[#This Row],[Employee Name]],'Base Schedules'!$A$243:$AW$281,30,FALSE)="","",VLOOKUP(Thu_W2[[#This Row],[Employee Name]],'Base Schedules'!$A$243:$AW$281,30,FALSE)),"")</f>
        <v>-</v>
      </c>
      <c r="AF32" s="184" t="str">
        <f>IFERROR(IF(VLOOKUP(Thu_W2[[#This Row],[Employee Name]],'Base Schedules'!$A$243:$AW$281,31,FALSE)="","",VLOOKUP(Thu_W2[[#This Row],[Employee Name]],'Base Schedules'!$A$243:$AW$281,31,FALSE)),"")</f>
        <v>-</v>
      </c>
      <c r="AG32" s="184" t="str">
        <f>IFERROR(IF(VLOOKUP(Thu_W2[[#This Row],[Employee Name]],'Base Schedules'!$A$243:$AW$281,32,FALSE)="","",VLOOKUP(Thu_W2[[#This Row],[Employee Name]],'Base Schedules'!$A$243:$AW$281,32,FALSE)),"")</f>
        <v>TM PREP</v>
      </c>
      <c r="AH32" s="184" t="str">
        <f>IFERROR(IF(VLOOKUP(Thu_W2[[#This Row],[Employee Name]],'Base Schedules'!$A$243:$AW$281,33,FALSE)="","",VLOOKUP(Thu_W2[[#This Row],[Employee Name]],'Base Schedules'!$A$243:$AW$281,33,FALSE)),"")</f>
        <v>CONNER TM</v>
      </c>
      <c r="AI32" s="184" t="str">
        <f>IFERROR(IF(VLOOKUP(Thu_W2[[#This Row],[Employee Name]],'Base Schedules'!$A$243:$AW$281,34,FALSE)="","",VLOOKUP(Thu_W2[[#This Row],[Employee Name]],'Base Schedules'!$A$243:$AW$281,34,FALSE)),"")</f>
        <v>CONNER TM</v>
      </c>
      <c r="AJ32" s="184" t="str">
        <f>IFERROR(IF(VLOOKUP(Thu_W2[[#This Row],[Employee Name]],'Base Schedules'!$A$243:$AW$281,35,FALSE)="","",VLOOKUP(Thu_W2[[#This Row],[Employee Name]],'Base Schedules'!$A$243:$AW$281,35,FALSE)),"")</f>
        <v>-</v>
      </c>
      <c r="AK32" s="184" t="str">
        <f>IFERROR(IF(VLOOKUP(Thu_W2[[#This Row],[Employee Name]],'Base Schedules'!$A$243:$AW$281,36,FALSE)="","",VLOOKUP(Thu_W2[[#This Row],[Employee Name]],'Base Schedules'!$A$243:$AW$281,36,FALSE)),"")</f>
        <v>Coaching</v>
      </c>
      <c r="AL32" s="184" t="str">
        <f>IFERROR(IF(VLOOKUP(Thu_W2[[#This Row],[Employee Name]],'Base Schedules'!$A$243:$AW$281,37,FALSE)="","",VLOOKUP(Thu_W2[[#This Row],[Employee Name]],'Base Schedules'!$A$243:$AW$281,37,FALSE)),"")</f>
        <v>Coaching</v>
      </c>
      <c r="AM32" s="184" t="str">
        <f>IFERROR(IF(VLOOKUP(Thu_W2[[#This Row],[Employee Name]],'Base Schedules'!$A$243:$AW$281,38,FALSE)="","",VLOOKUP(Thu_W2[[#This Row],[Employee Name]],'Base Schedules'!$A$243:$AW$281,38,FALSE)),"")</f>
        <v>Coaching</v>
      </c>
      <c r="AN32" s="184" t="str">
        <f>IFERROR(IF(VLOOKUP(Thu_W2[[#This Row],[Employee Name]],'Base Schedules'!$A$243:$AW$281,39,FALSE)="","",VLOOKUP(Thu_W2[[#This Row],[Employee Name]],'Base Schedules'!$A$243:$AW$281,39,FALSE)),"")</f>
        <v>Coaching</v>
      </c>
      <c r="AO32" s="184" t="str">
        <f>IFERROR(IF(VLOOKUP(Thu_W2[[#This Row],[Employee Name]],'Base Schedules'!$A$243:$AW$281,40,FALSE)="","",VLOOKUP(Thu_W2[[#This Row],[Employee Name]],'Base Schedules'!$A$243:$AW$281,40,FALSE)),"")</f>
        <v>-</v>
      </c>
      <c r="AP32" s="184" t="str">
        <f>IFERROR(IF(VLOOKUP(Thu_W2[[#This Row],[Employee Name]],'Base Schedules'!$A$243:$AW$281,41,FALSE)="","",VLOOKUP(Thu_W2[[#This Row],[Employee Name]],'Base Schedules'!$A$243:$AW$281,41,FALSE)),"")</f>
        <v/>
      </c>
      <c r="AQ32" s="184" t="str">
        <f>IFERROR(IF(VLOOKUP(Thu_W2[[#This Row],[Employee Name]],'Base Schedules'!$A$243:$AW$281,42,FALSE)="","",VLOOKUP(Thu_W2[[#This Row],[Employee Name]],'Base Schedules'!$A$243:$AW$281,42,FALSE)),"")</f>
        <v/>
      </c>
      <c r="AR32" s="184" t="str">
        <f>IFERROR(IF(VLOOKUP(Thu_W2[[#This Row],[Employee Name]],'Base Schedules'!$A$243:$AW$281,43,FALSE)="","",VLOOKUP(Thu_W2[[#This Row],[Employee Name]],'Base Schedules'!$A$243:$AW$281,43,FALSE)),"")</f>
        <v/>
      </c>
      <c r="AS32" s="184" t="str">
        <f>IFERROR(IF(VLOOKUP(Thu_W2[[#This Row],[Employee Name]],'Base Schedules'!$A$243:$AW$281,44,FALSE)="","",VLOOKUP(Thu_W2[[#This Row],[Employee Name]],'Base Schedules'!$A$243:$AW$281,44,FALSE)),"")</f>
        <v/>
      </c>
      <c r="AT32" s="184" t="str">
        <f>IFERROR(IF(VLOOKUP(Thu_W2[[#This Row],[Employee Name]],'Base Schedules'!$A$243:$AW$281,45,FALSE)="","",VLOOKUP(Thu_W2[[#This Row],[Employee Name]],'Base Schedules'!$A$243:$AW$281,45,FALSE)),"")</f>
        <v/>
      </c>
      <c r="AU32" s="184" t="str">
        <f>IFERROR(IF(VLOOKUP(Thu_W2[[#This Row],[Employee Name]],'Base Schedules'!$A$243:$AW$281,46,FALSE)="","",VLOOKUP(Thu_W2[[#This Row],[Employee Name]],'Base Schedules'!$A$243:$AW$281,46,FALSE)),"")</f>
        <v/>
      </c>
      <c r="AV32" s="184" t="str">
        <f>IFERROR(IF(VLOOKUP(Thu_W2[[#This Row],[Employee Name]],'Base Schedules'!$A$243:$AW$281,47,FALSE)="","",VLOOKUP(Thu_W2[[#This Row],[Employee Name]],'Base Schedules'!$A$243:$AW$281,47,FALSE)),"")</f>
        <v/>
      </c>
      <c r="AW32" s="184" t="str">
        <f>IFERROR(IF(VLOOKUP(Thu_W2[[#This Row],[Employee Name]],'Base Schedules'!$A$243:$AW$281,48,FALSE)="","",VLOOKUP(Thu_W2[[#This Row],[Employee Name]],'Base Schedules'!$A$243:$AW$281,48,FALSE)),"")</f>
        <v/>
      </c>
      <c r="AX32" s="184" t="str">
        <f>IFERROR(IF(VLOOKUP(Thu_W2[[#This Row],[Employee Name]],'Base Schedules'!$A$243:$AW$281,49,FALSE)="","",VLOOKUP(Thu_W2[[#This Row],[Employee Name]],'Base Schedules'!$A$243:$AW$281,49,FALSE)),"")</f>
        <v/>
      </c>
      <c r="AY32" s="245" t="str">
        <f t="shared" si="2"/>
        <v>Conner, Mark</v>
      </c>
    </row>
    <row r="33" spans="1:51" s="44" customFormat="1" ht="12" customHeight="1" x14ac:dyDescent="0.2">
      <c r="A33" s="39" t="str">
        <f>IF(B33="","",INDEX(TeamList[],MATCH($B33,TeamList[[Employee Name]:[Employee Name]],0),MATCH("Manager",TeamList[#Headers],0)))</f>
        <v>Paulson, Matthew</v>
      </c>
      <c r="B33" s="201" t="s">
        <v>66</v>
      </c>
      <c r="C33" s="257" t="str">
        <f>_xlfn.IFNA(VLOOKUP(Thu_W2[[#This Row],[Employee Name]],'Base Schedules'!A:B,2,FALSE),"")</f>
        <v>Supervisor</v>
      </c>
      <c r="D33" s="274">
        <f>_xlfn.IFNA(VLOOKUP(Thu_W2[[#This Row],[Employee Name]],'Base Schedules'!A:C,3,FALSE),"")</f>
        <v>1230</v>
      </c>
      <c r="E33" s="274">
        <f>_xlfn.IFNA(VLOOKUP(Thu_W2[[#This Row],[Employee Name]],'Base Schedules'!A:D,4,FALSE),"")</f>
        <v>2130</v>
      </c>
      <c r="F33" s="142">
        <f>IF(Thu_W2[[#This Row],[Employee Name]]="","",IF(Thu_W2[[#This Row],[Dept]]="Supervisor",COUNTIFS($J33:$AX33,"*HL*",$J33:$AX33,"&lt;&gt;"&amp;"pHL"),COUNTIFS($J33:$AX33,"*HL*",$J33:$AX33,"&lt;&gt;"&amp;"*pHL*",$J33:$AX33,"&lt;&gt;"&amp;"pB1 HL",$J33:$AX33,"&lt;&gt;"&amp;"pB2 HL")-SUM(COUNTIFS($J33:$AX33,"*HL B1*",$J33:$AX33,"&lt;&gt;"&amp;"pHL B1")*0.5,COUNTIFS($J33:$AX33,"*HL B2*",$J33:$AX33,"&lt;&gt;"&amp;"pHL B2")*0.5,COUNTIFS($J33:$AX33,"*B1 HL*",$J33:$AX33,"&lt;&gt;"&amp;"pB1 HL")*0.5,COUNTIFS($J33:$AX33,"*B2 HL*",$J33:$AX33,"&lt;&gt;"&amp;"pB2 HL")*0.5)))</f>
        <v>0</v>
      </c>
      <c r="G33" s="142">
        <f t="shared" si="3"/>
        <v>4</v>
      </c>
      <c r="H33" s="142">
        <f t="shared" si="1"/>
        <v>0</v>
      </c>
      <c r="I33" s="142">
        <f>IF(Thu_W2[[#This Row],[Employee Name]]="","",IF(Thu_W2[[#This Row],[Dept]]="Supervisor",SUM(COUNTIFS($J33:$AX33,"RTA*",$J33:$AX33,"&lt;&gt;"&amp;"pRTA"),COUNTIFS($J33:$AX33,"*CRTA*",$J33:$AX33,"&lt;&gt;"&amp;"pCRTA")),COUNTIFS($J33:$AX33,"*RNNR*",$J33:$AX33,"&lt;&gt;"&amp;"*pRNNR*",$J33:$AX33,"&lt;&gt;"&amp;"pB1 RNNR",$J33:$AX33,"&lt;&gt;"&amp;"pB2 RNNR")-SUM(COUNTIFS($J33:$AX33,"*RNNR B1*",$J33:$AX33,"&lt;&gt;"&amp;"pRNNR B1")*0.5,COUNTIFS($J33:$AX33,"*RNNR B2*",$J33:$AX33,"&lt;&gt;"&amp;"pRNNR B2")*0.5,COUNTIFS($J33:$AX33,"*B1 RNNR*",$J33:$AX33,"&lt;&gt;"&amp;"pB1 RNNR")*0.5,COUNTIFS($J33:$AX33,"*B2 RNNR*",$J33:$AX33,"&lt;&gt;"&amp;"pB2 RNNR")*0.5)))</f>
        <v>0</v>
      </c>
      <c r="J33" s="184" t="str">
        <f>IFERROR(IF(VLOOKUP(Thu_W2[[#This Row],[Employee Name]],'Base Schedules'!$A$243:$AW$281,9,FALSE)="","",VLOOKUP(Thu_W2[[#This Row],[Employee Name]],'Base Schedules'!$A$243:$AW$281,9,FALSE)),"")</f>
        <v/>
      </c>
      <c r="K33" s="184" t="str">
        <f>IFERROR(IF(VLOOKUP(Thu_W2[[#This Row],[Employee Name]],'Base Schedules'!$A$243:$AW$281,10,FALSE)="","",VLOOKUP(Thu_W2[[#This Row],[Employee Name]],'Base Schedules'!$A$243:$AW$281,10,FALSE)),"")</f>
        <v/>
      </c>
      <c r="L33" s="184" t="str">
        <f>IFERROR(IF(VLOOKUP(Thu_W2[[#This Row],[Employee Name]],'Base Schedules'!$A$243:$AW$281,11,FALSE)="","",VLOOKUP(Thu_W2[[#This Row],[Employee Name]],'Base Schedules'!$A$243:$AW$281,11,FALSE)),"")</f>
        <v/>
      </c>
      <c r="M33" s="184" t="str">
        <f>IFERROR(IF(VLOOKUP(Thu_W2[[#This Row],[Employee Name]],'Base Schedules'!$A$243:$AW$281,12,FALSE)="","",VLOOKUP(Thu_W2[[#This Row],[Employee Name]],'Base Schedules'!$A$243:$AW$281,12,FALSE)),"")</f>
        <v/>
      </c>
      <c r="N33" s="184" t="str">
        <f>IFERROR(IF(VLOOKUP(Thu_W2[[#This Row],[Employee Name]],'Base Schedules'!$A$243:$AW$281,13,FALSE)="","",VLOOKUP(Thu_W2[[#This Row],[Employee Name]],'Base Schedules'!$A$243:$AW$281,13,FALSE)),"")</f>
        <v/>
      </c>
      <c r="O33" s="184" t="str">
        <f>IFERROR(IF(VLOOKUP(Thu_W2[[#This Row],[Employee Name]],'Base Schedules'!$A$243:$AW$281,14,FALSE)="","",VLOOKUP(Thu_W2[[#This Row],[Employee Name]],'Base Schedules'!$A$243:$AW$281,14,FALSE)),"")</f>
        <v/>
      </c>
      <c r="P33" s="184" t="str">
        <f>IFERROR(IF(VLOOKUP(Thu_W2[[#This Row],[Employee Name]],'Base Schedules'!$A$243:$AW$281,15,FALSE)="","",VLOOKUP(Thu_W2[[#This Row],[Employee Name]],'Base Schedules'!$A$243:$AW$281,15,FALSE)),"")</f>
        <v/>
      </c>
      <c r="Q33" s="184" t="str">
        <f>IFERROR(IF(VLOOKUP(Thu_W2[[#This Row],[Employee Name]],'Base Schedules'!$A$243:$AW$281,16,FALSE)="","",VLOOKUP(Thu_W2[[#This Row],[Employee Name]],'Base Schedules'!$A$243:$AW$281,16,FALSE)),"")</f>
        <v/>
      </c>
      <c r="R33" s="184" t="str">
        <f>IFERROR(IF(VLOOKUP(Thu_W2[[#This Row],[Employee Name]],'Base Schedules'!$A$243:$AW$281,17,FALSE)="","",VLOOKUP(Thu_W2[[#This Row],[Employee Name]],'Base Schedules'!$A$243:$AW$281,17,FALSE)),"")</f>
        <v/>
      </c>
      <c r="S33" s="184" t="str">
        <f>IFERROR(IF(VLOOKUP(Thu_W2[[#This Row],[Employee Name]],'Base Schedules'!$A$243:$AW$281,18,FALSE)="","",VLOOKUP(Thu_W2[[#This Row],[Employee Name]],'Base Schedules'!$A$243:$AW$281,18,FALSE)),"")</f>
        <v/>
      </c>
      <c r="T33" s="184" t="str">
        <f>IFERROR(IF(VLOOKUP(Thu_W2[[#This Row],[Employee Name]],'Base Schedules'!$A$243:$AW$281,19,FALSE)="","",VLOOKUP(Thu_W2[[#This Row],[Employee Name]],'Base Schedules'!$A$243:$AW$281,19,FALSE)),"")</f>
        <v/>
      </c>
      <c r="U33" s="184" t="str">
        <f>IFERROR(IF(VLOOKUP(Thu_W2[[#This Row],[Employee Name]],'Base Schedules'!$A$243:$AW$281,20,FALSE)="","",VLOOKUP(Thu_W2[[#This Row],[Employee Name]],'Base Schedules'!$A$243:$AW$281,20,FALSE)),"")</f>
        <v/>
      </c>
      <c r="V33" s="184" t="str">
        <f>IFERROR(IF(VLOOKUP(Thu_W2[[#This Row],[Employee Name]],'Base Schedules'!$A$243:$AW$281,21,FALSE)="","",VLOOKUP(Thu_W2[[#This Row],[Employee Name]],'Base Schedules'!$A$243:$AW$281,21,FALSE)),"")</f>
        <v/>
      </c>
      <c r="W33" s="184" t="str">
        <f>IFERROR(IF(VLOOKUP(Thu_W2[[#This Row],[Employee Name]],'Base Schedules'!$A$243:$AW$281,22,FALSE)="","",VLOOKUP(Thu_W2[[#This Row],[Employee Name]],'Base Schedules'!$A$243:$AW$281,22,FALSE)),"")</f>
        <v/>
      </c>
      <c r="X33" s="184" t="str">
        <f>IFERROR(IF(VLOOKUP(Thu_W2[[#This Row],[Employee Name]],'Base Schedules'!$A$243:$AW$281,23,FALSE)="","",VLOOKUP(Thu_W2[[#This Row],[Employee Name]],'Base Schedules'!$A$243:$AW$281,23,FALSE)),"")</f>
        <v/>
      </c>
      <c r="Y33" s="184" t="str">
        <f>IFERROR(IF(VLOOKUP(Thu_W2[[#This Row],[Employee Name]],'Base Schedules'!$A$243:$AW$281,24,FALSE)="","",VLOOKUP(Thu_W2[[#This Row],[Employee Name]],'Base Schedules'!$A$243:$AW$281,24,FALSE)),"")</f>
        <v>-</v>
      </c>
      <c r="Z33" s="184" t="str">
        <f>IFERROR(IF(VLOOKUP(Thu_W2[[#This Row],[Employee Name]],'Base Schedules'!$A$243:$AW$281,25,FALSE)="","",VLOOKUP(Thu_W2[[#This Row],[Employee Name]],'Base Schedules'!$A$243:$AW$281,25,FALSE)),"")</f>
        <v>-</v>
      </c>
      <c r="AA33" s="184" t="str">
        <f>IFERROR(IF(VLOOKUP(Thu_W2[[#This Row],[Employee Name]],'Base Schedules'!$A$243:$AW$281,26,FALSE)="","",VLOOKUP(Thu_W2[[#This Row],[Employee Name]],'Base Schedules'!$A$243:$AW$281,26,FALSE)),"")</f>
        <v>-</v>
      </c>
      <c r="AB33" s="184" t="str">
        <f>IFERROR(IF(VLOOKUP(Thu_W2[[#This Row],[Employee Name]],'Base Schedules'!$A$243:$AW$281,27,FALSE)="","",VLOOKUP(Thu_W2[[#This Row],[Employee Name]],'Base Schedules'!$A$243:$AW$281,27,FALSE)),"")</f>
        <v>Interview</v>
      </c>
      <c r="AC33" s="184" t="str">
        <f>IFERROR(IF(VLOOKUP(Thu_W2[[#This Row],[Employee Name]],'Base Schedules'!$A$243:$AW$281,28,FALSE)="","",VLOOKUP(Thu_W2[[#This Row],[Employee Name]],'Base Schedules'!$A$243:$AW$281,28,FALSE)),"")</f>
        <v>Interview</v>
      </c>
      <c r="AD33" s="184" t="str">
        <f>IFERROR(IF(VLOOKUP(Thu_W2[[#This Row],[Employee Name]],'Base Schedules'!$A$243:$AW$281,29,FALSE)="","",VLOOKUP(Thu_W2[[#This Row],[Employee Name]],'Base Schedules'!$A$243:$AW$281,29,FALSE)),"")</f>
        <v>-</v>
      </c>
      <c r="AE33" s="184" t="str">
        <f>IFERROR(IF(VLOOKUP(Thu_W2[[#This Row],[Employee Name]],'Base Schedules'!$A$243:$AW$281,30,FALSE)="","",VLOOKUP(Thu_W2[[#This Row],[Employee Name]],'Base Schedules'!$A$243:$AW$281,30,FALSE)),"")</f>
        <v>-</v>
      </c>
      <c r="AF33" s="184" t="str">
        <f>IFERROR(IF(VLOOKUP(Thu_W2[[#This Row],[Employee Name]],'Base Schedules'!$A$243:$AW$281,31,FALSE)="","",VLOOKUP(Thu_W2[[#This Row],[Employee Name]],'Base Schedules'!$A$243:$AW$281,31,FALSE)),"")</f>
        <v>-</v>
      </c>
      <c r="AG33" s="184" t="str">
        <f>IFERROR(IF(VLOOKUP(Thu_W2[[#This Row],[Employee Name]],'Base Schedules'!$A$243:$AW$281,32,FALSE)="","",VLOOKUP(Thu_W2[[#This Row],[Employee Name]],'Base Schedules'!$A$243:$AW$281,32,FALSE)),"")</f>
        <v>Coaching</v>
      </c>
      <c r="AH33" s="184" t="str">
        <f>IFERROR(IF(VLOOKUP(Thu_W2[[#This Row],[Employee Name]],'Base Schedules'!$A$243:$AW$281,33,FALSE)="","",VLOOKUP(Thu_W2[[#This Row],[Employee Name]],'Base Schedules'!$A$243:$AW$281,33,FALSE)),"")</f>
        <v>Coaching</v>
      </c>
      <c r="AI33" s="184" t="str">
        <f>IFERROR(IF(VLOOKUP(Thu_W2[[#This Row],[Employee Name]],'Base Schedules'!$A$243:$AW$281,34,FALSE)="","",VLOOKUP(Thu_W2[[#This Row],[Employee Name]],'Base Schedules'!$A$243:$AW$281,34,FALSE)),"")</f>
        <v>Coaching</v>
      </c>
      <c r="AJ33" s="184" t="str">
        <f>IFERROR(IF(VLOOKUP(Thu_W2[[#This Row],[Employee Name]],'Base Schedules'!$A$243:$AW$281,35,FALSE)="","",VLOOKUP(Thu_W2[[#This Row],[Employee Name]],'Base Schedules'!$A$243:$AW$281,35,FALSE)),"")</f>
        <v>Coaching</v>
      </c>
      <c r="AK33" s="184" t="str">
        <f>IFERROR(IF(VLOOKUP(Thu_W2[[#This Row],[Employee Name]],'Base Schedules'!$A$243:$AW$281,36,FALSE)="","",VLOOKUP(Thu_W2[[#This Row],[Employee Name]],'Base Schedules'!$A$243:$AW$281,36,FALSE)),"")</f>
        <v>-</v>
      </c>
      <c r="AL33" s="184" t="str">
        <f>IFERROR(IF(VLOOKUP(Thu_W2[[#This Row],[Employee Name]],'Base Schedules'!$A$243:$AW$281,37,FALSE)="","",VLOOKUP(Thu_W2[[#This Row],[Employee Name]],'Base Schedules'!$A$243:$AW$281,37,FALSE)),"")</f>
        <v>-</v>
      </c>
      <c r="AM33" s="184" t="str">
        <f>IFERROR(IF(VLOOKUP(Thu_W2[[#This Row],[Employee Name]],'Base Schedules'!$A$243:$AW$281,38,FALSE)="","",VLOOKUP(Thu_W2[[#This Row],[Employee Name]],'Base Schedules'!$A$243:$AW$281,38,FALSE)),"")</f>
        <v>-</v>
      </c>
      <c r="AN33" s="184" t="str">
        <f>IFERROR(IF(VLOOKUP(Thu_W2[[#This Row],[Employee Name]],'Base Schedules'!$A$243:$AW$281,39,FALSE)="","",VLOOKUP(Thu_W2[[#This Row],[Employee Name]],'Base Schedules'!$A$243:$AW$281,39,FALSE)),"")</f>
        <v>-</v>
      </c>
      <c r="AO33" s="184" t="str">
        <f>IFERROR(IF(VLOOKUP(Thu_W2[[#This Row],[Employee Name]],'Base Schedules'!$A$243:$AW$281,40,FALSE)="","",VLOOKUP(Thu_W2[[#This Row],[Employee Name]],'Base Schedules'!$A$243:$AW$281,40,FALSE)),"")</f>
        <v>-</v>
      </c>
      <c r="AP33" s="184" t="str">
        <f>IFERROR(IF(VLOOKUP(Thu_W2[[#This Row],[Employee Name]],'Base Schedules'!$A$243:$AW$281,41,FALSE)="","",VLOOKUP(Thu_W2[[#This Row],[Employee Name]],'Base Schedules'!$A$243:$AW$281,41,FALSE)),"")</f>
        <v>-</v>
      </c>
      <c r="AQ33" s="184" t="str">
        <f>IFERROR(IF(VLOOKUP(Thu_W2[[#This Row],[Employee Name]],'Base Schedules'!$A$243:$AW$281,42,FALSE)="","",VLOOKUP(Thu_W2[[#This Row],[Employee Name]],'Base Schedules'!$A$243:$AW$281,42,FALSE)),"")</f>
        <v>-</v>
      </c>
      <c r="AR33" s="184" t="str">
        <f>IFERROR(IF(VLOOKUP(Thu_W2[[#This Row],[Employee Name]],'Base Schedules'!$A$243:$AW$281,43,FALSE)="","",VLOOKUP(Thu_W2[[#This Row],[Employee Name]],'Base Schedules'!$A$243:$AW$281,43,FALSE)),"")</f>
        <v/>
      </c>
      <c r="AS33" s="184" t="str">
        <f>IFERROR(IF(VLOOKUP(Thu_W2[[#This Row],[Employee Name]],'Base Schedules'!$A$243:$AW$281,44,FALSE)="","",VLOOKUP(Thu_W2[[#This Row],[Employee Name]],'Base Schedules'!$A$243:$AW$281,44,FALSE)),"")</f>
        <v/>
      </c>
      <c r="AT33" s="184" t="str">
        <f>IFERROR(IF(VLOOKUP(Thu_W2[[#This Row],[Employee Name]],'Base Schedules'!$A$243:$AW$281,45,FALSE)="","",VLOOKUP(Thu_W2[[#This Row],[Employee Name]],'Base Schedules'!$A$243:$AW$281,45,FALSE)),"")</f>
        <v/>
      </c>
      <c r="AU33" s="184" t="str">
        <f>IFERROR(IF(VLOOKUP(Thu_W2[[#This Row],[Employee Name]],'Base Schedules'!$A$243:$AW$281,46,FALSE)="","",VLOOKUP(Thu_W2[[#This Row],[Employee Name]],'Base Schedules'!$A$243:$AW$281,46,FALSE)),"")</f>
        <v/>
      </c>
      <c r="AV33" s="184" t="str">
        <f>IFERROR(IF(VLOOKUP(Thu_W2[[#This Row],[Employee Name]],'Base Schedules'!$A$243:$AW$281,47,FALSE)="","",VLOOKUP(Thu_W2[[#This Row],[Employee Name]],'Base Schedules'!$A$243:$AW$281,47,FALSE)),"")</f>
        <v/>
      </c>
      <c r="AW33" s="184" t="str">
        <f>IFERROR(IF(VLOOKUP(Thu_W2[[#This Row],[Employee Name]],'Base Schedules'!$A$243:$AW$281,48,FALSE)="","",VLOOKUP(Thu_W2[[#This Row],[Employee Name]],'Base Schedules'!$A$243:$AW$281,48,FALSE)),"")</f>
        <v/>
      </c>
      <c r="AX33" s="184" t="str">
        <f>IFERROR(IF(VLOOKUP(Thu_W2[[#This Row],[Employee Name]],'Base Schedules'!$A$243:$AW$281,49,FALSE)="","",VLOOKUP(Thu_W2[[#This Row],[Employee Name]],'Base Schedules'!$A$243:$AW$281,49,FALSE)),"")</f>
        <v/>
      </c>
      <c r="AY33" s="245" t="str">
        <f t="shared" si="2"/>
        <v>Aguilar, Angelica</v>
      </c>
    </row>
    <row r="34" spans="1:51" s="44" customFormat="1" ht="12" customHeight="1" x14ac:dyDescent="0.2">
      <c r="A34" s="39" t="e">
        <f>IF(B34="","",INDEX(TeamList[],MATCH($B34,TeamList[[Employee Name]:[Employee Name]],0),MATCH("Manager",TeamList[#Headers],0)))</f>
        <v>#N/A</v>
      </c>
      <c r="B34" s="201" t="s">
        <v>587</v>
      </c>
      <c r="C34" s="257" t="str">
        <f>_xlfn.IFNA(VLOOKUP(Thu_W2[[#This Row],[Employee Name]],'Base Schedules'!A:B,2,FALSE),"")</f>
        <v>Lead</v>
      </c>
      <c r="D34" s="274">
        <f>_xlfn.IFNA(VLOOKUP(Thu_W2[[#This Row],[Employee Name]],'Base Schedules'!A:C,3,FALSE),"")</f>
        <v>1230</v>
      </c>
      <c r="E34" s="274">
        <f>_xlfn.IFNA(VLOOKUP(Thu_W2[[#This Row],[Employee Name]],'Base Schedules'!A:D,4,FALSE),"")</f>
        <v>2100</v>
      </c>
      <c r="F34" s="142">
        <f>IF(Thu_W2[[#This Row],[Employee Name]]="","",IF(Thu_W2[[#This Row],[Dept]]="Supervisor",COUNTIFS($J34:$AX34,"*HL*",$J34:$AX34,"&lt;&gt;"&amp;"pHL"),COUNTIFS($J34:$AX34,"*HL*",$J34:$AX34,"&lt;&gt;"&amp;"*pHL*",$J34:$AX34,"&lt;&gt;"&amp;"pB1 HL",$J34:$AX34,"&lt;&gt;"&amp;"pB2 HL")-SUM(COUNTIFS($J34:$AX34,"*HL B1*",$J34:$AX34,"&lt;&gt;"&amp;"pHL B1")*0.5,COUNTIFS($J34:$AX34,"*HL B2*",$J34:$AX34,"&lt;&gt;"&amp;"pHL B2")*0.5,COUNTIFS($J34:$AX34,"*B1 HL*",$J34:$AX34,"&lt;&gt;"&amp;"pB1 HL")*0.5,COUNTIFS($J34:$AX34,"*B2 HL*",$J34:$AX34,"&lt;&gt;"&amp;"pB2 HL")*0.5)))</f>
        <v>6.5</v>
      </c>
      <c r="G34" s="142">
        <f t="shared" si="3"/>
        <v>0</v>
      </c>
      <c r="H34" s="142">
        <f t="shared" si="1"/>
        <v>7</v>
      </c>
      <c r="I34" s="142">
        <f>IF(Thu_W2[[#This Row],[Employee Name]]="","",IF(Thu_W2[[#This Row],[Dept]]="Supervisor",SUM(COUNTIFS($J34:$AX34,"RTA*",$J34:$AX34,"&lt;&gt;"&amp;"pRTA"),COUNTIFS($J34:$AX34,"*CRTA*",$J34:$AX34,"&lt;&gt;"&amp;"pCRTA")),COUNTIFS($J34:$AX34,"*RNNR*",$J34:$AX34,"&lt;&gt;"&amp;"*pRNNR*",$J34:$AX34,"&lt;&gt;"&amp;"pB1 RNNR",$J34:$AX34,"&lt;&gt;"&amp;"pB2 RNNR")-SUM(COUNTIFS($J34:$AX34,"*RNNR B1*",$J34:$AX34,"&lt;&gt;"&amp;"pRNNR B1")*0.5,COUNTIFS($J34:$AX34,"*RNNR B2*",$J34:$AX34,"&lt;&gt;"&amp;"pRNNR B2")*0.5,COUNTIFS($J34:$AX34,"*B1 RNNR*",$J34:$AX34,"&lt;&gt;"&amp;"pB1 RNNR")*0.5,COUNTIFS($J34:$AX34,"*B2 RNNR*",$J34:$AX34,"&lt;&gt;"&amp;"pB2 RNNR")*0.5)))</f>
        <v>2</v>
      </c>
      <c r="J34" s="184" t="str">
        <f>IFERROR(IF(VLOOKUP(Thu_W2[[#This Row],[Employee Name]],'Base Schedules'!$A$243:$AW$281,9,FALSE)="","",VLOOKUP(Thu_W2[[#This Row],[Employee Name]],'Base Schedules'!$A$243:$AW$281,9,FALSE)),"")</f>
        <v/>
      </c>
      <c r="K34" s="184" t="str">
        <f>IFERROR(IF(VLOOKUP(Thu_W2[[#This Row],[Employee Name]],'Base Schedules'!$A$243:$AW$281,10,FALSE)="","",VLOOKUP(Thu_W2[[#This Row],[Employee Name]],'Base Schedules'!$A$243:$AW$281,10,FALSE)),"")</f>
        <v/>
      </c>
      <c r="L34" s="184" t="str">
        <f>IFERROR(IF(VLOOKUP(Thu_W2[[#This Row],[Employee Name]],'Base Schedules'!$A$243:$AW$281,11,FALSE)="","",VLOOKUP(Thu_W2[[#This Row],[Employee Name]],'Base Schedules'!$A$243:$AW$281,11,FALSE)),"")</f>
        <v/>
      </c>
      <c r="M34" s="184" t="str">
        <f>IFERROR(IF(VLOOKUP(Thu_W2[[#This Row],[Employee Name]],'Base Schedules'!$A$243:$AW$281,12,FALSE)="","",VLOOKUP(Thu_W2[[#This Row],[Employee Name]],'Base Schedules'!$A$243:$AW$281,12,FALSE)),"")</f>
        <v/>
      </c>
      <c r="N34" s="184" t="str">
        <f>IFERROR(IF(VLOOKUP(Thu_W2[[#This Row],[Employee Name]],'Base Schedules'!$A$243:$AW$281,13,FALSE)="","",VLOOKUP(Thu_W2[[#This Row],[Employee Name]],'Base Schedules'!$A$243:$AW$281,13,FALSE)),"")</f>
        <v/>
      </c>
      <c r="O34" s="184" t="str">
        <f>IFERROR(IF(VLOOKUP(Thu_W2[[#This Row],[Employee Name]],'Base Schedules'!$A$243:$AW$281,14,FALSE)="","",VLOOKUP(Thu_W2[[#This Row],[Employee Name]],'Base Schedules'!$A$243:$AW$281,14,FALSE)),"")</f>
        <v/>
      </c>
      <c r="P34" s="184" t="str">
        <f>IFERROR(IF(VLOOKUP(Thu_W2[[#This Row],[Employee Name]],'Base Schedules'!$A$243:$AW$281,15,FALSE)="","",VLOOKUP(Thu_W2[[#This Row],[Employee Name]],'Base Schedules'!$A$243:$AW$281,15,FALSE)),"")</f>
        <v/>
      </c>
      <c r="Q34" s="184" t="str">
        <f>IFERROR(IF(VLOOKUP(Thu_W2[[#This Row],[Employee Name]],'Base Schedules'!$A$243:$AW$281,16,FALSE)="","",VLOOKUP(Thu_W2[[#This Row],[Employee Name]],'Base Schedules'!$A$243:$AW$281,16,FALSE)),"")</f>
        <v/>
      </c>
      <c r="R34" s="184" t="str">
        <f>IFERROR(IF(VLOOKUP(Thu_W2[[#This Row],[Employee Name]],'Base Schedules'!$A$243:$AW$281,17,FALSE)="","",VLOOKUP(Thu_W2[[#This Row],[Employee Name]],'Base Schedules'!$A$243:$AW$281,17,FALSE)),"")</f>
        <v/>
      </c>
      <c r="S34" s="184" t="str">
        <f>IFERROR(IF(VLOOKUP(Thu_W2[[#This Row],[Employee Name]],'Base Schedules'!$A$243:$AW$281,18,FALSE)="","",VLOOKUP(Thu_W2[[#This Row],[Employee Name]],'Base Schedules'!$A$243:$AW$281,18,FALSE)),"")</f>
        <v/>
      </c>
      <c r="T34" s="184" t="str">
        <f>IFERROR(IF(VLOOKUP(Thu_W2[[#This Row],[Employee Name]],'Base Schedules'!$A$243:$AW$281,19,FALSE)="","",VLOOKUP(Thu_W2[[#This Row],[Employee Name]],'Base Schedules'!$A$243:$AW$281,19,FALSE)),"")</f>
        <v/>
      </c>
      <c r="U34" s="184" t="str">
        <f>IFERROR(IF(VLOOKUP(Thu_W2[[#This Row],[Employee Name]],'Base Schedules'!$A$243:$AW$281,20,FALSE)="","",VLOOKUP(Thu_W2[[#This Row],[Employee Name]],'Base Schedules'!$A$243:$AW$281,20,FALSE)),"")</f>
        <v/>
      </c>
      <c r="V34" s="184" t="str">
        <f>IFERROR(IF(VLOOKUP(Thu_W2[[#This Row],[Employee Name]],'Base Schedules'!$A$243:$AW$281,21,FALSE)="","",VLOOKUP(Thu_W2[[#This Row],[Employee Name]],'Base Schedules'!$A$243:$AW$281,21,FALSE)),"")</f>
        <v/>
      </c>
      <c r="W34" s="184" t="str">
        <f>IFERROR(IF(VLOOKUP(Thu_W2[[#This Row],[Employee Name]],'Base Schedules'!$A$243:$AW$281,22,FALSE)="","",VLOOKUP(Thu_W2[[#This Row],[Employee Name]],'Base Schedules'!$A$243:$AW$281,22,FALSE)),"")</f>
        <v/>
      </c>
      <c r="X34" s="184" t="str">
        <f>IFERROR(IF(VLOOKUP(Thu_W2[[#This Row],[Employee Name]],'Base Schedules'!$A$243:$AW$281,23,FALSE)="","",VLOOKUP(Thu_W2[[#This Row],[Employee Name]],'Base Schedules'!$A$243:$AW$281,23,FALSE)),"")</f>
        <v/>
      </c>
      <c r="Y34" s="184" t="str">
        <f>IFERROR(IF(VLOOKUP(Thu_W2[[#This Row],[Employee Name]],'Base Schedules'!$A$243:$AW$281,24,FALSE)="","",VLOOKUP(Thu_W2[[#This Row],[Employee Name]],'Base Schedules'!$A$243:$AW$281,24,FALSE)),"")</f>
        <v>HL</v>
      </c>
      <c r="Z34" s="184" t="str">
        <f>IFERROR(IF(VLOOKUP(Thu_W2[[#This Row],[Employee Name]],'Base Schedules'!$A$243:$AW$281,25,FALSE)="","",VLOOKUP(Thu_W2[[#This Row],[Employee Name]],'Base Schedules'!$A$243:$AW$281,25,FALSE)),"")</f>
        <v>HL</v>
      </c>
      <c r="AA34" s="184" t="str">
        <f>IFERROR(IF(VLOOKUP(Thu_W2[[#This Row],[Employee Name]],'Base Schedules'!$A$243:$AW$281,26,FALSE)="","",VLOOKUP(Thu_W2[[#This Row],[Employee Name]],'Base Schedules'!$A$243:$AW$281,26,FALSE)),"")</f>
        <v>HL B1</v>
      </c>
      <c r="AB34" s="184" t="str">
        <f>IFERROR(IF(VLOOKUP(Thu_W2[[#This Row],[Employee Name]],'Base Schedules'!$A$243:$AW$281,27,FALSE)="","",VLOOKUP(Thu_W2[[#This Row],[Employee Name]],'Base Schedules'!$A$243:$AW$281,27,FALSE)),"")</f>
        <v>HL</v>
      </c>
      <c r="AC34" s="184" t="str">
        <f>IFERROR(IF(VLOOKUP(Thu_W2[[#This Row],[Employee Name]],'Base Schedules'!$A$243:$AW$281,28,FALSE)="","",VLOOKUP(Thu_W2[[#This Row],[Employee Name]],'Base Schedules'!$A$243:$AW$281,28,FALSE)),"")</f>
        <v>HL</v>
      </c>
      <c r="AD34" s="184" t="str">
        <f>IFERROR(IF(VLOOKUP(Thu_W2[[#This Row],[Employee Name]],'Base Schedules'!$A$243:$AW$281,29,FALSE)="","",VLOOKUP(Thu_W2[[#This Row],[Employee Name]],'Base Schedules'!$A$243:$AW$281,29,FALSE)),"")</f>
        <v>ADM</v>
      </c>
      <c r="AE34" s="184" t="str">
        <f>IFERROR(IF(VLOOKUP(Thu_W2[[#This Row],[Employee Name]],'Base Schedules'!$A$243:$AW$281,30,FALSE)="","",VLOOKUP(Thu_W2[[#This Row],[Employee Name]],'Base Schedules'!$A$243:$AW$281,30,FALSE)),"")</f>
        <v>ADM</v>
      </c>
      <c r="AF34" s="184" t="str">
        <f>IFERROR(IF(VLOOKUP(Thu_W2[[#This Row],[Employee Name]],'Base Schedules'!$A$243:$AW$281,31,FALSE)="","",VLOOKUP(Thu_W2[[#This Row],[Employee Name]],'Base Schedules'!$A$243:$AW$281,31,FALSE)),"")</f>
        <v>LUNCH</v>
      </c>
      <c r="AG34" s="184" t="str">
        <f>IFERROR(IF(VLOOKUP(Thu_W2[[#This Row],[Employee Name]],'Base Schedules'!$A$243:$AW$281,32,FALSE)="","",VLOOKUP(Thu_W2[[#This Row],[Employee Name]],'Base Schedules'!$A$243:$AW$281,32,FALSE)),"")</f>
        <v>ADM</v>
      </c>
      <c r="AH34" s="184" t="str">
        <f>IFERROR(IF(VLOOKUP(Thu_W2[[#This Row],[Employee Name]],'Base Schedules'!$A$243:$AW$281,33,FALSE)="","",VLOOKUP(Thu_W2[[#This Row],[Employee Name]],'Base Schedules'!$A$243:$AW$281,33,FALSE)),"")</f>
        <v>RNNR</v>
      </c>
      <c r="AI34" s="184" t="str">
        <f>IFERROR(IF(VLOOKUP(Thu_W2[[#This Row],[Employee Name]],'Base Schedules'!$A$243:$AW$281,34,FALSE)="","",VLOOKUP(Thu_W2[[#This Row],[Employee Name]],'Base Schedules'!$A$243:$AW$281,34,FALSE)),"")</f>
        <v>RNNR</v>
      </c>
      <c r="AJ34" s="184" t="str">
        <f>IFERROR(IF(VLOOKUP(Thu_W2[[#This Row],[Employee Name]],'Base Schedules'!$A$243:$AW$281,35,FALSE)="","",VLOOKUP(Thu_W2[[#This Row],[Employee Name]],'Base Schedules'!$A$243:$AW$281,35,FALSE)),"")</f>
        <v>HL</v>
      </c>
      <c r="AK34" s="184" t="str">
        <f>IFERROR(IF(VLOOKUP(Thu_W2[[#This Row],[Employee Name]],'Base Schedules'!$A$243:$AW$281,36,FALSE)="","",VLOOKUP(Thu_W2[[#This Row],[Employee Name]],'Base Schedules'!$A$243:$AW$281,36,FALSE)),"")</f>
        <v>B2 ADM</v>
      </c>
      <c r="AL34" s="184" t="str">
        <f>IFERROR(IF(VLOOKUP(Thu_W2[[#This Row],[Employee Name]],'Base Schedules'!$A$243:$AW$281,37,FALSE)="","",VLOOKUP(Thu_W2[[#This Row],[Employee Name]],'Base Schedules'!$A$243:$AW$281,37,FALSE)),"")</f>
        <v>ADM</v>
      </c>
      <c r="AM34" s="184" t="str">
        <f>IFERROR(IF(VLOOKUP(Thu_W2[[#This Row],[Employee Name]],'Base Schedules'!$A$243:$AW$281,38,FALSE)="","",VLOOKUP(Thu_W2[[#This Row],[Employee Name]],'Base Schedules'!$A$243:$AW$281,38,FALSE)),"")</f>
        <v>ADM</v>
      </c>
      <c r="AN34" s="184" t="str">
        <f>IFERROR(IF(VLOOKUP(Thu_W2[[#This Row],[Employee Name]],'Base Schedules'!$A$243:$AW$281,39,FALSE)="","",VLOOKUP(Thu_W2[[#This Row],[Employee Name]],'Base Schedules'!$A$243:$AW$281,39,FALSE)),"")</f>
        <v>ADM</v>
      </c>
      <c r="AO34" s="184" t="str">
        <f>IFERROR(IF(VLOOKUP(Thu_W2[[#This Row],[Employee Name]],'Base Schedules'!$A$243:$AW$281,40,FALSE)="","",VLOOKUP(Thu_W2[[#This Row],[Employee Name]],'Base Schedules'!$A$243:$AW$281,40,FALSE)),"")</f>
        <v>HL</v>
      </c>
      <c r="AP34" s="184" t="str">
        <f>IFERROR(IF(VLOOKUP(Thu_W2[[#This Row],[Employee Name]],'Base Schedules'!$A$243:$AW$281,41,FALSE)="","",VLOOKUP(Thu_W2[[#This Row],[Employee Name]],'Base Schedules'!$A$243:$AW$281,41,FALSE)),"")</f>
        <v/>
      </c>
      <c r="AQ34" s="184" t="str">
        <f>IFERROR(IF(VLOOKUP(Thu_W2[[#This Row],[Employee Name]],'Base Schedules'!$A$243:$AW$281,42,FALSE)="","",VLOOKUP(Thu_W2[[#This Row],[Employee Name]],'Base Schedules'!$A$243:$AW$281,42,FALSE)),"")</f>
        <v/>
      </c>
      <c r="AR34" s="184" t="str">
        <f>IFERROR(IF(VLOOKUP(Thu_W2[[#This Row],[Employee Name]],'Base Schedules'!$A$243:$AW$281,43,FALSE)="","",VLOOKUP(Thu_W2[[#This Row],[Employee Name]],'Base Schedules'!$A$243:$AW$281,43,FALSE)),"")</f>
        <v/>
      </c>
      <c r="AS34" s="184" t="str">
        <f>IFERROR(IF(VLOOKUP(Thu_W2[[#This Row],[Employee Name]],'Base Schedules'!$A$243:$AW$281,44,FALSE)="","",VLOOKUP(Thu_W2[[#This Row],[Employee Name]],'Base Schedules'!$A$243:$AW$281,44,FALSE)),"")</f>
        <v/>
      </c>
      <c r="AT34" s="184" t="str">
        <f>IFERROR(IF(VLOOKUP(Thu_W2[[#This Row],[Employee Name]],'Base Schedules'!$A$243:$AW$281,45,FALSE)="","",VLOOKUP(Thu_W2[[#This Row],[Employee Name]],'Base Schedules'!$A$243:$AW$281,45,FALSE)),"")</f>
        <v/>
      </c>
      <c r="AU34" s="184" t="str">
        <f>IFERROR(IF(VLOOKUP(Thu_W2[[#This Row],[Employee Name]],'Base Schedules'!$A$243:$AW$281,46,FALSE)="","",VLOOKUP(Thu_W2[[#This Row],[Employee Name]],'Base Schedules'!$A$243:$AW$281,46,FALSE)),"")</f>
        <v/>
      </c>
      <c r="AV34" s="184" t="str">
        <f>IFERROR(IF(VLOOKUP(Thu_W2[[#This Row],[Employee Name]],'Base Schedules'!$A$243:$AW$281,47,FALSE)="","",VLOOKUP(Thu_W2[[#This Row],[Employee Name]],'Base Schedules'!$A$243:$AW$281,47,FALSE)),"")</f>
        <v/>
      </c>
      <c r="AW34" s="184" t="str">
        <f>IFERROR(IF(VLOOKUP(Thu_W2[[#This Row],[Employee Name]],'Base Schedules'!$A$243:$AW$281,48,FALSE)="","",VLOOKUP(Thu_W2[[#This Row],[Employee Name]],'Base Schedules'!$A$243:$AW$281,48,FALSE)),"")</f>
        <v/>
      </c>
      <c r="AX34" s="184" t="str">
        <f>IFERROR(IF(VLOOKUP(Thu_W2[[#This Row],[Employee Name]],'Base Schedules'!$A$243:$AW$281,49,FALSE)="","",VLOOKUP(Thu_W2[[#This Row],[Employee Name]],'Base Schedules'!$A$243:$AW$281,49,FALSE)),"")</f>
        <v/>
      </c>
      <c r="AY34" s="245" t="str">
        <f t="shared" si="2"/>
        <v>Mason, April</v>
      </c>
    </row>
    <row r="35" spans="1:51" s="44" customFormat="1" ht="12" customHeight="1" x14ac:dyDescent="0.2">
      <c r="A35" s="39" t="str">
        <f>IF(B35="","",INDEX(TeamList[],MATCH($B35,TeamList[[Employee Name]:[Employee Name]],0),MATCH("Manager",TeamList[#Headers],0)))</f>
        <v>Olson, Katherine</v>
      </c>
      <c r="B35" s="201" t="s">
        <v>29</v>
      </c>
      <c r="C35" s="257" t="str">
        <f>_xlfn.IFNA(VLOOKUP(Thu_W2[[#This Row],[Employee Name]],'Base Schedules'!A:B,2,FALSE),"")</f>
        <v>Lead</v>
      </c>
      <c r="D35" s="274">
        <f>_xlfn.IFNA(VLOOKUP(Thu_W2[[#This Row],[Employee Name]],'Base Schedules'!A:C,3,FALSE),"")</f>
        <v>1300</v>
      </c>
      <c r="E35" s="274">
        <f>_xlfn.IFNA(VLOOKUP(Thu_W2[[#This Row],[Employee Name]],'Base Schedules'!A:D,4,FALSE),"")</f>
        <v>2130</v>
      </c>
      <c r="F35" s="142">
        <f>IF(Thu_W2[[#This Row],[Employee Name]]="","",IF(Thu_W2[[#This Row],[Dept]]="Supervisor",COUNTIFS($J35:$AX35,"*HL*",$J35:$AX35,"&lt;&gt;"&amp;"pHL"),COUNTIFS($J35:$AX35,"*HL*",$J35:$AX35,"&lt;&gt;"&amp;"*pHL*",$J35:$AX35,"&lt;&gt;"&amp;"pB1 HL",$J35:$AX35,"&lt;&gt;"&amp;"pB2 HL")-SUM(COUNTIFS($J35:$AX35,"*HL B1*",$J35:$AX35,"&lt;&gt;"&amp;"pHL B1")*0.5,COUNTIFS($J35:$AX35,"*HL B2*",$J35:$AX35,"&lt;&gt;"&amp;"pHL B2")*0.5,COUNTIFS($J35:$AX35,"*B1 HL*",$J35:$AX35,"&lt;&gt;"&amp;"pB1 HL")*0.5,COUNTIFS($J35:$AX35,"*B2 HL*",$J35:$AX35,"&lt;&gt;"&amp;"pB2 HL")*0.5)))</f>
        <v>7.5</v>
      </c>
      <c r="G35" s="142">
        <f t="shared" si="3"/>
        <v>0</v>
      </c>
      <c r="H35" s="142">
        <f t="shared" si="1"/>
        <v>6</v>
      </c>
      <c r="I35" s="142">
        <f>IF(Thu_W2[[#This Row],[Employee Name]]="","",IF(Thu_W2[[#This Row],[Dept]]="Supervisor",SUM(COUNTIFS($J35:$AX35,"RTA*",$J35:$AX35,"&lt;&gt;"&amp;"pRTA"),COUNTIFS($J35:$AX35,"*CRTA*",$J35:$AX35,"&lt;&gt;"&amp;"pCRTA")),COUNTIFS($J35:$AX35,"*RNNR*",$J35:$AX35,"&lt;&gt;"&amp;"*pRNNR*",$J35:$AX35,"&lt;&gt;"&amp;"pB1 RNNR",$J35:$AX35,"&lt;&gt;"&amp;"pB2 RNNR")-SUM(COUNTIFS($J35:$AX35,"*RNNR B1*",$J35:$AX35,"&lt;&gt;"&amp;"pRNNR B1")*0.5,COUNTIFS($J35:$AX35,"*RNNR B2*",$J35:$AX35,"&lt;&gt;"&amp;"pRNNR B2")*0.5,COUNTIFS($J35:$AX35,"*B1 RNNR*",$J35:$AX35,"&lt;&gt;"&amp;"pB1 RNNR")*0.5,COUNTIFS($J35:$AX35,"*B2 RNNR*",$J35:$AX35,"&lt;&gt;"&amp;"pB2 RNNR")*0.5)))</f>
        <v>2</v>
      </c>
      <c r="J35" s="184" t="str">
        <f>IFERROR(IF(VLOOKUP(Thu_W2[[#This Row],[Employee Name]],'Base Schedules'!$A$243:$AW$281,9,FALSE)="","",VLOOKUP(Thu_W2[[#This Row],[Employee Name]],'Base Schedules'!$A$243:$AW$281,9,FALSE)),"")</f>
        <v/>
      </c>
      <c r="K35" s="184" t="str">
        <f>IFERROR(IF(VLOOKUP(Thu_W2[[#This Row],[Employee Name]],'Base Schedules'!$A$243:$AW$281,10,FALSE)="","",VLOOKUP(Thu_W2[[#This Row],[Employee Name]],'Base Schedules'!$A$243:$AW$281,10,FALSE)),"")</f>
        <v/>
      </c>
      <c r="L35" s="184" t="str">
        <f>IFERROR(IF(VLOOKUP(Thu_W2[[#This Row],[Employee Name]],'Base Schedules'!$A$243:$AW$281,11,FALSE)="","",VLOOKUP(Thu_W2[[#This Row],[Employee Name]],'Base Schedules'!$A$243:$AW$281,11,FALSE)),"")</f>
        <v/>
      </c>
      <c r="M35" s="184" t="str">
        <f>IFERROR(IF(VLOOKUP(Thu_W2[[#This Row],[Employee Name]],'Base Schedules'!$A$243:$AW$281,12,FALSE)="","",VLOOKUP(Thu_W2[[#This Row],[Employee Name]],'Base Schedules'!$A$243:$AW$281,12,FALSE)),"")</f>
        <v/>
      </c>
      <c r="N35" s="184" t="str">
        <f>IFERROR(IF(VLOOKUP(Thu_W2[[#This Row],[Employee Name]],'Base Schedules'!$A$243:$AW$281,13,FALSE)="","",VLOOKUP(Thu_W2[[#This Row],[Employee Name]],'Base Schedules'!$A$243:$AW$281,13,FALSE)),"")</f>
        <v/>
      </c>
      <c r="O35" s="184" t="str">
        <f>IFERROR(IF(VLOOKUP(Thu_W2[[#This Row],[Employee Name]],'Base Schedules'!$A$243:$AW$281,14,FALSE)="","",VLOOKUP(Thu_W2[[#This Row],[Employee Name]],'Base Schedules'!$A$243:$AW$281,14,FALSE)),"")</f>
        <v/>
      </c>
      <c r="P35" s="184" t="str">
        <f>IFERROR(IF(VLOOKUP(Thu_W2[[#This Row],[Employee Name]],'Base Schedules'!$A$243:$AW$281,15,FALSE)="","",VLOOKUP(Thu_W2[[#This Row],[Employee Name]],'Base Schedules'!$A$243:$AW$281,15,FALSE)),"")</f>
        <v/>
      </c>
      <c r="Q35" s="184" t="str">
        <f>IFERROR(IF(VLOOKUP(Thu_W2[[#This Row],[Employee Name]],'Base Schedules'!$A$243:$AW$281,16,FALSE)="","",VLOOKUP(Thu_W2[[#This Row],[Employee Name]],'Base Schedules'!$A$243:$AW$281,16,FALSE)),"")</f>
        <v/>
      </c>
      <c r="R35" s="184" t="str">
        <f>IFERROR(IF(VLOOKUP(Thu_W2[[#This Row],[Employee Name]],'Base Schedules'!$A$243:$AW$281,17,FALSE)="","",VLOOKUP(Thu_W2[[#This Row],[Employee Name]],'Base Schedules'!$A$243:$AW$281,17,FALSE)),"")</f>
        <v/>
      </c>
      <c r="S35" s="184" t="str">
        <f>IFERROR(IF(VLOOKUP(Thu_W2[[#This Row],[Employee Name]],'Base Schedules'!$A$243:$AW$281,18,FALSE)="","",VLOOKUP(Thu_W2[[#This Row],[Employee Name]],'Base Schedules'!$A$243:$AW$281,18,FALSE)),"")</f>
        <v/>
      </c>
      <c r="T35" s="184" t="str">
        <f>IFERROR(IF(VLOOKUP(Thu_W2[[#This Row],[Employee Name]],'Base Schedules'!$A$243:$AW$281,19,FALSE)="","",VLOOKUP(Thu_W2[[#This Row],[Employee Name]],'Base Schedules'!$A$243:$AW$281,19,FALSE)),"")</f>
        <v/>
      </c>
      <c r="U35" s="184" t="str">
        <f>IFERROR(IF(VLOOKUP(Thu_W2[[#This Row],[Employee Name]],'Base Schedules'!$A$243:$AW$281,20,FALSE)="","",VLOOKUP(Thu_W2[[#This Row],[Employee Name]],'Base Schedules'!$A$243:$AW$281,20,FALSE)),"")</f>
        <v/>
      </c>
      <c r="V35" s="184" t="str">
        <f>IFERROR(IF(VLOOKUP(Thu_W2[[#This Row],[Employee Name]],'Base Schedules'!$A$243:$AW$281,21,FALSE)="","",VLOOKUP(Thu_W2[[#This Row],[Employee Name]],'Base Schedules'!$A$243:$AW$281,21,FALSE)),"")</f>
        <v/>
      </c>
      <c r="W35" s="184" t="str">
        <f>IFERROR(IF(VLOOKUP(Thu_W2[[#This Row],[Employee Name]],'Base Schedules'!$A$243:$AW$281,22,FALSE)="","",VLOOKUP(Thu_W2[[#This Row],[Employee Name]],'Base Schedules'!$A$243:$AW$281,22,FALSE)),"")</f>
        <v/>
      </c>
      <c r="X35" s="184" t="str">
        <f>IFERROR(IF(VLOOKUP(Thu_W2[[#This Row],[Employee Name]],'Base Schedules'!$A$243:$AW$281,23,FALSE)="","",VLOOKUP(Thu_W2[[#This Row],[Employee Name]],'Base Schedules'!$A$243:$AW$281,23,FALSE)),"")</f>
        <v/>
      </c>
      <c r="Y35" s="184" t="str">
        <f>IFERROR(IF(VLOOKUP(Thu_W2[[#This Row],[Employee Name]],'Base Schedules'!$A$243:$AW$281,24,FALSE)="","",VLOOKUP(Thu_W2[[#This Row],[Employee Name]],'Base Schedules'!$A$243:$AW$281,24,FALSE)),"")</f>
        <v/>
      </c>
      <c r="Z35" s="184" t="str">
        <f>IFERROR(IF(VLOOKUP(Thu_W2[[#This Row],[Employee Name]],'Base Schedules'!$A$243:$AW$281,25,FALSE)="","",VLOOKUP(Thu_W2[[#This Row],[Employee Name]],'Base Schedules'!$A$243:$AW$281,25,FALSE)),"")</f>
        <v>ADM</v>
      </c>
      <c r="AA35" s="184" t="str">
        <f>IFERROR(IF(VLOOKUP(Thu_W2[[#This Row],[Employee Name]],'Base Schedules'!$A$243:$AW$281,26,FALSE)="","",VLOOKUP(Thu_W2[[#This Row],[Employee Name]],'Base Schedules'!$A$243:$AW$281,26,FALSE)),"")</f>
        <v>ADM</v>
      </c>
      <c r="AB35" s="184" t="str">
        <f>IFERROR(IF(VLOOKUP(Thu_W2[[#This Row],[Employee Name]],'Base Schedules'!$A$243:$AW$281,27,FALSE)="","",VLOOKUP(Thu_W2[[#This Row],[Employee Name]],'Base Schedules'!$A$243:$AW$281,27,FALSE)),"")</f>
        <v>ADM</v>
      </c>
      <c r="AC35" s="184" t="str">
        <f>IFERROR(IF(VLOOKUP(Thu_W2[[#This Row],[Employee Name]],'Base Schedules'!$A$243:$AW$281,28,FALSE)="","",VLOOKUP(Thu_W2[[#This Row],[Employee Name]],'Base Schedules'!$A$243:$AW$281,28,FALSE)),"")</f>
        <v>ADM</v>
      </c>
      <c r="AD35" s="184" t="str">
        <f>IFERROR(IF(VLOOKUP(Thu_W2[[#This Row],[Employee Name]],'Base Schedules'!$A$243:$AW$281,29,FALSE)="","",VLOOKUP(Thu_W2[[#This Row],[Employee Name]],'Base Schedules'!$A$243:$AW$281,29,FALSE)),"")</f>
        <v>B1 ADM</v>
      </c>
      <c r="AE35" s="184" t="str">
        <f>IFERROR(IF(VLOOKUP(Thu_W2[[#This Row],[Employee Name]],'Base Schedules'!$A$243:$AW$281,30,FALSE)="","",VLOOKUP(Thu_W2[[#This Row],[Employee Name]],'Base Schedules'!$A$243:$AW$281,30,FALSE)),"")</f>
        <v>ADM</v>
      </c>
      <c r="AF35" s="184" t="str">
        <f>IFERROR(IF(VLOOKUP(Thu_W2[[#This Row],[Employee Name]],'Base Schedules'!$A$243:$AW$281,31,FALSE)="","",VLOOKUP(Thu_W2[[#This Row],[Employee Name]],'Base Schedules'!$A$243:$AW$281,31,FALSE)),"")</f>
        <v>RNNR</v>
      </c>
      <c r="AG35" s="184" t="str">
        <f>IFERROR(IF(VLOOKUP(Thu_W2[[#This Row],[Employee Name]],'Base Schedules'!$A$243:$AW$281,32,FALSE)="","",VLOOKUP(Thu_W2[[#This Row],[Employee Name]],'Base Schedules'!$A$243:$AW$281,32,FALSE)),"")</f>
        <v>RNNR</v>
      </c>
      <c r="AH35" s="184" t="str">
        <f>IFERROR(IF(VLOOKUP(Thu_W2[[#This Row],[Employee Name]],'Base Schedules'!$A$243:$AW$281,33,FALSE)="","",VLOOKUP(Thu_W2[[#This Row],[Employee Name]],'Base Schedules'!$A$243:$AW$281,33,FALSE)),"")</f>
        <v>LUNCH</v>
      </c>
      <c r="AI35" s="184" t="str">
        <f>IFERROR(IF(VLOOKUP(Thu_W2[[#This Row],[Employee Name]],'Base Schedules'!$A$243:$AW$281,34,FALSE)="","",VLOOKUP(Thu_W2[[#This Row],[Employee Name]],'Base Schedules'!$A$243:$AW$281,34,FALSE)),"")</f>
        <v>HL</v>
      </c>
      <c r="AJ35" s="184" t="str">
        <f>IFERROR(IF(VLOOKUP(Thu_W2[[#This Row],[Employee Name]],'Base Schedules'!$A$243:$AW$281,35,FALSE)="","",VLOOKUP(Thu_W2[[#This Row],[Employee Name]],'Base Schedules'!$A$243:$AW$281,35,FALSE)),"")</f>
        <v>HL</v>
      </c>
      <c r="AK35" s="184" t="str">
        <f>IFERROR(IF(VLOOKUP(Thu_W2[[#This Row],[Employee Name]],'Base Schedules'!$A$243:$AW$281,36,FALSE)="","",VLOOKUP(Thu_W2[[#This Row],[Employee Name]],'Base Schedules'!$A$243:$AW$281,36,FALSE)),"")</f>
        <v>HL</v>
      </c>
      <c r="AL35" s="184" t="str">
        <f>IFERROR(IF(VLOOKUP(Thu_W2[[#This Row],[Employee Name]],'Base Schedules'!$A$243:$AW$281,37,FALSE)="","",VLOOKUP(Thu_W2[[#This Row],[Employee Name]],'Base Schedules'!$A$243:$AW$281,37,FALSE)),"")</f>
        <v>HL B2</v>
      </c>
      <c r="AM35" s="184" t="str">
        <f>IFERROR(IF(VLOOKUP(Thu_W2[[#This Row],[Employee Name]],'Base Schedules'!$A$243:$AW$281,38,FALSE)="","",VLOOKUP(Thu_W2[[#This Row],[Employee Name]],'Base Schedules'!$A$243:$AW$281,38,FALSE)),"")</f>
        <v>HL</v>
      </c>
      <c r="AN35" s="184" t="str">
        <f>IFERROR(IF(VLOOKUP(Thu_W2[[#This Row],[Employee Name]],'Base Schedules'!$A$243:$AW$281,39,FALSE)="","",VLOOKUP(Thu_W2[[#This Row],[Employee Name]],'Base Schedules'!$A$243:$AW$281,39,FALSE)),"")</f>
        <v>HL</v>
      </c>
      <c r="AO35" s="184" t="str">
        <f>IFERROR(IF(VLOOKUP(Thu_W2[[#This Row],[Employee Name]],'Base Schedules'!$A$243:$AW$281,40,FALSE)="","",VLOOKUP(Thu_W2[[#This Row],[Employee Name]],'Base Schedules'!$A$243:$AW$281,40,FALSE)),"")</f>
        <v>HL</v>
      </c>
      <c r="AP35" s="184" t="str">
        <f>IFERROR(IF(VLOOKUP(Thu_W2[[#This Row],[Employee Name]],'Base Schedules'!$A$243:$AW$281,41,FALSE)="","",VLOOKUP(Thu_W2[[#This Row],[Employee Name]],'Base Schedules'!$A$243:$AW$281,41,FALSE)),"")</f>
        <v>HL</v>
      </c>
      <c r="AQ35" s="184" t="str">
        <f>IFERROR(IF(VLOOKUP(Thu_W2[[#This Row],[Employee Name]],'Base Schedules'!$A$243:$AW$281,42,FALSE)="","",VLOOKUP(Thu_W2[[#This Row],[Employee Name]],'Base Schedules'!$A$243:$AW$281,42,FALSE)),"")</f>
        <v/>
      </c>
      <c r="AR35" s="184" t="str">
        <f>IFERROR(IF(VLOOKUP(Thu_W2[[#This Row],[Employee Name]],'Base Schedules'!$A$243:$AW$281,43,FALSE)="","",VLOOKUP(Thu_W2[[#This Row],[Employee Name]],'Base Schedules'!$A$243:$AW$281,43,FALSE)),"")</f>
        <v/>
      </c>
      <c r="AS35" s="184" t="str">
        <f>IFERROR(IF(VLOOKUP(Thu_W2[[#This Row],[Employee Name]],'Base Schedules'!$A$243:$AW$281,44,FALSE)="","",VLOOKUP(Thu_W2[[#This Row],[Employee Name]],'Base Schedules'!$A$243:$AW$281,44,FALSE)),"")</f>
        <v/>
      </c>
      <c r="AT35" s="184" t="str">
        <f>IFERROR(IF(VLOOKUP(Thu_W2[[#This Row],[Employee Name]],'Base Schedules'!$A$243:$AW$281,45,FALSE)="","",VLOOKUP(Thu_W2[[#This Row],[Employee Name]],'Base Schedules'!$A$243:$AW$281,45,FALSE)),"")</f>
        <v/>
      </c>
      <c r="AU35" s="184" t="str">
        <f>IFERROR(IF(VLOOKUP(Thu_W2[[#This Row],[Employee Name]],'Base Schedules'!$A$243:$AW$281,46,FALSE)="","",VLOOKUP(Thu_W2[[#This Row],[Employee Name]],'Base Schedules'!$A$243:$AW$281,46,FALSE)),"")</f>
        <v/>
      </c>
      <c r="AV35" s="184" t="str">
        <f>IFERROR(IF(VLOOKUP(Thu_W2[[#This Row],[Employee Name]],'Base Schedules'!$A$243:$AW$281,47,FALSE)="","",VLOOKUP(Thu_W2[[#This Row],[Employee Name]],'Base Schedules'!$A$243:$AW$281,47,FALSE)),"")</f>
        <v/>
      </c>
      <c r="AW35" s="184" t="str">
        <f>IFERROR(IF(VLOOKUP(Thu_W2[[#This Row],[Employee Name]],'Base Schedules'!$A$243:$AW$281,48,FALSE)="","",VLOOKUP(Thu_W2[[#This Row],[Employee Name]],'Base Schedules'!$A$243:$AW$281,48,FALSE)),"")</f>
        <v/>
      </c>
      <c r="AX35" s="184" t="str">
        <f>IFERROR(IF(VLOOKUP(Thu_W2[[#This Row],[Employee Name]],'Base Schedules'!$A$243:$AW$281,49,FALSE)="","",VLOOKUP(Thu_W2[[#This Row],[Employee Name]],'Base Schedules'!$A$243:$AW$281,49,FALSE)),"")</f>
        <v/>
      </c>
      <c r="AY35" s="245" t="str">
        <f t="shared" si="2"/>
        <v>Mood, Ken</v>
      </c>
    </row>
    <row r="36" spans="1:51" s="44" customFormat="1" ht="12" customHeight="1" x14ac:dyDescent="0.2">
      <c r="A36" s="39" t="str">
        <f>IF(B36="","",INDEX(TeamList[],MATCH($B36,TeamList[[Employee Name]:[Employee Name]],0),MATCH("Manager",TeamList[#Headers],0)))</f>
        <v>Olson, Katherine</v>
      </c>
      <c r="B36" s="201" t="s">
        <v>57</v>
      </c>
      <c r="C36" s="257" t="str">
        <f>_xlfn.IFNA(VLOOKUP(Thu_W2[[#This Row],[Employee Name]],'Base Schedules'!A:B,2,FALSE),"")</f>
        <v>Supervisor</v>
      </c>
      <c r="D36" s="274">
        <f>_xlfn.IFNA(VLOOKUP(Thu_W2[[#This Row],[Employee Name]],'Base Schedules'!A:C,3,FALSE),"")</f>
        <v>1300</v>
      </c>
      <c r="E36" s="274">
        <f>_xlfn.IFNA(VLOOKUP(Thu_W2[[#This Row],[Employee Name]],'Base Schedules'!A:D,4,FALSE),"")</f>
        <v>2200</v>
      </c>
      <c r="F36" s="142">
        <f>IF(Thu_W2[[#This Row],[Employee Name]]="","",IF(Thu_W2[[#This Row],[Dept]]="Supervisor",COUNTIFS($J36:$AX36,"*HL*",$J36:$AX36,"&lt;&gt;"&amp;"pHL"),COUNTIFS($J36:$AX36,"*HL*",$J36:$AX36,"&lt;&gt;"&amp;"*pHL*",$J36:$AX36,"&lt;&gt;"&amp;"pB1 HL",$J36:$AX36,"&lt;&gt;"&amp;"pB2 HL")-SUM(COUNTIFS($J36:$AX36,"*HL B1*",$J36:$AX36,"&lt;&gt;"&amp;"pHL B1")*0.5,COUNTIFS($J36:$AX36,"*HL B2*",$J36:$AX36,"&lt;&gt;"&amp;"pHL B2")*0.5,COUNTIFS($J36:$AX36,"*B1 HL*",$J36:$AX36,"&lt;&gt;"&amp;"pB1 HL")*0.5,COUNTIFS($J36:$AX36,"*B2 HL*",$J36:$AX36,"&lt;&gt;"&amp;"pB2 HL")*0.5)))</f>
        <v>0</v>
      </c>
      <c r="G36" s="142">
        <f t="shared" si="3"/>
        <v>4</v>
      </c>
      <c r="H36" s="142">
        <f t="shared" si="1"/>
        <v>0</v>
      </c>
      <c r="I36" s="142">
        <f>IF(Thu_W2[[#This Row],[Employee Name]]="","",IF(Thu_W2[[#This Row],[Dept]]="Supervisor",SUM(COUNTIFS($J36:$AX36,"RTA*",$J36:$AX36,"&lt;&gt;"&amp;"pRTA"),COUNTIFS($J36:$AX36,"*CRTA*",$J36:$AX36,"&lt;&gt;"&amp;"pCRTA")),COUNTIFS($J36:$AX36,"*RNNR*",$J36:$AX36,"&lt;&gt;"&amp;"*pRNNR*",$J36:$AX36,"&lt;&gt;"&amp;"pB1 RNNR",$J36:$AX36,"&lt;&gt;"&amp;"pB2 RNNR")-SUM(COUNTIFS($J36:$AX36,"*RNNR B1*",$J36:$AX36,"&lt;&gt;"&amp;"pRNNR B1")*0.5,COUNTIFS($J36:$AX36,"*RNNR B2*",$J36:$AX36,"&lt;&gt;"&amp;"pRNNR B2")*0.5,COUNTIFS($J36:$AX36,"*B1 RNNR*",$J36:$AX36,"&lt;&gt;"&amp;"pB1 RNNR")*0.5,COUNTIFS($J36:$AX36,"*B2 RNNR*",$J36:$AX36,"&lt;&gt;"&amp;"pB2 RNNR")*0.5)))</f>
        <v>0</v>
      </c>
      <c r="J36" s="184" t="str">
        <f>IFERROR(IF(VLOOKUP(Thu_W2[[#This Row],[Employee Name]],'Base Schedules'!$A$243:$AW$281,9,FALSE)="","",VLOOKUP(Thu_W2[[#This Row],[Employee Name]],'Base Schedules'!$A$243:$AW$281,9,FALSE)),"")</f>
        <v/>
      </c>
      <c r="K36" s="184" t="str">
        <f>IFERROR(IF(VLOOKUP(Thu_W2[[#This Row],[Employee Name]],'Base Schedules'!$A$243:$AW$281,10,FALSE)="","",VLOOKUP(Thu_W2[[#This Row],[Employee Name]],'Base Schedules'!$A$243:$AW$281,10,FALSE)),"")</f>
        <v/>
      </c>
      <c r="L36" s="184" t="str">
        <f>IFERROR(IF(VLOOKUP(Thu_W2[[#This Row],[Employee Name]],'Base Schedules'!$A$243:$AW$281,11,FALSE)="","",VLOOKUP(Thu_W2[[#This Row],[Employee Name]],'Base Schedules'!$A$243:$AW$281,11,FALSE)),"")</f>
        <v/>
      </c>
      <c r="M36" s="184" t="str">
        <f>IFERROR(IF(VLOOKUP(Thu_W2[[#This Row],[Employee Name]],'Base Schedules'!$A$243:$AW$281,12,FALSE)="","",VLOOKUP(Thu_W2[[#This Row],[Employee Name]],'Base Schedules'!$A$243:$AW$281,12,FALSE)),"")</f>
        <v/>
      </c>
      <c r="N36" s="184" t="str">
        <f>IFERROR(IF(VLOOKUP(Thu_W2[[#This Row],[Employee Name]],'Base Schedules'!$A$243:$AW$281,13,FALSE)="","",VLOOKUP(Thu_W2[[#This Row],[Employee Name]],'Base Schedules'!$A$243:$AW$281,13,FALSE)),"")</f>
        <v/>
      </c>
      <c r="O36" s="184" t="str">
        <f>IFERROR(IF(VLOOKUP(Thu_W2[[#This Row],[Employee Name]],'Base Schedules'!$A$243:$AW$281,14,FALSE)="","",VLOOKUP(Thu_W2[[#This Row],[Employee Name]],'Base Schedules'!$A$243:$AW$281,14,FALSE)),"")</f>
        <v/>
      </c>
      <c r="P36" s="184" t="str">
        <f>IFERROR(IF(VLOOKUP(Thu_W2[[#This Row],[Employee Name]],'Base Schedules'!$A$243:$AW$281,15,FALSE)="","",VLOOKUP(Thu_W2[[#This Row],[Employee Name]],'Base Schedules'!$A$243:$AW$281,15,FALSE)),"")</f>
        <v/>
      </c>
      <c r="Q36" s="184" t="str">
        <f>IFERROR(IF(VLOOKUP(Thu_W2[[#This Row],[Employee Name]],'Base Schedules'!$A$243:$AW$281,16,FALSE)="","",VLOOKUP(Thu_W2[[#This Row],[Employee Name]],'Base Schedules'!$A$243:$AW$281,16,FALSE)),"")</f>
        <v/>
      </c>
      <c r="R36" s="184" t="str">
        <f>IFERROR(IF(VLOOKUP(Thu_W2[[#This Row],[Employee Name]],'Base Schedules'!$A$243:$AW$281,17,FALSE)="","",VLOOKUP(Thu_W2[[#This Row],[Employee Name]],'Base Schedules'!$A$243:$AW$281,17,FALSE)),"")</f>
        <v/>
      </c>
      <c r="S36" s="184" t="str">
        <f>IFERROR(IF(VLOOKUP(Thu_W2[[#This Row],[Employee Name]],'Base Schedules'!$A$243:$AW$281,18,FALSE)="","",VLOOKUP(Thu_W2[[#This Row],[Employee Name]],'Base Schedules'!$A$243:$AW$281,18,FALSE)),"")</f>
        <v/>
      </c>
      <c r="T36" s="184" t="str">
        <f>IFERROR(IF(VLOOKUP(Thu_W2[[#This Row],[Employee Name]],'Base Schedules'!$A$243:$AW$281,19,FALSE)="","",VLOOKUP(Thu_W2[[#This Row],[Employee Name]],'Base Schedules'!$A$243:$AW$281,19,FALSE)),"")</f>
        <v/>
      </c>
      <c r="U36" s="184" t="str">
        <f>IFERROR(IF(VLOOKUP(Thu_W2[[#This Row],[Employee Name]],'Base Schedules'!$A$243:$AW$281,20,FALSE)="","",VLOOKUP(Thu_W2[[#This Row],[Employee Name]],'Base Schedules'!$A$243:$AW$281,20,FALSE)),"")</f>
        <v/>
      </c>
      <c r="V36" s="184" t="str">
        <f>IFERROR(IF(VLOOKUP(Thu_W2[[#This Row],[Employee Name]],'Base Schedules'!$A$243:$AW$281,21,FALSE)="","",VLOOKUP(Thu_W2[[#This Row],[Employee Name]],'Base Schedules'!$A$243:$AW$281,21,FALSE)),"")</f>
        <v/>
      </c>
      <c r="W36" s="184" t="str">
        <f>IFERROR(IF(VLOOKUP(Thu_W2[[#This Row],[Employee Name]],'Base Schedules'!$A$243:$AW$281,22,FALSE)="","",VLOOKUP(Thu_W2[[#This Row],[Employee Name]],'Base Schedules'!$A$243:$AW$281,22,FALSE)),"")</f>
        <v/>
      </c>
      <c r="X36" s="184" t="str">
        <f>IFERROR(IF(VLOOKUP(Thu_W2[[#This Row],[Employee Name]],'Base Schedules'!$A$243:$AW$281,23,FALSE)="","",VLOOKUP(Thu_W2[[#This Row],[Employee Name]],'Base Schedules'!$A$243:$AW$281,23,FALSE)),"")</f>
        <v/>
      </c>
      <c r="Y36" s="184" t="str">
        <f>IFERROR(IF(VLOOKUP(Thu_W2[[#This Row],[Employee Name]],'Base Schedules'!$A$243:$AW$281,24,FALSE)="","",VLOOKUP(Thu_W2[[#This Row],[Employee Name]],'Base Schedules'!$A$243:$AW$281,24,FALSE)),"")</f>
        <v/>
      </c>
      <c r="Z36" s="184" t="str">
        <f>IFERROR(IF(VLOOKUP(Thu_W2[[#This Row],[Employee Name]],'Base Schedules'!$A$243:$AW$281,25,FALSE)="","",VLOOKUP(Thu_W2[[#This Row],[Employee Name]],'Base Schedules'!$A$243:$AW$281,25,FALSE)),"")</f>
        <v>-</v>
      </c>
      <c r="AA36" s="184" t="str">
        <f>IFERROR(IF(VLOOKUP(Thu_W2[[#This Row],[Employee Name]],'Base Schedules'!$A$243:$AW$281,26,FALSE)="","",VLOOKUP(Thu_W2[[#This Row],[Employee Name]],'Base Schedules'!$A$243:$AW$281,26,FALSE)),"")</f>
        <v>-</v>
      </c>
      <c r="AB36" s="184" t="str">
        <f>IFERROR(IF(VLOOKUP(Thu_W2[[#This Row],[Employee Name]],'Base Schedules'!$A$243:$AW$281,27,FALSE)="","",VLOOKUP(Thu_W2[[#This Row],[Employee Name]],'Base Schedules'!$A$243:$AW$281,27,FALSE)),"")</f>
        <v>-</v>
      </c>
      <c r="AC36" s="184" t="str">
        <f>IFERROR(IF(VLOOKUP(Thu_W2[[#This Row],[Employee Name]],'Base Schedules'!$A$243:$AW$281,28,FALSE)="","",VLOOKUP(Thu_W2[[#This Row],[Employee Name]],'Base Schedules'!$A$243:$AW$281,28,FALSE)),"")</f>
        <v>-</v>
      </c>
      <c r="AD36" s="184" t="str">
        <f>IFERROR(IF(VLOOKUP(Thu_W2[[#This Row],[Employee Name]],'Base Schedules'!$A$243:$AW$281,29,FALSE)="","",VLOOKUP(Thu_W2[[#This Row],[Employee Name]],'Base Schedules'!$A$243:$AW$281,29,FALSE)),"")</f>
        <v>Coaching</v>
      </c>
      <c r="AE36" s="184" t="str">
        <f>IFERROR(IF(VLOOKUP(Thu_W2[[#This Row],[Employee Name]],'Base Schedules'!$A$243:$AW$281,30,FALSE)="","",VLOOKUP(Thu_W2[[#This Row],[Employee Name]],'Base Schedules'!$A$243:$AW$281,30,FALSE)),"")</f>
        <v>Coaching</v>
      </c>
      <c r="AF36" s="184" t="str">
        <f>IFERROR(IF(VLOOKUP(Thu_W2[[#This Row],[Employee Name]],'Base Schedules'!$A$243:$AW$281,31,FALSE)="","",VLOOKUP(Thu_W2[[#This Row],[Employee Name]],'Base Schedules'!$A$243:$AW$281,31,FALSE)),"")</f>
        <v>Coaching</v>
      </c>
      <c r="AG36" s="184" t="str">
        <f>IFERROR(IF(VLOOKUP(Thu_W2[[#This Row],[Employee Name]],'Base Schedules'!$A$243:$AW$281,32,FALSE)="","",VLOOKUP(Thu_W2[[#This Row],[Employee Name]],'Base Schedules'!$A$243:$AW$281,32,FALSE)),"")</f>
        <v>Coaching</v>
      </c>
      <c r="AH36" s="184" t="str">
        <f>IFERROR(IF(VLOOKUP(Thu_W2[[#This Row],[Employee Name]],'Base Schedules'!$A$243:$AW$281,33,FALSE)="","",VLOOKUP(Thu_W2[[#This Row],[Employee Name]],'Base Schedules'!$A$243:$AW$281,33,FALSE)),"")</f>
        <v>-</v>
      </c>
      <c r="AI36" s="184" t="str">
        <f>IFERROR(IF(VLOOKUP(Thu_W2[[#This Row],[Employee Name]],'Base Schedules'!$A$243:$AW$281,34,FALSE)="","",VLOOKUP(Thu_W2[[#This Row],[Employee Name]],'Base Schedules'!$A$243:$AW$281,34,FALSE)),"")</f>
        <v>-</v>
      </c>
      <c r="AJ36" s="184" t="str">
        <f>IFERROR(IF(VLOOKUP(Thu_W2[[#This Row],[Employee Name]],'Base Schedules'!$A$243:$AW$281,35,FALSE)="","",VLOOKUP(Thu_W2[[#This Row],[Employee Name]],'Base Schedules'!$A$243:$AW$281,35,FALSE)),"")</f>
        <v>-</v>
      </c>
      <c r="AK36" s="184" t="str">
        <f>IFERROR(IF(VLOOKUP(Thu_W2[[#This Row],[Employee Name]],'Base Schedules'!$A$243:$AW$281,36,FALSE)="","",VLOOKUP(Thu_W2[[#This Row],[Employee Name]],'Base Schedules'!$A$243:$AW$281,36,FALSE)),"")</f>
        <v>TM PREP</v>
      </c>
      <c r="AL36" s="184" t="str">
        <f>IFERROR(IF(VLOOKUP(Thu_W2[[#This Row],[Employee Name]],'Base Schedules'!$A$243:$AW$281,37,FALSE)="","",VLOOKUP(Thu_W2[[#This Row],[Employee Name]],'Base Schedules'!$A$243:$AW$281,37,FALSE)),"")</f>
        <v>Cultice TM</v>
      </c>
      <c r="AM36" s="184" t="str">
        <f>IFERROR(IF(VLOOKUP(Thu_W2[[#This Row],[Employee Name]],'Base Schedules'!$A$243:$AW$281,38,FALSE)="","",VLOOKUP(Thu_W2[[#This Row],[Employee Name]],'Base Schedules'!$A$243:$AW$281,38,FALSE)),"")</f>
        <v>Cultice TM</v>
      </c>
      <c r="AN36" s="184" t="str">
        <f>IFERROR(IF(VLOOKUP(Thu_W2[[#This Row],[Employee Name]],'Base Schedules'!$A$243:$AW$281,39,FALSE)="","",VLOOKUP(Thu_W2[[#This Row],[Employee Name]],'Base Schedules'!$A$243:$AW$281,39,FALSE)),"")</f>
        <v>-</v>
      </c>
      <c r="AO36" s="184" t="str">
        <f>IFERROR(IF(VLOOKUP(Thu_W2[[#This Row],[Employee Name]],'Base Schedules'!$A$243:$AW$281,40,FALSE)="","",VLOOKUP(Thu_W2[[#This Row],[Employee Name]],'Base Schedules'!$A$243:$AW$281,40,FALSE)),"")</f>
        <v>-</v>
      </c>
      <c r="AP36" s="184" t="str">
        <f>IFERROR(IF(VLOOKUP(Thu_W2[[#This Row],[Employee Name]],'Base Schedules'!$A$243:$AW$281,41,FALSE)="","",VLOOKUP(Thu_W2[[#This Row],[Employee Name]],'Base Schedules'!$A$243:$AW$281,41,FALSE)),"")</f>
        <v>-</v>
      </c>
      <c r="AQ36" s="184" t="str">
        <f>IFERROR(IF(VLOOKUP(Thu_W2[[#This Row],[Employee Name]],'Base Schedules'!$A$243:$AW$281,42,FALSE)="","",VLOOKUP(Thu_W2[[#This Row],[Employee Name]],'Base Schedules'!$A$243:$AW$281,42,FALSE)),"")</f>
        <v>-</v>
      </c>
      <c r="AR36" s="184" t="str">
        <f>IFERROR(IF(VLOOKUP(Thu_W2[[#This Row],[Employee Name]],'Base Schedules'!$A$243:$AW$281,43,FALSE)="","",VLOOKUP(Thu_W2[[#This Row],[Employee Name]],'Base Schedules'!$A$243:$AW$281,43,FALSE)),"")</f>
        <v/>
      </c>
      <c r="AS36" s="184" t="str">
        <f>IFERROR(IF(VLOOKUP(Thu_W2[[#This Row],[Employee Name]],'Base Schedules'!$A$243:$AW$281,44,FALSE)="","",VLOOKUP(Thu_W2[[#This Row],[Employee Name]],'Base Schedules'!$A$243:$AW$281,44,FALSE)),"")</f>
        <v/>
      </c>
      <c r="AT36" s="184" t="str">
        <f>IFERROR(IF(VLOOKUP(Thu_W2[[#This Row],[Employee Name]],'Base Schedules'!$A$243:$AW$281,45,FALSE)="","",VLOOKUP(Thu_W2[[#This Row],[Employee Name]],'Base Schedules'!$A$243:$AW$281,45,FALSE)),"")</f>
        <v/>
      </c>
      <c r="AU36" s="184" t="str">
        <f>IFERROR(IF(VLOOKUP(Thu_W2[[#This Row],[Employee Name]],'Base Schedules'!$A$243:$AW$281,46,FALSE)="","",VLOOKUP(Thu_W2[[#This Row],[Employee Name]],'Base Schedules'!$A$243:$AW$281,46,FALSE)),"")</f>
        <v/>
      </c>
      <c r="AV36" s="184" t="str">
        <f>IFERROR(IF(VLOOKUP(Thu_W2[[#This Row],[Employee Name]],'Base Schedules'!$A$243:$AW$281,47,FALSE)="","",VLOOKUP(Thu_W2[[#This Row],[Employee Name]],'Base Schedules'!$A$243:$AW$281,47,FALSE)),"")</f>
        <v/>
      </c>
      <c r="AW36" s="184" t="str">
        <f>IFERROR(IF(VLOOKUP(Thu_W2[[#This Row],[Employee Name]],'Base Schedules'!$A$243:$AW$281,48,FALSE)="","",VLOOKUP(Thu_W2[[#This Row],[Employee Name]],'Base Schedules'!$A$243:$AW$281,48,FALSE)),"")</f>
        <v/>
      </c>
      <c r="AX36" s="184" t="str">
        <f>IFERROR(IF(VLOOKUP(Thu_W2[[#This Row],[Employee Name]],'Base Schedules'!$A$243:$AW$281,49,FALSE)="","",VLOOKUP(Thu_W2[[#This Row],[Employee Name]],'Base Schedules'!$A$243:$AW$281,49,FALSE)),"")</f>
        <v/>
      </c>
      <c r="AY36" s="245" t="str">
        <f t="shared" si="2"/>
        <v>Cultice, Diana</v>
      </c>
    </row>
    <row r="37" spans="1:51" s="44" customFormat="1" ht="12" customHeight="1" x14ac:dyDescent="0.2">
      <c r="A37" s="39" t="str">
        <f>IF(B37="","",INDEX(TeamList[],MATCH($B37,TeamList[[Employee Name]:[Employee Name]],0),MATCH("Manager",TeamList[#Headers],0)))</f>
        <v>Paulson, Matthew</v>
      </c>
      <c r="B37" s="201" t="s">
        <v>59</v>
      </c>
      <c r="C37" s="257" t="str">
        <f>_xlfn.IFNA(VLOOKUP(Thu_W2[[#This Row],[Employee Name]],'Base Schedules'!A:B,2,FALSE),"")</f>
        <v>Supervisor</v>
      </c>
      <c r="D37" s="274">
        <f>_xlfn.IFNA(VLOOKUP(Thu_W2[[#This Row],[Employee Name]],'Base Schedules'!A:C,3,FALSE),"")</f>
        <v>1300</v>
      </c>
      <c r="E37" s="274">
        <f>_xlfn.IFNA(VLOOKUP(Thu_W2[[#This Row],[Employee Name]],'Base Schedules'!A:D,4,FALSE),"")</f>
        <v>2200</v>
      </c>
      <c r="F37" s="142">
        <f>IF(Thu_W2[[#This Row],[Employee Name]]="","",IF(Thu_W2[[#This Row],[Dept]]="Supervisor",COUNTIFS($J37:$AX37,"*HL*",$J37:$AX37,"&lt;&gt;"&amp;"pHL"),COUNTIFS($J37:$AX37,"*HL*",$J37:$AX37,"&lt;&gt;"&amp;"*pHL*",$J37:$AX37,"&lt;&gt;"&amp;"pB1 HL",$J37:$AX37,"&lt;&gt;"&amp;"pB2 HL")-SUM(COUNTIFS($J37:$AX37,"*HL B1*",$J37:$AX37,"&lt;&gt;"&amp;"pHL B1")*0.5,COUNTIFS($J37:$AX37,"*HL B2*",$J37:$AX37,"&lt;&gt;"&amp;"pHL B2")*0.5,COUNTIFS($J37:$AX37,"*B1 HL*",$J37:$AX37,"&lt;&gt;"&amp;"pB1 HL")*0.5,COUNTIFS($J37:$AX37,"*B2 HL*",$J37:$AX37,"&lt;&gt;"&amp;"pB2 HL")*0.5)))</f>
        <v>0</v>
      </c>
      <c r="G37" s="142">
        <f t="shared" si="3"/>
        <v>0</v>
      </c>
      <c r="H37" s="142">
        <f t="shared" si="1"/>
        <v>0</v>
      </c>
      <c r="I37" s="142">
        <f>IF(Thu_W2[[#This Row],[Employee Name]]="","",IF(Thu_W2[[#This Row],[Dept]]="Supervisor",SUM(COUNTIFS($J37:$AX37,"RTA*",$J37:$AX37,"&lt;&gt;"&amp;"pRTA"),COUNTIFS($J37:$AX37,"*CRTA*",$J37:$AX37,"&lt;&gt;"&amp;"pCRTA")),COUNTIFS($J37:$AX37,"*RNNR*",$J37:$AX37,"&lt;&gt;"&amp;"*pRNNR*",$J37:$AX37,"&lt;&gt;"&amp;"pB1 RNNR",$J37:$AX37,"&lt;&gt;"&amp;"pB2 RNNR")-SUM(COUNTIFS($J37:$AX37,"*RNNR B1*",$J37:$AX37,"&lt;&gt;"&amp;"pRNNR B1")*0.5,COUNTIFS($J37:$AX37,"*RNNR B2*",$J37:$AX37,"&lt;&gt;"&amp;"pRNNR B2")*0.5,COUNTIFS($J37:$AX37,"*B1 RNNR*",$J37:$AX37,"&lt;&gt;"&amp;"pB1 RNNR")*0.5,COUNTIFS($J37:$AX37,"*B2 RNNR*",$J37:$AX37,"&lt;&gt;"&amp;"pB2 RNNR")*0.5)))</f>
        <v>0</v>
      </c>
      <c r="J37" s="184" t="str">
        <f>IFERROR(IF(VLOOKUP(Thu_W2[[#This Row],[Employee Name]],'Base Schedules'!$A$243:$AW$281,9,FALSE)="","",VLOOKUP(Thu_W2[[#This Row],[Employee Name]],'Base Schedules'!$A$243:$AW$281,9,FALSE)),"")</f>
        <v/>
      </c>
      <c r="K37" s="184" t="str">
        <f>IFERROR(IF(VLOOKUP(Thu_W2[[#This Row],[Employee Name]],'Base Schedules'!$A$243:$AW$281,10,FALSE)="","",VLOOKUP(Thu_W2[[#This Row],[Employee Name]],'Base Schedules'!$A$243:$AW$281,10,FALSE)),"")</f>
        <v/>
      </c>
      <c r="L37" s="184" t="str">
        <f>IFERROR(IF(VLOOKUP(Thu_W2[[#This Row],[Employee Name]],'Base Schedules'!$A$243:$AW$281,11,FALSE)="","",VLOOKUP(Thu_W2[[#This Row],[Employee Name]],'Base Schedules'!$A$243:$AW$281,11,FALSE)),"")</f>
        <v/>
      </c>
      <c r="M37" s="184" t="str">
        <f>IFERROR(IF(VLOOKUP(Thu_W2[[#This Row],[Employee Name]],'Base Schedules'!$A$243:$AW$281,12,FALSE)="","",VLOOKUP(Thu_W2[[#This Row],[Employee Name]],'Base Schedules'!$A$243:$AW$281,12,FALSE)),"")</f>
        <v/>
      </c>
      <c r="N37" s="184" t="str">
        <f>IFERROR(IF(VLOOKUP(Thu_W2[[#This Row],[Employee Name]],'Base Schedules'!$A$243:$AW$281,13,FALSE)="","",VLOOKUP(Thu_W2[[#This Row],[Employee Name]],'Base Schedules'!$A$243:$AW$281,13,FALSE)),"")</f>
        <v/>
      </c>
      <c r="O37" s="184" t="str">
        <f>IFERROR(IF(VLOOKUP(Thu_W2[[#This Row],[Employee Name]],'Base Schedules'!$A$243:$AW$281,14,FALSE)="","",VLOOKUP(Thu_W2[[#This Row],[Employee Name]],'Base Schedules'!$A$243:$AW$281,14,FALSE)),"")</f>
        <v/>
      </c>
      <c r="P37" s="184" t="str">
        <f>IFERROR(IF(VLOOKUP(Thu_W2[[#This Row],[Employee Name]],'Base Schedules'!$A$243:$AW$281,15,FALSE)="","",VLOOKUP(Thu_W2[[#This Row],[Employee Name]],'Base Schedules'!$A$243:$AW$281,15,FALSE)),"")</f>
        <v/>
      </c>
      <c r="Q37" s="184" t="str">
        <f>IFERROR(IF(VLOOKUP(Thu_W2[[#This Row],[Employee Name]],'Base Schedules'!$A$243:$AW$281,16,FALSE)="","",VLOOKUP(Thu_W2[[#This Row],[Employee Name]],'Base Schedules'!$A$243:$AW$281,16,FALSE)),"")</f>
        <v/>
      </c>
      <c r="R37" s="184" t="str">
        <f>IFERROR(IF(VLOOKUP(Thu_W2[[#This Row],[Employee Name]],'Base Schedules'!$A$243:$AW$281,17,FALSE)="","",VLOOKUP(Thu_W2[[#This Row],[Employee Name]],'Base Schedules'!$A$243:$AW$281,17,FALSE)),"")</f>
        <v/>
      </c>
      <c r="S37" s="184" t="str">
        <f>IFERROR(IF(VLOOKUP(Thu_W2[[#This Row],[Employee Name]],'Base Schedules'!$A$243:$AW$281,18,FALSE)="","",VLOOKUP(Thu_W2[[#This Row],[Employee Name]],'Base Schedules'!$A$243:$AW$281,18,FALSE)),"")</f>
        <v/>
      </c>
      <c r="T37" s="184" t="str">
        <f>IFERROR(IF(VLOOKUP(Thu_W2[[#This Row],[Employee Name]],'Base Schedules'!$A$243:$AW$281,19,FALSE)="","",VLOOKUP(Thu_W2[[#This Row],[Employee Name]],'Base Schedules'!$A$243:$AW$281,19,FALSE)),"")</f>
        <v/>
      </c>
      <c r="U37" s="184" t="str">
        <f>IFERROR(IF(VLOOKUP(Thu_W2[[#This Row],[Employee Name]],'Base Schedules'!$A$243:$AW$281,20,FALSE)="","",VLOOKUP(Thu_W2[[#This Row],[Employee Name]],'Base Schedules'!$A$243:$AW$281,20,FALSE)),"")</f>
        <v/>
      </c>
      <c r="V37" s="184" t="str">
        <f>IFERROR(IF(VLOOKUP(Thu_W2[[#This Row],[Employee Name]],'Base Schedules'!$A$243:$AW$281,21,FALSE)="","",VLOOKUP(Thu_W2[[#This Row],[Employee Name]],'Base Schedules'!$A$243:$AW$281,21,FALSE)),"")</f>
        <v/>
      </c>
      <c r="W37" s="184" t="str">
        <f>IFERROR(IF(VLOOKUP(Thu_W2[[#This Row],[Employee Name]],'Base Schedules'!$A$243:$AW$281,22,FALSE)="","",VLOOKUP(Thu_W2[[#This Row],[Employee Name]],'Base Schedules'!$A$243:$AW$281,22,FALSE)),"")</f>
        <v/>
      </c>
      <c r="X37" s="184" t="str">
        <f>IFERROR(IF(VLOOKUP(Thu_W2[[#This Row],[Employee Name]],'Base Schedules'!$A$243:$AW$281,23,FALSE)="","",VLOOKUP(Thu_W2[[#This Row],[Employee Name]],'Base Schedules'!$A$243:$AW$281,23,FALSE)),"")</f>
        <v/>
      </c>
      <c r="Y37" s="184" t="str">
        <f>IFERROR(IF(VLOOKUP(Thu_W2[[#This Row],[Employee Name]],'Base Schedules'!$A$243:$AW$281,24,FALSE)="","",VLOOKUP(Thu_W2[[#This Row],[Employee Name]],'Base Schedules'!$A$243:$AW$281,24,FALSE)),"")</f>
        <v/>
      </c>
      <c r="Z37" s="184" t="str">
        <f>IFERROR(IF(VLOOKUP(Thu_W2[[#This Row],[Employee Name]],'Base Schedules'!$A$243:$AW$281,25,FALSE)="","",VLOOKUP(Thu_W2[[#This Row],[Employee Name]],'Base Schedules'!$A$243:$AW$281,25,FALSE)),"")</f>
        <v>-</v>
      </c>
      <c r="AA37" s="184" t="str">
        <f>IFERROR(IF(VLOOKUP(Thu_W2[[#This Row],[Employee Name]],'Base Schedules'!$A$243:$AW$281,26,FALSE)="","",VLOOKUP(Thu_W2[[#This Row],[Employee Name]],'Base Schedules'!$A$243:$AW$281,26,FALSE)),"")</f>
        <v>-</v>
      </c>
      <c r="AB37" s="184" t="str">
        <f>IFERROR(IF(VLOOKUP(Thu_W2[[#This Row],[Employee Name]],'Base Schedules'!$A$243:$AW$281,27,FALSE)="","",VLOOKUP(Thu_W2[[#This Row],[Employee Name]],'Base Schedules'!$A$243:$AW$281,27,FALSE)),"")</f>
        <v>-</v>
      </c>
      <c r="AC37" s="184" t="str">
        <f>IFERROR(IF(VLOOKUP(Thu_W2[[#This Row],[Employee Name]],'Base Schedules'!$A$243:$AW$281,28,FALSE)="","",VLOOKUP(Thu_W2[[#This Row],[Employee Name]],'Base Schedules'!$A$243:$AW$281,28,FALSE)),"")</f>
        <v>-</v>
      </c>
      <c r="AD37" s="184" t="str">
        <f>IFERROR(IF(VLOOKUP(Thu_W2[[#This Row],[Employee Name]],'Base Schedules'!$A$243:$AW$281,29,FALSE)="","",VLOOKUP(Thu_W2[[#This Row],[Employee Name]],'Base Schedules'!$A$243:$AW$281,29,FALSE)),"")</f>
        <v>Interview</v>
      </c>
      <c r="AE37" s="184" t="str">
        <f>IFERROR(IF(VLOOKUP(Thu_W2[[#This Row],[Employee Name]],'Base Schedules'!$A$243:$AW$281,30,FALSE)="","",VLOOKUP(Thu_W2[[#This Row],[Employee Name]],'Base Schedules'!$A$243:$AW$281,30,FALSE)),"")</f>
        <v>Interview</v>
      </c>
      <c r="AF37" s="184" t="str">
        <f>IFERROR(IF(VLOOKUP(Thu_W2[[#This Row],[Employee Name]],'Base Schedules'!$A$243:$AW$281,31,FALSE)="","",VLOOKUP(Thu_W2[[#This Row],[Employee Name]],'Base Schedules'!$A$243:$AW$281,31,FALSE)),"")</f>
        <v>-</v>
      </c>
      <c r="AG37" s="184" t="str">
        <f>IFERROR(IF(VLOOKUP(Thu_W2[[#This Row],[Employee Name]],'Base Schedules'!$A$243:$AW$281,32,FALSE)="","",VLOOKUP(Thu_W2[[#This Row],[Employee Name]],'Base Schedules'!$A$243:$AW$281,32,FALSE)),"")</f>
        <v>-</v>
      </c>
      <c r="AH37" s="184" t="str">
        <f>IFERROR(IF(VLOOKUP(Thu_W2[[#This Row],[Employee Name]],'Base Schedules'!$A$243:$AW$281,33,FALSE)="","",VLOOKUP(Thu_W2[[#This Row],[Employee Name]],'Base Schedules'!$A$243:$AW$281,33,FALSE)),"")</f>
        <v>-</v>
      </c>
      <c r="AI37" s="184" t="str">
        <f>IFERROR(IF(VLOOKUP(Thu_W2[[#This Row],[Employee Name]],'Base Schedules'!$A$243:$AW$281,34,FALSE)="","",VLOOKUP(Thu_W2[[#This Row],[Employee Name]],'Base Schedules'!$A$243:$AW$281,34,FALSE)),"")</f>
        <v>-</v>
      </c>
      <c r="AJ37" s="184" t="str">
        <f>IFERROR(IF(VLOOKUP(Thu_W2[[#This Row],[Employee Name]],'Base Schedules'!$A$243:$AW$281,35,FALSE)="","",VLOOKUP(Thu_W2[[#This Row],[Employee Name]],'Base Schedules'!$A$243:$AW$281,35,FALSE)),"")</f>
        <v>-</v>
      </c>
      <c r="AK37" s="184" t="str">
        <f>IFERROR(IF(VLOOKUP(Thu_W2[[#This Row],[Employee Name]],'Base Schedules'!$A$243:$AW$281,36,FALSE)="","",VLOOKUP(Thu_W2[[#This Row],[Employee Name]],'Base Schedules'!$A$243:$AW$281,36,FALSE)),"")</f>
        <v>-</v>
      </c>
      <c r="AL37" s="184" t="str">
        <f>IFERROR(IF(VLOOKUP(Thu_W2[[#This Row],[Employee Name]],'Base Schedules'!$A$243:$AW$281,37,FALSE)="","",VLOOKUP(Thu_W2[[#This Row],[Employee Name]],'Base Schedules'!$A$243:$AW$281,37,FALSE)),"")</f>
        <v>-</v>
      </c>
      <c r="AM37" s="184" t="str">
        <f>IFERROR(IF(VLOOKUP(Thu_W2[[#This Row],[Employee Name]],'Base Schedules'!$A$243:$AW$281,38,FALSE)="","",VLOOKUP(Thu_W2[[#This Row],[Employee Name]],'Base Schedules'!$A$243:$AW$281,38,FALSE)),"")</f>
        <v>-</v>
      </c>
      <c r="AN37" s="184" t="str">
        <f>IFERROR(IF(VLOOKUP(Thu_W2[[#This Row],[Employee Name]],'Base Schedules'!$A$243:$AW$281,39,FALSE)="","",VLOOKUP(Thu_W2[[#This Row],[Employee Name]],'Base Schedules'!$A$243:$AW$281,39,FALSE)),"")</f>
        <v>-</v>
      </c>
      <c r="AO37" s="184" t="str">
        <f>IFERROR(IF(VLOOKUP(Thu_W2[[#This Row],[Employee Name]],'Base Schedules'!$A$243:$AW$281,40,FALSE)="","",VLOOKUP(Thu_W2[[#This Row],[Employee Name]],'Base Schedules'!$A$243:$AW$281,40,FALSE)),"")</f>
        <v>-</v>
      </c>
      <c r="AP37" s="184" t="str">
        <f>IFERROR(IF(VLOOKUP(Thu_W2[[#This Row],[Employee Name]],'Base Schedules'!$A$243:$AW$281,41,FALSE)="","",VLOOKUP(Thu_W2[[#This Row],[Employee Name]],'Base Schedules'!$A$243:$AW$281,41,FALSE)),"")</f>
        <v>-</v>
      </c>
      <c r="AQ37" s="184" t="str">
        <f>IFERROR(IF(VLOOKUP(Thu_W2[[#This Row],[Employee Name]],'Base Schedules'!$A$243:$AW$281,42,FALSE)="","",VLOOKUP(Thu_W2[[#This Row],[Employee Name]],'Base Schedules'!$A$243:$AW$281,42,FALSE)),"")</f>
        <v>-</v>
      </c>
      <c r="AR37" s="184" t="str">
        <f>IFERROR(IF(VLOOKUP(Thu_W2[[#This Row],[Employee Name]],'Base Schedules'!$A$243:$AW$281,43,FALSE)="","",VLOOKUP(Thu_W2[[#This Row],[Employee Name]],'Base Schedules'!$A$243:$AW$281,43,FALSE)),"")</f>
        <v/>
      </c>
      <c r="AS37" s="184" t="str">
        <f>IFERROR(IF(VLOOKUP(Thu_W2[[#This Row],[Employee Name]],'Base Schedules'!$A$243:$AW$281,44,FALSE)="","",VLOOKUP(Thu_W2[[#This Row],[Employee Name]],'Base Schedules'!$A$243:$AW$281,44,FALSE)),"")</f>
        <v/>
      </c>
      <c r="AT37" s="184" t="str">
        <f>IFERROR(IF(VLOOKUP(Thu_W2[[#This Row],[Employee Name]],'Base Schedules'!$A$243:$AW$281,45,FALSE)="","",VLOOKUP(Thu_W2[[#This Row],[Employee Name]],'Base Schedules'!$A$243:$AW$281,45,FALSE)),"")</f>
        <v/>
      </c>
      <c r="AU37" s="184" t="str">
        <f>IFERROR(IF(VLOOKUP(Thu_W2[[#This Row],[Employee Name]],'Base Schedules'!$A$243:$AW$281,46,FALSE)="","",VLOOKUP(Thu_W2[[#This Row],[Employee Name]],'Base Schedules'!$A$243:$AW$281,46,FALSE)),"")</f>
        <v/>
      </c>
      <c r="AV37" s="184" t="str">
        <f>IFERROR(IF(VLOOKUP(Thu_W2[[#This Row],[Employee Name]],'Base Schedules'!$A$243:$AW$281,47,FALSE)="","",VLOOKUP(Thu_W2[[#This Row],[Employee Name]],'Base Schedules'!$A$243:$AW$281,47,FALSE)),"")</f>
        <v/>
      </c>
      <c r="AW37" s="184" t="str">
        <f>IFERROR(IF(VLOOKUP(Thu_W2[[#This Row],[Employee Name]],'Base Schedules'!$A$243:$AW$281,48,FALSE)="","",VLOOKUP(Thu_W2[[#This Row],[Employee Name]],'Base Schedules'!$A$243:$AW$281,48,FALSE)),"")</f>
        <v/>
      </c>
      <c r="AX37" s="184" t="str">
        <f>IFERROR(IF(VLOOKUP(Thu_W2[[#This Row],[Employee Name]],'Base Schedules'!$A$243:$AW$281,49,FALSE)="","",VLOOKUP(Thu_W2[[#This Row],[Employee Name]],'Base Schedules'!$A$243:$AW$281,49,FALSE)),"")</f>
        <v/>
      </c>
      <c r="AY37" s="245" t="str">
        <f t="shared" si="2"/>
        <v>Banuelos, Lincoln</v>
      </c>
    </row>
    <row r="38" spans="1:51" s="44" customFormat="1" ht="12" customHeight="1" x14ac:dyDescent="0.2">
      <c r="A38" s="39" t="e">
        <f>IF(B38="","",INDEX(TeamList[],MATCH($B38,TeamList[[Employee Name]:[Employee Name]],0),MATCH("Manager",TeamList[#Headers],0)))</f>
        <v>#N/A</v>
      </c>
      <c r="B38" s="201" t="s">
        <v>586</v>
      </c>
      <c r="C38" s="257" t="str">
        <f>_xlfn.IFNA(VLOOKUP(Thu_W2[[#This Row],[Employee Name]],'Base Schedules'!A:B,2,FALSE),"")</f>
        <v>Lead</v>
      </c>
      <c r="D38" s="274">
        <f>_xlfn.IFNA(VLOOKUP(Thu_W2[[#This Row],[Employee Name]],'Base Schedules'!A:C,3,FALSE),"")</f>
        <v>1330</v>
      </c>
      <c r="E38" s="274">
        <f>_xlfn.IFNA(VLOOKUP(Thu_W2[[#This Row],[Employee Name]],'Base Schedules'!A:D,4,FALSE),"")</f>
        <v>2200</v>
      </c>
      <c r="F38" s="142">
        <f>IF(Thu_W2[[#This Row],[Employee Name]]="","",IF(Thu_W2[[#This Row],[Dept]]="Supervisor",COUNTIFS($J38:$AX38,"*HL*",$J38:$AX38,"&lt;&gt;"&amp;"pHL"),COUNTIFS($J38:$AX38,"*HL*",$J38:$AX38,"&lt;&gt;"&amp;"*pHL*",$J38:$AX38,"&lt;&gt;"&amp;"pB1 HL",$J38:$AX38,"&lt;&gt;"&amp;"pB2 HL")-SUM(COUNTIFS($J38:$AX38,"*HL B1*",$J38:$AX38,"&lt;&gt;"&amp;"pHL B1")*0.5,COUNTIFS($J38:$AX38,"*HL B2*",$J38:$AX38,"&lt;&gt;"&amp;"pHL B2")*0.5,COUNTIFS($J38:$AX38,"*B1 HL*",$J38:$AX38,"&lt;&gt;"&amp;"pB1 HL")*0.5,COUNTIFS($J38:$AX38,"*B2 HL*",$J38:$AX38,"&lt;&gt;"&amp;"pB2 HL")*0.5)))</f>
        <v>7.5</v>
      </c>
      <c r="G38" s="142">
        <f t="shared" si="3"/>
        <v>0</v>
      </c>
      <c r="H38" s="142">
        <f t="shared" si="1"/>
        <v>8</v>
      </c>
      <c r="I38" s="142">
        <f>IF(Thu_W2[[#This Row],[Employee Name]]="","",IF(Thu_W2[[#This Row],[Dept]]="Supervisor",SUM(COUNTIFS($J38:$AX38,"RTA*",$J38:$AX38,"&lt;&gt;"&amp;"pRTA"),COUNTIFS($J38:$AX38,"*CRTA*",$J38:$AX38,"&lt;&gt;"&amp;"pCRTA")),COUNTIFS($J38:$AX38,"*RNNR*",$J38:$AX38,"&lt;&gt;"&amp;"*pRNNR*",$J38:$AX38,"&lt;&gt;"&amp;"pB1 RNNR",$J38:$AX38,"&lt;&gt;"&amp;"pB2 RNNR")-SUM(COUNTIFS($J38:$AX38,"*RNNR B1*",$J38:$AX38,"&lt;&gt;"&amp;"pRNNR B1")*0.5,COUNTIFS($J38:$AX38,"*RNNR B2*",$J38:$AX38,"&lt;&gt;"&amp;"pRNNR B2")*0.5,COUNTIFS($J38:$AX38,"*B1 RNNR*",$J38:$AX38,"&lt;&gt;"&amp;"pB1 RNNR")*0.5,COUNTIFS($J38:$AX38,"*B2 RNNR*",$J38:$AX38,"&lt;&gt;"&amp;"pB2 RNNR")*0.5)))</f>
        <v>0</v>
      </c>
      <c r="J38" s="184" t="str">
        <f>IFERROR(IF(VLOOKUP(Thu_W2[[#This Row],[Employee Name]],'Base Schedules'!$A$243:$AW$281,9,FALSE)="","",VLOOKUP(Thu_W2[[#This Row],[Employee Name]],'Base Schedules'!$A$243:$AW$281,9,FALSE)),"")</f>
        <v/>
      </c>
      <c r="K38" s="184" t="str">
        <f>IFERROR(IF(VLOOKUP(Thu_W2[[#This Row],[Employee Name]],'Base Schedules'!$A$243:$AW$281,10,FALSE)="","",VLOOKUP(Thu_W2[[#This Row],[Employee Name]],'Base Schedules'!$A$243:$AW$281,10,FALSE)),"")</f>
        <v/>
      </c>
      <c r="L38" s="184" t="str">
        <f>IFERROR(IF(VLOOKUP(Thu_W2[[#This Row],[Employee Name]],'Base Schedules'!$A$243:$AW$281,11,FALSE)="","",VLOOKUP(Thu_W2[[#This Row],[Employee Name]],'Base Schedules'!$A$243:$AW$281,11,FALSE)),"")</f>
        <v/>
      </c>
      <c r="M38" s="184" t="str">
        <f>IFERROR(IF(VLOOKUP(Thu_W2[[#This Row],[Employee Name]],'Base Schedules'!$A$243:$AW$281,12,FALSE)="","",VLOOKUP(Thu_W2[[#This Row],[Employee Name]],'Base Schedules'!$A$243:$AW$281,12,FALSE)),"")</f>
        <v/>
      </c>
      <c r="N38" s="184" t="str">
        <f>IFERROR(IF(VLOOKUP(Thu_W2[[#This Row],[Employee Name]],'Base Schedules'!$A$243:$AW$281,13,FALSE)="","",VLOOKUP(Thu_W2[[#This Row],[Employee Name]],'Base Schedules'!$A$243:$AW$281,13,FALSE)),"")</f>
        <v/>
      </c>
      <c r="O38" s="184" t="str">
        <f>IFERROR(IF(VLOOKUP(Thu_W2[[#This Row],[Employee Name]],'Base Schedules'!$A$243:$AW$281,14,FALSE)="","",VLOOKUP(Thu_W2[[#This Row],[Employee Name]],'Base Schedules'!$A$243:$AW$281,14,FALSE)),"")</f>
        <v/>
      </c>
      <c r="P38" s="184" t="str">
        <f>IFERROR(IF(VLOOKUP(Thu_W2[[#This Row],[Employee Name]],'Base Schedules'!$A$243:$AW$281,15,FALSE)="","",VLOOKUP(Thu_W2[[#This Row],[Employee Name]],'Base Schedules'!$A$243:$AW$281,15,FALSE)),"")</f>
        <v/>
      </c>
      <c r="Q38" s="184" t="str">
        <f>IFERROR(IF(VLOOKUP(Thu_W2[[#This Row],[Employee Name]],'Base Schedules'!$A$243:$AW$281,16,FALSE)="","",VLOOKUP(Thu_W2[[#This Row],[Employee Name]],'Base Schedules'!$A$243:$AW$281,16,FALSE)),"")</f>
        <v/>
      </c>
      <c r="R38" s="184" t="str">
        <f>IFERROR(IF(VLOOKUP(Thu_W2[[#This Row],[Employee Name]],'Base Schedules'!$A$243:$AW$281,17,FALSE)="","",VLOOKUP(Thu_W2[[#This Row],[Employee Name]],'Base Schedules'!$A$243:$AW$281,17,FALSE)),"")</f>
        <v/>
      </c>
      <c r="S38" s="184" t="str">
        <f>IFERROR(IF(VLOOKUP(Thu_W2[[#This Row],[Employee Name]],'Base Schedules'!$A$243:$AW$281,18,FALSE)="","",VLOOKUP(Thu_W2[[#This Row],[Employee Name]],'Base Schedules'!$A$243:$AW$281,18,FALSE)),"")</f>
        <v/>
      </c>
      <c r="T38" s="184" t="str">
        <f>IFERROR(IF(VLOOKUP(Thu_W2[[#This Row],[Employee Name]],'Base Schedules'!$A$243:$AW$281,19,FALSE)="","",VLOOKUP(Thu_W2[[#This Row],[Employee Name]],'Base Schedules'!$A$243:$AW$281,19,FALSE)),"")</f>
        <v/>
      </c>
      <c r="U38" s="184" t="str">
        <f>IFERROR(IF(VLOOKUP(Thu_W2[[#This Row],[Employee Name]],'Base Schedules'!$A$243:$AW$281,20,FALSE)="","",VLOOKUP(Thu_W2[[#This Row],[Employee Name]],'Base Schedules'!$A$243:$AW$281,20,FALSE)),"")</f>
        <v/>
      </c>
      <c r="V38" s="184" t="str">
        <f>IFERROR(IF(VLOOKUP(Thu_W2[[#This Row],[Employee Name]],'Base Schedules'!$A$243:$AW$281,21,FALSE)="","",VLOOKUP(Thu_W2[[#This Row],[Employee Name]],'Base Schedules'!$A$243:$AW$281,21,FALSE)),"")</f>
        <v/>
      </c>
      <c r="W38" s="184" t="str">
        <f>IFERROR(IF(VLOOKUP(Thu_W2[[#This Row],[Employee Name]],'Base Schedules'!$A$243:$AW$281,22,FALSE)="","",VLOOKUP(Thu_W2[[#This Row],[Employee Name]],'Base Schedules'!$A$243:$AW$281,22,FALSE)),"")</f>
        <v/>
      </c>
      <c r="X38" s="184" t="str">
        <f>IFERROR(IF(VLOOKUP(Thu_W2[[#This Row],[Employee Name]],'Base Schedules'!$A$243:$AW$281,23,FALSE)="","",VLOOKUP(Thu_W2[[#This Row],[Employee Name]],'Base Schedules'!$A$243:$AW$281,23,FALSE)),"")</f>
        <v/>
      </c>
      <c r="Y38" s="184" t="str">
        <f>IFERROR(IF(VLOOKUP(Thu_W2[[#This Row],[Employee Name]],'Base Schedules'!$A$243:$AW$281,24,FALSE)="","",VLOOKUP(Thu_W2[[#This Row],[Employee Name]],'Base Schedules'!$A$243:$AW$281,24,FALSE)),"")</f>
        <v/>
      </c>
      <c r="Z38" s="184" t="str">
        <f>IFERROR(IF(VLOOKUP(Thu_W2[[#This Row],[Employee Name]],'Base Schedules'!$A$243:$AW$281,25,FALSE)="","",VLOOKUP(Thu_W2[[#This Row],[Employee Name]],'Base Schedules'!$A$243:$AW$281,25,FALSE)),"")</f>
        <v/>
      </c>
      <c r="AA38" s="184" t="str">
        <f>IFERROR(IF(VLOOKUP(Thu_W2[[#This Row],[Employee Name]],'Base Schedules'!$A$243:$AW$281,26,FALSE)="","",VLOOKUP(Thu_W2[[#This Row],[Employee Name]],'Base Schedules'!$A$243:$AW$281,26,FALSE)),"")</f>
        <v>HL</v>
      </c>
      <c r="AB38" s="184" t="str">
        <f>IFERROR(IF(VLOOKUP(Thu_W2[[#This Row],[Employee Name]],'Base Schedules'!$A$243:$AW$281,27,FALSE)="","",VLOOKUP(Thu_W2[[#This Row],[Employee Name]],'Base Schedules'!$A$243:$AW$281,27,FALSE)),"")</f>
        <v>HL</v>
      </c>
      <c r="AC38" s="184" t="str">
        <f>IFERROR(IF(VLOOKUP(Thu_W2[[#This Row],[Employee Name]],'Base Schedules'!$A$243:$AW$281,28,FALSE)="","",VLOOKUP(Thu_W2[[#This Row],[Employee Name]],'Base Schedules'!$A$243:$AW$281,28,FALSE)),"")</f>
        <v>HL</v>
      </c>
      <c r="AD38" s="184" t="str">
        <f>IFERROR(IF(VLOOKUP(Thu_W2[[#This Row],[Employee Name]],'Base Schedules'!$A$243:$AW$281,29,FALSE)="","",VLOOKUP(Thu_W2[[#This Row],[Employee Name]],'Base Schedules'!$A$243:$AW$281,29,FALSE)),"")</f>
        <v>HL</v>
      </c>
      <c r="AE38" s="184" t="str">
        <f>IFERROR(IF(VLOOKUP(Thu_W2[[#This Row],[Employee Name]],'Base Schedules'!$A$243:$AW$281,30,FALSE)="","",VLOOKUP(Thu_W2[[#This Row],[Employee Name]],'Base Schedules'!$A$243:$AW$281,30,FALSE)),"")</f>
        <v>B1 ADM</v>
      </c>
      <c r="AF38" s="184" t="str">
        <f>IFERROR(IF(VLOOKUP(Thu_W2[[#This Row],[Employee Name]],'Base Schedules'!$A$243:$AW$281,31,FALSE)="","",VLOOKUP(Thu_W2[[#This Row],[Employee Name]],'Base Schedules'!$A$243:$AW$281,31,FALSE)),"")</f>
        <v>ADM</v>
      </c>
      <c r="AG38" s="184" t="str">
        <f>IFERROR(IF(VLOOKUP(Thu_W2[[#This Row],[Employee Name]],'Base Schedules'!$A$243:$AW$281,32,FALSE)="","",VLOOKUP(Thu_W2[[#This Row],[Employee Name]],'Base Schedules'!$A$243:$AW$281,32,FALSE)),"")</f>
        <v>ADM</v>
      </c>
      <c r="AH38" s="184" t="str">
        <f>IFERROR(IF(VLOOKUP(Thu_W2[[#This Row],[Employee Name]],'Base Schedules'!$A$243:$AW$281,33,FALSE)="","",VLOOKUP(Thu_W2[[#This Row],[Employee Name]],'Base Schedules'!$A$243:$AW$281,33,FALSE)),"")</f>
        <v>ADM</v>
      </c>
      <c r="AI38" s="184" t="str">
        <f>IFERROR(IF(VLOOKUP(Thu_W2[[#This Row],[Employee Name]],'Base Schedules'!$A$243:$AW$281,34,FALSE)="","",VLOOKUP(Thu_W2[[#This Row],[Employee Name]],'Base Schedules'!$A$243:$AW$281,34,FALSE)),"")</f>
        <v>ADM</v>
      </c>
      <c r="AJ38" s="184" t="str">
        <f>IFERROR(IF(VLOOKUP(Thu_W2[[#This Row],[Employee Name]],'Base Schedules'!$A$243:$AW$281,35,FALSE)="","",VLOOKUP(Thu_W2[[#This Row],[Employee Name]],'Base Schedules'!$A$243:$AW$281,35,FALSE)),"")</f>
        <v>LUNCH</v>
      </c>
      <c r="AK38" s="184" t="str">
        <f>IFERROR(IF(VLOOKUP(Thu_W2[[#This Row],[Employee Name]],'Base Schedules'!$A$243:$AW$281,36,FALSE)="","",VLOOKUP(Thu_W2[[#This Row],[Employee Name]],'Base Schedules'!$A$243:$AW$281,36,FALSE)),"")</f>
        <v>HL</v>
      </c>
      <c r="AL38" s="184" t="str">
        <f>IFERROR(IF(VLOOKUP(Thu_W2[[#This Row],[Employee Name]],'Base Schedules'!$A$243:$AW$281,37,FALSE)="","",VLOOKUP(Thu_W2[[#This Row],[Employee Name]],'Base Schedules'!$A$243:$AW$281,37,FALSE)),"")</f>
        <v>HL</v>
      </c>
      <c r="AM38" s="184" t="str">
        <f>IFERROR(IF(VLOOKUP(Thu_W2[[#This Row],[Employee Name]],'Base Schedules'!$A$243:$AW$281,38,FALSE)="","",VLOOKUP(Thu_W2[[#This Row],[Employee Name]],'Base Schedules'!$A$243:$AW$281,38,FALSE)),"")</f>
        <v>HL</v>
      </c>
      <c r="AN38" s="184" t="str">
        <f>IFERROR(IF(VLOOKUP(Thu_W2[[#This Row],[Employee Name]],'Base Schedules'!$A$243:$AW$281,39,FALSE)="","",VLOOKUP(Thu_W2[[#This Row],[Employee Name]],'Base Schedules'!$A$243:$AW$281,39,FALSE)),"")</f>
        <v>HL B2</v>
      </c>
      <c r="AO38" s="184" t="str">
        <f>IFERROR(IF(VLOOKUP(Thu_W2[[#This Row],[Employee Name]],'Base Schedules'!$A$243:$AW$281,40,FALSE)="","",VLOOKUP(Thu_W2[[#This Row],[Employee Name]],'Base Schedules'!$A$243:$AW$281,40,FALSE)),"")</f>
        <v>ADM</v>
      </c>
      <c r="AP38" s="184" t="str">
        <f>IFERROR(IF(VLOOKUP(Thu_W2[[#This Row],[Employee Name]],'Base Schedules'!$A$243:$AW$281,41,FALSE)="","",VLOOKUP(Thu_W2[[#This Row],[Employee Name]],'Base Schedules'!$A$243:$AW$281,41,FALSE)),"")</f>
        <v>ADM</v>
      </c>
      <c r="AQ38" s="184" t="str">
        <f>IFERROR(IF(VLOOKUP(Thu_W2[[#This Row],[Employee Name]],'Base Schedules'!$A$243:$AW$281,42,FALSE)="","",VLOOKUP(Thu_W2[[#This Row],[Employee Name]],'Base Schedules'!$A$243:$AW$281,42,FALSE)),"")</f>
        <v>ADM</v>
      </c>
      <c r="AR38" s="184" t="str">
        <f>IFERROR(IF(VLOOKUP(Thu_W2[[#This Row],[Employee Name]],'Base Schedules'!$A$243:$AW$281,43,FALSE)="","",VLOOKUP(Thu_W2[[#This Row],[Employee Name]],'Base Schedules'!$A$243:$AW$281,43,FALSE)),"")</f>
        <v/>
      </c>
      <c r="AS38" s="184" t="str">
        <f>IFERROR(IF(VLOOKUP(Thu_W2[[#This Row],[Employee Name]],'Base Schedules'!$A$243:$AW$281,44,FALSE)="","",VLOOKUP(Thu_W2[[#This Row],[Employee Name]],'Base Schedules'!$A$243:$AW$281,44,FALSE)),"")</f>
        <v/>
      </c>
      <c r="AT38" s="184" t="str">
        <f>IFERROR(IF(VLOOKUP(Thu_W2[[#This Row],[Employee Name]],'Base Schedules'!$A$243:$AW$281,45,FALSE)="","",VLOOKUP(Thu_W2[[#This Row],[Employee Name]],'Base Schedules'!$A$243:$AW$281,45,FALSE)),"")</f>
        <v/>
      </c>
      <c r="AU38" s="184" t="str">
        <f>IFERROR(IF(VLOOKUP(Thu_W2[[#This Row],[Employee Name]],'Base Schedules'!$A$243:$AW$281,46,FALSE)="","",VLOOKUP(Thu_W2[[#This Row],[Employee Name]],'Base Schedules'!$A$243:$AW$281,46,FALSE)),"")</f>
        <v/>
      </c>
      <c r="AV38" s="184" t="str">
        <f>IFERROR(IF(VLOOKUP(Thu_W2[[#This Row],[Employee Name]],'Base Schedules'!$A$243:$AW$281,47,FALSE)="","",VLOOKUP(Thu_W2[[#This Row],[Employee Name]],'Base Schedules'!$A$243:$AW$281,47,FALSE)),"")</f>
        <v/>
      </c>
      <c r="AW38" s="184" t="str">
        <f>IFERROR(IF(VLOOKUP(Thu_W2[[#This Row],[Employee Name]],'Base Schedules'!$A$243:$AW$281,48,FALSE)="","",VLOOKUP(Thu_W2[[#This Row],[Employee Name]],'Base Schedules'!$A$243:$AW$281,48,FALSE)),"")</f>
        <v/>
      </c>
      <c r="AX38" s="184" t="str">
        <f>IFERROR(IF(VLOOKUP(Thu_W2[[#This Row],[Employee Name]],'Base Schedules'!$A$243:$AW$281,49,FALSE)="","",VLOOKUP(Thu_W2[[#This Row],[Employee Name]],'Base Schedules'!$A$243:$AW$281,49,FALSE)),"")</f>
        <v/>
      </c>
      <c r="AY38" s="245" t="str">
        <f t="shared" si="2"/>
        <v>Harris, Austin</v>
      </c>
    </row>
    <row r="39" spans="1:51" s="44" customFormat="1" ht="12" customHeight="1" x14ac:dyDescent="0.2">
      <c r="A39" s="39" t="str">
        <f>IF(B39="","",INDEX(TeamList[],MATCH($B39,TeamList[[Employee Name]:[Employee Name]],0),MATCH("Manager",TeamList[#Headers],0)))</f>
        <v>Ahmed Hassan, Zahra</v>
      </c>
      <c r="B39" s="201" t="s">
        <v>245</v>
      </c>
      <c r="C39" s="257" t="str">
        <f>_xlfn.IFNA(VLOOKUP(Thu_W2[[#This Row],[Employee Name]],'Base Schedules'!A:B,2,FALSE),"")</f>
        <v>Supervisor</v>
      </c>
      <c r="D39" s="274">
        <f>_xlfn.IFNA(VLOOKUP(Thu_W2[[#This Row],[Employee Name]],'Base Schedules'!A:C,3,FALSE),"")</f>
        <v>1400</v>
      </c>
      <c r="E39" s="274">
        <f>_xlfn.IFNA(VLOOKUP(Thu_W2[[#This Row],[Employee Name]],'Base Schedules'!A:D,4,FALSE),"")</f>
        <v>100</v>
      </c>
      <c r="F39" s="142">
        <f>IF(Thu_W2[[#This Row],[Employee Name]]="","",IF(Thu_W2[[#This Row],[Dept]]="Supervisor",COUNTIFS($J39:$AX39,"*HL*",$J39:$AX39,"&lt;&gt;"&amp;"pHL"),COUNTIFS($J39:$AX39,"*HL*",$J39:$AX39,"&lt;&gt;"&amp;"*pHL*",$J39:$AX39,"&lt;&gt;"&amp;"pB1 HL",$J39:$AX39,"&lt;&gt;"&amp;"pB2 HL")-SUM(COUNTIFS($J39:$AX39,"*HL B1*",$J39:$AX39,"&lt;&gt;"&amp;"pHL B1")*0.5,COUNTIFS($J39:$AX39,"*HL B2*",$J39:$AX39,"&lt;&gt;"&amp;"pHL B2")*0.5,COUNTIFS($J39:$AX39,"*B1 HL*",$J39:$AX39,"&lt;&gt;"&amp;"pB1 HL")*0.5,COUNTIFS($J39:$AX39,"*B2 HL*",$J39:$AX39,"&lt;&gt;"&amp;"pB2 HL")*0.5)))</f>
        <v>0</v>
      </c>
      <c r="G39" s="142">
        <f t="shared" si="3"/>
        <v>4</v>
      </c>
      <c r="H39" s="142">
        <f t="shared" si="1"/>
        <v>0</v>
      </c>
      <c r="I39" s="142">
        <f>IF(Thu_W2[[#This Row],[Employee Name]]="","",IF(Thu_W2[[#This Row],[Dept]]="Supervisor",SUM(COUNTIFS($J39:$AX39,"RTA*",$J39:$AX39,"&lt;&gt;"&amp;"pRTA"),COUNTIFS($J39:$AX39,"*CRTA*",$J39:$AX39,"&lt;&gt;"&amp;"pCRTA")),COUNTIFS($J39:$AX39,"*RNNR*",$J39:$AX39,"&lt;&gt;"&amp;"*pRNNR*",$J39:$AX39,"&lt;&gt;"&amp;"pB1 RNNR",$J39:$AX39,"&lt;&gt;"&amp;"pB2 RNNR")-SUM(COUNTIFS($J39:$AX39,"*RNNR B1*",$J39:$AX39,"&lt;&gt;"&amp;"pRNNR B1")*0.5,COUNTIFS($J39:$AX39,"*RNNR B2*",$J39:$AX39,"&lt;&gt;"&amp;"pRNNR B2")*0.5,COUNTIFS($J39:$AX39,"*B1 RNNR*",$J39:$AX39,"&lt;&gt;"&amp;"pB1 RNNR")*0.5,COUNTIFS($J39:$AX39,"*B2 RNNR*",$J39:$AX39,"&lt;&gt;"&amp;"pB2 RNNR")*0.5)))</f>
        <v>0</v>
      </c>
      <c r="J39" s="184" t="str">
        <f>IFERROR(IF(VLOOKUP(Thu_W2[[#This Row],[Employee Name]],'Base Schedules'!$A$243:$AW$281,9,FALSE)="","",VLOOKUP(Thu_W2[[#This Row],[Employee Name]],'Base Schedules'!$A$243:$AW$281,9,FALSE)),"")</f>
        <v/>
      </c>
      <c r="K39" s="184" t="str">
        <f>IFERROR(IF(VLOOKUP(Thu_W2[[#This Row],[Employee Name]],'Base Schedules'!$A$243:$AW$281,10,FALSE)="","",VLOOKUP(Thu_W2[[#This Row],[Employee Name]],'Base Schedules'!$A$243:$AW$281,10,FALSE)),"")</f>
        <v/>
      </c>
      <c r="L39" s="184" t="str">
        <f>IFERROR(IF(VLOOKUP(Thu_W2[[#This Row],[Employee Name]],'Base Schedules'!$A$243:$AW$281,11,FALSE)="","",VLOOKUP(Thu_W2[[#This Row],[Employee Name]],'Base Schedules'!$A$243:$AW$281,11,FALSE)),"")</f>
        <v/>
      </c>
      <c r="M39" s="184" t="str">
        <f>IFERROR(IF(VLOOKUP(Thu_W2[[#This Row],[Employee Name]],'Base Schedules'!$A$243:$AW$281,12,FALSE)="","",VLOOKUP(Thu_W2[[#This Row],[Employee Name]],'Base Schedules'!$A$243:$AW$281,12,FALSE)),"")</f>
        <v/>
      </c>
      <c r="N39" s="184" t="str">
        <f>IFERROR(IF(VLOOKUP(Thu_W2[[#This Row],[Employee Name]],'Base Schedules'!$A$243:$AW$281,13,FALSE)="","",VLOOKUP(Thu_W2[[#This Row],[Employee Name]],'Base Schedules'!$A$243:$AW$281,13,FALSE)),"")</f>
        <v/>
      </c>
      <c r="O39" s="184" t="str">
        <f>IFERROR(IF(VLOOKUP(Thu_W2[[#This Row],[Employee Name]],'Base Schedules'!$A$243:$AW$281,14,FALSE)="","",VLOOKUP(Thu_W2[[#This Row],[Employee Name]],'Base Schedules'!$A$243:$AW$281,14,FALSE)),"")</f>
        <v/>
      </c>
      <c r="P39" s="184" t="str">
        <f>IFERROR(IF(VLOOKUP(Thu_W2[[#This Row],[Employee Name]],'Base Schedules'!$A$243:$AW$281,15,FALSE)="","",VLOOKUP(Thu_W2[[#This Row],[Employee Name]],'Base Schedules'!$A$243:$AW$281,15,FALSE)),"")</f>
        <v/>
      </c>
      <c r="Q39" s="184" t="str">
        <f>IFERROR(IF(VLOOKUP(Thu_W2[[#This Row],[Employee Name]],'Base Schedules'!$A$243:$AW$281,16,FALSE)="","",VLOOKUP(Thu_W2[[#This Row],[Employee Name]],'Base Schedules'!$A$243:$AW$281,16,FALSE)),"")</f>
        <v/>
      </c>
      <c r="R39" s="184" t="str">
        <f>IFERROR(IF(VLOOKUP(Thu_W2[[#This Row],[Employee Name]],'Base Schedules'!$A$243:$AW$281,17,FALSE)="","",VLOOKUP(Thu_W2[[#This Row],[Employee Name]],'Base Schedules'!$A$243:$AW$281,17,FALSE)),"")</f>
        <v/>
      </c>
      <c r="S39" s="184" t="str">
        <f>IFERROR(IF(VLOOKUP(Thu_W2[[#This Row],[Employee Name]],'Base Schedules'!$A$243:$AW$281,18,FALSE)="","",VLOOKUP(Thu_W2[[#This Row],[Employee Name]],'Base Schedules'!$A$243:$AW$281,18,FALSE)),"")</f>
        <v/>
      </c>
      <c r="T39" s="184" t="str">
        <f>IFERROR(IF(VLOOKUP(Thu_W2[[#This Row],[Employee Name]],'Base Schedules'!$A$243:$AW$281,19,FALSE)="","",VLOOKUP(Thu_W2[[#This Row],[Employee Name]],'Base Schedules'!$A$243:$AW$281,19,FALSE)),"")</f>
        <v/>
      </c>
      <c r="U39" s="184" t="str">
        <f>IFERROR(IF(VLOOKUP(Thu_W2[[#This Row],[Employee Name]],'Base Schedules'!$A$243:$AW$281,20,FALSE)="","",VLOOKUP(Thu_W2[[#This Row],[Employee Name]],'Base Schedules'!$A$243:$AW$281,20,FALSE)),"")</f>
        <v/>
      </c>
      <c r="V39" s="184" t="str">
        <f>IFERROR(IF(VLOOKUP(Thu_W2[[#This Row],[Employee Name]],'Base Schedules'!$A$243:$AW$281,21,FALSE)="","",VLOOKUP(Thu_W2[[#This Row],[Employee Name]],'Base Schedules'!$A$243:$AW$281,21,FALSE)),"")</f>
        <v/>
      </c>
      <c r="W39" s="184" t="str">
        <f>IFERROR(IF(VLOOKUP(Thu_W2[[#This Row],[Employee Name]],'Base Schedules'!$A$243:$AW$281,22,FALSE)="","",VLOOKUP(Thu_W2[[#This Row],[Employee Name]],'Base Schedules'!$A$243:$AW$281,22,FALSE)),"")</f>
        <v/>
      </c>
      <c r="X39" s="184" t="str">
        <f>IFERROR(IF(VLOOKUP(Thu_W2[[#This Row],[Employee Name]],'Base Schedules'!$A$243:$AW$281,23,FALSE)="","",VLOOKUP(Thu_W2[[#This Row],[Employee Name]],'Base Schedules'!$A$243:$AW$281,23,FALSE)),"")</f>
        <v/>
      </c>
      <c r="Y39" s="184" t="str">
        <f>IFERROR(IF(VLOOKUP(Thu_W2[[#This Row],[Employee Name]],'Base Schedules'!$A$243:$AW$281,24,FALSE)="","",VLOOKUP(Thu_W2[[#This Row],[Employee Name]],'Base Schedules'!$A$243:$AW$281,24,FALSE)),"")</f>
        <v/>
      </c>
      <c r="Z39" s="184" t="str">
        <f>IFERROR(IF(VLOOKUP(Thu_W2[[#This Row],[Employee Name]],'Base Schedules'!$A$243:$AW$281,25,FALSE)="","",VLOOKUP(Thu_W2[[#This Row],[Employee Name]],'Base Schedules'!$A$243:$AW$281,25,FALSE)),"")</f>
        <v/>
      </c>
      <c r="AA39" s="184" t="str">
        <f>IFERROR(IF(VLOOKUP(Thu_W2[[#This Row],[Employee Name]],'Base Schedules'!$A$243:$AW$281,26,FALSE)="","",VLOOKUP(Thu_W2[[#This Row],[Employee Name]],'Base Schedules'!$A$243:$AW$281,26,FALSE)),"")</f>
        <v/>
      </c>
      <c r="AB39" s="184" t="str">
        <f>IFERROR(IF(VLOOKUP(Thu_W2[[#This Row],[Employee Name]],'Base Schedules'!$A$243:$AW$281,27,FALSE)="","",VLOOKUP(Thu_W2[[#This Row],[Employee Name]],'Base Schedules'!$A$243:$AW$281,27,FALSE)),"")</f>
        <v>-</v>
      </c>
      <c r="AC39" s="184" t="str">
        <f>IFERROR(IF(VLOOKUP(Thu_W2[[#This Row],[Employee Name]],'Base Schedules'!$A$243:$AW$281,28,FALSE)="","",VLOOKUP(Thu_W2[[#This Row],[Employee Name]],'Base Schedules'!$A$243:$AW$281,28,FALSE)),"")</f>
        <v>-</v>
      </c>
      <c r="AD39" s="184" t="str">
        <f>IFERROR(IF(VLOOKUP(Thu_W2[[#This Row],[Employee Name]],'Base Schedules'!$A$243:$AW$281,29,FALSE)="","",VLOOKUP(Thu_W2[[#This Row],[Employee Name]],'Base Schedules'!$A$243:$AW$281,29,FALSE)),"")</f>
        <v>Coaching</v>
      </c>
      <c r="AE39" s="184" t="str">
        <f>IFERROR(IF(VLOOKUP(Thu_W2[[#This Row],[Employee Name]],'Base Schedules'!$A$243:$AW$281,30,FALSE)="","",VLOOKUP(Thu_W2[[#This Row],[Employee Name]],'Base Schedules'!$A$243:$AW$281,30,FALSE)),"")</f>
        <v>Coaching</v>
      </c>
      <c r="AF39" s="184" t="str">
        <f>IFERROR(IF(VLOOKUP(Thu_W2[[#This Row],[Employee Name]],'Base Schedules'!$A$243:$AW$281,31,FALSE)="","",VLOOKUP(Thu_W2[[#This Row],[Employee Name]],'Base Schedules'!$A$243:$AW$281,31,FALSE)),"")</f>
        <v>Coaching</v>
      </c>
      <c r="AG39" s="184" t="str">
        <f>IFERROR(IF(VLOOKUP(Thu_W2[[#This Row],[Employee Name]],'Base Schedules'!$A$243:$AW$281,32,FALSE)="","",VLOOKUP(Thu_W2[[#This Row],[Employee Name]],'Base Schedules'!$A$243:$AW$281,32,FALSE)),"")</f>
        <v>Coaching</v>
      </c>
      <c r="AH39" s="184" t="str">
        <f>IFERROR(IF(VLOOKUP(Thu_W2[[#This Row],[Employee Name]],'Base Schedules'!$A$243:$AW$281,33,FALSE)="","",VLOOKUP(Thu_W2[[#This Row],[Employee Name]],'Base Schedules'!$A$243:$AW$281,33,FALSE)),"")</f>
        <v>Interview</v>
      </c>
      <c r="AI39" s="184" t="str">
        <f>IFERROR(IF(VLOOKUP(Thu_W2[[#This Row],[Employee Name]],'Base Schedules'!$A$243:$AW$281,34,FALSE)="","",VLOOKUP(Thu_W2[[#This Row],[Employee Name]],'Base Schedules'!$A$243:$AW$281,34,FALSE)),"")</f>
        <v>Interview</v>
      </c>
      <c r="AJ39" s="184" t="str">
        <f>IFERROR(IF(VLOOKUP(Thu_W2[[#This Row],[Employee Name]],'Base Schedules'!$A$243:$AW$281,35,FALSE)="","",VLOOKUP(Thu_W2[[#This Row],[Employee Name]],'Base Schedules'!$A$243:$AW$281,35,FALSE)),"")</f>
        <v>-</v>
      </c>
      <c r="AK39" s="184" t="str">
        <f>IFERROR(IF(VLOOKUP(Thu_W2[[#This Row],[Employee Name]],'Base Schedules'!$A$243:$AW$281,36,FALSE)="","",VLOOKUP(Thu_W2[[#This Row],[Employee Name]],'Base Schedules'!$A$243:$AW$281,36,FALSE)),"")</f>
        <v>-</v>
      </c>
      <c r="AL39" s="184" t="str">
        <f>IFERROR(IF(VLOOKUP(Thu_W2[[#This Row],[Employee Name]],'Base Schedules'!$A$243:$AW$281,37,FALSE)="","",VLOOKUP(Thu_W2[[#This Row],[Employee Name]],'Base Schedules'!$A$243:$AW$281,37,FALSE)),"")</f>
        <v>-</v>
      </c>
      <c r="AM39" s="184" t="str">
        <f>IFERROR(IF(VLOOKUP(Thu_W2[[#This Row],[Employee Name]],'Base Schedules'!$A$243:$AW$281,38,FALSE)="","",VLOOKUP(Thu_W2[[#This Row],[Employee Name]],'Base Schedules'!$A$243:$AW$281,38,FALSE)),"")</f>
        <v>-</v>
      </c>
      <c r="AN39" s="184" t="str">
        <f>IFERROR(IF(VLOOKUP(Thu_W2[[#This Row],[Employee Name]],'Base Schedules'!$A$243:$AW$281,39,FALSE)="","",VLOOKUP(Thu_W2[[#This Row],[Employee Name]],'Base Schedules'!$A$243:$AW$281,39,FALSE)),"")</f>
        <v>-</v>
      </c>
      <c r="AO39" s="184" t="str">
        <f>IFERROR(IF(VLOOKUP(Thu_W2[[#This Row],[Employee Name]],'Base Schedules'!$A$243:$AW$281,40,FALSE)="","",VLOOKUP(Thu_W2[[#This Row],[Employee Name]],'Base Schedules'!$A$243:$AW$281,40,FALSE)),"")</f>
        <v>TM PREP</v>
      </c>
      <c r="AP39" s="184" t="str">
        <f>IFERROR(IF(VLOOKUP(Thu_W2[[#This Row],[Employee Name]],'Base Schedules'!$A$243:$AW$281,41,FALSE)="","",VLOOKUP(Thu_W2[[#This Row],[Employee Name]],'Base Schedules'!$A$243:$AW$281,41,FALSE)),"")</f>
        <v>DONACA TM</v>
      </c>
      <c r="AQ39" s="184" t="str">
        <f>IFERROR(IF(VLOOKUP(Thu_W2[[#This Row],[Employee Name]],'Base Schedules'!$A$243:$AW$281,42,FALSE)="","",VLOOKUP(Thu_W2[[#This Row],[Employee Name]],'Base Schedules'!$A$243:$AW$281,42,FALSE)),"")</f>
        <v>DONACA TM</v>
      </c>
      <c r="AR39" s="184" t="str">
        <f>IFERROR(IF(VLOOKUP(Thu_W2[[#This Row],[Employee Name]],'Base Schedules'!$A$243:$AW$281,43,FALSE)="","",VLOOKUP(Thu_W2[[#This Row],[Employee Name]],'Base Schedules'!$A$243:$AW$281,43,FALSE)),"")</f>
        <v>-</v>
      </c>
      <c r="AS39" s="184" t="str">
        <f>IFERROR(IF(VLOOKUP(Thu_W2[[#This Row],[Employee Name]],'Base Schedules'!$A$243:$AW$281,44,FALSE)="","",VLOOKUP(Thu_W2[[#This Row],[Employee Name]],'Base Schedules'!$A$243:$AW$281,44,FALSE)),"")</f>
        <v>-</v>
      </c>
      <c r="AT39" s="184" t="str">
        <f>IFERROR(IF(VLOOKUP(Thu_W2[[#This Row],[Employee Name]],'Base Schedules'!$A$243:$AW$281,45,FALSE)="","",VLOOKUP(Thu_W2[[#This Row],[Employee Name]],'Base Schedules'!$A$243:$AW$281,45,FALSE)),"")</f>
        <v>-</v>
      </c>
      <c r="AU39" s="184" t="str">
        <f>IFERROR(IF(VLOOKUP(Thu_W2[[#This Row],[Employee Name]],'Base Schedules'!$A$243:$AW$281,46,FALSE)="","",VLOOKUP(Thu_W2[[#This Row],[Employee Name]],'Base Schedules'!$A$243:$AW$281,46,FALSE)),"")</f>
        <v>-</v>
      </c>
      <c r="AV39" s="184" t="str">
        <f>IFERROR(IF(VLOOKUP(Thu_W2[[#This Row],[Employee Name]],'Base Schedules'!$A$243:$AW$281,47,FALSE)="","",VLOOKUP(Thu_W2[[#This Row],[Employee Name]],'Base Schedules'!$A$243:$AW$281,47,FALSE)),"")</f>
        <v>-</v>
      </c>
      <c r="AW39" s="184" t="str">
        <f>IFERROR(IF(VLOOKUP(Thu_W2[[#This Row],[Employee Name]],'Base Schedules'!$A$243:$AW$281,48,FALSE)="","",VLOOKUP(Thu_W2[[#This Row],[Employee Name]],'Base Schedules'!$A$243:$AW$281,48,FALSE)),"")</f>
        <v>-</v>
      </c>
      <c r="AX39" s="184" t="str">
        <f>IFERROR(IF(VLOOKUP(Thu_W2[[#This Row],[Employee Name]],'Base Schedules'!$A$243:$AW$281,49,FALSE)="","",VLOOKUP(Thu_W2[[#This Row],[Employee Name]],'Base Schedules'!$A$243:$AW$281,49,FALSE)),"")</f>
        <v/>
      </c>
      <c r="AY39" s="246" t="str">
        <f t="shared" si="2"/>
        <v>Donaca, Jeff</v>
      </c>
    </row>
    <row r="40" spans="1:51" s="44" customFormat="1" ht="12" customHeight="1" x14ac:dyDescent="0.2">
      <c r="A40" s="39" t="str">
        <f>IF(B40="","",INDEX(TeamList[],MATCH($B40,TeamList[[Employee Name]:[Employee Name]],0),MATCH("Manager",TeamList[#Headers],0)))</f>
        <v>Olson, Katherine</v>
      </c>
      <c r="B40" s="201" t="s">
        <v>52</v>
      </c>
      <c r="C40" s="257" t="str">
        <f>_xlfn.IFNA(VLOOKUP(Thu_W2[[#This Row],[Employee Name]],'Base Schedules'!A:B,2,FALSE),"")</f>
        <v>Supervisor</v>
      </c>
      <c r="D40" s="274">
        <f>_xlfn.IFNA(VLOOKUP(Thu_W2[[#This Row],[Employee Name]],'Base Schedules'!A:C,3,FALSE),"")</f>
        <v>1600</v>
      </c>
      <c r="E40" s="274">
        <f>_xlfn.IFNA(VLOOKUP(Thu_W2[[#This Row],[Employee Name]],'Base Schedules'!A:D,4,FALSE),"")</f>
        <v>100</v>
      </c>
      <c r="F40" s="142">
        <f>IF(Thu_W2[[#This Row],[Employee Name]]="","",IF(Thu_W2[[#This Row],[Dept]]="Supervisor",COUNTIFS($J40:$AX40,"*HL*",$J40:$AX40,"&lt;&gt;"&amp;"pHL"),COUNTIFS($J40:$AX40,"*HL*",$J40:$AX40,"&lt;&gt;"&amp;"*pHL*",$J40:$AX40,"&lt;&gt;"&amp;"pB1 HL",$J40:$AX40,"&lt;&gt;"&amp;"pB2 HL")-SUM(COUNTIFS($J40:$AX40,"*HL B1*",$J40:$AX40,"&lt;&gt;"&amp;"pHL B1")*0.5,COUNTIFS($J40:$AX40,"*HL B2*",$J40:$AX40,"&lt;&gt;"&amp;"pHL B2")*0.5,COUNTIFS($J40:$AX40,"*B1 HL*",$J40:$AX40,"&lt;&gt;"&amp;"pB1 HL")*0.5,COUNTIFS($J40:$AX40,"*B2 HL*",$J40:$AX40,"&lt;&gt;"&amp;"pB2 HL")*0.5)))</f>
        <v>0</v>
      </c>
      <c r="G40" s="142">
        <f t="shared" si="3"/>
        <v>4</v>
      </c>
      <c r="H40" s="142">
        <f t="shared" si="1"/>
        <v>0</v>
      </c>
      <c r="I40" s="142">
        <f>IF(Thu_W2[[#This Row],[Employee Name]]="","",IF(Thu_W2[[#This Row],[Dept]]="Supervisor",SUM(COUNTIFS($J40:$AX40,"RTA*",$J40:$AX40,"&lt;&gt;"&amp;"pRTA"),COUNTIFS($J40:$AX40,"*CRTA*",$J40:$AX40,"&lt;&gt;"&amp;"pCRTA")),COUNTIFS($J40:$AX40,"*RNNR*",$J40:$AX40,"&lt;&gt;"&amp;"*pRNNR*",$J40:$AX40,"&lt;&gt;"&amp;"pB1 RNNR",$J40:$AX40,"&lt;&gt;"&amp;"pB2 RNNR")-SUM(COUNTIFS($J40:$AX40,"*RNNR B1*",$J40:$AX40,"&lt;&gt;"&amp;"pRNNR B1")*0.5,COUNTIFS($J40:$AX40,"*RNNR B2*",$J40:$AX40,"&lt;&gt;"&amp;"pRNNR B2")*0.5,COUNTIFS($J40:$AX40,"*B1 RNNR*",$J40:$AX40,"&lt;&gt;"&amp;"pB1 RNNR")*0.5,COUNTIFS($J40:$AX40,"*B2 RNNR*",$J40:$AX40,"&lt;&gt;"&amp;"pB2 RNNR")*0.5)))</f>
        <v>0</v>
      </c>
      <c r="J40" s="184" t="str">
        <f>IFERROR(IF(VLOOKUP(Thu_W2[[#This Row],[Employee Name]],'Base Schedules'!$A$243:$AW$281,9,FALSE)="","",VLOOKUP(Thu_W2[[#This Row],[Employee Name]],'Base Schedules'!$A$243:$AW$281,9,FALSE)),"")</f>
        <v/>
      </c>
      <c r="K40" s="184" t="str">
        <f>IFERROR(IF(VLOOKUP(Thu_W2[[#This Row],[Employee Name]],'Base Schedules'!$A$243:$AW$281,10,FALSE)="","",VLOOKUP(Thu_W2[[#This Row],[Employee Name]],'Base Schedules'!$A$243:$AW$281,10,FALSE)),"")</f>
        <v/>
      </c>
      <c r="L40" s="184" t="str">
        <f>IFERROR(IF(VLOOKUP(Thu_W2[[#This Row],[Employee Name]],'Base Schedules'!$A$243:$AW$281,11,FALSE)="","",VLOOKUP(Thu_W2[[#This Row],[Employee Name]],'Base Schedules'!$A$243:$AW$281,11,FALSE)),"")</f>
        <v/>
      </c>
      <c r="M40" s="184" t="str">
        <f>IFERROR(IF(VLOOKUP(Thu_W2[[#This Row],[Employee Name]],'Base Schedules'!$A$243:$AW$281,12,FALSE)="","",VLOOKUP(Thu_W2[[#This Row],[Employee Name]],'Base Schedules'!$A$243:$AW$281,12,FALSE)),"")</f>
        <v/>
      </c>
      <c r="N40" s="184" t="str">
        <f>IFERROR(IF(VLOOKUP(Thu_W2[[#This Row],[Employee Name]],'Base Schedules'!$A$243:$AW$281,13,FALSE)="","",VLOOKUP(Thu_W2[[#This Row],[Employee Name]],'Base Schedules'!$A$243:$AW$281,13,FALSE)),"")</f>
        <v/>
      </c>
      <c r="O40" s="184" t="str">
        <f>IFERROR(IF(VLOOKUP(Thu_W2[[#This Row],[Employee Name]],'Base Schedules'!$A$243:$AW$281,14,FALSE)="","",VLOOKUP(Thu_W2[[#This Row],[Employee Name]],'Base Schedules'!$A$243:$AW$281,14,FALSE)),"")</f>
        <v/>
      </c>
      <c r="P40" s="184" t="str">
        <f>IFERROR(IF(VLOOKUP(Thu_W2[[#This Row],[Employee Name]],'Base Schedules'!$A$243:$AW$281,15,FALSE)="","",VLOOKUP(Thu_W2[[#This Row],[Employee Name]],'Base Schedules'!$A$243:$AW$281,15,FALSE)),"")</f>
        <v/>
      </c>
      <c r="Q40" s="184" t="str">
        <f>IFERROR(IF(VLOOKUP(Thu_W2[[#This Row],[Employee Name]],'Base Schedules'!$A$243:$AW$281,16,FALSE)="","",VLOOKUP(Thu_W2[[#This Row],[Employee Name]],'Base Schedules'!$A$243:$AW$281,16,FALSE)),"")</f>
        <v/>
      </c>
      <c r="R40" s="184" t="str">
        <f>IFERROR(IF(VLOOKUP(Thu_W2[[#This Row],[Employee Name]],'Base Schedules'!$A$243:$AW$281,17,FALSE)="","",VLOOKUP(Thu_W2[[#This Row],[Employee Name]],'Base Schedules'!$A$243:$AW$281,17,FALSE)),"")</f>
        <v/>
      </c>
      <c r="S40" s="184" t="str">
        <f>IFERROR(IF(VLOOKUP(Thu_W2[[#This Row],[Employee Name]],'Base Schedules'!$A$243:$AW$281,18,FALSE)="","",VLOOKUP(Thu_W2[[#This Row],[Employee Name]],'Base Schedules'!$A$243:$AW$281,18,FALSE)),"")</f>
        <v/>
      </c>
      <c r="T40" s="184" t="str">
        <f>IFERROR(IF(VLOOKUP(Thu_W2[[#This Row],[Employee Name]],'Base Schedules'!$A$243:$AW$281,19,FALSE)="","",VLOOKUP(Thu_W2[[#This Row],[Employee Name]],'Base Schedules'!$A$243:$AW$281,19,FALSE)),"")</f>
        <v/>
      </c>
      <c r="U40" s="184" t="str">
        <f>IFERROR(IF(VLOOKUP(Thu_W2[[#This Row],[Employee Name]],'Base Schedules'!$A$243:$AW$281,20,FALSE)="","",VLOOKUP(Thu_W2[[#This Row],[Employee Name]],'Base Schedules'!$A$243:$AW$281,20,FALSE)),"")</f>
        <v/>
      </c>
      <c r="V40" s="184" t="str">
        <f>IFERROR(IF(VLOOKUP(Thu_W2[[#This Row],[Employee Name]],'Base Schedules'!$A$243:$AW$281,21,FALSE)="","",VLOOKUP(Thu_W2[[#This Row],[Employee Name]],'Base Schedules'!$A$243:$AW$281,21,FALSE)),"")</f>
        <v/>
      </c>
      <c r="W40" s="184" t="str">
        <f>IFERROR(IF(VLOOKUP(Thu_W2[[#This Row],[Employee Name]],'Base Schedules'!$A$243:$AW$281,22,FALSE)="","",VLOOKUP(Thu_W2[[#This Row],[Employee Name]],'Base Schedules'!$A$243:$AW$281,22,FALSE)),"")</f>
        <v/>
      </c>
      <c r="X40" s="184" t="str">
        <f>IFERROR(IF(VLOOKUP(Thu_W2[[#This Row],[Employee Name]],'Base Schedules'!$A$243:$AW$281,23,FALSE)="","",VLOOKUP(Thu_W2[[#This Row],[Employee Name]],'Base Schedules'!$A$243:$AW$281,23,FALSE)),"")</f>
        <v/>
      </c>
      <c r="Y40" s="184" t="str">
        <f>IFERROR(IF(VLOOKUP(Thu_W2[[#This Row],[Employee Name]],'Base Schedules'!$A$243:$AW$281,24,FALSE)="","",VLOOKUP(Thu_W2[[#This Row],[Employee Name]],'Base Schedules'!$A$243:$AW$281,24,FALSE)),"")</f>
        <v/>
      </c>
      <c r="Z40" s="184" t="str">
        <f>IFERROR(IF(VLOOKUP(Thu_W2[[#This Row],[Employee Name]],'Base Schedules'!$A$243:$AW$281,25,FALSE)="","",VLOOKUP(Thu_W2[[#This Row],[Employee Name]],'Base Schedules'!$A$243:$AW$281,25,FALSE)),"")</f>
        <v/>
      </c>
      <c r="AA40" s="184" t="str">
        <f>IFERROR(IF(VLOOKUP(Thu_W2[[#This Row],[Employee Name]],'Base Schedules'!$A$243:$AW$281,26,FALSE)="","",VLOOKUP(Thu_W2[[#This Row],[Employee Name]],'Base Schedules'!$A$243:$AW$281,26,FALSE)),"")</f>
        <v/>
      </c>
      <c r="AB40" s="184" t="str">
        <f>IFERROR(IF(VLOOKUP(Thu_W2[[#This Row],[Employee Name]],'Base Schedules'!$A$243:$AW$281,27,FALSE)="","",VLOOKUP(Thu_W2[[#This Row],[Employee Name]],'Base Schedules'!$A$243:$AW$281,27,FALSE)),"")</f>
        <v/>
      </c>
      <c r="AC40" s="184" t="str">
        <f>IFERROR(IF(VLOOKUP(Thu_W2[[#This Row],[Employee Name]],'Base Schedules'!$A$243:$AW$281,28,FALSE)="","",VLOOKUP(Thu_W2[[#This Row],[Employee Name]],'Base Schedules'!$A$243:$AW$281,28,FALSE)),"")</f>
        <v/>
      </c>
      <c r="AD40" s="184" t="str">
        <f>IFERROR(IF(VLOOKUP(Thu_W2[[#This Row],[Employee Name]],'Base Schedules'!$A$243:$AW$281,29,FALSE)="","",VLOOKUP(Thu_W2[[#This Row],[Employee Name]],'Base Schedules'!$A$243:$AW$281,29,FALSE)),"")</f>
        <v/>
      </c>
      <c r="AE40" s="184" t="str">
        <f>IFERROR(IF(VLOOKUP(Thu_W2[[#This Row],[Employee Name]],'Base Schedules'!$A$243:$AW$281,30,FALSE)="","",VLOOKUP(Thu_W2[[#This Row],[Employee Name]],'Base Schedules'!$A$243:$AW$281,30,FALSE)),"")</f>
        <v/>
      </c>
      <c r="AF40" s="184" t="str">
        <f>IFERROR(IF(VLOOKUP(Thu_W2[[#This Row],[Employee Name]],'Base Schedules'!$A$243:$AW$281,31,FALSE)="","",VLOOKUP(Thu_W2[[#This Row],[Employee Name]],'Base Schedules'!$A$243:$AW$281,31,FALSE)),"")</f>
        <v>-</v>
      </c>
      <c r="AG40" s="184" t="str">
        <f>IFERROR(IF(VLOOKUP(Thu_W2[[#This Row],[Employee Name]],'Base Schedules'!$A$243:$AW$281,32,FALSE)="","",VLOOKUP(Thu_W2[[#This Row],[Employee Name]],'Base Schedules'!$A$243:$AW$281,32,FALSE)),"")</f>
        <v>-</v>
      </c>
      <c r="AH40" s="184" t="str">
        <f>IFERROR(IF(VLOOKUP(Thu_W2[[#This Row],[Employee Name]],'Base Schedules'!$A$243:$AW$281,33,FALSE)="","",VLOOKUP(Thu_W2[[#This Row],[Employee Name]],'Base Schedules'!$A$243:$AW$281,33,FALSE)),"")</f>
        <v>Interview</v>
      </c>
      <c r="AI40" s="184" t="str">
        <f>IFERROR(IF(VLOOKUP(Thu_W2[[#This Row],[Employee Name]],'Base Schedules'!$A$243:$AW$281,34,FALSE)="","",VLOOKUP(Thu_W2[[#This Row],[Employee Name]],'Base Schedules'!$A$243:$AW$281,34,FALSE)),"")</f>
        <v>Interview</v>
      </c>
      <c r="AJ40" s="184" t="str">
        <f>IFERROR(IF(VLOOKUP(Thu_W2[[#This Row],[Employee Name]],'Base Schedules'!$A$243:$AW$281,35,FALSE)="","",VLOOKUP(Thu_W2[[#This Row],[Employee Name]],'Base Schedules'!$A$243:$AW$281,35,FALSE)),"")</f>
        <v>-</v>
      </c>
      <c r="AK40" s="184" t="str">
        <f>IFERROR(IF(VLOOKUP(Thu_W2[[#This Row],[Employee Name]],'Base Schedules'!$A$243:$AW$281,36,FALSE)="","",VLOOKUP(Thu_W2[[#This Row],[Employee Name]],'Base Schedules'!$A$243:$AW$281,36,FALSE)),"")</f>
        <v>-</v>
      </c>
      <c r="AL40" s="184" t="str">
        <f>IFERROR(IF(VLOOKUP(Thu_W2[[#This Row],[Employee Name]],'Base Schedules'!$A$243:$AW$281,37,FALSE)="","",VLOOKUP(Thu_W2[[#This Row],[Employee Name]],'Base Schedules'!$A$243:$AW$281,37,FALSE)),"")</f>
        <v>-</v>
      </c>
      <c r="AM40" s="184" t="str">
        <f>IFERROR(IF(VLOOKUP(Thu_W2[[#This Row],[Employee Name]],'Base Schedules'!$A$243:$AW$281,38,FALSE)="","",VLOOKUP(Thu_W2[[#This Row],[Employee Name]],'Base Schedules'!$A$243:$AW$281,38,FALSE)),"")</f>
        <v>-</v>
      </c>
      <c r="AN40" s="184" t="str">
        <f>IFERROR(IF(VLOOKUP(Thu_W2[[#This Row],[Employee Name]],'Base Schedules'!$A$243:$AW$281,39,FALSE)="","",VLOOKUP(Thu_W2[[#This Row],[Employee Name]],'Base Schedules'!$A$243:$AW$281,39,FALSE)),"")</f>
        <v>Coaching</v>
      </c>
      <c r="AO40" s="184" t="str">
        <f>IFERROR(IF(VLOOKUP(Thu_W2[[#This Row],[Employee Name]],'Base Schedules'!$A$243:$AW$281,40,FALSE)="","",VLOOKUP(Thu_W2[[#This Row],[Employee Name]],'Base Schedules'!$A$243:$AW$281,40,FALSE)),"")</f>
        <v>Coaching</v>
      </c>
      <c r="AP40" s="184" t="str">
        <f>IFERROR(IF(VLOOKUP(Thu_W2[[#This Row],[Employee Name]],'Base Schedules'!$A$243:$AW$281,41,FALSE)="","",VLOOKUP(Thu_W2[[#This Row],[Employee Name]],'Base Schedules'!$A$243:$AW$281,41,FALSE)),"")</f>
        <v>Coaching</v>
      </c>
      <c r="AQ40" s="184" t="str">
        <f>IFERROR(IF(VLOOKUP(Thu_W2[[#This Row],[Employee Name]],'Base Schedules'!$A$243:$AW$281,42,FALSE)="","",VLOOKUP(Thu_W2[[#This Row],[Employee Name]],'Base Schedules'!$A$243:$AW$281,42,FALSE)),"")</f>
        <v>Coaching</v>
      </c>
      <c r="AR40" s="184" t="str">
        <f>IFERROR(IF(VLOOKUP(Thu_W2[[#This Row],[Employee Name]],'Base Schedules'!$A$243:$AW$281,43,FALSE)="","",VLOOKUP(Thu_W2[[#This Row],[Employee Name]],'Base Schedules'!$A$243:$AW$281,43,FALSE)),"")</f>
        <v>-</v>
      </c>
      <c r="AS40" s="184" t="str">
        <f>IFERROR(IF(VLOOKUP(Thu_W2[[#This Row],[Employee Name]],'Base Schedules'!$A$243:$AW$281,44,FALSE)="","",VLOOKUP(Thu_W2[[#This Row],[Employee Name]],'Base Schedules'!$A$243:$AW$281,44,FALSE)),"")</f>
        <v>-</v>
      </c>
      <c r="AT40" s="184" t="str">
        <f>IFERROR(IF(VLOOKUP(Thu_W2[[#This Row],[Employee Name]],'Base Schedules'!$A$243:$AW$281,45,FALSE)="","",VLOOKUP(Thu_W2[[#This Row],[Employee Name]],'Base Schedules'!$A$243:$AW$281,45,FALSE)),"")</f>
        <v>-</v>
      </c>
      <c r="AU40" s="184" t="str">
        <f>IFERROR(IF(VLOOKUP(Thu_W2[[#This Row],[Employee Name]],'Base Schedules'!$A$243:$AW$281,46,FALSE)="","",VLOOKUP(Thu_W2[[#This Row],[Employee Name]],'Base Schedules'!$A$243:$AW$281,46,FALSE)),"")</f>
        <v>-</v>
      </c>
      <c r="AV40" s="184" t="str">
        <f>IFERROR(IF(VLOOKUP(Thu_W2[[#This Row],[Employee Name]],'Base Schedules'!$A$243:$AW$281,47,FALSE)="","",VLOOKUP(Thu_W2[[#This Row],[Employee Name]],'Base Schedules'!$A$243:$AW$281,47,FALSE)),"")</f>
        <v>-</v>
      </c>
      <c r="AW40" s="184" t="str">
        <f>IFERROR(IF(VLOOKUP(Thu_W2[[#This Row],[Employee Name]],'Base Schedules'!$A$243:$AW$281,48,FALSE)="","",VLOOKUP(Thu_W2[[#This Row],[Employee Name]],'Base Schedules'!$A$243:$AW$281,48,FALSE)),"")</f>
        <v>-</v>
      </c>
      <c r="AX40" s="184" t="str">
        <f>IFERROR(IF(VLOOKUP(Thu_W2[[#This Row],[Employee Name]],'Base Schedules'!$A$243:$AW$281,49,FALSE)="","",VLOOKUP(Thu_W2[[#This Row],[Employee Name]],'Base Schedules'!$A$243:$AW$281,49,FALSE)),"")</f>
        <v/>
      </c>
      <c r="AY40" s="245" t="str">
        <f t="shared" si="2"/>
        <v>Zornick, David</v>
      </c>
    </row>
    <row r="41" spans="1:51" s="44" customFormat="1" ht="12" customHeight="1" x14ac:dyDescent="0.2">
      <c r="A41" s="39" t="str">
        <f>IF(B41="","",INDEX(TeamList[],MATCH($B41,TeamList[[Employee Name]:[Employee Name]],0),MATCH("Manager",TeamList[#Headers],0)))</f>
        <v>Olson, Katherine</v>
      </c>
      <c r="B41" s="201" t="s">
        <v>229</v>
      </c>
      <c r="C41" s="257" t="str">
        <f>_xlfn.IFNA(VLOOKUP(Thu_W2[[#This Row],[Employee Name]],'Base Schedules'!A:B,2,FALSE),"")</f>
        <v>Lead</v>
      </c>
      <c r="D41" s="274">
        <f>_xlfn.IFNA(VLOOKUP(Thu_W2[[#This Row],[Employee Name]],'Base Schedules'!A:C,3,FALSE),"")</f>
        <v>1630</v>
      </c>
      <c r="E41" s="274">
        <f>_xlfn.IFNA(VLOOKUP(Thu_W2[[#This Row],[Employee Name]],'Base Schedules'!A:D,4,FALSE),"")</f>
        <v>100</v>
      </c>
      <c r="F41" s="142">
        <f>IF(Thu_W2[[#This Row],[Employee Name]]="","",IF(Thu_W2[[#This Row],[Dept]]="Supervisor",COUNTIFS($J41:$AX41,"*HL*",$J41:$AX41,"&lt;&gt;"&amp;"pHL"),COUNTIFS($J41:$AX41,"*HL*",$J41:$AX41,"&lt;&gt;"&amp;"*pHL*",$J41:$AX41,"&lt;&gt;"&amp;"pB1 HL",$J41:$AX41,"&lt;&gt;"&amp;"pB2 HL")-SUM(COUNTIFS($J41:$AX41,"*HL B1*",$J41:$AX41,"&lt;&gt;"&amp;"pHL B1")*0.5,COUNTIFS($J41:$AX41,"*HL B2*",$J41:$AX41,"&lt;&gt;"&amp;"pHL B2")*0.5,COUNTIFS($J41:$AX41,"*B1 HL*",$J41:$AX41,"&lt;&gt;"&amp;"pB1 HL")*0.5,COUNTIFS($J41:$AX41,"*B2 HL*",$J41:$AX41,"&lt;&gt;"&amp;"pB2 HL")*0.5)))</f>
        <v>8.5</v>
      </c>
      <c r="G41" s="142">
        <f t="shared" si="3"/>
        <v>0</v>
      </c>
      <c r="H41" s="142">
        <f t="shared" si="1"/>
        <v>5</v>
      </c>
      <c r="I41" s="142">
        <f>IF(Thu_W2[[#This Row],[Employee Name]]="","",IF(Thu_W2[[#This Row],[Dept]]="Supervisor",SUM(COUNTIFS($J41:$AX41,"RTA*",$J41:$AX41,"&lt;&gt;"&amp;"pRTA"),COUNTIFS($J41:$AX41,"*CRTA*",$J41:$AX41,"&lt;&gt;"&amp;"pCRTA")),COUNTIFS($J41:$AX41,"*RNNR*",$J41:$AX41,"&lt;&gt;"&amp;"*pRNNR*",$J41:$AX41,"&lt;&gt;"&amp;"pB1 RNNR",$J41:$AX41,"&lt;&gt;"&amp;"pB2 RNNR")-SUM(COUNTIFS($J41:$AX41,"*RNNR B1*",$J41:$AX41,"&lt;&gt;"&amp;"pRNNR B1")*0.5,COUNTIFS($J41:$AX41,"*RNNR B2*",$J41:$AX41,"&lt;&gt;"&amp;"pRNNR B2")*0.5,COUNTIFS($J41:$AX41,"*B1 RNNR*",$J41:$AX41,"&lt;&gt;"&amp;"pB1 RNNR")*0.5,COUNTIFS($J41:$AX41,"*B2 RNNR*",$J41:$AX41,"&lt;&gt;"&amp;"pB2 RNNR")*0.5)))</f>
        <v>2</v>
      </c>
      <c r="J41" s="184" t="str">
        <f>IFERROR(IF(VLOOKUP(Thu_W2[[#This Row],[Employee Name]],'Base Schedules'!$A$243:$AW$281,9,FALSE)="","",VLOOKUP(Thu_W2[[#This Row],[Employee Name]],'Base Schedules'!$A$243:$AW$281,9,FALSE)),"")</f>
        <v/>
      </c>
      <c r="K41" s="184" t="str">
        <f>IFERROR(IF(VLOOKUP(Thu_W2[[#This Row],[Employee Name]],'Base Schedules'!$A$243:$AW$281,10,FALSE)="","",VLOOKUP(Thu_W2[[#This Row],[Employee Name]],'Base Schedules'!$A$243:$AW$281,10,FALSE)),"")</f>
        <v/>
      </c>
      <c r="L41" s="184" t="str">
        <f>IFERROR(IF(VLOOKUP(Thu_W2[[#This Row],[Employee Name]],'Base Schedules'!$A$243:$AW$281,11,FALSE)="","",VLOOKUP(Thu_W2[[#This Row],[Employee Name]],'Base Schedules'!$A$243:$AW$281,11,FALSE)),"")</f>
        <v/>
      </c>
      <c r="M41" s="184" t="str">
        <f>IFERROR(IF(VLOOKUP(Thu_W2[[#This Row],[Employee Name]],'Base Schedules'!$A$243:$AW$281,12,FALSE)="","",VLOOKUP(Thu_W2[[#This Row],[Employee Name]],'Base Schedules'!$A$243:$AW$281,12,FALSE)),"")</f>
        <v/>
      </c>
      <c r="N41" s="184" t="str">
        <f>IFERROR(IF(VLOOKUP(Thu_W2[[#This Row],[Employee Name]],'Base Schedules'!$A$243:$AW$281,13,FALSE)="","",VLOOKUP(Thu_W2[[#This Row],[Employee Name]],'Base Schedules'!$A$243:$AW$281,13,FALSE)),"")</f>
        <v/>
      </c>
      <c r="O41" s="184" t="str">
        <f>IFERROR(IF(VLOOKUP(Thu_W2[[#This Row],[Employee Name]],'Base Schedules'!$A$243:$AW$281,14,FALSE)="","",VLOOKUP(Thu_W2[[#This Row],[Employee Name]],'Base Schedules'!$A$243:$AW$281,14,FALSE)),"")</f>
        <v/>
      </c>
      <c r="P41" s="184" t="str">
        <f>IFERROR(IF(VLOOKUP(Thu_W2[[#This Row],[Employee Name]],'Base Schedules'!$A$243:$AW$281,15,FALSE)="","",VLOOKUP(Thu_W2[[#This Row],[Employee Name]],'Base Schedules'!$A$243:$AW$281,15,FALSE)),"")</f>
        <v/>
      </c>
      <c r="Q41" s="184" t="str">
        <f>IFERROR(IF(VLOOKUP(Thu_W2[[#This Row],[Employee Name]],'Base Schedules'!$A$243:$AW$281,16,FALSE)="","",VLOOKUP(Thu_W2[[#This Row],[Employee Name]],'Base Schedules'!$A$243:$AW$281,16,FALSE)),"")</f>
        <v/>
      </c>
      <c r="R41" s="184" t="str">
        <f>IFERROR(IF(VLOOKUP(Thu_W2[[#This Row],[Employee Name]],'Base Schedules'!$A$243:$AW$281,17,FALSE)="","",VLOOKUP(Thu_W2[[#This Row],[Employee Name]],'Base Schedules'!$A$243:$AW$281,17,FALSE)),"")</f>
        <v/>
      </c>
      <c r="S41" s="184" t="str">
        <f>IFERROR(IF(VLOOKUP(Thu_W2[[#This Row],[Employee Name]],'Base Schedules'!$A$243:$AW$281,18,FALSE)="","",VLOOKUP(Thu_W2[[#This Row],[Employee Name]],'Base Schedules'!$A$243:$AW$281,18,FALSE)),"")</f>
        <v/>
      </c>
      <c r="T41" s="184" t="str">
        <f>IFERROR(IF(VLOOKUP(Thu_W2[[#This Row],[Employee Name]],'Base Schedules'!$A$243:$AW$281,19,FALSE)="","",VLOOKUP(Thu_W2[[#This Row],[Employee Name]],'Base Schedules'!$A$243:$AW$281,19,FALSE)),"")</f>
        <v/>
      </c>
      <c r="U41" s="184" t="str">
        <f>IFERROR(IF(VLOOKUP(Thu_W2[[#This Row],[Employee Name]],'Base Schedules'!$A$243:$AW$281,20,FALSE)="","",VLOOKUP(Thu_W2[[#This Row],[Employee Name]],'Base Schedules'!$A$243:$AW$281,20,FALSE)),"")</f>
        <v/>
      </c>
      <c r="V41" s="184" t="str">
        <f>IFERROR(IF(VLOOKUP(Thu_W2[[#This Row],[Employee Name]],'Base Schedules'!$A$243:$AW$281,21,FALSE)="","",VLOOKUP(Thu_W2[[#This Row],[Employee Name]],'Base Schedules'!$A$243:$AW$281,21,FALSE)),"")</f>
        <v/>
      </c>
      <c r="W41" s="184" t="str">
        <f>IFERROR(IF(VLOOKUP(Thu_W2[[#This Row],[Employee Name]],'Base Schedules'!$A$243:$AW$281,22,FALSE)="","",VLOOKUP(Thu_W2[[#This Row],[Employee Name]],'Base Schedules'!$A$243:$AW$281,22,FALSE)),"")</f>
        <v/>
      </c>
      <c r="X41" s="184" t="str">
        <f>IFERROR(IF(VLOOKUP(Thu_W2[[#This Row],[Employee Name]],'Base Schedules'!$A$243:$AW$281,23,FALSE)="","",VLOOKUP(Thu_W2[[#This Row],[Employee Name]],'Base Schedules'!$A$243:$AW$281,23,FALSE)),"")</f>
        <v/>
      </c>
      <c r="Y41" s="184" t="str">
        <f>IFERROR(IF(VLOOKUP(Thu_W2[[#This Row],[Employee Name]],'Base Schedules'!$A$243:$AW$281,24,FALSE)="","",VLOOKUP(Thu_W2[[#This Row],[Employee Name]],'Base Schedules'!$A$243:$AW$281,24,FALSE)),"")</f>
        <v/>
      </c>
      <c r="Z41" s="184" t="str">
        <f>IFERROR(IF(VLOOKUP(Thu_W2[[#This Row],[Employee Name]],'Base Schedules'!$A$243:$AW$281,25,FALSE)="","",VLOOKUP(Thu_W2[[#This Row],[Employee Name]],'Base Schedules'!$A$243:$AW$281,25,FALSE)),"")</f>
        <v/>
      </c>
      <c r="AA41" s="184" t="str">
        <f>IFERROR(IF(VLOOKUP(Thu_W2[[#This Row],[Employee Name]],'Base Schedules'!$A$243:$AW$281,26,FALSE)="","",VLOOKUP(Thu_W2[[#This Row],[Employee Name]],'Base Schedules'!$A$243:$AW$281,26,FALSE)),"")</f>
        <v/>
      </c>
      <c r="AB41" s="184" t="str">
        <f>IFERROR(IF(VLOOKUP(Thu_W2[[#This Row],[Employee Name]],'Base Schedules'!$A$243:$AW$281,27,FALSE)="","",VLOOKUP(Thu_W2[[#This Row],[Employee Name]],'Base Schedules'!$A$243:$AW$281,27,FALSE)),"")</f>
        <v/>
      </c>
      <c r="AC41" s="184" t="str">
        <f>IFERROR(IF(VLOOKUP(Thu_W2[[#This Row],[Employee Name]],'Base Schedules'!$A$243:$AW$281,28,FALSE)="","",VLOOKUP(Thu_W2[[#This Row],[Employee Name]],'Base Schedules'!$A$243:$AW$281,28,FALSE)),"")</f>
        <v/>
      </c>
      <c r="AD41" s="184" t="str">
        <f>IFERROR(IF(VLOOKUP(Thu_W2[[#This Row],[Employee Name]],'Base Schedules'!$A$243:$AW$281,29,FALSE)="","",VLOOKUP(Thu_W2[[#This Row],[Employee Name]],'Base Schedules'!$A$243:$AW$281,29,FALSE)),"")</f>
        <v/>
      </c>
      <c r="AE41" s="184" t="str">
        <f>IFERROR(IF(VLOOKUP(Thu_W2[[#This Row],[Employee Name]],'Base Schedules'!$A$243:$AW$281,30,FALSE)="","",VLOOKUP(Thu_W2[[#This Row],[Employee Name]],'Base Schedules'!$A$243:$AW$281,30,FALSE)),"")</f>
        <v/>
      </c>
      <c r="AF41" s="184" t="str">
        <f>IFERROR(IF(VLOOKUP(Thu_W2[[#This Row],[Employee Name]],'Base Schedules'!$A$243:$AW$281,31,FALSE)="","",VLOOKUP(Thu_W2[[#This Row],[Employee Name]],'Base Schedules'!$A$243:$AW$281,31,FALSE)),"")</f>
        <v/>
      </c>
      <c r="AG41" s="184" t="str">
        <f>IFERROR(IF(VLOOKUP(Thu_W2[[#This Row],[Employee Name]],'Base Schedules'!$A$243:$AW$281,32,FALSE)="","",VLOOKUP(Thu_W2[[#This Row],[Employee Name]],'Base Schedules'!$A$243:$AW$281,32,FALSE)),"")</f>
        <v>ADM</v>
      </c>
      <c r="AH41" s="184" t="str">
        <f>IFERROR(IF(VLOOKUP(Thu_W2[[#This Row],[Employee Name]],'Base Schedules'!$A$243:$AW$281,33,FALSE)="","",VLOOKUP(Thu_W2[[#This Row],[Employee Name]],'Base Schedules'!$A$243:$AW$281,33,FALSE)),"")</f>
        <v>ADM</v>
      </c>
      <c r="AI41" s="184" t="str">
        <f>IFERROR(IF(VLOOKUP(Thu_W2[[#This Row],[Employee Name]],'Base Schedules'!$A$243:$AW$281,34,FALSE)="","",VLOOKUP(Thu_W2[[#This Row],[Employee Name]],'Base Schedules'!$A$243:$AW$281,34,FALSE)),"")</f>
        <v>ADM</v>
      </c>
      <c r="AJ41" s="184" t="str">
        <f>IFERROR(IF(VLOOKUP(Thu_W2[[#This Row],[Employee Name]],'Base Schedules'!$A$243:$AW$281,35,FALSE)="","",VLOOKUP(Thu_W2[[#This Row],[Employee Name]],'Base Schedules'!$A$243:$AW$281,35,FALSE)),"")</f>
        <v>ADM</v>
      </c>
      <c r="AK41" s="184" t="str">
        <f>IFERROR(IF(VLOOKUP(Thu_W2[[#This Row],[Employee Name]],'Base Schedules'!$A$243:$AW$281,36,FALSE)="","",VLOOKUP(Thu_W2[[#This Row],[Employee Name]],'Base Schedules'!$A$243:$AW$281,36,FALSE)),"")</f>
        <v>ADM B1</v>
      </c>
      <c r="AL41" s="184" t="str">
        <f>IFERROR(IF(VLOOKUP(Thu_W2[[#This Row],[Employee Name]],'Base Schedules'!$A$243:$AW$281,37,FALSE)="","",VLOOKUP(Thu_W2[[#This Row],[Employee Name]],'Base Schedules'!$A$243:$AW$281,37,FALSE)),"")</f>
        <v>RNNR</v>
      </c>
      <c r="AM41" s="184" t="str">
        <f>IFERROR(IF(VLOOKUP(Thu_W2[[#This Row],[Employee Name]],'Base Schedules'!$A$243:$AW$281,38,FALSE)="","",VLOOKUP(Thu_W2[[#This Row],[Employee Name]],'Base Schedules'!$A$243:$AW$281,38,FALSE)),"")</f>
        <v>RNNR</v>
      </c>
      <c r="AN41" s="184" t="str">
        <f>IFERROR(IF(VLOOKUP(Thu_W2[[#This Row],[Employee Name]],'Base Schedules'!$A$243:$AW$281,39,FALSE)="","",VLOOKUP(Thu_W2[[#This Row],[Employee Name]],'Base Schedules'!$A$243:$AW$281,39,FALSE)),"")</f>
        <v>HL</v>
      </c>
      <c r="AO41" s="184" t="str">
        <f>IFERROR(IF(VLOOKUP(Thu_W2[[#This Row],[Employee Name]],'Base Schedules'!$A$243:$AW$281,40,FALSE)="","",VLOOKUP(Thu_W2[[#This Row],[Employee Name]],'Base Schedules'!$A$243:$AW$281,40,FALSE)),"")</f>
        <v>LUNCH</v>
      </c>
      <c r="AP41" s="184" t="str">
        <f>IFERROR(IF(VLOOKUP(Thu_W2[[#This Row],[Employee Name]],'Base Schedules'!$A$243:$AW$281,41,FALSE)="","",VLOOKUP(Thu_W2[[#This Row],[Employee Name]],'Base Schedules'!$A$243:$AW$281,41,FALSE)),"")</f>
        <v>HL</v>
      </c>
      <c r="AQ41" s="184" t="str">
        <f>IFERROR(IF(VLOOKUP(Thu_W2[[#This Row],[Employee Name]],'Base Schedules'!$A$243:$AW$281,42,FALSE)="","",VLOOKUP(Thu_W2[[#This Row],[Employee Name]],'Base Schedules'!$A$243:$AW$281,42,FALSE)),"")</f>
        <v>HL</v>
      </c>
      <c r="AR41" s="184" t="str">
        <f>IFERROR(IF(VLOOKUP(Thu_W2[[#This Row],[Employee Name]],'Base Schedules'!$A$243:$AW$281,43,FALSE)="","",VLOOKUP(Thu_W2[[#This Row],[Employee Name]],'Base Schedules'!$A$243:$AW$281,43,FALSE)),"")</f>
        <v>HL</v>
      </c>
      <c r="AS41" s="184" t="str">
        <f>IFERROR(IF(VLOOKUP(Thu_W2[[#This Row],[Employee Name]],'Base Schedules'!$A$243:$AW$281,44,FALSE)="","",VLOOKUP(Thu_W2[[#This Row],[Employee Name]],'Base Schedules'!$A$243:$AW$281,44,FALSE)),"")</f>
        <v>B1 HL</v>
      </c>
      <c r="AT41" s="184" t="str">
        <f>IFERROR(IF(VLOOKUP(Thu_W2[[#This Row],[Employee Name]],'Base Schedules'!$A$243:$AW$281,45,FALSE)="","",VLOOKUP(Thu_W2[[#This Row],[Employee Name]],'Base Schedules'!$A$243:$AW$281,45,FALSE)),"")</f>
        <v>HL</v>
      </c>
      <c r="AU41" s="184" t="str">
        <f>IFERROR(IF(VLOOKUP(Thu_W2[[#This Row],[Employee Name]],'Base Schedules'!$A$243:$AW$281,46,FALSE)="","",VLOOKUP(Thu_W2[[#This Row],[Employee Name]],'Base Schedules'!$A$243:$AW$281,46,FALSE)),"")</f>
        <v>hl</v>
      </c>
      <c r="AV41" s="184" t="str">
        <f>IFERROR(IF(VLOOKUP(Thu_W2[[#This Row],[Employee Name]],'Base Schedules'!$A$243:$AW$281,47,FALSE)="","",VLOOKUP(Thu_W2[[#This Row],[Employee Name]],'Base Schedules'!$A$243:$AW$281,47,FALSE)),"")</f>
        <v>HL</v>
      </c>
      <c r="AW41" s="184" t="str">
        <f>IFERROR(IF(VLOOKUP(Thu_W2[[#This Row],[Employee Name]],'Base Schedules'!$A$243:$AW$281,48,FALSE)="","",VLOOKUP(Thu_W2[[#This Row],[Employee Name]],'Base Schedules'!$A$243:$AW$281,48,FALSE)),"")</f>
        <v>HL</v>
      </c>
      <c r="AX41" s="184" t="str">
        <f>IFERROR(IF(VLOOKUP(Thu_W2[[#This Row],[Employee Name]],'Base Schedules'!$A$243:$AW$281,49,FALSE)="","",VLOOKUP(Thu_W2[[#This Row],[Employee Name]],'Base Schedules'!$A$243:$AW$281,49,FALSE)),"")</f>
        <v/>
      </c>
      <c r="AY41" s="245" t="str">
        <f t="shared" si="2"/>
        <v>Fairbrother, Amy</v>
      </c>
    </row>
    <row r="42" spans="1:51" s="44" customFormat="1" ht="12" hidden="1" customHeight="1" x14ac:dyDescent="0.2">
      <c r="A42" s="39" t="str">
        <f>IF(B42="","",INDEX(TeamList[],MATCH($B42,TeamList[[Employee Name]:[Employee Name]],0),MATCH("Manager",TeamList[#Headers],0)))</f>
        <v/>
      </c>
      <c r="B42" s="201"/>
      <c r="C42" s="257" t="str">
        <f>_xlfn.IFNA(VLOOKUP(Thu_W2[[#This Row],[Employee Name]],'Base Schedules'!A:B,2,FALSE),"")</f>
        <v/>
      </c>
      <c r="D42" s="274" t="str">
        <f>_xlfn.IFNA(VLOOKUP(Thu_W2[[#This Row],[Employee Name]],'Base Schedules'!A:C,3,FALSE),"")</f>
        <v/>
      </c>
      <c r="E42" s="274" t="str">
        <f>_xlfn.IFNA(VLOOKUP(Thu_W2[[#This Row],[Employee Name]],'Base Schedules'!A:D,4,FALSE),"")</f>
        <v/>
      </c>
      <c r="F42" s="142" t="str">
        <f>IF(Thu_W2[[#This Row],[Employee Name]]="","",IF(Thu_W2[[#This Row],[Dept]]="Supervisor",COUNTIFS($J42:$AX42,"*HL*",$J42:$AX42,"&lt;&gt;"&amp;"pHL"),COUNTIFS($J42:$AX42,"*HL*",$J42:$AX42,"&lt;&gt;"&amp;"*pHL*",$J42:$AX42,"&lt;&gt;"&amp;"pB1 HL",$J42:$AX42,"&lt;&gt;"&amp;"pB2 HL")-SUM(COUNTIFS($J42:$AX42,"*HL B1*",$J42:$AX42,"&lt;&gt;"&amp;"pHL B1")*0.5,COUNTIFS($J42:$AX42,"*HL B2*",$J42:$AX42,"&lt;&gt;"&amp;"pHL B2")*0.5,COUNTIFS($J42:$AX42,"*B1 HL*",$J42:$AX42,"&lt;&gt;"&amp;"pB1 HL")*0.5,COUNTIFS($J42:$AX42,"*B2 HL*",$J42:$AX42,"&lt;&gt;"&amp;"pB2 HL")*0.5)))</f>
        <v/>
      </c>
      <c r="G42" s="142" t="str">
        <f>IF(B42="","",COUNTIFS($J42:$AX42,"*TM*",$J42:$AX42,"&lt;&gt;"&amp;"pTM",$J42:$AX42,"&lt;&gt;"&amp;"uTM"))</f>
        <v/>
      </c>
      <c r="H42" s="142" t="str">
        <f t="shared" si="1"/>
        <v/>
      </c>
      <c r="I42" s="142" t="str">
        <f>IF(Thu_W2[[#This Row],[Employee Name]]="","",IF(Thu_W2[[#This Row],[Dept]]="Supervisor",SUM(COUNTIFS($J42:$AX42,"RTA*",$J42:$AX42,"&lt;&gt;"&amp;"pRTA"),COUNTIFS($J42:$AX42,"*CRTA*",$J42:$AX42,"&lt;&gt;"&amp;"pCRTA")),COUNTIFS($J42:$AX42,"*RNNR*",$J42:$AX42,"&lt;&gt;"&amp;"*pRNNR*",$J42:$AX42,"&lt;&gt;"&amp;"pB1 RNNR",$J42:$AX42,"&lt;&gt;"&amp;"pB2 RNNR")-SUM(COUNTIFS($J42:$AX42,"*RNNR B1*",$J42:$AX42,"&lt;&gt;"&amp;"pRNNR B1")*0.5,COUNTIFS($J42:$AX42,"*RNNR B2*",$J42:$AX42,"&lt;&gt;"&amp;"pRNNR B2")*0.5,COUNTIFS($J42:$AX42,"*B1 RNNR*",$J42:$AX42,"&lt;&gt;"&amp;"pB1 RNNR")*0.5,COUNTIFS($J42:$AX42,"*B2 RNNR*",$J42:$AX42,"&lt;&gt;"&amp;"pB2 RNNR")*0.5)))</f>
        <v/>
      </c>
      <c r="J42" s="184" t="str">
        <f>IFERROR(IF(VLOOKUP(Thu_W2[[#This Row],[Employee Name]],'Base Schedules'!$A$243:$AW$281,9,FALSE)="","",VLOOKUP(Thu_W2[[#This Row],[Employee Name]],'Base Schedules'!$A$243:$AW$281,9,FALSE)),"")</f>
        <v/>
      </c>
      <c r="K42" s="184" t="str">
        <f>IFERROR(IF(VLOOKUP(Thu_W2[[#This Row],[Employee Name]],'Base Schedules'!$A$243:$AW$281,10,FALSE)="","",VLOOKUP(Thu_W2[[#This Row],[Employee Name]],'Base Schedules'!$A$243:$AW$281,10,FALSE)),"")</f>
        <v/>
      </c>
      <c r="L42" s="184" t="str">
        <f>IFERROR(IF(VLOOKUP(Thu_W2[[#This Row],[Employee Name]],'Base Schedules'!$A$243:$AW$281,11,FALSE)="","",VLOOKUP(Thu_W2[[#This Row],[Employee Name]],'Base Schedules'!$A$243:$AW$281,11,FALSE)),"")</f>
        <v/>
      </c>
      <c r="M42" s="184" t="str">
        <f>IFERROR(IF(VLOOKUP(Thu_W2[[#This Row],[Employee Name]],'Base Schedules'!$A$243:$AW$281,12,FALSE)="","",VLOOKUP(Thu_W2[[#This Row],[Employee Name]],'Base Schedules'!$A$243:$AW$281,12,FALSE)),"")</f>
        <v/>
      </c>
      <c r="N42" s="184" t="str">
        <f>IFERROR(IF(VLOOKUP(Thu_W2[[#This Row],[Employee Name]],'Base Schedules'!$A$243:$AW$281,13,FALSE)="","",VLOOKUP(Thu_W2[[#This Row],[Employee Name]],'Base Schedules'!$A$243:$AW$281,13,FALSE)),"")</f>
        <v/>
      </c>
      <c r="O42" s="184" t="str">
        <f>IFERROR(IF(VLOOKUP(Thu_W2[[#This Row],[Employee Name]],'Base Schedules'!$A$243:$AW$281,14,FALSE)="","",VLOOKUP(Thu_W2[[#This Row],[Employee Name]],'Base Schedules'!$A$243:$AW$281,14,FALSE)),"")</f>
        <v/>
      </c>
      <c r="P42" s="184" t="str">
        <f>IFERROR(IF(VLOOKUP(Thu_W2[[#This Row],[Employee Name]],'Base Schedules'!$A$243:$AW$281,15,FALSE)="","",VLOOKUP(Thu_W2[[#This Row],[Employee Name]],'Base Schedules'!$A$243:$AW$281,15,FALSE)),"")</f>
        <v/>
      </c>
      <c r="Q42" s="184" t="str">
        <f>IFERROR(IF(VLOOKUP(Thu_W2[[#This Row],[Employee Name]],'Base Schedules'!$A$243:$AW$281,16,FALSE)="","",VLOOKUP(Thu_W2[[#This Row],[Employee Name]],'Base Schedules'!$A$243:$AW$281,16,FALSE)),"")</f>
        <v/>
      </c>
      <c r="R42" s="184" t="str">
        <f>IFERROR(IF(VLOOKUP(Thu_W2[[#This Row],[Employee Name]],'Base Schedules'!$A$243:$AW$281,17,FALSE)="","",VLOOKUP(Thu_W2[[#This Row],[Employee Name]],'Base Schedules'!$A$243:$AW$281,17,FALSE)),"")</f>
        <v/>
      </c>
      <c r="S42" s="184" t="str">
        <f>IFERROR(IF(VLOOKUP(Thu_W2[[#This Row],[Employee Name]],'Base Schedules'!$A$243:$AW$281,18,FALSE)="","",VLOOKUP(Thu_W2[[#This Row],[Employee Name]],'Base Schedules'!$A$243:$AW$281,18,FALSE)),"")</f>
        <v/>
      </c>
      <c r="T42" s="184" t="str">
        <f>IFERROR(IF(VLOOKUP(Thu_W2[[#This Row],[Employee Name]],'Base Schedules'!$A$243:$AW$281,19,FALSE)="","",VLOOKUP(Thu_W2[[#This Row],[Employee Name]],'Base Schedules'!$A$243:$AW$281,19,FALSE)),"")</f>
        <v/>
      </c>
      <c r="U42" s="184" t="str">
        <f>IFERROR(IF(VLOOKUP(Thu_W2[[#This Row],[Employee Name]],'Base Schedules'!$A$243:$AW$281,20,FALSE)="","",VLOOKUP(Thu_W2[[#This Row],[Employee Name]],'Base Schedules'!$A$243:$AW$281,20,FALSE)),"")</f>
        <v/>
      </c>
      <c r="V42" s="184" t="str">
        <f>IFERROR(IF(VLOOKUP(Thu_W2[[#This Row],[Employee Name]],'Base Schedules'!$A$243:$AW$281,21,FALSE)="","",VLOOKUP(Thu_W2[[#This Row],[Employee Name]],'Base Schedules'!$A$243:$AW$281,21,FALSE)),"")</f>
        <v/>
      </c>
      <c r="W42" s="184" t="str">
        <f>IFERROR(IF(VLOOKUP(Thu_W2[[#This Row],[Employee Name]],'Base Schedules'!$A$243:$AW$281,22,FALSE)="","",VLOOKUP(Thu_W2[[#This Row],[Employee Name]],'Base Schedules'!$A$243:$AW$281,22,FALSE)),"")</f>
        <v/>
      </c>
      <c r="X42" s="184" t="str">
        <f>IFERROR(IF(VLOOKUP(Thu_W2[[#This Row],[Employee Name]],'Base Schedules'!$A$243:$AW$281,23,FALSE)="","",VLOOKUP(Thu_W2[[#This Row],[Employee Name]],'Base Schedules'!$A$243:$AW$281,23,FALSE)),"")</f>
        <v/>
      </c>
      <c r="Y42" s="184" t="str">
        <f>IFERROR(IF(VLOOKUP(Thu_W2[[#This Row],[Employee Name]],'Base Schedules'!$A$243:$AW$281,24,FALSE)="","",VLOOKUP(Thu_W2[[#This Row],[Employee Name]],'Base Schedules'!$A$243:$AW$281,24,FALSE)),"")</f>
        <v/>
      </c>
      <c r="Z42" s="184" t="str">
        <f>IFERROR(IF(VLOOKUP(Thu_W2[[#This Row],[Employee Name]],'Base Schedules'!$A$243:$AW$281,25,FALSE)="","",VLOOKUP(Thu_W2[[#This Row],[Employee Name]],'Base Schedules'!$A$243:$AW$281,25,FALSE)),"")</f>
        <v/>
      </c>
      <c r="AA42" s="184" t="str">
        <f>IFERROR(IF(VLOOKUP(Thu_W2[[#This Row],[Employee Name]],'Base Schedules'!$A$243:$AW$281,26,FALSE)="","",VLOOKUP(Thu_W2[[#This Row],[Employee Name]],'Base Schedules'!$A$243:$AW$281,26,FALSE)),"")</f>
        <v/>
      </c>
      <c r="AB42" s="184" t="str">
        <f>IFERROR(IF(VLOOKUP(Thu_W2[[#This Row],[Employee Name]],'Base Schedules'!$A$243:$AW$281,27,FALSE)="","",VLOOKUP(Thu_W2[[#This Row],[Employee Name]],'Base Schedules'!$A$243:$AW$281,27,FALSE)),"")</f>
        <v/>
      </c>
      <c r="AC42" s="184" t="str">
        <f>IFERROR(IF(VLOOKUP(Thu_W2[[#This Row],[Employee Name]],'Base Schedules'!$A$243:$AW$281,28,FALSE)="","",VLOOKUP(Thu_W2[[#This Row],[Employee Name]],'Base Schedules'!$A$243:$AW$281,28,FALSE)),"")</f>
        <v/>
      </c>
      <c r="AD42" s="184" t="str">
        <f>IFERROR(IF(VLOOKUP(Thu_W2[[#This Row],[Employee Name]],'Base Schedules'!$A$243:$AW$281,29,FALSE)="","",VLOOKUP(Thu_W2[[#This Row],[Employee Name]],'Base Schedules'!$A$243:$AW$281,29,FALSE)),"")</f>
        <v/>
      </c>
      <c r="AE42" s="184" t="str">
        <f>IFERROR(IF(VLOOKUP(Thu_W2[[#This Row],[Employee Name]],'Base Schedules'!$A$243:$AW$281,30,FALSE)="","",VLOOKUP(Thu_W2[[#This Row],[Employee Name]],'Base Schedules'!$A$243:$AW$281,30,FALSE)),"")</f>
        <v/>
      </c>
      <c r="AF42" s="184" t="str">
        <f>IFERROR(IF(VLOOKUP(Thu_W2[[#This Row],[Employee Name]],'Base Schedules'!$A$243:$AW$281,31,FALSE)="","",VLOOKUP(Thu_W2[[#This Row],[Employee Name]],'Base Schedules'!$A$243:$AW$281,31,FALSE)),"")</f>
        <v/>
      </c>
      <c r="AG42" s="184" t="str">
        <f>IFERROR(IF(VLOOKUP(Thu_W2[[#This Row],[Employee Name]],'Base Schedules'!$A$243:$AW$281,32,FALSE)="","",VLOOKUP(Thu_W2[[#This Row],[Employee Name]],'Base Schedules'!$A$243:$AW$281,32,FALSE)),"")</f>
        <v/>
      </c>
      <c r="AH42" s="184" t="str">
        <f>IFERROR(IF(VLOOKUP(Thu_W2[[#This Row],[Employee Name]],'Base Schedules'!$A$243:$AW$281,33,FALSE)="","",VLOOKUP(Thu_W2[[#This Row],[Employee Name]],'Base Schedules'!$A$243:$AW$281,33,FALSE)),"")</f>
        <v/>
      </c>
      <c r="AI42" s="184" t="str">
        <f>IFERROR(IF(VLOOKUP(Thu_W2[[#This Row],[Employee Name]],'Base Schedules'!$A$243:$AW$281,34,FALSE)="","",VLOOKUP(Thu_W2[[#This Row],[Employee Name]],'Base Schedules'!$A$243:$AW$281,34,FALSE)),"")</f>
        <v/>
      </c>
      <c r="AJ42" s="184" t="str">
        <f>IFERROR(IF(VLOOKUP(Thu_W2[[#This Row],[Employee Name]],'Base Schedules'!$A$243:$AW$281,35,FALSE)="","",VLOOKUP(Thu_W2[[#This Row],[Employee Name]],'Base Schedules'!$A$243:$AW$281,35,FALSE)),"")</f>
        <v/>
      </c>
      <c r="AK42" s="184" t="str">
        <f>IFERROR(IF(VLOOKUP(Thu_W2[[#This Row],[Employee Name]],'Base Schedules'!$A$243:$AW$281,36,FALSE)="","",VLOOKUP(Thu_W2[[#This Row],[Employee Name]],'Base Schedules'!$A$243:$AW$281,36,FALSE)),"")</f>
        <v/>
      </c>
      <c r="AL42" s="184" t="str">
        <f>IFERROR(IF(VLOOKUP(Thu_W2[[#This Row],[Employee Name]],'Base Schedules'!$A$243:$AW$281,37,FALSE)="","",VLOOKUP(Thu_W2[[#This Row],[Employee Name]],'Base Schedules'!$A$243:$AW$281,37,FALSE)),"")</f>
        <v/>
      </c>
      <c r="AM42" s="184" t="str">
        <f>IFERROR(IF(VLOOKUP(Thu_W2[[#This Row],[Employee Name]],'Base Schedules'!$A$243:$AW$281,38,FALSE)="","",VLOOKUP(Thu_W2[[#This Row],[Employee Name]],'Base Schedules'!$A$243:$AW$281,38,FALSE)),"")</f>
        <v/>
      </c>
      <c r="AN42" s="184" t="str">
        <f>IFERROR(IF(VLOOKUP(Thu_W2[[#This Row],[Employee Name]],'Base Schedules'!$A$243:$AW$281,39,FALSE)="","",VLOOKUP(Thu_W2[[#This Row],[Employee Name]],'Base Schedules'!$A$243:$AW$281,39,FALSE)),"")</f>
        <v/>
      </c>
      <c r="AO42" s="184" t="str">
        <f>IFERROR(IF(VLOOKUP(Thu_W2[[#This Row],[Employee Name]],'Base Schedules'!$A$243:$AW$281,40,FALSE)="","",VLOOKUP(Thu_W2[[#This Row],[Employee Name]],'Base Schedules'!$A$243:$AW$281,40,FALSE)),"")</f>
        <v/>
      </c>
      <c r="AP42" s="184" t="str">
        <f>IFERROR(IF(VLOOKUP(Thu_W2[[#This Row],[Employee Name]],'Base Schedules'!$A$243:$AW$281,41,FALSE)="","",VLOOKUP(Thu_W2[[#This Row],[Employee Name]],'Base Schedules'!$A$243:$AW$281,41,FALSE)),"")</f>
        <v/>
      </c>
      <c r="AQ42" s="184" t="str">
        <f>IFERROR(IF(VLOOKUP(Thu_W2[[#This Row],[Employee Name]],'Base Schedules'!$A$243:$AW$281,42,FALSE)="","",VLOOKUP(Thu_W2[[#This Row],[Employee Name]],'Base Schedules'!$A$243:$AW$281,42,FALSE)),"")</f>
        <v/>
      </c>
      <c r="AR42" s="184" t="str">
        <f>IFERROR(IF(VLOOKUP(Thu_W2[[#This Row],[Employee Name]],'Base Schedules'!$A$243:$AW$281,43,FALSE)="","",VLOOKUP(Thu_W2[[#This Row],[Employee Name]],'Base Schedules'!$A$243:$AW$281,43,FALSE)),"")</f>
        <v/>
      </c>
      <c r="AS42" s="184" t="str">
        <f>IFERROR(IF(VLOOKUP(Thu_W2[[#This Row],[Employee Name]],'Base Schedules'!$A$243:$AW$281,44,FALSE)="","",VLOOKUP(Thu_W2[[#This Row],[Employee Name]],'Base Schedules'!$A$243:$AW$281,44,FALSE)),"")</f>
        <v/>
      </c>
      <c r="AT42" s="184" t="str">
        <f>IFERROR(IF(VLOOKUP(Thu_W2[[#This Row],[Employee Name]],'Base Schedules'!$A$243:$AW$281,45,FALSE)="","",VLOOKUP(Thu_W2[[#This Row],[Employee Name]],'Base Schedules'!$A$243:$AW$281,45,FALSE)),"")</f>
        <v/>
      </c>
      <c r="AU42" s="184" t="str">
        <f>IFERROR(IF(VLOOKUP(Thu_W2[[#This Row],[Employee Name]],'Base Schedules'!$A$243:$AW$281,46,FALSE)="","",VLOOKUP(Thu_W2[[#This Row],[Employee Name]],'Base Schedules'!$A$243:$AW$281,46,FALSE)),"")</f>
        <v/>
      </c>
      <c r="AV42" s="184" t="str">
        <f>IFERROR(IF(VLOOKUP(Thu_W2[[#This Row],[Employee Name]],'Base Schedules'!$A$243:$AW$281,47,FALSE)="","",VLOOKUP(Thu_W2[[#This Row],[Employee Name]],'Base Schedules'!$A$243:$AW$281,47,FALSE)),"")</f>
        <v/>
      </c>
      <c r="AW42" s="184" t="str">
        <f>IFERROR(IF(VLOOKUP(Thu_W2[[#This Row],[Employee Name]],'Base Schedules'!$A$243:$AW$281,48,FALSE)="","",VLOOKUP(Thu_W2[[#This Row],[Employee Name]],'Base Schedules'!$A$243:$AW$281,48,FALSE)),"")</f>
        <v/>
      </c>
      <c r="AX42" s="184" t="str">
        <f>IFERROR(IF(VLOOKUP(Thu_W2[[#This Row],[Employee Name]],'Base Schedules'!$A$243:$AW$281,49,FALSE)="","",VLOOKUP(Thu_W2[[#This Row],[Employee Name]],'Base Schedules'!$A$243:$AW$281,49,FALSE)),"")</f>
        <v/>
      </c>
      <c r="AY42" s="245" t="str">
        <f t="shared" si="2"/>
        <v/>
      </c>
    </row>
    <row r="43" spans="1:51" s="44" customFormat="1" ht="12" hidden="1" customHeight="1" x14ac:dyDescent="0.2">
      <c r="A43" s="39" t="str">
        <f>IF(B43="","",INDEX(TeamList[],MATCH($B43,TeamList[[Employee Name]:[Employee Name]],0),MATCH("Manager",TeamList[#Headers],0)))</f>
        <v/>
      </c>
      <c r="B43" s="201"/>
      <c r="C43" s="257" t="str">
        <f>_xlfn.IFNA(VLOOKUP(Thu_W2[[#This Row],[Employee Name]],'Base Schedules'!A:B,2,FALSE),"")</f>
        <v/>
      </c>
      <c r="D43" s="274" t="str">
        <f>_xlfn.IFNA(VLOOKUP(Thu_W2[[#This Row],[Employee Name]],'Base Schedules'!A:C,3,FALSE),"")</f>
        <v/>
      </c>
      <c r="E43" s="274" t="str">
        <f>_xlfn.IFNA(VLOOKUP(Thu_W2[[#This Row],[Employee Name]],'Base Schedules'!A:D,4,FALSE),"")</f>
        <v/>
      </c>
      <c r="F43" s="142" t="str">
        <f>IF(Thu_W2[[#This Row],[Employee Name]]="","",IF(Thu_W2[[#This Row],[Dept]]="Supervisor",COUNTIFS($J43:$AX43,"*HL*",$J43:$AX43,"&lt;&gt;"&amp;"pHL"),COUNTIFS($J43:$AX43,"*HL*",$J43:$AX43,"&lt;&gt;"&amp;"*pHL*",$J43:$AX43,"&lt;&gt;"&amp;"pB1 HL",$J43:$AX43,"&lt;&gt;"&amp;"pB2 HL")-SUM(COUNTIFS($J43:$AX43,"*HL B1*",$J43:$AX43,"&lt;&gt;"&amp;"pHL B1")*0.5,COUNTIFS($J43:$AX43,"*HL B2*",$J43:$AX43,"&lt;&gt;"&amp;"pHL B2")*0.5,COUNTIFS($J43:$AX43,"*B1 HL*",$J43:$AX43,"&lt;&gt;"&amp;"pB1 HL")*0.5,COUNTIFS($J43:$AX43,"*B2 HL*",$J43:$AX43,"&lt;&gt;"&amp;"pB2 HL")*0.5)))</f>
        <v/>
      </c>
      <c r="G43" s="142" t="str">
        <f>IF(B43="","",COUNTIFS($J43:$AX43,"*TM*",$J43:$AX43,"&lt;&gt;"&amp;"pTM",$J43:$AX43,"&lt;&gt;"&amp;"uTM"))</f>
        <v/>
      </c>
      <c r="H43" s="142" t="str">
        <f t="shared" si="1"/>
        <v/>
      </c>
      <c r="I43" s="142" t="str">
        <f>IF(Thu_W2[[#This Row],[Employee Name]]="","",IF(Thu_W2[[#This Row],[Dept]]="Supervisor",SUM(COUNTIFS($J43:$AX43,"RTA*",$J43:$AX43,"&lt;&gt;"&amp;"pRTA"),COUNTIFS($J43:$AX43,"*CRTA*",$J43:$AX43,"&lt;&gt;"&amp;"pCRTA")),COUNTIFS($J43:$AX43,"*RNNR*",$J43:$AX43,"&lt;&gt;"&amp;"*pRNNR*",$J43:$AX43,"&lt;&gt;"&amp;"pB1 RNNR",$J43:$AX43,"&lt;&gt;"&amp;"pB2 RNNR")-SUM(COUNTIFS($J43:$AX43,"*RNNR B1*",$J43:$AX43,"&lt;&gt;"&amp;"pRNNR B1")*0.5,COUNTIFS($J43:$AX43,"*RNNR B2*",$J43:$AX43,"&lt;&gt;"&amp;"pRNNR B2")*0.5,COUNTIFS($J43:$AX43,"*B1 RNNR*",$J43:$AX43,"&lt;&gt;"&amp;"pB1 RNNR")*0.5,COUNTIFS($J43:$AX43,"*B2 RNNR*",$J43:$AX43,"&lt;&gt;"&amp;"pB2 RNNR")*0.5)))</f>
        <v/>
      </c>
      <c r="J43" s="184" t="str">
        <f>IFERROR(IF(VLOOKUP(Thu_W2[[#This Row],[Employee Name]],'Base Schedules'!$A$243:$AW$281,9,FALSE)="","",VLOOKUP(Thu_W2[[#This Row],[Employee Name]],'Base Schedules'!$A$243:$AW$281,9,FALSE)),"")</f>
        <v/>
      </c>
      <c r="K43" s="184" t="str">
        <f>IFERROR(IF(VLOOKUP(Thu_W2[[#This Row],[Employee Name]],'Base Schedules'!$A$243:$AW$281,10,FALSE)="","",VLOOKUP(Thu_W2[[#This Row],[Employee Name]],'Base Schedules'!$A$243:$AW$281,10,FALSE)),"")</f>
        <v/>
      </c>
      <c r="L43" s="184" t="str">
        <f>IFERROR(IF(VLOOKUP(Thu_W2[[#This Row],[Employee Name]],'Base Schedules'!$A$243:$AW$281,11,FALSE)="","",VLOOKUP(Thu_W2[[#This Row],[Employee Name]],'Base Schedules'!$A$243:$AW$281,11,FALSE)),"")</f>
        <v/>
      </c>
      <c r="M43" s="184" t="str">
        <f>IFERROR(IF(VLOOKUP(Thu_W2[[#This Row],[Employee Name]],'Base Schedules'!$A$243:$AW$281,12,FALSE)="","",VLOOKUP(Thu_W2[[#This Row],[Employee Name]],'Base Schedules'!$A$243:$AW$281,12,FALSE)),"")</f>
        <v/>
      </c>
      <c r="N43" s="184" t="str">
        <f>IFERROR(IF(VLOOKUP(Thu_W2[[#This Row],[Employee Name]],'Base Schedules'!$A$243:$AW$281,13,FALSE)="","",VLOOKUP(Thu_W2[[#This Row],[Employee Name]],'Base Schedules'!$A$243:$AW$281,13,FALSE)),"")</f>
        <v/>
      </c>
      <c r="O43" s="184" t="str">
        <f>IFERROR(IF(VLOOKUP(Thu_W2[[#This Row],[Employee Name]],'Base Schedules'!$A$243:$AW$281,14,FALSE)="","",VLOOKUP(Thu_W2[[#This Row],[Employee Name]],'Base Schedules'!$A$243:$AW$281,14,FALSE)),"")</f>
        <v/>
      </c>
      <c r="P43" s="184" t="str">
        <f>IFERROR(IF(VLOOKUP(Thu_W2[[#This Row],[Employee Name]],'Base Schedules'!$A$243:$AW$281,15,FALSE)="","",VLOOKUP(Thu_W2[[#This Row],[Employee Name]],'Base Schedules'!$A$243:$AW$281,15,FALSE)),"")</f>
        <v/>
      </c>
      <c r="Q43" s="184" t="str">
        <f>IFERROR(IF(VLOOKUP(Thu_W2[[#This Row],[Employee Name]],'Base Schedules'!$A$243:$AW$281,16,FALSE)="","",VLOOKUP(Thu_W2[[#This Row],[Employee Name]],'Base Schedules'!$A$243:$AW$281,16,FALSE)),"")</f>
        <v/>
      </c>
      <c r="R43" s="184" t="str">
        <f>IFERROR(IF(VLOOKUP(Thu_W2[[#This Row],[Employee Name]],'Base Schedules'!$A$243:$AW$281,17,FALSE)="","",VLOOKUP(Thu_W2[[#This Row],[Employee Name]],'Base Schedules'!$A$243:$AW$281,17,FALSE)),"")</f>
        <v/>
      </c>
      <c r="S43" s="184" t="str">
        <f>IFERROR(IF(VLOOKUP(Thu_W2[[#This Row],[Employee Name]],'Base Schedules'!$A$243:$AW$281,18,FALSE)="","",VLOOKUP(Thu_W2[[#This Row],[Employee Name]],'Base Schedules'!$A$243:$AW$281,18,FALSE)),"")</f>
        <v/>
      </c>
      <c r="T43" s="184" t="str">
        <f>IFERROR(IF(VLOOKUP(Thu_W2[[#This Row],[Employee Name]],'Base Schedules'!$A$243:$AW$281,19,FALSE)="","",VLOOKUP(Thu_W2[[#This Row],[Employee Name]],'Base Schedules'!$A$243:$AW$281,19,FALSE)),"")</f>
        <v/>
      </c>
      <c r="U43" s="184" t="str">
        <f>IFERROR(IF(VLOOKUP(Thu_W2[[#This Row],[Employee Name]],'Base Schedules'!$A$243:$AW$281,20,FALSE)="","",VLOOKUP(Thu_W2[[#This Row],[Employee Name]],'Base Schedules'!$A$243:$AW$281,20,FALSE)),"")</f>
        <v/>
      </c>
      <c r="V43" s="184" t="str">
        <f>IFERROR(IF(VLOOKUP(Thu_W2[[#This Row],[Employee Name]],'Base Schedules'!$A$243:$AW$281,21,FALSE)="","",VLOOKUP(Thu_W2[[#This Row],[Employee Name]],'Base Schedules'!$A$243:$AW$281,21,FALSE)),"")</f>
        <v/>
      </c>
      <c r="W43" s="184" t="str">
        <f>IFERROR(IF(VLOOKUP(Thu_W2[[#This Row],[Employee Name]],'Base Schedules'!$A$243:$AW$281,22,FALSE)="","",VLOOKUP(Thu_W2[[#This Row],[Employee Name]],'Base Schedules'!$A$243:$AW$281,22,FALSE)),"")</f>
        <v/>
      </c>
      <c r="X43" s="184" t="str">
        <f>IFERROR(IF(VLOOKUP(Thu_W2[[#This Row],[Employee Name]],'Base Schedules'!$A$243:$AW$281,23,FALSE)="","",VLOOKUP(Thu_W2[[#This Row],[Employee Name]],'Base Schedules'!$A$243:$AW$281,23,FALSE)),"")</f>
        <v/>
      </c>
      <c r="Y43" s="184" t="str">
        <f>IFERROR(IF(VLOOKUP(Thu_W2[[#This Row],[Employee Name]],'Base Schedules'!$A$243:$AW$281,24,FALSE)="","",VLOOKUP(Thu_W2[[#This Row],[Employee Name]],'Base Schedules'!$A$243:$AW$281,24,FALSE)),"")</f>
        <v/>
      </c>
      <c r="Z43" s="184" t="str">
        <f>IFERROR(IF(VLOOKUP(Thu_W2[[#This Row],[Employee Name]],'Base Schedules'!$A$243:$AW$281,25,FALSE)="","",VLOOKUP(Thu_W2[[#This Row],[Employee Name]],'Base Schedules'!$A$243:$AW$281,25,FALSE)),"")</f>
        <v/>
      </c>
      <c r="AA43" s="184" t="str">
        <f>IFERROR(IF(VLOOKUP(Thu_W2[[#This Row],[Employee Name]],'Base Schedules'!$A$243:$AW$281,26,FALSE)="","",VLOOKUP(Thu_W2[[#This Row],[Employee Name]],'Base Schedules'!$A$243:$AW$281,26,FALSE)),"")</f>
        <v/>
      </c>
      <c r="AB43" s="184" t="str">
        <f>IFERROR(IF(VLOOKUP(Thu_W2[[#This Row],[Employee Name]],'Base Schedules'!$A$243:$AW$281,27,FALSE)="","",VLOOKUP(Thu_W2[[#This Row],[Employee Name]],'Base Schedules'!$A$243:$AW$281,27,FALSE)),"")</f>
        <v/>
      </c>
      <c r="AC43" s="184" t="str">
        <f>IFERROR(IF(VLOOKUP(Thu_W2[[#This Row],[Employee Name]],'Base Schedules'!$A$243:$AW$281,28,FALSE)="","",VLOOKUP(Thu_W2[[#This Row],[Employee Name]],'Base Schedules'!$A$243:$AW$281,28,FALSE)),"")</f>
        <v/>
      </c>
      <c r="AD43" s="184" t="str">
        <f>IFERROR(IF(VLOOKUP(Thu_W2[[#This Row],[Employee Name]],'Base Schedules'!$A$243:$AW$281,29,FALSE)="","",VLOOKUP(Thu_W2[[#This Row],[Employee Name]],'Base Schedules'!$A$243:$AW$281,29,FALSE)),"")</f>
        <v/>
      </c>
      <c r="AE43" s="184" t="str">
        <f>IFERROR(IF(VLOOKUP(Thu_W2[[#This Row],[Employee Name]],'Base Schedules'!$A$243:$AW$281,30,FALSE)="","",VLOOKUP(Thu_W2[[#This Row],[Employee Name]],'Base Schedules'!$A$243:$AW$281,30,FALSE)),"")</f>
        <v/>
      </c>
      <c r="AF43" s="184" t="str">
        <f>IFERROR(IF(VLOOKUP(Thu_W2[[#This Row],[Employee Name]],'Base Schedules'!$A$243:$AW$281,31,FALSE)="","",VLOOKUP(Thu_W2[[#This Row],[Employee Name]],'Base Schedules'!$A$243:$AW$281,31,FALSE)),"")</f>
        <v/>
      </c>
      <c r="AG43" s="184" t="str">
        <f>IFERROR(IF(VLOOKUP(Thu_W2[[#This Row],[Employee Name]],'Base Schedules'!$A$243:$AW$281,32,FALSE)="","",VLOOKUP(Thu_W2[[#This Row],[Employee Name]],'Base Schedules'!$A$243:$AW$281,32,FALSE)),"")</f>
        <v/>
      </c>
      <c r="AH43" s="184" t="str">
        <f>IFERROR(IF(VLOOKUP(Thu_W2[[#This Row],[Employee Name]],'Base Schedules'!$A$243:$AW$281,33,FALSE)="","",VLOOKUP(Thu_W2[[#This Row],[Employee Name]],'Base Schedules'!$A$243:$AW$281,33,FALSE)),"")</f>
        <v/>
      </c>
      <c r="AI43" s="184" t="str">
        <f>IFERROR(IF(VLOOKUP(Thu_W2[[#This Row],[Employee Name]],'Base Schedules'!$A$243:$AW$281,34,FALSE)="","",VLOOKUP(Thu_W2[[#This Row],[Employee Name]],'Base Schedules'!$A$243:$AW$281,34,FALSE)),"")</f>
        <v/>
      </c>
      <c r="AJ43" s="184" t="str">
        <f>IFERROR(IF(VLOOKUP(Thu_W2[[#This Row],[Employee Name]],'Base Schedules'!$A$243:$AW$281,35,FALSE)="","",VLOOKUP(Thu_W2[[#This Row],[Employee Name]],'Base Schedules'!$A$243:$AW$281,35,FALSE)),"")</f>
        <v/>
      </c>
      <c r="AK43" s="184" t="str">
        <f>IFERROR(IF(VLOOKUP(Thu_W2[[#This Row],[Employee Name]],'Base Schedules'!$A$243:$AW$281,36,FALSE)="","",VLOOKUP(Thu_W2[[#This Row],[Employee Name]],'Base Schedules'!$A$243:$AW$281,36,FALSE)),"")</f>
        <v/>
      </c>
      <c r="AL43" s="184" t="str">
        <f>IFERROR(IF(VLOOKUP(Thu_W2[[#This Row],[Employee Name]],'Base Schedules'!$A$243:$AW$281,37,FALSE)="","",VLOOKUP(Thu_W2[[#This Row],[Employee Name]],'Base Schedules'!$A$243:$AW$281,37,FALSE)),"")</f>
        <v/>
      </c>
      <c r="AM43" s="184" t="str">
        <f>IFERROR(IF(VLOOKUP(Thu_W2[[#This Row],[Employee Name]],'Base Schedules'!$A$243:$AW$281,38,FALSE)="","",VLOOKUP(Thu_W2[[#This Row],[Employee Name]],'Base Schedules'!$A$243:$AW$281,38,FALSE)),"")</f>
        <v/>
      </c>
      <c r="AN43" s="184" t="str">
        <f>IFERROR(IF(VLOOKUP(Thu_W2[[#This Row],[Employee Name]],'Base Schedules'!$A$243:$AW$281,39,FALSE)="","",VLOOKUP(Thu_W2[[#This Row],[Employee Name]],'Base Schedules'!$A$243:$AW$281,39,FALSE)),"")</f>
        <v/>
      </c>
      <c r="AO43" s="184" t="str">
        <f>IFERROR(IF(VLOOKUP(Thu_W2[[#This Row],[Employee Name]],'Base Schedules'!$A$243:$AW$281,40,FALSE)="","",VLOOKUP(Thu_W2[[#This Row],[Employee Name]],'Base Schedules'!$A$243:$AW$281,40,FALSE)),"")</f>
        <v/>
      </c>
      <c r="AP43" s="184" t="str">
        <f>IFERROR(IF(VLOOKUP(Thu_W2[[#This Row],[Employee Name]],'Base Schedules'!$A$243:$AW$281,41,FALSE)="","",VLOOKUP(Thu_W2[[#This Row],[Employee Name]],'Base Schedules'!$A$243:$AW$281,41,FALSE)),"")</f>
        <v/>
      </c>
      <c r="AQ43" s="184" t="str">
        <f>IFERROR(IF(VLOOKUP(Thu_W2[[#This Row],[Employee Name]],'Base Schedules'!$A$243:$AW$281,42,FALSE)="","",VLOOKUP(Thu_W2[[#This Row],[Employee Name]],'Base Schedules'!$A$243:$AW$281,42,FALSE)),"")</f>
        <v/>
      </c>
      <c r="AR43" s="184" t="str">
        <f>IFERROR(IF(VLOOKUP(Thu_W2[[#This Row],[Employee Name]],'Base Schedules'!$A$243:$AW$281,43,FALSE)="","",VLOOKUP(Thu_W2[[#This Row],[Employee Name]],'Base Schedules'!$A$243:$AW$281,43,FALSE)),"")</f>
        <v/>
      </c>
      <c r="AS43" s="184" t="str">
        <f>IFERROR(IF(VLOOKUP(Thu_W2[[#This Row],[Employee Name]],'Base Schedules'!$A$243:$AW$281,44,FALSE)="","",VLOOKUP(Thu_W2[[#This Row],[Employee Name]],'Base Schedules'!$A$243:$AW$281,44,FALSE)),"")</f>
        <v/>
      </c>
      <c r="AT43" s="184" t="str">
        <f>IFERROR(IF(VLOOKUP(Thu_W2[[#This Row],[Employee Name]],'Base Schedules'!$A$243:$AW$281,45,FALSE)="","",VLOOKUP(Thu_W2[[#This Row],[Employee Name]],'Base Schedules'!$A$243:$AW$281,45,FALSE)),"")</f>
        <v/>
      </c>
      <c r="AU43" s="184" t="str">
        <f>IFERROR(IF(VLOOKUP(Thu_W2[[#This Row],[Employee Name]],'Base Schedules'!$A$243:$AW$281,46,FALSE)="","",VLOOKUP(Thu_W2[[#This Row],[Employee Name]],'Base Schedules'!$A$243:$AW$281,46,FALSE)),"")</f>
        <v/>
      </c>
      <c r="AV43" s="184" t="str">
        <f>IFERROR(IF(VLOOKUP(Thu_W2[[#This Row],[Employee Name]],'Base Schedules'!$A$243:$AW$281,47,FALSE)="","",VLOOKUP(Thu_W2[[#This Row],[Employee Name]],'Base Schedules'!$A$243:$AW$281,47,FALSE)),"")</f>
        <v/>
      </c>
      <c r="AW43" s="184" t="str">
        <f>IFERROR(IF(VLOOKUP(Thu_W2[[#This Row],[Employee Name]],'Base Schedules'!$A$243:$AW$281,48,FALSE)="","",VLOOKUP(Thu_W2[[#This Row],[Employee Name]],'Base Schedules'!$A$243:$AW$281,48,FALSE)),"")</f>
        <v/>
      </c>
      <c r="AX43" s="184" t="str">
        <f>IFERROR(IF(VLOOKUP(Thu_W2[[#This Row],[Employee Name]],'Base Schedules'!$A$243:$AW$281,49,FALSE)="","",VLOOKUP(Thu_W2[[#This Row],[Employee Name]],'Base Schedules'!$A$243:$AW$281,49,FALSE)),"")</f>
        <v/>
      </c>
      <c r="AY43" s="245" t="str">
        <f t="shared" si="2"/>
        <v/>
      </c>
    </row>
    <row r="44" spans="1:51" s="44" customFormat="1" ht="12" hidden="1" customHeight="1" x14ac:dyDescent="0.2">
      <c r="A44" s="39" t="str">
        <f>IF(B44="","",INDEX(TeamList[],MATCH($B44,TeamList[[Employee Name]:[Employee Name]],0),MATCH("Manager",TeamList[#Headers],0)))</f>
        <v/>
      </c>
      <c r="B44" s="201"/>
      <c r="C44" s="257" t="str">
        <f>_xlfn.IFNA(VLOOKUP(Thu_W2[[#This Row],[Employee Name]],'Base Schedules'!A:B,2,FALSE),"")</f>
        <v/>
      </c>
      <c r="D44" s="274" t="str">
        <f>_xlfn.IFNA(VLOOKUP(Thu_W2[[#This Row],[Employee Name]],'Base Schedules'!A:C,3,FALSE),"")</f>
        <v/>
      </c>
      <c r="E44" s="274" t="str">
        <f>_xlfn.IFNA(VLOOKUP(Thu_W2[[#This Row],[Employee Name]],'Base Schedules'!A:D,4,FALSE),"")</f>
        <v/>
      </c>
      <c r="F44" s="142" t="str">
        <f>IF(Thu_W2[[#This Row],[Employee Name]]="","",IF(Thu_W2[[#This Row],[Dept]]="Supervisor",COUNTIFS($J44:$AX44,"*HL*",$J44:$AX44,"&lt;&gt;"&amp;"pHL"),COUNTIFS($J44:$AX44,"*HL*",$J44:$AX44,"&lt;&gt;"&amp;"*pHL*",$J44:$AX44,"&lt;&gt;"&amp;"pB1 HL",$J44:$AX44,"&lt;&gt;"&amp;"pB2 HL")-SUM(COUNTIFS($J44:$AX44,"*HL B1*",$J44:$AX44,"&lt;&gt;"&amp;"pHL B1")*0.5,COUNTIFS($J44:$AX44,"*HL B2*",$J44:$AX44,"&lt;&gt;"&amp;"pHL B2")*0.5,COUNTIFS($J44:$AX44,"*B1 HL*",$J44:$AX44,"&lt;&gt;"&amp;"pB1 HL")*0.5,COUNTIFS($J44:$AX44,"*B2 HL*",$J44:$AX44,"&lt;&gt;"&amp;"pB2 HL")*0.5)))</f>
        <v/>
      </c>
      <c r="G44" s="142" t="str">
        <f>IF(B44="","",COUNTIFS($J44:$AX44,"*TM*",$J44:$AX44,"&lt;&gt;"&amp;"pTM",$J44:$AX44,"&lt;&gt;"&amp;"uTM"))</f>
        <v/>
      </c>
      <c r="H44" s="142" t="str">
        <f t="shared" si="1"/>
        <v/>
      </c>
      <c r="I44" s="142" t="str">
        <f>IF(Thu_W2[[#This Row],[Employee Name]]="","",IF(Thu_W2[[#This Row],[Dept]]="Supervisor",SUM(COUNTIFS($J44:$AX44,"RTA*",$J44:$AX44,"&lt;&gt;"&amp;"pRTA"),COUNTIFS($J44:$AX44,"*CRTA*",$J44:$AX44,"&lt;&gt;"&amp;"pCRTA")),COUNTIFS($J44:$AX44,"*RNNR*",$J44:$AX44,"&lt;&gt;"&amp;"*pRNNR*",$J44:$AX44,"&lt;&gt;"&amp;"pB1 RNNR",$J44:$AX44,"&lt;&gt;"&amp;"pB2 RNNR")-SUM(COUNTIFS($J44:$AX44,"*RNNR B1*",$J44:$AX44,"&lt;&gt;"&amp;"pRNNR B1")*0.5,COUNTIFS($J44:$AX44,"*RNNR B2*",$J44:$AX44,"&lt;&gt;"&amp;"pRNNR B2")*0.5,COUNTIFS($J44:$AX44,"*B1 RNNR*",$J44:$AX44,"&lt;&gt;"&amp;"pB1 RNNR")*0.5,COUNTIFS($J44:$AX44,"*B2 RNNR*",$J44:$AX44,"&lt;&gt;"&amp;"pB2 RNNR")*0.5)))</f>
        <v/>
      </c>
      <c r="J44" s="184" t="str">
        <f>IFERROR(IF(VLOOKUP(Thu_W2[[#This Row],[Employee Name]],'Base Schedules'!$A$243:$AW$281,9,FALSE)="","",VLOOKUP(Thu_W2[[#This Row],[Employee Name]],'Base Schedules'!$A$243:$AW$281,9,FALSE)),"")</f>
        <v/>
      </c>
      <c r="K44" s="184" t="str">
        <f>IFERROR(IF(VLOOKUP(Thu_W2[[#This Row],[Employee Name]],'Base Schedules'!$A$243:$AW$281,10,FALSE)="","",VLOOKUP(Thu_W2[[#This Row],[Employee Name]],'Base Schedules'!$A$243:$AW$281,10,FALSE)),"")</f>
        <v/>
      </c>
      <c r="L44" s="184" t="str">
        <f>IFERROR(IF(VLOOKUP(Thu_W2[[#This Row],[Employee Name]],'Base Schedules'!$A$243:$AW$281,11,FALSE)="","",VLOOKUP(Thu_W2[[#This Row],[Employee Name]],'Base Schedules'!$A$243:$AW$281,11,FALSE)),"")</f>
        <v/>
      </c>
      <c r="M44" s="184" t="str">
        <f>IFERROR(IF(VLOOKUP(Thu_W2[[#This Row],[Employee Name]],'Base Schedules'!$A$243:$AW$281,12,FALSE)="","",VLOOKUP(Thu_W2[[#This Row],[Employee Name]],'Base Schedules'!$A$243:$AW$281,12,FALSE)),"")</f>
        <v/>
      </c>
      <c r="N44" s="184" t="str">
        <f>IFERROR(IF(VLOOKUP(Thu_W2[[#This Row],[Employee Name]],'Base Schedules'!$A$243:$AW$281,13,FALSE)="","",VLOOKUP(Thu_W2[[#This Row],[Employee Name]],'Base Schedules'!$A$243:$AW$281,13,FALSE)),"")</f>
        <v/>
      </c>
      <c r="O44" s="184" t="str">
        <f>IFERROR(IF(VLOOKUP(Thu_W2[[#This Row],[Employee Name]],'Base Schedules'!$A$243:$AW$281,14,FALSE)="","",VLOOKUP(Thu_W2[[#This Row],[Employee Name]],'Base Schedules'!$A$243:$AW$281,14,FALSE)),"")</f>
        <v/>
      </c>
      <c r="P44" s="184" t="str">
        <f>IFERROR(IF(VLOOKUP(Thu_W2[[#This Row],[Employee Name]],'Base Schedules'!$A$243:$AW$281,15,FALSE)="","",VLOOKUP(Thu_W2[[#This Row],[Employee Name]],'Base Schedules'!$A$243:$AW$281,15,FALSE)),"")</f>
        <v/>
      </c>
      <c r="Q44" s="184" t="str">
        <f>IFERROR(IF(VLOOKUP(Thu_W2[[#This Row],[Employee Name]],'Base Schedules'!$A$243:$AW$281,16,FALSE)="","",VLOOKUP(Thu_W2[[#This Row],[Employee Name]],'Base Schedules'!$A$243:$AW$281,16,FALSE)),"")</f>
        <v/>
      </c>
      <c r="R44" s="184" t="str">
        <f>IFERROR(IF(VLOOKUP(Thu_W2[[#This Row],[Employee Name]],'Base Schedules'!$A$243:$AW$281,17,FALSE)="","",VLOOKUP(Thu_W2[[#This Row],[Employee Name]],'Base Schedules'!$A$243:$AW$281,17,FALSE)),"")</f>
        <v/>
      </c>
      <c r="S44" s="184" t="str">
        <f>IFERROR(IF(VLOOKUP(Thu_W2[[#This Row],[Employee Name]],'Base Schedules'!$A$243:$AW$281,18,FALSE)="","",VLOOKUP(Thu_W2[[#This Row],[Employee Name]],'Base Schedules'!$A$243:$AW$281,18,FALSE)),"")</f>
        <v/>
      </c>
      <c r="T44" s="184" t="str">
        <f>IFERROR(IF(VLOOKUP(Thu_W2[[#This Row],[Employee Name]],'Base Schedules'!$A$243:$AW$281,19,FALSE)="","",VLOOKUP(Thu_W2[[#This Row],[Employee Name]],'Base Schedules'!$A$243:$AW$281,19,FALSE)),"")</f>
        <v/>
      </c>
      <c r="U44" s="184" t="str">
        <f>IFERROR(IF(VLOOKUP(Thu_W2[[#This Row],[Employee Name]],'Base Schedules'!$A$243:$AW$281,20,FALSE)="","",VLOOKUP(Thu_W2[[#This Row],[Employee Name]],'Base Schedules'!$A$243:$AW$281,20,FALSE)),"")</f>
        <v/>
      </c>
      <c r="V44" s="184" t="str">
        <f>IFERROR(IF(VLOOKUP(Thu_W2[[#This Row],[Employee Name]],'Base Schedules'!$A$243:$AW$281,21,FALSE)="","",VLOOKUP(Thu_W2[[#This Row],[Employee Name]],'Base Schedules'!$A$243:$AW$281,21,FALSE)),"")</f>
        <v/>
      </c>
      <c r="W44" s="184" t="str">
        <f>IFERROR(IF(VLOOKUP(Thu_W2[[#This Row],[Employee Name]],'Base Schedules'!$A$243:$AW$281,22,FALSE)="","",VLOOKUP(Thu_W2[[#This Row],[Employee Name]],'Base Schedules'!$A$243:$AW$281,22,FALSE)),"")</f>
        <v/>
      </c>
      <c r="X44" s="184" t="str">
        <f>IFERROR(IF(VLOOKUP(Thu_W2[[#This Row],[Employee Name]],'Base Schedules'!$A$243:$AW$281,23,FALSE)="","",VLOOKUP(Thu_W2[[#This Row],[Employee Name]],'Base Schedules'!$A$243:$AW$281,23,FALSE)),"")</f>
        <v/>
      </c>
      <c r="Y44" s="184" t="str">
        <f>IFERROR(IF(VLOOKUP(Thu_W2[[#This Row],[Employee Name]],'Base Schedules'!$A$243:$AW$281,24,FALSE)="","",VLOOKUP(Thu_W2[[#This Row],[Employee Name]],'Base Schedules'!$A$243:$AW$281,24,FALSE)),"")</f>
        <v/>
      </c>
      <c r="Z44" s="184" t="str">
        <f>IFERROR(IF(VLOOKUP(Thu_W2[[#This Row],[Employee Name]],'Base Schedules'!$A$243:$AW$281,25,FALSE)="","",VLOOKUP(Thu_W2[[#This Row],[Employee Name]],'Base Schedules'!$A$243:$AW$281,25,FALSE)),"")</f>
        <v/>
      </c>
      <c r="AA44" s="184" t="str">
        <f>IFERROR(IF(VLOOKUP(Thu_W2[[#This Row],[Employee Name]],'Base Schedules'!$A$243:$AW$281,26,FALSE)="","",VLOOKUP(Thu_W2[[#This Row],[Employee Name]],'Base Schedules'!$A$243:$AW$281,26,FALSE)),"")</f>
        <v/>
      </c>
      <c r="AB44" s="184" t="str">
        <f>IFERROR(IF(VLOOKUP(Thu_W2[[#This Row],[Employee Name]],'Base Schedules'!$A$243:$AW$281,27,FALSE)="","",VLOOKUP(Thu_W2[[#This Row],[Employee Name]],'Base Schedules'!$A$243:$AW$281,27,FALSE)),"")</f>
        <v/>
      </c>
      <c r="AC44" s="184" t="str">
        <f>IFERROR(IF(VLOOKUP(Thu_W2[[#This Row],[Employee Name]],'Base Schedules'!$A$243:$AW$281,28,FALSE)="","",VLOOKUP(Thu_W2[[#This Row],[Employee Name]],'Base Schedules'!$A$243:$AW$281,28,FALSE)),"")</f>
        <v/>
      </c>
      <c r="AD44" s="184" t="str">
        <f>IFERROR(IF(VLOOKUP(Thu_W2[[#This Row],[Employee Name]],'Base Schedules'!$A$243:$AW$281,29,FALSE)="","",VLOOKUP(Thu_W2[[#This Row],[Employee Name]],'Base Schedules'!$A$243:$AW$281,29,FALSE)),"")</f>
        <v/>
      </c>
      <c r="AE44" s="184" t="str">
        <f>IFERROR(IF(VLOOKUP(Thu_W2[[#This Row],[Employee Name]],'Base Schedules'!$A$243:$AW$281,30,FALSE)="","",VLOOKUP(Thu_W2[[#This Row],[Employee Name]],'Base Schedules'!$A$243:$AW$281,30,FALSE)),"")</f>
        <v/>
      </c>
      <c r="AF44" s="184" t="str">
        <f>IFERROR(IF(VLOOKUP(Thu_W2[[#This Row],[Employee Name]],'Base Schedules'!$A$243:$AW$281,31,FALSE)="","",VLOOKUP(Thu_W2[[#This Row],[Employee Name]],'Base Schedules'!$A$243:$AW$281,31,FALSE)),"")</f>
        <v/>
      </c>
      <c r="AG44" s="184" t="str">
        <f>IFERROR(IF(VLOOKUP(Thu_W2[[#This Row],[Employee Name]],'Base Schedules'!$A$243:$AW$281,32,FALSE)="","",VLOOKUP(Thu_W2[[#This Row],[Employee Name]],'Base Schedules'!$A$243:$AW$281,32,FALSE)),"")</f>
        <v/>
      </c>
      <c r="AH44" s="184" t="str">
        <f>IFERROR(IF(VLOOKUP(Thu_W2[[#This Row],[Employee Name]],'Base Schedules'!$A$243:$AW$281,33,FALSE)="","",VLOOKUP(Thu_W2[[#This Row],[Employee Name]],'Base Schedules'!$A$243:$AW$281,33,FALSE)),"")</f>
        <v/>
      </c>
      <c r="AI44" s="184" t="str">
        <f>IFERROR(IF(VLOOKUP(Thu_W2[[#This Row],[Employee Name]],'Base Schedules'!$A$243:$AW$281,34,FALSE)="","",VLOOKUP(Thu_W2[[#This Row],[Employee Name]],'Base Schedules'!$A$243:$AW$281,34,FALSE)),"")</f>
        <v/>
      </c>
      <c r="AJ44" s="184" t="str">
        <f>IFERROR(IF(VLOOKUP(Thu_W2[[#This Row],[Employee Name]],'Base Schedules'!$A$243:$AW$281,35,FALSE)="","",VLOOKUP(Thu_W2[[#This Row],[Employee Name]],'Base Schedules'!$A$243:$AW$281,35,FALSE)),"")</f>
        <v/>
      </c>
      <c r="AK44" s="184" t="str">
        <f>IFERROR(IF(VLOOKUP(Thu_W2[[#This Row],[Employee Name]],'Base Schedules'!$A$243:$AW$281,36,FALSE)="","",VLOOKUP(Thu_W2[[#This Row],[Employee Name]],'Base Schedules'!$A$243:$AW$281,36,FALSE)),"")</f>
        <v/>
      </c>
      <c r="AL44" s="184" t="str">
        <f>IFERROR(IF(VLOOKUP(Thu_W2[[#This Row],[Employee Name]],'Base Schedules'!$A$243:$AW$281,37,FALSE)="","",VLOOKUP(Thu_W2[[#This Row],[Employee Name]],'Base Schedules'!$A$243:$AW$281,37,FALSE)),"")</f>
        <v/>
      </c>
      <c r="AM44" s="184" t="str">
        <f>IFERROR(IF(VLOOKUP(Thu_W2[[#This Row],[Employee Name]],'Base Schedules'!$A$243:$AW$281,38,FALSE)="","",VLOOKUP(Thu_W2[[#This Row],[Employee Name]],'Base Schedules'!$A$243:$AW$281,38,FALSE)),"")</f>
        <v/>
      </c>
      <c r="AN44" s="184" t="str">
        <f>IFERROR(IF(VLOOKUP(Thu_W2[[#This Row],[Employee Name]],'Base Schedules'!$A$243:$AW$281,39,FALSE)="","",VLOOKUP(Thu_W2[[#This Row],[Employee Name]],'Base Schedules'!$A$243:$AW$281,39,FALSE)),"")</f>
        <v/>
      </c>
      <c r="AO44" s="184" t="str">
        <f>IFERROR(IF(VLOOKUP(Thu_W2[[#This Row],[Employee Name]],'Base Schedules'!$A$243:$AW$281,40,FALSE)="","",VLOOKUP(Thu_W2[[#This Row],[Employee Name]],'Base Schedules'!$A$243:$AW$281,40,FALSE)),"")</f>
        <v/>
      </c>
      <c r="AP44" s="184" t="str">
        <f>IFERROR(IF(VLOOKUP(Thu_W2[[#This Row],[Employee Name]],'Base Schedules'!$A$243:$AW$281,41,FALSE)="","",VLOOKUP(Thu_W2[[#This Row],[Employee Name]],'Base Schedules'!$A$243:$AW$281,41,FALSE)),"")</f>
        <v/>
      </c>
      <c r="AQ44" s="184" t="str">
        <f>IFERROR(IF(VLOOKUP(Thu_W2[[#This Row],[Employee Name]],'Base Schedules'!$A$243:$AW$281,42,FALSE)="","",VLOOKUP(Thu_W2[[#This Row],[Employee Name]],'Base Schedules'!$A$243:$AW$281,42,FALSE)),"")</f>
        <v/>
      </c>
      <c r="AR44" s="184" t="str">
        <f>IFERROR(IF(VLOOKUP(Thu_W2[[#This Row],[Employee Name]],'Base Schedules'!$A$243:$AW$281,43,FALSE)="","",VLOOKUP(Thu_W2[[#This Row],[Employee Name]],'Base Schedules'!$A$243:$AW$281,43,FALSE)),"")</f>
        <v/>
      </c>
      <c r="AS44" s="184" t="str">
        <f>IFERROR(IF(VLOOKUP(Thu_W2[[#This Row],[Employee Name]],'Base Schedules'!$A$243:$AW$281,44,FALSE)="","",VLOOKUP(Thu_W2[[#This Row],[Employee Name]],'Base Schedules'!$A$243:$AW$281,44,FALSE)),"")</f>
        <v/>
      </c>
      <c r="AT44" s="184" t="str">
        <f>IFERROR(IF(VLOOKUP(Thu_W2[[#This Row],[Employee Name]],'Base Schedules'!$A$243:$AW$281,45,FALSE)="","",VLOOKUP(Thu_W2[[#This Row],[Employee Name]],'Base Schedules'!$A$243:$AW$281,45,FALSE)),"")</f>
        <v/>
      </c>
      <c r="AU44" s="184" t="str">
        <f>IFERROR(IF(VLOOKUP(Thu_W2[[#This Row],[Employee Name]],'Base Schedules'!$A$243:$AW$281,46,FALSE)="","",VLOOKUP(Thu_W2[[#This Row],[Employee Name]],'Base Schedules'!$A$243:$AW$281,46,FALSE)),"")</f>
        <v/>
      </c>
      <c r="AV44" s="184" t="str">
        <f>IFERROR(IF(VLOOKUP(Thu_W2[[#This Row],[Employee Name]],'Base Schedules'!$A$243:$AW$281,47,FALSE)="","",VLOOKUP(Thu_W2[[#This Row],[Employee Name]],'Base Schedules'!$A$243:$AW$281,47,FALSE)),"")</f>
        <v/>
      </c>
      <c r="AW44" s="184" t="str">
        <f>IFERROR(IF(VLOOKUP(Thu_W2[[#This Row],[Employee Name]],'Base Schedules'!$A$243:$AW$281,48,FALSE)="","",VLOOKUP(Thu_W2[[#This Row],[Employee Name]],'Base Schedules'!$A$243:$AW$281,48,FALSE)),"")</f>
        <v/>
      </c>
      <c r="AX44" s="184" t="str">
        <f>IFERROR(IF(VLOOKUP(Thu_W2[[#This Row],[Employee Name]],'Base Schedules'!$A$243:$AW$281,49,FALSE)="","",VLOOKUP(Thu_W2[[#This Row],[Employee Name]],'Base Schedules'!$A$243:$AW$281,49,FALSE)),"")</f>
        <v/>
      </c>
      <c r="AY44" s="245" t="str">
        <f t="shared" si="2"/>
        <v/>
      </c>
    </row>
    <row r="45" spans="1:51" s="44" customFormat="1" ht="12" hidden="1" customHeight="1" x14ac:dyDescent="0.2">
      <c r="A45" s="39" t="str">
        <f>IF(B45="","",INDEX(TeamList[],MATCH($B45,TeamList[[Employee Name]:[Employee Name]],0),MATCH("Manager",TeamList[#Headers],0)))</f>
        <v/>
      </c>
      <c r="B45" s="201"/>
      <c r="C45" s="257" t="str">
        <f>_xlfn.IFNA(VLOOKUP(Thu_W2[[#This Row],[Employee Name]],'Base Schedules'!A:B,2,FALSE),"")</f>
        <v/>
      </c>
      <c r="D45" s="274" t="str">
        <f>_xlfn.IFNA(VLOOKUP(Thu_W2[[#This Row],[Employee Name]],'Base Schedules'!A:C,3,FALSE),"")</f>
        <v/>
      </c>
      <c r="E45" s="274" t="str">
        <f>_xlfn.IFNA(VLOOKUP(Thu_W2[[#This Row],[Employee Name]],'Base Schedules'!A:D,4,FALSE),"")</f>
        <v/>
      </c>
      <c r="F45" s="142" t="str">
        <f>IF(Thu_W2[[#This Row],[Employee Name]]="","",IF(Thu_W2[[#This Row],[Dept]]="Supervisor",COUNTIFS($J45:$AX45,"*HL*",$J45:$AX45,"&lt;&gt;"&amp;"pHL"),COUNTIFS($J45:$AX45,"*HL*",$J45:$AX45,"&lt;&gt;"&amp;"*pHL*",$J45:$AX45,"&lt;&gt;"&amp;"pB1 HL",$J45:$AX45,"&lt;&gt;"&amp;"pB2 HL")-SUM(COUNTIFS($J45:$AX45,"*HL B1*",$J45:$AX45,"&lt;&gt;"&amp;"pHL B1")*0.5,COUNTIFS($J45:$AX45,"*HL B2*",$J45:$AX45,"&lt;&gt;"&amp;"pHL B2")*0.5,COUNTIFS($J45:$AX45,"*B1 HL*",$J45:$AX45,"&lt;&gt;"&amp;"pB1 HL")*0.5,COUNTIFS($J45:$AX45,"*B2 HL*",$J45:$AX45,"&lt;&gt;"&amp;"pB2 HL")*0.5)))</f>
        <v/>
      </c>
      <c r="G45" s="142" t="str">
        <f>IF(B45="","",COUNTIFS($J45:$AX45,"*TM*",$J45:$AX45,"&lt;&gt;"&amp;"pTM",$J45:$AX45,"&lt;&gt;"&amp;"uTM"))</f>
        <v/>
      </c>
      <c r="H45" s="142" t="str">
        <f t="shared" si="1"/>
        <v/>
      </c>
      <c r="I45" s="142" t="str">
        <f>IF(Thu_W2[[#This Row],[Employee Name]]="","",IF(Thu_W2[[#This Row],[Dept]]="Supervisor",SUM(COUNTIFS($J45:$AX45,"RTA*",$J45:$AX45,"&lt;&gt;"&amp;"pRTA"),COUNTIFS($J45:$AX45,"*CRTA*",$J45:$AX45,"&lt;&gt;"&amp;"pCRTA")),COUNTIFS($J45:$AX45,"*RNNR*",$J45:$AX45,"&lt;&gt;"&amp;"*pRNNR*",$J45:$AX45,"&lt;&gt;"&amp;"pB1 RNNR",$J45:$AX45,"&lt;&gt;"&amp;"pB2 RNNR")-SUM(COUNTIFS($J45:$AX45,"*RNNR B1*",$J45:$AX45,"&lt;&gt;"&amp;"pRNNR B1")*0.5,COUNTIFS($J45:$AX45,"*RNNR B2*",$J45:$AX45,"&lt;&gt;"&amp;"pRNNR B2")*0.5,COUNTIFS($J45:$AX45,"*B1 RNNR*",$J45:$AX45,"&lt;&gt;"&amp;"pB1 RNNR")*0.5,COUNTIFS($J45:$AX45,"*B2 RNNR*",$J45:$AX45,"&lt;&gt;"&amp;"pB2 RNNR")*0.5)))</f>
        <v/>
      </c>
      <c r="J45" s="184" t="str">
        <f>IFERROR(IF(VLOOKUP(Thu_W2[[#This Row],[Employee Name]],'Base Schedules'!$A$243:$AW$281,9,FALSE)="","",VLOOKUP(Thu_W2[[#This Row],[Employee Name]],'Base Schedules'!$A$243:$AW$281,9,FALSE)),"")</f>
        <v/>
      </c>
      <c r="K45" s="184" t="str">
        <f>IFERROR(IF(VLOOKUP(Thu_W2[[#This Row],[Employee Name]],'Base Schedules'!$A$243:$AW$281,10,FALSE)="","",VLOOKUP(Thu_W2[[#This Row],[Employee Name]],'Base Schedules'!$A$243:$AW$281,10,FALSE)),"")</f>
        <v/>
      </c>
      <c r="L45" s="184" t="str">
        <f>IFERROR(IF(VLOOKUP(Thu_W2[[#This Row],[Employee Name]],'Base Schedules'!$A$243:$AW$281,11,FALSE)="","",VLOOKUP(Thu_W2[[#This Row],[Employee Name]],'Base Schedules'!$A$243:$AW$281,11,FALSE)),"")</f>
        <v/>
      </c>
      <c r="M45" s="184" t="str">
        <f>IFERROR(IF(VLOOKUP(Thu_W2[[#This Row],[Employee Name]],'Base Schedules'!$A$243:$AW$281,12,FALSE)="","",VLOOKUP(Thu_W2[[#This Row],[Employee Name]],'Base Schedules'!$A$243:$AW$281,12,FALSE)),"")</f>
        <v/>
      </c>
      <c r="N45" s="184" t="str">
        <f>IFERROR(IF(VLOOKUP(Thu_W2[[#This Row],[Employee Name]],'Base Schedules'!$A$243:$AW$281,13,FALSE)="","",VLOOKUP(Thu_W2[[#This Row],[Employee Name]],'Base Schedules'!$A$243:$AW$281,13,FALSE)),"")</f>
        <v/>
      </c>
      <c r="O45" s="184" t="str">
        <f>IFERROR(IF(VLOOKUP(Thu_W2[[#This Row],[Employee Name]],'Base Schedules'!$A$243:$AW$281,14,FALSE)="","",VLOOKUP(Thu_W2[[#This Row],[Employee Name]],'Base Schedules'!$A$243:$AW$281,14,FALSE)),"")</f>
        <v/>
      </c>
      <c r="P45" s="184" t="str">
        <f>IFERROR(IF(VLOOKUP(Thu_W2[[#This Row],[Employee Name]],'Base Schedules'!$A$243:$AW$281,15,FALSE)="","",VLOOKUP(Thu_W2[[#This Row],[Employee Name]],'Base Schedules'!$A$243:$AW$281,15,FALSE)),"")</f>
        <v/>
      </c>
      <c r="Q45" s="184" t="str">
        <f>IFERROR(IF(VLOOKUP(Thu_W2[[#This Row],[Employee Name]],'Base Schedules'!$A$243:$AW$281,16,FALSE)="","",VLOOKUP(Thu_W2[[#This Row],[Employee Name]],'Base Schedules'!$A$243:$AW$281,16,FALSE)),"")</f>
        <v/>
      </c>
      <c r="R45" s="184" t="str">
        <f>IFERROR(IF(VLOOKUP(Thu_W2[[#This Row],[Employee Name]],'Base Schedules'!$A$243:$AW$281,17,FALSE)="","",VLOOKUP(Thu_W2[[#This Row],[Employee Name]],'Base Schedules'!$A$243:$AW$281,17,FALSE)),"")</f>
        <v/>
      </c>
      <c r="S45" s="184" t="str">
        <f>IFERROR(IF(VLOOKUP(Thu_W2[[#This Row],[Employee Name]],'Base Schedules'!$A$243:$AW$281,18,FALSE)="","",VLOOKUP(Thu_W2[[#This Row],[Employee Name]],'Base Schedules'!$A$243:$AW$281,18,FALSE)),"")</f>
        <v/>
      </c>
      <c r="T45" s="184" t="str">
        <f>IFERROR(IF(VLOOKUP(Thu_W2[[#This Row],[Employee Name]],'Base Schedules'!$A$243:$AW$281,19,FALSE)="","",VLOOKUP(Thu_W2[[#This Row],[Employee Name]],'Base Schedules'!$A$243:$AW$281,19,FALSE)),"")</f>
        <v/>
      </c>
      <c r="U45" s="184" t="str">
        <f>IFERROR(IF(VLOOKUP(Thu_W2[[#This Row],[Employee Name]],'Base Schedules'!$A$243:$AW$281,20,FALSE)="","",VLOOKUP(Thu_W2[[#This Row],[Employee Name]],'Base Schedules'!$A$243:$AW$281,20,FALSE)),"")</f>
        <v/>
      </c>
      <c r="V45" s="184" t="str">
        <f>IFERROR(IF(VLOOKUP(Thu_W2[[#This Row],[Employee Name]],'Base Schedules'!$A$243:$AW$281,21,FALSE)="","",VLOOKUP(Thu_W2[[#This Row],[Employee Name]],'Base Schedules'!$A$243:$AW$281,21,FALSE)),"")</f>
        <v/>
      </c>
      <c r="W45" s="184" t="str">
        <f>IFERROR(IF(VLOOKUP(Thu_W2[[#This Row],[Employee Name]],'Base Schedules'!$A$243:$AW$281,22,FALSE)="","",VLOOKUP(Thu_W2[[#This Row],[Employee Name]],'Base Schedules'!$A$243:$AW$281,22,FALSE)),"")</f>
        <v/>
      </c>
      <c r="X45" s="184" t="str">
        <f>IFERROR(IF(VLOOKUP(Thu_W2[[#This Row],[Employee Name]],'Base Schedules'!$A$243:$AW$281,23,FALSE)="","",VLOOKUP(Thu_W2[[#This Row],[Employee Name]],'Base Schedules'!$A$243:$AW$281,23,FALSE)),"")</f>
        <v/>
      </c>
      <c r="Y45" s="184" t="str">
        <f>IFERROR(IF(VLOOKUP(Thu_W2[[#This Row],[Employee Name]],'Base Schedules'!$A$243:$AW$281,24,FALSE)="","",VLOOKUP(Thu_W2[[#This Row],[Employee Name]],'Base Schedules'!$A$243:$AW$281,24,FALSE)),"")</f>
        <v/>
      </c>
      <c r="Z45" s="184" t="str">
        <f>IFERROR(IF(VLOOKUP(Thu_W2[[#This Row],[Employee Name]],'Base Schedules'!$A$243:$AW$281,25,FALSE)="","",VLOOKUP(Thu_W2[[#This Row],[Employee Name]],'Base Schedules'!$A$243:$AW$281,25,FALSE)),"")</f>
        <v/>
      </c>
      <c r="AA45" s="184" t="str">
        <f>IFERROR(IF(VLOOKUP(Thu_W2[[#This Row],[Employee Name]],'Base Schedules'!$A$243:$AW$281,26,FALSE)="","",VLOOKUP(Thu_W2[[#This Row],[Employee Name]],'Base Schedules'!$A$243:$AW$281,26,FALSE)),"")</f>
        <v/>
      </c>
      <c r="AB45" s="184" t="str">
        <f>IFERROR(IF(VLOOKUP(Thu_W2[[#This Row],[Employee Name]],'Base Schedules'!$A$243:$AW$281,27,FALSE)="","",VLOOKUP(Thu_W2[[#This Row],[Employee Name]],'Base Schedules'!$A$243:$AW$281,27,FALSE)),"")</f>
        <v/>
      </c>
      <c r="AC45" s="184" t="str">
        <f>IFERROR(IF(VLOOKUP(Thu_W2[[#This Row],[Employee Name]],'Base Schedules'!$A$243:$AW$281,28,FALSE)="","",VLOOKUP(Thu_W2[[#This Row],[Employee Name]],'Base Schedules'!$A$243:$AW$281,28,FALSE)),"")</f>
        <v/>
      </c>
      <c r="AD45" s="184" t="str">
        <f>IFERROR(IF(VLOOKUP(Thu_W2[[#This Row],[Employee Name]],'Base Schedules'!$A$243:$AW$281,29,FALSE)="","",VLOOKUP(Thu_W2[[#This Row],[Employee Name]],'Base Schedules'!$A$243:$AW$281,29,FALSE)),"")</f>
        <v/>
      </c>
      <c r="AE45" s="184" t="str">
        <f>IFERROR(IF(VLOOKUP(Thu_W2[[#This Row],[Employee Name]],'Base Schedules'!$A$243:$AW$281,30,FALSE)="","",VLOOKUP(Thu_W2[[#This Row],[Employee Name]],'Base Schedules'!$A$243:$AW$281,30,FALSE)),"")</f>
        <v/>
      </c>
      <c r="AF45" s="184" t="str">
        <f>IFERROR(IF(VLOOKUP(Thu_W2[[#This Row],[Employee Name]],'Base Schedules'!$A$243:$AW$281,31,FALSE)="","",VLOOKUP(Thu_W2[[#This Row],[Employee Name]],'Base Schedules'!$A$243:$AW$281,31,FALSE)),"")</f>
        <v/>
      </c>
      <c r="AG45" s="184" t="str">
        <f>IFERROR(IF(VLOOKUP(Thu_W2[[#This Row],[Employee Name]],'Base Schedules'!$A$243:$AW$281,32,FALSE)="","",VLOOKUP(Thu_W2[[#This Row],[Employee Name]],'Base Schedules'!$A$243:$AW$281,32,FALSE)),"")</f>
        <v/>
      </c>
      <c r="AH45" s="184" t="str">
        <f>IFERROR(IF(VLOOKUP(Thu_W2[[#This Row],[Employee Name]],'Base Schedules'!$A$243:$AW$281,33,FALSE)="","",VLOOKUP(Thu_W2[[#This Row],[Employee Name]],'Base Schedules'!$A$243:$AW$281,33,FALSE)),"")</f>
        <v/>
      </c>
      <c r="AI45" s="184" t="str">
        <f>IFERROR(IF(VLOOKUP(Thu_W2[[#This Row],[Employee Name]],'Base Schedules'!$A$243:$AW$281,34,FALSE)="","",VLOOKUP(Thu_W2[[#This Row],[Employee Name]],'Base Schedules'!$A$243:$AW$281,34,FALSE)),"")</f>
        <v/>
      </c>
      <c r="AJ45" s="184" t="str">
        <f>IFERROR(IF(VLOOKUP(Thu_W2[[#This Row],[Employee Name]],'Base Schedules'!$A$243:$AW$281,35,FALSE)="","",VLOOKUP(Thu_W2[[#This Row],[Employee Name]],'Base Schedules'!$A$243:$AW$281,35,FALSE)),"")</f>
        <v/>
      </c>
      <c r="AK45" s="184" t="str">
        <f>IFERROR(IF(VLOOKUP(Thu_W2[[#This Row],[Employee Name]],'Base Schedules'!$A$243:$AW$281,36,FALSE)="","",VLOOKUP(Thu_W2[[#This Row],[Employee Name]],'Base Schedules'!$A$243:$AW$281,36,FALSE)),"")</f>
        <v/>
      </c>
      <c r="AL45" s="184" t="str">
        <f>IFERROR(IF(VLOOKUP(Thu_W2[[#This Row],[Employee Name]],'Base Schedules'!$A$243:$AW$281,37,FALSE)="","",VLOOKUP(Thu_W2[[#This Row],[Employee Name]],'Base Schedules'!$A$243:$AW$281,37,FALSE)),"")</f>
        <v/>
      </c>
      <c r="AM45" s="184" t="str">
        <f>IFERROR(IF(VLOOKUP(Thu_W2[[#This Row],[Employee Name]],'Base Schedules'!$A$243:$AW$281,38,FALSE)="","",VLOOKUP(Thu_W2[[#This Row],[Employee Name]],'Base Schedules'!$A$243:$AW$281,38,FALSE)),"")</f>
        <v/>
      </c>
      <c r="AN45" s="184" t="str">
        <f>IFERROR(IF(VLOOKUP(Thu_W2[[#This Row],[Employee Name]],'Base Schedules'!$A$243:$AW$281,39,FALSE)="","",VLOOKUP(Thu_W2[[#This Row],[Employee Name]],'Base Schedules'!$A$243:$AW$281,39,FALSE)),"")</f>
        <v/>
      </c>
      <c r="AO45" s="184" t="str">
        <f>IFERROR(IF(VLOOKUP(Thu_W2[[#This Row],[Employee Name]],'Base Schedules'!$A$243:$AW$281,40,FALSE)="","",VLOOKUP(Thu_W2[[#This Row],[Employee Name]],'Base Schedules'!$A$243:$AW$281,40,FALSE)),"")</f>
        <v/>
      </c>
      <c r="AP45" s="184" t="str">
        <f>IFERROR(IF(VLOOKUP(Thu_W2[[#This Row],[Employee Name]],'Base Schedules'!$A$243:$AW$281,41,FALSE)="","",VLOOKUP(Thu_W2[[#This Row],[Employee Name]],'Base Schedules'!$A$243:$AW$281,41,FALSE)),"")</f>
        <v/>
      </c>
      <c r="AQ45" s="184" t="str">
        <f>IFERROR(IF(VLOOKUP(Thu_W2[[#This Row],[Employee Name]],'Base Schedules'!$A$243:$AW$281,42,FALSE)="","",VLOOKUP(Thu_W2[[#This Row],[Employee Name]],'Base Schedules'!$A$243:$AW$281,42,FALSE)),"")</f>
        <v/>
      </c>
      <c r="AR45" s="184" t="str">
        <f>IFERROR(IF(VLOOKUP(Thu_W2[[#This Row],[Employee Name]],'Base Schedules'!$A$243:$AW$281,43,FALSE)="","",VLOOKUP(Thu_W2[[#This Row],[Employee Name]],'Base Schedules'!$A$243:$AW$281,43,FALSE)),"")</f>
        <v/>
      </c>
      <c r="AS45" s="184" t="str">
        <f>IFERROR(IF(VLOOKUP(Thu_W2[[#This Row],[Employee Name]],'Base Schedules'!$A$243:$AW$281,44,FALSE)="","",VLOOKUP(Thu_W2[[#This Row],[Employee Name]],'Base Schedules'!$A$243:$AW$281,44,FALSE)),"")</f>
        <v/>
      </c>
      <c r="AT45" s="184" t="str">
        <f>IFERROR(IF(VLOOKUP(Thu_W2[[#This Row],[Employee Name]],'Base Schedules'!$A$243:$AW$281,45,FALSE)="","",VLOOKUP(Thu_W2[[#This Row],[Employee Name]],'Base Schedules'!$A$243:$AW$281,45,FALSE)),"")</f>
        <v/>
      </c>
      <c r="AU45" s="184" t="str">
        <f>IFERROR(IF(VLOOKUP(Thu_W2[[#This Row],[Employee Name]],'Base Schedules'!$A$243:$AW$281,46,FALSE)="","",VLOOKUP(Thu_W2[[#This Row],[Employee Name]],'Base Schedules'!$A$243:$AW$281,46,FALSE)),"")</f>
        <v/>
      </c>
      <c r="AV45" s="184" t="str">
        <f>IFERROR(IF(VLOOKUP(Thu_W2[[#This Row],[Employee Name]],'Base Schedules'!$A$243:$AW$281,47,FALSE)="","",VLOOKUP(Thu_W2[[#This Row],[Employee Name]],'Base Schedules'!$A$243:$AW$281,47,FALSE)),"")</f>
        <v/>
      </c>
      <c r="AW45" s="184" t="str">
        <f>IFERROR(IF(VLOOKUP(Thu_W2[[#This Row],[Employee Name]],'Base Schedules'!$A$243:$AW$281,48,FALSE)="","",VLOOKUP(Thu_W2[[#This Row],[Employee Name]],'Base Schedules'!$A$243:$AW$281,48,FALSE)),"")</f>
        <v/>
      </c>
      <c r="AX45" s="184" t="str">
        <f>IFERROR(IF(VLOOKUP(Thu_W2[[#This Row],[Employee Name]],'Base Schedules'!$A$243:$AW$281,49,FALSE)="","",VLOOKUP(Thu_W2[[#This Row],[Employee Name]],'Base Schedules'!$A$243:$AW$281,49,FALSE)),"")</f>
        <v/>
      </c>
      <c r="AY45" s="245" t="str">
        <f t="shared" si="2"/>
        <v/>
      </c>
    </row>
    <row r="46" spans="1:51" s="44" customFormat="1" ht="12" hidden="1" customHeight="1" x14ac:dyDescent="0.2">
      <c r="A46" s="39" t="str">
        <f>IF(B46="","",INDEX(TeamList[],MATCH($B46,TeamList[[Employee Name]:[Employee Name]],0),MATCH("Manager",TeamList[#Headers],0)))</f>
        <v/>
      </c>
      <c r="B46" s="201"/>
      <c r="C46" s="257" t="str">
        <f>_xlfn.IFNA(VLOOKUP(Thu_W2[[#This Row],[Employee Name]],'Base Schedules'!A:B,2,FALSE),"")</f>
        <v/>
      </c>
      <c r="D46" s="274" t="str">
        <f>_xlfn.IFNA(VLOOKUP(Thu_W2[[#This Row],[Employee Name]],'Base Schedules'!A:C,3,FALSE),"")</f>
        <v/>
      </c>
      <c r="E46" s="274" t="str">
        <f>_xlfn.IFNA(VLOOKUP(Thu_W2[[#This Row],[Employee Name]],'Base Schedules'!A:D,4,FALSE),"")</f>
        <v/>
      </c>
      <c r="F46" s="142" t="str">
        <f>IF(Thu_W2[[#This Row],[Employee Name]]="","",IF(Thu_W2[[#This Row],[Dept]]="Supervisor",COUNTIFS($J46:$AX46,"*HL*",$J46:$AX46,"&lt;&gt;"&amp;"pHL"),COUNTIFS($J46:$AX46,"*HL*",$J46:$AX46,"&lt;&gt;"&amp;"*pHL*",$J46:$AX46,"&lt;&gt;"&amp;"pB1 HL",$J46:$AX46,"&lt;&gt;"&amp;"pB2 HL")-SUM(COUNTIFS($J46:$AX46,"*HL B1*",$J46:$AX46,"&lt;&gt;"&amp;"pHL B1")*0.5,COUNTIFS($J46:$AX46,"*HL B2*",$J46:$AX46,"&lt;&gt;"&amp;"pHL B2")*0.5,COUNTIFS($J46:$AX46,"*B1 HL*",$J46:$AX46,"&lt;&gt;"&amp;"pB1 HL")*0.5,COUNTIFS($J46:$AX46,"*B2 HL*",$J46:$AX46,"&lt;&gt;"&amp;"pB2 HL")*0.5)))</f>
        <v/>
      </c>
      <c r="G46" s="142" t="str">
        <f>IF(B46="","",COUNTIFS($J46:$AX46,"*TM*",$J46:$AX46,"&lt;&gt;"&amp;"pTM",$J46:$AX46,"&lt;&gt;"&amp;"uTM"))</f>
        <v/>
      </c>
      <c r="H46" s="142" t="str">
        <f t="shared" si="1"/>
        <v/>
      </c>
      <c r="I46" s="142" t="str">
        <f>IF(Thu_W2[[#This Row],[Employee Name]]="","",IF(Thu_W2[[#This Row],[Dept]]="Supervisor",SUM(COUNTIFS($J46:$AX46,"RTA*",$J46:$AX46,"&lt;&gt;"&amp;"pRTA"),COUNTIFS($J46:$AX46,"*CRTA*",$J46:$AX46,"&lt;&gt;"&amp;"pCRTA")),COUNTIFS($J46:$AX46,"*RNNR*",$J46:$AX46,"&lt;&gt;"&amp;"*pRNNR*",$J46:$AX46,"&lt;&gt;"&amp;"pB1 RNNR",$J46:$AX46,"&lt;&gt;"&amp;"pB2 RNNR")-SUM(COUNTIFS($J46:$AX46,"*RNNR B1*",$J46:$AX46,"&lt;&gt;"&amp;"pRNNR B1")*0.5,COUNTIFS($J46:$AX46,"*RNNR B2*",$J46:$AX46,"&lt;&gt;"&amp;"pRNNR B2")*0.5,COUNTIFS($J46:$AX46,"*B1 RNNR*",$J46:$AX46,"&lt;&gt;"&amp;"pB1 RNNR")*0.5,COUNTIFS($J46:$AX46,"*B2 RNNR*",$J46:$AX46,"&lt;&gt;"&amp;"pB2 RNNR")*0.5)))</f>
        <v/>
      </c>
      <c r="J46" s="184" t="str">
        <f>IFERROR(IF(VLOOKUP(Thu_W2[[#This Row],[Employee Name]],'Base Schedules'!$A$243:$AW$281,9,FALSE)="","",VLOOKUP(Thu_W2[[#This Row],[Employee Name]],'Base Schedules'!$A$243:$AW$281,9,FALSE)),"")</f>
        <v/>
      </c>
      <c r="K46" s="184" t="str">
        <f>IFERROR(IF(VLOOKUP(Thu_W2[[#This Row],[Employee Name]],'Base Schedules'!$A$243:$AW$281,10,FALSE)="","",VLOOKUP(Thu_W2[[#This Row],[Employee Name]],'Base Schedules'!$A$243:$AW$281,10,FALSE)),"")</f>
        <v/>
      </c>
      <c r="L46" s="184" t="str">
        <f>IFERROR(IF(VLOOKUP(Thu_W2[[#This Row],[Employee Name]],'Base Schedules'!$A$243:$AW$281,11,FALSE)="","",VLOOKUP(Thu_W2[[#This Row],[Employee Name]],'Base Schedules'!$A$243:$AW$281,11,FALSE)),"")</f>
        <v/>
      </c>
      <c r="M46" s="184" t="str">
        <f>IFERROR(IF(VLOOKUP(Thu_W2[[#This Row],[Employee Name]],'Base Schedules'!$A$243:$AW$281,12,FALSE)="","",VLOOKUP(Thu_W2[[#This Row],[Employee Name]],'Base Schedules'!$A$243:$AW$281,12,FALSE)),"")</f>
        <v/>
      </c>
      <c r="N46" s="184" t="str">
        <f>IFERROR(IF(VLOOKUP(Thu_W2[[#This Row],[Employee Name]],'Base Schedules'!$A$243:$AW$281,13,FALSE)="","",VLOOKUP(Thu_W2[[#This Row],[Employee Name]],'Base Schedules'!$A$243:$AW$281,13,FALSE)),"")</f>
        <v/>
      </c>
      <c r="O46" s="184" t="str">
        <f>IFERROR(IF(VLOOKUP(Thu_W2[[#This Row],[Employee Name]],'Base Schedules'!$A$243:$AW$281,14,FALSE)="","",VLOOKUP(Thu_W2[[#This Row],[Employee Name]],'Base Schedules'!$A$243:$AW$281,14,FALSE)),"")</f>
        <v/>
      </c>
      <c r="P46" s="184" t="str">
        <f>IFERROR(IF(VLOOKUP(Thu_W2[[#This Row],[Employee Name]],'Base Schedules'!$A$243:$AW$281,15,FALSE)="","",VLOOKUP(Thu_W2[[#This Row],[Employee Name]],'Base Schedules'!$A$243:$AW$281,15,FALSE)),"")</f>
        <v/>
      </c>
      <c r="Q46" s="184" t="str">
        <f>IFERROR(IF(VLOOKUP(Thu_W2[[#This Row],[Employee Name]],'Base Schedules'!$A$243:$AW$281,16,FALSE)="","",VLOOKUP(Thu_W2[[#This Row],[Employee Name]],'Base Schedules'!$A$243:$AW$281,16,FALSE)),"")</f>
        <v/>
      </c>
      <c r="R46" s="184" t="str">
        <f>IFERROR(IF(VLOOKUP(Thu_W2[[#This Row],[Employee Name]],'Base Schedules'!$A$243:$AW$281,17,FALSE)="","",VLOOKUP(Thu_W2[[#This Row],[Employee Name]],'Base Schedules'!$A$243:$AW$281,17,FALSE)),"")</f>
        <v/>
      </c>
      <c r="S46" s="184" t="str">
        <f>IFERROR(IF(VLOOKUP(Thu_W2[[#This Row],[Employee Name]],'Base Schedules'!$A$243:$AW$281,18,FALSE)="","",VLOOKUP(Thu_W2[[#This Row],[Employee Name]],'Base Schedules'!$A$243:$AW$281,18,FALSE)),"")</f>
        <v/>
      </c>
      <c r="T46" s="184" t="str">
        <f>IFERROR(IF(VLOOKUP(Thu_W2[[#This Row],[Employee Name]],'Base Schedules'!$A$243:$AW$281,19,FALSE)="","",VLOOKUP(Thu_W2[[#This Row],[Employee Name]],'Base Schedules'!$A$243:$AW$281,19,FALSE)),"")</f>
        <v/>
      </c>
      <c r="U46" s="184" t="str">
        <f>IFERROR(IF(VLOOKUP(Thu_W2[[#This Row],[Employee Name]],'Base Schedules'!$A$243:$AW$281,20,FALSE)="","",VLOOKUP(Thu_W2[[#This Row],[Employee Name]],'Base Schedules'!$A$243:$AW$281,20,FALSE)),"")</f>
        <v/>
      </c>
      <c r="V46" s="184" t="str">
        <f>IFERROR(IF(VLOOKUP(Thu_W2[[#This Row],[Employee Name]],'Base Schedules'!$A$243:$AW$281,21,FALSE)="","",VLOOKUP(Thu_W2[[#This Row],[Employee Name]],'Base Schedules'!$A$243:$AW$281,21,FALSE)),"")</f>
        <v/>
      </c>
      <c r="W46" s="184" t="str">
        <f>IFERROR(IF(VLOOKUP(Thu_W2[[#This Row],[Employee Name]],'Base Schedules'!$A$243:$AW$281,22,FALSE)="","",VLOOKUP(Thu_W2[[#This Row],[Employee Name]],'Base Schedules'!$A$243:$AW$281,22,FALSE)),"")</f>
        <v/>
      </c>
      <c r="X46" s="184" t="str">
        <f>IFERROR(IF(VLOOKUP(Thu_W2[[#This Row],[Employee Name]],'Base Schedules'!$A$243:$AW$281,23,FALSE)="","",VLOOKUP(Thu_W2[[#This Row],[Employee Name]],'Base Schedules'!$A$243:$AW$281,23,FALSE)),"")</f>
        <v/>
      </c>
      <c r="Y46" s="184" t="str">
        <f>IFERROR(IF(VLOOKUP(Thu_W2[[#This Row],[Employee Name]],'Base Schedules'!$A$243:$AW$281,24,FALSE)="","",VLOOKUP(Thu_W2[[#This Row],[Employee Name]],'Base Schedules'!$A$243:$AW$281,24,FALSE)),"")</f>
        <v/>
      </c>
      <c r="Z46" s="184" t="str">
        <f>IFERROR(IF(VLOOKUP(Thu_W2[[#This Row],[Employee Name]],'Base Schedules'!$A$243:$AW$281,25,FALSE)="","",VLOOKUP(Thu_W2[[#This Row],[Employee Name]],'Base Schedules'!$A$243:$AW$281,25,FALSE)),"")</f>
        <v/>
      </c>
      <c r="AA46" s="184" t="str">
        <f>IFERROR(IF(VLOOKUP(Thu_W2[[#This Row],[Employee Name]],'Base Schedules'!$A$243:$AW$281,26,FALSE)="","",VLOOKUP(Thu_W2[[#This Row],[Employee Name]],'Base Schedules'!$A$243:$AW$281,26,FALSE)),"")</f>
        <v/>
      </c>
      <c r="AB46" s="184" t="str">
        <f>IFERROR(IF(VLOOKUP(Thu_W2[[#This Row],[Employee Name]],'Base Schedules'!$A$243:$AW$281,27,FALSE)="","",VLOOKUP(Thu_W2[[#This Row],[Employee Name]],'Base Schedules'!$A$243:$AW$281,27,FALSE)),"")</f>
        <v/>
      </c>
      <c r="AC46" s="184" t="str">
        <f>IFERROR(IF(VLOOKUP(Thu_W2[[#This Row],[Employee Name]],'Base Schedules'!$A$243:$AW$281,28,FALSE)="","",VLOOKUP(Thu_W2[[#This Row],[Employee Name]],'Base Schedules'!$A$243:$AW$281,28,FALSE)),"")</f>
        <v/>
      </c>
      <c r="AD46" s="184" t="str">
        <f>IFERROR(IF(VLOOKUP(Thu_W2[[#This Row],[Employee Name]],'Base Schedules'!$A$243:$AW$281,29,FALSE)="","",VLOOKUP(Thu_W2[[#This Row],[Employee Name]],'Base Schedules'!$A$243:$AW$281,29,FALSE)),"")</f>
        <v/>
      </c>
      <c r="AE46" s="184" t="str">
        <f>IFERROR(IF(VLOOKUP(Thu_W2[[#This Row],[Employee Name]],'Base Schedules'!$A$243:$AW$281,30,FALSE)="","",VLOOKUP(Thu_W2[[#This Row],[Employee Name]],'Base Schedules'!$A$243:$AW$281,30,FALSE)),"")</f>
        <v/>
      </c>
      <c r="AF46" s="184" t="str">
        <f>IFERROR(IF(VLOOKUP(Thu_W2[[#This Row],[Employee Name]],'Base Schedules'!$A$243:$AW$281,31,FALSE)="","",VLOOKUP(Thu_W2[[#This Row],[Employee Name]],'Base Schedules'!$A$243:$AW$281,31,FALSE)),"")</f>
        <v/>
      </c>
      <c r="AG46" s="184" t="str">
        <f>IFERROR(IF(VLOOKUP(Thu_W2[[#This Row],[Employee Name]],'Base Schedules'!$A$243:$AW$281,32,FALSE)="","",VLOOKUP(Thu_W2[[#This Row],[Employee Name]],'Base Schedules'!$A$243:$AW$281,32,FALSE)),"")</f>
        <v/>
      </c>
      <c r="AH46" s="184" t="str">
        <f>IFERROR(IF(VLOOKUP(Thu_W2[[#This Row],[Employee Name]],'Base Schedules'!$A$243:$AW$281,33,FALSE)="","",VLOOKUP(Thu_W2[[#This Row],[Employee Name]],'Base Schedules'!$A$243:$AW$281,33,FALSE)),"")</f>
        <v/>
      </c>
      <c r="AI46" s="184" t="str">
        <f>IFERROR(IF(VLOOKUP(Thu_W2[[#This Row],[Employee Name]],'Base Schedules'!$A$243:$AW$281,34,FALSE)="","",VLOOKUP(Thu_W2[[#This Row],[Employee Name]],'Base Schedules'!$A$243:$AW$281,34,FALSE)),"")</f>
        <v/>
      </c>
      <c r="AJ46" s="184" t="str">
        <f>IFERROR(IF(VLOOKUP(Thu_W2[[#This Row],[Employee Name]],'Base Schedules'!$A$243:$AW$281,35,FALSE)="","",VLOOKUP(Thu_W2[[#This Row],[Employee Name]],'Base Schedules'!$A$243:$AW$281,35,FALSE)),"")</f>
        <v/>
      </c>
      <c r="AK46" s="184" t="str">
        <f>IFERROR(IF(VLOOKUP(Thu_W2[[#This Row],[Employee Name]],'Base Schedules'!$A$243:$AW$281,36,FALSE)="","",VLOOKUP(Thu_W2[[#This Row],[Employee Name]],'Base Schedules'!$A$243:$AW$281,36,FALSE)),"")</f>
        <v/>
      </c>
      <c r="AL46" s="184" t="str">
        <f>IFERROR(IF(VLOOKUP(Thu_W2[[#This Row],[Employee Name]],'Base Schedules'!$A$243:$AW$281,37,FALSE)="","",VLOOKUP(Thu_W2[[#This Row],[Employee Name]],'Base Schedules'!$A$243:$AW$281,37,FALSE)),"")</f>
        <v/>
      </c>
      <c r="AM46" s="184" t="str">
        <f>IFERROR(IF(VLOOKUP(Thu_W2[[#This Row],[Employee Name]],'Base Schedules'!$A$243:$AW$281,38,FALSE)="","",VLOOKUP(Thu_W2[[#This Row],[Employee Name]],'Base Schedules'!$A$243:$AW$281,38,FALSE)),"")</f>
        <v/>
      </c>
      <c r="AN46" s="184" t="str">
        <f>IFERROR(IF(VLOOKUP(Thu_W2[[#This Row],[Employee Name]],'Base Schedules'!$A$243:$AW$281,39,FALSE)="","",VLOOKUP(Thu_W2[[#This Row],[Employee Name]],'Base Schedules'!$A$243:$AW$281,39,FALSE)),"")</f>
        <v/>
      </c>
      <c r="AO46" s="184" t="str">
        <f>IFERROR(IF(VLOOKUP(Thu_W2[[#This Row],[Employee Name]],'Base Schedules'!$A$243:$AW$281,40,FALSE)="","",VLOOKUP(Thu_W2[[#This Row],[Employee Name]],'Base Schedules'!$A$243:$AW$281,40,FALSE)),"")</f>
        <v/>
      </c>
      <c r="AP46" s="184" t="str">
        <f>IFERROR(IF(VLOOKUP(Thu_W2[[#This Row],[Employee Name]],'Base Schedules'!$A$243:$AW$281,41,FALSE)="","",VLOOKUP(Thu_W2[[#This Row],[Employee Name]],'Base Schedules'!$A$243:$AW$281,41,FALSE)),"")</f>
        <v/>
      </c>
      <c r="AQ46" s="184" t="str">
        <f>IFERROR(IF(VLOOKUP(Thu_W2[[#This Row],[Employee Name]],'Base Schedules'!$A$243:$AW$281,42,FALSE)="","",VLOOKUP(Thu_W2[[#This Row],[Employee Name]],'Base Schedules'!$A$243:$AW$281,42,FALSE)),"")</f>
        <v/>
      </c>
      <c r="AR46" s="184" t="str">
        <f>IFERROR(IF(VLOOKUP(Thu_W2[[#This Row],[Employee Name]],'Base Schedules'!$A$243:$AW$281,43,FALSE)="","",VLOOKUP(Thu_W2[[#This Row],[Employee Name]],'Base Schedules'!$A$243:$AW$281,43,FALSE)),"")</f>
        <v/>
      </c>
      <c r="AS46" s="184" t="str">
        <f>IFERROR(IF(VLOOKUP(Thu_W2[[#This Row],[Employee Name]],'Base Schedules'!$A$243:$AW$281,44,FALSE)="","",VLOOKUP(Thu_W2[[#This Row],[Employee Name]],'Base Schedules'!$A$243:$AW$281,44,FALSE)),"")</f>
        <v/>
      </c>
      <c r="AT46" s="184" t="str">
        <f>IFERROR(IF(VLOOKUP(Thu_W2[[#This Row],[Employee Name]],'Base Schedules'!$A$243:$AW$281,45,FALSE)="","",VLOOKUP(Thu_W2[[#This Row],[Employee Name]],'Base Schedules'!$A$243:$AW$281,45,FALSE)),"")</f>
        <v/>
      </c>
      <c r="AU46" s="184" t="str">
        <f>IFERROR(IF(VLOOKUP(Thu_W2[[#This Row],[Employee Name]],'Base Schedules'!$A$243:$AW$281,46,FALSE)="","",VLOOKUP(Thu_W2[[#This Row],[Employee Name]],'Base Schedules'!$A$243:$AW$281,46,FALSE)),"")</f>
        <v/>
      </c>
      <c r="AV46" s="184" t="str">
        <f>IFERROR(IF(VLOOKUP(Thu_W2[[#This Row],[Employee Name]],'Base Schedules'!$A$243:$AW$281,47,FALSE)="","",VLOOKUP(Thu_W2[[#This Row],[Employee Name]],'Base Schedules'!$A$243:$AW$281,47,FALSE)),"")</f>
        <v/>
      </c>
      <c r="AW46" s="184" t="str">
        <f>IFERROR(IF(VLOOKUP(Thu_W2[[#This Row],[Employee Name]],'Base Schedules'!$A$243:$AW$281,48,FALSE)="","",VLOOKUP(Thu_W2[[#This Row],[Employee Name]],'Base Schedules'!$A$243:$AW$281,48,FALSE)),"")</f>
        <v/>
      </c>
      <c r="AX46" s="184" t="str">
        <f>IFERROR(IF(VLOOKUP(Thu_W2[[#This Row],[Employee Name]],'Base Schedules'!$A$243:$AW$281,49,FALSE)="","",VLOOKUP(Thu_W2[[#This Row],[Employee Name]],'Base Schedules'!$A$243:$AW$281,49,FALSE)),"")</f>
        <v/>
      </c>
      <c r="AY46" s="245" t="str">
        <f t="shared" si="2"/>
        <v/>
      </c>
    </row>
    <row r="47" spans="1:51" ht="6" customHeight="1" thickBot="1" x14ac:dyDescent="0.25">
      <c r="B47" s="28"/>
      <c r="C47" s="28"/>
      <c r="D47" s="29"/>
      <c r="E47" s="29"/>
      <c r="F47" s="30"/>
      <c r="G47" s="30"/>
      <c r="H47" s="30"/>
      <c r="I47" s="30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8"/>
    </row>
    <row r="48" spans="1:51" s="273" customFormat="1" ht="12.75" customHeight="1" thickBot="1" x14ac:dyDescent="0.3">
      <c r="B48" s="268"/>
      <c r="C48" s="269"/>
      <c r="D48" s="269"/>
      <c r="E48" s="269" t="s">
        <v>92</v>
      </c>
      <c r="F48" s="269">
        <f>SUM(F9:F46)</f>
        <v>114</v>
      </c>
      <c r="G48" s="269">
        <f>SUM(G9:G46)</f>
        <v>61</v>
      </c>
      <c r="H48" s="269">
        <f>SUM(H9:H46)</f>
        <v>111</v>
      </c>
      <c r="I48" s="269">
        <f>SUM(I9:I46)</f>
        <v>24</v>
      </c>
      <c r="J48" s="270">
        <v>500</v>
      </c>
      <c r="K48" s="270">
        <v>530</v>
      </c>
      <c r="L48" s="270">
        <v>600</v>
      </c>
      <c r="M48" s="270">
        <v>630</v>
      </c>
      <c r="N48" s="270">
        <v>700</v>
      </c>
      <c r="O48" s="270">
        <v>730</v>
      </c>
      <c r="P48" s="270">
        <v>800</v>
      </c>
      <c r="Q48" s="270">
        <v>830</v>
      </c>
      <c r="R48" s="270">
        <v>900</v>
      </c>
      <c r="S48" s="270">
        <v>930</v>
      </c>
      <c r="T48" s="270">
        <v>1000</v>
      </c>
      <c r="U48" s="270">
        <v>1030</v>
      </c>
      <c r="V48" s="270">
        <v>1100</v>
      </c>
      <c r="W48" s="270">
        <v>1130</v>
      </c>
      <c r="X48" s="270">
        <v>1200</v>
      </c>
      <c r="Y48" s="270">
        <v>1230</v>
      </c>
      <c r="Z48" s="270">
        <v>1300</v>
      </c>
      <c r="AA48" s="270">
        <v>1330</v>
      </c>
      <c r="AB48" s="270">
        <v>1400</v>
      </c>
      <c r="AC48" s="270">
        <v>1430</v>
      </c>
      <c r="AD48" s="270">
        <v>1500</v>
      </c>
      <c r="AE48" s="270">
        <v>1530</v>
      </c>
      <c r="AF48" s="270">
        <v>1600</v>
      </c>
      <c r="AG48" s="270">
        <v>1630</v>
      </c>
      <c r="AH48" s="270">
        <v>1700</v>
      </c>
      <c r="AI48" s="270">
        <v>1730</v>
      </c>
      <c r="AJ48" s="270">
        <v>1800</v>
      </c>
      <c r="AK48" s="270">
        <v>1830</v>
      </c>
      <c r="AL48" s="270">
        <v>1900</v>
      </c>
      <c r="AM48" s="270">
        <v>1930</v>
      </c>
      <c r="AN48" s="270">
        <v>2000</v>
      </c>
      <c r="AO48" s="270">
        <v>2030</v>
      </c>
      <c r="AP48" s="270">
        <v>2100</v>
      </c>
      <c r="AQ48" s="270">
        <v>2130</v>
      </c>
      <c r="AR48" s="270">
        <v>2200</v>
      </c>
      <c r="AS48" s="270">
        <v>2230</v>
      </c>
      <c r="AT48" s="270">
        <v>2300</v>
      </c>
      <c r="AU48" s="270">
        <v>2330</v>
      </c>
      <c r="AV48" s="270">
        <v>0</v>
      </c>
      <c r="AW48" s="270">
        <v>30</v>
      </c>
      <c r="AX48" s="271" t="s">
        <v>365</v>
      </c>
      <c r="AY48" s="272" t="s">
        <v>2</v>
      </c>
    </row>
    <row r="49" spans="2:52" ht="6" customHeight="1" thickBot="1" x14ac:dyDescent="0.25">
      <c r="G49" s="223"/>
      <c r="H49" s="224"/>
      <c r="I49" s="225"/>
      <c r="J49" s="224"/>
      <c r="K49" s="224"/>
      <c r="L49" s="224"/>
      <c r="M49" s="224"/>
      <c r="N49" s="224"/>
      <c r="O49" s="224"/>
      <c r="P49" s="224"/>
      <c r="Q49" s="224"/>
      <c r="R49" s="224"/>
      <c r="S49" s="224"/>
      <c r="T49" s="224"/>
      <c r="U49" s="224"/>
      <c r="V49" s="224"/>
      <c r="W49" s="224"/>
      <c r="X49" s="224"/>
      <c r="Y49" s="224"/>
      <c r="Z49" s="224"/>
      <c r="AA49" s="224"/>
      <c r="AB49" s="224"/>
      <c r="AC49" s="224"/>
      <c r="AD49" s="224"/>
      <c r="AE49" s="224"/>
      <c r="AF49" s="224"/>
      <c r="AG49" s="224"/>
      <c r="AH49" s="224"/>
      <c r="AI49" s="224"/>
      <c r="AJ49" s="224"/>
      <c r="AK49" s="224"/>
      <c r="AL49" s="224"/>
      <c r="AM49" s="224"/>
      <c r="AN49" s="224"/>
      <c r="AO49" s="224"/>
      <c r="AP49" s="224"/>
      <c r="AQ49" s="224"/>
      <c r="AR49" s="224"/>
      <c r="AS49" s="224"/>
      <c r="AT49" s="224"/>
      <c r="AU49" s="224"/>
      <c r="AV49" s="224"/>
      <c r="AW49" s="225"/>
      <c r="AX49" s="226">
        <f>SUM(J49:AW49)</f>
        <v>0</v>
      </c>
      <c r="AY49" s="227">
        <f t="shared" ref="AY49" si="4">G49</f>
        <v>0</v>
      </c>
    </row>
    <row r="50" spans="2:52" ht="18.75" x14ac:dyDescent="0.3">
      <c r="B50" s="484" t="s">
        <v>368</v>
      </c>
      <c r="C50" s="484"/>
      <c r="D50" s="453"/>
      <c r="E50" s="453"/>
      <c r="F50" s="453"/>
      <c r="G50" s="484" t="s">
        <v>368</v>
      </c>
      <c r="H50" s="484"/>
      <c r="I50" s="484"/>
      <c r="J50" s="455">
        <f>COUNTIF(J9:J46,"RNNR")</f>
        <v>0</v>
      </c>
      <c r="K50" s="455">
        <f t="shared" ref="K50:AW50" si="5">COUNTIF(K9:K46,"RNNR")</f>
        <v>0</v>
      </c>
      <c r="L50" s="455">
        <f t="shared" si="5"/>
        <v>0</v>
      </c>
      <c r="M50" s="455">
        <f t="shared" si="5"/>
        <v>0</v>
      </c>
      <c r="N50" s="455">
        <f t="shared" si="5"/>
        <v>0</v>
      </c>
      <c r="O50" s="455">
        <f t="shared" si="5"/>
        <v>0</v>
      </c>
      <c r="P50" s="455">
        <f t="shared" si="5"/>
        <v>1</v>
      </c>
      <c r="Q50" s="455">
        <f t="shared" si="5"/>
        <v>1</v>
      </c>
      <c r="R50" s="455">
        <f t="shared" si="5"/>
        <v>1</v>
      </c>
      <c r="S50" s="455">
        <f t="shared" si="5"/>
        <v>1</v>
      </c>
      <c r="T50" s="455">
        <f t="shared" si="5"/>
        <v>1</v>
      </c>
      <c r="U50" s="455">
        <f t="shared" si="5"/>
        <v>1</v>
      </c>
      <c r="V50" s="455">
        <f t="shared" si="5"/>
        <v>1</v>
      </c>
      <c r="W50" s="455">
        <f t="shared" si="5"/>
        <v>1</v>
      </c>
      <c r="X50" s="455">
        <f t="shared" si="5"/>
        <v>1</v>
      </c>
      <c r="Y50" s="455">
        <f t="shared" si="5"/>
        <v>1</v>
      </c>
      <c r="Z50" s="455">
        <f t="shared" si="5"/>
        <v>1</v>
      </c>
      <c r="AA50" s="455">
        <f t="shared" si="5"/>
        <v>1</v>
      </c>
      <c r="AB50" s="455">
        <f t="shared" si="5"/>
        <v>1</v>
      </c>
      <c r="AC50" s="455">
        <f t="shared" si="5"/>
        <v>1</v>
      </c>
      <c r="AD50" s="455">
        <f t="shared" si="5"/>
        <v>1</v>
      </c>
      <c r="AE50" s="455">
        <f t="shared" si="5"/>
        <v>1</v>
      </c>
      <c r="AF50" s="455">
        <f t="shared" si="5"/>
        <v>1</v>
      </c>
      <c r="AG50" s="455">
        <f t="shared" si="5"/>
        <v>1</v>
      </c>
      <c r="AH50" s="455">
        <f t="shared" si="5"/>
        <v>1</v>
      </c>
      <c r="AI50" s="455">
        <f t="shared" si="5"/>
        <v>1</v>
      </c>
      <c r="AJ50" s="455">
        <f t="shared" si="5"/>
        <v>1</v>
      </c>
      <c r="AK50" s="455">
        <f t="shared" si="5"/>
        <v>1</v>
      </c>
      <c r="AL50" s="455">
        <f t="shared" si="5"/>
        <v>1</v>
      </c>
      <c r="AM50" s="455">
        <f t="shared" si="5"/>
        <v>1</v>
      </c>
      <c r="AN50" s="455">
        <f t="shared" si="5"/>
        <v>0</v>
      </c>
      <c r="AO50" s="455">
        <f t="shared" si="5"/>
        <v>0</v>
      </c>
      <c r="AP50" s="455">
        <f t="shared" si="5"/>
        <v>0</v>
      </c>
      <c r="AQ50" s="455">
        <f t="shared" si="5"/>
        <v>0</v>
      </c>
      <c r="AR50" s="455">
        <f t="shared" si="5"/>
        <v>0</v>
      </c>
      <c r="AS50" s="455">
        <f t="shared" si="5"/>
        <v>0</v>
      </c>
      <c r="AT50" s="455">
        <f t="shared" si="5"/>
        <v>0</v>
      </c>
      <c r="AU50" s="455">
        <f t="shared" si="5"/>
        <v>0</v>
      </c>
      <c r="AV50" s="455">
        <f t="shared" si="5"/>
        <v>0</v>
      </c>
      <c r="AW50" s="455">
        <f t="shared" si="5"/>
        <v>0</v>
      </c>
      <c r="AX50" s="451">
        <f>AVERAGE(J50:AW50)</f>
        <v>0.6</v>
      </c>
      <c r="AY50" s="485" t="s">
        <v>368</v>
      </c>
      <c r="AZ50" s="485"/>
    </row>
    <row r="51" spans="2:52" ht="15.75" customHeight="1" x14ac:dyDescent="0.3">
      <c r="B51" s="484" t="s">
        <v>581</v>
      </c>
      <c r="C51" s="484"/>
      <c r="D51" s="453"/>
      <c r="E51" s="453"/>
      <c r="F51" s="453"/>
      <c r="G51" s="484" t="s">
        <v>581</v>
      </c>
      <c r="H51" s="484"/>
      <c r="I51" s="484"/>
      <c r="J51" s="458">
        <f>COUNTIF(J9:J46,"HL")</f>
        <v>2</v>
      </c>
      <c r="K51" s="458">
        <f t="shared" ref="K51:AW51" si="6">COUNTIF(K9:K46,"HL")</f>
        <v>2</v>
      </c>
      <c r="L51" s="458">
        <f t="shared" si="6"/>
        <v>2</v>
      </c>
      <c r="M51" s="458">
        <f t="shared" si="6"/>
        <v>2</v>
      </c>
      <c r="N51" s="458">
        <f t="shared" si="6"/>
        <v>3</v>
      </c>
      <c r="O51" s="458">
        <f t="shared" si="6"/>
        <v>2</v>
      </c>
      <c r="P51" s="458">
        <f t="shared" si="6"/>
        <v>3</v>
      </c>
      <c r="Q51" s="458">
        <f t="shared" si="6"/>
        <v>3</v>
      </c>
      <c r="R51" s="458">
        <f t="shared" si="6"/>
        <v>2</v>
      </c>
      <c r="S51" s="458">
        <f t="shared" si="6"/>
        <v>2</v>
      </c>
      <c r="T51" s="458">
        <f t="shared" si="6"/>
        <v>2</v>
      </c>
      <c r="U51" s="458">
        <f t="shared" si="6"/>
        <v>2</v>
      </c>
      <c r="V51" s="458">
        <f t="shared" si="6"/>
        <v>4</v>
      </c>
      <c r="W51" s="458">
        <f t="shared" si="6"/>
        <v>3</v>
      </c>
      <c r="X51" s="458">
        <f t="shared" si="6"/>
        <v>3</v>
      </c>
      <c r="Y51" s="458">
        <f t="shared" si="6"/>
        <v>6</v>
      </c>
      <c r="Z51" s="458">
        <f t="shared" si="6"/>
        <v>5</v>
      </c>
      <c r="AA51" s="458">
        <f t="shared" si="6"/>
        <v>5</v>
      </c>
      <c r="AB51" s="458">
        <f t="shared" si="6"/>
        <v>5</v>
      </c>
      <c r="AC51" s="458">
        <f t="shared" si="6"/>
        <v>4</v>
      </c>
      <c r="AD51" s="458">
        <f t="shared" si="6"/>
        <v>5</v>
      </c>
      <c r="AE51" s="458">
        <f t="shared" si="6"/>
        <v>3</v>
      </c>
      <c r="AF51" s="458">
        <f t="shared" si="6"/>
        <v>2</v>
      </c>
      <c r="AG51" s="458">
        <f t="shared" si="6"/>
        <v>3</v>
      </c>
      <c r="AH51" s="458">
        <f t="shared" si="6"/>
        <v>3</v>
      </c>
      <c r="AI51" s="458">
        <f t="shared" si="6"/>
        <v>2</v>
      </c>
      <c r="AJ51" s="458">
        <f t="shared" si="6"/>
        <v>3</v>
      </c>
      <c r="AK51" s="458">
        <f t="shared" si="6"/>
        <v>5</v>
      </c>
      <c r="AL51" s="458">
        <f t="shared" si="6"/>
        <v>4</v>
      </c>
      <c r="AM51" s="458">
        <f t="shared" si="6"/>
        <v>3</v>
      </c>
      <c r="AN51" s="458">
        <f t="shared" si="6"/>
        <v>2</v>
      </c>
      <c r="AO51" s="458">
        <f t="shared" si="6"/>
        <v>2</v>
      </c>
      <c r="AP51" s="458">
        <f t="shared" si="6"/>
        <v>2</v>
      </c>
      <c r="AQ51" s="458">
        <f t="shared" si="6"/>
        <v>1</v>
      </c>
      <c r="AR51" s="458">
        <f t="shared" si="6"/>
        <v>1</v>
      </c>
      <c r="AS51" s="458">
        <f t="shared" si="6"/>
        <v>0</v>
      </c>
      <c r="AT51" s="458">
        <f t="shared" si="6"/>
        <v>1</v>
      </c>
      <c r="AU51" s="458">
        <f t="shared" si="6"/>
        <v>1</v>
      </c>
      <c r="AV51" s="458">
        <f t="shared" si="6"/>
        <v>1</v>
      </c>
      <c r="AW51" s="458">
        <f t="shared" si="6"/>
        <v>1</v>
      </c>
      <c r="AX51" s="452">
        <f>SUM(J51:AW51)</f>
        <v>107</v>
      </c>
      <c r="AY51" s="485" t="s">
        <v>581</v>
      </c>
      <c r="AZ51" s="485"/>
    </row>
    <row r="52" spans="2:52" ht="18.75" x14ac:dyDescent="0.3">
      <c r="B52" s="484" t="s">
        <v>588</v>
      </c>
      <c r="C52" s="484"/>
      <c r="D52" s="453"/>
      <c r="E52" s="453"/>
      <c r="F52" s="453"/>
      <c r="G52" s="484" t="s">
        <v>589</v>
      </c>
      <c r="H52" s="484"/>
      <c r="I52" s="484"/>
      <c r="J52" s="460">
        <f>[1]Weighted!B$42</f>
        <v>1.1000000000000001</v>
      </c>
      <c r="K52" s="460">
        <f>[1]Weighted!C$42</f>
        <v>1.1000000000000001</v>
      </c>
      <c r="L52" s="460">
        <f>[1]Weighted!D$42</f>
        <v>1.1000000000000001</v>
      </c>
      <c r="M52" s="460">
        <f>[1]Weighted!E$42</f>
        <v>1.1000000000000001</v>
      </c>
      <c r="N52" s="460">
        <f>[1]Weighted!F$42</f>
        <v>1.1000000000000001</v>
      </c>
      <c r="O52" s="460">
        <f>[1]Weighted!G$42</f>
        <v>2.2000000000000002</v>
      </c>
      <c r="P52" s="460">
        <f>[1]Weighted!H$42</f>
        <v>2.2000000000000002</v>
      </c>
      <c r="Q52" s="460">
        <f>[1]Weighted!I$42</f>
        <v>3.3000000000000003</v>
      </c>
      <c r="R52" s="460">
        <f>[1]Weighted!J$42</f>
        <v>2.2000000000000002</v>
      </c>
      <c r="S52" s="460">
        <f>[1]Weighted!K$42</f>
        <v>1.1000000000000001</v>
      </c>
      <c r="T52" s="460">
        <f>[1]Weighted!L$42</f>
        <v>2.2000000000000002</v>
      </c>
      <c r="U52" s="460">
        <f>[1]Weighted!M$42</f>
        <v>3.3000000000000003</v>
      </c>
      <c r="V52" s="460">
        <f>[1]Weighted!N$42</f>
        <v>2.2000000000000002</v>
      </c>
      <c r="W52" s="460">
        <f>[1]Weighted!O$42</f>
        <v>3.3000000000000003</v>
      </c>
      <c r="X52" s="460">
        <f>[1]Weighted!P$42</f>
        <v>2.2000000000000002</v>
      </c>
      <c r="Y52" s="460">
        <f>[1]Weighted!Q$42</f>
        <v>2.2000000000000002</v>
      </c>
      <c r="Z52" s="460">
        <f>[1]Weighted!R$42</f>
        <v>3.3000000000000003</v>
      </c>
      <c r="AA52" s="460">
        <f>[1]Weighted!S$42</f>
        <v>3.3000000000000003</v>
      </c>
      <c r="AB52" s="460">
        <f>[1]Weighted!T$42</f>
        <v>3.3000000000000003</v>
      </c>
      <c r="AC52" s="460">
        <f>[1]Weighted!U$42</f>
        <v>2.2000000000000002</v>
      </c>
      <c r="AD52" s="460">
        <f>[1]Weighted!V$42</f>
        <v>2.2000000000000002</v>
      </c>
      <c r="AE52" s="460">
        <f>[1]Weighted!W$42</f>
        <v>4.4000000000000004</v>
      </c>
      <c r="AF52" s="460">
        <f>[1]Weighted!X$42</f>
        <v>3.3000000000000003</v>
      </c>
      <c r="AG52" s="460">
        <f>[1]Weighted!Y$42</f>
        <v>2.2000000000000002</v>
      </c>
      <c r="AH52" s="460">
        <f>[1]Weighted!Z$42</f>
        <v>2.2000000000000002</v>
      </c>
      <c r="AI52" s="460">
        <f>[1]Weighted!AA$42</f>
        <v>1.1000000000000001</v>
      </c>
      <c r="AJ52" s="460">
        <f>[1]Weighted!AB$42</f>
        <v>2.2000000000000002</v>
      </c>
      <c r="AK52" s="460">
        <f>[1]Weighted!AC$42</f>
        <v>2.2000000000000002</v>
      </c>
      <c r="AL52" s="460">
        <f>[1]Weighted!AD$42</f>
        <v>2.2000000000000002</v>
      </c>
      <c r="AM52" s="460">
        <f>[1]Weighted!AE$42</f>
        <v>1.1000000000000001</v>
      </c>
      <c r="AN52" s="460">
        <f>[1]Weighted!AF$42</f>
        <v>1.1000000000000001</v>
      </c>
      <c r="AO52" s="460">
        <f>[1]Weighted!AG$42</f>
        <v>2.2000000000000002</v>
      </c>
      <c r="AP52" s="460">
        <f>[1]Weighted!AH$42</f>
        <v>1.1000000000000001</v>
      </c>
      <c r="AQ52" s="460">
        <f>[1]Weighted!AI$42</f>
        <v>1.1000000000000001</v>
      </c>
      <c r="AR52" s="460">
        <f>[1]Weighted!AJ$42</f>
        <v>1.1000000000000001</v>
      </c>
      <c r="AS52" s="460">
        <f>[1]Weighted!AK$42</f>
        <v>1.1000000000000001</v>
      </c>
      <c r="AT52" s="460">
        <f>[1]Weighted!AL$42</f>
        <v>1.1000000000000001</v>
      </c>
      <c r="AU52" s="460">
        <f>[1]Weighted!AM$42</f>
        <v>1.1000000000000001</v>
      </c>
      <c r="AV52" s="460">
        <f>[1]Weighted!AN$42</f>
        <v>1.1000000000000001</v>
      </c>
      <c r="AW52" s="460">
        <f>[1]Weighted!AO$42</f>
        <v>1.1000000000000001</v>
      </c>
      <c r="AX52" s="452">
        <f>SUM(J52:AW52)</f>
        <v>79.19999999999996</v>
      </c>
      <c r="AY52" s="485" t="s">
        <v>588</v>
      </c>
      <c r="AZ52" s="485"/>
    </row>
    <row r="53" spans="2:52" ht="18.75" x14ac:dyDescent="0.3">
      <c r="B53" s="484" t="s">
        <v>590</v>
      </c>
      <c r="C53" s="484"/>
      <c r="D53" s="453"/>
      <c r="E53" s="453"/>
      <c r="F53" s="453"/>
      <c r="G53" s="484" t="s">
        <v>590</v>
      </c>
      <c r="H53" s="484"/>
      <c r="I53" s="484"/>
      <c r="J53" s="460">
        <f>ROUNDUP(J52/2,0)</f>
        <v>1</v>
      </c>
      <c r="K53" s="460">
        <f t="shared" ref="K53:AW53" si="7">ROUNDUP(K52/2,0)</f>
        <v>1</v>
      </c>
      <c r="L53" s="460">
        <f t="shared" si="7"/>
        <v>1</v>
      </c>
      <c r="M53" s="460">
        <f t="shared" si="7"/>
        <v>1</v>
      </c>
      <c r="N53" s="460">
        <f t="shared" si="7"/>
        <v>1</v>
      </c>
      <c r="O53" s="460">
        <f t="shared" si="7"/>
        <v>2</v>
      </c>
      <c r="P53" s="460">
        <f t="shared" si="7"/>
        <v>2</v>
      </c>
      <c r="Q53" s="460">
        <f t="shared" si="7"/>
        <v>2</v>
      </c>
      <c r="R53" s="460">
        <f t="shared" si="7"/>
        <v>2</v>
      </c>
      <c r="S53" s="460">
        <f t="shared" si="7"/>
        <v>1</v>
      </c>
      <c r="T53" s="460">
        <f t="shared" si="7"/>
        <v>2</v>
      </c>
      <c r="U53" s="460">
        <f t="shared" si="7"/>
        <v>2</v>
      </c>
      <c r="V53" s="460">
        <f t="shared" si="7"/>
        <v>2</v>
      </c>
      <c r="W53" s="460">
        <f t="shared" si="7"/>
        <v>2</v>
      </c>
      <c r="X53" s="460">
        <f t="shared" si="7"/>
        <v>2</v>
      </c>
      <c r="Y53" s="460">
        <f t="shared" si="7"/>
        <v>2</v>
      </c>
      <c r="Z53" s="460">
        <f t="shared" si="7"/>
        <v>2</v>
      </c>
      <c r="AA53" s="460">
        <f t="shared" si="7"/>
        <v>2</v>
      </c>
      <c r="AB53" s="460">
        <f t="shared" si="7"/>
        <v>2</v>
      </c>
      <c r="AC53" s="460">
        <f t="shared" si="7"/>
        <v>2</v>
      </c>
      <c r="AD53" s="460">
        <f t="shared" si="7"/>
        <v>2</v>
      </c>
      <c r="AE53" s="460">
        <f t="shared" si="7"/>
        <v>3</v>
      </c>
      <c r="AF53" s="460">
        <f t="shared" si="7"/>
        <v>2</v>
      </c>
      <c r="AG53" s="460">
        <f t="shared" si="7"/>
        <v>2</v>
      </c>
      <c r="AH53" s="460">
        <f t="shared" si="7"/>
        <v>2</v>
      </c>
      <c r="AI53" s="460">
        <f t="shared" si="7"/>
        <v>1</v>
      </c>
      <c r="AJ53" s="460">
        <f t="shared" si="7"/>
        <v>2</v>
      </c>
      <c r="AK53" s="460">
        <f t="shared" si="7"/>
        <v>2</v>
      </c>
      <c r="AL53" s="460">
        <f t="shared" si="7"/>
        <v>2</v>
      </c>
      <c r="AM53" s="460">
        <f t="shared" si="7"/>
        <v>1</v>
      </c>
      <c r="AN53" s="460">
        <f t="shared" si="7"/>
        <v>1</v>
      </c>
      <c r="AO53" s="460">
        <f t="shared" si="7"/>
        <v>2</v>
      </c>
      <c r="AP53" s="460">
        <f t="shared" si="7"/>
        <v>1</v>
      </c>
      <c r="AQ53" s="460">
        <f t="shared" si="7"/>
        <v>1</v>
      </c>
      <c r="AR53" s="460">
        <f t="shared" si="7"/>
        <v>1</v>
      </c>
      <c r="AS53" s="460">
        <f t="shared" si="7"/>
        <v>1</v>
      </c>
      <c r="AT53" s="460">
        <f t="shared" si="7"/>
        <v>1</v>
      </c>
      <c r="AU53" s="460">
        <f t="shared" si="7"/>
        <v>1</v>
      </c>
      <c r="AV53" s="460">
        <f t="shared" si="7"/>
        <v>1</v>
      </c>
      <c r="AW53" s="460">
        <f t="shared" si="7"/>
        <v>1</v>
      </c>
      <c r="AX53" s="452">
        <f>SUM(J53:AW53)</f>
        <v>64</v>
      </c>
      <c r="AY53" s="485" t="s">
        <v>590</v>
      </c>
      <c r="AZ53" s="485"/>
    </row>
    <row r="54" spans="2:52" ht="18.75" x14ac:dyDescent="0.3">
      <c r="B54" s="484" t="s">
        <v>591</v>
      </c>
      <c r="C54" s="484"/>
      <c r="D54" s="453"/>
      <c r="E54" s="453"/>
      <c r="F54" s="453"/>
      <c r="G54" s="484" t="s">
        <v>591</v>
      </c>
      <c r="H54" s="484"/>
      <c r="I54" s="484"/>
      <c r="J54" s="461">
        <f>J51-J53</f>
        <v>1</v>
      </c>
      <c r="K54" s="461">
        <f t="shared" ref="K54:AW54" si="8">K51-K53</f>
        <v>1</v>
      </c>
      <c r="L54" s="461">
        <f t="shared" si="8"/>
        <v>1</v>
      </c>
      <c r="M54" s="461">
        <f t="shared" si="8"/>
        <v>1</v>
      </c>
      <c r="N54" s="461">
        <f t="shared" si="8"/>
        <v>2</v>
      </c>
      <c r="O54" s="461">
        <f t="shared" si="8"/>
        <v>0</v>
      </c>
      <c r="P54" s="461">
        <f t="shared" si="8"/>
        <v>1</v>
      </c>
      <c r="Q54" s="461">
        <f t="shared" si="8"/>
        <v>1</v>
      </c>
      <c r="R54" s="461">
        <f t="shared" si="8"/>
        <v>0</v>
      </c>
      <c r="S54" s="461">
        <f t="shared" si="8"/>
        <v>1</v>
      </c>
      <c r="T54" s="461">
        <f t="shared" si="8"/>
        <v>0</v>
      </c>
      <c r="U54" s="461">
        <f t="shared" si="8"/>
        <v>0</v>
      </c>
      <c r="V54" s="461">
        <f t="shared" si="8"/>
        <v>2</v>
      </c>
      <c r="W54" s="461">
        <f t="shared" si="8"/>
        <v>1</v>
      </c>
      <c r="X54" s="461">
        <f t="shared" si="8"/>
        <v>1</v>
      </c>
      <c r="Y54" s="461">
        <f t="shared" si="8"/>
        <v>4</v>
      </c>
      <c r="Z54" s="461">
        <f t="shared" si="8"/>
        <v>3</v>
      </c>
      <c r="AA54" s="461">
        <f t="shared" si="8"/>
        <v>3</v>
      </c>
      <c r="AB54" s="461">
        <f t="shared" si="8"/>
        <v>3</v>
      </c>
      <c r="AC54" s="461">
        <f t="shared" si="8"/>
        <v>2</v>
      </c>
      <c r="AD54" s="461">
        <f t="shared" si="8"/>
        <v>3</v>
      </c>
      <c r="AE54" s="461">
        <f t="shared" si="8"/>
        <v>0</v>
      </c>
      <c r="AF54" s="461">
        <f t="shared" si="8"/>
        <v>0</v>
      </c>
      <c r="AG54" s="461">
        <f t="shared" si="8"/>
        <v>1</v>
      </c>
      <c r="AH54" s="461">
        <f t="shared" si="8"/>
        <v>1</v>
      </c>
      <c r="AI54" s="461">
        <f t="shared" si="8"/>
        <v>1</v>
      </c>
      <c r="AJ54" s="461">
        <f t="shared" si="8"/>
        <v>1</v>
      </c>
      <c r="AK54" s="461">
        <f t="shared" si="8"/>
        <v>3</v>
      </c>
      <c r="AL54" s="461">
        <f t="shared" si="8"/>
        <v>2</v>
      </c>
      <c r="AM54" s="461">
        <f t="shared" si="8"/>
        <v>2</v>
      </c>
      <c r="AN54" s="461">
        <f t="shared" si="8"/>
        <v>1</v>
      </c>
      <c r="AO54" s="461">
        <f t="shared" si="8"/>
        <v>0</v>
      </c>
      <c r="AP54" s="461">
        <f t="shared" si="8"/>
        <v>1</v>
      </c>
      <c r="AQ54" s="461">
        <f t="shared" si="8"/>
        <v>0</v>
      </c>
      <c r="AR54" s="461">
        <f t="shared" si="8"/>
        <v>0</v>
      </c>
      <c r="AS54" s="461">
        <f t="shared" si="8"/>
        <v>-1</v>
      </c>
      <c r="AT54" s="461">
        <f t="shared" si="8"/>
        <v>0</v>
      </c>
      <c r="AU54" s="461">
        <f t="shared" si="8"/>
        <v>0</v>
      </c>
      <c r="AV54" s="461">
        <f t="shared" si="8"/>
        <v>0</v>
      </c>
      <c r="AW54" s="461">
        <f t="shared" si="8"/>
        <v>0</v>
      </c>
      <c r="AX54" s="454">
        <f>AVERAGE(J54:AW54)</f>
        <v>1.075</v>
      </c>
      <c r="AY54" s="486" t="s">
        <v>591</v>
      </c>
      <c r="AZ54" s="486"/>
    </row>
    <row r="55" spans="2:52" x14ac:dyDescent="0.2"/>
    <row r="56" spans="2:52" x14ac:dyDescent="0.2"/>
    <row r="57" spans="2:52" x14ac:dyDescent="0.2"/>
    <row r="58" spans="2:52" x14ac:dyDescent="0.2"/>
    <row r="59" spans="2:52" x14ac:dyDescent="0.2"/>
    <row r="60" spans="2:52" x14ac:dyDescent="0.2"/>
    <row r="61" spans="2:52" x14ac:dyDescent="0.2"/>
    <row r="62" spans="2:52" x14ac:dyDescent="0.2"/>
    <row r="63" spans="2:52" x14ac:dyDescent="0.2"/>
    <row r="64" spans="2:52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</sheetData>
  <sheetProtection autoFilter="0"/>
  <mergeCells count="18">
    <mergeCell ref="B53:C53"/>
    <mergeCell ref="G53:I53"/>
    <mergeCell ref="AY53:AZ53"/>
    <mergeCell ref="B54:C54"/>
    <mergeCell ref="G54:I54"/>
    <mergeCell ref="AY54:AZ54"/>
    <mergeCell ref="AY50:AZ50"/>
    <mergeCell ref="AY51:AZ51"/>
    <mergeCell ref="B52:C52"/>
    <mergeCell ref="G52:I52"/>
    <mergeCell ref="AY52:AZ52"/>
    <mergeCell ref="B3:C3"/>
    <mergeCell ref="F6:I6"/>
    <mergeCell ref="G50:I50"/>
    <mergeCell ref="G51:I51"/>
    <mergeCell ref="E3:F3"/>
    <mergeCell ref="B50:C50"/>
    <mergeCell ref="B51:C51"/>
  </mergeCells>
  <conditionalFormatting sqref="J9:AX46">
    <cfRule type="containsBlanks" dxfId="334" priority="20" stopIfTrue="1">
      <formula>LEN(TRIM(J9))=0</formula>
    </cfRule>
    <cfRule type="beginsWith" dxfId="333" priority="22" stopIfTrue="1" operator="beginsWith" text="u">
      <formula>LEFT(J9,LEN("u"))="u"</formula>
    </cfRule>
    <cfRule type="beginsWith" dxfId="332" priority="23" stopIfTrue="1" operator="beginsWith" text="p">
      <formula>LEFT(J9,LEN("p"))="p"</formula>
    </cfRule>
    <cfRule type="containsText" dxfId="331" priority="24" stopIfTrue="1" operator="containsText" text="B1">
      <formula>NOT(ISERROR(SEARCH("B1",J9)))</formula>
    </cfRule>
    <cfRule type="containsText" dxfId="330" priority="25" stopIfTrue="1" operator="containsText" text="B2">
      <formula>NOT(ISERROR(SEARCH("B2",J9)))</formula>
    </cfRule>
    <cfRule type="containsText" dxfId="329" priority="26" stopIfTrue="1" operator="containsText" text="Lunch">
      <formula>NOT(ISERROR(SEARCH("Lunch",J9)))</formula>
    </cfRule>
    <cfRule type="containsText" dxfId="328" priority="27" stopIfTrue="1" operator="containsText" text="Interview">
      <formula>NOT(ISERROR(SEARCH("Interview",J9)))</formula>
    </cfRule>
    <cfRule type="containsText" dxfId="327" priority="28" stopIfTrue="1" operator="containsText" text="Side by Side">
      <formula>NOT(ISERROR(SEARCH("Side by Side",J9)))</formula>
    </cfRule>
    <cfRule type="containsText" dxfId="326" priority="29" stopIfTrue="1" operator="containsText" text="COACHING">
      <formula>NOT(ISERROR(SEARCH("COACHING",J9)))</formula>
    </cfRule>
    <cfRule type="containsText" dxfId="325" priority="30" stopIfTrue="1" operator="containsText" text="TM">
      <formula>NOT(ISERROR(SEARCH("TM",J9)))</formula>
    </cfRule>
    <cfRule type="containsText" dxfId="324" priority="31" stopIfTrue="1" operator="containsText" text="RNNR">
      <formula>NOT(ISERROR(SEARCH("RNNR",J9)))</formula>
    </cfRule>
    <cfRule type="containsText" dxfId="323" priority="32" stopIfTrue="1" operator="containsText" text="ADM">
      <formula>NOT(ISERROR(SEARCH("ADM",J9)))</formula>
    </cfRule>
    <cfRule type="containsText" dxfId="322" priority="33" stopIfTrue="1" operator="containsText" text="HL">
      <formula>NOT(ISERROR(SEARCH("HL",J9)))</formula>
    </cfRule>
    <cfRule type="notContainsBlanks" dxfId="321" priority="34" stopIfTrue="1">
      <formula>LEN(TRIM(J9))&gt;0</formula>
    </cfRule>
  </conditionalFormatting>
  <conditionalFormatting sqref="J50:AW50">
    <cfRule type="cellIs" dxfId="320" priority="5" operator="greaterThanOrEqual">
      <formula>2</formula>
    </cfRule>
    <cfRule type="containsText" dxfId="319" priority="6" operator="containsText" text="1">
      <formula>NOT(ISERROR(SEARCH("1",J50)))</formula>
    </cfRule>
    <cfRule type="containsText" dxfId="318" priority="7" operator="containsText" text="0">
      <formula>NOT(ISERROR(SEARCH("0",J50)))</formula>
    </cfRule>
  </conditionalFormatting>
  <conditionalFormatting sqref="J51:AW51">
    <cfRule type="cellIs" dxfId="317" priority="2" operator="greaterThanOrEqual">
      <formula>2</formula>
    </cfRule>
    <cfRule type="containsText" dxfId="316" priority="3" operator="containsText" text="1">
      <formula>NOT(ISERROR(SEARCH("1",J51)))</formula>
    </cfRule>
    <cfRule type="containsText" dxfId="315" priority="4" operator="containsText" text="0">
      <formula>NOT(ISERROR(SEARCH("0",J51)))</formula>
    </cfRule>
  </conditionalFormatting>
  <conditionalFormatting sqref="J54:AW54">
    <cfRule type="colorScale" priority="1">
      <colorScale>
        <cfvo type="num" val="-0.05"/>
        <cfvo type="num" val="0"/>
        <cfvo type="num" val="0.05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stopIfTrue="1" operator="containsText" id="{988FE539-A071-4954-9103-BBE27D7E0C1B}">
            <xm:f>NOT(ISERROR(SEARCH("-",J9)))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J9:AX46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280"/>
  <sheetViews>
    <sheetView topLeftCell="A173" zoomScaleNormal="100" workbookViewId="0">
      <pane xSplit="8" topLeftCell="I1" activePane="topRight" state="frozen"/>
      <selection pane="topRight" activeCell="L277" sqref="L277"/>
    </sheetView>
  </sheetViews>
  <sheetFormatPr defaultColWidth="0" defaultRowHeight="15" x14ac:dyDescent="0.25"/>
  <cols>
    <col min="1" max="1" width="22.42578125" bestFit="1" customWidth="1"/>
    <col min="2" max="2" width="10.42578125" bestFit="1" customWidth="1"/>
    <col min="3" max="3" width="5.28515625" bestFit="1" customWidth="1"/>
    <col min="4" max="4" width="6.28515625" bestFit="1" customWidth="1"/>
    <col min="5" max="5" width="9.140625" customWidth="1"/>
    <col min="6" max="6" width="5.85546875" bestFit="1" customWidth="1"/>
    <col min="7" max="7" width="6.7109375" bestFit="1" customWidth="1"/>
    <col min="8" max="8" width="4.5703125" bestFit="1" customWidth="1"/>
    <col min="9" max="49" width="7.140625" customWidth="1"/>
    <col min="50" max="50" width="9.140625" customWidth="1"/>
    <col min="51" max="16384" width="9.140625" hidden="1"/>
  </cols>
  <sheetData>
    <row r="1" spans="1:49" ht="25.5" x14ac:dyDescent="0.25">
      <c r="A1" s="283" t="s">
        <v>171</v>
      </c>
      <c r="B1" s="284" t="s">
        <v>5</v>
      </c>
      <c r="C1" s="284" t="s">
        <v>84</v>
      </c>
      <c r="D1" s="284" t="s">
        <v>86</v>
      </c>
      <c r="E1" s="284" t="s">
        <v>87</v>
      </c>
      <c r="F1" s="284" t="s">
        <v>223</v>
      </c>
      <c r="G1" s="284" t="s">
        <v>89</v>
      </c>
      <c r="H1" s="284" t="s">
        <v>90</v>
      </c>
      <c r="I1" s="239" t="s">
        <v>93</v>
      </c>
      <c r="J1" s="239" t="s">
        <v>95</v>
      </c>
      <c r="K1" s="239" t="s">
        <v>97</v>
      </c>
      <c r="L1" s="239" t="s">
        <v>140</v>
      </c>
      <c r="M1" s="239" t="s">
        <v>109</v>
      </c>
      <c r="N1" s="239" t="s">
        <v>103</v>
      </c>
      <c r="O1" s="239" t="s">
        <v>121</v>
      </c>
      <c r="P1" s="239" t="s">
        <v>113</v>
      </c>
      <c r="Q1" s="239" t="s">
        <v>105</v>
      </c>
      <c r="R1" s="239" t="s">
        <v>107</v>
      </c>
      <c r="S1" s="239" t="s">
        <v>141</v>
      </c>
      <c r="T1" s="239" t="s">
        <v>101</v>
      </c>
      <c r="U1" s="239" t="s">
        <v>122</v>
      </c>
      <c r="V1" s="239" t="s">
        <v>116</v>
      </c>
      <c r="W1" s="239" t="s">
        <v>148</v>
      </c>
      <c r="X1" s="239" t="s">
        <v>149</v>
      </c>
      <c r="Y1" s="239" t="s">
        <v>111</v>
      </c>
      <c r="Z1" s="239" t="s">
        <v>94</v>
      </c>
      <c r="AA1" s="239" t="s">
        <v>96</v>
      </c>
      <c r="AB1" s="239" t="s">
        <v>98</v>
      </c>
      <c r="AC1" s="239" t="s">
        <v>118</v>
      </c>
      <c r="AD1" s="239" t="s">
        <v>99</v>
      </c>
      <c r="AE1" s="239" t="s">
        <v>104</v>
      </c>
      <c r="AF1" s="239" t="s">
        <v>150</v>
      </c>
      <c r="AG1" s="239" t="s">
        <v>114</v>
      </c>
      <c r="AH1" s="239" t="s">
        <v>106</v>
      </c>
      <c r="AI1" s="239" t="s">
        <v>108</v>
      </c>
      <c r="AJ1" s="239" t="s">
        <v>142</v>
      </c>
      <c r="AK1" s="239" t="s">
        <v>102</v>
      </c>
      <c r="AL1" s="239" t="s">
        <v>143</v>
      </c>
      <c r="AM1" s="239" t="s">
        <v>123</v>
      </c>
      <c r="AN1" s="239" t="s">
        <v>117</v>
      </c>
      <c r="AO1" s="239" t="s">
        <v>151</v>
      </c>
      <c r="AP1" s="239" t="s">
        <v>112</v>
      </c>
      <c r="AQ1" s="239" t="s">
        <v>110</v>
      </c>
      <c r="AR1" s="239" t="s">
        <v>119</v>
      </c>
      <c r="AS1" s="239" t="s">
        <v>115</v>
      </c>
      <c r="AT1" s="239" t="s">
        <v>120</v>
      </c>
      <c r="AU1" s="285" t="s">
        <v>100</v>
      </c>
      <c r="AV1" s="285" t="s">
        <v>243</v>
      </c>
      <c r="AW1" s="285" t="s">
        <v>244</v>
      </c>
    </row>
    <row r="2" spans="1:49" ht="12.75" customHeight="1" x14ac:dyDescent="0.25">
      <c r="A2" s="201" t="s">
        <v>24</v>
      </c>
      <c r="B2" s="150" t="s">
        <v>15</v>
      </c>
      <c r="C2" s="274">
        <v>500</v>
      </c>
      <c r="D2" s="141">
        <v>1330</v>
      </c>
      <c r="E2" s="142">
        <f t="shared" ref="E2:E36" si="0">COUNTIF(I2:AW2,"HL")</f>
        <v>8</v>
      </c>
      <c r="F2" s="142">
        <f t="shared" ref="F2:F36" si="1">COUNTIF(I2:AW2,"Coaching")</f>
        <v>0</v>
      </c>
      <c r="G2" s="142">
        <f t="shared" ref="G2:G36" si="2">COUNTIF(I2:AW2,"ADM")</f>
        <v>4</v>
      </c>
      <c r="H2" s="142">
        <f t="shared" ref="H2:H36" si="3">COUNTIF(I2:AW2,"RNNR")</f>
        <v>2</v>
      </c>
      <c r="I2" s="184" t="s">
        <v>126</v>
      </c>
      <c r="J2" s="184" t="s">
        <v>126</v>
      </c>
      <c r="K2" s="184" t="s">
        <v>126</v>
      </c>
      <c r="L2" s="184" t="s">
        <v>126</v>
      </c>
      <c r="M2" s="184" t="s">
        <v>240</v>
      </c>
      <c r="N2" s="184" t="s">
        <v>130</v>
      </c>
      <c r="O2" s="184" t="s">
        <v>211</v>
      </c>
      <c r="P2" s="184" t="s">
        <v>211</v>
      </c>
      <c r="Q2" s="184" t="s">
        <v>241</v>
      </c>
      <c r="R2" s="184" t="s">
        <v>130</v>
      </c>
      <c r="S2" s="184" t="s">
        <v>130</v>
      </c>
      <c r="T2" s="184" t="s">
        <v>130</v>
      </c>
      <c r="U2" s="184" t="s">
        <v>362</v>
      </c>
      <c r="V2" s="184" t="s">
        <v>126</v>
      </c>
      <c r="W2" s="184" t="s">
        <v>126</v>
      </c>
      <c r="X2" s="184" t="s">
        <v>126</v>
      </c>
      <c r="Y2" s="184" t="s">
        <v>126</v>
      </c>
      <c r="Z2" s="184"/>
      <c r="AA2" s="184"/>
      <c r="AB2" s="184"/>
      <c r="AC2" s="184"/>
      <c r="AD2" s="184"/>
      <c r="AE2" s="184"/>
      <c r="AF2" s="184"/>
      <c r="AG2" s="184"/>
      <c r="AH2" s="184"/>
      <c r="AI2" s="184"/>
      <c r="AJ2" s="184"/>
      <c r="AK2" s="184"/>
      <c r="AL2" s="184"/>
      <c r="AM2" s="184"/>
      <c r="AN2" s="184"/>
      <c r="AO2" s="184"/>
      <c r="AP2" s="184"/>
      <c r="AQ2" s="184"/>
      <c r="AR2" s="184"/>
      <c r="AS2" s="184"/>
      <c r="AT2" s="184"/>
      <c r="AU2" s="184"/>
      <c r="AV2" s="184"/>
      <c r="AW2" s="184"/>
    </row>
    <row r="3" spans="1:49" ht="12.75" customHeight="1" x14ac:dyDescent="0.25">
      <c r="A3" s="202" t="s">
        <v>233</v>
      </c>
      <c r="B3" s="257" t="s">
        <v>15</v>
      </c>
      <c r="C3" s="274">
        <v>500</v>
      </c>
      <c r="D3" s="141">
        <v>1330</v>
      </c>
      <c r="E3" s="142">
        <f t="shared" si="0"/>
        <v>6</v>
      </c>
      <c r="F3" s="142">
        <f t="shared" si="1"/>
        <v>0</v>
      </c>
      <c r="G3" s="142">
        <f t="shared" si="2"/>
        <v>4</v>
      </c>
      <c r="H3" s="142">
        <f t="shared" si="3"/>
        <v>2</v>
      </c>
      <c r="I3" s="184" t="s">
        <v>126</v>
      </c>
      <c r="J3" s="184" t="s">
        <v>126</v>
      </c>
      <c r="K3" s="184" t="s">
        <v>126</v>
      </c>
      <c r="L3" s="184" t="s">
        <v>126</v>
      </c>
      <c r="M3" s="184" t="s">
        <v>247</v>
      </c>
      <c r="N3" s="184" t="s">
        <v>130</v>
      </c>
      <c r="O3" s="184" t="s">
        <v>130</v>
      </c>
      <c r="P3" s="184" t="s">
        <v>130</v>
      </c>
      <c r="Q3" s="184" t="s">
        <v>130</v>
      </c>
      <c r="R3" s="184" t="s">
        <v>241</v>
      </c>
      <c r="S3" s="184" t="s">
        <v>211</v>
      </c>
      <c r="T3" s="184" t="s">
        <v>211</v>
      </c>
      <c r="U3" s="184" t="s">
        <v>126</v>
      </c>
      <c r="V3" s="184" t="s">
        <v>248</v>
      </c>
      <c r="W3" s="184" t="s">
        <v>126</v>
      </c>
      <c r="X3" s="184" t="s">
        <v>431</v>
      </c>
      <c r="Y3" s="184" t="s">
        <v>431</v>
      </c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4"/>
      <c r="AP3" s="184"/>
      <c r="AQ3" s="184"/>
      <c r="AR3" s="184"/>
      <c r="AS3" s="184"/>
      <c r="AT3" s="184"/>
      <c r="AU3" s="184"/>
      <c r="AV3" s="184"/>
      <c r="AW3" s="184"/>
    </row>
    <row r="4" spans="1:49" ht="12.75" customHeight="1" x14ac:dyDescent="0.25">
      <c r="A4" s="201" t="s">
        <v>44</v>
      </c>
      <c r="B4" s="150" t="s">
        <v>15</v>
      </c>
      <c r="C4" s="274">
        <v>530</v>
      </c>
      <c r="D4" s="141">
        <v>1400</v>
      </c>
      <c r="E4" s="142">
        <f t="shared" si="0"/>
        <v>4</v>
      </c>
      <c r="F4" s="142">
        <f t="shared" si="1"/>
        <v>0</v>
      </c>
      <c r="G4" s="142">
        <f t="shared" si="2"/>
        <v>6</v>
      </c>
      <c r="H4" s="142">
        <f t="shared" si="3"/>
        <v>2</v>
      </c>
      <c r="I4" s="184"/>
      <c r="J4" s="184" t="s">
        <v>130</v>
      </c>
      <c r="K4" s="184" t="s">
        <v>130</v>
      </c>
      <c r="L4" s="184" t="s">
        <v>130</v>
      </c>
      <c r="M4" s="184" t="s">
        <v>130</v>
      </c>
      <c r="N4" s="184" t="s">
        <v>247</v>
      </c>
      <c r="O4" s="184" t="s">
        <v>126</v>
      </c>
      <c r="P4" s="184" t="s">
        <v>126</v>
      </c>
      <c r="Q4" s="184" t="s">
        <v>126</v>
      </c>
      <c r="R4" s="184" t="s">
        <v>126</v>
      </c>
      <c r="S4" s="184" t="s">
        <v>241</v>
      </c>
      <c r="T4" s="184" t="s">
        <v>130</v>
      </c>
      <c r="U4" s="184" t="s">
        <v>130</v>
      </c>
      <c r="V4" s="184" t="s">
        <v>362</v>
      </c>
      <c r="W4" s="184" t="s">
        <v>211</v>
      </c>
      <c r="X4" s="184" t="s">
        <v>211</v>
      </c>
      <c r="Y4" s="184" t="s">
        <v>431</v>
      </c>
      <c r="Z4" s="184" t="s">
        <v>431</v>
      </c>
      <c r="AA4" s="184"/>
      <c r="AB4" s="184"/>
      <c r="AC4" s="184"/>
      <c r="AD4" s="184"/>
      <c r="AE4" s="184"/>
      <c r="AF4" s="184"/>
      <c r="AG4" s="184"/>
      <c r="AH4" s="184"/>
      <c r="AI4" s="184"/>
      <c r="AJ4" s="184"/>
      <c r="AK4" s="184"/>
      <c r="AL4" s="184"/>
      <c r="AM4" s="184"/>
      <c r="AN4" s="184"/>
      <c r="AO4" s="184"/>
      <c r="AP4" s="184"/>
      <c r="AQ4" s="184"/>
      <c r="AR4" s="184"/>
      <c r="AS4" s="184"/>
      <c r="AT4" s="184"/>
      <c r="AU4" s="184"/>
      <c r="AV4" s="184"/>
      <c r="AW4" s="184"/>
    </row>
    <row r="5" spans="1:49" ht="12.75" customHeight="1" x14ac:dyDescent="0.25">
      <c r="A5" s="202" t="s">
        <v>230</v>
      </c>
      <c r="B5" s="257" t="s">
        <v>15</v>
      </c>
      <c r="C5" s="274">
        <v>530</v>
      </c>
      <c r="D5" s="141">
        <v>1430</v>
      </c>
      <c r="E5" s="142">
        <f t="shared" si="0"/>
        <v>7</v>
      </c>
      <c r="F5" s="142">
        <f t="shared" si="1"/>
        <v>0</v>
      </c>
      <c r="G5" s="142">
        <f t="shared" si="2"/>
        <v>5</v>
      </c>
      <c r="H5" s="142">
        <f t="shared" si="3"/>
        <v>2</v>
      </c>
      <c r="I5" s="184"/>
      <c r="J5" s="184" t="s">
        <v>126</v>
      </c>
      <c r="K5" s="184" t="s">
        <v>126</v>
      </c>
      <c r="L5" s="184" t="s">
        <v>126</v>
      </c>
      <c r="M5" s="184" t="s">
        <v>126</v>
      </c>
      <c r="N5" s="184" t="s">
        <v>240</v>
      </c>
      <c r="O5" s="184" t="s">
        <v>130</v>
      </c>
      <c r="P5" s="184" t="s">
        <v>130</v>
      </c>
      <c r="Q5" s="184" t="s">
        <v>130</v>
      </c>
      <c r="R5" s="184" t="s">
        <v>130</v>
      </c>
      <c r="S5" s="184" t="s">
        <v>130</v>
      </c>
      <c r="T5" s="184" t="s">
        <v>241</v>
      </c>
      <c r="U5" s="184" t="s">
        <v>241</v>
      </c>
      <c r="V5" s="184" t="s">
        <v>126</v>
      </c>
      <c r="W5" s="184" t="s">
        <v>126</v>
      </c>
      <c r="X5" s="184" t="s">
        <v>242</v>
      </c>
      <c r="Y5" s="184" t="s">
        <v>211</v>
      </c>
      <c r="Z5" s="184" t="s">
        <v>211</v>
      </c>
      <c r="AA5" s="184" t="s">
        <v>126</v>
      </c>
      <c r="AB5" s="184"/>
      <c r="AC5" s="184"/>
      <c r="AD5" s="184"/>
      <c r="AE5" s="184"/>
      <c r="AF5" s="184"/>
      <c r="AG5" s="184"/>
      <c r="AH5" s="184"/>
      <c r="AI5" s="184"/>
      <c r="AJ5" s="184"/>
      <c r="AK5" s="184"/>
      <c r="AL5" s="184"/>
      <c r="AM5" s="184"/>
      <c r="AN5" s="184"/>
      <c r="AO5" s="184"/>
      <c r="AP5" s="184"/>
      <c r="AQ5" s="184"/>
      <c r="AR5" s="184"/>
      <c r="AS5" s="184"/>
      <c r="AT5" s="184"/>
      <c r="AU5" s="184"/>
      <c r="AV5" s="184"/>
      <c r="AW5" s="184"/>
    </row>
    <row r="6" spans="1:49" ht="12.75" customHeight="1" x14ac:dyDescent="0.25">
      <c r="A6" s="201" t="s">
        <v>19</v>
      </c>
      <c r="B6" s="150" t="s">
        <v>15</v>
      </c>
      <c r="C6" s="274">
        <v>600</v>
      </c>
      <c r="D6" s="141">
        <v>1430</v>
      </c>
      <c r="E6" s="142">
        <f t="shared" si="0"/>
        <v>7</v>
      </c>
      <c r="F6" s="142">
        <f t="shared" si="1"/>
        <v>0</v>
      </c>
      <c r="G6" s="142">
        <f t="shared" si="2"/>
        <v>5</v>
      </c>
      <c r="H6" s="142">
        <f t="shared" si="3"/>
        <v>2</v>
      </c>
      <c r="I6" s="184"/>
      <c r="J6" s="184"/>
      <c r="K6" s="184" t="s">
        <v>130</v>
      </c>
      <c r="L6" s="184" t="s">
        <v>130</v>
      </c>
      <c r="M6" s="184" t="s">
        <v>130</v>
      </c>
      <c r="N6" s="184" t="s">
        <v>130</v>
      </c>
      <c r="O6" s="184" t="s">
        <v>364</v>
      </c>
      <c r="P6" s="184" t="s">
        <v>126</v>
      </c>
      <c r="Q6" s="184" t="s">
        <v>126</v>
      </c>
      <c r="R6" s="184" t="s">
        <v>126</v>
      </c>
      <c r="S6" s="184" t="s">
        <v>126</v>
      </c>
      <c r="T6" s="184" t="s">
        <v>241</v>
      </c>
      <c r="U6" s="184" t="s">
        <v>211</v>
      </c>
      <c r="V6" s="184" t="s">
        <v>211</v>
      </c>
      <c r="W6" s="184" t="s">
        <v>130</v>
      </c>
      <c r="X6" s="184" t="s">
        <v>248</v>
      </c>
      <c r="Y6" s="184" t="s">
        <v>126</v>
      </c>
      <c r="Z6" s="184" t="s">
        <v>126</v>
      </c>
      <c r="AA6" s="184" t="s">
        <v>126</v>
      </c>
      <c r="AB6" s="184"/>
      <c r="AC6" s="184"/>
      <c r="AD6" s="184"/>
      <c r="AE6" s="184"/>
      <c r="AF6" s="184"/>
      <c r="AG6" s="184"/>
      <c r="AH6" s="184"/>
      <c r="AI6" s="184"/>
      <c r="AJ6" s="184"/>
      <c r="AK6" s="184"/>
      <c r="AL6" s="184"/>
      <c r="AM6" s="184"/>
      <c r="AN6" s="184"/>
      <c r="AO6" s="184"/>
      <c r="AP6" s="184"/>
      <c r="AQ6" s="184"/>
      <c r="AR6" s="184"/>
      <c r="AS6" s="184"/>
      <c r="AT6" s="184"/>
      <c r="AU6" s="184"/>
      <c r="AV6" s="184"/>
      <c r="AW6" s="184"/>
    </row>
    <row r="7" spans="1:49" ht="12.75" customHeight="1" x14ac:dyDescent="0.25">
      <c r="A7" s="201" t="s">
        <v>34</v>
      </c>
      <c r="B7" s="150" t="s">
        <v>15</v>
      </c>
      <c r="C7" s="274">
        <v>630</v>
      </c>
      <c r="D7" s="141">
        <v>1500</v>
      </c>
      <c r="E7" s="142">
        <f t="shared" si="0"/>
        <v>4</v>
      </c>
      <c r="F7" s="142">
        <f t="shared" si="1"/>
        <v>0</v>
      </c>
      <c r="G7" s="142">
        <f t="shared" si="2"/>
        <v>6</v>
      </c>
      <c r="H7" s="142">
        <f t="shared" si="3"/>
        <v>2</v>
      </c>
      <c r="I7" s="184"/>
      <c r="J7" s="184"/>
      <c r="K7" s="184"/>
      <c r="L7" s="184" t="s">
        <v>126</v>
      </c>
      <c r="M7" s="184" t="s">
        <v>126</v>
      </c>
      <c r="N7" s="184" t="s">
        <v>126</v>
      </c>
      <c r="O7" s="184" t="s">
        <v>126</v>
      </c>
      <c r="P7" s="184" t="s">
        <v>240</v>
      </c>
      <c r="Q7" s="184" t="s">
        <v>211</v>
      </c>
      <c r="R7" s="184" t="s">
        <v>211</v>
      </c>
      <c r="S7" s="184" t="s">
        <v>130</v>
      </c>
      <c r="T7" s="184" t="s">
        <v>130</v>
      </c>
      <c r="U7" s="184" t="s">
        <v>241</v>
      </c>
      <c r="V7" s="184" t="s">
        <v>130</v>
      </c>
      <c r="W7" s="184" t="s">
        <v>130</v>
      </c>
      <c r="X7" s="184" t="s">
        <v>130</v>
      </c>
      <c r="Y7" s="184" t="s">
        <v>362</v>
      </c>
      <c r="Z7" s="184" t="s">
        <v>431</v>
      </c>
      <c r="AA7" s="184" t="s">
        <v>431</v>
      </c>
      <c r="AB7" s="184" t="s">
        <v>130</v>
      </c>
      <c r="AC7" s="184"/>
      <c r="AD7" s="184"/>
      <c r="AE7" s="184"/>
      <c r="AF7" s="184"/>
      <c r="AG7" s="184"/>
      <c r="AH7" s="184"/>
      <c r="AI7" s="184"/>
      <c r="AJ7" s="184"/>
      <c r="AK7" s="184"/>
      <c r="AL7" s="184"/>
      <c r="AM7" s="184"/>
      <c r="AN7" s="184"/>
      <c r="AO7" s="184"/>
      <c r="AP7" s="184"/>
      <c r="AQ7" s="184"/>
      <c r="AR7" s="184"/>
      <c r="AS7" s="184"/>
      <c r="AT7" s="184"/>
      <c r="AU7" s="184"/>
      <c r="AV7" s="184"/>
      <c r="AW7" s="184"/>
    </row>
    <row r="8" spans="1:49" ht="12.75" customHeight="1" x14ac:dyDescent="0.25">
      <c r="A8" s="202" t="s">
        <v>22</v>
      </c>
      <c r="B8" s="257" t="s">
        <v>15</v>
      </c>
      <c r="C8" s="274">
        <v>700</v>
      </c>
      <c r="D8" s="141">
        <v>1600</v>
      </c>
      <c r="E8" s="142">
        <f t="shared" si="0"/>
        <v>6</v>
      </c>
      <c r="F8" s="142">
        <f t="shared" si="1"/>
        <v>0</v>
      </c>
      <c r="G8" s="142">
        <f t="shared" si="2"/>
        <v>6</v>
      </c>
      <c r="H8" s="142">
        <f t="shared" si="3"/>
        <v>0</v>
      </c>
      <c r="I8" s="184"/>
      <c r="J8" s="184"/>
      <c r="K8" s="184"/>
      <c r="L8" s="184"/>
      <c r="M8" s="184" t="s">
        <v>126</v>
      </c>
      <c r="N8" s="184" t="s">
        <v>126</v>
      </c>
      <c r="O8" s="184" t="s">
        <v>126</v>
      </c>
      <c r="P8" s="184" t="s">
        <v>126</v>
      </c>
      <c r="Q8" s="184" t="s">
        <v>364</v>
      </c>
      <c r="R8" s="184" t="s">
        <v>130</v>
      </c>
      <c r="S8" s="184" t="s">
        <v>130</v>
      </c>
      <c r="T8" s="184" t="s">
        <v>130</v>
      </c>
      <c r="U8" s="184" t="s">
        <v>130</v>
      </c>
      <c r="V8" s="184" t="s">
        <v>241</v>
      </c>
      <c r="W8" s="184" t="s">
        <v>241</v>
      </c>
      <c r="X8" s="184" t="s">
        <v>431</v>
      </c>
      <c r="Y8" s="184" t="s">
        <v>431</v>
      </c>
      <c r="Z8" s="184" t="s">
        <v>126</v>
      </c>
      <c r="AA8" s="184" t="s">
        <v>248</v>
      </c>
      <c r="AB8" s="184" t="s">
        <v>126</v>
      </c>
      <c r="AC8" s="184" t="s">
        <v>130</v>
      </c>
      <c r="AD8" s="184" t="s">
        <v>130</v>
      </c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4"/>
      <c r="AV8" s="184"/>
      <c r="AW8" s="184"/>
    </row>
    <row r="9" spans="1:49" ht="12.75" customHeight="1" x14ac:dyDescent="0.25">
      <c r="A9" s="201" t="s">
        <v>231</v>
      </c>
      <c r="B9" s="150" t="s">
        <v>15</v>
      </c>
      <c r="C9" s="274">
        <v>900</v>
      </c>
      <c r="D9" s="188">
        <v>1730</v>
      </c>
      <c r="E9" s="142">
        <f t="shared" si="0"/>
        <v>7</v>
      </c>
      <c r="F9" s="142">
        <f t="shared" si="1"/>
        <v>0</v>
      </c>
      <c r="G9" s="142">
        <f t="shared" si="2"/>
        <v>3</v>
      </c>
      <c r="H9" s="142">
        <f t="shared" si="3"/>
        <v>2</v>
      </c>
      <c r="I9" s="184"/>
      <c r="J9" s="184"/>
      <c r="K9" s="184"/>
      <c r="L9" s="184"/>
      <c r="M9" s="184"/>
      <c r="N9" s="184"/>
      <c r="O9" s="184"/>
      <c r="P9" s="184"/>
      <c r="Q9" s="184" t="s">
        <v>126</v>
      </c>
      <c r="R9" s="184" t="s">
        <v>126</v>
      </c>
      <c r="S9" s="184" t="s">
        <v>126</v>
      </c>
      <c r="T9" s="184" t="s">
        <v>240</v>
      </c>
      <c r="U9" s="184" t="s">
        <v>130</v>
      </c>
      <c r="V9" s="184" t="s">
        <v>130</v>
      </c>
      <c r="W9" s="184" t="s">
        <v>431</v>
      </c>
      <c r="X9" s="184" t="s">
        <v>431</v>
      </c>
      <c r="Y9" s="184" t="s">
        <v>241</v>
      </c>
      <c r="Z9" s="184" t="s">
        <v>126</v>
      </c>
      <c r="AA9" s="184" t="s">
        <v>126</v>
      </c>
      <c r="AB9" s="184" t="s">
        <v>126</v>
      </c>
      <c r="AC9" s="184" t="s">
        <v>126</v>
      </c>
      <c r="AD9" s="184" t="s">
        <v>363</v>
      </c>
      <c r="AE9" s="184" t="s">
        <v>211</v>
      </c>
      <c r="AF9" s="184" t="s">
        <v>211</v>
      </c>
      <c r="AG9" s="184" t="s">
        <v>130</v>
      </c>
      <c r="AH9" s="184"/>
      <c r="AI9" s="184"/>
      <c r="AJ9" s="184"/>
      <c r="AK9" s="184"/>
      <c r="AL9" s="184"/>
      <c r="AM9" s="184"/>
      <c r="AN9" s="184"/>
      <c r="AO9" s="184"/>
      <c r="AP9" s="184"/>
      <c r="AQ9" s="184"/>
      <c r="AR9" s="184"/>
      <c r="AS9" s="184"/>
      <c r="AT9" s="184"/>
      <c r="AU9" s="184"/>
      <c r="AV9" s="184"/>
      <c r="AW9" s="184"/>
    </row>
    <row r="10" spans="1:49" ht="12.75" customHeight="1" x14ac:dyDescent="0.25">
      <c r="A10" s="202" t="s">
        <v>69</v>
      </c>
      <c r="B10" s="150" t="s">
        <v>15</v>
      </c>
      <c r="C10" s="55">
        <v>1000</v>
      </c>
      <c r="D10" s="188">
        <v>1900</v>
      </c>
      <c r="E10" s="142">
        <f t="shared" si="0"/>
        <v>7</v>
      </c>
      <c r="F10" s="142">
        <f t="shared" si="1"/>
        <v>0</v>
      </c>
      <c r="G10" s="142">
        <f t="shared" si="2"/>
        <v>5</v>
      </c>
      <c r="H10" s="142">
        <f t="shared" si="3"/>
        <v>2</v>
      </c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 t="s">
        <v>126</v>
      </c>
      <c r="T10" s="184" t="s">
        <v>126</v>
      </c>
      <c r="U10" s="184" t="s">
        <v>126</v>
      </c>
      <c r="V10" s="184" t="s">
        <v>126</v>
      </c>
      <c r="W10" s="184" t="s">
        <v>240</v>
      </c>
      <c r="X10" s="184" t="s">
        <v>130</v>
      </c>
      <c r="Y10" s="184" t="s">
        <v>130</v>
      </c>
      <c r="Z10" s="184" t="s">
        <v>130</v>
      </c>
      <c r="AA10" s="184" t="s">
        <v>130</v>
      </c>
      <c r="AB10" s="184" t="s">
        <v>241</v>
      </c>
      <c r="AC10" s="184" t="s">
        <v>241</v>
      </c>
      <c r="AD10" s="184" t="s">
        <v>130</v>
      </c>
      <c r="AE10" s="184" t="s">
        <v>126</v>
      </c>
      <c r="AF10" s="184" t="s">
        <v>126</v>
      </c>
      <c r="AG10" s="184" t="s">
        <v>248</v>
      </c>
      <c r="AH10" s="184" t="s">
        <v>126</v>
      </c>
      <c r="AI10" s="184" t="s">
        <v>211</v>
      </c>
      <c r="AJ10" s="184" t="s">
        <v>211</v>
      </c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</row>
    <row r="11" spans="1:49" ht="12.75" customHeight="1" x14ac:dyDescent="0.25">
      <c r="A11" s="202" t="s">
        <v>67</v>
      </c>
      <c r="B11" s="140" t="s">
        <v>15</v>
      </c>
      <c r="C11" s="55">
        <v>1030</v>
      </c>
      <c r="D11" s="141">
        <v>1900</v>
      </c>
      <c r="E11" s="142">
        <f t="shared" si="0"/>
        <v>8</v>
      </c>
      <c r="F11" s="142">
        <f t="shared" si="1"/>
        <v>0</v>
      </c>
      <c r="G11" s="142">
        <f t="shared" si="2"/>
        <v>6</v>
      </c>
      <c r="H11" s="142">
        <f t="shared" si="3"/>
        <v>0</v>
      </c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 t="s">
        <v>126</v>
      </c>
      <c r="U11" s="184" t="s">
        <v>126</v>
      </c>
      <c r="V11" s="184" t="s">
        <v>126</v>
      </c>
      <c r="W11" s="184" t="s">
        <v>126</v>
      </c>
      <c r="X11" s="184" t="s">
        <v>240</v>
      </c>
      <c r="Y11" s="184" t="s">
        <v>130</v>
      </c>
      <c r="Z11" s="184" t="s">
        <v>130</v>
      </c>
      <c r="AA11" s="184" t="s">
        <v>130</v>
      </c>
      <c r="AB11" s="184" t="s">
        <v>130</v>
      </c>
      <c r="AC11" s="184" t="s">
        <v>241</v>
      </c>
      <c r="AD11" s="184" t="s">
        <v>130</v>
      </c>
      <c r="AE11" s="184" t="s">
        <v>130</v>
      </c>
      <c r="AF11" s="184" t="s">
        <v>248</v>
      </c>
      <c r="AG11" s="184" t="s">
        <v>126</v>
      </c>
      <c r="AH11" s="184" t="s">
        <v>126</v>
      </c>
      <c r="AI11" s="184" t="s">
        <v>126</v>
      </c>
      <c r="AJ11" s="184" t="s">
        <v>126</v>
      </c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</row>
    <row r="12" spans="1:49" ht="12.75" customHeight="1" x14ac:dyDescent="0.25">
      <c r="A12" s="201" t="s">
        <v>30</v>
      </c>
      <c r="B12" s="150" t="s">
        <v>15</v>
      </c>
      <c r="C12" s="188">
        <v>1100</v>
      </c>
      <c r="D12" s="188">
        <v>2000</v>
      </c>
      <c r="E12" s="142">
        <f t="shared" si="0"/>
        <v>7</v>
      </c>
      <c r="F12" s="142">
        <f t="shared" si="1"/>
        <v>0</v>
      </c>
      <c r="G12" s="142">
        <f t="shared" si="2"/>
        <v>7</v>
      </c>
      <c r="H12" s="142">
        <f t="shared" si="3"/>
        <v>0</v>
      </c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 t="s">
        <v>126</v>
      </c>
      <c r="V12" s="184" t="s">
        <v>126</v>
      </c>
      <c r="W12" s="184" t="s">
        <v>126</v>
      </c>
      <c r="X12" s="184" t="s">
        <v>126</v>
      </c>
      <c r="Y12" s="184" t="s">
        <v>361</v>
      </c>
      <c r="Z12" s="184" t="s">
        <v>130</v>
      </c>
      <c r="AA12" s="184" t="s">
        <v>130</v>
      </c>
      <c r="AB12" s="184" t="s">
        <v>130</v>
      </c>
      <c r="AC12" s="184" t="s">
        <v>130</v>
      </c>
      <c r="AD12" s="184" t="s">
        <v>241</v>
      </c>
      <c r="AE12" s="184" t="s">
        <v>126</v>
      </c>
      <c r="AF12" s="184" t="s">
        <v>126</v>
      </c>
      <c r="AG12" s="184" t="s">
        <v>126</v>
      </c>
      <c r="AH12" s="184" t="s">
        <v>242</v>
      </c>
      <c r="AI12" s="184" t="s">
        <v>130</v>
      </c>
      <c r="AJ12" s="184" t="s">
        <v>130</v>
      </c>
      <c r="AK12" s="184" t="s">
        <v>130</v>
      </c>
      <c r="AL12" s="184"/>
      <c r="AM12" s="184"/>
      <c r="AN12" s="184"/>
      <c r="AO12" s="184"/>
      <c r="AP12" s="184"/>
      <c r="AQ12" s="184"/>
      <c r="AR12" s="184"/>
      <c r="AS12" s="184"/>
      <c r="AT12" s="184"/>
      <c r="AU12" s="184"/>
      <c r="AV12" s="184"/>
      <c r="AW12" s="184"/>
    </row>
    <row r="13" spans="1:49" ht="12.75" customHeight="1" x14ac:dyDescent="0.25">
      <c r="A13" s="201" t="s">
        <v>236</v>
      </c>
      <c r="B13" s="257" t="s">
        <v>15</v>
      </c>
      <c r="C13" s="274">
        <v>1130</v>
      </c>
      <c r="D13" s="141">
        <v>2000</v>
      </c>
      <c r="E13" s="142">
        <f t="shared" si="0"/>
        <v>6</v>
      </c>
      <c r="F13" s="142">
        <f t="shared" si="1"/>
        <v>0</v>
      </c>
      <c r="G13" s="142">
        <f t="shared" si="2"/>
        <v>6</v>
      </c>
      <c r="H13" s="142">
        <f t="shared" si="3"/>
        <v>2</v>
      </c>
      <c r="I13" s="184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 t="s">
        <v>130</v>
      </c>
      <c r="W13" s="184" t="s">
        <v>130</v>
      </c>
      <c r="X13" s="184" t="s">
        <v>130</v>
      </c>
      <c r="Y13" s="184" t="s">
        <v>130</v>
      </c>
      <c r="Z13" s="184" t="s">
        <v>364</v>
      </c>
      <c r="AA13" s="184" t="s">
        <v>211</v>
      </c>
      <c r="AB13" s="184" t="s">
        <v>211</v>
      </c>
      <c r="AC13" s="184" t="s">
        <v>126</v>
      </c>
      <c r="AD13" s="184" t="s">
        <v>126</v>
      </c>
      <c r="AE13" s="184" t="s">
        <v>241</v>
      </c>
      <c r="AF13" s="184" t="s">
        <v>126</v>
      </c>
      <c r="AG13" s="184" t="s">
        <v>126</v>
      </c>
      <c r="AH13" s="184" t="s">
        <v>126</v>
      </c>
      <c r="AI13" s="184" t="s">
        <v>363</v>
      </c>
      <c r="AJ13" s="184" t="s">
        <v>130</v>
      </c>
      <c r="AK13" s="184" t="s">
        <v>130</v>
      </c>
      <c r="AL13" s="184" t="s">
        <v>126</v>
      </c>
      <c r="AM13" s="184"/>
      <c r="AN13" s="184"/>
      <c r="AO13" s="184"/>
      <c r="AP13" s="184"/>
      <c r="AQ13" s="184"/>
      <c r="AR13" s="184"/>
      <c r="AS13" s="184"/>
      <c r="AT13" s="184"/>
      <c r="AU13" s="184"/>
      <c r="AV13" s="184"/>
      <c r="AW13" s="184"/>
    </row>
    <row r="14" spans="1:49" ht="12.75" customHeight="1" x14ac:dyDescent="0.25">
      <c r="A14" s="202" t="s">
        <v>414</v>
      </c>
      <c r="B14" s="257" t="s">
        <v>15</v>
      </c>
      <c r="C14" s="274">
        <v>1130</v>
      </c>
      <c r="D14" s="141">
        <v>1930</v>
      </c>
      <c r="E14" s="142">
        <f t="shared" si="0"/>
        <v>6</v>
      </c>
      <c r="F14" s="142">
        <f t="shared" si="1"/>
        <v>0</v>
      </c>
      <c r="G14" s="142">
        <f t="shared" si="2"/>
        <v>8</v>
      </c>
      <c r="H14" s="142">
        <f t="shared" si="3"/>
        <v>0</v>
      </c>
      <c r="I14" s="184"/>
      <c r="J14" s="184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84" t="s">
        <v>130</v>
      </c>
      <c r="W14" s="184" t="s">
        <v>130</v>
      </c>
      <c r="X14" s="184" t="s">
        <v>130</v>
      </c>
      <c r="Y14" s="184" t="s">
        <v>130</v>
      </c>
      <c r="Z14" s="184" t="s">
        <v>364</v>
      </c>
      <c r="AA14" s="184" t="s">
        <v>126</v>
      </c>
      <c r="AB14" s="184" t="s">
        <v>126</v>
      </c>
      <c r="AC14" s="184" t="s">
        <v>126</v>
      </c>
      <c r="AD14" s="184" t="s">
        <v>130</v>
      </c>
      <c r="AE14" s="184" t="s">
        <v>130</v>
      </c>
      <c r="AF14" s="184" t="s">
        <v>241</v>
      </c>
      <c r="AG14" s="184" t="s">
        <v>130</v>
      </c>
      <c r="AH14" s="184" t="s">
        <v>130</v>
      </c>
      <c r="AI14" s="184" t="s">
        <v>126</v>
      </c>
      <c r="AJ14" s="184" t="s">
        <v>248</v>
      </c>
      <c r="AK14" s="184" t="s">
        <v>126</v>
      </c>
      <c r="AL14" s="184" t="s">
        <v>126</v>
      </c>
      <c r="AM14" s="184"/>
      <c r="AN14" s="184"/>
      <c r="AO14" s="184"/>
      <c r="AP14" s="184"/>
      <c r="AQ14" s="184"/>
      <c r="AR14" s="184"/>
      <c r="AS14" s="184"/>
      <c r="AT14" s="184"/>
      <c r="AU14" s="184"/>
      <c r="AV14" s="184"/>
      <c r="AW14" s="184"/>
    </row>
    <row r="15" spans="1:49" ht="12.75" customHeight="1" x14ac:dyDescent="0.25">
      <c r="A15" s="201" t="s">
        <v>50</v>
      </c>
      <c r="B15" s="257" t="s">
        <v>15</v>
      </c>
      <c r="C15" s="274">
        <v>1200</v>
      </c>
      <c r="D15" s="141">
        <v>2230</v>
      </c>
      <c r="E15" s="142">
        <f t="shared" si="0"/>
        <v>9</v>
      </c>
      <c r="F15" s="142">
        <f t="shared" si="1"/>
        <v>0</v>
      </c>
      <c r="G15" s="142">
        <f t="shared" si="2"/>
        <v>9</v>
      </c>
      <c r="H15" s="142">
        <f t="shared" si="3"/>
        <v>0</v>
      </c>
      <c r="I15" s="184"/>
      <c r="J15" s="184"/>
      <c r="K15" s="184"/>
      <c r="L15" s="184"/>
      <c r="M15" s="184"/>
      <c r="N15" s="184"/>
      <c r="O15" s="184"/>
      <c r="P15" s="184"/>
      <c r="Q15" s="184"/>
      <c r="R15" s="184"/>
      <c r="S15" s="184"/>
      <c r="T15" s="184"/>
      <c r="U15" s="184"/>
      <c r="V15" s="184"/>
      <c r="W15" s="184" t="s">
        <v>126</v>
      </c>
      <c r="X15" s="184" t="s">
        <v>130</v>
      </c>
      <c r="Y15" s="184" t="s">
        <v>130</v>
      </c>
      <c r="Z15" s="184" t="s">
        <v>130</v>
      </c>
      <c r="AA15" s="184" t="s">
        <v>130</v>
      </c>
      <c r="AB15" s="184" t="s">
        <v>247</v>
      </c>
      <c r="AC15" s="184" t="s">
        <v>126</v>
      </c>
      <c r="AD15" s="184" t="s">
        <v>126</v>
      </c>
      <c r="AE15" s="184" t="s">
        <v>126</v>
      </c>
      <c r="AF15" s="184" t="s">
        <v>126</v>
      </c>
      <c r="AG15" s="184" t="s">
        <v>241</v>
      </c>
      <c r="AH15" s="184" t="s">
        <v>241</v>
      </c>
      <c r="AI15" s="184" t="s">
        <v>130</v>
      </c>
      <c r="AJ15" s="184" t="s">
        <v>130</v>
      </c>
      <c r="AK15" s="184" t="s">
        <v>130</v>
      </c>
      <c r="AL15" s="184" t="s">
        <v>130</v>
      </c>
      <c r="AM15" s="184" t="s">
        <v>130</v>
      </c>
      <c r="AN15" s="184" t="s">
        <v>248</v>
      </c>
      <c r="AO15" s="184" t="s">
        <v>126</v>
      </c>
      <c r="AP15" s="184" t="s">
        <v>126</v>
      </c>
      <c r="AQ15" s="184" t="s">
        <v>126</v>
      </c>
      <c r="AR15" s="184" t="s">
        <v>126</v>
      </c>
      <c r="AS15" s="184"/>
      <c r="AT15" s="184"/>
      <c r="AU15" s="184"/>
      <c r="AV15" s="184"/>
      <c r="AW15" s="184"/>
    </row>
    <row r="16" spans="1:49" ht="12.75" customHeight="1" x14ac:dyDescent="0.25">
      <c r="A16" s="202" t="s">
        <v>226</v>
      </c>
      <c r="B16" s="257" t="s">
        <v>15</v>
      </c>
      <c r="C16" s="274">
        <v>1200</v>
      </c>
      <c r="D16" s="141">
        <v>2030</v>
      </c>
      <c r="E16" s="142">
        <f t="shared" si="0"/>
        <v>8</v>
      </c>
      <c r="F16" s="142">
        <f t="shared" si="1"/>
        <v>0</v>
      </c>
      <c r="G16" s="142">
        <f t="shared" si="2"/>
        <v>6</v>
      </c>
      <c r="H16" s="142">
        <f t="shared" si="3"/>
        <v>0</v>
      </c>
      <c r="I16" s="184"/>
      <c r="J16" s="184"/>
      <c r="K16" s="184"/>
      <c r="L16" s="184"/>
      <c r="M16" s="184"/>
      <c r="N16" s="184"/>
      <c r="O16" s="184"/>
      <c r="P16" s="184"/>
      <c r="Q16" s="184"/>
      <c r="R16" s="184"/>
      <c r="S16" s="184"/>
      <c r="T16" s="184"/>
      <c r="U16" s="184"/>
      <c r="V16" s="184"/>
      <c r="W16" s="184" t="s">
        <v>126</v>
      </c>
      <c r="X16" s="184" t="s">
        <v>126</v>
      </c>
      <c r="Y16" s="184" t="s">
        <v>126</v>
      </c>
      <c r="Z16" s="184" t="s">
        <v>126</v>
      </c>
      <c r="AA16" s="184" t="s">
        <v>364</v>
      </c>
      <c r="AB16" s="184" t="s">
        <v>130</v>
      </c>
      <c r="AC16" s="184" t="s">
        <v>130</v>
      </c>
      <c r="AD16" s="184" t="s">
        <v>130</v>
      </c>
      <c r="AE16" s="184" t="s">
        <v>241</v>
      </c>
      <c r="AF16" s="184" t="s">
        <v>130</v>
      </c>
      <c r="AG16" s="184" t="s">
        <v>130</v>
      </c>
      <c r="AH16" s="184" t="s">
        <v>130</v>
      </c>
      <c r="AI16" s="184" t="s">
        <v>248</v>
      </c>
      <c r="AJ16" s="184" t="s">
        <v>126</v>
      </c>
      <c r="AK16" s="184" t="s">
        <v>126</v>
      </c>
      <c r="AL16" s="184" t="s">
        <v>126</v>
      </c>
      <c r="AM16" s="184" t="s">
        <v>126</v>
      </c>
      <c r="AN16" s="184"/>
      <c r="AO16" s="184"/>
      <c r="AP16" s="184"/>
      <c r="AQ16" s="184"/>
      <c r="AR16" s="184"/>
      <c r="AS16" s="184"/>
      <c r="AT16" s="184"/>
      <c r="AU16" s="184"/>
      <c r="AV16" s="184"/>
      <c r="AW16" s="184"/>
    </row>
    <row r="17" spans="1:49" ht="12.75" customHeight="1" x14ac:dyDescent="0.25">
      <c r="A17" s="202" t="s">
        <v>238</v>
      </c>
      <c r="B17" s="257" t="s">
        <v>15</v>
      </c>
      <c r="C17" s="274">
        <v>1230</v>
      </c>
      <c r="D17" s="141">
        <v>2100</v>
      </c>
      <c r="E17" s="142">
        <f t="shared" si="0"/>
        <v>8</v>
      </c>
      <c r="F17" s="142">
        <f t="shared" si="1"/>
        <v>0</v>
      </c>
      <c r="G17" s="142">
        <f t="shared" si="2"/>
        <v>4</v>
      </c>
      <c r="H17" s="142">
        <f t="shared" si="3"/>
        <v>2</v>
      </c>
      <c r="I17" s="184"/>
      <c r="J17" s="184"/>
      <c r="K17" s="184"/>
      <c r="L17" s="184"/>
      <c r="M17" s="184"/>
      <c r="N17" s="184"/>
      <c r="O17" s="184"/>
      <c r="P17" s="184"/>
      <c r="Q17" s="184"/>
      <c r="R17" s="184"/>
      <c r="S17" s="184"/>
      <c r="T17" s="184"/>
      <c r="U17" s="184"/>
      <c r="V17" s="184"/>
      <c r="W17" s="184"/>
      <c r="X17" s="184" t="s">
        <v>130</v>
      </c>
      <c r="Y17" s="184" t="s">
        <v>130</v>
      </c>
      <c r="Z17" s="184" t="s">
        <v>130</v>
      </c>
      <c r="AA17" s="184" t="s">
        <v>364</v>
      </c>
      <c r="AB17" s="184" t="s">
        <v>126</v>
      </c>
      <c r="AC17" s="184" t="s">
        <v>126</v>
      </c>
      <c r="AD17" s="184" t="s">
        <v>126</v>
      </c>
      <c r="AE17" s="184" t="s">
        <v>126</v>
      </c>
      <c r="AF17" s="184" t="s">
        <v>241</v>
      </c>
      <c r="AG17" s="184" t="s">
        <v>211</v>
      </c>
      <c r="AH17" s="184" t="s">
        <v>211</v>
      </c>
      <c r="AI17" s="184" t="s">
        <v>130</v>
      </c>
      <c r="AJ17" s="184" t="s">
        <v>362</v>
      </c>
      <c r="AK17" s="184" t="s">
        <v>126</v>
      </c>
      <c r="AL17" s="184" t="s">
        <v>126</v>
      </c>
      <c r="AM17" s="184" t="s">
        <v>126</v>
      </c>
      <c r="AN17" s="184" t="s">
        <v>126</v>
      </c>
      <c r="AO17" s="184"/>
      <c r="AP17" s="184"/>
      <c r="AQ17" s="184"/>
      <c r="AR17" s="184"/>
      <c r="AS17" s="184"/>
      <c r="AT17" s="184"/>
      <c r="AU17" s="184"/>
      <c r="AV17" s="184"/>
      <c r="AW17" s="184"/>
    </row>
    <row r="18" spans="1:49" ht="12.75" customHeight="1" x14ac:dyDescent="0.25">
      <c r="A18" s="202" t="s">
        <v>587</v>
      </c>
      <c r="B18" s="257" t="s">
        <v>15</v>
      </c>
      <c r="C18" s="274">
        <v>1230</v>
      </c>
      <c r="D18" s="141">
        <v>2100</v>
      </c>
      <c r="E18" s="142">
        <f t="shared" si="0"/>
        <v>8</v>
      </c>
      <c r="F18" s="142">
        <f t="shared" si="1"/>
        <v>0</v>
      </c>
      <c r="G18" s="142">
        <f t="shared" si="2"/>
        <v>4</v>
      </c>
      <c r="H18" s="142">
        <f t="shared" si="3"/>
        <v>2</v>
      </c>
      <c r="I18" s="184"/>
      <c r="J18" s="184"/>
      <c r="K18" s="184"/>
      <c r="L18" s="184"/>
      <c r="M18" s="184"/>
      <c r="N18" s="184"/>
      <c r="O18" s="184"/>
      <c r="P18" s="184"/>
      <c r="Q18" s="184"/>
      <c r="R18" s="184"/>
      <c r="S18" s="184"/>
      <c r="T18" s="184"/>
      <c r="U18" s="184"/>
      <c r="V18" s="184"/>
      <c r="W18" s="184"/>
      <c r="X18" s="184" t="s">
        <v>126</v>
      </c>
      <c r="Y18" s="184" t="s">
        <v>126</v>
      </c>
      <c r="Z18" s="184" t="s">
        <v>240</v>
      </c>
      <c r="AA18" s="184" t="s">
        <v>126</v>
      </c>
      <c r="AB18" s="184" t="s">
        <v>126</v>
      </c>
      <c r="AC18" s="184" t="s">
        <v>211</v>
      </c>
      <c r="AD18" s="184" t="s">
        <v>211</v>
      </c>
      <c r="AE18" s="184" t="s">
        <v>241</v>
      </c>
      <c r="AF18" s="184" t="s">
        <v>130</v>
      </c>
      <c r="AG18" s="184" t="s">
        <v>126</v>
      </c>
      <c r="AH18" s="184" t="s">
        <v>126</v>
      </c>
      <c r="AI18" s="184" t="s">
        <v>126</v>
      </c>
      <c r="AJ18" s="184" t="s">
        <v>130</v>
      </c>
      <c r="AK18" s="184" t="s">
        <v>361</v>
      </c>
      <c r="AL18" s="184" t="s">
        <v>130</v>
      </c>
      <c r="AM18" s="184" t="s">
        <v>130</v>
      </c>
      <c r="AN18" s="184" t="s">
        <v>126</v>
      </c>
      <c r="AO18" s="184"/>
      <c r="AP18" s="184"/>
      <c r="AQ18" s="184"/>
      <c r="AR18" s="184"/>
      <c r="AS18" s="184"/>
      <c r="AT18" s="184"/>
      <c r="AU18" s="184"/>
      <c r="AV18" s="184"/>
      <c r="AW18" s="184"/>
    </row>
    <row r="19" spans="1:49" ht="12.75" customHeight="1" x14ac:dyDescent="0.25">
      <c r="A19" s="201" t="s">
        <v>586</v>
      </c>
      <c r="B19" s="257" t="s">
        <v>15</v>
      </c>
      <c r="C19" s="274">
        <v>1330</v>
      </c>
      <c r="D19" s="141">
        <v>2200</v>
      </c>
      <c r="E19" s="142">
        <f t="shared" si="0"/>
        <v>5</v>
      </c>
      <c r="F19" s="142">
        <f t="shared" si="1"/>
        <v>0</v>
      </c>
      <c r="G19" s="142">
        <f t="shared" si="2"/>
        <v>7</v>
      </c>
      <c r="H19" s="142">
        <f t="shared" si="3"/>
        <v>2</v>
      </c>
      <c r="I19" s="184"/>
      <c r="J19" s="184"/>
      <c r="K19" s="184"/>
      <c r="L19" s="184"/>
      <c r="M19" s="184"/>
      <c r="N19" s="184"/>
      <c r="O19" s="184"/>
      <c r="P19" s="184"/>
      <c r="Q19" s="184"/>
      <c r="R19" s="184"/>
      <c r="S19" s="184"/>
      <c r="T19" s="184"/>
      <c r="U19" s="184"/>
      <c r="V19" s="184"/>
      <c r="W19" s="184"/>
      <c r="X19" s="184"/>
      <c r="Y19" s="184"/>
      <c r="Z19" s="184" t="s">
        <v>126</v>
      </c>
      <c r="AA19" s="184" t="s">
        <v>126</v>
      </c>
      <c r="AB19" s="184" t="s">
        <v>126</v>
      </c>
      <c r="AC19" s="184" t="s">
        <v>126</v>
      </c>
      <c r="AD19" s="184" t="s">
        <v>361</v>
      </c>
      <c r="AE19" s="184" t="s">
        <v>130</v>
      </c>
      <c r="AF19" s="184" t="s">
        <v>130</v>
      </c>
      <c r="AG19" s="184" t="s">
        <v>130</v>
      </c>
      <c r="AH19" s="184" t="s">
        <v>130</v>
      </c>
      <c r="AI19" s="184" t="s">
        <v>241</v>
      </c>
      <c r="AJ19" s="184" t="s">
        <v>126</v>
      </c>
      <c r="AK19" s="184" t="s">
        <v>211</v>
      </c>
      <c r="AL19" s="184" t="s">
        <v>211</v>
      </c>
      <c r="AM19" s="184" t="s">
        <v>363</v>
      </c>
      <c r="AN19" s="184" t="s">
        <v>130</v>
      </c>
      <c r="AO19" s="184" t="s">
        <v>130</v>
      </c>
      <c r="AP19" s="184" t="s">
        <v>130</v>
      </c>
      <c r="AQ19" s="184"/>
      <c r="AR19" s="184"/>
      <c r="AS19" s="184"/>
      <c r="AT19" s="184"/>
      <c r="AU19" s="184"/>
      <c r="AV19" s="184"/>
      <c r="AW19" s="184"/>
    </row>
    <row r="20" spans="1:49" ht="12.75" customHeight="1" x14ac:dyDescent="0.25">
      <c r="A20" s="201" t="s">
        <v>235</v>
      </c>
      <c r="B20" s="257" t="s">
        <v>15</v>
      </c>
      <c r="C20" s="274">
        <v>1530</v>
      </c>
      <c r="D20" s="141">
        <v>0</v>
      </c>
      <c r="E20" s="142">
        <f t="shared" si="0"/>
        <v>7</v>
      </c>
      <c r="F20" s="142">
        <f t="shared" si="1"/>
        <v>0</v>
      </c>
      <c r="G20" s="142">
        <f t="shared" si="2"/>
        <v>7</v>
      </c>
      <c r="H20" s="142">
        <f t="shared" si="3"/>
        <v>0</v>
      </c>
      <c r="I20" s="184"/>
      <c r="J20" s="184"/>
      <c r="K20" s="184"/>
      <c r="L20" s="184"/>
      <c r="M20" s="184"/>
      <c r="N20" s="184"/>
      <c r="O20" s="184"/>
      <c r="P20" s="184"/>
      <c r="Q20" s="184"/>
      <c r="R20" s="184"/>
      <c r="S20" s="184"/>
      <c r="T20" s="184"/>
      <c r="U20" s="184"/>
      <c r="V20" s="184"/>
      <c r="W20" s="184"/>
      <c r="X20" s="184"/>
      <c r="Y20" s="184"/>
      <c r="Z20" s="184"/>
      <c r="AA20" s="184"/>
      <c r="AB20" s="184"/>
      <c r="AC20" s="184"/>
      <c r="AD20" s="184" t="s">
        <v>130</v>
      </c>
      <c r="AE20" s="184" t="s">
        <v>130</v>
      </c>
      <c r="AF20" s="184" t="s">
        <v>130</v>
      </c>
      <c r="AG20" s="184" t="s">
        <v>130</v>
      </c>
      <c r="AH20" s="184" t="s">
        <v>361</v>
      </c>
      <c r="AI20" s="184" t="s">
        <v>130</v>
      </c>
      <c r="AJ20" s="184" t="s">
        <v>130</v>
      </c>
      <c r="AK20" s="184" t="s">
        <v>130</v>
      </c>
      <c r="AL20" s="184" t="s">
        <v>241</v>
      </c>
      <c r="AM20" s="184" t="s">
        <v>126</v>
      </c>
      <c r="AN20" s="184" t="s">
        <v>126</v>
      </c>
      <c r="AO20" s="184" t="s">
        <v>126</v>
      </c>
      <c r="AP20" s="184" t="s">
        <v>126</v>
      </c>
      <c r="AQ20" s="184" t="s">
        <v>242</v>
      </c>
      <c r="AR20" s="184" t="s">
        <v>126</v>
      </c>
      <c r="AS20" s="184" t="s">
        <v>126</v>
      </c>
      <c r="AT20" s="184" t="s">
        <v>126</v>
      </c>
      <c r="AU20" s="184"/>
      <c r="AV20" s="184"/>
      <c r="AW20" s="184"/>
    </row>
    <row r="21" spans="1:49" ht="12.75" customHeight="1" x14ac:dyDescent="0.25">
      <c r="A21" s="201" t="s">
        <v>229</v>
      </c>
      <c r="B21" s="150" t="s">
        <v>15</v>
      </c>
      <c r="C21" s="55">
        <v>1630</v>
      </c>
      <c r="D21" s="141">
        <v>100</v>
      </c>
      <c r="E21" s="142">
        <f t="shared" si="0"/>
        <v>7</v>
      </c>
      <c r="F21" s="142">
        <f t="shared" si="1"/>
        <v>0</v>
      </c>
      <c r="G21" s="142">
        <f t="shared" si="2"/>
        <v>7</v>
      </c>
      <c r="H21" s="142">
        <f t="shared" si="3"/>
        <v>0</v>
      </c>
      <c r="I21" s="184"/>
      <c r="J21" s="184"/>
      <c r="K21" s="184"/>
      <c r="L21" s="184"/>
      <c r="M21" s="184"/>
      <c r="N21" s="184"/>
      <c r="O21" s="184"/>
      <c r="P21" s="184"/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 t="s">
        <v>130</v>
      </c>
      <c r="AG21" s="184" t="s">
        <v>130</v>
      </c>
      <c r="AH21" s="184" t="s">
        <v>130</v>
      </c>
      <c r="AI21" s="184" t="s">
        <v>364</v>
      </c>
      <c r="AJ21" s="184" t="s">
        <v>130</v>
      </c>
      <c r="AK21" s="184" t="s">
        <v>130</v>
      </c>
      <c r="AL21" s="184" t="s">
        <v>130</v>
      </c>
      <c r="AM21" s="184" t="s">
        <v>241</v>
      </c>
      <c r="AN21" s="184" t="s">
        <v>130</v>
      </c>
      <c r="AO21" s="184" t="s">
        <v>126</v>
      </c>
      <c r="AP21" s="184" t="s">
        <v>126</v>
      </c>
      <c r="AQ21" s="184" t="s">
        <v>126</v>
      </c>
      <c r="AR21" s="184" t="s">
        <v>248</v>
      </c>
      <c r="AS21" s="184" t="s">
        <v>126</v>
      </c>
      <c r="AT21" s="184" t="s">
        <v>126</v>
      </c>
      <c r="AU21" s="184" t="s">
        <v>126</v>
      </c>
      <c r="AV21" s="184" t="s">
        <v>126</v>
      </c>
      <c r="AW21" s="184"/>
    </row>
    <row r="22" spans="1:49" ht="12.75" customHeight="1" x14ac:dyDescent="0.25">
      <c r="A22" s="201" t="s">
        <v>32</v>
      </c>
      <c r="B22" s="150" t="s">
        <v>13</v>
      </c>
      <c r="C22" s="274">
        <v>500</v>
      </c>
      <c r="D22" s="141">
        <v>1400</v>
      </c>
      <c r="E22" s="142">
        <f t="shared" si="0"/>
        <v>0</v>
      </c>
      <c r="F22" s="142">
        <f t="shared" si="1"/>
        <v>4</v>
      </c>
      <c r="G22" s="142">
        <f t="shared" si="2"/>
        <v>0</v>
      </c>
      <c r="H22" s="142">
        <f t="shared" si="3"/>
        <v>0</v>
      </c>
      <c r="I22" s="184" t="s">
        <v>224</v>
      </c>
      <c r="J22" s="184" t="s">
        <v>224</v>
      </c>
      <c r="K22" s="184" t="s">
        <v>224</v>
      </c>
      <c r="L22" s="184" t="s">
        <v>224</v>
      </c>
      <c r="M22" s="184" t="s">
        <v>224</v>
      </c>
      <c r="N22" s="184" t="s">
        <v>224</v>
      </c>
      <c r="O22" s="184" t="s">
        <v>437</v>
      </c>
      <c r="P22" s="184" t="s">
        <v>437</v>
      </c>
      <c r="Q22" s="184" t="s">
        <v>224</v>
      </c>
      <c r="R22" s="184" t="s">
        <v>224</v>
      </c>
      <c r="S22" s="184" t="s">
        <v>223</v>
      </c>
      <c r="T22" s="184" t="s">
        <v>223</v>
      </c>
      <c r="U22" s="184" t="s">
        <v>223</v>
      </c>
      <c r="V22" s="184" t="s">
        <v>223</v>
      </c>
      <c r="W22" s="184" t="s">
        <v>224</v>
      </c>
      <c r="X22" s="184" t="s">
        <v>495</v>
      </c>
      <c r="Y22" s="184" t="s">
        <v>498</v>
      </c>
      <c r="Z22" s="184" t="s">
        <v>498</v>
      </c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</row>
    <row r="23" spans="1:49" ht="12.75" customHeight="1" x14ac:dyDescent="0.25">
      <c r="A23" s="202" t="s">
        <v>25</v>
      </c>
      <c r="B23" s="150" t="s">
        <v>13</v>
      </c>
      <c r="C23" s="274">
        <v>500</v>
      </c>
      <c r="D23" s="141">
        <v>1400</v>
      </c>
      <c r="E23" s="142">
        <f t="shared" si="0"/>
        <v>0</v>
      </c>
      <c r="F23" s="142">
        <f t="shared" si="1"/>
        <v>3</v>
      </c>
      <c r="G23" s="142">
        <f t="shared" si="2"/>
        <v>0</v>
      </c>
      <c r="H23" s="142">
        <f t="shared" si="3"/>
        <v>0</v>
      </c>
      <c r="I23" s="184" t="s">
        <v>224</v>
      </c>
      <c r="J23" s="184" t="s">
        <v>224</v>
      </c>
      <c r="K23" s="184" t="s">
        <v>224</v>
      </c>
      <c r="L23" s="184" t="s">
        <v>224</v>
      </c>
      <c r="M23" s="184" t="s">
        <v>224</v>
      </c>
      <c r="N23" s="184" t="s">
        <v>224</v>
      </c>
      <c r="O23" s="184" t="s">
        <v>437</v>
      </c>
      <c r="P23" s="184" t="s">
        <v>437</v>
      </c>
      <c r="Q23" s="184" t="s">
        <v>224</v>
      </c>
      <c r="R23" s="184" t="s">
        <v>223</v>
      </c>
      <c r="S23" s="184" t="s">
        <v>223</v>
      </c>
      <c r="T23" s="184" t="s">
        <v>223</v>
      </c>
      <c r="U23" s="184" t="s">
        <v>224</v>
      </c>
      <c r="V23" s="184" t="s">
        <v>495</v>
      </c>
      <c r="W23" s="184" t="s">
        <v>497</v>
      </c>
      <c r="X23" s="184" t="s">
        <v>497</v>
      </c>
      <c r="Y23" s="184" t="s">
        <v>224</v>
      </c>
      <c r="Z23" s="184" t="s">
        <v>224</v>
      </c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4"/>
      <c r="AN23" s="184"/>
      <c r="AO23" s="184"/>
      <c r="AP23" s="184"/>
      <c r="AQ23" s="184"/>
      <c r="AR23" s="184"/>
      <c r="AS23" s="184"/>
      <c r="AT23" s="184"/>
      <c r="AU23" s="184"/>
      <c r="AV23" s="184"/>
      <c r="AW23" s="184"/>
    </row>
    <row r="24" spans="1:49" ht="12.75" customHeight="1" x14ac:dyDescent="0.25">
      <c r="A24" s="201"/>
      <c r="B24" s="150"/>
      <c r="C24" s="274"/>
      <c r="D24" s="188"/>
      <c r="E24" s="142"/>
      <c r="F24" s="142"/>
      <c r="G24" s="142"/>
      <c r="H24" s="142"/>
      <c r="I24" s="184"/>
      <c r="J24" s="184"/>
      <c r="K24" s="184"/>
      <c r="L24" s="184"/>
      <c r="M24" s="184"/>
      <c r="N24" s="184"/>
      <c r="O24" s="184"/>
      <c r="P24" s="184"/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</row>
    <row r="25" spans="1:49" ht="12.75" customHeight="1" x14ac:dyDescent="0.25">
      <c r="A25" s="201" t="s">
        <v>369</v>
      </c>
      <c r="B25" s="257" t="s">
        <v>13</v>
      </c>
      <c r="C25" s="274">
        <v>600</v>
      </c>
      <c r="D25" s="141">
        <v>1500</v>
      </c>
      <c r="E25" s="142">
        <f t="shared" si="0"/>
        <v>0</v>
      </c>
      <c r="F25" s="142">
        <f t="shared" si="1"/>
        <v>4</v>
      </c>
      <c r="G25" s="142">
        <f t="shared" si="2"/>
        <v>0</v>
      </c>
      <c r="H25" s="142">
        <f t="shared" si="3"/>
        <v>0</v>
      </c>
      <c r="I25" s="184"/>
      <c r="J25" s="184"/>
      <c r="K25" s="184" t="s">
        <v>224</v>
      </c>
      <c r="L25" s="184" t="s">
        <v>224</v>
      </c>
      <c r="M25" s="184" t="s">
        <v>224</v>
      </c>
      <c r="N25" s="184" t="s">
        <v>224</v>
      </c>
      <c r="O25" s="184" t="s">
        <v>224</v>
      </c>
      <c r="P25" s="184" t="s">
        <v>224</v>
      </c>
      <c r="Q25" s="184" t="s">
        <v>437</v>
      </c>
      <c r="R25" s="184" t="s">
        <v>437</v>
      </c>
      <c r="S25" s="184" t="s">
        <v>224</v>
      </c>
      <c r="T25" s="184" t="s">
        <v>224</v>
      </c>
      <c r="U25" s="184" t="s">
        <v>224</v>
      </c>
      <c r="V25" s="184" t="s">
        <v>224</v>
      </c>
      <c r="W25" s="184" t="s">
        <v>223</v>
      </c>
      <c r="X25" s="184" t="s">
        <v>223</v>
      </c>
      <c r="Y25" s="184" t="s">
        <v>223</v>
      </c>
      <c r="Z25" s="184" t="s">
        <v>223</v>
      </c>
      <c r="AA25" s="184" t="s">
        <v>224</v>
      </c>
      <c r="AB25" s="184" t="s">
        <v>224</v>
      </c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</row>
    <row r="26" spans="1:49" ht="12.75" customHeight="1" x14ac:dyDescent="0.25">
      <c r="A26" s="202" t="s">
        <v>20</v>
      </c>
      <c r="B26" s="140" t="s">
        <v>13</v>
      </c>
      <c r="C26" s="274">
        <v>600</v>
      </c>
      <c r="D26" s="141">
        <v>1500</v>
      </c>
      <c r="E26" s="142">
        <f t="shared" si="0"/>
        <v>0</v>
      </c>
      <c r="F26" s="142">
        <f t="shared" si="1"/>
        <v>4</v>
      </c>
      <c r="G26" s="142">
        <f t="shared" si="2"/>
        <v>0</v>
      </c>
      <c r="H26" s="142">
        <f t="shared" si="3"/>
        <v>0</v>
      </c>
      <c r="I26" s="184"/>
      <c r="J26" s="184"/>
      <c r="K26" s="184" t="s">
        <v>224</v>
      </c>
      <c r="L26" s="184" t="s">
        <v>224</v>
      </c>
      <c r="M26" s="184" t="s">
        <v>224</v>
      </c>
      <c r="N26" s="184" t="s">
        <v>224</v>
      </c>
      <c r="O26" s="184" t="s">
        <v>224</v>
      </c>
      <c r="P26" s="184" t="s">
        <v>224</v>
      </c>
      <c r="Q26" s="184" t="s">
        <v>224</v>
      </c>
      <c r="R26" s="184" t="s">
        <v>224</v>
      </c>
      <c r="S26" s="184" t="s">
        <v>437</v>
      </c>
      <c r="T26" s="184" t="s">
        <v>437</v>
      </c>
      <c r="U26" s="184" t="s">
        <v>224</v>
      </c>
      <c r="V26" s="184" t="s">
        <v>224</v>
      </c>
      <c r="W26" s="184" t="s">
        <v>224</v>
      </c>
      <c r="X26" s="184" t="s">
        <v>223</v>
      </c>
      <c r="Y26" s="184" t="s">
        <v>223</v>
      </c>
      <c r="Z26" s="184" t="s">
        <v>223</v>
      </c>
      <c r="AA26" s="184" t="s">
        <v>223</v>
      </c>
      <c r="AB26" s="184" t="s">
        <v>224</v>
      </c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</row>
    <row r="27" spans="1:49" ht="12.75" customHeight="1" x14ac:dyDescent="0.25">
      <c r="A27" s="202" t="s">
        <v>39</v>
      </c>
      <c r="B27" s="257" t="s">
        <v>13</v>
      </c>
      <c r="C27" s="274">
        <v>630</v>
      </c>
      <c r="D27" s="141">
        <v>1530</v>
      </c>
      <c r="E27" s="142">
        <f t="shared" si="0"/>
        <v>0</v>
      </c>
      <c r="F27" s="142">
        <f t="shared" si="1"/>
        <v>3</v>
      </c>
      <c r="G27" s="142">
        <f t="shared" si="2"/>
        <v>0</v>
      </c>
      <c r="H27" s="142">
        <f t="shared" si="3"/>
        <v>0</v>
      </c>
      <c r="I27" s="184"/>
      <c r="J27" s="184"/>
      <c r="K27" s="184"/>
      <c r="L27" s="184" t="s">
        <v>224</v>
      </c>
      <c r="M27" s="184" t="s">
        <v>224</v>
      </c>
      <c r="N27" s="184" t="s">
        <v>224</v>
      </c>
      <c r="O27" s="184" t="s">
        <v>224</v>
      </c>
      <c r="P27" s="184" t="s">
        <v>224</v>
      </c>
      <c r="Q27" s="184" t="s">
        <v>224</v>
      </c>
      <c r="R27" s="184" t="s">
        <v>224</v>
      </c>
      <c r="S27" s="184" t="s">
        <v>437</v>
      </c>
      <c r="T27" s="184" t="s">
        <v>437</v>
      </c>
      <c r="U27" s="184" t="s">
        <v>224</v>
      </c>
      <c r="V27" s="184" t="s">
        <v>224</v>
      </c>
      <c r="W27" s="184" t="s">
        <v>224</v>
      </c>
      <c r="X27" s="184" t="s">
        <v>224</v>
      </c>
      <c r="Y27" s="184" t="s">
        <v>223</v>
      </c>
      <c r="Z27" s="184" t="s">
        <v>223</v>
      </c>
      <c r="AA27" s="184" t="s">
        <v>223</v>
      </c>
      <c r="AB27" s="184" t="s">
        <v>224</v>
      </c>
      <c r="AC27" s="184" t="s">
        <v>224</v>
      </c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</row>
    <row r="28" spans="1:49" ht="12.75" customHeight="1" x14ac:dyDescent="0.25">
      <c r="A28" s="201" t="s">
        <v>51</v>
      </c>
      <c r="B28" s="150" t="s">
        <v>13</v>
      </c>
      <c r="C28" s="274">
        <v>700</v>
      </c>
      <c r="D28" s="141">
        <v>1600</v>
      </c>
      <c r="E28" s="142">
        <f t="shared" si="0"/>
        <v>0</v>
      </c>
      <c r="F28" s="142">
        <f t="shared" si="1"/>
        <v>4</v>
      </c>
      <c r="G28" s="142">
        <f t="shared" si="2"/>
        <v>0</v>
      </c>
      <c r="H28" s="142">
        <f t="shared" si="3"/>
        <v>0</v>
      </c>
      <c r="I28" s="184"/>
      <c r="J28" s="184"/>
      <c r="K28" s="184"/>
      <c r="L28" s="184"/>
      <c r="M28" s="184" t="s">
        <v>224</v>
      </c>
      <c r="N28" s="184" t="s">
        <v>224</v>
      </c>
      <c r="O28" s="184" t="s">
        <v>224</v>
      </c>
      <c r="P28" s="184" t="s">
        <v>224</v>
      </c>
      <c r="Q28" s="184" t="s">
        <v>224</v>
      </c>
      <c r="R28" s="184" t="s">
        <v>224</v>
      </c>
      <c r="S28" s="184" t="s">
        <v>224</v>
      </c>
      <c r="T28" s="184" t="s">
        <v>224</v>
      </c>
      <c r="U28" s="184" t="s">
        <v>437</v>
      </c>
      <c r="V28" s="184" t="s">
        <v>437</v>
      </c>
      <c r="W28" s="184" t="s">
        <v>224</v>
      </c>
      <c r="X28" s="184" t="s">
        <v>224</v>
      </c>
      <c r="Y28" s="184" t="s">
        <v>224</v>
      </c>
      <c r="Z28" s="184" t="s">
        <v>223</v>
      </c>
      <c r="AA28" s="184" t="s">
        <v>223</v>
      </c>
      <c r="AB28" s="184" t="s">
        <v>223</v>
      </c>
      <c r="AC28" s="184" t="s">
        <v>223</v>
      </c>
      <c r="AD28" s="184" t="s">
        <v>224</v>
      </c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</row>
    <row r="29" spans="1:49" ht="12.75" customHeight="1" x14ac:dyDescent="0.25">
      <c r="A29" s="202" t="s">
        <v>31</v>
      </c>
      <c r="B29" s="150" t="s">
        <v>13</v>
      </c>
      <c r="C29" s="274">
        <v>730</v>
      </c>
      <c r="D29" s="188">
        <v>1630</v>
      </c>
      <c r="E29" s="142">
        <f t="shared" si="0"/>
        <v>0</v>
      </c>
      <c r="F29" s="142">
        <f t="shared" si="1"/>
        <v>4</v>
      </c>
      <c r="G29" s="142">
        <f t="shared" si="2"/>
        <v>0</v>
      </c>
      <c r="H29" s="142">
        <f t="shared" si="3"/>
        <v>0</v>
      </c>
      <c r="I29" s="184"/>
      <c r="J29" s="184"/>
      <c r="K29" s="184"/>
      <c r="L29" s="184"/>
      <c r="M29" s="184"/>
      <c r="N29" s="184" t="s">
        <v>224</v>
      </c>
      <c r="O29" s="184" t="s">
        <v>224</v>
      </c>
      <c r="P29" s="184" t="s">
        <v>224</v>
      </c>
      <c r="Q29" s="184" t="s">
        <v>224</v>
      </c>
      <c r="R29" s="184" t="s">
        <v>224</v>
      </c>
      <c r="S29" s="184" t="s">
        <v>224</v>
      </c>
      <c r="T29" s="184" t="s">
        <v>224</v>
      </c>
      <c r="U29" s="184" t="s">
        <v>437</v>
      </c>
      <c r="V29" s="184" t="s">
        <v>437</v>
      </c>
      <c r="W29" s="184" t="s">
        <v>224</v>
      </c>
      <c r="X29" s="184" t="s">
        <v>224</v>
      </c>
      <c r="Y29" s="184" t="s">
        <v>224</v>
      </c>
      <c r="Z29" s="184" t="s">
        <v>224</v>
      </c>
      <c r="AA29" s="184" t="s">
        <v>223</v>
      </c>
      <c r="AB29" s="184" t="s">
        <v>223</v>
      </c>
      <c r="AC29" s="184" t="s">
        <v>223</v>
      </c>
      <c r="AD29" s="184" t="s">
        <v>223</v>
      </c>
      <c r="AE29" s="184" t="s">
        <v>224</v>
      </c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</row>
    <row r="30" spans="1:49" ht="12.75" customHeight="1" x14ac:dyDescent="0.25">
      <c r="A30" s="201" t="s">
        <v>33</v>
      </c>
      <c r="B30" s="150" t="s">
        <v>13</v>
      </c>
      <c r="C30" s="274">
        <v>730</v>
      </c>
      <c r="D30" s="141">
        <v>1630</v>
      </c>
      <c r="E30" s="142">
        <f t="shared" si="0"/>
        <v>0</v>
      </c>
      <c r="F30" s="142">
        <f t="shared" si="1"/>
        <v>4</v>
      </c>
      <c r="G30" s="142">
        <f t="shared" si="2"/>
        <v>0</v>
      </c>
      <c r="H30" s="142">
        <f t="shared" si="3"/>
        <v>0</v>
      </c>
      <c r="I30" s="184"/>
      <c r="J30" s="184"/>
      <c r="K30" s="184"/>
      <c r="L30" s="184"/>
      <c r="M30" s="184"/>
      <c r="N30" s="184" t="s">
        <v>224</v>
      </c>
      <c r="O30" s="184" t="s">
        <v>224</v>
      </c>
      <c r="P30" s="184" t="s">
        <v>224</v>
      </c>
      <c r="Q30" s="184" t="s">
        <v>224</v>
      </c>
      <c r="R30" s="184" t="s">
        <v>224</v>
      </c>
      <c r="S30" s="184" t="s">
        <v>224</v>
      </c>
      <c r="T30" s="184" t="s">
        <v>224</v>
      </c>
      <c r="U30" s="184" t="s">
        <v>224</v>
      </c>
      <c r="V30" s="184" t="s">
        <v>224</v>
      </c>
      <c r="W30" s="184" t="s">
        <v>437</v>
      </c>
      <c r="X30" s="184" t="s">
        <v>437</v>
      </c>
      <c r="Y30" s="184" t="s">
        <v>224</v>
      </c>
      <c r="Z30" s="184" t="s">
        <v>224</v>
      </c>
      <c r="AA30" s="184" t="s">
        <v>224</v>
      </c>
      <c r="AB30" s="184" t="s">
        <v>223</v>
      </c>
      <c r="AC30" s="184" t="s">
        <v>223</v>
      </c>
      <c r="AD30" s="184" t="s">
        <v>223</v>
      </c>
      <c r="AE30" s="184" t="s">
        <v>223</v>
      </c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</row>
    <row r="31" spans="1:49" ht="12.75" customHeight="1" x14ac:dyDescent="0.25">
      <c r="A31" s="201" t="s">
        <v>49</v>
      </c>
      <c r="B31" s="257" t="s">
        <v>13</v>
      </c>
      <c r="C31" s="274">
        <v>800</v>
      </c>
      <c r="D31" s="141">
        <v>1700</v>
      </c>
      <c r="E31" s="142">
        <f t="shared" si="0"/>
        <v>0</v>
      </c>
      <c r="F31" s="142">
        <f t="shared" si="1"/>
        <v>4</v>
      </c>
      <c r="G31" s="142">
        <f t="shared" si="2"/>
        <v>0</v>
      </c>
      <c r="H31" s="142">
        <f t="shared" si="3"/>
        <v>0</v>
      </c>
      <c r="I31" s="184"/>
      <c r="J31" s="184"/>
      <c r="K31" s="184"/>
      <c r="L31" s="184"/>
      <c r="M31" s="184"/>
      <c r="N31" s="184"/>
      <c r="O31" s="184" t="s">
        <v>224</v>
      </c>
      <c r="P31" s="184" t="s">
        <v>224</v>
      </c>
      <c r="Q31" s="184" t="s">
        <v>224</v>
      </c>
      <c r="R31" s="184" t="s">
        <v>224</v>
      </c>
      <c r="S31" s="184" t="s">
        <v>224</v>
      </c>
      <c r="T31" s="184" t="s">
        <v>224</v>
      </c>
      <c r="U31" s="184" t="s">
        <v>224</v>
      </c>
      <c r="V31" s="184" t="s">
        <v>224</v>
      </c>
      <c r="W31" s="184" t="s">
        <v>224</v>
      </c>
      <c r="X31" s="184" t="s">
        <v>224</v>
      </c>
      <c r="Y31" s="184" t="s">
        <v>223</v>
      </c>
      <c r="Z31" s="184" t="s">
        <v>223</v>
      </c>
      <c r="AA31" s="184" t="s">
        <v>223</v>
      </c>
      <c r="AB31" s="184" t="s">
        <v>223</v>
      </c>
      <c r="AC31" s="184" t="s">
        <v>224</v>
      </c>
      <c r="AD31" s="184" t="s">
        <v>224</v>
      </c>
      <c r="AE31" s="184" t="s">
        <v>224</v>
      </c>
      <c r="AF31" s="184" t="s">
        <v>224</v>
      </c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</row>
    <row r="32" spans="1:49" ht="12.75" customHeight="1" x14ac:dyDescent="0.25">
      <c r="A32" s="202" t="s">
        <v>53</v>
      </c>
      <c r="B32" s="257" t="s">
        <v>13</v>
      </c>
      <c r="C32" s="274">
        <v>830</v>
      </c>
      <c r="D32" s="141">
        <v>1730</v>
      </c>
      <c r="E32" s="142">
        <f t="shared" si="0"/>
        <v>0</v>
      </c>
      <c r="F32" s="142">
        <f t="shared" si="1"/>
        <v>4</v>
      </c>
      <c r="G32" s="142">
        <f t="shared" si="2"/>
        <v>0</v>
      </c>
      <c r="H32" s="142">
        <f t="shared" si="3"/>
        <v>0</v>
      </c>
      <c r="I32" s="184"/>
      <c r="J32" s="184"/>
      <c r="K32" s="184"/>
      <c r="L32" s="184"/>
      <c r="M32" s="184"/>
      <c r="N32" s="184"/>
      <c r="O32" s="184"/>
      <c r="P32" s="184" t="s">
        <v>224</v>
      </c>
      <c r="Q32" s="184" t="s">
        <v>224</v>
      </c>
      <c r="R32" s="184" t="s">
        <v>224</v>
      </c>
      <c r="S32" s="184" t="s">
        <v>224</v>
      </c>
      <c r="T32" s="184" t="s">
        <v>495</v>
      </c>
      <c r="U32" s="184" t="s">
        <v>496</v>
      </c>
      <c r="V32" s="184" t="s">
        <v>496</v>
      </c>
      <c r="W32" s="184" t="s">
        <v>437</v>
      </c>
      <c r="X32" s="184" t="s">
        <v>437</v>
      </c>
      <c r="Y32" s="184" t="s">
        <v>224</v>
      </c>
      <c r="Z32" s="184" t="s">
        <v>224</v>
      </c>
      <c r="AA32" s="184" t="s">
        <v>224</v>
      </c>
      <c r="AB32" s="184" t="s">
        <v>224</v>
      </c>
      <c r="AC32" s="184" t="s">
        <v>223</v>
      </c>
      <c r="AD32" s="184" t="s">
        <v>223</v>
      </c>
      <c r="AE32" s="184" t="s">
        <v>223</v>
      </c>
      <c r="AF32" s="184" t="s">
        <v>223</v>
      </c>
      <c r="AG32" s="184" t="s">
        <v>224</v>
      </c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</row>
    <row r="33" spans="1:49" ht="12.75" customHeight="1" x14ac:dyDescent="0.25">
      <c r="A33" s="201" t="s">
        <v>27</v>
      </c>
      <c r="B33" s="150" t="s">
        <v>13</v>
      </c>
      <c r="C33" s="274">
        <v>930</v>
      </c>
      <c r="D33" s="141">
        <v>1830</v>
      </c>
      <c r="E33" s="142">
        <f t="shared" si="0"/>
        <v>0</v>
      </c>
      <c r="F33" s="142">
        <f t="shared" si="1"/>
        <v>4</v>
      </c>
      <c r="G33" s="142">
        <f t="shared" si="2"/>
        <v>0</v>
      </c>
      <c r="H33" s="142">
        <f t="shared" si="3"/>
        <v>0</v>
      </c>
      <c r="I33" s="184"/>
      <c r="J33" s="184"/>
      <c r="K33" s="184"/>
      <c r="L33" s="184"/>
      <c r="M33" s="184"/>
      <c r="N33" s="184"/>
      <c r="O33" s="184"/>
      <c r="P33" s="184"/>
      <c r="Q33" s="184"/>
      <c r="R33" s="184" t="s">
        <v>224</v>
      </c>
      <c r="S33" s="184" t="s">
        <v>224</v>
      </c>
      <c r="T33" s="184" t="s">
        <v>224</v>
      </c>
      <c r="U33" s="184" t="s">
        <v>224</v>
      </c>
      <c r="V33" s="184" t="s">
        <v>224</v>
      </c>
      <c r="W33" s="184" t="s">
        <v>224</v>
      </c>
      <c r="X33" s="184" t="s">
        <v>224</v>
      </c>
      <c r="Y33" s="184" t="s">
        <v>224</v>
      </c>
      <c r="Z33" s="184" t="s">
        <v>224</v>
      </c>
      <c r="AA33" s="184" t="s">
        <v>437</v>
      </c>
      <c r="AB33" s="184" t="s">
        <v>437</v>
      </c>
      <c r="AC33" s="184" t="s">
        <v>224</v>
      </c>
      <c r="AD33" s="184" t="s">
        <v>224</v>
      </c>
      <c r="AE33" s="184" t="s">
        <v>223</v>
      </c>
      <c r="AF33" s="184" t="s">
        <v>223</v>
      </c>
      <c r="AG33" s="184" t="s">
        <v>223</v>
      </c>
      <c r="AH33" s="184" t="s">
        <v>223</v>
      </c>
      <c r="AI33" s="184" t="s">
        <v>224</v>
      </c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</row>
    <row r="34" spans="1:49" ht="12.75" customHeight="1" x14ac:dyDescent="0.25">
      <c r="A34" s="201" t="s">
        <v>63</v>
      </c>
      <c r="B34" s="257" t="s">
        <v>13</v>
      </c>
      <c r="C34" s="274">
        <v>1200</v>
      </c>
      <c r="D34" s="141">
        <v>2100</v>
      </c>
      <c r="E34" s="142">
        <f t="shared" si="0"/>
        <v>0</v>
      </c>
      <c r="F34" s="142">
        <f t="shared" si="1"/>
        <v>4</v>
      </c>
      <c r="G34" s="142">
        <f t="shared" si="2"/>
        <v>0</v>
      </c>
      <c r="H34" s="142">
        <f t="shared" si="3"/>
        <v>0</v>
      </c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 t="s">
        <v>224</v>
      </c>
      <c r="X34" s="184" t="s">
        <v>224</v>
      </c>
      <c r="Y34" s="184" t="s">
        <v>224</v>
      </c>
      <c r="Z34" s="184" t="s">
        <v>224</v>
      </c>
      <c r="AA34" s="184" t="s">
        <v>437</v>
      </c>
      <c r="AB34" s="184" t="s">
        <v>437</v>
      </c>
      <c r="AC34" s="184" t="s">
        <v>224</v>
      </c>
      <c r="AD34" s="184" t="s">
        <v>224</v>
      </c>
      <c r="AE34" s="184" t="s">
        <v>224</v>
      </c>
      <c r="AF34" s="184" t="s">
        <v>223</v>
      </c>
      <c r="AG34" s="184" t="s">
        <v>223</v>
      </c>
      <c r="AH34" s="184" t="s">
        <v>223</v>
      </c>
      <c r="AI34" s="184" t="s">
        <v>223</v>
      </c>
      <c r="AJ34" s="184" t="s">
        <v>224</v>
      </c>
      <c r="AK34" s="184" t="s">
        <v>224</v>
      </c>
      <c r="AL34" s="184" t="s">
        <v>224</v>
      </c>
      <c r="AM34" s="184" t="s">
        <v>224</v>
      </c>
      <c r="AN34" s="184" t="s">
        <v>224</v>
      </c>
      <c r="AO34" s="184"/>
      <c r="AP34" s="184"/>
      <c r="AQ34" s="184"/>
      <c r="AR34" s="184"/>
      <c r="AS34" s="184"/>
      <c r="AT34" s="184"/>
      <c r="AU34" s="184"/>
      <c r="AV34" s="184"/>
      <c r="AW34" s="184"/>
    </row>
    <row r="35" spans="1:49" ht="12.75" customHeight="1" x14ac:dyDescent="0.25">
      <c r="A35" s="202" t="s">
        <v>23</v>
      </c>
      <c r="B35" s="257" t="s">
        <v>13</v>
      </c>
      <c r="C35" s="274">
        <v>1230</v>
      </c>
      <c r="D35" s="141">
        <v>2130</v>
      </c>
      <c r="E35" s="142">
        <f t="shared" si="0"/>
        <v>0</v>
      </c>
      <c r="F35" s="142">
        <f t="shared" si="1"/>
        <v>4</v>
      </c>
      <c r="G35" s="142">
        <f t="shared" si="2"/>
        <v>0</v>
      </c>
      <c r="H35" s="142">
        <f t="shared" si="3"/>
        <v>0</v>
      </c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 t="s">
        <v>224</v>
      </c>
      <c r="Y35" s="184" t="s">
        <v>223</v>
      </c>
      <c r="Z35" s="184" t="s">
        <v>223</v>
      </c>
      <c r="AA35" s="184" t="s">
        <v>223</v>
      </c>
      <c r="AB35" s="184" t="s">
        <v>223</v>
      </c>
      <c r="AC35" s="184" t="s">
        <v>224</v>
      </c>
      <c r="AD35" s="184" t="s">
        <v>224</v>
      </c>
      <c r="AE35" s="184" t="s">
        <v>437</v>
      </c>
      <c r="AF35" s="184" t="s">
        <v>437</v>
      </c>
      <c r="AG35" s="184" t="s">
        <v>224</v>
      </c>
      <c r="AH35" s="184" t="s">
        <v>224</v>
      </c>
      <c r="AI35" s="184" t="s">
        <v>224</v>
      </c>
      <c r="AJ35" s="184" t="s">
        <v>224</v>
      </c>
      <c r="AK35" s="184" t="s">
        <v>224</v>
      </c>
      <c r="AL35" s="184" t="s">
        <v>224</v>
      </c>
      <c r="AM35" s="184" t="s">
        <v>224</v>
      </c>
      <c r="AN35" s="184" t="s">
        <v>224</v>
      </c>
      <c r="AO35" s="184" t="s">
        <v>224</v>
      </c>
      <c r="AP35" s="184"/>
      <c r="AQ35" s="184"/>
      <c r="AR35" s="184"/>
      <c r="AS35" s="184"/>
      <c r="AT35" s="184"/>
      <c r="AU35" s="184"/>
      <c r="AV35" s="184"/>
      <c r="AW35" s="184"/>
    </row>
    <row r="36" spans="1:49" ht="12.75" customHeight="1" x14ac:dyDescent="0.25">
      <c r="A36" s="202" t="s">
        <v>66</v>
      </c>
      <c r="B36" s="150" t="s">
        <v>13</v>
      </c>
      <c r="C36" s="274">
        <v>1230</v>
      </c>
      <c r="D36" s="188">
        <v>2130</v>
      </c>
      <c r="E36" s="142">
        <f t="shared" si="0"/>
        <v>0</v>
      </c>
      <c r="F36" s="142">
        <f t="shared" si="1"/>
        <v>4</v>
      </c>
      <c r="G36" s="142">
        <f t="shared" si="2"/>
        <v>0</v>
      </c>
      <c r="H36" s="142">
        <f t="shared" si="3"/>
        <v>0</v>
      </c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 t="s">
        <v>224</v>
      </c>
      <c r="Y36" s="184" t="s">
        <v>224</v>
      </c>
      <c r="Z36" s="184" t="s">
        <v>224</v>
      </c>
      <c r="AA36" s="184" t="s">
        <v>224</v>
      </c>
      <c r="AB36" s="184" t="s">
        <v>224</v>
      </c>
      <c r="AC36" s="184" t="s">
        <v>437</v>
      </c>
      <c r="AD36" s="184" t="s">
        <v>437</v>
      </c>
      <c r="AE36" s="184" t="s">
        <v>224</v>
      </c>
      <c r="AF36" s="184" t="s">
        <v>224</v>
      </c>
      <c r="AG36" s="184" t="s">
        <v>224</v>
      </c>
      <c r="AH36" s="184" t="s">
        <v>224</v>
      </c>
      <c r="AI36" s="184" t="s">
        <v>224</v>
      </c>
      <c r="AJ36" s="184" t="s">
        <v>223</v>
      </c>
      <c r="AK36" s="184" t="s">
        <v>223</v>
      </c>
      <c r="AL36" s="184" t="s">
        <v>223</v>
      </c>
      <c r="AM36" s="184" t="s">
        <v>223</v>
      </c>
      <c r="AN36" s="184" t="s">
        <v>224</v>
      </c>
      <c r="AO36" s="184" t="s">
        <v>224</v>
      </c>
      <c r="AP36" s="184" t="s">
        <v>224</v>
      </c>
      <c r="AQ36" s="184"/>
      <c r="AR36" s="184"/>
      <c r="AS36" s="184"/>
      <c r="AT36" s="184"/>
      <c r="AU36" s="184"/>
      <c r="AV36" s="184"/>
      <c r="AW36" s="184"/>
    </row>
    <row r="37" spans="1:49" ht="12.75" customHeight="1" x14ac:dyDescent="0.25">
      <c r="A37" s="201" t="s">
        <v>227</v>
      </c>
      <c r="B37" s="257" t="s">
        <v>13</v>
      </c>
      <c r="C37" s="274">
        <v>1230</v>
      </c>
      <c r="D37" s="141">
        <v>2130</v>
      </c>
      <c r="E37" s="142">
        <v>0</v>
      </c>
      <c r="F37" s="142">
        <v>0</v>
      </c>
      <c r="G37" s="142">
        <v>0</v>
      </c>
      <c r="H37" s="142">
        <v>0</v>
      </c>
      <c r="I37" s="184"/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 t="s">
        <v>224</v>
      </c>
      <c r="Y37" s="184" t="s">
        <v>224</v>
      </c>
      <c r="Z37" s="184" t="s">
        <v>224</v>
      </c>
      <c r="AA37" s="184" t="s">
        <v>224</v>
      </c>
      <c r="AB37" s="184" t="s">
        <v>224</v>
      </c>
      <c r="AC37" s="184" t="s">
        <v>437</v>
      </c>
      <c r="AD37" s="184" t="s">
        <v>437</v>
      </c>
      <c r="AE37" s="184" t="s">
        <v>224</v>
      </c>
      <c r="AF37" s="184" t="s">
        <v>224</v>
      </c>
      <c r="AG37" s="184" t="s">
        <v>224</v>
      </c>
      <c r="AH37" s="184" t="s">
        <v>224</v>
      </c>
      <c r="AI37" s="184" t="s">
        <v>224</v>
      </c>
      <c r="AJ37" s="184" t="s">
        <v>224</v>
      </c>
      <c r="AK37" s="184" t="s">
        <v>224</v>
      </c>
      <c r="AL37" s="184" t="s">
        <v>224</v>
      </c>
      <c r="AM37" s="184" t="s">
        <v>224</v>
      </c>
      <c r="AN37" s="184" t="s">
        <v>224</v>
      </c>
      <c r="AO37" s="184" t="s">
        <v>224</v>
      </c>
      <c r="AP37" s="184" t="s">
        <v>224</v>
      </c>
      <c r="AQ37" s="184"/>
      <c r="AR37" s="184"/>
      <c r="AS37" s="184"/>
      <c r="AT37" s="184"/>
      <c r="AU37" s="184"/>
      <c r="AV37" s="184"/>
      <c r="AW37" s="184"/>
    </row>
    <row r="38" spans="1:49" ht="12.75" customHeight="1" x14ac:dyDescent="0.25">
      <c r="A38" s="202" t="s">
        <v>59</v>
      </c>
      <c r="B38" s="150" t="s">
        <v>13</v>
      </c>
      <c r="C38" s="274">
        <v>1300</v>
      </c>
      <c r="D38" s="141">
        <v>2200</v>
      </c>
      <c r="E38" s="142">
        <f>COUNTIF(I38:AW38,"HL")</f>
        <v>0</v>
      </c>
      <c r="F38" s="142">
        <f>COUNTIF(I38:AW38,"Coaching")</f>
        <v>4</v>
      </c>
      <c r="G38" s="142">
        <f>COUNTIF(I38:AW38,"ADM")</f>
        <v>0</v>
      </c>
      <c r="H38" s="142">
        <f>COUNTIF(I38:AW38,"RNNR")</f>
        <v>0</v>
      </c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 t="s">
        <v>224</v>
      </c>
      <c r="Z38" s="184" t="s">
        <v>224</v>
      </c>
      <c r="AA38" s="184" t="s">
        <v>224</v>
      </c>
      <c r="AB38" s="184" t="s">
        <v>224</v>
      </c>
      <c r="AC38" s="184" t="s">
        <v>224</v>
      </c>
      <c r="AD38" s="184" t="s">
        <v>224</v>
      </c>
      <c r="AE38" s="184" t="s">
        <v>437</v>
      </c>
      <c r="AF38" s="184" t="s">
        <v>437</v>
      </c>
      <c r="AG38" s="184" t="s">
        <v>224</v>
      </c>
      <c r="AH38" s="184" t="s">
        <v>224</v>
      </c>
      <c r="AI38" s="184" t="s">
        <v>224</v>
      </c>
      <c r="AJ38" s="184" t="s">
        <v>224</v>
      </c>
      <c r="AK38" s="184" t="s">
        <v>223</v>
      </c>
      <c r="AL38" s="184" t="s">
        <v>223</v>
      </c>
      <c r="AM38" s="184" t="s">
        <v>223</v>
      </c>
      <c r="AN38" s="184" t="s">
        <v>223</v>
      </c>
      <c r="AO38" s="184" t="s">
        <v>224</v>
      </c>
      <c r="AP38" s="184" t="s">
        <v>224</v>
      </c>
      <c r="AQ38" s="184"/>
      <c r="AR38" s="184"/>
      <c r="AS38" s="184"/>
      <c r="AT38" s="184"/>
      <c r="AU38" s="184"/>
      <c r="AV38" s="184"/>
      <c r="AW38" s="184"/>
    </row>
    <row r="39" spans="1:49" ht="12.75" customHeight="1" x14ac:dyDescent="0.25">
      <c r="A39" s="201" t="s">
        <v>245</v>
      </c>
      <c r="B39" s="150" t="s">
        <v>13</v>
      </c>
      <c r="C39" s="274">
        <v>1400</v>
      </c>
      <c r="D39" s="141">
        <v>100</v>
      </c>
      <c r="E39" s="142">
        <f>COUNTIF(I39:AW39,"HL")</f>
        <v>0</v>
      </c>
      <c r="F39" s="142">
        <f>COUNTIF(I39:AW39,"Coaching")</f>
        <v>4</v>
      </c>
      <c r="G39" s="142">
        <f>COUNTIF(I39:AW39,"ADM")</f>
        <v>0</v>
      </c>
      <c r="H39" s="142">
        <f>COUNTIF(I39:AW39,"RNNR")</f>
        <v>0</v>
      </c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 t="s">
        <v>224</v>
      </c>
      <c r="AB39" s="184" t="s">
        <v>224</v>
      </c>
      <c r="AC39" s="184" t="s">
        <v>224</v>
      </c>
      <c r="AD39" s="184" t="s">
        <v>224</v>
      </c>
      <c r="AE39" s="184" t="s">
        <v>224</v>
      </c>
      <c r="AF39" s="184" t="s">
        <v>224</v>
      </c>
      <c r="AG39" s="184" t="s">
        <v>224</v>
      </c>
      <c r="AH39" s="184" t="s">
        <v>224</v>
      </c>
      <c r="AI39" s="184" t="s">
        <v>224</v>
      </c>
      <c r="AJ39" s="184" t="s">
        <v>224</v>
      </c>
      <c r="AK39" s="184" t="s">
        <v>224</v>
      </c>
      <c r="AL39" s="184" t="s">
        <v>224</v>
      </c>
      <c r="AM39" s="184" t="s">
        <v>223</v>
      </c>
      <c r="AN39" s="184" t="s">
        <v>223</v>
      </c>
      <c r="AO39" s="184" t="s">
        <v>223</v>
      </c>
      <c r="AP39" s="184" t="s">
        <v>223</v>
      </c>
      <c r="AQ39" s="184" t="s">
        <v>224</v>
      </c>
      <c r="AR39" s="184" t="s">
        <v>224</v>
      </c>
      <c r="AS39" s="184" t="s">
        <v>224</v>
      </c>
      <c r="AT39" s="184" t="s">
        <v>224</v>
      </c>
      <c r="AU39" s="184" t="s">
        <v>224</v>
      </c>
      <c r="AV39" s="184" t="s">
        <v>224</v>
      </c>
      <c r="AW39" s="184"/>
    </row>
    <row r="40" spans="1:49" ht="12.75" customHeight="1" x14ac:dyDescent="0.25">
      <c r="A40" s="202" t="s">
        <v>45</v>
      </c>
      <c r="B40" s="257" t="s">
        <v>13</v>
      </c>
      <c r="C40" s="274">
        <v>1400</v>
      </c>
      <c r="D40" s="141">
        <v>100</v>
      </c>
      <c r="E40" s="142">
        <f>COUNTIF(I40:AW40,"HL")</f>
        <v>0</v>
      </c>
      <c r="F40" s="142">
        <f>COUNTIF(I40:AW40,"Coaching")</f>
        <v>6</v>
      </c>
      <c r="G40" s="142">
        <f>COUNTIF(I40:AW40,"ADM")</f>
        <v>0</v>
      </c>
      <c r="H40" s="142">
        <f>COUNTIF(I40:AW40,"RNNR")</f>
        <v>0</v>
      </c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 t="s">
        <v>224</v>
      </c>
      <c r="AB40" s="184" t="s">
        <v>224</v>
      </c>
      <c r="AC40" s="184" t="s">
        <v>224</v>
      </c>
      <c r="AD40" s="184" t="s">
        <v>223</v>
      </c>
      <c r="AE40" s="184" t="s">
        <v>223</v>
      </c>
      <c r="AF40" s="184" t="s">
        <v>223</v>
      </c>
      <c r="AG40" s="184" t="s">
        <v>224</v>
      </c>
      <c r="AH40" s="184" t="s">
        <v>224</v>
      </c>
      <c r="AI40" s="184" t="s">
        <v>224</v>
      </c>
      <c r="AJ40" s="184" t="s">
        <v>224</v>
      </c>
      <c r="AK40" s="184" t="s">
        <v>223</v>
      </c>
      <c r="AL40" s="184" t="s">
        <v>223</v>
      </c>
      <c r="AM40" s="184" t="s">
        <v>223</v>
      </c>
      <c r="AN40" s="184" t="s">
        <v>224</v>
      </c>
      <c r="AO40" s="184" t="s">
        <v>224</v>
      </c>
      <c r="AP40" s="184" t="s">
        <v>224</v>
      </c>
      <c r="AQ40" s="184" t="s">
        <v>224</v>
      </c>
      <c r="AR40" s="184" t="s">
        <v>224</v>
      </c>
      <c r="AS40" s="184" t="s">
        <v>224</v>
      </c>
      <c r="AT40" s="184" t="s">
        <v>224</v>
      </c>
      <c r="AU40" s="184" t="s">
        <v>224</v>
      </c>
      <c r="AV40" s="184" t="s">
        <v>224</v>
      </c>
      <c r="AW40" s="184"/>
    </row>
    <row r="41" spans="1:49" ht="12.75" customHeight="1" x14ac:dyDescent="0.25">
      <c r="A41" s="201"/>
      <c r="B41" s="257"/>
      <c r="C41" s="274"/>
      <c r="D41" s="141"/>
      <c r="E41" s="142"/>
      <c r="F41" s="142"/>
      <c r="G41" s="142"/>
      <c r="H41" s="142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</row>
    <row r="42" spans="1:49" ht="12.75" customHeight="1" x14ac:dyDescent="0.25">
      <c r="A42" s="202"/>
      <c r="B42" s="257"/>
      <c r="C42" s="274"/>
      <c r="D42" s="141"/>
      <c r="E42" s="142"/>
      <c r="F42" s="142"/>
      <c r="G42" s="142"/>
      <c r="H42" s="142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</row>
    <row r="43" spans="1:49" ht="12.75" customHeight="1" x14ac:dyDescent="0.25">
      <c r="A43" s="201"/>
      <c r="B43" s="150"/>
      <c r="C43" s="274"/>
      <c r="D43" s="141"/>
      <c r="E43" s="142"/>
      <c r="F43" s="142"/>
      <c r="G43" s="142"/>
      <c r="H43" s="142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</row>
    <row r="44" spans="1:49" ht="12.75" customHeight="1" x14ac:dyDescent="0.25">
      <c r="A44" s="201"/>
      <c r="B44" s="257"/>
      <c r="C44" s="274"/>
      <c r="D44" s="141"/>
      <c r="E44" s="142"/>
      <c r="F44" s="142"/>
      <c r="G44" s="142"/>
      <c r="H44" s="142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</row>
    <row r="45" spans="1:49" ht="10.5" customHeight="1" thickBot="1" x14ac:dyDescent="0.3">
      <c r="A45" s="201"/>
      <c r="B45" s="257"/>
      <c r="C45" s="274"/>
      <c r="D45" s="141"/>
      <c r="E45" s="142"/>
      <c r="F45" s="142"/>
      <c r="G45" s="142"/>
      <c r="H45" s="142"/>
      <c r="I45" s="184"/>
      <c r="J45" s="184"/>
      <c r="K45" s="184"/>
      <c r="L45" s="184"/>
      <c r="M45" s="184"/>
      <c r="N45" s="184"/>
      <c r="O45" s="184"/>
      <c r="P45" s="184"/>
      <c r="Q45" s="184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4"/>
      <c r="AI45" s="184"/>
      <c r="AJ45" s="184"/>
      <c r="AK45" s="184"/>
      <c r="AL45" s="184"/>
      <c r="AM45" s="184"/>
      <c r="AN45" s="184"/>
      <c r="AO45" s="184"/>
      <c r="AP45" s="184"/>
      <c r="AQ45" s="184"/>
      <c r="AR45" s="184"/>
      <c r="AS45" s="184"/>
      <c r="AT45" s="184"/>
      <c r="AU45" s="184"/>
      <c r="AV45" s="184"/>
      <c r="AW45" s="184"/>
    </row>
    <row r="46" spans="1:49" ht="25.5" x14ac:dyDescent="0.25">
      <c r="A46" s="283" t="s">
        <v>404</v>
      </c>
      <c r="B46" s="284" t="s">
        <v>5</v>
      </c>
      <c r="C46" s="284" t="s">
        <v>84</v>
      </c>
      <c r="D46" s="284" t="s">
        <v>86</v>
      </c>
      <c r="E46" s="284" t="s">
        <v>87</v>
      </c>
      <c r="F46" s="284" t="s">
        <v>223</v>
      </c>
      <c r="G46" s="284" t="s">
        <v>89</v>
      </c>
      <c r="H46" s="284" t="s">
        <v>90</v>
      </c>
      <c r="I46" s="239" t="s">
        <v>93</v>
      </c>
      <c r="J46" s="239" t="s">
        <v>95</v>
      </c>
      <c r="K46" s="239" t="s">
        <v>97</v>
      </c>
      <c r="L46" s="239" t="s">
        <v>140</v>
      </c>
      <c r="M46" s="239" t="s">
        <v>109</v>
      </c>
      <c r="N46" s="239" t="s">
        <v>103</v>
      </c>
      <c r="O46" s="239" t="s">
        <v>121</v>
      </c>
      <c r="P46" s="239" t="s">
        <v>113</v>
      </c>
      <c r="Q46" s="239" t="s">
        <v>105</v>
      </c>
      <c r="R46" s="239" t="s">
        <v>107</v>
      </c>
      <c r="S46" s="239" t="s">
        <v>141</v>
      </c>
      <c r="T46" s="239" t="s">
        <v>101</v>
      </c>
      <c r="U46" s="239" t="s">
        <v>122</v>
      </c>
      <c r="V46" s="239" t="s">
        <v>116</v>
      </c>
      <c r="W46" s="239" t="s">
        <v>148</v>
      </c>
      <c r="X46" s="239" t="s">
        <v>149</v>
      </c>
      <c r="Y46" s="239" t="s">
        <v>111</v>
      </c>
      <c r="Z46" s="239" t="s">
        <v>94</v>
      </c>
      <c r="AA46" s="239" t="s">
        <v>96</v>
      </c>
      <c r="AB46" s="239" t="s">
        <v>98</v>
      </c>
      <c r="AC46" s="239" t="s">
        <v>118</v>
      </c>
      <c r="AD46" s="239" t="s">
        <v>99</v>
      </c>
      <c r="AE46" s="239" t="s">
        <v>104</v>
      </c>
      <c r="AF46" s="239" t="s">
        <v>150</v>
      </c>
      <c r="AG46" s="239" t="s">
        <v>114</v>
      </c>
      <c r="AH46" s="239" t="s">
        <v>106</v>
      </c>
      <c r="AI46" s="239" t="s">
        <v>108</v>
      </c>
      <c r="AJ46" s="239" t="s">
        <v>142</v>
      </c>
      <c r="AK46" s="239" t="s">
        <v>102</v>
      </c>
      <c r="AL46" s="239" t="s">
        <v>143</v>
      </c>
      <c r="AM46" s="239" t="s">
        <v>123</v>
      </c>
      <c r="AN46" s="239" t="s">
        <v>117</v>
      </c>
      <c r="AO46" s="239" t="s">
        <v>151</v>
      </c>
      <c r="AP46" s="239" t="s">
        <v>112</v>
      </c>
      <c r="AQ46" s="239" t="s">
        <v>110</v>
      </c>
      <c r="AR46" s="239" t="s">
        <v>119</v>
      </c>
      <c r="AS46" s="239" t="s">
        <v>115</v>
      </c>
      <c r="AT46" s="239" t="s">
        <v>120</v>
      </c>
      <c r="AU46" s="285" t="s">
        <v>100</v>
      </c>
      <c r="AV46" s="285" t="s">
        <v>243</v>
      </c>
      <c r="AW46" s="285" t="s">
        <v>244</v>
      </c>
    </row>
    <row r="47" spans="1:49" ht="12.75" customHeight="1" x14ac:dyDescent="0.25">
      <c r="A47" s="202" t="s">
        <v>233</v>
      </c>
      <c r="B47" s="257" t="s">
        <v>15</v>
      </c>
      <c r="C47" s="274">
        <v>500</v>
      </c>
      <c r="D47" s="141">
        <v>1330</v>
      </c>
      <c r="E47" s="142">
        <f t="shared" ref="E47:E58" si="4">COUNTIF(I47:AW47,"HL")</f>
        <v>6</v>
      </c>
      <c r="F47" s="142">
        <f t="shared" ref="F47:F58" si="5">COUNTIF(I47:AW47,"Coaching")</f>
        <v>0</v>
      </c>
      <c r="G47" s="142">
        <f t="shared" ref="G47:G58" si="6">COUNTIF(I47:AW47,"ADM")</f>
        <v>6</v>
      </c>
      <c r="H47" s="142">
        <f t="shared" ref="H47:H58" si="7">COUNTIF(I47:AW47,"RNNR")</f>
        <v>2</v>
      </c>
      <c r="I47" s="184" t="s">
        <v>126</v>
      </c>
      <c r="J47" s="184" t="s">
        <v>126</v>
      </c>
      <c r="K47" s="184" t="s">
        <v>126</v>
      </c>
      <c r="L47" s="184" t="s">
        <v>126</v>
      </c>
      <c r="M47" s="184" t="s">
        <v>247</v>
      </c>
      <c r="N47" s="184" t="s">
        <v>130</v>
      </c>
      <c r="O47" s="184" t="s">
        <v>130</v>
      </c>
      <c r="P47" s="184" t="s">
        <v>130</v>
      </c>
      <c r="Q47" s="184" t="s">
        <v>241</v>
      </c>
      <c r="R47" s="184" t="s">
        <v>130</v>
      </c>
      <c r="S47" s="184" t="s">
        <v>130</v>
      </c>
      <c r="T47" s="184" t="s">
        <v>130</v>
      </c>
      <c r="U47" s="184" t="s">
        <v>126</v>
      </c>
      <c r="V47" s="184" t="s">
        <v>248</v>
      </c>
      <c r="W47" s="184" t="s">
        <v>211</v>
      </c>
      <c r="X47" s="184" t="s">
        <v>211</v>
      </c>
      <c r="Y47" s="184" t="s">
        <v>126</v>
      </c>
      <c r="Z47" s="184"/>
      <c r="AA47" s="184"/>
      <c r="AB47" s="184"/>
      <c r="AC47" s="184"/>
      <c r="AD47" s="184"/>
      <c r="AE47" s="184"/>
      <c r="AF47" s="184"/>
      <c r="AG47" s="184"/>
      <c r="AH47" s="184"/>
      <c r="AI47" s="184"/>
      <c r="AJ47" s="184"/>
      <c r="AK47" s="184"/>
      <c r="AL47" s="184"/>
      <c r="AM47" s="184"/>
      <c r="AN47" s="184"/>
      <c r="AO47" s="184"/>
      <c r="AP47" s="184"/>
      <c r="AQ47" s="184"/>
      <c r="AR47" s="184"/>
      <c r="AS47" s="184"/>
      <c r="AT47" s="184"/>
      <c r="AU47" s="184"/>
      <c r="AV47" s="184"/>
      <c r="AW47" s="184"/>
    </row>
    <row r="48" spans="1:49" ht="12.75" customHeight="1" x14ac:dyDescent="0.25">
      <c r="A48" s="202" t="s">
        <v>230</v>
      </c>
      <c r="B48" s="257" t="s">
        <v>15</v>
      </c>
      <c r="C48" s="274">
        <v>530</v>
      </c>
      <c r="D48" s="141">
        <v>1430</v>
      </c>
      <c r="E48" s="142">
        <f t="shared" si="4"/>
        <v>6</v>
      </c>
      <c r="F48" s="142">
        <f t="shared" si="5"/>
        <v>0</v>
      </c>
      <c r="G48" s="142">
        <f t="shared" si="6"/>
        <v>6</v>
      </c>
      <c r="H48" s="142">
        <f t="shared" si="7"/>
        <v>2</v>
      </c>
      <c r="I48" s="184"/>
      <c r="J48" s="184" t="s">
        <v>126</v>
      </c>
      <c r="K48" s="184" t="s">
        <v>126</v>
      </c>
      <c r="L48" s="184" t="s">
        <v>130</v>
      </c>
      <c r="M48" s="184" t="s">
        <v>130</v>
      </c>
      <c r="N48" s="184" t="s">
        <v>364</v>
      </c>
      <c r="O48" s="184" t="s">
        <v>211</v>
      </c>
      <c r="P48" s="184" t="s">
        <v>211</v>
      </c>
      <c r="Q48" s="184" t="s">
        <v>126</v>
      </c>
      <c r="R48" s="184" t="s">
        <v>241</v>
      </c>
      <c r="S48" s="184" t="s">
        <v>241</v>
      </c>
      <c r="T48" s="184" t="s">
        <v>130</v>
      </c>
      <c r="U48" s="184" t="s">
        <v>130</v>
      </c>
      <c r="V48" s="184" t="s">
        <v>126</v>
      </c>
      <c r="W48" s="184" t="s">
        <v>126</v>
      </c>
      <c r="X48" s="184" t="s">
        <v>242</v>
      </c>
      <c r="Y48" s="184" t="s">
        <v>126</v>
      </c>
      <c r="Z48" s="184" t="s">
        <v>130</v>
      </c>
      <c r="AA48" s="184" t="s">
        <v>130</v>
      </c>
      <c r="AB48" s="184"/>
      <c r="AC48" s="184"/>
      <c r="AD48" s="184"/>
      <c r="AE48" s="184"/>
      <c r="AF48" s="184"/>
      <c r="AG48" s="184"/>
      <c r="AH48" s="184"/>
      <c r="AI48" s="184"/>
      <c r="AJ48" s="184"/>
      <c r="AK48" s="184"/>
      <c r="AL48" s="184"/>
      <c r="AM48" s="184"/>
      <c r="AN48" s="184"/>
      <c r="AO48" s="184"/>
      <c r="AP48" s="184"/>
      <c r="AQ48" s="184"/>
      <c r="AR48" s="184"/>
      <c r="AS48" s="184"/>
      <c r="AT48" s="184"/>
      <c r="AU48" s="184"/>
      <c r="AV48" s="184"/>
      <c r="AW48" s="184"/>
    </row>
    <row r="49" spans="1:49" ht="12.75" customHeight="1" x14ac:dyDescent="0.25">
      <c r="A49" s="201" t="s">
        <v>34</v>
      </c>
      <c r="B49" s="150" t="s">
        <v>15</v>
      </c>
      <c r="C49" s="274">
        <v>630</v>
      </c>
      <c r="D49" s="141">
        <v>1500</v>
      </c>
      <c r="E49" s="142">
        <f t="shared" si="4"/>
        <v>8</v>
      </c>
      <c r="F49" s="142">
        <f t="shared" si="5"/>
        <v>0</v>
      </c>
      <c r="G49" s="142">
        <f t="shared" si="6"/>
        <v>6</v>
      </c>
      <c r="H49" s="142">
        <f t="shared" si="7"/>
        <v>0</v>
      </c>
      <c r="I49" s="184"/>
      <c r="J49" s="184"/>
      <c r="K49" s="184"/>
      <c r="L49" s="184" t="s">
        <v>126</v>
      </c>
      <c r="M49" s="184" t="s">
        <v>126</v>
      </c>
      <c r="N49" s="184" t="s">
        <v>126</v>
      </c>
      <c r="O49" s="184" t="s">
        <v>126</v>
      </c>
      <c r="P49" s="184" t="s">
        <v>240</v>
      </c>
      <c r="Q49" s="184" t="s">
        <v>126</v>
      </c>
      <c r="R49" s="184" t="s">
        <v>126</v>
      </c>
      <c r="S49" s="184" t="s">
        <v>126</v>
      </c>
      <c r="T49" s="184" t="s">
        <v>126</v>
      </c>
      <c r="U49" s="184" t="s">
        <v>241</v>
      </c>
      <c r="V49" s="184" t="s">
        <v>130</v>
      </c>
      <c r="W49" s="184" t="s">
        <v>130</v>
      </c>
      <c r="X49" s="184" t="s">
        <v>362</v>
      </c>
      <c r="Y49" s="184" t="s">
        <v>130</v>
      </c>
      <c r="Z49" s="184" t="s">
        <v>130</v>
      </c>
      <c r="AA49" s="184" t="s">
        <v>130</v>
      </c>
      <c r="AB49" s="184" t="s">
        <v>130</v>
      </c>
      <c r="AC49" s="184"/>
      <c r="AD49" s="184"/>
      <c r="AE49" s="184"/>
      <c r="AF49" s="184"/>
      <c r="AG49" s="184"/>
      <c r="AH49" s="184"/>
      <c r="AI49" s="184"/>
      <c r="AJ49" s="184"/>
      <c r="AK49" s="184"/>
      <c r="AL49" s="184"/>
      <c r="AM49" s="184"/>
      <c r="AN49" s="184"/>
      <c r="AO49" s="184"/>
      <c r="AP49" s="184"/>
      <c r="AQ49" s="184"/>
      <c r="AR49" s="184"/>
      <c r="AS49" s="184"/>
      <c r="AT49" s="184"/>
      <c r="AU49" s="184"/>
      <c r="AV49" s="184"/>
      <c r="AW49" s="184"/>
    </row>
    <row r="50" spans="1:49" ht="12.75" customHeight="1" x14ac:dyDescent="0.25">
      <c r="A50" s="202" t="s">
        <v>22</v>
      </c>
      <c r="B50" s="257" t="s">
        <v>15</v>
      </c>
      <c r="C50" s="274">
        <v>700</v>
      </c>
      <c r="D50" s="141">
        <v>1600</v>
      </c>
      <c r="E50" s="142">
        <f t="shared" si="4"/>
        <v>6</v>
      </c>
      <c r="F50" s="142">
        <f t="shared" si="5"/>
        <v>0</v>
      </c>
      <c r="G50" s="142">
        <f t="shared" si="6"/>
        <v>6</v>
      </c>
      <c r="H50" s="142">
        <f t="shared" si="7"/>
        <v>2</v>
      </c>
      <c r="I50" s="184"/>
      <c r="J50" s="184"/>
      <c r="K50" s="184"/>
      <c r="L50" s="184"/>
      <c r="M50" s="184" t="s">
        <v>126</v>
      </c>
      <c r="N50" s="184" t="s">
        <v>126</v>
      </c>
      <c r="O50" s="184" t="s">
        <v>126</v>
      </c>
      <c r="P50" s="184" t="s">
        <v>126</v>
      </c>
      <c r="Q50" s="184" t="s">
        <v>240</v>
      </c>
      <c r="R50" s="184" t="s">
        <v>130</v>
      </c>
      <c r="S50" s="184" t="s">
        <v>211</v>
      </c>
      <c r="T50" s="184" t="s">
        <v>211</v>
      </c>
      <c r="U50" s="184" t="s">
        <v>130</v>
      </c>
      <c r="V50" s="184" t="s">
        <v>241</v>
      </c>
      <c r="W50" s="184" t="s">
        <v>241</v>
      </c>
      <c r="X50" s="184" t="s">
        <v>126</v>
      </c>
      <c r="Y50" s="184" t="s">
        <v>126</v>
      </c>
      <c r="Z50" s="184" t="s">
        <v>130</v>
      </c>
      <c r="AA50" s="184" t="s">
        <v>130</v>
      </c>
      <c r="AB50" s="184" t="s">
        <v>362</v>
      </c>
      <c r="AC50" s="184" t="s">
        <v>130</v>
      </c>
      <c r="AD50" s="184" t="s">
        <v>130</v>
      </c>
      <c r="AE50" s="184"/>
      <c r="AF50" s="184"/>
      <c r="AG50" s="184"/>
      <c r="AH50" s="184"/>
      <c r="AI50" s="184"/>
      <c r="AJ50" s="184"/>
      <c r="AK50" s="184"/>
      <c r="AL50" s="184"/>
      <c r="AM50" s="184"/>
      <c r="AN50" s="184"/>
      <c r="AO50" s="184"/>
      <c r="AP50" s="184"/>
      <c r="AQ50" s="184"/>
      <c r="AR50" s="184"/>
      <c r="AS50" s="184"/>
      <c r="AT50" s="184"/>
      <c r="AU50" s="184"/>
      <c r="AV50" s="184"/>
      <c r="AW50" s="184"/>
    </row>
    <row r="51" spans="1:49" ht="12.75" customHeight="1" x14ac:dyDescent="0.25">
      <c r="A51" s="202" t="s">
        <v>41</v>
      </c>
      <c r="B51" s="257" t="s">
        <v>15</v>
      </c>
      <c r="C51" s="274">
        <v>800</v>
      </c>
      <c r="D51" s="141">
        <v>1630</v>
      </c>
      <c r="E51" s="142">
        <f t="shared" si="4"/>
        <v>6</v>
      </c>
      <c r="F51" s="142">
        <f t="shared" si="5"/>
        <v>0</v>
      </c>
      <c r="G51" s="142">
        <f t="shared" si="6"/>
        <v>6</v>
      </c>
      <c r="H51" s="142">
        <f t="shared" si="7"/>
        <v>2</v>
      </c>
      <c r="I51" s="184"/>
      <c r="J51" s="184"/>
      <c r="K51" s="184"/>
      <c r="L51" s="184"/>
      <c r="M51" s="184"/>
      <c r="N51" s="184"/>
      <c r="O51" s="184" t="s">
        <v>126</v>
      </c>
      <c r="P51" s="184" t="s">
        <v>126</v>
      </c>
      <c r="Q51" s="184" t="s">
        <v>130</v>
      </c>
      <c r="R51" s="184" t="s">
        <v>130</v>
      </c>
      <c r="S51" s="184" t="s">
        <v>247</v>
      </c>
      <c r="T51" s="184" t="s">
        <v>126</v>
      </c>
      <c r="U51" s="184" t="s">
        <v>126</v>
      </c>
      <c r="V51" s="184" t="s">
        <v>126</v>
      </c>
      <c r="W51" s="184" t="s">
        <v>130</v>
      </c>
      <c r="X51" s="184" t="s">
        <v>241</v>
      </c>
      <c r="Y51" s="184" t="s">
        <v>211</v>
      </c>
      <c r="Z51" s="184" t="s">
        <v>211</v>
      </c>
      <c r="AA51" s="184" t="s">
        <v>126</v>
      </c>
      <c r="AB51" s="184" t="s">
        <v>362</v>
      </c>
      <c r="AC51" s="184" t="s">
        <v>130</v>
      </c>
      <c r="AD51" s="184" t="s">
        <v>130</v>
      </c>
      <c r="AE51" s="184" t="s">
        <v>130</v>
      </c>
      <c r="AF51" s="184"/>
      <c r="AG51" s="184"/>
      <c r="AH51" s="184"/>
      <c r="AI51" s="184"/>
      <c r="AJ51" s="184"/>
      <c r="AK51" s="184"/>
      <c r="AL51" s="184"/>
      <c r="AM51" s="184"/>
      <c r="AN51" s="184"/>
      <c r="AO51" s="184"/>
      <c r="AP51" s="184"/>
      <c r="AQ51" s="184"/>
      <c r="AR51" s="184"/>
      <c r="AS51" s="184"/>
      <c r="AT51" s="184"/>
      <c r="AU51" s="184"/>
      <c r="AV51" s="184"/>
      <c r="AW51" s="184"/>
    </row>
    <row r="52" spans="1:49" ht="12.75" customHeight="1" x14ac:dyDescent="0.25">
      <c r="A52" s="201" t="s">
        <v>231</v>
      </c>
      <c r="B52" s="150" t="s">
        <v>15</v>
      </c>
      <c r="C52" s="274">
        <v>900</v>
      </c>
      <c r="D52" s="188">
        <v>1730</v>
      </c>
      <c r="E52" s="142">
        <f t="shared" si="4"/>
        <v>6</v>
      </c>
      <c r="F52" s="142">
        <f t="shared" si="5"/>
        <v>0</v>
      </c>
      <c r="G52" s="142">
        <f t="shared" si="6"/>
        <v>6</v>
      </c>
      <c r="H52" s="142">
        <f t="shared" si="7"/>
        <v>2</v>
      </c>
      <c r="I52" s="184"/>
      <c r="J52" s="184"/>
      <c r="K52" s="184"/>
      <c r="L52" s="184"/>
      <c r="M52" s="184"/>
      <c r="N52" s="184"/>
      <c r="O52" s="184"/>
      <c r="P52" s="184"/>
      <c r="Q52" s="184" t="s">
        <v>126</v>
      </c>
      <c r="R52" s="184" t="s">
        <v>126</v>
      </c>
      <c r="S52" s="184" t="s">
        <v>126</v>
      </c>
      <c r="T52" s="184" t="s">
        <v>240</v>
      </c>
      <c r="U52" s="184" t="s">
        <v>126</v>
      </c>
      <c r="V52" s="184" t="s">
        <v>126</v>
      </c>
      <c r="W52" s="184" t="s">
        <v>130</v>
      </c>
      <c r="X52" s="184" t="s">
        <v>130</v>
      </c>
      <c r="Y52" s="184" t="s">
        <v>241</v>
      </c>
      <c r="Z52" s="184" t="s">
        <v>130</v>
      </c>
      <c r="AA52" s="184" t="s">
        <v>130</v>
      </c>
      <c r="AB52" s="184" t="s">
        <v>126</v>
      </c>
      <c r="AC52" s="184" t="s">
        <v>130</v>
      </c>
      <c r="AD52" s="184" t="s">
        <v>362</v>
      </c>
      <c r="AE52" s="184" t="s">
        <v>211</v>
      </c>
      <c r="AF52" s="184" t="s">
        <v>211</v>
      </c>
      <c r="AG52" s="184" t="s">
        <v>130</v>
      </c>
      <c r="AH52" s="184"/>
      <c r="AI52" s="184"/>
      <c r="AJ52" s="184"/>
      <c r="AK52" s="184"/>
      <c r="AL52" s="184"/>
      <c r="AM52" s="184"/>
      <c r="AN52" s="184"/>
      <c r="AO52" s="184"/>
      <c r="AP52" s="184"/>
      <c r="AQ52" s="184"/>
      <c r="AR52" s="184"/>
      <c r="AS52" s="184"/>
      <c r="AT52" s="184"/>
      <c r="AU52" s="184"/>
      <c r="AV52" s="184"/>
      <c r="AW52" s="184"/>
    </row>
    <row r="53" spans="1:49" ht="12.75" customHeight="1" x14ac:dyDescent="0.25">
      <c r="A53" s="202" t="s">
        <v>69</v>
      </c>
      <c r="B53" s="150" t="s">
        <v>15</v>
      </c>
      <c r="C53" s="55">
        <v>1000</v>
      </c>
      <c r="D53" s="188">
        <v>1900</v>
      </c>
      <c r="E53" s="142">
        <f t="shared" si="4"/>
        <v>5</v>
      </c>
      <c r="F53" s="142">
        <f t="shared" si="5"/>
        <v>0</v>
      </c>
      <c r="G53" s="142">
        <f t="shared" si="6"/>
        <v>5</v>
      </c>
      <c r="H53" s="142">
        <f t="shared" si="7"/>
        <v>2</v>
      </c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 t="s">
        <v>130</v>
      </c>
      <c r="T53" s="184" t="s">
        <v>130</v>
      </c>
      <c r="U53" s="184" t="s">
        <v>211</v>
      </c>
      <c r="V53" s="184" t="s">
        <v>211</v>
      </c>
      <c r="W53" s="184" t="s">
        <v>240</v>
      </c>
      <c r="X53" s="184" t="s">
        <v>130</v>
      </c>
      <c r="Y53" s="184" t="s">
        <v>126</v>
      </c>
      <c r="Z53" s="184" t="s">
        <v>431</v>
      </c>
      <c r="AA53" s="184" t="s">
        <v>431</v>
      </c>
      <c r="AB53" s="184" t="s">
        <v>241</v>
      </c>
      <c r="AC53" s="184" t="s">
        <v>241</v>
      </c>
      <c r="AD53" s="184" t="s">
        <v>126</v>
      </c>
      <c r="AE53" s="184" t="s">
        <v>126</v>
      </c>
      <c r="AF53" s="184" t="s">
        <v>126</v>
      </c>
      <c r="AG53" s="184" t="s">
        <v>363</v>
      </c>
      <c r="AH53" s="184" t="s">
        <v>130</v>
      </c>
      <c r="AI53" s="184" t="s">
        <v>126</v>
      </c>
      <c r="AJ53" s="184" t="s">
        <v>130</v>
      </c>
      <c r="AK53" s="184"/>
      <c r="AL53" s="184"/>
      <c r="AM53" s="184"/>
      <c r="AN53" s="184"/>
      <c r="AO53" s="184"/>
      <c r="AP53" s="184"/>
      <c r="AQ53" s="184"/>
      <c r="AR53" s="184"/>
      <c r="AS53" s="184"/>
      <c r="AT53" s="184"/>
      <c r="AU53" s="184"/>
      <c r="AV53" s="184"/>
      <c r="AW53" s="184"/>
    </row>
    <row r="54" spans="1:49" ht="12.75" customHeight="1" x14ac:dyDescent="0.25">
      <c r="A54" s="202" t="s">
        <v>414</v>
      </c>
      <c r="B54" s="257" t="s">
        <v>15</v>
      </c>
      <c r="C54" s="274">
        <v>1130</v>
      </c>
      <c r="D54" s="141">
        <v>1930</v>
      </c>
      <c r="E54" s="142">
        <f t="shared" si="4"/>
        <v>7</v>
      </c>
      <c r="F54" s="142">
        <f t="shared" si="5"/>
        <v>0</v>
      </c>
      <c r="G54" s="142">
        <f t="shared" si="6"/>
        <v>7</v>
      </c>
      <c r="H54" s="142">
        <f t="shared" si="7"/>
        <v>0</v>
      </c>
      <c r="I54" s="184"/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 t="s">
        <v>130</v>
      </c>
      <c r="W54" s="184" t="s">
        <v>130</v>
      </c>
      <c r="X54" s="184" t="s">
        <v>130</v>
      </c>
      <c r="Y54" s="184" t="s">
        <v>130</v>
      </c>
      <c r="Z54" s="184" t="s">
        <v>364</v>
      </c>
      <c r="AA54" s="184" t="s">
        <v>126</v>
      </c>
      <c r="AB54" s="184" t="s">
        <v>126</v>
      </c>
      <c r="AC54" s="184" t="s">
        <v>126</v>
      </c>
      <c r="AD54" s="184" t="s">
        <v>126</v>
      </c>
      <c r="AE54" s="184" t="s">
        <v>241</v>
      </c>
      <c r="AF54" s="184" t="s">
        <v>126</v>
      </c>
      <c r="AG54" s="184" t="s">
        <v>130</v>
      </c>
      <c r="AH54" s="184" t="s">
        <v>362</v>
      </c>
      <c r="AI54" s="184" t="s">
        <v>130</v>
      </c>
      <c r="AJ54" s="184" t="s">
        <v>126</v>
      </c>
      <c r="AK54" s="184" t="s">
        <v>126</v>
      </c>
      <c r="AL54" s="184" t="s">
        <v>130</v>
      </c>
      <c r="AM54" s="184"/>
      <c r="AN54" s="184"/>
      <c r="AO54" s="184"/>
      <c r="AP54" s="184"/>
      <c r="AQ54" s="184"/>
      <c r="AR54" s="184"/>
      <c r="AS54" s="184"/>
      <c r="AT54" s="184"/>
      <c r="AU54" s="184"/>
      <c r="AV54" s="184"/>
      <c r="AW54" s="184"/>
    </row>
    <row r="55" spans="1:49" ht="12.75" customHeight="1" x14ac:dyDescent="0.25">
      <c r="A55" s="201" t="s">
        <v>236</v>
      </c>
      <c r="B55" s="257" t="s">
        <v>15</v>
      </c>
      <c r="C55" s="274">
        <v>1130</v>
      </c>
      <c r="D55" s="141">
        <v>2000</v>
      </c>
      <c r="E55" s="142">
        <f t="shared" si="4"/>
        <v>5</v>
      </c>
      <c r="F55" s="142">
        <f t="shared" si="5"/>
        <v>0</v>
      </c>
      <c r="G55" s="142">
        <f t="shared" si="6"/>
        <v>5</v>
      </c>
      <c r="H55" s="142">
        <f t="shared" si="7"/>
        <v>2</v>
      </c>
      <c r="I55" s="184"/>
      <c r="J55" s="184"/>
      <c r="K55" s="184"/>
      <c r="L55" s="184"/>
      <c r="M55" s="184"/>
      <c r="N55" s="184"/>
      <c r="O55" s="184"/>
      <c r="P55" s="184"/>
      <c r="Q55" s="184"/>
      <c r="R55" s="184"/>
      <c r="S55" s="184"/>
      <c r="T55" s="184"/>
      <c r="U55" s="184"/>
      <c r="V55" s="184" t="s">
        <v>130</v>
      </c>
      <c r="W55" s="184" t="s">
        <v>431</v>
      </c>
      <c r="X55" s="184" t="s">
        <v>431</v>
      </c>
      <c r="Y55" s="184" t="s">
        <v>240</v>
      </c>
      <c r="Z55" s="184" t="s">
        <v>130</v>
      </c>
      <c r="AA55" s="184" t="s">
        <v>211</v>
      </c>
      <c r="AB55" s="184" t="s">
        <v>211</v>
      </c>
      <c r="AC55" s="184" t="s">
        <v>130</v>
      </c>
      <c r="AD55" s="184" t="s">
        <v>241</v>
      </c>
      <c r="AE55" s="184" t="s">
        <v>126</v>
      </c>
      <c r="AF55" s="184" t="s">
        <v>126</v>
      </c>
      <c r="AG55" s="184" t="s">
        <v>126</v>
      </c>
      <c r="AH55" s="184" t="s">
        <v>126</v>
      </c>
      <c r="AI55" s="184" t="s">
        <v>363</v>
      </c>
      <c r="AJ55" s="184" t="s">
        <v>130</v>
      </c>
      <c r="AK55" s="184" t="s">
        <v>130</v>
      </c>
      <c r="AL55" s="184" t="s">
        <v>126</v>
      </c>
      <c r="AM55" s="184"/>
      <c r="AN55" s="184"/>
      <c r="AO55" s="184"/>
      <c r="AP55" s="184"/>
      <c r="AQ55" s="184"/>
      <c r="AR55" s="184"/>
      <c r="AS55" s="184"/>
      <c r="AT55" s="184"/>
      <c r="AU55" s="184"/>
      <c r="AV55" s="184"/>
      <c r="AW55" s="184"/>
    </row>
    <row r="56" spans="1:49" ht="12.75" customHeight="1" x14ac:dyDescent="0.25">
      <c r="A56" s="201" t="s">
        <v>50</v>
      </c>
      <c r="B56" s="257" t="s">
        <v>15</v>
      </c>
      <c r="C56" s="274">
        <v>1200</v>
      </c>
      <c r="D56" s="141">
        <v>2230</v>
      </c>
      <c r="E56" s="142">
        <f t="shared" si="4"/>
        <v>8</v>
      </c>
      <c r="F56" s="142">
        <f t="shared" si="5"/>
        <v>0</v>
      </c>
      <c r="G56" s="142">
        <f t="shared" si="6"/>
        <v>8</v>
      </c>
      <c r="H56" s="142">
        <f t="shared" si="7"/>
        <v>2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 t="s">
        <v>130</v>
      </c>
      <c r="X56" s="184" t="s">
        <v>130</v>
      </c>
      <c r="Y56" s="184" t="s">
        <v>130</v>
      </c>
      <c r="Z56" s="184" t="s">
        <v>130</v>
      </c>
      <c r="AA56" s="184" t="s">
        <v>130</v>
      </c>
      <c r="AB56" s="184" t="s">
        <v>247</v>
      </c>
      <c r="AC56" s="184" t="s">
        <v>126</v>
      </c>
      <c r="AD56" s="184" t="s">
        <v>126</v>
      </c>
      <c r="AE56" s="184" t="s">
        <v>126</v>
      </c>
      <c r="AF56" s="184" t="s">
        <v>126</v>
      </c>
      <c r="AG56" s="184" t="s">
        <v>241</v>
      </c>
      <c r="AH56" s="184" t="s">
        <v>241</v>
      </c>
      <c r="AI56" s="184" t="s">
        <v>126</v>
      </c>
      <c r="AJ56" s="184" t="s">
        <v>130</v>
      </c>
      <c r="AK56" s="184" t="s">
        <v>211</v>
      </c>
      <c r="AL56" s="184" t="s">
        <v>211</v>
      </c>
      <c r="AM56" s="184" t="s">
        <v>362</v>
      </c>
      <c r="AN56" s="184" t="s">
        <v>130</v>
      </c>
      <c r="AO56" s="184" t="s">
        <v>126</v>
      </c>
      <c r="AP56" s="184" t="s">
        <v>126</v>
      </c>
      <c r="AQ56" s="184" t="s">
        <v>126</v>
      </c>
      <c r="AR56" s="184" t="s">
        <v>130</v>
      </c>
      <c r="AS56" s="184"/>
      <c r="AT56" s="184"/>
      <c r="AU56" s="184"/>
      <c r="AV56" s="184"/>
      <c r="AW56" s="184"/>
    </row>
    <row r="57" spans="1:49" ht="12.75" customHeight="1" x14ac:dyDescent="0.25">
      <c r="A57" s="202" t="s">
        <v>226</v>
      </c>
      <c r="B57" s="257" t="s">
        <v>15</v>
      </c>
      <c r="C57" s="274">
        <v>1200</v>
      </c>
      <c r="D57" s="141">
        <v>2030</v>
      </c>
      <c r="E57" s="142">
        <f t="shared" si="4"/>
        <v>6</v>
      </c>
      <c r="F57" s="142">
        <f t="shared" si="5"/>
        <v>0</v>
      </c>
      <c r="G57" s="142">
        <f t="shared" si="6"/>
        <v>6</v>
      </c>
      <c r="H57" s="142">
        <f t="shared" si="7"/>
        <v>0</v>
      </c>
      <c r="I57" s="184"/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 t="s">
        <v>126</v>
      </c>
      <c r="X57" s="184" t="s">
        <v>126</v>
      </c>
      <c r="Y57" s="184" t="s">
        <v>130</v>
      </c>
      <c r="Z57" s="184" t="s">
        <v>130</v>
      </c>
      <c r="AA57" s="184" t="s">
        <v>364</v>
      </c>
      <c r="AB57" s="184" t="s">
        <v>126</v>
      </c>
      <c r="AC57" s="184" t="s">
        <v>431</v>
      </c>
      <c r="AD57" s="184" t="s">
        <v>431</v>
      </c>
      <c r="AE57" s="184" t="s">
        <v>241</v>
      </c>
      <c r="AF57" s="184" t="s">
        <v>130</v>
      </c>
      <c r="AG57" s="184" t="s">
        <v>130</v>
      </c>
      <c r="AH57" s="184" t="s">
        <v>130</v>
      </c>
      <c r="AI57" s="184" t="s">
        <v>242</v>
      </c>
      <c r="AJ57" s="184" t="s">
        <v>126</v>
      </c>
      <c r="AK57" s="184" t="s">
        <v>126</v>
      </c>
      <c r="AL57" s="184" t="s">
        <v>130</v>
      </c>
      <c r="AM57" s="184" t="s">
        <v>126</v>
      </c>
      <c r="AN57" s="184"/>
      <c r="AO57" s="184"/>
      <c r="AP57" s="184"/>
      <c r="AQ57" s="184"/>
      <c r="AR57" s="184"/>
      <c r="AS57" s="184"/>
      <c r="AT57" s="184"/>
      <c r="AU57" s="184"/>
      <c r="AV57" s="184"/>
      <c r="AW57" s="184"/>
    </row>
    <row r="58" spans="1:49" ht="12.75" customHeight="1" x14ac:dyDescent="0.25">
      <c r="A58" s="202" t="s">
        <v>238</v>
      </c>
      <c r="B58" s="257" t="s">
        <v>15</v>
      </c>
      <c r="C58" s="274">
        <v>1230</v>
      </c>
      <c r="D58" s="141">
        <v>2100</v>
      </c>
      <c r="E58" s="142">
        <f t="shared" si="4"/>
        <v>6</v>
      </c>
      <c r="F58" s="142">
        <f t="shared" si="5"/>
        <v>0</v>
      </c>
      <c r="G58" s="142">
        <f t="shared" si="6"/>
        <v>6</v>
      </c>
      <c r="H58" s="142">
        <f t="shared" si="7"/>
        <v>2</v>
      </c>
      <c r="I58" s="184"/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  <c r="X58" s="184" t="s">
        <v>126</v>
      </c>
      <c r="Y58" s="184" t="s">
        <v>126</v>
      </c>
      <c r="Z58" s="184" t="s">
        <v>126</v>
      </c>
      <c r="AA58" s="184" t="s">
        <v>361</v>
      </c>
      <c r="AB58" s="184" t="s">
        <v>130</v>
      </c>
      <c r="AC58" s="184" t="s">
        <v>130</v>
      </c>
      <c r="AD58" s="184" t="s">
        <v>130</v>
      </c>
      <c r="AE58" s="184" t="s">
        <v>130</v>
      </c>
      <c r="AF58" s="184" t="s">
        <v>241</v>
      </c>
      <c r="AG58" s="184" t="s">
        <v>211</v>
      </c>
      <c r="AH58" s="184" t="s">
        <v>211</v>
      </c>
      <c r="AI58" s="184" t="s">
        <v>130</v>
      </c>
      <c r="AJ58" s="184" t="s">
        <v>362</v>
      </c>
      <c r="AK58" s="184" t="s">
        <v>130</v>
      </c>
      <c r="AL58" s="184" t="s">
        <v>126</v>
      </c>
      <c r="AM58" s="184" t="s">
        <v>126</v>
      </c>
      <c r="AN58" s="184" t="s">
        <v>126</v>
      </c>
      <c r="AO58" s="184"/>
      <c r="AP58" s="184"/>
      <c r="AQ58" s="184"/>
      <c r="AR58" s="184"/>
      <c r="AS58" s="184"/>
      <c r="AT58" s="184"/>
      <c r="AU58" s="184"/>
      <c r="AV58" s="184"/>
      <c r="AW58" s="184"/>
    </row>
    <row r="59" spans="1:49" ht="12.75" customHeight="1" x14ac:dyDescent="0.25">
      <c r="A59" s="202" t="s">
        <v>587</v>
      </c>
      <c r="B59" s="257" t="s">
        <v>15</v>
      </c>
      <c r="C59" s="274">
        <v>1230</v>
      </c>
      <c r="D59" s="141">
        <v>2100</v>
      </c>
      <c r="E59" s="142">
        <f>COUNTIF(I60:AW60,"HL")</f>
        <v>8</v>
      </c>
      <c r="F59" s="142">
        <f>COUNTIF(I60:AW60,"Coaching")</f>
        <v>0</v>
      </c>
      <c r="G59" s="142">
        <f>COUNTIF(I60:AW60,"ADM")</f>
        <v>6</v>
      </c>
      <c r="H59" s="142">
        <f>COUNTIF(I60:AW60,"RNNR")</f>
        <v>0</v>
      </c>
      <c r="I59" s="184"/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  <c r="X59" s="184" t="s">
        <v>126</v>
      </c>
      <c r="Y59" s="184" t="s">
        <v>126</v>
      </c>
      <c r="Z59" s="184" t="s">
        <v>240</v>
      </c>
      <c r="AA59" s="184" t="s">
        <v>126</v>
      </c>
      <c r="AB59" s="184" t="s">
        <v>130</v>
      </c>
      <c r="AC59" s="184" t="s">
        <v>211</v>
      </c>
      <c r="AD59" s="184" t="s">
        <v>211</v>
      </c>
      <c r="AE59" s="184" t="s">
        <v>241</v>
      </c>
      <c r="AF59" s="184" t="s">
        <v>130</v>
      </c>
      <c r="AG59" s="184" t="s">
        <v>126</v>
      </c>
      <c r="AH59" s="184" t="s">
        <v>126</v>
      </c>
      <c r="AI59" s="184" t="s">
        <v>126</v>
      </c>
      <c r="AJ59" s="184" t="s">
        <v>130</v>
      </c>
      <c r="AK59" s="184" t="s">
        <v>363</v>
      </c>
      <c r="AL59" s="184" t="s">
        <v>130</v>
      </c>
      <c r="AM59" s="184" t="s">
        <v>130</v>
      </c>
      <c r="AN59" s="184" t="s">
        <v>126</v>
      </c>
      <c r="AO59" s="184"/>
      <c r="AP59" s="184"/>
      <c r="AQ59" s="184"/>
      <c r="AR59" s="184"/>
      <c r="AS59" s="184"/>
      <c r="AT59" s="184"/>
      <c r="AU59" s="184"/>
      <c r="AV59" s="184"/>
      <c r="AW59" s="184"/>
    </row>
    <row r="60" spans="1:49" ht="12.75" customHeight="1" x14ac:dyDescent="0.25">
      <c r="A60" s="201" t="s">
        <v>586</v>
      </c>
      <c r="B60" s="257" t="s">
        <v>15</v>
      </c>
      <c r="C60" s="274">
        <v>1330</v>
      </c>
      <c r="D60" s="141">
        <v>2200</v>
      </c>
      <c r="E60" s="142">
        <f>COUNTIF(I61:AW61,"HL")</f>
        <v>7</v>
      </c>
      <c r="F60" s="142">
        <f>COUNTIF(I61:AW61,"Coaching")</f>
        <v>0</v>
      </c>
      <c r="G60" s="142">
        <f>COUNTIF(I61:AW61,"ADM")</f>
        <v>7</v>
      </c>
      <c r="H60" s="142">
        <f>COUNTIF(I61:AW61,"RNNR")</f>
        <v>0</v>
      </c>
      <c r="I60" s="184"/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  <c r="X60" s="184"/>
      <c r="Y60" s="184"/>
      <c r="Z60" s="184" t="s">
        <v>126</v>
      </c>
      <c r="AA60" s="184" t="s">
        <v>126</v>
      </c>
      <c r="AB60" s="184" t="s">
        <v>126</v>
      </c>
      <c r="AC60" s="184" t="s">
        <v>126</v>
      </c>
      <c r="AD60" s="184" t="s">
        <v>361</v>
      </c>
      <c r="AE60" s="184" t="s">
        <v>130</v>
      </c>
      <c r="AF60" s="184" t="s">
        <v>130</v>
      </c>
      <c r="AG60" s="184" t="s">
        <v>130</v>
      </c>
      <c r="AH60" s="184" t="s">
        <v>126</v>
      </c>
      <c r="AI60" s="184" t="s">
        <v>241</v>
      </c>
      <c r="AJ60" s="184" t="s">
        <v>126</v>
      </c>
      <c r="AK60" s="184" t="s">
        <v>126</v>
      </c>
      <c r="AL60" s="184" t="s">
        <v>126</v>
      </c>
      <c r="AM60" s="184" t="s">
        <v>242</v>
      </c>
      <c r="AN60" s="184" t="s">
        <v>130</v>
      </c>
      <c r="AO60" s="184" t="s">
        <v>130</v>
      </c>
      <c r="AP60" s="184" t="s">
        <v>130</v>
      </c>
      <c r="AQ60" s="184"/>
      <c r="AR60" s="184"/>
      <c r="AS60" s="184"/>
      <c r="AT60" s="184"/>
      <c r="AU60" s="184"/>
      <c r="AV60" s="184"/>
      <c r="AW60" s="184"/>
    </row>
    <row r="61" spans="1:49" ht="12.75" customHeight="1" x14ac:dyDescent="0.25">
      <c r="A61" s="201" t="s">
        <v>235</v>
      </c>
      <c r="B61" s="257" t="s">
        <v>15</v>
      </c>
      <c r="C61" s="274">
        <v>1530</v>
      </c>
      <c r="D61" s="141">
        <v>0</v>
      </c>
      <c r="E61" s="142">
        <f t="shared" ref="E61:E74" si="8">COUNTIF(I61:AW61,"HL")</f>
        <v>7</v>
      </c>
      <c r="F61" s="142">
        <f t="shared" ref="F61:F74" si="9">COUNTIF(I61:AW61,"Coaching")</f>
        <v>0</v>
      </c>
      <c r="G61" s="142">
        <f t="shared" ref="G61:G74" si="10">COUNTIF(I61:AW61,"ADM")</f>
        <v>7</v>
      </c>
      <c r="H61" s="142">
        <f t="shared" ref="H61:H74" si="11">COUNTIF(I61:AW61,"RNNR")</f>
        <v>0</v>
      </c>
      <c r="I61" s="184"/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  <c r="X61" s="184"/>
      <c r="Y61" s="184"/>
      <c r="Z61" s="184"/>
      <c r="AA61" s="184"/>
      <c r="AB61" s="184"/>
      <c r="AC61" s="184"/>
      <c r="AD61" s="184" t="s">
        <v>130</v>
      </c>
      <c r="AE61" s="184" t="s">
        <v>130</v>
      </c>
      <c r="AF61" s="184" t="s">
        <v>130</v>
      </c>
      <c r="AG61" s="184" t="s">
        <v>130</v>
      </c>
      <c r="AH61" s="184" t="s">
        <v>361</v>
      </c>
      <c r="AI61" s="184" t="s">
        <v>130</v>
      </c>
      <c r="AJ61" s="184" t="s">
        <v>126</v>
      </c>
      <c r="AK61" s="184" t="s">
        <v>126</v>
      </c>
      <c r="AL61" s="184" t="s">
        <v>241</v>
      </c>
      <c r="AM61" s="184" t="s">
        <v>130</v>
      </c>
      <c r="AN61" s="184" t="s">
        <v>130</v>
      </c>
      <c r="AO61" s="184" t="s">
        <v>126</v>
      </c>
      <c r="AP61" s="184" t="s">
        <v>126</v>
      </c>
      <c r="AQ61" s="184" t="s">
        <v>242</v>
      </c>
      <c r="AR61" s="184" t="s">
        <v>126</v>
      </c>
      <c r="AS61" s="184" t="s">
        <v>126</v>
      </c>
      <c r="AT61" s="184" t="s">
        <v>126</v>
      </c>
      <c r="AU61" s="184"/>
      <c r="AV61" s="184"/>
      <c r="AW61" s="184"/>
    </row>
    <row r="62" spans="1:49" ht="12.75" customHeight="1" x14ac:dyDescent="0.25">
      <c r="A62" s="201" t="s">
        <v>232</v>
      </c>
      <c r="B62" s="257" t="s">
        <v>15</v>
      </c>
      <c r="C62" s="274">
        <v>1600</v>
      </c>
      <c r="D62" s="141">
        <v>100</v>
      </c>
      <c r="E62" s="142">
        <f t="shared" si="8"/>
        <v>6</v>
      </c>
      <c r="F62" s="142">
        <f t="shared" si="9"/>
        <v>0</v>
      </c>
      <c r="G62" s="142">
        <f t="shared" si="10"/>
        <v>6</v>
      </c>
      <c r="H62" s="142">
        <f t="shared" si="11"/>
        <v>2</v>
      </c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 t="s">
        <v>130</v>
      </c>
      <c r="AF62" s="184" t="s">
        <v>130</v>
      </c>
      <c r="AG62" s="184" t="s">
        <v>130</v>
      </c>
      <c r="AH62" s="184" t="s">
        <v>240</v>
      </c>
      <c r="AI62" s="184" t="s">
        <v>211</v>
      </c>
      <c r="AJ62" s="184" t="s">
        <v>211</v>
      </c>
      <c r="AK62" s="184" t="s">
        <v>130</v>
      </c>
      <c r="AL62" s="184" t="s">
        <v>241</v>
      </c>
      <c r="AM62" s="184" t="s">
        <v>241</v>
      </c>
      <c r="AN62" s="184" t="s">
        <v>126</v>
      </c>
      <c r="AO62" s="184" t="s">
        <v>130</v>
      </c>
      <c r="AP62" s="184" t="s">
        <v>130</v>
      </c>
      <c r="AQ62" s="184" t="s">
        <v>126</v>
      </c>
      <c r="AR62" s="184" t="s">
        <v>126</v>
      </c>
      <c r="AS62" s="184" t="s">
        <v>248</v>
      </c>
      <c r="AT62" s="184" t="s">
        <v>126</v>
      </c>
      <c r="AU62" s="184" t="s">
        <v>126</v>
      </c>
      <c r="AV62" s="184" t="s">
        <v>126</v>
      </c>
      <c r="AW62" s="184"/>
    </row>
    <row r="63" spans="1:49" ht="12.75" customHeight="1" x14ac:dyDescent="0.25">
      <c r="A63" s="201" t="s">
        <v>32</v>
      </c>
      <c r="B63" s="150" t="s">
        <v>13</v>
      </c>
      <c r="C63" s="274">
        <v>500</v>
      </c>
      <c r="D63" s="141">
        <v>1400</v>
      </c>
      <c r="E63" s="142">
        <f t="shared" si="8"/>
        <v>0</v>
      </c>
      <c r="F63" s="142">
        <f t="shared" si="9"/>
        <v>4</v>
      </c>
      <c r="G63" s="142">
        <f t="shared" si="10"/>
        <v>0</v>
      </c>
      <c r="H63" s="142">
        <f t="shared" si="11"/>
        <v>0</v>
      </c>
      <c r="I63" s="184" t="s">
        <v>224</v>
      </c>
      <c r="J63" s="184" t="s">
        <v>224</v>
      </c>
      <c r="K63" s="184" t="s">
        <v>224</v>
      </c>
      <c r="L63" s="184" t="s">
        <v>224</v>
      </c>
      <c r="M63" s="184" t="s">
        <v>224</v>
      </c>
      <c r="N63" s="184" t="s">
        <v>224</v>
      </c>
      <c r="O63" s="184" t="s">
        <v>437</v>
      </c>
      <c r="P63" s="184" t="s">
        <v>437</v>
      </c>
      <c r="Q63" s="184" t="s">
        <v>224</v>
      </c>
      <c r="R63" s="184" t="s">
        <v>224</v>
      </c>
      <c r="S63" s="184" t="s">
        <v>224</v>
      </c>
      <c r="T63" s="184" t="s">
        <v>224</v>
      </c>
      <c r="U63" s="184" t="s">
        <v>223</v>
      </c>
      <c r="V63" s="184" t="s">
        <v>223</v>
      </c>
      <c r="W63" s="184" t="s">
        <v>223</v>
      </c>
      <c r="X63" s="184" t="s">
        <v>223</v>
      </c>
      <c r="Y63" s="184" t="s">
        <v>224</v>
      </c>
      <c r="Z63" s="184" t="s">
        <v>224</v>
      </c>
      <c r="AA63" s="184"/>
      <c r="AB63" s="184"/>
      <c r="AC63" s="184"/>
      <c r="AD63" s="184"/>
      <c r="AE63" s="184"/>
      <c r="AF63" s="184"/>
      <c r="AG63" s="184"/>
      <c r="AH63" s="184"/>
      <c r="AI63" s="184"/>
      <c r="AJ63" s="184"/>
      <c r="AK63" s="184"/>
      <c r="AL63" s="184"/>
      <c r="AM63" s="184"/>
      <c r="AN63" s="184"/>
      <c r="AO63" s="184"/>
      <c r="AP63" s="184"/>
      <c r="AQ63" s="184"/>
      <c r="AR63" s="184"/>
      <c r="AS63" s="184"/>
      <c r="AT63" s="184"/>
      <c r="AU63" s="184"/>
      <c r="AV63" s="184"/>
      <c r="AW63" s="184"/>
    </row>
    <row r="64" spans="1:49" ht="12.75" customHeight="1" x14ac:dyDescent="0.25">
      <c r="A64" s="202" t="s">
        <v>25</v>
      </c>
      <c r="B64" s="150" t="s">
        <v>13</v>
      </c>
      <c r="C64" s="274">
        <v>500</v>
      </c>
      <c r="D64" s="141">
        <v>1400</v>
      </c>
      <c r="E64" s="142">
        <f t="shared" si="8"/>
        <v>0</v>
      </c>
      <c r="F64" s="142">
        <f t="shared" si="9"/>
        <v>4</v>
      </c>
      <c r="G64" s="142">
        <f t="shared" si="10"/>
        <v>0</v>
      </c>
      <c r="H64" s="142">
        <f t="shared" si="11"/>
        <v>0</v>
      </c>
      <c r="I64" s="184" t="s">
        <v>224</v>
      </c>
      <c r="J64" s="184" t="s">
        <v>224</v>
      </c>
      <c r="K64" s="184" t="s">
        <v>224</v>
      </c>
      <c r="L64" s="184" t="s">
        <v>224</v>
      </c>
      <c r="M64" s="184" t="s">
        <v>224</v>
      </c>
      <c r="N64" s="184" t="s">
        <v>224</v>
      </c>
      <c r="O64" s="184" t="s">
        <v>437</v>
      </c>
      <c r="P64" s="184" t="s">
        <v>437</v>
      </c>
      <c r="Q64" s="184" t="s">
        <v>224</v>
      </c>
      <c r="R64" s="184" t="s">
        <v>224</v>
      </c>
      <c r="S64" s="184" t="s">
        <v>224</v>
      </c>
      <c r="T64" s="184" t="s">
        <v>224</v>
      </c>
      <c r="U64" s="184" t="s">
        <v>223</v>
      </c>
      <c r="V64" s="184" t="s">
        <v>223</v>
      </c>
      <c r="W64" s="184" t="s">
        <v>223</v>
      </c>
      <c r="X64" s="184" t="s">
        <v>223</v>
      </c>
      <c r="Y64" s="184" t="s">
        <v>224</v>
      </c>
      <c r="Z64" s="184" t="s">
        <v>224</v>
      </c>
      <c r="AA64" s="184"/>
      <c r="AB64" s="184"/>
      <c r="AC64" s="184"/>
      <c r="AD64" s="184"/>
      <c r="AE64" s="184"/>
      <c r="AF64" s="184"/>
      <c r="AG64" s="184"/>
      <c r="AH64" s="184"/>
      <c r="AI64" s="184"/>
      <c r="AJ64" s="184"/>
      <c r="AK64" s="184"/>
      <c r="AL64" s="184"/>
      <c r="AM64" s="184"/>
      <c r="AN64" s="184"/>
      <c r="AO64" s="184"/>
      <c r="AP64" s="184"/>
      <c r="AQ64" s="184"/>
      <c r="AR64" s="184"/>
      <c r="AS64" s="184"/>
      <c r="AT64" s="184"/>
      <c r="AU64" s="184"/>
      <c r="AV64" s="184"/>
      <c r="AW64" s="184"/>
    </row>
    <row r="65" spans="1:49" ht="12.75" customHeight="1" x14ac:dyDescent="0.25">
      <c r="A65" s="201" t="s">
        <v>369</v>
      </c>
      <c r="B65" s="257" t="s">
        <v>13</v>
      </c>
      <c r="C65" s="141">
        <v>600</v>
      </c>
      <c r="D65" s="141">
        <v>1500</v>
      </c>
      <c r="E65" s="142">
        <f t="shared" si="8"/>
        <v>0</v>
      </c>
      <c r="F65" s="142">
        <f t="shared" si="9"/>
        <v>4</v>
      </c>
      <c r="G65" s="142">
        <f t="shared" si="10"/>
        <v>0</v>
      </c>
      <c r="H65" s="142">
        <f t="shared" si="11"/>
        <v>0</v>
      </c>
      <c r="I65" s="184"/>
      <c r="J65" s="184"/>
      <c r="K65" s="184" t="s">
        <v>224</v>
      </c>
      <c r="L65" s="184" t="s">
        <v>224</v>
      </c>
      <c r="M65" s="184" t="s">
        <v>224</v>
      </c>
      <c r="N65" s="184" t="s">
        <v>224</v>
      </c>
      <c r="O65" s="184" t="s">
        <v>224</v>
      </c>
      <c r="P65" s="184" t="s">
        <v>224</v>
      </c>
      <c r="Q65" s="184" t="s">
        <v>437</v>
      </c>
      <c r="R65" s="184" t="s">
        <v>437</v>
      </c>
      <c r="S65" s="184" t="s">
        <v>224</v>
      </c>
      <c r="T65" s="184" t="s">
        <v>224</v>
      </c>
      <c r="U65" s="184" t="s">
        <v>224</v>
      </c>
      <c r="V65" s="184" t="s">
        <v>223</v>
      </c>
      <c r="W65" s="184" t="s">
        <v>223</v>
      </c>
      <c r="X65" s="184" t="s">
        <v>223</v>
      </c>
      <c r="Y65" s="184" t="s">
        <v>223</v>
      </c>
      <c r="Z65" s="184" t="s">
        <v>224</v>
      </c>
      <c r="AA65" s="184" t="s">
        <v>224</v>
      </c>
      <c r="AB65" s="184" t="s">
        <v>224</v>
      </c>
      <c r="AC65" s="184"/>
      <c r="AD65" s="184"/>
      <c r="AE65" s="184"/>
      <c r="AF65" s="184"/>
      <c r="AG65" s="184"/>
      <c r="AH65" s="184"/>
      <c r="AI65" s="184"/>
      <c r="AJ65" s="184"/>
      <c r="AK65" s="184"/>
      <c r="AL65" s="184"/>
      <c r="AM65" s="184"/>
      <c r="AN65" s="184"/>
      <c r="AO65" s="184"/>
      <c r="AP65" s="184"/>
      <c r="AQ65" s="184"/>
      <c r="AR65" s="184"/>
      <c r="AS65" s="184"/>
      <c r="AT65" s="184"/>
      <c r="AU65" s="184"/>
      <c r="AV65" s="184"/>
      <c r="AW65" s="184"/>
    </row>
    <row r="66" spans="1:49" ht="12.75" customHeight="1" x14ac:dyDescent="0.25">
      <c r="A66" s="202" t="s">
        <v>39</v>
      </c>
      <c r="B66" s="257" t="s">
        <v>13</v>
      </c>
      <c r="C66" s="141">
        <v>630</v>
      </c>
      <c r="D66" s="141">
        <v>1530</v>
      </c>
      <c r="E66" s="142">
        <f t="shared" si="8"/>
        <v>0</v>
      </c>
      <c r="F66" s="142">
        <f t="shared" si="9"/>
        <v>4</v>
      </c>
      <c r="G66" s="142">
        <f t="shared" si="10"/>
        <v>0</v>
      </c>
      <c r="H66" s="142">
        <f t="shared" si="11"/>
        <v>0</v>
      </c>
      <c r="I66" s="184"/>
      <c r="J66" s="184"/>
      <c r="K66" s="184"/>
      <c r="L66" s="184" t="s">
        <v>224</v>
      </c>
      <c r="M66" s="184" t="s">
        <v>224</v>
      </c>
      <c r="N66" s="184" t="s">
        <v>224</v>
      </c>
      <c r="O66" s="184" t="s">
        <v>224</v>
      </c>
      <c r="P66" s="184" t="s">
        <v>224</v>
      </c>
      <c r="Q66" s="184" t="s">
        <v>437</v>
      </c>
      <c r="R66" s="184" t="s">
        <v>437</v>
      </c>
      <c r="S66" s="184" t="s">
        <v>224</v>
      </c>
      <c r="T66" s="184" t="s">
        <v>495</v>
      </c>
      <c r="U66" s="184" t="s">
        <v>499</v>
      </c>
      <c r="V66" s="184" t="s">
        <v>499</v>
      </c>
      <c r="W66" s="184" t="s">
        <v>224</v>
      </c>
      <c r="X66" s="184" t="s">
        <v>224</v>
      </c>
      <c r="Y66" s="184" t="s">
        <v>223</v>
      </c>
      <c r="Z66" s="184" t="s">
        <v>223</v>
      </c>
      <c r="AA66" s="184" t="s">
        <v>223</v>
      </c>
      <c r="AB66" s="184" t="s">
        <v>223</v>
      </c>
      <c r="AC66" s="184" t="s">
        <v>224</v>
      </c>
      <c r="AD66" s="184"/>
      <c r="AE66" s="184"/>
      <c r="AF66" s="184"/>
      <c r="AG66" s="184"/>
      <c r="AH66" s="184"/>
      <c r="AI66" s="184"/>
      <c r="AJ66" s="184"/>
      <c r="AK66" s="184"/>
      <c r="AL66" s="184"/>
      <c r="AM66" s="184"/>
      <c r="AN66" s="184"/>
      <c r="AO66" s="184"/>
      <c r="AP66" s="184"/>
      <c r="AQ66" s="184"/>
      <c r="AR66" s="184"/>
      <c r="AS66" s="184"/>
      <c r="AT66" s="184"/>
      <c r="AU66" s="184"/>
      <c r="AV66" s="184"/>
      <c r="AW66" s="184"/>
    </row>
    <row r="67" spans="1:49" ht="12.75" customHeight="1" x14ac:dyDescent="0.25">
      <c r="A67" s="202" t="s">
        <v>31</v>
      </c>
      <c r="B67" s="150" t="s">
        <v>13</v>
      </c>
      <c r="C67" s="141">
        <v>730</v>
      </c>
      <c r="D67" s="188">
        <v>1630</v>
      </c>
      <c r="E67" s="142">
        <f t="shared" si="8"/>
        <v>0</v>
      </c>
      <c r="F67" s="142">
        <f t="shared" si="9"/>
        <v>4</v>
      </c>
      <c r="G67" s="142">
        <f t="shared" si="10"/>
        <v>0</v>
      </c>
      <c r="H67" s="142">
        <f t="shared" si="11"/>
        <v>0</v>
      </c>
      <c r="I67" s="184"/>
      <c r="J67" s="184"/>
      <c r="K67" s="184"/>
      <c r="L67" s="184"/>
      <c r="M67" s="184"/>
      <c r="N67" s="184" t="s">
        <v>224</v>
      </c>
      <c r="O67" s="184" t="s">
        <v>224</v>
      </c>
      <c r="P67" s="184" t="s">
        <v>224</v>
      </c>
      <c r="Q67" s="184" t="s">
        <v>224</v>
      </c>
      <c r="R67" s="184" t="s">
        <v>224</v>
      </c>
      <c r="S67" s="184" t="s">
        <v>437</v>
      </c>
      <c r="T67" s="184" t="s">
        <v>437</v>
      </c>
      <c r="U67" s="184" t="s">
        <v>224</v>
      </c>
      <c r="V67" s="184" t="s">
        <v>224</v>
      </c>
      <c r="W67" s="184" t="s">
        <v>224</v>
      </c>
      <c r="X67" s="184" t="s">
        <v>224</v>
      </c>
      <c r="Y67" s="184" t="s">
        <v>223</v>
      </c>
      <c r="Z67" s="184" t="s">
        <v>223</v>
      </c>
      <c r="AA67" s="184" t="s">
        <v>223</v>
      </c>
      <c r="AB67" s="184" t="s">
        <v>223</v>
      </c>
      <c r="AC67" s="184" t="s">
        <v>224</v>
      </c>
      <c r="AD67" s="184" t="s">
        <v>224</v>
      </c>
      <c r="AE67" s="184" t="s">
        <v>224</v>
      </c>
      <c r="AF67" s="184"/>
      <c r="AG67" s="184"/>
      <c r="AH67" s="184"/>
      <c r="AI67" s="184"/>
      <c r="AJ67" s="184"/>
      <c r="AK67" s="184"/>
      <c r="AL67" s="184"/>
      <c r="AM67" s="184"/>
      <c r="AN67" s="184"/>
      <c r="AO67" s="184"/>
      <c r="AP67" s="184"/>
      <c r="AQ67" s="184"/>
      <c r="AR67" s="184"/>
      <c r="AS67" s="184"/>
      <c r="AT67" s="184"/>
      <c r="AU67" s="184"/>
      <c r="AV67" s="184"/>
      <c r="AW67" s="184"/>
    </row>
    <row r="68" spans="1:49" ht="12.75" customHeight="1" x14ac:dyDescent="0.25">
      <c r="A68" s="201" t="s">
        <v>360</v>
      </c>
      <c r="B68" s="150" t="s">
        <v>13</v>
      </c>
      <c r="C68" s="274">
        <v>800</v>
      </c>
      <c r="D68" s="141">
        <v>2100</v>
      </c>
      <c r="E68" s="142">
        <f t="shared" si="8"/>
        <v>0</v>
      </c>
      <c r="F68" s="142">
        <f t="shared" si="9"/>
        <v>0</v>
      </c>
      <c r="G68" s="142">
        <f t="shared" si="10"/>
        <v>0</v>
      </c>
      <c r="H68" s="142">
        <f t="shared" si="11"/>
        <v>0</v>
      </c>
      <c r="I68" s="184"/>
      <c r="J68" s="184"/>
      <c r="K68" s="184"/>
      <c r="L68" s="184"/>
      <c r="M68" s="184"/>
      <c r="N68" s="184"/>
      <c r="O68" s="184" t="s">
        <v>224</v>
      </c>
      <c r="P68" s="184" t="s">
        <v>224</v>
      </c>
      <c r="Q68" s="184" t="s">
        <v>224</v>
      </c>
      <c r="R68" s="184" t="s">
        <v>224</v>
      </c>
      <c r="S68" s="184" t="s">
        <v>224</v>
      </c>
      <c r="T68" s="184" t="s">
        <v>224</v>
      </c>
      <c r="U68" s="184" t="s">
        <v>224</v>
      </c>
      <c r="V68" s="184" t="s">
        <v>224</v>
      </c>
      <c r="W68" s="184" t="s">
        <v>224</v>
      </c>
      <c r="X68" s="184" t="s">
        <v>224</v>
      </c>
      <c r="Y68" s="184" t="s">
        <v>224</v>
      </c>
      <c r="Z68" s="184" t="s">
        <v>224</v>
      </c>
      <c r="AA68" s="184" t="s">
        <v>224</v>
      </c>
      <c r="AB68" s="184" t="s">
        <v>224</v>
      </c>
      <c r="AC68" s="184" t="s">
        <v>224</v>
      </c>
      <c r="AD68" s="184" t="s">
        <v>224</v>
      </c>
      <c r="AE68" s="184" t="s">
        <v>224</v>
      </c>
      <c r="AF68" s="184" t="s">
        <v>224</v>
      </c>
      <c r="AG68" s="184" t="s">
        <v>224</v>
      </c>
      <c r="AH68" s="184" t="s">
        <v>224</v>
      </c>
      <c r="AI68" s="184" t="s">
        <v>224</v>
      </c>
      <c r="AJ68" s="184" t="s">
        <v>224</v>
      </c>
      <c r="AK68" s="184" t="s">
        <v>224</v>
      </c>
      <c r="AL68" s="184" t="s">
        <v>224</v>
      </c>
      <c r="AM68" s="184" t="s">
        <v>224</v>
      </c>
      <c r="AN68" s="184" t="s">
        <v>224</v>
      </c>
      <c r="AO68" s="184"/>
      <c r="AP68" s="184"/>
      <c r="AQ68" s="184"/>
      <c r="AR68" s="184"/>
      <c r="AS68" s="184"/>
      <c r="AT68" s="184"/>
      <c r="AU68" s="184"/>
      <c r="AV68" s="184"/>
      <c r="AW68" s="184"/>
    </row>
    <row r="69" spans="1:49" ht="12.75" customHeight="1" x14ac:dyDescent="0.25">
      <c r="A69" s="201" t="s">
        <v>49</v>
      </c>
      <c r="B69" s="257" t="s">
        <v>13</v>
      </c>
      <c r="C69" s="274">
        <v>800</v>
      </c>
      <c r="D69" s="141">
        <v>170</v>
      </c>
      <c r="E69" s="142">
        <f t="shared" si="8"/>
        <v>0</v>
      </c>
      <c r="F69" s="142">
        <f t="shared" si="9"/>
        <v>3</v>
      </c>
      <c r="G69" s="142">
        <f t="shared" si="10"/>
        <v>0</v>
      </c>
      <c r="H69" s="142">
        <f t="shared" si="11"/>
        <v>0</v>
      </c>
      <c r="I69" s="184"/>
      <c r="J69" s="184"/>
      <c r="K69" s="184"/>
      <c r="L69" s="184"/>
      <c r="M69" s="184"/>
      <c r="N69" s="184"/>
      <c r="O69" s="184" t="s">
        <v>224</v>
      </c>
      <c r="P69" s="184" t="s">
        <v>224</v>
      </c>
      <c r="Q69" s="184" t="s">
        <v>224</v>
      </c>
      <c r="R69" s="184" t="s">
        <v>224</v>
      </c>
      <c r="S69" s="184" t="s">
        <v>224</v>
      </c>
      <c r="T69" s="184" t="s">
        <v>224</v>
      </c>
      <c r="U69" s="184" t="s">
        <v>224</v>
      </c>
      <c r="V69" s="184" t="s">
        <v>224</v>
      </c>
      <c r="W69" s="184" t="s">
        <v>224</v>
      </c>
      <c r="X69" s="184" t="s">
        <v>224</v>
      </c>
      <c r="Y69" s="184" t="s">
        <v>224</v>
      </c>
      <c r="Z69" s="184" t="s">
        <v>437</v>
      </c>
      <c r="AA69" s="184" t="s">
        <v>437</v>
      </c>
      <c r="AB69" s="184" t="s">
        <v>224</v>
      </c>
      <c r="AC69" s="184" t="s">
        <v>224</v>
      </c>
      <c r="AD69" s="184" t="s">
        <v>223</v>
      </c>
      <c r="AE69" s="184" t="s">
        <v>223</v>
      </c>
      <c r="AF69" s="184" t="s">
        <v>223</v>
      </c>
      <c r="AG69" s="184"/>
      <c r="AH69" s="184"/>
      <c r="AI69" s="184"/>
      <c r="AJ69" s="184"/>
      <c r="AK69" s="184"/>
      <c r="AL69" s="184"/>
      <c r="AM69" s="184"/>
      <c r="AN69" s="184"/>
      <c r="AO69" s="184"/>
      <c r="AP69" s="184"/>
      <c r="AQ69" s="184"/>
      <c r="AR69" s="184"/>
      <c r="AS69" s="184"/>
      <c r="AT69" s="184"/>
      <c r="AU69" s="184"/>
      <c r="AV69" s="184"/>
      <c r="AW69" s="184"/>
    </row>
    <row r="70" spans="1:49" ht="12.75" customHeight="1" x14ac:dyDescent="0.25">
      <c r="A70" s="202" t="s">
        <v>53</v>
      </c>
      <c r="B70" s="257" t="s">
        <v>13</v>
      </c>
      <c r="C70" s="274">
        <v>830</v>
      </c>
      <c r="D70" s="141">
        <v>1730</v>
      </c>
      <c r="E70" s="142">
        <f t="shared" si="8"/>
        <v>0</v>
      </c>
      <c r="F70" s="142">
        <f t="shared" si="9"/>
        <v>4</v>
      </c>
      <c r="G70" s="142">
        <f t="shared" si="10"/>
        <v>0</v>
      </c>
      <c r="H70" s="142">
        <f t="shared" si="11"/>
        <v>0</v>
      </c>
      <c r="I70" s="184"/>
      <c r="J70" s="184"/>
      <c r="K70" s="184"/>
      <c r="L70" s="184"/>
      <c r="M70" s="184"/>
      <c r="N70" s="184"/>
      <c r="O70" s="184"/>
      <c r="P70" s="184" t="s">
        <v>224</v>
      </c>
      <c r="Q70" s="184" t="s">
        <v>224</v>
      </c>
      <c r="R70" s="184" t="s">
        <v>224</v>
      </c>
      <c r="S70" s="184" t="s">
        <v>437</v>
      </c>
      <c r="T70" s="184" t="s">
        <v>437</v>
      </c>
      <c r="U70" s="184" t="s">
        <v>224</v>
      </c>
      <c r="V70" s="184" t="s">
        <v>224</v>
      </c>
      <c r="W70" s="184" t="s">
        <v>224</v>
      </c>
      <c r="X70" s="184" t="s">
        <v>224</v>
      </c>
      <c r="Y70" s="184" t="s">
        <v>224</v>
      </c>
      <c r="Z70" s="184" t="s">
        <v>224</v>
      </c>
      <c r="AA70" s="184" t="s">
        <v>223</v>
      </c>
      <c r="AB70" s="184" t="s">
        <v>223</v>
      </c>
      <c r="AC70" s="184" t="s">
        <v>223</v>
      </c>
      <c r="AD70" s="184" t="s">
        <v>223</v>
      </c>
      <c r="AE70" s="184" t="s">
        <v>224</v>
      </c>
      <c r="AF70" s="184" t="s">
        <v>224</v>
      </c>
      <c r="AG70" s="184" t="s">
        <v>224</v>
      </c>
      <c r="AH70" s="184"/>
      <c r="AI70" s="184"/>
      <c r="AJ70" s="184"/>
      <c r="AK70" s="184"/>
      <c r="AL70" s="184"/>
      <c r="AM70" s="184"/>
      <c r="AN70" s="184"/>
      <c r="AO70" s="184"/>
      <c r="AP70" s="184"/>
      <c r="AQ70" s="184"/>
      <c r="AR70" s="184"/>
      <c r="AS70" s="184"/>
      <c r="AT70" s="184"/>
      <c r="AU70" s="184"/>
      <c r="AV70" s="184"/>
      <c r="AW70" s="184"/>
    </row>
    <row r="71" spans="1:49" ht="12.75" customHeight="1" x14ac:dyDescent="0.25">
      <c r="A71" s="202" t="s">
        <v>23</v>
      </c>
      <c r="B71" s="257" t="s">
        <v>13</v>
      </c>
      <c r="C71" s="274">
        <v>1230</v>
      </c>
      <c r="D71" s="141">
        <v>2130</v>
      </c>
      <c r="E71" s="142">
        <f t="shared" si="8"/>
        <v>0</v>
      </c>
      <c r="F71" s="142">
        <f t="shared" si="9"/>
        <v>4</v>
      </c>
      <c r="G71" s="142">
        <f t="shared" si="10"/>
        <v>0</v>
      </c>
      <c r="H71" s="142">
        <f t="shared" si="11"/>
        <v>0</v>
      </c>
      <c r="I71" s="184"/>
      <c r="J71" s="184"/>
      <c r="K71" s="184"/>
      <c r="L71" s="184"/>
      <c r="M71" s="184"/>
      <c r="N71" s="184"/>
      <c r="O71" s="184"/>
      <c r="P71" s="184"/>
      <c r="Q71" s="184"/>
      <c r="R71" s="184"/>
      <c r="S71" s="184"/>
      <c r="T71" s="184"/>
      <c r="U71" s="184"/>
      <c r="V71" s="184"/>
      <c r="W71" s="184"/>
      <c r="X71" s="184" t="s">
        <v>224</v>
      </c>
      <c r="Y71" s="184" t="s">
        <v>224</v>
      </c>
      <c r="Z71" s="184" t="s">
        <v>224</v>
      </c>
      <c r="AA71" s="184" t="s">
        <v>224</v>
      </c>
      <c r="AB71" s="184" t="s">
        <v>495</v>
      </c>
      <c r="AC71" s="184" t="s">
        <v>500</v>
      </c>
      <c r="AD71" s="184" t="s">
        <v>500</v>
      </c>
      <c r="AE71" s="184" t="s">
        <v>224</v>
      </c>
      <c r="AF71" s="184" t="s">
        <v>224</v>
      </c>
      <c r="AG71" s="184" t="s">
        <v>223</v>
      </c>
      <c r="AH71" s="184" t="s">
        <v>223</v>
      </c>
      <c r="AI71" s="184" t="s">
        <v>223</v>
      </c>
      <c r="AJ71" s="184" t="s">
        <v>223</v>
      </c>
      <c r="AK71" s="184" t="s">
        <v>224</v>
      </c>
      <c r="AL71" s="184" t="s">
        <v>224</v>
      </c>
      <c r="AM71" s="184" t="s">
        <v>224</v>
      </c>
      <c r="AN71" s="184" t="s">
        <v>224</v>
      </c>
      <c r="AO71" s="184" t="s">
        <v>224</v>
      </c>
      <c r="AP71" s="184"/>
      <c r="AQ71" s="184"/>
      <c r="AR71" s="184"/>
      <c r="AS71" s="184"/>
      <c r="AT71" s="184"/>
      <c r="AU71" s="184"/>
      <c r="AV71" s="184"/>
      <c r="AW71" s="184"/>
    </row>
    <row r="72" spans="1:49" ht="12.75" customHeight="1" x14ac:dyDescent="0.25">
      <c r="A72" s="202" t="s">
        <v>59</v>
      </c>
      <c r="B72" s="150" t="s">
        <v>13</v>
      </c>
      <c r="C72" s="274">
        <v>1300</v>
      </c>
      <c r="D72" s="141">
        <v>2200</v>
      </c>
      <c r="E72" s="142">
        <f t="shared" si="8"/>
        <v>0</v>
      </c>
      <c r="F72" s="142">
        <f t="shared" si="9"/>
        <v>5</v>
      </c>
      <c r="G72" s="142">
        <f t="shared" si="10"/>
        <v>0</v>
      </c>
      <c r="H72" s="142">
        <f t="shared" si="11"/>
        <v>0</v>
      </c>
      <c r="I72" s="184"/>
      <c r="J72" s="184"/>
      <c r="K72" s="184"/>
      <c r="L72" s="184"/>
      <c r="M72" s="184"/>
      <c r="N72" s="184"/>
      <c r="O72" s="184"/>
      <c r="P72" s="184"/>
      <c r="Q72" s="184"/>
      <c r="R72" s="184"/>
      <c r="S72" s="184"/>
      <c r="T72" s="184"/>
      <c r="U72" s="184"/>
      <c r="V72" s="184"/>
      <c r="W72" s="184"/>
      <c r="X72" s="184"/>
      <c r="Y72" s="184" t="s">
        <v>224</v>
      </c>
      <c r="Z72" s="184" t="s">
        <v>224</v>
      </c>
      <c r="AA72" s="184" t="s">
        <v>224</v>
      </c>
      <c r="AB72" s="184" t="s">
        <v>223</v>
      </c>
      <c r="AC72" s="184" t="s">
        <v>223</v>
      </c>
      <c r="AD72" s="184" t="s">
        <v>224</v>
      </c>
      <c r="AE72" s="184" t="s">
        <v>437</v>
      </c>
      <c r="AF72" s="184" t="s">
        <v>437</v>
      </c>
      <c r="AG72" s="184" t="s">
        <v>224</v>
      </c>
      <c r="AH72" s="184" t="s">
        <v>224</v>
      </c>
      <c r="AI72" s="184" t="s">
        <v>224</v>
      </c>
      <c r="AJ72" s="184" t="s">
        <v>224</v>
      </c>
      <c r="AK72" s="184" t="s">
        <v>224</v>
      </c>
      <c r="AL72" s="184" t="s">
        <v>223</v>
      </c>
      <c r="AM72" s="184" t="s">
        <v>223</v>
      </c>
      <c r="AN72" s="184" t="s">
        <v>223</v>
      </c>
      <c r="AO72" s="184" t="s">
        <v>224</v>
      </c>
      <c r="AP72" s="184" t="s">
        <v>224</v>
      </c>
      <c r="AQ72" s="184"/>
      <c r="AR72" s="184"/>
      <c r="AS72" s="184"/>
      <c r="AT72" s="184"/>
      <c r="AU72" s="184"/>
      <c r="AV72" s="184"/>
      <c r="AW72" s="184"/>
    </row>
    <row r="73" spans="1:49" ht="12.75" customHeight="1" x14ac:dyDescent="0.25">
      <c r="A73" s="201" t="s">
        <v>57</v>
      </c>
      <c r="B73" s="257" t="s">
        <v>13</v>
      </c>
      <c r="C73" s="274">
        <v>1300</v>
      </c>
      <c r="D73" s="141">
        <v>2200</v>
      </c>
      <c r="E73" s="142">
        <f t="shared" si="8"/>
        <v>0</v>
      </c>
      <c r="F73" s="142">
        <f t="shared" si="9"/>
        <v>5</v>
      </c>
      <c r="G73" s="142">
        <f t="shared" si="10"/>
        <v>0</v>
      </c>
      <c r="H73" s="142">
        <f t="shared" si="11"/>
        <v>0</v>
      </c>
      <c r="I73" s="184"/>
      <c r="J73" s="184"/>
      <c r="K73" s="184"/>
      <c r="L73" s="184"/>
      <c r="M73" s="184"/>
      <c r="N73" s="184"/>
      <c r="O73" s="184"/>
      <c r="P73" s="184"/>
      <c r="Q73" s="184"/>
      <c r="R73" s="184"/>
      <c r="S73" s="184"/>
      <c r="T73" s="184"/>
      <c r="U73" s="184"/>
      <c r="V73" s="184"/>
      <c r="W73" s="184"/>
      <c r="X73" s="184"/>
      <c r="Y73" s="184" t="s">
        <v>224</v>
      </c>
      <c r="Z73" s="184" t="s">
        <v>437</v>
      </c>
      <c r="AA73" s="184" t="s">
        <v>437</v>
      </c>
      <c r="AB73" s="184" t="s">
        <v>224</v>
      </c>
      <c r="AC73" s="184" t="s">
        <v>224</v>
      </c>
      <c r="AD73" s="184" t="s">
        <v>224</v>
      </c>
      <c r="AE73" s="184" t="s">
        <v>224</v>
      </c>
      <c r="AF73" s="184" t="s">
        <v>224</v>
      </c>
      <c r="AG73" s="184" t="s">
        <v>224</v>
      </c>
      <c r="AH73" s="184" t="s">
        <v>224</v>
      </c>
      <c r="AI73" s="184" t="s">
        <v>223</v>
      </c>
      <c r="AJ73" s="184" t="s">
        <v>223</v>
      </c>
      <c r="AK73" s="184" t="s">
        <v>223</v>
      </c>
      <c r="AL73" s="184" t="s">
        <v>223</v>
      </c>
      <c r="AM73" s="184" t="s">
        <v>223</v>
      </c>
      <c r="AN73" s="184" t="s">
        <v>224</v>
      </c>
      <c r="AO73" s="184" t="s">
        <v>224</v>
      </c>
      <c r="AP73" s="184" t="s">
        <v>224</v>
      </c>
      <c r="AQ73" s="184"/>
      <c r="AR73" s="184"/>
      <c r="AS73" s="184"/>
      <c r="AT73" s="184"/>
      <c r="AU73" s="184"/>
      <c r="AV73" s="184"/>
      <c r="AW73" s="184"/>
    </row>
    <row r="74" spans="1:49" ht="12.75" customHeight="1" x14ac:dyDescent="0.25">
      <c r="A74" s="202" t="s">
        <v>270</v>
      </c>
      <c r="B74" s="257" t="s">
        <v>13</v>
      </c>
      <c r="C74" s="55">
        <v>1400</v>
      </c>
      <c r="D74" s="141">
        <v>100</v>
      </c>
      <c r="E74" s="142">
        <f t="shared" si="8"/>
        <v>0</v>
      </c>
      <c r="F74" s="142">
        <f t="shared" si="9"/>
        <v>5</v>
      </c>
      <c r="G74" s="142">
        <f t="shared" si="10"/>
        <v>0</v>
      </c>
      <c r="H74" s="142">
        <f t="shared" si="11"/>
        <v>0</v>
      </c>
      <c r="I74" s="184"/>
      <c r="J74" s="184"/>
      <c r="K74" s="184"/>
      <c r="L74" s="184"/>
      <c r="M74" s="184"/>
      <c r="N74" s="184"/>
      <c r="O74" s="184"/>
      <c r="P74" s="184"/>
      <c r="Q74" s="184"/>
      <c r="R74" s="184"/>
      <c r="S74" s="184"/>
      <c r="T74" s="184"/>
      <c r="U74" s="184"/>
      <c r="V74" s="184"/>
      <c r="W74" s="184"/>
      <c r="X74" s="184"/>
      <c r="Y74" s="184"/>
      <c r="Z74" s="184"/>
      <c r="AA74" s="184" t="s">
        <v>224</v>
      </c>
      <c r="AB74" s="184" t="s">
        <v>224</v>
      </c>
      <c r="AC74" s="184" t="s">
        <v>223</v>
      </c>
      <c r="AD74" s="184" t="s">
        <v>223</v>
      </c>
      <c r="AE74" s="184" t="s">
        <v>437</v>
      </c>
      <c r="AF74" s="184" t="s">
        <v>437</v>
      </c>
      <c r="AG74" s="184" t="s">
        <v>224</v>
      </c>
      <c r="AH74" s="184" t="s">
        <v>495</v>
      </c>
      <c r="AI74" s="184" t="s">
        <v>501</v>
      </c>
      <c r="AJ74" s="184" t="s">
        <v>501</v>
      </c>
      <c r="AK74" s="184" t="s">
        <v>224</v>
      </c>
      <c r="AL74" s="184" t="s">
        <v>224</v>
      </c>
      <c r="AM74" s="184" t="s">
        <v>223</v>
      </c>
      <c r="AN74" s="184" t="s">
        <v>223</v>
      </c>
      <c r="AO74" s="184" t="s">
        <v>223</v>
      </c>
      <c r="AP74" s="184" t="s">
        <v>224</v>
      </c>
      <c r="AQ74" s="184" t="s">
        <v>224</v>
      </c>
      <c r="AR74" s="184" t="s">
        <v>224</v>
      </c>
      <c r="AS74" s="184" t="s">
        <v>224</v>
      </c>
      <c r="AT74" s="184" t="s">
        <v>224</v>
      </c>
      <c r="AU74" s="184" t="s">
        <v>224</v>
      </c>
      <c r="AV74" s="184" t="s">
        <v>224</v>
      </c>
      <c r="AW74" s="184"/>
    </row>
    <row r="75" spans="1:49" ht="12.75" customHeight="1" x14ac:dyDescent="0.25">
      <c r="A75" s="202"/>
      <c r="B75" s="140"/>
      <c r="C75" s="55"/>
      <c r="D75" s="141"/>
      <c r="E75" s="142"/>
      <c r="F75" s="142"/>
      <c r="G75" s="142"/>
      <c r="H75" s="142"/>
      <c r="I75" s="184"/>
      <c r="J75" s="184"/>
      <c r="K75" s="184"/>
      <c r="L75" s="184"/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4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84"/>
      <c r="AJ75" s="184"/>
      <c r="AK75" s="184"/>
      <c r="AL75" s="184"/>
      <c r="AM75" s="184"/>
      <c r="AN75" s="184"/>
      <c r="AO75" s="184"/>
      <c r="AP75" s="184"/>
      <c r="AQ75" s="184"/>
      <c r="AR75" s="184"/>
      <c r="AS75" s="184"/>
      <c r="AT75" s="184"/>
      <c r="AU75" s="184"/>
      <c r="AV75" s="184"/>
      <c r="AW75" s="184"/>
    </row>
    <row r="76" spans="1:49" ht="12.75" customHeight="1" x14ac:dyDescent="0.25">
      <c r="A76" s="202"/>
      <c r="B76" s="140"/>
      <c r="C76" s="55"/>
      <c r="D76" s="141"/>
      <c r="E76" s="142"/>
      <c r="F76" s="142"/>
      <c r="G76" s="142"/>
      <c r="H76" s="142"/>
      <c r="I76" s="184"/>
      <c r="J76" s="184"/>
      <c r="K76" s="184"/>
      <c r="L76" s="184"/>
      <c r="M76" s="184"/>
      <c r="N76" s="184"/>
      <c r="O76" s="184"/>
      <c r="P76" s="184"/>
      <c r="Q76" s="184"/>
      <c r="R76" s="184"/>
      <c r="S76" s="184"/>
      <c r="T76" s="184"/>
      <c r="U76" s="184"/>
      <c r="V76" s="184"/>
      <c r="W76" s="184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  <c r="AI76" s="184"/>
      <c r="AJ76" s="184"/>
      <c r="AK76" s="184"/>
      <c r="AL76" s="184"/>
      <c r="AM76" s="184"/>
      <c r="AN76" s="184"/>
      <c r="AO76" s="184"/>
      <c r="AP76" s="184"/>
      <c r="AQ76" s="184"/>
      <c r="AR76" s="184"/>
      <c r="AS76" s="184"/>
      <c r="AT76" s="184"/>
      <c r="AU76" s="184"/>
      <c r="AV76" s="184"/>
      <c r="AW76" s="184"/>
    </row>
    <row r="77" spans="1:49" ht="12.75" customHeight="1" x14ac:dyDescent="0.25">
      <c r="A77" s="201"/>
      <c r="B77" s="150"/>
      <c r="C77" s="188"/>
      <c r="D77" s="188"/>
      <c r="E77" s="142"/>
      <c r="F77" s="142"/>
      <c r="G77" s="142"/>
      <c r="H77" s="142"/>
      <c r="I77" s="184"/>
      <c r="J77" s="184"/>
      <c r="K77" s="184"/>
      <c r="L77" s="184"/>
      <c r="M77" s="184"/>
      <c r="N77" s="184"/>
      <c r="O77" s="184"/>
      <c r="P77" s="184"/>
      <c r="Q77" s="184"/>
      <c r="R77" s="184"/>
      <c r="S77" s="184"/>
      <c r="T77" s="184"/>
      <c r="U77" s="184"/>
      <c r="V77" s="184"/>
      <c r="W77" s="184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184"/>
      <c r="AJ77" s="184"/>
      <c r="AK77" s="184"/>
      <c r="AL77" s="184"/>
      <c r="AM77" s="184"/>
      <c r="AN77" s="184"/>
      <c r="AO77" s="184"/>
      <c r="AP77" s="184"/>
      <c r="AQ77" s="184"/>
      <c r="AR77" s="184"/>
      <c r="AS77" s="184"/>
      <c r="AT77" s="184"/>
      <c r="AU77" s="184"/>
      <c r="AV77" s="184"/>
      <c r="AW77" s="184"/>
    </row>
    <row r="78" spans="1:49" ht="10.5" customHeight="1" thickBot="1" x14ac:dyDescent="0.3">
      <c r="A78" s="202"/>
      <c r="B78" s="257"/>
      <c r="C78" s="274"/>
      <c r="D78" s="141"/>
      <c r="E78" s="142"/>
      <c r="F78" s="142"/>
      <c r="G78" s="142"/>
      <c r="H78" s="142"/>
      <c r="I78" s="184"/>
      <c r="J78" s="184"/>
      <c r="K78" s="184"/>
      <c r="L78" s="184"/>
      <c r="M78" s="184"/>
      <c r="N78" s="184"/>
      <c r="O78" s="184"/>
      <c r="P78" s="184"/>
      <c r="Q78" s="184"/>
      <c r="R78" s="184"/>
      <c r="S78" s="184"/>
      <c r="T78" s="184"/>
      <c r="U78" s="184"/>
      <c r="V78" s="184"/>
      <c r="W78" s="184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184"/>
      <c r="AJ78" s="184"/>
      <c r="AK78" s="184"/>
      <c r="AL78" s="184"/>
      <c r="AM78" s="184"/>
      <c r="AN78" s="184"/>
      <c r="AO78" s="184"/>
      <c r="AP78" s="184"/>
      <c r="AQ78" s="184"/>
      <c r="AR78" s="184"/>
      <c r="AS78" s="184"/>
      <c r="AT78" s="184"/>
      <c r="AU78" s="184"/>
      <c r="AV78" s="184"/>
      <c r="AW78" s="184"/>
    </row>
    <row r="79" spans="1:49" ht="25.5" x14ac:dyDescent="0.25">
      <c r="A79" s="283" t="s">
        <v>166</v>
      </c>
      <c r="B79" s="284" t="s">
        <v>5</v>
      </c>
      <c r="C79" s="284" t="s">
        <v>84</v>
      </c>
      <c r="D79" s="284" t="s">
        <v>86</v>
      </c>
      <c r="E79" s="284" t="s">
        <v>87</v>
      </c>
      <c r="F79" s="284" t="s">
        <v>223</v>
      </c>
      <c r="G79" s="284" t="s">
        <v>89</v>
      </c>
      <c r="H79" s="284" t="s">
        <v>90</v>
      </c>
      <c r="I79" s="239" t="s">
        <v>93</v>
      </c>
      <c r="J79" s="239" t="s">
        <v>95</v>
      </c>
      <c r="K79" s="239" t="s">
        <v>97</v>
      </c>
      <c r="L79" s="239" t="s">
        <v>140</v>
      </c>
      <c r="M79" s="239" t="s">
        <v>109</v>
      </c>
      <c r="N79" s="239" t="s">
        <v>103</v>
      </c>
      <c r="O79" s="239" t="s">
        <v>121</v>
      </c>
      <c r="P79" s="239" t="s">
        <v>113</v>
      </c>
      <c r="Q79" s="239" t="s">
        <v>105</v>
      </c>
      <c r="R79" s="239" t="s">
        <v>107</v>
      </c>
      <c r="S79" s="239" t="s">
        <v>141</v>
      </c>
      <c r="T79" s="239" t="s">
        <v>101</v>
      </c>
      <c r="U79" s="239" t="s">
        <v>122</v>
      </c>
      <c r="V79" s="239" t="s">
        <v>116</v>
      </c>
      <c r="W79" s="239" t="s">
        <v>148</v>
      </c>
      <c r="X79" s="239" t="s">
        <v>149</v>
      </c>
      <c r="Y79" s="239" t="s">
        <v>111</v>
      </c>
      <c r="Z79" s="239" t="s">
        <v>94</v>
      </c>
      <c r="AA79" s="239" t="s">
        <v>96</v>
      </c>
      <c r="AB79" s="239" t="s">
        <v>98</v>
      </c>
      <c r="AC79" s="239" t="s">
        <v>118</v>
      </c>
      <c r="AD79" s="239" t="s">
        <v>99</v>
      </c>
      <c r="AE79" s="239" t="s">
        <v>104</v>
      </c>
      <c r="AF79" s="239" t="s">
        <v>150</v>
      </c>
      <c r="AG79" s="239" t="s">
        <v>114</v>
      </c>
      <c r="AH79" s="239" t="s">
        <v>106</v>
      </c>
      <c r="AI79" s="239" t="s">
        <v>108</v>
      </c>
      <c r="AJ79" s="239" t="s">
        <v>142</v>
      </c>
      <c r="AK79" s="239" t="s">
        <v>102</v>
      </c>
      <c r="AL79" s="239" t="s">
        <v>143</v>
      </c>
      <c r="AM79" s="239" t="s">
        <v>123</v>
      </c>
      <c r="AN79" s="239" t="s">
        <v>117</v>
      </c>
      <c r="AO79" s="239" t="s">
        <v>151</v>
      </c>
      <c r="AP79" s="239" t="s">
        <v>112</v>
      </c>
      <c r="AQ79" s="239" t="s">
        <v>110</v>
      </c>
      <c r="AR79" s="239" t="s">
        <v>119</v>
      </c>
      <c r="AS79" s="239" t="s">
        <v>115</v>
      </c>
      <c r="AT79" s="239" t="s">
        <v>120</v>
      </c>
      <c r="AU79" s="285" t="s">
        <v>100</v>
      </c>
      <c r="AV79" s="285" t="s">
        <v>243</v>
      </c>
      <c r="AW79" s="285" t="s">
        <v>244</v>
      </c>
    </row>
    <row r="80" spans="1:49" ht="12.75" customHeight="1" x14ac:dyDescent="0.25">
      <c r="A80" s="202" t="s">
        <v>233</v>
      </c>
      <c r="B80" s="257" t="s">
        <v>15</v>
      </c>
      <c r="C80" s="274">
        <v>500</v>
      </c>
      <c r="D80" s="141">
        <v>1330</v>
      </c>
      <c r="E80" s="142">
        <f t="shared" ref="E80:E103" si="12">COUNTIF(I80:AW80,"HL")</f>
        <v>7</v>
      </c>
      <c r="F80" s="142">
        <f t="shared" ref="F80:F103" si="13">COUNTIF(I80:AW80,"Coaching")</f>
        <v>0</v>
      </c>
      <c r="G80" s="142">
        <f t="shared" ref="G80:G103" si="14">COUNTIF(I80:AW80,"ADM")</f>
        <v>5</v>
      </c>
      <c r="H80" s="142">
        <f t="shared" ref="H80:H103" si="15">COUNTIF(I80:AW80,"RNNR")</f>
        <v>2</v>
      </c>
      <c r="I80" s="184" t="s">
        <v>126</v>
      </c>
      <c r="J80" s="184" t="s">
        <v>126</v>
      </c>
      <c r="K80" s="184" t="s">
        <v>126</v>
      </c>
      <c r="L80" s="184" t="s">
        <v>126</v>
      </c>
      <c r="M80" s="184" t="s">
        <v>247</v>
      </c>
      <c r="N80" s="184" t="s">
        <v>130</v>
      </c>
      <c r="O80" s="184" t="s">
        <v>130</v>
      </c>
      <c r="P80" s="184" t="s">
        <v>130</v>
      </c>
      <c r="Q80" s="184" t="s">
        <v>126</v>
      </c>
      <c r="R80" s="184" t="s">
        <v>241</v>
      </c>
      <c r="S80" s="184" t="s">
        <v>130</v>
      </c>
      <c r="T80" s="184" t="s">
        <v>130</v>
      </c>
      <c r="U80" s="184" t="s">
        <v>126</v>
      </c>
      <c r="V80" s="184" t="s">
        <v>248</v>
      </c>
      <c r="W80" s="184" t="s">
        <v>211</v>
      </c>
      <c r="X80" s="184" t="s">
        <v>211</v>
      </c>
      <c r="Y80" s="184" t="s">
        <v>126</v>
      </c>
      <c r="Z80" s="184"/>
      <c r="AA80" s="184"/>
      <c r="AB80" s="184"/>
      <c r="AC80" s="184"/>
      <c r="AD80" s="184"/>
      <c r="AE80" s="184"/>
      <c r="AF80" s="184"/>
      <c r="AG80" s="184"/>
      <c r="AH80" s="184"/>
      <c r="AI80" s="184"/>
      <c r="AJ80" s="184"/>
      <c r="AK80" s="184"/>
      <c r="AL80" s="184"/>
      <c r="AM80" s="184"/>
      <c r="AN80" s="184"/>
      <c r="AO80" s="184"/>
      <c r="AP80" s="184"/>
      <c r="AQ80" s="184"/>
      <c r="AR80" s="184"/>
      <c r="AS80" s="184"/>
      <c r="AT80" s="184"/>
      <c r="AU80" s="184"/>
      <c r="AV80" s="184"/>
      <c r="AW80" s="184"/>
    </row>
    <row r="81" spans="1:49" ht="12.75" customHeight="1" x14ac:dyDescent="0.25">
      <c r="A81" s="202" t="s">
        <v>230</v>
      </c>
      <c r="B81" s="257" t="s">
        <v>15</v>
      </c>
      <c r="C81" s="274">
        <v>530</v>
      </c>
      <c r="D81" s="141">
        <v>1430</v>
      </c>
      <c r="E81" s="142">
        <f t="shared" si="12"/>
        <v>10</v>
      </c>
      <c r="F81" s="142">
        <f t="shared" si="13"/>
        <v>0</v>
      </c>
      <c r="G81" s="142">
        <f t="shared" si="14"/>
        <v>2</v>
      </c>
      <c r="H81" s="142">
        <f t="shared" si="15"/>
        <v>2</v>
      </c>
      <c r="I81" s="184"/>
      <c r="J81" s="184" t="s">
        <v>126</v>
      </c>
      <c r="K81" s="184" t="s">
        <v>126</v>
      </c>
      <c r="L81" s="184" t="s">
        <v>126</v>
      </c>
      <c r="M81" s="184" t="s">
        <v>126</v>
      </c>
      <c r="N81" s="184" t="s">
        <v>240</v>
      </c>
      <c r="O81" s="184" t="s">
        <v>130</v>
      </c>
      <c r="P81" s="184" t="s">
        <v>130</v>
      </c>
      <c r="Q81" s="184" t="s">
        <v>211</v>
      </c>
      <c r="R81" s="184" t="s">
        <v>211</v>
      </c>
      <c r="S81" s="184" t="s">
        <v>126</v>
      </c>
      <c r="T81" s="184" t="s">
        <v>241</v>
      </c>
      <c r="U81" s="184" t="s">
        <v>241</v>
      </c>
      <c r="V81" s="184" t="s">
        <v>126</v>
      </c>
      <c r="W81" s="184" t="s">
        <v>126</v>
      </c>
      <c r="X81" s="184" t="s">
        <v>242</v>
      </c>
      <c r="Y81" s="184" t="s">
        <v>126</v>
      </c>
      <c r="Z81" s="184" t="s">
        <v>126</v>
      </c>
      <c r="AA81" s="184" t="s">
        <v>126</v>
      </c>
      <c r="AB81" s="184"/>
      <c r="AC81" s="184"/>
      <c r="AD81" s="184"/>
      <c r="AE81" s="184"/>
      <c r="AF81" s="184"/>
      <c r="AG81" s="184"/>
      <c r="AH81" s="184"/>
      <c r="AI81" s="184"/>
      <c r="AJ81" s="184"/>
      <c r="AK81" s="184"/>
      <c r="AL81" s="184"/>
      <c r="AM81" s="184"/>
      <c r="AN81" s="184"/>
      <c r="AO81" s="184"/>
      <c r="AP81" s="184"/>
      <c r="AQ81" s="184"/>
      <c r="AR81" s="184"/>
      <c r="AS81" s="184"/>
      <c r="AT81" s="184"/>
      <c r="AU81" s="184"/>
      <c r="AV81" s="184"/>
      <c r="AW81" s="184"/>
    </row>
    <row r="82" spans="1:49" ht="12.75" customHeight="1" x14ac:dyDescent="0.25">
      <c r="A82" s="201" t="s">
        <v>34</v>
      </c>
      <c r="B82" s="150" t="s">
        <v>15</v>
      </c>
      <c r="C82" s="274">
        <v>630</v>
      </c>
      <c r="D82" s="141">
        <v>1500</v>
      </c>
      <c r="E82" s="142">
        <f t="shared" si="12"/>
        <v>7</v>
      </c>
      <c r="F82" s="142">
        <f t="shared" si="13"/>
        <v>0</v>
      </c>
      <c r="G82" s="142">
        <f t="shared" si="14"/>
        <v>5</v>
      </c>
      <c r="H82" s="142">
        <f t="shared" si="15"/>
        <v>2</v>
      </c>
      <c r="I82" s="184"/>
      <c r="J82" s="184"/>
      <c r="K82" s="184"/>
      <c r="L82" s="184" t="s">
        <v>126</v>
      </c>
      <c r="M82" s="184" t="s">
        <v>126</v>
      </c>
      <c r="N82" s="184" t="s">
        <v>130</v>
      </c>
      <c r="O82" s="184" t="s">
        <v>130</v>
      </c>
      <c r="P82" s="184" t="s">
        <v>240</v>
      </c>
      <c r="Q82" s="184" t="s">
        <v>126</v>
      </c>
      <c r="R82" s="184" t="s">
        <v>126</v>
      </c>
      <c r="S82" s="184" t="s">
        <v>211</v>
      </c>
      <c r="T82" s="184" t="s">
        <v>211</v>
      </c>
      <c r="U82" s="184" t="s">
        <v>241</v>
      </c>
      <c r="V82" s="184" t="s">
        <v>130</v>
      </c>
      <c r="W82" s="184" t="s">
        <v>130</v>
      </c>
      <c r="X82" s="184" t="s">
        <v>362</v>
      </c>
      <c r="Y82" s="184" t="s">
        <v>130</v>
      </c>
      <c r="Z82" s="184" t="s">
        <v>126</v>
      </c>
      <c r="AA82" s="184" t="s">
        <v>126</v>
      </c>
      <c r="AB82" s="184" t="s">
        <v>126</v>
      </c>
      <c r="AC82" s="184"/>
      <c r="AD82" s="184"/>
      <c r="AE82" s="184"/>
      <c r="AF82" s="184"/>
      <c r="AG82" s="184"/>
      <c r="AH82" s="184"/>
      <c r="AI82" s="184"/>
      <c r="AJ82" s="184"/>
      <c r="AK82" s="184"/>
      <c r="AL82" s="184"/>
      <c r="AM82" s="184"/>
      <c r="AN82" s="184"/>
      <c r="AO82" s="184"/>
      <c r="AP82" s="184"/>
      <c r="AQ82" s="184"/>
      <c r="AR82" s="184"/>
      <c r="AS82" s="184"/>
      <c r="AT82" s="184"/>
      <c r="AU82" s="184"/>
      <c r="AV82" s="184"/>
      <c r="AW82" s="184"/>
    </row>
    <row r="83" spans="1:49" ht="12.75" customHeight="1" x14ac:dyDescent="0.25">
      <c r="A83" s="202" t="s">
        <v>22</v>
      </c>
      <c r="B83" s="257" t="s">
        <v>15</v>
      </c>
      <c r="C83" s="274">
        <v>700</v>
      </c>
      <c r="D83" s="141">
        <v>1600</v>
      </c>
      <c r="E83" s="142">
        <f t="shared" si="12"/>
        <v>6</v>
      </c>
      <c r="F83" s="142">
        <f t="shared" si="13"/>
        <v>0</v>
      </c>
      <c r="G83" s="142">
        <f t="shared" si="14"/>
        <v>6</v>
      </c>
      <c r="H83" s="142">
        <f t="shared" si="15"/>
        <v>2</v>
      </c>
      <c r="I83" s="184"/>
      <c r="J83" s="184"/>
      <c r="K83" s="184"/>
      <c r="L83" s="184"/>
      <c r="M83" s="184" t="s">
        <v>130</v>
      </c>
      <c r="N83" s="184" t="s">
        <v>126</v>
      </c>
      <c r="O83" s="184" t="s">
        <v>126</v>
      </c>
      <c r="P83" s="184" t="s">
        <v>126</v>
      </c>
      <c r="Q83" s="184" t="s">
        <v>247</v>
      </c>
      <c r="R83" s="184" t="s">
        <v>126</v>
      </c>
      <c r="S83" s="184" t="s">
        <v>130</v>
      </c>
      <c r="T83" s="184" t="s">
        <v>130</v>
      </c>
      <c r="U83" s="184" t="s">
        <v>126</v>
      </c>
      <c r="V83" s="184" t="s">
        <v>241</v>
      </c>
      <c r="W83" s="184" t="s">
        <v>241</v>
      </c>
      <c r="X83" s="184" t="s">
        <v>130</v>
      </c>
      <c r="Y83" s="184" t="s">
        <v>211</v>
      </c>
      <c r="Z83" s="184" t="s">
        <v>211</v>
      </c>
      <c r="AA83" s="184" t="s">
        <v>363</v>
      </c>
      <c r="AB83" s="184" t="s">
        <v>130</v>
      </c>
      <c r="AC83" s="184" t="s">
        <v>130</v>
      </c>
      <c r="AD83" s="184" t="s">
        <v>126</v>
      </c>
      <c r="AE83" s="184"/>
      <c r="AF83" s="184"/>
      <c r="AG83" s="184"/>
      <c r="AH83" s="184"/>
      <c r="AI83" s="184"/>
      <c r="AJ83" s="184"/>
      <c r="AK83" s="184"/>
      <c r="AL83" s="184"/>
      <c r="AM83" s="184"/>
      <c r="AN83" s="184"/>
      <c r="AO83" s="184"/>
      <c r="AP83" s="184"/>
      <c r="AQ83" s="184"/>
      <c r="AR83" s="184"/>
      <c r="AS83" s="184"/>
      <c r="AT83" s="184"/>
      <c r="AU83" s="184"/>
      <c r="AV83" s="184"/>
      <c r="AW83" s="184"/>
    </row>
    <row r="84" spans="1:49" ht="12.75" customHeight="1" x14ac:dyDescent="0.25">
      <c r="A84" s="202" t="s">
        <v>237</v>
      </c>
      <c r="B84" s="257" t="s">
        <v>15</v>
      </c>
      <c r="C84" s="274">
        <v>730</v>
      </c>
      <c r="D84" s="141">
        <v>1600</v>
      </c>
      <c r="E84" s="142">
        <f t="shared" si="12"/>
        <v>5</v>
      </c>
      <c r="F84" s="142">
        <f t="shared" si="13"/>
        <v>0</v>
      </c>
      <c r="G84" s="142">
        <f t="shared" si="14"/>
        <v>5</v>
      </c>
      <c r="H84" s="142">
        <f t="shared" si="15"/>
        <v>2</v>
      </c>
      <c r="I84" s="184"/>
      <c r="J84" s="184"/>
      <c r="K84" s="184"/>
      <c r="L84" s="184"/>
      <c r="M84" s="184"/>
      <c r="N84" s="184" t="s">
        <v>126</v>
      </c>
      <c r="O84" s="184" t="s">
        <v>126</v>
      </c>
      <c r="P84" s="184" t="s">
        <v>130</v>
      </c>
      <c r="Q84" s="184" t="s">
        <v>130</v>
      </c>
      <c r="R84" s="184" t="s">
        <v>247</v>
      </c>
      <c r="S84" s="184" t="s">
        <v>126</v>
      </c>
      <c r="T84" s="184" t="s">
        <v>126</v>
      </c>
      <c r="U84" s="184" t="s">
        <v>211</v>
      </c>
      <c r="V84" s="184" t="s">
        <v>211</v>
      </c>
      <c r="W84" s="184" t="s">
        <v>241</v>
      </c>
      <c r="X84" s="184" t="s">
        <v>431</v>
      </c>
      <c r="Y84" s="184" t="s">
        <v>431</v>
      </c>
      <c r="Z84" s="184" t="s">
        <v>130</v>
      </c>
      <c r="AA84" s="184" t="s">
        <v>362</v>
      </c>
      <c r="AB84" s="184" t="s">
        <v>130</v>
      </c>
      <c r="AC84" s="184" t="s">
        <v>126</v>
      </c>
      <c r="AD84" s="184" t="s">
        <v>130</v>
      </c>
      <c r="AE84" s="184"/>
      <c r="AF84" s="184"/>
      <c r="AG84" s="184"/>
      <c r="AH84" s="184"/>
      <c r="AI84" s="184"/>
      <c r="AJ84" s="184"/>
      <c r="AK84" s="184"/>
      <c r="AL84" s="184"/>
      <c r="AM84" s="184"/>
      <c r="AN84" s="184"/>
      <c r="AO84" s="184"/>
      <c r="AP84" s="184"/>
      <c r="AQ84" s="184"/>
      <c r="AR84" s="184"/>
      <c r="AS84" s="184"/>
      <c r="AT84" s="184"/>
      <c r="AU84" s="184"/>
      <c r="AV84" s="184"/>
      <c r="AW84" s="184"/>
    </row>
    <row r="85" spans="1:49" ht="12.75" customHeight="1" x14ac:dyDescent="0.25">
      <c r="A85" s="202" t="s">
        <v>41</v>
      </c>
      <c r="B85" s="257" t="s">
        <v>15</v>
      </c>
      <c r="C85" s="274">
        <v>800</v>
      </c>
      <c r="D85" s="141">
        <v>1630</v>
      </c>
      <c r="E85" s="142">
        <f t="shared" si="12"/>
        <v>8</v>
      </c>
      <c r="F85" s="142">
        <f t="shared" si="13"/>
        <v>0</v>
      </c>
      <c r="G85" s="142">
        <f t="shared" si="14"/>
        <v>4</v>
      </c>
      <c r="H85" s="142">
        <f t="shared" si="15"/>
        <v>0</v>
      </c>
      <c r="I85" s="184"/>
      <c r="J85" s="184"/>
      <c r="K85" s="184"/>
      <c r="L85" s="184"/>
      <c r="M85" s="184"/>
      <c r="N85" s="184"/>
      <c r="O85" s="184" t="s">
        <v>126</v>
      </c>
      <c r="P85" s="184" t="s">
        <v>126</v>
      </c>
      <c r="Q85" s="184" t="s">
        <v>130</v>
      </c>
      <c r="R85" s="184" t="s">
        <v>130</v>
      </c>
      <c r="S85" s="184" t="s">
        <v>247</v>
      </c>
      <c r="T85" s="184" t="s">
        <v>126</v>
      </c>
      <c r="U85" s="184" t="s">
        <v>126</v>
      </c>
      <c r="V85" s="184" t="s">
        <v>431</v>
      </c>
      <c r="W85" s="184" t="s">
        <v>431</v>
      </c>
      <c r="X85" s="184" t="s">
        <v>241</v>
      </c>
      <c r="Y85" s="184" t="s">
        <v>126</v>
      </c>
      <c r="Z85" s="184" t="s">
        <v>126</v>
      </c>
      <c r="AA85" s="184" t="s">
        <v>126</v>
      </c>
      <c r="AB85" s="184" t="s">
        <v>363</v>
      </c>
      <c r="AC85" s="184" t="s">
        <v>130</v>
      </c>
      <c r="AD85" s="184" t="s">
        <v>130</v>
      </c>
      <c r="AE85" s="184" t="s">
        <v>126</v>
      </c>
      <c r="AF85" s="184"/>
      <c r="AG85" s="184"/>
      <c r="AH85" s="184"/>
      <c r="AI85" s="184"/>
      <c r="AJ85" s="184"/>
      <c r="AK85" s="184"/>
      <c r="AL85" s="184"/>
      <c r="AM85" s="184"/>
      <c r="AN85" s="184"/>
      <c r="AO85" s="184"/>
      <c r="AP85" s="184"/>
      <c r="AQ85" s="184"/>
      <c r="AR85" s="184"/>
      <c r="AS85" s="184"/>
      <c r="AT85" s="184"/>
      <c r="AU85" s="184"/>
      <c r="AV85" s="184"/>
      <c r="AW85" s="184"/>
    </row>
    <row r="86" spans="1:49" ht="12.75" customHeight="1" x14ac:dyDescent="0.25">
      <c r="A86" s="201" t="s">
        <v>236</v>
      </c>
      <c r="B86" s="257" t="s">
        <v>15</v>
      </c>
      <c r="C86" s="274">
        <v>1130</v>
      </c>
      <c r="D86" s="141">
        <v>2000</v>
      </c>
      <c r="E86" s="142">
        <f t="shared" si="12"/>
        <v>7</v>
      </c>
      <c r="F86" s="142">
        <f t="shared" si="13"/>
        <v>0</v>
      </c>
      <c r="G86" s="142">
        <f t="shared" si="14"/>
        <v>5</v>
      </c>
      <c r="H86" s="142">
        <f t="shared" si="15"/>
        <v>2</v>
      </c>
      <c r="I86" s="184"/>
      <c r="J86" s="184"/>
      <c r="K86" s="184"/>
      <c r="L86" s="184"/>
      <c r="M86" s="184"/>
      <c r="N86" s="184"/>
      <c r="O86" s="184"/>
      <c r="P86" s="184"/>
      <c r="Q86" s="184"/>
      <c r="R86" s="184"/>
      <c r="S86" s="184"/>
      <c r="T86" s="184"/>
      <c r="U86" s="184"/>
      <c r="V86" s="184" t="s">
        <v>126</v>
      </c>
      <c r="W86" s="184" t="s">
        <v>130</v>
      </c>
      <c r="X86" s="184" t="s">
        <v>126</v>
      </c>
      <c r="Y86" s="184" t="s">
        <v>240</v>
      </c>
      <c r="Z86" s="184" t="s">
        <v>130</v>
      </c>
      <c r="AA86" s="184" t="s">
        <v>211</v>
      </c>
      <c r="AB86" s="184" t="s">
        <v>211</v>
      </c>
      <c r="AC86" s="184" t="s">
        <v>126</v>
      </c>
      <c r="AD86" s="184" t="s">
        <v>241</v>
      </c>
      <c r="AE86" s="184" t="s">
        <v>126</v>
      </c>
      <c r="AF86" s="184" t="s">
        <v>130</v>
      </c>
      <c r="AG86" s="184" t="s">
        <v>126</v>
      </c>
      <c r="AH86" s="184" t="s">
        <v>126</v>
      </c>
      <c r="AI86" s="184" t="s">
        <v>363</v>
      </c>
      <c r="AJ86" s="184" t="s">
        <v>130</v>
      </c>
      <c r="AK86" s="184" t="s">
        <v>130</v>
      </c>
      <c r="AL86" s="184" t="s">
        <v>126</v>
      </c>
      <c r="AM86" s="184"/>
      <c r="AN86" s="184"/>
      <c r="AO86" s="184"/>
      <c r="AP86" s="184"/>
      <c r="AQ86" s="184"/>
      <c r="AR86" s="184"/>
      <c r="AS86" s="184"/>
      <c r="AT86" s="184"/>
      <c r="AU86" s="184"/>
      <c r="AV86" s="184"/>
      <c r="AW86" s="184"/>
    </row>
    <row r="87" spans="1:49" ht="12.75" customHeight="1" x14ac:dyDescent="0.25">
      <c r="A87" s="201" t="s">
        <v>50</v>
      </c>
      <c r="B87" s="257" t="s">
        <v>15</v>
      </c>
      <c r="C87" s="274">
        <v>1200</v>
      </c>
      <c r="D87" s="141">
        <v>2230</v>
      </c>
      <c r="E87" s="142">
        <f t="shared" si="12"/>
        <v>9</v>
      </c>
      <c r="F87" s="142">
        <f t="shared" si="13"/>
        <v>0</v>
      </c>
      <c r="G87" s="142">
        <f t="shared" si="14"/>
        <v>7</v>
      </c>
      <c r="H87" s="142">
        <f t="shared" si="15"/>
        <v>2</v>
      </c>
      <c r="I87" s="184"/>
      <c r="J87" s="184"/>
      <c r="K87" s="184"/>
      <c r="L87" s="184"/>
      <c r="M87" s="184"/>
      <c r="N87" s="184"/>
      <c r="O87" s="184"/>
      <c r="P87" s="184"/>
      <c r="Q87" s="184"/>
      <c r="R87" s="184"/>
      <c r="S87" s="184"/>
      <c r="T87" s="184"/>
      <c r="U87" s="184"/>
      <c r="V87" s="184"/>
      <c r="W87" s="184" t="s">
        <v>130</v>
      </c>
      <c r="X87" s="184" t="s">
        <v>130</v>
      </c>
      <c r="Y87" s="184" t="s">
        <v>130</v>
      </c>
      <c r="Z87" s="184" t="s">
        <v>130</v>
      </c>
      <c r="AA87" s="184" t="s">
        <v>130</v>
      </c>
      <c r="AB87" s="184" t="s">
        <v>247</v>
      </c>
      <c r="AC87" s="184" t="s">
        <v>126</v>
      </c>
      <c r="AD87" s="184" t="s">
        <v>126</v>
      </c>
      <c r="AE87" s="184" t="s">
        <v>126</v>
      </c>
      <c r="AF87" s="184" t="s">
        <v>126</v>
      </c>
      <c r="AG87" s="184" t="s">
        <v>241</v>
      </c>
      <c r="AH87" s="184" t="s">
        <v>241</v>
      </c>
      <c r="AI87" s="184" t="s">
        <v>130</v>
      </c>
      <c r="AJ87" s="184" t="s">
        <v>130</v>
      </c>
      <c r="AK87" s="184" t="s">
        <v>211</v>
      </c>
      <c r="AL87" s="184" t="s">
        <v>211</v>
      </c>
      <c r="AM87" s="184" t="s">
        <v>242</v>
      </c>
      <c r="AN87" s="184" t="s">
        <v>126</v>
      </c>
      <c r="AO87" s="184" t="s">
        <v>126</v>
      </c>
      <c r="AP87" s="184" t="s">
        <v>126</v>
      </c>
      <c r="AQ87" s="184" t="s">
        <v>126</v>
      </c>
      <c r="AR87" s="184" t="s">
        <v>126</v>
      </c>
      <c r="AS87" s="184"/>
      <c r="AT87" s="184"/>
      <c r="AU87" s="184"/>
      <c r="AV87" s="184"/>
      <c r="AW87" s="184"/>
    </row>
    <row r="88" spans="1:49" ht="12.75" customHeight="1" x14ac:dyDescent="0.25">
      <c r="A88" s="202" t="s">
        <v>226</v>
      </c>
      <c r="B88" s="257" t="s">
        <v>15</v>
      </c>
      <c r="C88" s="274">
        <v>1200</v>
      </c>
      <c r="D88" s="141">
        <v>2030</v>
      </c>
      <c r="E88" s="142">
        <f t="shared" si="12"/>
        <v>6</v>
      </c>
      <c r="F88" s="142">
        <f t="shared" si="13"/>
        <v>0</v>
      </c>
      <c r="G88" s="142">
        <f t="shared" si="14"/>
        <v>6</v>
      </c>
      <c r="H88" s="142">
        <f t="shared" si="15"/>
        <v>2</v>
      </c>
      <c r="I88" s="184"/>
      <c r="J88" s="184"/>
      <c r="K88" s="184"/>
      <c r="L88" s="184"/>
      <c r="M88" s="184"/>
      <c r="N88" s="184"/>
      <c r="O88" s="184"/>
      <c r="P88" s="184"/>
      <c r="Q88" s="184"/>
      <c r="R88" s="184"/>
      <c r="S88" s="184"/>
      <c r="T88" s="184"/>
      <c r="U88" s="184"/>
      <c r="V88" s="184"/>
      <c r="W88" s="184" t="s">
        <v>126</v>
      </c>
      <c r="X88" s="184" t="s">
        <v>126</v>
      </c>
      <c r="Y88" s="184" t="s">
        <v>130</v>
      </c>
      <c r="Z88" s="184" t="s">
        <v>364</v>
      </c>
      <c r="AA88" s="184" t="s">
        <v>130</v>
      </c>
      <c r="AB88" s="184" t="s">
        <v>126</v>
      </c>
      <c r="AC88" s="184" t="s">
        <v>211</v>
      </c>
      <c r="AD88" s="184" t="s">
        <v>211</v>
      </c>
      <c r="AE88" s="184" t="s">
        <v>241</v>
      </c>
      <c r="AF88" s="184" t="s">
        <v>130</v>
      </c>
      <c r="AG88" s="184" t="s">
        <v>130</v>
      </c>
      <c r="AH88" s="184" t="s">
        <v>130</v>
      </c>
      <c r="AI88" s="184" t="s">
        <v>363</v>
      </c>
      <c r="AJ88" s="184" t="s">
        <v>126</v>
      </c>
      <c r="AK88" s="184" t="s">
        <v>126</v>
      </c>
      <c r="AL88" s="184" t="s">
        <v>130</v>
      </c>
      <c r="AM88" s="184" t="s">
        <v>126</v>
      </c>
      <c r="AN88" s="184"/>
      <c r="AO88" s="184"/>
      <c r="AP88" s="184"/>
      <c r="AQ88" s="184"/>
      <c r="AR88" s="184"/>
      <c r="AS88" s="184"/>
      <c r="AT88" s="184"/>
      <c r="AU88" s="184"/>
      <c r="AV88" s="184"/>
      <c r="AW88" s="184"/>
    </row>
    <row r="89" spans="1:49" ht="12.75" customHeight="1" x14ac:dyDescent="0.25">
      <c r="A89" s="202" t="s">
        <v>587</v>
      </c>
      <c r="B89" s="257" t="s">
        <v>15</v>
      </c>
      <c r="C89" s="274">
        <v>1230</v>
      </c>
      <c r="D89" s="141">
        <v>2100</v>
      </c>
      <c r="E89" s="142">
        <f t="shared" si="12"/>
        <v>8</v>
      </c>
      <c r="F89" s="142">
        <f t="shared" si="13"/>
        <v>0</v>
      </c>
      <c r="G89" s="142">
        <f t="shared" si="14"/>
        <v>6</v>
      </c>
      <c r="H89" s="142">
        <f t="shared" si="15"/>
        <v>0</v>
      </c>
      <c r="I89" s="184"/>
      <c r="J89" s="184"/>
      <c r="K89" s="184"/>
      <c r="L89" s="184"/>
      <c r="M89" s="184"/>
      <c r="N89" s="184"/>
      <c r="O89" s="184"/>
      <c r="P89" s="184"/>
      <c r="Q89" s="184"/>
      <c r="R89" s="184"/>
      <c r="S89" s="184"/>
      <c r="T89" s="184"/>
      <c r="U89" s="184"/>
      <c r="V89" s="184"/>
      <c r="W89" s="184"/>
      <c r="X89" s="184" t="s">
        <v>126</v>
      </c>
      <c r="Y89" s="184" t="s">
        <v>126</v>
      </c>
      <c r="Z89" s="184" t="s">
        <v>240</v>
      </c>
      <c r="AA89" s="184" t="s">
        <v>126</v>
      </c>
      <c r="AB89" s="184" t="s">
        <v>126</v>
      </c>
      <c r="AC89" s="184" t="s">
        <v>130</v>
      </c>
      <c r="AD89" s="184" t="s">
        <v>130</v>
      </c>
      <c r="AE89" s="184" t="s">
        <v>241</v>
      </c>
      <c r="AF89" s="184" t="s">
        <v>130</v>
      </c>
      <c r="AG89" s="184" t="s">
        <v>126</v>
      </c>
      <c r="AH89" s="184" t="s">
        <v>126</v>
      </c>
      <c r="AI89" s="184" t="s">
        <v>126</v>
      </c>
      <c r="AJ89" s="184" t="s">
        <v>130</v>
      </c>
      <c r="AK89" s="184" t="s">
        <v>363</v>
      </c>
      <c r="AL89" s="184" t="s">
        <v>130</v>
      </c>
      <c r="AM89" s="184" t="s">
        <v>130</v>
      </c>
      <c r="AN89" s="184" t="s">
        <v>126</v>
      </c>
      <c r="AO89" s="184"/>
      <c r="AP89" s="184"/>
      <c r="AQ89" s="184"/>
      <c r="AR89" s="184"/>
      <c r="AS89" s="184"/>
      <c r="AT89" s="184"/>
      <c r="AU89" s="184"/>
      <c r="AV89" s="184"/>
      <c r="AW89" s="184"/>
    </row>
    <row r="90" spans="1:49" ht="12.75" customHeight="1" x14ac:dyDescent="0.25">
      <c r="A90" s="202" t="s">
        <v>238</v>
      </c>
      <c r="B90" s="257" t="s">
        <v>15</v>
      </c>
      <c r="C90" s="274">
        <v>1230</v>
      </c>
      <c r="D90" s="141">
        <v>2100</v>
      </c>
      <c r="E90" s="142">
        <f t="shared" si="12"/>
        <v>7</v>
      </c>
      <c r="F90" s="142">
        <f t="shared" si="13"/>
        <v>0</v>
      </c>
      <c r="G90" s="142">
        <f t="shared" si="14"/>
        <v>5</v>
      </c>
      <c r="H90" s="142">
        <f t="shared" si="15"/>
        <v>2</v>
      </c>
      <c r="I90" s="184"/>
      <c r="J90" s="184"/>
      <c r="K90" s="184"/>
      <c r="L90" s="184"/>
      <c r="M90" s="184"/>
      <c r="N90" s="184"/>
      <c r="O90" s="184"/>
      <c r="P90" s="184"/>
      <c r="Q90" s="184"/>
      <c r="R90" s="184"/>
      <c r="S90" s="184"/>
      <c r="T90" s="184"/>
      <c r="U90" s="184"/>
      <c r="V90" s="184"/>
      <c r="W90" s="184"/>
      <c r="X90" s="184" t="s">
        <v>126</v>
      </c>
      <c r="Y90" s="184" t="s">
        <v>126</v>
      </c>
      <c r="Z90" s="184" t="s">
        <v>126</v>
      </c>
      <c r="AA90" s="184" t="s">
        <v>361</v>
      </c>
      <c r="AB90" s="184" t="s">
        <v>130</v>
      </c>
      <c r="AC90" s="184" t="s">
        <v>130</v>
      </c>
      <c r="AD90" s="184" t="s">
        <v>130</v>
      </c>
      <c r="AE90" s="184" t="s">
        <v>130</v>
      </c>
      <c r="AF90" s="184" t="s">
        <v>241</v>
      </c>
      <c r="AG90" s="184" t="s">
        <v>211</v>
      </c>
      <c r="AH90" s="184" t="s">
        <v>211</v>
      </c>
      <c r="AI90" s="184" t="s">
        <v>126</v>
      </c>
      <c r="AJ90" s="184" t="s">
        <v>242</v>
      </c>
      <c r="AK90" s="184" t="s">
        <v>126</v>
      </c>
      <c r="AL90" s="184" t="s">
        <v>130</v>
      </c>
      <c r="AM90" s="184" t="s">
        <v>126</v>
      </c>
      <c r="AN90" s="184" t="s">
        <v>126</v>
      </c>
      <c r="AO90" s="184"/>
      <c r="AP90" s="184"/>
      <c r="AQ90" s="184"/>
      <c r="AR90" s="184"/>
      <c r="AS90" s="184"/>
      <c r="AT90" s="184"/>
      <c r="AU90" s="184"/>
      <c r="AV90" s="184"/>
      <c r="AW90" s="184"/>
    </row>
    <row r="91" spans="1:49" ht="12.75" customHeight="1" x14ac:dyDescent="0.25">
      <c r="A91" s="202" t="s">
        <v>29</v>
      </c>
      <c r="B91" s="257" t="s">
        <v>15</v>
      </c>
      <c r="C91" s="274">
        <v>1300</v>
      </c>
      <c r="D91" s="141">
        <v>2130</v>
      </c>
      <c r="E91" s="142">
        <f t="shared" si="12"/>
        <v>10</v>
      </c>
      <c r="F91" s="142">
        <f t="shared" si="13"/>
        <v>0</v>
      </c>
      <c r="G91" s="142">
        <f t="shared" si="14"/>
        <v>4</v>
      </c>
      <c r="H91" s="142">
        <f t="shared" si="15"/>
        <v>0</v>
      </c>
      <c r="I91" s="184"/>
      <c r="J91" s="184"/>
      <c r="K91" s="184"/>
      <c r="L91" s="184"/>
      <c r="M91" s="184"/>
      <c r="N91" s="184"/>
      <c r="O91" s="184"/>
      <c r="P91" s="184"/>
      <c r="Q91" s="184"/>
      <c r="R91" s="184"/>
      <c r="S91" s="184"/>
      <c r="T91" s="184"/>
      <c r="U91" s="184"/>
      <c r="V91" s="184"/>
      <c r="W91" s="184"/>
      <c r="X91" s="184"/>
      <c r="Y91" s="184" t="s">
        <v>130</v>
      </c>
      <c r="Z91" s="184" t="s">
        <v>130</v>
      </c>
      <c r="AA91" s="184" t="s">
        <v>126</v>
      </c>
      <c r="AB91" s="184" t="s">
        <v>126</v>
      </c>
      <c r="AC91" s="184" t="s">
        <v>361</v>
      </c>
      <c r="AD91" s="184" t="s">
        <v>130</v>
      </c>
      <c r="AE91" s="184" t="s">
        <v>130</v>
      </c>
      <c r="AF91" s="184" t="s">
        <v>126</v>
      </c>
      <c r="AG91" s="184" t="s">
        <v>241</v>
      </c>
      <c r="AH91" s="184" t="s">
        <v>126</v>
      </c>
      <c r="AI91" s="184" t="s">
        <v>126</v>
      </c>
      <c r="AJ91" s="184" t="s">
        <v>126</v>
      </c>
      <c r="AK91" s="184" t="s">
        <v>126</v>
      </c>
      <c r="AL91" s="184" t="s">
        <v>126</v>
      </c>
      <c r="AM91" s="184" t="s">
        <v>248</v>
      </c>
      <c r="AN91" s="184" t="s">
        <v>126</v>
      </c>
      <c r="AO91" s="184" t="s">
        <v>126</v>
      </c>
      <c r="AP91" s="184"/>
      <c r="AQ91" s="184"/>
      <c r="AR91" s="184"/>
      <c r="AS91" s="184"/>
      <c r="AT91" s="184"/>
      <c r="AU91" s="184"/>
      <c r="AV91" s="184"/>
      <c r="AW91" s="184"/>
    </row>
    <row r="92" spans="1:49" ht="12.75" customHeight="1" x14ac:dyDescent="0.25">
      <c r="A92" s="201" t="s">
        <v>235</v>
      </c>
      <c r="B92" s="257" t="s">
        <v>15</v>
      </c>
      <c r="C92" s="274">
        <v>1530</v>
      </c>
      <c r="D92" s="141">
        <v>0</v>
      </c>
      <c r="E92" s="142">
        <f t="shared" si="12"/>
        <v>8</v>
      </c>
      <c r="F92" s="142">
        <f t="shared" si="13"/>
        <v>0</v>
      </c>
      <c r="G92" s="142">
        <f t="shared" si="14"/>
        <v>4</v>
      </c>
      <c r="H92" s="142">
        <f t="shared" si="15"/>
        <v>2</v>
      </c>
      <c r="I92" s="184"/>
      <c r="J92" s="184"/>
      <c r="K92" s="184"/>
      <c r="L92" s="184"/>
      <c r="M92" s="184"/>
      <c r="N92" s="184"/>
      <c r="O92" s="184"/>
      <c r="P92" s="184"/>
      <c r="Q92" s="184"/>
      <c r="R92" s="184"/>
      <c r="S92" s="184"/>
      <c r="T92" s="184"/>
      <c r="U92" s="184"/>
      <c r="V92" s="184"/>
      <c r="W92" s="184"/>
      <c r="X92" s="184"/>
      <c r="Y92" s="184"/>
      <c r="Z92" s="184"/>
      <c r="AA92" s="184"/>
      <c r="AB92" s="184"/>
      <c r="AC92" s="184"/>
      <c r="AD92" s="184" t="s">
        <v>130</v>
      </c>
      <c r="AE92" s="184" t="s">
        <v>211</v>
      </c>
      <c r="AF92" s="184" t="s">
        <v>211</v>
      </c>
      <c r="AG92" s="184" t="s">
        <v>130</v>
      </c>
      <c r="AH92" s="184" t="s">
        <v>361</v>
      </c>
      <c r="AI92" s="184" t="s">
        <v>130</v>
      </c>
      <c r="AJ92" s="184" t="s">
        <v>126</v>
      </c>
      <c r="AK92" s="184" t="s">
        <v>130</v>
      </c>
      <c r="AL92" s="184" t="s">
        <v>241</v>
      </c>
      <c r="AM92" s="184" t="s">
        <v>126</v>
      </c>
      <c r="AN92" s="184" t="s">
        <v>126</v>
      </c>
      <c r="AO92" s="184" t="s">
        <v>126</v>
      </c>
      <c r="AP92" s="184" t="s">
        <v>126</v>
      </c>
      <c r="AQ92" s="184" t="s">
        <v>242</v>
      </c>
      <c r="AR92" s="184" t="s">
        <v>126</v>
      </c>
      <c r="AS92" s="184" t="s">
        <v>126</v>
      </c>
      <c r="AT92" s="184" t="s">
        <v>126</v>
      </c>
      <c r="AU92" s="184"/>
      <c r="AV92" s="184"/>
      <c r="AW92" s="184"/>
    </row>
    <row r="93" spans="1:49" ht="12.75" customHeight="1" x14ac:dyDescent="0.25">
      <c r="A93" s="201" t="s">
        <v>232</v>
      </c>
      <c r="B93" s="257" t="s">
        <v>15</v>
      </c>
      <c r="C93" s="274">
        <v>1600</v>
      </c>
      <c r="D93" s="141">
        <v>100</v>
      </c>
      <c r="E93" s="142">
        <f t="shared" si="12"/>
        <v>8</v>
      </c>
      <c r="F93" s="142">
        <f t="shared" si="13"/>
        <v>0</v>
      </c>
      <c r="G93" s="142">
        <f t="shared" si="14"/>
        <v>4</v>
      </c>
      <c r="H93" s="142">
        <f t="shared" si="15"/>
        <v>2</v>
      </c>
      <c r="I93" s="184"/>
      <c r="J93" s="184"/>
      <c r="K93" s="184"/>
      <c r="L93" s="184"/>
      <c r="M93" s="184"/>
      <c r="N93" s="184"/>
      <c r="O93" s="184"/>
      <c r="P93" s="184"/>
      <c r="Q93" s="184"/>
      <c r="R93" s="184"/>
      <c r="S93" s="184"/>
      <c r="T93" s="184"/>
      <c r="U93" s="184"/>
      <c r="V93" s="184"/>
      <c r="W93" s="184"/>
      <c r="X93" s="184"/>
      <c r="Y93" s="184"/>
      <c r="Z93" s="184"/>
      <c r="AA93" s="184"/>
      <c r="AB93" s="184"/>
      <c r="AC93" s="184"/>
      <c r="AD93" s="184"/>
      <c r="AE93" s="184" t="s">
        <v>130</v>
      </c>
      <c r="AF93" s="184" t="s">
        <v>130</v>
      </c>
      <c r="AG93" s="184" t="s">
        <v>126</v>
      </c>
      <c r="AH93" s="184" t="s">
        <v>240</v>
      </c>
      <c r="AI93" s="184" t="s">
        <v>211</v>
      </c>
      <c r="AJ93" s="184" t="s">
        <v>211</v>
      </c>
      <c r="AK93" s="184" t="s">
        <v>130</v>
      </c>
      <c r="AL93" s="184" t="s">
        <v>130</v>
      </c>
      <c r="AM93" s="184" t="s">
        <v>241</v>
      </c>
      <c r="AN93" s="184" t="s">
        <v>241</v>
      </c>
      <c r="AO93" s="184" t="s">
        <v>126</v>
      </c>
      <c r="AP93" s="184" t="s">
        <v>126</v>
      </c>
      <c r="AQ93" s="184" t="s">
        <v>126</v>
      </c>
      <c r="AR93" s="184" t="s">
        <v>247</v>
      </c>
      <c r="AS93" s="184" t="s">
        <v>126</v>
      </c>
      <c r="AT93" s="184" t="s">
        <v>126</v>
      </c>
      <c r="AU93" s="184" t="s">
        <v>126</v>
      </c>
      <c r="AV93" s="184" t="s">
        <v>126</v>
      </c>
      <c r="AW93" s="184"/>
    </row>
    <row r="94" spans="1:49" ht="12.75" customHeight="1" x14ac:dyDescent="0.25">
      <c r="A94" s="202" t="s">
        <v>46</v>
      </c>
      <c r="B94" s="257" t="s">
        <v>13</v>
      </c>
      <c r="C94" s="274">
        <v>500</v>
      </c>
      <c r="D94" s="141">
        <v>1400</v>
      </c>
      <c r="E94" s="142">
        <f t="shared" si="12"/>
        <v>0</v>
      </c>
      <c r="F94" s="142">
        <f t="shared" si="13"/>
        <v>4</v>
      </c>
      <c r="G94" s="142">
        <f t="shared" si="14"/>
        <v>0</v>
      </c>
      <c r="H94" s="142">
        <f t="shared" si="15"/>
        <v>0</v>
      </c>
      <c r="I94" s="184" t="s">
        <v>224</v>
      </c>
      <c r="J94" s="184" t="s">
        <v>224</v>
      </c>
      <c r="K94" s="184" t="s">
        <v>224</v>
      </c>
      <c r="L94" s="184" t="s">
        <v>224</v>
      </c>
      <c r="M94" s="184" t="s">
        <v>224</v>
      </c>
      <c r="N94" s="184" t="s">
        <v>224</v>
      </c>
      <c r="O94" s="184" t="s">
        <v>224</v>
      </c>
      <c r="P94" s="184" t="s">
        <v>224</v>
      </c>
      <c r="Q94" s="184" t="s">
        <v>224</v>
      </c>
      <c r="R94" s="184" t="s">
        <v>224</v>
      </c>
      <c r="S94" s="184" t="s">
        <v>224</v>
      </c>
      <c r="T94" s="184" t="s">
        <v>224</v>
      </c>
      <c r="U94" s="184" t="s">
        <v>224</v>
      </c>
      <c r="V94" s="184" t="s">
        <v>223</v>
      </c>
      <c r="W94" s="184" t="s">
        <v>223</v>
      </c>
      <c r="X94" s="184" t="s">
        <v>223</v>
      </c>
      <c r="Y94" s="184" t="s">
        <v>223</v>
      </c>
      <c r="Z94" s="184" t="s">
        <v>224</v>
      </c>
      <c r="AA94" s="184"/>
      <c r="AB94" s="184"/>
      <c r="AC94" s="184"/>
      <c r="AD94" s="184"/>
      <c r="AE94" s="184"/>
      <c r="AF94" s="184"/>
      <c r="AG94" s="184"/>
      <c r="AH94" s="184"/>
      <c r="AI94" s="184"/>
      <c r="AJ94" s="184"/>
      <c r="AK94" s="184"/>
      <c r="AL94" s="184"/>
      <c r="AM94" s="184"/>
      <c r="AN94" s="184"/>
      <c r="AO94" s="184"/>
      <c r="AP94" s="184"/>
      <c r="AQ94" s="184"/>
      <c r="AR94" s="184"/>
      <c r="AS94" s="184"/>
      <c r="AT94" s="184"/>
      <c r="AU94" s="184"/>
      <c r="AV94" s="184"/>
      <c r="AW94" s="184"/>
    </row>
    <row r="95" spans="1:49" ht="12.75" customHeight="1" x14ac:dyDescent="0.25">
      <c r="A95" s="201" t="s">
        <v>32</v>
      </c>
      <c r="B95" s="150" t="s">
        <v>13</v>
      </c>
      <c r="C95" s="274">
        <v>500</v>
      </c>
      <c r="D95" s="141">
        <v>1400</v>
      </c>
      <c r="E95" s="142">
        <f t="shared" si="12"/>
        <v>0</v>
      </c>
      <c r="F95" s="142">
        <f t="shared" si="13"/>
        <v>3</v>
      </c>
      <c r="G95" s="142">
        <f t="shared" si="14"/>
        <v>0</v>
      </c>
      <c r="H95" s="142">
        <f t="shared" si="15"/>
        <v>0</v>
      </c>
      <c r="I95" s="184" t="s">
        <v>224</v>
      </c>
      <c r="J95" s="184" t="s">
        <v>224</v>
      </c>
      <c r="K95" s="184" t="s">
        <v>224</v>
      </c>
      <c r="L95" s="184" t="s">
        <v>224</v>
      </c>
      <c r="M95" s="184" t="s">
        <v>224</v>
      </c>
      <c r="N95" s="184" t="s">
        <v>224</v>
      </c>
      <c r="O95" s="184" t="s">
        <v>224</v>
      </c>
      <c r="P95" s="184" t="s">
        <v>224</v>
      </c>
      <c r="Q95" s="184" t="s">
        <v>224</v>
      </c>
      <c r="R95" s="184" t="s">
        <v>224</v>
      </c>
      <c r="S95" s="184" t="s">
        <v>224</v>
      </c>
      <c r="T95" s="184" t="s">
        <v>224</v>
      </c>
      <c r="U95" s="184" t="s">
        <v>223</v>
      </c>
      <c r="V95" s="184" t="s">
        <v>223</v>
      </c>
      <c r="W95" s="184" t="s">
        <v>223</v>
      </c>
      <c r="X95" s="184" t="s">
        <v>224</v>
      </c>
      <c r="Y95" s="184"/>
      <c r="Z95" s="184"/>
      <c r="AA95" s="184"/>
      <c r="AB95" s="184" t="s">
        <v>224</v>
      </c>
      <c r="AC95" s="184" t="s">
        <v>224</v>
      </c>
      <c r="AD95" s="184" t="s">
        <v>224</v>
      </c>
      <c r="AE95" s="184"/>
      <c r="AF95" s="184"/>
      <c r="AG95" s="184"/>
      <c r="AH95" s="184"/>
      <c r="AI95" s="184"/>
      <c r="AJ95" s="184"/>
      <c r="AK95" s="184"/>
      <c r="AL95" s="184"/>
      <c r="AM95" s="184"/>
      <c r="AN95" s="184"/>
      <c r="AO95" s="184"/>
      <c r="AP95" s="184"/>
      <c r="AQ95" s="184"/>
      <c r="AR95" s="184"/>
      <c r="AS95" s="184"/>
      <c r="AT95" s="184"/>
      <c r="AU95" s="184"/>
      <c r="AV95" s="184"/>
      <c r="AW95" s="184"/>
    </row>
    <row r="96" spans="1:49" ht="12.75" customHeight="1" x14ac:dyDescent="0.25">
      <c r="A96" s="201" t="s">
        <v>369</v>
      </c>
      <c r="B96" s="257" t="s">
        <v>13</v>
      </c>
      <c r="C96" s="141">
        <v>600</v>
      </c>
      <c r="D96" s="141">
        <v>1500</v>
      </c>
      <c r="E96" s="142">
        <f t="shared" si="12"/>
        <v>0</v>
      </c>
      <c r="F96" s="142">
        <f t="shared" si="13"/>
        <v>4</v>
      </c>
      <c r="G96" s="142">
        <f t="shared" si="14"/>
        <v>0</v>
      </c>
      <c r="H96" s="142">
        <f t="shared" si="15"/>
        <v>0</v>
      </c>
      <c r="I96" s="184"/>
      <c r="J96" s="184"/>
      <c r="K96" s="184" t="s">
        <v>224</v>
      </c>
      <c r="L96" s="184" t="s">
        <v>224</v>
      </c>
      <c r="M96" s="184" t="s">
        <v>224</v>
      </c>
      <c r="N96" s="184" t="s">
        <v>224</v>
      </c>
      <c r="O96" s="184" t="s">
        <v>224</v>
      </c>
      <c r="P96" s="184" t="s">
        <v>224</v>
      </c>
      <c r="Q96" s="184" t="s">
        <v>224</v>
      </c>
      <c r="R96" s="184" t="s">
        <v>224</v>
      </c>
      <c r="S96" s="184" t="s">
        <v>224</v>
      </c>
      <c r="T96" s="184" t="s">
        <v>495</v>
      </c>
      <c r="U96" s="184" t="s">
        <v>502</v>
      </c>
      <c r="V96" s="184" t="s">
        <v>502</v>
      </c>
      <c r="W96" s="184" t="s">
        <v>224</v>
      </c>
      <c r="X96" s="184" t="s">
        <v>224</v>
      </c>
      <c r="Y96" s="184" t="s">
        <v>223</v>
      </c>
      <c r="Z96" s="184" t="s">
        <v>223</v>
      </c>
      <c r="AA96" s="184" t="s">
        <v>223</v>
      </c>
      <c r="AB96" s="184" t="s">
        <v>223</v>
      </c>
      <c r="AC96" s="184"/>
      <c r="AD96" s="184"/>
      <c r="AE96" s="184"/>
      <c r="AF96" s="184"/>
      <c r="AG96" s="184"/>
      <c r="AH96" s="184"/>
      <c r="AI96" s="184"/>
      <c r="AJ96" s="184"/>
      <c r="AK96" s="184"/>
      <c r="AL96" s="184"/>
      <c r="AM96" s="184"/>
      <c r="AN96" s="184"/>
      <c r="AO96" s="184"/>
      <c r="AP96" s="184"/>
      <c r="AQ96" s="184"/>
      <c r="AR96" s="184"/>
      <c r="AS96" s="184"/>
      <c r="AT96" s="184"/>
      <c r="AU96" s="184"/>
      <c r="AV96" s="184"/>
      <c r="AW96" s="184"/>
    </row>
    <row r="97" spans="1:49" ht="12.75" customHeight="1" x14ac:dyDescent="0.25">
      <c r="A97" s="202" t="s">
        <v>39</v>
      </c>
      <c r="B97" s="257" t="s">
        <v>13</v>
      </c>
      <c r="C97" s="141">
        <v>630</v>
      </c>
      <c r="D97" s="141">
        <v>1530</v>
      </c>
      <c r="E97" s="142">
        <f t="shared" si="12"/>
        <v>0</v>
      </c>
      <c r="F97" s="142">
        <f t="shared" si="13"/>
        <v>4</v>
      </c>
      <c r="G97" s="142">
        <f t="shared" si="14"/>
        <v>0</v>
      </c>
      <c r="H97" s="142">
        <f t="shared" si="15"/>
        <v>0</v>
      </c>
      <c r="I97" s="184"/>
      <c r="J97" s="184"/>
      <c r="K97" s="184"/>
      <c r="L97" s="184" t="s">
        <v>224</v>
      </c>
      <c r="M97" s="184" t="s">
        <v>224</v>
      </c>
      <c r="N97" s="184" t="s">
        <v>224</v>
      </c>
      <c r="O97" s="184" t="s">
        <v>224</v>
      </c>
      <c r="P97" s="184" t="s">
        <v>224</v>
      </c>
      <c r="Q97" s="184" t="s">
        <v>224</v>
      </c>
      <c r="R97" s="184" t="s">
        <v>224</v>
      </c>
      <c r="S97" s="184" t="s">
        <v>224</v>
      </c>
      <c r="T97" s="184" t="s">
        <v>224</v>
      </c>
      <c r="U97" s="184" t="s">
        <v>224</v>
      </c>
      <c r="V97" s="184" t="s">
        <v>224</v>
      </c>
      <c r="W97" s="184" t="s">
        <v>224</v>
      </c>
      <c r="X97" s="184" t="s">
        <v>223</v>
      </c>
      <c r="Y97" s="184" t="s">
        <v>223</v>
      </c>
      <c r="Z97" s="184" t="s">
        <v>223</v>
      </c>
      <c r="AA97" s="184" t="s">
        <v>223</v>
      </c>
      <c r="AB97" s="184" t="s">
        <v>224</v>
      </c>
      <c r="AC97" s="184" t="s">
        <v>224</v>
      </c>
      <c r="AD97" s="184"/>
      <c r="AE97" s="184"/>
      <c r="AF97" s="184"/>
      <c r="AG97" s="184"/>
      <c r="AH97" s="184"/>
      <c r="AI97" s="184"/>
      <c r="AJ97" s="184"/>
      <c r="AK97" s="184"/>
      <c r="AL97" s="184"/>
      <c r="AM97" s="184"/>
      <c r="AN97" s="184"/>
      <c r="AO97" s="184"/>
      <c r="AP97" s="184"/>
      <c r="AQ97" s="184"/>
      <c r="AR97" s="184"/>
      <c r="AS97" s="184"/>
      <c r="AT97" s="184"/>
      <c r="AU97" s="184"/>
      <c r="AV97" s="184"/>
      <c r="AW97" s="184"/>
    </row>
    <row r="98" spans="1:49" ht="12.75" customHeight="1" x14ac:dyDescent="0.25">
      <c r="A98" s="201" t="s">
        <v>360</v>
      </c>
      <c r="B98" s="150" t="s">
        <v>13</v>
      </c>
      <c r="C98" s="274">
        <v>800</v>
      </c>
      <c r="D98" s="141">
        <v>2100</v>
      </c>
      <c r="E98" s="142">
        <f t="shared" si="12"/>
        <v>0</v>
      </c>
      <c r="F98" s="142">
        <f t="shared" si="13"/>
        <v>0</v>
      </c>
      <c r="G98" s="142">
        <f t="shared" si="14"/>
        <v>0</v>
      </c>
      <c r="H98" s="142">
        <f t="shared" si="15"/>
        <v>0</v>
      </c>
      <c r="I98" s="184"/>
      <c r="J98" s="184"/>
      <c r="K98" s="184"/>
      <c r="L98" s="184"/>
      <c r="M98" s="184"/>
      <c r="N98" s="184"/>
      <c r="O98" s="184" t="s">
        <v>224</v>
      </c>
      <c r="P98" s="184" t="s">
        <v>224</v>
      </c>
      <c r="Q98" s="184" t="s">
        <v>224</v>
      </c>
      <c r="R98" s="184" t="s">
        <v>224</v>
      </c>
      <c r="S98" s="184" t="s">
        <v>224</v>
      </c>
      <c r="T98" s="184" t="s">
        <v>224</v>
      </c>
      <c r="U98" s="184" t="s">
        <v>224</v>
      </c>
      <c r="V98" s="184" t="s">
        <v>224</v>
      </c>
      <c r="W98" s="184" t="s">
        <v>224</v>
      </c>
      <c r="X98" s="184" t="s">
        <v>224</v>
      </c>
      <c r="Y98" s="184" t="s">
        <v>224</v>
      </c>
      <c r="Z98" s="184" t="s">
        <v>224</v>
      </c>
      <c r="AA98" s="184" t="s">
        <v>224</v>
      </c>
      <c r="AB98" s="184" t="s">
        <v>224</v>
      </c>
      <c r="AC98" s="184" t="s">
        <v>224</v>
      </c>
      <c r="AD98" s="184" t="s">
        <v>224</v>
      </c>
      <c r="AE98" s="184" t="s">
        <v>224</v>
      </c>
      <c r="AF98" s="184" t="s">
        <v>224</v>
      </c>
      <c r="AG98" s="184" t="s">
        <v>224</v>
      </c>
      <c r="AH98" s="184" t="s">
        <v>224</v>
      </c>
      <c r="AI98" s="184" t="s">
        <v>224</v>
      </c>
      <c r="AJ98" s="184" t="s">
        <v>224</v>
      </c>
      <c r="AK98" s="184" t="s">
        <v>224</v>
      </c>
      <c r="AL98" s="184" t="s">
        <v>224</v>
      </c>
      <c r="AM98" s="184" t="s">
        <v>224</v>
      </c>
      <c r="AN98" s="184" t="s">
        <v>224</v>
      </c>
      <c r="AO98" s="184"/>
      <c r="AP98" s="184"/>
      <c r="AQ98" s="184"/>
      <c r="AR98" s="184"/>
      <c r="AS98" s="184"/>
      <c r="AT98" s="184"/>
      <c r="AU98" s="184"/>
      <c r="AV98" s="184"/>
      <c r="AW98" s="184"/>
    </row>
    <row r="99" spans="1:49" ht="12.75" customHeight="1" x14ac:dyDescent="0.25">
      <c r="A99" s="201" t="s">
        <v>70</v>
      </c>
      <c r="B99" s="257" t="s">
        <v>13</v>
      </c>
      <c r="C99" s="274">
        <v>800</v>
      </c>
      <c r="D99" s="141">
        <v>1700</v>
      </c>
      <c r="E99" s="142">
        <f t="shared" si="12"/>
        <v>0</v>
      </c>
      <c r="F99" s="142">
        <f t="shared" si="13"/>
        <v>4</v>
      </c>
      <c r="G99" s="142">
        <f t="shared" si="14"/>
        <v>0</v>
      </c>
      <c r="H99" s="142">
        <f t="shared" si="15"/>
        <v>0</v>
      </c>
      <c r="I99" s="184"/>
      <c r="J99" s="184"/>
      <c r="K99" s="184"/>
      <c r="L99" s="184"/>
      <c r="M99" s="184"/>
      <c r="N99" s="184"/>
      <c r="O99" s="184" t="s">
        <v>224</v>
      </c>
      <c r="P99" s="184" t="s">
        <v>224</v>
      </c>
      <c r="Q99" s="184" t="s">
        <v>224</v>
      </c>
      <c r="R99" s="184" t="s">
        <v>223</v>
      </c>
      <c r="S99" s="184" t="s">
        <v>223</v>
      </c>
      <c r="T99" s="184" t="s">
        <v>223</v>
      </c>
      <c r="U99" s="184" t="s">
        <v>223</v>
      </c>
      <c r="V99" s="184" t="s">
        <v>224</v>
      </c>
      <c r="W99" s="184" t="s">
        <v>224</v>
      </c>
      <c r="X99" s="184" t="s">
        <v>224</v>
      </c>
      <c r="Y99" s="184" t="s">
        <v>224</v>
      </c>
      <c r="Z99" s="184" t="s">
        <v>224</v>
      </c>
      <c r="AA99" s="184" t="s">
        <v>224</v>
      </c>
      <c r="AB99" s="184" t="s">
        <v>224</v>
      </c>
      <c r="AC99" s="184" t="s">
        <v>224</v>
      </c>
      <c r="AD99" s="184" t="s">
        <v>224</v>
      </c>
      <c r="AE99" s="184" t="s">
        <v>224</v>
      </c>
      <c r="AF99" s="184" t="s">
        <v>224</v>
      </c>
      <c r="AG99" s="184"/>
      <c r="AH99" s="184"/>
      <c r="AI99" s="184"/>
      <c r="AJ99" s="184"/>
      <c r="AK99" s="184"/>
      <c r="AL99" s="184"/>
      <c r="AM99" s="184"/>
      <c r="AN99" s="184"/>
      <c r="AO99" s="184"/>
      <c r="AP99" s="184"/>
      <c r="AQ99" s="184"/>
      <c r="AR99" s="184"/>
      <c r="AS99" s="184"/>
      <c r="AT99" s="184"/>
      <c r="AU99" s="184"/>
      <c r="AV99" s="184"/>
      <c r="AW99" s="184"/>
    </row>
    <row r="100" spans="1:49" ht="12.75" customHeight="1" x14ac:dyDescent="0.25">
      <c r="A100" s="201" t="s">
        <v>49</v>
      </c>
      <c r="B100" s="257" t="s">
        <v>13</v>
      </c>
      <c r="C100" s="274">
        <v>800</v>
      </c>
      <c r="D100" s="141">
        <v>1700</v>
      </c>
      <c r="E100" s="142">
        <f t="shared" si="12"/>
        <v>0</v>
      </c>
      <c r="F100" s="142">
        <f t="shared" si="13"/>
        <v>4</v>
      </c>
      <c r="G100" s="142">
        <f t="shared" si="14"/>
        <v>0</v>
      </c>
      <c r="H100" s="142">
        <f t="shared" si="15"/>
        <v>0</v>
      </c>
      <c r="I100" s="184"/>
      <c r="J100" s="184"/>
      <c r="K100" s="184"/>
      <c r="L100" s="184"/>
      <c r="M100" s="184"/>
      <c r="N100" s="184"/>
      <c r="O100" s="184" t="s">
        <v>224</v>
      </c>
      <c r="P100" s="184" t="s">
        <v>224</v>
      </c>
      <c r="Q100" s="184" t="s">
        <v>224</v>
      </c>
      <c r="R100" s="184" t="s">
        <v>224</v>
      </c>
      <c r="S100" s="184" t="s">
        <v>224</v>
      </c>
      <c r="T100" s="184" t="s">
        <v>224</v>
      </c>
      <c r="U100" s="184" t="s">
        <v>224</v>
      </c>
      <c r="V100" s="184" t="s">
        <v>224</v>
      </c>
      <c r="W100" s="184" t="s">
        <v>224</v>
      </c>
      <c r="X100" s="184" t="s">
        <v>224</v>
      </c>
      <c r="Y100" s="184" t="s">
        <v>224</v>
      </c>
      <c r="Z100" s="184" t="s">
        <v>223</v>
      </c>
      <c r="AA100" s="184" t="s">
        <v>223</v>
      </c>
      <c r="AB100" s="184" t="s">
        <v>223</v>
      </c>
      <c r="AC100" s="184" t="s">
        <v>223</v>
      </c>
      <c r="AD100" s="184" t="s">
        <v>224</v>
      </c>
      <c r="AE100" s="184" t="s">
        <v>224</v>
      </c>
      <c r="AF100" s="184" t="s">
        <v>224</v>
      </c>
      <c r="AG100" s="184"/>
      <c r="AH100" s="184"/>
      <c r="AI100" s="184"/>
      <c r="AJ100" s="184"/>
      <c r="AK100" s="184"/>
      <c r="AL100" s="184"/>
      <c r="AM100" s="184"/>
      <c r="AN100" s="184"/>
      <c r="AO100" s="184"/>
      <c r="AP100" s="184"/>
      <c r="AQ100" s="184"/>
      <c r="AR100" s="184"/>
      <c r="AS100" s="184"/>
      <c r="AT100" s="184"/>
      <c r="AU100" s="184"/>
      <c r="AV100" s="184"/>
      <c r="AW100" s="184"/>
    </row>
    <row r="101" spans="1:49" ht="12.75" customHeight="1" x14ac:dyDescent="0.25">
      <c r="A101" s="202" t="s">
        <v>23</v>
      </c>
      <c r="B101" s="257" t="s">
        <v>13</v>
      </c>
      <c r="C101" s="274">
        <v>1230</v>
      </c>
      <c r="D101" s="141">
        <v>2130</v>
      </c>
      <c r="E101" s="142">
        <f t="shared" si="12"/>
        <v>0</v>
      </c>
      <c r="F101" s="142">
        <f t="shared" si="13"/>
        <v>4</v>
      </c>
      <c r="G101" s="142">
        <f t="shared" si="14"/>
        <v>0</v>
      </c>
      <c r="H101" s="142">
        <f t="shared" si="15"/>
        <v>0</v>
      </c>
      <c r="I101" s="184"/>
      <c r="J101" s="184"/>
      <c r="K101" s="184"/>
      <c r="L101" s="184"/>
      <c r="M101" s="184"/>
      <c r="N101" s="184"/>
      <c r="O101" s="184"/>
      <c r="P101" s="184"/>
      <c r="Q101" s="184"/>
      <c r="R101" s="184"/>
      <c r="S101" s="184"/>
      <c r="T101" s="184"/>
      <c r="U101" s="184"/>
      <c r="V101" s="184"/>
      <c r="W101" s="184"/>
      <c r="X101" s="184" t="s">
        <v>224</v>
      </c>
      <c r="Y101" s="184" t="s">
        <v>224</v>
      </c>
      <c r="Z101" s="184" t="s">
        <v>224</v>
      </c>
      <c r="AA101" s="184" t="s">
        <v>224</v>
      </c>
      <c r="AB101" s="184" t="s">
        <v>224</v>
      </c>
      <c r="AC101" s="184" t="s">
        <v>224</v>
      </c>
      <c r="AD101" s="184" t="s">
        <v>224</v>
      </c>
      <c r="AE101" s="184" t="s">
        <v>224</v>
      </c>
      <c r="AF101" s="184" t="s">
        <v>224</v>
      </c>
      <c r="AG101" s="184" t="s">
        <v>223</v>
      </c>
      <c r="AH101" s="184" t="s">
        <v>223</v>
      </c>
      <c r="AI101" s="184" t="s">
        <v>223</v>
      </c>
      <c r="AJ101" s="184" t="s">
        <v>223</v>
      </c>
      <c r="AK101" s="184" t="s">
        <v>224</v>
      </c>
      <c r="AL101" s="184" t="s">
        <v>224</v>
      </c>
      <c r="AM101" s="184" t="s">
        <v>224</v>
      </c>
      <c r="AN101" s="184" t="s">
        <v>224</v>
      </c>
      <c r="AO101" s="184" t="s">
        <v>224</v>
      </c>
      <c r="AP101" s="184"/>
      <c r="AQ101" s="184"/>
      <c r="AR101" s="184"/>
      <c r="AS101" s="184"/>
      <c r="AT101" s="184"/>
      <c r="AU101" s="184"/>
      <c r="AV101" s="184"/>
      <c r="AW101" s="184"/>
    </row>
    <row r="102" spans="1:49" ht="12.75" customHeight="1" x14ac:dyDescent="0.25">
      <c r="A102" s="202" t="s">
        <v>270</v>
      </c>
      <c r="B102" s="257" t="s">
        <v>13</v>
      </c>
      <c r="C102" s="55">
        <v>1400</v>
      </c>
      <c r="D102" s="141">
        <v>100</v>
      </c>
      <c r="E102" s="142">
        <f t="shared" si="12"/>
        <v>0</v>
      </c>
      <c r="F102" s="142">
        <f t="shared" si="13"/>
        <v>5</v>
      </c>
      <c r="G102" s="142">
        <f t="shared" si="14"/>
        <v>0</v>
      </c>
      <c r="H102" s="142">
        <f t="shared" si="15"/>
        <v>0</v>
      </c>
      <c r="I102" s="184"/>
      <c r="J102" s="184"/>
      <c r="K102" s="184"/>
      <c r="L102" s="184"/>
      <c r="M102" s="184"/>
      <c r="N102" s="184"/>
      <c r="O102" s="184"/>
      <c r="P102" s="184"/>
      <c r="Q102" s="184"/>
      <c r="R102" s="184"/>
      <c r="S102" s="184"/>
      <c r="T102" s="184"/>
      <c r="U102" s="184"/>
      <c r="V102" s="184"/>
      <c r="W102" s="184"/>
      <c r="X102" s="184"/>
      <c r="Y102" s="184"/>
      <c r="Z102" s="184"/>
      <c r="AA102" s="184" t="s">
        <v>224</v>
      </c>
      <c r="AB102" s="184" t="s">
        <v>224</v>
      </c>
      <c r="AC102" s="184" t="s">
        <v>224</v>
      </c>
      <c r="AD102" s="184" t="s">
        <v>224</v>
      </c>
      <c r="AE102" s="184" t="s">
        <v>224</v>
      </c>
      <c r="AF102" s="184" t="s">
        <v>223</v>
      </c>
      <c r="AG102" s="184" t="s">
        <v>223</v>
      </c>
      <c r="AH102" s="184" t="s">
        <v>224</v>
      </c>
      <c r="AI102" s="184" t="s">
        <v>224</v>
      </c>
      <c r="AJ102" s="184" t="s">
        <v>224</v>
      </c>
      <c r="AK102" s="184" t="s">
        <v>224</v>
      </c>
      <c r="AL102" s="184" t="s">
        <v>224</v>
      </c>
      <c r="AM102" s="184" t="s">
        <v>223</v>
      </c>
      <c r="AN102" s="184" t="s">
        <v>223</v>
      </c>
      <c r="AO102" s="184" t="s">
        <v>223</v>
      </c>
      <c r="AP102" s="184" t="s">
        <v>224</v>
      </c>
      <c r="AQ102" s="184" t="s">
        <v>224</v>
      </c>
      <c r="AR102" s="184" t="s">
        <v>224</v>
      </c>
      <c r="AS102" s="184" t="s">
        <v>224</v>
      </c>
      <c r="AT102" s="184" t="s">
        <v>224</v>
      </c>
      <c r="AU102" s="184" t="s">
        <v>224</v>
      </c>
      <c r="AV102" s="184" t="s">
        <v>224</v>
      </c>
      <c r="AW102" s="184"/>
    </row>
    <row r="103" spans="1:49" ht="12.75" customHeight="1" x14ac:dyDescent="0.25">
      <c r="A103" s="201" t="s">
        <v>52</v>
      </c>
      <c r="B103" s="150" t="s">
        <v>13</v>
      </c>
      <c r="C103" s="55">
        <v>1600</v>
      </c>
      <c r="D103" s="141">
        <v>100</v>
      </c>
      <c r="E103" s="142">
        <f t="shared" si="12"/>
        <v>0</v>
      </c>
      <c r="F103" s="142">
        <f t="shared" si="13"/>
        <v>4</v>
      </c>
      <c r="G103" s="142">
        <f t="shared" si="14"/>
        <v>0</v>
      </c>
      <c r="H103" s="142">
        <f t="shared" si="15"/>
        <v>0</v>
      </c>
      <c r="I103" s="184"/>
      <c r="J103" s="184"/>
      <c r="K103" s="184"/>
      <c r="L103" s="184"/>
      <c r="M103" s="184"/>
      <c r="N103" s="184"/>
      <c r="O103" s="184"/>
      <c r="P103" s="184"/>
      <c r="Q103" s="184"/>
      <c r="R103" s="184"/>
      <c r="S103" s="184"/>
      <c r="T103" s="184"/>
      <c r="U103" s="184"/>
      <c r="V103" s="184"/>
      <c r="W103" s="184"/>
      <c r="X103" s="184"/>
      <c r="Y103" s="184"/>
      <c r="Z103" s="184"/>
      <c r="AA103" s="184"/>
      <c r="AB103" s="184"/>
      <c r="AC103" s="184"/>
      <c r="AD103" s="184"/>
      <c r="AE103" s="184" t="s">
        <v>224</v>
      </c>
      <c r="AF103" s="184" t="s">
        <v>224</v>
      </c>
      <c r="AG103" s="184" t="s">
        <v>224</v>
      </c>
      <c r="AH103" s="184" t="s">
        <v>224</v>
      </c>
      <c r="AI103" s="184" t="s">
        <v>223</v>
      </c>
      <c r="AJ103" s="184" t="s">
        <v>223</v>
      </c>
      <c r="AK103" s="184" t="s">
        <v>223</v>
      </c>
      <c r="AL103" s="184" t="s">
        <v>223</v>
      </c>
      <c r="AM103" s="184" t="s">
        <v>224</v>
      </c>
      <c r="AN103" s="184" t="s">
        <v>224</v>
      </c>
      <c r="AO103" s="184" t="s">
        <v>224</v>
      </c>
      <c r="AP103" s="184" t="s">
        <v>224</v>
      </c>
      <c r="AQ103" s="184" t="s">
        <v>224</v>
      </c>
      <c r="AR103" s="184" t="s">
        <v>224</v>
      </c>
      <c r="AS103" s="184" t="s">
        <v>224</v>
      </c>
      <c r="AT103" s="184" t="s">
        <v>224</v>
      </c>
      <c r="AU103" s="184" t="s">
        <v>224</v>
      </c>
      <c r="AV103" s="184" t="s">
        <v>224</v>
      </c>
      <c r="AW103" s="184"/>
    </row>
    <row r="104" spans="1:49" x14ac:dyDescent="0.25">
      <c r="A104" s="201"/>
      <c r="B104" s="150"/>
      <c r="C104" s="274"/>
      <c r="D104" s="141"/>
      <c r="E104" s="142"/>
      <c r="F104" s="142"/>
      <c r="G104" s="142"/>
      <c r="H104" s="142"/>
      <c r="I104" s="184"/>
      <c r="J104" s="184"/>
      <c r="K104" s="184"/>
      <c r="L104" s="184"/>
      <c r="M104" s="184"/>
      <c r="N104" s="184"/>
      <c r="O104" s="184"/>
      <c r="P104" s="184"/>
      <c r="Q104" s="184"/>
      <c r="R104" s="184"/>
      <c r="S104" s="184"/>
      <c r="T104" s="184"/>
      <c r="U104" s="184"/>
      <c r="V104" s="184"/>
      <c r="W104" s="184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  <c r="AI104" s="184"/>
      <c r="AJ104" s="184"/>
      <c r="AK104" s="184"/>
      <c r="AL104" s="184"/>
      <c r="AM104" s="184"/>
      <c r="AN104" s="184"/>
      <c r="AO104" s="184"/>
      <c r="AP104" s="184"/>
      <c r="AQ104" s="184"/>
      <c r="AR104" s="184"/>
      <c r="AS104" s="184"/>
      <c r="AT104" s="184"/>
      <c r="AU104" s="184"/>
      <c r="AV104" s="184"/>
      <c r="AW104" s="184"/>
    </row>
    <row r="105" spans="1:49" ht="12.75" customHeight="1" x14ac:dyDescent="0.25">
      <c r="A105" s="201"/>
      <c r="B105" s="150"/>
      <c r="C105" s="274"/>
      <c r="D105" s="141"/>
      <c r="E105" s="142"/>
      <c r="F105" s="142"/>
      <c r="G105" s="142"/>
      <c r="H105" s="142"/>
      <c r="I105" s="184"/>
      <c r="J105" s="184"/>
      <c r="K105" s="184"/>
      <c r="L105" s="184"/>
      <c r="M105" s="184"/>
      <c r="N105" s="184"/>
      <c r="O105" s="184"/>
      <c r="P105" s="184"/>
      <c r="Q105" s="184"/>
      <c r="R105" s="184"/>
      <c r="S105" s="184"/>
      <c r="T105" s="184"/>
      <c r="U105" s="184"/>
      <c r="V105" s="184"/>
      <c r="W105" s="184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4"/>
      <c r="AI105" s="184"/>
      <c r="AJ105" s="184"/>
      <c r="AK105" s="184"/>
      <c r="AL105" s="184"/>
      <c r="AM105" s="184"/>
      <c r="AN105" s="184"/>
      <c r="AO105" s="184"/>
      <c r="AP105" s="184"/>
      <c r="AQ105" s="184"/>
      <c r="AR105" s="184"/>
      <c r="AS105" s="184"/>
      <c r="AT105" s="184"/>
      <c r="AU105" s="184"/>
      <c r="AV105" s="184"/>
      <c r="AW105" s="184"/>
    </row>
    <row r="106" spans="1:49" ht="12.75" customHeight="1" x14ac:dyDescent="0.25">
      <c r="A106" s="201"/>
      <c r="B106" s="150"/>
      <c r="C106" s="274"/>
      <c r="D106" s="141"/>
      <c r="E106" s="142"/>
      <c r="F106" s="142"/>
      <c r="G106" s="142"/>
      <c r="H106" s="142"/>
      <c r="I106" s="184"/>
      <c r="J106" s="184"/>
      <c r="K106" s="184"/>
      <c r="L106" s="184"/>
      <c r="M106" s="184"/>
      <c r="N106" s="184"/>
      <c r="O106" s="184"/>
      <c r="P106" s="184"/>
      <c r="Q106" s="184"/>
      <c r="R106" s="184"/>
      <c r="S106" s="184"/>
      <c r="T106" s="184"/>
      <c r="U106" s="184"/>
      <c r="V106" s="184"/>
      <c r="W106" s="184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4"/>
      <c r="AI106" s="184"/>
      <c r="AJ106" s="184"/>
      <c r="AK106" s="184"/>
      <c r="AL106" s="184"/>
      <c r="AM106" s="184"/>
      <c r="AN106" s="184"/>
      <c r="AO106" s="184"/>
      <c r="AP106" s="184"/>
      <c r="AQ106" s="184"/>
      <c r="AR106" s="184"/>
      <c r="AS106" s="184"/>
      <c r="AT106" s="184"/>
      <c r="AU106" s="184"/>
      <c r="AV106" s="184"/>
      <c r="AW106" s="184"/>
    </row>
    <row r="107" spans="1:49" ht="12.75" customHeight="1" x14ac:dyDescent="0.25">
      <c r="A107" s="201"/>
      <c r="B107" s="150"/>
      <c r="C107" s="274"/>
      <c r="D107" s="188"/>
      <c r="E107" s="142"/>
      <c r="F107" s="142"/>
      <c r="G107" s="142"/>
      <c r="H107" s="142"/>
      <c r="I107" s="184"/>
      <c r="J107" s="184"/>
      <c r="K107" s="184"/>
      <c r="L107" s="184"/>
      <c r="M107" s="184"/>
      <c r="N107" s="184"/>
      <c r="O107" s="184"/>
      <c r="P107" s="184"/>
      <c r="Q107" s="184"/>
      <c r="R107" s="184"/>
      <c r="S107" s="184"/>
      <c r="T107" s="184"/>
      <c r="U107" s="184"/>
      <c r="V107" s="184"/>
      <c r="W107" s="184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4"/>
      <c r="AI107" s="184"/>
      <c r="AJ107" s="184"/>
      <c r="AK107" s="184"/>
      <c r="AL107" s="184"/>
      <c r="AM107" s="184"/>
      <c r="AN107" s="184"/>
      <c r="AO107" s="184"/>
      <c r="AP107" s="184"/>
      <c r="AQ107" s="184"/>
      <c r="AR107" s="184"/>
      <c r="AS107" s="184"/>
      <c r="AT107" s="184"/>
      <c r="AU107" s="184"/>
      <c r="AV107" s="184"/>
      <c r="AW107" s="184"/>
    </row>
    <row r="108" spans="1:49" ht="12.75" customHeight="1" x14ac:dyDescent="0.25">
      <c r="A108" s="202"/>
      <c r="B108" s="150"/>
      <c r="C108" s="274"/>
      <c r="D108" s="188"/>
      <c r="E108" s="142"/>
      <c r="F108" s="142"/>
      <c r="G108" s="142"/>
      <c r="H108" s="142"/>
      <c r="I108" s="184"/>
      <c r="J108" s="184"/>
      <c r="K108" s="184"/>
      <c r="L108" s="184"/>
      <c r="M108" s="184"/>
      <c r="N108" s="184"/>
      <c r="O108" s="184"/>
      <c r="P108" s="184"/>
      <c r="Q108" s="184"/>
      <c r="R108" s="184"/>
      <c r="S108" s="184"/>
      <c r="T108" s="184"/>
      <c r="U108" s="184"/>
      <c r="V108" s="184"/>
      <c r="W108" s="184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4"/>
      <c r="AI108" s="184"/>
      <c r="AJ108" s="184"/>
      <c r="AK108" s="184"/>
      <c r="AL108" s="184"/>
      <c r="AM108" s="184"/>
      <c r="AN108" s="184"/>
      <c r="AO108" s="184"/>
      <c r="AP108" s="184"/>
      <c r="AQ108" s="184"/>
      <c r="AR108" s="184"/>
      <c r="AS108" s="184"/>
      <c r="AT108" s="184"/>
      <c r="AU108" s="184"/>
      <c r="AV108" s="184"/>
      <c r="AW108" s="184"/>
    </row>
    <row r="109" spans="1:49" ht="12.75" customHeight="1" x14ac:dyDescent="0.25">
      <c r="A109" s="202"/>
      <c r="B109" s="140"/>
      <c r="C109" s="274"/>
      <c r="D109" s="141"/>
      <c r="E109" s="142"/>
      <c r="F109" s="142"/>
      <c r="G109" s="142"/>
      <c r="H109" s="142"/>
      <c r="I109" s="184"/>
      <c r="J109" s="184"/>
      <c r="K109" s="184"/>
      <c r="L109" s="184"/>
      <c r="M109" s="184"/>
      <c r="N109" s="184"/>
      <c r="O109" s="184"/>
      <c r="P109" s="184"/>
      <c r="Q109" s="184"/>
      <c r="R109" s="184"/>
      <c r="S109" s="184"/>
      <c r="T109" s="184"/>
      <c r="U109" s="184"/>
      <c r="V109" s="184"/>
      <c r="W109" s="184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4"/>
      <c r="AI109" s="184"/>
      <c r="AJ109" s="184"/>
      <c r="AK109" s="184"/>
      <c r="AL109" s="184"/>
      <c r="AM109" s="184"/>
      <c r="AN109" s="184"/>
      <c r="AO109" s="184"/>
      <c r="AP109" s="184"/>
      <c r="AQ109" s="184"/>
      <c r="AR109" s="184"/>
      <c r="AS109" s="184"/>
      <c r="AT109" s="184"/>
      <c r="AU109" s="184"/>
      <c r="AV109" s="184"/>
      <c r="AW109" s="184"/>
    </row>
    <row r="110" spans="1:49" ht="12.75" customHeight="1" x14ac:dyDescent="0.25">
      <c r="A110" s="201"/>
      <c r="B110" s="150"/>
      <c r="C110" s="274"/>
      <c r="D110" s="188"/>
      <c r="E110" s="142"/>
      <c r="F110" s="142"/>
      <c r="G110" s="142"/>
      <c r="H110" s="142"/>
      <c r="I110" s="184"/>
      <c r="J110" s="184"/>
      <c r="K110" s="184"/>
      <c r="L110" s="184"/>
      <c r="M110" s="184"/>
      <c r="N110" s="184"/>
      <c r="O110" s="184"/>
      <c r="P110" s="184"/>
      <c r="Q110" s="184"/>
      <c r="R110" s="184"/>
      <c r="S110" s="184"/>
      <c r="T110" s="184"/>
      <c r="U110" s="184"/>
      <c r="V110" s="184"/>
      <c r="W110" s="184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4"/>
      <c r="AI110" s="184"/>
      <c r="AJ110" s="184"/>
      <c r="AK110" s="184"/>
      <c r="AL110" s="184"/>
      <c r="AM110" s="184"/>
      <c r="AN110" s="184"/>
      <c r="AO110" s="184"/>
      <c r="AP110" s="184"/>
      <c r="AQ110" s="184"/>
      <c r="AR110" s="184"/>
      <c r="AS110" s="184"/>
      <c r="AT110" s="184"/>
      <c r="AU110" s="184"/>
      <c r="AV110" s="184"/>
      <c r="AW110" s="184"/>
    </row>
    <row r="111" spans="1:49" ht="12.75" customHeight="1" x14ac:dyDescent="0.25">
      <c r="A111" s="201"/>
      <c r="B111" s="150"/>
      <c r="C111" s="274"/>
      <c r="D111" s="188"/>
      <c r="E111" s="142"/>
      <c r="F111" s="142"/>
      <c r="G111" s="142"/>
      <c r="H111" s="142"/>
      <c r="I111" s="184"/>
      <c r="J111" s="184"/>
      <c r="K111" s="184"/>
      <c r="L111" s="184"/>
      <c r="M111" s="184"/>
      <c r="N111" s="184"/>
      <c r="O111" s="184"/>
      <c r="P111" s="184"/>
      <c r="Q111" s="184"/>
      <c r="R111" s="184"/>
      <c r="S111" s="184"/>
      <c r="T111" s="184"/>
      <c r="U111" s="184"/>
      <c r="V111" s="184"/>
      <c r="W111" s="184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4"/>
      <c r="AI111" s="184"/>
      <c r="AJ111" s="184"/>
      <c r="AK111" s="184"/>
      <c r="AL111" s="184"/>
      <c r="AM111" s="184"/>
      <c r="AN111" s="184"/>
      <c r="AO111" s="184"/>
      <c r="AP111" s="184"/>
      <c r="AQ111" s="184"/>
      <c r="AR111" s="184"/>
      <c r="AS111" s="184"/>
      <c r="AT111" s="184"/>
      <c r="AU111" s="184"/>
      <c r="AV111" s="184"/>
      <c r="AW111" s="184"/>
    </row>
    <row r="112" spans="1:49" ht="15.75" thickBot="1" x14ac:dyDescent="0.3"/>
    <row r="113" spans="1:49" ht="26.25" thickBot="1" x14ac:dyDescent="0.3">
      <c r="A113" s="283" t="s">
        <v>167</v>
      </c>
      <c r="B113" s="284" t="s">
        <v>5</v>
      </c>
      <c r="C113" s="284" t="s">
        <v>84</v>
      </c>
      <c r="D113" s="284" t="s">
        <v>86</v>
      </c>
      <c r="E113" s="284" t="s">
        <v>87</v>
      </c>
      <c r="F113" s="284" t="s">
        <v>223</v>
      </c>
      <c r="G113" s="284" t="s">
        <v>89</v>
      </c>
      <c r="H113" s="284" t="s">
        <v>90</v>
      </c>
      <c r="I113" s="239" t="s">
        <v>93</v>
      </c>
      <c r="J113" s="239" t="s">
        <v>95</v>
      </c>
      <c r="K113" s="239" t="s">
        <v>97</v>
      </c>
      <c r="L113" s="239" t="s">
        <v>140</v>
      </c>
      <c r="M113" s="239" t="s">
        <v>109</v>
      </c>
      <c r="N113" s="239" t="s">
        <v>103</v>
      </c>
      <c r="O113" s="239" t="s">
        <v>121</v>
      </c>
      <c r="P113" s="239" t="s">
        <v>113</v>
      </c>
      <c r="Q113" s="239" t="s">
        <v>105</v>
      </c>
      <c r="R113" s="239" t="s">
        <v>107</v>
      </c>
      <c r="S113" s="239" t="s">
        <v>141</v>
      </c>
      <c r="T113" s="239" t="s">
        <v>101</v>
      </c>
      <c r="U113" s="239" t="s">
        <v>122</v>
      </c>
      <c r="V113" s="239" t="s">
        <v>116</v>
      </c>
      <c r="W113" s="239" t="s">
        <v>148</v>
      </c>
      <c r="X113" s="239" t="s">
        <v>149</v>
      </c>
      <c r="Y113" s="366" t="s">
        <v>111</v>
      </c>
      <c r="Z113" s="366" t="s">
        <v>94</v>
      </c>
      <c r="AA113" s="239" t="s">
        <v>96</v>
      </c>
      <c r="AB113" s="367" t="s">
        <v>98</v>
      </c>
      <c r="AC113" s="367" t="s">
        <v>118</v>
      </c>
      <c r="AD113" s="239" t="s">
        <v>99</v>
      </c>
      <c r="AE113" s="239" t="s">
        <v>104</v>
      </c>
      <c r="AF113" s="239" t="s">
        <v>150</v>
      </c>
      <c r="AG113" s="239" t="s">
        <v>114</v>
      </c>
      <c r="AH113" s="239" t="s">
        <v>106</v>
      </c>
      <c r="AI113" s="239" t="s">
        <v>108</v>
      </c>
      <c r="AJ113" s="239" t="s">
        <v>142</v>
      </c>
      <c r="AK113" s="239" t="s">
        <v>102</v>
      </c>
      <c r="AL113" s="239" t="s">
        <v>143</v>
      </c>
      <c r="AM113" s="239" t="s">
        <v>123</v>
      </c>
      <c r="AN113" s="239" t="s">
        <v>117</v>
      </c>
      <c r="AO113" s="239" t="s">
        <v>151</v>
      </c>
      <c r="AP113" s="239" t="s">
        <v>112</v>
      </c>
      <c r="AQ113" s="239" t="s">
        <v>110</v>
      </c>
      <c r="AR113" s="239" t="s">
        <v>119</v>
      </c>
      <c r="AS113" s="239" t="s">
        <v>115</v>
      </c>
      <c r="AT113" s="239" t="s">
        <v>120</v>
      </c>
      <c r="AU113" s="285" t="s">
        <v>100</v>
      </c>
      <c r="AV113" s="285" t="s">
        <v>243</v>
      </c>
      <c r="AW113" s="285" t="s">
        <v>244</v>
      </c>
    </row>
    <row r="114" spans="1:49" ht="12.75" customHeight="1" x14ac:dyDescent="0.25">
      <c r="A114" s="201" t="s">
        <v>24</v>
      </c>
      <c r="B114" s="150" t="s">
        <v>15</v>
      </c>
      <c r="C114" s="274">
        <v>500</v>
      </c>
      <c r="D114" s="141">
        <v>1330</v>
      </c>
      <c r="E114" s="142">
        <f t="shared" ref="E114:E147" si="16">COUNTIF(I114:AW114,"HL")</f>
        <v>8</v>
      </c>
      <c r="F114" s="142">
        <f t="shared" ref="F114:F147" si="17">COUNTIF(I114:AW114,"Coaching")</f>
        <v>0</v>
      </c>
      <c r="G114" s="142">
        <f t="shared" ref="G114:G147" si="18">COUNTIF(I114:AW114,"ADM")</f>
        <v>4</v>
      </c>
      <c r="H114" s="142">
        <f t="shared" ref="H114:H147" si="19">COUNTIF(I114:AW114,"RNNR")</f>
        <v>2</v>
      </c>
      <c r="I114" s="184" t="s">
        <v>126</v>
      </c>
      <c r="J114" s="184" t="s">
        <v>126</v>
      </c>
      <c r="K114" s="184" t="s">
        <v>126</v>
      </c>
      <c r="L114" s="184" t="s">
        <v>126</v>
      </c>
      <c r="M114" s="184" t="s">
        <v>240</v>
      </c>
      <c r="N114" s="184" t="s">
        <v>130</v>
      </c>
      <c r="O114" s="184" t="s">
        <v>211</v>
      </c>
      <c r="P114" s="184" t="s">
        <v>211</v>
      </c>
      <c r="Q114" s="184" t="s">
        <v>241</v>
      </c>
      <c r="R114" s="184" t="s">
        <v>130</v>
      </c>
      <c r="S114" s="184" t="s">
        <v>130</v>
      </c>
      <c r="T114" s="184" t="s">
        <v>130</v>
      </c>
      <c r="U114" s="184" t="s">
        <v>248</v>
      </c>
      <c r="V114" s="184" t="s">
        <v>126</v>
      </c>
      <c r="W114" s="184" t="s">
        <v>126</v>
      </c>
      <c r="X114" s="184" t="s">
        <v>126</v>
      </c>
      <c r="Y114" s="184" t="s">
        <v>126</v>
      </c>
      <c r="Z114" s="184"/>
      <c r="AA114" s="184"/>
      <c r="AB114" s="184"/>
      <c r="AC114" s="184"/>
      <c r="AD114" s="184"/>
      <c r="AE114" s="184"/>
      <c r="AF114" s="184"/>
      <c r="AG114" s="184"/>
      <c r="AH114" s="184"/>
      <c r="AI114" s="184"/>
      <c r="AJ114" s="184"/>
      <c r="AK114" s="184"/>
      <c r="AL114" s="184"/>
      <c r="AM114" s="184"/>
      <c r="AN114" s="184"/>
      <c r="AO114" s="184"/>
      <c r="AP114" s="184"/>
      <c r="AQ114" s="184"/>
      <c r="AR114" s="184"/>
      <c r="AS114" s="184"/>
      <c r="AT114" s="184"/>
      <c r="AU114" s="184"/>
      <c r="AV114" s="184"/>
      <c r="AW114" s="184"/>
    </row>
    <row r="115" spans="1:49" ht="12.75" customHeight="1" x14ac:dyDescent="0.25">
      <c r="A115" s="201" t="s">
        <v>44</v>
      </c>
      <c r="B115" s="150" t="s">
        <v>15</v>
      </c>
      <c r="C115" s="274">
        <v>530</v>
      </c>
      <c r="D115" s="141">
        <v>1400</v>
      </c>
      <c r="E115" s="142">
        <f t="shared" si="16"/>
        <v>6</v>
      </c>
      <c r="F115" s="142">
        <f t="shared" si="17"/>
        <v>0</v>
      </c>
      <c r="G115" s="142">
        <f t="shared" si="18"/>
        <v>6</v>
      </c>
      <c r="H115" s="142">
        <f t="shared" si="19"/>
        <v>2</v>
      </c>
      <c r="I115" s="184"/>
      <c r="J115" s="184" t="s">
        <v>130</v>
      </c>
      <c r="K115" s="184" t="s">
        <v>130</v>
      </c>
      <c r="L115" s="184" t="s">
        <v>130</v>
      </c>
      <c r="M115" s="184" t="s">
        <v>130</v>
      </c>
      <c r="N115" s="184" t="s">
        <v>247</v>
      </c>
      <c r="O115" s="184" t="s">
        <v>126</v>
      </c>
      <c r="P115" s="184" t="s">
        <v>126</v>
      </c>
      <c r="Q115" s="184" t="s">
        <v>126</v>
      </c>
      <c r="R115" s="184" t="s">
        <v>241</v>
      </c>
      <c r="S115" s="184" t="s">
        <v>211</v>
      </c>
      <c r="T115" s="184" t="s">
        <v>211</v>
      </c>
      <c r="U115" s="184" t="s">
        <v>130</v>
      </c>
      <c r="V115" s="184" t="s">
        <v>362</v>
      </c>
      <c r="W115" s="184" t="s">
        <v>130</v>
      </c>
      <c r="X115" s="184" t="s">
        <v>126</v>
      </c>
      <c r="Y115" s="184" t="s">
        <v>126</v>
      </c>
      <c r="Z115" s="184" t="s">
        <v>126</v>
      </c>
      <c r="AA115" s="184"/>
      <c r="AB115" s="184"/>
      <c r="AC115" s="184"/>
      <c r="AD115" s="184"/>
      <c r="AE115" s="184"/>
      <c r="AF115" s="184"/>
      <c r="AG115" s="184"/>
      <c r="AH115" s="184"/>
      <c r="AI115" s="184"/>
      <c r="AJ115" s="184"/>
      <c r="AK115" s="184"/>
      <c r="AL115" s="184"/>
      <c r="AM115" s="184"/>
      <c r="AN115" s="184"/>
      <c r="AO115" s="184"/>
      <c r="AP115" s="184"/>
      <c r="AQ115" s="184"/>
      <c r="AR115" s="184"/>
      <c r="AS115" s="184"/>
      <c r="AT115" s="184"/>
      <c r="AU115" s="184"/>
      <c r="AV115" s="184"/>
      <c r="AW115" s="184"/>
    </row>
    <row r="116" spans="1:49" ht="12.75" customHeight="1" x14ac:dyDescent="0.25">
      <c r="A116" s="202" t="s">
        <v>230</v>
      </c>
      <c r="B116" s="257" t="s">
        <v>15</v>
      </c>
      <c r="C116" s="274">
        <v>530</v>
      </c>
      <c r="D116" s="141">
        <v>1430</v>
      </c>
      <c r="E116" s="142">
        <f t="shared" si="16"/>
        <v>6</v>
      </c>
      <c r="F116" s="142">
        <f t="shared" si="17"/>
        <v>0</v>
      </c>
      <c r="G116" s="142">
        <f t="shared" si="18"/>
        <v>6</v>
      </c>
      <c r="H116" s="142">
        <f t="shared" si="19"/>
        <v>2</v>
      </c>
      <c r="I116" s="184"/>
      <c r="J116" s="184" t="s">
        <v>126</v>
      </c>
      <c r="K116" s="184" t="s">
        <v>126</v>
      </c>
      <c r="L116" s="184" t="s">
        <v>126</v>
      </c>
      <c r="M116" s="184" t="s">
        <v>247</v>
      </c>
      <c r="N116" s="184" t="s">
        <v>126</v>
      </c>
      <c r="O116" s="184" t="s">
        <v>130</v>
      </c>
      <c r="P116" s="184" t="s">
        <v>241</v>
      </c>
      <c r="Q116" s="184" t="s">
        <v>241</v>
      </c>
      <c r="R116" s="184" t="s">
        <v>130</v>
      </c>
      <c r="S116" s="184" t="s">
        <v>130</v>
      </c>
      <c r="T116" s="184" t="s">
        <v>130</v>
      </c>
      <c r="U116" s="184" t="s">
        <v>211</v>
      </c>
      <c r="V116" s="184" t="s">
        <v>211</v>
      </c>
      <c r="W116" s="184" t="s">
        <v>248</v>
      </c>
      <c r="X116" s="184" t="s">
        <v>126</v>
      </c>
      <c r="Y116" s="184" t="s">
        <v>126</v>
      </c>
      <c r="Z116" s="184" t="s">
        <v>130</v>
      </c>
      <c r="AA116" s="184" t="s">
        <v>130</v>
      </c>
      <c r="AB116" s="184"/>
      <c r="AC116" s="184"/>
      <c r="AD116" s="184"/>
      <c r="AE116" s="184"/>
      <c r="AF116" s="184"/>
      <c r="AG116" s="184"/>
      <c r="AH116" s="184"/>
      <c r="AI116" s="184"/>
      <c r="AJ116" s="184"/>
      <c r="AK116" s="184"/>
      <c r="AL116" s="184"/>
      <c r="AM116" s="184"/>
      <c r="AN116" s="184"/>
      <c r="AO116" s="184"/>
      <c r="AP116" s="184"/>
      <c r="AQ116" s="184"/>
      <c r="AR116" s="184"/>
      <c r="AS116" s="184"/>
      <c r="AT116" s="184"/>
      <c r="AU116" s="184"/>
      <c r="AV116" s="184"/>
      <c r="AW116" s="184"/>
    </row>
    <row r="117" spans="1:49" ht="12.75" customHeight="1" x14ac:dyDescent="0.25">
      <c r="A117" s="201" t="s">
        <v>19</v>
      </c>
      <c r="B117" s="150" t="s">
        <v>15</v>
      </c>
      <c r="C117" s="274">
        <v>600</v>
      </c>
      <c r="D117" s="141">
        <v>1430</v>
      </c>
      <c r="E117" s="142">
        <f t="shared" si="16"/>
        <v>5</v>
      </c>
      <c r="F117" s="142">
        <f t="shared" si="17"/>
        <v>0</v>
      </c>
      <c r="G117" s="142">
        <f t="shared" si="18"/>
        <v>5</v>
      </c>
      <c r="H117" s="142">
        <f t="shared" si="19"/>
        <v>2</v>
      </c>
      <c r="I117" s="184"/>
      <c r="J117" s="184"/>
      <c r="K117" s="184" t="s">
        <v>126</v>
      </c>
      <c r="L117" s="184" t="s">
        <v>126</v>
      </c>
      <c r="M117" s="184" t="s">
        <v>130</v>
      </c>
      <c r="N117" s="184" t="s">
        <v>130</v>
      </c>
      <c r="O117" s="184" t="s">
        <v>361</v>
      </c>
      <c r="P117" s="184" t="s">
        <v>130</v>
      </c>
      <c r="Q117" s="184" t="s">
        <v>211</v>
      </c>
      <c r="R117" s="184" t="s">
        <v>211</v>
      </c>
      <c r="S117" s="184" t="s">
        <v>126</v>
      </c>
      <c r="T117" s="184" t="s">
        <v>241</v>
      </c>
      <c r="U117" s="184" t="s">
        <v>130</v>
      </c>
      <c r="V117" s="184" t="s">
        <v>130</v>
      </c>
      <c r="W117" s="184" t="s">
        <v>431</v>
      </c>
      <c r="X117" s="184" t="s">
        <v>431</v>
      </c>
      <c r="Y117" s="184" t="s">
        <v>362</v>
      </c>
      <c r="Z117" s="184" t="s">
        <v>126</v>
      </c>
      <c r="AA117" s="184" t="s">
        <v>126</v>
      </c>
      <c r="AB117" s="184"/>
      <c r="AC117" s="184"/>
      <c r="AD117" s="184"/>
      <c r="AE117" s="184"/>
      <c r="AF117" s="184"/>
      <c r="AG117" s="184"/>
      <c r="AH117" s="184"/>
      <c r="AI117" s="184"/>
      <c r="AJ117" s="184"/>
      <c r="AK117" s="184"/>
      <c r="AL117" s="184"/>
      <c r="AM117" s="184"/>
      <c r="AN117" s="184"/>
      <c r="AO117" s="184"/>
      <c r="AP117" s="184"/>
      <c r="AQ117" s="184"/>
      <c r="AR117" s="184"/>
      <c r="AS117" s="184"/>
      <c r="AT117" s="184"/>
      <c r="AU117" s="184"/>
      <c r="AV117" s="184"/>
      <c r="AW117" s="184"/>
    </row>
    <row r="118" spans="1:49" ht="12.75" customHeight="1" x14ac:dyDescent="0.25">
      <c r="A118" s="201" t="s">
        <v>34</v>
      </c>
      <c r="B118" s="150" t="s">
        <v>15</v>
      </c>
      <c r="C118" s="274">
        <v>630</v>
      </c>
      <c r="D118" s="141">
        <v>1500</v>
      </c>
      <c r="E118" s="142">
        <f t="shared" si="16"/>
        <v>7</v>
      </c>
      <c r="F118" s="142">
        <f t="shared" si="17"/>
        <v>0</v>
      </c>
      <c r="G118" s="142">
        <f t="shared" si="18"/>
        <v>7</v>
      </c>
      <c r="H118" s="142">
        <f t="shared" si="19"/>
        <v>0</v>
      </c>
      <c r="I118" s="184"/>
      <c r="J118" s="184"/>
      <c r="K118" s="184"/>
      <c r="L118" s="184" t="s">
        <v>126</v>
      </c>
      <c r="M118" s="184" t="s">
        <v>126</v>
      </c>
      <c r="N118" s="184" t="s">
        <v>126</v>
      </c>
      <c r="O118" s="184" t="s">
        <v>130</v>
      </c>
      <c r="P118" s="184" t="s">
        <v>240</v>
      </c>
      <c r="Q118" s="184" t="s">
        <v>126</v>
      </c>
      <c r="R118" s="184" t="s">
        <v>126</v>
      </c>
      <c r="S118" s="184" t="s">
        <v>126</v>
      </c>
      <c r="T118" s="184" t="s">
        <v>130</v>
      </c>
      <c r="U118" s="184" t="s">
        <v>241</v>
      </c>
      <c r="V118" s="184" t="s">
        <v>130</v>
      </c>
      <c r="W118" s="184" t="s">
        <v>130</v>
      </c>
      <c r="X118" s="184" t="s">
        <v>248</v>
      </c>
      <c r="Y118" s="184" t="s">
        <v>130</v>
      </c>
      <c r="Z118" s="184" t="s">
        <v>130</v>
      </c>
      <c r="AA118" s="184" t="s">
        <v>130</v>
      </c>
      <c r="AB118" s="184" t="s">
        <v>126</v>
      </c>
      <c r="AC118" s="184"/>
      <c r="AD118" s="184"/>
      <c r="AE118" s="184"/>
      <c r="AF118" s="184"/>
      <c r="AG118" s="184"/>
      <c r="AH118" s="184"/>
      <c r="AI118" s="184"/>
      <c r="AJ118" s="184"/>
      <c r="AK118" s="184"/>
      <c r="AL118" s="184"/>
      <c r="AM118" s="184"/>
      <c r="AN118" s="184"/>
      <c r="AO118" s="184"/>
      <c r="AP118" s="184"/>
      <c r="AQ118" s="184"/>
      <c r="AR118" s="184"/>
      <c r="AS118" s="184"/>
      <c r="AT118" s="184"/>
      <c r="AU118" s="184"/>
      <c r="AV118" s="184"/>
      <c r="AW118" s="184"/>
    </row>
    <row r="119" spans="1:49" ht="12.75" customHeight="1" x14ac:dyDescent="0.25">
      <c r="A119" s="202" t="s">
        <v>22</v>
      </c>
      <c r="B119" s="257" t="s">
        <v>15</v>
      </c>
      <c r="C119" s="274">
        <v>700</v>
      </c>
      <c r="D119" s="141">
        <v>1600</v>
      </c>
      <c r="E119" s="142">
        <f t="shared" si="16"/>
        <v>7</v>
      </c>
      <c r="F119" s="142">
        <f t="shared" si="17"/>
        <v>0</v>
      </c>
      <c r="G119" s="142">
        <f t="shared" si="18"/>
        <v>7</v>
      </c>
      <c r="H119" s="142">
        <f t="shared" si="19"/>
        <v>0</v>
      </c>
      <c r="I119" s="184"/>
      <c r="J119" s="184"/>
      <c r="K119" s="184"/>
      <c r="L119" s="184"/>
      <c r="M119" s="184" t="s">
        <v>126</v>
      </c>
      <c r="N119" s="184" t="s">
        <v>126</v>
      </c>
      <c r="O119" s="184" t="s">
        <v>126</v>
      </c>
      <c r="P119" s="184" t="s">
        <v>130</v>
      </c>
      <c r="Q119" s="184" t="s">
        <v>247</v>
      </c>
      <c r="R119" s="184" t="s">
        <v>126</v>
      </c>
      <c r="S119" s="184" t="s">
        <v>126</v>
      </c>
      <c r="T119" s="184" t="s">
        <v>130</v>
      </c>
      <c r="U119" s="184" t="s">
        <v>130</v>
      </c>
      <c r="V119" s="184" t="s">
        <v>241</v>
      </c>
      <c r="W119" s="184" t="s">
        <v>241</v>
      </c>
      <c r="X119" s="184" t="s">
        <v>130</v>
      </c>
      <c r="Y119" s="184" t="s">
        <v>126</v>
      </c>
      <c r="Z119" s="184" t="s">
        <v>126</v>
      </c>
      <c r="AA119" s="184" t="s">
        <v>363</v>
      </c>
      <c r="AB119" s="184" t="s">
        <v>130</v>
      </c>
      <c r="AC119" s="184" t="s">
        <v>130</v>
      </c>
      <c r="AD119" s="184" t="s">
        <v>130</v>
      </c>
      <c r="AE119" s="184"/>
      <c r="AF119" s="184"/>
      <c r="AG119" s="184"/>
      <c r="AH119" s="184"/>
      <c r="AI119" s="184"/>
      <c r="AJ119" s="184"/>
      <c r="AK119" s="184"/>
      <c r="AL119" s="184"/>
      <c r="AM119" s="184"/>
      <c r="AN119" s="184"/>
      <c r="AO119" s="184"/>
      <c r="AP119" s="184"/>
      <c r="AQ119" s="184"/>
      <c r="AR119" s="184"/>
      <c r="AS119" s="184"/>
      <c r="AT119" s="184"/>
      <c r="AU119" s="184"/>
      <c r="AV119" s="184"/>
      <c r="AW119" s="184"/>
    </row>
    <row r="120" spans="1:49" ht="12.75" customHeight="1" x14ac:dyDescent="0.25">
      <c r="A120" s="202" t="s">
        <v>237</v>
      </c>
      <c r="B120" s="257" t="s">
        <v>15</v>
      </c>
      <c r="C120" s="274">
        <v>730</v>
      </c>
      <c r="D120" s="141">
        <v>1600</v>
      </c>
      <c r="E120" s="142">
        <f t="shared" si="16"/>
        <v>6</v>
      </c>
      <c r="F120" s="142">
        <f t="shared" si="17"/>
        <v>0</v>
      </c>
      <c r="G120" s="142">
        <f t="shared" si="18"/>
        <v>6</v>
      </c>
      <c r="H120" s="142">
        <f t="shared" si="19"/>
        <v>2</v>
      </c>
      <c r="I120" s="184"/>
      <c r="J120" s="184"/>
      <c r="K120" s="184"/>
      <c r="L120" s="184"/>
      <c r="M120" s="184"/>
      <c r="N120" s="184" t="s">
        <v>126</v>
      </c>
      <c r="O120" s="184" t="s">
        <v>126</v>
      </c>
      <c r="P120" s="184" t="s">
        <v>126</v>
      </c>
      <c r="Q120" s="184" t="s">
        <v>130</v>
      </c>
      <c r="R120" s="184" t="s">
        <v>361</v>
      </c>
      <c r="S120" s="184" t="s">
        <v>130</v>
      </c>
      <c r="T120" s="184" t="s">
        <v>130</v>
      </c>
      <c r="U120" s="184" t="s">
        <v>130</v>
      </c>
      <c r="V120" s="184" t="s">
        <v>126</v>
      </c>
      <c r="W120" s="184" t="s">
        <v>241</v>
      </c>
      <c r="X120" s="184" t="s">
        <v>126</v>
      </c>
      <c r="Y120" s="184" t="s">
        <v>126</v>
      </c>
      <c r="Z120" s="184" t="s">
        <v>130</v>
      </c>
      <c r="AA120" s="184" t="s">
        <v>362</v>
      </c>
      <c r="AB120" s="184" t="s">
        <v>130</v>
      </c>
      <c r="AC120" s="184" t="s">
        <v>211</v>
      </c>
      <c r="AD120" s="184" t="s">
        <v>211</v>
      </c>
      <c r="AE120" s="184"/>
      <c r="AF120" s="184"/>
      <c r="AG120" s="184"/>
      <c r="AH120" s="184"/>
      <c r="AI120" s="184"/>
      <c r="AJ120" s="184"/>
      <c r="AK120" s="184"/>
      <c r="AL120" s="184"/>
      <c r="AM120" s="184"/>
      <c r="AN120" s="184"/>
      <c r="AO120" s="184"/>
      <c r="AP120" s="184"/>
      <c r="AQ120" s="184"/>
      <c r="AR120" s="184"/>
      <c r="AS120" s="184"/>
      <c r="AT120" s="184"/>
      <c r="AU120" s="184"/>
      <c r="AV120" s="184"/>
      <c r="AW120" s="184"/>
    </row>
    <row r="121" spans="1:49" ht="12.75" customHeight="1" x14ac:dyDescent="0.25">
      <c r="A121" s="202" t="s">
        <v>41</v>
      </c>
      <c r="B121" s="257" t="s">
        <v>15</v>
      </c>
      <c r="C121" s="274">
        <v>800</v>
      </c>
      <c r="D121" s="141">
        <v>1630</v>
      </c>
      <c r="E121" s="142">
        <f t="shared" si="16"/>
        <v>5</v>
      </c>
      <c r="F121" s="142">
        <f t="shared" si="17"/>
        <v>0</v>
      </c>
      <c r="G121" s="142">
        <f t="shared" si="18"/>
        <v>7</v>
      </c>
      <c r="H121" s="142">
        <f t="shared" si="19"/>
        <v>2</v>
      </c>
      <c r="I121" s="184"/>
      <c r="J121" s="184"/>
      <c r="K121" s="184"/>
      <c r="L121" s="184"/>
      <c r="M121" s="184"/>
      <c r="N121" s="184"/>
      <c r="O121" s="184" t="s">
        <v>126</v>
      </c>
      <c r="P121" s="184" t="s">
        <v>130</v>
      </c>
      <c r="Q121" s="184" t="s">
        <v>130</v>
      </c>
      <c r="R121" s="184" t="s">
        <v>130</v>
      </c>
      <c r="S121" s="184" t="s">
        <v>247</v>
      </c>
      <c r="T121" s="184" t="s">
        <v>126</v>
      </c>
      <c r="U121" s="184" t="s">
        <v>126</v>
      </c>
      <c r="V121" s="184" t="s">
        <v>130</v>
      </c>
      <c r="W121" s="184" t="s">
        <v>130</v>
      </c>
      <c r="X121" s="184" t="s">
        <v>241</v>
      </c>
      <c r="Y121" s="184" t="s">
        <v>211</v>
      </c>
      <c r="Z121" s="184" t="s">
        <v>211</v>
      </c>
      <c r="AA121" s="184" t="s">
        <v>126</v>
      </c>
      <c r="AB121" s="184" t="s">
        <v>363</v>
      </c>
      <c r="AC121" s="184" t="s">
        <v>130</v>
      </c>
      <c r="AD121" s="184" t="s">
        <v>126</v>
      </c>
      <c r="AE121" s="184" t="s">
        <v>130</v>
      </c>
      <c r="AF121" s="184"/>
      <c r="AG121" s="184"/>
      <c r="AH121" s="184"/>
      <c r="AI121" s="184"/>
      <c r="AJ121" s="184"/>
      <c r="AK121" s="184"/>
      <c r="AL121" s="184"/>
      <c r="AM121" s="184"/>
      <c r="AN121" s="184"/>
      <c r="AO121" s="184"/>
      <c r="AP121" s="184"/>
      <c r="AQ121" s="184"/>
      <c r="AR121" s="184"/>
      <c r="AS121" s="184"/>
      <c r="AT121" s="184"/>
      <c r="AU121" s="184"/>
      <c r="AV121" s="184"/>
      <c r="AW121" s="184"/>
    </row>
    <row r="122" spans="1:49" ht="12.75" customHeight="1" x14ac:dyDescent="0.25">
      <c r="A122" s="202" t="s">
        <v>67</v>
      </c>
      <c r="B122" s="140" t="s">
        <v>15</v>
      </c>
      <c r="C122" s="55">
        <v>1030</v>
      </c>
      <c r="D122" s="141">
        <v>1900</v>
      </c>
      <c r="E122" s="142">
        <f t="shared" si="16"/>
        <v>6</v>
      </c>
      <c r="F122" s="142">
        <f t="shared" si="17"/>
        <v>0</v>
      </c>
      <c r="G122" s="142">
        <f t="shared" si="18"/>
        <v>4</v>
      </c>
      <c r="H122" s="142">
        <f t="shared" si="19"/>
        <v>2</v>
      </c>
      <c r="I122" s="184"/>
      <c r="J122" s="184"/>
      <c r="K122" s="184"/>
      <c r="L122" s="184"/>
      <c r="M122" s="184"/>
      <c r="N122" s="184"/>
      <c r="O122" s="184"/>
      <c r="P122" s="184"/>
      <c r="Q122" s="184"/>
      <c r="R122" s="184"/>
      <c r="S122" s="184"/>
      <c r="T122" s="184" t="s">
        <v>126</v>
      </c>
      <c r="U122" s="184" t="s">
        <v>126</v>
      </c>
      <c r="V122" s="184" t="s">
        <v>126</v>
      </c>
      <c r="W122" s="184" t="s">
        <v>126</v>
      </c>
      <c r="X122" s="184" t="s">
        <v>247</v>
      </c>
      <c r="Y122" s="184" t="s">
        <v>431</v>
      </c>
      <c r="Z122" s="184" t="s">
        <v>431</v>
      </c>
      <c r="AA122" s="184" t="s">
        <v>126</v>
      </c>
      <c r="AB122" s="184" t="s">
        <v>241</v>
      </c>
      <c r="AC122" s="184" t="s">
        <v>130</v>
      </c>
      <c r="AD122" s="184" t="s">
        <v>130</v>
      </c>
      <c r="AE122" s="184" t="s">
        <v>126</v>
      </c>
      <c r="AF122" s="184" t="s">
        <v>362</v>
      </c>
      <c r="AG122" s="184" t="s">
        <v>130</v>
      </c>
      <c r="AH122" s="184" t="s">
        <v>130</v>
      </c>
      <c r="AI122" s="184" t="s">
        <v>211</v>
      </c>
      <c r="AJ122" s="184" t="s">
        <v>211</v>
      </c>
      <c r="AK122" s="184"/>
      <c r="AL122" s="184"/>
      <c r="AM122" s="184"/>
      <c r="AN122" s="184"/>
      <c r="AO122" s="184"/>
      <c r="AP122" s="184"/>
      <c r="AQ122" s="184"/>
      <c r="AR122" s="184"/>
      <c r="AS122" s="184"/>
      <c r="AT122" s="184"/>
      <c r="AU122" s="184"/>
      <c r="AV122" s="184"/>
      <c r="AW122" s="184"/>
    </row>
    <row r="123" spans="1:49" ht="12.75" customHeight="1" x14ac:dyDescent="0.25">
      <c r="A123" s="201" t="s">
        <v>30</v>
      </c>
      <c r="B123" s="150" t="s">
        <v>15</v>
      </c>
      <c r="C123" s="188">
        <v>1100</v>
      </c>
      <c r="D123" s="188">
        <v>2000</v>
      </c>
      <c r="E123" s="142">
        <f t="shared" si="16"/>
        <v>6</v>
      </c>
      <c r="F123" s="142">
        <f t="shared" si="17"/>
        <v>0</v>
      </c>
      <c r="G123" s="142">
        <f t="shared" si="18"/>
        <v>6</v>
      </c>
      <c r="H123" s="142">
        <f t="shared" si="19"/>
        <v>2</v>
      </c>
      <c r="I123" s="184"/>
      <c r="J123" s="184"/>
      <c r="K123" s="184"/>
      <c r="L123" s="184"/>
      <c r="M123" s="184"/>
      <c r="N123" s="184"/>
      <c r="O123" s="184"/>
      <c r="P123" s="184"/>
      <c r="Q123" s="184"/>
      <c r="R123" s="184"/>
      <c r="S123" s="184"/>
      <c r="T123" s="184"/>
      <c r="U123" s="184" t="s">
        <v>126</v>
      </c>
      <c r="V123" s="184" t="s">
        <v>126</v>
      </c>
      <c r="W123" s="184" t="s">
        <v>130</v>
      </c>
      <c r="X123" s="184" t="s">
        <v>130</v>
      </c>
      <c r="Y123" s="184" t="s">
        <v>364</v>
      </c>
      <c r="Z123" s="184" t="s">
        <v>126</v>
      </c>
      <c r="AA123" s="184" t="s">
        <v>211</v>
      </c>
      <c r="AB123" s="184" t="s">
        <v>211</v>
      </c>
      <c r="AC123" s="184" t="s">
        <v>130</v>
      </c>
      <c r="AD123" s="184" t="s">
        <v>241</v>
      </c>
      <c r="AE123" s="184" t="s">
        <v>130</v>
      </c>
      <c r="AF123" s="184" t="s">
        <v>130</v>
      </c>
      <c r="AG123" s="184" t="s">
        <v>130</v>
      </c>
      <c r="AH123" s="184" t="s">
        <v>248</v>
      </c>
      <c r="AI123" s="184" t="s">
        <v>126</v>
      </c>
      <c r="AJ123" s="184" t="s">
        <v>126</v>
      </c>
      <c r="AK123" s="184" t="s">
        <v>126</v>
      </c>
      <c r="AL123" s="184"/>
      <c r="AM123" s="184"/>
      <c r="AN123" s="184"/>
      <c r="AO123" s="184"/>
      <c r="AP123" s="184"/>
      <c r="AQ123" s="184"/>
      <c r="AR123" s="184"/>
      <c r="AS123" s="184"/>
      <c r="AT123" s="184"/>
      <c r="AU123" s="184"/>
      <c r="AV123" s="184"/>
      <c r="AW123" s="184"/>
    </row>
    <row r="124" spans="1:49" ht="12.75" customHeight="1" x14ac:dyDescent="0.25">
      <c r="A124" s="201" t="s">
        <v>236</v>
      </c>
      <c r="B124" s="257" t="s">
        <v>15</v>
      </c>
      <c r="C124" s="274">
        <v>1130</v>
      </c>
      <c r="D124" s="141">
        <v>2000</v>
      </c>
      <c r="E124" s="142">
        <f t="shared" si="16"/>
        <v>6</v>
      </c>
      <c r="F124" s="142">
        <f t="shared" si="17"/>
        <v>0</v>
      </c>
      <c r="G124" s="142">
        <f t="shared" si="18"/>
        <v>6</v>
      </c>
      <c r="H124" s="142">
        <f t="shared" si="19"/>
        <v>2</v>
      </c>
      <c r="I124" s="184"/>
      <c r="J124" s="184"/>
      <c r="K124" s="184"/>
      <c r="L124" s="184"/>
      <c r="M124" s="184"/>
      <c r="N124" s="184"/>
      <c r="O124" s="184"/>
      <c r="P124" s="184"/>
      <c r="Q124" s="184"/>
      <c r="R124" s="184"/>
      <c r="S124" s="184"/>
      <c r="T124" s="184"/>
      <c r="U124" s="184"/>
      <c r="V124" s="184" t="s">
        <v>130</v>
      </c>
      <c r="W124" s="184" t="s">
        <v>211</v>
      </c>
      <c r="X124" s="184" t="s">
        <v>211</v>
      </c>
      <c r="Y124" s="184" t="s">
        <v>240</v>
      </c>
      <c r="Z124" s="184" t="s">
        <v>130</v>
      </c>
      <c r="AA124" s="184" t="s">
        <v>130</v>
      </c>
      <c r="AB124" s="184" t="s">
        <v>126</v>
      </c>
      <c r="AC124" s="184" t="s">
        <v>126</v>
      </c>
      <c r="AD124" s="184" t="s">
        <v>241</v>
      </c>
      <c r="AE124" s="184" t="s">
        <v>126</v>
      </c>
      <c r="AF124" s="184" t="s">
        <v>130</v>
      </c>
      <c r="AG124" s="184" t="s">
        <v>126</v>
      </c>
      <c r="AH124" s="184" t="s">
        <v>126</v>
      </c>
      <c r="AI124" s="184" t="s">
        <v>363</v>
      </c>
      <c r="AJ124" s="184" t="s">
        <v>130</v>
      </c>
      <c r="AK124" s="184" t="s">
        <v>130</v>
      </c>
      <c r="AL124" s="184" t="s">
        <v>126</v>
      </c>
      <c r="AM124" s="184"/>
      <c r="AN124" s="184"/>
      <c r="AO124" s="184"/>
      <c r="AP124" s="184"/>
      <c r="AQ124" s="184"/>
      <c r="AR124" s="184"/>
      <c r="AS124" s="184"/>
      <c r="AT124" s="184"/>
      <c r="AU124" s="184"/>
      <c r="AV124" s="184"/>
      <c r="AW124" s="184"/>
    </row>
    <row r="125" spans="1:49" ht="12.75" customHeight="1" x14ac:dyDescent="0.25">
      <c r="A125" s="201" t="s">
        <v>50</v>
      </c>
      <c r="B125" s="257" t="s">
        <v>15</v>
      </c>
      <c r="C125" s="274">
        <v>1200</v>
      </c>
      <c r="D125" s="141">
        <v>2230</v>
      </c>
      <c r="E125" s="142">
        <f t="shared" si="16"/>
        <v>8</v>
      </c>
      <c r="F125" s="142">
        <f t="shared" si="17"/>
        <v>0</v>
      </c>
      <c r="G125" s="142">
        <f t="shared" si="18"/>
        <v>6</v>
      </c>
      <c r="H125" s="142">
        <f t="shared" si="19"/>
        <v>2</v>
      </c>
      <c r="I125" s="184"/>
      <c r="J125" s="184"/>
      <c r="K125" s="184"/>
      <c r="L125" s="184"/>
      <c r="M125" s="184"/>
      <c r="N125" s="184"/>
      <c r="O125" s="184"/>
      <c r="P125" s="184"/>
      <c r="Q125" s="184"/>
      <c r="R125" s="184"/>
      <c r="S125" s="184"/>
      <c r="T125" s="184"/>
      <c r="U125" s="184"/>
      <c r="V125" s="184"/>
      <c r="W125" s="184" t="s">
        <v>130</v>
      </c>
      <c r="X125" s="184" t="s">
        <v>130</v>
      </c>
      <c r="Y125" s="184" t="s">
        <v>211</v>
      </c>
      <c r="Z125" s="184" t="s">
        <v>211</v>
      </c>
      <c r="AA125" s="184" t="s">
        <v>130</v>
      </c>
      <c r="AB125" s="184" t="s">
        <v>362</v>
      </c>
      <c r="AC125" s="184" t="s">
        <v>126</v>
      </c>
      <c r="AD125" s="184" t="s">
        <v>126</v>
      </c>
      <c r="AE125" s="184" t="s">
        <v>126</v>
      </c>
      <c r="AF125" s="184" t="s">
        <v>126</v>
      </c>
      <c r="AG125" s="184" t="s">
        <v>241</v>
      </c>
      <c r="AH125" s="184" t="s">
        <v>241</v>
      </c>
      <c r="AI125" s="184" t="s">
        <v>431</v>
      </c>
      <c r="AJ125" s="184" t="s">
        <v>431</v>
      </c>
      <c r="AK125" s="184" t="s">
        <v>130</v>
      </c>
      <c r="AL125" s="184" t="s">
        <v>130</v>
      </c>
      <c r="AM125" s="184" t="s">
        <v>130</v>
      </c>
      <c r="AN125" s="184" t="s">
        <v>248</v>
      </c>
      <c r="AO125" s="184" t="s">
        <v>126</v>
      </c>
      <c r="AP125" s="184" t="s">
        <v>126</v>
      </c>
      <c r="AQ125" s="184" t="s">
        <v>126</v>
      </c>
      <c r="AR125" s="184" t="s">
        <v>126</v>
      </c>
      <c r="AS125" s="184"/>
      <c r="AT125" s="184"/>
      <c r="AU125" s="184"/>
      <c r="AV125" s="184"/>
      <c r="AW125" s="184"/>
    </row>
    <row r="126" spans="1:49" ht="12.75" customHeight="1" x14ac:dyDescent="0.25">
      <c r="A126" s="202" t="s">
        <v>226</v>
      </c>
      <c r="B126" s="257" t="s">
        <v>15</v>
      </c>
      <c r="C126" s="274">
        <v>1200</v>
      </c>
      <c r="D126" s="141">
        <v>2030</v>
      </c>
      <c r="E126" s="142">
        <f t="shared" si="16"/>
        <v>7</v>
      </c>
      <c r="F126" s="142">
        <f t="shared" si="17"/>
        <v>0</v>
      </c>
      <c r="G126" s="142">
        <f t="shared" si="18"/>
        <v>5</v>
      </c>
      <c r="H126" s="142">
        <f t="shared" si="19"/>
        <v>2</v>
      </c>
      <c r="I126" s="184"/>
      <c r="J126" s="184"/>
      <c r="K126" s="184"/>
      <c r="L126" s="184"/>
      <c r="M126" s="184"/>
      <c r="N126" s="184"/>
      <c r="O126" s="184"/>
      <c r="P126" s="184"/>
      <c r="Q126" s="184"/>
      <c r="R126" s="184"/>
      <c r="S126" s="184"/>
      <c r="T126" s="184"/>
      <c r="U126" s="184"/>
      <c r="V126" s="184"/>
      <c r="W126" s="184" t="s">
        <v>126</v>
      </c>
      <c r="X126" s="184" t="s">
        <v>126</v>
      </c>
      <c r="Y126" s="184" t="s">
        <v>130</v>
      </c>
      <c r="Z126" s="184" t="s">
        <v>130</v>
      </c>
      <c r="AA126" s="184" t="s">
        <v>364</v>
      </c>
      <c r="AB126" s="184" t="s">
        <v>130</v>
      </c>
      <c r="AC126" s="184" t="s">
        <v>126</v>
      </c>
      <c r="AD126" s="184" t="s">
        <v>126</v>
      </c>
      <c r="AE126" s="184" t="s">
        <v>241</v>
      </c>
      <c r="AF126" s="184" t="s">
        <v>126</v>
      </c>
      <c r="AG126" s="184" t="s">
        <v>130</v>
      </c>
      <c r="AH126" s="184" t="s">
        <v>130</v>
      </c>
      <c r="AI126" s="184" t="s">
        <v>242</v>
      </c>
      <c r="AJ126" s="184" t="s">
        <v>126</v>
      </c>
      <c r="AK126" s="184" t="s">
        <v>211</v>
      </c>
      <c r="AL126" s="184" t="s">
        <v>211</v>
      </c>
      <c r="AM126" s="184" t="s">
        <v>126</v>
      </c>
      <c r="AN126" s="184"/>
      <c r="AO126" s="184"/>
      <c r="AP126" s="184"/>
      <c r="AQ126" s="184"/>
      <c r="AR126" s="184"/>
      <c r="AS126" s="184"/>
      <c r="AT126" s="184"/>
      <c r="AU126" s="184"/>
      <c r="AV126" s="184"/>
      <c r="AW126" s="184"/>
    </row>
    <row r="127" spans="1:49" ht="12.75" customHeight="1" x14ac:dyDescent="0.25">
      <c r="A127" s="202" t="s">
        <v>238</v>
      </c>
      <c r="B127" s="257" t="s">
        <v>15</v>
      </c>
      <c r="C127" s="274">
        <v>1230</v>
      </c>
      <c r="D127" s="141">
        <v>2100</v>
      </c>
      <c r="E127" s="142">
        <f t="shared" si="16"/>
        <v>5</v>
      </c>
      <c r="F127" s="142">
        <f t="shared" si="17"/>
        <v>0</v>
      </c>
      <c r="G127" s="142">
        <f t="shared" si="18"/>
        <v>5</v>
      </c>
      <c r="H127" s="142">
        <f t="shared" si="19"/>
        <v>4</v>
      </c>
      <c r="I127" s="184"/>
      <c r="J127" s="184"/>
      <c r="K127" s="184"/>
      <c r="L127" s="184"/>
      <c r="M127" s="184"/>
      <c r="N127" s="184"/>
      <c r="O127" s="184"/>
      <c r="P127" s="184"/>
      <c r="Q127" s="184"/>
      <c r="R127" s="184"/>
      <c r="S127" s="184"/>
      <c r="T127" s="184"/>
      <c r="U127" s="184"/>
      <c r="V127" s="184"/>
      <c r="W127" s="184"/>
      <c r="X127" s="184" t="s">
        <v>126</v>
      </c>
      <c r="Y127" s="184" t="s">
        <v>126</v>
      </c>
      <c r="Z127" s="184" t="s">
        <v>126</v>
      </c>
      <c r="AA127" s="184" t="s">
        <v>361</v>
      </c>
      <c r="AB127" s="184" t="s">
        <v>211</v>
      </c>
      <c r="AC127" s="184" t="s">
        <v>211</v>
      </c>
      <c r="AD127" s="184" t="s">
        <v>130</v>
      </c>
      <c r="AE127" s="184" t="s">
        <v>130</v>
      </c>
      <c r="AF127" s="184" t="s">
        <v>241</v>
      </c>
      <c r="AG127" s="184" t="s">
        <v>211</v>
      </c>
      <c r="AH127" s="184" t="s">
        <v>211</v>
      </c>
      <c r="AI127" s="184" t="s">
        <v>130</v>
      </c>
      <c r="AJ127" s="184" t="s">
        <v>362</v>
      </c>
      <c r="AK127" s="184" t="s">
        <v>130</v>
      </c>
      <c r="AL127" s="184" t="s">
        <v>130</v>
      </c>
      <c r="AM127" s="184" t="s">
        <v>126</v>
      </c>
      <c r="AN127" s="184" t="s">
        <v>126</v>
      </c>
      <c r="AO127" s="184"/>
      <c r="AP127" s="184"/>
      <c r="AQ127" s="184"/>
      <c r="AR127" s="184"/>
      <c r="AS127" s="184"/>
      <c r="AT127" s="184"/>
      <c r="AU127" s="184"/>
      <c r="AV127" s="184"/>
      <c r="AW127" s="184"/>
    </row>
    <row r="128" spans="1:49" ht="12.75" customHeight="1" x14ac:dyDescent="0.25">
      <c r="A128" s="202" t="s">
        <v>587</v>
      </c>
      <c r="B128" s="257" t="s">
        <v>15</v>
      </c>
      <c r="C128" s="274">
        <v>1230</v>
      </c>
      <c r="D128" s="141">
        <v>2100</v>
      </c>
      <c r="E128" s="142">
        <f t="shared" si="16"/>
        <v>8</v>
      </c>
      <c r="F128" s="142">
        <f t="shared" si="17"/>
        <v>0</v>
      </c>
      <c r="G128" s="142">
        <f t="shared" si="18"/>
        <v>6</v>
      </c>
      <c r="H128" s="142">
        <f t="shared" si="19"/>
        <v>0</v>
      </c>
      <c r="I128" s="184"/>
      <c r="J128" s="184"/>
      <c r="K128" s="184"/>
      <c r="L128" s="184"/>
      <c r="M128" s="184"/>
      <c r="N128" s="184"/>
      <c r="O128" s="184"/>
      <c r="P128" s="184"/>
      <c r="Q128" s="184"/>
      <c r="R128" s="184"/>
      <c r="S128" s="184"/>
      <c r="T128" s="184"/>
      <c r="U128" s="184"/>
      <c r="V128" s="184"/>
      <c r="W128" s="184"/>
      <c r="X128" s="184" t="s">
        <v>126</v>
      </c>
      <c r="Y128" s="184" t="s">
        <v>126</v>
      </c>
      <c r="Z128" s="184" t="s">
        <v>240</v>
      </c>
      <c r="AA128" s="184" t="s">
        <v>126</v>
      </c>
      <c r="AB128" s="184" t="s">
        <v>126</v>
      </c>
      <c r="AC128" s="184" t="s">
        <v>130</v>
      </c>
      <c r="AD128" s="184" t="s">
        <v>130</v>
      </c>
      <c r="AE128" s="184" t="s">
        <v>241</v>
      </c>
      <c r="AF128" s="184" t="s">
        <v>130</v>
      </c>
      <c r="AG128" s="184" t="s">
        <v>126</v>
      </c>
      <c r="AH128" s="184" t="s">
        <v>126</v>
      </c>
      <c r="AI128" s="184" t="s">
        <v>126</v>
      </c>
      <c r="AJ128" s="184" t="s">
        <v>130</v>
      </c>
      <c r="AK128" s="184" t="s">
        <v>363</v>
      </c>
      <c r="AL128" s="184" t="s">
        <v>130</v>
      </c>
      <c r="AM128" s="184" t="s">
        <v>130</v>
      </c>
      <c r="AN128" s="184" t="s">
        <v>126</v>
      </c>
      <c r="AO128" s="184"/>
      <c r="AP128" s="184"/>
      <c r="AQ128" s="184"/>
      <c r="AR128" s="184"/>
      <c r="AS128" s="184"/>
      <c r="AT128" s="184"/>
      <c r="AU128" s="184"/>
      <c r="AV128" s="184"/>
      <c r="AW128" s="184"/>
    </row>
    <row r="129" spans="1:49" ht="12.75" customHeight="1" x14ac:dyDescent="0.25">
      <c r="A129" s="202" t="s">
        <v>29</v>
      </c>
      <c r="B129" s="257" t="s">
        <v>15</v>
      </c>
      <c r="C129" s="274">
        <v>1300</v>
      </c>
      <c r="D129" s="141">
        <v>2130</v>
      </c>
      <c r="E129" s="142">
        <f t="shared" si="16"/>
        <v>8</v>
      </c>
      <c r="F129" s="142">
        <f t="shared" si="17"/>
        <v>0</v>
      </c>
      <c r="G129" s="142">
        <f t="shared" si="18"/>
        <v>4</v>
      </c>
      <c r="H129" s="142">
        <f t="shared" si="19"/>
        <v>2</v>
      </c>
      <c r="I129" s="184"/>
      <c r="J129" s="184"/>
      <c r="K129" s="184"/>
      <c r="L129" s="184"/>
      <c r="M129" s="184"/>
      <c r="N129" s="184"/>
      <c r="O129" s="184"/>
      <c r="P129" s="184"/>
      <c r="Q129" s="184"/>
      <c r="R129" s="184"/>
      <c r="S129" s="184"/>
      <c r="T129" s="184"/>
      <c r="U129" s="184"/>
      <c r="V129" s="184"/>
      <c r="W129" s="184"/>
      <c r="X129" s="184"/>
      <c r="Y129" s="184" t="s">
        <v>130</v>
      </c>
      <c r="Z129" s="184" t="s">
        <v>130</v>
      </c>
      <c r="AA129" s="184" t="s">
        <v>130</v>
      </c>
      <c r="AB129" s="184" t="s">
        <v>126</v>
      </c>
      <c r="AC129" s="184" t="s">
        <v>361</v>
      </c>
      <c r="AD129" s="184" t="s">
        <v>130</v>
      </c>
      <c r="AE129" s="184" t="s">
        <v>211</v>
      </c>
      <c r="AF129" s="184" t="s">
        <v>211</v>
      </c>
      <c r="AG129" s="184" t="s">
        <v>241</v>
      </c>
      <c r="AH129" s="184" t="s">
        <v>126</v>
      </c>
      <c r="AI129" s="184" t="s">
        <v>126</v>
      </c>
      <c r="AJ129" s="184" t="s">
        <v>126</v>
      </c>
      <c r="AK129" s="184" t="s">
        <v>126</v>
      </c>
      <c r="AL129" s="184" t="s">
        <v>126</v>
      </c>
      <c r="AM129" s="184" t="s">
        <v>248</v>
      </c>
      <c r="AN129" s="184" t="s">
        <v>126</v>
      </c>
      <c r="AO129" s="184" t="s">
        <v>126</v>
      </c>
      <c r="AP129" s="184"/>
      <c r="AQ129" s="184"/>
      <c r="AR129" s="184"/>
      <c r="AS129" s="184"/>
      <c r="AT129" s="184"/>
      <c r="AU129" s="184"/>
      <c r="AV129" s="184"/>
      <c r="AW129" s="184"/>
    </row>
    <row r="130" spans="1:49" ht="12.75" customHeight="1" x14ac:dyDescent="0.25">
      <c r="A130" s="201" t="s">
        <v>235</v>
      </c>
      <c r="B130" s="257" t="s">
        <v>15</v>
      </c>
      <c r="C130" s="274">
        <v>1530</v>
      </c>
      <c r="D130" s="141">
        <v>0</v>
      </c>
      <c r="E130" s="142">
        <f t="shared" si="16"/>
        <v>10</v>
      </c>
      <c r="F130" s="142">
        <f t="shared" si="17"/>
        <v>0</v>
      </c>
      <c r="G130" s="142">
        <f t="shared" si="18"/>
        <v>4</v>
      </c>
      <c r="H130" s="142">
        <f t="shared" si="19"/>
        <v>0</v>
      </c>
      <c r="I130" s="184"/>
      <c r="J130" s="184"/>
      <c r="K130" s="184"/>
      <c r="L130" s="184"/>
      <c r="M130" s="184"/>
      <c r="N130" s="184"/>
      <c r="O130" s="184"/>
      <c r="P130" s="184"/>
      <c r="Q130" s="184"/>
      <c r="R130" s="184"/>
      <c r="S130" s="184"/>
      <c r="T130" s="184"/>
      <c r="U130" s="184"/>
      <c r="V130" s="184"/>
      <c r="W130" s="184"/>
      <c r="X130" s="184"/>
      <c r="Y130" s="184"/>
      <c r="Z130" s="184"/>
      <c r="AA130" s="184"/>
      <c r="AB130" s="184"/>
      <c r="AC130" s="184"/>
      <c r="AD130" s="184" t="s">
        <v>130</v>
      </c>
      <c r="AE130" s="184" t="s">
        <v>130</v>
      </c>
      <c r="AF130" s="184" t="s">
        <v>130</v>
      </c>
      <c r="AG130" s="184" t="s">
        <v>130</v>
      </c>
      <c r="AH130" s="184" t="s">
        <v>361</v>
      </c>
      <c r="AI130" s="184" t="s">
        <v>126</v>
      </c>
      <c r="AJ130" s="184" t="s">
        <v>126</v>
      </c>
      <c r="AK130" s="184" t="s">
        <v>126</v>
      </c>
      <c r="AL130" s="184" t="s">
        <v>241</v>
      </c>
      <c r="AM130" s="184" t="s">
        <v>126</v>
      </c>
      <c r="AN130" s="184" t="s">
        <v>126</v>
      </c>
      <c r="AO130" s="184" t="s">
        <v>126</v>
      </c>
      <c r="AP130" s="184" t="s">
        <v>126</v>
      </c>
      <c r="AQ130" s="184" t="s">
        <v>242</v>
      </c>
      <c r="AR130" s="184" t="s">
        <v>126</v>
      </c>
      <c r="AS130" s="184" t="s">
        <v>126</v>
      </c>
      <c r="AT130" s="184" t="s">
        <v>126</v>
      </c>
      <c r="AU130" s="184"/>
      <c r="AV130" s="184"/>
      <c r="AW130" s="184"/>
    </row>
    <row r="131" spans="1:49" ht="12.75" customHeight="1" x14ac:dyDescent="0.25">
      <c r="A131" s="201" t="s">
        <v>232</v>
      </c>
      <c r="B131" s="257" t="s">
        <v>15</v>
      </c>
      <c r="C131" s="274">
        <v>1600</v>
      </c>
      <c r="D131" s="141">
        <v>100</v>
      </c>
      <c r="E131" s="142">
        <f t="shared" si="16"/>
        <v>8</v>
      </c>
      <c r="F131" s="142">
        <f t="shared" si="17"/>
        <v>0</v>
      </c>
      <c r="G131" s="142">
        <f t="shared" si="18"/>
        <v>4</v>
      </c>
      <c r="H131" s="142">
        <f t="shared" si="19"/>
        <v>0</v>
      </c>
      <c r="I131" s="184"/>
      <c r="J131" s="184"/>
      <c r="K131" s="184"/>
      <c r="L131" s="184"/>
      <c r="M131" s="184"/>
      <c r="N131" s="184"/>
      <c r="O131" s="184"/>
      <c r="P131" s="184"/>
      <c r="Q131" s="184"/>
      <c r="R131" s="184"/>
      <c r="S131" s="184"/>
      <c r="T131" s="184"/>
      <c r="U131" s="184"/>
      <c r="V131" s="184"/>
      <c r="W131" s="184"/>
      <c r="X131" s="184"/>
      <c r="Y131" s="184"/>
      <c r="Z131" s="184"/>
      <c r="AA131" s="184"/>
      <c r="AB131" s="184"/>
      <c r="AC131" s="184"/>
      <c r="AD131" s="184"/>
      <c r="AE131" s="184" t="s">
        <v>130</v>
      </c>
      <c r="AF131" s="184" t="s">
        <v>130</v>
      </c>
      <c r="AG131" s="184" t="s">
        <v>126</v>
      </c>
      <c r="AH131" s="184" t="s">
        <v>240</v>
      </c>
      <c r="AI131" s="184" t="s">
        <v>431</v>
      </c>
      <c r="AJ131" s="184" t="s">
        <v>431</v>
      </c>
      <c r="AK131" s="184" t="s">
        <v>130</v>
      </c>
      <c r="AL131" s="184" t="s">
        <v>130</v>
      </c>
      <c r="AM131" s="184" t="s">
        <v>241</v>
      </c>
      <c r="AN131" s="184" t="s">
        <v>241</v>
      </c>
      <c r="AO131" s="184" t="s">
        <v>126</v>
      </c>
      <c r="AP131" s="184" t="s">
        <v>126</v>
      </c>
      <c r="AQ131" s="184" t="s">
        <v>126</v>
      </c>
      <c r="AR131" s="184" t="s">
        <v>126</v>
      </c>
      <c r="AS131" s="184" t="s">
        <v>248</v>
      </c>
      <c r="AT131" s="184" t="s">
        <v>126</v>
      </c>
      <c r="AU131" s="184" t="s">
        <v>126</v>
      </c>
      <c r="AV131" s="184" t="s">
        <v>126</v>
      </c>
      <c r="AW131" s="184"/>
    </row>
    <row r="132" spans="1:49" ht="12.75" customHeight="1" x14ac:dyDescent="0.25">
      <c r="A132" s="201" t="s">
        <v>229</v>
      </c>
      <c r="B132" s="150" t="s">
        <v>15</v>
      </c>
      <c r="C132" s="55">
        <v>1630</v>
      </c>
      <c r="D132" s="141">
        <v>100</v>
      </c>
      <c r="E132" s="142">
        <f t="shared" si="16"/>
        <v>12</v>
      </c>
      <c r="F132" s="142">
        <f t="shared" si="17"/>
        <v>0</v>
      </c>
      <c r="G132" s="142">
        <f t="shared" si="18"/>
        <v>2</v>
      </c>
      <c r="H132" s="142">
        <f t="shared" si="19"/>
        <v>0</v>
      </c>
      <c r="I132" s="184"/>
      <c r="J132" s="184"/>
      <c r="K132" s="184"/>
      <c r="L132" s="184"/>
      <c r="M132" s="184"/>
      <c r="N132" s="184"/>
      <c r="O132" s="184"/>
      <c r="P132" s="184"/>
      <c r="Q132" s="184"/>
      <c r="R132" s="184"/>
      <c r="S132" s="184"/>
      <c r="T132" s="184"/>
      <c r="U132" s="184"/>
      <c r="V132" s="184"/>
      <c r="W132" s="184"/>
      <c r="X132" s="184"/>
      <c r="Y132" s="184"/>
      <c r="Z132" s="184"/>
      <c r="AA132" s="184"/>
      <c r="AB132" s="184"/>
      <c r="AC132" s="184"/>
      <c r="AD132" s="184"/>
      <c r="AE132" s="184"/>
      <c r="AF132" s="184" t="s">
        <v>126</v>
      </c>
      <c r="AG132" s="184" t="s">
        <v>126</v>
      </c>
      <c r="AH132" s="184" t="s">
        <v>130</v>
      </c>
      <c r="AI132" s="184" t="s">
        <v>364</v>
      </c>
      <c r="AJ132" s="184" t="s">
        <v>130</v>
      </c>
      <c r="AK132" s="184" t="s">
        <v>126</v>
      </c>
      <c r="AL132" s="184" t="s">
        <v>126</v>
      </c>
      <c r="AM132" s="184" t="s">
        <v>241</v>
      </c>
      <c r="AN132" s="184" t="s">
        <v>126</v>
      </c>
      <c r="AO132" s="184" t="s">
        <v>126</v>
      </c>
      <c r="AP132" s="184" t="s">
        <v>126</v>
      </c>
      <c r="AQ132" s="184" t="s">
        <v>126</v>
      </c>
      <c r="AR132" s="184" t="s">
        <v>248</v>
      </c>
      <c r="AS132" s="184" t="s">
        <v>126</v>
      </c>
      <c r="AT132" s="184" t="s">
        <v>126</v>
      </c>
      <c r="AU132" s="184" t="s">
        <v>126</v>
      </c>
      <c r="AV132" s="184" t="s">
        <v>126</v>
      </c>
      <c r="AW132" s="184"/>
    </row>
    <row r="133" spans="1:49" ht="12.75" customHeight="1" x14ac:dyDescent="0.25">
      <c r="A133" s="372" t="s">
        <v>46</v>
      </c>
      <c r="B133" s="257" t="s">
        <v>13</v>
      </c>
      <c r="C133" s="274">
        <v>500</v>
      </c>
      <c r="D133" s="141">
        <v>1400</v>
      </c>
      <c r="E133" s="142">
        <f t="shared" si="16"/>
        <v>0</v>
      </c>
      <c r="F133" s="142">
        <f t="shared" si="17"/>
        <v>0</v>
      </c>
      <c r="G133" s="142">
        <f t="shared" si="18"/>
        <v>0</v>
      </c>
      <c r="H133" s="142">
        <f t="shared" si="19"/>
        <v>0</v>
      </c>
      <c r="I133" s="184" t="s">
        <v>224</v>
      </c>
      <c r="J133" s="184" t="s">
        <v>224</v>
      </c>
      <c r="K133" s="184" t="s">
        <v>224</v>
      </c>
      <c r="L133" s="184" t="s">
        <v>224</v>
      </c>
      <c r="M133" s="184" t="s">
        <v>224</v>
      </c>
      <c r="N133" s="184" t="s">
        <v>224</v>
      </c>
      <c r="O133" s="184" t="s">
        <v>437</v>
      </c>
      <c r="P133" s="184" t="s">
        <v>437</v>
      </c>
      <c r="Q133" s="184" t="s">
        <v>224</v>
      </c>
      <c r="R133" s="184" t="s">
        <v>224</v>
      </c>
      <c r="S133" s="184" t="s">
        <v>224</v>
      </c>
      <c r="T133" s="184" t="s">
        <v>224</v>
      </c>
      <c r="U133" s="184" t="s">
        <v>224</v>
      </c>
      <c r="V133" s="184" t="s">
        <v>224</v>
      </c>
      <c r="W133" s="184" t="s">
        <v>224</v>
      </c>
      <c r="X133" s="184" t="s">
        <v>224</v>
      </c>
      <c r="Y133" s="184" t="s">
        <v>435</v>
      </c>
      <c r="Z133" s="184" t="s">
        <v>435</v>
      </c>
      <c r="AA133" s="184"/>
      <c r="AB133" s="184"/>
      <c r="AC133" s="184"/>
      <c r="AD133" s="184"/>
      <c r="AE133" s="184"/>
      <c r="AF133" s="184"/>
      <c r="AG133" s="184"/>
      <c r="AH133" s="184"/>
      <c r="AI133" s="184"/>
      <c r="AJ133" s="184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</row>
    <row r="134" spans="1:49" ht="12.75" customHeight="1" x14ac:dyDescent="0.25">
      <c r="A134" s="373" t="s">
        <v>32</v>
      </c>
      <c r="B134" s="150" t="s">
        <v>13</v>
      </c>
      <c r="C134" s="274">
        <v>500</v>
      </c>
      <c r="D134" s="141">
        <v>1400</v>
      </c>
      <c r="E134" s="142">
        <f t="shared" si="16"/>
        <v>0</v>
      </c>
      <c r="F134" s="142">
        <f t="shared" si="17"/>
        <v>0</v>
      </c>
      <c r="G134" s="142">
        <f t="shared" si="18"/>
        <v>0</v>
      </c>
      <c r="H134" s="142">
        <f t="shared" si="19"/>
        <v>0</v>
      </c>
      <c r="I134" s="184" t="s">
        <v>224</v>
      </c>
      <c r="J134" s="184" t="s">
        <v>224</v>
      </c>
      <c r="K134" s="184" t="s">
        <v>224</v>
      </c>
      <c r="L134" s="184" t="s">
        <v>224</v>
      </c>
      <c r="M134" s="184" t="s">
        <v>224</v>
      </c>
      <c r="N134" s="184" t="s">
        <v>224</v>
      </c>
      <c r="O134" s="184" t="s">
        <v>437</v>
      </c>
      <c r="P134" s="184" t="s">
        <v>437</v>
      </c>
      <c r="Q134" s="184" t="s">
        <v>224</v>
      </c>
      <c r="R134" s="184" t="s">
        <v>224</v>
      </c>
      <c r="S134" s="184" t="s">
        <v>224</v>
      </c>
      <c r="T134" s="184" t="s">
        <v>224</v>
      </c>
      <c r="U134" s="184" t="s">
        <v>224</v>
      </c>
      <c r="V134" s="184" t="s">
        <v>224</v>
      </c>
      <c r="W134" s="184" t="s">
        <v>224</v>
      </c>
      <c r="X134" s="184" t="s">
        <v>224</v>
      </c>
      <c r="Y134" s="184" t="s">
        <v>224</v>
      </c>
      <c r="Z134" s="184" t="s">
        <v>224</v>
      </c>
      <c r="AA134" s="184"/>
      <c r="AB134" s="184"/>
      <c r="AC134" s="184"/>
      <c r="AD134" s="184"/>
      <c r="AE134" s="184"/>
      <c r="AF134" s="184"/>
      <c r="AG134" s="184"/>
      <c r="AH134" s="184"/>
      <c r="AI134" s="184"/>
      <c r="AJ134" s="184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</row>
    <row r="135" spans="1:49" ht="12.75" customHeight="1" x14ac:dyDescent="0.25">
      <c r="A135" s="371" t="s">
        <v>17</v>
      </c>
      <c r="B135" s="150" t="s">
        <v>13</v>
      </c>
      <c r="C135" s="141">
        <v>530</v>
      </c>
      <c r="D135" s="188">
        <v>1430</v>
      </c>
      <c r="E135" s="142">
        <f t="shared" si="16"/>
        <v>0</v>
      </c>
      <c r="F135" s="142">
        <f t="shared" si="17"/>
        <v>0</v>
      </c>
      <c r="G135" s="142">
        <f t="shared" si="18"/>
        <v>0</v>
      </c>
      <c r="H135" s="142">
        <f t="shared" si="19"/>
        <v>0</v>
      </c>
      <c r="I135" s="184"/>
      <c r="J135" s="184" t="s">
        <v>224</v>
      </c>
      <c r="K135" s="184" t="s">
        <v>224</v>
      </c>
      <c r="L135" s="184" t="s">
        <v>224</v>
      </c>
      <c r="M135" s="184" t="s">
        <v>224</v>
      </c>
      <c r="N135" s="184" t="s">
        <v>224</v>
      </c>
      <c r="O135" s="184" t="s">
        <v>224</v>
      </c>
      <c r="P135" s="184" t="s">
        <v>224</v>
      </c>
      <c r="Q135" s="184" t="s">
        <v>437</v>
      </c>
      <c r="R135" s="184" t="s">
        <v>437</v>
      </c>
      <c r="S135" s="184" t="s">
        <v>224</v>
      </c>
      <c r="T135" s="184" t="s">
        <v>224</v>
      </c>
      <c r="U135" s="184" t="s">
        <v>224</v>
      </c>
      <c r="V135" s="184" t="s">
        <v>224</v>
      </c>
      <c r="W135" s="184" t="s">
        <v>224</v>
      </c>
      <c r="X135" s="184" t="s">
        <v>224</v>
      </c>
      <c r="Y135" s="184" t="s">
        <v>435</v>
      </c>
      <c r="Z135" s="184" t="s">
        <v>435</v>
      </c>
      <c r="AA135" s="184" t="s">
        <v>224</v>
      </c>
      <c r="AB135" s="184"/>
      <c r="AC135" s="184"/>
      <c r="AD135" s="184"/>
      <c r="AE135" s="184"/>
      <c r="AF135" s="184"/>
      <c r="AG135" s="184"/>
      <c r="AH135" s="184"/>
      <c r="AI135" s="184"/>
      <c r="AJ135" s="184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</row>
    <row r="136" spans="1:49" ht="12.75" customHeight="1" x14ac:dyDescent="0.25">
      <c r="A136" s="371" t="s">
        <v>369</v>
      </c>
      <c r="B136" s="257" t="s">
        <v>13</v>
      </c>
      <c r="C136" s="141">
        <v>600</v>
      </c>
      <c r="D136" s="141">
        <v>1500</v>
      </c>
      <c r="E136" s="142">
        <f t="shared" si="16"/>
        <v>0</v>
      </c>
      <c r="F136" s="142">
        <f t="shared" si="17"/>
        <v>0</v>
      </c>
      <c r="G136" s="142">
        <f t="shared" si="18"/>
        <v>0</v>
      </c>
      <c r="H136" s="142">
        <f t="shared" si="19"/>
        <v>0</v>
      </c>
      <c r="I136" s="184"/>
      <c r="J136" s="184"/>
      <c r="K136" s="184" t="s">
        <v>224</v>
      </c>
      <c r="L136" s="184" t="s">
        <v>224</v>
      </c>
      <c r="M136" s="184" t="s">
        <v>224</v>
      </c>
      <c r="N136" s="184" t="s">
        <v>224</v>
      </c>
      <c r="O136" s="184" t="s">
        <v>224</v>
      </c>
      <c r="P136" s="184" t="s">
        <v>224</v>
      </c>
      <c r="Q136" s="184" t="s">
        <v>437</v>
      </c>
      <c r="R136" s="184" t="s">
        <v>437</v>
      </c>
      <c r="S136" s="184" t="s">
        <v>224</v>
      </c>
      <c r="T136" s="184" t="s">
        <v>224</v>
      </c>
      <c r="U136" s="184" t="s">
        <v>224</v>
      </c>
      <c r="V136" s="184" t="s">
        <v>224</v>
      </c>
      <c r="W136" s="184" t="s">
        <v>224</v>
      </c>
      <c r="X136" s="184" t="s">
        <v>224</v>
      </c>
      <c r="Y136" s="184" t="s">
        <v>435</v>
      </c>
      <c r="Z136" s="184" t="s">
        <v>435</v>
      </c>
      <c r="AA136" s="184" t="s">
        <v>224</v>
      </c>
      <c r="AB136" s="184" t="s">
        <v>224</v>
      </c>
      <c r="AC136" s="184"/>
      <c r="AD136" s="184"/>
      <c r="AE136" s="184"/>
      <c r="AF136" s="184"/>
      <c r="AG136" s="184"/>
      <c r="AH136" s="184"/>
      <c r="AI136" s="184"/>
      <c r="AJ136" s="184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</row>
    <row r="137" spans="1:49" ht="12.75" customHeight="1" x14ac:dyDescent="0.25">
      <c r="A137" s="202" t="s">
        <v>20</v>
      </c>
      <c r="B137" s="140" t="s">
        <v>13</v>
      </c>
      <c r="C137" s="141">
        <v>600</v>
      </c>
      <c r="D137" s="141">
        <v>1500</v>
      </c>
      <c r="E137" s="142">
        <f t="shared" si="16"/>
        <v>0</v>
      </c>
      <c r="F137" s="142">
        <f t="shared" si="17"/>
        <v>0</v>
      </c>
      <c r="G137" s="142">
        <f t="shared" si="18"/>
        <v>0</v>
      </c>
      <c r="H137" s="142">
        <f t="shared" si="19"/>
        <v>0</v>
      </c>
      <c r="I137" s="184"/>
      <c r="J137" s="184"/>
      <c r="K137" s="184" t="s">
        <v>224</v>
      </c>
      <c r="L137" s="184" t="s">
        <v>224</v>
      </c>
      <c r="M137" s="184" t="s">
        <v>224</v>
      </c>
      <c r="N137" s="184" t="s">
        <v>224</v>
      </c>
      <c r="O137" s="184" t="s">
        <v>224</v>
      </c>
      <c r="P137" s="184" t="s">
        <v>224</v>
      </c>
      <c r="Q137" s="184" t="s">
        <v>224</v>
      </c>
      <c r="R137" s="184" t="s">
        <v>224</v>
      </c>
      <c r="S137" s="184" t="s">
        <v>437</v>
      </c>
      <c r="T137" s="184" t="s">
        <v>437</v>
      </c>
      <c r="U137" s="184" t="s">
        <v>224</v>
      </c>
      <c r="V137" s="184" t="s">
        <v>224</v>
      </c>
      <c r="W137" s="184" t="s">
        <v>224</v>
      </c>
      <c r="X137" s="184" t="s">
        <v>224</v>
      </c>
      <c r="Y137" s="184" t="s">
        <v>224</v>
      </c>
      <c r="Z137" s="184" t="s">
        <v>224</v>
      </c>
      <c r="AA137" s="184" t="s">
        <v>224</v>
      </c>
      <c r="AB137" s="184" t="s">
        <v>224</v>
      </c>
      <c r="AC137" s="184"/>
      <c r="AD137" s="184"/>
      <c r="AE137" s="184"/>
      <c r="AF137" s="184"/>
      <c r="AG137" s="184"/>
      <c r="AH137" s="184"/>
      <c r="AI137" s="184"/>
      <c r="AJ137" s="184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</row>
    <row r="138" spans="1:49" ht="12.75" customHeight="1" x14ac:dyDescent="0.25">
      <c r="A138" s="202" t="s">
        <v>39</v>
      </c>
      <c r="B138" s="257" t="s">
        <v>13</v>
      </c>
      <c r="C138" s="141">
        <v>630</v>
      </c>
      <c r="D138" s="141">
        <v>1530</v>
      </c>
      <c r="E138" s="142">
        <f t="shared" si="16"/>
        <v>0</v>
      </c>
      <c r="F138" s="142">
        <f t="shared" si="17"/>
        <v>0</v>
      </c>
      <c r="G138" s="142">
        <f t="shared" si="18"/>
        <v>0</v>
      </c>
      <c r="H138" s="142">
        <f t="shared" si="19"/>
        <v>0</v>
      </c>
      <c r="I138" s="184"/>
      <c r="J138" s="184"/>
      <c r="K138" s="184"/>
      <c r="L138" s="184" t="s">
        <v>224</v>
      </c>
      <c r="M138" s="184" t="s">
        <v>224</v>
      </c>
      <c r="N138" s="184" t="s">
        <v>224</v>
      </c>
      <c r="O138" s="184" t="s">
        <v>224</v>
      </c>
      <c r="P138" s="184" t="s">
        <v>224</v>
      </c>
      <c r="Q138" s="184" t="s">
        <v>224</v>
      </c>
      <c r="R138" s="184" t="s">
        <v>224</v>
      </c>
      <c r="S138" s="184" t="s">
        <v>437</v>
      </c>
      <c r="T138" s="184" t="s">
        <v>437</v>
      </c>
      <c r="U138" s="184" t="s">
        <v>224</v>
      </c>
      <c r="V138" s="184" t="s">
        <v>224</v>
      </c>
      <c r="W138" s="184" t="s">
        <v>224</v>
      </c>
      <c r="X138" s="184" t="s">
        <v>224</v>
      </c>
      <c r="Y138" s="184" t="s">
        <v>224</v>
      </c>
      <c r="Z138" s="184" t="s">
        <v>224</v>
      </c>
      <c r="AA138" s="184" t="s">
        <v>224</v>
      </c>
      <c r="AB138" s="184" t="s">
        <v>224</v>
      </c>
      <c r="AC138" s="184" t="s">
        <v>224</v>
      </c>
      <c r="AD138" s="184"/>
      <c r="AE138" s="184"/>
      <c r="AF138" s="184"/>
      <c r="AG138" s="184"/>
      <c r="AH138" s="184"/>
      <c r="AI138" s="184"/>
      <c r="AJ138" s="184"/>
      <c r="AK138" s="184"/>
      <c r="AL138" s="184"/>
      <c r="AM138" s="184"/>
      <c r="AN138" s="184"/>
      <c r="AO138" s="184"/>
      <c r="AP138" s="184"/>
      <c r="AQ138" s="184"/>
      <c r="AR138" s="184"/>
      <c r="AS138" s="184"/>
      <c r="AT138" s="184"/>
      <c r="AU138" s="184"/>
      <c r="AV138" s="184"/>
      <c r="AW138" s="184"/>
    </row>
    <row r="139" spans="1:49" ht="12.75" customHeight="1" x14ac:dyDescent="0.25">
      <c r="A139" s="201" t="s">
        <v>51</v>
      </c>
      <c r="B139" s="150" t="s">
        <v>13</v>
      </c>
      <c r="C139" s="274">
        <v>700</v>
      </c>
      <c r="D139" s="141">
        <v>1600</v>
      </c>
      <c r="E139" s="142">
        <f t="shared" si="16"/>
        <v>0</v>
      </c>
      <c r="F139" s="142">
        <f t="shared" si="17"/>
        <v>0</v>
      </c>
      <c r="G139" s="142">
        <f t="shared" si="18"/>
        <v>0</v>
      </c>
      <c r="H139" s="142">
        <f t="shared" si="19"/>
        <v>0</v>
      </c>
      <c r="I139" s="184"/>
      <c r="J139" s="184"/>
      <c r="K139" s="184"/>
      <c r="L139" s="184"/>
      <c r="M139" s="184" t="s">
        <v>224</v>
      </c>
      <c r="N139" s="184" t="s">
        <v>224</v>
      </c>
      <c r="O139" s="184" t="s">
        <v>224</v>
      </c>
      <c r="P139" s="184" t="s">
        <v>224</v>
      </c>
      <c r="Q139" s="184" t="s">
        <v>224</v>
      </c>
      <c r="R139" s="184" t="s">
        <v>224</v>
      </c>
      <c r="S139" s="184" t="s">
        <v>224</v>
      </c>
      <c r="T139" s="184" t="s">
        <v>224</v>
      </c>
      <c r="U139" s="184" t="s">
        <v>437</v>
      </c>
      <c r="V139" s="184" t="s">
        <v>437</v>
      </c>
      <c r="W139" s="184" t="s">
        <v>224</v>
      </c>
      <c r="X139" s="184" t="s">
        <v>224</v>
      </c>
      <c r="Y139" s="184" t="s">
        <v>224</v>
      </c>
      <c r="Z139" s="184" t="s">
        <v>224</v>
      </c>
      <c r="AA139" s="184" t="s">
        <v>224</v>
      </c>
      <c r="AB139" s="184" t="s">
        <v>224</v>
      </c>
      <c r="AC139" s="184" t="s">
        <v>224</v>
      </c>
      <c r="AD139" s="184" t="s">
        <v>224</v>
      </c>
      <c r="AE139" s="184"/>
      <c r="AF139" s="184"/>
      <c r="AG139" s="184"/>
      <c r="AH139" s="184"/>
      <c r="AI139" s="184"/>
      <c r="AJ139" s="184"/>
      <c r="AK139" s="184"/>
      <c r="AL139" s="184"/>
      <c r="AM139" s="184"/>
      <c r="AN139" s="184"/>
      <c r="AO139" s="184"/>
      <c r="AP139" s="184"/>
      <c r="AQ139" s="184"/>
      <c r="AR139" s="184"/>
      <c r="AS139" s="184"/>
      <c r="AT139" s="184"/>
      <c r="AU139" s="184"/>
      <c r="AV139" s="184"/>
      <c r="AW139" s="184"/>
    </row>
    <row r="140" spans="1:49" ht="12.75" customHeight="1" x14ac:dyDescent="0.25">
      <c r="A140" s="372" t="s">
        <v>31</v>
      </c>
      <c r="B140" s="150" t="s">
        <v>13</v>
      </c>
      <c r="C140" s="141">
        <v>730</v>
      </c>
      <c r="D140" s="188">
        <v>1630</v>
      </c>
      <c r="E140" s="142">
        <f t="shared" si="16"/>
        <v>0</v>
      </c>
      <c r="F140" s="142">
        <f t="shared" si="17"/>
        <v>0</v>
      </c>
      <c r="G140" s="142">
        <f t="shared" si="18"/>
        <v>0</v>
      </c>
      <c r="H140" s="142">
        <f t="shared" si="19"/>
        <v>0</v>
      </c>
      <c r="I140" s="184"/>
      <c r="J140" s="184"/>
      <c r="K140" s="184"/>
      <c r="L140" s="184"/>
      <c r="M140" s="184"/>
      <c r="N140" s="184" t="s">
        <v>224</v>
      </c>
      <c r="O140" s="184" t="s">
        <v>224</v>
      </c>
      <c r="P140" s="184" t="s">
        <v>224</v>
      </c>
      <c r="Q140" s="184" t="s">
        <v>224</v>
      </c>
      <c r="R140" s="184" t="s">
        <v>224</v>
      </c>
      <c r="S140" s="184" t="s">
        <v>224</v>
      </c>
      <c r="T140" s="184" t="s">
        <v>224</v>
      </c>
      <c r="U140" s="184" t="s">
        <v>437</v>
      </c>
      <c r="V140" s="184" t="s">
        <v>437</v>
      </c>
      <c r="W140" s="184" t="s">
        <v>224</v>
      </c>
      <c r="X140" s="184" t="s">
        <v>224</v>
      </c>
      <c r="Y140" s="184" t="s">
        <v>435</v>
      </c>
      <c r="Z140" s="184" t="s">
        <v>435</v>
      </c>
      <c r="AA140" s="184" t="s">
        <v>224</v>
      </c>
      <c r="AB140" s="184" t="s">
        <v>224</v>
      </c>
      <c r="AC140" s="184" t="s">
        <v>224</v>
      </c>
      <c r="AD140" s="184" t="s">
        <v>224</v>
      </c>
      <c r="AE140" s="184" t="s">
        <v>224</v>
      </c>
      <c r="AF140" s="184"/>
      <c r="AG140" s="184"/>
      <c r="AH140" s="184"/>
      <c r="AI140" s="184"/>
      <c r="AJ140" s="184"/>
      <c r="AK140" s="184"/>
      <c r="AL140" s="184"/>
      <c r="AM140" s="184"/>
      <c r="AN140" s="184"/>
      <c r="AO140" s="184"/>
      <c r="AP140" s="184"/>
      <c r="AQ140" s="184"/>
      <c r="AR140" s="184"/>
      <c r="AS140" s="184"/>
      <c r="AT140" s="184"/>
      <c r="AU140" s="184"/>
      <c r="AV140" s="184"/>
      <c r="AW140" s="184"/>
    </row>
    <row r="141" spans="1:49" ht="12.75" customHeight="1" x14ac:dyDescent="0.25">
      <c r="A141" s="371" t="s">
        <v>33</v>
      </c>
      <c r="B141" s="150" t="s">
        <v>13</v>
      </c>
      <c r="C141" s="141">
        <v>730</v>
      </c>
      <c r="D141" s="141">
        <v>1630</v>
      </c>
      <c r="E141" s="142">
        <f t="shared" si="16"/>
        <v>0</v>
      </c>
      <c r="F141" s="142">
        <f t="shared" si="17"/>
        <v>0</v>
      </c>
      <c r="G141" s="142">
        <f t="shared" si="18"/>
        <v>0</v>
      </c>
      <c r="H141" s="142">
        <f t="shared" si="19"/>
        <v>0</v>
      </c>
      <c r="I141" s="184"/>
      <c r="J141" s="184"/>
      <c r="K141" s="184"/>
      <c r="L141" s="184"/>
      <c r="M141" s="184"/>
      <c r="N141" s="184" t="s">
        <v>224</v>
      </c>
      <c r="O141" s="184" t="s">
        <v>224</v>
      </c>
      <c r="P141" s="184" t="s">
        <v>224</v>
      </c>
      <c r="Q141" s="184" t="s">
        <v>224</v>
      </c>
      <c r="R141" s="184" t="s">
        <v>224</v>
      </c>
      <c r="S141" s="184" t="s">
        <v>224</v>
      </c>
      <c r="T141" s="184" t="s">
        <v>224</v>
      </c>
      <c r="U141" s="184" t="s">
        <v>224</v>
      </c>
      <c r="V141" s="184" t="s">
        <v>224</v>
      </c>
      <c r="W141" s="184" t="s">
        <v>224</v>
      </c>
      <c r="X141" s="184" t="s">
        <v>224</v>
      </c>
      <c r="Y141" s="184" t="s">
        <v>435</v>
      </c>
      <c r="Z141" s="184" t="s">
        <v>435</v>
      </c>
      <c r="AA141" s="184" t="s">
        <v>224</v>
      </c>
      <c r="AB141" s="184" t="s">
        <v>224</v>
      </c>
      <c r="AC141" s="184" t="s">
        <v>224</v>
      </c>
      <c r="AD141" s="184" t="s">
        <v>224</v>
      </c>
      <c r="AE141" s="184" t="s">
        <v>224</v>
      </c>
      <c r="AF141" s="184"/>
      <c r="AG141" s="184"/>
      <c r="AH141" s="184"/>
      <c r="AI141" s="184"/>
      <c r="AJ141" s="184"/>
      <c r="AK141" s="184"/>
      <c r="AL141" s="184"/>
      <c r="AM141" s="184"/>
      <c r="AN141" s="184"/>
      <c r="AO141" s="184"/>
      <c r="AP141" s="184"/>
      <c r="AQ141" s="184"/>
      <c r="AR141" s="184"/>
      <c r="AS141" s="184"/>
      <c r="AT141" s="184"/>
      <c r="AU141" s="184"/>
      <c r="AV141" s="184"/>
      <c r="AW141" s="184"/>
    </row>
    <row r="142" spans="1:49" ht="12.75" customHeight="1" x14ac:dyDescent="0.25">
      <c r="A142" s="201" t="s">
        <v>360</v>
      </c>
      <c r="B142" s="150" t="s">
        <v>13</v>
      </c>
      <c r="C142" s="274">
        <v>800</v>
      </c>
      <c r="D142" s="141">
        <v>2100</v>
      </c>
      <c r="E142" s="142">
        <f t="shared" si="16"/>
        <v>0</v>
      </c>
      <c r="F142" s="142">
        <f t="shared" si="17"/>
        <v>0</v>
      </c>
      <c r="G142" s="142">
        <f t="shared" si="18"/>
        <v>0</v>
      </c>
      <c r="H142" s="142">
        <f t="shared" si="19"/>
        <v>0</v>
      </c>
      <c r="I142" s="184"/>
      <c r="J142" s="184"/>
      <c r="K142" s="184"/>
      <c r="L142" s="184"/>
      <c r="M142" s="184"/>
      <c r="N142" s="184"/>
      <c r="O142" s="184" t="s">
        <v>224</v>
      </c>
      <c r="P142" s="184" t="s">
        <v>224</v>
      </c>
      <c r="Q142" s="184" t="s">
        <v>224</v>
      </c>
      <c r="R142" s="184" t="s">
        <v>224</v>
      </c>
      <c r="S142" s="184" t="s">
        <v>224</v>
      </c>
      <c r="T142" s="184" t="s">
        <v>224</v>
      </c>
      <c r="U142" s="184" t="s">
        <v>224</v>
      </c>
      <c r="V142" s="184" t="s">
        <v>224</v>
      </c>
      <c r="W142" s="184" t="s">
        <v>224</v>
      </c>
      <c r="X142" s="184" t="s">
        <v>224</v>
      </c>
      <c r="Y142" s="184" t="s">
        <v>224</v>
      </c>
      <c r="Z142" s="184" t="s">
        <v>224</v>
      </c>
      <c r="AA142" s="184" t="s">
        <v>224</v>
      </c>
      <c r="AB142" s="184" t="s">
        <v>436</v>
      </c>
      <c r="AC142" s="184" t="s">
        <v>436</v>
      </c>
      <c r="AD142" s="184" t="s">
        <v>224</v>
      </c>
      <c r="AE142" s="184" t="s">
        <v>224</v>
      </c>
      <c r="AF142" s="184" t="s">
        <v>224</v>
      </c>
      <c r="AG142" s="184" t="s">
        <v>224</v>
      </c>
      <c r="AH142" s="184" t="s">
        <v>224</v>
      </c>
      <c r="AI142" s="184" t="s">
        <v>224</v>
      </c>
      <c r="AJ142" s="184" t="s">
        <v>224</v>
      </c>
      <c r="AK142" s="184" t="s">
        <v>224</v>
      </c>
      <c r="AL142" s="184" t="s">
        <v>224</v>
      </c>
      <c r="AM142" s="184" t="s">
        <v>224</v>
      </c>
      <c r="AN142" s="184" t="s">
        <v>224</v>
      </c>
      <c r="AO142" s="184"/>
      <c r="AP142" s="184"/>
      <c r="AQ142" s="184"/>
      <c r="AR142" s="184"/>
      <c r="AS142" s="184"/>
      <c r="AT142" s="184"/>
      <c r="AU142" s="184"/>
      <c r="AV142" s="184"/>
      <c r="AW142" s="184"/>
    </row>
    <row r="143" spans="1:49" ht="12.75" customHeight="1" x14ac:dyDescent="0.25">
      <c r="A143" s="373" t="s">
        <v>70</v>
      </c>
      <c r="B143" s="257" t="s">
        <v>13</v>
      </c>
      <c r="C143" s="274">
        <v>800</v>
      </c>
      <c r="D143" s="141">
        <v>1700</v>
      </c>
      <c r="E143" s="142">
        <f t="shared" si="16"/>
        <v>0</v>
      </c>
      <c r="F143" s="142">
        <f t="shared" si="17"/>
        <v>0</v>
      </c>
      <c r="G143" s="142">
        <f t="shared" si="18"/>
        <v>0</v>
      </c>
      <c r="H143" s="142">
        <f t="shared" si="19"/>
        <v>0</v>
      </c>
      <c r="I143" s="184"/>
      <c r="J143" s="184"/>
      <c r="K143" s="184"/>
      <c r="L143" s="184"/>
      <c r="M143" s="184"/>
      <c r="N143" s="184"/>
      <c r="O143" s="184" t="s">
        <v>224</v>
      </c>
      <c r="P143" s="184" t="s">
        <v>224</v>
      </c>
      <c r="Q143" s="184" t="s">
        <v>224</v>
      </c>
      <c r="R143" s="184" t="s">
        <v>224</v>
      </c>
      <c r="S143" s="184" t="s">
        <v>224</v>
      </c>
      <c r="T143" s="184" t="s">
        <v>224</v>
      </c>
      <c r="U143" s="184" t="s">
        <v>224</v>
      </c>
      <c r="V143" s="184" t="s">
        <v>224</v>
      </c>
      <c r="W143" s="184" t="s">
        <v>224</v>
      </c>
      <c r="X143" s="184" t="s">
        <v>224</v>
      </c>
      <c r="Y143" s="184" t="s">
        <v>224</v>
      </c>
      <c r="Z143" s="184" t="s">
        <v>224</v>
      </c>
      <c r="AA143" s="184" t="s">
        <v>224</v>
      </c>
      <c r="AB143" s="184" t="s">
        <v>436</v>
      </c>
      <c r="AC143" s="184" t="s">
        <v>436</v>
      </c>
      <c r="AD143" s="184" t="s">
        <v>224</v>
      </c>
      <c r="AE143" s="184" t="s">
        <v>224</v>
      </c>
      <c r="AF143" s="184" t="s">
        <v>224</v>
      </c>
      <c r="AG143" s="184"/>
      <c r="AH143" s="184"/>
      <c r="AI143" s="184"/>
      <c r="AJ143" s="184"/>
      <c r="AK143" s="184"/>
      <c r="AL143" s="184"/>
      <c r="AM143" s="184"/>
      <c r="AN143" s="184"/>
      <c r="AO143" s="184"/>
      <c r="AP143" s="184"/>
      <c r="AQ143" s="184"/>
      <c r="AR143" s="184"/>
      <c r="AS143" s="184"/>
      <c r="AT143" s="184"/>
      <c r="AU143" s="184"/>
      <c r="AV143" s="184"/>
      <c r="AW143" s="184"/>
    </row>
    <row r="144" spans="1:49" ht="12.75" customHeight="1" x14ac:dyDescent="0.25">
      <c r="A144" s="373" t="s">
        <v>49</v>
      </c>
      <c r="B144" s="257" t="s">
        <v>13</v>
      </c>
      <c r="C144" s="274">
        <v>800</v>
      </c>
      <c r="D144" s="141">
        <v>1700</v>
      </c>
      <c r="E144" s="142">
        <f t="shared" si="16"/>
        <v>0</v>
      </c>
      <c r="F144" s="142">
        <f t="shared" si="17"/>
        <v>0</v>
      </c>
      <c r="G144" s="142">
        <f t="shared" si="18"/>
        <v>0</v>
      </c>
      <c r="H144" s="142">
        <f t="shared" si="19"/>
        <v>0</v>
      </c>
      <c r="I144" s="184"/>
      <c r="J144" s="184"/>
      <c r="K144" s="184"/>
      <c r="L144" s="184"/>
      <c r="M144" s="184"/>
      <c r="N144" s="184"/>
      <c r="O144" s="184" t="s">
        <v>224</v>
      </c>
      <c r="P144" s="184" t="s">
        <v>224</v>
      </c>
      <c r="Q144" s="184" t="s">
        <v>224</v>
      </c>
      <c r="R144" s="184" t="s">
        <v>224</v>
      </c>
      <c r="S144" s="184" t="s">
        <v>224</v>
      </c>
      <c r="T144" s="184" t="s">
        <v>224</v>
      </c>
      <c r="U144" s="184" t="s">
        <v>224</v>
      </c>
      <c r="V144" s="184" t="s">
        <v>224</v>
      </c>
      <c r="W144" s="184" t="s">
        <v>224</v>
      </c>
      <c r="X144" s="184" t="s">
        <v>224</v>
      </c>
      <c r="Y144" s="184" t="s">
        <v>224</v>
      </c>
      <c r="Z144" s="184" t="s">
        <v>224</v>
      </c>
      <c r="AA144" s="184" t="s">
        <v>224</v>
      </c>
      <c r="AB144" s="184" t="s">
        <v>436</v>
      </c>
      <c r="AC144" s="184" t="s">
        <v>436</v>
      </c>
      <c r="AD144" s="184" t="s">
        <v>224</v>
      </c>
      <c r="AE144" s="184" t="s">
        <v>224</v>
      </c>
      <c r="AF144" s="184" t="s">
        <v>224</v>
      </c>
      <c r="AG144" s="184"/>
      <c r="AH144" s="184"/>
      <c r="AI144" s="184"/>
      <c r="AJ144" s="184"/>
      <c r="AK144" s="184"/>
      <c r="AL144" s="184"/>
      <c r="AM144" s="184"/>
      <c r="AN144" s="184"/>
      <c r="AO144" s="184"/>
      <c r="AP144" s="184"/>
      <c r="AQ144" s="184"/>
      <c r="AR144" s="184"/>
      <c r="AS144" s="184"/>
      <c r="AT144" s="184"/>
      <c r="AU144" s="184"/>
      <c r="AV144" s="184"/>
      <c r="AW144" s="184"/>
    </row>
    <row r="145" spans="1:49" ht="12.75" customHeight="1" x14ac:dyDescent="0.25">
      <c r="A145" s="202" t="s">
        <v>53</v>
      </c>
      <c r="B145" s="257" t="s">
        <v>13</v>
      </c>
      <c r="C145" s="274">
        <v>830</v>
      </c>
      <c r="D145" s="141">
        <v>1730</v>
      </c>
      <c r="E145" s="142">
        <f t="shared" si="16"/>
        <v>0</v>
      </c>
      <c r="F145" s="142">
        <f t="shared" si="17"/>
        <v>0</v>
      </c>
      <c r="G145" s="142">
        <f t="shared" si="18"/>
        <v>0</v>
      </c>
      <c r="H145" s="142">
        <f t="shared" si="19"/>
        <v>0</v>
      </c>
      <c r="I145" s="184"/>
      <c r="J145" s="184"/>
      <c r="K145" s="184"/>
      <c r="L145" s="184"/>
      <c r="M145" s="184"/>
      <c r="N145" s="184"/>
      <c r="O145" s="184"/>
      <c r="P145" s="184" t="s">
        <v>224</v>
      </c>
      <c r="Q145" s="184" t="s">
        <v>224</v>
      </c>
      <c r="R145" s="184" t="s">
        <v>224</v>
      </c>
      <c r="S145" s="184" t="s">
        <v>224</v>
      </c>
      <c r="T145" s="184" t="s">
        <v>224</v>
      </c>
      <c r="U145" s="184" t="s">
        <v>224</v>
      </c>
      <c r="V145" s="184" t="s">
        <v>224</v>
      </c>
      <c r="W145" s="184" t="s">
        <v>224</v>
      </c>
      <c r="X145" s="184" t="s">
        <v>224</v>
      </c>
      <c r="Y145" s="184" t="s">
        <v>224</v>
      </c>
      <c r="Z145" s="184" t="s">
        <v>224</v>
      </c>
      <c r="AA145" s="184" t="s">
        <v>224</v>
      </c>
      <c r="AB145" s="184" t="s">
        <v>224</v>
      </c>
      <c r="AC145" s="184" t="s">
        <v>224</v>
      </c>
      <c r="AD145" s="184" t="s">
        <v>224</v>
      </c>
      <c r="AE145" s="184" t="s">
        <v>224</v>
      </c>
      <c r="AF145" s="184" t="s">
        <v>224</v>
      </c>
      <c r="AG145" s="184" t="s">
        <v>224</v>
      </c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</row>
    <row r="146" spans="1:49" ht="12.75" customHeight="1" x14ac:dyDescent="0.25">
      <c r="A146" s="371" t="s">
        <v>27</v>
      </c>
      <c r="B146" s="150" t="s">
        <v>13</v>
      </c>
      <c r="C146" s="141">
        <v>930</v>
      </c>
      <c r="D146" s="141">
        <v>1830</v>
      </c>
      <c r="E146" s="142">
        <f t="shared" si="16"/>
        <v>0</v>
      </c>
      <c r="F146" s="142">
        <f t="shared" si="17"/>
        <v>0</v>
      </c>
      <c r="G146" s="142">
        <f t="shared" si="18"/>
        <v>0</v>
      </c>
      <c r="H146" s="142">
        <f t="shared" si="19"/>
        <v>0</v>
      </c>
      <c r="I146" s="184"/>
      <c r="J146" s="184"/>
      <c r="K146" s="184"/>
      <c r="L146" s="184"/>
      <c r="M146" s="184"/>
      <c r="N146" s="184"/>
      <c r="O146" s="184"/>
      <c r="P146" s="184"/>
      <c r="Q146" s="184"/>
      <c r="R146" s="184" t="s">
        <v>224</v>
      </c>
      <c r="S146" s="184" t="s">
        <v>224</v>
      </c>
      <c r="T146" s="184" t="s">
        <v>224</v>
      </c>
      <c r="U146" s="184" t="s">
        <v>224</v>
      </c>
      <c r="V146" s="184" t="s">
        <v>224</v>
      </c>
      <c r="W146" s="184" t="s">
        <v>224</v>
      </c>
      <c r="X146" s="184" t="s">
        <v>224</v>
      </c>
      <c r="Y146" s="184" t="s">
        <v>435</v>
      </c>
      <c r="Z146" s="184" t="s">
        <v>435</v>
      </c>
      <c r="AA146" s="184" t="s">
        <v>224</v>
      </c>
      <c r="AB146" s="184" t="s">
        <v>224</v>
      </c>
      <c r="AC146" s="184" t="s">
        <v>224</v>
      </c>
      <c r="AD146" s="184" t="s">
        <v>224</v>
      </c>
      <c r="AE146" s="184" t="s">
        <v>437</v>
      </c>
      <c r="AF146" s="184" t="s">
        <v>437</v>
      </c>
      <c r="AG146" s="184" t="s">
        <v>224</v>
      </c>
      <c r="AH146" s="184" t="s">
        <v>224</v>
      </c>
      <c r="AI146" s="184" t="s">
        <v>224</v>
      </c>
      <c r="AJ146" s="184"/>
      <c r="AK146" s="184"/>
      <c r="AL146" s="184"/>
      <c r="AM146" s="184"/>
      <c r="AN146" s="184"/>
      <c r="AO146" s="184"/>
      <c r="AP146" s="184"/>
      <c r="AQ146" s="184"/>
      <c r="AR146" s="184"/>
      <c r="AS146" s="184"/>
      <c r="AT146" s="184"/>
      <c r="AU146" s="184"/>
      <c r="AV146" s="184"/>
      <c r="AW146" s="184"/>
    </row>
    <row r="147" spans="1:49" ht="12.75" customHeight="1" x14ac:dyDescent="0.25">
      <c r="A147" s="201" t="s">
        <v>63</v>
      </c>
      <c r="B147" s="257" t="s">
        <v>13</v>
      </c>
      <c r="C147" s="274">
        <v>1200</v>
      </c>
      <c r="D147" s="141">
        <v>2100</v>
      </c>
      <c r="E147" s="142">
        <f t="shared" si="16"/>
        <v>0</v>
      </c>
      <c r="F147" s="142">
        <f t="shared" si="17"/>
        <v>0</v>
      </c>
      <c r="G147" s="142">
        <f t="shared" si="18"/>
        <v>0</v>
      </c>
      <c r="H147" s="142">
        <f t="shared" si="19"/>
        <v>0</v>
      </c>
      <c r="I147" s="184"/>
      <c r="J147" s="184"/>
      <c r="K147" s="184"/>
      <c r="L147" s="184"/>
      <c r="M147" s="184"/>
      <c r="N147" s="184"/>
      <c r="O147" s="184"/>
      <c r="P147" s="184"/>
      <c r="Q147" s="184"/>
      <c r="R147" s="184"/>
      <c r="S147" s="184"/>
      <c r="T147" s="184"/>
      <c r="U147" s="184"/>
      <c r="V147" s="184"/>
      <c r="W147" s="184" t="s">
        <v>224</v>
      </c>
      <c r="X147" s="184" t="s">
        <v>224</v>
      </c>
      <c r="Y147" s="184" t="s">
        <v>224</v>
      </c>
      <c r="Z147" s="184" t="s">
        <v>224</v>
      </c>
      <c r="AA147" s="184" t="s">
        <v>224</v>
      </c>
      <c r="AB147" s="184" t="s">
        <v>224</v>
      </c>
      <c r="AC147" s="184" t="s">
        <v>224</v>
      </c>
      <c r="AD147" s="184" t="s">
        <v>224</v>
      </c>
      <c r="AE147" s="184" t="s">
        <v>224</v>
      </c>
      <c r="AF147" s="184" t="s">
        <v>224</v>
      </c>
      <c r="AG147" s="184" t="s">
        <v>437</v>
      </c>
      <c r="AH147" s="184" t="s">
        <v>437</v>
      </c>
      <c r="AI147" s="184" t="s">
        <v>224</v>
      </c>
      <c r="AJ147" s="184" t="s">
        <v>224</v>
      </c>
      <c r="AK147" s="184" t="s">
        <v>224</v>
      </c>
      <c r="AL147" s="184" t="s">
        <v>224</v>
      </c>
      <c r="AM147" s="184" t="s">
        <v>224</v>
      </c>
      <c r="AN147" s="184" t="s">
        <v>224</v>
      </c>
      <c r="AO147" s="184"/>
      <c r="AP147" s="184"/>
      <c r="AQ147" s="184"/>
      <c r="AR147" s="184"/>
      <c r="AS147" s="184"/>
      <c r="AT147" s="184"/>
      <c r="AU147" s="184"/>
      <c r="AV147" s="184"/>
      <c r="AW147" s="184"/>
    </row>
    <row r="148" spans="1:49" ht="12.75" customHeight="1" x14ac:dyDescent="0.25">
      <c r="A148" s="201" t="s">
        <v>227</v>
      </c>
      <c r="B148" s="257" t="s">
        <v>13</v>
      </c>
      <c r="C148" s="274">
        <v>1230</v>
      </c>
      <c r="D148" s="141">
        <v>2130</v>
      </c>
      <c r="E148" s="142">
        <v>0</v>
      </c>
      <c r="F148" s="142">
        <v>0</v>
      </c>
      <c r="G148" s="142">
        <v>0</v>
      </c>
      <c r="H148" s="142">
        <v>0</v>
      </c>
      <c r="I148" s="184"/>
      <c r="J148" s="184"/>
      <c r="K148" s="184"/>
      <c r="L148" s="184"/>
      <c r="M148" s="184"/>
      <c r="N148" s="184"/>
      <c r="O148" s="184"/>
      <c r="P148" s="184"/>
      <c r="Q148" s="184"/>
      <c r="R148" s="184"/>
      <c r="S148" s="184"/>
      <c r="T148" s="184"/>
      <c r="U148" s="184"/>
      <c r="V148" s="184"/>
      <c r="W148" s="184"/>
      <c r="X148" s="184" t="s">
        <v>224</v>
      </c>
      <c r="Y148" s="184" t="s">
        <v>224</v>
      </c>
      <c r="Z148" s="184" t="s">
        <v>224</v>
      </c>
      <c r="AA148" s="184" t="s">
        <v>224</v>
      </c>
      <c r="AB148" s="184" t="s">
        <v>224</v>
      </c>
      <c r="AC148" s="184" t="s">
        <v>224</v>
      </c>
      <c r="AD148" s="184" t="s">
        <v>224</v>
      </c>
      <c r="AE148" s="184" t="s">
        <v>224</v>
      </c>
      <c r="AF148" s="184" t="s">
        <v>224</v>
      </c>
      <c r="AG148" s="184" t="s">
        <v>224</v>
      </c>
      <c r="AH148" s="184" t="s">
        <v>224</v>
      </c>
      <c r="AI148" s="184" t="s">
        <v>224</v>
      </c>
      <c r="AJ148" s="184" t="s">
        <v>224</v>
      </c>
      <c r="AK148" s="184" t="s">
        <v>224</v>
      </c>
      <c r="AL148" s="184" t="s">
        <v>224</v>
      </c>
      <c r="AM148" s="184" t="s">
        <v>224</v>
      </c>
      <c r="AN148" s="184" t="s">
        <v>224</v>
      </c>
      <c r="AO148" s="184" t="s">
        <v>224</v>
      </c>
      <c r="AP148" s="184" t="s">
        <v>224</v>
      </c>
      <c r="AQ148" s="184"/>
      <c r="AR148" s="184"/>
      <c r="AS148" s="184"/>
      <c r="AT148" s="184"/>
      <c r="AU148" s="184"/>
      <c r="AV148" s="184"/>
      <c r="AW148" s="184"/>
    </row>
    <row r="149" spans="1:49" ht="12.75" customHeight="1" x14ac:dyDescent="0.25">
      <c r="A149" s="202" t="s">
        <v>23</v>
      </c>
      <c r="B149" s="257" t="s">
        <v>13</v>
      </c>
      <c r="C149" s="274">
        <v>1230</v>
      </c>
      <c r="D149" s="141">
        <v>2130</v>
      </c>
      <c r="E149" s="142">
        <f>COUNTIF(I149:AW149,"HL")</f>
        <v>0</v>
      </c>
      <c r="F149" s="142">
        <f>COUNTIF(I149:AW149,"Coaching")</f>
        <v>0</v>
      </c>
      <c r="G149" s="142">
        <f>COUNTIF(I149:AW149,"ADM")</f>
        <v>0</v>
      </c>
      <c r="H149" s="142">
        <f>COUNTIF(I149:AW149,"RNNR")</f>
        <v>0</v>
      </c>
      <c r="I149" s="184"/>
      <c r="J149" s="184"/>
      <c r="K149" s="184"/>
      <c r="L149" s="184"/>
      <c r="M149" s="184"/>
      <c r="N149" s="184"/>
      <c r="O149" s="184"/>
      <c r="P149" s="184"/>
      <c r="Q149" s="184"/>
      <c r="R149" s="184"/>
      <c r="S149" s="184"/>
      <c r="T149" s="184"/>
      <c r="U149" s="184"/>
      <c r="V149" s="184"/>
      <c r="W149" s="184"/>
      <c r="X149" s="184" t="s">
        <v>224</v>
      </c>
      <c r="Y149" s="184" t="s">
        <v>224</v>
      </c>
      <c r="Z149" s="184" t="s">
        <v>224</v>
      </c>
      <c r="AA149" s="184" t="s">
        <v>224</v>
      </c>
      <c r="AB149" s="184" t="s">
        <v>224</v>
      </c>
      <c r="AC149" s="184" t="s">
        <v>224</v>
      </c>
      <c r="AD149" s="184" t="s">
        <v>224</v>
      </c>
      <c r="AE149" s="184" t="s">
        <v>437</v>
      </c>
      <c r="AF149" s="184" t="s">
        <v>437</v>
      </c>
      <c r="AG149" s="184" t="s">
        <v>224</v>
      </c>
      <c r="AH149" s="184" t="s">
        <v>224</v>
      </c>
      <c r="AI149" s="184" t="s">
        <v>224</v>
      </c>
      <c r="AJ149" s="184" t="s">
        <v>224</v>
      </c>
      <c r="AK149" s="184" t="s">
        <v>224</v>
      </c>
      <c r="AL149" s="184" t="s">
        <v>224</v>
      </c>
      <c r="AM149" s="184" t="s">
        <v>224</v>
      </c>
      <c r="AN149" s="184" t="s">
        <v>224</v>
      </c>
      <c r="AO149" s="184" t="s">
        <v>224</v>
      </c>
      <c r="AP149" s="184"/>
      <c r="AQ149" s="184"/>
      <c r="AR149" s="184"/>
      <c r="AS149" s="184"/>
      <c r="AT149" s="184"/>
      <c r="AU149" s="184"/>
      <c r="AV149" s="184"/>
      <c r="AW149" s="184"/>
    </row>
    <row r="150" spans="1:49" ht="12.75" customHeight="1" x14ac:dyDescent="0.25">
      <c r="A150" s="374" t="s">
        <v>66</v>
      </c>
      <c r="B150" s="150" t="s">
        <v>13</v>
      </c>
      <c r="C150" s="55">
        <v>1230</v>
      </c>
      <c r="D150" s="188">
        <v>2130</v>
      </c>
      <c r="E150" s="142">
        <f>COUNTIF(I150:AW150,"HL")</f>
        <v>0</v>
      </c>
      <c r="F150" s="142">
        <f>COUNTIF(I150:AW150,"Coaching")</f>
        <v>0</v>
      </c>
      <c r="G150" s="142">
        <f>COUNTIF(I150:AW150,"ADM")</f>
        <v>0</v>
      </c>
      <c r="H150" s="142">
        <f>COUNTIF(I150:AW150,"RNNR")</f>
        <v>0</v>
      </c>
      <c r="I150" s="184"/>
      <c r="J150" s="184"/>
      <c r="K150" s="184"/>
      <c r="L150" s="184"/>
      <c r="M150" s="184"/>
      <c r="N150" s="184"/>
      <c r="O150" s="184"/>
      <c r="P150" s="184"/>
      <c r="Q150" s="184"/>
      <c r="R150" s="184"/>
      <c r="S150" s="184"/>
      <c r="T150" s="184"/>
      <c r="U150" s="184"/>
      <c r="V150" s="184"/>
      <c r="W150" s="184"/>
      <c r="X150" s="184" t="s">
        <v>224</v>
      </c>
      <c r="Y150" s="184" t="s">
        <v>224</v>
      </c>
      <c r="Z150" s="184" t="s">
        <v>224</v>
      </c>
      <c r="AA150" s="184" t="s">
        <v>224</v>
      </c>
      <c r="AB150" s="184" t="s">
        <v>436</v>
      </c>
      <c r="AC150" s="184" t="s">
        <v>436</v>
      </c>
      <c r="AD150" s="184" t="s">
        <v>224</v>
      </c>
      <c r="AE150" s="184" t="s">
        <v>224</v>
      </c>
      <c r="AF150" s="184" t="s">
        <v>224</v>
      </c>
      <c r="AG150" s="184" t="s">
        <v>437</v>
      </c>
      <c r="AH150" s="184" t="s">
        <v>437</v>
      </c>
      <c r="AI150" s="184" t="s">
        <v>224</v>
      </c>
      <c r="AJ150" s="184" t="s">
        <v>224</v>
      </c>
      <c r="AK150" s="184" t="s">
        <v>224</v>
      </c>
      <c r="AL150" s="184" t="s">
        <v>224</v>
      </c>
      <c r="AM150" s="184" t="s">
        <v>224</v>
      </c>
      <c r="AN150" s="184" t="s">
        <v>224</v>
      </c>
      <c r="AO150" s="184" t="s">
        <v>224</v>
      </c>
      <c r="AP150" s="184" t="s">
        <v>224</v>
      </c>
      <c r="AQ150" s="184"/>
      <c r="AR150" s="184"/>
      <c r="AS150" s="184"/>
      <c r="AT150" s="184"/>
      <c r="AU150" s="184"/>
      <c r="AV150" s="184"/>
      <c r="AW150" s="184"/>
    </row>
    <row r="151" spans="1:49" ht="12.75" customHeight="1" x14ac:dyDescent="0.25">
      <c r="A151" s="201" t="s">
        <v>57</v>
      </c>
      <c r="B151" s="257" t="s">
        <v>13</v>
      </c>
      <c r="C151" s="274">
        <v>1300</v>
      </c>
      <c r="D151" s="141">
        <v>2200</v>
      </c>
      <c r="E151" s="142">
        <f>COUNTIF(I151:AW151,"HL")</f>
        <v>0</v>
      </c>
      <c r="F151" s="142">
        <f>COUNTIF(I151:AW151,"Coaching")</f>
        <v>0</v>
      </c>
      <c r="G151" s="142">
        <f>COUNTIF(I151:AW151,"ADM")</f>
        <v>0</v>
      </c>
      <c r="H151" s="142">
        <f>COUNTIF(I151:AW151,"RNNR")</f>
        <v>0</v>
      </c>
      <c r="I151" s="184"/>
      <c r="J151" s="184"/>
      <c r="K151" s="184"/>
      <c r="L151" s="184"/>
      <c r="M151" s="184"/>
      <c r="N151" s="184"/>
      <c r="O151" s="184"/>
      <c r="P151" s="184"/>
      <c r="Q151" s="184"/>
      <c r="R151" s="184"/>
      <c r="S151" s="184"/>
      <c r="T151" s="184"/>
      <c r="U151" s="184"/>
      <c r="V151" s="184"/>
      <c r="W151" s="184"/>
      <c r="X151" s="184"/>
      <c r="Y151" s="184" t="s">
        <v>224</v>
      </c>
      <c r="Z151" s="184" t="s">
        <v>224</v>
      </c>
      <c r="AA151" s="184" t="s">
        <v>224</v>
      </c>
      <c r="AB151" s="184" t="s">
        <v>224</v>
      </c>
      <c r="AC151" s="184" t="s">
        <v>224</v>
      </c>
      <c r="AD151" s="184" t="s">
        <v>224</v>
      </c>
      <c r="AE151" s="184" t="s">
        <v>224</v>
      </c>
      <c r="AF151" s="184" t="s">
        <v>224</v>
      </c>
      <c r="AG151" s="184" t="s">
        <v>224</v>
      </c>
      <c r="AH151" s="184" t="s">
        <v>224</v>
      </c>
      <c r="AI151" s="184" t="s">
        <v>437</v>
      </c>
      <c r="AJ151" s="184" t="s">
        <v>437</v>
      </c>
      <c r="AK151" s="184" t="s">
        <v>224</v>
      </c>
      <c r="AL151" s="184" t="s">
        <v>224</v>
      </c>
      <c r="AM151" s="184" t="s">
        <v>224</v>
      </c>
      <c r="AN151" s="184" t="s">
        <v>224</v>
      </c>
      <c r="AO151" s="184" t="s">
        <v>224</v>
      </c>
      <c r="AP151" s="184" t="s">
        <v>224</v>
      </c>
      <c r="AQ151" s="184"/>
      <c r="AR151" s="184"/>
      <c r="AS151" s="184"/>
      <c r="AT151" s="184"/>
      <c r="AU151" s="184"/>
      <c r="AV151" s="184"/>
      <c r="AW151" s="184"/>
    </row>
    <row r="152" spans="1:49" ht="12.75" customHeight="1" x14ac:dyDescent="0.25">
      <c r="A152" s="374" t="s">
        <v>270</v>
      </c>
      <c r="B152" s="257" t="s">
        <v>13</v>
      </c>
      <c r="C152" s="55">
        <v>1400</v>
      </c>
      <c r="D152" s="141">
        <v>100</v>
      </c>
      <c r="E152" s="142">
        <f>COUNTIF(I152:AW152,"HL")</f>
        <v>0</v>
      </c>
      <c r="F152" s="142">
        <f>COUNTIF(I152:AW152,"Coaching")</f>
        <v>0</v>
      </c>
      <c r="G152" s="142">
        <f>COUNTIF(I152:AW152,"ADM")</f>
        <v>0</v>
      </c>
      <c r="H152" s="142">
        <f>COUNTIF(I152:AW152,"RNNR")</f>
        <v>0</v>
      </c>
      <c r="I152" s="184"/>
      <c r="J152" s="184"/>
      <c r="K152" s="184"/>
      <c r="L152" s="184"/>
      <c r="M152" s="184"/>
      <c r="N152" s="184"/>
      <c r="O152" s="184"/>
      <c r="P152" s="184"/>
      <c r="Q152" s="184"/>
      <c r="R152" s="184"/>
      <c r="S152" s="184"/>
      <c r="T152" s="184"/>
      <c r="U152" s="184"/>
      <c r="V152" s="184"/>
      <c r="W152" s="184"/>
      <c r="X152" s="184"/>
      <c r="Y152" s="184"/>
      <c r="Z152" s="184"/>
      <c r="AA152" s="184" t="s">
        <v>224</v>
      </c>
      <c r="AB152" s="184" t="s">
        <v>436</v>
      </c>
      <c r="AC152" s="184" t="s">
        <v>436</v>
      </c>
      <c r="AD152" s="184" t="s">
        <v>224</v>
      </c>
      <c r="AE152" s="184" t="s">
        <v>224</v>
      </c>
      <c r="AF152" s="184" t="s">
        <v>224</v>
      </c>
      <c r="AG152" s="184" t="s">
        <v>224</v>
      </c>
      <c r="AH152" s="184" t="s">
        <v>224</v>
      </c>
      <c r="AI152" s="184" t="s">
        <v>437</v>
      </c>
      <c r="AJ152" s="184" t="s">
        <v>437</v>
      </c>
      <c r="AK152" s="184" t="s">
        <v>224</v>
      </c>
      <c r="AL152" s="184" t="s">
        <v>224</v>
      </c>
      <c r="AM152" s="184" t="s">
        <v>224</v>
      </c>
      <c r="AN152" s="184" t="s">
        <v>224</v>
      </c>
      <c r="AO152" s="184" t="s">
        <v>224</v>
      </c>
      <c r="AP152" s="184" t="s">
        <v>224</v>
      </c>
      <c r="AQ152" s="184" t="s">
        <v>224</v>
      </c>
      <c r="AR152" s="184" t="s">
        <v>224</v>
      </c>
      <c r="AS152" s="184" t="s">
        <v>224</v>
      </c>
      <c r="AT152" s="184" t="s">
        <v>224</v>
      </c>
      <c r="AU152" s="184" t="s">
        <v>224</v>
      </c>
      <c r="AV152" s="184" t="s">
        <v>224</v>
      </c>
      <c r="AW152" s="184"/>
    </row>
    <row r="153" spans="1:49" ht="12.75" customHeight="1" x14ac:dyDescent="0.25">
      <c r="A153" s="201" t="s">
        <v>52</v>
      </c>
      <c r="B153" s="150" t="s">
        <v>13</v>
      </c>
      <c r="C153" s="55">
        <v>1600</v>
      </c>
      <c r="D153" s="141">
        <v>100</v>
      </c>
      <c r="E153" s="142">
        <f>COUNTIF(I153:AW153,"HL")</f>
        <v>0</v>
      </c>
      <c r="F153" s="142">
        <f>COUNTIF(I153:AW153,"Coaching")</f>
        <v>0</v>
      </c>
      <c r="G153" s="142">
        <f>COUNTIF(I153:AW153,"ADM")</f>
        <v>0</v>
      </c>
      <c r="H153" s="142">
        <f>COUNTIF(I153:AW153,"RNNR")</f>
        <v>0</v>
      </c>
      <c r="I153" s="184"/>
      <c r="J153" s="184"/>
      <c r="K153" s="184"/>
      <c r="L153" s="184"/>
      <c r="M153" s="184"/>
      <c r="N153" s="184"/>
      <c r="O153" s="184"/>
      <c r="P153" s="184"/>
      <c r="Q153" s="184"/>
      <c r="R153" s="184"/>
      <c r="S153" s="184"/>
      <c r="T153" s="184"/>
      <c r="U153" s="184"/>
      <c r="V153" s="184"/>
      <c r="W153" s="184"/>
      <c r="X153" s="184"/>
      <c r="Y153" s="184"/>
      <c r="Z153" s="184"/>
      <c r="AA153" s="184"/>
      <c r="AB153" s="184"/>
      <c r="AC153" s="184"/>
      <c r="AD153" s="184"/>
      <c r="AE153" s="184" t="s">
        <v>224</v>
      </c>
      <c r="AF153" s="184" t="s">
        <v>224</v>
      </c>
      <c r="AG153" s="184" t="s">
        <v>224</v>
      </c>
      <c r="AH153" s="184" t="s">
        <v>224</v>
      </c>
      <c r="AI153" s="184" t="s">
        <v>224</v>
      </c>
      <c r="AJ153" s="184" t="s">
        <v>224</v>
      </c>
      <c r="AK153" s="184" t="s">
        <v>224</v>
      </c>
      <c r="AL153" s="184" t="s">
        <v>224</v>
      </c>
      <c r="AM153" s="184" t="s">
        <v>224</v>
      </c>
      <c r="AN153" s="184" t="s">
        <v>224</v>
      </c>
      <c r="AO153" s="184" t="s">
        <v>224</v>
      </c>
      <c r="AP153" s="184" t="s">
        <v>224</v>
      </c>
      <c r="AQ153" s="184" t="s">
        <v>224</v>
      </c>
      <c r="AR153" s="184" t="s">
        <v>224</v>
      </c>
      <c r="AS153" s="184" t="s">
        <v>224</v>
      </c>
      <c r="AT153" s="184" t="s">
        <v>224</v>
      </c>
      <c r="AU153" s="184" t="s">
        <v>224</v>
      </c>
      <c r="AV153" s="184" t="s">
        <v>224</v>
      </c>
      <c r="AW153" s="184"/>
    </row>
    <row r="154" spans="1:49" ht="12.75" customHeight="1" x14ac:dyDescent="0.25">
      <c r="A154" s="201"/>
      <c r="B154" s="150"/>
      <c r="C154" s="274"/>
      <c r="D154" s="188"/>
      <c r="E154" s="142"/>
      <c r="F154" s="142"/>
      <c r="G154" s="142"/>
      <c r="H154" s="142"/>
      <c r="I154" s="184"/>
      <c r="J154" s="184"/>
      <c r="K154" s="184"/>
      <c r="L154" s="184"/>
      <c r="M154" s="184"/>
      <c r="N154" s="184"/>
      <c r="O154" s="184"/>
      <c r="P154" s="184"/>
      <c r="Q154" s="184"/>
      <c r="R154" s="184"/>
      <c r="S154" s="184"/>
      <c r="T154" s="184"/>
      <c r="U154" s="184"/>
      <c r="V154" s="184"/>
      <c r="W154" s="184"/>
      <c r="X154" s="184"/>
      <c r="Y154" s="184"/>
      <c r="Z154" s="184"/>
      <c r="AA154" s="184"/>
      <c r="AB154" s="184"/>
      <c r="AC154" s="184"/>
      <c r="AD154" s="184"/>
      <c r="AE154" s="184"/>
      <c r="AF154" s="184"/>
      <c r="AG154" s="184"/>
      <c r="AH154" s="184"/>
      <c r="AI154" s="184"/>
      <c r="AJ154" s="184"/>
      <c r="AK154" s="184"/>
      <c r="AL154" s="184"/>
      <c r="AM154" s="184"/>
      <c r="AN154" s="184"/>
      <c r="AO154" s="184"/>
      <c r="AP154" s="184"/>
      <c r="AQ154" s="184"/>
      <c r="AR154" s="184"/>
      <c r="AS154" s="184"/>
      <c r="AT154" s="184"/>
      <c r="AU154" s="184"/>
      <c r="AV154" s="184"/>
      <c r="AW154" s="184"/>
    </row>
    <row r="155" spans="1:49" ht="12.75" customHeight="1" x14ac:dyDescent="0.25">
      <c r="A155" s="202"/>
      <c r="B155" s="150"/>
      <c r="C155" s="274"/>
      <c r="D155" s="188"/>
      <c r="E155" s="142"/>
      <c r="F155" s="142"/>
      <c r="G155" s="142"/>
      <c r="H155" s="142"/>
      <c r="I155" s="184"/>
      <c r="J155" s="184"/>
      <c r="K155" s="184"/>
      <c r="L155" s="184"/>
      <c r="M155" s="184"/>
      <c r="N155" s="184"/>
      <c r="O155" s="184"/>
      <c r="P155" s="184"/>
      <c r="Q155" s="184"/>
      <c r="R155" s="184"/>
      <c r="S155" s="184"/>
      <c r="T155" s="184"/>
      <c r="U155" s="184"/>
      <c r="V155" s="184"/>
      <c r="W155" s="184"/>
      <c r="X155" s="184"/>
      <c r="Y155" s="184"/>
      <c r="Z155" s="184"/>
      <c r="AA155" s="184"/>
      <c r="AB155" s="184"/>
      <c r="AC155" s="184"/>
      <c r="AD155" s="184"/>
      <c r="AE155" s="184"/>
      <c r="AF155" s="184"/>
      <c r="AG155" s="184"/>
      <c r="AH155" s="184"/>
      <c r="AI155" s="184"/>
      <c r="AJ155" s="184"/>
      <c r="AK155" s="184"/>
      <c r="AL155" s="184"/>
      <c r="AM155" s="184"/>
      <c r="AN155" s="184"/>
      <c r="AO155" s="184"/>
      <c r="AP155" s="184"/>
      <c r="AQ155" s="184"/>
      <c r="AR155" s="184"/>
      <c r="AS155" s="184"/>
      <c r="AT155" s="184"/>
      <c r="AU155" s="184"/>
      <c r="AV155" s="184"/>
      <c r="AW155" s="184"/>
    </row>
    <row r="156" spans="1:49" ht="12.75" customHeight="1" x14ac:dyDescent="0.25">
      <c r="A156" s="201"/>
      <c r="B156" s="150"/>
      <c r="C156" s="274"/>
      <c r="D156" s="188"/>
      <c r="E156" s="142"/>
      <c r="F156" s="142"/>
      <c r="G156" s="142"/>
      <c r="H156" s="142"/>
      <c r="I156" s="184"/>
      <c r="J156" s="184"/>
      <c r="K156" s="184"/>
      <c r="L156" s="184"/>
      <c r="M156" s="184"/>
      <c r="N156" s="184"/>
      <c r="O156" s="184"/>
      <c r="P156" s="184"/>
      <c r="Q156" s="184"/>
      <c r="R156" s="184"/>
      <c r="S156" s="184"/>
      <c r="T156" s="184"/>
      <c r="U156" s="184"/>
      <c r="V156" s="184"/>
      <c r="W156" s="184"/>
      <c r="X156" s="184"/>
      <c r="Y156" s="184"/>
      <c r="Z156" s="184"/>
      <c r="AA156" s="184"/>
      <c r="AB156" s="184"/>
      <c r="AC156" s="184"/>
      <c r="AD156" s="184"/>
      <c r="AE156" s="184"/>
      <c r="AF156" s="184"/>
      <c r="AG156" s="184"/>
      <c r="AH156" s="184"/>
      <c r="AI156" s="184"/>
      <c r="AJ156" s="184"/>
      <c r="AK156" s="184"/>
      <c r="AL156" s="184"/>
      <c r="AM156" s="184"/>
      <c r="AN156" s="184"/>
      <c r="AO156" s="184"/>
      <c r="AP156" s="184"/>
      <c r="AQ156" s="184"/>
      <c r="AR156" s="184"/>
      <c r="AS156" s="184"/>
      <c r="AT156" s="184"/>
      <c r="AU156" s="184"/>
      <c r="AV156" s="184"/>
      <c r="AW156" s="184"/>
    </row>
    <row r="157" spans="1:49" ht="12.75" customHeight="1" x14ac:dyDescent="0.25">
      <c r="A157" s="202"/>
      <c r="B157" s="150"/>
      <c r="C157" s="274"/>
      <c r="D157" s="141"/>
      <c r="E157" s="142"/>
      <c r="F157" s="142"/>
      <c r="G157" s="142"/>
      <c r="H157" s="142"/>
      <c r="I157" s="184"/>
      <c r="J157" s="184"/>
      <c r="K157" s="184"/>
      <c r="L157" s="184"/>
      <c r="M157" s="184"/>
      <c r="N157" s="184"/>
      <c r="O157" s="184"/>
      <c r="P157" s="184"/>
      <c r="Q157" s="184"/>
      <c r="R157" s="184"/>
      <c r="S157" s="184"/>
      <c r="T157" s="184"/>
      <c r="U157" s="184"/>
      <c r="V157" s="184"/>
      <c r="W157" s="184"/>
      <c r="X157" s="184"/>
      <c r="Y157" s="184"/>
      <c r="Z157" s="184"/>
      <c r="AA157" s="184"/>
      <c r="AB157" s="184"/>
      <c r="AC157" s="184"/>
      <c r="AD157" s="184"/>
      <c r="AE157" s="184"/>
      <c r="AF157" s="184"/>
      <c r="AG157" s="184"/>
      <c r="AH157" s="184"/>
      <c r="AI157" s="184"/>
      <c r="AJ157" s="184"/>
      <c r="AK157" s="184"/>
      <c r="AL157" s="184"/>
      <c r="AM157" s="184"/>
      <c r="AN157" s="184"/>
      <c r="AO157" s="184"/>
      <c r="AP157" s="184"/>
      <c r="AQ157" s="184"/>
      <c r="AR157" s="184"/>
      <c r="AS157" s="184"/>
      <c r="AT157" s="184"/>
      <c r="AU157" s="184"/>
      <c r="AV157" s="184"/>
      <c r="AW157" s="184"/>
    </row>
    <row r="158" spans="1:49" ht="12.75" customHeight="1" x14ac:dyDescent="0.25">
      <c r="A158" s="202"/>
      <c r="B158" s="150"/>
      <c r="C158" s="274"/>
      <c r="D158" s="141"/>
      <c r="E158" s="142"/>
      <c r="F158" s="142"/>
      <c r="G158" s="142"/>
      <c r="H158" s="142"/>
      <c r="I158" s="184"/>
      <c r="J158" s="184"/>
      <c r="K158" s="184"/>
      <c r="L158" s="184"/>
      <c r="M158" s="184"/>
      <c r="N158" s="184"/>
      <c r="O158" s="184"/>
      <c r="P158" s="184"/>
      <c r="Q158" s="184"/>
      <c r="R158" s="184"/>
      <c r="S158" s="184"/>
      <c r="T158" s="184"/>
      <c r="U158" s="184"/>
      <c r="V158" s="184"/>
      <c r="W158" s="184"/>
      <c r="X158" s="184"/>
      <c r="Y158" s="184"/>
      <c r="Z158" s="184"/>
      <c r="AA158" s="184"/>
      <c r="AB158" s="184"/>
      <c r="AC158" s="184"/>
      <c r="AD158" s="184"/>
      <c r="AE158" s="184"/>
      <c r="AF158" s="184"/>
      <c r="AG158" s="184"/>
      <c r="AH158" s="184"/>
      <c r="AI158" s="184"/>
      <c r="AJ158" s="184"/>
      <c r="AK158" s="184"/>
      <c r="AL158" s="184"/>
      <c r="AM158" s="184"/>
      <c r="AN158" s="184"/>
      <c r="AO158" s="184"/>
      <c r="AP158" s="184"/>
      <c r="AQ158" s="184"/>
      <c r="AR158" s="184"/>
      <c r="AS158" s="184"/>
      <c r="AT158" s="184"/>
      <c r="AU158" s="184"/>
      <c r="AV158" s="184"/>
      <c r="AW158" s="184"/>
    </row>
    <row r="159" spans="1:49" ht="15.75" thickBot="1" x14ac:dyDescent="0.3"/>
    <row r="160" spans="1:49" ht="26.25" thickBot="1" x14ac:dyDescent="0.3">
      <c r="A160" s="283" t="s">
        <v>168</v>
      </c>
      <c r="B160" s="284" t="s">
        <v>5</v>
      </c>
      <c r="C160" s="284" t="s">
        <v>84</v>
      </c>
      <c r="D160" s="284" t="s">
        <v>86</v>
      </c>
      <c r="E160" s="284" t="s">
        <v>87</v>
      </c>
      <c r="F160" s="284" t="s">
        <v>223</v>
      </c>
      <c r="G160" s="284" t="s">
        <v>89</v>
      </c>
      <c r="H160" s="284" t="s">
        <v>90</v>
      </c>
      <c r="I160" s="239" t="s">
        <v>93</v>
      </c>
      <c r="J160" s="239" t="s">
        <v>95</v>
      </c>
      <c r="K160" s="239" t="s">
        <v>97</v>
      </c>
      <c r="L160" s="239" t="s">
        <v>140</v>
      </c>
      <c r="M160" s="239" t="s">
        <v>109</v>
      </c>
      <c r="N160" s="239" t="s">
        <v>103</v>
      </c>
      <c r="O160" s="239" t="s">
        <v>121</v>
      </c>
      <c r="P160" s="239" t="s">
        <v>113</v>
      </c>
      <c r="Q160" s="239" t="s">
        <v>105</v>
      </c>
      <c r="R160" s="239" t="s">
        <v>107</v>
      </c>
      <c r="S160" s="239" t="s">
        <v>141</v>
      </c>
      <c r="T160" s="239" t="s">
        <v>101</v>
      </c>
      <c r="U160" s="239" t="s">
        <v>122</v>
      </c>
      <c r="V160" s="239" t="s">
        <v>116</v>
      </c>
      <c r="W160" s="239" t="s">
        <v>148</v>
      </c>
      <c r="X160" s="239" t="s">
        <v>149</v>
      </c>
      <c r="Y160" s="368" t="s">
        <v>111</v>
      </c>
      <c r="Z160" s="368" t="s">
        <v>94</v>
      </c>
      <c r="AA160" s="239" t="s">
        <v>96</v>
      </c>
      <c r="AB160" s="239" t="s">
        <v>98</v>
      </c>
      <c r="AC160" s="239" t="s">
        <v>118</v>
      </c>
      <c r="AD160" s="239" t="s">
        <v>99</v>
      </c>
      <c r="AE160" s="239" t="s">
        <v>104</v>
      </c>
      <c r="AF160" s="239" t="s">
        <v>150</v>
      </c>
      <c r="AG160" s="239" t="s">
        <v>114</v>
      </c>
      <c r="AH160" s="239" t="s">
        <v>106</v>
      </c>
      <c r="AI160" s="239" t="s">
        <v>108</v>
      </c>
      <c r="AJ160" s="239" t="s">
        <v>142</v>
      </c>
      <c r="AK160" s="239" t="s">
        <v>102</v>
      </c>
      <c r="AL160" s="239" t="s">
        <v>143</v>
      </c>
      <c r="AM160" s="239" t="s">
        <v>123</v>
      </c>
      <c r="AN160" s="239" t="s">
        <v>117</v>
      </c>
      <c r="AO160" s="239" t="s">
        <v>151</v>
      </c>
      <c r="AP160" s="239" t="s">
        <v>112</v>
      </c>
      <c r="AQ160" s="239" t="s">
        <v>110</v>
      </c>
      <c r="AR160" s="239" t="s">
        <v>119</v>
      </c>
      <c r="AS160" s="239" t="s">
        <v>115</v>
      </c>
      <c r="AT160" s="239" t="s">
        <v>120</v>
      </c>
      <c r="AU160" s="285" t="s">
        <v>100</v>
      </c>
      <c r="AV160" s="285" t="s">
        <v>243</v>
      </c>
      <c r="AW160" s="285" t="s">
        <v>244</v>
      </c>
    </row>
    <row r="161" spans="1:49" ht="12.75" customHeight="1" x14ac:dyDescent="0.25">
      <c r="A161" s="201" t="s">
        <v>24</v>
      </c>
      <c r="B161" s="150" t="s">
        <v>15</v>
      </c>
      <c r="C161" s="274">
        <v>500</v>
      </c>
      <c r="D161" s="141">
        <v>1330</v>
      </c>
      <c r="E161" s="142">
        <f t="shared" ref="E161:E192" si="20">COUNTIF(I161:AW161,"HL")</f>
        <v>7</v>
      </c>
      <c r="F161" s="142">
        <f t="shared" ref="F161:F192" si="21">COUNTIF(I161:AW161,"Coaching")</f>
        <v>0</v>
      </c>
      <c r="G161" s="142">
        <f t="shared" ref="G161:G192" si="22">COUNTIF(I161:AW161,"ADM")</f>
        <v>5</v>
      </c>
      <c r="H161" s="142">
        <f t="shared" ref="H161:H192" si="23">COUNTIF(I161:AW161,"RNNR")</f>
        <v>2</v>
      </c>
      <c r="I161" s="184" t="s">
        <v>126</v>
      </c>
      <c r="J161" s="184" t="s">
        <v>126</v>
      </c>
      <c r="K161" s="184" t="s">
        <v>126</v>
      </c>
      <c r="L161" s="184" t="s">
        <v>240</v>
      </c>
      <c r="M161" s="184" t="s">
        <v>126</v>
      </c>
      <c r="N161" s="184" t="s">
        <v>126</v>
      </c>
      <c r="O161" s="184" t="s">
        <v>211</v>
      </c>
      <c r="P161" s="184" t="s">
        <v>211</v>
      </c>
      <c r="Q161" s="184" t="s">
        <v>241</v>
      </c>
      <c r="R161" s="184" t="s">
        <v>130</v>
      </c>
      <c r="S161" s="184" t="s">
        <v>130</v>
      </c>
      <c r="T161" s="184" t="s">
        <v>130</v>
      </c>
      <c r="U161" s="184" t="s">
        <v>248</v>
      </c>
      <c r="V161" s="184" t="s">
        <v>130</v>
      </c>
      <c r="W161" s="184" t="s">
        <v>130</v>
      </c>
      <c r="X161" s="184" t="s">
        <v>126</v>
      </c>
      <c r="Y161" s="184" t="s">
        <v>126</v>
      </c>
      <c r="Z161" s="184"/>
      <c r="AA161" s="184"/>
      <c r="AB161" s="184"/>
      <c r="AC161" s="184"/>
      <c r="AD161" s="184"/>
      <c r="AE161" s="184"/>
      <c r="AF161" s="184"/>
      <c r="AG161" s="184"/>
      <c r="AH161" s="184"/>
      <c r="AI161" s="184"/>
      <c r="AJ161" s="184"/>
      <c r="AK161" s="184"/>
      <c r="AL161" s="184"/>
      <c r="AM161" s="184"/>
      <c r="AN161" s="184"/>
      <c r="AO161" s="184"/>
      <c r="AP161" s="184"/>
      <c r="AQ161" s="184"/>
      <c r="AR161" s="184"/>
      <c r="AS161" s="184"/>
      <c r="AT161" s="184"/>
      <c r="AU161" s="184"/>
      <c r="AV161" s="184"/>
      <c r="AW161" s="184"/>
    </row>
    <row r="162" spans="1:49" ht="12.75" customHeight="1" x14ac:dyDescent="0.25">
      <c r="A162" s="201" t="s">
        <v>44</v>
      </c>
      <c r="B162" s="150" t="s">
        <v>15</v>
      </c>
      <c r="C162" s="274">
        <v>530</v>
      </c>
      <c r="D162" s="141">
        <v>1400</v>
      </c>
      <c r="E162" s="142">
        <f t="shared" si="20"/>
        <v>4</v>
      </c>
      <c r="F162" s="142">
        <f t="shared" si="21"/>
        <v>0</v>
      </c>
      <c r="G162" s="142">
        <f t="shared" si="22"/>
        <v>8</v>
      </c>
      <c r="H162" s="142">
        <f t="shared" si="23"/>
        <v>2</v>
      </c>
      <c r="I162" s="184"/>
      <c r="J162" s="184" t="s">
        <v>130</v>
      </c>
      <c r="K162" s="184" t="s">
        <v>130</v>
      </c>
      <c r="L162" s="184" t="s">
        <v>130</v>
      </c>
      <c r="M162" s="184" t="s">
        <v>130</v>
      </c>
      <c r="N162" s="184" t="s">
        <v>247</v>
      </c>
      <c r="O162" s="184" t="s">
        <v>126</v>
      </c>
      <c r="P162" s="184" t="s">
        <v>126</v>
      </c>
      <c r="Q162" s="184" t="s">
        <v>211</v>
      </c>
      <c r="R162" s="184" t="s">
        <v>211</v>
      </c>
      <c r="S162" s="184" t="s">
        <v>241</v>
      </c>
      <c r="T162" s="184" t="s">
        <v>130</v>
      </c>
      <c r="U162" s="184" t="s">
        <v>130</v>
      </c>
      <c r="V162" s="184" t="s">
        <v>362</v>
      </c>
      <c r="W162" s="184" t="s">
        <v>130</v>
      </c>
      <c r="X162" s="184" t="s">
        <v>130</v>
      </c>
      <c r="Y162" s="184" t="s">
        <v>126</v>
      </c>
      <c r="Z162" s="184" t="s">
        <v>126</v>
      </c>
      <c r="AA162" s="184"/>
      <c r="AB162" s="184"/>
      <c r="AC162" s="184"/>
      <c r="AD162" s="184"/>
      <c r="AE162" s="184"/>
      <c r="AF162" s="184"/>
      <c r="AG162" s="184"/>
      <c r="AH162" s="184"/>
      <c r="AI162" s="184"/>
      <c r="AJ162" s="184"/>
      <c r="AK162" s="184"/>
      <c r="AL162" s="184"/>
      <c r="AM162" s="184"/>
      <c r="AN162" s="184"/>
      <c r="AO162" s="184"/>
      <c r="AP162" s="184"/>
      <c r="AQ162" s="184"/>
      <c r="AR162" s="184"/>
      <c r="AS162" s="184"/>
      <c r="AT162" s="184"/>
      <c r="AU162" s="184"/>
      <c r="AV162" s="184"/>
      <c r="AW162" s="184"/>
    </row>
    <row r="163" spans="1:49" ht="12.75" customHeight="1" x14ac:dyDescent="0.25">
      <c r="A163" s="202" t="s">
        <v>230</v>
      </c>
      <c r="B163" s="257" t="s">
        <v>15</v>
      </c>
      <c r="C163" s="274">
        <v>530</v>
      </c>
      <c r="D163" s="141">
        <v>1430</v>
      </c>
      <c r="E163" s="142">
        <f t="shared" si="20"/>
        <v>7</v>
      </c>
      <c r="F163" s="142">
        <f t="shared" si="21"/>
        <v>0</v>
      </c>
      <c r="G163" s="142">
        <f t="shared" si="22"/>
        <v>7</v>
      </c>
      <c r="H163" s="142">
        <f t="shared" si="23"/>
        <v>0</v>
      </c>
      <c r="I163" s="184"/>
      <c r="J163" s="184" t="s">
        <v>126</v>
      </c>
      <c r="K163" s="184" t="s">
        <v>130</v>
      </c>
      <c r="L163" s="184" t="s">
        <v>130</v>
      </c>
      <c r="M163" s="184" t="s">
        <v>130</v>
      </c>
      <c r="N163" s="184" t="s">
        <v>364</v>
      </c>
      <c r="O163" s="184" t="s">
        <v>126</v>
      </c>
      <c r="P163" s="184" t="s">
        <v>126</v>
      </c>
      <c r="Q163" s="184" t="s">
        <v>126</v>
      </c>
      <c r="R163" s="184" t="s">
        <v>130</v>
      </c>
      <c r="S163" s="184" t="s">
        <v>130</v>
      </c>
      <c r="T163" s="184" t="s">
        <v>241</v>
      </c>
      <c r="U163" s="184" t="s">
        <v>241</v>
      </c>
      <c r="V163" s="184" t="s">
        <v>126</v>
      </c>
      <c r="W163" s="184" t="s">
        <v>126</v>
      </c>
      <c r="X163" s="184" t="s">
        <v>362</v>
      </c>
      <c r="Y163" s="184" t="s">
        <v>130</v>
      </c>
      <c r="Z163" s="184" t="s">
        <v>130</v>
      </c>
      <c r="AA163" s="184" t="s">
        <v>126</v>
      </c>
      <c r="AB163" s="184"/>
      <c r="AC163" s="184"/>
      <c r="AD163" s="184"/>
      <c r="AE163" s="184"/>
      <c r="AF163" s="184"/>
      <c r="AG163" s="184"/>
      <c r="AH163" s="184"/>
      <c r="AI163" s="184"/>
      <c r="AJ163" s="184"/>
      <c r="AK163" s="184"/>
      <c r="AL163" s="184"/>
      <c r="AM163" s="184"/>
      <c r="AN163" s="184"/>
      <c r="AO163" s="184"/>
      <c r="AP163" s="184"/>
      <c r="AQ163" s="184"/>
      <c r="AR163" s="184"/>
      <c r="AS163" s="184"/>
      <c r="AT163" s="184"/>
      <c r="AU163" s="184"/>
      <c r="AV163" s="184"/>
      <c r="AW163" s="184"/>
    </row>
    <row r="164" spans="1:49" ht="12.75" customHeight="1" x14ac:dyDescent="0.25">
      <c r="A164" s="201" t="s">
        <v>19</v>
      </c>
      <c r="B164" s="150" t="s">
        <v>15</v>
      </c>
      <c r="C164" s="274">
        <v>600</v>
      </c>
      <c r="D164" s="141">
        <v>1430</v>
      </c>
      <c r="E164" s="142">
        <f t="shared" si="20"/>
        <v>6</v>
      </c>
      <c r="F164" s="142">
        <f t="shared" si="21"/>
        <v>0</v>
      </c>
      <c r="G164" s="142">
        <f t="shared" si="22"/>
        <v>6</v>
      </c>
      <c r="H164" s="142">
        <f t="shared" si="23"/>
        <v>2</v>
      </c>
      <c r="I164" s="184"/>
      <c r="J164" s="184"/>
      <c r="K164" s="184" t="s">
        <v>126</v>
      </c>
      <c r="L164" s="184" t="s">
        <v>126</v>
      </c>
      <c r="M164" s="184" t="s">
        <v>130</v>
      </c>
      <c r="N164" s="184" t="s">
        <v>130</v>
      </c>
      <c r="O164" s="184" t="s">
        <v>361</v>
      </c>
      <c r="P164" s="184" t="s">
        <v>130</v>
      </c>
      <c r="Q164" s="184" t="s">
        <v>126</v>
      </c>
      <c r="R164" s="184" t="s">
        <v>126</v>
      </c>
      <c r="S164" s="184" t="s">
        <v>130</v>
      </c>
      <c r="T164" s="184" t="s">
        <v>241</v>
      </c>
      <c r="U164" s="184" t="s">
        <v>211</v>
      </c>
      <c r="V164" s="184" t="s">
        <v>211</v>
      </c>
      <c r="W164" s="184" t="s">
        <v>130</v>
      </c>
      <c r="X164" s="184" t="s">
        <v>130</v>
      </c>
      <c r="Y164" s="184" t="s">
        <v>362</v>
      </c>
      <c r="Z164" s="184" t="s">
        <v>126</v>
      </c>
      <c r="AA164" s="184" t="s">
        <v>126</v>
      </c>
      <c r="AB164" s="184"/>
      <c r="AC164" s="184"/>
      <c r="AD164" s="184"/>
      <c r="AE164" s="184"/>
      <c r="AF164" s="184"/>
      <c r="AG164" s="184"/>
      <c r="AH164" s="184"/>
      <c r="AI164" s="184"/>
      <c r="AJ164" s="184"/>
      <c r="AK164" s="184"/>
      <c r="AL164" s="184"/>
      <c r="AM164" s="184"/>
      <c r="AN164" s="184"/>
      <c r="AO164" s="184"/>
      <c r="AP164" s="184"/>
      <c r="AQ164" s="184"/>
      <c r="AR164" s="184"/>
      <c r="AS164" s="184"/>
      <c r="AT164" s="184"/>
      <c r="AU164" s="184"/>
      <c r="AV164" s="184"/>
      <c r="AW164" s="184"/>
    </row>
    <row r="165" spans="1:49" ht="12.75" customHeight="1" x14ac:dyDescent="0.25">
      <c r="A165" s="201" t="s">
        <v>34</v>
      </c>
      <c r="B165" s="150" t="s">
        <v>15</v>
      </c>
      <c r="C165" s="274">
        <v>630</v>
      </c>
      <c r="D165" s="141">
        <v>1500</v>
      </c>
      <c r="E165" s="142">
        <f t="shared" si="20"/>
        <v>6</v>
      </c>
      <c r="F165" s="142">
        <f t="shared" si="21"/>
        <v>0</v>
      </c>
      <c r="G165" s="142">
        <f t="shared" si="22"/>
        <v>6</v>
      </c>
      <c r="H165" s="142">
        <f t="shared" si="23"/>
        <v>2</v>
      </c>
      <c r="I165" s="184"/>
      <c r="J165" s="184"/>
      <c r="K165" s="184"/>
      <c r="L165" s="184" t="s">
        <v>126</v>
      </c>
      <c r="M165" s="184" t="s">
        <v>126</v>
      </c>
      <c r="N165" s="184" t="s">
        <v>130</v>
      </c>
      <c r="O165" s="184" t="s">
        <v>130</v>
      </c>
      <c r="P165" s="184" t="s">
        <v>240</v>
      </c>
      <c r="Q165" s="184" t="s">
        <v>126</v>
      </c>
      <c r="R165" s="184" t="s">
        <v>126</v>
      </c>
      <c r="S165" s="184" t="s">
        <v>211</v>
      </c>
      <c r="T165" s="184" t="s">
        <v>211</v>
      </c>
      <c r="U165" s="184" t="s">
        <v>241</v>
      </c>
      <c r="V165" s="184" t="s">
        <v>130</v>
      </c>
      <c r="W165" s="184" t="s">
        <v>126</v>
      </c>
      <c r="X165" s="184" t="s">
        <v>242</v>
      </c>
      <c r="Y165" s="184" t="s">
        <v>130</v>
      </c>
      <c r="Z165" s="184" t="s">
        <v>130</v>
      </c>
      <c r="AA165" s="184" t="s">
        <v>130</v>
      </c>
      <c r="AB165" s="184" t="s">
        <v>126</v>
      </c>
      <c r="AC165" s="184"/>
      <c r="AD165" s="184"/>
      <c r="AE165" s="184"/>
      <c r="AF165" s="184"/>
      <c r="AG165" s="184"/>
      <c r="AH165" s="184"/>
      <c r="AI165" s="184"/>
      <c r="AJ165" s="184"/>
      <c r="AK165" s="184"/>
      <c r="AL165" s="184"/>
      <c r="AM165" s="184"/>
      <c r="AN165" s="184"/>
      <c r="AO165" s="184"/>
      <c r="AP165" s="184"/>
      <c r="AQ165" s="184"/>
      <c r="AR165" s="184"/>
      <c r="AS165" s="184"/>
      <c r="AT165" s="184"/>
      <c r="AU165" s="184"/>
      <c r="AV165" s="184"/>
      <c r="AW165" s="184"/>
    </row>
    <row r="166" spans="1:49" ht="12.75" customHeight="1" x14ac:dyDescent="0.25">
      <c r="A166" s="202" t="s">
        <v>237</v>
      </c>
      <c r="B166" s="257" t="s">
        <v>15</v>
      </c>
      <c r="C166" s="274">
        <v>730</v>
      </c>
      <c r="D166" s="141">
        <v>1600</v>
      </c>
      <c r="E166" s="142">
        <f t="shared" si="20"/>
        <v>6</v>
      </c>
      <c r="F166" s="142">
        <f t="shared" si="21"/>
        <v>0</v>
      </c>
      <c r="G166" s="142">
        <f t="shared" si="22"/>
        <v>6</v>
      </c>
      <c r="H166" s="142">
        <f t="shared" si="23"/>
        <v>2</v>
      </c>
      <c r="I166" s="184"/>
      <c r="J166" s="184"/>
      <c r="K166" s="184"/>
      <c r="L166" s="184"/>
      <c r="M166" s="184"/>
      <c r="N166" s="184" t="s">
        <v>126</v>
      </c>
      <c r="O166" s="184" t="s">
        <v>126</v>
      </c>
      <c r="P166" s="184" t="s">
        <v>126</v>
      </c>
      <c r="Q166" s="184" t="s">
        <v>130</v>
      </c>
      <c r="R166" s="184" t="s">
        <v>361</v>
      </c>
      <c r="S166" s="184" t="s">
        <v>130</v>
      </c>
      <c r="T166" s="184" t="s">
        <v>130</v>
      </c>
      <c r="U166" s="184" t="s">
        <v>130</v>
      </c>
      <c r="V166" s="184" t="s">
        <v>126</v>
      </c>
      <c r="W166" s="184" t="s">
        <v>241</v>
      </c>
      <c r="X166" s="184" t="s">
        <v>126</v>
      </c>
      <c r="Y166" s="184" t="s">
        <v>211</v>
      </c>
      <c r="Z166" s="184" t="s">
        <v>211</v>
      </c>
      <c r="AA166" s="184" t="s">
        <v>362</v>
      </c>
      <c r="AB166" s="184" t="s">
        <v>130</v>
      </c>
      <c r="AC166" s="184" t="s">
        <v>130</v>
      </c>
      <c r="AD166" s="184" t="s">
        <v>126</v>
      </c>
      <c r="AE166" s="184"/>
      <c r="AF166" s="184"/>
      <c r="AG166" s="184"/>
      <c r="AH166" s="184"/>
      <c r="AI166" s="184"/>
      <c r="AJ166" s="184"/>
      <c r="AK166" s="184"/>
      <c r="AL166" s="184"/>
      <c r="AM166" s="184"/>
      <c r="AN166" s="184"/>
      <c r="AO166" s="184"/>
      <c r="AP166" s="184"/>
      <c r="AQ166" s="184"/>
      <c r="AR166" s="184"/>
      <c r="AS166" s="184"/>
      <c r="AT166" s="184"/>
      <c r="AU166" s="184"/>
      <c r="AV166" s="184"/>
      <c r="AW166" s="184"/>
    </row>
    <row r="167" spans="1:49" ht="12.75" customHeight="1" x14ac:dyDescent="0.25">
      <c r="A167" s="202" t="s">
        <v>41</v>
      </c>
      <c r="B167" s="257" t="s">
        <v>15</v>
      </c>
      <c r="C167" s="274">
        <v>800</v>
      </c>
      <c r="D167" s="141">
        <v>1630</v>
      </c>
      <c r="E167" s="142">
        <f t="shared" si="20"/>
        <v>7</v>
      </c>
      <c r="F167" s="142">
        <f t="shared" si="21"/>
        <v>0</v>
      </c>
      <c r="G167" s="142">
        <f t="shared" si="22"/>
        <v>5</v>
      </c>
      <c r="H167" s="142">
        <f t="shared" si="23"/>
        <v>2</v>
      </c>
      <c r="I167" s="184"/>
      <c r="J167" s="184"/>
      <c r="K167" s="184"/>
      <c r="L167" s="184"/>
      <c r="M167" s="184"/>
      <c r="N167" s="184"/>
      <c r="O167" s="184" t="s">
        <v>126</v>
      </c>
      <c r="P167" s="184" t="s">
        <v>126</v>
      </c>
      <c r="Q167" s="184" t="s">
        <v>130</v>
      </c>
      <c r="R167" s="184" t="s">
        <v>130</v>
      </c>
      <c r="S167" s="184" t="s">
        <v>247</v>
      </c>
      <c r="T167" s="184" t="s">
        <v>126</v>
      </c>
      <c r="U167" s="184" t="s">
        <v>126</v>
      </c>
      <c r="V167" s="184" t="s">
        <v>126</v>
      </c>
      <c r="W167" s="184" t="s">
        <v>130</v>
      </c>
      <c r="X167" s="184" t="s">
        <v>241</v>
      </c>
      <c r="Y167" s="184" t="s">
        <v>211</v>
      </c>
      <c r="Z167" s="184" t="s">
        <v>211</v>
      </c>
      <c r="AA167" s="184" t="s">
        <v>126</v>
      </c>
      <c r="AB167" s="184" t="s">
        <v>363</v>
      </c>
      <c r="AC167" s="184" t="s">
        <v>130</v>
      </c>
      <c r="AD167" s="184" t="s">
        <v>130</v>
      </c>
      <c r="AE167" s="184" t="s">
        <v>126</v>
      </c>
      <c r="AF167" s="184"/>
      <c r="AG167" s="184"/>
      <c r="AH167" s="184"/>
      <c r="AI167" s="184"/>
      <c r="AJ167" s="184"/>
      <c r="AK167" s="184"/>
      <c r="AL167" s="184"/>
      <c r="AM167" s="184"/>
      <c r="AN167" s="184"/>
      <c r="AO167" s="184"/>
      <c r="AP167" s="184"/>
      <c r="AQ167" s="184"/>
      <c r="AR167" s="184"/>
      <c r="AS167" s="184"/>
      <c r="AT167" s="184"/>
      <c r="AU167" s="184"/>
      <c r="AV167" s="184"/>
      <c r="AW167" s="184"/>
    </row>
    <row r="168" spans="1:49" ht="12.75" customHeight="1" x14ac:dyDescent="0.25">
      <c r="A168" s="201" t="s">
        <v>231</v>
      </c>
      <c r="B168" s="150" t="s">
        <v>15</v>
      </c>
      <c r="C168" s="274">
        <v>900</v>
      </c>
      <c r="D168" s="188">
        <v>1730</v>
      </c>
      <c r="E168" s="142">
        <f t="shared" si="20"/>
        <v>6</v>
      </c>
      <c r="F168" s="142">
        <f t="shared" si="21"/>
        <v>0</v>
      </c>
      <c r="G168" s="142">
        <f t="shared" si="22"/>
        <v>8</v>
      </c>
      <c r="H168" s="142">
        <f t="shared" si="23"/>
        <v>0</v>
      </c>
      <c r="I168" s="184"/>
      <c r="J168" s="184"/>
      <c r="K168" s="184"/>
      <c r="L168" s="184"/>
      <c r="M168" s="184"/>
      <c r="N168" s="184"/>
      <c r="O168" s="184"/>
      <c r="P168" s="184"/>
      <c r="Q168" s="184" t="s">
        <v>126</v>
      </c>
      <c r="R168" s="184" t="s">
        <v>126</v>
      </c>
      <c r="S168" s="184" t="s">
        <v>126</v>
      </c>
      <c r="T168" s="184" t="s">
        <v>240</v>
      </c>
      <c r="U168" s="184" t="s">
        <v>126</v>
      </c>
      <c r="V168" s="184" t="s">
        <v>126</v>
      </c>
      <c r="W168" s="184" t="s">
        <v>130</v>
      </c>
      <c r="X168" s="184" t="s">
        <v>130</v>
      </c>
      <c r="Y168" s="184" t="s">
        <v>241</v>
      </c>
      <c r="Z168" s="184" t="s">
        <v>130</v>
      </c>
      <c r="AA168" s="184" t="s">
        <v>130</v>
      </c>
      <c r="AB168" s="184" t="s">
        <v>130</v>
      </c>
      <c r="AC168" s="184" t="s">
        <v>126</v>
      </c>
      <c r="AD168" s="184" t="s">
        <v>363</v>
      </c>
      <c r="AE168" s="184" t="s">
        <v>130</v>
      </c>
      <c r="AF168" s="184" t="s">
        <v>130</v>
      </c>
      <c r="AG168" s="184" t="s">
        <v>130</v>
      </c>
      <c r="AH168" s="184"/>
      <c r="AI168" s="184"/>
      <c r="AJ168" s="184"/>
      <c r="AK168" s="184"/>
      <c r="AL168" s="184"/>
      <c r="AM168" s="184"/>
      <c r="AN168" s="184"/>
      <c r="AO168" s="184"/>
      <c r="AP168" s="184"/>
      <c r="AQ168" s="184"/>
      <c r="AR168" s="184"/>
      <c r="AS168" s="184"/>
      <c r="AT168" s="184"/>
      <c r="AU168" s="184"/>
      <c r="AV168" s="184"/>
      <c r="AW168" s="184"/>
    </row>
    <row r="169" spans="1:49" ht="12.75" customHeight="1" x14ac:dyDescent="0.25">
      <c r="A169" s="202" t="s">
        <v>69</v>
      </c>
      <c r="B169" s="150" t="s">
        <v>15</v>
      </c>
      <c r="C169" s="55">
        <v>1000</v>
      </c>
      <c r="D169" s="188">
        <v>1900</v>
      </c>
      <c r="E169" s="142">
        <f t="shared" si="20"/>
        <v>7</v>
      </c>
      <c r="F169" s="142">
        <f t="shared" si="21"/>
        <v>0</v>
      </c>
      <c r="G169" s="142">
        <f t="shared" si="22"/>
        <v>5</v>
      </c>
      <c r="H169" s="142">
        <f t="shared" si="23"/>
        <v>2</v>
      </c>
      <c r="I169" s="184"/>
      <c r="J169" s="184"/>
      <c r="K169" s="184"/>
      <c r="L169" s="184"/>
      <c r="M169" s="184"/>
      <c r="N169" s="184"/>
      <c r="O169" s="184"/>
      <c r="P169" s="184"/>
      <c r="Q169" s="184"/>
      <c r="R169" s="184"/>
      <c r="S169" s="184" t="s">
        <v>126</v>
      </c>
      <c r="T169" s="184" t="s">
        <v>126</v>
      </c>
      <c r="U169" s="184" t="s">
        <v>126</v>
      </c>
      <c r="V169" s="184" t="s">
        <v>126</v>
      </c>
      <c r="W169" s="184" t="s">
        <v>240</v>
      </c>
      <c r="X169" s="184" t="s">
        <v>130</v>
      </c>
      <c r="Y169" s="184" t="s">
        <v>130</v>
      </c>
      <c r="Z169" s="184" t="s">
        <v>130</v>
      </c>
      <c r="AA169" s="184" t="s">
        <v>241</v>
      </c>
      <c r="AB169" s="184" t="s">
        <v>241</v>
      </c>
      <c r="AC169" s="184" t="s">
        <v>211</v>
      </c>
      <c r="AD169" s="184" t="s">
        <v>211</v>
      </c>
      <c r="AE169" s="184" t="s">
        <v>126</v>
      </c>
      <c r="AF169" s="184" t="s">
        <v>126</v>
      </c>
      <c r="AG169" s="184" t="s">
        <v>363</v>
      </c>
      <c r="AH169" s="184" t="s">
        <v>130</v>
      </c>
      <c r="AI169" s="184" t="s">
        <v>126</v>
      </c>
      <c r="AJ169" s="184" t="s">
        <v>130</v>
      </c>
      <c r="AK169" s="184"/>
      <c r="AL169" s="184"/>
      <c r="AM169" s="184"/>
      <c r="AN169" s="184"/>
      <c r="AO169" s="184"/>
      <c r="AP169" s="184"/>
      <c r="AQ169" s="184"/>
      <c r="AR169" s="184"/>
      <c r="AS169" s="184"/>
      <c r="AT169" s="184"/>
      <c r="AU169" s="184"/>
      <c r="AV169" s="184"/>
      <c r="AW169" s="184"/>
    </row>
    <row r="170" spans="1:49" ht="12.75" customHeight="1" x14ac:dyDescent="0.25">
      <c r="A170" s="202" t="s">
        <v>67</v>
      </c>
      <c r="B170" s="140" t="s">
        <v>15</v>
      </c>
      <c r="C170" s="55">
        <v>1030</v>
      </c>
      <c r="D170" s="141">
        <v>1900</v>
      </c>
      <c r="E170" s="142">
        <f t="shared" si="20"/>
        <v>7</v>
      </c>
      <c r="F170" s="142">
        <f t="shared" si="21"/>
        <v>0</v>
      </c>
      <c r="G170" s="142">
        <f t="shared" si="22"/>
        <v>5</v>
      </c>
      <c r="H170" s="142">
        <f t="shared" si="23"/>
        <v>2</v>
      </c>
      <c r="I170" s="184"/>
      <c r="J170" s="184"/>
      <c r="K170" s="184"/>
      <c r="L170" s="184"/>
      <c r="M170" s="184"/>
      <c r="N170" s="184"/>
      <c r="O170" s="184"/>
      <c r="P170" s="184"/>
      <c r="Q170" s="184"/>
      <c r="R170" s="184"/>
      <c r="S170" s="184"/>
      <c r="T170" s="184" t="s">
        <v>126</v>
      </c>
      <c r="U170" s="184" t="s">
        <v>126</v>
      </c>
      <c r="V170" s="184" t="s">
        <v>126</v>
      </c>
      <c r="W170" s="184" t="s">
        <v>126</v>
      </c>
      <c r="X170" s="184" t="s">
        <v>247</v>
      </c>
      <c r="Y170" s="184" t="s">
        <v>130</v>
      </c>
      <c r="Z170" s="184" t="s">
        <v>130</v>
      </c>
      <c r="AA170" s="184" t="s">
        <v>126</v>
      </c>
      <c r="AB170" s="184" t="s">
        <v>241</v>
      </c>
      <c r="AC170" s="184" t="s">
        <v>130</v>
      </c>
      <c r="AD170" s="184" t="s">
        <v>126</v>
      </c>
      <c r="AE170" s="184" t="s">
        <v>126</v>
      </c>
      <c r="AF170" s="184" t="s">
        <v>362</v>
      </c>
      <c r="AG170" s="184" t="s">
        <v>130</v>
      </c>
      <c r="AH170" s="184" t="s">
        <v>130</v>
      </c>
      <c r="AI170" s="184" t="s">
        <v>211</v>
      </c>
      <c r="AJ170" s="184" t="s">
        <v>211</v>
      </c>
      <c r="AK170" s="184"/>
      <c r="AL170" s="184"/>
      <c r="AM170" s="184"/>
      <c r="AN170" s="184"/>
      <c r="AO170" s="184"/>
      <c r="AP170" s="184"/>
      <c r="AQ170" s="184"/>
      <c r="AR170" s="184"/>
      <c r="AS170" s="184"/>
      <c r="AT170" s="184"/>
      <c r="AU170" s="184"/>
      <c r="AV170" s="184"/>
      <c r="AW170" s="184"/>
    </row>
    <row r="171" spans="1:49" ht="12.75" customHeight="1" x14ac:dyDescent="0.25">
      <c r="A171" s="201" t="s">
        <v>30</v>
      </c>
      <c r="B171" s="150" t="s">
        <v>15</v>
      </c>
      <c r="C171" s="188">
        <v>1100</v>
      </c>
      <c r="D171" s="188">
        <v>2000</v>
      </c>
      <c r="E171" s="142">
        <f t="shared" si="20"/>
        <v>6</v>
      </c>
      <c r="F171" s="142">
        <f t="shared" si="21"/>
        <v>0</v>
      </c>
      <c r="G171" s="142">
        <f t="shared" si="22"/>
        <v>6</v>
      </c>
      <c r="H171" s="142">
        <f t="shared" si="23"/>
        <v>2</v>
      </c>
      <c r="I171" s="184"/>
      <c r="J171" s="184"/>
      <c r="K171" s="184"/>
      <c r="L171" s="184"/>
      <c r="M171" s="184"/>
      <c r="N171" s="184"/>
      <c r="O171" s="184"/>
      <c r="P171" s="184"/>
      <c r="Q171" s="184"/>
      <c r="R171" s="184"/>
      <c r="S171" s="184"/>
      <c r="T171" s="184"/>
      <c r="U171" s="184" t="s">
        <v>126</v>
      </c>
      <c r="V171" s="184" t="s">
        <v>126</v>
      </c>
      <c r="W171" s="184" t="s">
        <v>130</v>
      </c>
      <c r="X171" s="184" t="s">
        <v>130</v>
      </c>
      <c r="Y171" s="184" t="s">
        <v>364</v>
      </c>
      <c r="Z171" s="184" t="s">
        <v>126</v>
      </c>
      <c r="AA171" s="184" t="s">
        <v>211</v>
      </c>
      <c r="AB171" s="184" t="s">
        <v>211</v>
      </c>
      <c r="AC171" s="184" t="s">
        <v>241</v>
      </c>
      <c r="AD171" s="184" t="s">
        <v>130</v>
      </c>
      <c r="AE171" s="184" t="s">
        <v>130</v>
      </c>
      <c r="AF171" s="184" t="s">
        <v>130</v>
      </c>
      <c r="AG171" s="184" t="s">
        <v>130</v>
      </c>
      <c r="AH171" s="184" t="s">
        <v>248</v>
      </c>
      <c r="AI171" s="184" t="s">
        <v>126</v>
      </c>
      <c r="AJ171" s="184" t="s">
        <v>126</v>
      </c>
      <c r="AK171" s="184" t="s">
        <v>126</v>
      </c>
      <c r="AL171" s="184"/>
      <c r="AM171" s="184"/>
      <c r="AN171" s="184"/>
      <c r="AO171" s="184"/>
      <c r="AP171" s="184"/>
      <c r="AQ171" s="184"/>
      <c r="AR171" s="184"/>
      <c r="AS171" s="184"/>
      <c r="AT171" s="184"/>
      <c r="AU171" s="184"/>
      <c r="AV171" s="184"/>
      <c r="AW171" s="184"/>
    </row>
    <row r="172" spans="1:49" ht="12.75" customHeight="1" x14ac:dyDescent="0.25">
      <c r="A172" s="201" t="s">
        <v>236</v>
      </c>
      <c r="B172" s="257" t="s">
        <v>15</v>
      </c>
      <c r="C172" s="274">
        <v>1130</v>
      </c>
      <c r="D172" s="141">
        <v>2000</v>
      </c>
      <c r="E172" s="142">
        <f t="shared" si="20"/>
        <v>6</v>
      </c>
      <c r="F172" s="142">
        <f t="shared" si="21"/>
        <v>0</v>
      </c>
      <c r="G172" s="142">
        <f t="shared" si="22"/>
        <v>6</v>
      </c>
      <c r="H172" s="142">
        <f t="shared" si="23"/>
        <v>2</v>
      </c>
      <c r="I172" s="184"/>
      <c r="J172" s="184"/>
      <c r="K172" s="184"/>
      <c r="L172" s="184"/>
      <c r="M172" s="184"/>
      <c r="N172" s="184"/>
      <c r="O172" s="184"/>
      <c r="P172" s="184"/>
      <c r="Q172" s="184"/>
      <c r="R172" s="184"/>
      <c r="S172" s="184"/>
      <c r="T172" s="184"/>
      <c r="U172" s="184"/>
      <c r="V172" s="184" t="s">
        <v>130</v>
      </c>
      <c r="W172" s="184" t="s">
        <v>130</v>
      </c>
      <c r="X172" s="184" t="s">
        <v>126</v>
      </c>
      <c r="Y172" s="184" t="s">
        <v>240</v>
      </c>
      <c r="Z172" s="184" t="s">
        <v>130</v>
      </c>
      <c r="AA172" s="184" t="s">
        <v>130</v>
      </c>
      <c r="AB172" s="184" t="s">
        <v>126</v>
      </c>
      <c r="AC172" s="184" t="s">
        <v>126</v>
      </c>
      <c r="AD172" s="184" t="s">
        <v>241</v>
      </c>
      <c r="AE172" s="184" t="s">
        <v>211</v>
      </c>
      <c r="AF172" s="184" t="s">
        <v>211</v>
      </c>
      <c r="AG172" s="184" t="s">
        <v>126</v>
      </c>
      <c r="AH172" s="184" t="s">
        <v>126</v>
      </c>
      <c r="AI172" s="184" t="s">
        <v>363</v>
      </c>
      <c r="AJ172" s="184" t="s">
        <v>130</v>
      </c>
      <c r="AK172" s="184" t="s">
        <v>130</v>
      </c>
      <c r="AL172" s="184" t="s">
        <v>126</v>
      </c>
      <c r="AM172" s="184"/>
      <c r="AN172" s="184"/>
      <c r="AO172" s="184"/>
      <c r="AP172" s="184"/>
      <c r="AQ172" s="184"/>
      <c r="AR172" s="184"/>
      <c r="AS172" s="184"/>
      <c r="AT172" s="184"/>
      <c r="AU172" s="184"/>
      <c r="AV172" s="184"/>
      <c r="AW172" s="184"/>
    </row>
    <row r="173" spans="1:49" ht="12.75" customHeight="1" x14ac:dyDescent="0.25">
      <c r="A173" s="202" t="s">
        <v>414</v>
      </c>
      <c r="B173" s="257" t="s">
        <v>15</v>
      </c>
      <c r="C173" s="274">
        <v>1130</v>
      </c>
      <c r="D173" s="141">
        <v>1930</v>
      </c>
      <c r="E173" s="142">
        <f t="shared" si="20"/>
        <v>7</v>
      </c>
      <c r="F173" s="142">
        <f t="shared" si="21"/>
        <v>0</v>
      </c>
      <c r="G173" s="142">
        <f t="shared" si="22"/>
        <v>7</v>
      </c>
      <c r="H173" s="142">
        <f t="shared" si="23"/>
        <v>0</v>
      </c>
      <c r="I173" s="184"/>
      <c r="J173" s="184"/>
      <c r="K173" s="184"/>
      <c r="L173" s="184"/>
      <c r="M173" s="184"/>
      <c r="N173" s="184"/>
      <c r="O173" s="184"/>
      <c r="P173" s="184"/>
      <c r="Q173" s="184"/>
      <c r="R173" s="184"/>
      <c r="S173" s="184"/>
      <c r="T173" s="184"/>
      <c r="U173" s="184"/>
      <c r="V173" s="184" t="s">
        <v>130</v>
      </c>
      <c r="W173" s="184" t="s">
        <v>130</v>
      </c>
      <c r="X173" s="184" t="s">
        <v>130</v>
      </c>
      <c r="Y173" s="184" t="s">
        <v>130</v>
      </c>
      <c r="Z173" s="184" t="s">
        <v>364</v>
      </c>
      <c r="AA173" s="184" t="s">
        <v>126</v>
      </c>
      <c r="AB173" s="184" t="s">
        <v>126</v>
      </c>
      <c r="AC173" s="184" t="s">
        <v>126</v>
      </c>
      <c r="AD173" s="184" t="s">
        <v>126</v>
      </c>
      <c r="AE173" s="184" t="s">
        <v>241</v>
      </c>
      <c r="AF173" s="184" t="s">
        <v>126</v>
      </c>
      <c r="AG173" s="184" t="s">
        <v>130</v>
      </c>
      <c r="AH173" s="184" t="s">
        <v>130</v>
      </c>
      <c r="AI173" s="184" t="s">
        <v>362</v>
      </c>
      <c r="AJ173" s="184" t="s">
        <v>130</v>
      </c>
      <c r="AK173" s="184" t="s">
        <v>126</v>
      </c>
      <c r="AL173" s="184" t="s">
        <v>126</v>
      </c>
      <c r="AM173" s="184"/>
      <c r="AN173" s="184"/>
      <c r="AO173" s="184"/>
      <c r="AP173" s="184"/>
      <c r="AQ173" s="184"/>
      <c r="AR173" s="184"/>
      <c r="AS173" s="184"/>
      <c r="AT173" s="184"/>
      <c r="AU173" s="184"/>
      <c r="AV173" s="184"/>
      <c r="AW173" s="184"/>
    </row>
    <row r="174" spans="1:49" ht="12.75" customHeight="1" x14ac:dyDescent="0.25">
      <c r="A174" s="202" t="s">
        <v>238</v>
      </c>
      <c r="B174" s="257" t="s">
        <v>15</v>
      </c>
      <c r="C174" s="274">
        <v>1230</v>
      </c>
      <c r="D174" s="141">
        <v>2100</v>
      </c>
      <c r="E174" s="142">
        <f t="shared" si="20"/>
        <v>5</v>
      </c>
      <c r="F174" s="142">
        <f t="shared" si="21"/>
        <v>0</v>
      </c>
      <c r="G174" s="142">
        <f t="shared" si="22"/>
        <v>5</v>
      </c>
      <c r="H174" s="142">
        <f t="shared" si="23"/>
        <v>2</v>
      </c>
      <c r="I174" s="184"/>
      <c r="J174" s="184"/>
      <c r="K174" s="184"/>
      <c r="L174" s="184"/>
      <c r="M174" s="184"/>
      <c r="N174" s="184"/>
      <c r="O174" s="184"/>
      <c r="P174" s="184"/>
      <c r="Q174" s="184"/>
      <c r="R174" s="184"/>
      <c r="S174" s="184"/>
      <c r="T174" s="184"/>
      <c r="U174" s="184"/>
      <c r="V174" s="184"/>
      <c r="W174" s="184"/>
      <c r="X174" s="184" t="s">
        <v>126</v>
      </c>
      <c r="Y174" s="184" t="s">
        <v>431</v>
      </c>
      <c r="Z174" s="184" t="s">
        <v>431</v>
      </c>
      <c r="AA174" s="184" t="s">
        <v>361</v>
      </c>
      <c r="AB174" s="184" t="s">
        <v>130</v>
      </c>
      <c r="AC174" s="184" t="s">
        <v>130</v>
      </c>
      <c r="AD174" s="184" t="s">
        <v>130</v>
      </c>
      <c r="AE174" s="184" t="s">
        <v>130</v>
      </c>
      <c r="AF174" s="184" t="s">
        <v>241</v>
      </c>
      <c r="AG174" s="184" t="s">
        <v>130</v>
      </c>
      <c r="AH174" s="184" t="s">
        <v>126</v>
      </c>
      <c r="AI174" s="184" t="s">
        <v>126</v>
      </c>
      <c r="AJ174" s="184" t="s">
        <v>242</v>
      </c>
      <c r="AK174" s="184" t="s">
        <v>211</v>
      </c>
      <c r="AL174" s="184" t="s">
        <v>211</v>
      </c>
      <c r="AM174" s="184" t="s">
        <v>126</v>
      </c>
      <c r="AN174" s="184" t="s">
        <v>126</v>
      </c>
      <c r="AO174" s="184"/>
      <c r="AP174" s="184"/>
      <c r="AQ174" s="184"/>
      <c r="AR174" s="184"/>
      <c r="AS174" s="184"/>
      <c r="AT174" s="184"/>
      <c r="AU174" s="184"/>
      <c r="AV174" s="184"/>
      <c r="AW174" s="184"/>
    </row>
    <row r="175" spans="1:49" ht="12.75" customHeight="1" x14ac:dyDescent="0.25">
      <c r="A175" s="202" t="s">
        <v>29</v>
      </c>
      <c r="B175" s="257" t="s">
        <v>15</v>
      </c>
      <c r="C175" s="274">
        <v>1300</v>
      </c>
      <c r="D175" s="141">
        <v>2130</v>
      </c>
      <c r="E175" s="142">
        <f t="shared" si="20"/>
        <v>10</v>
      </c>
      <c r="F175" s="142">
        <f t="shared" si="21"/>
        <v>0</v>
      </c>
      <c r="G175" s="142">
        <f t="shared" si="22"/>
        <v>4</v>
      </c>
      <c r="H175" s="142">
        <f t="shared" si="23"/>
        <v>0</v>
      </c>
      <c r="I175" s="184"/>
      <c r="J175" s="184"/>
      <c r="K175" s="184"/>
      <c r="L175" s="184"/>
      <c r="M175" s="184"/>
      <c r="N175" s="184"/>
      <c r="O175" s="184"/>
      <c r="P175" s="184"/>
      <c r="Q175" s="184"/>
      <c r="R175" s="184"/>
      <c r="S175" s="184"/>
      <c r="T175" s="184"/>
      <c r="U175" s="184"/>
      <c r="V175" s="184"/>
      <c r="W175" s="184"/>
      <c r="X175" s="184"/>
      <c r="Y175" s="184" t="s">
        <v>126</v>
      </c>
      <c r="Z175" s="184" t="s">
        <v>126</v>
      </c>
      <c r="AA175" s="184" t="s">
        <v>130</v>
      </c>
      <c r="AB175" s="184" t="s">
        <v>130</v>
      </c>
      <c r="AC175" s="184" t="s">
        <v>361</v>
      </c>
      <c r="AD175" s="184" t="s">
        <v>130</v>
      </c>
      <c r="AE175" s="184" t="s">
        <v>130</v>
      </c>
      <c r="AF175" s="184" t="s">
        <v>126</v>
      </c>
      <c r="AG175" s="184" t="s">
        <v>241</v>
      </c>
      <c r="AH175" s="184" t="s">
        <v>126</v>
      </c>
      <c r="AI175" s="184" t="s">
        <v>126</v>
      </c>
      <c r="AJ175" s="184" t="s">
        <v>126</v>
      </c>
      <c r="AK175" s="184" t="s">
        <v>126</v>
      </c>
      <c r="AL175" s="184" t="s">
        <v>126</v>
      </c>
      <c r="AM175" s="184" t="s">
        <v>248</v>
      </c>
      <c r="AN175" s="184" t="s">
        <v>126</v>
      </c>
      <c r="AO175" s="184" t="s">
        <v>126</v>
      </c>
      <c r="AP175" s="184"/>
      <c r="AQ175" s="184"/>
      <c r="AR175" s="184"/>
      <c r="AS175" s="184"/>
      <c r="AT175" s="184"/>
      <c r="AU175" s="184"/>
      <c r="AV175" s="184"/>
      <c r="AW175" s="184"/>
    </row>
    <row r="176" spans="1:49" ht="12.75" customHeight="1" x14ac:dyDescent="0.25">
      <c r="A176" s="201" t="s">
        <v>586</v>
      </c>
      <c r="B176" s="257" t="s">
        <v>15</v>
      </c>
      <c r="C176" s="274">
        <v>1330</v>
      </c>
      <c r="D176" s="141">
        <v>2200</v>
      </c>
      <c r="E176" s="142">
        <f t="shared" si="20"/>
        <v>7</v>
      </c>
      <c r="F176" s="142">
        <f t="shared" si="21"/>
        <v>0</v>
      </c>
      <c r="G176" s="142">
        <f t="shared" si="22"/>
        <v>7</v>
      </c>
      <c r="H176" s="142">
        <f t="shared" si="23"/>
        <v>0</v>
      </c>
      <c r="I176" s="184"/>
      <c r="J176" s="184"/>
      <c r="K176" s="184"/>
      <c r="L176" s="184"/>
      <c r="M176" s="184"/>
      <c r="N176" s="184"/>
      <c r="O176" s="184"/>
      <c r="P176" s="184"/>
      <c r="Q176" s="184"/>
      <c r="R176" s="184"/>
      <c r="S176" s="184"/>
      <c r="T176" s="184"/>
      <c r="U176" s="184"/>
      <c r="V176" s="184"/>
      <c r="W176" s="184"/>
      <c r="X176" s="184"/>
      <c r="Y176" s="184"/>
      <c r="Z176" s="184" t="s">
        <v>126</v>
      </c>
      <c r="AA176" s="184" t="s">
        <v>126</v>
      </c>
      <c r="AB176" s="184" t="s">
        <v>126</v>
      </c>
      <c r="AC176" s="184" t="s">
        <v>126</v>
      </c>
      <c r="AD176" s="184" t="s">
        <v>361</v>
      </c>
      <c r="AE176" s="184" t="s">
        <v>130</v>
      </c>
      <c r="AF176" s="184" t="s">
        <v>130</v>
      </c>
      <c r="AG176" s="184" t="s">
        <v>130</v>
      </c>
      <c r="AH176" s="184" t="s">
        <v>130</v>
      </c>
      <c r="AI176" s="184" t="s">
        <v>241</v>
      </c>
      <c r="AJ176" s="184" t="s">
        <v>126</v>
      </c>
      <c r="AK176" s="184" t="s">
        <v>126</v>
      </c>
      <c r="AL176" s="184" t="s">
        <v>126</v>
      </c>
      <c r="AM176" s="184" t="s">
        <v>242</v>
      </c>
      <c r="AN176" s="184" t="s">
        <v>130</v>
      </c>
      <c r="AO176" s="184" t="s">
        <v>130</v>
      </c>
      <c r="AP176" s="184" t="s">
        <v>130</v>
      </c>
      <c r="AQ176" s="184"/>
      <c r="AR176" s="184"/>
      <c r="AS176" s="184"/>
      <c r="AT176" s="184"/>
      <c r="AU176" s="184"/>
      <c r="AV176" s="184"/>
      <c r="AW176" s="184"/>
    </row>
    <row r="177" spans="1:49" ht="12.75" customHeight="1" x14ac:dyDescent="0.25">
      <c r="A177" s="201" t="s">
        <v>235</v>
      </c>
      <c r="B177" s="257" t="s">
        <v>15</v>
      </c>
      <c r="C177" s="274">
        <v>1530</v>
      </c>
      <c r="D177" s="141">
        <v>0</v>
      </c>
      <c r="E177" s="142">
        <f t="shared" si="20"/>
        <v>8</v>
      </c>
      <c r="F177" s="142">
        <f t="shared" si="21"/>
        <v>0</v>
      </c>
      <c r="G177" s="142">
        <f t="shared" si="22"/>
        <v>4</v>
      </c>
      <c r="H177" s="142">
        <f t="shared" si="23"/>
        <v>0</v>
      </c>
      <c r="I177" s="184"/>
      <c r="J177" s="184"/>
      <c r="K177" s="184"/>
      <c r="L177" s="184"/>
      <c r="M177" s="184"/>
      <c r="N177" s="184"/>
      <c r="O177" s="184"/>
      <c r="P177" s="184"/>
      <c r="Q177" s="184"/>
      <c r="R177" s="184"/>
      <c r="S177" s="184"/>
      <c r="T177" s="184"/>
      <c r="U177" s="184"/>
      <c r="V177" s="184"/>
      <c r="W177" s="184"/>
      <c r="X177" s="184"/>
      <c r="Y177" s="184"/>
      <c r="Z177" s="184"/>
      <c r="AA177" s="184"/>
      <c r="AB177" s="184"/>
      <c r="AC177" s="184"/>
      <c r="AD177" s="184" t="s">
        <v>130</v>
      </c>
      <c r="AE177" s="184" t="s">
        <v>130</v>
      </c>
      <c r="AF177" s="184" t="s">
        <v>130</v>
      </c>
      <c r="AG177" s="184" t="s">
        <v>130</v>
      </c>
      <c r="AH177" s="184" t="s">
        <v>361</v>
      </c>
      <c r="AI177" s="184" t="s">
        <v>431</v>
      </c>
      <c r="AJ177" s="184" t="s">
        <v>431</v>
      </c>
      <c r="AK177" s="184" t="s">
        <v>126</v>
      </c>
      <c r="AL177" s="184" t="s">
        <v>241</v>
      </c>
      <c r="AM177" s="184" t="s">
        <v>126</v>
      </c>
      <c r="AN177" s="184" t="s">
        <v>126</v>
      </c>
      <c r="AO177" s="184" t="s">
        <v>126</v>
      </c>
      <c r="AP177" s="184" t="s">
        <v>126</v>
      </c>
      <c r="AQ177" s="184" t="s">
        <v>242</v>
      </c>
      <c r="AR177" s="184" t="s">
        <v>126</v>
      </c>
      <c r="AS177" s="184" t="s">
        <v>126</v>
      </c>
      <c r="AT177" s="184" t="s">
        <v>126</v>
      </c>
      <c r="AU177" s="184"/>
      <c r="AV177" s="184"/>
      <c r="AW177" s="184"/>
    </row>
    <row r="178" spans="1:49" ht="12.75" customHeight="1" x14ac:dyDescent="0.25">
      <c r="A178" s="201" t="s">
        <v>232</v>
      </c>
      <c r="B178" s="257" t="s">
        <v>15</v>
      </c>
      <c r="C178" s="274">
        <v>1600</v>
      </c>
      <c r="D178" s="141">
        <v>100</v>
      </c>
      <c r="E178" s="142">
        <f t="shared" si="20"/>
        <v>10</v>
      </c>
      <c r="F178" s="142">
        <f t="shared" si="21"/>
        <v>0</v>
      </c>
      <c r="G178" s="142">
        <f t="shared" si="22"/>
        <v>4</v>
      </c>
      <c r="H178" s="142">
        <f t="shared" si="23"/>
        <v>0</v>
      </c>
      <c r="I178" s="184"/>
      <c r="J178" s="184"/>
      <c r="K178" s="184"/>
      <c r="L178" s="184"/>
      <c r="M178" s="184"/>
      <c r="N178" s="184"/>
      <c r="O178" s="184"/>
      <c r="P178" s="184"/>
      <c r="Q178" s="184"/>
      <c r="R178" s="184"/>
      <c r="S178" s="184"/>
      <c r="T178" s="184"/>
      <c r="U178" s="184"/>
      <c r="V178" s="184"/>
      <c r="W178" s="184"/>
      <c r="X178" s="184"/>
      <c r="Y178" s="184"/>
      <c r="Z178" s="184"/>
      <c r="AA178" s="184"/>
      <c r="AB178" s="184"/>
      <c r="AC178" s="184"/>
      <c r="AD178" s="184"/>
      <c r="AE178" s="184" t="s">
        <v>130</v>
      </c>
      <c r="AF178" s="184" t="s">
        <v>126</v>
      </c>
      <c r="AG178" s="184" t="s">
        <v>126</v>
      </c>
      <c r="AH178" s="184" t="s">
        <v>240</v>
      </c>
      <c r="AI178" s="184" t="s">
        <v>130</v>
      </c>
      <c r="AJ178" s="184" t="s">
        <v>126</v>
      </c>
      <c r="AK178" s="184" t="s">
        <v>130</v>
      </c>
      <c r="AL178" s="184" t="s">
        <v>130</v>
      </c>
      <c r="AM178" s="184" t="s">
        <v>241</v>
      </c>
      <c r="AN178" s="184" t="s">
        <v>241</v>
      </c>
      <c r="AO178" s="184" t="s">
        <v>126</v>
      </c>
      <c r="AP178" s="184" t="s">
        <v>126</v>
      </c>
      <c r="AQ178" s="184" t="s">
        <v>126</v>
      </c>
      <c r="AR178" s="184" t="s">
        <v>126</v>
      </c>
      <c r="AS178" s="184" t="s">
        <v>248</v>
      </c>
      <c r="AT178" s="184" t="s">
        <v>126</v>
      </c>
      <c r="AU178" s="184" t="s">
        <v>126</v>
      </c>
      <c r="AV178" s="184" t="s">
        <v>126</v>
      </c>
      <c r="AW178" s="184"/>
    </row>
    <row r="179" spans="1:49" ht="12.75" customHeight="1" x14ac:dyDescent="0.25">
      <c r="A179" s="201" t="s">
        <v>229</v>
      </c>
      <c r="B179" s="150" t="s">
        <v>15</v>
      </c>
      <c r="C179" s="55">
        <v>1630</v>
      </c>
      <c r="D179" s="141">
        <v>100</v>
      </c>
      <c r="E179" s="142">
        <f t="shared" si="20"/>
        <v>8</v>
      </c>
      <c r="F179" s="142">
        <f t="shared" si="21"/>
        <v>0</v>
      </c>
      <c r="G179" s="142">
        <f t="shared" si="22"/>
        <v>2</v>
      </c>
      <c r="H179" s="142">
        <f t="shared" si="23"/>
        <v>2</v>
      </c>
      <c r="I179" s="184"/>
      <c r="J179" s="184"/>
      <c r="K179" s="184"/>
      <c r="L179" s="184"/>
      <c r="M179" s="184"/>
      <c r="N179" s="184"/>
      <c r="O179" s="184"/>
      <c r="P179" s="184"/>
      <c r="Q179" s="184"/>
      <c r="R179" s="184"/>
      <c r="S179" s="184"/>
      <c r="T179" s="184"/>
      <c r="U179" s="184"/>
      <c r="V179" s="184"/>
      <c r="W179" s="184"/>
      <c r="X179" s="184"/>
      <c r="Y179" s="184"/>
      <c r="Z179" s="184"/>
      <c r="AA179" s="184"/>
      <c r="AB179" s="184"/>
      <c r="AC179" s="184"/>
      <c r="AD179" s="184"/>
      <c r="AE179" s="184"/>
      <c r="AF179" s="184" t="s">
        <v>126</v>
      </c>
      <c r="AG179" s="184" t="s">
        <v>211</v>
      </c>
      <c r="AH179" s="184" t="s">
        <v>211</v>
      </c>
      <c r="AI179" s="184" t="s">
        <v>130</v>
      </c>
      <c r="AJ179" s="184" t="s">
        <v>361</v>
      </c>
      <c r="AK179" s="184" t="s">
        <v>130</v>
      </c>
      <c r="AL179" s="184" t="s">
        <v>126</v>
      </c>
      <c r="AM179" s="184" t="s">
        <v>241</v>
      </c>
      <c r="AN179" s="184" t="s">
        <v>431</v>
      </c>
      <c r="AO179" s="184" t="s">
        <v>431</v>
      </c>
      <c r="AP179" s="184" t="s">
        <v>126</v>
      </c>
      <c r="AQ179" s="184" t="s">
        <v>126</v>
      </c>
      <c r="AR179" s="184" t="s">
        <v>248</v>
      </c>
      <c r="AS179" s="184" t="s">
        <v>126</v>
      </c>
      <c r="AT179" s="184" t="s">
        <v>126</v>
      </c>
      <c r="AU179" s="184" t="s">
        <v>126</v>
      </c>
      <c r="AV179" s="184" t="s">
        <v>126</v>
      </c>
      <c r="AW179" s="184"/>
    </row>
    <row r="180" spans="1:49" ht="12.75" customHeight="1" x14ac:dyDescent="0.25">
      <c r="A180" s="202" t="s">
        <v>46</v>
      </c>
      <c r="B180" s="257" t="s">
        <v>13</v>
      </c>
      <c r="C180" s="274">
        <v>500</v>
      </c>
      <c r="D180" s="141">
        <v>1400</v>
      </c>
      <c r="E180" s="142">
        <f t="shared" si="20"/>
        <v>0</v>
      </c>
      <c r="F180" s="142">
        <f t="shared" si="21"/>
        <v>4</v>
      </c>
      <c r="G180" s="142">
        <f t="shared" si="22"/>
        <v>0</v>
      </c>
      <c r="H180" s="142">
        <f t="shared" si="23"/>
        <v>0</v>
      </c>
      <c r="I180" s="184" t="s">
        <v>224</v>
      </c>
      <c r="J180" s="184" t="s">
        <v>224</v>
      </c>
      <c r="K180" s="184" t="s">
        <v>224</v>
      </c>
      <c r="L180" s="184" t="s">
        <v>224</v>
      </c>
      <c r="M180" s="184" t="s">
        <v>223</v>
      </c>
      <c r="N180" s="184" t="s">
        <v>223</v>
      </c>
      <c r="O180" s="184" t="s">
        <v>223</v>
      </c>
      <c r="P180" s="184" t="s">
        <v>223</v>
      </c>
      <c r="Q180" s="184" t="s">
        <v>224</v>
      </c>
      <c r="R180" s="184" t="s">
        <v>224</v>
      </c>
      <c r="S180" s="184" t="s">
        <v>437</v>
      </c>
      <c r="T180" s="184" t="s">
        <v>437</v>
      </c>
      <c r="U180" s="184" t="s">
        <v>224</v>
      </c>
      <c r="V180" s="184" t="s">
        <v>224</v>
      </c>
      <c r="W180" s="184" t="s">
        <v>224</v>
      </c>
      <c r="X180" s="184" t="s">
        <v>224</v>
      </c>
      <c r="Y180" s="184" t="s">
        <v>224</v>
      </c>
      <c r="Z180" s="184" t="s">
        <v>224</v>
      </c>
      <c r="AA180" s="184"/>
      <c r="AB180" s="184"/>
      <c r="AC180" s="184"/>
      <c r="AD180" s="184"/>
      <c r="AE180" s="184"/>
      <c r="AF180" s="184"/>
      <c r="AG180" s="184"/>
      <c r="AH180" s="184"/>
      <c r="AI180" s="184"/>
      <c r="AJ180" s="184"/>
      <c r="AK180" s="184"/>
      <c r="AL180" s="184"/>
      <c r="AM180" s="184"/>
      <c r="AN180" s="184"/>
      <c r="AO180" s="184"/>
      <c r="AP180" s="184"/>
      <c r="AQ180" s="184"/>
      <c r="AR180" s="184"/>
      <c r="AS180" s="184"/>
      <c r="AT180" s="184"/>
      <c r="AU180" s="184"/>
      <c r="AV180" s="184"/>
      <c r="AW180" s="184"/>
    </row>
    <row r="181" spans="1:49" ht="12.75" customHeight="1" x14ac:dyDescent="0.25">
      <c r="A181" s="375" t="s">
        <v>25</v>
      </c>
      <c r="B181" s="150" t="s">
        <v>13</v>
      </c>
      <c r="C181" s="274">
        <v>500</v>
      </c>
      <c r="D181" s="141">
        <v>1400</v>
      </c>
      <c r="E181" s="142">
        <f t="shared" si="20"/>
        <v>0</v>
      </c>
      <c r="F181" s="142">
        <f t="shared" si="21"/>
        <v>4</v>
      </c>
      <c r="G181" s="142">
        <f t="shared" si="22"/>
        <v>0</v>
      </c>
      <c r="H181" s="142">
        <f t="shared" si="23"/>
        <v>0</v>
      </c>
      <c r="I181" s="184" t="s">
        <v>224</v>
      </c>
      <c r="J181" s="184" t="s">
        <v>224</v>
      </c>
      <c r="K181" s="184" t="s">
        <v>224</v>
      </c>
      <c r="L181" s="184" t="s">
        <v>224</v>
      </c>
      <c r="M181" s="184" t="s">
        <v>224</v>
      </c>
      <c r="N181" s="184" t="s">
        <v>224</v>
      </c>
      <c r="O181" s="184" t="s">
        <v>437</v>
      </c>
      <c r="P181" s="184" t="s">
        <v>437</v>
      </c>
      <c r="Q181" s="184" t="s">
        <v>224</v>
      </c>
      <c r="R181" s="184" t="s">
        <v>224</v>
      </c>
      <c r="S181" s="184" t="s">
        <v>224</v>
      </c>
      <c r="T181" s="184" t="s">
        <v>224</v>
      </c>
      <c r="U181" s="184" t="s">
        <v>223</v>
      </c>
      <c r="V181" s="184" t="s">
        <v>223</v>
      </c>
      <c r="W181" s="184" t="s">
        <v>223</v>
      </c>
      <c r="X181" s="184" t="s">
        <v>223</v>
      </c>
      <c r="Y181" s="184" t="s">
        <v>438</v>
      </c>
      <c r="Z181" s="184" t="s">
        <v>438</v>
      </c>
      <c r="AA181" s="184"/>
      <c r="AB181" s="184"/>
      <c r="AC181" s="184"/>
      <c r="AD181" s="184"/>
      <c r="AE181" s="184"/>
      <c r="AF181" s="184"/>
      <c r="AG181" s="184"/>
      <c r="AH181" s="184"/>
      <c r="AI181" s="184"/>
      <c r="AJ181" s="184"/>
      <c r="AK181" s="184"/>
      <c r="AL181" s="184"/>
      <c r="AM181" s="184"/>
      <c r="AN181" s="184"/>
      <c r="AO181" s="184"/>
      <c r="AP181" s="184"/>
      <c r="AQ181" s="184"/>
      <c r="AR181" s="184"/>
      <c r="AS181" s="184"/>
      <c r="AT181" s="184"/>
      <c r="AU181" s="184"/>
      <c r="AV181" s="184"/>
      <c r="AW181" s="184"/>
    </row>
    <row r="182" spans="1:49" ht="12.75" customHeight="1" x14ac:dyDescent="0.25">
      <c r="A182" s="201"/>
      <c r="B182" s="150"/>
      <c r="C182" s="141"/>
      <c r="D182" s="188"/>
      <c r="E182" s="142"/>
      <c r="F182" s="142"/>
      <c r="G182" s="142"/>
      <c r="H182" s="142"/>
      <c r="I182" s="184"/>
      <c r="J182" s="184"/>
      <c r="K182" s="184"/>
      <c r="L182" s="184"/>
      <c r="M182" s="184"/>
      <c r="N182" s="184"/>
      <c r="O182" s="184"/>
      <c r="P182" s="184"/>
      <c r="Q182" s="184"/>
      <c r="R182" s="184"/>
      <c r="S182" s="184"/>
      <c r="T182" s="184"/>
      <c r="U182" s="184"/>
      <c r="V182" s="184"/>
      <c r="W182" s="184"/>
      <c r="X182" s="184"/>
      <c r="Y182" s="184"/>
      <c r="Z182" s="184"/>
      <c r="AA182" s="184"/>
      <c r="AB182" s="184"/>
      <c r="AC182" s="184"/>
      <c r="AD182" s="184"/>
      <c r="AE182" s="184"/>
      <c r="AF182" s="184"/>
      <c r="AG182" s="184"/>
      <c r="AH182" s="184"/>
      <c r="AI182" s="184"/>
      <c r="AJ182" s="184"/>
      <c r="AK182" s="184"/>
      <c r="AL182" s="184"/>
      <c r="AM182" s="184"/>
      <c r="AN182" s="184"/>
      <c r="AO182" s="184"/>
      <c r="AP182" s="184"/>
      <c r="AQ182" s="184"/>
      <c r="AR182" s="184"/>
      <c r="AS182" s="184"/>
      <c r="AT182" s="184"/>
      <c r="AU182" s="184"/>
      <c r="AV182" s="184"/>
      <c r="AW182" s="184"/>
    </row>
    <row r="183" spans="1:49" ht="12.75" customHeight="1" x14ac:dyDescent="0.25">
      <c r="A183" s="375" t="s">
        <v>20</v>
      </c>
      <c r="B183" s="140" t="s">
        <v>13</v>
      </c>
      <c r="C183" s="141">
        <v>600</v>
      </c>
      <c r="D183" s="141">
        <v>1500</v>
      </c>
      <c r="E183" s="142">
        <f t="shared" si="20"/>
        <v>0</v>
      </c>
      <c r="F183" s="142">
        <f t="shared" si="21"/>
        <v>4</v>
      </c>
      <c r="G183" s="142">
        <f t="shared" si="22"/>
        <v>0</v>
      </c>
      <c r="H183" s="142">
        <f t="shared" si="23"/>
        <v>0</v>
      </c>
      <c r="I183" s="184"/>
      <c r="J183" s="184"/>
      <c r="K183" s="184" t="s">
        <v>224</v>
      </c>
      <c r="L183" s="184" t="s">
        <v>223</v>
      </c>
      <c r="M183" s="184" t="s">
        <v>223</v>
      </c>
      <c r="N183" s="184" t="s">
        <v>223</v>
      </c>
      <c r="O183" s="184" t="s">
        <v>223</v>
      </c>
      <c r="P183" s="184" t="s">
        <v>224</v>
      </c>
      <c r="Q183" s="184" t="s">
        <v>224</v>
      </c>
      <c r="R183" s="184" t="s">
        <v>495</v>
      </c>
      <c r="S183" s="184" t="s">
        <v>505</v>
      </c>
      <c r="T183" s="184" t="s">
        <v>505</v>
      </c>
      <c r="U183" s="184" t="s">
        <v>224</v>
      </c>
      <c r="V183" s="184" t="s">
        <v>224</v>
      </c>
      <c r="W183" s="184" t="s">
        <v>224</v>
      </c>
      <c r="X183" s="184" t="s">
        <v>224</v>
      </c>
      <c r="Y183" s="184" t="s">
        <v>438</v>
      </c>
      <c r="Z183" s="184" t="s">
        <v>438</v>
      </c>
      <c r="AA183" s="184" t="s">
        <v>224</v>
      </c>
      <c r="AB183" s="184" t="s">
        <v>224</v>
      </c>
      <c r="AC183" s="184"/>
      <c r="AD183" s="184"/>
      <c r="AE183" s="184"/>
      <c r="AF183" s="184"/>
      <c r="AG183" s="184"/>
      <c r="AH183" s="184"/>
      <c r="AI183" s="184"/>
      <c r="AJ183" s="184"/>
      <c r="AK183" s="184"/>
      <c r="AL183" s="184"/>
      <c r="AM183" s="184"/>
      <c r="AN183" s="184"/>
      <c r="AO183" s="184"/>
      <c r="AP183" s="184"/>
      <c r="AQ183" s="184"/>
      <c r="AR183" s="184"/>
      <c r="AS183" s="184"/>
      <c r="AT183" s="184"/>
      <c r="AU183" s="184"/>
      <c r="AV183" s="184"/>
      <c r="AW183" s="184"/>
    </row>
    <row r="184" spans="1:49" ht="12.75" customHeight="1" x14ac:dyDescent="0.25">
      <c r="A184" s="375" t="s">
        <v>39</v>
      </c>
      <c r="B184" s="257" t="s">
        <v>13</v>
      </c>
      <c r="C184" s="141">
        <v>630</v>
      </c>
      <c r="D184" s="141">
        <v>1530</v>
      </c>
      <c r="E184" s="142">
        <f t="shared" si="20"/>
        <v>0</v>
      </c>
      <c r="F184" s="142">
        <f t="shared" si="21"/>
        <v>3</v>
      </c>
      <c r="G184" s="142">
        <f t="shared" si="22"/>
        <v>0</v>
      </c>
      <c r="H184" s="142">
        <f t="shared" si="23"/>
        <v>0</v>
      </c>
      <c r="I184" s="184"/>
      <c r="J184" s="184"/>
      <c r="K184" s="184"/>
      <c r="L184" s="184" t="s">
        <v>224</v>
      </c>
      <c r="M184" s="184" t="s">
        <v>224</v>
      </c>
      <c r="N184" s="184" t="s">
        <v>224</v>
      </c>
      <c r="O184" s="184" t="s">
        <v>224</v>
      </c>
      <c r="P184" s="184" t="s">
        <v>224</v>
      </c>
      <c r="Q184" s="184" t="s">
        <v>223</v>
      </c>
      <c r="R184" s="184" t="s">
        <v>223</v>
      </c>
      <c r="S184" s="184" t="s">
        <v>223</v>
      </c>
      <c r="T184" s="184" t="s">
        <v>224</v>
      </c>
      <c r="U184" s="184" t="s">
        <v>224</v>
      </c>
      <c r="V184" s="184" t="s">
        <v>224</v>
      </c>
      <c r="W184" s="184" t="s">
        <v>224</v>
      </c>
      <c r="X184" s="184" t="s">
        <v>224</v>
      </c>
      <c r="Y184" s="184" t="s">
        <v>438</v>
      </c>
      <c r="Z184" s="184" t="s">
        <v>438</v>
      </c>
      <c r="AA184" s="184" t="s">
        <v>224</v>
      </c>
      <c r="AB184" s="184" t="s">
        <v>224</v>
      </c>
      <c r="AC184" s="184" t="s">
        <v>224</v>
      </c>
      <c r="AD184" s="184"/>
      <c r="AE184" s="184"/>
      <c r="AF184" s="184"/>
      <c r="AG184" s="184"/>
      <c r="AH184" s="184"/>
      <c r="AI184" s="184"/>
      <c r="AJ184" s="184"/>
      <c r="AK184" s="184"/>
      <c r="AL184" s="184"/>
      <c r="AM184" s="184"/>
      <c r="AN184" s="184"/>
      <c r="AO184" s="184"/>
      <c r="AP184" s="184"/>
      <c r="AQ184" s="184"/>
      <c r="AR184" s="184"/>
      <c r="AS184" s="184"/>
      <c r="AT184" s="184"/>
      <c r="AU184" s="184"/>
      <c r="AV184" s="184"/>
      <c r="AW184" s="184"/>
    </row>
    <row r="185" spans="1:49" ht="12.75" customHeight="1" x14ac:dyDescent="0.25">
      <c r="A185" s="376" t="s">
        <v>51</v>
      </c>
      <c r="B185" s="150" t="s">
        <v>13</v>
      </c>
      <c r="C185" s="274">
        <v>700</v>
      </c>
      <c r="D185" s="141">
        <v>1600</v>
      </c>
      <c r="E185" s="142">
        <f t="shared" si="20"/>
        <v>0</v>
      </c>
      <c r="F185" s="142">
        <f t="shared" si="21"/>
        <v>4</v>
      </c>
      <c r="G185" s="142">
        <f t="shared" si="22"/>
        <v>0</v>
      </c>
      <c r="H185" s="142">
        <f t="shared" si="23"/>
        <v>0</v>
      </c>
      <c r="I185" s="184"/>
      <c r="J185" s="184"/>
      <c r="K185" s="184"/>
      <c r="L185" s="184"/>
      <c r="M185" s="184" t="s">
        <v>224</v>
      </c>
      <c r="N185" s="184" t="s">
        <v>224</v>
      </c>
      <c r="O185" s="184" t="s">
        <v>224</v>
      </c>
      <c r="P185" s="184" t="s">
        <v>224</v>
      </c>
      <c r="Q185" s="184" t="s">
        <v>437</v>
      </c>
      <c r="R185" s="184" t="s">
        <v>437</v>
      </c>
      <c r="S185" s="184" t="s">
        <v>224</v>
      </c>
      <c r="T185" s="184" t="s">
        <v>224</v>
      </c>
      <c r="U185" s="184" t="s">
        <v>224</v>
      </c>
      <c r="V185" s="184" t="s">
        <v>224</v>
      </c>
      <c r="W185" s="184" t="s">
        <v>223</v>
      </c>
      <c r="X185" s="184" t="s">
        <v>223</v>
      </c>
      <c r="Y185" s="184" t="s">
        <v>438</v>
      </c>
      <c r="Z185" s="184" t="s">
        <v>438</v>
      </c>
      <c r="AA185" s="184" t="s">
        <v>223</v>
      </c>
      <c r="AB185" s="184" t="s">
        <v>223</v>
      </c>
      <c r="AC185" s="184" t="s">
        <v>224</v>
      </c>
      <c r="AD185" s="184" t="s">
        <v>224</v>
      </c>
      <c r="AE185" s="184"/>
      <c r="AF185" s="184"/>
      <c r="AG185" s="184"/>
      <c r="AH185" s="184"/>
      <c r="AI185" s="184"/>
      <c r="AJ185" s="184"/>
      <c r="AK185" s="184"/>
      <c r="AL185" s="184"/>
      <c r="AM185" s="184"/>
      <c r="AN185" s="184"/>
      <c r="AO185" s="184"/>
      <c r="AP185" s="184"/>
      <c r="AQ185" s="184"/>
      <c r="AR185" s="184"/>
      <c r="AS185" s="184"/>
      <c r="AT185" s="184"/>
      <c r="AU185" s="184"/>
      <c r="AV185" s="184"/>
      <c r="AW185" s="184"/>
    </row>
    <row r="186" spans="1:49" ht="12.75" customHeight="1" x14ac:dyDescent="0.25">
      <c r="A186" s="202" t="s">
        <v>31</v>
      </c>
      <c r="B186" s="150" t="s">
        <v>13</v>
      </c>
      <c r="C186" s="141">
        <v>730</v>
      </c>
      <c r="D186" s="188">
        <v>1630</v>
      </c>
      <c r="E186" s="142">
        <f t="shared" si="20"/>
        <v>0</v>
      </c>
      <c r="F186" s="142">
        <f t="shared" si="21"/>
        <v>5</v>
      </c>
      <c r="G186" s="142">
        <f t="shared" si="22"/>
        <v>0</v>
      </c>
      <c r="H186" s="142">
        <f t="shared" si="23"/>
        <v>0</v>
      </c>
      <c r="I186" s="184"/>
      <c r="J186" s="184"/>
      <c r="K186" s="184"/>
      <c r="L186" s="184"/>
      <c r="M186" s="184"/>
      <c r="N186" s="184" t="s">
        <v>224</v>
      </c>
      <c r="O186" s="184" t="s">
        <v>223</v>
      </c>
      <c r="P186" s="184" t="s">
        <v>223</v>
      </c>
      <c r="Q186" s="184" t="s">
        <v>224</v>
      </c>
      <c r="R186" s="184" t="s">
        <v>224</v>
      </c>
      <c r="S186" s="184" t="s">
        <v>224</v>
      </c>
      <c r="T186" s="184" t="s">
        <v>495</v>
      </c>
      <c r="U186" s="184" t="s">
        <v>506</v>
      </c>
      <c r="V186" s="184" t="s">
        <v>506</v>
      </c>
      <c r="W186" s="184" t="s">
        <v>224</v>
      </c>
      <c r="X186" s="184" t="s">
        <v>224</v>
      </c>
      <c r="Y186" s="184" t="s">
        <v>224</v>
      </c>
      <c r="Z186" s="184" t="s">
        <v>224</v>
      </c>
      <c r="AA186" s="184" t="s">
        <v>224</v>
      </c>
      <c r="AB186" s="184" t="s">
        <v>223</v>
      </c>
      <c r="AC186" s="184" t="s">
        <v>223</v>
      </c>
      <c r="AD186" s="184" t="s">
        <v>223</v>
      </c>
      <c r="AE186" s="184" t="s">
        <v>224</v>
      </c>
      <c r="AF186" s="184"/>
      <c r="AG186" s="184"/>
      <c r="AH186" s="184"/>
      <c r="AI186" s="184"/>
      <c r="AJ186" s="184"/>
      <c r="AK186" s="184"/>
      <c r="AL186" s="184"/>
      <c r="AM186" s="184"/>
      <c r="AN186" s="184"/>
      <c r="AO186" s="184"/>
      <c r="AP186" s="184"/>
      <c r="AQ186" s="184"/>
      <c r="AR186" s="184"/>
      <c r="AS186" s="184"/>
      <c r="AT186" s="184"/>
      <c r="AU186" s="184"/>
      <c r="AV186" s="184"/>
      <c r="AW186" s="184"/>
    </row>
    <row r="187" spans="1:49" ht="12.75" customHeight="1" x14ac:dyDescent="0.25">
      <c r="A187" s="201" t="s">
        <v>33</v>
      </c>
      <c r="B187" s="150" t="s">
        <v>13</v>
      </c>
      <c r="C187" s="141">
        <v>730</v>
      </c>
      <c r="D187" s="141">
        <v>1630</v>
      </c>
      <c r="E187" s="142">
        <f t="shared" si="20"/>
        <v>0</v>
      </c>
      <c r="F187" s="142">
        <f t="shared" si="21"/>
        <v>5</v>
      </c>
      <c r="G187" s="142">
        <f t="shared" si="22"/>
        <v>0</v>
      </c>
      <c r="H187" s="142">
        <f t="shared" si="23"/>
        <v>0</v>
      </c>
      <c r="I187" s="184"/>
      <c r="J187" s="184"/>
      <c r="K187" s="184"/>
      <c r="L187" s="184"/>
      <c r="M187" s="184"/>
      <c r="N187" s="184" t="s">
        <v>224</v>
      </c>
      <c r="O187" s="184" t="s">
        <v>437</v>
      </c>
      <c r="P187" s="184" t="s">
        <v>437</v>
      </c>
      <c r="Q187" s="184" t="s">
        <v>224</v>
      </c>
      <c r="R187" s="184" t="s">
        <v>224</v>
      </c>
      <c r="S187" s="184" t="s">
        <v>224</v>
      </c>
      <c r="T187" s="184" t="s">
        <v>224</v>
      </c>
      <c r="U187" s="184" t="s">
        <v>223</v>
      </c>
      <c r="V187" s="184" t="s">
        <v>223</v>
      </c>
      <c r="W187" s="184" t="s">
        <v>224</v>
      </c>
      <c r="X187" s="184" t="s">
        <v>224</v>
      </c>
      <c r="Y187" s="184" t="s">
        <v>224</v>
      </c>
      <c r="Z187" s="184" t="s">
        <v>224</v>
      </c>
      <c r="AA187" s="184" t="s">
        <v>223</v>
      </c>
      <c r="AB187" s="184" t="s">
        <v>223</v>
      </c>
      <c r="AC187" s="184" t="s">
        <v>223</v>
      </c>
      <c r="AD187" s="184" t="s">
        <v>224</v>
      </c>
      <c r="AE187" s="184" t="s">
        <v>224</v>
      </c>
      <c r="AF187" s="184"/>
      <c r="AG187" s="184"/>
      <c r="AH187" s="184"/>
      <c r="AI187" s="184"/>
      <c r="AJ187" s="184"/>
      <c r="AK187" s="184"/>
      <c r="AL187" s="184"/>
      <c r="AM187" s="184"/>
      <c r="AN187" s="184"/>
      <c r="AO187" s="184"/>
      <c r="AP187" s="184"/>
      <c r="AQ187" s="184"/>
      <c r="AR187" s="184"/>
      <c r="AS187" s="184"/>
      <c r="AT187" s="184"/>
      <c r="AU187" s="184"/>
      <c r="AV187" s="184"/>
      <c r="AW187" s="184"/>
    </row>
    <row r="188" spans="1:49" ht="12.75" customHeight="1" x14ac:dyDescent="0.25">
      <c r="A188" s="201" t="s">
        <v>360</v>
      </c>
      <c r="B188" s="150" t="s">
        <v>13</v>
      </c>
      <c r="C188" s="274">
        <v>800</v>
      </c>
      <c r="D188" s="141">
        <v>2100</v>
      </c>
      <c r="E188" s="142">
        <f t="shared" si="20"/>
        <v>0</v>
      </c>
      <c r="F188" s="142">
        <f t="shared" si="21"/>
        <v>0</v>
      </c>
      <c r="G188" s="142">
        <f t="shared" si="22"/>
        <v>0</v>
      </c>
      <c r="H188" s="142">
        <f t="shared" si="23"/>
        <v>0</v>
      </c>
      <c r="I188" s="184"/>
      <c r="J188" s="184"/>
      <c r="K188" s="184"/>
      <c r="L188" s="184"/>
      <c r="M188" s="184"/>
      <c r="N188" s="184"/>
      <c r="O188" s="184" t="s">
        <v>224</v>
      </c>
      <c r="P188" s="184" t="s">
        <v>224</v>
      </c>
      <c r="Q188" s="184" t="s">
        <v>224</v>
      </c>
      <c r="R188" s="184" t="s">
        <v>224</v>
      </c>
      <c r="S188" s="184" t="s">
        <v>224</v>
      </c>
      <c r="T188" s="184" t="s">
        <v>224</v>
      </c>
      <c r="U188" s="184" t="s">
        <v>224</v>
      </c>
      <c r="V188" s="184" t="s">
        <v>224</v>
      </c>
      <c r="W188" s="184" t="s">
        <v>224</v>
      </c>
      <c r="X188" s="184" t="s">
        <v>224</v>
      </c>
      <c r="Y188" s="184" t="s">
        <v>224</v>
      </c>
      <c r="Z188" s="184" t="s">
        <v>224</v>
      </c>
      <c r="AA188" s="184" t="s">
        <v>224</v>
      </c>
      <c r="AB188" s="184" t="s">
        <v>224</v>
      </c>
      <c r="AC188" s="184" t="s">
        <v>224</v>
      </c>
      <c r="AD188" s="184" t="s">
        <v>224</v>
      </c>
      <c r="AE188" s="184" t="s">
        <v>224</v>
      </c>
      <c r="AF188" s="184" t="s">
        <v>224</v>
      </c>
      <c r="AG188" s="184" t="s">
        <v>224</v>
      </c>
      <c r="AH188" s="184" t="s">
        <v>224</v>
      </c>
      <c r="AI188" s="184" t="s">
        <v>224</v>
      </c>
      <c r="AJ188" s="184" t="s">
        <v>224</v>
      </c>
      <c r="AK188" s="184" t="s">
        <v>224</v>
      </c>
      <c r="AL188" s="184" t="s">
        <v>224</v>
      </c>
      <c r="AM188" s="184" t="s">
        <v>224</v>
      </c>
      <c r="AN188" s="184" t="s">
        <v>224</v>
      </c>
      <c r="AO188" s="184"/>
      <c r="AP188" s="184"/>
      <c r="AQ188" s="184"/>
      <c r="AR188" s="184"/>
      <c r="AS188" s="184"/>
      <c r="AT188" s="184"/>
      <c r="AU188" s="184"/>
      <c r="AV188" s="184"/>
      <c r="AW188" s="184"/>
    </row>
    <row r="189" spans="1:49" ht="12.75" customHeight="1" x14ac:dyDescent="0.25">
      <c r="A189" s="201" t="s">
        <v>70</v>
      </c>
      <c r="B189" s="257" t="s">
        <v>13</v>
      </c>
      <c r="C189" s="274">
        <v>800</v>
      </c>
      <c r="D189" s="141">
        <v>1700</v>
      </c>
      <c r="E189" s="142">
        <f t="shared" si="20"/>
        <v>0</v>
      </c>
      <c r="F189" s="142">
        <f t="shared" si="21"/>
        <v>4</v>
      </c>
      <c r="G189" s="142">
        <f t="shared" si="22"/>
        <v>0</v>
      </c>
      <c r="H189" s="142">
        <f t="shared" si="23"/>
        <v>0</v>
      </c>
      <c r="I189" s="184"/>
      <c r="J189" s="184"/>
      <c r="K189" s="184"/>
      <c r="L189" s="184"/>
      <c r="M189" s="184"/>
      <c r="N189" s="184"/>
      <c r="O189" s="184" t="s">
        <v>224</v>
      </c>
      <c r="P189" s="184" t="s">
        <v>224</v>
      </c>
      <c r="Q189" s="184" t="s">
        <v>437</v>
      </c>
      <c r="R189" s="184" t="s">
        <v>437</v>
      </c>
      <c r="S189" s="184" t="s">
        <v>224</v>
      </c>
      <c r="T189" s="184" t="s">
        <v>224</v>
      </c>
      <c r="U189" s="184" t="s">
        <v>224</v>
      </c>
      <c r="V189" s="184" t="s">
        <v>224</v>
      </c>
      <c r="W189" s="184" t="s">
        <v>224</v>
      </c>
      <c r="X189" s="184" t="s">
        <v>224</v>
      </c>
      <c r="Y189" s="184" t="s">
        <v>224</v>
      </c>
      <c r="Z189" s="184" t="s">
        <v>224</v>
      </c>
      <c r="AA189" s="184" t="s">
        <v>224</v>
      </c>
      <c r="AB189" s="184" t="s">
        <v>223</v>
      </c>
      <c r="AC189" s="184" t="s">
        <v>223</v>
      </c>
      <c r="AD189" s="184" t="s">
        <v>223</v>
      </c>
      <c r="AE189" s="184" t="s">
        <v>223</v>
      </c>
      <c r="AF189" s="184" t="s">
        <v>224</v>
      </c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</row>
    <row r="190" spans="1:49" ht="12.75" customHeight="1" x14ac:dyDescent="0.25">
      <c r="A190" s="202" t="s">
        <v>53</v>
      </c>
      <c r="B190" s="257" t="s">
        <v>13</v>
      </c>
      <c r="C190" s="274">
        <v>830</v>
      </c>
      <c r="D190" s="141">
        <v>1730</v>
      </c>
      <c r="E190" s="142">
        <f t="shared" si="20"/>
        <v>0</v>
      </c>
      <c r="F190" s="142">
        <f t="shared" si="21"/>
        <v>5</v>
      </c>
      <c r="G190" s="142">
        <f t="shared" si="22"/>
        <v>0</v>
      </c>
      <c r="H190" s="142">
        <f t="shared" si="23"/>
        <v>0</v>
      </c>
      <c r="I190" s="184"/>
      <c r="J190" s="184"/>
      <c r="K190" s="184"/>
      <c r="L190" s="184"/>
      <c r="M190" s="184"/>
      <c r="N190" s="184"/>
      <c r="O190" s="184"/>
      <c r="P190" s="184" t="s">
        <v>224</v>
      </c>
      <c r="Q190" s="184" t="s">
        <v>224</v>
      </c>
      <c r="R190" s="184" t="s">
        <v>224</v>
      </c>
      <c r="S190" s="184" t="s">
        <v>437</v>
      </c>
      <c r="T190" s="184" t="s">
        <v>437</v>
      </c>
      <c r="U190" s="184" t="s">
        <v>224</v>
      </c>
      <c r="V190" s="184" t="s">
        <v>224</v>
      </c>
      <c r="W190" s="184" t="s">
        <v>224</v>
      </c>
      <c r="X190" s="184" t="s">
        <v>224</v>
      </c>
      <c r="Y190" s="184" t="s">
        <v>224</v>
      </c>
      <c r="Z190" s="184" t="s">
        <v>224</v>
      </c>
      <c r="AA190" s="184" t="s">
        <v>224</v>
      </c>
      <c r="AB190" s="184" t="s">
        <v>224</v>
      </c>
      <c r="AC190" s="184" t="s">
        <v>223</v>
      </c>
      <c r="AD190" s="184" t="s">
        <v>223</v>
      </c>
      <c r="AE190" s="184" t="s">
        <v>223</v>
      </c>
      <c r="AF190" s="184" t="s">
        <v>223</v>
      </c>
      <c r="AG190" s="184" t="s">
        <v>223</v>
      </c>
      <c r="AH190" s="184"/>
      <c r="AI190" s="184"/>
      <c r="AJ190" s="184"/>
      <c r="AK190" s="184"/>
      <c r="AL190" s="184"/>
      <c r="AM190" s="184"/>
      <c r="AN190" s="184"/>
      <c r="AO190" s="184"/>
      <c r="AP190" s="184"/>
      <c r="AQ190" s="184"/>
      <c r="AR190" s="184"/>
      <c r="AS190" s="184"/>
      <c r="AT190" s="184"/>
      <c r="AU190" s="184"/>
      <c r="AV190" s="184"/>
      <c r="AW190" s="184"/>
    </row>
    <row r="191" spans="1:49" ht="12.75" customHeight="1" x14ac:dyDescent="0.25">
      <c r="A191" s="201" t="s">
        <v>27</v>
      </c>
      <c r="B191" s="150" t="s">
        <v>13</v>
      </c>
      <c r="C191" s="141">
        <v>930</v>
      </c>
      <c r="D191" s="141">
        <v>1830</v>
      </c>
      <c r="E191" s="142">
        <f t="shared" si="20"/>
        <v>0</v>
      </c>
      <c r="F191" s="142">
        <f t="shared" si="21"/>
        <v>5</v>
      </c>
      <c r="G191" s="142">
        <f t="shared" si="22"/>
        <v>0</v>
      </c>
      <c r="H191" s="142">
        <f t="shared" si="23"/>
        <v>0</v>
      </c>
      <c r="I191" s="184"/>
      <c r="J191" s="184"/>
      <c r="K191" s="184"/>
      <c r="L191" s="184"/>
      <c r="M191" s="184"/>
      <c r="N191" s="184"/>
      <c r="O191" s="184"/>
      <c r="P191" s="184"/>
      <c r="Q191" s="184"/>
      <c r="R191" s="184" t="s">
        <v>224</v>
      </c>
      <c r="S191" s="184" t="s">
        <v>224</v>
      </c>
      <c r="T191" s="184" t="s">
        <v>224</v>
      </c>
      <c r="U191" s="184" t="s">
        <v>224</v>
      </c>
      <c r="V191" s="184" t="s">
        <v>224</v>
      </c>
      <c r="W191" s="184" t="s">
        <v>224</v>
      </c>
      <c r="X191" s="184" t="s">
        <v>224</v>
      </c>
      <c r="Y191" s="184" t="s">
        <v>224</v>
      </c>
      <c r="Z191" s="184" t="s">
        <v>224</v>
      </c>
      <c r="AA191" s="184" t="s">
        <v>437</v>
      </c>
      <c r="AB191" s="184" t="s">
        <v>437</v>
      </c>
      <c r="AC191" s="184" t="s">
        <v>224</v>
      </c>
      <c r="AD191" s="184" t="s">
        <v>224</v>
      </c>
      <c r="AE191" s="184" t="s">
        <v>223</v>
      </c>
      <c r="AF191" s="184" t="s">
        <v>223</v>
      </c>
      <c r="AG191" s="184" t="s">
        <v>223</v>
      </c>
      <c r="AH191" s="184" t="s">
        <v>223</v>
      </c>
      <c r="AI191" s="184" t="s">
        <v>223</v>
      </c>
      <c r="AJ191" s="184"/>
      <c r="AK191" s="184"/>
      <c r="AL191" s="184"/>
      <c r="AM191" s="184"/>
      <c r="AN191" s="184"/>
      <c r="AO191" s="184"/>
      <c r="AP191" s="184"/>
      <c r="AQ191" s="184"/>
      <c r="AR191" s="184"/>
      <c r="AS191" s="184"/>
      <c r="AT191" s="184"/>
      <c r="AU191" s="184"/>
      <c r="AV191" s="184"/>
      <c r="AW191" s="184"/>
    </row>
    <row r="192" spans="1:49" ht="12.75" customHeight="1" x14ac:dyDescent="0.25">
      <c r="A192" s="201" t="s">
        <v>63</v>
      </c>
      <c r="B192" s="257" t="s">
        <v>13</v>
      </c>
      <c r="C192" s="274">
        <v>1200</v>
      </c>
      <c r="D192" s="141">
        <v>2100</v>
      </c>
      <c r="E192" s="142">
        <f t="shared" si="20"/>
        <v>0</v>
      </c>
      <c r="F192" s="142">
        <f t="shared" si="21"/>
        <v>5</v>
      </c>
      <c r="G192" s="142">
        <f t="shared" si="22"/>
        <v>0</v>
      </c>
      <c r="H192" s="142">
        <f t="shared" si="23"/>
        <v>0</v>
      </c>
      <c r="I192" s="184"/>
      <c r="J192" s="184"/>
      <c r="K192" s="184"/>
      <c r="L192" s="184"/>
      <c r="M192" s="184"/>
      <c r="N192" s="184"/>
      <c r="O192" s="184"/>
      <c r="P192" s="184"/>
      <c r="Q192" s="184"/>
      <c r="R192" s="184"/>
      <c r="S192" s="184"/>
      <c r="T192" s="184"/>
      <c r="U192" s="184"/>
      <c r="V192" s="184"/>
      <c r="W192" s="184" t="s">
        <v>224</v>
      </c>
      <c r="X192" s="184" t="s">
        <v>224</v>
      </c>
      <c r="Y192" s="184" t="s">
        <v>224</v>
      </c>
      <c r="Z192" s="184" t="s">
        <v>224</v>
      </c>
      <c r="AA192" s="184" t="s">
        <v>437</v>
      </c>
      <c r="AB192" s="184" t="s">
        <v>437</v>
      </c>
      <c r="AC192" s="184" t="s">
        <v>224</v>
      </c>
      <c r="AD192" s="184" t="s">
        <v>224</v>
      </c>
      <c r="AE192" s="184" t="s">
        <v>224</v>
      </c>
      <c r="AF192" s="184" t="s">
        <v>223</v>
      </c>
      <c r="AG192" s="184" t="s">
        <v>223</v>
      </c>
      <c r="AH192" s="184" t="s">
        <v>223</v>
      </c>
      <c r="AI192" s="184" t="s">
        <v>223</v>
      </c>
      <c r="AJ192" s="184" t="s">
        <v>223</v>
      </c>
      <c r="AK192" s="184" t="s">
        <v>224</v>
      </c>
      <c r="AL192" s="184" t="s">
        <v>224</v>
      </c>
      <c r="AM192" s="184" t="s">
        <v>224</v>
      </c>
      <c r="AN192" s="184" t="s">
        <v>224</v>
      </c>
      <c r="AO192" s="184"/>
      <c r="AP192" s="184"/>
      <c r="AQ192" s="184"/>
      <c r="AR192" s="184"/>
      <c r="AS192" s="184"/>
      <c r="AT192" s="184"/>
      <c r="AU192" s="184"/>
      <c r="AV192" s="184"/>
      <c r="AW192" s="184"/>
    </row>
    <row r="193" spans="1:49" ht="12.75" customHeight="1" x14ac:dyDescent="0.25">
      <c r="A193" s="201" t="s">
        <v>227</v>
      </c>
      <c r="B193" s="257" t="s">
        <v>13</v>
      </c>
      <c r="C193" s="274">
        <v>1230</v>
      </c>
      <c r="D193" s="141">
        <v>2130</v>
      </c>
      <c r="E193" s="142">
        <v>0</v>
      </c>
      <c r="F193" s="142">
        <v>0</v>
      </c>
      <c r="G193" s="142">
        <v>0</v>
      </c>
      <c r="H193" s="142">
        <v>0</v>
      </c>
      <c r="I193" s="184"/>
      <c r="J193" s="184"/>
      <c r="K193" s="184"/>
      <c r="L193" s="184"/>
      <c r="M193" s="184"/>
      <c r="N193" s="184"/>
      <c r="O193" s="184"/>
      <c r="P193" s="184"/>
      <c r="Q193" s="184"/>
      <c r="R193" s="184"/>
      <c r="S193" s="184"/>
      <c r="T193" s="184"/>
      <c r="U193" s="184"/>
      <c r="V193" s="184"/>
      <c r="W193" s="184"/>
      <c r="X193" s="184" t="s">
        <v>224</v>
      </c>
      <c r="Y193" s="184" t="s">
        <v>224</v>
      </c>
      <c r="Z193" s="184" t="s">
        <v>224</v>
      </c>
      <c r="AA193" s="184" t="s">
        <v>224</v>
      </c>
      <c r="AB193" s="184" t="s">
        <v>224</v>
      </c>
      <c r="AC193" s="184" t="s">
        <v>224</v>
      </c>
      <c r="AD193" s="184" t="s">
        <v>224</v>
      </c>
      <c r="AE193" s="184" t="s">
        <v>224</v>
      </c>
      <c r="AF193" s="184" t="s">
        <v>224</v>
      </c>
      <c r="AG193" s="184" t="s">
        <v>224</v>
      </c>
      <c r="AH193" s="184" t="s">
        <v>224</v>
      </c>
      <c r="AI193" s="184" t="s">
        <v>224</v>
      </c>
      <c r="AJ193" s="184" t="s">
        <v>224</v>
      </c>
      <c r="AK193" s="184" t="s">
        <v>224</v>
      </c>
      <c r="AL193" s="184" t="s">
        <v>224</v>
      </c>
      <c r="AM193" s="184" t="s">
        <v>224</v>
      </c>
      <c r="AN193" s="184" t="s">
        <v>224</v>
      </c>
      <c r="AO193" s="184" t="s">
        <v>224</v>
      </c>
      <c r="AP193" s="184" t="s">
        <v>224</v>
      </c>
      <c r="AQ193" s="184"/>
      <c r="AR193" s="184"/>
      <c r="AS193" s="184"/>
      <c r="AT193" s="184"/>
      <c r="AU193" s="184"/>
      <c r="AV193" s="184"/>
      <c r="AW193" s="184"/>
    </row>
    <row r="194" spans="1:49" ht="12.75" customHeight="1" x14ac:dyDescent="0.25">
      <c r="A194" s="375" t="s">
        <v>23</v>
      </c>
      <c r="B194" s="257" t="s">
        <v>13</v>
      </c>
      <c r="C194" s="274">
        <v>1230</v>
      </c>
      <c r="D194" s="141">
        <v>2130</v>
      </c>
      <c r="E194" s="142">
        <f t="shared" ref="E194:E200" si="24">COUNTIF(I194:AW194,"HL")</f>
        <v>0</v>
      </c>
      <c r="F194" s="142">
        <f t="shared" ref="F194:F200" si="25">COUNTIF(I194:AW194,"Coaching")</f>
        <v>4</v>
      </c>
      <c r="G194" s="142">
        <f t="shared" ref="G194:G200" si="26">COUNTIF(I194:AW194,"ADM")</f>
        <v>0</v>
      </c>
      <c r="H194" s="142">
        <f t="shared" ref="H194:H200" si="27">COUNTIF(I194:AW194,"RNNR")</f>
        <v>0</v>
      </c>
      <c r="I194" s="184"/>
      <c r="J194" s="184"/>
      <c r="K194" s="184"/>
      <c r="L194" s="184"/>
      <c r="M194" s="184"/>
      <c r="N194" s="184"/>
      <c r="O194" s="184"/>
      <c r="P194" s="184"/>
      <c r="Q194" s="184"/>
      <c r="R194" s="184"/>
      <c r="S194" s="184"/>
      <c r="T194" s="184"/>
      <c r="U194" s="184"/>
      <c r="V194" s="184"/>
      <c r="W194" s="184"/>
      <c r="X194" s="184" t="s">
        <v>224</v>
      </c>
      <c r="Y194" s="184" t="s">
        <v>438</v>
      </c>
      <c r="Z194" s="184" t="s">
        <v>438</v>
      </c>
      <c r="AA194" s="184" t="s">
        <v>224</v>
      </c>
      <c r="AB194" s="184" t="s">
        <v>224</v>
      </c>
      <c r="AC194" s="184" t="s">
        <v>437</v>
      </c>
      <c r="AD194" s="184" t="s">
        <v>437</v>
      </c>
      <c r="AE194" s="184" t="s">
        <v>224</v>
      </c>
      <c r="AF194" s="184" t="s">
        <v>224</v>
      </c>
      <c r="AG194" s="184" t="s">
        <v>224</v>
      </c>
      <c r="AH194" s="184" t="s">
        <v>224</v>
      </c>
      <c r="AI194" s="184" t="s">
        <v>223</v>
      </c>
      <c r="AJ194" s="184" t="s">
        <v>223</v>
      </c>
      <c r="AK194" s="184" t="s">
        <v>223</v>
      </c>
      <c r="AL194" s="184" t="s">
        <v>223</v>
      </c>
      <c r="AM194" s="184" t="s">
        <v>224</v>
      </c>
      <c r="AN194" s="184" t="s">
        <v>224</v>
      </c>
      <c r="AO194" s="184" t="s">
        <v>224</v>
      </c>
      <c r="AP194" s="184"/>
      <c r="AQ194" s="184"/>
      <c r="AR194" s="184"/>
      <c r="AS194" s="184"/>
      <c r="AT194" s="184"/>
      <c r="AU194" s="184"/>
      <c r="AV194" s="184"/>
      <c r="AW194" s="184"/>
    </row>
    <row r="195" spans="1:49" ht="12.75" customHeight="1" x14ac:dyDescent="0.25">
      <c r="A195" s="202" t="s">
        <v>66</v>
      </c>
      <c r="B195" s="150" t="s">
        <v>13</v>
      </c>
      <c r="C195" s="55">
        <v>1230</v>
      </c>
      <c r="D195" s="188">
        <v>2130</v>
      </c>
      <c r="E195" s="142">
        <f t="shared" si="24"/>
        <v>0</v>
      </c>
      <c r="F195" s="142">
        <f t="shared" si="25"/>
        <v>3</v>
      </c>
      <c r="G195" s="142">
        <f t="shared" si="26"/>
        <v>0</v>
      </c>
      <c r="H195" s="142">
        <f t="shared" si="27"/>
        <v>0</v>
      </c>
      <c r="I195" s="184"/>
      <c r="J195" s="184"/>
      <c r="K195" s="184"/>
      <c r="L195" s="184"/>
      <c r="M195" s="184"/>
      <c r="N195" s="184"/>
      <c r="O195" s="184"/>
      <c r="P195" s="184"/>
      <c r="Q195" s="184"/>
      <c r="R195" s="184"/>
      <c r="S195" s="184"/>
      <c r="T195" s="184"/>
      <c r="U195" s="184"/>
      <c r="V195" s="184"/>
      <c r="W195" s="184"/>
      <c r="X195" s="184" t="s">
        <v>224</v>
      </c>
      <c r="Y195" s="184" t="s">
        <v>224</v>
      </c>
      <c r="Z195" s="184" t="s">
        <v>224</v>
      </c>
      <c r="AA195" s="184" t="s">
        <v>223</v>
      </c>
      <c r="AB195" s="184" t="s">
        <v>223</v>
      </c>
      <c r="AC195" s="184" t="s">
        <v>223</v>
      </c>
      <c r="AD195" s="184" t="s">
        <v>224</v>
      </c>
      <c r="AE195" s="184" t="s">
        <v>437</v>
      </c>
      <c r="AF195" s="184" t="s">
        <v>437</v>
      </c>
      <c r="AG195" s="184" t="s">
        <v>224</v>
      </c>
      <c r="AH195" s="184" t="s">
        <v>224</v>
      </c>
      <c r="AI195" s="184" t="s">
        <v>224</v>
      </c>
      <c r="AJ195" s="184" t="s">
        <v>224</v>
      </c>
      <c r="AK195" s="184" t="s">
        <v>495</v>
      </c>
      <c r="AL195" s="184" t="s">
        <v>508</v>
      </c>
      <c r="AM195" s="184" t="s">
        <v>508</v>
      </c>
      <c r="AN195" s="184" t="s">
        <v>224</v>
      </c>
      <c r="AO195" s="184" t="s">
        <v>224</v>
      </c>
      <c r="AP195" s="184" t="s">
        <v>224</v>
      </c>
      <c r="AQ195" s="184"/>
      <c r="AR195" s="184"/>
      <c r="AS195" s="184"/>
      <c r="AT195" s="184"/>
      <c r="AU195" s="184"/>
      <c r="AV195" s="184"/>
      <c r="AW195" s="184"/>
    </row>
    <row r="196" spans="1:49" ht="12.75" customHeight="1" x14ac:dyDescent="0.25">
      <c r="A196" s="202" t="s">
        <v>59</v>
      </c>
      <c r="B196" s="150" t="s">
        <v>13</v>
      </c>
      <c r="C196" s="274">
        <v>1300</v>
      </c>
      <c r="D196" s="141">
        <v>2200</v>
      </c>
      <c r="E196" s="142">
        <f t="shared" si="24"/>
        <v>0</v>
      </c>
      <c r="F196" s="142">
        <f t="shared" si="25"/>
        <v>5</v>
      </c>
      <c r="G196" s="142">
        <f t="shared" si="26"/>
        <v>0</v>
      </c>
      <c r="H196" s="142">
        <f t="shared" si="27"/>
        <v>0</v>
      </c>
      <c r="I196" s="184"/>
      <c r="J196" s="184"/>
      <c r="K196" s="184"/>
      <c r="L196" s="184"/>
      <c r="M196" s="184"/>
      <c r="N196" s="184"/>
      <c r="O196" s="184"/>
      <c r="P196" s="184"/>
      <c r="Q196" s="184"/>
      <c r="R196" s="184"/>
      <c r="S196" s="184"/>
      <c r="T196" s="184"/>
      <c r="U196" s="184"/>
      <c r="V196" s="184"/>
      <c r="W196" s="184"/>
      <c r="X196" s="184"/>
      <c r="Y196" s="184" t="s">
        <v>224</v>
      </c>
      <c r="Z196" s="184" t="s">
        <v>224</v>
      </c>
      <c r="AA196" s="184" t="s">
        <v>224</v>
      </c>
      <c r="AB196" s="184" t="s">
        <v>224</v>
      </c>
      <c r="AC196" s="184" t="s">
        <v>437</v>
      </c>
      <c r="AD196" s="184" t="s">
        <v>437</v>
      </c>
      <c r="AE196" s="184" t="s">
        <v>224</v>
      </c>
      <c r="AF196" s="184" t="s">
        <v>224</v>
      </c>
      <c r="AG196" s="184" t="s">
        <v>224</v>
      </c>
      <c r="AH196" s="184" t="s">
        <v>224</v>
      </c>
      <c r="AI196" s="184" t="s">
        <v>224</v>
      </c>
      <c r="AJ196" s="184" t="s">
        <v>224</v>
      </c>
      <c r="AK196" s="184" t="s">
        <v>224</v>
      </c>
      <c r="AL196" s="184" t="s">
        <v>223</v>
      </c>
      <c r="AM196" s="184" t="s">
        <v>223</v>
      </c>
      <c r="AN196" s="184" t="s">
        <v>223</v>
      </c>
      <c r="AO196" s="184" t="s">
        <v>223</v>
      </c>
      <c r="AP196" s="184" t="s">
        <v>223</v>
      </c>
      <c r="AQ196" s="184"/>
      <c r="AR196" s="184"/>
      <c r="AS196" s="184"/>
      <c r="AT196" s="184"/>
      <c r="AU196" s="184"/>
      <c r="AV196" s="184"/>
      <c r="AW196" s="184"/>
    </row>
    <row r="197" spans="1:49" ht="12.75" customHeight="1" x14ac:dyDescent="0.25">
      <c r="A197" s="376" t="s">
        <v>57</v>
      </c>
      <c r="B197" s="257" t="s">
        <v>13</v>
      </c>
      <c r="C197" s="274">
        <v>1300</v>
      </c>
      <c r="D197" s="141">
        <v>2200</v>
      </c>
      <c r="E197" s="142">
        <f t="shared" si="24"/>
        <v>0</v>
      </c>
      <c r="F197" s="142">
        <f t="shared" si="25"/>
        <v>4</v>
      </c>
      <c r="G197" s="142">
        <f t="shared" si="26"/>
        <v>0</v>
      </c>
      <c r="H197" s="142">
        <f t="shared" si="27"/>
        <v>0</v>
      </c>
      <c r="I197" s="184"/>
      <c r="J197" s="184"/>
      <c r="K197" s="184"/>
      <c r="L197" s="184"/>
      <c r="M197" s="184"/>
      <c r="N197" s="184"/>
      <c r="O197" s="184"/>
      <c r="P197" s="184"/>
      <c r="Q197" s="184"/>
      <c r="R197" s="184"/>
      <c r="S197" s="184"/>
      <c r="T197" s="184"/>
      <c r="U197" s="184"/>
      <c r="V197" s="184"/>
      <c r="W197" s="184"/>
      <c r="X197" s="184"/>
      <c r="Y197" s="184" t="s">
        <v>438</v>
      </c>
      <c r="Z197" s="184" t="s">
        <v>438</v>
      </c>
      <c r="AA197" s="184" t="s">
        <v>224</v>
      </c>
      <c r="AB197" s="184" t="s">
        <v>223</v>
      </c>
      <c r="AC197" s="184" t="s">
        <v>223</v>
      </c>
      <c r="AD197" s="184" t="s">
        <v>223</v>
      </c>
      <c r="AE197" s="184" t="s">
        <v>223</v>
      </c>
      <c r="AF197" s="184" t="s">
        <v>224</v>
      </c>
      <c r="AG197" s="184" t="s">
        <v>437</v>
      </c>
      <c r="AH197" s="184" t="s">
        <v>437</v>
      </c>
      <c r="AI197" s="184" t="s">
        <v>224</v>
      </c>
      <c r="AJ197" s="184" t="s">
        <v>224</v>
      </c>
      <c r="AK197" s="184" t="s">
        <v>224</v>
      </c>
      <c r="AL197" s="184" t="s">
        <v>224</v>
      </c>
      <c r="AM197" s="184" t="s">
        <v>224</v>
      </c>
      <c r="AN197" s="184" t="s">
        <v>224</v>
      </c>
      <c r="AO197" s="184" t="s">
        <v>224</v>
      </c>
      <c r="AP197" s="184" t="s">
        <v>224</v>
      </c>
      <c r="AQ197" s="184"/>
      <c r="AR197" s="184"/>
      <c r="AS197" s="184"/>
      <c r="AT197" s="184"/>
      <c r="AU197" s="184"/>
      <c r="AV197" s="184"/>
      <c r="AW197" s="184"/>
    </row>
    <row r="198" spans="1:49" ht="12.75" customHeight="1" x14ac:dyDescent="0.25">
      <c r="A198" s="201" t="s">
        <v>245</v>
      </c>
      <c r="B198" s="150" t="s">
        <v>13</v>
      </c>
      <c r="C198" s="55">
        <v>1400</v>
      </c>
      <c r="D198" s="141">
        <v>100</v>
      </c>
      <c r="E198" s="142">
        <f t="shared" si="24"/>
        <v>0</v>
      </c>
      <c r="F198" s="142">
        <f t="shared" si="25"/>
        <v>4</v>
      </c>
      <c r="G198" s="142">
        <f t="shared" si="26"/>
        <v>0</v>
      </c>
      <c r="H198" s="142">
        <f t="shared" si="27"/>
        <v>0</v>
      </c>
      <c r="I198" s="184"/>
      <c r="J198" s="184"/>
      <c r="K198" s="184"/>
      <c r="L198" s="184"/>
      <c r="M198" s="184"/>
      <c r="N198" s="184"/>
      <c r="O198" s="184"/>
      <c r="P198" s="184"/>
      <c r="Q198" s="184"/>
      <c r="R198" s="184"/>
      <c r="S198" s="184"/>
      <c r="T198" s="184"/>
      <c r="U198" s="184"/>
      <c r="V198" s="184"/>
      <c r="W198" s="184"/>
      <c r="X198" s="184"/>
      <c r="Y198" s="184"/>
      <c r="Z198" s="184"/>
      <c r="AA198" s="184" t="s">
        <v>224</v>
      </c>
      <c r="AB198" s="184" t="s">
        <v>224</v>
      </c>
      <c r="AC198" s="184" t="s">
        <v>224</v>
      </c>
      <c r="AD198" s="184" t="s">
        <v>224</v>
      </c>
      <c r="AE198" s="184" t="s">
        <v>437</v>
      </c>
      <c r="AF198" s="184" t="s">
        <v>437</v>
      </c>
      <c r="AG198" s="184" t="s">
        <v>224</v>
      </c>
      <c r="AH198" s="184" t="s">
        <v>224</v>
      </c>
      <c r="AI198" s="184" t="s">
        <v>223</v>
      </c>
      <c r="AJ198" s="184" t="s">
        <v>223</v>
      </c>
      <c r="AK198" s="184" t="s">
        <v>223</v>
      </c>
      <c r="AL198" s="184" t="s">
        <v>223</v>
      </c>
      <c r="AM198" s="184" t="s">
        <v>224</v>
      </c>
      <c r="AN198" s="184" t="s">
        <v>224</v>
      </c>
      <c r="AO198" s="184" t="s">
        <v>224</v>
      </c>
      <c r="AP198" s="184" t="s">
        <v>224</v>
      </c>
      <c r="AQ198" s="184" t="s">
        <v>224</v>
      </c>
      <c r="AR198" s="184" t="s">
        <v>224</v>
      </c>
      <c r="AS198" s="184" t="s">
        <v>224</v>
      </c>
      <c r="AT198" s="184" t="s">
        <v>224</v>
      </c>
      <c r="AU198" s="184" t="s">
        <v>224</v>
      </c>
      <c r="AV198" s="184" t="s">
        <v>224</v>
      </c>
      <c r="AW198" s="184"/>
    </row>
    <row r="199" spans="1:49" ht="12.75" customHeight="1" x14ac:dyDescent="0.25">
      <c r="A199" s="202" t="s">
        <v>270</v>
      </c>
      <c r="B199" s="257" t="s">
        <v>13</v>
      </c>
      <c r="C199" s="55">
        <v>1400</v>
      </c>
      <c r="D199" s="141">
        <v>100</v>
      </c>
      <c r="E199" s="142">
        <f t="shared" si="24"/>
        <v>0</v>
      </c>
      <c r="F199" s="142">
        <f t="shared" si="25"/>
        <v>6</v>
      </c>
      <c r="G199" s="142">
        <f t="shared" si="26"/>
        <v>0</v>
      </c>
      <c r="H199" s="142">
        <f t="shared" si="27"/>
        <v>0</v>
      </c>
      <c r="I199" s="184"/>
      <c r="J199" s="184"/>
      <c r="K199" s="184"/>
      <c r="L199" s="184"/>
      <c r="M199" s="184"/>
      <c r="N199" s="184"/>
      <c r="O199" s="184"/>
      <c r="P199" s="184"/>
      <c r="Q199" s="184"/>
      <c r="R199" s="184"/>
      <c r="S199" s="184"/>
      <c r="T199" s="184"/>
      <c r="U199" s="184"/>
      <c r="V199" s="184"/>
      <c r="W199" s="184"/>
      <c r="X199" s="184"/>
      <c r="Y199" s="184"/>
      <c r="Z199" s="184"/>
      <c r="AA199" s="184" t="s">
        <v>224</v>
      </c>
      <c r="AB199" s="184" t="s">
        <v>224</v>
      </c>
      <c r="AC199" s="184" t="s">
        <v>224</v>
      </c>
      <c r="AD199" s="184" t="s">
        <v>223</v>
      </c>
      <c r="AE199" s="184" t="s">
        <v>223</v>
      </c>
      <c r="AF199" s="184" t="s">
        <v>224</v>
      </c>
      <c r="AG199" s="184" t="s">
        <v>437</v>
      </c>
      <c r="AH199" s="184" t="s">
        <v>437</v>
      </c>
      <c r="AI199" s="184" t="s">
        <v>224</v>
      </c>
      <c r="AJ199" s="184" t="s">
        <v>224</v>
      </c>
      <c r="AK199" s="184" t="s">
        <v>224</v>
      </c>
      <c r="AL199" s="184" t="s">
        <v>224</v>
      </c>
      <c r="AM199" s="184" t="s">
        <v>223</v>
      </c>
      <c r="AN199" s="184" t="s">
        <v>223</v>
      </c>
      <c r="AO199" s="184" t="s">
        <v>223</v>
      </c>
      <c r="AP199" s="184" t="s">
        <v>223</v>
      </c>
      <c r="AQ199" s="184" t="s">
        <v>224</v>
      </c>
      <c r="AR199" s="184" t="s">
        <v>224</v>
      </c>
      <c r="AS199" s="184" t="s">
        <v>224</v>
      </c>
      <c r="AT199" s="184" t="s">
        <v>224</v>
      </c>
      <c r="AU199" s="184" t="s">
        <v>224</v>
      </c>
      <c r="AV199" s="184" t="s">
        <v>224</v>
      </c>
      <c r="AW199" s="184"/>
    </row>
    <row r="200" spans="1:49" ht="12.75" customHeight="1" x14ac:dyDescent="0.25">
      <c r="A200" s="201" t="s">
        <v>52</v>
      </c>
      <c r="B200" s="150" t="s">
        <v>13</v>
      </c>
      <c r="C200" s="55">
        <v>1600</v>
      </c>
      <c r="D200" s="141">
        <v>100</v>
      </c>
      <c r="E200" s="142">
        <f t="shared" si="24"/>
        <v>0</v>
      </c>
      <c r="F200" s="142">
        <f t="shared" si="25"/>
        <v>5</v>
      </c>
      <c r="G200" s="142">
        <f t="shared" si="26"/>
        <v>0</v>
      </c>
      <c r="H200" s="142">
        <f t="shared" si="27"/>
        <v>0</v>
      </c>
      <c r="I200" s="184"/>
      <c r="J200" s="184"/>
      <c r="K200" s="184"/>
      <c r="L200" s="184"/>
      <c r="M200" s="184"/>
      <c r="N200" s="184"/>
      <c r="O200" s="184"/>
      <c r="P200" s="184"/>
      <c r="Q200" s="184"/>
      <c r="R200" s="184"/>
      <c r="S200" s="184"/>
      <c r="T200" s="184"/>
      <c r="U200" s="184"/>
      <c r="V200" s="184"/>
      <c r="W200" s="184"/>
      <c r="X200" s="184"/>
      <c r="Y200" s="184"/>
      <c r="Z200" s="184"/>
      <c r="AA200" s="184"/>
      <c r="AB200" s="184"/>
      <c r="AC200" s="184"/>
      <c r="AD200" s="184"/>
      <c r="AE200" s="184" t="s">
        <v>224</v>
      </c>
      <c r="AF200" s="184" t="s">
        <v>223</v>
      </c>
      <c r="AG200" s="184" t="s">
        <v>223</v>
      </c>
      <c r="AH200" s="184" t="s">
        <v>223</v>
      </c>
      <c r="AI200" s="184" t="s">
        <v>223</v>
      </c>
      <c r="AJ200" s="184" t="s">
        <v>223</v>
      </c>
      <c r="AK200" s="184" t="s">
        <v>224</v>
      </c>
      <c r="AL200" s="184" t="s">
        <v>224</v>
      </c>
      <c r="AM200" s="184" t="s">
        <v>495</v>
      </c>
      <c r="AN200" s="184" t="s">
        <v>504</v>
      </c>
      <c r="AO200" s="184" t="s">
        <v>504</v>
      </c>
      <c r="AP200" s="184" t="s">
        <v>224</v>
      </c>
      <c r="AQ200" s="184" t="s">
        <v>224</v>
      </c>
      <c r="AR200" s="184" t="s">
        <v>224</v>
      </c>
      <c r="AS200" s="184" t="s">
        <v>224</v>
      </c>
      <c r="AT200" s="184" t="s">
        <v>224</v>
      </c>
      <c r="AU200" s="184" t="s">
        <v>224</v>
      </c>
      <c r="AV200" s="184" t="s">
        <v>224</v>
      </c>
      <c r="AW200" s="184"/>
    </row>
    <row r="201" spans="1:49" ht="12.75" customHeight="1" x14ac:dyDescent="0.25">
      <c r="A201" s="201"/>
      <c r="B201" s="257"/>
      <c r="C201" s="274"/>
      <c r="D201" s="141"/>
      <c r="E201" s="142"/>
      <c r="F201" s="142"/>
      <c r="G201" s="142"/>
      <c r="H201" s="142"/>
      <c r="I201" s="184"/>
      <c r="J201" s="184"/>
      <c r="K201" s="184"/>
      <c r="L201" s="184"/>
      <c r="M201" s="184"/>
      <c r="N201" s="184"/>
      <c r="O201" s="184"/>
      <c r="P201" s="184"/>
      <c r="Q201" s="184"/>
      <c r="R201" s="184"/>
      <c r="S201" s="184"/>
      <c r="T201" s="184"/>
      <c r="U201" s="184"/>
      <c r="V201" s="184"/>
      <c r="W201" s="184"/>
      <c r="X201" s="184"/>
      <c r="Y201" s="184"/>
      <c r="Z201" s="184"/>
      <c r="AA201" s="184"/>
      <c r="AB201" s="184"/>
      <c r="AC201" s="184"/>
      <c r="AD201" s="184"/>
      <c r="AE201" s="184"/>
      <c r="AF201" s="184"/>
      <c r="AG201" s="184"/>
      <c r="AH201" s="184"/>
      <c r="AI201" s="184"/>
      <c r="AJ201" s="184"/>
      <c r="AK201" s="184"/>
      <c r="AL201" s="184"/>
      <c r="AM201" s="184"/>
      <c r="AN201" s="184"/>
      <c r="AO201" s="184"/>
      <c r="AP201" s="184"/>
      <c r="AQ201" s="184"/>
      <c r="AR201" s="184"/>
      <c r="AS201" s="184"/>
      <c r="AT201" s="184"/>
      <c r="AU201" s="184"/>
      <c r="AV201" s="184"/>
      <c r="AW201" s="184"/>
    </row>
    <row r="202" spans="1:49" ht="12.75" customHeight="1" x14ac:dyDescent="0.25">
      <c r="A202" s="201"/>
      <c r="B202" s="150"/>
      <c r="C202" s="274"/>
      <c r="D202" s="141"/>
      <c r="E202" s="142"/>
      <c r="F202" s="142"/>
      <c r="G202" s="142"/>
      <c r="H202" s="142"/>
      <c r="I202" s="184"/>
      <c r="J202" s="184"/>
      <c r="K202" s="184"/>
      <c r="L202" s="184"/>
      <c r="M202" s="184"/>
      <c r="N202" s="184"/>
      <c r="O202" s="184"/>
      <c r="P202" s="184"/>
      <c r="Q202" s="184"/>
      <c r="R202" s="184"/>
      <c r="S202" s="184"/>
      <c r="T202" s="184"/>
      <c r="U202" s="184"/>
      <c r="V202" s="184"/>
      <c r="W202" s="184"/>
      <c r="X202" s="184"/>
      <c r="Y202" s="184"/>
      <c r="Z202" s="184"/>
      <c r="AA202" s="184"/>
      <c r="AB202" s="184"/>
      <c r="AC202" s="184"/>
      <c r="AD202" s="184"/>
      <c r="AE202" s="184"/>
      <c r="AF202" s="184"/>
      <c r="AG202" s="184"/>
      <c r="AH202" s="184"/>
      <c r="AI202" s="184"/>
      <c r="AJ202" s="184"/>
      <c r="AK202" s="184"/>
      <c r="AL202" s="184"/>
      <c r="AM202" s="184"/>
      <c r="AN202" s="184"/>
      <c r="AO202" s="184"/>
      <c r="AP202" s="184"/>
      <c r="AQ202" s="184"/>
      <c r="AR202" s="184"/>
      <c r="AS202" s="184"/>
      <c r="AT202" s="184"/>
      <c r="AU202" s="184"/>
      <c r="AV202" s="184"/>
      <c r="AW202" s="184"/>
    </row>
    <row r="203" spans="1:49" ht="12.75" customHeight="1" x14ac:dyDescent="0.25">
      <c r="A203" s="201"/>
      <c r="B203" s="257"/>
      <c r="C203" s="141"/>
      <c r="D203" s="141"/>
      <c r="E203" s="142"/>
      <c r="F203" s="142"/>
      <c r="G203" s="142"/>
      <c r="H203" s="142"/>
      <c r="I203" s="184"/>
      <c r="J203" s="184"/>
      <c r="K203" s="184"/>
      <c r="L203" s="184"/>
      <c r="M203" s="184"/>
      <c r="N203" s="184"/>
      <c r="O203" s="184"/>
      <c r="P203" s="184"/>
      <c r="Q203" s="184"/>
      <c r="R203" s="184"/>
      <c r="S203" s="184"/>
      <c r="T203" s="184"/>
      <c r="U203" s="184"/>
      <c r="V203" s="184"/>
      <c r="W203" s="184"/>
      <c r="X203" s="184"/>
      <c r="Y203" s="184"/>
      <c r="Z203" s="184"/>
      <c r="AA203" s="184"/>
      <c r="AB203" s="184"/>
      <c r="AC203" s="184"/>
      <c r="AD203" s="184"/>
      <c r="AE203" s="184"/>
      <c r="AF203" s="184"/>
      <c r="AG203" s="184"/>
      <c r="AH203" s="184"/>
      <c r="AI203" s="184"/>
      <c r="AJ203" s="184"/>
      <c r="AK203" s="184"/>
      <c r="AL203" s="184"/>
      <c r="AM203" s="184"/>
      <c r="AN203" s="184"/>
      <c r="AO203" s="184"/>
      <c r="AP203" s="184"/>
      <c r="AQ203" s="184"/>
      <c r="AR203" s="184"/>
      <c r="AS203" s="184"/>
      <c r="AT203" s="184"/>
      <c r="AU203" s="184"/>
      <c r="AV203" s="184"/>
      <c r="AW203" s="184"/>
    </row>
    <row r="204" spans="1:49" ht="15.75" thickBot="1" x14ac:dyDescent="0.3"/>
    <row r="205" spans="1:49" ht="26.25" thickBot="1" x14ac:dyDescent="0.3">
      <c r="A205" s="283" t="s">
        <v>169</v>
      </c>
      <c r="B205" s="284" t="s">
        <v>5</v>
      </c>
      <c r="C205" s="284" t="s">
        <v>84</v>
      </c>
      <c r="D205" s="284" t="s">
        <v>86</v>
      </c>
      <c r="E205" s="284" t="s">
        <v>87</v>
      </c>
      <c r="F205" s="284" t="s">
        <v>223</v>
      </c>
      <c r="G205" s="284" t="s">
        <v>89</v>
      </c>
      <c r="H205" s="284" t="s">
        <v>90</v>
      </c>
      <c r="I205" s="239" t="s">
        <v>93</v>
      </c>
      <c r="J205" s="239" t="s">
        <v>95</v>
      </c>
      <c r="K205" s="239" t="s">
        <v>97</v>
      </c>
      <c r="L205" s="239" t="s">
        <v>140</v>
      </c>
      <c r="M205" s="239" t="s">
        <v>109</v>
      </c>
      <c r="N205" s="239" t="s">
        <v>103</v>
      </c>
      <c r="O205" s="239" t="s">
        <v>121</v>
      </c>
      <c r="P205" s="239" t="s">
        <v>113</v>
      </c>
      <c r="Q205" s="239" t="s">
        <v>105</v>
      </c>
      <c r="R205" s="239" t="s">
        <v>107</v>
      </c>
      <c r="S205" s="239" t="s">
        <v>141</v>
      </c>
      <c r="T205" s="239" t="s">
        <v>101</v>
      </c>
      <c r="U205" s="239" t="s">
        <v>122</v>
      </c>
      <c r="V205" s="239" t="s">
        <v>116</v>
      </c>
      <c r="W205" s="239" t="s">
        <v>148</v>
      </c>
      <c r="X205" s="239" t="s">
        <v>149</v>
      </c>
      <c r="Y205" s="239" t="s">
        <v>111</v>
      </c>
      <c r="Z205" s="239" t="s">
        <v>94</v>
      </c>
      <c r="AA205" s="239" t="s">
        <v>96</v>
      </c>
      <c r="AB205" s="239" t="s">
        <v>98</v>
      </c>
      <c r="AC205" s="239" t="s">
        <v>118</v>
      </c>
      <c r="AD205" s="239" t="s">
        <v>99</v>
      </c>
      <c r="AE205" s="369" t="s">
        <v>104</v>
      </c>
      <c r="AF205" s="369" t="s">
        <v>150</v>
      </c>
      <c r="AG205" s="239" t="s">
        <v>114</v>
      </c>
      <c r="AH205" s="239" t="s">
        <v>106</v>
      </c>
      <c r="AI205" s="239" t="s">
        <v>108</v>
      </c>
      <c r="AJ205" s="239" t="s">
        <v>142</v>
      </c>
      <c r="AK205" s="239" t="s">
        <v>102</v>
      </c>
      <c r="AL205" s="239" t="s">
        <v>143</v>
      </c>
      <c r="AM205" s="239" t="s">
        <v>123</v>
      </c>
      <c r="AN205" s="239" t="s">
        <v>117</v>
      </c>
      <c r="AO205" s="239" t="s">
        <v>151</v>
      </c>
      <c r="AP205" s="239" t="s">
        <v>112</v>
      </c>
      <c r="AQ205" s="239" t="s">
        <v>110</v>
      </c>
      <c r="AR205" s="239" t="s">
        <v>119</v>
      </c>
      <c r="AS205" s="239" t="s">
        <v>115</v>
      </c>
      <c r="AT205" s="239" t="s">
        <v>120</v>
      </c>
      <c r="AU205" s="285" t="s">
        <v>100</v>
      </c>
      <c r="AV205" s="285" t="s">
        <v>243</v>
      </c>
      <c r="AW205" s="285" t="s">
        <v>244</v>
      </c>
    </row>
    <row r="206" spans="1:49" ht="12.75" customHeight="1" x14ac:dyDescent="0.25">
      <c r="A206" s="201" t="s">
        <v>24</v>
      </c>
      <c r="B206" s="150" t="s">
        <v>15</v>
      </c>
      <c r="C206" s="274">
        <v>500</v>
      </c>
      <c r="D206" s="141">
        <v>1330</v>
      </c>
      <c r="E206" s="142">
        <f t="shared" ref="E206:E234" si="28">COUNTIF(I206:AW206,"HL")</f>
        <v>9</v>
      </c>
      <c r="F206" s="142">
        <f t="shared" ref="F206:F234" si="29">COUNTIF(I206:AW206,"Coaching")</f>
        <v>0</v>
      </c>
      <c r="G206" s="142">
        <f t="shared" ref="G206:G234" si="30">COUNTIF(I206:AW206,"ADM")</f>
        <v>3</v>
      </c>
      <c r="H206" s="142">
        <f t="shared" ref="H206:H234" si="31">COUNTIF(I206:AW206,"RNNR")</f>
        <v>2</v>
      </c>
      <c r="I206" s="184" t="s">
        <v>126</v>
      </c>
      <c r="J206" s="184" t="s">
        <v>126</v>
      </c>
      <c r="K206" s="184" t="s">
        <v>126</v>
      </c>
      <c r="L206" s="184" t="s">
        <v>126</v>
      </c>
      <c r="M206" s="184" t="s">
        <v>126</v>
      </c>
      <c r="N206" s="184" t="s">
        <v>364</v>
      </c>
      <c r="O206" s="184" t="s">
        <v>211</v>
      </c>
      <c r="P206" s="184" t="s">
        <v>211</v>
      </c>
      <c r="Q206" s="184" t="s">
        <v>241</v>
      </c>
      <c r="R206" s="184" t="s">
        <v>130</v>
      </c>
      <c r="S206" s="184" t="s">
        <v>130</v>
      </c>
      <c r="T206" s="184" t="s">
        <v>130</v>
      </c>
      <c r="U206" s="184" t="s">
        <v>248</v>
      </c>
      <c r="V206" s="184" t="s">
        <v>126</v>
      </c>
      <c r="W206" s="184" t="s">
        <v>126</v>
      </c>
      <c r="X206" s="184" t="s">
        <v>126</v>
      </c>
      <c r="Y206" s="184" t="s">
        <v>126</v>
      </c>
      <c r="Z206" s="184"/>
      <c r="AA206" s="184"/>
      <c r="AB206" s="184"/>
      <c r="AC206" s="184"/>
      <c r="AD206" s="184"/>
      <c r="AE206" s="184"/>
      <c r="AF206" s="184"/>
      <c r="AG206" s="184"/>
      <c r="AH206" s="184"/>
      <c r="AI206" s="184"/>
      <c r="AJ206" s="184"/>
      <c r="AK206" s="184"/>
      <c r="AL206" s="184"/>
      <c r="AM206" s="184"/>
      <c r="AN206" s="184"/>
      <c r="AO206" s="184"/>
      <c r="AP206" s="184"/>
      <c r="AQ206" s="184"/>
      <c r="AR206" s="184"/>
      <c r="AS206" s="184"/>
      <c r="AT206" s="184"/>
      <c r="AU206" s="184"/>
      <c r="AV206" s="184"/>
      <c r="AW206" s="184"/>
    </row>
    <row r="207" spans="1:49" ht="12.75" customHeight="1" x14ac:dyDescent="0.25">
      <c r="A207" s="202" t="s">
        <v>233</v>
      </c>
      <c r="B207" s="257" t="s">
        <v>15</v>
      </c>
      <c r="C207" s="274">
        <v>500</v>
      </c>
      <c r="D207" s="141">
        <v>1330</v>
      </c>
      <c r="E207" s="142">
        <f t="shared" si="28"/>
        <v>8</v>
      </c>
      <c r="F207" s="142">
        <f t="shared" si="29"/>
        <v>0</v>
      </c>
      <c r="G207" s="142">
        <f t="shared" si="30"/>
        <v>6</v>
      </c>
      <c r="H207" s="142">
        <f t="shared" si="31"/>
        <v>0</v>
      </c>
      <c r="I207" s="184" t="s">
        <v>126</v>
      </c>
      <c r="J207" s="184" t="s">
        <v>126</v>
      </c>
      <c r="K207" s="184" t="s">
        <v>126</v>
      </c>
      <c r="L207" s="184" t="s">
        <v>126</v>
      </c>
      <c r="M207" s="184" t="s">
        <v>247</v>
      </c>
      <c r="N207" s="184" t="s">
        <v>130</v>
      </c>
      <c r="O207" s="184" t="s">
        <v>130</v>
      </c>
      <c r="P207" s="184" t="s">
        <v>130</v>
      </c>
      <c r="Q207" s="184" t="s">
        <v>130</v>
      </c>
      <c r="R207" s="184" t="s">
        <v>241</v>
      </c>
      <c r="S207" s="184" t="s">
        <v>130</v>
      </c>
      <c r="T207" s="184" t="s">
        <v>130</v>
      </c>
      <c r="U207" s="184" t="s">
        <v>126</v>
      </c>
      <c r="V207" s="184" t="s">
        <v>248</v>
      </c>
      <c r="W207" s="184" t="s">
        <v>126</v>
      </c>
      <c r="X207" s="184" t="s">
        <v>126</v>
      </c>
      <c r="Y207" s="184" t="s">
        <v>126</v>
      </c>
      <c r="Z207" s="184"/>
      <c r="AA207" s="184"/>
      <c r="AB207" s="184"/>
      <c r="AC207" s="184"/>
      <c r="AD207" s="184"/>
      <c r="AE207" s="184"/>
      <c r="AF207" s="184"/>
      <c r="AG207" s="184"/>
      <c r="AH207" s="184"/>
      <c r="AI207" s="184"/>
      <c r="AJ207" s="184"/>
      <c r="AK207" s="184"/>
      <c r="AL207" s="184"/>
      <c r="AM207" s="184"/>
      <c r="AN207" s="184"/>
      <c r="AO207" s="184"/>
      <c r="AP207" s="184"/>
      <c r="AQ207" s="184"/>
      <c r="AR207" s="184"/>
      <c r="AS207" s="184"/>
      <c r="AT207" s="184"/>
      <c r="AU207" s="184"/>
      <c r="AV207" s="184"/>
      <c r="AW207" s="184"/>
    </row>
    <row r="208" spans="1:49" ht="12.75" customHeight="1" x14ac:dyDescent="0.25">
      <c r="A208" s="201" t="s">
        <v>44</v>
      </c>
      <c r="B208" s="150" t="s">
        <v>15</v>
      </c>
      <c r="C208" s="274">
        <v>530</v>
      </c>
      <c r="D208" s="141">
        <v>1400</v>
      </c>
      <c r="E208" s="142">
        <f t="shared" si="28"/>
        <v>5</v>
      </c>
      <c r="F208" s="142">
        <f t="shared" si="29"/>
        <v>0</v>
      </c>
      <c r="G208" s="142">
        <f t="shared" si="30"/>
        <v>7</v>
      </c>
      <c r="H208" s="142">
        <f t="shared" si="31"/>
        <v>2</v>
      </c>
      <c r="I208" s="184"/>
      <c r="J208" s="184" t="s">
        <v>130</v>
      </c>
      <c r="K208" s="184" t="s">
        <v>130</v>
      </c>
      <c r="L208" s="184" t="s">
        <v>130</v>
      </c>
      <c r="M208" s="184" t="s">
        <v>126</v>
      </c>
      <c r="N208" s="184" t="s">
        <v>247</v>
      </c>
      <c r="O208" s="184" t="s">
        <v>126</v>
      </c>
      <c r="P208" s="184" t="s">
        <v>126</v>
      </c>
      <c r="Q208" s="184" t="s">
        <v>211</v>
      </c>
      <c r="R208" s="184" t="s">
        <v>211</v>
      </c>
      <c r="S208" s="184" t="s">
        <v>241</v>
      </c>
      <c r="T208" s="184" t="s">
        <v>130</v>
      </c>
      <c r="U208" s="184" t="s">
        <v>130</v>
      </c>
      <c r="V208" s="184" t="s">
        <v>362</v>
      </c>
      <c r="W208" s="184" t="s">
        <v>130</v>
      </c>
      <c r="X208" s="184" t="s">
        <v>130</v>
      </c>
      <c r="Y208" s="184" t="s">
        <v>126</v>
      </c>
      <c r="Z208" s="184" t="s">
        <v>126</v>
      </c>
      <c r="AA208" s="184"/>
      <c r="AB208" s="184"/>
      <c r="AC208" s="184"/>
      <c r="AD208" s="184"/>
      <c r="AE208" s="184"/>
      <c r="AF208" s="184"/>
      <c r="AG208" s="184"/>
      <c r="AH208" s="184"/>
      <c r="AI208" s="184"/>
      <c r="AJ208" s="184"/>
      <c r="AK208" s="184"/>
      <c r="AL208" s="184"/>
      <c r="AM208" s="184"/>
      <c r="AN208" s="184"/>
      <c r="AO208" s="184"/>
      <c r="AP208" s="184"/>
      <c r="AQ208" s="184"/>
      <c r="AR208" s="184"/>
      <c r="AS208" s="184"/>
      <c r="AT208" s="184"/>
      <c r="AU208" s="184"/>
      <c r="AV208" s="184"/>
      <c r="AW208" s="184"/>
    </row>
    <row r="209" spans="1:49" ht="12.75" customHeight="1" x14ac:dyDescent="0.25">
      <c r="A209" s="201" t="s">
        <v>19</v>
      </c>
      <c r="B209" s="150" t="s">
        <v>15</v>
      </c>
      <c r="C209" s="274">
        <v>600</v>
      </c>
      <c r="D209" s="141">
        <v>1430</v>
      </c>
      <c r="E209" s="142">
        <f t="shared" si="28"/>
        <v>5</v>
      </c>
      <c r="F209" s="142">
        <f t="shared" si="29"/>
        <v>0</v>
      </c>
      <c r="G209" s="142">
        <f t="shared" si="30"/>
        <v>7</v>
      </c>
      <c r="H209" s="142">
        <f t="shared" si="31"/>
        <v>2</v>
      </c>
      <c r="I209" s="184"/>
      <c r="J209" s="184"/>
      <c r="K209" s="184" t="s">
        <v>130</v>
      </c>
      <c r="L209" s="184" t="s">
        <v>130</v>
      </c>
      <c r="M209" s="184" t="s">
        <v>130</v>
      </c>
      <c r="N209" s="184" t="s">
        <v>126</v>
      </c>
      <c r="O209" s="184" t="s">
        <v>247</v>
      </c>
      <c r="P209" s="184" t="s">
        <v>126</v>
      </c>
      <c r="Q209" s="184" t="s">
        <v>126</v>
      </c>
      <c r="R209" s="184" t="s">
        <v>126</v>
      </c>
      <c r="S209" s="184" t="s">
        <v>126</v>
      </c>
      <c r="T209" s="184" t="s">
        <v>241</v>
      </c>
      <c r="U209" s="184" t="s">
        <v>211</v>
      </c>
      <c r="V209" s="184" t="s">
        <v>211</v>
      </c>
      <c r="W209" s="184" t="s">
        <v>130</v>
      </c>
      <c r="X209" s="184" t="s">
        <v>362</v>
      </c>
      <c r="Y209" s="184" t="s">
        <v>130</v>
      </c>
      <c r="Z209" s="184" t="s">
        <v>130</v>
      </c>
      <c r="AA209" s="184" t="s">
        <v>130</v>
      </c>
      <c r="AB209" s="184"/>
      <c r="AC209" s="184"/>
      <c r="AD209" s="184"/>
      <c r="AE209" s="184"/>
      <c r="AF209" s="184"/>
      <c r="AG209" s="184"/>
      <c r="AH209" s="184"/>
      <c r="AI209" s="184"/>
      <c r="AJ209" s="184"/>
      <c r="AK209" s="184"/>
      <c r="AL209" s="184"/>
      <c r="AM209" s="184"/>
      <c r="AN209" s="184"/>
      <c r="AO209" s="184"/>
      <c r="AP209" s="184"/>
      <c r="AQ209" s="184"/>
      <c r="AR209" s="184"/>
      <c r="AS209" s="184"/>
      <c r="AT209" s="184"/>
      <c r="AU209" s="184"/>
      <c r="AV209" s="184"/>
      <c r="AW209" s="184"/>
    </row>
    <row r="210" spans="1:49" ht="12.75" customHeight="1" x14ac:dyDescent="0.25">
      <c r="A210" s="202" t="s">
        <v>22</v>
      </c>
      <c r="B210" s="257" t="s">
        <v>15</v>
      </c>
      <c r="C210" s="274">
        <v>700</v>
      </c>
      <c r="D210" s="141">
        <v>1600</v>
      </c>
      <c r="E210" s="142">
        <f t="shared" si="28"/>
        <v>7</v>
      </c>
      <c r="F210" s="142">
        <f t="shared" si="29"/>
        <v>0</v>
      </c>
      <c r="G210" s="142">
        <f t="shared" si="30"/>
        <v>7</v>
      </c>
      <c r="H210" s="142">
        <f t="shared" si="31"/>
        <v>0</v>
      </c>
      <c r="I210" s="184"/>
      <c r="J210" s="184"/>
      <c r="K210" s="184"/>
      <c r="L210" s="184"/>
      <c r="M210" s="184" t="s">
        <v>126</v>
      </c>
      <c r="N210" s="184" t="s">
        <v>126</v>
      </c>
      <c r="O210" s="184" t="s">
        <v>126</v>
      </c>
      <c r="P210" s="184" t="s">
        <v>126</v>
      </c>
      <c r="Q210" s="184" t="s">
        <v>240</v>
      </c>
      <c r="R210" s="184" t="s">
        <v>130</v>
      </c>
      <c r="S210" s="184" t="s">
        <v>130</v>
      </c>
      <c r="T210" s="184" t="s">
        <v>130</v>
      </c>
      <c r="U210" s="184" t="s">
        <v>130</v>
      </c>
      <c r="V210" s="184" t="s">
        <v>241</v>
      </c>
      <c r="W210" s="184" t="s">
        <v>241</v>
      </c>
      <c r="X210" s="184" t="s">
        <v>130</v>
      </c>
      <c r="Y210" s="184" t="s">
        <v>126</v>
      </c>
      <c r="Z210" s="184" t="s">
        <v>126</v>
      </c>
      <c r="AA210" s="184" t="s">
        <v>363</v>
      </c>
      <c r="AB210" s="184" t="s">
        <v>130</v>
      </c>
      <c r="AC210" s="184" t="s">
        <v>126</v>
      </c>
      <c r="AD210" s="184" t="s">
        <v>130</v>
      </c>
      <c r="AE210" s="184"/>
      <c r="AF210" s="184"/>
      <c r="AG210" s="184"/>
      <c r="AH210" s="184"/>
      <c r="AI210" s="184"/>
      <c r="AJ210" s="184"/>
      <c r="AK210" s="184"/>
      <c r="AL210" s="184"/>
      <c r="AM210" s="184"/>
      <c r="AN210" s="184"/>
      <c r="AO210" s="184"/>
      <c r="AP210" s="184"/>
      <c r="AQ210" s="184"/>
      <c r="AR210" s="184"/>
      <c r="AS210" s="184"/>
      <c r="AT210" s="184"/>
      <c r="AU210" s="184"/>
      <c r="AV210" s="184"/>
      <c r="AW210" s="184"/>
    </row>
    <row r="211" spans="1:49" ht="12.75" customHeight="1" x14ac:dyDescent="0.25">
      <c r="A211" s="202" t="s">
        <v>237</v>
      </c>
      <c r="B211" s="257" t="s">
        <v>15</v>
      </c>
      <c r="C211" s="274">
        <v>730</v>
      </c>
      <c r="D211" s="141">
        <v>1600</v>
      </c>
      <c r="E211" s="142">
        <f t="shared" si="28"/>
        <v>7</v>
      </c>
      <c r="F211" s="142">
        <f t="shared" si="29"/>
        <v>0</v>
      </c>
      <c r="G211" s="142">
        <f t="shared" si="30"/>
        <v>5</v>
      </c>
      <c r="H211" s="142">
        <f t="shared" si="31"/>
        <v>2</v>
      </c>
      <c r="I211" s="184"/>
      <c r="J211" s="184"/>
      <c r="K211" s="184"/>
      <c r="L211" s="184"/>
      <c r="M211" s="184"/>
      <c r="N211" s="184" t="s">
        <v>126</v>
      </c>
      <c r="O211" s="184" t="s">
        <v>126</v>
      </c>
      <c r="P211" s="184" t="s">
        <v>130</v>
      </c>
      <c r="Q211" s="184" t="s">
        <v>130</v>
      </c>
      <c r="R211" s="184" t="s">
        <v>361</v>
      </c>
      <c r="S211" s="184" t="s">
        <v>211</v>
      </c>
      <c r="T211" s="184" t="s">
        <v>211</v>
      </c>
      <c r="U211" s="184" t="s">
        <v>130</v>
      </c>
      <c r="V211" s="184" t="s">
        <v>126</v>
      </c>
      <c r="W211" s="184" t="s">
        <v>241</v>
      </c>
      <c r="X211" s="184" t="s">
        <v>126</v>
      </c>
      <c r="Y211" s="184" t="s">
        <v>130</v>
      </c>
      <c r="Z211" s="184" t="s">
        <v>130</v>
      </c>
      <c r="AA211" s="184" t="s">
        <v>362</v>
      </c>
      <c r="AB211" s="184" t="s">
        <v>126</v>
      </c>
      <c r="AC211" s="184" t="s">
        <v>126</v>
      </c>
      <c r="AD211" s="184" t="s">
        <v>126</v>
      </c>
      <c r="AE211" s="184"/>
      <c r="AF211" s="184"/>
      <c r="AG211" s="184"/>
      <c r="AH211" s="184"/>
      <c r="AI211" s="184"/>
      <c r="AJ211" s="184"/>
      <c r="AK211" s="184"/>
      <c r="AL211" s="184"/>
      <c r="AM211" s="184"/>
      <c r="AN211" s="184"/>
      <c r="AO211" s="184"/>
      <c r="AP211" s="184"/>
      <c r="AQ211" s="184"/>
      <c r="AR211" s="184"/>
      <c r="AS211" s="184"/>
      <c r="AT211" s="184"/>
      <c r="AU211" s="184"/>
      <c r="AV211" s="184"/>
      <c r="AW211" s="184"/>
    </row>
    <row r="212" spans="1:49" ht="12.75" customHeight="1" x14ac:dyDescent="0.25">
      <c r="A212" s="202" t="s">
        <v>41</v>
      </c>
      <c r="B212" s="257" t="s">
        <v>15</v>
      </c>
      <c r="C212" s="274">
        <v>800</v>
      </c>
      <c r="D212" s="141">
        <v>1630</v>
      </c>
      <c r="E212" s="142">
        <f t="shared" si="28"/>
        <v>7</v>
      </c>
      <c r="F212" s="142">
        <f t="shared" si="29"/>
        <v>0</v>
      </c>
      <c r="G212" s="142">
        <f t="shared" si="30"/>
        <v>7</v>
      </c>
      <c r="H212" s="142">
        <f t="shared" si="31"/>
        <v>0</v>
      </c>
      <c r="I212" s="184"/>
      <c r="J212" s="184"/>
      <c r="K212" s="184"/>
      <c r="L212" s="184"/>
      <c r="M212" s="184"/>
      <c r="N212" s="184"/>
      <c r="O212" s="184" t="s">
        <v>126</v>
      </c>
      <c r="P212" s="184" t="s">
        <v>126</v>
      </c>
      <c r="Q212" s="184" t="s">
        <v>130</v>
      </c>
      <c r="R212" s="184" t="s">
        <v>130</v>
      </c>
      <c r="S212" s="184" t="s">
        <v>247</v>
      </c>
      <c r="T212" s="184" t="s">
        <v>126</v>
      </c>
      <c r="U212" s="184" t="s">
        <v>126</v>
      </c>
      <c r="V212" s="184" t="s">
        <v>130</v>
      </c>
      <c r="W212" s="184" t="s">
        <v>130</v>
      </c>
      <c r="X212" s="184" t="s">
        <v>241</v>
      </c>
      <c r="Y212" s="184" t="s">
        <v>130</v>
      </c>
      <c r="Z212" s="184" t="s">
        <v>126</v>
      </c>
      <c r="AA212" s="184" t="s">
        <v>126</v>
      </c>
      <c r="AB212" s="184" t="s">
        <v>363</v>
      </c>
      <c r="AC212" s="184" t="s">
        <v>130</v>
      </c>
      <c r="AD212" s="184" t="s">
        <v>130</v>
      </c>
      <c r="AE212" s="184" t="s">
        <v>126</v>
      </c>
      <c r="AF212" s="184"/>
      <c r="AG212" s="184"/>
      <c r="AH212" s="184"/>
      <c r="AI212" s="184"/>
      <c r="AJ212" s="184"/>
      <c r="AK212" s="184"/>
      <c r="AL212" s="184"/>
      <c r="AM212" s="184"/>
      <c r="AN212" s="184"/>
      <c r="AO212" s="184"/>
      <c r="AP212" s="184"/>
      <c r="AQ212" s="184"/>
      <c r="AR212" s="184"/>
      <c r="AS212" s="184"/>
      <c r="AT212" s="184"/>
      <c r="AU212" s="184"/>
      <c r="AV212" s="184"/>
      <c r="AW212" s="184"/>
    </row>
    <row r="213" spans="1:49" ht="12.75" customHeight="1" x14ac:dyDescent="0.25">
      <c r="A213" s="201" t="s">
        <v>231</v>
      </c>
      <c r="B213" s="150" t="s">
        <v>15</v>
      </c>
      <c r="C213" s="274">
        <v>900</v>
      </c>
      <c r="D213" s="188">
        <v>1730</v>
      </c>
      <c r="E213" s="142">
        <f t="shared" si="28"/>
        <v>6</v>
      </c>
      <c r="F213" s="142">
        <f t="shared" si="29"/>
        <v>0</v>
      </c>
      <c r="G213" s="142">
        <f t="shared" si="30"/>
        <v>6</v>
      </c>
      <c r="H213" s="142">
        <f t="shared" si="31"/>
        <v>2</v>
      </c>
      <c r="I213" s="184"/>
      <c r="J213" s="184"/>
      <c r="K213" s="184"/>
      <c r="L213" s="184"/>
      <c r="M213" s="184"/>
      <c r="N213" s="184"/>
      <c r="O213" s="184"/>
      <c r="P213" s="184"/>
      <c r="Q213" s="184" t="s">
        <v>126</v>
      </c>
      <c r="R213" s="184" t="s">
        <v>126</v>
      </c>
      <c r="S213" s="184" t="s">
        <v>126</v>
      </c>
      <c r="T213" s="184" t="s">
        <v>240</v>
      </c>
      <c r="U213" s="184" t="s">
        <v>130</v>
      </c>
      <c r="V213" s="184" t="s">
        <v>130</v>
      </c>
      <c r="W213" s="184" t="s">
        <v>211</v>
      </c>
      <c r="X213" s="184" t="s">
        <v>211</v>
      </c>
      <c r="Y213" s="184" t="s">
        <v>241</v>
      </c>
      <c r="Z213" s="184" t="s">
        <v>130</v>
      </c>
      <c r="AA213" s="184" t="s">
        <v>130</v>
      </c>
      <c r="AB213" s="184" t="s">
        <v>126</v>
      </c>
      <c r="AC213" s="184" t="s">
        <v>126</v>
      </c>
      <c r="AD213" s="184" t="s">
        <v>363</v>
      </c>
      <c r="AE213" s="184" t="s">
        <v>130</v>
      </c>
      <c r="AF213" s="184" t="s">
        <v>126</v>
      </c>
      <c r="AG213" s="184" t="s">
        <v>130</v>
      </c>
      <c r="AH213" s="184"/>
      <c r="AI213" s="184"/>
      <c r="AJ213" s="184"/>
      <c r="AK213" s="184"/>
      <c r="AL213" s="184"/>
      <c r="AM213" s="184"/>
      <c r="AN213" s="184"/>
      <c r="AO213" s="184"/>
      <c r="AP213" s="184"/>
      <c r="AQ213" s="184"/>
      <c r="AR213" s="184"/>
      <c r="AS213" s="184"/>
      <c r="AT213" s="184"/>
      <c r="AU213" s="184"/>
      <c r="AV213" s="184"/>
      <c r="AW213" s="184"/>
    </row>
    <row r="214" spans="1:49" ht="12.75" customHeight="1" x14ac:dyDescent="0.25">
      <c r="A214" s="202" t="s">
        <v>69</v>
      </c>
      <c r="B214" s="150" t="s">
        <v>15</v>
      </c>
      <c r="C214" s="55">
        <v>1000</v>
      </c>
      <c r="D214" s="188">
        <v>1900</v>
      </c>
      <c r="E214" s="142">
        <f t="shared" si="28"/>
        <v>6</v>
      </c>
      <c r="F214" s="142">
        <f t="shared" si="29"/>
        <v>0</v>
      </c>
      <c r="G214" s="142">
        <f t="shared" si="30"/>
        <v>6</v>
      </c>
      <c r="H214" s="142">
        <f t="shared" si="31"/>
        <v>2</v>
      </c>
      <c r="I214" s="184"/>
      <c r="J214" s="184"/>
      <c r="K214" s="184"/>
      <c r="L214" s="184"/>
      <c r="M214" s="184"/>
      <c r="N214" s="184"/>
      <c r="O214" s="184"/>
      <c r="P214" s="184"/>
      <c r="Q214" s="184"/>
      <c r="R214" s="184"/>
      <c r="S214" s="184" t="s">
        <v>130</v>
      </c>
      <c r="T214" s="184" t="s">
        <v>126</v>
      </c>
      <c r="U214" s="184" t="s">
        <v>126</v>
      </c>
      <c r="V214" s="184" t="s">
        <v>126</v>
      </c>
      <c r="W214" s="184" t="s">
        <v>240</v>
      </c>
      <c r="X214" s="184" t="s">
        <v>130</v>
      </c>
      <c r="Y214" s="184" t="s">
        <v>130</v>
      </c>
      <c r="Z214" s="184" t="s">
        <v>130</v>
      </c>
      <c r="AA214" s="184" t="s">
        <v>241</v>
      </c>
      <c r="AB214" s="184" t="s">
        <v>241</v>
      </c>
      <c r="AC214" s="184" t="s">
        <v>211</v>
      </c>
      <c r="AD214" s="184" t="s">
        <v>211</v>
      </c>
      <c r="AE214" s="184" t="s">
        <v>126</v>
      </c>
      <c r="AF214" s="184" t="s">
        <v>130</v>
      </c>
      <c r="AG214" s="184" t="s">
        <v>248</v>
      </c>
      <c r="AH214" s="184" t="s">
        <v>126</v>
      </c>
      <c r="AI214" s="184" t="s">
        <v>126</v>
      </c>
      <c r="AJ214" s="184" t="s">
        <v>130</v>
      </c>
      <c r="AK214" s="184"/>
      <c r="AL214" s="184"/>
      <c r="AM214" s="184"/>
      <c r="AN214" s="184"/>
      <c r="AO214" s="184"/>
      <c r="AP214" s="184"/>
      <c r="AQ214" s="184"/>
      <c r="AR214" s="184"/>
      <c r="AS214" s="184"/>
      <c r="AT214" s="184"/>
      <c r="AU214" s="184"/>
      <c r="AV214" s="184"/>
      <c r="AW214" s="184"/>
    </row>
    <row r="215" spans="1:49" ht="12.75" customHeight="1" x14ac:dyDescent="0.25">
      <c r="A215" s="202" t="s">
        <v>67</v>
      </c>
      <c r="B215" s="140" t="s">
        <v>15</v>
      </c>
      <c r="C215" s="55">
        <v>1030</v>
      </c>
      <c r="D215" s="141">
        <v>1900</v>
      </c>
      <c r="E215" s="142">
        <f t="shared" si="28"/>
        <v>6</v>
      </c>
      <c r="F215" s="142">
        <f t="shared" si="29"/>
        <v>0</v>
      </c>
      <c r="G215" s="142">
        <f t="shared" si="30"/>
        <v>6</v>
      </c>
      <c r="H215" s="142">
        <f t="shared" si="31"/>
        <v>2</v>
      </c>
      <c r="I215" s="184"/>
      <c r="J215" s="184"/>
      <c r="K215" s="184"/>
      <c r="L215" s="184"/>
      <c r="M215" s="184"/>
      <c r="N215" s="184"/>
      <c r="O215" s="184"/>
      <c r="P215" s="184"/>
      <c r="Q215" s="184"/>
      <c r="R215" s="184"/>
      <c r="S215" s="184"/>
      <c r="T215" s="184" t="s">
        <v>130</v>
      </c>
      <c r="U215" s="184" t="s">
        <v>126</v>
      </c>
      <c r="V215" s="184" t="s">
        <v>126</v>
      </c>
      <c r="W215" s="184" t="s">
        <v>126</v>
      </c>
      <c r="X215" s="184" t="s">
        <v>247</v>
      </c>
      <c r="Y215" s="184" t="s">
        <v>211</v>
      </c>
      <c r="Z215" s="184" t="s">
        <v>211</v>
      </c>
      <c r="AA215" s="184" t="s">
        <v>130</v>
      </c>
      <c r="AB215" s="184" t="s">
        <v>241</v>
      </c>
      <c r="AC215" s="184" t="s">
        <v>126</v>
      </c>
      <c r="AD215" s="184" t="s">
        <v>126</v>
      </c>
      <c r="AE215" s="184" t="s">
        <v>130</v>
      </c>
      <c r="AF215" s="184" t="s">
        <v>362</v>
      </c>
      <c r="AG215" s="184" t="s">
        <v>130</v>
      </c>
      <c r="AH215" s="184" t="s">
        <v>130</v>
      </c>
      <c r="AI215" s="184" t="s">
        <v>130</v>
      </c>
      <c r="AJ215" s="184" t="s">
        <v>126</v>
      </c>
      <c r="AK215" s="184"/>
      <c r="AL215" s="184"/>
      <c r="AM215" s="184"/>
      <c r="AN215" s="184"/>
      <c r="AO215" s="184"/>
      <c r="AP215" s="184"/>
      <c r="AQ215" s="184"/>
      <c r="AR215" s="184"/>
      <c r="AS215" s="184"/>
      <c r="AT215" s="184"/>
      <c r="AU215" s="184"/>
      <c r="AV215" s="184"/>
      <c r="AW215" s="184"/>
    </row>
    <row r="216" spans="1:49" ht="12.75" customHeight="1" x14ac:dyDescent="0.25">
      <c r="A216" s="201" t="s">
        <v>30</v>
      </c>
      <c r="B216" s="150" t="s">
        <v>15</v>
      </c>
      <c r="C216" s="188">
        <v>1100</v>
      </c>
      <c r="D216" s="188">
        <v>2000</v>
      </c>
      <c r="E216" s="142">
        <f t="shared" si="28"/>
        <v>5</v>
      </c>
      <c r="F216" s="142">
        <f t="shared" si="29"/>
        <v>0</v>
      </c>
      <c r="G216" s="142">
        <f t="shared" si="30"/>
        <v>5</v>
      </c>
      <c r="H216" s="142">
        <f t="shared" si="31"/>
        <v>2</v>
      </c>
      <c r="I216" s="184"/>
      <c r="J216" s="184"/>
      <c r="K216" s="184"/>
      <c r="L216" s="184"/>
      <c r="M216" s="184"/>
      <c r="N216" s="184"/>
      <c r="O216" s="184"/>
      <c r="P216" s="184"/>
      <c r="Q216" s="184"/>
      <c r="R216" s="184"/>
      <c r="S216" s="184"/>
      <c r="T216" s="184"/>
      <c r="U216" s="184" t="s">
        <v>130</v>
      </c>
      <c r="V216" s="184" t="s">
        <v>130</v>
      </c>
      <c r="W216" s="184" t="s">
        <v>431</v>
      </c>
      <c r="X216" s="184" t="s">
        <v>431</v>
      </c>
      <c r="Y216" s="184" t="s">
        <v>364</v>
      </c>
      <c r="Z216" s="184" t="s">
        <v>130</v>
      </c>
      <c r="AA216" s="184" t="s">
        <v>126</v>
      </c>
      <c r="AB216" s="184" t="s">
        <v>130</v>
      </c>
      <c r="AC216" s="184" t="s">
        <v>241</v>
      </c>
      <c r="AD216" s="184" t="s">
        <v>130</v>
      </c>
      <c r="AE216" s="184" t="s">
        <v>211</v>
      </c>
      <c r="AF216" s="184" t="s">
        <v>211</v>
      </c>
      <c r="AG216" s="184" t="s">
        <v>126</v>
      </c>
      <c r="AH216" s="184" t="s">
        <v>248</v>
      </c>
      <c r="AI216" s="184" t="s">
        <v>126</v>
      </c>
      <c r="AJ216" s="184" t="s">
        <v>126</v>
      </c>
      <c r="AK216" s="184" t="s">
        <v>126</v>
      </c>
      <c r="AL216" s="184"/>
      <c r="AM216" s="184"/>
      <c r="AN216" s="184"/>
      <c r="AO216" s="184"/>
      <c r="AP216" s="184"/>
      <c r="AQ216" s="184"/>
      <c r="AR216" s="184"/>
      <c r="AS216" s="184"/>
      <c r="AT216" s="184"/>
      <c r="AU216" s="184"/>
      <c r="AV216" s="184"/>
      <c r="AW216" s="184"/>
    </row>
    <row r="217" spans="1:49" ht="12.75" customHeight="1" x14ac:dyDescent="0.25">
      <c r="A217" s="202" t="s">
        <v>414</v>
      </c>
      <c r="B217" s="257" t="s">
        <v>15</v>
      </c>
      <c r="C217" s="274">
        <v>1130</v>
      </c>
      <c r="D217" s="141">
        <v>1930</v>
      </c>
      <c r="E217" s="142">
        <f t="shared" si="28"/>
        <v>7</v>
      </c>
      <c r="F217" s="142">
        <f t="shared" si="29"/>
        <v>0</v>
      </c>
      <c r="G217" s="142">
        <f t="shared" si="30"/>
        <v>4</v>
      </c>
      <c r="H217" s="142">
        <f t="shared" si="31"/>
        <v>3</v>
      </c>
      <c r="I217" s="184"/>
      <c r="J217" s="184"/>
      <c r="K217" s="184"/>
      <c r="L217" s="184"/>
      <c r="M217" s="184"/>
      <c r="N217" s="184"/>
      <c r="O217" s="184"/>
      <c r="P217" s="184"/>
      <c r="Q217" s="184"/>
      <c r="R217" s="184"/>
      <c r="S217" s="184"/>
      <c r="T217" s="184"/>
      <c r="U217" s="184"/>
      <c r="V217" s="184" t="s">
        <v>130</v>
      </c>
      <c r="W217" s="184" t="s">
        <v>130</v>
      </c>
      <c r="X217" s="184" t="s">
        <v>130</v>
      </c>
      <c r="Y217" s="184" t="s">
        <v>361</v>
      </c>
      <c r="Z217" s="184" t="s">
        <v>126</v>
      </c>
      <c r="AA217" s="184" t="s">
        <v>126</v>
      </c>
      <c r="AB217" s="184" t="s">
        <v>126</v>
      </c>
      <c r="AC217" s="184" t="s">
        <v>126</v>
      </c>
      <c r="AD217" s="184" t="s">
        <v>241</v>
      </c>
      <c r="AE217" s="184" t="s">
        <v>211</v>
      </c>
      <c r="AF217" s="184" t="s">
        <v>126</v>
      </c>
      <c r="AG217" s="184" t="s">
        <v>126</v>
      </c>
      <c r="AH217" s="184" t="s">
        <v>126</v>
      </c>
      <c r="AI217" s="184" t="s">
        <v>363</v>
      </c>
      <c r="AJ217" s="184" t="s">
        <v>130</v>
      </c>
      <c r="AK217" s="184" t="s">
        <v>211</v>
      </c>
      <c r="AL217" s="184" t="s">
        <v>211</v>
      </c>
      <c r="AM217" s="184"/>
      <c r="AN217" s="184"/>
      <c r="AO217" s="184"/>
      <c r="AP217" s="184"/>
      <c r="AQ217" s="184"/>
      <c r="AR217" s="184"/>
      <c r="AS217" s="184"/>
      <c r="AT217" s="184"/>
      <c r="AU217" s="184"/>
      <c r="AV217" s="184"/>
      <c r="AW217" s="184"/>
    </row>
    <row r="218" spans="1:49" ht="12.75" customHeight="1" x14ac:dyDescent="0.25">
      <c r="A218" s="202" t="s">
        <v>29</v>
      </c>
      <c r="B218" s="257" t="s">
        <v>15</v>
      </c>
      <c r="C218" s="274">
        <v>1300</v>
      </c>
      <c r="D218" s="141">
        <v>2130</v>
      </c>
      <c r="E218" s="142">
        <f t="shared" si="28"/>
        <v>6</v>
      </c>
      <c r="F218" s="142">
        <f t="shared" si="29"/>
        <v>0</v>
      </c>
      <c r="G218" s="142">
        <f t="shared" si="30"/>
        <v>4</v>
      </c>
      <c r="H218" s="142">
        <f t="shared" si="31"/>
        <v>2</v>
      </c>
      <c r="I218" s="184"/>
      <c r="J218" s="184"/>
      <c r="K218" s="184"/>
      <c r="L218" s="184"/>
      <c r="M218" s="184"/>
      <c r="N218" s="184"/>
      <c r="O218" s="184"/>
      <c r="P218" s="184"/>
      <c r="Q218" s="184"/>
      <c r="R218" s="184"/>
      <c r="S218" s="184"/>
      <c r="T218" s="184"/>
      <c r="U218" s="184"/>
      <c r="V218" s="184"/>
      <c r="W218" s="184"/>
      <c r="X218" s="184"/>
      <c r="Y218" s="184" t="s">
        <v>130</v>
      </c>
      <c r="Z218" s="184" t="s">
        <v>130</v>
      </c>
      <c r="AA218" s="184" t="s">
        <v>211</v>
      </c>
      <c r="AB218" s="184" t="s">
        <v>211</v>
      </c>
      <c r="AC218" s="184" t="s">
        <v>361</v>
      </c>
      <c r="AD218" s="184" t="s">
        <v>130</v>
      </c>
      <c r="AE218" s="184" t="s">
        <v>130</v>
      </c>
      <c r="AF218" s="184" t="s">
        <v>126</v>
      </c>
      <c r="AG218" s="184" t="s">
        <v>241</v>
      </c>
      <c r="AH218" s="184" t="s">
        <v>126</v>
      </c>
      <c r="AI218" s="184" t="s">
        <v>431</v>
      </c>
      <c r="AJ218" s="184" t="s">
        <v>431</v>
      </c>
      <c r="AK218" s="184" t="s">
        <v>126</v>
      </c>
      <c r="AL218" s="184" t="s">
        <v>362</v>
      </c>
      <c r="AM218" s="184" t="s">
        <v>126</v>
      </c>
      <c r="AN218" s="184" t="s">
        <v>126</v>
      </c>
      <c r="AO218" s="184" t="s">
        <v>126</v>
      </c>
      <c r="AP218" s="184"/>
      <c r="AQ218" s="184"/>
      <c r="AR218" s="184"/>
      <c r="AS218" s="184"/>
      <c r="AT218" s="184"/>
      <c r="AU218" s="184"/>
      <c r="AV218" s="184"/>
      <c r="AW218" s="184"/>
    </row>
    <row r="219" spans="1:49" ht="12.75" customHeight="1" x14ac:dyDescent="0.25">
      <c r="A219" s="201" t="s">
        <v>586</v>
      </c>
      <c r="B219" s="257" t="s">
        <v>15</v>
      </c>
      <c r="C219" s="274">
        <v>1330</v>
      </c>
      <c r="D219" s="141">
        <v>2200</v>
      </c>
      <c r="E219" s="142">
        <f t="shared" si="28"/>
        <v>6</v>
      </c>
      <c r="F219" s="142">
        <f t="shared" si="29"/>
        <v>0</v>
      </c>
      <c r="G219" s="142">
        <f t="shared" si="30"/>
        <v>5</v>
      </c>
      <c r="H219" s="142">
        <f t="shared" si="31"/>
        <v>3</v>
      </c>
      <c r="I219" s="184"/>
      <c r="J219" s="184"/>
      <c r="K219" s="184"/>
      <c r="L219" s="184"/>
      <c r="M219" s="184"/>
      <c r="N219" s="184"/>
      <c r="O219" s="184"/>
      <c r="P219" s="184"/>
      <c r="Q219" s="184"/>
      <c r="R219" s="184"/>
      <c r="S219" s="184"/>
      <c r="T219" s="184"/>
      <c r="U219" s="184"/>
      <c r="V219" s="184"/>
      <c r="W219" s="184"/>
      <c r="X219" s="184"/>
      <c r="Y219" s="184"/>
      <c r="Z219" s="184" t="s">
        <v>126</v>
      </c>
      <c r="AA219" s="184" t="s">
        <v>126</v>
      </c>
      <c r="AB219" s="184" t="s">
        <v>126</v>
      </c>
      <c r="AC219" s="184" t="s">
        <v>130</v>
      </c>
      <c r="AD219" s="184" t="s">
        <v>361</v>
      </c>
      <c r="AE219" s="184" t="s">
        <v>130</v>
      </c>
      <c r="AF219" s="184" t="s">
        <v>211</v>
      </c>
      <c r="AG219" s="184" t="s">
        <v>211</v>
      </c>
      <c r="AH219" s="184" t="s">
        <v>211</v>
      </c>
      <c r="AI219" s="184" t="s">
        <v>241</v>
      </c>
      <c r="AJ219" s="184" t="s">
        <v>126</v>
      </c>
      <c r="AK219" s="184" t="s">
        <v>126</v>
      </c>
      <c r="AL219" s="184" t="s">
        <v>126</v>
      </c>
      <c r="AM219" s="184" t="s">
        <v>242</v>
      </c>
      <c r="AN219" s="184" t="s">
        <v>130</v>
      </c>
      <c r="AO219" s="184" t="s">
        <v>130</v>
      </c>
      <c r="AP219" s="184" t="s">
        <v>130</v>
      </c>
      <c r="AQ219" s="184"/>
      <c r="AR219" s="184"/>
      <c r="AS219" s="184"/>
      <c r="AT219" s="184"/>
      <c r="AU219" s="184"/>
      <c r="AV219" s="184"/>
      <c r="AW219" s="184"/>
    </row>
    <row r="220" spans="1:49" ht="12.75" customHeight="1" x14ac:dyDescent="0.25">
      <c r="A220" s="201" t="s">
        <v>232</v>
      </c>
      <c r="B220" s="257" t="s">
        <v>15</v>
      </c>
      <c r="C220" s="274">
        <v>1600</v>
      </c>
      <c r="D220" s="141">
        <v>100</v>
      </c>
      <c r="E220" s="142">
        <f t="shared" si="28"/>
        <v>8</v>
      </c>
      <c r="F220" s="142">
        <f t="shared" si="29"/>
        <v>0</v>
      </c>
      <c r="G220" s="142">
        <f t="shared" si="30"/>
        <v>4</v>
      </c>
      <c r="H220" s="142">
        <f t="shared" si="31"/>
        <v>2</v>
      </c>
      <c r="I220" s="184"/>
      <c r="J220" s="184"/>
      <c r="K220" s="184"/>
      <c r="L220" s="184"/>
      <c r="M220" s="184"/>
      <c r="N220" s="184"/>
      <c r="O220" s="184"/>
      <c r="P220" s="184"/>
      <c r="Q220" s="184"/>
      <c r="R220" s="184"/>
      <c r="S220" s="184"/>
      <c r="T220" s="184"/>
      <c r="U220" s="184"/>
      <c r="V220" s="184"/>
      <c r="W220" s="184"/>
      <c r="X220" s="184"/>
      <c r="Y220" s="184"/>
      <c r="Z220" s="184"/>
      <c r="AA220" s="184"/>
      <c r="AB220" s="184"/>
      <c r="AC220" s="184"/>
      <c r="AD220" s="184"/>
      <c r="AE220" s="184" t="s">
        <v>130</v>
      </c>
      <c r="AF220" s="184" t="s">
        <v>130</v>
      </c>
      <c r="AG220" s="184" t="s">
        <v>130</v>
      </c>
      <c r="AH220" s="184" t="s">
        <v>364</v>
      </c>
      <c r="AI220" s="184" t="s">
        <v>211</v>
      </c>
      <c r="AJ220" s="184" t="s">
        <v>211</v>
      </c>
      <c r="AK220" s="184" t="s">
        <v>130</v>
      </c>
      <c r="AL220" s="184" t="s">
        <v>126</v>
      </c>
      <c r="AM220" s="184" t="s">
        <v>241</v>
      </c>
      <c r="AN220" s="184" t="s">
        <v>241</v>
      </c>
      <c r="AO220" s="184" t="s">
        <v>126</v>
      </c>
      <c r="AP220" s="184" t="s">
        <v>126</v>
      </c>
      <c r="AQ220" s="184" t="s">
        <v>126</v>
      </c>
      <c r="AR220" s="184" t="s">
        <v>248</v>
      </c>
      <c r="AS220" s="184" t="s">
        <v>126</v>
      </c>
      <c r="AT220" s="184" t="s">
        <v>126</v>
      </c>
      <c r="AU220" s="184" t="s">
        <v>126</v>
      </c>
      <c r="AV220" s="184" t="s">
        <v>126</v>
      </c>
      <c r="AW220" s="184"/>
    </row>
    <row r="221" spans="1:49" ht="12.75" customHeight="1" x14ac:dyDescent="0.25">
      <c r="A221" s="201" t="s">
        <v>229</v>
      </c>
      <c r="B221" s="150" t="s">
        <v>15</v>
      </c>
      <c r="C221" s="55">
        <v>1630</v>
      </c>
      <c r="D221" s="141">
        <v>100</v>
      </c>
      <c r="E221" s="142">
        <f t="shared" si="28"/>
        <v>9</v>
      </c>
      <c r="F221" s="142">
        <f t="shared" si="29"/>
        <v>0</v>
      </c>
      <c r="G221" s="142">
        <f t="shared" si="30"/>
        <v>5</v>
      </c>
      <c r="H221" s="142">
        <f t="shared" si="31"/>
        <v>0</v>
      </c>
      <c r="I221" s="184"/>
      <c r="J221" s="184"/>
      <c r="K221" s="184"/>
      <c r="L221" s="184"/>
      <c r="M221" s="184"/>
      <c r="N221" s="184"/>
      <c r="O221" s="184"/>
      <c r="P221" s="184"/>
      <c r="Q221" s="184"/>
      <c r="R221" s="184"/>
      <c r="S221" s="184"/>
      <c r="T221" s="184"/>
      <c r="U221" s="184"/>
      <c r="V221" s="184"/>
      <c r="W221" s="184"/>
      <c r="X221" s="184"/>
      <c r="Y221" s="184"/>
      <c r="Z221" s="184"/>
      <c r="AA221" s="184"/>
      <c r="AB221" s="184"/>
      <c r="AC221" s="184"/>
      <c r="AD221" s="184"/>
      <c r="AE221" s="184"/>
      <c r="AF221" s="184" t="s">
        <v>130</v>
      </c>
      <c r="AG221" s="184" t="s">
        <v>130</v>
      </c>
      <c r="AH221" s="184" t="s">
        <v>130</v>
      </c>
      <c r="AI221" s="184" t="s">
        <v>364</v>
      </c>
      <c r="AJ221" s="184" t="s">
        <v>130</v>
      </c>
      <c r="AK221" s="184" t="s">
        <v>130</v>
      </c>
      <c r="AL221" s="184" t="s">
        <v>126</v>
      </c>
      <c r="AM221" s="184" t="s">
        <v>126</v>
      </c>
      <c r="AN221" s="184" t="s">
        <v>126</v>
      </c>
      <c r="AO221" s="184" t="s">
        <v>241</v>
      </c>
      <c r="AP221" s="184" t="s">
        <v>126</v>
      </c>
      <c r="AQ221" s="184" t="s">
        <v>126</v>
      </c>
      <c r="AR221" s="184" t="s">
        <v>126</v>
      </c>
      <c r="AS221" s="184" t="s">
        <v>248</v>
      </c>
      <c r="AT221" s="184" t="s">
        <v>580</v>
      </c>
      <c r="AU221" s="184" t="s">
        <v>126</v>
      </c>
      <c r="AV221" s="184" t="s">
        <v>126</v>
      </c>
      <c r="AW221" s="184"/>
    </row>
    <row r="222" spans="1:49" ht="12.75" customHeight="1" x14ac:dyDescent="0.25">
      <c r="A222" s="202" t="s">
        <v>46</v>
      </c>
      <c r="B222" s="257" t="s">
        <v>13</v>
      </c>
      <c r="C222" s="274">
        <v>500</v>
      </c>
      <c r="D222" s="141">
        <v>1400</v>
      </c>
      <c r="E222" s="142">
        <f t="shared" si="28"/>
        <v>0</v>
      </c>
      <c r="F222" s="142">
        <f t="shared" si="29"/>
        <v>4</v>
      </c>
      <c r="G222" s="142">
        <f t="shared" si="30"/>
        <v>0</v>
      </c>
      <c r="H222" s="142">
        <f t="shared" si="31"/>
        <v>0</v>
      </c>
      <c r="I222" s="184" t="s">
        <v>224</v>
      </c>
      <c r="J222" s="184" t="s">
        <v>224</v>
      </c>
      <c r="K222" s="184" t="s">
        <v>224</v>
      </c>
      <c r="L222" s="184" t="s">
        <v>224</v>
      </c>
      <c r="M222" s="184" t="s">
        <v>224</v>
      </c>
      <c r="N222" s="184" t="s">
        <v>224</v>
      </c>
      <c r="O222" s="184" t="s">
        <v>224</v>
      </c>
      <c r="P222" s="184" t="s">
        <v>224</v>
      </c>
      <c r="Q222" s="184" t="s">
        <v>224</v>
      </c>
      <c r="R222" s="184" t="s">
        <v>224</v>
      </c>
      <c r="S222" s="184" t="s">
        <v>437</v>
      </c>
      <c r="T222" s="184" t="s">
        <v>437</v>
      </c>
      <c r="U222" s="184" t="s">
        <v>224</v>
      </c>
      <c r="V222" s="184" t="s">
        <v>223</v>
      </c>
      <c r="W222" s="184" t="s">
        <v>223</v>
      </c>
      <c r="X222" s="184" t="s">
        <v>223</v>
      </c>
      <c r="Y222" s="184" t="s">
        <v>223</v>
      </c>
      <c r="Z222" s="184" t="s">
        <v>224</v>
      </c>
      <c r="AA222" s="184"/>
      <c r="AB222" s="184"/>
      <c r="AC222" s="184"/>
      <c r="AD222" s="184"/>
      <c r="AE222" s="184"/>
      <c r="AF222" s="184"/>
      <c r="AG222" s="184"/>
      <c r="AH222" s="184"/>
      <c r="AI222" s="184"/>
      <c r="AJ222" s="184"/>
      <c r="AK222" s="184"/>
      <c r="AL222" s="184"/>
      <c r="AM222" s="184"/>
      <c r="AN222" s="184"/>
      <c r="AO222" s="184"/>
      <c r="AP222" s="184"/>
      <c r="AQ222" s="184"/>
      <c r="AR222" s="184"/>
      <c r="AS222" s="184"/>
      <c r="AT222" s="184"/>
      <c r="AU222" s="184"/>
      <c r="AV222" s="184"/>
      <c r="AW222" s="184"/>
    </row>
    <row r="223" spans="1:49" ht="12.75" customHeight="1" x14ac:dyDescent="0.25">
      <c r="A223" s="202" t="s">
        <v>25</v>
      </c>
      <c r="B223" s="150" t="s">
        <v>13</v>
      </c>
      <c r="C223" s="274">
        <v>500</v>
      </c>
      <c r="D223" s="141">
        <v>1400</v>
      </c>
      <c r="E223" s="142">
        <f t="shared" si="28"/>
        <v>0</v>
      </c>
      <c r="F223" s="142">
        <f t="shared" si="29"/>
        <v>4</v>
      </c>
      <c r="G223" s="142">
        <f t="shared" si="30"/>
        <v>0</v>
      </c>
      <c r="H223" s="142">
        <f t="shared" si="31"/>
        <v>0</v>
      </c>
      <c r="I223" s="184" t="s">
        <v>224</v>
      </c>
      <c r="J223" s="184" t="s">
        <v>224</v>
      </c>
      <c r="K223" s="184" t="s">
        <v>224</v>
      </c>
      <c r="L223" s="184" t="s">
        <v>224</v>
      </c>
      <c r="M223" s="184" t="s">
        <v>224</v>
      </c>
      <c r="N223" s="184" t="s">
        <v>224</v>
      </c>
      <c r="O223" s="184" t="s">
        <v>437</v>
      </c>
      <c r="P223" s="184" t="s">
        <v>437</v>
      </c>
      <c r="Q223" s="184" t="s">
        <v>223</v>
      </c>
      <c r="R223" s="184" t="s">
        <v>223</v>
      </c>
      <c r="S223" s="184" t="s">
        <v>223</v>
      </c>
      <c r="T223" s="184" t="s">
        <v>223</v>
      </c>
      <c r="U223" s="184" t="s">
        <v>224</v>
      </c>
      <c r="V223" s="184" t="s">
        <v>224</v>
      </c>
      <c r="W223" s="184" t="s">
        <v>224</v>
      </c>
      <c r="X223" s="184" t="s">
        <v>224</v>
      </c>
      <c r="Y223" s="184" t="s">
        <v>224</v>
      </c>
      <c r="Z223" s="184" t="s">
        <v>224</v>
      </c>
      <c r="AA223" s="184"/>
      <c r="AB223" s="184"/>
      <c r="AC223" s="184"/>
      <c r="AD223" s="184"/>
      <c r="AE223" s="184"/>
      <c r="AF223" s="184"/>
      <c r="AG223" s="184"/>
      <c r="AH223" s="184"/>
      <c r="AI223" s="184"/>
      <c r="AJ223" s="184"/>
      <c r="AK223" s="184"/>
      <c r="AL223" s="184"/>
      <c r="AM223" s="184"/>
      <c r="AN223" s="184"/>
      <c r="AO223" s="184"/>
      <c r="AP223" s="184"/>
      <c r="AQ223" s="184"/>
      <c r="AR223" s="184"/>
      <c r="AS223" s="184"/>
      <c r="AT223" s="184"/>
      <c r="AU223" s="184"/>
      <c r="AV223" s="184"/>
      <c r="AW223" s="184"/>
    </row>
    <row r="224" spans="1:49" ht="12.75" customHeight="1" x14ac:dyDescent="0.25">
      <c r="A224" s="201"/>
      <c r="B224" s="150"/>
      <c r="C224" s="141"/>
      <c r="D224" s="188"/>
      <c r="E224" s="142"/>
      <c r="F224" s="142"/>
      <c r="G224" s="142"/>
      <c r="H224" s="142"/>
      <c r="I224" s="184"/>
      <c r="J224" s="184"/>
      <c r="K224" s="184"/>
      <c r="L224" s="184"/>
      <c r="M224" s="184"/>
      <c r="N224" s="184"/>
      <c r="O224" s="184"/>
      <c r="P224" s="184"/>
      <c r="Q224" s="184"/>
      <c r="R224" s="184"/>
      <c r="S224" s="184"/>
      <c r="T224" s="184"/>
      <c r="U224" s="184"/>
      <c r="V224" s="184"/>
      <c r="W224" s="184"/>
      <c r="X224" s="184"/>
      <c r="Y224" s="184"/>
      <c r="Z224" s="184"/>
      <c r="AA224" s="184"/>
      <c r="AB224" s="184"/>
      <c r="AC224" s="184"/>
      <c r="AD224" s="184"/>
      <c r="AE224" s="184"/>
      <c r="AF224" s="184"/>
      <c r="AG224" s="184"/>
      <c r="AH224" s="184"/>
      <c r="AI224" s="184"/>
      <c r="AJ224" s="184"/>
      <c r="AK224" s="184"/>
      <c r="AL224" s="184"/>
      <c r="AM224" s="184"/>
      <c r="AN224" s="184"/>
      <c r="AO224" s="184"/>
      <c r="AP224" s="184"/>
      <c r="AQ224" s="184"/>
      <c r="AR224" s="184"/>
      <c r="AS224" s="184"/>
      <c r="AT224" s="184"/>
      <c r="AU224" s="184"/>
      <c r="AV224" s="184"/>
      <c r="AW224" s="184"/>
    </row>
    <row r="225" spans="1:49" ht="12.75" customHeight="1" x14ac:dyDescent="0.25">
      <c r="A225" s="202" t="s">
        <v>20</v>
      </c>
      <c r="B225" s="140" t="s">
        <v>13</v>
      </c>
      <c r="C225" s="141">
        <v>600</v>
      </c>
      <c r="D225" s="141">
        <v>1500</v>
      </c>
      <c r="E225" s="142">
        <f t="shared" si="28"/>
        <v>0</v>
      </c>
      <c r="F225" s="142">
        <f t="shared" si="29"/>
        <v>5</v>
      </c>
      <c r="G225" s="142">
        <f t="shared" si="30"/>
        <v>0</v>
      </c>
      <c r="H225" s="142">
        <f t="shared" si="31"/>
        <v>0</v>
      </c>
      <c r="I225" s="184"/>
      <c r="J225" s="184"/>
      <c r="K225" s="184" t="s">
        <v>224</v>
      </c>
      <c r="L225" s="184" t="s">
        <v>224</v>
      </c>
      <c r="M225" s="184" t="s">
        <v>224</v>
      </c>
      <c r="N225" s="184" t="s">
        <v>224</v>
      </c>
      <c r="O225" s="184" t="s">
        <v>437</v>
      </c>
      <c r="P225" s="184" t="s">
        <v>437</v>
      </c>
      <c r="Q225" s="184" t="s">
        <v>223</v>
      </c>
      <c r="R225" s="184" t="s">
        <v>223</v>
      </c>
      <c r="S225" s="184" t="s">
        <v>223</v>
      </c>
      <c r="T225" s="184" t="s">
        <v>223</v>
      </c>
      <c r="U225" s="184" t="s">
        <v>223</v>
      </c>
      <c r="V225" s="184" t="s">
        <v>224</v>
      </c>
      <c r="W225" s="184" t="s">
        <v>224</v>
      </c>
      <c r="X225" s="184" t="s">
        <v>224</v>
      </c>
      <c r="Y225" s="184" t="s">
        <v>224</v>
      </c>
      <c r="Z225" s="184" t="s">
        <v>224</v>
      </c>
      <c r="AA225" s="184" t="s">
        <v>224</v>
      </c>
      <c r="AB225" s="184" t="s">
        <v>224</v>
      </c>
      <c r="AC225" s="184"/>
      <c r="AD225" s="184"/>
      <c r="AE225" s="184"/>
      <c r="AF225" s="184"/>
      <c r="AG225" s="184"/>
      <c r="AH225" s="184"/>
      <c r="AI225" s="184"/>
      <c r="AJ225" s="184"/>
      <c r="AK225" s="184"/>
      <c r="AL225" s="184"/>
      <c r="AM225" s="184"/>
      <c r="AN225" s="184"/>
      <c r="AO225" s="184"/>
      <c r="AP225" s="184"/>
      <c r="AQ225" s="184"/>
      <c r="AR225" s="184"/>
      <c r="AS225" s="184"/>
      <c r="AT225" s="184"/>
      <c r="AU225" s="184"/>
      <c r="AV225" s="184"/>
      <c r="AW225" s="184"/>
    </row>
    <row r="226" spans="1:49" ht="12.75" customHeight="1" x14ac:dyDescent="0.25">
      <c r="A226" s="201" t="s">
        <v>51</v>
      </c>
      <c r="B226" s="150" t="s">
        <v>13</v>
      </c>
      <c r="C226" s="274">
        <v>700</v>
      </c>
      <c r="D226" s="141">
        <v>1600</v>
      </c>
      <c r="E226" s="142">
        <f t="shared" si="28"/>
        <v>0</v>
      </c>
      <c r="F226" s="142">
        <f t="shared" si="29"/>
        <v>4</v>
      </c>
      <c r="G226" s="142">
        <f t="shared" si="30"/>
        <v>0</v>
      </c>
      <c r="H226" s="142">
        <f t="shared" si="31"/>
        <v>0</v>
      </c>
      <c r="I226" s="184"/>
      <c r="J226" s="184"/>
      <c r="K226" s="184"/>
      <c r="L226" s="184"/>
      <c r="M226" s="184" t="s">
        <v>224</v>
      </c>
      <c r="N226" s="184" t="s">
        <v>224</v>
      </c>
      <c r="O226" s="184" t="s">
        <v>224</v>
      </c>
      <c r="P226" s="184" t="s">
        <v>224</v>
      </c>
      <c r="Q226" s="184" t="s">
        <v>437</v>
      </c>
      <c r="R226" s="184" t="s">
        <v>437</v>
      </c>
      <c r="S226" s="184" t="s">
        <v>224</v>
      </c>
      <c r="T226" s="184" t="s">
        <v>224</v>
      </c>
      <c r="U226" s="184" t="s">
        <v>223</v>
      </c>
      <c r="V226" s="184" t="s">
        <v>223</v>
      </c>
      <c r="W226" s="184" t="s">
        <v>223</v>
      </c>
      <c r="X226" s="184" t="s">
        <v>223</v>
      </c>
      <c r="Y226" s="184" t="s">
        <v>224</v>
      </c>
      <c r="Z226" s="184" t="s">
        <v>495</v>
      </c>
      <c r="AA226" s="184" t="s">
        <v>510</v>
      </c>
      <c r="AB226" s="184" t="s">
        <v>510</v>
      </c>
      <c r="AC226" s="184" t="s">
        <v>224</v>
      </c>
      <c r="AD226" s="184" t="s">
        <v>224</v>
      </c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</row>
    <row r="227" spans="1:49" ht="12.75" customHeight="1" x14ac:dyDescent="0.25">
      <c r="A227" s="202" t="s">
        <v>31</v>
      </c>
      <c r="B227" s="150" t="s">
        <v>13</v>
      </c>
      <c r="C227" s="141">
        <v>730</v>
      </c>
      <c r="D227" s="188">
        <v>1630</v>
      </c>
      <c r="E227" s="142">
        <f t="shared" si="28"/>
        <v>0</v>
      </c>
      <c r="F227" s="142">
        <f t="shared" si="29"/>
        <v>4</v>
      </c>
      <c r="G227" s="142">
        <f t="shared" si="30"/>
        <v>0</v>
      </c>
      <c r="H227" s="142">
        <f t="shared" si="31"/>
        <v>0</v>
      </c>
      <c r="I227" s="184"/>
      <c r="J227" s="184"/>
      <c r="K227" s="184"/>
      <c r="L227" s="184"/>
      <c r="M227" s="184"/>
      <c r="N227" s="184" t="s">
        <v>224</v>
      </c>
      <c r="O227" s="184" t="s">
        <v>224</v>
      </c>
      <c r="P227" s="184" t="s">
        <v>224</v>
      </c>
      <c r="Q227" s="184" t="s">
        <v>224</v>
      </c>
      <c r="R227" s="184" t="s">
        <v>224</v>
      </c>
      <c r="S227" s="184" t="s">
        <v>437</v>
      </c>
      <c r="T227" s="184" t="s">
        <v>437</v>
      </c>
      <c r="U227" s="184" t="s">
        <v>224</v>
      </c>
      <c r="V227" s="184" t="s">
        <v>224</v>
      </c>
      <c r="W227" s="184" t="s">
        <v>224</v>
      </c>
      <c r="X227" s="184" t="s">
        <v>224</v>
      </c>
      <c r="Y227" s="184" t="s">
        <v>223</v>
      </c>
      <c r="Z227" s="184" t="s">
        <v>223</v>
      </c>
      <c r="AA227" s="184" t="s">
        <v>223</v>
      </c>
      <c r="AB227" s="184" t="s">
        <v>223</v>
      </c>
      <c r="AC227" s="184" t="s">
        <v>224</v>
      </c>
      <c r="AD227" s="184" t="s">
        <v>224</v>
      </c>
      <c r="AE227" s="184" t="s">
        <v>224</v>
      </c>
      <c r="AF227" s="184"/>
      <c r="AG227" s="184"/>
      <c r="AH227" s="184"/>
      <c r="AI227" s="184"/>
      <c r="AJ227" s="184"/>
      <c r="AK227" s="184"/>
      <c r="AL227" s="184"/>
      <c r="AM227" s="184"/>
      <c r="AN227" s="184"/>
      <c r="AO227" s="184"/>
      <c r="AP227" s="184"/>
      <c r="AQ227" s="184"/>
      <c r="AR227" s="184"/>
      <c r="AS227" s="184"/>
      <c r="AT227" s="184"/>
      <c r="AU227" s="184"/>
      <c r="AV227" s="184"/>
      <c r="AW227" s="184"/>
    </row>
    <row r="228" spans="1:49" ht="12.75" customHeight="1" x14ac:dyDescent="0.25">
      <c r="A228" s="201" t="s">
        <v>33</v>
      </c>
      <c r="B228" s="150" t="s">
        <v>13</v>
      </c>
      <c r="C228" s="141">
        <v>730</v>
      </c>
      <c r="D228" s="141">
        <v>1630</v>
      </c>
      <c r="E228" s="142">
        <f t="shared" si="28"/>
        <v>0</v>
      </c>
      <c r="F228" s="142">
        <f t="shared" si="29"/>
        <v>6</v>
      </c>
      <c r="G228" s="142">
        <f t="shared" si="30"/>
        <v>0</v>
      </c>
      <c r="H228" s="142">
        <f t="shared" si="31"/>
        <v>0</v>
      </c>
      <c r="I228" s="184"/>
      <c r="J228" s="184"/>
      <c r="K228" s="184"/>
      <c r="L228" s="184"/>
      <c r="M228" s="184"/>
      <c r="N228" s="184" t="s">
        <v>224</v>
      </c>
      <c r="O228" s="184" t="s">
        <v>223</v>
      </c>
      <c r="P228" s="184" t="s">
        <v>223</v>
      </c>
      <c r="Q228" s="184" t="s">
        <v>223</v>
      </c>
      <c r="R228" s="184" t="s">
        <v>224</v>
      </c>
      <c r="S228" s="184" t="s">
        <v>495</v>
      </c>
      <c r="T228" s="184" t="s">
        <v>509</v>
      </c>
      <c r="U228" s="184" t="s">
        <v>509</v>
      </c>
      <c r="V228" s="184" t="s">
        <v>224</v>
      </c>
      <c r="W228" s="184" t="s">
        <v>224</v>
      </c>
      <c r="X228" s="184" t="s">
        <v>224</v>
      </c>
      <c r="Y228" s="184" t="s">
        <v>437</v>
      </c>
      <c r="Z228" s="184" t="s">
        <v>437</v>
      </c>
      <c r="AA228" s="184" t="s">
        <v>223</v>
      </c>
      <c r="AB228" s="184" t="s">
        <v>223</v>
      </c>
      <c r="AC228" s="184" t="s">
        <v>223</v>
      </c>
      <c r="AD228" s="184" t="s">
        <v>224</v>
      </c>
      <c r="AE228" s="184" t="s">
        <v>224</v>
      </c>
      <c r="AF228" s="184"/>
      <c r="AG228" s="184"/>
      <c r="AH228" s="184"/>
      <c r="AI228" s="184"/>
      <c r="AJ228" s="184"/>
      <c r="AK228" s="184"/>
      <c r="AL228" s="184"/>
      <c r="AM228" s="184"/>
      <c r="AN228" s="184"/>
      <c r="AO228" s="184"/>
      <c r="AP228" s="184"/>
      <c r="AQ228" s="184"/>
      <c r="AR228" s="184"/>
      <c r="AS228" s="184"/>
      <c r="AT228" s="184"/>
      <c r="AU228" s="184"/>
      <c r="AV228" s="184"/>
      <c r="AW228" s="184"/>
    </row>
    <row r="229" spans="1:49" ht="12.75" customHeight="1" x14ac:dyDescent="0.25">
      <c r="A229" s="201" t="s">
        <v>360</v>
      </c>
      <c r="B229" s="150" t="s">
        <v>13</v>
      </c>
      <c r="C229" s="274">
        <v>800</v>
      </c>
      <c r="D229" s="141">
        <v>2100</v>
      </c>
      <c r="E229" s="142">
        <f t="shared" si="28"/>
        <v>0</v>
      </c>
      <c r="F229" s="142">
        <f t="shared" si="29"/>
        <v>0</v>
      </c>
      <c r="G229" s="142">
        <f t="shared" si="30"/>
        <v>0</v>
      </c>
      <c r="H229" s="142">
        <f t="shared" si="31"/>
        <v>0</v>
      </c>
      <c r="I229" s="184"/>
      <c r="J229" s="184"/>
      <c r="K229" s="184"/>
      <c r="L229" s="184"/>
      <c r="M229" s="184"/>
      <c r="N229" s="184"/>
      <c r="O229" s="184" t="s">
        <v>224</v>
      </c>
      <c r="P229" s="184" t="s">
        <v>224</v>
      </c>
      <c r="Q229" s="184" t="s">
        <v>224</v>
      </c>
      <c r="R229" s="184" t="s">
        <v>224</v>
      </c>
      <c r="S229" s="184" t="s">
        <v>224</v>
      </c>
      <c r="T229" s="184" t="s">
        <v>224</v>
      </c>
      <c r="U229" s="184" t="s">
        <v>224</v>
      </c>
      <c r="V229" s="184" t="s">
        <v>224</v>
      </c>
      <c r="W229" s="184" t="s">
        <v>224</v>
      </c>
      <c r="X229" s="184" t="s">
        <v>224</v>
      </c>
      <c r="Y229" s="184" t="s">
        <v>224</v>
      </c>
      <c r="Z229" s="184" t="s">
        <v>224</v>
      </c>
      <c r="AA229" s="184" t="s">
        <v>224</v>
      </c>
      <c r="AB229" s="184" t="s">
        <v>224</v>
      </c>
      <c r="AC229" s="184" t="s">
        <v>224</v>
      </c>
      <c r="AD229" s="184" t="s">
        <v>224</v>
      </c>
      <c r="AE229" s="184" t="s">
        <v>224</v>
      </c>
      <c r="AF229" s="184" t="s">
        <v>224</v>
      </c>
      <c r="AG229" s="184" t="s">
        <v>224</v>
      </c>
      <c r="AH229" s="184" t="s">
        <v>224</v>
      </c>
      <c r="AI229" s="184" t="s">
        <v>224</v>
      </c>
      <c r="AJ229" s="184" t="s">
        <v>224</v>
      </c>
      <c r="AK229" s="184" t="s">
        <v>224</v>
      </c>
      <c r="AL229" s="184" t="s">
        <v>224</v>
      </c>
      <c r="AM229" s="184" t="s">
        <v>224</v>
      </c>
      <c r="AN229" s="184" t="s">
        <v>224</v>
      </c>
      <c r="AO229" s="184"/>
      <c r="AP229" s="184"/>
      <c r="AQ229" s="184"/>
      <c r="AR229" s="184"/>
      <c r="AS229" s="184"/>
      <c r="AT229" s="184"/>
      <c r="AU229" s="184"/>
      <c r="AV229" s="184"/>
      <c r="AW229" s="184"/>
    </row>
    <row r="230" spans="1:49" ht="12.75" customHeight="1" x14ac:dyDescent="0.25">
      <c r="A230" s="201" t="s">
        <v>70</v>
      </c>
      <c r="B230" s="257" t="s">
        <v>13</v>
      </c>
      <c r="C230" s="274">
        <v>800</v>
      </c>
      <c r="D230" s="141">
        <v>1700</v>
      </c>
      <c r="E230" s="142">
        <f t="shared" si="28"/>
        <v>0</v>
      </c>
      <c r="F230" s="142">
        <f t="shared" si="29"/>
        <v>4</v>
      </c>
      <c r="G230" s="142">
        <f t="shared" si="30"/>
        <v>0</v>
      </c>
      <c r="H230" s="142">
        <f t="shared" si="31"/>
        <v>0</v>
      </c>
      <c r="I230" s="184"/>
      <c r="J230" s="184"/>
      <c r="K230" s="184"/>
      <c r="L230" s="184"/>
      <c r="M230" s="184"/>
      <c r="N230" s="184"/>
      <c r="O230" s="184" t="s">
        <v>224</v>
      </c>
      <c r="P230" s="184" t="s">
        <v>224</v>
      </c>
      <c r="Q230" s="184" t="s">
        <v>224</v>
      </c>
      <c r="R230" s="184" t="s">
        <v>224</v>
      </c>
      <c r="S230" s="184" t="s">
        <v>224</v>
      </c>
      <c r="T230" s="184" t="s">
        <v>224</v>
      </c>
      <c r="U230" s="184" t="s">
        <v>224</v>
      </c>
      <c r="V230" s="184" t="s">
        <v>224</v>
      </c>
      <c r="W230" s="184" t="s">
        <v>224</v>
      </c>
      <c r="X230" s="184" t="s">
        <v>224</v>
      </c>
      <c r="Y230" s="184" t="s">
        <v>437</v>
      </c>
      <c r="Z230" s="184" t="s">
        <v>437</v>
      </c>
      <c r="AA230" s="184" t="s">
        <v>223</v>
      </c>
      <c r="AB230" s="184" t="s">
        <v>223</v>
      </c>
      <c r="AC230" s="184" t="s">
        <v>223</v>
      </c>
      <c r="AD230" s="184" t="s">
        <v>223</v>
      </c>
      <c r="AE230" s="184" t="s">
        <v>224</v>
      </c>
      <c r="AF230" s="184" t="s">
        <v>224</v>
      </c>
      <c r="AG230" s="184"/>
      <c r="AH230" s="184"/>
      <c r="AI230" s="184"/>
      <c r="AJ230" s="184"/>
      <c r="AK230" s="184"/>
      <c r="AL230" s="184"/>
      <c r="AM230" s="184"/>
      <c r="AN230" s="184"/>
      <c r="AO230" s="184"/>
      <c r="AP230" s="184"/>
      <c r="AQ230" s="184"/>
      <c r="AR230" s="184"/>
      <c r="AS230" s="184"/>
      <c r="AT230" s="184"/>
      <c r="AU230" s="184"/>
      <c r="AV230" s="184"/>
      <c r="AW230" s="184"/>
    </row>
    <row r="231" spans="1:49" ht="12.75" customHeight="1" x14ac:dyDescent="0.25">
      <c r="A231" s="334" t="s">
        <v>53</v>
      </c>
      <c r="B231" s="257" t="s">
        <v>13</v>
      </c>
      <c r="C231" s="274">
        <v>830</v>
      </c>
      <c r="D231" s="141">
        <v>1730</v>
      </c>
      <c r="E231" s="142">
        <f t="shared" si="28"/>
        <v>0</v>
      </c>
      <c r="F231" s="142">
        <f t="shared" si="29"/>
        <v>4</v>
      </c>
      <c r="G231" s="142">
        <f t="shared" si="30"/>
        <v>0</v>
      </c>
      <c r="H231" s="142">
        <f t="shared" si="31"/>
        <v>0</v>
      </c>
      <c r="I231" s="184"/>
      <c r="J231" s="184"/>
      <c r="K231" s="184"/>
      <c r="L231" s="184"/>
      <c r="M231" s="184"/>
      <c r="N231" s="184"/>
      <c r="O231" s="184"/>
      <c r="P231" s="184" t="s">
        <v>224</v>
      </c>
      <c r="Q231" s="184" t="s">
        <v>224</v>
      </c>
      <c r="R231" s="184" t="s">
        <v>224</v>
      </c>
      <c r="S231" s="184" t="s">
        <v>223</v>
      </c>
      <c r="T231" s="184" t="s">
        <v>223</v>
      </c>
      <c r="U231" s="184" t="s">
        <v>223</v>
      </c>
      <c r="V231" s="184" t="s">
        <v>223</v>
      </c>
      <c r="W231" s="184" t="s">
        <v>224</v>
      </c>
      <c r="X231" s="184" t="s">
        <v>224</v>
      </c>
      <c r="Y231" s="184" t="s">
        <v>224</v>
      </c>
      <c r="Z231" s="184" t="s">
        <v>224</v>
      </c>
      <c r="AA231" s="184" t="s">
        <v>437</v>
      </c>
      <c r="AB231" s="184" t="s">
        <v>437</v>
      </c>
      <c r="AC231" s="184" t="s">
        <v>224</v>
      </c>
      <c r="AD231" s="184" t="s">
        <v>224</v>
      </c>
      <c r="AE231" s="184" t="s">
        <v>439</v>
      </c>
      <c r="AF231" s="184" t="s">
        <v>439</v>
      </c>
      <c r="AG231" s="184" t="s">
        <v>224</v>
      </c>
      <c r="AH231" s="184"/>
      <c r="AI231" s="184"/>
      <c r="AJ231" s="184"/>
      <c r="AK231" s="184"/>
      <c r="AL231" s="184"/>
      <c r="AM231" s="184"/>
      <c r="AN231" s="184"/>
      <c r="AO231" s="184"/>
      <c r="AP231" s="184"/>
      <c r="AQ231" s="184"/>
      <c r="AR231" s="184"/>
      <c r="AS231" s="184"/>
      <c r="AT231" s="184"/>
      <c r="AU231" s="184"/>
      <c r="AV231" s="184"/>
      <c r="AW231" s="184"/>
    </row>
    <row r="232" spans="1:49" ht="12.75" customHeight="1" x14ac:dyDescent="0.25">
      <c r="A232" s="201" t="s">
        <v>27</v>
      </c>
      <c r="B232" s="150" t="s">
        <v>13</v>
      </c>
      <c r="C232" s="141">
        <v>930</v>
      </c>
      <c r="D232" s="141">
        <v>1830</v>
      </c>
      <c r="E232" s="142">
        <f t="shared" si="28"/>
        <v>0</v>
      </c>
      <c r="F232" s="142">
        <f t="shared" si="29"/>
        <v>4</v>
      </c>
      <c r="G232" s="142">
        <f t="shared" si="30"/>
        <v>0</v>
      </c>
      <c r="H232" s="142">
        <f t="shared" si="31"/>
        <v>0</v>
      </c>
      <c r="I232" s="184"/>
      <c r="J232" s="184"/>
      <c r="K232" s="184"/>
      <c r="L232" s="184"/>
      <c r="M232" s="184"/>
      <c r="N232" s="184"/>
      <c r="O232" s="184"/>
      <c r="P232" s="184"/>
      <c r="Q232" s="184"/>
      <c r="R232" s="184" t="s">
        <v>224</v>
      </c>
      <c r="S232" s="184" t="s">
        <v>224</v>
      </c>
      <c r="T232" s="184" t="s">
        <v>224</v>
      </c>
      <c r="U232" s="184" t="s">
        <v>224</v>
      </c>
      <c r="V232" s="184" t="s">
        <v>223</v>
      </c>
      <c r="W232" s="184" t="s">
        <v>223</v>
      </c>
      <c r="X232" s="184" t="s">
        <v>223</v>
      </c>
      <c r="Y232" s="184" t="s">
        <v>223</v>
      </c>
      <c r="Z232" s="184" t="s">
        <v>224</v>
      </c>
      <c r="AA232" s="184" t="s">
        <v>437</v>
      </c>
      <c r="AB232" s="184" t="s">
        <v>437</v>
      </c>
      <c r="AC232" s="184" t="s">
        <v>224</v>
      </c>
      <c r="AD232" s="184" t="s">
        <v>224</v>
      </c>
      <c r="AE232" s="184" t="s">
        <v>224</v>
      </c>
      <c r="AF232" s="184" t="s">
        <v>224</v>
      </c>
      <c r="AG232" s="184" t="s">
        <v>224</v>
      </c>
      <c r="AH232" s="184" t="s">
        <v>224</v>
      </c>
      <c r="AI232" s="184" t="s">
        <v>224</v>
      </c>
      <c r="AJ232" s="184"/>
      <c r="AK232" s="184"/>
      <c r="AL232" s="184"/>
      <c r="AM232" s="184"/>
      <c r="AN232" s="184"/>
      <c r="AO232" s="184"/>
      <c r="AP232" s="184"/>
      <c r="AQ232" s="184"/>
      <c r="AR232" s="184"/>
      <c r="AS232" s="184"/>
      <c r="AT232" s="184"/>
      <c r="AU232" s="184"/>
      <c r="AV232" s="184"/>
      <c r="AW232" s="184"/>
    </row>
    <row r="233" spans="1:49" ht="12.75" customHeight="1" x14ac:dyDescent="0.25">
      <c r="A233" s="333" t="s">
        <v>63</v>
      </c>
      <c r="B233" s="257" t="s">
        <v>13</v>
      </c>
      <c r="C233" s="274">
        <v>1200</v>
      </c>
      <c r="D233" s="141">
        <v>2100</v>
      </c>
      <c r="E233" s="142">
        <f t="shared" si="28"/>
        <v>0</v>
      </c>
      <c r="F233" s="142">
        <f t="shared" si="29"/>
        <v>5</v>
      </c>
      <c r="G233" s="142">
        <f t="shared" si="30"/>
        <v>0</v>
      </c>
      <c r="H233" s="142">
        <f t="shared" si="31"/>
        <v>0</v>
      </c>
      <c r="I233" s="184"/>
      <c r="J233" s="184"/>
      <c r="K233" s="184"/>
      <c r="L233" s="184"/>
      <c r="M233" s="184"/>
      <c r="N233" s="184"/>
      <c r="O233" s="184"/>
      <c r="P233" s="184"/>
      <c r="Q233" s="184"/>
      <c r="R233" s="184"/>
      <c r="S233" s="184"/>
      <c r="T233" s="184"/>
      <c r="U233" s="184"/>
      <c r="V233" s="184"/>
      <c r="W233" s="184" t="s">
        <v>224</v>
      </c>
      <c r="X233" s="184" t="s">
        <v>223</v>
      </c>
      <c r="Y233" s="184" t="s">
        <v>223</v>
      </c>
      <c r="Z233" s="184" t="s">
        <v>224</v>
      </c>
      <c r="AA233" s="184" t="s">
        <v>224</v>
      </c>
      <c r="AB233" s="184" t="s">
        <v>224</v>
      </c>
      <c r="AC233" s="184" t="s">
        <v>437</v>
      </c>
      <c r="AD233" s="184" t="s">
        <v>437</v>
      </c>
      <c r="AE233" s="184" t="s">
        <v>439</v>
      </c>
      <c r="AF233" s="184" t="s">
        <v>439</v>
      </c>
      <c r="AG233" s="184" t="s">
        <v>223</v>
      </c>
      <c r="AH233" s="184" t="s">
        <v>223</v>
      </c>
      <c r="AI233" s="184" t="s">
        <v>223</v>
      </c>
      <c r="AJ233" s="184" t="s">
        <v>224</v>
      </c>
      <c r="AK233" s="184" t="s">
        <v>224</v>
      </c>
      <c r="AL233" s="184" t="s">
        <v>224</v>
      </c>
      <c r="AM233" s="184" t="s">
        <v>224</v>
      </c>
      <c r="AN233" s="184" t="s">
        <v>224</v>
      </c>
      <c r="AO233" s="184"/>
      <c r="AP233" s="184"/>
      <c r="AQ233" s="184"/>
      <c r="AR233" s="184"/>
      <c r="AS233" s="184"/>
      <c r="AT233" s="184"/>
      <c r="AU233" s="184"/>
      <c r="AV233" s="184"/>
      <c r="AW233" s="184"/>
    </row>
    <row r="234" spans="1:49" ht="12.75" customHeight="1" x14ac:dyDescent="0.25">
      <c r="A234" s="202" t="s">
        <v>66</v>
      </c>
      <c r="B234" s="150" t="s">
        <v>13</v>
      </c>
      <c r="C234" s="55">
        <v>1230</v>
      </c>
      <c r="D234" s="188">
        <v>2130</v>
      </c>
      <c r="E234" s="142">
        <f t="shared" si="28"/>
        <v>0</v>
      </c>
      <c r="F234" s="142">
        <f t="shared" si="29"/>
        <v>4</v>
      </c>
      <c r="G234" s="142">
        <f t="shared" si="30"/>
        <v>0</v>
      </c>
      <c r="H234" s="142">
        <f t="shared" si="31"/>
        <v>0</v>
      </c>
      <c r="I234" s="184"/>
      <c r="J234" s="184"/>
      <c r="K234" s="184"/>
      <c r="L234" s="184"/>
      <c r="M234" s="184"/>
      <c r="N234" s="184"/>
      <c r="O234" s="184"/>
      <c r="P234" s="184"/>
      <c r="Q234" s="184"/>
      <c r="R234" s="184"/>
      <c r="S234" s="184"/>
      <c r="T234" s="184"/>
      <c r="U234" s="184"/>
      <c r="V234" s="184"/>
      <c r="W234" s="184"/>
      <c r="X234" s="184" t="s">
        <v>224</v>
      </c>
      <c r="Y234" s="184" t="s">
        <v>224</v>
      </c>
      <c r="Z234" s="184" t="s">
        <v>224</v>
      </c>
      <c r="AA234" s="184" t="s">
        <v>224</v>
      </c>
      <c r="AB234" s="184" t="s">
        <v>224</v>
      </c>
      <c r="AC234" s="184" t="s">
        <v>437</v>
      </c>
      <c r="AD234" s="184" t="s">
        <v>437</v>
      </c>
      <c r="AE234" s="184" t="s">
        <v>224</v>
      </c>
      <c r="AF234" s="184" t="s">
        <v>224</v>
      </c>
      <c r="AG234" s="184" t="s">
        <v>224</v>
      </c>
      <c r="AH234" s="184" t="s">
        <v>224</v>
      </c>
      <c r="AI234" s="184" t="s">
        <v>224</v>
      </c>
      <c r="AJ234" s="184" t="s">
        <v>224</v>
      </c>
      <c r="AK234" s="184" t="s">
        <v>224</v>
      </c>
      <c r="AL234" s="184" t="s">
        <v>223</v>
      </c>
      <c r="AM234" s="184" t="s">
        <v>223</v>
      </c>
      <c r="AN234" s="184" t="s">
        <v>223</v>
      </c>
      <c r="AO234" s="184" t="s">
        <v>223</v>
      </c>
      <c r="AP234" s="184" t="s">
        <v>224</v>
      </c>
      <c r="AQ234" s="184"/>
      <c r="AR234" s="184"/>
      <c r="AS234" s="184"/>
      <c r="AT234" s="184"/>
      <c r="AU234" s="184"/>
      <c r="AV234" s="184"/>
      <c r="AW234" s="184"/>
    </row>
    <row r="235" spans="1:49" ht="12.75" customHeight="1" x14ac:dyDescent="0.25">
      <c r="A235" s="201" t="s">
        <v>227</v>
      </c>
      <c r="B235" s="257" t="s">
        <v>13</v>
      </c>
      <c r="C235" s="274">
        <v>1230</v>
      </c>
      <c r="D235" s="141">
        <v>2130</v>
      </c>
      <c r="E235" s="142">
        <v>0</v>
      </c>
      <c r="F235" s="142">
        <v>0</v>
      </c>
      <c r="G235" s="142">
        <v>0</v>
      </c>
      <c r="H235" s="142">
        <v>0</v>
      </c>
      <c r="I235" s="184"/>
      <c r="J235" s="184"/>
      <c r="K235" s="184"/>
      <c r="L235" s="184"/>
      <c r="M235" s="184"/>
      <c r="N235" s="184"/>
      <c r="O235" s="184"/>
      <c r="P235" s="184"/>
      <c r="Q235" s="184"/>
      <c r="R235" s="184"/>
      <c r="S235" s="184"/>
      <c r="T235" s="184"/>
      <c r="U235" s="184"/>
      <c r="V235" s="184"/>
      <c r="W235" s="184"/>
      <c r="X235" s="184" t="s">
        <v>224</v>
      </c>
      <c r="Y235" s="184" t="s">
        <v>224</v>
      </c>
      <c r="Z235" s="184" t="s">
        <v>224</v>
      </c>
      <c r="AA235" s="184" t="s">
        <v>224</v>
      </c>
      <c r="AB235" s="184" t="s">
        <v>224</v>
      </c>
      <c r="AC235" s="184" t="s">
        <v>224</v>
      </c>
      <c r="AD235" s="184" t="s">
        <v>224</v>
      </c>
      <c r="AE235" s="184" t="s">
        <v>224</v>
      </c>
      <c r="AF235" s="184" t="s">
        <v>224</v>
      </c>
      <c r="AG235" s="184" t="s">
        <v>224</v>
      </c>
      <c r="AH235" s="184" t="s">
        <v>224</v>
      </c>
      <c r="AI235" s="184" t="s">
        <v>224</v>
      </c>
      <c r="AJ235" s="184" t="s">
        <v>224</v>
      </c>
      <c r="AK235" s="184" t="s">
        <v>224</v>
      </c>
      <c r="AL235" s="184" t="s">
        <v>224</v>
      </c>
      <c r="AM235" s="184" t="s">
        <v>224</v>
      </c>
      <c r="AN235" s="184" t="s">
        <v>224</v>
      </c>
      <c r="AO235" s="184" t="s">
        <v>224</v>
      </c>
      <c r="AP235" s="184" t="s">
        <v>224</v>
      </c>
      <c r="AQ235" s="184"/>
      <c r="AR235" s="184"/>
      <c r="AS235" s="184"/>
      <c r="AT235" s="184"/>
      <c r="AU235" s="184"/>
      <c r="AV235" s="184"/>
      <c r="AW235" s="184"/>
    </row>
    <row r="236" spans="1:49" ht="12.75" customHeight="1" x14ac:dyDescent="0.25">
      <c r="A236" s="334" t="s">
        <v>59</v>
      </c>
      <c r="B236" s="150" t="s">
        <v>13</v>
      </c>
      <c r="C236" s="274">
        <v>1300</v>
      </c>
      <c r="D236" s="141">
        <v>2200</v>
      </c>
      <c r="E236" s="142">
        <f>COUNTIF(I236:AW236,"HL")</f>
        <v>0</v>
      </c>
      <c r="F236" s="142">
        <f>COUNTIF(I236:AW236,"Coaching")</f>
        <v>4</v>
      </c>
      <c r="G236" s="142">
        <f>COUNTIF(I236:AW236,"ADM")</f>
        <v>0</v>
      </c>
      <c r="H236" s="142">
        <f>COUNTIF(I236:AW236,"RNNR")</f>
        <v>0</v>
      </c>
      <c r="I236" s="184"/>
      <c r="J236" s="184"/>
      <c r="K236" s="184"/>
      <c r="L236" s="184"/>
      <c r="M236" s="184"/>
      <c r="N236" s="184"/>
      <c r="O236" s="184"/>
      <c r="P236" s="184"/>
      <c r="Q236" s="184"/>
      <c r="R236" s="184"/>
      <c r="S236" s="184"/>
      <c r="T236" s="184"/>
      <c r="U236" s="184"/>
      <c r="V236" s="184"/>
      <c r="W236" s="184"/>
      <c r="X236" s="184"/>
      <c r="Y236" s="184" t="s">
        <v>224</v>
      </c>
      <c r="Z236" s="184" t="s">
        <v>223</v>
      </c>
      <c r="AA236" s="184" t="s">
        <v>223</v>
      </c>
      <c r="AB236" s="184" t="s">
        <v>223</v>
      </c>
      <c r="AC236" s="184" t="s">
        <v>223</v>
      </c>
      <c r="AD236" s="184" t="s">
        <v>224</v>
      </c>
      <c r="AE236" s="184" t="s">
        <v>439</v>
      </c>
      <c r="AF236" s="184" t="s">
        <v>439</v>
      </c>
      <c r="AG236" s="184" t="s">
        <v>224</v>
      </c>
      <c r="AH236" s="184" t="s">
        <v>495</v>
      </c>
      <c r="AI236" s="184" t="s">
        <v>511</v>
      </c>
      <c r="AJ236" s="184" t="s">
        <v>511</v>
      </c>
      <c r="AK236" s="184" t="s">
        <v>224</v>
      </c>
      <c r="AL236" s="184" t="s">
        <v>224</v>
      </c>
      <c r="AM236" s="184" t="s">
        <v>224</v>
      </c>
      <c r="AN236" s="184" t="s">
        <v>224</v>
      </c>
      <c r="AO236" s="184" t="s">
        <v>224</v>
      </c>
      <c r="AP236" s="184" t="s">
        <v>224</v>
      </c>
      <c r="AQ236" s="184"/>
      <c r="AR236" s="184"/>
      <c r="AS236" s="184"/>
      <c r="AT236" s="184"/>
      <c r="AU236" s="184"/>
      <c r="AV236" s="184"/>
      <c r="AW236" s="184"/>
    </row>
    <row r="237" spans="1:49" ht="12.75" customHeight="1" x14ac:dyDescent="0.25">
      <c r="A237" s="201" t="s">
        <v>57</v>
      </c>
      <c r="B237" s="257" t="s">
        <v>13</v>
      </c>
      <c r="C237" s="274">
        <v>1300</v>
      </c>
      <c r="D237" s="141">
        <v>2200</v>
      </c>
      <c r="E237" s="142">
        <f>COUNTIF(I237:AW237,"HL")</f>
        <v>0</v>
      </c>
      <c r="F237" s="142">
        <f>COUNTIF(I237:AW237,"Coaching")</f>
        <v>4</v>
      </c>
      <c r="G237" s="142">
        <f>COUNTIF(I237:AW237,"ADM")</f>
        <v>0</v>
      </c>
      <c r="H237" s="142">
        <f>COUNTIF(I237:AW237,"RNNR")</f>
        <v>0</v>
      </c>
      <c r="I237" s="184"/>
      <c r="J237" s="184"/>
      <c r="K237" s="184"/>
      <c r="L237" s="184"/>
      <c r="M237" s="184"/>
      <c r="N237" s="184"/>
      <c r="O237" s="184"/>
      <c r="P237" s="184"/>
      <c r="Q237" s="184"/>
      <c r="R237" s="184"/>
      <c r="S237" s="184"/>
      <c r="T237" s="184"/>
      <c r="U237" s="184"/>
      <c r="V237" s="184"/>
      <c r="W237" s="184"/>
      <c r="X237" s="184"/>
      <c r="Y237" s="184" t="s">
        <v>224</v>
      </c>
      <c r="Z237" s="184" t="s">
        <v>224</v>
      </c>
      <c r="AA237" s="184" t="s">
        <v>224</v>
      </c>
      <c r="AB237" s="184" t="s">
        <v>224</v>
      </c>
      <c r="AC237" s="184" t="s">
        <v>224</v>
      </c>
      <c r="AD237" s="184" t="s">
        <v>224</v>
      </c>
      <c r="AE237" s="184" t="s">
        <v>224</v>
      </c>
      <c r="AF237" s="184" t="s">
        <v>224</v>
      </c>
      <c r="AG237" s="184" t="s">
        <v>224</v>
      </c>
      <c r="AH237" s="184" t="s">
        <v>223</v>
      </c>
      <c r="AI237" s="184" t="s">
        <v>223</v>
      </c>
      <c r="AJ237" s="184" t="s">
        <v>223</v>
      </c>
      <c r="AK237" s="184" t="s">
        <v>223</v>
      </c>
      <c r="AL237" s="184" t="s">
        <v>224</v>
      </c>
      <c r="AM237" s="184" t="s">
        <v>224</v>
      </c>
      <c r="AN237" s="184" t="s">
        <v>224</v>
      </c>
      <c r="AO237" s="184" t="s">
        <v>224</v>
      </c>
      <c r="AP237" s="184" t="s">
        <v>224</v>
      </c>
      <c r="AQ237" s="184"/>
      <c r="AR237" s="184"/>
      <c r="AS237" s="184"/>
      <c r="AT237" s="184"/>
      <c r="AU237" s="184"/>
      <c r="AV237" s="184"/>
      <c r="AW237" s="184"/>
    </row>
    <row r="238" spans="1:49" ht="12.75" customHeight="1" x14ac:dyDescent="0.25">
      <c r="A238" s="333" t="s">
        <v>245</v>
      </c>
      <c r="B238" s="150" t="s">
        <v>13</v>
      </c>
      <c r="C238" s="55">
        <v>1400</v>
      </c>
      <c r="D238" s="141">
        <v>100</v>
      </c>
      <c r="E238" s="142">
        <f>COUNTIF(I238:AW238,"HL")</f>
        <v>0</v>
      </c>
      <c r="F238" s="142">
        <f>COUNTIF(I238:AW238,"Coaching")</f>
        <v>4</v>
      </c>
      <c r="G238" s="142">
        <f>COUNTIF(I238:AW238,"ADM")</f>
        <v>0</v>
      </c>
      <c r="H238" s="142">
        <f>COUNTIF(I238:AW238,"RNNR")</f>
        <v>0</v>
      </c>
      <c r="I238" s="184"/>
      <c r="J238" s="184"/>
      <c r="K238" s="184"/>
      <c r="L238" s="184"/>
      <c r="M238" s="184"/>
      <c r="N238" s="184"/>
      <c r="O238" s="184"/>
      <c r="P238" s="184"/>
      <c r="Q238" s="184"/>
      <c r="R238" s="184"/>
      <c r="S238" s="184"/>
      <c r="T238" s="184"/>
      <c r="U238" s="184"/>
      <c r="V238" s="184"/>
      <c r="W238" s="184"/>
      <c r="X238" s="184"/>
      <c r="Y238" s="184"/>
      <c r="Z238" s="184"/>
      <c r="AA238" s="184" t="s">
        <v>224</v>
      </c>
      <c r="AB238" s="184" t="s">
        <v>224</v>
      </c>
      <c r="AC238" s="184" t="s">
        <v>224</v>
      </c>
      <c r="AD238" s="184" t="s">
        <v>224</v>
      </c>
      <c r="AE238" s="184" t="s">
        <v>439</v>
      </c>
      <c r="AF238" s="184" t="s">
        <v>439</v>
      </c>
      <c r="AG238" s="184" t="s">
        <v>224</v>
      </c>
      <c r="AH238" s="184" t="s">
        <v>224</v>
      </c>
      <c r="AI238" s="184" t="s">
        <v>224</v>
      </c>
      <c r="AJ238" s="184" t="s">
        <v>223</v>
      </c>
      <c r="AK238" s="184" t="s">
        <v>223</v>
      </c>
      <c r="AL238" s="184" t="s">
        <v>223</v>
      </c>
      <c r="AM238" s="184" t="s">
        <v>223</v>
      </c>
      <c r="AN238" s="184" t="s">
        <v>224</v>
      </c>
      <c r="AO238" s="184" t="s">
        <v>224</v>
      </c>
      <c r="AP238" s="184" t="s">
        <v>224</v>
      </c>
      <c r="AQ238" s="184" t="s">
        <v>224</v>
      </c>
      <c r="AR238" s="184" t="s">
        <v>224</v>
      </c>
      <c r="AS238" s="184" t="s">
        <v>224</v>
      </c>
      <c r="AT238" s="184" t="s">
        <v>224</v>
      </c>
      <c r="AU238" s="184" t="s">
        <v>224</v>
      </c>
      <c r="AV238" s="184" t="s">
        <v>224</v>
      </c>
      <c r="AW238" s="184"/>
    </row>
    <row r="239" spans="1:49" ht="12.75" customHeight="1" x14ac:dyDescent="0.25">
      <c r="A239" s="333" t="s">
        <v>52</v>
      </c>
      <c r="B239" s="150" t="s">
        <v>13</v>
      </c>
      <c r="C239" s="55">
        <v>1600</v>
      </c>
      <c r="D239" s="141">
        <v>100</v>
      </c>
      <c r="E239" s="142">
        <f>COUNTIF(I239:AW239,"HL")</f>
        <v>0</v>
      </c>
      <c r="F239" s="142">
        <f>COUNTIF(I239:AW239,"Coaching")</f>
        <v>4</v>
      </c>
      <c r="G239" s="142">
        <f>COUNTIF(I239:AW239,"ADM")</f>
        <v>0</v>
      </c>
      <c r="H239" s="142">
        <f>COUNTIF(I239:AW239,"RNNR")</f>
        <v>0</v>
      </c>
      <c r="I239" s="184"/>
      <c r="J239" s="184"/>
      <c r="K239" s="184"/>
      <c r="L239" s="184"/>
      <c r="M239" s="184"/>
      <c r="N239" s="184"/>
      <c r="O239" s="184"/>
      <c r="P239" s="184"/>
      <c r="Q239" s="184"/>
      <c r="R239" s="184"/>
      <c r="S239" s="184"/>
      <c r="T239" s="184"/>
      <c r="U239" s="184"/>
      <c r="V239" s="184"/>
      <c r="W239" s="184"/>
      <c r="X239" s="184"/>
      <c r="Y239" s="184"/>
      <c r="Z239" s="184"/>
      <c r="AA239" s="184"/>
      <c r="AB239" s="184"/>
      <c r="AC239" s="184"/>
      <c r="AD239" s="184"/>
      <c r="AE239" s="184" t="s">
        <v>439</v>
      </c>
      <c r="AF239" s="184" t="s">
        <v>439</v>
      </c>
      <c r="AG239" s="184" t="s">
        <v>224</v>
      </c>
      <c r="AH239" s="184" t="s">
        <v>224</v>
      </c>
      <c r="AI239" s="184" t="s">
        <v>224</v>
      </c>
      <c r="AJ239" s="184" t="s">
        <v>224</v>
      </c>
      <c r="AK239" s="184" t="s">
        <v>224</v>
      </c>
      <c r="AL239" s="184" t="s">
        <v>224</v>
      </c>
      <c r="AM239" s="184" t="s">
        <v>224</v>
      </c>
      <c r="AN239" s="184" t="s">
        <v>223</v>
      </c>
      <c r="AO239" s="184" t="s">
        <v>223</v>
      </c>
      <c r="AP239" s="184" t="s">
        <v>223</v>
      </c>
      <c r="AQ239" s="184" t="s">
        <v>223</v>
      </c>
      <c r="AR239" s="184" t="s">
        <v>224</v>
      </c>
      <c r="AS239" s="184" t="s">
        <v>224</v>
      </c>
      <c r="AT239" s="184" t="s">
        <v>224</v>
      </c>
      <c r="AU239" s="184" t="s">
        <v>224</v>
      </c>
      <c r="AV239" s="184" t="s">
        <v>224</v>
      </c>
      <c r="AW239" s="184"/>
    </row>
    <row r="240" spans="1:49" ht="12.75" customHeight="1" x14ac:dyDescent="0.25">
      <c r="A240" s="201"/>
      <c r="B240" s="257"/>
      <c r="C240" s="274"/>
      <c r="D240" s="141"/>
      <c r="E240" s="142"/>
      <c r="F240" s="142"/>
      <c r="G240" s="142"/>
      <c r="H240" s="142"/>
      <c r="I240" s="184"/>
      <c r="J240" s="184"/>
      <c r="K240" s="184"/>
      <c r="L240" s="184"/>
      <c r="M240" s="184"/>
      <c r="N240" s="184"/>
      <c r="O240" s="184"/>
      <c r="P240" s="184"/>
      <c r="Q240" s="184"/>
      <c r="R240" s="184"/>
      <c r="S240" s="184"/>
      <c r="T240" s="184"/>
      <c r="U240" s="184"/>
      <c r="V240" s="184"/>
      <c r="W240" s="184"/>
      <c r="X240" s="184"/>
      <c r="Y240" s="184"/>
      <c r="Z240" s="184"/>
      <c r="AA240" s="184"/>
      <c r="AB240" s="184"/>
      <c r="AC240" s="184"/>
      <c r="AD240" s="184"/>
      <c r="AE240" s="184"/>
      <c r="AF240" s="184"/>
      <c r="AG240" s="184"/>
      <c r="AH240" s="184"/>
      <c r="AI240" s="184"/>
      <c r="AJ240" s="184"/>
      <c r="AK240" s="184"/>
      <c r="AL240" s="184"/>
      <c r="AM240" s="184"/>
      <c r="AN240" s="184"/>
      <c r="AO240" s="184"/>
      <c r="AP240" s="184"/>
      <c r="AQ240" s="184"/>
      <c r="AR240" s="184"/>
      <c r="AS240" s="184"/>
      <c r="AT240" s="184"/>
      <c r="AU240" s="184"/>
      <c r="AV240" s="184"/>
      <c r="AW240" s="184"/>
    </row>
    <row r="241" spans="1:49" ht="12.75" customHeight="1" x14ac:dyDescent="0.25">
      <c r="A241" s="201"/>
      <c r="B241" s="257"/>
      <c r="C241" s="274"/>
      <c r="D241" s="141"/>
      <c r="E241" s="142"/>
      <c r="F241" s="142"/>
      <c r="G241" s="142"/>
      <c r="H241" s="142"/>
      <c r="I241" s="184"/>
      <c r="J241" s="184"/>
      <c r="K241" s="184"/>
      <c r="L241" s="184"/>
      <c r="M241" s="184"/>
      <c r="N241" s="184"/>
      <c r="O241" s="184"/>
      <c r="P241" s="184"/>
      <c r="Q241" s="184"/>
      <c r="R241" s="184"/>
      <c r="S241" s="184"/>
      <c r="T241" s="184"/>
      <c r="U241" s="184"/>
      <c r="V241" s="184"/>
      <c r="W241" s="184"/>
      <c r="X241" s="184"/>
      <c r="Y241" s="184"/>
      <c r="Z241" s="184"/>
      <c r="AA241" s="184"/>
      <c r="AB241" s="184"/>
      <c r="AC241" s="184"/>
      <c r="AD241" s="184"/>
      <c r="AE241" s="184"/>
      <c r="AF241" s="184"/>
      <c r="AG241" s="184"/>
      <c r="AH241" s="184"/>
      <c r="AI241" s="184"/>
      <c r="AJ241" s="184"/>
      <c r="AK241" s="184"/>
      <c r="AL241" s="184"/>
      <c r="AM241" s="184"/>
      <c r="AN241" s="184"/>
      <c r="AO241" s="184"/>
      <c r="AP241" s="184"/>
      <c r="AQ241" s="184"/>
      <c r="AR241" s="184"/>
      <c r="AS241" s="184"/>
      <c r="AT241" s="184"/>
      <c r="AU241" s="184"/>
      <c r="AV241" s="184"/>
      <c r="AW241" s="184"/>
    </row>
    <row r="242" spans="1:49" ht="15.75" thickBot="1" x14ac:dyDescent="0.3"/>
    <row r="243" spans="1:49" ht="25.5" x14ac:dyDescent="0.25">
      <c r="A243" s="283" t="s">
        <v>170</v>
      </c>
      <c r="B243" s="284" t="s">
        <v>5</v>
      </c>
      <c r="C243" s="284" t="s">
        <v>84</v>
      </c>
      <c r="D243" s="284" t="s">
        <v>86</v>
      </c>
      <c r="E243" s="284" t="s">
        <v>87</v>
      </c>
      <c r="F243" s="284" t="s">
        <v>223</v>
      </c>
      <c r="G243" s="284" t="s">
        <v>89</v>
      </c>
      <c r="H243" s="284" t="s">
        <v>90</v>
      </c>
      <c r="I243" s="239" t="s">
        <v>93</v>
      </c>
      <c r="J243" s="239" t="s">
        <v>95</v>
      </c>
      <c r="K243" s="239" t="s">
        <v>97</v>
      </c>
      <c r="L243" s="239" t="s">
        <v>140</v>
      </c>
      <c r="M243" s="239" t="s">
        <v>109</v>
      </c>
      <c r="N243" s="239" t="s">
        <v>103</v>
      </c>
      <c r="O243" s="239" t="s">
        <v>121</v>
      </c>
      <c r="P243" s="239" t="s">
        <v>113</v>
      </c>
      <c r="Q243" s="239" t="s">
        <v>105</v>
      </c>
      <c r="R243" s="239" t="s">
        <v>107</v>
      </c>
      <c r="S243" s="239" t="s">
        <v>141</v>
      </c>
      <c r="T243" s="239" t="s">
        <v>101</v>
      </c>
      <c r="U243" s="239" t="s">
        <v>122</v>
      </c>
      <c r="V243" s="239" t="s">
        <v>116</v>
      </c>
      <c r="W243" s="239" t="s">
        <v>148</v>
      </c>
      <c r="X243" s="239" t="s">
        <v>149</v>
      </c>
      <c r="Y243" s="239" t="s">
        <v>111</v>
      </c>
      <c r="Z243" s="239" t="s">
        <v>94</v>
      </c>
      <c r="AA243" s="239" t="s">
        <v>96</v>
      </c>
      <c r="AB243" s="239" t="s">
        <v>98</v>
      </c>
      <c r="AC243" s="239" t="s">
        <v>118</v>
      </c>
      <c r="AD243" s="239" t="s">
        <v>99</v>
      </c>
      <c r="AE243" s="239" t="s">
        <v>104</v>
      </c>
      <c r="AF243" s="239" t="s">
        <v>150</v>
      </c>
      <c r="AG243" s="239" t="s">
        <v>114</v>
      </c>
      <c r="AH243" s="239" t="s">
        <v>106</v>
      </c>
      <c r="AI243" s="239" t="s">
        <v>108</v>
      </c>
      <c r="AJ243" s="239" t="s">
        <v>142</v>
      </c>
      <c r="AK243" s="239" t="s">
        <v>102</v>
      </c>
      <c r="AL243" s="239" t="s">
        <v>143</v>
      </c>
      <c r="AM243" s="239" t="s">
        <v>123</v>
      </c>
      <c r="AN243" s="239" t="s">
        <v>117</v>
      </c>
      <c r="AO243" s="239" t="s">
        <v>151</v>
      </c>
      <c r="AP243" s="239" t="s">
        <v>112</v>
      </c>
      <c r="AQ243" s="239" t="s">
        <v>110</v>
      </c>
      <c r="AR243" s="239" t="s">
        <v>119</v>
      </c>
      <c r="AS243" s="239" t="s">
        <v>115</v>
      </c>
      <c r="AT243" s="239" t="s">
        <v>120</v>
      </c>
      <c r="AU243" s="285" t="s">
        <v>100</v>
      </c>
      <c r="AV243" s="285" t="s">
        <v>243</v>
      </c>
      <c r="AW243" s="285" t="s">
        <v>244</v>
      </c>
    </row>
    <row r="244" spans="1:49" ht="12.75" customHeight="1" x14ac:dyDescent="0.25">
      <c r="A244" s="201" t="s">
        <v>24</v>
      </c>
      <c r="B244" s="150" t="s">
        <v>15</v>
      </c>
      <c r="C244" s="274">
        <v>500</v>
      </c>
      <c r="D244" s="141">
        <v>1330</v>
      </c>
      <c r="E244" s="142">
        <f t="shared" ref="E244:E273" si="32">COUNTIF(I244:AW244,"HL")</f>
        <v>8</v>
      </c>
      <c r="F244" s="142">
        <f t="shared" ref="F244:F273" si="33">COUNTIF(I244:AW244,"Coaching")</f>
        <v>0</v>
      </c>
      <c r="G244" s="142">
        <f t="shared" ref="G244:G273" si="34">COUNTIF(I244:AW244,"ADM")</f>
        <v>4</v>
      </c>
      <c r="H244" s="142">
        <f t="shared" ref="H244:H273" si="35">COUNTIF(I244:AW244,"RNNR")</f>
        <v>2</v>
      </c>
      <c r="I244" s="184" t="s">
        <v>126</v>
      </c>
      <c r="J244" s="184" t="s">
        <v>126</v>
      </c>
      <c r="K244" s="184" t="s">
        <v>126</v>
      </c>
      <c r="L244" s="184" t="s">
        <v>126</v>
      </c>
      <c r="M244" s="184" t="s">
        <v>240</v>
      </c>
      <c r="N244" s="184" t="s">
        <v>130</v>
      </c>
      <c r="O244" s="184" t="s">
        <v>211</v>
      </c>
      <c r="P244" s="184" t="s">
        <v>211</v>
      </c>
      <c r="Q244" s="184" t="s">
        <v>241</v>
      </c>
      <c r="R244" s="184" t="s">
        <v>130</v>
      </c>
      <c r="S244" s="184" t="s">
        <v>130</v>
      </c>
      <c r="T244" s="184" t="s">
        <v>130</v>
      </c>
      <c r="U244" s="184" t="s">
        <v>248</v>
      </c>
      <c r="V244" s="184" t="s">
        <v>126</v>
      </c>
      <c r="W244" s="184" t="s">
        <v>126</v>
      </c>
      <c r="X244" s="184" t="s">
        <v>126</v>
      </c>
      <c r="Y244" s="184" t="s">
        <v>126</v>
      </c>
      <c r="Z244" s="184"/>
      <c r="AA244" s="184"/>
      <c r="AB244" s="184"/>
      <c r="AC244" s="184"/>
      <c r="AD244" s="184"/>
      <c r="AE244" s="184"/>
      <c r="AF244" s="184"/>
      <c r="AG244" s="184"/>
      <c r="AH244" s="184"/>
      <c r="AI244" s="184"/>
      <c r="AJ244" s="184"/>
      <c r="AK244" s="184"/>
      <c r="AL244" s="184"/>
      <c r="AM244" s="184"/>
      <c r="AN244" s="184"/>
      <c r="AO244" s="184"/>
      <c r="AP244" s="184"/>
      <c r="AQ244" s="184"/>
      <c r="AR244" s="184"/>
      <c r="AS244" s="184"/>
      <c r="AT244" s="184"/>
      <c r="AU244" s="184"/>
      <c r="AV244" s="184"/>
      <c r="AW244" s="184"/>
    </row>
    <row r="245" spans="1:49" ht="12.75" customHeight="1" x14ac:dyDescent="0.25">
      <c r="A245" s="202" t="s">
        <v>233</v>
      </c>
      <c r="B245" s="257" t="s">
        <v>15</v>
      </c>
      <c r="C245" s="274">
        <v>500</v>
      </c>
      <c r="D245" s="141">
        <v>1330</v>
      </c>
      <c r="E245" s="142">
        <f t="shared" si="32"/>
        <v>8</v>
      </c>
      <c r="F245" s="142">
        <f t="shared" si="33"/>
        <v>0</v>
      </c>
      <c r="G245" s="142">
        <f t="shared" si="34"/>
        <v>4</v>
      </c>
      <c r="H245" s="142">
        <f t="shared" si="35"/>
        <v>2</v>
      </c>
      <c r="I245" s="184" t="s">
        <v>126</v>
      </c>
      <c r="J245" s="184" t="s">
        <v>126</v>
      </c>
      <c r="K245" s="184" t="s">
        <v>126</v>
      </c>
      <c r="L245" s="184" t="s">
        <v>240</v>
      </c>
      <c r="M245" s="184" t="s">
        <v>126</v>
      </c>
      <c r="N245" s="184" t="s">
        <v>130</v>
      </c>
      <c r="O245" s="184" t="s">
        <v>130</v>
      </c>
      <c r="P245" s="184" t="s">
        <v>130</v>
      </c>
      <c r="Q245" s="184" t="s">
        <v>130</v>
      </c>
      <c r="R245" s="184" t="s">
        <v>241</v>
      </c>
      <c r="S245" s="184" t="s">
        <v>211</v>
      </c>
      <c r="T245" s="184" t="s">
        <v>211</v>
      </c>
      <c r="U245" s="184" t="s">
        <v>126</v>
      </c>
      <c r="V245" s="184" t="s">
        <v>248</v>
      </c>
      <c r="W245" s="184" t="s">
        <v>126</v>
      </c>
      <c r="X245" s="184" t="s">
        <v>126</v>
      </c>
      <c r="Y245" s="184" t="s">
        <v>126</v>
      </c>
      <c r="Z245" s="184"/>
      <c r="AA245" s="184"/>
      <c r="AB245" s="184"/>
      <c r="AC245" s="184"/>
      <c r="AD245" s="184"/>
      <c r="AE245" s="184"/>
      <c r="AF245" s="184"/>
      <c r="AG245" s="184"/>
      <c r="AH245" s="184"/>
      <c r="AI245" s="184"/>
      <c r="AJ245" s="184"/>
      <c r="AK245" s="184"/>
      <c r="AL245" s="184"/>
      <c r="AM245" s="184"/>
      <c r="AN245" s="184"/>
      <c r="AO245" s="184"/>
      <c r="AP245" s="184"/>
      <c r="AQ245" s="184"/>
      <c r="AR245" s="184"/>
      <c r="AS245" s="184"/>
      <c r="AT245" s="184"/>
      <c r="AU245" s="184"/>
      <c r="AV245" s="184"/>
      <c r="AW245" s="184"/>
    </row>
    <row r="246" spans="1:49" ht="12.75" customHeight="1" x14ac:dyDescent="0.25">
      <c r="A246" s="201" t="s">
        <v>44</v>
      </c>
      <c r="B246" s="150" t="s">
        <v>15</v>
      </c>
      <c r="C246" s="274">
        <v>530</v>
      </c>
      <c r="D246" s="141">
        <v>1400</v>
      </c>
      <c r="E246" s="142">
        <f t="shared" si="32"/>
        <v>4</v>
      </c>
      <c r="F246" s="142">
        <f t="shared" si="33"/>
        <v>0</v>
      </c>
      <c r="G246" s="142">
        <f t="shared" si="34"/>
        <v>8</v>
      </c>
      <c r="H246" s="142">
        <f t="shared" si="35"/>
        <v>2</v>
      </c>
      <c r="I246" s="184"/>
      <c r="J246" s="184" t="s">
        <v>130</v>
      </c>
      <c r="K246" s="184" t="s">
        <v>130</v>
      </c>
      <c r="L246" s="184" t="s">
        <v>130</v>
      </c>
      <c r="M246" s="184" t="s">
        <v>130</v>
      </c>
      <c r="N246" s="184" t="s">
        <v>247</v>
      </c>
      <c r="O246" s="184" t="s">
        <v>126</v>
      </c>
      <c r="P246" s="184" t="s">
        <v>126</v>
      </c>
      <c r="Q246" s="184" t="s">
        <v>211</v>
      </c>
      <c r="R246" s="184" t="s">
        <v>211</v>
      </c>
      <c r="S246" s="184" t="s">
        <v>241</v>
      </c>
      <c r="T246" s="184" t="s">
        <v>130</v>
      </c>
      <c r="U246" s="184" t="s">
        <v>130</v>
      </c>
      <c r="V246" s="184" t="s">
        <v>362</v>
      </c>
      <c r="W246" s="184" t="s">
        <v>130</v>
      </c>
      <c r="X246" s="184" t="s">
        <v>130</v>
      </c>
      <c r="Y246" s="184" t="s">
        <v>126</v>
      </c>
      <c r="Z246" s="184" t="s">
        <v>126</v>
      </c>
      <c r="AA246" s="184"/>
      <c r="AB246" s="184"/>
      <c r="AC246" s="184"/>
      <c r="AD246" s="184"/>
      <c r="AE246" s="184"/>
      <c r="AF246" s="184"/>
      <c r="AG246" s="184"/>
      <c r="AH246" s="184"/>
      <c r="AI246" s="184"/>
      <c r="AJ246" s="184"/>
      <c r="AK246" s="184"/>
      <c r="AL246" s="184"/>
      <c r="AM246" s="184"/>
      <c r="AN246" s="184"/>
      <c r="AO246" s="184"/>
      <c r="AP246" s="184"/>
      <c r="AQ246" s="184"/>
      <c r="AR246" s="184"/>
      <c r="AS246" s="184"/>
      <c r="AT246" s="184"/>
      <c r="AU246" s="184"/>
      <c r="AV246" s="184"/>
      <c r="AW246" s="184"/>
    </row>
    <row r="247" spans="1:49" ht="12.75" customHeight="1" x14ac:dyDescent="0.25">
      <c r="A247" s="201" t="s">
        <v>19</v>
      </c>
      <c r="B247" s="150" t="s">
        <v>15</v>
      </c>
      <c r="C247" s="274">
        <v>600</v>
      </c>
      <c r="D247" s="141">
        <v>1430</v>
      </c>
      <c r="E247" s="142">
        <f t="shared" si="32"/>
        <v>6</v>
      </c>
      <c r="F247" s="142">
        <f t="shared" si="33"/>
        <v>0</v>
      </c>
      <c r="G247" s="142">
        <f t="shared" si="34"/>
        <v>6</v>
      </c>
      <c r="H247" s="142">
        <f t="shared" si="35"/>
        <v>2</v>
      </c>
      <c r="I247" s="184"/>
      <c r="J247" s="184"/>
      <c r="K247" s="184" t="s">
        <v>130</v>
      </c>
      <c r="L247" s="184" t="s">
        <v>126</v>
      </c>
      <c r="M247" s="184" t="s">
        <v>126</v>
      </c>
      <c r="N247" s="184" t="s">
        <v>130</v>
      </c>
      <c r="O247" s="184" t="s">
        <v>361</v>
      </c>
      <c r="P247" s="184" t="s">
        <v>130</v>
      </c>
      <c r="Q247" s="184" t="s">
        <v>126</v>
      </c>
      <c r="R247" s="184" t="s">
        <v>126</v>
      </c>
      <c r="S247" s="184" t="s">
        <v>130</v>
      </c>
      <c r="T247" s="184" t="s">
        <v>241</v>
      </c>
      <c r="U247" s="184" t="s">
        <v>211</v>
      </c>
      <c r="V247" s="184" t="s">
        <v>211</v>
      </c>
      <c r="W247" s="184" t="s">
        <v>130</v>
      </c>
      <c r="X247" s="184" t="s">
        <v>130</v>
      </c>
      <c r="Y247" s="184" t="s">
        <v>362</v>
      </c>
      <c r="Z247" s="184" t="s">
        <v>126</v>
      </c>
      <c r="AA247" s="184" t="s">
        <v>126</v>
      </c>
      <c r="AB247" s="184"/>
      <c r="AC247" s="184"/>
      <c r="AD247" s="184"/>
      <c r="AE247" s="184"/>
      <c r="AF247" s="184"/>
      <c r="AG247" s="184"/>
      <c r="AH247" s="184"/>
      <c r="AI247" s="184"/>
      <c r="AJ247" s="184"/>
      <c r="AK247" s="184"/>
      <c r="AL247" s="184"/>
      <c r="AM247" s="184"/>
      <c r="AN247" s="184"/>
      <c r="AO247" s="184"/>
      <c r="AP247" s="184"/>
      <c r="AQ247" s="184"/>
      <c r="AR247" s="184"/>
      <c r="AS247" s="184"/>
      <c r="AT247" s="184"/>
      <c r="AU247" s="184"/>
      <c r="AV247" s="184"/>
      <c r="AW247" s="184"/>
    </row>
    <row r="248" spans="1:49" ht="12.75" customHeight="1" x14ac:dyDescent="0.25">
      <c r="A248" s="202" t="s">
        <v>22</v>
      </c>
      <c r="B248" s="257" t="s">
        <v>15</v>
      </c>
      <c r="C248" s="274">
        <v>700</v>
      </c>
      <c r="D248" s="141">
        <v>1600</v>
      </c>
      <c r="E248" s="142">
        <f t="shared" si="32"/>
        <v>9</v>
      </c>
      <c r="F248" s="142">
        <f t="shared" si="33"/>
        <v>0</v>
      </c>
      <c r="G248" s="142">
        <f t="shared" si="34"/>
        <v>5</v>
      </c>
      <c r="H248" s="142">
        <f t="shared" si="35"/>
        <v>0</v>
      </c>
      <c r="I248" s="184"/>
      <c r="J248" s="184"/>
      <c r="K248" s="184"/>
      <c r="L248" s="184"/>
      <c r="M248" s="184" t="s">
        <v>126</v>
      </c>
      <c r="N248" s="184" t="s">
        <v>126</v>
      </c>
      <c r="O248" s="184" t="s">
        <v>126</v>
      </c>
      <c r="P248" s="184" t="s">
        <v>126</v>
      </c>
      <c r="Q248" s="184" t="s">
        <v>361</v>
      </c>
      <c r="R248" s="184" t="s">
        <v>130</v>
      </c>
      <c r="S248" s="184" t="s">
        <v>130</v>
      </c>
      <c r="T248" s="184" t="s">
        <v>130</v>
      </c>
      <c r="U248" s="184" t="s">
        <v>126</v>
      </c>
      <c r="V248" s="184" t="s">
        <v>241</v>
      </c>
      <c r="W248" s="184" t="s">
        <v>241</v>
      </c>
      <c r="X248" s="184" t="s">
        <v>130</v>
      </c>
      <c r="Y248" s="184" t="s">
        <v>126</v>
      </c>
      <c r="Z248" s="184" t="s">
        <v>126</v>
      </c>
      <c r="AA248" s="184" t="s">
        <v>363</v>
      </c>
      <c r="AB248" s="184" t="s">
        <v>130</v>
      </c>
      <c r="AC248" s="184" t="s">
        <v>126</v>
      </c>
      <c r="AD248" s="184" t="s">
        <v>126</v>
      </c>
      <c r="AE248" s="184"/>
      <c r="AF248" s="184"/>
      <c r="AG248" s="184"/>
      <c r="AH248" s="184"/>
      <c r="AI248" s="184"/>
      <c r="AJ248" s="184"/>
      <c r="AK248" s="184"/>
      <c r="AL248" s="184"/>
      <c r="AM248" s="184"/>
      <c r="AN248" s="184"/>
      <c r="AO248" s="184"/>
      <c r="AP248" s="184"/>
      <c r="AQ248" s="184"/>
      <c r="AR248" s="184"/>
      <c r="AS248" s="184"/>
      <c r="AT248" s="184"/>
      <c r="AU248" s="184"/>
      <c r="AV248" s="184"/>
      <c r="AW248" s="184"/>
    </row>
    <row r="249" spans="1:49" ht="12.75" customHeight="1" x14ac:dyDescent="0.25">
      <c r="A249" s="202" t="s">
        <v>237</v>
      </c>
      <c r="B249" s="257" t="s">
        <v>15</v>
      </c>
      <c r="C249" s="274">
        <v>730</v>
      </c>
      <c r="D249" s="141">
        <v>1600</v>
      </c>
      <c r="E249" s="142">
        <f t="shared" si="32"/>
        <v>6</v>
      </c>
      <c r="F249" s="142">
        <f t="shared" si="33"/>
        <v>0</v>
      </c>
      <c r="G249" s="142">
        <f t="shared" si="34"/>
        <v>8</v>
      </c>
      <c r="H249" s="142">
        <f t="shared" si="35"/>
        <v>0</v>
      </c>
      <c r="I249" s="184"/>
      <c r="J249" s="184"/>
      <c r="K249" s="184"/>
      <c r="L249" s="184"/>
      <c r="M249" s="184"/>
      <c r="N249" s="184" t="s">
        <v>126</v>
      </c>
      <c r="O249" s="184" t="s">
        <v>126</v>
      </c>
      <c r="P249" s="184" t="s">
        <v>126</v>
      </c>
      <c r="Q249" s="184" t="s">
        <v>130</v>
      </c>
      <c r="R249" s="184" t="s">
        <v>361</v>
      </c>
      <c r="S249" s="184" t="s">
        <v>130</v>
      </c>
      <c r="T249" s="184" t="s">
        <v>130</v>
      </c>
      <c r="U249" s="184" t="s">
        <v>126</v>
      </c>
      <c r="V249" s="184" t="s">
        <v>126</v>
      </c>
      <c r="W249" s="184" t="s">
        <v>241</v>
      </c>
      <c r="X249" s="184" t="s">
        <v>126</v>
      </c>
      <c r="Y249" s="184" t="s">
        <v>130</v>
      </c>
      <c r="Z249" s="184" t="s">
        <v>130</v>
      </c>
      <c r="AA249" s="184" t="s">
        <v>362</v>
      </c>
      <c r="AB249" s="184" t="s">
        <v>130</v>
      </c>
      <c r="AC249" s="184" t="s">
        <v>130</v>
      </c>
      <c r="AD249" s="184" t="s">
        <v>130</v>
      </c>
      <c r="AE249" s="184"/>
      <c r="AF249" s="184"/>
      <c r="AG249" s="184"/>
      <c r="AH249" s="184"/>
      <c r="AI249" s="184"/>
      <c r="AJ249" s="184"/>
      <c r="AK249" s="184"/>
      <c r="AL249" s="184"/>
      <c r="AM249" s="184"/>
      <c r="AN249" s="184"/>
      <c r="AO249" s="184"/>
      <c r="AP249" s="184"/>
      <c r="AQ249" s="184"/>
      <c r="AR249" s="184"/>
      <c r="AS249" s="184"/>
      <c r="AT249" s="184"/>
      <c r="AU249" s="184"/>
      <c r="AV249" s="184"/>
      <c r="AW249" s="184"/>
    </row>
    <row r="250" spans="1:49" ht="12.75" customHeight="1" x14ac:dyDescent="0.25">
      <c r="A250" s="201" t="s">
        <v>231</v>
      </c>
      <c r="B250" s="150" t="s">
        <v>15</v>
      </c>
      <c r="C250" s="274">
        <v>900</v>
      </c>
      <c r="D250" s="188">
        <v>1730</v>
      </c>
      <c r="E250" s="142">
        <f t="shared" si="32"/>
        <v>5</v>
      </c>
      <c r="F250" s="142">
        <f t="shared" si="33"/>
        <v>0</v>
      </c>
      <c r="G250" s="142">
        <f t="shared" si="34"/>
        <v>7</v>
      </c>
      <c r="H250" s="142">
        <f t="shared" si="35"/>
        <v>2</v>
      </c>
      <c r="I250" s="184"/>
      <c r="J250" s="184"/>
      <c r="K250" s="184"/>
      <c r="L250" s="184"/>
      <c r="M250" s="184"/>
      <c r="N250" s="184"/>
      <c r="O250" s="184"/>
      <c r="P250" s="184"/>
      <c r="Q250" s="184" t="s">
        <v>126</v>
      </c>
      <c r="R250" s="184" t="s">
        <v>126</v>
      </c>
      <c r="S250" s="184" t="s">
        <v>126</v>
      </c>
      <c r="T250" s="184" t="s">
        <v>240</v>
      </c>
      <c r="U250" s="184" t="s">
        <v>130</v>
      </c>
      <c r="V250" s="184" t="s">
        <v>130</v>
      </c>
      <c r="W250" s="184" t="s">
        <v>211</v>
      </c>
      <c r="X250" s="184" t="s">
        <v>211</v>
      </c>
      <c r="Y250" s="184" t="s">
        <v>241</v>
      </c>
      <c r="Z250" s="184" t="s">
        <v>130</v>
      </c>
      <c r="AA250" s="184" t="s">
        <v>130</v>
      </c>
      <c r="AB250" s="184" t="s">
        <v>126</v>
      </c>
      <c r="AC250" s="184" t="s">
        <v>126</v>
      </c>
      <c r="AD250" s="184" t="s">
        <v>363</v>
      </c>
      <c r="AE250" s="184" t="s">
        <v>130</v>
      </c>
      <c r="AF250" s="184" t="s">
        <v>130</v>
      </c>
      <c r="AG250" s="184" t="s">
        <v>130</v>
      </c>
      <c r="AH250" s="184"/>
      <c r="AI250" s="184"/>
      <c r="AJ250" s="184"/>
      <c r="AK250" s="184"/>
      <c r="AL250" s="184"/>
      <c r="AM250" s="184"/>
      <c r="AN250" s="184"/>
      <c r="AO250" s="184"/>
      <c r="AP250" s="184"/>
      <c r="AQ250" s="184"/>
      <c r="AR250" s="184"/>
      <c r="AS250" s="184"/>
      <c r="AT250" s="184"/>
      <c r="AU250" s="184"/>
      <c r="AV250" s="184"/>
      <c r="AW250" s="184"/>
    </row>
    <row r="251" spans="1:49" ht="12.75" customHeight="1" x14ac:dyDescent="0.25">
      <c r="A251" s="202" t="s">
        <v>69</v>
      </c>
      <c r="B251" s="150" t="s">
        <v>15</v>
      </c>
      <c r="C251" s="55">
        <v>1000</v>
      </c>
      <c r="D251" s="188">
        <v>1900</v>
      </c>
      <c r="E251" s="142">
        <f t="shared" si="32"/>
        <v>5</v>
      </c>
      <c r="F251" s="142">
        <f t="shared" si="33"/>
        <v>0</v>
      </c>
      <c r="G251" s="142">
        <f t="shared" si="34"/>
        <v>7</v>
      </c>
      <c r="H251" s="142">
        <f t="shared" si="35"/>
        <v>2</v>
      </c>
      <c r="I251" s="184"/>
      <c r="J251" s="184"/>
      <c r="K251" s="184"/>
      <c r="L251" s="184"/>
      <c r="M251" s="184"/>
      <c r="N251" s="184"/>
      <c r="O251" s="184"/>
      <c r="P251" s="184"/>
      <c r="Q251" s="184"/>
      <c r="R251" s="184"/>
      <c r="S251" s="184" t="s">
        <v>126</v>
      </c>
      <c r="T251" s="184" t="s">
        <v>126</v>
      </c>
      <c r="U251" s="184" t="s">
        <v>130</v>
      </c>
      <c r="V251" s="184" t="s">
        <v>130</v>
      </c>
      <c r="W251" s="184" t="s">
        <v>247</v>
      </c>
      <c r="X251" s="184" t="s">
        <v>126</v>
      </c>
      <c r="Y251" s="184" t="s">
        <v>130</v>
      </c>
      <c r="Z251" s="184" t="s">
        <v>130</v>
      </c>
      <c r="AA251" s="184" t="s">
        <v>241</v>
      </c>
      <c r="AB251" s="184" t="s">
        <v>241</v>
      </c>
      <c r="AC251" s="184" t="s">
        <v>211</v>
      </c>
      <c r="AD251" s="184" t="s">
        <v>211</v>
      </c>
      <c r="AE251" s="184" t="s">
        <v>126</v>
      </c>
      <c r="AF251" s="184" t="s">
        <v>126</v>
      </c>
      <c r="AG251" s="184" t="s">
        <v>362</v>
      </c>
      <c r="AH251" s="184" t="s">
        <v>130</v>
      </c>
      <c r="AI251" s="184" t="s">
        <v>130</v>
      </c>
      <c r="AJ251" s="184" t="s">
        <v>130</v>
      </c>
      <c r="AK251" s="184"/>
      <c r="AL251" s="184"/>
      <c r="AM251" s="184"/>
      <c r="AN251" s="184"/>
      <c r="AO251" s="184"/>
      <c r="AP251" s="184"/>
      <c r="AQ251" s="184"/>
      <c r="AR251" s="184"/>
      <c r="AS251" s="184"/>
      <c r="AT251" s="184"/>
      <c r="AU251" s="184"/>
      <c r="AV251" s="184"/>
      <c r="AW251" s="184"/>
    </row>
    <row r="252" spans="1:49" ht="12.75" customHeight="1" x14ac:dyDescent="0.25">
      <c r="A252" s="202" t="s">
        <v>67</v>
      </c>
      <c r="B252" s="140" t="s">
        <v>15</v>
      </c>
      <c r="C252" s="55">
        <v>1030</v>
      </c>
      <c r="D252" s="141">
        <v>1900</v>
      </c>
      <c r="E252" s="142">
        <f t="shared" si="32"/>
        <v>6</v>
      </c>
      <c r="F252" s="142">
        <f t="shared" si="33"/>
        <v>0</v>
      </c>
      <c r="G252" s="142">
        <f t="shared" si="34"/>
        <v>6</v>
      </c>
      <c r="H252" s="142">
        <f t="shared" si="35"/>
        <v>2</v>
      </c>
      <c r="I252" s="184"/>
      <c r="J252" s="184"/>
      <c r="K252" s="184"/>
      <c r="L252" s="184"/>
      <c r="M252" s="184"/>
      <c r="N252" s="184"/>
      <c r="O252" s="184"/>
      <c r="P252" s="184"/>
      <c r="Q252" s="184"/>
      <c r="R252" s="184"/>
      <c r="S252" s="184"/>
      <c r="T252" s="184" t="s">
        <v>126</v>
      </c>
      <c r="U252" s="184" t="s">
        <v>126</v>
      </c>
      <c r="V252" s="184" t="s">
        <v>130</v>
      </c>
      <c r="W252" s="184" t="s">
        <v>126</v>
      </c>
      <c r="X252" s="184" t="s">
        <v>247</v>
      </c>
      <c r="Y252" s="184" t="s">
        <v>130</v>
      </c>
      <c r="Z252" s="184" t="s">
        <v>130</v>
      </c>
      <c r="AA252" s="184" t="s">
        <v>126</v>
      </c>
      <c r="AB252" s="184" t="s">
        <v>241</v>
      </c>
      <c r="AC252" s="184" t="s">
        <v>130</v>
      </c>
      <c r="AD252" s="184" t="s">
        <v>130</v>
      </c>
      <c r="AE252" s="184" t="s">
        <v>130</v>
      </c>
      <c r="AF252" s="184" t="s">
        <v>126</v>
      </c>
      <c r="AG252" s="184" t="s">
        <v>363</v>
      </c>
      <c r="AH252" s="184" t="s">
        <v>126</v>
      </c>
      <c r="AI252" s="184" t="s">
        <v>211</v>
      </c>
      <c r="AJ252" s="184" t="s">
        <v>211</v>
      </c>
      <c r="AK252" s="184"/>
      <c r="AL252" s="184"/>
      <c r="AM252" s="184"/>
      <c r="AN252" s="184"/>
      <c r="AO252" s="184"/>
      <c r="AP252" s="184"/>
      <c r="AQ252" s="184"/>
      <c r="AR252" s="184"/>
      <c r="AS252" s="184"/>
      <c r="AT252" s="184"/>
      <c r="AU252" s="184"/>
      <c r="AV252" s="184"/>
      <c r="AW252" s="184"/>
    </row>
    <row r="253" spans="1:49" ht="12.75" customHeight="1" x14ac:dyDescent="0.25">
      <c r="A253" s="201" t="s">
        <v>30</v>
      </c>
      <c r="B253" s="150" t="s">
        <v>15</v>
      </c>
      <c r="C253" s="188">
        <v>1100</v>
      </c>
      <c r="D253" s="188">
        <v>2000</v>
      </c>
      <c r="E253" s="142">
        <f t="shared" si="32"/>
        <v>6</v>
      </c>
      <c r="F253" s="142">
        <f t="shared" si="33"/>
        <v>0</v>
      </c>
      <c r="G253" s="142">
        <f t="shared" si="34"/>
        <v>6</v>
      </c>
      <c r="H253" s="142">
        <f t="shared" si="35"/>
        <v>2</v>
      </c>
      <c r="I253" s="184"/>
      <c r="J253" s="184"/>
      <c r="K253" s="184"/>
      <c r="L253" s="184"/>
      <c r="M253" s="184"/>
      <c r="N253" s="184"/>
      <c r="O253" s="184"/>
      <c r="P253" s="184"/>
      <c r="Q253" s="184"/>
      <c r="R253" s="184"/>
      <c r="S253" s="184"/>
      <c r="T253" s="184"/>
      <c r="U253" s="184" t="s">
        <v>130</v>
      </c>
      <c r="V253" s="184" t="s">
        <v>126</v>
      </c>
      <c r="W253" s="184" t="s">
        <v>130</v>
      </c>
      <c r="X253" s="184" t="s">
        <v>130</v>
      </c>
      <c r="Y253" s="184" t="s">
        <v>364</v>
      </c>
      <c r="Z253" s="184" t="s">
        <v>126</v>
      </c>
      <c r="AA253" s="184" t="s">
        <v>211</v>
      </c>
      <c r="AB253" s="184" t="s">
        <v>211</v>
      </c>
      <c r="AC253" s="184" t="s">
        <v>130</v>
      </c>
      <c r="AD253" s="184" t="s">
        <v>241</v>
      </c>
      <c r="AE253" s="184" t="s">
        <v>130</v>
      </c>
      <c r="AF253" s="184" t="s">
        <v>130</v>
      </c>
      <c r="AG253" s="184" t="s">
        <v>126</v>
      </c>
      <c r="AH253" s="184" t="s">
        <v>248</v>
      </c>
      <c r="AI253" s="184" t="s">
        <v>126</v>
      </c>
      <c r="AJ253" s="184" t="s">
        <v>126</v>
      </c>
      <c r="AK253" s="184" t="s">
        <v>126</v>
      </c>
      <c r="AL253" s="184"/>
      <c r="AM253" s="184"/>
      <c r="AN253" s="184"/>
      <c r="AO253" s="184"/>
      <c r="AP253" s="184"/>
      <c r="AQ253" s="184"/>
      <c r="AR253" s="184"/>
      <c r="AS253" s="184"/>
      <c r="AT253" s="184"/>
      <c r="AU253" s="184"/>
      <c r="AV253" s="184"/>
      <c r="AW253" s="184"/>
    </row>
    <row r="254" spans="1:49" ht="12.75" customHeight="1" x14ac:dyDescent="0.25">
      <c r="A254" s="202" t="s">
        <v>414</v>
      </c>
      <c r="B254" s="257" t="s">
        <v>15</v>
      </c>
      <c r="C254" s="274">
        <v>1130</v>
      </c>
      <c r="D254" s="141">
        <v>1930</v>
      </c>
      <c r="E254" s="142">
        <f t="shared" si="32"/>
        <v>9</v>
      </c>
      <c r="F254" s="142">
        <f t="shared" si="33"/>
        <v>0</v>
      </c>
      <c r="G254" s="142">
        <f t="shared" si="34"/>
        <v>5</v>
      </c>
      <c r="H254" s="142">
        <f t="shared" si="35"/>
        <v>0</v>
      </c>
      <c r="I254" s="184"/>
      <c r="J254" s="184"/>
      <c r="K254" s="184"/>
      <c r="L254" s="184"/>
      <c r="M254" s="184"/>
      <c r="N254" s="184"/>
      <c r="O254" s="184"/>
      <c r="P254" s="184"/>
      <c r="Q254" s="184"/>
      <c r="R254" s="184"/>
      <c r="S254" s="184"/>
      <c r="T254" s="184"/>
      <c r="U254" s="184"/>
      <c r="V254" s="184" t="s">
        <v>130</v>
      </c>
      <c r="W254" s="184" t="s">
        <v>130</v>
      </c>
      <c r="X254" s="184" t="s">
        <v>130</v>
      </c>
      <c r="Y254" s="184" t="s">
        <v>130</v>
      </c>
      <c r="Z254" s="184" t="s">
        <v>364</v>
      </c>
      <c r="AA254" s="184" t="s">
        <v>126</v>
      </c>
      <c r="AB254" s="184" t="s">
        <v>126</v>
      </c>
      <c r="AC254" s="184" t="s">
        <v>126</v>
      </c>
      <c r="AD254" s="184" t="s">
        <v>126</v>
      </c>
      <c r="AE254" s="184" t="s">
        <v>241</v>
      </c>
      <c r="AF254" s="184" t="s">
        <v>126</v>
      </c>
      <c r="AG254" s="184" t="s">
        <v>126</v>
      </c>
      <c r="AH254" s="184" t="s">
        <v>362</v>
      </c>
      <c r="AI254" s="184" t="s">
        <v>130</v>
      </c>
      <c r="AJ254" s="184" t="s">
        <v>126</v>
      </c>
      <c r="AK254" s="184" t="s">
        <v>126</v>
      </c>
      <c r="AL254" s="184" t="s">
        <v>126</v>
      </c>
      <c r="AM254" s="184"/>
      <c r="AN254" s="184"/>
      <c r="AO254" s="184"/>
      <c r="AP254" s="184"/>
      <c r="AQ254" s="184"/>
      <c r="AR254" s="184"/>
      <c r="AS254" s="184"/>
      <c r="AT254" s="184"/>
      <c r="AU254" s="184"/>
      <c r="AV254" s="184"/>
      <c r="AW254" s="184"/>
    </row>
    <row r="255" spans="1:49" ht="12.75" customHeight="1" x14ac:dyDescent="0.25">
      <c r="A255" s="202" t="s">
        <v>226</v>
      </c>
      <c r="B255" s="257" t="s">
        <v>15</v>
      </c>
      <c r="C255" s="274">
        <v>1200</v>
      </c>
      <c r="D255" s="141">
        <v>2030</v>
      </c>
      <c r="E255" s="142">
        <f t="shared" si="32"/>
        <v>7</v>
      </c>
      <c r="F255" s="142">
        <f t="shared" si="33"/>
        <v>0</v>
      </c>
      <c r="G255" s="142">
        <f t="shared" si="34"/>
        <v>5</v>
      </c>
      <c r="H255" s="142">
        <f t="shared" si="35"/>
        <v>2</v>
      </c>
      <c r="I255" s="184"/>
      <c r="J255" s="184"/>
      <c r="K255" s="184"/>
      <c r="L255" s="184"/>
      <c r="M255" s="184"/>
      <c r="N255" s="184"/>
      <c r="O255" s="184"/>
      <c r="P255" s="184"/>
      <c r="Q255" s="184"/>
      <c r="R255" s="184"/>
      <c r="S255" s="184"/>
      <c r="T255" s="184"/>
      <c r="U255" s="184"/>
      <c r="V255" s="184"/>
      <c r="W255" s="184" t="s">
        <v>130</v>
      </c>
      <c r="X255" s="184" t="s">
        <v>126</v>
      </c>
      <c r="Y255" s="184" t="s">
        <v>211</v>
      </c>
      <c r="Z255" s="184" t="s">
        <v>211</v>
      </c>
      <c r="AA255" s="184" t="s">
        <v>361</v>
      </c>
      <c r="AB255" s="184" t="s">
        <v>130</v>
      </c>
      <c r="AC255" s="184" t="s">
        <v>126</v>
      </c>
      <c r="AD255" s="184" t="s">
        <v>126</v>
      </c>
      <c r="AE255" s="184" t="s">
        <v>126</v>
      </c>
      <c r="AF255" s="184" t="s">
        <v>241</v>
      </c>
      <c r="AG255" s="184" t="s">
        <v>126</v>
      </c>
      <c r="AH255" s="184" t="s">
        <v>130</v>
      </c>
      <c r="AI255" s="184" t="s">
        <v>242</v>
      </c>
      <c r="AJ255" s="184" t="s">
        <v>126</v>
      </c>
      <c r="AK255" s="184" t="s">
        <v>126</v>
      </c>
      <c r="AL255" s="184" t="s">
        <v>130</v>
      </c>
      <c r="AM255" s="184" t="s">
        <v>130</v>
      </c>
      <c r="AN255" s="184"/>
      <c r="AO255" s="184"/>
      <c r="AP255" s="184"/>
      <c r="AQ255" s="184"/>
      <c r="AR255" s="184"/>
      <c r="AS255" s="184"/>
      <c r="AT255" s="184"/>
      <c r="AU255" s="184"/>
      <c r="AV255" s="184"/>
      <c r="AW255" s="184"/>
    </row>
    <row r="256" spans="1:49" ht="12.75" customHeight="1" x14ac:dyDescent="0.25">
      <c r="A256" s="202" t="s">
        <v>587</v>
      </c>
      <c r="B256" s="257" t="s">
        <v>15</v>
      </c>
      <c r="C256" s="274">
        <v>1230</v>
      </c>
      <c r="D256" s="141">
        <v>2100</v>
      </c>
      <c r="E256" s="142">
        <f t="shared" si="32"/>
        <v>6</v>
      </c>
      <c r="F256" s="142">
        <f t="shared" si="33"/>
        <v>0</v>
      </c>
      <c r="G256" s="142">
        <f t="shared" si="34"/>
        <v>6</v>
      </c>
      <c r="H256" s="142">
        <f t="shared" si="35"/>
        <v>2</v>
      </c>
      <c r="I256" s="184"/>
      <c r="J256" s="184"/>
      <c r="K256" s="184"/>
      <c r="L256" s="184"/>
      <c r="M256" s="184"/>
      <c r="N256" s="184"/>
      <c r="O256" s="184"/>
      <c r="P256" s="184"/>
      <c r="Q256" s="184"/>
      <c r="R256" s="184"/>
      <c r="S256" s="184"/>
      <c r="T256" s="184"/>
      <c r="U256" s="184"/>
      <c r="V256" s="184"/>
      <c r="W256" s="184"/>
      <c r="X256" s="184" t="s">
        <v>126</v>
      </c>
      <c r="Y256" s="184" t="s">
        <v>126</v>
      </c>
      <c r="Z256" s="184" t="s">
        <v>240</v>
      </c>
      <c r="AA256" s="184" t="s">
        <v>126</v>
      </c>
      <c r="AB256" s="184" t="s">
        <v>126</v>
      </c>
      <c r="AC256" s="184" t="s">
        <v>130</v>
      </c>
      <c r="AD256" s="184" t="s">
        <v>130</v>
      </c>
      <c r="AE256" s="184" t="s">
        <v>241</v>
      </c>
      <c r="AF256" s="184" t="s">
        <v>130</v>
      </c>
      <c r="AG256" s="184" t="s">
        <v>211</v>
      </c>
      <c r="AH256" s="184" t="s">
        <v>211</v>
      </c>
      <c r="AI256" s="184" t="s">
        <v>126</v>
      </c>
      <c r="AJ256" s="184" t="s">
        <v>363</v>
      </c>
      <c r="AK256" s="184" t="s">
        <v>130</v>
      </c>
      <c r="AL256" s="184" t="s">
        <v>130</v>
      </c>
      <c r="AM256" s="184" t="s">
        <v>130</v>
      </c>
      <c r="AN256" s="184" t="s">
        <v>126</v>
      </c>
      <c r="AO256" s="184"/>
      <c r="AP256" s="184"/>
      <c r="AQ256" s="184"/>
      <c r="AR256" s="184"/>
      <c r="AS256" s="184"/>
      <c r="AT256" s="184"/>
      <c r="AU256" s="184"/>
      <c r="AV256" s="184"/>
      <c r="AW256" s="184"/>
    </row>
    <row r="257" spans="1:49" ht="12.75" customHeight="1" x14ac:dyDescent="0.25">
      <c r="A257" s="202" t="s">
        <v>29</v>
      </c>
      <c r="B257" s="257" t="s">
        <v>15</v>
      </c>
      <c r="C257" s="274">
        <v>1300</v>
      </c>
      <c r="D257" s="141">
        <v>2130</v>
      </c>
      <c r="E257" s="142">
        <f t="shared" si="32"/>
        <v>7</v>
      </c>
      <c r="F257" s="142">
        <f t="shared" si="33"/>
        <v>0</v>
      </c>
      <c r="G257" s="142">
        <f t="shared" si="34"/>
        <v>5</v>
      </c>
      <c r="H257" s="142">
        <f t="shared" si="35"/>
        <v>2</v>
      </c>
      <c r="I257" s="184"/>
      <c r="J257" s="184"/>
      <c r="K257" s="184"/>
      <c r="L257" s="184"/>
      <c r="M257" s="184"/>
      <c r="N257" s="184"/>
      <c r="O257" s="184"/>
      <c r="P257" s="184"/>
      <c r="Q257" s="184"/>
      <c r="R257" s="184"/>
      <c r="S257" s="184"/>
      <c r="T257" s="184"/>
      <c r="U257" s="184"/>
      <c r="V257" s="184"/>
      <c r="W257" s="184"/>
      <c r="X257" s="184"/>
      <c r="Y257" s="184" t="s">
        <v>130</v>
      </c>
      <c r="Z257" s="184" t="s">
        <v>130</v>
      </c>
      <c r="AA257" s="184" t="s">
        <v>130</v>
      </c>
      <c r="AB257" s="184" t="s">
        <v>130</v>
      </c>
      <c r="AC257" s="184" t="s">
        <v>361</v>
      </c>
      <c r="AD257" s="184" t="s">
        <v>130</v>
      </c>
      <c r="AE257" s="184" t="s">
        <v>211</v>
      </c>
      <c r="AF257" s="184" t="s">
        <v>211</v>
      </c>
      <c r="AG257" s="184" t="s">
        <v>241</v>
      </c>
      <c r="AH257" s="184" t="s">
        <v>126</v>
      </c>
      <c r="AI257" s="184" t="s">
        <v>126</v>
      </c>
      <c r="AJ257" s="184" t="s">
        <v>126</v>
      </c>
      <c r="AK257" s="184" t="s">
        <v>242</v>
      </c>
      <c r="AL257" s="184" t="s">
        <v>126</v>
      </c>
      <c r="AM257" s="184" t="s">
        <v>126</v>
      </c>
      <c r="AN257" s="184" t="s">
        <v>126</v>
      </c>
      <c r="AO257" s="184" t="s">
        <v>126</v>
      </c>
      <c r="AP257" s="184"/>
      <c r="AQ257" s="184"/>
      <c r="AR257" s="184"/>
      <c r="AS257" s="184"/>
      <c r="AT257" s="184"/>
      <c r="AU257" s="184"/>
      <c r="AV257" s="184"/>
      <c r="AW257" s="184"/>
    </row>
    <row r="258" spans="1:49" ht="12.75" customHeight="1" x14ac:dyDescent="0.25">
      <c r="A258" s="201" t="s">
        <v>586</v>
      </c>
      <c r="B258" s="257" t="s">
        <v>15</v>
      </c>
      <c r="C258" s="274">
        <v>1330</v>
      </c>
      <c r="D258" s="141">
        <v>2200</v>
      </c>
      <c r="E258" s="450">
        <f t="shared" si="32"/>
        <v>7</v>
      </c>
      <c r="F258" s="450">
        <f t="shared" si="33"/>
        <v>0</v>
      </c>
      <c r="G258" s="450">
        <f t="shared" si="34"/>
        <v>7</v>
      </c>
      <c r="H258" s="450">
        <f t="shared" si="35"/>
        <v>0</v>
      </c>
      <c r="I258" s="184"/>
      <c r="J258" s="184"/>
      <c r="K258" s="184"/>
      <c r="L258" s="184"/>
      <c r="M258" s="184"/>
      <c r="N258" s="184"/>
      <c r="O258" s="184"/>
      <c r="P258" s="184"/>
      <c r="Q258" s="184"/>
      <c r="R258" s="184"/>
      <c r="S258" s="184"/>
      <c r="T258" s="184"/>
      <c r="U258" s="184"/>
      <c r="V258" s="184"/>
      <c r="W258" s="184"/>
      <c r="X258" s="184"/>
      <c r="Y258" s="184"/>
      <c r="Z258" s="184" t="s">
        <v>126</v>
      </c>
      <c r="AA258" s="184" t="s">
        <v>126</v>
      </c>
      <c r="AB258" s="184" t="s">
        <v>126</v>
      </c>
      <c r="AC258" s="184" t="s">
        <v>126</v>
      </c>
      <c r="AD258" s="184" t="s">
        <v>361</v>
      </c>
      <c r="AE258" s="184" t="s">
        <v>130</v>
      </c>
      <c r="AF258" s="184" t="s">
        <v>130</v>
      </c>
      <c r="AG258" s="184" t="s">
        <v>130</v>
      </c>
      <c r="AH258" s="184" t="s">
        <v>130</v>
      </c>
      <c r="AI258" s="184" t="s">
        <v>241</v>
      </c>
      <c r="AJ258" s="184" t="s">
        <v>126</v>
      </c>
      <c r="AK258" s="184" t="s">
        <v>126</v>
      </c>
      <c r="AL258" s="184" t="s">
        <v>126</v>
      </c>
      <c r="AM258" s="184" t="s">
        <v>242</v>
      </c>
      <c r="AN258" s="184" t="s">
        <v>130</v>
      </c>
      <c r="AO258" s="184" t="s">
        <v>130</v>
      </c>
      <c r="AP258" s="184" t="s">
        <v>130</v>
      </c>
      <c r="AQ258" s="184"/>
      <c r="AR258" s="184"/>
      <c r="AS258" s="184"/>
      <c r="AT258" s="184"/>
      <c r="AU258" s="184"/>
      <c r="AV258" s="184"/>
      <c r="AW258" s="184"/>
    </row>
    <row r="259" spans="1:49" ht="12.75" customHeight="1" x14ac:dyDescent="0.25">
      <c r="A259" s="201" t="s">
        <v>229</v>
      </c>
      <c r="B259" s="150" t="s">
        <v>15</v>
      </c>
      <c r="C259" s="55">
        <v>1630</v>
      </c>
      <c r="D259" s="141">
        <v>100</v>
      </c>
      <c r="E259" s="142">
        <f t="shared" si="32"/>
        <v>8</v>
      </c>
      <c r="F259" s="142">
        <f t="shared" si="33"/>
        <v>0</v>
      </c>
      <c r="G259" s="142">
        <f t="shared" si="34"/>
        <v>4</v>
      </c>
      <c r="H259" s="142">
        <f t="shared" si="35"/>
        <v>2</v>
      </c>
      <c r="I259" s="184"/>
      <c r="J259" s="184"/>
      <c r="K259" s="184"/>
      <c r="L259" s="184"/>
      <c r="M259" s="184"/>
      <c r="N259" s="184"/>
      <c r="O259" s="184"/>
      <c r="P259" s="184"/>
      <c r="Q259" s="184"/>
      <c r="R259" s="184"/>
      <c r="S259" s="184"/>
      <c r="T259" s="184"/>
      <c r="U259" s="184"/>
      <c r="V259" s="184"/>
      <c r="W259" s="184"/>
      <c r="X259" s="184"/>
      <c r="Y259" s="184"/>
      <c r="Z259" s="184"/>
      <c r="AA259" s="184"/>
      <c r="AB259" s="184"/>
      <c r="AC259" s="184"/>
      <c r="AD259" s="184"/>
      <c r="AE259" s="184"/>
      <c r="AF259" s="184" t="s">
        <v>130</v>
      </c>
      <c r="AG259" s="184" t="s">
        <v>130</v>
      </c>
      <c r="AH259" s="184" t="s">
        <v>130</v>
      </c>
      <c r="AI259" s="184" t="s">
        <v>130</v>
      </c>
      <c r="AJ259" s="184" t="s">
        <v>364</v>
      </c>
      <c r="AK259" s="184" t="s">
        <v>211</v>
      </c>
      <c r="AL259" s="184" t="s">
        <v>211</v>
      </c>
      <c r="AM259" s="184" t="s">
        <v>126</v>
      </c>
      <c r="AN259" s="184" t="s">
        <v>241</v>
      </c>
      <c r="AO259" s="184" t="s">
        <v>126</v>
      </c>
      <c r="AP259" s="184" t="s">
        <v>126</v>
      </c>
      <c r="AQ259" s="184" t="s">
        <v>126</v>
      </c>
      <c r="AR259" s="184" t="s">
        <v>247</v>
      </c>
      <c r="AS259" s="184" t="s">
        <v>126</v>
      </c>
      <c r="AT259" s="184" t="s">
        <v>580</v>
      </c>
      <c r="AU259" s="184" t="s">
        <v>126</v>
      </c>
      <c r="AV259" s="184" t="s">
        <v>126</v>
      </c>
      <c r="AW259" s="184"/>
    </row>
    <row r="260" spans="1:49" ht="12.75" customHeight="1" x14ac:dyDescent="0.25">
      <c r="A260" s="202" t="s">
        <v>46</v>
      </c>
      <c r="B260" s="257" t="s">
        <v>13</v>
      </c>
      <c r="C260" s="274">
        <v>500</v>
      </c>
      <c r="D260" s="141">
        <v>1400</v>
      </c>
      <c r="E260" s="142">
        <f t="shared" si="32"/>
        <v>0</v>
      </c>
      <c r="F260" s="142">
        <f t="shared" si="33"/>
        <v>4</v>
      </c>
      <c r="G260" s="142">
        <f t="shared" si="34"/>
        <v>0</v>
      </c>
      <c r="H260" s="142">
        <f t="shared" si="35"/>
        <v>0</v>
      </c>
      <c r="I260" s="184" t="s">
        <v>224</v>
      </c>
      <c r="J260" s="184" t="s">
        <v>223</v>
      </c>
      <c r="K260" s="184" t="s">
        <v>223</v>
      </c>
      <c r="L260" s="184" t="s">
        <v>223</v>
      </c>
      <c r="M260" s="184" t="s">
        <v>223</v>
      </c>
      <c r="N260" s="184" t="s">
        <v>224</v>
      </c>
      <c r="O260" s="184" t="s">
        <v>224</v>
      </c>
      <c r="P260" s="184" t="s">
        <v>224</v>
      </c>
      <c r="Q260" s="184" t="s">
        <v>437</v>
      </c>
      <c r="R260" s="184" t="s">
        <v>437</v>
      </c>
      <c r="S260" s="184" t="s">
        <v>224</v>
      </c>
      <c r="T260" s="184" t="s">
        <v>224</v>
      </c>
      <c r="U260" s="184" t="s">
        <v>224</v>
      </c>
      <c r="V260" s="184" t="s">
        <v>495</v>
      </c>
      <c r="W260" s="184" t="s">
        <v>512</v>
      </c>
      <c r="X260" s="184" t="s">
        <v>512</v>
      </c>
      <c r="Y260" s="184" t="s">
        <v>224</v>
      </c>
      <c r="Z260" s="184" t="s">
        <v>224</v>
      </c>
      <c r="AA260" s="184"/>
      <c r="AB260" s="184"/>
      <c r="AC260" s="184"/>
      <c r="AD260" s="184"/>
      <c r="AE260" s="184"/>
      <c r="AF260" s="184"/>
      <c r="AG260" s="184"/>
      <c r="AH260" s="184"/>
      <c r="AI260" s="184"/>
      <c r="AJ260" s="184"/>
      <c r="AK260" s="184"/>
      <c r="AL260" s="184"/>
      <c r="AM260" s="184"/>
      <c r="AN260" s="184"/>
      <c r="AO260" s="184"/>
      <c r="AP260" s="184"/>
      <c r="AQ260" s="184"/>
      <c r="AR260" s="184"/>
      <c r="AS260" s="184"/>
      <c r="AT260" s="184"/>
      <c r="AU260" s="184"/>
      <c r="AV260" s="184"/>
      <c r="AW260" s="184"/>
    </row>
    <row r="261" spans="1:49" ht="12.75" customHeight="1" x14ac:dyDescent="0.25">
      <c r="A261" s="201" t="s">
        <v>32</v>
      </c>
      <c r="B261" s="150" t="s">
        <v>13</v>
      </c>
      <c r="C261" s="274">
        <v>500</v>
      </c>
      <c r="D261" s="141">
        <v>1400</v>
      </c>
      <c r="E261" s="142">
        <f t="shared" si="32"/>
        <v>0</v>
      </c>
      <c r="F261" s="142">
        <f t="shared" si="33"/>
        <v>4</v>
      </c>
      <c r="G261" s="142">
        <f t="shared" si="34"/>
        <v>0</v>
      </c>
      <c r="H261" s="142">
        <f t="shared" si="35"/>
        <v>0</v>
      </c>
      <c r="I261" s="184" t="s">
        <v>224</v>
      </c>
      <c r="J261" s="184" t="s">
        <v>224</v>
      </c>
      <c r="K261" s="184" t="s">
        <v>224</v>
      </c>
      <c r="L261" s="184" t="s">
        <v>224</v>
      </c>
      <c r="M261" s="184" t="s">
        <v>224</v>
      </c>
      <c r="N261" s="184" t="s">
        <v>224</v>
      </c>
      <c r="O261" s="184" t="s">
        <v>437</v>
      </c>
      <c r="P261" s="184" t="s">
        <v>437</v>
      </c>
      <c r="Q261" s="184" t="s">
        <v>224</v>
      </c>
      <c r="R261" s="184" t="s">
        <v>224</v>
      </c>
      <c r="S261" s="184" t="s">
        <v>223</v>
      </c>
      <c r="T261" s="184" t="s">
        <v>223</v>
      </c>
      <c r="U261" s="184" t="s">
        <v>223</v>
      </c>
      <c r="V261" s="184" t="s">
        <v>223</v>
      </c>
      <c r="W261" s="184" t="s">
        <v>224</v>
      </c>
      <c r="X261" s="184" t="s">
        <v>224</v>
      </c>
      <c r="Y261" s="184" t="s">
        <v>224</v>
      </c>
      <c r="Z261" s="184" t="s">
        <v>224</v>
      </c>
      <c r="AA261" s="184"/>
      <c r="AB261" s="184"/>
      <c r="AC261" s="184"/>
      <c r="AD261" s="184"/>
      <c r="AE261" s="184"/>
      <c r="AF261" s="184"/>
      <c r="AG261" s="184"/>
      <c r="AH261" s="184"/>
      <c r="AI261" s="184"/>
      <c r="AJ261" s="184"/>
      <c r="AK261" s="184"/>
      <c r="AL261" s="184"/>
      <c r="AM261" s="184"/>
      <c r="AN261" s="184"/>
      <c r="AO261" s="184"/>
      <c r="AP261" s="184"/>
      <c r="AQ261" s="184"/>
      <c r="AR261" s="184"/>
      <c r="AS261" s="184"/>
      <c r="AT261" s="184"/>
      <c r="AU261" s="184"/>
      <c r="AV261" s="184"/>
      <c r="AW261" s="184"/>
    </row>
    <row r="262" spans="1:49" ht="12.75" customHeight="1" x14ac:dyDescent="0.25">
      <c r="A262" s="202" t="s">
        <v>25</v>
      </c>
      <c r="B262" s="150" t="s">
        <v>13</v>
      </c>
      <c r="C262" s="274">
        <v>500</v>
      </c>
      <c r="D262" s="141">
        <v>1400</v>
      </c>
      <c r="E262" s="142">
        <f t="shared" si="32"/>
        <v>0</v>
      </c>
      <c r="F262" s="142">
        <f t="shared" si="33"/>
        <v>4</v>
      </c>
      <c r="G262" s="142">
        <f t="shared" si="34"/>
        <v>0</v>
      </c>
      <c r="H262" s="142">
        <f t="shared" si="35"/>
        <v>0</v>
      </c>
      <c r="I262" s="184" t="s">
        <v>224</v>
      </c>
      <c r="J262" s="184" t="s">
        <v>224</v>
      </c>
      <c r="K262" s="184" t="s">
        <v>224</v>
      </c>
      <c r="L262" s="184" t="s">
        <v>223</v>
      </c>
      <c r="M262" s="184" t="s">
        <v>223</v>
      </c>
      <c r="N262" s="184" t="s">
        <v>223</v>
      </c>
      <c r="O262" s="184" t="s">
        <v>223</v>
      </c>
      <c r="P262" s="184" t="s">
        <v>224</v>
      </c>
      <c r="Q262" s="184" t="s">
        <v>437</v>
      </c>
      <c r="R262" s="184" t="s">
        <v>437</v>
      </c>
      <c r="S262" s="184" t="s">
        <v>224</v>
      </c>
      <c r="T262" s="184" t="s">
        <v>224</v>
      </c>
      <c r="U262" s="184" t="s">
        <v>224</v>
      </c>
      <c r="V262" s="184" t="s">
        <v>224</v>
      </c>
      <c r="W262" s="184" t="s">
        <v>224</v>
      </c>
      <c r="X262" s="184" t="s">
        <v>224</v>
      </c>
      <c r="Y262" s="184" t="s">
        <v>224</v>
      </c>
      <c r="Z262" s="184" t="s">
        <v>224</v>
      </c>
      <c r="AA262" s="184"/>
      <c r="AB262" s="184"/>
      <c r="AC262" s="184"/>
      <c r="AD262" s="184"/>
      <c r="AE262" s="184"/>
      <c r="AF262" s="184"/>
      <c r="AG262" s="184"/>
      <c r="AH262" s="184"/>
      <c r="AI262" s="184"/>
      <c r="AJ262" s="184"/>
      <c r="AK262" s="184"/>
      <c r="AL262" s="184"/>
      <c r="AM262" s="184"/>
      <c r="AN262" s="184"/>
      <c r="AO262" s="184"/>
      <c r="AP262" s="184"/>
      <c r="AQ262" s="184"/>
      <c r="AR262" s="184"/>
      <c r="AS262" s="184"/>
      <c r="AT262" s="184"/>
      <c r="AU262" s="184"/>
      <c r="AV262" s="184"/>
      <c r="AW262" s="184"/>
    </row>
    <row r="263" spans="1:49" ht="12.75" customHeight="1" x14ac:dyDescent="0.25">
      <c r="A263" s="201"/>
      <c r="B263" s="150"/>
      <c r="C263" s="141"/>
      <c r="D263" s="188"/>
      <c r="E263" s="142"/>
      <c r="F263" s="142"/>
      <c r="G263" s="142"/>
      <c r="H263" s="142"/>
      <c r="I263" s="184"/>
      <c r="J263" s="184"/>
      <c r="K263" s="184"/>
      <c r="L263" s="184"/>
      <c r="M263" s="184"/>
      <c r="N263" s="184"/>
      <c r="O263" s="184"/>
      <c r="P263" s="184"/>
      <c r="Q263" s="184"/>
      <c r="R263" s="184"/>
      <c r="S263" s="184"/>
      <c r="T263" s="184"/>
      <c r="U263" s="184"/>
      <c r="V263" s="184"/>
      <c r="W263" s="184"/>
      <c r="X263" s="184"/>
      <c r="Y263" s="184"/>
      <c r="Z263" s="184"/>
      <c r="AA263" s="184"/>
      <c r="AB263" s="184"/>
      <c r="AC263" s="184"/>
      <c r="AD263" s="184"/>
      <c r="AE263" s="184"/>
      <c r="AF263" s="184"/>
      <c r="AG263" s="184"/>
      <c r="AH263" s="184"/>
      <c r="AI263" s="184"/>
      <c r="AJ263" s="184"/>
      <c r="AK263" s="184"/>
      <c r="AL263" s="184"/>
      <c r="AM263" s="184"/>
      <c r="AN263" s="184"/>
      <c r="AO263" s="184"/>
      <c r="AP263" s="184"/>
      <c r="AQ263" s="184"/>
      <c r="AR263" s="184"/>
      <c r="AS263" s="184"/>
      <c r="AT263" s="184"/>
      <c r="AU263" s="184"/>
      <c r="AV263" s="184"/>
      <c r="AW263" s="184"/>
    </row>
    <row r="264" spans="1:49" ht="12.75" customHeight="1" x14ac:dyDescent="0.25">
      <c r="A264" s="201" t="s">
        <v>369</v>
      </c>
      <c r="B264" s="257" t="s">
        <v>13</v>
      </c>
      <c r="C264" s="141">
        <v>600</v>
      </c>
      <c r="D264" s="141">
        <v>1500</v>
      </c>
      <c r="E264" s="142">
        <f t="shared" si="32"/>
        <v>0</v>
      </c>
      <c r="F264" s="142">
        <f t="shared" si="33"/>
        <v>4</v>
      </c>
      <c r="G264" s="142">
        <f t="shared" si="34"/>
        <v>0</v>
      </c>
      <c r="H264" s="142">
        <f t="shared" si="35"/>
        <v>0</v>
      </c>
      <c r="I264" s="184"/>
      <c r="J264" s="184"/>
      <c r="K264" s="184" t="s">
        <v>224</v>
      </c>
      <c r="L264" s="184" t="s">
        <v>224</v>
      </c>
      <c r="M264" s="184" t="s">
        <v>224</v>
      </c>
      <c r="N264" s="184" t="s">
        <v>224</v>
      </c>
      <c r="O264" s="184" t="s">
        <v>223</v>
      </c>
      <c r="P264" s="184" t="s">
        <v>223</v>
      </c>
      <c r="Q264" s="184" t="s">
        <v>223</v>
      </c>
      <c r="R264" s="184" t="s">
        <v>223</v>
      </c>
      <c r="S264" s="184" t="s">
        <v>437</v>
      </c>
      <c r="T264" s="184" t="s">
        <v>437</v>
      </c>
      <c r="U264" s="184" t="s">
        <v>224</v>
      </c>
      <c r="V264" s="184" t="s">
        <v>224</v>
      </c>
      <c r="W264" s="184" t="s">
        <v>224</v>
      </c>
      <c r="X264" s="184" t="s">
        <v>224</v>
      </c>
      <c r="Y264" s="184" t="s">
        <v>224</v>
      </c>
      <c r="Z264" s="184" t="s">
        <v>224</v>
      </c>
      <c r="AA264" s="184" t="s">
        <v>224</v>
      </c>
      <c r="AB264" s="184" t="s">
        <v>224</v>
      </c>
      <c r="AC264" s="184"/>
      <c r="AD264" s="184"/>
      <c r="AE264" s="184"/>
      <c r="AF264" s="184"/>
      <c r="AG264" s="184"/>
      <c r="AH264" s="184"/>
      <c r="AI264" s="184"/>
      <c r="AJ264" s="184"/>
      <c r="AK264" s="184"/>
      <c r="AL264" s="184"/>
      <c r="AM264" s="184"/>
      <c r="AN264" s="184"/>
      <c r="AO264" s="184"/>
      <c r="AP264" s="184"/>
      <c r="AQ264" s="184"/>
      <c r="AR264" s="184"/>
      <c r="AS264" s="184"/>
      <c r="AT264" s="184"/>
      <c r="AU264" s="184"/>
      <c r="AV264" s="184"/>
      <c r="AW264" s="184"/>
    </row>
    <row r="265" spans="1:49" ht="12.75" customHeight="1" x14ac:dyDescent="0.25">
      <c r="A265" s="202" t="s">
        <v>20</v>
      </c>
      <c r="B265" s="140" t="s">
        <v>13</v>
      </c>
      <c r="C265" s="141">
        <v>600</v>
      </c>
      <c r="D265" s="141">
        <v>1500</v>
      </c>
      <c r="E265" s="142">
        <f t="shared" si="32"/>
        <v>0</v>
      </c>
      <c r="F265" s="142">
        <f t="shared" si="33"/>
        <v>4</v>
      </c>
      <c r="G265" s="142">
        <f t="shared" si="34"/>
        <v>0</v>
      </c>
      <c r="H265" s="142">
        <f t="shared" si="35"/>
        <v>0</v>
      </c>
      <c r="I265" s="184"/>
      <c r="J265" s="184"/>
      <c r="K265" s="184" t="s">
        <v>224</v>
      </c>
      <c r="L265" s="184" t="s">
        <v>224</v>
      </c>
      <c r="M265" s="184" t="s">
        <v>224</v>
      </c>
      <c r="N265" s="184" t="s">
        <v>224</v>
      </c>
      <c r="O265" s="184" t="s">
        <v>224</v>
      </c>
      <c r="P265" s="184" t="s">
        <v>224</v>
      </c>
      <c r="Q265" s="184" t="s">
        <v>224</v>
      </c>
      <c r="R265" s="184" t="s">
        <v>224</v>
      </c>
      <c r="S265" s="184" t="s">
        <v>224</v>
      </c>
      <c r="T265" s="184" t="s">
        <v>223</v>
      </c>
      <c r="U265" s="184" t="s">
        <v>223</v>
      </c>
      <c r="V265" s="184" t="s">
        <v>223</v>
      </c>
      <c r="W265" s="184" t="s">
        <v>223</v>
      </c>
      <c r="X265" s="184" t="s">
        <v>224</v>
      </c>
      <c r="Y265" s="184" t="s">
        <v>224</v>
      </c>
      <c r="Z265" s="184" t="s">
        <v>224</v>
      </c>
      <c r="AA265" s="184" t="s">
        <v>224</v>
      </c>
      <c r="AB265" s="184" t="s">
        <v>224</v>
      </c>
      <c r="AC265" s="184"/>
      <c r="AD265" s="184"/>
      <c r="AE265" s="184"/>
      <c r="AF265" s="184"/>
      <c r="AG265" s="184"/>
      <c r="AH265" s="184"/>
      <c r="AI265" s="184"/>
      <c r="AJ265" s="184"/>
      <c r="AK265" s="184"/>
      <c r="AL265" s="184"/>
      <c r="AM265" s="184"/>
      <c r="AN265" s="184"/>
      <c r="AO265" s="184"/>
      <c r="AP265" s="184"/>
      <c r="AQ265" s="184"/>
      <c r="AR265" s="184"/>
      <c r="AS265" s="184"/>
      <c r="AT265" s="184"/>
      <c r="AU265" s="184"/>
      <c r="AV265" s="184"/>
      <c r="AW265" s="184"/>
    </row>
    <row r="266" spans="1:49" ht="12.75" customHeight="1" x14ac:dyDescent="0.25">
      <c r="A266" s="201" t="s">
        <v>51</v>
      </c>
      <c r="B266" s="150" t="s">
        <v>13</v>
      </c>
      <c r="C266" s="274">
        <v>700</v>
      </c>
      <c r="D266" s="141">
        <v>1600</v>
      </c>
      <c r="E266" s="142">
        <f t="shared" si="32"/>
        <v>0</v>
      </c>
      <c r="F266" s="142">
        <f t="shared" si="33"/>
        <v>5</v>
      </c>
      <c r="G266" s="142">
        <f t="shared" si="34"/>
        <v>0</v>
      </c>
      <c r="H266" s="142">
        <f t="shared" si="35"/>
        <v>0</v>
      </c>
      <c r="I266" s="184"/>
      <c r="J266" s="184"/>
      <c r="K266" s="184"/>
      <c r="L266" s="184"/>
      <c r="M266" s="184" t="s">
        <v>224</v>
      </c>
      <c r="N266" s="184" t="s">
        <v>224</v>
      </c>
      <c r="O266" s="184" t="s">
        <v>224</v>
      </c>
      <c r="P266" s="184" t="s">
        <v>224</v>
      </c>
      <c r="Q266" s="184" t="s">
        <v>224</v>
      </c>
      <c r="R266" s="184" t="s">
        <v>224</v>
      </c>
      <c r="S266" s="184" t="s">
        <v>437</v>
      </c>
      <c r="T266" s="184" t="s">
        <v>437</v>
      </c>
      <c r="U266" s="184" t="s">
        <v>223</v>
      </c>
      <c r="V266" s="184" t="s">
        <v>223</v>
      </c>
      <c r="W266" s="184" t="s">
        <v>224</v>
      </c>
      <c r="X266" s="184" t="s">
        <v>224</v>
      </c>
      <c r="Y266" s="184" t="s">
        <v>224</v>
      </c>
      <c r="Z266" s="184" t="s">
        <v>223</v>
      </c>
      <c r="AA266" s="184" t="s">
        <v>223</v>
      </c>
      <c r="AB266" s="184" t="s">
        <v>223</v>
      </c>
      <c r="AC266" s="184" t="s">
        <v>224</v>
      </c>
      <c r="AD266" s="184" t="s">
        <v>224</v>
      </c>
      <c r="AE266" s="184"/>
      <c r="AF266" s="184"/>
      <c r="AG266" s="184"/>
      <c r="AH266" s="184"/>
      <c r="AI266" s="184"/>
      <c r="AJ266" s="184"/>
      <c r="AK266" s="184"/>
      <c r="AL266" s="184"/>
      <c r="AM266" s="184"/>
      <c r="AN266" s="184"/>
      <c r="AO266" s="184"/>
      <c r="AP266" s="184"/>
      <c r="AQ266" s="184"/>
      <c r="AR266" s="184"/>
      <c r="AS266" s="184"/>
      <c r="AT266" s="184"/>
      <c r="AU266" s="184"/>
      <c r="AV266" s="184"/>
      <c r="AW266" s="184"/>
    </row>
    <row r="267" spans="1:49" ht="12.75" customHeight="1" x14ac:dyDescent="0.25">
      <c r="A267" s="201" t="s">
        <v>33</v>
      </c>
      <c r="B267" s="150" t="s">
        <v>13</v>
      </c>
      <c r="C267" s="141">
        <v>730</v>
      </c>
      <c r="D267" s="141">
        <v>1630</v>
      </c>
      <c r="E267" s="142">
        <f t="shared" si="32"/>
        <v>0</v>
      </c>
      <c r="F267" s="142">
        <f t="shared" si="33"/>
        <v>4</v>
      </c>
      <c r="G267" s="142">
        <f t="shared" si="34"/>
        <v>0</v>
      </c>
      <c r="H267" s="142">
        <f t="shared" si="35"/>
        <v>0</v>
      </c>
      <c r="I267" s="184"/>
      <c r="J267" s="184"/>
      <c r="K267" s="184"/>
      <c r="L267" s="184"/>
      <c r="M267" s="184"/>
      <c r="N267" s="184" t="s">
        <v>224</v>
      </c>
      <c r="O267" s="184" t="s">
        <v>224</v>
      </c>
      <c r="P267" s="184" t="s">
        <v>224</v>
      </c>
      <c r="Q267" s="184" t="s">
        <v>224</v>
      </c>
      <c r="R267" s="184" t="s">
        <v>224</v>
      </c>
      <c r="S267" s="184" t="s">
        <v>224</v>
      </c>
      <c r="T267" s="184" t="s">
        <v>224</v>
      </c>
      <c r="U267" s="184" t="s">
        <v>223</v>
      </c>
      <c r="V267" s="184" t="s">
        <v>223</v>
      </c>
      <c r="W267" s="184" t="s">
        <v>223</v>
      </c>
      <c r="X267" s="184" t="s">
        <v>223</v>
      </c>
      <c r="Y267" s="184" t="s">
        <v>437</v>
      </c>
      <c r="Z267" s="184" t="s">
        <v>437</v>
      </c>
      <c r="AA267" s="184" t="s">
        <v>224</v>
      </c>
      <c r="AB267" s="184" t="s">
        <v>224</v>
      </c>
      <c r="AC267" s="184" t="s">
        <v>224</v>
      </c>
      <c r="AD267" s="184" t="s">
        <v>224</v>
      </c>
      <c r="AE267" s="184" t="s">
        <v>224</v>
      </c>
      <c r="AF267" s="184"/>
      <c r="AG267" s="184"/>
      <c r="AH267" s="184"/>
      <c r="AI267" s="184"/>
      <c r="AJ267" s="184"/>
      <c r="AK267" s="184"/>
      <c r="AL267" s="184"/>
      <c r="AM267" s="184"/>
      <c r="AN267" s="184"/>
      <c r="AO267" s="184"/>
      <c r="AP267" s="184"/>
      <c r="AQ267" s="184"/>
      <c r="AR267" s="184"/>
      <c r="AS267" s="184"/>
      <c r="AT267" s="184"/>
      <c r="AU267" s="184"/>
      <c r="AV267" s="184"/>
      <c r="AW267" s="184"/>
    </row>
    <row r="268" spans="1:49" ht="12.75" customHeight="1" x14ac:dyDescent="0.25">
      <c r="A268" s="201" t="s">
        <v>360</v>
      </c>
      <c r="B268" s="150" t="s">
        <v>13</v>
      </c>
      <c r="C268" s="274">
        <v>800</v>
      </c>
      <c r="D268" s="141">
        <v>2100</v>
      </c>
      <c r="E268" s="142">
        <f t="shared" si="32"/>
        <v>0</v>
      </c>
      <c r="F268" s="142">
        <f t="shared" si="33"/>
        <v>0</v>
      </c>
      <c r="G268" s="142">
        <f t="shared" si="34"/>
        <v>0</v>
      </c>
      <c r="H268" s="142">
        <f t="shared" si="35"/>
        <v>0</v>
      </c>
      <c r="I268" s="184"/>
      <c r="J268" s="184"/>
      <c r="K268" s="184"/>
      <c r="L268" s="184"/>
      <c r="M268" s="184"/>
      <c r="N268" s="184"/>
      <c r="O268" s="184" t="s">
        <v>224</v>
      </c>
      <c r="P268" s="184" t="s">
        <v>224</v>
      </c>
      <c r="Q268" s="184" t="s">
        <v>224</v>
      </c>
      <c r="R268" s="184" t="s">
        <v>224</v>
      </c>
      <c r="S268" s="184" t="s">
        <v>224</v>
      </c>
      <c r="T268" s="184" t="s">
        <v>224</v>
      </c>
      <c r="U268" s="184" t="s">
        <v>224</v>
      </c>
      <c r="V268" s="184" t="s">
        <v>224</v>
      </c>
      <c r="W268" s="184" t="s">
        <v>224</v>
      </c>
      <c r="X268" s="184" t="s">
        <v>224</v>
      </c>
      <c r="Y268" s="184" t="s">
        <v>224</v>
      </c>
      <c r="Z268" s="184" t="s">
        <v>224</v>
      </c>
      <c r="AA268" s="184" t="s">
        <v>224</v>
      </c>
      <c r="AB268" s="184" t="s">
        <v>224</v>
      </c>
      <c r="AC268" s="184" t="s">
        <v>224</v>
      </c>
      <c r="AD268" s="184" t="s">
        <v>224</v>
      </c>
      <c r="AE268" s="184" t="s">
        <v>224</v>
      </c>
      <c r="AF268" s="184" t="s">
        <v>224</v>
      </c>
      <c r="AG268" s="184" t="s">
        <v>224</v>
      </c>
      <c r="AH268" s="184" t="s">
        <v>224</v>
      </c>
      <c r="AI268" s="184" t="s">
        <v>224</v>
      </c>
      <c r="AJ268" s="184" t="s">
        <v>224</v>
      </c>
      <c r="AK268" s="184" t="s">
        <v>224</v>
      </c>
      <c r="AL268" s="184" t="s">
        <v>224</v>
      </c>
      <c r="AM268" s="184" t="s">
        <v>224</v>
      </c>
      <c r="AN268" s="184" t="s">
        <v>224</v>
      </c>
      <c r="AO268" s="184"/>
      <c r="AP268" s="184"/>
      <c r="AQ268" s="184"/>
      <c r="AR268" s="184"/>
      <c r="AS268" s="184"/>
      <c r="AT268" s="184"/>
      <c r="AU268" s="184"/>
      <c r="AV268" s="184"/>
      <c r="AW268" s="184"/>
    </row>
    <row r="269" spans="1:49" ht="12.75" customHeight="1" x14ac:dyDescent="0.25">
      <c r="A269" s="201" t="s">
        <v>70</v>
      </c>
      <c r="B269" s="257" t="s">
        <v>13</v>
      </c>
      <c r="C269" s="274">
        <v>800</v>
      </c>
      <c r="D269" s="141">
        <v>1700</v>
      </c>
      <c r="E269" s="142">
        <f t="shared" si="32"/>
        <v>0</v>
      </c>
      <c r="F269" s="142">
        <f t="shared" si="33"/>
        <v>4</v>
      </c>
      <c r="G269" s="142">
        <f t="shared" si="34"/>
        <v>0</v>
      </c>
      <c r="H269" s="142">
        <f t="shared" si="35"/>
        <v>0</v>
      </c>
      <c r="I269" s="184"/>
      <c r="J269" s="184"/>
      <c r="K269" s="184"/>
      <c r="L269" s="184"/>
      <c r="M269" s="184"/>
      <c r="N269" s="184"/>
      <c r="O269" s="184" t="s">
        <v>224</v>
      </c>
      <c r="P269" s="184" t="s">
        <v>224</v>
      </c>
      <c r="Q269" s="184" t="s">
        <v>223</v>
      </c>
      <c r="R269" s="184" t="s">
        <v>223</v>
      </c>
      <c r="S269" s="184" t="s">
        <v>223</v>
      </c>
      <c r="T269" s="184" t="s">
        <v>223</v>
      </c>
      <c r="U269" s="184" t="s">
        <v>224</v>
      </c>
      <c r="V269" s="184" t="s">
        <v>224</v>
      </c>
      <c r="W269" s="184" t="s">
        <v>224</v>
      </c>
      <c r="X269" s="184" t="s">
        <v>224</v>
      </c>
      <c r="Y269" s="184" t="s">
        <v>495</v>
      </c>
      <c r="Z269" s="184" t="s">
        <v>507</v>
      </c>
      <c r="AA269" s="184" t="s">
        <v>507</v>
      </c>
      <c r="AB269" s="184" t="s">
        <v>224</v>
      </c>
      <c r="AC269" s="184" t="s">
        <v>437</v>
      </c>
      <c r="AD269" s="184" t="s">
        <v>437</v>
      </c>
      <c r="AE269" s="184" t="s">
        <v>224</v>
      </c>
      <c r="AF269" s="184" t="s">
        <v>224</v>
      </c>
      <c r="AG269" s="184"/>
      <c r="AH269" s="184"/>
      <c r="AI269" s="184"/>
      <c r="AJ269" s="184"/>
      <c r="AK269" s="184"/>
      <c r="AL269" s="184"/>
      <c r="AM269" s="184"/>
      <c r="AN269" s="184"/>
      <c r="AO269" s="184"/>
      <c r="AP269" s="184"/>
      <c r="AQ269" s="184"/>
      <c r="AR269" s="184"/>
      <c r="AS269" s="184"/>
      <c r="AT269" s="184"/>
      <c r="AU269" s="184"/>
      <c r="AV269" s="184"/>
      <c r="AW269" s="184"/>
    </row>
    <row r="270" spans="1:49" ht="12.75" customHeight="1" x14ac:dyDescent="0.25">
      <c r="A270" s="201" t="s">
        <v>49</v>
      </c>
      <c r="B270" s="257" t="s">
        <v>13</v>
      </c>
      <c r="C270" s="274">
        <v>800</v>
      </c>
      <c r="D270" s="141">
        <v>1700</v>
      </c>
      <c r="E270" s="142">
        <f t="shared" si="32"/>
        <v>0</v>
      </c>
      <c r="F270" s="142">
        <f t="shared" si="33"/>
        <v>4</v>
      </c>
      <c r="G270" s="142">
        <f t="shared" si="34"/>
        <v>0</v>
      </c>
      <c r="H270" s="142">
        <f t="shared" si="35"/>
        <v>0</v>
      </c>
      <c r="I270" s="184"/>
      <c r="J270" s="184"/>
      <c r="K270" s="184"/>
      <c r="L270" s="184"/>
      <c r="M270" s="184"/>
      <c r="N270" s="184"/>
      <c r="O270" s="184" t="s">
        <v>224</v>
      </c>
      <c r="P270" s="184" t="s">
        <v>224</v>
      </c>
      <c r="Q270" s="184" t="s">
        <v>224</v>
      </c>
      <c r="R270" s="184" t="s">
        <v>223</v>
      </c>
      <c r="S270" s="184" t="s">
        <v>223</v>
      </c>
      <c r="T270" s="184" t="s">
        <v>223</v>
      </c>
      <c r="U270" s="184" t="s">
        <v>223</v>
      </c>
      <c r="V270" s="184" t="s">
        <v>224</v>
      </c>
      <c r="W270" s="184" t="s">
        <v>224</v>
      </c>
      <c r="X270" s="184" t="s">
        <v>224</v>
      </c>
      <c r="Y270" s="184" t="s">
        <v>224</v>
      </c>
      <c r="Z270" s="184" t="s">
        <v>224</v>
      </c>
      <c r="AA270" s="184" t="s">
        <v>495</v>
      </c>
      <c r="AB270" s="184" t="s">
        <v>503</v>
      </c>
      <c r="AC270" s="184" t="s">
        <v>503</v>
      </c>
      <c r="AD270" s="184" t="s">
        <v>224</v>
      </c>
      <c r="AE270" s="184" t="s">
        <v>224</v>
      </c>
      <c r="AF270" s="184" t="s">
        <v>224</v>
      </c>
      <c r="AG270" s="184"/>
      <c r="AH270" s="184"/>
      <c r="AI270" s="184"/>
      <c r="AJ270" s="184"/>
      <c r="AK270" s="184"/>
      <c r="AL270" s="184"/>
      <c r="AM270" s="184"/>
      <c r="AN270" s="184"/>
      <c r="AO270" s="184"/>
      <c r="AP270" s="184"/>
      <c r="AQ270" s="184"/>
      <c r="AR270" s="184"/>
      <c r="AS270" s="184"/>
      <c r="AT270" s="184"/>
      <c r="AU270" s="184"/>
      <c r="AV270" s="184"/>
      <c r="AW270" s="184"/>
    </row>
    <row r="271" spans="1:49" ht="12.75" customHeight="1" x14ac:dyDescent="0.25">
      <c r="A271" s="201" t="s">
        <v>27</v>
      </c>
      <c r="B271" s="150" t="s">
        <v>13</v>
      </c>
      <c r="C271" s="141">
        <v>930</v>
      </c>
      <c r="D271" s="141">
        <v>1830</v>
      </c>
      <c r="E271" s="142">
        <f t="shared" si="32"/>
        <v>0</v>
      </c>
      <c r="F271" s="142">
        <f t="shared" si="33"/>
        <v>4</v>
      </c>
      <c r="G271" s="142">
        <f t="shared" si="34"/>
        <v>0</v>
      </c>
      <c r="H271" s="142">
        <f t="shared" si="35"/>
        <v>0</v>
      </c>
      <c r="I271" s="184"/>
      <c r="J271" s="184"/>
      <c r="K271" s="184"/>
      <c r="L271" s="184"/>
      <c r="M271" s="184"/>
      <c r="N271" s="184"/>
      <c r="O271" s="184"/>
      <c r="P271" s="184"/>
      <c r="Q271" s="184"/>
      <c r="R271" s="184" t="s">
        <v>224</v>
      </c>
      <c r="S271" s="184" t="s">
        <v>224</v>
      </c>
      <c r="T271" s="184" t="s">
        <v>495</v>
      </c>
      <c r="U271" s="184" t="s">
        <v>515</v>
      </c>
      <c r="V271" s="184" t="s">
        <v>515</v>
      </c>
      <c r="W271" s="184" t="s">
        <v>224</v>
      </c>
      <c r="X271" s="184" t="s">
        <v>224</v>
      </c>
      <c r="Y271" s="184" t="s">
        <v>437</v>
      </c>
      <c r="Z271" s="184" t="s">
        <v>437</v>
      </c>
      <c r="AA271" s="184" t="s">
        <v>223</v>
      </c>
      <c r="AB271" s="184" t="s">
        <v>223</v>
      </c>
      <c r="AC271" s="184" t="s">
        <v>223</v>
      </c>
      <c r="AD271" s="184" t="s">
        <v>223</v>
      </c>
      <c r="AE271" s="184" t="s">
        <v>224</v>
      </c>
      <c r="AF271" s="184" t="s">
        <v>224</v>
      </c>
      <c r="AG271" s="184" t="s">
        <v>224</v>
      </c>
      <c r="AH271" s="184" t="s">
        <v>224</v>
      </c>
      <c r="AI271" s="184" t="s">
        <v>224</v>
      </c>
      <c r="AJ271" s="184"/>
      <c r="AK271" s="184"/>
      <c r="AL271" s="184"/>
      <c r="AM271" s="184"/>
      <c r="AN271" s="184"/>
      <c r="AO271" s="184"/>
      <c r="AP271" s="184"/>
      <c r="AQ271" s="184"/>
      <c r="AR271" s="184"/>
      <c r="AS271" s="184"/>
      <c r="AT271" s="184"/>
      <c r="AU271" s="184"/>
      <c r="AV271" s="184"/>
      <c r="AW271" s="184"/>
    </row>
    <row r="272" spans="1:49" ht="12.75" customHeight="1" x14ac:dyDescent="0.25">
      <c r="A272" s="201" t="s">
        <v>63</v>
      </c>
      <c r="B272" s="257" t="s">
        <v>13</v>
      </c>
      <c r="C272" s="274">
        <v>1200</v>
      </c>
      <c r="D272" s="141">
        <v>2100</v>
      </c>
      <c r="E272" s="142">
        <f t="shared" si="32"/>
        <v>0</v>
      </c>
      <c r="F272" s="142">
        <f t="shared" si="33"/>
        <v>4</v>
      </c>
      <c r="G272" s="142">
        <f t="shared" si="34"/>
        <v>0</v>
      </c>
      <c r="H272" s="142">
        <f t="shared" si="35"/>
        <v>0</v>
      </c>
      <c r="I272" s="184"/>
      <c r="J272" s="184"/>
      <c r="K272" s="184"/>
      <c r="L272" s="184"/>
      <c r="M272" s="184"/>
      <c r="N272" s="184"/>
      <c r="O272" s="184"/>
      <c r="P272" s="184"/>
      <c r="Q272" s="184"/>
      <c r="R272" s="184"/>
      <c r="S272" s="184"/>
      <c r="T272" s="184"/>
      <c r="U272" s="184"/>
      <c r="V272" s="184"/>
      <c r="W272" s="184" t="s">
        <v>224</v>
      </c>
      <c r="X272" s="184" t="s">
        <v>224</v>
      </c>
      <c r="Y272" s="184" t="s">
        <v>224</v>
      </c>
      <c r="Z272" s="184" t="s">
        <v>224</v>
      </c>
      <c r="AA272" s="184" t="s">
        <v>437</v>
      </c>
      <c r="AB272" s="184" t="s">
        <v>437</v>
      </c>
      <c r="AC272" s="184" t="s">
        <v>224</v>
      </c>
      <c r="AD272" s="184" t="s">
        <v>224</v>
      </c>
      <c r="AE272" s="184" t="s">
        <v>224</v>
      </c>
      <c r="AF272" s="184" t="s">
        <v>495</v>
      </c>
      <c r="AG272" s="184" t="s">
        <v>513</v>
      </c>
      <c r="AH272" s="184" t="s">
        <v>513</v>
      </c>
      <c r="AI272" s="184" t="s">
        <v>224</v>
      </c>
      <c r="AJ272" s="184" t="s">
        <v>223</v>
      </c>
      <c r="AK272" s="184" t="s">
        <v>223</v>
      </c>
      <c r="AL272" s="184" t="s">
        <v>223</v>
      </c>
      <c r="AM272" s="184" t="s">
        <v>223</v>
      </c>
      <c r="AN272" s="184" t="s">
        <v>224</v>
      </c>
      <c r="AO272" s="184"/>
      <c r="AP272" s="184"/>
      <c r="AQ272" s="184"/>
      <c r="AR272" s="184"/>
      <c r="AS272" s="184"/>
      <c r="AT272" s="184"/>
      <c r="AU272" s="184"/>
      <c r="AV272" s="184"/>
      <c r="AW272" s="184"/>
    </row>
    <row r="273" spans="1:49" ht="12.75" customHeight="1" x14ac:dyDescent="0.25">
      <c r="A273" s="202" t="s">
        <v>66</v>
      </c>
      <c r="B273" s="150" t="s">
        <v>13</v>
      </c>
      <c r="C273" s="55">
        <v>1230</v>
      </c>
      <c r="D273" s="188">
        <v>2130</v>
      </c>
      <c r="E273" s="142">
        <f t="shared" si="32"/>
        <v>0</v>
      </c>
      <c r="F273" s="142">
        <f t="shared" si="33"/>
        <v>4</v>
      </c>
      <c r="G273" s="142">
        <f t="shared" si="34"/>
        <v>0</v>
      </c>
      <c r="H273" s="142">
        <f t="shared" si="35"/>
        <v>0</v>
      </c>
      <c r="I273" s="184"/>
      <c r="J273" s="184"/>
      <c r="K273" s="184"/>
      <c r="L273" s="184"/>
      <c r="M273" s="184"/>
      <c r="N273" s="184"/>
      <c r="O273" s="184"/>
      <c r="P273" s="184"/>
      <c r="Q273" s="184"/>
      <c r="R273" s="184"/>
      <c r="S273" s="184"/>
      <c r="T273" s="184"/>
      <c r="U273" s="184"/>
      <c r="V273" s="184"/>
      <c r="W273" s="184"/>
      <c r="X273" s="184" t="s">
        <v>224</v>
      </c>
      <c r="Y273" s="184" t="s">
        <v>224</v>
      </c>
      <c r="Z273" s="184" t="s">
        <v>224</v>
      </c>
      <c r="AA273" s="184" t="s">
        <v>437</v>
      </c>
      <c r="AB273" s="184" t="s">
        <v>437</v>
      </c>
      <c r="AC273" s="184" t="s">
        <v>224</v>
      </c>
      <c r="AD273" s="184" t="s">
        <v>224</v>
      </c>
      <c r="AE273" s="184" t="s">
        <v>224</v>
      </c>
      <c r="AF273" s="184" t="s">
        <v>223</v>
      </c>
      <c r="AG273" s="184" t="s">
        <v>223</v>
      </c>
      <c r="AH273" s="184" t="s">
        <v>223</v>
      </c>
      <c r="AI273" s="184" t="s">
        <v>223</v>
      </c>
      <c r="AJ273" s="184" t="s">
        <v>224</v>
      </c>
      <c r="AK273" s="184" t="s">
        <v>224</v>
      </c>
      <c r="AL273" s="184" t="s">
        <v>224</v>
      </c>
      <c r="AM273" s="184" t="s">
        <v>224</v>
      </c>
      <c r="AN273" s="184" t="s">
        <v>224</v>
      </c>
      <c r="AO273" s="184" t="s">
        <v>224</v>
      </c>
      <c r="AP273" s="184" t="s">
        <v>224</v>
      </c>
      <c r="AQ273" s="184"/>
      <c r="AR273" s="184"/>
      <c r="AS273" s="184"/>
      <c r="AT273" s="184"/>
      <c r="AU273" s="184"/>
      <c r="AV273" s="184"/>
      <c r="AW273" s="184"/>
    </row>
    <row r="274" spans="1:49" ht="12.75" customHeight="1" x14ac:dyDescent="0.25">
      <c r="A274" s="201" t="s">
        <v>227</v>
      </c>
      <c r="B274" s="257" t="s">
        <v>13</v>
      </c>
      <c r="C274" s="274">
        <v>1230</v>
      </c>
      <c r="D274" s="141">
        <v>2130</v>
      </c>
      <c r="E274" s="142">
        <v>0</v>
      </c>
      <c r="F274" s="142">
        <v>0</v>
      </c>
      <c r="G274" s="142">
        <v>0</v>
      </c>
      <c r="H274" s="142">
        <v>0</v>
      </c>
      <c r="I274" s="184"/>
      <c r="J274" s="184"/>
      <c r="K274" s="184"/>
      <c r="L274" s="184"/>
      <c r="M274" s="184"/>
      <c r="N274" s="184"/>
      <c r="O274" s="184"/>
      <c r="P274" s="184"/>
      <c r="Q274" s="184"/>
      <c r="R274" s="184"/>
      <c r="S274" s="184"/>
      <c r="T274" s="184"/>
      <c r="U274" s="184"/>
      <c r="V274" s="184"/>
      <c r="W274" s="184"/>
      <c r="X274" s="184" t="s">
        <v>224</v>
      </c>
      <c r="Y274" s="184" t="s">
        <v>224</v>
      </c>
      <c r="Z274" s="184" t="s">
        <v>224</v>
      </c>
      <c r="AA274" s="184" t="s">
        <v>224</v>
      </c>
      <c r="AB274" s="184" t="s">
        <v>224</v>
      </c>
      <c r="AC274" s="184" t="s">
        <v>224</v>
      </c>
      <c r="AD274" s="184" t="s">
        <v>224</v>
      </c>
      <c r="AE274" s="184" t="s">
        <v>224</v>
      </c>
      <c r="AF274" s="184" t="s">
        <v>224</v>
      </c>
      <c r="AG274" s="184" t="s">
        <v>224</v>
      </c>
      <c r="AH274" s="184" t="s">
        <v>224</v>
      </c>
      <c r="AI274" s="184" t="s">
        <v>224</v>
      </c>
      <c r="AJ274" s="184" t="s">
        <v>224</v>
      </c>
      <c r="AK274" s="184" t="s">
        <v>224</v>
      </c>
      <c r="AL274" s="184" t="s">
        <v>224</v>
      </c>
      <c r="AM274" s="184" t="s">
        <v>224</v>
      </c>
      <c r="AN274" s="184" t="s">
        <v>224</v>
      </c>
      <c r="AO274" s="184" t="s">
        <v>224</v>
      </c>
      <c r="AP274" s="184" t="s">
        <v>224</v>
      </c>
      <c r="AQ274" s="184"/>
      <c r="AR274" s="184"/>
      <c r="AS274" s="184"/>
      <c r="AT274" s="184"/>
      <c r="AU274" s="184"/>
      <c r="AV274" s="184"/>
      <c r="AW274" s="184"/>
    </row>
    <row r="275" spans="1:49" ht="12.75" customHeight="1" x14ac:dyDescent="0.25">
      <c r="A275" s="202" t="s">
        <v>59</v>
      </c>
      <c r="B275" s="150" t="s">
        <v>13</v>
      </c>
      <c r="C275" s="274">
        <v>1300</v>
      </c>
      <c r="D275" s="141">
        <v>2200</v>
      </c>
      <c r="E275" s="142">
        <f>COUNTIF(I275:AW275,"HL")</f>
        <v>0</v>
      </c>
      <c r="F275" s="142">
        <f>COUNTIF(I275:AW275,"Coaching")</f>
        <v>0</v>
      </c>
      <c r="G275" s="142">
        <f>COUNTIF(I275:AW275,"ADM")</f>
        <v>0</v>
      </c>
      <c r="H275" s="142">
        <f>COUNTIF(I275:AW275,"RNNR")</f>
        <v>0</v>
      </c>
      <c r="I275" s="184"/>
      <c r="J275" s="184"/>
      <c r="K275" s="184"/>
      <c r="L275" s="184"/>
      <c r="M275" s="184"/>
      <c r="N275" s="184"/>
      <c r="O275" s="184"/>
      <c r="P275" s="184"/>
      <c r="Q275" s="184"/>
      <c r="R275" s="184"/>
      <c r="S275" s="184"/>
      <c r="T275" s="184"/>
      <c r="U275" s="184"/>
      <c r="V275" s="184"/>
      <c r="W275" s="184"/>
      <c r="X275" s="184"/>
      <c r="Y275" s="184" t="s">
        <v>224</v>
      </c>
      <c r="Z275" s="184" t="s">
        <v>224</v>
      </c>
      <c r="AA275" s="184" t="s">
        <v>224</v>
      </c>
      <c r="AB275" s="184" t="s">
        <v>224</v>
      </c>
      <c r="AC275" s="184" t="s">
        <v>437</v>
      </c>
      <c r="AD275" s="184" t="s">
        <v>437</v>
      </c>
      <c r="AE275" s="184" t="s">
        <v>224</v>
      </c>
      <c r="AF275" s="184" t="s">
        <v>224</v>
      </c>
      <c r="AG275" s="184" t="s">
        <v>224</v>
      </c>
      <c r="AH275" s="184" t="s">
        <v>224</v>
      </c>
      <c r="AI275" s="184" t="s">
        <v>224</v>
      </c>
      <c r="AJ275" s="184" t="s">
        <v>224</v>
      </c>
      <c r="AK275" s="184" t="s">
        <v>224</v>
      </c>
      <c r="AL275" s="184" t="s">
        <v>224</v>
      </c>
      <c r="AM275" s="184" t="s">
        <v>224</v>
      </c>
      <c r="AN275" s="184" t="s">
        <v>224</v>
      </c>
      <c r="AO275" s="184" t="s">
        <v>224</v>
      </c>
      <c r="AP275" s="184" t="s">
        <v>224</v>
      </c>
      <c r="AQ275" s="184"/>
      <c r="AR275" s="184"/>
      <c r="AS275" s="184"/>
      <c r="AT275" s="184"/>
      <c r="AU275" s="184"/>
      <c r="AV275" s="184"/>
      <c r="AW275" s="184"/>
    </row>
    <row r="276" spans="1:49" ht="12.75" customHeight="1" x14ac:dyDescent="0.25">
      <c r="A276" s="201" t="s">
        <v>57</v>
      </c>
      <c r="B276" s="257" t="s">
        <v>13</v>
      </c>
      <c r="C276" s="274">
        <v>1300</v>
      </c>
      <c r="D276" s="141">
        <v>2200</v>
      </c>
      <c r="E276" s="142">
        <f>COUNTIF(I276:AW276,"HL")</f>
        <v>0</v>
      </c>
      <c r="F276" s="142">
        <f>COUNTIF(I276:AW276,"Coaching")</f>
        <v>4</v>
      </c>
      <c r="G276" s="142">
        <f>COUNTIF(I276:AW276,"ADM")</f>
        <v>0</v>
      </c>
      <c r="H276" s="142">
        <f>COUNTIF(I276:AW276,"RNNR")</f>
        <v>0</v>
      </c>
      <c r="I276" s="184"/>
      <c r="J276" s="184"/>
      <c r="K276" s="184"/>
      <c r="L276" s="184"/>
      <c r="M276" s="184"/>
      <c r="N276" s="184"/>
      <c r="O276" s="184"/>
      <c r="P276" s="184"/>
      <c r="Q276" s="184"/>
      <c r="R276" s="184"/>
      <c r="S276" s="184"/>
      <c r="T276" s="184"/>
      <c r="U276" s="184"/>
      <c r="V276" s="184"/>
      <c r="W276" s="184"/>
      <c r="X276" s="184"/>
      <c r="Y276" s="184" t="s">
        <v>224</v>
      </c>
      <c r="Z276" s="184" t="s">
        <v>224</v>
      </c>
      <c r="AA276" s="184" t="s">
        <v>224</v>
      </c>
      <c r="AB276" s="184" t="s">
        <v>224</v>
      </c>
      <c r="AC276" s="184" t="s">
        <v>223</v>
      </c>
      <c r="AD276" s="184" t="s">
        <v>223</v>
      </c>
      <c r="AE276" s="184" t="s">
        <v>223</v>
      </c>
      <c r="AF276" s="184" t="s">
        <v>223</v>
      </c>
      <c r="AG276" s="184" t="s">
        <v>224</v>
      </c>
      <c r="AH276" s="184" t="s">
        <v>224</v>
      </c>
      <c r="AI276" s="184" t="s">
        <v>224</v>
      </c>
      <c r="AJ276" s="184" t="s">
        <v>495</v>
      </c>
      <c r="AK276" s="184" t="s">
        <v>600</v>
      </c>
      <c r="AL276" s="184" t="s">
        <v>600</v>
      </c>
      <c r="AM276" s="184" t="s">
        <v>224</v>
      </c>
      <c r="AN276" s="184" t="s">
        <v>224</v>
      </c>
      <c r="AO276" s="184" t="s">
        <v>224</v>
      </c>
      <c r="AP276" s="184" t="s">
        <v>224</v>
      </c>
      <c r="AQ276" s="184"/>
      <c r="AR276" s="184"/>
      <c r="AS276" s="184"/>
      <c r="AT276" s="184"/>
      <c r="AU276" s="184"/>
      <c r="AV276" s="184"/>
      <c r="AW276" s="184"/>
    </row>
    <row r="277" spans="1:49" ht="12.75" customHeight="1" x14ac:dyDescent="0.25">
      <c r="A277" s="201" t="s">
        <v>245</v>
      </c>
      <c r="B277" s="150" t="s">
        <v>13</v>
      </c>
      <c r="C277" s="55">
        <v>1400</v>
      </c>
      <c r="D277" s="141">
        <v>100</v>
      </c>
      <c r="E277" s="142">
        <f>COUNTIF(I277:AW277,"HL")</f>
        <v>0</v>
      </c>
      <c r="F277" s="142">
        <f>COUNTIF(I277:AW277,"Coaching")</f>
        <v>4</v>
      </c>
      <c r="G277" s="142">
        <f>COUNTIF(I277:AW277,"ADM")</f>
        <v>0</v>
      </c>
      <c r="H277" s="142">
        <f>COUNTIF(I277:AW277,"RNNR")</f>
        <v>0</v>
      </c>
      <c r="I277" s="184"/>
      <c r="J277" s="184"/>
      <c r="K277" s="184"/>
      <c r="L277" s="184"/>
      <c r="M277" s="184"/>
      <c r="N277" s="184"/>
      <c r="O277" s="184"/>
      <c r="P277" s="184"/>
      <c r="Q277" s="184"/>
      <c r="R277" s="184"/>
      <c r="S277" s="184"/>
      <c r="T277" s="184"/>
      <c r="U277" s="184"/>
      <c r="V277" s="184"/>
      <c r="W277" s="184"/>
      <c r="X277" s="184"/>
      <c r="Y277" s="184"/>
      <c r="Z277" s="184"/>
      <c r="AA277" s="184" t="s">
        <v>224</v>
      </c>
      <c r="AB277" s="184" t="s">
        <v>224</v>
      </c>
      <c r="AC277" s="184" t="s">
        <v>223</v>
      </c>
      <c r="AD277" s="184" t="s">
        <v>223</v>
      </c>
      <c r="AE277" s="184" t="s">
        <v>223</v>
      </c>
      <c r="AF277" s="184" t="s">
        <v>223</v>
      </c>
      <c r="AG277" s="184" t="s">
        <v>437</v>
      </c>
      <c r="AH277" s="184" t="s">
        <v>437</v>
      </c>
      <c r="AI277" s="184" t="s">
        <v>224</v>
      </c>
      <c r="AJ277" s="184" t="s">
        <v>224</v>
      </c>
      <c r="AK277" s="184" t="s">
        <v>224</v>
      </c>
      <c r="AL277" s="184" t="s">
        <v>224</v>
      </c>
      <c r="AM277" s="184" t="s">
        <v>224</v>
      </c>
      <c r="AN277" s="184" t="s">
        <v>495</v>
      </c>
      <c r="AO277" s="184" t="s">
        <v>514</v>
      </c>
      <c r="AP277" s="184" t="s">
        <v>514</v>
      </c>
      <c r="AQ277" s="184" t="s">
        <v>224</v>
      </c>
      <c r="AR277" s="184" t="s">
        <v>224</v>
      </c>
      <c r="AS277" s="184" t="s">
        <v>224</v>
      </c>
      <c r="AT277" s="184" t="s">
        <v>224</v>
      </c>
      <c r="AU277" s="184" t="s">
        <v>224</v>
      </c>
      <c r="AV277" s="184" t="s">
        <v>224</v>
      </c>
      <c r="AW277" s="184"/>
    </row>
    <row r="278" spans="1:49" ht="12.75" customHeight="1" x14ac:dyDescent="0.25">
      <c r="A278" s="201" t="s">
        <v>52</v>
      </c>
      <c r="B278" s="150" t="s">
        <v>13</v>
      </c>
      <c r="C278" s="55">
        <v>1600</v>
      </c>
      <c r="D278" s="141">
        <v>100</v>
      </c>
      <c r="E278" s="142">
        <f>COUNTIF(I278:AW278,"HL")</f>
        <v>0</v>
      </c>
      <c r="F278" s="142">
        <f>COUNTIF(I278:AW278,"Coaching")</f>
        <v>4</v>
      </c>
      <c r="G278" s="142">
        <f>COUNTIF(I278:AW278,"ADM")</f>
        <v>0</v>
      </c>
      <c r="H278" s="142">
        <f>COUNTIF(I278:AW278,"RNNR")</f>
        <v>0</v>
      </c>
      <c r="I278" s="184"/>
      <c r="J278" s="184"/>
      <c r="K278" s="184"/>
      <c r="L278" s="184"/>
      <c r="M278" s="184"/>
      <c r="N278" s="184"/>
      <c r="O278" s="184"/>
      <c r="P278" s="184"/>
      <c r="Q278" s="184"/>
      <c r="R278" s="184"/>
      <c r="S278" s="184"/>
      <c r="T278" s="184"/>
      <c r="U278" s="184"/>
      <c r="V278" s="184"/>
      <c r="W278" s="184"/>
      <c r="X278" s="184"/>
      <c r="Y278" s="184"/>
      <c r="Z278" s="184"/>
      <c r="AA278" s="184"/>
      <c r="AB278" s="184"/>
      <c r="AC278" s="184"/>
      <c r="AD278" s="184"/>
      <c r="AE278" s="184" t="s">
        <v>224</v>
      </c>
      <c r="AF278" s="184" t="s">
        <v>224</v>
      </c>
      <c r="AG278" s="184" t="s">
        <v>437</v>
      </c>
      <c r="AH278" s="184" t="s">
        <v>437</v>
      </c>
      <c r="AI278" s="184" t="s">
        <v>224</v>
      </c>
      <c r="AJ278" s="184" t="s">
        <v>224</v>
      </c>
      <c r="AK278" s="184" t="s">
        <v>224</v>
      </c>
      <c r="AL278" s="184" t="s">
        <v>224</v>
      </c>
      <c r="AM278" s="184" t="s">
        <v>223</v>
      </c>
      <c r="AN278" s="184" t="s">
        <v>223</v>
      </c>
      <c r="AO278" s="184" t="s">
        <v>223</v>
      </c>
      <c r="AP278" s="184" t="s">
        <v>223</v>
      </c>
      <c r="AQ278" s="184" t="s">
        <v>224</v>
      </c>
      <c r="AR278" s="184" t="s">
        <v>224</v>
      </c>
      <c r="AS278" s="184" t="s">
        <v>224</v>
      </c>
      <c r="AT278" s="184" t="s">
        <v>224</v>
      </c>
      <c r="AU278" s="184" t="s">
        <v>224</v>
      </c>
      <c r="AV278" s="184" t="s">
        <v>224</v>
      </c>
      <c r="AW278" s="184"/>
    </row>
    <row r="279" spans="1:49" ht="12.75" customHeight="1" x14ac:dyDescent="0.25">
      <c r="A279" s="201"/>
      <c r="B279" s="150"/>
      <c r="C279" s="55"/>
      <c r="D279" s="141"/>
      <c r="E279" s="142"/>
      <c r="F279" s="142"/>
      <c r="G279" s="142"/>
      <c r="H279" s="142"/>
      <c r="I279" s="184"/>
      <c r="J279" s="184"/>
      <c r="K279" s="184"/>
      <c r="L279" s="184"/>
      <c r="M279" s="184"/>
      <c r="N279" s="184"/>
      <c r="O279" s="184"/>
      <c r="P279" s="184"/>
      <c r="Q279" s="184"/>
      <c r="R279" s="184"/>
      <c r="S279" s="184"/>
      <c r="T279" s="184"/>
      <c r="U279" s="184"/>
      <c r="V279" s="184"/>
      <c r="W279" s="184"/>
      <c r="X279" s="184"/>
      <c r="Y279" s="184"/>
      <c r="Z279" s="184"/>
      <c r="AA279" s="184"/>
      <c r="AB279" s="184"/>
      <c r="AC279" s="184"/>
      <c r="AD279" s="184"/>
      <c r="AE279" s="184"/>
      <c r="AF279" s="184"/>
      <c r="AG279" s="184"/>
      <c r="AH279" s="184"/>
      <c r="AI279" s="184"/>
      <c r="AJ279" s="184"/>
      <c r="AK279" s="184"/>
      <c r="AL279" s="184"/>
      <c r="AM279" s="184"/>
      <c r="AN279" s="184"/>
      <c r="AO279" s="184"/>
      <c r="AP279" s="184"/>
      <c r="AQ279" s="184"/>
      <c r="AR279" s="184"/>
      <c r="AS279" s="184"/>
      <c r="AT279" s="184"/>
      <c r="AU279" s="184"/>
      <c r="AV279" s="184"/>
      <c r="AW279" s="184"/>
    </row>
    <row r="280" spans="1:49" ht="12.75" customHeight="1" x14ac:dyDescent="0.25">
      <c r="A280" s="201"/>
      <c r="B280" s="150"/>
      <c r="C280" s="55"/>
      <c r="D280" s="141"/>
      <c r="E280" s="142"/>
      <c r="F280" s="142"/>
      <c r="G280" s="142"/>
      <c r="H280" s="142"/>
      <c r="I280" s="184"/>
      <c r="J280" s="184"/>
      <c r="K280" s="184"/>
      <c r="L280" s="184"/>
      <c r="M280" s="184"/>
      <c r="N280" s="184"/>
      <c r="O280" s="184"/>
      <c r="P280" s="184"/>
      <c r="Q280" s="184"/>
      <c r="R280" s="184"/>
      <c r="S280" s="184"/>
      <c r="T280" s="184"/>
      <c r="U280" s="184"/>
      <c r="V280" s="184"/>
      <c r="W280" s="184"/>
      <c r="X280" s="184"/>
      <c r="Y280" s="184"/>
      <c r="Z280" s="184"/>
      <c r="AA280" s="184"/>
      <c r="AB280" s="184"/>
      <c r="AC280" s="184"/>
      <c r="AD280" s="184"/>
      <c r="AE280" s="184"/>
      <c r="AF280" s="184"/>
      <c r="AG280" s="184"/>
      <c r="AH280" s="184"/>
      <c r="AI280" s="184"/>
      <c r="AJ280" s="184"/>
      <c r="AK280" s="184"/>
      <c r="AL280" s="184"/>
      <c r="AM280" s="184"/>
      <c r="AN280" s="184"/>
      <c r="AO280" s="184"/>
      <c r="AP280" s="184"/>
      <c r="AQ280" s="184"/>
      <c r="AR280" s="184"/>
      <c r="AS280" s="184"/>
      <c r="AT280" s="184"/>
      <c r="AU280" s="184"/>
      <c r="AV280" s="184"/>
      <c r="AW280" s="184"/>
    </row>
  </sheetData>
  <sheetProtection autoFilter="0"/>
  <autoFilter ref="A243:AX243">
    <sortState ref="A244:AX278">
      <sortCondition ref="B243"/>
    </sortState>
  </autoFilter>
  <conditionalFormatting sqref="A281:A1048576 A242 A204 A159 A112 A40:A45">
    <cfRule type="duplicateValues" dxfId="313" priority="13506"/>
  </conditionalFormatting>
  <conditionalFormatting sqref="A281:A1048576 A242 A204 A159 A112 A40:A45">
    <cfRule type="duplicateValues" dxfId="312" priority="11297"/>
  </conditionalFormatting>
  <conditionalFormatting sqref="A46 A76:A78">
    <cfRule type="duplicateValues" dxfId="311" priority="16871"/>
  </conditionalFormatting>
  <conditionalFormatting sqref="A79 A106:A111">
    <cfRule type="duplicateValues" dxfId="310" priority="16892"/>
  </conditionalFormatting>
  <conditionalFormatting sqref="A205 A240:A241">
    <cfRule type="duplicateValues" dxfId="309" priority="17179"/>
  </conditionalFormatting>
  <conditionalFormatting sqref="A243 A279:A280">
    <cfRule type="duplicateValues" dxfId="308" priority="17229"/>
  </conditionalFormatting>
  <conditionalFormatting sqref="A202:A203 A160">
    <cfRule type="duplicateValues" dxfId="307" priority="17280"/>
  </conditionalFormatting>
  <conditionalFormatting sqref="A113 A154:A158">
    <cfRule type="duplicateValues" dxfId="306" priority="17295"/>
  </conditionalFormatting>
  <conditionalFormatting sqref="A113 A154:A158">
    <cfRule type="duplicateValues" dxfId="305" priority="17298"/>
  </conditionalFormatting>
  <conditionalFormatting sqref="A79 A106:A111">
    <cfRule type="duplicateValues" dxfId="304" priority="17331"/>
  </conditionalFormatting>
  <conditionalFormatting sqref="A202:A203 A160">
    <cfRule type="duplicateValues" dxfId="303" priority="17348"/>
  </conditionalFormatting>
  <conditionalFormatting sqref="A205 A240:A241">
    <cfRule type="duplicateValues" dxfId="302" priority="17363"/>
  </conditionalFormatting>
  <conditionalFormatting sqref="A243 A279:A280">
    <cfRule type="duplicateValues" dxfId="301" priority="17378"/>
  </conditionalFormatting>
  <conditionalFormatting sqref="A46 A76:A78">
    <cfRule type="duplicateValues" dxfId="300" priority="17428"/>
  </conditionalFormatting>
  <conditionalFormatting sqref="I40:AW45 I76:AW78 I106:AW111 I154:AW158 I202:AW203 I240:AW241 I279:AV280 AW47:AW75 AW80:AW105 AW114:AW153 AW161:AW201 AW206:AW239">
    <cfRule type="containsBlanks" dxfId="299" priority="200" stopIfTrue="1">
      <formula>LEN(TRIM(I40))=0</formula>
    </cfRule>
    <cfRule type="beginsWith" dxfId="298" priority="202" stopIfTrue="1" operator="beginsWith" text="u">
      <formula>LEFT(I40,LEN("u"))="u"</formula>
    </cfRule>
    <cfRule type="beginsWith" dxfId="297" priority="203" stopIfTrue="1" operator="beginsWith" text="p">
      <formula>LEFT(I40,LEN("p"))="p"</formula>
    </cfRule>
    <cfRule type="containsText" dxfId="296" priority="204" stopIfTrue="1" operator="containsText" text="B1">
      <formula>NOT(ISERROR(SEARCH("B1",I40)))</formula>
    </cfRule>
    <cfRule type="containsText" dxfId="295" priority="205" stopIfTrue="1" operator="containsText" text="B2">
      <formula>NOT(ISERROR(SEARCH("B2",I40)))</formula>
    </cfRule>
    <cfRule type="containsText" dxfId="294" priority="206" stopIfTrue="1" operator="containsText" text="Lunch">
      <formula>NOT(ISERROR(SEARCH("Lunch",I40)))</formula>
    </cfRule>
    <cfRule type="containsText" dxfId="293" priority="207" stopIfTrue="1" operator="containsText" text="Interview">
      <formula>NOT(ISERROR(SEARCH("Interview",I40)))</formula>
    </cfRule>
    <cfRule type="containsText" dxfId="292" priority="208" stopIfTrue="1" operator="containsText" text="Side by Side">
      <formula>NOT(ISERROR(SEARCH("Side by Side",I40)))</formula>
    </cfRule>
    <cfRule type="containsText" dxfId="291" priority="209" stopIfTrue="1" operator="containsText" text="COACHING">
      <formula>NOT(ISERROR(SEARCH("COACHING",I40)))</formula>
    </cfRule>
    <cfRule type="containsText" dxfId="290" priority="210" stopIfTrue="1" operator="containsText" text="TM">
      <formula>NOT(ISERROR(SEARCH("TM",I40)))</formula>
    </cfRule>
    <cfRule type="containsText" dxfId="289" priority="211" stopIfTrue="1" operator="containsText" text="RNNR">
      <formula>NOT(ISERROR(SEARCH("RNNR",I40)))</formula>
    </cfRule>
    <cfRule type="containsText" dxfId="288" priority="212" stopIfTrue="1" operator="containsText" text="ADM">
      <formula>NOT(ISERROR(SEARCH("ADM",I40)))</formula>
    </cfRule>
    <cfRule type="containsText" dxfId="287" priority="213" stopIfTrue="1" operator="containsText" text="HL">
      <formula>NOT(ISERROR(SEARCH("HL",I40)))</formula>
    </cfRule>
    <cfRule type="notContainsBlanks" dxfId="286" priority="214" stopIfTrue="1">
      <formula>LEN(TRIM(I40))&gt;0</formula>
    </cfRule>
  </conditionalFormatting>
  <conditionalFormatting sqref="AW244:AW280">
    <cfRule type="containsBlanks" dxfId="285" priority="185" stopIfTrue="1">
      <formula>LEN(TRIM(AW244))=0</formula>
    </cfRule>
    <cfRule type="beginsWith" dxfId="284" priority="187" stopIfTrue="1" operator="beginsWith" text="u">
      <formula>LEFT(AW244,LEN("u"))="u"</formula>
    </cfRule>
    <cfRule type="beginsWith" dxfId="283" priority="188" stopIfTrue="1" operator="beginsWith" text="p">
      <formula>LEFT(AW244,LEN("p"))="p"</formula>
    </cfRule>
    <cfRule type="containsText" dxfId="282" priority="189" stopIfTrue="1" operator="containsText" text="B1">
      <formula>NOT(ISERROR(SEARCH("B1",AW244)))</formula>
    </cfRule>
    <cfRule type="containsText" dxfId="281" priority="190" stopIfTrue="1" operator="containsText" text="B2">
      <formula>NOT(ISERROR(SEARCH("B2",AW244)))</formula>
    </cfRule>
    <cfRule type="containsText" dxfId="280" priority="191" stopIfTrue="1" operator="containsText" text="Lunch">
      <formula>NOT(ISERROR(SEARCH("Lunch",AW244)))</formula>
    </cfRule>
    <cfRule type="containsText" dxfId="279" priority="192" stopIfTrue="1" operator="containsText" text="Interview">
      <formula>NOT(ISERROR(SEARCH("Interview",AW244)))</formula>
    </cfRule>
    <cfRule type="containsText" dxfId="278" priority="193" stopIfTrue="1" operator="containsText" text="Side by Side">
      <formula>NOT(ISERROR(SEARCH("Side by Side",AW244)))</formula>
    </cfRule>
    <cfRule type="containsText" dxfId="277" priority="194" stopIfTrue="1" operator="containsText" text="COACHING">
      <formula>NOT(ISERROR(SEARCH("COACHING",AW244)))</formula>
    </cfRule>
    <cfRule type="containsText" dxfId="276" priority="195" stopIfTrue="1" operator="containsText" text="TM">
      <formula>NOT(ISERROR(SEARCH("TM",AW244)))</formula>
    </cfRule>
    <cfRule type="containsText" dxfId="275" priority="196" stopIfTrue="1" operator="containsText" text="RNNR">
      <formula>NOT(ISERROR(SEARCH("RNNR",AW244)))</formula>
    </cfRule>
    <cfRule type="containsText" dxfId="274" priority="197" stopIfTrue="1" operator="containsText" text="ADM">
      <formula>NOT(ISERROR(SEARCH("ADM",AW244)))</formula>
    </cfRule>
    <cfRule type="containsText" dxfId="273" priority="198" stopIfTrue="1" operator="containsText" text="HL">
      <formula>NOT(ISERROR(SEARCH("HL",AW244)))</formula>
    </cfRule>
    <cfRule type="notContainsBlanks" dxfId="272" priority="199" stopIfTrue="1">
      <formula>LEN(TRIM(AW244))&gt;0</formula>
    </cfRule>
  </conditionalFormatting>
  <conditionalFormatting sqref="A1 A25:A38">
    <cfRule type="duplicateValues" dxfId="271" priority="183"/>
  </conditionalFormatting>
  <conditionalFormatting sqref="A1:A38">
    <cfRule type="duplicateValues" dxfId="270" priority="182"/>
  </conditionalFormatting>
  <conditionalFormatting sqref="A2:A24">
    <cfRule type="duplicateValues" dxfId="269" priority="184"/>
  </conditionalFormatting>
  <conditionalFormatting sqref="A39">
    <cfRule type="duplicateValues" dxfId="268" priority="180"/>
  </conditionalFormatting>
  <conditionalFormatting sqref="A39">
    <cfRule type="duplicateValues" dxfId="267" priority="181"/>
  </conditionalFormatting>
  <conditionalFormatting sqref="I2:AW39">
    <cfRule type="containsBlanks" dxfId="266" priority="165" stopIfTrue="1">
      <formula>LEN(TRIM(I2))=0</formula>
    </cfRule>
    <cfRule type="beginsWith" dxfId="265" priority="167" stopIfTrue="1" operator="beginsWith" text="u">
      <formula>LEFT(I2,LEN("u"))="u"</formula>
    </cfRule>
    <cfRule type="beginsWith" dxfId="264" priority="168" stopIfTrue="1" operator="beginsWith" text="p">
      <formula>LEFT(I2,LEN("p"))="p"</formula>
    </cfRule>
    <cfRule type="containsText" dxfId="263" priority="169" stopIfTrue="1" operator="containsText" text="B1">
      <formula>NOT(ISERROR(SEARCH("B1",I2)))</formula>
    </cfRule>
    <cfRule type="containsText" dxfId="262" priority="170" stopIfTrue="1" operator="containsText" text="B2">
      <formula>NOT(ISERROR(SEARCH("B2",I2)))</formula>
    </cfRule>
    <cfRule type="containsText" dxfId="261" priority="171" stopIfTrue="1" operator="containsText" text="Lunch">
      <formula>NOT(ISERROR(SEARCH("Lunch",I2)))</formula>
    </cfRule>
    <cfRule type="containsText" dxfId="260" priority="172" stopIfTrue="1" operator="containsText" text="Interview">
      <formula>NOT(ISERROR(SEARCH("Interview",I2)))</formula>
    </cfRule>
    <cfRule type="containsText" dxfId="259" priority="173" stopIfTrue="1" operator="containsText" text="Side by Side">
      <formula>NOT(ISERROR(SEARCH("Side by Side",I2)))</formula>
    </cfRule>
    <cfRule type="containsText" dxfId="258" priority="174" stopIfTrue="1" operator="containsText" text="COACHING">
      <formula>NOT(ISERROR(SEARCH("COACHING",I2)))</formula>
    </cfRule>
    <cfRule type="containsText" dxfId="257" priority="175" stopIfTrue="1" operator="containsText" text="TM">
      <formula>NOT(ISERROR(SEARCH("TM",I2)))</formula>
    </cfRule>
    <cfRule type="containsText" dxfId="256" priority="176" stopIfTrue="1" operator="containsText" text="RNNR">
      <formula>NOT(ISERROR(SEARCH("RNNR",I2)))</formula>
    </cfRule>
    <cfRule type="containsText" dxfId="255" priority="177" stopIfTrue="1" operator="containsText" text="ADM">
      <formula>NOT(ISERROR(SEARCH("ADM",I2)))</formula>
    </cfRule>
    <cfRule type="containsText" dxfId="254" priority="178" stopIfTrue="1" operator="containsText" text="HL">
      <formula>NOT(ISERROR(SEARCH("HL",I2)))</formula>
    </cfRule>
    <cfRule type="notContainsBlanks" dxfId="253" priority="179" stopIfTrue="1">
      <formula>LEN(TRIM(I2))&gt;0</formula>
    </cfRule>
  </conditionalFormatting>
  <conditionalFormatting sqref="A68:A72">
    <cfRule type="duplicateValues" dxfId="252" priority="162"/>
  </conditionalFormatting>
  <conditionalFormatting sqref="A48:A67">
    <cfRule type="duplicateValues" dxfId="251" priority="163"/>
  </conditionalFormatting>
  <conditionalFormatting sqref="A48:A72">
    <cfRule type="duplicateValues" dxfId="250" priority="164"/>
  </conditionalFormatting>
  <conditionalFormatting sqref="A47">
    <cfRule type="duplicateValues" dxfId="249" priority="160"/>
  </conditionalFormatting>
  <conditionalFormatting sqref="A47">
    <cfRule type="duplicateValues" dxfId="248" priority="161"/>
  </conditionalFormatting>
  <conditionalFormatting sqref="A73">
    <cfRule type="duplicateValues" dxfId="247" priority="158"/>
  </conditionalFormatting>
  <conditionalFormatting sqref="A73">
    <cfRule type="duplicateValues" dxfId="246" priority="159"/>
  </conditionalFormatting>
  <conditionalFormatting sqref="A74">
    <cfRule type="duplicateValues" dxfId="245" priority="156"/>
  </conditionalFormatting>
  <conditionalFormatting sqref="A74">
    <cfRule type="duplicateValues" dxfId="244" priority="157"/>
  </conditionalFormatting>
  <conditionalFormatting sqref="A75">
    <cfRule type="duplicateValues" dxfId="243" priority="154"/>
  </conditionalFormatting>
  <conditionalFormatting sqref="A75">
    <cfRule type="duplicateValues" dxfId="242" priority="155"/>
  </conditionalFormatting>
  <conditionalFormatting sqref="I47:AV75">
    <cfRule type="containsBlanks" dxfId="241" priority="139" stopIfTrue="1">
      <formula>LEN(TRIM(I47))=0</formula>
    </cfRule>
    <cfRule type="beginsWith" dxfId="240" priority="141" stopIfTrue="1" operator="beginsWith" text="u">
      <formula>LEFT(I47,LEN("u"))="u"</formula>
    </cfRule>
    <cfRule type="beginsWith" dxfId="239" priority="142" stopIfTrue="1" operator="beginsWith" text="p">
      <formula>LEFT(I47,LEN("p"))="p"</formula>
    </cfRule>
    <cfRule type="containsText" dxfId="238" priority="143" stopIfTrue="1" operator="containsText" text="B1">
      <formula>NOT(ISERROR(SEARCH("B1",I47)))</formula>
    </cfRule>
    <cfRule type="containsText" dxfId="237" priority="144" stopIfTrue="1" operator="containsText" text="B2">
      <formula>NOT(ISERROR(SEARCH("B2",I47)))</formula>
    </cfRule>
    <cfRule type="containsText" dxfId="236" priority="145" stopIfTrue="1" operator="containsText" text="Lunch">
      <formula>NOT(ISERROR(SEARCH("Lunch",I47)))</formula>
    </cfRule>
    <cfRule type="containsText" dxfId="235" priority="146" stopIfTrue="1" operator="containsText" text="Interview">
      <formula>NOT(ISERROR(SEARCH("Interview",I47)))</formula>
    </cfRule>
    <cfRule type="containsText" dxfId="234" priority="147" stopIfTrue="1" operator="containsText" text="Side by Side">
      <formula>NOT(ISERROR(SEARCH("Side by Side",I47)))</formula>
    </cfRule>
    <cfRule type="containsText" dxfId="233" priority="148" stopIfTrue="1" operator="containsText" text="COACHING">
      <formula>NOT(ISERROR(SEARCH("COACHING",I47)))</formula>
    </cfRule>
    <cfRule type="containsText" dxfId="232" priority="149" stopIfTrue="1" operator="containsText" text="TM">
      <formula>NOT(ISERROR(SEARCH("TM",I47)))</formula>
    </cfRule>
    <cfRule type="containsText" dxfId="231" priority="150" stopIfTrue="1" operator="containsText" text="RNNR">
      <formula>NOT(ISERROR(SEARCH("RNNR",I47)))</formula>
    </cfRule>
    <cfRule type="containsText" dxfId="230" priority="151" stopIfTrue="1" operator="containsText" text="ADM">
      <formula>NOT(ISERROR(SEARCH("ADM",I47)))</formula>
    </cfRule>
    <cfRule type="containsText" dxfId="229" priority="152" stopIfTrue="1" operator="containsText" text="HL">
      <formula>NOT(ISERROR(SEARCH("HL",I47)))</formula>
    </cfRule>
    <cfRule type="notContainsBlanks" dxfId="228" priority="153" stopIfTrue="1">
      <formula>LEN(TRIM(I47))&gt;0</formula>
    </cfRule>
  </conditionalFormatting>
  <conditionalFormatting sqref="A103:A105">
    <cfRule type="duplicateValues" dxfId="227" priority="136"/>
  </conditionalFormatting>
  <conditionalFormatting sqref="A81:A102">
    <cfRule type="duplicateValues" dxfId="226" priority="137"/>
  </conditionalFormatting>
  <conditionalFormatting sqref="A81:A105">
    <cfRule type="duplicateValues" dxfId="225" priority="138"/>
  </conditionalFormatting>
  <conditionalFormatting sqref="A80">
    <cfRule type="duplicateValues" dxfId="224" priority="134"/>
  </conditionalFormatting>
  <conditionalFormatting sqref="A80">
    <cfRule type="duplicateValues" dxfId="223" priority="135"/>
  </conditionalFormatting>
  <conditionalFormatting sqref="I80:AV105">
    <cfRule type="containsBlanks" dxfId="222" priority="119" stopIfTrue="1">
      <formula>LEN(TRIM(I80))=0</formula>
    </cfRule>
    <cfRule type="beginsWith" dxfId="221" priority="121" stopIfTrue="1" operator="beginsWith" text="u">
      <formula>LEFT(I80,LEN("u"))="u"</formula>
    </cfRule>
    <cfRule type="beginsWith" dxfId="220" priority="122" stopIfTrue="1" operator="beginsWith" text="p">
      <formula>LEFT(I80,LEN("p"))="p"</formula>
    </cfRule>
    <cfRule type="containsText" dxfId="219" priority="123" stopIfTrue="1" operator="containsText" text="B1">
      <formula>NOT(ISERROR(SEARCH("B1",I80)))</formula>
    </cfRule>
    <cfRule type="containsText" dxfId="218" priority="124" stopIfTrue="1" operator="containsText" text="B2">
      <formula>NOT(ISERROR(SEARCH("B2",I80)))</formula>
    </cfRule>
    <cfRule type="containsText" dxfId="217" priority="125" stopIfTrue="1" operator="containsText" text="Lunch">
      <formula>NOT(ISERROR(SEARCH("Lunch",I80)))</formula>
    </cfRule>
    <cfRule type="containsText" dxfId="216" priority="126" stopIfTrue="1" operator="containsText" text="Interview">
      <formula>NOT(ISERROR(SEARCH("Interview",I80)))</formula>
    </cfRule>
    <cfRule type="containsText" dxfId="215" priority="127" stopIfTrue="1" operator="containsText" text="Side by Side">
      <formula>NOT(ISERROR(SEARCH("Side by Side",I80)))</formula>
    </cfRule>
    <cfRule type="containsText" dxfId="214" priority="128" stopIfTrue="1" operator="containsText" text="COACHING">
      <formula>NOT(ISERROR(SEARCH("COACHING",I80)))</formula>
    </cfRule>
    <cfRule type="containsText" dxfId="213" priority="129" stopIfTrue="1" operator="containsText" text="TM">
      <formula>NOT(ISERROR(SEARCH("TM",I80)))</formula>
    </cfRule>
    <cfRule type="containsText" dxfId="212" priority="130" stopIfTrue="1" operator="containsText" text="RNNR">
      <formula>NOT(ISERROR(SEARCH("RNNR",I80)))</formula>
    </cfRule>
    <cfRule type="containsText" dxfId="211" priority="131" stopIfTrue="1" operator="containsText" text="ADM">
      <formula>NOT(ISERROR(SEARCH("ADM",I80)))</formula>
    </cfRule>
    <cfRule type="containsText" dxfId="210" priority="132" stopIfTrue="1" operator="containsText" text="HL">
      <formula>NOT(ISERROR(SEARCH("HL",I80)))</formula>
    </cfRule>
    <cfRule type="notContainsBlanks" dxfId="209" priority="133" stopIfTrue="1">
      <formula>LEN(TRIM(I80))&gt;0</formula>
    </cfRule>
  </conditionalFormatting>
  <conditionalFormatting sqref="A114:A136">
    <cfRule type="duplicateValues" dxfId="208" priority="116"/>
  </conditionalFormatting>
  <conditionalFormatting sqref="A137:A152">
    <cfRule type="duplicateValues" dxfId="207" priority="117"/>
  </conditionalFormatting>
  <conditionalFormatting sqref="A114:A152">
    <cfRule type="duplicateValues" dxfId="206" priority="118"/>
  </conditionalFormatting>
  <conditionalFormatting sqref="A153">
    <cfRule type="duplicateValues" dxfId="205" priority="114"/>
  </conditionalFormatting>
  <conditionalFormatting sqref="A153">
    <cfRule type="duplicateValues" dxfId="204" priority="115"/>
  </conditionalFormatting>
  <conditionalFormatting sqref="I114:AV153">
    <cfRule type="containsBlanks" dxfId="203" priority="99" stopIfTrue="1">
      <formula>LEN(TRIM(I114))=0</formula>
    </cfRule>
    <cfRule type="beginsWith" dxfId="202" priority="101" stopIfTrue="1" operator="beginsWith" text="u">
      <formula>LEFT(I114,LEN("u"))="u"</formula>
    </cfRule>
    <cfRule type="beginsWith" dxfId="201" priority="102" stopIfTrue="1" operator="beginsWith" text="p">
      <formula>LEFT(I114,LEN("p"))="p"</formula>
    </cfRule>
    <cfRule type="containsText" dxfId="200" priority="103" stopIfTrue="1" operator="containsText" text="B1">
      <formula>NOT(ISERROR(SEARCH("B1",I114)))</formula>
    </cfRule>
    <cfRule type="containsText" dxfId="199" priority="104" stopIfTrue="1" operator="containsText" text="B2">
      <formula>NOT(ISERROR(SEARCH("B2",I114)))</formula>
    </cfRule>
    <cfRule type="containsText" dxfId="198" priority="105" stopIfTrue="1" operator="containsText" text="Lunch">
      <formula>NOT(ISERROR(SEARCH("Lunch",I114)))</formula>
    </cfRule>
    <cfRule type="containsText" dxfId="197" priority="106" stopIfTrue="1" operator="containsText" text="Interview">
      <formula>NOT(ISERROR(SEARCH("Interview",I114)))</formula>
    </cfRule>
    <cfRule type="containsText" dxfId="196" priority="107" stopIfTrue="1" operator="containsText" text="Side by Side">
      <formula>NOT(ISERROR(SEARCH("Side by Side",I114)))</formula>
    </cfRule>
    <cfRule type="containsText" dxfId="195" priority="108" stopIfTrue="1" operator="containsText" text="COACHING">
      <formula>NOT(ISERROR(SEARCH("COACHING",I114)))</formula>
    </cfRule>
    <cfRule type="containsText" dxfId="194" priority="109" stopIfTrue="1" operator="containsText" text="TM">
      <formula>NOT(ISERROR(SEARCH("TM",I114)))</formula>
    </cfRule>
    <cfRule type="containsText" dxfId="193" priority="110" stopIfTrue="1" operator="containsText" text="RNNR">
      <formula>NOT(ISERROR(SEARCH("RNNR",I114)))</formula>
    </cfRule>
    <cfRule type="containsText" dxfId="192" priority="111" stopIfTrue="1" operator="containsText" text="ADM">
      <formula>NOT(ISERROR(SEARCH("ADM",I114)))</formula>
    </cfRule>
    <cfRule type="containsText" dxfId="191" priority="112" stopIfTrue="1" operator="containsText" text="HL">
      <formula>NOT(ISERROR(SEARCH("HL",I114)))</formula>
    </cfRule>
    <cfRule type="notContainsBlanks" dxfId="190" priority="113" stopIfTrue="1">
      <formula>LEN(TRIM(I114))&gt;0</formula>
    </cfRule>
  </conditionalFormatting>
  <conditionalFormatting sqref="A183:A198 A201">
    <cfRule type="duplicateValues" dxfId="189" priority="96"/>
  </conditionalFormatting>
  <conditionalFormatting sqref="A161 A163:A182">
    <cfRule type="duplicateValues" dxfId="188" priority="97"/>
  </conditionalFormatting>
  <conditionalFormatting sqref="A161 A201 A163:A198">
    <cfRule type="duplicateValues" dxfId="187" priority="98"/>
  </conditionalFormatting>
  <conditionalFormatting sqref="A199">
    <cfRule type="duplicateValues" dxfId="186" priority="94"/>
  </conditionalFormatting>
  <conditionalFormatting sqref="A199">
    <cfRule type="duplicateValues" dxfId="185" priority="95"/>
  </conditionalFormatting>
  <conditionalFormatting sqref="A200">
    <cfRule type="duplicateValues" dxfId="184" priority="92"/>
  </conditionalFormatting>
  <conditionalFormatting sqref="A200">
    <cfRule type="duplicateValues" dxfId="183" priority="93"/>
  </conditionalFormatting>
  <conditionalFormatting sqref="A162">
    <cfRule type="duplicateValues" dxfId="182" priority="90"/>
  </conditionalFormatting>
  <conditionalFormatting sqref="A162">
    <cfRule type="duplicateValues" dxfId="181" priority="91"/>
  </conditionalFormatting>
  <conditionalFormatting sqref="I161:AV201">
    <cfRule type="containsBlanks" dxfId="180" priority="75" stopIfTrue="1">
      <formula>LEN(TRIM(I161))=0</formula>
    </cfRule>
    <cfRule type="beginsWith" dxfId="179" priority="77" stopIfTrue="1" operator="beginsWith" text="u">
      <formula>LEFT(I161,LEN("u"))="u"</formula>
    </cfRule>
    <cfRule type="beginsWith" dxfId="178" priority="78" stopIfTrue="1" operator="beginsWith" text="p">
      <formula>LEFT(I161,LEN("p"))="p"</formula>
    </cfRule>
    <cfRule type="containsText" dxfId="177" priority="79" stopIfTrue="1" operator="containsText" text="B1">
      <formula>NOT(ISERROR(SEARCH("B1",I161)))</formula>
    </cfRule>
    <cfRule type="containsText" dxfId="176" priority="80" stopIfTrue="1" operator="containsText" text="B2">
      <formula>NOT(ISERROR(SEARCH("B2",I161)))</formula>
    </cfRule>
    <cfRule type="containsText" dxfId="175" priority="81" stopIfTrue="1" operator="containsText" text="Lunch">
      <formula>NOT(ISERROR(SEARCH("Lunch",I161)))</formula>
    </cfRule>
    <cfRule type="containsText" dxfId="174" priority="82" stopIfTrue="1" operator="containsText" text="Interview">
      <formula>NOT(ISERROR(SEARCH("Interview",I161)))</formula>
    </cfRule>
    <cfRule type="containsText" dxfId="173" priority="83" stopIfTrue="1" operator="containsText" text="Side by Side">
      <formula>NOT(ISERROR(SEARCH("Side by Side",I161)))</formula>
    </cfRule>
    <cfRule type="containsText" dxfId="172" priority="84" stopIfTrue="1" operator="containsText" text="COACHING">
      <formula>NOT(ISERROR(SEARCH("COACHING",I161)))</formula>
    </cfRule>
    <cfRule type="containsText" dxfId="171" priority="85" stopIfTrue="1" operator="containsText" text="TM">
      <formula>NOT(ISERROR(SEARCH("TM",I161)))</formula>
    </cfRule>
    <cfRule type="containsText" dxfId="170" priority="86" stopIfTrue="1" operator="containsText" text="RNNR">
      <formula>NOT(ISERROR(SEARCH("RNNR",I161)))</formula>
    </cfRule>
    <cfRule type="containsText" dxfId="169" priority="87" stopIfTrue="1" operator="containsText" text="ADM">
      <formula>NOT(ISERROR(SEARCH("ADM",I161)))</formula>
    </cfRule>
    <cfRule type="containsText" dxfId="168" priority="88" stopIfTrue="1" operator="containsText" text="HL">
      <formula>NOT(ISERROR(SEARCH("HL",I161)))</formula>
    </cfRule>
    <cfRule type="notContainsBlanks" dxfId="167" priority="89" stopIfTrue="1">
      <formula>LEN(TRIM(I161))&gt;0</formula>
    </cfRule>
  </conditionalFormatting>
  <conditionalFormatting sqref="A228:A236">
    <cfRule type="duplicateValues" dxfId="166" priority="48"/>
  </conditionalFormatting>
  <conditionalFormatting sqref="A206:A227">
    <cfRule type="duplicateValues" dxfId="165" priority="49"/>
  </conditionalFormatting>
  <conditionalFormatting sqref="A206:A236">
    <cfRule type="duplicateValues" dxfId="164" priority="50"/>
  </conditionalFormatting>
  <conditionalFormatting sqref="A237">
    <cfRule type="duplicateValues" dxfId="163" priority="46"/>
  </conditionalFormatting>
  <conditionalFormatting sqref="A237">
    <cfRule type="duplicateValues" dxfId="162" priority="47"/>
  </conditionalFormatting>
  <conditionalFormatting sqref="A238">
    <cfRule type="duplicateValues" dxfId="161" priority="44"/>
  </conditionalFormatting>
  <conditionalFormatting sqref="A238">
    <cfRule type="duplicateValues" dxfId="160" priority="45"/>
  </conditionalFormatting>
  <conditionalFormatting sqref="A239">
    <cfRule type="duplicateValues" dxfId="159" priority="42"/>
  </conditionalFormatting>
  <conditionalFormatting sqref="A239">
    <cfRule type="duplicateValues" dxfId="158" priority="43"/>
  </conditionalFormatting>
  <conditionalFormatting sqref="I206:AV239">
    <cfRule type="containsBlanks" dxfId="157" priority="27" stopIfTrue="1">
      <formula>LEN(TRIM(I206))=0</formula>
    </cfRule>
    <cfRule type="beginsWith" dxfId="156" priority="29" stopIfTrue="1" operator="beginsWith" text="u">
      <formula>LEFT(I206,LEN("u"))="u"</formula>
    </cfRule>
    <cfRule type="beginsWith" dxfId="155" priority="30" stopIfTrue="1" operator="beginsWith" text="p">
      <formula>LEFT(I206,LEN("p"))="p"</formula>
    </cfRule>
    <cfRule type="containsText" dxfId="154" priority="31" stopIfTrue="1" operator="containsText" text="B1">
      <formula>NOT(ISERROR(SEARCH("B1",I206)))</formula>
    </cfRule>
    <cfRule type="containsText" dxfId="153" priority="32" stopIfTrue="1" operator="containsText" text="B2">
      <formula>NOT(ISERROR(SEARCH("B2",I206)))</formula>
    </cfRule>
    <cfRule type="containsText" dxfId="152" priority="33" stopIfTrue="1" operator="containsText" text="Lunch">
      <formula>NOT(ISERROR(SEARCH("Lunch",I206)))</formula>
    </cfRule>
    <cfRule type="containsText" dxfId="151" priority="34" stopIfTrue="1" operator="containsText" text="Interview">
      <formula>NOT(ISERROR(SEARCH("Interview",I206)))</formula>
    </cfRule>
    <cfRule type="containsText" dxfId="150" priority="35" stopIfTrue="1" operator="containsText" text="Side by Side">
      <formula>NOT(ISERROR(SEARCH("Side by Side",I206)))</formula>
    </cfRule>
    <cfRule type="containsText" dxfId="149" priority="36" stopIfTrue="1" operator="containsText" text="COACHING">
      <formula>NOT(ISERROR(SEARCH("COACHING",I206)))</formula>
    </cfRule>
    <cfRule type="containsText" dxfId="148" priority="37" stopIfTrue="1" operator="containsText" text="TM">
      <formula>NOT(ISERROR(SEARCH("TM",I206)))</formula>
    </cfRule>
    <cfRule type="containsText" dxfId="147" priority="38" stopIfTrue="1" operator="containsText" text="RNNR">
      <formula>NOT(ISERROR(SEARCH("RNNR",I206)))</formula>
    </cfRule>
    <cfRule type="containsText" dxfId="146" priority="39" stopIfTrue="1" operator="containsText" text="ADM">
      <formula>NOT(ISERROR(SEARCH("ADM",I206)))</formula>
    </cfRule>
    <cfRule type="containsText" dxfId="145" priority="40" stopIfTrue="1" operator="containsText" text="HL">
      <formula>NOT(ISERROR(SEARCH("HL",I206)))</formula>
    </cfRule>
    <cfRule type="notContainsBlanks" dxfId="144" priority="41" stopIfTrue="1">
      <formula>LEN(TRIM(I206))&gt;0</formula>
    </cfRule>
  </conditionalFormatting>
  <conditionalFormatting sqref="A266:A274">
    <cfRule type="duplicateValues" dxfId="143" priority="24"/>
  </conditionalFormatting>
  <conditionalFormatting sqref="A244:A265">
    <cfRule type="duplicateValues" dxfId="142" priority="25"/>
  </conditionalFormatting>
  <conditionalFormatting sqref="A244:A274">
    <cfRule type="duplicateValues" dxfId="141" priority="26"/>
  </conditionalFormatting>
  <conditionalFormatting sqref="A275">
    <cfRule type="duplicateValues" dxfId="140" priority="22"/>
  </conditionalFormatting>
  <conditionalFormatting sqref="A275">
    <cfRule type="duplicateValues" dxfId="139" priority="23"/>
  </conditionalFormatting>
  <conditionalFormatting sqref="A276">
    <cfRule type="duplicateValues" dxfId="138" priority="20"/>
  </conditionalFormatting>
  <conditionalFormatting sqref="A276">
    <cfRule type="duplicateValues" dxfId="137" priority="21"/>
  </conditionalFormatting>
  <conditionalFormatting sqref="A277">
    <cfRule type="duplicateValues" dxfId="136" priority="18"/>
  </conditionalFormatting>
  <conditionalFormatting sqref="A277">
    <cfRule type="duplicateValues" dxfId="135" priority="19"/>
  </conditionalFormatting>
  <conditionalFormatting sqref="A278">
    <cfRule type="duplicateValues" dxfId="134" priority="16"/>
  </conditionalFormatting>
  <conditionalFormatting sqref="A278">
    <cfRule type="duplicateValues" dxfId="133" priority="17"/>
  </conditionalFormatting>
  <conditionalFormatting sqref="I244:AV278">
    <cfRule type="containsBlanks" dxfId="132" priority="1" stopIfTrue="1">
      <formula>LEN(TRIM(I244))=0</formula>
    </cfRule>
    <cfRule type="beginsWith" dxfId="131" priority="3" stopIfTrue="1" operator="beginsWith" text="u">
      <formula>LEFT(I244,LEN("u"))="u"</formula>
    </cfRule>
    <cfRule type="beginsWith" dxfId="130" priority="4" stopIfTrue="1" operator="beginsWith" text="p">
      <formula>LEFT(I244,LEN("p"))="p"</formula>
    </cfRule>
    <cfRule type="containsText" dxfId="129" priority="5" stopIfTrue="1" operator="containsText" text="B1">
      <formula>NOT(ISERROR(SEARCH("B1",I244)))</formula>
    </cfRule>
    <cfRule type="containsText" dxfId="128" priority="6" stopIfTrue="1" operator="containsText" text="B2">
      <formula>NOT(ISERROR(SEARCH("B2",I244)))</formula>
    </cfRule>
    <cfRule type="containsText" dxfId="127" priority="7" stopIfTrue="1" operator="containsText" text="Lunch">
      <formula>NOT(ISERROR(SEARCH("Lunch",I244)))</formula>
    </cfRule>
    <cfRule type="containsText" dxfId="126" priority="8" stopIfTrue="1" operator="containsText" text="Interview">
      <formula>NOT(ISERROR(SEARCH("Interview",I244)))</formula>
    </cfRule>
    <cfRule type="containsText" dxfId="125" priority="9" stopIfTrue="1" operator="containsText" text="Side by Side">
      <formula>NOT(ISERROR(SEARCH("Side by Side",I244)))</formula>
    </cfRule>
    <cfRule type="containsText" dxfId="124" priority="10" stopIfTrue="1" operator="containsText" text="COACHING">
      <formula>NOT(ISERROR(SEARCH("COACHING",I244)))</formula>
    </cfRule>
    <cfRule type="containsText" dxfId="123" priority="11" stopIfTrue="1" operator="containsText" text="TM">
      <formula>NOT(ISERROR(SEARCH("TM",I244)))</formula>
    </cfRule>
    <cfRule type="containsText" dxfId="122" priority="12" stopIfTrue="1" operator="containsText" text="RNNR">
      <formula>NOT(ISERROR(SEARCH("RNNR",I244)))</formula>
    </cfRule>
    <cfRule type="containsText" dxfId="121" priority="13" stopIfTrue="1" operator="containsText" text="ADM">
      <formula>NOT(ISERROR(SEARCH("ADM",I244)))</formula>
    </cfRule>
    <cfRule type="containsText" dxfId="120" priority="14" stopIfTrue="1" operator="containsText" text="HL">
      <formula>NOT(ISERROR(SEARCH("HL",I244)))</formula>
    </cfRule>
    <cfRule type="notContainsBlanks" dxfId="119" priority="15" stopIfTrue="1">
      <formula>LEN(TRIM(I244))&gt;0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01" stopIfTrue="1" operator="containsText" id="{91E8D391-A38D-4F09-880A-190072529B1E}">
            <xm:f>NOT(ISERROR(SEARCH("-",I40)))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I40:AW45 I76:AW78 I106:AW111 I154:AW158 I202:AW203 I240:AW241 I279:AV280 AW47:AW75 AW80:AW105 AW114:AW153 AW161:AW201 AW206:AW239</xm:sqref>
        </x14:conditionalFormatting>
        <x14:conditionalFormatting xmlns:xm="http://schemas.microsoft.com/office/excel/2006/main">
          <x14:cfRule type="containsText" priority="186" stopIfTrue="1" operator="containsText" id="{1635769A-6148-44D0-852D-68D0318F243D}">
            <xm:f>NOT(ISERROR(SEARCH("-",AW244)))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AW244:AW280</xm:sqref>
        </x14:conditionalFormatting>
        <x14:conditionalFormatting xmlns:xm="http://schemas.microsoft.com/office/excel/2006/main">
          <x14:cfRule type="containsText" priority="166" stopIfTrue="1" operator="containsText" id="{2C394786-15EB-4A6A-BEE1-BFD7AD824F5A}">
            <xm:f>NOT(ISERROR(SEARCH("-",I2)))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I2:AW39</xm:sqref>
        </x14:conditionalFormatting>
        <x14:conditionalFormatting xmlns:xm="http://schemas.microsoft.com/office/excel/2006/main">
          <x14:cfRule type="containsText" priority="140" stopIfTrue="1" operator="containsText" id="{E1EC3AEC-64EA-4F44-BFA8-FDD8ABF24091}">
            <xm:f>NOT(ISERROR(SEARCH("-",I47)))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I47:AV75</xm:sqref>
        </x14:conditionalFormatting>
        <x14:conditionalFormatting xmlns:xm="http://schemas.microsoft.com/office/excel/2006/main">
          <x14:cfRule type="containsText" priority="120" stopIfTrue="1" operator="containsText" id="{84C7E128-D085-4CBB-9287-45455E0450C0}">
            <xm:f>NOT(ISERROR(SEARCH("-",I80)))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I80:AV105</xm:sqref>
        </x14:conditionalFormatting>
        <x14:conditionalFormatting xmlns:xm="http://schemas.microsoft.com/office/excel/2006/main">
          <x14:cfRule type="containsText" priority="100" stopIfTrue="1" operator="containsText" id="{2922BC31-1F28-4DCE-8997-8A095EB1E031}">
            <xm:f>NOT(ISERROR(SEARCH("-",I114)))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I114:AV153</xm:sqref>
        </x14:conditionalFormatting>
        <x14:conditionalFormatting xmlns:xm="http://schemas.microsoft.com/office/excel/2006/main">
          <x14:cfRule type="containsText" priority="76" stopIfTrue="1" operator="containsText" id="{858C1623-EA13-40F3-9880-95F29916259A}">
            <xm:f>NOT(ISERROR(SEARCH("-",I161)))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I161:AV201</xm:sqref>
        </x14:conditionalFormatting>
        <x14:conditionalFormatting xmlns:xm="http://schemas.microsoft.com/office/excel/2006/main">
          <x14:cfRule type="containsText" priority="28" stopIfTrue="1" operator="containsText" id="{FC42FD1A-C04B-4DA8-8B0D-9C9E4356C428}">
            <xm:f>NOT(ISERROR(SEARCH("-",I206)))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I206:AV239</xm:sqref>
        </x14:conditionalFormatting>
        <x14:conditionalFormatting xmlns:xm="http://schemas.microsoft.com/office/excel/2006/main">
          <x14:cfRule type="containsText" priority="2" stopIfTrue="1" operator="containsText" id="{6FC49CAF-0000-4320-9BED-D8432502892D}">
            <xm:f>NOT(ISERROR(SEARCH("-",I244)))</xm:f>
            <xm:f>"-"</xm:f>
            <x14:dxf>
              <font>
                <color auto="1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I244:AV278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5"/>
  </sheetPr>
  <dimension ref="C1:AB50"/>
  <sheetViews>
    <sheetView workbookViewId="0">
      <selection activeCell="C48" sqref="C48:L48"/>
    </sheetView>
  </sheetViews>
  <sheetFormatPr defaultRowHeight="15" x14ac:dyDescent="0.25"/>
  <cols>
    <col min="1" max="1" width="1.7109375" customWidth="1"/>
    <col min="2" max="3" width="11.7109375" customWidth="1"/>
    <col min="4" max="4" width="23.140625" customWidth="1"/>
    <col min="5" max="5" width="19.42578125" customWidth="1"/>
    <col min="6" max="7" width="10.42578125" bestFit="1" customWidth="1"/>
    <col min="8" max="10" width="11" bestFit="1" customWidth="1"/>
    <col min="11" max="12" width="11.5703125" bestFit="1" customWidth="1"/>
    <col min="13" max="13" width="2.7109375" customWidth="1"/>
    <col min="14" max="14" width="22.42578125" bestFit="1" customWidth="1"/>
    <col min="15" max="15" width="14.5703125" bestFit="1" customWidth="1"/>
    <col min="16" max="16" width="11.140625" bestFit="1" customWidth="1"/>
    <col min="17" max="17" width="7.7109375" bestFit="1" customWidth="1"/>
    <col min="18" max="18" width="12" bestFit="1" customWidth="1"/>
    <col min="19" max="22" width="10.42578125" customWidth="1"/>
    <col min="23" max="24" width="8.28515625" customWidth="1"/>
    <col min="25" max="25" width="22.42578125" bestFit="1" customWidth="1"/>
    <col min="26" max="26" width="8" bestFit="1" customWidth="1"/>
    <col min="27" max="27" width="19" bestFit="1" customWidth="1"/>
    <col min="28" max="28" width="13" bestFit="1" customWidth="1"/>
    <col min="29" max="29" width="27.7109375" bestFit="1" customWidth="1"/>
  </cols>
  <sheetData>
    <row r="1" spans="3:28" ht="26.25" customHeight="1" x14ac:dyDescent="0.25"/>
    <row r="2" spans="3:28" x14ac:dyDescent="0.25">
      <c r="D2" s="493" t="s">
        <v>373</v>
      </c>
      <c r="E2" s="493"/>
      <c r="F2" s="493"/>
      <c r="G2" s="493"/>
      <c r="H2" s="493"/>
      <c r="I2" s="493"/>
      <c r="J2" s="493"/>
      <c r="K2" s="493"/>
      <c r="L2" s="493"/>
      <c r="M2" s="248"/>
      <c r="N2" s="494" t="s">
        <v>379</v>
      </c>
      <c r="O2" s="494"/>
      <c r="P2" s="494"/>
      <c r="Q2" s="494"/>
      <c r="R2" s="377"/>
      <c r="S2" s="377"/>
      <c r="T2" s="377"/>
      <c r="U2" s="377"/>
      <c r="V2" s="377"/>
      <c r="W2" s="281"/>
      <c r="X2" s="365"/>
    </row>
    <row r="3" spans="3:28" x14ac:dyDescent="0.25">
      <c r="D3" s="253" t="s">
        <v>13</v>
      </c>
      <c r="E3" s="253" t="s">
        <v>14</v>
      </c>
      <c r="F3" s="253" t="s">
        <v>11</v>
      </c>
      <c r="G3" s="253" t="s">
        <v>12</v>
      </c>
      <c r="H3" s="253" t="s">
        <v>6</v>
      </c>
      <c r="I3" s="253" t="s">
        <v>7</v>
      </c>
      <c r="J3" s="253" t="s">
        <v>8</v>
      </c>
      <c r="K3" s="253" t="s">
        <v>9</v>
      </c>
      <c r="L3" s="253" t="s">
        <v>10</v>
      </c>
      <c r="N3" s="337" t="s">
        <v>428</v>
      </c>
      <c r="O3" s="379" t="s">
        <v>440</v>
      </c>
      <c r="P3" s="379" t="s">
        <v>441</v>
      </c>
      <c r="Q3" s="379" t="s">
        <v>442</v>
      </c>
      <c r="R3" s="378" t="s">
        <v>443</v>
      </c>
      <c r="S3" s="378" t="s">
        <v>444</v>
      </c>
      <c r="T3" s="378" t="s">
        <v>445</v>
      </c>
      <c r="U3" s="378" t="s">
        <v>446</v>
      </c>
      <c r="V3" s="378" t="s">
        <v>447</v>
      </c>
      <c r="W3" s="281"/>
      <c r="X3" s="336" t="s">
        <v>433</v>
      </c>
      <c r="Y3" s="336" t="s">
        <v>13</v>
      </c>
      <c r="Z3" s="336" t="s">
        <v>72</v>
      </c>
      <c r="AA3" s="336" t="s">
        <v>377</v>
      </c>
      <c r="AB3" s="278" t="s">
        <v>378</v>
      </c>
    </row>
    <row r="4" spans="3:28" x14ac:dyDescent="0.25">
      <c r="C4" t="s">
        <v>15</v>
      </c>
      <c r="D4" s="293" t="s">
        <v>24</v>
      </c>
      <c r="E4" s="312" t="s">
        <v>42</v>
      </c>
      <c r="F4" s="253" t="s">
        <v>329</v>
      </c>
      <c r="G4" s="253" t="s">
        <v>16</v>
      </c>
      <c r="H4" s="253" t="s">
        <v>16</v>
      </c>
      <c r="I4" s="253" t="s">
        <v>329</v>
      </c>
      <c r="J4" s="253" t="s">
        <v>329</v>
      </c>
      <c r="K4" s="253" t="s">
        <v>329</v>
      </c>
      <c r="L4" s="253" t="s">
        <v>329</v>
      </c>
      <c r="M4" s="249"/>
      <c r="N4" s="380" t="s">
        <v>53</v>
      </c>
      <c r="O4" s="380" t="s">
        <v>352</v>
      </c>
      <c r="P4" s="383" t="s">
        <v>469</v>
      </c>
      <c r="Q4" s="381" t="s">
        <v>455</v>
      </c>
      <c r="R4" s="381" t="s">
        <v>456</v>
      </c>
      <c r="S4" s="381" t="s">
        <v>487</v>
      </c>
      <c r="T4" s="381" t="s">
        <v>470</v>
      </c>
      <c r="U4" s="381" t="s">
        <v>185</v>
      </c>
      <c r="V4" s="386">
        <v>1100</v>
      </c>
      <c r="W4" s="281"/>
      <c r="X4" s="370">
        <v>18</v>
      </c>
      <c r="Y4" s="253" t="s">
        <v>66</v>
      </c>
      <c r="Z4" s="277">
        <v>1511073</v>
      </c>
      <c r="AA4" s="253" t="s">
        <v>595</v>
      </c>
      <c r="AB4" s="277" t="s">
        <v>349</v>
      </c>
    </row>
    <row r="5" spans="3:28" x14ac:dyDescent="0.25">
      <c r="C5" t="s">
        <v>15</v>
      </c>
      <c r="D5" s="293" t="s">
        <v>233</v>
      </c>
      <c r="E5" s="312" t="s">
        <v>42</v>
      </c>
      <c r="F5" s="253" t="s">
        <v>329</v>
      </c>
      <c r="G5" s="253" t="s">
        <v>329</v>
      </c>
      <c r="H5" s="253" t="s">
        <v>329</v>
      </c>
      <c r="I5" s="253" t="s">
        <v>16</v>
      </c>
      <c r="J5" s="253" t="s">
        <v>16</v>
      </c>
      <c r="K5" s="253" t="s">
        <v>329</v>
      </c>
      <c r="L5" s="253" t="s">
        <v>329</v>
      </c>
      <c r="M5" s="148"/>
      <c r="N5" s="380" t="s">
        <v>25</v>
      </c>
      <c r="O5" s="380" t="s">
        <v>354</v>
      </c>
      <c r="P5" s="383" t="s">
        <v>454</v>
      </c>
      <c r="Q5" s="381" t="s">
        <v>464</v>
      </c>
      <c r="R5" s="381" t="s">
        <v>465</v>
      </c>
      <c r="S5" s="381" t="s">
        <v>480</v>
      </c>
      <c r="T5" s="381" t="s">
        <v>481</v>
      </c>
      <c r="U5" s="381" t="s">
        <v>185</v>
      </c>
      <c r="V5" s="386">
        <v>1200</v>
      </c>
      <c r="W5" s="281"/>
      <c r="X5" s="370">
        <v>15</v>
      </c>
      <c r="Y5" s="277" t="s">
        <v>32</v>
      </c>
      <c r="Z5" s="277">
        <v>6081927</v>
      </c>
      <c r="AA5" s="277" t="s">
        <v>424</v>
      </c>
      <c r="AB5" s="277" t="s">
        <v>329</v>
      </c>
    </row>
    <row r="6" spans="3:28" x14ac:dyDescent="0.25">
      <c r="C6" t="s">
        <v>15</v>
      </c>
      <c r="D6" s="293" t="s">
        <v>44</v>
      </c>
      <c r="E6" s="312" t="s">
        <v>42</v>
      </c>
      <c r="F6" s="253" t="s">
        <v>327</v>
      </c>
      <c r="G6" s="253" t="s">
        <v>16</v>
      </c>
      <c r="H6" s="253" t="s">
        <v>16</v>
      </c>
      <c r="I6" s="253" t="s">
        <v>327</v>
      </c>
      <c r="J6" s="253" t="s">
        <v>327</v>
      </c>
      <c r="K6" s="253" t="s">
        <v>327</v>
      </c>
      <c r="L6" s="253" t="s">
        <v>327</v>
      </c>
      <c r="M6" s="148"/>
      <c r="N6" s="382" t="s">
        <v>32</v>
      </c>
      <c r="O6" s="382" t="s">
        <v>354</v>
      </c>
      <c r="P6" s="381" t="s">
        <v>452</v>
      </c>
      <c r="Q6" s="381" t="s">
        <v>449</v>
      </c>
      <c r="R6" s="381" t="s">
        <v>450</v>
      </c>
      <c r="S6" s="381" t="s">
        <v>453</v>
      </c>
      <c r="T6" s="381" t="s">
        <v>490</v>
      </c>
      <c r="U6" s="381" t="s">
        <v>185</v>
      </c>
      <c r="V6" s="386">
        <v>1300</v>
      </c>
      <c r="W6" s="281"/>
      <c r="X6" s="370">
        <v>19</v>
      </c>
      <c r="Y6" s="277" t="s">
        <v>59</v>
      </c>
      <c r="Z6" s="277">
        <v>6114814</v>
      </c>
      <c r="AA6" s="277" t="s">
        <v>423</v>
      </c>
      <c r="AB6" s="277" t="s">
        <v>349</v>
      </c>
    </row>
    <row r="7" spans="3:28" x14ac:dyDescent="0.25">
      <c r="C7" t="s">
        <v>15</v>
      </c>
      <c r="D7" s="293" t="s">
        <v>19</v>
      </c>
      <c r="E7" s="312" t="s">
        <v>42</v>
      </c>
      <c r="F7" s="253" t="s">
        <v>326</v>
      </c>
      <c r="G7" s="253" t="s">
        <v>16</v>
      </c>
      <c r="H7" s="253" t="s">
        <v>16</v>
      </c>
      <c r="I7" s="253" t="s">
        <v>326</v>
      </c>
      <c r="J7" s="253" t="s">
        <v>326</v>
      </c>
      <c r="K7" s="253" t="s">
        <v>326</v>
      </c>
      <c r="L7" s="253" t="s">
        <v>326</v>
      </c>
      <c r="M7" s="148"/>
      <c r="N7" s="380" t="s">
        <v>27</v>
      </c>
      <c r="O7" s="380" t="s">
        <v>353</v>
      </c>
      <c r="P7" s="383" t="s">
        <v>448</v>
      </c>
      <c r="Q7" s="381" t="s">
        <v>459</v>
      </c>
      <c r="R7" s="381" t="s">
        <v>460</v>
      </c>
      <c r="S7" s="381" t="s">
        <v>184</v>
      </c>
      <c r="T7" s="381" t="s">
        <v>493</v>
      </c>
      <c r="U7" s="381" t="s">
        <v>184</v>
      </c>
      <c r="V7" s="386">
        <v>1100</v>
      </c>
      <c r="W7" s="281"/>
      <c r="X7" s="370">
        <v>16</v>
      </c>
      <c r="Y7" s="277" t="s">
        <v>17</v>
      </c>
      <c r="Z7" s="277">
        <v>1516349</v>
      </c>
      <c r="AA7" s="277" t="s">
        <v>422</v>
      </c>
      <c r="AB7" s="277" t="s">
        <v>327</v>
      </c>
    </row>
    <row r="8" spans="3:28" ht="14.45" customHeight="1" x14ac:dyDescent="0.25">
      <c r="C8" t="s">
        <v>15</v>
      </c>
      <c r="D8" s="293" t="s">
        <v>22</v>
      </c>
      <c r="E8" s="312" t="s">
        <v>42</v>
      </c>
      <c r="F8" s="253" t="s">
        <v>328</v>
      </c>
      <c r="G8" s="253" t="s">
        <v>328</v>
      </c>
      <c r="H8" s="253" t="s">
        <v>328</v>
      </c>
      <c r="I8" s="253" t="s">
        <v>328</v>
      </c>
      <c r="J8" s="253" t="s">
        <v>16</v>
      </c>
      <c r="K8" s="253" t="s">
        <v>16</v>
      </c>
      <c r="L8" s="253" t="s">
        <v>328</v>
      </c>
      <c r="M8" s="250"/>
      <c r="N8" s="380" t="s">
        <v>46</v>
      </c>
      <c r="O8" s="380" t="s">
        <v>354</v>
      </c>
      <c r="P8" s="383" t="s">
        <v>485</v>
      </c>
      <c r="Q8" s="381" t="s">
        <v>459</v>
      </c>
      <c r="R8" s="381" t="s">
        <v>460</v>
      </c>
      <c r="S8" s="381" t="s">
        <v>486</v>
      </c>
      <c r="T8" s="381" t="s">
        <v>471</v>
      </c>
      <c r="U8" s="381" t="s">
        <v>184</v>
      </c>
      <c r="V8" s="386">
        <v>1200</v>
      </c>
      <c r="W8" s="281"/>
      <c r="X8" s="370">
        <v>21</v>
      </c>
      <c r="Y8" s="277" t="s">
        <v>63</v>
      </c>
      <c r="Z8" s="277">
        <v>1516004</v>
      </c>
      <c r="AA8" s="277" t="s">
        <v>593</v>
      </c>
      <c r="AB8" s="277" t="s">
        <v>400</v>
      </c>
    </row>
    <row r="9" spans="3:28" x14ac:dyDescent="0.25">
      <c r="C9" t="s">
        <v>15</v>
      </c>
      <c r="D9" s="292" t="s">
        <v>237</v>
      </c>
      <c r="E9" s="312" t="s">
        <v>42</v>
      </c>
      <c r="F9" s="254" t="s">
        <v>16</v>
      </c>
      <c r="G9" s="279" t="s">
        <v>16</v>
      </c>
      <c r="H9" s="279" t="s">
        <v>332</v>
      </c>
      <c r="I9" s="279" t="s">
        <v>332</v>
      </c>
      <c r="J9" s="279" t="s">
        <v>332</v>
      </c>
      <c r="K9" s="279" t="s">
        <v>332</v>
      </c>
      <c r="L9" s="279" t="s">
        <v>332</v>
      </c>
      <c r="M9" s="250"/>
      <c r="N9" s="380" t="s">
        <v>70</v>
      </c>
      <c r="O9" s="380" t="s">
        <v>374</v>
      </c>
      <c r="P9" s="383" t="s">
        <v>485</v>
      </c>
      <c r="Q9" s="381" t="s">
        <v>449</v>
      </c>
      <c r="R9" s="381" t="s">
        <v>450</v>
      </c>
      <c r="S9" s="381" t="s">
        <v>182</v>
      </c>
      <c r="T9" s="381" t="s">
        <v>488</v>
      </c>
      <c r="U9" s="381" t="s">
        <v>184</v>
      </c>
      <c r="V9" s="386">
        <v>1300</v>
      </c>
      <c r="W9" s="281"/>
      <c r="X9" s="370">
        <v>17</v>
      </c>
      <c r="Y9" s="277" t="s">
        <v>57</v>
      </c>
      <c r="Z9" s="277">
        <v>6113300</v>
      </c>
      <c r="AA9" s="277" t="s">
        <v>421</v>
      </c>
      <c r="AB9" s="277" t="s">
        <v>346</v>
      </c>
    </row>
    <row r="10" spans="3:28" x14ac:dyDescent="0.25">
      <c r="C10" t="s">
        <v>15</v>
      </c>
      <c r="D10" s="293" t="s">
        <v>231</v>
      </c>
      <c r="E10" s="312" t="s">
        <v>42</v>
      </c>
      <c r="F10" s="253" t="s">
        <v>333</v>
      </c>
      <c r="G10" s="253" t="s">
        <v>333</v>
      </c>
      <c r="H10" s="253" t="s">
        <v>16</v>
      </c>
      <c r="I10" s="253" t="s">
        <v>16</v>
      </c>
      <c r="J10" s="253" t="s">
        <v>333</v>
      </c>
      <c r="K10" s="253" t="s">
        <v>333</v>
      </c>
      <c r="L10" s="253" t="s">
        <v>333</v>
      </c>
      <c r="M10" s="250"/>
      <c r="N10" s="380" t="s">
        <v>49</v>
      </c>
      <c r="O10" s="380" t="s">
        <v>350</v>
      </c>
      <c r="P10" s="383" t="s">
        <v>452</v>
      </c>
      <c r="Q10" s="381" t="s">
        <v>449</v>
      </c>
      <c r="R10" s="381" t="s">
        <v>450</v>
      </c>
      <c r="S10" s="381" t="s">
        <v>482</v>
      </c>
      <c r="T10" s="381" t="s">
        <v>483</v>
      </c>
      <c r="U10" s="381" t="s">
        <v>184</v>
      </c>
      <c r="V10" s="386">
        <v>1400</v>
      </c>
      <c r="W10" s="281"/>
      <c r="X10" s="370">
        <v>22</v>
      </c>
      <c r="Y10" s="277" t="s">
        <v>245</v>
      </c>
      <c r="Z10" s="277">
        <v>6099140</v>
      </c>
      <c r="AA10" s="277" t="s">
        <v>420</v>
      </c>
      <c r="AB10" s="277" t="s">
        <v>348</v>
      </c>
    </row>
    <row r="11" spans="3:28" x14ac:dyDescent="0.25">
      <c r="C11" t="s">
        <v>15</v>
      </c>
      <c r="D11" s="293" t="s">
        <v>67</v>
      </c>
      <c r="E11" s="312" t="s">
        <v>42</v>
      </c>
      <c r="F11" s="253" t="s">
        <v>341</v>
      </c>
      <c r="G11" s="253" t="s">
        <v>16</v>
      </c>
      <c r="H11" s="253" t="s">
        <v>16</v>
      </c>
      <c r="I11" s="253" t="s">
        <v>341</v>
      </c>
      <c r="J11" s="253" t="s">
        <v>341</v>
      </c>
      <c r="K11" s="253" t="s">
        <v>341</v>
      </c>
      <c r="L11" s="253" t="s">
        <v>341</v>
      </c>
      <c r="M11" s="250"/>
      <c r="N11" s="380" t="s">
        <v>57</v>
      </c>
      <c r="O11" s="380" t="s">
        <v>346</v>
      </c>
      <c r="P11" s="383" t="s">
        <v>463</v>
      </c>
      <c r="Q11" s="381" t="s">
        <v>464</v>
      </c>
      <c r="R11" s="381" t="s">
        <v>465</v>
      </c>
      <c r="S11" s="381" t="s">
        <v>184</v>
      </c>
      <c r="T11" s="381" t="s">
        <v>466</v>
      </c>
      <c r="U11" s="381" t="s">
        <v>184</v>
      </c>
      <c r="V11" s="386">
        <v>1600</v>
      </c>
      <c r="W11" s="281"/>
      <c r="X11" s="370">
        <v>17</v>
      </c>
      <c r="Y11" s="277" t="s">
        <v>31</v>
      </c>
      <c r="Z11" s="277">
        <v>6121311</v>
      </c>
      <c r="AA11" s="277" t="s">
        <v>601</v>
      </c>
      <c r="AB11" s="277" t="s">
        <v>350</v>
      </c>
    </row>
    <row r="12" spans="3:28" x14ac:dyDescent="0.25">
      <c r="C12" t="s">
        <v>15</v>
      </c>
      <c r="D12" s="293" t="s">
        <v>69</v>
      </c>
      <c r="E12" s="312" t="s">
        <v>42</v>
      </c>
      <c r="F12" s="253" t="s">
        <v>343</v>
      </c>
      <c r="G12" s="253" t="s">
        <v>343</v>
      </c>
      <c r="H12" s="253" t="s">
        <v>16</v>
      </c>
      <c r="I12" s="253" t="s">
        <v>16</v>
      </c>
      <c r="J12" s="253" t="s">
        <v>343</v>
      </c>
      <c r="K12" s="253" t="s">
        <v>343</v>
      </c>
      <c r="L12" s="253" t="s">
        <v>343</v>
      </c>
      <c r="M12" s="250"/>
      <c r="N12" s="380" t="s">
        <v>63</v>
      </c>
      <c r="O12" s="380" t="s">
        <v>349</v>
      </c>
      <c r="P12" s="383" t="s">
        <v>448</v>
      </c>
      <c r="Q12" s="381" t="s">
        <v>455</v>
      </c>
      <c r="R12" s="381" t="s">
        <v>456</v>
      </c>
      <c r="S12" s="381" t="s">
        <v>184</v>
      </c>
      <c r="T12" s="381" t="s">
        <v>462</v>
      </c>
      <c r="U12" s="381" t="s">
        <v>184</v>
      </c>
      <c r="V12" s="386">
        <v>1730</v>
      </c>
      <c r="W12" s="281"/>
      <c r="X12" s="370">
        <v>18</v>
      </c>
      <c r="Y12" s="277" t="s">
        <v>20</v>
      </c>
      <c r="Z12" s="277">
        <v>1514616</v>
      </c>
      <c r="AA12" s="277" t="s">
        <v>419</v>
      </c>
      <c r="AB12" s="277" t="s">
        <v>337</v>
      </c>
    </row>
    <row r="13" spans="3:28" x14ac:dyDescent="0.25">
      <c r="C13" t="s">
        <v>15</v>
      </c>
      <c r="D13" s="293" t="s">
        <v>30</v>
      </c>
      <c r="E13" s="312" t="s">
        <v>42</v>
      </c>
      <c r="F13" s="253" t="s">
        <v>400</v>
      </c>
      <c r="G13" s="253" t="s">
        <v>16</v>
      </c>
      <c r="H13" s="253" t="s">
        <v>16</v>
      </c>
      <c r="I13" s="253" t="s">
        <v>400</v>
      </c>
      <c r="J13" s="253" t="s">
        <v>400</v>
      </c>
      <c r="K13" s="253" t="s">
        <v>400</v>
      </c>
      <c r="L13" s="253" t="s">
        <v>400</v>
      </c>
      <c r="M13" s="250"/>
      <c r="N13" s="380" t="s">
        <v>245</v>
      </c>
      <c r="O13" s="380" t="s">
        <v>401</v>
      </c>
      <c r="P13" s="383" t="s">
        <v>467</v>
      </c>
      <c r="Q13" s="381" t="s">
        <v>455</v>
      </c>
      <c r="R13" s="381" t="s">
        <v>456</v>
      </c>
      <c r="S13" s="381" t="s">
        <v>184</v>
      </c>
      <c r="T13" s="381" t="s">
        <v>468</v>
      </c>
      <c r="U13" s="381" t="s">
        <v>184</v>
      </c>
      <c r="V13" s="386">
        <v>2100</v>
      </c>
      <c r="W13" s="281"/>
      <c r="X13" s="370">
        <v>16</v>
      </c>
      <c r="Y13" s="277" t="s">
        <v>48</v>
      </c>
      <c r="Z13" s="277">
        <v>6053316</v>
      </c>
      <c r="AA13" s="277" t="s">
        <v>418</v>
      </c>
      <c r="AB13" s="277" t="s">
        <v>357</v>
      </c>
    </row>
    <row r="14" spans="3:28" x14ac:dyDescent="0.25">
      <c r="C14" t="s">
        <v>15</v>
      </c>
      <c r="D14" s="293" t="s">
        <v>226</v>
      </c>
      <c r="E14" s="312" t="s">
        <v>42</v>
      </c>
      <c r="F14" s="253" t="s">
        <v>338</v>
      </c>
      <c r="G14" s="253" t="s">
        <v>338</v>
      </c>
      <c r="H14" s="253" t="s">
        <v>338</v>
      </c>
      <c r="I14" s="253" t="s">
        <v>338</v>
      </c>
      <c r="J14" s="253" t="s">
        <v>16</v>
      </c>
      <c r="K14" s="253" t="s">
        <v>16</v>
      </c>
      <c r="L14" s="253" t="s">
        <v>338</v>
      </c>
      <c r="M14" s="251"/>
      <c r="N14" s="380" t="s">
        <v>48</v>
      </c>
      <c r="O14" s="380" t="s">
        <v>357</v>
      </c>
      <c r="P14" s="383" t="s">
        <v>452</v>
      </c>
      <c r="Q14" s="381" t="s">
        <v>459</v>
      </c>
      <c r="R14" s="381" t="s">
        <v>460</v>
      </c>
      <c r="S14" s="381" t="s">
        <v>472</v>
      </c>
      <c r="T14" s="381" t="s">
        <v>492</v>
      </c>
      <c r="U14" s="381" t="s">
        <v>180</v>
      </c>
      <c r="V14" s="386">
        <v>1100</v>
      </c>
      <c r="W14" s="282"/>
      <c r="X14" s="370">
        <v>19</v>
      </c>
      <c r="Y14" s="277" t="s">
        <v>51</v>
      </c>
      <c r="Z14" s="277">
        <v>1510725</v>
      </c>
      <c r="AA14" s="277" t="s">
        <v>417</v>
      </c>
      <c r="AB14" s="277" t="s">
        <v>398</v>
      </c>
    </row>
    <row r="15" spans="3:28" x14ac:dyDescent="0.25">
      <c r="C15" t="s">
        <v>15</v>
      </c>
      <c r="D15" s="293" t="s">
        <v>582</v>
      </c>
      <c r="E15" s="312" t="s">
        <v>42</v>
      </c>
      <c r="F15" s="253" t="s">
        <v>425</v>
      </c>
      <c r="G15" s="253" t="s">
        <v>425</v>
      </c>
      <c r="H15" s="253" t="s">
        <v>16</v>
      </c>
      <c r="I15" s="253" t="s">
        <v>16</v>
      </c>
      <c r="J15" s="253" t="s">
        <v>425</v>
      </c>
      <c r="K15" s="253" t="s">
        <v>425</v>
      </c>
      <c r="L15" s="253" t="s">
        <v>425</v>
      </c>
      <c r="M15" s="251"/>
      <c r="N15" s="380" t="s">
        <v>20</v>
      </c>
      <c r="O15" s="382" t="s">
        <v>357</v>
      </c>
      <c r="P15" s="383" t="s">
        <v>448</v>
      </c>
      <c r="Q15" s="381" t="s">
        <v>464</v>
      </c>
      <c r="R15" s="381" t="s">
        <v>465</v>
      </c>
      <c r="S15" s="381" t="s">
        <v>182</v>
      </c>
      <c r="T15" s="381" t="s">
        <v>491</v>
      </c>
      <c r="U15" s="381" t="s">
        <v>182</v>
      </c>
      <c r="V15" s="386">
        <v>1000</v>
      </c>
      <c r="W15" s="282"/>
      <c r="X15" s="370">
        <v>16</v>
      </c>
      <c r="Y15" s="277" t="s">
        <v>23</v>
      </c>
      <c r="Z15" s="277">
        <v>6118878</v>
      </c>
      <c r="AA15" s="277" t="s">
        <v>416</v>
      </c>
      <c r="AB15" s="277" t="s">
        <v>349</v>
      </c>
    </row>
    <row r="16" spans="3:28" x14ac:dyDescent="0.25">
      <c r="C16" t="s">
        <v>15</v>
      </c>
      <c r="D16" s="292" t="s">
        <v>29</v>
      </c>
      <c r="E16" s="312" t="s">
        <v>42</v>
      </c>
      <c r="F16" s="254" t="s">
        <v>16</v>
      </c>
      <c r="G16" s="279" t="s">
        <v>16</v>
      </c>
      <c r="H16" s="279" t="s">
        <v>339</v>
      </c>
      <c r="I16" s="279" t="s">
        <v>339</v>
      </c>
      <c r="J16" s="279" t="s">
        <v>339</v>
      </c>
      <c r="K16" s="279" t="s">
        <v>339</v>
      </c>
      <c r="L16" s="279" t="s">
        <v>339</v>
      </c>
      <c r="M16" s="250"/>
      <c r="N16" s="382" t="s">
        <v>17</v>
      </c>
      <c r="O16" s="382" t="s">
        <v>344</v>
      </c>
      <c r="P16" s="381" t="s">
        <v>448</v>
      </c>
      <c r="Q16" s="381" t="s">
        <v>459</v>
      </c>
      <c r="R16" s="381" t="s">
        <v>460</v>
      </c>
      <c r="S16" s="381" t="s">
        <v>578</v>
      </c>
      <c r="T16" s="381" t="s">
        <v>461</v>
      </c>
      <c r="U16" s="381" t="s">
        <v>182</v>
      </c>
      <c r="V16" s="386">
        <v>1100</v>
      </c>
      <c r="W16" s="282"/>
      <c r="X16" s="370">
        <v>19</v>
      </c>
      <c r="Y16" s="277" t="s">
        <v>27</v>
      </c>
      <c r="Z16" s="277">
        <v>1524160</v>
      </c>
      <c r="AA16" s="277" t="s">
        <v>415</v>
      </c>
      <c r="AB16" s="277" t="s">
        <v>427</v>
      </c>
    </row>
    <row r="17" spans="3:28" x14ac:dyDescent="0.25">
      <c r="C17" t="s">
        <v>15</v>
      </c>
      <c r="D17" s="293" t="s">
        <v>229</v>
      </c>
      <c r="E17" s="312" t="s">
        <v>42</v>
      </c>
      <c r="F17" s="253" t="s">
        <v>331</v>
      </c>
      <c r="G17" s="253" t="s">
        <v>16</v>
      </c>
      <c r="H17" s="253" t="s">
        <v>16</v>
      </c>
      <c r="I17" s="253" t="s">
        <v>331</v>
      </c>
      <c r="J17" s="253" t="s">
        <v>331</v>
      </c>
      <c r="K17" s="253" t="s">
        <v>331</v>
      </c>
      <c r="L17" s="253" t="s">
        <v>331</v>
      </c>
      <c r="M17" s="250"/>
      <c r="N17" s="380" t="s">
        <v>31</v>
      </c>
      <c r="O17" s="380" t="s">
        <v>375</v>
      </c>
      <c r="P17" s="383" t="s">
        <v>469</v>
      </c>
      <c r="Q17" s="381" t="s">
        <v>459</v>
      </c>
      <c r="R17" s="381" t="s">
        <v>460</v>
      </c>
      <c r="S17" s="381" t="s">
        <v>182</v>
      </c>
      <c r="T17" s="381" t="s">
        <v>470</v>
      </c>
      <c r="U17" s="381" t="s">
        <v>182</v>
      </c>
      <c r="V17" s="386">
        <v>1100</v>
      </c>
      <c r="W17" s="282"/>
      <c r="X17" s="370">
        <v>16</v>
      </c>
      <c r="Y17" s="277" t="s">
        <v>45</v>
      </c>
      <c r="Z17" s="277">
        <v>6108250</v>
      </c>
      <c r="AA17" s="277" t="s">
        <v>598</v>
      </c>
      <c r="AB17" s="277" t="s">
        <v>346</v>
      </c>
    </row>
    <row r="18" spans="3:28" x14ac:dyDescent="0.25">
      <c r="C18" t="s">
        <v>15</v>
      </c>
      <c r="D18" s="293" t="s">
        <v>41</v>
      </c>
      <c r="E18" s="312" t="s">
        <v>42</v>
      </c>
      <c r="F18" s="253" t="s">
        <v>16</v>
      </c>
      <c r="G18" s="253" t="s">
        <v>335</v>
      </c>
      <c r="H18" s="253" t="s">
        <v>335</v>
      </c>
      <c r="I18" s="253" t="s">
        <v>335</v>
      </c>
      <c r="J18" s="253" t="s">
        <v>335</v>
      </c>
      <c r="K18" s="253" t="s">
        <v>335</v>
      </c>
      <c r="L18" s="253" t="s">
        <v>16</v>
      </c>
      <c r="M18" s="250"/>
      <c r="N18" s="380" t="s">
        <v>66</v>
      </c>
      <c r="O18" s="380" t="s">
        <v>359</v>
      </c>
      <c r="P18" s="381" t="s">
        <v>448</v>
      </c>
      <c r="Q18" s="381" t="s">
        <v>449</v>
      </c>
      <c r="R18" s="381" t="s">
        <v>450</v>
      </c>
      <c r="S18" s="381" t="s">
        <v>182</v>
      </c>
      <c r="T18" s="381" t="s">
        <v>451</v>
      </c>
      <c r="U18" s="381" t="s">
        <v>182</v>
      </c>
      <c r="V18" s="386">
        <v>1930</v>
      </c>
      <c r="W18" s="282"/>
      <c r="X18" s="370">
        <v>15</v>
      </c>
      <c r="Y18" s="277" t="s">
        <v>25</v>
      </c>
      <c r="Z18" s="277">
        <v>1518418</v>
      </c>
      <c r="AA18" s="277" t="s">
        <v>599</v>
      </c>
      <c r="AB18" s="277" t="s">
        <v>426</v>
      </c>
    </row>
    <row r="19" spans="3:28" x14ac:dyDescent="0.25">
      <c r="C19" t="s">
        <v>15</v>
      </c>
      <c r="D19" s="293" t="s">
        <v>583</v>
      </c>
      <c r="E19" s="312" t="s">
        <v>42</v>
      </c>
      <c r="F19" s="253" t="s">
        <v>342</v>
      </c>
      <c r="G19" s="253" t="s">
        <v>342</v>
      </c>
      <c r="H19" s="253" t="s">
        <v>342</v>
      </c>
      <c r="I19" s="253" t="s">
        <v>342</v>
      </c>
      <c r="J19" s="253" t="s">
        <v>16</v>
      </c>
      <c r="K19" s="253" t="s">
        <v>16</v>
      </c>
      <c r="L19" s="253" t="s">
        <v>342</v>
      </c>
      <c r="M19" s="250"/>
      <c r="N19" s="384" t="s">
        <v>52</v>
      </c>
      <c r="O19" s="382" t="s">
        <v>402</v>
      </c>
      <c r="P19" s="385" t="s">
        <v>485</v>
      </c>
      <c r="Q19" s="381" t="s">
        <v>455</v>
      </c>
      <c r="R19" s="381" t="s">
        <v>456</v>
      </c>
      <c r="S19" s="381" t="s">
        <v>457</v>
      </c>
      <c r="T19" s="381" t="s">
        <v>489</v>
      </c>
      <c r="U19" s="381" t="s">
        <v>182</v>
      </c>
      <c r="V19" s="386">
        <v>2100</v>
      </c>
      <c r="W19" s="282"/>
      <c r="X19" s="370">
        <v>16</v>
      </c>
      <c r="Y19" s="277" t="s">
        <v>49</v>
      </c>
      <c r="Z19" s="277">
        <v>1535620</v>
      </c>
      <c r="AA19" s="277" t="s">
        <v>596</v>
      </c>
      <c r="AB19" s="277" t="s">
        <v>350</v>
      </c>
    </row>
    <row r="20" spans="3:28" x14ac:dyDescent="0.25">
      <c r="C20" t="s">
        <v>15</v>
      </c>
      <c r="D20" s="293" t="s">
        <v>232</v>
      </c>
      <c r="E20" s="312" t="s">
        <v>42</v>
      </c>
      <c r="F20" s="253" t="s">
        <v>16</v>
      </c>
      <c r="G20" s="253" t="s">
        <v>345</v>
      </c>
      <c r="H20" s="253" t="s">
        <v>345</v>
      </c>
      <c r="I20" s="253" t="s">
        <v>345</v>
      </c>
      <c r="J20" s="253" t="s">
        <v>345</v>
      </c>
      <c r="K20" s="253" t="s">
        <v>345</v>
      </c>
      <c r="L20" s="253" t="s">
        <v>16</v>
      </c>
      <c r="M20" s="250"/>
      <c r="N20" s="380" t="s">
        <v>33</v>
      </c>
      <c r="O20" s="380" t="s">
        <v>375</v>
      </c>
      <c r="P20" s="383" t="s">
        <v>448</v>
      </c>
      <c r="Q20" s="381" t="s">
        <v>459</v>
      </c>
      <c r="R20" s="381" t="s">
        <v>460</v>
      </c>
      <c r="S20" s="381" t="s">
        <v>457</v>
      </c>
      <c r="T20" s="381" t="s">
        <v>484</v>
      </c>
      <c r="U20" s="381" t="s">
        <v>183</v>
      </c>
      <c r="V20" s="386">
        <v>1030</v>
      </c>
      <c r="W20" s="282"/>
      <c r="X20" s="370">
        <v>19</v>
      </c>
      <c r="Y20" s="277" t="s">
        <v>33</v>
      </c>
      <c r="Z20" s="277">
        <v>1513264</v>
      </c>
      <c r="AA20" s="277" t="s">
        <v>413</v>
      </c>
      <c r="AB20" s="277" t="s">
        <v>375</v>
      </c>
    </row>
    <row r="21" spans="3:28" x14ac:dyDescent="0.25">
      <c r="C21" t="s">
        <v>15</v>
      </c>
      <c r="D21" s="292" t="s">
        <v>227</v>
      </c>
      <c r="E21" s="312" t="s">
        <v>42</v>
      </c>
      <c r="F21" s="254" t="s">
        <v>16</v>
      </c>
      <c r="G21" s="279" t="s">
        <v>340</v>
      </c>
      <c r="H21" s="279" t="s">
        <v>340</v>
      </c>
      <c r="I21" s="279" t="s">
        <v>340</v>
      </c>
      <c r="J21" s="279" t="s">
        <v>340</v>
      </c>
      <c r="K21" s="279" t="s">
        <v>16</v>
      </c>
      <c r="L21" s="279" t="s">
        <v>16</v>
      </c>
      <c r="M21" s="250"/>
      <c r="N21" s="384" t="s">
        <v>51</v>
      </c>
      <c r="O21" s="382" t="s">
        <v>328</v>
      </c>
      <c r="P21" s="385" t="s">
        <v>448</v>
      </c>
      <c r="Q21" s="381" t="s">
        <v>464</v>
      </c>
      <c r="R21" s="381" t="s">
        <v>465</v>
      </c>
      <c r="S21" s="381" t="s">
        <v>183</v>
      </c>
      <c r="T21" s="381" t="s">
        <v>473</v>
      </c>
      <c r="U21" s="381" t="s">
        <v>183</v>
      </c>
      <c r="V21" s="386">
        <v>1400</v>
      </c>
      <c r="W21" s="282"/>
      <c r="X21" s="370">
        <v>17</v>
      </c>
      <c r="Y21" s="277" t="s">
        <v>46</v>
      </c>
      <c r="Z21" s="277">
        <v>6033691</v>
      </c>
      <c r="AA21" s="277" t="s">
        <v>594</v>
      </c>
      <c r="AB21" s="277" t="s">
        <v>329</v>
      </c>
    </row>
    <row r="22" spans="3:28" x14ac:dyDescent="0.25">
      <c r="C22" t="s">
        <v>15</v>
      </c>
      <c r="D22" s="293" t="s">
        <v>230</v>
      </c>
      <c r="E22" s="312" t="s">
        <v>42</v>
      </c>
      <c r="F22" s="253" t="s">
        <v>344</v>
      </c>
      <c r="G22" s="253" t="s">
        <v>344</v>
      </c>
      <c r="H22" s="253" t="s">
        <v>344</v>
      </c>
      <c r="I22" s="253" t="s">
        <v>344</v>
      </c>
      <c r="J22" s="253" t="s">
        <v>344</v>
      </c>
      <c r="K22" s="253" t="s">
        <v>16</v>
      </c>
      <c r="L22" s="253" t="s">
        <v>16</v>
      </c>
      <c r="M22" s="250"/>
      <c r="N22" s="382" t="s">
        <v>59</v>
      </c>
      <c r="O22" s="382" t="s">
        <v>346</v>
      </c>
      <c r="P22" s="381" t="s">
        <v>454</v>
      </c>
      <c r="Q22" s="381" t="s">
        <v>455</v>
      </c>
      <c r="R22" s="381" t="s">
        <v>456</v>
      </c>
      <c r="S22" s="381" t="s">
        <v>457</v>
      </c>
      <c r="T22" s="381" t="s">
        <v>458</v>
      </c>
      <c r="U22" s="381" t="s">
        <v>183</v>
      </c>
      <c r="V22" s="386">
        <v>1800</v>
      </c>
      <c r="W22" s="282"/>
      <c r="X22" s="370">
        <v>17</v>
      </c>
      <c r="Y22" s="277" t="s">
        <v>53</v>
      </c>
      <c r="Z22" s="277">
        <v>6111361</v>
      </c>
      <c r="AA22" s="277" t="s">
        <v>412</v>
      </c>
      <c r="AB22" s="277" t="s">
        <v>352</v>
      </c>
    </row>
    <row r="23" spans="3:28" x14ac:dyDescent="0.25">
      <c r="C23" t="s">
        <v>15</v>
      </c>
      <c r="D23" s="293" t="s">
        <v>34</v>
      </c>
      <c r="E23" s="312" t="s">
        <v>42</v>
      </c>
      <c r="F23" s="253" t="s">
        <v>337</v>
      </c>
      <c r="G23" s="253" t="s">
        <v>337</v>
      </c>
      <c r="H23" s="253" t="s">
        <v>337</v>
      </c>
      <c r="I23" s="253" t="s">
        <v>337</v>
      </c>
      <c r="J23" s="253" t="s">
        <v>337</v>
      </c>
      <c r="K23" s="253" t="s">
        <v>16</v>
      </c>
      <c r="L23" s="253" t="s">
        <v>16</v>
      </c>
      <c r="M23" s="250"/>
      <c r="N23" s="380" t="s">
        <v>39</v>
      </c>
      <c r="O23" s="380" t="s">
        <v>376</v>
      </c>
      <c r="P23" s="383" t="s">
        <v>474</v>
      </c>
      <c r="Q23" s="381" t="s">
        <v>464</v>
      </c>
      <c r="R23" s="381" t="s">
        <v>465</v>
      </c>
      <c r="S23" s="381" t="s">
        <v>478</v>
      </c>
      <c r="T23" s="381" t="s">
        <v>494</v>
      </c>
      <c r="U23" s="381" t="s">
        <v>186</v>
      </c>
      <c r="V23" s="386">
        <v>1100</v>
      </c>
      <c r="W23" s="282"/>
      <c r="X23" s="370">
        <v>14</v>
      </c>
      <c r="Y23" s="277" t="s">
        <v>39</v>
      </c>
      <c r="Z23" s="277">
        <v>1519152</v>
      </c>
      <c r="AA23" s="277" t="s">
        <v>411</v>
      </c>
      <c r="AB23" s="277" t="s">
        <v>337</v>
      </c>
    </row>
    <row r="24" spans="3:28" x14ac:dyDescent="0.25">
      <c r="C24" t="s">
        <v>15</v>
      </c>
      <c r="D24" s="293" t="s">
        <v>236</v>
      </c>
      <c r="E24" s="312" t="s">
        <v>42</v>
      </c>
      <c r="F24" s="253" t="s">
        <v>336</v>
      </c>
      <c r="G24" s="253" t="s">
        <v>336</v>
      </c>
      <c r="H24" s="253" t="s">
        <v>336</v>
      </c>
      <c r="I24" s="253" t="s">
        <v>336</v>
      </c>
      <c r="J24" s="253" t="s">
        <v>336</v>
      </c>
      <c r="K24" s="253" t="s">
        <v>16</v>
      </c>
      <c r="L24" s="253" t="s">
        <v>16</v>
      </c>
      <c r="M24" s="250"/>
      <c r="N24" s="384" t="s">
        <v>23</v>
      </c>
      <c r="O24" s="380" t="s">
        <v>359</v>
      </c>
      <c r="P24" s="385" t="s">
        <v>474</v>
      </c>
      <c r="Q24" s="381" t="s">
        <v>464</v>
      </c>
      <c r="R24" s="381" t="s">
        <v>465</v>
      </c>
      <c r="S24" s="381" t="s">
        <v>475</v>
      </c>
      <c r="T24" s="381" t="s">
        <v>476</v>
      </c>
      <c r="U24" s="381" t="s">
        <v>186</v>
      </c>
      <c r="V24" s="386">
        <v>1500</v>
      </c>
      <c r="W24" s="282"/>
      <c r="X24" s="370">
        <v>18</v>
      </c>
      <c r="Y24" s="277" t="s">
        <v>70</v>
      </c>
      <c r="Z24" s="277">
        <v>6120596</v>
      </c>
      <c r="AA24" s="277" t="s">
        <v>434</v>
      </c>
      <c r="AB24" s="277" t="s">
        <v>350</v>
      </c>
    </row>
    <row r="25" spans="3:28" x14ac:dyDescent="0.25">
      <c r="C25" t="s">
        <v>15</v>
      </c>
      <c r="D25" s="293" t="s">
        <v>238</v>
      </c>
      <c r="E25" s="312" t="s">
        <v>42</v>
      </c>
      <c r="F25" s="253" t="s">
        <v>342</v>
      </c>
      <c r="G25" s="253" t="s">
        <v>342</v>
      </c>
      <c r="H25" s="253" t="s">
        <v>342</v>
      </c>
      <c r="I25" s="253" t="s">
        <v>342</v>
      </c>
      <c r="J25" s="253" t="s">
        <v>342</v>
      </c>
      <c r="K25" s="253" t="s">
        <v>16</v>
      </c>
      <c r="L25" s="253" t="s">
        <v>16</v>
      </c>
      <c r="M25" s="250"/>
      <c r="N25" s="380" t="s">
        <v>45</v>
      </c>
      <c r="O25" s="380" t="s">
        <v>401</v>
      </c>
      <c r="P25" s="383" t="s">
        <v>477</v>
      </c>
      <c r="Q25" s="381" t="s">
        <v>449</v>
      </c>
      <c r="R25" s="381" t="s">
        <v>450</v>
      </c>
      <c r="S25" s="381" t="s">
        <v>478</v>
      </c>
      <c r="T25" s="381" t="s">
        <v>479</v>
      </c>
      <c r="U25" s="381" t="s">
        <v>186</v>
      </c>
      <c r="V25" s="386">
        <v>1800</v>
      </c>
      <c r="W25" s="282"/>
      <c r="X25" s="370">
        <v>21</v>
      </c>
      <c r="Y25" s="277" t="s">
        <v>52</v>
      </c>
      <c r="Z25" s="277">
        <v>1536410</v>
      </c>
      <c r="AA25" s="277" t="s">
        <v>597</v>
      </c>
      <c r="AB25" s="277" t="s">
        <v>331</v>
      </c>
    </row>
    <row r="26" spans="3:28" x14ac:dyDescent="0.25">
      <c r="C26" t="s">
        <v>15</v>
      </c>
      <c r="D26" s="298" t="s">
        <v>235</v>
      </c>
      <c r="E26" s="312" t="s">
        <v>42</v>
      </c>
      <c r="F26" s="253" t="s">
        <v>330</v>
      </c>
      <c r="G26" s="253" t="s">
        <v>330</v>
      </c>
      <c r="H26" s="253" t="s">
        <v>330</v>
      </c>
      <c r="I26" s="297" t="s">
        <v>330</v>
      </c>
      <c r="J26" s="297" t="s">
        <v>330</v>
      </c>
      <c r="K26" s="297" t="s">
        <v>16</v>
      </c>
      <c r="L26" s="297" t="s">
        <v>16</v>
      </c>
      <c r="M26" s="251"/>
      <c r="N26" s="251"/>
      <c r="O26" s="295"/>
      <c r="P26" s="296"/>
      <c r="Q26" s="282"/>
      <c r="R26" s="282"/>
      <c r="S26" s="282"/>
      <c r="T26" s="282"/>
      <c r="U26" s="282"/>
      <c r="V26" s="282"/>
      <c r="W26" s="282"/>
      <c r="X26" s="282"/>
    </row>
    <row r="27" spans="3:28" x14ac:dyDescent="0.25">
      <c r="C27" t="s">
        <v>15</v>
      </c>
      <c r="D27" s="293" t="s">
        <v>50</v>
      </c>
      <c r="E27" s="312" t="s">
        <v>42</v>
      </c>
      <c r="F27" s="253" t="s">
        <v>334</v>
      </c>
      <c r="G27" s="253" t="s">
        <v>334</v>
      </c>
      <c r="H27" s="253" t="s">
        <v>334</v>
      </c>
      <c r="I27" s="253" t="s">
        <v>334</v>
      </c>
      <c r="J27" s="253" t="s">
        <v>16</v>
      </c>
      <c r="K27" s="253" t="s">
        <v>16</v>
      </c>
      <c r="L27" s="253" t="s">
        <v>16</v>
      </c>
      <c r="M27" s="251"/>
      <c r="N27" s="252"/>
      <c r="O27" s="252"/>
      <c r="P27" s="252"/>
      <c r="Q27" s="252"/>
      <c r="R27" s="252"/>
      <c r="S27" s="252"/>
      <c r="T27" s="252"/>
      <c r="U27" s="252"/>
      <c r="V27" s="252"/>
    </row>
    <row r="28" spans="3:28" x14ac:dyDescent="0.25">
      <c r="C28" t="s">
        <v>15</v>
      </c>
      <c r="D28" s="449" t="s">
        <v>584</v>
      </c>
      <c r="E28" s="312" t="s">
        <v>42</v>
      </c>
      <c r="F28" s="253" t="s">
        <v>585</v>
      </c>
      <c r="G28" s="253" t="s">
        <v>585</v>
      </c>
      <c r="H28" s="253" t="s">
        <v>16</v>
      </c>
      <c r="I28" s="253" t="s">
        <v>16</v>
      </c>
      <c r="J28" s="253" t="s">
        <v>585</v>
      </c>
      <c r="K28" s="253" t="s">
        <v>585</v>
      </c>
      <c r="L28" s="253" t="s">
        <v>585</v>
      </c>
      <c r="M28" s="251"/>
      <c r="N28" s="314" t="s">
        <v>249</v>
      </c>
      <c r="O28" s="252" t="s">
        <v>406</v>
      </c>
      <c r="P28" s="252"/>
      <c r="Q28" s="252"/>
      <c r="R28" s="252"/>
      <c r="S28" s="252"/>
      <c r="T28" s="252"/>
      <c r="U28" s="252"/>
      <c r="V28" s="252"/>
    </row>
    <row r="29" spans="3:28" x14ac:dyDescent="0.25">
      <c r="C29" t="s">
        <v>13</v>
      </c>
      <c r="D29" s="313" t="s">
        <v>25</v>
      </c>
      <c r="E29" s="314" t="s">
        <v>249</v>
      </c>
      <c r="F29" s="255" t="s">
        <v>354</v>
      </c>
      <c r="G29" s="255" t="s">
        <v>354</v>
      </c>
      <c r="H29" s="255" t="s">
        <v>16</v>
      </c>
      <c r="I29" s="255" t="s">
        <v>16</v>
      </c>
      <c r="J29" s="315" t="s">
        <v>354</v>
      </c>
      <c r="K29" s="255" t="s">
        <v>354</v>
      </c>
      <c r="L29" s="255" t="s">
        <v>354</v>
      </c>
      <c r="M29" s="252"/>
      <c r="N29" s="317" t="s">
        <v>65</v>
      </c>
      <c r="O29" s="252" t="s">
        <v>407</v>
      </c>
    </row>
    <row r="30" spans="3:28" x14ac:dyDescent="0.25">
      <c r="C30" t="s">
        <v>13</v>
      </c>
      <c r="D30" s="313" t="s">
        <v>51</v>
      </c>
      <c r="E30" s="314" t="s">
        <v>249</v>
      </c>
      <c r="F30" s="255" t="s">
        <v>328</v>
      </c>
      <c r="G30" s="255" t="s">
        <v>16</v>
      </c>
      <c r="H30" s="255" t="s">
        <v>16</v>
      </c>
      <c r="I30" s="255" t="s">
        <v>328</v>
      </c>
      <c r="J30" s="315" t="s">
        <v>328</v>
      </c>
      <c r="K30" s="255" t="s">
        <v>328</v>
      </c>
      <c r="L30" s="255" t="s">
        <v>328</v>
      </c>
      <c r="M30" s="252"/>
      <c r="N30" s="321" t="s">
        <v>42</v>
      </c>
      <c r="O30" t="s">
        <v>408</v>
      </c>
    </row>
    <row r="31" spans="3:28" x14ac:dyDescent="0.25">
      <c r="C31" t="s">
        <v>13</v>
      </c>
      <c r="D31" s="313" t="s">
        <v>23</v>
      </c>
      <c r="E31" s="314" t="s">
        <v>249</v>
      </c>
      <c r="F31" s="255" t="s">
        <v>359</v>
      </c>
      <c r="G31" s="255" t="s">
        <v>359</v>
      </c>
      <c r="H31" s="255" t="s">
        <v>359</v>
      </c>
      <c r="I31" s="256" t="s">
        <v>359</v>
      </c>
      <c r="J31" s="315" t="s">
        <v>359</v>
      </c>
      <c r="K31" s="255" t="s">
        <v>16</v>
      </c>
      <c r="L31" s="255" t="s">
        <v>16</v>
      </c>
      <c r="N31" s="325" t="s">
        <v>35</v>
      </c>
      <c r="O31" t="s">
        <v>409</v>
      </c>
    </row>
    <row r="32" spans="3:28" x14ac:dyDescent="0.25">
      <c r="C32" t="s">
        <v>13</v>
      </c>
      <c r="D32" s="313" t="s">
        <v>39</v>
      </c>
      <c r="E32" s="314" t="s">
        <v>249</v>
      </c>
      <c r="F32" s="255" t="s">
        <v>376</v>
      </c>
      <c r="G32" s="255" t="s">
        <v>376</v>
      </c>
      <c r="H32" s="255" t="s">
        <v>376</v>
      </c>
      <c r="I32" s="255" t="s">
        <v>376</v>
      </c>
      <c r="J32" s="315" t="s">
        <v>376</v>
      </c>
      <c r="K32" s="255" t="s">
        <v>16</v>
      </c>
      <c r="L32" s="255" t="s">
        <v>16</v>
      </c>
    </row>
    <row r="33" spans="3:12" x14ac:dyDescent="0.25">
      <c r="C33" t="s">
        <v>13</v>
      </c>
      <c r="D33" s="313" t="s">
        <v>57</v>
      </c>
      <c r="E33" s="314" t="s">
        <v>249</v>
      </c>
      <c r="F33" s="255" t="s">
        <v>16</v>
      </c>
      <c r="G33" s="255" t="s">
        <v>346</v>
      </c>
      <c r="H33" s="255" t="s">
        <v>16</v>
      </c>
      <c r="I33" s="256" t="s">
        <v>346</v>
      </c>
      <c r="J33" s="315" t="s">
        <v>346</v>
      </c>
      <c r="K33" s="255" t="s">
        <v>346</v>
      </c>
      <c r="L33" s="255" t="s">
        <v>346</v>
      </c>
    </row>
    <row r="34" spans="3:12" x14ac:dyDescent="0.25">
      <c r="C34" t="s">
        <v>13</v>
      </c>
      <c r="D34" s="313" t="s">
        <v>20</v>
      </c>
      <c r="E34" s="314" t="s">
        <v>249</v>
      </c>
      <c r="F34" s="255" t="s">
        <v>357</v>
      </c>
      <c r="G34" s="255" t="s">
        <v>16</v>
      </c>
      <c r="H34" s="255" t="s">
        <v>16</v>
      </c>
      <c r="I34" s="255" t="s">
        <v>357</v>
      </c>
      <c r="J34" s="315" t="s">
        <v>357</v>
      </c>
      <c r="K34" s="256" t="s">
        <v>357</v>
      </c>
      <c r="L34" s="256" t="s">
        <v>357</v>
      </c>
    </row>
    <row r="35" spans="3:12" x14ac:dyDescent="0.25">
      <c r="C35" t="s">
        <v>13</v>
      </c>
      <c r="D35" s="316" t="s">
        <v>63</v>
      </c>
      <c r="E35" s="317" t="s">
        <v>65</v>
      </c>
      <c r="F35" s="255" t="s">
        <v>349</v>
      </c>
      <c r="G35" s="255" t="s">
        <v>16</v>
      </c>
      <c r="H35" s="255" t="s">
        <v>16</v>
      </c>
      <c r="I35" s="255" t="s">
        <v>349</v>
      </c>
      <c r="J35" s="255" t="s">
        <v>349</v>
      </c>
      <c r="K35" s="318" t="s">
        <v>349</v>
      </c>
      <c r="L35" s="256" t="s">
        <v>349</v>
      </c>
    </row>
    <row r="36" spans="3:12" x14ac:dyDescent="0.25">
      <c r="C36" t="s">
        <v>13</v>
      </c>
      <c r="D36" s="316" t="s">
        <v>245</v>
      </c>
      <c r="E36" s="317" t="s">
        <v>65</v>
      </c>
      <c r="F36" s="255" t="s">
        <v>401</v>
      </c>
      <c r="G36" s="255" t="s">
        <v>16</v>
      </c>
      <c r="H36" s="255" t="s">
        <v>16</v>
      </c>
      <c r="I36" s="255" t="s">
        <v>16</v>
      </c>
      <c r="J36" s="255" t="s">
        <v>401</v>
      </c>
      <c r="K36" s="318" t="s">
        <v>401</v>
      </c>
      <c r="L36" s="256" t="s">
        <v>401</v>
      </c>
    </row>
    <row r="37" spans="3:12" x14ac:dyDescent="0.25">
      <c r="C37" t="s">
        <v>13</v>
      </c>
      <c r="D37" s="316" t="s">
        <v>71</v>
      </c>
      <c r="E37" s="317" t="s">
        <v>65</v>
      </c>
      <c r="F37" s="255" t="s">
        <v>16</v>
      </c>
      <c r="G37" s="255" t="s">
        <v>16</v>
      </c>
      <c r="H37" s="255" t="s">
        <v>347</v>
      </c>
      <c r="I37" s="256" t="s">
        <v>347</v>
      </c>
      <c r="J37" s="255" t="s">
        <v>347</v>
      </c>
      <c r="K37" s="319" t="s">
        <v>347</v>
      </c>
      <c r="L37" s="255" t="s">
        <v>347</v>
      </c>
    </row>
    <row r="38" spans="3:12" x14ac:dyDescent="0.25">
      <c r="C38" t="s">
        <v>13</v>
      </c>
      <c r="D38" s="316" t="s">
        <v>53</v>
      </c>
      <c r="E38" s="317" t="s">
        <v>65</v>
      </c>
      <c r="F38" s="255" t="s">
        <v>352</v>
      </c>
      <c r="G38" s="255" t="s">
        <v>352</v>
      </c>
      <c r="H38" s="255" t="s">
        <v>16</v>
      </c>
      <c r="I38" s="255" t="s">
        <v>352</v>
      </c>
      <c r="J38" s="255" t="s">
        <v>352</v>
      </c>
      <c r="K38" s="319" t="s">
        <v>352</v>
      </c>
      <c r="L38" s="255" t="s">
        <v>16</v>
      </c>
    </row>
    <row r="39" spans="3:12" x14ac:dyDescent="0.25">
      <c r="C39" t="s">
        <v>13</v>
      </c>
      <c r="D39" s="317" t="s">
        <v>52</v>
      </c>
      <c r="E39" s="317" t="s">
        <v>65</v>
      </c>
      <c r="F39" s="255" t="s">
        <v>16</v>
      </c>
      <c r="G39" s="255" t="s">
        <v>16</v>
      </c>
      <c r="H39" s="255" t="s">
        <v>402</v>
      </c>
      <c r="I39" s="255" t="s">
        <v>402</v>
      </c>
      <c r="J39" s="255" t="s">
        <v>402</v>
      </c>
      <c r="K39" s="319" t="s">
        <v>402</v>
      </c>
      <c r="L39" s="255" t="s">
        <v>402</v>
      </c>
    </row>
    <row r="40" spans="3:12" x14ac:dyDescent="0.25">
      <c r="C40" t="s">
        <v>13</v>
      </c>
      <c r="D40" s="316" t="s">
        <v>59</v>
      </c>
      <c r="E40" s="317" t="s">
        <v>65</v>
      </c>
      <c r="F40" s="255" t="s">
        <v>346</v>
      </c>
      <c r="G40" s="255" t="s">
        <v>346</v>
      </c>
      <c r="H40" s="255" t="s">
        <v>16</v>
      </c>
      <c r="I40" s="256" t="s">
        <v>16</v>
      </c>
      <c r="J40" s="255" t="s">
        <v>346</v>
      </c>
      <c r="K40" s="319" t="s">
        <v>346</v>
      </c>
      <c r="L40" s="255" t="s">
        <v>346</v>
      </c>
    </row>
    <row r="41" spans="3:12" x14ac:dyDescent="0.25">
      <c r="C41" t="s">
        <v>13</v>
      </c>
      <c r="D41" s="320" t="s">
        <v>70</v>
      </c>
      <c r="E41" s="321" t="s">
        <v>42</v>
      </c>
      <c r="F41" s="255" t="s">
        <v>16</v>
      </c>
      <c r="G41" s="255" t="s">
        <v>16</v>
      </c>
      <c r="H41" s="255" t="s">
        <v>374</v>
      </c>
      <c r="I41" s="322" t="s">
        <v>374</v>
      </c>
      <c r="J41" s="255" t="s">
        <v>374</v>
      </c>
      <c r="K41" s="256" t="s">
        <v>374</v>
      </c>
      <c r="L41" s="256" t="s">
        <v>374</v>
      </c>
    </row>
    <row r="42" spans="3:12" x14ac:dyDescent="0.25">
      <c r="C42" t="s">
        <v>13</v>
      </c>
      <c r="D42" s="320" t="s">
        <v>32</v>
      </c>
      <c r="E42" s="321" t="s">
        <v>42</v>
      </c>
      <c r="F42" s="255" t="s">
        <v>354</v>
      </c>
      <c r="G42" s="255" t="s">
        <v>354</v>
      </c>
      <c r="H42" s="255" t="s">
        <v>354</v>
      </c>
      <c r="I42" s="323" t="s">
        <v>354</v>
      </c>
      <c r="J42" s="255" t="s">
        <v>16</v>
      </c>
      <c r="K42" s="255" t="s">
        <v>16</v>
      </c>
      <c r="L42" s="255" t="s">
        <v>354</v>
      </c>
    </row>
    <row r="43" spans="3:12" x14ac:dyDescent="0.25">
      <c r="C43" t="s">
        <v>13</v>
      </c>
      <c r="D43" s="320" t="s">
        <v>49</v>
      </c>
      <c r="E43" s="321" t="s">
        <v>42</v>
      </c>
      <c r="F43" s="255" t="s">
        <v>346</v>
      </c>
      <c r="G43" s="255" t="s">
        <v>346</v>
      </c>
      <c r="H43" s="255" t="s">
        <v>346</v>
      </c>
      <c r="I43" s="323" t="s">
        <v>346</v>
      </c>
      <c r="J43" s="255" t="s">
        <v>16</v>
      </c>
      <c r="K43" s="255" t="s">
        <v>16</v>
      </c>
      <c r="L43" s="255" t="s">
        <v>346</v>
      </c>
    </row>
    <row r="44" spans="3:12" x14ac:dyDescent="0.25">
      <c r="C44" t="s">
        <v>13</v>
      </c>
      <c r="D44" s="320" t="s">
        <v>45</v>
      </c>
      <c r="E44" s="321" t="s">
        <v>42</v>
      </c>
      <c r="F44" s="255" t="s">
        <v>16</v>
      </c>
      <c r="G44" s="255" t="s">
        <v>401</v>
      </c>
      <c r="H44" s="255" t="s">
        <v>401</v>
      </c>
      <c r="I44" s="323" t="s">
        <v>401</v>
      </c>
      <c r="J44" s="255" t="s">
        <v>401</v>
      </c>
      <c r="K44" s="255" t="s">
        <v>16</v>
      </c>
      <c r="L44" s="255" t="s">
        <v>16</v>
      </c>
    </row>
    <row r="45" spans="3:12" x14ac:dyDescent="0.25">
      <c r="C45" t="s">
        <v>13</v>
      </c>
      <c r="D45" s="320" t="s">
        <v>66</v>
      </c>
      <c r="E45" s="321" t="s">
        <v>42</v>
      </c>
      <c r="F45" s="255" t="s">
        <v>359</v>
      </c>
      <c r="G45" s="255" t="s">
        <v>16</v>
      </c>
      <c r="H45" s="255" t="s">
        <v>16</v>
      </c>
      <c r="I45" s="323" t="s">
        <v>359</v>
      </c>
      <c r="J45" s="255" t="s">
        <v>359</v>
      </c>
      <c r="K45" s="255" t="s">
        <v>359</v>
      </c>
      <c r="L45" s="255" t="s">
        <v>359</v>
      </c>
    </row>
    <row r="46" spans="3:12" x14ac:dyDescent="0.25">
      <c r="C46" t="s">
        <v>13</v>
      </c>
      <c r="D46" s="324" t="s">
        <v>27</v>
      </c>
      <c r="E46" s="325" t="s">
        <v>35</v>
      </c>
      <c r="F46" s="255" t="s">
        <v>353</v>
      </c>
      <c r="G46" s="255" t="s">
        <v>16</v>
      </c>
      <c r="H46" s="255" t="s">
        <v>16</v>
      </c>
      <c r="I46" s="326" t="s">
        <v>353</v>
      </c>
      <c r="J46" s="255" t="s">
        <v>353</v>
      </c>
      <c r="K46" s="255" t="s">
        <v>353</v>
      </c>
      <c r="L46" s="255" t="s">
        <v>353</v>
      </c>
    </row>
    <row r="47" spans="3:12" x14ac:dyDescent="0.25">
      <c r="C47" t="s">
        <v>13</v>
      </c>
      <c r="D47" s="324" t="s">
        <v>46</v>
      </c>
      <c r="E47" s="325" t="s">
        <v>35</v>
      </c>
      <c r="F47" s="255" t="s">
        <v>16</v>
      </c>
      <c r="G47" s="255" t="s">
        <v>16</v>
      </c>
      <c r="H47" s="255" t="s">
        <v>354</v>
      </c>
      <c r="I47" s="327" t="s">
        <v>354</v>
      </c>
      <c r="J47" s="255" t="s">
        <v>354</v>
      </c>
      <c r="K47" s="256" t="s">
        <v>354</v>
      </c>
      <c r="L47" s="256" t="s">
        <v>354</v>
      </c>
    </row>
    <row r="48" spans="3:12" x14ac:dyDescent="0.25">
      <c r="C48" t="s">
        <v>13</v>
      </c>
      <c r="D48" s="324" t="s">
        <v>369</v>
      </c>
      <c r="E48" s="325" t="s">
        <v>35</v>
      </c>
      <c r="F48" s="255" t="s">
        <v>357</v>
      </c>
      <c r="G48" s="255" t="s">
        <v>357</v>
      </c>
      <c r="H48" s="255" t="s">
        <v>357</v>
      </c>
      <c r="I48" s="327" t="s">
        <v>357</v>
      </c>
      <c r="J48" s="255" t="s">
        <v>16</v>
      </c>
      <c r="K48" s="255" t="s">
        <v>16</v>
      </c>
      <c r="L48" s="255" t="s">
        <v>357</v>
      </c>
    </row>
    <row r="49" spans="3:12" x14ac:dyDescent="0.25">
      <c r="C49" t="s">
        <v>13</v>
      </c>
      <c r="D49" s="324" t="s">
        <v>33</v>
      </c>
      <c r="E49" s="325" t="s">
        <v>35</v>
      </c>
      <c r="F49" s="255" t="s">
        <v>375</v>
      </c>
      <c r="G49" s="255" t="s">
        <v>16</v>
      </c>
      <c r="H49" s="255" t="s">
        <v>16</v>
      </c>
      <c r="I49" s="327" t="s">
        <v>375</v>
      </c>
      <c r="J49" s="255" t="s">
        <v>375</v>
      </c>
      <c r="K49" s="255" t="s">
        <v>375</v>
      </c>
      <c r="L49" s="255" t="s">
        <v>375</v>
      </c>
    </row>
    <row r="50" spans="3:12" x14ac:dyDescent="0.25">
      <c r="C50" t="s">
        <v>13</v>
      </c>
      <c r="D50" s="328" t="s">
        <v>31</v>
      </c>
      <c r="E50" s="325" t="s">
        <v>35</v>
      </c>
      <c r="F50" s="311" t="s">
        <v>375</v>
      </c>
      <c r="G50" s="311" t="s">
        <v>375</v>
      </c>
      <c r="H50" s="311" t="s">
        <v>16</v>
      </c>
      <c r="I50" s="329" t="s">
        <v>375</v>
      </c>
      <c r="J50" s="311" t="s">
        <v>375</v>
      </c>
      <c r="K50" s="294" t="s">
        <v>375</v>
      </c>
      <c r="L50" s="294" t="s">
        <v>16</v>
      </c>
    </row>
  </sheetData>
  <sheetProtection autoFilter="0"/>
  <autoFilter ref="N3:V25">
    <sortState ref="N4:V25">
      <sortCondition ref="U3:U25"/>
    </sortState>
  </autoFilter>
  <mergeCells count="2">
    <mergeCell ref="D2:L2"/>
    <mergeCell ref="N2:Q2"/>
  </mergeCells>
  <conditionalFormatting sqref="D51:D1048576 D1:D2">
    <cfRule type="duplicateValues" dxfId="109" priority="2"/>
  </conditionalFormatting>
  <conditionalFormatting sqref="D3:D27 D29:D50">
    <cfRule type="duplicateValues" dxfId="0" priority="17430"/>
  </conditionalFormatting>
  <pageMargins left="0.7" right="0.7" top="0.75" bottom="0.75" header="0.3" footer="0.3"/>
  <pageSetup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  <pageSetUpPr fitToPage="1"/>
  </sheetPr>
  <dimension ref="B1:Z466"/>
  <sheetViews>
    <sheetView workbookViewId="0">
      <selection activeCell="D21" sqref="D21"/>
    </sheetView>
  </sheetViews>
  <sheetFormatPr defaultRowHeight="15" x14ac:dyDescent="0.25"/>
  <cols>
    <col min="1" max="1" width="1.7109375" customWidth="1"/>
    <col min="2" max="2" width="10.140625" bestFit="1" customWidth="1"/>
    <col min="3" max="3" width="12.140625" bestFit="1" customWidth="1"/>
    <col min="4" max="4" width="22.42578125" bestFit="1" customWidth="1"/>
    <col min="5" max="5" width="9.140625" bestFit="1" customWidth="1"/>
    <col min="6" max="6" width="11.42578125" bestFit="1" customWidth="1"/>
    <col min="7" max="7" width="9.42578125" bestFit="1" customWidth="1"/>
    <col min="8" max="14" width="10.85546875" bestFit="1" customWidth="1"/>
    <col min="15" max="15" width="17.85546875" bestFit="1" customWidth="1"/>
    <col min="16" max="16" width="18.140625" bestFit="1" customWidth="1"/>
    <col min="17" max="17" width="18.5703125" bestFit="1" customWidth="1"/>
    <col min="18" max="18" width="1.7109375" customWidth="1"/>
    <col min="19" max="19" width="9.85546875" bestFit="1" customWidth="1"/>
    <col min="20" max="20" width="28" bestFit="1" customWidth="1"/>
    <col min="21" max="21" width="23.7109375" bestFit="1" customWidth="1"/>
    <col min="22" max="22" width="21.140625" bestFit="1" customWidth="1"/>
    <col min="23" max="23" width="10.28515625" style="286" bestFit="1" customWidth="1"/>
    <col min="24" max="26" width="11" customWidth="1"/>
  </cols>
  <sheetData>
    <row r="1" spans="2:26" ht="6" customHeight="1" x14ac:dyDescent="0.25"/>
    <row r="2" spans="2:26" x14ac:dyDescent="0.25"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</row>
    <row r="3" spans="2:26" ht="6" customHeight="1" x14ac:dyDescent="0.25"/>
    <row r="4" spans="2:26" x14ac:dyDescent="0.25">
      <c r="B4" t="s">
        <v>0</v>
      </c>
      <c r="C4" t="s">
        <v>1</v>
      </c>
      <c r="D4" t="s">
        <v>2</v>
      </c>
      <c r="E4" t="s">
        <v>3</v>
      </c>
      <c r="F4" t="s">
        <v>4</v>
      </c>
      <c r="G4" t="s">
        <v>5</v>
      </c>
      <c r="H4" t="s">
        <v>6</v>
      </c>
      <c r="I4" t="s">
        <v>7</v>
      </c>
      <c r="J4" t="s">
        <v>8</v>
      </c>
      <c r="K4" t="s">
        <v>9</v>
      </c>
      <c r="L4" t="s">
        <v>10</v>
      </c>
      <c r="M4" t="s">
        <v>11</v>
      </c>
      <c r="N4" t="s">
        <v>12</v>
      </c>
      <c r="O4" t="s">
        <v>13</v>
      </c>
      <c r="P4" t="s">
        <v>14</v>
      </c>
      <c r="Q4" t="s">
        <v>216</v>
      </c>
      <c r="S4" s="2" t="s">
        <v>72</v>
      </c>
      <c r="T4" s="2" t="s">
        <v>219</v>
      </c>
      <c r="U4" s="2" t="s">
        <v>2</v>
      </c>
      <c r="V4" s="2" t="s">
        <v>5</v>
      </c>
      <c r="W4" s="2" t="s">
        <v>85</v>
      </c>
      <c r="X4" s="2" t="s">
        <v>91</v>
      </c>
      <c r="Y4" s="2" t="s">
        <v>74</v>
      </c>
      <c r="Z4" s="2" t="s">
        <v>75</v>
      </c>
    </row>
    <row r="5" spans="2:26" x14ac:dyDescent="0.25">
      <c r="B5">
        <v>1515769</v>
      </c>
      <c r="C5">
        <v>4112888</v>
      </c>
      <c r="D5" t="s">
        <v>19</v>
      </c>
      <c r="E5" s="210">
        <v>40000</v>
      </c>
      <c r="F5" s="210" t="s">
        <v>273</v>
      </c>
      <c r="G5" t="s">
        <v>384</v>
      </c>
      <c r="H5" t="s">
        <v>16</v>
      </c>
      <c r="I5" t="s">
        <v>326</v>
      </c>
      <c r="J5" t="s">
        <v>326</v>
      </c>
      <c r="K5" t="s">
        <v>326</v>
      </c>
      <c r="L5" t="s">
        <v>326</v>
      </c>
      <c r="M5" t="s">
        <v>326</v>
      </c>
      <c r="N5" t="s">
        <v>16</v>
      </c>
      <c r="O5" t="s">
        <v>64</v>
      </c>
      <c r="P5" s="288" t="s">
        <v>42</v>
      </c>
      <c r="Q5">
        <f>COUNTIFS(Schedules[Employee Name],TeamList[[#This Row],[Employee Name]])</f>
        <v>7</v>
      </c>
      <c r="S5" s="1">
        <v>1517097</v>
      </c>
      <c r="T5" s="146" t="str">
        <f>Schedules[[#This Row],[Employee Name]]&amp;Schedules[[#This Row],[DOW]]</f>
        <v>Zornick, DavidWed</v>
      </c>
      <c r="U5" s="4" t="str">
        <f>IFERROR(VLOOKUP(Schedules[[#This Row],[EE ID]],TeamList[],MATCH(Schedules[[#Headers],[Employee Name]],TeamList[#Headers],0),0),"_NO MATCH")</f>
        <v>Zornick, David</v>
      </c>
      <c r="V5" s="4" t="str">
        <f>IFERROR(VLOOKUP(Schedules[[#This Row],[EE ID]],TeamList[],MATCH(Schedules[[#Headers],[Dept]],TeamList[#Headers],0),0),"_NO MATCH")</f>
        <v>Sup, Customer Service</v>
      </c>
      <c r="W5" s="286" t="s">
        <v>9</v>
      </c>
      <c r="X5" s="4" t="str">
        <f>IFERROR(IF(VLOOKUP(Schedules[[#This Row],[EE ID]],TeamList[],MATCH(Schedules[[#This Row],[DOW]],TeamList[#Headers],0),0)="OFF","OFF","SCH"),"_NO MATCH")</f>
        <v>SCH</v>
      </c>
      <c r="Y5" s="4" t="str">
        <f>IFERROR(IF(Schedules[[#This Row],[Scheduled]]="OFF","",LEFT(VLOOKUP(Schedules[[#This Row],[EE ID]],TeamList[],MATCH(Schedules[[#This Row],[DOW]],TeamList[#Headers],0),0),4)),"_NO MATCH")</f>
        <v>16:0</v>
      </c>
      <c r="Z5" s="4" t="str">
        <f>IFERROR(IF(Schedules[[#This Row],[Scheduled]]="OFF","",RIGHT(VLOOKUP(Schedules[[#This Row],[EE ID]],TeamList[],MATCH(Schedules[[#This Row],[DOW]],TeamList[#Headers],0),0),4)),"_NO MATCH")</f>
        <v>1:00</v>
      </c>
    </row>
    <row r="6" spans="2:26" x14ac:dyDescent="0.25">
      <c r="B6">
        <v>1515675</v>
      </c>
      <c r="C6">
        <v>4112889</v>
      </c>
      <c r="D6" t="s">
        <v>44</v>
      </c>
      <c r="E6" s="210">
        <v>39965</v>
      </c>
      <c r="F6" s="210" t="s">
        <v>274</v>
      </c>
      <c r="G6" t="s">
        <v>384</v>
      </c>
      <c r="H6" t="s">
        <v>16</v>
      </c>
      <c r="I6" t="s">
        <v>327</v>
      </c>
      <c r="J6" t="s">
        <v>327</v>
      </c>
      <c r="K6" t="s">
        <v>327</v>
      </c>
      <c r="L6" t="s">
        <v>327</v>
      </c>
      <c r="M6" t="s">
        <v>327</v>
      </c>
      <c r="N6" t="s">
        <v>16</v>
      </c>
      <c r="O6" t="s">
        <v>64</v>
      </c>
      <c r="P6" s="288" t="s">
        <v>42</v>
      </c>
      <c r="Q6">
        <f>COUNTIFS(Schedules[Employee Name],TeamList[[#This Row],[Employee Name]])</f>
        <v>7</v>
      </c>
      <c r="S6" s="1">
        <v>1517097</v>
      </c>
      <c r="T6" s="146" t="str">
        <f>Schedules[[#This Row],[Employee Name]]&amp;Schedules[[#This Row],[DOW]]</f>
        <v>Zornick, DavidTue</v>
      </c>
      <c r="U6" s="4" t="str">
        <f>IFERROR(VLOOKUP(Schedules[[#This Row],[EE ID]],TeamList[],MATCH(Schedules[[#Headers],[Employee Name]],TeamList[#Headers],0),0),"_NO MATCH")</f>
        <v>Zornick, David</v>
      </c>
      <c r="V6" s="4" t="str">
        <f>IFERROR(VLOOKUP(Schedules[[#This Row],[EE ID]],TeamList[],MATCH(Schedules[[#Headers],[Dept]],TeamList[#Headers],0),0),"_NO MATCH")</f>
        <v>Sup, Customer Service</v>
      </c>
      <c r="W6" s="286" t="s">
        <v>8</v>
      </c>
      <c r="X6" s="4" t="str">
        <f>IFERROR(IF(VLOOKUP(Schedules[[#This Row],[EE ID]],TeamList[],MATCH(Schedules[[#This Row],[DOW]],TeamList[#Headers],0),0)="OFF","OFF","SCH"),"_NO MATCH")</f>
        <v>SCH</v>
      </c>
      <c r="Y6" s="4" t="str">
        <f>IFERROR(IF(Schedules[[#This Row],[Scheduled]]="OFF","",LEFT(VLOOKUP(Schedules[[#This Row],[EE ID]],TeamList[],MATCH(Schedules[[#This Row],[DOW]],TeamList[#Headers],0),0),4)),"_NO MATCH")</f>
        <v>16:0</v>
      </c>
      <c r="Z6" s="4" t="str">
        <f>IFERROR(IF(Schedules[[#This Row],[Scheduled]]="OFF","",RIGHT(VLOOKUP(Schedules[[#This Row],[EE ID]],TeamList[],MATCH(Schedules[[#This Row],[DOW]],TeamList[#Headers],0),0),4)),"_NO MATCH")</f>
        <v>1:00</v>
      </c>
    </row>
    <row r="7" spans="2:26" x14ac:dyDescent="0.25">
      <c r="B7">
        <v>1516467</v>
      </c>
      <c r="C7">
        <v>4112890</v>
      </c>
      <c r="D7" t="s">
        <v>22</v>
      </c>
      <c r="E7" s="210">
        <v>40350</v>
      </c>
      <c r="F7" s="210" t="s">
        <v>275</v>
      </c>
      <c r="G7" t="s">
        <v>384</v>
      </c>
      <c r="H7" t="s">
        <v>328</v>
      </c>
      <c r="I7" t="s">
        <v>328</v>
      </c>
      <c r="J7" t="s">
        <v>16</v>
      </c>
      <c r="K7" t="s">
        <v>16</v>
      </c>
      <c r="L7" t="s">
        <v>328</v>
      </c>
      <c r="M7" t="s">
        <v>328</v>
      </c>
      <c r="N7" t="s">
        <v>328</v>
      </c>
      <c r="O7" t="s">
        <v>64</v>
      </c>
      <c r="P7" s="288" t="s">
        <v>42</v>
      </c>
      <c r="Q7">
        <f>COUNTIFS(Schedules[Employee Name],TeamList[[#This Row],[Employee Name]])</f>
        <v>7</v>
      </c>
      <c r="S7" s="1">
        <v>1517097</v>
      </c>
      <c r="T7" s="146" t="str">
        <f>Schedules[[#This Row],[Employee Name]]&amp;Schedules[[#This Row],[DOW]]</f>
        <v>Zornick, DavidThu</v>
      </c>
      <c r="U7" s="4" t="str">
        <f>IFERROR(VLOOKUP(Schedules[[#This Row],[EE ID]],TeamList[],MATCH(Schedules[[#Headers],[Employee Name]],TeamList[#Headers],0),0),"_NO MATCH")</f>
        <v>Zornick, David</v>
      </c>
      <c r="V7" s="4" t="str">
        <f>IFERROR(VLOOKUP(Schedules[[#This Row],[EE ID]],TeamList[],MATCH(Schedules[[#Headers],[Dept]],TeamList[#Headers],0),0),"_NO MATCH")</f>
        <v>Sup, Customer Service</v>
      </c>
      <c r="W7" s="286" t="s">
        <v>10</v>
      </c>
      <c r="X7" s="4" t="str">
        <f>IFERROR(IF(VLOOKUP(Schedules[[#This Row],[EE ID]],TeamList[],MATCH(Schedules[[#This Row],[DOW]],TeamList[#Headers],0),0)="OFF","OFF","SCH"),"_NO MATCH")</f>
        <v>SCH</v>
      </c>
      <c r="Y7" s="4" t="str">
        <f>IFERROR(IF(Schedules[[#This Row],[Scheduled]]="OFF","",LEFT(VLOOKUP(Schedules[[#This Row],[EE ID]],TeamList[],MATCH(Schedules[[#This Row],[DOW]],TeamList[#Headers],0),0),4)),"_NO MATCH")</f>
        <v>16:0</v>
      </c>
      <c r="Z7" s="4" t="str">
        <f>IFERROR(IF(Schedules[[#This Row],[Scheduled]]="OFF","",RIGHT(VLOOKUP(Schedules[[#This Row],[EE ID]],TeamList[],MATCH(Schedules[[#This Row],[DOW]],TeamList[#Headers],0),0),4)),"_NO MATCH")</f>
        <v>1:00</v>
      </c>
    </row>
    <row r="8" spans="2:26" x14ac:dyDescent="0.25">
      <c r="B8">
        <v>1510956</v>
      </c>
      <c r="C8">
        <v>4112891</v>
      </c>
      <c r="D8" t="s">
        <v>24</v>
      </c>
      <c r="E8" s="210">
        <v>37305</v>
      </c>
      <c r="F8" s="210" t="s">
        <v>276</v>
      </c>
      <c r="G8" t="s">
        <v>384</v>
      </c>
      <c r="H8" t="s">
        <v>16</v>
      </c>
      <c r="I8" t="s">
        <v>329</v>
      </c>
      <c r="J8" t="s">
        <v>329</v>
      </c>
      <c r="K8" t="s">
        <v>329</v>
      </c>
      <c r="L8" t="s">
        <v>329</v>
      </c>
      <c r="M8" t="s">
        <v>329</v>
      </c>
      <c r="N8" t="s">
        <v>16</v>
      </c>
      <c r="O8" t="s">
        <v>64</v>
      </c>
      <c r="P8" s="288" t="s">
        <v>42</v>
      </c>
      <c r="Q8">
        <f>COUNTIFS(Schedules[Employee Name],TeamList[[#This Row],[Employee Name]])</f>
        <v>7</v>
      </c>
      <c r="S8" s="1">
        <v>1517097</v>
      </c>
      <c r="T8" s="146" t="str">
        <f>Schedules[[#This Row],[Employee Name]]&amp;Schedules[[#This Row],[DOW]]</f>
        <v>Zornick, DavidSun</v>
      </c>
      <c r="U8" s="4" t="str">
        <f>IFERROR(VLOOKUP(Schedules[[#This Row],[EE ID]],TeamList[],MATCH(Schedules[[#Headers],[Employee Name]],TeamList[#Headers],0),0),"_NO MATCH")</f>
        <v>Zornick, David</v>
      </c>
      <c r="V8" s="4" t="str">
        <f>IFERROR(VLOOKUP(Schedules[[#This Row],[EE ID]],TeamList[],MATCH(Schedules[[#Headers],[Dept]],TeamList[#Headers],0),0),"_NO MATCH")</f>
        <v>Sup, Customer Service</v>
      </c>
      <c r="W8" s="287" t="s">
        <v>6</v>
      </c>
      <c r="X8" s="197" t="str">
        <f>IFERROR(IF(VLOOKUP(Schedules[[#This Row],[EE ID]],TeamList[],MATCH(Schedules[[#This Row],[DOW]],TeamList[#Headers],0),0)="OFF","OFF","SCH"),"_NO MATCH")</f>
        <v>OFF</v>
      </c>
      <c r="Y8" s="197" t="str">
        <f>IFERROR(IF(Schedules[[#This Row],[Scheduled]]="OFF","",LEFT(VLOOKUP(Schedules[[#This Row],[EE ID]],TeamList[],MATCH(Schedules[[#This Row],[DOW]],TeamList[#Headers],0),0),4)),"_NO MATCH")</f>
        <v/>
      </c>
      <c r="Z8" s="197" t="str">
        <f>IFERROR(IF(Schedules[[#This Row],[Scheduled]]="OFF","",RIGHT(VLOOKUP(Schedules[[#This Row],[EE ID]],TeamList[],MATCH(Schedules[[#This Row],[DOW]],TeamList[#Headers],0),0),4)),"_NO MATCH")</f>
        <v/>
      </c>
    </row>
    <row r="9" spans="2:26" x14ac:dyDescent="0.25">
      <c r="B9">
        <v>1533172</v>
      </c>
      <c r="C9">
        <v>4112897</v>
      </c>
      <c r="D9" t="s">
        <v>237</v>
      </c>
      <c r="E9" s="210">
        <v>42479</v>
      </c>
      <c r="F9" s="210" t="s">
        <v>279</v>
      </c>
      <c r="G9" t="s">
        <v>384</v>
      </c>
      <c r="H9" t="s">
        <v>332</v>
      </c>
      <c r="I9" t="s">
        <v>332</v>
      </c>
      <c r="J9" t="s">
        <v>332</v>
      </c>
      <c r="K9" t="s">
        <v>332</v>
      </c>
      <c r="L9" t="s">
        <v>332</v>
      </c>
      <c r="M9" t="s">
        <v>16</v>
      </c>
      <c r="N9" t="s">
        <v>16</v>
      </c>
      <c r="O9" t="s">
        <v>64</v>
      </c>
      <c r="P9" s="288" t="s">
        <v>42</v>
      </c>
      <c r="Q9">
        <f>COUNTIFS(Schedules[Employee Name],TeamList[[#This Row],[Employee Name]])</f>
        <v>7</v>
      </c>
      <c r="S9" s="1">
        <v>1517097</v>
      </c>
      <c r="T9" s="146" t="str">
        <f>Schedules[[#This Row],[Employee Name]]&amp;Schedules[[#This Row],[DOW]]</f>
        <v>Zornick, DavidSat</v>
      </c>
      <c r="U9" s="4" t="str">
        <f>IFERROR(VLOOKUP(Schedules[[#This Row],[EE ID]],TeamList[],MATCH(Schedules[[#Headers],[Employee Name]],TeamList[#Headers],0),0),"_NO MATCH")</f>
        <v>Zornick, David</v>
      </c>
      <c r="V9" s="4" t="str">
        <f>IFERROR(VLOOKUP(Schedules[[#This Row],[EE ID]],TeamList[],MATCH(Schedules[[#Headers],[Dept]],TeamList[#Headers],0),0),"_NO MATCH")</f>
        <v>Sup, Customer Service</v>
      </c>
      <c r="W9" s="286" t="s">
        <v>12</v>
      </c>
      <c r="X9" s="4" t="str">
        <f>IFERROR(IF(VLOOKUP(Schedules[[#This Row],[EE ID]],TeamList[],MATCH(Schedules[[#This Row],[DOW]],TeamList[#Headers],0),0)="OFF","OFF","SCH"),"_NO MATCH")</f>
        <v>OFF</v>
      </c>
      <c r="Y9" s="4" t="str">
        <f>IFERROR(IF(Schedules[[#This Row],[Scheduled]]="OFF","",LEFT(VLOOKUP(Schedules[[#This Row],[EE ID]],TeamList[],MATCH(Schedules[[#This Row],[DOW]],TeamList[#Headers],0),0),4)),"_NO MATCH")</f>
        <v/>
      </c>
      <c r="Z9" s="4" t="str">
        <f>IFERROR(IF(Schedules[[#This Row],[Scheduled]]="OFF","",RIGHT(VLOOKUP(Schedules[[#This Row],[EE ID]],TeamList[],MATCH(Schedules[[#This Row],[DOW]],TeamList[#Headers],0),0),4)),"_NO MATCH")</f>
        <v/>
      </c>
    </row>
    <row r="10" spans="2:26" x14ac:dyDescent="0.25">
      <c r="B10">
        <v>1515640</v>
      </c>
      <c r="C10">
        <v>4112902</v>
      </c>
      <c r="D10" t="s">
        <v>34</v>
      </c>
      <c r="E10" s="210">
        <v>39937</v>
      </c>
      <c r="F10" s="210" t="s">
        <v>283</v>
      </c>
      <c r="G10" t="s">
        <v>384</v>
      </c>
      <c r="H10" t="s">
        <v>337</v>
      </c>
      <c r="I10" t="s">
        <v>337</v>
      </c>
      <c r="J10" t="s">
        <v>337</v>
      </c>
      <c r="K10" t="s">
        <v>16</v>
      </c>
      <c r="L10" t="s">
        <v>16</v>
      </c>
      <c r="M10" t="s">
        <v>337</v>
      </c>
      <c r="N10" t="s">
        <v>337</v>
      </c>
      <c r="O10" t="s">
        <v>64</v>
      </c>
      <c r="P10" s="288" t="s">
        <v>42</v>
      </c>
      <c r="Q10">
        <f>COUNTIFS(Schedules[Employee Name],TeamList[[#This Row],[Employee Name]])</f>
        <v>7</v>
      </c>
      <c r="S10" s="1">
        <v>1517097</v>
      </c>
      <c r="T10" s="146" t="str">
        <f>Schedules[[#This Row],[Employee Name]]&amp;Schedules[[#This Row],[DOW]]</f>
        <v>Zornick, DavidMon</v>
      </c>
      <c r="U10" s="4" t="str">
        <f>IFERROR(VLOOKUP(Schedules[[#This Row],[EE ID]],TeamList[],MATCH(Schedules[[#Headers],[Employee Name]],TeamList[#Headers],0),0),"_NO MATCH")</f>
        <v>Zornick, David</v>
      </c>
      <c r="V10" s="4" t="str">
        <f>IFERROR(VLOOKUP(Schedules[[#This Row],[EE ID]],TeamList[],MATCH(Schedules[[#Headers],[Dept]],TeamList[#Headers],0),0),"_NO MATCH")</f>
        <v>Sup, Customer Service</v>
      </c>
      <c r="W10" s="286" t="s">
        <v>7</v>
      </c>
      <c r="X10" s="4" t="str">
        <f>IFERROR(IF(VLOOKUP(Schedules[[#This Row],[EE ID]],TeamList[],MATCH(Schedules[[#This Row],[DOW]],TeamList[#Headers],0),0)="OFF","OFF","SCH"),"_NO MATCH")</f>
        <v>SCH</v>
      </c>
      <c r="Y10" s="4" t="str">
        <f>IFERROR(IF(Schedules[[#This Row],[Scheduled]]="OFF","",LEFT(VLOOKUP(Schedules[[#This Row],[EE ID]],TeamList[],MATCH(Schedules[[#This Row],[DOW]],TeamList[#Headers],0),0),4)),"_NO MATCH")</f>
        <v>16:0</v>
      </c>
      <c r="Z10" s="4" t="str">
        <f>IFERROR(IF(Schedules[[#This Row],[Scheduled]]="OFF","",RIGHT(VLOOKUP(Schedules[[#This Row],[EE ID]],TeamList[],MATCH(Schedules[[#This Row],[DOW]],TeamList[#Headers],0),0),4)),"_NO MATCH")</f>
        <v>1:00</v>
      </c>
    </row>
    <row r="11" spans="2:26" x14ac:dyDescent="0.25">
      <c r="B11">
        <v>1522297</v>
      </c>
      <c r="C11">
        <v>4112903</v>
      </c>
      <c r="D11" t="s">
        <v>226</v>
      </c>
      <c r="E11" s="210">
        <v>41540</v>
      </c>
      <c r="F11" s="210" t="s">
        <v>284</v>
      </c>
      <c r="G11" t="s">
        <v>384</v>
      </c>
      <c r="H11" t="s">
        <v>338</v>
      </c>
      <c r="I11" t="s">
        <v>338</v>
      </c>
      <c r="J11" t="s">
        <v>16</v>
      </c>
      <c r="K11" t="s">
        <v>16</v>
      </c>
      <c r="L11" t="s">
        <v>338</v>
      </c>
      <c r="M11" t="s">
        <v>338</v>
      </c>
      <c r="N11" t="s">
        <v>338</v>
      </c>
      <c r="O11" t="s">
        <v>64</v>
      </c>
      <c r="P11" s="288" t="s">
        <v>42</v>
      </c>
      <c r="Q11">
        <f>COUNTIFS(Schedules[Employee Name],TeamList[[#This Row],[Employee Name]])</f>
        <v>7</v>
      </c>
      <c r="S11" s="1">
        <v>1517097</v>
      </c>
      <c r="T11" s="146" t="str">
        <f>Schedules[[#This Row],[Employee Name]]&amp;Schedules[[#This Row],[DOW]]</f>
        <v>Zornick, DavidFri</v>
      </c>
      <c r="U11" s="4" t="str">
        <f>IFERROR(VLOOKUP(Schedules[[#This Row],[EE ID]],TeamList[],MATCH(Schedules[[#Headers],[Employee Name]],TeamList[#Headers],0),0),"_NO MATCH")</f>
        <v>Zornick, David</v>
      </c>
      <c r="V11" s="4" t="str">
        <f>IFERROR(VLOOKUP(Schedules[[#This Row],[EE ID]],TeamList[],MATCH(Schedules[[#Headers],[Dept]],TeamList[#Headers],0),0),"_NO MATCH")</f>
        <v>Sup, Customer Service</v>
      </c>
      <c r="W11" s="286" t="s">
        <v>11</v>
      </c>
      <c r="X11" s="4" t="str">
        <f>IFERROR(IF(VLOOKUP(Schedules[[#This Row],[EE ID]],TeamList[],MATCH(Schedules[[#This Row],[DOW]],TeamList[#Headers],0),0)="OFF","OFF","SCH"),"_NO MATCH")</f>
        <v>SCH</v>
      </c>
      <c r="Y11" s="4" t="str">
        <f>IFERROR(IF(Schedules[[#This Row],[Scheduled]]="OFF","",LEFT(VLOOKUP(Schedules[[#This Row],[EE ID]],TeamList[],MATCH(Schedules[[#This Row],[DOW]],TeamList[#Headers],0),0),4)),"_NO MATCH")</f>
        <v>16:0</v>
      </c>
      <c r="Z11" s="4" t="str">
        <f>IFERROR(IF(Schedules[[#This Row],[Scheduled]]="OFF","",RIGHT(VLOOKUP(Schedules[[#This Row],[EE ID]],TeamList[],MATCH(Schedules[[#This Row],[DOW]],TeamList[#Headers],0),0),4)),"_NO MATCH")</f>
        <v>1:00</v>
      </c>
    </row>
    <row r="12" spans="2:26" x14ac:dyDescent="0.25">
      <c r="B12">
        <v>1515662</v>
      </c>
      <c r="C12">
        <v>4112904</v>
      </c>
      <c r="D12" t="s">
        <v>41</v>
      </c>
      <c r="E12" s="210">
        <v>39965</v>
      </c>
      <c r="F12" s="210" t="s">
        <v>285</v>
      </c>
      <c r="G12" t="s">
        <v>384</v>
      </c>
      <c r="H12" t="s">
        <v>335</v>
      </c>
      <c r="I12" t="s">
        <v>335</v>
      </c>
      <c r="J12" t="s">
        <v>335</v>
      </c>
      <c r="K12" t="s">
        <v>335</v>
      </c>
      <c r="L12" t="s">
        <v>16</v>
      </c>
      <c r="M12" t="s">
        <v>16</v>
      </c>
      <c r="N12" t="s">
        <v>335</v>
      </c>
      <c r="O12" t="s">
        <v>64</v>
      </c>
      <c r="P12" s="288" t="s">
        <v>42</v>
      </c>
      <c r="Q12">
        <f>COUNTIFS(Schedules[Employee Name],TeamList[[#This Row],[Employee Name]])</f>
        <v>7</v>
      </c>
      <c r="S12" s="1">
        <v>1528025</v>
      </c>
      <c r="T12" s="146" t="str">
        <f>Schedules[[#This Row],[Employee Name]]&amp;Schedules[[#This Row],[DOW]]</f>
        <v>Zornes, ThomasWed</v>
      </c>
      <c r="U12" s="4" t="str">
        <f>IFERROR(VLOOKUP(Schedules[[#This Row],[EE ID]],TeamList[],MATCH(Schedules[[#Headers],[Employee Name]],TeamList[#Headers],0),0),"_NO MATCH")</f>
        <v>Zornes, Thomas</v>
      </c>
      <c r="V12" s="4" t="str">
        <f>IFERROR(VLOOKUP(Schedules[[#This Row],[EE ID]],TeamList[],MATCH(Schedules[[#Headers],[Dept]],TeamList[#Headers],0),0),"_NO MATCH")</f>
        <v>Sup, Customer Service</v>
      </c>
      <c r="W12" s="286" t="s">
        <v>9</v>
      </c>
      <c r="X12" s="4" t="str">
        <f>IFERROR(IF(VLOOKUP(Schedules[[#This Row],[EE ID]],TeamList[],MATCH(Schedules[[#This Row],[DOW]],TeamList[#Headers],0),0)="OFF","OFF","SCH"),"_NO MATCH")</f>
        <v>SCH</v>
      </c>
      <c r="Y12" s="4" t="str">
        <f>IFERROR(IF(Schedules[[#This Row],[Scheduled]]="OFF","",LEFT(VLOOKUP(Schedules[[#This Row],[EE ID]],TeamList[],MATCH(Schedules[[#This Row],[DOW]],TeamList[#Headers],0),0),4)),"_NO MATCH")</f>
        <v>12:3</v>
      </c>
      <c r="Z12" s="4" t="str">
        <f>IFERROR(IF(Schedules[[#This Row],[Scheduled]]="OFF","",RIGHT(VLOOKUP(Schedules[[#This Row],[EE ID]],TeamList[],MATCH(Schedules[[#This Row],[DOW]],TeamList[#Headers],0),0),4)),"_NO MATCH")</f>
        <v>1:30</v>
      </c>
    </row>
    <row r="13" spans="2:26" x14ac:dyDescent="0.25">
      <c r="B13">
        <v>1528418</v>
      </c>
      <c r="C13">
        <v>4112909</v>
      </c>
      <c r="D13" t="s">
        <v>227</v>
      </c>
      <c r="E13" s="210">
        <v>42171</v>
      </c>
      <c r="F13" s="210" t="s">
        <v>288</v>
      </c>
      <c r="G13" t="s">
        <v>384</v>
      </c>
      <c r="H13" t="s">
        <v>340</v>
      </c>
      <c r="I13" t="s">
        <v>340</v>
      </c>
      <c r="J13" t="s">
        <v>340</v>
      </c>
      <c r="K13" t="s">
        <v>16</v>
      </c>
      <c r="L13" t="s">
        <v>16</v>
      </c>
      <c r="M13" t="s">
        <v>16</v>
      </c>
      <c r="N13" t="s">
        <v>340</v>
      </c>
      <c r="O13" t="s">
        <v>64</v>
      </c>
      <c r="P13" s="288" t="s">
        <v>42</v>
      </c>
      <c r="Q13">
        <f>COUNTIFS(Schedules[Employee Name],TeamList[[#This Row],[Employee Name]])</f>
        <v>7</v>
      </c>
      <c r="S13" s="1">
        <v>1528025</v>
      </c>
      <c r="T13" s="146" t="str">
        <f>Schedules[[#This Row],[Employee Name]]&amp;Schedules[[#This Row],[DOW]]</f>
        <v>Zornes, ThomasTue</v>
      </c>
      <c r="U13" s="4" t="str">
        <f>IFERROR(VLOOKUP(Schedules[[#This Row],[EE ID]],TeamList[],MATCH(Schedules[[#Headers],[Employee Name]],TeamList[#Headers],0),0),"_NO MATCH")</f>
        <v>Zornes, Thomas</v>
      </c>
      <c r="V13" s="4" t="str">
        <f>IFERROR(VLOOKUP(Schedules[[#This Row],[EE ID]],TeamList[],MATCH(Schedules[[#Headers],[Dept]],TeamList[#Headers],0),0),"_NO MATCH")</f>
        <v>Sup, Customer Service</v>
      </c>
      <c r="W13" s="286" t="s">
        <v>8</v>
      </c>
      <c r="X13" s="4" t="str">
        <f>IFERROR(IF(VLOOKUP(Schedules[[#This Row],[EE ID]],TeamList[],MATCH(Schedules[[#This Row],[DOW]],TeamList[#Headers],0),0)="OFF","OFF","SCH"),"_NO MATCH")</f>
        <v>SCH</v>
      </c>
      <c r="Y13" s="4" t="str">
        <f>IFERROR(IF(Schedules[[#This Row],[Scheduled]]="OFF","",LEFT(VLOOKUP(Schedules[[#This Row],[EE ID]],TeamList[],MATCH(Schedules[[#This Row],[DOW]],TeamList[#Headers],0),0),4)),"_NO MATCH")</f>
        <v>12:3</v>
      </c>
      <c r="Z13" s="4" t="str">
        <f>IFERROR(IF(Schedules[[#This Row],[Scheduled]]="OFF","",RIGHT(VLOOKUP(Schedules[[#This Row],[EE ID]],TeamList[],MATCH(Schedules[[#This Row],[DOW]],TeamList[#Headers],0),0),4)),"_NO MATCH")</f>
        <v>1:30</v>
      </c>
    </row>
    <row r="14" spans="2:26" x14ac:dyDescent="0.25">
      <c r="B14">
        <v>1515829</v>
      </c>
      <c r="C14">
        <v>4112910</v>
      </c>
      <c r="D14" t="s">
        <v>67</v>
      </c>
      <c r="E14" s="210">
        <v>40035</v>
      </c>
      <c r="F14" s="210" t="s">
        <v>289</v>
      </c>
      <c r="G14" t="s">
        <v>384</v>
      </c>
      <c r="H14" t="s">
        <v>16</v>
      </c>
      <c r="I14" t="s">
        <v>341</v>
      </c>
      <c r="J14" t="s">
        <v>341</v>
      </c>
      <c r="K14" t="s">
        <v>341</v>
      </c>
      <c r="L14" t="s">
        <v>341</v>
      </c>
      <c r="M14" t="s">
        <v>341</v>
      </c>
      <c r="N14" t="s">
        <v>16</v>
      </c>
      <c r="O14" t="s">
        <v>64</v>
      </c>
      <c r="P14" s="288" t="s">
        <v>42</v>
      </c>
      <c r="Q14">
        <f>COUNTIFS(Schedules[Employee Name],TeamList[[#This Row],[Employee Name]])</f>
        <v>7</v>
      </c>
      <c r="S14" s="1">
        <v>1528025</v>
      </c>
      <c r="T14" s="146" t="str">
        <f>Schedules[[#This Row],[Employee Name]]&amp;Schedules[[#This Row],[DOW]]</f>
        <v>Zornes, ThomasThu</v>
      </c>
      <c r="U14" s="4" t="str">
        <f>IFERROR(VLOOKUP(Schedules[[#This Row],[EE ID]],TeamList[],MATCH(Schedules[[#Headers],[Employee Name]],TeamList[#Headers],0),0),"_NO MATCH")</f>
        <v>Zornes, Thomas</v>
      </c>
      <c r="V14" s="4" t="str">
        <f>IFERROR(VLOOKUP(Schedules[[#This Row],[EE ID]],TeamList[],MATCH(Schedules[[#Headers],[Dept]],TeamList[#Headers],0),0),"_NO MATCH")</f>
        <v>Sup, Customer Service</v>
      </c>
      <c r="W14" s="286" t="s">
        <v>10</v>
      </c>
      <c r="X14" s="4" t="str">
        <f>IFERROR(IF(VLOOKUP(Schedules[[#This Row],[EE ID]],TeamList[],MATCH(Schedules[[#This Row],[DOW]],TeamList[#Headers],0),0)="OFF","OFF","SCH"),"_NO MATCH")</f>
        <v>SCH</v>
      </c>
      <c r="Y14" s="4" t="str">
        <f>IFERROR(IF(Schedules[[#This Row],[Scheduled]]="OFF","",LEFT(VLOOKUP(Schedules[[#This Row],[EE ID]],TeamList[],MATCH(Schedules[[#This Row],[DOW]],TeamList[#Headers],0),0),4)),"_NO MATCH")</f>
        <v>12:3</v>
      </c>
      <c r="Z14" s="4" t="str">
        <f>IFERROR(IF(Schedules[[#This Row],[Scheduled]]="OFF","",RIGHT(VLOOKUP(Schedules[[#This Row],[EE ID]],TeamList[],MATCH(Schedules[[#This Row],[DOW]],TeamList[#Headers],0),0),4)),"_NO MATCH")</f>
        <v>1:30</v>
      </c>
    </row>
    <row r="15" spans="2:26" x14ac:dyDescent="0.25">
      <c r="B15">
        <v>1529086</v>
      </c>
      <c r="C15">
        <v>4112912</v>
      </c>
      <c r="D15" t="s">
        <v>233</v>
      </c>
      <c r="E15" s="210">
        <v>42234</v>
      </c>
      <c r="F15" s="210" t="s">
        <v>291</v>
      </c>
      <c r="G15" t="s">
        <v>384</v>
      </c>
      <c r="H15" t="s">
        <v>329</v>
      </c>
      <c r="I15" t="s">
        <v>16</v>
      </c>
      <c r="J15" t="s">
        <v>16</v>
      </c>
      <c r="K15" t="s">
        <v>329</v>
      </c>
      <c r="L15" t="s">
        <v>329</v>
      </c>
      <c r="M15" t="s">
        <v>329</v>
      </c>
      <c r="N15" t="s">
        <v>329</v>
      </c>
      <c r="O15" t="s">
        <v>64</v>
      </c>
      <c r="P15" s="288" t="s">
        <v>42</v>
      </c>
      <c r="Q15">
        <f>COUNTIFS(Schedules[Employee Name],TeamList[[#This Row],[Employee Name]])</f>
        <v>7</v>
      </c>
      <c r="S15" s="1">
        <v>1528025</v>
      </c>
      <c r="T15" s="146" t="str">
        <f>Schedules[[#This Row],[Employee Name]]&amp;Schedules[[#This Row],[DOW]]</f>
        <v>Zornes, ThomasSun</v>
      </c>
      <c r="U15" s="4" t="str">
        <f>IFERROR(VLOOKUP(Schedules[[#This Row],[EE ID]],TeamList[],MATCH(Schedules[[#Headers],[Employee Name]],TeamList[#Headers],0),0),"_NO MATCH")</f>
        <v>Zornes, Thomas</v>
      </c>
      <c r="V15" s="4" t="str">
        <f>IFERROR(VLOOKUP(Schedules[[#This Row],[EE ID]],TeamList[],MATCH(Schedules[[#Headers],[Dept]],TeamList[#Headers],0),0),"_NO MATCH")</f>
        <v>Sup, Customer Service</v>
      </c>
      <c r="W15" s="287" t="s">
        <v>6</v>
      </c>
      <c r="X15" s="1" t="str">
        <f>IFERROR(IF(VLOOKUP(Schedules[[#This Row],[EE ID]],TeamList[],MATCH(Schedules[[#This Row],[DOW]],TeamList[#Headers],0),0)="OFF","OFF","SCH"),"_NO MATCH")</f>
        <v>SCH</v>
      </c>
      <c r="Y15" s="1" t="str">
        <f>IFERROR(IF(Schedules[[#This Row],[Scheduled]]="OFF","",LEFT(VLOOKUP(Schedules[[#This Row],[EE ID]],TeamList[],MATCH(Schedules[[#This Row],[DOW]],TeamList[#Headers],0),0),4)),"_NO MATCH")</f>
        <v>12:3</v>
      </c>
      <c r="Z15" s="1" t="str">
        <f>IFERROR(IF(Schedules[[#This Row],[Scheduled]]="OFF","",RIGHT(VLOOKUP(Schedules[[#This Row],[EE ID]],TeamList[],MATCH(Schedules[[#This Row],[DOW]],TeamList[#Headers],0),0),4)),"_NO MATCH")</f>
        <v>1:30</v>
      </c>
    </row>
    <row r="16" spans="2:26" x14ac:dyDescent="0.25">
      <c r="B16">
        <v>1524040</v>
      </c>
      <c r="C16">
        <v>4112914</v>
      </c>
      <c r="D16" t="s">
        <v>230</v>
      </c>
      <c r="E16" s="210">
        <v>41751</v>
      </c>
      <c r="F16" s="210" t="s">
        <v>293</v>
      </c>
      <c r="G16" t="s">
        <v>384</v>
      </c>
      <c r="H16" t="s">
        <v>344</v>
      </c>
      <c r="I16" t="s">
        <v>344</v>
      </c>
      <c r="J16" t="s">
        <v>344</v>
      </c>
      <c r="K16" t="s">
        <v>16</v>
      </c>
      <c r="L16" t="s">
        <v>16</v>
      </c>
      <c r="M16" t="s">
        <v>344</v>
      </c>
      <c r="N16" t="s">
        <v>344</v>
      </c>
      <c r="O16" t="s">
        <v>64</v>
      </c>
      <c r="P16" s="288" t="s">
        <v>42</v>
      </c>
      <c r="Q16">
        <f>COUNTIFS(Schedules[Employee Name],TeamList[[#This Row],[Employee Name]])</f>
        <v>7</v>
      </c>
      <c r="S16" s="1">
        <v>1528025</v>
      </c>
      <c r="T16" s="146" t="str">
        <f>Schedules[[#This Row],[Employee Name]]&amp;Schedules[[#This Row],[DOW]]</f>
        <v>Zornes, ThomasSat</v>
      </c>
      <c r="U16" s="4" t="str">
        <f>IFERROR(VLOOKUP(Schedules[[#This Row],[EE ID]],TeamList[],MATCH(Schedules[[#Headers],[Employee Name]],TeamList[#Headers],0),0),"_NO MATCH")</f>
        <v>Zornes, Thomas</v>
      </c>
      <c r="V16" s="4" t="str">
        <f>IFERROR(VLOOKUP(Schedules[[#This Row],[EE ID]],TeamList[],MATCH(Schedules[[#Headers],[Dept]],TeamList[#Headers],0),0),"_NO MATCH")</f>
        <v>Sup, Customer Service</v>
      </c>
      <c r="W16" s="286" t="s">
        <v>12</v>
      </c>
      <c r="X16" s="4" t="str">
        <f>IFERROR(IF(VLOOKUP(Schedules[[#This Row],[EE ID]],TeamList[],MATCH(Schedules[[#This Row],[DOW]],TeamList[#Headers],0),0)="OFF","OFF","SCH"),"_NO MATCH")</f>
        <v>OFF</v>
      </c>
      <c r="Y16" s="4" t="str">
        <f>IFERROR(IF(Schedules[[#This Row],[Scheduled]]="OFF","",LEFT(VLOOKUP(Schedules[[#This Row],[EE ID]],TeamList[],MATCH(Schedules[[#This Row],[DOW]],TeamList[#Headers],0),0),4)),"_NO MATCH")</f>
        <v/>
      </c>
      <c r="Z16" s="4" t="str">
        <f>IFERROR(IF(Schedules[[#This Row],[Scheduled]]="OFF","",RIGHT(VLOOKUP(Schedules[[#This Row],[EE ID]],TeamList[],MATCH(Schedules[[#This Row],[DOW]],TeamList[#Headers],0),0),4)),"_NO MATCH")</f>
        <v/>
      </c>
    </row>
    <row r="17" spans="2:26" x14ac:dyDescent="0.25">
      <c r="B17">
        <v>1529378</v>
      </c>
      <c r="C17">
        <v>4112892</v>
      </c>
      <c r="D17" t="s">
        <v>235</v>
      </c>
      <c r="E17" s="210">
        <v>42262</v>
      </c>
      <c r="F17" s="210" t="s">
        <v>277</v>
      </c>
      <c r="G17" t="s">
        <v>384</v>
      </c>
      <c r="H17" t="s">
        <v>330</v>
      </c>
      <c r="I17" t="s">
        <v>330</v>
      </c>
      <c r="J17" t="s">
        <v>330</v>
      </c>
      <c r="K17" t="s">
        <v>16</v>
      </c>
      <c r="L17" t="s">
        <v>16</v>
      </c>
      <c r="M17" t="s">
        <v>330</v>
      </c>
      <c r="N17" t="s">
        <v>330</v>
      </c>
      <c r="O17" t="s">
        <v>246</v>
      </c>
      <c r="P17" s="288" t="s">
        <v>42</v>
      </c>
      <c r="Q17">
        <f>COUNTIFS(Schedules[Employee Name],TeamList[[#This Row],[Employee Name]])</f>
        <v>7</v>
      </c>
      <c r="S17" s="1">
        <v>1528025</v>
      </c>
      <c r="T17" s="146" t="str">
        <f>Schedules[[#This Row],[Employee Name]]&amp;Schedules[[#This Row],[DOW]]</f>
        <v>Zornes, ThomasMon</v>
      </c>
      <c r="U17" s="4" t="str">
        <f>IFERROR(VLOOKUP(Schedules[[#This Row],[EE ID]],TeamList[],MATCH(Schedules[[#Headers],[Employee Name]],TeamList[#Headers],0),0),"_NO MATCH")</f>
        <v>Zornes, Thomas</v>
      </c>
      <c r="V17" s="4" t="str">
        <f>IFERROR(VLOOKUP(Schedules[[#This Row],[EE ID]],TeamList[],MATCH(Schedules[[#Headers],[Dept]],TeamList[#Headers],0),0),"_NO MATCH")</f>
        <v>Sup, Customer Service</v>
      </c>
      <c r="W17" s="286" t="s">
        <v>7</v>
      </c>
      <c r="X17" s="4" t="str">
        <f>IFERROR(IF(VLOOKUP(Schedules[[#This Row],[EE ID]],TeamList[],MATCH(Schedules[[#This Row],[DOW]],TeamList[#Headers],0),0)="OFF","OFF","SCH"),"_NO MATCH")</f>
        <v>SCH</v>
      </c>
      <c r="Y17" s="4" t="str">
        <f>IFERROR(IF(Schedules[[#This Row],[Scheduled]]="OFF","",LEFT(VLOOKUP(Schedules[[#This Row],[EE ID]],TeamList[],MATCH(Schedules[[#This Row],[DOW]],TeamList[#Headers],0),0),4)),"_NO MATCH")</f>
        <v>12:3</v>
      </c>
      <c r="Z17" s="4" t="str">
        <f>IFERROR(IF(Schedules[[#This Row],[Scheduled]]="OFF","",RIGHT(VLOOKUP(Schedules[[#This Row],[EE ID]],TeamList[],MATCH(Schedules[[#This Row],[DOW]],TeamList[#Headers],0),0),4)),"_NO MATCH")</f>
        <v>1:30</v>
      </c>
    </row>
    <row r="18" spans="2:26" x14ac:dyDescent="0.25">
      <c r="B18">
        <v>1516249</v>
      </c>
      <c r="C18">
        <v>4112896</v>
      </c>
      <c r="D18" t="s">
        <v>229</v>
      </c>
      <c r="E18" s="210">
        <v>40238</v>
      </c>
      <c r="F18" s="210" t="s">
        <v>278</v>
      </c>
      <c r="G18" t="s">
        <v>384</v>
      </c>
      <c r="H18" t="s">
        <v>16</v>
      </c>
      <c r="I18" t="s">
        <v>331</v>
      </c>
      <c r="J18" t="s">
        <v>331</v>
      </c>
      <c r="K18" t="s">
        <v>331</v>
      </c>
      <c r="L18" t="s">
        <v>331</v>
      </c>
      <c r="M18" t="s">
        <v>331</v>
      </c>
      <c r="N18" t="s">
        <v>16</v>
      </c>
      <c r="O18" t="s">
        <v>246</v>
      </c>
      <c r="P18" s="288" t="s">
        <v>42</v>
      </c>
      <c r="Q18">
        <f>COUNTIFS(Schedules[Employee Name],TeamList[[#This Row],[Employee Name]])</f>
        <v>7</v>
      </c>
      <c r="S18" s="1">
        <v>1528025</v>
      </c>
      <c r="T18" s="146" t="str">
        <f>Schedules[[#This Row],[Employee Name]]&amp;Schedules[[#This Row],[DOW]]</f>
        <v>Zornes, ThomasFri</v>
      </c>
      <c r="U18" s="4" t="str">
        <f>IFERROR(VLOOKUP(Schedules[[#This Row],[EE ID]],TeamList[],MATCH(Schedules[[#Headers],[Employee Name]],TeamList[#Headers],0),0),"_NO MATCH")</f>
        <v>Zornes, Thomas</v>
      </c>
      <c r="V18" s="4" t="str">
        <f>IFERROR(VLOOKUP(Schedules[[#This Row],[EE ID]],TeamList[],MATCH(Schedules[[#Headers],[Dept]],TeamList[#Headers],0),0),"_NO MATCH")</f>
        <v>Sup, Customer Service</v>
      </c>
      <c r="W18" s="286" t="s">
        <v>11</v>
      </c>
      <c r="X18" s="4" t="str">
        <f>IFERROR(IF(VLOOKUP(Schedules[[#This Row],[EE ID]],TeamList[],MATCH(Schedules[[#This Row],[DOW]],TeamList[#Headers],0),0)="OFF","OFF","SCH"),"_NO MATCH")</f>
        <v>OFF</v>
      </c>
      <c r="Y18" s="4" t="str">
        <f>IFERROR(IF(Schedules[[#This Row],[Scheduled]]="OFF","",LEFT(VLOOKUP(Schedules[[#This Row],[EE ID]],TeamList[],MATCH(Schedules[[#This Row],[DOW]],TeamList[#Headers],0),0),4)),"_NO MATCH")</f>
        <v/>
      </c>
      <c r="Z18" s="4" t="str">
        <f>IFERROR(IF(Schedules[[#This Row],[Scheduled]]="OFF","",RIGHT(VLOOKUP(Schedules[[#This Row],[EE ID]],TeamList[],MATCH(Schedules[[#This Row],[DOW]],TeamList[#Headers],0),0),4)),"_NO MATCH")</f>
        <v/>
      </c>
    </row>
    <row r="19" spans="2:26" x14ac:dyDescent="0.25">
      <c r="B19">
        <v>1525898</v>
      </c>
      <c r="C19">
        <v>4112898</v>
      </c>
      <c r="D19" t="s">
        <v>231</v>
      </c>
      <c r="E19" s="210">
        <v>41933</v>
      </c>
      <c r="F19" s="210" t="s">
        <v>280</v>
      </c>
      <c r="G19" t="s">
        <v>384</v>
      </c>
      <c r="H19" t="s">
        <v>16</v>
      </c>
      <c r="I19" t="s">
        <v>16</v>
      </c>
      <c r="J19" t="s">
        <v>333</v>
      </c>
      <c r="K19" t="s">
        <v>333</v>
      </c>
      <c r="L19" t="s">
        <v>333</v>
      </c>
      <c r="M19" t="s">
        <v>333</v>
      </c>
      <c r="N19" t="s">
        <v>333</v>
      </c>
      <c r="O19" t="s">
        <v>246</v>
      </c>
      <c r="P19" s="288" t="s">
        <v>42</v>
      </c>
      <c r="Q19">
        <f>COUNTIFS(Schedules[Employee Name],TeamList[[#This Row],[Employee Name]])</f>
        <v>7</v>
      </c>
      <c r="S19" s="1">
        <v>1527356</v>
      </c>
      <c r="T19" s="146" t="str">
        <f>Schedules[[#This Row],[Employee Name]]&amp;Schedules[[#This Row],[DOW]]</f>
        <v>Wonser, ShannonWed</v>
      </c>
      <c r="U19" s="4" t="str">
        <f>IFERROR(VLOOKUP(Schedules[[#This Row],[EE ID]],TeamList[],MATCH(Schedules[[#Headers],[Employee Name]],TeamList[#Headers],0),0),"_NO MATCH")</f>
        <v>Wonser, Shannon</v>
      </c>
      <c r="V19" s="4" t="str">
        <f>IFERROR(VLOOKUP(Schedules[[#This Row],[EE ID]],TeamList[],MATCH(Schedules[[#Headers],[Dept]],TeamList[#Headers],0),0),"_NO MATCH")</f>
        <v>Lead Billing</v>
      </c>
      <c r="W19" s="286" t="s">
        <v>9</v>
      </c>
      <c r="X19" s="4" t="str">
        <f>IFERROR(IF(VLOOKUP(Schedules[[#This Row],[EE ID]],TeamList[],MATCH(Schedules[[#This Row],[DOW]],TeamList[#Headers],0),0)="OFF","OFF","SCH"),"_NO MATCH")</f>
        <v>SCH</v>
      </c>
      <c r="Y19" s="4" t="str">
        <f>IFERROR(IF(Schedules[[#This Row],[Scheduled]]="OFF","",LEFT(VLOOKUP(Schedules[[#This Row],[EE ID]],TeamList[],MATCH(Schedules[[#This Row],[DOW]],TeamList[#Headers],0),0),4)),"_NO MATCH")</f>
        <v>16:0</v>
      </c>
      <c r="Z19" s="4" t="str">
        <f>IFERROR(IF(Schedules[[#This Row],[Scheduled]]="OFF","",RIGHT(VLOOKUP(Schedules[[#This Row],[EE ID]],TeamList[],MATCH(Schedules[[#This Row],[DOW]],TeamList[#Headers],0),0),4)),"_NO MATCH")</f>
        <v>1:00</v>
      </c>
    </row>
    <row r="20" spans="2:26" x14ac:dyDescent="0.25">
      <c r="B20">
        <v>1525123</v>
      </c>
      <c r="C20">
        <v>4112899</v>
      </c>
      <c r="D20" t="s">
        <v>50</v>
      </c>
      <c r="E20" s="210">
        <v>41856</v>
      </c>
      <c r="F20" s="210" t="s">
        <v>281</v>
      </c>
      <c r="G20" t="s">
        <v>384</v>
      </c>
      <c r="H20" t="s">
        <v>334</v>
      </c>
      <c r="I20" t="s">
        <v>334</v>
      </c>
      <c r="J20" t="s">
        <v>16</v>
      </c>
      <c r="K20" t="s">
        <v>16</v>
      </c>
      <c r="L20" t="s">
        <v>16</v>
      </c>
      <c r="M20" t="s">
        <v>334</v>
      </c>
      <c r="N20" t="s">
        <v>334</v>
      </c>
      <c r="O20" t="s">
        <v>246</v>
      </c>
      <c r="P20" s="288" t="s">
        <v>42</v>
      </c>
      <c r="Q20">
        <f>COUNTIFS(Schedules[Employee Name],TeamList[[#This Row],[Employee Name]])</f>
        <v>7</v>
      </c>
      <c r="S20" s="1">
        <v>1527356</v>
      </c>
      <c r="T20" s="146" t="str">
        <f>Schedules[[#This Row],[Employee Name]]&amp;Schedules[[#This Row],[DOW]]</f>
        <v>Wonser, ShannonTue</v>
      </c>
      <c r="U20" s="4" t="str">
        <f>IFERROR(VLOOKUP(Schedules[[#This Row],[EE ID]],TeamList[],MATCH(Schedules[[#Headers],[Employee Name]],TeamList[#Headers],0),0),"_NO MATCH")</f>
        <v>Wonser, Shannon</v>
      </c>
      <c r="V20" s="4" t="str">
        <f>IFERROR(VLOOKUP(Schedules[[#This Row],[EE ID]],TeamList[],MATCH(Schedules[[#Headers],[Dept]],TeamList[#Headers],0),0),"_NO MATCH")</f>
        <v>Lead Billing</v>
      </c>
      <c r="W20" s="286" t="s">
        <v>8</v>
      </c>
      <c r="X20" s="4" t="str">
        <f>IFERROR(IF(VLOOKUP(Schedules[[#This Row],[EE ID]],TeamList[],MATCH(Schedules[[#This Row],[DOW]],TeamList[#Headers],0),0)="OFF","OFF","SCH"),"_NO MATCH")</f>
        <v>SCH</v>
      </c>
      <c r="Y20" s="4" t="str">
        <f>IFERROR(IF(Schedules[[#This Row],[Scheduled]]="OFF","",LEFT(VLOOKUP(Schedules[[#This Row],[EE ID]],TeamList[],MATCH(Schedules[[#This Row],[DOW]],TeamList[#Headers],0),0),4)),"_NO MATCH")</f>
        <v>16:0</v>
      </c>
      <c r="Z20" s="4" t="str">
        <f>IFERROR(IF(Schedules[[#This Row],[Scheduled]]="OFF","",RIGHT(VLOOKUP(Schedules[[#This Row],[EE ID]],TeamList[],MATCH(Schedules[[#This Row],[DOW]],TeamList[#Headers],0),0),4)),"_NO MATCH")</f>
        <v>1:00</v>
      </c>
    </row>
    <row r="21" spans="2:26" x14ac:dyDescent="0.25">
      <c r="B21">
        <v>1530375</v>
      </c>
      <c r="C21">
        <v>4112901</v>
      </c>
      <c r="D21" t="s">
        <v>236</v>
      </c>
      <c r="E21" s="210">
        <v>42325</v>
      </c>
      <c r="F21" s="210" t="s">
        <v>282</v>
      </c>
      <c r="G21" t="s">
        <v>384</v>
      </c>
      <c r="H21" t="s">
        <v>336</v>
      </c>
      <c r="I21" t="s">
        <v>336</v>
      </c>
      <c r="J21" t="s">
        <v>336</v>
      </c>
      <c r="K21" t="s">
        <v>16</v>
      </c>
      <c r="L21" t="s">
        <v>16</v>
      </c>
      <c r="M21" t="s">
        <v>336</v>
      </c>
      <c r="N21" t="s">
        <v>336</v>
      </c>
      <c r="O21" t="s">
        <v>246</v>
      </c>
      <c r="P21" s="288" t="s">
        <v>42</v>
      </c>
      <c r="Q21">
        <f>COUNTIFS(Schedules[Employee Name],TeamList[[#This Row],[Employee Name]])</f>
        <v>7</v>
      </c>
      <c r="S21" s="1">
        <v>1527356</v>
      </c>
      <c r="T21" s="146" t="str">
        <f>Schedules[[#This Row],[Employee Name]]&amp;Schedules[[#This Row],[DOW]]</f>
        <v>Wonser, ShannonThu</v>
      </c>
      <c r="U21" s="4" t="str">
        <f>IFERROR(VLOOKUP(Schedules[[#This Row],[EE ID]],TeamList[],MATCH(Schedules[[#Headers],[Employee Name]],TeamList[#Headers],0),0),"_NO MATCH")</f>
        <v>Wonser, Shannon</v>
      </c>
      <c r="V21" s="4" t="str">
        <f>IFERROR(VLOOKUP(Schedules[[#This Row],[EE ID]],TeamList[],MATCH(Schedules[[#Headers],[Dept]],TeamList[#Headers],0),0),"_NO MATCH")</f>
        <v>Lead Billing</v>
      </c>
      <c r="W21" s="286" t="s">
        <v>10</v>
      </c>
      <c r="X21" s="4" t="str">
        <f>IFERROR(IF(VLOOKUP(Schedules[[#This Row],[EE ID]],TeamList[],MATCH(Schedules[[#This Row],[DOW]],TeamList[#Headers],0),0)="OFF","OFF","SCH"),"_NO MATCH")</f>
        <v>OFF</v>
      </c>
      <c r="Y21" s="4" t="str">
        <f>IFERROR(IF(Schedules[[#This Row],[Scheduled]]="OFF","",LEFT(VLOOKUP(Schedules[[#This Row],[EE ID]],TeamList[],MATCH(Schedules[[#This Row],[DOW]],TeamList[#Headers],0),0),4)),"_NO MATCH")</f>
        <v/>
      </c>
      <c r="Z21" s="4" t="str">
        <f>IFERROR(IF(Schedules[[#This Row],[Scheduled]]="OFF","",RIGHT(VLOOKUP(Schedules[[#This Row],[EE ID]],TeamList[],MATCH(Schedules[[#This Row],[DOW]],TeamList[#Headers],0),0),4)),"_NO MATCH")</f>
        <v/>
      </c>
    </row>
    <row r="22" spans="2:26" x14ac:dyDescent="0.25">
      <c r="B22">
        <v>1511017</v>
      </c>
      <c r="C22">
        <v>4112905</v>
      </c>
      <c r="D22" t="s">
        <v>30</v>
      </c>
      <c r="E22" s="210">
        <v>37347</v>
      </c>
      <c r="F22" s="210" t="s">
        <v>286</v>
      </c>
      <c r="G22" t="s">
        <v>384</v>
      </c>
      <c r="H22" t="s">
        <v>16</v>
      </c>
      <c r="I22" t="s">
        <v>333</v>
      </c>
      <c r="J22" t="s">
        <v>333</v>
      </c>
      <c r="K22" t="s">
        <v>333</v>
      </c>
      <c r="L22" t="s">
        <v>333</v>
      </c>
      <c r="M22" t="s">
        <v>333</v>
      </c>
      <c r="N22" t="s">
        <v>16</v>
      </c>
      <c r="O22" t="s">
        <v>246</v>
      </c>
      <c r="P22" s="288" t="s">
        <v>42</v>
      </c>
      <c r="Q22">
        <f>COUNTIFS(Schedules[Employee Name],TeamList[[#This Row],[Employee Name]])</f>
        <v>7</v>
      </c>
      <c r="S22" s="1">
        <v>1527356</v>
      </c>
      <c r="T22" s="146" t="str">
        <f>Schedules[[#This Row],[Employee Name]]&amp;Schedules[[#This Row],[DOW]]</f>
        <v>Wonser, ShannonSun</v>
      </c>
      <c r="U22" s="4" t="str">
        <f>IFERROR(VLOOKUP(Schedules[[#This Row],[EE ID]],TeamList[],MATCH(Schedules[[#Headers],[Employee Name]],TeamList[#Headers],0),0),"_NO MATCH")</f>
        <v>Wonser, Shannon</v>
      </c>
      <c r="V22" s="4" t="str">
        <f>IFERROR(VLOOKUP(Schedules[[#This Row],[EE ID]],TeamList[],MATCH(Schedules[[#Headers],[Dept]],TeamList[#Headers],0),0),"_NO MATCH")</f>
        <v>Lead Billing</v>
      </c>
      <c r="W22" s="287" t="s">
        <v>6</v>
      </c>
      <c r="X22" s="1" t="str">
        <f>IFERROR(IF(VLOOKUP(Schedules[[#This Row],[EE ID]],TeamList[],MATCH(Schedules[[#This Row],[DOW]],TeamList[#Headers],0),0)="OFF","OFF","SCH"),"_NO MATCH")</f>
        <v>SCH</v>
      </c>
      <c r="Y22" s="1" t="str">
        <f>IFERROR(IF(Schedules[[#This Row],[Scheduled]]="OFF","",LEFT(VLOOKUP(Schedules[[#This Row],[EE ID]],TeamList[],MATCH(Schedules[[#This Row],[DOW]],TeamList[#Headers],0),0),4)),"_NO MATCH")</f>
        <v>16:0</v>
      </c>
      <c r="Z22" s="1" t="str">
        <f>IFERROR(IF(Schedules[[#This Row],[Scheduled]]="OFF","",RIGHT(VLOOKUP(Schedules[[#This Row],[EE ID]],TeamList[],MATCH(Schedules[[#This Row],[DOW]],TeamList[#Headers],0),0),4)),"_NO MATCH")</f>
        <v>1:00</v>
      </c>
    </row>
    <row r="23" spans="2:26" x14ac:dyDescent="0.25">
      <c r="B23">
        <v>1515633</v>
      </c>
      <c r="C23">
        <v>4112908</v>
      </c>
      <c r="D23" t="s">
        <v>29</v>
      </c>
      <c r="E23" s="210">
        <v>39937</v>
      </c>
      <c r="F23" s="210" t="s">
        <v>287</v>
      </c>
      <c r="G23" t="s">
        <v>384</v>
      </c>
      <c r="H23" t="s">
        <v>339</v>
      </c>
      <c r="I23" t="s">
        <v>339</v>
      </c>
      <c r="J23" t="s">
        <v>339</v>
      </c>
      <c r="K23" t="s">
        <v>339</v>
      </c>
      <c r="L23" t="s">
        <v>339</v>
      </c>
      <c r="M23" t="s">
        <v>16</v>
      </c>
      <c r="N23" t="s">
        <v>16</v>
      </c>
      <c r="O23" t="s">
        <v>246</v>
      </c>
      <c r="P23" s="288" t="s">
        <v>42</v>
      </c>
      <c r="Q23">
        <f>COUNTIFS(Schedules[Employee Name],TeamList[[#This Row],[Employee Name]])</f>
        <v>7</v>
      </c>
      <c r="S23" s="1">
        <v>1527356</v>
      </c>
      <c r="T23" s="146" t="str">
        <f>Schedules[[#This Row],[Employee Name]]&amp;Schedules[[#This Row],[DOW]]</f>
        <v>Wonser, ShannonSat</v>
      </c>
      <c r="U23" s="4" t="str">
        <f>IFERROR(VLOOKUP(Schedules[[#This Row],[EE ID]],TeamList[],MATCH(Schedules[[#Headers],[Employee Name]],TeamList[#Headers],0),0),"_NO MATCH")</f>
        <v>Wonser, Shannon</v>
      </c>
      <c r="V23" s="4" t="str">
        <f>IFERROR(VLOOKUP(Schedules[[#This Row],[EE ID]],TeamList[],MATCH(Schedules[[#Headers],[Dept]],TeamList[#Headers],0),0),"_NO MATCH")</f>
        <v>Lead Billing</v>
      </c>
      <c r="W23" s="286" t="s">
        <v>12</v>
      </c>
      <c r="X23" s="4" t="str">
        <f>IFERROR(IF(VLOOKUP(Schedules[[#This Row],[EE ID]],TeamList[],MATCH(Schedules[[#This Row],[DOW]],TeamList[#Headers],0),0)="OFF","OFF","SCH"),"_NO MATCH")</f>
        <v>SCH</v>
      </c>
      <c r="Y23" s="4" t="str">
        <f>IFERROR(IF(Schedules[[#This Row],[Scheduled]]="OFF","",LEFT(VLOOKUP(Schedules[[#This Row],[EE ID]],TeamList[],MATCH(Schedules[[#This Row],[DOW]],TeamList[#Headers],0),0),4)),"_NO MATCH")</f>
        <v>16:0</v>
      </c>
      <c r="Z23" s="4" t="str">
        <f>IFERROR(IF(Schedules[[#This Row],[Scheduled]]="OFF","",RIGHT(VLOOKUP(Schedules[[#This Row],[EE ID]],TeamList[],MATCH(Schedules[[#This Row],[DOW]],TeamList[#Headers],0),0),4)),"_NO MATCH")</f>
        <v>1:00</v>
      </c>
    </row>
    <row r="24" spans="2:26" x14ac:dyDescent="0.25">
      <c r="B24">
        <v>1513348</v>
      </c>
      <c r="C24">
        <v>4112911</v>
      </c>
      <c r="D24" t="s">
        <v>54</v>
      </c>
      <c r="E24" s="210">
        <v>38915</v>
      </c>
      <c r="F24" s="210" t="s">
        <v>290</v>
      </c>
      <c r="G24" t="s">
        <v>384</v>
      </c>
      <c r="H24" t="s">
        <v>16</v>
      </c>
      <c r="I24" t="s">
        <v>16</v>
      </c>
      <c r="J24" t="s">
        <v>342</v>
      </c>
      <c r="K24" t="s">
        <v>342</v>
      </c>
      <c r="L24" t="s">
        <v>342</v>
      </c>
      <c r="M24" t="s">
        <v>342</v>
      </c>
      <c r="N24" t="s">
        <v>342</v>
      </c>
      <c r="O24" t="s">
        <v>246</v>
      </c>
      <c r="P24" s="288" t="s">
        <v>42</v>
      </c>
      <c r="Q24">
        <f>COUNTIFS(Schedules[Employee Name],TeamList[[#This Row],[Employee Name]])</f>
        <v>7</v>
      </c>
      <c r="S24" s="1">
        <v>1527356</v>
      </c>
      <c r="T24" s="146" t="str">
        <f>Schedules[[#This Row],[Employee Name]]&amp;Schedules[[#This Row],[DOW]]</f>
        <v>Wonser, ShannonMon</v>
      </c>
      <c r="U24" s="4" t="str">
        <f>IFERROR(VLOOKUP(Schedules[[#This Row],[EE ID]],TeamList[],MATCH(Schedules[[#Headers],[Employee Name]],TeamList[#Headers],0),0),"_NO MATCH")</f>
        <v>Wonser, Shannon</v>
      </c>
      <c r="V24" s="4" t="str">
        <f>IFERROR(VLOOKUP(Schedules[[#This Row],[EE ID]],TeamList[],MATCH(Schedules[[#Headers],[Dept]],TeamList[#Headers],0),0),"_NO MATCH")</f>
        <v>Lead Billing</v>
      </c>
      <c r="W24" s="286" t="s">
        <v>7</v>
      </c>
      <c r="X24" s="4" t="str">
        <f>IFERROR(IF(VLOOKUP(Schedules[[#This Row],[EE ID]],TeamList[],MATCH(Schedules[[#This Row],[DOW]],TeamList[#Headers],0),0)="OFF","OFF","SCH"),"_NO MATCH")</f>
        <v>SCH</v>
      </c>
      <c r="Y24" s="4" t="str">
        <f>IFERROR(IF(Schedules[[#This Row],[Scheduled]]="OFF","",LEFT(VLOOKUP(Schedules[[#This Row],[EE ID]],TeamList[],MATCH(Schedules[[#This Row],[DOW]],TeamList[#Headers],0),0),4)),"_NO MATCH")</f>
        <v>16:0</v>
      </c>
      <c r="Z24" s="4" t="str">
        <f>IFERROR(IF(Schedules[[#This Row],[Scheduled]]="OFF","",RIGHT(VLOOKUP(Schedules[[#This Row],[EE ID]],TeamList[],MATCH(Schedules[[#This Row],[DOW]],TeamList[#Headers],0),0),4)),"_NO MATCH")</f>
        <v>1:00</v>
      </c>
    </row>
    <row r="25" spans="2:26" x14ac:dyDescent="0.25">
      <c r="B25">
        <v>1515784</v>
      </c>
      <c r="C25">
        <v>4112913</v>
      </c>
      <c r="D25" t="s">
        <v>69</v>
      </c>
      <c r="E25" s="210">
        <v>40007</v>
      </c>
      <c r="F25" s="210" t="s">
        <v>292</v>
      </c>
      <c r="G25" t="s">
        <v>384</v>
      </c>
      <c r="H25" t="s">
        <v>16</v>
      </c>
      <c r="I25" t="s">
        <v>16</v>
      </c>
      <c r="J25" t="s">
        <v>343</v>
      </c>
      <c r="K25" t="s">
        <v>343</v>
      </c>
      <c r="L25" t="s">
        <v>343</v>
      </c>
      <c r="M25" t="s">
        <v>343</v>
      </c>
      <c r="N25" t="s">
        <v>343</v>
      </c>
      <c r="O25" t="s">
        <v>246</v>
      </c>
      <c r="P25" s="288" t="s">
        <v>42</v>
      </c>
      <c r="Q25">
        <f>COUNTIFS(Schedules[Employee Name],TeamList[[#This Row],[Employee Name]])</f>
        <v>7</v>
      </c>
      <c r="S25" s="1">
        <v>1527356</v>
      </c>
      <c r="T25" s="146" t="str">
        <f>Schedules[[#This Row],[Employee Name]]&amp;Schedules[[#This Row],[DOW]]</f>
        <v>Wonser, ShannonFri</v>
      </c>
      <c r="U25" s="4" t="str">
        <f>IFERROR(VLOOKUP(Schedules[[#This Row],[EE ID]],TeamList[],MATCH(Schedules[[#Headers],[Employee Name]],TeamList[#Headers],0),0),"_NO MATCH")</f>
        <v>Wonser, Shannon</v>
      </c>
      <c r="V25" s="4" t="str">
        <f>IFERROR(VLOOKUP(Schedules[[#This Row],[EE ID]],TeamList[],MATCH(Schedules[[#Headers],[Dept]],TeamList[#Headers],0),0),"_NO MATCH")</f>
        <v>Lead Billing</v>
      </c>
      <c r="W25" s="286" t="s">
        <v>11</v>
      </c>
      <c r="X25" s="4" t="str">
        <f>IFERROR(IF(VLOOKUP(Schedules[[#This Row],[EE ID]],TeamList[],MATCH(Schedules[[#This Row],[DOW]],TeamList[#Headers],0),0)="OFF","OFF","SCH"),"_NO MATCH")</f>
        <v>OFF</v>
      </c>
      <c r="Y25" s="4" t="str">
        <f>IFERROR(IF(Schedules[[#This Row],[Scheduled]]="OFF","",LEFT(VLOOKUP(Schedules[[#This Row],[EE ID]],TeamList[],MATCH(Schedules[[#This Row],[DOW]],TeamList[#Headers],0),0),4)),"_NO MATCH")</f>
        <v/>
      </c>
      <c r="Z25" s="4" t="str">
        <f>IFERROR(IF(Schedules[[#This Row],[Scheduled]]="OFF","",RIGHT(VLOOKUP(Schedules[[#This Row],[EE ID]],TeamList[],MATCH(Schedules[[#This Row],[DOW]],TeamList[#Headers],0),0),4)),"_NO MATCH")</f>
        <v/>
      </c>
    </row>
    <row r="26" spans="2:26" x14ac:dyDescent="0.25">
      <c r="B26">
        <v>1529393</v>
      </c>
      <c r="C26">
        <v>4112915</v>
      </c>
      <c r="D26" t="s">
        <v>238</v>
      </c>
      <c r="E26" s="210">
        <v>42262</v>
      </c>
      <c r="F26" s="210" t="s">
        <v>294</v>
      </c>
      <c r="G26" t="s">
        <v>384</v>
      </c>
      <c r="H26" t="s">
        <v>342</v>
      </c>
      <c r="I26" t="s">
        <v>342</v>
      </c>
      <c r="J26" t="s">
        <v>342</v>
      </c>
      <c r="K26" t="s">
        <v>16</v>
      </c>
      <c r="L26" t="s">
        <v>16</v>
      </c>
      <c r="M26" t="s">
        <v>342</v>
      </c>
      <c r="N26" t="s">
        <v>342</v>
      </c>
      <c r="O26" t="s">
        <v>246</v>
      </c>
      <c r="P26" s="288" t="s">
        <v>42</v>
      </c>
      <c r="Q26">
        <f>COUNTIFS(Schedules[Employee Name],TeamList[[#This Row],[Employee Name]])</f>
        <v>7</v>
      </c>
      <c r="S26" s="1">
        <v>1524817</v>
      </c>
      <c r="T26" s="146" t="str">
        <f>Schedules[[#This Row],[Employee Name]]&amp;Schedules[[#This Row],[DOW]]</f>
        <v>_NO MATCHWed</v>
      </c>
      <c r="U26" s="4" t="str">
        <f>IFERROR(VLOOKUP(Schedules[[#This Row],[EE ID]],TeamList[],MATCH(Schedules[[#Headers],[Employee Name]],TeamList[#Headers],0),0),"_NO MATCH")</f>
        <v>_NO MATCH</v>
      </c>
      <c r="V26" s="4" t="str">
        <f>IFERROR(VLOOKUP(Schedules[[#This Row],[EE ID]],TeamList[],MATCH(Schedules[[#Headers],[Dept]],TeamList[#Headers],0),0),"_NO MATCH")</f>
        <v>_NO MATCH</v>
      </c>
      <c r="W26" s="286" t="s">
        <v>9</v>
      </c>
      <c r="X26" s="4" t="str">
        <f>IFERROR(IF(VLOOKUP(Schedules[[#This Row],[EE ID]],TeamList[],MATCH(Schedules[[#This Row],[DOW]],TeamList[#Headers],0),0)="OFF","OFF","SCH"),"_NO MATCH")</f>
        <v>_NO MATCH</v>
      </c>
      <c r="Y26" s="4" t="str">
        <f>IFERROR(IF(Schedules[[#This Row],[Scheduled]]="OFF","",LEFT(VLOOKUP(Schedules[[#This Row],[EE ID]],TeamList[],MATCH(Schedules[[#This Row],[DOW]],TeamList[#Headers],0),0),4)),"_NO MATCH")</f>
        <v>_NO MATCH</v>
      </c>
      <c r="Z26" s="4" t="str">
        <f>IFERROR(IF(Schedules[[#This Row],[Scheduled]]="OFF","",RIGHT(VLOOKUP(Schedules[[#This Row],[EE ID]],TeamList[],MATCH(Schedules[[#This Row],[DOW]],TeamList[#Headers],0),0),4)),"_NO MATCH")</f>
        <v>_NO MATCH</v>
      </c>
    </row>
    <row r="27" spans="2:26" x14ac:dyDescent="0.25">
      <c r="B27">
        <v>1529156</v>
      </c>
      <c r="C27">
        <v>4112916</v>
      </c>
      <c r="D27" t="s">
        <v>234</v>
      </c>
      <c r="E27" s="210">
        <v>42234</v>
      </c>
      <c r="F27" s="210" t="s">
        <v>295</v>
      </c>
      <c r="G27" t="s">
        <v>384</v>
      </c>
      <c r="H27" t="s">
        <v>342</v>
      </c>
      <c r="I27" t="s">
        <v>342</v>
      </c>
      <c r="J27" t="s">
        <v>342</v>
      </c>
      <c r="K27" t="s">
        <v>342</v>
      </c>
      <c r="L27" t="s">
        <v>16</v>
      </c>
      <c r="M27" t="s">
        <v>16</v>
      </c>
      <c r="N27" t="s">
        <v>342</v>
      </c>
      <c r="O27" t="s">
        <v>246</v>
      </c>
      <c r="P27" s="288" t="s">
        <v>42</v>
      </c>
      <c r="Q27">
        <f>COUNTIFS(Schedules[Employee Name],TeamList[[#This Row],[Employee Name]])</f>
        <v>7</v>
      </c>
      <c r="S27" s="1">
        <v>1524817</v>
      </c>
      <c r="T27" s="146" t="str">
        <f>Schedules[[#This Row],[Employee Name]]&amp;Schedules[[#This Row],[DOW]]</f>
        <v>_NO MATCHTue</v>
      </c>
      <c r="U27" s="4" t="str">
        <f>IFERROR(VLOOKUP(Schedules[[#This Row],[EE ID]],TeamList[],MATCH(Schedules[[#Headers],[Employee Name]],TeamList[#Headers],0),0),"_NO MATCH")</f>
        <v>_NO MATCH</v>
      </c>
      <c r="V27" s="4" t="str">
        <f>IFERROR(VLOOKUP(Schedules[[#This Row],[EE ID]],TeamList[],MATCH(Schedules[[#Headers],[Dept]],TeamList[#Headers],0),0),"_NO MATCH")</f>
        <v>_NO MATCH</v>
      </c>
      <c r="W27" s="286" t="s">
        <v>8</v>
      </c>
      <c r="X27" s="4" t="str">
        <f>IFERROR(IF(VLOOKUP(Schedules[[#This Row],[EE ID]],TeamList[],MATCH(Schedules[[#This Row],[DOW]],TeamList[#Headers],0),0)="OFF","OFF","SCH"),"_NO MATCH")</f>
        <v>_NO MATCH</v>
      </c>
      <c r="Y27" s="4" t="str">
        <f>IFERROR(IF(Schedules[[#This Row],[Scheduled]]="OFF","",LEFT(VLOOKUP(Schedules[[#This Row],[EE ID]],TeamList[],MATCH(Schedules[[#This Row],[DOW]],TeamList[#Headers],0),0),4)),"_NO MATCH")</f>
        <v>_NO MATCH</v>
      </c>
      <c r="Z27" s="4" t="str">
        <f>IFERROR(IF(Schedules[[#This Row],[Scheduled]]="OFF","",RIGHT(VLOOKUP(Schedules[[#This Row],[EE ID]],TeamList[],MATCH(Schedules[[#This Row],[DOW]],TeamList[#Headers],0),0),4)),"_NO MATCH")</f>
        <v>_NO MATCH</v>
      </c>
    </row>
    <row r="28" spans="2:26" x14ac:dyDescent="0.25">
      <c r="B28">
        <v>1527356</v>
      </c>
      <c r="C28">
        <v>4112917</v>
      </c>
      <c r="D28" t="s">
        <v>232</v>
      </c>
      <c r="E28" s="210">
        <v>42087</v>
      </c>
      <c r="F28" s="210" t="s">
        <v>296</v>
      </c>
      <c r="G28" t="s">
        <v>384</v>
      </c>
      <c r="H28" t="s">
        <v>345</v>
      </c>
      <c r="I28" t="s">
        <v>345</v>
      </c>
      <c r="J28" t="s">
        <v>345</v>
      </c>
      <c r="K28" t="s">
        <v>345</v>
      </c>
      <c r="L28" t="s">
        <v>16</v>
      </c>
      <c r="M28" t="s">
        <v>16</v>
      </c>
      <c r="N28" t="s">
        <v>345</v>
      </c>
      <c r="O28" t="s">
        <v>246</v>
      </c>
      <c r="P28" s="288" t="s">
        <v>42</v>
      </c>
      <c r="Q28">
        <f>COUNTIFS(Schedules[Employee Name],TeamList[[#This Row],[Employee Name]])</f>
        <v>7</v>
      </c>
      <c r="S28" s="1">
        <v>1524817</v>
      </c>
      <c r="T28" s="146" t="str">
        <f>Schedules[[#This Row],[Employee Name]]&amp;Schedules[[#This Row],[DOW]]</f>
        <v>_NO MATCHThu</v>
      </c>
      <c r="U28" s="4" t="str">
        <f>IFERROR(VLOOKUP(Schedules[[#This Row],[EE ID]],TeamList[],MATCH(Schedules[[#Headers],[Employee Name]],TeamList[#Headers],0),0),"_NO MATCH")</f>
        <v>_NO MATCH</v>
      </c>
      <c r="V28" s="4" t="str">
        <f>IFERROR(VLOOKUP(Schedules[[#This Row],[EE ID]],TeamList[],MATCH(Schedules[[#Headers],[Dept]],TeamList[#Headers],0),0),"_NO MATCH")</f>
        <v>_NO MATCH</v>
      </c>
      <c r="W28" s="286" t="s">
        <v>10</v>
      </c>
      <c r="X28" s="4" t="str">
        <f>IFERROR(IF(VLOOKUP(Schedules[[#This Row],[EE ID]],TeamList[],MATCH(Schedules[[#This Row],[DOW]],TeamList[#Headers],0),0)="OFF","OFF","SCH"),"_NO MATCH")</f>
        <v>_NO MATCH</v>
      </c>
      <c r="Y28" s="4" t="str">
        <f>IFERROR(IF(Schedules[[#This Row],[Scheduled]]="OFF","",LEFT(VLOOKUP(Schedules[[#This Row],[EE ID]],TeamList[],MATCH(Schedules[[#This Row],[DOW]],TeamList[#Headers],0),0),4)),"_NO MATCH")</f>
        <v>_NO MATCH</v>
      </c>
      <c r="Z28" s="4" t="str">
        <f>IFERROR(IF(Schedules[[#This Row],[Scheduled]]="OFF","",RIGHT(VLOOKUP(Schedules[[#This Row],[EE ID]],TeamList[],MATCH(Schedules[[#This Row],[DOW]],TeamList[#Headers],0),0),4)),"_NO MATCH")</f>
        <v>_NO MATCH</v>
      </c>
    </row>
    <row r="29" spans="2:26" x14ac:dyDescent="0.25">
      <c r="B29">
        <v>1511794</v>
      </c>
      <c r="C29">
        <v>4112923</v>
      </c>
      <c r="D29" t="s">
        <v>63</v>
      </c>
      <c r="E29" s="210">
        <v>38139</v>
      </c>
      <c r="F29" s="210" t="s">
        <v>304</v>
      </c>
      <c r="G29" t="s">
        <v>385</v>
      </c>
      <c r="H29" t="s">
        <v>328</v>
      </c>
      <c r="I29" t="s">
        <v>328</v>
      </c>
      <c r="J29" t="s">
        <v>328</v>
      </c>
      <c r="K29" t="s">
        <v>328</v>
      </c>
      <c r="L29" t="s">
        <v>16</v>
      </c>
      <c r="M29" t="s">
        <v>16</v>
      </c>
      <c r="N29" t="s">
        <v>328</v>
      </c>
      <c r="P29" s="288" t="s">
        <v>249</v>
      </c>
      <c r="Q29">
        <f>COUNTIFS(Schedules[Employee Name],TeamList[[#This Row],[Employee Name]])</f>
        <v>7</v>
      </c>
      <c r="S29" s="1">
        <v>1524817</v>
      </c>
      <c r="T29" s="146" t="str">
        <f>Schedules[[#This Row],[Employee Name]]&amp;Schedules[[#This Row],[DOW]]</f>
        <v>_NO MATCHSun</v>
      </c>
      <c r="U29" s="4" t="str">
        <f>IFERROR(VLOOKUP(Schedules[[#This Row],[EE ID]],TeamList[],MATCH(Schedules[[#Headers],[Employee Name]],TeamList[#Headers],0),0),"_NO MATCH")</f>
        <v>_NO MATCH</v>
      </c>
      <c r="V29" s="4" t="str">
        <f>IFERROR(VLOOKUP(Schedules[[#This Row],[EE ID]],TeamList[],MATCH(Schedules[[#Headers],[Dept]],TeamList[#Headers],0),0),"_NO MATCH")</f>
        <v>_NO MATCH</v>
      </c>
      <c r="W29" s="287" t="s">
        <v>6</v>
      </c>
      <c r="X29" s="1" t="str">
        <f>IFERROR(IF(VLOOKUP(Schedules[[#This Row],[EE ID]],TeamList[],MATCH(Schedules[[#This Row],[DOW]],TeamList[#Headers],0),0)="OFF","OFF","SCH"),"_NO MATCH")</f>
        <v>_NO MATCH</v>
      </c>
      <c r="Y29" s="1" t="str">
        <f>IFERROR(IF(Schedules[[#This Row],[Scheduled]]="OFF","",LEFT(VLOOKUP(Schedules[[#This Row],[EE ID]],TeamList[],MATCH(Schedules[[#This Row],[DOW]],TeamList[#Headers],0),0),4)),"_NO MATCH")</f>
        <v>_NO MATCH</v>
      </c>
      <c r="Z29" s="1" t="str">
        <f>IFERROR(IF(Schedules[[#This Row],[Scheduled]]="OFF","",RIGHT(VLOOKUP(Schedules[[#This Row],[EE ID]],TeamList[],MATCH(Schedules[[#This Row],[DOW]],TeamList[#Headers],0),0),4)),"_NO MATCH")</f>
        <v>_NO MATCH</v>
      </c>
    </row>
    <row r="30" spans="2:26" x14ac:dyDescent="0.25">
      <c r="B30">
        <v>1516770</v>
      </c>
      <c r="C30">
        <v>4112925</v>
      </c>
      <c r="D30" t="s">
        <v>245</v>
      </c>
      <c r="E30" s="210">
        <v>40448</v>
      </c>
      <c r="F30" s="210" t="s">
        <v>300</v>
      </c>
      <c r="G30" t="s">
        <v>385</v>
      </c>
      <c r="H30" t="s">
        <v>16</v>
      </c>
      <c r="I30" t="s">
        <v>349</v>
      </c>
      <c r="J30" t="s">
        <v>349</v>
      </c>
      <c r="K30" t="s">
        <v>349</v>
      </c>
      <c r="L30" t="s">
        <v>349</v>
      </c>
      <c r="M30" t="s">
        <v>349</v>
      </c>
      <c r="N30" t="s">
        <v>16</v>
      </c>
      <c r="P30" s="288" t="s">
        <v>249</v>
      </c>
      <c r="Q30">
        <f>COUNTIFS(Schedules[Employee Name],TeamList[[#This Row],[Employee Name]])</f>
        <v>7</v>
      </c>
      <c r="S30" s="1">
        <v>1524817</v>
      </c>
      <c r="T30" s="146" t="str">
        <f>Schedules[[#This Row],[Employee Name]]&amp;Schedules[[#This Row],[DOW]]</f>
        <v>_NO MATCHSat</v>
      </c>
      <c r="U30" s="4" t="str">
        <f>IFERROR(VLOOKUP(Schedules[[#This Row],[EE ID]],TeamList[],MATCH(Schedules[[#Headers],[Employee Name]],TeamList[#Headers],0),0),"_NO MATCH")</f>
        <v>_NO MATCH</v>
      </c>
      <c r="V30" s="4" t="str">
        <f>IFERROR(VLOOKUP(Schedules[[#This Row],[EE ID]],TeamList[],MATCH(Schedules[[#Headers],[Dept]],TeamList[#Headers],0),0),"_NO MATCH")</f>
        <v>_NO MATCH</v>
      </c>
      <c r="W30" s="286" t="s">
        <v>12</v>
      </c>
      <c r="X30" s="4" t="str">
        <f>IFERROR(IF(VLOOKUP(Schedules[[#This Row],[EE ID]],TeamList[],MATCH(Schedules[[#This Row],[DOW]],TeamList[#Headers],0),0)="OFF","OFF","SCH"),"_NO MATCH")</f>
        <v>_NO MATCH</v>
      </c>
      <c r="Y30" s="4" t="str">
        <f>IFERROR(IF(Schedules[[#This Row],[Scheduled]]="OFF","",LEFT(VLOOKUP(Schedules[[#This Row],[EE ID]],TeamList[],MATCH(Schedules[[#This Row],[DOW]],TeamList[#Headers],0),0),4)),"_NO MATCH")</f>
        <v>_NO MATCH</v>
      </c>
      <c r="Z30" s="4" t="str">
        <f>IFERROR(IF(Schedules[[#This Row],[Scheduled]]="OFF","",RIGHT(VLOOKUP(Schedules[[#This Row],[EE ID]],TeamList[],MATCH(Schedules[[#This Row],[DOW]],TeamList[#Headers],0),0),4)),"_NO MATCH")</f>
        <v>_NO MATCH</v>
      </c>
    </row>
    <row r="31" spans="2:26" x14ac:dyDescent="0.25">
      <c r="B31">
        <v>1511019</v>
      </c>
      <c r="C31">
        <v>4112935</v>
      </c>
      <c r="D31" t="s">
        <v>51</v>
      </c>
      <c r="E31" s="210">
        <v>37347</v>
      </c>
      <c r="F31" s="210" t="s">
        <v>306</v>
      </c>
      <c r="G31" t="s">
        <v>385</v>
      </c>
      <c r="H31" t="s">
        <v>16</v>
      </c>
      <c r="I31" t="s">
        <v>352</v>
      </c>
      <c r="J31" t="s">
        <v>352</v>
      </c>
      <c r="K31" t="s">
        <v>352</v>
      </c>
      <c r="L31" t="s">
        <v>352</v>
      </c>
      <c r="M31" t="s">
        <v>352</v>
      </c>
      <c r="N31" t="s">
        <v>16</v>
      </c>
      <c r="P31" s="288" t="s">
        <v>249</v>
      </c>
      <c r="Q31">
        <f>COUNTIFS(Schedules[Employee Name],TeamList[[#This Row],[Employee Name]])</f>
        <v>7</v>
      </c>
      <c r="S31" s="197">
        <v>1524817</v>
      </c>
      <c r="T31" s="146" t="str">
        <f>Schedules[[#This Row],[Employee Name]]&amp;Schedules[[#This Row],[DOW]]</f>
        <v>_NO MATCHMon</v>
      </c>
      <c r="U31" s="4" t="str">
        <f>IFERROR(VLOOKUP(Schedules[[#This Row],[EE ID]],TeamList[],MATCH(Schedules[[#Headers],[Employee Name]],TeamList[#Headers],0),0),"_NO MATCH")</f>
        <v>_NO MATCH</v>
      </c>
      <c r="V31" s="4" t="str">
        <f>IFERROR(VLOOKUP(Schedules[[#This Row],[EE ID]],TeamList[],MATCH(Schedules[[#Headers],[Dept]],TeamList[#Headers],0),0),"_NO MATCH")</f>
        <v>_NO MATCH</v>
      </c>
      <c r="W31" s="286" t="s">
        <v>7</v>
      </c>
      <c r="X31" s="4" t="str">
        <f>IFERROR(IF(VLOOKUP(Schedules[[#This Row],[EE ID]],TeamList[],MATCH(Schedules[[#This Row],[DOW]],TeamList[#Headers],0),0)="OFF","OFF","SCH"),"_NO MATCH")</f>
        <v>_NO MATCH</v>
      </c>
      <c r="Y31" s="4" t="str">
        <f>IFERROR(IF(Schedules[[#This Row],[Scheduled]]="OFF","",LEFT(VLOOKUP(Schedules[[#This Row],[EE ID]],TeamList[],MATCH(Schedules[[#This Row],[DOW]],TeamList[#Headers],0),0),4)),"_NO MATCH")</f>
        <v>_NO MATCH</v>
      </c>
      <c r="Z31" s="4" t="str">
        <f>IFERROR(IF(Schedules[[#This Row],[Scheduled]]="OFF","",RIGHT(VLOOKUP(Schedules[[#This Row],[EE ID]],TeamList[],MATCH(Schedules[[#This Row],[DOW]],TeamList[#Headers],0),0),4)),"_NO MATCH")</f>
        <v>_NO MATCH</v>
      </c>
    </row>
    <row r="32" spans="2:26" x14ac:dyDescent="0.25">
      <c r="B32">
        <v>1514220</v>
      </c>
      <c r="C32">
        <v>4112936</v>
      </c>
      <c r="D32" t="s">
        <v>23</v>
      </c>
      <c r="E32" s="210">
        <v>39262</v>
      </c>
      <c r="F32" s="210" t="s">
        <v>317</v>
      </c>
      <c r="G32" t="s">
        <v>385</v>
      </c>
      <c r="H32" t="s">
        <v>351</v>
      </c>
      <c r="I32" t="s">
        <v>351</v>
      </c>
      <c r="J32" t="s">
        <v>351</v>
      </c>
      <c r="K32" t="s">
        <v>351</v>
      </c>
      <c r="L32" t="s">
        <v>351</v>
      </c>
      <c r="M32" t="s">
        <v>16</v>
      </c>
      <c r="N32" t="s">
        <v>16</v>
      </c>
      <c r="P32" s="288" t="s">
        <v>249</v>
      </c>
      <c r="Q32">
        <f>COUNTIFS(Schedules[Employee Name],TeamList[[#This Row],[Employee Name]])</f>
        <v>7</v>
      </c>
      <c r="S32" s="197">
        <v>1524817</v>
      </c>
      <c r="T32" s="146" t="str">
        <f>Schedules[[#This Row],[Employee Name]]&amp;Schedules[[#This Row],[DOW]]</f>
        <v>_NO MATCHFri</v>
      </c>
      <c r="U32" s="4" t="str">
        <f>IFERROR(VLOOKUP(Schedules[[#This Row],[EE ID]],TeamList[],MATCH(Schedules[[#Headers],[Employee Name]],TeamList[#Headers],0),0),"_NO MATCH")</f>
        <v>_NO MATCH</v>
      </c>
      <c r="V32" s="4" t="str">
        <f>IFERROR(VLOOKUP(Schedules[[#This Row],[EE ID]],TeamList[],MATCH(Schedules[[#Headers],[Dept]],TeamList[#Headers],0),0),"_NO MATCH")</f>
        <v>_NO MATCH</v>
      </c>
      <c r="W32" s="286" t="s">
        <v>11</v>
      </c>
      <c r="X32" s="4" t="str">
        <f>IFERROR(IF(VLOOKUP(Schedules[[#This Row],[EE ID]],TeamList[],MATCH(Schedules[[#This Row],[DOW]],TeamList[#Headers],0),0)="OFF","OFF","SCH"),"_NO MATCH")</f>
        <v>_NO MATCH</v>
      </c>
      <c r="Y32" s="4" t="str">
        <f>IFERROR(IF(Schedules[[#This Row],[Scheduled]]="OFF","",LEFT(VLOOKUP(Schedules[[#This Row],[EE ID]],TeamList[],MATCH(Schedules[[#This Row],[DOW]],TeamList[#Headers],0),0),4)),"_NO MATCH")</f>
        <v>_NO MATCH</v>
      </c>
      <c r="Z32" s="4" t="str">
        <f>IFERROR(IF(Schedules[[#This Row],[Scheduled]]="OFF","",RIGHT(VLOOKUP(Schedules[[#This Row],[EE ID]],TeamList[],MATCH(Schedules[[#This Row],[DOW]],TeamList[#Headers],0),0),4)),"_NO MATCH")</f>
        <v>_NO MATCH</v>
      </c>
    </row>
    <row r="33" spans="2:26" x14ac:dyDescent="0.25">
      <c r="B33">
        <v>1531714</v>
      </c>
      <c r="C33">
        <v>4112938</v>
      </c>
      <c r="D33" t="s">
        <v>27</v>
      </c>
      <c r="E33" s="210">
        <v>42402</v>
      </c>
      <c r="F33" s="210" t="s">
        <v>311</v>
      </c>
      <c r="G33" t="s">
        <v>385</v>
      </c>
      <c r="H33" t="s">
        <v>16</v>
      </c>
      <c r="I33" t="s">
        <v>328</v>
      </c>
      <c r="J33" t="s">
        <v>328</v>
      </c>
      <c r="K33" t="s">
        <v>328</v>
      </c>
      <c r="L33" t="s">
        <v>328</v>
      </c>
      <c r="M33" t="s">
        <v>328</v>
      </c>
      <c r="N33" t="s">
        <v>16</v>
      </c>
      <c r="P33" s="288" t="s">
        <v>249</v>
      </c>
      <c r="Q33">
        <f>COUNTIFS(Schedules[Employee Name],TeamList[[#This Row],[Employee Name]])</f>
        <v>7</v>
      </c>
      <c r="S33" s="1">
        <v>1519160</v>
      </c>
      <c r="T33" s="146" t="str">
        <f>Schedules[[#This Row],[Employee Name]]&amp;Schedules[[#This Row],[DOW]]</f>
        <v>Vasbinder, RyanWed</v>
      </c>
      <c r="U33" s="4" t="str">
        <f>IFERROR(VLOOKUP(Schedules[[#This Row],[EE ID]],TeamList[],MATCH(Schedules[[#Headers],[Employee Name]],TeamList[#Headers],0),0),"_NO MATCH")</f>
        <v>Vasbinder, Ryan</v>
      </c>
      <c r="V33" s="4" t="str">
        <f>IFERROR(VLOOKUP(Schedules[[#This Row],[EE ID]],TeamList[],MATCH(Schedules[[#Headers],[Dept]],TeamList[#Headers],0),0),"_NO MATCH")</f>
        <v>Sup, Customer Service</v>
      </c>
      <c r="W33" s="286" t="s">
        <v>9</v>
      </c>
      <c r="X33" s="4" t="str">
        <f>IFERROR(IF(VLOOKUP(Schedules[[#This Row],[EE ID]],TeamList[],MATCH(Schedules[[#This Row],[DOW]],TeamList[#Headers],0),0)="OFF","OFF","SCH"),"_NO MATCH")</f>
        <v>OFF</v>
      </c>
      <c r="Y33" s="4" t="str">
        <f>IFERROR(IF(Schedules[[#This Row],[Scheduled]]="OFF","",LEFT(VLOOKUP(Schedules[[#This Row],[EE ID]],TeamList[],MATCH(Schedules[[#This Row],[DOW]],TeamList[#Headers],0),0),4)),"_NO MATCH")</f>
        <v/>
      </c>
      <c r="Z33" s="4" t="str">
        <f>IFERROR(IF(Schedules[[#This Row],[Scheduled]]="OFF","",RIGHT(VLOOKUP(Schedules[[#This Row],[EE ID]],TeamList[],MATCH(Schedules[[#This Row],[DOW]],TeamList[#Headers],0),0),4)),"_NO MATCH")</f>
        <v/>
      </c>
    </row>
    <row r="34" spans="2:26" x14ac:dyDescent="0.25">
      <c r="B34">
        <v>1513398</v>
      </c>
      <c r="C34">
        <v>4112941</v>
      </c>
      <c r="D34" t="s">
        <v>25</v>
      </c>
      <c r="E34" s="210">
        <v>38936</v>
      </c>
      <c r="F34" s="210" t="s">
        <v>318</v>
      </c>
      <c r="G34" t="s">
        <v>385</v>
      </c>
      <c r="H34" t="s">
        <v>16</v>
      </c>
      <c r="I34" t="s">
        <v>16</v>
      </c>
      <c r="J34" t="s">
        <v>356</v>
      </c>
      <c r="K34" t="s">
        <v>356</v>
      </c>
      <c r="L34" t="s">
        <v>356</v>
      </c>
      <c r="M34" t="s">
        <v>356</v>
      </c>
      <c r="N34" t="s">
        <v>356</v>
      </c>
      <c r="P34" s="288" t="s">
        <v>249</v>
      </c>
      <c r="Q34">
        <f>COUNTIFS(Schedules[Employee Name],TeamList[[#This Row],[Employee Name]])</f>
        <v>7</v>
      </c>
      <c r="S34" s="1">
        <v>1519160</v>
      </c>
      <c r="T34" s="146" t="str">
        <f>Schedules[[#This Row],[Employee Name]]&amp;Schedules[[#This Row],[DOW]]</f>
        <v>Vasbinder, RyanTue</v>
      </c>
      <c r="U34" s="4" t="str">
        <f>IFERROR(VLOOKUP(Schedules[[#This Row],[EE ID]],TeamList[],MATCH(Schedules[[#Headers],[Employee Name]],TeamList[#Headers],0),0),"_NO MATCH")</f>
        <v>Vasbinder, Ryan</v>
      </c>
      <c r="V34" s="4" t="str">
        <f>IFERROR(VLOOKUP(Schedules[[#This Row],[EE ID]],TeamList[],MATCH(Schedules[[#Headers],[Dept]],TeamList[#Headers],0),0),"_NO MATCH")</f>
        <v>Sup, Customer Service</v>
      </c>
      <c r="W34" s="286" t="s">
        <v>8</v>
      </c>
      <c r="X34" s="4" t="str">
        <f>IFERROR(IF(VLOOKUP(Schedules[[#This Row],[EE ID]],TeamList[],MATCH(Schedules[[#This Row],[DOW]],TeamList[#Headers],0),0)="OFF","OFF","SCH"),"_NO MATCH")</f>
        <v>SCH</v>
      </c>
      <c r="Y34" s="4" t="str">
        <f>IFERROR(IF(Schedules[[#This Row],[Scheduled]]="OFF","",LEFT(VLOOKUP(Schedules[[#This Row],[EE ID]],TeamList[],MATCH(Schedules[[#This Row],[DOW]],TeamList[#Headers],0),0),4)),"_NO MATCH")</f>
        <v>09:3</v>
      </c>
      <c r="Z34" s="4" t="str">
        <f>IFERROR(IF(Schedules[[#This Row],[Scheduled]]="OFF","",RIGHT(VLOOKUP(Schedules[[#This Row],[EE ID]],TeamList[],MATCH(Schedules[[#This Row],[DOW]],TeamList[#Headers],0),0),4)),"_NO MATCH")</f>
        <v>8:30</v>
      </c>
    </row>
    <row r="35" spans="2:26" x14ac:dyDescent="0.25">
      <c r="B35">
        <v>1512227</v>
      </c>
      <c r="C35">
        <v>4112948</v>
      </c>
      <c r="D35" t="s">
        <v>53</v>
      </c>
      <c r="E35" s="210">
        <v>38404</v>
      </c>
      <c r="F35" s="210" t="s">
        <v>320</v>
      </c>
      <c r="G35" t="s">
        <v>385</v>
      </c>
      <c r="H35" t="s">
        <v>358</v>
      </c>
      <c r="I35" t="s">
        <v>358</v>
      </c>
      <c r="J35" t="s">
        <v>358</v>
      </c>
      <c r="K35" t="s">
        <v>358</v>
      </c>
      <c r="L35" t="s">
        <v>16</v>
      </c>
      <c r="M35" t="s">
        <v>16</v>
      </c>
      <c r="N35" t="s">
        <v>358</v>
      </c>
      <c r="P35" s="288" t="s">
        <v>249</v>
      </c>
      <c r="Q35">
        <f>COUNTIFS(Schedules[Employee Name],TeamList[[#This Row],[Employee Name]])</f>
        <v>7</v>
      </c>
      <c r="S35" s="219">
        <v>1519160</v>
      </c>
      <c r="T35" s="146" t="str">
        <f>Schedules[[#This Row],[Employee Name]]&amp;Schedules[[#This Row],[DOW]]</f>
        <v>Vasbinder, RyanThu</v>
      </c>
      <c r="U35" s="4" t="str">
        <f>IFERROR(VLOOKUP(Schedules[[#This Row],[EE ID]],TeamList[],MATCH(Schedules[[#Headers],[Employee Name]],TeamList[#Headers],0),0),"_NO MATCH")</f>
        <v>Vasbinder, Ryan</v>
      </c>
      <c r="V35" s="4" t="str">
        <f>IFERROR(VLOOKUP(Schedules[[#This Row],[EE ID]],TeamList[],MATCH(Schedules[[#Headers],[Dept]],TeamList[#Headers],0),0),"_NO MATCH")</f>
        <v>Sup, Customer Service</v>
      </c>
      <c r="W35" s="286" t="s">
        <v>10</v>
      </c>
      <c r="X35" s="4" t="str">
        <f>IFERROR(IF(VLOOKUP(Schedules[[#This Row],[EE ID]],TeamList[],MATCH(Schedules[[#This Row],[DOW]],TeamList[#Headers],0),0)="OFF","OFF","SCH"),"_NO MATCH")</f>
        <v>OFF</v>
      </c>
      <c r="Y35" s="4" t="str">
        <f>IFERROR(IF(Schedules[[#This Row],[Scheduled]]="OFF","",LEFT(VLOOKUP(Schedules[[#This Row],[EE ID]],TeamList[],MATCH(Schedules[[#This Row],[DOW]],TeamList[#Headers],0),0),4)),"_NO MATCH")</f>
        <v/>
      </c>
      <c r="Z35" s="4" t="str">
        <f>IFERROR(IF(Schedules[[#This Row],[Scheduled]]="OFF","",RIGHT(VLOOKUP(Schedules[[#This Row],[EE ID]],TeamList[],MATCH(Schedules[[#This Row],[DOW]],TeamList[#Headers],0),0),4)),"_NO MATCH")</f>
        <v/>
      </c>
    </row>
    <row r="36" spans="2:26" x14ac:dyDescent="0.25">
      <c r="B36">
        <v>1519160</v>
      </c>
      <c r="C36">
        <v>4112950</v>
      </c>
      <c r="D36" t="s">
        <v>70</v>
      </c>
      <c r="E36" s="210">
        <v>41183</v>
      </c>
      <c r="F36" s="210" t="s">
        <v>308</v>
      </c>
      <c r="G36" t="s">
        <v>385</v>
      </c>
      <c r="H36" t="s">
        <v>353</v>
      </c>
      <c r="I36" t="s">
        <v>353</v>
      </c>
      <c r="J36" t="s">
        <v>353</v>
      </c>
      <c r="K36" t="s">
        <v>16</v>
      </c>
      <c r="L36" t="s">
        <v>16</v>
      </c>
      <c r="M36" t="s">
        <v>353</v>
      </c>
      <c r="N36" t="s">
        <v>353</v>
      </c>
      <c r="P36" s="288" t="s">
        <v>249</v>
      </c>
      <c r="Q36">
        <f>COUNTIFS(Schedules[Employee Name],TeamList[[#This Row],[Employee Name]])</f>
        <v>7</v>
      </c>
      <c r="S36" s="1">
        <v>1519160</v>
      </c>
      <c r="T36" s="146" t="str">
        <f>Schedules[[#This Row],[Employee Name]]&amp;Schedules[[#This Row],[DOW]]</f>
        <v>Vasbinder, RyanSun</v>
      </c>
      <c r="U36" s="4" t="str">
        <f>IFERROR(VLOOKUP(Schedules[[#This Row],[EE ID]],TeamList[],MATCH(Schedules[[#Headers],[Employee Name]],TeamList[#Headers],0),0),"_NO MATCH")</f>
        <v>Vasbinder, Ryan</v>
      </c>
      <c r="V36" s="4" t="str">
        <f>IFERROR(VLOOKUP(Schedules[[#This Row],[EE ID]],TeamList[],MATCH(Schedules[[#Headers],[Dept]],TeamList[#Headers],0),0),"_NO MATCH")</f>
        <v>Sup, Customer Service</v>
      </c>
      <c r="W36" s="287" t="s">
        <v>6</v>
      </c>
      <c r="X36" s="197" t="str">
        <f>IFERROR(IF(VLOOKUP(Schedules[[#This Row],[EE ID]],TeamList[],MATCH(Schedules[[#This Row],[DOW]],TeamList[#Headers],0),0)="OFF","OFF","SCH"),"_NO MATCH")</f>
        <v>SCH</v>
      </c>
      <c r="Y36" s="197" t="str">
        <f>IFERROR(IF(Schedules[[#This Row],[Scheduled]]="OFF","",LEFT(VLOOKUP(Schedules[[#This Row],[EE ID]],TeamList[],MATCH(Schedules[[#This Row],[DOW]],TeamList[#Headers],0),0),4)),"_NO MATCH")</f>
        <v>09:3</v>
      </c>
      <c r="Z36" s="197" t="str">
        <f>IFERROR(IF(Schedules[[#This Row],[Scheduled]]="OFF","",RIGHT(VLOOKUP(Schedules[[#This Row],[EE ID]],TeamList[],MATCH(Schedules[[#This Row],[DOW]],TeamList[#Headers],0),0),4)),"_NO MATCH")</f>
        <v>8:30</v>
      </c>
    </row>
    <row r="37" spans="2:26" x14ac:dyDescent="0.25">
      <c r="B37">
        <v>1528025</v>
      </c>
      <c r="C37">
        <v>4112951</v>
      </c>
      <c r="D37" t="s">
        <v>71</v>
      </c>
      <c r="E37" s="210">
        <v>42128</v>
      </c>
      <c r="F37" s="210" t="s">
        <v>321</v>
      </c>
      <c r="G37" t="s">
        <v>385</v>
      </c>
      <c r="H37" t="s">
        <v>359</v>
      </c>
      <c r="I37" t="s">
        <v>359</v>
      </c>
      <c r="J37" t="s">
        <v>359</v>
      </c>
      <c r="K37" t="s">
        <v>359</v>
      </c>
      <c r="L37" t="s">
        <v>359</v>
      </c>
      <c r="M37" t="s">
        <v>16</v>
      </c>
      <c r="N37" t="s">
        <v>16</v>
      </c>
      <c r="P37" s="288" t="s">
        <v>249</v>
      </c>
      <c r="Q37">
        <f>COUNTIFS(Schedules[Employee Name],TeamList[[#This Row],[Employee Name]])</f>
        <v>7</v>
      </c>
      <c r="S37" s="1">
        <v>1519160</v>
      </c>
      <c r="T37" s="146" t="str">
        <f>Schedules[[#This Row],[Employee Name]]&amp;Schedules[[#This Row],[DOW]]</f>
        <v>Vasbinder, RyanSat</v>
      </c>
      <c r="U37" s="4" t="str">
        <f>IFERROR(VLOOKUP(Schedules[[#This Row],[EE ID]],TeamList[],MATCH(Schedules[[#Headers],[Employee Name]],TeamList[#Headers],0),0),"_NO MATCH")</f>
        <v>Vasbinder, Ryan</v>
      </c>
      <c r="V37" s="4" t="str">
        <f>IFERROR(VLOOKUP(Schedules[[#This Row],[EE ID]],TeamList[],MATCH(Schedules[[#Headers],[Dept]],TeamList[#Headers],0),0),"_NO MATCH")</f>
        <v>Sup, Customer Service</v>
      </c>
      <c r="W37" s="286" t="s">
        <v>12</v>
      </c>
      <c r="X37" s="4" t="str">
        <f>IFERROR(IF(VLOOKUP(Schedules[[#This Row],[EE ID]],TeamList[],MATCH(Schedules[[#This Row],[DOW]],TeamList[#Headers],0),0)="OFF","OFF","SCH"),"_NO MATCH")</f>
        <v>SCH</v>
      </c>
      <c r="Y37" s="4" t="str">
        <f>IFERROR(IF(Schedules[[#This Row],[Scheduled]]="OFF","",LEFT(VLOOKUP(Schedules[[#This Row],[EE ID]],TeamList[],MATCH(Schedules[[#This Row],[DOW]],TeamList[#Headers],0),0),4)),"_NO MATCH")</f>
        <v>09:3</v>
      </c>
      <c r="Z37" s="4" t="str">
        <f>IFERROR(IF(Schedules[[#This Row],[Scheduled]]="OFF","",RIGHT(VLOOKUP(Schedules[[#This Row],[EE ID]],TeamList[],MATCH(Schedules[[#This Row],[DOW]],TeamList[#Headers],0),0),4)),"_NO MATCH")</f>
        <v>8:30</v>
      </c>
    </row>
    <row r="38" spans="2:26" x14ac:dyDescent="0.25">
      <c r="B38">
        <v>1510993</v>
      </c>
      <c r="C38">
        <v>4112920</v>
      </c>
      <c r="D38" t="s">
        <v>32</v>
      </c>
      <c r="E38" s="210">
        <v>37326</v>
      </c>
      <c r="F38" s="210" t="s">
        <v>303</v>
      </c>
      <c r="G38" t="s">
        <v>385</v>
      </c>
      <c r="H38" t="s">
        <v>16</v>
      </c>
      <c r="I38" t="s">
        <v>350</v>
      </c>
      <c r="J38" t="s">
        <v>350</v>
      </c>
      <c r="K38" t="s">
        <v>350</v>
      </c>
      <c r="L38" t="s">
        <v>350</v>
      </c>
      <c r="M38" t="s">
        <v>350</v>
      </c>
      <c r="N38" t="s">
        <v>16</v>
      </c>
      <c r="P38" s="288" t="s">
        <v>42</v>
      </c>
      <c r="Q38">
        <f>COUNTIFS(Schedules[Employee Name],TeamList[[#This Row],[Employee Name]])</f>
        <v>7</v>
      </c>
      <c r="S38" s="1">
        <v>1519160</v>
      </c>
      <c r="T38" s="146" t="str">
        <f>Schedules[[#This Row],[Employee Name]]&amp;Schedules[[#This Row],[DOW]]</f>
        <v>Vasbinder, RyanMon</v>
      </c>
      <c r="U38" s="4" t="str">
        <f>IFERROR(VLOOKUP(Schedules[[#This Row],[EE ID]],TeamList[],MATCH(Schedules[[#Headers],[Employee Name]],TeamList[#Headers],0),0),"_NO MATCH")</f>
        <v>Vasbinder, Ryan</v>
      </c>
      <c r="V38" s="4" t="str">
        <f>IFERROR(VLOOKUP(Schedules[[#This Row],[EE ID]],TeamList[],MATCH(Schedules[[#Headers],[Dept]],TeamList[#Headers],0),0),"_NO MATCH")</f>
        <v>Sup, Customer Service</v>
      </c>
      <c r="W38" s="286" t="s">
        <v>7</v>
      </c>
      <c r="X38" s="4" t="str">
        <f>IFERROR(IF(VLOOKUP(Schedules[[#This Row],[EE ID]],TeamList[],MATCH(Schedules[[#This Row],[DOW]],TeamList[#Headers],0),0)="OFF","OFF","SCH"),"_NO MATCH")</f>
        <v>SCH</v>
      </c>
      <c r="Y38" s="4" t="str">
        <f>IFERROR(IF(Schedules[[#This Row],[Scheduled]]="OFF","",LEFT(VLOOKUP(Schedules[[#This Row],[EE ID]],TeamList[],MATCH(Schedules[[#This Row],[DOW]],TeamList[#Headers],0),0),4)),"_NO MATCH")</f>
        <v>09:3</v>
      </c>
      <c r="Z38" s="4" t="str">
        <f>IFERROR(IF(Schedules[[#This Row],[Scheduled]]="OFF","",RIGHT(VLOOKUP(Schedules[[#This Row],[EE ID]],TeamList[],MATCH(Schedules[[#This Row],[DOW]],TeamList[#Headers],0),0),4)),"_NO MATCH")</f>
        <v>8:30</v>
      </c>
    </row>
    <row r="39" spans="2:26" x14ac:dyDescent="0.25">
      <c r="B39">
        <v>1510778</v>
      </c>
      <c r="C39">
        <v>4112924</v>
      </c>
      <c r="D39" t="s">
        <v>57</v>
      </c>
      <c r="E39" s="210">
        <v>37193</v>
      </c>
      <c r="F39" s="210" t="s">
        <v>299</v>
      </c>
      <c r="G39" t="s">
        <v>385</v>
      </c>
      <c r="H39" t="s">
        <v>348</v>
      </c>
      <c r="I39" t="s">
        <v>348</v>
      </c>
      <c r="J39" t="s">
        <v>348</v>
      </c>
      <c r="K39" t="s">
        <v>16</v>
      </c>
      <c r="L39" t="s">
        <v>16</v>
      </c>
      <c r="M39" t="s">
        <v>348</v>
      </c>
      <c r="N39" t="s">
        <v>348</v>
      </c>
      <c r="P39" s="288" t="s">
        <v>42</v>
      </c>
      <c r="Q39">
        <f>COUNTIFS(Schedules[Employee Name],TeamList[[#This Row],[Employee Name]])</f>
        <v>7</v>
      </c>
      <c r="S39" s="1">
        <v>1519160</v>
      </c>
      <c r="T39" s="146" t="str">
        <f>Schedules[[#This Row],[Employee Name]]&amp;Schedules[[#This Row],[DOW]]</f>
        <v>Vasbinder, RyanFri</v>
      </c>
      <c r="U39" s="4" t="str">
        <f>IFERROR(VLOOKUP(Schedules[[#This Row],[EE ID]],TeamList[],MATCH(Schedules[[#Headers],[Employee Name]],TeamList[#Headers],0),0),"_NO MATCH")</f>
        <v>Vasbinder, Ryan</v>
      </c>
      <c r="V39" s="4" t="str">
        <f>IFERROR(VLOOKUP(Schedules[[#This Row],[EE ID]],TeamList[],MATCH(Schedules[[#Headers],[Dept]],TeamList[#Headers],0),0),"_NO MATCH")</f>
        <v>Sup, Customer Service</v>
      </c>
      <c r="W39" s="286" t="s">
        <v>11</v>
      </c>
      <c r="X39" s="4" t="str">
        <f>IFERROR(IF(VLOOKUP(Schedules[[#This Row],[EE ID]],TeamList[],MATCH(Schedules[[#This Row],[DOW]],TeamList[#Headers],0),0)="OFF","OFF","SCH"),"_NO MATCH")</f>
        <v>SCH</v>
      </c>
      <c r="Y39" s="4" t="str">
        <f>IFERROR(IF(Schedules[[#This Row],[Scheduled]]="OFF","",LEFT(VLOOKUP(Schedules[[#This Row],[EE ID]],TeamList[],MATCH(Schedules[[#This Row],[DOW]],TeamList[#Headers],0),0),4)),"_NO MATCH")</f>
        <v>09:3</v>
      </c>
      <c r="Z39" s="4" t="str">
        <f>IFERROR(IF(Schedules[[#This Row],[Scheduled]]="OFF","",RIGHT(VLOOKUP(Schedules[[#This Row],[EE ID]],TeamList[],MATCH(Schedules[[#This Row],[DOW]],TeamList[#Headers],0),0),4)),"_NO MATCH")</f>
        <v>8:30</v>
      </c>
    </row>
    <row r="40" spans="2:26" x14ac:dyDescent="0.25">
      <c r="B40">
        <v>1509410</v>
      </c>
      <c r="C40">
        <v>4112937</v>
      </c>
      <c r="D40" t="s">
        <v>45</v>
      </c>
      <c r="E40" s="210">
        <v>36476</v>
      </c>
      <c r="F40" s="210" t="s">
        <v>312</v>
      </c>
      <c r="G40" t="s">
        <v>385</v>
      </c>
      <c r="H40" t="s">
        <v>346</v>
      </c>
      <c r="I40" t="s">
        <v>346</v>
      </c>
      <c r="J40" t="s">
        <v>346</v>
      </c>
      <c r="K40" t="s">
        <v>346</v>
      </c>
      <c r="L40" t="s">
        <v>16</v>
      </c>
      <c r="M40" t="s">
        <v>16</v>
      </c>
      <c r="N40" t="s">
        <v>346</v>
      </c>
      <c r="P40" s="288" t="s">
        <v>42</v>
      </c>
      <c r="Q40">
        <f>COUNTIFS(Schedules[Employee Name],TeamList[[#This Row],[Employee Name]])</f>
        <v>7</v>
      </c>
      <c r="S40" s="1">
        <v>1523241</v>
      </c>
      <c r="T40" s="146" t="str">
        <f>Schedules[[#This Row],[Employee Name]]&amp;Schedules[[#This Row],[DOW]]</f>
        <v>Ulrich, MichaelWed</v>
      </c>
      <c r="U40" s="4" t="str">
        <f>IFERROR(VLOOKUP(Schedules[[#This Row],[EE ID]],TeamList[],MATCH(Schedules[[#Headers],[Employee Name]],TeamList[#Headers],0),0),"_NO MATCH")</f>
        <v>Ulrich, Michael</v>
      </c>
      <c r="V40" s="4" t="str">
        <f>IFERROR(VLOOKUP(Schedules[[#This Row],[EE ID]],TeamList[],MATCH(Schedules[[#Headers],[Dept]],TeamList[#Headers],0),0),"_NO MATCH")</f>
        <v>Sup, Customer Service</v>
      </c>
      <c r="W40" s="286" t="s">
        <v>9</v>
      </c>
      <c r="X40" s="4" t="str">
        <f>IFERROR(IF(VLOOKUP(Schedules[[#This Row],[EE ID]],TeamList[],MATCH(Schedules[[#This Row],[DOW]],TeamList[#Headers],0),0)="OFF","OFF","SCH"),"_NO MATCH")</f>
        <v>SCH</v>
      </c>
      <c r="Y40" s="4" t="str">
        <f>IFERROR(IF(Schedules[[#This Row],[Scheduled]]="OFF","",LEFT(VLOOKUP(Schedules[[#This Row],[EE ID]],TeamList[],MATCH(Schedules[[#This Row],[DOW]],TeamList[#Headers],0),0),4)),"_NO MATCH")</f>
        <v>14:3</v>
      </c>
      <c r="Z40" s="4" t="str">
        <f>IFERROR(IF(Schedules[[#This Row],[Scheduled]]="OFF","",RIGHT(VLOOKUP(Schedules[[#This Row],[EE ID]],TeamList[],MATCH(Schedules[[#This Row],[DOW]],TeamList[#Headers],0),0),4)),"_NO MATCH")</f>
        <v>3:30</v>
      </c>
    </row>
    <row r="41" spans="2:26" x14ac:dyDescent="0.25">
      <c r="B41">
        <v>1516871</v>
      </c>
      <c r="C41">
        <v>4112942</v>
      </c>
      <c r="D41" t="s">
        <v>49</v>
      </c>
      <c r="E41" s="210">
        <v>40497</v>
      </c>
      <c r="F41" s="210" t="s">
        <v>302</v>
      </c>
      <c r="G41" t="s">
        <v>385</v>
      </c>
      <c r="H41" t="s">
        <v>346</v>
      </c>
      <c r="I41" t="s">
        <v>346</v>
      </c>
      <c r="J41" t="s">
        <v>16</v>
      </c>
      <c r="K41" t="s">
        <v>16</v>
      </c>
      <c r="L41" t="s">
        <v>346</v>
      </c>
      <c r="M41" t="s">
        <v>346</v>
      </c>
      <c r="N41" t="s">
        <v>346</v>
      </c>
      <c r="P41" s="288" t="s">
        <v>42</v>
      </c>
      <c r="Q41">
        <f>COUNTIFS(Schedules[Employee Name],TeamList[[#This Row],[Employee Name]])</f>
        <v>7</v>
      </c>
      <c r="S41" s="1">
        <v>1523241</v>
      </c>
      <c r="T41" s="146" t="str">
        <f>Schedules[[#This Row],[Employee Name]]&amp;Schedules[[#This Row],[DOW]]</f>
        <v>Ulrich, MichaelTue</v>
      </c>
      <c r="U41" s="4" t="str">
        <f>IFERROR(VLOOKUP(Schedules[[#This Row],[EE ID]],TeamList[],MATCH(Schedules[[#Headers],[Employee Name]],TeamList[#Headers],0),0),"_NO MATCH")</f>
        <v>Ulrich, Michael</v>
      </c>
      <c r="V41" s="4" t="str">
        <f>IFERROR(VLOOKUP(Schedules[[#This Row],[EE ID]],TeamList[],MATCH(Schedules[[#Headers],[Dept]],TeamList[#Headers],0),0),"_NO MATCH")</f>
        <v>Sup, Customer Service</v>
      </c>
      <c r="W41" s="286" t="s">
        <v>8</v>
      </c>
      <c r="X41" s="4" t="str">
        <f>IFERROR(IF(VLOOKUP(Schedules[[#This Row],[EE ID]],TeamList[],MATCH(Schedules[[#This Row],[DOW]],TeamList[#Headers],0),0)="OFF","OFF","SCH"),"_NO MATCH")</f>
        <v>SCH</v>
      </c>
      <c r="Y41" s="4" t="str">
        <f>IFERROR(IF(Schedules[[#This Row],[Scheduled]]="OFF","",LEFT(VLOOKUP(Schedules[[#This Row],[EE ID]],TeamList[],MATCH(Schedules[[#This Row],[DOW]],TeamList[#Headers],0),0),4)),"_NO MATCH")</f>
        <v>14:3</v>
      </c>
      <c r="Z41" s="4" t="str">
        <f>IFERROR(IF(Schedules[[#This Row],[Scheduled]]="OFF","",RIGHT(VLOOKUP(Schedules[[#This Row],[EE ID]],TeamList[],MATCH(Schedules[[#This Row],[DOW]],TeamList[#Headers],0),0),4)),"_NO MATCH")</f>
        <v>3:30</v>
      </c>
    </row>
    <row r="42" spans="2:26" x14ac:dyDescent="0.25">
      <c r="B42">
        <v>1517097</v>
      </c>
      <c r="C42">
        <v>4112952</v>
      </c>
      <c r="D42" t="s">
        <v>52</v>
      </c>
      <c r="E42" s="210">
        <v>40630</v>
      </c>
      <c r="F42" s="210" t="s">
        <v>315</v>
      </c>
      <c r="G42" t="s">
        <v>385</v>
      </c>
      <c r="H42" t="s">
        <v>16</v>
      </c>
      <c r="I42" t="s">
        <v>345</v>
      </c>
      <c r="J42" t="s">
        <v>345</v>
      </c>
      <c r="K42" t="s">
        <v>345</v>
      </c>
      <c r="L42" t="s">
        <v>345</v>
      </c>
      <c r="M42" t="s">
        <v>345</v>
      </c>
      <c r="N42" t="s">
        <v>16</v>
      </c>
      <c r="P42" s="288" t="s">
        <v>42</v>
      </c>
      <c r="Q42">
        <f>COUNTIFS(Schedules[Employee Name],TeamList[[#This Row],[Employee Name]])</f>
        <v>7</v>
      </c>
      <c r="S42" s="1">
        <v>1523241</v>
      </c>
      <c r="T42" s="146" t="str">
        <f>Schedules[[#This Row],[Employee Name]]&amp;Schedules[[#This Row],[DOW]]</f>
        <v>Ulrich, MichaelThu</v>
      </c>
      <c r="U42" s="4" t="str">
        <f>IFERROR(VLOOKUP(Schedules[[#This Row],[EE ID]],TeamList[],MATCH(Schedules[[#Headers],[Employee Name]],TeamList[#Headers],0),0),"_NO MATCH")</f>
        <v>Ulrich, Michael</v>
      </c>
      <c r="V42" s="4" t="str">
        <f>IFERROR(VLOOKUP(Schedules[[#This Row],[EE ID]],TeamList[],MATCH(Schedules[[#Headers],[Dept]],TeamList[#Headers],0),0),"_NO MATCH")</f>
        <v>Sup, Customer Service</v>
      </c>
      <c r="W42" s="286" t="s">
        <v>10</v>
      </c>
      <c r="X42" s="4" t="str">
        <f>IFERROR(IF(VLOOKUP(Schedules[[#This Row],[EE ID]],TeamList[],MATCH(Schedules[[#This Row],[DOW]],TeamList[#Headers],0),0)="OFF","OFF","SCH"),"_NO MATCH")</f>
        <v>SCH</v>
      </c>
      <c r="Y42" s="4" t="str">
        <f>IFERROR(IF(Schedules[[#This Row],[Scheduled]]="OFF","",LEFT(VLOOKUP(Schedules[[#This Row],[EE ID]],TeamList[],MATCH(Schedules[[#This Row],[DOW]],TeamList[#Headers],0),0),4)),"_NO MATCH")</f>
        <v>14:3</v>
      </c>
      <c r="Z42" s="4" t="str">
        <f>IFERROR(IF(Schedules[[#This Row],[Scheduled]]="OFF","",RIGHT(VLOOKUP(Schedules[[#This Row],[EE ID]],TeamList[],MATCH(Schedules[[#This Row],[DOW]],TeamList[#Headers],0),0),4)),"_NO MATCH")</f>
        <v>3:30</v>
      </c>
    </row>
    <row r="43" spans="2:26" x14ac:dyDescent="0.25">
      <c r="B43">
        <v>1511911</v>
      </c>
      <c r="C43">
        <v>4112919</v>
      </c>
      <c r="D43" t="s">
        <v>66</v>
      </c>
      <c r="E43" s="210">
        <v>38201</v>
      </c>
      <c r="F43" s="210" t="s">
        <v>297</v>
      </c>
      <c r="G43" t="s">
        <v>385</v>
      </c>
      <c r="H43" t="s">
        <v>16</v>
      </c>
      <c r="I43" t="s">
        <v>16</v>
      </c>
      <c r="J43" t="s">
        <v>346</v>
      </c>
      <c r="K43" t="s">
        <v>346</v>
      </c>
      <c r="L43" t="s">
        <v>346</v>
      </c>
      <c r="M43" t="s">
        <v>346</v>
      </c>
      <c r="N43" t="s">
        <v>346</v>
      </c>
      <c r="P43" s="288" t="s">
        <v>35</v>
      </c>
      <c r="Q43">
        <f>COUNTIFS(Schedules[Employee Name],TeamList[[#This Row],[Employee Name]])</f>
        <v>7</v>
      </c>
      <c r="S43" s="1">
        <v>1523241</v>
      </c>
      <c r="T43" s="146" t="str">
        <f>Schedules[[#This Row],[Employee Name]]&amp;Schedules[[#This Row],[DOW]]</f>
        <v>Ulrich, MichaelSun</v>
      </c>
      <c r="U43" s="4" t="str">
        <f>IFERROR(VLOOKUP(Schedules[[#This Row],[EE ID]],TeamList[],MATCH(Schedules[[#Headers],[Employee Name]],TeamList[#Headers],0),0),"_NO MATCH")</f>
        <v>Ulrich, Michael</v>
      </c>
      <c r="V43" s="4" t="str">
        <f>IFERROR(VLOOKUP(Schedules[[#This Row],[EE ID]],TeamList[],MATCH(Schedules[[#Headers],[Dept]],TeamList[#Headers],0),0),"_NO MATCH")</f>
        <v>Sup, Customer Service</v>
      </c>
      <c r="W43" s="287" t="s">
        <v>6</v>
      </c>
      <c r="X43" s="219" t="str">
        <f>IFERROR(IF(VLOOKUP(Schedules[[#This Row],[EE ID]],TeamList[],MATCH(Schedules[[#This Row],[DOW]],TeamList[#Headers],0),0)="OFF","OFF","SCH"),"_NO MATCH")</f>
        <v>SCH</v>
      </c>
      <c r="Y43" s="219" t="str">
        <f>IFERROR(IF(Schedules[[#This Row],[Scheduled]]="OFF","",LEFT(VLOOKUP(Schedules[[#This Row],[EE ID]],TeamList[],MATCH(Schedules[[#This Row],[DOW]],TeamList[#Headers],0),0),4)),"_NO MATCH")</f>
        <v>14:3</v>
      </c>
      <c r="Z43" s="219" t="str">
        <f>IFERROR(IF(Schedules[[#This Row],[Scheduled]]="OFF","",RIGHT(VLOOKUP(Schedules[[#This Row],[EE ID]],TeamList[],MATCH(Schedules[[#This Row],[DOW]],TeamList[#Headers],0),0),4)),"_NO MATCH")</f>
        <v>3:30</v>
      </c>
    </row>
    <row r="44" spans="2:26" x14ac:dyDescent="0.25">
      <c r="B44">
        <v>1516851</v>
      </c>
      <c r="C44">
        <v>4112921</v>
      </c>
      <c r="D44" t="s">
        <v>59</v>
      </c>
      <c r="E44" s="210">
        <v>40497</v>
      </c>
      <c r="F44" s="210" t="s">
        <v>298</v>
      </c>
      <c r="G44" t="s">
        <v>385</v>
      </c>
      <c r="H44" t="s">
        <v>16</v>
      </c>
      <c r="I44" t="s">
        <v>16</v>
      </c>
      <c r="J44" t="s">
        <v>347</v>
      </c>
      <c r="K44" t="s">
        <v>347</v>
      </c>
      <c r="L44" t="s">
        <v>347</v>
      </c>
      <c r="M44" t="s">
        <v>347</v>
      </c>
      <c r="N44" t="s">
        <v>347</v>
      </c>
      <c r="P44" s="288" t="s">
        <v>35</v>
      </c>
      <c r="Q44">
        <f>COUNTIFS(Schedules[Employee Name],TeamList[[#This Row],[Employee Name]])</f>
        <v>7</v>
      </c>
      <c r="S44" s="1">
        <v>1523241</v>
      </c>
      <c r="T44" s="146" t="str">
        <f>Schedules[[#This Row],[Employee Name]]&amp;Schedules[[#This Row],[DOW]]</f>
        <v>Ulrich, MichaelSat</v>
      </c>
      <c r="U44" s="4" t="str">
        <f>IFERROR(VLOOKUP(Schedules[[#This Row],[EE ID]],TeamList[],MATCH(Schedules[[#Headers],[Employee Name]],TeamList[#Headers],0),0),"_NO MATCH")</f>
        <v>Ulrich, Michael</v>
      </c>
      <c r="V44" s="4" t="str">
        <f>IFERROR(VLOOKUP(Schedules[[#This Row],[EE ID]],TeamList[],MATCH(Schedules[[#Headers],[Dept]],TeamList[#Headers],0),0),"_NO MATCH")</f>
        <v>Sup, Customer Service</v>
      </c>
      <c r="W44" s="286" t="s">
        <v>12</v>
      </c>
      <c r="X44" s="4" t="str">
        <f>IFERROR(IF(VLOOKUP(Schedules[[#This Row],[EE ID]],TeamList[],MATCH(Schedules[[#This Row],[DOW]],TeamList[#Headers],0),0)="OFF","OFF","SCH"),"_NO MATCH")</f>
        <v>OFF</v>
      </c>
      <c r="Y44" s="4" t="str">
        <f>IFERROR(IF(Schedules[[#This Row],[Scheduled]]="OFF","",LEFT(VLOOKUP(Schedules[[#This Row],[EE ID]],TeamList[],MATCH(Schedules[[#This Row],[DOW]],TeamList[#Headers],0),0),4)),"_NO MATCH")</f>
        <v/>
      </c>
      <c r="Z44" s="4" t="str">
        <f>IFERROR(IF(Schedules[[#This Row],[Scheduled]]="OFF","",RIGHT(VLOOKUP(Schedules[[#This Row],[EE ID]],TeamList[],MATCH(Schedules[[#This Row],[DOW]],TeamList[#Headers],0),0),4)),"_NO MATCH")</f>
        <v/>
      </c>
    </row>
    <row r="45" spans="2:26" x14ac:dyDescent="0.25">
      <c r="B45">
        <v>1517193</v>
      </c>
      <c r="C45">
        <v>4112922</v>
      </c>
      <c r="D45" t="s">
        <v>17</v>
      </c>
      <c r="E45" s="210">
        <v>40672</v>
      </c>
      <c r="F45" s="210" t="s">
        <v>316</v>
      </c>
      <c r="G45" t="s">
        <v>385</v>
      </c>
      <c r="H45" t="s">
        <v>16</v>
      </c>
      <c r="I45" t="s">
        <v>16</v>
      </c>
      <c r="J45" t="s">
        <v>354</v>
      </c>
      <c r="K45" t="s">
        <v>354</v>
      </c>
      <c r="L45" t="s">
        <v>354</v>
      </c>
      <c r="M45" t="s">
        <v>354</v>
      </c>
      <c r="N45" t="s">
        <v>354</v>
      </c>
      <c r="P45" s="288" t="s">
        <v>35</v>
      </c>
      <c r="Q45">
        <f>COUNTIFS(Schedules[Employee Name],TeamList[[#This Row],[Employee Name]])</f>
        <v>7</v>
      </c>
      <c r="S45" s="1">
        <v>1523241</v>
      </c>
      <c r="T45" s="146" t="str">
        <f>Schedules[[#This Row],[Employee Name]]&amp;Schedules[[#This Row],[DOW]]</f>
        <v>Ulrich, MichaelMon</v>
      </c>
      <c r="U45" s="4" t="str">
        <f>IFERROR(VLOOKUP(Schedules[[#This Row],[EE ID]],TeamList[],MATCH(Schedules[[#Headers],[Employee Name]],TeamList[#Headers],0),0),"_NO MATCH")</f>
        <v>Ulrich, Michael</v>
      </c>
      <c r="V45" s="4" t="str">
        <f>IFERROR(VLOOKUP(Schedules[[#This Row],[EE ID]],TeamList[],MATCH(Schedules[[#Headers],[Dept]],TeamList[#Headers],0),0),"_NO MATCH")</f>
        <v>Sup, Customer Service</v>
      </c>
      <c r="W45" s="286" t="s">
        <v>7</v>
      </c>
      <c r="X45" s="4" t="str">
        <f>IFERROR(IF(VLOOKUP(Schedules[[#This Row],[EE ID]],TeamList[],MATCH(Schedules[[#This Row],[DOW]],TeamList[#Headers],0),0)="OFF","OFF","SCH"),"_NO MATCH")</f>
        <v>SCH</v>
      </c>
      <c r="Y45" s="4" t="str">
        <f>IFERROR(IF(Schedules[[#This Row],[Scheduled]]="OFF","",LEFT(VLOOKUP(Schedules[[#This Row],[EE ID]],TeamList[],MATCH(Schedules[[#This Row],[DOW]],TeamList[#Headers],0),0),4)),"_NO MATCH")</f>
        <v>14:3</v>
      </c>
      <c r="Z45" s="4" t="str">
        <f>IFERROR(IF(Schedules[[#This Row],[Scheduled]]="OFF","",RIGHT(VLOOKUP(Schedules[[#This Row],[EE ID]],TeamList[],MATCH(Schedules[[#This Row],[DOW]],TeamList[#Headers],0),0),4)),"_NO MATCH")</f>
        <v>3:30</v>
      </c>
    </row>
    <row r="46" spans="2:26" x14ac:dyDescent="0.25">
      <c r="B46">
        <v>1510843</v>
      </c>
      <c r="C46">
        <v>4112927</v>
      </c>
      <c r="D46" t="s">
        <v>31</v>
      </c>
      <c r="E46" s="210">
        <v>37235</v>
      </c>
      <c r="F46" s="210" t="s">
        <v>310</v>
      </c>
      <c r="G46" t="s">
        <v>385</v>
      </c>
      <c r="H46" t="s">
        <v>16</v>
      </c>
      <c r="I46" t="s">
        <v>16</v>
      </c>
      <c r="J46" t="s">
        <v>351</v>
      </c>
      <c r="K46" t="s">
        <v>351</v>
      </c>
      <c r="L46" t="s">
        <v>351</v>
      </c>
      <c r="M46" t="s">
        <v>351</v>
      </c>
      <c r="N46" t="s">
        <v>351</v>
      </c>
      <c r="P46" s="288" t="s">
        <v>35</v>
      </c>
      <c r="Q46">
        <f>COUNTIFS(Schedules[Employee Name],TeamList[[#This Row],[Employee Name]])</f>
        <v>7</v>
      </c>
      <c r="S46" s="1">
        <v>1523241</v>
      </c>
      <c r="T46" s="146" t="str">
        <f>Schedules[[#This Row],[Employee Name]]&amp;Schedules[[#This Row],[DOW]]</f>
        <v>Ulrich, MichaelFri</v>
      </c>
      <c r="U46" s="4" t="str">
        <f>IFERROR(VLOOKUP(Schedules[[#This Row],[EE ID]],TeamList[],MATCH(Schedules[[#Headers],[Employee Name]],TeamList[#Headers],0),0),"_NO MATCH")</f>
        <v>Ulrich, Michael</v>
      </c>
      <c r="V46" s="4" t="str">
        <f>IFERROR(VLOOKUP(Schedules[[#This Row],[EE ID]],TeamList[],MATCH(Schedules[[#Headers],[Dept]],TeamList[#Headers],0),0),"_NO MATCH")</f>
        <v>Sup, Customer Service</v>
      </c>
      <c r="W46" s="286" t="s">
        <v>11</v>
      </c>
      <c r="X46" s="4" t="str">
        <f>IFERROR(IF(VLOOKUP(Schedules[[#This Row],[EE ID]],TeamList[],MATCH(Schedules[[#This Row],[DOW]],TeamList[#Headers],0),0)="OFF","OFF","SCH"),"_NO MATCH")</f>
        <v>OFF</v>
      </c>
      <c r="Y46" s="4" t="str">
        <f>IFERROR(IF(Schedules[[#This Row],[Scheduled]]="OFF","",LEFT(VLOOKUP(Schedules[[#This Row],[EE ID]],TeamList[],MATCH(Schedules[[#This Row],[DOW]],TeamList[#Headers],0),0),4)),"_NO MATCH")</f>
        <v/>
      </c>
      <c r="Z46" s="4" t="str">
        <f>IFERROR(IF(Schedules[[#This Row],[Scheduled]]="OFF","",RIGHT(VLOOKUP(Schedules[[#This Row],[EE ID]],TeamList[],MATCH(Schedules[[#This Row],[DOW]],TeamList[#Headers],0),0),4)),"_NO MATCH")</f>
        <v/>
      </c>
    </row>
    <row r="47" spans="2:26" x14ac:dyDescent="0.25">
      <c r="B47">
        <v>1511736</v>
      </c>
      <c r="C47">
        <v>4112930</v>
      </c>
      <c r="D47" t="s">
        <v>20</v>
      </c>
      <c r="E47" s="210">
        <v>38110</v>
      </c>
      <c r="F47" s="210" t="s">
        <v>322</v>
      </c>
      <c r="G47" t="s">
        <v>385</v>
      </c>
      <c r="H47" t="s">
        <v>16</v>
      </c>
      <c r="I47" t="s">
        <v>328</v>
      </c>
      <c r="J47" t="s">
        <v>328</v>
      </c>
      <c r="K47" t="s">
        <v>328</v>
      </c>
      <c r="L47" t="s">
        <v>328</v>
      </c>
      <c r="M47" t="s">
        <v>328</v>
      </c>
      <c r="N47" t="s">
        <v>16</v>
      </c>
      <c r="P47" s="288" t="s">
        <v>35</v>
      </c>
      <c r="Q47">
        <f>COUNTIFS(Schedules[Employee Name],TeamList[[#This Row],[Employee Name]])</f>
        <v>7</v>
      </c>
      <c r="S47" s="1">
        <v>1529156</v>
      </c>
      <c r="T47" s="146" t="str">
        <f>Schedules[[#This Row],[Employee Name]]&amp;Schedules[[#This Row],[DOW]]</f>
        <v>Taylor, SeanWed</v>
      </c>
      <c r="U47" s="4" t="str">
        <f>IFERROR(VLOOKUP(Schedules[[#This Row],[EE ID]],TeamList[],MATCH(Schedules[[#Headers],[Employee Name]],TeamList[#Headers],0),0),"_NO MATCH")</f>
        <v>Taylor, Sean</v>
      </c>
      <c r="V47" s="4" t="str">
        <f>IFERROR(VLOOKUP(Schedules[[#This Row],[EE ID]],TeamList[],MATCH(Schedules[[#Headers],[Dept]],TeamList[#Headers],0),0),"_NO MATCH")</f>
        <v>Lead Billing</v>
      </c>
      <c r="W47" s="286" t="s">
        <v>9</v>
      </c>
      <c r="X47" s="4" t="str">
        <f>IFERROR(IF(VLOOKUP(Schedules[[#This Row],[EE ID]],TeamList[],MATCH(Schedules[[#This Row],[DOW]],TeamList[#Headers],0),0)="OFF","OFF","SCH"),"_NO MATCH")</f>
        <v>SCH</v>
      </c>
      <c r="Y47" s="4" t="str">
        <f>IFERROR(IF(Schedules[[#This Row],[Scheduled]]="OFF","",LEFT(VLOOKUP(Schedules[[#This Row],[EE ID]],TeamList[],MATCH(Schedules[[#This Row],[DOW]],TeamList[#Headers],0),0),4)),"_NO MATCH")</f>
        <v>12:3</v>
      </c>
      <c r="Z47" s="4" t="str">
        <f>IFERROR(IF(Schedules[[#This Row],[Scheduled]]="OFF","",RIGHT(VLOOKUP(Schedules[[#This Row],[EE ID]],TeamList[],MATCH(Schedules[[#This Row],[DOW]],TeamList[#Headers],0),0),4)),"_NO MATCH")</f>
        <v>1:00</v>
      </c>
    </row>
    <row r="48" spans="2:26" x14ac:dyDescent="0.25">
      <c r="B48">
        <v>1516826</v>
      </c>
      <c r="C48">
        <v>4112934</v>
      </c>
      <c r="D48" t="s">
        <v>48</v>
      </c>
      <c r="E48" s="210">
        <v>40469</v>
      </c>
      <c r="F48" s="210" t="s">
        <v>305</v>
      </c>
      <c r="G48" t="s">
        <v>385</v>
      </c>
      <c r="H48" t="s">
        <v>351</v>
      </c>
      <c r="I48" t="s">
        <v>351</v>
      </c>
      <c r="J48" t="s">
        <v>16</v>
      </c>
      <c r="K48" t="s">
        <v>16</v>
      </c>
      <c r="L48" t="s">
        <v>351</v>
      </c>
      <c r="M48" t="s">
        <v>351</v>
      </c>
      <c r="N48" t="s">
        <v>351</v>
      </c>
      <c r="P48" s="288" t="s">
        <v>35</v>
      </c>
      <c r="Q48">
        <f>COUNTIFS(Schedules[Employee Name],TeamList[[#This Row],[Employee Name]])</f>
        <v>7</v>
      </c>
      <c r="S48" s="1">
        <v>1529156</v>
      </c>
      <c r="T48" s="146" t="str">
        <f>Schedules[[#This Row],[Employee Name]]&amp;Schedules[[#This Row],[DOW]]</f>
        <v>Taylor, SeanTue</v>
      </c>
      <c r="U48" s="4" t="str">
        <f>IFERROR(VLOOKUP(Schedules[[#This Row],[EE ID]],TeamList[],MATCH(Schedules[[#Headers],[Employee Name]],TeamList[#Headers],0),0),"_NO MATCH")</f>
        <v>Taylor, Sean</v>
      </c>
      <c r="V48" s="4" t="str">
        <f>IFERROR(VLOOKUP(Schedules[[#This Row],[EE ID]],TeamList[],MATCH(Schedules[[#Headers],[Dept]],TeamList[#Headers],0),0),"_NO MATCH")</f>
        <v>Lead Billing</v>
      </c>
      <c r="W48" s="286" t="s">
        <v>8</v>
      </c>
      <c r="X48" s="4" t="str">
        <f>IFERROR(IF(VLOOKUP(Schedules[[#This Row],[EE ID]],TeamList[],MATCH(Schedules[[#This Row],[DOW]],TeamList[#Headers],0),0)="OFF","OFF","SCH"),"_NO MATCH")</f>
        <v>SCH</v>
      </c>
      <c r="Y48" s="4" t="str">
        <f>IFERROR(IF(Schedules[[#This Row],[Scheduled]]="OFF","",LEFT(VLOOKUP(Schedules[[#This Row],[EE ID]],TeamList[],MATCH(Schedules[[#This Row],[DOW]],TeamList[#Headers],0),0),4)),"_NO MATCH")</f>
        <v>12:3</v>
      </c>
      <c r="Z48" s="4" t="str">
        <f>IFERROR(IF(Schedules[[#This Row],[Scheduled]]="OFF","",RIGHT(VLOOKUP(Schedules[[#This Row],[EE ID]],TeamList[],MATCH(Schedules[[#This Row],[DOW]],TeamList[#Headers],0),0),4)),"_NO MATCH")</f>
        <v>1:00</v>
      </c>
    </row>
    <row r="49" spans="2:26" x14ac:dyDescent="0.25">
      <c r="B49">
        <v>1510769</v>
      </c>
      <c r="C49">
        <v>4112944</v>
      </c>
      <c r="D49" t="s">
        <v>33</v>
      </c>
      <c r="E49" s="210">
        <v>37186</v>
      </c>
      <c r="F49" s="210" t="s">
        <v>319</v>
      </c>
      <c r="G49" t="s">
        <v>385</v>
      </c>
      <c r="H49" t="s">
        <v>16</v>
      </c>
      <c r="I49" t="s">
        <v>357</v>
      </c>
      <c r="J49" t="s">
        <v>357</v>
      </c>
      <c r="K49" t="s">
        <v>357</v>
      </c>
      <c r="L49" t="s">
        <v>357</v>
      </c>
      <c r="M49" t="s">
        <v>357</v>
      </c>
      <c r="N49" t="s">
        <v>16</v>
      </c>
      <c r="P49" s="288" t="s">
        <v>35</v>
      </c>
      <c r="Q49">
        <f>COUNTIFS(Schedules[Employee Name],TeamList[[#This Row],[Employee Name]])</f>
        <v>7</v>
      </c>
      <c r="S49" s="1">
        <v>1529156</v>
      </c>
      <c r="T49" s="146" t="str">
        <f>Schedules[[#This Row],[Employee Name]]&amp;Schedules[[#This Row],[DOW]]</f>
        <v>Taylor, SeanThu</v>
      </c>
      <c r="U49" s="4" t="str">
        <f>IFERROR(VLOOKUP(Schedules[[#This Row],[EE ID]],TeamList[],MATCH(Schedules[[#Headers],[Employee Name]],TeamList[#Headers],0),0),"_NO MATCH")</f>
        <v>Taylor, Sean</v>
      </c>
      <c r="V49" s="4" t="str">
        <f>IFERROR(VLOOKUP(Schedules[[#This Row],[EE ID]],TeamList[],MATCH(Schedules[[#Headers],[Dept]],TeamList[#Headers],0),0),"_NO MATCH")</f>
        <v>Lead Billing</v>
      </c>
      <c r="W49" s="286" t="s">
        <v>10</v>
      </c>
      <c r="X49" s="4" t="str">
        <f>IFERROR(IF(VLOOKUP(Schedules[[#This Row],[EE ID]],TeamList[],MATCH(Schedules[[#This Row],[DOW]],TeamList[#Headers],0),0)="OFF","OFF","SCH"),"_NO MATCH")</f>
        <v>OFF</v>
      </c>
      <c r="Y49" s="4" t="str">
        <f>IFERROR(IF(Schedules[[#This Row],[Scheduled]]="OFF","",LEFT(VLOOKUP(Schedules[[#This Row],[EE ID]],TeamList[],MATCH(Schedules[[#This Row],[DOW]],TeamList[#Headers],0),0),4)),"_NO MATCH")</f>
        <v/>
      </c>
      <c r="Z49" s="4" t="str">
        <f>IFERROR(IF(Schedules[[#This Row],[Scheduled]]="OFF","",RIGHT(VLOOKUP(Schedules[[#This Row],[EE ID]],TeamList[],MATCH(Schedules[[#This Row],[DOW]],TeamList[#Headers],0),0),4)),"_NO MATCH")</f>
        <v/>
      </c>
    </row>
    <row r="50" spans="2:26" x14ac:dyDescent="0.25">
      <c r="B50">
        <v>1513968</v>
      </c>
      <c r="C50">
        <v>4112947</v>
      </c>
      <c r="D50" t="s">
        <v>46</v>
      </c>
      <c r="E50" s="210">
        <v>39174</v>
      </c>
      <c r="F50" s="210" t="s">
        <v>307</v>
      </c>
      <c r="G50" t="s">
        <v>385</v>
      </c>
      <c r="H50" t="s">
        <v>328</v>
      </c>
      <c r="I50" t="s">
        <v>328</v>
      </c>
      <c r="J50" t="s">
        <v>328</v>
      </c>
      <c r="K50" t="s">
        <v>328</v>
      </c>
      <c r="L50" t="s">
        <v>328</v>
      </c>
      <c r="M50" t="s">
        <v>16</v>
      </c>
      <c r="N50" t="s">
        <v>16</v>
      </c>
      <c r="P50" s="288" t="s">
        <v>35</v>
      </c>
      <c r="Q50">
        <f>COUNTIFS(Schedules[Employee Name],TeamList[[#This Row],[Employee Name]])</f>
        <v>7</v>
      </c>
      <c r="S50" s="1">
        <v>1529156</v>
      </c>
      <c r="T50" s="146" t="str">
        <f>Schedules[[#This Row],[Employee Name]]&amp;Schedules[[#This Row],[DOW]]</f>
        <v>Taylor, SeanSun</v>
      </c>
      <c r="U50" s="4" t="str">
        <f>IFERROR(VLOOKUP(Schedules[[#This Row],[EE ID]],TeamList[],MATCH(Schedules[[#Headers],[Employee Name]],TeamList[#Headers],0),0),"_NO MATCH")</f>
        <v>Taylor, Sean</v>
      </c>
      <c r="V50" s="4" t="str">
        <f>IFERROR(VLOOKUP(Schedules[[#This Row],[EE ID]],TeamList[],MATCH(Schedules[[#Headers],[Dept]],TeamList[#Headers],0),0),"_NO MATCH")</f>
        <v>Lead Billing</v>
      </c>
      <c r="W50" s="287" t="s">
        <v>6</v>
      </c>
      <c r="X50" s="1" t="str">
        <f>IFERROR(IF(VLOOKUP(Schedules[[#This Row],[EE ID]],TeamList[],MATCH(Schedules[[#This Row],[DOW]],TeamList[#Headers],0),0)="OFF","OFF","SCH"),"_NO MATCH")</f>
        <v>SCH</v>
      </c>
      <c r="Y50" s="1" t="str">
        <f>IFERROR(IF(Schedules[[#This Row],[Scheduled]]="OFF","",LEFT(VLOOKUP(Schedules[[#This Row],[EE ID]],TeamList[],MATCH(Schedules[[#This Row],[DOW]],TeamList[#Headers],0),0),4)),"_NO MATCH")</f>
        <v>12:3</v>
      </c>
      <c r="Z50" s="1" t="str">
        <f>IFERROR(IF(Schedules[[#This Row],[Scheduled]]="OFF","",RIGHT(VLOOKUP(Schedules[[#This Row],[EE ID]],TeamList[],MATCH(Schedules[[#This Row],[DOW]],TeamList[#Headers],0),0),4)),"_NO MATCH")</f>
        <v>1:00</v>
      </c>
    </row>
    <row r="51" spans="2:26" x14ac:dyDescent="0.25">
      <c r="B51">
        <v>1523241</v>
      </c>
      <c r="C51">
        <v>4112949</v>
      </c>
      <c r="D51" t="s">
        <v>39</v>
      </c>
      <c r="E51" s="210">
        <v>41680</v>
      </c>
      <c r="F51" s="210" t="s">
        <v>314</v>
      </c>
      <c r="G51" t="s">
        <v>385</v>
      </c>
      <c r="H51" t="s">
        <v>355</v>
      </c>
      <c r="I51" t="s">
        <v>355</v>
      </c>
      <c r="J51" t="s">
        <v>355</v>
      </c>
      <c r="K51" t="s">
        <v>355</v>
      </c>
      <c r="L51" t="s">
        <v>355</v>
      </c>
      <c r="M51" t="s">
        <v>16</v>
      </c>
      <c r="N51" t="s">
        <v>16</v>
      </c>
      <c r="P51" s="288" t="s">
        <v>35</v>
      </c>
      <c r="Q51">
        <f>COUNTIFS(Schedules[Employee Name],TeamList[[#This Row],[Employee Name]])</f>
        <v>7</v>
      </c>
      <c r="S51" s="1">
        <v>1529156</v>
      </c>
      <c r="T51" s="146" t="str">
        <f>Schedules[[#This Row],[Employee Name]]&amp;Schedules[[#This Row],[DOW]]</f>
        <v>Taylor, SeanSat</v>
      </c>
      <c r="U51" s="4" t="str">
        <f>IFERROR(VLOOKUP(Schedules[[#This Row],[EE ID]],TeamList[],MATCH(Schedules[[#Headers],[Employee Name]],TeamList[#Headers],0),0),"_NO MATCH")</f>
        <v>Taylor, Sean</v>
      </c>
      <c r="V51" s="4" t="str">
        <f>IFERROR(VLOOKUP(Schedules[[#This Row],[EE ID]],TeamList[],MATCH(Schedules[[#Headers],[Dept]],TeamList[#Headers],0),0),"_NO MATCH")</f>
        <v>Lead Billing</v>
      </c>
      <c r="W51" s="286" t="s">
        <v>12</v>
      </c>
      <c r="X51" s="4" t="str">
        <f>IFERROR(IF(VLOOKUP(Schedules[[#This Row],[EE ID]],TeamList[],MATCH(Schedules[[#This Row],[DOW]],TeamList[#Headers],0),0)="OFF","OFF","SCH"),"_NO MATCH")</f>
        <v>SCH</v>
      </c>
      <c r="Y51" s="4" t="str">
        <f>IFERROR(IF(Schedules[[#This Row],[Scheduled]]="OFF","",LEFT(VLOOKUP(Schedules[[#This Row],[EE ID]],TeamList[],MATCH(Schedules[[#This Row],[DOW]],TeamList[#Headers],0),0),4)),"_NO MATCH")</f>
        <v>12:3</v>
      </c>
      <c r="Z51" s="4" t="str">
        <f>IFERROR(IF(Schedules[[#This Row],[Scheduled]]="OFF","",RIGHT(VLOOKUP(Schedules[[#This Row],[EE ID]],TeamList[],MATCH(Schedules[[#This Row],[DOW]],TeamList[#Headers],0),0),4)),"_NO MATCH")</f>
        <v>1:00</v>
      </c>
    </row>
    <row r="52" spans="2:26" x14ac:dyDescent="0.25">
      <c r="B52">
        <v>1517608</v>
      </c>
      <c r="C52">
        <v>4112926</v>
      </c>
      <c r="D52" t="s">
        <v>64</v>
      </c>
      <c r="E52" s="210">
        <v>40819</v>
      </c>
      <c r="F52" s="210" t="s">
        <v>309</v>
      </c>
      <c r="G52" t="s">
        <v>385</v>
      </c>
      <c r="H52" t="s">
        <v>358</v>
      </c>
      <c r="I52" t="s">
        <v>358</v>
      </c>
      <c r="J52" t="s">
        <v>358</v>
      </c>
      <c r="K52" t="s">
        <v>350</v>
      </c>
      <c r="L52" t="s">
        <v>350</v>
      </c>
      <c r="M52" t="s">
        <v>16</v>
      </c>
      <c r="N52" t="s">
        <v>16</v>
      </c>
      <c r="P52" s="288" t="s">
        <v>42</v>
      </c>
      <c r="Q52">
        <f>COUNTIFS(Schedules[Employee Name],TeamList[[#This Row],[Employee Name]])</f>
        <v>7</v>
      </c>
      <c r="S52" s="1">
        <v>1529156</v>
      </c>
      <c r="T52" s="146" t="str">
        <f>Schedules[[#This Row],[Employee Name]]&amp;Schedules[[#This Row],[DOW]]</f>
        <v>Taylor, SeanMon</v>
      </c>
      <c r="U52" s="4" t="str">
        <f>IFERROR(VLOOKUP(Schedules[[#This Row],[EE ID]],TeamList[],MATCH(Schedules[[#Headers],[Employee Name]],TeamList[#Headers],0),0),"_NO MATCH")</f>
        <v>Taylor, Sean</v>
      </c>
      <c r="V52" s="4" t="str">
        <f>IFERROR(VLOOKUP(Schedules[[#This Row],[EE ID]],TeamList[],MATCH(Schedules[[#Headers],[Dept]],TeamList[#Headers],0),0),"_NO MATCH")</f>
        <v>Lead Billing</v>
      </c>
      <c r="W52" s="286" t="s">
        <v>7</v>
      </c>
      <c r="X52" s="4" t="str">
        <f>IFERROR(IF(VLOOKUP(Schedules[[#This Row],[EE ID]],TeamList[],MATCH(Schedules[[#This Row],[DOW]],TeamList[#Headers],0),0)="OFF","OFF","SCH"),"_NO MATCH")</f>
        <v>SCH</v>
      </c>
      <c r="Y52" s="4" t="str">
        <f>IFERROR(IF(Schedules[[#This Row],[Scheduled]]="OFF","",LEFT(VLOOKUP(Schedules[[#This Row],[EE ID]],TeamList[],MATCH(Schedules[[#This Row],[DOW]],TeamList[#Headers],0),0),4)),"_NO MATCH")</f>
        <v>12:3</v>
      </c>
      <c r="Z52" s="4" t="str">
        <f>IFERROR(IF(Schedules[[#This Row],[Scheduled]]="OFF","",RIGHT(VLOOKUP(Schedules[[#This Row],[EE ID]],TeamList[],MATCH(Schedules[[#This Row],[DOW]],TeamList[#Headers],0),0),4)),"_NO MATCH")</f>
        <v>1:00</v>
      </c>
    </row>
    <row r="53" spans="2:26" x14ac:dyDescent="0.25">
      <c r="B53">
        <v>1513681</v>
      </c>
      <c r="C53">
        <v>4112939</v>
      </c>
      <c r="D53" t="s">
        <v>246</v>
      </c>
      <c r="E53" s="210">
        <v>39048</v>
      </c>
      <c r="F53" s="210" t="s">
        <v>313</v>
      </c>
      <c r="G53" t="s">
        <v>385</v>
      </c>
      <c r="H53" t="s">
        <v>16</v>
      </c>
      <c r="I53" t="s">
        <v>16</v>
      </c>
      <c r="J53" t="s">
        <v>349</v>
      </c>
      <c r="K53" t="s">
        <v>349</v>
      </c>
      <c r="L53" t="s">
        <v>349</v>
      </c>
      <c r="M53" t="s">
        <v>358</v>
      </c>
      <c r="N53" t="s">
        <v>358</v>
      </c>
      <c r="P53" s="288" t="s">
        <v>42</v>
      </c>
      <c r="Q53">
        <f>COUNTIFS(Schedules[Employee Name],TeamList[[#This Row],[Employee Name]])</f>
        <v>7</v>
      </c>
      <c r="S53" s="1">
        <v>1529156</v>
      </c>
      <c r="T53" s="146" t="str">
        <f>Schedules[[#This Row],[Employee Name]]&amp;Schedules[[#This Row],[DOW]]</f>
        <v>Taylor, SeanFri</v>
      </c>
      <c r="U53" s="4" t="str">
        <f>IFERROR(VLOOKUP(Schedules[[#This Row],[EE ID]],TeamList[],MATCH(Schedules[[#Headers],[Employee Name]],TeamList[#Headers],0),0),"_NO MATCH")</f>
        <v>Taylor, Sean</v>
      </c>
      <c r="V53" s="4" t="str">
        <f>IFERROR(VLOOKUP(Schedules[[#This Row],[EE ID]],TeamList[],MATCH(Schedules[[#Headers],[Dept]],TeamList[#Headers],0),0),"_NO MATCH")</f>
        <v>Lead Billing</v>
      </c>
      <c r="W53" s="286" t="s">
        <v>11</v>
      </c>
      <c r="X53" s="4" t="str">
        <f>IFERROR(IF(VLOOKUP(Schedules[[#This Row],[EE ID]],TeamList[],MATCH(Schedules[[#This Row],[DOW]],TeamList[#Headers],0),0)="OFF","OFF","SCH"),"_NO MATCH")</f>
        <v>OFF</v>
      </c>
      <c r="Y53" s="4" t="str">
        <f>IFERROR(IF(Schedules[[#This Row],[Scheduled]]="OFF","",LEFT(VLOOKUP(Schedules[[#This Row],[EE ID]],TeamList[],MATCH(Schedules[[#This Row],[DOW]],TeamList[#Headers],0),0),4)),"_NO MATCH")</f>
        <v/>
      </c>
      <c r="Z53" s="4" t="str">
        <f>IFERROR(IF(Schedules[[#This Row],[Scheduled]]="OFF","",RIGHT(VLOOKUP(Schedules[[#This Row],[EE ID]],TeamList[],MATCH(Schedules[[#This Row],[DOW]],TeamList[#Headers],0),0),4)),"_NO MATCH")</f>
        <v/>
      </c>
    </row>
    <row r="54" spans="2:26" x14ac:dyDescent="0.25">
      <c r="B54">
        <v>6009241</v>
      </c>
      <c r="C54">
        <v>4113033</v>
      </c>
      <c r="D54" t="s">
        <v>382</v>
      </c>
      <c r="E54" s="210">
        <v>42744</v>
      </c>
      <c r="F54" s="210" t="s">
        <v>383</v>
      </c>
      <c r="G54" t="s">
        <v>386</v>
      </c>
      <c r="H54" t="s">
        <v>16</v>
      </c>
      <c r="I54" t="s">
        <v>350</v>
      </c>
      <c r="J54" t="s">
        <v>350</v>
      </c>
      <c r="K54" t="s">
        <v>350</v>
      </c>
      <c r="L54" t="s">
        <v>350</v>
      </c>
      <c r="M54" t="s">
        <v>350</v>
      </c>
      <c r="N54" t="s">
        <v>16</v>
      </c>
      <c r="P54" s="288" t="s">
        <v>271</v>
      </c>
      <c r="Q54">
        <f>COUNTIFS(Schedules[Employee Name],TeamList[[#This Row],[Employee Name]])</f>
        <v>0</v>
      </c>
      <c r="S54" s="1">
        <v>1529393</v>
      </c>
      <c r="T54" s="146" t="str">
        <f>Schedules[[#This Row],[Employee Name]]&amp;Schedules[[#This Row],[DOW]]</f>
        <v>Suhama, RyanWed</v>
      </c>
      <c r="U54" s="4" t="str">
        <f>IFERROR(VLOOKUP(Schedules[[#This Row],[EE ID]],TeamList[],MATCH(Schedules[[#Headers],[Employee Name]],TeamList[#Headers],0),0),"_NO MATCH")</f>
        <v>Suhama, Ryan</v>
      </c>
      <c r="V54" s="4" t="str">
        <f>IFERROR(VLOOKUP(Schedules[[#This Row],[EE ID]],TeamList[],MATCH(Schedules[[#Headers],[Dept]],TeamList[#Headers],0),0),"_NO MATCH")</f>
        <v>Lead Billing</v>
      </c>
      <c r="W54" s="286" t="s">
        <v>9</v>
      </c>
      <c r="X54" s="4" t="str">
        <f>IFERROR(IF(VLOOKUP(Schedules[[#This Row],[EE ID]],TeamList[],MATCH(Schedules[[#This Row],[DOW]],TeamList[#Headers],0),0)="OFF","OFF","SCH"),"_NO MATCH")</f>
        <v>OFF</v>
      </c>
      <c r="Y54" s="4" t="str">
        <f>IFERROR(IF(Schedules[[#This Row],[Scheduled]]="OFF","",LEFT(VLOOKUP(Schedules[[#This Row],[EE ID]],TeamList[],MATCH(Schedules[[#This Row],[DOW]],TeamList[#Headers],0),0),4)),"_NO MATCH")</f>
        <v/>
      </c>
      <c r="Z54" s="4" t="str">
        <f>IFERROR(IF(Schedules[[#This Row],[Scheduled]]="OFF","",RIGHT(VLOOKUP(Schedules[[#This Row],[EE ID]],TeamList[],MATCH(Schedules[[#This Row],[DOW]],TeamList[#Headers],0),0),4)),"_NO MATCH")</f>
        <v/>
      </c>
    </row>
    <row r="55" spans="2:26" x14ac:dyDescent="0.25">
      <c r="B55">
        <v>1511872</v>
      </c>
      <c r="C55">
        <v>4112964</v>
      </c>
      <c r="D55" t="s">
        <v>387</v>
      </c>
      <c r="E55" s="210">
        <v>38180</v>
      </c>
      <c r="F55" s="210" t="s">
        <v>391</v>
      </c>
      <c r="G55" t="s">
        <v>396</v>
      </c>
      <c r="H55" t="s">
        <v>16</v>
      </c>
      <c r="I55" t="s">
        <v>398</v>
      </c>
      <c r="J55" t="s">
        <v>398</v>
      </c>
      <c r="K55" t="s">
        <v>398</v>
      </c>
      <c r="L55" t="s">
        <v>398</v>
      </c>
      <c r="M55" t="s">
        <v>398</v>
      </c>
      <c r="N55" t="s">
        <v>16</v>
      </c>
      <c r="P55" s="288" t="s">
        <v>382</v>
      </c>
      <c r="Q55">
        <f>COUNTIFS(Schedules[Employee Name],TeamList[[#This Row],[Employee Name]])</f>
        <v>0</v>
      </c>
      <c r="S55" s="1">
        <v>1529393</v>
      </c>
      <c r="T55" s="146" t="str">
        <f>Schedules[[#This Row],[Employee Name]]&amp;Schedules[[#This Row],[DOW]]</f>
        <v>Suhama, RyanTue</v>
      </c>
      <c r="U55" s="4" t="str">
        <f>IFERROR(VLOOKUP(Schedules[[#This Row],[EE ID]],TeamList[],MATCH(Schedules[[#Headers],[Employee Name]],TeamList[#Headers],0),0),"_NO MATCH")</f>
        <v>Suhama, Ryan</v>
      </c>
      <c r="V55" s="4" t="str">
        <f>IFERROR(VLOOKUP(Schedules[[#This Row],[EE ID]],TeamList[],MATCH(Schedules[[#Headers],[Dept]],TeamList[#Headers],0),0),"_NO MATCH")</f>
        <v>Lead Billing</v>
      </c>
      <c r="W55" s="286" t="s">
        <v>8</v>
      </c>
      <c r="X55" s="4" t="str">
        <f>IFERROR(IF(VLOOKUP(Schedules[[#This Row],[EE ID]],TeamList[],MATCH(Schedules[[#This Row],[DOW]],TeamList[#Headers],0),0)="OFF","OFF","SCH"),"_NO MATCH")</f>
        <v>SCH</v>
      </c>
      <c r="Y55" s="4" t="str">
        <f>IFERROR(IF(Schedules[[#This Row],[Scheduled]]="OFF","",LEFT(VLOOKUP(Schedules[[#This Row],[EE ID]],TeamList[],MATCH(Schedules[[#This Row],[DOW]],TeamList[#Headers],0),0),4)),"_NO MATCH")</f>
        <v>12:3</v>
      </c>
      <c r="Z55" s="4" t="str">
        <f>IFERROR(IF(Schedules[[#This Row],[Scheduled]]="OFF","",RIGHT(VLOOKUP(Schedules[[#This Row],[EE ID]],TeamList[],MATCH(Schedules[[#This Row],[DOW]],TeamList[#Headers],0),0),4)),"_NO MATCH")</f>
        <v>1:00</v>
      </c>
    </row>
    <row r="56" spans="2:26" x14ac:dyDescent="0.25">
      <c r="B56">
        <v>1524418</v>
      </c>
      <c r="C56">
        <v>4112965</v>
      </c>
      <c r="D56" t="s">
        <v>388</v>
      </c>
      <c r="E56" s="210">
        <v>41793</v>
      </c>
      <c r="F56" s="210" t="s">
        <v>392</v>
      </c>
      <c r="G56" t="s">
        <v>395</v>
      </c>
      <c r="H56" t="s">
        <v>16</v>
      </c>
      <c r="I56" t="s">
        <v>399</v>
      </c>
      <c r="J56" t="s">
        <v>399</v>
      </c>
      <c r="K56" t="s">
        <v>399</v>
      </c>
      <c r="L56" t="s">
        <v>399</v>
      </c>
      <c r="M56" t="s">
        <v>399</v>
      </c>
      <c r="N56" t="s">
        <v>16</v>
      </c>
      <c r="P56" s="288" t="s">
        <v>382</v>
      </c>
      <c r="Q56">
        <f>COUNTIFS(Schedules[Employee Name],TeamList[[#This Row],[Employee Name]])</f>
        <v>0</v>
      </c>
      <c r="S56" s="1">
        <v>1529393</v>
      </c>
      <c r="T56" s="146" t="str">
        <f>Schedules[[#This Row],[Employee Name]]&amp;Schedules[[#This Row],[DOW]]</f>
        <v>Suhama, RyanThu</v>
      </c>
      <c r="U56" s="4" t="str">
        <f>IFERROR(VLOOKUP(Schedules[[#This Row],[EE ID]],TeamList[],MATCH(Schedules[[#Headers],[Employee Name]],TeamList[#Headers],0),0),"_NO MATCH")</f>
        <v>Suhama, Ryan</v>
      </c>
      <c r="V56" s="4" t="str">
        <f>IFERROR(VLOOKUP(Schedules[[#This Row],[EE ID]],TeamList[],MATCH(Schedules[[#Headers],[Dept]],TeamList[#Headers],0),0),"_NO MATCH")</f>
        <v>Lead Billing</v>
      </c>
      <c r="W56" s="286" t="s">
        <v>10</v>
      </c>
      <c r="X56" s="4" t="str">
        <f>IFERROR(IF(VLOOKUP(Schedules[[#This Row],[EE ID]],TeamList[],MATCH(Schedules[[#This Row],[DOW]],TeamList[#Headers],0),0)="OFF","OFF","SCH"),"_NO MATCH")</f>
        <v>OFF</v>
      </c>
      <c r="Y56" s="4" t="str">
        <f>IFERROR(IF(Schedules[[#This Row],[Scheduled]]="OFF","",LEFT(VLOOKUP(Schedules[[#This Row],[EE ID]],TeamList[],MATCH(Schedules[[#This Row],[DOW]],TeamList[#Headers],0),0),4)),"_NO MATCH")</f>
        <v/>
      </c>
      <c r="Z56" s="4" t="str">
        <f>IFERROR(IF(Schedules[[#This Row],[Scheduled]]="OFF","",RIGHT(VLOOKUP(Schedules[[#This Row],[EE ID]],TeamList[],MATCH(Schedules[[#This Row],[DOW]],TeamList[#Headers],0),0),4)),"_NO MATCH")</f>
        <v/>
      </c>
    </row>
    <row r="57" spans="2:26" x14ac:dyDescent="0.25">
      <c r="B57">
        <v>1520183</v>
      </c>
      <c r="C57">
        <v>4112927</v>
      </c>
      <c r="D57" t="s">
        <v>389</v>
      </c>
      <c r="E57" s="210">
        <v>41351</v>
      </c>
      <c r="F57" s="210" t="s">
        <v>393</v>
      </c>
      <c r="G57" t="s">
        <v>395</v>
      </c>
      <c r="H57" t="s">
        <v>16</v>
      </c>
      <c r="I57" t="s">
        <v>399</v>
      </c>
      <c r="J57" t="s">
        <v>399</v>
      </c>
      <c r="K57" t="s">
        <v>399</v>
      </c>
      <c r="L57" t="s">
        <v>399</v>
      </c>
      <c r="M57" t="s">
        <v>399</v>
      </c>
      <c r="N57" t="s">
        <v>16</v>
      </c>
      <c r="P57" t="s">
        <v>382</v>
      </c>
      <c r="Q57">
        <f>COUNTIFS(Schedules[Employee Name],TeamList[[#This Row],[Employee Name]])</f>
        <v>0</v>
      </c>
      <c r="S57" s="1">
        <v>1529393</v>
      </c>
      <c r="T57" s="146" t="str">
        <f>Schedules[[#This Row],[Employee Name]]&amp;Schedules[[#This Row],[DOW]]</f>
        <v>Suhama, RyanSun</v>
      </c>
      <c r="U57" s="4" t="str">
        <f>IFERROR(VLOOKUP(Schedules[[#This Row],[EE ID]],TeamList[],MATCH(Schedules[[#Headers],[Employee Name]],TeamList[#Headers],0),0),"_NO MATCH")</f>
        <v>Suhama, Ryan</v>
      </c>
      <c r="V57" s="4" t="str">
        <f>IFERROR(VLOOKUP(Schedules[[#This Row],[EE ID]],TeamList[],MATCH(Schedules[[#Headers],[Dept]],TeamList[#Headers],0),0),"_NO MATCH")</f>
        <v>Lead Billing</v>
      </c>
      <c r="W57" s="287" t="s">
        <v>6</v>
      </c>
      <c r="X57" s="219" t="str">
        <f>IFERROR(IF(VLOOKUP(Schedules[[#This Row],[EE ID]],TeamList[],MATCH(Schedules[[#This Row],[DOW]],TeamList[#Headers],0),0)="OFF","OFF","SCH"),"_NO MATCH")</f>
        <v>SCH</v>
      </c>
      <c r="Y57" s="219" t="str">
        <f>IFERROR(IF(Schedules[[#This Row],[Scheduled]]="OFF","",LEFT(VLOOKUP(Schedules[[#This Row],[EE ID]],TeamList[],MATCH(Schedules[[#This Row],[DOW]],TeamList[#Headers],0),0),4)),"_NO MATCH")</f>
        <v>12:3</v>
      </c>
      <c r="Z57" s="219" t="str">
        <f>IFERROR(IF(Schedules[[#This Row],[Scheduled]]="OFF","",RIGHT(VLOOKUP(Schedules[[#This Row],[EE ID]],TeamList[],MATCH(Schedules[[#This Row],[DOW]],TeamList[#Headers],0),0),4)),"_NO MATCH")</f>
        <v>1:00</v>
      </c>
    </row>
    <row r="58" spans="2:26" x14ac:dyDescent="0.25">
      <c r="B58">
        <v>6112301</v>
      </c>
      <c r="C58">
        <v>4112946</v>
      </c>
      <c r="D58" t="s">
        <v>390</v>
      </c>
      <c r="E58" s="210">
        <v>43735</v>
      </c>
      <c r="F58" s="210" t="s">
        <v>394</v>
      </c>
      <c r="G58" t="s">
        <v>395</v>
      </c>
      <c r="H58" t="s">
        <v>16</v>
      </c>
      <c r="I58" t="s">
        <v>399</v>
      </c>
      <c r="J58" t="s">
        <v>399</v>
      </c>
      <c r="K58" t="s">
        <v>399</v>
      </c>
      <c r="L58" t="s">
        <v>399</v>
      </c>
      <c r="M58" t="s">
        <v>399</v>
      </c>
      <c r="N58" t="s">
        <v>16</v>
      </c>
      <c r="P58" t="s">
        <v>382</v>
      </c>
      <c r="Q58">
        <f>COUNTIFS(Schedules[Employee Name],TeamList[[#This Row],[Employee Name]])</f>
        <v>0</v>
      </c>
      <c r="S58" s="1">
        <v>1529393</v>
      </c>
      <c r="T58" s="146" t="str">
        <f>Schedules[[#This Row],[Employee Name]]&amp;Schedules[[#This Row],[DOW]]</f>
        <v>Suhama, RyanSat</v>
      </c>
      <c r="U58" s="4" t="str">
        <f>IFERROR(VLOOKUP(Schedules[[#This Row],[EE ID]],TeamList[],MATCH(Schedules[[#Headers],[Employee Name]],TeamList[#Headers],0),0),"_NO MATCH")</f>
        <v>Suhama, Ryan</v>
      </c>
      <c r="V58" s="4" t="str">
        <f>IFERROR(VLOOKUP(Schedules[[#This Row],[EE ID]],TeamList[],MATCH(Schedules[[#Headers],[Dept]],TeamList[#Headers],0),0),"_NO MATCH")</f>
        <v>Lead Billing</v>
      </c>
      <c r="W58" s="286" t="s">
        <v>12</v>
      </c>
      <c r="X58" s="4" t="str">
        <f>IFERROR(IF(VLOOKUP(Schedules[[#This Row],[EE ID]],TeamList[],MATCH(Schedules[[#This Row],[DOW]],TeamList[#Headers],0),0)="OFF","OFF","SCH"),"_NO MATCH")</f>
        <v>SCH</v>
      </c>
      <c r="Y58" s="4" t="str">
        <f>IFERROR(IF(Schedules[[#This Row],[Scheduled]]="OFF","",LEFT(VLOOKUP(Schedules[[#This Row],[EE ID]],TeamList[],MATCH(Schedules[[#This Row],[DOW]],TeamList[#Headers],0),0),4)),"_NO MATCH")</f>
        <v>12:3</v>
      </c>
      <c r="Z58" s="4" t="str">
        <f>IFERROR(IF(Schedules[[#This Row],[Scheduled]]="OFF","",RIGHT(VLOOKUP(Schedules[[#This Row],[EE ID]],TeamList[],MATCH(Schedules[[#This Row],[DOW]],TeamList[#Headers],0),0),4)),"_NO MATCH")</f>
        <v>1:00</v>
      </c>
    </row>
    <row r="59" spans="2:26" x14ac:dyDescent="0.25">
      <c r="B59">
        <v>6044626</v>
      </c>
      <c r="C59">
        <v>4112922</v>
      </c>
      <c r="D59" t="s">
        <v>249</v>
      </c>
      <c r="E59" s="210">
        <v>43081</v>
      </c>
      <c r="F59" s="210" t="s">
        <v>323</v>
      </c>
      <c r="G59" t="s">
        <v>397</v>
      </c>
      <c r="H59" t="s">
        <v>328</v>
      </c>
      <c r="I59" t="s">
        <v>16</v>
      </c>
      <c r="J59" t="s">
        <v>16</v>
      </c>
      <c r="K59" t="s">
        <v>328</v>
      </c>
      <c r="L59" t="s">
        <v>328</v>
      </c>
      <c r="M59" t="s">
        <v>328</v>
      </c>
      <c r="N59" t="s">
        <v>328</v>
      </c>
      <c r="P59" t="s">
        <v>272</v>
      </c>
      <c r="Q59">
        <f>COUNTIFS(Schedules[Employee Name],TeamList[[#This Row],[Employee Name]])</f>
        <v>7</v>
      </c>
      <c r="S59" s="1">
        <v>1529393</v>
      </c>
      <c r="T59" s="146" t="str">
        <f>Schedules[[#This Row],[Employee Name]]&amp;Schedules[[#This Row],[DOW]]</f>
        <v>Suhama, RyanMon</v>
      </c>
      <c r="U59" s="4" t="str">
        <f>IFERROR(VLOOKUP(Schedules[[#This Row],[EE ID]],TeamList[],MATCH(Schedules[[#Headers],[Employee Name]],TeamList[#Headers],0),0),"_NO MATCH")</f>
        <v>Suhama, Ryan</v>
      </c>
      <c r="V59" s="4" t="str">
        <f>IFERROR(VLOOKUP(Schedules[[#This Row],[EE ID]],TeamList[],MATCH(Schedules[[#Headers],[Dept]],TeamList[#Headers],0),0),"_NO MATCH")</f>
        <v>Lead Billing</v>
      </c>
      <c r="W59" s="286" t="s">
        <v>7</v>
      </c>
      <c r="X59" s="4" t="str">
        <f>IFERROR(IF(VLOOKUP(Schedules[[#This Row],[EE ID]],TeamList[],MATCH(Schedules[[#This Row],[DOW]],TeamList[#Headers],0),0)="OFF","OFF","SCH"),"_NO MATCH")</f>
        <v>SCH</v>
      </c>
      <c r="Y59" s="4" t="str">
        <f>IFERROR(IF(Schedules[[#This Row],[Scheduled]]="OFF","",LEFT(VLOOKUP(Schedules[[#This Row],[EE ID]],TeamList[],MATCH(Schedules[[#This Row],[DOW]],TeamList[#Headers],0),0),4)),"_NO MATCH")</f>
        <v>12:3</v>
      </c>
      <c r="Z59" s="4" t="str">
        <f>IFERROR(IF(Schedules[[#This Row],[Scheduled]]="OFF","",RIGHT(VLOOKUP(Schedules[[#This Row],[EE ID]],TeamList[],MATCH(Schedules[[#This Row],[DOW]],TeamList[#Headers],0),0),4)),"_NO MATCH")</f>
        <v>1:00</v>
      </c>
    </row>
    <row r="60" spans="2:26" x14ac:dyDescent="0.25">
      <c r="B60">
        <v>1516542</v>
      </c>
      <c r="C60">
        <v>4112944</v>
      </c>
      <c r="D60" t="s">
        <v>65</v>
      </c>
      <c r="E60" s="210">
        <v>40385</v>
      </c>
      <c r="F60" s="210" t="s">
        <v>301</v>
      </c>
      <c r="G60" t="s">
        <v>397</v>
      </c>
      <c r="H60" t="s">
        <v>16</v>
      </c>
      <c r="I60" t="s">
        <v>349</v>
      </c>
      <c r="J60" t="s">
        <v>349</v>
      </c>
      <c r="K60" t="s">
        <v>349</v>
      </c>
      <c r="L60" t="s">
        <v>349</v>
      </c>
      <c r="M60" t="s">
        <v>349</v>
      </c>
      <c r="N60" t="s">
        <v>16</v>
      </c>
      <c r="P60" t="s">
        <v>272</v>
      </c>
      <c r="Q60">
        <f>COUNTIFS(Schedules[Employee Name],TeamList[[#This Row],[Employee Name]])</f>
        <v>7</v>
      </c>
      <c r="S60" s="1">
        <v>1529393</v>
      </c>
      <c r="T60" s="146" t="str">
        <f>Schedules[[#This Row],[Employee Name]]&amp;Schedules[[#This Row],[DOW]]</f>
        <v>Suhama, RyanFri</v>
      </c>
      <c r="U60" s="4" t="str">
        <f>IFERROR(VLOOKUP(Schedules[[#This Row],[EE ID]],TeamList[],MATCH(Schedules[[#Headers],[Employee Name]],TeamList[#Headers],0),0),"_NO MATCH")</f>
        <v>Suhama, Ryan</v>
      </c>
      <c r="V60" s="4" t="str">
        <f>IFERROR(VLOOKUP(Schedules[[#This Row],[EE ID]],TeamList[],MATCH(Schedules[[#Headers],[Dept]],TeamList[#Headers],0),0),"_NO MATCH")</f>
        <v>Lead Billing</v>
      </c>
      <c r="W60" s="286" t="s">
        <v>11</v>
      </c>
      <c r="X60" s="4" t="str">
        <f>IFERROR(IF(VLOOKUP(Schedules[[#This Row],[EE ID]],TeamList[],MATCH(Schedules[[#This Row],[DOW]],TeamList[#Headers],0),0)="OFF","OFF","SCH"),"_NO MATCH")</f>
        <v>SCH</v>
      </c>
      <c r="Y60" s="4" t="str">
        <f>IFERROR(IF(Schedules[[#This Row],[Scheduled]]="OFF","",LEFT(VLOOKUP(Schedules[[#This Row],[EE ID]],TeamList[],MATCH(Schedules[[#This Row],[DOW]],TeamList[#Headers],0),0),4)),"_NO MATCH")</f>
        <v>12:3</v>
      </c>
      <c r="Z60" s="4" t="str">
        <f>IFERROR(IF(Schedules[[#This Row],[Scheduled]]="OFF","",RIGHT(VLOOKUP(Schedules[[#This Row],[EE ID]],TeamList[],MATCH(Schedules[[#This Row],[DOW]],TeamList[#Headers],0),0),4)),"_NO MATCH")</f>
        <v>1:00</v>
      </c>
    </row>
    <row r="61" spans="2:26" x14ac:dyDescent="0.25">
      <c r="B61">
        <v>1516901</v>
      </c>
      <c r="C61">
        <v>4112930</v>
      </c>
      <c r="D61" t="s">
        <v>42</v>
      </c>
      <c r="E61" s="210">
        <v>40518</v>
      </c>
      <c r="F61" s="210" t="s">
        <v>324</v>
      </c>
      <c r="G61" t="s">
        <v>397</v>
      </c>
      <c r="H61" t="s">
        <v>16</v>
      </c>
      <c r="I61" t="s">
        <v>352</v>
      </c>
      <c r="J61" t="s">
        <v>352</v>
      </c>
      <c r="K61" t="s">
        <v>352</v>
      </c>
      <c r="L61" t="s">
        <v>352</v>
      </c>
      <c r="M61" t="s">
        <v>352</v>
      </c>
      <c r="N61" t="s">
        <v>16</v>
      </c>
      <c r="P61" t="s">
        <v>272</v>
      </c>
      <c r="Q61">
        <f>COUNTIFS(Schedules[Employee Name],TeamList[[#This Row],[Employee Name]])</f>
        <v>7</v>
      </c>
      <c r="S61" s="1">
        <v>1524040</v>
      </c>
      <c r="T61" s="146" t="str">
        <f>Schedules[[#This Row],[Employee Name]]&amp;Schedules[[#This Row],[DOW]]</f>
        <v>Suarez, AlyssaWed</v>
      </c>
      <c r="U61" s="4" t="str">
        <f>IFERROR(VLOOKUP(Schedules[[#This Row],[EE ID]],TeamList[],MATCH(Schedules[[#Headers],[Employee Name]],TeamList[#Headers],0),0),"_NO MATCH")</f>
        <v>Suarez, Alyssa</v>
      </c>
      <c r="V61" s="4" t="str">
        <f>IFERROR(VLOOKUP(Schedules[[#This Row],[EE ID]],TeamList[],MATCH(Schedules[[#Headers],[Dept]],TeamList[#Headers],0),0),"_NO MATCH")</f>
        <v>Lead Billing</v>
      </c>
      <c r="W61" s="286" t="s">
        <v>9</v>
      </c>
      <c r="X61" s="4" t="str">
        <f>IFERROR(IF(VLOOKUP(Schedules[[#This Row],[EE ID]],TeamList[],MATCH(Schedules[[#This Row],[DOW]],TeamList[#Headers],0),0)="OFF","OFF","SCH"),"_NO MATCH")</f>
        <v>OFF</v>
      </c>
      <c r="Y61" s="4" t="str">
        <f>IFERROR(IF(Schedules[[#This Row],[Scheduled]]="OFF","",LEFT(VLOOKUP(Schedules[[#This Row],[EE ID]],TeamList[],MATCH(Schedules[[#This Row],[DOW]],TeamList[#Headers],0),0),4)),"_NO MATCH")</f>
        <v/>
      </c>
      <c r="Z61" s="4" t="str">
        <f>IFERROR(IF(Schedules[[#This Row],[Scheduled]]="OFF","",RIGHT(VLOOKUP(Schedules[[#This Row],[EE ID]],TeamList[],MATCH(Schedules[[#This Row],[DOW]],TeamList[#Headers],0),0),4)),"_NO MATCH")</f>
        <v/>
      </c>
    </row>
    <row r="62" spans="2:26" x14ac:dyDescent="0.25">
      <c r="B62">
        <v>1515518</v>
      </c>
      <c r="C62">
        <v>4112965</v>
      </c>
      <c r="D62" t="s">
        <v>35</v>
      </c>
      <c r="E62" s="210">
        <v>39867</v>
      </c>
      <c r="F62" s="210" t="s">
        <v>325</v>
      </c>
      <c r="G62" t="s">
        <v>397</v>
      </c>
      <c r="H62" t="s">
        <v>16</v>
      </c>
      <c r="I62" t="s">
        <v>356</v>
      </c>
      <c r="J62" t="s">
        <v>356</v>
      </c>
      <c r="K62" t="s">
        <v>356</v>
      </c>
      <c r="L62" t="s">
        <v>356</v>
      </c>
      <c r="M62" t="s">
        <v>356</v>
      </c>
      <c r="N62" t="s">
        <v>16</v>
      </c>
      <c r="P62" t="s">
        <v>272</v>
      </c>
      <c r="Q62">
        <f>COUNTIFS(Schedules[Employee Name],TeamList[[#This Row],[Employee Name]])</f>
        <v>7</v>
      </c>
      <c r="S62" s="1">
        <v>1524040</v>
      </c>
      <c r="T62" s="146" t="str">
        <f>Schedules[[#This Row],[Employee Name]]&amp;Schedules[[#This Row],[DOW]]</f>
        <v>Suarez, AlyssaTue</v>
      </c>
      <c r="U62" s="4" t="str">
        <f>IFERROR(VLOOKUP(Schedules[[#This Row],[EE ID]],TeamList[],MATCH(Schedules[[#Headers],[Employee Name]],TeamList[#Headers],0),0),"_NO MATCH")</f>
        <v>Suarez, Alyssa</v>
      </c>
      <c r="V62" s="4" t="str">
        <f>IFERROR(VLOOKUP(Schedules[[#This Row],[EE ID]],TeamList[],MATCH(Schedules[[#Headers],[Dept]],TeamList[#Headers],0),0),"_NO MATCH")</f>
        <v>Lead Billing</v>
      </c>
      <c r="W62" s="286" t="s">
        <v>8</v>
      </c>
      <c r="X62" s="4" t="str">
        <f>IFERROR(IF(VLOOKUP(Schedules[[#This Row],[EE ID]],TeamList[],MATCH(Schedules[[#This Row],[DOW]],TeamList[#Headers],0),0)="OFF","OFF","SCH"),"_NO MATCH")</f>
        <v>SCH</v>
      </c>
      <c r="Y62" s="4" t="str">
        <f>IFERROR(IF(Schedules[[#This Row],[Scheduled]]="OFF","",LEFT(VLOOKUP(Schedules[[#This Row],[EE ID]],TeamList[],MATCH(Schedules[[#This Row],[DOW]],TeamList[#Headers],0),0),4)),"_NO MATCH")</f>
        <v>05:3</v>
      </c>
      <c r="Z62" s="4" t="str">
        <f>IFERROR(IF(Schedules[[#This Row],[Scheduled]]="OFF","",RIGHT(VLOOKUP(Schedules[[#This Row],[EE ID]],TeamList[],MATCH(Schedules[[#This Row],[DOW]],TeamList[#Headers],0),0),4)),"_NO MATCH")</f>
        <v>4:30</v>
      </c>
    </row>
    <row r="63" spans="2:26" x14ac:dyDescent="0.25">
      <c r="E63" s="210"/>
      <c r="F63" s="210"/>
      <c r="S63" s="1">
        <v>1524040</v>
      </c>
      <c r="T63" s="146" t="str">
        <f>Schedules[[#This Row],[Employee Name]]&amp;Schedules[[#This Row],[DOW]]</f>
        <v>Suarez, AlyssaThu</v>
      </c>
      <c r="U63" s="4" t="str">
        <f>IFERROR(VLOOKUP(Schedules[[#This Row],[EE ID]],TeamList[],MATCH(Schedules[[#Headers],[Employee Name]],TeamList[#Headers],0),0),"_NO MATCH")</f>
        <v>Suarez, Alyssa</v>
      </c>
      <c r="V63" s="4" t="str">
        <f>IFERROR(VLOOKUP(Schedules[[#This Row],[EE ID]],TeamList[],MATCH(Schedules[[#Headers],[Dept]],TeamList[#Headers],0),0),"_NO MATCH")</f>
        <v>Lead Billing</v>
      </c>
      <c r="W63" s="286" t="s">
        <v>10</v>
      </c>
      <c r="X63" s="4" t="str">
        <f>IFERROR(IF(VLOOKUP(Schedules[[#This Row],[EE ID]],TeamList[],MATCH(Schedules[[#This Row],[DOW]],TeamList[#Headers],0),0)="OFF","OFF","SCH"),"_NO MATCH")</f>
        <v>OFF</v>
      </c>
      <c r="Y63" s="4" t="str">
        <f>IFERROR(IF(Schedules[[#This Row],[Scheduled]]="OFF","",LEFT(VLOOKUP(Schedules[[#This Row],[EE ID]],TeamList[],MATCH(Schedules[[#This Row],[DOW]],TeamList[#Headers],0),0),4)),"_NO MATCH")</f>
        <v/>
      </c>
      <c r="Z63" s="4" t="str">
        <f>IFERROR(IF(Schedules[[#This Row],[Scheduled]]="OFF","",RIGHT(VLOOKUP(Schedules[[#This Row],[EE ID]],TeamList[],MATCH(Schedules[[#This Row],[DOW]],TeamList[#Headers],0),0),4)),"_NO MATCH")</f>
        <v/>
      </c>
    </row>
    <row r="64" spans="2:26" x14ac:dyDescent="0.25">
      <c r="E64" s="210"/>
      <c r="F64" s="210"/>
      <c r="S64" s="1">
        <v>1524040</v>
      </c>
      <c r="T64" s="146" t="str">
        <f>Schedules[[#This Row],[Employee Name]]&amp;Schedules[[#This Row],[DOW]]</f>
        <v>Suarez, AlyssaSun</v>
      </c>
      <c r="U64" s="4" t="str">
        <f>IFERROR(VLOOKUP(Schedules[[#This Row],[EE ID]],TeamList[],MATCH(Schedules[[#Headers],[Employee Name]],TeamList[#Headers],0),0),"_NO MATCH")</f>
        <v>Suarez, Alyssa</v>
      </c>
      <c r="V64" s="4" t="str">
        <f>IFERROR(VLOOKUP(Schedules[[#This Row],[EE ID]],TeamList[],MATCH(Schedules[[#Headers],[Dept]],TeamList[#Headers],0),0),"_NO MATCH")</f>
        <v>Lead Billing</v>
      </c>
      <c r="W64" s="287" t="s">
        <v>6</v>
      </c>
      <c r="X64" s="197" t="str">
        <f>IFERROR(IF(VLOOKUP(Schedules[[#This Row],[EE ID]],TeamList[],MATCH(Schedules[[#This Row],[DOW]],TeamList[#Headers],0),0)="OFF","OFF","SCH"),"_NO MATCH")</f>
        <v>SCH</v>
      </c>
      <c r="Y64" s="197" t="str">
        <f>IFERROR(IF(Schedules[[#This Row],[Scheduled]]="OFF","",LEFT(VLOOKUP(Schedules[[#This Row],[EE ID]],TeamList[],MATCH(Schedules[[#This Row],[DOW]],TeamList[#Headers],0),0),4)),"_NO MATCH")</f>
        <v>05:3</v>
      </c>
      <c r="Z64" s="197" t="str">
        <f>IFERROR(IF(Schedules[[#This Row],[Scheduled]]="OFF","",RIGHT(VLOOKUP(Schedules[[#This Row],[EE ID]],TeamList[],MATCH(Schedules[[#This Row],[DOW]],TeamList[#Headers],0),0),4)),"_NO MATCH")</f>
        <v>4:30</v>
      </c>
    </row>
    <row r="65" spans="19:26" x14ac:dyDescent="0.25">
      <c r="S65" s="1">
        <v>1524040</v>
      </c>
      <c r="T65" s="146" t="str">
        <f>Schedules[[#This Row],[Employee Name]]&amp;Schedules[[#This Row],[DOW]]</f>
        <v>Suarez, AlyssaSat</v>
      </c>
      <c r="U65" s="4" t="str">
        <f>IFERROR(VLOOKUP(Schedules[[#This Row],[EE ID]],TeamList[],MATCH(Schedules[[#Headers],[Employee Name]],TeamList[#Headers],0),0),"_NO MATCH")</f>
        <v>Suarez, Alyssa</v>
      </c>
      <c r="V65" s="4" t="str">
        <f>IFERROR(VLOOKUP(Schedules[[#This Row],[EE ID]],TeamList[],MATCH(Schedules[[#Headers],[Dept]],TeamList[#Headers],0),0),"_NO MATCH")</f>
        <v>Lead Billing</v>
      </c>
      <c r="W65" s="286" t="s">
        <v>12</v>
      </c>
      <c r="X65" s="4" t="str">
        <f>IFERROR(IF(VLOOKUP(Schedules[[#This Row],[EE ID]],TeamList[],MATCH(Schedules[[#This Row],[DOW]],TeamList[#Headers],0),0)="OFF","OFF","SCH"),"_NO MATCH")</f>
        <v>SCH</v>
      </c>
      <c r="Y65" s="4" t="str">
        <f>IFERROR(IF(Schedules[[#This Row],[Scheduled]]="OFF","",LEFT(VLOOKUP(Schedules[[#This Row],[EE ID]],TeamList[],MATCH(Schedules[[#This Row],[DOW]],TeamList[#Headers],0),0),4)),"_NO MATCH")</f>
        <v>05:3</v>
      </c>
      <c r="Z65" s="4" t="str">
        <f>IFERROR(IF(Schedules[[#This Row],[Scheduled]]="OFF","",RIGHT(VLOOKUP(Schedules[[#This Row],[EE ID]],TeamList[],MATCH(Schedules[[#This Row],[DOW]],TeamList[#Headers],0),0),4)),"_NO MATCH")</f>
        <v>4:30</v>
      </c>
    </row>
    <row r="66" spans="19:26" x14ac:dyDescent="0.25">
      <c r="S66" s="219">
        <v>1524040</v>
      </c>
      <c r="T66" s="146" t="str">
        <f>Schedules[[#This Row],[Employee Name]]&amp;Schedules[[#This Row],[DOW]]</f>
        <v>Suarez, AlyssaMon</v>
      </c>
      <c r="U66" s="4" t="str">
        <f>IFERROR(VLOOKUP(Schedules[[#This Row],[EE ID]],TeamList[],MATCH(Schedules[[#Headers],[Employee Name]],TeamList[#Headers],0),0),"_NO MATCH")</f>
        <v>Suarez, Alyssa</v>
      </c>
      <c r="V66" s="4" t="str">
        <f>IFERROR(VLOOKUP(Schedules[[#This Row],[EE ID]],TeamList[],MATCH(Schedules[[#Headers],[Dept]],TeamList[#Headers],0),0),"_NO MATCH")</f>
        <v>Lead Billing</v>
      </c>
      <c r="W66" s="286" t="s">
        <v>7</v>
      </c>
      <c r="X66" s="4" t="str">
        <f>IFERROR(IF(VLOOKUP(Schedules[[#This Row],[EE ID]],TeamList[],MATCH(Schedules[[#This Row],[DOW]],TeamList[#Headers],0),0)="OFF","OFF","SCH"),"_NO MATCH")</f>
        <v>SCH</v>
      </c>
      <c r="Y66" s="4" t="str">
        <f>IFERROR(IF(Schedules[[#This Row],[Scheduled]]="OFF","",LEFT(VLOOKUP(Schedules[[#This Row],[EE ID]],TeamList[],MATCH(Schedules[[#This Row],[DOW]],TeamList[#Headers],0),0),4)),"_NO MATCH")</f>
        <v>05:3</v>
      </c>
      <c r="Z66" s="4" t="str">
        <f>IFERROR(IF(Schedules[[#This Row],[Scheduled]]="OFF","",RIGHT(VLOOKUP(Schedules[[#This Row],[EE ID]],TeamList[],MATCH(Schedules[[#This Row],[DOW]],TeamList[#Headers],0),0),4)),"_NO MATCH")</f>
        <v>4:30</v>
      </c>
    </row>
    <row r="67" spans="19:26" x14ac:dyDescent="0.25">
      <c r="S67" s="1">
        <v>1524040</v>
      </c>
      <c r="T67" s="146" t="str">
        <f>Schedules[[#This Row],[Employee Name]]&amp;Schedules[[#This Row],[DOW]]</f>
        <v>Suarez, AlyssaFri</v>
      </c>
      <c r="U67" s="4" t="str">
        <f>IFERROR(VLOOKUP(Schedules[[#This Row],[EE ID]],TeamList[],MATCH(Schedules[[#Headers],[Employee Name]],TeamList[#Headers],0),0),"_NO MATCH")</f>
        <v>Suarez, Alyssa</v>
      </c>
      <c r="V67" s="4" t="str">
        <f>IFERROR(VLOOKUP(Schedules[[#This Row],[EE ID]],TeamList[],MATCH(Schedules[[#Headers],[Dept]],TeamList[#Headers],0),0),"_NO MATCH")</f>
        <v>Lead Billing</v>
      </c>
      <c r="W67" s="286" t="s">
        <v>11</v>
      </c>
      <c r="X67" s="4" t="str">
        <f>IFERROR(IF(VLOOKUP(Schedules[[#This Row],[EE ID]],TeamList[],MATCH(Schedules[[#This Row],[DOW]],TeamList[#Headers],0),0)="OFF","OFF","SCH"),"_NO MATCH")</f>
        <v>SCH</v>
      </c>
      <c r="Y67" s="4" t="str">
        <f>IFERROR(IF(Schedules[[#This Row],[Scheduled]]="OFF","",LEFT(VLOOKUP(Schedules[[#This Row],[EE ID]],TeamList[],MATCH(Schedules[[#This Row],[DOW]],TeamList[#Headers],0),0),4)),"_NO MATCH")</f>
        <v>05:3</v>
      </c>
      <c r="Z67" s="4" t="str">
        <f>IFERROR(IF(Schedules[[#This Row],[Scheduled]]="OFF","",RIGHT(VLOOKUP(Schedules[[#This Row],[EE ID]],TeamList[],MATCH(Schedules[[#This Row],[DOW]],TeamList[#Headers],0),0),4)),"_NO MATCH")</f>
        <v>4:30</v>
      </c>
    </row>
    <row r="68" spans="19:26" x14ac:dyDescent="0.25">
      <c r="S68" s="1">
        <v>1512227</v>
      </c>
      <c r="T68" s="146" t="str">
        <f>Schedules[[#This Row],[Employee Name]]&amp;Schedules[[#This Row],[DOW]]</f>
        <v>Stevens, AmandaWed</v>
      </c>
      <c r="U68" s="4" t="str">
        <f>IFERROR(VLOOKUP(Schedules[[#This Row],[EE ID]],TeamList[],MATCH(Schedules[[#Headers],[Employee Name]],TeamList[#Headers],0),0),"_NO MATCH")</f>
        <v>Stevens, Amanda</v>
      </c>
      <c r="V68" s="4" t="str">
        <f>IFERROR(VLOOKUP(Schedules[[#This Row],[EE ID]],TeamList[],MATCH(Schedules[[#Headers],[Dept]],TeamList[#Headers],0),0),"_NO MATCH")</f>
        <v>Sup, Customer Service</v>
      </c>
      <c r="W68" s="286" t="s">
        <v>9</v>
      </c>
      <c r="X68" s="4" t="str">
        <f>IFERROR(IF(VLOOKUP(Schedules[[#This Row],[EE ID]],TeamList[],MATCH(Schedules[[#This Row],[DOW]],TeamList[#Headers],0),0)="OFF","OFF","SCH"),"_NO MATCH")</f>
        <v>SCH</v>
      </c>
      <c r="Y68" s="4" t="str">
        <f>IFERROR(IF(Schedules[[#This Row],[Scheduled]]="OFF","",LEFT(VLOOKUP(Schedules[[#This Row],[EE ID]],TeamList[],MATCH(Schedules[[#This Row],[DOW]],TeamList[#Headers],0),0),4)),"_NO MATCH")</f>
        <v>11:0</v>
      </c>
      <c r="Z68" s="4" t="str">
        <f>IFERROR(IF(Schedules[[#This Row],[Scheduled]]="OFF","",RIGHT(VLOOKUP(Schedules[[#This Row],[EE ID]],TeamList[],MATCH(Schedules[[#This Row],[DOW]],TeamList[#Headers],0),0),4)),"_NO MATCH")</f>
        <v>0:00</v>
      </c>
    </row>
    <row r="69" spans="19:26" x14ac:dyDescent="0.25">
      <c r="S69" s="1">
        <v>1512227</v>
      </c>
      <c r="T69" s="146" t="str">
        <f>Schedules[[#This Row],[Employee Name]]&amp;Schedules[[#This Row],[DOW]]</f>
        <v>Stevens, AmandaTue</v>
      </c>
      <c r="U69" s="4" t="str">
        <f>IFERROR(VLOOKUP(Schedules[[#This Row],[EE ID]],TeamList[],MATCH(Schedules[[#Headers],[Employee Name]],TeamList[#Headers],0),0),"_NO MATCH")</f>
        <v>Stevens, Amanda</v>
      </c>
      <c r="V69" s="4" t="str">
        <f>IFERROR(VLOOKUP(Schedules[[#This Row],[EE ID]],TeamList[],MATCH(Schedules[[#Headers],[Dept]],TeamList[#Headers],0),0),"_NO MATCH")</f>
        <v>Sup, Customer Service</v>
      </c>
      <c r="W69" s="286" t="s">
        <v>8</v>
      </c>
      <c r="X69" s="4" t="str">
        <f>IFERROR(IF(VLOOKUP(Schedules[[#This Row],[EE ID]],TeamList[],MATCH(Schedules[[#This Row],[DOW]],TeamList[#Headers],0),0)="OFF","OFF","SCH"),"_NO MATCH")</f>
        <v>SCH</v>
      </c>
      <c r="Y69" s="4" t="str">
        <f>IFERROR(IF(Schedules[[#This Row],[Scheduled]]="OFF","",LEFT(VLOOKUP(Schedules[[#This Row],[EE ID]],TeamList[],MATCH(Schedules[[#This Row],[DOW]],TeamList[#Headers],0),0),4)),"_NO MATCH")</f>
        <v>11:0</v>
      </c>
      <c r="Z69" s="4" t="str">
        <f>IFERROR(IF(Schedules[[#This Row],[Scheduled]]="OFF","",RIGHT(VLOOKUP(Schedules[[#This Row],[EE ID]],TeamList[],MATCH(Schedules[[#This Row],[DOW]],TeamList[#Headers],0),0),4)),"_NO MATCH")</f>
        <v>0:00</v>
      </c>
    </row>
    <row r="70" spans="19:26" x14ac:dyDescent="0.25">
      <c r="S70" s="1">
        <v>1512227</v>
      </c>
      <c r="T70" s="146" t="str">
        <f>Schedules[[#This Row],[Employee Name]]&amp;Schedules[[#This Row],[DOW]]</f>
        <v>Stevens, AmandaThu</v>
      </c>
      <c r="U70" s="4" t="str">
        <f>IFERROR(VLOOKUP(Schedules[[#This Row],[EE ID]],TeamList[],MATCH(Schedules[[#Headers],[Employee Name]],TeamList[#Headers],0),0),"_NO MATCH")</f>
        <v>Stevens, Amanda</v>
      </c>
      <c r="V70" s="4" t="str">
        <f>IFERROR(VLOOKUP(Schedules[[#This Row],[EE ID]],TeamList[],MATCH(Schedules[[#Headers],[Dept]],TeamList[#Headers],0),0),"_NO MATCH")</f>
        <v>Sup, Customer Service</v>
      </c>
      <c r="W70" s="286" t="s">
        <v>10</v>
      </c>
      <c r="X70" s="4" t="str">
        <f>IFERROR(IF(VLOOKUP(Schedules[[#This Row],[EE ID]],TeamList[],MATCH(Schedules[[#This Row],[DOW]],TeamList[#Headers],0),0)="OFF","OFF","SCH"),"_NO MATCH")</f>
        <v>OFF</v>
      </c>
      <c r="Y70" s="4" t="str">
        <f>IFERROR(IF(Schedules[[#This Row],[Scheduled]]="OFF","",LEFT(VLOOKUP(Schedules[[#This Row],[EE ID]],TeamList[],MATCH(Schedules[[#This Row],[DOW]],TeamList[#Headers],0),0),4)),"_NO MATCH")</f>
        <v/>
      </c>
      <c r="Z70" s="4" t="str">
        <f>IFERROR(IF(Schedules[[#This Row],[Scheduled]]="OFF","",RIGHT(VLOOKUP(Schedules[[#This Row],[EE ID]],TeamList[],MATCH(Schedules[[#This Row],[DOW]],TeamList[#Headers],0),0),4)),"_NO MATCH")</f>
        <v/>
      </c>
    </row>
    <row r="71" spans="19:26" x14ac:dyDescent="0.25">
      <c r="S71" s="209">
        <v>1512227</v>
      </c>
      <c r="T71" s="209" t="str">
        <f>Schedules[[#This Row],[Employee Name]]&amp;Schedules[[#This Row],[DOW]]</f>
        <v>Stevens, AmandaSun</v>
      </c>
      <c r="U71" s="4" t="str">
        <f>IFERROR(VLOOKUP(Schedules[[#This Row],[EE ID]],TeamList[],MATCH(Schedules[[#Headers],[Employee Name]],TeamList[#Headers],0),0),"_NO MATCH")</f>
        <v>Stevens, Amanda</v>
      </c>
      <c r="V71" s="4" t="str">
        <f>IFERROR(VLOOKUP(Schedules[[#This Row],[EE ID]],TeamList[],MATCH(Schedules[[#Headers],[Dept]],TeamList[#Headers],0),0),"_NO MATCH")</f>
        <v>Sup, Customer Service</v>
      </c>
      <c r="W71" s="287" t="s">
        <v>6</v>
      </c>
      <c r="X71" s="4" t="str">
        <f>IFERROR(IF(VLOOKUP(Schedules[[#This Row],[EE ID]],TeamList[],MATCH(Schedules[[#This Row],[DOW]],TeamList[#Headers],0),0)="OFF","OFF","SCH"),"_NO MATCH")</f>
        <v>SCH</v>
      </c>
      <c r="Y71" s="4" t="str">
        <f>IFERROR(IF(Schedules[[#This Row],[Scheduled]]="OFF","",LEFT(VLOOKUP(Schedules[[#This Row],[EE ID]],TeamList[],MATCH(Schedules[[#This Row],[DOW]],TeamList[#Headers],0),0),4)),"_NO MATCH")</f>
        <v>11:0</v>
      </c>
      <c r="Z71" s="4" t="str">
        <f>IFERROR(IF(Schedules[[#This Row],[Scheduled]]="OFF","",RIGHT(VLOOKUP(Schedules[[#This Row],[EE ID]],TeamList[],MATCH(Schedules[[#This Row],[DOW]],TeamList[#Headers],0),0),4)),"_NO MATCH")</f>
        <v>0:00</v>
      </c>
    </row>
    <row r="72" spans="19:26" x14ac:dyDescent="0.25">
      <c r="S72" s="209">
        <v>1512227</v>
      </c>
      <c r="T72" s="209" t="str">
        <f>Schedules[[#This Row],[Employee Name]]&amp;Schedules[[#This Row],[DOW]]</f>
        <v>Stevens, AmandaSat</v>
      </c>
      <c r="U72" s="4" t="str">
        <f>IFERROR(VLOOKUP(Schedules[[#This Row],[EE ID]],TeamList[],MATCH(Schedules[[#Headers],[Employee Name]],TeamList[#Headers],0),0),"_NO MATCH")</f>
        <v>Stevens, Amanda</v>
      </c>
      <c r="V72" s="4" t="str">
        <f>IFERROR(VLOOKUP(Schedules[[#This Row],[EE ID]],TeamList[],MATCH(Schedules[[#Headers],[Dept]],TeamList[#Headers],0),0),"_NO MATCH")</f>
        <v>Sup, Customer Service</v>
      </c>
      <c r="W72" s="286" t="s">
        <v>12</v>
      </c>
      <c r="X72" s="4" t="str">
        <f>IFERROR(IF(VLOOKUP(Schedules[[#This Row],[EE ID]],TeamList[],MATCH(Schedules[[#This Row],[DOW]],TeamList[#Headers],0),0)="OFF","OFF","SCH"),"_NO MATCH")</f>
        <v>SCH</v>
      </c>
      <c r="Y72" s="4" t="str">
        <f>IFERROR(IF(Schedules[[#This Row],[Scheduled]]="OFF","",LEFT(VLOOKUP(Schedules[[#This Row],[EE ID]],TeamList[],MATCH(Schedules[[#This Row],[DOW]],TeamList[#Headers],0),0),4)),"_NO MATCH")</f>
        <v>11:0</v>
      </c>
      <c r="Z72" s="4" t="str">
        <f>IFERROR(IF(Schedules[[#This Row],[Scheduled]]="OFF","",RIGHT(VLOOKUP(Schedules[[#This Row],[EE ID]],TeamList[],MATCH(Schedules[[#This Row],[DOW]],TeamList[#Headers],0),0),4)),"_NO MATCH")</f>
        <v>0:00</v>
      </c>
    </row>
    <row r="73" spans="19:26" x14ac:dyDescent="0.25">
      <c r="S73" s="209">
        <v>1512227</v>
      </c>
      <c r="T73" s="209" t="str">
        <f>Schedules[[#This Row],[Employee Name]]&amp;Schedules[[#This Row],[DOW]]</f>
        <v>Stevens, AmandaMon</v>
      </c>
      <c r="U73" s="4" t="str">
        <f>IFERROR(VLOOKUP(Schedules[[#This Row],[EE ID]],TeamList[],MATCH(Schedules[[#Headers],[Employee Name]],TeamList[#Headers],0),0),"_NO MATCH")</f>
        <v>Stevens, Amanda</v>
      </c>
      <c r="V73" s="4" t="str">
        <f>IFERROR(VLOOKUP(Schedules[[#This Row],[EE ID]],TeamList[],MATCH(Schedules[[#Headers],[Dept]],TeamList[#Headers],0),0),"_NO MATCH")</f>
        <v>Sup, Customer Service</v>
      </c>
      <c r="W73" s="286" t="s">
        <v>7</v>
      </c>
      <c r="X73" s="4" t="str">
        <f>IFERROR(IF(VLOOKUP(Schedules[[#This Row],[EE ID]],TeamList[],MATCH(Schedules[[#This Row],[DOW]],TeamList[#Headers],0),0)="OFF","OFF","SCH"),"_NO MATCH")</f>
        <v>SCH</v>
      </c>
      <c r="Y73" s="4" t="str">
        <f>IFERROR(IF(Schedules[[#This Row],[Scheduled]]="OFF","",LEFT(VLOOKUP(Schedules[[#This Row],[EE ID]],TeamList[],MATCH(Schedules[[#This Row],[DOW]],TeamList[#Headers],0),0),4)),"_NO MATCH")</f>
        <v>11:0</v>
      </c>
      <c r="Z73" s="4" t="str">
        <f>IFERROR(IF(Schedules[[#This Row],[Scheduled]]="OFF","",RIGHT(VLOOKUP(Schedules[[#This Row],[EE ID]],TeamList[],MATCH(Schedules[[#This Row],[DOW]],TeamList[#Headers],0),0),4)),"_NO MATCH")</f>
        <v>0:00</v>
      </c>
    </row>
    <row r="74" spans="19:26" x14ac:dyDescent="0.25">
      <c r="S74" s="209">
        <v>1512227</v>
      </c>
      <c r="T74" s="209" t="str">
        <f>Schedules[[#This Row],[Employee Name]]&amp;Schedules[[#This Row],[DOW]]</f>
        <v>Stevens, AmandaFri</v>
      </c>
      <c r="U74" s="4" t="str">
        <f>IFERROR(VLOOKUP(Schedules[[#This Row],[EE ID]],TeamList[],MATCH(Schedules[[#Headers],[Employee Name]],TeamList[#Headers],0),0),"_NO MATCH")</f>
        <v>Stevens, Amanda</v>
      </c>
      <c r="V74" s="4" t="str">
        <f>IFERROR(VLOOKUP(Schedules[[#This Row],[EE ID]],TeamList[],MATCH(Schedules[[#Headers],[Dept]],TeamList[#Headers],0),0),"_NO MATCH")</f>
        <v>Sup, Customer Service</v>
      </c>
      <c r="W74" s="286" t="s">
        <v>11</v>
      </c>
      <c r="X74" s="4" t="str">
        <f>IFERROR(IF(VLOOKUP(Schedules[[#This Row],[EE ID]],TeamList[],MATCH(Schedules[[#This Row],[DOW]],TeamList[#Headers],0),0)="OFF","OFF","SCH"),"_NO MATCH")</f>
        <v>OFF</v>
      </c>
      <c r="Y74" s="4" t="str">
        <f>IFERROR(IF(Schedules[[#This Row],[Scheduled]]="OFF","",LEFT(VLOOKUP(Schedules[[#This Row],[EE ID]],TeamList[],MATCH(Schedules[[#This Row],[DOW]],TeamList[#Headers],0),0),4)),"_NO MATCH")</f>
        <v/>
      </c>
      <c r="Z74" s="4" t="str">
        <f>IFERROR(IF(Schedules[[#This Row],[Scheduled]]="OFF","",RIGHT(VLOOKUP(Schedules[[#This Row],[EE ID]],TeamList[],MATCH(Schedules[[#This Row],[DOW]],TeamList[#Headers],0),0),4)),"_NO MATCH")</f>
        <v/>
      </c>
    </row>
    <row r="75" spans="19:26" x14ac:dyDescent="0.25">
      <c r="S75" s="209">
        <v>1515784</v>
      </c>
      <c r="T75" s="209" t="str">
        <f>Schedules[[#This Row],[Employee Name]]&amp;Schedules[[#This Row],[DOW]]</f>
        <v>Slagle, NatashaWed</v>
      </c>
      <c r="U75" s="4" t="str">
        <f>IFERROR(VLOOKUP(Schedules[[#This Row],[EE ID]],TeamList[],MATCH(Schedules[[#Headers],[Employee Name]],TeamList[#Headers],0),0),"_NO MATCH")</f>
        <v>Slagle, Natasha</v>
      </c>
      <c r="V75" s="4" t="str">
        <f>IFERROR(VLOOKUP(Schedules[[#This Row],[EE ID]],TeamList[],MATCH(Schedules[[#Headers],[Dept]],TeamList[#Headers],0),0),"_NO MATCH")</f>
        <v>Lead Billing</v>
      </c>
      <c r="W75" s="286" t="s">
        <v>9</v>
      </c>
      <c r="X75" s="4" t="str">
        <f>IFERROR(IF(VLOOKUP(Schedules[[#This Row],[EE ID]],TeamList[],MATCH(Schedules[[#This Row],[DOW]],TeamList[#Headers],0),0)="OFF","OFF","SCH"),"_NO MATCH")</f>
        <v>SCH</v>
      </c>
      <c r="Y75" s="4" t="str">
        <f>IFERROR(IF(Schedules[[#This Row],[Scheduled]]="OFF","",LEFT(VLOOKUP(Schedules[[#This Row],[EE ID]],TeamList[],MATCH(Schedules[[#This Row],[DOW]],TeamList[#Headers],0),0),4)),"_NO MATCH")</f>
        <v>10:3</v>
      </c>
      <c r="Z75" s="4" t="str">
        <f>IFERROR(IF(Schedules[[#This Row],[Scheduled]]="OFF","",RIGHT(VLOOKUP(Schedules[[#This Row],[EE ID]],TeamList[],MATCH(Schedules[[#This Row],[DOW]],TeamList[#Headers],0),0),4)),"_NO MATCH")</f>
        <v>9:30</v>
      </c>
    </row>
    <row r="76" spans="19:26" x14ac:dyDescent="0.25">
      <c r="S76" s="209">
        <v>1515784</v>
      </c>
      <c r="T76" s="209" t="str">
        <f>Schedules[[#This Row],[Employee Name]]&amp;Schedules[[#This Row],[DOW]]</f>
        <v>Slagle, NatashaTue</v>
      </c>
      <c r="U76" s="4" t="str">
        <f>IFERROR(VLOOKUP(Schedules[[#This Row],[EE ID]],TeamList[],MATCH(Schedules[[#Headers],[Employee Name]],TeamList[#Headers],0),0),"_NO MATCH")</f>
        <v>Slagle, Natasha</v>
      </c>
      <c r="V76" s="4" t="str">
        <f>IFERROR(VLOOKUP(Schedules[[#This Row],[EE ID]],TeamList[],MATCH(Schedules[[#Headers],[Dept]],TeamList[#Headers],0),0),"_NO MATCH")</f>
        <v>Lead Billing</v>
      </c>
      <c r="W76" s="286" t="s">
        <v>8</v>
      </c>
      <c r="X76" s="4" t="str">
        <f>IFERROR(IF(VLOOKUP(Schedules[[#This Row],[EE ID]],TeamList[],MATCH(Schedules[[#This Row],[DOW]],TeamList[#Headers],0),0)="OFF","OFF","SCH"),"_NO MATCH")</f>
        <v>SCH</v>
      </c>
      <c r="Y76" s="4" t="str">
        <f>IFERROR(IF(Schedules[[#This Row],[Scheduled]]="OFF","",LEFT(VLOOKUP(Schedules[[#This Row],[EE ID]],TeamList[],MATCH(Schedules[[#This Row],[DOW]],TeamList[#Headers],0),0),4)),"_NO MATCH")</f>
        <v>10:3</v>
      </c>
      <c r="Z76" s="4" t="str">
        <f>IFERROR(IF(Schedules[[#This Row],[Scheduled]]="OFF","",RIGHT(VLOOKUP(Schedules[[#This Row],[EE ID]],TeamList[],MATCH(Schedules[[#This Row],[DOW]],TeamList[#Headers],0),0),4)),"_NO MATCH")</f>
        <v>9:30</v>
      </c>
    </row>
    <row r="77" spans="19:26" x14ac:dyDescent="0.25">
      <c r="S77" s="209">
        <v>1515784</v>
      </c>
      <c r="T77" s="209" t="str">
        <f>Schedules[[#This Row],[Employee Name]]&amp;Schedules[[#This Row],[DOW]]</f>
        <v>Slagle, NatashaThu</v>
      </c>
      <c r="U77" s="4" t="str">
        <f>IFERROR(VLOOKUP(Schedules[[#This Row],[EE ID]],TeamList[],MATCH(Schedules[[#Headers],[Employee Name]],TeamList[#Headers],0),0),"_NO MATCH")</f>
        <v>Slagle, Natasha</v>
      </c>
      <c r="V77" s="4" t="str">
        <f>IFERROR(VLOOKUP(Schedules[[#This Row],[EE ID]],TeamList[],MATCH(Schedules[[#Headers],[Dept]],TeamList[#Headers],0),0),"_NO MATCH")</f>
        <v>Lead Billing</v>
      </c>
      <c r="W77" s="286" t="s">
        <v>10</v>
      </c>
      <c r="X77" s="4" t="str">
        <f>IFERROR(IF(VLOOKUP(Schedules[[#This Row],[EE ID]],TeamList[],MATCH(Schedules[[#This Row],[DOW]],TeamList[#Headers],0),0)="OFF","OFF","SCH"),"_NO MATCH")</f>
        <v>SCH</v>
      </c>
      <c r="Y77" s="4" t="str">
        <f>IFERROR(IF(Schedules[[#This Row],[Scheduled]]="OFF","",LEFT(VLOOKUP(Schedules[[#This Row],[EE ID]],TeamList[],MATCH(Schedules[[#This Row],[DOW]],TeamList[#Headers],0),0),4)),"_NO MATCH")</f>
        <v>10:3</v>
      </c>
      <c r="Z77" s="4" t="str">
        <f>IFERROR(IF(Schedules[[#This Row],[Scheduled]]="OFF","",RIGHT(VLOOKUP(Schedules[[#This Row],[EE ID]],TeamList[],MATCH(Schedules[[#This Row],[DOW]],TeamList[#Headers],0),0),4)),"_NO MATCH")</f>
        <v>9:30</v>
      </c>
    </row>
    <row r="78" spans="19:26" x14ac:dyDescent="0.25">
      <c r="S78" s="209">
        <v>1515784</v>
      </c>
      <c r="T78" s="209" t="str">
        <f>Schedules[[#This Row],[Employee Name]]&amp;Schedules[[#This Row],[DOW]]</f>
        <v>Slagle, NatashaSun</v>
      </c>
      <c r="U78" s="4" t="str">
        <f>IFERROR(VLOOKUP(Schedules[[#This Row],[EE ID]],TeamList[],MATCH(Schedules[[#Headers],[Employee Name]],TeamList[#Headers],0),0),"_NO MATCH")</f>
        <v>Slagle, Natasha</v>
      </c>
      <c r="V78" s="4" t="str">
        <f>IFERROR(VLOOKUP(Schedules[[#This Row],[EE ID]],TeamList[],MATCH(Schedules[[#Headers],[Dept]],TeamList[#Headers],0),0),"_NO MATCH")</f>
        <v>Lead Billing</v>
      </c>
      <c r="W78" s="287" t="s">
        <v>6</v>
      </c>
      <c r="X78" s="219" t="str">
        <f>IFERROR(IF(VLOOKUP(Schedules[[#This Row],[EE ID]],TeamList[],MATCH(Schedules[[#This Row],[DOW]],TeamList[#Headers],0),0)="OFF","OFF","SCH"),"_NO MATCH")</f>
        <v>OFF</v>
      </c>
      <c r="Y78" s="219" t="str">
        <f>IFERROR(IF(Schedules[[#This Row],[Scheduled]]="OFF","",LEFT(VLOOKUP(Schedules[[#This Row],[EE ID]],TeamList[],MATCH(Schedules[[#This Row],[DOW]],TeamList[#Headers],0),0),4)),"_NO MATCH")</f>
        <v/>
      </c>
      <c r="Z78" s="219" t="str">
        <f>IFERROR(IF(Schedules[[#This Row],[Scheduled]]="OFF","",RIGHT(VLOOKUP(Schedules[[#This Row],[EE ID]],TeamList[],MATCH(Schedules[[#This Row],[DOW]],TeamList[#Headers],0),0),4)),"_NO MATCH")</f>
        <v/>
      </c>
    </row>
    <row r="79" spans="19:26" x14ac:dyDescent="0.25">
      <c r="S79" s="209">
        <v>1515784</v>
      </c>
      <c r="T79" s="209" t="str">
        <f>Schedules[[#This Row],[Employee Name]]&amp;Schedules[[#This Row],[DOW]]</f>
        <v>Slagle, NatashaSat</v>
      </c>
      <c r="U79" s="4" t="str">
        <f>IFERROR(VLOOKUP(Schedules[[#This Row],[EE ID]],TeamList[],MATCH(Schedules[[#Headers],[Employee Name]],TeamList[#Headers],0),0),"_NO MATCH")</f>
        <v>Slagle, Natasha</v>
      </c>
      <c r="V79" s="4" t="str">
        <f>IFERROR(VLOOKUP(Schedules[[#This Row],[EE ID]],TeamList[],MATCH(Schedules[[#Headers],[Dept]],TeamList[#Headers],0),0),"_NO MATCH")</f>
        <v>Lead Billing</v>
      </c>
      <c r="W79" s="286" t="s">
        <v>12</v>
      </c>
      <c r="X79" s="4" t="str">
        <f>IFERROR(IF(VLOOKUP(Schedules[[#This Row],[EE ID]],TeamList[],MATCH(Schedules[[#This Row],[DOW]],TeamList[#Headers],0),0)="OFF","OFF","SCH"),"_NO MATCH")</f>
        <v>SCH</v>
      </c>
      <c r="Y79" s="4" t="str">
        <f>IFERROR(IF(Schedules[[#This Row],[Scheduled]]="OFF","",LEFT(VLOOKUP(Schedules[[#This Row],[EE ID]],TeamList[],MATCH(Schedules[[#This Row],[DOW]],TeamList[#Headers],0),0),4)),"_NO MATCH")</f>
        <v>10:3</v>
      </c>
      <c r="Z79" s="4" t="str">
        <f>IFERROR(IF(Schedules[[#This Row],[Scheduled]]="OFF","",RIGHT(VLOOKUP(Schedules[[#This Row],[EE ID]],TeamList[],MATCH(Schedules[[#This Row],[DOW]],TeamList[#Headers],0),0),4)),"_NO MATCH")</f>
        <v>9:30</v>
      </c>
    </row>
    <row r="80" spans="19:26" x14ac:dyDescent="0.25">
      <c r="S80" s="209">
        <v>1515784</v>
      </c>
      <c r="T80" s="209" t="str">
        <f>Schedules[[#This Row],[Employee Name]]&amp;Schedules[[#This Row],[DOW]]</f>
        <v>Slagle, NatashaMon</v>
      </c>
      <c r="U80" s="4" t="str">
        <f>IFERROR(VLOOKUP(Schedules[[#This Row],[EE ID]],TeamList[],MATCH(Schedules[[#Headers],[Employee Name]],TeamList[#Headers],0),0),"_NO MATCH")</f>
        <v>Slagle, Natasha</v>
      </c>
      <c r="V80" s="4" t="str">
        <f>IFERROR(VLOOKUP(Schedules[[#This Row],[EE ID]],TeamList[],MATCH(Schedules[[#Headers],[Dept]],TeamList[#Headers],0),0),"_NO MATCH")</f>
        <v>Lead Billing</v>
      </c>
      <c r="W80" s="286" t="s">
        <v>7</v>
      </c>
      <c r="X80" s="4" t="str">
        <f>IFERROR(IF(VLOOKUP(Schedules[[#This Row],[EE ID]],TeamList[],MATCH(Schedules[[#This Row],[DOW]],TeamList[#Headers],0),0)="OFF","OFF","SCH"),"_NO MATCH")</f>
        <v>OFF</v>
      </c>
      <c r="Y80" s="4" t="str">
        <f>IFERROR(IF(Schedules[[#This Row],[Scheduled]]="OFF","",LEFT(VLOOKUP(Schedules[[#This Row],[EE ID]],TeamList[],MATCH(Schedules[[#This Row],[DOW]],TeamList[#Headers],0),0),4)),"_NO MATCH")</f>
        <v/>
      </c>
      <c r="Z80" s="4" t="str">
        <f>IFERROR(IF(Schedules[[#This Row],[Scheduled]]="OFF","",RIGHT(VLOOKUP(Schedules[[#This Row],[EE ID]],TeamList[],MATCH(Schedules[[#This Row],[DOW]],TeamList[#Headers],0),0),4)),"_NO MATCH")</f>
        <v/>
      </c>
    </row>
    <row r="81" spans="19:26" x14ac:dyDescent="0.25">
      <c r="S81" s="209">
        <v>1515784</v>
      </c>
      <c r="T81" s="209" t="str">
        <f>Schedules[[#This Row],[Employee Name]]&amp;Schedules[[#This Row],[DOW]]</f>
        <v>Slagle, NatashaFri</v>
      </c>
      <c r="U81" s="4" t="str">
        <f>IFERROR(VLOOKUP(Schedules[[#This Row],[EE ID]],TeamList[],MATCH(Schedules[[#Headers],[Employee Name]],TeamList[#Headers],0),0),"_NO MATCH")</f>
        <v>Slagle, Natasha</v>
      </c>
      <c r="V81" s="4" t="str">
        <f>IFERROR(VLOOKUP(Schedules[[#This Row],[EE ID]],TeamList[],MATCH(Schedules[[#Headers],[Dept]],TeamList[#Headers],0),0),"_NO MATCH")</f>
        <v>Lead Billing</v>
      </c>
      <c r="W81" s="286" t="s">
        <v>11</v>
      </c>
      <c r="X81" s="4" t="str">
        <f>IFERROR(IF(VLOOKUP(Schedules[[#This Row],[EE ID]],TeamList[],MATCH(Schedules[[#This Row],[DOW]],TeamList[#Headers],0),0)="OFF","OFF","SCH"),"_NO MATCH")</f>
        <v>SCH</v>
      </c>
      <c r="Y81" s="4" t="str">
        <f>IFERROR(IF(Schedules[[#This Row],[Scheduled]]="OFF","",LEFT(VLOOKUP(Schedules[[#This Row],[EE ID]],TeamList[],MATCH(Schedules[[#This Row],[DOW]],TeamList[#Headers],0),0),4)),"_NO MATCH")</f>
        <v>10:3</v>
      </c>
      <c r="Z81" s="4" t="str">
        <f>IFERROR(IF(Schedules[[#This Row],[Scheduled]]="OFF","",RIGHT(VLOOKUP(Schedules[[#This Row],[EE ID]],TeamList[],MATCH(Schedules[[#This Row],[DOW]],TeamList[#Headers],0),0),4)),"_NO MATCH")</f>
        <v>9:30</v>
      </c>
    </row>
    <row r="82" spans="19:26" x14ac:dyDescent="0.25">
      <c r="S82" s="209">
        <v>1529086</v>
      </c>
      <c r="T82" s="209" t="str">
        <f>Schedules[[#This Row],[Employee Name]]&amp;Schedules[[#This Row],[DOW]]</f>
        <v>Shiraki, SuzyWed</v>
      </c>
      <c r="U82" s="4" t="str">
        <f>IFERROR(VLOOKUP(Schedules[[#This Row],[EE ID]],TeamList[],MATCH(Schedules[[#Headers],[Employee Name]],TeamList[#Headers],0),0),"_NO MATCH")</f>
        <v>Shiraki, Suzy</v>
      </c>
      <c r="V82" s="4" t="str">
        <f>IFERROR(VLOOKUP(Schedules[[#This Row],[EE ID]],TeamList[],MATCH(Schedules[[#Headers],[Dept]],TeamList[#Headers],0),0),"_NO MATCH")</f>
        <v>Lead Billing</v>
      </c>
      <c r="W82" s="286" t="s">
        <v>9</v>
      </c>
      <c r="X82" s="4" t="str">
        <f>IFERROR(IF(VLOOKUP(Schedules[[#This Row],[EE ID]],TeamList[],MATCH(Schedules[[#This Row],[DOW]],TeamList[#Headers],0),0)="OFF","OFF","SCH"),"_NO MATCH")</f>
        <v>SCH</v>
      </c>
      <c r="Y82" s="4" t="str">
        <f>IFERROR(IF(Schedules[[#This Row],[Scheduled]]="OFF","",LEFT(VLOOKUP(Schedules[[#This Row],[EE ID]],TeamList[],MATCH(Schedules[[#This Row],[DOW]],TeamList[#Headers],0),0),4)),"_NO MATCH")</f>
        <v>05:0</v>
      </c>
      <c r="Z82" s="4" t="str">
        <f>IFERROR(IF(Schedules[[#This Row],[Scheduled]]="OFF","",RIGHT(VLOOKUP(Schedules[[#This Row],[EE ID]],TeamList[],MATCH(Schedules[[#This Row],[DOW]],TeamList[#Headers],0),0),4)),"_NO MATCH")</f>
        <v>3:30</v>
      </c>
    </row>
    <row r="83" spans="19:26" x14ac:dyDescent="0.25">
      <c r="S83" s="209">
        <v>1529086</v>
      </c>
      <c r="T83" s="209" t="str">
        <f>Schedules[[#This Row],[Employee Name]]&amp;Schedules[[#This Row],[DOW]]</f>
        <v>Shiraki, SuzyTue</v>
      </c>
      <c r="U83" s="4" t="str">
        <f>IFERROR(VLOOKUP(Schedules[[#This Row],[EE ID]],TeamList[],MATCH(Schedules[[#Headers],[Employee Name]],TeamList[#Headers],0),0),"_NO MATCH")</f>
        <v>Shiraki, Suzy</v>
      </c>
      <c r="V83" s="4" t="str">
        <f>IFERROR(VLOOKUP(Schedules[[#This Row],[EE ID]],TeamList[],MATCH(Schedules[[#Headers],[Dept]],TeamList[#Headers],0),0),"_NO MATCH")</f>
        <v>Lead Billing</v>
      </c>
      <c r="W83" s="286" t="s">
        <v>8</v>
      </c>
      <c r="X83" s="4" t="str">
        <f>IFERROR(IF(VLOOKUP(Schedules[[#This Row],[EE ID]],TeamList[],MATCH(Schedules[[#This Row],[DOW]],TeamList[#Headers],0),0)="OFF","OFF","SCH"),"_NO MATCH")</f>
        <v>OFF</v>
      </c>
      <c r="Y83" s="4" t="str">
        <f>IFERROR(IF(Schedules[[#This Row],[Scheduled]]="OFF","",LEFT(VLOOKUP(Schedules[[#This Row],[EE ID]],TeamList[],MATCH(Schedules[[#This Row],[DOW]],TeamList[#Headers],0),0),4)),"_NO MATCH")</f>
        <v/>
      </c>
      <c r="Z83" s="4" t="str">
        <f>IFERROR(IF(Schedules[[#This Row],[Scheduled]]="OFF","",RIGHT(VLOOKUP(Schedules[[#This Row],[EE ID]],TeamList[],MATCH(Schedules[[#This Row],[DOW]],TeamList[#Headers],0),0),4)),"_NO MATCH")</f>
        <v/>
      </c>
    </row>
    <row r="84" spans="19:26" x14ac:dyDescent="0.25">
      <c r="S84" s="209">
        <v>1529086</v>
      </c>
      <c r="T84" s="209" t="str">
        <f>Schedules[[#This Row],[Employee Name]]&amp;Schedules[[#This Row],[DOW]]</f>
        <v>Shiraki, SuzyThu</v>
      </c>
      <c r="U84" s="4" t="str">
        <f>IFERROR(VLOOKUP(Schedules[[#This Row],[EE ID]],TeamList[],MATCH(Schedules[[#Headers],[Employee Name]],TeamList[#Headers],0),0),"_NO MATCH")</f>
        <v>Shiraki, Suzy</v>
      </c>
      <c r="V84" s="4" t="str">
        <f>IFERROR(VLOOKUP(Schedules[[#This Row],[EE ID]],TeamList[],MATCH(Schedules[[#Headers],[Dept]],TeamList[#Headers],0),0),"_NO MATCH")</f>
        <v>Lead Billing</v>
      </c>
      <c r="W84" s="286" t="s">
        <v>10</v>
      </c>
      <c r="X84" s="4" t="str">
        <f>IFERROR(IF(VLOOKUP(Schedules[[#This Row],[EE ID]],TeamList[],MATCH(Schedules[[#This Row],[DOW]],TeamList[#Headers],0),0)="OFF","OFF","SCH"),"_NO MATCH")</f>
        <v>SCH</v>
      </c>
      <c r="Y84" s="4" t="str">
        <f>IFERROR(IF(Schedules[[#This Row],[Scheduled]]="OFF","",LEFT(VLOOKUP(Schedules[[#This Row],[EE ID]],TeamList[],MATCH(Schedules[[#This Row],[DOW]],TeamList[#Headers],0),0),4)),"_NO MATCH")</f>
        <v>05:0</v>
      </c>
      <c r="Z84" s="4" t="str">
        <f>IFERROR(IF(Schedules[[#This Row],[Scheduled]]="OFF","",RIGHT(VLOOKUP(Schedules[[#This Row],[EE ID]],TeamList[],MATCH(Schedules[[#This Row],[DOW]],TeamList[#Headers],0),0),4)),"_NO MATCH")</f>
        <v>3:30</v>
      </c>
    </row>
    <row r="85" spans="19:26" x14ac:dyDescent="0.25">
      <c r="S85" s="209">
        <v>1529086</v>
      </c>
      <c r="T85" s="209" t="str">
        <f>Schedules[[#This Row],[Employee Name]]&amp;Schedules[[#This Row],[DOW]]</f>
        <v>Shiraki, SuzySun</v>
      </c>
      <c r="U85" s="4" t="str">
        <f>IFERROR(VLOOKUP(Schedules[[#This Row],[EE ID]],TeamList[],MATCH(Schedules[[#Headers],[Employee Name]],TeamList[#Headers],0),0),"_NO MATCH")</f>
        <v>Shiraki, Suzy</v>
      </c>
      <c r="V85" s="4" t="str">
        <f>IFERROR(VLOOKUP(Schedules[[#This Row],[EE ID]],TeamList[],MATCH(Schedules[[#Headers],[Dept]],TeamList[#Headers],0),0),"_NO MATCH")</f>
        <v>Lead Billing</v>
      </c>
      <c r="W85" s="287" t="s">
        <v>6</v>
      </c>
      <c r="X85" s="219" t="str">
        <f>IFERROR(IF(VLOOKUP(Schedules[[#This Row],[EE ID]],TeamList[],MATCH(Schedules[[#This Row],[DOW]],TeamList[#Headers],0),0)="OFF","OFF","SCH"),"_NO MATCH")</f>
        <v>SCH</v>
      </c>
      <c r="Y85" s="219" t="str">
        <f>IFERROR(IF(Schedules[[#This Row],[Scheduled]]="OFF","",LEFT(VLOOKUP(Schedules[[#This Row],[EE ID]],TeamList[],MATCH(Schedules[[#This Row],[DOW]],TeamList[#Headers],0),0),4)),"_NO MATCH")</f>
        <v>05:0</v>
      </c>
      <c r="Z85" s="219" t="str">
        <f>IFERROR(IF(Schedules[[#This Row],[Scheduled]]="OFF","",RIGHT(VLOOKUP(Schedules[[#This Row],[EE ID]],TeamList[],MATCH(Schedules[[#This Row],[DOW]],TeamList[#Headers],0),0),4)),"_NO MATCH")</f>
        <v>3:30</v>
      </c>
    </row>
    <row r="86" spans="19:26" x14ac:dyDescent="0.25">
      <c r="S86" s="209">
        <v>1529086</v>
      </c>
      <c r="T86" s="209" t="str">
        <f>Schedules[[#This Row],[Employee Name]]&amp;Schedules[[#This Row],[DOW]]</f>
        <v>Shiraki, SuzySat</v>
      </c>
      <c r="U86" s="4" t="str">
        <f>IFERROR(VLOOKUP(Schedules[[#This Row],[EE ID]],TeamList[],MATCH(Schedules[[#Headers],[Employee Name]],TeamList[#Headers],0),0),"_NO MATCH")</f>
        <v>Shiraki, Suzy</v>
      </c>
      <c r="V86" s="4" t="str">
        <f>IFERROR(VLOOKUP(Schedules[[#This Row],[EE ID]],TeamList[],MATCH(Schedules[[#Headers],[Dept]],TeamList[#Headers],0),0),"_NO MATCH")</f>
        <v>Lead Billing</v>
      </c>
      <c r="W86" s="286" t="s">
        <v>12</v>
      </c>
      <c r="X86" s="4" t="str">
        <f>IFERROR(IF(VLOOKUP(Schedules[[#This Row],[EE ID]],TeamList[],MATCH(Schedules[[#This Row],[DOW]],TeamList[#Headers],0),0)="OFF","OFF","SCH"),"_NO MATCH")</f>
        <v>SCH</v>
      </c>
      <c r="Y86" s="4" t="str">
        <f>IFERROR(IF(Schedules[[#This Row],[Scheduled]]="OFF","",LEFT(VLOOKUP(Schedules[[#This Row],[EE ID]],TeamList[],MATCH(Schedules[[#This Row],[DOW]],TeamList[#Headers],0),0),4)),"_NO MATCH")</f>
        <v>05:0</v>
      </c>
      <c r="Z86" s="4" t="str">
        <f>IFERROR(IF(Schedules[[#This Row],[Scheduled]]="OFF","",RIGHT(VLOOKUP(Schedules[[#This Row],[EE ID]],TeamList[],MATCH(Schedules[[#This Row],[DOW]],TeamList[#Headers],0),0),4)),"_NO MATCH")</f>
        <v>3:30</v>
      </c>
    </row>
    <row r="87" spans="19:26" x14ac:dyDescent="0.25">
      <c r="S87" s="209">
        <v>1529086</v>
      </c>
      <c r="T87" s="209" t="str">
        <f>Schedules[[#This Row],[Employee Name]]&amp;Schedules[[#This Row],[DOW]]</f>
        <v>Shiraki, SuzyMon</v>
      </c>
      <c r="U87" s="4" t="str">
        <f>IFERROR(VLOOKUP(Schedules[[#This Row],[EE ID]],TeamList[],MATCH(Schedules[[#Headers],[Employee Name]],TeamList[#Headers],0),0),"_NO MATCH")</f>
        <v>Shiraki, Suzy</v>
      </c>
      <c r="V87" s="4" t="str">
        <f>IFERROR(VLOOKUP(Schedules[[#This Row],[EE ID]],TeamList[],MATCH(Schedules[[#Headers],[Dept]],TeamList[#Headers],0),0),"_NO MATCH")</f>
        <v>Lead Billing</v>
      </c>
      <c r="W87" s="286" t="s">
        <v>7</v>
      </c>
      <c r="X87" s="4" t="str">
        <f>IFERROR(IF(VLOOKUP(Schedules[[#This Row],[EE ID]],TeamList[],MATCH(Schedules[[#This Row],[DOW]],TeamList[#Headers],0),0)="OFF","OFF","SCH"),"_NO MATCH")</f>
        <v>OFF</v>
      </c>
      <c r="Y87" s="4" t="str">
        <f>IFERROR(IF(Schedules[[#This Row],[Scheduled]]="OFF","",LEFT(VLOOKUP(Schedules[[#This Row],[EE ID]],TeamList[],MATCH(Schedules[[#This Row],[DOW]],TeamList[#Headers],0),0),4)),"_NO MATCH")</f>
        <v/>
      </c>
      <c r="Z87" s="4" t="str">
        <f>IFERROR(IF(Schedules[[#This Row],[Scheduled]]="OFF","",RIGHT(VLOOKUP(Schedules[[#This Row],[EE ID]],TeamList[],MATCH(Schedules[[#This Row],[DOW]],TeamList[#Headers],0),0),4)),"_NO MATCH")</f>
        <v/>
      </c>
    </row>
    <row r="88" spans="19:26" x14ac:dyDescent="0.25">
      <c r="S88" s="209">
        <v>1529086</v>
      </c>
      <c r="T88" s="209" t="str">
        <f>Schedules[[#This Row],[Employee Name]]&amp;Schedules[[#This Row],[DOW]]</f>
        <v>Shiraki, SuzyFri</v>
      </c>
      <c r="U88" s="4" t="str">
        <f>IFERROR(VLOOKUP(Schedules[[#This Row],[EE ID]],TeamList[],MATCH(Schedules[[#Headers],[Employee Name]],TeamList[#Headers],0),0),"_NO MATCH")</f>
        <v>Shiraki, Suzy</v>
      </c>
      <c r="V88" s="4" t="str">
        <f>IFERROR(VLOOKUP(Schedules[[#This Row],[EE ID]],TeamList[],MATCH(Schedules[[#Headers],[Dept]],TeamList[#Headers],0),0),"_NO MATCH")</f>
        <v>Lead Billing</v>
      </c>
      <c r="W88" s="286" t="s">
        <v>11</v>
      </c>
      <c r="X88" s="4" t="str">
        <f>IFERROR(IF(VLOOKUP(Schedules[[#This Row],[EE ID]],TeamList[],MATCH(Schedules[[#This Row],[DOW]],TeamList[#Headers],0),0)="OFF","OFF","SCH"),"_NO MATCH")</f>
        <v>SCH</v>
      </c>
      <c r="Y88" s="4" t="str">
        <f>IFERROR(IF(Schedules[[#This Row],[Scheduled]]="OFF","",LEFT(VLOOKUP(Schedules[[#This Row],[EE ID]],TeamList[],MATCH(Schedules[[#This Row],[DOW]],TeamList[#Headers],0),0),4)),"_NO MATCH")</f>
        <v>05:0</v>
      </c>
      <c r="Z88" s="4" t="str">
        <f>IFERROR(IF(Schedules[[#This Row],[Scheduled]]="OFF","",RIGHT(VLOOKUP(Schedules[[#This Row],[EE ID]],TeamList[],MATCH(Schedules[[#This Row],[DOW]],TeamList[#Headers],0),0),4)),"_NO MATCH")</f>
        <v>3:30</v>
      </c>
    </row>
    <row r="89" spans="19:26" x14ac:dyDescent="0.25">
      <c r="S89" s="209">
        <v>1513968</v>
      </c>
      <c r="T89" s="209" t="str">
        <f>Schedules[[#This Row],[Employee Name]]&amp;Schedules[[#This Row],[DOW]]</f>
        <v>Senft, ThomasWed</v>
      </c>
      <c r="U89" s="4" t="str">
        <f>IFERROR(VLOOKUP(Schedules[[#This Row],[EE ID]],TeamList[],MATCH(Schedules[[#Headers],[Employee Name]],TeamList[#Headers],0),0),"_NO MATCH")</f>
        <v>Senft, Thomas</v>
      </c>
      <c r="V89" s="4" t="str">
        <f>IFERROR(VLOOKUP(Schedules[[#This Row],[EE ID]],TeamList[],MATCH(Schedules[[#Headers],[Dept]],TeamList[#Headers],0),0),"_NO MATCH")</f>
        <v>Sup, Customer Service</v>
      </c>
      <c r="W89" s="286" t="s">
        <v>9</v>
      </c>
      <c r="X89" s="4" t="str">
        <f>IFERROR(IF(VLOOKUP(Schedules[[#This Row],[EE ID]],TeamList[],MATCH(Schedules[[#This Row],[DOW]],TeamList[#Headers],0),0)="OFF","OFF","SCH"),"_NO MATCH")</f>
        <v>SCH</v>
      </c>
      <c r="Y89" s="4" t="str">
        <f>IFERROR(IF(Schedules[[#This Row],[Scheduled]]="OFF","",LEFT(VLOOKUP(Schedules[[#This Row],[EE ID]],TeamList[],MATCH(Schedules[[#This Row],[DOW]],TeamList[#Headers],0),0),4)),"_NO MATCH")</f>
        <v>07:0</v>
      </c>
      <c r="Z89" s="4" t="str">
        <f>IFERROR(IF(Schedules[[#This Row],[Scheduled]]="OFF","",RIGHT(VLOOKUP(Schedules[[#This Row],[EE ID]],TeamList[],MATCH(Schedules[[#This Row],[DOW]],TeamList[#Headers],0),0),4)),"_NO MATCH")</f>
        <v>6:00</v>
      </c>
    </row>
    <row r="90" spans="19:26" x14ac:dyDescent="0.25">
      <c r="S90" s="209">
        <v>1513968</v>
      </c>
      <c r="T90" s="209" t="str">
        <f>Schedules[[#This Row],[Employee Name]]&amp;Schedules[[#This Row],[DOW]]</f>
        <v>Senft, ThomasTue</v>
      </c>
      <c r="U90" s="4" t="str">
        <f>IFERROR(VLOOKUP(Schedules[[#This Row],[EE ID]],TeamList[],MATCH(Schedules[[#Headers],[Employee Name]],TeamList[#Headers],0),0),"_NO MATCH")</f>
        <v>Senft, Thomas</v>
      </c>
      <c r="V90" s="4" t="str">
        <f>IFERROR(VLOOKUP(Schedules[[#This Row],[EE ID]],TeamList[],MATCH(Schedules[[#Headers],[Dept]],TeamList[#Headers],0),0),"_NO MATCH")</f>
        <v>Sup, Customer Service</v>
      </c>
      <c r="W90" s="286" t="s">
        <v>8</v>
      </c>
      <c r="X90" s="4" t="str">
        <f>IFERROR(IF(VLOOKUP(Schedules[[#This Row],[EE ID]],TeamList[],MATCH(Schedules[[#This Row],[DOW]],TeamList[#Headers],0),0)="OFF","OFF","SCH"),"_NO MATCH")</f>
        <v>SCH</v>
      </c>
      <c r="Y90" s="4" t="str">
        <f>IFERROR(IF(Schedules[[#This Row],[Scheduled]]="OFF","",LEFT(VLOOKUP(Schedules[[#This Row],[EE ID]],TeamList[],MATCH(Schedules[[#This Row],[DOW]],TeamList[#Headers],0),0),4)),"_NO MATCH")</f>
        <v>07:0</v>
      </c>
      <c r="Z90" s="4" t="str">
        <f>IFERROR(IF(Schedules[[#This Row],[Scheduled]]="OFF","",RIGHT(VLOOKUP(Schedules[[#This Row],[EE ID]],TeamList[],MATCH(Schedules[[#This Row],[DOW]],TeamList[#Headers],0),0),4)),"_NO MATCH")</f>
        <v>6:00</v>
      </c>
    </row>
    <row r="91" spans="19:26" x14ac:dyDescent="0.25">
      <c r="S91" s="209">
        <v>1513968</v>
      </c>
      <c r="T91" s="209" t="str">
        <f>Schedules[[#This Row],[Employee Name]]&amp;Schedules[[#This Row],[DOW]]</f>
        <v>Senft, ThomasThu</v>
      </c>
      <c r="U91" s="4" t="str">
        <f>IFERROR(VLOOKUP(Schedules[[#This Row],[EE ID]],TeamList[],MATCH(Schedules[[#Headers],[Employee Name]],TeamList[#Headers],0),0),"_NO MATCH")</f>
        <v>Senft, Thomas</v>
      </c>
      <c r="V91" s="4" t="str">
        <f>IFERROR(VLOOKUP(Schedules[[#This Row],[EE ID]],TeamList[],MATCH(Schedules[[#Headers],[Dept]],TeamList[#Headers],0),0),"_NO MATCH")</f>
        <v>Sup, Customer Service</v>
      </c>
      <c r="W91" s="286" t="s">
        <v>10</v>
      </c>
      <c r="X91" s="4" t="str">
        <f>IFERROR(IF(VLOOKUP(Schedules[[#This Row],[EE ID]],TeamList[],MATCH(Schedules[[#This Row],[DOW]],TeamList[#Headers],0),0)="OFF","OFF","SCH"),"_NO MATCH")</f>
        <v>SCH</v>
      </c>
      <c r="Y91" s="4" t="str">
        <f>IFERROR(IF(Schedules[[#This Row],[Scheduled]]="OFF","",LEFT(VLOOKUP(Schedules[[#This Row],[EE ID]],TeamList[],MATCH(Schedules[[#This Row],[DOW]],TeamList[#Headers],0),0),4)),"_NO MATCH")</f>
        <v>07:0</v>
      </c>
      <c r="Z91" s="4" t="str">
        <f>IFERROR(IF(Schedules[[#This Row],[Scheduled]]="OFF","",RIGHT(VLOOKUP(Schedules[[#This Row],[EE ID]],TeamList[],MATCH(Schedules[[#This Row],[DOW]],TeamList[#Headers],0),0),4)),"_NO MATCH")</f>
        <v>6:00</v>
      </c>
    </row>
    <row r="92" spans="19:26" x14ac:dyDescent="0.25">
      <c r="S92" s="209">
        <v>1513968</v>
      </c>
      <c r="T92" s="209" t="str">
        <f>Schedules[[#This Row],[Employee Name]]&amp;Schedules[[#This Row],[DOW]]</f>
        <v>Senft, ThomasSun</v>
      </c>
      <c r="U92" s="4" t="str">
        <f>IFERROR(VLOOKUP(Schedules[[#This Row],[EE ID]],TeamList[],MATCH(Schedules[[#Headers],[Employee Name]],TeamList[#Headers],0),0),"_NO MATCH")</f>
        <v>Senft, Thomas</v>
      </c>
      <c r="V92" s="4" t="str">
        <f>IFERROR(VLOOKUP(Schedules[[#This Row],[EE ID]],TeamList[],MATCH(Schedules[[#Headers],[Dept]],TeamList[#Headers],0),0),"_NO MATCH")</f>
        <v>Sup, Customer Service</v>
      </c>
      <c r="W92" s="287" t="s">
        <v>6</v>
      </c>
      <c r="X92" s="219" t="str">
        <f>IFERROR(IF(VLOOKUP(Schedules[[#This Row],[EE ID]],TeamList[],MATCH(Schedules[[#This Row],[DOW]],TeamList[#Headers],0),0)="OFF","OFF","SCH"),"_NO MATCH")</f>
        <v>SCH</v>
      </c>
      <c r="Y92" s="219" t="str">
        <f>IFERROR(IF(Schedules[[#This Row],[Scheduled]]="OFF","",LEFT(VLOOKUP(Schedules[[#This Row],[EE ID]],TeamList[],MATCH(Schedules[[#This Row],[DOW]],TeamList[#Headers],0),0),4)),"_NO MATCH")</f>
        <v>07:0</v>
      </c>
      <c r="Z92" s="219" t="str">
        <f>IFERROR(IF(Schedules[[#This Row],[Scheduled]]="OFF","",RIGHT(VLOOKUP(Schedules[[#This Row],[EE ID]],TeamList[],MATCH(Schedules[[#This Row],[DOW]],TeamList[#Headers],0),0),4)),"_NO MATCH")</f>
        <v>6:00</v>
      </c>
    </row>
    <row r="93" spans="19:26" x14ac:dyDescent="0.25">
      <c r="S93" s="209">
        <v>1513968</v>
      </c>
      <c r="T93" s="209" t="str">
        <f>Schedules[[#This Row],[Employee Name]]&amp;Schedules[[#This Row],[DOW]]</f>
        <v>Senft, ThomasSat</v>
      </c>
      <c r="U93" s="4" t="str">
        <f>IFERROR(VLOOKUP(Schedules[[#This Row],[EE ID]],TeamList[],MATCH(Schedules[[#Headers],[Employee Name]],TeamList[#Headers],0),0),"_NO MATCH")</f>
        <v>Senft, Thomas</v>
      </c>
      <c r="V93" s="4" t="str">
        <f>IFERROR(VLOOKUP(Schedules[[#This Row],[EE ID]],TeamList[],MATCH(Schedules[[#Headers],[Dept]],TeamList[#Headers],0),0),"_NO MATCH")</f>
        <v>Sup, Customer Service</v>
      </c>
      <c r="W93" s="286" t="s">
        <v>12</v>
      </c>
      <c r="X93" s="4" t="str">
        <f>IFERROR(IF(VLOOKUP(Schedules[[#This Row],[EE ID]],TeamList[],MATCH(Schedules[[#This Row],[DOW]],TeamList[#Headers],0),0)="OFF","OFF","SCH"),"_NO MATCH")</f>
        <v>OFF</v>
      </c>
      <c r="Y93" s="4" t="str">
        <f>IFERROR(IF(Schedules[[#This Row],[Scheduled]]="OFF","",LEFT(VLOOKUP(Schedules[[#This Row],[EE ID]],TeamList[],MATCH(Schedules[[#This Row],[DOW]],TeamList[#Headers],0),0),4)),"_NO MATCH")</f>
        <v/>
      </c>
      <c r="Z93" s="4" t="str">
        <f>IFERROR(IF(Schedules[[#This Row],[Scheduled]]="OFF","",RIGHT(VLOOKUP(Schedules[[#This Row],[EE ID]],TeamList[],MATCH(Schedules[[#This Row],[DOW]],TeamList[#Headers],0),0),4)),"_NO MATCH")</f>
        <v/>
      </c>
    </row>
    <row r="94" spans="19:26" x14ac:dyDescent="0.25">
      <c r="S94" s="209">
        <v>1513968</v>
      </c>
      <c r="T94" s="209" t="str">
        <f>Schedules[[#This Row],[Employee Name]]&amp;Schedules[[#This Row],[DOW]]</f>
        <v>Senft, ThomasMon</v>
      </c>
      <c r="U94" s="4" t="str">
        <f>IFERROR(VLOOKUP(Schedules[[#This Row],[EE ID]],TeamList[],MATCH(Schedules[[#Headers],[Employee Name]],TeamList[#Headers],0),0),"_NO MATCH")</f>
        <v>Senft, Thomas</v>
      </c>
      <c r="V94" s="4" t="str">
        <f>IFERROR(VLOOKUP(Schedules[[#This Row],[EE ID]],TeamList[],MATCH(Schedules[[#Headers],[Dept]],TeamList[#Headers],0),0),"_NO MATCH")</f>
        <v>Sup, Customer Service</v>
      </c>
      <c r="W94" s="286" t="s">
        <v>7</v>
      </c>
      <c r="X94" s="4" t="str">
        <f>IFERROR(IF(VLOOKUP(Schedules[[#This Row],[EE ID]],TeamList[],MATCH(Schedules[[#This Row],[DOW]],TeamList[#Headers],0),0)="OFF","OFF","SCH"),"_NO MATCH")</f>
        <v>SCH</v>
      </c>
      <c r="Y94" s="4" t="str">
        <f>IFERROR(IF(Schedules[[#This Row],[Scheduled]]="OFF","",LEFT(VLOOKUP(Schedules[[#This Row],[EE ID]],TeamList[],MATCH(Schedules[[#This Row],[DOW]],TeamList[#Headers],0),0),4)),"_NO MATCH")</f>
        <v>07:0</v>
      </c>
      <c r="Z94" s="4" t="str">
        <f>IFERROR(IF(Schedules[[#This Row],[Scheduled]]="OFF","",RIGHT(VLOOKUP(Schedules[[#This Row],[EE ID]],TeamList[],MATCH(Schedules[[#This Row],[DOW]],TeamList[#Headers],0),0),4)),"_NO MATCH")</f>
        <v>6:00</v>
      </c>
    </row>
    <row r="95" spans="19:26" x14ac:dyDescent="0.25">
      <c r="S95" s="209">
        <v>1513968</v>
      </c>
      <c r="T95" s="209" t="str">
        <f>Schedules[[#This Row],[Employee Name]]&amp;Schedules[[#This Row],[DOW]]</f>
        <v>Senft, ThomasFri</v>
      </c>
      <c r="U95" s="4" t="str">
        <f>IFERROR(VLOOKUP(Schedules[[#This Row],[EE ID]],TeamList[],MATCH(Schedules[[#Headers],[Employee Name]],TeamList[#Headers],0),0),"_NO MATCH")</f>
        <v>Senft, Thomas</v>
      </c>
      <c r="V95" s="4" t="str">
        <f>IFERROR(VLOOKUP(Schedules[[#This Row],[EE ID]],TeamList[],MATCH(Schedules[[#Headers],[Dept]],TeamList[#Headers],0),0),"_NO MATCH")</f>
        <v>Sup, Customer Service</v>
      </c>
      <c r="W95" s="286" t="s">
        <v>11</v>
      </c>
      <c r="X95" s="4" t="str">
        <f>IFERROR(IF(VLOOKUP(Schedules[[#This Row],[EE ID]],TeamList[],MATCH(Schedules[[#This Row],[DOW]],TeamList[#Headers],0),0)="OFF","OFF","SCH"),"_NO MATCH")</f>
        <v>OFF</v>
      </c>
      <c r="Y95" s="4" t="str">
        <f>IFERROR(IF(Schedules[[#This Row],[Scheduled]]="OFF","",LEFT(VLOOKUP(Schedules[[#This Row],[EE ID]],TeamList[],MATCH(Schedules[[#This Row],[DOW]],TeamList[#Headers],0),0),4)),"_NO MATCH")</f>
        <v/>
      </c>
      <c r="Z95" s="4" t="str">
        <f>IFERROR(IF(Schedules[[#This Row],[Scheduled]]="OFF","",RIGHT(VLOOKUP(Schedules[[#This Row],[EE ID]],TeamList[],MATCH(Schedules[[#This Row],[DOW]],TeamList[#Headers],0),0),4)),"_NO MATCH")</f>
        <v/>
      </c>
    </row>
    <row r="96" spans="19:26" x14ac:dyDescent="0.25">
      <c r="S96" s="209">
        <v>1516511</v>
      </c>
      <c r="T96" s="209" t="str">
        <f>Schedules[[#This Row],[Employee Name]]&amp;Schedules[[#This Row],[DOW]]</f>
        <v>_NO MATCHWed</v>
      </c>
      <c r="U96" s="4" t="str">
        <f>IFERROR(VLOOKUP(Schedules[[#This Row],[EE ID]],TeamList[],MATCH(Schedules[[#Headers],[Employee Name]],TeamList[#Headers],0),0),"_NO MATCH")</f>
        <v>_NO MATCH</v>
      </c>
      <c r="V96" s="4" t="str">
        <f>IFERROR(VLOOKUP(Schedules[[#This Row],[EE ID]],TeamList[],MATCH(Schedules[[#Headers],[Dept]],TeamList[#Headers],0),0),"_NO MATCH")</f>
        <v>_NO MATCH</v>
      </c>
      <c r="W96" s="286" t="s">
        <v>9</v>
      </c>
      <c r="X96" s="4" t="str">
        <f>IFERROR(IF(VLOOKUP(Schedules[[#This Row],[EE ID]],TeamList[],MATCH(Schedules[[#This Row],[DOW]],TeamList[#Headers],0),0)="OFF","OFF","SCH"),"_NO MATCH")</f>
        <v>_NO MATCH</v>
      </c>
      <c r="Y96" s="4" t="str">
        <f>IFERROR(IF(Schedules[[#This Row],[Scheduled]]="OFF","",LEFT(VLOOKUP(Schedules[[#This Row],[EE ID]],TeamList[],MATCH(Schedules[[#This Row],[DOW]],TeamList[#Headers],0),0),4)),"_NO MATCH")</f>
        <v>_NO MATCH</v>
      </c>
      <c r="Z96" s="4" t="str">
        <f>IFERROR(IF(Schedules[[#This Row],[Scheduled]]="OFF","",RIGHT(VLOOKUP(Schedules[[#This Row],[EE ID]],TeamList[],MATCH(Schedules[[#This Row],[DOW]],TeamList[#Headers],0),0),4)),"_NO MATCH")</f>
        <v>_NO MATCH</v>
      </c>
    </row>
    <row r="97" spans="19:26" x14ac:dyDescent="0.25">
      <c r="S97" s="209">
        <v>1516511</v>
      </c>
      <c r="T97" s="209" t="str">
        <f>Schedules[[#This Row],[Employee Name]]&amp;Schedules[[#This Row],[DOW]]</f>
        <v>_NO MATCHTue</v>
      </c>
      <c r="U97" s="4" t="str">
        <f>IFERROR(VLOOKUP(Schedules[[#This Row],[EE ID]],TeamList[],MATCH(Schedules[[#Headers],[Employee Name]],TeamList[#Headers],0),0),"_NO MATCH")</f>
        <v>_NO MATCH</v>
      </c>
      <c r="V97" s="4" t="str">
        <f>IFERROR(VLOOKUP(Schedules[[#This Row],[EE ID]],TeamList[],MATCH(Schedules[[#Headers],[Dept]],TeamList[#Headers],0),0),"_NO MATCH")</f>
        <v>_NO MATCH</v>
      </c>
      <c r="W97" s="286" t="s">
        <v>8</v>
      </c>
      <c r="X97" s="4" t="str">
        <f>IFERROR(IF(VLOOKUP(Schedules[[#This Row],[EE ID]],TeamList[],MATCH(Schedules[[#This Row],[DOW]],TeamList[#Headers],0),0)="OFF","OFF","SCH"),"_NO MATCH")</f>
        <v>_NO MATCH</v>
      </c>
      <c r="Y97" s="4" t="str">
        <f>IFERROR(IF(Schedules[[#This Row],[Scheduled]]="OFF","",LEFT(VLOOKUP(Schedules[[#This Row],[EE ID]],TeamList[],MATCH(Schedules[[#This Row],[DOW]],TeamList[#Headers],0),0),4)),"_NO MATCH")</f>
        <v>_NO MATCH</v>
      </c>
      <c r="Z97" s="4" t="str">
        <f>IFERROR(IF(Schedules[[#This Row],[Scheduled]]="OFF","",RIGHT(VLOOKUP(Schedules[[#This Row],[EE ID]],TeamList[],MATCH(Schedules[[#This Row],[DOW]],TeamList[#Headers],0),0),4)),"_NO MATCH")</f>
        <v>_NO MATCH</v>
      </c>
    </row>
    <row r="98" spans="19:26" x14ac:dyDescent="0.25">
      <c r="S98" s="209">
        <v>1516511</v>
      </c>
      <c r="T98" s="209" t="str">
        <f>Schedules[[#This Row],[Employee Name]]&amp;Schedules[[#This Row],[DOW]]</f>
        <v>_NO MATCHThu</v>
      </c>
      <c r="U98" s="4" t="str">
        <f>IFERROR(VLOOKUP(Schedules[[#This Row],[EE ID]],TeamList[],MATCH(Schedules[[#Headers],[Employee Name]],TeamList[#Headers],0),0),"_NO MATCH")</f>
        <v>_NO MATCH</v>
      </c>
      <c r="V98" s="4" t="str">
        <f>IFERROR(VLOOKUP(Schedules[[#This Row],[EE ID]],TeamList[],MATCH(Schedules[[#Headers],[Dept]],TeamList[#Headers],0),0),"_NO MATCH")</f>
        <v>_NO MATCH</v>
      </c>
      <c r="W98" s="286" t="s">
        <v>10</v>
      </c>
      <c r="X98" s="4" t="str">
        <f>IFERROR(IF(VLOOKUP(Schedules[[#This Row],[EE ID]],TeamList[],MATCH(Schedules[[#This Row],[DOW]],TeamList[#Headers],0),0)="OFF","OFF","SCH"),"_NO MATCH")</f>
        <v>_NO MATCH</v>
      </c>
      <c r="Y98" s="4" t="str">
        <f>IFERROR(IF(Schedules[[#This Row],[Scheduled]]="OFF","",LEFT(VLOOKUP(Schedules[[#This Row],[EE ID]],TeamList[],MATCH(Schedules[[#This Row],[DOW]],TeamList[#Headers],0),0),4)),"_NO MATCH")</f>
        <v>_NO MATCH</v>
      </c>
      <c r="Z98" s="4" t="str">
        <f>IFERROR(IF(Schedules[[#This Row],[Scheduled]]="OFF","",RIGHT(VLOOKUP(Schedules[[#This Row],[EE ID]],TeamList[],MATCH(Schedules[[#This Row],[DOW]],TeamList[#Headers],0),0),4)),"_NO MATCH")</f>
        <v>_NO MATCH</v>
      </c>
    </row>
    <row r="99" spans="19:26" x14ac:dyDescent="0.25">
      <c r="S99" s="209">
        <v>1516511</v>
      </c>
      <c r="T99" s="209" t="str">
        <f>Schedules[[#This Row],[Employee Name]]&amp;Schedules[[#This Row],[DOW]]</f>
        <v>_NO MATCHSun</v>
      </c>
      <c r="U99" s="4" t="str">
        <f>IFERROR(VLOOKUP(Schedules[[#This Row],[EE ID]],TeamList[],MATCH(Schedules[[#Headers],[Employee Name]],TeamList[#Headers],0),0),"_NO MATCH")</f>
        <v>_NO MATCH</v>
      </c>
      <c r="V99" s="4" t="str">
        <f>IFERROR(VLOOKUP(Schedules[[#This Row],[EE ID]],TeamList[],MATCH(Schedules[[#Headers],[Dept]],TeamList[#Headers],0),0),"_NO MATCH")</f>
        <v>_NO MATCH</v>
      </c>
      <c r="W99" s="287" t="s">
        <v>6</v>
      </c>
      <c r="X99" s="219" t="str">
        <f>IFERROR(IF(VLOOKUP(Schedules[[#This Row],[EE ID]],TeamList[],MATCH(Schedules[[#This Row],[DOW]],TeamList[#Headers],0),0)="OFF","OFF","SCH"),"_NO MATCH")</f>
        <v>_NO MATCH</v>
      </c>
      <c r="Y99" s="219" t="str">
        <f>IFERROR(IF(Schedules[[#This Row],[Scheduled]]="OFF","",LEFT(VLOOKUP(Schedules[[#This Row],[EE ID]],TeamList[],MATCH(Schedules[[#This Row],[DOW]],TeamList[#Headers],0),0),4)),"_NO MATCH")</f>
        <v>_NO MATCH</v>
      </c>
      <c r="Z99" s="219" t="str">
        <f>IFERROR(IF(Schedules[[#This Row],[Scheduled]]="OFF","",RIGHT(VLOOKUP(Schedules[[#This Row],[EE ID]],TeamList[],MATCH(Schedules[[#This Row],[DOW]],TeamList[#Headers],0),0),4)),"_NO MATCH")</f>
        <v>_NO MATCH</v>
      </c>
    </row>
    <row r="100" spans="19:26" x14ac:dyDescent="0.25">
      <c r="S100" s="209">
        <v>1516511</v>
      </c>
      <c r="T100" s="209" t="str">
        <f>Schedules[[#This Row],[Employee Name]]&amp;Schedules[[#This Row],[DOW]]</f>
        <v>_NO MATCHSat</v>
      </c>
      <c r="U100" s="4" t="str">
        <f>IFERROR(VLOOKUP(Schedules[[#This Row],[EE ID]],TeamList[],MATCH(Schedules[[#Headers],[Employee Name]],TeamList[#Headers],0),0),"_NO MATCH")</f>
        <v>_NO MATCH</v>
      </c>
      <c r="V100" s="4" t="str">
        <f>IFERROR(VLOOKUP(Schedules[[#This Row],[EE ID]],TeamList[],MATCH(Schedules[[#Headers],[Dept]],TeamList[#Headers],0),0),"_NO MATCH")</f>
        <v>_NO MATCH</v>
      </c>
      <c r="W100" s="286" t="s">
        <v>12</v>
      </c>
      <c r="X100" s="4" t="str">
        <f>IFERROR(IF(VLOOKUP(Schedules[[#This Row],[EE ID]],TeamList[],MATCH(Schedules[[#This Row],[DOW]],TeamList[#Headers],0),0)="OFF","OFF","SCH"),"_NO MATCH")</f>
        <v>_NO MATCH</v>
      </c>
      <c r="Y100" s="4" t="str">
        <f>IFERROR(IF(Schedules[[#This Row],[Scheduled]]="OFF","",LEFT(VLOOKUP(Schedules[[#This Row],[EE ID]],TeamList[],MATCH(Schedules[[#This Row],[DOW]],TeamList[#Headers],0),0),4)),"_NO MATCH")</f>
        <v>_NO MATCH</v>
      </c>
      <c r="Z100" s="4" t="str">
        <f>IFERROR(IF(Schedules[[#This Row],[Scheduled]]="OFF","",RIGHT(VLOOKUP(Schedules[[#This Row],[EE ID]],TeamList[],MATCH(Schedules[[#This Row],[DOW]],TeamList[#Headers],0),0),4)),"_NO MATCH")</f>
        <v>_NO MATCH</v>
      </c>
    </row>
    <row r="101" spans="19:26" x14ac:dyDescent="0.25">
      <c r="S101" s="209">
        <v>1516511</v>
      </c>
      <c r="T101" s="209" t="str">
        <f>Schedules[[#This Row],[Employee Name]]&amp;Schedules[[#This Row],[DOW]]</f>
        <v>_NO MATCHMon</v>
      </c>
      <c r="U101" s="4" t="str">
        <f>IFERROR(VLOOKUP(Schedules[[#This Row],[EE ID]],TeamList[],MATCH(Schedules[[#Headers],[Employee Name]],TeamList[#Headers],0),0),"_NO MATCH")</f>
        <v>_NO MATCH</v>
      </c>
      <c r="V101" s="4" t="str">
        <f>IFERROR(VLOOKUP(Schedules[[#This Row],[EE ID]],TeamList[],MATCH(Schedules[[#Headers],[Dept]],TeamList[#Headers],0),0),"_NO MATCH")</f>
        <v>_NO MATCH</v>
      </c>
      <c r="W101" s="286" t="s">
        <v>7</v>
      </c>
      <c r="X101" s="4" t="str">
        <f>IFERROR(IF(VLOOKUP(Schedules[[#This Row],[EE ID]],TeamList[],MATCH(Schedules[[#This Row],[DOW]],TeamList[#Headers],0),0)="OFF","OFF","SCH"),"_NO MATCH")</f>
        <v>_NO MATCH</v>
      </c>
      <c r="Y101" s="4" t="str">
        <f>IFERROR(IF(Schedules[[#This Row],[Scheduled]]="OFF","",LEFT(VLOOKUP(Schedules[[#This Row],[EE ID]],TeamList[],MATCH(Schedules[[#This Row],[DOW]],TeamList[#Headers],0),0),4)),"_NO MATCH")</f>
        <v>_NO MATCH</v>
      </c>
      <c r="Z101" s="4" t="str">
        <f>IFERROR(IF(Schedules[[#This Row],[Scheduled]]="OFF","",RIGHT(VLOOKUP(Schedules[[#This Row],[EE ID]],TeamList[],MATCH(Schedules[[#This Row],[DOW]],TeamList[#Headers],0),0),4)),"_NO MATCH")</f>
        <v>_NO MATCH</v>
      </c>
    </row>
    <row r="102" spans="19:26" x14ac:dyDescent="0.25">
      <c r="S102" s="209">
        <v>1516511</v>
      </c>
      <c r="T102" s="209" t="str">
        <f>Schedules[[#This Row],[Employee Name]]&amp;Schedules[[#This Row],[DOW]]</f>
        <v>_NO MATCHFri</v>
      </c>
      <c r="U102" s="4" t="str">
        <f>IFERROR(VLOOKUP(Schedules[[#This Row],[EE ID]],TeamList[],MATCH(Schedules[[#Headers],[Employee Name]],TeamList[#Headers],0),0),"_NO MATCH")</f>
        <v>_NO MATCH</v>
      </c>
      <c r="V102" s="4" t="str">
        <f>IFERROR(VLOOKUP(Schedules[[#This Row],[EE ID]],TeamList[],MATCH(Schedules[[#Headers],[Dept]],TeamList[#Headers],0),0),"_NO MATCH")</f>
        <v>_NO MATCH</v>
      </c>
      <c r="W102" s="286" t="s">
        <v>11</v>
      </c>
      <c r="X102" s="4" t="str">
        <f>IFERROR(IF(VLOOKUP(Schedules[[#This Row],[EE ID]],TeamList[],MATCH(Schedules[[#This Row],[DOW]],TeamList[#Headers],0),0)="OFF","OFF","SCH"),"_NO MATCH")</f>
        <v>_NO MATCH</v>
      </c>
      <c r="Y102" s="4" t="str">
        <f>IFERROR(IF(Schedules[[#This Row],[Scheduled]]="OFF","",LEFT(VLOOKUP(Schedules[[#This Row],[EE ID]],TeamList[],MATCH(Schedules[[#This Row],[DOW]],TeamList[#Headers],0),0),4)),"_NO MATCH")</f>
        <v>_NO MATCH</v>
      </c>
      <c r="Z102" s="4" t="str">
        <f>IFERROR(IF(Schedules[[#This Row],[Scheduled]]="OFF","",RIGHT(VLOOKUP(Schedules[[#This Row],[EE ID]],TeamList[],MATCH(Schedules[[#This Row],[DOW]],TeamList[#Headers],0),0),4)),"_NO MATCH")</f>
        <v>_NO MATCH</v>
      </c>
    </row>
    <row r="103" spans="19:26" x14ac:dyDescent="0.25">
      <c r="S103" s="209">
        <v>1513348</v>
      </c>
      <c r="T103" s="209" t="str">
        <f>Schedules[[#This Row],[Employee Name]]&amp;Schedules[[#This Row],[DOW]]</f>
        <v>Roberts, StevenWed</v>
      </c>
      <c r="U103" s="4" t="str">
        <f>IFERROR(VLOOKUP(Schedules[[#This Row],[EE ID]],TeamList[],MATCH(Schedules[[#Headers],[Employee Name]],TeamList[#Headers],0),0),"_NO MATCH")</f>
        <v>Roberts, Steven</v>
      </c>
      <c r="V103" s="4" t="str">
        <f>IFERROR(VLOOKUP(Schedules[[#This Row],[EE ID]],TeamList[],MATCH(Schedules[[#Headers],[Dept]],TeamList[#Headers],0),0),"_NO MATCH")</f>
        <v>Lead Billing</v>
      </c>
      <c r="W103" s="286" t="s">
        <v>9</v>
      </c>
      <c r="X103" s="4" t="str">
        <f>IFERROR(IF(VLOOKUP(Schedules[[#This Row],[EE ID]],TeamList[],MATCH(Schedules[[#This Row],[DOW]],TeamList[#Headers],0),0)="OFF","OFF","SCH"),"_NO MATCH")</f>
        <v>SCH</v>
      </c>
      <c r="Y103" s="4" t="str">
        <f>IFERROR(IF(Schedules[[#This Row],[Scheduled]]="OFF","",LEFT(VLOOKUP(Schedules[[#This Row],[EE ID]],TeamList[],MATCH(Schedules[[#This Row],[DOW]],TeamList[#Headers],0),0),4)),"_NO MATCH")</f>
        <v>12:3</v>
      </c>
      <c r="Z103" s="4" t="str">
        <f>IFERROR(IF(Schedules[[#This Row],[Scheduled]]="OFF","",RIGHT(VLOOKUP(Schedules[[#This Row],[EE ID]],TeamList[],MATCH(Schedules[[#This Row],[DOW]],TeamList[#Headers],0),0),4)),"_NO MATCH")</f>
        <v>1:00</v>
      </c>
    </row>
    <row r="104" spans="19:26" x14ac:dyDescent="0.25">
      <c r="S104" s="209">
        <v>1513348</v>
      </c>
      <c r="T104" s="209" t="str">
        <f>Schedules[[#This Row],[Employee Name]]&amp;Schedules[[#This Row],[DOW]]</f>
        <v>Roberts, StevenTue</v>
      </c>
      <c r="U104" s="4" t="str">
        <f>IFERROR(VLOOKUP(Schedules[[#This Row],[EE ID]],TeamList[],MATCH(Schedules[[#Headers],[Employee Name]],TeamList[#Headers],0),0),"_NO MATCH")</f>
        <v>Roberts, Steven</v>
      </c>
      <c r="V104" s="4" t="str">
        <f>IFERROR(VLOOKUP(Schedules[[#This Row],[EE ID]],TeamList[],MATCH(Schedules[[#Headers],[Dept]],TeamList[#Headers],0),0),"_NO MATCH")</f>
        <v>Lead Billing</v>
      </c>
      <c r="W104" s="286" t="s">
        <v>8</v>
      </c>
      <c r="X104" s="4" t="str">
        <f>IFERROR(IF(VLOOKUP(Schedules[[#This Row],[EE ID]],TeamList[],MATCH(Schedules[[#This Row],[DOW]],TeamList[#Headers],0),0)="OFF","OFF","SCH"),"_NO MATCH")</f>
        <v>SCH</v>
      </c>
      <c r="Y104" s="4" t="str">
        <f>IFERROR(IF(Schedules[[#This Row],[Scheduled]]="OFF","",LEFT(VLOOKUP(Schedules[[#This Row],[EE ID]],TeamList[],MATCH(Schedules[[#This Row],[DOW]],TeamList[#Headers],0),0),4)),"_NO MATCH")</f>
        <v>12:3</v>
      </c>
      <c r="Z104" s="4" t="str">
        <f>IFERROR(IF(Schedules[[#This Row],[Scheduled]]="OFF","",RIGHT(VLOOKUP(Schedules[[#This Row],[EE ID]],TeamList[],MATCH(Schedules[[#This Row],[DOW]],TeamList[#Headers],0),0),4)),"_NO MATCH")</f>
        <v>1:00</v>
      </c>
    </row>
    <row r="105" spans="19:26" x14ac:dyDescent="0.25">
      <c r="S105" s="209">
        <v>1513348</v>
      </c>
      <c r="T105" s="209" t="str">
        <f>Schedules[[#This Row],[Employee Name]]&amp;Schedules[[#This Row],[DOW]]</f>
        <v>Roberts, StevenThu</v>
      </c>
      <c r="U105" s="4" t="str">
        <f>IFERROR(VLOOKUP(Schedules[[#This Row],[EE ID]],TeamList[],MATCH(Schedules[[#Headers],[Employee Name]],TeamList[#Headers],0),0),"_NO MATCH")</f>
        <v>Roberts, Steven</v>
      </c>
      <c r="V105" s="4" t="str">
        <f>IFERROR(VLOOKUP(Schedules[[#This Row],[EE ID]],TeamList[],MATCH(Schedules[[#Headers],[Dept]],TeamList[#Headers],0),0),"_NO MATCH")</f>
        <v>Lead Billing</v>
      </c>
      <c r="W105" s="286" t="s">
        <v>10</v>
      </c>
      <c r="X105" s="4" t="str">
        <f>IFERROR(IF(VLOOKUP(Schedules[[#This Row],[EE ID]],TeamList[],MATCH(Schedules[[#This Row],[DOW]],TeamList[#Headers],0),0)="OFF","OFF","SCH"),"_NO MATCH")</f>
        <v>SCH</v>
      </c>
      <c r="Y105" s="4" t="str">
        <f>IFERROR(IF(Schedules[[#This Row],[Scheduled]]="OFF","",LEFT(VLOOKUP(Schedules[[#This Row],[EE ID]],TeamList[],MATCH(Schedules[[#This Row],[DOW]],TeamList[#Headers],0),0),4)),"_NO MATCH")</f>
        <v>12:3</v>
      </c>
      <c r="Z105" s="4" t="str">
        <f>IFERROR(IF(Schedules[[#This Row],[Scheduled]]="OFF","",RIGHT(VLOOKUP(Schedules[[#This Row],[EE ID]],TeamList[],MATCH(Schedules[[#This Row],[DOW]],TeamList[#Headers],0),0),4)),"_NO MATCH")</f>
        <v>1:00</v>
      </c>
    </row>
    <row r="106" spans="19:26" x14ac:dyDescent="0.25">
      <c r="S106" s="209">
        <v>1513348</v>
      </c>
      <c r="T106" s="209" t="str">
        <f>Schedules[[#This Row],[Employee Name]]&amp;Schedules[[#This Row],[DOW]]</f>
        <v>Roberts, StevenSun</v>
      </c>
      <c r="U106" s="4" t="str">
        <f>IFERROR(VLOOKUP(Schedules[[#This Row],[EE ID]],TeamList[],MATCH(Schedules[[#Headers],[Employee Name]],TeamList[#Headers],0),0),"_NO MATCH")</f>
        <v>Roberts, Steven</v>
      </c>
      <c r="V106" s="4" t="str">
        <f>IFERROR(VLOOKUP(Schedules[[#This Row],[EE ID]],TeamList[],MATCH(Schedules[[#Headers],[Dept]],TeamList[#Headers],0),0),"_NO MATCH")</f>
        <v>Lead Billing</v>
      </c>
      <c r="W106" s="287" t="s">
        <v>6</v>
      </c>
      <c r="X106" s="219" t="str">
        <f>IFERROR(IF(VLOOKUP(Schedules[[#This Row],[EE ID]],TeamList[],MATCH(Schedules[[#This Row],[DOW]],TeamList[#Headers],0),0)="OFF","OFF","SCH"),"_NO MATCH")</f>
        <v>OFF</v>
      </c>
      <c r="Y106" s="219" t="str">
        <f>IFERROR(IF(Schedules[[#This Row],[Scheduled]]="OFF","",LEFT(VLOOKUP(Schedules[[#This Row],[EE ID]],TeamList[],MATCH(Schedules[[#This Row],[DOW]],TeamList[#Headers],0),0),4)),"_NO MATCH")</f>
        <v/>
      </c>
      <c r="Z106" s="219" t="str">
        <f>IFERROR(IF(Schedules[[#This Row],[Scheduled]]="OFF","",RIGHT(VLOOKUP(Schedules[[#This Row],[EE ID]],TeamList[],MATCH(Schedules[[#This Row],[DOW]],TeamList[#Headers],0),0),4)),"_NO MATCH")</f>
        <v/>
      </c>
    </row>
    <row r="107" spans="19:26" x14ac:dyDescent="0.25">
      <c r="S107" s="209">
        <v>1513348</v>
      </c>
      <c r="T107" s="209" t="str">
        <f>Schedules[[#This Row],[Employee Name]]&amp;Schedules[[#This Row],[DOW]]</f>
        <v>Roberts, StevenSat</v>
      </c>
      <c r="U107" s="4" t="str">
        <f>IFERROR(VLOOKUP(Schedules[[#This Row],[EE ID]],TeamList[],MATCH(Schedules[[#Headers],[Employee Name]],TeamList[#Headers],0),0),"_NO MATCH")</f>
        <v>Roberts, Steven</v>
      </c>
      <c r="V107" s="4" t="str">
        <f>IFERROR(VLOOKUP(Schedules[[#This Row],[EE ID]],TeamList[],MATCH(Schedules[[#Headers],[Dept]],TeamList[#Headers],0),0),"_NO MATCH")</f>
        <v>Lead Billing</v>
      </c>
      <c r="W107" s="286" t="s">
        <v>12</v>
      </c>
      <c r="X107" s="4" t="str">
        <f>IFERROR(IF(VLOOKUP(Schedules[[#This Row],[EE ID]],TeamList[],MATCH(Schedules[[#This Row],[DOW]],TeamList[#Headers],0),0)="OFF","OFF","SCH"),"_NO MATCH")</f>
        <v>SCH</v>
      </c>
      <c r="Y107" s="4" t="str">
        <f>IFERROR(IF(Schedules[[#This Row],[Scheduled]]="OFF","",LEFT(VLOOKUP(Schedules[[#This Row],[EE ID]],TeamList[],MATCH(Schedules[[#This Row],[DOW]],TeamList[#Headers],0),0),4)),"_NO MATCH")</f>
        <v>12:3</v>
      </c>
      <c r="Z107" s="4" t="str">
        <f>IFERROR(IF(Schedules[[#This Row],[Scheduled]]="OFF","",RIGHT(VLOOKUP(Schedules[[#This Row],[EE ID]],TeamList[],MATCH(Schedules[[#This Row],[DOW]],TeamList[#Headers],0),0),4)),"_NO MATCH")</f>
        <v>1:00</v>
      </c>
    </row>
    <row r="108" spans="19:26" x14ac:dyDescent="0.25">
      <c r="S108" s="209">
        <v>1513348</v>
      </c>
      <c r="T108" s="209" t="str">
        <f>Schedules[[#This Row],[Employee Name]]&amp;Schedules[[#This Row],[DOW]]</f>
        <v>Roberts, StevenMon</v>
      </c>
      <c r="U108" s="4" t="str">
        <f>IFERROR(VLOOKUP(Schedules[[#This Row],[EE ID]],TeamList[],MATCH(Schedules[[#Headers],[Employee Name]],TeamList[#Headers],0),0),"_NO MATCH")</f>
        <v>Roberts, Steven</v>
      </c>
      <c r="V108" s="4" t="str">
        <f>IFERROR(VLOOKUP(Schedules[[#This Row],[EE ID]],TeamList[],MATCH(Schedules[[#Headers],[Dept]],TeamList[#Headers],0),0),"_NO MATCH")</f>
        <v>Lead Billing</v>
      </c>
      <c r="W108" s="286" t="s">
        <v>7</v>
      </c>
      <c r="X108" s="4" t="str">
        <f>IFERROR(IF(VLOOKUP(Schedules[[#This Row],[EE ID]],TeamList[],MATCH(Schedules[[#This Row],[DOW]],TeamList[#Headers],0),0)="OFF","OFF","SCH"),"_NO MATCH")</f>
        <v>OFF</v>
      </c>
      <c r="Y108" s="4" t="str">
        <f>IFERROR(IF(Schedules[[#This Row],[Scheduled]]="OFF","",LEFT(VLOOKUP(Schedules[[#This Row],[EE ID]],TeamList[],MATCH(Schedules[[#This Row],[DOW]],TeamList[#Headers],0),0),4)),"_NO MATCH")</f>
        <v/>
      </c>
      <c r="Z108" s="4" t="str">
        <f>IFERROR(IF(Schedules[[#This Row],[Scheduled]]="OFF","",RIGHT(VLOOKUP(Schedules[[#This Row],[EE ID]],TeamList[],MATCH(Schedules[[#This Row],[DOW]],TeamList[#Headers],0),0),4)),"_NO MATCH")</f>
        <v/>
      </c>
    </row>
    <row r="109" spans="19:26" x14ac:dyDescent="0.25">
      <c r="S109" s="209">
        <v>1513348</v>
      </c>
      <c r="T109" s="209" t="str">
        <f>Schedules[[#This Row],[Employee Name]]&amp;Schedules[[#This Row],[DOW]]</f>
        <v>Roberts, StevenFri</v>
      </c>
      <c r="U109" s="4" t="str">
        <f>IFERROR(VLOOKUP(Schedules[[#This Row],[EE ID]],TeamList[],MATCH(Schedules[[#Headers],[Employee Name]],TeamList[#Headers],0),0),"_NO MATCH")</f>
        <v>Roberts, Steven</v>
      </c>
      <c r="V109" s="4" t="str">
        <f>IFERROR(VLOOKUP(Schedules[[#This Row],[EE ID]],TeamList[],MATCH(Schedules[[#Headers],[Dept]],TeamList[#Headers],0),0),"_NO MATCH")</f>
        <v>Lead Billing</v>
      </c>
      <c r="W109" s="286" t="s">
        <v>11</v>
      </c>
      <c r="X109" s="4" t="str">
        <f>IFERROR(IF(VLOOKUP(Schedules[[#This Row],[EE ID]],TeamList[],MATCH(Schedules[[#This Row],[DOW]],TeamList[#Headers],0),0)="OFF","OFF","SCH"),"_NO MATCH")</f>
        <v>SCH</v>
      </c>
      <c r="Y109" s="4" t="str">
        <f>IFERROR(IF(Schedules[[#This Row],[Scheduled]]="OFF","",LEFT(VLOOKUP(Schedules[[#This Row],[EE ID]],TeamList[],MATCH(Schedules[[#This Row],[DOW]],TeamList[#Headers],0),0),4)),"_NO MATCH")</f>
        <v>12:3</v>
      </c>
      <c r="Z109" s="4" t="str">
        <f>IFERROR(IF(Schedules[[#This Row],[Scheduled]]="OFF","",RIGHT(VLOOKUP(Schedules[[#This Row],[EE ID]],TeamList[],MATCH(Schedules[[#This Row],[DOW]],TeamList[#Headers],0),0),4)),"_NO MATCH")</f>
        <v>1:00</v>
      </c>
    </row>
    <row r="110" spans="19:26" x14ac:dyDescent="0.25">
      <c r="S110" s="209">
        <v>1515829</v>
      </c>
      <c r="T110" s="209" t="str">
        <f>Schedules[[#This Row],[Employee Name]]&amp;Schedules[[#This Row],[DOW]]</f>
        <v>Qualman, SophyWed</v>
      </c>
      <c r="U110" s="4" t="str">
        <f>IFERROR(VLOOKUP(Schedules[[#This Row],[EE ID]],TeamList[],MATCH(Schedules[[#Headers],[Employee Name]],TeamList[#Headers],0),0),"_NO MATCH")</f>
        <v>Qualman, Sophy</v>
      </c>
      <c r="V110" s="4" t="str">
        <f>IFERROR(VLOOKUP(Schedules[[#This Row],[EE ID]],TeamList[],MATCH(Schedules[[#Headers],[Dept]],TeamList[#Headers],0),0),"_NO MATCH")</f>
        <v>Lead Billing</v>
      </c>
      <c r="W110" s="286" t="s">
        <v>9</v>
      </c>
      <c r="X110" s="4" t="str">
        <f>IFERROR(IF(VLOOKUP(Schedules[[#This Row],[EE ID]],TeamList[],MATCH(Schedules[[#This Row],[DOW]],TeamList[#Headers],0),0)="OFF","OFF","SCH"),"_NO MATCH")</f>
        <v>SCH</v>
      </c>
      <c r="Y110" s="4" t="str">
        <f>IFERROR(IF(Schedules[[#This Row],[Scheduled]]="OFF","",LEFT(VLOOKUP(Schedules[[#This Row],[EE ID]],TeamList[],MATCH(Schedules[[#This Row],[DOW]],TeamList[#Headers],0),0),4)),"_NO MATCH")</f>
        <v>10:3</v>
      </c>
      <c r="Z110" s="4" t="str">
        <f>IFERROR(IF(Schedules[[#This Row],[Scheduled]]="OFF","",RIGHT(VLOOKUP(Schedules[[#This Row],[EE ID]],TeamList[],MATCH(Schedules[[#This Row],[DOW]],TeamList[#Headers],0),0),4)),"_NO MATCH")</f>
        <v>9:00</v>
      </c>
    </row>
    <row r="111" spans="19:26" x14ac:dyDescent="0.25">
      <c r="S111" s="209">
        <v>1515829</v>
      </c>
      <c r="T111" s="209" t="str">
        <f>Schedules[[#This Row],[Employee Name]]&amp;Schedules[[#This Row],[DOW]]</f>
        <v>Qualman, SophyTue</v>
      </c>
      <c r="U111" s="4" t="str">
        <f>IFERROR(VLOOKUP(Schedules[[#This Row],[EE ID]],TeamList[],MATCH(Schedules[[#Headers],[Employee Name]],TeamList[#Headers],0),0),"_NO MATCH")</f>
        <v>Qualman, Sophy</v>
      </c>
      <c r="V111" s="4" t="str">
        <f>IFERROR(VLOOKUP(Schedules[[#This Row],[EE ID]],TeamList[],MATCH(Schedules[[#Headers],[Dept]],TeamList[#Headers],0),0),"_NO MATCH")</f>
        <v>Lead Billing</v>
      </c>
      <c r="W111" s="286" t="s">
        <v>8</v>
      </c>
      <c r="X111" s="4" t="str">
        <f>IFERROR(IF(VLOOKUP(Schedules[[#This Row],[EE ID]],TeamList[],MATCH(Schedules[[#This Row],[DOW]],TeamList[#Headers],0),0)="OFF","OFF","SCH"),"_NO MATCH")</f>
        <v>SCH</v>
      </c>
      <c r="Y111" s="4" t="str">
        <f>IFERROR(IF(Schedules[[#This Row],[Scheduled]]="OFF","",LEFT(VLOOKUP(Schedules[[#This Row],[EE ID]],TeamList[],MATCH(Schedules[[#This Row],[DOW]],TeamList[#Headers],0),0),4)),"_NO MATCH")</f>
        <v>10:3</v>
      </c>
      <c r="Z111" s="4" t="str">
        <f>IFERROR(IF(Schedules[[#This Row],[Scheduled]]="OFF","",RIGHT(VLOOKUP(Schedules[[#This Row],[EE ID]],TeamList[],MATCH(Schedules[[#This Row],[DOW]],TeamList[#Headers],0),0),4)),"_NO MATCH")</f>
        <v>9:00</v>
      </c>
    </row>
    <row r="112" spans="19:26" x14ac:dyDescent="0.25">
      <c r="S112" s="209">
        <v>1515829</v>
      </c>
      <c r="T112" s="209" t="str">
        <f>Schedules[[#This Row],[Employee Name]]&amp;Schedules[[#This Row],[DOW]]</f>
        <v>Qualman, SophyThu</v>
      </c>
      <c r="U112" s="4" t="str">
        <f>IFERROR(VLOOKUP(Schedules[[#This Row],[EE ID]],TeamList[],MATCH(Schedules[[#Headers],[Employee Name]],TeamList[#Headers],0),0),"_NO MATCH")</f>
        <v>Qualman, Sophy</v>
      </c>
      <c r="V112" s="4" t="str">
        <f>IFERROR(VLOOKUP(Schedules[[#This Row],[EE ID]],TeamList[],MATCH(Schedules[[#Headers],[Dept]],TeamList[#Headers],0),0),"_NO MATCH")</f>
        <v>Lead Billing</v>
      </c>
      <c r="W112" s="286" t="s">
        <v>10</v>
      </c>
      <c r="X112" s="4" t="str">
        <f>IFERROR(IF(VLOOKUP(Schedules[[#This Row],[EE ID]],TeamList[],MATCH(Schedules[[#This Row],[DOW]],TeamList[#Headers],0),0)="OFF","OFF","SCH"),"_NO MATCH")</f>
        <v>SCH</v>
      </c>
      <c r="Y112" s="4" t="str">
        <f>IFERROR(IF(Schedules[[#This Row],[Scheduled]]="OFF","",LEFT(VLOOKUP(Schedules[[#This Row],[EE ID]],TeamList[],MATCH(Schedules[[#This Row],[DOW]],TeamList[#Headers],0),0),4)),"_NO MATCH")</f>
        <v>10:3</v>
      </c>
      <c r="Z112" s="4" t="str">
        <f>IFERROR(IF(Schedules[[#This Row],[Scheduled]]="OFF","",RIGHT(VLOOKUP(Schedules[[#This Row],[EE ID]],TeamList[],MATCH(Schedules[[#This Row],[DOW]],TeamList[#Headers],0),0),4)),"_NO MATCH")</f>
        <v>9:00</v>
      </c>
    </row>
    <row r="113" spans="19:26" x14ac:dyDescent="0.25">
      <c r="S113" s="209">
        <v>1515829</v>
      </c>
      <c r="T113" s="209" t="str">
        <f>Schedules[[#This Row],[Employee Name]]&amp;Schedules[[#This Row],[DOW]]</f>
        <v>Qualman, SophySun</v>
      </c>
      <c r="U113" s="4" t="str">
        <f>IFERROR(VLOOKUP(Schedules[[#This Row],[EE ID]],TeamList[],MATCH(Schedules[[#Headers],[Employee Name]],TeamList[#Headers],0),0),"_NO MATCH")</f>
        <v>Qualman, Sophy</v>
      </c>
      <c r="V113" s="4" t="str">
        <f>IFERROR(VLOOKUP(Schedules[[#This Row],[EE ID]],TeamList[],MATCH(Schedules[[#Headers],[Dept]],TeamList[#Headers],0),0),"_NO MATCH")</f>
        <v>Lead Billing</v>
      </c>
      <c r="W113" s="287" t="s">
        <v>6</v>
      </c>
      <c r="X113" s="219" t="str">
        <f>IFERROR(IF(VLOOKUP(Schedules[[#This Row],[EE ID]],TeamList[],MATCH(Schedules[[#This Row],[DOW]],TeamList[#Headers],0),0)="OFF","OFF","SCH"),"_NO MATCH")</f>
        <v>OFF</v>
      </c>
      <c r="Y113" s="219" t="str">
        <f>IFERROR(IF(Schedules[[#This Row],[Scheduled]]="OFF","",LEFT(VLOOKUP(Schedules[[#This Row],[EE ID]],TeamList[],MATCH(Schedules[[#This Row],[DOW]],TeamList[#Headers],0),0),4)),"_NO MATCH")</f>
        <v/>
      </c>
      <c r="Z113" s="219" t="str">
        <f>IFERROR(IF(Schedules[[#This Row],[Scheduled]]="OFF","",RIGHT(VLOOKUP(Schedules[[#This Row],[EE ID]],TeamList[],MATCH(Schedules[[#This Row],[DOW]],TeamList[#Headers],0),0),4)),"_NO MATCH")</f>
        <v/>
      </c>
    </row>
    <row r="114" spans="19:26" x14ac:dyDescent="0.25">
      <c r="S114" s="209">
        <v>1515829</v>
      </c>
      <c r="T114" s="209" t="str">
        <f>Schedules[[#This Row],[Employee Name]]&amp;Schedules[[#This Row],[DOW]]</f>
        <v>Qualman, SophySat</v>
      </c>
      <c r="U114" s="4" t="str">
        <f>IFERROR(VLOOKUP(Schedules[[#This Row],[EE ID]],TeamList[],MATCH(Schedules[[#Headers],[Employee Name]],TeamList[#Headers],0),0),"_NO MATCH")</f>
        <v>Qualman, Sophy</v>
      </c>
      <c r="V114" s="4" t="str">
        <f>IFERROR(VLOOKUP(Schedules[[#This Row],[EE ID]],TeamList[],MATCH(Schedules[[#Headers],[Dept]],TeamList[#Headers],0),0),"_NO MATCH")</f>
        <v>Lead Billing</v>
      </c>
      <c r="W114" s="286" t="s">
        <v>12</v>
      </c>
      <c r="X114" s="4" t="str">
        <f>IFERROR(IF(VLOOKUP(Schedules[[#This Row],[EE ID]],TeamList[],MATCH(Schedules[[#This Row],[DOW]],TeamList[#Headers],0),0)="OFF","OFF","SCH"),"_NO MATCH")</f>
        <v>OFF</v>
      </c>
      <c r="Y114" s="4" t="str">
        <f>IFERROR(IF(Schedules[[#This Row],[Scheduled]]="OFF","",LEFT(VLOOKUP(Schedules[[#This Row],[EE ID]],TeamList[],MATCH(Schedules[[#This Row],[DOW]],TeamList[#Headers],0),0),4)),"_NO MATCH")</f>
        <v/>
      </c>
      <c r="Z114" s="4" t="str">
        <f>IFERROR(IF(Schedules[[#This Row],[Scheduled]]="OFF","",RIGHT(VLOOKUP(Schedules[[#This Row],[EE ID]],TeamList[],MATCH(Schedules[[#This Row],[DOW]],TeamList[#Headers],0),0),4)),"_NO MATCH")</f>
        <v/>
      </c>
    </row>
    <row r="115" spans="19:26" x14ac:dyDescent="0.25">
      <c r="S115" s="209">
        <v>1515829</v>
      </c>
      <c r="T115" s="209" t="str">
        <f>Schedules[[#This Row],[Employee Name]]&amp;Schedules[[#This Row],[DOW]]</f>
        <v>Qualman, SophyMon</v>
      </c>
      <c r="U115" s="4" t="str">
        <f>IFERROR(VLOOKUP(Schedules[[#This Row],[EE ID]],TeamList[],MATCH(Schedules[[#Headers],[Employee Name]],TeamList[#Headers],0),0),"_NO MATCH")</f>
        <v>Qualman, Sophy</v>
      </c>
      <c r="V115" s="4" t="str">
        <f>IFERROR(VLOOKUP(Schedules[[#This Row],[EE ID]],TeamList[],MATCH(Schedules[[#Headers],[Dept]],TeamList[#Headers],0),0),"_NO MATCH")</f>
        <v>Lead Billing</v>
      </c>
      <c r="W115" s="286" t="s">
        <v>7</v>
      </c>
      <c r="X115" s="4" t="str">
        <f>IFERROR(IF(VLOOKUP(Schedules[[#This Row],[EE ID]],TeamList[],MATCH(Schedules[[#This Row],[DOW]],TeamList[#Headers],0),0)="OFF","OFF","SCH"),"_NO MATCH")</f>
        <v>SCH</v>
      </c>
      <c r="Y115" s="4" t="str">
        <f>IFERROR(IF(Schedules[[#This Row],[Scheduled]]="OFF","",LEFT(VLOOKUP(Schedules[[#This Row],[EE ID]],TeamList[],MATCH(Schedules[[#This Row],[DOW]],TeamList[#Headers],0),0),4)),"_NO MATCH")</f>
        <v>10:3</v>
      </c>
      <c r="Z115" s="4" t="str">
        <f>IFERROR(IF(Schedules[[#This Row],[Scheduled]]="OFF","",RIGHT(VLOOKUP(Schedules[[#This Row],[EE ID]],TeamList[],MATCH(Schedules[[#This Row],[DOW]],TeamList[#Headers],0),0),4)),"_NO MATCH")</f>
        <v>9:00</v>
      </c>
    </row>
    <row r="116" spans="19:26" x14ac:dyDescent="0.25">
      <c r="S116" s="209">
        <v>1515829</v>
      </c>
      <c r="T116" s="209" t="str">
        <f>Schedules[[#This Row],[Employee Name]]&amp;Schedules[[#This Row],[DOW]]</f>
        <v>Qualman, SophyFri</v>
      </c>
      <c r="U116" s="4" t="str">
        <f>IFERROR(VLOOKUP(Schedules[[#This Row],[EE ID]],TeamList[],MATCH(Schedules[[#Headers],[Employee Name]],TeamList[#Headers],0),0),"_NO MATCH")</f>
        <v>Qualman, Sophy</v>
      </c>
      <c r="V116" s="4" t="str">
        <f>IFERROR(VLOOKUP(Schedules[[#This Row],[EE ID]],TeamList[],MATCH(Schedules[[#Headers],[Dept]],TeamList[#Headers],0),0),"_NO MATCH")</f>
        <v>Lead Billing</v>
      </c>
      <c r="W116" s="286" t="s">
        <v>11</v>
      </c>
      <c r="X116" s="4" t="str">
        <f>IFERROR(IF(VLOOKUP(Schedules[[#This Row],[EE ID]],TeamList[],MATCH(Schedules[[#This Row],[DOW]],TeamList[#Headers],0),0)="OFF","OFF","SCH"),"_NO MATCH")</f>
        <v>SCH</v>
      </c>
      <c r="Y116" s="4" t="str">
        <f>IFERROR(IF(Schedules[[#This Row],[Scheduled]]="OFF","",LEFT(VLOOKUP(Schedules[[#This Row],[EE ID]],TeamList[],MATCH(Schedules[[#This Row],[DOW]],TeamList[#Headers],0),0),4)),"_NO MATCH")</f>
        <v>10:3</v>
      </c>
      <c r="Z116" s="4" t="str">
        <f>IFERROR(IF(Schedules[[#This Row],[Scheduled]]="OFF","",RIGHT(VLOOKUP(Schedules[[#This Row],[EE ID]],TeamList[],MATCH(Schedules[[#This Row],[DOW]],TeamList[#Headers],0),0),4)),"_NO MATCH")</f>
        <v>9:00</v>
      </c>
    </row>
    <row r="117" spans="19:26" x14ac:dyDescent="0.25">
      <c r="S117" s="209">
        <v>1515518</v>
      </c>
      <c r="T117" s="209" t="str">
        <f>Schedules[[#This Row],[Employee Name]]&amp;Schedules[[#This Row],[DOW]]</f>
        <v>Paulson, MatthewWed</v>
      </c>
      <c r="U117" s="4" t="str">
        <f>IFERROR(VLOOKUP(Schedules[[#This Row],[EE ID]],TeamList[],MATCH(Schedules[[#Headers],[Employee Name]],TeamList[#Headers],0),0),"_NO MATCH")</f>
        <v>Paulson, Matthew</v>
      </c>
      <c r="V117" s="4" t="str">
        <f>IFERROR(VLOOKUP(Schedules[[#This Row],[EE ID]],TeamList[],MATCH(Schedules[[#Headers],[Dept]],TeamList[#Headers],0),0),"_NO MATCH")</f>
        <v>Mgr, Customer Service</v>
      </c>
      <c r="W117" s="286" t="s">
        <v>9</v>
      </c>
      <c r="X117" s="4" t="str">
        <f>IFERROR(IF(VLOOKUP(Schedules[[#This Row],[EE ID]],TeamList[],MATCH(Schedules[[#This Row],[DOW]],TeamList[#Headers],0),0)="OFF","OFF","SCH"),"_NO MATCH")</f>
        <v>SCH</v>
      </c>
      <c r="Y117" s="4" t="str">
        <f>IFERROR(IF(Schedules[[#This Row],[Scheduled]]="OFF","",LEFT(VLOOKUP(Schedules[[#This Row],[EE ID]],TeamList[],MATCH(Schedules[[#This Row],[DOW]],TeamList[#Headers],0),0),4)),"_NO MATCH")</f>
        <v>10:0</v>
      </c>
      <c r="Z117" s="4" t="str">
        <f>IFERROR(IF(Schedules[[#This Row],[Scheduled]]="OFF","",RIGHT(VLOOKUP(Schedules[[#This Row],[EE ID]],TeamList[],MATCH(Schedules[[#This Row],[DOW]],TeamList[#Headers],0),0),4)),"_NO MATCH")</f>
        <v>9:00</v>
      </c>
    </row>
    <row r="118" spans="19:26" x14ac:dyDescent="0.25">
      <c r="S118" s="209">
        <v>1515518</v>
      </c>
      <c r="T118" s="209" t="str">
        <f>Schedules[[#This Row],[Employee Name]]&amp;Schedules[[#This Row],[DOW]]</f>
        <v>Paulson, MatthewTue</v>
      </c>
      <c r="U118" s="4" t="str">
        <f>IFERROR(VLOOKUP(Schedules[[#This Row],[EE ID]],TeamList[],MATCH(Schedules[[#Headers],[Employee Name]],TeamList[#Headers],0),0),"_NO MATCH")</f>
        <v>Paulson, Matthew</v>
      </c>
      <c r="V118" s="4" t="str">
        <f>IFERROR(VLOOKUP(Schedules[[#This Row],[EE ID]],TeamList[],MATCH(Schedules[[#Headers],[Dept]],TeamList[#Headers],0),0),"_NO MATCH")</f>
        <v>Mgr, Customer Service</v>
      </c>
      <c r="W118" s="286" t="s">
        <v>8</v>
      </c>
      <c r="X118" s="4" t="str">
        <f>IFERROR(IF(VLOOKUP(Schedules[[#This Row],[EE ID]],TeamList[],MATCH(Schedules[[#This Row],[DOW]],TeamList[#Headers],0),0)="OFF","OFF","SCH"),"_NO MATCH")</f>
        <v>SCH</v>
      </c>
      <c r="Y118" s="4" t="str">
        <f>IFERROR(IF(Schedules[[#This Row],[Scheduled]]="OFF","",LEFT(VLOOKUP(Schedules[[#This Row],[EE ID]],TeamList[],MATCH(Schedules[[#This Row],[DOW]],TeamList[#Headers],0),0),4)),"_NO MATCH")</f>
        <v>10:0</v>
      </c>
      <c r="Z118" s="4" t="str">
        <f>IFERROR(IF(Schedules[[#This Row],[Scheduled]]="OFF","",RIGHT(VLOOKUP(Schedules[[#This Row],[EE ID]],TeamList[],MATCH(Schedules[[#This Row],[DOW]],TeamList[#Headers],0),0),4)),"_NO MATCH")</f>
        <v>9:00</v>
      </c>
    </row>
    <row r="119" spans="19:26" x14ac:dyDescent="0.25">
      <c r="S119" s="209">
        <v>1515518</v>
      </c>
      <c r="T119" s="209" t="str">
        <f>Schedules[[#This Row],[Employee Name]]&amp;Schedules[[#This Row],[DOW]]</f>
        <v>Paulson, MatthewThu</v>
      </c>
      <c r="U119" s="4" t="str">
        <f>IFERROR(VLOOKUP(Schedules[[#This Row],[EE ID]],TeamList[],MATCH(Schedules[[#Headers],[Employee Name]],TeamList[#Headers],0),0),"_NO MATCH")</f>
        <v>Paulson, Matthew</v>
      </c>
      <c r="V119" s="4" t="str">
        <f>IFERROR(VLOOKUP(Schedules[[#This Row],[EE ID]],TeamList[],MATCH(Schedules[[#Headers],[Dept]],TeamList[#Headers],0),0),"_NO MATCH")</f>
        <v>Mgr, Customer Service</v>
      </c>
      <c r="W119" s="286" t="s">
        <v>10</v>
      </c>
      <c r="X119" s="4" t="str">
        <f>IFERROR(IF(VLOOKUP(Schedules[[#This Row],[EE ID]],TeamList[],MATCH(Schedules[[#This Row],[DOW]],TeamList[#Headers],0),0)="OFF","OFF","SCH"),"_NO MATCH")</f>
        <v>SCH</v>
      </c>
      <c r="Y119" s="4" t="str">
        <f>IFERROR(IF(Schedules[[#This Row],[Scheduled]]="OFF","",LEFT(VLOOKUP(Schedules[[#This Row],[EE ID]],TeamList[],MATCH(Schedules[[#This Row],[DOW]],TeamList[#Headers],0),0),4)),"_NO MATCH")</f>
        <v>10:0</v>
      </c>
      <c r="Z119" s="4" t="str">
        <f>IFERROR(IF(Schedules[[#This Row],[Scheduled]]="OFF","",RIGHT(VLOOKUP(Schedules[[#This Row],[EE ID]],TeamList[],MATCH(Schedules[[#This Row],[DOW]],TeamList[#Headers],0),0),4)),"_NO MATCH")</f>
        <v>9:00</v>
      </c>
    </row>
    <row r="120" spans="19:26" x14ac:dyDescent="0.25">
      <c r="S120" s="198">
        <v>1515518</v>
      </c>
      <c r="T120" s="209" t="str">
        <f>Schedules[[#This Row],[Employee Name]]&amp;Schedules[[#This Row],[DOW]]</f>
        <v>Paulson, MatthewSun</v>
      </c>
      <c r="U120" s="4" t="str">
        <f>IFERROR(VLOOKUP(Schedules[[#This Row],[EE ID]],TeamList[],MATCH(Schedules[[#Headers],[Employee Name]],TeamList[#Headers],0),0),"_NO MATCH")</f>
        <v>Paulson, Matthew</v>
      </c>
      <c r="V120" s="4" t="str">
        <f>IFERROR(VLOOKUP(Schedules[[#This Row],[EE ID]],TeamList[],MATCH(Schedules[[#Headers],[Dept]],TeamList[#Headers],0),0),"_NO MATCH")</f>
        <v>Mgr, Customer Service</v>
      </c>
      <c r="W120" s="287" t="s">
        <v>6</v>
      </c>
      <c r="X120" s="4" t="str">
        <f>IFERROR(IF(VLOOKUP(Schedules[[#This Row],[EE ID]],TeamList[],MATCH(Schedules[[#This Row],[DOW]],TeamList[#Headers],0),0)="OFF","OFF","SCH"),"_NO MATCH")</f>
        <v>OFF</v>
      </c>
      <c r="Y120" s="4" t="str">
        <f>IFERROR(IF(Schedules[[#This Row],[Scheduled]]="OFF","",LEFT(VLOOKUP(Schedules[[#This Row],[EE ID]],TeamList[],MATCH(Schedules[[#This Row],[DOW]],TeamList[#Headers],0),0),4)),"_NO MATCH")</f>
        <v/>
      </c>
      <c r="Z120" s="4" t="str">
        <f>IFERROR(IF(Schedules[[#This Row],[Scheduled]]="OFF","",RIGHT(VLOOKUP(Schedules[[#This Row],[EE ID]],TeamList[],MATCH(Schedules[[#This Row],[DOW]],TeamList[#Headers],0),0),4)),"_NO MATCH")</f>
        <v/>
      </c>
    </row>
    <row r="121" spans="19:26" x14ac:dyDescent="0.25">
      <c r="S121" s="209">
        <v>1515518</v>
      </c>
      <c r="T121" s="209" t="str">
        <f>Schedules[[#This Row],[Employee Name]]&amp;Schedules[[#This Row],[DOW]]</f>
        <v>Paulson, MatthewSat</v>
      </c>
      <c r="U121" s="4" t="str">
        <f>IFERROR(VLOOKUP(Schedules[[#This Row],[EE ID]],TeamList[],MATCH(Schedules[[#Headers],[Employee Name]],TeamList[#Headers],0),0),"_NO MATCH")</f>
        <v>Paulson, Matthew</v>
      </c>
      <c r="V121" s="4" t="str">
        <f>IFERROR(VLOOKUP(Schedules[[#This Row],[EE ID]],TeamList[],MATCH(Schedules[[#Headers],[Dept]],TeamList[#Headers],0),0),"_NO MATCH")</f>
        <v>Mgr, Customer Service</v>
      </c>
      <c r="W121" s="286" t="s">
        <v>12</v>
      </c>
      <c r="X121" s="4" t="str">
        <f>IFERROR(IF(VLOOKUP(Schedules[[#This Row],[EE ID]],TeamList[],MATCH(Schedules[[#This Row],[DOW]],TeamList[#Headers],0),0)="OFF","OFF","SCH"),"_NO MATCH")</f>
        <v>OFF</v>
      </c>
      <c r="Y121" s="4" t="str">
        <f>IFERROR(IF(Schedules[[#This Row],[Scheduled]]="OFF","",LEFT(VLOOKUP(Schedules[[#This Row],[EE ID]],TeamList[],MATCH(Schedules[[#This Row],[DOW]],TeamList[#Headers],0),0),4)),"_NO MATCH")</f>
        <v/>
      </c>
      <c r="Z121" s="4" t="str">
        <f>IFERROR(IF(Schedules[[#This Row],[Scheduled]]="OFF","",RIGHT(VLOOKUP(Schedules[[#This Row],[EE ID]],TeamList[],MATCH(Schedules[[#This Row],[DOW]],TeamList[#Headers],0),0),4)),"_NO MATCH")</f>
        <v/>
      </c>
    </row>
    <row r="122" spans="19:26" x14ac:dyDescent="0.25">
      <c r="S122" s="209">
        <v>1515518</v>
      </c>
      <c r="T122" s="209" t="str">
        <f>Schedules[[#This Row],[Employee Name]]&amp;Schedules[[#This Row],[DOW]]</f>
        <v>Paulson, MatthewMon</v>
      </c>
      <c r="U122" s="4" t="str">
        <f>IFERROR(VLOOKUP(Schedules[[#This Row],[EE ID]],TeamList[],MATCH(Schedules[[#Headers],[Employee Name]],TeamList[#Headers],0),0),"_NO MATCH")</f>
        <v>Paulson, Matthew</v>
      </c>
      <c r="V122" s="4" t="str">
        <f>IFERROR(VLOOKUP(Schedules[[#This Row],[EE ID]],TeamList[],MATCH(Schedules[[#Headers],[Dept]],TeamList[#Headers],0),0),"_NO MATCH")</f>
        <v>Mgr, Customer Service</v>
      </c>
      <c r="W122" s="286" t="s">
        <v>7</v>
      </c>
      <c r="X122" s="4" t="str">
        <f>IFERROR(IF(VLOOKUP(Schedules[[#This Row],[EE ID]],TeamList[],MATCH(Schedules[[#This Row],[DOW]],TeamList[#Headers],0),0)="OFF","OFF","SCH"),"_NO MATCH")</f>
        <v>SCH</v>
      </c>
      <c r="Y122" s="4" t="str">
        <f>IFERROR(IF(Schedules[[#This Row],[Scheduled]]="OFF","",LEFT(VLOOKUP(Schedules[[#This Row],[EE ID]],TeamList[],MATCH(Schedules[[#This Row],[DOW]],TeamList[#Headers],0),0),4)),"_NO MATCH")</f>
        <v>10:0</v>
      </c>
      <c r="Z122" s="4" t="str">
        <f>IFERROR(IF(Schedules[[#This Row],[Scheduled]]="OFF","",RIGHT(VLOOKUP(Schedules[[#This Row],[EE ID]],TeamList[],MATCH(Schedules[[#This Row],[DOW]],TeamList[#Headers],0),0),4)),"_NO MATCH")</f>
        <v>9:00</v>
      </c>
    </row>
    <row r="123" spans="19:26" x14ac:dyDescent="0.25">
      <c r="S123" s="209">
        <v>1515518</v>
      </c>
      <c r="T123" s="209" t="str">
        <f>Schedules[[#This Row],[Employee Name]]&amp;Schedules[[#This Row],[DOW]]</f>
        <v>Paulson, MatthewFri</v>
      </c>
      <c r="U123" s="4" t="str">
        <f>IFERROR(VLOOKUP(Schedules[[#This Row],[EE ID]],TeamList[],MATCH(Schedules[[#Headers],[Employee Name]],TeamList[#Headers],0),0),"_NO MATCH")</f>
        <v>Paulson, Matthew</v>
      </c>
      <c r="V123" s="4" t="str">
        <f>IFERROR(VLOOKUP(Schedules[[#This Row],[EE ID]],TeamList[],MATCH(Schedules[[#Headers],[Dept]],TeamList[#Headers],0),0),"_NO MATCH")</f>
        <v>Mgr, Customer Service</v>
      </c>
      <c r="W123" s="286" t="s">
        <v>11</v>
      </c>
      <c r="X123" s="4" t="str">
        <f>IFERROR(IF(VLOOKUP(Schedules[[#This Row],[EE ID]],TeamList[],MATCH(Schedules[[#This Row],[DOW]],TeamList[#Headers],0),0)="OFF","OFF","SCH"),"_NO MATCH")</f>
        <v>SCH</v>
      </c>
      <c r="Y123" s="4" t="str">
        <f>IFERROR(IF(Schedules[[#This Row],[Scheduled]]="OFF","",LEFT(VLOOKUP(Schedules[[#This Row],[EE ID]],TeamList[],MATCH(Schedules[[#This Row],[DOW]],TeamList[#Headers],0),0),4)),"_NO MATCH")</f>
        <v>10:0</v>
      </c>
      <c r="Z123" s="4" t="str">
        <f>IFERROR(IF(Schedules[[#This Row],[Scheduled]]="OFF","",RIGHT(VLOOKUP(Schedules[[#This Row],[EE ID]],TeamList[],MATCH(Schedules[[#This Row],[DOW]],TeamList[#Headers],0),0),4)),"_NO MATCH")</f>
        <v>9:00</v>
      </c>
    </row>
    <row r="124" spans="19:26" x14ac:dyDescent="0.25">
      <c r="S124" s="209">
        <v>1510769</v>
      </c>
      <c r="T124" s="209" t="str">
        <f>Schedules[[#This Row],[Employee Name]]&amp;Schedules[[#This Row],[DOW]]</f>
        <v>Parkin-Rego, KimberleeWed</v>
      </c>
      <c r="U124" s="4" t="str">
        <f>IFERROR(VLOOKUP(Schedules[[#This Row],[EE ID]],TeamList[],MATCH(Schedules[[#Headers],[Employee Name]],TeamList[#Headers],0),0),"_NO MATCH")</f>
        <v>Parkin-Rego, Kimberlee</v>
      </c>
      <c r="V124" s="4" t="str">
        <f>IFERROR(VLOOKUP(Schedules[[#This Row],[EE ID]],TeamList[],MATCH(Schedules[[#Headers],[Dept]],TeamList[#Headers],0),0),"_NO MATCH")</f>
        <v>Sup, Customer Service</v>
      </c>
      <c r="W124" s="286" t="s">
        <v>9</v>
      </c>
      <c r="X124" s="4" t="str">
        <f>IFERROR(IF(VLOOKUP(Schedules[[#This Row],[EE ID]],TeamList[],MATCH(Schedules[[#This Row],[DOW]],TeamList[#Headers],0),0)="OFF","OFF","SCH"),"_NO MATCH")</f>
        <v>SCH</v>
      </c>
      <c r="Y124" s="4" t="str">
        <f>IFERROR(IF(Schedules[[#This Row],[Scheduled]]="OFF","",LEFT(VLOOKUP(Schedules[[#This Row],[EE ID]],TeamList[],MATCH(Schedules[[#This Row],[DOW]],TeamList[#Headers],0),0),4)),"_NO MATCH")</f>
        <v>06:0</v>
      </c>
      <c r="Z124" s="4" t="str">
        <f>IFERROR(IF(Schedules[[#This Row],[Scheduled]]="OFF","",RIGHT(VLOOKUP(Schedules[[#This Row],[EE ID]],TeamList[],MATCH(Schedules[[#This Row],[DOW]],TeamList[#Headers],0),0),4)),"_NO MATCH")</f>
        <v>5:00</v>
      </c>
    </row>
    <row r="125" spans="19:26" x14ac:dyDescent="0.25">
      <c r="S125" s="209">
        <v>1510769</v>
      </c>
      <c r="T125" s="209" t="str">
        <f>Schedules[[#This Row],[Employee Name]]&amp;Schedules[[#This Row],[DOW]]</f>
        <v>Parkin-Rego, KimberleeTue</v>
      </c>
      <c r="U125" s="4" t="str">
        <f>IFERROR(VLOOKUP(Schedules[[#This Row],[EE ID]],TeamList[],MATCH(Schedules[[#Headers],[Employee Name]],TeamList[#Headers],0),0),"_NO MATCH")</f>
        <v>Parkin-Rego, Kimberlee</v>
      </c>
      <c r="V125" s="4" t="str">
        <f>IFERROR(VLOOKUP(Schedules[[#This Row],[EE ID]],TeamList[],MATCH(Schedules[[#Headers],[Dept]],TeamList[#Headers],0),0),"_NO MATCH")</f>
        <v>Sup, Customer Service</v>
      </c>
      <c r="W125" s="286" t="s">
        <v>8</v>
      </c>
      <c r="X125" s="4" t="str">
        <f>IFERROR(IF(VLOOKUP(Schedules[[#This Row],[EE ID]],TeamList[],MATCH(Schedules[[#This Row],[DOW]],TeamList[#Headers],0),0)="OFF","OFF","SCH"),"_NO MATCH")</f>
        <v>SCH</v>
      </c>
      <c r="Y125" s="4" t="str">
        <f>IFERROR(IF(Schedules[[#This Row],[Scheduled]]="OFF","",LEFT(VLOOKUP(Schedules[[#This Row],[EE ID]],TeamList[],MATCH(Schedules[[#This Row],[DOW]],TeamList[#Headers],0),0),4)),"_NO MATCH")</f>
        <v>06:0</v>
      </c>
      <c r="Z125" s="4" t="str">
        <f>IFERROR(IF(Schedules[[#This Row],[Scheduled]]="OFF","",RIGHT(VLOOKUP(Schedules[[#This Row],[EE ID]],TeamList[],MATCH(Schedules[[#This Row],[DOW]],TeamList[#Headers],0),0),4)),"_NO MATCH")</f>
        <v>5:00</v>
      </c>
    </row>
    <row r="126" spans="19:26" x14ac:dyDescent="0.25">
      <c r="S126" s="209">
        <v>1510769</v>
      </c>
      <c r="T126" s="209" t="str">
        <f>Schedules[[#This Row],[Employee Name]]&amp;Schedules[[#This Row],[DOW]]</f>
        <v>Parkin-Rego, KimberleeThu</v>
      </c>
      <c r="U126" s="4" t="str">
        <f>IFERROR(VLOOKUP(Schedules[[#This Row],[EE ID]],TeamList[],MATCH(Schedules[[#Headers],[Employee Name]],TeamList[#Headers],0),0),"_NO MATCH")</f>
        <v>Parkin-Rego, Kimberlee</v>
      </c>
      <c r="V126" s="4" t="str">
        <f>IFERROR(VLOOKUP(Schedules[[#This Row],[EE ID]],TeamList[],MATCH(Schedules[[#Headers],[Dept]],TeamList[#Headers],0),0),"_NO MATCH")</f>
        <v>Sup, Customer Service</v>
      </c>
      <c r="W126" s="286" t="s">
        <v>10</v>
      </c>
      <c r="X126" s="4" t="str">
        <f>IFERROR(IF(VLOOKUP(Schedules[[#This Row],[EE ID]],TeamList[],MATCH(Schedules[[#This Row],[DOW]],TeamList[#Headers],0),0)="OFF","OFF","SCH"),"_NO MATCH")</f>
        <v>SCH</v>
      </c>
      <c r="Y126" s="4" t="str">
        <f>IFERROR(IF(Schedules[[#This Row],[Scheduled]]="OFF","",LEFT(VLOOKUP(Schedules[[#This Row],[EE ID]],TeamList[],MATCH(Schedules[[#This Row],[DOW]],TeamList[#Headers],0),0),4)),"_NO MATCH")</f>
        <v>06:0</v>
      </c>
      <c r="Z126" s="4" t="str">
        <f>IFERROR(IF(Schedules[[#This Row],[Scheduled]]="OFF","",RIGHT(VLOOKUP(Schedules[[#This Row],[EE ID]],TeamList[],MATCH(Schedules[[#This Row],[DOW]],TeamList[#Headers],0),0),4)),"_NO MATCH")</f>
        <v>5:00</v>
      </c>
    </row>
    <row r="127" spans="19:26" x14ac:dyDescent="0.25">
      <c r="S127" s="209">
        <v>1510769</v>
      </c>
      <c r="T127" s="209" t="str">
        <f>Schedules[[#This Row],[Employee Name]]&amp;Schedules[[#This Row],[DOW]]</f>
        <v>Parkin-Rego, KimberleeSun</v>
      </c>
      <c r="U127" s="4" t="str">
        <f>IFERROR(VLOOKUP(Schedules[[#This Row],[EE ID]],TeamList[],MATCH(Schedules[[#Headers],[Employee Name]],TeamList[#Headers],0),0),"_NO MATCH")</f>
        <v>Parkin-Rego, Kimberlee</v>
      </c>
      <c r="V127" s="4" t="str">
        <f>IFERROR(VLOOKUP(Schedules[[#This Row],[EE ID]],TeamList[],MATCH(Schedules[[#Headers],[Dept]],TeamList[#Headers],0),0),"_NO MATCH")</f>
        <v>Sup, Customer Service</v>
      </c>
      <c r="W127" s="287" t="s">
        <v>6</v>
      </c>
      <c r="X127" s="219" t="str">
        <f>IFERROR(IF(VLOOKUP(Schedules[[#This Row],[EE ID]],TeamList[],MATCH(Schedules[[#This Row],[DOW]],TeamList[#Headers],0),0)="OFF","OFF","SCH"),"_NO MATCH")</f>
        <v>OFF</v>
      </c>
      <c r="Y127" s="219" t="str">
        <f>IFERROR(IF(Schedules[[#This Row],[Scheduled]]="OFF","",LEFT(VLOOKUP(Schedules[[#This Row],[EE ID]],TeamList[],MATCH(Schedules[[#This Row],[DOW]],TeamList[#Headers],0),0),4)),"_NO MATCH")</f>
        <v/>
      </c>
      <c r="Z127" s="219" t="str">
        <f>IFERROR(IF(Schedules[[#This Row],[Scheduled]]="OFF","",RIGHT(VLOOKUP(Schedules[[#This Row],[EE ID]],TeamList[],MATCH(Schedules[[#This Row],[DOW]],TeamList[#Headers],0),0),4)),"_NO MATCH")</f>
        <v/>
      </c>
    </row>
    <row r="128" spans="19:26" x14ac:dyDescent="0.25">
      <c r="S128" s="209">
        <v>1510769</v>
      </c>
      <c r="T128" s="209" t="str">
        <f>Schedules[[#This Row],[Employee Name]]&amp;Schedules[[#This Row],[DOW]]</f>
        <v>Parkin-Rego, KimberleeSat</v>
      </c>
      <c r="U128" s="4" t="str">
        <f>IFERROR(VLOOKUP(Schedules[[#This Row],[EE ID]],TeamList[],MATCH(Schedules[[#Headers],[Employee Name]],TeamList[#Headers],0),0),"_NO MATCH")</f>
        <v>Parkin-Rego, Kimberlee</v>
      </c>
      <c r="V128" s="4" t="str">
        <f>IFERROR(VLOOKUP(Schedules[[#This Row],[EE ID]],TeamList[],MATCH(Schedules[[#Headers],[Dept]],TeamList[#Headers],0),0),"_NO MATCH")</f>
        <v>Sup, Customer Service</v>
      </c>
      <c r="W128" s="286" t="s">
        <v>12</v>
      </c>
      <c r="X128" s="4" t="str">
        <f>IFERROR(IF(VLOOKUP(Schedules[[#This Row],[EE ID]],TeamList[],MATCH(Schedules[[#This Row],[DOW]],TeamList[#Headers],0),0)="OFF","OFF","SCH"),"_NO MATCH")</f>
        <v>OFF</v>
      </c>
      <c r="Y128" s="4" t="str">
        <f>IFERROR(IF(Schedules[[#This Row],[Scheduled]]="OFF","",LEFT(VLOOKUP(Schedules[[#This Row],[EE ID]],TeamList[],MATCH(Schedules[[#This Row],[DOW]],TeamList[#Headers],0),0),4)),"_NO MATCH")</f>
        <v/>
      </c>
      <c r="Z128" s="4" t="str">
        <f>IFERROR(IF(Schedules[[#This Row],[Scheduled]]="OFF","",RIGHT(VLOOKUP(Schedules[[#This Row],[EE ID]],TeamList[],MATCH(Schedules[[#This Row],[DOW]],TeamList[#Headers],0),0),4)),"_NO MATCH")</f>
        <v/>
      </c>
    </row>
    <row r="129" spans="19:26" x14ac:dyDescent="0.25">
      <c r="S129" s="209">
        <v>1510769</v>
      </c>
      <c r="T129" s="209" t="str">
        <f>Schedules[[#This Row],[Employee Name]]&amp;Schedules[[#This Row],[DOW]]</f>
        <v>Parkin-Rego, KimberleeMon</v>
      </c>
      <c r="U129" s="4" t="str">
        <f>IFERROR(VLOOKUP(Schedules[[#This Row],[EE ID]],TeamList[],MATCH(Schedules[[#Headers],[Employee Name]],TeamList[#Headers],0),0),"_NO MATCH")</f>
        <v>Parkin-Rego, Kimberlee</v>
      </c>
      <c r="V129" s="4" t="str">
        <f>IFERROR(VLOOKUP(Schedules[[#This Row],[EE ID]],TeamList[],MATCH(Schedules[[#Headers],[Dept]],TeamList[#Headers],0),0),"_NO MATCH")</f>
        <v>Sup, Customer Service</v>
      </c>
      <c r="W129" s="286" t="s">
        <v>7</v>
      </c>
      <c r="X129" s="4" t="str">
        <f>IFERROR(IF(VLOOKUP(Schedules[[#This Row],[EE ID]],TeamList[],MATCH(Schedules[[#This Row],[DOW]],TeamList[#Headers],0),0)="OFF","OFF","SCH"),"_NO MATCH")</f>
        <v>SCH</v>
      </c>
      <c r="Y129" s="4" t="str">
        <f>IFERROR(IF(Schedules[[#This Row],[Scheduled]]="OFF","",LEFT(VLOOKUP(Schedules[[#This Row],[EE ID]],TeamList[],MATCH(Schedules[[#This Row],[DOW]],TeamList[#Headers],0),0),4)),"_NO MATCH")</f>
        <v>06:0</v>
      </c>
      <c r="Z129" s="4" t="str">
        <f>IFERROR(IF(Schedules[[#This Row],[Scheduled]]="OFF","",RIGHT(VLOOKUP(Schedules[[#This Row],[EE ID]],TeamList[],MATCH(Schedules[[#This Row],[DOW]],TeamList[#Headers],0),0),4)),"_NO MATCH")</f>
        <v>5:00</v>
      </c>
    </row>
    <row r="130" spans="19:26" x14ac:dyDescent="0.25">
      <c r="S130" s="209">
        <v>1510769</v>
      </c>
      <c r="T130" s="209" t="str">
        <f>Schedules[[#This Row],[Employee Name]]&amp;Schedules[[#This Row],[DOW]]</f>
        <v>Parkin-Rego, KimberleeFri</v>
      </c>
      <c r="U130" s="4" t="str">
        <f>IFERROR(VLOOKUP(Schedules[[#This Row],[EE ID]],TeamList[],MATCH(Schedules[[#Headers],[Employee Name]],TeamList[#Headers],0),0),"_NO MATCH")</f>
        <v>Parkin-Rego, Kimberlee</v>
      </c>
      <c r="V130" s="4" t="str">
        <f>IFERROR(VLOOKUP(Schedules[[#This Row],[EE ID]],TeamList[],MATCH(Schedules[[#Headers],[Dept]],TeamList[#Headers],0),0),"_NO MATCH")</f>
        <v>Sup, Customer Service</v>
      </c>
      <c r="W130" s="286" t="s">
        <v>11</v>
      </c>
      <c r="X130" s="4" t="str">
        <f>IFERROR(IF(VLOOKUP(Schedules[[#This Row],[EE ID]],TeamList[],MATCH(Schedules[[#This Row],[DOW]],TeamList[#Headers],0),0)="OFF","OFF","SCH"),"_NO MATCH")</f>
        <v>SCH</v>
      </c>
      <c r="Y130" s="4" t="str">
        <f>IFERROR(IF(Schedules[[#This Row],[Scheduled]]="OFF","",LEFT(VLOOKUP(Schedules[[#This Row],[EE ID]],TeamList[],MATCH(Schedules[[#This Row],[DOW]],TeamList[#Headers],0),0),4)),"_NO MATCH")</f>
        <v>06:0</v>
      </c>
      <c r="Z130" s="4" t="str">
        <f>IFERROR(IF(Schedules[[#This Row],[Scheduled]]="OFF","",RIGHT(VLOOKUP(Schedules[[#This Row],[EE ID]],TeamList[],MATCH(Schedules[[#This Row],[DOW]],TeamList[#Headers],0),0),4)),"_NO MATCH")</f>
        <v>5:00</v>
      </c>
    </row>
    <row r="131" spans="19:26" x14ac:dyDescent="0.25">
      <c r="S131" s="209">
        <v>1528418</v>
      </c>
      <c r="T131" s="209" t="str">
        <f>Schedules[[#This Row],[Employee Name]]&amp;Schedules[[#This Row],[DOW]]</f>
        <v>Ostby, PaigeWed</v>
      </c>
      <c r="U131" s="4" t="str">
        <f>IFERROR(VLOOKUP(Schedules[[#This Row],[EE ID]],TeamList[],MATCH(Schedules[[#Headers],[Employee Name]],TeamList[#Headers],0),0),"_NO MATCH")</f>
        <v>Ostby, Paige</v>
      </c>
      <c r="V131" s="4" t="str">
        <f>IFERROR(VLOOKUP(Schedules[[#This Row],[EE ID]],TeamList[],MATCH(Schedules[[#Headers],[Dept]],TeamList[#Headers],0),0),"_NO MATCH")</f>
        <v>Lead Billing</v>
      </c>
      <c r="W131" s="286" t="s">
        <v>9</v>
      </c>
      <c r="X131" s="4" t="str">
        <f>IFERROR(IF(VLOOKUP(Schedules[[#This Row],[EE ID]],TeamList[],MATCH(Schedules[[#This Row],[DOW]],TeamList[#Headers],0),0)="OFF","OFF","SCH"),"_NO MATCH")</f>
        <v>OFF</v>
      </c>
      <c r="Y131" s="4" t="str">
        <f>IFERROR(IF(Schedules[[#This Row],[Scheduled]]="OFF","",LEFT(VLOOKUP(Schedules[[#This Row],[EE ID]],TeamList[],MATCH(Schedules[[#This Row],[DOW]],TeamList[#Headers],0),0),4)),"_NO MATCH")</f>
        <v/>
      </c>
      <c r="Z131" s="4" t="str">
        <f>IFERROR(IF(Schedules[[#This Row],[Scheduled]]="OFF","",RIGHT(VLOOKUP(Schedules[[#This Row],[EE ID]],TeamList[],MATCH(Schedules[[#This Row],[DOW]],TeamList[#Headers],0),0),4)),"_NO MATCH")</f>
        <v/>
      </c>
    </row>
    <row r="132" spans="19:26" x14ac:dyDescent="0.25">
      <c r="S132" s="209">
        <v>1528418</v>
      </c>
      <c r="T132" s="209" t="str">
        <f>Schedules[[#This Row],[Employee Name]]&amp;Schedules[[#This Row],[DOW]]</f>
        <v>Ostby, PaigeTue</v>
      </c>
      <c r="U132" s="4" t="str">
        <f>IFERROR(VLOOKUP(Schedules[[#This Row],[EE ID]],TeamList[],MATCH(Schedules[[#Headers],[Employee Name]],TeamList[#Headers],0),0),"_NO MATCH")</f>
        <v>Ostby, Paige</v>
      </c>
      <c r="V132" s="4" t="str">
        <f>IFERROR(VLOOKUP(Schedules[[#This Row],[EE ID]],TeamList[],MATCH(Schedules[[#Headers],[Dept]],TeamList[#Headers],0),0),"_NO MATCH")</f>
        <v>Lead Billing</v>
      </c>
      <c r="W132" s="286" t="s">
        <v>8</v>
      </c>
      <c r="X132" s="4" t="str">
        <f>IFERROR(IF(VLOOKUP(Schedules[[#This Row],[EE ID]],TeamList[],MATCH(Schedules[[#This Row],[DOW]],TeamList[#Headers],0),0)="OFF","OFF","SCH"),"_NO MATCH")</f>
        <v>SCH</v>
      </c>
      <c r="Y132" s="4" t="str">
        <f>IFERROR(IF(Schedules[[#This Row],[Scheduled]]="OFF","",LEFT(VLOOKUP(Schedules[[#This Row],[EE ID]],TeamList[],MATCH(Schedules[[#This Row],[DOW]],TeamList[#Headers],0),0),4)),"_NO MATCH")</f>
        <v>05:0</v>
      </c>
      <c r="Z132" s="4" t="str">
        <f>IFERROR(IF(Schedules[[#This Row],[Scheduled]]="OFF","",RIGHT(VLOOKUP(Schedules[[#This Row],[EE ID]],TeamList[],MATCH(Schedules[[#This Row],[DOW]],TeamList[#Headers],0),0),4)),"_NO MATCH")</f>
        <v>6:00</v>
      </c>
    </row>
    <row r="133" spans="19:26" x14ac:dyDescent="0.25">
      <c r="S133" s="209">
        <v>1528418</v>
      </c>
      <c r="T133" s="209" t="str">
        <f>Schedules[[#This Row],[Employee Name]]&amp;Schedules[[#This Row],[DOW]]</f>
        <v>Ostby, PaigeThu</v>
      </c>
      <c r="U133" s="4" t="str">
        <f>IFERROR(VLOOKUP(Schedules[[#This Row],[EE ID]],TeamList[],MATCH(Schedules[[#Headers],[Employee Name]],TeamList[#Headers],0),0),"_NO MATCH")</f>
        <v>Ostby, Paige</v>
      </c>
      <c r="V133" s="4" t="str">
        <f>IFERROR(VLOOKUP(Schedules[[#This Row],[EE ID]],TeamList[],MATCH(Schedules[[#Headers],[Dept]],TeamList[#Headers],0),0),"_NO MATCH")</f>
        <v>Lead Billing</v>
      </c>
      <c r="W133" s="286" t="s">
        <v>10</v>
      </c>
      <c r="X133" s="4" t="str">
        <f>IFERROR(IF(VLOOKUP(Schedules[[#This Row],[EE ID]],TeamList[],MATCH(Schedules[[#This Row],[DOW]],TeamList[#Headers],0),0)="OFF","OFF","SCH"),"_NO MATCH")</f>
        <v>OFF</v>
      </c>
      <c r="Y133" s="4" t="str">
        <f>IFERROR(IF(Schedules[[#This Row],[Scheduled]]="OFF","",LEFT(VLOOKUP(Schedules[[#This Row],[EE ID]],TeamList[],MATCH(Schedules[[#This Row],[DOW]],TeamList[#Headers],0),0),4)),"_NO MATCH")</f>
        <v/>
      </c>
      <c r="Z133" s="4" t="str">
        <f>IFERROR(IF(Schedules[[#This Row],[Scheduled]]="OFF","",RIGHT(VLOOKUP(Schedules[[#This Row],[EE ID]],TeamList[],MATCH(Schedules[[#This Row],[DOW]],TeamList[#Headers],0),0),4)),"_NO MATCH")</f>
        <v/>
      </c>
    </row>
    <row r="134" spans="19:26" x14ac:dyDescent="0.25">
      <c r="S134" s="209">
        <v>1528418</v>
      </c>
      <c r="T134" s="209" t="str">
        <f>Schedules[[#This Row],[Employee Name]]&amp;Schedules[[#This Row],[DOW]]</f>
        <v>Ostby, PaigeSun</v>
      </c>
      <c r="U134" s="4" t="str">
        <f>IFERROR(VLOOKUP(Schedules[[#This Row],[EE ID]],TeamList[],MATCH(Schedules[[#Headers],[Employee Name]],TeamList[#Headers],0),0),"_NO MATCH")</f>
        <v>Ostby, Paige</v>
      </c>
      <c r="V134" s="4" t="str">
        <f>IFERROR(VLOOKUP(Schedules[[#This Row],[EE ID]],TeamList[],MATCH(Schedules[[#Headers],[Dept]],TeamList[#Headers],0),0),"_NO MATCH")</f>
        <v>Lead Billing</v>
      </c>
      <c r="W134" s="287" t="s">
        <v>6</v>
      </c>
      <c r="X134" s="219" t="str">
        <f>IFERROR(IF(VLOOKUP(Schedules[[#This Row],[EE ID]],TeamList[],MATCH(Schedules[[#This Row],[DOW]],TeamList[#Headers],0),0)="OFF","OFF","SCH"),"_NO MATCH")</f>
        <v>SCH</v>
      </c>
      <c r="Y134" s="219" t="str">
        <f>IFERROR(IF(Schedules[[#This Row],[Scheduled]]="OFF","",LEFT(VLOOKUP(Schedules[[#This Row],[EE ID]],TeamList[],MATCH(Schedules[[#This Row],[DOW]],TeamList[#Headers],0),0),4)),"_NO MATCH")</f>
        <v>05:0</v>
      </c>
      <c r="Z134" s="219" t="str">
        <f>IFERROR(IF(Schedules[[#This Row],[Scheduled]]="OFF","",RIGHT(VLOOKUP(Schedules[[#This Row],[EE ID]],TeamList[],MATCH(Schedules[[#This Row],[DOW]],TeamList[#Headers],0),0),4)),"_NO MATCH")</f>
        <v>6:00</v>
      </c>
    </row>
    <row r="135" spans="19:26" x14ac:dyDescent="0.25">
      <c r="S135" s="209">
        <v>1528418</v>
      </c>
      <c r="T135" s="209" t="str">
        <f>Schedules[[#This Row],[Employee Name]]&amp;Schedules[[#This Row],[DOW]]</f>
        <v>Ostby, PaigeSat</v>
      </c>
      <c r="U135" s="4" t="str">
        <f>IFERROR(VLOOKUP(Schedules[[#This Row],[EE ID]],TeamList[],MATCH(Schedules[[#Headers],[Employee Name]],TeamList[#Headers],0),0),"_NO MATCH")</f>
        <v>Ostby, Paige</v>
      </c>
      <c r="V135" s="4" t="str">
        <f>IFERROR(VLOOKUP(Schedules[[#This Row],[EE ID]],TeamList[],MATCH(Schedules[[#Headers],[Dept]],TeamList[#Headers],0),0),"_NO MATCH")</f>
        <v>Lead Billing</v>
      </c>
      <c r="W135" s="286" t="s">
        <v>12</v>
      </c>
      <c r="X135" s="4" t="str">
        <f>IFERROR(IF(VLOOKUP(Schedules[[#This Row],[EE ID]],TeamList[],MATCH(Schedules[[#This Row],[DOW]],TeamList[#Headers],0),0)="OFF","OFF","SCH"),"_NO MATCH")</f>
        <v>SCH</v>
      </c>
      <c r="Y135" s="4" t="str">
        <f>IFERROR(IF(Schedules[[#This Row],[Scheduled]]="OFF","",LEFT(VLOOKUP(Schedules[[#This Row],[EE ID]],TeamList[],MATCH(Schedules[[#This Row],[DOW]],TeamList[#Headers],0),0),4)),"_NO MATCH")</f>
        <v>05:0</v>
      </c>
      <c r="Z135" s="4" t="str">
        <f>IFERROR(IF(Schedules[[#This Row],[Scheduled]]="OFF","",RIGHT(VLOOKUP(Schedules[[#This Row],[EE ID]],TeamList[],MATCH(Schedules[[#This Row],[DOW]],TeamList[#Headers],0),0),4)),"_NO MATCH")</f>
        <v>6:00</v>
      </c>
    </row>
    <row r="136" spans="19:26" x14ac:dyDescent="0.25">
      <c r="S136" s="209">
        <v>1528418</v>
      </c>
      <c r="T136" s="209" t="str">
        <f>Schedules[[#This Row],[Employee Name]]&amp;Schedules[[#This Row],[DOW]]</f>
        <v>Ostby, PaigeMon</v>
      </c>
      <c r="U136" s="4" t="str">
        <f>IFERROR(VLOOKUP(Schedules[[#This Row],[EE ID]],TeamList[],MATCH(Schedules[[#Headers],[Employee Name]],TeamList[#Headers],0),0),"_NO MATCH")</f>
        <v>Ostby, Paige</v>
      </c>
      <c r="V136" s="4" t="str">
        <f>IFERROR(VLOOKUP(Schedules[[#This Row],[EE ID]],TeamList[],MATCH(Schedules[[#Headers],[Dept]],TeamList[#Headers],0),0),"_NO MATCH")</f>
        <v>Lead Billing</v>
      </c>
      <c r="W136" s="286" t="s">
        <v>7</v>
      </c>
      <c r="X136" s="4" t="str">
        <f>IFERROR(IF(VLOOKUP(Schedules[[#This Row],[EE ID]],TeamList[],MATCH(Schedules[[#This Row],[DOW]],TeamList[#Headers],0),0)="OFF","OFF","SCH"),"_NO MATCH")</f>
        <v>SCH</v>
      </c>
      <c r="Y136" s="4" t="str">
        <f>IFERROR(IF(Schedules[[#This Row],[Scheduled]]="OFF","",LEFT(VLOOKUP(Schedules[[#This Row],[EE ID]],TeamList[],MATCH(Schedules[[#This Row],[DOW]],TeamList[#Headers],0),0),4)),"_NO MATCH")</f>
        <v>05:0</v>
      </c>
      <c r="Z136" s="4" t="str">
        <f>IFERROR(IF(Schedules[[#This Row],[Scheduled]]="OFF","",RIGHT(VLOOKUP(Schedules[[#This Row],[EE ID]],TeamList[],MATCH(Schedules[[#This Row],[DOW]],TeamList[#Headers],0),0),4)),"_NO MATCH")</f>
        <v>6:00</v>
      </c>
    </row>
    <row r="137" spans="19:26" x14ac:dyDescent="0.25">
      <c r="S137" s="209">
        <v>1528418</v>
      </c>
      <c r="T137" s="209" t="str">
        <f>Schedules[[#This Row],[Employee Name]]&amp;Schedules[[#This Row],[DOW]]</f>
        <v>Ostby, PaigeFri</v>
      </c>
      <c r="U137" s="4" t="str">
        <f>IFERROR(VLOOKUP(Schedules[[#This Row],[EE ID]],TeamList[],MATCH(Schedules[[#Headers],[Employee Name]],TeamList[#Headers],0),0),"_NO MATCH")</f>
        <v>Ostby, Paige</v>
      </c>
      <c r="V137" s="4" t="str">
        <f>IFERROR(VLOOKUP(Schedules[[#This Row],[EE ID]],TeamList[],MATCH(Schedules[[#Headers],[Dept]],TeamList[#Headers],0),0),"_NO MATCH")</f>
        <v>Lead Billing</v>
      </c>
      <c r="W137" s="286" t="s">
        <v>11</v>
      </c>
      <c r="X137" s="4" t="str">
        <f>IFERROR(IF(VLOOKUP(Schedules[[#This Row],[EE ID]],TeamList[],MATCH(Schedules[[#This Row],[DOW]],TeamList[#Headers],0),0)="OFF","OFF","SCH"),"_NO MATCH")</f>
        <v>OFF</v>
      </c>
      <c r="Y137" s="4" t="str">
        <f>IFERROR(IF(Schedules[[#This Row],[Scheduled]]="OFF","",LEFT(VLOOKUP(Schedules[[#This Row],[EE ID]],TeamList[],MATCH(Schedules[[#This Row],[DOW]],TeamList[#Headers],0),0),4)),"_NO MATCH")</f>
        <v/>
      </c>
      <c r="Z137" s="4" t="str">
        <f>IFERROR(IF(Schedules[[#This Row],[Scheduled]]="OFF","",RIGHT(VLOOKUP(Schedules[[#This Row],[EE ID]],TeamList[],MATCH(Schedules[[#This Row],[DOW]],TeamList[#Headers],0),0),4)),"_NO MATCH")</f>
        <v/>
      </c>
    </row>
    <row r="138" spans="19:26" x14ac:dyDescent="0.25">
      <c r="S138" s="209">
        <v>1516901</v>
      </c>
      <c r="T138" s="209" t="str">
        <f>Schedules[[#This Row],[Employee Name]]&amp;Schedules[[#This Row],[DOW]]</f>
        <v>Olson, KatherineWed</v>
      </c>
      <c r="U138" s="4" t="str">
        <f>IFERROR(VLOOKUP(Schedules[[#This Row],[EE ID]],TeamList[],MATCH(Schedules[[#Headers],[Employee Name]],TeamList[#Headers],0),0),"_NO MATCH")</f>
        <v>Olson, Katherine</v>
      </c>
      <c r="V138" s="4" t="str">
        <f>IFERROR(VLOOKUP(Schedules[[#This Row],[EE ID]],TeamList[],MATCH(Schedules[[#Headers],[Dept]],TeamList[#Headers],0),0),"_NO MATCH")</f>
        <v>Mgr, Customer Service</v>
      </c>
      <c r="W138" s="286" t="s">
        <v>9</v>
      </c>
      <c r="X138" s="4" t="str">
        <f>IFERROR(IF(VLOOKUP(Schedules[[#This Row],[EE ID]],TeamList[],MATCH(Schedules[[#This Row],[DOW]],TeamList[#Headers],0),0)="OFF","OFF","SCH"),"_NO MATCH")</f>
        <v>SCH</v>
      </c>
      <c r="Y138" s="4" t="str">
        <f>IFERROR(IF(Schedules[[#This Row],[Scheduled]]="OFF","",LEFT(VLOOKUP(Schedules[[#This Row],[EE ID]],TeamList[],MATCH(Schedules[[#This Row],[DOW]],TeamList[#Headers],0),0),4)),"_NO MATCH")</f>
        <v>08:3</v>
      </c>
      <c r="Z138" s="4" t="str">
        <f>IFERROR(IF(Schedules[[#This Row],[Scheduled]]="OFF","",RIGHT(VLOOKUP(Schedules[[#This Row],[EE ID]],TeamList[],MATCH(Schedules[[#This Row],[DOW]],TeamList[#Headers],0),0),4)),"_NO MATCH")</f>
        <v>7:30</v>
      </c>
    </row>
    <row r="139" spans="19:26" x14ac:dyDescent="0.25">
      <c r="S139" s="209">
        <v>1516901</v>
      </c>
      <c r="T139" s="209" t="str">
        <f>Schedules[[#This Row],[Employee Name]]&amp;Schedules[[#This Row],[DOW]]</f>
        <v>Olson, KatherineTue</v>
      </c>
      <c r="U139" s="4" t="str">
        <f>IFERROR(VLOOKUP(Schedules[[#This Row],[EE ID]],TeamList[],MATCH(Schedules[[#Headers],[Employee Name]],TeamList[#Headers],0),0),"_NO MATCH")</f>
        <v>Olson, Katherine</v>
      </c>
      <c r="V139" s="4" t="str">
        <f>IFERROR(VLOOKUP(Schedules[[#This Row],[EE ID]],TeamList[],MATCH(Schedules[[#Headers],[Dept]],TeamList[#Headers],0),0),"_NO MATCH")</f>
        <v>Mgr, Customer Service</v>
      </c>
      <c r="W139" s="286" t="s">
        <v>8</v>
      </c>
      <c r="X139" s="4" t="str">
        <f>IFERROR(IF(VLOOKUP(Schedules[[#This Row],[EE ID]],TeamList[],MATCH(Schedules[[#This Row],[DOW]],TeamList[#Headers],0),0)="OFF","OFF","SCH"),"_NO MATCH")</f>
        <v>SCH</v>
      </c>
      <c r="Y139" s="4" t="str">
        <f>IFERROR(IF(Schedules[[#This Row],[Scheduled]]="OFF","",LEFT(VLOOKUP(Schedules[[#This Row],[EE ID]],TeamList[],MATCH(Schedules[[#This Row],[DOW]],TeamList[#Headers],0),0),4)),"_NO MATCH")</f>
        <v>08:3</v>
      </c>
      <c r="Z139" s="4" t="str">
        <f>IFERROR(IF(Schedules[[#This Row],[Scheduled]]="OFF","",RIGHT(VLOOKUP(Schedules[[#This Row],[EE ID]],TeamList[],MATCH(Schedules[[#This Row],[DOW]],TeamList[#Headers],0),0),4)),"_NO MATCH")</f>
        <v>7:30</v>
      </c>
    </row>
    <row r="140" spans="19:26" x14ac:dyDescent="0.25">
      <c r="S140" s="209">
        <v>1516901</v>
      </c>
      <c r="T140" s="209" t="str">
        <f>Schedules[[#This Row],[Employee Name]]&amp;Schedules[[#This Row],[DOW]]</f>
        <v>Olson, KatherineThu</v>
      </c>
      <c r="U140" s="4" t="str">
        <f>IFERROR(VLOOKUP(Schedules[[#This Row],[EE ID]],TeamList[],MATCH(Schedules[[#Headers],[Employee Name]],TeamList[#Headers],0),0),"_NO MATCH")</f>
        <v>Olson, Katherine</v>
      </c>
      <c r="V140" s="4" t="str">
        <f>IFERROR(VLOOKUP(Schedules[[#This Row],[EE ID]],TeamList[],MATCH(Schedules[[#Headers],[Dept]],TeamList[#Headers],0),0),"_NO MATCH")</f>
        <v>Mgr, Customer Service</v>
      </c>
      <c r="W140" s="286" t="s">
        <v>10</v>
      </c>
      <c r="X140" s="4" t="str">
        <f>IFERROR(IF(VLOOKUP(Schedules[[#This Row],[EE ID]],TeamList[],MATCH(Schedules[[#This Row],[DOW]],TeamList[#Headers],0),0)="OFF","OFF","SCH"),"_NO MATCH")</f>
        <v>SCH</v>
      </c>
      <c r="Y140" s="4" t="str">
        <f>IFERROR(IF(Schedules[[#This Row],[Scheduled]]="OFF","",LEFT(VLOOKUP(Schedules[[#This Row],[EE ID]],TeamList[],MATCH(Schedules[[#This Row],[DOW]],TeamList[#Headers],0),0),4)),"_NO MATCH")</f>
        <v>08:3</v>
      </c>
      <c r="Z140" s="4" t="str">
        <f>IFERROR(IF(Schedules[[#This Row],[Scheduled]]="OFF","",RIGHT(VLOOKUP(Schedules[[#This Row],[EE ID]],TeamList[],MATCH(Schedules[[#This Row],[DOW]],TeamList[#Headers],0),0),4)),"_NO MATCH")</f>
        <v>7:30</v>
      </c>
    </row>
    <row r="141" spans="19:26" x14ac:dyDescent="0.25">
      <c r="S141" s="209">
        <v>1516901</v>
      </c>
      <c r="T141" s="209" t="str">
        <f>Schedules[[#This Row],[Employee Name]]&amp;Schedules[[#This Row],[DOW]]</f>
        <v>Olson, KatherineSun</v>
      </c>
      <c r="U141" s="4" t="str">
        <f>IFERROR(VLOOKUP(Schedules[[#This Row],[EE ID]],TeamList[],MATCH(Schedules[[#Headers],[Employee Name]],TeamList[#Headers],0),0),"_NO MATCH")</f>
        <v>Olson, Katherine</v>
      </c>
      <c r="V141" s="4" t="str">
        <f>IFERROR(VLOOKUP(Schedules[[#This Row],[EE ID]],TeamList[],MATCH(Schedules[[#Headers],[Dept]],TeamList[#Headers],0),0),"_NO MATCH")</f>
        <v>Mgr, Customer Service</v>
      </c>
      <c r="W141" s="287" t="s">
        <v>6</v>
      </c>
      <c r="X141" s="219" t="str">
        <f>IFERROR(IF(VLOOKUP(Schedules[[#This Row],[EE ID]],TeamList[],MATCH(Schedules[[#This Row],[DOW]],TeamList[#Headers],0),0)="OFF","OFF","SCH"),"_NO MATCH")</f>
        <v>OFF</v>
      </c>
      <c r="Y141" s="219" t="str">
        <f>IFERROR(IF(Schedules[[#This Row],[Scheduled]]="OFF","",LEFT(VLOOKUP(Schedules[[#This Row],[EE ID]],TeamList[],MATCH(Schedules[[#This Row],[DOW]],TeamList[#Headers],0),0),4)),"_NO MATCH")</f>
        <v/>
      </c>
      <c r="Z141" s="219" t="str">
        <f>IFERROR(IF(Schedules[[#This Row],[Scheduled]]="OFF","",RIGHT(VLOOKUP(Schedules[[#This Row],[EE ID]],TeamList[],MATCH(Schedules[[#This Row],[DOW]],TeamList[#Headers],0),0),4)),"_NO MATCH")</f>
        <v/>
      </c>
    </row>
    <row r="142" spans="19:26" x14ac:dyDescent="0.25">
      <c r="S142" s="209">
        <v>1516901</v>
      </c>
      <c r="T142" s="209" t="str">
        <f>Schedules[[#This Row],[Employee Name]]&amp;Schedules[[#This Row],[DOW]]</f>
        <v>Olson, KatherineSat</v>
      </c>
      <c r="U142" s="4" t="str">
        <f>IFERROR(VLOOKUP(Schedules[[#This Row],[EE ID]],TeamList[],MATCH(Schedules[[#Headers],[Employee Name]],TeamList[#Headers],0),0),"_NO MATCH")</f>
        <v>Olson, Katherine</v>
      </c>
      <c r="V142" s="4" t="str">
        <f>IFERROR(VLOOKUP(Schedules[[#This Row],[EE ID]],TeamList[],MATCH(Schedules[[#Headers],[Dept]],TeamList[#Headers],0),0),"_NO MATCH")</f>
        <v>Mgr, Customer Service</v>
      </c>
      <c r="W142" s="286" t="s">
        <v>12</v>
      </c>
      <c r="X142" s="4" t="str">
        <f>IFERROR(IF(VLOOKUP(Schedules[[#This Row],[EE ID]],TeamList[],MATCH(Schedules[[#This Row],[DOW]],TeamList[#Headers],0),0)="OFF","OFF","SCH"),"_NO MATCH")</f>
        <v>OFF</v>
      </c>
      <c r="Y142" s="4" t="str">
        <f>IFERROR(IF(Schedules[[#This Row],[Scheduled]]="OFF","",LEFT(VLOOKUP(Schedules[[#This Row],[EE ID]],TeamList[],MATCH(Schedules[[#This Row],[DOW]],TeamList[#Headers],0),0),4)),"_NO MATCH")</f>
        <v/>
      </c>
      <c r="Z142" s="4" t="str">
        <f>IFERROR(IF(Schedules[[#This Row],[Scheduled]]="OFF","",RIGHT(VLOOKUP(Schedules[[#This Row],[EE ID]],TeamList[],MATCH(Schedules[[#This Row],[DOW]],TeamList[#Headers],0),0),4)),"_NO MATCH")</f>
        <v/>
      </c>
    </row>
    <row r="143" spans="19:26" x14ac:dyDescent="0.25">
      <c r="S143" s="209">
        <v>1516901</v>
      </c>
      <c r="T143" s="209" t="str">
        <f>Schedules[[#This Row],[Employee Name]]&amp;Schedules[[#This Row],[DOW]]</f>
        <v>Olson, KatherineMon</v>
      </c>
      <c r="U143" s="4" t="str">
        <f>IFERROR(VLOOKUP(Schedules[[#This Row],[EE ID]],TeamList[],MATCH(Schedules[[#Headers],[Employee Name]],TeamList[#Headers],0),0),"_NO MATCH")</f>
        <v>Olson, Katherine</v>
      </c>
      <c r="V143" s="4" t="str">
        <f>IFERROR(VLOOKUP(Schedules[[#This Row],[EE ID]],TeamList[],MATCH(Schedules[[#Headers],[Dept]],TeamList[#Headers],0),0),"_NO MATCH")</f>
        <v>Mgr, Customer Service</v>
      </c>
      <c r="W143" s="286" t="s">
        <v>7</v>
      </c>
      <c r="X143" s="4" t="str">
        <f>IFERROR(IF(VLOOKUP(Schedules[[#This Row],[EE ID]],TeamList[],MATCH(Schedules[[#This Row],[DOW]],TeamList[#Headers],0),0)="OFF","OFF","SCH"),"_NO MATCH")</f>
        <v>SCH</v>
      </c>
      <c r="Y143" s="4" t="str">
        <f>IFERROR(IF(Schedules[[#This Row],[Scheduled]]="OFF","",LEFT(VLOOKUP(Schedules[[#This Row],[EE ID]],TeamList[],MATCH(Schedules[[#This Row],[DOW]],TeamList[#Headers],0),0),4)),"_NO MATCH")</f>
        <v>08:3</v>
      </c>
      <c r="Z143" s="4" t="str">
        <f>IFERROR(IF(Schedules[[#This Row],[Scheduled]]="OFF","",RIGHT(VLOOKUP(Schedules[[#This Row],[EE ID]],TeamList[],MATCH(Schedules[[#This Row],[DOW]],TeamList[#Headers],0),0),4)),"_NO MATCH")</f>
        <v>7:30</v>
      </c>
    </row>
    <row r="144" spans="19:26" x14ac:dyDescent="0.25">
      <c r="S144" s="209">
        <v>1516901</v>
      </c>
      <c r="T144" s="209" t="str">
        <f>Schedules[[#This Row],[Employee Name]]&amp;Schedules[[#This Row],[DOW]]</f>
        <v>Olson, KatherineFri</v>
      </c>
      <c r="U144" s="4" t="str">
        <f>IFERROR(VLOOKUP(Schedules[[#This Row],[EE ID]],TeamList[],MATCH(Schedules[[#Headers],[Employee Name]],TeamList[#Headers],0),0),"_NO MATCH")</f>
        <v>Olson, Katherine</v>
      </c>
      <c r="V144" s="4" t="str">
        <f>IFERROR(VLOOKUP(Schedules[[#This Row],[EE ID]],TeamList[],MATCH(Schedules[[#Headers],[Dept]],TeamList[#Headers],0),0),"_NO MATCH")</f>
        <v>Mgr, Customer Service</v>
      </c>
      <c r="W144" s="286" t="s">
        <v>11</v>
      </c>
      <c r="X144" s="4" t="str">
        <f>IFERROR(IF(VLOOKUP(Schedules[[#This Row],[EE ID]],TeamList[],MATCH(Schedules[[#This Row],[DOW]],TeamList[#Headers],0),0)="OFF","OFF","SCH"),"_NO MATCH")</f>
        <v>SCH</v>
      </c>
      <c r="Y144" s="4" t="str">
        <f>IFERROR(IF(Schedules[[#This Row],[Scheduled]]="OFF","",LEFT(VLOOKUP(Schedules[[#This Row],[EE ID]],TeamList[],MATCH(Schedules[[#This Row],[DOW]],TeamList[#Headers],0),0),4)),"_NO MATCH")</f>
        <v>08:3</v>
      </c>
      <c r="Z144" s="4" t="str">
        <f>IFERROR(IF(Schedules[[#This Row],[Scheduled]]="OFF","",RIGHT(VLOOKUP(Schedules[[#This Row],[EE ID]],TeamList[],MATCH(Schedules[[#This Row],[DOW]],TeamList[#Headers],0),0),4)),"_NO MATCH")</f>
        <v>7:30</v>
      </c>
    </row>
    <row r="145" spans="19:26" x14ac:dyDescent="0.25">
      <c r="S145" s="209">
        <v>1516871</v>
      </c>
      <c r="T145" s="209" t="str">
        <f>Schedules[[#This Row],[Employee Name]]&amp;Schedules[[#This Row],[DOW]]</f>
        <v>Olson, DanWed</v>
      </c>
      <c r="U145" s="4" t="str">
        <f>IFERROR(VLOOKUP(Schedules[[#This Row],[EE ID]],TeamList[],MATCH(Schedules[[#Headers],[Employee Name]],TeamList[#Headers],0),0),"_NO MATCH")</f>
        <v>Olson, Dan</v>
      </c>
      <c r="V145" s="4" t="str">
        <f>IFERROR(VLOOKUP(Schedules[[#This Row],[EE ID]],TeamList[],MATCH(Schedules[[#Headers],[Dept]],TeamList[#Headers],0),0),"_NO MATCH")</f>
        <v>Sup, Customer Service</v>
      </c>
      <c r="W145" s="286" t="s">
        <v>9</v>
      </c>
      <c r="X145" s="4" t="str">
        <f>IFERROR(IF(VLOOKUP(Schedules[[#This Row],[EE ID]],TeamList[],MATCH(Schedules[[#This Row],[DOW]],TeamList[#Headers],0),0)="OFF","OFF","SCH"),"_NO MATCH")</f>
        <v>OFF</v>
      </c>
      <c r="Y145" s="4" t="str">
        <f>IFERROR(IF(Schedules[[#This Row],[Scheduled]]="OFF","",LEFT(VLOOKUP(Schedules[[#This Row],[EE ID]],TeamList[],MATCH(Schedules[[#This Row],[DOW]],TeamList[#Headers],0),0),4)),"_NO MATCH")</f>
        <v/>
      </c>
      <c r="Z145" s="4" t="str">
        <f>IFERROR(IF(Schedules[[#This Row],[Scheduled]]="OFF","",RIGHT(VLOOKUP(Schedules[[#This Row],[EE ID]],TeamList[],MATCH(Schedules[[#This Row],[DOW]],TeamList[#Headers],0),0),4)),"_NO MATCH")</f>
        <v/>
      </c>
    </row>
    <row r="146" spans="19:26" x14ac:dyDescent="0.25">
      <c r="S146" s="209">
        <v>1516871</v>
      </c>
      <c r="T146" s="209" t="str">
        <f>Schedules[[#This Row],[Employee Name]]&amp;Schedules[[#This Row],[DOW]]</f>
        <v>Olson, DanTue</v>
      </c>
      <c r="U146" s="4" t="str">
        <f>IFERROR(VLOOKUP(Schedules[[#This Row],[EE ID]],TeamList[],MATCH(Schedules[[#Headers],[Employee Name]],TeamList[#Headers],0),0),"_NO MATCH")</f>
        <v>Olson, Dan</v>
      </c>
      <c r="V146" s="4" t="str">
        <f>IFERROR(VLOOKUP(Schedules[[#This Row],[EE ID]],TeamList[],MATCH(Schedules[[#Headers],[Dept]],TeamList[#Headers],0),0),"_NO MATCH")</f>
        <v>Sup, Customer Service</v>
      </c>
      <c r="W146" s="286" t="s">
        <v>8</v>
      </c>
      <c r="X146" s="4" t="str">
        <f>IFERROR(IF(VLOOKUP(Schedules[[#This Row],[EE ID]],TeamList[],MATCH(Schedules[[#This Row],[DOW]],TeamList[#Headers],0),0)="OFF","OFF","SCH"),"_NO MATCH")</f>
        <v>OFF</v>
      </c>
      <c r="Y146" s="4" t="str">
        <f>IFERROR(IF(Schedules[[#This Row],[Scheduled]]="OFF","",LEFT(VLOOKUP(Schedules[[#This Row],[EE ID]],TeamList[],MATCH(Schedules[[#This Row],[DOW]],TeamList[#Headers],0),0),4)),"_NO MATCH")</f>
        <v/>
      </c>
      <c r="Z146" s="4" t="str">
        <f>IFERROR(IF(Schedules[[#This Row],[Scheduled]]="OFF","",RIGHT(VLOOKUP(Schedules[[#This Row],[EE ID]],TeamList[],MATCH(Schedules[[#This Row],[DOW]],TeamList[#Headers],0),0),4)),"_NO MATCH")</f>
        <v/>
      </c>
    </row>
    <row r="147" spans="19:26" x14ac:dyDescent="0.25">
      <c r="S147" s="209">
        <v>1516871</v>
      </c>
      <c r="T147" s="209" t="str">
        <f>Schedules[[#This Row],[Employee Name]]&amp;Schedules[[#This Row],[DOW]]</f>
        <v>Olson, DanThu</v>
      </c>
      <c r="U147" s="4" t="str">
        <f>IFERROR(VLOOKUP(Schedules[[#This Row],[EE ID]],TeamList[],MATCH(Schedules[[#Headers],[Employee Name]],TeamList[#Headers],0),0),"_NO MATCH")</f>
        <v>Olson, Dan</v>
      </c>
      <c r="V147" s="4" t="str">
        <f>IFERROR(VLOOKUP(Schedules[[#This Row],[EE ID]],TeamList[],MATCH(Schedules[[#Headers],[Dept]],TeamList[#Headers],0),0),"_NO MATCH")</f>
        <v>Sup, Customer Service</v>
      </c>
      <c r="W147" s="286" t="s">
        <v>10</v>
      </c>
      <c r="X147" s="4" t="str">
        <f>IFERROR(IF(VLOOKUP(Schedules[[#This Row],[EE ID]],TeamList[],MATCH(Schedules[[#This Row],[DOW]],TeamList[#Headers],0),0)="OFF","OFF","SCH"),"_NO MATCH")</f>
        <v>SCH</v>
      </c>
      <c r="Y147" s="4" t="str">
        <f>IFERROR(IF(Schedules[[#This Row],[Scheduled]]="OFF","",LEFT(VLOOKUP(Schedules[[#This Row],[EE ID]],TeamList[],MATCH(Schedules[[#This Row],[DOW]],TeamList[#Headers],0),0),4)),"_NO MATCH")</f>
        <v>13:0</v>
      </c>
      <c r="Z147" s="4" t="str">
        <f>IFERROR(IF(Schedules[[#This Row],[Scheduled]]="OFF","",RIGHT(VLOOKUP(Schedules[[#This Row],[EE ID]],TeamList[],MATCH(Schedules[[#This Row],[DOW]],TeamList[#Headers],0),0),4)),"_NO MATCH")</f>
        <v>2:00</v>
      </c>
    </row>
    <row r="148" spans="19:26" x14ac:dyDescent="0.25">
      <c r="S148" s="209">
        <v>1516871</v>
      </c>
      <c r="T148" s="209" t="str">
        <f>Schedules[[#This Row],[Employee Name]]&amp;Schedules[[#This Row],[DOW]]</f>
        <v>Olson, DanSun</v>
      </c>
      <c r="U148" s="4" t="str">
        <f>IFERROR(VLOOKUP(Schedules[[#This Row],[EE ID]],TeamList[],MATCH(Schedules[[#Headers],[Employee Name]],TeamList[#Headers],0),0),"_NO MATCH")</f>
        <v>Olson, Dan</v>
      </c>
      <c r="V148" s="4" t="str">
        <f>IFERROR(VLOOKUP(Schedules[[#This Row],[EE ID]],TeamList[],MATCH(Schedules[[#Headers],[Dept]],TeamList[#Headers],0),0),"_NO MATCH")</f>
        <v>Sup, Customer Service</v>
      </c>
      <c r="W148" s="287" t="s">
        <v>6</v>
      </c>
      <c r="X148" s="219" t="str">
        <f>IFERROR(IF(VLOOKUP(Schedules[[#This Row],[EE ID]],TeamList[],MATCH(Schedules[[#This Row],[DOW]],TeamList[#Headers],0),0)="OFF","OFF","SCH"),"_NO MATCH")</f>
        <v>SCH</v>
      </c>
      <c r="Y148" s="219" t="str">
        <f>IFERROR(IF(Schedules[[#This Row],[Scheduled]]="OFF","",LEFT(VLOOKUP(Schedules[[#This Row],[EE ID]],TeamList[],MATCH(Schedules[[#This Row],[DOW]],TeamList[#Headers],0),0),4)),"_NO MATCH")</f>
        <v>13:0</v>
      </c>
      <c r="Z148" s="219" t="str">
        <f>IFERROR(IF(Schedules[[#This Row],[Scheduled]]="OFF","",RIGHT(VLOOKUP(Schedules[[#This Row],[EE ID]],TeamList[],MATCH(Schedules[[#This Row],[DOW]],TeamList[#Headers],0),0),4)),"_NO MATCH")</f>
        <v>2:00</v>
      </c>
    </row>
    <row r="149" spans="19:26" x14ac:dyDescent="0.25">
      <c r="S149" s="209">
        <v>1516871</v>
      </c>
      <c r="T149" s="209" t="str">
        <f>Schedules[[#This Row],[Employee Name]]&amp;Schedules[[#This Row],[DOW]]</f>
        <v>Olson, DanSat</v>
      </c>
      <c r="U149" s="4" t="str">
        <f>IFERROR(VLOOKUP(Schedules[[#This Row],[EE ID]],TeamList[],MATCH(Schedules[[#Headers],[Employee Name]],TeamList[#Headers],0),0),"_NO MATCH")</f>
        <v>Olson, Dan</v>
      </c>
      <c r="V149" s="4" t="str">
        <f>IFERROR(VLOOKUP(Schedules[[#This Row],[EE ID]],TeamList[],MATCH(Schedules[[#Headers],[Dept]],TeamList[#Headers],0),0),"_NO MATCH")</f>
        <v>Sup, Customer Service</v>
      </c>
      <c r="W149" s="286" t="s">
        <v>12</v>
      </c>
      <c r="X149" s="4" t="str">
        <f>IFERROR(IF(VLOOKUP(Schedules[[#This Row],[EE ID]],TeamList[],MATCH(Schedules[[#This Row],[DOW]],TeamList[#Headers],0),0)="OFF","OFF","SCH"),"_NO MATCH")</f>
        <v>SCH</v>
      </c>
      <c r="Y149" s="4" t="str">
        <f>IFERROR(IF(Schedules[[#This Row],[Scheduled]]="OFF","",LEFT(VLOOKUP(Schedules[[#This Row],[EE ID]],TeamList[],MATCH(Schedules[[#This Row],[DOW]],TeamList[#Headers],0),0),4)),"_NO MATCH")</f>
        <v>13:0</v>
      </c>
      <c r="Z149" s="4" t="str">
        <f>IFERROR(IF(Schedules[[#This Row],[Scheduled]]="OFF","",RIGHT(VLOOKUP(Schedules[[#This Row],[EE ID]],TeamList[],MATCH(Schedules[[#This Row],[DOW]],TeamList[#Headers],0),0),4)),"_NO MATCH")</f>
        <v>2:00</v>
      </c>
    </row>
    <row r="150" spans="19:26" x14ac:dyDescent="0.25">
      <c r="S150" s="209">
        <v>1516871</v>
      </c>
      <c r="T150" s="209" t="str">
        <f>Schedules[[#This Row],[Employee Name]]&amp;Schedules[[#This Row],[DOW]]</f>
        <v>Olson, DanMon</v>
      </c>
      <c r="U150" s="4" t="str">
        <f>IFERROR(VLOOKUP(Schedules[[#This Row],[EE ID]],TeamList[],MATCH(Schedules[[#Headers],[Employee Name]],TeamList[#Headers],0),0),"_NO MATCH")</f>
        <v>Olson, Dan</v>
      </c>
      <c r="V150" s="4" t="str">
        <f>IFERROR(VLOOKUP(Schedules[[#This Row],[EE ID]],TeamList[],MATCH(Schedules[[#Headers],[Dept]],TeamList[#Headers],0),0),"_NO MATCH")</f>
        <v>Sup, Customer Service</v>
      </c>
      <c r="W150" s="286" t="s">
        <v>7</v>
      </c>
      <c r="X150" s="4" t="str">
        <f>IFERROR(IF(VLOOKUP(Schedules[[#This Row],[EE ID]],TeamList[],MATCH(Schedules[[#This Row],[DOW]],TeamList[#Headers],0),0)="OFF","OFF","SCH"),"_NO MATCH")</f>
        <v>SCH</v>
      </c>
      <c r="Y150" s="4" t="str">
        <f>IFERROR(IF(Schedules[[#This Row],[Scheduled]]="OFF","",LEFT(VLOOKUP(Schedules[[#This Row],[EE ID]],TeamList[],MATCH(Schedules[[#This Row],[DOW]],TeamList[#Headers],0),0),4)),"_NO MATCH")</f>
        <v>13:0</v>
      </c>
      <c r="Z150" s="4" t="str">
        <f>IFERROR(IF(Schedules[[#This Row],[Scheduled]]="OFF","",RIGHT(VLOOKUP(Schedules[[#This Row],[EE ID]],TeamList[],MATCH(Schedules[[#This Row],[DOW]],TeamList[#Headers],0),0),4)),"_NO MATCH")</f>
        <v>2:00</v>
      </c>
    </row>
    <row r="151" spans="19:26" x14ac:dyDescent="0.25">
      <c r="S151" s="209">
        <v>1516871</v>
      </c>
      <c r="T151" s="209" t="str">
        <f>Schedules[[#This Row],[Employee Name]]&amp;Schedules[[#This Row],[DOW]]</f>
        <v>Olson, DanFri</v>
      </c>
      <c r="U151" s="4" t="str">
        <f>IFERROR(VLOOKUP(Schedules[[#This Row],[EE ID]],TeamList[],MATCH(Schedules[[#Headers],[Employee Name]],TeamList[#Headers],0),0),"_NO MATCH")</f>
        <v>Olson, Dan</v>
      </c>
      <c r="V151" s="4" t="str">
        <f>IFERROR(VLOOKUP(Schedules[[#This Row],[EE ID]],TeamList[],MATCH(Schedules[[#Headers],[Dept]],TeamList[#Headers],0),0),"_NO MATCH")</f>
        <v>Sup, Customer Service</v>
      </c>
      <c r="W151" s="286" t="s">
        <v>11</v>
      </c>
      <c r="X151" s="4" t="str">
        <f>IFERROR(IF(VLOOKUP(Schedules[[#This Row],[EE ID]],TeamList[],MATCH(Schedules[[#This Row],[DOW]],TeamList[#Headers],0),0)="OFF","OFF","SCH"),"_NO MATCH")</f>
        <v>SCH</v>
      </c>
      <c r="Y151" s="4" t="str">
        <f>IFERROR(IF(Schedules[[#This Row],[Scheduled]]="OFF","",LEFT(VLOOKUP(Schedules[[#This Row],[EE ID]],TeamList[],MATCH(Schedules[[#This Row],[DOW]],TeamList[#Headers],0),0),4)),"_NO MATCH")</f>
        <v>13:0</v>
      </c>
      <c r="Z151" s="4" t="str">
        <f>IFERROR(IF(Schedules[[#This Row],[Scheduled]]="OFF","",RIGHT(VLOOKUP(Schedules[[#This Row],[EE ID]],TeamList[],MATCH(Schedules[[#This Row],[DOW]],TeamList[#Headers],0),0),4)),"_NO MATCH")</f>
        <v>2:00</v>
      </c>
    </row>
    <row r="152" spans="19:26" x14ac:dyDescent="0.25">
      <c r="S152" s="209">
        <v>1513398</v>
      </c>
      <c r="T152" s="209" t="str">
        <f>Schedules[[#This Row],[Employee Name]]&amp;Schedules[[#This Row],[DOW]]</f>
        <v>Oates, EleanorWed</v>
      </c>
      <c r="U152" s="4" t="str">
        <f>IFERROR(VLOOKUP(Schedules[[#This Row],[EE ID]],TeamList[],MATCH(Schedules[[#Headers],[Employee Name]],TeamList[#Headers],0),0),"_NO MATCH")</f>
        <v>Oates, Eleanor</v>
      </c>
      <c r="V152" s="4" t="str">
        <f>IFERROR(VLOOKUP(Schedules[[#This Row],[EE ID]],TeamList[],MATCH(Schedules[[#Headers],[Dept]],TeamList[#Headers],0),0),"_NO MATCH")</f>
        <v>Sup, Customer Service</v>
      </c>
      <c r="W152" s="286" t="s">
        <v>9</v>
      </c>
      <c r="X152" s="4" t="str">
        <f>IFERROR(IF(VLOOKUP(Schedules[[#This Row],[EE ID]],TeamList[],MATCH(Schedules[[#This Row],[DOW]],TeamList[#Headers],0),0)="OFF","OFF","SCH"),"_NO MATCH")</f>
        <v>SCH</v>
      </c>
      <c r="Y152" s="4" t="str">
        <f>IFERROR(IF(Schedules[[#This Row],[Scheduled]]="OFF","",LEFT(VLOOKUP(Schedules[[#This Row],[EE ID]],TeamList[],MATCH(Schedules[[#This Row],[DOW]],TeamList[#Headers],0),0),4)),"_NO MATCH")</f>
        <v>10:0</v>
      </c>
      <c r="Z152" s="4" t="str">
        <f>IFERROR(IF(Schedules[[#This Row],[Scheduled]]="OFF","",RIGHT(VLOOKUP(Schedules[[#This Row],[EE ID]],TeamList[],MATCH(Schedules[[#This Row],[DOW]],TeamList[#Headers],0),0),4)),"_NO MATCH")</f>
        <v>9:00</v>
      </c>
    </row>
    <row r="153" spans="19:26" x14ac:dyDescent="0.25">
      <c r="S153" s="209">
        <v>1513398</v>
      </c>
      <c r="T153" s="209" t="str">
        <f>Schedules[[#This Row],[Employee Name]]&amp;Schedules[[#This Row],[DOW]]</f>
        <v>Oates, EleanorTue</v>
      </c>
      <c r="U153" s="4" t="str">
        <f>IFERROR(VLOOKUP(Schedules[[#This Row],[EE ID]],TeamList[],MATCH(Schedules[[#Headers],[Employee Name]],TeamList[#Headers],0),0),"_NO MATCH")</f>
        <v>Oates, Eleanor</v>
      </c>
      <c r="V153" s="4" t="str">
        <f>IFERROR(VLOOKUP(Schedules[[#This Row],[EE ID]],TeamList[],MATCH(Schedules[[#Headers],[Dept]],TeamList[#Headers],0),0),"_NO MATCH")</f>
        <v>Sup, Customer Service</v>
      </c>
      <c r="W153" s="286" t="s">
        <v>8</v>
      </c>
      <c r="X153" s="4" t="str">
        <f>IFERROR(IF(VLOOKUP(Schedules[[#This Row],[EE ID]],TeamList[],MATCH(Schedules[[#This Row],[DOW]],TeamList[#Headers],0),0)="OFF","OFF","SCH"),"_NO MATCH")</f>
        <v>SCH</v>
      </c>
      <c r="Y153" s="4" t="str">
        <f>IFERROR(IF(Schedules[[#This Row],[Scheduled]]="OFF","",LEFT(VLOOKUP(Schedules[[#This Row],[EE ID]],TeamList[],MATCH(Schedules[[#This Row],[DOW]],TeamList[#Headers],0),0),4)),"_NO MATCH")</f>
        <v>10:0</v>
      </c>
      <c r="Z153" s="4" t="str">
        <f>IFERROR(IF(Schedules[[#This Row],[Scheduled]]="OFF","",RIGHT(VLOOKUP(Schedules[[#This Row],[EE ID]],TeamList[],MATCH(Schedules[[#This Row],[DOW]],TeamList[#Headers],0),0),4)),"_NO MATCH")</f>
        <v>9:00</v>
      </c>
    </row>
    <row r="154" spans="19:26" x14ac:dyDescent="0.25">
      <c r="S154" s="209">
        <v>1513398</v>
      </c>
      <c r="T154" s="209" t="str">
        <f>Schedules[[#This Row],[Employee Name]]&amp;Schedules[[#This Row],[DOW]]</f>
        <v>Oates, EleanorThu</v>
      </c>
      <c r="U154" s="4" t="str">
        <f>IFERROR(VLOOKUP(Schedules[[#This Row],[EE ID]],TeamList[],MATCH(Schedules[[#Headers],[Employee Name]],TeamList[#Headers],0),0),"_NO MATCH")</f>
        <v>Oates, Eleanor</v>
      </c>
      <c r="V154" s="4" t="str">
        <f>IFERROR(VLOOKUP(Schedules[[#This Row],[EE ID]],TeamList[],MATCH(Schedules[[#Headers],[Dept]],TeamList[#Headers],0),0),"_NO MATCH")</f>
        <v>Sup, Customer Service</v>
      </c>
      <c r="W154" s="286" t="s">
        <v>10</v>
      </c>
      <c r="X154" s="4" t="str">
        <f>IFERROR(IF(VLOOKUP(Schedules[[#This Row],[EE ID]],TeamList[],MATCH(Schedules[[#This Row],[DOW]],TeamList[#Headers],0),0)="OFF","OFF","SCH"),"_NO MATCH")</f>
        <v>SCH</v>
      </c>
      <c r="Y154" s="4" t="str">
        <f>IFERROR(IF(Schedules[[#This Row],[Scheduled]]="OFF","",LEFT(VLOOKUP(Schedules[[#This Row],[EE ID]],TeamList[],MATCH(Schedules[[#This Row],[DOW]],TeamList[#Headers],0),0),4)),"_NO MATCH")</f>
        <v>10:0</v>
      </c>
      <c r="Z154" s="4" t="str">
        <f>IFERROR(IF(Schedules[[#This Row],[Scheduled]]="OFF","",RIGHT(VLOOKUP(Schedules[[#This Row],[EE ID]],TeamList[],MATCH(Schedules[[#This Row],[DOW]],TeamList[#Headers],0),0),4)),"_NO MATCH")</f>
        <v>9:00</v>
      </c>
    </row>
    <row r="155" spans="19:26" x14ac:dyDescent="0.25">
      <c r="S155" s="209">
        <v>1513398</v>
      </c>
      <c r="T155" s="209" t="str">
        <f>Schedules[[#This Row],[Employee Name]]&amp;Schedules[[#This Row],[DOW]]</f>
        <v>Oates, EleanorSun</v>
      </c>
      <c r="U155" s="4" t="str">
        <f>IFERROR(VLOOKUP(Schedules[[#This Row],[EE ID]],TeamList[],MATCH(Schedules[[#Headers],[Employee Name]],TeamList[#Headers],0),0),"_NO MATCH")</f>
        <v>Oates, Eleanor</v>
      </c>
      <c r="V155" s="4" t="str">
        <f>IFERROR(VLOOKUP(Schedules[[#This Row],[EE ID]],TeamList[],MATCH(Schedules[[#Headers],[Dept]],TeamList[#Headers],0),0),"_NO MATCH")</f>
        <v>Sup, Customer Service</v>
      </c>
      <c r="W155" s="287" t="s">
        <v>6</v>
      </c>
      <c r="X155" s="219" t="str">
        <f>IFERROR(IF(VLOOKUP(Schedules[[#This Row],[EE ID]],TeamList[],MATCH(Schedules[[#This Row],[DOW]],TeamList[#Headers],0),0)="OFF","OFF","SCH"),"_NO MATCH")</f>
        <v>OFF</v>
      </c>
      <c r="Y155" s="219" t="str">
        <f>IFERROR(IF(Schedules[[#This Row],[Scheduled]]="OFF","",LEFT(VLOOKUP(Schedules[[#This Row],[EE ID]],TeamList[],MATCH(Schedules[[#This Row],[DOW]],TeamList[#Headers],0),0),4)),"_NO MATCH")</f>
        <v/>
      </c>
      <c r="Z155" s="219" t="str">
        <f>IFERROR(IF(Schedules[[#This Row],[Scheduled]]="OFF","",RIGHT(VLOOKUP(Schedules[[#This Row],[EE ID]],TeamList[],MATCH(Schedules[[#This Row],[DOW]],TeamList[#Headers],0),0),4)),"_NO MATCH")</f>
        <v/>
      </c>
    </row>
    <row r="156" spans="19:26" x14ac:dyDescent="0.25">
      <c r="S156" s="209">
        <v>1513398</v>
      </c>
      <c r="T156" s="209" t="str">
        <f>Schedules[[#This Row],[Employee Name]]&amp;Schedules[[#This Row],[DOW]]</f>
        <v>Oates, EleanorSat</v>
      </c>
      <c r="U156" s="4" t="str">
        <f>IFERROR(VLOOKUP(Schedules[[#This Row],[EE ID]],TeamList[],MATCH(Schedules[[#Headers],[Employee Name]],TeamList[#Headers],0),0),"_NO MATCH")</f>
        <v>Oates, Eleanor</v>
      </c>
      <c r="V156" s="4" t="str">
        <f>IFERROR(VLOOKUP(Schedules[[#This Row],[EE ID]],TeamList[],MATCH(Schedules[[#Headers],[Dept]],TeamList[#Headers],0),0),"_NO MATCH")</f>
        <v>Sup, Customer Service</v>
      </c>
      <c r="W156" s="286" t="s">
        <v>12</v>
      </c>
      <c r="X156" s="4" t="str">
        <f>IFERROR(IF(VLOOKUP(Schedules[[#This Row],[EE ID]],TeamList[],MATCH(Schedules[[#This Row],[DOW]],TeamList[#Headers],0),0)="OFF","OFF","SCH"),"_NO MATCH")</f>
        <v>SCH</v>
      </c>
      <c r="Y156" s="4" t="str">
        <f>IFERROR(IF(Schedules[[#This Row],[Scheduled]]="OFF","",LEFT(VLOOKUP(Schedules[[#This Row],[EE ID]],TeamList[],MATCH(Schedules[[#This Row],[DOW]],TeamList[#Headers],0),0),4)),"_NO MATCH")</f>
        <v>10:0</v>
      </c>
      <c r="Z156" s="4" t="str">
        <f>IFERROR(IF(Schedules[[#This Row],[Scheduled]]="OFF","",RIGHT(VLOOKUP(Schedules[[#This Row],[EE ID]],TeamList[],MATCH(Schedules[[#This Row],[DOW]],TeamList[#Headers],0),0),4)),"_NO MATCH")</f>
        <v>9:00</v>
      </c>
    </row>
    <row r="157" spans="19:26" x14ac:dyDescent="0.25">
      <c r="S157" s="209">
        <v>1513398</v>
      </c>
      <c r="T157" s="209" t="str">
        <f>Schedules[[#This Row],[Employee Name]]&amp;Schedules[[#This Row],[DOW]]</f>
        <v>Oates, EleanorMon</v>
      </c>
      <c r="U157" s="4" t="str">
        <f>IFERROR(VLOOKUP(Schedules[[#This Row],[EE ID]],TeamList[],MATCH(Schedules[[#Headers],[Employee Name]],TeamList[#Headers],0),0),"_NO MATCH")</f>
        <v>Oates, Eleanor</v>
      </c>
      <c r="V157" s="4" t="str">
        <f>IFERROR(VLOOKUP(Schedules[[#This Row],[EE ID]],TeamList[],MATCH(Schedules[[#Headers],[Dept]],TeamList[#Headers],0),0),"_NO MATCH")</f>
        <v>Sup, Customer Service</v>
      </c>
      <c r="W157" s="286" t="s">
        <v>7</v>
      </c>
      <c r="X157" s="4" t="str">
        <f>IFERROR(IF(VLOOKUP(Schedules[[#This Row],[EE ID]],TeamList[],MATCH(Schedules[[#This Row],[DOW]],TeamList[#Headers],0),0)="OFF","OFF","SCH"),"_NO MATCH")</f>
        <v>OFF</v>
      </c>
      <c r="Y157" s="4" t="str">
        <f>IFERROR(IF(Schedules[[#This Row],[Scheduled]]="OFF","",LEFT(VLOOKUP(Schedules[[#This Row],[EE ID]],TeamList[],MATCH(Schedules[[#This Row],[DOW]],TeamList[#Headers],0),0),4)),"_NO MATCH")</f>
        <v/>
      </c>
      <c r="Z157" s="4" t="str">
        <f>IFERROR(IF(Schedules[[#This Row],[Scheduled]]="OFF","",RIGHT(VLOOKUP(Schedules[[#This Row],[EE ID]],TeamList[],MATCH(Schedules[[#This Row],[DOW]],TeamList[#Headers],0),0),4)),"_NO MATCH")</f>
        <v/>
      </c>
    </row>
    <row r="158" spans="19:26" x14ac:dyDescent="0.25">
      <c r="S158" s="209">
        <v>1513398</v>
      </c>
      <c r="T158" s="209" t="str">
        <f>Schedules[[#This Row],[Employee Name]]&amp;Schedules[[#This Row],[DOW]]</f>
        <v>Oates, EleanorFri</v>
      </c>
      <c r="U158" s="4" t="str">
        <f>IFERROR(VLOOKUP(Schedules[[#This Row],[EE ID]],TeamList[],MATCH(Schedules[[#Headers],[Employee Name]],TeamList[#Headers],0),0),"_NO MATCH")</f>
        <v>Oates, Eleanor</v>
      </c>
      <c r="V158" s="4" t="str">
        <f>IFERROR(VLOOKUP(Schedules[[#This Row],[EE ID]],TeamList[],MATCH(Schedules[[#Headers],[Dept]],TeamList[#Headers],0),0),"_NO MATCH")</f>
        <v>Sup, Customer Service</v>
      </c>
      <c r="W158" s="286" t="s">
        <v>11</v>
      </c>
      <c r="X158" s="4" t="str">
        <f>IFERROR(IF(VLOOKUP(Schedules[[#This Row],[EE ID]],TeamList[],MATCH(Schedules[[#This Row],[DOW]],TeamList[#Headers],0),0)="OFF","OFF","SCH"),"_NO MATCH")</f>
        <v>SCH</v>
      </c>
      <c r="Y158" s="4" t="str">
        <f>IFERROR(IF(Schedules[[#This Row],[Scheduled]]="OFF","",LEFT(VLOOKUP(Schedules[[#This Row],[EE ID]],TeamList[],MATCH(Schedules[[#This Row],[DOW]],TeamList[#Headers],0),0),4)),"_NO MATCH")</f>
        <v>10:0</v>
      </c>
      <c r="Z158" s="4" t="str">
        <f>IFERROR(IF(Schedules[[#This Row],[Scheduled]]="OFF","",RIGHT(VLOOKUP(Schedules[[#This Row],[EE ID]],TeamList[],MATCH(Schedules[[#This Row],[DOW]],TeamList[#Headers],0),0),4)),"_NO MATCH")</f>
        <v>9:00</v>
      </c>
    </row>
    <row r="159" spans="19:26" x14ac:dyDescent="0.25">
      <c r="S159" s="209">
        <v>1513681</v>
      </c>
      <c r="T159" s="209" t="str">
        <f>Schedules[[#This Row],[Employee Name]]&amp;Schedules[[#This Row],[DOW]]</f>
        <v>Moretz, DavidWed</v>
      </c>
      <c r="U159" s="4" t="str">
        <f>IFERROR(VLOOKUP(Schedules[[#This Row],[EE ID]],TeamList[],MATCH(Schedules[[#Headers],[Employee Name]],TeamList[#Headers],0),0),"_NO MATCH")</f>
        <v>Moretz, David</v>
      </c>
      <c r="V159" s="4" t="str">
        <f>IFERROR(VLOOKUP(Schedules[[#This Row],[EE ID]],TeamList[],MATCH(Schedules[[#Headers],[Dept]],TeamList[#Headers],0),0),"_NO MATCH")</f>
        <v>Sup, Customer Service</v>
      </c>
      <c r="W159" s="286" t="s">
        <v>9</v>
      </c>
      <c r="X159" s="4" t="str">
        <f>IFERROR(IF(VLOOKUP(Schedules[[#This Row],[EE ID]],TeamList[],MATCH(Schedules[[#This Row],[DOW]],TeamList[#Headers],0),0)="OFF","OFF","SCH"),"_NO MATCH")</f>
        <v>SCH</v>
      </c>
      <c r="Y159" s="4" t="str">
        <f>IFERROR(IF(Schedules[[#This Row],[Scheduled]]="OFF","",LEFT(VLOOKUP(Schedules[[#This Row],[EE ID]],TeamList[],MATCH(Schedules[[#This Row],[DOW]],TeamList[#Headers],0),0),4)),"_NO MATCH")</f>
        <v>12:0</v>
      </c>
      <c r="Z159" s="4" t="str">
        <f>IFERROR(IF(Schedules[[#This Row],[Scheduled]]="OFF","",RIGHT(VLOOKUP(Schedules[[#This Row],[EE ID]],TeamList[],MATCH(Schedules[[#This Row],[DOW]],TeamList[#Headers],0),0),4)),"_NO MATCH")</f>
        <v>1:00</v>
      </c>
    </row>
    <row r="160" spans="19:26" x14ac:dyDescent="0.25">
      <c r="S160" s="209">
        <v>1513681</v>
      </c>
      <c r="T160" s="209" t="str">
        <f>Schedules[[#This Row],[Employee Name]]&amp;Schedules[[#This Row],[DOW]]</f>
        <v>Moretz, DavidTue</v>
      </c>
      <c r="U160" s="4" t="str">
        <f>IFERROR(VLOOKUP(Schedules[[#This Row],[EE ID]],TeamList[],MATCH(Schedules[[#Headers],[Employee Name]],TeamList[#Headers],0),0),"_NO MATCH")</f>
        <v>Moretz, David</v>
      </c>
      <c r="V160" s="4" t="str">
        <f>IFERROR(VLOOKUP(Schedules[[#This Row],[EE ID]],TeamList[],MATCH(Schedules[[#Headers],[Dept]],TeamList[#Headers],0),0),"_NO MATCH")</f>
        <v>Sup, Customer Service</v>
      </c>
      <c r="W160" s="286" t="s">
        <v>8</v>
      </c>
      <c r="X160" s="4" t="str">
        <f>IFERROR(IF(VLOOKUP(Schedules[[#This Row],[EE ID]],TeamList[],MATCH(Schedules[[#This Row],[DOW]],TeamList[#Headers],0),0)="OFF","OFF","SCH"),"_NO MATCH")</f>
        <v>SCH</v>
      </c>
      <c r="Y160" s="4" t="str">
        <f>IFERROR(IF(Schedules[[#This Row],[Scheduled]]="OFF","",LEFT(VLOOKUP(Schedules[[#This Row],[EE ID]],TeamList[],MATCH(Schedules[[#This Row],[DOW]],TeamList[#Headers],0),0),4)),"_NO MATCH")</f>
        <v>12:0</v>
      </c>
      <c r="Z160" s="4" t="str">
        <f>IFERROR(IF(Schedules[[#This Row],[Scheduled]]="OFF","",RIGHT(VLOOKUP(Schedules[[#This Row],[EE ID]],TeamList[],MATCH(Schedules[[#This Row],[DOW]],TeamList[#Headers],0),0),4)),"_NO MATCH")</f>
        <v>1:00</v>
      </c>
    </row>
    <row r="161" spans="19:26" x14ac:dyDescent="0.25">
      <c r="S161" s="209">
        <v>1513681</v>
      </c>
      <c r="T161" s="209" t="str">
        <f>Schedules[[#This Row],[Employee Name]]&amp;Schedules[[#This Row],[DOW]]</f>
        <v>Moretz, DavidThu</v>
      </c>
      <c r="U161" s="4" t="str">
        <f>IFERROR(VLOOKUP(Schedules[[#This Row],[EE ID]],TeamList[],MATCH(Schedules[[#Headers],[Employee Name]],TeamList[#Headers],0),0),"_NO MATCH")</f>
        <v>Moretz, David</v>
      </c>
      <c r="V161" s="4" t="str">
        <f>IFERROR(VLOOKUP(Schedules[[#This Row],[EE ID]],TeamList[],MATCH(Schedules[[#Headers],[Dept]],TeamList[#Headers],0),0),"_NO MATCH")</f>
        <v>Sup, Customer Service</v>
      </c>
      <c r="W161" s="286" t="s">
        <v>10</v>
      </c>
      <c r="X161" s="4" t="str">
        <f>IFERROR(IF(VLOOKUP(Schedules[[#This Row],[EE ID]],TeamList[],MATCH(Schedules[[#This Row],[DOW]],TeamList[#Headers],0),0)="OFF","OFF","SCH"),"_NO MATCH")</f>
        <v>SCH</v>
      </c>
      <c r="Y161" s="4" t="str">
        <f>IFERROR(IF(Schedules[[#This Row],[Scheduled]]="OFF","",LEFT(VLOOKUP(Schedules[[#This Row],[EE ID]],TeamList[],MATCH(Schedules[[#This Row],[DOW]],TeamList[#Headers],0),0),4)),"_NO MATCH")</f>
        <v>12:0</v>
      </c>
      <c r="Z161" s="4" t="str">
        <f>IFERROR(IF(Schedules[[#This Row],[Scheduled]]="OFF","",RIGHT(VLOOKUP(Schedules[[#This Row],[EE ID]],TeamList[],MATCH(Schedules[[#This Row],[DOW]],TeamList[#Headers],0),0),4)),"_NO MATCH")</f>
        <v>1:00</v>
      </c>
    </row>
    <row r="162" spans="19:26" x14ac:dyDescent="0.25">
      <c r="S162" s="209">
        <v>1513681</v>
      </c>
      <c r="T162" s="209" t="str">
        <f>Schedules[[#This Row],[Employee Name]]&amp;Schedules[[#This Row],[DOW]]</f>
        <v>Moretz, DavidSun</v>
      </c>
      <c r="U162" s="4" t="str">
        <f>IFERROR(VLOOKUP(Schedules[[#This Row],[EE ID]],TeamList[],MATCH(Schedules[[#Headers],[Employee Name]],TeamList[#Headers],0),0),"_NO MATCH")</f>
        <v>Moretz, David</v>
      </c>
      <c r="V162" s="4" t="str">
        <f>IFERROR(VLOOKUP(Schedules[[#This Row],[EE ID]],TeamList[],MATCH(Schedules[[#Headers],[Dept]],TeamList[#Headers],0),0),"_NO MATCH")</f>
        <v>Sup, Customer Service</v>
      </c>
      <c r="W162" s="287" t="s">
        <v>6</v>
      </c>
      <c r="X162" s="4" t="str">
        <f>IFERROR(IF(VLOOKUP(Schedules[[#This Row],[EE ID]],TeamList[],MATCH(Schedules[[#This Row],[DOW]],TeamList[#Headers],0),0)="OFF","OFF","SCH"),"_NO MATCH")</f>
        <v>OFF</v>
      </c>
      <c r="Y162" s="4" t="str">
        <f>IFERROR(IF(Schedules[[#This Row],[Scheduled]]="OFF","",LEFT(VLOOKUP(Schedules[[#This Row],[EE ID]],TeamList[],MATCH(Schedules[[#This Row],[DOW]],TeamList[#Headers],0),0),4)),"_NO MATCH")</f>
        <v/>
      </c>
      <c r="Z162" s="4" t="str">
        <f>IFERROR(IF(Schedules[[#This Row],[Scheduled]]="OFF","",RIGHT(VLOOKUP(Schedules[[#This Row],[EE ID]],TeamList[],MATCH(Schedules[[#This Row],[DOW]],TeamList[#Headers],0),0),4)),"_NO MATCH")</f>
        <v/>
      </c>
    </row>
    <row r="163" spans="19:26" x14ac:dyDescent="0.25">
      <c r="S163" s="209">
        <v>1513681</v>
      </c>
      <c r="T163" s="209" t="str">
        <f>Schedules[[#This Row],[Employee Name]]&amp;Schedules[[#This Row],[DOW]]</f>
        <v>Moretz, DavidSat</v>
      </c>
      <c r="U163" s="4" t="str">
        <f>IFERROR(VLOOKUP(Schedules[[#This Row],[EE ID]],TeamList[],MATCH(Schedules[[#Headers],[Employee Name]],TeamList[#Headers],0),0),"_NO MATCH")</f>
        <v>Moretz, David</v>
      </c>
      <c r="V163" s="4" t="str">
        <f>IFERROR(VLOOKUP(Schedules[[#This Row],[EE ID]],TeamList[],MATCH(Schedules[[#Headers],[Dept]],TeamList[#Headers],0),0),"_NO MATCH")</f>
        <v>Sup, Customer Service</v>
      </c>
      <c r="W163" s="286" t="s">
        <v>12</v>
      </c>
      <c r="X163" s="4" t="str">
        <f>IFERROR(IF(VLOOKUP(Schedules[[#This Row],[EE ID]],TeamList[],MATCH(Schedules[[#This Row],[DOW]],TeamList[#Headers],0),0)="OFF","OFF","SCH"),"_NO MATCH")</f>
        <v>SCH</v>
      </c>
      <c r="Y163" s="4" t="str">
        <f>IFERROR(IF(Schedules[[#This Row],[Scheduled]]="OFF","",LEFT(VLOOKUP(Schedules[[#This Row],[EE ID]],TeamList[],MATCH(Schedules[[#This Row],[DOW]],TeamList[#Headers],0),0),4)),"_NO MATCH")</f>
        <v>11:0</v>
      </c>
      <c r="Z163" s="4" t="str">
        <f>IFERROR(IF(Schedules[[#This Row],[Scheduled]]="OFF","",RIGHT(VLOOKUP(Schedules[[#This Row],[EE ID]],TeamList[],MATCH(Schedules[[#This Row],[DOW]],TeamList[#Headers],0),0),4)),"_NO MATCH")</f>
        <v>0:00</v>
      </c>
    </row>
    <row r="164" spans="19:26" x14ac:dyDescent="0.25">
      <c r="S164" s="209">
        <v>1513681</v>
      </c>
      <c r="T164" s="209" t="str">
        <f>Schedules[[#This Row],[Employee Name]]&amp;Schedules[[#This Row],[DOW]]</f>
        <v>Moretz, DavidMon</v>
      </c>
      <c r="U164" s="4" t="str">
        <f>IFERROR(VLOOKUP(Schedules[[#This Row],[EE ID]],TeamList[],MATCH(Schedules[[#Headers],[Employee Name]],TeamList[#Headers],0),0),"_NO MATCH")</f>
        <v>Moretz, David</v>
      </c>
      <c r="V164" s="4" t="str">
        <f>IFERROR(VLOOKUP(Schedules[[#This Row],[EE ID]],TeamList[],MATCH(Schedules[[#Headers],[Dept]],TeamList[#Headers],0),0),"_NO MATCH")</f>
        <v>Sup, Customer Service</v>
      </c>
      <c r="W164" s="286" t="s">
        <v>7</v>
      </c>
      <c r="X164" s="4" t="str">
        <f>IFERROR(IF(VLOOKUP(Schedules[[#This Row],[EE ID]],TeamList[],MATCH(Schedules[[#This Row],[DOW]],TeamList[#Headers],0),0)="OFF","OFF","SCH"),"_NO MATCH")</f>
        <v>OFF</v>
      </c>
      <c r="Y164" s="4" t="str">
        <f>IFERROR(IF(Schedules[[#This Row],[Scheduled]]="OFF","",LEFT(VLOOKUP(Schedules[[#This Row],[EE ID]],TeamList[],MATCH(Schedules[[#This Row],[DOW]],TeamList[#Headers],0),0),4)),"_NO MATCH")</f>
        <v/>
      </c>
      <c r="Z164" s="4" t="str">
        <f>IFERROR(IF(Schedules[[#This Row],[Scheduled]]="OFF","",RIGHT(VLOOKUP(Schedules[[#This Row],[EE ID]],TeamList[],MATCH(Schedules[[#This Row],[DOW]],TeamList[#Headers],0),0),4)),"_NO MATCH")</f>
        <v/>
      </c>
    </row>
    <row r="165" spans="19:26" x14ac:dyDescent="0.25">
      <c r="S165" s="209">
        <v>1513681</v>
      </c>
      <c r="T165" s="209" t="str">
        <f>Schedules[[#This Row],[Employee Name]]&amp;Schedules[[#This Row],[DOW]]</f>
        <v>Moretz, DavidFri</v>
      </c>
      <c r="U165" s="4" t="str">
        <f>IFERROR(VLOOKUP(Schedules[[#This Row],[EE ID]],TeamList[],MATCH(Schedules[[#Headers],[Employee Name]],TeamList[#Headers],0),0),"_NO MATCH")</f>
        <v>Moretz, David</v>
      </c>
      <c r="V165" s="4" t="str">
        <f>IFERROR(VLOOKUP(Schedules[[#This Row],[EE ID]],TeamList[],MATCH(Schedules[[#Headers],[Dept]],TeamList[#Headers],0),0),"_NO MATCH")</f>
        <v>Sup, Customer Service</v>
      </c>
      <c r="W165" s="286" t="s">
        <v>11</v>
      </c>
      <c r="X165" s="4" t="str">
        <f>IFERROR(IF(VLOOKUP(Schedules[[#This Row],[EE ID]],TeamList[],MATCH(Schedules[[#This Row],[DOW]],TeamList[#Headers],0),0)="OFF","OFF","SCH"),"_NO MATCH")</f>
        <v>SCH</v>
      </c>
      <c r="Y165" s="4" t="str">
        <f>IFERROR(IF(Schedules[[#This Row],[Scheduled]]="OFF","",LEFT(VLOOKUP(Schedules[[#This Row],[EE ID]],TeamList[],MATCH(Schedules[[#This Row],[DOW]],TeamList[#Headers],0),0),4)),"_NO MATCH")</f>
        <v>11:0</v>
      </c>
      <c r="Z165" s="4" t="str">
        <f>IFERROR(IF(Schedules[[#This Row],[Scheduled]]="OFF","",RIGHT(VLOOKUP(Schedules[[#This Row],[EE ID]],TeamList[],MATCH(Schedules[[#This Row],[DOW]],TeamList[#Headers],0),0),4)),"_NO MATCH")</f>
        <v>0:00</v>
      </c>
    </row>
    <row r="166" spans="19:26" x14ac:dyDescent="0.25">
      <c r="S166" s="209">
        <v>1515633</v>
      </c>
      <c r="T166" s="209" t="str">
        <f>Schedules[[#This Row],[Employee Name]]&amp;Schedules[[#This Row],[DOW]]</f>
        <v>Mood, KenWed</v>
      </c>
      <c r="U166" s="4" t="str">
        <f>IFERROR(VLOOKUP(Schedules[[#This Row],[EE ID]],TeamList[],MATCH(Schedules[[#Headers],[Employee Name]],TeamList[#Headers],0),0),"_NO MATCH")</f>
        <v>Mood, Ken</v>
      </c>
      <c r="V166" s="4" t="str">
        <f>IFERROR(VLOOKUP(Schedules[[#This Row],[EE ID]],TeamList[],MATCH(Schedules[[#Headers],[Dept]],TeamList[#Headers],0),0),"_NO MATCH")</f>
        <v>Lead Billing</v>
      </c>
      <c r="W166" s="286" t="s">
        <v>9</v>
      </c>
      <c r="X166" s="4" t="str">
        <f>IFERROR(IF(VLOOKUP(Schedules[[#This Row],[EE ID]],TeamList[],MATCH(Schedules[[#This Row],[DOW]],TeamList[#Headers],0),0)="OFF","OFF","SCH"),"_NO MATCH")</f>
        <v>SCH</v>
      </c>
      <c r="Y166" s="4" t="str">
        <f>IFERROR(IF(Schedules[[#This Row],[Scheduled]]="OFF","",LEFT(VLOOKUP(Schedules[[#This Row],[EE ID]],TeamList[],MATCH(Schedules[[#This Row],[DOW]],TeamList[#Headers],0),0),4)),"_NO MATCH")</f>
        <v>13:0</v>
      </c>
      <c r="Z166" s="4" t="str">
        <f>IFERROR(IF(Schedules[[#This Row],[Scheduled]]="OFF","",RIGHT(VLOOKUP(Schedules[[#This Row],[EE ID]],TeamList[],MATCH(Schedules[[#This Row],[DOW]],TeamList[#Headers],0),0),4)),"_NO MATCH")</f>
        <v>1:30</v>
      </c>
    </row>
    <row r="167" spans="19:26" x14ac:dyDescent="0.25">
      <c r="S167" s="209">
        <v>1515633</v>
      </c>
      <c r="T167" s="209" t="str">
        <f>Schedules[[#This Row],[Employee Name]]&amp;Schedules[[#This Row],[DOW]]</f>
        <v>Mood, KenTue</v>
      </c>
      <c r="U167" s="4" t="str">
        <f>IFERROR(VLOOKUP(Schedules[[#This Row],[EE ID]],TeamList[],MATCH(Schedules[[#Headers],[Employee Name]],TeamList[#Headers],0),0),"_NO MATCH")</f>
        <v>Mood, Ken</v>
      </c>
      <c r="V167" s="4" t="str">
        <f>IFERROR(VLOOKUP(Schedules[[#This Row],[EE ID]],TeamList[],MATCH(Schedules[[#Headers],[Dept]],TeamList[#Headers],0),0),"_NO MATCH")</f>
        <v>Lead Billing</v>
      </c>
      <c r="W167" s="286" t="s">
        <v>8</v>
      </c>
      <c r="X167" s="4" t="str">
        <f>IFERROR(IF(VLOOKUP(Schedules[[#This Row],[EE ID]],TeamList[],MATCH(Schedules[[#This Row],[DOW]],TeamList[#Headers],0),0)="OFF","OFF","SCH"),"_NO MATCH")</f>
        <v>SCH</v>
      </c>
      <c r="Y167" s="4" t="str">
        <f>IFERROR(IF(Schedules[[#This Row],[Scheduled]]="OFF","",LEFT(VLOOKUP(Schedules[[#This Row],[EE ID]],TeamList[],MATCH(Schedules[[#This Row],[DOW]],TeamList[#Headers],0),0),4)),"_NO MATCH")</f>
        <v>13:0</v>
      </c>
      <c r="Z167" s="4" t="str">
        <f>IFERROR(IF(Schedules[[#This Row],[Scheduled]]="OFF","",RIGHT(VLOOKUP(Schedules[[#This Row],[EE ID]],TeamList[],MATCH(Schedules[[#This Row],[DOW]],TeamList[#Headers],0),0),4)),"_NO MATCH")</f>
        <v>1:30</v>
      </c>
    </row>
    <row r="168" spans="19:26" x14ac:dyDescent="0.25">
      <c r="S168" s="209">
        <v>1515633</v>
      </c>
      <c r="T168" s="209" t="str">
        <f>Schedules[[#This Row],[Employee Name]]&amp;Schedules[[#This Row],[DOW]]</f>
        <v>Mood, KenThu</v>
      </c>
      <c r="U168" s="4" t="str">
        <f>IFERROR(VLOOKUP(Schedules[[#This Row],[EE ID]],TeamList[],MATCH(Schedules[[#Headers],[Employee Name]],TeamList[#Headers],0),0),"_NO MATCH")</f>
        <v>Mood, Ken</v>
      </c>
      <c r="V168" s="4" t="str">
        <f>IFERROR(VLOOKUP(Schedules[[#This Row],[EE ID]],TeamList[],MATCH(Schedules[[#Headers],[Dept]],TeamList[#Headers],0),0),"_NO MATCH")</f>
        <v>Lead Billing</v>
      </c>
      <c r="W168" s="286" t="s">
        <v>10</v>
      </c>
      <c r="X168" s="4" t="str">
        <f>IFERROR(IF(VLOOKUP(Schedules[[#This Row],[EE ID]],TeamList[],MATCH(Schedules[[#This Row],[DOW]],TeamList[#Headers],0),0)="OFF","OFF","SCH"),"_NO MATCH")</f>
        <v>SCH</v>
      </c>
      <c r="Y168" s="4" t="str">
        <f>IFERROR(IF(Schedules[[#This Row],[Scheduled]]="OFF","",LEFT(VLOOKUP(Schedules[[#This Row],[EE ID]],TeamList[],MATCH(Schedules[[#This Row],[DOW]],TeamList[#Headers],0),0),4)),"_NO MATCH")</f>
        <v>13:0</v>
      </c>
      <c r="Z168" s="4" t="str">
        <f>IFERROR(IF(Schedules[[#This Row],[Scheduled]]="OFF","",RIGHT(VLOOKUP(Schedules[[#This Row],[EE ID]],TeamList[],MATCH(Schedules[[#This Row],[DOW]],TeamList[#Headers],0),0),4)),"_NO MATCH")</f>
        <v>1:30</v>
      </c>
    </row>
    <row r="169" spans="19:26" x14ac:dyDescent="0.25">
      <c r="S169" s="209">
        <v>1515633</v>
      </c>
      <c r="T169" s="209" t="str">
        <f>Schedules[[#This Row],[Employee Name]]&amp;Schedules[[#This Row],[DOW]]</f>
        <v>Mood, KenSun</v>
      </c>
      <c r="U169" s="4" t="str">
        <f>IFERROR(VLOOKUP(Schedules[[#This Row],[EE ID]],TeamList[],MATCH(Schedules[[#Headers],[Employee Name]],TeamList[#Headers],0),0),"_NO MATCH")</f>
        <v>Mood, Ken</v>
      </c>
      <c r="V169" s="4" t="str">
        <f>IFERROR(VLOOKUP(Schedules[[#This Row],[EE ID]],TeamList[],MATCH(Schedules[[#Headers],[Dept]],TeamList[#Headers],0),0),"_NO MATCH")</f>
        <v>Lead Billing</v>
      </c>
      <c r="W169" s="287" t="s">
        <v>6</v>
      </c>
      <c r="X169" s="219" t="str">
        <f>IFERROR(IF(VLOOKUP(Schedules[[#This Row],[EE ID]],TeamList[],MATCH(Schedules[[#This Row],[DOW]],TeamList[#Headers],0),0)="OFF","OFF","SCH"),"_NO MATCH")</f>
        <v>SCH</v>
      </c>
      <c r="Y169" s="219" t="str">
        <f>IFERROR(IF(Schedules[[#This Row],[Scheduled]]="OFF","",LEFT(VLOOKUP(Schedules[[#This Row],[EE ID]],TeamList[],MATCH(Schedules[[#This Row],[DOW]],TeamList[#Headers],0),0),4)),"_NO MATCH")</f>
        <v>13:0</v>
      </c>
      <c r="Z169" s="219" t="str">
        <f>IFERROR(IF(Schedules[[#This Row],[Scheduled]]="OFF","",RIGHT(VLOOKUP(Schedules[[#This Row],[EE ID]],TeamList[],MATCH(Schedules[[#This Row],[DOW]],TeamList[#Headers],0),0),4)),"_NO MATCH")</f>
        <v>1:30</v>
      </c>
    </row>
    <row r="170" spans="19:26" x14ac:dyDescent="0.25">
      <c r="S170" s="209">
        <v>1515633</v>
      </c>
      <c r="T170" s="209" t="str">
        <f>Schedules[[#This Row],[Employee Name]]&amp;Schedules[[#This Row],[DOW]]</f>
        <v>Mood, KenSat</v>
      </c>
      <c r="U170" s="4" t="str">
        <f>IFERROR(VLOOKUP(Schedules[[#This Row],[EE ID]],TeamList[],MATCH(Schedules[[#Headers],[Employee Name]],TeamList[#Headers],0),0),"_NO MATCH")</f>
        <v>Mood, Ken</v>
      </c>
      <c r="V170" s="4" t="str">
        <f>IFERROR(VLOOKUP(Schedules[[#This Row],[EE ID]],TeamList[],MATCH(Schedules[[#Headers],[Dept]],TeamList[#Headers],0),0),"_NO MATCH")</f>
        <v>Lead Billing</v>
      </c>
      <c r="W170" s="286" t="s">
        <v>12</v>
      </c>
      <c r="X170" s="4" t="str">
        <f>IFERROR(IF(VLOOKUP(Schedules[[#This Row],[EE ID]],TeamList[],MATCH(Schedules[[#This Row],[DOW]],TeamList[#Headers],0),0)="OFF","OFF","SCH"),"_NO MATCH")</f>
        <v>OFF</v>
      </c>
      <c r="Y170" s="4" t="str">
        <f>IFERROR(IF(Schedules[[#This Row],[Scheduled]]="OFF","",LEFT(VLOOKUP(Schedules[[#This Row],[EE ID]],TeamList[],MATCH(Schedules[[#This Row],[DOW]],TeamList[#Headers],0),0),4)),"_NO MATCH")</f>
        <v/>
      </c>
      <c r="Z170" s="4" t="str">
        <f>IFERROR(IF(Schedules[[#This Row],[Scheduled]]="OFF","",RIGHT(VLOOKUP(Schedules[[#This Row],[EE ID]],TeamList[],MATCH(Schedules[[#This Row],[DOW]],TeamList[#Headers],0),0),4)),"_NO MATCH")</f>
        <v/>
      </c>
    </row>
    <row r="171" spans="19:26" x14ac:dyDescent="0.25">
      <c r="S171" s="209">
        <v>1515633</v>
      </c>
      <c r="T171" s="209" t="str">
        <f>Schedules[[#This Row],[Employee Name]]&amp;Schedules[[#This Row],[DOW]]</f>
        <v>Mood, KenMon</v>
      </c>
      <c r="U171" s="4" t="str">
        <f>IFERROR(VLOOKUP(Schedules[[#This Row],[EE ID]],TeamList[],MATCH(Schedules[[#Headers],[Employee Name]],TeamList[#Headers],0),0),"_NO MATCH")</f>
        <v>Mood, Ken</v>
      </c>
      <c r="V171" s="4" t="str">
        <f>IFERROR(VLOOKUP(Schedules[[#This Row],[EE ID]],TeamList[],MATCH(Schedules[[#Headers],[Dept]],TeamList[#Headers],0),0),"_NO MATCH")</f>
        <v>Lead Billing</v>
      </c>
      <c r="W171" s="286" t="s">
        <v>7</v>
      </c>
      <c r="X171" s="4" t="str">
        <f>IFERROR(IF(VLOOKUP(Schedules[[#This Row],[EE ID]],TeamList[],MATCH(Schedules[[#This Row],[DOW]],TeamList[#Headers],0),0)="OFF","OFF","SCH"),"_NO MATCH")</f>
        <v>SCH</v>
      </c>
      <c r="Y171" s="4" t="str">
        <f>IFERROR(IF(Schedules[[#This Row],[Scheduled]]="OFF","",LEFT(VLOOKUP(Schedules[[#This Row],[EE ID]],TeamList[],MATCH(Schedules[[#This Row],[DOW]],TeamList[#Headers],0),0),4)),"_NO MATCH")</f>
        <v>13:0</v>
      </c>
      <c r="Z171" s="4" t="str">
        <f>IFERROR(IF(Schedules[[#This Row],[Scheduled]]="OFF","",RIGHT(VLOOKUP(Schedules[[#This Row],[EE ID]],TeamList[],MATCH(Schedules[[#This Row],[DOW]],TeamList[#Headers],0),0),4)),"_NO MATCH")</f>
        <v>1:30</v>
      </c>
    </row>
    <row r="172" spans="19:26" x14ac:dyDescent="0.25">
      <c r="S172" s="209">
        <v>1515633</v>
      </c>
      <c r="T172" s="209" t="str">
        <f>Schedules[[#This Row],[Employee Name]]&amp;Schedules[[#This Row],[DOW]]</f>
        <v>Mood, KenFri</v>
      </c>
      <c r="U172" s="4" t="str">
        <f>IFERROR(VLOOKUP(Schedules[[#This Row],[EE ID]],TeamList[],MATCH(Schedules[[#Headers],[Employee Name]],TeamList[#Headers],0),0),"_NO MATCH")</f>
        <v>Mood, Ken</v>
      </c>
      <c r="V172" s="4" t="str">
        <f>IFERROR(VLOOKUP(Schedules[[#This Row],[EE ID]],TeamList[],MATCH(Schedules[[#Headers],[Dept]],TeamList[#Headers],0),0),"_NO MATCH")</f>
        <v>Lead Billing</v>
      </c>
      <c r="W172" s="286" t="s">
        <v>11</v>
      </c>
      <c r="X172" s="4" t="str">
        <f>IFERROR(IF(VLOOKUP(Schedules[[#This Row],[EE ID]],TeamList[],MATCH(Schedules[[#This Row],[DOW]],TeamList[#Headers],0),0)="OFF","OFF","SCH"),"_NO MATCH")</f>
        <v>OFF</v>
      </c>
      <c r="Y172" s="4" t="str">
        <f>IFERROR(IF(Schedules[[#This Row],[Scheduled]]="OFF","",LEFT(VLOOKUP(Schedules[[#This Row],[EE ID]],TeamList[],MATCH(Schedules[[#This Row],[DOW]],TeamList[#Headers],0),0),4)),"_NO MATCH")</f>
        <v/>
      </c>
      <c r="Z172" s="4" t="str">
        <f>IFERROR(IF(Schedules[[#This Row],[Scheduled]]="OFF","",RIGHT(VLOOKUP(Schedules[[#This Row],[EE ID]],TeamList[],MATCH(Schedules[[#This Row],[DOW]],TeamList[#Headers],0),0),4)),"_NO MATCH")</f>
        <v/>
      </c>
    </row>
    <row r="173" spans="19:26" x14ac:dyDescent="0.25">
      <c r="S173" s="209">
        <v>1509410</v>
      </c>
      <c r="T173" s="209" t="str">
        <f>Schedules[[#This Row],[Employee Name]]&amp;Schedules[[#This Row],[DOW]]</f>
        <v>McLean, NevaWed</v>
      </c>
      <c r="U173" s="4" t="str">
        <f>IFERROR(VLOOKUP(Schedules[[#This Row],[EE ID]],TeamList[],MATCH(Schedules[[#Headers],[Employee Name]],TeamList[#Headers],0),0),"_NO MATCH")</f>
        <v>McLean, Neva</v>
      </c>
      <c r="V173" s="4" t="str">
        <f>IFERROR(VLOOKUP(Schedules[[#This Row],[EE ID]],TeamList[],MATCH(Schedules[[#Headers],[Dept]],TeamList[#Headers],0),0),"_NO MATCH")</f>
        <v>Sup, Customer Service</v>
      </c>
      <c r="W173" s="286" t="s">
        <v>9</v>
      </c>
      <c r="X173" s="4" t="str">
        <f>IFERROR(IF(VLOOKUP(Schedules[[#This Row],[EE ID]],TeamList[],MATCH(Schedules[[#This Row],[DOW]],TeamList[#Headers],0),0)="OFF","OFF","SCH"),"_NO MATCH")</f>
        <v>SCH</v>
      </c>
      <c r="Y173" s="4" t="str">
        <f>IFERROR(IF(Schedules[[#This Row],[Scheduled]]="OFF","",LEFT(VLOOKUP(Schedules[[#This Row],[EE ID]],TeamList[],MATCH(Schedules[[#This Row],[DOW]],TeamList[#Headers],0),0),4)),"_NO MATCH")</f>
        <v>13:0</v>
      </c>
      <c r="Z173" s="4" t="str">
        <f>IFERROR(IF(Schedules[[#This Row],[Scheduled]]="OFF","",RIGHT(VLOOKUP(Schedules[[#This Row],[EE ID]],TeamList[],MATCH(Schedules[[#This Row],[DOW]],TeamList[#Headers],0),0),4)),"_NO MATCH")</f>
        <v>2:00</v>
      </c>
    </row>
    <row r="174" spans="19:26" x14ac:dyDescent="0.25">
      <c r="S174" s="209">
        <v>1509410</v>
      </c>
      <c r="T174" s="209" t="str">
        <f>Schedules[[#This Row],[Employee Name]]&amp;Schedules[[#This Row],[DOW]]</f>
        <v>McLean, NevaTue</v>
      </c>
      <c r="U174" s="4" t="str">
        <f>IFERROR(VLOOKUP(Schedules[[#This Row],[EE ID]],TeamList[],MATCH(Schedules[[#Headers],[Employee Name]],TeamList[#Headers],0),0),"_NO MATCH")</f>
        <v>McLean, Neva</v>
      </c>
      <c r="V174" s="4" t="str">
        <f>IFERROR(VLOOKUP(Schedules[[#This Row],[EE ID]],TeamList[],MATCH(Schedules[[#Headers],[Dept]],TeamList[#Headers],0),0),"_NO MATCH")</f>
        <v>Sup, Customer Service</v>
      </c>
      <c r="W174" s="286" t="s">
        <v>8</v>
      </c>
      <c r="X174" s="4" t="str">
        <f>IFERROR(IF(VLOOKUP(Schedules[[#This Row],[EE ID]],TeamList[],MATCH(Schedules[[#This Row],[DOW]],TeamList[#Headers],0),0)="OFF","OFF","SCH"),"_NO MATCH")</f>
        <v>SCH</v>
      </c>
      <c r="Y174" s="4" t="str">
        <f>IFERROR(IF(Schedules[[#This Row],[Scheduled]]="OFF","",LEFT(VLOOKUP(Schedules[[#This Row],[EE ID]],TeamList[],MATCH(Schedules[[#This Row],[DOW]],TeamList[#Headers],0),0),4)),"_NO MATCH")</f>
        <v>13:0</v>
      </c>
      <c r="Z174" s="4" t="str">
        <f>IFERROR(IF(Schedules[[#This Row],[Scheduled]]="OFF","",RIGHT(VLOOKUP(Schedules[[#This Row],[EE ID]],TeamList[],MATCH(Schedules[[#This Row],[DOW]],TeamList[#Headers],0),0),4)),"_NO MATCH")</f>
        <v>2:00</v>
      </c>
    </row>
    <row r="175" spans="19:26" x14ac:dyDescent="0.25">
      <c r="S175" s="209">
        <v>1509410</v>
      </c>
      <c r="T175" s="209" t="str">
        <f>Schedules[[#This Row],[Employee Name]]&amp;Schedules[[#This Row],[DOW]]</f>
        <v>McLean, NevaThu</v>
      </c>
      <c r="U175" s="4" t="str">
        <f>IFERROR(VLOOKUP(Schedules[[#This Row],[EE ID]],TeamList[],MATCH(Schedules[[#Headers],[Employee Name]],TeamList[#Headers],0),0),"_NO MATCH")</f>
        <v>McLean, Neva</v>
      </c>
      <c r="V175" s="4" t="str">
        <f>IFERROR(VLOOKUP(Schedules[[#This Row],[EE ID]],TeamList[],MATCH(Schedules[[#Headers],[Dept]],TeamList[#Headers],0),0),"_NO MATCH")</f>
        <v>Sup, Customer Service</v>
      </c>
      <c r="W175" s="286" t="s">
        <v>10</v>
      </c>
      <c r="X175" s="4" t="str">
        <f>IFERROR(IF(VLOOKUP(Schedules[[#This Row],[EE ID]],TeamList[],MATCH(Schedules[[#This Row],[DOW]],TeamList[#Headers],0),0)="OFF","OFF","SCH"),"_NO MATCH")</f>
        <v>OFF</v>
      </c>
      <c r="Y175" s="4" t="str">
        <f>IFERROR(IF(Schedules[[#This Row],[Scheduled]]="OFF","",LEFT(VLOOKUP(Schedules[[#This Row],[EE ID]],TeamList[],MATCH(Schedules[[#This Row],[DOW]],TeamList[#Headers],0),0),4)),"_NO MATCH")</f>
        <v/>
      </c>
      <c r="Z175" s="4" t="str">
        <f>IFERROR(IF(Schedules[[#This Row],[Scheduled]]="OFF","",RIGHT(VLOOKUP(Schedules[[#This Row],[EE ID]],TeamList[],MATCH(Schedules[[#This Row],[DOW]],TeamList[#Headers],0),0),4)),"_NO MATCH")</f>
        <v/>
      </c>
    </row>
    <row r="176" spans="19:26" x14ac:dyDescent="0.25">
      <c r="S176" s="209">
        <v>1509410</v>
      </c>
      <c r="T176" s="209" t="str">
        <f>Schedules[[#This Row],[Employee Name]]&amp;Schedules[[#This Row],[DOW]]</f>
        <v>McLean, NevaSun</v>
      </c>
      <c r="U176" s="4" t="str">
        <f>IFERROR(VLOOKUP(Schedules[[#This Row],[EE ID]],TeamList[],MATCH(Schedules[[#Headers],[Employee Name]],TeamList[#Headers],0),0),"_NO MATCH")</f>
        <v>McLean, Neva</v>
      </c>
      <c r="V176" s="4" t="str">
        <f>IFERROR(VLOOKUP(Schedules[[#This Row],[EE ID]],TeamList[],MATCH(Schedules[[#Headers],[Dept]],TeamList[#Headers],0),0),"_NO MATCH")</f>
        <v>Sup, Customer Service</v>
      </c>
      <c r="W176" s="287" t="s">
        <v>6</v>
      </c>
      <c r="X176" s="219" t="str">
        <f>IFERROR(IF(VLOOKUP(Schedules[[#This Row],[EE ID]],TeamList[],MATCH(Schedules[[#This Row],[DOW]],TeamList[#Headers],0),0)="OFF","OFF","SCH"),"_NO MATCH")</f>
        <v>SCH</v>
      </c>
      <c r="Y176" s="219" t="str">
        <f>IFERROR(IF(Schedules[[#This Row],[Scheduled]]="OFF","",LEFT(VLOOKUP(Schedules[[#This Row],[EE ID]],TeamList[],MATCH(Schedules[[#This Row],[DOW]],TeamList[#Headers],0),0),4)),"_NO MATCH")</f>
        <v>13:0</v>
      </c>
      <c r="Z176" s="219" t="str">
        <f>IFERROR(IF(Schedules[[#This Row],[Scheduled]]="OFF","",RIGHT(VLOOKUP(Schedules[[#This Row],[EE ID]],TeamList[],MATCH(Schedules[[#This Row],[DOW]],TeamList[#Headers],0),0),4)),"_NO MATCH")</f>
        <v>2:00</v>
      </c>
    </row>
    <row r="177" spans="19:26" x14ac:dyDescent="0.25">
      <c r="S177" s="209">
        <v>1509410</v>
      </c>
      <c r="T177" s="209" t="str">
        <f>Schedules[[#This Row],[Employee Name]]&amp;Schedules[[#This Row],[DOW]]</f>
        <v>McLean, NevaSat</v>
      </c>
      <c r="U177" s="4" t="str">
        <f>IFERROR(VLOOKUP(Schedules[[#This Row],[EE ID]],TeamList[],MATCH(Schedules[[#Headers],[Employee Name]],TeamList[#Headers],0),0),"_NO MATCH")</f>
        <v>McLean, Neva</v>
      </c>
      <c r="V177" s="4" t="str">
        <f>IFERROR(VLOOKUP(Schedules[[#This Row],[EE ID]],TeamList[],MATCH(Schedules[[#Headers],[Dept]],TeamList[#Headers],0),0),"_NO MATCH")</f>
        <v>Sup, Customer Service</v>
      </c>
      <c r="W177" s="286" t="s">
        <v>12</v>
      </c>
      <c r="X177" s="4" t="str">
        <f>IFERROR(IF(VLOOKUP(Schedules[[#This Row],[EE ID]],TeamList[],MATCH(Schedules[[#This Row],[DOW]],TeamList[#Headers],0),0)="OFF","OFF","SCH"),"_NO MATCH")</f>
        <v>SCH</v>
      </c>
      <c r="Y177" s="4" t="str">
        <f>IFERROR(IF(Schedules[[#This Row],[Scheduled]]="OFF","",LEFT(VLOOKUP(Schedules[[#This Row],[EE ID]],TeamList[],MATCH(Schedules[[#This Row],[DOW]],TeamList[#Headers],0),0),4)),"_NO MATCH")</f>
        <v>13:0</v>
      </c>
      <c r="Z177" s="4" t="str">
        <f>IFERROR(IF(Schedules[[#This Row],[Scheduled]]="OFF","",RIGHT(VLOOKUP(Schedules[[#This Row],[EE ID]],TeamList[],MATCH(Schedules[[#This Row],[DOW]],TeamList[#Headers],0),0),4)),"_NO MATCH")</f>
        <v>2:00</v>
      </c>
    </row>
    <row r="178" spans="19:26" x14ac:dyDescent="0.25">
      <c r="S178" s="209">
        <v>1509410</v>
      </c>
      <c r="T178" s="209" t="str">
        <f>Schedules[[#This Row],[Employee Name]]&amp;Schedules[[#This Row],[DOW]]</f>
        <v>McLean, NevaMon</v>
      </c>
      <c r="U178" s="4" t="str">
        <f>IFERROR(VLOOKUP(Schedules[[#This Row],[EE ID]],TeamList[],MATCH(Schedules[[#Headers],[Employee Name]],TeamList[#Headers],0),0),"_NO MATCH")</f>
        <v>McLean, Neva</v>
      </c>
      <c r="V178" s="4" t="str">
        <f>IFERROR(VLOOKUP(Schedules[[#This Row],[EE ID]],TeamList[],MATCH(Schedules[[#Headers],[Dept]],TeamList[#Headers],0),0),"_NO MATCH")</f>
        <v>Sup, Customer Service</v>
      </c>
      <c r="W178" s="286" t="s">
        <v>7</v>
      </c>
      <c r="X178" s="4" t="str">
        <f>IFERROR(IF(VLOOKUP(Schedules[[#This Row],[EE ID]],TeamList[],MATCH(Schedules[[#This Row],[DOW]],TeamList[#Headers],0),0)="OFF","OFF","SCH"),"_NO MATCH")</f>
        <v>SCH</v>
      </c>
      <c r="Y178" s="4" t="str">
        <f>IFERROR(IF(Schedules[[#This Row],[Scheduled]]="OFF","",LEFT(VLOOKUP(Schedules[[#This Row],[EE ID]],TeamList[],MATCH(Schedules[[#This Row],[DOW]],TeamList[#Headers],0),0),4)),"_NO MATCH")</f>
        <v>13:0</v>
      </c>
      <c r="Z178" s="4" t="str">
        <f>IFERROR(IF(Schedules[[#This Row],[Scheduled]]="OFF","",RIGHT(VLOOKUP(Schedules[[#This Row],[EE ID]],TeamList[],MATCH(Schedules[[#This Row],[DOW]],TeamList[#Headers],0),0),4)),"_NO MATCH")</f>
        <v>2:00</v>
      </c>
    </row>
    <row r="179" spans="19:26" x14ac:dyDescent="0.25">
      <c r="S179" s="209">
        <v>1509410</v>
      </c>
      <c r="T179" s="209" t="str">
        <f>Schedules[[#This Row],[Employee Name]]&amp;Schedules[[#This Row],[DOW]]</f>
        <v>McLean, NevaFri</v>
      </c>
      <c r="U179" s="4" t="str">
        <f>IFERROR(VLOOKUP(Schedules[[#This Row],[EE ID]],TeamList[],MATCH(Schedules[[#Headers],[Employee Name]],TeamList[#Headers],0),0),"_NO MATCH")</f>
        <v>McLean, Neva</v>
      </c>
      <c r="V179" s="4" t="str">
        <f>IFERROR(VLOOKUP(Schedules[[#This Row],[EE ID]],TeamList[],MATCH(Schedules[[#Headers],[Dept]],TeamList[#Headers],0),0),"_NO MATCH")</f>
        <v>Sup, Customer Service</v>
      </c>
      <c r="W179" s="286" t="s">
        <v>11</v>
      </c>
      <c r="X179" s="4" t="str">
        <f>IFERROR(IF(VLOOKUP(Schedules[[#This Row],[EE ID]],TeamList[],MATCH(Schedules[[#This Row],[DOW]],TeamList[#Headers],0),0)="OFF","OFF","SCH"),"_NO MATCH")</f>
        <v>OFF</v>
      </c>
      <c r="Y179" s="4" t="str">
        <f>IFERROR(IF(Schedules[[#This Row],[Scheduled]]="OFF","",LEFT(VLOOKUP(Schedules[[#This Row],[EE ID]],TeamList[],MATCH(Schedules[[#This Row],[DOW]],TeamList[#Headers],0),0),4)),"_NO MATCH")</f>
        <v/>
      </c>
      <c r="Z179" s="4" t="str">
        <f>IFERROR(IF(Schedules[[#This Row],[Scheduled]]="OFF","",RIGHT(VLOOKUP(Schedules[[#This Row],[EE ID]],TeamList[],MATCH(Schedules[[#This Row],[DOW]],TeamList[#Headers],0),0),4)),"_NO MATCH")</f>
        <v/>
      </c>
    </row>
    <row r="180" spans="19:26" x14ac:dyDescent="0.25">
      <c r="S180" s="209">
        <v>1531714</v>
      </c>
      <c r="T180" s="209" t="str">
        <f>Schedules[[#This Row],[Employee Name]]&amp;Schedules[[#This Row],[DOW]]</f>
        <v>McLean, MichaelWed</v>
      </c>
      <c r="U180" s="4" t="str">
        <f>IFERROR(VLOOKUP(Schedules[[#This Row],[EE ID]],TeamList[],MATCH(Schedules[[#Headers],[Employee Name]],TeamList[#Headers],0),0),"_NO MATCH")</f>
        <v>McLean, Michael</v>
      </c>
      <c r="V180" s="4" t="str">
        <f>IFERROR(VLOOKUP(Schedules[[#This Row],[EE ID]],TeamList[],MATCH(Schedules[[#Headers],[Dept]],TeamList[#Headers],0),0),"_NO MATCH")</f>
        <v>Sup, Customer Service</v>
      </c>
      <c r="W180" s="286" t="s">
        <v>9</v>
      </c>
      <c r="X180" s="4" t="str">
        <f>IFERROR(IF(VLOOKUP(Schedules[[#This Row],[EE ID]],TeamList[],MATCH(Schedules[[#This Row],[DOW]],TeamList[#Headers],0),0)="OFF","OFF","SCH"),"_NO MATCH")</f>
        <v>SCH</v>
      </c>
      <c r="Y180" s="4" t="str">
        <f>IFERROR(IF(Schedules[[#This Row],[Scheduled]]="OFF","",LEFT(VLOOKUP(Schedules[[#This Row],[EE ID]],TeamList[],MATCH(Schedules[[#This Row],[DOW]],TeamList[#Headers],0),0),4)),"_NO MATCH")</f>
        <v>07:0</v>
      </c>
      <c r="Z180" s="4" t="str">
        <f>IFERROR(IF(Schedules[[#This Row],[Scheduled]]="OFF","",RIGHT(VLOOKUP(Schedules[[#This Row],[EE ID]],TeamList[],MATCH(Schedules[[#This Row],[DOW]],TeamList[#Headers],0),0),4)),"_NO MATCH")</f>
        <v>6:00</v>
      </c>
    </row>
    <row r="181" spans="19:26" x14ac:dyDescent="0.25">
      <c r="S181" s="209">
        <v>1531714</v>
      </c>
      <c r="T181" s="209" t="str">
        <f>Schedules[[#This Row],[Employee Name]]&amp;Schedules[[#This Row],[DOW]]</f>
        <v>McLean, MichaelTue</v>
      </c>
      <c r="U181" s="4" t="str">
        <f>IFERROR(VLOOKUP(Schedules[[#This Row],[EE ID]],TeamList[],MATCH(Schedules[[#Headers],[Employee Name]],TeamList[#Headers],0),0),"_NO MATCH")</f>
        <v>McLean, Michael</v>
      </c>
      <c r="V181" s="4" t="str">
        <f>IFERROR(VLOOKUP(Schedules[[#This Row],[EE ID]],TeamList[],MATCH(Schedules[[#Headers],[Dept]],TeamList[#Headers],0),0),"_NO MATCH")</f>
        <v>Sup, Customer Service</v>
      </c>
      <c r="W181" s="286" t="s">
        <v>8</v>
      </c>
      <c r="X181" s="4" t="str">
        <f>IFERROR(IF(VLOOKUP(Schedules[[#This Row],[EE ID]],TeamList[],MATCH(Schedules[[#This Row],[DOW]],TeamList[#Headers],0),0)="OFF","OFF","SCH"),"_NO MATCH")</f>
        <v>SCH</v>
      </c>
      <c r="Y181" s="4" t="str">
        <f>IFERROR(IF(Schedules[[#This Row],[Scheduled]]="OFF","",LEFT(VLOOKUP(Schedules[[#This Row],[EE ID]],TeamList[],MATCH(Schedules[[#This Row],[DOW]],TeamList[#Headers],0),0),4)),"_NO MATCH")</f>
        <v>07:0</v>
      </c>
      <c r="Z181" s="4" t="str">
        <f>IFERROR(IF(Schedules[[#This Row],[Scheduled]]="OFF","",RIGHT(VLOOKUP(Schedules[[#This Row],[EE ID]],TeamList[],MATCH(Schedules[[#This Row],[DOW]],TeamList[#Headers],0),0),4)),"_NO MATCH")</f>
        <v>6:00</v>
      </c>
    </row>
    <row r="182" spans="19:26" x14ac:dyDescent="0.25">
      <c r="S182" s="209">
        <v>1531714</v>
      </c>
      <c r="T182" s="209" t="str">
        <f>Schedules[[#This Row],[Employee Name]]&amp;Schedules[[#This Row],[DOW]]</f>
        <v>McLean, MichaelThu</v>
      </c>
      <c r="U182" s="4" t="str">
        <f>IFERROR(VLOOKUP(Schedules[[#This Row],[EE ID]],TeamList[],MATCH(Schedules[[#Headers],[Employee Name]],TeamList[#Headers],0),0),"_NO MATCH")</f>
        <v>McLean, Michael</v>
      </c>
      <c r="V182" s="4" t="str">
        <f>IFERROR(VLOOKUP(Schedules[[#This Row],[EE ID]],TeamList[],MATCH(Schedules[[#Headers],[Dept]],TeamList[#Headers],0),0),"_NO MATCH")</f>
        <v>Sup, Customer Service</v>
      </c>
      <c r="W182" s="286" t="s">
        <v>10</v>
      </c>
      <c r="X182" s="4" t="str">
        <f>IFERROR(IF(VLOOKUP(Schedules[[#This Row],[EE ID]],TeamList[],MATCH(Schedules[[#This Row],[DOW]],TeamList[#Headers],0),0)="OFF","OFF","SCH"),"_NO MATCH")</f>
        <v>SCH</v>
      </c>
      <c r="Y182" s="4" t="str">
        <f>IFERROR(IF(Schedules[[#This Row],[Scheduled]]="OFF","",LEFT(VLOOKUP(Schedules[[#This Row],[EE ID]],TeamList[],MATCH(Schedules[[#This Row],[DOW]],TeamList[#Headers],0),0),4)),"_NO MATCH")</f>
        <v>07:0</v>
      </c>
      <c r="Z182" s="4" t="str">
        <f>IFERROR(IF(Schedules[[#This Row],[Scheduled]]="OFF","",RIGHT(VLOOKUP(Schedules[[#This Row],[EE ID]],TeamList[],MATCH(Schedules[[#This Row],[DOW]],TeamList[#Headers],0),0),4)),"_NO MATCH")</f>
        <v>6:00</v>
      </c>
    </row>
    <row r="183" spans="19:26" x14ac:dyDescent="0.25">
      <c r="S183" s="209">
        <v>1531714</v>
      </c>
      <c r="T183" s="209" t="str">
        <f>Schedules[[#This Row],[Employee Name]]&amp;Schedules[[#This Row],[DOW]]</f>
        <v>McLean, MichaelSun</v>
      </c>
      <c r="U183" s="4" t="str">
        <f>IFERROR(VLOOKUP(Schedules[[#This Row],[EE ID]],TeamList[],MATCH(Schedules[[#Headers],[Employee Name]],TeamList[#Headers],0),0),"_NO MATCH")</f>
        <v>McLean, Michael</v>
      </c>
      <c r="V183" s="4" t="str">
        <f>IFERROR(VLOOKUP(Schedules[[#This Row],[EE ID]],TeamList[],MATCH(Schedules[[#Headers],[Dept]],TeamList[#Headers],0),0),"_NO MATCH")</f>
        <v>Sup, Customer Service</v>
      </c>
      <c r="W183" s="287" t="s">
        <v>6</v>
      </c>
      <c r="X183" s="219" t="str">
        <f>IFERROR(IF(VLOOKUP(Schedules[[#This Row],[EE ID]],TeamList[],MATCH(Schedules[[#This Row],[DOW]],TeamList[#Headers],0),0)="OFF","OFF","SCH"),"_NO MATCH")</f>
        <v>OFF</v>
      </c>
      <c r="Y183" s="219" t="str">
        <f>IFERROR(IF(Schedules[[#This Row],[Scheduled]]="OFF","",LEFT(VLOOKUP(Schedules[[#This Row],[EE ID]],TeamList[],MATCH(Schedules[[#This Row],[DOW]],TeamList[#Headers],0),0),4)),"_NO MATCH")</f>
        <v/>
      </c>
      <c r="Z183" s="219" t="str">
        <f>IFERROR(IF(Schedules[[#This Row],[Scheduled]]="OFF","",RIGHT(VLOOKUP(Schedules[[#This Row],[EE ID]],TeamList[],MATCH(Schedules[[#This Row],[DOW]],TeamList[#Headers],0),0),4)),"_NO MATCH")</f>
        <v/>
      </c>
    </row>
    <row r="184" spans="19:26" x14ac:dyDescent="0.25">
      <c r="S184" s="209">
        <v>1531714</v>
      </c>
      <c r="T184" s="209" t="str">
        <f>Schedules[[#This Row],[Employee Name]]&amp;Schedules[[#This Row],[DOW]]</f>
        <v>McLean, MichaelSat</v>
      </c>
      <c r="U184" s="4" t="str">
        <f>IFERROR(VLOOKUP(Schedules[[#This Row],[EE ID]],TeamList[],MATCH(Schedules[[#Headers],[Employee Name]],TeamList[#Headers],0),0),"_NO MATCH")</f>
        <v>McLean, Michael</v>
      </c>
      <c r="V184" s="4" t="str">
        <f>IFERROR(VLOOKUP(Schedules[[#This Row],[EE ID]],TeamList[],MATCH(Schedules[[#Headers],[Dept]],TeamList[#Headers],0),0),"_NO MATCH")</f>
        <v>Sup, Customer Service</v>
      </c>
      <c r="W184" s="286" t="s">
        <v>12</v>
      </c>
      <c r="X184" s="4" t="str">
        <f>IFERROR(IF(VLOOKUP(Schedules[[#This Row],[EE ID]],TeamList[],MATCH(Schedules[[#This Row],[DOW]],TeamList[#Headers],0),0)="OFF","OFF","SCH"),"_NO MATCH")</f>
        <v>OFF</v>
      </c>
      <c r="Y184" s="4" t="str">
        <f>IFERROR(IF(Schedules[[#This Row],[Scheduled]]="OFF","",LEFT(VLOOKUP(Schedules[[#This Row],[EE ID]],TeamList[],MATCH(Schedules[[#This Row],[DOW]],TeamList[#Headers],0),0),4)),"_NO MATCH")</f>
        <v/>
      </c>
      <c r="Z184" s="4" t="str">
        <f>IFERROR(IF(Schedules[[#This Row],[Scheduled]]="OFF","",RIGHT(VLOOKUP(Schedules[[#This Row],[EE ID]],TeamList[],MATCH(Schedules[[#This Row],[DOW]],TeamList[#Headers],0),0),4)),"_NO MATCH")</f>
        <v/>
      </c>
    </row>
    <row r="185" spans="19:26" x14ac:dyDescent="0.25">
      <c r="S185" s="209">
        <v>1531714</v>
      </c>
      <c r="T185" s="209" t="str">
        <f>Schedules[[#This Row],[Employee Name]]&amp;Schedules[[#This Row],[DOW]]</f>
        <v>McLean, MichaelMon</v>
      </c>
      <c r="U185" s="4" t="str">
        <f>IFERROR(VLOOKUP(Schedules[[#This Row],[EE ID]],TeamList[],MATCH(Schedules[[#Headers],[Employee Name]],TeamList[#Headers],0),0),"_NO MATCH")</f>
        <v>McLean, Michael</v>
      </c>
      <c r="V185" s="4" t="str">
        <f>IFERROR(VLOOKUP(Schedules[[#This Row],[EE ID]],TeamList[],MATCH(Schedules[[#Headers],[Dept]],TeamList[#Headers],0),0),"_NO MATCH")</f>
        <v>Sup, Customer Service</v>
      </c>
      <c r="W185" s="286" t="s">
        <v>7</v>
      </c>
      <c r="X185" s="4" t="str">
        <f>IFERROR(IF(VLOOKUP(Schedules[[#This Row],[EE ID]],TeamList[],MATCH(Schedules[[#This Row],[DOW]],TeamList[#Headers],0),0)="OFF","OFF","SCH"),"_NO MATCH")</f>
        <v>SCH</v>
      </c>
      <c r="Y185" s="4" t="str">
        <f>IFERROR(IF(Schedules[[#This Row],[Scheduled]]="OFF","",LEFT(VLOOKUP(Schedules[[#This Row],[EE ID]],TeamList[],MATCH(Schedules[[#This Row],[DOW]],TeamList[#Headers],0),0),4)),"_NO MATCH")</f>
        <v>07:0</v>
      </c>
      <c r="Z185" s="4" t="str">
        <f>IFERROR(IF(Schedules[[#This Row],[Scheduled]]="OFF","",RIGHT(VLOOKUP(Schedules[[#This Row],[EE ID]],TeamList[],MATCH(Schedules[[#This Row],[DOW]],TeamList[#Headers],0),0),4)),"_NO MATCH")</f>
        <v>6:00</v>
      </c>
    </row>
    <row r="186" spans="19:26" x14ac:dyDescent="0.25">
      <c r="S186" s="209">
        <v>1531714</v>
      </c>
      <c r="T186" s="209" t="str">
        <f>Schedules[[#This Row],[Employee Name]]&amp;Schedules[[#This Row],[DOW]]</f>
        <v>McLean, MichaelFri</v>
      </c>
      <c r="U186" s="4" t="str">
        <f>IFERROR(VLOOKUP(Schedules[[#This Row],[EE ID]],TeamList[],MATCH(Schedules[[#Headers],[Employee Name]],TeamList[#Headers],0),0),"_NO MATCH")</f>
        <v>McLean, Michael</v>
      </c>
      <c r="V186" s="4" t="str">
        <f>IFERROR(VLOOKUP(Schedules[[#This Row],[EE ID]],TeamList[],MATCH(Schedules[[#Headers],[Dept]],TeamList[#Headers],0),0),"_NO MATCH")</f>
        <v>Sup, Customer Service</v>
      </c>
      <c r="W186" s="286" t="s">
        <v>11</v>
      </c>
      <c r="X186" s="4" t="str">
        <f>IFERROR(IF(VLOOKUP(Schedules[[#This Row],[EE ID]],TeamList[],MATCH(Schedules[[#This Row],[DOW]],TeamList[#Headers],0),0)="OFF","OFF","SCH"),"_NO MATCH")</f>
        <v>SCH</v>
      </c>
      <c r="Y186" s="4" t="str">
        <f>IFERROR(IF(Schedules[[#This Row],[Scheduled]]="OFF","",LEFT(VLOOKUP(Schedules[[#This Row],[EE ID]],TeamList[],MATCH(Schedules[[#This Row],[DOW]],TeamList[#Headers],0),0),4)),"_NO MATCH")</f>
        <v>07:0</v>
      </c>
      <c r="Z186" s="4" t="str">
        <f>IFERROR(IF(Schedules[[#This Row],[Scheduled]]="OFF","",RIGHT(VLOOKUP(Schedules[[#This Row],[EE ID]],TeamList[],MATCH(Schedules[[#This Row],[DOW]],TeamList[#Headers],0),0),4)),"_NO MATCH")</f>
        <v>6:00</v>
      </c>
    </row>
    <row r="187" spans="19:26" x14ac:dyDescent="0.25">
      <c r="S187" s="209">
        <v>1514220</v>
      </c>
      <c r="T187" s="209" t="str">
        <f>Schedules[[#This Row],[Employee Name]]&amp;Schedules[[#This Row],[DOW]]</f>
        <v>McFall, ErinWed</v>
      </c>
      <c r="U187" s="4" t="str">
        <f>IFERROR(VLOOKUP(Schedules[[#This Row],[EE ID]],TeamList[],MATCH(Schedules[[#Headers],[Employee Name]],TeamList[#Headers],0),0),"_NO MATCH")</f>
        <v>McFall, Erin</v>
      </c>
      <c r="V187" s="4" t="str">
        <f>IFERROR(VLOOKUP(Schedules[[#This Row],[EE ID]],TeamList[],MATCH(Schedules[[#Headers],[Dept]],TeamList[#Headers],0),0),"_NO MATCH")</f>
        <v>Sup, Customer Service</v>
      </c>
      <c r="W187" s="286" t="s">
        <v>9</v>
      </c>
      <c r="X187" s="4" t="str">
        <f>IFERROR(IF(VLOOKUP(Schedules[[#This Row],[EE ID]],TeamList[],MATCH(Schedules[[#This Row],[DOW]],TeamList[#Headers],0),0)="OFF","OFF","SCH"),"_NO MATCH")</f>
        <v>SCH</v>
      </c>
      <c r="Y187" s="4" t="str">
        <f>IFERROR(IF(Schedules[[#This Row],[Scheduled]]="OFF","",LEFT(VLOOKUP(Schedules[[#This Row],[EE ID]],TeamList[],MATCH(Schedules[[#This Row],[DOW]],TeamList[#Headers],0),0),4)),"_NO MATCH")</f>
        <v>04:4</v>
      </c>
      <c r="Z187" s="4" t="str">
        <f>IFERROR(IF(Schedules[[#This Row],[Scheduled]]="OFF","",RIGHT(VLOOKUP(Schedules[[#This Row],[EE ID]],TeamList[],MATCH(Schedules[[#This Row],[DOW]],TeamList[#Headers],0),0),4)),"_NO MATCH")</f>
        <v>3:45</v>
      </c>
    </row>
    <row r="188" spans="19:26" x14ac:dyDescent="0.25">
      <c r="S188" s="209">
        <v>1514220</v>
      </c>
      <c r="T188" s="209" t="str">
        <f>Schedules[[#This Row],[Employee Name]]&amp;Schedules[[#This Row],[DOW]]</f>
        <v>McFall, ErinTue</v>
      </c>
      <c r="U188" s="4" t="str">
        <f>IFERROR(VLOOKUP(Schedules[[#This Row],[EE ID]],TeamList[],MATCH(Schedules[[#Headers],[Employee Name]],TeamList[#Headers],0),0),"_NO MATCH")</f>
        <v>McFall, Erin</v>
      </c>
      <c r="V188" s="4" t="str">
        <f>IFERROR(VLOOKUP(Schedules[[#This Row],[EE ID]],TeamList[],MATCH(Schedules[[#Headers],[Dept]],TeamList[#Headers],0),0),"_NO MATCH")</f>
        <v>Sup, Customer Service</v>
      </c>
      <c r="W188" s="286" t="s">
        <v>8</v>
      </c>
      <c r="X188" s="4" t="str">
        <f>IFERROR(IF(VLOOKUP(Schedules[[#This Row],[EE ID]],TeamList[],MATCH(Schedules[[#This Row],[DOW]],TeamList[#Headers],0),0)="OFF","OFF","SCH"),"_NO MATCH")</f>
        <v>SCH</v>
      </c>
      <c r="Y188" s="4" t="str">
        <f>IFERROR(IF(Schedules[[#This Row],[Scheduled]]="OFF","",LEFT(VLOOKUP(Schedules[[#This Row],[EE ID]],TeamList[],MATCH(Schedules[[#This Row],[DOW]],TeamList[#Headers],0),0),4)),"_NO MATCH")</f>
        <v>04:4</v>
      </c>
      <c r="Z188" s="4" t="str">
        <f>IFERROR(IF(Schedules[[#This Row],[Scheduled]]="OFF","",RIGHT(VLOOKUP(Schedules[[#This Row],[EE ID]],TeamList[],MATCH(Schedules[[#This Row],[DOW]],TeamList[#Headers],0),0),4)),"_NO MATCH")</f>
        <v>3:45</v>
      </c>
    </row>
    <row r="189" spans="19:26" x14ac:dyDescent="0.25">
      <c r="S189" s="209">
        <v>1514220</v>
      </c>
      <c r="T189" s="209" t="str">
        <f>Schedules[[#This Row],[Employee Name]]&amp;Schedules[[#This Row],[DOW]]</f>
        <v>McFall, ErinThu</v>
      </c>
      <c r="U189" s="4" t="str">
        <f>IFERROR(VLOOKUP(Schedules[[#This Row],[EE ID]],TeamList[],MATCH(Schedules[[#Headers],[Employee Name]],TeamList[#Headers],0),0),"_NO MATCH")</f>
        <v>McFall, Erin</v>
      </c>
      <c r="V189" s="4" t="str">
        <f>IFERROR(VLOOKUP(Schedules[[#This Row],[EE ID]],TeamList[],MATCH(Schedules[[#Headers],[Dept]],TeamList[#Headers],0),0),"_NO MATCH")</f>
        <v>Sup, Customer Service</v>
      </c>
      <c r="W189" s="286" t="s">
        <v>10</v>
      </c>
      <c r="X189" s="4" t="str">
        <f>IFERROR(IF(VLOOKUP(Schedules[[#This Row],[EE ID]],TeamList[],MATCH(Schedules[[#This Row],[DOW]],TeamList[#Headers],0),0)="OFF","OFF","SCH"),"_NO MATCH")</f>
        <v>SCH</v>
      </c>
      <c r="Y189" s="4" t="str">
        <f>IFERROR(IF(Schedules[[#This Row],[Scheduled]]="OFF","",LEFT(VLOOKUP(Schedules[[#This Row],[EE ID]],TeamList[],MATCH(Schedules[[#This Row],[DOW]],TeamList[#Headers],0),0),4)),"_NO MATCH")</f>
        <v>04:4</v>
      </c>
      <c r="Z189" s="4" t="str">
        <f>IFERROR(IF(Schedules[[#This Row],[Scheduled]]="OFF","",RIGHT(VLOOKUP(Schedules[[#This Row],[EE ID]],TeamList[],MATCH(Schedules[[#This Row],[DOW]],TeamList[#Headers],0),0),4)),"_NO MATCH")</f>
        <v>3:45</v>
      </c>
    </row>
    <row r="190" spans="19:26" x14ac:dyDescent="0.25">
      <c r="S190" s="209">
        <v>1514220</v>
      </c>
      <c r="T190" s="209" t="str">
        <f>Schedules[[#This Row],[Employee Name]]&amp;Schedules[[#This Row],[DOW]]</f>
        <v>McFall, ErinSun</v>
      </c>
      <c r="U190" s="4" t="str">
        <f>IFERROR(VLOOKUP(Schedules[[#This Row],[EE ID]],TeamList[],MATCH(Schedules[[#Headers],[Employee Name]],TeamList[#Headers],0),0),"_NO MATCH")</f>
        <v>McFall, Erin</v>
      </c>
      <c r="V190" s="4" t="str">
        <f>IFERROR(VLOOKUP(Schedules[[#This Row],[EE ID]],TeamList[],MATCH(Schedules[[#Headers],[Dept]],TeamList[#Headers],0),0),"_NO MATCH")</f>
        <v>Sup, Customer Service</v>
      </c>
      <c r="W190" s="287" t="s">
        <v>6</v>
      </c>
      <c r="X190" s="4" t="str">
        <f>IFERROR(IF(VLOOKUP(Schedules[[#This Row],[EE ID]],TeamList[],MATCH(Schedules[[#This Row],[DOW]],TeamList[#Headers],0),0)="OFF","OFF","SCH"),"_NO MATCH")</f>
        <v>SCH</v>
      </c>
      <c r="Y190" s="4" t="str">
        <f>IFERROR(IF(Schedules[[#This Row],[Scheduled]]="OFF","",LEFT(VLOOKUP(Schedules[[#This Row],[EE ID]],TeamList[],MATCH(Schedules[[#This Row],[DOW]],TeamList[#Headers],0),0),4)),"_NO MATCH")</f>
        <v>04:4</v>
      </c>
      <c r="Z190" s="4" t="str">
        <f>IFERROR(IF(Schedules[[#This Row],[Scheduled]]="OFF","",RIGHT(VLOOKUP(Schedules[[#This Row],[EE ID]],TeamList[],MATCH(Schedules[[#This Row],[DOW]],TeamList[#Headers],0),0),4)),"_NO MATCH")</f>
        <v>3:45</v>
      </c>
    </row>
    <row r="191" spans="19:26" x14ac:dyDescent="0.25">
      <c r="S191" s="209">
        <v>1514220</v>
      </c>
      <c r="T191" s="209" t="str">
        <f>Schedules[[#This Row],[Employee Name]]&amp;Schedules[[#This Row],[DOW]]</f>
        <v>McFall, ErinSat</v>
      </c>
      <c r="U191" s="4" t="str">
        <f>IFERROR(VLOOKUP(Schedules[[#This Row],[EE ID]],TeamList[],MATCH(Schedules[[#Headers],[Employee Name]],TeamList[#Headers],0),0),"_NO MATCH")</f>
        <v>McFall, Erin</v>
      </c>
      <c r="V191" s="4" t="str">
        <f>IFERROR(VLOOKUP(Schedules[[#This Row],[EE ID]],TeamList[],MATCH(Schedules[[#Headers],[Dept]],TeamList[#Headers],0),0),"_NO MATCH")</f>
        <v>Sup, Customer Service</v>
      </c>
      <c r="W191" s="286" t="s">
        <v>12</v>
      </c>
      <c r="X191" s="4" t="str">
        <f>IFERROR(IF(VLOOKUP(Schedules[[#This Row],[EE ID]],TeamList[],MATCH(Schedules[[#This Row],[DOW]],TeamList[#Headers],0),0)="OFF","OFF","SCH"),"_NO MATCH")</f>
        <v>OFF</v>
      </c>
      <c r="Y191" s="4" t="str">
        <f>IFERROR(IF(Schedules[[#This Row],[Scheduled]]="OFF","",LEFT(VLOOKUP(Schedules[[#This Row],[EE ID]],TeamList[],MATCH(Schedules[[#This Row],[DOW]],TeamList[#Headers],0),0),4)),"_NO MATCH")</f>
        <v/>
      </c>
      <c r="Z191" s="4" t="str">
        <f>IFERROR(IF(Schedules[[#This Row],[Scheduled]]="OFF","",RIGHT(VLOOKUP(Schedules[[#This Row],[EE ID]],TeamList[],MATCH(Schedules[[#This Row],[DOW]],TeamList[#Headers],0),0),4)),"_NO MATCH")</f>
        <v/>
      </c>
    </row>
    <row r="192" spans="19:26" x14ac:dyDescent="0.25">
      <c r="S192" s="209">
        <v>1514220</v>
      </c>
      <c r="T192" s="209" t="str">
        <f>Schedules[[#This Row],[Employee Name]]&amp;Schedules[[#This Row],[DOW]]</f>
        <v>McFall, ErinMon</v>
      </c>
      <c r="U192" s="4" t="str">
        <f>IFERROR(VLOOKUP(Schedules[[#This Row],[EE ID]],TeamList[],MATCH(Schedules[[#Headers],[Employee Name]],TeamList[#Headers],0),0),"_NO MATCH")</f>
        <v>McFall, Erin</v>
      </c>
      <c r="V192" s="4" t="str">
        <f>IFERROR(VLOOKUP(Schedules[[#This Row],[EE ID]],TeamList[],MATCH(Schedules[[#Headers],[Dept]],TeamList[#Headers],0),0),"_NO MATCH")</f>
        <v>Sup, Customer Service</v>
      </c>
      <c r="W192" s="286" t="s">
        <v>7</v>
      </c>
      <c r="X192" s="4" t="str">
        <f>IFERROR(IF(VLOOKUP(Schedules[[#This Row],[EE ID]],TeamList[],MATCH(Schedules[[#This Row],[DOW]],TeamList[#Headers],0),0)="OFF","OFF","SCH"),"_NO MATCH")</f>
        <v>SCH</v>
      </c>
      <c r="Y192" s="4" t="str">
        <f>IFERROR(IF(Schedules[[#This Row],[Scheduled]]="OFF","",LEFT(VLOOKUP(Schedules[[#This Row],[EE ID]],TeamList[],MATCH(Schedules[[#This Row],[DOW]],TeamList[#Headers],0),0),4)),"_NO MATCH")</f>
        <v>04:4</v>
      </c>
      <c r="Z192" s="4" t="str">
        <f>IFERROR(IF(Schedules[[#This Row],[Scheduled]]="OFF","",RIGHT(VLOOKUP(Schedules[[#This Row],[EE ID]],TeamList[],MATCH(Schedules[[#This Row],[DOW]],TeamList[#Headers],0),0),4)),"_NO MATCH")</f>
        <v>3:45</v>
      </c>
    </row>
    <row r="193" spans="19:26" x14ac:dyDescent="0.25">
      <c r="S193" s="209">
        <v>1514220</v>
      </c>
      <c r="T193" s="209" t="str">
        <f>Schedules[[#This Row],[Employee Name]]&amp;Schedules[[#This Row],[DOW]]</f>
        <v>McFall, ErinFri</v>
      </c>
      <c r="U193" s="4" t="str">
        <f>IFERROR(VLOOKUP(Schedules[[#This Row],[EE ID]],TeamList[],MATCH(Schedules[[#Headers],[Employee Name]],TeamList[#Headers],0),0),"_NO MATCH")</f>
        <v>McFall, Erin</v>
      </c>
      <c r="V193" s="4" t="str">
        <f>IFERROR(VLOOKUP(Schedules[[#This Row],[EE ID]],TeamList[],MATCH(Schedules[[#Headers],[Dept]],TeamList[#Headers],0),0),"_NO MATCH")</f>
        <v>Sup, Customer Service</v>
      </c>
      <c r="W193" s="286" t="s">
        <v>11</v>
      </c>
      <c r="X193" s="4" t="str">
        <f>IFERROR(IF(VLOOKUP(Schedules[[#This Row],[EE ID]],TeamList[],MATCH(Schedules[[#This Row],[DOW]],TeamList[#Headers],0),0)="OFF","OFF","SCH"),"_NO MATCH")</f>
        <v>OFF</v>
      </c>
      <c r="Y193" s="4" t="str">
        <f>IFERROR(IF(Schedules[[#This Row],[Scheduled]]="OFF","",LEFT(VLOOKUP(Schedules[[#This Row],[EE ID]],TeamList[],MATCH(Schedules[[#This Row],[DOW]],TeamList[#Headers],0),0),4)),"_NO MATCH")</f>
        <v/>
      </c>
      <c r="Z193" s="4" t="str">
        <f>IFERROR(IF(Schedules[[#This Row],[Scheduled]]="OFF","",RIGHT(VLOOKUP(Schedules[[#This Row],[EE ID]],TeamList[],MATCH(Schedules[[#This Row],[DOW]],TeamList[#Headers],0),0),4)),"_NO MATCH")</f>
        <v/>
      </c>
    </row>
    <row r="194" spans="19:26" x14ac:dyDescent="0.25">
      <c r="S194" s="209">
        <v>1511019</v>
      </c>
      <c r="T194" s="209" t="str">
        <f>Schedules[[#This Row],[Employee Name]]&amp;Schedules[[#This Row],[DOW]]</f>
        <v>Martin, GaryWed</v>
      </c>
      <c r="U194" s="4" t="str">
        <f>IFERROR(VLOOKUP(Schedules[[#This Row],[EE ID]],TeamList[],MATCH(Schedules[[#Headers],[Employee Name]],TeamList[#Headers],0),0),"_NO MATCH")</f>
        <v>Martin, Gary</v>
      </c>
      <c r="V194" s="4" t="str">
        <f>IFERROR(VLOOKUP(Schedules[[#This Row],[EE ID]],TeamList[],MATCH(Schedules[[#Headers],[Dept]],TeamList[#Headers],0),0),"_NO MATCH")</f>
        <v>Sup, Customer Service</v>
      </c>
      <c r="W194" s="286" t="s">
        <v>9</v>
      </c>
      <c r="X194" s="4" t="str">
        <f>IFERROR(IF(VLOOKUP(Schedules[[#This Row],[EE ID]],TeamList[],MATCH(Schedules[[#This Row],[DOW]],TeamList[#Headers],0),0)="OFF","OFF","SCH"),"_NO MATCH")</f>
        <v>SCH</v>
      </c>
      <c r="Y194" s="4" t="str">
        <f>IFERROR(IF(Schedules[[#This Row],[Scheduled]]="OFF","",LEFT(VLOOKUP(Schedules[[#This Row],[EE ID]],TeamList[],MATCH(Schedules[[#This Row],[DOW]],TeamList[#Headers],0),0),4)),"_NO MATCH")</f>
        <v>08:3</v>
      </c>
      <c r="Z194" s="4" t="str">
        <f>IFERROR(IF(Schedules[[#This Row],[Scheduled]]="OFF","",RIGHT(VLOOKUP(Schedules[[#This Row],[EE ID]],TeamList[],MATCH(Schedules[[#This Row],[DOW]],TeamList[#Headers],0),0),4)),"_NO MATCH")</f>
        <v>7:30</v>
      </c>
    </row>
    <row r="195" spans="19:26" x14ac:dyDescent="0.25">
      <c r="S195" s="209">
        <v>1511019</v>
      </c>
      <c r="T195" s="209" t="str">
        <f>Schedules[[#This Row],[Employee Name]]&amp;Schedules[[#This Row],[DOW]]</f>
        <v>Martin, GaryTue</v>
      </c>
      <c r="U195" s="4" t="str">
        <f>IFERROR(VLOOKUP(Schedules[[#This Row],[EE ID]],TeamList[],MATCH(Schedules[[#Headers],[Employee Name]],TeamList[#Headers],0),0),"_NO MATCH")</f>
        <v>Martin, Gary</v>
      </c>
      <c r="V195" s="4" t="str">
        <f>IFERROR(VLOOKUP(Schedules[[#This Row],[EE ID]],TeamList[],MATCH(Schedules[[#Headers],[Dept]],TeamList[#Headers],0),0),"_NO MATCH")</f>
        <v>Sup, Customer Service</v>
      </c>
      <c r="W195" s="286" t="s">
        <v>8</v>
      </c>
      <c r="X195" s="4" t="str">
        <f>IFERROR(IF(VLOOKUP(Schedules[[#This Row],[EE ID]],TeamList[],MATCH(Schedules[[#This Row],[DOW]],TeamList[#Headers],0),0)="OFF","OFF","SCH"),"_NO MATCH")</f>
        <v>SCH</v>
      </c>
      <c r="Y195" s="4" t="str">
        <f>IFERROR(IF(Schedules[[#This Row],[Scheduled]]="OFF","",LEFT(VLOOKUP(Schedules[[#This Row],[EE ID]],TeamList[],MATCH(Schedules[[#This Row],[DOW]],TeamList[#Headers],0),0),4)),"_NO MATCH")</f>
        <v>08:3</v>
      </c>
      <c r="Z195" s="4" t="str">
        <f>IFERROR(IF(Schedules[[#This Row],[Scheduled]]="OFF","",RIGHT(VLOOKUP(Schedules[[#This Row],[EE ID]],TeamList[],MATCH(Schedules[[#This Row],[DOW]],TeamList[#Headers],0),0),4)),"_NO MATCH")</f>
        <v>7:30</v>
      </c>
    </row>
    <row r="196" spans="19:26" x14ac:dyDescent="0.25">
      <c r="S196" s="209">
        <v>1511019</v>
      </c>
      <c r="T196" s="209" t="str">
        <f>Schedules[[#This Row],[Employee Name]]&amp;Schedules[[#This Row],[DOW]]</f>
        <v>Martin, GaryThu</v>
      </c>
      <c r="U196" s="4" t="str">
        <f>IFERROR(VLOOKUP(Schedules[[#This Row],[EE ID]],TeamList[],MATCH(Schedules[[#Headers],[Employee Name]],TeamList[#Headers],0),0),"_NO MATCH")</f>
        <v>Martin, Gary</v>
      </c>
      <c r="V196" s="4" t="str">
        <f>IFERROR(VLOOKUP(Schedules[[#This Row],[EE ID]],TeamList[],MATCH(Schedules[[#Headers],[Dept]],TeamList[#Headers],0),0),"_NO MATCH")</f>
        <v>Sup, Customer Service</v>
      </c>
      <c r="W196" s="286" t="s">
        <v>10</v>
      </c>
      <c r="X196" s="4" t="str">
        <f>IFERROR(IF(VLOOKUP(Schedules[[#This Row],[EE ID]],TeamList[],MATCH(Schedules[[#This Row],[DOW]],TeamList[#Headers],0),0)="OFF","OFF","SCH"),"_NO MATCH")</f>
        <v>SCH</v>
      </c>
      <c r="Y196" s="4" t="str">
        <f>IFERROR(IF(Schedules[[#This Row],[Scheduled]]="OFF","",LEFT(VLOOKUP(Schedules[[#This Row],[EE ID]],TeamList[],MATCH(Schedules[[#This Row],[DOW]],TeamList[#Headers],0),0),4)),"_NO MATCH")</f>
        <v>08:3</v>
      </c>
      <c r="Z196" s="4" t="str">
        <f>IFERROR(IF(Schedules[[#This Row],[Scheduled]]="OFF","",RIGHT(VLOOKUP(Schedules[[#This Row],[EE ID]],TeamList[],MATCH(Schedules[[#This Row],[DOW]],TeamList[#Headers],0),0),4)),"_NO MATCH")</f>
        <v>7:30</v>
      </c>
    </row>
    <row r="197" spans="19:26" x14ac:dyDescent="0.25">
      <c r="S197" s="209">
        <v>1511019</v>
      </c>
      <c r="T197" s="209" t="str">
        <f>Schedules[[#This Row],[Employee Name]]&amp;Schedules[[#This Row],[DOW]]</f>
        <v>Martin, GarySun</v>
      </c>
      <c r="U197" s="4" t="str">
        <f>IFERROR(VLOOKUP(Schedules[[#This Row],[EE ID]],TeamList[],MATCH(Schedules[[#Headers],[Employee Name]],TeamList[#Headers],0),0),"_NO MATCH")</f>
        <v>Martin, Gary</v>
      </c>
      <c r="V197" s="4" t="str">
        <f>IFERROR(VLOOKUP(Schedules[[#This Row],[EE ID]],TeamList[],MATCH(Schedules[[#Headers],[Dept]],TeamList[#Headers],0),0),"_NO MATCH")</f>
        <v>Sup, Customer Service</v>
      </c>
      <c r="W197" s="287" t="s">
        <v>6</v>
      </c>
      <c r="X197" s="219" t="str">
        <f>IFERROR(IF(VLOOKUP(Schedules[[#This Row],[EE ID]],TeamList[],MATCH(Schedules[[#This Row],[DOW]],TeamList[#Headers],0),0)="OFF","OFF","SCH"),"_NO MATCH")</f>
        <v>OFF</v>
      </c>
      <c r="Y197" s="219" t="str">
        <f>IFERROR(IF(Schedules[[#This Row],[Scheduled]]="OFF","",LEFT(VLOOKUP(Schedules[[#This Row],[EE ID]],TeamList[],MATCH(Schedules[[#This Row],[DOW]],TeamList[#Headers],0),0),4)),"_NO MATCH")</f>
        <v/>
      </c>
      <c r="Z197" s="219" t="str">
        <f>IFERROR(IF(Schedules[[#This Row],[Scheduled]]="OFF","",RIGHT(VLOOKUP(Schedules[[#This Row],[EE ID]],TeamList[],MATCH(Schedules[[#This Row],[DOW]],TeamList[#Headers],0),0),4)),"_NO MATCH")</f>
        <v/>
      </c>
    </row>
    <row r="198" spans="19:26" x14ac:dyDescent="0.25">
      <c r="S198" s="209">
        <v>1511019</v>
      </c>
      <c r="T198" s="209" t="str">
        <f>Schedules[[#This Row],[Employee Name]]&amp;Schedules[[#This Row],[DOW]]</f>
        <v>Martin, GarySat</v>
      </c>
      <c r="U198" s="4" t="str">
        <f>IFERROR(VLOOKUP(Schedules[[#This Row],[EE ID]],TeamList[],MATCH(Schedules[[#Headers],[Employee Name]],TeamList[#Headers],0),0),"_NO MATCH")</f>
        <v>Martin, Gary</v>
      </c>
      <c r="V198" s="4" t="str">
        <f>IFERROR(VLOOKUP(Schedules[[#This Row],[EE ID]],TeamList[],MATCH(Schedules[[#Headers],[Dept]],TeamList[#Headers],0),0),"_NO MATCH")</f>
        <v>Sup, Customer Service</v>
      </c>
      <c r="W198" s="286" t="s">
        <v>12</v>
      </c>
      <c r="X198" s="4" t="str">
        <f>IFERROR(IF(VLOOKUP(Schedules[[#This Row],[EE ID]],TeamList[],MATCH(Schedules[[#This Row],[DOW]],TeamList[#Headers],0),0)="OFF","OFF","SCH"),"_NO MATCH")</f>
        <v>OFF</v>
      </c>
      <c r="Y198" s="4" t="str">
        <f>IFERROR(IF(Schedules[[#This Row],[Scheduled]]="OFF","",LEFT(VLOOKUP(Schedules[[#This Row],[EE ID]],TeamList[],MATCH(Schedules[[#This Row],[DOW]],TeamList[#Headers],0),0),4)),"_NO MATCH")</f>
        <v/>
      </c>
      <c r="Z198" s="4" t="str">
        <f>IFERROR(IF(Schedules[[#This Row],[Scheduled]]="OFF","",RIGHT(VLOOKUP(Schedules[[#This Row],[EE ID]],TeamList[],MATCH(Schedules[[#This Row],[DOW]],TeamList[#Headers],0),0),4)),"_NO MATCH")</f>
        <v/>
      </c>
    </row>
    <row r="199" spans="19:26" x14ac:dyDescent="0.25">
      <c r="S199" s="209">
        <v>1511019</v>
      </c>
      <c r="T199" s="209" t="str">
        <f>Schedules[[#This Row],[Employee Name]]&amp;Schedules[[#This Row],[DOW]]</f>
        <v>Martin, GaryMon</v>
      </c>
      <c r="U199" s="4" t="str">
        <f>IFERROR(VLOOKUP(Schedules[[#This Row],[EE ID]],TeamList[],MATCH(Schedules[[#Headers],[Employee Name]],TeamList[#Headers],0),0),"_NO MATCH")</f>
        <v>Martin, Gary</v>
      </c>
      <c r="V199" s="4" t="str">
        <f>IFERROR(VLOOKUP(Schedules[[#This Row],[EE ID]],TeamList[],MATCH(Schedules[[#Headers],[Dept]],TeamList[#Headers],0),0),"_NO MATCH")</f>
        <v>Sup, Customer Service</v>
      </c>
      <c r="W199" s="286" t="s">
        <v>7</v>
      </c>
      <c r="X199" s="4" t="str">
        <f>IFERROR(IF(VLOOKUP(Schedules[[#This Row],[EE ID]],TeamList[],MATCH(Schedules[[#This Row],[DOW]],TeamList[#Headers],0),0)="OFF","OFF","SCH"),"_NO MATCH")</f>
        <v>SCH</v>
      </c>
      <c r="Y199" s="4" t="str">
        <f>IFERROR(IF(Schedules[[#This Row],[Scheduled]]="OFF","",LEFT(VLOOKUP(Schedules[[#This Row],[EE ID]],TeamList[],MATCH(Schedules[[#This Row],[DOW]],TeamList[#Headers],0),0),4)),"_NO MATCH")</f>
        <v>08:3</v>
      </c>
      <c r="Z199" s="4" t="str">
        <f>IFERROR(IF(Schedules[[#This Row],[Scheduled]]="OFF","",RIGHT(VLOOKUP(Schedules[[#This Row],[EE ID]],TeamList[],MATCH(Schedules[[#This Row],[DOW]],TeamList[#Headers],0),0),4)),"_NO MATCH")</f>
        <v>7:30</v>
      </c>
    </row>
    <row r="200" spans="19:26" x14ac:dyDescent="0.25">
      <c r="S200" s="209">
        <v>1511019</v>
      </c>
      <c r="T200" s="209" t="str">
        <f>Schedules[[#This Row],[Employee Name]]&amp;Schedules[[#This Row],[DOW]]</f>
        <v>Martin, GaryFri</v>
      </c>
      <c r="U200" s="4" t="str">
        <f>IFERROR(VLOOKUP(Schedules[[#This Row],[EE ID]],TeamList[],MATCH(Schedules[[#Headers],[Employee Name]],TeamList[#Headers],0),0),"_NO MATCH")</f>
        <v>Martin, Gary</v>
      </c>
      <c r="V200" s="4" t="str">
        <f>IFERROR(VLOOKUP(Schedules[[#This Row],[EE ID]],TeamList[],MATCH(Schedules[[#Headers],[Dept]],TeamList[#Headers],0),0),"_NO MATCH")</f>
        <v>Sup, Customer Service</v>
      </c>
      <c r="W200" s="286" t="s">
        <v>11</v>
      </c>
      <c r="X200" s="4" t="str">
        <f>IFERROR(IF(VLOOKUP(Schedules[[#This Row],[EE ID]],TeamList[],MATCH(Schedules[[#This Row],[DOW]],TeamList[#Headers],0),0)="OFF","OFF","SCH"),"_NO MATCH")</f>
        <v>SCH</v>
      </c>
      <c r="Y200" s="4" t="str">
        <f>IFERROR(IF(Schedules[[#This Row],[Scheduled]]="OFF","",LEFT(VLOOKUP(Schedules[[#This Row],[EE ID]],TeamList[],MATCH(Schedules[[#This Row],[DOW]],TeamList[#Headers],0),0),4)),"_NO MATCH")</f>
        <v>08:3</v>
      </c>
      <c r="Z200" s="4" t="str">
        <f>IFERROR(IF(Schedules[[#This Row],[Scheduled]]="OFF","",RIGHT(VLOOKUP(Schedules[[#This Row],[EE ID]],TeamList[],MATCH(Schedules[[#This Row],[DOW]],TeamList[#Headers],0),0),4)),"_NO MATCH")</f>
        <v>7:30</v>
      </c>
    </row>
    <row r="201" spans="19:26" x14ac:dyDescent="0.25">
      <c r="S201" s="209">
        <v>1516826</v>
      </c>
      <c r="T201" s="209" t="str">
        <f>Schedules[[#This Row],[Employee Name]]&amp;Schedules[[#This Row],[DOW]]</f>
        <v>Madamba, AnthonyWed</v>
      </c>
      <c r="U201" s="4" t="str">
        <f>IFERROR(VLOOKUP(Schedules[[#This Row],[EE ID]],TeamList[],MATCH(Schedules[[#Headers],[Employee Name]],TeamList[#Headers],0),0),"_NO MATCH")</f>
        <v>Madamba, Anthony</v>
      </c>
      <c r="V201" s="4" t="str">
        <f>IFERROR(VLOOKUP(Schedules[[#This Row],[EE ID]],TeamList[],MATCH(Schedules[[#Headers],[Dept]],TeamList[#Headers],0),0),"_NO MATCH")</f>
        <v>Sup, Customer Service</v>
      </c>
      <c r="W201" s="286" t="s">
        <v>9</v>
      </c>
      <c r="X201" s="4" t="str">
        <f>IFERROR(IF(VLOOKUP(Schedules[[#This Row],[EE ID]],TeamList[],MATCH(Schedules[[#This Row],[DOW]],TeamList[#Headers],0),0)="OFF","OFF","SCH"),"_NO MATCH")</f>
        <v>OFF</v>
      </c>
      <c r="Y201" s="4" t="str">
        <f>IFERROR(IF(Schedules[[#This Row],[Scheduled]]="OFF","",LEFT(VLOOKUP(Schedules[[#This Row],[EE ID]],TeamList[],MATCH(Schedules[[#This Row],[DOW]],TeamList[#Headers],0),0),4)),"_NO MATCH")</f>
        <v/>
      </c>
      <c r="Z201" s="4" t="str">
        <f>IFERROR(IF(Schedules[[#This Row],[Scheduled]]="OFF","",RIGHT(VLOOKUP(Schedules[[#This Row],[EE ID]],TeamList[],MATCH(Schedules[[#This Row],[DOW]],TeamList[#Headers],0),0),4)),"_NO MATCH")</f>
        <v/>
      </c>
    </row>
    <row r="202" spans="19:26" x14ac:dyDescent="0.25">
      <c r="S202" s="209">
        <v>1516826</v>
      </c>
      <c r="T202" s="209" t="str">
        <f>Schedules[[#This Row],[Employee Name]]&amp;Schedules[[#This Row],[DOW]]</f>
        <v>Madamba, AnthonyTue</v>
      </c>
      <c r="U202" s="4" t="str">
        <f>IFERROR(VLOOKUP(Schedules[[#This Row],[EE ID]],TeamList[],MATCH(Schedules[[#Headers],[Employee Name]],TeamList[#Headers],0),0),"_NO MATCH")</f>
        <v>Madamba, Anthony</v>
      </c>
      <c r="V202" s="4" t="str">
        <f>IFERROR(VLOOKUP(Schedules[[#This Row],[EE ID]],TeamList[],MATCH(Schedules[[#Headers],[Dept]],TeamList[#Headers],0),0),"_NO MATCH")</f>
        <v>Sup, Customer Service</v>
      </c>
      <c r="W202" s="286" t="s">
        <v>8</v>
      </c>
      <c r="X202" s="4" t="str">
        <f>IFERROR(IF(VLOOKUP(Schedules[[#This Row],[EE ID]],TeamList[],MATCH(Schedules[[#This Row],[DOW]],TeamList[#Headers],0),0)="OFF","OFF","SCH"),"_NO MATCH")</f>
        <v>OFF</v>
      </c>
      <c r="Y202" s="4" t="str">
        <f>IFERROR(IF(Schedules[[#This Row],[Scheduled]]="OFF","",LEFT(VLOOKUP(Schedules[[#This Row],[EE ID]],TeamList[],MATCH(Schedules[[#This Row],[DOW]],TeamList[#Headers],0),0),4)),"_NO MATCH")</f>
        <v/>
      </c>
      <c r="Z202" s="4" t="str">
        <f>IFERROR(IF(Schedules[[#This Row],[Scheduled]]="OFF","",RIGHT(VLOOKUP(Schedules[[#This Row],[EE ID]],TeamList[],MATCH(Schedules[[#This Row],[DOW]],TeamList[#Headers],0),0),4)),"_NO MATCH")</f>
        <v/>
      </c>
    </row>
    <row r="203" spans="19:26" x14ac:dyDescent="0.25">
      <c r="S203" s="209">
        <v>1516826</v>
      </c>
      <c r="T203" s="209" t="str">
        <f>Schedules[[#This Row],[Employee Name]]&amp;Schedules[[#This Row],[DOW]]</f>
        <v>Madamba, AnthonyThu</v>
      </c>
      <c r="U203" s="4" t="str">
        <f>IFERROR(VLOOKUP(Schedules[[#This Row],[EE ID]],TeamList[],MATCH(Schedules[[#Headers],[Employee Name]],TeamList[#Headers],0),0),"_NO MATCH")</f>
        <v>Madamba, Anthony</v>
      </c>
      <c r="V203" s="4" t="str">
        <f>IFERROR(VLOOKUP(Schedules[[#This Row],[EE ID]],TeamList[],MATCH(Schedules[[#Headers],[Dept]],TeamList[#Headers],0),0),"_NO MATCH")</f>
        <v>Sup, Customer Service</v>
      </c>
      <c r="W203" s="286" t="s">
        <v>10</v>
      </c>
      <c r="X203" s="4" t="str">
        <f>IFERROR(IF(VLOOKUP(Schedules[[#This Row],[EE ID]],TeamList[],MATCH(Schedules[[#This Row],[DOW]],TeamList[#Headers],0),0)="OFF","OFF","SCH"),"_NO MATCH")</f>
        <v>SCH</v>
      </c>
      <c r="Y203" s="4" t="str">
        <f>IFERROR(IF(Schedules[[#This Row],[Scheduled]]="OFF","",LEFT(VLOOKUP(Schedules[[#This Row],[EE ID]],TeamList[],MATCH(Schedules[[#This Row],[DOW]],TeamList[#Headers],0),0),4)),"_NO MATCH")</f>
        <v>04:4</v>
      </c>
      <c r="Z203" s="4" t="str">
        <f>IFERROR(IF(Schedules[[#This Row],[Scheduled]]="OFF","",RIGHT(VLOOKUP(Schedules[[#This Row],[EE ID]],TeamList[],MATCH(Schedules[[#This Row],[DOW]],TeamList[#Headers],0),0),4)),"_NO MATCH")</f>
        <v>3:45</v>
      </c>
    </row>
    <row r="204" spans="19:26" x14ac:dyDescent="0.25">
      <c r="S204" s="209">
        <v>1516826</v>
      </c>
      <c r="T204" s="209" t="str">
        <f>Schedules[[#This Row],[Employee Name]]&amp;Schedules[[#This Row],[DOW]]</f>
        <v>Madamba, AnthonySun</v>
      </c>
      <c r="U204" s="4" t="str">
        <f>IFERROR(VLOOKUP(Schedules[[#This Row],[EE ID]],TeamList[],MATCH(Schedules[[#Headers],[Employee Name]],TeamList[#Headers],0),0),"_NO MATCH")</f>
        <v>Madamba, Anthony</v>
      </c>
      <c r="V204" s="4" t="str">
        <f>IFERROR(VLOOKUP(Schedules[[#This Row],[EE ID]],TeamList[],MATCH(Schedules[[#Headers],[Dept]],TeamList[#Headers],0),0),"_NO MATCH")</f>
        <v>Sup, Customer Service</v>
      </c>
      <c r="W204" s="287" t="s">
        <v>6</v>
      </c>
      <c r="X204" s="4" t="str">
        <f>IFERROR(IF(VLOOKUP(Schedules[[#This Row],[EE ID]],TeamList[],MATCH(Schedules[[#This Row],[DOW]],TeamList[#Headers],0),0)="OFF","OFF","SCH"),"_NO MATCH")</f>
        <v>SCH</v>
      </c>
      <c r="Y204" s="4" t="str">
        <f>IFERROR(IF(Schedules[[#This Row],[Scheduled]]="OFF","",LEFT(VLOOKUP(Schedules[[#This Row],[EE ID]],TeamList[],MATCH(Schedules[[#This Row],[DOW]],TeamList[#Headers],0),0),4)),"_NO MATCH")</f>
        <v>04:4</v>
      </c>
      <c r="Z204" s="4" t="str">
        <f>IFERROR(IF(Schedules[[#This Row],[Scheduled]]="OFF","",RIGHT(VLOOKUP(Schedules[[#This Row],[EE ID]],TeamList[],MATCH(Schedules[[#This Row],[DOW]],TeamList[#Headers],0),0),4)),"_NO MATCH")</f>
        <v>3:45</v>
      </c>
    </row>
    <row r="205" spans="19:26" x14ac:dyDescent="0.25">
      <c r="S205" s="209">
        <v>1516826</v>
      </c>
      <c r="T205" s="209" t="str">
        <f>Schedules[[#This Row],[Employee Name]]&amp;Schedules[[#This Row],[DOW]]</f>
        <v>Madamba, AnthonySat</v>
      </c>
      <c r="U205" s="4" t="str">
        <f>IFERROR(VLOOKUP(Schedules[[#This Row],[EE ID]],TeamList[],MATCH(Schedules[[#Headers],[Employee Name]],TeamList[#Headers],0),0),"_NO MATCH")</f>
        <v>Madamba, Anthony</v>
      </c>
      <c r="V205" s="4" t="str">
        <f>IFERROR(VLOOKUP(Schedules[[#This Row],[EE ID]],TeamList[],MATCH(Schedules[[#Headers],[Dept]],TeamList[#Headers],0),0),"_NO MATCH")</f>
        <v>Sup, Customer Service</v>
      </c>
      <c r="W205" s="286" t="s">
        <v>12</v>
      </c>
      <c r="X205" s="4" t="str">
        <f>IFERROR(IF(VLOOKUP(Schedules[[#This Row],[EE ID]],TeamList[],MATCH(Schedules[[#This Row],[DOW]],TeamList[#Headers],0),0)="OFF","OFF","SCH"),"_NO MATCH")</f>
        <v>SCH</v>
      </c>
      <c r="Y205" s="4" t="str">
        <f>IFERROR(IF(Schedules[[#This Row],[Scheduled]]="OFF","",LEFT(VLOOKUP(Schedules[[#This Row],[EE ID]],TeamList[],MATCH(Schedules[[#This Row],[DOW]],TeamList[#Headers],0),0),4)),"_NO MATCH")</f>
        <v>04:4</v>
      </c>
      <c r="Z205" s="4" t="str">
        <f>IFERROR(IF(Schedules[[#This Row],[Scheduled]]="OFF","",RIGHT(VLOOKUP(Schedules[[#This Row],[EE ID]],TeamList[],MATCH(Schedules[[#This Row],[DOW]],TeamList[#Headers],0),0),4)),"_NO MATCH")</f>
        <v>3:45</v>
      </c>
    </row>
    <row r="206" spans="19:26" x14ac:dyDescent="0.25">
      <c r="S206" s="209">
        <v>1516826</v>
      </c>
      <c r="T206" s="209" t="str">
        <f>Schedules[[#This Row],[Employee Name]]&amp;Schedules[[#This Row],[DOW]]</f>
        <v>Madamba, AnthonyMon</v>
      </c>
      <c r="U206" s="4" t="str">
        <f>IFERROR(VLOOKUP(Schedules[[#This Row],[EE ID]],TeamList[],MATCH(Schedules[[#Headers],[Employee Name]],TeamList[#Headers],0),0),"_NO MATCH")</f>
        <v>Madamba, Anthony</v>
      </c>
      <c r="V206" s="4" t="str">
        <f>IFERROR(VLOOKUP(Schedules[[#This Row],[EE ID]],TeamList[],MATCH(Schedules[[#Headers],[Dept]],TeamList[#Headers],0),0),"_NO MATCH")</f>
        <v>Sup, Customer Service</v>
      </c>
      <c r="W206" s="286" t="s">
        <v>7</v>
      </c>
      <c r="X206" s="4" t="str">
        <f>IFERROR(IF(VLOOKUP(Schedules[[#This Row],[EE ID]],TeamList[],MATCH(Schedules[[#This Row],[DOW]],TeamList[#Headers],0),0)="OFF","OFF","SCH"),"_NO MATCH")</f>
        <v>SCH</v>
      </c>
      <c r="Y206" s="4" t="str">
        <f>IFERROR(IF(Schedules[[#This Row],[Scheduled]]="OFF","",LEFT(VLOOKUP(Schedules[[#This Row],[EE ID]],TeamList[],MATCH(Schedules[[#This Row],[DOW]],TeamList[#Headers],0),0),4)),"_NO MATCH")</f>
        <v>04:4</v>
      </c>
      <c r="Z206" s="4" t="str">
        <f>IFERROR(IF(Schedules[[#This Row],[Scheduled]]="OFF","",RIGHT(VLOOKUP(Schedules[[#This Row],[EE ID]],TeamList[],MATCH(Schedules[[#This Row],[DOW]],TeamList[#Headers],0),0),4)),"_NO MATCH")</f>
        <v>3:45</v>
      </c>
    </row>
    <row r="207" spans="19:26" x14ac:dyDescent="0.25">
      <c r="S207" s="209">
        <v>1516826</v>
      </c>
      <c r="T207" s="209" t="str">
        <f>Schedules[[#This Row],[Employee Name]]&amp;Schedules[[#This Row],[DOW]]</f>
        <v>Madamba, AnthonyFri</v>
      </c>
      <c r="U207" s="4" t="str">
        <f>IFERROR(VLOOKUP(Schedules[[#This Row],[EE ID]],TeamList[],MATCH(Schedules[[#Headers],[Employee Name]],TeamList[#Headers],0),0),"_NO MATCH")</f>
        <v>Madamba, Anthony</v>
      </c>
      <c r="V207" s="4" t="str">
        <f>IFERROR(VLOOKUP(Schedules[[#This Row],[EE ID]],TeamList[],MATCH(Schedules[[#Headers],[Dept]],TeamList[#Headers],0),0),"_NO MATCH")</f>
        <v>Sup, Customer Service</v>
      </c>
      <c r="W207" s="286" t="s">
        <v>11</v>
      </c>
      <c r="X207" s="4" t="str">
        <f>IFERROR(IF(VLOOKUP(Schedules[[#This Row],[EE ID]],TeamList[],MATCH(Schedules[[#This Row],[DOW]],TeamList[#Headers],0),0)="OFF","OFF","SCH"),"_NO MATCH")</f>
        <v>SCH</v>
      </c>
      <c r="Y207" s="4" t="str">
        <f>IFERROR(IF(Schedules[[#This Row],[Scheduled]]="OFF","",LEFT(VLOOKUP(Schedules[[#This Row],[EE ID]],TeamList[],MATCH(Schedules[[#This Row],[DOW]],TeamList[#Headers],0),0),4)),"_NO MATCH")</f>
        <v>04:4</v>
      </c>
      <c r="Z207" s="4" t="str">
        <f>IFERROR(IF(Schedules[[#This Row],[Scheduled]]="OFF","",RIGHT(VLOOKUP(Schedules[[#This Row],[EE ID]],TeamList[],MATCH(Schedules[[#This Row],[DOW]],TeamList[#Headers],0),0),4)),"_NO MATCH")</f>
        <v>3:45</v>
      </c>
    </row>
    <row r="208" spans="19:26" x14ac:dyDescent="0.25">
      <c r="S208" s="209">
        <v>1224205</v>
      </c>
      <c r="T208" s="209" t="str">
        <f>Schedules[[#This Row],[Employee Name]]&amp;Schedules[[#This Row],[DOW]]</f>
        <v>_NO MATCHWed</v>
      </c>
      <c r="U208" s="4" t="str">
        <f>IFERROR(VLOOKUP(Schedules[[#This Row],[EE ID]],TeamList[],MATCH(Schedules[[#Headers],[Employee Name]],TeamList[#Headers],0),0),"_NO MATCH")</f>
        <v>_NO MATCH</v>
      </c>
      <c r="V208" s="4" t="str">
        <f>IFERROR(VLOOKUP(Schedules[[#This Row],[EE ID]],TeamList[],MATCH(Schedules[[#Headers],[Dept]],TeamList[#Headers],0),0),"_NO MATCH")</f>
        <v>_NO MATCH</v>
      </c>
      <c r="W208" s="286" t="s">
        <v>9</v>
      </c>
      <c r="X208" s="4" t="str">
        <f>IFERROR(IF(VLOOKUP(Schedules[[#This Row],[EE ID]],TeamList[],MATCH(Schedules[[#This Row],[DOW]],TeamList[#Headers],0),0)="OFF","OFF","SCH"),"_NO MATCH")</f>
        <v>_NO MATCH</v>
      </c>
      <c r="Y208" s="4" t="str">
        <f>IFERROR(IF(Schedules[[#This Row],[Scheduled]]="OFF","",LEFT(VLOOKUP(Schedules[[#This Row],[EE ID]],TeamList[],MATCH(Schedules[[#This Row],[DOW]],TeamList[#Headers],0),0),4)),"_NO MATCH")</f>
        <v>_NO MATCH</v>
      </c>
      <c r="Z208" s="4" t="str">
        <f>IFERROR(IF(Schedules[[#This Row],[Scheduled]]="OFF","",RIGHT(VLOOKUP(Schedules[[#This Row],[EE ID]],TeamList[],MATCH(Schedules[[#This Row],[DOW]],TeamList[#Headers],0),0),4)),"_NO MATCH")</f>
        <v>_NO MATCH</v>
      </c>
    </row>
    <row r="209" spans="19:26" x14ac:dyDescent="0.25">
      <c r="S209" s="209">
        <v>1224205</v>
      </c>
      <c r="T209" s="209" t="str">
        <f>Schedules[[#This Row],[Employee Name]]&amp;Schedules[[#This Row],[DOW]]</f>
        <v>_NO MATCHTue</v>
      </c>
      <c r="U209" s="4" t="str">
        <f>IFERROR(VLOOKUP(Schedules[[#This Row],[EE ID]],TeamList[],MATCH(Schedules[[#Headers],[Employee Name]],TeamList[#Headers],0),0),"_NO MATCH")</f>
        <v>_NO MATCH</v>
      </c>
      <c r="V209" s="4" t="str">
        <f>IFERROR(VLOOKUP(Schedules[[#This Row],[EE ID]],TeamList[],MATCH(Schedules[[#Headers],[Dept]],TeamList[#Headers],0),0),"_NO MATCH")</f>
        <v>_NO MATCH</v>
      </c>
      <c r="W209" s="286" t="s">
        <v>8</v>
      </c>
      <c r="X209" s="4" t="str">
        <f>IFERROR(IF(VLOOKUP(Schedules[[#This Row],[EE ID]],TeamList[],MATCH(Schedules[[#This Row],[DOW]],TeamList[#Headers],0),0)="OFF","OFF","SCH"),"_NO MATCH")</f>
        <v>_NO MATCH</v>
      </c>
      <c r="Y209" s="4" t="str">
        <f>IFERROR(IF(Schedules[[#This Row],[Scheduled]]="OFF","",LEFT(VLOOKUP(Schedules[[#This Row],[EE ID]],TeamList[],MATCH(Schedules[[#This Row],[DOW]],TeamList[#Headers],0),0),4)),"_NO MATCH")</f>
        <v>_NO MATCH</v>
      </c>
      <c r="Z209" s="4" t="str">
        <f>IFERROR(IF(Schedules[[#This Row],[Scheduled]]="OFF","",RIGHT(VLOOKUP(Schedules[[#This Row],[EE ID]],TeamList[],MATCH(Schedules[[#This Row],[DOW]],TeamList[#Headers],0),0),4)),"_NO MATCH")</f>
        <v>_NO MATCH</v>
      </c>
    </row>
    <row r="210" spans="19:26" x14ac:dyDescent="0.25">
      <c r="S210" s="209">
        <v>1224205</v>
      </c>
      <c r="T210" s="209" t="str">
        <f>Schedules[[#This Row],[Employee Name]]&amp;Schedules[[#This Row],[DOW]]</f>
        <v>_NO MATCHThu</v>
      </c>
      <c r="U210" s="4" t="str">
        <f>IFERROR(VLOOKUP(Schedules[[#This Row],[EE ID]],TeamList[],MATCH(Schedules[[#Headers],[Employee Name]],TeamList[#Headers],0),0),"_NO MATCH")</f>
        <v>_NO MATCH</v>
      </c>
      <c r="V210" s="4" t="str">
        <f>IFERROR(VLOOKUP(Schedules[[#This Row],[EE ID]],TeamList[],MATCH(Schedules[[#Headers],[Dept]],TeamList[#Headers],0),0),"_NO MATCH")</f>
        <v>_NO MATCH</v>
      </c>
      <c r="W210" s="286" t="s">
        <v>10</v>
      </c>
      <c r="X210" s="4" t="str">
        <f>IFERROR(IF(VLOOKUP(Schedules[[#This Row],[EE ID]],TeamList[],MATCH(Schedules[[#This Row],[DOW]],TeamList[#Headers],0),0)="OFF","OFF","SCH"),"_NO MATCH")</f>
        <v>_NO MATCH</v>
      </c>
      <c r="Y210" s="4" t="str">
        <f>IFERROR(IF(Schedules[[#This Row],[Scheduled]]="OFF","",LEFT(VLOOKUP(Schedules[[#This Row],[EE ID]],TeamList[],MATCH(Schedules[[#This Row],[DOW]],TeamList[#Headers],0),0),4)),"_NO MATCH")</f>
        <v>_NO MATCH</v>
      </c>
      <c r="Z210" s="4" t="str">
        <f>IFERROR(IF(Schedules[[#This Row],[Scheduled]]="OFF","",RIGHT(VLOOKUP(Schedules[[#This Row],[EE ID]],TeamList[],MATCH(Schedules[[#This Row],[DOW]],TeamList[#Headers],0),0),4)),"_NO MATCH")</f>
        <v>_NO MATCH</v>
      </c>
    </row>
    <row r="211" spans="19:26" x14ac:dyDescent="0.25">
      <c r="S211" s="209">
        <v>1224205</v>
      </c>
      <c r="T211" s="209" t="str">
        <f>Schedules[[#This Row],[Employee Name]]&amp;Schedules[[#This Row],[DOW]]</f>
        <v>_NO MATCHSun</v>
      </c>
      <c r="U211" s="4" t="str">
        <f>IFERROR(VLOOKUP(Schedules[[#This Row],[EE ID]],TeamList[],MATCH(Schedules[[#Headers],[Employee Name]],TeamList[#Headers],0),0),"_NO MATCH")</f>
        <v>_NO MATCH</v>
      </c>
      <c r="V211" s="4" t="str">
        <f>IFERROR(VLOOKUP(Schedules[[#This Row],[EE ID]],TeamList[],MATCH(Schedules[[#Headers],[Dept]],TeamList[#Headers],0),0),"_NO MATCH")</f>
        <v>_NO MATCH</v>
      </c>
      <c r="W211" s="287" t="s">
        <v>6</v>
      </c>
      <c r="X211" s="219" t="str">
        <f>IFERROR(IF(VLOOKUP(Schedules[[#This Row],[EE ID]],TeamList[],MATCH(Schedules[[#This Row],[DOW]],TeamList[#Headers],0),0)="OFF","OFF","SCH"),"_NO MATCH")</f>
        <v>_NO MATCH</v>
      </c>
      <c r="Y211" s="219" t="str">
        <f>IFERROR(IF(Schedules[[#This Row],[Scheduled]]="OFF","",LEFT(VLOOKUP(Schedules[[#This Row],[EE ID]],TeamList[],MATCH(Schedules[[#This Row],[DOW]],TeamList[#Headers],0),0),4)),"_NO MATCH")</f>
        <v>_NO MATCH</v>
      </c>
      <c r="Z211" s="219" t="str">
        <f>IFERROR(IF(Schedules[[#This Row],[Scheduled]]="OFF","",RIGHT(VLOOKUP(Schedules[[#This Row],[EE ID]],TeamList[],MATCH(Schedules[[#This Row],[DOW]],TeamList[#Headers],0),0),4)),"_NO MATCH")</f>
        <v>_NO MATCH</v>
      </c>
    </row>
    <row r="212" spans="19:26" x14ac:dyDescent="0.25">
      <c r="S212" s="209">
        <v>1224205</v>
      </c>
      <c r="T212" s="209" t="str">
        <f>Schedules[[#This Row],[Employee Name]]&amp;Schedules[[#This Row],[DOW]]</f>
        <v>_NO MATCHSat</v>
      </c>
      <c r="U212" s="4" t="str">
        <f>IFERROR(VLOOKUP(Schedules[[#This Row],[EE ID]],TeamList[],MATCH(Schedules[[#Headers],[Employee Name]],TeamList[#Headers],0),0),"_NO MATCH")</f>
        <v>_NO MATCH</v>
      </c>
      <c r="V212" s="4" t="str">
        <f>IFERROR(VLOOKUP(Schedules[[#This Row],[EE ID]],TeamList[],MATCH(Schedules[[#Headers],[Dept]],TeamList[#Headers],0),0),"_NO MATCH")</f>
        <v>_NO MATCH</v>
      </c>
      <c r="W212" s="286" t="s">
        <v>12</v>
      </c>
      <c r="X212" s="4" t="str">
        <f>IFERROR(IF(VLOOKUP(Schedules[[#This Row],[EE ID]],TeamList[],MATCH(Schedules[[#This Row],[DOW]],TeamList[#Headers],0),0)="OFF","OFF","SCH"),"_NO MATCH")</f>
        <v>_NO MATCH</v>
      </c>
      <c r="Y212" s="4" t="str">
        <f>IFERROR(IF(Schedules[[#This Row],[Scheduled]]="OFF","",LEFT(VLOOKUP(Schedules[[#This Row],[EE ID]],TeamList[],MATCH(Schedules[[#This Row],[DOW]],TeamList[#Headers],0),0),4)),"_NO MATCH")</f>
        <v>_NO MATCH</v>
      </c>
      <c r="Z212" s="4" t="str">
        <f>IFERROR(IF(Schedules[[#This Row],[Scheduled]]="OFF","",RIGHT(VLOOKUP(Schedules[[#This Row],[EE ID]],TeamList[],MATCH(Schedules[[#This Row],[DOW]],TeamList[#Headers],0),0),4)),"_NO MATCH")</f>
        <v>_NO MATCH</v>
      </c>
    </row>
    <row r="213" spans="19:26" x14ac:dyDescent="0.25">
      <c r="S213" s="209">
        <v>1224205</v>
      </c>
      <c r="T213" s="209" t="str">
        <f>Schedules[[#This Row],[Employee Name]]&amp;Schedules[[#This Row],[DOW]]</f>
        <v>_NO MATCHMon</v>
      </c>
      <c r="U213" s="4" t="str">
        <f>IFERROR(VLOOKUP(Schedules[[#This Row],[EE ID]],TeamList[],MATCH(Schedules[[#Headers],[Employee Name]],TeamList[#Headers],0),0),"_NO MATCH")</f>
        <v>_NO MATCH</v>
      </c>
      <c r="V213" s="4" t="str">
        <f>IFERROR(VLOOKUP(Schedules[[#This Row],[EE ID]],TeamList[],MATCH(Schedules[[#Headers],[Dept]],TeamList[#Headers],0),0),"_NO MATCH")</f>
        <v>_NO MATCH</v>
      </c>
      <c r="W213" s="286" t="s">
        <v>7</v>
      </c>
      <c r="X213" s="4" t="str">
        <f>IFERROR(IF(VLOOKUP(Schedules[[#This Row],[EE ID]],TeamList[],MATCH(Schedules[[#This Row],[DOW]],TeamList[#Headers],0),0)="OFF","OFF","SCH"),"_NO MATCH")</f>
        <v>_NO MATCH</v>
      </c>
      <c r="Y213" s="4" t="str">
        <f>IFERROR(IF(Schedules[[#This Row],[Scheduled]]="OFF","",LEFT(VLOOKUP(Schedules[[#This Row],[EE ID]],TeamList[],MATCH(Schedules[[#This Row],[DOW]],TeamList[#Headers],0),0),4)),"_NO MATCH")</f>
        <v>_NO MATCH</v>
      </c>
      <c r="Z213" s="4" t="str">
        <f>IFERROR(IF(Schedules[[#This Row],[Scheduled]]="OFF","",RIGHT(VLOOKUP(Schedules[[#This Row],[EE ID]],TeamList[],MATCH(Schedules[[#This Row],[DOW]],TeamList[#Headers],0),0),4)),"_NO MATCH")</f>
        <v>_NO MATCH</v>
      </c>
    </row>
    <row r="214" spans="19:26" x14ac:dyDescent="0.25">
      <c r="S214" s="209">
        <v>1224205</v>
      </c>
      <c r="T214" s="209" t="str">
        <f>Schedules[[#This Row],[Employee Name]]&amp;Schedules[[#This Row],[DOW]]</f>
        <v>_NO MATCHFri</v>
      </c>
      <c r="U214" s="4" t="str">
        <f>IFERROR(VLOOKUP(Schedules[[#This Row],[EE ID]],TeamList[],MATCH(Schedules[[#Headers],[Employee Name]],TeamList[#Headers],0),0),"_NO MATCH")</f>
        <v>_NO MATCH</v>
      </c>
      <c r="V214" s="4" t="str">
        <f>IFERROR(VLOOKUP(Schedules[[#This Row],[EE ID]],TeamList[],MATCH(Schedules[[#Headers],[Dept]],TeamList[#Headers],0),0),"_NO MATCH")</f>
        <v>_NO MATCH</v>
      </c>
      <c r="W214" s="286" t="s">
        <v>11</v>
      </c>
      <c r="X214" s="4" t="str">
        <f>IFERROR(IF(VLOOKUP(Schedules[[#This Row],[EE ID]],TeamList[],MATCH(Schedules[[#This Row],[DOW]],TeamList[#Headers],0),0)="OFF","OFF","SCH"),"_NO MATCH")</f>
        <v>_NO MATCH</v>
      </c>
      <c r="Y214" s="4" t="str">
        <f>IFERROR(IF(Schedules[[#This Row],[Scheduled]]="OFF","",LEFT(VLOOKUP(Schedules[[#This Row],[EE ID]],TeamList[],MATCH(Schedules[[#This Row],[DOW]],TeamList[#Headers],0),0),4)),"_NO MATCH")</f>
        <v>_NO MATCH</v>
      </c>
      <c r="Z214" s="4" t="str">
        <f>IFERROR(IF(Schedules[[#This Row],[Scheduled]]="OFF","",RIGHT(VLOOKUP(Schedules[[#This Row],[EE ID]],TeamList[],MATCH(Schedules[[#This Row],[DOW]],TeamList[#Headers],0),0),4)),"_NO MATCH")</f>
        <v>_NO MATCH</v>
      </c>
    </row>
    <row r="215" spans="19:26" x14ac:dyDescent="0.25">
      <c r="S215" s="209">
        <v>1516542</v>
      </c>
      <c r="T215" s="209" t="str">
        <f>Schedules[[#This Row],[Employee Name]]&amp;Schedules[[#This Row],[DOW]]</f>
        <v>Lawrence, RodneyWed</v>
      </c>
      <c r="U215" s="4" t="str">
        <f>IFERROR(VLOOKUP(Schedules[[#This Row],[EE ID]],TeamList[],MATCH(Schedules[[#Headers],[Employee Name]],TeamList[#Headers],0),0),"_NO MATCH")</f>
        <v>Lawrence, Rodney</v>
      </c>
      <c r="V215" s="4" t="str">
        <f>IFERROR(VLOOKUP(Schedules[[#This Row],[EE ID]],TeamList[],MATCH(Schedules[[#Headers],[Dept]],TeamList[#Headers],0),0),"_NO MATCH")</f>
        <v>Mgr, Customer Service</v>
      </c>
      <c r="W215" s="286" t="s">
        <v>9</v>
      </c>
      <c r="X215" s="4" t="str">
        <f>IFERROR(IF(VLOOKUP(Schedules[[#This Row],[EE ID]],TeamList[],MATCH(Schedules[[#This Row],[DOW]],TeamList[#Headers],0),0)="OFF","OFF","SCH"),"_NO MATCH")</f>
        <v>SCH</v>
      </c>
      <c r="Y215" s="4" t="str">
        <f>IFERROR(IF(Schedules[[#This Row],[Scheduled]]="OFF","",LEFT(VLOOKUP(Schedules[[#This Row],[EE ID]],TeamList[],MATCH(Schedules[[#This Row],[DOW]],TeamList[#Headers],0),0),4)),"_NO MATCH")</f>
        <v>12:0</v>
      </c>
      <c r="Z215" s="4" t="str">
        <f>IFERROR(IF(Schedules[[#This Row],[Scheduled]]="OFF","",RIGHT(VLOOKUP(Schedules[[#This Row],[EE ID]],TeamList[],MATCH(Schedules[[#This Row],[DOW]],TeamList[#Headers],0),0),4)),"_NO MATCH")</f>
        <v>1:00</v>
      </c>
    </row>
    <row r="216" spans="19:26" x14ac:dyDescent="0.25">
      <c r="S216" s="209">
        <v>1516542</v>
      </c>
      <c r="T216" s="209" t="str">
        <f>Schedules[[#This Row],[Employee Name]]&amp;Schedules[[#This Row],[DOW]]</f>
        <v>Lawrence, RodneyTue</v>
      </c>
      <c r="U216" s="4" t="str">
        <f>IFERROR(VLOOKUP(Schedules[[#This Row],[EE ID]],TeamList[],MATCH(Schedules[[#Headers],[Employee Name]],TeamList[#Headers],0),0),"_NO MATCH")</f>
        <v>Lawrence, Rodney</v>
      </c>
      <c r="V216" s="4" t="str">
        <f>IFERROR(VLOOKUP(Schedules[[#This Row],[EE ID]],TeamList[],MATCH(Schedules[[#Headers],[Dept]],TeamList[#Headers],0),0),"_NO MATCH")</f>
        <v>Mgr, Customer Service</v>
      </c>
      <c r="W216" s="286" t="s">
        <v>8</v>
      </c>
      <c r="X216" s="4" t="str">
        <f>IFERROR(IF(VLOOKUP(Schedules[[#This Row],[EE ID]],TeamList[],MATCH(Schedules[[#This Row],[DOW]],TeamList[#Headers],0),0)="OFF","OFF","SCH"),"_NO MATCH")</f>
        <v>SCH</v>
      </c>
      <c r="Y216" s="4" t="str">
        <f>IFERROR(IF(Schedules[[#This Row],[Scheduled]]="OFF","",LEFT(VLOOKUP(Schedules[[#This Row],[EE ID]],TeamList[],MATCH(Schedules[[#This Row],[DOW]],TeamList[#Headers],0),0),4)),"_NO MATCH")</f>
        <v>12:0</v>
      </c>
      <c r="Z216" s="4" t="str">
        <f>IFERROR(IF(Schedules[[#This Row],[Scheduled]]="OFF","",RIGHT(VLOOKUP(Schedules[[#This Row],[EE ID]],TeamList[],MATCH(Schedules[[#This Row],[DOW]],TeamList[#Headers],0),0),4)),"_NO MATCH")</f>
        <v>1:00</v>
      </c>
    </row>
    <row r="217" spans="19:26" x14ac:dyDescent="0.25">
      <c r="S217" s="209">
        <v>1516542</v>
      </c>
      <c r="T217" s="209" t="str">
        <f>Schedules[[#This Row],[Employee Name]]&amp;Schedules[[#This Row],[DOW]]</f>
        <v>Lawrence, RodneyThu</v>
      </c>
      <c r="U217" s="4" t="str">
        <f>IFERROR(VLOOKUP(Schedules[[#This Row],[EE ID]],TeamList[],MATCH(Schedules[[#Headers],[Employee Name]],TeamList[#Headers],0),0),"_NO MATCH")</f>
        <v>Lawrence, Rodney</v>
      </c>
      <c r="V217" s="4" t="str">
        <f>IFERROR(VLOOKUP(Schedules[[#This Row],[EE ID]],TeamList[],MATCH(Schedules[[#Headers],[Dept]],TeamList[#Headers],0),0),"_NO MATCH")</f>
        <v>Mgr, Customer Service</v>
      </c>
      <c r="W217" s="286" t="s">
        <v>10</v>
      </c>
      <c r="X217" s="4" t="str">
        <f>IFERROR(IF(VLOOKUP(Schedules[[#This Row],[EE ID]],TeamList[],MATCH(Schedules[[#This Row],[DOW]],TeamList[#Headers],0),0)="OFF","OFF","SCH"),"_NO MATCH")</f>
        <v>SCH</v>
      </c>
      <c r="Y217" s="4" t="str">
        <f>IFERROR(IF(Schedules[[#This Row],[Scheduled]]="OFF","",LEFT(VLOOKUP(Schedules[[#This Row],[EE ID]],TeamList[],MATCH(Schedules[[#This Row],[DOW]],TeamList[#Headers],0),0),4)),"_NO MATCH")</f>
        <v>12:0</v>
      </c>
      <c r="Z217" s="4" t="str">
        <f>IFERROR(IF(Schedules[[#This Row],[Scheduled]]="OFF","",RIGHT(VLOOKUP(Schedules[[#This Row],[EE ID]],TeamList[],MATCH(Schedules[[#This Row],[DOW]],TeamList[#Headers],0),0),4)),"_NO MATCH")</f>
        <v>1:00</v>
      </c>
    </row>
    <row r="218" spans="19:26" x14ac:dyDescent="0.25">
      <c r="S218" s="209">
        <v>1516542</v>
      </c>
      <c r="T218" s="209" t="str">
        <f>Schedules[[#This Row],[Employee Name]]&amp;Schedules[[#This Row],[DOW]]</f>
        <v>Lawrence, RodneySun</v>
      </c>
      <c r="U218" s="4" t="str">
        <f>IFERROR(VLOOKUP(Schedules[[#This Row],[EE ID]],TeamList[],MATCH(Schedules[[#Headers],[Employee Name]],TeamList[#Headers],0),0),"_NO MATCH")</f>
        <v>Lawrence, Rodney</v>
      </c>
      <c r="V218" s="4" t="str">
        <f>IFERROR(VLOOKUP(Schedules[[#This Row],[EE ID]],TeamList[],MATCH(Schedules[[#Headers],[Dept]],TeamList[#Headers],0),0),"_NO MATCH")</f>
        <v>Mgr, Customer Service</v>
      </c>
      <c r="W218" s="287" t="s">
        <v>6</v>
      </c>
      <c r="X218" s="219" t="str">
        <f>IFERROR(IF(VLOOKUP(Schedules[[#This Row],[EE ID]],TeamList[],MATCH(Schedules[[#This Row],[DOW]],TeamList[#Headers],0),0)="OFF","OFF","SCH"),"_NO MATCH")</f>
        <v>OFF</v>
      </c>
      <c r="Y218" s="219" t="str">
        <f>IFERROR(IF(Schedules[[#This Row],[Scheduled]]="OFF","",LEFT(VLOOKUP(Schedules[[#This Row],[EE ID]],TeamList[],MATCH(Schedules[[#This Row],[DOW]],TeamList[#Headers],0),0),4)),"_NO MATCH")</f>
        <v/>
      </c>
      <c r="Z218" s="219" t="str">
        <f>IFERROR(IF(Schedules[[#This Row],[Scheduled]]="OFF","",RIGHT(VLOOKUP(Schedules[[#This Row],[EE ID]],TeamList[],MATCH(Schedules[[#This Row],[DOW]],TeamList[#Headers],0),0),4)),"_NO MATCH")</f>
        <v/>
      </c>
    </row>
    <row r="219" spans="19:26" x14ac:dyDescent="0.25">
      <c r="S219" s="209">
        <v>1516542</v>
      </c>
      <c r="T219" s="209" t="str">
        <f>Schedules[[#This Row],[Employee Name]]&amp;Schedules[[#This Row],[DOW]]</f>
        <v>Lawrence, RodneySat</v>
      </c>
      <c r="U219" s="4" t="str">
        <f>IFERROR(VLOOKUP(Schedules[[#This Row],[EE ID]],TeamList[],MATCH(Schedules[[#Headers],[Employee Name]],TeamList[#Headers],0),0),"_NO MATCH")</f>
        <v>Lawrence, Rodney</v>
      </c>
      <c r="V219" s="4" t="str">
        <f>IFERROR(VLOOKUP(Schedules[[#This Row],[EE ID]],TeamList[],MATCH(Schedules[[#Headers],[Dept]],TeamList[#Headers],0),0),"_NO MATCH")</f>
        <v>Mgr, Customer Service</v>
      </c>
      <c r="W219" s="286" t="s">
        <v>12</v>
      </c>
      <c r="X219" s="4" t="str">
        <f>IFERROR(IF(VLOOKUP(Schedules[[#This Row],[EE ID]],TeamList[],MATCH(Schedules[[#This Row],[DOW]],TeamList[#Headers],0),0)="OFF","OFF","SCH"),"_NO MATCH")</f>
        <v>OFF</v>
      </c>
      <c r="Y219" s="4" t="str">
        <f>IFERROR(IF(Schedules[[#This Row],[Scheduled]]="OFF","",LEFT(VLOOKUP(Schedules[[#This Row],[EE ID]],TeamList[],MATCH(Schedules[[#This Row],[DOW]],TeamList[#Headers],0),0),4)),"_NO MATCH")</f>
        <v/>
      </c>
      <c r="Z219" s="4" t="str">
        <f>IFERROR(IF(Schedules[[#This Row],[Scheduled]]="OFF","",RIGHT(VLOOKUP(Schedules[[#This Row],[EE ID]],TeamList[],MATCH(Schedules[[#This Row],[DOW]],TeamList[#Headers],0),0),4)),"_NO MATCH")</f>
        <v/>
      </c>
    </row>
    <row r="220" spans="19:26" x14ac:dyDescent="0.25">
      <c r="S220" s="209">
        <v>1516542</v>
      </c>
      <c r="T220" s="209" t="str">
        <f>Schedules[[#This Row],[Employee Name]]&amp;Schedules[[#This Row],[DOW]]</f>
        <v>Lawrence, RodneyMon</v>
      </c>
      <c r="U220" s="4" t="str">
        <f>IFERROR(VLOOKUP(Schedules[[#This Row],[EE ID]],TeamList[],MATCH(Schedules[[#Headers],[Employee Name]],TeamList[#Headers],0),0),"_NO MATCH")</f>
        <v>Lawrence, Rodney</v>
      </c>
      <c r="V220" s="4" t="str">
        <f>IFERROR(VLOOKUP(Schedules[[#This Row],[EE ID]],TeamList[],MATCH(Schedules[[#Headers],[Dept]],TeamList[#Headers],0),0),"_NO MATCH")</f>
        <v>Mgr, Customer Service</v>
      </c>
      <c r="W220" s="286" t="s">
        <v>7</v>
      </c>
      <c r="X220" s="4" t="str">
        <f>IFERROR(IF(VLOOKUP(Schedules[[#This Row],[EE ID]],TeamList[],MATCH(Schedules[[#This Row],[DOW]],TeamList[#Headers],0),0)="OFF","OFF","SCH"),"_NO MATCH")</f>
        <v>SCH</v>
      </c>
      <c r="Y220" s="4" t="str">
        <f>IFERROR(IF(Schedules[[#This Row],[Scheduled]]="OFF","",LEFT(VLOOKUP(Schedules[[#This Row],[EE ID]],TeamList[],MATCH(Schedules[[#This Row],[DOW]],TeamList[#Headers],0),0),4)),"_NO MATCH")</f>
        <v>12:0</v>
      </c>
      <c r="Z220" s="4" t="str">
        <f>IFERROR(IF(Schedules[[#This Row],[Scheduled]]="OFF","",RIGHT(VLOOKUP(Schedules[[#This Row],[EE ID]],TeamList[],MATCH(Schedules[[#This Row],[DOW]],TeamList[#Headers],0),0),4)),"_NO MATCH")</f>
        <v>1:00</v>
      </c>
    </row>
    <row r="221" spans="19:26" x14ac:dyDescent="0.25">
      <c r="S221" s="209">
        <v>1516542</v>
      </c>
      <c r="T221" s="209" t="str">
        <f>Schedules[[#This Row],[Employee Name]]&amp;Schedules[[#This Row],[DOW]]</f>
        <v>Lawrence, RodneyFri</v>
      </c>
      <c r="U221" s="4" t="str">
        <f>IFERROR(VLOOKUP(Schedules[[#This Row],[EE ID]],TeamList[],MATCH(Schedules[[#Headers],[Employee Name]],TeamList[#Headers],0),0),"_NO MATCH")</f>
        <v>Lawrence, Rodney</v>
      </c>
      <c r="V221" s="4" t="str">
        <f>IFERROR(VLOOKUP(Schedules[[#This Row],[EE ID]],TeamList[],MATCH(Schedules[[#Headers],[Dept]],TeamList[#Headers],0),0),"_NO MATCH")</f>
        <v>Mgr, Customer Service</v>
      </c>
      <c r="W221" s="286" t="s">
        <v>11</v>
      </c>
      <c r="X221" s="4" t="str">
        <f>IFERROR(IF(VLOOKUP(Schedules[[#This Row],[EE ID]],TeamList[],MATCH(Schedules[[#This Row],[DOW]],TeamList[#Headers],0),0)="OFF","OFF","SCH"),"_NO MATCH")</f>
        <v>SCH</v>
      </c>
      <c r="Y221" s="4" t="str">
        <f>IFERROR(IF(Schedules[[#This Row],[Scheduled]]="OFF","",LEFT(VLOOKUP(Schedules[[#This Row],[EE ID]],TeamList[],MATCH(Schedules[[#This Row],[DOW]],TeamList[#Headers],0),0),4)),"_NO MATCH")</f>
        <v>12:0</v>
      </c>
      <c r="Z221" s="4" t="str">
        <f>IFERROR(IF(Schedules[[#This Row],[Scheduled]]="OFF","",RIGHT(VLOOKUP(Schedules[[#This Row],[EE ID]],TeamList[],MATCH(Schedules[[#This Row],[DOW]],TeamList[#Headers],0),0),4)),"_NO MATCH")</f>
        <v>1:00</v>
      </c>
    </row>
    <row r="222" spans="19:26" x14ac:dyDescent="0.25">
      <c r="S222" s="209">
        <v>1511017</v>
      </c>
      <c r="T222" s="209" t="str">
        <f>Schedules[[#This Row],[Employee Name]]&amp;Schedules[[#This Row],[DOW]]</f>
        <v>Koistinen, ShaunWed</v>
      </c>
      <c r="U222" s="4" t="str">
        <f>IFERROR(VLOOKUP(Schedules[[#This Row],[EE ID]],TeamList[],MATCH(Schedules[[#Headers],[Employee Name]],TeamList[#Headers],0),0),"_NO MATCH")</f>
        <v>Koistinen, Shaun</v>
      </c>
      <c r="V222" s="4" t="str">
        <f>IFERROR(VLOOKUP(Schedules[[#This Row],[EE ID]],TeamList[],MATCH(Schedules[[#Headers],[Dept]],TeamList[#Headers],0),0),"_NO MATCH")</f>
        <v>Lead Billing</v>
      </c>
      <c r="W222" s="286" t="s">
        <v>9</v>
      </c>
      <c r="X222" s="4" t="str">
        <f>IFERROR(IF(VLOOKUP(Schedules[[#This Row],[EE ID]],TeamList[],MATCH(Schedules[[#This Row],[DOW]],TeamList[#Headers],0),0)="OFF","OFF","SCH"),"_NO MATCH")</f>
        <v>SCH</v>
      </c>
      <c r="Y222" s="4" t="str">
        <f>IFERROR(IF(Schedules[[#This Row],[Scheduled]]="OFF","",LEFT(VLOOKUP(Schedules[[#This Row],[EE ID]],TeamList[],MATCH(Schedules[[#This Row],[DOW]],TeamList[#Headers],0),0),4)),"_NO MATCH")</f>
        <v>09:0</v>
      </c>
      <c r="Z222" s="4" t="str">
        <f>IFERROR(IF(Schedules[[#This Row],[Scheduled]]="OFF","",RIGHT(VLOOKUP(Schedules[[#This Row],[EE ID]],TeamList[],MATCH(Schedules[[#This Row],[DOW]],TeamList[#Headers],0),0),4)),"_NO MATCH")</f>
        <v>7:30</v>
      </c>
    </row>
    <row r="223" spans="19:26" x14ac:dyDescent="0.25">
      <c r="S223" s="209">
        <v>1511017</v>
      </c>
      <c r="T223" s="209" t="str">
        <f>Schedules[[#This Row],[Employee Name]]&amp;Schedules[[#This Row],[DOW]]</f>
        <v>Koistinen, ShaunTue</v>
      </c>
      <c r="U223" s="4" t="str">
        <f>IFERROR(VLOOKUP(Schedules[[#This Row],[EE ID]],TeamList[],MATCH(Schedules[[#Headers],[Employee Name]],TeamList[#Headers],0),0),"_NO MATCH")</f>
        <v>Koistinen, Shaun</v>
      </c>
      <c r="V223" s="4" t="str">
        <f>IFERROR(VLOOKUP(Schedules[[#This Row],[EE ID]],TeamList[],MATCH(Schedules[[#Headers],[Dept]],TeamList[#Headers],0),0),"_NO MATCH")</f>
        <v>Lead Billing</v>
      </c>
      <c r="W223" s="286" t="s">
        <v>8</v>
      </c>
      <c r="X223" s="4" t="str">
        <f>IFERROR(IF(VLOOKUP(Schedules[[#This Row],[EE ID]],TeamList[],MATCH(Schedules[[#This Row],[DOW]],TeamList[#Headers],0),0)="OFF","OFF","SCH"),"_NO MATCH")</f>
        <v>SCH</v>
      </c>
      <c r="Y223" s="4" t="str">
        <f>IFERROR(IF(Schedules[[#This Row],[Scheduled]]="OFF","",LEFT(VLOOKUP(Schedules[[#This Row],[EE ID]],TeamList[],MATCH(Schedules[[#This Row],[DOW]],TeamList[#Headers],0),0),4)),"_NO MATCH")</f>
        <v>09:0</v>
      </c>
      <c r="Z223" s="4" t="str">
        <f>IFERROR(IF(Schedules[[#This Row],[Scheduled]]="OFF","",RIGHT(VLOOKUP(Schedules[[#This Row],[EE ID]],TeamList[],MATCH(Schedules[[#This Row],[DOW]],TeamList[#Headers],0),0),4)),"_NO MATCH")</f>
        <v>7:30</v>
      </c>
    </row>
    <row r="224" spans="19:26" x14ac:dyDescent="0.25">
      <c r="S224" s="209">
        <v>1511017</v>
      </c>
      <c r="T224" s="209" t="str">
        <f>Schedules[[#This Row],[Employee Name]]&amp;Schedules[[#This Row],[DOW]]</f>
        <v>Koistinen, ShaunThu</v>
      </c>
      <c r="U224" s="4" t="str">
        <f>IFERROR(VLOOKUP(Schedules[[#This Row],[EE ID]],TeamList[],MATCH(Schedules[[#Headers],[Employee Name]],TeamList[#Headers],0),0),"_NO MATCH")</f>
        <v>Koistinen, Shaun</v>
      </c>
      <c r="V224" s="4" t="str">
        <f>IFERROR(VLOOKUP(Schedules[[#This Row],[EE ID]],TeamList[],MATCH(Schedules[[#Headers],[Dept]],TeamList[#Headers],0),0),"_NO MATCH")</f>
        <v>Lead Billing</v>
      </c>
      <c r="W224" s="286" t="s">
        <v>10</v>
      </c>
      <c r="X224" s="4" t="str">
        <f>IFERROR(IF(VLOOKUP(Schedules[[#This Row],[EE ID]],TeamList[],MATCH(Schedules[[#This Row],[DOW]],TeamList[#Headers],0),0)="OFF","OFF","SCH"),"_NO MATCH")</f>
        <v>SCH</v>
      </c>
      <c r="Y224" s="4" t="str">
        <f>IFERROR(IF(Schedules[[#This Row],[Scheduled]]="OFF","",LEFT(VLOOKUP(Schedules[[#This Row],[EE ID]],TeamList[],MATCH(Schedules[[#This Row],[DOW]],TeamList[#Headers],0),0),4)),"_NO MATCH")</f>
        <v>09:0</v>
      </c>
      <c r="Z224" s="4" t="str">
        <f>IFERROR(IF(Schedules[[#This Row],[Scheduled]]="OFF","",RIGHT(VLOOKUP(Schedules[[#This Row],[EE ID]],TeamList[],MATCH(Schedules[[#This Row],[DOW]],TeamList[#Headers],0),0),4)),"_NO MATCH")</f>
        <v>7:30</v>
      </c>
    </row>
    <row r="225" spans="19:26" x14ac:dyDescent="0.25">
      <c r="S225" s="209">
        <v>1511017</v>
      </c>
      <c r="T225" s="209" t="str">
        <f>Schedules[[#This Row],[Employee Name]]&amp;Schedules[[#This Row],[DOW]]</f>
        <v>Koistinen, ShaunSun</v>
      </c>
      <c r="U225" s="4" t="str">
        <f>IFERROR(VLOOKUP(Schedules[[#This Row],[EE ID]],TeamList[],MATCH(Schedules[[#Headers],[Employee Name]],TeamList[#Headers],0),0),"_NO MATCH")</f>
        <v>Koistinen, Shaun</v>
      </c>
      <c r="V225" s="4" t="str">
        <f>IFERROR(VLOOKUP(Schedules[[#This Row],[EE ID]],TeamList[],MATCH(Schedules[[#Headers],[Dept]],TeamList[#Headers],0),0),"_NO MATCH")</f>
        <v>Lead Billing</v>
      </c>
      <c r="W225" s="287" t="s">
        <v>6</v>
      </c>
      <c r="X225" s="219" t="str">
        <f>IFERROR(IF(VLOOKUP(Schedules[[#This Row],[EE ID]],TeamList[],MATCH(Schedules[[#This Row],[DOW]],TeamList[#Headers],0),0)="OFF","OFF","SCH"),"_NO MATCH")</f>
        <v>OFF</v>
      </c>
      <c r="Y225" s="219" t="str">
        <f>IFERROR(IF(Schedules[[#This Row],[Scheduled]]="OFF","",LEFT(VLOOKUP(Schedules[[#This Row],[EE ID]],TeamList[],MATCH(Schedules[[#This Row],[DOW]],TeamList[#Headers],0),0),4)),"_NO MATCH")</f>
        <v/>
      </c>
      <c r="Z225" s="219" t="str">
        <f>IFERROR(IF(Schedules[[#This Row],[Scheduled]]="OFF","",RIGHT(VLOOKUP(Schedules[[#This Row],[EE ID]],TeamList[],MATCH(Schedules[[#This Row],[DOW]],TeamList[#Headers],0),0),4)),"_NO MATCH")</f>
        <v/>
      </c>
    </row>
    <row r="226" spans="19:26" x14ac:dyDescent="0.25">
      <c r="S226" s="209">
        <v>1511017</v>
      </c>
      <c r="T226" s="209" t="str">
        <f>Schedules[[#This Row],[Employee Name]]&amp;Schedules[[#This Row],[DOW]]</f>
        <v>Koistinen, ShaunSat</v>
      </c>
      <c r="U226" s="4" t="str">
        <f>IFERROR(VLOOKUP(Schedules[[#This Row],[EE ID]],TeamList[],MATCH(Schedules[[#Headers],[Employee Name]],TeamList[#Headers],0),0),"_NO MATCH")</f>
        <v>Koistinen, Shaun</v>
      </c>
      <c r="V226" s="4" t="str">
        <f>IFERROR(VLOOKUP(Schedules[[#This Row],[EE ID]],TeamList[],MATCH(Schedules[[#Headers],[Dept]],TeamList[#Headers],0),0),"_NO MATCH")</f>
        <v>Lead Billing</v>
      </c>
      <c r="W226" s="286" t="s">
        <v>12</v>
      </c>
      <c r="X226" s="4" t="str">
        <f>IFERROR(IF(VLOOKUP(Schedules[[#This Row],[EE ID]],TeamList[],MATCH(Schedules[[#This Row],[DOW]],TeamList[#Headers],0),0)="OFF","OFF","SCH"),"_NO MATCH")</f>
        <v>OFF</v>
      </c>
      <c r="Y226" s="4" t="str">
        <f>IFERROR(IF(Schedules[[#This Row],[Scheduled]]="OFF","",LEFT(VLOOKUP(Schedules[[#This Row],[EE ID]],TeamList[],MATCH(Schedules[[#This Row],[DOW]],TeamList[#Headers],0),0),4)),"_NO MATCH")</f>
        <v/>
      </c>
      <c r="Z226" s="4" t="str">
        <f>IFERROR(IF(Schedules[[#This Row],[Scheduled]]="OFF","",RIGHT(VLOOKUP(Schedules[[#This Row],[EE ID]],TeamList[],MATCH(Schedules[[#This Row],[DOW]],TeamList[#Headers],0),0),4)),"_NO MATCH")</f>
        <v/>
      </c>
    </row>
    <row r="227" spans="19:26" x14ac:dyDescent="0.25">
      <c r="S227" s="209">
        <v>1511017</v>
      </c>
      <c r="T227" s="209" t="str">
        <f>Schedules[[#This Row],[Employee Name]]&amp;Schedules[[#This Row],[DOW]]</f>
        <v>Koistinen, ShaunMon</v>
      </c>
      <c r="U227" s="4" t="str">
        <f>IFERROR(VLOOKUP(Schedules[[#This Row],[EE ID]],TeamList[],MATCH(Schedules[[#Headers],[Employee Name]],TeamList[#Headers],0),0),"_NO MATCH")</f>
        <v>Koistinen, Shaun</v>
      </c>
      <c r="V227" s="4" t="str">
        <f>IFERROR(VLOOKUP(Schedules[[#This Row],[EE ID]],TeamList[],MATCH(Schedules[[#Headers],[Dept]],TeamList[#Headers],0),0),"_NO MATCH")</f>
        <v>Lead Billing</v>
      </c>
      <c r="W227" s="286" t="s">
        <v>7</v>
      </c>
      <c r="X227" s="4" t="str">
        <f>IFERROR(IF(VLOOKUP(Schedules[[#This Row],[EE ID]],TeamList[],MATCH(Schedules[[#This Row],[DOW]],TeamList[#Headers],0),0)="OFF","OFF","SCH"),"_NO MATCH")</f>
        <v>SCH</v>
      </c>
      <c r="Y227" s="4" t="str">
        <f>IFERROR(IF(Schedules[[#This Row],[Scheduled]]="OFF","",LEFT(VLOOKUP(Schedules[[#This Row],[EE ID]],TeamList[],MATCH(Schedules[[#This Row],[DOW]],TeamList[#Headers],0),0),4)),"_NO MATCH")</f>
        <v>09:0</v>
      </c>
      <c r="Z227" s="4" t="str">
        <f>IFERROR(IF(Schedules[[#This Row],[Scheduled]]="OFF","",RIGHT(VLOOKUP(Schedules[[#This Row],[EE ID]],TeamList[],MATCH(Schedules[[#This Row],[DOW]],TeamList[#Headers],0),0),4)),"_NO MATCH")</f>
        <v>7:30</v>
      </c>
    </row>
    <row r="228" spans="19:26" x14ac:dyDescent="0.25">
      <c r="S228" s="209">
        <v>1511017</v>
      </c>
      <c r="T228" s="209" t="str">
        <f>Schedules[[#This Row],[Employee Name]]&amp;Schedules[[#This Row],[DOW]]</f>
        <v>Koistinen, ShaunFri</v>
      </c>
      <c r="U228" s="4" t="str">
        <f>IFERROR(VLOOKUP(Schedules[[#This Row],[EE ID]],TeamList[],MATCH(Schedules[[#Headers],[Employee Name]],TeamList[#Headers],0),0),"_NO MATCH")</f>
        <v>Koistinen, Shaun</v>
      </c>
      <c r="V228" s="4" t="str">
        <f>IFERROR(VLOOKUP(Schedules[[#This Row],[EE ID]],TeamList[],MATCH(Schedules[[#Headers],[Dept]],TeamList[#Headers],0),0),"_NO MATCH")</f>
        <v>Lead Billing</v>
      </c>
      <c r="W228" s="286" t="s">
        <v>11</v>
      </c>
      <c r="X228" s="4" t="str">
        <f>IFERROR(IF(VLOOKUP(Schedules[[#This Row],[EE ID]],TeamList[],MATCH(Schedules[[#This Row],[DOW]],TeamList[#Headers],0),0)="OFF","OFF","SCH"),"_NO MATCH")</f>
        <v>SCH</v>
      </c>
      <c r="Y228" s="4" t="str">
        <f>IFERROR(IF(Schedules[[#This Row],[Scheduled]]="OFF","",LEFT(VLOOKUP(Schedules[[#This Row],[EE ID]],TeamList[],MATCH(Schedules[[#This Row],[DOW]],TeamList[#Headers],0),0),4)),"_NO MATCH")</f>
        <v>09:0</v>
      </c>
      <c r="Z228" s="4" t="str">
        <f>IFERROR(IF(Schedules[[#This Row],[Scheduled]]="OFF","",RIGHT(VLOOKUP(Schedules[[#This Row],[EE ID]],TeamList[],MATCH(Schedules[[#This Row],[DOW]],TeamList[#Headers],0),0),4)),"_NO MATCH")</f>
        <v>7:30</v>
      </c>
    </row>
    <row r="229" spans="19:26" x14ac:dyDescent="0.25">
      <c r="S229" s="209">
        <v>1518179</v>
      </c>
      <c r="T229" s="209" t="str">
        <f>Schedules[[#This Row],[Employee Name]]&amp;Schedules[[#This Row],[DOW]]</f>
        <v>_NO MATCHWed</v>
      </c>
      <c r="U229" s="4" t="str">
        <f>IFERROR(VLOOKUP(Schedules[[#This Row],[EE ID]],TeamList[],MATCH(Schedules[[#Headers],[Employee Name]],TeamList[#Headers],0),0),"_NO MATCH")</f>
        <v>_NO MATCH</v>
      </c>
      <c r="V229" s="4" t="str">
        <f>IFERROR(VLOOKUP(Schedules[[#This Row],[EE ID]],TeamList[],MATCH(Schedules[[#Headers],[Dept]],TeamList[#Headers],0),0),"_NO MATCH")</f>
        <v>_NO MATCH</v>
      </c>
      <c r="W229" s="286" t="s">
        <v>9</v>
      </c>
      <c r="X229" s="4" t="str">
        <f>IFERROR(IF(VLOOKUP(Schedules[[#This Row],[EE ID]],TeamList[],MATCH(Schedules[[#This Row],[DOW]],TeamList[#Headers],0),0)="OFF","OFF","SCH"),"_NO MATCH")</f>
        <v>_NO MATCH</v>
      </c>
      <c r="Y229" s="4" t="str">
        <f>IFERROR(IF(Schedules[[#This Row],[Scheduled]]="OFF","",LEFT(VLOOKUP(Schedules[[#This Row],[EE ID]],TeamList[],MATCH(Schedules[[#This Row],[DOW]],TeamList[#Headers],0),0),4)),"_NO MATCH")</f>
        <v>_NO MATCH</v>
      </c>
      <c r="Z229" s="4" t="str">
        <f>IFERROR(IF(Schedules[[#This Row],[Scheduled]]="OFF","",RIGHT(VLOOKUP(Schedules[[#This Row],[EE ID]],TeamList[],MATCH(Schedules[[#This Row],[DOW]],TeamList[#Headers],0),0),4)),"_NO MATCH")</f>
        <v>_NO MATCH</v>
      </c>
    </row>
    <row r="230" spans="19:26" x14ac:dyDescent="0.25">
      <c r="S230" s="209">
        <v>1518179</v>
      </c>
      <c r="T230" s="209" t="str">
        <f>Schedules[[#This Row],[Employee Name]]&amp;Schedules[[#This Row],[DOW]]</f>
        <v>_NO MATCHTue</v>
      </c>
      <c r="U230" s="4" t="str">
        <f>IFERROR(VLOOKUP(Schedules[[#This Row],[EE ID]],TeamList[],MATCH(Schedules[[#Headers],[Employee Name]],TeamList[#Headers],0),0),"_NO MATCH")</f>
        <v>_NO MATCH</v>
      </c>
      <c r="V230" s="4" t="str">
        <f>IFERROR(VLOOKUP(Schedules[[#This Row],[EE ID]],TeamList[],MATCH(Schedules[[#Headers],[Dept]],TeamList[#Headers],0),0),"_NO MATCH")</f>
        <v>_NO MATCH</v>
      </c>
      <c r="W230" s="286" t="s">
        <v>8</v>
      </c>
      <c r="X230" s="4" t="str">
        <f>IFERROR(IF(VLOOKUP(Schedules[[#This Row],[EE ID]],TeamList[],MATCH(Schedules[[#This Row],[DOW]],TeamList[#Headers],0),0)="OFF","OFF","SCH"),"_NO MATCH")</f>
        <v>_NO MATCH</v>
      </c>
      <c r="Y230" s="4" t="str">
        <f>IFERROR(IF(Schedules[[#This Row],[Scheduled]]="OFF","",LEFT(VLOOKUP(Schedules[[#This Row],[EE ID]],TeamList[],MATCH(Schedules[[#This Row],[DOW]],TeamList[#Headers],0),0),4)),"_NO MATCH")</f>
        <v>_NO MATCH</v>
      </c>
      <c r="Z230" s="4" t="str">
        <f>IFERROR(IF(Schedules[[#This Row],[Scheduled]]="OFF","",RIGHT(VLOOKUP(Schedules[[#This Row],[EE ID]],TeamList[],MATCH(Schedules[[#This Row],[DOW]],TeamList[#Headers],0),0),4)),"_NO MATCH")</f>
        <v>_NO MATCH</v>
      </c>
    </row>
    <row r="231" spans="19:26" x14ac:dyDescent="0.25">
      <c r="S231" s="209">
        <v>1518179</v>
      </c>
      <c r="T231" s="209" t="str">
        <f>Schedules[[#This Row],[Employee Name]]&amp;Schedules[[#This Row],[DOW]]</f>
        <v>_NO MATCHThu</v>
      </c>
      <c r="U231" s="4" t="str">
        <f>IFERROR(VLOOKUP(Schedules[[#This Row],[EE ID]],TeamList[],MATCH(Schedules[[#Headers],[Employee Name]],TeamList[#Headers],0),0),"_NO MATCH")</f>
        <v>_NO MATCH</v>
      </c>
      <c r="V231" s="4" t="str">
        <f>IFERROR(VLOOKUP(Schedules[[#This Row],[EE ID]],TeamList[],MATCH(Schedules[[#Headers],[Dept]],TeamList[#Headers],0),0),"_NO MATCH")</f>
        <v>_NO MATCH</v>
      </c>
      <c r="W231" s="286" t="s">
        <v>10</v>
      </c>
      <c r="X231" s="4" t="str">
        <f>IFERROR(IF(VLOOKUP(Schedules[[#This Row],[EE ID]],TeamList[],MATCH(Schedules[[#This Row],[DOW]],TeamList[#Headers],0),0)="OFF","OFF","SCH"),"_NO MATCH")</f>
        <v>_NO MATCH</v>
      </c>
      <c r="Y231" s="4" t="str">
        <f>IFERROR(IF(Schedules[[#This Row],[Scheduled]]="OFF","",LEFT(VLOOKUP(Schedules[[#This Row],[EE ID]],TeamList[],MATCH(Schedules[[#This Row],[DOW]],TeamList[#Headers],0),0),4)),"_NO MATCH")</f>
        <v>_NO MATCH</v>
      </c>
      <c r="Z231" s="4" t="str">
        <f>IFERROR(IF(Schedules[[#This Row],[Scheduled]]="OFF","",RIGHT(VLOOKUP(Schedules[[#This Row],[EE ID]],TeamList[],MATCH(Schedules[[#This Row],[DOW]],TeamList[#Headers],0),0),4)),"_NO MATCH")</f>
        <v>_NO MATCH</v>
      </c>
    </row>
    <row r="232" spans="19:26" x14ac:dyDescent="0.25">
      <c r="S232" s="209">
        <v>1518179</v>
      </c>
      <c r="T232" s="209" t="str">
        <f>Schedules[[#This Row],[Employee Name]]&amp;Schedules[[#This Row],[DOW]]</f>
        <v>_NO MATCHSun</v>
      </c>
      <c r="U232" s="4" t="str">
        <f>IFERROR(VLOOKUP(Schedules[[#This Row],[EE ID]],TeamList[],MATCH(Schedules[[#Headers],[Employee Name]],TeamList[#Headers],0),0),"_NO MATCH")</f>
        <v>_NO MATCH</v>
      </c>
      <c r="V232" s="4" t="str">
        <f>IFERROR(VLOOKUP(Schedules[[#This Row],[EE ID]],TeamList[],MATCH(Schedules[[#Headers],[Dept]],TeamList[#Headers],0),0),"_NO MATCH")</f>
        <v>_NO MATCH</v>
      </c>
      <c r="W232" s="287" t="s">
        <v>6</v>
      </c>
      <c r="X232" s="219" t="str">
        <f>IFERROR(IF(VLOOKUP(Schedules[[#This Row],[EE ID]],TeamList[],MATCH(Schedules[[#This Row],[DOW]],TeamList[#Headers],0),0)="OFF","OFF","SCH"),"_NO MATCH")</f>
        <v>_NO MATCH</v>
      </c>
      <c r="Y232" s="219" t="str">
        <f>IFERROR(IF(Schedules[[#This Row],[Scheduled]]="OFF","",LEFT(VLOOKUP(Schedules[[#This Row],[EE ID]],TeamList[],MATCH(Schedules[[#This Row],[DOW]],TeamList[#Headers],0),0),4)),"_NO MATCH")</f>
        <v>_NO MATCH</v>
      </c>
      <c r="Z232" s="219" t="str">
        <f>IFERROR(IF(Schedules[[#This Row],[Scheduled]]="OFF","",RIGHT(VLOOKUP(Schedules[[#This Row],[EE ID]],TeamList[],MATCH(Schedules[[#This Row],[DOW]],TeamList[#Headers],0),0),4)),"_NO MATCH")</f>
        <v>_NO MATCH</v>
      </c>
    </row>
    <row r="233" spans="19:26" x14ac:dyDescent="0.25">
      <c r="S233" s="209">
        <v>1518179</v>
      </c>
      <c r="T233" s="209" t="str">
        <f>Schedules[[#This Row],[Employee Name]]&amp;Schedules[[#This Row],[DOW]]</f>
        <v>_NO MATCHSat</v>
      </c>
      <c r="U233" s="4" t="str">
        <f>IFERROR(VLOOKUP(Schedules[[#This Row],[EE ID]],TeamList[],MATCH(Schedules[[#Headers],[Employee Name]],TeamList[#Headers],0),0),"_NO MATCH")</f>
        <v>_NO MATCH</v>
      </c>
      <c r="V233" s="4" t="str">
        <f>IFERROR(VLOOKUP(Schedules[[#This Row],[EE ID]],TeamList[],MATCH(Schedules[[#Headers],[Dept]],TeamList[#Headers],0),0),"_NO MATCH")</f>
        <v>_NO MATCH</v>
      </c>
      <c r="W233" s="286" t="s">
        <v>12</v>
      </c>
      <c r="X233" s="4" t="str">
        <f>IFERROR(IF(VLOOKUP(Schedules[[#This Row],[EE ID]],TeamList[],MATCH(Schedules[[#This Row],[DOW]],TeamList[#Headers],0),0)="OFF","OFF","SCH"),"_NO MATCH")</f>
        <v>_NO MATCH</v>
      </c>
      <c r="Y233" s="4" t="str">
        <f>IFERROR(IF(Schedules[[#This Row],[Scheduled]]="OFF","",LEFT(VLOOKUP(Schedules[[#This Row],[EE ID]],TeamList[],MATCH(Schedules[[#This Row],[DOW]],TeamList[#Headers],0),0),4)),"_NO MATCH")</f>
        <v>_NO MATCH</v>
      </c>
      <c r="Z233" s="4" t="str">
        <f>IFERROR(IF(Schedules[[#This Row],[Scheduled]]="OFF","",RIGHT(VLOOKUP(Schedules[[#This Row],[EE ID]],TeamList[],MATCH(Schedules[[#This Row],[DOW]],TeamList[#Headers],0),0),4)),"_NO MATCH")</f>
        <v>_NO MATCH</v>
      </c>
    </row>
    <row r="234" spans="19:26" x14ac:dyDescent="0.25">
      <c r="S234" s="209">
        <v>1518179</v>
      </c>
      <c r="T234" s="209" t="str">
        <f>Schedules[[#This Row],[Employee Name]]&amp;Schedules[[#This Row],[DOW]]</f>
        <v>_NO MATCHMon</v>
      </c>
      <c r="U234" s="4" t="str">
        <f>IFERROR(VLOOKUP(Schedules[[#This Row],[EE ID]],TeamList[],MATCH(Schedules[[#Headers],[Employee Name]],TeamList[#Headers],0),0),"_NO MATCH")</f>
        <v>_NO MATCH</v>
      </c>
      <c r="V234" s="4" t="str">
        <f>IFERROR(VLOOKUP(Schedules[[#This Row],[EE ID]],TeamList[],MATCH(Schedules[[#Headers],[Dept]],TeamList[#Headers],0),0),"_NO MATCH")</f>
        <v>_NO MATCH</v>
      </c>
      <c r="W234" s="286" t="s">
        <v>7</v>
      </c>
      <c r="X234" s="4" t="str">
        <f>IFERROR(IF(VLOOKUP(Schedules[[#This Row],[EE ID]],TeamList[],MATCH(Schedules[[#This Row],[DOW]],TeamList[#Headers],0),0)="OFF","OFF","SCH"),"_NO MATCH")</f>
        <v>_NO MATCH</v>
      </c>
      <c r="Y234" s="4" t="str">
        <f>IFERROR(IF(Schedules[[#This Row],[Scheduled]]="OFF","",LEFT(VLOOKUP(Schedules[[#This Row],[EE ID]],TeamList[],MATCH(Schedules[[#This Row],[DOW]],TeamList[#Headers],0),0),4)),"_NO MATCH")</f>
        <v>_NO MATCH</v>
      </c>
      <c r="Z234" s="4" t="str">
        <f>IFERROR(IF(Schedules[[#This Row],[Scheduled]]="OFF","",RIGHT(VLOOKUP(Schedules[[#This Row],[EE ID]],TeamList[],MATCH(Schedules[[#This Row],[DOW]],TeamList[#Headers],0),0),4)),"_NO MATCH")</f>
        <v>_NO MATCH</v>
      </c>
    </row>
    <row r="235" spans="19:26" x14ac:dyDescent="0.25">
      <c r="S235" s="209">
        <v>1518179</v>
      </c>
      <c r="T235" s="209" t="str">
        <f>Schedules[[#This Row],[Employee Name]]&amp;Schedules[[#This Row],[DOW]]</f>
        <v>_NO MATCHFri</v>
      </c>
      <c r="U235" s="4" t="str">
        <f>IFERROR(VLOOKUP(Schedules[[#This Row],[EE ID]],TeamList[],MATCH(Schedules[[#Headers],[Employee Name]],TeamList[#Headers],0),0),"_NO MATCH")</f>
        <v>_NO MATCH</v>
      </c>
      <c r="V235" s="4" t="str">
        <f>IFERROR(VLOOKUP(Schedules[[#This Row],[EE ID]],TeamList[],MATCH(Schedules[[#Headers],[Dept]],TeamList[#Headers],0),0),"_NO MATCH")</f>
        <v>_NO MATCH</v>
      </c>
      <c r="W235" s="286" t="s">
        <v>11</v>
      </c>
      <c r="X235" s="4" t="str">
        <f>IFERROR(IF(VLOOKUP(Schedules[[#This Row],[EE ID]],TeamList[],MATCH(Schedules[[#This Row],[DOW]],TeamList[#Headers],0),0)="OFF","OFF","SCH"),"_NO MATCH")</f>
        <v>_NO MATCH</v>
      </c>
      <c r="Y235" s="4" t="str">
        <f>IFERROR(IF(Schedules[[#This Row],[Scheduled]]="OFF","",LEFT(VLOOKUP(Schedules[[#This Row],[EE ID]],TeamList[],MATCH(Schedules[[#This Row],[DOW]],TeamList[#Headers],0),0),4)),"_NO MATCH")</f>
        <v>_NO MATCH</v>
      </c>
      <c r="Z235" s="4" t="str">
        <f>IFERROR(IF(Schedules[[#This Row],[Scheduled]]="OFF","",RIGHT(VLOOKUP(Schedules[[#This Row],[EE ID]],TeamList[],MATCH(Schedules[[#This Row],[DOW]],TeamList[#Headers],0),0),4)),"_NO MATCH")</f>
        <v>_NO MATCH</v>
      </c>
    </row>
    <row r="236" spans="19:26" x14ac:dyDescent="0.25">
      <c r="S236" s="209">
        <v>1515662</v>
      </c>
      <c r="T236" s="209" t="str">
        <f>Schedules[[#This Row],[Employee Name]]&amp;Schedules[[#This Row],[DOW]]</f>
        <v>Harley, TimothyWed</v>
      </c>
      <c r="U236" s="4" t="str">
        <f>IFERROR(VLOOKUP(Schedules[[#This Row],[EE ID]],TeamList[],MATCH(Schedules[[#Headers],[Employee Name]],TeamList[#Headers],0),0),"_NO MATCH")</f>
        <v>Harley, Timothy</v>
      </c>
      <c r="V236" s="4" t="str">
        <f>IFERROR(VLOOKUP(Schedules[[#This Row],[EE ID]],TeamList[],MATCH(Schedules[[#Headers],[Dept]],TeamList[#Headers],0),0),"_NO MATCH")</f>
        <v>Lead Billing</v>
      </c>
      <c r="W236" s="286" t="s">
        <v>9</v>
      </c>
      <c r="X236" s="4" t="str">
        <f>IFERROR(IF(VLOOKUP(Schedules[[#This Row],[EE ID]],TeamList[],MATCH(Schedules[[#This Row],[DOW]],TeamList[#Headers],0),0)="OFF","OFF","SCH"),"_NO MATCH")</f>
        <v>SCH</v>
      </c>
      <c r="Y236" s="4" t="str">
        <f>IFERROR(IF(Schedules[[#This Row],[Scheduled]]="OFF","",LEFT(VLOOKUP(Schedules[[#This Row],[EE ID]],TeamList[],MATCH(Schedules[[#This Row],[DOW]],TeamList[#Headers],0),0),4)),"_NO MATCH")</f>
        <v>08:0</v>
      </c>
      <c r="Z236" s="4" t="str">
        <f>IFERROR(IF(Schedules[[#This Row],[Scheduled]]="OFF","",RIGHT(VLOOKUP(Schedules[[#This Row],[EE ID]],TeamList[],MATCH(Schedules[[#This Row],[DOW]],TeamList[#Headers],0),0),4)),"_NO MATCH")</f>
        <v>6:30</v>
      </c>
    </row>
    <row r="237" spans="19:26" x14ac:dyDescent="0.25">
      <c r="S237" s="209">
        <v>1515662</v>
      </c>
      <c r="T237" s="209" t="str">
        <f>Schedules[[#This Row],[Employee Name]]&amp;Schedules[[#This Row],[DOW]]</f>
        <v>Harley, TimothyTue</v>
      </c>
      <c r="U237" s="4" t="str">
        <f>IFERROR(VLOOKUP(Schedules[[#This Row],[EE ID]],TeamList[],MATCH(Schedules[[#Headers],[Employee Name]],TeamList[#Headers],0),0),"_NO MATCH")</f>
        <v>Harley, Timothy</v>
      </c>
      <c r="V237" s="4" t="str">
        <f>IFERROR(VLOOKUP(Schedules[[#This Row],[EE ID]],TeamList[],MATCH(Schedules[[#Headers],[Dept]],TeamList[#Headers],0),0),"_NO MATCH")</f>
        <v>Lead Billing</v>
      </c>
      <c r="W237" s="286" t="s">
        <v>8</v>
      </c>
      <c r="X237" s="4" t="str">
        <f>IFERROR(IF(VLOOKUP(Schedules[[#This Row],[EE ID]],TeamList[],MATCH(Schedules[[#This Row],[DOW]],TeamList[#Headers],0),0)="OFF","OFF","SCH"),"_NO MATCH")</f>
        <v>SCH</v>
      </c>
      <c r="Y237" s="4" t="str">
        <f>IFERROR(IF(Schedules[[#This Row],[Scheduled]]="OFF","",LEFT(VLOOKUP(Schedules[[#This Row],[EE ID]],TeamList[],MATCH(Schedules[[#This Row],[DOW]],TeamList[#Headers],0),0),4)),"_NO MATCH")</f>
        <v>08:0</v>
      </c>
      <c r="Z237" s="4" t="str">
        <f>IFERROR(IF(Schedules[[#This Row],[Scheduled]]="OFF","",RIGHT(VLOOKUP(Schedules[[#This Row],[EE ID]],TeamList[],MATCH(Schedules[[#This Row],[DOW]],TeamList[#Headers],0),0),4)),"_NO MATCH")</f>
        <v>6:30</v>
      </c>
    </row>
    <row r="238" spans="19:26" x14ac:dyDescent="0.25">
      <c r="S238" s="209">
        <v>1515662</v>
      </c>
      <c r="T238" s="209" t="str">
        <f>Schedules[[#This Row],[Employee Name]]&amp;Schedules[[#This Row],[DOW]]</f>
        <v>Harley, TimothyThu</v>
      </c>
      <c r="U238" s="4" t="str">
        <f>IFERROR(VLOOKUP(Schedules[[#This Row],[EE ID]],TeamList[],MATCH(Schedules[[#Headers],[Employee Name]],TeamList[#Headers],0),0),"_NO MATCH")</f>
        <v>Harley, Timothy</v>
      </c>
      <c r="V238" s="4" t="str">
        <f>IFERROR(VLOOKUP(Schedules[[#This Row],[EE ID]],TeamList[],MATCH(Schedules[[#Headers],[Dept]],TeamList[#Headers],0),0),"_NO MATCH")</f>
        <v>Lead Billing</v>
      </c>
      <c r="W238" s="286" t="s">
        <v>10</v>
      </c>
      <c r="X238" s="4" t="str">
        <f>IFERROR(IF(VLOOKUP(Schedules[[#This Row],[EE ID]],TeamList[],MATCH(Schedules[[#This Row],[DOW]],TeamList[#Headers],0),0)="OFF","OFF","SCH"),"_NO MATCH")</f>
        <v>OFF</v>
      </c>
      <c r="Y238" s="4" t="str">
        <f>IFERROR(IF(Schedules[[#This Row],[Scheduled]]="OFF","",LEFT(VLOOKUP(Schedules[[#This Row],[EE ID]],TeamList[],MATCH(Schedules[[#This Row],[DOW]],TeamList[#Headers],0),0),4)),"_NO MATCH")</f>
        <v/>
      </c>
      <c r="Z238" s="4" t="str">
        <f>IFERROR(IF(Schedules[[#This Row],[Scheduled]]="OFF","",RIGHT(VLOOKUP(Schedules[[#This Row],[EE ID]],TeamList[],MATCH(Schedules[[#This Row],[DOW]],TeamList[#Headers],0),0),4)),"_NO MATCH")</f>
        <v/>
      </c>
    </row>
    <row r="239" spans="19:26" x14ac:dyDescent="0.25">
      <c r="S239" s="209">
        <v>1515662</v>
      </c>
      <c r="T239" s="209" t="str">
        <f>Schedules[[#This Row],[Employee Name]]&amp;Schedules[[#This Row],[DOW]]</f>
        <v>Harley, TimothySun</v>
      </c>
      <c r="U239" s="4" t="str">
        <f>IFERROR(VLOOKUP(Schedules[[#This Row],[EE ID]],TeamList[],MATCH(Schedules[[#Headers],[Employee Name]],TeamList[#Headers],0),0),"_NO MATCH")</f>
        <v>Harley, Timothy</v>
      </c>
      <c r="V239" s="4" t="str">
        <f>IFERROR(VLOOKUP(Schedules[[#This Row],[EE ID]],TeamList[],MATCH(Schedules[[#Headers],[Dept]],TeamList[#Headers],0),0),"_NO MATCH")</f>
        <v>Lead Billing</v>
      </c>
      <c r="W239" s="287" t="s">
        <v>6</v>
      </c>
      <c r="X239" s="219" t="str">
        <f>IFERROR(IF(VLOOKUP(Schedules[[#This Row],[EE ID]],TeamList[],MATCH(Schedules[[#This Row],[DOW]],TeamList[#Headers],0),0)="OFF","OFF","SCH"),"_NO MATCH")</f>
        <v>SCH</v>
      </c>
      <c r="Y239" s="219" t="str">
        <f>IFERROR(IF(Schedules[[#This Row],[Scheduled]]="OFF","",LEFT(VLOOKUP(Schedules[[#This Row],[EE ID]],TeamList[],MATCH(Schedules[[#This Row],[DOW]],TeamList[#Headers],0),0),4)),"_NO MATCH")</f>
        <v>08:0</v>
      </c>
      <c r="Z239" s="219" t="str">
        <f>IFERROR(IF(Schedules[[#This Row],[Scheduled]]="OFF","",RIGHT(VLOOKUP(Schedules[[#This Row],[EE ID]],TeamList[],MATCH(Schedules[[#This Row],[DOW]],TeamList[#Headers],0),0),4)),"_NO MATCH")</f>
        <v>6:30</v>
      </c>
    </row>
    <row r="240" spans="19:26" x14ac:dyDescent="0.25">
      <c r="S240" s="209">
        <v>1515662</v>
      </c>
      <c r="T240" s="209" t="str">
        <f>Schedules[[#This Row],[Employee Name]]&amp;Schedules[[#This Row],[DOW]]</f>
        <v>Harley, TimothySat</v>
      </c>
      <c r="U240" s="4" t="str">
        <f>IFERROR(VLOOKUP(Schedules[[#This Row],[EE ID]],TeamList[],MATCH(Schedules[[#Headers],[Employee Name]],TeamList[#Headers],0),0),"_NO MATCH")</f>
        <v>Harley, Timothy</v>
      </c>
      <c r="V240" s="4" t="str">
        <f>IFERROR(VLOOKUP(Schedules[[#This Row],[EE ID]],TeamList[],MATCH(Schedules[[#Headers],[Dept]],TeamList[#Headers],0),0),"_NO MATCH")</f>
        <v>Lead Billing</v>
      </c>
      <c r="W240" s="286" t="s">
        <v>12</v>
      </c>
      <c r="X240" s="4" t="str">
        <f>IFERROR(IF(VLOOKUP(Schedules[[#This Row],[EE ID]],TeamList[],MATCH(Schedules[[#This Row],[DOW]],TeamList[#Headers],0),0)="OFF","OFF","SCH"),"_NO MATCH")</f>
        <v>SCH</v>
      </c>
      <c r="Y240" s="4" t="str">
        <f>IFERROR(IF(Schedules[[#This Row],[Scheduled]]="OFF","",LEFT(VLOOKUP(Schedules[[#This Row],[EE ID]],TeamList[],MATCH(Schedules[[#This Row],[DOW]],TeamList[#Headers],0),0),4)),"_NO MATCH")</f>
        <v>08:0</v>
      </c>
      <c r="Z240" s="4" t="str">
        <f>IFERROR(IF(Schedules[[#This Row],[Scheduled]]="OFF","",RIGHT(VLOOKUP(Schedules[[#This Row],[EE ID]],TeamList[],MATCH(Schedules[[#This Row],[DOW]],TeamList[#Headers],0),0),4)),"_NO MATCH")</f>
        <v>6:30</v>
      </c>
    </row>
    <row r="241" spans="19:26" x14ac:dyDescent="0.25">
      <c r="S241" s="209">
        <v>1515662</v>
      </c>
      <c r="T241" s="209" t="str">
        <f>Schedules[[#This Row],[Employee Name]]&amp;Schedules[[#This Row],[DOW]]</f>
        <v>Harley, TimothyMon</v>
      </c>
      <c r="U241" s="4" t="str">
        <f>IFERROR(VLOOKUP(Schedules[[#This Row],[EE ID]],TeamList[],MATCH(Schedules[[#Headers],[Employee Name]],TeamList[#Headers],0),0),"_NO MATCH")</f>
        <v>Harley, Timothy</v>
      </c>
      <c r="V241" s="4" t="str">
        <f>IFERROR(VLOOKUP(Schedules[[#This Row],[EE ID]],TeamList[],MATCH(Schedules[[#Headers],[Dept]],TeamList[#Headers],0),0),"_NO MATCH")</f>
        <v>Lead Billing</v>
      </c>
      <c r="W241" s="286" t="s">
        <v>7</v>
      </c>
      <c r="X241" s="4" t="str">
        <f>IFERROR(IF(VLOOKUP(Schedules[[#This Row],[EE ID]],TeamList[],MATCH(Schedules[[#This Row],[DOW]],TeamList[#Headers],0),0)="OFF","OFF","SCH"),"_NO MATCH")</f>
        <v>SCH</v>
      </c>
      <c r="Y241" s="4" t="str">
        <f>IFERROR(IF(Schedules[[#This Row],[Scheduled]]="OFF","",LEFT(VLOOKUP(Schedules[[#This Row],[EE ID]],TeamList[],MATCH(Schedules[[#This Row],[DOW]],TeamList[#Headers],0),0),4)),"_NO MATCH")</f>
        <v>08:0</v>
      </c>
      <c r="Z241" s="4" t="str">
        <f>IFERROR(IF(Schedules[[#This Row],[Scheduled]]="OFF","",RIGHT(VLOOKUP(Schedules[[#This Row],[EE ID]],TeamList[],MATCH(Schedules[[#This Row],[DOW]],TeamList[#Headers],0),0),4)),"_NO MATCH")</f>
        <v>6:30</v>
      </c>
    </row>
    <row r="242" spans="19:26" x14ac:dyDescent="0.25">
      <c r="S242" s="209">
        <v>1515662</v>
      </c>
      <c r="T242" s="209" t="str">
        <f>Schedules[[#This Row],[Employee Name]]&amp;Schedules[[#This Row],[DOW]]</f>
        <v>Harley, TimothyFri</v>
      </c>
      <c r="U242" s="4" t="str">
        <f>IFERROR(VLOOKUP(Schedules[[#This Row],[EE ID]],TeamList[],MATCH(Schedules[[#Headers],[Employee Name]],TeamList[#Headers],0),0),"_NO MATCH")</f>
        <v>Harley, Timothy</v>
      </c>
      <c r="V242" s="4" t="str">
        <f>IFERROR(VLOOKUP(Schedules[[#This Row],[EE ID]],TeamList[],MATCH(Schedules[[#Headers],[Dept]],TeamList[#Headers],0),0),"_NO MATCH")</f>
        <v>Lead Billing</v>
      </c>
      <c r="W242" s="286" t="s">
        <v>11</v>
      </c>
      <c r="X242" s="4" t="str">
        <f>IFERROR(IF(VLOOKUP(Schedules[[#This Row],[EE ID]],TeamList[],MATCH(Schedules[[#This Row],[DOW]],TeamList[#Headers],0),0)="OFF","OFF","SCH"),"_NO MATCH")</f>
        <v>OFF</v>
      </c>
      <c r="Y242" s="4" t="str">
        <f>IFERROR(IF(Schedules[[#This Row],[Scheduled]]="OFF","",LEFT(VLOOKUP(Schedules[[#This Row],[EE ID]],TeamList[],MATCH(Schedules[[#This Row],[DOW]],TeamList[#Headers],0),0),4)),"_NO MATCH")</f>
        <v/>
      </c>
      <c r="Z242" s="4" t="str">
        <f>IFERROR(IF(Schedules[[#This Row],[Scheduled]]="OFF","",RIGHT(VLOOKUP(Schedules[[#This Row],[EE ID]],TeamList[],MATCH(Schedules[[#This Row],[DOW]],TeamList[#Headers],0),0),4)),"_NO MATCH")</f>
        <v/>
      </c>
    </row>
    <row r="243" spans="19:26" x14ac:dyDescent="0.25">
      <c r="S243" s="209">
        <v>1522297</v>
      </c>
      <c r="T243" s="209" t="str">
        <f>Schedules[[#This Row],[Employee Name]]&amp;Schedules[[#This Row],[DOW]]</f>
        <v>Harding, MickeyaWed</v>
      </c>
      <c r="U243" s="4" t="str">
        <f>IFERROR(VLOOKUP(Schedules[[#This Row],[EE ID]],TeamList[],MATCH(Schedules[[#Headers],[Employee Name]],TeamList[#Headers],0),0),"_NO MATCH")</f>
        <v>Harding, Mickeya</v>
      </c>
      <c r="V243" s="4" t="str">
        <f>IFERROR(VLOOKUP(Schedules[[#This Row],[EE ID]],TeamList[],MATCH(Schedules[[#Headers],[Dept]],TeamList[#Headers],0),0),"_NO MATCH")</f>
        <v>Lead Billing</v>
      </c>
      <c r="W243" s="286" t="s">
        <v>9</v>
      </c>
      <c r="X243" s="4" t="str">
        <f>IFERROR(IF(VLOOKUP(Schedules[[#This Row],[EE ID]],TeamList[],MATCH(Schedules[[#This Row],[DOW]],TeamList[#Headers],0),0)="OFF","OFF","SCH"),"_NO MATCH")</f>
        <v>OFF</v>
      </c>
      <c r="Y243" s="4" t="str">
        <f>IFERROR(IF(Schedules[[#This Row],[Scheduled]]="OFF","",LEFT(VLOOKUP(Schedules[[#This Row],[EE ID]],TeamList[],MATCH(Schedules[[#This Row],[DOW]],TeamList[#Headers],0),0),4)),"_NO MATCH")</f>
        <v/>
      </c>
      <c r="Z243" s="4" t="str">
        <f>IFERROR(IF(Schedules[[#This Row],[Scheduled]]="OFF","",RIGHT(VLOOKUP(Schedules[[#This Row],[EE ID]],TeamList[],MATCH(Schedules[[#This Row],[DOW]],TeamList[#Headers],0),0),4)),"_NO MATCH")</f>
        <v/>
      </c>
    </row>
    <row r="244" spans="19:26" x14ac:dyDescent="0.25">
      <c r="S244" s="209">
        <v>1522297</v>
      </c>
      <c r="T244" s="209" t="str">
        <f>Schedules[[#This Row],[Employee Name]]&amp;Schedules[[#This Row],[DOW]]</f>
        <v>Harding, MickeyaTue</v>
      </c>
      <c r="U244" s="4" t="str">
        <f>IFERROR(VLOOKUP(Schedules[[#This Row],[EE ID]],TeamList[],MATCH(Schedules[[#Headers],[Employee Name]],TeamList[#Headers],0),0),"_NO MATCH")</f>
        <v>Harding, Mickeya</v>
      </c>
      <c r="V244" s="4" t="str">
        <f>IFERROR(VLOOKUP(Schedules[[#This Row],[EE ID]],TeamList[],MATCH(Schedules[[#Headers],[Dept]],TeamList[#Headers],0),0),"_NO MATCH")</f>
        <v>Lead Billing</v>
      </c>
      <c r="W244" s="286" t="s">
        <v>8</v>
      </c>
      <c r="X244" s="4" t="str">
        <f>IFERROR(IF(VLOOKUP(Schedules[[#This Row],[EE ID]],TeamList[],MATCH(Schedules[[#This Row],[DOW]],TeamList[#Headers],0),0)="OFF","OFF","SCH"),"_NO MATCH")</f>
        <v>OFF</v>
      </c>
      <c r="Y244" s="4" t="str">
        <f>IFERROR(IF(Schedules[[#This Row],[Scheduled]]="OFF","",LEFT(VLOOKUP(Schedules[[#This Row],[EE ID]],TeamList[],MATCH(Schedules[[#This Row],[DOW]],TeamList[#Headers],0),0),4)),"_NO MATCH")</f>
        <v/>
      </c>
      <c r="Z244" s="4" t="str">
        <f>IFERROR(IF(Schedules[[#This Row],[Scheduled]]="OFF","",RIGHT(VLOOKUP(Schedules[[#This Row],[EE ID]],TeamList[],MATCH(Schedules[[#This Row],[DOW]],TeamList[#Headers],0),0),4)),"_NO MATCH")</f>
        <v/>
      </c>
    </row>
    <row r="245" spans="19:26" x14ac:dyDescent="0.25">
      <c r="S245" s="209">
        <v>1522297</v>
      </c>
      <c r="T245" s="209" t="str">
        <f>Schedules[[#This Row],[Employee Name]]&amp;Schedules[[#This Row],[DOW]]</f>
        <v>Harding, MickeyaThu</v>
      </c>
      <c r="U245" s="4" t="str">
        <f>IFERROR(VLOOKUP(Schedules[[#This Row],[EE ID]],TeamList[],MATCH(Schedules[[#Headers],[Employee Name]],TeamList[#Headers],0),0),"_NO MATCH")</f>
        <v>Harding, Mickeya</v>
      </c>
      <c r="V245" s="4" t="str">
        <f>IFERROR(VLOOKUP(Schedules[[#This Row],[EE ID]],TeamList[],MATCH(Schedules[[#Headers],[Dept]],TeamList[#Headers],0),0),"_NO MATCH")</f>
        <v>Lead Billing</v>
      </c>
      <c r="W245" s="286" t="s">
        <v>10</v>
      </c>
      <c r="X245" s="4" t="str">
        <f>IFERROR(IF(VLOOKUP(Schedules[[#This Row],[EE ID]],TeamList[],MATCH(Schedules[[#This Row],[DOW]],TeamList[#Headers],0),0)="OFF","OFF","SCH"),"_NO MATCH")</f>
        <v>SCH</v>
      </c>
      <c r="Y245" s="4" t="str">
        <f>IFERROR(IF(Schedules[[#This Row],[Scheduled]]="OFF","",LEFT(VLOOKUP(Schedules[[#This Row],[EE ID]],TeamList[],MATCH(Schedules[[#This Row],[DOW]],TeamList[#Headers],0),0),4)),"_NO MATCH")</f>
        <v>12:0</v>
      </c>
      <c r="Z245" s="4" t="str">
        <f>IFERROR(IF(Schedules[[#This Row],[Scheduled]]="OFF","",RIGHT(VLOOKUP(Schedules[[#This Row],[EE ID]],TeamList[],MATCH(Schedules[[#This Row],[DOW]],TeamList[#Headers],0),0),4)),"_NO MATCH")</f>
        <v>0:30</v>
      </c>
    </row>
    <row r="246" spans="19:26" x14ac:dyDescent="0.25">
      <c r="S246" s="209">
        <v>1522297</v>
      </c>
      <c r="T246" s="209" t="str">
        <f>Schedules[[#This Row],[Employee Name]]&amp;Schedules[[#This Row],[DOW]]</f>
        <v>Harding, MickeyaSun</v>
      </c>
      <c r="U246" s="4" t="str">
        <f>IFERROR(VLOOKUP(Schedules[[#This Row],[EE ID]],TeamList[],MATCH(Schedules[[#Headers],[Employee Name]],TeamList[#Headers],0),0),"_NO MATCH")</f>
        <v>Harding, Mickeya</v>
      </c>
      <c r="V246" s="4" t="str">
        <f>IFERROR(VLOOKUP(Schedules[[#This Row],[EE ID]],TeamList[],MATCH(Schedules[[#Headers],[Dept]],TeamList[#Headers],0),0),"_NO MATCH")</f>
        <v>Lead Billing</v>
      </c>
      <c r="W246" s="287" t="s">
        <v>6</v>
      </c>
      <c r="X246" s="219" t="str">
        <f>IFERROR(IF(VLOOKUP(Schedules[[#This Row],[EE ID]],TeamList[],MATCH(Schedules[[#This Row],[DOW]],TeamList[#Headers],0),0)="OFF","OFF","SCH"),"_NO MATCH")</f>
        <v>SCH</v>
      </c>
      <c r="Y246" s="219" t="str">
        <f>IFERROR(IF(Schedules[[#This Row],[Scheduled]]="OFF","",LEFT(VLOOKUP(Schedules[[#This Row],[EE ID]],TeamList[],MATCH(Schedules[[#This Row],[DOW]],TeamList[#Headers],0),0),4)),"_NO MATCH")</f>
        <v>12:0</v>
      </c>
      <c r="Z246" s="219" t="str">
        <f>IFERROR(IF(Schedules[[#This Row],[Scheduled]]="OFF","",RIGHT(VLOOKUP(Schedules[[#This Row],[EE ID]],TeamList[],MATCH(Schedules[[#This Row],[DOW]],TeamList[#Headers],0),0),4)),"_NO MATCH")</f>
        <v>0:30</v>
      </c>
    </row>
    <row r="247" spans="19:26" x14ac:dyDescent="0.25">
      <c r="S247" s="209">
        <v>1522297</v>
      </c>
      <c r="T247" s="209" t="str">
        <f>Schedules[[#This Row],[Employee Name]]&amp;Schedules[[#This Row],[DOW]]</f>
        <v>Harding, MickeyaSat</v>
      </c>
      <c r="U247" s="4" t="str">
        <f>IFERROR(VLOOKUP(Schedules[[#This Row],[EE ID]],TeamList[],MATCH(Schedules[[#Headers],[Employee Name]],TeamList[#Headers],0),0),"_NO MATCH")</f>
        <v>Harding, Mickeya</v>
      </c>
      <c r="V247" s="4" t="str">
        <f>IFERROR(VLOOKUP(Schedules[[#This Row],[EE ID]],TeamList[],MATCH(Schedules[[#Headers],[Dept]],TeamList[#Headers],0),0),"_NO MATCH")</f>
        <v>Lead Billing</v>
      </c>
      <c r="W247" s="286" t="s">
        <v>12</v>
      </c>
      <c r="X247" s="4" t="str">
        <f>IFERROR(IF(VLOOKUP(Schedules[[#This Row],[EE ID]],TeamList[],MATCH(Schedules[[#This Row],[DOW]],TeamList[#Headers],0),0)="OFF","OFF","SCH"),"_NO MATCH")</f>
        <v>SCH</v>
      </c>
      <c r="Y247" s="4" t="str">
        <f>IFERROR(IF(Schedules[[#This Row],[Scheduled]]="OFF","",LEFT(VLOOKUP(Schedules[[#This Row],[EE ID]],TeamList[],MATCH(Schedules[[#This Row],[DOW]],TeamList[#Headers],0),0),4)),"_NO MATCH")</f>
        <v>12:0</v>
      </c>
      <c r="Z247" s="4" t="str">
        <f>IFERROR(IF(Schedules[[#This Row],[Scheduled]]="OFF","",RIGHT(VLOOKUP(Schedules[[#This Row],[EE ID]],TeamList[],MATCH(Schedules[[#This Row],[DOW]],TeamList[#Headers],0),0),4)),"_NO MATCH")</f>
        <v>0:30</v>
      </c>
    </row>
    <row r="248" spans="19:26" x14ac:dyDescent="0.25">
      <c r="S248" s="209">
        <v>1522297</v>
      </c>
      <c r="T248" s="209" t="str">
        <f>Schedules[[#This Row],[Employee Name]]&amp;Schedules[[#This Row],[DOW]]</f>
        <v>Harding, MickeyaMon</v>
      </c>
      <c r="U248" s="4" t="str">
        <f>IFERROR(VLOOKUP(Schedules[[#This Row],[EE ID]],TeamList[],MATCH(Schedules[[#Headers],[Employee Name]],TeamList[#Headers],0),0),"_NO MATCH")</f>
        <v>Harding, Mickeya</v>
      </c>
      <c r="V248" s="4" t="str">
        <f>IFERROR(VLOOKUP(Schedules[[#This Row],[EE ID]],TeamList[],MATCH(Schedules[[#Headers],[Dept]],TeamList[#Headers],0),0),"_NO MATCH")</f>
        <v>Lead Billing</v>
      </c>
      <c r="W248" s="286" t="s">
        <v>7</v>
      </c>
      <c r="X248" s="4" t="str">
        <f>IFERROR(IF(VLOOKUP(Schedules[[#This Row],[EE ID]],TeamList[],MATCH(Schedules[[#This Row],[DOW]],TeamList[#Headers],0),0)="OFF","OFF","SCH"),"_NO MATCH")</f>
        <v>SCH</v>
      </c>
      <c r="Y248" s="4" t="str">
        <f>IFERROR(IF(Schedules[[#This Row],[Scheduled]]="OFF","",LEFT(VLOOKUP(Schedules[[#This Row],[EE ID]],TeamList[],MATCH(Schedules[[#This Row],[DOW]],TeamList[#Headers],0),0),4)),"_NO MATCH")</f>
        <v>12:0</v>
      </c>
      <c r="Z248" s="4" t="str">
        <f>IFERROR(IF(Schedules[[#This Row],[Scheduled]]="OFF","",RIGHT(VLOOKUP(Schedules[[#This Row],[EE ID]],TeamList[],MATCH(Schedules[[#This Row],[DOW]],TeamList[#Headers],0),0),4)),"_NO MATCH")</f>
        <v>0:30</v>
      </c>
    </row>
    <row r="249" spans="19:26" x14ac:dyDescent="0.25">
      <c r="S249" s="209">
        <v>1522297</v>
      </c>
      <c r="T249" s="209" t="str">
        <f>Schedules[[#This Row],[Employee Name]]&amp;Schedules[[#This Row],[DOW]]</f>
        <v>Harding, MickeyaFri</v>
      </c>
      <c r="U249" s="4" t="str">
        <f>IFERROR(VLOOKUP(Schedules[[#This Row],[EE ID]],TeamList[],MATCH(Schedules[[#Headers],[Employee Name]],TeamList[#Headers],0),0),"_NO MATCH")</f>
        <v>Harding, Mickeya</v>
      </c>
      <c r="V249" s="4" t="str">
        <f>IFERROR(VLOOKUP(Schedules[[#This Row],[EE ID]],TeamList[],MATCH(Schedules[[#Headers],[Dept]],TeamList[#Headers],0),0),"_NO MATCH")</f>
        <v>Lead Billing</v>
      </c>
      <c r="W249" s="286" t="s">
        <v>11</v>
      </c>
      <c r="X249" s="4" t="str">
        <f>IFERROR(IF(VLOOKUP(Schedules[[#This Row],[EE ID]],TeamList[],MATCH(Schedules[[#This Row],[DOW]],TeamList[#Headers],0),0)="OFF","OFF","SCH"),"_NO MATCH")</f>
        <v>SCH</v>
      </c>
      <c r="Y249" s="4" t="str">
        <f>IFERROR(IF(Schedules[[#This Row],[Scheduled]]="OFF","",LEFT(VLOOKUP(Schedules[[#This Row],[EE ID]],TeamList[],MATCH(Schedules[[#This Row],[DOW]],TeamList[#Headers],0),0),4)),"_NO MATCH")</f>
        <v>12:0</v>
      </c>
      <c r="Z249" s="4" t="str">
        <f>IFERROR(IF(Schedules[[#This Row],[Scheduled]]="OFF","",RIGHT(VLOOKUP(Schedules[[#This Row],[EE ID]],TeamList[],MATCH(Schedules[[#This Row],[DOW]],TeamList[#Headers],0),0),4)),"_NO MATCH")</f>
        <v>0:30</v>
      </c>
    </row>
    <row r="250" spans="19:26" x14ac:dyDescent="0.25">
      <c r="S250" s="209">
        <v>1515640</v>
      </c>
      <c r="T250" s="209" t="str">
        <f>Schedules[[#This Row],[Employee Name]]&amp;Schedules[[#This Row],[DOW]]</f>
        <v>Greene, AliciaWed</v>
      </c>
      <c r="U250" s="4" t="str">
        <f>IFERROR(VLOOKUP(Schedules[[#This Row],[EE ID]],TeamList[],MATCH(Schedules[[#Headers],[Employee Name]],TeamList[#Headers],0),0),"_NO MATCH")</f>
        <v>Greene, Alicia</v>
      </c>
      <c r="V250" s="4" t="str">
        <f>IFERROR(VLOOKUP(Schedules[[#This Row],[EE ID]],TeamList[],MATCH(Schedules[[#Headers],[Dept]],TeamList[#Headers],0),0),"_NO MATCH")</f>
        <v>Lead Billing</v>
      </c>
      <c r="W250" s="286" t="s">
        <v>9</v>
      </c>
      <c r="X250" s="4" t="str">
        <f>IFERROR(IF(VLOOKUP(Schedules[[#This Row],[EE ID]],TeamList[],MATCH(Schedules[[#This Row],[DOW]],TeamList[#Headers],0),0)="OFF","OFF","SCH"),"_NO MATCH")</f>
        <v>OFF</v>
      </c>
      <c r="Y250" s="4" t="str">
        <f>IFERROR(IF(Schedules[[#This Row],[Scheduled]]="OFF","",LEFT(VLOOKUP(Schedules[[#This Row],[EE ID]],TeamList[],MATCH(Schedules[[#This Row],[DOW]],TeamList[#Headers],0),0),4)),"_NO MATCH")</f>
        <v/>
      </c>
      <c r="Z250" s="4" t="str">
        <f>IFERROR(IF(Schedules[[#This Row],[Scheduled]]="OFF","",RIGHT(VLOOKUP(Schedules[[#This Row],[EE ID]],TeamList[],MATCH(Schedules[[#This Row],[DOW]],TeamList[#Headers],0),0),4)),"_NO MATCH")</f>
        <v/>
      </c>
    </row>
    <row r="251" spans="19:26" x14ac:dyDescent="0.25">
      <c r="S251" s="209">
        <v>1515640</v>
      </c>
      <c r="T251" s="209" t="str">
        <f>Schedules[[#This Row],[Employee Name]]&amp;Schedules[[#This Row],[DOW]]</f>
        <v>Greene, AliciaTue</v>
      </c>
      <c r="U251" s="4" t="str">
        <f>IFERROR(VLOOKUP(Schedules[[#This Row],[EE ID]],TeamList[],MATCH(Schedules[[#Headers],[Employee Name]],TeamList[#Headers],0),0),"_NO MATCH")</f>
        <v>Greene, Alicia</v>
      </c>
      <c r="V251" s="4" t="str">
        <f>IFERROR(VLOOKUP(Schedules[[#This Row],[EE ID]],TeamList[],MATCH(Schedules[[#Headers],[Dept]],TeamList[#Headers],0),0),"_NO MATCH")</f>
        <v>Lead Billing</v>
      </c>
      <c r="W251" s="286" t="s">
        <v>8</v>
      </c>
      <c r="X251" s="4" t="str">
        <f>IFERROR(IF(VLOOKUP(Schedules[[#This Row],[EE ID]],TeamList[],MATCH(Schedules[[#This Row],[DOW]],TeamList[#Headers],0),0)="OFF","OFF","SCH"),"_NO MATCH")</f>
        <v>SCH</v>
      </c>
      <c r="Y251" s="4" t="str">
        <f>IFERROR(IF(Schedules[[#This Row],[Scheduled]]="OFF","",LEFT(VLOOKUP(Schedules[[#This Row],[EE ID]],TeamList[],MATCH(Schedules[[#This Row],[DOW]],TeamList[#Headers],0),0),4)),"_NO MATCH")</f>
        <v>06:3</v>
      </c>
      <c r="Z251" s="4" t="str">
        <f>IFERROR(IF(Schedules[[#This Row],[Scheduled]]="OFF","",RIGHT(VLOOKUP(Schedules[[#This Row],[EE ID]],TeamList[],MATCH(Schedules[[#This Row],[DOW]],TeamList[#Headers],0),0),4)),"_NO MATCH")</f>
        <v>5:00</v>
      </c>
    </row>
    <row r="252" spans="19:26" x14ac:dyDescent="0.25">
      <c r="S252" s="209">
        <v>1515640</v>
      </c>
      <c r="T252" s="209" t="str">
        <f>Schedules[[#This Row],[Employee Name]]&amp;Schedules[[#This Row],[DOW]]</f>
        <v>Greene, AliciaThu</v>
      </c>
      <c r="U252" s="4" t="str">
        <f>IFERROR(VLOOKUP(Schedules[[#This Row],[EE ID]],TeamList[],MATCH(Schedules[[#Headers],[Employee Name]],TeamList[#Headers],0),0),"_NO MATCH")</f>
        <v>Greene, Alicia</v>
      </c>
      <c r="V252" s="4" t="str">
        <f>IFERROR(VLOOKUP(Schedules[[#This Row],[EE ID]],TeamList[],MATCH(Schedules[[#Headers],[Dept]],TeamList[#Headers],0),0),"_NO MATCH")</f>
        <v>Lead Billing</v>
      </c>
      <c r="W252" s="286" t="s">
        <v>10</v>
      </c>
      <c r="X252" s="4" t="str">
        <f>IFERROR(IF(VLOOKUP(Schedules[[#This Row],[EE ID]],TeamList[],MATCH(Schedules[[#This Row],[DOW]],TeamList[#Headers],0),0)="OFF","OFF","SCH"),"_NO MATCH")</f>
        <v>OFF</v>
      </c>
      <c r="Y252" s="4" t="str">
        <f>IFERROR(IF(Schedules[[#This Row],[Scheduled]]="OFF","",LEFT(VLOOKUP(Schedules[[#This Row],[EE ID]],TeamList[],MATCH(Schedules[[#This Row],[DOW]],TeamList[#Headers],0),0),4)),"_NO MATCH")</f>
        <v/>
      </c>
      <c r="Z252" s="4" t="str">
        <f>IFERROR(IF(Schedules[[#This Row],[Scheduled]]="OFF","",RIGHT(VLOOKUP(Schedules[[#This Row],[EE ID]],TeamList[],MATCH(Schedules[[#This Row],[DOW]],TeamList[#Headers],0),0),4)),"_NO MATCH")</f>
        <v/>
      </c>
    </row>
    <row r="253" spans="19:26" x14ac:dyDescent="0.25">
      <c r="S253" s="209">
        <v>1515640</v>
      </c>
      <c r="T253" s="209" t="str">
        <f>Schedules[[#This Row],[Employee Name]]&amp;Schedules[[#This Row],[DOW]]</f>
        <v>Greene, AliciaSun</v>
      </c>
      <c r="U253" s="4" t="str">
        <f>IFERROR(VLOOKUP(Schedules[[#This Row],[EE ID]],TeamList[],MATCH(Schedules[[#Headers],[Employee Name]],TeamList[#Headers],0),0),"_NO MATCH")</f>
        <v>Greene, Alicia</v>
      </c>
      <c r="V253" s="4" t="str">
        <f>IFERROR(VLOOKUP(Schedules[[#This Row],[EE ID]],TeamList[],MATCH(Schedules[[#Headers],[Dept]],TeamList[#Headers],0),0),"_NO MATCH")</f>
        <v>Lead Billing</v>
      </c>
      <c r="W253" s="287" t="s">
        <v>6</v>
      </c>
      <c r="X253" s="219" t="str">
        <f>IFERROR(IF(VLOOKUP(Schedules[[#This Row],[EE ID]],TeamList[],MATCH(Schedules[[#This Row],[DOW]],TeamList[#Headers],0),0)="OFF","OFF","SCH"),"_NO MATCH")</f>
        <v>SCH</v>
      </c>
      <c r="Y253" s="219" t="str">
        <f>IFERROR(IF(Schedules[[#This Row],[Scheduled]]="OFF","",LEFT(VLOOKUP(Schedules[[#This Row],[EE ID]],TeamList[],MATCH(Schedules[[#This Row],[DOW]],TeamList[#Headers],0),0),4)),"_NO MATCH")</f>
        <v>06:3</v>
      </c>
      <c r="Z253" s="219" t="str">
        <f>IFERROR(IF(Schedules[[#This Row],[Scheduled]]="OFF","",RIGHT(VLOOKUP(Schedules[[#This Row],[EE ID]],TeamList[],MATCH(Schedules[[#This Row],[DOW]],TeamList[#Headers],0),0),4)),"_NO MATCH")</f>
        <v>5:00</v>
      </c>
    </row>
    <row r="254" spans="19:26" x14ac:dyDescent="0.25">
      <c r="S254" s="209">
        <v>1515640</v>
      </c>
      <c r="T254" s="209" t="str">
        <f>Schedules[[#This Row],[Employee Name]]&amp;Schedules[[#This Row],[DOW]]</f>
        <v>Greene, AliciaSat</v>
      </c>
      <c r="U254" s="4" t="str">
        <f>IFERROR(VLOOKUP(Schedules[[#This Row],[EE ID]],TeamList[],MATCH(Schedules[[#Headers],[Employee Name]],TeamList[#Headers],0),0),"_NO MATCH")</f>
        <v>Greene, Alicia</v>
      </c>
      <c r="V254" s="4" t="str">
        <f>IFERROR(VLOOKUP(Schedules[[#This Row],[EE ID]],TeamList[],MATCH(Schedules[[#Headers],[Dept]],TeamList[#Headers],0),0),"_NO MATCH")</f>
        <v>Lead Billing</v>
      </c>
      <c r="W254" s="286" t="s">
        <v>12</v>
      </c>
      <c r="X254" s="4" t="str">
        <f>IFERROR(IF(VLOOKUP(Schedules[[#This Row],[EE ID]],TeamList[],MATCH(Schedules[[#This Row],[DOW]],TeamList[#Headers],0),0)="OFF","OFF","SCH"),"_NO MATCH")</f>
        <v>SCH</v>
      </c>
      <c r="Y254" s="4" t="str">
        <f>IFERROR(IF(Schedules[[#This Row],[Scheduled]]="OFF","",LEFT(VLOOKUP(Schedules[[#This Row],[EE ID]],TeamList[],MATCH(Schedules[[#This Row],[DOW]],TeamList[#Headers],0),0),4)),"_NO MATCH")</f>
        <v>06:3</v>
      </c>
      <c r="Z254" s="4" t="str">
        <f>IFERROR(IF(Schedules[[#This Row],[Scheduled]]="OFF","",RIGHT(VLOOKUP(Schedules[[#This Row],[EE ID]],TeamList[],MATCH(Schedules[[#This Row],[DOW]],TeamList[#Headers],0),0),4)),"_NO MATCH")</f>
        <v>5:00</v>
      </c>
    </row>
    <row r="255" spans="19:26" x14ac:dyDescent="0.25">
      <c r="S255" s="209">
        <v>1515640</v>
      </c>
      <c r="T255" s="209" t="str">
        <f>Schedules[[#This Row],[Employee Name]]&amp;Schedules[[#This Row],[DOW]]</f>
        <v>Greene, AliciaMon</v>
      </c>
      <c r="U255" s="4" t="str">
        <f>IFERROR(VLOOKUP(Schedules[[#This Row],[EE ID]],TeamList[],MATCH(Schedules[[#Headers],[Employee Name]],TeamList[#Headers],0),0),"_NO MATCH")</f>
        <v>Greene, Alicia</v>
      </c>
      <c r="V255" s="4" t="str">
        <f>IFERROR(VLOOKUP(Schedules[[#This Row],[EE ID]],TeamList[],MATCH(Schedules[[#Headers],[Dept]],TeamList[#Headers],0),0),"_NO MATCH")</f>
        <v>Lead Billing</v>
      </c>
      <c r="W255" s="286" t="s">
        <v>7</v>
      </c>
      <c r="X255" s="4" t="str">
        <f>IFERROR(IF(VLOOKUP(Schedules[[#This Row],[EE ID]],TeamList[],MATCH(Schedules[[#This Row],[DOW]],TeamList[#Headers],0),0)="OFF","OFF","SCH"),"_NO MATCH")</f>
        <v>SCH</v>
      </c>
      <c r="Y255" s="4" t="str">
        <f>IFERROR(IF(Schedules[[#This Row],[Scheduled]]="OFF","",LEFT(VLOOKUP(Schedules[[#This Row],[EE ID]],TeamList[],MATCH(Schedules[[#This Row],[DOW]],TeamList[#Headers],0),0),4)),"_NO MATCH")</f>
        <v>06:3</v>
      </c>
      <c r="Z255" s="4" t="str">
        <f>IFERROR(IF(Schedules[[#This Row],[Scheduled]]="OFF","",RIGHT(VLOOKUP(Schedules[[#This Row],[EE ID]],TeamList[],MATCH(Schedules[[#This Row],[DOW]],TeamList[#Headers],0),0),4)),"_NO MATCH")</f>
        <v>5:00</v>
      </c>
    </row>
    <row r="256" spans="19:26" x14ac:dyDescent="0.25">
      <c r="S256" s="209">
        <v>1515640</v>
      </c>
      <c r="T256" s="209" t="str">
        <f>Schedules[[#This Row],[Employee Name]]&amp;Schedules[[#This Row],[DOW]]</f>
        <v>Greene, AliciaFri</v>
      </c>
      <c r="U256" s="4" t="str">
        <f>IFERROR(VLOOKUP(Schedules[[#This Row],[EE ID]],TeamList[],MATCH(Schedules[[#Headers],[Employee Name]],TeamList[#Headers],0),0),"_NO MATCH")</f>
        <v>Greene, Alicia</v>
      </c>
      <c r="V256" s="4" t="str">
        <f>IFERROR(VLOOKUP(Schedules[[#This Row],[EE ID]],TeamList[],MATCH(Schedules[[#Headers],[Dept]],TeamList[#Headers],0),0),"_NO MATCH")</f>
        <v>Lead Billing</v>
      </c>
      <c r="W256" s="286" t="s">
        <v>11</v>
      </c>
      <c r="X256" s="4" t="str">
        <f>IFERROR(IF(VLOOKUP(Schedules[[#This Row],[EE ID]],TeamList[],MATCH(Schedules[[#This Row],[DOW]],TeamList[#Headers],0),0)="OFF","OFF","SCH"),"_NO MATCH")</f>
        <v>SCH</v>
      </c>
      <c r="Y256" s="4" t="str">
        <f>IFERROR(IF(Schedules[[#This Row],[Scheduled]]="OFF","",LEFT(VLOOKUP(Schedules[[#This Row],[EE ID]],TeamList[],MATCH(Schedules[[#This Row],[DOW]],TeamList[#Headers],0),0),4)),"_NO MATCH")</f>
        <v>06:3</v>
      </c>
      <c r="Z256" s="4" t="str">
        <f>IFERROR(IF(Schedules[[#This Row],[Scheduled]]="OFF","",RIGHT(VLOOKUP(Schedules[[#This Row],[EE ID]],TeamList[],MATCH(Schedules[[#This Row],[DOW]],TeamList[#Headers],0),0),4)),"_NO MATCH")</f>
        <v>5:00</v>
      </c>
    </row>
    <row r="257" spans="19:26" x14ac:dyDescent="0.25">
      <c r="S257" s="209">
        <v>1530375</v>
      </c>
      <c r="T257" s="209" t="str">
        <f>Schedules[[#This Row],[Employee Name]]&amp;Schedules[[#This Row],[DOW]]</f>
        <v>Goss, IanWed</v>
      </c>
      <c r="U257" s="4" t="str">
        <f>IFERROR(VLOOKUP(Schedules[[#This Row],[EE ID]],TeamList[],MATCH(Schedules[[#Headers],[Employee Name]],TeamList[#Headers],0),0),"_NO MATCH")</f>
        <v>Goss, Ian</v>
      </c>
      <c r="V257" s="4" t="str">
        <f>IFERROR(VLOOKUP(Schedules[[#This Row],[EE ID]],TeamList[],MATCH(Schedules[[#Headers],[Dept]],TeamList[#Headers],0),0),"_NO MATCH")</f>
        <v>Lead Billing</v>
      </c>
      <c r="W257" s="286" t="s">
        <v>9</v>
      </c>
      <c r="X257" s="4" t="str">
        <f>IFERROR(IF(VLOOKUP(Schedules[[#This Row],[EE ID]],TeamList[],MATCH(Schedules[[#This Row],[DOW]],TeamList[#Headers],0),0)="OFF","OFF","SCH"),"_NO MATCH")</f>
        <v>OFF</v>
      </c>
      <c r="Y257" s="4" t="str">
        <f>IFERROR(IF(Schedules[[#This Row],[Scheduled]]="OFF","",LEFT(VLOOKUP(Schedules[[#This Row],[EE ID]],TeamList[],MATCH(Schedules[[#This Row],[DOW]],TeamList[#Headers],0),0),4)),"_NO MATCH")</f>
        <v/>
      </c>
      <c r="Z257" s="4" t="str">
        <f>IFERROR(IF(Schedules[[#This Row],[Scheduled]]="OFF","",RIGHT(VLOOKUP(Schedules[[#This Row],[EE ID]],TeamList[],MATCH(Schedules[[#This Row],[DOW]],TeamList[#Headers],0),0),4)),"_NO MATCH")</f>
        <v/>
      </c>
    </row>
    <row r="258" spans="19:26" x14ac:dyDescent="0.25">
      <c r="S258" s="209">
        <v>1530375</v>
      </c>
      <c r="T258" s="209" t="str">
        <f>Schedules[[#This Row],[Employee Name]]&amp;Schedules[[#This Row],[DOW]]</f>
        <v>Goss, IanTue</v>
      </c>
      <c r="U258" s="4" t="str">
        <f>IFERROR(VLOOKUP(Schedules[[#This Row],[EE ID]],TeamList[],MATCH(Schedules[[#Headers],[Employee Name]],TeamList[#Headers],0),0),"_NO MATCH")</f>
        <v>Goss, Ian</v>
      </c>
      <c r="V258" s="4" t="str">
        <f>IFERROR(VLOOKUP(Schedules[[#This Row],[EE ID]],TeamList[],MATCH(Schedules[[#Headers],[Dept]],TeamList[#Headers],0),0),"_NO MATCH")</f>
        <v>Lead Billing</v>
      </c>
      <c r="W258" s="286" t="s">
        <v>8</v>
      </c>
      <c r="X258" s="4" t="str">
        <f>IFERROR(IF(VLOOKUP(Schedules[[#This Row],[EE ID]],TeamList[],MATCH(Schedules[[#This Row],[DOW]],TeamList[#Headers],0),0)="OFF","OFF","SCH"),"_NO MATCH")</f>
        <v>SCH</v>
      </c>
      <c r="Y258" s="4" t="str">
        <f>IFERROR(IF(Schedules[[#This Row],[Scheduled]]="OFF","",LEFT(VLOOKUP(Schedules[[#This Row],[EE ID]],TeamList[],MATCH(Schedules[[#This Row],[DOW]],TeamList[#Headers],0),0),4)),"_NO MATCH")</f>
        <v>11:3</v>
      </c>
      <c r="Z258" s="4" t="str">
        <f>IFERROR(IF(Schedules[[#This Row],[Scheduled]]="OFF","",RIGHT(VLOOKUP(Schedules[[#This Row],[EE ID]],TeamList[],MATCH(Schedules[[#This Row],[DOW]],TeamList[#Headers],0),0),4)),"_NO MATCH")</f>
        <v>0:00</v>
      </c>
    </row>
    <row r="259" spans="19:26" x14ac:dyDescent="0.25">
      <c r="S259" s="209">
        <v>1530375</v>
      </c>
      <c r="T259" s="209" t="str">
        <f>Schedules[[#This Row],[Employee Name]]&amp;Schedules[[#This Row],[DOW]]</f>
        <v>Goss, IanThu</v>
      </c>
      <c r="U259" s="4" t="str">
        <f>IFERROR(VLOOKUP(Schedules[[#This Row],[EE ID]],TeamList[],MATCH(Schedules[[#Headers],[Employee Name]],TeamList[#Headers],0),0),"_NO MATCH")</f>
        <v>Goss, Ian</v>
      </c>
      <c r="V259" s="4" t="str">
        <f>IFERROR(VLOOKUP(Schedules[[#This Row],[EE ID]],TeamList[],MATCH(Schedules[[#Headers],[Dept]],TeamList[#Headers],0),0),"_NO MATCH")</f>
        <v>Lead Billing</v>
      </c>
      <c r="W259" s="286" t="s">
        <v>10</v>
      </c>
      <c r="X259" s="4" t="str">
        <f>IFERROR(IF(VLOOKUP(Schedules[[#This Row],[EE ID]],TeamList[],MATCH(Schedules[[#This Row],[DOW]],TeamList[#Headers],0),0)="OFF","OFF","SCH"),"_NO MATCH")</f>
        <v>OFF</v>
      </c>
      <c r="Y259" s="4" t="str">
        <f>IFERROR(IF(Schedules[[#This Row],[Scheduled]]="OFF","",LEFT(VLOOKUP(Schedules[[#This Row],[EE ID]],TeamList[],MATCH(Schedules[[#This Row],[DOW]],TeamList[#Headers],0),0),4)),"_NO MATCH")</f>
        <v/>
      </c>
      <c r="Z259" s="4" t="str">
        <f>IFERROR(IF(Schedules[[#This Row],[Scheduled]]="OFF","",RIGHT(VLOOKUP(Schedules[[#This Row],[EE ID]],TeamList[],MATCH(Schedules[[#This Row],[DOW]],TeamList[#Headers],0),0),4)),"_NO MATCH")</f>
        <v/>
      </c>
    </row>
    <row r="260" spans="19:26" x14ac:dyDescent="0.25">
      <c r="S260" s="209">
        <v>1530375</v>
      </c>
      <c r="T260" s="209" t="str">
        <f>Schedules[[#This Row],[Employee Name]]&amp;Schedules[[#This Row],[DOW]]</f>
        <v>Goss, IanSun</v>
      </c>
      <c r="U260" s="4" t="str">
        <f>IFERROR(VLOOKUP(Schedules[[#This Row],[EE ID]],TeamList[],MATCH(Schedules[[#Headers],[Employee Name]],TeamList[#Headers],0),0),"_NO MATCH")</f>
        <v>Goss, Ian</v>
      </c>
      <c r="V260" s="4" t="str">
        <f>IFERROR(VLOOKUP(Schedules[[#This Row],[EE ID]],TeamList[],MATCH(Schedules[[#Headers],[Dept]],TeamList[#Headers],0),0),"_NO MATCH")</f>
        <v>Lead Billing</v>
      </c>
      <c r="W260" s="287" t="s">
        <v>6</v>
      </c>
      <c r="X260" s="219" t="str">
        <f>IFERROR(IF(VLOOKUP(Schedules[[#This Row],[EE ID]],TeamList[],MATCH(Schedules[[#This Row],[DOW]],TeamList[#Headers],0),0)="OFF","OFF","SCH"),"_NO MATCH")</f>
        <v>SCH</v>
      </c>
      <c r="Y260" s="219" t="str">
        <f>IFERROR(IF(Schedules[[#This Row],[Scheduled]]="OFF","",LEFT(VLOOKUP(Schedules[[#This Row],[EE ID]],TeamList[],MATCH(Schedules[[#This Row],[DOW]],TeamList[#Headers],0),0),4)),"_NO MATCH")</f>
        <v>11:3</v>
      </c>
      <c r="Z260" s="219" t="str">
        <f>IFERROR(IF(Schedules[[#This Row],[Scheduled]]="OFF","",RIGHT(VLOOKUP(Schedules[[#This Row],[EE ID]],TeamList[],MATCH(Schedules[[#This Row],[DOW]],TeamList[#Headers],0),0),4)),"_NO MATCH")</f>
        <v>0:00</v>
      </c>
    </row>
    <row r="261" spans="19:26" x14ac:dyDescent="0.25">
      <c r="S261" s="209">
        <v>1530375</v>
      </c>
      <c r="T261" s="209" t="str">
        <f>Schedules[[#This Row],[Employee Name]]&amp;Schedules[[#This Row],[DOW]]</f>
        <v>Goss, IanSat</v>
      </c>
      <c r="U261" s="4" t="str">
        <f>IFERROR(VLOOKUP(Schedules[[#This Row],[EE ID]],TeamList[],MATCH(Schedules[[#Headers],[Employee Name]],TeamList[#Headers],0),0),"_NO MATCH")</f>
        <v>Goss, Ian</v>
      </c>
      <c r="V261" s="4" t="str">
        <f>IFERROR(VLOOKUP(Schedules[[#This Row],[EE ID]],TeamList[],MATCH(Schedules[[#Headers],[Dept]],TeamList[#Headers],0),0),"_NO MATCH")</f>
        <v>Lead Billing</v>
      </c>
      <c r="W261" s="286" t="s">
        <v>12</v>
      </c>
      <c r="X261" s="4" t="str">
        <f>IFERROR(IF(VLOOKUP(Schedules[[#This Row],[EE ID]],TeamList[],MATCH(Schedules[[#This Row],[DOW]],TeamList[#Headers],0),0)="OFF","OFF","SCH"),"_NO MATCH")</f>
        <v>SCH</v>
      </c>
      <c r="Y261" s="4" t="str">
        <f>IFERROR(IF(Schedules[[#This Row],[Scheduled]]="OFF","",LEFT(VLOOKUP(Schedules[[#This Row],[EE ID]],TeamList[],MATCH(Schedules[[#This Row],[DOW]],TeamList[#Headers],0),0),4)),"_NO MATCH")</f>
        <v>11:3</v>
      </c>
      <c r="Z261" s="4" t="str">
        <f>IFERROR(IF(Schedules[[#This Row],[Scheduled]]="OFF","",RIGHT(VLOOKUP(Schedules[[#This Row],[EE ID]],TeamList[],MATCH(Schedules[[#This Row],[DOW]],TeamList[#Headers],0),0),4)),"_NO MATCH")</f>
        <v>0:00</v>
      </c>
    </row>
    <row r="262" spans="19:26" x14ac:dyDescent="0.25">
      <c r="S262" s="209">
        <v>1530375</v>
      </c>
      <c r="T262" s="209" t="str">
        <f>Schedules[[#This Row],[Employee Name]]&amp;Schedules[[#This Row],[DOW]]</f>
        <v>Goss, IanMon</v>
      </c>
      <c r="U262" s="4" t="str">
        <f>IFERROR(VLOOKUP(Schedules[[#This Row],[EE ID]],TeamList[],MATCH(Schedules[[#Headers],[Employee Name]],TeamList[#Headers],0),0),"_NO MATCH")</f>
        <v>Goss, Ian</v>
      </c>
      <c r="V262" s="4" t="str">
        <f>IFERROR(VLOOKUP(Schedules[[#This Row],[EE ID]],TeamList[],MATCH(Schedules[[#Headers],[Dept]],TeamList[#Headers],0),0),"_NO MATCH")</f>
        <v>Lead Billing</v>
      </c>
      <c r="W262" s="286" t="s">
        <v>7</v>
      </c>
      <c r="X262" s="4" t="str">
        <f>IFERROR(IF(VLOOKUP(Schedules[[#This Row],[EE ID]],TeamList[],MATCH(Schedules[[#This Row],[DOW]],TeamList[#Headers],0),0)="OFF","OFF","SCH"),"_NO MATCH")</f>
        <v>SCH</v>
      </c>
      <c r="Y262" s="4" t="str">
        <f>IFERROR(IF(Schedules[[#This Row],[Scheduled]]="OFF","",LEFT(VLOOKUP(Schedules[[#This Row],[EE ID]],TeamList[],MATCH(Schedules[[#This Row],[DOW]],TeamList[#Headers],0),0),4)),"_NO MATCH")</f>
        <v>11:3</v>
      </c>
      <c r="Z262" s="4" t="str">
        <f>IFERROR(IF(Schedules[[#This Row],[Scheduled]]="OFF","",RIGHT(VLOOKUP(Schedules[[#This Row],[EE ID]],TeamList[],MATCH(Schedules[[#This Row],[DOW]],TeamList[#Headers],0),0),4)),"_NO MATCH")</f>
        <v>0:00</v>
      </c>
    </row>
    <row r="263" spans="19:26" x14ac:dyDescent="0.25">
      <c r="S263" s="209">
        <v>1530375</v>
      </c>
      <c r="T263" s="209" t="str">
        <f>Schedules[[#This Row],[Employee Name]]&amp;Schedules[[#This Row],[DOW]]</f>
        <v>Goss, IanFri</v>
      </c>
      <c r="U263" s="4" t="str">
        <f>IFERROR(VLOOKUP(Schedules[[#This Row],[EE ID]],TeamList[],MATCH(Schedules[[#Headers],[Employee Name]],TeamList[#Headers],0),0),"_NO MATCH")</f>
        <v>Goss, Ian</v>
      </c>
      <c r="V263" s="4" t="str">
        <f>IFERROR(VLOOKUP(Schedules[[#This Row],[EE ID]],TeamList[],MATCH(Schedules[[#Headers],[Dept]],TeamList[#Headers],0),0),"_NO MATCH")</f>
        <v>Lead Billing</v>
      </c>
      <c r="W263" s="286" t="s">
        <v>11</v>
      </c>
      <c r="X263" s="4" t="str">
        <f>IFERROR(IF(VLOOKUP(Schedules[[#This Row],[EE ID]],TeamList[],MATCH(Schedules[[#This Row],[DOW]],TeamList[#Headers],0),0)="OFF","OFF","SCH"),"_NO MATCH")</f>
        <v>SCH</v>
      </c>
      <c r="Y263" s="4" t="str">
        <f>IFERROR(IF(Schedules[[#This Row],[Scheduled]]="OFF","",LEFT(VLOOKUP(Schedules[[#This Row],[EE ID]],TeamList[],MATCH(Schedules[[#This Row],[DOW]],TeamList[#Headers],0),0),4)),"_NO MATCH")</f>
        <v>11:3</v>
      </c>
      <c r="Z263" s="4" t="str">
        <f>IFERROR(IF(Schedules[[#This Row],[Scheduled]]="OFF","",RIGHT(VLOOKUP(Schedules[[#This Row],[EE ID]],TeamList[],MATCH(Schedules[[#This Row],[DOW]],TeamList[#Headers],0),0),4)),"_NO MATCH")</f>
        <v>0:00</v>
      </c>
    </row>
    <row r="264" spans="19:26" x14ac:dyDescent="0.25">
      <c r="S264" s="209">
        <v>1511736</v>
      </c>
      <c r="T264" s="209" t="str">
        <f>Schedules[[#This Row],[Employee Name]]&amp;Schedules[[#This Row],[DOW]]</f>
        <v>Germony, JuneWed</v>
      </c>
      <c r="U264" s="4" t="str">
        <f>IFERROR(VLOOKUP(Schedules[[#This Row],[EE ID]],TeamList[],MATCH(Schedules[[#Headers],[Employee Name]],TeamList[#Headers],0),0),"_NO MATCH")</f>
        <v>Germony, June</v>
      </c>
      <c r="V264" s="4" t="str">
        <f>IFERROR(VLOOKUP(Schedules[[#This Row],[EE ID]],TeamList[],MATCH(Schedules[[#Headers],[Dept]],TeamList[#Headers],0),0),"_NO MATCH")</f>
        <v>Sup, Customer Service</v>
      </c>
      <c r="W264" s="286" t="s">
        <v>9</v>
      </c>
      <c r="X264" s="4" t="str">
        <f>IFERROR(IF(VLOOKUP(Schedules[[#This Row],[EE ID]],TeamList[],MATCH(Schedules[[#This Row],[DOW]],TeamList[#Headers],0),0)="OFF","OFF","SCH"),"_NO MATCH")</f>
        <v>SCH</v>
      </c>
      <c r="Y264" s="4" t="str">
        <f>IFERROR(IF(Schedules[[#This Row],[Scheduled]]="OFF","",LEFT(VLOOKUP(Schedules[[#This Row],[EE ID]],TeamList[],MATCH(Schedules[[#This Row],[DOW]],TeamList[#Headers],0),0),4)),"_NO MATCH")</f>
        <v>07:0</v>
      </c>
      <c r="Z264" s="4" t="str">
        <f>IFERROR(IF(Schedules[[#This Row],[Scheduled]]="OFF","",RIGHT(VLOOKUP(Schedules[[#This Row],[EE ID]],TeamList[],MATCH(Schedules[[#This Row],[DOW]],TeamList[#Headers],0),0),4)),"_NO MATCH")</f>
        <v>6:00</v>
      </c>
    </row>
    <row r="265" spans="19:26" x14ac:dyDescent="0.25">
      <c r="S265" s="209">
        <v>1511736</v>
      </c>
      <c r="T265" s="209" t="str">
        <f>Schedules[[#This Row],[Employee Name]]&amp;Schedules[[#This Row],[DOW]]</f>
        <v>Germony, JuneTue</v>
      </c>
      <c r="U265" s="4" t="str">
        <f>IFERROR(VLOOKUP(Schedules[[#This Row],[EE ID]],TeamList[],MATCH(Schedules[[#Headers],[Employee Name]],TeamList[#Headers],0),0),"_NO MATCH")</f>
        <v>Germony, June</v>
      </c>
      <c r="V265" s="4" t="str">
        <f>IFERROR(VLOOKUP(Schedules[[#This Row],[EE ID]],TeamList[],MATCH(Schedules[[#Headers],[Dept]],TeamList[#Headers],0),0),"_NO MATCH")</f>
        <v>Sup, Customer Service</v>
      </c>
      <c r="W265" s="286" t="s">
        <v>8</v>
      </c>
      <c r="X265" s="4" t="str">
        <f>IFERROR(IF(VLOOKUP(Schedules[[#This Row],[EE ID]],TeamList[],MATCH(Schedules[[#This Row],[DOW]],TeamList[#Headers],0),0)="OFF","OFF","SCH"),"_NO MATCH")</f>
        <v>SCH</v>
      </c>
      <c r="Y265" s="4" t="str">
        <f>IFERROR(IF(Schedules[[#This Row],[Scheduled]]="OFF","",LEFT(VLOOKUP(Schedules[[#This Row],[EE ID]],TeamList[],MATCH(Schedules[[#This Row],[DOW]],TeamList[#Headers],0),0),4)),"_NO MATCH")</f>
        <v>07:0</v>
      </c>
      <c r="Z265" s="4" t="str">
        <f>IFERROR(IF(Schedules[[#This Row],[Scheduled]]="OFF","",RIGHT(VLOOKUP(Schedules[[#This Row],[EE ID]],TeamList[],MATCH(Schedules[[#This Row],[DOW]],TeamList[#Headers],0),0),4)),"_NO MATCH")</f>
        <v>6:00</v>
      </c>
    </row>
    <row r="266" spans="19:26" x14ac:dyDescent="0.25">
      <c r="S266" s="209">
        <v>1511736</v>
      </c>
      <c r="T266" s="209" t="str">
        <f>Schedules[[#This Row],[Employee Name]]&amp;Schedules[[#This Row],[DOW]]</f>
        <v>Germony, JuneThu</v>
      </c>
      <c r="U266" s="4" t="str">
        <f>IFERROR(VLOOKUP(Schedules[[#This Row],[EE ID]],TeamList[],MATCH(Schedules[[#Headers],[Employee Name]],TeamList[#Headers],0),0),"_NO MATCH")</f>
        <v>Germony, June</v>
      </c>
      <c r="V266" s="4" t="str">
        <f>IFERROR(VLOOKUP(Schedules[[#This Row],[EE ID]],TeamList[],MATCH(Schedules[[#Headers],[Dept]],TeamList[#Headers],0),0),"_NO MATCH")</f>
        <v>Sup, Customer Service</v>
      </c>
      <c r="W266" s="286" t="s">
        <v>10</v>
      </c>
      <c r="X266" s="4" t="str">
        <f>IFERROR(IF(VLOOKUP(Schedules[[#This Row],[EE ID]],TeamList[],MATCH(Schedules[[#This Row],[DOW]],TeamList[#Headers],0),0)="OFF","OFF","SCH"),"_NO MATCH")</f>
        <v>SCH</v>
      </c>
      <c r="Y266" s="4" t="str">
        <f>IFERROR(IF(Schedules[[#This Row],[Scheduled]]="OFF","",LEFT(VLOOKUP(Schedules[[#This Row],[EE ID]],TeamList[],MATCH(Schedules[[#This Row],[DOW]],TeamList[#Headers],0),0),4)),"_NO MATCH")</f>
        <v>07:0</v>
      </c>
      <c r="Z266" s="4" t="str">
        <f>IFERROR(IF(Schedules[[#This Row],[Scheduled]]="OFF","",RIGHT(VLOOKUP(Schedules[[#This Row],[EE ID]],TeamList[],MATCH(Schedules[[#This Row],[DOW]],TeamList[#Headers],0),0),4)),"_NO MATCH")</f>
        <v>6:00</v>
      </c>
    </row>
    <row r="267" spans="19:26" x14ac:dyDescent="0.25">
      <c r="S267" s="209">
        <v>1511736</v>
      </c>
      <c r="T267" s="209" t="str">
        <f>Schedules[[#This Row],[Employee Name]]&amp;Schedules[[#This Row],[DOW]]</f>
        <v>Germony, JuneSun</v>
      </c>
      <c r="U267" s="4" t="str">
        <f>IFERROR(VLOOKUP(Schedules[[#This Row],[EE ID]],TeamList[],MATCH(Schedules[[#Headers],[Employee Name]],TeamList[#Headers],0),0),"_NO MATCH")</f>
        <v>Germony, June</v>
      </c>
      <c r="V267" s="4" t="str">
        <f>IFERROR(VLOOKUP(Schedules[[#This Row],[EE ID]],TeamList[],MATCH(Schedules[[#Headers],[Dept]],TeamList[#Headers],0),0),"_NO MATCH")</f>
        <v>Sup, Customer Service</v>
      </c>
      <c r="W267" s="287" t="s">
        <v>6</v>
      </c>
      <c r="X267" s="219" t="str">
        <f>IFERROR(IF(VLOOKUP(Schedules[[#This Row],[EE ID]],TeamList[],MATCH(Schedules[[#This Row],[DOW]],TeamList[#Headers],0),0)="OFF","OFF","SCH"),"_NO MATCH")</f>
        <v>OFF</v>
      </c>
      <c r="Y267" s="219" t="str">
        <f>IFERROR(IF(Schedules[[#This Row],[Scheduled]]="OFF","",LEFT(VLOOKUP(Schedules[[#This Row],[EE ID]],TeamList[],MATCH(Schedules[[#This Row],[DOW]],TeamList[#Headers],0),0),4)),"_NO MATCH")</f>
        <v/>
      </c>
      <c r="Z267" s="219" t="str">
        <f>IFERROR(IF(Schedules[[#This Row],[Scheduled]]="OFF","",RIGHT(VLOOKUP(Schedules[[#This Row],[EE ID]],TeamList[],MATCH(Schedules[[#This Row],[DOW]],TeamList[#Headers],0),0),4)),"_NO MATCH")</f>
        <v/>
      </c>
    </row>
    <row r="268" spans="19:26" x14ac:dyDescent="0.25">
      <c r="S268" s="209">
        <v>1511736</v>
      </c>
      <c r="T268" s="209" t="str">
        <f>Schedules[[#This Row],[Employee Name]]&amp;Schedules[[#This Row],[DOW]]</f>
        <v>Germony, JuneSat</v>
      </c>
      <c r="U268" s="4" t="str">
        <f>IFERROR(VLOOKUP(Schedules[[#This Row],[EE ID]],TeamList[],MATCH(Schedules[[#Headers],[Employee Name]],TeamList[#Headers],0),0),"_NO MATCH")</f>
        <v>Germony, June</v>
      </c>
      <c r="V268" s="4" t="str">
        <f>IFERROR(VLOOKUP(Schedules[[#This Row],[EE ID]],TeamList[],MATCH(Schedules[[#Headers],[Dept]],TeamList[#Headers],0),0),"_NO MATCH")</f>
        <v>Sup, Customer Service</v>
      </c>
      <c r="W268" s="286" t="s">
        <v>12</v>
      </c>
      <c r="X268" s="4" t="str">
        <f>IFERROR(IF(VLOOKUP(Schedules[[#This Row],[EE ID]],TeamList[],MATCH(Schedules[[#This Row],[DOW]],TeamList[#Headers],0),0)="OFF","OFF","SCH"),"_NO MATCH")</f>
        <v>OFF</v>
      </c>
      <c r="Y268" s="4" t="str">
        <f>IFERROR(IF(Schedules[[#This Row],[Scheduled]]="OFF","",LEFT(VLOOKUP(Schedules[[#This Row],[EE ID]],TeamList[],MATCH(Schedules[[#This Row],[DOW]],TeamList[#Headers],0),0),4)),"_NO MATCH")</f>
        <v/>
      </c>
      <c r="Z268" s="4" t="str">
        <f>IFERROR(IF(Schedules[[#This Row],[Scheduled]]="OFF","",RIGHT(VLOOKUP(Schedules[[#This Row],[EE ID]],TeamList[],MATCH(Schedules[[#This Row],[DOW]],TeamList[#Headers],0),0),4)),"_NO MATCH")</f>
        <v/>
      </c>
    </row>
    <row r="269" spans="19:26" x14ac:dyDescent="0.25">
      <c r="S269" s="209">
        <v>1511736</v>
      </c>
      <c r="T269" s="209" t="str">
        <f>Schedules[[#This Row],[Employee Name]]&amp;Schedules[[#This Row],[DOW]]</f>
        <v>Germony, JuneMon</v>
      </c>
      <c r="U269" s="4" t="str">
        <f>IFERROR(VLOOKUP(Schedules[[#This Row],[EE ID]],TeamList[],MATCH(Schedules[[#Headers],[Employee Name]],TeamList[#Headers],0),0),"_NO MATCH")</f>
        <v>Germony, June</v>
      </c>
      <c r="V269" s="4" t="str">
        <f>IFERROR(VLOOKUP(Schedules[[#This Row],[EE ID]],TeamList[],MATCH(Schedules[[#Headers],[Dept]],TeamList[#Headers],0),0),"_NO MATCH")</f>
        <v>Sup, Customer Service</v>
      </c>
      <c r="W269" s="286" t="s">
        <v>7</v>
      </c>
      <c r="X269" s="4" t="str">
        <f>IFERROR(IF(VLOOKUP(Schedules[[#This Row],[EE ID]],TeamList[],MATCH(Schedules[[#This Row],[DOW]],TeamList[#Headers],0),0)="OFF","OFF","SCH"),"_NO MATCH")</f>
        <v>SCH</v>
      </c>
      <c r="Y269" s="4" t="str">
        <f>IFERROR(IF(Schedules[[#This Row],[Scheduled]]="OFF","",LEFT(VLOOKUP(Schedules[[#This Row],[EE ID]],TeamList[],MATCH(Schedules[[#This Row],[DOW]],TeamList[#Headers],0),0),4)),"_NO MATCH")</f>
        <v>07:0</v>
      </c>
      <c r="Z269" s="4" t="str">
        <f>IFERROR(IF(Schedules[[#This Row],[Scheduled]]="OFF","",RIGHT(VLOOKUP(Schedules[[#This Row],[EE ID]],TeamList[],MATCH(Schedules[[#This Row],[DOW]],TeamList[#Headers],0),0),4)),"_NO MATCH")</f>
        <v>6:00</v>
      </c>
    </row>
    <row r="270" spans="19:26" x14ac:dyDescent="0.25">
      <c r="S270" s="209">
        <v>1511736</v>
      </c>
      <c r="T270" s="209" t="str">
        <f>Schedules[[#This Row],[Employee Name]]&amp;Schedules[[#This Row],[DOW]]</f>
        <v>Germony, JuneFri</v>
      </c>
      <c r="U270" s="4" t="str">
        <f>IFERROR(VLOOKUP(Schedules[[#This Row],[EE ID]],TeamList[],MATCH(Schedules[[#Headers],[Employee Name]],TeamList[#Headers],0),0),"_NO MATCH")</f>
        <v>Germony, June</v>
      </c>
      <c r="V270" s="4" t="str">
        <f>IFERROR(VLOOKUP(Schedules[[#This Row],[EE ID]],TeamList[],MATCH(Schedules[[#Headers],[Dept]],TeamList[#Headers],0),0),"_NO MATCH")</f>
        <v>Sup, Customer Service</v>
      </c>
      <c r="W270" s="286" t="s">
        <v>11</v>
      </c>
      <c r="X270" s="4" t="str">
        <f>IFERROR(IF(VLOOKUP(Schedules[[#This Row],[EE ID]],TeamList[],MATCH(Schedules[[#This Row],[DOW]],TeamList[#Headers],0),0)="OFF","OFF","SCH"),"_NO MATCH")</f>
        <v>SCH</v>
      </c>
      <c r="Y270" s="4" t="str">
        <f>IFERROR(IF(Schedules[[#This Row],[Scheduled]]="OFF","",LEFT(VLOOKUP(Schedules[[#This Row],[EE ID]],TeamList[],MATCH(Schedules[[#This Row],[DOW]],TeamList[#Headers],0),0),4)),"_NO MATCH")</f>
        <v>07:0</v>
      </c>
      <c r="Z270" s="4" t="str">
        <f>IFERROR(IF(Schedules[[#This Row],[Scheduled]]="OFF","",RIGHT(VLOOKUP(Schedules[[#This Row],[EE ID]],TeamList[],MATCH(Schedules[[#This Row],[DOW]],TeamList[#Headers],0),0),4)),"_NO MATCH")</f>
        <v>6:00</v>
      </c>
    </row>
    <row r="271" spans="19:26" x14ac:dyDescent="0.25">
      <c r="S271" s="209">
        <v>1510843</v>
      </c>
      <c r="T271" s="209" t="str">
        <f>Schedules[[#This Row],[Employee Name]]&amp;Schedules[[#This Row],[DOW]]</f>
        <v>Garcia, ValentinWed</v>
      </c>
      <c r="U271" s="4" t="str">
        <f>IFERROR(VLOOKUP(Schedules[[#This Row],[EE ID]],TeamList[],MATCH(Schedules[[#Headers],[Employee Name]],TeamList[#Headers],0),0),"_NO MATCH")</f>
        <v>Garcia, Valentin</v>
      </c>
      <c r="V271" s="4" t="str">
        <f>IFERROR(VLOOKUP(Schedules[[#This Row],[EE ID]],TeamList[],MATCH(Schedules[[#Headers],[Dept]],TeamList[#Headers],0),0),"_NO MATCH")</f>
        <v>Sup, Customer Service</v>
      </c>
      <c r="W271" s="286" t="s">
        <v>9</v>
      </c>
      <c r="X271" s="4" t="str">
        <f>IFERROR(IF(VLOOKUP(Schedules[[#This Row],[EE ID]],TeamList[],MATCH(Schedules[[#This Row],[DOW]],TeamList[#Headers],0),0)="OFF","OFF","SCH"),"_NO MATCH")</f>
        <v>SCH</v>
      </c>
      <c r="Y271" s="4" t="str">
        <f>IFERROR(IF(Schedules[[#This Row],[Scheduled]]="OFF","",LEFT(VLOOKUP(Schedules[[#This Row],[EE ID]],TeamList[],MATCH(Schedules[[#This Row],[DOW]],TeamList[#Headers],0),0),4)),"_NO MATCH")</f>
        <v>04:4</v>
      </c>
      <c r="Z271" s="4" t="str">
        <f>IFERROR(IF(Schedules[[#This Row],[Scheduled]]="OFF","",RIGHT(VLOOKUP(Schedules[[#This Row],[EE ID]],TeamList[],MATCH(Schedules[[#This Row],[DOW]],TeamList[#Headers],0),0),4)),"_NO MATCH")</f>
        <v>3:45</v>
      </c>
    </row>
    <row r="272" spans="19:26" x14ac:dyDescent="0.25">
      <c r="S272" s="209">
        <v>1510843</v>
      </c>
      <c r="T272" s="209" t="str">
        <f>Schedules[[#This Row],[Employee Name]]&amp;Schedules[[#This Row],[DOW]]</f>
        <v>Garcia, ValentinTue</v>
      </c>
      <c r="U272" s="4" t="str">
        <f>IFERROR(VLOOKUP(Schedules[[#This Row],[EE ID]],TeamList[],MATCH(Schedules[[#Headers],[Employee Name]],TeamList[#Headers],0),0),"_NO MATCH")</f>
        <v>Garcia, Valentin</v>
      </c>
      <c r="V272" s="4" t="str">
        <f>IFERROR(VLOOKUP(Schedules[[#This Row],[EE ID]],TeamList[],MATCH(Schedules[[#Headers],[Dept]],TeamList[#Headers],0),0),"_NO MATCH")</f>
        <v>Sup, Customer Service</v>
      </c>
      <c r="W272" s="286" t="s">
        <v>8</v>
      </c>
      <c r="X272" s="4" t="str">
        <f>IFERROR(IF(VLOOKUP(Schedules[[#This Row],[EE ID]],TeamList[],MATCH(Schedules[[#This Row],[DOW]],TeamList[#Headers],0),0)="OFF","OFF","SCH"),"_NO MATCH")</f>
        <v>SCH</v>
      </c>
      <c r="Y272" s="4" t="str">
        <f>IFERROR(IF(Schedules[[#This Row],[Scheduled]]="OFF","",LEFT(VLOOKUP(Schedules[[#This Row],[EE ID]],TeamList[],MATCH(Schedules[[#This Row],[DOW]],TeamList[#Headers],0),0),4)),"_NO MATCH")</f>
        <v>04:4</v>
      </c>
      <c r="Z272" s="4" t="str">
        <f>IFERROR(IF(Schedules[[#This Row],[Scheduled]]="OFF","",RIGHT(VLOOKUP(Schedules[[#This Row],[EE ID]],TeamList[],MATCH(Schedules[[#This Row],[DOW]],TeamList[#Headers],0),0),4)),"_NO MATCH")</f>
        <v>3:45</v>
      </c>
    </row>
    <row r="273" spans="19:26" x14ac:dyDescent="0.25">
      <c r="S273" s="209">
        <v>1510843</v>
      </c>
      <c r="T273" s="209" t="str">
        <f>Schedules[[#This Row],[Employee Name]]&amp;Schedules[[#This Row],[DOW]]</f>
        <v>Garcia, ValentinThu</v>
      </c>
      <c r="U273" s="4" t="str">
        <f>IFERROR(VLOOKUP(Schedules[[#This Row],[EE ID]],TeamList[],MATCH(Schedules[[#Headers],[Employee Name]],TeamList[#Headers],0),0),"_NO MATCH")</f>
        <v>Garcia, Valentin</v>
      </c>
      <c r="V273" s="4" t="str">
        <f>IFERROR(VLOOKUP(Schedules[[#This Row],[EE ID]],TeamList[],MATCH(Schedules[[#Headers],[Dept]],TeamList[#Headers],0),0),"_NO MATCH")</f>
        <v>Sup, Customer Service</v>
      </c>
      <c r="W273" s="286" t="s">
        <v>10</v>
      </c>
      <c r="X273" s="4" t="str">
        <f>IFERROR(IF(VLOOKUP(Schedules[[#This Row],[EE ID]],TeamList[],MATCH(Schedules[[#This Row],[DOW]],TeamList[#Headers],0),0)="OFF","OFF","SCH"),"_NO MATCH")</f>
        <v>SCH</v>
      </c>
      <c r="Y273" s="4" t="str">
        <f>IFERROR(IF(Schedules[[#This Row],[Scheduled]]="OFF","",LEFT(VLOOKUP(Schedules[[#This Row],[EE ID]],TeamList[],MATCH(Schedules[[#This Row],[DOW]],TeamList[#Headers],0),0),4)),"_NO MATCH")</f>
        <v>04:4</v>
      </c>
      <c r="Z273" s="4" t="str">
        <f>IFERROR(IF(Schedules[[#This Row],[Scheduled]]="OFF","",RIGHT(VLOOKUP(Schedules[[#This Row],[EE ID]],TeamList[],MATCH(Schedules[[#This Row],[DOW]],TeamList[#Headers],0),0),4)),"_NO MATCH")</f>
        <v>3:45</v>
      </c>
    </row>
    <row r="274" spans="19:26" x14ac:dyDescent="0.25">
      <c r="S274" s="209">
        <v>1510843</v>
      </c>
      <c r="T274" s="209" t="str">
        <f>Schedules[[#This Row],[Employee Name]]&amp;Schedules[[#This Row],[DOW]]</f>
        <v>Garcia, ValentinSun</v>
      </c>
      <c r="U274" s="4" t="str">
        <f>IFERROR(VLOOKUP(Schedules[[#This Row],[EE ID]],TeamList[],MATCH(Schedules[[#Headers],[Employee Name]],TeamList[#Headers],0),0),"_NO MATCH")</f>
        <v>Garcia, Valentin</v>
      </c>
      <c r="V274" s="4" t="str">
        <f>IFERROR(VLOOKUP(Schedules[[#This Row],[EE ID]],TeamList[],MATCH(Schedules[[#Headers],[Dept]],TeamList[#Headers],0),0),"_NO MATCH")</f>
        <v>Sup, Customer Service</v>
      </c>
      <c r="W274" s="287" t="s">
        <v>6</v>
      </c>
      <c r="X274" s="219" t="str">
        <f>IFERROR(IF(VLOOKUP(Schedules[[#This Row],[EE ID]],TeamList[],MATCH(Schedules[[#This Row],[DOW]],TeamList[#Headers],0),0)="OFF","OFF","SCH"),"_NO MATCH")</f>
        <v>OFF</v>
      </c>
      <c r="Y274" s="219" t="str">
        <f>IFERROR(IF(Schedules[[#This Row],[Scheduled]]="OFF","",LEFT(VLOOKUP(Schedules[[#This Row],[EE ID]],TeamList[],MATCH(Schedules[[#This Row],[DOW]],TeamList[#Headers],0),0),4)),"_NO MATCH")</f>
        <v/>
      </c>
      <c r="Z274" s="219" t="str">
        <f>IFERROR(IF(Schedules[[#This Row],[Scheduled]]="OFF","",RIGHT(VLOOKUP(Schedules[[#This Row],[EE ID]],TeamList[],MATCH(Schedules[[#This Row],[DOW]],TeamList[#Headers],0),0),4)),"_NO MATCH")</f>
        <v/>
      </c>
    </row>
    <row r="275" spans="19:26" x14ac:dyDescent="0.25">
      <c r="S275" s="209">
        <v>1510843</v>
      </c>
      <c r="T275" s="209" t="str">
        <f>Schedules[[#This Row],[Employee Name]]&amp;Schedules[[#This Row],[DOW]]</f>
        <v>Garcia, ValentinSat</v>
      </c>
      <c r="U275" s="4" t="str">
        <f>IFERROR(VLOOKUP(Schedules[[#This Row],[EE ID]],TeamList[],MATCH(Schedules[[#Headers],[Employee Name]],TeamList[#Headers],0),0),"_NO MATCH")</f>
        <v>Garcia, Valentin</v>
      </c>
      <c r="V275" s="4" t="str">
        <f>IFERROR(VLOOKUP(Schedules[[#This Row],[EE ID]],TeamList[],MATCH(Schedules[[#Headers],[Dept]],TeamList[#Headers],0),0),"_NO MATCH")</f>
        <v>Sup, Customer Service</v>
      </c>
      <c r="W275" s="286" t="s">
        <v>12</v>
      </c>
      <c r="X275" s="4" t="str">
        <f>IFERROR(IF(VLOOKUP(Schedules[[#This Row],[EE ID]],TeamList[],MATCH(Schedules[[#This Row],[DOW]],TeamList[#Headers],0),0)="OFF","OFF","SCH"),"_NO MATCH")</f>
        <v>SCH</v>
      </c>
      <c r="Y275" s="4" t="str">
        <f>IFERROR(IF(Schedules[[#This Row],[Scheduled]]="OFF","",LEFT(VLOOKUP(Schedules[[#This Row],[EE ID]],TeamList[],MATCH(Schedules[[#This Row],[DOW]],TeamList[#Headers],0),0),4)),"_NO MATCH")</f>
        <v>04:4</v>
      </c>
      <c r="Z275" s="4" t="str">
        <f>IFERROR(IF(Schedules[[#This Row],[Scheduled]]="OFF","",RIGHT(VLOOKUP(Schedules[[#This Row],[EE ID]],TeamList[],MATCH(Schedules[[#This Row],[DOW]],TeamList[#Headers],0),0),4)),"_NO MATCH")</f>
        <v>3:45</v>
      </c>
    </row>
    <row r="276" spans="19:26" x14ac:dyDescent="0.25">
      <c r="S276" s="209">
        <v>1510843</v>
      </c>
      <c r="T276" s="209" t="str">
        <f>Schedules[[#This Row],[Employee Name]]&amp;Schedules[[#This Row],[DOW]]</f>
        <v>Garcia, ValentinMon</v>
      </c>
      <c r="U276" s="4" t="str">
        <f>IFERROR(VLOOKUP(Schedules[[#This Row],[EE ID]],TeamList[],MATCH(Schedules[[#Headers],[Employee Name]],TeamList[#Headers],0),0),"_NO MATCH")</f>
        <v>Garcia, Valentin</v>
      </c>
      <c r="V276" s="4" t="str">
        <f>IFERROR(VLOOKUP(Schedules[[#This Row],[EE ID]],TeamList[],MATCH(Schedules[[#Headers],[Dept]],TeamList[#Headers],0),0),"_NO MATCH")</f>
        <v>Sup, Customer Service</v>
      </c>
      <c r="W276" s="286" t="s">
        <v>7</v>
      </c>
      <c r="X276" s="4" t="str">
        <f>IFERROR(IF(VLOOKUP(Schedules[[#This Row],[EE ID]],TeamList[],MATCH(Schedules[[#This Row],[DOW]],TeamList[#Headers],0),0)="OFF","OFF","SCH"),"_NO MATCH")</f>
        <v>OFF</v>
      </c>
      <c r="Y276" s="4" t="str">
        <f>IFERROR(IF(Schedules[[#This Row],[Scheduled]]="OFF","",LEFT(VLOOKUP(Schedules[[#This Row],[EE ID]],TeamList[],MATCH(Schedules[[#This Row],[DOW]],TeamList[#Headers],0),0),4)),"_NO MATCH")</f>
        <v/>
      </c>
      <c r="Z276" s="4" t="str">
        <f>IFERROR(IF(Schedules[[#This Row],[Scheduled]]="OFF","",RIGHT(VLOOKUP(Schedules[[#This Row],[EE ID]],TeamList[],MATCH(Schedules[[#This Row],[DOW]],TeamList[#Headers],0),0),4)),"_NO MATCH")</f>
        <v/>
      </c>
    </row>
    <row r="277" spans="19:26" x14ac:dyDescent="0.25">
      <c r="S277" s="209">
        <v>1510843</v>
      </c>
      <c r="T277" s="209" t="str">
        <f>Schedules[[#This Row],[Employee Name]]&amp;Schedules[[#This Row],[DOW]]</f>
        <v>Garcia, ValentinFri</v>
      </c>
      <c r="U277" s="4" t="str">
        <f>IFERROR(VLOOKUP(Schedules[[#This Row],[EE ID]],TeamList[],MATCH(Schedules[[#Headers],[Employee Name]],TeamList[#Headers],0),0),"_NO MATCH")</f>
        <v>Garcia, Valentin</v>
      </c>
      <c r="V277" s="4" t="str">
        <f>IFERROR(VLOOKUP(Schedules[[#This Row],[EE ID]],TeamList[],MATCH(Schedules[[#Headers],[Dept]],TeamList[#Headers],0),0),"_NO MATCH")</f>
        <v>Sup, Customer Service</v>
      </c>
      <c r="W277" s="286" t="s">
        <v>11</v>
      </c>
      <c r="X277" s="4" t="str">
        <f>IFERROR(IF(VLOOKUP(Schedules[[#This Row],[EE ID]],TeamList[],MATCH(Schedules[[#This Row],[DOW]],TeamList[#Headers],0),0)="OFF","OFF","SCH"),"_NO MATCH")</f>
        <v>SCH</v>
      </c>
      <c r="Y277" s="4" t="str">
        <f>IFERROR(IF(Schedules[[#This Row],[Scheduled]]="OFF","",LEFT(VLOOKUP(Schedules[[#This Row],[EE ID]],TeamList[],MATCH(Schedules[[#This Row],[DOW]],TeamList[#Headers],0),0),4)),"_NO MATCH")</f>
        <v>04:4</v>
      </c>
      <c r="Z277" s="4" t="str">
        <f>IFERROR(IF(Schedules[[#This Row],[Scheduled]]="OFF","",RIGHT(VLOOKUP(Schedules[[#This Row],[EE ID]],TeamList[],MATCH(Schedules[[#This Row],[DOW]],TeamList[#Headers],0),0),4)),"_NO MATCH")</f>
        <v>3:45</v>
      </c>
    </row>
    <row r="278" spans="19:26" x14ac:dyDescent="0.25">
      <c r="S278" s="209">
        <v>1525123</v>
      </c>
      <c r="T278" s="209" t="str">
        <f>Schedules[[#This Row],[Employee Name]]&amp;Schedules[[#This Row],[DOW]]</f>
        <v>Floirendo, NicholasWed</v>
      </c>
      <c r="U278" s="4" t="str">
        <f>IFERROR(VLOOKUP(Schedules[[#This Row],[EE ID]],TeamList[],MATCH(Schedules[[#Headers],[Employee Name]],TeamList[#Headers],0),0),"_NO MATCH")</f>
        <v>Floirendo, Nicholas</v>
      </c>
      <c r="V278" s="4" t="str">
        <f>IFERROR(VLOOKUP(Schedules[[#This Row],[EE ID]],TeamList[],MATCH(Schedules[[#Headers],[Dept]],TeamList[#Headers],0),0),"_NO MATCH")</f>
        <v>Lead Billing</v>
      </c>
      <c r="W278" s="286" t="s">
        <v>9</v>
      </c>
      <c r="X278" s="4" t="str">
        <f>IFERROR(IF(VLOOKUP(Schedules[[#This Row],[EE ID]],TeamList[],MATCH(Schedules[[#This Row],[DOW]],TeamList[#Headers],0),0)="OFF","OFF","SCH"),"_NO MATCH")</f>
        <v>OFF</v>
      </c>
      <c r="Y278" s="4" t="str">
        <f>IFERROR(IF(Schedules[[#This Row],[Scheduled]]="OFF","",LEFT(VLOOKUP(Schedules[[#This Row],[EE ID]],TeamList[],MATCH(Schedules[[#This Row],[DOW]],TeamList[#Headers],0),0),4)),"_NO MATCH")</f>
        <v/>
      </c>
      <c r="Z278" s="4" t="str">
        <f>IFERROR(IF(Schedules[[#This Row],[Scheduled]]="OFF","",RIGHT(VLOOKUP(Schedules[[#This Row],[EE ID]],TeamList[],MATCH(Schedules[[#This Row],[DOW]],TeamList[#Headers],0),0),4)),"_NO MATCH")</f>
        <v/>
      </c>
    </row>
    <row r="279" spans="19:26" x14ac:dyDescent="0.25">
      <c r="S279" s="209">
        <v>1525123</v>
      </c>
      <c r="T279" s="209" t="str">
        <f>Schedules[[#This Row],[Employee Name]]&amp;Schedules[[#This Row],[DOW]]</f>
        <v>Floirendo, NicholasTue</v>
      </c>
      <c r="U279" s="4" t="str">
        <f>IFERROR(VLOOKUP(Schedules[[#This Row],[EE ID]],TeamList[],MATCH(Schedules[[#Headers],[Employee Name]],TeamList[#Headers],0),0),"_NO MATCH")</f>
        <v>Floirendo, Nicholas</v>
      </c>
      <c r="V279" s="4" t="str">
        <f>IFERROR(VLOOKUP(Schedules[[#This Row],[EE ID]],TeamList[],MATCH(Schedules[[#Headers],[Dept]],TeamList[#Headers],0),0),"_NO MATCH")</f>
        <v>Lead Billing</v>
      </c>
      <c r="W279" s="286" t="s">
        <v>8</v>
      </c>
      <c r="X279" s="4" t="str">
        <f>IFERROR(IF(VLOOKUP(Schedules[[#This Row],[EE ID]],TeamList[],MATCH(Schedules[[#This Row],[DOW]],TeamList[#Headers],0),0)="OFF","OFF","SCH"),"_NO MATCH")</f>
        <v>OFF</v>
      </c>
      <c r="Y279" s="4" t="str">
        <f>IFERROR(IF(Schedules[[#This Row],[Scheduled]]="OFF","",LEFT(VLOOKUP(Schedules[[#This Row],[EE ID]],TeamList[],MATCH(Schedules[[#This Row],[DOW]],TeamList[#Headers],0),0),4)),"_NO MATCH")</f>
        <v/>
      </c>
      <c r="Z279" s="4" t="str">
        <f>IFERROR(IF(Schedules[[#This Row],[Scheduled]]="OFF","",RIGHT(VLOOKUP(Schedules[[#This Row],[EE ID]],TeamList[],MATCH(Schedules[[#This Row],[DOW]],TeamList[#Headers],0),0),4)),"_NO MATCH")</f>
        <v/>
      </c>
    </row>
    <row r="280" spans="19:26" x14ac:dyDescent="0.25">
      <c r="S280" s="209">
        <v>1525123</v>
      </c>
      <c r="T280" s="209" t="str">
        <f>Schedules[[#This Row],[Employee Name]]&amp;Schedules[[#This Row],[DOW]]</f>
        <v>Floirendo, NicholasThu</v>
      </c>
      <c r="U280" s="4" t="str">
        <f>IFERROR(VLOOKUP(Schedules[[#This Row],[EE ID]],TeamList[],MATCH(Schedules[[#Headers],[Employee Name]],TeamList[#Headers],0),0),"_NO MATCH")</f>
        <v>Floirendo, Nicholas</v>
      </c>
      <c r="V280" s="4" t="str">
        <f>IFERROR(VLOOKUP(Schedules[[#This Row],[EE ID]],TeamList[],MATCH(Schedules[[#Headers],[Dept]],TeamList[#Headers],0),0),"_NO MATCH")</f>
        <v>Lead Billing</v>
      </c>
      <c r="W280" s="286" t="s">
        <v>10</v>
      </c>
      <c r="X280" s="4" t="str">
        <f>IFERROR(IF(VLOOKUP(Schedules[[#This Row],[EE ID]],TeamList[],MATCH(Schedules[[#This Row],[DOW]],TeamList[#Headers],0),0)="OFF","OFF","SCH"),"_NO MATCH")</f>
        <v>OFF</v>
      </c>
      <c r="Y280" s="4" t="str">
        <f>IFERROR(IF(Schedules[[#This Row],[Scheduled]]="OFF","",LEFT(VLOOKUP(Schedules[[#This Row],[EE ID]],TeamList[],MATCH(Schedules[[#This Row],[DOW]],TeamList[#Headers],0),0),4)),"_NO MATCH")</f>
        <v/>
      </c>
      <c r="Z280" s="4" t="str">
        <f>IFERROR(IF(Schedules[[#This Row],[Scheduled]]="OFF","",RIGHT(VLOOKUP(Schedules[[#This Row],[EE ID]],TeamList[],MATCH(Schedules[[#This Row],[DOW]],TeamList[#Headers],0),0),4)),"_NO MATCH")</f>
        <v/>
      </c>
    </row>
    <row r="281" spans="19:26" x14ac:dyDescent="0.25">
      <c r="S281" s="209">
        <v>1525123</v>
      </c>
      <c r="T281" s="209" t="str">
        <f>Schedules[[#This Row],[Employee Name]]&amp;Schedules[[#This Row],[DOW]]</f>
        <v>Floirendo, NicholasSun</v>
      </c>
      <c r="U281" s="4" t="str">
        <f>IFERROR(VLOOKUP(Schedules[[#This Row],[EE ID]],TeamList[],MATCH(Schedules[[#Headers],[Employee Name]],TeamList[#Headers],0),0),"_NO MATCH")</f>
        <v>Floirendo, Nicholas</v>
      </c>
      <c r="V281" s="4" t="str">
        <f>IFERROR(VLOOKUP(Schedules[[#This Row],[EE ID]],TeamList[],MATCH(Schedules[[#Headers],[Dept]],TeamList[#Headers],0),0),"_NO MATCH")</f>
        <v>Lead Billing</v>
      </c>
      <c r="W281" s="287" t="s">
        <v>6</v>
      </c>
      <c r="X281" s="4" t="str">
        <f>IFERROR(IF(VLOOKUP(Schedules[[#This Row],[EE ID]],TeamList[],MATCH(Schedules[[#This Row],[DOW]],TeamList[#Headers],0),0)="OFF","OFF","SCH"),"_NO MATCH")</f>
        <v>SCH</v>
      </c>
      <c r="Y281" s="4" t="str">
        <f>IFERROR(IF(Schedules[[#This Row],[Scheduled]]="OFF","",LEFT(VLOOKUP(Schedules[[#This Row],[EE ID]],TeamList[],MATCH(Schedules[[#This Row],[DOW]],TeamList[#Headers],0),0),4)),"_NO MATCH")</f>
        <v>12:0</v>
      </c>
      <c r="Z281" s="4" t="str">
        <f>IFERROR(IF(Schedules[[#This Row],[Scheduled]]="OFF","",RIGHT(VLOOKUP(Schedules[[#This Row],[EE ID]],TeamList[],MATCH(Schedules[[#This Row],[DOW]],TeamList[#Headers],0),0),4)),"_NO MATCH")</f>
        <v>3:00</v>
      </c>
    </row>
    <row r="282" spans="19:26" x14ac:dyDescent="0.25">
      <c r="S282" s="209">
        <v>1525123</v>
      </c>
      <c r="T282" s="209" t="str">
        <f>Schedules[[#This Row],[Employee Name]]&amp;Schedules[[#This Row],[DOW]]</f>
        <v>Floirendo, NicholasSat</v>
      </c>
      <c r="U282" s="4" t="str">
        <f>IFERROR(VLOOKUP(Schedules[[#This Row],[EE ID]],TeamList[],MATCH(Schedules[[#Headers],[Employee Name]],TeamList[#Headers],0),0),"_NO MATCH")</f>
        <v>Floirendo, Nicholas</v>
      </c>
      <c r="V282" s="4" t="str">
        <f>IFERROR(VLOOKUP(Schedules[[#This Row],[EE ID]],TeamList[],MATCH(Schedules[[#Headers],[Dept]],TeamList[#Headers],0),0),"_NO MATCH")</f>
        <v>Lead Billing</v>
      </c>
      <c r="W282" s="286" t="s">
        <v>12</v>
      </c>
      <c r="X282" s="4" t="str">
        <f>IFERROR(IF(VLOOKUP(Schedules[[#This Row],[EE ID]],TeamList[],MATCH(Schedules[[#This Row],[DOW]],TeamList[#Headers],0),0)="OFF","OFF","SCH"),"_NO MATCH")</f>
        <v>SCH</v>
      </c>
      <c r="Y282" s="4" t="str">
        <f>IFERROR(IF(Schedules[[#This Row],[Scheduled]]="OFF","",LEFT(VLOOKUP(Schedules[[#This Row],[EE ID]],TeamList[],MATCH(Schedules[[#This Row],[DOW]],TeamList[#Headers],0),0),4)),"_NO MATCH")</f>
        <v>12:0</v>
      </c>
      <c r="Z282" s="4" t="str">
        <f>IFERROR(IF(Schedules[[#This Row],[Scheduled]]="OFF","",RIGHT(VLOOKUP(Schedules[[#This Row],[EE ID]],TeamList[],MATCH(Schedules[[#This Row],[DOW]],TeamList[#Headers],0),0),4)),"_NO MATCH")</f>
        <v>3:00</v>
      </c>
    </row>
    <row r="283" spans="19:26" x14ac:dyDescent="0.25">
      <c r="S283" s="209">
        <v>1525123</v>
      </c>
      <c r="T283" s="209" t="str">
        <f>Schedules[[#This Row],[Employee Name]]&amp;Schedules[[#This Row],[DOW]]</f>
        <v>Floirendo, NicholasMon</v>
      </c>
      <c r="U283" s="4" t="str">
        <f>IFERROR(VLOOKUP(Schedules[[#This Row],[EE ID]],TeamList[],MATCH(Schedules[[#Headers],[Employee Name]],TeamList[#Headers],0),0),"_NO MATCH")</f>
        <v>Floirendo, Nicholas</v>
      </c>
      <c r="V283" s="4" t="str">
        <f>IFERROR(VLOOKUP(Schedules[[#This Row],[EE ID]],TeamList[],MATCH(Schedules[[#Headers],[Dept]],TeamList[#Headers],0),0),"_NO MATCH")</f>
        <v>Lead Billing</v>
      </c>
      <c r="W283" s="286" t="s">
        <v>7</v>
      </c>
      <c r="X283" s="4" t="str">
        <f>IFERROR(IF(VLOOKUP(Schedules[[#This Row],[EE ID]],TeamList[],MATCH(Schedules[[#This Row],[DOW]],TeamList[#Headers],0),0)="OFF","OFF","SCH"),"_NO MATCH")</f>
        <v>SCH</v>
      </c>
      <c r="Y283" s="4" t="str">
        <f>IFERROR(IF(Schedules[[#This Row],[Scheduled]]="OFF","",LEFT(VLOOKUP(Schedules[[#This Row],[EE ID]],TeamList[],MATCH(Schedules[[#This Row],[DOW]],TeamList[#Headers],0),0),4)),"_NO MATCH")</f>
        <v>12:0</v>
      </c>
      <c r="Z283" s="4" t="str">
        <f>IFERROR(IF(Schedules[[#This Row],[Scheduled]]="OFF","",RIGHT(VLOOKUP(Schedules[[#This Row],[EE ID]],TeamList[],MATCH(Schedules[[#This Row],[DOW]],TeamList[#Headers],0),0),4)),"_NO MATCH")</f>
        <v>3:00</v>
      </c>
    </row>
    <row r="284" spans="19:26" x14ac:dyDescent="0.25">
      <c r="S284" s="209">
        <v>1525123</v>
      </c>
      <c r="T284" s="209" t="str">
        <f>Schedules[[#This Row],[Employee Name]]&amp;Schedules[[#This Row],[DOW]]</f>
        <v>Floirendo, NicholasFri</v>
      </c>
      <c r="U284" s="4" t="str">
        <f>IFERROR(VLOOKUP(Schedules[[#This Row],[EE ID]],TeamList[],MATCH(Schedules[[#Headers],[Employee Name]],TeamList[#Headers],0),0),"_NO MATCH")</f>
        <v>Floirendo, Nicholas</v>
      </c>
      <c r="V284" s="4" t="str">
        <f>IFERROR(VLOOKUP(Schedules[[#This Row],[EE ID]],TeamList[],MATCH(Schedules[[#Headers],[Dept]],TeamList[#Headers],0),0),"_NO MATCH")</f>
        <v>Lead Billing</v>
      </c>
      <c r="W284" s="286" t="s">
        <v>11</v>
      </c>
      <c r="X284" s="4" t="str">
        <f>IFERROR(IF(VLOOKUP(Schedules[[#This Row],[EE ID]],TeamList[],MATCH(Schedules[[#This Row],[DOW]],TeamList[#Headers],0),0)="OFF","OFF","SCH"),"_NO MATCH")</f>
        <v>SCH</v>
      </c>
      <c r="Y284" s="4" t="str">
        <f>IFERROR(IF(Schedules[[#This Row],[Scheduled]]="OFF","",LEFT(VLOOKUP(Schedules[[#This Row],[EE ID]],TeamList[],MATCH(Schedules[[#This Row],[DOW]],TeamList[#Headers],0),0),4)),"_NO MATCH")</f>
        <v>12:0</v>
      </c>
      <c r="Z284" s="4" t="str">
        <f>IFERROR(IF(Schedules[[#This Row],[Scheduled]]="OFF","",RIGHT(VLOOKUP(Schedules[[#This Row],[EE ID]],TeamList[],MATCH(Schedules[[#This Row],[DOW]],TeamList[#Headers],0),0),4)),"_NO MATCH")</f>
        <v>3:00</v>
      </c>
    </row>
    <row r="285" spans="19:26" x14ac:dyDescent="0.25">
      <c r="S285" s="209">
        <v>1525898</v>
      </c>
      <c r="T285" s="209" t="str">
        <f>Schedules[[#This Row],[Employee Name]]&amp;Schedules[[#This Row],[DOW]]</f>
        <v>Fiskvik, ChristopherWed</v>
      </c>
      <c r="U285" s="4" t="str">
        <f>IFERROR(VLOOKUP(Schedules[[#This Row],[EE ID]],TeamList[],MATCH(Schedules[[#Headers],[Employee Name]],TeamList[#Headers],0),0),"_NO MATCH")</f>
        <v>Fiskvik, Christopher</v>
      </c>
      <c r="V285" s="4" t="str">
        <f>IFERROR(VLOOKUP(Schedules[[#This Row],[EE ID]],TeamList[],MATCH(Schedules[[#Headers],[Dept]],TeamList[#Headers],0),0),"_NO MATCH")</f>
        <v>Lead Billing</v>
      </c>
      <c r="W285" s="286" t="s">
        <v>9</v>
      </c>
      <c r="X285" s="4" t="str">
        <f>IFERROR(IF(VLOOKUP(Schedules[[#This Row],[EE ID]],TeamList[],MATCH(Schedules[[#This Row],[DOW]],TeamList[#Headers],0),0)="OFF","OFF","SCH"),"_NO MATCH")</f>
        <v>SCH</v>
      </c>
      <c r="Y285" s="4" t="str">
        <f>IFERROR(IF(Schedules[[#This Row],[Scheduled]]="OFF","",LEFT(VLOOKUP(Schedules[[#This Row],[EE ID]],TeamList[],MATCH(Schedules[[#This Row],[DOW]],TeamList[#Headers],0),0),4)),"_NO MATCH")</f>
        <v>09:0</v>
      </c>
      <c r="Z285" s="4" t="str">
        <f>IFERROR(IF(Schedules[[#This Row],[Scheduled]]="OFF","",RIGHT(VLOOKUP(Schedules[[#This Row],[EE ID]],TeamList[],MATCH(Schedules[[#This Row],[DOW]],TeamList[#Headers],0),0),4)),"_NO MATCH")</f>
        <v>7:30</v>
      </c>
    </row>
    <row r="286" spans="19:26" x14ac:dyDescent="0.25">
      <c r="S286" s="209">
        <v>1525898</v>
      </c>
      <c r="T286" s="209" t="str">
        <f>Schedules[[#This Row],[Employee Name]]&amp;Schedules[[#This Row],[DOW]]</f>
        <v>Fiskvik, ChristopherTue</v>
      </c>
      <c r="U286" s="4" t="str">
        <f>IFERROR(VLOOKUP(Schedules[[#This Row],[EE ID]],TeamList[],MATCH(Schedules[[#Headers],[Employee Name]],TeamList[#Headers],0),0),"_NO MATCH")</f>
        <v>Fiskvik, Christopher</v>
      </c>
      <c r="V286" s="4" t="str">
        <f>IFERROR(VLOOKUP(Schedules[[#This Row],[EE ID]],TeamList[],MATCH(Schedules[[#Headers],[Dept]],TeamList[#Headers],0),0),"_NO MATCH")</f>
        <v>Lead Billing</v>
      </c>
      <c r="W286" s="286" t="s">
        <v>8</v>
      </c>
      <c r="X286" s="4" t="str">
        <f>IFERROR(IF(VLOOKUP(Schedules[[#This Row],[EE ID]],TeamList[],MATCH(Schedules[[#This Row],[DOW]],TeamList[#Headers],0),0)="OFF","OFF","SCH"),"_NO MATCH")</f>
        <v>SCH</v>
      </c>
      <c r="Y286" s="4" t="str">
        <f>IFERROR(IF(Schedules[[#This Row],[Scheduled]]="OFF","",LEFT(VLOOKUP(Schedules[[#This Row],[EE ID]],TeamList[],MATCH(Schedules[[#This Row],[DOW]],TeamList[#Headers],0),0),4)),"_NO MATCH")</f>
        <v>09:0</v>
      </c>
      <c r="Z286" s="4" t="str">
        <f>IFERROR(IF(Schedules[[#This Row],[Scheduled]]="OFF","",RIGHT(VLOOKUP(Schedules[[#This Row],[EE ID]],TeamList[],MATCH(Schedules[[#This Row],[DOW]],TeamList[#Headers],0),0),4)),"_NO MATCH")</f>
        <v>7:30</v>
      </c>
    </row>
    <row r="287" spans="19:26" x14ac:dyDescent="0.25">
      <c r="S287" s="209">
        <v>1525898</v>
      </c>
      <c r="T287" s="209" t="str">
        <f>Schedules[[#This Row],[Employee Name]]&amp;Schedules[[#This Row],[DOW]]</f>
        <v>Fiskvik, ChristopherThu</v>
      </c>
      <c r="U287" s="4" t="str">
        <f>IFERROR(VLOOKUP(Schedules[[#This Row],[EE ID]],TeamList[],MATCH(Schedules[[#Headers],[Employee Name]],TeamList[#Headers],0),0),"_NO MATCH")</f>
        <v>Fiskvik, Christopher</v>
      </c>
      <c r="V287" s="4" t="str">
        <f>IFERROR(VLOOKUP(Schedules[[#This Row],[EE ID]],TeamList[],MATCH(Schedules[[#Headers],[Dept]],TeamList[#Headers],0),0),"_NO MATCH")</f>
        <v>Lead Billing</v>
      </c>
      <c r="W287" s="286" t="s">
        <v>10</v>
      </c>
      <c r="X287" s="4" t="str">
        <f>IFERROR(IF(VLOOKUP(Schedules[[#This Row],[EE ID]],TeamList[],MATCH(Schedules[[#This Row],[DOW]],TeamList[#Headers],0),0)="OFF","OFF","SCH"),"_NO MATCH")</f>
        <v>SCH</v>
      </c>
      <c r="Y287" s="4" t="str">
        <f>IFERROR(IF(Schedules[[#This Row],[Scheduled]]="OFF","",LEFT(VLOOKUP(Schedules[[#This Row],[EE ID]],TeamList[],MATCH(Schedules[[#This Row],[DOW]],TeamList[#Headers],0),0),4)),"_NO MATCH")</f>
        <v>09:0</v>
      </c>
      <c r="Z287" s="4" t="str">
        <f>IFERROR(IF(Schedules[[#This Row],[Scheduled]]="OFF","",RIGHT(VLOOKUP(Schedules[[#This Row],[EE ID]],TeamList[],MATCH(Schedules[[#This Row],[DOW]],TeamList[#Headers],0),0),4)),"_NO MATCH")</f>
        <v>7:30</v>
      </c>
    </row>
    <row r="288" spans="19:26" x14ac:dyDescent="0.25">
      <c r="S288" s="209">
        <v>1525898</v>
      </c>
      <c r="T288" s="209" t="str">
        <f>Schedules[[#This Row],[Employee Name]]&amp;Schedules[[#This Row],[DOW]]</f>
        <v>Fiskvik, ChristopherSun</v>
      </c>
      <c r="U288" s="4" t="str">
        <f>IFERROR(VLOOKUP(Schedules[[#This Row],[EE ID]],TeamList[],MATCH(Schedules[[#Headers],[Employee Name]],TeamList[#Headers],0),0),"_NO MATCH")</f>
        <v>Fiskvik, Christopher</v>
      </c>
      <c r="V288" s="4" t="str">
        <f>IFERROR(VLOOKUP(Schedules[[#This Row],[EE ID]],TeamList[],MATCH(Schedules[[#Headers],[Dept]],TeamList[#Headers],0),0),"_NO MATCH")</f>
        <v>Lead Billing</v>
      </c>
      <c r="W288" s="287" t="s">
        <v>6</v>
      </c>
      <c r="X288" s="4" t="str">
        <f>IFERROR(IF(VLOOKUP(Schedules[[#This Row],[EE ID]],TeamList[],MATCH(Schedules[[#This Row],[DOW]],TeamList[#Headers],0),0)="OFF","OFF","SCH"),"_NO MATCH")</f>
        <v>OFF</v>
      </c>
      <c r="Y288" s="4" t="str">
        <f>IFERROR(IF(Schedules[[#This Row],[Scheduled]]="OFF","",LEFT(VLOOKUP(Schedules[[#This Row],[EE ID]],TeamList[],MATCH(Schedules[[#This Row],[DOW]],TeamList[#Headers],0),0),4)),"_NO MATCH")</f>
        <v/>
      </c>
      <c r="Z288" s="4" t="str">
        <f>IFERROR(IF(Schedules[[#This Row],[Scheduled]]="OFF","",RIGHT(VLOOKUP(Schedules[[#This Row],[EE ID]],TeamList[],MATCH(Schedules[[#This Row],[DOW]],TeamList[#Headers],0),0),4)),"_NO MATCH")</f>
        <v/>
      </c>
    </row>
    <row r="289" spans="19:26" x14ac:dyDescent="0.25">
      <c r="S289" s="209">
        <v>1525898</v>
      </c>
      <c r="T289" s="209" t="str">
        <f>Schedules[[#This Row],[Employee Name]]&amp;Schedules[[#This Row],[DOW]]</f>
        <v>Fiskvik, ChristopherSat</v>
      </c>
      <c r="U289" s="4" t="str">
        <f>IFERROR(VLOOKUP(Schedules[[#This Row],[EE ID]],TeamList[],MATCH(Schedules[[#Headers],[Employee Name]],TeamList[#Headers],0),0),"_NO MATCH")</f>
        <v>Fiskvik, Christopher</v>
      </c>
      <c r="V289" s="4" t="str">
        <f>IFERROR(VLOOKUP(Schedules[[#This Row],[EE ID]],TeamList[],MATCH(Schedules[[#Headers],[Dept]],TeamList[#Headers],0),0),"_NO MATCH")</f>
        <v>Lead Billing</v>
      </c>
      <c r="W289" s="286" t="s">
        <v>12</v>
      </c>
      <c r="X289" s="4" t="str">
        <f>IFERROR(IF(VLOOKUP(Schedules[[#This Row],[EE ID]],TeamList[],MATCH(Schedules[[#This Row],[DOW]],TeamList[#Headers],0),0)="OFF","OFF","SCH"),"_NO MATCH")</f>
        <v>SCH</v>
      </c>
      <c r="Y289" s="4" t="str">
        <f>IFERROR(IF(Schedules[[#This Row],[Scheduled]]="OFF","",LEFT(VLOOKUP(Schedules[[#This Row],[EE ID]],TeamList[],MATCH(Schedules[[#This Row],[DOW]],TeamList[#Headers],0),0),4)),"_NO MATCH")</f>
        <v>09:0</v>
      </c>
      <c r="Z289" s="4" t="str">
        <f>IFERROR(IF(Schedules[[#This Row],[Scheduled]]="OFF","",RIGHT(VLOOKUP(Schedules[[#This Row],[EE ID]],TeamList[],MATCH(Schedules[[#This Row],[DOW]],TeamList[#Headers],0),0),4)),"_NO MATCH")</f>
        <v>7:30</v>
      </c>
    </row>
    <row r="290" spans="19:26" x14ac:dyDescent="0.25">
      <c r="S290" s="209">
        <v>1525898</v>
      </c>
      <c r="T290" s="209" t="str">
        <f>Schedules[[#This Row],[Employee Name]]&amp;Schedules[[#This Row],[DOW]]</f>
        <v>Fiskvik, ChristopherMon</v>
      </c>
      <c r="U290" s="4" t="str">
        <f>IFERROR(VLOOKUP(Schedules[[#This Row],[EE ID]],TeamList[],MATCH(Schedules[[#Headers],[Employee Name]],TeamList[#Headers],0),0),"_NO MATCH")</f>
        <v>Fiskvik, Christopher</v>
      </c>
      <c r="V290" s="4" t="str">
        <f>IFERROR(VLOOKUP(Schedules[[#This Row],[EE ID]],TeamList[],MATCH(Schedules[[#Headers],[Dept]],TeamList[#Headers],0),0),"_NO MATCH")</f>
        <v>Lead Billing</v>
      </c>
      <c r="W290" s="286" t="s">
        <v>7</v>
      </c>
      <c r="X290" s="4" t="str">
        <f>IFERROR(IF(VLOOKUP(Schedules[[#This Row],[EE ID]],TeamList[],MATCH(Schedules[[#This Row],[DOW]],TeamList[#Headers],0),0)="OFF","OFF","SCH"),"_NO MATCH")</f>
        <v>OFF</v>
      </c>
      <c r="Y290" s="4" t="str">
        <f>IFERROR(IF(Schedules[[#This Row],[Scheduled]]="OFF","",LEFT(VLOOKUP(Schedules[[#This Row],[EE ID]],TeamList[],MATCH(Schedules[[#This Row],[DOW]],TeamList[#Headers],0),0),4)),"_NO MATCH")</f>
        <v/>
      </c>
      <c r="Z290" s="4" t="str">
        <f>IFERROR(IF(Schedules[[#This Row],[Scheduled]]="OFF","",RIGHT(VLOOKUP(Schedules[[#This Row],[EE ID]],TeamList[],MATCH(Schedules[[#This Row],[DOW]],TeamList[#Headers],0),0),4)),"_NO MATCH")</f>
        <v/>
      </c>
    </row>
    <row r="291" spans="19:26" x14ac:dyDescent="0.25">
      <c r="S291" s="209">
        <v>1525898</v>
      </c>
      <c r="T291" s="209" t="str">
        <f>Schedules[[#This Row],[Employee Name]]&amp;Schedules[[#This Row],[DOW]]</f>
        <v>Fiskvik, ChristopherFri</v>
      </c>
      <c r="U291" s="4" t="str">
        <f>IFERROR(VLOOKUP(Schedules[[#This Row],[EE ID]],TeamList[],MATCH(Schedules[[#Headers],[Employee Name]],TeamList[#Headers],0),0),"_NO MATCH")</f>
        <v>Fiskvik, Christopher</v>
      </c>
      <c r="V291" s="4" t="str">
        <f>IFERROR(VLOOKUP(Schedules[[#This Row],[EE ID]],TeamList[],MATCH(Schedules[[#Headers],[Dept]],TeamList[#Headers],0),0),"_NO MATCH")</f>
        <v>Lead Billing</v>
      </c>
      <c r="W291" s="286" t="s">
        <v>11</v>
      </c>
      <c r="X291" s="4" t="str">
        <f>IFERROR(IF(VLOOKUP(Schedules[[#This Row],[EE ID]],TeamList[],MATCH(Schedules[[#This Row],[DOW]],TeamList[#Headers],0),0)="OFF","OFF","SCH"),"_NO MATCH")</f>
        <v>SCH</v>
      </c>
      <c r="Y291" s="4" t="str">
        <f>IFERROR(IF(Schedules[[#This Row],[Scheduled]]="OFF","",LEFT(VLOOKUP(Schedules[[#This Row],[EE ID]],TeamList[],MATCH(Schedules[[#This Row],[DOW]],TeamList[#Headers],0),0),4)),"_NO MATCH")</f>
        <v>09:0</v>
      </c>
      <c r="Z291" s="4" t="str">
        <f>IFERROR(IF(Schedules[[#This Row],[Scheduled]]="OFF","",RIGHT(VLOOKUP(Schedules[[#This Row],[EE ID]],TeamList[],MATCH(Schedules[[#This Row],[DOW]],TeamList[#Headers],0),0),4)),"_NO MATCH")</f>
        <v>7:30</v>
      </c>
    </row>
    <row r="292" spans="19:26" x14ac:dyDescent="0.25">
      <c r="S292" s="209">
        <v>1533172</v>
      </c>
      <c r="T292" s="209" t="str">
        <f>Schedules[[#This Row],[Employee Name]]&amp;Schedules[[#This Row],[DOW]]</f>
        <v>Fine, MelissaWed</v>
      </c>
      <c r="U292" s="4" t="str">
        <f>IFERROR(VLOOKUP(Schedules[[#This Row],[EE ID]],TeamList[],MATCH(Schedules[[#Headers],[Employee Name]],TeamList[#Headers],0),0),"_NO MATCH")</f>
        <v>Fine, Melissa</v>
      </c>
      <c r="V292" s="4" t="str">
        <f>IFERROR(VLOOKUP(Schedules[[#This Row],[EE ID]],TeamList[],MATCH(Schedules[[#Headers],[Dept]],TeamList[#Headers],0),0),"_NO MATCH")</f>
        <v>Lead Billing</v>
      </c>
      <c r="W292" s="286" t="s">
        <v>9</v>
      </c>
      <c r="X292" s="4" t="str">
        <f>IFERROR(IF(VLOOKUP(Schedules[[#This Row],[EE ID]],TeamList[],MATCH(Schedules[[#This Row],[DOW]],TeamList[#Headers],0),0)="OFF","OFF","SCH"),"_NO MATCH")</f>
        <v>SCH</v>
      </c>
      <c r="Y292" s="4" t="str">
        <f>IFERROR(IF(Schedules[[#This Row],[Scheduled]]="OFF","",LEFT(VLOOKUP(Schedules[[#This Row],[EE ID]],TeamList[],MATCH(Schedules[[#This Row],[DOW]],TeamList[#Headers],0),0),4)),"_NO MATCH")</f>
        <v>07:3</v>
      </c>
      <c r="Z292" s="4" t="str">
        <f>IFERROR(IF(Schedules[[#This Row],[Scheduled]]="OFF","",RIGHT(VLOOKUP(Schedules[[#This Row],[EE ID]],TeamList[],MATCH(Schedules[[#This Row],[DOW]],TeamList[#Headers],0),0),4)),"_NO MATCH")</f>
        <v>6:00</v>
      </c>
    </row>
    <row r="293" spans="19:26" x14ac:dyDescent="0.25">
      <c r="S293" s="209">
        <v>1533172</v>
      </c>
      <c r="T293" s="209" t="str">
        <f>Schedules[[#This Row],[Employee Name]]&amp;Schedules[[#This Row],[DOW]]</f>
        <v>Fine, MelissaTue</v>
      </c>
      <c r="U293" s="4" t="str">
        <f>IFERROR(VLOOKUP(Schedules[[#This Row],[EE ID]],TeamList[],MATCH(Schedules[[#Headers],[Employee Name]],TeamList[#Headers],0),0),"_NO MATCH")</f>
        <v>Fine, Melissa</v>
      </c>
      <c r="V293" s="4" t="str">
        <f>IFERROR(VLOOKUP(Schedules[[#This Row],[EE ID]],TeamList[],MATCH(Schedules[[#Headers],[Dept]],TeamList[#Headers],0),0),"_NO MATCH")</f>
        <v>Lead Billing</v>
      </c>
      <c r="W293" s="286" t="s">
        <v>8</v>
      </c>
      <c r="X293" s="4" t="str">
        <f>IFERROR(IF(VLOOKUP(Schedules[[#This Row],[EE ID]],TeamList[],MATCH(Schedules[[#This Row],[DOW]],TeamList[#Headers],0),0)="OFF","OFF","SCH"),"_NO MATCH")</f>
        <v>SCH</v>
      </c>
      <c r="Y293" s="4" t="str">
        <f>IFERROR(IF(Schedules[[#This Row],[Scheduled]]="OFF","",LEFT(VLOOKUP(Schedules[[#This Row],[EE ID]],TeamList[],MATCH(Schedules[[#This Row],[DOW]],TeamList[#Headers],0),0),4)),"_NO MATCH")</f>
        <v>07:3</v>
      </c>
      <c r="Z293" s="4" t="str">
        <f>IFERROR(IF(Schedules[[#This Row],[Scheduled]]="OFF","",RIGHT(VLOOKUP(Schedules[[#This Row],[EE ID]],TeamList[],MATCH(Schedules[[#This Row],[DOW]],TeamList[#Headers],0),0),4)),"_NO MATCH")</f>
        <v>6:00</v>
      </c>
    </row>
    <row r="294" spans="19:26" x14ac:dyDescent="0.25">
      <c r="S294" s="209">
        <v>1533172</v>
      </c>
      <c r="T294" s="209" t="str">
        <f>Schedules[[#This Row],[Employee Name]]&amp;Schedules[[#This Row],[DOW]]</f>
        <v>Fine, MelissaThu</v>
      </c>
      <c r="U294" s="4" t="str">
        <f>IFERROR(VLOOKUP(Schedules[[#This Row],[EE ID]],TeamList[],MATCH(Schedules[[#Headers],[Employee Name]],TeamList[#Headers],0),0),"_NO MATCH")</f>
        <v>Fine, Melissa</v>
      </c>
      <c r="V294" s="4" t="str">
        <f>IFERROR(VLOOKUP(Schedules[[#This Row],[EE ID]],TeamList[],MATCH(Schedules[[#Headers],[Dept]],TeamList[#Headers],0),0),"_NO MATCH")</f>
        <v>Lead Billing</v>
      </c>
      <c r="W294" s="286" t="s">
        <v>10</v>
      </c>
      <c r="X294" s="4" t="str">
        <f>IFERROR(IF(VLOOKUP(Schedules[[#This Row],[EE ID]],TeamList[],MATCH(Schedules[[#This Row],[DOW]],TeamList[#Headers],0),0)="OFF","OFF","SCH"),"_NO MATCH")</f>
        <v>SCH</v>
      </c>
      <c r="Y294" s="4" t="str">
        <f>IFERROR(IF(Schedules[[#This Row],[Scheduled]]="OFF","",LEFT(VLOOKUP(Schedules[[#This Row],[EE ID]],TeamList[],MATCH(Schedules[[#This Row],[DOW]],TeamList[#Headers],0),0),4)),"_NO MATCH")</f>
        <v>07:3</v>
      </c>
      <c r="Z294" s="4" t="str">
        <f>IFERROR(IF(Schedules[[#This Row],[Scheduled]]="OFF","",RIGHT(VLOOKUP(Schedules[[#This Row],[EE ID]],TeamList[],MATCH(Schedules[[#This Row],[DOW]],TeamList[#Headers],0),0),4)),"_NO MATCH")</f>
        <v>6:00</v>
      </c>
    </row>
    <row r="295" spans="19:26" x14ac:dyDescent="0.25">
      <c r="S295" s="209">
        <v>1533172</v>
      </c>
      <c r="T295" s="209" t="str">
        <f>Schedules[[#This Row],[Employee Name]]&amp;Schedules[[#This Row],[DOW]]</f>
        <v>Fine, MelissaSun</v>
      </c>
      <c r="U295" s="4" t="str">
        <f>IFERROR(VLOOKUP(Schedules[[#This Row],[EE ID]],TeamList[],MATCH(Schedules[[#Headers],[Employee Name]],TeamList[#Headers],0),0),"_NO MATCH")</f>
        <v>Fine, Melissa</v>
      </c>
      <c r="V295" s="4" t="str">
        <f>IFERROR(VLOOKUP(Schedules[[#This Row],[EE ID]],TeamList[],MATCH(Schedules[[#Headers],[Dept]],TeamList[#Headers],0),0),"_NO MATCH")</f>
        <v>Lead Billing</v>
      </c>
      <c r="W295" s="287" t="s">
        <v>6</v>
      </c>
      <c r="X295" s="219" t="str">
        <f>IFERROR(IF(VLOOKUP(Schedules[[#This Row],[EE ID]],TeamList[],MATCH(Schedules[[#This Row],[DOW]],TeamList[#Headers],0),0)="OFF","OFF","SCH"),"_NO MATCH")</f>
        <v>SCH</v>
      </c>
      <c r="Y295" s="219" t="str">
        <f>IFERROR(IF(Schedules[[#This Row],[Scheduled]]="OFF","",LEFT(VLOOKUP(Schedules[[#This Row],[EE ID]],TeamList[],MATCH(Schedules[[#This Row],[DOW]],TeamList[#Headers],0),0),4)),"_NO MATCH")</f>
        <v>07:3</v>
      </c>
      <c r="Z295" s="219" t="str">
        <f>IFERROR(IF(Schedules[[#This Row],[Scheduled]]="OFF","",RIGHT(VLOOKUP(Schedules[[#This Row],[EE ID]],TeamList[],MATCH(Schedules[[#This Row],[DOW]],TeamList[#Headers],0),0),4)),"_NO MATCH")</f>
        <v>6:00</v>
      </c>
    </row>
    <row r="296" spans="19:26" x14ac:dyDescent="0.25">
      <c r="S296" s="209">
        <v>1533172</v>
      </c>
      <c r="T296" s="209" t="str">
        <f>Schedules[[#This Row],[Employee Name]]&amp;Schedules[[#This Row],[DOW]]</f>
        <v>Fine, MelissaSat</v>
      </c>
      <c r="U296" s="4" t="str">
        <f>IFERROR(VLOOKUP(Schedules[[#This Row],[EE ID]],TeamList[],MATCH(Schedules[[#Headers],[Employee Name]],TeamList[#Headers],0),0),"_NO MATCH")</f>
        <v>Fine, Melissa</v>
      </c>
      <c r="V296" s="4" t="str">
        <f>IFERROR(VLOOKUP(Schedules[[#This Row],[EE ID]],TeamList[],MATCH(Schedules[[#Headers],[Dept]],TeamList[#Headers],0),0),"_NO MATCH")</f>
        <v>Lead Billing</v>
      </c>
      <c r="W296" s="286" t="s">
        <v>12</v>
      </c>
      <c r="X296" s="4" t="str">
        <f>IFERROR(IF(VLOOKUP(Schedules[[#This Row],[EE ID]],TeamList[],MATCH(Schedules[[#This Row],[DOW]],TeamList[#Headers],0),0)="OFF","OFF","SCH"),"_NO MATCH")</f>
        <v>OFF</v>
      </c>
      <c r="Y296" s="4" t="str">
        <f>IFERROR(IF(Schedules[[#This Row],[Scheduled]]="OFF","",LEFT(VLOOKUP(Schedules[[#This Row],[EE ID]],TeamList[],MATCH(Schedules[[#This Row],[DOW]],TeamList[#Headers],0),0),4)),"_NO MATCH")</f>
        <v/>
      </c>
      <c r="Z296" s="4" t="str">
        <f>IFERROR(IF(Schedules[[#This Row],[Scheduled]]="OFF","",RIGHT(VLOOKUP(Schedules[[#This Row],[EE ID]],TeamList[],MATCH(Schedules[[#This Row],[DOW]],TeamList[#Headers],0),0),4)),"_NO MATCH")</f>
        <v/>
      </c>
    </row>
    <row r="297" spans="19:26" x14ac:dyDescent="0.25">
      <c r="S297" s="209">
        <v>1533172</v>
      </c>
      <c r="T297" s="209" t="str">
        <f>Schedules[[#This Row],[Employee Name]]&amp;Schedules[[#This Row],[DOW]]</f>
        <v>Fine, MelissaMon</v>
      </c>
      <c r="U297" s="4" t="str">
        <f>IFERROR(VLOOKUP(Schedules[[#This Row],[EE ID]],TeamList[],MATCH(Schedules[[#Headers],[Employee Name]],TeamList[#Headers],0),0),"_NO MATCH")</f>
        <v>Fine, Melissa</v>
      </c>
      <c r="V297" s="4" t="str">
        <f>IFERROR(VLOOKUP(Schedules[[#This Row],[EE ID]],TeamList[],MATCH(Schedules[[#Headers],[Dept]],TeamList[#Headers],0),0),"_NO MATCH")</f>
        <v>Lead Billing</v>
      </c>
      <c r="W297" s="286" t="s">
        <v>7</v>
      </c>
      <c r="X297" s="4" t="str">
        <f>IFERROR(IF(VLOOKUP(Schedules[[#This Row],[EE ID]],TeamList[],MATCH(Schedules[[#This Row],[DOW]],TeamList[#Headers],0),0)="OFF","OFF","SCH"),"_NO MATCH")</f>
        <v>SCH</v>
      </c>
      <c r="Y297" s="4" t="str">
        <f>IFERROR(IF(Schedules[[#This Row],[Scheduled]]="OFF","",LEFT(VLOOKUP(Schedules[[#This Row],[EE ID]],TeamList[],MATCH(Schedules[[#This Row],[DOW]],TeamList[#Headers],0),0),4)),"_NO MATCH")</f>
        <v>07:3</v>
      </c>
      <c r="Z297" s="4" t="str">
        <f>IFERROR(IF(Schedules[[#This Row],[Scheduled]]="OFF","",RIGHT(VLOOKUP(Schedules[[#This Row],[EE ID]],TeamList[],MATCH(Schedules[[#This Row],[DOW]],TeamList[#Headers],0),0),4)),"_NO MATCH")</f>
        <v>6:00</v>
      </c>
    </row>
    <row r="298" spans="19:26" x14ac:dyDescent="0.25">
      <c r="S298" s="209">
        <v>1533172</v>
      </c>
      <c r="T298" s="209" t="str">
        <f>Schedules[[#This Row],[Employee Name]]&amp;Schedules[[#This Row],[DOW]]</f>
        <v>Fine, MelissaFri</v>
      </c>
      <c r="U298" s="4" t="str">
        <f>IFERROR(VLOOKUP(Schedules[[#This Row],[EE ID]],TeamList[],MATCH(Schedules[[#Headers],[Employee Name]],TeamList[#Headers],0),0),"_NO MATCH")</f>
        <v>Fine, Melissa</v>
      </c>
      <c r="V298" s="4" t="str">
        <f>IFERROR(VLOOKUP(Schedules[[#This Row],[EE ID]],TeamList[],MATCH(Schedules[[#Headers],[Dept]],TeamList[#Headers],0),0),"_NO MATCH")</f>
        <v>Lead Billing</v>
      </c>
      <c r="W298" s="286" t="s">
        <v>11</v>
      </c>
      <c r="X298" s="4" t="str">
        <f>IFERROR(IF(VLOOKUP(Schedules[[#This Row],[EE ID]],TeamList[],MATCH(Schedules[[#This Row],[DOW]],TeamList[#Headers],0),0)="OFF","OFF","SCH"),"_NO MATCH")</f>
        <v>OFF</v>
      </c>
      <c r="Y298" s="4" t="str">
        <f>IFERROR(IF(Schedules[[#This Row],[Scheduled]]="OFF","",LEFT(VLOOKUP(Schedules[[#This Row],[EE ID]],TeamList[],MATCH(Schedules[[#This Row],[DOW]],TeamList[#Headers],0),0),4)),"_NO MATCH")</f>
        <v/>
      </c>
      <c r="Z298" s="4" t="str">
        <f>IFERROR(IF(Schedules[[#This Row],[Scheduled]]="OFF","",RIGHT(VLOOKUP(Schedules[[#This Row],[EE ID]],TeamList[],MATCH(Schedules[[#This Row],[DOW]],TeamList[#Headers],0),0),4)),"_NO MATCH")</f>
        <v/>
      </c>
    </row>
    <row r="299" spans="19:26" x14ac:dyDescent="0.25">
      <c r="S299" s="209">
        <v>1516249</v>
      </c>
      <c r="T299" s="209" t="str">
        <f>Schedules[[#This Row],[Employee Name]]&amp;Schedules[[#This Row],[DOW]]</f>
        <v>Fairbrother, AmyWed</v>
      </c>
      <c r="U299" s="4" t="str">
        <f>IFERROR(VLOOKUP(Schedules[[#This Row],[EE ID]],TeamList[],MATCH(Schedules[[#Headers],[Employee Name]],TeamList[#Headers],0),0),"_NO MATCH")</f>
        <v>Fairbrother, Amy</v>
      </c>
      <c r="V299" s="4" t="str">
        <f>IFERROR(VLOOKUP(Schedules[[#This Row],[EE ID]],TeamList[],MATCH(Schedules[[#Headers],[Dept]],TeamList[#Headers],0),0),"_NO MATCH")</f>
        <v>Lead Billing</v>
      </c>
      <c r="W299" s="286" t="s">
        <v>9</v>
      </c>
      <c r="X299" s="4" t="str">
        <f>IFERROR(IF(VLOOKUP(Schedules[[#This Row],[EE ID]],TeamList[],MATCH(Schedules[[#This Row],[DOW]],TeamList[#Headers],0),0)="OFF","OFF","SCH"),"_NO MATCH")</f>
        <v>SCH</v>
      </c>
      <c r="Y299" s="4" t="str">
        <f>IFERROR(IF(Schedules[[#This Row],[Scheduled]]="OFF","",LEFT(VLOOKUP(Schedules[[#This Row],[EE ID]],TeamList[],MATCH(Schedules[[#This Row],[DOW]],TeamList[#Headers],0),0),4)),"_NO MATCH")</f>
        <v>16:3</v>
      </c>
      <c r="Z299" s="4" t="str">
        <f>IFERROR(IF(Schedules[[#This Row],[Scheduled]]="OFF","",RIGHT(VLOOKUP(Schedules[[#This Row],[EE ID]],TeamList[],MATCH(Schedules[[#This Row],[DOW]],TeamList[#Headers],0),0),4)),"_NO MATCH")</f>
        <v>1:00</v>
      </c>
    </row>
    <row r="300" spans="19:26" x14ac:dyDescent="0.25">
      <c r="S300" s="209">
        <v>1516249</v>
      </c>
      <c r="T300" s="209" t="str">
        <f>Schedules[[#This Row],[Employee Name]]&amp;Schedules[[#This Row],[DOW]]</f>
        <v>Fairbrother, AmyTue</v>
      </c>
      <c r="U300" s="4" t="str">
        <f>IFERROR(VLOOKUP(Schedules[[#This Row],[EE ID]],TeamList[],MATCH(Schedules[[#Headers],[Employee Name]],TeamList[#Headers],0),0),"_NO MATCH")</f>
        <v>Fairbrother, Amy</v>
      </c>
      <c r="V300" s="4" t="str">
        <f>IFERROR(VLOOKUP(Schedules[[#This Row],[EE ID]],TeamList[],MATCH(Schedules[[#Headers],[Dept]],TeamList[#Headers],0),0),"_NO MATCH")</f>
        <v>Lead Billing</v>
      </c>
      <c r="W300" s="286" t="s">
        <v>8</v>
      </c>
      <c r="X300" s="4" t="str">
        <f>IFERROR(IF(VLOOKUP(Schedules[[#This Row],[EE ID]],TeamList[],MATCH(Schedules[[#This Row],[DOW]],TeamList[#Headers],0),0)="OFF","OFF","SCH"),"_NO MATCH")</f>
        <v>SCH</v>
      </c>
      <c r="Y300" s="4" t="str">
        <f>IFERROR(IF(Schedules[[#This Row],[Scheduled]]="OFF","",LEFT(VLOOKUP(Schedules[[#This Row],[EE ID]],TeamList[],MATCH(Schedules[[#This Row],[DOW]],TeamList[#Headers],0),0),4)),"_NO MATCH")</f>
        <v>16:3</v>
      </c>
      <c r="Z300" s="4" t="str">
        <f>IFERROR(IF(Schedules[[#This Row],[Scheduled]]="OFF","",RIGHT(VLOOKUP(Schedules[[#This Row],[EE ID]],TeamList[],MATCH(Schedules[[#This Row],[DOW]],TeamList[#Headers],0),0),4)),"_NO MATCH")</f>
        <v>1:00</v>
      </c>
    </row>
    <row r="301" spans="19:26" x14ac:dyDescent="0.25">
      <c r="S301" s="209">
        <v>1516249</v>
      </c>
      <c r="T301" s="209" t="str">
        <f>Schedules[[#This Row],[Employee Name]]&amp;Schedules[[#This Row],[DOW]]</f>
        <v>Fairbrother, AmyThu</v>
      </c>
      <c r="U301" s="4" t="str">
        <f>IFERROR(VLOOKUP(Schedules[[#This Row],[EE ID]],TeamList[],MATCH(Schedules[[#Headers],[Employee Name]],TeamList[#Headers],0),0),"_NO MATCH")</f>
        <v>Fairbrother, Amy</v>
      </c>
      <c r="V301" s="4" t="str">
        <f>IFERROR(VLOOKUP(Schedules[[#This Row],[EE ID]],TeamList[],MATCH(Schedules[[#Headers],[Dept]],TeamList[#Headers],0),0),"_NO MATCH")</f>
        <v>Lead Billing</v>
      </c>
      <c r="W301" s="286" t="s">
        <v>10</v>
      </c>
      <c r="X301" s="4" t="str">
        <f>IFERROR(IF(VLOOKUP(Schedules[[#This Row],[EE ID]],TeamList[],MATCH(Schedules[[#This Row],[DOW]],TeamList[#Headers],0),0)="OFF","OFF","SCH"),"_NO MATCH")</f>
        <v>SCH</v>
      </c>
      <c r="Y301" s="4" t="str">
        <f>IFERROR(IF(Schedules[[#This Row],[Scheduled]]="OFF","",LEFT(VLOOKUP(Schedules[[#This Row],[EE ID]],TeamList[],MATCH(Schedules[[#This Row],[DOW]],TeamList[#Headers],0),0),4)),"_NO MATCH")</f>
        <v>16:3</v>
      </c>
      <c r="Z301" s="4" t="str">
        <f>IFERROR(IF(Schedules[[#This Row],[Scheduled]]="OFF","",RIGHT(VLOOKUP(Schedules[[#This Row],[EE ID]],TeamList[],MATCH(Schedules[[#This Row],[DOW]],TeamList[#Headers],0),0),4)),"_NO MATCH")</f>
        <v>1:00</v>
      </c>
    </row>
    <row r="302" spans="19:26" x14ac:dyDescent="0.25">
      <c r="S302" s="209">
        <v>1516249</v>
      </c>
      <c r="T302" s="209" t="str">
        <f>Schedules[[#This Row],[Employee Name]]&amp;Schedules[[#This Row],[DOW]]</f>
        <v>Fairbrother, AmySun</v>
      </c>
      <c r="U302" s="4" t="str">
        <f>IFERROR(VLOOKUP(Schedules[[#This Row],[EE ID]],TeamList[],MATCH(Schedules[[#Headers],[Employee Name]],TeamList[#Headers],0),0),"_NO MATCH")</f>
        <v>Fairbrother, Amy</v>
      </c>
      <c r="V302" s="4" t="str">
        <f>IFERROR(VLOOKUP(Schedules[[#This Row],[EE ID]],TeamList[],MATCH(Schedules[[#Headers],[Dept]],TeamList[#Headers],0),0),"_NO MATCH")</f>
        <v>Lead Billing</v>
      </c>
      <c r="W302" s="287" t="s">
        <v>6</v>
      </c>
      <c r="X302" s="219" t="str">
        <f>IFERROR(IF(VLOOKUP(Schedules[[#This Row],[EE ID]],TeamList[],MATCH(Schedules[[#This Row],[DOW]],TeamList[#Headers],0),0)="OFF","OFF","SCH"),"_NO MATCH")</f>
        <v>OFF</v>
      </c>
      <c r="Y302" s="219" t="str">
        <f>IFERROR(IF(Schedules[[#This Row],[Scheduled]]="OFF","",LEFT(VLOOKUP(Schedules[[#This Row],[EE ID]],TeamList[],MATCH(Schedules[[#This Row],[DOW]],TeamList[#Headers],0),0),4)),"_NO MATCH")</f>
        <v/>
      </c>
      <c r="Z302" s="219" t="str">
        <f>IFERROR(IF(Schedules[[#This Row],[Scheduled]]="OFF","",RIGHT(VLOOKUP(Schedules[[#This Row],[EE ID]],TeamList[],MATCH(Schedules[[#This Row],[DOW]],TeamList[#Headers],0),0),4)),"_NO MATCH")</f>
        <v/>
      </c>
    </row>
    <row r="303" spans="19:26" x14ac:dyDescent="0.25">
      <c r="S303" s="209">
        <v>1516249</v>
      </c>
      <c r="T303" s="209" t="str">
        <f>Schedules[[#This Row],[Employee Name]]&amp;Schedules[[#This Row],[DOW]]</f>
        <v>Fairbrother, AmySat</v>
      </c>
      <c r="U303" s="4" t="str">
        <f>IFERROR(VLOOKUP(Schedules[[#This Row],[EE ID]],TeamList[],MATCH(Schedules[[#Headers],[Employee Name]],TeamList[#Headers],0),0),"_NO MATCH")</f>
        <v>Fairbrother, Amy</v>
      </c>
      <c r="V303" s="4" t="str">
        <f>IFERROR(VLOOKUP(Schedules[[#This Row],[EE ID]],TeamList[],MATCH(Schedules[[#Headers],[Dept]],TeamList[#Headers],0),0),"_NO MATCH")</f>
        <v>Lead Billing</v>
      </c>
      <c r="W303" s="286" t="s">
        <v>12</v>
      </c>
      <c r="X303" s="4" t="str">
        <f>IFERROR(IF(VLOOKUP(Schedules[[#This Row],[EE ID]],TeamList[],MATCH(Schedules[[#This Row],[DOW]],TeamList[#Headers],0),0)="OFF","OFF","SCH"),"_NO MATCH")</f>
        <v>OFF</v>
      </c>
      <c r="Y303" s="4" t="str">
        <f>IFERROR(IF(Schedules[[#This Row],[Scheduled]]="OFF","",LEFT(VLOOKUP(Schedules[[#This Row],[EE ID]],TeamList[],MATCH(Schedules[[#This Row],[DOW]],TeamList[#Headers],0),0),4)),"_NO MATCH")</f>
        <v/>
      </c>
      <c r="Z303" s="4" t="str">
        <f>IFERROR(IF(Schedules[[#This Row],[Scheduled]]="OFF","",RIGHT(VLOOKUP(Schedules[[#This Row],[EE ID]],TeamList[],MATCH(Schedules[[#This Row],[DOW]],TeamList[#Headers],0),0),4)),"_NO MATCH")</f>
        <v/>
      </c>
    </row>
    <row r="304" spans="19:26" x14ac:dyDescent="0.25">
      <c r="S304" s="209">
        <v>1516249</v>
      </c>
      <c r="T304" s="209" t="str">
        <f>Schedules[[#This Row],[Employee Name]]&amp;Schedules[[#This Row],[DOW]]</f>
        <v>Fairbrother, AmyMon</v>
      </c>
      <c r="U304" s="4" t="str">
        <f>IFERROR(VLOOKUP(Schedules[[#This Row],[EE ID]],TeamList[],MATCH(Schedules[[#Headers],[Employee Name]],TeamList[#Headers],0),0),"_NO MATCH")</f>
        <v>Fairbrother, Amy</v>
      </c>
      <c r="V304" s="4" t="str">
        <f>IFERROR(VLOOKUP(Schedules[[#This Row],[EE ID]],TeamList[],MATCH(Schedules[[#Headers],[Dept]],TeamList[#Headers],0),0),"_NO MATCH")</f>
        <v>Lead Billing</v>
      </c>
      <c r="W304" s="286" t="s">
        <v>7</v>
      </c>
      <c r="X304" s="4" t="str">
        <f>IFERROR(IF(VLOOKUP(Schedules[[#This Row],[EE ID]],TeamList[],MATCH(Schedules[[#This Row],[DOW]],TeamList[#Headers],0),0)="OFF","OFF","SCH"),"_NO MATCH")</f>
        <v>SCH</v>
      </c>
      <c r="Y304" s="4" t="str">
        <f>IFERROR(IF(Schedules[[#This Row],[Scheduled]]="OFF","",LEFT(VLOOKUP(Schedules[[#This Row],[EE ID]],TeamList[],MATCH(Schedules[[#This Row],[DOW]],TeamList[#Headers],0),0),4)),"_NO MATCH")</f>
        <v>16:3</v>
      </c>
      <c r="Z304" s="4" t="str">
        <f>IFERROR(IF(Schedules[[#This Row],[Scheduled]]="OFF","",RIGHT(VLOOKUP(Schedules[[#This Row],[EE ID]],TeamList[],MATCH(Schedules[[#This Row],[DOW]],TeamList[#Headers],0),0),4)),"_NO MATCH")</f>
        <v>1:00</v>
      </c>
    </row>
    <row r="305" spans="19:26" x14ac:dyDescent="0.25">
      <c r="S305" s="209">
        <v>1516249</v>
      </c>
      <c r="T305" s="209" t="str">
        <f>Schedules[[#This Row],[Employee Name]]&amp;Schedules[[#This Row],[DOW]]</f>
        <v>Fairbrother, AmyFri</v>
      </c>
      <c r="U305" s="4" t="str">
        <f>IFERROR(VLOOKUP(Schedules[[#This Row],[EE ID]],TeamList[],MATCH(Schedules[[#Headers],[Employee Name]],TeamList[#Headers],0),0),"_NO MATCH")</f>
        <v>Fairbrother, Amy</v>
      </c>
      <c r="V305" s="4" t="str">
        <f>IFERROR(VLOOKUP(Schedules[[#This Row],[EE ID]],TeamList[],MATCH(Schedules[[#Headers],[Dept]],TeamList[#Headers],0),0),"_NO MATCH")</f>
        <v>Lead Billing</v>
      </c>
      <c r="W305" s="286" t="s">
        <v>11</v>
      </c>
      <c r="X305" s="4" t="str">
        <f>IFERROR(IF(VLOOKUP(Schedules[[#This Row],[EE ID]],TeamList[],MATCH(Schedules[[#This Row],[DOW]],TeamList[#Headers],0),0)="OFF","OFF","SCH"),"_NO MATCH")</f>
        <v>SCH</v>
      </c>
      <c r="Y305" s="4" t="str">
        <f>IFERROR(IF(Schedules[[#This Row],[Scheduled]]="OFF","",LEFT(VLOOKUP(Schedules[[#This Row],[EE ID]],TeamList[],MATCH(Schedules[[#This Row],[DOW]],TeamList[#Headers],0),0),4)),"_NO MATCH")</f>
        <v>16:3</v>
      </c>
      <c r="Z305" s="4" t="str">
        <f>IFERROR(IF(Schedules[[#This Row],[Scheduled]]="OFF","",RIGHT(VLOOKUP(Schedules[[#This Row],[EE ID]],TeamList[],MATCH(Schedules[[#This Row],[DOW]],TeamList[#Headers],0),0),4)),"_NO MATCH")</f>
        <v>1:00</v>
      </c>
    </row>
    <row r="306" spans="19:26" x14ac:dyDescent="0.25">
      <c r="S306" s="209">
        <v>1517608</v>
      </c>
      <c r="T306" s="209" t="str">
        <f>Schedules[[#This Row],[Employee Name]]&amp;Schedules[[#This Row],[DOW]]</f>
        <v>Drefchinski, JacobWed</v>
      </c>
      <c r="U306" s="4" t="str">
        <f>IFERROR(VLOOKUP(Schedules[[#This Row],[EE ID]],TeamList[],MATCH(Schedules[[#Headers],[Employee Name]],TeamList[#Headers],0),0),"_NO MATCH")</f>
        <v>Drefchinski, Jacob</v>
      </c>
      <c r="V306" s="4" t="str">
        <f>IFERROR(VLOOKUP(Schedules[[#This Row],[EE ID]],TeamList[],MATCH(Schedules[[#Headers],[Dept]],TeamList[#Headers],0),0),"_NO MATCH")</f>
        <v>Sup, Customer Service</v>
      </c>
      <c r="W306" s="286" t="s">
        <v>9</v>
      </c>
      <c r="X306" s="4" t="str">
        <f>IFERROR(IF(VLOOKUP(Schedules[[#This Row],[EE ID]],TeamList[],MATCH(Schedules[[#This Row],[DOW]],TeamList[#Headers],0),0)="OFF","OFF","SCH"),"_NO MATCH")</f>
        <v>SCH</v>
      </c>
      <c r="Y306" s="4" t="str">
        <f>IFERROR(IF(Schedules[[#This Row],[Scheduled]]="OFF","",LEFT(VLOOKUP(Schedules[[#This Row],[EE ID]],TeamList[],MATCH(Schedules[[#This Row],[DOW]],TeamList[#Headers],0),0),4)),"_NO MATCH")</f>
        <v>08:0</v>
      </c>
      <c r="Z306" s="4" t="str">
        <f>IFERROR(IF(Schedules[[#This Row],[Scheduled]]="OFF","",RIGHT(VLOOKUP(Schedules[[#This Row],[EE ID]],TeamList[],MATCH(Schedules[[#This Row],[DOW]],TeamList[#Headers],0),0),4)),"_NO MATCH")</f>
        <v>7:00</v>
      </c>
    </row>
    <row r="307" spans="19:26" x14ac:dyDescent="0.25">
      <c r="S307" s="209">
        <v>1517608</v>
      </c>
      <c r="T307" s="209" t="str">
        <f>Schedules[[#This Row],[Employee Name]]&amp;Schedules[[#This Row],[DOW]]</f>
        <v>Drefchinski, JacobTue</v>
      </c>
      <c r="U307" s="4" t="str">
        <f>IFERROR(VLOOKUP(Schedules[[#This Row],[EE ID]],TeamList[],MATCH(Schedules[[#Headers],[Employee Name]],TeamList[#Headers],0),0),"_NO MATCH")</f>
        <v>Drefchinski, Jacob</v>
      </c>
      <c r="V307" s="4" t="str">
        <f>IFERROR(VLOOKUP(Schedules[[#This Row],[EE ID]],TeamList[],MATCH(Schedules[[#Headers],[Dept]],TeamList[#Headers],0),0),"_NO MATCH")</f>
        <v>Sup, Customer Service</v>
      </c>
      <c r="W307" s="286" t="s">
        <v>8</v>
      </c>
      <c r="X307" s="4" t="str">
        <f>IFERROR(IF(VLOOKUP(Schedules[[#This Row],[EE ID]],TeamList[],MATCH(Schedules[[#This Row],[DOW]],TeamList[#Headers],0),0)="OFF","OFF","SCH"),"_NO MATCH")</f>
        <v>SCH</v>
      </c>
      <c r="Y307" s="4" t="str">
        <f>IFERROR(IF(Schedules[[#This Row],[Scheduled]]="OFF","",LEFT(VLOOKUP(Schedules[[#This Row],[EE ID]],TeamList[],MATCH(Schedules[[#This Row],[DOW]],TeamList[#Headers],0),0),4)),"_NO MATCH")</f>
        <v>11:0</v>
      </c>
      <c r="Z307" s="4" t="str">
        <f>IFERROR(IF(Schedules[[#This Row],[Scheduled]]="OFF","",RIGHT(VLOOKUP(Schedules[[#This Row],[EE ID]],TeamList[],MATCH(Schedules[[#This Row],[DOW]],TeamList[#Headers],0),0),4)),"_NO MATCH")</f>
        <v>0:00</v>
      </c>
    </row>
    <row r="308" spans="19:26" x14ac:dyDescent="0.25">
      <c r="S308" s="209">
        <v>1517608</v>
      </c>
      <c r="T308" s="209" t="str">
        <f>Schedules[[#This Row],[Employee Name]]&amp;Schedules[[#This Row],[DOW]]</f>
        <v>Drefchinski, JacobThu</v>
      </c>
      <c r="U308" s="4" t="str">
        <f>IFERROR(VLOOKUP(Schedules[[#This Row],[EE ID]],TeamList[],MATCH(Schedules[[#Headers],[Employee Name]],TeamList[#Headers],0),0),"_NO MATCH")</f>
        <v>Drefchinski, Jacob</v>
      </c>
      <c r="V308" s="4" t="str">
        <f>IFERROR(VLOOKUP(Schedules[[#This Row],[EE ID]],TeamList[],MATCH(Schedules[[#Headers],[Dept]],TeamList[#Headers],0),0),"_NO MATCH")</f>
        <v>Sup, Customer Service</v>
      </c>
      <c r="W308" s="286" t="s">
        <v>10</v>
      </c>
      <c r="X308" s="4" t="str">
        <f>IFERROR(IF(VLOOKUP(Schedules[[#This Row],[EE ID]],TeamList[],MATCH(Schedules[[#This Row],[DOW]],TeamList[#Headers],0),0)="OFF","OFF","SCH"),"_NO MATCH")</f>
        <v>SCH</v>
      </c>
      <c r="Y308" s="4" t="str">
        <f>IFERROR(IF(Schedules[[#This Row],[Scheduled]]="OFF","",LEFT(VLOOKUP(Schedules[[#This Row],[EE ID]],TeamList[],MATCH(Schedules[[#This Row],[DOW]],TeamList[#Headers],0),0),4)),"_NO MATCH")</f>
        <v>08:0</v>
      </c>
      <c r="Z308" s="4" t="str">
        <f>IFERROR(IF(Schedules[[#This Row],[Scheduled]]="OFF","",RIGHT(VLOOKUP(Schedules[[#This Row],[EE ID]],TeamList[],MATCH(Schedules[[#This Row],[DOW]],TeamList[#Headers],0),0),4)),"_NO MATCH")</f>
        <v>7:00</v>
      </c>
    </row>
    <row r="309" spans="19:26" x14ac:dyDescent="0.25">
      <c r="S309" s="209">
        <v>1517608</v>
      </c>
      <c r="T309" s="209" t="str">
        <f>Schedules[[#This Row],[Employee Name]]&amp;Schedules[[#This Row],[DOW]]</f>
        <v>Drefchinski, JacobSun</v>
      </c>
      <c r="U309" s="4" t="str">
        <f>IFERROR(VLOOKUP(Schedules[[#This Row],[EE ID]],TeamList[],MATCH(Schedules[[#Headers],[Employee Name]],TeamList[#Headers],0),0),"_NO MATCH")</f>
        <v>Drefchinski, Jacob</v>
      </c>
      <c r="V309" s="4" t="str">
        <f>IFERROR(VLOOKUP(Schedules[[#This Row],[EE ID]],TeamList[],MATCH(Schedules[[#Headers],[Dept]],TeamList[#Headers],0),0),"_NO MATCH")</f>
        <v>Sup, Customer Service</v>
      </c>
      <c r="W309" s="287" t="s">
        <v>6</v>
      </c>
      <c r="X309" s="4" t="str">
        <f>IFERROR(IF(VLOOKUP(Schedules[[#This Row],[EE ID]],TeamList[],MATCH(Schedules[[#This Row],[DOW]],TeamList[#Headers],0),0)="OFF","OFF","SCH"),"_NO MATCH")</f>
        <v>SCH</v>
      </c>
      <c r="Y309" s="4" t="str">
        <f>IFERROR(IF(Schedules[[#This Row],[Scheduled]]="OFF","",LEFT(VLOOKUP(Schedules[[#This Row],[EE ID]],TeamList[],MATCH(Schedules[[#This Row],[DOW]],TeamList[#Headers],0),0),4)),"_NO MATCH")</f>
        <v>11:0</v>
      </c>
      <c r="Z309" s="4" t="str">
        <f>IFERROR(IF(Schedules[[#This Row],[Scheduled]]="OFF","",RIGHT(VLOOKUP(Schedules[[#This Row],[EE ID]],TeamList[],MATCH(Schedules[[#This Row],[DOW]],TeamList[#Headers],0),0),4)),"_NO MATCH")</f>
        <v>0:00</v>
      </c>
    </row>
    <row r="310" spans="19:26" x14ac:dyDescent="0.25">
      <c r="S310" s="209">
        <v>1517608</v>
      </c>
      <c r="T310" s="209" t="str">
        <f>Schedules[[#This Row],[Employee Name]]&amp;Schedules[[#This Row],[DOW]]</f>
        <v>Drefchinski, JacobSat</v>
      </c>
      <c r="U310" s="4" t="str">
        <f>IFERROR(VLOOKUP(Schedules[[#This Row],[EE ID]],TeamList[],MATCH(Schedules[[#Headers],[Employee Name]],TeamList[#Headers],0),0),"_NO MATCH")</f>
        <v>Drefchinski, Jacob</v>
      </c>
      <c r="V310" s="4" t="str">
        <f>IFERROR(VLOOKUP(Schedules[[#This Row],[EE ID]],TeamList[],MATCH(Schedules[[#Headers],[Dept]],TeamList[#Headers],0),0),"_NO MATCH")</f>
        <v>Sup, Customer Service</v>
      </c>
      <c r="W310" s="286" t="s">
        <v>12</v>
      </c>
      <c r="X310" s="4" t="str">
        <f>IFERROR(IF(VLOOKUP(Schedules[[#This Row],[EE ID]],TeamList[],MATCH(Schedules[[#This Row],[DOW]],TeamList[#Headers],0),0)="OFF","OFF","SCH"),"_NO MATCH")</f>
        <v>OFF</v>
      </c>
      <c r="Y310" s="4" t="str">
        <f>IFERROR(IF(Schedules[[#This Row],[Scheduled]]="OFF","",LEFT(VLOOKUP(Schedules[[#This Row],[EE ID]],TeamList[],MATCH(Schedules[[#This Row],[DOW]],TeamList[#Headers],0),0),4)),"_NO MATCH")</f>
        <v/>
      </c>
      <c r="Z310" s="4" t="str">
        <f>IFERROR(IF(Schedules[[#This Row],[Scheduled]]="OFF","",RIGHT(VLOOKUP(Schedules[[#This Row],[EE ID]],TeamList[],MATCH(Schedules[[#This Row],[DOW]],TeamList[#Headers],0),0),4)),"_NO MATCH")</f>
        <v/>
      </c>
    </row>
    <row r="311" spans="19:26" x14ac:dyDescent="0.25">
      <c r="S311" s="209">
        <v>1517608</v>
      </c>
      <c r="T311" s="209" t="str">
        <f>Schedules[[#This Row],[Employee Name]]&amp;Schedules[[#This Row],[DOW]]</f>
        <v>Drefchinski, JacobMon</v>
      </c>
      <c r="U311" s="4" t="str">
        <f>IFERROR(VLOOKUP(Schedules[[#This Row],[EE ID]],TeamList[],MATCH(Schedules[[#Headers],[Employee Name]],TeamList[#Headers],0),0),"_NO MATCH")</f>
        <v>Drefchinski, Jacob</v>
      </c>
      <c r="V311" s="4" t="str">
        <f>IFERROR(VLOOKUP(Schedules[[#This Row],[EE ID]],TeamList[],MATCH(Schedules[[#Headers],[Dept]],TeamList[#Headers],0),0),"_NO MATCH")</f>
        <v>Sup, Customer Service</v>
      </c>
      <c r="W311" s="286" t="s">
        <v>7</v>
      </c>
      <c r="X311" s="4" t="str">
        <f>IFERROR(IF(VLOOKUP(Schedules[[#This Row],[EE ID]],TeamList[],MATCH(Schedules[[#This Row],[DOW]],TeamList[#Headers],0),0)="OFF","OFF","SCH"),"_NO MATCH")</f>
        <v>SCH</v>
      </c>
      <c r="Y311" s="4" t="str">
        <f>IFERROR(IF(Schedules[[#This Row],[Scheduled]]="OFF","",LEFT(VLOOKUP(Schedules[[#This Row],[EE ID]],TeamList[],MATCH(Schedules[[#This Row],[DOW]],TeamList[#Headers],0),0),4)),"_NO MATCH")</f>
        <v>11:0</v>
      </c>
      <c r="Z311" s="4" t="str">
        <f>IFERROR(IF(Schedules[[#This Row],[Scheduled]]="OFF","",RIGHT(VLOOKUP(Schedules[[#This Row],[EE ID]],TeamList[],MATCH(Schedules[[#This Row],[DOW]],TeamList[#Headers],0),0),4)),"_NO MATCH")</f>
        <v>0:00</v>
      </c>
    </row>
    <row r="312" spans="19:26" x14ac:dyDescent="0.25">
      <c r="S312" s="209">
        <v>1517608</v>
      </c>
      <c r="T312" s="209" t="str">
        <f>Schedules[[#This Row],[Employee Name]]&amp;Schedules[[#This Row],[DOW]]</f>
        <v>Drefchinski, JacobFri</v>
      </c>
      <c r="U312" s="4" t="str">
        <f>IFERROR(VLOOKUP(Schedules[[#This Row],[EE ID]],TeamList[],MATCH(Schedules[[#Headers],[Employee Name]],TeamList[#Headers],0),0),"_NO MATCH")</f>
        <v>Drefchinski, Jacob</v>
      </c>
      <c r="V312" s="4" t="str">
        <f>IFERROR(VLOOKUP(Schedules[[#This Row],[EE ID]],TeamList[],MATCH(Schedules[[#Headers],[Dept]],TeamList[#Headers],0),0),"_NO MATCH")</f>
        <v>Sup, Customer Service</v>
      </c>
      <c r="W312" s="286" t="s">
        <v>11</v>
      </c>
      <c r="X312" s="4" t="str">
        <f>IFERROR(IF(VLOOKUP(Schedules[[#This Row],[EE ID]],TeamList[],MATCH(Schedules[[#This Row],[DOW]],TeamList[#Headers],0),0)="OFF","OFF","SCH"),"_NO MATCH")</f>
        <v>OFF</v>
      </c>
      <c r="Y312" s="4" t="str">
        <f>IFERROR(IF(Schedules[[#This Row],[Scheduled]]="OFF","",LEFT(VLOOKUP(Schedules[[#This Row],[EE ID]],TeamList[],MATCH(Schedules[[#This Row],[DOW]],TeamList[#Headers],0),0),4)),"_NO MATCH")</f>
        <v/>
      </c>
      <c r="Z312" s="4" t="str">
        <f>IFERROR(IF(Schedules[[#This Row],[Scheduled]]="OFF","",RIGHT(VLOOKUP(Schedules[[#This Row],[EE ID]],TeamList[],MATCH(Schedules[[#This Row],[DOW]],TeamList[#Headers],0),0),4)),"_NO MATCH")</f>
        <v/>
      </c>
    </row>
    <row r="313" spans="19:26" x14ac:dyDescent="0.25">
      <c r="S313" s="209">
        <v>1516770</v>
      </c>
      <c r="T313" s="209" t="str">
        <f>Schedules[[#This Row],[Employee Name]]&amp;Schedules[[#This Row],[DOW]]</f>
        <v>Donaca, JeffWed</v>
      </c>
      <c r="U313" s="4" t="str">
        <f>IFERROR(VLOOKUP(Schedules[[#This Row],[EE ID]],TeamList[],MATCH(Schedules[[#Headers],[Employee Name]],TeamList[#Headers],0),0),"_NO MATCH")</f>
        <v>Donaca, Jeff</v>
      </c>
      <c r="V313" s="4" t="str">
        <f>IFERROR(VLOOKUP(Schedules[[#This Row],[EE ID]],TeamList[],MATCH(Schedules[[#Headers],[Dept]],TeamList[#Headers],0),0),"_NO MATCH")</f>
        <v>Sup, Customer Service</v>
      </c>
      <c r="W313" s="286" t="s">
        <v>9</v>
      </c>
      <c r="X313" s="4" t="str">
        <f>IFERROR(IF(VLOOKUP(Schedules[[#This Row],[EE ID]],TeamList[],MATCH(Schedules[[#This Row],[DOW]],TeamList[#Headers],0),0)="OFF","OFF","SCH"),"_NO MATCH")</f>
        <v>SCH</v>
      </c>
      <c r="Y313" s="4" t="str">
        <f>IFERROR(IF(Schedules[[#This Row],[Scheduled]]="OFF","",LEFT(VLOOKUP(Schedules[[#This Row],[EE ID]],TeamList[],MATCH(Schedules[[#This Row],[DOW]],TeamList[#Headers],0),0),4)),"_NO MATCH")</f>
        <v>12:0</v>
      </c>
      <c r="Z313" s="4" t="str">
        <f>IFERROR(IF(Schedules[[#This Row],[Scheduled]]="OFF","",RIGHT(VLOOKUP(Schedules[[#This Row],[EE ID]],TeamList[],MATCH(Schedules[[#This Row],[DOW]],TeamList[#Headers],0),0),4)),"_NO MATCH")</f>
        <v>1:00</v>
      </c>
    </row>
    <row r="314" spans="19:26" x14ac:dyDescent="0.25">
      <c r="S314" s="209">
        <v>1516770</v>
      </c>
      <c r="T314" s="209" t="str">
        <f>Schedules[[#This Row],[Employee Name]]&amp;Schedules[[#This Row],[DOW]]</f>
        <v>Donaca, JeffTue</v>
      </c>
      <c r="U314" s="4" t="str">
        <f>IFERROR(VLOOKUP(Schedules[[#This Row],[EE ID]],TeamList[],MATCH(Schedules[[#Headers],[Employee Name]],TeamList[#Headers],0),0),"_NO MATCH")</f>
        <v>Donaca, Jeff</v>
      </c>
      <c r="V314" s="4" t="str">
        <f>IFERROR(VLOOKUP(Schedules[[#This Row],[EE ID]],TeamList[],MATCH(Schedules[[#Headers],[Dept]],TeamList[#Headers],0),0),"_NO MATCH")</f>
        <v>Sup, Customer Service</v>
      </c>
      <c r="W314" s="286" t="s">
        <v>8</v>
      </c>
      <c r="X314" s="4" t="str">
        <f>IFERROR(IF(VLOOKUP(Schedules[[#This Row],[EE ID]],TeamList[],MATCH(Schedules[[#This Row],[DOW]],TeamList[#Headers],0),0)="OFF","OFF","SCH"),"_NO MATCH")</f>
        <v>SCH</v>
      </c>
      <c r="Y314" s="4" t="str">
        <f>IFERROR(IF(Schedules[[#This Row],[Scheduled]]="OFF","",LEFT(VLOOKUP(Schedules[[#This Row],[EE ID]],TeamList[],MATCH(Schedules[[#This Row],[DOW]],TeamList[#Headers],0),0),4)),"_NO MATCH")</f>
        <v>12:0</v>
      </c>
      <c r="Z314" s="4" t="str">
        <f>IFERROR(IF(Schedules[[#This Row],[Scheduled]]="OFF","",RIGHT(VLOOKUP(Schedules[[#This Row],[EE ID]],TeamList[],MATCH(Schedules[[#This Row],[DOW]],TeamList[#Headers],0),0),4)),"_NO MATCH")</f>
        <v>1:00</v>
      </c>
    </row>
    <row r="315" spans="19:26" x14ac:dyDescent="0.25">
      <c r="S315" s="209">
        <v>1516770</v>
      </c>
      <c r="T315" s="209" t="str">
        <f>Schedules[[#This Row],[Employee Name]]&amp;Schedules[[#This Row],[DOW]]</f>
        <v>Donaca, JeffThu</v>
      </c>
      <c r="U315" s="4" t="str">
        <f>IFERROR(VLOOKUP(Schedules[[#This Row],[EE ID]],TeamList[],MATCH(Schedules[[#Headers],[Employee Name]],TeamList[#Headers],0),0),"_NO MATCH")</f>
        <v>Donaca, Jeff</v>
      </c>
      <c r="V315" s="4" t="str">
        <f>IFERROR(VLOOKUP(Schedules[[#This Row],[EE ID]],TeamList[],MATCH(Schedules[[#Headers],[Dept]],TeamList[#Headers],0),0),"_NO MATCH")</f>
        <v>Sup, Customer Service</v>
      </c>
      <c r="W315" s="286" t="s">
        <v>10</v>
      </c>
      <c r="X315" s="4" t="str">
        <f>IFERROR(IF(VLOOKUP(Schedules[[#This Row],[EE ID]],TeamList[],MATCH(Schedules[[#This Row],[DOW]],TeamList[#Headers],0),0)="OFF","OFF","SCH"),"_NO MATCH")</f>
        <v>SCH</v>
      </c>
      <c r="Y315" s="4" t="str">
        <f>IFERROR(IF(Schedules[[#This Row],[Scheduled]]="OFF","",LEFT(VLOOKUP(Schedules[[#This Row],[EE ID]],TeamList[],MATCH(Schedules[[#This Row],[DOW]],TeamList[#Headers],0),0),4)),"_NO MATCH")</f>
        <v>12:0</v>
      </c>
      <c r="Z315" s="4" t="str">
        <f>IFERROR(IF(Schedules[[#This Row],[Scheduled]]="OFF","",RIGHT(VLOOKUP(Schedules[[#This Row],[EE ID]],TeamList[],MATCH(Schedules[[#This Row],[DOW]],TeamList[#Headers],0),0),4)),"_NO MATCH")</f>
        <v>1:00</v>
      </c>
    </row>
    <row r="316" spans="19:26" x14ac:dyDescent="0.25">
      <c r="S316" s="209">
        <v>1516770</v>
      </c>
      <c r="T316" s="209" t="str">
        <f>Schedules[[#This Row],[Employee Name]]&amp;Schedules[[#This Row],[DOW]]</f>
        <v>Donaca, JeffSun</v>
      </c>
      <c r="U316" s="4" t="str">
        <f>IFERROR(VLOOKUP(Schedules[[#This Row],[EE ID]],TeamList[],MATCH(Schedules[[#Headers],[Employee Name]],TeamList[#Headers],0),0),"_NO MATCH")</f>
        <v>Donaca, Jeff</v>
      </c>
      <c r="V316" s="4" t="str">
        <f>IFERROR(VLOOKUP(Schedules[[#This Row],[EE ID]],TeamList[],MATCH(Schedules[[#Headers],[Dept]],TeamList[#Headers],0),0),"_NO MATCH")</f>
        <v>Sup, Customer Service</v>
      </c>
      <c r="W316" s="287" t="s">
        <v>6</v>
      </c>
      <c r="X316" s="219" t="str">
        <f>IFERROR(IF(VLOOKUP(Schedules[[#This Row],[EE ID]],TeamList[],MATCH(Schedules[[#This Row],[DOW]],TeamList[#Headers],0),0)="OFF","OFF","SCH"),"_NO MATCH")</f>
        <v>OFF</v>
      </c>
      <c r="Y316" s="219" t="str">
        <f>IFERROR(IF(Schedules[[#This Row],[Scheduled]]="OFF","",LEFT(VLOOKUP(Schedules[[#This Row],[EE ID]],TeamList[],MATCH(Schedules[[#This Row],[DOW]],TeamList[#Headers],0),0),4)),"_NO MATCH")</f>
        <v/>
      </c>
      <c r="Z316" s="219" t="str">
        <f>IFERROR(IF(Schedules[[#This Row],[Scheduled]]="OFF","",RIGHT(VLOOKUP(Schedules[[#This Row],[EE ID]],TeamList[],MATCH(Schedules[[#This Row],[DOW]],TeamList[#Headers],0),0),4)),"_NO MATCH")</f>
        <v/>
      </c>
    </row>
    <row r="317" spans="19:26" x14ac:dyDescent="0.25">
      <c r="S317" s="209">
        <v>1516770</v>
      </c>
      <c r="T317" s="209" t="str">
        <f>Schedules[[#This Row],[Employee Name]]&amp;Schedules[[#This Row],[DOW]]</f>
        <v>Donaca, JeffSat</v>
      </c>
      <c r="U317" s="4" t="str">
        <f>IFERROR(VLOOKUP(Schedules[[#This Row],[EE ID]],TeamList[],MATCH(Schedules[[#Headers],[Employee Name]],TeamList[#Headers],0),0),"_NO MATCH")</f>
        <v>Donaca, Jeff</v>
      </c>
      <c r="V317" s="4" t="str">
        <f>IFERROR(VLOOKUP(Schedules[[#This Row],[EE ID]],TeamList[],MATCH(Schedules[[#Headers],[Dept]],TeamList[#Headers],0),0),"_NO MATCH")</f>
        <v>Sup, Customer Service</v>
      </c>
      <c r="W317" s="286" t="s">
        <v>12</v>
      </c>
      <c r="X317" s="4" t="str">
        <f>IFERROR(IF(VLOOKUP(Schedules[[#This Row],[EE ID]],TeamList[],MATCH(Schedules[[#This Row],[DOW]],TeamList[#Headers],0),0)="OFF","OFF","SCH"),"_NO MATCH")</f>
        <v>OFF</v>
      </c>
      <c r="Y317" s="4" t="str">
        <f>IFERROR(IF(Schedules[[#This Row],[Scheduled]]="OFF","",LEFT(VLOOKUP(Schedules[[#This Row],[EE ID]],TeamList[],MATCH(Schedules[[#This Row],[DOW]],TeamList[#Headers],0),0),4)),"_NO MATCH")</f>
        <v/>
      </c>
      <c r="Z317" s="4" t="str">
        <f>IFERROR(IF(Schedules[[#This Row],[Scheduled]]="OFF","",RIGHT(VLOOKUP(Schedules[[#This Row],[EE ID]],TeamList[],MATCH(Schedules[[#This Row],[DOW]],TeamList[#Headers],0),0),4)),"_NO MATCH")</f>
        <v/>
      </c>
    </row>
    <row r="318" spans="19:26" x14ac:dyDescent="0.25">
      <c r="S318" s="209">
        <v>1516770</v>
      </c>
      <c r="T318" s="209" t="str">
        <f>Schedules[[#This Row],[Employee Name]]&amp;Schedules[[#This Row],[DOW]]</f>
        <v>Donaca, JeffMon</v>
      </c>
      <c r="U318" s="4" t="str">
        <f>IFERROR(VLOOKUP(Schedules[[#This Row],[EE ID]],TeamList[],MATCH(Schedules[[#Headers],[Employee Name]],TeamList[#Headers],0),0),"_NO MATCH")</f>
        <v>Donaca, Jeff</v>
      </c>
      <c r="V318" s="4" t="str">
        <f>IFERROR(VLOOKUP(Schedules[[#This Row],[EE ID]],TeamList[],MATCH(Schedules[[#Headers],[Dept]],TeamList[#Headers],0),0),"_NO MATCH")</f>
        <v>Sup, Customer Service</v>
      </c>
      <c r="W318" s="286" t="s">
        <v>7</v>
      </c>
      <c r="X318" s="4" t="str">
        <f>IFERROR(IF(VLOOKUP(Schedules[[#This Row],[EE ID]],TeamList[],MATCH(Schedules[[#This Row],[DOW]],TeamList[#Headers],0),0)="OFF","OFF","SCH"),"_NO MATCH")</f>
        <v>SCH</v>
      </c>
      <c r="Y318" s="4" t="str">
        <f>IFERROR(IF(Schedules[[#This Row],[Scheduled]]="OFF","",LEFT(VLOOKUP(Schedules[[#This Row],[EE ID]],TeamList[],MATCH(Schedules[[#This Row],[DOW]],TeamList[#Headers],0),0),4)),"_NO MATCH")</f>
        <v>12:0</v>
      </c>
      <c r="Z318" s="4" t="str">
        <f>IFERROR(IF(Schedules[[#This Row],[Scheduled]]="OFF","",RIGHT(VLOOKUP(Schedules[[#This Row],[EE ID]],TeamList[],MATCH(Schedules[[#This Row],[DOW]],TeamList[#Headers],0),0),4)),"_NO MATCH")</f>
        <v>1:00</v>
      </c>
    </row>
    <row r="319" spans="19:26" x14ac:dyDescent="0.25">
      <c r="S319" s="209">
        <v>1516770</v>
      </c>
      <c r="T319" s="209" t="str">
        <f>Schedules[[#This Row],[Employee Name]]&amp;Schedules[[#This Row],[DOW]]</f>
        <v>Donaca, JeffFri</v>
      </c>
      <c r="U319" s="4" t="str">
        <f>IFERROR(VLOOKUP(Schedules[[#This Row],[EE ID]],TeamList[],MATCH(Schedules[[#Headers],[Employee Name]],TeamList[#Headers],0),0),"_NO MATCH")</f>
        <v>Donaca, Jeff</v>
      </c>
      <c r="V319" s="4" t="str">
        <f>IFERROR(VLOOKUP(Schedules[[#This Row],[EE ID]],TeamList[],MATCH(Schedules[[#Headers],[Dept]],TeamList[#Headers],0),0),"_NO MATCH")</f>
        <v>Sup, Customer Service</v>
      </c>
      <c r="W319" s="286" t="s">
        <v>11</v>
      </c>
      <c r="X319" s="4" t="str">
        <f>IFERROR(IF(VLOOKUP(Schedules[[#This Row],[EE ID]],TeamList[],MATCH(Schedules[[#This Row],[DOW]],TeamList[#Headers],0),0)="OFF","OFF","SCH"),"_NO MATCH")</f>
        <v>SCH</v>
      </c>
      <c r="Y319" s="4" t="str">
        <f>IFERROR(IF(Schedules[[#This Row],[Scheduled]]="OFF","",LEFT(VLOOKUP(Schedules[[#This Row],[EE ID]],TeamList[],MATCH(Schedules[[#This Row],[DOW]],TeamList[#Headers],0),0),4)),"_NO MATCH")</f>
        <v>12:0</v>
      </c>
      <c r="Z319" s="4" t="str">
        <f>IFERROR(IF(Schedules[[#This Row],[Scheduled]]="OFF","",RIGHT(VLOOKUP(Schedules[[#This Row],[EE ID]],TeamList[],MATCH(Schedules[[#This Row],[DOW]],TeamList[#Headers],0),0),4)),"_NO MATCH")</f>
        <v>1:00</v>
      </c>
    </row>
    <row r="320" spans="19:26" x14ac:dyDescent="0.25">
      <c r="S320" s="209">
        <v>1516515</v>
      </c>
      <c r="T320" s="209" t="str">
        <f>Schedules[[#This Row],[Employee Name]]&amp;Schedules[[#This Row],[DOW]]</f>
        <v>_NO MATCHWed</v>
      </c>
      <c r="U320" s="4" t="str">
        <f>IFERROR(VLOOKUP(Schedules[[#This Row],[EE ID]],TeamList[],MATCH(Schedules[[#Headers],[Employee Name]],TeamList[#Headers],0),0),"_NO MATCH")</f>
        <v>_NO MATCH</v>
      </c>
      <c r="V320" s="4" t="str">
        <f>IFERROR(VLOOKUP(Schedules[[#This Row],[EE ID]],TeamList[],MATCH(Schedules[[#Headers],[Dept]],TeamList[#Headers],0),0),"_NO MATCH")</f>
        <v>_NO MATCH</v>
      </c>
      <c r="W320" s="286" t="s">
        <v>9</v>
      </c>
      <c r="X320" s="4" t="str">
        <f>IFERROR(IF(VLOOKUP(Schedules[[#This Row],[EE ID]],TeamList[],MATCH(Schedules[[#This Row],[DOW]],TeamList[#Headers],0),0)="OFF","OFF","SCH"),"_NO MATCH")</f>
        <v>_NO MATCH</v>
      </c>
      <c r="Y320" s="4" t="str">
        <f>IFERROR(IF(Schedules[[#This Row],[Scheduled]]="OFF","",LEFT(VLOOKUP(Schedules[[#This Row],[EE ID]],TeamList[],MATCH(Schedules[[#This Row],[DOW]],TeamList[#Headers],0),0),4)),"_NO MATCH")</f>
        <v>_NO MATCH</v>
      </c>
      <c r="Z320" s="4" t="str">
        <f>IFERROR(IF(Schedules[[#This Row],[Scheduled]]="OFF","",RIGHT(VLOOKUP(Schedules[[#This Row],[EE ID]],TeamList[],MATCH(Schedules[[#This Row],[DOW]],TeamList[#Headers],0),0),4)),"_NO MATCH")</f>
        <v>_NO MATCH</v>
      </c>
    </row>
    <row r="321" spans="19:26" x14ac:dyDescent="0.25">
      <c r="S321" s="209">
        <v>1516515</v>
      </c>
      <c r="T321" s="209" t="str">
        <f>Schedules[[#This Row],[Employee Name]]&amp;Schedules[[#This Row],[DOW]]</f>
        <v>_NO MATCHTue</v>
      </c>
      <c r="U321" s="4" t="str">
        <f>IFERROR(VLOOKUP(Schedules[[#This Row],[EE ID]],TeamList[],MATCH(Schedules[[#Headers],[Employee Name]],TeamList[#Headers],0),0),"_NO MATCH")</f>
        <v>_NO MATCH</v>
      </c>
      <c r="V321" s="4" t="str">
        <f>IFERROR(VLOOKUP(Schedules[[#This Row],[EE ID]],TeamList[],MATCH(Schedules[[#Headers],[Dept]],TeamList[#Headers],0),0),"_NO MATCH")</f>
        <v>_NO MATCH</v>
      </c>
      <c r="W321" s="286" t="s">
        <v>8</v>
      </c>
      <c r="X321" s="4" t="str">
        <f>IFERROR(IF(VLOOKUP(Schedules[[#This Row],[EE ID]],TeamList[],MATCH(Schedules[[#This Row],[DOW]],TeamList[#Headers],0),0)="OFF","OFF","SCH"),"_NO MATCH")</f>
        <v>_NO MATCH</v>
      </c>
      <c r="Y321" s="4" t="str">
        <f>IFERROR(IF(Schedules[[#This Row],[Scheduled]]="OFF","",LEFT(VLOOKUP(Schedules[[#This Row],[EE ID]],TeamList[],MATCH(Schedules[[#This Row],[DOW]],TeamList[#Headers],0),0),4)),"_NO MATCH")</f>
        <v>_NO MATCH</v>
      </c>
      <c r="Z321" s="4" t="str">
        <f>IFERROR(IF(Schedules[[#This Row],[Scheduled]]="OFF","",RIGHT(VLOOKUP(Schedules[[#This Row],[EE ID]],TeamList[],MATCH(Schedules[[#This Row],[DOW]],TeamList[#Headers],0),0),4)),"_NO MATCH")</f>
        <v>_NO MATCH</v>
      </c>
    </row>
    <row r="322" spans="19:26" x14ac:dyDescent="0.25">
      <c r="S322" s="209">
        <v>1516515</v>
      </c>
      <c r="T322" s="209" t="str">
        <f>Schedules[[#This Row],[Employee Name]]&amp;Schedules[[#This Row],[DOW]]</f>
        <v>_NO MATCHThu</v>
      </c>
      <c r="U322" s="4" t="str">
        <f>IFERROR(VLOOKUP(Schedules[[#This Row],[EE ID]],TeamList[],MATCH(Schedules[[#Headers],[Employee Name]],TeamList[#Headers],0),0),"_NO MATCH")</f>
        <v>_NO MATCH</v>
      </c>
      <c r="V322" s="4" t="str">
        <f>IFERROR(VLOOKUP(Schedules[[#This Row],[EE ID]],TeamList[],MATCH(Schedules[[#Headers],[Dept]],TeamList[#Headers],0),0),"_NO MATCH")</f>
        <v>_NO MATCH</v>
      </c>
      <c r="W322" s="286" t="s">
        <v>10</v>
      </c>
      <c r="X322" s="4" t="str">
        <f>IFERROR(IF(VLOOKUP(Schedules[[#This Row],[EE ID]],TeamList[],MATCH(Schedules[[#This Row],[DOW]],TeamList[#Headers],0),0)="OFF","OFF","SCH"),"_NO MATCH")</f>
        <v>_NO MATCH</v>
      </c>
      <c r="Y322" s="4" t="str">
        <f>IFERROR(IF(Schedules[[#This Row],[Scheduled]]="OFF","",LEFT(VLOOKUP(Schedules[[#This Row],[EE ID]],TeamList[],MATCH(Schedules[[#This Row],[DOW]],TeamList[#Headers],0),0),4)),"_NO MATCH")</f>
        <v>_NO MATCH</v>
      </c>
      <c r="Z322" s="4" t="str">
        <f>IFERROR(IF(Schedules[[#This Row],[Scheduled]]="OFF","",RIGHT(VLOOKUP(Schedules[[#This Row],[EE ID]],TeamList[],MATCH(Schedules[[#This Row],[DOW]],TeamList[#Headers],0),0),4)),"_NO MATCH")</f>
        <v>_NO MATCH</v>
      </c>
    </row>
    <row r="323" spans="19:26" x14ac:dyDescent="0.25">
      <c r="S323" s="209">
        <v>1516515</v>
      </c>
      <c r="T323" s="209" t="str">
        <f>Schedules[[#This Row],[Employee Name]]&amp;Schedules[[#This Row],[DOW]]</f>
        <v>_NO MATCHSun</v>
      </c>
      <c r="U323" s="4" t="str">
        <f>IFERROR(VLOOKUP(Schedules[[#This Row],[EE ID]],TeamList[],MATCH(Schedules[[#Headers],[Employee Name]],TeamList[#Headers],0),0),"_NO MATCH")</f>
        <v>_NO MATCH</v>
      </c>
      <c r="V323" s="4" t="str">
        <f>IFERROR(VLOOKUP(Schedules[[#This Row],[EE ID]],TeamList[],MATCH(Schedules[[#Headers],[Dept]],TeamList[#Headers],0),0),"_NO MATCH")</f>
        <v>_NO MATCH</v>
      </c>
      <c r="W323" s="287" t="s">
        <v>6</v>
      </c>
      <c r="X323" s="219" t="str">
        <f>IFERROR(IF(VLOOKUP(Schedules[[#This Row],[EE ID]],TeamList[],MATCH(Schedules[[#This Row],[DOW]],TeamList[#Headers],0),0)="OFF","OFF","SCH"),"_NO MATCH")</f>
        <v>_NO MATCH</v>
      </c>
      <c r="Y323" s="219" t="str">
        <f>IFERROR(IF(Schedules[[#This Row],[Scheduled]]="OFF","",LEFT(VLOOKUP(Schedules[[#This Row],[EE ID]],TeamList[],MATCH(Schedules[[#This Row],[DOW]],TeamList[#Headers],0),0),4)),"_NO MATCH")</f>
        <v>_NO MATCH</v>
      </c>
      <c r="Z323" s="219" t="str">
        <f>IFERROR(IF(Schedules[[#This Row],[Scheduled]]="OFF","",RIGHT(VLOOKUP(Schedules[[#This Row],[EE ID]],TeamList[],MATCH(Schedules[[#This Row],[DOW]],TeamList[#Headers],0),0),4)),"_NO MATCH")</f>
        <v>_NO MATCH</v>
      </c>
    </row>
    <row r="324" spans="19:26" x14ac:dyDescent="0.25">
      <c r="S324" s="209">
        <v>1516515</v>
      </c>
      <c r="T324" s="209" t="str">
        <f>Schedules[[#This Row],[Employee Name]]&amp;Schedules[[#This Row],[DOW]]</f>
        <v>_NO MATCHSat</v>
      </c>
      <c r="U324" s="4" t="str">
        <f>IFERROR(VLOOKUP(Schedules[[#This Row],[EE ID]],TeamList[],MATCH(Schedules[[#Headers],[Employee Name]],TeamList[#Headers],0),0),"_NO MATCH")</f>
        <v>_NO MATCH</v>
      </c>
      <c r="V324" s="4" t="str">
        <f>IFERROR(VLOOKUP(Schedules[[#This Row],[EE ID]],TeamList[],MATCH(Schedules[[#Headers],[Dept]],TeamList[#Headers],0),0),"_NO MATCH")</f>
        <v>_NO MATCH</v>
      </c>
      <c r="W324" s="286" t="s">
        <v>12</v>
      </c>
      <c r="X324" s="4" t="str">
        <f>IFERROR(IF(VLOOKUP(Schedules[[#This Row],[EE ID]],TeamList[],MATCH(Schedules[[#This Row],[DOW]],TeamList[#Headers],0),0)="OFF","OFF","SCH"),"_NO MATCH")</f>
        <v>_NO MATCH</v>
      </c>
      <c r="Y324" s="4" t="str">
        <f>IFERROR(IF(Schedules[[#This Row],[Scheduled]]="OFF","",LEFT(VLOOKUP(Schedules[[#This Row],[EE ID]],TeamList[],MATCH(Schedules[[#This Row],[DOW]],TeamList[#Headers],0),0),4)),"_NO MATCH")</f>
        <v>_NO MATCH</v>
      </c>
      <c r="Z324" s="4" t="str">
        <f>IFERROR(IF(Schedules[[#This Row],[Scheduled]]="OFF","",RIGHT(VLOOKUP(Schedules[[#This Row],[EE ID]],TeamList[],MATCH(Schedules[[#This Row],[DOW]],TeamList[#Headers],0),0),4)),"_NO MATCH")</f>
        <v>_NO MATCH</v>
      </c>
    </row>
    <row r="325" spans="19:26" x14ac:dyDescent="0.25">
      <c r="S325" s="209">
        <v>1516515</v>
      </c>
      <c r="T325" s="209" t="str">
        <f>Schedules[[#This Row],[Employee Name]]&amp;Schedules[[#This Row],[DOW]]</f>
        <v>_NO MATCHMon</v>
      </c>
      <c r="U325" s="4" t="str">
        <f>IFERROR(VLOOKUP(Schedules[[#This Row],[EE ID]],TeamList[],MATCH(Schedules[[#Headers],[Employee Name]],TeamList[#Headers],0),0),"_NO MATCH")</f>
        <v>_NO MATCH</v>
      </c>
      <c r="V325" s="4" t="str">
        <f>IFERROR(VLOOKUP(Schedules[[#This Row],[EE ID]],TeamList[],MATCH(Schedules[[#Headers],[Dept]],TeamList[#Headers],0),0),"_NO MATCH")</f>
        <v>_NO MATCH</v>
      </c>
      <c r="W325" s="286" t="s">
        <v>7</v>
      </c>
      <c r="X325" s="4" t="str">
        <f>IFERROR(IF(VLOOKUP(Schedules[[#This Row],[EE ID]],TeamList[],MATCH(Schedules[[#This Row],[DOW]],TeamList[#Headers],0),0)="OFF","OFF","SCH"),"_NO MATCH")</f>
        <v>_NO MATCH</v>
      </c>
      <c r="Y325" s="4" t="str">
        <f>IFERROR(IF(Schedules[[#This Row],[Scheduled]]="OFF","",LEFT(VLOOKUP(Schedules[[#This Row],[EE ID]],TeamList[],MATCH(Schedules[[#This Row],[DOW]],TeamList[#Headers],0),0),4)),"_NO MATCH")</f>
        <v>_NO MATCH</v>
      </c>
      <c r="Z325" s="4" t="str">
        <f>IFERROR(IF(Schedules[[#This Row],[Scheduled]]="OFF","",RIGHT(VLOOKUP(Schedules[[#This Row],[EE ID]],TeamList[],MATCH(Schedules[[#This Row],[DOW]],TeamList[#Headers],0),0),4)),"_NO MATCH")</f>
        <v>_NO MATCH</v>
      </c>
    </row>
    <row r="326" spans="19:26" x14ac:dyDescent="0.25">
      <c r="S326" s="209">
        <v>1516515</v>
      </c>
      <c r="T326" s="209" t="str">
        <f>Schedules[[#This Row],[Employee Name]]&amp;Schedules[[#This Row],[DOW]]</f>
        <v>_NO MATCHFri</v>
      </c>
      <c r="U326" s="4" t="str">
        <f>IFERROR(VLOOKUP(Schedules[[#This Row],[EE ID]],TeamList[],MATCH(Schedules[[#Headers],[Employee Name]],TeamList[#Headers],0),0),"_NO MATCH")</f>
        <v>_NO MATCH</v>
      </c>
      <c r="V326" s="4" t="str">
        <f>IFERROR(VLOOKUP(Schedules[[#This Row],[EE ID]],TeamList[],MATCH(Schedules[[#Headers],[Dept]],TeamList[#Headers],0),0),"_NO MATCH")</f>
        <v>_NO MATCH</v>
      </c>
      <c r="W326" s="286" t="s">
        <v>11</v>
      </c>
      <c r="X326" s="4" t="str">
        <f>IFERROR(IF(VLOOKUP(Schedules[[#This Row],[EE ID]],TeamList[],MATCH(Schedules[[#This Row],[DOW]],TeamList[#Headers],0),0)="OFF","OFF","SCH"),"_NO MATCH")</f>
        <v>_NO MATCH</v>
      </c>
      <c r="Y326" s="4" t="str">
        <f>IFERROR(IF(Schedules[[#This Row],[Scheduled]]="OFF","",LEFT(VLOOKUP(Schedules[[#This Row],[EE ID]],TeamList[],MATCH(Schedules[[#This Row],[DOW]],TeamList[#Headers],0),0),4)),"_NO MATCH")</f>
        <v>_NO MATCH</v>
      </c>
      <c r="Z326" s="4" t="str">
        <f>IFERROR(IF(Schedules[[#This Row],[Scheduled]]="OFF","",RIGHT(VLOOKUP(Schedules[[#This Row],[EE ID]],TeamList[],MATCH(Schedules[[#This Row],[DOW]],TeamList[#Headers],0),0),4)),"_NO MATCH")</f>
        <v>_NO MATCH</v>
      </c>
    </row>
    <row r="327" spans="19:26" x14ac:dyDescent="0.25">
      <c r="S327" s="209">
        <v>1531212</v>
      </c>
      <c r="T327" s="209" t="str">
        <f>Schedules[[#This Row],[Employee Name]]&amp;Schedules[[#This Row],[DOW]]</f>
        <v>_NO MATCHWed</v>
      </c>
      <c r="U327" s="4" t="str">
        <f>IFERROR(VLOOKUP(Schedules[[#This Row],[EE ID]],TeamList[],MATCH(Schedules[[#Headers],[Employee Name]],TeamList[#Headers],0),0),"_NO MATCH")</f>
        <v>_NO MATCH</v>
      </c>
      <c r="V327" s="4" t="str">
        <f>IFERROR(VLOOKUP(Schedules[[#This Row],[EE ID]],TeamList[],MATCH(Schedules[[#Headers],[Dept]],TeamList[#Headers],0),0),"_NO MATCH")</f>
        <v>_NO MATCH</v>
      </c>
      <c r="W327" s="286" t="s">
        <v>9</v>
      </c>
      <c r="X327" s="4" t="str">
        <f>IFERROR(IF(VLOOKUP(Schedules[[#This Row],[EE ID]],TeamList[],MATCH(Schedules[[#This Row],[DOW]],TeamList[#Headers],0),0)="OFF","OFF","SCH"),"_NO MATCH")</f>
        <v>_NO MATCH</v>
      </c>
      <c r="Y327" s="4" t="str">
        <f>IFERROR(IF(Schedules[[#This Row],[Scheduled]]="OFF","",LEFT(VLOOKUP(Schedules[[#This Row],[EE ID]],TeamList[],MATCH(Schedules[[#This Row],[DOW]],TeamList[#Headers],0),0),4)),"_NO MATCH")</f>
        <v>_NO MATCH</v>
      </c>
      <c r="Z327" s="4" t="str">
        <f>IFERROR(IF(Schedules[[#This Row],[Scheduled]]="OFF","",RIGHT(VLOOKUP(Schedules[[#This Row],[EE ID]],TeamList[],MATCH(Schedules[[#This Row],[DOW]],TeamList[#Headers],0),0),4)),"_NO MATCH")</f>
        <v>_NO MATCH</v>
      </c>
    </row>
    <row r="328" spans="19:26" x14ac:dyDescent="0.25">
      <c r="S328" s="209">
        <v>1531212</v>
      </c>
      <c r="T328" s="209" t="str">
        <f>Schedules[[#This Row],[Employee Name]]&amp;Schedules[[#This Row],[DOW]]</f>
        <v>_NO MATCHTue</v>
      </c>
      <c r="U328" s="4" t="str">
        <f>IFERROR(VLOOKUP(Schedules[[#This Row],[EE ID]],TeamList[],MATCH(Schedules[[#Headers],[Employee Name]],TeamList[#Headers],0),0),"_NO MATCH")</f>
        <v>_NO MATCH</v>
      </c>
      <c r="V328" s="4" t="str">
        <f>IFERROR(VLOOKUP(Schedules[[#This Row],[EE ID]],TeamList[],MATCH(Schedules[[#Headers],[Dept]],TeamList[#Headers],0),0),"_NO MATCH")</f>
        <v>_NO MATCH</v>
      </c>
      <c r="W328" s="286" t="s">
        <v>8</v>
      </c>
      <c r="X328" s="4" t="str">
        <f>IFERROR(IF(VLOOKUP(Schedules[[#This Row],[EE ID]],TeamList[],MATCH(Schedules[[#This Row],[DOW]],TeamList[#Headers],0),0)="OFF","OFF","SCH"),"_NO MATCH")</f>
        <v>_NO MATCH</v>
      </c>
      <c r="Y328" s="4" t="str">
        <f>IFERROR(IF(Schedules[[#This Row],[Scheduled]]="OFF","",LEFT(VLOOKUP(Schedules[[#This Row],[EE ID]],TeamList[],MATCH(Schedules[[#This Row],[DOW]],TeamList[#Headers],0),0),4)),"_NO MATCH")</f>
        <v>_NO MATCH</v>
      </c>
      <c r="Z328" s="4" t="str">
        <f>IFERROR(IF(Schedules[[#This Row],[Scheduled]]="OFF","",RIGHT(VLOOKUP(Schedules[[#This Row],[EE ID]],TeamList[],MATCH(Schedules[[#This Row],[DOW]],TeamList[#Headers],0),0),4)),"_NO MATCH")</f>
        <v>_NO MATCH</v>
      </c>
    </row>
    <row r="329" spans="19:26" x14ac:dyDescent="0.25">
      <c r="S329" s="209">
        <v>1531212</v>
      </c>
      <c r="T329" s="209" t="str">
        <f>Schedules[[#This Row],[Employee Name]]&amp;Schedules[[#This Row],[DOW]]</f>
        <v>_NO MATCHThu</v>
      </c>
      <c r="U329" s="4" t="str">
        <f>IFERROR(VLOOKUP(Schedules[[#This Row],[EE ID]],TeamList[],MATCH(Schedules[[#Headers],[Employee Name]],TeamList[#Headers],0),0),"_NO MATCH")</f>
        <v>_NO MATCH</v>
      </c>
      <c r="V329" s="4" t="str">
        <f>IFERROR(VLOOKUP(Schedules[[#This Row],[EE ID]],TeamList[],MATCH(Schedules[[#Headers],[Dept]],TeamList[#Headers],0),0),"_NO MATCH")</f>
        <v>_NO MATCH</v>
      </c>
      <c r="W329" s="286" t="s">
        <v>10</v>
      </c>
      <c r="X329" s="4" t="str">
        <f>IFERROR(IF(VLOOKUP(Schedules[[#This Row],[EE ID]],TeamList[],MATCH(Schedules[[#This Row],[DOW]],TeamList[#Headers],0),0)="OFF","OFF","SCH"),"_NO MATCH")</f>
        <v>_NO MATCH</v>
      </c>
      <c r="Y329" s="4" t="str">
        <f>IFERROR(IF(Schedules[[#This Row],[Scheduled]]="OFF","",LEFT(VLOOKUP(Schedules[[#This Row],[EE ID]],TeamList[],MATCH(Schedules[[#This Row],[DOW]],TeamList[#Headers],0),0),4)),"_NO MATCH")</f>
        <v>_NO MATCH</v>
      </c>
      <c r="Z329" s="4" t="str">
        <f>IFERROR(IF(Schedules[[#This Row],[Scheduled]]="OFF","",RIGHT(VLOOKUP(Schedules[[#This Row],[EE ID]],TeamList[],MATCH(Schedules[[#This Row],[DOW]],TeamList[#Headers],0),0),4)),"_NO MATCH")</f>
        <v>_NO MATCH</v>
      </c>
    </row>
    <row r="330" spans="19:26" x14ac:dyDescent="0.25">
      <c r="S330" s="209">
        <v>1531212</v>
      </c>
      <c r="T330" s="209" t="str">
        <f>Schedules[[#This Row],[Employee Name]]&amp;Schedules[[#This Row],[DOW]]</f>
        <v>_NO MATCHSun</v>
      </c>
      <c r="U330" s="4" t="str">
        <f>IFERROR(VLOOKUP(Schedules[[#This Row],[EE ID]],TeamList[],MATCH(Schedules[[#Headers],[Employee Name]],TeamList[#Headers],0),0),"_NO MATCH")</f>
        <v>_NO MATCH</v>
      </c>
      <c r="V330" s="4" t="str">
        <f>IFERROR(VLOOKUP(Schedules[[#This Row],[EE ID]],TeamList[],MATCH(Schedules[[#Headers],[Dept]],TeamList[#Headers],0),0),"_NO MATCH")</f>
        <v>_NO MATCH</v>
      </c>
      <c r="W330" s="287" t="s">
        <v>6</v>
      </c>
      <c r="X330" s="219" t="str">
        <f>IFERROR(IF(VLOOKUP(Schedules[[#This Row],[EE ID]],TeamList[],MATCH(Schedules[[#This Row],[DOW]],TeamList[#Headers],0),0)="OFF","OFF","SCH"),"_NO MATCH")</f>
        <v>_NO MATCH</v>
      </c>
      <c r="Y330" s="219" t="str">
        <f>IFERROR(IF(Schedules[[#This Row],[Scheduled]]="OFF","",LEFT(VLOOKUP(Schedules[[#This Row],[EE ID]],TeamList[],MATCH(Schedules[[#This Row],[DOW]],TeamList[#Headers],0),0),4)),"_NO MATCH")</f>
        <v>_NO MATCH</v>
      </c>
      <c r="Z330" s="219" t="str">
        <f>IFERROR(IF(Schedules[[#This Row],[Scheduled]]="OFF","",RIGHT(VLOOKUP(Schedules[[#This Row],[EE ID]],TeamList[],MATCH(Schedules[[#This Row],[DOW]],TeamList[#Headers],0),0),4)),"_NO MATCH")</f>
        <v>_NO MATCH</v>
      </c>
    </row>
    <row r="331" spans="19:26" x14ac:dyDescent="0.25">
      <c r="S331" s="209">
        <v>1531212</v>
      </c>
      <c r="T331" s="209" t="str">
        <f>Schedules[[#This Row],[Employee Name]]&amp;Schedules[[#This Row],[DOW]]</f>
        <v>_NO MATCHSat</v>
      </c>
      <c r="U331" s="4" t="str">
        <f>IFERROR(VLOOKUP(Schedules[[#This Row],[EE ID]],TeamList[],MATCH(Schedules[[#Headers],[Employee Name]],TeamList[#Headers],0),0),"_NO MATCH")</f>
        <v>_NO MATCH</v>
      </c>
      <c r="V331" s="4" t="str">
        <f>IFERROR(VLOOKUP(Schedules[[#This Row],[EE ID]],TeamList[],MATCH(Schedules[[#Headers],[Dept]],TeamList[#Headers],0),0),"_NO MATCH")</f>
        <v>_NO MATCH</v>
      </c>
      <c r="W331" s="286" t="s">
        <v>12</v>
      </c>
      <c r="X331" s="4" t="str">
        <f>IFERROR(IF(VLOOKUP(Schedules[[#This Row],[EE ID]],TeamList[],MATCH(Schedules[[#This Row],[DOW]],TeamList[#Headers],0),0)="OFF","OFF","SCH"),"_NO MATCH")</f>
        <v>_NO MATCH</v>
      </c>
      <c r="Y331" s="4" t="str">
        <f>IFERROR(IF(Schedules[[#This Row],[Scheduled]]="OFF","",LEFT(VLOOKUP(Schedules[[#This Row],[EE ID]],TeamList[],MATCH(Schedules[[#This Row],[DOW]],TeamList[#Headers],0),0),4)),"_NO MATCH")</f>
        <v>_NO MATCH</v>
      </c>
      <c r="Z331" s="4" t="str">
        <f>IFERROR(IF(Schedules[[#This Row],[Scheduled]]="OFF","",RIGHT(VLOOKUP(Schedules[[#This Row],[EE ID]],TeamList[],MATCH(Schedules[[#This Row],[DOW]],TeamList[#Headers],0),0),4)),"_NO MATCH")</f>
        <v>_NO MATCH</v>
      </c>
    </row>
    <row r="332" spans="19:26" x14ac:dyDescent="0.25">
      <c r="S332" s="209">
        <v>1531212</v>
      </c>
      <c r="T332" s="209" t="str">
        <f>Schedules[[#This Row],[Employee Name]]&amp;Schedules[[#This Row],[DOW]]</f>
        <v>_NO MATCHMon</v>
      </c>
      <c r="U332" s="4" t="str">
        <f>IFERROR(VLOOKUP(Schedules[[#This Row],[EE ID]],TeamList[],MATCH(Schedules[[#Headers],[Employee Name]],TeamList[#Headers],0),0),"_NO MATCH")</f>
        <v>_NO MATCH</v>
      </c>
      <c r="V332" s="4" t="str">
        <f>IFERROR(VLOOKUP(Schedules[[#This Row],[EE ID]],TeamList[],MATCH(Schedules[[#Headers],[Dept]],TeamList[#Headers],0),0),"_NO MATCH")</f>
        <v>_NO MATCH</v>
      </c>
      <c r="W332" s="286" t="s">
        <v>7</v>
      </c>
      <c r="X332" s="4" t="str">
        <f>IFERROR(IF(VLOOKUP(Schedules[[#This Row],[EE ID]],TeamList[],MATCH(Schedules[[#This Row],[DOW]],TeamList[#Headers],0),0)="OFF","OFF","SCH"),"_NO MATCH")</f>
        <v>_NO MATCH</v>
      </c>
      <c r="Y332" s="4" t="str">
        <f>IFERROR(IF(Schedules[[#This Row],[Scheduled]]="OFF","",LEFT(VLOOKUP(Schedules[[#This Row],[EE ID]],TeamList[],MATCH(Schedules[[#This Row],[DOW]],TeamList[#Headers],0),0),4)),"_NO MATCH")</f>
        <v>_NO MATCH</v>
      </c>
      <c r="Z332" s="4" t="str">
        <f>IFERROR(IF(Schedules[[#This Row],[Scheduled]]="OFF","",RIGHT(VLOOKUP(Schedules[[#This Row],[EE ID]],TeamList[],MATCH(Schedules[[#This Row],[DOW]],TeamList[#Headers],0),0),4)),"_NO MATCH")</f>
        <v>_NO MATCH</v>
      </c>
    </row>
    <row r="333" spans="19:26" x14ac:dyDescent="0.25">
      <c r="S333" s="209">
        <v>1531212</v>
      </c>
      <c r="T333" s="209" t="str">
        <f>Schedules[[#This Row],[Employee Name]]&amp;Schedules[[#This Row],[DOW]]</f>
        <v>_NO MATCHFri</v>
      </c>
      <c r="U333" s="4" t="str">
        <f>IFERROR(VLOOKUP(Schedules[[#This Row],[EE ID]],TeamList[],MATCH(Schedules[[#Headers],[Employee Name]],TeamList[#Headers],0),0),"_NO MATCH")</f>
        <v>_NO MATCH</v>
      </c>
      <c r="V333" s="4" t="str">
        <f>IFERROR(VLOOKUP(Schedules[[#This Row],[EE ID]],TeamList[],MATCH(Schedules[[#Headers],[Dept]],TeamList[#Headers],0),0),"_NO MATCH")</f>
        <v>_NO MATCH</v>
      </c>
      <c r="W333" s="286" t="s">
        <v>11</v>
      </c>
      <c r="X333" s="4" t="str">
        <f>IFERROR(IF(VLOOKUP(Schedules[[#This Row],[EE ID]],TeamList[],MATCH(Schedules[[#This Row],[DOW]],TeamList[#Headers],0),0)="OFF","OFF","SCH"),"_NO MATCH")</f>
        <v>_NO MATCH</v>
      </c>
      <c r="Y333" s="4" t="str">
        <f>IFERROR(IF(Schedules[[#This Row],[Scheduled]]="OFF","",LEFT(VLOOKUP(Schedules[[#This Row],[EE ID]],TeamList[],MATCH(Schedules[[#This Row],[DOW]],TeamList[#Headers],0),0),4)),"_NO MATCH")</f>
        <v>_NO MATCH</v>
      </c>
      <c r="Z333" s="4" t="str">
        <f>IFERROR(IF(Schedules[[#This Row],[Scheduled]]="OFF","",RIGHT(VLOOKUP(Schedules[[#This Row],[EE ID]],TeamList[],MATCH(Schedules[[#This Row],[DOW]],TeamList[#Headers],0),0),4)),"_NO MATCH")</f>
        <v>_NO MATCH</v>
      </c>
    </row>
    <row r="334" spans="19:26" x14ac:dyDescent="0.25">
      <c r="S334" s="209">
        <v>1510778</v>
      </c>
      <c r="T334" s="209" t="str">
        <f>Schedules[[#This Row],[Employee Name]]&amp;Schedules[[#This Row],[DOW]]</f>
        <v>Cultice, DianaWed</v>
      </c>
      <c r="U334" s="4" t="str">
        <f>IFERROR(VLOOKUP(Schedules[[#This Row],[EE ID]],TeamList[],MATCH(Schedules[[#Headers],[Employee Name]],TeamList[#Headers],0),0),"_NO MATCH")</f>
        <v>Cultice, Diana</v>
      </c>
      <c r="V334" s="4" t="str">
        <f>IFERROR(VLOOKUP(Schedules[[#This Row],[EE ID]],TeamList[],MATCH(Schedules[[#Headers],[Dept]],TeamList[#Headers],0),0),"_NO MATCH")</f>
        <v>Sup, Customer Service</v>
      </c>
      <c r="W334" s="286" t="s">
        <v>9</v>
      </c>
      <c r="X334" s="4" t="str">
        <f>IFERROR(IF(VLOOKUP(Schedules[[#This Row],[EE ID]],TeamList[],MATCH(Schedules[[#This Row],[DOW]],TeamList[#Headers],0),0)="OFF","OFF","SCH"),"_NO MATCH")</f>
        <v>OFF</v>
      </c>
      <c r="Y334" s="4" t="str">
        <f>IFERROR(IF(Schedules[[#This Row],[Scheduled]]="OFF","",LEFT(VLOOKUP(Schedules[[#This Row],[EE ID]],TeamList[],MATCH(Schedules[[#This Row],[DOW]],TeamList[#Headers],0),0),4)),"_NO MATCH")</f>
        <v/>
      </c>
      <c r="Z334" s="4" t="str">
        <f>IFERROR(IF(Schedules[[#This Row],[Scheduled]]="OFF","",RIGHT(VLOOKUP(Schedules[[#This Row],[EE ID]],TeamList[],MATCH(Schedules[[#This Row],[DOW]],TeamList[#Headers],0),0),4)),"_NO MATCH")</f>
        <v/>
      </c>
    </row>
    <row r="335" spans="19:26" x14ac:dyDescent="0.25">
      <c r="S335" s="209">
        <v>1510778</v>
      </c>
      <c r="T335" s="209" t="str">
        <f>Schedules[[#This Row],[Employee Name]]&amp;Schedules[[#This Row],[DOW]]</f>
        <v>Cultice, DianaTue</v>
      </c>
      <c r="U335" s="4" t="str">
        <f>IFERROR(VLOOKUP(Schedules[[#This Row],[EE ID]],TeamList[],MATCH(Schedules[[#Headers],[Employee Name]],TeamList[#Headers],0),0),"_NO MATCH")</f>
        <v>Cultice, Diana</v>
      </c>
      <c r="V335" s="4" t="str">
        <f>IFERROR(VLOOKUP(Schedules[[#This Row],[EE ID]],TeamList[],MATCH(Schedules[[#Headers],[Dept]],TeamList[#Headers],0),0),"_NO MATCH")</f>
        <v>Sup, Customer Service</v>
      </c>
      <c r="W335" s="286" t="s">
        <v>8</v>
      </c>
      <c r="X335" s="4" t="str">
        <f>IFERROR(IF(VLOOKUP(Schedules[[#This Row],[EE ID]],TeamList[],MATCH(Schedules[[#This Row],[DOW]],TeamList[#Headers],0),0)="OFF","OFF","SCH"),"_NO MATCH")</f>
        <v>SCH</v>
      </c>
      <c r="Y335" s="4" t="str">
        <f>IFERROR(IF(Schedules[[#This Row],[Scheduled]]="OFF","",LEFT(VLOOKUP(Schedules[[#This Row],[EE ID]],TeamList[],MATCH(Schedules[[#This Row],[DOW]],TeamList[#Headers],0),0),4)),"_NO MATCH")</f>
        <v>15:0</v>
      </c>
      <c r="Z335" s="4" t="str">
        <f>IFERROR(IF(Schedules[[#This Row],[Scheduled]]="OFF","",RIGHT(VLOOKUP(Schedules[[#This Row],[EE ID]],TeamList[],MATCH(Schedules[[#This Row],[DOW]],TeamList[#Headers],0),0),4)),"_NO MATCH")</f>
        <v>0:00</v>
      </c>
    </row>
    <row r="336" spans="19:26" x14ac:dyDescent="0.25">
      <c r="S336" s="209">
        <v>1510778</v>
      </c>
      <c r="T336" s="209" t="str">
        <f>Schedules[[#This Row],[Employee Name]]&amp;Schedules[[#This Row],[DOW]]</f>
        <v>Cultice, DianaThu</v>
      </c>
      <c r="U336" s="4" t="str">
        <f>IFERROR(VLOOKUP(Schedules[[#This Row],[EE ID]],TeamList[],MATCH(Schedules[[#Headers],[Employee Name]],TeamList[#Headers],0),0),"_NO MATCH")</f>
        <v>Cultice, Diana</v>
      </c>
      <c r="V336" s="4" t="str">
        <f>IFERROR(VLOOKUP(Schedules[[#This Row],[EE ID]],TeamList[],MATCH(Schedules[[#Headers],[Dept]],TeamList[#Headers],0),0),"_NO MATCH")</f>
        <v>Sup, Customer Service</v>
      </c>
      <c r="W336" s="286" t="s">
        <v>10</v>
      </c>
      <c r="X336" s="4" t="str">
        <f>IFERROR(IF(VLOOKUP(Schedules[[#This Row],[EE ID]],TeamList[],MATCH(Schedules[[#This Row],[DOW]],TeamList[#Headers],0),0)="OFF","OFF","SCH"),"_NO MATCH")</f>
        <v>OFF</v>
      </c>
      <c r="Y336" s="4" t="str">
        <f>IFERROR(IF(Schedules[[#This Row],[Scheduled]]="OFF","",LEFT(VLOOKUP(Schedules[[#This Row],[EE ID]],TeamList[],MATCH(Schedules[[#This Row],[DOW]],TeamList[#Headers],0),0),4)),"_NO MATCH")</f>
        <v/>
      </c>
      <c r="Z336" s="4" t="str">
        <f>IFERROR(IF(Schedules[[#This Row],[Scheduled]]="OFF","",RIGHT(VLOOKUP(Schedules[[#This Row],[EE ID]],TeamList[],MATCH(Schedules[[#This Row],[DOW]],TeamList[#Headers],0),0),4)),"_NO MATCH")</f>
        <v/>
      </c>
    </row>
    <row r="337" spans="19:26" x14ac:dyDescent="0.25">
      <c r="S337" s="149">
        <v>1510778</v>
      </c>
      <c r="T337" s="209" t="str">
        <f>Schedules[[#This Row],[Employee Name]]&amp;Schedules[[#This Row],[DOW]]</f>
        <v>Cultice, DianaSun</v>
      </c>
      <c r="U337" s="4" t="str">
        <f>IFERROR(VLOOKUP(Schedules[[#This Row],[EE ID]],TeamList[],MATCH(Schedules[[#Headers],[Employee Name]],TeamList[#Headers],0),0),"_NO MATCH")</f>
        <v>Cultice, Diana</v>
      </c>
      <c r="V337" s="4" t="str">
        <f>IFERROR(VLOOKUP(Schedules[[#This Row],[EE ID]],TeamList[],MATCH(Schedules[[#Headers],[Dept]],TeamList[#Headers],0),0),"_NO MATCH")</f>
        <v>Sup, Customer Service</v>
      </c>
      <c r="W337" s="287" t="s">
        <v>6</v>
      </c>
      <c r="X337" s="219" t="str">
        <f>IFERROR(IF(VLOOKUP(Schedules[[#This Row],[EE ID]],TeamList[],MATCH(Schedules[[#This Row],[DOW]],TeamList[#Headers],0),0)="OFF","OFF","SCH"),"_NO MATCH")</f>
        <v>SCH</v>
      </c>
      <c r="Y337" s="219" t="str">
        <f>IFERROR(IF(Schedules[[#This Row],[Scheduled]]="OFF","",LEFT(VLOOKUP(Schedules[[#This Row],[EE ID]],TeamList[],MATCH(Schedules[[#This Row],[DOW]],TeamList[#Headers],0),0),4)),"_NO MATCH")</f>
        <v>15:0</v>
      </c>
      <c r="Z337" s="219" t="str">
        <f>IFERROR(IF(Schedules[[#This Row],[Scheduled]]="OFF","",RIGHT(VLOOKUP(Schedules[[#This Row],[EE ID]],TeamList[],MATCH(Schedules[[#This Row],[DOW]],TeamList[#Headers],0),0),4)),"_NO MATCH")</f>
        <v>0:00</v>
      </c>
    </row>
    <row r="338" spans="19:26" x14ac:dyDescent="0.25">
      <c r="S338" s="209">
        <v>1510778</v>
      </c>
      <c r="T338" s="209" t="str">
        <f>Schedules[[#This Row],[Employee Name]]&amp;Schedules[[#This Row],[DOW]]</f>
        <v>Cultice, DianaSat</v>
      </c>
      <c r="U338" s="4" t="str">
        <f>IFERROR(VLOOKUP(Schedules[[#This Row],[EE ID]],TeamList[],MATCH(Schedules[[#Headers],[Employee Name]],TeamList[#Headers],0),0),"_NO MATCH")</f>
        <v>Cultice, Diana</v>
      </c>
      <c r="V338" s="4" t="str">
        <f>IFERROR(VLOOKUP(Schedules[[#This Row],[EE ID]],TeamList[],MATCH(Schedules[[#Headers],[Dept]],TeamList[#Headers],0),0),"_NO MATCH")</f>
        <v>Sup, Customer Service</v>
      </c>
      <c r="W338" s="286" t="s">
        <v>12</v>
      </c>
      <c r="X338" s="4" t="str">
        <f>IFERROR(IF(VLOOKUP(Schedules[[#This Row],[EE ID]],TeamList[],MATCH(Schedules[[#This Row],[DOW]],TeamList[#Headers],0),0)="OFF","OFF","SCH"),"_NO MATCH")</f>
        <v>SCH</v>
      </c>
      <c r="Y338" s="4" t="str">
        <f>IFERROR(IF(Schedules[[#This Row],[Scheduled]]="OFF","",LEFT(VLOOKUP(Schedules[[#This Row],[EE ID]],TeamList[],MATCH(Schedules[[#This Row],[DOW]],TeamList[#Headers],0),0),4)),"_NO MATCH")</f>
        <v>15:0</v>
      </c>
      <c r="Z338" s="4" t="str">
        <f>IFERROR(IF(Schedules[[#This Row],[Scheduled]]="OFF","",RIGHT(VLOOKUP(Schedules[[#This Row],[EE ID]],TeamList[],MATCH(Schedules[[#This Row],[DOW]],TeamList[#Headers],0),0),4)),"_NO MATCH")</f>
        <v>0:00</v>
      </c>
    </row>
    <row r="339" spans="19:26" x14ac:dyDescent="0.25">
      <c r="S339" s="209">
        <v>1510778</v>
      </c>
      <c r="T339" s="209" t="str">
        <f>Schedules[[#This Row],[Employee Name]]&amp;Schedules[[#This Row],[DOW]]</f>
        <v>Cultice, DianaMon</v>
      </c>
      <c r="U339" s="4" t="str">
        <f>IFERROR(VLOOKUP(Schedules[[#This Row],[EE ID]],TeamList[],MATCH(Schedules[[#Headers],[Employee Name]],TeamList[#Headers],0),0),"_NO MATCH")</f>
        <v>Cultice, Diana</v>
      </c>
      <c r="V339" s="4" t="str">
        <f>IFERROR(VLOOKUP(Schedules[[#This Row],[EE ID]],TeamList[],MATCH(Schedules[[#Headers],[Dept]],TeamList[#Headers],0),0),"_NO MATCH")</f>
        <v>Sup, Customer Service</v>
      </c>
      <c r="W339" s="286" t="s">
        <v>7</v>
      </c>
      <c r="X339" s="4" t="str">
        <f>IFERROR(IF(VLOOKUP(Schedules[[#This Row],[EE ID]],TeamList[],MATCH(Schedules[[#This Row],[DOW]],TeamList[#Headers],0),0)="OFF","OFF","SCH"),"_NO MATCH")</f>
        <v>SCH</v>
      </c>
      <c r="Y339" s="4" t="str">
        <f>IFERROR(IF(Schedules[[#This Row],[Scheduled]]="OFF","",LEFT(VLOOKUP(Schedules[[#This Row],[EE ID]],TeamList[],MATCH(Schedules[[#This Row],[DOW]],TeamList[#Headers],0),0),4)),"_NO MATCH")</f>
        <v>15:0</v>
      </c>
      <c r="Z339" s="4" t="str">
        <f>IFERROR(IF(Schedules[[#This Row],[Scheduled]]="OFF","",RIGHT(VLOOKUP(Schedules[[#This Row],[EE ID]],TeamList[],MATCH(Schedules[[#This Row],[DOW]],TeamList[#Headers],0),0),4)),"_NO MATCH")</f>
        <v>0:00</v>
      </c>
    </row>
    <row r="340" spans="19:26" x14ac:dyDescent="0.25">
      <c r="S340" s="209">
        <v>1510778</v>
      </c>
      <c r="T340" s="209" t="str">
        <f>Schedules[[#This Row],[Employee Name]]&amp;Schedules[[#This Row],[DOW]]</f>
        <v>Cultice, DianaFri</v>
      </c>
      <c r="U340" s="4" t="str">
        <f>IFERROR(VLOOKUP(Schedules[[#This Row],[EE ID]],TeamList[],MATCH(Schedules[[#Headers],[Employee Name]],TeamList[#Headers],0),0),"_NO MATCH")</f>
        <v>Cultice, Diana</v>
      </c>
      <c r="V340" s="4" t="str">
        <f>IFERROR(VLOOKUP(Schedules[[#This Row],[EE ID]],TeamList[],MATCH(Schedules[[#Headers],[Dept]],TeamList[#Headers],0),0),"_NO MATCH")</f>
        <v>Sup, Customer Service</v>
      </c>
      <c r="W340" s="286" t="s">
        <v>11</v>
      </c>
      <c r="X340" s="4" t="str">
        <f>IFERROR(IF(VLOOKUP(Schedules[[#This Row],[EE ID]],TeamList[],MATCH(Schedules[[#This Row],[DOW]],TeamList[#Headers],0),0)="OFF","OFF","SCH"),"_NO MATCH")</f>
        <v>SCH</v>
      </c>
      <c r="Y340" s="4" t="str">
        <f>IFERROR(IF(Schedules[[#This Row],[Scheduled]]="OFF","",LEFT(VLOOKUP(Schedules[[#This Row],[EE ID]],TeamList[],MATCH(Schedules[[#This Row],[DOW]],TeamList[#Headers],0),0),4)),"_NO MATCH")</f>
        <v>15:0</v>
      </c>
      <c r="Z340" s="4" t="str">
        <f>IFERROR(IF(Schedules[[#This Row],[Scheduled]]="OFF","",RIGHT(VLOOKUP(Schedules[[#This Row],[EE ID]],TeamList[],MATCH(Schedules[[#This Row],[DOW]],TeamList[#Headers],0),0),4)),"_NO MATCH")</f>
        <v>0:00</v>
      </c>
    </row>
    <row r="341" spans="19:26" x14ac:dyDescent="0.25">
      <c r="S341" s="209">
        <v>1511794</v>
      </c>
      <c r="T341" s="209" t="str">
        <f>Schedules[[#This Row],[Employee Name]]&amp;Schedules[[#This Row],[DOW]]</f>
        <v>Conner, MarkWed</v>
      </c>
      <c r="U341" s="4" t="str">
        <f>IFERROR(VLOOKUP(Schedules[[#This Row],[EE ID]],TeamList[],MATCH(Schedules[[#Headers],[Employee Name]],TeamList[#Headers],0),0),"_NO MATCH")</f>
        <v>Conner, Mark</v>
      </c>
      <c r="V341" s="4" t="str">
        <f>IFERROR(VLOOKUP(Schedules[[#This Row],[EE ID]],TeamList[],MATCH(Schedules[[#Headers],[Dept]],TeamList[#Headers],0),0),"_NO MATCH")</f>
        <v>Sup, Customer Service</v>
      </c>
      <c r="W341" s="286" t="s">
        <v>9</v>
      </c>
      <c r="X341" s="4" t="str">
        <f>IFERROR(IF(VLOOKUP(Schedules[[#This Row],[EE ID]],TeamList[],MATCH(Schedules[[#This Row],[DOW]],TeamList[#Headers],0),0)="OFF","OFF","SCH"),"_NO MATCH")</f>
        <v>SCH</v>
      </c>
      <c r="Y341" s="4" t="str">
        <f>IFERROR(IF(Schedules[[#This Row],[Scheduled]]="OFF","",LEFT(VLOOKUP(Schedules[[#This Row],[EE ID]],TeamList[],MATCH(Schedules[[#This Row],[DOW]],TeamList[#Headers],0),0),4)),"_NO MATCH")</f>
        <v>07:0</v>
      </c>
      <c r="Z341" s="4" t="str">
        <f>IFERROR(IF(Schedules[[#This Row],[Scheduled]]="OFF","",RIGHT(VLOOKUP(Schedules[[#This Row],[EE ID]],TeamList[],MATCH(Schedules[[#This Row],[DOW]],TeamList[#Headers],0),0),4)),"_NO MATCH")</f>
        <v>6:00</v>
      </c>
    </row>
    <row r="342" spans="19:26" x14ac:dyDescent="0.25">
      <c r="S342" s="209">
        <v>1511794</v>
      </c>
      <c r="T342" s="209" t="str">
        <f>Schedules[[#This Row],[Employee Name]]&amp;Schedules[[#This Row],[DOW]]</f>
        <v>Conner, MarkTue</v>
      </c>
      <c r="U342" s="4" t="str">
        <f>IFERROR(VLOOKUP(Schedules[[#This Row],[EE ID]],TeamList[],MATCH(Schedules[[#Headers],[Employee Name]],TeamList[#Headers],0),0),"_NO MATCH")</f>
        <v>Conner, Mark</v>
      </c>
      <c r="V342" s="4" t="str">
        <f>IFERROR(VLOOKUP(Schedules[[#This Row],[EE ID]],TeamList[],MATCH(Schedules[[#Headers],[Dept]],TeamList[#Headers],0),0),"_NO MATCH")</f>
        <v>Sup, Customer Service</v>
      </c>
      <c r="W342" s="286" t="s">
        <v>8</v>
      </c>
      <c r="X342" s="4" t="str">
        <f>IFERROR(IF(VLOOKUP(Schedules[[#This Row],[EE ID]],TeamList[],MATCH(Schedules[[#This Row],[DOW]],TeamList[#Headers],0),0)="OFF","OFF","SCH"),"_NO MATCH")</f>
        <v>SCH</v>
      </c>
      <c r="Y342" s="4" t="str">
        <f>IFERROR(IF(Schedules[[#This Row],[Scheduled]]="OFF","",LEFT(VLOOKUP(Schedules[[#This Row],[EE ID]],TeamList[],MATCH(Schedules[[#This Row],[DOW]],TeamList[#Headers],0),0),4)),"_NO MATCH")</f>
        <v>07:0</v>
      </c>
      <c r="Z342" s="4" t="str">
        <f>IFERROR(IF(Schedules[[#This Row],[Scheduled]]="OFF","",RIGHT(VLOOKUP(Schedules[[#This Row],[EE ID]],TeamList[],MATCH(Schedules[[#This Row],[DOW]],TeamList[#Headers],0),0),4)),"_NO MATCH")</f>
        <v>6:00</v>
      </c>
    </row>
    <row r="343" spans="19:26" x14ac:dyDescent="0.25">
      <c r="S343" s="209">
        <v>1511794</v>
      </c>
      <c r="T343" s="209" t="str">
        <f>Schedules[[#This Row],[Employee Name]]&amp;Schedules[[#This Row],[DOW]]</f>
        <v>Conner, MarkThu</v>
      </c>
      <c r="U343" s="4" t="str">
        <f>IFERROR(VLOOKUP(Schedules[[#This Row],[EE ID]],TeamList[],MATCH(Schedules[[#Headers],[Employee Name]],TeamList[#Headers],0),0),"_NO MATCH")</f>
        <v>Conner, Mark</v>
      </c>
      <c r="V343" s="4" t="str">
        <f>IFERROR(VLOOKUP(Schedules[[#This Row],[EE ID]],TeamList[],MATCH(Schedules[[#Headers],[Dept]],TeamList[#Headers],0),0),"_NO MATCH")</f>
        <v>Sup, Customer Service</v>
      </c>
      <c r="W343" s="286" t="s">
        <v>10</v>
      </c>
      <c r="X343" s="4" t="str">
        <f>IFERROR(IF(VLOOKUP(Schedules[[#This Row],[EE ID]],TeamList[],MATCH(Schedules[[#This Row],[DOW]],TeamList[#Headers],0),0)="OFF","OFF","SCH"),"_NO MATCH")</f>
        <v>OFF</v>
      </c>
      <c r="Y343" s="4" t="str">
        <f>IFERROR(IF(Schedules[[#This Row],[Scheduled]]="OFF","",LEFT(VLOOKUP(Schedules[[#This Row],[EE ID]],TeamList[],MATCH(Schedules[[#This Row],[DOW]],TeamList[#Headers],0),0),4)),"_NO MATCH")</f>
        <v/>
      </c>
      <c r="Z343" s="4" t="str">
        <f>IFERROR(IF(Schedules[[#This Row],[Scheduled]]="OFF","",RIGHT(VLOOKUP(Schedules[[#This Row],[EE ID]],TeamList[],MATCH(Schedules[[#This Row],[DOW]],TeamList[#Headers],0),0),4)),"_NO MATCH")</f>
        <v/>
      </c>
    </row>
    <row r="344" spans="19:26" x14ac:dyDescent="0.25">
      <c r="S344" s="209">
        <v>1511794</v>
      </c>
      <c r="T344" s="209" t="str">
        <f>Schedules[[#This Row],[Employee Name]]&amp;Schedules[[#This Row],[DOW]]</f>
        <v>Conner, MarkSun</v>
      </c>
      <c r="U344" s="4" t="str">
        <f>IFERROR(VLOOKUP(Schedules[[#This Row],[EE ID]],TeamList[],MATCH(Schedules[[#Headers],[Employee Name]],TeamList[#Headers],0),0),"_NO MATCH")</f>
        <v>Conner, Mark</v>
      </c>
      <c r="V344" s="4" t="str">
        <f>IFERROR(VLOOKUP(Schedules[[#This Row],[EE ID]],TeamList[],MATCH(Schedules[[#Headers],[Dept]],TeamList[#Headers],0),0),"_NO MATCH")</f>
        <v>Sup, Customer Service</v>
      </c>
      <c r="W344" s="287" t="s">
        <v>6</v>
      </c>
      <c r="X344" s="219" t="str">
        <f>IFERROR(IF(VLOOKUP(Schedules[[#This Row],[EE ID]],TeamList[],MATCH(Schedules[[#This Row],[DOW]],TeamList[#Headers],0),0)="OFF","OFF","SCH"),"_NO MATCH")</f>
        <v>SCH</v>
      </c>
      <c r="Y344" s="219" t="str">
        <f>IFERROR(IF(Schedules[[#This Row],[Scheduled]]="OFF","",LEFT(VLOOKUP(Schedules[[#This Row],[EE ID]],TeamList[],MATCH(Schedules[[#This Row],[DOW]],TeamList[#Headers],0),0),4)),"_NO MATCH")</f>
        <v>07:0</v>
      </c>
      <c r="Z344" s="219" t="str">
        <f>IFERROR(IF(Schedules[[#This Row],[Scheduled]]="OFF","",RIGHT(VLOOKUP(Schedules[[#This Row],[EE ID]],TeamList[],MATCH(Schedules[[#This Row],[DOW]],TeamList[#Headers],0),0),4)),"_NO MATCH")</f>
        <v>6:00</v>
      </c>
    </row>
    <row r="345" spans="19:26" x14ac:dyDescent="0.25">
      <c r="S345" s="209">
        <v>1511794</v>
      </c>
      <c r="T345" s="209" t="str">
        <f>Schedules[[#This Row],[Employee Name]]&amp;Schedules[[#This Row],[DOW]]</f>
        <v>Conner, MarkSat</v>
      </c>
      <c r="U345" s="4" t="str">
        <f>IFERROR(VLOOKUP(Schedules[[#This Row],[EE ID]],TeamList[],MATCH(Schedules[[#Headers],[Employee Name]],TeamList[#Headers],0),0),"_NO MATCH")</f>
        <v>Conner, Mark</v>
      </c>
      <c r="V345" s="4" t="str">
        <f>IFERROR(VLOOKUP(Schedules[[#This Row],[EE ID]],TeamList[],MATCH(Schedules[[#Headers],[Dept]],TeamList[#Headers],0),0),"_NO MATCH")</f>
        <v>Sup, Customer Service</v>
      </c>
      <c r="W345" s="286" t="s">
        <v>12</v>
      </c>
      <c r="X345" s="4" t="str">
        <f>IFERROR(IF(VLOOKUP(Schedules[[#This Row],[EE ID]],TeamList[],MATCH(Schedules[[#This Row],[DOW]],TeamList[#Headers],0),0)="OFF","OFF","SCH"),"_NO MATCH")</f>
        <v>SCH</v>
      </c>
      <c r="Y345" s="4" t="str">
        <f>IFERROR(IF(Schedules[[#This Row],[Scheduled]]="OFF","",LEFT(VLOOKUP(Schedules[[#This Row],[EE ID]],TeamList[],MATCH(Schedules[[#This Row],[DOW]],TeamList[#Headers],0),0),4)),"_NO MATCH")</f>
        <v>07:0</v>
      </c>
      <c r="Z345" s="4" t="str">
        <f>IFERROR(IF(Schedules[[#This Row],[Scheduled]]="OFF","",RIGHT(VLOOKUP(Schedules[[#This Row],[EE ID]],TeamList[],MATCH(Schedules[[#This Row],[DOW]],TeamList[#Headers],0),0),4)),"_NO MATCH")</f>
        <v>6:00</v>
      </c>
    </row>
    <row r="346" spans="19:26" x14ac:dyDescent="0.25">
      <c r="S346" s="209">
        <v>1511794</v>
      </c>
      <c r="T346" s="209" t="str">
        <f>Schedules[[#This Row],[Employee Name]]&amp;Schedules[[#This Row],[DOW]]</f>
        <v>Conner, MarkMon</v>
      </c>
      <c r="U346" s="4" t="str">
        <f>IFERROR(VLOOKUP(Schedules[[#This Row],[EE ID]],TeamList[],MATCH(Schedules[[#Headers],[Employee Name]],TeamList[#Headers],0),0),"_NO MATCH")</f>
        <v>Conner, Mark</v>
      </c>
      <c r="V346" s="4" t="str">
        <f>IFERROR(VLOOKUP(Schedules[[#This Row],[EE ID]],TeamList[],MATCH(Schedules[[#Headers],[Dept]],TeamList[#Headers],0),0),"_NO MATCH")</f>
        <v>Sup, Customer Service</v>
      </c>
      <c r="W346" s="286" t="s">
        <v>7</v>
      </c>
      <c r="X346" s="4" t="str">
        <f>IFERROR(IF(VLOOKUP(Schedules[[#This Row],[EE ID]],TeamList[],MATCH(Schedules[[#This Row],[DOW]],TeamList[#Headers],0),0)="OFF","OFF","SCH"),"_NO MATCH")</f>
        <v>SCH</v>
      </c>
      <c r="Y346" s="4" t="str">
        <f>IFERROR(IF(Schedules[[#This Row],[Scheduled]]="OFF","",LEFT(VLOOKUP(Schedules[[#This Row],[EE ID]],TeamList[],MATCH(Schedules[[#This Row],[DOW]],TeamList[#Headers],0),0),4)),"_NO MATCH")</f>
        <v>07:0</v>
      </c>
      <c r="Z346" s="4" t="str">
        <f>IFERROR(IF(Schedules[[#This Row],[Scheduled]]="OFF","",RIGHT(VLOOKUP(Schedules[[#This Row],[EE ID]],TeamList[],MATCH(Schedules[[#This Row],[DOW]],TeamList[#Headers],0),0),4)),"_NO MATCH")</f>
        <v>6:00</v>
      </c>
    </row>
    <row r="347" spans="19:26" x14ac:dyDescent="0.25">
      <c r="S347" s="209">
        <v>1511794</v>
      </c>
      <c r="T347" s="209" t="str">
        <f>Schedules[[#This Row],[Employee Name]]&amp;Schedules[[#This Row],[DOW]]</f>
        <v>Conner, MarkFri</v>
      </c>
      <c r="U347" s="4" t="str">
        <f>IFERROR(VLOOKUP(Schedules[[#This Row],[EE ID]],TeamList[],MATCH(Schedules[[#Headers],[Employee Name]],TeamList[#Headers],0),0),"_NO MATCH")</f>
        <v>Conner, Mark</v>
      </c>
      <c r="V347" s="4" t="str">
        <f>IFERROR(VLOOKUP(Schedules[[#This Row],[EE ID]],TeamList[],MATCH(Schedules[[#Headers],[Dept]],TeamList[#Headers],0),0),"_NO MATCH")</f>
        <v>Sup, Customer Service</v>
      </c>
      <c r="W347" s="286" t="s">
        <v>11</v>
      </c>
      <c r="X347" s="4" t="str">
        <f>IFERROR(IF(VLOOKUP(Schedules[[#This Row],[EE ID]],TeamList[],MATCH(Schedules[[#This Row],[DOW]],TeamList[#Headers],0),0)="OFF","OFF","SCH"),"_NO MATCH")</f>
        <v>OFF</v>
      </c>
      <c r="Y347" s="4" t="str">
        <f>IFERROR(IF(Schedules[[#This Row],[Scheduled]]="OFF","",LEFT(VLOOKUP(Schedules[[#This Row],[EE ID]],TeamList[],MATCH(Schedules[[#This Row],[DOW]],TeamList[#Headers],0),0),4)),"_NO MATCH")</f>
        <v/>
      </c>
      <c r="Z347" s="4" t="str">
        <f>IFERROR(IF(Schedules[[#This Row],[Scheduled]]="OFF","",RIGHT(VLOOKUP(Schedules[[#This Row],[EE ID]],TeamList[],MATCH(Schedules[[#This Row],[DOW]],TeamList[#Headers],0),0),4)),"_NO MATCH")</f>
        <v/>
      </c>
    </row>
    <row r="348" spans="19:26" x14ac:dyDescent="0.25">
      <c r="S348" s="209">
        <v>1529378</v>
      </c>
      <c r="T348" s="209" t="str">
        <f>Schedules[[#This Row],[Employee Name]]&amp;Schedules[[#This Row],[DOW]]</f>
        <v>Britton, MichaelWed</v>
      </c>
      <c r="U348" s="4" t="str">
        <f>IFERROR(VLOOKUP(Schedules[[#This Row],[EE ID]],TeamList[],MATCH(Schedules[[#Headers],[Employee Name]],TeamList[#Headers],0),0),"_NO MATCH")</f>
        <v>Britton, Michael</v>
      </c>
      <c r="V348" s="4" t="str">
        <f>IFERROR(VLOOKUP(Schedules[[#This Row],[EE ID]],TeamList[],MATCH(Schedules[[#Headers],[Dept]],TeamList[#Headers],0),0),"_NO MATCH")</f>
        <v>Lead Billing</v>
      </c>
      <c r="W348" s="286" t="s">
        <v>9</v>
      </c>
      <c r="X348" s="4" t="str">
        <f>IFERROR(IF(VLOOKUP(Schedules[[#This Row],[EE ID]],TeamList[],MATCH(Schedules[[#This Row],[DOW]],TeamList[#Headers],0),0)="OFF","OFF","SCH"),"_NO MATCH")</f>
        <v>OFF</v>
      </c>
      <c r="Y348" s="4" t="str">
        <f>IFERROR(IF(Schedules[[#This Row],[Scheduled]]="OFF","",LEFT(VLOOKUP(Schedules[[#This Row],[EE ID]],TeamList[],MATCH(Schedules[[#This Row],[DOW]],TeamList[#Headers],0),0),4)),"_NO MATCH")</f>
        <v/>
      </c>
      <c r="Z348" s="4" t="str">
        <f>IFERROR(IF(Schedules[[#This Row],[Scheduled]]="OFF","",RIGHT(VLOOKUP(Schedules[[#This Row],[EE ID]],TeamList[],MATCH(Schedules[[#This Row],[DOW]],TeamList[#Headers],0),0),4)),"_NO MATCH")</f>
        <v/>
      </c>
    </row>
    <row r="349" spans="19:26" x14ac:dyDescent="0.25">
      <c r="S349" s="209">
        <v>1529378</v>
      </c>
      <c r="T349" s="209" t="str">
        <f>Schedules[[#This Row],[Employee Name]]&amp;Schedules[[#This Row],[DOW]]</f>
        <v>Britton, MichaelTue</v>
      </c>
      <c r="U349" s="4" t="str">
        <f>IFERROR(VLOOKUP(Schedules[[#This Row],[EE ID]],TeamList[],MATCH(Schedules[[#Headers],[Employee Name]],TeamList[#Headers],0),0),"_NO MATCH")</f>
        <v>Britton, Michael</v>
      </c>
      <c r="V349" s="4" t="str">
        <f>IFERROR(VLOOKUP(Schedules[[#This Row],[EE ID]],TeamList[],MATCH(Schedules[[#Headers],[Dept]],TeamList[#Headers],0),0),"_NO MATCH")</f>
        <v>Lead Billing</v>
      </c>
      <c r="W349" s="286" t="s">
        <v>8</v>
      </c>
      <c r="X349" s="4" t="str">
        <f>IFERROR(IF(VLOOKUP(Schedules[[#This Row],[EE ID]],TeamList[],MATCH(Schedules[[#This Row],[DOW]],TeamList[#Headers],0),0)="OFF","OFF","SCH"),"_NO MATCH")</f>
        <v>SCH</v>
      </c>
      <c r="Y349" s="4" t="str">
        <f>IFERROR(IF(Schedules[[#This Row],[Scheduled]]="OFF","",LEFT(VLOOKUP(Schedules[[#This Row],[EE ID]],TeamList[],MATCH(Schedules[[#This Row],[DOW]],TeamList[#Headers],0),0),4)),"_NO MATCH")</f>
        <v>15:3</v>
      </c>
      <c r="Z349" s="4" t="str">
        <f>IFERROR(IF(Schedules[[#This Row],[Scheduled]]="OFF","",RIGHT(VLOOKUP(Schedules[[#This Row],[EE ID]],TeamList[],MATCH(Schedules[[#This Row],[DOW]],TeamList[#Headers],0),0),4)),"_NO MATCH")</f>
        <v>0:00</v>
      </c>
    </row>
    <row r="350" spans="19:26" x14ac:dyDescent="0.25">
      <c r="S350" s="209">
        <v>1529378</v>
      </c>
      <c r="T350" s="209" t="str">
        <f>Schedules[[#This Row],[Employee Name]]&amp;Schedules[[#This Row],[DOW]]</f>
        <v>Britton, MichaelThu</v>
      </c>
      <c r="U350" s="4" t="str">
        <f>IFERROR(VLOOKUP(Schedules[[#This Row],[EE ID]],TeamList[],MATCH(Schedules[[#Headers],[Employee Name]],TeamList[#Headers],0),0),"_NO MATCH")</f>
        <v>Britton, Michael</v>
      </c>
      <c r="V350" s="4" t="str">
        <f>IFERROR(VLOOKUP(Schedules[[#This Row],[EE ID]],TeamList[],MATCH(Schedules[[#Headers],[Dept]],TeamList[#Headers],0),0),"_NO MATCH")</f>
        <v>Lead Billing</v>
      </c>
      <c r="W350" s="286" t="s">
        <v>10</v>
      </c>
      <c r="X350" s="4" t="str">
        <f>IFERROR(IF(VLOOKUP(Schedules[[#This Row],[EE ID]],TeamList[],MATCH(Schedules[[#This Row],[DOW]],TeamList[#Headers],0),0)="OFF","OFF","SCH"),"_NO MATCH")</f>
        <v>OFF</v>
      </c>
      <c r="Y350" s="4" t="str">
        <f>IFERROR(IF(Schedules[[#This Row],[Scheduled]]="OFF","",LEFT(VLOOKUP(Schedules[[#This Row],[EE ID]],TeamList[],MATCH(Schedules[[#This Row],[DOW]],TeamList[#Headers],0),0),4)),"_NO MATCH")</f>
        <v/>
      </c>
      <c r="Z350" s="4" t="str">
        <f>IFERROR(IF(Schedules[[#This Row],[Scheduled]]="OFF","",RIGHT(VLOOKUP(Schedules[[#This Row],[EE ID]],TeamList[],MATCH(Schedules[[#This Row],[DOW]],TeamList[#Headers],0),0),4)),"_NO MATCH")</f>
        <v/>
      </c>
    </row>
    <row r="351" spans="19:26" x14ac:dyDescent="0.25">
      <c r="S351" s="209">
        <v>1529378</v>
      </c>
      <c r="T351" s="209" t="str">
        <f>Schedules[[#This Row],[Employee Name]]&amp;Schedules[[#This Row],[DOW]]</f>
        <v>Britton, MichaelSun</v>
      </c>
      <c r="U351" s="4" t="str">
        <f>IFERROR(VLOOKUP(Schedules[[#This Row],[EE ID]],TeamList[],MATCH(Schedules[[#Headers],[Employee Name]],TeamList[#Headers],0),0),"_NO MATCH")</f>
        <v>Britton, Michael</v>
      </c>
      <c r="V351" s="4" t="str">
        <f>IFERROR(VLOOKUP(Schedules[[#This Row],[EE ID]],TeamList[],MATCH(Schedules[[#Headers],[Dept]],TeamList[#Headers],0),0),"_NO MATCH")</f>
        <v>Lead Billing</v>
      </c>
      <c r="W351" s="287" t="s">
        <v>6</v>
      </c>
      <c r="X351" s="219" t="str">
        <f>IFERROR(IF(VLOOKUP(Schedules[[#This Row],[EE ID]],TeamList[],MATCH(Schedules[[#This Row],[DOW]],TeamList[#Headers],0),0)="OFF","OFF","SCH"),"_NO MATCH")</f>
        <v>SCH</v>
      </c>
      <c r="Y351" s="219" t="str">
        <f>IFERROR(IF(Schedules[[#This Row],[Scheduled]]="OFF","",LEFT(VLOOKUP(Schedules[[#This Row],[EE ID]],TeamList[],MATCH(Schedules[[#This Row],[DOW]],TeamList[#Headers],0),0),4)),"_NO MATCH")</f>
        <v>15:3</v>
      </c>
      <c r="Z351" s="219" t="str">
        <f>IFERROR(IF(Schedules[[#This Row],[Scheduled]]="OFF","",RIGHT(VLOOKUP(Schedules[[#This Row],[EE ID]],TeamList[],MATCH(Schedules[[#This Row],[DOW]],TeamList[#Headers],0),0),4)),"_NO MATCH")</f>
        <v>0:00</v>
      </c>
    </row>
    <row r="352" spans="19:26" x14ac:dyDescent="0.25">
      <c r="S352" s="209">
        <v>1529378</v>
      </c>
      <c r="T352" s="209" t="str">
        <f>Schedules[[#This Row],[Employee Name]]&amp;Schedules[[#This Row],[DOW]]</f>
        <v>Britton, MichaelSat</v>
      </c>
      <c r="U352" s="4" t="str">
        <f>IFERROR(VLOOKUP(Schedules[[#This Row],[EE ID]],TeamList[],MATCH(Schedules[[#Headers],[Employee Name]],TeamList[#Headers],0),0),"_NO MATCH")</f>
        <v>Britton, Michael</v>
      </c>
      <c r="V352" s="4" t="str">
        <f>IFERROR(VLOOKUP(Schedules[[#This Row],[EE ID]],TeamList[],MATCH(Schedules[[#Headers],[Dept]],TeamList[#Headers],0),0),"_NO MATCH")</f>
        <v>Lead Billing</v>
      </c>
      <c r="W352" s="286" t="s">
        <v>12</v>
      </c>
      <c r="X352" s="4" t="str">
        <f>IFERROR(IF(VLOOKUP(Schedules[[#This Row],[EE ID]],TeamList[],MATCH(Schedules[[#This Row],[DOW]],TeamList[#Headers],0),0)="OFF","OFF","SCH"),"_NO MATCH")</f>
        <v>SCH</v>
      </c>
      <c r="Y352" s="4" t="str">
        <f>IFERROR(IF(Schedules[[#This Row],[Scheduled]]="OFF","",LEFT(VLOOKUP(Schedules[[#This Row],[EE ID]],TeamList[],MATCH(Schedules[[#This Row],[DOW]],TeamList[#Headers],0),0),4)),"_NO MATCH")</f>
        <v>15:3</v>
      </c>
      <c r="Z352" s="4" t="str">
        <f>IFERROR(IF(Schedules[[#This Row],[Scheduled]]="OFF","",RIGHT(VLOOKUP(Schedules[[#This Row],[EE ID]],TeamList[],MATCH(Schedules[[#This Row],[DOW]],TeamList[#Headers],0),0),4)),"_NO MATCH")</f>
        <v>0:00</v>
      </c>
    </row>
    <row r="353" spans="19:26" x14ac:dyDescent="0.25">
      <c r="S353" s="209">
        <v>1529378</v>
      </c>
      <c r="T353" s="209" t="str">
        <f>Schedules[[#This Row],[Employee Name]]&amp;Schedules[[#This Row],[DOW]]</f>
        <v>Britton, MichaelMon</v>
      </c>
      <c r="U353" s="4" t="str">
        <f>IFERROR(VLOOKUP(Schedules[[#This Row],[EE ID]],TeamList[],MATCH(Schedules[[#Headers],[Employee Name]],TeamList[#Headers],0),0),"_NO MATCH")</f>
        <v>Britton, Michael</v>
      </c>
      <c r="V353" s="4" t="str">
        <f>IFERROR(VLOOKUP(Schedules[[#This Row],[EE ID]],TeamList[],MATCH(Schedules[[#Headers],[Dept]],TeamList[#Headers],0),0),"_NO MATCH")</f>
        <v>Lead Billing</v>
      </c>
      <c r="W353" s="286" t="s">
        <v>7</v>
      </c>
      <c r="X353" s="4" t="str">
        <f>IFERROR(IF(VLOOKUP(Schedules[[#This Row],[EE ID]],TeamList[],MATCH(Schedules[[#This Row],[DOW]],TeamList[#Headers],0),0)="OFF","OFF","SCH"),"_NO MATCH")</f>
        <v>SCH</v>
      </c>
      <c r="Y353" s="4" t="str">
        <f>IFERROR(IF(Schedules[[#This Row],[Scheduled]]="OFF","",LEFT(VLOOKUP(Schedules[[#This Row],[EE ID]],TeamList[],MATCH(Schedules[[#This Row],[DOW]],TeamList[#Headers],0),0),4)),"_NO MATCH")</f>
        <v>15:3</v>
      </c>
      <c r="Z353" s="4" t="str">
        <f>IFERROR(IF(Schedules[[#This Row],[Scheduled]]="OFF","",RIGHT(VLOOKUP(Schedules[[#This Row],[EE ID]],TeamList[],MATCH(Schedules[[#This Row],[DOW]],TeamList[#Headers],0),0),4)),"_NO MATCH")</f>
        <v>0:00</v>
      </c>
    </row>
    <row r="354" spans="19:26" x14ac:dyDescent="0.25">
      <c r="S354" s="209">
        <v>1529378</v>
      </c>
      <c r="T354" s="209" t="str">
        <f>Schedules[[#This Row],[Employee Name]]&amp;Schedules[[#This Row],[DOW]]</f>
        <v>Britton, MichaelFri</v>
      </c>
      <c r="U354" s="4" t="str">
        <f>IFERROR(VLOOKUP(Schedules[[#This Row],[EE ID]],TeamList[],MATCH(Schedules[[#Headers],[Employee Name]],TeamList[#Headers],0),0),"_NO MATCH")</f>
        <v>Britton, Michael</v>
      </c>
      <c r="V354" s="4" t="str">
        <f>IFERROR(VLOOKUP(Schedules[[#This Row],[EE ID]],TeamList[],MATCH(Schedules[[#Headers],[Dept]],TeamList[#Headers],0),0),"_NO MATCH")</f>
        <v>Lead Billing</v>
      </c>
      <c r="W354" s="286" t="s">
        <v>11</v>
      </c>
      <c r="X354" s="4" t="str">
        <f>IFERROR(IF(VLOOKUP(Schedules[[#This Row],[EE ID]],TeamList[],MATCH(Schedules[[#This Row],[DOW]],TeamList[#Headers],0),0)="OFF","OFF","SCH"),"_NO MATCH")</f>
        <v>SCH</v>
      </c>
      <c r="Y354" s="4" t="str">
        <f>IFERROR(IF(Schedules[[#This Row],[Scheduled]]="OFF","",LEFT(VLOOKUP(Schedules[[#This Row],[EE ID]],TeamList[],MATCH(Schedules[[#This Row],[DOW]],TeamList[#Headers],0),0),4)),"_NO MATCH")</f>
        <v>15:3</v>
      </c>
      <c r="Z354" s="4" t="str">
        <f>IFERROR(IF(Schedules[[#This Row],[Scheduled]]="OFF","",RIGHT(VLOOKUP(Schedules[[#This Row],[EE ID]],TeamList[],MATCH(Schedules[[#This Row],[DOW]],TeamList[#Headers],0),0),4)),"_NO MATCH")</f>
        <v>0:00</v>
      </c>
    </row>
    <row r="355" spans="19:26" x14ac:dyDescent="0.25">
      <c r="S355" s="209">
        <v>1517193</v>
      </c>
      <c r="T355" s="209" t="str">
        <f>Schedules[[#This Row],[Employee Name]]&amp;Schedules[[#This Row],[DOW]]</f>
        <v>Breen, MarkWed</v>
      </c>
      <c r="U355" s="4" t="str">
        <f>IFERROR(VLOOKUP(Schedules[[#This Row],[EE ID]],TeamList[],MATCH(Schedules[[#Headers],[Employee Name]],TeamList[#Headers],0),0),"_NO MATCH")</f>
        <v>Breen, Mark</v>
      </c>
      <c r="V355" s="4" t="str">
        <f>IFERROR(VLOOKUP(Schedules[[#This Row],[EE ID]],TeamList[],MATCH(Schedules[[#Headers],[Dept]],TeamList[#Headers],0),0),"_NO MATCH")</f>
        <v>Sup, Customer Service</v>
      </c>
      <c r="W355" s="286" t="s">
        <v>9</v>
      </c>
      <c r="X355" s="4" t="str">
        <f>IFERROR(IF(VLOOKUP(Schedules[[#This Row],[EE ID]],TeamList[],MATCH(Schedules[[#This Row],[DOW]],TeamList[#Headers],0),0)="OFF","OFF","SCH"),"_NO MATCH")</f>
        <v>SCH</v>
      </c>
      <c r="Y355" s="4" t="str">
        <f>IFERROR(IF(Schedules[[#This Row],[Scheduled]]="OFF","",LEFT(VLOOKUP(Schedules[[#This Row],[EE ID]],TeamList[],MATCH(Schedules[[#This Row],[DOW]],TeamList[#Headers],0),0),4)),"_NO MATCH")</f>
        <v>05:0</v>
      </c>
      <c r="Z355" s="4" t="str">
        <f>IFERROR(IF(Schedules[[#This Row],[Scheduled]]="OFF","",RIGHT(VLOOKUP(Schedules[[#This Row],[EE ID]],TeamList[],MATCH(Schedules[[#This Row],[DOW]],TeamList[#Headers],0),0),4)),"_NO MATCH")</f>
        <v>4:00</v>
      </c>
    </row>
    <row r="356" spans="19:26" x14ac:dyDescent="0.25">
      <c r="S356" s="209">
        <v>1517193</v>
      </c>
      <c r="T356" s="209" t="str">
        <f>Schedules[[#This Row],[Employee Name]]&amp;Schedules[[#This Row],[DOW]]</f>
        <v>Breen, MarkTue</v>
      </c>
      <c r="U356" s="4" t="str">
        <f>IFERROR(VLOOKUP(Schedules[[#This Row],[EE ID]],TeamList[],MATCH(Schedules[[#Headers],[Employee Name]],TeamList[#Headers],0),0),"_NO MATCH")</f>
        <v>Breen, Mark</v>
      </c>
      <c r="V356" s="4" t="str">
        <f>IFERROR(VLOOKUP(Schedules[[#This Row],[EE ID]],TeamList[],MATCH(Schedules[[#Headers],[Dept]],TeamList[#Headers],0),0),"_NO MATCH")</f>
        <v>Sup, Customer Service</v>
      </c>
      <c r="W356" s="286" t="s">
        <v>8</v>
      </c>
      <c r="X356" s="4" t="str">
        <f>IFERROR(IF(VLOOKUP(Schedules[[#This Row],[EE ID]],TeamList[],MATCH(Schedules[[#This Row],[DOW]],TeamList[#Headers],0),0)="OFF","OFF","SCH"),"_NO MATCH")</f>
        <v>SCH</v>
      </c>
      <c r="Y356" s="4" t="str">
        <f>IFERROR(IF(Schedules[[#This Row],[Scheduled]]="OFF","",LEFT(VLOOKUP(Schedules[[#This Row],[EE ID]],TeamList[],MATCH(Schedules[[#This Row],[DOW]],TeamList[#Headers],0),0),4)),"_NO MATCH")</f>
        <v>05:0</v>
      </c>
      <c r="Z356" s="4" t="str">
        <f>IFERROR(IF(Schedules[[#This Row],[Scheduled]]="OFF","",RIGHT(VLOOKUP(Schedules[[#This Row],[EE ID]],TeamList[],MATCH(Schedules[[#This Row],[DOW]],TeamList[#Headers],0),0),4)),"_NO MATCH")</f>
        <v>4:00</v>
      </c>
    </row>
    <row r="357" spans="19:26" x14ac:dyDescent="0.25">
      <c r="S357" s="209">
        <v>1517193</v>
      </c>
      <c r="T357" s="209" t="str">
        <f>Schedules[[#This Row],[Employee Name]]&amp;Schedules[[#This Row],[DOW]]</f>
        <v>Breen, MarkThu</v>
      </c>
      <c r="U357" s="4" t="str">
        <f>IFERROR(VLOOKUP(Schedules[[#This Row],[EE ID]],TeamList[],MATCH(Schedules[[#Headers],[Employee Name]],TeamList[#Headers],0),0),"_NO MATCH")</f>
        <v>Breen, Mark</v>
      </c>
      <c r="V357" s="4" t="str">
        <f>IFERROR(VLOOKUP(Schedules[[#This Row],[EE ID]],TeamList[],MATCH(Schedules[[#Headers],[Dept]],TeamList[#Headers],0),0),"_NO MATCH")</f>
        <v>Sup, Customer Service</v>
      </c>
      <c r="W357" s="286" t="s">
        <v>10</v>
      </c>
      <c r="X357" s="4" t="str">
        <f>IFERROR(IF(VLOOKUP(Schedules[[#This Row],[EE ID]],TeamList[],MATCH(Schedules[[#This Row],[DOW]],TeamList[#Headers],0),0)="OFF","OFF","SCH"),"_NO MATCH")</f>
        <v>SCH</v>
      </c>
      <c r="Y357" s="4" t="str">
        <f>IFERROR(IF(Schedules[[#This Row],[Scheduled]]="OFF","",LEFT(VLOOKUP(Schedules[[#This Row],[EE ID]],TeamList[],MATCH(Schedules[[#This Row],[DOW]],TeamList[#Headers],0),0),4)),"_NO MATCH")</f>
        <v>05:0</v>
      </c>
      <c r="Z357" s="4" t="str">
        <f>IFERROR(IF(Schedules[[#This Row],[Scheduled]]="OFF","",RIGHT(VLOOKUP(Schedules[[#This Row],[EE ID]],TeamList[],MATCH(Schedules[[#This Row],[DOW]],TeamList[#Headers],0),0),4)),"_NO MATCH")</f>
        <v>4:00</v>
      </c>
    </row>
    <row r="358" spans="19:26" x14ac:dyDescent="0.25">
      <c r="S358" s="209">
        <v>1517193</v>
      </c>
      <c r="T358" s="209" t="str">
        <f>Schedules[[#This Row],[Employee Name]]&amp;Schedules[[#This Row],[DOW]]</f>
        <v>Breen, MarkSun</v>
      </c>
      <c r="U358" s="4" t="str">
        <f>IFERROR(VLOOKUP(Schedules[[#This Row],[EE ID]],TeamList[],MATCH(Schedules[[#Headers],[Employee Name]],TeamList[#Headers],0),0),"_NO MATCH")</f>
        <v>Breen, Mark</v>
      </c>
      <c r="V358" s="4" t="str">
        <f>IFERROR(VLOOKUP(Schedules[[#This Row],[EE ID]],TeamList[],MATCH(Schedules[[#Headers],[Dept]],TeamList[#Headers],0),0),"_NO MATCH")</f>
        <v>Sup, Customer Service</v>
      </c>
      <c r="W358" s="287" t="s">
        <v>6</v>
      </c>
      <c r="X358" s="4" t="str">
        <f>IFERROR(IF(VLOOKUP(Schedules[[#This Row],[EE ID]],TeamList[],MATCH(Schedules[[#This Row],[DOW]],TeamList[#Headers],0),0)="OFF","OFF","SCH"),"_NO MATCH")</f>
        <v>OFF</v>
      </c>
      <c r="Y358" s="4" t="str">
        <f>IFERROR(IF(Schedules[[#This Row],[Scheduled]]="OFF","",LEFT(VLOOKUP(Schedules[[#This Row],[EE ID]],TeamList[],MATCH(Schedules[[#This Row],[DOW]],TeamList[#Headers],0),0),4)),"_NO MATCH")</f>
        <v/>
      </c>
      <c r="Z358" s="4" t="str">
        <f>IFERROR(IF(Schedules[[#This Row],[Scheduled]]="OFF","",RIGHT(VLOOKUP(Schedules[[#This Row],[EE ID]],TeamList[],MATCH(Schedules[[#This Row],[DOW]],TeamList[#Headers],0),0),4)),"_NO MATCH")</f>
        <v/>
      </c>
    </row>
    <row r="359" spans="19:26" x14ac:dyDescent="0.25">
      <c r="S359" s="209">
        <v>1517193</v>
      </c>
      <c r="T359" s="209" t="str">
        <f>Schedules[[#This Row],[Employee Name]]&amp;Schedules[[#This Row],[DOW]]</f>
        <v>Breen, MarkSat</v>
      </c>
      <c r="U359" s="4" t="str">
        <f>IFERROR(VLOOKUP(Schedules[[#This Row],[EE ID]],TeamList[],MATCH(Schedules[[#Headers],[Employee Name]],TeamList[#Headers],0),0),"_NO MATCH")</f>
        <v>Breen, Mark</v>
      </c>
      <c r="V359" s="4" t="str">
        <f>IFERROR(VLOOKUP(Schedules[[#This Row],[EE ID]],TeamList[],MATCH(Schedules[[#Headers],[Dept]],TeamList[#Headers],0),0),"_NO MATCH")</f>
        <v>Sup, Customer Service</v>
      </c>
      <c r="W359" s="286" t="s">
        <v>12</v>
      </c>
      <c r="X359" s="4" t="str">
        <f>IFERROR(IF(VLOOKUP(Schedules[[#This Row],[EE ID]],TeamList[],MATCH(Schedules[[#This Row],[DOW]],TeamList[#Headers],0),0)="OFF","OFF","SCH"),"_NO MATCH")</f>
        <v>SCH</v>
      </c>
      <c r="Y359" s="4" t="str">
        <f>IFERROR(IF(Schedules[[#This Row],[Scheduled]]="OFF","",LEFT(VLOOKUP(Schedules[[#This Row],[EE ID]],TeamList[],MATCH(Schedules[[#This Row],[DOW]],TeamList[#Headers],0),0),4)),"_NO MATCH")</f>
        <v>05:0</v>
      </c>
      <c r="Z359" s="4" t="str">
        <f>IFERROR(IF(Schedules[[#This Row],[Scheduled]]="OFF","",RIGHT(VLOOKUP(Schedules[[#This Row],[EE ID]],TeamList[],MATCH(Schedules[[#This Row],[DOW]],TeamList[#Headers],0),0),4)),"_NO MATCH")</f>
        <v>4:00</v>
      </c>
    </row>
    <row r="360" spans="19:26" x14ac:dyDescent="0.25">
      <c r="S360" s="209">
        <v>1517193</v>
      </c>
      <c r="T360" s="209" t="str">
        <f>Schedules[[#This Row],[Employee Name]]&amp;Schedules[[#This Row],[DOW]]</f>
        <v>Breen, MarkMon</v>
      </c>
      <c r="U360" s="4" t="str">
        <f>IFERROR(VLOOKUP(Schedules[[#This Row],[EE ID]],TeamList[],MATCH(Schedules[[#Headers],[Employee Name]],TeamList[#Headers],0),0),"_NO MATCH")</f>
        <v>Breen, Mark</v>
      </c>
      <c r="V360" s="4" t="str">
        <f>IFERROR(VLOOKUP(Schedules[[#This Row],[EE ID]],TeamList[],MATCH(Schedules[[#Headers],[Dept]],TeamList[#Headers],0),0),"_NO MATCH")</f>
        <v>Sup, Customer Service</v>
      </c>
      <c r="W360" s="286" t="s">
        <v>7</v>
      </c>
      <c r="X360" s="4" t="str">
        <f>IFERROR(IF(VLOOKUP(Schedules[[#This Row],[EE ID]],TeamList[],MATCH(Schedules[[#This Row],[DOW]],TeamList[#Headers],0),0)="OFF","OFF","SCH"),"_NO MATCH")</f>
        <v>OFF</v>
      </c>
      <c r="Y360" s="4" t="str">
        <f>IFERROR(IF(Schedules[[#This Row],[Scheduled]]="OFF","",LEFT(VLOOKUP(Schedules[[#This Row],[EE ID]],TeamList[],MATCH(Schedules[[#This Row],[DOW]],TeamList[#Headers],0),0),4)),"_NO MATCH")</f>
        <v/>
      </c>
      <c r="Z360" s="4" t="str">
        <f>IFERROR(IF(Schedules[[#This Row],[Scheduled]]="OFF","",RIGHT(VLOOKUP(Schedules[[#This Row],[EE ID]],TeamList[],MATCH(Schedules[[#This Row],[DOW]],TeamList[#Headers],0),0),4)),"_NO MATCH")</f>
        <v/>
      </c>
    </row>
    <row r="361" spans="19:26" x14ac:dyDescent="0.25">
      <c r="S361" s="209">
        <v>1517193</v>
      </c>
      <c r="T361" s="209" t="str">
        <f>Schedules[[#This Row],[Employee Name]]&amp;Schedules[[#This Row],[DOW]]</f>
        <v>Breen, MarkFri</v>
      </c>
      <c r="U361" s="4" t="str">
        <f>IFERROR(VLOOKUP(Schedules[[#This Row],[EE ID]],TeamList[],MATCH(Schedules[[#Headers],[Employee Name]],TeamList[#Headers],0),0),"_NO MATCH")</f>
        <v>Breen, Mark</v>
      </c>
      <c r="V361" s="4" t="str">
        <f>IFERROR(VLOOKUP(Schedules[[#This Row],[EE ID]],TeamList[],MATCH(Schedules[[#Headers],[Dept]],TeamList[#Headers],0),0),"_NO MATCH")</f>
        <v>Sup, Customer Service</v>
      </c>
      <c r="W361" s="286" t="s">
        <v>11</v>
      </c>
      <c r="X361" s="4" t="str">
        <f>IFERROR(IF(VLOOKUP(Schedules[[#This Row],[EE ID]],TeamList[],MATCH(Schedules[[#This Row],[DOW]],TeamList[#Headers],0),0)="OFF","OFF","SCH"),"_NO MATCH")</f>
        <v>SCH</v>
      </c>
      <c r="Y361" s="4" t="str">
        <f>IFERROR(IF(Schedules[[#This Row],[Scheduled]]="OFF","",LEFT(VLOOKUP(Schedules[[#This Row],[EE ID]],TeamList[],MATCH(Schedules[[#This Row],[DOW]],TeamList[#Headers],0),0),4)),"_NO MATCH")</f>
        <v>05:0</v>
      </c>
      <c r="Z361" s="4" t="str">
        <f>IFERROR(IF(Schedules[[#This Row],[Scheduled]]="OFF","",RIGHT(VLOOKUP(Schedules[[#This Row],[EE ID]],TeamList[],MATCH(Schedules[[#This Row],[DOW]],TeamList[#Headers],0),0),4)),"_NO MATCH")</f>
        <v>4:00</v>
      </c>
    </row>
    <row r="362" spans="19:26" x14ac:dyDescent="0.25">
      <c r="S362" s="209">
        <v>1510956</v>
      </c>
      <c r="T362" s="209" t="str">
        <f>Schedules[[#This Row],[Employee Name]]&amp;Schedules[[#This Row],[DOW]]</f>
        <v>Birrueta Arellano, NeftaliWed</v>
      </c>
      <c r="U362" s="4" t="str">
        <f>IFERROR(VLOOKUP(Schedules[[#This Row],[EE ID]],TeamList[],MATCH(Schedules[[#Headers],[Employee Name]],TeamList[#Headers],0),0),"_NO MATCH")</f>
        <v>Birrueta Arellano, Neftali</v>
      </c>
      <c r="V362" s="4" t="str">
        <f>IFERROR(VLOOKUP(Schedules[[#This Row],[EE ID]],TeamList[],MATCH(Schedules[[#Headers],[Dept]],TeamList[#Headers],0),0),"_NO MATCH")</f>
        <v>Lead Billing</v>
      </c>
      <c r="W362" s="286" t="s">
        <v>9</v>
      </c>
      <c r="X362" s="4" t="str">
        <f>IFERROR(IF(VLOOKUP(Schedules[[#This Row],[EE ID]],TeamList[],MATCH(Schedules[[#This Row],[DOW]],TeamList[#Headers],0),0)="OFF","OFF","SCH"),"_NO MATCH")</f>
        <v>SCH</v>
      </c>
      <c r="Y362" s="4" t="str">
        <f>IFERROR(IF(Schedules[[#This Row],[Scheduled]]="OFF","",LEFT(VLOOKUP(Schedules[[#This Row],[EE ID]],TeamList[],MATCH(Schedules[[#This Row],[DOW]],TeamList[#Headers],0),0),4)),"_NO MATCH")</f>
        <v>05:0</v>
      </c>
      <c r="Z362" s="4" t="str">
        <f>IFERROR(IF(Schedules[[#This Row],[Scheduled]]="OFF","",RIGHT(VLOOKUP(Schedules[[#This Row],[EE ID]],TeamList[],MATCH(Schedules[[#This Row],[DOW]],TeamList[#Headers],0),0),4)),"_NO MATCH")</f>
        <v>3:30</v>
      </c>
    </row>
    <row r="363" spans="19:26" x14ac:dyDescent="0.25">
      <c r="S363" s="209">
        <v>1510956</v>
      </c>
      <c r="T363" s="209" t="str">
        <f>Schedules[[#This Row],[Employee Name]]&amp;Schedules[[#This Row],[DOW]]</f>
        <v>Birrueta Arellano, NeftaliTue</v>
      </c>
      <c r="U363" s="4" t="str">
        <f>IFERROR(VLOOKUP(Schedules[[#This Row],[EE ID]],TeamList[],MATCH(Schedules[[#Headers],[Employee Name]],TeamList[#Headers],0),0),"_NO MATCH")</f>
        <v>Birrueta Arellano, Neftali</v>
      </c>
      <c r="V363" s="4" t="str">
        <f>IFERROR(VLOOKUP(Schedules[[#This Row],[EE ID]],TeamList[],MATCH(Schedules[[#Headers],[Dept]],TeamList[#Headers],0),0),"_NO MATCH")</f>
        <v>Lead Billing</v>
      </c>
      <c r="W363" s="286" t="s">
        <v>8</v>
      </c>
      <c r="X363" s="4" t="str">
        <f>IFERROR(IF(VLOOKUP(Schedules[[#This Row],[EE ID]],TeamList[],MATCH(Schedules[[#This Row],[DOW]],TeamList[#Headers],0),0)="OFF","OFF","SCH"),"_NO MATCH")</f>
        <v>SCH</v>
      </c>
      <c r="Y363" s="4" t="str">
        <f>IFERROR(IF(Schedules[[#This Row],[Scheduled]]="OFF","",LEFT(VLOOKUP(Schedules[[#This Row],[EE ID]],TeamList[],MATCH(Schedules[[#This Row],[DOW]],TeamList[#Headers],0),0),4)),"_NO MATCH")</f>
        <v>05:0</v>
      </c>
      <c r="Z363" s="4" t="str">
        <f>IFERROR(IF(Schedules[[#This Row],[Scheduled]]="OFF","",RIGHT(VLOOKUP(Schedules[[#This Row],[EE ID]],TeamList[],MATCH(Schedules[[#This Row],[DOW]],TeamList[#Headers],0),0),4)),"_NO MATCH")</f>
        <v>3:30</v>
      </c>
    </row>
    <row r="364" spans="19:26" x14ac:dyDescent="0.25">
      <c r="S364" s="209">
        <v>1510956</v>
      </c>
      <c r="T364" s="209" t="str">
        <f>Schedules[[#This Row],[Employee Name]]&amp;Schedules[[#This Row],[DOW]]</f>
        <v>Birrueta Arellano, NeftaliThu</v>
      </c>
      <c r="U364" s="4" t="str">
        <f>IFERROR(VLOOKUP(Schedules[[#This Row],[EE ID]],TeamList[],MATCH(Schedules[[#Headers],[Employee Name]],TeamList[#Headers],0),0),"_NO MATCH")</f>
        <v>Birrueta Arellano, Neftali</v>
      </c>
      <c r="V364" s="4" t="str">
        <f>IFERROR(VLOOKUP(Schedules[[#This Row],[EE ID]],TeamList[],MATCH(Schedules[[#Headers],[Dept]],TeamList[#Headers],0),0),"_NO MATCH")</f>
        <v>Lead Billing</v>
      </c>
      <c r="W364" s="286" t="s">
        <v>10</v>
      </c>
      <c r="X364" s="4" t="str">
        <f>IFERROR(IF(VLOOKUP(Schedules[[#This Row],[EE ID]],TeamList[],MATCH(Schedules[[#This Row],[DOW]],TeamList[#Headers],0),0)="OFF","OFF","SCH"),"_NO MATCH")</f>
        <v>SCH</v>
      </c>
      <c r="Y364" s="4" t="str">
        <f>IFERROR(IF(Schedules[[#This Row],[Scheduled]]="OFF","",LEFT(VLOOKUP(Schedules[[#This Row],[EE ID]],TeamList[],MATCH(Schedules[[#This Row],[DOW]],TeamList[#Headers],0),0),4)),"_NO MATCH")</f>
        <v>05:0</v>
      </c>
      <c r="Z364" s="4" t="str">
        <f>IFERROR(IF(Schedules[[#This Row],[Scheduled]]="OFF","",RIGHT(VLOOKUP(Schedules[[#This Row],[EE ID]],TeamList[],MATCH(Schedules[[#This Row],[DOW]],TeamList[#Headers],0),0),4)),"_NO MATCH")</f>
        <v>3:30</v>
      </c>
    </row>
    <row r="365" spans="19:26" x14ac:dyDescent="0.25">
      <c r="S365" s="209">
        <v>1510956</v>
      </c>
      <c r="T365" s="209" t="str">
        <f>Schedules[[#This Row],[Employee Name]]&amp;Schedules[[#This Row],[DOW]]</f>
        <v>Birrueta Arellano, NeftaliSun</v>
      </c>
      <c r="U365" s="4" t="str">
        <f>IFERROR(VLOOKUP(Schedules[[#This Row],[EE ID]],TeamList[],MATCH(Schedules[[#Headers],[Employee Name]],TeamList[#Headers],0),0),"_NO MATCH")</f>
        <v>Birrueta Arellano, Neftali</v>
      </c>
      <c r="V365" s="4" t="str">
        <f>IFERROR(VLOOKUP(Schedules[[#This Row],[EE ID]],TeamList[],MATCH(Schedules[[#Headers],[Dept]],TeamList[#Headers],0),0),"_NO MATCH")</f>
        <v>Lead Billing</v>
      </c>
      <c r="W365" s="287" t="s">
        <v>6</v>
      </c>
      <c r="X365" s="219" t="str">
        <f>IFERROR(IF(VLOOKUP(Schedules[[#This Row],[EE ID]],TeamList[],MATCH(Schedules[[#This Row],[DOW]],TeamList[#Headers],0),0)="OFF","OFF","SCH"),"_NO MATCH")</f>
        <v>OFF</v>
      </c>
      <c r="Y365" s="219" t="str">
        <f>IFERROR(IF(Schedules[[#This Row],[Scheduled]]="OFF","",LEFT(VLOOKUP(Schedules[[#This Row],[EE ID]],TeamList[],MATCH(Schedules[[#This Row],[DOW]],TeamList[#Headers],0),0),4)),"_NO MATCH")</f>
        <v/>
      </c>
      <c r="Z365" s="219" t="str">
        <f>IFERROR(IF(Schedules[[#This Row],[Scheduled]]="OFF","",RIGHT(VLOOKUP(Schedules[[#This Row],[EE ID]],TeamList[],MATCH(Schedules[[#This Row],[DOW]],TeamList[#Headers],0),0),4)),"_NO MATCH")</f>
        <v/>
      </c>
    </row>
    <row r="366" spans="19:26" x14ac:dyDescent="0.25">
      <c r="S366" s="209">
        <v>1510956</v>
      </c>
      <c r="T366" s="209" t="str">
        <f>Schedules[[#This Row],[Employee Name]]&amp;Schedules[[#This Row],[DOW]]</f>
        <v>Birrueta Arellano, NeftaliSat</v>
      </c>
      <c r="U366" s="4" t="str">
        <f>IFERROR(VLOOKUP(Schedules[[#This Row],[EE ID]],TeamList[],MATCH(Schedules[[#Headers],[Employee Name]],TeamList[#Headers],0),0),"_NO MATCH")</f>
        <v>Birrueta Arellano, Neftali</v>
      </c>
      <c r="V366" s="4" t="str">
        <f>IFERROR(VLOOKUP(Schedules[[#This Row],[EE ID]],TeamList[],MATCH(Schedules[[#Headers],[Dept]],TeamList[#Headers],0),0),"_NO MATCH")</f>
        <v>Lead Billing</v>
      </c>
      <c r="W366" s="286" t="s">
        <v>12</v>
      </c>
      <c r="X366" s="4" t="str">
        <f>IFERROR(IF(VLOOKUP(Schedules[[#This Row],[EE ID]],TeamList[],MATCH(Schedules[[#This Row],[DOW]],TeamList[#Headers],0),0)="OFF","OFF","SCH"),"_NO MATCH")</f>
        <v>OFF</v>
      </c>
      <c r="Y366" s="4" t="str">
        <f>IFERROR(IF(Schedules[[#This Row],[Scheduled]]="OFF","",LEFT(VLOOKUP(Schedules[[#This Row],[EE ID]],TeamList[],MATCH(Schedules[[#This Row],[DOW]],TeamList[#Headers],0),0),4)),"_NO MATCH")</f>
        <v/>
      </c>
      <c r="Z366" s="4" t="str">
        <f>IFERROR(IF(Schedules[[#This Row],[Scheduled]]="OFF","",RIGHT(VLOOKUP(Schedules[[#This Row],[EE ID]],TeamList[],MATCH(Schedules[[#This Row],[DOW]],TeamList[#Headers],0),0),4)),"_NO MATCH")</f>
        <v/>
      </c>
    </row>
    <row r="367" spans="19:26" x14ac:dyDescent="0.25">
      <c r="S367" s="209">
        <v>1510956</v>
      </c>
      <c r="T367" s="209" t="str">
        <f>Schedules[[#This Row],[Employee Name]]&amp;Schedules[[#This Row],[DOW]]</f>
        <v>Birrueta Arellano, NeftaliMon</v>
      </c>
      <c r="U367" s="4" t="str">
        <f>IFERROR(VLOOKUP(Schedules[[#This Row],[EE ID]],TeamList[],MATCH(Schedules[[#Headers],[Employee Name]],TeamList[#Headers],0),0),"_NO MATCH")</f>
        <v>Birrueta Arellano, Neftali</v>
      </c>
      <c r="V367" s="4" t="str">
        <f>IFERROR(VLOOKUP(Schedules[[#This Row],[EE ID]],TeamList[],MATCH(Schedules[[#Headers],[Dept]],TeamList[#Headers],0),0),"_NO MATCH")</f>
        <v>Lead Billing</v>
      </c>
      <c r="W367" s="286" t="s">
        <v>7</v>
      </c>
      <c r="X367" s="4" t="str">
        <f>IFERROR(IF(VLOOKUP(Schedules[[#This Row],[EE ID]],TeamList[],MATCH(Schedules[[#This Row],[DOW]],TeamList[#Headers],0),0)="OFF","OFF","SCH"),"_NO MATCH")</f>
        <v>SCH</v>
      </c>
      <c r="Y367" s="4" t="str">
        <f>IFERROR(IF(Schedules[[#This Row],[Scheduled]]="OFF","",LEFT(VLOOKUP(Schedules[[#This Row],[EE ID]],TeamList[],MATCH(Schedules[[#This Row],[DOW]],TeamList[#Headers],0),0),4)),"_NO MATCH")</f>
        <v>05:0</v>
      </c>
      <c r="Z367" s="4" t="str">
        <f>IFERROR(IF(Schedules[[#This Row],[Scheduled]]="OFF","",RIGHT(VLOOKUP(Schedules[[#This Row],[EE ID]],TeamList[],MATCH(Schedules[[#This Row],[DOW]],TeamList[#Headers],0),0),4)),"_NO MATCH")</f>
        <v>3:30</v>
      </c>
    </row>
    <row r="368" spans="19:26" x14ac:dyDescent="0.25">
      <c r="S368" s="209">
        <v>1510956</v>
      </c>
      <c r="T368" s="209" t="str">
        <f>Schedules[[#This Row],[Employee Name]]&amp;Schedules[[#This Row],[DOW]]</f>
        <v>Birrueta Arellano, NeftaliFri</v>
      </c>
      <c r="U368" s="4" t="str">
        <f>IFERROR(VLOOKUP(Schedules[[#This Row],[EE ID]],TeamList[],MATCH(Schedules[[#Headers],[Employee Name]],TeamList[#Headers],0),0),"_NO MATCH")</f>
        <v>Birrueta Arellano, Neftali</v>
      </c>
      <c r="V368" s="4" t="str">
        <f>IFERROR(VLOOKUP(Schedules[[#This Row],[EE ID]],TeamList[],MATCH(Schedules[[#Headers],[Dept]],TeamList[#Headers],0),0),"_NO MATCH")</f>
        <v>Lead Billing</v>
      </c>
      <c r="W368" s="286" t="s">
        <v>11</v>
      </c>
      <c r="X368" s="4" t="str">
        <f>IFERROR(IF(VLOOKUP(Schedules[[#This Row],[EE ID]],TeamList[],MATCH(Schedules[[#This Row],[DOW]],TeamList[#Headers],0),0)="OFF","OFF","SCH"),"_NO MATCH")</f>
        <v>SCH</v>
      </c>
      <c r="Y368" s="4" t="str">
        <f>IFERROR(IF(Schedules[[#This Row],[Scheduled]]="OFF","",LEFT(VLOOKUP(Schedules[[#This Row],[EE ID]],TeamList[],MATCH(Schedules[[#This Row],[DOW]],TeamList[#Headers],0),0),4)),"_NO MATCH")</f>
        <v>05:0</v>
      </c>
      <c r="Z368" s="4" t="str">
        <f>IFERROR(IF(Schedules[[#This Row],[Scheduled]]="OFF","",RIGHT(VLOOKUP(Schedules[[#This Row],[EE ID]],TeamList[],MATCH(Schedules[[#This Row],[DOW]],TeamList[#Headers],0),0),4)),"_NO MATCH")</f>
        <v>3:30</v>
      </c>
    </row>
    <row r="369" spans="19:26" x14ac:dyDescent="0.25">
      <c r="S369" s="209">
        <v>1516467</v>
      </c>
      <c r="T369" s="209" t="str">
        <f>Schedules[[#This Row],[Employee Name]]&amp;Schedules[[#This Row],[DOW]]</f>
        <v>Benish, ElishaWed</v>
      </c>
      <c r="U369" s="4" t="str">
        <f>IFERROR(VLOOKUP(Schedules[[#This Row],[EE ID]],TeamList[],MATCH(Schedules[[#Headers],[Employee Name]],TeamList[#Headers],0),0),"_NO MATCH")</f>
        <v>Benish, Elisha</v>
      </c>
      <c r="V369" s="4" t="str">
        <f>IFERROR(VLOOKUP(Schedules[[#This Row],[EE ID]],TeamList[],MATCH(Schedules[[#Headers],[Dept]],TeamList[#Headers],0),0),"_NO MATCH")</f>
        <v>Lead Billing</v>
      </c>
      <c r="W369" s="286" t="s">
        <v>9</v>
      </c>
      <c r="X369" s="4" t="str">
        <f>IFERROR(IF(VLOOKUP(Schedules[[#This Row],[EE ID]],TeamList[],MATCH(Schedules[[#This Row],[DOW]],TeamList[#Headers],0),0)="OFF","OFF","SCH"),"_NO MATCH")</f>
        <v>OFF</v>
      </c>
      <c r="Y369" s="4" t="str">
        <f>IFERROR(IF(Schedules[[#This Row],[Scheduled]]="OFF","",LEFT(VLOOKUP(Schedules[[#This Row],[EE ID]],TeamList[],MATCH(Schedules[[#This Row],[DOW]],TeamList[#Headers],0),0),4)),"_NO MATCH")</f>
        <v/>
      </c>
      <c r="Z369" s="4" t="str">
        <f>IFERROR(IF(Schedules[[#This Row],[Scheduled]]="OFF","",RIGHT(VLOOKUP(Schedules[[#This Row],[EE ID]],TeamList[],MATCH(Schedules[[#This Row],[DOW]],TeamList[#Headers],0),0),4)),"_NO MATCH")</f>
        <v/>
      </c>
    </row>
    <row r="370" spans="19:26" x14ac:dyDescent="0.25">
      <c r="S370" s="209">
        <v>1516467</v>
      </c>
      <c r="T370" s="209" t="str">
        <f>Schedules[[#This Row],[Employee Name]]&amp;Schedules[[#This Row],[DOW]]</f>
        <v>Benish, ElishaTue</v>
      </c>
      <c r="U370" s="4" t="str">
        <f>IFERROR(VLOOKUP(Schedules[[#This Row],[EE ID]],TeamList[],MATCH(Schedules[[#Headers],[Employee Name]],TeamList[#Headers],0),0),"_NO MATCH")</f>
        <v>Benish, Elisha</v>
      </c>
      <c r="V370" s="4" t="str">
        <f>IFERROR(VLOOKUP(Schedules[[#This Row],[EE ID]],TeamList[],MATCH(Schedules[[#Headers],[Dept]],TeamList[#Headers],0),0),"_NO MATCH")</f>
        <v>Lead Billing</v>
      </c>
      <c r="W370" s="286" t="s">
        <v>8</v>
      </c>
      <c r="X370" s="4" t="str">
        <f>IFERROR(IF(VLOOKUP(Schedules[[#This Row],[EE ID]],TeamList[],MATCH(Schedules[[#This Row],[DOW]],TeamList[#Headers],0),0)="OFF","OFF","SCH"),"_NO MATCH")</f>
        <v>OFF</v>
      </c>
      <c r="Y370" s="4" t="str">
        <f>IFERROR(IF(Schedules[[#This Row],[Scheduled]]="OFF","",LEFT(VLOOKUP(Schedules[[#This Row],[EE ID]],TeamList[],MATCH(Schedules[[#This Row],[DOW]],TeamList[#Headers],0),0),4)),"_NO MATCH")</f>
        <v/>
      </c>
      <c r="Z370" s="4" t="str">
        <f>IFERROR(IF(Schedules[[#This Row],[Scheduled]]="OFF","",RIGHT(VLOOKUP(Schedules[[#This Row],[EE ID]],TeamList[],MATCH(Schedules[[#This Row],[DOW]],TeamList[#Headers],0),0),4)),"_NO MATCH")</f>
        <v/>
      </c>
    </row>
    <row r="371" spans="19:26" x14ac:dyDescent="0.25">
      <c r="S371" s="209">
        <v>1516467</v>
      </c>
      <c r="T371" s="209" t="str">
        <f>Schedules[[#This Row],[Employee Name]]&amp;Schedules[[#This Row],[DOW]]</f>
        <v>Benish, ElishaThu</v>
      </c>
      <c r="U371" s="4" t="str">
        <f>IFERROR(VLOOKUP(Schedules[[#This Row],[EE ID]],TeamList[],MATCH(Schedules[[#Headers],[Employee Name]],TeamList[#Headers],0),0),"_NO MATCH")</f>
        <v>Benish, Elisha</v>
      </c>
      <c r="V371" s="4" t="str">
        <f>IFERROR(VLOOKUP(Schedules[[#This Row],[EE ID]],TeamList[],MATCH(Schedules[[#Headers],[Dept]],TeamList[#Headers],0),0),"_NO MATCH")</f>
        <v>Lead Billing</v>
      </c>
      <c r="W371" s="286" t="s">
        <v>10</v>
      </c>
      <c r="X371" s="4" t="str">
        <f>IFERROR(IF(VLOOKUP(Schedules[[#This Row],[EE ID]],TeamList[],MATCH(Schedules[[#This Row],[DOW]],TeamList[#Headers],0),0)="OFF","OFF","SCH"),"_NO MATCH")</f>
        <v>SCH</v>
      </c>
      <c r="Y371" s="4" t="str">
        <f>IFERROR(IF(Schedules[[#This Row],[Scheduled]]="OFF","",LEFT(VLOOKUP(Schedules[[#This Row],[EE ID]],TeamList[],MATCH(Schedules[[#This Row],[DOW]],TeamList[#Headers],0),0),4)),"_NO MATCH")</f>
        <v>07:0</v>
      </c>
      <c r="Z371" s="4" t="str">
        <f>IFERROR(IF(Schedules[[#This Row],[Scheduled]]="OFF","",RIGHT(VLOOKUP(Schedules[[#This Row],[EE ID]],TeamList[],MATCH(Schedules[[#This Row],[DOW]],TeamList[#Headers],0),0),4)),"_NO MATCH")</f>
        <v>6:00</v>
      </c>
    </row>
    <row r="372" spans="19:26" x14ac:dyDescent="0.25">
      <c r="S372" s="209">
        <v>1516467</v>
      </c>
      <c r="T372" s="209" t="str">
        <f>Schedules[[#This Row],[Employee Name]]&amp;Schedules[[#This Row],[DOW]]</f>
        <v>Benish, ElishaSun</v>
      </c>
      <c r="U372" s="4" t="str">
        <f>IFERROR(VLOOKUP(Schedules[[#This Row],[EE ID]],TeamList[],MATCH(Schedules[[#Headers],[Employee Name]],TeamList[#Headers],0),0),"_NO MATCH")</f>
        <v>Benish, Elisha</v>
      </c>
      <c r="V372" s="4" t="str">
        <f>IFERROR(VLOOKUP(Schedules[[#This Row],[EE ID]],TeamList[],MATCH(Schedules[[#Headers],[Dept]],TeamList[#Headers],0),0),"_NO MATCH")</f>
        <v>Lead Billing</v>
      </c>
      <c r="W372" s="287" t="s">
        <v>6</v>
      </c>
      <c r="X372" s="219" t="str">
        <f>IFERROR(IF(VLOOKUP(Schedules[[#This Row],[EE ID]],TeamList[],MATCH(Schedules[[#This Row],[DOW]],TeamList[#Headers],0),0)="OFF","OFF","SCH"),"_NO MATCH")</f>
        <v>SCH</v>
      </c>
      <c r="Y372" s="219" t="str">
        <f>IFERROR(IF(Schedules[[#This Row],[Scheduled]]="OFF","",LEFT(VLOOKUP(Schedules[[#This Row],[EE ID]],TeamList[],MATCH(Schedules[[#This Row],[DOW]],TeamList[#Headers],0),0),4)),"_NO MATCH")</f>
        <v>07:0</v>
      </c>
      <c r="Z372" s="219" t="str">
        <f>IFERROR(IF(Schedules[[#This Row],[Scheduled]]="OFF","",RIGHT(VLOOKUP(Schedules[[#This Row],[EE ID]],TeamList[],MATCH(Schedules[[#This Row],[DOW]],TeamList[#Headers],0),0),4)),"_NO MATCH")</f>
        <v>6:00</v>
      </c>
    </row>
    <row r="373" spans="19:26" x14ac:dyDescent="0.25">
      <c r="S373" s="209">
        <v>1516467</v>
      </c>
      <c r="T373" s="209" t="str">
        <f>Schedules[[#This Row],[Employee Name]]&amp;Schedules[[#This Row],[DOW]]</f>
        <v>Benish, ElishaSat</v>
      </c>
      <c r="U373" s="4" t="str">
        <f>IFERROR(VLOOKUP(Schedules[[#This Row],[EE ID]],TeamList[],MATCH(Schedules[[#Headers],[Employee Name]],TeamList[#Headers],0),0),"_NO MATCH")</f>
        <v>Benish, Elisha</v>
      </c>
      <c r="V373" s="4" t="str">
        <f>IFERROR(VLOOKUP(Schedules[[#This Row],[EE ID]],TeamList[],MATCH(Schedules[[#Headers],[Dept]],TeamList[#Headers],0),0),"_NO MATCH")</f>
        <v>Lead Billing</v>
      </c>
      <c r="W373" s="286" t="s">
        <v>12</v>
      </c>
      <c r="X373" s="4" t="str">
        <f>IFERROR(IF(VLOOKUP(Schedules[[#This Row],[EE ID]],TeamList[],MATCH(Schedules[[#This Row],[DOW]],TeamList[#Headers],0),0)="OFF","OFF","SCH"),"_NO MATCH")</f>
        <v>SCH</v>
      </c>
      <c r="Y373" s="4" t="str">
        <f>IFERROR(IF(Schedules[[#This Row],[Scheduled]]="OFF","",LEFT(VLOOKUP(Schedules[[#This Row],[EE ID]],TeamList[],MATCH(Schedules[[#This Row],[DOW]],TeamList[#Headers],0),0),4)),"_NO MATCH")</f>
        <v>07:0</v>
      </c>
      <c r="Z373" s="4" t="str">
        <f>IFERROR(IF(Schedules[[#This Row],[Scheduled]]="OFF","",RIGHT(VLOOKUP(Schedules[[#This Row],[EE ID]],TeamList[],MATCH(Schedules[[#This Row],[DOW]],TeamList[#Headers],0),0),4)),"_NO MATCH")</f>
        <v>6:00</v>
      </c>
    </row>
    <row r="374" spans="19:26" x14ac:dyDescent="0.25">
      <c r="S374" s="209">
        <v>1516467</v>
      </c>
      <c r="T374" s="209" t="str">
        <f>Schedules[[#This Row],[Employee Name]]&amp;Schedules[[#This Row],[DOW]]</f>
        <v>Benish, ElishaMon</v>
      </c>
      <c r="U374" s="4" t="str">
        <f>IFERROR(VLOOKUP(Schedules[[#This Row],[EE ID]],TeamList[],MATCH(Schedules[[#Headers],[Employee Name]],TeamList[#Headers],0),0),"_NO MATCH")</f>
        <v>Benish, Elisha</v>
      </c>
      <c r="V374" s="4" t="str">
        <f>IFERROR(VLOOKUP(Schedules[[#This Row],[EE ID]],TeamList[],MATCH(Schedules[[#Headers],[Dept]],TeamList[#Headers],0),0),"_NO MATCH")</f>
        <v>Lead Billing</v>
      </c>
      <c r="W374" s="286" t="s">
        <v>7</v>
      </c>
      <c r="X374" s="4" t="str">
        <f>IFERROR(IF(VLOOKUP(Schedules[[#This Row],[EE ID]],TeamList[],MATCH(Schedules[[#This Row],[DOW]],TeamList[#Headers],0),0)="OFF","OFF","SCH"),"_NO MATCH")</f>
        <v>SCH</v>
      </c>
      <c r="Y374" s="4" t="str">
        <f>IFERROR(IF(Schedules[[#This Row],[Scheduled]]="OFF","",LEFT(VLOOKUP(Schedules[[#This Row],[EE ID]],TeamList[],MATCH(Schedules[[#This Row],[DOW]],TeamList[#Headers],0),0),4)),"_NO MATCH")</f>
        <v>07:0</v>
      </c>
      <c r="Z374" s="4" t="str">
        <f>IFERROR(IF(Schedules[[#This Row],[Scheduled]]="OFF","",RIGHT(VLOOKUP(Schedules[[#This Row],[EE ID]],TeamList[],MATCH(Schedules[[#This Row],[DOW]],TeamList[#Headers],0),0),4)),"_NO MATCH")</f>
        <v>6:00</v>
      </c>
    </row>
    <row r="375" spans="19:26" x14ac:dyDescent="0.25">
      <c r="S375" s="209">
        <v>1516467</v>
      </c>
      <c r="T375" s="209" t="str">
        <f>Schedules[[#This Row],[Employee Name]]&amp;Schedules[[#This Row],[DOW]]</f>
        <v>Benish, ElishaFri</v>
      </c>
      <c r="U375" s="4" t="str">
        <f>IFERROR(VLOOKUP(Schedules[[#This Row],[EE ID]],TeamList[],MATCH(Schedules[[#Headers],[Employee Name]],TeamList[#Headers],0),0),"_NO MATCH")</f>
        <v>Benish, Elisha</v>
      </c>
      <c r="V375" s="4" t="str">
        <f>IFERROR(VLOOKUP(Schedules[[#This Row],[EE ID]],TeamList[],MATCH(Schedules[[#Headers],[Dept]],TeamList[#Headers],0),0),"_NO MATCH")</f>
        <v>Lead Billing</v>
      </c>
      <c r="W375" s="286" t="s">
        <v>11</v>
      </c>
      <c r="X375" s="4" t="str">
        <f>IFERROR(IF(VLOOKUP(Schedules[[#This Row],[EE ID]],TeamList[],MATCH(Schedules[[#This Row],[DOW]],TeamList[#Headers],0),0)="OFF","OFF","SCH"),"_NO MATCH")</f>
        <v>SCH</v>
      </c>
      <c r="Y375" s="4" t="str">
        <f>IFERROR(IF(Schedules[[#This Row],[Scheduled]]="OFF","",LEFT(VLOOKUP(Schedules[[#This Row],[EE ID]],TeamList[],MATCH(Schedules[[#This Row],[DOW]],TeamList[#Headers],0),0),4)),"_NO MATCH")</f>
        <v>07:0</v>
      </c>
      <c r="Z375" s="4" t="str">
        <f>IFERROR(IF(Schedules[[#This Row],[Scheduled]]="OFF","",RIGHT(VLOOKUP(Schedules[[#This Row],[EE ID]],TeamList[],MATCH(Schedules[[#This Row],[DOW]],TeamList[#Headers],0),0),4)),"_NO MATCH")</f>
        <v>6:00</v>
      </c>
    </row>
    <row r="376" spans="19:26" x14ac:dyDescent="0.25">
      <c r="S376" s="209">
        <v>1516851</v>
      </c>
      <c r="T376" s="209" t="str">
        <f>Schedules[[#This Row],[Employee Name]]&amp;Schedules[[#This Row],[DOW]]</f>
        <v>Banuelos, LincolnWed</v>
      </c>
      <c r="U376" s="4" t="str">
        <f>IFERROR(VLOOKUP(Schedules[[#This Row],[EE ID]],TeamList[],MATCH(Schedules[[#Headers],[Employee Name]],TeamList[#Headers],0),0),"_NO MATCH")</f>
        <v>Banuelos, Lincoln</v>
      </c>
      <c r="V376" s="4" t="str">
        <f>IFERROR(VLOOKUP(Schedules[[#This Row],[EE ID]],TeamList[],MATCH(Schedules[[#Headers],[Dept]],TeamList[#Headers],0),0),"_NO MATCH")</f>
        <v>Sup, Customer Service</v>
      </c>
      <c r="W376" s="286" t="s">
        <v>9</v>
      </c>
      <c r="X376" s="4" t="str">
        <f>IFERROR(IF(VLOOKUP(Schedules[[#This Row],[EE ID]],TeamList[],MATCH(Schedules[[#This Row],[DOW]],TeamList[#Headers],0),0)="OFF","OFF","SCH"),"_NO MATCH")</f>
        <v>SCH</v>
      </c>
      <c r="Y376" s="4" t="str">
        <f>IFERROR(IF(Schedules[[#This Row],[Scheduled]]="OFF","",LEFT(VLOOKUP(Schedules[[#This Row],[EE ID]],TeamList[],MATCH(Schedules[[#This Row],[DOW]],TeamList[#Headers],0),0),4)),"_NO MATCH")</f>
        <v>14:0</v>
      </c>
      <c r="Z376" s="4" t="str">
        <f>IFERROR(IF(Schedules[[#This Row],[Scheduled]]="OFF","",RIGHT(VLOOKUP(Schedules[[#This Row],[EE ID]],TeamList[],MATCH(Schedules[[#This Row],[DOW]],TeamList[#Headers],0),0),4)),"_NO MATCH")</f>
        <v>3:00</v>
      </c>
    </row>
    <row r="377" spans="19:26" x14ac:dyDescent="0.25">
      <c r="S377" s="209">
        <v>1516851</v>
      </c>
      <c r="T377" s="209" t="str">
        <f>Schedules[[#This Row],[Employee Name]]&amp;Schedules[[#This Row],[DOW]]</f>
        <v>Banuelos, LincolnTue</v>
      </c>
      <c r="U377" s="4" t="str">
        <f>IFERROR(VLOOKUP(Schedules[[#This Row],[EE ID]],TeamList[],MATCH(Schedules[[#Headers],[Employee Name]],TeamList[#Headers],0),0),"_NO MATCH")</f>
        <v>Banuelos, Lincoln</v>
      </c>
      <c r="V377" s="4" t="str">
        <f>IFERROR(VLOOKUP(Schedules[[#This Row],[EE ID]],TeamList[],MATCH(Schedules[[#Headers],[Dept]],TeamList[#Headers],0),0),"_NO MATCH")</f>
        <v>Sup, Customer Service</v>
      </c>
      <c r="W377" s="286" t="s">
        <v>8</v>
      </c>
      <c r="X377" s="4" t="str">
        <f>IFERROR(IF(VLOOKUP(Schedules[[#This Row],[EE ID]],TeamList[],MATCH(Schedules[[#This Row],[DOW]],TeamList[#Headers],0),0)="OFF","OFF","SCH"),"_NO MATCH")</f>
        <v>SCH</v>
      </c>
      <c r="Y377" s="4" t="str">
        <f>IFERROR(IF(Schedules[[#This Row],[Scheduled]]="OFF","",LEFT(VLOOKUP(Schedules[[#This Row],[EE ID]],TeamList[],MATCH(Schedules[[#This Row],[DOW]],TeamList[#Headers],0),0),4)),"_NO MATCH")</f>
        <v>14:0</v>
      </c>
      <c r="Z377" s="4" t="str">
        <f>IFERROR(IF(Schedules[[#This Row],[Scheduled]]="OFF","",RIGHT(VLOOKUP(Schedules[[#This Row],[EE ID]],TeamList[],MATCH(Schedules[[#This Row],[DOW]],TeamList[#Headers],0),0),4)),"_NO MATCH")</f>
        <v>3:00</v>
      </c>
    </row>
    <row r="378" spans="19:26" x14ac:dyDescent="0.25">
      <c r="S378" s="209">
        <v>1516851</v>
      </c>
      <c r="T378" s="209" t="str">
        <f>Schedules[[#This Row],[Employee Name]]&amp;Schedules[[#This Row],[DOW]]</f>
        <v>Banuelos, LincolnThu</v>
      </c>
      <c r="U378" s="4" t="str">
        <f>IFERROR(VLOOKUP(Schedules[[#This Row],[EE ID]],TeamList[],MATCH(Schedules[[#Headers],[Employee Name]],TeamList[#Headers],0),0),"_NO MATCH")</f>
        <v>Banuelos, Lincoln</v>
      </c>
      <c r="V378" s="4" t="str">
        <f>IFERROR(VLOOKUP(Schedules[[#This Row],[EE ID]],TeamList[],MATCH(Schedules[[#Headers],[Dept]],TeamList[#Headers],0),0),"_NO MATCH")</f>
        <v>Sup, Customer Service</v>
      </c>
      <c r="W378" s="286" t="s">
        <v>10</v>
      </c>
      <c r="X378" s="4" t="str">
        <f>IFERROR(IF(VLOOKUP(Schedules[[#This Row],[EE ID]],TeamList[],MATCH(Schedules[[#This Row],[DOW]],TeamList[#Headers],0),0)="OFF","OFF","SCH"),"_NO MATCH")</f>
        <v>SCH</v>
      </c>
      <c r="Y378" s="4" t="str">
        <f>IFERROR(IF(Schedules[[#This Row],[Scheduled]]="OFF","",LEFT(VLOOKUP(Schedules[[#This Row],[EE ID]],TeamList[],MATCH(Schedules[[#This Row],[DOW]],TeamList[#Headers],0),0),4)),"_NO MATCH")</f>
        <v>14:0</v>
      </c>
      <c r="Z378" s="4" t="str">
        <f>IFERROR(IF(Schedules[[#This Row],[Scheduled]]="OFF","",RIGHT(VLOOKUP(Schedules[[#This Row],[EE ID]],TeamList[],MATCH(Schedules[[#This Row],[DOW]],TeamList[#Headers],0),0),4)),"_NO MATCH")</f>
        <v>3:00</v>
      </c>
    </row>
    <row r="379" spans="19:26" x14ac:dyDescent="0.25">
      <c r="S379" s="209">
        <v>1516851</v>
      </c>
      <c r="T379" s="209" t="str">
        <f>Schedules[[#This Row],[Employee Name]]&amp;Schedules[[#This Row],[DOW]]</f>
        <v>Banuelos, LincolnSun</v>
      </c>
      <c r="U379" s="4" t="str">
        <f>IFERROR(VLOOKUP(Schedules[[#This Row],[EE ID]],TeamList[],MATCH(Schedules[[#Headers],[Employee Name]],TeamList[#Headers],0),0),"_NO MATCH")</f>
        <v>Banuelos, Lincoln</v>
      </c>
      <c r="V379" s="4" t="str">
        <f>IFERROR(VLOOKUP(Schedules[[#This Row],[EE ID]],TeamList[],MATCH(Schedules[[#Headers],[Dept]],TeamList[#Headers],0),0),"_NO MATCH")</f>
        <v>Sup, Customer Service</v>
      </c>
      <c r="W379" s="287" t="s">
        <v>6</v>
      </c>
      <c r="X379" s="219" t="str">
        <f>IFERROR(IF(VLOOKUP(Schedules[[#This Row],[EE ID]],TeamList[],MATCH(Schedules[[#This Row],[DOW]],TeamList[#Headers],0),0)="OFF","OFF","SCH"),"_NO MATCH")</f>
        <v>OFF</v>
      </c>
      <c r="Y379" s="219" t="str">
        <f>IFERROR(IF(Schedules[[#This Row],[Scheduled]]="OFF","",LEFT(VLOOKUP(Schedules[[#This Row],[EE ID]],TeamList[],MATCH(Schedules[[#This Row],[DOW]],TeamList[#Headers],0),0),4)),"_NO MATCH")</f>
        <v/>
      </c>
      <c r="Z379" s="219" t="str">
        <f>IFERROR(IF(Schedules[[#This Row],[Scheduled]]="OFF","",RIGHT(VLOOKUP(Schedules[[#This Row],[EE ID]],TeamList[],MATCH(Schedules[[#This Row],[DOW]],TeamList[#Headers],0),0),4)),"_NO MATCH")</f>
        <v/>
      </c>
    </row>
    <row r="380" spans="19:26" x14ac:dyDescent="0.25">
      <c r="S380" s="209">
        <v>1516851</v>
      </c>
      <c r="T380" s="209" t="str">
        <f>Schedules[[#This Row],[Employee Name]]&amp;Schedules[[#This Row],[DOW]]</f>
        <v>Banuelos, LincolnSat</v>
      </c>
      <c r="U380" s="4" t="str">
        <f>IFERROR(VLOOKUP(Schedules[[#This Row],[EE ID]],TeamList[],MATCH(Schedules[[#Headers],[Employee Name]],TeamList[#Headers],0),0),"_NO MATCH")</f>
        <v>Banuelos, Lincoln</v>
      </c>
      <c r="V380" s="4" t="str">
        <f>IFERROR(VLOOKUP(Schedules[[#This Row],[EE ID]],TeamList[],MATCH(Schedules[[#Headers],[Dept]],TeamList[#Headers],0),0),"_NO MATCH")</f>
        <v>Sup, Customer Service</v>
      </c>
      <c r="W380" s="286" t="s">
        <v>12</v>
      </c>
      <c r="X380" s="4" t="str">
        <f>IFERROR(IF(VLOOKUP(Schedules[[#This Row],[EE ID]],TeamList[],MATCH(Schedules[[#This Row],[DOW]],TeamList[#Headers],0),0)="OFF","OFF","SCH"),"_NO MATCH")</f>
        <v>SCH</v>
      </c>
      <c r="Y380" s="4" t="str">
        <f>IFERROR(IF(Schedules[[#This Row],[Scheduled]]="OFF","",LEFT(VLOOKUP(Schedules[[#This Row],[EE ID]],TeamList[],MATCH(Schedules[[#This Row],[DOW]],TeamList[#Headers],0),0),4)),"_NO MATCH")</f>
        <v>14:0</v>
      </c>
      <c r="Z380" s="4" t="str">
        <f>IFERROR(IF(Schedules[[#This Row],[Scheduled]]="OFF","",RIGHT(VLOOKUP(Schedules[[#This Row],[EE ID]],TeamList[],MATCH(Schedules[[#This Row],[DOW]],TeamList[#Headers],0),0),4)),"_NO MATCH")</f>
        <v>3:00</v>
      </c>
    </row>
    <row r="381" spans="19:26" x14ac:dyDescent="0.25">
      <c r="S381" s="209">
        <v>1516851</v>
      </c>
      <c r="T381" s="209" t="str">
        <f>Schedules[[#This Row],[Employee Name]]&amp;Schedules[[#This Row],[DOW]]</f>
        <v>Banuelos, LincolnMon</v>
      </c>
      <c r="U381" s="4" t="str">
        <f>IFERROR(VLOOKUP(Schedules[[#This Row],[EE ID]],TeamList[],MATCH(Schedules[[#Headers],[Employee Name]],TeamList[#Headers],0),0),"_NO MATCH")</f>
        <v>Banuelos, Lincoln</v>
      </c>
      <c r="V381" s="4" t="str">
        <f>IFERROR(VLOOKUP(Schedules[[#This Row],[EE ID]],TeamList[],MATCH(Schedules[[#Headers],[Dept]],TeamList[#Headers],0),0),"_NO MATCH")</f>
        <v>Sup, Customer Service</v>
      </c>
      <c r="W381" s="286" t="s">
        <v>7</v>
      </c>
      <c r="X381" s="4" t="str">
        <f>IFERROR(IF(VLOOKUP(Schedules[[#This Row],[EE ID]],TeamList[],MATCH(Schedules[[#This Row],[DOW]],TeamList[#Headers],0),0)="OFF","OFF","SCH"),"_NO MATCH")</f>
        <v>OFF</v>
      </c>
      <c r="Y381" s="4" t="str">
        <f>IFERROR(IF(Schedules[[#This Row],[Scheduled]]="OFF","",LEFT(VLOOKUP(Schedules[[#This Row],[EE ID]],TeamList[],MATCH(Schedules[[#This Row],[DOW]],TeamList[#Headers],0),0),4)),"_NO MATCH")</f>
        <v/>
      </c>
      <c r="Z381" s="4" t="str">
        <f>IFERROR(IF(Schedules[[#This Row],[Scheduled]]="OFF","",RIGHT(VLOOKUP(Schedules[[#This Row],[EE ID]],TeamList[],MATCH(Schedules[[#This Row],[DOW]],TeamList[#Headers],0),0),4)),"_NO MATCH")</f>
        <v/>
      </c>
    </row>
    <row r="382" spans="19:26" x14ac:dyDescent="0.25">
      <c r="S382" s="209">
        <v>1516851</v>
      </c>
      <c r="T382" s="209" t="str">
        <f>Schedules[[#This Row],[Employee Name]]&amp;Schedules[[#This Row],[DOW]]</f>
        <v>Banuelos, LincolnFri</v>
      </c>
      <c r="U382" s="4" t="str">
        <f>IFERROR(VLOOKUP(Schedules[[#This Row],[EE ID]],TeamList[],MATCH(Schedules[[#Headers],[Employee Name]],TeamList[#Headers],0),0),"_NO MATCH")</f>
        <v>Banuelos, Lincoln</v>
      </c>
      <c r="V382" s="4" t="str">
        <f>IFERROR(VLOOKUP(Schedules[[#This Row],[EE ID]],TeamList[],MATCH(Schedules[[#Headers],[Dept]],TeamList[#Headers],0),0),"_NO MATCH")</f>
        <v>Sup, Customer Service</v>
      </c>
      <c r="W382" s="286" t="s">
        <v>11</v>
      </c>
      <c r="X382" s="4" t="str">
        <f>IFERROR(IF(VLOOKUP(Schedules[[#This Row],[EE ID]],TeamList[],MATCH(Schedules[[#This Row],[DOW]],TeamList[#Headers],0),0)="OFF","OFF","SCH"),"_NO MATCH")</f>
        <v>SCH</v>
      </c>
      <c r="Y382" s="4" t="str">
        <f>IFERROR(IF(Schedules[[#This Row],[Scheduled]]="OFF","",LEFT(VLOOKUP(Schedules[[#This Row],[EE ID]],TeamList[],MATCH(Schedules[[#This Row],[DOW]],TeamList[#Headers],0),0),4)),"_NO MATCH")</f>
        <v>14:0</v>
      </c>
      <c r="Z382" s="4" t="str">
        <f>IFERROR(IF(Schedules[[#This Row],[Scheduled]]="OFF","",RIGHT(VLOOKUP(Schedules[[#This Row],[EE ID]],TeamList[],MATCH(Schedules[[#This Row],[DOW]],TeamList[#Headers],0),0),4)),"_NO MATCH")</f>
        <v>3:00</v>
      </c>
    </row>
    <row r="383" spans="19:26" x14ac:dyDescent="0.25">
      <c r="S383" s="209">
        <v>1510993</v>
      </c>
      <c r="T383" s="209" t="str">
        <f>Schedules[[#This Row],[Employee Name]]&amp;Schedules[[#This Row],[DOW]]</f>
        <v>Alvarez, CarlosWed</v>
      </c>
      <c r="U383" s="4" t="str">
        <f>IFERROR(VLOOKUP(Schedules[[#This Row],[EE ID]],TeamList[],MATCH(Schedules[[#Headers],[Employee Name]],TeamList[#Headers],0),0),"_NO MATCH")</f>
        <v>Alvarez, Carlos</v>
      </c>
      <c r="V383" s="4" t="str">
        <f>IFERROR(VLOOKUP(Schedules[[#This Row],[EE ID]],TeamList[],MATCH(Schedules[[#Headers],[Dept]],TeamList[#Headers],0),0),"_NO MATCH")</f>
        <v>Sup, Customer Service</v>
      </c>
      <c r="W383" s="286" t="s">
        <v>9</v>
      </c>
      <c r="X383" s="4" t="str">
        <f>IFERROR(IF(VLOOKUP(Schedules[[#This Row],[EE ID]],TeamList[],MATCH(Schedules[[#This Row],[DOW]],TeamList[#Headers],0),0)="OFF","OFF","SCH"),"_NO MATCH")</f>
        <v>SCH</v>
      </c>
      <c r="Y383" s="4" t="str">
        <f>IFERROR(IF(Schedules[[#This Row],[Scheduled]]="OFF","",LEFT(VLOOKUP(Schedules[[#This Row],[EE ID]],TeamList[],MATCH(Schedules[[#This Row],[DOW]],TeamList[#Headers],0),0),4)),"_NO MATCH")</f>
        <v>08:0</v>
      </c>
      <c r="Z383" s="4" t="str">
        <f>IFERROR(IF(Schedules[[#This Row],[Scheduled]]="OFF","",RIGHT(VLOOKUP(Schedules[[#This Row],[EE ID]],TeamList[],MATCH(Schedules[[#This Row],[DOW]],TeamList[#Headers],0),0),4)),"_NO MATCH")</f>
        <v>7:00</v>
      </c>
    </row>
    <row r="384" spans="19:26" x14ac:dyDescent="0.25">
      <c r="S384" s="209">
        <v>1510993</v>
      </c>
      <c r="T384" s="209" t="str">
        <f>Schedules[[#This Row],[Employee Name]]&amp;Schedules[[#This Row],[DOW]]</f>
        <v>Alvarez, CarlosTue</v>
      </c>
      <c r="U384" s="4" t="str">
        <f>IFERROR(VLOOKUP(Schedules[[#This Row],[EE ID]],TeamList[],MATCH(Schedules[[#Headers],[Employee Name]],TeamList[#Headers],0),0),"_NO MATCH")</f>
        <v>Alvarez, Carlos</v>
      </c>
      <c r="V384" s="4" t="str">
        <f>IFERROR(VLOOKUP(Schedules[[#This Row],[EE ID]],TeamList[],MATCH(Schedules[[#Headers],[Dept]],TeamList[#Headers],0),0),"_NO MATCH")</f>
        <v>Sup, Customer Service</v>
      </c>
      <c r="W384" s="286" t="s">
        <v>8</v>
      </c>
      <c r="X384" s="4" t="str">
        <f>IFERROR(IF(VLOOKUP(Schedules[[#This Row],[EE ID]],TeamList[],MATCH(Schedules[[#This Row],[DOW]],TeamList[#Headers],0),0)="OFF","OFF","SCH"),"_NO MATCH")</f>
        <v>SCH</v>
      </c>
      <c r="Y384" s="4" t="str">
        <f>IFERROR(IF(Schedules[[#This Row],[Scheduled]]="OFF","",LEFT(VLOOKUP(Schedules[[#This Row],[EE ID]],TeamList[],MATCH(Schedules[[#This Row],[DOW]],TeamList[#Headers],0),0),4)),"_NO MATCH")</f>
        <v>08:0</v>
      </c>
      <c r="Z384" s="4" t="str">
        <f>IFERROR(IF(Schedules[[#This Row],[Scheduled]]="OFF","",RIGHT(VLOOKUP(Schedules[[#This Row],[EE ID]],TeamList[],MATCH(Schedules[[#This Row],[DOW]],TeamList[#Headers],0),0),4)),"_NO MATCH")</f>
        <v>7:00</v>
      </c>
    </row>
    <row r="385" spans="19:26" x14ac:dyDescent="0.25">
      <c r="S385" s="209">
        <v>1510993</v>
      </c>
      <c r="T385" s="209" t="str">
        <f>Schedules[[#This Row],[Employee Name]]&amp;Schedules[[#This Row],[DOW]]</f>
        <v>Alvarez, CarlosThu</v>
      </c>
      <c r="U385" s="4" t="str">
        <f>IFERROR(VLOOKUP(Schedules[[#This Row],[EE ID]],TeamList[],MATCH(Schedules[[#Headers],[Employee Name]],TeamList[#Headers],0),0),"_NO MATCH")</f>
        <v>Alvarez, Carlos</v>
      </c>
      <c r="V385" s="4" t="str">
        <f>IFERROR(VLOOKUP(Schedules[[#This Row],[EE ID]],TeamList[],MATCH(Schedules[[#Headers],[Dept]],TeamList[#Headers],0),0),"_NO MATCH")</f>
        <v>Sup, Customer Service</v>
      </c>
      <c r="W385" s="286" t="s">
        <v>10</v>
      </c>
      <c r="X385" s="4" t="str">
        <f>IFERROR(IF(VLOOKUP(Schedules[[#This Row],[EE ID]],TeamList[],MATCH(Schedules[[#This Row],[DOW]],TeamList[#Headers],0),0)="OFF","OFF","SCH"),"_NO MATCH")</f>
        <v>SCH</v>
      </c>
      <c r="Y385" s="4" t="str">
        <f>IFERROR(IF(Schedules[[#This Row],[Scheduled]]="OFF","",LEFT(VLOOKUP(Schedules[[#This Row],[EE ID]],TeamList[],MATCH(Schedules[[#This Row],[DOW]],TeamList[#Headers],0),0),4)),"_NO MATCH")</f>
        <v>08:0</v>
      </c>
      <c r="Z385" s="4" t="str">
        <f>IFERROR(IF(Schedules[[#This Row],[Scheduled]]="OFF","",RIGHT(VLOOKUP(Schedules[[#This Row],[EE ID]],TeamList[],MATCH(Schedules[[#This Row],[DOW]],TeamList[#Headers],0),0),4)),"_NO MATCH")</f>
        <v>7:00</v>
      </c>
    </row>
    <row r="386" spans="19:26" x14ac:dyDescent="0.25">
      <c r="S386" s="209">
        <v>1510993</v>
      </c>
      <c r="T386" s="209" t="str">
        <f>Schedules[[#This Row],[Employee Name]]&amp;Schedules[[#This Row],[DOW]]</f>
        <v>Alvarez, CarlosSun</v>
      </c>
      <c r="U386" s="4" t="str">
        <f>IFERROR(VLOOKUP(Schedules[[#This Row],[EE ID]],TeamList[],MATCH(Schedules[[#Headers],[Employee Name]],TeamList[#Headers],0),0),"_NO MATCH")</f>
        <v>Alvarez, Carlos</v>
      </c>
      <c r="V386" s="4" t="str">
        <f>IFERROR(VLOOKUP(Schedules[[#This Row],[EE ID]],TeamList[],MATCH(Schedules[[#Headers],[Dept]],TeamList[#Headers],0),0),"_NO MATCH")</f>
        <v>Sup, Customer Service</v>
      </c>
      <c r="W386" s="287" t="s">
        <v>6</v>
      </c>
      <c r="X386" s="219" t="str">
        <f>IFERROR(IF(VLOOKUP(Schedules[[#This Row],[EE ID]],TeamList[],MATCH(Schedules[[#This Row],[DOW]],TeamList[#Headers],0),0)="OFF","OFF","SCH"),"_NO MATCH")</f>
        <v>OFF</v>
      </c>
      <c r="Y386" s="219" t="str">
        <f>IFERROR(IF(Schedules[[#This Row],[Scheduled]]="OFF","",LEFT(VLOOKUP(Schedules[[#This Row],[EE ID]],TeamList[],MATCH(Schedules[[#This Row],[DOW]],TeamList[#Headers],0),0),4)),"_NO MATCH")</f>
        <v/>
      </c>
      <c r="Z386" s="219" t="str">
        <f>IFERROR(IF(Schedules[[#This Row],[Scheduled]]="OFF","",RIGHT(VLOOKUP(Schedules[[#This Row],[EE ID]],TeamList[],MATCH(Schedules[[#This Row],[DOW]],TeamList[#Headers],0),0),4)),"_NO MATCH")</f>
        <v/>
      </c>
    </row>
    <row r="387" spans="19:26" x14ac:dyDescent="0.25">
      <c r="S387" s="209">
        <v>1510993</v>
      </c>
      <c r="T387" s="209" t="str">
        <f>Schedules[[#This Row],[Employee Name]]&amp;Schedules[[#This Row],[DOW]]</f>
        <v>Alvarez, CarlosSat</v>
      </c>
      <c r="U387" s="4" t="str">
        <f>IFERROR(VLOOKUP(Schedules[[#This Row],[EE ID]],TeamList[],MATCH(Schedules[[#Headers],[Employee Name]],TeamList[#Headers],0),0),"_NO MATCH")</f>
        <v>Alvarez, Carlos</v>
      </c>
      <c r="V387" s="4" t="str">
        <f>IFERROR(VLOOKUP(Schedules[[#This Row],[EE ID]],TeamList[],MATCH(Schedules[[#Headers],[Dept]],TeamList[#Headers],0),0),"_NO MATCH")</f>
        <v>Sup, Customer Service</v>
      </c>
      <c r="W387" s="286" t="s">
        <v>12</v>
      </c>
      <c r="X387" s="4" t="str">
        <f>IFERROR(IF(VLOOKUP(Schedules[[#This Row],[EE ID]],TeamList[],MATCH(Schedules[[#This Row],[DOW]],TeamList[#Headers],0),0)="OFF","OFF","SCH"),"_NO MATCH")</f>
        <v>OFF</v>
      </c>
      <c r="Y387" s="4" t="str">
        <f>IFERROR(IF(Schedules[[#This Row],[Scheduled]]="OFF","",LEFT(VLOOKUP(Schedules[[#This Row],[EE ID]],TeamList[],MATCH(Schedules[[#This Row],[DOW]],TeamList[#Headers],0),0),4)),"_NO MATCH")</f>
        <v/>
      </c>
      <c r="Z387" s="4" t="str">
        <f>IFERROR(IF(Schedules[[#This Row],[Scheduled]]="OFF","",RIGHT(VLOOKUP(Schedules[[#This Row],[EE ID]],TeamList[],MATCH(Schedules[[#This Row],[DOW]],TeamList[#Headers],0),0),4)),"_NO MATCH")</f>
        <v/>
      </c>
    </row>
    <row r="388" spans="19:26" x14ac:dyDescent="0.25">
      <c r="S388" s="209">
        <v>1510993</v>
      </c>
      <c r="T388" s="209" t="str">
        <f>Schedules[[#This Row],[Employee Name]]&amp;Schedules[[#This Row],[DOW]]</f>
        <v>Alvarez, CarlosMon</v>
      </c>
      <c r="U388" s="4" t="str">
        <f>IFERROR(VLOOKUP(Schedules[[#This Row],[EE ID]],TeamList[],MATCH(Schedules[[#Headers],[Employee Name]],TeamList[#Headers],0),0),"_NO MATCH")</f>
        <v>Alvarez, Carlos</v>
      </c>
      <c r="V388" s="4" t="str">
        <f>IFERROR(VLOOKUP(Schedules[[#This Row],[EE ID]],TeamList[],MATCH(Schedules[[#Headers],[Dept]],TeamList[#Headers],0),0),"_NO MATCH")</f>
        <v>Sup, Customer Service</v>
      </c>
      <c r="W388" s="286" t="s">
        <v>7</v>
      </c>
      <c r="X388" s="4" t="str">
        <f>IFERROR(IF(VLOOKUP(Schedules[[#This Row],[EE ID]],TeamList[],MATCH(Schedules[[#This Row],[DOW]],TeamList[#Headers],0),0)="OFF","OFF","SCH"),"_NO MATCH")</f>
        <v>SCH</v>
      </c>
      <c r="Y388" s="4" t="str">
        <f>IFERROR(IF(Schedules[[#This Row],[Scheduled]]="OFF","",LEFT(VLOOKUP(Schedules[[#This Row],[EE ID]],TeamList[],MATCH(Schedules[[#This Row],[DOW]],TeamList[#Headers],0),0),4)),"_NO MATCH")</f>
        <v>08:0</v>
      </c>
      <c r="Z388" s="4" t="str">
        <f>IFERROR(IF(Schedules[[#This Row],[Scheduled]]="OFF","",RIGHT(VLOOKUP(Schedules[[#This Row],[EE ID]],TeamList[],MATCH(Schedules[[#This Row],[DOW]],TeamList[#Headers],0),0),4)),"_NO MATCH")</f>
        <v>7:00</v>
      </c>
    </row>
    <row r="389" spans="19:26" x14ac:dyDescent="0.25">
      <c r="S389" s="209">
        <v>1510993</v>
      </c>
      <c r="T389" s="209" t="str">
        <f>Schedules[[#This Row],[Employee Name]]&amp;Schedules[[#This Row],[DOW]]</f>
        <v>Alvarez, CarlosFri</v>
      </c>
      <c r="U389" s="4" t="str">
        <f>IFERROR(VLOOKUP(Schedules[[#This Row],[EE ID]],TeamList[],MATCH(Schedules[[#Headers],[Employee Name]],TeamList[#Headers],0),0),"_NO MATCH")</f>
        <v>Alvarez, Carlos</v>
      </c>
      <c r="V389" s="4" t="str">
        <f>IFERROR(VLOOKUP(Schedules[[#This Row],[EE ID]],TeamList[],MATCH(Schedules[[#Headers],[Dept]],TeamList[#Headers],0),0),"_NO MATCH")</f>
        <v>Sup, Customer Service</v>
      </c>
      <c r="W389" s="286" t="s">
        <v>11</v>
      </c>
      <c r="X389" s="4" t="str">
        <f>IFERROR(IF(VLOOKUP(Schedules[[#This Row],[EE ID]],TeamList[],MATCH(Schedules[[#This Row],[DOW]],TeamList[#Headers],0),0)="OFF","OFF","SCH"),"_NO MATCH")</f>
        <v>SCH</v>
      </c>
      <c r="Y389" s="4" t="str">
        <f>IFERROR(IF(Schedules[[#This Row],[Scheduled]]="OFF","",LEFT(VLOOKUP(Schedules[[#This Row],[EE ID]],TeamList[],MATCH(Schedules[[#This Row],[DOW]],TeamList[#Headers],0),0),4)),"_NO MATCH")</f>
        <v>08:0</v>
      </c>
      <c r="Z389" s="4" t="str">
        <f>IFERROR(IF(Schedules[[#This Row],[Scheduled]]="OFF","",RIGHT(VLOOKUP(Schedules[[#This Row],[EE ID]],TeamList[],MATCH(Schedules[[#This Row],[DOW]],TeamList[#Headers],0),0),4)),"_NO MATCH")</f>
        <v>7:00</v>
      </c>
    </row>
    <row r="390" spans="19:26" x14ac:dyDescent="0.25">
      <c r="S390" s="209">
        <v>1515675</v>
      </c>
      <c r="T390" s="209" t="str">
        <f>Schedules[[#This Row],[Employee Name]]&amp;Schedules[[#This Row],[DOW]]</f>
        <v>Albritton, AhmedWed</v>
      </c>
      <c r="U390" s="4" t="str">
        <f>IFERROR(VLOOKUP(Schedules[[#This Row],[EE ID]],TeamList[],MATCH(Schedules[[#Headers],[Employee Name]],TeamList[#Headers],0),0),"_NO MATCH")</f>
        <v>Albritton, Ahmed</v>
      </c>
      <c r="V390" s="4" t="str">
        <f>IFERROR(VLOOKUP(Schedules[[#This Row],[EE ID]],TeamList[],MATCH(Schedules[[#Headers],[Dept]],TeamList[#Headers],0),0),"_NO MATCH")</f>
        <v>Lead Billing</v>
      </c>
      <c r="W390" s="286" t="s">
        <v>9</v>
      </c>
      <c r="X390" s="4" t="str">
        <f>IFERROR(IF(VLOOKUP(Schedules[[#This Row],[EE ID]],TeamList[],MATCH(Schedules[[#This Row],[DOW]],TeamList[#Headers],0),0)="OFF","OFF","SCH"),"_NO MATCH")</f>
        <v>SCH</v>
      </c>
      <c r="Y390" s="4" t="str">
        <f>IFERROR(IF(Schedules[[#This Row],[Scheduled]]="OFF","",LEFT(VLOOKUP(Schedules[[#This Row],[EE ID]],TeamList[],MATCH(Schedules[[#This Row],[DOW]],TeamList[#Headers],0),0),4)),"_NO MATCH")</f>
        <v>05:3</v>
      </c>
      <c r="Z390" s="4" t="str">
        <f>IFERROR(IF(Schedules[[#This Row],[Scheduled]]="OFF","",RIGHT(VLOOKUP(Schedules[[#This Row],[EE ID]],TeamList[],MATCH(Schedules[[#This Row],[DOW]],TeamList[#Headers],0),0),4)),"_NO MATCH")</f>
        <v>4:00</v>
      </c>
    </row>
    <row r="391" spans="19:26" x14ac:dyDescent="0.25">
      <c r="S391" s="209">
        <v>1515675</v>
      </c>
      <c r="T391" s="209" t="str">
        <f>Schedules[[#This Row],[Employee Name]]&amp;Schedules[[#This Row],[DOW]]</f>
        <v>Albritton, AhmedTue</v>
      </c>
      <c r="U391" s="4" t="str">
        <f>IFERROR(VLOOKUP(Schedules[[#This Row],[EE ID]],TeamList[],MATCH(Schedules[[#Headers],[Employee Name]],TeamList[#Headers],0),0),"_NO MATCH")</f>
        <v>Albritton, Ahmed</v>
      </c>
      <c r="V391" s="4" t="str">
        <f>IFERROR(VLOOKUP(Schedules[[#This Row],[EE ID]],TeamList[],MATCH(Schedules[[#Headers],[Dept]],TeamList[#Headers],0),0),"_NO MATCH")</f>
        <v>Lead Billing</v>
      </c>
      <c r="W391" s="286" t="s">
        <v>8</v>
      </c>
      <c r="X391" s="4" t="str">
        <f>IFERROR(IF(VLOOKUP(Schedules[[#This Row],[EE ID]],TeamList[],MATCH(Schedules[[#This Row],[DOW]],TeamList[#Headers],0),0)="OFF","OFF","SCH"),"_NO MATCH")</f>
        <v>SCH</v>
      </c>
      <c r="Y391" s="4" t="str">
        <f>IFERROR(IF(Schedules[[#This Row],[Scheduled]]="OFF","",LEFT(VLOOKUP(Schedules[[#This Row],[EE ID]],TeamList[],MATCH(Schedules[[#This Row],[DOW]],TeamList[#Headers],0),0),4)),"_NO MATCH")</f>
        <v>05:3</v>
      </c>
      <c r="Z391" s="4" t="str">
        <f>IFERROR(IF(Schedules[[#This Row],[Scheduled]]="OFF","",RIGHT(VLOOKUP(Schedules[[#This Row],[EE ID]],TeamList[],MATCH(Schedules[[#This Row],[DOW]],TeamList[#Headers],0),0),4)),"_NO MATCH")</f>
        <v>4:00</v>
      </c>
    </row>
    <row r="392" spans="19:26" x14ac:dyDescent="0.25">
      <c r="S392" s="209">
        <v>1515675</v>
      </c>
      <c r="T392" s="209" t="str">
        <f>Schedules[[#This Row],[Employee Name]]&amp;Schedules[[#This Row],[DOW]]</f>
        <v>Albritton, AhmedThu</v>
      </c>
      <c r="U392" s="4" t="str">
        <f>IFERROR(VLOOKUP(Schedules[[#This Row],[EE ID]],TeamList[],MATCH(Schedules[[#Headers],[Employee Name]],TeamList[#Headers],0),0),"_NO MATCH")</f>
        <v>Albritton, Ahmed</v>
      </c>
      <c r="V392" s="4" t="str">
        <f>IFERROR(VLOOKUP(Schedules[[#This Row],[EE ID]],TeamList[],MATCH(Schedules[[#Headers],[Dept]],TeamList[#Headers],0),0),"_NO MATCH")</f>
        <v>Lead Billing</v>
      </c>
      <c r="W392" s="286" t="s">
        <v>10</v>
      </c>
      <c r="X392" s="4" t="str">
        <f>IFERROR(IF(VLOOKUP(Schedules[[#This Row],[EE ID]],TeamList[],MATCH(Schedules[[#This Row],[DOW]],TeamList[#Headers],0),0)="OFF","OFF","SCH"),"_NO MATCH")</f>
        <v>SCH</v>
      </c>
      <c r="Y392" s="4" t="str">
        <f>IFERROR(IF(Schedules[[#This Row],[Scheduled]]="OFF","",LEFT(VLOOKUP(Schedules[[#This Row],[EE ID]],TeamList[],MATCH(Schedules[[#This Row],[DOW]],TeamList[#Headers],0),0),4)),"_NO MATCH")</f>
        <v>05:3</v>
      </c>
      <c r="Z392" s="4" t="str">
        <f>IFERROR(IF(Schedules[[#This Row],[Scheduled]]="OFF","",RIGHT(VLOOKUP(Schedules[[#This Row],[EE ID]],TeamList[],MATCH(Schedules[[#This Row],[DOW]],TeamList[#Headers],0),0),4)),"_NO MATCH")</f>
        <v>4:00</v>
      </c>
    </row>
    <row r="393" spans="19:26" x14ac:dyDescent="0.25">
      <c r="S393" s="209">
        <v>1515675</v>
      </c>
      <c r="T393" s="209" t="str">
        <f>Schedules[[#This Row],[Employee Name]]&amp;Schedules[[#This Row],[DOW]]</f>
        <v>Albritton, AhmedSun</v>
      </c>
      <c r="U393" s="4" t="str">
        <f>IFERROR(VLOOKUP(Schedules[[#This Row],[EE ID]],TeamList[],MATCH(Schedules[[#Headers],[Employee Name]],TeamList[#Headers],0),0),"_NO MATCH")</f>
        <v>Albritton, Ahmed</v>
      </c>
      <c r="V393" s="4" t="str">
        <f>IFERROR(VLOOKUP(Schedules[[#This Row],[EE ID]],TeamList[],MATCH(Schedules[[#Headers],[Dept]],TeamList[#Headers],0),0),"_NO MATCH")</f>
        <v>Lead Billing</v>
      </c>
      <c r="W393" s="287" t="s">
        <v>6</v>
      </c>
      <c r="X393" s="219" t="str">
        <f>IFERROR(IF(VLOOKUP(Schedules[[#This Row],[EE ID]],TeamList[],MATCH(Schedules[[#This Row],[DOW]],TeamList[#Headers],0),0)="OFF","OFF","SCH"),"_NO MATCH")</f>
        <v>OFF</v>
      </c>
      <c r="Y393" s="219" t="str">
        <f>IFERROR(IF(Schedules[[#This Row],[Scheduled]]="OFF","",LEFT(VLOOKUP(Schedules[[#This Row],[EE ID]],TeamList[],MATCH(Schedules[[#This Row],[DOW]],TeamList[#Headers],0),0),4)),"_NO MATCH")</f>
        <v/>
      </c>
      <c r="Z393" s="219" t="str">
        <f>IFERROR(IF(Schedules[[#This Row],[Scheduled]]="OFF","",RIGHT(VLOOKUP(Schedules[[#This Row],[EE ID]],TeamList[],MATCH(Schedules[[#This Row],[DOW]],TeamList[#Headers],0),0),4)),"_NO MATCH")</f>
        <v/>
      </c>
    </row>
    <row r="394" spans="19:26" x14ac:dyDescent="0.25">
      <c r="S394" s="209">
        <v>1515675</v>
      </c>
      <c r="T394" s="209" t="str">
        <f>Schedules[[#This Row],[Employee Name]]&amp;Schedules[[#This Row],[DOW]]</f>
        <v>Albritton, AhmedSat</v>
      </c>
      <c r="U394" s="4" t="str">
        <f>IFERROR(VLOOKUP(Schedules[[#This Row],[EE ID]],TeamList[],MATCH(Schedules[[#Headers],[Employee Name]],TeamList[#Headers],0),0),"_NO MATCH")</f>
        <v>Albritton, Ahmed</v>
      </c>
      <c r="V394" s="4" t="str">
        <f>IFERROR(VLOOKUP(Schedules[[#This Row],[EE ID]],TeamList[],MATCH(Schedules[[#Headers],[Dept]],TeamList[#Headers],0),0),"_NO MATCH")</f>
        <v>Lead Billing</v>
      </c>
      <c r="W394" s="286" t="s">
        <v>12</v>
      </c>
      <c r="X394" s="4" t="str">
        <f>IFERROR(IF(VLOOKUP(Schedules[[#This Row],[EE ID]],TeamList[],MATCH(Schedules[[#This Row],[DOW]],TeamList[#Headers],0),0)="OFF","OFF","SCH"),"_NO MATCH")</f>
        <v>OFF</v>
      </c>
      <c r="Y394" s="4" t="str">
        <f>IFERROR(IF(Schedules[[#This Row],[Scheduled]]="OFF","",LEFT(VLOOKUP(Schedules[[#This Row],[EE ID]],TeamList[],MATCH(Schedules[[#This Row],[DOW]],TeamList[#Headers],0),0),4)),"_NO MATCH")</f>
        <v/>
      </c>
      <c r="Z394" s="4" t="str">
        <f>IFERROR(IF(Schedules[[#This Row],[Scheduled]]="OFF","",RIGHT(VLOOKUP(Schedules[[#This Row],[EE ID]],TeamList[],MATCH(Schedules[[#This Row],[DOW]],TeamList[#Headers],0),0),4)),"_NO MATCH")</f>
        <v/>
      </c>
    </row>
    <row r="395" spans="19:26" x14ac:dyDescent="0.25">
      <c r="S395" s="209">
        <v>1515675</v>
      </c>
      <c r="T395" s="209" t="str">
        <f>Schedules[[#This Row],[Employee Name]]&amp;Schedules[[#This Row],[DOW]]</f>
        <v>Albritton, AhmedMon</v>
      </c>
      <c r="U395" s="4" t="str">
        <f>IFERROR(VLOOKUP(Schedules[[#This Row],[EE ID]],TeamList[],MATCH(Schedules[[#Headers],[Employee Name]],TeamList[#Headers],0),0),"_NO MATCH")</f>
        <v>Albritton, Ahmed</v>
      </c>
      <c r="V395" s="4" t="str">
        <f>IFERROR(VLOOKUP(Schedules[[#This Row],[EE ID]],TeamList[],MATCH(Schedules[[#Headers],[Dept]],TeamList[#Headers],0),0),"_NO MATCH")</f>
        <v>Lead Billing</v>
      </c>
      <c r="W395" s="286" t="s">
        <v>7</v>
      </c>
      <c r="X395" s="4" t="str">
        <f>IFERROR(IF(VLOOKUP(Schedules[[#This Row],[EE ID]],TeamList[],MATCH(Schedules[[#This Row],[DOW]],TeamList[#Headers],0),0)="OFF","OFF","SCH"),"_NO MATCH")</f>
        <v>SCH</v>
      </c>
      <c r="Y395" s="4" t="str">
        <f>IFERROR(IF(Schedules[[#This Row],[Scheduled]]="OFF","",LEFT(VLOOKUP(Schedules[[#This Row],[EE ID]],TeamList[],MATCH(Schedules[[#This Row],[DOW]],TeamList[#Headers],0),0),4)),"_NO MATCH")</f>
        <v>05:3</v>
      </c>
      <c r="Z395" s="4" t="str">
        <f>IFERROR(IF(Schedules[[#This Row],[Scheduled]]="OFF","",RIGHT(VLOOKUP(Schedules[[#This Row],[EE ID]],TeamList[],MATCH(Schedules[[#This Row],[DOW]],TeamList[#Headers],0),0),4)),"_NO MATCH")</f>
        <v>4:00</v>
      </c>
    </row>
    <row r="396" spans="19:26" x14ac:dyDescent="0.25">
      <c r="S396" s="209">
        <v>1515675</v>
      </c>
      <c r="T396" s="209" t="str">
        <f>Schedules[[#This Row],[Employee Name]]&amp;Schedules[[#This Row],[DOW]]</f>
        <v>Albritton, AhmedFri</v>
      </c>
      <c r="U396" s="4" t="str">
        <f>IFERROR(VLOOKUP(Schedules[[#This Row],[EE ID]],TeamList[],MATCH(Schedules[[#Headers],[Employee Name]],TeamList[#Headers],0),0),"_NO MATCH")</f>
        <v>Albritton, Ahmed</v>
      </c>
      <c r="V396" s="4" t="str">
        <f>IFERROR(VLOOKUP(Schedules[[#This Row],[EE ID]],TeamList[],MATCH(Schedules[[#Headers],[Dept]],TeamList[#Headers],0),0),"_NO MATCH")</f>
        <v>Lead Billing</v>
      </c>
      <c r="W396" s="286" t="s">
        <v>11</v>
      </c>
      <c r="X396" s="4" t="str">
        <f>IFERROR(IF(VLOOKUP(Schedules[[#This Row],[EE ID]],TeamList[],MATCH(Schedules[[#This Row],[DOW]],TeamList[#Headers],0),0)="OFF","OFF","SCH"),"_NO MATCH")</f>
        <v>SCH</v>
      </c>
      <c r="Y396" s="4" t="str">
        <f>IFERROR(IF(Schedules[[#This Row],[Scheduled]]="OFF","",LEFT(VLOOKUP(Schedules[[#This Row],[EE ID]],TeamList[],MATCH(Schedules[[#This Row],[DOW]],TeamList[#Headers],0),0),4)),"_NO MATCH")</f>
        <v>05:3</v>
      </c>
      <c r="Z396" s="4" t="str">
        <f>IFERROR(IF(Schedules[[#This Row],[Scheduled]]="OFF","",RIGHT(VLOOKUP(Schedules[[#This Row],[EE ID]],TeamList[],MATCH(Schedules[[#This Row],[DOW]],TeamList[#Headers],0),0),4)),"_NO MATCH")</f>
        <v>4:00</v>
      </c>
    </row>
    <row r="397" spans="19:26" x14ac:dyDescent="0.25">
      <c r="S397" s="209">
        <v>1515769</v>
      </c>
      <c r="T397" s="209" t="str">
        <f>Schedules[[#This Row],[Employee Name]]&amp;Schedules[[#This Row],[DOW]]</f>
        <v>Albert, ChristinaWed</v>
      </c>
      <c r="U397" s="4" t="str">
        <f>IFERROR(VLOOKUP(Schedules[[#This Row],[EE ID]],TeamList[],MATCH(Schedules[[#Headers],[Employee Name]],TeamList[#Headers],0),0),"_NO MATCH")</f>
        <v>Albert, Christina</v>
      </c>
      <c r="V397" s="4" t="str">
        <f>IFERROR(VLOOKUP(Schedules[[#This Row],[EE ID]],TeamList[],MATCH(Schedules[[#Headers],[Dept]],TeamList[#Headers],0),0),"_NO MATCH")</f>
        <v>Lead Billing</v>
      </c>
      <c r="W397" s="286" t="s">
        <v>9</v>
      </c>
      <c r="X397" s="4" t="str">
        <f>IFERROR(IF(VLOOKUP(Schedules[[#This Row],[EE ID]],TeamList[],MATCH(Schedules[[#This Row],[DOW]],TeamList[#Headers],0),0)="OFF","OFF","SCH"),"_NO MATCH")</f>
        <v>SCH</v>
      </c>
      <c r="Y397" s="4" t="str">
        <f>IFERROR(IF(Schedules[[#This Row],[Scheduled]]="OFF","",LEFT(VLOOKUP(Schedules[[#This Row],[EE ID]],TeamList[],MATCH(Schedules[[#This Row],[DOW]],TeamList[#Headers],0),0),4)),"_NO MATCH")</f>
        <v>06:0</v>
      </c>
      <c r="Z397" s="4" t="str">
        <f>IFERROR(IF(Schedules[[#This Row],[Scheduled]]="OFF","",RIGHT(VLOOKUP(Schedules[[#This Row],[EE ID]],TeamList[],MATCH(Schedules[[#This Row],[DOW]],TeamList[#Headers],0),0),4)),"_NO MATCH")</f>
        <v>4:30</v>
      </c>
    </row>
    <row r="398" spans="19:26" x14ac:dyDescent="0.25">
      <c r="S398" s="209">
        <v>1515769</v>
      </c>
      <c r="T398" s="209" t="str">
        <f>Schedules[[#This Row],[Employee Name]]&amp;Schedules[[#This Row],[DOW]]</f>
        <v>Albert, ChristinaTue</v>
      </c>
      <c r="U398" s="4" t="str">
        <f>IFERROR(VLOOKUP(Schedules[[#This Row],[EE ID]],TeamList[],MATCH(Schedules[[#Headers],[Employee Name]],TeamList[#Headers],0),0),"_NO MATCH")</f>
        <v>Albert, Christina</v>
      </c>
      <c r="V398" s="4" t="str">
        <f>IFERROR(VLOOKUP(Schedules[[#This Row],[EE ID]],TeamList[],MATCH(Schedules[[#Headers],[Dept]],TeamList[#Headers],0),0),"_NO MATCH")</f>
        <v>Lead Billing</v>
      </c>
      <c r="W398" s="286" t="s">
        <v>8</v>
      </c>
      <c r="X398" s="4" t="str">
        <f>IFERROR(IF(VLOOKUP(Schedules[[#This Row],[EE ID]],TeamList[],MATCH(Schedules[[#This Row],[DOW]],TeamList[#Headers],0),0)="OFF","OFF","SCH"),"_NO MATCH")</f>
        <v>SCH</v>
      </c>
      <c r="Y398" s="4" t="str">
        <f>IFERROR(IF(Schedules[[#This Row],[Scheduled]]="OFF","",LEFT(VLOOKUP(Schedules[[#This Row],[EE ID]],TeamList[],MATCH(Schedules[[#This Row],[DOW]],TeamList[#Headers],0),0),4)),"_NO MATCH")</f>
        <v>06:0</v>
      </c>
      <c r="Z398" s="4" t="str">
        <f>IFERROR(IF(Schedules[[#This Row],[Scheduled]]="OFF","",RIGHT(VLOOKUP(Schedules[[#This Row],[EE ID]],TeamList[],MATCH(Schedules[[#This Row],[DOW]],TeamList[#Headers],0),0),4)),"_NO MATCH")</f>
        <v>4:30</v>
      </c>
    </row>
    <row r="399" spans="19:26" x14ac:dyDescent="0.25">
      <c r="S399" s="209">
        <v>1515769</v>
      </c>
      <c r="T399" s="209" t="str">
        <f>Schedules[[#This Row],[Employee Name]]&amp;Schedules[[#This Row],[DOW]]</f>
        <v>Albert, ChristinaThu</v>
      </c>
      <c r="U399" s="4" t="str">
        <f>IFERROR(VLOOKUP(Schedules[[#This Row],[EE ID]],TeamList[],MATCH(Schedules[[#Headers],[Employee Name]],TeamList[#Headers],0),0),"_NO MATCH")</f>
        <v>Albert, Christina</v>
      </c>
      <c r="V399" s="4" t="str">
        <f>IFERROR(VLOOKUP(Schedules[[#This Row],[EE ID]],TeamList[],MATCH(Schedules[[#Headers],[Dept]],TeamList[#Headers],0),0),"_NO MATCH")</f>
        <v>Lead Billing</v>
      </c>
      <c r="W399" s="286" t="s">
        <v>10</v>
      </c>
      <c r="X399" s="4" t="str">
        <f>IFERROR(IF(VLOOKUP(Schedules[[#This Row],[EE ID]],TeamList[],MATCH(Schedules[[#This Row],[DOW]],TeamList[#Headers],0),0)="OFF","OFF","SCH"),"_NO MATCH")</f>
        <v>SCH</v>
      </c>
      <c r="Y399" s="4" t="str">
        <f>IFERROR(IF(Schedules[[#This Row],[Scheduled]]="OFF","",LEFT(VLOOKUP(Schedules[[#This Row],[EE ID]],TeamList[],MATCH(Schedules[[#This Row],[DOW]],TeamList[#Headers],0),0),4)),"_NO MATCH")</f>
        <v>06:0</v>
      </c>
      <c r="Z399" s="4" t="str">
        <f>IFERROR(IF(Schedules[[#This Row],[Scheduled]]="OFF","",RIGHT(VLOOKUP(Schedules[[#This Row],[EE ID]],TeamList[],MATCH(Schedules[[#This Row],[DOW]],TeamList[#Headers],0),0),4)),"_NO MATCH")</f>
        <v>4:30</v>
      </c>
    </row>
    <row r="400" spans="19:26" x14ac:dyDescent="0.25">
      <c r="S400" s="209">
        <v>1515769</v>
      </c>
      <c r="T400" s="209" t="str">
        <f>Schedules[[#This Row],[Employee Name]]&amp;Schedules[[#This Row],[DOW]]</f>
        <v>Albert, ChristinaSun</v>
      </c>
      <c r="U400" s="4" t="str">
        <f>IFERROR(VLOOKUP(Schedules[[#This Row],[EE ID]],TeamList[],MATCH(Schedules[[#Headers],[Employee Name]],TeamList[#Headers],0),0),"_NO MATCH")</f>
        <v>Albert, Christina</v>
      </c>
      <c r="V400" s="4" t="str">
        <f>IFERROR(VLOOKUP(Schedules[[#This Row],[EE ID]],TeamList[],MATCH(Schedules[[#Headers],[Dept]],TeamList[#Headers],0),0),"_NO MATCH")</f>
        <v>Lead Billing</v>
      </c>
      <c r="W400" s="287" t="s">
        <v>6</v>
      </c>
      <c r="X400" s="219" t="str">
        <f>IFERROR(IF(VLOOKUP(Schedules[[#This Row],[EE ID]],TeamList[],MATCH(Schedules[[#This Row],[DOW]],TeamList[#Headers],0),0)="OFF","OFF","SCH"),"_NO MATCH")</f>
        <v>OFF</v>
      </c>
      <c r="Y400" s="219" t="str">
        <f>IFERROR(IF(Schedules[[#This Row],[Scheduled]]="OFF","",LEFT(VLOOKUP(Schedules[[#This Row],[EE ID]],TeamList[],MATCH(Schedules[[#This Row],[DOW]],TeamList[#Headers],0),0),4)),"_NO MATCH")</f>
        <v/>
      </c>
      <c r="Z400" s="219" t="str">
        <f>IFERROR(IF(Schedules[[#This Row],[Scheduled]]="OFF","",RIGHT(VLOOKUP(Schedules[[#This Row],[EE ID]],TeamList[],MATCH(Schedules[[#This Row],[DOW]],TeamList[#Headers],0),0),4)),"_NO MATCH")</f>
        <v/>
      </c>
    </row>
    <row r="401" spans="19:26" x14ac:dyDescent="0.25">
      <c r="S401" s="209">
        <v>1515769</v>
      </c>
      <c r="T401" s="209" t="str">
        <f>Schedules[[#This Row],[Employee Name]]&amp;Schedules[[#This Row],[DOW]]</f>
        <v>Albert, ChristinaSat</v>
      </c>
      <c r="U401" s="4" t="str">
        <f>IFERROR(VLOOKUP(Schedules[[#This Row],[EE ID]],TeamList[],MATCH(Schedules[[#Headers],[Employee Name]],TeamList[#Headers],0),0),"_NO MATCH")</f>
        <v>Albert, Christina</v>
      </c>
      <c r="V401" s="4" t="str">
        <f>IFERROR(VLOOKUP(Schedules[[#This Row],[EE ID]],TeamList[],MATCH(Schedules[[#Headers],[Dept]],TeamList[#Headers],0),0),"_NO MATCH")</f>
        <v>Lead Billing</v>
      </c>
      <c r="W401" s="286" t="s">
        <v>12</v>
      </c>
      <c r="X401" s="4" t="str">
        <f>IFERROR(IF(VLOOKUP(Schedules[[#This Row],[EE ID]],TeamList[],MATCH(Schedules[[#This Row],[DOW]],TeamList[#Headers],0),0)="OFF","OFF","SCH"),"_NO MATCH")</f>
        <v>OFF</v>
      </c>
      <c r="Y401" s="4" t="str">
        <f>IFERROR(IF(Schedules[[#This Row],[Scheduled]]="OFF","",LEFT(VLOOKUP(Schedules[[#This Row],[EE ID]],TeamList[],MATCH(Schedules[[#This Row],[DOW]],TeamList[#Headers],0),0),4)),"_NO MATCH")</f>
        <v/>
      </c>
      <c r="Z401" s="4" t="str">
        <f>IFERROR(IF(Schedules[[#This Row],[Scheduled]]="OFF","",RIGHT(VLOOKUP(Schedules[[#This Row],[EE ID]],TeamList[],MATCH(Schedules[[#This Row],[DOW]],TeamList[#Headers],0),0),4)),"_NO MATCH")</f>
        <v/>
      </c>
    </row>
    <row r="402" spans="19:26" x14ac:dyDescent="0.25">
      <c r="S402" s="209">
        <v>1515769</v>
      </c>
      <c r="T402" s="209" t="str">
        <f>Schedules[[#This Row],[Employee Name]]&amp;Schedules[[#This Row],[DOW]]</f>
        <v>Albert, ChristinaMon</v>
      </c>
      <c r="U402" s="4" t="str">
        <f>IFERROR(VLOOKUP(Schedules[[#This Row],[EE ID]],TeamList[],MATCH(Schedules[[#Headers],[Employee Name]],TeamList[#Headers],0),0),"_NO MATCH")</f>
        <v>Albert, Christina</v>
      </c>
      <c r="V402" s="4" t="str">
        <f>IFERROR(VLOOKUP(Schedules[[#This Row],[EE ID]],TeamList[],MATCH(Schedules[[#Headers],[Dept]],TeamList[#Headers],0),0),"_NO MATCH")</f>
        <v>Lead Billing</v>
      </c>
      <c r="W402" s="286" t="s">
        <v>7</v>
      </c>
      <c r="X402" s="4" t="str">
        <f>IFERROR(IF(VLOOKUP(Schedules[[#This Row],[EE ID]],TeamList[],MATCH(Schedules[[#This Row],[DOW]],TeamList[#Headers],0),0)="OFF","OFF","SCH"),"_NO MATCH")</f>
        <v>SCH</v>
      </c>
      <c r="Y402" s="4" t="str">
        <f>IFERROR(IF(Schedules[[#This Row],[Scheduled]]="OFF","",LEFT(VLOOKUP(Schedules[[#This Row],[EE ID]],TeamList[],MATCH(Schedules[[#This Row],[DOW]],TeamList[#Headers],0),0),4)),"_NO MATCH")</f>
        <v>06:0</v>
      </c>
      <c r="Z402" s="4" t="str">
        <f>IFERROR(IF(Schedules[[#This Row],[Scheduled]]="OFF","",RIGHT(VLOOKUP(Schedules[[#This Row],[EE ID]],TeamList[],MATCH(Schedules[[#This Row],[DOW]],TeamList[#Headers],0),0),4)),"_NO MATCH")</f>
        <v>4:30</v>
      </c>
    </row>
    <row r="403" spans="19:26" x14ac:dyDescent="0.25">
      <c r="S403" s="209">
        <v>1515769</v>
      </c>
      <c r="T403" s="209" t="str">
        <f>Schedules[[#This Row],[Employee Name]]&amp;Schedules[[#This Row],[DOW]]</f>
        <v>Albert, ChristinaFri</v>
      </c>
      <c r="U403" s="4" t="str">
        <f>IFERROR(VLOOKUP(Schedules[[#This Row],[EE ID]],TeamList[],MATCH(Schedules[[#Headers],[Employee Name]],TeamList[#Headers],0),0),"_NO MATCH")</f>
        <v>Albert, Christina</v>
      </c>
      <c r="V403" s="4" t="str">
        <f>IFERROR(VLOOKUP(Schedules[[#This Row],[EE ID]],TeamList[],MATCH(Schedules[[#Headers],[Dept]],TeamList[#Headers],0),0),"_NO MATCH")</f>
        <v>Lead Billing</v>
      </c>
      <c r="W403" s="286" t="s">
        <v>11</v>
      </c>
      <c r="X403" s="4" t="str">
        <f>IFERROR(IF(VLOOKUP(Schedules[[#This Row],[EE ID]],TeamList[],MATCH(Schedules[[#This Row],[DOW]],TeamList[#Headers],0),0)="OFF","OFF","SCH"),"_NO MATCH")</f>
        <v>SCH</v>
      </c>
      <c r="Y403" s="4" t="str">
        <f>IFERROR(IF(Schedules[[#This Row],[Scheduled]]="OFF","",LEFT(VLOOKUP(Schedules[[#This Row],[EE ID]],TeamList[],MATCH(Schedules[[#This Row],[DOW]],TeamList[#Headers],0),0),4)),"_NO MATCH")</f>
        <v>06:0</v>
      </c>
      <c r="Z403" s="4" t="str">
        <f>IFERROR(IF(Schedules[[#This Row],[Scheduled]]="OFF","",RIGHT(VLOOKUP(Schedules[[#This Row],[EE ID]],TeamList[],MATCH(Schedules[[#This Row],[DOW]],TeamList[#Headers],0),0),4)),"_NO MATCH")</f>
        <v>4:30</v>
      </c>
    </row>
    <row r="404" spans="19:26" x14ac:dyDescent="0.25">
      <c r="S404" s="209">
        <v>6044626</v>
      </c>
      <c r="T404" s="209" t="str">
        <f>Schedules[[#This Row],[Employee Name]]&amp;Schedules[[#This Row],[DOW]]</f>
        <v>Ahmed Hassan, ZahraWed</v>
      </c>
      <c r="U404" s="4" t="str">
        <f>IFERROR(VLOOKUP(Schedules[[#This Row],[EE ID]],TeamList[],MATCH(Schedules[[#Headers],[Employee Name]],TeamList[#Headers],0),0),"_NO MATCH")</f>
        <v>Ahmed Hassan, Zahra</v>
      </c>
      <c r="V404" s="4" t="str">
        <f>IFERROR(VLOOKUP(Schedules[[#This Row],[EE ID]],TeamList[],MATCH(Schedules[[#Headers],[Dept]],TeamList[#Headers],0),0),"_NO MATCH")</f>
        <v>Mgr, Customer Service</v>
      </c>
      <c r="W404" s="286" t="s">
        <v>9</v>
      </c>
      <c r="X404" s="4" t="str">
        <f>IFERROR(IF(VLOOKUP(Schedules[[#This Row],[EE ID]],TeamList[],MATCH(Schedules[[#This Row],[DOW]],TeamList[#Headers],0),0)="OFF","OFF","SCH"),"_NO MATCH")</f>
        <v>SCH</v>
      </c>
      <c r="Y404" s="4" t="str">
        <f>IFERROR(IF(Schedules[[#This Row],[Scheduled]]="OFF","",LEFT(VLOOKUP(Schedules[[#This Row],[EE ID]],TeamList[],MATCH(Schedules[[#This Row],[DOW]],TeamList[#Headers],0),0),4)),"_NO MATCH")</f>
        <v>07:0</v>
      </c>
      <c r="Z404" s="4" t="str">
        <f>IFERROR(IF(Schedules[[#This Row],[Scheduled]]="OFF","",RIGHT(VLOOKUP(Schedules[[#This Row],[EE ID]],TeamList[],MATCH(Schedules[[#This Row],[DOW]],TeamList[#Headers],0),0),4)),"_NO MATCH")</f>
        <v>6:00</v>
      </c>
    </row>
    <row r="405" spans="19:26" x14ac:dyDescent="0.25">
      <c r="S405" s="209">
        <v>6044626</v>
      </c>
      <c r="T405" s="209" t="str">
        <f>Schedules[[#This Row],[Employee Name]]&amp;Schedules[[#This Row],[DOW]]</f>
        <v>Ahmed Hassan, ZahraTue</v>
      </c>
      <c r="U405" s="4" t="str">
        <f>IFERROR(VLOOKUP(Schedules[[#This Row],[EE ID]],TeamList[],MATCH(Schedules[[#Headers],[Employee Name]],TeamList[#Headers],0),0),"_NO MATCH")</f>
        <v>Ahmed Hassan, Zahra</v>
      </c>
      <c r="V405" s="4" t="str">
        <f>IFERROR(VLOOKUP(Schedules[[#This Row],[EE ID]],TeamList[],MATCH(Schedules[[#Headers],[Dept]],TeamList[#Headers],0),0),"_NO MATCH")</f>
        <v>Mgr, Customer Service</v>
      </c>
      <c r="W405" s="286" t="s">
        <v>8</v>
      </c>
      <c r="X405" s="4" t="str">
        <f>IFERROR(IF(VLOOKUP(Schedules[[#This Row],[EE ID]],TeamList[],MATCH(Schedules[[#This Row],[DOW]],TeamList[#Headers],0),0)="OFF","OFF","SCH"),"_NO MATCH")</f>
        <v>OFF</v>
      </c>
      <c r="Y405" s="4" t="str">
        <f>IFERROR(IF(Schedules[[#This Row],[Scheduled]]="OFF","",LEFT(VLOOKUP(Schedules[[#This Row],[EE ID]],TeamList[],MATCH(Schedules[[#This Row],[DOW]],TeamList[#Headers],0),0),4)),"_NO MATCH")</f>
        <v/>
      </c>
      <c r="Z405" s="4" t="str">
        <f>IFERROR(IF(Schedules[[#This Row],[Scheduled]]="OFF","",RIGHT(VLOOKUP(Schedules[[#This Row],[EE ID]],TeamList[],MATCH(Schedules[[#This Row],[DOW]],TeamList[#Headers],0),0),4)),"_NO MATCH")</f>
        <v/>
      </c>
    </row>
    <row r="406" spans="19:26" x14ac:dyDescent="0.25">
      <c r="S406" s="209">
        <v>6044626</v>
      </c>
      <c r="T406" s="209" t="str">
        <f>Schedules[[#This Row],[Employee Name]]&amp;Schedules[[#This Row],[DOW]]</f>
        <v>Ahmed Hassan, ZahraThu</v>
      </c>
      <c r="U406" s="4" t="str">
        <f>IFERROR(VLOOKUP(Schedules[[#This Row],[EE ID]],TeamList[],MATCH(Schedules[[#Headers],[Employee Name]],TeamList[#Headers],0),0),"_NO MATCH")</f>
        <v>Ahmed Hassan, Zahra</v>
      </c>
      <c r="V406" s="4" t="str">
        <f>IFERROR(VLOOKUP(Schedules[[#This Row],[EE ID]],TeamList[],MATCH(Schedules[[#Headers],[Dept]],TeamList[#Headers],0),0),"_NO MATCH")</f>
        <v>Mgr, Customer Service</v>
      </c>
      <c r="W406" s="286" t="s">
        <v>10</v>
      </c>
      <c r="X406" s="4" t="str">
        <f>IFERROR(IF(VLOOKUP(Schedules[[#This Row],[EE ID]],TeamList[],MATCH(Schedules[[#This Row],[DOW]],TeamList[#Headers],0),0)="OFF","OFF","SCH"),"_NO MATCH")</f>
        <v>SCH</v>
      </c>
      <c r="Y406" s="4" t="str">
        <f>IFERROR(IF(Schedules[[#This Row],[Scheduled]]="OFF","",LEFT(VLOOKUP(Schedules[[#This Row],[EE ID]],TeamList[],MATCH(Schedules[[#This Row],[DOW]],TeamList[#Headers],0),0),4)),"_NO MATCH")</f>
        <v>07:0</v>
      </c>
      <c r="Z406" s="4" t="str">
        <f>IFERROR(IF(Schedules[[#This Row],[Scheduled]]="OFF","",RIGHT(VLOOKUP(Schedules[[#This Row],[EE ID]],TeamList[],MATCH(Schedules[[#This Row],[DOW]],TeamList[#Headers],0),0),4)),"_NO MATCH")</f>
        <v>6:00</v>
      </c>
    </row>
    <row r="407" spans="19:26" x14ac:dyDescent="0.25">
      <c r="S407" s="209">
        <v>6044626</v>
      </c>
      <c r="T407" s="209" t="str">
        <f>Schedules[[#This Row],[Employee Name]]&amp;Schedules[[#This Row],[DOW]]</f>
        <v>Ahmed Hassan, ZahraSun</v>
      </c>
      <c r="U407" s="4" t="str">
        <f>IFERROR(VLOOKUP(Schedules[[#This Row],[EE ID]],TeamList[],MATCH(Schedules[[#Headers],[Employee Name]],TeamList[#Headers],0),0),"_NO MATCH")</f>
        <v>Ahmed Hassan, Zahra</v>
      </c>
      <c r="V407" s="4" t="str">
        <f>IFERROR(VLOOKUP(Schedules[[#This Row],[EE ID]],TeamList[],MATCH(Schedules[[#Headers],[Dept]],TeamList[#Headers],0),0),"_NO MATCH")</f>
        <v>Mgr, Customer Service</v>
      </c>
      <c r="W407" s="287" t="s">
        <v>6</v>
      </c>
      <c r="X407" s="219" t="str">
        <f>IFERROR(IF(VLOOKUP(Schedules[[#This Row],[EE ID]],TeamList[],MATCH(Schedules[[#This Row],[DOW]],TeamList[#Headers],0),0)="OFF","OFF","SCH"),"_NO MATCH")</f>
        <v>SCH</v>
      </c>
      <c r="Y407" s="219" t="str">
        <f>IFERROR(IF(Schedules[[#This Row],[Scheduled]]="OFF","",LEFT(VLOOKUP(Schedules[[#This Row],[EE ID]],TeamList[],MATCH(Schedules[[#This Row],[DOW]],TeamList[#Headers],0),0),4)),"_NO MATCH")</f>
        <v>07:0</v>
      </c>
      <c r="Z407" s="219" t="str">
        <f>IFERROR(IF(Schedules[[#This Row],[Scheduled]]="OFF","",RIGHT(VLOOKUP(Schedules[[#This Row],[EE ID]],TeamList[],MATCH(Schedules[[#This Row],[DOW]],TeamList[#Headers],0),0),4)),"_NO MATCH")</f>
        <v>6:00</v>
      </c>
    </row>
    <row r="408" spans="19:26" x14ac:dyDescent="0.25">
      <c r="S408" s="209">
        <v>6044626</v>
      </c>
      <c r="T408" s="209" t="str">
        <f>Schedules[[#This Row],[Employee Name]]&amp;Schedules[[#This Row],[DOW]]</f>
        <v>Ahmed Hassan, ZahraSat</v>
      </c>
      <c r="U408" s="4" t="str">
        <f>IFERROR(VLOOKUP(Schedules[[#This Row],[EE ID]],TeamList[],MATCH(Schedules[[#Headers],[Employee Name]],TeamList[#Headers],0),0),"_NO MATCH")</f>
        <v>Ahmed Hassan, Zahra</v>
      </c>
      <c r="V408" s="4" t="str">
        <f>IFERROR(VLOOKUP(Schedules[[#This Row],[EE ID]],TeamList[],MATCH(Schedules[[#Headers],[Dept]],TeamList[#Headers],0),0),"_NO MATCH")</f>
        <v>Mgr, Customer Service</v>
      </c>
      <c r="W408" s="286" t="s">
        <v>12</v>
      </c>
      <c r="X408" s="4" t="str">
        <f>IFERROR(IF(VLOOKUP(Schedules[[#This Row],[EE ID]],TeamList[],MATCH(Schedules[[#This Row],[DOW]],TeamList[#Headers],0),0)="OFF","OFF","SCH"),"_NO MATCH")</f>
        <v>SCH</v>
      </c>
      <c r="Y408" s="4" t="str">
        <f>IFERROR(IF(Schedules[[#This Row],[Scheduled]]="OFF","",LEFT(VLOOKUP(Schedules[[#This Row],[EE ID]],TeamList[],MATCH(Schedules[[#This Row],[DOW]],TeamList[#Headers],0),0),4)),"_NO MATCH")</f>
        <v>07:0</v>
      </c>
      <c r="Z408" s="4" t="str">
        <f>IFERROR(IF(Schedules[[#This Row],[Scheduled]]="OFF","",RIGHT(VLOOKUP(Schedules[[#This Row],[EE ID]],TeamList[],MATCH(Schedules[[#This Row],[DOW]],TeamList[#Headers],0),0),4)),"_NO MATCH")</f>
        <v>6:00</v>
      </c>
    </row>
    <row r="409" spans="19:26" x14ac:dyDescent="0.25">
      <c r="S409" s="209">
        <v>6044626</v>
      </c>
      <c r="T409" s="209" t="str">
        <f>Schedules[[#This Row],[Employee Name]]&amp;Schedules[[#This Row],[DOW]]</f>
        <v>Ahmed Hassan, ZahraMon</v>
      </c>
      <c r="U409" s="4" t="str">
        <f>IFERROR(VLOOKUP(Schedules[[#This Row],[EE ID]],TeamList[],MATCH(Schedules[[#Headers],[Employee Name]],TeamList[#Headers],0),0),"_NO MATCH")</f>
        <v>Ahmed Hassan, Zahra</v>
      </c>
      <c r="V409" s="4" t="str">
        <f>IFERROR(VLOOKUP(Schedules[[#This Row],[EE ID]],TeamList[],MATCH(Schedules[[#Headers],[Dept]],TeamList[#Headers],0),0),"_NO MATCH")</f>
        <v>Mgr, Customer Service</v>
      </c>
      <c r="W409" s="286" t="s">
        <v>7</v>
      </c>
      <c r="X409" s="4" t="str">
        <f>IFERROR(IF(VLOOKUP(Schedules[[#This Row],[EE ID]],TeamList[],MATCH(Schedules[[#This Row],[DOW]],TeamList[#Headers],0),0)="OFF","OFF","SCH"),"_NO MATCH")</f>
        <v>OFF</v>
      </c>
      <c r="Y409" s="4" t="str">
        <f>IFERROR(IF(Schedules[[#This Row],[Scheduled]]="OFF","",LEFT(VLOOKUP(Schedules[[#This Row],[EE ID]],TeamList[],MATCH(Schedules[[#This Row],[DOW]],TeamList[#Headers],0),0),4)),"_NO MATCH")</f>
        <v/>
      </c>
      <c r="Z409" s="4" t="str">
        <f>IFERROR(IF(Schedules[[#This Row],[Scheduled]]="OFF","",RIGHT(VLOOKUP(Schedules[[#This Row],[EE ID]],TeamList[],MATCH(Schedules[[#This Row],[DOW]],TeamList[#Headers],0),0),4)),"_NO MATCH")</f>
        <v/>
      </c>
    </row>
    <row r="410" spans="19:26" x14ac:dyDescent="0.25">
      <c r="S410" s="209">
        <v>6044626</v>
      </c>
      <c r="T410" s="209" t="str">
        <f>Schedules[[#This Row],[Employee Name]]&amp;Schedules[[#This Row],[DOW]]</f>
        <v>Ahmed Hassan, ZahraFri</v>
      </c>
      <c r="U410" s="4" t="str">
        <f>IFERROR(VLOOKUP(Schedules[[#This Row],[EE ID]],TeamList[],MATCH(Schedules[[#Headers],[Employee Name]],TeamList[#Headers],0),0),"_NO MATCH")</f>
        <v>Ahmed Hassan, Zahra</v>
      </c>
      <c r="V410" s="4" t="str">
        <f>IFERROR(VLOOKUP(Schedules[[#This Row],[EE ID]],TeamList[],MATCH(Schedules[[#Headers],[Dept]],TeamList[#Headers],0),0),"_NO MATCH")</f>
        <v>Mgr, Customer Service</v>
      </c>
      <c r="W410" s="286" t="s">
        <v>11</v>
      </c>
      <c r="X410" s="4" t="str">
        <f>IFERROR(IF(VLOOKUP(Schedules[[#This Row],[EE ID]],TeamList[],MATCH(Schedules[[#This Row],[DOW]],TeamList[#Headers],0),0)="OFF","OFF","SCH"),"_NO MATCH")</f>
        <v>SCH</v>
      </c>
      <c r="Y410" s="4" t="str">
        <f>IFERROR(IF(Schedules[[#This Row],[Scheduled]]="OFF","",LEFT(VLOOKUP(Schedules[[#This Row],[EE ID]],TeamList[],MATCH(Schedules[[#This Row],[DOW]],TeamList[#Headers],0),0),4)),"_NO MATCH")</f>
        <v>07:0</v>
      </c>
      <c r="Z410" s="4" t="str">
        <f>IFERROR(IF(Schedules[[#This Row],[Scheduled]]="OFF","",RIGHT(VLOOKUP(Schedules[[#This Row],[EE ID]],TeamList[],MATCH(Schedules[[#This Row],[DOW]],TeamList[#Headers],0),0),4)),"_NO MATCH")</f>
        <v>6:00</v>
      </c>
    </row>
    <row r="411" spans="19:26" x14ac:dyDescent="0.25">
      <c r="S411" s="209">
        <v>1511911</v>
      </c>
      <c r="T411" s="209" t="str">
        <f>Schedules[[#This Row],[Employee Name]]&amp;Schedules[[#This Row],[DOW]]</f>
        <v>Aguilar, AngelicaWed</v>
      </c>
      <c r="U411" s="4" t="str">
        <f>IFERROR(VLOOKUP(Schedules[[#This Row],[EE ID]],TeamList[],MATCH(Schedules[[#Headers],[Employee Name]],TeamList[#Headers],0),0),"_NO MATCH")</f>
        <v>Aguilar, Angelica</v>
      </c>
      <c r="V411" s="4" t="str">
        <f>IFERROR(VLOOKUP(Schedules[[#This Row],[EE ID]],TeamList[],MATCH(Schedules[[#Headers],[Dept]],TeamList[#Headers],0),0),"_NO MATCH")</f>
        <v>Sup, Customer Service</v>
      </c>
      <c r="W411" s="286" t="s">
        <v>9</v>
      </c>
      <c r="X411" s="4" t="str">
        <f>IFERROR(IF(VLOOKUP(Schedules[[#This Row],[EE ID]],TeamList[],MATCH(Schedules[[#This Row],[DOW]],TeamList[#Headers],0),0)="OFF","OFF","SCH"),"_NO MATCH")</f>
        <v>SCH</v>
      </c>
      <c r="Y411" s="4" t="str">
        <f>IFERROR(IF(Schedules[[#This Row],[Scheduled]]="OFF","",LEFT(VLOOKUP(Schedules[[#This Row],[EE ID]],TeamList[],MATCH(Schedules[[#This Row],[DOW]],TeamList[#Headers],0),0),4)),"_NO MATCH")</f>
        <v>13:0</v>
      </c>
      <c r="Z411" s="4" t="str">
        <f>IFERROR(IF(Schedules[[#This Row],[Scheduled]]="OFF","",RIGHT(VLOOKUP(Schedules[[#This Row],[EE ID]],TeamList[],MATCH(Schedules[[#This Row],[DOW]],TeamList[#Headers],0),0),4)),"_NO MATCH")</f>
        <v>2:00</v>
      </c>
    </row>
    <row r="412" spans="19:26" x14ac:dyDescent="0.25">
      <c r="S412" s="209">
        <v>1511911</v>
      </c>
      <c r="T412" s="209" t="str">
        <f>Schedules[[#This Row],[Employee Name]]&amp;Schedules[[#This Row],[DOW]]</f>
        <v>Aguilar, AngelicaTue</v>
      </c>
      <c r="U412" s="4" t="str">
        <f>IFERROR(VLOOKUP(Schedules[[#This Row],[EE ID]],TeamList[],MATCH(Schedules[[#Headers],[Employee Name]],TeamList[#Headers],0),0),"_NO MATCH")</f>
        <v>Aguilar, Angelica</v>
      </c>
      <c r="V412" s="4" t="str">
        <f>IFERROR(VLOOKUP(Schedules[[#This Row],[EE ID]],TeamList[],MATCH(Schedules[[#Headers],[Dept]],TeamList[#Headers],0),0),"_NO MATCH")</f>
        <v>Sup, Customer Service</v>
      </c>
      <c r="W412" s="286" t="s">
        <v>8</v>
      </c>
      <c r="X412" s="4" t="str">
        <f>IFERROR(IF(VLOOKUP(Schedules[[#This Row],[EE ID]],TeamList[],MATCH(Schedules[[#This Row],[DOW]],TeamList[#Headers],0),0)="OFF","OFF","SCH"),"_NO MATCH")</f>
        <v>SCH</v>
      </c>
      <c r="Y412" s="4" t="str">
        <f>IFERROR(IF(Schedules[[#This Row],[Scheduled]]="OFF","",LEFT(VLOOKUP(Schedules[[#This Row],[EE ID]],TeamList[],MATCH(Schedules[[#This Row],[DOW]],TeamList[#Headers],0),0),4)),"_NO MATCH")</f>
        <v>13:0</v>
      </c>
      <c r="Z412" s="4" t="str">
        <f>IFERROR(IF(Schedules[[#This Row],[Scheduled]]="OFF","",RIGHT(VLOOKUP(Schedules[[#This Row],[EE ID]],TeamList[],MATCH(Schedules[[#This Row],[DOW]],TeamList[#Headers],0),0),4)),"_NO MATCH")</f>
        <v>2:00</v>
      </c>
    </row>
    <row r="413" spans="19:26" x14ac:dyDescent="0.25">
      <c r="S413" s="209">
        <v>1511911</v>
      </c>
      <c r="T413" s="209" t="str">
        <f>Schedules[[#This Row],[Employee Name]]&amp;Schedules[[#This Row],[DOW]]</f>
        <v>Aguilar, AngelicaThu</v>
      </c>
      <c r="U413" s="4" t="str">
        <f>IFERROR(VLOOKUP(Schedules[[#This Row],[EE ID]],TeamList[],MATCH(Schedules[[#Headers],[Employee Name]],TeamList[#Headers],0),0),"_NO MATCH")</f>
        <v>Aguilar, Angelica</v>
      </c>
      <c r="V413" s="4" t="str">
        <f>IFERROR(VLOOKUP(Schedules[[#This Row],[EE ID]],TeamList[],MATCH(Schedules[[#Headers],[Dept]],TeamList[#Headers],0),0),"_NO MATCH")</f>
        <v>Sup, Customer Service</v>
      </c>
      <c r="W413" s="286" t="s">
        <v>10</v>
      </c>
      <c r="X413" s="4" t="str">
        <f>IFERROR(IF(VLOOKUP(Schedules[[#This Row],[EE ID]],TeamList[],MATCH(Schedules[[#This Row],[DOW]],TeamList[#Headers],0),0)="OFF","OFF","SCH"),"_NO MATCH")</f>
        <v>SCH</v>
      </c>
      <c r="Y413" s="4" t="str">
        <f>IFERROR(IF(Schedules[[#This Row],[Scheduled]]="OFF","",LEFT(VLOOKUP(Schedules[[#This Row],[EE ID]],TeamList[],MATCH(Schedules[[#This Row],[DOW]],TeamList[#Headers],0),0),4)),"_NO MATCH")</f>
        <v>13:0</v>
      </c>
      <c r="Z413" s="4" t="str">
        <f>IFERROR(IF(Schedules[[#This Row],[Scheduled]]="OFF","",RIGHT(VLOOKUP(Schedules[[#This Row],[EE ID]],TeamList[],MATCH(Schedules[[#This Row],[DOW]],TeamList[#Headers],0),0),4)),"_NO MATCH")</f>
        <v>2:00</v>
      </c>
    </row>
    <row r="414" spans="19:26" x14ac:dyDescent="0.25">
      <c r="S414" s="209">
        <v>1511911</v>
      </c>
      <c r="T414" s="209" t="str">
        <f>Schedules[[#This Row],[Employee Name]]&amp;Schedules[[#This Row],[DOW]]</f>
        <v>Aguilar, AngelicaSun</v>
      </c>
      <c r="U414" s="4" t="str">
        <f>IFERROR(VLOOKUP(Schedules[[#This Row],[EE ID]],TeamList[],MATCH(Schedules[[#Headers],[Employee Name]],TeamList[#Headers],0),0),"_NO MATCH")</f>
        <v>Aguilar, Angelica</v>
      </c>
      <c r="V414" s="4" t="str">
        <f>IFERROR(VLOOKUP(Schedules[[#This Row],[EE ID]],TeamList[],MATCH(Schedules[[#Headers],[Dept]],TeamList[#Headers],0),0),"_NO MATCH")</f>
        <v>Sup, Customer Service</v>
      </c>
      <c r="W414" s="287" t="s">
        <v>6</v>
      </c>
      <c r="X414" s="219" t="str">
        <f>IFERROR(IF(VLOOKUP(Schedules[[#This Row],[EE ID]],TeamList[],MATCH(Schedules[[#This Row],[DOW]],TeamList[#Headers],0),0)="OFF","OFF","SCH"),"_NO MATCH")</f>
        <v>OFF</v>
      </c>
      <c r="Y414" s="219" t="str">
        <f>IFERROR(IF(Schedules[[#This Row],[Scheduled]]="OFF","",LEFT(VLOOKUP(Schedules[[#This Row],[EE ID]],TeamList[],MATCH(Schedules[[#This Row],[DOW]],TeamList[#Headers],0),0),4)),"_NO MATCH")</f>
        <v/>
      </c>
      <c r="Z414" s="219" t="str">
        <f>IFERROR(IF(Schedules[[#This Row],[Scheduled]]="OFF","",RIGHT(VLOOKUP(Schedules[[#This Row],[EE ID]],TeamList[],MATCH(Schedules[[#This Row],[DOW]],TeamList[#Headers],0),0),4)),"_NO MATCH")</f>
        <v/>
      </c>
    </row>
    <row r="415" spans="19:26" x14ac:dyDescent="0.25">
      <c r="S415" s="209">
        <v>1511911</v>
      </c>
      <c r="T415" s="209" t="str">
        <f>Schedules[[#This Row],[Employee Name]]&amp;Schedules[[#This Row],[DOW]]</f>
        <v>Aguilar, AngelicaSat</v>
      </c>
      <c r="U415" s="4" t="str">
        <f>IFERROR(VLOOKUP(Schedules[[#This Row],[EE ID]],TeamList[],MATCH(Schedules[[#Headers],[Employee Name]],TeamList[#Headers],0),0),"_NO MATCH")</f>
        <v>Aguilar, Angelica</v>
      </c>
      <c r="V415" s="4" t="str">
        <f>IFERROR(VLOOKUP(Schedules[[#This Row],[EE ID]],TeamList[],MATCH(Schedules[[#Headers],[Dept]],TeamList[#Headers],0),0),"_NO MATCH")</f>
        <v>Sup, Customer Service</v>
      </c>
      <c r="W415" s="286" t="s">
        <v>12</v>
      </c>
      <c r="X415" s="4" t="str">
        <f>IFERROR(IF(VLOOKUP(Schedules[[#This Row],[EE ID]],TeamList[],MATCH(Schedules[[#This Row],[DOW]],TeamList[#Headers],0),0)="OFF","OFF","SCH"),"_NO MATCH")</f>
        <v>SCH</v>
      </c>
      <c r="Y415" s="4" t="str">
        <f>IFERROR(IF(Schedules[[#This Row],[Scheduled]]="OFF","",LEFT(VLOOKUP(Schedules[[#This Row],[EE ID]],TeamList[],MATCH(Schedules[[#This Row],[DOW]],TeamList[#Headers],0),0),4)),"_NO MATCH")</f>
        <v>13:0</v>
      </c>
      <c r="Z415" s="4" t="str">
        <f>IFERROR(IF(Schedules[[#This Row],[Scheduled]]="OFF","",RIGHT(VLOOKUP(Schedules[[#This Row],[EE ID]],TeamList[],MATCH(Schedules[[#This Row],[DOW]],TeamList[#Headers],0),0),4)),"_NO MATCH")</f>
        <v>2:00</v>
      </c>
    </row>
    <row r="416" spans="19:26" x14ac:dyDescent="0.25">
      <c r="S416" s="209">
        <v>1511911</v>
      </c>
      <c r="T416" s="209" t="str">
        <f>Schedules[[#This Row],[Employee Name]]&amp;Schedules[[#This Row],[DOW]]</f>
        <v>Aguilar, AngelicaMon</v>
      </c>
      <c r="U416" s="4" t="str">
        <f>IFERROR(VLOOKUP(Schedules[[#This Row],[EE ID]],TeamList[],MATCH(Schedules[[#Headers],[Employee Name]],TeamList[#Headers],0),0),"_NO MATCH")</f>
        <v>Aguilar, Angelica</v>
      </c>
      <c r="V416" s="4" t="str">
        <f>IFERROR(VLOOKUP(Schedules[[#This Row],[EE ID]],TeamList[],MATCH(Schedules[[#Headers],[Dept]],TeamList[#Headers],0),0),"_NO MATCH")</f>
        <v>Sup, Customer Service</v>
      </c>
      <c r="W416" s="286" t="s">
        <v>7</v>
      </c>
      <c r="X416" s="4" t="str">
        <f>IFERROR(IF(VLOOKUP(Schedules[[#This Row],[EE ID]],TeamList[],MATCH(Schedules[[#This Row],[DOW]],TeamList[#Headers],0),0)="OFF","OFF","SCH"),"_NO MATCH")</f>
        <v>OFF</v>
      </c>
      <c r="Y416" s="4" t="str">
        <f>IFERROR(IF(Schedules[[#This Row],[Scheduled]]="OFF","",LEFT(VLOOKUP(Schedules[[#This Row],[EE ID]],TeamList[],MATCH(Schedules[[#This Row],[DOW]],TeamList[#Headers],0),0),4)),"_NO MATCH")</f>
        <v/>
      </c>
      <c r="Z416" s="4" t="str">
        <f>IFERROR(IF(Schedules[[#This Row],[Scheduled]]="OFF","",RIGHT(VLOOKUP(Schedules[[#This Row],[EE ID]],TeamList[],MATCH(Schedules[[#This Row],[DOW]],TeamList[#Headers],0),0),4)),"_NO MATCH")</f>
        <v/>
      </c>
    </row>
    <row r="417" spans="19:26" x14ac:dyDescent="0.25">
      <c r="S417" s="209">
        <v>1511911</v>
      </c>
      <c r="T417" s="209" t="str">
        <f>Schedules[[#This Row],[Employee Name]]&amp;Schedules[[#This Row],[DOW]]</f>
        <v>Aguilar, AngelicaFri</v>
      </c>
      <c r="U417" s="4" t="str">
        <f>IFERROR(VLOOKUP(Schedules[[#This Row],[EE ID]],TeamList[],MATCH(Schedules[[#Headers],[Employee Name]],TeamList[#Headers],0),0),"_NO MATCH")</f>
        <v>Aguilar, Angelica</v>
      </c>
      <c r="V417" s="4" t="str">
        <f>IFERROR(VLOOKUP(Schedules[[#This Row],[EE ID]],TeamList[],MATCH(Schedules[[#Headers],[Dept]],TeamList[#Headers],0),0),"_NO MATCH")</f>
        <v>Sup, Customer Service</v>
      </c>
      <c r="W417" s="286" t="s">
        <v>11</v>
      </c>
      <c r="X417" s="4" t="str">
        <f>IFERROR(IF(VLOOKUP(Schedules[[#This Row],[EE ID]],TeamList[],MATCH(Schedules[[#This Row],[DOW]],TeamList[#Headers],0),0)="OFF","OFF","SCH"),"_NO MATCH")</f>
        <v>SCH</v>
      </c>
      <c r="Y417" s="4" t="str">
        <f>IFERROR(IF(Schedules[[#This Row],[Scheduled]]="OFF","",LEFT(VLOOKUP(Schedules[[#This Row],[EE ID]],TeamList[],MATCH(Schedules[[#This Row],[DOW]],TeamList[#Headers],0),0),4)),"_NO MATCH")</f>
        <v>13:0</v>
      </c>
      <c r="Z417" s="4" t="str">
        <f>IFERROR(IF(Schedules[[#This Row],[Scheduled]]="OFF","",RIGHT(VLOOKUP(Schedules[[#This Row],[EE ID]],TeamList[],MATCH(Schedules[[#This Row],[DOW]],TeamList[#Headers],0),0),4)),"_NO MATCH")</f>
        <v>2:00</v>
      </c>
    </row>
    <row r="418" spans="19:26" x14ac:dyDescent="0.25">
      <c r="S418" s="209">
        <v>1519830</v>
      </c>
      <c r="T418" s="209" t="str">
        <f>Schedules[[#This Row],[Employee Name]]&amp;Schedules[[#This Row],[DOW]]</f>
        <v>_NO MATCHWed</v>
      </c>
      <c r="U418" s="4" t="str">
        <f>IFERROR(VLOOKUP(Schedules[[#This Row],[EE ID]],TeamList[],MATCH(Schedules[[#Headers],[Employee Name]],TeamList[#Headers],0),0),"_NO MATCH")</f>
        <v>_NO MATCH</v>
      </c>
      <c r="V418" s="4" t="str">
        <f>IFERROR(VLOOKUP(Schedules[[#This Row],[EE ID]],TeamList[],MATCH(Schedules[[#Headers],[Dept]],TeamList[#Headers],0),0),"_NO MATCH")</f>
        <v>_NO MATCH</v>
      </c>
      <c r="W418" s="286" t="s">
        <v>9</v>
      </c>
      <c r="X418" s="4" t="str">
        <f>IFERROR(IF(VLOOKUP(Schedules[[#This Row],[EE ID]],TeamList[],MATCH(Schedules[[#This Row],[DOW]],TeamList[#Headers],0),0)="OFF","OFF","SCH"),"_NO MATCH")</f>
        <v>_NO MATCH</v>
      </c>
      <c r="Y418" s="4" t="str">
        <f>IFERROR(IF(Schedules[[#This Row],[Scheduled]]="OFF","",LEFT(VLOOKUP(Schedules[[#This Row],[EE ID]],TeamList[],MATCH(Schedules[[#This Row],[DOW]],TeamList[#Headers],0),0),4)),"_NO MATCH")</f>
        <v>_NO MATCH</v>
      </c>
      <c r="Z418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19" spans="19:26" x14ac:dyDescent="0.25">
      <c r="S419" s="209">
        <v>1516738</v>
      </c>
      <c r="T419" s="209" t="str">
        <f>Schedules[[#This Row],[Employee Name]]&amp;Schedules[[#This Row],[DOW]]</f>
        <v>_NO MATCHWed</v>
      </c>
      <c r="U419" s="4" t="str">
        <f>IFERROR(VLOOKUP(Schedules[[#This Row],[EE ID]],TeamList[],MATCH(Schedules[[#Headers],[Employee Name]],TeamList[#Headers],0),0),"_NO MATCH")</f>
        <v>_NO MATCH</v>
      </c>
      <c r="V419" s="4" t="str">
        <f>IFERROR(VLOOKUP(Schedules[[#This Row],[EE ID]],TeamList[],MATCH(Schedules[[#Headers],[Dept]],TeamList[#Headers],0),0),"_NO MATCH")</f>
        <v>_NO MATCH</v>
      </c>
      <c r="W419" s="286" t="s">
        <v>9</v>
      </c>
      <c r="X419" s="4" t="str">
        <f>IFERROR(IF(VLOOKUP(Schedules[[#This Row],[EE ID]],TeamList[],MATCH(Schedules[[#This Row],[DOW]],TeamList[#Headers],0),0)="OFF","OFF","SCH"),"_NO MATCH")</f>
        <v>_NO MATCH</v>
      </c>
      <c r="Y419" s="4" t="str">
        <f>IFERROR(IF(Schedules[[#This Row],[Scheduled]]="OFF","",LEFT(VLOOKUP(Schedules[[#This Row],[EE ID]],TeamList[],MATCH(Schedules[[#This Row],[DOW]],TeamList[#Headers],0),0),4)),"_NO MATCH")</f>
        <v>_NO MATCH</v>
      </c>
      <c r="Z419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20" spans="19:26" x14ac:dyDescent="0.25">
      <c r="S420" s="209">
        <v>1522300</v>
      </c>
      <c r="T420" s="209" t="str">
        <f>Schedules[[#This Row],[Employee Name]]&amp;Schedules[[#This Row],[DOW]]</f>
        <v>_NO MATCHWed</v>
      </c>
      <c r="U420" s="4" t="str">
        <f>IFERROR(VLOOKUP(Schedules[[#This Row],[EE ID]],TeamList[],MATCH(Schedules[[#Headers],[Employee Name]],TeamList[#Headers],0),0),"_NO MATCH")</f>
        <v>_NO MATCH</v>
      </c>
      <c r="V420" s="4" t="str">
        <f>IFERROR(VLOOKUP(Schedules[[#This Row],[EE ID]],TeamList[],MATCH(Schedules[[#Headers],[Dept]],TeamList[#Headers],0),0),"_NO MATCH")</f>
        <v>_NO MATCH</v>
      </c>
      <c r="W420" s="286" t="s">
        <v>9</v>
      </c>
      <c r="X420" s="4" t="str">
        <f>IFERROR(IF(VLOOKUP(Schedules[[#This Row],[EE ID]],TeamList[],MATCH(Schedules[[#This Row],[DOW]],TeamList[#Headers],0),0)="OFF","OFF","SCH"),"_NO MATCH")</f>
        <v>_NO MATCH</v>
      </c>
      <c r="Y420" s="4" t="str">
        <f>IFERROR(IF(Schedules[[#This Row],[Scheduled]]="OFF","",LEFT(VLOOKUP(Schedules[[#This Row],[EE ID]],TeamList[],MATCH(Schedules[[#This Row],[DOW]],TeamList[#Headers],0),0),4)),"_NO MATCH")</f>
        <v>_NO MATCH</v>
      </c>
      <c r="Z420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21" spans="19:26" x14ac:dyDescent="0.25">
      <c r="S421" s="209">
        <v>1532418</v>
      </c>
      <c r="T421" s="209" t="str">
        <f>Schedules[[#This Row],[Employee Name]]&amp;Schedules[[#This Row],[DOW]]</f>
        <v>_NO MATCHWed</v>
      </c>
      <c r="U421" s="4" t="str">
        <f>IFERROR(VLOOKUP(Schedules[[#This Row],[EE ID]],TeamList[],MATCH(Schedules[[#Headers],[Employee Name]],TeamList[#Headers],0),0),"_NO MATCH")</f>
        <v>_NO MATCH</v>
      </c>
      <c r="V421" s="4" t="str">
        <f>IFERROR(VLOOKUP(Schedules[[#This Row],[EE ID]],TeamList[],MATCH(Schedules[[#Headers],[Dept]],TeamList[#Headers],0),0),"_NO MATCH")</f>
        <v>_NO MATCH</v>
      </c>
      <c r="W421" s="286" t="s">
        <v>9</v>
      </c>
      <c r="X421" s="4" t="str">
        <f>IFERROR(IF(VLOOKUP(Schedules[[#This Row],[EE ID]],TeamList[],MATCH(Schedules[[#This Row],[DOW]],TeamList[#Headers],0),0)="OFF","OFF","SCH"),"_NO MATCH")</f>
        <v>_NO MATCH</v>
      </c>
      <c r="Y421" s="4" t="str">
        <f>IFERROR(IF(Schedules[[#This Row],[Scheduled]]="OFF","",LEFT(VLOOKUP(Schedules[[#This Row],[EE ID]],TeamList[],MATCH(Schedules[[#This Row],[DOW]],TeamList[#Headers],0),0),4)),"_NO MATCH")</f>
        <v>_NO MATCH</v>
      </c>
      <c r="Z421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22" spans="19:26" x14ac:dyDescent="0.25">
      <c r="S422" s="209">
        <v>1522944</v>
      </c>
      <c r="T422" s="209" t="str">
        <f>Schedules[[#This Row],[Employee Name]]&amp;Schedules[[#This Row],[DOW]]</f>
        <v>_NO MATCHWed</v>
      </c>
      <c r="U422" s="4" t="str">
        <f>IFERROR(VLOOKUP(Schedules[[#This Row],[EE ID]],TeamList[],MATCH(Schedules[[#Headers],[Employee Name]],TeamList[#Headers],0),0),"_NO MATCH")</f>
        <v>_NO MATCH</v>
      </c>
      <c r="V422" s="4" t="str">
        <f>IFERROR(VLOOKUP(Schedules[[#This Row],[EE ID]],TeamList[],MATCH(Schedules[[#Headers],[Dept]],TeamList[#Headers],0),0),"_NO MATCH")</f>
        <v>_NO MATCH</v>
      </c>
      <c r="W422" s="286" t="s">
        <v>9</v>
      </c>
      <c r="X422" s="4" t="str">
        <f>IFERROR(IF(VLOOKUP(Schedules[[#This Row],[EE ID]],TeamList[],MATCH(Schedules[[#This Row],[DOW]],TeamList[#Headers],0),0)="OFF","OFF","SCH"),"_NO MATCH")</f>
        <v>_NO MATCH</v>
      </c>
      <c r="Y422" s="4" t="str">
        <f>IFERROR(IF(Schedules[[#This Row],[Scheduled]]="OFF","",LEFT(VLOOKUP(Schedules[[#This Row],[EE ID]],TeamList[],MATCH(Schedules[[#This Row],[DOW]],TeamList[#Headers],0),0),4)),"_NO MATCH")</f>
        <v>_NO MATCH</v>
      </c>
      <c r="Z422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23" spans="19:26" x14ac:dyDescent="0.25">
      <c r="S423" s="209">
        <v>1516482</v>
      </c>
      <c r="T423" s="209" t="str">
        <f>Schedules[[#This Row],[Employee Name]]&amp;Schedules[[#This Row],[DOW]]</f>
        <v>_NO MATCHWed</v>
      </c>
      <c r="U423" s="4" t="str">
        <f>IFERROR(VLOOKUP(Schedules[[#This Row],[EE ID]],TeamList[],MATCH(Schedules[[#Headers],[Employee Name]],TeamList[#Headers],0),0),"_NO MATCH")</f>
        <v>_NO MATCH</v>
      </c>
      <c r="V423" s="4" t="str">
        <f>IFERROR(VLOOKUP(Schedules[[#This Row],[EE ID]],TeamList[],MATCH(Schedules[[#Headers],[Dept]],TeamList[#Headers],0),0),"_NO MATCH")</f>
        <v>_NO MATCH</v>
      </c>
      <c r="W423" s="286" t="s">
        <v>9</v>
      </c>
      <c r="X423" s="4" t="str">
        <f>IFERROR(IF(VLOOKUP(Schedules[[#This Row],[EE ID]],TeamList[],MATCH(Schedules[[#This Row],[DOW]],TeamList[#Headers],0),0)="OFF","OFF","SCH"),"_NO MATCH")</f>
        <v>_NO MATCH</v>
      </c>
      <c r="Y423" s="4" t="str">
        <f>IFERROR(IF(Schedules[[#This Row],[Scheduled]]="OFF","",LEFT(VLOOKUP(Schedules[[#This Row],[EE ID]],TeamList[],MATCH(Schedules[[#This Row],[DOW]],TeamList[#Headers],0),0),4)),"_NO MATCH")</f>
        <v>_NO MATCH</v>
      </c>
      <c r="Z423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24" spans="19:26" x14ac:dyDescent="0.25">
      <c r="S424" s="209">
        <v>1517219</v>
      </c>
      <c r="T424" s="209" t="str">
        <f>Schedules[[#This Row],[Employee Name]]&amp;Schedules[[#This Row],[DOW]]</f>
        <v>_NO MATCHWed</v>
      </c>
      <c r="U424" s="4" t="str">
        <f>IFERROR(VLOOKUP(Schedules[[#This Row],[EE ID]],TeamList[],MATCH(Schedules[[#Headers],[Employee Name]],TeamList[#Headers],0),0),"_NO MATCH")</f>
        <v>_NO MATCH</v>
      </c>
      <c r="V424" s="4" t="str">
        <f>IFERROR(VLOOKUP(Schedules[[#This Row],[EE ID]],TeamList[],MATCH(Schedules[[#Headers],[Dept]],TeamList[#Headers],0),0),"_NO MATCH")</f>
        <v>_NO MATCH</v>
      </c>
      <c r="W424" s="286" t="s">
        <v>9</v>
      </c>
      <c r="X424" s="4" t="str">
        <f>IFERROR(IF(VLOOKUP(Schedules[[#This Row],[EE ID]],TeamList[],MATCH(Schedules[[#This Row],[DOW]],TeamList[#Headers],0),0)="OFF","OFF","SCH"),"_NO MATCH")</f>
        <v>_NO MATCH</v>
      </c>
      <c r="Y424" s="4" t="str">
        <f>IFERROR(IF(Schedules[[#This Row],[Scheduled]]="OFF","",LEFT(VLOOKUP(Schedules[[#This Row],[EE ID]],TeamList[],MATCH(Schedules[[#This Row],[DOW]],TeamList[#Headers],0),0),4)),"_NO MATCH")</f>
        <v>_NO MATCH</v>
      </c>
      <c r="Z424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25" spans="19:26" x14ac:dyDescent="0.25">
      <c r="S425" s="209">
        <v>1519830</v>
      </c>
      <c r="T425" s="209" t="str">
        <f>Schedules[[#This Row],[Employee Name]]&amp;Schedules[[#This Row],[DOW]]</f>
        <v>_NO MATCHTue</v>
      </c>
      <c r="U425" s="4" t="str">
        <f>IFERROR(VLOOKUP(Schedules[[#This Row],[EE ID]],TeamList[],MATCH(Schedules[[#Headers],[Employee Name]],TeamList[#Headers],0),0),"_NO MATCH")</f>
        <v>_NO MATCH</v>
      </c>
      <c r="V425" s="4" t="str">
        <f>IFERROR(VLOOKUP(Schedules[[#This Row],[EE ID]],TeamList[],MATCH(Schedules[[#Headers],[Dept]],TeamList[#Headers],0),0),"_NO MATCH")</f>
        <v>_NO MATCH</v>
      </c>
      <c r="W425" s="286" t="s">
        <v>8</v>
      </c>
      <c r="X425" s="4" t="str">
        <f>IFERROR(IF(VLOOKUP(Schedules[[#This Row],[EE ID]],TeamList[],MATCH(Schedules[[#This Row],[DOW]],TeamList[#Headers],0),0)="OFF","OFF","SCH"),"_NO MATCH")</f>
        <v>_NO MATCH</v>
      </c>
      <c r="Y425" s="4" t="str">
        <f>IFERROR(IF(Schedules[[#This Row],[Scheduled]]="OFF","",LEFT(VLOOKUP(Schedules[[#This Row],[EE ID]],TeamList[],MATCH(Schedules[[#This Row],[DOW]],TeamList[#Headers],0),0),4)),"_NO MATCH")</f>
        <v>_NO MATCH</v>
      </c>
      <c r="Z425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26" spans="19:26" x14ac:dyDescent="0.25">
      <c r="S426" s="209">
        <v>1516738</v>
      </c>
      <c r="T426" s="209" t="str">
        <f>Schedules[[#This Row],[Employee Name]]&amp;Schedules[[#This Row],[DOW]]</f>
        <v>_NO MATCHTue</v>
      </c>
      <c r="U426" s="4" t="str">
        <f>IFERROR(VLOOKUP(Schedules[[#This Row],[EE ID]],TeamList[],MATCH(Schedules[[#Headers],[Employee Name]],TeamList[#Headers],0),0),"_NO MATCH")</f>
        <v>_NO MATCH</v>
      </c>
      <c r="V426" s="4" t="str">
        <f>IFERROR(VLOOKUP(Schedules[[#This Row],[EE ID]],TeamList[],MATCH(Schedules[[#Headers],[Dept]],TeamList[#Headers],0),0),"_NO MATCH")</f>
        <v>_NO MATCH</v>
      </c>
      <c r="W426" s="286" t="s">
        <v>8</v>
      </c>
      <c r="X426" s="4" t="str">
        <f>IFERROR(IF(VLOOKUP(Schedules[[#This Row],[EE ID]],TeamList[],MATCH(Schedules[[#This Row],[DOW]],TeamList[#Headers],0),0)="OFF","OFF","SCH"),"_NO MATCH")</f>
        <v>_NO MATCH</v>
      </c>
      <c r="Y426" s="4" t="str">
        <f>IFERROR(IF(Schedules[[#This Row],[Scheduled]]="OFF","",LEFT(VLOOKUP(Schedules[[#This Row],[EE ID]],TeamList[],MATCH(Schedules[[#This Row],[DOW]],TeamList[#Headers],0),0),4)),"_NO MATCH")</f>
        <v>_NO MATCH</v>
      </c>
      <c r="Z426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27" spans="19:26" x14ac:dyDescent="0.25">
      <c r="S427" s="209">
        <v>1522300</v>
      </c>
      <c r="T427" s="209" t="str">
        <f>Schedules[[#This Row],[Employee Name]]&amp;Schedules[[#This Row],[DOW]]</f>
        <v>_NO MATCHTue</v>
      </c>
      <c r="U427" s="4" t="str">
        <f>IFERROR(VLOOKUP(Schedules[[#This Row],[EE ID]],TeamList[],MATCH(Schedules[[#Headers],[Employee Name]],TeamList[#Headers],0),0),"_NO MATCH")</f>
        <v>_NO MATCH</v>
      </c>
      <c r="V427" s="4" t="str">
        <f>IFERROR(VLOOKUP(Schedules[[#This Row],[EE ID]],TeamList[],MATCH(Schedules[[#Headers],[Dept]],TeamList[#Headers],0),0),"_NO MATCH")</f>
        <v>_NO MATCH</v>
      </c>
      <c r="W427" s="286" t="s">
        <v>8</v>
      </c>
      <c r="X427" s="4" t="str">
        <f>IFERROR(IF(VLOOKUP(Schedules[[#This Row],[EE ID]],TeamList[],MATCH(Schedules[[#This Row],[DOW]],TeamList[#Headers],0),0)="OFF","OFF","SCH"),"_NO MATCH")</f>
        <v>_NO MATCH</v>
      </c>
      <c r="Y427" s="4" t="str">
        <f>IFERROR(IF(Schedules[[#This Row],[Scheduled]]="OFF","",LEFT(VLOOKUP(Schedules[[#This Row],[EE ID]],TeamList[],MATCH(Schedules[[#This Row],[DOW]],TeamList[#Headers],0),0),4)),"_NO MATCH")</f>
        <v>_NO MATCH</v>
      </c>
      <c r="Z427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28" spans="19:26" x14ac:dyDescent="0.25">
      <c r="S428" s="209">
        <v>1532418</v>
      </c>
      <c r="T428" s="209" t="str">
        <f>Schedules[[#This Row],[Employee Name]]&amp;Schedules[[#This Row],[DOW]]</f>
        <v>_NO MATCHTue</v>
      </c>
      <c r="U428" s="4" t="str">
        <f>IFERROR(VLOOKUP(Schedules[[#This Row],[EE ID]],TeamList[],MATCH(Schedules[[#Headers],[Employee Name]],TeamList[#Headers],0),0),"_NO MATCH")</f>
        <v>_NO MATCH</v>
      </c>
      <c r="V428" s="4" t="str">
        <f>IFERROR(VLOOKUP(Schedules[[#This Row],[EE ID]],TeamList[],MATCH(Schedules[[#Headers],[Dept]],TeamList[#Headers],0),0),"_NO MATCH")</f>
        <v>_NO MATCH</v>
      </c>
      <c r="W428" s="286" t="s">
        <v>8</v>
      </c>
      <c r="X428" s="4" t="str">
        <f>IFERROR(IF(VLOOKUP(Schedules[[#This Row],[EE ID]],TeamList[],MATCH(Schedules[[#This Row],[DOW]],TeamList[#Headers],0),0)="OFF","OFF","SCH"),"_NO MATCH")</f>
        <v>_NO MATCH</v>
      </c>
      <c r="Y428" s="4" t="str">
        <f>IFERROR(IF(Schedules[[#This Row],[Scheduled]]="OFF","",LEFT(VLOOKUP(Schedules[[#This Row],[EE ID]],TeamList[],MATCH(Schedules[[#This Row],[DOW]],TeamList[#Headers],0),0),4)),"_NO MATCH")</f>
        <v>_NO MATCH</v>
      </c>
      <c r="Z428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29" spans="19:26" x14ac:dyDescent="0.25">
      <c r="S429" s="209">
        <v>1522944</v>
      </c>
      <c r="T429" s="209" t="str">
        <f>Schedules[[#This Row],[Employee Name]]&amp;Schedules[[#This Row],[DOW]]</f>
        <v>_NO MATCHTue</v>
      </c>
      <c r="U429" s="4" t="str">
        <f>IFERROR(VLOOKUP(Schedules[[#This Row],[EE ID]],TeamList[],MATCH(Schedules[[#Headers],[Employee Name]],TeamList[#Headers],0),0),"_NO MATCH")</f>
        <v>_NO MATCH</v>
      </c>
      <c r="V429" s="4" t="str">
        <f>IFERROR(VLOOKUP(Schedules[[#This Row],[EE ID]],TeamList[],MATCH(Schedules[[#Headers],[Dept]],TeamList[#Headers],0),0),"_NO MATCH")</f>
        <v>_NO MATCH</v>
      </c>
      <c r="W429" s="286" t="s">
        <v>8</v>
      </c>
      <c r="X429" s="4" t="str">
        <f>IFERROR(IF(VLOOKUP(Schedules[[#This Row],[EE ID]],TeamList[],MATCH(Schedules[[#This Row],[DOW]],TeamList[#Headers],0),0)="OFF","OFF","SCH"),"_NO MATCH")</f>
        <v>_NO MATCH</v>
      </c>
      <c r="Y429" s="4" t="str">
        <f>IFERROR(IF(Schedules[[#This Row],[Scheduled]]="OFF","",LEFT(VLOOKUP(Schedules[[#This Row],[EE ID]],TeamList[],MATCH(Schedules[[#This Row],[DOW]],TeamList[#Headers],0),0),4)),"_NO MATCH")</f>
        <v>_NO MATCH</v>
      </c>
      <c r="Z429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30" spans="19:26" x14ac:dyDescent="0.25">
      <c r="S430" s="209">
        <v>1516482</v>
      </c>
      <c r="T430" s="209" t="str">
        <f>Schedules[[#This Row],[Employee Name]]&amp;Schedules[[#This Row],[DOW]]</f>
        <v>_NO MATCHTue</v>
      </c>
      <c r="U430" s="4" t="str">
        <f>IFERROR(VLOOKUP(Schedules[[#This Row],[EE ID]],TeamList[],MATCH(Schedules[[#Headers],[Employee Name]],TeamList[#Headers],0),0),"_NO MATCH")</f>
        <v>_NO MATCH</v>
      </c>
      <c r="V430" s="4" t="str">
        <f>IFERROR(VLOOKUP(Schedules[[#This Row],[EE ID]],TeamList[],MATCH(Schedules[[#Headers],[Dept]],TeamList[#Headers],0),0),"_NO MATCH")</f>
        <v>_NO MATCH</v>
      </c>
      <c r="W430" s="286" t="s">
        <v>8</v>
      </c>
      <c r="X430" s="4" t="str">
        <f>IFERROR(IF(VLOOKUP(Schedules[[#This Row],[EE ID]],TeamList[],MATCH(Schedules[[#This Row],[DOW]],TeamList[#Headers],0),0)="OFF","OFF","SCH"),"_NO MATCH")</f>
        <v>_NO MATCH</v>
      </c>
      <c r="Y430" s="4" t="str">
        <f>IFERROR(IF(Schedules[[#This Row],[Scheduled]]="OFF","",LEFT(VLOOKUP(Schedules[[#This Row],[EE ID]],TeamList[],MATCH(Schedules[[#This Row],[DOW]],TeamList[#Headers],0),0),4)),"_NO MATCH")</f>
        <v>_NO MATCH</v>
      </c>
      <c r="Z430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31" spans="19:26" x14ac:dyDescent="0.25">
      <c r="S431" s="209">
        <v>1517219</v>
      </c>
      <c r="T431" s="209" t="str">
        <f>Schedules[[#This Row],[Employee Name]]&amp;Schedules[[#This Row],[DOW]]</f>
        <v>_NO MATCHTue</v>
      </c>
      <c r="U431" s="4" t="str">
        <f>IFERROR(VLOOKUP(Schedules[[#This Row],[EE ID]],TeamList[],MATCH(Schedules[[#Headers],[Employee Name]],TeamList[#Headers],0),0),"_NO MATCH")</f>
        <v>_NO MATCH</v>
      </c>
      <c r="V431" s="4" t="str">
        <f>IFERROR(VLOOKUP(Schedules[[#This Row],[EE ID]],TeamList[],MATCH(Schedules[[#Headers],[Dept]],TeamList[#Headers],0),0),"_NO MATCH")</f>
        <v>_NO MATCH</v>
      </c>
      <c r="W431" s="286" t="s">
        <v>8</v>
      </c>
      <c r="X431" s="4" t="str">
        <f>IFERROR(IF(VLOOKUP(Schedules[[#This Row],[EE ID]],TeamList[],MATCH(Schedules[[#This Row],[DOW]],TeamList[#Headers],0),0)="OFF","OFF","SCH"),"_NO MATCH")</f>
        <v>_NO MATCH</v>
      </c>
      <c r="Y431" s="4" t="str">
        <f>IFERROR(IF(Schedules[[#This Row],[Scheduled]]="OFF","",LEFT(VLOOKUP(Schedules[[#This Row],[EE ID]],TeamList[],MATCH(Schedules[[#This Row],[DOW]],TeamList[#Headers],0),0),4)),"_NO MATCH")</f>
        <v>_NO MATCH</v>
      </c>
      <c r="Z431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32" spans="19:26" x14ac:dyDescent="0.25">
      <c r="S432" s="209">
        <v>1519830</v>
      </c>
      <c r="T432" s="209" t="str">
        <f>Schedules[[#This Row],[Employee Name]]&amp;Schedules[[#This Row],[DOW]]</f>
        <v>_NO MATCHThu</v>
      </c>
      <c r="U432" s="4" t="str">
        <f>IFERROR(VLOOKUP(Schedules[[#This Row],[EE ID]],TeamList[],MATCH(Schedules[[#Headers],[Employee Name]],TeamList[#Headers],0),0),"_NO MATCH")</f>
        <v>_NO MATCH</v>
      </c>
      <c r="V432" s="4" t="str">
        <f>IFERROR(VLOOKUP(Schedules[[#This Row],[EE ID]],TeamList[],MATCH(Schedules[[#Headers],[Dept]],TeamList[#Headers],0),0),"_NO MATCH")</f>
        <v>_NO MATCH</v>
      </c>
      <c r="W432" s="286" t="s">
        <v>10</v>
      </c>
      <c r="X432" s="4" t="str">
        <f>IFERROR(IF(VLOOKUP(Schedules[[#This Row],[EE ID]],TeamList[],MATCH(Schedules[[#This Row],[DOW]],TeamList[#Headers],0),0)="OFF","OFF","SCH"),"_NO MATCH")</f>
        <v>_NO MATCH</v>
      </c>
      <c r="Y432" s="4" t="str">
        <f>IFERROR(IF(Schedules[[#This Row],[Scheduled]]="OFF","",LEFT(VLOOKUP(Schedules[[#This Row],[EE ID]],TeamList[],MATCH(Schedules[[#This Row],[DOW]],TeamList[#Headers],0),0),4)),"_NO MATCH")</f>
        <v>_NO MATCH</v>
      </c>
      <c r="Z432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33" spans="19:26" x14ac:dyDescent="0.25">
      <c r="S433" s="209">
        <v>1516738</v>
      </c>
      <c r="T433" s="209" t="str">
        <f>Schedules[[#This Row],[Employee Name]]&amp;Schedules[[#This Row],[DOW]]</f>
        <v>_NO MATCHThu</v>
      </c>
      <c r="U433" s="4" t="str">
        <f>IFERROR(VLOOKUP(Schedules[[#This Row],[EE ID]],TeamList[],MATCH(Schedules[[#Headers],[Employee Name]],TeamList[#Headers],0),0),"_NO MATCH")</f>
        <v>_NO MATCH</v>
      </c>
      <c r="V433" s="4" t="str">
        <f>IFERROR(VLOOKUP(Schedules[[#This Row],[EE ID]],TeamList[],MATCH(Schedules[[#Headers],[Dept]],TeamList[#Headers],0),0),"_NO MATCH")</f>
        <v>_NO MATCH</v>
      </c>
      <c r="W433" s="286" t="s">
        <v>10</v>
      </c>
      <c r="X433" s="4" t="str">
        <f>IFERROR(IF(VLOOKUP(Schedules[[#This Row],[EE ID]],TeamList[],MATCH(Schedules[[#This Row],[DOW]],TeamList[#Headers],0),0)="OFF","OFF","SCH"),"_NO MATCH")</f>
        <v>_NO MATCH</v>
      </c>
      <c r="Y433" s="4" t="str">
        <f>IFERROR(IF(Schedules[[#This Row],[Scheduled]]="OFF","",LEFT(VLOOKUP(Schedules[[#This Row],[EE ID]],TeamList[],MATCH(Schedules[[#This Row],[DOW]],TeamList[#Headers],0),0),4)),"_NO MATCH")</f>
        <v>_NO MATCH</v>
      </c>
      <c r="Z433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34" spans="19:26" x14ac:dyDescent="0.25">
      <c r="S434" s="209">
        <v>1522300</v>
      </c>
      <c r="T434" s="209" t="str">
        <f>Schedules[[#This Row],[Employee Name]]&amp;Schedules[[#This Row],[DOW]]</f>
        <v>_NO MATCHThu</v>
      </c>
      <c r="U434" s="4" t="str">
        <f>IFERROR(VLOOKUP(Schedules[[#This Row],[EE ID]],TeamList[],MATCH(Schedules[[#Headers],[Employee Name]],TeamList[#Headers],0),0),"_NO MATCH")</f>
        <v>_NO MATCH</v>
      </c>
      <c r="V434" s="4" t="str">
        <f>IFERROR(VLOOKUP(Schedules[[#This Row],[EE ID]],TeamList[],MATCH(Schedules[[#Headers],[Dept]],TeamList[#Headers],0),0),"_NO MATCH")</f>
        <v>_NO MATCH</v>
      </c>
      <c r="W434" s="286" t="s">
        <v>10</v>
      </c>
      <c r="X434" s="4" t="str">
        <f>IFERROR(IF(VLOOKUP(Schedules[[#This Row],[EE ID]],TeamList[],MATCH(Schedules[[#This Row],[DOW]],TeamList[#Headers],0),0)="OFF","OFF","SCH"),"_NO MATCH")</f>
        <v>_NO MATCH</v>
      </c>
      <c r="Y434" s="4" t="str">
        <f>IFERROR(IF(Schedules[[#This Row],[Scheduled]]="OFF","",LEFT(VLOOKUP(Schedules[[#This Row],[EE ID]],TeamList[],MATCH(Schedules[[#This Row],[DOW]],TeamList[#Headers],0),0),4)),"_NO MATCH")</f>
        <v>_NO MATCH</v>
      </c>
      <c r="Z434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35" spans="19:26" x14ac:dyDescent="0.25">
      <c r="S435" s="209">
        <v>1532418</v>
      </c>
      <c r="T435" s="209" t="str">
        <f>Schedules[[#This Row],[Employee Name]]&amp;Schedules[[#This Row],[DOW]]</f>
        <v>_NO MATCHThu</v>
      </c>
      <c r="U435" s="4" t="str">
        <f>IFERROR(VLOOKUP(Schedules[[#This Row],[EE ID]],TeamList[],MATCH(Schedules[[#Headers],[Employee Name]],TeamList[#Headers],0),0),"_NO MATCH")</f>
        <v>_NO MATCH</v>
      </c>
      <c r="V435" s="4" t="str">
        <f>IFERROR(VLOOKUP(Schedules[[#This Row],[EE ID]],TeamList[],MATCH(Schedules[[#Headers],[Dept]],TeamList[#Headers],0),0),"_NO MATCH")</f>
        <v>_NO MATCH</v>
      </c>
      <c r="W435" s="286" t="s">
        <v>10</v>
      </c>
      <c r="X435" s="4" t="str">
        <f>IFERROR(IF(VLOOKUP(Schedules[[#This Row],[EE ID]],TeamList[],MATCH(Schedules[[#This Row],[DOW]],TeamList[#Headers],0),0)="OFF","OFF","SCH"),"_NO MATCH")</f>
        <v>_NO MATCH</v>
      </c>
      <c r="Y435" s="4" t="str">
        <f>IFERROR(IF(Schedules[[#This Row],[Scheduled]]="OFF","",LEFT(VLOOKUP(Schedules[[#This Row],[EE ID]],TeamList[],MATCH(Schedules[[#This Row],[DOW]],TeamList[#Headers],0),0),4)),"_NO MATCH")</f>
        <v>_NO MATCH</v>
      </c>
      <c r="Z435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36" spans="19:26" x14ac:dyDescent="0.25">
      <c r="S436" s="209">
        <v>1522944</v>
      </c>
      <c r="T436" s="209" t="str">
        <f>Schedules[[#This Row],[Employee Name]]&amp;Schedules[[#This Row],[DOW]]</f>
        <v>_NO MATCHThu</v>
      </c>
      <c r="U436" s="4" t="str">
        <f>IFERROR(VLOOKUP(Schedules[[#This Row],[EE ID]],TeamList[],MATCH(Schedules[[#Headers],[Employee Name]],TeamList[#Headers],0),0),"_NO MATCH")</f>
        <v>_NO MATCH</v>
      </c>
      <c r="V436" s="4" t="str">
        <f>IFERROR(VLOOKUP(Schedules[[#This Row],[EE ID]],TeamList[],MATCH(Schedules[[#Headers],[Dept]],TeamList[#Headers],0),0),"_NO MATCH")</f>
        <v>_NO MATCH</v>
      </c>
      <c r="W436" s="286" t="s">
        <v>10</v>
      </c>
      <c r="X436" s="4" t="str">
        <f>IFERROR(IF(VLOOKUP(Schedules[[#This Row],[EE ID]],TeamList[],MATCH(Schedules[[#This Row],[DOW]],TeamList[#Headers],0),0)="OFF","OFF","SCH"),"_NO MATCH")</f>
        <v>_NO MATCH</v>
      </c>
      <c r="Y436" s="4" t="str">
        <f>IFERROR(IF(Schedules[[#This Row],[Scheduled]]="OFF","",LEFT(VLOOKUP(Schedules[[#This Row],[EE ID]],TeamList[],MATCH(Schedules[[#This Row],[DOW]],TeamList[#Headers],0),0),4)),"_NO MATCH")</f>
        <v>_NO MATCH</v>
      </c>
      <c r="Z436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37" spans="19:26" x14ac:dyDescent="0.25">
      <c r="S437" s="209">
        <v>1516482</v>
      </c>
      <c r="T437" s="209" t="str">
        <f>Schedules[[#This Row],[Employee Name]]&amp;Schedules[[#This Row],[DOW]]</f>
        <v>_NO MATCHThu</v>
      </c>
      <c r="U437" s="4" t="str">
        <f>IFERROR(VLOOKUP(Schedules[[#This Row],[EE ID]],TeamList[],MATCH(Schedules[[#Headers],[Employee Name]],TeamList[#Headers],0),0),"_NO MATCH")</f>
        <v>_NO MATCH</v>
      </c>
      <c r="V437" s="4" t="str">
        <f>IFERROR(VLOOKUP(Schedules[[#This Row],[EE ID]],TeamList[],MATCH(Schedules[[#Headers],[Dept]],TeamList[#Headers],0),0),"_NO MATCH")</f>
        <v>_NO MATCH</v>
      </c>
      <c r="W437" s="286" t="s">
        <v>10</v>
      </c>
      <c r="X437" s="4" t="str">
        <f>IFERROR(IF(VLOOKUP(Schedules[[#This Row],[EE ID]],TeamList[],MATCH(Schedules[[#This Row],[DOW]],TeamList[#Headers],0),0)="OFF","OFF","SCH"),"_NO MATCH")</f>
        <v>_NO MATCH</v>
      </c>
      <c r="Y437" s="4" t="str">
        <f>IFERROR(IF(Schedules[[#This Row],[Scheduled]]="OFF","",LEFT(VLOOKUP(Schedules[[#This Row],[EE ID]],TeamList[],MATCH(Schedules[[#This Row],[DOW]],TeamList[#Headers],0),0),4)),"_NO MATCH")</f>
        <v>_NO MATCH</v>
      </c>
      <c r="Z437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38" spans="19:26" x14ac:dyDescent="0.25">
      <c r="S438" s="209">
        <v>1517219</v>
      </c>
      <c r="T438" s="209" t="str">
        <f>Schedules[[#This Row],[Employee Name]]&amp;Schedules[[#This Row],[DOW]]</f>
        <v>_NO MATCHThu</v>
      </c>
      <c r="U438" s="4" t="str">
        <f>IFERROR(VLOOKUP(Schedules[[#This Row],[EE ID]],TeamList[],MATCH(Schedules[[#Headers],[Employee Name]],TeamList[#Headers],0),0),"_NO MATCH")</f>
        <v>_NO MATCH</v>
      </c>
      <c r="V438" s="4" t="str">
        <f>IFERROR(VLOOKUP(Schedules[[#This Row],[EE ID]],TeamList[],MATCH(Schedules[[#Headers],[Dept]],TeamList[#Headers],0),0),"_NO MATCH")</f>
        <v>_NO MATCH</v>
      </c>
      <c r="W438" s="286" t="s">
        <v>10</v>
      </c>
      <c r="X438" s="4" t="str">
        <f>IFERROR(IF(VLOOKUP(Schedules[[#This Row],[EE ID]],TeamList[],MATCH(Schedules[[#This Row],[DOW]],TeamList[#Headers],0),0)="OFF","OFF","SCH"),"_NO MATCH")</f>
        <v>_NO MATCH</v>
      </c>
      <c r="Y438" s="4" t="str">
        <f>IFERROR(IF(Schedules[[#This Row],[Scheduled]]="OFF","",LEFT(VLOOKUP(Schedules[[#This Row],[EE ID]],TeamList[],MATCH(Schedules[[#This Row],[DOW]],TeamList[#Headers],0),0),4)),"_NO MATCH")</f>
        <v>_NO MATCH</v>
      </c>
      <c r="Z438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39" spans="19:26" x14ac:dyDescent="0.25">
      <c r="S439" s="209">
        <v>1519830</v>
      </c>
      <c r="T439" s="209" t="str">
        <f>Schedules[[#This Row],[Employee Name]]&amp;Schedules[[#This Row],[DOW]]</f>
        <v>_NO MATCHSun</v>
      </c>
      <c r="U439" s="219" t="str">
        <f>IFERROR(VLOOKUP(Schedules[[#This Row],[EE ID]],TeamList[],MATCH(Schedules[[#Headers],[Employee Name]],TeamList[#Headers],0),0),"_NO MATCH")</f>
        <v>_NO MATCH</v>
      </c>
      <c r="V439" s="219" t="str">
        <f>IFERROR(VLOOKUP(Schedules[[#This Row],[EE ID]],TeamList[],MATCH(Schedules[[#Headers],[Dept]],TeamList[#Headers],0),0),"_NO MATCH")</f>
        <v>_NO MATCH</v>
      </c>
      <c r="W439" s="287" t="s">
        <v>6</v>
      </c>
      <c r="X439" s="219" t="str">
        <f>IFERROR(IF(VLOOKUP(Schedules[[#This Row],[EE ID]],TeamList[],MATCH(Schedules[[#This Row],[DOW]],TeamList[#Headers],0),0)="OFF","OFF","SCH"),"_NO MATCH")</f>
        <v>_NO MATCH</v>
      </c>
      <c r="Y439" s="219" t="str">
        <f>IFERROR(IF(Schedules[[#This Row],[Scheduled]]="OFF","",LEFT(VLOOKUP(Schedules[[#This Row],[EE ID]],TeamList[],MATCH(Schedules[[#This Row],[DOW]],TeamList[#Headers],0),0),4)),"_NO MATCH")</f>
        <v>_NO MATCH</v>
      </c>
      <c r="Z439" s="219" t="str">
        <f>IFERROR(IF(Schedules[[#This Row],[Scheduled]]="OFF","",RIGHT(VLOOKUP(Schedules[[#This Row],[EE ID]],TeamList[],MATCH(Schedules[[#This Row],[DOW]],TeamList[#Headers],0),0),4)),"_NO MATCH")</f>
        <v>_NO MATCH</v>
      </c>
    </row>
    <row r="440" spans="19:26" x14ac:dyDescent="0.25">
      <c r="S440" s="209">
        <v>1516738</v>
      </c>
      <c r="T440" s="209" t="str">
        <f>Schedules[[#This Row],[Employee Name]]&amp;Schedules[[#This Row],[DOW]]</f>
        <v>_NO MATCHSun</v>
      </c>
      <c r="U440" s="4" t="str">
        <f>IFERROR(VLOOKUP(Schedules[[#This Row],[EE ID]],TeamList[],MATCH(Schedules[[#Headers],[Employee Name]],TeamList[#Headers],0),0),"_NO MATCH")</f>
        <v>_NO MATCH</v>
      </c>
      <c r="V440" s="4" t="str">
        <f>IFERROR(VLOOKUP(Schedules[[#This Row],[EE ID]],TeamList[],MATCH(Schedules[[#Headers],[Dept]],TeamList[#Headers],0),0),"_NO MATCH")</f>
        <v>_NO MATCH</v>
      </c>
      <c r="W440" s="287" t="s">
        <v>6</v>
      </c>
      <c r="X440" s="219" t="str">
        <f>IFERROR(IF(VLOOKUP(Schedules[[#This Row],[EE ID]],TeamList[],MATCH(Schedules[[#This Row],[DOW]],TeamList[#Headers],0),0)="OFF","OFF","SCH"),"_NO MATCH")</f>
        <v>_NO MATCH</v>
      </c>
      <c r="Y440" s="219" t="str">
        <f>IFERROR(IF(Schedules[[#This Row],[Scheduled]]="OFF","",LEFT(VLOOKUP(Schedules[[#This Row],[EE ID]],TeamList[],MATCH(Schedules[[#This Row],[DOW]],TeamList[#Headers],0),0),4)),"_NO MATCH")</f>
        <v>_NO MATCH</v>
      </c>
      <c r="Z440" s="219" t="str">
        <f>IFERROR(IF(Schedules[[#This Row],[Scheduled]]="OFF","",RIGHT(VLOOKUP(Schedules[[#This Row],[EE ID]],TeamList[],MATCH(Schedules[[#This Row],[DOW]],TeamList[#Headers],0),0),4)),"_NO MATCH")</f>
        <v>_NO MATCH</v>
      </c>
    </row>
    <row r="441" spans="19:26" x14ac:dyDescent="0.25">
      <c r="S441" s="209">
        <v>1522300</v>
      </c>
      <c r="T441" s="209" t="str">
        <f>Schedules[[#This Row],[Employee Name]]&amp;Schedules[[#This Row],[DOW]]</f>
        <v>_NO MATCHSun</v>
      </c>
      <c r="U441" s="4" t="str">
        <f>IFERROR(VLOOKUP(Schedules[[#This Row],[EE ID]],TeamList[],MATCH(Schedules[[#Headers],[Employee Name]],TeamList[#Headers],0),0),"_NO MATCH")</f>
        <v>_NO MATCH</v>
      </c>
      <c r="V441" s="4" t="str">
        <f>IFERROR(VLOOKUP(Schedules[[#This Row],[EE ID]],TeamList[],MATCH(Schedules[[#Headers],[Dept]],TeamList[#Headers],0),0),"_NO MATCH")</f>
        <v>_NO MATCH</v>
      </c>
      <c r="W441" s="287" t="s">
        <v>6</v>
      </c>
      <c r="X441" s="219" t="str">
        <f>IFERROR(IF(VLOOKUP(Schedules[[#This Row],[EE ID]],TeamList[],MATCH(Schedules[[#This Row],[DOW]],TeamList[#Headers],0),0)="OFF","OFF","SCH"),"_NO MATCH")</f>
        <v>_NO MATCH</v>
      </c>
      <c r="Y441" s="219" t="str">
        <f>IFERROR(IF(Schedules[[#This Row],[Scheduled]]="OFF","",LEFT(VLOOKUP(Schedules[[#This Row],[EE ID]],TeamList[],MATCH(Schedules[[#This Row],[DOW]],TeamList[#Headers],0),0),4)),"_NO MATCH")</f>
        <v>_NO MATCH</v>
      </c>
      <c r="Z441" s="219" t="str">
        <f>IFERROR(IF(Schedules[[#This Row],[Scheduled]]="OFF","",RIGHT(VLOOKUP(Schedules[[#This Row],[EE ID]],TeamList[],MATCH(Schedules[[#This Row],[DOW]],TeamList[#Headers],0),0),4)),"_NO MATCH")</f>
        <v>_NO MATCH</v>
      </c>
    </row>
    <row r="442" spans="19:26" x14ac:dyDescent="0.25">
      <c r="S442" s="209">
        <v>1532418</v>
      </c>
      <c r="T442" s="209" t="str">
        <f>Schedules[[#This Row],[Employee Name]]&amp;Schedules[[#This Row],[DOW]]</f>
        <v>_NO MATCHSun</v>
      </c>
      <c r="U442" s="4" t="str">
        <f>IFERROR(VLOOKUP(Schedules[[#This Row],[EE ID]],TeamList[],MATCH(Schedules[[#Headers],[Employee Name]],TeamList[#Headers],0),0),"_NO MATCH")</f>
        <v>_NO MATCH</v>
      </c>
      <c r="V442" s="4" t="str">
        <f>IFERROR(VLOOKUP(Schedules[[#This Row],[EE ID]],TeamList[],MATCH(Schedules[[#Headers],[Dept]],TeamList[#Headers],0),0),"_NO MATCH")</f>
        <v>_NO MATCH</v>
      </c>
      <c r="W442" s="287" t="s">
        <v>6</v>
      </c>
      <c r="X442" s="219" t="str">
        <f>IFERROR(IF(VLOOKUP(Schedules[[#This Row],[EE ID]],TeamList[],MATCH(Schedules[[#This Row],[DOW]],TeamList[#Headers],0),0)="OFF","OFF","SCH"),"_NO MATCH")</f>
        <v>_NO MATCH</v>
      </c>
      <c r="Y442" s="219" t="str">
        <f>IFERROR(IF(Schedules[[#This Row],[Scheduled]]="OFF","",LEFT(VLOOKUP(Schedules[[#This Row],[EE ID]],TeamList[],MATCH(Schedules[[#This Row],[DOW]],TeamList[#Headers],0),0),4)),"_NO MATCH")</f>
        <v>_NO MATCH</v>
      </c>
      <c r="Z442" s="219" t="str">
        <f>IFERROR(IF(Schedules[[#This Row],[Scheduled]]="OFF","",RIGHT(VLOOKUP(Schedules[[#This Row],[EE ID]],TeamList[],MATCH(Schedules[[#This Row],[DOW]],TeamList[#Headers],0),0),4)),"_NO MATCH")</f>
        <v>_NO MATCH</v>
      </c>
    </row>
    <row r="443" spans="19:26" x14ac:dyDescent="0.25">
      <c r="S443" s="209">
        <v>1522944</v>
      </c>
      <c r="T443" s="209" t="str">
        <f>Schedules[[#This Row],[Employee Name]]&amp;Schedules[[#This Row],[DOW]]</f>
        <v>_NO MATCHSun</v>
      </c>
      <c r="U443" s="4" t="str">
        <f>IFERROR(VLOOKUP(Schedules[[#This Row],[EE ID]],TeamList[],MATCH(Schedules[[#Headers],[Employee Name]],TeamList[#Headers],0),0),"_NO MATCH")</f>
        <v>_NO MATCH</v>
      </c>
      <c r="V443" s="4" t="str">
        <f>IFERROR(VLOOKUP(Schedules[[#This Row],[EE ID]],TeamList[],MATCH(Schedules[[#Headers],[Dept]],TeamList[#Headers],0),0),"_NO MATCH")</f>
        <v>_NO MATCH</v>
      </c>
      <c r="W443" s="287" t="s">
        <v>6</v>
      </c>
      <c r="X443" s="219" t="str">
        <f>IFERROR(IF(VLOOKUP(Schedules[[#This Row],[EE ID]],TeamList[],MATCH(Schedules[[#This Row],[DOW]],TeamList[#Headers],0),0)="OFF","OFF","SCH"),"_NO MATCH")</f>
        <v>_NO MATCH</v>
      </c>
      <c r="Y443" s="219" t="str">
        <f>IFERROR(IF(Schedules[[#This Row],[Scheduled]]="OFF","",LEFT(VLOOKUP(Schedules[[#This Row],[EE ID]],TeamList[],MATCH(Schedules[[#This Row],[DOW]],TeamList[#Headers],0),0),4)),"_NO MATCH")</f>
        <v>_NO MATCH</v>
      </c>
      <c r="Z443" s="219" t="str">
        <f>IFERROR(IF(Schedules[[#This Row],[Scheduled]]="OFF","",RIGHT(VLOOKUP(Schedules[[#This Row],[EE ID]],TeamList[],MATCH(Schedules[[#This Row],[DOW]],TeamList[#Headers],0),0),4)),"_NO MATCH")</f>
        <v>_NO MATCH</v>
      </c>
    </row>
    <row r="444" spans="19:26" x14ac:dyDescent="0.25">
      <c r="S444" s="209">
        <v>1516482</v>
      </c>
      <c r="T444" s="209" t="str">
        <f>Schedules[[#This Row],[Employee Name]]&amp;Schedules[[#This Row],[DOW]]</f>
        <v>_NO MATCHSun</v>
      </c>
      <c r="U444" s="4" t="str">
        <f>IFERROR(VLOOKUP(Schedules[[#This Row],[EE ID]],TeamList[],MATCH(Schedules[[#Headers],[Employee Name]],TeamList[#Headers],0),0),"_NO MATCH")</f>
        <v>_NO MATCH</v>
      </c>
      <c r="V444" s="4" t="str">
        <f>IFERROR(VLOOKUP(Schedules[[#This Row],[EE ID]],TeamList[],MATCH(Schedules[[#Headers],[Dept]],TeamList[#Headers],0),0),"_NO MATCH")</f>
        <v>_NO MATCH</v>
      </c>
      <c r="W444" s="287" t="s">
        <v>6</v>
      </c>
      <c r="X444" s="219" t="str">
        <f>IFERROR(IF(VLOOKUP(Schedules[[#This Row],[EE ID]],TeamList[],MATCH(Schedules[[#This Row],[DOW]],TeamList[#Headers],0),0)="OFF","OFF","SCH"),"_NO MATCH")</f>
        <v>_NO MATCH</v>
      </c>
      <c r="Y444" s="219" t="str">
        <f>IFERROR(IF(Schedules[[#This Row],[Scheduled]]="OFF","",LEFT(VLOOKUP(Schedules[[#This Row],[EE ID]],TeamList[],MATCH(Schedules[[#This Row],[DOW]],TeamList[#Headers],0),0),4)),"_NO MATCH")</f>
        <v>_NO MATCH</v>
      </c>
      <c r="Z444" s="219" t="str">
        <f>IFERROR(IF(Schedules[[#This Row],[Scheduled]]="OFF","",RIGHT(VLOOKUP(Schedules[[#This Row],[EE ID]],TeamList[],MATCH(Schedules[[#This Row],[DOW]],TeamList[#Headers],0),0),4)),"_NO MATCH")</f>
        <v>_NO MATCH</v>
      </c>
    </row>
    <row r="445" spans="19:26" x14ac:dyDescent="0.25">
      <c r="S445" s="209">
        <v>1517219</v>
      </c>
      <c r="T445" s="209" t="str">
        <f>Schedules[[#This Row],[Employee Name]]&amp;Schedules[[#This Row],[DOW]]</f>
        <v>_NO MATCHSun</v>
      </c>
      <c r="U445" s="4" t="str">
        <f>IFERROR(VLOOKUP(Schedules[[#This Row],[EE ID]],TeamList[],MATCH(Schedules[[#Headers],[Employee Name]],TeamList[#Headers],0),0),"_NO MATCH")</f>
        <v>_NO MATCH</v>
      </c>
      <c r="V445" s="4" t="str">
        <f>IFERROR(VLOOKUP(Schedules[[#This Row],[EE ID]],TeamList[],MATCH(Schedules[[#Headers],[Dept]],TeamList[#Headers],0),0),"_NO MATCH")</f>
        <v>_NO MATCH</v>
      </c>
      <c r="W445" s="287" t="s">
        <v>6</v>
      </c>
      <c r="X445" s="219" t="str">
        <f>IFERROR(IF(VLOOKUP(Schedules[[#This Row],[EE ID]],TeamList[],MATCH(Schedules[[#This Row],[DOW]],TeamList[#Headers],0),0)="OFF","OFF","SCH"),"_NO MATCH")</f>
        <v>_NO MATCH</v>
      </c>
      <c r="Y445" s="219" t="str">
        <f>IFERROR(IF(Schedules[[#This Row],[Scheduled]]="OFF","",LEFT(VLOOKUP(Schedules[[#This Row],[EE ID]],TeamList[],MATCH(Schedules[[#This Row],[DOW]],TeamList[#Headers],0),0),4)),"_NO MATCH")</f>
        <v>_NO MATCH</v>
      </c>
      <c r="Z445" s="219" t="str">
        <f>IFERROR(IF(Schedules[[#This Row],[Scheduled]]="OFF","",RIGHT(VLOOKUP(Schedules[[#This Row],[EE ID]],TeamList[],MATCH(Schedules[[#This Row],[DOW]],TeamList[#Headers],0),0),4)),"_NO MATCH")</f>
        <v>_NO MATCH</v>
      </c>
    </row>
    <row r="446" spans="19:26" x14ac:dyDescent="0.25">
      <c r="S446" s="209">
        <v>1519830</v>
      </c>
      <c r="T446" s="209" t="str">
        <f>Schedules[[#This Row],[Employee Name]]&amp;Schedules[[#This Row],[DOW]]</f>
        <v>_NO MATCHSat</v>
      </c>
      <c r="U446" s="4" t="str">
        <f>IFERROR(VLOOKUP(Schedules[[#This Row],[EE ID]],TeamList[],MATCH(Schedules[[#Headers],[Employee Name]],TeamList[#Headers],0),0),"_NO MATCH")</f>
        <v>_NO MATCH</v>
      </c>
      <c r="V446" s="4" t="str">
        <f>IFERROR(VLOOKUP(Schedules[[#This Row],[EE ID]],TeamList[],MATCH(Schedules[[#Headers],[Dept]],TeamList[#Headers],0),0),"_NO MATCH")</f>
        <v>_NO MATCH</v>
      </c>
      <c r="W446" s="286" t="s">
        <v>12</v>
      </c>
      <c r="X446" s="4" t="str">
        <f>IFERROR(IF(VLOOKUP(Schedules[[#This Row],[EE ID]],TeamList[],MATCH(Schedules[[#This Row],[DOW]],TeamList[#Headers],0),0)="OFF","OFF","SCH"),"_NO MATCH")</f>
        <v>_NO MATCH</v>
      </c>
      <c r="Y446" s="4" t="str">
        <f>IFERROR(IF(Schedules[[#This Row],[Scheduled]]="OFF","",LEFT(VLOOKUP(Schedules[[#This Row],[EE ID]],TeamList[],MATCH(Schedules[[#This Row],[DOW]],TeamList[#Headers],0),0),4)),"_NO MATCH")</f>
        <v>_NO MATCH</v>
      </c>
      <c r="Z446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47" spans="19:26" x14ac:dyDescent="0.25">
      <c r="S447" s="209">
        <v>1516738</v>
      </c>
      <c r="T447" s="209" t="str">
        <f>Schedules[[#This Row],[Employee Name]]&amp;Schedules[[#This Row],[DOW]]</f>
        <v>_NO MATCHSat</v>
      </c>
      <c r="U447" s="4" t="str">
        <f>IFERROR(VLOOKUP(Schedules[[#This Row],[EE ID]],TeamList[],MATCH(Schedules[[#Headers],[Employee Name]],TeamList[#Headers],0),0),"_NO MATCH")</f>
        <v>_NO MATCH</v>
      </c>
      <c r="V447" s="4" t="str">
        <f>IFERROR(VLOOKUP(Schedules[[#This Row],[EE ID]],TeamList[],MATCH(Schedules[[#Headers],[Dept]],TeamList[#Headers],0),0),"_NO MATCH")</f>
        <v>_NO MATCH</v>
      </c>
      <c r="W447" s="286" t="s">
        <v>12</v>
      </c>
      <c r="X447" s="4" t="str">
        <f>IFERROR(IF(VLOOKUP(Schedules[[#This Row],[EE ID]],TeamList[],MATCH(Schedules[[#This Row],[DOW]],TeamList[#Headers],0),0)="OFF","OFF","SCH"),"_NO MATCH")</f>
        <v>_NO MATCH</v>
      </c>
      <c r="Y447" s="4" t="str">
        <f>IFERROR(IF(Schedules[[#This Row],[Scheduled]]="OFF","",LEFT(VLOOKUP(Schedules[[#This Row],[EE ID]],TeamList[],MATCH(Schedules[[#This Row],[DOW]],TeamList[#Headers],0),0),4)),"_NO MATCH")</f>
        <v>_NO MATCH</v>
      </c>
      <c r="Z447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48" spans="19:26" x14ac:dyDescent="0.25">
      <c r="S448" s="209">
        <v>1522300</v>
      </c>
      <c r="T448" s="209" t="str">
        <f>Schedules[[#This Row],[Employee Name]]&amp;Schedules[[#This Row],[DOW]]</f>
        <v>_NO MATCHSat</v>
      </c>
      <c r="U448" s="4" t="str">
        <f>IFERROR(VLOOKUP(Schedules[[#This Row],[EE ID]],TeamList[],MATCH(Schedules[[#Headers],[Employee Name]],TeamList[#Headers],0),0),"_NO MATCH")</f>
        <v>_NO MATCH</v>
      </c>
      <c r="V448" s="4" t="str">
        <f>IFERROR(VLOOKUP(Schedules[[#This Row],[EE ID]],TeamList[],MATCH(Schedules[[#Headers],[Dept]],TeamList[#Headers],0),0),"_NO MATCH")</f>
        <v>_NO MATCH</v>
      </c>
      <c r="W448" s="286" t="s">
        <v>12</v>
      </c>
      <c r="X448" s="4" t="str">
        <f>IFERROR(IF(VLOOKUP(Schedules[[#This Row],[EE ID]],TeamList[],MATCH(Schedules[[#This Row],[DOW]],TeamList[#Headers],0),0)="OFF","OFF","SCH"),"_NO MATCH")</f>
        <v>_NO MATCH</v>
      </c>
      <c r="Y448" s="4" t="str">
        <f>IFERROR(IF(Schedules[[#This Row],[Scheduled]]="OFF","",LEFT(VLOOKUP(Schedules[[#This Row],[EE ID]],TeamList[],MATCH(Schedules[[#This Row],[DOW]],TeamList[#Headers],0),0),4)),"_NO MATCH")</f>
        <v>_NO MATCH</v>
      </c>
      <c r="Z448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49" spans="19:26" x14ac:dyDescent="0.25">
      <c r="S449" s="209">
        <v>1532418</v>
      </c>
      <c r="T449" s="209" t="str">
        <f>Schedules[[#This Row],[Employee Name]]&amp;Schedules[[#This Row],[DOW]]</f>
        <v>_NO MATCHSat</v>
      </c>
      <c r="U449" s="4" t="str">
        <f>IFERROR(VLOOKUP(Schedules[[#This Row],[EE ID]],TeamList[],MATCH(Schedules[[#Headers],[Employee Name]],TeamList[#Headers],0),0),"_NO MATCH")</f>
        <v>_NO MATCH</v>
      </c>
      <c r="V449" s="4" t="str">
        <f>IFERROR(VLOOKUP(Schedules[[#This Row],[EE ID]],TeamList[],MATCH(Schedules[[#Headers],[Dept]],TeamList[#Headers],0),0),"_NO MATCH")</f>
        <v>_NO MATCH</v>
      </c>
      <c r="W449" s="286" t="s">
        <v>12</v>
      </c>
      <c r="X449" s="4" t="str">
        <f>IFERROR(IF(VLOOKUP(Schedules[[#This Row],[EE ID]],TeamList[],MATCH(Schedules[[#This Row],[DOW]],TeamList[#Headers],0),0)="OFF","OFF","SCH"),"_NO MATCH")</f>
        <v>_NO MATCH</v>
      </c>
      <c r="Y449" s="4" t="str">
        <f>IFERROR(IF(Schedules[[#This Row],[Scheduled]]="OFF","",LEFT(VLOOKUP(Schedules[[#This Row],[EE ID]],TeamList[],MATCH(Schedules[[#This Row],[DOW]],TeamList[#Headers],0),0),4)),"_NO MATCH")</f>
        <v>_NO MATCH</v>
      </c>
      <c r="Z449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50" spans="19:26" x14ac:dyDescent="0.25">
      <c r="S450" s="209">
        <v>1522944</v>
      </c>
      <c r="T450" s="209" t="str">
        <f>Schedules[[#This Row],[Employee Name]]&amp;Schedules[[#This Row],[DOW]]</f>
        <v>_NO MATCHSat</v>
      </c>
      <c r="U450" s="4" t="str">
        <f>IFERROR(VLOOKUP(Schedules[[#This Row],[EE ID]],TeamList[],MATCH(Schedules[[#Headers],[Employee Name]],TeamList[#Headers],0),0),"_NO MATCH")</f>
        <v>_NO MATCH</v>
      </c>
      <c r="V450" s="4" t="str">
        <f>IFERROR(VLOOKUP(Schedules[[#This Row],[EE ID]],TeamList[],MATCH(Schedules[[#Headers],[Dept]],TeamList[#Headers],0),0),"_NO MATCH")</f>
        <v>_NO MATCH</v>
      </c>
      <c r="W450" s="286" t="s">
        <v>12</v>
      </c>
      <c r="X450" s="4" t="str">
        <f>IFERROR(IF(VLOOKUP(Schedules[[#This Row],[EE ID]],TeamList[],MATCH(Schedules[[#This Row],[DOW]],TeamList[#Headers],0),0)="OFF","OFF","SCH"),"_NO MATCH")</f>
        <v>_NO MATCH</v>
      </c>
      <c r="Y450" s="4" t="str">
        <f>IFERROR(IF(Schedules[[#This Row],[Scheduled]]="OFF","",LEFT(VLOOKUP(Schedules[[#This Row],[EE ID]],TeamList[],MATCH(Schedules[[#This Row],[DOW]],TeamList[#Headers],0),0),4)),"_NO MATCH")</f>
        <v>_NO MATCH</v>
      </c>
      <c r="Z450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51" spans="19:26" x14ac:dyDescent="0.25">
      <c r="S451" s="209">
        <v>1516482</v>
      </c>
      <c r="T451" s="209" t="str">
        <f>Schedules[[#This Row],[Employee Name]]&amp;Schedules[[#This Row],[DOW]]</f>
        <v>_NO MATCHSat</v>
      </c>
      <c r="U451" s="4" t="str">
        <f>IFERROR(VLOOKUP(Schedules[[#This Row],[EE ID]],TeamList[],MATCH(Schedules[[#Headers],[Employee Name]],TeamList[#Headers],0),0),"_NO MATCH")</f>
        <v>_NO MATCH</v>
      </c>
      <c r="V451" s="4" t="str">
        <f>IFERROR(VLOOKUP(Schedules[[#This Row],[EE ID]],TeamList[],MATCH(Schedules[[#Headers],[Dept]],TeamList[#Headers],0),0),"_NO MATCH")</f>
        <v>_NO MATCH</v>
      </c>
      <c r="W451" s="286" t="s">
        <v>12</v>
      </c>
      <c r="X451" s="4" t="str">
        <f>IFERROR(IF(VLOOKUP(Schedules[[#This Row],[EE ID]],TeamList[],MATCH(Schedules[[#This Row],[DOW]],TeamList[#Headers],0),0)="OFF","OFF","SCH"),"_NO MATCH")</f>
        <v>_NO MATCH</v>
      </c>
      <c r="Y451" s="4" t="str">
        <f>IFERROR(IF(Schedules[[#This Row],[Scheduled]]="OFF","",LEFT(VLOOKUP(Schedules[[#This Row],[EE ID]],TeamList[],MATCH(Schedules[[#This Row],[DOW]],TeamList[#Headers],0),0),4)),"_NO MATCH")</f>
        <v>_NO MATCH</v>
      </c>
      <c r="Z451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52" spans="19:26" x14ac:dyDescent="0.25">
      <c r="S452" s="209">
        <v>1517219</v>
      </c>
      <c r="T452" s="209" t="str">
        <f>Schedules[[#This Row],[Employee Name]]&amp;Schedules[[#This Row],[DOW]]</f>
        <v>_NO MATCHSat</v>
      </c>
      <c r="U452" s="4" t="str">
        <f>IFERROR(VLOOKUP(Schedules[[#This Row],[EE ID]],TeamList[],MATCH(Schedules[[#Headers],[Employee Name]],TeamList[#Headers],0),0),"_NO MATCH")</f>
        <v>_NO MATCH</v>
      </c>
      <c r="V452" s="4" t="str">
        <f>IFERROR(VLOOKUP(Schedules[[#This Row],[EE ID]],TeamList[],MATCH(Schedules[[#Headers],[Dept]],TeamList[#Headers],0),0),"_NO MATCH")</f>
        <v>_NO MATCH</v>
      </c>
      <c r="W452" s="286" t="s">
        <v>12</v>
      </c>
      <c r="X452" s="4" t="str">
        <f>IFERROR(IF(VLOOKUP(Schedules[[#This Row],[EE ID]],TeamList[],MATCH(Schedules[[#This Row],[DOW]],TeamList[#Headers],0),0)="OFF","OFF","SCH"),"_NO MATCH")</f>
        <v>_NO MATCH</v>
      </c>
      <c r="Y452" s="4" t="str">
        <f>IFERROR(IF(Schedules[[#This Row],[Scheduled]]="OFF","",LEFT(VLOOKUP(Schedules[[#This Row],[EE ID]],TeamList[],MATCH(Schedules[[#This Row],[DOW]],TeamList[#Headers],0),0),4)),"_NO MATCH")</f>
        <v>_NO MATCH</v>
      </c>
      <c r="Z452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53" spans="19:26" x14ac:dyDescent="0.25">
      <c r="S453" s="209">
        <v>1519830</v>
      </c>
      <c r="T453" s="209" t="str">
        <f>Schedules[[#This Row],[Employee Name]]&amp;Schedules[[#This Row],[DOW]]</f>
        <v>_NO MATCHMon</v>
      </c>
      <c r="U453" s="4" t="str">
        <f>IFERROR(VLOOKUP(Schedules[[#This Row],[EE ID]],TeamList[],MATCH(Schedules[[#Headers],[Employee Name]],TeamList[#Headers],0),0),"_NO MATCH")</f>
        <v>_NO MATCH</v>
      </c>
      <c r="V453" s="4" t="str">
        <f>IFERROR(VLOOKUP(Schedules[[#This Row],[EE ID]],TeamList[],MATCH(Schedules[[#Headers],[Dept]],TeamList[#Headers],0),0),"_NO MATCH")</f>
        <v>_NO MATCH</v>
      </c>
      <c r="W453" s="286" t="s">
        <v>7</v>
      </c>
      <c r="X453" s="4" t="str">
        <f>IFERROR(IF(VLOOKUP(Schedules[[#This Row],[EE ID]],TeamList[],MATCH(Schedules[[#This Row],[DOW]],TeamList[#Headers],0),0)="OFF","OFF","SCH"),"_NO MATCH")</f>
        <v>_NO MATCH</v>
      </c>
      <c r="Y453" s="4" t="str">
        <f>IFERROR(IF(Schedules[[#This Row],[Scheduled]]="OFF","",LEFT(VLOOKUP(Schedules[[#This Row],[EE ID]],TeamList[],MATCH(Schedules[[#This Row],[DOW]],TeamList[#Headers],0),0),4)),"_NO MATCH")</f>
        <v>_NO MATCH</v>
      </c>
      <c r="Z453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54" spans="19:26" x14ac:dyDescent="0.25">
      <c r="S454" s="209">
        <v>1516738</v>
      </c>
      <c r="T454" s="209" t="str">
        <f>Schedules[[#This Row],[Employee Name]]&amp;Schedules[[#This Row],[DOW]]</f>
        <v>_NO MATCHMon</v>
      </c>
      <c r="U454" s="4" t="str">
        <f>IFERROR(VLOOKUP(Schedules[[#This Row],[EE ID]],TeamList[],MATCH(Schedules[[#Headers],[Employee Name]],TeamList[#Headers],0),0),"_NO MATCH")</f>
        <v>_NO MATCH</v>
      </c>
      <c r="V454" s="4" t="str">
        <f>IFERROR(VLOOKUP(Schedules[[#This Row],[EE ID]],TeamList[],MATCH(Schedules[[#Headers],[Dept]],TeamList[#Headers],0),0),"_NO MATCH")</f>
        <v>_NO MATCH</v>
      </c>
      <c r="W454" s="286" t="s">
        <v>7</v>
      </c>
      <c r="X454" s="4" t="str">
        <f>IFERROR(IF(VLOOKUP(Schedules[[#This Row],[EE ID]],TeamList[],MATCH(Schedules[[#This Row],[DOW]],TeamList[#Headers],0),0)="OFF","OFF","SCH"),"_NO MATCH")</f>
        <v>_NO MATCH</v>
      </c>
      <c r="Y454" s="4" t="str">
        <f>IFERROR(IF(Schedules[[#This Row],[Scheduled]]="OFF","",LEFT(VLOOKUP(Schedules[[#This Row],[EE ID]],TeamList[],MATCH(Schedules[[#This Row],[DOW]],TeamList[#Headers],0),0),4)),"_NO MATCH")</f>
        <v>_NO MATCH</v>
      </c>
      <c r="Z454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55" spans="19:26" x14ac:dyDescent="0.25">
      <c r="S455" s="209">
        <v>1522300</v>
      </c>
      <c r="T455" s="209" t="str">
        <f>Schedules[[#This Row],[Employee Name]]&amp;Schedules[[#This Row],[DOW]]</f>
        <v>_NO MATCHMon</v>
      </c>
      <c r="U455" s="4" t="str">
        <f>IFERROR(VLOOKUP(Schedules[[#This Row],[EE ID]],TeamList[],MATCH(Schedules[[#Headers],[Employee Name]],TeamList[#Headers],0),0),"_NO MATCH")</f>
        <v>_NO MATCH</v>
      </c>
      <c r="V455" s="4" t="str">
        <f>IFERROR(VLOOKUP(Schedules[[#This Row],[EE ID]],TeamList[],MATCH(Schedules[[#Headers],[Dept]],TeamList[#Headers],0),0),"_NO MATCH")</f>
        <v>_NO MATCH</v>
      </c>
      <c r="W455" s="286" t="s">
        <v>7</v>
      </c>
      <c r="X455" s="4" t="str">
        <f>IFERROR(IF(VLOOKUP(Schedules[[#This Row],[EE ID]],TeamList[],MATCH(Schedules[[#This Row],[DOW]],TeamList[#Headers],0),0)="OFF","OFF","SCH"),"_NO MATCH")</f>
        <v>_NO MATCH</v>
      </c>
      <c r="Y455" s="4" t="str">
        <f>IFERROR(IF(Schedules[[#This Row],[Scheduled]]="OFF","",LEFT(VLOOKUP(Schedules[[#This Row],[EE ID]],TeamList[],MATCH(Schedules[[#This Row],[DOW]],TeamList[#Headers],0),0),4)),"_NO MATCH")</f>
        <v>_NO MATCH</v>
      </c>
      <c r="Z455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56" spans="19:26" x14ac:dyDescent="0.25">
      <c r="S456" s="209">
        <v>1532418</v>
      </c>
      <c r="T456" s="209" t="str">
        <f>Schedules[[#This Row],[Employee Name]]&amp;Schedules[[#This Row],[DOW]]</f>
        <v>_NO MATCHMon</v>
      </c>
      <c r="U456" s="4" t="str">
        <f>IFERROR(VLOOKUP(Schedules[[#This Row],[EE ID]],TeamList[],MATCH(Schedules[[#Headers],[Employee Name]],TeamList[#Headers],0),0),"_NO MATCH")</f>
        <v>_NO MATCH</v>
      </c>
      <c r="V456" s="4" t="str">
        <f>IFERROR(VLOOKUP(Schedules[[#This Row],[EE ID]],TeamList[],MATCH(Schedules[[#Headers],[Dept]],TeamList[#Headers],0),0),"_NO MATCH")</f>
        <v>_NO MATCH</v>
      </c>
      <c r="W456" s="286" t="s">
        <v>7</v>
      </c>
      <c r="X456" s="4" t="str">
        <f>IFERROR(IF(VLOOKUP(Schedules[[#This Row],[EE ID]],TeamList[],MATCH(Schedules[[#This Row],[DOW]],TeamList[#Headers],0),0)="OFF","OFF","SCH"),"_NO MATCH")</f>
        <v>_NO MATCH</v>
      </c>
      <c r="Y456" s="4" t="str">
        <f>IFERROR(IF(Schedules[[#This Row],[Scheduled]]="OFF","",LEFT(VLOOKUP(Schedules[[#This Row],[EE ID]],TeamList[],MATCH(Schedules[[#This Row],[DOW]],TeamList[#Headers],0),0),4)),"_NO MATCH")</f>
        <v>_NO MATCH</v>
      </c>
      <c r="Z456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57" spans="19:26" x14ac:dyDescent="0.25">
      <c r="S457" s="209">
        <v>1522944</v>
      </c>
      <c r="T457" s="209" t="str">
        <f>Schedules[[#This Row],[Employee Name]]&amp;Schedules[[#This Row],[DOW]]</f>
        <v>_NO MATCHMon</v>
      </c>
      <c r="U457" s="4" t="str">
        <f>IFERROR(VLOOKUP(Schedules[[#This Row],[EE ID]],TeamList[],MATCH(Schedules[[#Headers],[Employee Name]],TeamList[#Headers],0),0),"_NO MATCH")</f>
        <v>_NO MATCH</v>
      </c>
      <c r="V457" s="4" t="str">
        <f>IFERROR(VLOOKUP(Schedules[[#This Row],[EE ID]],TeamList[],MATCH(Schedules[[#Headers],[Dept]],TeamList[#Headers],0),0),"_NO MATCH")</f>
        <v>_NO MATCH</v>
      </c>
      <c r="W457" s="286" t="s">
        <v>7</v>
      </c>
      <c r="X457" s="4" t="str">
        <f>IFERROR(IF(VLOOKUP(Schedules[[#This Row],[EE ID]],TeamList[],MATCH(Schedules[[#This Row],[DOW]],TeamList[#Headers],0),0)="OFF","OFF","SCH"),"_NO MATCH")</f>
        <v>_NO MATCH</v>
      </c>
      <c r="Y457" s="4" t="str">
        <f>IFERROR(IF(Schedules[[#This Row],[Scheduled]]="OFF","",LEFT(VLOOKUP(Schedules[[#This Row],[EE ID]],TeamList[],MATCH(Schedules[[#This Row],[DOW]],TeamList[#Headers],0),0),4)),"_NO MATCH")</f>
        <v>_NO MATCH</v>
      </c>
      <c r="Z457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58" spans="19:26" x14ac:dyDescent="0.25">
      <c r="S458" s="209">
        <v>1516482</v>
      </c>
      <c r="T458" s="209" t="str">
        <f>Schedules[[#This Row],[Employee Name]]&amp;Schedules[[#This Row],[DOW]]</f>
        <v>_NO MATCHMon</v>
      </c>
      <c r="U458" s="4" t="str">
        <f>IFERROR(VLOOKUP(Schedules[[#This Row],[EE ID]],TeamList[],MATCH(Schedules[[#Headers],[Employee Name]],TeamList[#Headers],0),0),"_NO MATCH")</f>
        <v>_NO MATCH</v>
      </c>
      <c r="V458" s="4" t="str">
        <f>IFERROR(VLOOKUP(Schedules[[#This Row],[EE ID]],TeamList[],MATCH(Schedules[[#Headers],[Dept]],TeamList[#Headers],0),0),"_NO MATCH")</f>
        <v>_NO MATCH</v>
      </c>
      <c r="W458" s="286" t="s">
        <v>7</v>
      </c>
      <c r="X458" s="4" t="str">
        <f>IFERROR(IF(VLOOKUP(Schedules[[#This Row],[EE ID]],TeamList[],MATCH(Schedules[[#This Row],[DOW]],TeamList[#Headers],0),0)="OFF","OFF","SCH"),"_NO MATCH")</f>
        <v>_NO MATCH</v>
      </c>
      <c r="Y458" s="4" t="str">
        <f>IFERROR(IF(Schedules[[#This Row],[Scheduled]]="OFF","",LEFT(VLOOKUP(Schedules[[#This Row],[EE ID]],TeamList[],MATCH(Schedules[[#This Row],[DOW]],TeamList[#Headers],0),0),4)),"_NO MATCH")</f>
        <v>_NO MATCH</v>
      </c>
      <c r="Z458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59" spans="19:26" x14ac:dyDescent="0.25">
      <c r="S459" s="209">
        <v>1517219</v>
      </c>
      <c r="T459" s="209" t="str">
        <f>Schedules[[#This Row],[Employee Name]]&amp;Schedules[[#This Row],[DOW]]</f>
        <v>_NO MATCHMon</v>
      </c>
      <c r="U459" s="4" t="str">
        <f>IFERROR(VLOOKUP(Schedules[[#This Row],[EE ID]],TeamList[],MATCH(Schedules[[#Headers],[Employee Name]],TeamList[#Headers],0),0),"_NO MATCH")</f>
        <v>_NO MATCH</v>
      </c>
      <c r="V459" s="4" t="str">
        <f>IFERROR(VLOOKUP(Schedules[[#This Row],[EE ID]],TeamList[],MATCH(Schedules[[#Headers],[Dept]],TeamList[#Headers],0),0),"_NO MATCH")</f>
        <v>_NO MATCH</v>
      </c>
      <c r="W459" s="286" t="s">
        <v>7</v>
      </c>
      <c r="X459" s="4" t="str">
        <f>IFERROR(IF(VLOOKUP(Schedules[[#This Row],[EE ID]],TeamList[],MATCH(Schedules[[#This Row],[DOW]],TeamList[#Headers],0),0)="OFF","OFF","SCH"),"_NO MATCH")</f>
        <v>_NO MATCH</v>
      </c>
      <c r="Y459" s="4" t="str">
        <f>IFERROR(IF(Schedules[[#This Row],[Scheduled]]="OFF","",LEFT(VLOOKUP(Schedules[[#This Row],[EE ID]],TeamList[],MATCH(Schedules[[#This Row],[DOW]],TeamList[#Headers],0),0),4)),"_NO MATCH")</f>
        <v>_NO MATCH</v>
      </c>
      <c r="Z459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60" spans="19:26" x14ac:dyDescent="0.25">
      <c r="S460" s="209">
        <v>1519830</v>
      </c>
      <c r="T460" s="209" t="str">
        <f>Schedules[[#This Row],[Employee Name]]&amp;Schedules[[#This Row],[DOW]]</f>
        <v>_NO MATCHFri</v>
      </c>
      <c r="U460" s="4" t="str">
        <f>IFERROR(VLOOKUP(Schedules[[#This Row],[EE ID]],TeamList[],MATCH(Schedules[[#Headers],[Employee Name]],TeamList[#Headers],0),0),"_NO MATCH")</f>
        <v>_NO MATCH</v>
      </c>
      <c r="V460" s="4" t="str">
        <f>IFERROR(VLOOKUP(Schedules[[#This Row],[EE ID]],TeamList[],MATCH(Schedules[[#Headers],[Dept]],TeamList[#Headers],0),0),"_NO MATCH")</f>
        <v>_NO MATCH</v>
      </c>
      <c r="W460" s="286" t="s">
        <v>11</v>
      </c>
      <c r="X460" s="4" t="str">
        <f>IFERROR(IF(VLOOKUP(Schedules[[#This Row],[EE ID]],TeamList[],MATCH(Schedules[[#This Row],[DOW]],TeamList[#Headers],0),0)="OFF","OFF","SCH"),"_NO MATCH")</f>
        <v>_NO MATCH</v>
      </c>
      <c r="Y460" s="4" t="str">
        <f>IFERROR(IF(Schedules[[#This Row],[Scheduled]]="OFF","",LEFT(VLOOKUP(Schedules[[#This Row],[EE ID]],TeamList[],MATCH(Schedules[[#This Row],[DOW]],TeamList[#Headers],0),0),4)),"_NO MATCH")</f>
        <v>_NO MATCH</v>
      </c>
      <c r="Z460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61" spans="19:26" x14ac:dyDescent="0.25">
      <c r="S461" s="209">
        <v>1516738</v>
      </c>
      <c r="T461" s="209" t="str">
        <f>Schedules[[#This Row],[Employee Name]]&amp;Schedules[[#This Row],[DOW]]</f>
        <v>_NO MATCHFri</v>
      </c>
      <c r="U461" s="4" t="str">
        <f>IFERROR(VLOOKUP(Schedules[[#This Row],[EE ID]],TeamList[],MATCH(Schedules[[#Headers],[Employee Name]],TeamList[#Headers],0),0),"_NO MATCH")</f>
        <v>_NO MATCH</v>
      </c>
      <c r="V461" s="4" t="str">
        <f>IFERROR(VLOOKUP(Schedules[[#This Row],[EE ID]],TeamList[],MATCH(Schedules[[#Headers],[Dept]],TeamList[#Headers],0),0),"_NO MATCH")</f>
        <v>_NO MATCH</v>
      </c>
      <c r="W461" s="286" t="s">
        <v>11</v>
      </c>
      <c r="X461" s="4" t="str">
        <f>IFERROR(IF(VLOOKUP(Schedules[[#This Row],[EE ID]],TeamList[],MATCH(Schedules[[#This Row],[DOW]],TeamList[#Headers],0),0)="OFF","OFF","SCH"),"_NO MATCH")</f>
        <v>_NO MATCH</v>
      </c>
      <c r="Y461" s="4" t="str">
        <f>IFERROR(IF(Schedules[[#This Row],[Scheduled]]="OFF","",LEFT(VLOOKUP(Schedules[[#This Row],[EE ID]],TeamList[],MATCH(Schedules[[#This Row],[DOW]],TeamList[#Headers],0),0),4)),"_NO MATCH")</f>
        <v>_NO MATCH</v>
      </c>
      <c r="Z461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62" spans="19:26" x14ac:dyDescent="0.25">
      <c r="S462" s="209">
        <v>1522300</v>
      </c>
      <c r="T462" s="209" t="str">
        <f>Schedules[[#This Row],[Employee Name]]&amp;Schedules[[#This Row],[DOW]]</f>
        <v>_NO MATCHFri</v>
      </c>
      <c r="U462" s="4" t="str">
        <f>IFERROR(VLOOKUP(Schedules[[#This Row],[EE ID]],TeamList[],MATCH(Schedules[[#Headers],[Employee Name]],TeamList[#Headers],0),0),"_NO MATCH")</f>
        <v>_NO MATCH</v>
      </c>
      <c r="V462" s="4" t="str">
        <f>IFERROR(VLOOKUP(Schedules[[#This Row],[EE ID]],TeamList[],MATCH(Schedules[[#Headers],[Dept]],TeamList[#Headers],0),0),"_NO MATCH")</f>
        <v>_NO MATCH</v>
      </c>
      <c r="W462" s="286" t="s">
        <v>11</v>
      </c>
      <c r="X462" s="4" t="str">
        <f>IFERROR(IF(VLOOKUP(Schedules[[#This Row],[EE ID]],TeamList[],MATCH(Schedules[[#This Row],[DOW]],TeamList[#Headers],0),0)="OFF","OFF","SCH"),"_NO MATCH")</f>
        <v>_NO MATCH</v>
      </c>
      <c r="Y462" s="4" t="str">
        <f>IFERROR(IF(Schedules[[#This Row],[Scheduled]]="OFF","",LEFT(VLOOKUP(Schedules[[#This Row],[EE ID]],TeamList[],MATCH(Schedules[[#This Row],[DOW]],TeamList[#Headers],0),0),4)),"_NO MATCH")</f>
        <v>_NO MATCH</v>
      </c>
      <c r="Z462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63" spans="19:26" x14ac:dyDescent="0.25">
      <c r="S463" s="209">
        <v>1532418</v>
      </c>
      <c r="T463" s="209" t="str">
        <f>Schedules[[#This Row],[Employee Name]]&amp;Schedules[[#This Row],[DOW]]</f>
        <v>_NO MATCHFri</v>
      </c>
      <c r="U463" s="4" t="str">
        <f>IFERROR(VLOOKUP(Schedules[[#This Row],[EE ID]],TeamList[],MATCH(Schedules[[#Headers],[Employee Name]],TeamList[#Headers],0),0),"_NO MATCH")</f>
        <v>_NO MATCH</v>
      </c>
      <c r="V463" s="4" t="str">
        <f>IFERROR(VLOOKUP(Schedules[[#This Row],[EE ID]],TeamList[],MATCH(Schedules[[#Headers],[Dept]],TeamList[#Headers],0),0),"_NO MATCH")</f>
        <v>_NO MATCH</v>
      </c>
      <c r="W463" s="286" t="s">
        <v>11</v>
      </c>
      <c r="X463" s="4" t="str">
        <f>IFERROR(IF(VLOOKUP(Schedules[[#This Row],[EE ID]],TeamList[],MATCH(Schedules[[#This Row],[DOW]],TeamList[#Headers],0),0)="OFF","OFF","SCH"),"_NO MATCH")</f>
        <v>_NO MATCH</v>
      </c>
      <c r="Y463" s="4" t="str">
        <f>IFERROR(IF(Schedules[[#This Row],[Scheduled]]="OFF","",LEFT(VLOOKUP(Schedules[[#This Row],[EE ID]],TeamList[],MATCH(Schedules[[#This Row],[DOW]],TeamList[#Headers],0),0),4)),"_NO MATCH")</f>
        <v>_NO MATCH</v>
      </c>
      <c r="Z463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64" spans="19:26" x14ac:dyDescent="0.25">
      <c r="S464" s="209">
        <v>1522944</v>
      </c>
      <c r="T464" s="209" t="str">
        <f>Schedules[[#This Row],[Employee Name]]&amp;Schedules[[#This Row],[DOW]]</f>
        <v>_NO MATCHFri</v>
      </c>
      <c r="U464" s="4" t="str">
        <f>IFERROR(VLOOKUP(Schedules[[#This Row],[EE ID]],TeamList[],MATCH(Schedules[[#Headers],[Employee Name]],TeamList[#Headers],0),0),"_NO MATCH")</f>
        <v>_NO MATCH</v>
      </c>
      <c r="V464" s="4" t="str">
        <f>IFERROR(VLOOKUP(Schedules[[#This Row],[EE ID]],TeamList[],MATCH(Schedules[[#Headers],[Dept]],TeamList[#Headers],0),0),"_NO MATCH")</f>
        <v>_NO MATCH</v>
      </c>
      <c r="W464" s="286" t="s">
        <v>11</v>
      </c>
      <c r="X464" s="4" t="str">
        <f>IFERROR(IF(VLOOKUP(Schedules[[#This Row],[EE ID]],TeamList[],MATCH(Schedules[[#This Row],[DOW]],TeamList[#Headers],0),0)="OFF","OFF","SCH"),"_NO MATCH")</f>
        <v>_NO MATCH</v>
      </c>
      <c r="Y464" s="4" t="str">
        <f>IFERROR(IF(Schedules[[#This Row],[Scheduled]]="OFF","",LEFT(VLOOKUP(Schedules[[#This Row],[EE ID]],TeamList[],MATCH(Schedules[[#This Row],[DOW]],TeamList[#Headers],0),0),4)),"_NO MATCH")</f>
        <v>_NO MATCH</v>
      </c>
      <c r="Z464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65" spans="19:26" x14ac:dyDescent="0.25">
      <c r="S465" s="209">
        <v>1516482</v>
      </c>
      <c r="T465" s="209" t="str">
        <f>Schedules[[#This Row],[Employee Name]]&amp;Schedules[[#This Row],[DOW]]</f>
        <v>_NO MATCHFri</v>
      </c>
      <c r="U465" s="4" t="str">
        <f>IFERROR(VLOOKUP(Schedules[[#This Row],[EE ID]],TeamList[],MATCH(Schedules[[#Headers],[Employee Name]],TeamList[#Headers],0),0),"_NO MATCH")</f>
        <v>_NO MATCH</v>
      </c>
      <c r="V465" s="4" t="str">
        <f>IFERROR(VLOOKUP(Schedules[[#This Row],[EE ID]],TeamList[],MATCH(Schedules[[#Headers],[Dept]],TeamList[#Headers],0),0),"_NO MATCH")</f>
        <v>_NO MATCH</v>
      </c>
      <c r="W465" s="286" t="s">
        <v>11</v>
      </c>
      <c r="X465" s="4" t="str">
        <f>IFERROR(IF(VLOOKUP(Schedules[[#This Row],[EE ID]],TeamList[],MATCH(Schedules[[#This Row],[DOW]],TeamList[#Headers],0),0)="OFF","OFF","SCH"),"_NO MATCH")</f>
        <v>_NO MATCH</v>
      </c>
      <c r="Y465" s="4" t="str">
        <f>IFERROR(IF(Schedules[[#This Row],[Scheduled]]="OFF","",LEFT(VLOOKUP(Schedules[[#This Row],[EE ID]],TeamList[],MATCH(Schedules[[#This Row],[DOW]],TeamList[#Headers],0),0),4)),"_NO MATCH")</f>
        <v>_NO MATCH</v>
      </c>
      <c r="Z465" s="4" t="str">
        <f>IFERROR(IF(Schedules[[#This Row],[Scheduled]]="OFF","",RIGHT(VLOOKUP(Schedules[[#This Row],[EE ID]],TeamList[],MATCH(Schedules[[#This Row],[DOW]],TeamList[#Headers],0),0),4)),"_NO MATCH")</f>
        <v>_NO MATCH</v>
      </c>
    </row>
    <row r="466" spans="19:26" x14ac:dyDescent="0.25">
      <c r="S466" s="209">
        <v>1517219</v>
      </c>
      <c r="T466" s="209" t="str">
        <f>Schedules[[#This Row],[Employee Name]]&amp;Schedules[[#This Row],[DOW]]</f>
        <v>_NO MATCHFri</v>
      </c>
      <c r="U466" s="4" t="str">
        <f>IFERROR(VLOOKUP(Schedules[[#This Row],[EE ID]],TeamList[],MATCH(Schedules[[#Headers],[Employee Name]],TeamList[#Headers],0),0),"_NO MATCH")</f>
        <v>_NO MATCH</v>
      </c>
      <c r="V466" s="4" t="str">
        <f>IFERROR(VLOOKUP(Schedules[[#This Row],[EE ID]],TeamList[],MATCH(Schedules[[#Headers],[Dept]],TeamList[#Headers],0),0),"_NO MATCH")</f>
        <v>_NO MATCH</v>
      </c>
      <c r="W466" s="286" t="s">
        <v>11</v>
      </c>
      <c r="X466" s="4" t="str">
        <f>IFERROR(IF(VLOOKUP(Schedules[[#This Row],[EE ID]],TeamList[],MATCH(Schedules[[#This Row],[DOW]],TeamList[#Headers],0),0)="OFF","OFF","SCH"),"_NO MATCH")</f>
        <v>_NO MATCH</v>
      </c>
      <c r="Y466" s="4" t="str">
        <f>IFERROR(IF(Schedules[[#This Row],[Scheduled]]="OFF","",LEFT(VLOOKUP(Schedules[[#This Row],[EE ID]],TeamList[],MATCH(Schedules[[#This Row],[DOW]],TeamList[#Headers],0),0),4)),"_NO MATCH")</f>
        <v>_NO MATCH</v>
      </c>
      <c r="Z466" s="4" t="str">
        <f>IFERROR(IF(Schedules[[#This Row],[Scheduled]]="OFF","",RIGHT(VLOOKUP(Schedules[[#This Row],[EE ID]],TeamList[],MATCH(Schedules[[#This Row],[DOW]],TeamList[#Headers],0),0),4)),"_NO MATCH")</f>
        <v>_NO MATCH</v>
      </c>
    </row>
  </sheetData>
  <sheetProtection autoFilter="0"/>
  <mergeCells count="1">
    <mergeCell ref="B2:Q2"/>
  </mergeCells>
  <pageMargins left="0.7" right="0.7" top="0.75" bottom="0.75" header="0.3" footer="0.3"/>
  <pageSetup scale="10" orientation="portrait"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R79"/>
  <sheetViews>
    <sheetView tabSelected="1" topLeftCell="A13" workbookViewId="0">
      <selection activeCell="O42" sqref="O42:P42"/>
    </sheetView>
  </sheetViews>
  <sheetFormatPr defaultRowHeight="15" x14ac:dyDescent="0.25"/>
  <cols>
    <col min="1" max="1" width="1.7109375" customWidth="1"/>
    <col min="4" max="4" width="11.42578125" bestFit="1" customWidth="1"/>
    <col min="5" max="5" width="11.42578125" customWidth="1"/>
    <col min="6" max="6" width="1.7109375" customWidth="1"/>
    <col min="7" max="7" width="19" bestFit="1" customWidth="1"/>
    <col min="8" max="8" width="1.7109375" customWidth="1"/>
    <col min="9" max="9" width="25.85546875" bestFit="1" customWidth="1"/>
    <col min="10" max="10" width="25.85546875" customWidth="1"/>
    <col min="11" max="11" width="21.7109375" customWidth="1"/>
    <col min="15" max="15" width="19.5703125" bestFit="1" customWidth="1"/>
    <col min="16" max="16" width="22.42578125" bestFit="1" customWidth="1"/>
    <col min="18" max="18" width="10" customWidth="1"/>
  </cols>
  <sheetData>
    <row r="1" spans="1:18" x14ac:dyDescent="0.25">
      <c r="A1" s="195" t="s">
        <v>228</v>
      </c>
      <c r="B1" t="s">
        <v>83</v>
      </c>
      <c r="C1" t="s">
        <v>73</v>
      </c>
      <c r="D1" s="2" t="s">
        <v>85</v>
      </c>
      <c r="E1" s="2" t="s">
        <v>189</v>
      </c>
      <c r="G1" t="s">
        <v>14</v>
      </c>
      <c r="I1" s="96" t="s">
        <v>188</v>
      </c>
      <c r="J1" s="114"/>
      <c r="K1" t="s">
        <v>125</v>
      </c>
      <c r="L1" t="s">
        <v>155</v>
      </c>
      <c r="O1" s="125" t="s">
        <v>14</v>
      </c>
      <c r="P1" s="125" t="s">
        <v>2</v>
      </c>
      <c r="R1" s="131" t="s">
        <v>187</v>
      </c>
    </row>
    <row r="2" spans="1:18" x14ac:dyDescent="0.25">
      <c r="B2" s="1" t="s">
        <v>76</v>
      </c>
      <c r="C2" s="65">
        <f>Day_7+1</f>
        <v>43912</v>
      </c>
      <c r="D2" s="65" t="str">
        <f>TEXT(Day_1,"DDDD")</f>
        <v>Sunday</v>
      </c>
      <c r="E2" s="65" t="s">
        <v>190</v>
      </c>
      <c r="G2" t="s">
        <v>249</v>
      </c>
      <c r="I2" s="110" t="s">
        <v>66</v>
      </c>
      <c r="J2" s="114"/>
      <c r="K2" t="s">
        <v>156</v>
      </c>
      <c r="L2" t="s">
        <v>154</v>
      </c>
      <c r="O2" s="124" t="s">
        <v>249</v>
      </c>
      <c r="P2" s="110" t="s">
        <v>57</v>
      </c>
      <c r="R2" s="131" t="s">
        <v>93</v>
      </c>
    </row>
    <row r="3" spans="1:18" x14ac:dyDescent="0.25">
      <c r="B3" s="1" t="s">
        <v>77</v>
      </c>
      <c r="C3" s="3">
        <f>Day_1+1</f>
        <v>43913</v>
      </c>
      <c r="D3" s="65" t="str">
        <f>TEXT(Day_2,"DDDD")</f>
        <v>Monday</v>
      </c>
      <c r="E3" s="65" t="s">
        <v>191</v>
      </c>
      <c r="G3" t="s">
        <v>42</v>
      </c>
      <c r="I3" s="110" t="s">
        <v>19</v>
      </c>
      <c r="J3" s="114"/>
      <c r="K3" t="s">
        <v>165</v>
      </c>
      <c r="L3" t="s">
        <v>164</v>
      </c>
      <c r="O3" s="110" t="s">
        <v>249</v>
      </c>
      <c r="P3" s="110" t="s">
        <v>20</v>
      </c>
      <c r="R3" s="131" t="s">
        <v>95</v>
      </c>
    </row>
    <row r="4" spans="1:18" x14ac:dyDescent="0.25">
      <c r="B4" s="1" t="s">
        <v>78</v>
      </c>
      <c r="C4" s="3">
        <f>Day_2+1</f>
        <v>43914</v>
      </c>
      <c r="D4" s="65" t="str">
        <f>TEXT(Day_3,"DDDD")</f>
        <v>Tuesday</v>
      </c>
      <c r="E4" s="65" t="s">
        <v>192</v>
      </c>
      <c r="G4" t="s">
        <v>35</v>
      </c>
      <c r="I4" s="110" t="s">
        <v>44</v>
      </c>
      <c r="J4" s="114"/>
      <c r="O4" s="110" t="s">
        <v>249</v>
      </c>
      <c r="P4" s="113" t="s">
        <v>51</v>
      </c>
      <c r="R4" s="131" t="s">
        <v>97</v>
      </c>
    </row>
    <row r="5" spans="1:18" x14ac:dyDescent="0.25">
      <c r="B5" s="1" t="s">
        <v>79</v>
      </c>
      <c r="C5" s="3">
        <f>Day_3+1</f>
        <v>43915</v>
      </c>
      <c r="D5" s="65" t="str">
        <f>TEXT(Day_4,"DDDD")</f>
        <v>Wednesday</v>
      </c>
      <c r="E5" s="65" t="s">
        <v>193</v>
      </c>
      <c r="G5" t="s">
        <v>65</v>
      </c>
      <c r="I5" s="110" t="s">
        <v>32</v>
      </c>
      <c r="J5" s="114"/>
      <c r="O5" s="124" t="s">
        <v>249</v>
      </c>
      <c r="P5" s="110" t="s">
        <v>23</v>
      </c>
      <c r="R5" s="131" t="s">
        <v>140</v>
      </c>
    </row>
    <row r="6" spans="1:18" x14ac:dyDescent="0.25">
      <c r="B6" s="1" t="s">
        <v>80</v>
      </c>
      <c r="C6" s="3">
        <f>Day_4+1</f>
        <v>43916</v>
      </c>
      <c r="D6" s="65" t="str">
        <f>TEXT(Day_5,"DDDD")</f>
        <v>Thursday</v>
      </c>
      <c r="E6" s="65" t="s">
        <v>194</v>
      </c>
      <c r="I6" s="110" t="s">
        <v>59</v>
      </c>
      <c r="J6" s="114"/>
      <c r="O6" s="124" t="s">
        <v>249</v>
      </c>
      <c r="P6" s="110" t="s">
        <v>25</v>
      </c>
      <c r="R6" s="131" t="s">
        <v>109</v>
      </c>
    </row>
    <row r="7" spans="1:18" x14ac:dyDescent="0.25">
      <c r="B7" s="1" t="s">
        <v>81</v>
      </c>
      <c r="C7" s="187">
        <v>43910</v>
      </c>
      <c r="D7" s="65" t="str">
        <f>TEXT(Day_6,"DDDD")</f>
        <v>Friday</v>
      </c>
      <c r="E7" s="65" t="s">
        <v>195</v>
      </c>
      <c r="I7" s="110" t="s">
        <v>22</v>
      </c>
      <c r="J7" s="114"/>
      <c r="O7" s="124" t="s">
        <v>249</v>
      </c>
      <c r="P7" s="110" t="s">
        <v>39</v>
      </c>
      <c r="R7" s="131" t="s">
        <v>103</v>
      </c>
    </row>
    <row r="8" spans="1:18" x14ac:dyDescent="0.25">
      <c r="B8" s="1" t="s">
        <v>82</v>
      </c>
      <c r="C8" s="3">
        <f>Day_6+1</f>
        <v>43911</v>
      </c>
      <c r="D8" s="65" t="str">
        <f>TEXT(Day_7,"DDDD")</f>
        <v>Saturday</v>
      </c>
      <c r="E8" s="65" t="s">
        <v>196</v>
      </c>
      <c r="I8" s="110" t="s">
        <v>24</v>
      </c>
      <c r="J8" s="114"/>
      <c r="O8" s="124" t="s">
        <v>65</v>
      </c>
      <c r="P8" s="110" t="s">
        <v>59</v>
      </c>
      <c r="R8" s="131" t="s">
        <v>121</v>
      </c>
    </row>
    <row r="9" spans="1:18" x14ac:dyDescent="0.25">
      <c r="B9" s="66" t="s">
        <v>157</v>
      </c>
      <c r="C9" s="3">
        <f>Day_14+1</f>
        <v>43919</v>
      </c>
      <c r="D9" s="99" t="str">
        <f>TEXT(Day_8,"DDDD")</f>
        <v>Sunday</v>
      </c>
      <c r="E9" s="99" t="s">
        <v>197</v>
      </c>
      <c r="I9" s="110"/>
      <c r="J9" s="114"/>
      <c r="O9" s="124" t="s">
        <v>65</v>
      </c>
      <c r="P9" s="110" t="s">
        <v>63</v>
      </c>
      <c r="R9" s="131" t="s">
        <v>113</v>
      </c>
    </row>
    <row r="10" spans="1:18" x14ac:dyDescent="0.25">
      <c r="B10" s="66" t="s">
        <v>158</v>
      </c>
      <c r="C10" s="3">
        <f>Day_8+1</f>
        <v>43920</v>
      </c>
      <c r="D10" s="99" t="str">
        <f>TEXT(Day_9,"DDDD")</f>
        <v>Monday</v>
      </c>
      <c r="E10" s="99" t="s">
        <v>198</v>
      </c>
      <c r="I10" s="110" t="s">
        <v>235</v>
      </c>
      <c r="J10" s="114"/>
      <c r="O10" s="124" t="s">
        <v>65</v>
      </c>
      <c r="P10" s="110" t="s">
        <v>245</v>
      </c>
      <c r="R10" s="131" t="s">
        <v>105</v>
      </c>
    </row>
    <row r="11" spans="1:18" x14ac:dyDescent="0.25">
      <c r="B11" s="66" t="s">
        <v>159</v>
      </c>
      <c r="C11" s="3">
        <f>Day_9+1</f>
        <v>43921</v>
      </c>
      <c r="D11" s="99" t="str">
        <f>TEXT(Day_10,"DDDD")</f>
        <v>Tuesday</v>
      </c>
      <c r="E11" s="99" t="s">
        <v>199</v>
      </c>
      <c r="I11" s="110" t="s">
        <v>63</v>
      </c>
      <c r="J11" s="114"/>
      <c r="O11" s="124" t="s">
        <v>65</v>
      </c>
      <c r="P11" s="110" t="s">
        <v>53</v>
      </c>
      <c r="R11" s="131" t="s">
        <v>107</v>
      </c>
    </row>
    <row r="12" spans="1:18" x14ac:dyDescent="0.25">
      <c r="B12" s="66" t="s">
        <v>160</v>
      </c>
      <c r="C12" s="3">
        <f>Day_10+1</f>
        <v>43922</v>
      </c>
      <c r="D12" s="99" t="str">
        <f>TEXT(Day_11,"DDDD")</f>
        <v>Wednesday</v>
      </c>
      <c r="E12" s="99" t="s">
        <v>200</v>
      </c>
      <c r="I12" s="110" t="s">
        <v>57</v>
      </c>
      <c r="J12" s="114"/>
      <c r="O12" s="124" t="s">
        <v>65</v>
      </c>
      <c r="P12" s="110" t="s">
        <v>52</v>
      </c>
      <c r="R12" s="131" t="s">
        <v>141</v>
      </c>
    </row>
    <row r="13" spans="1:18" x14ac:dyDescent="0.25">
      <c r="B13" s="66" t="s">
        <v>161</v>
      </c>
      <c r="C13" s="3">
        <f>Day_11+1</f>
        <v>43923</v>
      </c>
      <c r="D13" s="99" t="str">
        <f>TEXT(Day_12,"DDDD")</f>
        <v>Thursday</v>
      </c>
      <c r="E13" s="99" t="s">
        <v>201</v>
      </c>
      <c r="I13" s="110" t="s">
        <v>245</v>
      </c>
      <c r="J13" s="114"/>
      <c r="O13" s="124" t="s">
        <v>42</v>
      </c>
      <c r="P13" s="110" t="s">
        <v>66</v>
      </c>
      <c r="R13" s="131" t="s">
        <v>101</v>
      </c>
    </row>
    <row r="14" spans="1:18" x14ac:dyDescent="0.25">
      <c r="B14" s="66" t="s">
        <v>162</v>
      </c>
      <c r="C14" s="3">
        <f>Day_5+1</f>
        <v>43917</v>
      </c>
      <c r="D14" s="99" t="str">
        <f>TEXT(Day_13,"DDDD")</f>
        <v>Friday</v>
      </c>
      <c r="E14" s="99" t="s">
        <v>202</v>
      </c>
      <c r="I14" s="110" t="s">
        <v>229</v>
      </c>
      <c r="J14" s="114"/>
      <c r="O14" s="122" t="s">
        <v>42</v>
      </c>
      <c r="P14" s="110" t="s">
        <v>19</v>
      </c>
      <c r="R14" s="131" t="s">
        <v>122</v>
      </c>
    </row>
    <row r="15" spans="1:18" x14ac:dyDescent="0.25">
      <c r="B15" s="66" t="s">
        <v>163</v>
      </c>
      <c r="C15" s="3">
        <f>Day_13+1</f>
        <v>43918</v>
      </c>
      <c r="D15" s="99" t="str">
        <f>TEXT(Day_14,"DDDD")</f>
        <v>Saturday</v>
      </c>
      <c r="E15" s="99" t="s">
        <v>203</v>
      </c>
      <c r="I15" s="110" t="s">
        <v>237</v>
      </c>
      <c r="J15" s="114"/>
      <c r="O15" s="124" t="s">
        <v>42</v>
      </c>
      <c r="P15" s="110" t="s">
        <v>44</v>
      </c>
      <c r="R15" s="131" t="s">
        <v>116</v>
      </c>
    </row>
    <row r="16" spans="1:18" x14ac:dyDescent="0.25">
      <c r="I16" s="110" t="s">
        <v>231</v>
      </c>
      <c r="J16" s="114"/>
      <c r="O16" s="122" t="s">
        <v>42</v>
      </c>
      <c r="P16" s="110" t="s">
        <v>32</v>
      </c>
      <c r="R16" s="131" t="s">
        <v>148</v>
      </c>
    </row>
    <row r="17" spans="9:18" x14ac:dyDescent="0.25">
      <c r="I17" s="110" t="s">
        <v>50</v>
      </c>
      <c r="J17" s="114"/>
      <c r="O17" s="122" t="s">
        <v>42</v>
      </c>
      <c r="P17" s="110" t="s">
        <v>22</v>
      </c>
      <c r="R17" s="131" t="s">
        <v>149</v>
      </c>
    </row>
    <row r="18" spans="9:18" x14ac:dyDescent="0.25">
      <c r="I18" s="110" t="s">
        <v>360</v>
      </c>
      <c r="J18" s="114"/>
      <c r="O18" s="124" t="s">
        <v>42</v>
      </c>
      <c r="P18" s="110" t="s">
        <v>24</v>
      </c>
      <c r="R18" s="131" t="s">
        <v>111</v>
      </c>
    </row>
    <row r="19" spans="9:18" x14ac:dyDescent="0.25">
      <c r="I19" s="110" t="s">
        <v>31</v>
      </c>
      <c r="J19" s="115"/>
      <c r="O19" s="122" t="s">
        <v>42</v>
      </c>
      <c r="P19" s="110" t="s">
        <v>235</v>
      </c>
      <c r="R19" s="131" t="s">
        <v>94</v>
      </c>
    </row>
    <row r="20" spans="9:18" x14ac:dyDescent="0.25">
      <c r="I20" s="110" t="s">
        <v>20</v>
      </c>
      <c r="J20" s="114"/>
      <c r="O20" s="124" t="s">
        <v>42</v>
      </c>
      <c r="P20" s="110" t="s">
        <v>64</v>
      </c>
      <c r="R20" s="131" t="s">
        <v>96</v>
      </c>
    </row>
    <row r="21" spans="9:18" x14ac:dyDescent="0.25">
      <c r="I21" s="110" t="s">
        <v>236</v>
      </c>
      <c r="J21" s="114"/>
      <c r="O21" s="110" t="s">
        <v>42</v>
      </c>
      <c r="P21" s="110" t="s">
        <v>229</v>
      </c>
      <c r="R21" s="131" t="s">
        <v>98</v>
      </c>
    </row>
    <row r="22" spans="9:18" x14ac:dyDescent="0.25">
      <c r="I22" s="110" t="s">
        <v>34</v>
      </c>
      <c r="J22" s="114"/>
      <c r="O22" s="110" t="s">
        <v>42</v>
      </c>
      <c r="P22" s="110" t="s">
        <v>237</v>
      </c>
      <c r="R22" s="131" t="s">
        <v>118</v>
      </c>
    </row>
    <row r="23" spans="9:18" x14ac:dyDescent="0.25">
      <c r="I23" s="110" t="s">
        <v>226</v>
      </c>
      <c r="J23" s="114"/>
      <c r="M23" t="s">
        <v>410</v>
      </c>
      <c r="O23" s="110" t="s">
        <v>42</v>
      </c>
      <c r="P23" s="110" t="s">
        <v>231</v>
      </c>
      <c r="R23" s="131" t="s">
        <v>99</v>
      </c>
    </row>
    <row r="24" spans="9:18" x14ac:dyDescent="0.25">
      <c r="I24" s="110" t="s">
        <v>41</v>
      </c>
      <c r="J24" s="114"/>
      <c r="O24" s="110" t="s">
        <v>42</v>
      </c>
      <c r="P24" s="110" t="s">
        <v>50</v>
      </c>
      <c r="R24" s="131" t="s">
        <v>104</v>
      </c>
    </row>
    <row r="25" spans="9:18" x14ac:dyDescent="0.25">
      <c r="I25" s="112" t="s">
        <v>30</v>
      </c>
      <c r="J25" s="114"/>
      <c r="O25" s="110" t="s">
        <v>42</v>
      </c>
      <c r="P25" s="110" t="s">
        <v>236</v>
      </c>
      <c r="R25" s="131" t="s">
        <v>150</v>
      </c>
    </row>
    <row r="26" spans="9:18" x14ac:dyDescent="0.25">
      <c r="I26" s="110" t="s">
        <v>369</v>
      </c>
      <c r="J26" s="114"/>
      <c r="O26" s="122" t="s">
        <v>42</v>
      </c>
      <c r="P26" s="110" t="s">
        <v>34</v>
      </c>
      <c r="R26" s="131" t="s">
        <v>114</v>
      </c>
    </row>
    <row r="27" spans="9:18" x14ac:dyDescent="0.25">
      <c r="I27" s="110" t="s">
        <v>51</v>
      </c>
      <c r="J27" s="116"/>
      <c r="O27" s="124" t="s">
        <v>42</v>
      </c>
      <c r="P27" s="110" t="s">
        <v>226</v>
      </c>
      <c r="R27" s="131" t="s">
        <v>106</v>
      </c>
    </row>
    <row r="28" spans="9:18" x14ac:dyDescent="0.25">
      <c r="I28" s="110" t="s">
        <v>23</v>
      </c>
      <c r="J28" s="114"/>
      <c r="O28" s="122" t="s">
        <v>42</v>
      </c>
      <c r="P28" s="110" t="s">
        <v>41</v>
      </c>
      <c r="R28" s="131" t="s">
        <v>108</v>
      </c>
    </row>
    <row r="29" spans="9:18" x14ac:dyDescent="0.25">
      <c r="I29" s="110" t="s">
        <v>27</v>
      </c>
      <c r="J29" s="114"/>
      <c r="O29" s="124" t="s">
        <v>42</v>
      </c>
      <c r="P29" s="110" t="s">
        <v>30</v>
      </c>
      <c r="R29" s="131" t="s">
        <v>142</v>
      </c>
    </row>
    <row r="30" spans="9:18" x14ac:dyDescent="0.25">
      <c r="I30" s="110" t="s">
        <v>45</v>
      </c>
      <c r="J30" s="114"/>
      <c r="O30" s="124" t="s">
        <v>42</v>
      </c>
      <c r="P30" s="110" t="s">
        <v>45</v>
      </c>
      <c r="R30" s="131" t="s">
        <v>102</v>
      </c>
    </row>
    <row r="31" spans="9:18" x14ac:dyDescent="0.25">
      <c r="I31" s="110" t="s">
        <v>29</v>
      </c>
      <c r="J31" s="114"/>
      <c r="O31" s="122" t="s">
        <v>42</v>
      </c>
      <c r="P31" s="110" t="s">
        <v>29</v>
      </c>
      <c r="R31" s="131" t="s">
        <v>143</v>
      </c>
    </row>
    <row r="32" spans="9:18" x14ac:dyDescent="0.25">
      <c r="I32" s="110" t="s">
        <v>25</v>
      </c>
      <c r="J32" s="114"/>
      <c r="O32" s="124" t="s">
        <v>42</v>
      </c>
      <c r="P32" s="110" t="s">
        <v>432</v>
      </c>
      <c r="R32" s="131" t="s">
        <v>123</v>
      </c>
    </row>
    <row r="33" spans="9:18" x14ac:dyDescent="0.25">
      <c r="I33" s="111" t="s">
        <v>49</v>
      </c>
      <c r="J33" s="114"/>
      <c r="O33" s="124" t="s">
        <v>42</v>
      </c>
      <c r="P33" s="110" t="s">
        <v>49</v>
      </c>
      <c r="R33" s="131" t="s">
        <v>117</v>
      </c>
    </row>
    <row r="34" spans="9:18" x14ac:dyDescent="0.25">
      <c r="I34" s="110" t="s">
        <v>227</v>
      </c>
      <c r="J34" s="114"/>
      <c r="O34" s="124" t="s">
        <v>42</v>
      </c>
      <c r="P34" s="110" t="s">
        <v>227</v>
      </c>
      <c r="R34" s="131" t="s">
        <v>151</v>
      </c>
    </row>
    <row r="35" spans="9:18" x14ac:dyDescent="0.25">
      <c r="I35" s="110" t="s">
        <v>33</v>
      </c>
      <c r="J35" s="114"/>
      <c r="O35" s="122" t="s">
        <v>42</v>
      </c>
      <c r="P35" s="110" t="s">
        <v>67</v>
      </c>
      <c r="R35" s="131" t="s">
        <v>112</v>
      </c>
    </row>
    <row r="36" spans="9:18" x14ac:dyDescent="0.25">
      <c r="I36" s="110" t="s">
        <v>67</v>
      </c>
      <c r="J36" s="114"/>
      <c r="O36" s="110" t="s">
        <v>42</v>
      </c>
      <c r="P36" s="110" t="s">
        <v>233</v>
      </c>
      <c r="R36" s="131" t="s">
        <v>110</v>
      </c>
    </row>
    <row r="37" spans="9:18" x14ac:dyDescent="0.25">
      <c r="I37" s="110" t="s">
        <v>46</v>
      </c>
      <c r="J37" s="114"/>
      <c r="O37" s="110" t="s">
        <v>42</v>
      </c>
      <c r="P37" s="110" t="s">
        <v>69</v>
      </c>
      <c r="R37" s="131" t="s">
        <v>119</v>
      </c>
    </row>
    <row r="38" spans="9:18" x14ac:dyDescent="0.25">
      <c r="I38" s="110" t="s">
        <v>233</v>
      </c>
      <c r="J38" s="114"/>
      <c r="O38" s="110" t="s">
        <v>42</v>
      </c>
      <c r="P38" s="112" t="s">
        <v>230</v>
      </c>
      <c r="R38" s="131" t="s">
        <v>115</v>
      </c>
    </row>
    <row r="39" spans="9:18" x14ac:dyDescent="0.25">
      <c r="I39" s="110" t="s">
        <v>69</v>
      </c>
      <c r="J39" s="114"/>
      <c r="O39" s="110" t="s">
        <v>42</v>
      </c>
      <c r="P39" s="110" t="s">
        <v>238</v>
      </c>
      <c r="R39" s="131" t="s">
        <v>120</v>
      </c>
    </row>
    <row r="40" spans="9:18" x14ac:dyDescent="0.25">
      <c r="I40" s="110" t="s">
        <v>53</v>
      </c>
      <c r="J40" s="114"/>
      <c r="O40" s="110" t="s">
        <v>42</v>
      </c>
      <c r="P40" s="110" t="s">
        <v>70</v>
      </c>
      <c r="R40" s="131" t="s">
        <v>100</v>
      </c>
    </row>
    <row r="41" spans="9:18" x14ac:dyDescent="0.25">
      <c r="I41" s="110" t="s">
        <v>230</v>
      </c>
      <c r="J41" s="114"/>
      <c r="O41" s="110" t="s">
        <v>42</v>
      </c>
      <c r="P41" s="110" t="s">
        <v>232</v>
      </c>
    </row>
    <row r="42" spans="9:18" x14ac:dyDescent="0.25">
      <c r="I42" s="110" t="s">
        <v>238</v>
      </c>
      <c r="J42" s="114"/>
      <c r="O42" s="124"/>
      <c r="P42" s="110"/>
    </row>
    <row r="43" spans="9:18" x14ac:dyDescent="0.25">
      <c r="I43" s="110" t="s">
        <v>39</v>
      </c>
      <c r="J43" s="114"/>
      <c r="O43" s="124" t="s">
        <v>35</v>
      </c>
      <c r="P43" s="110" t="s">
        <v>31</v>
      </c>
    </row>
    <row r="44" spans="9:18" x14ac:dyDescent="0.25">
      <c r="I44" s="110" t="s">
        <v>70</v>
      </c>
      <c r="J44" s="114"/>
      <c r="O44" s="124" t="s">
        <v>35</v>
      </c>
      <c r="P44" s="110" t="s">
        <v>369</v>
      </c>
    </row>
    <row r="45" spans="9:18" x14ac:dyDescent="0.25">
      <c r="I45" s="110" t="s">
        <v>232</v>
      </c>
      <c r="J45" s="114"/>
      <c r="O45" s="122" t="s">
        <v>35</v>
      </c>
      <c r="P45" s="110" t="s">
        <v>27</v>
      </c>
    </row>
    <row r="46" spans="9:18" x14ac:dyDescent="0.25">
      <c r="I46" s="110" t="s">
        <v>52</v>
      </c>
      <c r="J46" s="114"/>
      <c r="O46" s="124" t="s">
        <v>35</v>
      </c>
      <c r="P46" s="110" t="s">
        <v>33</v>
      </c>
    </row>
    <row r="47" spans="9:18" x14ac:dyDescent="0.25">
      <c r="I47" s="110"/>
      <c r="J47" s="114"/>
      <c r="O47" s="124" t="s">
        <v>35</v>
      </c>
      <c r="P47" s="110" t="s">
        <v>46</v>
      </c>
    </row>
    <row r="48" spans="9:18" x14ac:dyDescent="0.25">
      <c r="I48" s="110"/>
      <c r="J48" s="114"/>
      <c r="O48" s="124"/>
      <c r="P48" s="110"/>
    </row>
    <row r="49" spans="9:16" x14ac:dyDescent="0.25">
      <c r="I49" s="110"/>
      <c r="J49" s="114"/>
      <c r="O49" s="110"/>
      <c r="P49" s="110"/>
    </row>
    <row r="50" spans="9:16" x14ac:dyDescent="0.25">
      <c r="I50" s="110"/>
      <c r="J50" s="114"/>
      <c r="O50" s="110"/>
      <c r="P50" s="110"/>
    </row>
    <row r="51" spans="9:16" x14ac:dyDescent="0.25">
      <c r="I51" s="110"/>
      <c r="J51" s="114"/>
      <c r="O51" s="124"/>
      <c r="P51" s="110"/>
    </row>
    <row r="52" spans="9:16" x14ac:dyDescent="0.25">
      <c r="I52" s="110"/>
      <c r="J52" s="114"/>
      <c r="O52" s="124"/>
      <c r="P52" s="110"/>
    </row>
    <row r="53" spans="9:16" x14ac:dyDescent="0.25">
      <c r="I53" s="110"/>
      <c r="J53" s="114"/>
      <c r="O53" s="124"/>
      <c r="P53" s="110"/>
    </row>
    <row r="54" spans="9:16" x14ac:dyDescent="0.25">
      <c r="I54" s="110"/>
      <c r="J54" s="114"/>
      <c r="O54" s="124"/>
      <c r="P54" s="110"/>
    </row>
    <row r="55" spans="9:16" x14ac:dyDescent="0.25">
      <c r="I55" s="110"/>
      <c r="J55" s="114"/>
      <c r="O55" s="124"/>
      <c r="P55" s="110"/>
    </row>
    <row r="56" spans="9:16" x14ac:dyDescent="0.25">
      <c r="I56" s="110"/>
      <c r="J56" s="114"/>
      <c r="O56" s="122"/>
      <c r="P56" s="110"/>
    </row>
    <row r="57" spans="9:16" x14ac:dyDescent="0.25">
      <c r="I57" s="110"/>
      <c r="J57" s="114"/>
      <c r="O57" s="124"/>
      <c r="P57" s="110"/>
    </row>
    <row r="58" spans="9:16" x14ac:dyDescent="0.25">
      <c r="I58" s="110"/>
      <c r="J58" s="114"/>
      <c r="O58" s="124"/>
      <c r="P58" s="110"/>
    </row>
    <row r="59" spans="9:16" x14ac:dyDescent="0.25">
      <c r="I59" s="110"/>
      <c r="J59" s="114"/>
      <c r="O59" s="124"/>
      <c r="P59" s="110"/>
    </row>
    <row r="60" spans="9:16" x14ac:dyDescent="0.25">
      <c r="I60" s="110"/>
      <c r="J60" s="114"/>
      <c r="O60" s="110"/>
      <c r="P60" s="110"/>
    </row>
    <row r="61" spans="9:16" x14ac:dyDescent="0.25">
      <c r="I61" s="110"/>
      <c r="J61" s="114"/>
      <c r="O61" s="124"/>
      <c r="P61" s="110"/>
    </row>
    <row r="62" spans="9:16" x14ac:dyDescent="0.25">
      <c r="I62" s="110"/>
      <c r="J62" s="114"/>
      <c r="O62" s="124"/>
      <c r="P62" s="110"/>
    </row>
    <row r="63" spans="9:16" x14ac:dyDescent="0.25">
      <c r="I63" s="110"/>
      <c r="J63" s="114"/>
      <c r="O63" s="124"/>
      <c r="P63" s="110"/>
    </row>
    <row r="64" spans="9:16" x14ac:dyDescent="0.25">
      <c r="I64" s="110"/>
      <c r="J64" s="114"/>
      <c r="O64" s="124"/>
      <c r="P64" s="110"/>
    </row>
    <row r="65" spans="9:16" x14ac:dyDescent="0.25">
      <c r="I65" s="110"/>
      <c r="J65" s="114"/>
      <c r="O65" s="124"/>
      <c r="P65" s="110"/>
    </row>
    <row r="66" spans="9:16" x14ac:dyDescent="0.25">
      <c r="J66" s="114"/>
      <c r="O66" s="124"/>
      <c r="P66" s="110"/>
    </row>
    <row r="67" spans="9:16" x14ac:dyDescent="0.25">
      <c r="J67" s="114"/>
      <c r="O67" s="124"/>
      <c r="P67" s="110"/>
    </row>
    <row r="68" spans="9:16" x14ac:dyDescent="0.25">
      <c r="J68" s="114"/>
      <c r="O68" s="124"/>
      <c r="P68" s="110"/>
    </row>
    <row r="69" spans="9:16" x14ac:dyDescent="0.25">
      <c r="J69" s="114"/>
      <c r="O69" s="124"/>
      <c r="P69" s="110"/>
    </row>
    <row r="70" spans="9:16" x14ac:dyDescent="0.25">
      <c r="J70" s="114"/>
      <c r="O70" s="124"/>
      <c r="P70" s="110"/>
    </row>
    <row r="71" spans="9:16" x14ac:dyDescent="0.25">
      <c r="J71" s="114"/>
    </row>
    <row r="72" spans="9:16" x14ac:dyDescent="0.25">
      <c r="J72" s="114"/>
    </row>
    <row r="73" spans="9:16" x14ac:dyDescent="0.25">
      <c r="J73" s="114"/>
    </row>
    <row r="74" spans="9:16" x14ac:dyDescent="0.25">
      <c r="J74" s="114"/>
    </row>
    <row r="75" spans="9:16" x14ac:dyDescent="0.25">
      <c r="J75" s="114"/>
    </row>
    <row r="76" spans="9:16" x14ac:dyDescent="0.25">
      <c r="J76" s="114"/>
    </row>
    <row r="77" spans="9:16" x14ac:dyDescent="0.25">
      <c r="J77" s="114"/>
    </row>
    <row r="78" spans="9:16" x14ac:dyDescent="0.25">
      <c r="J78" s="114"/>
    </row>
    <row r="79" spans="9:16" x14ac:dyDescent="0.25">
      <c r="J79" s="114"/>
    </row>
  </sheetData>
  <sheetProtection autoFilter="0"/>
  <autoFilter ref="O1:P48">
    <sortState ref="O2:P55">
      <sortCondition ref="O1:O55"/>
    </sortState>
  </autoFilter>
  <sortState ref="O2:P80">
    <sortCondition ref="O2"/>
  </sortState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selection sqref="A1:A15"/>
    </sheetView>
  </sheetViews>
  <sheetFormatPr defaultColWidth="0" defaultRowHeight="15" zeroHeight="1" x14ac:dyDescent="0.25"/>
  <cols>
    <col min="1" max="1" width="6.140625" style="207" customWidth="1"/>
    <col min="2" max="2" width="16.28515625" style="207" bestFit="1" customWidth="1"/>
    <col min="3" max="22" width="12.5703125" style="207" customWidth="1"/>
    <col min="23" max="16384" width="16.42578125" style="207" hidden="1"/>
  </cols>
  <sheetData>
    <row r="1" spans="1:22" ht="15.75" thickBot="1" x14ac:dyDescent="0.3">
      <c r="A1" s="509" t="s">
        <v>403</v>
      </c>
      <c r="B1" s="302"/>
      <c r="C1" s="302" t="s">
        <v>250</v>
      </c>
      <c r="D1" s="302" t="s">
        <v>251</v>
      </c>
      <c r="E1" s="302" t="s">
        <v>252</v>
      </c>
      <c r="F1" s="302" t="s">
        <v>253</v>
      </c>
      <c r="G1" s="302" t="s">
        <v>254</v>
      </c>
      <c r="H1" s="302" t="s">
        <v>255</v>
      </c>
      <c r="I1" s="302" t="s">
        <v>256</v>
      </c>
      <c r="J1" s="302" t="s">
        <v>257</v>
      </c>
      <c r="K1" s="302" t="s">
        <v>258</v>
      </c>
      <c r="L1" s="302" t="s">
        <v>259</v>
      </c>
      <c r="M1" s="302" t="s">
        <v>260</v>
      </c>
      <c r="N1" s="302" t="s">
        <v>261</v>
      </c>
      <c r="O1" s="302" t="s">
        <v>262</v>
      </c>
      <c r="P1" s="302" t="s">
        <v>263</v>
      </c>
      <c r="Q1" s="302" t="s">
        <v>264</v>
      </c>
      <c r="R1" s="302" t="s">
        <v>265</v>
      </c>
      <c r="S1" s="302" t="s">
        <v>266</v>
      </c>
      <c r="T1" s="302" t="s">
        <v>267</v>
      </c>
      <c r="U1" s="302" t="s">
        <v>268</v>
      </c>
      <c r="V1" s="302" t="s">
        <v>269</v>
      </c>
    </row>
    <row r="2" spans="1:22" ht="15" customHeight="1" x14ac:dyDescent="0.25">
      <c r="A2" s="509"/>
      <c r="B2" s="500" t="s">
        <v>171</v>
      </c>
      <c r="C2" s="498"/>
      <c r="D2" s="499"/>
      <c r="E2" s="498"/>
      <c r="F2" s="499"/>
      <c r="G2" s="498"/>
      <c r="H2" s="499"/>
      <c r="I2" s="498"/>
      <c r="J2" s="499"/>
      <c r="K2" s="498"/>
      <c r="L2" s="499"/>
      <c r="M2" s="498"/>
      <c r="N2" s="499"/>
      <c r="O2" s="498"/>
      <c r="P2" s="499"/>
      <c r="Q2" s="498"/>
      <c r="R2" s="499"/>
      <c r="S2" s="498"/>
      <c r="T2" s="499"/>
      <c r="U2" s="498"/>
      <c r="V2" s="499"/>
    </row>
    <row r="3" spans="1:22" ht="15.75" thickBot="1" x14ac:dyDescent="0.3">
      <c r="A3" s="509"/>
      <c r="B3" s="501"/>
      <c r="C3" s="507"/>
      <c r="D3" s="508"/>
      <c r="E3" s="507"/>
      <c r="F3" s="508"/>
      <c r="G3" s="507"/>
      <c r="H3" s="508"/>
      <c r="I3" s="507"/>
      <c r="J3" s="508"/>
      <c r="K3" s="507"/>
      <c r="L3" s="508"/>
      <c r="M3" s="507"/>
      <c r="N3" s="508"/>
      <c r="O3" s="507"/>
      <c r="P3" s="508"/>
      <c r="Q3" s="507"/>
      <c r="R3" s="508"/>
      <c r="S3" s="507"/>
      <c r="T3" s="508"/>
      <c r="U3" s="507"/>
      <c r="V3" s="508"/>
    </row>
    <row r="4" spans="1:22" x14ac:dyDescent="0.25">
      <c r="A4" s="509"/>
      <c r="B4" s="510" t="s">
        <v>404</v>
      </c>
      <c r="C4" s="303"/>
      <c r="D4" s="304"/>
      <c r="E4" s="304"/>
      <c r="F4" s="304"/>
      <c r="G4" s="304"/>
      <c r="H4" s="304"/>
      <c r="I4" s="304"/>
      <c r="J4" s="304"/>
      <c r="K4" s="304"/>
      <c r="L4" s="304"/>
      <c r="M4" s="304"/>
      <c r="N4" s="304"/>
      <c r="O4" s="304"/>
      <c r="P4" s="304"/>
      <c r="Q4" s="304"/>
      <c r="R4" s="304"/>
      <c r="S4" s="304"/>
      <c r="T4" s="304"/>
      <c r="U4" s="304"/>
      <c r="V4" s="305"/>
    </row>
    <row r="5" spans="1:22" ht="15.75" thickBot="1" x14ac:dyDescent="0.3">
      <c r="A5" s="509"/>
      <c r="B5" s="511"/>
      <c r="C5" s="306"/>
      <c r="D5" s="307"/>
      <c r="E5" s="307"/>
      <c r="F5" s="307"/>
      <c r="G5" s="307"/>
      <c r="H5" s="307"/>
      <c r="I5" s="307"/>
      <c r="J5" s="307"/>
      <c r="K5" s="307"/>
      <c r="L5" s="307"/>
      <c r="M5" s="307"/>
      <c r="N5" s="307"/>
      <c r="O5" s="307"/>
      <c r="P5" s="307"/>
      <c r="Q5" s="307"/>
      <c r="R5" s="307"/>
      <c r="S5" s="307"/>
      <c r="T5" s="307"/>
      <c r="U5" s="307"/>
      <c r="V5" s="308"/>
    </row>
    <row r="6" spans="1:22" ht="15" customHeight="1" x14ac:dyDescent="0.25">
      <c r="A6" s="509"/>
      <c r="B6" s="512" t="s">
        <v>166</v>
      </c>
      <c r="C6" s="514"/>
      <c r="D6" s="499"/>
      <c r="E6" s="498"/>
      <c r="F6" s="499"/>
      <c r="G6" s="498"/>
      <c r="H6" s="499"/>
      <c r="I6" s="498"/>
      <c r="J6" s="499"/>
      <c r="K6" s="498"/>
      <c r="L6" s="499"/>
      <c r="M6" s="498"/>
      <c r="N6" s="499"/>
      <c r="O6" s="498"/>
      <c r="P6" s="499"/>
      <c r="Q6" s="498"/>
      <c r="R6" s="499"/>
      <c r="S6" s="498"/>
      <c r="T6" s="499"/>
      <c r="U6" s="498"/>
      <c r="V6" s="504"/>
    </row>
    <row r="7" spans="1:22" ht="15.75" thickBot="1" x14ac:dyDescent="0.3">
      <c r="A7" s="509"/>
      <c r="B7" s="513"/>
      <c r="C7" s="505"/>
      <c r="D7" s="497"/>
      <c r="E7" s="496"/>
      <c r="F7" s="497"/>
      <c r="G7" s="496"/>
      <c r="H7" s="497"/>
      <c r="I7" s="496"/>
      <c r="J7" s="497"/>
      <c r="K7" s="496"/>
      <c r="L7" s="497"/>
      <c r="M7" s="496"/>
      <c r="N7" s="497"/>
      <c r="O7" s="496"/>
      <c r="P7" s="497"/>
      <c r="Q7" s="496"/>
      <c r="R7" s="497"/>
      <c r="S7" s="496"/>
      <c r="T7" s="497"/>
      <c r="U7" s="496"/>
      <c r="V7" s="506"/>
    </row>
    <row r="8" spans="1:22" ht="15" customHeight="1" x14ac:dyDescent="0.25">
      <c r="A8" s="509"/>
      <c r="B8" s="309" t="s">
        <v>167</v>
      </c>
      <c r="C8" s="303"/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304"/>
      <c r="V8" s="305"/>
    </row>
    <row r="9" spans="1:22" ht="15.75" thickBot="1" x14ac:dyDescent="0.3">
      <c r="A9" s="509"/>
      <c r="B9" s="310"/>
      <c r="C9" s="306"/>
      <c r="D9" s="307"/>
      <c r="E9" s="307"/>
      <c r="F9" s="307"/>
      <c r="G9" s="307"/>
      <c r="H9" s="307"/>
      <c r="I9" s="307"/>
      <c r="J9" s="307"/>
      <c r="K9" s="307"/>
      <c r="L9" s="307"/>
      <c r="M9" s="307"/>
      <c r="N9" s="307"/>
      <c r="O9" s="307"/>
      <c r="P9" s="307"/>
      <c r="Q9" s="307"/>
      <c r="R9" s="307"/>
      <c r="S9" s="307"/>
      <c r="T9" s="307"/>
      <c r="U9" s="307"/>
      <c r="V9" s="308"/>
    </row>
    <row r="10" spans="1:22" ht="15" customHeight="1" x14ac:dyDescent="0.25">
      <c r="A10" s="509"/>
      <c r="B10" s="500" t="s">
        <v>168</v>
      </c>
      <c r="C10" s="502"/>
      <c r="D10" s="503"/>
      <c r="E10" s="502"/>
      <c r="F10" s="503"/>
      <c r="G10" s="502"/>
      <c r="H10" s="503"/>
      <c r="I10" s="502"/>
      <c r="J10" s="503"/>
      <c r="K10" s="502"/>
      <c r="L10" s="503"/>
      <c r="M10" s="502"/>
      <c r="N10" s="503"/>
      <c r="O10" s="502"/>
      <c r="P10" s="503"/>
      <c r="Q10" s="502"/>
      <c r="R10" s="503"/>
      <c r="S10" s="502"/>
      <c r="T10" s="503"/>
      <c r="U10" s="502"/>
      <c r="V10" s="503"/>
    </row>
    <row r="11" spans="1:22" ht="15.75" thickBot="1" x14ac:dyDescent="0.3">
      <c r="A11" s="509"/>
      <c r="B11" s="501"/>
      <c r="C11" s="496"/>
      <c r="D11" s="497"/>
      <c r="E11" s="496"/>
      <c r="F11" s="497"/>
      <c r="G11" s="496"/>
      <c r="H11" s="497"/>
      <c r="I11" s="496"/>
      <c r="J11" s="497"/>
      <c r="K11" s="496"/>
      <c r="L11" s="497"/>
      <c r="M11" s="496"/>
      <c r="N11" s="497"/>
      <c r="O11" s="496"/>
      <c r="P11" s="497"/>
      <c r="Q11" s="496"/>
      <c r="R11" s="497"/>
      <c r="S11" s="496"/>
      <c r="T11" s="497"/>
      <c r="U11" s="496"/>
      <c r="V11" s="497"/>
    </row>
    <row r="12" spans="1:22" ht="15" customHeight="1" x14ac:dyDescent="0.25">
      <c r="A12" s="509"/>
      <c r="B12" s="500" t="s">
        <v>169</v>
      </c>
      <c r="C12" s="498"/>
      <c r="D12" s="499"/>
      <c r="E12" s="498"/>
      <c r="F12" s="499"/>
      <c r="G12" s="498"/>
      <c r="H12" s="499"/>
      <c r="I12" s="498"/>
      <c r="J12" s="499"/>
      <c r="K12" s="498"/>
      <c r="L12" s="499"/>
      <c r="M12" s="498"/>
      <c r="N12" s="499"/>
      <c r="O12" s="498"/>
      <c r="P12" s="499"/>
      <c r="Q12" s="498"/>
      <c r="R12" s="499"/>
      <c r="S12" s="498"/>
      <c r="T12" s="499"/>
      <c r="U12" s="498"/>
      <c r="V12" s="499"/>
    </row>
    <row r="13" spans="1:22" ht="15.75" thickBot="1" x14ac:dyDescent="0.3">
      <c r="A13" s="509"/>
      <c r="B13" s="501"/>
      <c r="C13" s="496"/>
      <c r="D13" s="497"/>
      <c r="E13" s="496"/>
      <c r="F13" s="497"/>
      <c r="G13" s="496"/>
      <c r="H13" s="497"/>
      <c r="I13" s="496"/>
      <c r="J13" s="497"/>
      <c r="K13" s="496"/>
      <c r="L13" s="497"/>
      <c r="M13" s="496"/>
      <c r="N13" s="497"/>
      <c r="O13" s="496"/>
      <c r="P13" s="497"/>
      <c r="Q13" s="496"/>
      <c r="R13" s="497"/>
      <c r="S13" s="496"/>
      <c r="T13" s="497"/>
      <c r="U13" s="496"/>
      <c r="V13" s="497"/>
    </row>
    <row r="14" spans="1:22" x14ac:dyDescent="0.25">
      <c r="A14" s="509"/>
      <c r="B14" s="500" t="s">
        <v>170</v>
      </c>
      <c r="C14" s="498"/>
      <c r="D14" s="499"/>
      <c r="E14" s="498"/>
      <c r="F14" s="499"/>
      <c r="G14" s="498"/>
      <c r="H14" s="499"/>
      <c r="I14" s="498"/>
      <c r="J14" s="499"/>
      <c r="K14" s="498"/>
      <c r="L14" s="499"/>
      <c r="M14" s="498"/>
      <c r="N14" s="499"/>
      <c r="O14" s="498"/>
      <c r="P14" s="499"/>
      <c r="Q14" s="498"/>
      <c r="R14" s="499"/>
      <c r="S14" s="498"/>
      <c r="T14" s="499"/>
      <c r="U14" s="498"/>
      <c r="V14" s="499"/>
    </row>
    <row r="15" spans="1:22" ht="15.75" thickBot="1" x14ac:dyDescent="0.3">
      <c r="A15" s="509"/>
      <c r="B15" s="501"/>
      <c r="C15" s="496"/>
      <c r="D15" s="497"/>
      <c r="E15" s="496"/>
      <c r="F15" s="497"/>
      <c r="G15" s="496"/>
      <c r="H15" s="497"/>
      <c r="I15" s="496"/>
      <c r="J15" s="497"/>
      <c r="K15" s="496"/>
      <c r="L15" s="497"/>
      <c r="M15" s="496"/>
      <c r="N15" s="497"/>
      <c r="O15" s="496"/>
      <c r="P15" s="497"/>
      <c r="Q15" s="496"/>
      <c r="R15" s="497"/>
      <c r="S15" s="496"/>
      <c r="T15" s="497"/>
      <c r="U15" s="496"/>
      <c r="V15" s="497"/>
    </row>
    <row r="16" spans="1:22" ht="15.75" thickBot="1" x14ac:dyDescent="0.3">
      <c r="A16" s="509" t="s">
        <v>405</v>
      </c>
      <c r="B16" s="302"/>
      <c r="C16" s="302" t="s">
        <v>250</v>
      </c>
      <c r="D16" s="302" t="s">
        <v>251</v>
      </c>
      <c r="E16" s="302" t="s">
        <v>252</v>
      </c>
      <c r="F16" s="302" t="s">
        <v>253</v>
      </c>
      <c r="G16" s="302" t="s">
        <v>254</v>
      </c>
      <c r="H16" s="302" t="s">
        <v>255</v>
      </c>
      <c r="I16" s="302" t="s">
        <v>256</v>
      </c>
      <c r="J16" s="302" t="s">
        <v>257</v>
      </c>
      <c r="K16" s="302" t="s">
        <v>258</v>
      </c>
      <c r="L16" s="302" t="s">
        <v>259</v>
      </c>
      <c r="M16" s="302" t="s">
        <v>260</v>
      </c>
      <c r="N16" s="302" t="s">
        <v>261</v>
      </c>
      <c r="O16" s="302" t="s">
        <v>262</v>
      </c>
      <c r="P16" s="302" t="s">
        <v>263</v>
      </c>
      <c r="Q16" s="302" t="s">
        <v>264</v>
      </c>
      <c r="R16" s="302" t="s">
        <v>265</v>
      </c>
      <c r="S16" s="302" t="s">
        <v>266</v>
      </c>
      <c r="T16" s="302" t="s">
        <v>267</v>
      </c>
      <c r="U16" s="302" t="s">
        <v>268</v>
      </c>
      <c r="V16" s="302" t="s">
        <v>269</v>
      </c>
    </row>
    <row r="17" spans="1:22" x14ac:dyDescent="0.25">
      <c r="A17" s="509"/>
      <c r="B17" s="500" t="s">
        <v>171</v>
      </c>
      <c r="C17" s="498"/>
      <c r="D17" s="499"/>
      <c r="E17" s="498"/>
      <c r="F17" s="499"/>
      <c r="G17" s="498"/>
      <c r="H17" s="499"/>
      <c r="I17" s="498"/>
      <c r="J17" s="499"/>
      <c r="K17" s="498"/>
      <c r="L17" s="499"/>
      <c r="M17" s="498"/>
      <c r="N17" s="499"/>
      <c r="O17" s="498"/>
      <c r="P17" s="499"/>
      <c r="Q17" s="498"/>
      <c r="R17" s="499"/>
      <c r="S17" s="498"/>
      <c r="T17" s="499"/>
      <c r="U17" s="498"/>
      <c r="V17" s="499"/>
    </row>
    <row r="18" spans="1:22" ht="15.75" thickBot="1" x14ac:dyDescent="0.3">
      <c r="A18" s="509"/>
      <c r="B18" s="501"/>
      <c r="C18" s="507"/>
      <c r="D18" s="508"/>
      <c r="E18" s="507"/>
      <c r="F18" s="508"/>
      <c r="G18" s="507"/>
      <c r="H18" s="508"/>
      <c r="I18" s="507"/>
      <c r="J18" s="508"/>
      <c r="K18" s="507"/>
      <c r="L18" s="508"/>
      <c r="M18" s="507"/>
      <c r="N18" s="508"/>
      <c r="O18" s="507"/>
      <c r="P18" s="508"/>
      <c r="Q18" s="507"/>
      <c r="R18" s="508"/>
      <c r="S18" s="507"/>
      <c r="T18" s="508"/>
      <c r="U18" s="507"/>
      <c r="V18" s="508"/>
    </row>
    <row r="19" spans="1:22" x14ac:dyDescent="0.25">
      <c r="A19" s="509"/>
      <c r="B19" s="510" t="s">
        <v>404</v>
      </c>
      <c r="C19" s="303"/>
      <c r="D19" s="304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4"/>
      <c r="R19" s="304"/>
      <c r="S19" s="304"/>
      <c r="T19" s="304"/>
      <c r="U19" s="304"/>
      <c r="V19" s="305"/>
    </row>
    <row r="20" spans="1:22" ht="15.75" thickBot="1" x14ac:dyDescent="0.3">
      <c r="A20" s="509"/>
      <c r="B20" s="511"/>
      <c r="C20" s="306"/>
      <c r="D20" s="307"/>
      <c r="E20" s="307"/>
      <c r="F20" s="307"/>
      <c r="G20" s="307"/>
      <c r="H20" s="307"/>
      <c r="I20" s="307"/>
      <c r="J20" s="307"/>
      <c r="K20" s="307"/>
      <c r="L20" s="307"/>
      <c r="M20" s="307"/>
      <c r="N20" s="307"/>
      <c r="O20" s="307"/>
      <c r="P20" s="307"/>
      <c r="Q20" s="307"/>
      <c r="R20" s="307"/>
      <c r="S20" s="307"/>
      <c r="T20" s="307"/>
      <c r="U20" s="307"/>
      <c r="V20" s="308"/>
    </row>
    <row r="21" spans="1:22" x14ac:dyDescent="0.25">
      <c r="A21" s="509"/>
      <c r="B21" s="512" t="s">
        <v>166</v>
      </c>
      <c r="C21" s="514"/>
      <c r="D21" s="499"/>
      <c r="E21" s="498"/>
      <c r="F21" s="499"/>
      <c r="G21" s="498"/>
      <c r="H21" s="499"/>
      <c r="I21" s="498"/>
      <c r="J21" s="499"/>
      <c r="K21" s="498"/>
      <c r="L21" s="499"/>
      <c r="M21" s="498"/>
      <c r="N21" s="499"/>
      <c r="O21" s="498"/>
      <c r="P21" s="499"/>
      <c r="Q21" s="498"/>
      <c r="R21" s="499"/>
      <c r="S21" s="498"/>
      <c r="T21" s="499"/>
      <c r="U21" s="498"/>
      <c r="V21" s="504"/>
    </row>
    <row r="22" spans="1:22" ht="15.75" thickBot="1" x14ac:dyDescent="0.3">
      <c r="A22" s="509"/>
      <c r="B22" s="513"/>
      <c r="C22" s="505"/>
      <c r="D22" s="497"/>
      <c r="E22" s="496"/>
      <c r="F22" s="497"/>
      <c r="G22" s="496"/>
      <c r="H22" s="497"/>
      <c r="I22" s="496"/>
      <c r="J22" s="497"/>
      <c r="K22" s="496"/>
      <c r="L22" s="497"/>
      <c r="M22" s="496"/>
      <c r="N22" s="497"/>
      <c r="O22" s="496"/>
      <c r="P22" s="497"/>
      <c r="Q22" s="496"/>
      <c r="R22" s="497"/>
      <c r="S22" s="496"/>
      <c r="T22" s="497"/>
      <c r="U22" s="496"/>
      <c r="V22" s="506"/>
    </row>
    <row r="23" spans="1:22" x14ac:dyDescent="0.25">
      <c r="A23" s="509"/>
      <c r="B23" s="510" t="s">
        <v>167</v>
      </c>
      <c r="C23" s="303"/>
      <c r="D23" s="304"/>
      <c r="E23" s="304"/>
      <c r="F23" s="304"/>
      <c r="G23" s="304"/>
      <c r="H23" s="304"/>
      <c r="I23" s="304"/>
      <c r="J23" s="304"/>
      <c r="K23" s="304"/>
      <c r="L23" s="304"/>
      <c r="M23" s="304"/>
      <c r="N23" s="304"/>
      <c r="O23" s="304"/>
      <c r="P23" s="304"/>
      <c r="Q23" s="304"/>
      <c r="R23" s="304"/>
      <c r="S23" s="304"/>
      <c r="T23" s="304"/>
      <c r="U23" s="304"/>
      <c r="V23" s="305"/>
    </row>
    <row r="24" spans="1:22" ht="15.75" thickBot="1" x14ac:dyDescent="0.3">
      <c r="A24" s="509"/>
      <c r="B24" s="511"/>
      <c r="C24" s="306"/>
      <c r="D24" s="307"/>
      <c r="E24" s="307"/>
      <c r="F24" s="307"/>
      <c r="G24" s="307"/>
      <c r="H24" s="307"/>
      <c r="I24" s="307"/>
      <c r="J24" s="307"/>
      <c r="K24" s="307"/>
      <c r="L24" s="307"/>
      <c r="M24" s="307"/>
      <c r="N24" s="307"/>
      <c r="O24" s="307"/>
      <c r="P24" s="307"/>
      <c r="Q24" s="307"/>
      <c r="R24" s="307"/>
      <c r="S24" s="307"/>
      <c r="T24" s="307"/>
      <c r="U24" s="307"/>
      <c r="V24" s="308"/>
    </row>
    <row r="25" spans="1:22" x14ac:dyDescent="0.25">
      <c r="A25" s="509"/>
      <c r="B25" s="500" t="s">
        <v>168</v>
      </c>
      <c r="C25" s="502"/>
      <c r="D25" s="503"/>
      <c r="E25" s="502"/>
      <c r="F25" s="503"/>
      <c r="G25" s="502"/>
      <c r="H25" s="503"/>
      <c r="I25" s="502"/>
      <c r="J25" s="503"/>
      <c r="K25" s="502"/>
      <c r="L25" s="503"/>
      <c r="M25" s="502"/>
      <c r="N25" s="503"/>
      <c r="O25" s="502"/>
      <c r="P25" s="503"/>
      <c r="Q25" s="502"/>
      <c r="R25" s="503"/>
      <c r="S25" s="502"/>
      <c r="T25" s="503"/>
      <c r="U25" s="502"/>
      <c r="V25" s="503"/>
    </row>
    <row r="26" spans="1:22" ht="15.75" thickBot="1" x14ac:dyDescent="0.3">
      <c r="A26" s="509"/>
      <c r="B26" s="501"/>
      <c r="C26" s="496"/>
      <c r="D26" s="497"/>
      <c r="E26" s="496"/>
      <c r="F26" s="497"/>
      <c r="G26" s="496"/>
      <c r="H26" s="497"/>
      <c r="I26" s="496"/>
      <c r="J26" s="497"/>
      <c r="K26" s="496"/>
      <c r="L26" s="497"/>
      <c r="M26" s="496"/>
      <c r="N26" s="497"/>
      <c r="O26" s="496"/>
      <c r="P26" s="497"/>
      <c r="Q26" s="496"/>
      <c r="R26" s="497"/>
      <c r="S26" s="496"/>
      <c r="T26" s="497"/>
      <c r="U26" s="496"/>
      <c r="V26" s="497"/>
    </row>
    <row r="27" spans="1:22" x14ac:dyDescent="0.25">
      <c r="A27" s="509"/>
      <c r="B27" s="500" t="s">
        <v>169</v>
      </c>
      <c r="C27" s="498"/>
      <c r="D27" s="499"/>
      <c r="E27" s="498"/>
      <c r="F27" s="499"/>
      <c r="G27" s="498"/>
      <c r="H27" s="499"/>
      <c r="I27" s="498"/>
      <c r="J27" s="499"/>
      <c r="K27" s="498"/>
      <c r="L27" s="499"/>
      <c r="M27" s="498"/>
      <c r="N27" s="499"/>
      <c r="O27" s="498"/>
      <c r="P27" s="499"/>
      <c r="Q27" s="498"/>
      <c r="R27" s="499"/>
      <c r="S27" s="498"/>
      <c r="T27" s="499"/>
      <c r="U27" s="498"/>
      <c r="V27" s="499"/>
    </row>
    <row r="28" spans="1:22" ht="15.75" thickBot="1" x14ac:dyDescent="0.3">
      <c r="A28" s="509"/>
      <c r="B28" s="501"/>
      <c r="C28" s="496"/>
      <c r="D28" s="497"/>
      <c r="E28" s="496"/>
      <c r="F28" s="497"/>
      <c r="G28" s="496"/>
      <c r="H28" s="497"/>
      <c r="I28" s="496"/>
      <c r="J28" s="497"/>
      <c r="K28" s="496"/>
      <c r="L28" s="497"/>
      <c r="M28" s="496"/>
      <c r="N28" s="497"/>
      <c r="O28" s="496"/>
      <c r="P28" s="497"/>
      <c r="Q28" s="496"/>
      <c r="R28" s="497"/>
      <c r="S28" s="496"/>
      <c r="T28" s="497"/>
      <c r="U28" s="496"/>
      <c r="V28" s="497"/>
    </row>
    <row r="29" spans="1:22" x14ac:dyDescent="0.25">
      <c r="A29" s="509"/>
      <c r="B29" s="500" t="s">
        <v>170</v>
      </c>
      <c r="C29" s="498"/>
      <c r="D29" s="499"/>
      <c r="E29" s="498"/>
      <c r="F29" s="499"/>
      <c r="G29" s="498"/>
      <c r="H29" s="499"/>
      <c r="I29" s="498"/>
      <c r="J29" s="499"/>
      <c r="K29" s="498"/>
      <c r="L29" s="499"/>
      <c r="M29" s="498"/>
      <c r="N29" s="499"/>
      <c r="O29" s="498"/>
      <c r="P29" s="499"/>
      <c r="Q29" s="498"/>
      <c r="R29" s="499"/>
      <c r="S29" s="498"/>
      <c r="T29" s="499"/>
      <c r="U29" s="498"/>
      <c r="V29" s="499"/>
    </row>
    <row r="30" spans="1:22" ht="15.75" thickBot="1" x14ac:dyDescent="0.3">
      <c r="A30" s="509"/>
      <c r="B30" s="501"/>
      <c r="C30" s="496"/>
      <c r="D30" s="497"/>
      <c r="E30" s="496"/>
      <c r="F30" s="497"/>
      <c r="G30" s="496"/>
      <c r="H30" s="497"/>
      <c r="I30" s="496"/>
      <c r="J30" s="497"/>
      <c r="K30" s="496"/>
      <c r="L30" s="497"/>
      <c r="M30" s="496"/>
      <c r="N30" s="497"/>
      <c r="O30" s="496"/>
      <c r="P30" s="497"/>
      <c r="Q30" s="496"/>
      <c r="R30" s="497"/>
      <c r="S30" s="496"/>
      <c r="T30" s="497"/>
      <c r="U30" s="496"/>
      <c r="V30" s="497"/>
    </row>
  </sheetData>
  <sheetProtection autoFilter="0"/>
  <sortState ref="J19:K51">
    <sortCondition ref="J19"/>
  </sortState>
  <mergeCells count="215">
    <mergeCell ref="K3:L3"/>
    <mergeCell ref="M3:N3"/>
    <mergeCell ref="O3:P3"/>
    <mergeCell ref="Q3:R3"/>
    <mergeCell ref="S3:T3"/>
    <mergeCell ref="U3:V3"/>
    <mergeCell ref="K2:L2"/>
    <mergeCell ref="M2:N2"/>
    <mergeCell ref="O2:P2"/>
    <mergeCell ref="Q2:R2"/>
    <mergeCell ref="S2:T2"/>
    <mergeCell ref="U2:V2"/>
    <mergeCell ref="B4:B5"/>
    <mergeCell ref="B6:B7"/>
    <mergeCell ref="C6:D6"/>
    <mergeCell ref="E6:F6"/>
    <mergeCell ref="G6:H6"/>
    <mergeCell ref="I6:J6"/>
    <mergeCell ref="C7:D7"/>
    <mergeCell ref="E7:F7"/>
    <mergeCell ref="G7:H7"/>
    <mergeCell ref="I7:J7"/>
    <mergeCell ref="Q7:R7"/>
    <mergeCell ref="S7:T7"/>
    <mergeCell ref="U7:V7"/>
    <mergeCell ref="K6:L6"/>
    <mergeCell ref="M6:N6"/>
    <mergeCell ref="O6:P6"/>
    <mergeCell ref="Q6:R6"/>
    <mergeCell ref="S6:T6"/>
    <mergeCell ref="U6:V6"/>
    <mergeCell ref="B10:B11"/>
    <mergeCell ref="C10:D10"/>
    <mergeCell ref="E10:F10"/>
    <mergeCell ref="G10:H10"/>
    <mergeCell ref="I10:J10"/>
    <mergeCell ref="K10:L10"/>
    <mergeCell ref="K7:L7"/>
    <mergeCell ref="M7:N7"/>
    <mergeCell ref="O7:P7"/>
    <mergeCell ref="M10:N10"/>
    <mergeCell ref="O10:P10"/>
    <mergeCell ref="Q14:R14"/>
    <mergeCell ref="Q10:R10"/>
    <mergeCell ref="S10:T10"/>
    <mergeCell ref="U10:V10"/>
    <mergeCell ref="C11:D11"/>
    <mergeCell ref="E11:F11"/>
    <mergeCell ref="G11:H11"/>
    <mergeCell ref="I11:J11"/>
    <mergeCell ref="K11:L11"/>
    <mergeCell ref="K12:L12"/>
    <mergeCell ref="M12:N12"/>
    <mergeCell ref="O12:P12"/>
    <mergeCell ref="Q12:R12"/>
    <mergeCell ref="S12:T12"/>
    <mergeCell ref="U12:V12"/>
    <mergeCell ref="M11:N11"/>
    <mergeCell ref="O11:P11"/>
    <mergeCell ref="Q11:R11"/>
    <mergeCell ref="S11:T11"/>
    <mergeCell ref="U11:V11"/>
    <mergeCell ref="U15:V15"/>
    <mergeCell ref="O13:P13"/>
    <mergeCell ref="Q13:R13"/>
    <mergeCell ref="S13:T13"/>
    <mergeCell ref="U13:V13"/>
    <mergeCell ref="B14:B15"/>
    <mergeCell ref="C14:D14"/>
    <mergeCell ref="E14:F14"/>
    <mergeCell ref="G14:H14"/>
    <mergeCell ref="I14:J14"/>
    <mergeCell ref="K14:L14"/>
    <mergeCell ref="C13:D13"/>
    <mergeCell ref="E13:F13"/>
    <mergeCell ref="G13:H13"/>
    <mergeCell ref="I13:J13"/>
    <mergeCell ref="K13:L13"/>
    <mergeCell ref="M13:N13"/>
    <mergeCell ref="B12:B13"/>
    <mergeCell ref="C12:D12"/>
    <mergeCell ref="E12:F12"/>
    <mergeCell ref="G12:H12"/>
    <mergeCell ref="I12:J12"/>
    <mergeCell ref="M14:N14"/>
    <mergeCell ref="O14:P14"/>
    <mergeCell ref="C15:D15"/>
    <mergeCell ref="E15:F15"/>
    <mergeCell ref="G15:H15"/>
    <mergeCell ref="I15:J15"/>
    <mergeCell ref="K15:L15"/>
    <mergeCell ref="M15:N15"/>
    <mergeCell ref="O15:P15"/>
    <mergeCell ref="Q15:R15"/>
    <mergeCell ref="S15:T15"/>
    <mergeCell ref="A16:A30"/>
    <mergeCell ref="B17:B18"/>
    <mergeCell ref="C17:D17"/>
    <mergeCell ref="E17:F17"/>
    <mergeCell ref="G17:H17"/>
    <mergeCell ref="A1:A15"/>
    <mergeCell ref="B2:B3"/>
    <mergeCell ref="C2:D2"/>
    <mergeCell ref="E2:F2"/>
    <mergeCell ref="G2:H2"/>
    <mergeCell ref="B19:B20"/>
    <mergeCell ref="B21:B22"/>
    <mergeCell ref="C21:D21"/>
    <mergeCell ref="E21:F21"/>
    <mergeCell ref="G21:H21"/>
    <mergeCell ref="B23:B24"/>
    <mergeCell ref="B25:B26"/>
    <mergeCell ref="C25:D25"/>
    <mergeCell ref="E25:F25"/>
    <mergeCell ref="G25:H25"/>
    <mergeCell ref="B29:B30"/>
    <mergeCell ref="C29:D29"/>
    <mergeCell ref="E29:F29"/>
    <mergeCell ref="G29:H29"/>
    <mergeCell ref="I2:J2"/>
    <mergeCell ref="C3:D3"/>
    <mergeCell ref="E3:F3"/>
    <mergeCell ref="G3:H3"/>
    <mergeCell ref="I3:J3"/>
    <mergeCell ref="U17:V17"/>
    <mergeCell ref="C18:D18"/>
    <mergeCell ref="E18:F18"/>
    <mergeCell ref="G18:H18"/>
    <mergeCell ref="I18:J18"/>
    <mergeCell ref="K18:L18"/>
    <mergeCell ref="M18:N18"/>
    <mergeCell ref="O18:P18"/>
    <mergeCell ref="Q18:R18"/>
    <mergeCell ref="S18:T18"/>
    <mergeCell ref="I17:J17"/>
    <mergeCell ref="K17:L17"/>
    <mergeCell ref="M17:N17"/>
    <mergeCell ref="O17:P17"/>
    <mergeCell ref="Q17:R17"/>
    <mergeCell ref="S17:T17"/>
    <mergeCell ref="U18:V18"/>
    <mergeCell ref="S14:T14"/>
    <mergeCell ref="U14:V14"/>
    <mergeCell ref="I21:J21"/>
    <mergeCell ref="K21:L21"/>
    <mergeCell ref="M21:N21"/>
    <mergeCell ref="O21:P21"/>
    <mergeCell ref="Q21:R21"/>
    <mergeCell ref="S21:T21"/>
    <mergeCell ref="U21:V21"/>
    <mergeCell ref="C22:D22"/>
    <mergeCell ref="E22:F22"/>
    <mergeCell ref="G22:H22"/>
    <mergeCell ref="I22:J22"/>
    <mergeCell ref="K22:L22"/>
    <mergeCell ref="M22:N22"/>
    <mergeCell ref="O22:P22"/>
    <mergeCell ref="Q22:R22"/>
    <mergeCell ref="S22:T22"/>
    <mergeCell ref="U22:V22"/>
    <mergeCell ref="I25:J25"/>
    <mergeCell ref="K25:L25"/>
    <mergeCell ref="M25:N25"/>
    <mergeCell ref="O25:P25"/>
    <mergeCell ref="Q25:R25"/>
    <mergeCell ref="S25:T25"/>
    <mergeCell ref="U25:V25"/>
    <mergeCell ref="C26:D26"/>
    <mergeCell ref="E26:F26"/>
    <mergeCell ref="G26:H26"/>
    <mergeCell ref="I26:J26"/>
    <mergeCell ref="K26:L26"/>
    <mergeCell ref="M27:N27"/>
    <mergeCell ref="O27:P27"/>
    <mergeCell ref="Q27:R27"/>
    <mergeCell ref="S27:T27"/>
    <mergeCell ref="U27:V27"/>
    <mergeCell ref="M26:N26"/>
    <mergeCell ref="O26:P26"/>
    <mergeCell ref="Q26:R26"/>
    <mergeCell ref="S26:T26"/>
    <mergeCell ref="U26:V26"/>
    <mergeCell ref="G28:H28"/>
    <mergeCell ref="I28:J28"/>
    <mergeCell ref="K28:L28"/>
    <mergeCell ref="B27:B28"/>
    <mergeCell ref="C27:D27"/>
    <mergeCell ref="E27:F27"/>
    <mergeCell ref="G27:H27"/>
    <mergeCell ref="I27:J27"/>
    <mergeCell ref="K27:L27"/>
    <mergeCell ref="C30:D30"/>
    <mergeCell ref="E30:F30"/>
    <mergeCell ref="G30:H30"/>
    <mergeCell ref="I30:J30"/>
    <mergeCell ref="K30:L30"/>
    <mergeCell ref="O28:P28"/>
    <mergeCell ref="Q28:R28"/>
    <mergeCell ref="S28:T28"/>
    <mergeCell ref="U28:V28"/>
    <mergeCell ref="M28:N28"/>
    <mergeCell ref="M30:N30"/>
    <mergeCell ref="O30:P30"/>
    <mergeCell ref="Q30:R30"/>
    <mergeCell ref="S30:T30"/>
    <mergeCell ref="U30:V30"/>
    <mergeCell ref="M29:N29"/>
    <mergeCell ref="O29:P29"/>
    <mergeCell ref="Q29:R29"/>
    <mergeCell ref="S29:T29"/>
    <mergeCell ref="U29:V29"/>
    <mergeCell ref="I29:J29"/>
    <mergeCell ref="K29:L29"/>
    <mergeCell ref="C28:D28"/>
    <mergeCell ref="E28:F28"/>
  </mergeCells>
  <conditionalFormatting sqref="L31:L53">
    <cfRule type="cellIs" dxfId="108" priority="106" operator="greaterThan">
      <formula>2.9</formula>
    </cfRule>
    <cfRule type="cellIs" dxfId="107" priority="107" operator="greaterThan">
      <formula>1.9</formula>
    </cfRule>
  </conditionalFormatting>
  <conditionalFormatting sqref="C8:D9">
    <cfRule type="duplicateValues" dxfId="106" priority="105"/>
  </conditionalFormatting>
  <conditionalFormatting sqref="E8:V9 E2:E3 G2:G3">
    <cfRule type="duplicateValues" dxfId="105" priority="108"/>
  </conditionalFormatting>
  <conditionalFormatting sqref="C4:D4">
    <cfRule type="duplicateValues" dxfId="104" priority="103"/>
  </conditionalFormatting>
  <conditionalFormatting sqref="C5:D5">
    <cfRule type="duplicateValues" dxfId="103" priority="102"/>
  </conditionalFormatting>
  <conditionalFormatting sqref="E4:V5">
    <cfRule type="duplicateValues" dxfId="102" priority="104"/>
  </conditionalFormatting>
  <conditionalFormatting sqref="C23:D24">
    <cfRule type="duplicateValues" dxfId="101" priority="100"/>
  </conditionalFormatting>
  <conditionalFormatting sqref="E23:V24 E17:E18 G17:G18">
    <cfRule type="duplicateValues" dxfId="100" priority="101"/>
  </conditionalFormatting>
  <conditionalFormatting sqref="C19:D19">
    <cfRule type="duplicateValues" dxfId="99" priority="98"/>
  </conditionalFormatting>
  <conditionalFormatting sqref="C20:D20">
    <cfRule type="duplicateValues" dxfId="98" priority="97"/>
  </conditionalFormatting>
  <conditionalFormatting sqref="E19:V20">
    <cfRule type="duplicateValues" dxfId="97" priority="99"/>
  </conditionalFormatting>
  <conditionalFormatting sqref="I2:I3">
    <cfRule type="duplicateValues" dxfId="96" priority="96"/>
  </conditionalFormatting>
  <conditionalFormatting sqref="K2:K3">
    <cfRule type="duplicateValues" dxfId="95" priority="95"/>
  </conditionalFormatting>
  <conditionalFormatting sqref="M2:M3">
    <cfRule type="duplicateValues" dxfId="94" priority="94"/>
  </conditionalFormatting>
  <conditionalFormatting sqref="O2:O3">
    <cfRule type="duplicateValues" dxfId="93" priority="93"/>
  </conditionalFormatting>
  <conditionalFormatting sqref="Q2:Q3">
    <cfRule type="duplicateValues" dxfId="92" priority="92"/>
  </conditionalFormatting>
  <conditionalFormatting sqref="S2:S3">
    <cfRule type="duplicateValues" dxfId="91" priority="91"/>
  </conditionalFormatting>
  <conditionalFormatting sqref="U2:U3">
    <cfRule type="duplicateValues" dxfId="90" priority="90"/>
  </conditionalFormatting>
  <conditionalFormatting sqref="I17:I18">
    <cfRule type="duplicateValues" dxfId="89" priority="89"/>
  </conditionalFormatting>
  <conditionalFormatting sqref="K17:K18">
    <cfRule type="duplicateValues" dxfId="88" priority="88"/>
  </conditionalFormatting>
  <conditionalFormatting sqref="M17:M18">
    <cfRule type="duplicateValues" dxfId="87" priority="87"/>
  </conditionalFormatting>
  <conditionalFormatting sqref="O17:O18">
    <cfRule type="duplicateValues" dxfId="86" priority="86"/>
  </conditionalFormatting>
  <conditionalFormatting sqref="Q17:Q18">
    <cfRule type="duplicateValues" dxfId="85" priority="85"/>
  </conditionalFormatting>
  <conditionalFormatting sqref="S17:S18">
    <cfRule type="duplicateValues" dxfId="84" priority="84"/>
  </conditionalFormatting>
  <conditionalFormatting sqref="U17:U18">
    <cfRule type="duplicateValues" dxfId="83" priority="83"/>
  </conditionalFormatting>
  <conditionalFormatting sqref="C2:C3">
    <cfRule type="duplicateValues" dxfId="82" priority="82"/>
  </conditionalFormatting>
  <conditionalFormatting sqref="C6:C7">
    <cfRule type="duplicateValues" dxfId="81" priority="81"/>
  </conditionalFormatting>
  <conditionalFormatting sqref="E6:E7">
    <cfRule type="duplicateValues" dxfId="80" priority="80"/>
  </conditionalFormatting>
  <conditionalFormatting sqref="G6:G7">
    <cfRule type="duplicateValues" dxfId="79" priority="79"/>
  </conditionalFormatting>
  <conditionalFormatting sqref="I6:I7">
    <cfRule type="duplicateValues" dxfId="78" priority="78"/>
  </conditionalFormatting>
  <conditionalFormatting sqref="K6:K7">
    <cfRule type="duplicateValues" dxfId="77" priority="77"/>
  </conditionalFormatting>
  <conditionalFormatting sqref="M6:M7">
    <cfRule type="duplicateValues" dxfId="76" priority="76"/>
  </conditionalFormatting>
  <conditionalFormatting sqref="O6:O7">
    <cfRule type="duplicateValues" dxfId="75" priority="75"/>
  </conditionalFormatting>
  <conditionalFormatting sqref="Q6:Q7">
    <cfRule type="duplicateValues" dxfId="74" priority="74"/>
  </conditionalFormatting>
  <conditionalFormatting sqref="S6:S7">
    <cfRule type="duplicateValues" dxfId="73" priority="73"/>
  </conditionalFormatting>
  <conditionalFormatting sqref="U6:U7">
    <cfRule type="duplicateValues" dxfId="72" priority="72"/>
  </conditionalFormatting>
  <conditionalFormatting sqref="C10:C11">
    <cfRule type="duplicateValues" dxfId="71" priority="71"/>
  </conditionalFormatting>
  <conditionalFormatting sqref="E10:E11">
    <cfRule type="duplicateValues" dxfId="70" priority="70"/>
  </conditionalFormatting>
  <conditionalFormatting sqref="G10:G11">
    <cfRule type="duplicateValues" dxfId="69" priority="69"/>
  </conditionalFormatting>
  <conditionalFormatting sqref="I10:I11">
    <cfRule type="duplicateValues" dxfId="68" priority="68"/>
  </conditionalFormatting>
  <conditionalFormatting sqref="K10:K11">
    <cfRule type="duplicateValues" dxfId="67" priority="67"/>
  </conditionalFormatting>
  <conditionalFormatting sqref="M10:M11">
    <cfRule type="duplicateValues" dxfId="66" priority="66"/>
  </conditionalFormatting>
  <conditionalFormatting sqref="O10:O11">
    <cfRule type="duplicateValues" dxfId="65" priority="65"/>
  </conditionalFormatting>
  <conditionalFormatting sqref="Q10:Q11">
    <cfRule type="duplicateValues" dxfId="64" priority="64"/>
  </conditionalFormatting>
  <conditionalFormatting sqref="S10:S11">
    <cfRule type="duplicateValues" dxfId="63" priority="63"/>
  </conditionalFormatting>
  <conditionalFormatting sqref="U10:U11">
    <cfRule type="duplicateValues" dxfId="62" priority="62"/>
  </conditionalFormatting>
  <conditionalFormatting sqref="C12:C13">
    <cfRule type="duplicateValues" dxfId="61" priority="61"/>
  </conditionalFormatting>
  <conditionalFormatting sqref="E12:E13">
    <cfRule type="duplicateValues" dxfId="60" priority="60"/>
  </conditionalFormatting>
  <conditionalFormatting sqref="G12:G13">
    <cfRule type="duplicateValues" dxfId="59" priority="59"/>
  </conditionalFormatting>
  <conditionalFormatting sqref="I12:I13">
    <cfRule type="duplicateValues" dxfId="58" priority="58"/>
  </conditionalFormatting>
  <conditionalFormatting sqref="K12:K13">
    <cfRule type="duplicateValues" dxfId="57" priority="57"/>
  </conditionalFormatting>
  <conditionalFormatting sqref="M12:M13">
    <cfRule type="duplicateValues" dxfId="56" priority="56"/>
  </conditionalFormatting>
  <conditionalFormatting sqref="O12:O13">
    <cfRule type="duplicateValues" dxfId="55" priority="55"/>
  </conditionalFormatting>
  <conditionalFormatting sqref="Q12:Q13">
    <cfRule type="duplicateValues" dxfId="54" priority="54"/>
  </conditionalFormatting>
  <conditionalFormatting sqref="S12:S13">
    <cfRule type="duplicateValues" dxfId="53" priority="53"/>
  </conditionalFormatting>
  <conditionalFormatting sqref="U12:U13">
    <cfRule type="duplicateValues" dxfId="52" priority="52"/>
  </conditionalFormatting>
  <conditionalFormatting sqref="C14:C15">
    <cfRule type="duplicateValues" dxfId="51" priority="51"/>
  </conditionalFormatting>
  <conditionalFormatting sqref="E14:E15">
    <cfRule type="duplicateValues" dxfId="50" priority="50"/>
  </conditionalFormatting>
  <conditionalFormatting sqref="G14:G15">
    <cfRule type="duplicateValues" dxfId="49" priority="49"/>
  </conditionalFormatting>
  <conditionalFormatting sqref="I14:I15">
    <cfRule type="duplicateValues" dxfId="48" priority="48"/>
  </conditionalFormatting>
  <conditionalFormatting sqref="K14:K15">
    <cfRule type="duplicateValues" dxfId="47" priority="47"/>
  </conditionalFormatting>
  <conditionalFormatting sqref="M14:M15">
    <cfRule type="duplicateValues" dxfId="46" priority="46"/>
  </conditionalFormatting>
  <conditionalFormatting sqref="O14:O15">
    <cfRule type="duplicateValues" dxfId="45" priority="45"/>
  </conditionalFormatting>
  <conditionalFormatting sqref="Q14:Q15">
    <cfRule type="duplicateValues" dxfId="44" priority="44"/>
  </conditionalFormatting>
  <conditionalFormatting sqref="S14:S15">
    <cfRule type="duplicateValues" dxfId="43" priority="43"/>
  </conditionalFormatting>
  <conditionalFormatting sqref="U14:U15">
    <cfRule type="duplicateValues" dxfId="42" priority="42"/>
  </conditionalFormatting>
  <conditionalFormatting sqref="C21:C22">
    <cfRule type="duplicateValues" dxfId="41" priority="41"/>
  </conditionalFormatting>
  <conditionalFormatting sqref="E21:E22">
    <cfRule type="duplicateValues" dxfId="40" priority="40"/>
  </conditionalFormatting>
  <conditionalFormatting sqref="G21:G22">
    <cfRule type="duplicateValues" dxfId="39" priority="39"/>
  </conditionalFormatting>
  <conditionalFormatting sqref="I21:I22">
    <cfRule type="duplicateValues" dxfId="38" priority="38"/>
  </conditionalFormatting>
  <conditionalFormatting sqref="K21:K22">
    <cfRule type="duplicateValues" dxfId="37" priority="37"/>
  </conditionalFormatting>
  <conditionalFormatting sqref="M21:M22">
    <cfRule type="duplicateValues" dxfId="36" priority="36"/>
  </conditionalFormatting>
  <conditionalFormatting sqref="O21:O22">
    <cfRule type="duplicateValues" dxfId="35" priority="35"/>
  </conditionalFormatting>
  <conditionalFormatting sqref="Q21:Q22">
    <cfRule type="duplicateValues" dxfId="34" priority="34"/>
  </conditionalFormatting>
  <conditionalFormatting sqref="S21:S22">
    <cfRule type="duplicateValues" dxfId="33" priority="33"/>
  </conditionalFormatting>
  <conditionalFormatting sqref="U21:U22">
    <cfRule type="duplicateValues" dxfId="32" priority="32"/>
  </conditionalFormatting>
  <conditionalFormatting sqref="C25:C26">
    <cfRule type="duplicateValues" dxfId="31" priority="31"/>
  </conditionalFormatting>
  <conditionalFormatting sqref="E25:E26">
    <cfRule type="duplicateValues" dxfId="30" priority="30"/>
  </conditionalFormatting>
  <conditionalFormatting sqref="G25:G26">
    <cfRule type="duplicateValues" dxfId="29" priority="29"/>
  </conditionalFormatting>
  <conditionalFormatting sqref="I25:I26">
    <cfRule type="duplicateValues" dxfId="28" priority="28"/>
  </conditionalFormatting>
  <conditionalFormatting sqref="K25:K26">
    <cfRule type="duplicateValues" dxfId="27" priority="27"/>
  </conditionalFormatting>
  <conditionalFormatting sqref="M25:M26">
    <cfRule type="duplicateValues" dxfId="26" priority="26"/>
  </conditionalFormatting>
  <conditionalFormatting sqref="O25:O26">
    <cfRule type="duplicateValues" dxfId="25" priority="25"/>
  </conditionalFormatting>
  <conditionalFormatting sqref="Q25:Q26">
    <cfRule type="duplicateValues" dxfId="24" priority="24"/>
  </conditionalFormatting>
  <conditionalFormatting sqref="S25:S26">
    <cfRule type="duplicateValues" dxfId="23" priority="23"/>
  </conditionalFormatting>
  <conditionalFormatting sqref="U25:U26">
    <cfRule type="duplicateValues" dxfId="22" priority="22"/>
  </conditionalFormatting>
  <conditionalFormatting sqref="C27:C28">
    <cfRule type="duplicateValues" dxfId="21" priority="21"/>
  </conditionalFormatting>
  <conditionalFormatting sqref="E27:E28">
    <cfRule type="duplicateValues" dxfId="20" priority="20"/>
  </conditionalFormatting>
  <conditionalFormatting sqref="G27:G28">
    <cfRule type="duplicateValues" dxfId="19" priority="19"/>
  </conditionalFormatting>
  <conditionalFormatting sqref="I27:I28">
    <cfRule type="duplicateValues" dxfId="18" priority="18"/>
  </conditionalFormatting>
  <conditionalFormatting sqref="K27:K28">
    <cfRule type="duplicateValues" dxfId="17" priority="17"/>
  </conditionalFormatting>
  <conditionalFormatting sqref="M27:M28">
    <cfRule type="duplicateValues" dxfId="16" priority="16"/>
  </conditionalFormatting>
  <conditionalFormatting sqref="O27:O28">
    <cfRule type="duplicateValues" dxfId="15" priority="15"/>
  </conditionalFormatting>
  <conditionalFormatting sqref="Q27:Q28">
    <cfRule type="duplicateValues" dxfId="14" priority="14"/>
  </conditionalFormatting>
  <conditionalFormatting sqref="S27:S28">
    <cfRule type="duplicateValues" dxfId="13" priority="13"/>
  </conditionalFormatting>
  <conditionalFormatting sqref="U27:U28">
    <cfRule type="duplicateValues" dxfId="12" priority="12"/>
  </conditionalFormatting>
  <conditionalFormatting sqref="C29:C30">
    <cfRule type="duplicateValues" dxfId="11" priority="11"/>
  </conditionalFormatting>
  <conditionalFormatting sqref="E29:E30">
    <cfRule type="duplicateValues" dxfId="10" priority="10"/>
  </conditionalFormatting>
  <conditionalFormatting sqref="G29:G30">
    <cfRule type="duplicateValues" dxfId="9" priority="9"/>
  </conditionalFormatting>
  <conditionalFormatting sqref="I29:I30">
    <cfRule type="duplicateValues" dxfId="8" priority="8"/>
  </conditionalFormatting>
  <conditionalFormatting sqref="K29:K30">
    <cfRule type="duplicateValues" dxfId="7" priority="7"/>
  </conditionalFormatting>
  <conditionalFormatting sqref="M29:M30">
    <cfRule type="duplicateValues" dxfId="6" priority="6"/>
  </conditionalFormatting>
  <conditionalFormatting sqref="O29:O30">
    <cfRule type="duplicateValues" dxfId="5" priority="5"/>
  </conditionalFormatting>
  <conditionalFormatting sqref="Q29:Q30">
    <cfRule type="duplicateValues" dxfId="4" priority="4"/>
  </conditionalFormatting>
  <conditionalFormatting sqref="S29:S30">
    <cfRule type="duplicateValues" dxfId="3" priority="3"/>
  </conditionalFormatting>
  <conditionalFormatting sqref="U29:U30">
    <cfRule type="duplicateValues" dxfId="2" priority="2"/>
  </conditionalFormatting>
  <conditionalFormatting sqref="C17:C18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M1389"/>
  <sheetViews>
    <sheetView workbookViewId="0">
      <selection activeCell="B1" sqref="B1:F24"/>
    </sheetView>
  </sheetViews>
  <sheetFormatPr defaultColWidth="0" defaultRowHeight="15" customHeight="1" zeroHeight="1" x14ac:dyDescent="0.25"/>
  <cols>
    <col min="1" max="1" width="1.7109375" style="392" customWidth="1"/>
    <col min="2" max="2" width="32.28515625" customWidth="1"/>
    <col min="3" max="3" width="23.5703125" customWidth="1"/>
    <col min="4" max="4" width="20.28515625" customWidth="1"/>
    <col min="5" max="5" width="16.7109375" customWidth="1"/>
    <col min="6" max="6" width="23.28515625" style="406" customWidth="1"/>
    <col min="7" max="7" width="6.28515625" style="407" customWidth="1"/>
    <col min="8" max="8" width="27" style="408" customWidth="1"/>
    <col min="9" max="9" width="29.42578125" style="409" customWidth="1"/>
    <col min="10" max="10" width="18.85546875" style="148" customWidth="1"/>
    <col min="11" max="11" width="25.85546875" style="148" customWidth="1"/>
    <col min="12" max="12" width="22.28515625" style="404" customWidth="1"/>
    <col min="13" max="13" width="3.7109375" style="392" customWidth="1"/>
    <col min="14" max="16384" width="9.140625" hidden="1"/>
  </cols>
  <sheetData>
    <row r="1" spans="1:13" s="387" customFormat="1" x14ac:dyDescent="0.25">
      <c r="A1" s="388"/>
      <c r="B1" s="389" t="s">
        <v>516</v>
      </c>
      <c r="C1" s="389" t="s">
        <v>517</v>
      </c>
      <c r="D1" s="389" t="s">
        <v>518</v>
      </c>
      <c r="E1" s="389" t="s">
        <v>519</v>
      </c>
      <c r="F1" s="390" t="s">
        <v>520</v>
      </c>
      <c r="G1" s="391"/>
      <c r="H1" s="389" t="s">
        <v>516</v>
      </c>
      <c r="I1" s="390" t="s">
        <v>521</v>
      </c>
      <c r="J1" s="390" t="s">
        <v>518</v>
      </c>
      <c r="K1" s="389" t="s">
        <v>522</v>
      </c>
      <c r="L1" s="390" t="s">
        <v>520</v>
      </c>
      <c r="M1" s="388"/>
    </row>
    <row r="2" spans="1:13" x14ac:dyDescent="0.25">
      <c r="B2" s="393" t="s">
        <v>44</v>
      </c>
      <c r="C2" s="393" t="s">
        <v>574</v>
      </c>
      <c r="D2" s="394" t="s">
        <v>524</v>
      </c>
      <c r="E2" s="393" t="s">
        <v>548</v>
      </c>
      <c r="F2" s="395" t="s">
        <v>557</v>
      </c>
      <c r="G2" s="396"/>
      <c r="H2" s="415" t="s">
        <v>44</v>
      </c>
      <c r="I2" s="412"/>
      <c r="J2" s="412" t="str">
        <f>IF(Table2[[#This Row],[Time]]="","",Table2[[#This Row],[Time]])</f>
        <v>Fri 1:00pm</v>
      </c>
      <c r="K2" s="413"/>
      <c r="L2" s="413"/>
    </row>
    <row r="3" spans="1:13" x14ac:dyDescent="0.25">
      <c r="B3" s="393" t="s">
        <v>34</v>
      </c>
      <c r="C3" s="393" t="s">
        <v>576</v>
      </c>
      <c r="D3" s="394" t="s">
        <v>532</v>
      </c>
      <c r="E3" s="393" t="s">
        <v>23</v>
      </c>
      <c r="F3" s="395" t="s">
        <v>577</v>
      </c>
      <c r="G3" s="396"/>
      <c r="H3" s="414" t="s">
        <v>34</v>
      </c>
      <c r="I3" s="410"/>
      <c r="J3" s="412" t="str">
        <f>IF(Table2[[#This Row],[Time]]="","",Table2[[#This Row],[Time]])</f>
        <v>Fri 1:30pm</v>
      </c>
      <c r="K3" s="411"/>
      <c r="L3" s="411"/>
    </row>
    <row r="4" spans="1:13" x14ac:dyDescent="0.25">
      <c r="B4" s="393" t="s">
        <v>231</v>
      </c>
      <c r="C4" s="393" t="s">
        <v>573</v>
      </c>
      <c r="D4" s="394" t="s">
        <v>530</v>
      </c>
      <c r="E4" s="393" t="s">
        <v>53</v>
      </c>
      <c r="F4" s="395" t="s">
        <v>557</v>
      </c>
      <c r="G4" s="396"/>
      <c r="H4" s="415" t="s">
        <v>231</v>
      </c>
      <c r="I4" s="412"/>
      <c r="J4" s="412" t="str">
        <f>IF(Table2[[#This Row],[Time]]="","",Table2[[#This Row],[Time]])</f>
        <v>Fri 12:00pm</v>
      </c>
      <c r="K4" s="413"/>
      <c r="L4" s="413"/>
    </row>
    <row r="5" spans="1:13" x14ac:dyDescent="0.25">
      <c r="B5" s="393" t="s">
        <v>22</v>
      </c>
      <c r="C5" s="393" t="s">
        <v>575</v>
      </c>
      <c r="D5" s="394" t="s">
        <v>525</v>
      </c>
      <c r="E5" s="393" t="s">
        <v>563</v>
      </c>
      <c r="F5" s="395" t="s">
        <v>557</v>
      </c>
      <c r="G5" s="396"/>
      <c r="H5" s="414" t="s">
        <v>22</v>
      </c>
      <c r="I5" s="410"/>
      <c r="J5" s="412" t="str">
        <f>IF(Table2[[#This Row],[Time]]="","",Table2[[#This Row],[Time]])</f>
        <v>Fri 12:30pm</v>
      </c>
      <c r="K5" s="411"/>
      <c r="L5" s="411"/>
    </row>
    <row r="6" spans="1:13" x14ac:dyDescent="0.25">
      <c r="B6" s="393" t="s">
        <v>233</v>
      </c>
      <c r="C6" s="393" t="s">
        <v>571</v>
      </c>
      <c r="D6" s="394" t="s">
        <v>525</v>
      </c>
      <c r="E6" s="393" t="s">
        <v>548</v>
      </c>
      <c r="F6" s="395" t="s">
        <v>557</v>
      </c>
      <c r="G6" s="396"/>
      <c r="H6" s="414" t="s">
        <v>233</v>
      </c>
      <c r="I6" s="410"/>
      <c r="J6" s="412" t="str">
        <f>IF(Table2[[#This Row],[Time]]="","",Table2[[#This Row],[Time]])</f>
        <v>Fri 12:30pm</v>
      </c>
      <c r="K6" s="411"/>
      <c r="L6" s="411"/>
    </row>
    <row r="7" spans="1:13" x14ac:dyDescent="0.25">
      <c r="B7" s="393" t="s">
        <v>67</v>
      </c>
      <c r="C7" s="393" t="s">
        <v>567</v>
      </c>
      <c r="D7" s="394" t="s">
        <v>538</v>
      </c>
      <c r="E7" s="393" t="s">
        <v>17</v>
      </c>
      <c r="F7" s="395" t="s">
        <v>557</v>
      </c>
      <c r="G7" s="396"/>
      <c r="H7" s="414" t="s">
        <v>67</v>
      </c>
      <c r="I7" s="410"/>
      <c r="J7" s="412" t="str">
        <f>IF(Table2[[#This Row],[Time]]="","",Table2[[#This Row],[Time]])</f>
        <v>Mon 1:00pm</v>
      </c>
      <c r="K7" s="411"/>
      <c r="L7" s="411"/>
    </row>
    <row r="8" spans="1:13" x14ac:dyDescent="0.25">
      <c r="B8" s="393" t="s">
        <v>24</v>
      </c>
      <c r="C8" s="393" t="s">
        <v>562</v>
      </c>
      <c r="D8" s="394" t="s">
        <v>526</v>
      </c>
      <c r="E8" s="393" t="s">
        <v>563</v>
      </c>
      <c r="F8" s="395" t="s">
        <v>557</v>
      </c>
      <c r="G8" s="396"/>
      <c r="H8" s="415" t="s">
        <v>24</v>
      </c>
      <c r="I8" s="412"/>
      <c r="J8" s="412" t="str">
        <f>IF(Table2[[#This Row],[Time]]="","",Table2[[#This Row],[Time]])</f>
        <v>Mon 12:30pm</v>
      </c>
      <c r="K8" s="413"/>
      <c r="L8" s="413"/>
    </row>
    <row r="9" spans="1:13" x14ac:dyDescent="0.25">
      <c r="B9" s="393" t="s">
        <v>19</v>
      </c>
      <c r="C9" s="393" t="s">
        <v>561</v>
      </c>
      <c r="D9" s="394" t="s">
        <v>523</v>
      </c>
      <c r="E9" s="393" t="s">
        <v>46</v>
      </c>
      <c r="F9" s="395" t="s">
        <v>557</v>
      </c>
      <c r="G9" s="396"/>
      <c r="H9" s="414" t="s">
        <v>19</v>
      </c>
      <c r="I9" s="410"/>
      <c r="J9" s="412" t="str">
        <f>IF(Table2[[#This Row],[Time]]="","",Table2[[#This Row],[Time]])</f>
        <v>Mon 12pm</v>
      </c>
      <c r="K9" s="411"/>
      <c r="L9" s="411"/>
    </row>
    <row r="10" spans="1:13" x14ac:dyDescent="0.25">
      <c r="B10" s="393" t="s">
        <v>50</v>
      </c>
      <c r="C10" s="393" t="s">
        <v>559</v>
      </c>
      <c r="D10" s="394" t="s">
        <v>531</v>
      </c>
      <c r="E10" s="393" t="s">
        <v>66</v>
      </c>
      <c r="F10" s="395" t="s">
        <v>557</v>
      </c>
      <c r="G10" s="396"/>
      <c r="H10" s="414" t="s">
        <v>50</v>
      </c>
      <c r="I10" s="410"/>
      <c r="J10" s="412" t="str">
        <f>IF(Table2[[#This Row],[Time]]="","",Table2[[#This Row],[Time]])</f>
        <v>Mon 6:00pm</v>
      </c>
      <c r="K10" s="411"/>
      <c r="L10" s="411"/>
    </row>
    <row r="11" spans="1:13" x14ac:dyDescent="0.25">
      <c r="B11" s="393" t="s">
        <v>232</v>
      </c>
      <c r="C11" s="393" t="s">
        <v>565</v>
      </c>
      <c r="D11" s="394" t="s">
        <v>531</v>
      </c>
      <c r="E11" s="393" t="s">
        <v>52</v>
      </c>
      <c r="F11" s="395" t="s">
        <v>557</v>
      </c>
      <c r="G11" s="396"/>
      <c r="H11" s="414" t="s">
        <v>232</v>
      </c>
      <c r="I11" s="410"/>
      <c r="J11" s="412" t="str">
        <f>IF(Table2[[#This Row],[Time]]="","",Table2[[#This Row],[Time]])</f>
        <v>Mon 6:00pm</v>
      </c>
      <c r="K11" s="411"/>
      <c r="L11" s="411"/>
    </row>
    <row r="12" spans="1:13" x14ac:dyDescent="0.25">
      <c r="B12" s="393" t="s">
        <v>227</v>
      </c>
      <c r="C12" s="393" t="s">
        <v>566</v>
      </c>
      <c r="D12" s="394" t="s">
        <v>537</v>
      </c>
      <c r="E12" s="393" t="s">
        <v>31</v>
      </c>
      <c r="F12" s="395" t="s">
        <v>557</v>
      </c>
      <c r="G12" s="396"/>
      <c r="H12" s="415" t="s">
        <v>227</v>
      </c>
      <c r="I12" s="412"/>
      <c r="J12" s="412" t="str">
        <f>IF(Table2[[#This Row],[Time]]="","",Table2[[#This Row],[Time]])</f>
        <v>Sat 1:00pm</v>
      </c>
      <c r="K12" s="413"/>
      <c r="L12" s="413"/>
    </row>
    <row r="13" spans="1:13" x14ac:dyDescent="0.25">
      <c r="B13" s="393" t="s">
        <v>230</v>
      </c>
      <c r="C13" s="393" t="s">
        <v>564</v>
      </c>
      <c r="D13" s="394" t="s">
        <v>537</v>
      </c>
      <c r="E13" s="393" t="s">
        <v>31</v>
      </c>
      <c r="F13" s="395" t="s">
        <v>557</v>
      </c>
      <c r="G13" s="396"/>
      <c r="H13" s="414" t="s">
        <v>230</v>
      </c>
      <c r="I13" s="410"/>
      <c r="J13" s="412" t="str">
        <f>IF(Table2[[#This Row],[Time]]="","",Table2[[#This Row],[Time]])</f>
        <v>Sat 1:00pm</v>
      </c>
      <c r="K13" s="411"/>
      <c r="L13" s="411"/>
    </row>
    <row r="14" spans="1:13" x14ac:dyDescent="0.25">
      <c r="B14" s="393" t="s">
        <v>69</v>
      </c>
      <c r="C14" s="393" t="s">
        <v>572</v>
      </c>
      <c r="D14" s="394" t="s">
        <v>540</v>
      </c>
      <c r="E14" s="393" t="s">
        <v>53</v>
      </c>
      <c r="F14" s="395" t="s">
        <v>557</v>
      </c>
      <c r="G14" s="396"/>
      <c r="H14" s="415" t="s">
        <v>69</v>
      </c>
      <c r="I14" s="412"/>
      <c r="J14" s="412" t="str">
        <f>IF(Table2[[#This Row],[Time]]="","",Table2[[#This Row],[Time]])</f>
        <v>Sat 1:30pm</v>
      </c>
      <c r="K14" s="413"/>
      <c r="L14" s="413"/>
    </row>
    <row r="15" spans="1:13" x14ac:dyDescent="0.25">
      <c r="B15" s="393" t="s">
        <v>236</v>
      </c>
      <c r="C15" s="393" t="s">
        <v>569</v>
      </c>
      <c r="D15" s="394" t="s">
        <v>546</v>
      </c>
      <c r="E15" s="393" t="s">
        <v>20</v>
      </c>
      <c r="F15" s="395" t="s">
        <v>557</v>
      </c>
      <c r="G15" s="396"/>
      <c r="H15" s="415" t="s">
        <v>236</v>
      </c>
      <c r="I15" s="412"/>
      <c r="J15" s="412" t="str">
        <f>IF(Table2[[#This Row],[Time]]="","",Table2[[#This Row],[Time]])</f>
        <v>Sat 12:00pm</v>
      </c>
      <c r="K15" s="413"/>
      <c r="L15" s="413"/>
    </row>
    <row r="16" spans="1:13" x14ac:dyDescent="0.25">
      <c r="B16" s="393" t="s">
        <v>226</v>
      </c>
      <c r="C16" s="393" t="s">
        <v>554</v>
      </c>
      <c r="D16" s="394" t="s">
        <v>533</v>
      </c>
      <c r="E16" s="393" t="s">
        <v>59</v>
      </c>
      <c r="F16" s="395" t="s">
        <v>555</v>
      </c>
      <c r="G16" s="396"/>
      <c r="H16" s="415" t="s">
        <v>226</v>
      </c>
      <c r="I16" s="412"/>
      <c r="J16" s="412" t="str">
        <f>IF(Table2[[#This Row],[Time]]="","",Table2[[#This Row],[Time]])</f>
        <v>Sat 3:00pm</v>
      </c>
      <c r="K16" s="413"/>
      <c r="L16" s="413"/>
    </row>
    <row r="17" spans="1:13" x14ac:dyDescent="0.25">
      <c r="B17" s="393" t="s">
        <v>41</v>
      </c>
      <c r="C17" s="393" t="s">
        <v>547</v>
      </c>
      <c r="D17" s="394" t="s">
        <v>534</v>
      </c>
      <c r="E17" s="393" t="s">
        <v>548</v>
      </c>
      <c r="F17" s="395" t="s">
        <v>549</v>
      </c>
      <c r="G17" s="396"/>
      <c r="H17" s="414" t="s">
        <v>41</v>
      </c>
      <c r="I17" s="410"/>
      <c r="J17" s="412" t="str">
        <f>IF(Table2[[#This Row],[Time]]="","",Table2[[#This Row],[Time]])</f>
        <v>Sun 11:30am</v>
      </c>
      <c r="K17" s="411"/>
      <c r="L17" s="411"/>
    </row>
    <row r="18" spans="1:13" x14ac:dyDescent="0.25">
      <c r="B18" s="393" t="s">
        <v>237</v>
      </c>
      <c r="C18" s="393" t="s">
        <v>550</v>
      </c>
      <c r="D18" s="394" t="s">
        <v>529</v>
      </c>
      <c r="E18" s="393" t="s">
        <v>70</v>
      </c>
      <c r="F18" s="395" t="s">
        <v>551</v>
      </c>
      <c r="G18" s="396"/>
      <c r="H18" s="414" t="s">
        <v>237</v>
      </c>
      <c r="I18" s="410"/>
      <c r="J18" s="412" t="str">
        <f>IF(Table2[[#This Row],[Time]]="","",Table2[[#This Row],[Time]])</f>
        <v>Sun 12:30pm</v>
      </c>
      <c r="K18" s="411"/>
      <c r="L18" s="411"/>
    </row>
    <row r="19" spans="1:13" x14ac:dyDescent="0.25">
      <c r="B19" s="393" t="s">
        <v>54</v>
      </c>
      <c r="C19" s="393" t="s">
        <v>552</v>
      </c>
      <c r="D19" s="394" t="s">
        <v>539</v>
      </c>
      <c r="E19" s="393" t="s">
        <v>548</v>
      </c>
      <c r="F19" s="395" t="s">
        <v>553</v>
      </c>
      <c r="G19" s="396"/>
      <c r="H19" s="415" t="s">
        <v>54</v>
      </c>
      <c r="I19" s="412"/>
      <c r="J19" s="412" t="str">
        <f>IF(Table2[[#This Row],[Time]]="","",Table2[[#This Row],[Time]])</f>
        <v>Thurs 3:00pm</v>
      </c>
      <c r="K19" s="413"/>
      <c r="L19" s="413"/>
    </row>
    <row r="20" spans="1:13" x14ac:dyDescent="0.25">
      <c r="B20" s="393" t="s">
        <v>238</v>
      </c>
      <c r="C20" s="393" t="s">
        <v>568</v>
      </c>
      <c r="D20" s="394" t="s">
        <v>541</v>
      </c>
      <c r="E20" s="393" t="s">
        <v>51</v>
      </c>
      <c r="F20" s="395" t="s">
        <v>557</v>
      </c>
      <c r="G20" s="396"/>
      <c r="H20" s="415" t="s">
        <v>238</v>
      </c>
      <c r="I20" s="412"/>
      <c r="J20" s="412" t="str">
        <f>IF(Table2[[#This Row],[Time]]="","",Table2[[#This Row],[Time]])</f>
        <v>Tue 1:00pm</v>
      </c>
      <c r="K20" s="413"/>
      <c r="L20" s="413"/>
    </row>
    <row r="21" spans="1:13" x14ac:dyDescent="0.25">
      <c r="B21" s="393" t="s">
        <v>235</v>
      </c>
      <c r="C21" s="393" t="s">
        <v>544</v>
      </c>
      <c r="D21" s="394" t="s">
        <v>527</v>
      </c>
      <c r="E21" s="393" t="s">
        <v>59</v>
      </c>
      <c r="F21" s="395" t="s">
        <v>545</v>
      </c>
      <c r="G21" s="396"/>
      <c r="H21" s="414" t="s">
        <v>235</v>
      </c>
      <c r="I21" s="410" t="s">
        <v>560</v>
      </c>
      <c r="J21" s="412" t="str">
        <f>IF(Table2[[#This Row],[Time]]="","",Table2[[#This Row],[Time]])</f>
        <v>Tue 6:00pm</v>
      </c>
      <c r="K21" s="411"/>
      <c r="L21" s="411"/>
    </row>
    <row r="22" spans="1:13" x14ac:dyDescent="0.25">
      <c r="B22" s="393" t="s">
        <v>229</v>
      </c>
      <c r="C22" s="393" t="s">
        <v>556</v>
      </c>
      <c r="D22" s="394" t="s">
        <v>528</v>
      </c>
      <c r="E22" s="393" t="s">
        <v>245</v>
      </c>
      <c r="F22" s="395" t="s">
        <v>558</v>
      </c>
      <c r="G22" s="396"/>
      <c r="H22" s="415" t="s">
        <v>229</v>
      </c>
      <c r="I22" s="412"/>
      <c r="J22" s="412" t="str">
        <f>IF(Table2[[#This Row],[Time]]="","",Table2[[#This Row],[Time]])</f>
        <v>Tue 8:30pm</v>
      </c>
      <c r="K22" s="413"/>
      <c r="L22" s="413"/>
    </row>
    <row r="23" spans="1:13" x14ac:dyDescent="0.25">
      <c r="B23" s="393" t="s">
        <v>30</v>
      </c>
      <c r="C23" s="393" t="s">
        <v>542</v>
      </c>
      <c r="D23" s="394" t="s">
        <v>535</v>
      </c>
      <c r="E23" s="393" t="s">
        <v>70</v>
      </c>
      <c r="F23" s="395" t="s">
        <v>543</v>
      </c>
      <c r="G23" s="396"/>
      <c r="H23" s="415" t="s">
        <v>30</v>
      </c>
      <c r="I23" s="393"/>
      <c r="J23" s="412" t="str">
        <f>IF(Table2[[#This Row],[Time]]="","",Table2[[#This Row],[Time]])</f>
        <v>Wed 12:00pm</v>
      </c>
      <c r="K23" s="393"/>
      <c r="L23" s="395"/>
    </row>
    <row r="24" spans="1:13" x14ac:dyDescent="0.25">
      <c r="B24" s="393" t="s">
        <v>29</v>
      </c>
      <c r="C24" s="393" t="s">
        <v>570</v>
      </c>
      <c r="D24" s="394" t="s">
        <v>536</v>
      </c>
      <c r="E24" s="393" t="s">
        <v>52</v>
      </c>
      <c r="F24" s="395" t="s">
        <v>557</v>
      </c>
      <c r="G24" s="396"/>
      <c r="H24" s="414" t="s">
        <v>29</v>
      </c>
      <c r="I24" s="410"/>
      <c r="J24" s="412" t="str">
        <f>IF(Table2[[#This Row],[Time]]="","",Table2[[#This Row],[Time]])</f>
        <v>Wed 6:00pm</v>
      </c>
      <c r="K24" s="411"/>
      <c r="L24" s="411"/>
    </row>
    <row r="25" spans="1:13" hidden="1" x14ac:dyDescent="0.25">
      <c r="B25" s="393"/>
      <c r="C25" s="393"/>
      <c r="D25" s="394"/>
      <c r="E25" s="393"/>
      <c r="F25" s="395"/>
      <c r="G25" s="396"/>
      <c r="H25" s="415"/>
      <c r="I25" s="412"/>
      <c r="J25" s="412" t="str">
        <f>IF(Table2[[#This Row],[Time]]="","",Table2[[#This Row],[Time]])</f>
        <v/>
      </c>
      <c r="K25" s="413"/>
      <c r="L25" s="413"/>
    </row>
    <row r="26" spans="1:13" hidden="1" x14ac:dyDescent="0.25">
      <c r="B26" s="393"/>
      <c r="C26" s="393"/>
      <c r="D26" s="394"/>
      <c r="E26" s="393"/>
      <c r="F26" s="395"/>
      <c r="G26" s="396"/>
      <c r="H26" s="416"/>
      <c r="I26" s="410"/>
      <c r="J26" s="412" t="str">
        <f>IF(Table2[[#This Row],[Time]]="","",Table2[[#This Row],[Time]])</f>
        <v/>
      </c>
      <c r="K26" s="411"/>
      <c r="L26" s="411"/>
    </row>
    <row r="27" spans="1:13" hidden="1" x14ac:dyDescent="0.25">
      <c r="B27" s="393"/>
      <c r="C27" s="393"/>
      <c r="D27" s="394"/>
      <c r="E27" s="393"/>
      <c r="F27" s="395"/>
      <c r="G27" s="396"/>
      <c r="H27" s="417"/>
      <c r="I27" s="412"/>
      <c r="J27" s="412" t="str">
        <f>IF(Table2[[#This Row],[Time]]="","",Table2[[#This Row],[Time]])</f>
        <v/>
      </c>
      <c r="K27" s="413"/>
      <c r="L27" s="413"/>
    </row>
    <row r="28" spans="1:13" hidden="1" x14ac:dyDescent="0.25">
      <c r="B28" s="393"/>
      <c r="C28" s="393"/>
      <c r="D28" s="394"/>
      <c r="E28" s="393"/>
      <c r="F28" s="395"/>
      <c r="G28" s="396"/>
      <c r="H28" s="416"/>
      <c r="I28" s="410"/>
      <c r="J28" s="412" t="str">
        <f>IF(Table2[[#This Row],[Time]]="","",Table2[[#This Row],[Time]])</f>
        <v/>
      </c>
      <c r="K28" s="411"/>
      <c r="L28" s="411"/>
    </row>
    <row r="29" spans="1:13" hidden="1" x14ac:dyDescent="0.25">
      <c r="B29" s="393"/>
      <c r="C29" s="393"/>
      <c r="D29" s="394"/>
      <c r="E29" s="393"/>
      <c r="F29" s="395"/>
      <c r="G29" s="396"/>
      <c r="H29" s="417"/>
      <c r="I29" s="412"/>
      <c r="J29" s="412" t="str">
        <f>IF(Table2[[#This Row],[Time]]="","",Table2[[#This Row],[Time]])</f>
        <v/>
      </c>
      <c r="K29" s="413"/>
      <c r="L29" s="413"/>
    </row>
    <row r="30" spans="1:13" hidden="1" x14ac:dyDescent="0.25">
      <c r="B30" s="393"/>
      <c r="C30" s="393"/>
      <c r="D30" s="394"/>
      <c r="E30" s="393"/>
      <c r="F30" s="395"/>
      <c r="G30" s="396"/>
      <c r="H30" s="416"/>
      <c r="I30" s="410"/>
      <c r="J30" s="412" t="str">
        <f>IF(Table2[[#This Row],[Time]]="","",Table2[[#This Row],[Time]])</f>
        <v/>
      </c>
      <c r="K30" s="411"/>
      <c r="L30" s="411"/>
    </row>
    <row r="31" spans="1:13" hidden="1" x14ac:dyDescent="0.25">
      <c r="B31" s="393"/>
      <c r="C31" s="393"/>
      <c r="D31" s="394"/>
      <c r="E31" s="393"/>
      <c r="F31" s="395"/>
      <c r="G31" s="396"/>
      <c r="H31" s="417"/>
      <c r="I31" s="412"/>
      <c r="J31" s="412" t="str">
        <f>IF(Table2[[#This Row],[Time]]="","",Table2[[#This Row],[Time]])</f>
        <v/>
      </c>
      <c r="K31" s="413"/>
      <c r="L31" s="413"/>
    </row>
    <row r="32" spans="1:13" s="148" customFormat="1" hidden="1" x14ac:dyDescent="0.25">
      <c r="A32" s="400"/>
      <c r="B32" s="393"/>
      <c r="C32" s="393"/>
      <c r="D32" s="394"/>
      <c r="E32" s="393"/>
      <c r="F32" s="401"/>
      <c r="G32" s="402"/>
      <c r="H32" s="403"/>
      <c r="I32" s="401" t="s">
        <v>228</v>
      </c>
      <c r="J32" s="401" t="s">
        <v>228</v>
      </c>
      <c r="K32" s="398"/>
      <c r="L32" s="404"/>
      <c r="M32" s="400"/>
    </row>
    <row r="33" spans="1:13" s="148" customFormat="1" hidden="1" x14ac:dyDescent="0.25">
      <c r="A33" s="400"/>
      <c r="B33" s="393"/>
      <c r="C33" s="393"/>
      <c r="D33" s="394"/>
      <c r="E33" s="393"/>
      <c r="F33" s="401"/>
      <c r="G33" s="402"/>
      <c r="H33" s="403"/>
      <c r="I33" s="401" t="s">
        <v>228</v>
      </c>
      <c r="J33" s="401" t="s">
        <v>228</v>
      </c>
      <c r="K33" s="398"/>
      <c r="L33" s="404"/>
      <c r="M33" s="400"/>
    </row>
    <row r="34" spans="1:13" s="148" customFormat="1" hidden="1" x14ac:dyDescent="0.25">
      <c r="A34" s="400"/>
      <c r="B34" s="393"/>
      <c r="C34" s="393"/>
      <c r="D34" s="394"/>
      <c r="E34" s="393"/>
      <c r="F34" s="401"/>
      <c r="G34" s="402"/>
      <c r="H34" s="403"/>
      <c r="I34" s="401" t="s">
        <v>228</v>
      </c>
      <c r="J34" s="401" t="s">
        <v>228</v>
      </c>
      <c r="K34" s="398"/>
      <c r="L34" s="404"/>
      <c r="M34" s="400"/>
    </row>
    <row r="35" spans="1:13" s="148" customFormat="1" hidden="1" x14ac:dyDescent="0.25">
      <c r="A35" s="400"/>
      <c r="B35" s="393"/>
      <c r="C35" s="393"/>
      <c r="D35" s="394"/>
      <c r="E35" s="393"/>
      <c r="F35" s="401"/>
      <c r="G35" s="402"/>
      <c r="H35" s="403"/>
      <c r="I35" s="401" t="s">
        <v>228</v>
      </c>
      <c r="J35" s="401" t="s">
        <v>228</v>
      </c>
      <c r="K35" s="398"/>
      <c r="L35" s="404"/>
      <c r="M35" s="400"/>
    </row>
    <row r="36" spans="1:13" s="148" customFormat="1" hidden="1" x14ac:dyDescent="0.25">
      <c r="A36" s="400"/>
      <c r="B36" s="393"/>
      <c r="C36" s="393"/>
      <c r="D36" s="394"/>
      <c r="E36" s="393"/>
      <c r="F36" s="401"/>
      <c r="G36" s="402"/>
      <c r="H36" s="403"/>
      <c r="I36" s="401" t="s">
        <v>228</v>
      </c>
      <c r="J36" s="401" t="s">
        <v>228</v>
      </c>
      <c r="K36" s="398"/>
      <c r="L36" s="404"/>
      <c r="M36" s="400"/>
    </row>
    <row r="37" spans="1:13" s="148" customFormat="1" hidden="1" x14ac:dyDescent="0.25">
      <c r="A37" s="400"/>
      <c r="B37" s="393"/>
      <c r="C37" s="393"/>
      <c r="D37" s="394"/>
      <c r="E37" s="393"/>
      <c r="F37" s="401"/>
      <c r="G37" s="402"/>
      <c r="H37" s="403"/>
      <c r="I37" s="401" t="s">
        <v>228</v>
      </c>
      <c r="J37" s="401" t="s">
        <v>228</v>
      </c>
      <c r="K37" s="398"/>
      <c r="L37" s="404"/>
      <c r="M37" s="400"/>
    </row>
    <row r="38" spans="1:13" s="148" customFormat="1" hidden="1" x14ac:dyDescent="0.25">
      <c r="A38" s="400"/>
      <c r="B38" s="393"/>
      <c r="C38" s="393"/>
      <c r="D38" s="394"/>
      <c r="E38" s="393"/>
      <c r="F38" s="401"/>
      <c r="G38" s="402"/>
      <c r="H38" s="403"/>
      <c r="I38" s="401" t="s">
        <v>228</v>
      </c>
      <c r="J38" s="401" t="s">
        <v>228</v>
      </c>
      <c r="K38" s="398"/>
      <c r="L38" s="404"/>
      <c r="M38" s="400"/>
    </row>
    <row r="39" spans="1:13" s="148" customFormat="1" hidden="1" x14ac:dyDescent="0.25">
      <c r="A39" s="400"/>
      <c r="B39" s="393"/>
      <c r="C39" s="393"/>
      <c r="D39" s="394"/>
      <c r="E39" s="393"/>
      <c r="F39" s="401"/>
      <c r="G39" s="402"/>
      <c r="H39" s="403"/>
      <c r="I39" s="401" t="s">
        <v>228</v>
      </c>
      <c r="J39" s="401" t="s">
        <v>228</v>
      </c>
      <c r="K39" s="398"/>
      <c r="L39" s="404"/>
      <c r="M39" s="400"/>
    </row>
    <row r="40" spans="1:13" s="148" customFormat="1" hidden="1" x14ac:dyDescent="0.25">
      <c r="A40" s="400"/>
      <c r="B40" s="393"/>
      <c r="C40" s="393"/>
      <c r="D40" s="394"/>
      <c r="E40" s="393"/>
      <c r="F40" s="401"/>
      <c r="G40" s="402"/>
      <c r="H40" s="403"/>
      <c r="I40" s="401" t="s">
        <v>228</v>
      </c>
      <c r="J40" s="401" t="s">
        <v>228</v>
      </c>
      <c r="K40" s="398"/>
      <c r="L40" s="404"/>
      <c r="M40" s="400"/>
    </row>
    <row r="41" spans="1:13" s="148" customFormat="1" hidden="1" x14ac:dyDescent="0.25">
      <c r="A41" s="400"/>
      <c r="B41" s="393"/>
      <c r="C41" s="393"/>
      <c r="D41" s="394"/>
      <c r="E41" s="393"/>
      <c r="F41" s="401"/>
      <c r="G41" s="402"/>
      <c r="H41" s="403"/>
      <c r="I41" s="401" t="s">
        <v>228</v>
      </c>
      <c r="J41" s="401" t="s">
        <v>228</v>
      </c>
      <c r="K41" s="398"/>
      <c r="L41" s="404"/>
      <c r="M41" s="400"/>
    </row>
    <row r="42" spans="1:13" s="148" customFormat="1" hidden="1" x14ac:dyDescent="0.25">
      <c r="A42" s="400"/>
      <c r="B42" s="393"/>
      <c r="C42" s="393"/>
      <c r="D42" s="394"/>
      <c r="E42" s="393"/>
      <c r="F42" s="401"/>
      <c r="G42" s="402"/>
      <c r="H42" s="403"/>
      <c r="I42" s="401" t="s">
        <v>228</v>
      </c>
      <c r="J42" s="401" t="s">
        <v>228</v>
      </c>
      <c r="K42" s="398"/>
      <c r="L42" s="404"/>
      <c r="M42" s="400"/>
    </row>
    <row r="43" spans="1:13" s="148" customFormat="1" hidden="1" x14ac:dyDescent="0.25">
      <c r="A43" s="400"/>
      <c r="B43" s="393"/>
      <c r="C43" s="393"/>
      <c r="D43" s="394"/>
      <c r="E43" s="393"/>
      <c r="F43" s="401"/>
      <c r="G43" s="402"/>
      <c r="H43" s="403"/>
      <c r="I43" s="401" t="s">
        <v>228</v>
      </c>
      <c r="J43" s="401" t="s">
        <v>228</v>
      </c>
      <c r="K43" s="398"/>
      <c r="L43" s="404"/>
      <c r="M43" s="400"/>
    </row>
    <row r="44" spans="1:13" s="148" customFormat="1" hidden="1" x14ac:dyDescent="0.25">
      <c r="A44" s="400"/>
      <c r="B44" s="393"/>
      <c r="C44" s="393"/>
      <c r="D44" s="394"/>
      <c r="E44" s="393"/>
      <c r="F44" s="401"/>
      <c r="G44" s="402"/>
      <c r="H44" s="403"/>
      <c r="I44" s="401" t="s">
        <v>228</v>
      </c>
      <c r="J44" s="401" t="s">
        <v>228</v>
      </c>
      <c r="K44" s="398"/>
      <c r="L44" s="404"/>
      <c r="M44" s="400"/>
    </row>
    <row r="45" spans="1:13" s="148" customFormat="1" hidden="1" x14ac:dyDescent="0.25">
      <c r="A45" s="400"/>
      <c r="B45" s="393"/>
      <c r="C45" s="393"/>
      <c r="D45" s="394"/>
      <c r="E45" s="393"/>
      <c r="F45" s="401"/>
      <c r="G45" s="402"/>
      <c r="H45" s="403"/>
      <c r="I45" s="401" t="s">
        <v>228</v>
      </c>
      <c r="J45" s="401" t="s">
        <v>228</v>
      </c>
      <c r="K45" s="398"/>
      <c r="L45" s="404"/>
      <c r="M45" s="400"/>
    </row>
    <row r="46" spans="1:13" s="148" customFormat="1" hidden="1" x14ac:dyDescent="0.25">
      <c r="A46" s="400"/>
      <c r="B46" s="393"/>
      <c r="C46" s="393"/>
      <c r="D46" s="394"/>
      <c r="E46" s="393"/>
      <c r="F46" s="401"/>
      <c r="G46" s="402"/>
      <c r="H46" s="403"/>
      <c r="I46" s="401" t="s">
        <v>228</v>
      </c>
      <c r="J46" s="401" t="s">
        <v>228</v>
      </c>
      <c r="K46" s="398"/>
      <c r="L46" s="404"/>
      <c r="M46" s="400"/>
    </row>
    <row r="47" spans="1:13" s="148" customFormat="1" hidden="1" x14ac:dyDescent="0.25">
      <c r="A47" s="400"/>
      <c r="B47" s="393"/>
      <c r="C47" s="393"/>
      <c r="D47" s="394"/>
      <c r="E47" s="393"/>
      <c r="F47" s="401"/>
      <c r="G47" s="402"/>
      <c r="H47" s="403"/>
      <c r="I47" s="401" t="s">
        <v>228</v>
      </c>
      <c r="J47" s="401" t="s">
        <v>228</v>
      </c>
      <c r="K47" s="398"/>
      <c r="L47" s="404"/>
      <c r="M47" s="400"/>
    </row>
    <row r="48" spans="1:13" s="148" customFormat="1" hidden="1" x14ac:dyDescent="0.25">
      <c r="A48" s="400"/>
      <c r="B48" s="393"/>
      <c r="C48" s="393"/>
      <c r="D48" s="394"/>
      <c r="E48" s="393"/>
      <c r="F48" s="401"/>
      <c r="G48" s="402"/>
      <c r="H48" s="403"/>
      <c r="I48" s="401" t="s">
        <v>228</v>
      </c>
      <c r="J48" s="401" t="s">
        <v>228</v>
      </c>
      <c r="K48" s="398"/>
      <c r="L48" s="404"/>
      <c r="M48" s="400"/>
    </row>
    <row r="49" spans="1:13" s="148" customFormat="1" hidden="1" x14ac:dyDescent="0.25">
      <c r="A49" s="400"/>
      <c r="B49" s="393"/>
      <c r="C49" s="393"/>
      <c r="D49" s="394"/>
      <c r="E49" s="393"/>
      <c r="F49" s="401"/>
      <c r="G49" s="402"/>
      <c r="H49" s="403"/>
      <c r="I49" s="401" t="s">
        <v>228</v>
      </c>
      <c r="J49" s="401" t="s">
        <v>228</v>
      </c>
      <c r="K49" s="398"/>
      <c r="L49" s="404"/>
      <c r="M49" s="400"/>
    </row>
    <row r="50" spans="1:13" s="148" customFormat="1" hidden="1" x14ac:dyDescent="0.25">
      <c r="A50" s="400"/>
      <c r="B50" s="393"/>
      <c r="C50" s="393"/>
      <c r="D50" s="394"/>
      <c r="E50" s="393"/>
      <c r="F50" s="401"/>
      <c r="G50" s="402"/>
      <c r="H50" s="403"/>
      <c r="I50" s="401" t="s">
        <v>228</v>
      </c>
      <c r="J50" s="401" t="s">
        <v>228</v>
      </c>
      <c r="K50" s="398"/>
      <c r="L50" s="404"/>
      <c r="M50" s="400"/>
    </row>
    <row r="51" spans="1:13" s="148" customFormat="1" hidden="1" x14ac:dyDescent="0.25">
      <c r="A51" s="400"/>
      <c r="B51" s="393"/>
      <c r="C51" s="393"/>
      <c r="D51" s="394"/>
      <c r="E51" s="393"/>
      <c r="F51" s="401"/>
      <c r="G51" s="402"/>
      <c r="H51" s="403"/>
      <c r="I51" s="401" t="s">
        <v>228</v>
      </c>
      <c r="J51" s="401" t="s">
        <v>228</v>
      </c>
      <c r="K51" s="398"/>
      <c r="L51" s="404"/>
      <c r="M51" s="400"/>
    </row>
    <row r="52" spans="1:13" s="148" customFormat="1" hidden="1" x14ac:dyDescent="0.25">
      <c r="A52" s="400"/>
      <c r="B52" s="393"/>
      <c r="C52" s="393"/>
      <c r="D52" s="394"/>
      <c r="E52" s="393"/>
      <c r="F52" s="401"/>
      <c r="G52" s="402"/>
      <c r="H52" s="403"/>
      <c r="I52" s="401" t="s">
        <v>228</v>
      </c>
      <c r="J52" s="401" t="s">
        <v>228</v>
      </c>
      <c r="K52" s="398"/>
      <c r="L52" s="404"/>
      <c r="M52" s="400"/>
    </row>
    <row r="53" spans="1:13" s="148" customFormat="1" hidden="1" x14ac:dyDescent="0.25">
      <c r="A53" s="400"/>
      <c r="B53" s="393"/>
      <c r="C53" s="393"/>
      <c r="D53" s="394"/>
      <c r="E53" s="393"/>
      <c r="F53" s="401"/>
      <c r="G53" s="402"/>
      <c r="H53" s="403"/>
      <c r="I53" s="401" t="s">
        <v>228</v>
      </c>
      <c r="J53" s="401" t="s">
        <v>228</v>
      </c>
      <c r="K53" s="398"/>
      <c r="L53" s="404"/>
      <c r="M53" s="400"/>
    </row>
    <row r="54" spans="1:13" s="148" customFormat="1" hidden="1" x14ac:dyDescent="0.25">
      <c r="A54" s="400"/>
      <c r="B54" s="393"/>
      <c r="C54" s="393"/>
      <c r="D54" s="394"/>
      <c r="E54" s="393"/>
      <c r="F54" s="401"/>
      <c r="G54" s="402"/>
      <c r="H54" s="403"/>
      <c r="I54" s="401" t="s">
        <v>228</v>
      </c>
      <c r="J54" s="401" t="s">
        <v>228</v>
      </c>
      <c r="K54" s="398"/>
      <c r="L54" s="404"/>
      <c r="M54" s="400"/>
    </row>
    <row r="55" spans="1:13" s="148" customFormat="1" hidden="1" x14ac:dyDescent="0.25">
      <c r="A55" s="400"/>
      <c r="B55" s="393"/>
      <c r="C55" s="393"/>
      <c r="D55" s="394"/>
      <c r="E55" s="393"/>
      <c r="F55" s="401"/>
      <c r="G55" s="402"/>
      <c r="H55" s="403"/>
      <c r="I55" s="401" t="s">
        <v>228</v>
      </c>
      <c r="J55" s="401" t="s">
        <v>228</v>
      </c>
      <c r="K55" s="398"/>
      <c r="L55" s="404"/>
      <c r="M55" s="400"/>
    </row>
    <row r="56" spans="1:13" s="148" customFormat="1" hidden="1" x14ac:dyDescent="0.25">
      <c r="A56" s="400"/>
      <c r="B56" s="393"/>
      <c r="C56" s="393"/>
      <c r="D56" s="394"/>
      <c r="E56" s="393"/>
      <c r="F56" s="401"/>
      <c r="G56" s="402"/>
      <c r="H56" s="403"/>
      <c r="I56" s="401" t="s">
        <v>228</v>
      </c>
      <c r="J56" s="401" t="s">
        <v>228</v>
      </c>
      <c r="K56" s="398"/>
      <c r="L56" s="404"/>
      <c r="M56" s="400"/>
    </row>
    <row r="57" spans="1:13" s="148" customFormat="1" hidden="1" x14ac:dyDescent="0.25">
      <c r="A57" s="400"/>
      <c r="B57" s="393"/>
      <c r="C57" s="393"/>
      <c r="D57" s="394"/>
      <c r="E57" s="393"/>
      <c r="F57" s="401"/>
      <c r="G57" s="402"/>
      <c r="H57" s="403"/>
      <c r="I57" s="401" t="s">
        <v>228</v>
      </c>
      <c r="J57" s="401" t="s">
        <v>228</v>
      </c>
      <c r="K57" s="398"/>
      <c r="L57" s="404"/>
      <c r="M57" s="400"/>
    </row>
    <row r="58" spans="1:13" s="148" customFormat="1" hidden="1" x14ac:dyDescent="0.25">
      <c r="A58" s="400"/>
      <c r="B58" s="393"/>
      <c r="C58" s="393"/>
      <c r="D58" s="394"/>
      <c r="E58" s="393"/>
      <c r="F58" s="401"/>
      <c r="G58" s="402"/>
      <c r="H58" s="403"/>
      <c r="I58" s="401" t="s">
        <v>228</v>
      </c>
      <c r="J58" s="401" t="s">
        <v>228</v>
      </c>
      <c r="K58" s="398"/>
      <c r="L58" s="404"/>
      <c r="M58" s="400"/>
    </row>
    <row r="59" spans="1:13" s="148" customFormat="1" hidden="1" x14ac:dyDescent="0.25">
      <c r="A59" s="400"/>
      <c r="B59" s="393"/>
      <c r="C59" s="393"/>
      <c r="D59" s="394"/>
      <c r="E59" s="393"/>
      <c r="F59" s="401"/>
      <c r="G59" s="402"/>
      <c r="H59" s="403"/>
      <c r="I59" s="401" t="s">
        <v>228</v>
      </c>
      <c r="J59" s="401" t="s">
        <v>228</v>
      </c>
      <c r="K59" s="398"/>
      <c r="L59" s="404"/>
      <c r="M59" s="400"/>
    </row>
    <row r="60" spans="1:13" s="148" customFormat="1" hidden="1" x14ac:dyDescent="0.25">
      <c r="A60" s="400"/>
      <c r="B60" s="393"/>
      <c r="C60" s="393"/>
      <c r="D60" s="394"/>
      <c r="E60" s="393"/>
      <c r="F60" s="401"/>
      <c r="G60" s="402"/>
      <c r="H60" s="403"/>
      <c r="I60" s="401" t="s">
        <v>228</v>
      </c>
      <c r="J60" s="401" t="s">
        <v>228</v>
      </c>
      <c r="K60" s="398"/>
      <c r="L60" s="404"/>
      <c r="M60" s="400"/>
    </row>
    <row r="61" spans="1:13" s="148" customFormat="1" hidden="1" x14ac:dyDescent="0.25">
      <c r="A61" s="400"/>
      <c r="B61" s="393"/>
      <c r="C61" s="393"/>
      <c r="D61" s="394"/>
      <c r="E61" s="393"/>
      <c r="F61" s="401"/>
      <c r="G61" s="402"/>
      <c r="H61" s="403"/>
      <c r="I61" s="401" t="s">
        <v>228</v>
      </c>
      <c r="J61" s="401" t="s">
        <v>228</v>
      </c>
      <c r="K61" s="398"/>
      <c r="L61" s="404"/>
      <c r="M61" s="400"/>
    </row>
    <row r="62" spans="1:13" s="148" customFormat="1" hidden="1" x14ac:dyDescent="0.25">
      <c r="A62" s="400"/>
      <c r="B62" s="393"/>
      <c r="C62" s="393"/>
      <c r="D62" s="394"/>
      <c r="E62" s="393"/>
      <c r="F62" s="401"/>
      <c r="G62" s="402"/>
      <c r="H62" s="403"/>
      <c r="I62" s="401" t="s">
        <v>228</v>
      </c>
      <c r="J62" s="401" t="s">
        <v>228</v>
      </c>
      <c r="K62" s="398"/>
      <c r="L62" s="404"/>
      <c r="M62" s="400"/>
    </row>
    <row r="63" spans="1:13" s="148" customFormat="1" hidden="1" x14ac:dyDescent="0.25">
      <c r="A63" s="400"/>
      <c r="B63" s="393"/>
      <c r="C63" s="393"/>
      <c r="D63" s="394"/>
      <c r="E63" s="393"/>
      <c r="F63" s="401"/>
      <c r="G63" s="402"/>
      <c r="H63" s="403"/>
      <c r="I63" s="401" t="s">
        <v>228</v>
      </c>
      <c r="J63" s="401" t="s">
        <v>228</v>
      </c>
      <c r="K63" s="398"/>
      <c r="L63" s="404"/>
      <c r="M63" s="400"/>
    </row>
    <row r="64" spans="1:13" s="148" customFormat="1" hidden="1" x14ac:dyDescent="0.25">
      <c r="A64" s="400"/>
      <c r="B64" s="393"/>
      <c r="C64" s="393"/>
      <c r="D64" s="394"/>
      <c r="E64" s="393"/>
      <c r="F64" s="401"/>
      <c r="G64" s="402"/>
      <c r="H64" s="403"/>
      <c r="I64" s="401" t="s">
        <v>228</v>
      </c>
      <c r="J64" s="401" t="s">
        <v>228</v>
      </c>
      <c r="K64" s="398"/>
      <c r="L64" s="404"/>
      <c r="M64" s="400"/>
    </row>
    <row r="65" spans="1:13" s="148" customFormat="1" hidden="1" x14ac:dyDescent="0.25">
      <c r="A65" s="400"/>
      <c r="B65" s="393"/>
      <c r="C65" s="393"/>
      <c r="D65" s="394"/>
      <c r="E65" s="393"/>
      <c r="F65" s="401"/>
      <c r="G65" s="402"/>
      <c r="H65" s="403"/>
      <c r="I65" s="401" t="s">
        <v>228</v>
      </c>
      <c r="J65" s="401" t="s">
        <v>228</v>
      </c>
      <c r="K65" s="398"/>
      <c r="L65" s="404"/>
      <c r="M65" s="400"/>
    </row>
    <row r="66" spans="1:13" s="148" customFormat="1" hidden="1" x14ac:dyDescent="0.25">
      <c r="A66" s="400"/>
      <c r="B66" s="393"/>
      <c r="C66" s="393"/>
      <c r="D66" s="394"/>
      <c r="E66" s="393"/>
      <c r="F66" s="401"/>
      <c r="G66" s="402"/>
      <c r="H66" s="403"/>
      <c r="I66" s="401" t="s">
        <v>228</v>
      </c>
      <c r="J66" s="401" t="s">
        <v>228</v>
      </c>
      <c r="K66" s="398"/>
      <c r="L66" s="404"/>
      <c r="M66" s="400"/>
    </row>
    <row r="67" spans="1:13" s="148" customFormat="1" hidden="1" x14ac:dyDescent="0.25">
      <c r="A67" s="400"/>
      <c r="B67" s="393"/>
      <c r="C67" s="393"/>
      <c r="D67" s="394"/>
      <c r="E67" s="393"/>
      <c r="F67" s="401"/>
      <c r="G67" s="402"/>
      <c r="H67" s="403"/>
      <c r="I67" s="401" t="s">
        <v>228</v>
      </c>
      <c r="J67" s="401" t="s">
        <v>228</v>
      </c>
      <c r="K67" s="398"/>
      <c r="L67" s="404"/>
      <c r="M67" s="400"/>
    </row>
    <row r="68" spans="1:13" s="148" customFormat="1" hidden="1" x14ac:dyDescent="0.25">
      <c r="A68" s="400"/>
      <c r="B68" s="393"/>
      <c r="C68" s="393"/>
      <c r="D68" s="394"/>
      <c r="E68" s="393"/>
      <c r="F68" s="401"/>
      <c r="G68" s="402"/>
      <c r="H68" s="403"/>
      <c r="I68" s="401" t="s">
        <v>228</v>
      </c>
      <c r="J68" s="401" t="s">
        <v>228</v>
      </c>
      <c r="K68" s="398"/>
      <c r="L68" s="404"/>
      <c r="M68" s="400"/>
    </row>
    <row r="69" spans="1:13" s="148" customFormat="1" hidden="1" x14ac:dyDescent="0.25">
      <c r="A69" s="400"/>
      <c r="B69" s="393"/>
      <c r="C69" s="393"/>
      <c r="D69" s="394"/>
      <c r="E69" s="393"/>
      <c r="F69" s="401"/>
      <c r="G69" s="402"/>
      <c r="H69" s="403"/>
      <c r="I69" s="401" t="s">
        <v>228</v>
      </c>
      <c r="J69" s="401" t="s">
        <v>228</v>
      </c>
      <c r="K69" s="398"/>
      <c r="L69" s="404"/>
      <c r="M69" s="400"/>
    </row>
    <row r="70" spans="1:13" s="148" customFormat="1" hidden="1" x14ac:dyDescent="0.25">
      <c r="A70" s="400"/>
      <c r="B70" s="393"/>
      <c r="C70" s="393"/>
      <c r="D70" s="394"/>
      <c r="E70" s="393"/>
      <c r="F70" s="401"/>
      <c r="G70" s="402"/>
      <c r="H70" s="403"/>
      <c r="I70" s="401" t="s">
        <v>228</v>
      </c>
      <c r="J70" s="401" t="s">
        <v>228</v>
      </c>
      <c r="K70" s="398"/>
      <c r="L70" s="404"/>
      <c r="M70" s="400"/>
    </row>
    <row r="71" spans="1:13" s="148" customFormat="1" hidden="1" x14ac:dyDescent="0.25">
      <c r="A71" s="400"/>
      <c r="B71" s="393"/>
      <c r="C71" s="393"/>
      <c r="D71" s="394"/>
      <c r="E71" s="393"/>
      <c r="F71" s="401"/>
      <c r="G71" s="402"/>
      <c r="H71" s="403"/>
      <c r="I71" s="401" t="s">
        <v>228</v>
      </c>
      <c r="J71" s="401" t="s">
        <v>228</v>
      </c>
      <c r="K71" s="398"/>
      <c r="L71" s="404"/>
      <c r="M71" s="400"/>
    </row>
    <row r="72" spans="1:13" s="148" customFormat="1" hidden="1" x14ac:dyDescent="0.25">
      <c r="A72" s="400"/>
      <c r="B72" s="393"/>
      <c r="C72" s="393"/>
      <c r="D72" s="394"/>
      <c r="E72" s="393"/>
      <c r="F72" s="401"/>
      <c r="G72" s="402"/>
      <c r="H72" s="403"/>
      <c r="I72" s="401" t="s">
        <v>228</v>
      </c>
      <c r="J72" s="401" t="s">
        <v>228</v>
      </c>
      <c r="K72" s="398"/>
      <c r="L72" s="404"/>
      <c r="M72" s="400"/>
    </row>
    <row r="73" spans="1:13" s="148" customFormat="1" hidden="1" x14ac:dyDescent="0.25">
      <c r="A73" s="400"/>
      <c r="B73" s="393"/>
      <c r="C73" s="393"/>
      <c r="D73" s="394"/>
      <c r="E73" s="393"/>
      <c r="F73" s="401"/>
      <c r="G73" s="402"/>
      <c r="H73" s="403"/>
      <c r="I73" s="401" t="s">
        <v>228</v>
      </c>
      <c r="J73" s="401" t="s">
        <v>228</v>
      </c>
      <c r="K73" s="398"/>
      <c r="L73" s="404"/>
      <c r="M73" s="400"/>
    </row>
    <row r="74" spans="1:13" s="148" customFormat="1" hidden="1" x14ac:dyDescent="0.25">
      <c r="A74" s="400"/>
      <c r="B74" s="393"/>
      <c r="C74" s="393"/>
      <c r="D74" s="394"/>
      <c r="E74" s="393"/>
      <c r="F74" s="401"/>
      <c r="G74" s="402"/>
      <c r="H74" s="403"/>
      <c r="I74" s="401" t="s">
        <v>228</v>
      </c>
      <c r="J74" s="401" t="s">
        <v>228</v>
      </c>
      <c r="K74" s="398"/>
      <c r="L74" s="404"/>
      <c r="M74" s="400"/>
    </row>
    <row r="75" spans="1:13" s="148" customFormat="1" hidden="1" x14ac:dyDescent="0.25">
      <c r="A75" s="400"/>
      <c r="B75" s="393"/>
      <c r="C75" s="393"/>
      <c r="D75" s="394"/>
      <c r="E75" s="393"/>
      <c r="F75" s="401"/>
      <c r="G75" s="402"/>
      <c r="H75" s="403"/>
      <c r="I75" s="401" t="s">
        <v>228</v>
      </c>
      <c r="J75" s="401" t="s">
        <v>228</v>
      </c>
      <c r="K75" s="398"/>
      <c r="L75" s="404"/>
      <c r="M75" s="400"/>
    </row>
    <row r="76" spans="1:13" s="148" customFormat="1" hidden="1" x14ac:dyDescent="0.25">
      <c r="A76" s="400"/>
      <c r="B76" s="393"/>
      <c r="C76" s="393"/>
      <c r="D76" s="394"/>
      <c r="E76" s="393"/>
      <c r="F76" s="401"/>
      <c r="G76" s="402"/>
      <c r="H76" s="403"/>
      <c r="I76" s="401" t="s">
        <v>228</v>
      </c>
      <c r="J76" s="401" t="s">
        <v>228</v>
      </c>
      <c r="K76" s="398"/>
      <c r="L76" s="404"/>
      <c r="M76" s="400"/>
    </row>
    <row r="77" spans="1:13" s="148" customFormat="1" hidden="1" x14ac:dyDescent="0.25">
      <c r="A77" s="400"/>
      <c r="B77" s="393"/>
      <c r="C77" s="393"/>
      <c r="D77" s="394"/>
      <c r="E77" s="393"/>
      <c r="F77" s="401"/>
      <c r="G77" s="402"/>
      <c r="H77" s="403"/>
      <c r="I77" s="401" t="s">
        <v>228</v>
      </c>
      <c r="J77" s="401" t="s">
        <v>228</v>
      </c>
      <c r="K77" s="398"/>
      <c r="L77" s="404"/>
      <c r="M77" s="400"/>
    </row>
    <row r="78" spans="1:13" s="148" customFormat="1" hidden="1" x14ac:dyDescent="0.25">
      <c r="A78" s="400"/>
      <c r="B78" s="393"/>
      <c r="C78" s="393"/>
      <c r="D78" s="394"/>
      <c r="E78" s="393"/>
      <c r="F78" s="401"/>
      <c r="G78" s="402"/>
      <c r="H78" s="403"/>
      <c r="I78" s="401" t="s">
        <v>228</v>
      </c>
      <c r="J78" s="401" t="s">
        <v>228</v>
      </c>
      <c r="K78" s="398"/>
      <c r="L78" s="404"/>
      <c r="M78" s="400"/>
    </row>
    <row r="79" spans="1:13" s="148" customFormat="1" hidden="1" x14ac:dyDescent="0.25">
      <c r="A79" s="400"/>
      <c r="B79" s="393"/>
      <c r="C79" s="393"/>
      <c r="D79" s="394"/>
      <c r="E79" s="393"/>
      <c r="F79" s="401"/>
      <c r="G79" s="402"/>
      <c r="H79" s="403"/>
      <c r="I79" s="401" t="s">
        <v>228</v>
      </c>
      <c r="J79" s="401" t="s">
        <v>228</v>
      </c>
      <c r="K79" s="398"/>
      <c r="L79" s="404"/>
      <c r="M79" s="400"/>
    </row>
    <row r="80" spans="1:13" s="148" customFormat="1" hidden="1" x14ac:dyDescent="0.25">
      <c r="A80" s="400"/>
      <c r="B80" s="393"/>
      <c r="C80" s="393"/>
      <c r="D80" s="394"/>
      <c r="E80" s="393"/>
      <c r="F80" s="401"/>
      <c r="G80" s="402"/>
      <c r="H80" s="403"/>
      <c r="I80" s="401" t="s">
        <v>228</v>
      </c>
      <c r="J80" s="401" t="s">
        <v>228</v>
      </c>
      <c r="K80" s="398"/>
      <c r="L80" s="404"/>
      <c r="M80" s="400"/>
    </row>
    <row r="81" spans="1:13" s="148" customFormat="1" hidden="1" x14ac:dyDescent="0.25">
      <c r="A81" s="400"/>
      <c r="B81" s="393"/>
      <c r="C81" s="393"/>
      <c r="D81" s="394"/>
      <c r="E81" s="393"/>
      <c r="F81" s="401"/>
      <c r="G81" s="402"/>
      <c r="H81" s="403"/>
      <c r="I81" s="401" t="s">
        <v>228</v>
      </c>
      <c r="J81" s="401" t="s">
        <v>228</v>
      </c>
      <c r="K81" s="398"/>
      <c r="L81" s="404"/>
      <c r="M81" s="400"/>
    </row>
    <row r="82" spans="1:13" s="148" customFormat="1" hidden="1" x14ac:dyDescent="0.25">
      <c r="A82" s="400"/>
      <c r="B82" s="393"/>
      <c r="C82" s="393"/>
      <c r="D82" s="394"/>
      <c r="E82" s="393"/>
      <c r="F82" s="401"/>
      <c r="G82" s="402"/>
      <c r="H82" s="403"/>
      <c r="I82" s="401" t="s">
        <v>228</v>
      </c>
      <c r="J82" s="401" t="s">
        <v>228</v>
      </c>
      <c r="K82" s="398"/>
      <c r="L82" s="404"/>
      <c r="M82" s="400"/>
    </row>
    <row r="83" spans="1:13" s="148" customFormat="1" hidden="1" x14ac:dyDescent="0.25">
      <c r="A83" s="400"/>
      <c r="B83" s="393"/>
      <c r="C83" s="393"/>
      <c r="D83" s="394"/>
      <c r="E83" s="393"/>
      <c r="F83" s="401"/>
      <c r="G83" s="402"/>
      <c r="H83" s="403"/>
      <c r="I83" s="401" t="s">
        <v>228</v>
      </c>
      <c r="J83" s="401" t="s">
        <v>228</v>
      </c>
      <c r="K83" s="398"/>
      <c r="L83" s="404"/>
      <c r="M83" s="400"/>
    </row>
    <row r="84" spans="1:13" s="148" customFormat="1" hidden="1" x14ac:dyDescent="0.25">
      <c r="A84" s="400"/>
      <c r="B84" s="393"/>
      <c r="C84" s="393"/>
      <c r="D84" s="394"/>
      <c r="E84" s="393"/>
      <c r="F84" s="401"/>
      <c r="G84" s="402"/>
      <c r="H84" s="403"/>
      <c r="I84" s="401" t="s">
        <v>228</v>
      </c>
      <c r="J84" s="401" t="s">
        <v>228</v>
      </c>
      <c r="K84" s="398"/>
      <c r="L84" s="404"/>
      <c r="M84" s="400"/>
    </row>
    <row r="85" spans="1:13" s="148" customFormat="1" hidden="1" x14ac:dyDescent="0.25">
      <c r="A85" s="400"/>
      <c r="B85" s="393"/>
      <c r="C85" s="393"/>
      <c r="D85" s="394"/>
      <c r="E85" s="393"/>
      <c r="F85" s="401"/>
      <c r="G85" s="402"/>
      <c r="H85" s="403"/>
      <c r="I85" s="401" t="s">
        <v>228</v>
      </c>
      <c r="J85" s="401" t="s">
        <v>228</v>
      </c>
      <c r="K85" s="398"/>
      <c r="L85" s="404"/>
      <c r="M85" s="400"/>
    </row>
    <row r="86" spans="1:13" s="148" customFormat="1" hidden="1" x14ac:dyDescent="0.25">
      <c r="A86" s="400"/>
      <c r="B86" s="393"/>
      <c r="C86" s="393"/>
      <c r="D86" s="394"/>
      <c r="E86" s="393"/>
      <c r="F86" s="401"/>
      <c r="G86" s="402"/>
      <c r="H86" s="403"/>
      <c r="I86" s="401" t="s">
        <v>228</v>
      </c>
      <c r="J86" s="401" t="s">
        <v>228</v>
      </c>
      <c r="K86" s="398"/>
      <c r="L86" s="404"/>
      <c r="M86" s="400"/>
    </row>
    <row r="87" spans="1:13" s="148" customFormat="1" hidden="1" x14ac:dyDescent="0.25">
      <c r="A87" s="400"/>
      <c r="B87" s="393"/>
      <c r="C87" s="393"/>
      <c r="D87" s="394"/>
      <c r="E87" s="393"/>
      <c r="F87" s="401"/>
      <c r="G87" s="402"/>
      <c r="H87" s="403"/>
      <c r="I87" s="401" t="s">
        <v>228</v>
      </c>
      <c r="J87" s="401" t="s">
        <v>228</v>
      </c>
      <c r="K87" s="398"/>
      <c r="L87" s="404"/>
      <c r="M87" s="400"/>
    </row>
    <row r="88" spans="1:13" s="148" customFormat="1" hidden="1" x14ac:dyDescent="0.25">
      <c r="A88" s="400"/>
      <c r="B88" s="393"/>
      <c r="C88" s="393"/>
      <c r="D88" s="394"/>
      <c r="E88" s="393"/>
      <c r="F88" s="401"/>
      <c r="G88" s="402"/>
      <c r="H88" s="403"/>
      <c r="I88" s="401" t="s">
        <v>228</v>
      </c>
      <c r="J88" s="401" t="s">
        <v>228</v>
      </c>
      <c r="K88" s="398"/>
      <c r="L88" s="404"/>
      <c r="M88" s="400"/>
    </row>
    <row r="89" spans="1:13" s="148" customFormat="1" hidden="1" x14ac:dyDescent="0.25">
      <c r="A89" s="400"/>
      <c r="B89" s="393"/>
      <c r="C89" s="393"/>
      <c r="D89" s="394"/>
      <c r="E89" s="393"/>
      <c r="F89" s="401"/>
      <c r="G89" s="402"/>
      <c r="H89" s="403"/>
      <c r="I89" s="401" t="s">
        <v>228</v>
      </c>
      <c r="J89" s="401" t="s">
        <v>228</v>
      </c>
      <c r="K89" s="398"/>
      <c r="L89" s="404"/>
      <c r="M89" s="400"/>
    </row>
    <row r="90" spans="1:13" s="148" customFormat="1" hidden="1" x14ac:dyDescent="0.25">
      <c r="A90" s="400"/>
      <c r="B90" s="393"/>
      <c r="C90" s="393"/>
      <c r="D90" s="394"/>
      <c r="E90" s="393"/>
      <c r="F90" s="401"/>
      <c r="G90" s="402"/>
      <c r="H90" s="403"/>
      <c r="I90" s="401" t="s">
        <v>228</v>
      </c>
      <c r="J90" s="401" t="s">
        <v>228</v>
      </c>
      <c r="K90" s="398"/>
      <c r="L90" s="404"/>
      <c r="M90" s="400"/>
    </row>
    <row r="91" spans="1:13" s="148" customFormat="1" hidden="1" x14ac:dyDescent="0.25">
      <c r="A91" s="400"/>
      <c r="B91" s="393"/>
      <c r="C91" s="393"/>
      <c r="D91" s="394"/>
      <c r="E91" s="393"/>
      <c r="F91" s="401"/>
      <c r="G91" s="402"/>
      <c r="H91" s="403"/>
      <c r="I91" s="401" t="s">
        <v>228</v>
      </c>
      <c r="J91" s="401" t="s">
        <v>228</v>
      </c>
      <c r="K91" s="398"/>
      <c r="L91" s="404"/>
      <c r="M91" s="400"/>
    </row>
    <row r="92" spans="1:13" s="148" customFormat="1" hidden="1" x14ac:dyDescent="0.25">
      <c r="A92" s="400"/>
      <c r="B92" s="393"/>
      <c r="C92" s="393"/>
      <c r="D92" s="394"/>
      <c r="E92" s="393"/>
      <c r="F92" s="401"/>
      <c r="G92" s="402"/>
      <c r="H92" s="403"/>
      <c r="I92" s="401" t="s">
        <v>228</v>
      </c>
      <c r="J92" s="401" t="s">
        <v>228</v>
      </c>
      <c r="K92" s="398"/>
      <c r="L92" s="404"/>
      <c r="M92" s="400"/>
    </row>
    <row r="93" spans="1:13" s="148" customFormat="1" hidden="1" x14ac:dyDescent="0.25">
      <c r="A93" s="400"/>
      <c r="B93" s="393"/>
      <c r="C93" s="393"/>
      <c r="D93" s="394"/>
      <c r="E93" s="393"/>
      <c r="F93" s="401"/>
      <c r="G93" s="402"/>
      <c r="H93" s="403"/>
      <c r="I93" s="401" t="s">
        <v>228</v>
      </c>
      <c r="J93" s="401" t="s">
        <v>228</v>
      </c>
      <c r="K93" s="398"/>
      <c r="L93" s="404"/>
      <c r="M93" s="400"/>
    </row>
    <row r="94" spans="1:13" s="148" customFormat="1" hidden="1" x14ac:dyDescent="0.25">
      <c r="A94" s="400"/>
      <c r="B94" s="393"/>
      <c r="C94" s="393"/>
      <c r="D94" s="394"/>
      <c r="E94" s="393"/>
      <c r="F94" s="401"/>
      <c r="G94" s="402"/>
      <c r="H94" s="403"/>
      <c r="I94" s="401" t="s">
        <v>228</v>
      </c>
      <c r="J94" s="401" t="s">
        <v>228</v>
      </c>
      <c r="K94" s="398"/>
      <c r="L94" s="404"/>
      <c r="M94" s="400"/>
    </row>
    <row r="95" spans="1:13" s="148" customFormat="1" hidden="1" x14ac:dyDescent="0.25">
      <c r="A95" s="400"/>
      <c r="B95" s="393"/>
      <c r="C95" s="393"/>
      <c r="D95" s="394"/>
      <c r="E95" s="393"/>
      <c r="F95" s="401"/>
      <c r="G95" s="402"/>
      <c r="H95" s="403"/>
      <c r="I95" s="401" t="s">
        <v>228</v>
      </c>
      <c r="J95" s="401" t="s">
        <v>228</v>
      </c>
      <c r="K95" s="398"/>
      <c r="L95" s="404"/>
      <c r="M95" s="400"/>
    </row>
    <row r="96" spans="1:13" s="148" customFormat="1" hidden="1" x14ac:dyDescent="0.25">
      <c r="A96" s="400"/>
      <c r="B96" s="393"/>
      <c r="C96" s="393"/>
      <c r="D96" s="394"/>
      <c r="E96" s="393"/>
      <c r="F96" s="401"/>
      <c r="G96" s="402"/>
      <c r="H96" s="403"/>
      <c r="I96" s="401" t="s">
        <v>228</v>
      </c>
      <c r="J96" s="401" t="s">
        <v>228</v>
      </c>
      <c r="K96" s="398"/>
      <c r="L96" s="404"/>
      <c r="M96" s="400"/>
    </row>
    <row r="97" spans="1:13" s="148" customFormat="1" hidden="1" x14ac:dyDescent="0.25">
      <c r="A97" s="400"/>
      <c r="B97" s="393"/>
      <c r="C97" s="393"/>
      <c r="D97" s="394"/>
      <c r="E97" s="393"/>
      <c r="F97" s="401"/>
      <c r="G97" s="402"/>
      <c r="H97" s="403"/>
      <c r="I97" s="401" t="s">
        <v>228</v>
      </c>
      <c r="J97" s="401" t="s">
        <v>228</v>
      </c>
      <c r="K97" s="398"/>
      <c r="L97" s="404"/>
      <c r="M97" s="400"/>
    </row>
    <row r="98" spans="1:13" s="148" customFormat="1" hidden="1" x14ac:dyDescent="0.25">
      <c r="A98" s="400"/>
      <c r="B98" s="393"/>
      <c r="C98" s="393"/>
      <c r="D98" s="394"/>
      <c r="E98" s="393"/>
      <c r="F98" s="401"/>
      <c r="G98" s="402"/>
      <c r="H98" s="403"/>
      <c r="I98" s="401" t="s">
        <v>228</v>
      </c>
      <c r="J98" s="401" t="s">
        <v>228</v>
      </c>
      <c r="K98" s="398"/>
      <c r="L98" s="404"/>
      <c r="M98" s="400"/>
    </row>
    <row r="99" spans="1:13" s="148" customFormat="1" hidden="1" x14ac:dyDescent="0.25">
      <c r="A99" s="400"/>
      <c r="B99" s="393"/>
      <c r="C99" s="393"/>
      <c r="D99" s="394"/>
      <c r="E99" s="393"/>
      <c r="F99" s="401"/>
      <c r="G99" s="402"/>
      <c r="H99" s="403"/>
      <c r="I99" s="401" t="s">
        <v>228</v>
      </c>
      <c r="J99" s="401" t="s">
        <v>228</v>
      </c>
      <c r="K99" s="398"/>
      <c r="L99" s="404"/>
      <c r="M99" s="400"/>
    </row>
    <row r="100" spans="1:13" s="148" customFormat="1" hidden="1" x14ac:dyDescent="0.25">
      <c r="A100" s="400"/>
      <c r="B100" s="393"/>
      <c r="C100" s="393"/>
      <c r="D100" s="394"/>
      <c r="E100" s="393"/>
      <c r="F100" s="401"/>
      <c r="G100" s="402"/>
      <c r="H100" s="403"/>
      <c r="I100" s="401" t="s">
        <v>228</v>
      </c>
      <c r="J100" s="401" t="s">
        <v>228</v>
      </c>
      <c r="K100" s="398"/>
      <c r="L100" s="404"/>
      <c r="M100" s="400"/>
    </row>
    <row r="101" spans="1:13" s="148" customFormat="1" hidden="1" x14ac:dyDescent="0.25">
      <c r="A101" s="400"/>
      <c r="B101" s="393"/>
      <c r="C101" s="393"/>
      <c r="D101" s="394"/>
      <c r="E101" s="393"/>
      <c r="F101" s="401"/>
      <c r="G101" s="402"/>
      <c r="H101" s="403"/>
      <c r="I101" s="401" t="s">
        <v>228</v>
      </c>
      <c r="J101" s="401" t="s">
        <v>228</v>
      </c>
      <c r="K101" s="398"/>
      <c r="L101" s="404"/>
      <c r="M101" s="400"/>
    </row>
    <row r="102" spans="1:13" s="148" customFormat="1" hidden="1" x14ac:dyDescent="0.25">
      <c r="A102" s="400"/>
      <c r="B102" s="393"/>
      <c r="C102" s="393"/>
      <c r="D102" s="394"/>
      <c r="E102" s="393"/>
      <c r="F102" s="401"/>
      <c r="G102" s="402"/>
      <c r="H102" s="403"/>
      <c r="I102" s="401" t="s">
        <v>228</v>
      </c>
      <c r="J102" s="401" t="s">
        <v>228</v>
      </c>
      <c r="K102" s="398"/>
      <c r="L102" s="404"/>
      <c r="M102" s="400"/>
    </row>
    <row r="103" spans="1:13" s="148" customFormat="1" hidden="1" x14ac:dyDescent="0.25">
      <c r="A103" s="400"/>
      <c r="B103" s="393"/>
      <c r="C103" s="393"/>
      <c r="D103" s="394"/>
      <c r="E103" s="393"/>
      <c r="F103" s="401"/>
      <c r="G103" s="402"/>
      <c r="H103" s="403"/>
      <c r="I103" s="401" t="s">
        <v>228</v>
      </c>
      <c r="J103" s="401" t="s">
        <v>228</v>
      </c>
      <c r="K103" s="398"/>
      <c r="L103" s="404"/>
      <c r="M103" s="400"/>
    </row>
    <row r="104" spans="1:13" s="148" customFormat="1" hidden="1" x14ac:dyDescent="0.25">
      <c r="A104" s="400"/>
      <c r="B104" s="393"/>
      <c r="C104" s="393"/>
      <c r="D104" s="394"/>
      <c r="E104" s="393"/>
      <c r="F104" s="401"/>
      <c r="G104" s="402"/>
      <c r="H104" s="403"/>
      <c r="I104" s="401" t="s">
        <v>228</v>
      </c>
      <c r="J104" s="401" t="s">
        <v>228</v>
      </c>
      <c r="K104" s="398"/>
      <c r="L104" s="404"/>
      <c r="M104" s="400"/>
    </row>
    <row r="105" spans="1:13" s="148" customFormat="1" hidden="1" x14ac:dyDescent="0.25">
      <c r="A105" s="400"/>
      <c r="B105" s="393"/>
      <c r="C105" s="393"/>
      <c r="D105" s="394"/>
      <c r="E105" s="393"/>
      <c r="F105" s="401"/>
      <c r="G105" s="402"/>
      <c r="H105" s="403"/>
      <c r="I105" s="401" t="s">
        <v>228</v>
      </c>
      <c r="J105" s="401" t="s">
        <v>228</v>
      </c>
      <c r="K105" s="398"/>
      <c r="L105" s="404"/>
      <c r="M105" s="400"/>
    </row>
    <row r="106" spans="1:13" s="148" customFormat="1" hidden="1" x14ac:dyDescent="0.25">
      <c r="A106" s="400"/>
      <c r="B106" s="393"/>
      <c r="C106" s="393"/>
      <c r="D106" s="394"/>
      <c r="E106" s="393"/>
      <c r="F106" s="401"/>
      <c r="G106" s="402"/>
      <c r="H106" s="403"/>
      <c r="I106" s="401" t="s">
        <v>228</v>
      </c>
      <c r="J106" s="401" t="s">
        <v>228</v>
      </c>
      <c r="K106" s="398"/>
      <c r="L106" s="404"/>
      <c r="M106" s="400"/>
    </row>
    <row r="107" spans="1:13" s="148" customFormat="1" hidden="1" x14ac:dyDescent="0.25">
      <c r="A107" s="400"/>
      <c r="B107" s="393"/>
      <c r="C107" s="393"/>
      <c r="D107" s="394"/>
      <c r="E107" s="393"/>
      <c r="F107" s="401"/>
      <c r="G107" s="402"/>
      <c r="H107" s="403"/>
      <c r="I107" s="401" t="s">
        <v>228</v>
      </c>
      <c r="J107" s="401" t="s">
        <v>228</v>
      </c>
      <c r="K107" s="398"/>
      <c r="L107" s="404"/>
      <c r="M107" s="400"/>
    </row>
    <row r="108" spans="1:13" s="148" customFormat="1" hidden="1" x14ac:dyDescent="0.25">
      <c r="A108" s="400"/>
      <c r="B108" s="393"/>
      <c r="C108" s="393"/>
      <c r="D108" s="394"/>
      <c r="E108" s="393"/>
      <c r="F108" s="401"/>
      <c r="G108" s="402"/>
      <c r="H108" s="403"/>
      <c r="I108" s="401" t="s">
        <v>228</v>
      </c>
      <c r="J108" s="401" t="s">
        <v>228</v>
      </c>
      <c r="K108" s="398"/>
      <c r="L108" s="404"/>
      <c r="M108" s="400"/>
    </row>
    <row r="109" spans="1:13" s="148" customFormat="1" hidden="1" x14ac:dyDescent="0.25">
      <c r="A109" s="400"/>
      <c r="B109" s="393"/>
      <c r="C109" s="393"/>
      <c r="D109" s="394"/>
      <c r="E109" s="393"/>
      <c r="F109" s="401"/>
      <c r="G109" s="402"/>
      <c r="H109" s="403"/>
      <c r="I109" s="401" t="s">
        <v>228</v>
      </c>
      <c r="J109" s="401" t="s">
        <v>228</v>
      </c>
      <c r="K109" s="398"/>
      <c r="L109" s="404"/>
      <c r="M109" s="400"/>
    </row>
    <row r="110" spans="1:13" s="148" customFormat="1" hidden="1" x14ac:dyDescent="0.25">
      <c r="A110" s="400"/>
      <c r="B110" s="393"/>
      <c r="C110" s="393"/>
      <c r="D110" s="394"/>
      <c r="E110" s="393"/>
      <c r="F110" s="401"/>
      <c r="G110" s="402"/>
      <c r="H110" s="403"/>
      <c r="I110" s="401" t="s">
        <v>228</v>
      </c>
      <c r="J110" s="401" t="s">
        <v>228</v>
      </c>
      <c r="K110" s="398"/>
      <c r="L110" s="404"/>
      <c r="M110" s="400"/>
    </row>
    <row r="111" spans="1:13" s="148" customFormat="1" hidden="1" x14ac:dyDescent="0.25">
      <c r="A111" s="400"/>
      <c r="B111" s="393"/>
      <c r="C111" s="393"/>
      <c r="D111" s="394"/>
      <c r="E111" s="393"/>
      <c r="F111" s="401"/>
      <c r="G111" s="402"/>
      <c r="H111" s="403"/>
      <c r="I111" s="401" t="s">
        <v>228</v>
      </c>
      <c r="J111" s="401" t="s">
        <v>228</v>
      </c>
      <c r="K111" s="398"/>
      <c r="L111" s="404"/>
      <c r="M111" s="400"/>
    </row>
    <row r="112" spans="1:13" s="148" customFormat="1" hidden="1" x14ac:dyDescent="0.25">
      <c r="A112" s="400"/>
      <c r="B112" s="393"/>
      <c r="C112" s="393"/>
      <c r="D112" s="394"/>
      <c r="E112" s="393"/>
      <c r="F112" s="401"/>
      <c r="G112" s="402"/>
      <c r="H112" s="403"/>
      <c r="I112" s="401" t="s">
        <v>228</v>
      </c>
      <c r="J112" s="401" t="s">
        <v>228</v>
      </c>
      <c r="K112" s="398"/>
      <c r="L112" s="404"/>
      <c r="M112" s="400"/>
    </row>
    <row r="113" spans="1:13" s="148" customFormat="1" hidden="1" x14ac:dyDescent="0.25">
      <c r="A113" s="400"/>
      <c r="B113" s="393"/>
      <c r="C113" s="393"/>
      <c r="D113" s="394"/>
      <c r="E113" s="393"/>
      <c r="F113" s="401"/>
      <c r="G113" s="402"/>
      <c r="H113" s="403"/>
      <c r="I113" s="401" t="s">
        <v>228</v>
      </c>
      <c r="J113" s="401" t="s">
        <v>228</v>
      </c>
      <c r="K113" s="398"/>
      <c r="L113" s="404"/>
      <c r="M113" s="400"/>
    </row>
    <row r="114" spans="1:13" s="148" customFormat="1" hidden="1" x14ac:dyDescent="0.25">
      <c r="A114" s="400"/>
      <c r="B114" s="393"/>
      <c r="C114" s="393"/>
      <c r="D114" s="394"/>
      <c r="E114" s="393"/>
      <c r="F114" s="401"/>
      <c r="G114" s="402"/>
      <c r="H114" s="403"/>
      <c r="I114" s="401" t="s">
        <v>228</v>
      </c>
      <c r="J114" s="401" t="s">
        <v>228</v>
      </c>
      <c r="K114" s="398"/>
      <c r="L114" s="404"/>
      <c r="M114" s="400"/>
    </row>
    <row r="115" spans="1:13" s="148" customFormat="1" hidden="1" x14ac:dyDescent="0.25">
      <c r="A115" s="400"/>
      <c r="B115" s="393"/>
      <c r="C115" s="393"/>
      <c r="D115" s="394"/>
      <c r="E115" s="393"/>
      <c r="F115" s="401"/>
      <c r="G115" s="402"/>
      <c r="H115" s="403"/>
      <c r="I115" s="401" t="s">
        <v>228</v>
      </c>
      <c r="J115" s="401" t="s">
        <v>228</v>
      </c>
      <c r="K115" s="398"/>
      <c r="L115" s="404"/>
      <c r="M115" s="400"/>
    </row>
    <row r="116" spans="1:13" s="148" customFormat="1" hidden="1" x14ac:dyDescent="0.25">
      <c r="A116" s="400"/>
      <c r="B116" s="393"/>
      <c r="C116" s="393"/>
      <c r="D116" s="394"/>
      <c r="E116" s="393"/>
      <c r="F116" s="401"/>
      <c r="G116" s="402"/>
      <c r="H116" s="403"/>
      <c r="I116" s="401" t="s">
        <v>228</v>
      </c>
      <c r="J116" s="401" t="s">
        <v>228</v>
      </c>
      <c r="K116" s="398"/>
      <c r="L116" s="404"/>
      <c r="M116" s="400"/>
    </row>
    <row r="117" spans="1:13" s="148" customFormat="1" hidden="1" x14ac:dyDescent="0.25">
      <c r="A117" s="400"/>
      <c r="B117" s="393"/>
      <c r="C117" s="393"/>
      <c r="D117" s="394"/>
      <c r="E117" s="393"/>
      <c r="F117" s="401"/>
      <c r="G117" s="402"/>
      <c r="H117" s="403"/>
      <c r="I117" s="401" t="s">
        <v>228</v>
      </c>
      <c r="J117" s="401" t="s">
        <v>228</v>
      </c>
      <c r="K117" s="398"/>
      <c r="L117" s="404"/>
      <c r="M117" s="400"/>
    </row>
    <row r="118" spans="1:13" s="148" customFormat="1" hidden="1" x14ac:dyDescent="0.25">
      <c r="A118" s="400"/>
      <c r="B118" s="393"/>
      <c r="C118" s="393"/>
      <c r="D118" s="394"/>
      <c r="E118" s="393"/>
      <c r="F118" s="401"/>
      <c r="G118" s="402"/>
      <c r="H118" s="403"/>
      <c r="I118" s="401" t="s">
        <v>228</v>
      </c>
      <c r="J118" s="401" t="s">
        <v>228</v>
      </c>
      <c r="K118" s="398"/>
      <c r="L118" s="404"/>
      <c r="M118" s="400"/>
    </row>
    <row r="119" spans="1:13" s="148" customFormat="1" hidden="1" x14ac:dyDescent="0.25">
      <c r="A119" s="400"/>
      <c r="B119" s="393"/>
      <c r="C119" s="393"/>
      <c r="D119" s="394"/>
      <c r="E119" s="393"/>
      <c r="F119" s="401"/>
      <c r="G119" s="402"/>
      <c r="H119" s="403"/>
      <c r="I119" s="401" t="s">
        <v>228</v>
      </c>
      <c r="J119" s="401" t="s">
        <v>228</v>
      </c>
      <c r="K119" s="398"/>
      <c r="L119" s="404"/>
      <c r="M119" s="400"/>
    </row>
    <row r="120" spans="1:13" s="148" customFormat="1" hidden="1" x14ac:dyDescent="0.25">
      <c r="A120" s="400"/>
      <c r="B120" s="393"/>
      <c r="C120" s="393"/>
      <c r="D120" s="394"/>
      <c r="E120" s="393"/>
      <c r="F120" s="401"/>
      <c r="G120" s="402"/>
      <c r="H120" s="403"/>
      <c r="I120" s="401" t="s">
        <v>228</v>
      </c>
      <c r="J120" s="401" t="s">
        <v>228</v>
      </c>
      <c r="K120" s="398"/>
      <c r="L120" s="404"/>
      <c r="M120" s="400"/>
    </row>
    <row r="121" spans="1:13" s="148" customFormat="1" hidden="1" x14ac:dyDescent="0.25">
      <c r="A121" s="400"/>
      <c r="B121" s="393"/>
      <c r="C121" s="393"/>
      <c r="D121" s="394"/>
      <c r="E121" s="393"/>
      <c r="F121" s="401"/>
      <c r="G121" s="402"/>
      <c r="H121" s="403"/>
      <c r="I121" s="401" t="s">
        <v>228</v>
      </c>
      <c r="J121" s="401" t="s">
        <v>228</v>
      </c>
      <c r="K121" s="398"/>
      <c r="L121" s="404"/>
      <c r="M121" s="400"/>
    </row>
    <row r="122" spans="1:13" s="148" customFormat="1" hidden="1" x14ac:dyDescent="0.25">
      <c r="A122" s="400"/>
      <c r="B122" s="393"/>
      <c r="C122" s="393"/>
      <c r="D122" s="394"/>
      <c r="E122" s="393"/>
      <c r="F122" s="401"/>
      <c r="G122" s="402"/>
      <c r="H122" s="403"/>
      <c r="I122" s="401" t="s">
        <v>228</v>
      </c>
      <c r="J122" s="401" t="s">
        <v>228</v>
      </c>
      <c r="K122" s="398"/>
      <c r="L122" s="404"/>
      <c r="M122" s="400"/>
    </row>
    <row r="123" spans="1:13" s="148" customFormat="1" hidden="1" x14ac:dyDescent="0.25">
      <c r="A123" s="400"/>
      <c r="B123" s="393"/>
      <c r="C123" s="393"/>
      <c r="D123" s="394"/>
      <c r="E123" s="393"/>
      <c r="F123" s="401"/>
      <c r="G123" s="402"/>
      <c r="H123" s="403"/>
      <c r="I123" s="401" t="s">
        <v>228</v>
      </c>
      <c r="J123" s="401" t="s">
        <v>228</v>
      </c>
      <c r="K123" s="398"/>
      <c r="L123" s="404"/>
      <c r="M123" s="400"/>
    </row>
    <row r="124" spans="1:13" s="148" customFormat="1" hidden="1" x14ac:dyDescent="0.25">
      <c r="A124" s="400"/>
      <c r="B124" s="393"/>
      <c r="C124" s="393"/>
      <c r="D124" s="394"/>
      <c r="E124" s="393"/>
      <c r="F124" s="401"/>
      <c r="G124" s="402"/>
      <c r="H124" s="403"/>
      <c r="I124" s="401" t="s">
        <v>228</v>
      </c>
      <c r="J124" s="401" t="s">
        <v>228</v>
      </c>
      <c r="K124" s="398"/>
      <c r="L124" s="404"/>
      <c r="M124" s="400"/>
    </row>
    <row r="125" spans="1:13" s="148" customFormat="1" hidden="1" x14ac:dyDescent="0.25">
      <c r="A125" s="400"/>
      <c r="B125" s="393"/>
      <c r="C125" s="393"/>
      <c r="D125" s="394"/>
      <c r="E125" s="393"/>
      <c r="F125" s="401"/>
      <c r="G125" s="402"/>
      <c r="H125" s="403"/>
      <c r="I125" s="401" t="s">
        <v>228</v>
      </c>
      <c r="J125" s="401" t="s">
        <v>228</v>
      </c>
      <c r="K125" s="398"/>
      <c r="L125" s="404"/>
      <c r="M125" s="400"/>
    </row>
    <row r="126" spans="1:13" s="148" customFormat="1" hidden="1" x14ac:dyDescent="0.25">
      <c r="A126" s="400"/>
      <c r="B126" s="393"/>
      <c r="C126" s="393"/>
      <c r="D126" s="394"/>
      <c r="E126" s="393"/>
      <c r="F126" s="401"/>
      <c r="G126" s="402"/>
      <c r="H126" s="403"/>
      <c r="I126" s="401" t="s">
        <v>228</v>
      </c>
      <c r="J126" s="401" t="s">
        <v>228</v>
      </c>
      <c r="K126" s="398"/>
      <c r="L126" s="404"/>
      <c r="M126" s="400"/>
    </row>
    <row r="127" spans="1:13" s="148" customFormat="1" hidden="1" x14ac:dyDescent="0.25">
      <c r="A127" s="400"/>
      <c r="B127" s="393"/>
      <c r="C127" s="393"/>
      <c r="D127" s="394"/>
      <c r="E127" s="393"/>
      <c r="F127" s="401"/>
      <c r="G127" s="402"/>
      <c r="H127" s="403"/>
      <c r="I127" s="401" t="s">
        <v>228</v>
      </c>
      <c r="J127" s="401" t="s">
        <v>228</v>
      </c>
      <c r="K127" s="398"/>
      <c r="L127" s="404"/>
      <c r="M127" s="400"/>
    </row>
    <row r="128" spans="1:13" s="148" customFormat="1" hidden="1" x14ac:dyDescent="0.25">
      <c r="A128" s="400"/>
      <c r="B128" s="393"/>
      <c r="C128" s="393"/>
      <c r="D128" s="394"/>
      <c r="E128" s="393"/>
      <c r="F128" s="401"/>
      <c r="G128" s="402"/>
      <c r="H128" s="403"/>
      <c r="I128" s="401" t="s">
        <v>228</v>
      </c>
      <c r="J128" s="401" t="s">
        <v>228</v>
      </c>
      <c r="K128" s="398"/>
      <c r="L128" s="404"/>
      <c r="M128" s="400"/>
    </row>
    <row r="129" spans="1:13" s="148" customFormat="1" hidden="1" x14ac:dyDescent="0.25">
      <c r="A129" s="400"/>
      <c r="B129" s="393"/>
      <c r="C129" s="393"/>
      <c r="D129" s="394"/>
      <c r="E129" s="393"/>
      <c r="F129" s="401"/>
      <c r="G129" s="402"/>
      <c r="H129" s="403"/>
      <c r="I129" s="401" t="s">
        <v>228</v>
      </c>
      <c r="J129" s="401" t="s">
        <v>228</v>
      </c>
      <c r="K129" s="398"/>
      <c r="L129" s="404"/>
      <c r="M129" s="400"/>
    </row>
    <row r="130" spans="1:13" s="148" customFormat="1" hidden="1" x14ac:dyDescent="0.25">
      <c r="A130" s="400"/>
      <c r="B130" s="393"/>
      <c r="C130" s="393"/>
      <c r="D130" s="394"/>
      <c r="E130" s="393"/>
      <c r="F130" s="401"/>
      <c r="G130" s="402"/>
      <c r="H130" s="403"/>
      <c r="I130" s="401" t="s">
        <v>228</v>
      </c>
      <c r="J130" s="401" t="s">
        <v>228</v>
      </c>
      <c r="K130" s="398"/>
      <c r="L130" s="404"/>
      <c r="M130" s="400"/>
    </row>
    <row r="131" spans="1:13" s="148" customFormat="1" hidden="1" x14ac:dyDescent="0.25">
      <c r="A131" s="400"/>
      <c r="B131" s="393"/>
      <c r="C131" s="393"/>
      <c r="D131" s="394"/>
      <c r="E131" s="393"/>
      <c r="F131" s="401"/>
      <c r="G131" s="402"/>
      <c r="H131" s="403"/>
      <c r="I131" s="401" t="s">
        <v>228</v>
      </c>
      <c r="J131" s="401" t="s">
        <v>228</v>
      </c>
      <c r="K131" s="398"/>
      <c r="L131" s="404"/>
      <c r="M131" s="400"/>
    </row>
    <row r="132" spans="1:13" s="148" customFormat="1" hidden="1" x14ac:dyDescent="0.25">
      <c r="A132" s="400"/>
      <c r="B132" s="393"/>
      <c r="C132" s="393"/>
      <c r="D132" s="394"/>
      <c r="E132" s="393"/>
      <c r="F132" s="401"/>
      <c r="G132" s="402"/>
      <c r="H132" s="403"/>
      <c r="I132" s="401" t="s">
        <v>228</v>
      </c>
      <c r="J132" s="401" t="s">
        <v>228</v>
      </c>
      <c r="K132" s="398"/>
      <c r="L132" s="404"/>
      <c r="M132" s="400"/>
    </row>
    <row r="133" spans="1:13" s="148" customFormat="1" hidden="1" x14ac:dyDescent="0.25">
      <c r="A133" s="400"/>
      <c r="B133" s="393"/>
      <c r="C133" s="393"/>
      <c r="D133" s="394"/>
      <c r="E133" s="393"/>
      <c r="F133" s="401"/>
      <c r="G133" s="402"/>
      <c r="H133" s="403"/>
      <c r="I133" s="401" t="s">
        <v>228</v>
      </c>
      <c r="J133" s="401" t="s">
        <v>228</v>
      </c>
      <c r="K133" s="398"/>
      <c r="L133" s="404"/>
      <c r="M133" s="400"/>
    </row>
    <row r="134" spans="1:13" s="148" customFormat="1" hidden="1" x14ac:dyDescent="0.25">
      <c r="A134" s="400"/>
      <c r="B134" s="393"/>
      <c r="C134" s="393"/>
      <c r="D134" s="394"/>
      <c r="E134" s="393"/>
      <c r="F134" s="401"/>
      <c r="G134" s="402"/>
      <c r="H134" s="403"/>
      <c r="I134" s="401" t="s">
        <v>228</v>
      </c>
      <c r="J134" s="401" t="s">
        <v>228</v>
      </c>
      <c r="K134" s="398"/>
      <c r="L134" s="404"/>
      <c r="M134" s="400"/>
    </row>
    <row r="135" spans="1:13" s="148" customFormat="1" hidden="1" x14ac:dyDescent="0.25">
      <c r="A135" s="400"/>
      <c r="B135" s="393"/>
      <c r="C135" s="393"/>
      <c r="D135" s="394"/>
      <c r="E135" s="393"/>
      <c r="F135" s="401"/>
      <c r="G135" s="402"/>
      <c r="H135" s="403"/>
      <c r="I135" s="401" t="s">
        <v>228</v>
      </c>
      <c r="J135" s="401" t="s">
        <v>228</v>
      </c>
      <c r="K135" s="398"/>
      <c r="L135" s="404"/>
      <c r="M135" s="400"/>
    </row>
    <row r="136" spans="1:13" s="148" customFormat="1" hidden="1" x14ac:dyDescent="0.25">
      <c r="A136" s="400"/>
      <c r="B136" s="393"/>
      <c r="C136" s="393"/>
      <c r="D136" s="394"/>
      <c r="E136" s="393"/>
      <c r="F136" s="401"/>
      <c r="G136" s="402"/>
      <c r="H136" s="403"/>
      <c r="I136" s="401" t="s">
        <v>228</v>
      </c>
      <c r="J136" s="401" t="s">
        <v>228</v>
      </c>
      <c r="K136" s="398"/>
      <c r="L136" s="404"/>
      <c r="M136" s="400"/>
    </row>
    <row r="137" spans="1:13" s="148" customFormat="1" hidden="1" x14ac:dyDescent="0.25">
      <c r="A137" s="400"/>
      <c r="B137" s="393"/>
      <c r="C137" s="393"/>
      <c r="D137" s="394"/>
      <c r="E137" s="393"/>
      <c r="F137" s="401"/>
      <c r="G137" s="402"/>
      <c r="H137" s="403"/>
      <c r="I137" s="401" t="s">
        <v>228</v>
      </c>
      <c r="J137" s="401" t="s">
        <v>228</v>
      </c>
      <c r="K137" s="398"/>
      <c r="L137" s="404"/>
      <c r="M137" s="400"/>
    </row>
    <row r="138" spans="1:13" s="148" customFormat="1" hidden="1" x14ac:dyDescent="0.25">
      <c r="A138" s="400"/>
      <c r="B138" s="393"/>
      <c r="C138" s="393"/>
      <c r="D138" s="394"/>
      <c r="E138" s="393"/>
      <c r="F138" s="401"/>
      <c r="G138" s="402"/>
      <c r="H138" s="403"/>
      <c r="I138" s="401" t="s">
        <v>228</v>
      </c>
      <c r="J138" s="401" t="s">
        <v>228</v>
      </c>
      <c r="K138" s="398"/>
      <c r="L138" s="404"/>
      <c r="M138" s="400"/>
    </row>
    <row r="139" spans="1:13" s="148" customFormat="1" hidden="1" x14ac:dyDescent="0.25">
      <c r="A139" s="400"/>
      <c r="B139" s="393"/>
      <c r="C139" s="393"/>
      <c r="D139" s="394"/>
      <c r="E139" s="393"/>
      <c r="F139" s="401"/>
      <c r="G139" s="402"/>
      <c r="H139" s="403"/>
      <c r="I139" s="401" t="s">
        <v>228</v>
      </c>
      <c r="J139" s="401" t="s">
        <v>228</v>
      </c>
      <c r="K139" s="398"/>
      <c r="L139" s="404"/>
      <c r="M139" s="400"/>
    </row>
    <row r="140" spans="1:13" s="148" customFormat="1" hidden="1" x14ac:dyDescent="0.25">
      <c r="A140" s="400"/>
      <c r="B140" s="393"/>
      <c r="C140" s="393"/>
      <c r="D140" s="394"/>
      <c r="E140" s="393"/>
      <c r="F140" s="401"/>
      <c r="G140" s="402"/>
      <c r="H140" s="403"/>
      <c r="I140" s="401" t="s">
        <v>228</v>
      </c>
      <c r="J140" s="401" t="s">
        <v>228</v>
      </c>
      <c r="K140" s="398"/>
      <c r="L140" s="404"/>
      <c r="M140" s="400"/>
    </row>
    <row r="141" spans="1:13" s="148" customFormat="1" hidden="1" x14ac:dyDescent="0.25">
      <c r="A141" s="400"/>
      <c r="B141" s="393"/>
      <c r="C141" s="393"/>
      <c r="D141" s="394"/>
      <c r="E141" s="393"/>
      <c r="F141" s="401"/>
      <c r="G141" s="402"/>
      <c r="H141" s="403"/>
      <c r="I141" s="401" t="s">
        <v>228</v>
      </c>
      <c r="J141" s="401" t="s">
        <v>228</v>
      </c>
      <c r="K141" s="398"/>
      <c r="L141" s="404"/>
      <c r="M141" s="400"/>
    </row>
    <row r="142" spans="1:13" s="148" customFormat="1" hidden="1" x14ac:dyDescent="0.25">
      <c r="A142" s="400"/>
      <c r="B142" s="393"/>
      <c r="C142" s="393"/>
      <c r="D142" s="394"/>
      <c r="E142" s="393"/>
      <c r="F142" s="401"/>
      <c r="G142" s="402"/>
      <c r="H142" s="403"/>
      <c r="I142" s="401" t="s">
        <v>228</v>
      </c>
      <c r="J142" s="401" t="s">
        <v>228</v>
      </c>
      <c r="K142" s="398"/>
      <c r="L142" s="404"/>
      <c r="M142" s="400"/>
    </row>
    <row r="143" spans="1:13" s="148" customFormat="1" hidden="1" x14ac:dyDescent="0.25">
      <c r="A143" s="400"/>
      <c r="B143" s="393"/>
      <c r="C143" s="393"/>
      <c r="D143" s="394"/>
      <c r="E143" s="393"/>
      <c r="F143" s="401"/>
      <c r="G143" s="402"/>
      <c r="H143" s="403"/>
      <c r="I143" s="401" t="s">
        <v>228</v>
      </c>
      <c r="J143" s="401" t="s">
        <v>228</v>
      </c>
      <c r="K143" s="398"/>
      <c r="L143" s="404"/>
      <c r="M143" s="400"/>
    </row>
    <row r="144" spans="1:13" s="148" customFormat="1" hidden="1" x14ac:dyDescent="0.25">
      <c r="A144" s="400"/>
      <c r="B144" s="393"/>
      <c r="C144" s="393"/>
      <c r="D144" s="394"/>
      <c r="E144" s="393"/>
      <c r="F144" s="401"/>
      <c r="G144" s="402"/>
      <c r="H144" s="403"/>
      <c r="I144" s="401" t="s">
        <v>228</v>
      </c>
      <c r="J144" s="401" t="s">
        <v>228</v>
      </c>
      <c r="K144" s="398"/>
      <c r="L144" s="404"/>
      <c r="M144" s="400"/>
    </row>
    <row r="145" spans="1:13" s="148" customFormat="1" hidden="1" x14ac:dyDescent="0.25">
      <c r="A145" s="400"/>
      <c r="B145" s="393"/>
      <c r="C145" s="393"/>
      <c r="D145" s="394"/>
      <c r="E145" s="393"/>
      <c r="F145" s="401"/>
      <c r="G145" s="402"/>
      <c r="H145" s="403"/>
      <c r="I145" s="401" t="s">
        <v>228</v>
      </c>
      <c r="J145" s="401" t="s">
        <v>228</v>
      </c>
      <c r="K145" s="398"/>
      <c r="L145" s="404"/>
      <c r="M145" s="400"/>
    </row>
    <row r="146" spans="1:13" s="148" customFormat="1" hidden="1" x14ac:dyDescent="0.25">
      <c r="A146" s="400"/>
      <c r="B146" s="393"/>
      <c r="C146" s="393"/>
      <c r="D146" s="394"/>
      <c r="E146" s="393"/>
      <c r="F146" s="401"/>
      <c r="G146" s="402"/>
      <c r="H146" s="403"/>
      <c r="I146" s="401" t="s">
        <v>228</v>
      </c>
      <c r="J146" s="401" t="s">
        <v>228</v>
      </c>
      <c r="K146" s="398"/>
      <c r="L146" s="404"/>
      <c r="M146" s="400"/>
    </row>
    <row r="147" spans="1:13" s="148" customFormat="1" hidden="1" x14ac:dyDescent="0.25">
      <c r="A147" s="400"/>
      <c r="B147" s="393"/>
      <c r="C147" s="393"/>
      <c r="D147" s="394"/>
      <c r="E147" s="393"/>
      <c r="F147" s="401"/>
      <c r="G147" s="402"/>
      <c r="H147" s="403"/>
      <c r="I147" s="401" t="s">
        <v>228</v>
      </c>
      <c r="J147" s="401" t="s">
        <v>228</v>
      </c>
      <c r="K147" s="398"/>
      <c r="L147" s="404"/>
      <c r="M147" s="400"/>
    </row>
    <row r="148" spans="1:13" s="148" customFormat="1" hidden="1" x14ac:dyDescent="0.25">
      <c r="A148" s="400"/>
      <c r="B148" s="393"/>
      <c r="C148" s="393"/>
      <c r="D148" s="394"/>
      <c r="E148" s="393"/>
      <c r="F148" s="401"/>
      <c r="G148" s="402"/>
      <c r="H148" s="403"/>
      <c r="I148" s="401" t="s">
        <v>228</v>
      </c>
      <c r="J148" s="401" t="s">
        <v>228</v>
      </c>
      <c r="K148" s="398"/>
      <c r="L148" s="404"/>
      <c r="M148" s="400"/>
    </row>
    <row r="149" spans="1:13" s="148" customFormat="1" hidden="1" x14ac:dyDescent="0.25">
      <c r="A149" s="400"/>
      <c r="B149" s="393"/>
      <c r="C149" s="393"/>
      <c r="D149" s="394"/>
      <c r="E149" s="393"/>
      <c r="F149" s="401"/>
      <c r="G149" s="402"/>
      <c r="H149" s="403"/>
      <c r="I149" s="401" t="s">
        <v>228</v>
      </c>
      <c r="J149" s="401" t="s">
        <v>228</v>
      </c>
      <c r="K149" s="398"/>
      <c r="L149" s="404"/>
      <c r="M149" s="400"/>
    </row>
    <row r="150" spans="1:13" s="148" customFormat="1" hidden="1" x14ac:dyDescent="0.25">
      <c r="A150" s="400"/>
      <c r="B150" s="393"/>
      <c r="C150" s="393"/>
      <c r="D150" s="394"/>
      <c r="E150" s="393"/>
      <c r="F150" s="401"/>
      <c r="G150" s="402"/>
      <c r="H150" s="403"/>
      <c r="I150" s="401" t="s">
        <v>228</v>
      </c>
      <c r="J150" s="401" t="s">
        <v>228</v>
      </c>
      <c r="K150" s="398"/>
      <c r="L150" s="404"/>
      <c r="M150" s="400"/>
    </row>
    <row r="151" spans="1:13" s="148" customFormat="1" hidden="1" x14ac:dyDescent="0.25">
      <c r="A151" s="400"/>
      <c r="B151" s="393"/>
      <c r="C151" s="393"/>
      <c r="D151" s="394"/>
      <c r="E151" s="393"/>
      <c r="F151" s="401"/>
      <c r="G151" s="402"/>
      <c r="H151" s="403"/>
      <c r="I151" s="401" t="s">
        <v>228</v>
      </c>
      <c r="J151" s="401" t="s">
        <v>228</v>
      </c>
      <c r="K151" s="398"/>
      <c r="L151" s="404"/>
      <c r="M151" s="400"/>
    </row>
    <row r="152" spans="1:13" s="148" customFormat="1" hidden="1" x14ac:dyDescent="0.25">
      <c r="A152" s="400"/>
      <c r="B152" s="393"/>
      <c r="C152" s="393"/>
      <c r="D152" s="394"/>
      <c r="E152" s="393"/>
      <c r="F152" s="401"/>
      <c r="G152" s="402"/>
      <c r="H152" s="403"/>
      <c r="I152" s="401" t="s">
        <v>228</v>
      </c>
      <c r="J152" s="401" t="s">
        <v>228</v>
      </c>
      <c r="K152" s="398"/>
      <c r="L152" s="404"/>
      <c r="M152" s="400"/>
    </row>
    <row r="153" spans="1:13" s="148" customFormat="1" hidden="1" x14ac:dyDescent="0.25">
      <c r="A153" s="400"/>
      <c r="B153" s="393"/>
      <c r="C153" s="393"/>
      <c r="D153" s="394"/>
      <c r="E153" s="393"/>
      <c r="F153" s="401"/>
      <c r="G153" s="402"/>
      <c r="H153" s="403"/>
      <c r="I153" s="401" t="s">
        <v>228</v>
      </c>
      <c r="J153" s="401" t="s">
        <v>228</v>
      </c>
      <c r="K153" s="398"/>
      <c r="L153" s="404"/>
      <c r="M153" s="400"/>
    </row>
    <row r="154" spans="1:13" s="148" customFormat="1" hidden="1" x14ac:dyDescent="0.25">
      <c r="A154" s="400"/>
      <c r="B154" s="393"/>
      <c r="C154" s="393"/>
      <c r="D154" s="394"/>
      <c r="E154" s="393"/>
      <c r="F154" s="401"/>
      <c r="G154" s="402"/>
      <c r="H154" s="403"/>
      <c r="I154" s="401" t="s">
        <v>228</v>
      </c>
      <c r="J154" s="401" t="s">
        <v>228</v>
      </c>
      <c r="K154" s="398"/>
      <c r="L154" s="404"/>
      <c r="M154" s="400"/>
    </row>
    <row r="155" spans="1:13" s="148" customFormat="1" hidden="1" x14ac:dyDescent="0.25">
      <c r="A155" s="400"/>
      <c r="B155" s="393"/>
      <c r="C155" s="393"/>
      <c r="D155" s="394"/>
      <c r="E155" s="393"/>
      <c r="F155" s="401"/>
      <c r="G155" s="402"/>
      <c r="H155" s="403"/>
      <c r="I155" s="401" t="s">
        <v>228</v>
      </c>
      <c r="J155" s="401" t="s">
        <v>228</v>
      </c>
      <c r="K155" s="398"/>
      <c r="L155" s="404"/>
      <c r="M155" s="400"/>
    </row>
    <row r="156" spans="1:13" s="148" customFormat="1" hidden="1" x14ac:dyDescent="0.25">
      <c r="A156" s="400"/>
      <c r="B156" s="393"/>
      <c r="C156" s="393"/>
      <c r="D156" s="394"/>
      <c r="E156" s="393"/>
      <c r="F156" s="401"/>
      <c r="G156" s="402"/>
      <c r="H156" s="403"/>
      <c r="I156" s="401" t="s">
        <v>228</v>
      </c>
      <c r="J156" s="401" t="s">
        <v>228</v>
      </c>
      <c r="K156" s="398"/>
      <c r="L156" s="404"/>
      <c r="M156" s="400"/>
    </row>
    <row r="157" spans="1:13" s="148" customFormat="1" hidden="1" x14ac:dyDescent="0.25">
      <c r="A157" s="400"/>
      <c r="B157" s="393"/>
      <c r="C157" s="393"/>
      <c r="D157" s="394"/>
      <c r="E157" s="393"/>
      <c r="F157" s="401"/>
      <c r="G157" s="402"/>
      <c r="H157" s="403"/>
      <c r="I157" s="401" t="s">
        <v>228</v>
      </c>
      <c r="J157" s="401" t="s">
        <v>228</v>
      </c>
      <c r="K157" s="398"/>
      <c r="L157" s="404"/>
      <c r="M157" s="400"/>
    </row>
    <row r="158" spans="1:13" s="148" customFormat="1" hidden="1" x14ac:dyDescent="0.25">
      <c r="A158" s="400"/>
      <c r="B158" s="393"/>
      <c r="C158" s="393"/>
      <c r="D158" s="394"/>
      <c r="E158" s="393"/>
      <c r="F158" s="401"/>
      <c r="G158" s="402"/>
      <c r="H158" s="403"/>
      <c r="I158" s="401" t="s">
        <v>228</v>
      </c>
      <c r="J158" s="401" t="s">
        <v>228</v>
      </c>
      <c r="K158" s="398"/>
      <c r="L158" s="404"/>
      <c r="M158" s="400"/>
    </row>
    <row r="159" spans="1:13" s="148" customFormat="1" hidden="1" x14ac:dyDescent="0.25">
      <c r="A159" s="400"/>
      <c r="B159" s="393"/>
      <c r="C159" s="393"/>
      <c r="D159" s="394"/>
      <c r="E159" s="393"/>
      <c r="F159" s="401"/>
      <c r="G159" s="402"/>
      <c r="H159" s="403"/>
      <c r="I159" s="401" t="s">
        <v>228</v>
      </c>
      <c r="J159" s="401" t="s">
        <v>228</v>
      </c>
      <c r="K159" s="398"/>
      <c r="L159" s="404"/>
      <c r="M159" s="400"/>
    </row>
    <row r="160" spans="1:13" s="148" customFormat="1" hidden="1" x14ac:dyDescent="0.25">
      <c r="A160" s="400"/>
      <c r="B160" s="393"/>
      <c r="C160" s="393"/>
      <c r="D160" s="394"/>
      <c r="E160" s="393"/>
      <c r="F160" s="401"/>
      <c r="G160" s="402"/>
      <c r="H160" s="403"/>
      <c r="I160" s="401" t="s">
        <v>228</v>
      </c>
      <c r="J160" s="401" t="s">
        <v>228</v>
      </c>
      <c r="K160" s="398"/>
      <c r="L160" s="404"/>
      <c r="M160" s="400"/>
    </row>
    <row r="161" spans="1:13" s="148" customFormat="1" hidden="1" x14ac:dyDescent="0.25">
      <c r="A161" s="400"/>
      <c r="B161" s="393"/>
      <c r="C161" s="393"/>
      <c r="D161" s="394"/>
      <c r="E161" s="393"/>
      <c r="F161" s="401"/>
      <c r="G161" s="402"/>
      <c r="H161" s="403"/>
      <c r="I161" s="401" t="s">
        <v>228</v>
      </c>
      <c r="J161" s="401" t="s">
        <v>228</v>
      </c>
      <c r="K161" s="398"/>
      <c r="L161" s="404"/>
      <c r="M161" s="400"/>
    </row>
    <row r="162" spans="1:13" s="148" customFormat="1" hidden="1" x14ac:dyDescent="0.25">
      <c r="A162" s="400"/>
      <c r="B162" s="393"/>
      <c r="C162" s="393"/>
      <c r="D162" s="394"/>
      <c r="E162" s="393"/>
      <c r="F162" s="401"/>
      <c r="G162" s="402"/>
      <c r="H162" s="403"/>
      <c r="I162" s="401" t="s">
        <v>228</v>
      </c>
      <c r="J162" s="401" t="s">
        <v>228</v>
      </c>
      <c r="K162" s="398"/>
      <c r="L162" s="404"/>
      <c r="M162" s="400"/>
    </row>
    <row r="163" spans="1:13" s="148" customFormat="1" hidden="1" x14ac:dyDescent="0.25">
      <c r="A163" s="400"/>
      <c r="B163" s="393"/>
      <c r="C163" s="393"/>
      <c r="D163" s="394"/>
      <c r="E163" s="393"/>
      <c r="F163" s="401"/>
      <c r="G163" s="402"/>
      <c r="H163" s="403"/>
      <c r="I163" s="401" t="s">
        <v>228</v>
      </c>
      <c r="J163" s="401" t="s">
        <v>228</v>
      </c>
      <c r="K163" s="398"/>
      <c r="L163" s="404"/>
      <c r="M163" s="400"/>
    </row>
    <row r="164" spans="1:13" s="148" customFormat="1" hidden="1" x14ac:dyDescent="0.25">
      <c r="A164" s="400"/>
      <c r="B164" s="393"/>
      <c r="C164" s="393"/>
      <c r="D164" s="394"/>
      <c r="E164" s="393"/>
      <c r="F164" s="401"/>
      <c r="G164" s="402"/>
      <c r="H164" s="403"/>
      <c r="I164" s="401" t="s">
        <v>228</v>
      </c>
      <c r="J164" s="401" t="s">
        <v>228</v>
      </c>
      <c r="K164" s="398"/>
      <c r="L164" s="404"/>
      <c r="M164" s="400"/>
    </row>
    <row r="165" spans="1:13" s="148" customFormat="1" hidden="1" x14ac:dyDescent="0.25">
      <c r="A165" s="400"/>
      <c r="B165" s="393"/>
      <c r="C165" s="393"/>
      <c r="D165" s="394"/>
      <c r="E165" s="393"/>
      <c r="F165" s="401"/>
      <c r="G165" s="402"/>
      <c r="H165" s="403"/>
      <c r="I165" s="401" t="s">
        <v>228</v>
      </c>
      <c r="J165" s="401" t="s">
        <v>228</v>
      </c>
      <c r="K165" s="398"/>
      <c r="L165" s="404"/>
      <c r="M165" s="400"/>
    </row>
    <row r="166" spans="1:13" s="148" customFormat="1" hidden="1" x14ac:dyDescent="0.25">
      <c r="A166" s="400"/>
      <c r="B166" s="393"/>
      <c r="C166" s="393"/>
      <c r="D166" s="394"/>
      <c r="E166" s="393"/>
      <c r="F166" s="401"/>
      <c r="G166" s="402"/>
      <c r="H166" s="403"/>
      <c r="I166" s="401" t="s">
        <v>228</v>
      </c>
      <c r="J166" s="401" t="s">
        <v>228</v>
      </c>
      <c r="K166" s="398"/>
      <c r="L166" s="404"/>
      <c r="M166" s="400"/>
    </row>
    <row r="167" spans="1:13" s="148" customFormat="1" hidden="1" x14ac:dyDescent="0.25">
      <c r="A167" s="400"/>
      <c r="B167" s="393"/>
      <c r="C167" s="393"/>
      <c r="D167" s="394"/>
      <c r="E167" s="393"/>
      <c r="F167" s="401"/>
      <c r="G167" s="402"/>
      <c r="H167" s="403"/>
      <c r="I167" s="401" t="s">
        <v>228</v>
      </c>
      <c r="J167" s="401" t="s">
        <v>228</v>
      </c>
      <c r="K167" s="398"/>
      <c r="L167" s="404"/>
      <c r="M167" s="400"/>
    </row>
    <row r="168" spans="1:13" s="148" customFormat="1" hidden="1" x14ac:dyDescent="0.25">
      <c r="A168" s="400"/>
      <c r="B168" s="393"/>
      <c r="C168" s="393"/>
      <c r="D168" s="394"/>
      <c r="E168" s="393"/>
      <c r="F168" s="401"/>
      <c r="G168" s="402"/>
      <c r="H168" s="403"/>
      <c r="I168" s="401" t="s">
        <v>228</v>
      </c>
      <c r="J168" s="401" t="s">
        <v>228</v>
      </c>
      <c r="K168" s="398"/>
      <c r="L168" s="404"/>
      <c r="M168" s="400"/>
    </row>
    <row r="169" spans="1:13" s="148" customFormat="1" hidden="1" x14ac:dyDescent="0.25">
      <c r="A169" s="400"/>
      <c r="B169" s="393"/>
      <c r="C169" s="393"/>
      <c r="D169" s="394"/>
      <c r="E169" s="393"/>
      <c r="F169" s="401"/>
      <c r="G169" s="402"/>
      <c r="H169" s="403"/>
      <c r="I169" s="401" t="s">
        <v>228</v>
      </c>
      <c r="J169" s="401" t="s">
        <v>228</v>
      </c>
      <c r="K169" s="398"/>
      <c r="L169" s="404"/>
      <c r="M169" s="400"/>
    </row>
    <row r="170" spans="1:13" s="148" customFormat="1" hidden="1" x14ac:dyDescent="0.25">
      <c r="A170" s="400"/>
      <c r="B170" s="393"/>
      <c r="C170" s="393"/>
      <c r="D170" s="394"/>
      <c r="E170" s="393"/>
      <c r="F170" s="401"/>
      <c r="G170" s="402"/>
      <c r="H170" s="403"/>
      <c r="I170" s="401" t="s">
        <v>228</v>
      </c>
      <c r="J170" s="401" t="s">
        <v>228</v>
      </c>
      <c r="K170" s="398"/>
      <c r="L170" s="404"/>
      <c r="M170" s="400"/>
    </row>
    <row r="171" spans="1:13" s="148" customFormat="1" hidden="1" x14ac:dyDescent="0.25">
      <c r="A171" s="400"/>
      <c r="B171" s="393"/>
      <c r="C171" s="393"/>
      <c r="D171" s="394"/>
      <c r="E171" s="393"/>
      <c r="F171" s="401"/>
      <c r="G171" s="402"/>
      <c r="H171" s="403"/>
      <c r="I171" s="401" t="s">
        <v>228</v>
      </c>
      <c r="J171" s="401" t="s">
        <v>228</v>
      </c>
      <c r="K171" s="398"/>
      <c r="L171" s="404"/>
      <c r="M171" s="400"/>
    </row>
    <row r="172" spans="1:13" s="148" customFormat="1" hidden="1" x14ac:dyDescent="0.25">
      <c r="A172" s="400"/>
      <c r="B172" s="393"/>
      <c r="C172" s="393"/>
      <c r="D172" s="394"/>
      <c r="E172" s="393"/>
      <c r="F172" s="401"/>
      <c r="G172" s="402"/>
      <c r="H172" s="403"/>
      <c r="I172" s="401" t="s">
        <v>228</v>
      </c>
      <c r="J172" s="401" t="s">
        <v>228</v>
      </c>
      <c r="K172" s="398"/>
      <c r="L172" s="404"/>
      <c r="M172" s="400"/>
    </row>
    <row r="173" spans="1:13" s="148" customFormat="1" hidden="1" x14ac:dyDescent="0.25">
      <c r="A173" s="400"/>
      <c r="B173" s="393"/>
      <c r="C173" s="393"/>
      <c r="D173" s="394"/>
      <c r="E173" s="393"/>
      <c r="F173" s="401"/>
      <c r="G173" s="402"/>
      <c r="H173" s="403"/>
      <c r="I173" s="401" t="s">
        <v>228</v>
      </c>
      <c r="J173" s="401" t="s">
        <v>228</v>
      </c>
      <c r="K173" s="398"/>
      <c r="L173" s="404"/>
      <c r="M173" s="400"/>
    </row>
    <row r="174" spans="1:13" s="148" customFormat="1" hidden="1" x14ac:dyDescent="0.25">
      <c r="A174" s="400"/>
      <c r="B174" s="393"/>
      <c r="C174" s="393"/>
      <c r="D174" s="394"/>
      <c r="E174" s="393"/>
      <c r="F174" s="401"/>
      <c r="G174" s="402"/>
      <c r="H174" s="403"/>
      <c r="I174" s="401" t="s">
        <v>228</v>
      </c>
      <c r="J174" s="401" t="s">
        <v>228</v>
      </c>
      <c r="K174" s="398"/>
      <c r="L174" s="404"/>
      <c r="M174" s="400"/>
    </row>
    <row r="175" spans="1:13" s="148" customFormat="1" hidden="1" x14ac:dyDescent="0.25">
      <c r="A175" s="400"/>
      <c r="B175" s="393"/>
      <c r="C175" s="393"/>
      <c r="D175" s="394"/>
      <c r="E175" s="393"/>
      <c r="F175" s="401"/>
      <c r="G175" s="402"/>
      <c r="H175" s="403"/>
      <c r="I175" s="401" t="s">
        <v>228</v>
      </c>
      <c r="J175" s="401" t="s">
        <v>228</v>
      </c>
      <c r="K175" s="398"/>
      <c r="L175" s="404"/>
      <c r="M175" s="400"/>
    </row>
    <row r="176" spans="1:13" s="148" customFormat="1" hidden="1" x14ac:dyDescent="0.25">
      <c r="A176" s="400"/>
      <c r="B176" s="393"/>
      <c r="C176" s="393"/>
      <c r="D176" s="394"/>
      <c r="E176" s="393"/>
      <c r="F176" s="401"/>
      <c r="G176" s="402"/>
      <c r="H176" s="403"/>
      <c r="I176" s="401" t="s">
        <v>228</v>
      </c>
      <c r="J176" s="401" t="s">
        <v>228</v>
      </c>
      <c r="K176" s="398"/>
      <c r="L176" s="404"/>
      <c r="M176" s="400"/>
    </row>
    <row r="177" spans="1:13" s="148" customFormat="1" hidden="1" x14ac:dyDescent="0.25">
      <c r="A177" s="400"/>
      <c r="B177" s="393"/>
      <c r="C177" s="393"/>
      <c r="D177" s="394"/>
      <c r="E177" s="393"/>
      <c r="F177" s="401"/>
      <c r="G177" s="402"/>
      <c r="H177" s="403"/>
      <c r="I177" s="401" t="s">
        <v>228</v>
      </c>
      <c r="J177" s="401" t="s">
        <v>228</v>
      </c>
      <c r="K177" s="398"/>
      <c r="L177" s="404"/>
      <c r="M177" s="400"/>
    </row>
    <row r="178" spans="1:13" s="148" customFormat="1" hidden="1" x14ac:dyDescent="0.25">
      <c r="A178" s="400"/>
      <c r="B178" s="393"/>
      <c r="C178" s="393"/>
      <c r="D178" s="394"/>
      <c r="E178" s="393"/>
      <c r="F178" s="401"/>
      <c r="G178" s="402"/>
      <c r="H178" s="403"/>
      <c r="I178" s="401" t="s">
        <v>228</v>
      </c>
      <c r="J178" s="401" t="s">
        <v>228</v>
      </c>
      <c r="K178" s="398"/>
      <c r="L178" s="404"/>
      <c r="M178" s="400"/>
    </row>
    <row r="179" spans="1:13" s="148" customFormat="1" hidden="1" x14ac:dyDescent="0.25">
      <c r="A179" s="400"/>
      <c r="B179" s="393"/>
      <c r="C179" s="393"/>
      <c r="D179" s="394"/>
      <c r="E179" s="393"/>
      <c r="F179" s="401"/>
      <c r="G179" s="402"/>
      <c r="H179" s="403"/>
      <c r="I179" s="401" t="s">
        <v>228</v>
      </c>
      <c r="J179" s="401" t="s">
        <v>228</v>
      </c>
      <c r="K179" s="398"/>
      <c r="L179" s="404"/>
      <c r="M179" s="400"/>
    </row>
    <row r="180" spans="1:13" s="148" customFormat="1" hidden="1" x14ac:dyDescent="0.25">
      <c r="A180" s="400"/>
      <c r="B180" s="393"/>
      <c r="C180" s="393"/>
      <c r="D180" s="394"/>
      <c r="E180" s="393"/>
      <c r="F180" s="401"/>
      <c r="G180" s="402"/>
      <c r="H180" s="403"/>
      <c r="I180" s="401" t="s">
        <v>228</v>
      </c>
      <c r="J180" s="401" t="s">
        <v>228</v>
      </c>
      <c r="K180" s="398"/>
      <c r="L180" s="404"/>
      <c r="M180" s="400"/>
    </row>
    <row r="181" spans="1:13" s="148" customFormat="1" hidden="1" x14ac:dyDescent="0.25">
      <c r="A181" s="400"/>
      <c r="B181" s="393"/>
      <c r="C181" s="393"/>
      <c r="D181" s="394"/>
      <c r="E181" s="393"/>
      <c r="F181" s="401"/>
      <c r="G181" s="402"/>
      <c r="H181" s="403"/>
      <c r="I181" s="401" t="s">
        <v>228</v>
      </c>
      <c r="J181" s="401" t="s">
        <v>228</v>
      </c>
      <c r="K181" s="398"/>
      <c r="L181" s="404"/>
      <c r="M181" s="400"/>
    </row>
    <row r="182" spans="1:13" s="148" customFormat="1" hidden="1" x14ac:dyDescent="0.25">
      <c r="A182" s="400"/>
      <c r="B182" s="393"/>
      <c r="C182" s="393"/>
      <c r="D182" s="394"/>
      <c r="E182" s="393"/>
      <c r="F182" s="401"/>
      <c r="G182" s="402"/>
      <c r="H182" s="403"/>
      <c r="I182" s="401" t="s">
        <v>228</v>
      </c>
      <c r="J182" s="401" t="s">
        <v>228</v>
      </c>
      <c r="K182" s="398"/>
      <c r="L182" s="404"/>
      <c r="M182" s="400"/>
    </row>
    <row r="183" spans="1:13" s="148" customFormat="1" hidden="1" x14ac:dyDescent="0.25">
      <c r="A183" s="400"/>
      <c r="B183" s="393"/>
      <c r="C183" s="393"/>
      <c r="D183" s="394"/>
      <c r="E183" s="393"/>
      <c r="F183" s="401"/>
      <c r="G183" s="402"/>
      <c r="H183" s="403"/>
      <c r="I183" s="401" t="s">
        <v>228</v>
      </c>
      <c r="J183" s="401" t="s">
        <v>228</v>
      </c>
      <c r="K183" s="398"/>
      <c r="L183" s="404"/>
      <c r="M183" s="400"/>
    </row>
    <row r="184" spans="1:13" s="148" customFormat="1" hidden="1" x14ac:dyDescent="0.25">
      <c r="A184" s="400"/>
      <c r="B184" s="393"/>
      <c r="C184" s="393"/>
      <c r="D184" s="394"/>
      <c r="E184" s="393"/>
      <c r="F184" s="401"/>
      <c r="G184" s="402"/>
      <c r="H184" s="403"/>
      <c r="I184" s="401" t="s">
        <v>228</v>
      </c>
      <c r="J184" s="401" t="s">
        <v>228</v>
      </c>
      <c r="K184" s="398"/>
      <c r="L184" s="404"/>
      <c r="M184" s="400"/>
    </row>
    <row r="185" spans="1:13" s="148" customFormat="1" hidden="1" x14ac:dyDescent="0.25">
      <c r="A185" s="400"/>
      <c r="B185" s="393"/>
      <c r="C185" s="393"/>
      <c r="D185" s="394"/>
      <c r="E185" s="393"/>
      <c r="F185" s="401"/>
      <c r="G185" s="402"/>
      <c r="H185" s="403"/>
      <c r="I185" s="401" t="s">
        <v>228</v>
      </c>
      <c r="J185" s="401" t="s">
        <v>228</v>
      </c>
      <c r="K185" s="398"/>
      <c r="L185" s="404"/>
      <c r="M185" s="400"/>
    </row>
    <row r="186" spans="1:13" s="148" customFormat="1" hidden="1" x14ac:dyDescent="0.25">
      <c r="A186" s="400"/>
      <c r="B186" s="393"/>
      <c r="C186" s="393"/>
      <c r="D186" s="394"/>
      <c r="E186" s="393"/>
      <c r="F186" s="401"/>
      <c r="G186" s="402"/>
      <c r="H186" s="403"/>
      <c r="I186" s="401" t="s">
        <v>228</v>
      </c>
      <c r="J186" s="401" t="s">
        <v>228</v>
      </c>
      <c r="K186" s="398"/>
      <c r="L186" s="404"/>
      <c r="M186" s="400"/>
    </row>
    <row r="187" spans="1:13" s="148" customFormat="1" hidden="1" x14ac:dyDescent="0.25">
      <c r="A187" s="400"/>
      <c r="B187" s="393"/>
      <c r="C187" s="393"/>
      <c r="D187" s="394"/>
      <c r="E187" s="393"/>
      <c r="F187" s="401"/>
      <c r="G187" s="402"/>
      <c r="H187" s="403"/>
      <c r="I187" s="401" t="s">
        <v>228</v>
      </c>
      <c r="J187" s="401" t="s">
        <v>228</v>
      </c>
      <c r="K187" s="398"/>
      <c r="L187" s="404"/>
      <c r="M187" s="400"/>
    </row>
    <row r="188" spans="1:13" s="148" customFormat="1" hidden="1" x14ac:dyDescent="0.25">
      <c r="A188" s="400"/>
      <c r="B188" s="393"/>
      <c r="C188" s="393"/>
      <c r="D188" s="394"/>
      <c r="E188" s="393"/>
      <c r="F188" s="401"/>
      <c r="G188" s="402"/>
      <c r="H188" s="403"/>
      <c r="I188" s="401" t="s">
        <v>228</v>
      </c>
      <c r="J188" s="401" t="s">
        <v>228</v>
      </c>
      <c r="K188" s="398"/>
      <c r="L188" s="404"/>
      <c r="M188" s="400"/>
    </row>
    <row r="189" spans="1:13" s="148" customFormat="1" hidden="1" x14ac:dyDescent="0.25">
      <c r="A189" s="400"/>
      <c r="B189" s="393"/>
      <c r="C189" s="393"/>
      <c r="D189" s="394"/>
      <c r="E189" s="393"/>
      <c r="F189" s="401"/>
      <c r="G189" s="402"/>
      <c r="H189" s="403"/>
      <c r="I189" s="401" t="s">
        <v>228</v>
      </c>
      <c r="J189" s="401" t="s">
        <v>228</v>
      </c>
      <c r="K189" s="398"/>
      <c r="L189" s="404"/>
      <c r="M189" s="400"/>
    </row>
    <row r="190" spans="1:13" s="148" customFormat="1" hidden="1" x14ac:dyDescent="0.25">
      <c r="A190" s="400"/>
      <c r="B190" s="393"/>
      <c r="C190" s="393"/>
      <c r="D190" s="394"/>
      <c r="E190" s="393"/>
      <c r="F190" s="401"/>
      <c r="G190" s="402"/>
      <c r="H190" s="403"/>
      <c r="I190" s="401" t="s">
        <v>228</v>
      </c>
      <c r="J190" s="401" t="s">
        <v>228</v>
      </c>
      <c r="K190" s="398"/>
      <c r="L190" s="404"/>
      <c r="M190" s="400"/>
    </row>
    <row r="191" spans="1:13" s="148" customFormat="1" hidden="1" x14ac:dyDescent="0.25">
      <c r="A191" s="400"/>
      <c r="B191" s="393"/>
      <c r="C191" s="393"/>
      <c r="D191" s="394"/>
      <c r="E191" s="393"/>
      <c r="F191" s="401"/>
      <c r="G191" s="402"/>
      <c r="H191" s="403"/>
      <c r="I191" s="401" t="s">
        <v>228</v>
      </c>
      <c r="J191" s="401" t="s">
        <v>228</v>
      </c>
      <c r="K191" s="398"/>
      <c r="L191" s="404"/>
      <c r="M191" s="400"/>
    </row>
    <row r="192" spans="1:13" s="148" customFormat="1" hidden="1" x14ac:dyDescent="0.25">
      <c r="A192" s="400"/>
      <c r="B192" s="393"/>
      <c r="C192" s="393"/>
      <c r="D192" s="394"/>
      <c r="E192" s="393"/>
      <c r="F192" s="401"/>
      <c r="G192" s="402"/>
      <c r="H192" s="403"/>
      <c r="I192" s="401" t="s">
        <v>228</v>
      </c>
      <c r="J192" s="401" t="s">
        <v>228</v>
      </c>
      <c r="K192" s="398"/>
      <c r="L192" s="404"/>
      <c r="M192" s="400"/>
    </row>
    <row r="193" spans="1:13" s="148" customFormat="1" hidden="1" x14ac:dyDescent="0.25">
      <c r="A193" s="400"/>
      <c r="B193" s="393"/>
      <c r="C193" s="393"/>
      <c r="D193" s="394"/>
      <c r="E193" s="393"/>
      <c r="F193" s="401"/>
      <c r="G193" s="402"/>
      <c r="H193" s="403"/>
      <c r="I193" s="401" t="s">
        <v>228</v>
      </c>
      <c r="J193" s="401" t="s">
        <v>228</v>
      </c>
      <c r="K193" s="398"/>
      <c r="L193" s="404"/>
      <c r="M193" s="400"/>
    </row>
    <row r="194" spans="1:13" s="148" customFormat="1" hidden="1" x14ac:dyDescent="0.25">
      <c r="A194" s="400"/>
      <c r="B194" s="393"/>
      <c r="C194" s="393"/>
      <c r="D194" s="394"/>
      <c r="E194" s="393"/>
      <c r="F194" s="401"/>
      <c r="G194" s="402"/>
      <c r="H194" s="403"/>
      <c r="I194" s="401" t="s">
        <v>228</v>
      </c>
      <c r="J194" s="401" t="s">
        <v>228</v>
      </c>
      <c r="K194" s="398"/>
      <c r="L194" s="404"/>
      <c r="M194" s="400"/>
    </row>
    <row r="195" spans="1:13" s="148" customFormat="1" hidden="1" x14ac:dyDescent="0.25">
      <c r="A195" s="400"/>
      <c r="B195" s="393"/>
      <c r="C195" s="393"/>
      <c r="D195" s="394"/>
      <c r="E195" s="393"/>
      <c r="F195" s="401"/>
      <c r="G195" s="402"/>
      <c r="H195" s="403"/>
      <c r="I195" s="401" t="s">
        <v>228</v>
      </c>
      <c r="J195" s="401" t="s">
        <v>228</v>
      </c>
      <c r="K195" s="398"/>
      <c r="L195" s="404"/>
      <c r="M195" s="400"/>
    </row>
    <row r="196" spans="1:13" s="148" customFormat="1" hidden="1" x14ac:dyDescent="0.25">
      <c r="A196" s="400"/>
      <c r="B196" s="393"/>
      <c r="C196" s="393"/>
      <c r="D196" s="394"/>
      <c r="E196" s="393"/>
      <c r="F196" s="401"/>
      <c r="G196" s="402"/>
      <c r="H196" s="403"/>
      <c r="I196" s="401" t="s">
        <v>228</v>
      </c>
      <c r="J196" s="401" t="s">
        <v>228</v>
      </c>
      <c r="K196" s="398"/>
      <c r="L196" s="404"/>
      <c r="M196" s="400"/>
    </row>
    <row r="197" spans="1:13" s="148" customFormat="1" hidden="1" x14ac:dyDescent="0.25">
      <c r="A197" s="400"/>
      <c r="B197" s="393"/>
      <c r="C197" s="393"/>
      <c r="D197" s="394"/>
      <c r="E197" s="393"/>
      <c r="F197" s="401"/>
      <c r="G197" s="402"/>
      <c r="H197" s="403"/>
      <c r="I197" s="401" t="s">
        <v>228</v>
      </c>
      <c r="J197" s="401" t="s">
        <v>228</v>
      </c>
      <c r="K197" s="398"/>
      <c r="L197" s="404"/>
      <c r="M197" s="400"/>
    </row>
    <row r="198" spans="1:13" s="148" customFormat="1" hidden="1" x14ac:dyDescent="0.25">
      <c r="A198" s="400"/>
      <c r="B198" s="393"/>
      <c r="C198" s="393"/>
      <c r="D198" s="394"/>
      <c r="E198" s="393"/>
      <c r="F198" s="401"/>
      <c r="G198" s="402"/>
      <c r="H198" s="403"/>
      <c r="I198" s="401" t="s">
        <v>228</v>
      </c>
      <c r="J198" s="401" t="s">
        <v>228</v>
      </c>
      <c r="K198" s="398"/>
      <c r="L198" s="404"/>
      <c r="M198" s="400"/>
    </row>
    <row r="199" spans="1:13" s="148" customFormat="1" hidden="1" x14ac:dyDescent="0.25">
      <c r="A199" s="400"/>
      <c r="B199" s="393"/>
      <c r="C199" s="393"/>
      <c r="D199" s="394"/>
      <c r="E199" s="393"/>
      <c r="F199" s="401"/>
      <c r="G199" s="402"/>
      <c r="H199" s="403"/>
      <c r="I199" s="401" t="s">
        <v>228</v>
      </c>
      <c r="J199" s="401" t="s">
        <v>228</v>
      </c>
      <c r="K199" s="398"/>
      <c r="L199" s="404"/>
      <c r="M199" s="400"/>
    </row>
    <row r="200" spans="1:13" s="148" customFormat="1" hidden="1" x14ac:dyDescent="0.25">
      <c r="A200" s="400"/>
      <c r="B200" s="393"/>
      <c r="C200" s="393"/>
      <c r="D200" s="394"/>
      <c r="E200" s="393"/>
      <c r="F200" s="401"/>
      <c r="G200" s="402"/>
      <c r="H200" s="403"/>
      <c r="I200" s="401" t="s">
        <v>228</v>
      </c>
      <c r="J200" s="401" t="s">
        <v>228</v>
      </c>
      <c r="K200" s="398"/>
      <c r="L200" s="404"/>
      <c r="M200" s="400"/>
    </row>
    <row r="201" spans="1:13" s="148" customFormat="1" hidden="1" x14ac:dyDescent="0.25">
      <c r="A201" s="400"/>
      <c r="B201" s="393"/>
      <c r="C201" s="393"/>
      <c r="D201" s="394"/>
      <c r="E201" s="393"/>
      <c r="F201" s="401"/>
      <c r="G201" s="402"/>
      <c r="H201" s="403"/>
      <c r="I201" s="401" t="s">
        <v>228</v>
      </c>
      <c r="J201" s="401" t="s">
        <v>228</v>
      </c>
      <c r="K201" s="398"/>
      <c r="L201" s="404"/>
      <c r="M201" s="400"/>
    </row>
    <row r="202" spans="1:13" s="148" customFormat="1" hidden="1" x14ac:dyDescent="0.25">
      <c r="A202" s="400"/>
      <c r="B202" s="393"/>
      <c r="C202" s="393"/>
      <c r="D202" s="394"/>
      <c r="E202" s="393"/>
      <c r="F202" s="401"/>
      <c r="G202" s="402"/>
      <c r="H202" s="403"/>
      <c r="I202" s="401" t="s">
        <v>228</v>
      </c>
      <c r="J202" s="401" t="s">
        <v>228</v>
      </c>
      <c r="K202" s="398"/>
      <c r="L202" s="404"/>
      <c r="M202" s="400"/>
    </row>
    <row r="203" spans="1:13" s="148" customFormat="1" hidden="1" x14ac:dyDescent="0.25">
      <c r="A203" s="400"/>
      <c r="B203" s="393"/>
      <c r="C203" s="393"/>
      <c r="D203" s="394"/>
      <c r="E203" s="393"/>
      <c r="F203" s="401"/>
      <c r="G203" s="402"/>
      <c r="H203" s="403"/>
      <c r="I203" s="401" t="s">
        <v>228</v>
      </c>
      <c r="J203" s="401" t="s">
        <v>228</v>
      </c>
      <c r="K203" s="398"/>
      <c r="L203" s="404"/>
      <c r="M203" s="400"/>
    </row>
    <row r="204" spans="1:13" s="148" customFormat="1" hidden="1" x14ac:dyDescent="0.25">
      <c r="A204" s="400"/>
      <c r="B204" s="393"/>
      <c r="C204" s="393"/>
      <c r="D204" s="394"/>
      <c r="E204" s="393"/>
      <c r="F204" s="401"/>
      <c r="G204" s="402"/>
      <c r="H204" s="403"/>
      <c r="I204" s="401" t="s">
        <v>228</v>
      </c>
      <c r="J204" s="401" t="s">
        <v>228</v>
      </c>
      <c r="K204" s="398"/>
      <c r="L204" s="404"/>
      <c r="M204" s="400"/>
    </row>
    <row r="205" spans="1:13" s="148" customFormat="1" hidden="1" x14ac:dyDescent="0.25">
      <c r="A205" s="400"/>
      <c r="B205" s="393"/>
      <c r="C205" s="393"/>
      <c r="D205" s="394"/>
      <c r="E205" s="393"/>
      <c r="F205" s="401"/>
      <c r="G205" s="402"/>
      <c r="H205" s="403"/>
      <c r="I205" s="401" t="s">
        <v>228</v>
      </c>
      <c r="J205" s="401" t="s">
        <v>228</v>
      </c>
      <c r="K205" s="398"/>
      <c r="L205" s="404"/>
      <c r="M205" s="400"/>
    </row>
    <row r="206" spans="1:13" s="148" customFormat="1" hidden="1" x14ac:dyDescent="0.25">
      <c r="A206" s="400"/>
      <c r="B206" s="393"/>
      <c r="C206" s="393"/>
      <c r="D206" s="394"/>
      <c r="E206" s="393"/>
      <c r="F206" s="401"/>
      <c r="G206" s="402"/>
      <c r="H206" s="403"/>
      <c r="I206" s="401" t="s">
        <v>228</v>
      </c>
      <c r="J206" s="401" t="s">
        <v>228</v>
      </c>
      <c r="K206" s="398"/>
      <c r="L206" s="404"/>
      <c r="M206" s="400"/>
    </row>
    <row r="207" spans="1:13" s="148" customFormat="1" hidden="1" x14ac:dyDescent="0.25">
      <c r="A207" s="400"/>
      <c r="B207" s="393"/>
      <c r="C207" s="393"/>
      <c r="D207" s="394"/>
      <c r="E207" s="393"/>
      <c r="F207" s="401"/>
      <c r="G207" s="402"/>
      <c r="H207" s="403"/>
      <c r="I207" s="401" t="s">
        <v>228</v>
      </c>
      <c r="J207" s="401" t="s">
        <v>228</v>
      </c>
      <c r="K207" s="398"/>
      <c r="L207" s="404"/>
      <c r="M207" s="400"/>
    </row>
    <row r="208" spans="1:13" s="148" customFormat="1" hidden="1" x14ac:dyDescent="0.25">
      <c r="A208" s="400"/>
      <c r="B208" s="393"/>
      <c r="C208" s="393"/>
      <c r="D208" s="394"/>
      <c r="E208" s="393"/>
      <c r="F208" s="401"/>
      <c r="G208" s="402"/>
      <c r="H208" s="403"/>
      <c r="I208" s="401" t="s">
        <v>228</v>
      </c>
      <c r="J208" s="401" t="s">
        <v>228</v>
      </c>
      <c r="K208" s="398"/>
      <c r="L208" s="404"/>
      <c r="M208" s="400"/>
    </row>
    <row r="209" spans="1:13" s="148" customFormat="1" hidden="1" x14ac:dyDescent="0.25">
      <c r="A209" s="400"/>
      <c r="B209" s="393"/>
      <c r="C209" s="393"/>
      <c r="D209" s="394"/>
      <c r="E209" s="393"/>
      <c r="F209" s="401"/>
      <c r="G209" s="402"/>
      <c r="H209" s="403"/>
      <c r="I209" s="401" t="s">
        <v>228</v>
      </c>
      <c r="J209" s="401" t="s">
        <v>228</v>
      </c>
      <c r="K209" s="398"/>
      <c r="L209" s="404"/>
      <c r="M209" s="400"/>
    </row>
    <row r="210" spans="1:13" s="148" customFormat="1" hidden="1" x14ac:dyDescent="0.25">
      <c r="A210" s="400"/>
      <c r="B210" s="393"/>
      <c r="C210" s="393"/>
      <c r="D210" s="394"/>
      <c r="E210" s="393"/>
      <c r="F210" s="401"/>
      <c r="G210" s="402"/>
      <c r="H210" s="403"/>
      <c r="I210" s="401" t="s">
        <v>228</v>
      </c>
      <c r="J210" s="401" t="s">
        <v>228</v>
      </c>
      <c r="K210" s="398"/>
      <c r="L210" s="404"/>
      <c r="M210" s="400"/>
    </row>
    <row r="211" spans="1:13" s="148" customFormat="1" hidden="1" x14ac:dyDescent="0.25">
      <c r="A211" s="400"/>
      <c r="B211" s="393"/>
      <c r="C211" s="393"/>
      <c r="D211" s="394"/>
      <c r="E211" s="393"/>
      <c r="F211" s="401"/>
      <c r="G211" s="402"/>
      <c r="H211" s="403"/>
      <c r="I211" s="401" t="s">
        <v>228</v>
      </c>
      <c r="J211" s="401" t="s">
        <v>228</v>
      </c>
      <c r="K211" s="398"/>
      <c r="L211" s="404"/>
      <c r="M211" s="400"/>
    </row>
    <row r="212" spans="1:13" s="148" customFormat="1" hidden="1" x14ac:dyDescent="0.25">
      <c r="A212" s="400"/>
      <c r="B212" s="393"/>
      <c r="C212" s="393"/>
      <c r="D212" s="394"/>
      <c r="E212" s="393"/>
      <c r="F212" s="401"/>
      <c r="G212" s="402"/>
      <c r="H212" s="403"/>
      <c r="I212" s="401" t="s">
        <v>228</v>
      </c>
      <c r="J212" s="401" t="s">
        <v>228</v>
      </c>
      <c r="K212" s="398"/>
      <c r="L212" s="404"/>
      <c r="M212" s="400"/>
    </row>
    <row r="213" spans="1:13" s="148" customFormat="1" hidden="1" x14ac:dyDescent="0.25">
      <c r="A213" s="400"/>
      <c r="B213" s="393"/>
      <c r="C213" s="393"/>
      <c r="D213" s="394"/>
      <c r="E213" s="393"/>
      <c r="F213" s="401"/>
      <c r="G213" s="402"/>
      <c r="H213" s="403"/>
      <c r="I213" s="401" t="s">
        <v>228</v>
      </c>
      <c r="J213" s="401" t="s">
        <v>228</v>
      </c>
      <c r="K213" s="398"/>
      <c r="L213" s="404"/>
      <c r="M213" s="400"/>
    </row>
    <row r="214" spans="1:13" s="148" customFormat="1" hidden="1" x14ac:dyDescent="0.25">
      <c r="A214" s="400"/>
      <c r="B214" s="393"/>
      <c r="C214" s="393"/>
      <c r="D214" s="394"/>
      <c r="E214" s="393"/>
      <c r="F214" s="401"/>
      <c r="G214" s="402"/>
      <c r="H214" s="403"/>
      <c r="I214" s="401" t="s">
        <v>228</v>
      </c>
      <c r="J214" s="401" t="s">
        <v>228</v>
      </c>
      <c r="K214" s="398"/>
      <c r="L214" s="404"/>
      <c r="M214" s="400"/>
    </row>
    <row r="215" spans="1:13" s="148" customFormat="1" hidden="1" x14ac:dyDescent="0.25">
      <c r="A215" s="400"/>
      <c r="B215" s="393"/>
      <c r="C215" s="393"/>
      <c r="D215" s="394"/>
      <c r="E215" s="393"/>
      <c r="F215" s="401"/>
      <c r="G215" s="402"/>
      <c r="H215" s="403"/>
      <c r="I215" s="401" t="s">
        <v>228</v>
      </c>
      <c r="J215" s="401" t="s">
        <v>228</v>
      </c>
      <c r="K215" s="398"/>
      <c r="L215" s="404"/>
      <c r="M215" s="400"/>
    </row>
    <row r="216" spans="1:13" s="148" customFormat="1" hidden="1" x14ac:dyDescent="0.25">
      <c r="A216" s="400"/>
      <c r="B216" s="393"/>
      <c r="C216" s="393"/>
      <c r="D216" s="394"/>
      <c r="E216" s="393"/>
      <c r="F216" s="401"/>
      <c r="G216" s="402"/>
      <c r="H216" s="403"/>
      <c r="I216" s="401" t="s">
        <v>228</v>
      </c>
      <c r="J216" s="401" t="s">
        <v>228</v>
      </c>
      <c r="K216" s="398"/>
      <c r="L216" s="404"/>
      <c r="M216" s="400"/>
    </row>
    <row r="217" spans="1:13" s="148" customFormat="1" hidden="1" x14ac:dyDescent="0.25">
      <c r="A217" s="400"/>
      <c r="B217" s="393"/>
      <c r="C217" s="393"/>
      <c r="D217" s="394"/>
      <c r="E217" s="393"/>
      <c r="F217" s="401"/>
      <c r="G217" s="402"/>
      <c r="H217" s="403"/>
      <c r="I217" s="401" t="s">
        <v>228</v>
      </c>
      <c r="J217" s="401" t="s">
        <v>228</v>
      </c>
      <c r="K217" s="398"/>
      <c r="L217" s="404"/>
      <c r="M217" s="400"/>
    </row>
    <row r="218" spans="1:13" s="148" customFormat="1" hidden="1" x14ac:dyDescent="0.25">
      <c r="A218" s="400"/>
      <c r="B218" s="393"/>
      <c r="C218" s="393"/>
      <c r="D218" s="394"/>
      <c r="E218" s="393"/>
      <c r="F218" s="401"/>
      <c r="G218" s="402"/>
      <c r="H218" s="403"/>
      <c r="I218" s="401" t="s">
        <v>228</v>
      </c>
      <c r="J218" s="401" t="s">
        <v>228</v>
      </c>
      <c r="K218" s="398"/>
      <c r="L218" s="404"/>
      <c r="M218" s="400"/>
    </row>
    <row r="219" spans="1:13" s="148" customFormat="1" hidden="1" x14ac:dyDescent="0.25">
      <c r="A219" s="400"/>
      <c r="B219" s="393"/>
      <c r="C219" s="393"/>
      <c r="D219" s="394"/>
      <c r="E219" s="393"/>
      <c r="F219" s="401"/>
      <c r="G219" s="402"/>
      <c r="H219" s="403"/>
      <c r="I219" s="401" t="s">
        <v>228</v>
      </c>
      <c r="J219" s="401" t="s">
        <v>228</v>
      </c>
      <c r="K219" s="398"/>
      <c r="L219" s="404"/>
      <c r="M219" s="400"/>
    </row>
    <row r="220" spans="1:13" s="148" customFormat="1" hidden="1" x14ac:dyDescent="0.25">
      <c r="A220" s="400"/>
      <c r="B220" s="393"/>
      <c r="C220" s="393"/>
      <c r="D220" s="394"/>
      <c r="E220" s="393"/>
      <c r="F220" s="401"/>
      <c r="G220" s="402"/>
      <c r="H220" s="403"/>
      <c r="I220" s="401" t="s">
        <v>228</v>
      </c>
      <c r="J220" s="401" t="s">
        <v>228</v>
      </c>
      <c r="K220" s="398"/>
      <c r="L220" s="404"/>
      <c r="M220" s="400"/>
    </row>
    <row r="221" spans="1:13" s="148" customFormat="1" hidden="1" x14ac:dyDescent="0.25">
      <c r="A221" s="400"/>
      <c r="B221" s="393"/>
      <c r="C221" s="393"/>
      <c r="D221" s="394"/>
      <c r="E221" s="393"/>
      <c r="F221" s="401"/>
      <c r="G221" s="402"/>
      <c r="H221" s="403"/>
      <c r="I221" s="401" t="s">
        <v>228</v>
      </c>
      <c r="J221" s="401" t="s">
        <v>228</v>
      </c>
      <c r="K221" s="398"/>
      <c r="L221" s="404"/>
      <c r="M221" s="400"/>
    </row>
    <row r="222" spans="1:13" s="148" customFormat="1" hidden="1" x14ac:dyDescent="0.25">
      <c r="A222" s="400"/>
      <c r="B222" s="393"/>
      <c r="C222" s="393"/>
      <c r="D222" s="394"/>
      <c r="E222" s="393"/>
      <c r="F222" s="401"/>
      <c r="G222" s="402"/>
      <c r="H222" s="403"/>
      <c r="I222" s="401" t="s">
        <v>228</v>
      </c>
      <c r="J222" s="401" t="s">
        <v>228</v>
      </c>
      <c r="K222" s="398"/>
      <c r="L222" s="404"/>
      <c r="M222" s="400"/>
    </row>
    <row r="223" spans="1:13" s="148" customFormat="1" hidden="1" x14ac:dyDescent="0.25">
      <c r="A223" s="400"/>
      <c r="B223" s="393"/>
      <c r="C223" s="393"/>
      <c r="D223" s="394"/>
      <c r="E223" s="393"/>
      <c r="F223" s="401"/>
      <c r="G223" s="402"/>
      <c r="H223" s="403"/>
      <c r="I223" s="401" t="s">
        <v>228</v>
      </c>
      <c r="J223" s="401" t="s">
        <v>228</v>
      </c>
      <c r="K223" s="398"/>
      <c r="L223" s="404"/>
      <c r="M223" s="400"/>
    </row>
    <row r="224" spans="1:13" s="148" customFormat="1" hidden="1" x14ac:dyDescent="0.25">
      <c r="A224" s="400"/>
      <c r="B224" s="393"/>
      <c r="C224" s="393"/>
      <c r="D224" s="394"/>
      <c r="E224" s="393"/>
      <c r="F224" s="401"/>
      <c r="G224" s="402"/>
      <c r="H224" s="403"/>
      <c r="I224" s="401" t="s">
        <v>228</v>
      </c>
      <c r="J224" s="401" t="s">
        <v>228</v>
      </c>
      <c r="K224" s="398"/>
      <c r="L224" s="404"/>
      <c r="M224" s="400"/>
    </row>
    <row r="225" spans="1:13" s="148" customFormat="1" hidden="1" x14ac:dyDescent="0.25">
      <c r="A225" s="400"/>
      <c r="B225" s="393"/>
      <c r="C225" s="393"/>
      <c r="D225" s="394"/>
      <c r="E225" s="393"/>
      <c r="F225" s="401"/>
      <c r="G225" s="402"/>
      <c r="H225" s="403"/>
      <c r="I225" s="401" t="s">
        <v>228</v>
      </c>
      <c r="J225" s="401" t="s">
        <v>228</v>
      </c>
      <c r="K225" s="398"/>
      <c r="L225" s="404"/>
      <c r="M225" s="400"/>
    </row>
    <row r="226" spans="1:13" s="148" customFormat="1" hidden="1" x14ac:dyDescent="0.25">
      <c r="A226" s="400"/>
      <c r="B226" s="393"/>
      <c r="C226" s="393"/>
      <c r="D226" s="394"/>
      <c r="E226" s="393"/>
      <c r="F226" s="401"/>
      <c r="G226" s="402"/>
      <c r="H226" s="403"/>
      <c r="I226" s="401" t="s">
        <v>228</v>
      </c>
      <c r="J226" s="401" t="s">
        <v>228</v>
      </c>
      <c r="K226" s="398"/>
      <c r="L226" s="404"/>
      <c r="M226" s="400"/>
    </row>
    <row r="227" spans="1:13" s="148" customFormat="1" hidden="1" x14ac:dyDescent="0.25">
      <c r="A227" s="400"/>
      <c r="B227" s="393"/>
      <c r="C227" s="393"/>
      <c r="D227" s="394"/>
      <c r="E227" s="393"/>
      <c r="F227" s="401"/>
      <c r="G227" s="402"/>
      <c r="H227" s="403"/>
      <c r="I227" s="401" t="s">
        <v>228</v>
      </c>
      <c r="J227" s="401" t="s">
        <v>228</v>
      </c>
      <c r="K227" s="398"/>
      <c r="L227" s="404"/>
      <c r="M227" s="400"/>
    </row>
    <row r="228" spans="1:13" s="148" customFormat="1" hidden="1" x14ac:dyDescent="0.25">
      <c r="A228" s="400"/>
      <c r="B228" s="393"/>
      <c r="C228" s="393"/>
      <c r="D228" s="394"/>
      <c r="E228" s="393"/>
      <c r="F228" s="401"/>
      <c r="G228" s="402"/>
      <c r="H228" s="403"/>
      <c r="I228" s="401" t="s">
        <v>228</v>
      </c>
      <c r="J228" s="401" t="s">
        <v>228</v>
      </c>
      <c r="K228" s="398"/>
      <c r="L228" s="404"/>
      <c r="M228" s="400"/>
    </row>
    <row r="229" spans="1:13" s="148" customFormat="1" hidden="1" x14ac:dyDescent="0.25">
      <c r="A229" s="400"/>
      <c r="B229" s="393"/>
      <c r="C229" s="393"/>
      <c r="D229" s="394"/>
      <c r="E229" s="393"/>
      <c r="F229" s="401"/>
      <c r="G229" s="402"/>
      <c r="H229" s="403"/>
      <c r="I229" s="401" t="s">
        <v>228</v>
      </c>
      <c r="J229" s="401" t="s">
        <v>228</v>
      </c>
      <c r="K229" s="398"/>
      <c r="L229" s="404"/>
      <c r="M229" s="400"/>
    </row>
    <row r="230" spans="1:13" s="148" customFormat="1" hidden="1" x14ac:dyDescent="0.25">
      <c r="A230" s="400"/>
      <c r="B230" s="393"/>
      <c r="C230" s="393"/>
      <c r="D230" s="394"/>
      <c r="E230" s="393"/>
      <c r="F230" s="401"/>
      <c r="G230" s="402"/>
      <c r="H230" s="403"/>
      <c r="I230" s="401" t="s">
        <v>228</v>
      </c>
      <c r="J230" s="401" t="s">
        <v>228</v>
      </c>
      <c r="K230" s="398"/>
      <c r="L230" s="404"/>
      <c r="M230" s="400"/>
    </row>
    <row r="231" spans="1:13" s="148" customFormat="1" hidden="1" x14ac:dyDescent="0.25">
      <c r="A231" s="400"/>
      <c r="B231" s="393"/>
      <c r="C231" s="393"/>
      <c r="D231" s="394"/>
      <c r="E231" s="393"/>
      <c r="F231" s="401"/>
      <c r="G231" s="402"/>
      <c r="H231" s="403"/>
      <c r="I231" s="401" t="s">
        <v>228</v>
      </c>
      <c r="J231" s="401" t="s">
        <v>228</v>
      </c>
      <c r="K231" s="398"/>
      <c r="L231" s="404"/>
      <c r="M231" s="400"/>
    </row>
    <row r="232" spans="1:13" s="148" customFormat="1" hidden="1" x14ac:dyDescent="0.25">
      <c r="A232" s="400"/>
      <c r="B232" s="393"/>
      <c r="C232" s="393"/>
      <c r="D232" s="394"/>
      <c r="E232" s="393"/>
      <c r="F232" s="401"/>
      <c r="G232" s="402"/>
      <c r="H232" s="403"/>
      <c r="I232" s="401" t="s">
        <v>228</v>
      </c>
      <c r="J232" s="401" t="s">
        <v>228</v>
      </c>
      <c r="K232" s="398"/>
      <c r="L232" s="404"/>
      <c r="M232" s="400"/>
    </row>
    <row r="233" spans="1:13" s="148" customFormat="1" hidden="1" x14ac:dyDescent="0.25">
      <c r="A233" s="400"/>
      <c r="B233" s="393"/>
      <c r="C233" s="393"/>
      <c r="D233" s="394"/>
      <c r="E233" s="393"/>
      <c r="F233" s="401"/>
      <c r="G233" s="402"/>
      <c r="H233" s="403"/>
      <c r="I233" s="401" t="s">
        <v>228</v>
      </c>
      <c r="J233" s="401" t="s">
        <v>228</v>
      </c>
      <c r="K233" s="398"/>
      <c r="L233" s="404"/>
      <c r="M233" s="400"/>
    </row>
    <row r="234" spans="1:13" s="148" customFormat="1" hidden="1" x14ac:dyDescent="0.25">
      <c r="A234" s="400"/>
      <c r="B234" s="393"/>
      <c r="C234" s="393"/>
      <c r="D234" s="394"/>
      <c r="E234" s="393"/>
      <c r="F234" s="401"/>
      <c r="G234" s="402"/>
      <c r="H234" s="403"/>
      <c r="I234" s="401" t="s">
        <v>228</v>
      </c>
      <c r="J234" s="401" t="s">
        <v>228</v>
      </c>
      <c r="K234" s="398"/>
      <c r="L234" s="404"/>
      <c r="M234" s="400"/>
    </row>
    <row r="235" spans="1:13" s="148" customFormat="1" hidden="1" x14ac:dyDescent="0.25">
      <c r="A235" s="400"/>
      <c r="B235" s="393"/>
      <c r="C235" s="393"/>
      <c r="D235" s="394"/>
      <c r="E235" s="393"/>
      <c r="F235" s="401"/>
      <c r="G235" s="402"/>
      <c r="H235" s="403"/>
      <c r="I235" s="401" t="s">
        <v>228</v>
      </c>
      <c r="J235" s="401" t="s">
        <v>228</v>
      </c>
      <c r="K235" s="398"/>
      <c r="L235" s="404"/>
      <c r="M235" s="400"/>
    </row>
    <row r="236" spans="1:13" s="148" customFormat="1" hidden="1" x14ac:dyDescent="0.25">
      <c r="A236" s="400"/>
      <c r="B236" s="393"/>
      <c r="C236" s="393"/>
      <c r="D236" s="394"/>
      <c r="E236" s="393"/>
      <c r="F236" s="401"/>
      <c r="G236" s="402"/>
      <c r="H236" s="403"/>
      <c r="I236" s="401" t="s">
        <v>228</v>
      </c>
      <c r="J236" s="401" t="s">
        <v>228</v>
      </c>
      <c r="K236" s="398"/>
      <c r="L236" s="404"/>
      <c r="M236" s="400"/>
    </row>
    <row r="237" spans="1:13" s="148" customFormat="1" hidden="1" x14ac:dyDescent="0.25">
      <c r="A237" s="400"/>
      <c r="B237" s="393"/>
      <c r="C237" s="393"/>
      <c r="D237" s="394"/>
      <c r="E237" s="393"/>
      <c r="F237" s="401"/>
      <c r="G237" s="402"/>
      <c r="H237" s="403"/>
      <c r="I237" s="401" t="s">
        <v>228</v>
      </c>
      <c r="J237" s="401" t="s">
        <v>228</v>
      </c>
      <c r="K237" s="398"/>
      <c r="L237" s="404"/>
      <c r="M237" s="400"/>
    </row>
    <row r="238" spans="1:13" s="148" customFormat="1" hidden="1" x14ac:dyDescent="0.25">
      <c r="A238" s="400"/>
      <c r="B238" s="393"/>
      <c r="C238" s="393"/>
      <c r="D238" s="394"/>
      <c r="E238" s="393"/>
      <c r="F238" s="401"/>
      <c r="G238" s="402"/>
      <c r="H238" s="403"/>
      <c r="I238" s="401" t="s">
        <v>228</v>
      </c>
      <c r="J238" s="401" t="s">
        <v>228</v>
      </c>
      <c r="K238" s="398"/>
      <c r="L238" s="404"/>
      <c r="M238" s="400"/>
    </row>
    <row r="239" spans="1:13" s="148" customFormat="1" hidden="1" x14ac:dyDescent="0.25">
      <c r="A239" s="400"/>
      <c r="B239" s="393"/>
      <c r="C239" s="393"/>
      <c r="D239" s="394"/>
      <c r="E239" s="393"/>
      <c r="F239" s="401"/>
      <c r="G239" s="402"/>
      <c r="H239" s="403"/>
      <c r="I239" s="401" t="s">
        <v>228</v>
      </c>
      <c r="J239" s="401" t="s">
        <v>228</v>
      </c>
      <c r="K239" s="398"/>
      <c r="L239" s="404"/>
      <c r="M239" s="400"/>
    </row>
    <row r="240" spans="1:13" s="148" customFormat="1" hidden="1" x14ac:dyDescent="0.25">
      <c r="A240" s="400"/>
      <c r="B240" s="393"/>
      <c r="C240" s="393"/>
      <c r="D240" s="394"/>
      <c r="E240" s="393"/>
      <c r="F240" s="401"/>
      <c r="G240" s="402"/>
      <c r="H240" s="403"/>
      <c r="I240" s="401" t="s">
        <v>228</v>
      </c>
      <c r="J240" s="401" t="s">
        <v>228</v>
      </c>
      <c r="K240" s="398"/>
      <c r="L240" s="404"/>
      <c r="M240" s="400"/>
    </row>
    <row r="241" spans="1:13" s="148" customFormat="1" hidden="1" x14ac:dyDescent="0.25">
      <c r="A241" s="400"/>
      <c r="B241" s="393"/>
      <c r="C241" s="393"/>
      <c r="D241" s="394"/>
      <c r="E241" s="393"/>
      <c r="F241" s="401"/>
      <c r="G241" s="402"/>
      <c r="H241" s="403"/>
      <c r="I241" s="401" t="s">
        <v>228</v>
      </c>
      <c r="J241" s="401" t="s">
        <v>228</v>
      </c>
      <c r="K241" s="398"/>
      <c r="L241" s="404"/>
      <c r="M241" s="400"/>
    </row>
    <row r="242" spans="1:13" s="148" customFormat="1" hidden="1" x14ac:dyDescent="0.25">
      <c r="A242" s="400"/>
      <c r="B242" s="393"/>
      <c r="C242" s="393"/>
      <c r="D242" s="394"/>
      <c r="E242" s="393"/>
      <c r="F242" s="401"/>
      <c r="G242" s="402"/>
      <c r="H242" s="403"/>
      <c r="I242" s="401" t="s">
        <v>228</v>
      </c>
      <c r="J242" s="401" t="s">
        <v>228</v>
      </c>
      <c r="K242" s="398"/>
      <c r="L242" s="404"/>
      <c r="M242" s="400"/>
    </row>
    <row r="243" spans="1:13" s="148" customFormat="1" hidden="1" x14ac:dyDescent="0.25">
      <c r="A243" s="400"/>
      <c r="B243" s="393"/>
      <c r="C243" s="393"/>
      <c r="D243" s="394"/>
      <c r="E243" s="393"/>
      <c r="F243" s="401"/>
      <c r="G243" s="402"/>
      <c r="H243" s="403"/>
      <c r="I243" s="401" t="s">
        <v>228</v>
      </c>
      <c r="J243" s="401" t="s">
        <v>228</v>
      </c>
      <c r="K243" s="398"/>
      <c r="L243" s="404"/>
      <c r="M243" s="400"/>
    </row>
    <row r="244" spans="1:13" s="148" customFormat="1" hidden="1" x14ac:dyDescent="0.25">
      <c r="A244" s="400"/>
      <c r="B244" s="393"/>
      <c r="C244" s="393"/>
      <c r="D244" s="394"/>
      <c r="E244" s="393"/>
      <c r="F244" s="401"/>
      <c r="G244" s="402"/>
      <c r="H244" s="403"/>
      <c r="I244" s="401" t="s">
        <v>228</v>
      </c>
      <c r="J244" s="401" t="s">
        <v>228</v>
      </c>
      <c r="K244" s="398"/>
      <c r="L244" s="404"/>
      <c r="M244" s="400"/>
    </row>
    <row r="245" spans="1:13" s="148" customFormat="1" hidden="1" x14ac:dyDescent="0.25">
      <c r="A245" s="400"/>
      <c r="B245" s="393"/>
      <c r="C245" s="393"/>
      <c r="D245" s="394"/>
      <c r="E245" s="393"/>
      <c r="F245" s="401"/>
      <c r="G245" s="402"/>
      <c r="H245" s="403"/>
      <c r="I245" s="401" t="s">
        <v>228</v>
      </c>
      <c r="J245" s="401" t="s">
        <v>228</v>
      </c>
      <c r="K245" s="398"/>
      <c r="L245" s="404"/>
      <c r="M245" s="400"/>
    </row>
    <row r="246" spans="1:13" s="148" customFormat="1" hidden="1" x14ac:dyDescent="0.25">
      <c r="A246" s="400"/>
      <c r="B246" s="393"/>
      <c r="C246" s="393"/>
      <c r="D246" s="394"/>
      <c r="E246" s="393"/>
      <c r="F246" s="401"/>
      <c r="G246" s="402"/>
      <c r="H246" s="403"/>
      <c r="I246" s="401" t="s">
        <v>228</v>
      </c>
      <c r="J246" s="401" t="s">
        <v>228</v>
      </c>
      <c r="K246" s="398"/>
      <c r="L246" s="404"/>
      <c r="M246" s="400"/>
    </row>
    <row r="247" spans="1:13" s="148" customFormat="1" hidden="1" x14ac:dyDescent="0.25">
      <c r="A247" s="400"/>
      <c r="B247" s="393"/>
      <c r="C247" s="393"/>
      <c r="D247" s="394"/>
      <c r="E247" s="393"/>
      <c r="F247" s="401"/>
      <c r="G247" s="402"/>
      <c r="H247" s="403"/>
      <c r="I247" s="401" t="s">
        <v>228</v>
      </c>
      <c r="J247" s="401" t="s">
        <v>228</v>
      </c>
      <c r="K247" s="398"/>
      <c r="L247" s="404"/>
      <c r="M247" s="400"/>
    </row>
    <row r="248" spans="1:13" s="148" customFormat="1" hidden="1" x14ac:dyDescent="0.25">
      <c r="A248" s="400"/>
      <c r="B248" s="393"/>
      <c r="C248" s="393"/>
      <c r="D248" s="394"/>
      <c r="E248" s="393"/>
      <c r="F248" s="401"/>
      <c r="G248" s="402"/>
      <c r="H248" s="403"/>
      <c r="I248" s="401" t="s">
        <v>228</v>
      </c>
      <c r="J248" s="401" t="s">
        <v>228</v>
      </c>
      <c r="K248" s="398"/>
      <c r="L248" s="404"/>
      <c r="M248" s="400"/>
    </row>
    <row r="249" spans="1:13" s="148" customFormat="1" hidden="1" x14ac:dyDescent="0.25">
      <c r="A249" s="400"/>
      <c r="B249" s="393"/>
      <c r="C249" s="393"/>
      <c r="D249" s="394"/>
      <c r="E249" s="393"/>
      <c r="F249" s="401"/>
      <c r="G249" s="402"/>
      <c r="H249" s="403"/>
      <c r="I249" s="401" t="s">
        <v>228</v>
      </c>
      <c r="J249" s="401" t="s">
        <v>228</v>
      </c>
      <c r="K249" s="398"/>
      <c r="L249" s="404"/>
      <c r="M249" s="400"/>
    </row>
    <row r="250" spans="1:13" s="148" customFormat="1" hidden="1" x14ac:dyDescent="0.25">
      <c r="A250" s="400"/>
      <c r="B250" s="393"/>
      <c r="C250" s="393"/>
      <c r="D250" s="394"/>
      <c r="E250" s="393"/>
      <c r="F250" s="401"/>
      <c r="G250" s="402"/>
      <c r="H250" s="403"/>
      <c r="I250" s="401" t="s">
        <v>228</v>
      </c>
      <c r="J250" s="401" t="s">
        <v>228</v>
      </c>
      <c r="K250" s="398"/>
      <c r="L250" s="404"/>
      <c r="M250" s="400"/>
    </row>
    <row r="251" spans="1:13" s="148" customFormat="1" hidden="1" x14ac:dyDescent="0.25">
      <c r="A251" s="400"/>
      <c r="B251" s="393"/>
      <c r="C251" s="393"/>
      <c r="D251" s="394"/>
      <c r="E251" s="393"/>
      <c r="F251" s="401"/>
      <c r="G251" s="402"/>
      <c r="H251" s="403"/>
      <c r="I251" s="401" t="s">
        <v>228</v>
      </c>
      <c r="J251" s="401" t="s">
        <v>228</v>
      </c>
      <c r="K251" s="398"/>
      <c r="L251" s="404"/>
      <c r="M251" s="400"/>
    </row>
    <row r="252" spans="1:13" s="148" customFormat="1" hidden="1" x14ac:dyDescent="0.25">
      <c r="A252" s="400"/>
      <c r="B252" s="393"/>
      <c r="C252" s="393"/>
      <c r="D252" s="394"/>
      <c r="E252" s="393"/>
      <c r="F252" s="401"/>
      <c r="G252" s="402"/>
      <c r="H252" s="403"/>
      <c r="I252" s="401" t="s">
        <v>228</v>
      </c>
      <c r="J252" s="401" t="s">
        <v>228</v>
      </c>
      <c r="K252" s="398"/>
      <c r="L252" s="404"/>
      <c r="M252" s="400"/>
    </row>
    <row r="253" spans="1:13" s="148" customFormat="1" hidden="1" x14ac:dyDescent="0.25">
      <c r="A253" s="400"/>
      <c r="B253" s="393"/>
      <c r="C253" s="393"/>
      <c r="D253" s="394"/>
      <c r="E253" s="393"/>
      <c r="F253" s="401"/>
      <c r="G253" s="402"/>
      <c r="H253" s="403"/>
      <c r="I253" s="401" t="s">
        <v>228</v>
      </c>
      <c r="J253" s="401" t="s">
        <v>228</v>
      </c>
      <c r="K253" s="398"/>
      <c r="L253" s="404"/>
      <c r="M253" s="400"/>
    </row>
    <row r="254" spans="1:13" s="148" customFormat="1" hidden="1" x14ac:dyDescent="0.25">
      <c r="A254" s="400"/>
      <c r="B254" s="393"/>
      <c r="C254" s="393"/>
      <c r="D254" s="394"/>
      <c r="E254" s="393"/>
      <c r="F254" s="401"/>
      <c r="G254" s="402"/>
      <c r="H254" s="403"/>
      <c r="I254" s="401" t="s">
        <v>228</v>
      </c>
      <c r="J254" s="401" t="s">
        <v>228</v>
      </c>
      <c r="K254" s="398"/>
      <c r="L254" s="404"/>
      <c r="M254" s="400"/>
    </row>
    <row r="255" spans="1:13" s="148" customFormat="1" hidden="1" x14ac:dyDescent="0.25">
      <c r="A255" s="400"/>
      <c r="B255" s="393"/>
      <c r="C255" s="393"/>
      <c r="D255" s="394"/>
      <c r="E255" s="393"/>
      <c r="F255" s="401"/>
      <c r="G255" s="402"/>
      <c r="H255" s="403"/>
      <c r="I255" s="401" t="s">
        <v>228</v>
      </c>
      <c r="J255" s="401" t="s">
        <v>228</v>
      </c>
      <c r="K255" s="398"/>
      <c r="L255" s="404"/>
      <c r="M255" s="400"/>
    </row>
    <row r="256" spans="1:13" s="148" customFormat="1" hidden="1" x14ac:dyDescent="0.25">
      <c r="A256" s="400"/>
      <c r="B256" s="393"/>
      <c r="C256" s="393"/>
      <c r="D256" s="394"/>
      <c r="E256" s="393"/>
      <c r="F256" s="401"/>
      <c r="G256" s="402"/>
      <c r="H256" s="403"/>
      <c r="I256" s="401" t="s">
        <v>228</v>
      </c>
      <c r="J256" s="401" t="s">
        <v>228</v>
      </c>
      <c r="K256" s="398"/>
      <c r="L256" s="404"/>
      <c r="M256" s="400"/>
    </row>
    <row r="257" spans="1:13" s="148" customFormat="1" hidden="1" x14ac:dyDescent="0.25">
      <c r="A257" s="400"/>
      <c r="B257" s="393"/>
      <c r="C257" s="393"/>
      <c r="D257" s="394"/>
      <c r="E257" s="393"/>
      <c r="F257" s="401"/>
      <c r="G257" s="402"/>
      <c r="H257" s="403"/>
      <c r="I257" s="401" t="s">
        <v>228</v>
      </c>
      <c r="J257" s="401" t="s">
        <v>228</v>
      </c>
      <c r="K257" s="398"/>
      <c r="L257" s="404"/>
      <c r="M257" s="400"/>
    </row>
    <row r="258" spans="1:13" s="148" customFormat="1" hidden="1" x14ac:dyDescent="0.25">
      <c r="A258" s="400"/>
      <c r="B258" s="393"/>
      <c r="C258" s="393"/>
      <c r="D258" s="394"/>
      <c r="E258" s="393"/>
      <c r="F258" s="401"/>
      <c r="G258" s="402"/>
      <c r="H258" s="403"/>
      <c r="I258" s="401" t="s">
        <v>228</v>
      </c>
      <c r="J258" s="401" t="s">
        <v>228</v>
      </c>
      <c r="K258" s="398"/>
      <c r="L258" s="404"/>
      <c r="M258" s="400"/>
    </row>
    <row r="259" spans="1:13" s="148" customFormat="1" hidden="1" x14ac:dyDescent="0.25">
      <c r="A259" s="400"/>
      <c r="B259" s="393"/>
      <c r="C259" s="393"/>
      <c r="D259" s="394"/>
      <c r="E259" s="393"/>
      <c r="F259" s="401"/>
      <c r="G259" s="402"/>
      <c r="H259" s="403"/>
      <c r="I259" s="401" t="s">
        <v>228</v>
      </c>
      <c r="J259" s="401" t="s">
        <v>228</v>
      </c>
      <c r="K259" s="398"/>
      <c r="L259" s="404"/>
      <c r="M259" s="400"/>
    </row>
    <row r="260" spans="1:13" s="148" customFormat="1" hidden="1" x14ac:dyDescent="0.25">
      <c r="A260" s="400"/>
      <c r="B260" s="393"/>
      <c r="C260" s="393"/>
      <c r="D260" s="394"/>
      <c r="E260" s="393"/>
      <c r="F260" s="401"/>
      <c r="G260" s="402"/>
      <c r="H260" s="403"/>
      <c r="I260" s="401" t="s">
        <v>228</v>
      </c>
      <c r="J260" s="401" t="s">
        <v>228</v>
      </c>
      <c r="K260" s="398"/>
      <c r="L260" s="404"/>
      <c r="M260" s="400"/>
    </row>
    <row r="261" spans="1:13" s="148" customFormat="1" hidden="1" x14ac:dyDescent="0.25">
      <c r="A261" s="400"/>
      <c r="B261" s="393"/>
      <c r="C261" s="393"/>
      <c r="D261" s="394"/>
      <c r="E261" s="393"/>
      <c r="F261" s="401"/>
      <c r="G261" s="402"/>
      <c r="H261" s="403"/>
      <c r="I261" s="401" t="s">
        <v>228</v>
      </c>
      <c r="J261" s="401" t="s">
        <v>228</v>
      </c>
      <c r="K261" s="398"/>
      <c r="L261" s="404"/>
      <c r="M261" s="400"/>
    </row>
    <row r="262" spans="1:13" s="148" customFormat="1" hidden="1" x14ac:dyDescent="0.25">
      <c r="A262" s="400"/>
      <c r="B262" s="393"/>
      <c r="C262" s="393"/>
      <c r="D262" s="394"/>
      <c r="E262" s="393"/>
      <c r="F262" s="401"/>
      <c r="G262" s="402"/>
      <c r="H262" s="403"/>
      <c r="I262" s="401" t="s">
        <v>228</v>
      </c>
      <c r="J262" s="401" t="s">
        <v>228</v>
      </c>
      <c r="K262" s="398"/>
      <c r="L262" s="404"/>
      <c r="M262" s="400"/>
    </row>
    <row r="263" spans="1:13" s="148" customFormat="1" hidden="1" x14ac:dyDescent="0.25">
      <c r="A263" s="400"/>
      <c r="B263" s="393"/>
      <c r="C263" s="393"/>
      <c r="D263" s="394"/>
      <c r="E263" s="393"/>
      <c r="F263" s="401"/>
      <c r="G263" s="402"/>
      <c r="H263" s="403"/>
      <c r="I263" s="401" t="s">
        <v>228</v>
      </c>
      <c r="J263" s="401" t="s">
        <v>228</v>
      </c>
      <c r="K263" s="398"/>
      <c r="L263" s="404"/>
      <c r="M263" s="400"/>
    </row>
    <row r="264" spans="1:13" s="148" customFormat="1" hidden="1" x14ac:dyDescent="0.25">
      <c r="A264" s="400"/>
      <c r="B264" s="393"/>
      <c r="C264" s="393"/>
      <c r="D264" s="394"/>
      <c r="E264" s="393"/>
      <c r="F264" s="401"/>
      <c r="G264" s="402"/>
      <c r="H264" s="403"/>
      <c r="I264" s="401" t="s">
        <v>228</v>
      </c>
      <c r="J264" s="401" t="s">
        <v>228</v>
      </c>
      <c r="K264" s="398"/>
      <c r="L264" s="404"/>
      <c r="M264" s="400"/>
    </row>
    <row r="265" spans="1:13" s="148" customFormat="1" hidden="1" x14ac:dyDescent="0.25">
      <c r="A265" s="400"/>
      <c r="B265" s="393"/>
      <c r="C265" s="393"/>
      <c r="D265" s="394"/>
      <c r="E265" s="393"/>
      <c r="F265" s="401"/>
      <c r="G265" s="402"/>
      <c r="H265" s="403"/>
      <c r="I265" s="401" t="s">
        <v>228</v>
      </c>
      <c r="J265" s="401" t="s">
        <v>228</v>
      </c>
      <c r="K265" s="398"/>
      <c r="L265" s="404"/>
      <c r="M265" s="400"/>
    </row>
    <row r="266" spans="1:13" s="148" customFormat="1" hidden="1" x14ac:dyDescent="0.25">
      <c r="A266" s="400"/>
      <c r="B266" s="393"/>
      <c r="C266" s="393"/>
      <c r="D266" s="394"/>
      <c r="E266" s="393"/>
      <c r="F266" s="401"/>
      <c r="G266" s="402"/>
      <c r="H266" s="403"/>
      <c r="I266" s="401" t="s">
        <v>228</v>
      </c>
      <c r="J266" s="401" t="s">
        <v>228</v>
      </c>
      <c r="K266" s="398"/>
      <c r="L266" s="404"/>
      <c r="M266" s="400"/>
    </row>
    <row r="267" spans="1:13" s="148" customFormat="1" hidden="1" x14ac:dyDescent="0.25">
      <c r="A267" s="400"/>
      <c r="B267" s="393"/>
      <c r="C267" s="393"/>
      <c r="D267" s="394"/>
      <c r="E267" s="393"/>
      <c r="F267" s="401"/>
      <c r="G267" s="402"/>
      <c r="H267" s="403"/>
      <c r="I267" s="401" t="s">
        <v>228</v>
      </c>
      <c r="J267" s="401" t="s">
        <v>228</v>
      </c>
      <c r="K267" s="398"/>
      <c r="L267" s="404"/>
      <c r="M267" s="400"/>
    </row>
    <row r="268" spans="1:13" s="148" customFormat="1" hidden="1" x14ac:dyDescent="0.25">
      <c r="A268" s="400"/>
      <c r="B268" s="393"/>
      <c r="C268" s="393"/>
      <c r="D268" s="394"/>
      <c r="E268" s="393"/>
      <c r="F268" s="401"/>
      <c r="G268" s="402"/>
      <c r="H268" s="403"/>
      <c r="I268" s="401" t="s">
        <v>228</v>
      </c>
      <c r="J268" s="401" t="s">
        <v>228</v>
      </c>
      <c r="K268" s="398"/>
      <c r="L268" s="404"/>
      <c r="M268" s="400"/>
    </row>
    <row r="269" spans="1:13" s="148" customFormat="1" hidden="1" x14ac:dyDescent="0.25">
      <c r="A269" s="400"/>
      <c r="B269" s="393"/>
      <c r="C269" s="393"/>
      <c r="D269" s="394"/>
      <c r="E269" s="393"/>
      <c r="F269" s="401"/>
      <c r="G269" s="402"/>
      <c r="H269" s="403"/>
      <c r="I269" s="401" t="s">
        <v>228</v>
      </c>
      <c r="J269" s="401" t="s">
        <v>228</v>
      </c>
      <c r="K269" s="398"/>
      <c r="L269" s="404"/>
      <c r="M269" s="400"/>
    </row>
    <row r="270" spans="1:13" s="148" customFormat="1" hidden="1" x14ac:dyDescent="0.25">
      <c r="A270" s="400"/>
      <c r="B270" s="393"/>
      <c r="C270" s="393"/>
      <c r="D270" s="394"/>
      <c r="E270" s="393"/>
      <c r="F270" s="401"/>
      <c r="G270" s="402"/>
      <c r="H270" s="403"/>
      <c r="I270" s="401" t="s">
        <v>228</v>
      </c>
      <c r="J270" s="401" t="s">
        <v>228</v>
      </c>
      <c r="K270" s="398"/>
      <c r="L270" s="404"/>
      <c r="M270" s="400"/>
    </row>
    <row r="271" spans="1:13" s="148" customFormat="1" hidden="1" x14ac:dyDescent="0.25">
      <c r="A271" s="400"/>
      <c r="B271" s="393"/>
      <c r="C271" s="393"/>
      <c r="D271" s="394"/>
      <c r="E271" s="393"/>
      <c r="F271" s="401"/>
      <c r="G271" s="402"/>
      <c r="H271" s="403"/>
      <c r="I271" s="401" t="s">
        <v>228</v>
      </c>
      <c r="J271" s="401" t="s">
        <v>228</v>
      </c>
      <c r="K271" s="398"/>
      <c r="L271" s="404"/>
      <c r="M271" s="400"/>
    </row>
    <row r="272" spans="1:13" s="148" customFormat="1" hidden="1" x14ac:dyDescent="0.25">
      <c r="A272" s="400"/>
      <c r="B272" s="393"/>
      <c r="C272" s="393"/>
      <c r="D272" s="394"/>
      <c r="E272" s="393"/>
      <c r="F272" s="401"/>
      <c r="G272" s="402"/>
      <c r="H272" s="403"/>
      <c r="I272" s="401" t="s">
        <v>228</v>
      </c>
      <c r="J272" s="401" t="s">
        <v>228</v>
      </c>
      <c r="K272" s="398"/>
      <c r="L272" s="404"/>
      <c r="M272" s="400"/>
    </row>
    <row r="273" spans="1:13" s="148" customFormat="1" hidden="1" x14ac:dyDescent="0.25">
      <c r="A273" s="400"/>
      <c r="B273" s="393"/>
      <c r="C273" s="393"/>
      <c r="D273" s="394"/>
      <c r="E273" s="393"/>
      <c r="F273" s="401"/>
      <c r="G273" s="402"/>
      <c r="H273" s="403"/>
      <c r="I273" s="401" t="s">
        <v>228</v>
      </c>
      <c r="J273" s="401" t="s">
        <v>228</v>
      </c>
      <c r="K273" s="398"/>
      <c r="L273" s="404"/>
      <c r="M273" s="400"/>
    </row>
    <row r="274" spans="1:13" s="148" customFormat="1" hidden="1" x14ac:dyDescent="0.25">
      <c r="A274" s="400"/>
      <c r="B274" s="393"/>
      <c r="C274" s="393"/>
      <c r="D274" s="394"/>
      <c r="E274" s="393"/>
      <c r="F274" s="401"/>
      <c r="G274" s="402"/>
      <c r="H274" s="403"/>
      <c r="I274" s="401" t="s">
        <v>228</v>
      </c>
      <c r="J274" s="401" t="s">
        <v>228</v>
      </c>
      <c r="K274" s="398"/>
      <c r="L274" s="404"/>
      <c r="M274" s="400"/>
    </row>
    <row r="275" spans="1:13" s="148" customFormat="1" hidden="1" x14ac:dyDescent="0.25">
      <c r="A275" s="400"/>
      <c r="B275" s="393"/>
      <c r="C275" s="393"/>
      <c r="D275" s="394"/>
      <c r="E275" s="393"/>
      <c r="F275" s="401"/>
      <c r="G275" s="402"/>
      <c r="H275" s="403"/>
      <c r="I275" s="401" t="s">
        <v>228</v>
      </c>
      <c r="J275" s="401" t="s">
        <v>228</v>
      </c>
      <c r="K275" s="398"/>
      <c r="L275" s="404"/>
      <c r="M275" s="400"/>
    </row>
    <row r="276" spans="1:13" s="148" customFormat="1" hidden="1" x14ac:dyDescent="0.25">
      <c r="A276" s="400"/>
      <c r="B276" s="393"/>
      <c r="C276" s="393"/>
      <c r="D276" s="394"/>
      <c r="E276" s="393"/>
      <c r="F276" s="401"/>
      <c r="G276" s="402"/>
      <c r="H276" s="403"/>
      <c r="I276" s="401" t="s">
        <v>228</v>
      </c>
      <c r="J276" s="401" t="s">
        <v>228</v>
      </c>
      <c r="K276" s="398"/>
      <c r="L276" s="404"/>
      <c r="M276" s="400"/>
    </row>
    <row r="277" spans="1:13" s="148" customFormat="1" hidden="1" x14ac:dyDescent="0.25">
      <c r="A277" s="400"/>
      <c r="B277" s="393"/>
      <c r="C277" s="393"/>
      <c r="D277" s="394"/>
      <c r="E277" s="393"/>
      <c r="F277" s="401"/>
      <c r="G277" s="402"/>
      <c r="H277" s="403"/>
      <c r="I277" s="401" t="s">
        <v>228</v>
      </c>
      <c r="J277" s="401" t="s">
        <v>228</v>
      </c>
      <c r="K277" s="398"/>
      <c r="L277" s="404"/>
      <c r="M277" s="400"/>
    </row>
    <row r="278" spans="1:13" s="148" customFormat="1" hidden="1" x14ac:dyDescent="0.25">
      <c r="A278" s="400"/>
      <c r="B278" s="393"/>
      <c r="C278" s="393"/>
      <c r="D278" s="394"/>
      <c r="E278" s="393"/>
      <c r="F278" s="401"/>
      <c r="G278" s="402"/>
      <c r="H278" s="403"/>
      <c r="I278" s="401" t="s">
        <v>228</v>
      </c>
      <c r="J278" s="401" t="s">
        <v>228</v>
      </c>
      <c r="K278" s="398"/>
      <c r="L278" s="404"/>
      <c r="M278" s="400"/>
    </row>
    <row r="279" spans="1:13" s="148" customFormat="1" hidden="1" x14ac:dyDescent="0.25">
      <c r="A279" s="400"/>
      <c r="B279" s="393"/>
      <c r="C279" s="393"/>
      <c r="D279" s="394"/>
      <c r="E279" s="393"/>
      <c r="F279" s="401"/>
      <c r="G279" s="402"/>
      <c r="H279" s="403"/>
      <c r="I279" s="401" t="s">
        <v>228</v>
      </c>
      <c r="J279" s="401" t="s">
        <v>228</v>
      </c>
      <c r="K279" s="398"/>
      <c r="L279" s="404"/>
      <c r="M279" s="400"/>
    </row>
    <row r="280" spans="1:13" s="148" customFormat="1" hidden="1" x14ac:dyDescent="0.25">
      <c r="A280" s="400"/>
      <c r="B280" s="393"/>
      <c r="C280" s="393"/>
      <c r="D280" s="394"/>
      <c r="E280" s="393"/>
      <c r="F280" s="401"/>
      <c r="G280" s="402"/>
      <c r="H280" s="403"/>
      <c r="I280" s="401" t="s">
        <v>228</v>
      </c>
      <c r="J280" s="401" t="s">
        <v>228</v>
      </c>
      <c r="K280" s="398"/>
      <c r="L280" s="404"/>
      <c r="M280" s="400"/>
    </row>
    <row r="281" spans="1:13" s="148" customFormat="1" hidden="1" x14ac:dyDescent="0.25">
      <c r="A281" s="400"/>
      <c r="B281" s="393"/>
      <c r="C281" s="393"/>
      <c r="D281" s="394"/>
      <c r="E281" s="393"/>
      <c r="F281" s="401"/>
      <c r="G281" s="402"/>
      <c r="H281" s="403"/>
      <c r="I281" s="401" t="s">
        <v>228</v>
      </c>
      <c r="J281" s="401" t="s">
        <v>228</v>
      </c>
      <c r="K281" s="398"/>
      <c r="L281" s="404"/>
      <c r="M281" s="400"/>
    </row>
    <row r="282" spans="1:13" s="148" customFormat="1" hidden="1" x14ac:dyDescent="0.25">
      <c r="A282" s="400"/>
      <c r="B282" s="393"/>
      <c r="C282" s="393"/>
      <c r="D282" s="394"/>
      <c r="E282" s="393"/>
      <c r="F282" s="401"/>
      <c r="G282" s="402"/>
      <c r="H282" s="403"/>
      <c r="I282" s="401" t="s">
        <v>228</v>
      </c>
      <c r="J282" s="401" t="s">
        <v>228</v>
      </c>
      <c r="K282" s="398"/>
      <c r="L282" s="404"/>
      <c r="M282" s="400"/>
    </row>
    <row r="283" spans="1:13" s="148" customFormat="1" hidden="1" x14ac:dyDescent="0.25">
      <c r="A283" s="400"/>
      <c r="B283" s="393"/>
      <c r="C283" s="393"/>
      <c r="D283" s="394"/>
      <c r="E283" s="393"/>
      <c r="F283" s="401"/>
      <c r="G283" s="402"/>
      <c r="H283" s="403"/>
      <c r="I283" s="401" t="s">
        <v>228</v>
      </c>
      <c r="J283" s="401" t="s">
        <v>228</v>
      </c>
      <c r="K283" s="398"/>
      <c r="L283" s="404"/>
      <c r="M283" s="400"/>
    </row>
    <row r="284" spans="1:13" s="148" customFormat="1" hidden="1" x14ac:dyDescent="0.25">
      <c r="A284" s="400"/>
      <c r="B284" s="393"/>
      <c r="C284" s="393"/>
      <c r="D284" s="394"/>
      <c r="E284" s="393"/>
      <c r="F284" s="401"/>
      <c r="G284" s="402"/>
      <c r="H284" s="403"/>
      <c r="I284" s="401" t="s">
        <v>228</v>
      </c>
      <c r="J284" s="401" t="s">
        <v>228</v>
      </c>
      <c r="K284" s="398"/>
      <c r="L284" s="404"/>
      <c r="M284" s="400"/>
    </row>
    <row r="285" spans="1:13" s="148" customFormat="1" hidden="1" x14ac:dyDescent="0.25">
      <c r="A285" s="400"/>
      <c r="B285" s="393"/>
      <c r="C285" s="393"/>
      <c r="D285" s="394"/>
      <c r="E285" s="393"/>
      <c r="F285" s="401"/>
      <c r="G285" s="402"/>
      <c r="H285" s="403"/>
      <c r="I285" s="401" t="s">
        <v>228</v>
      </c>
      <c r="J285" s="401" t="s">
        <v>228</v>
      </c>
      <c r="K285" s="398"/>
      <c r="L285" s="404"/>
      <c r="M285" s="400"/>
    </row>
    <row r="286" spans="1:13" s="148" customFormat="1" hidden="1" x14ac:dyDescent="0.25">
      <c r="A286" s="400"/>
      <c r="B286" s="393"/>
      <c r="C286" s="393"/>
      <c r="D286" s="394"/>
      <c r="E286" s="393"/>
      <c r="F286" s="401"/>
      <c r="G286" s="402"/>
      <c r="H286" s="403"/>
      <c r="I286" s="401" t="s">
        <v>228</v>
      </c>
      <c r="J286" s="401" t="s">
        <v>228</v>
      </c>
      <c r="K286" s="398"/>
      <c r="L286" s="404"/>
      <c r="M286" s="400"/>
    </row>
    <row r="287" spans="1:13" s="148" customFormat="1" hidden="1" x14ac:dyDescent="0.25">
      <c r="A287" s="400"/>
      <c r="B287" s="393"/>
      <c r="C287" s="393"/>
      <c r="D287" s="394"/>
      <c r="E287" s="393"/>
      <c r="F287" s="401"/>
      <c r="G287" s="402"/>
      <c r="H287" s="403"/>
      <c r="I287" s="401" t="s">
        <v>228</v>
      </c>
      <c r="J287" s="401" t="s">
        <v>228</v>
      </c>
      <c r="K287" s="398"/>
      <c r="L287" s="404"/>
      <c r="M287" s="400"/>
    </row>
    <row r="288" spans="1:13" s="148" customFormat="1" hidden="1" x14ac:dyDescent="0.25">
      <c r="A288" s="400"/>
      <c r="B288" s="393"/>
      <c r="C288" s="393"/>
      <c r="D288" s="394"/>
      <c r="E288" s="393"/>
      <c r="F288" s="401"/>
      <c r="G288" s="402"/>
      <c r="H288" s="403"/>
      <c r="I288" s="401" t="s">
        <v>228</v>
      </c>
      <c r="J288" s="401" t="s">
        <v>228</v>
      </c>
      <c r="K288" s="398"/>
      <c r="L288" s="404"/>
      <c r="M288" s="400"/>
    </row>
    <row r="289" spans="1:13" s="148" customFormat="1" hidden="1" x14ac:dyDescent="0.25">
      <c r="A289" s="400"/>
      <c r="B289" s="393"/>
      <c r="C289" s="393"/>
      <c r="D289" s="394"/>
      <c r="E289" s="393"/>
      <c r="F289" s="401"/>
      <c r="G289" s="402"/>
      <c r="H289" s="403"/>
      <c r="I289" s="401" t="s">
        <v>228</v>
      </c>
      <c r="J289" s="401" t="s">
        <v>228</v>
      </c>
      <c r="K289" s="398"/>
      <c r="L289" s="404"/>
      <c r="M289" s="400"/>
    </row>
    <row r="290" spans="1:13" s="148" customFormat="1" hidden="1" x14ac:dyDescent="0.25">
      <c r="A290" s="400"/>
      <c r="B290" s="393"/>
      <c r="C290" s="393"/>
      <c r="D290" s="394"/>
      <c r="E290" s="393"/>
      <c r="F290" s="401"/>
      <c r="G290" s="402"/>
      <c r="H290" s="403"/>
      <c r="I290" s="401" t="s">
        <v>228</v>
      </c>
      <c r="J290" s="401" t="s">
        <v>228</v>
      </c>
      <c r="K290" s="398"/>
      <c r="L290" s="404"/>
      <c r="M290" s="400"/>
    </row>
    <row r="291" spans="1:13" s="148" customFormat="1" hidden="1" x14ac:dyDescent="0.25">
      <c r="A291" s="400"/>
      <c r="B291" s="393"/>
      <c r="C291" s="393"/>
      <c r="D291" s="394"/>
      <c r="E291" s="393"/>
      <c r="F291" s="401"/>
      <c r="G291" s="402"/>
      <c r="H291" s="403"/>
      <c r="I291" s="401" t="s">
        <v>228</v>
      </c>
      <c r="J291" s="401" t="s">
        <v>228</v>
      </c>
      <c r="K291" s="398"/>
      <c r="L291" s="404"/>
      <c r="M291" s="400"/>
    </row>
    <row r="292" spans="1:13" s="148" customFormat="1" hidden="1" x14ac:dyDescent="0.25">
      <c r="A292" s="400"/>
      <c r="B292" s="393"/>
      <c r="C292" s="393"/>
      <c r="D292" s="394"/>
      <c r="E292" s="393"/>
      <c r="F292" s="401"/>
      <c r="G292" s="402"/>
      <c r="H292" s="403"/>
      <c r="I292" s="401" t="s">
        <v>228</v>
      </c>
      <c r="J292" s="401" t="s">
        <v>228</v>
      </c>
      <c r="K292" s="398"/>
      <c r="L292" s="404"/>
      <c r="M292" s="400"/>
    </row>
    <row r="293" spans="1:13" s="148" customFormat="1" hidden="1" x14ac:dyDescent="0.25">
      <c r="A293" s="400"/>
      <c r="B293" s="393"/>
      <c r="C293" s="393"/>
      <c r="D293" s="394"/>
      <c r="E293" s="393"/>
      <c r="F293" s="401"/>
      <c r="G293" s="402"/>
      <c r="H293" s="403"/>
      <c r="I293" s="401" t="s">
        <v>228</v>
      </c>
      <c r="J293" s="401" t="s">
        <v>228</v>
      </c>
      <c r="K293" s="398"/>
      <c r="L293" s="404"/>
      <c r="M293" s="400"/>
    </row>
    <row r="294" spans="1:13" s="148" customFormat="1" hidden="1" x14ac:dyDescent="0.25">
      <c r="A294" s="400"/>
      <c r="B294" s="393"/>
      <c r="C294" s="393"/>
      <c r="D294" s="394"/>
      <c r="E294" s="393"/>
      <c r="F294" s="401"/>
      <c r="G294" s="402"/>
      <c r="H294" s="403"/>
      <c r="I294" s="401" t="s">
        <v>228</v>
      </c>
      <c r="J294" s="401" t="s">
        <v>228</v>
      </c>
      <c r="K294" s="398"/>
      <c r="L294" s="404"/>
      <c r="M294" s="400"/>
    </row>
    <row r="295" spans="1:13" s="148" customFormat="1" hidden="1" x14ac:dyDescent="0.25">
      <c r="A295" s="400"/>
      <c r="B295" s="393"/>
      <c r="C295" s="393"/>
      <c r="D295" s="394"/>
      <c r="E295" s="393"/>
      <c r="F295" s="401"/>
      <c r="G295" s="402"/>
      <c r="H295" s="403"/>
      <c r="I295" s="401" t="s">
        <v>228</v>
      </c>
      <c r="J295" s="401" t="s">
        <v>228</v>
      </c>
      <c r="K295" s="398"/>
      <c r="L295" s="404"/>
      <c r="M295" s="400"/>
    </row>
    <row r="296" spans="1:13" s="148" customFormat="1" hidden="1" x14ac:dyDescent="0.25">
      <c r="A296" s="400"/>
      <c r="B296" s="393"/>
      <c r="C296" s="393"/>
      <c r="D296" s="394"/>
      <c r="E296" s="393"/>
      <c r="F296" s="401"/>
      <c r="G296" s="402"/>
      <c r="H296" s="403"/>
      <c r="I296" s="401" t="s">
        <v>228</v>
      </c>
      <c r="J296" s="401" t="s">
        <v>228</v>
      </c>
      <c r="K296" s="398"/>
      <c r="L296" s="404"/>
      <c r="M296" s="400"/>
    </row>
    <row r="297" spans="1:13" s="148" customFormat="1" hidden="1" x14ac:dyDescent="0.25">
      <c r="A297" s="400"/>
      <c r="B297" s="393"/>
      <c r="C297" s="393"/>
      <c r="D297" s="394"/>
      <c r="E297" s="393"/>
      <c r="F297" s="401"/>
      <c r="G297" s="402"/>
      <c r="H297" s="403"/>
      <c r="I297" s="401" t="s">
        <v>228</v>
      </c>
      <c r="J297" s="401" t="s">
        <v>228</v>
      </c>
      <c r="K297" s="398"/>
      <c r="L297" s="404"/>
      <c r="M297" s="400"/>
    </row>
    <row r="298" spans="1:13" s="148" customFormat="1" hidden="1" x14ac:dyDescent="0.25">
      <c r="A298" s="400"/>
      <c r="B298" s="393"/>
      <c r="C298" s="393"/>
      <c r="D298" s="394"/>
      <c r="E298" s="393"/>
      <c r="F298" s="401"/>
      <c r="G298" s="402"/>
      <c r="H298" s="403"/>
      <c r="I298" s="401" t="s">
        <v>228</v>
      </c>
      <c r="J298" s="401" t="s">
        <v>228</v>
      </c>
      <c r="K298" s="398"/>
      <c r="L298" s="404"/>
      <c r="M298" s="400"/>
    </row>
    <row r="299" spans="1:13" s="148" customFormat="1" hidden="1" x14ac:dyDescent="0.25">
      <c r="A299" s="400"/>
      <c r="B299" s="393"/>
      <c r="C299" s="393"/>
      <c r="D299" s="394"/>
      <c r="E299" s="393"/>
      <c r="F299" s="401"/>
      <c r="G299" s="402"/>
      <c r="H299" s="403"/>
      <c r="I299" s="401" t="s">
        <v>228</v>
      </c>
      <c r="J299" s="401" t="s">
        <v>228</v>
      </c>
      <c r="K299" s="398"/>
      <c r="L299" s="404"/>
      <c r="M299" s="400"/>
    </row>
    <row r="300" spans="1:13" s="148" customFormat="1" hidden="1" x14ac:dyDescent="0.25">
      <c r="A300" s="400"/>
      <c r="B300" s="393"/>
      <c r="C300" s="393"/>
      <c r="D300" s="394"/>
      <c r="E300" s="393"/>
      <c r="F300" s="401"/>
      <c r="G300" s="402"/>
      <c r="H300" s="403"/>
      <c r="I300" s="401" t="s">
        <v>228</v>
      </c>
      <c r="J300" s="401" t="s">
        <v>228</v>
      </c>
      <c r="K300" s="398"/>
      <c r="L300" s="404"/>
      <c r="M300" s="400"/>
    </row>
    <row r="301" spans="1:13" s="148" customFormat="1" hidden="1" x14ac:dyDescent="0.25">
      <c r="A301" s="400"/>
      <c r="B301" s="393"/>
      <c r="C301" s="393"/>
      <c r="D301" s="394"/>
      <c r="E301" s="393"/>
      <c r="F301" s="401"/>
      <c r="G301" s="402"/>
      <c r="H301" s="403"/>
      <c r="I301" s="401" t="s">
        <v>228</v>
      </c>
      <c r="J301" s="401" t="s">
        <v>228</v>
      </c>
      <c r="K301" s="398"/>
      <c r="L301" s="404"/>
      <c r="M301" s="400"/>
    </row>
    <row r="302" spans="1:13" s="148" customFormat="1" hidden="1" x14ac:dyDescent="0.25">
      <c r="A302" s="400"/>
      <c r="B302" s="393"/>
      <c r="C302" s="393"/>
      <c r="D302" s="394"/>
      <c r="E302" s="393"/>
      <c r="F302" s="401"/>
      <c r="G302" s="402"/>
      <c r="H302" s="403"/>
      <c r="I302" s="401" t="s">
        <v>228</v>
      </c>
      <c r="J302" s="401" t="s">
        <v>228</v>
      </c>
      <c r="K302" s="398"/>
      <c r="L302" s="404"/>
      <c r="M302" s="400"/>
    </row>
    <row r="303" spans="1:13" s="148" customFormat="1" hidden="1" x14ac:dyDescent="0.25">
      <c r="A303" s="400"/>
      <c r="B303" s="393"/>
      <c r="C303" s="393"/>
      <c r="D303" s="394"/>
      <c r="E303" s="393"/>
      <c r="F303" s="401"/>
      <c r="G303" s="402"/>
      <c r="H303" s="403"/>
      <c r="I303" s="401" t="s">
        <v>228</v>
      </c>
      <c r="J303" s="401" t="s">
        <v>228</v>
      </c>
      <c r="K303" s="398"/>
      <c r="L303" s="404"/>
      <c r="M303" s="400"/>
    </row>
    <row r="304" spans="1:13" s="148" customFormat="1" hidden="1" x14ac:dyDescent="0.25">
      <c r="A304" s="400"/>
      <c r="B304" s="393"/>
      <c r="C304" s="393"/>
      <c r="D304" s="394"/>
      <c r="E304" s="393"/>
      <c r="F304" s="401"/>
      <c r="G304" s="402"/>
      <c r="H304" s="403"/>
      <c r="I304" s="401" t="s">
        <v>228</v>
      </c>
      <c r="J304" s="401" t="s">
        <v>228</v>
      </c>
      <c r="K304" s="398"/>
      <c r="L304" s="404"/>
      <c r="M304" s="400"/>
    </row>
    <row r="305" spans="1:13" s="148" customFormat="1" hidden="1" x14ac:dyDescent="0.25">
      <c r="A305" s="400"/>
      <c r="B305" s="393"/>
      <c r="C305" s="393"/>
      <c r="D305" s="394"/>
      <c r="E305" s="393"/>
      <c r="F305" s="401"/>
      <c r="G305" s="402"/>
      <c r="H305" s="403"/>
      <c r="I305" s="401" t="s">
        <v>228</v>
      </c>
      <c r="J305" s="401" t="s">
        <v>228</v>
      </c>
      <c r="K305" s="398"/>
      <c r="L305" s="404"/>
      <c r="M305" s="400"/>
    </row>
    <row r="306" spans="1:13" s="148" customFormat="1" hidden="1" x14ac:dyDescent="0.25">
      <c r="A306" s="400"/>
      <c r="B306" s="393"/>
      <c r="C306" s="393"/>
      <c r="D306" s="394"/>
      <c r="E306" s="393"/>
      <c r="F306" s="401"/>
      <c r="G306" s="402"/>
      <c r="H306" s="403"/>
      <c r="I306" s="401" t="s">
        <v>228</v>
      </c>
      <c r="J306" s="401" t="s">
        <v>228</v>
      </c>
      <c r="K306" s="398"/>
      <c r="L306" s="404"/>
      <c r="M306" s="400"/>
    </row>
    <row r="307" spans="1:13" s="148" customFormat="1" hidden="1" x14ac:dyDescent="0.25">
      <c r="A307" s="400"/>
      <c r="B307" s="393"/>
      <c r="C307" s="393"/>
      <c r="D307" s="394"/>
      <c r="E307" s="393"/>
      <c r="F307" s="401"/>
      <c r="G307" s="402"/>
      <c r="H307" s="403"/>
      <c r="I307" s="401" t="s">
        <v>228</v>
      </c>
      <c r="J307" s="401" t="s">
        <v>228</v>
      </c>
      <c r="K307" s="398"/>
      <c r="L307" s="404"/>
      <c r="M307" s="400"/>
    </row>
    <row r="308" spans="1:13" s="148" customFormat="1" hidden="1" x14ac:dyDescent="0.25">
      <c r="A308" s="400"/>
      <c r="B308" s="393"/>
      <c r="C308" s="393"/>
      <c r="D308" s="394"/>
      <c r="E308" s="393"/>
      <c r="F308" s="401"/>
      <c r="G308" s="402"/>
      <c r="H308" s="403"/>
      <c r="I308" s="401" t="s">
        <v>228</v>
      </c>
      <c r="J308" s="401" t="s">
        <v>228</v>
      </c>
      <c r="K308" s="398"/>
      <c r="L308" s="404"/>
      <c r="M308" s="400"/>
    </row>
    <row r="309" spans="1:13" s="148" customFormat="1" hidden="1" x14ac:dyDescent="0.25">
      <c r="A309" s="400"/>
      <c r="B309" s="393"/>
      <c r="C309" s="393"/>
      <c r="D309" s="394"/>
      <c r="E309" s="393"/>
      <c r="F309" s="401"/>
      <c r="G309" s="402"/>
      <c r="H309" s="403"/>
      <c r="I309" s="401" t="s">
        <v>228</v>
      </c>
      <c r="J309" s="401" t="s">
        <v>228</v>
      </c>
      <c r="K309" s="398"/>
      <c r="L309" s="404"/>
      <c r="M309" s="400"/>
    </row>
    <row r="310" spans="1:13" s="148" customFormat="1" hidden="1" x14ac:dyDescent="0.25">
      <c r="A310" s="400"/>
      <c r="B310" s="393"/>
      <c r="C310" s="393"/>
      <c r="D310" s="394"/>
      <c r="E310" s="393"/>
      <c r="F310" s="401"/>
      <c r="G310" s="402"/>
      <c r="H310" s="403"/>
      <c r="I310" s="401" t="s">
        <v>228</v>
      </c>
      <c r="J310" s="401" t="s">
        <v>228</v>
      </c>
      <c r="K310" s="398"/>
      <c r="L310" s="404"/>
      <c r="M310" s="400"/>
    </row>
    <row r="311" spans="1:13" s="148" customFormat="1" hidden="1" x14ac:dyDescent="0.25">
      <c r="A311" s="400"/>
      <c r="B311" s="393"/>
      <c r="C311" s="393"/>
      <c r="D311" s="394"/>
      <c r="E311" s="393"/>
      <c r="F311" s="401"/>
      <c r="G311" s="402"/>
      <c r="H311" s="403"/>
      <c r="I311" s="401" t="s">
        <v>228</v>
      </c>
      <c r="J311" s="401" t="s">
        <v>228</v>
      </c>
      <c r="K311" s="398"/>
      <c r="L311" s="404"/>
      <c r="M311" s="400"/>
    </row>
    <row r="312" spans="1:13" s="148" customFormat="1" hidden="1" x14ac:dyDescent="0.25">
      <c r="A312" s="400"/>
      <c r="B312" s="393"/>
      <c r="C312" s="393"/>
      <c r="D312" s="394"/>
      <c r="E312" s="393"/>
      <c r="F312" s="401"/>
      <c r="G312" s="402"/>
      <c r="H312" s="403"/>
      <c r="I312" s="401" t="s">
        <v>228</v>
      </c>
      <c r="J312" s="401" t="s">
        <v>228</v>
      </c>
      <c r="K312" s="398"/>
      <c r="L312" s="404"/>
      <c r="M312" s="400"/>
    </row>
    <row r="313" spans="1:13" s="148" customFormat="1" hidden="1" x14ac:dyDescent="0.25">
      <c r="A313" s="400"/>
      <c r="B313" s="393"/>
      <c r="C313" s="393"/>
      <c r="D313" s="394"/>
      <c r="E313" s="393"/>
      <c r="F313" s="401"/>
      <c r="G313" s="402"/>
      <c r="H313" s="403"/>
      <c r="I313" s="401" t="s">
        <v>228</v>
      </c>
      <c r="J313" s="401" t="s">
        <v>228</v>
      </c>
      <c r="K313" s="398"/>
      <c r="L313" s="404"/>
      <c r="M313" s="400"/>
    </row>
    <row r="314" spans="1:13" s="148" customFormat="1" hidden="1" x14ac:dyDescent="0.25">
      <c r="A314" s="400"/>
      <c r="B314" s="393"/>
      <c r="C314" s="393"/>
      <c r="D314" s="394"/>
      <c r="E314" s="393"/>
      <c r="F314" s="401"/>
      <c r="G314" s="402"/>
      <c r="H314" s="403"/>
      <c r="I314" s="401" t="s">
        <v>228</v>
      </c>
      <c r="J314" s="401" t="s">
        <v>228</v>
      </c>
      <c r="K314" s="398"/>
      <c r="L314" s="404"/>
      <c r="M314" s="400"/>
    </row>
    <row r="315" spans="1:13" s="148" customFormat="1" hidden="1" x14ac:dyDescent="0.25">
      <c r="A315" s="400"/>
      <c r="B315" s="393"/>
      <c r="C315" s="393"/>
      <c r="D315" s="394"/>
      <c r="E315" s="393"/>
      <c r="F315" s="401"/>
      <c r="G315" s="402"/>
      <c r="H315" s="403"/>
      <c r="I315" s="401" t="s">
        <v>228</v>
      </c>
      <c r="J315" s="401" t="s">
        <v>228</v>
      </c>
      <c r="K315" s="398"/>
      <c r="L315" s="404"/>
      <c r="M315" s="400"/>
    </row>
    <row r="316" spans="1:13" s="148" customFormat="1" hidden="1" x14ac:dyDescent="0.25">
      <c r="A316" s="400"/>
      <c r="B316" s="393"/>
      <c r="C316" s="393"/>
      <c r="D316" s="394"/>
      <c r="E316" s="393"/>
      <c r="F316" s="401"/>
      <c r="G316" s="402"/>
      <c r="H316" s="403"/>
      <c r="I316" s="401" t="s">
        <v>228</v>
      </c>
      <c r="J316" s="401" t="s">
        <v>228</v>
      </c>
      <c r="K316" s="398"/>
      <c r="L316" s="404"/>
      <c r="M316" s="400"/>
    </row>
    <row r="317" spans="1:13" s="148" customFormat="1" hidden="1" x14ac:dyDescent="0.25">
      <c r="A317" s="400"/>
      <c r="B317" s="393"/>
      <c r="C317" s="393"/>
      <c r="D317" s="394"/>
      <c r="E317" s="393"/>
      <c r="F317" s="401"/>
      <c r="G317" s="402"/>
      <c r="H317" s="403"/>
      <c r="I317" s="401" t="s">
        <v>228</v>
      </c>
      <c r="J317" s="401" t="s">
        <v>228</v>
      </c>
      <c r="K317" s="398"/>
      <c r="L317" s="404"/>
      <c r="M317" s="400"/>
    </row>
    <row r="318" spans="1:13" s="148" customFormat="1" hidden="1" x14ac:dyDescent="0.25">
      <c r="A318" s="400"/>
      <c r="B318" s="393"/>
      <c r="C318" s="393"/>
      <c r="D318" s="394"/>
      <c r="E318" s="393"/>
      <c r="F318" s="401"/>
      <c r="G318" s="402"/>
      <c r="H318" s="403"/>
      <c r="I318" s="401" t="s">
        <v>228</v>
      </c>
      <c r="J318" s="401" t="s">
        <v>228</v>
      </c>
      <c r="K318" s="398"/>
      <c r="L318" s="404"/>
      <c r="M318" s="400"/>
    </row>
    <row r="319" spans="1:13" s="148" customFormat="1" hidden="1" x14ac:dyDescent="0.25">
      <c r="A319" s="400"/>
      <c r="B319" s="393"/>
      <c r="C319" s="393"/>
      <c r="D319" s="394"/>
      <c r="E319" s="393"/>
      <c r="F319" s="401"/>
      <c r="G319" s="402"/>
      <c r="H319" s="403"/>
      <c r="I319" s="401" t="s">
        <v>228</v>
      </c>
      <c r="J319" s="401" t="s">
        <v>228</v>
      </c>
      <c r="K319" s="398"/>
      <c r="L319" s="404"/>
      <c r="M319" s="400"/>
    </row>
    <row r="320" spans="1:13" s="148" customFormat="1" hidden="1" x14ac:dyDescent="0.25">
      <c r="A320" s="400"/>
      <c r="B320" s="393"/>
      <c r="C320" s="393"/>
      <c r="D320" s="394"/>
      <c r="E320" s="393"/>
      <c r="F320" s="401"/>
      <c r="G320" s="402"/>
      <c r="H320" s="403"/>
      <c r="I320" s="401" t="s">
        <v>228</v>
      </c>
      <c r="J320" s="401" t="s">
        <v>228</v>
      </c>
      <c r="K320" s="398"/>
      <c r="L320" s="404"/>
      <c r="M320" s="400"/>
    </row>
    <row r="321" spans="1:13" s="148" customFormat="1" hidden="1" x14ac:dyDescent="0.25">
      <c r="A321" s="400"/>
      <c r="B321" s="393"/>
      <c r="C321" s="393"/>
      <c r="D321" s="394"/>
      <c r="E321" s="393"/>
      <c r="F321" s="401"/>
      <c r="G321" s="402"/>
      <c r="H321" s="403"/>
      <c r="I321" s="401" t="s">
        <v>228</v>
      </c>
      <c r="J321" s="401" t="s">
        <v>228</v>
      </c>
      <c r="K321" s="398"/>
      <c r="L321" s="404"/>
      <c r="M321" s="400"/>
    </row>
    <row r="322" spans="1:13" s="148" customFormat="1" hidden="1" x14ac:dyDescent="0.25">
      <c r="A322" s="400"/>
      <c r="B322" s="393"/>
      <c r="C322" s="393"/>
      <c r="D322" s="394"/>
      <c r="E322" s="393"/>
      <c r="F322" s="401"/>
      <c r="G322" s="402"/>
      <c r="H322" s="403"/>
      <c r="I322" s="401" t="s">
        <v>228</v>
      </c>
      <c r="J322" s="401" t="s">
        <v>228</v>
      </c>
      <c r="K322" s="398"/>
      <c r="L322" s="404"/>
      <c r="M322" s="400"/>
    </row>
    <row r="323" spans="1:13" s="148" customFormat="1" hidden="1" x14ac:dyDescent="0.25">
      <c r="A323" s="400"/>
      <c r="B323" s="393"/>
      <c r="C323" s="393"/>
      <c r="D323" s="394"/>
      <c r="E323" s="393"/>
      <c r="F323" s="401"/>
      <c r="G323" s="402"/>
      <c r="H323" s="403"/>
      <c r="I323" s="401" t="s">
        <v>228</v>
      </c>
      <c r="J323" s="401" t="s">
        <v>228</v>
      </c>
      <c r="K323" s="398"/>
      <c r="L323" s="404"/>
      <c r="M323" s="400"/>
    </row>
    <row r="324" spans="1:13" s="148" customFormat="1" hidden="1" x14ac:dyDescent="0.25">
      <c r="A324" s="400"/>
      <c r="B324" s="393"/>
      <c r="C324" s="393"/>
      <c r="D324" s="394"/>
      <c r="E324" s="393"/>
      <c r="F324" s="401"/>
      <c r="G324" s="402"/>
      <c r="H324" s="403"/>
      <c r="I324" s="401" t="s">
        <v>228</v>
      </c>
      <c r="J324" s="401" t="s">
        <v>228</v>
      </c>
      <c r="K324" s="398"/>
      <c r="L324" s="404"/>
      <c r="M324" s="400"/>
    </row>
    <row r="325" spans="1:13" s="148" customFormat="1" hidden="1" x14ac:dyDescent="0.25">
      <c r="A325" s="400"/>
      <c r="B325" s="393"/>
      <c r="C325" s="393"/>
      <c r="D325" s="394"/>
      <c r="E325" s="393"/>
      <c r="F325" s="401"/>
      <c r="G325" s="402"/>
      <c r="H325" s="403"/>
      <c r="I325" s="401" t="s">
        <v>228</v>
      </c>
      <c r="J325" s="401" t="s">
        <v>228</v>
      </c>
      <c r="K325" s="398"/>
      <c r="L325" s="404"/>
      <c r="M325" s="400"/>
    </row>
    <row r="326" spans="1:13" s="148" customFormat="1" hidden="1" x14ac:dyDescent="0.25">
      <c r="A326" s="400"/>
      <c r="B326" s="393"/>
      <c r="C326" s="393"/>
      <c r="D326" s="394"/>
      <c r="E326" s="393"/>
      <c r="F326" s="401"/>
      <c r="G326" s="402"/>
      <c r="H326" s="403"/>
      <c r="I326" s="401" t="s">
        <v>228</v>
      </c>
      <c r="J326" s="401" t="s">
        <v>228</v>
      </c>
      <c r="K326" s="398"/>
      <c r="L326" s="404"/>
      <c r="M326" s="400"/>
    </row>
    <row r="327" spans="1:13" s="148" customFormat="1" hidden="1" x14ac:dyDescent="0.25">
      <c r="A327" s="400"/>
      <c r="B327" s="393"/>
      <c r="C327" s="393"/>
      <c r="D327" s="394"/>
      <c r="E327" s="393"/>
      <c r="F327" s="401"/>
      <c r="G327" s="402"/>
      <c r="H327" s="403"/>
      <c r="I327" s="401" t="s">
        <v>228</v>
      </c>
      <c r="J327" s="401" t="s">
        <v>228</v>
      </c>
      <c r="K327" s="398"/>
      <c r="L327" s="404"/>
      <c r="M327" s="400"/>
    </row>
    <row r="328" spans="1:13" s="148" customFormat="1" hidden="1" x14ac:dyDescent="0.25">
      <c r="A328" s="400"/>
      <c r="B328" s="393"/>
      <c r="C328" s="393"/>
      <c r="D328" s="394"/>
      <c r="E328" s="393"/>
      <c r="F328" s="401"/>
      <c r="G328" s="402"/>
      <c r="H328" s="403"/>
      <c r="I328" s="401" t="s">
        <v>228</v>
      </c>
      <c r="J328" s="401" t="s">
        <v>228</v>
      </c>
      <c r="K328" s="398"/>
      <c r="L328" s="404"/>
      <c r="M328" s="400"/>
    </row>
    <row r="329" spans="1:13" s="148" customFormat="1" hidden="1" x14ac:dyDescent="0.25">
      <c r="A329" s="400"/>
      <c r="B329" s="393"/>
      <c r="C329" s="393"/>
      <c r="D329" s="394"/>
      <c r="E329" s="393"/>
      <c r="F329" s="401"/>
      <c r="G329" s="402"/>
      <c r="H329" s="403"/>
      <c r="I329" s="401" t="s">
        <v>228</v>
      </c>
      <c r="J329" s="401" t="s">
        <v>228</v>
      </c>
      <c r="K329" s="398"/>
      <c r="L329" s="404"/>
      <c r="M329" s="400"/>
    </row>
    <row r="330" spans="1:13" s="148" customFormat="1" hidden="1" x14ac:dyDescent="0.25">
      <c r="A330" s="400"/>
      <c r="B330" s="393"/>
      <c r="C330" s="393"/>
      <c r="D330" s="394"/>
      <c r="E330" s="393"/>
      <c r="F330" s="401"/>
      <c r="G330" s="402"/>
      <c r="H330" s="403"/>
      <c r="I330" s="401" t="s">
        <v>228</v>
      </c>
      <c r="J330" s="401" t="s">
        <v>228</v>
      </c>
      <c r="K330" s="398"/>
      <c r="L330" s="404"/>
      <c r="M330" s="400"/>
    </row>
    <row r="331" spans="1:13" s="148" customFormat="1" hidden="1" x14ac:dyDescent="0.25">
      <c r="A331" s="400"/>
      <c r="B331" s="393"/>
      <c r="C331" s="393"/>
      <c r="D331" s="394"/>
      <c r="E331" s="393"/>
      <c r="F331" s="401"/>
      <c r="G331" s="402"/>
      <c r="H331" s="403"/>
      <c r="I331" s="401" t="s">
        <v>228</v>
      </c>
      <c r="J331" s="401" t="s">
        <v>228</v>
      </c>
      <c r="K331" s="398"/>
      <c r="L331" s="404"/>
      <c r="M331" s="400"/>
    </row>
    <row r="332" spans="1:13" s="148" customFormat="1" hidden="1" x14ac:dyDescent="0.25">
      <c r="A332" s="400"/>
      <c r="B332" s="393"/>
      <c r="C332" s="393"/>
      <c r="D332" s="394"/>
      <c r="E332" s="393"/>
      <c r="F332" s="401"/>
      <c r="G332" s="402"/>
      <c r="H332" s="403"/>
      <c r="I332" s="401" t="s">
        <v>228</v>
      </c>
      <c r="J332" s="401" t="s">
        <v>228</v>
      </c>
      <c r="K332" s="398"/>
      <c r="L332" s="404"/>
      <c r="M332" s="400"/>
    </row>
    <row r="333" spans="1:13" s="148" customFormat="1" hidden="1" x14ac:dyDescent="0.25">
      <c r="A333" s="400"/>
      <c r="B333" s="393"/>
      <c r="C333" s="393"/>
      <c r="D333" s="394"/>
      <c r="E333" s="393"/>
      <c r="F333" s="401"/>
      <c r="G333" s="402"/>
      <c r="H333" s="403"/>
      <c r="I333" s="401" t="s">
        <v>228</v>
      </c>
      <c r="J333" s="401" t="s">
        <v>228</v>
      </c>
      <c r="K333" s="398"/>
      <c r="L333" s="404"/>
      <c r="M333" s="400"/>
    </row>
    <row r="334" spans="1:13" s="148" customFormat="1" hidden="1" x14ac:dyDescent="0.25">
      <c r="A334" s="400"/>
      <c r="B334" s="393"/>
      <c r="C334" s="393"/>
      <c r="D334" s="394"/>
      <c r="E334" s="393"/>
      <c r="F334" s="401"/>
      <c r="G334" s="402"/>
      <c r="H334" s="403"/>
      <c r="I334" s="401" t="s">
        <v>228</v>
      </c>
      <c r="J334" s="401" t="s">
        <v>228</v>
      </c>
      <c r="K334" s="398"/>
      <c r="L334" s="404"/>
      <c r="M334" s="400"/>
    </row>
    <row r="335" spans="1:13" s="148" customFormat="1" hidden="1" x14ac:dyDescent="0.25">
      <c r="A335" s="400"/>
      <c r="B335" s="393"/>
      <c r="C335" s="393"/>
      <c r="D335" s="394"/>
      <c r="E335" s="393"/>
      <c r="F335" s="401"/>
      <c r="G335" s="402"/>
      <c r="H335" s="403"/>
      <c r="I335" s="401" t="s">
        <v>228</v>
      </c>
      <c r="J335" s="401" t="s">
        <v>228</v>
      </c>
      <c r="K335" s="398"/>
      <c r="L335" s="404"/>
      <c r="M335" s="400"/>
    </row>
    <row r="336" spans="1:13" s="148" customFormat="1" hidden="1" x14ac:dyDescent="0.25">
      <c r="A336" s="400"/>
      <c r="B336" s="393"/>
      <c r="C336" s="393"/>
      <c r="D336" s="394"/>
      <c r="E336" s="393"/>
      <c r="F336" s="401"/>
      <c r="G336" s="402"/>
      <c r="H336" s="403"/>
      <c r="I336" s="401" t="s">
        <v>228</v>
      </c>
      <c r="J336" s="401" t="s">
        <v>228</v>
      </c>
      <c r="K336" s="398"/>
      <c r="L336" s="404"/>
      <c r="M336" s="400"/>
    </row>
    <row r="337" spans="1:13" s="148" customFormat="1" hidden="1" x14ac:dyDescent="0.25">
      <c r="A337" s="400"/>
      <c r="B337" s="393"/>
      <c r="C337" s="393"/>
      <c r="D337" s="394"/>
      <c r="E337" s="393"/>
      <c r="F337" s="401"/>
      <c r="G337" s="402"/>
      <c r="H337" s="403"/>
      <c r="I337" s="401" t="s">
        <v>228</v>
      </c>
      <c r="J337" s="401" t="s">
        <v>228</v>
      </c>
      <c r="K337" s="398"/>
      <c r="L337" s="404"/>
      <c r="M337" s="400"/>
    </row>
    <row r="338" spans="1:13" s="148" customFormat="1" hidden="1" x14ac:dyDescent="0.25">
      <c r="A338" s="400"/>
      <c r="B338" s="393"/>
      <c r="C338" s="393"/>
      <c r="D338" s="394"/>
      <c r="E338" s="393"/>
      <c r="F338" s="401"/>
      <c r="G338" s="402"/>
      <c r="H338" s="403"/>
      <c r="I338" s="401" t="s">
        <v>228</v>
      </c>
      <c r="J338" s="401" t="s">
        <v>228</v>
      </c>
      <c r="K338" s="398"/>
      <c r="L338" s="404"/>
      <c r="M338" s="400"/>
    </row>
    <row r="339" spans="1:13" s="148" customFormat="1" hidden="1" x14ac:dyDescent="0.25">
      <c r="A339" s="400"/>
      <c r="B339" s="393"/>
      <c r="C339" s="393"/>
      <c r="D339" s="394"/>
      <c r="E339" s="393"/>
      <c r="F339" s="401"/>
      <c r="G339" s="402"/>
      <c r="H339" s="403"/>
      <c r="I339" s="401" t="s">
        <v>228</v>
      </c>
      <c r="J339" s="401" t="s">
        <v>228</v>
      </c>
      <c r="K339" s="398"/>
      <c r="L339" s="404"/>
      <c r="M339" s="400"/>
    </row>
    <row r="340" spans="1:13" s="148" customFormat="1" hidden="1" x14ac:dyDescent="0.25">
      <c r="A340" s="400"/>
      <c r="B340" s="393"/>
      <c r="C340" s="393"/>
      <c r="D340" s="394"/>
      <c r="E340" s="393"/>
      <c r="F340" s="401"/>
      <c r="G340" s="402"/>
      <c r="H340" s="403"/>
      <c r="I340" s="401" t="s">
        <v>228</v>
      </c>
      <c r="J340" s="401" t="s">
        <v>228</v>
      </c>
      <c r="K340" s="398"/>
      <c r="L340" s="404"/>
      <c r="M340" s="400"/>
    </row>
    <row r="341" spans="1:13" s="148" customFormat="1" hidden="1" x14ac:dyDescent="0.25">
      <c r="A341" s="400"/>
      <c r="B341" s="393"/>
      <c r="C341" s="393"/>
      <c r="D341" s="394"/>
      <c r="E341" s="393"/>
      <c r="F341" s="401"/>
      <c r="G341" s="402"/>
      <c r="H341" s="403"/>
      <c r="I341" s="401" t="s">
        <v>228</v>
      </c>
      <c r="J341" s="401" t="s">
        <v>228</v>
      </c>
      <c r="K341" s="398"/>
      <c r="L341" s="404"/>
      <c r="M341" s="400"/>
    </row>
    <row r="342" spans="1:13" s="148" customFormat="1" hidden="1" x14ac:dyDescent="0.25">
      <c r="A342" s="400"/>
      <c r="B342" s="393"/>
      <c r="C342" s="393"/>
      <c r="D342" s="394"/>
      <c r="E342" s="393"/>
      <c r="F342" s="401"/>
      <c r="G342" s="402"/>
      <c r="H342" s="403"/>
      <c r="I342" s="401" t="s">
        <v>228</v>
      </c>
      <c r="J342" s="401" t="s">
        <v>228</v>
      </c>
      <c r="K342" s="398"/>
      <c r="L342" s="404"/>
      <c r="M342" s="400"/>
    </row>
    <row r="343" spans="1:13" s="148" customFormat="1" hidden="1" x14ac:dyDescent="0.25">
      <c r="A343" s="400"/>
      <c r="B343" s="393"/>
      <c r="C343" s="393"/>
      <c r="D343" s="394"/>
      <c r="E343" s="393"/>
      <c r="F343" s="401"/>
      <c r="G343" s="402"/>
      <c r="H343" s="403"/>
      <c r="I343" s="401" t="s">
        <v>228</v>
      </c>
      <c r="J343" s="401" t="s">
        <v>228</v>
      </c>
      <c r="K343" s="398"/>
      <c r="L343" s="404"/>
      <c r="M343" s="400"/>
    </row>
    <row r="344" spans="1:13" s="148" customFormat="1" hidden="1" x14ac:dyDescent="0.25">
      <c r="A344" s="400"/>
      <c r="B344" s="393"/>
      <c r="C344" s="393"/>
      <c r="D344" s="394"/>
      <c r="E344" s="393"/>
      <c r="F344" s="401"/>
      <c r="G344" s="402"/>
      <c r="H344" s="403"/>
      <c r="I344" s="401" t="s">
        <v>228</v>
      </c>
      <c r="J344" s="401" t="s">
        <v>228</v>
      </c>
      <c r="K344" s="398"/>
      <c r="L344" s="404"/>
      <c r="M344" s="400"/>
    </row>
    <row r="345" spans="1:13" s="148" customFormat="1" hidden="1" x14ac:dyDescent="0.25">
      <c r="A345" s="400"/>
      <c r="B345" s="393"/>
      <c r="C345" s="393"/>
      <c r="D345" s="394"/>
      <c r="E345" s="393"/>
      <c r="F345" s="401"/>
      <c r="G345" s="402"/>
      <c r="H345" s="403"/>
      <c r="I345" s="401" t="s">
        <v>228</v>
      </c>
      <c r="J345" s="401" t="s">
        <v>228</v>
      </c>
      <c r="K345" s="398"/>
      <c r="L345" s="404"/>
      <c r="M345" s="400"/>
    </row>
    <row r="346" spans="1:13" s="148" customFormat="1" hidden="1" x14ac:dyDescent="0.25">
      <c r="A346" s="400"/>
      <c r="B346" s="393"/>
      <c r="C346" s="393"/>
      <c r="D346" s="394"/>
      <c r="E346" s="393"/>
      <c r="F346" s="401"/>
      <c r="G346" s="402"/>
      <c r="H346" s="403"/>
      <c r="I346" s="401" t="s">
        <v>228</v>
      </c>
      <c r="J346" s="401" t="s">
        <v>228</v>
      </c>
      <c r="K346" s="398"/>
      <c r="L346" s="404"/>
      <c r="M346" s="400"/>
    </row>
    <row r="347" spans="1:13" s="148" customFormat="1" hidden="1" x14ac:dyDescent="0.25">
      <c r="A347" s="400"/>
      <c r="B347" s="393"/>
      <c r="C347" s="393"/>
      <c r="D347" s="394"/>
      <c r="E347" s="393"/>
      <c r="F347" s="401"/>
      <c r="G347" s="402"/>
      <c r="H347" s="403"/>
      <c r="I347" s="401" t="s">
        <v>228</v>
      </c>
      <c r="J347" s="401" t="s">
        <v>228</v>
      </c>
      <c r="K347" s="398"/>
      <c r="L347" s="404"/>
      <c r="M347" s="400"/>
    </row>
    <row r="348" spans="1:13" s="148" customFormat="1" hidden="1" x14ac:dyDescent="0.25">
      <c r="A348" s="400"/>
      <c r="B348" s="393"/>
      <c r="C348" s="393"/>
      <c r="D348" s="394"/>
      <c r="E348" s="393"/>
      <c r="F348" s="401"/>
      <c r="G348" s="402"/>
      <c r="H348" s="403"/>
      <c r="I348" s="401" t="s">
        <v>228</v>
      </c>
      <c r="J348" s="401" t="s">
        <v>228</v>
      </c>
      <c r="K348" s="398"/>
      <c r="L348" s="404"/>
      <c r="M348" s="400"/>
    </row>
    <row r="349" spans="1:13" s="148" customFormat="1" hidden="1" x14ac:dyDescent="0.25">
      <c r="A349" s="400"/>
      <c r="B349" s="393"/>
      <c r="C349" s="393"/>
      <c r="D349" s="394"/>
      <c r="E349" s="393"/>
      <c r="F349" s="401"/>
      <c r="G349" s="402"/>
      <c r="H349" s="403"/>
      <c r="I349" s="401" t="s">
        <v>228</v>
      </c>
      <c r="J349" s="401" t="s">
        <v>228</v>
      </c>
      <c r="K349" s="398"/>
      <c r="L349" s="404"/>
      <c r="M349" s="400"/>
    </row>
    <row r="350" spans="1:13" s="148" customFormat="1" hidden="1" x14ac:dyDescent="0.25">
      <c r="A350" s="400"/>
      <c r="B350" s="393"/>
      <c r="C350" s="393"/>
      <c r="D350" s="394"/>
      <c r="E350" s="393"/>
      <c r="F350" s="401"/>
      <c r="G350" s="402"/>
      <c r="H350" s="403"/>
      <c r="I350" s="401" t="s">
        <v>228</v>
      </c>
      <c r="J350" s="401" t="s">
        <v>228</v>
      </c>
      <c r="K350" s="398"/>
      <c r="L350" s="404"/>
      <c r="M350" s="400"/>
    </row>
    <row r="351" spans="1:13" s="148" customFormat="1" hidden="1" x14ac:dyDescent="0.25">
      <c r="A351" s="400"/>
      <c r="B351" s="393"/>
      <c r="C351" s="393"/>
      <c r="D351" s="394"/>
      <c r="E351" s="393"/>
      <c r="F351" s="401"/>
      <c r="G351" s="402"/>
      <c r="H351" s="403"/>
      <c r="I351" s="401" t="s">
        <v>228</v>
      </c>
      <c r="J351" s="401" t="s">
        <v>228</v>
      </c>
      <c r="K351" s="398"/>
      <c r="L351" s="404"/>
      <c r="M351" s="400"/>
    </row>
    <row r="352" spans="1:13" s="148" customFormat="1" hidden="1" x14ac:dyDescent="0.25">
      <c r="A352" s="400"/>
      <c r="B352" s="393"/>
      <c r="C352" s="393"/>
      <c r="D352" s="394"/>
      <c r="E352" s="393"/>
      <c r="F352" s="401"/>
      <c r="G352" s="402"/>
      <c r="H352" s="403"/>
      <c r="I352" s="401" t="s">
        <v>228</v>
      </c>
      <c r="J352" s="401" t="s">
        <v>228</v>
      </c>
      <c r="K352" s="398"/>
      <c r="L352" s="404"/>
      <c r="M352" s="400"/>
    </row>
    <row r="353" spans="1:13" s="148" customFormat="1" hidden="1" x14ac:dyDescent="0.25">
      <c r="A353" s="400"/>
      <c r="B353" s="393"/>
      <c r="C353" s="393"/>
      <c r="D353" s="394"/>
      <c r="E353" s="393"/>
      <c r="F353" s="401"/>
      <c r="G353" s="402"/>
      <c r="H353" s="403"/>
      <c r="I353" s="401" t="s">
        <v>228</v>
      </c>
      <c r="J353" s="401" t="s">
        <v>228</v>
      </c>
      <c r="K353" s="398"/>
      <c r="L353" s="404"/>
      <c r="M353" s="400"/>
    </row>
    <row r="354" spans="1:13" s="148" customFormat="1" hidden="1" x14ac:dyDescent="0.25">
      <c r="A354" s="400"/>
      <c r="B354" s="393"/>
      <c r="C354" s="393"/>
      <c r="D354" s="394"/>
      <c r="E354" s="393"/>
      <c r="F354" s="401"/>
      <c r="G354" s="402"/>
      <c r="H354" s="403"/>
      <c r="I354" s="401" t="s">
        <v>228</v>
      </c>
      <c r="J354" s="401" t="s">
        <v>228</v>
      </c>
      <c r="K354" s="398"/>
      <c r="L354" s="404"/>
      <c r="M354" s="400"/>
    </row>
    <row r="355" spans="1:13" s="148" customFormat="1" hidden="1" x14ac:dyDescent="0.25">
      <c r="A355" s="400"/>
      <c r="B355" s="393"/>
      <c r="C355" s="393"/>
      <c r="D355" s="394"/>
      <c r="E355" s="393"/>
      <c r="F355" s="401"/>
      <c r="G355" s="402"/>
      <c r="H355" s="403"/>
      <c r="I355" s="401" t="s">
        <v>228</v>
      </c>
      <c r="J355" s="401" t="s">
        <v>228</v>
      </c>
      <c r="K355" s="398"/>
      <c r="L355" s="404"/>
      <c r="M355" s="400"/>
    </row>
    <row r="356" spans="1:13" s="148" customFormat="1" hidden="1" x14ac:dyDescent="0.25">
      <c r="A356" s="400"/>
      <c r="B356" s="393"/>
      <c r="C356" s="393"/>
      <c r="D356" s="394"/>
      <c r="E356" s="393"/>
      <c r="F356" s="401"/>
      <c r="G356" s="402"/>
      <c r="H356" s="403"/>
      <c r="I356" s="401" t="s">
        <v>228</v>
      </c>
      <c r="J356" s="401" t="s">
        <v>228</v>
      </c>
      <c r="K356" s="398"/>
      <c r="L356" s="404"/>
      <c r="M356" s="400"/>
    </row>
    <row r="357" spans="1:13" s="148" customFormat="1" hidden="1" x14ac:dyDescent="0.25">
      <c r="A357" s="400"/>
      <c r="B357" s="393"/>
      <c r="C357" s="393"/>
      <c r="D357" s="394"/>
      <c r="E357" s="393"/>
      <c r="F357" s="401"/>
      <c r="G357" s="402"/>
      <c r="H357" s="403"/>
      <c r="I357" s="401" t="s">
        <v>228</v>
      </c>
      <c r="J357" s="401" t="s">
        <v>228</v>
      </c>
      <c r="K357" s="398"/>
      <c r="L357" s="404"/>
      <c r="M357" s="400"/>
    </row>
    <row r="358" spans="1:13" s="148" customFormat="1" hidden="1" x14ac:dyDescent="0.25">
      <c r="A358" s="400"/>
      <c r="B358" s="393"/>
      <c r="C358" s="393"/>
      <c r="D358" s="394"/>
      <c r="E358" s="393"/>
      <c r="F358" s="401"/>
      <c r="G358" s="402"/>
      <c r="H358" s="403"/>
      <c r="I358" s="401" t="s">
        <v>228</v>
      </c>
      <c r="J358" s="401" t="s">
        <v>228</v>
      </c>
      <c r="K358" s="398"/>
      <c r="L358" s="404"/>
      <c r="M358" s="400"/>
    </row>
    <row r="359" spans="1:13" s="148" customFormat="1" hidden="1" x14ac:dyDescent="0.25">
      <c r="A359" s="400"/>
      <c r="B359" s="393"/>
      <c r="C359" s="393"/>
      <c r="D359" s="394"/>
      <c r="E359" s="393"/>
      <c r="F359" s="401"/>
      <c r="G359" s="402"/>
      <c r="H359" s="403"/>
      <c r="I359" s="401" t="s">
        <v>228</v>
      </c>
      <c r="J359" s="401" t="s">
        <v>228</v>
      </c>
      <c r="K359" s="398"/>
      <c r="L359" s="404"/>
      <c r="M359" s="400"/>
    </row>
    <row r="360" spans="1:13" s="148" customFormat="1" hidden="1" x14ac:dyDescent="0.25">
      <c r="A360" s="400"/>
      <c r="B360" s="393"/>
      <c r="C360" s="393"/>
      <c r="D360" s="394"/>
      <c r="E360" s="393"/>
      <c r="F360" s="401"/>
      <c r="G360" s="402"/>
      <c r="H360" s="403"/>
      <c r="I360" s="401" t="s">
        <v>228</v>
      </c>
      <c r="J360" s="401" t="s">
        <v>228</v>
      </c>
      <c r="K360" s="398"/>
      <c r="L360" s="404"/>
      <c r="M360" s="400"/>
    </row>
    <row r="361" spans="1:13" s="148" customFormat="1" hidden="1" x14ac:dyDescent="0.25">
      <c r="A361" s="400"/>
      <c r="B361" s="393"/>
      <c r="C361" s="393"/>
      <c r="D361" s="394"/>
      <c r="E361" s="393"/>
      <c r="F361" s="401"/>
      <c r="G361" s="402"/>
      <c r="H361" s="403"/>
      <c r="I361" s="401" t="s">
        <v>228</v>
      </c>
      <c r="J361" s="401" t="s">
        <v>228</v>
      </c>
      <c r="K361" s="398"/>
      <c r="L361" s="404"/>
      <c r="M361" s="400"/>
    </row>
    <row r="362" spans="1:13" s="148" customFormat="1" hidden="1" x14ac:dyDescent="0.25">
      <c r="A362" s="400"/>
      <c r="B362" s="393"/>
      <c r="C362" s="393"/>
      <c r="D362" s="394"/>
      <c r="E362" s="393"/>
      <c r="F362" s="401"/>
      <c r="G362" s="402"/>
      <c r="H362" s="403"/>
      <c r="I362" s="401" t="s">
        <v>228</v>
      </c>
      <c r="J362" s="401" t="s">
        <v>228</v>
      </c>
      <c r="K362" s="398"/>
      <c r="L362" s="404"/>
      <c r="M362" s="400"/>
    </row>
    <row r="363" spans="1:13" s="148" customFormat="1" hidden="1" x14ac:dyDescent="0.25">
      <c r="A363" s="400"/>
      <c r="B363" s="393"/>
      <c r="C363" s="393"/>
      <c r="D363" s="394"/>
      <c r="E363" s="393"/>
      <c r="F363" s="401"/>
      <c r="G363" s="402"/>
      <c r="H363" s="403"/>
      <c r="I363" s="401" t="s">
        <v>228</v>
      </c>
      <c r="J363" s="401" t="s">
        <v>228</v>
      </c>
      <c r="K363" s="398"/>
      <c r="L363" s="404"/>
      <c r="M363" s="400"/>
    </row>
    <row r="364" spans="1:13" s="148" customFormat="1" hidden="1" x14ac:dyDescent="0.25">
      <c r="A364" s="400"/>
      <c r="B364" s="393"/>
      <c r="C364" s="393"/>
      <c r="D364" s="394"/>
      <c r="E364" s="393"/>
      <c r="F364" s="401"/>
      <c r="G364" s="402"/>
      <c r="H364" s="403"/>
      <c r="I364" s="401" t="s">
        <v>228</v>
      </c>
      <c r="J364" s="401" t="s">
        <v>228</v>
      </c>
      <c r="K364" s="398"/>
      <c r="L364" s="404"/>
      <c r="M364" s="400"/>
    </row>
    <row r="365" spans="1:13" s="148" customFormat="1" hidden="1" x14ac:dyDescent="0.25">
      <c r="A365" s="400"/>
      <c r="B365" s="393"/>
      <c r="C365" s="393"/>
      <c r="D365" s="394"/>
      <c r="E365" s="393"/>
      <c r="F365" s="401"/>
      <c r="G365" s="402"/>
      <c r="H365" s="403"/>
      <c r="I365" s="401" t="s">
        <v>228</v>
      </c>
      <c r="J365" s="401" t="s">
        <v>228</v>
      </c>
      <c r="K365" s="398"/>
      <c r="L365" s="404"/>
      <c r="M365" s="400"/>
    </row>
    <row r="366" spans="1:13" s="148" customFormat="1" hidden="1" x14ac:dyDescent="0.25">
      <c r="A366" s="400"/>
      <c r="B366" s="393"/>
      <c r="C366" s="393"/>
      <c r="D366" s="394"/>
      <c r="E366" s="393"/>
      <c r="F366" s="401"/>
      <c r="G366" s="402"/>
      <c r="H366" s="403"/>
      <c r="I366" s="401" t="s">
        <v>228</v>
      </c>
      <c r="J366" s="401" t="s">
        <v>228</v>
      </c>
      <c r="K366" s="398"/>
      <c r="L366" s="404"/>
      <c r="M366" s="400"/>
    </row>
    <row r="367" spans="1:13" s="148" customFormat="1" hidden="1" x14ac:dyDescent="0.25">
      <c r="A367" s="400"/>
      <c r="B367" s="393"/>
      <c r="C367" s="393"/>
      <c r="D367" s="394"/>
      <c r="E367" s="393"/>
      <c r="F367" s="401"/>
      <c r="G367" s="402"/>
      <c r="H367" s="403"/>
      <c r="I367" s="401" t="s">
        <v>228</v>
      </c>
      <c r="J367" s="401" t="s">
        <v>228</v>
      </c>
      <c r="K367" s="398"/>
      <c r="L367" s="404"/>
      <c r="M367" s="400"/>
    </row>
    <row r="368" spans="1:13" s="148" customFormat="1" hidden="1" x14ac:dyDescent="0.25">
      <c r="A368" s="400"/>
      <c r="B368" s="393"/>
      <c r="C368" s="393"/>
      <c r="D368" s="394"/>
      <c r="E368" s="393"/>
      <c r="F368" s="401"/>
      <c r="G368" s="402"/>
      <c r="H368" s="403"/>
      <c r="I368" s="401" t="s">
        <v>228</v>
      </c>
      <c r="J368" s="401" t="s">
        <v>228</v>
      </c>
      <c r="K368" s="398"/>
      <c r="L368" s="404"/>
      <c r="M368" s="400"/>
    </row>
    <row r="369" spans="1:13" s="148" customFormat="1" hidden="1" x14ac:dyDescent="0.25">
      <c r="A369" s="400"/>
      <c r="B369" s="393"/>
      <c r="C369" s="393"/>
      <c r="D369" s="394"/>
      <c r="E369" s="393"/>
      <c r="F369" s="401"/>
      <c r="G369" s="402"/>
      <c r="H369" s="403"/>
      <c r="I369" s="401" t="s">
        <v>228</v>
      </c>
      <c r="J369" s="401" t="s">
        <v>228</v>
      </c>
      <c r="K369" s="398"/>
      <c r="L369" s="404"/>
      <c r="M369" s="400"/>
    </row>
    <row r="370" spans="1:13" s="148" customFormat="1" hidden="1" x14ac:dyDescent="0.25">
      <c r="A370" s="400"/>
      <c r="B370" s="393"/>
      <c r="C370" s="393"/>
      <c r="D370" s="394"/>
      <c r="E370" s="393"/>
      <c r="F370" s="401"/>
      <c r="G370" s="402"/>
      <c r="H370" s="403"/>
      <c r="I370" s="401" t="s">
        <v>228</v>
      </c>
      <c r="J370" s="401" t="s">
        <v>228</v>
      </c>
      <c r="K370" s="398"/>
      <c r="L370" s="404"/>
      <c r="M370" s="400"/>
    </row>
    <row r="371" spans="1:13" s="148" customFormat="1" hidden="1" x14ac:dyDescent="0.25">
      <c r="A371" s="400"/>
      <c r="B371" s="393"/>
      <c r="C371" s="393"/>
      <c r="D371" s="394"/>
      <c r="E371" s="393"/>
      <c r="F371" s="401"/>
      <c r="G371" s="402"/>
      <c r="H371" s="403"/>
      <c r="I371" s="401" t="s">
        <v>228</v>
      </c>
      <c r="J371" s="401" t="s">
        <v>228</v>
      </c>
      <c r="K371" s="398"/>
      <c r="L371" s="404"/>
      <c r="M371" s="400"/>
    </row>
    <row r="372" spans="1:13" s="148" customFormat="1" hidden="1" x14ac:dyDescent="0.25">
      <c r="A372" s="400"/>
      <c r="B372" s="393"/>
      <c r="C372" s="393"/>
      <c r="D372" s="394"/>
      <c r="E372" s="393"/>
      <c r="F372" s="401"/>
      <c r="G372" s="402"/>
      <c r="H372" s="403"/>
      <c r="I372" s="401" t="s">
        <v>228</v>
      </c>
      <c r="J372" s="401" t="s">
        <v>228</v>
      </c>
      <c r="K372" s="398"/>
      <c r="L372" s="404"/>
      <c r="M372" s="400"/>
    </row>
    <row r="373" spans="1:13" s="148" customFormat="1" hidden="1" x14ac:dyDescent="0.25">
      <c r="A373" s="400"/>
      <c r="B373" s="393"/>
      <c r="C373" s="393"/>
      <c r="D373" s="394"/>
      <c r="E373" s="393"/>
      <c r="F373" s="401"/>
      <c r="G373" s="402"/>
      <c r="H373" s="403"/>
      <c r="I373" s="401" t="s">
        <v>228</v>
      </c>
      <c r="J373" s="401" t="s">
        <v>228</v>
      </c>
      <c r="K373" s="398"/>
      <c r="L373" s="404"/>
      <c r="M373" s="400"/>
    </row>
    <row r="374" spans="1:13" s="148" customFormat="1" hidden="1" x14ac:dyDescent="0.25">
      <c r="A374" s="400"/>
      <c r="B374" s="393"/>
      <c r="C374" s="393"/>
      <c r="D374" s="394"/>
      <c r="E374" s="393"/>
      <c r="F374" s="401"/>
      <c r="G374" s="402"/>
      <c r="H374" s="403"/>
      <c r="I374" s="401" t="s">
        <v>228</v>
      </c>
      <c r="J374" s="401" t="s">
        <v>228</v>
      </c>
      <c r="K374" s="398"/>
      <c r="L374" s="404"/>
      <c r="M374" s="400"/>
    </row>
    <row r="375" spans="1:13" s="148" customFormat="1" hidden="1" x14ac:dyDescent="0.25">
      <c r="A375" s="400"/>
      <c r="B375" s="393"/>
      <c r="C375" s="393"/>
      <c r="D375" s="394"/>
      <c r="E375" s="393"/>
      <c r="F375" s="401"/>
      <c r="G375" s="402"/>
      <c r="H375" s="403"/>
      <c r="I375" s="401" t="s">
        <v>228</v>
      </c>
      <c r="J375" s="401" t="s">
        <v>228</v>
      </c>
      <c r="K375" s="398"/>
      <c r="L375" s="404"/>
      <c r="M375" s="400"/>
    </row>
    <row r="376" spans="1:13" s="148" customFormat="1" hidden="1" x14ac:dyDescent="0.25">
      <c r="A376" s="400"/>
      <c r="B376" s="398"/>
      <c r="C376" s="393"/>
      <c r="D376" s="394"/>
      <c r="E376" s="393"/>
      <c r="F376" s="401"/>
      <c r="G376" s="402"/>
      <c r="H376" s="403"/>
      <c r="I376" s="401" t="s">
        <v>228</v>
      </c>
      <c r="J376" s="401" t="s">
        <v>228</v>
      </c>
      <c r="K376" s="398"/>
      <c r="L376" s="404"/>
      <c r="M376" s="400"/>
    </row>
    <row r="377" spans="1:13" s="148" customFormat="1" hidden="1" x14ac:dyDescent="0.25">
      <c r="A377" s="400"/>
      <c r="B377" s="398"/>
      <c r="C377" s="398"/>
      <c r="D377" s="405"/>
      <c r="E377" s="398"/>
      <c r="F377" s="395"/>
      <c r="G377" s="396"/>
      <c r="H377" s="399"/>
      <c r="I377" s="395" t="s">
        <v>228</v>
      </c>
      <c r="J377" s="397" t="s">
        <v>228</v>
      </c>
      <c r="K377" s="398"/>
      <c r="L377" s="404"/>
      <c r="M377" s="400"/>
    </row>
    <row r="378" spans="1:13" s="148" customFormat="1" hidden="1" x14ac:dyDescent="0.25">
      <c r="A378" s="400"/>
      <c r="B378" s="398"/>
      <c r="C378" s="398"/>
      <c r="D378" s="405"/>
      <c r="E378" s="398"/>
      <c r="F378" s="395"/>
      <c r="G378" s="396"/>
      <c r="H378" s="399"/>
      <c r="I378" s="395" t="s">
        <v>228</v>
      </c>
      <c r="J378" s="397" t="s">
        <v>228</v>
      </c>
      <c r="K378" s="398"/>
      <c r="L378" s="404"/>
      <c r="M378" s="400"/>
    </row>
    <row r="379" spans="1:13" s="148" customFormat="1" hidden="1" x14ac:dyDescent="0.25">
      <c r="A379" s="400"/>
      <c r="B379" s="398"/>
      <c r="C379" s="398"/>
      <c r="D379" s="405"/>
      <c r="E379" s="398"/>
      <c r="F379" s="395"/>
      <c r="G379" s="396"/>
      <c r="H379" s="399"/>
      <c r="I379" s="395" t="s">
        <v>228</v>
      </c>
      <c r="J379" s="397" t="s">
        <v>228</v>
      </c>
      <c r="K379" s="398"/>
      <c r="L379" s="404"/>
      <c r="M379" s="400"/>
    </row>
    <row r="380" spans="1:13" s="148" customFormat="1" hidden="1" x14ac:dyDescent="0.25">
      <c r="A380" s="400"/>
      <c r="B380" s="398"/>
      <c r="C380" s="398"/>
      <c r="D380" s="405"/>
      <c r="E380" s="398"/>
      <c r="F380" s="395"/>
      <c r="G380" s="396"/>
      <c r="H380" s="399"/>
      <c r="I380" s="395" t="s">
        <v>228</v>
      </c>
      <c r="J380" s="397" t="s">
        <v>228</v>
      </c>
      <c r="K380" s="398"/>
      <c r="L380" s="404"/>
      <c r="M380" s="400"/>
    </row>
    <row r="381" spans="1:13" s="148" customFormat="1" hidden="1" x14ac:dyDescent="0.25">
      <c r="A381" s="400"/>
      <c r="B381" s="398"/>
      <c r="C381" s="398"/>
      <c r="D381" s="405"/>
      <c r="E381" s="398"/>
      <c r="F381" s="395"/>
      <c r="G381" s="396"/>
      <c r="H381" s="399"/>
      <c r="I381" s="395" t="s">
        <v>228</v>
      </c>
      <c r="J381" s="397" t="s">
        <v>228</v>
      </c>
      <c r="K381" s="398"/>
      <c r="L381" s="404"/>
      <c r="M381" s="400"/>
    </row>
    <row r="382" spans="1:13" s="148" customFormat="1" hidden="1" x14ac:dyDescent="0.25">
      <c r="A382" s="400"/>
      <c r="B382" s="398"/>
      <c r="C382" s="398"/>
      <c r="D382" s="405"/>
      <c r="E382" s="398"/>
      <c r="F382" s="395"/>
      <c r="G382" s="396"/>
      <c r="H382" s="399"/>
      <c r="I382" s="395" t="s">
        <v>228</v>
      </c>
      <c r="J382" s="397" t="s">
        <v>228</v>
      </c>
      <c r="K382" s="398"/>
      <c r="L382" s="404"/>
      <c r="M382" s="400"/>
    </row>
    <row r="383" spans="1:13" s="148" customFormat="1" hidden="1" x14ac:dyDescent="0.25">
      <c r="A383" s="400"/>
      <c r="B383" s="398"/>
      <c r="C383" s="398"/>
      <c r="D383" s="405"/>
      <c r="E383" s="398"/>
      <c r="F383" s="395"/>
      <c r="G383" s="396"/>
      <c r="H383" s="399"/>
      <c r="I383" s="395" t="s">
        <v>228</v>
      </c>
      <c r="J383" s="397" t="s">
        <v>228</v>
      </c>
      <c r="K383" s="398"/>
      <c r="L383" s="404"/>
      <c r="M383" s="400"/>
    </row>
    <row r="384" spans="1:13" s="148" customFormat="1" hidden="1" x14ac:dyDescent="0.25">
      <c r="A384" s="400"/>
      <c r="B384" s="398"/>
      <c r="C384" s="398"/>
      <c r="D384" s="405"/>
      <c r="E384" s="398"/>
      <c r="F384" s="395"/>
      <c r="G384" s="396"/>
      <c r="H384" s="399"/>
      <c r="I384" s="395" t="s">
        <v>228</v>
      </c>
      <c r="J384" s="397" t="s">
        <v>228</v>
      </c>
      <c r="K384" s="398"/>
      <c r="L384" s="404"/>
      <c r="M384" s="400"/>
    </row>
    <row r="385" spans="1:13" s="148" customFormat="1" hidden="1" x14ac:dyDescent="0.25">
      <c r="A385" s="400"/>
      <c r="B385" s="398"/>
      <c r="C385" s="398"/>
      <c r="D385" s="405"/>
      <c r="E385" s="398"/>
      <c r="F385" s="395"/>
      <c r="G385" s="396"/>
      <c r="H385" s="399"/>
      <c r="I385" s="395" t="s">
        <v>228</v>
      </c>
      <c r="J385" s="397" t="s">
        <v>228</v>
      </c>
      <c r="K385" s="398"/>
      <c r="L385" s="404"/>
      <c r="M385" s="400"/>
    </row>
    <row r="386" spans="1:13" s="148" customFormat="1" hidden="1" x14ac:dyDescent="0.25">
      <c r="A386" s="400"/>
      <c r="B386" s="398"/>
      <c r="C386" s="398"/>
      <c r="D386" s="405"/>
      <c r="E386" s="398"/>
      <c r="F386" s="395"/>
      <c r="G386" s="396"/>
      <c r="H386" s="399"/>
      <c r="I386" s="395" t="s">
        <v>228</v>
      </c>
      <c r="J386" s="397" t="s">
        <v>228</v>
      </c>
      <c r="K386" s="398"/>
      <c r="L386" s="404"/>
      <c r="M386" s="400"/>
    </row>
    <row r="387" spans="1:13" s="148" customFormat="1" hidden="1" x14ac:dyDescent="0.25">
      <c r="A387" s="400"/>
      <c r="B387" s="398"/>
      <c r="C387" s="398"/>
      <c r="D387" s="405"/>
      <c r="E387" s="398"/>
      <c r="F387" s="395"/>
      <c r="G387" s="396"/>
      <c r="H387" s="399"/>
      <c r="I387" s="395" t="s">
        <v>228</v>
      </c>
      <c r="J387" s="397" t="s">
        <v>228</v>
      </c>
      <c r="K387" s="398"/>
      <c r="L387" s="404"/>
      <c r="M387" s="400"/>
    </row>
    <row r="388" spans="1:13" s="148" customFormat="1" hidden="1" x14ac:dyDescent="0.25">
      <c r="A388" s="400"/>
      <c r="B388" s="398"/>
      <c r="C388" s="398"/>
      <c r="D388" s="405"/>
      <c r="E388" s="398"/>
      <c r="F388" s="395"/>
      <c r="G388" s="396"/>
      <c r="H388" s="399"/>
      <c r="I388" s="395" t="s">
        <v>228</v>
      </c>
      <c r="J388" s="397" t="s">
        <v>228</v>
      </c>
      <c r="K388" s="398"/>
      <c r="L388" s="404"/>
      <c r="M388" s="400"/>
    </row>
    <row r="389" spans="1:13" s="148" customFormat="1" hidden="1" x14ac:dyDescent="0.25">
      <c r="A389" s="400"/>
      <c r="B389" s="398"/>
      <c r="C389" s="398"/>
      <c r="D389" s="405"/>
      <c r="E389" s="398"/>
      <c r="F389" s="395"/>
      <c r="G389" s="396"/>
      <c r="H389" s="399"/>
      <c r="I389" s="395" t="s">
        <v>228</v>
      </c>
      <c r="J389" s="397" t="s">
        <v>228</v>
      </c>
      <c r="K389" s="398"/>
      <c r="L389" s="404"/>
      <c r="M389" s="400"/>
    </row>
    <row r="390" spans="1:13" s="148" customFormat="1" hidden="1" x14ac:dyDescent="0.25">
      <c r="A390" s="400"/>
      <c r="B390" s="398"/>
      <c r="C390" s="398"/>
      <c r="D390" s="405"/>
      <c r="E390" s="398"/>
      <c r="F390" s="395"/>
      <c r="G390" s="396"/>
      <c r="H390" s="399"/>
      <c r="I390" s="395" t="s">
        <v>228</v>
      </c>
      <c r="J390" s="397" t="s">
        <v>228</v>
      </c>
      <c r="K390" s="398"/>
      <c r="L390" s="404"/>
      <c r="M390" s="400"/>
    </row>
    <row r="391" spans="1:13" s="148" customFormat="1" hidden="1" x14ac:dyDescent="0.25">
      <c r="A391" s="400"/>
      <c r="B391" s="398"/>
      <c r="C391" s="398"/>
      <c r="D391" s="405"/>
      <c r="E391" s="398"/>
      <c r="F391" s="395"/>
      <c r="G391" s="396"/>
      <c r="H391" s="399"/>
      <c r="I391" s="395" t="s">
        <v>228</v>
      </c>
      <c r="J391" s="397" t="s">
        <v>228</v>
      </c>
      <c r="K391" s="398"/>
      <c r="L391" s="404"/>
      <c r="M391" s="400"/>
    </row>
    <row r="392" spans="1:13" s="148" customFormat="1" hidden="1" x14ac:dyDescent="0.25">
      <c r="A392" s="400"/>
      <c r="B392" s="398"/>
      <c r="C392" s="398"/>
      <c r="D392" s="405"/>
      <c r="E392" s="398"/>
      <c r="F392" s="395"/>
      <c r="G392" s="396"/>
      <c r="H392" s="399"/>
      <c r="I392" s="395" t="s">
        <v>228</v>
      </c>
      <c r="J392" s="397" t="s">
        <v>228</v>
      </c>
      <c r="K392" s="398"/>
      <c r="L392" s="404"/>
      <c r="M392" s="400"/>
    </row>
    <row r="393" spans="1:13" s="148" customFormat="1" hidden="1" x14ac:dyDescent="0.25">
      <c r="A393" s="400"/>
      <c r="B393" s="398"/>
      <c r="C393" s="398"/>
      <c r="D393" s="405"/>
      <c r="E393" s="398"/>
      <c r="F393" s="395"/>
      <c r="G393" s="396"/>
      <c r="H393" s="399"/>
      <c r="I393" s="395" t="s">
        <v>228</v>
      </c>
      <c r="J393" s="397" t="s">
        <v>228</v>
      </c>
      <c r="K393" s="398"/>
      <c r="L393" s="404"/>
      <c r="M393" s="400"/>
    </row>
    <row r="394" spans="1:13" s="148" customFormat="1" hidden="1" x14ac:dyDescent="0.25">
      <c r="A394" s="400"/>
      <c r="B394" s="398"/>
      <c r="C394" s="398"/>
      <c r="D394" s="405"/>
      <c r="E394" s="398"/>
      <c r="F394" s="395"/>
      <c r="G394" s="396"/>
      <c r="H394" s="399"/>
      <c r="I394" s="395" t="s">
        <v>228</v>
      </c>
      <c r="J394" s="397" t="s">
        <v>228</v>
      </c>
      <c r="K394" s="398"/>
      <c r="L394" s="404"/>
      <c r="M394" s="400"/>
    </row>
    <row r="395" spans="1:13" s="148" customFormat="1" hidden="1" x14ac:dyDescent="0.25">
      <c r="A395" s="400"/>
      <c r="B395" s="398"/>
      <c r="C395" s="398"/>
      <c r="D395" s="405"/>
      <c r="E395" s="398"/>
      <c r="F395" s="395"/>
      <c r="G395" s="396"/>
      <c r="H395" s="399"/>
      <c r="I395" s="395" t="s">
        <v>228</v>
      </c>
      <c r="J395" s="397" t="s">
        <v>228</v>
      </c>
      <c r="K395" s="398"/>
      <c r="L395" s="404"/>
      <c r="M395" s="400"/>
    </row>
    <row r="396" spans="1:13" s="148" customFormat="1" hidden="1" x14ac:dyDescent="0.25">
      <c r="A396" s="400"/>
      <c r="B396" s="398"/>
      <c r="C396" s="398"/>
      <c r="D396" s="405"/>
      <c r="E396" s="398"/>
      <c r="F396" s="395"/>
      <c r="G396" s="396"/>
      <c r="H396" s="399"/>
      <c r="I396" s="395" t="s">
        <v>228</v>
      </c>
      <c r="J396" s="397" t="s">
        <v>228</v>
      </c>
      <c r="K396" s="398"/>
      <c r="L396" s="404"/>
      <c r="M396" s="400"/>
    </row>
    <row r="397" spans="1:13" s="148" customFormat="1" hidden="1" x14ac:dyDescent="0.25">
      <c r="A397" s="400"/>
      <c r="B397" s="398"/>
      <c r="C397" s="398"/>
      <c r="D397" s="405"/>
      <c r="E397" s="398"/>
      <c r="F397" s="395"/>
      <c r="G397" s="396"/>
      <c r="H397" s="399"/>
      <c r="I397" s="395" t="s">
        <v>228</v>
      </c>
      <c r="J397" s="397" t="s">
        <v>228</v>
      </c>
      <c r="K397" s="398"/>
      <c r="L397" s="404"/>
      <c r="M397" s="400"/>
    </row>
    <row r="398" spans="1:13" s="148" customFormat="1" hidden="1" x14ac:dyDescent="0.25">
      <c r="A398" s="400"/>
      <c r="B398" s="398"/>
      <c r="C398" s="398"/>
      <c r="D398" s="405"/>
      <c r="E398" s="398"/>
      <c r="F398" s="395"/>
      <c r="G398" s="396"/>
      <c r="H398" s="399"/>
      <c r="I398" s="395" t="s">
        <v>228</v>
      </c>
      <c r="J398" s="397" t="s">
        <v>228</v>
      </c>
      <c r="K398" s="398"/>
      <c r="L398" s="404"/>
      <c r="M398" s="400"/>
    </row>
    <row r="399" spans="1:13" s="148" customFormat="1" hidden="1" x14ac:dyDescent="0.25">
      <c r="A399" s="400"/>
      <c r="B399" s="398"/>
      <c r="C399" s="398"/>
      <c r="D399" s="405"/>
      <c r="E399" s="398"/>
      <c r="F399" s="395"/>
      <c r="G399" s="396"/>
      <c r="H399" s="399"/>
      <c r="I399" s="395" t="s">
        <v>228</v>
      </c>
      <c r="J399" s="397" t="s">
        <v>228</v>
      </c>
      <c r="K399" s="398"/>
      <c r="L399" s="404"/>
      <c r="M399" s="400"/>
    </row>
    <row r="400" spans="1:13" s="148" customFormat="1" hidden="1" x14ac:dyDescent="0.25">
      <c r="A400" s="400"/>
      <c r="B400" s="398"/>
      <c r="C400" s="398"/>
      <c r="D400" s="405"/>
      <c r="E400" s="398"/>
      <c r="F400" s="395"/>
      <c r="G400" s="396"/>
      <c r="H400" s="399"/>
      <c r="I400" s="395" t="s">
        <v>228</v>
      </c>
      <c r="J400" s="397" t="s">
        <v>228</v>
      </c>
      <c r="K400" s="398"/>
      <c r="L400" s="404"/>
      <c r="M400" s="400"/>
    </row>
    <row r="401" spans="1:13" s="148" customFormat="1" hidden="1" x14ac:dyDescent="0.25">
      <c r="A401" s="400"/>
      <c r="B401" s="398"/>
      <c r="C401" s="398"/>
      <c r="D401" s="405"/>
      <c r="E401" s="398"/>
      <c r="F401" s="395"/>
      <c r="G401" s="396"/>
      <c r="H401" s="399"/>
      <c r="I401" s="395" t="s">
        <v>228</v>
      </c>
      <c r="J401" s="397" t="s">
        <v>228</v>
      </c>
      <c r="K401" s="398"/>
      <c r="L401" s="404"/>
      <c r="M401" s="400"/>
    </row>
    <row r="402" spans="1:13" s="148" customFormat="1" hidden="1" x14ac:dyDescent="0.25">
      <c r="A402" s="400"/>
      <c r="B402" s="398"/>
      <c r="C402" s="398"/>
      <c r="D402" s="405"/>
      <c r="E402" s="398"/>
      <c r="F402" s="395"/>
      <c r="G402" s="396"/>
      <c r="H402" s="399"/>
      <c r="I402" s="395" t="s">
        <v>228</v>
      </c>
      <c r="J402" s="397" t="s">
        <v>228</v>
      </c>
      <c r="K402" s="398"/>
      <c r="L402" s="404"/>
      <c r="M402" s="400"/>
    </row>
    <row r="403" spans="1:13" s="148" customFormat="1" hidden="1" x14ac:dyDescent="0.25">
      <c r="A403" s="400"/>
      <c r="B403" s="398"/>
      <c r="C403" s="398"/>
      <c r="D403" s="405"/>
      <c r="E403" s="398"/>
      <c r="F403" s="395"/>
      <c r="G403" s="396"/>
      <c r="H403" s="399"/>
      <c r="I403" s="395" t="s">
        <v>228</v>
      </c>
      <c r="J403" s="397" t="s">
        <v>228</v>
      </c>
      <c r="K403" s="398"/>
      <c r="L403" s="404"/>
      <c r="M403" s="400"/>
    </row>
    <row r="404" spans="1:13" s="148" customFormat="1" hidden="1" x14ac:dyDescent="0.25">
      <c r="A404" s="400"/>
      <c r="B404" s="398"/>
      <c r="C404" s="398"/>
      <c r="D404" s="405"/>
      <c r="E404" s="398"/>
      <c r="F404" s="395"/>
      <c r="G404" s="396"/>
      <c r="H404" s="399"/>
      <c r="I404" s="395" t="s">
        <v>228</v>
      </c>
      <c r="J404" s="397" t="s">
        <v>228</v>
      </c>
      <c r="K404" s="398"/>
      <c r="L404" s="404"/>
      <c r="M404" s="400"/>
    </row>
    <row r="405" spans="1:13" s="148" customFormat="1" hidden="1" x14ac:dyDescent="0.25">
      <c r="A405" s="400"/>
      <c r="B405" s="398"/>
      <c r="C405" s="398"/>
      <c r="D405" s="405"/>
      <c r="E405" s="398"/>
      <c r="F405" s="395"/>
      <c r="G405" s="396"/>
      <c r="H405" s="399"/>
      <c r="I405" s="395" t="s">
        <v>228</v>
      </c>
      <c r="J405" s="397" t="s">
        <v>228</v>
      </c>
      <c r="K405" s="398"/>
      <c r="L405" s="404"/>
      <c r="M405" s="400"/>
    </row>
    <row r="406" spans="1:13" s="148" customFormat="1" hidden="1" x14ac:dyDescent="0.25">
      <c r="A406" s="400"/>
      <c r="B406" s="398"/>
      <c r="C406" s="398"/>
      <c r="D406" s="405"/>
      <c r="E406" s="398"/>
      <c r="F406" s="395"/>
      <c r="G406" s="396"/>
      <c r="H406" s="399"/>
      <c r="I406" s="395" t="s">
        <v>228</v>
      </c>
      <c r="J406" s="397" t="s">
        <v>228</v>
      </c>
      <c r="K406" s="398"/>
      <c r="L406" s="404"/>
      <c r="M406" s="400"/>
    </row>
    <row r="407" spans="1:13" s="148" customFormat="1" hidden="1" x14ac:dyDescent="0.25">
      <c r="A407" s="400"/>
      <c r="B407" s="398"/>
      <c r="C407" s="398"/>
      <c r="D407" s="405"/>
      <c r="E407" s="398"/>
      <c r="F407" s="395"/>
      <c r="G407" s="396"/>
      <c r="H407" s="399"/>
      <c r="I407" s="395" t="s">
        <v>228</v>
      </c>
      <c r="J407" s="397" t="s">
        <v>228</v>
      </c>
      <c r="K407" s="398"/>
      <c r="L407" s="404"/>
      <c r="M407" s="400"/>
    </row>
    <row r="408" spans="1:13" s="148" customFormat="1" hidden="1" x14ac:dyDescent="0.25">
      <c r="A408" s="400"/>
      <c r="B408" s="398"/>
      <c r="C408" s="398"/>
      <c r="D408" s="405"/>
      <c r="E408" s="398"/>
      <c r="F408" s="395"/>
      <c r="G408" s="396"/>
      <c r="H408" s="399"/>
      <c r="I408" s="395" t="s">
        <v>228</v>
      </c>
      <c r="J408" s="397" t="s">
        <v>228</v>
      </c>
      <c r="K408" s="398"/>
      <c r="L408" s="404"/>
      <c r="M408" s="400"/>
    </row>
    <row r="409" spans="1:13" s="148" customFormat="1" hidden="1" x14ac:dyDescent="0.25">
      <c r="A409" s="400"/>
      <c r="B409" s="398"/>
      <c r="C409" s="398"/>
      <c r="D409" s="405"/>
      <c r="E409" s="398"/>
      <c r="F409" s="395"/>
      <c r="G409" s="396"/>
      <c r="H409" s="399"/>
      <c r="I409" s="395" t="s">
        <v>228</v>
      </c>
      <c r="J409" s="397" t="s">
        <v>228</v>
      </c>
      <c r="K409" s="398"/>
      <c r="L409" s="404"/>
      <c r="M409" s="400"/>
    </row>
    <row r="410" spans="1:13" s="148" customFormat="1" hidden="1" x14ac:dyDescent="0.25">
      <c r="A410" s="400"/>
      <c r="B410" s="398"/>
      <c r="C410" s="398"/>
      <c r="D410" s="405"/>
      <c r="E410" s="398"/>
      <c r="F410" s="395"/>
      <c r="G410" s="396"/>
      <c r="H410" s="399"/>
      <c r="I410" s="395" t="s">
        <v>228</v>
      </c>
      <c r="J410" s="397" t="s">
        <v>228</v>
      </c>
      <c r="K410" s="398"/>
      <c r="L410" s="404"/>
      <c r="M410" s="400"/>
    </row>
    <row r="411" spans="1:13" s="148" customFormat="1" hidden="1" x14ac:dyDescent="0.25">
      <c r="A411" s="400"/>
      <c r="B411" s="398"/>
      <c r="C411" s="398"/>
      <c r="D411" s="405"/>
      <c r="E411" s="398"/>
      <c r="F411" s="395"/>
      <c r="G411" s="396"/>
      <c r="H411" s="399"/>
      <c r="I411" s="395" t="s">
        <v>228</v>
      </c>
      <c r="J411" s="397" t="s">
        <v>228</v>
      </c>
      <c r="K411" s="398"/>
      <c r="L411" s="404"/>
      <c r="M411" s="400"/>
    </row>
    <row r="412" spans="1:13" s="148" customFormat="1" hidden="1" x14ac:dyDescent="0.25">
      <c r="A412" s="400"/>
      <c r="B412" s="398"/>
      <c r="C412" s="398"/>
      <c r="D412" s="405"/>
      <c r="E412" s="398"/>
      <c r="F412" s="395"/>
      <c r="G412" s="396"/>
      <c r="H412" s="399"/>
      <c r="I412" s="395" t="s">
        <v>228</v>
      </c>
      <c r="J412" s="397" t="s">
        <v>228</v>
      </c>
      <c r="K412" s="398"/>
      <c r="L412" s="404"/>
      <c r="M412" s="400"/>
    </row>
    <row r="413" spans="1:13" s="148" customFormat="1" hidden="1" x14ac:dyDescent="0.25">
      <c r="A413" s="400"/>
      <c r="B413" s="398"/>
      <c r="C413" s="398"/>
      <c r="D413" s="405"/>
      <c r="E413" s="398"/>
      <c r="F413" s="395"/>
      <c r="G413" s="396"/>
      <c r="H413" s="399"/>
      <c r="I413" s="395" t="s">
        <v>228</v>
      </c>
      <c r="J413" s="397" t="s">
        <v>228</v>
      </c>
      <c r="K413" s="398"/>
      <c r="L413" s="404"/>
      <c r="M413" s="400"/>
    </row>
    <row r="414" spans="1:13" s="148" customFormat="1" hidden="1" x14ac:dyDescent="0.25">
      <c r="A414" s="400"/>
      <c r="B414" s="398"/>
      <c r="C414" s="398"/>
      <c r="D414" s="405"/>
      <c r="E414" s="398"/>
      <c r="F414" s="395"/>
      <c r="G414" s="396"/>
      <c r="H414" s="399"/>
      <c r="I414" s="395" t="s">
        <v>228</v>
      </c>
      <c r="J414" s="397" t="s">
        <v>228</v>
      </c>
      <c r="K414" s="398"/>
      <c r="L414" s="404"/>
      <c r="M414" s="400"/>
    </row>
    <row r="415" spans="1:13" s="148" customFormat="1" hidden="1" x14ac:dyDescent="0.25">
      <c r="A415" s="400"/>
      <c r="B415" s="398"/>
      <c r="C415" s="398"/>
      <c r="D415" s="405"/>
      <c r="E415" s="398"/>
      <c r="F415" s="395"/>
      <c r="G415" s="396"/>
      <c r="H415" s="399"/>
      <c r="I415" s="395" t="s">
        <v>228</v>
      </c>
      <c r="J415" s="397" t="s">
        <v>228</v>
      </c>
      <c r="K415" s="398"/>
      <c r="L415" s="404"/>
      <c r="M415" s="400"/>
    </row>
    <row r="416" spans="1:13" s="148" customFormat="1" hidden="1" x14ac:dyDescent="0.25">
      <c r="A416" s="400"/>
      <c r="B416" s="398"/>
      <c r="C416" s="398"/>
      <c r="D416" s="405"/>
      <c r="E416" s="398"/>
      <c r="F416" s="395"/>
      <c r="G416" s="396"/>
      <c r="H416" s="399"/>
      <c r="I416" s="395" t="s">
        <v>228</v>
      </c>
      <c r="J416" s="397" t="s">
        <v>228</v>
      </c>
      <c r="K416" s="398"/>
      <c r="L416" s="404"/>
      <c r="M416" s="400"/>
    </row>
    <row r="417" spans="1:13" s="148" customFormat="1" hidden="1" x14ac:dyDescent="0.25">
      <c r="A417" s="400"/>
      <c r="B417" s="398"/>
      <c r="C417" s="398"/>
      <c r="D417" s="405"/>
      <c r="E417" s="398"/>
      <c r="F417" s="395"/>
      <c r="G417" s="396"/>
      <c r="H417" s="399"/>
      <c r="I417" s="395" t="s">
        <v>228</v>
      </c>
      <c r="J417" s="397" t="s">
        <v>228</v>
      </c>
      <c r="K417" s="398"/>
      <c r="L417" s="404"/>
      <c r="M417" s="400"/>
    </row>
    <row r="418" spans="1:13" s="148" customFormat="1" hidden="1" x14ac:dyDescent="0.25">
      <c r="A418" s="400"/>
      <c r="B418" s="398"/>
      <c r="C418" s="398"/>
      <c r="D418" s="405"/>
      <c r="E418" s="398"/>
      <c r="F418" s="395"/>
      <c r="G418" s="396"/>
      <c r="H418" s="399"/>
      <c r="I418" s="395" t="s">
        <v>228</v>
      </c>
      <c r="J418" s="397" t="s">
        <v>228</v>
      </c>
      <c r="K418" s="398"/>
      <c r="L418" s="404"/>
      <c r="M418" s="400"/>
    </row>
    <row r="419" spans="1:13" s="148" customFormat="1" hidden="1" x14ac:dyDescent="0.25">
      <c r="A419" s="400"/>
      <c r="B419" s="398"/>
      <c r="C419" s="398"/>
      <c r="D419" s="405"/>
      <c r="E419" s="398"/>
      <c r="F419" s="395"/>
      <c r="G419" s="396"/>
      <c r="H419" s="399"/>
      <c r="I419" s="395" t="s">
        <v>228</v>
      </c>
      <c r="J419" s="397" t="s">
        <v>228</v>
      </c>
      <c r="K419" s="398"/>
      <c r="L419" s="404"/>
      <c r="M419" s="400"/>
    </row>
    <row r="420" spans="1:13" s="148" customFormat="1" hidden="1" x14ac:dyDescent="0.25">
      <c r="A420" s="400"/>
      <c r="B420" s="398"/>
      <c r="C420" s="398"/>
      <c r="D420" s="405"/>
      <c r="E420" s="398"/>
      <c r="F420" s="395"/>
      <c r="G420" s="396"/>
      <c r="H420" s="399"/>
      <c r="I420" s="395" t="s">
        <v>228</v>
      </c>
      <c r="J420" s="397" t="s">
        <v>228</v>
      </c>
      <c r="K420" s="398"/>
      <c r="L420" s="404"/>
      <c r="M420" s="400"/>
    </row>
    <row r="421" spans="1:13" s="148" customFormat="1" hidden="1" x14ac:dyDescent="0.25">
      <c r="A421" s="400"/>
      <c r="B421" s="398"/>
      <c r="C421" s="398"/>
      <c r="D421" s="405"/>
      <c r="E421" s="398"/>
      <c r="F421" s="395"/>
      <c r="G421" s="396"/>
      <c r="H421" s="399"/>
      <c r="I421" s="395" t="s">
        <v>228</v>
      </c>
      <c r="J421" s="397" t="s">
        <v>228</v>
      </c>
      <c r="K421" s="398"/>
      <c r="L421" s="404"/>
      <c r="M421" s="400"/>
    </row>
    <row r="422" spans="1:13" s="148" customFormat="1" hidden="1" x14ac:dyDescent="0.25">
      <c r="A422" s="400"/>
      <c r="B422" s="398"/>
      <c r="C422" s="398"/>
      <c r="D422" s="405"/>
      <c r="E422" s="398"/>
      <c r="F422" s="395"/>
      <c r="G422" s="396"/>
      <c r="H422" s="399"/>
      <c r="I422" s="395" t="s">
        <v>228</v>
      </c>
      <c r="J422" s="397" t="s">
        <v>228</v>
      </c>
      <c r="K422" s="398"/>
      <c r="L422" s="404"/>
      <c r="M422" s="400"/>
    </row>
    <row r="423" spans="1:13" s="148" customFormat="1" hidden="1" x14ac:dyDescent="0.25">
      <c r="A423" s="400"/>
      <c r="B423" s="398"/>
      <c r="C423" s="398"/>
      <c r="D423" s="405"/>
      <c r="E423" s="398"/>
      <c r="F423" s="395"/>
      <c r="G423" s="396"/>
      <c r="H423" s="399"/>
      <c r="I423" s="395" t="s">
        <v>228</v>
      </c>
      <c r="J423" s="397" t="s">
        <v>228</v>
      </c>
      <c r="K423" s="398"/>
      <c r="L423" s="404"/>
      <c r="M423" s="400"/>
    </row>
    <row r="424" spans="1:13" s="148" customFormat="1" hidden="1" x14ac:dyDescent="0.25">
      <c r="A424" s="400"/>
      <c r="B424" s="398"/>
      <c r="C424" s="398"/>
      <c r="D424" s="405"/>
      <c r="E424" s="398"/>
      <c r="F424" s="395"/>
      <c r="G424" s="396"/>
      <c r="H424" s="399"/>
      <c r="I424" s="395" t="s">
        <v>228</v>
      </c>
      <c r="J424" s="397" t="s">
        <v>228</v>
      </c>
      <c r="K424" s="398"/>
      <c r="L424" s="404"/>
      <c r="M424" s="400"/>
    </row>
    <row r="425" spans="1:13" s="148" customFormat="1" hidden="1" x14ac:dyDescent="0.25">
      <c r="A425" s="400"/>
      <c r="B425" s="398"/>
      <c r="C425" s="398"/>
      <c r="D425" s="405"/>
      <c r="E425" s="398"/>
      <c r="F425" s="395"/>
      <c r="G425" s="396"/>
      <c r="H425" s="399"/>
      <c r="I425" s="395" t="s">
        <v>228</v>
      </c>
      <c r="J425" s="397" t="s">
        <v>228</v>
      </c>
      <c r="K425" s="398"/>
      <c r="L425" s="404"/>
      <c r="M425" s="400"/>
    </row>
    <row r="426" spans="1:13" s="148" customFormat="1" hidden="1" x14ac:dyDescent="0.25">
      <c r="A426" s="400"/>
      <c r="B426" s="398"/>
      <c r="C426" s="398"/>
      <c r="D426" s="405"/>
      <c r="E426" s="398"/>
      <c r="F426" s="395"/>
      <c r="G426" s="396"/>
      <c r="H426" s="399"/>
      <c r="I426" s="395" t="s">
        <v>228</v>
      </c>
      <c r="J426" s="397" t="s">
        <v>228</v>
      </c>
      <c r="K426" s="398"/>
      <c r="L426" s="404"/>
      <c r="M426" s="400"/>
    </row>
    <row r="427" spans="1:13" s="148" customFormat="1" hidden="1" x14ac:dyDescent="0.25">
      <c r="A427" s="400"/>
      <c r="B427" s="398"/>
      <c r="C427" s="398"/>
      <c r="D427" s="405"/>
      <c r="E427" s="398"/>
      <c r="F427" s="395"/>
      <c r="G427" s="396"/>
      <c r="H427" s="399"/>
      <c r="I427" s="395" t="s">
        <v>228</v>
      </c>
      <c r="J427" s="397" t="s">
        <v>228</v>
      </c>
      <c r="K427" s="398"/>
      <c r="L427" s="404"/>
      <c r="M427" s="400"/>
    </row>
    <row r="428" spans="1:13" s="148" customFormat="1" hidden="1" x14ac:dyDescent="0.25">
      <c r="A428" s="400"/>
      <c r="B428" s="398"/>
      <c r="C428" s="398"/>
      <c r="D428" s="405"/>
      <c r="E428" s="398"/>
      <c r="F428" s="395"/>
      <c r="G428" s="396"/>
      <c r="H428" s="399"/>
      <c r="I428" s="395" t="s">
        <v>228</v>
      </c>
      <c r="J428" s="397" t="s">
        <v>228</v>
      </c>
      <c r="K428" s="398"/>
      <c r="L428" s="404"/>
      <c r="M428" s="400"/>
    </row>
    <row r="429" spans="1:13" s="148" customFormat="1" hidden="1" x14ac:dyDescent="0.25">
      <c r="A429" s="400"/>
      <c r="B429" s="398"/>
      <c r="C429" s="398"/>
      <c r="D429" s="405"/>
      <c r="E429" s="398"/>
      <c r="F429" s="395"/>
      <c r="G429" s="396"/>
      <c r="H429" s="399"/>
      <c r="I429" s="395" t="s">
        <v>228</v>
      </c>
      <c r="J429" s="397" t="s">
        <v>228</v>
      </c>
      <c r="K429" s="398"/>
      <c r="L429" s="404"/>
      <c r="M429" s="400"/>
    </row>
    <row r="430" spans="1:13" s="148" customFormat="1" hidden="1" x14ac:dyDescent="0.25">
      <c r="A430" s="400"/>
      <c r="B430" s="398"/>
      <c r="C430" s="398"/>
      <c r="D430" s="405"/>
      <c r="E430" s="398"/>
      <c r="F430" s="395"/>
      <c r="G430" s="396"/>
      <c r="H430" s="399"/>
      <c r="I430" s="395" t="s">
        <v>228</v>
      </c>
      <c r="J430" s="397" t="s">
        <v>228</v>
      </c>
      <c r="K430" s="398"/>
      <c r="L430" s="404"/>
      <c r="M430" s="400"/>
    </row>
    <row r="431" spans="1:13" s="148" customFormat="1" hidden="1" x14ac:dyDescent="0.25">
      <c r="A431" s="400"/>
      <c r="B431" s="398"/>
      <c r="C431" s="398"/>
      <c r="D431" s="405"/>
      <c r="E431" s="398"/>
      <c r="F431" s="395"/>
      <c r="G431" s="396"/>
      <c r="H431" s="399"/>
      <c r="I431" s="395" t="s">
        <v>228</v>
      </c>
      <c r="J431" s="397" t="s">
        <v>228</v>
      </c>
      <c r="K431" s="398"/>
      <c r="L431" s="404"/>
      <c r="M431" s="400"/>
    </row>
    <row r="432" spans="1:13" s="148" customFormat="1" hidden="1" x14ac:dyDescent="0.25">
      <c r="A432" s="400"/>
      <c r="B432" s="398"/>
      <c r="C432" s="398"/>
      <c r="D432" s="405"/>
      <c r="E432" s="398"/>
      <c r="F432" s="395"/>
      <c r="G432" s="396"/>
      <c r="H432" s="399"/>
      <c r="I432" s="395" t="s">
        <v>228</v>
      </c>
      <c r="J432" s="397" t="s">
        <v>228</v>
      </c>
      <c r="K432" s="398"/>
      <c r="L432" s="404"/>
      <c r="M432" s="400"/>
    </row>
    <row r="433" spans="1:13" s="148" customFormat="1" hidden="1" x14ac:dyDescent="0.25">
      <c r="A433" s="400"/>
      <c r="B433" s="398"/>
      <c r="C433" s="398"/>
      <c r="D433" s="405"/>
      <c r="E433" s="398"/>
      <c r="F433" s="395"/>
      <c r="G433" s="396"/>
      <c r="H433" s="399"/>
      <c r="I433" s="395" t="s">
        <v>228</v>
      </c>
      <c r="J433" s="397" t="s">
        <v>228</v>
      </c>
      <c r="K433" s="398"/>
      <c r="L433" s="404"/>
      <c r="M433" s="400"/>
    </row>
    <row r="434" spans="1:13" s="148" customFormat="1" hidden="1" x14ac:dyDescent="0.25">
      <c r="A434" s="400"/>
      <c r="B434" s="398"/>
      <c r="C434" s="398"/>
      <c r="D434" s="405"/>
      <c r="E434" s="398"/>
      <c r="F434" s="395"/>
      <c r="G434" s="396"/>
      <c r="H434" s="399"/>
      <c r="I434" s="395" t="s">
        <v>228</v>
      </c>
      <c r="J434" s="397" t="s">
        <v>228</v>
      </c>
      <c r="K434" s="398"/>
      <c r="L434" s="404"/>
      <c r="M434" s="400"/>
    </row>
    <row r="435" spans="1:13" s="148" customFormat="1" hidden="1" x14ac:dyDescent="0.25">
      <c r="A435" s="400"/>
      <c r="B435" s="398"/>
      <c r="C435" s="398"/>
      <c r="D435" s="405"/>
      <c r="E435" s="398"/>
      <c r="F435" s="395"/>
      <c r="G435" s="396"/>
      <c r="H435" s="399"/>
      <c r="I435" s="395" t="s">
        <v>228</v>
      </c>
      <c r="J435" s="397" t="s">
        <v>228</v>
      </c>
      <c r="K435" s="398"/>
      <c r="L435" s="404"/>
      <c r="M435" s="400"/>
    </row>
    <row r="436" spans="1:13" s="148" customFormat="1" hidden="1" x14ac:dyDescent="0.25">
      <c r="A436" s="400"/>
      <c r="B436" s="398"/>
      <c r="C436" s="398"/>
      <c r="D436" s="405"/>
      <c r="E436" s="398"/>
      <c r="F436" s="395"/>
      <c r="G436" s="396"/>
      <c r="H436" s="399"/>
      <c r="I436" s="395" t="s">
        <v>228</v>
      </c>
      <c r="J436" s="397" t="s">
        <v>228</v>
      </c>
      <c r="K436" s="398"/>
      <c r="L436" s="404"/>
      <c r="M436" s="400"/>
    </row>
    <row r="437" spans="1:13" s="148" customFormat="1" hidden="1" x14ac:dyDescent="0.25">
      <c r="A437" s="400"/>
      <c r="B437" s="398"/>
      <c r="C437" s="398"/>
      <c r="D437" s="405"/>
      <c r="E437" s="398"/>
      <c r="F437" s="395"/>
      <c r="G437" s="396"/>
      <c r="H437" s="399"/>
      <c r="I437" s="395" t="s">
        <v>228</v>
      </c>
      <c r="J437" s="397" t="s">
        <v>228</v>
      </c>
      <c r="K437" s="398"/>
      <c r="L437" s="404"/>
      <c r="M437" s="400"/>
    </row>
    <row r="438" spans="1:13" s="148" customFormat="1" hidden="1" x14ac:dyDescent="0.25">
      <c r="A438" s="400"/>
      <c r="B438" s="398"/>
      <c r="C438" s="398"/>
      <c r="D438" s="405"/>
      <c r="E438" s="398"/>
      <c r="F438" s="395"/>
      <c r="G438" s="396"/>
      <c r="H438" s="399"/>
      <c r="I438" s="395" t="s">
        <v>228</v>
      </c>
      <c r="J438" s="397" t="s">
        <v>228</v>
      </c>
      <c r="K438" s="398"/>
      <c r="L438" s="404"/>
      <c r="M438" s="400"/>
    </row>
    <row r="439" spans="1:13" s="148" customFormat="1" hidden="1" x14ac:dyDescent="0.25">
      <c r="A439" s="400"/>
      <c r="B439" s="398"/>
      <c r="C439" s="398"/>
      <c r="D439" s="405"/>
      <c r="E439" s="398"/>
      <c r="F439" s="395"/>
      <c r="G439" s="396"/>
      <c r="H439" s="399"/>
      <c r="I439" s="395" t="s">
        <v>228</v>
      </c>
      <c r="J439" s="397" t="s">
        <v>228</v>
      </c>
      <c r="K439" s="398"/>
      <c r="L439" s="404"/>
      <c r="M439" s="400"/>
    </row>
    <row r="440" spans="1:13" s="148" customFormat="1" hidden="1" x14ac:dyDescent="0.25">
      <c r="A440" s="400"/>
      <c r="B440" s="398"/>
      <c r="C440" s="398"/>
      <c r="D440" s="405"/>
      <c r="E440" s="398"/>
      <c r="F440" s="395"/>
      <c r="G440" s="396"/>
      <c r="H440" s="399"/>
      <c r="I440" s="395" t="s">
        <v>228</v>
      </c>
      <c r="J440" s="397" t="s">
        <v>228</v>
      </c>
      <c r="K440" s="398"/>
      <c r="L440" s="404"/>
      <c r="M440" s="400"/>
    </row>
    <row r="441" spans="1:13" s="148" customFormat="1" hidden="1" x14ac:dyDescent="0.25">
      <c r="A441" s="400"/>
      <c r="B441" s="398"/>
      <c r="C441" s="398"/>
      <c r="D441" s="405"/>
      <c r="E441" s="398"/>
      <c r="F441" s="395"/>
      <c r="G441" s="396"/>
      <c r="H441" s="399"/>
      <c r="I441" s="395" t="s">
        <v>228</v>
      </c>
      <c r="J441" s="397" t="s">
        <v>228</v>
      </c>
      <c r="K441" s="398"/>
      <c r="L441" s="404"/>
      <c r="M441" s="400"/>
    </row>
    <row r="442" spans="1:13" s="148" customFormat="1" hidden="1" x14ac:dyDescent="0.25">
      <c r="A442" s="400"/>
      <c r="B442" s="398"/>
      <c r="C442" s="398"/>
      <c r="D442" s="405"/>
      <c r="E442" s="398"/>
      <c r="F442" s="395"/>
      <c r="G442" s="396"/>
      <c r="H442" s="399"/>
      <c r="I442" s="395" t="s">
        <v>228</v>
      </c>
      <c r="J442" s="397" t="s">
        <v>228</v>
      </c>
      <c r="K442" s="398"/>
      <c r="L442" s="404"/>
      <c r="M442" s="400"/>
    </row>
    <row r="443" spans="1:13" s="148" customFormat="1" hidden="1" x14ac:dyDescent="0.25">
      <c r="A443" s="400"/>
      <c r="B443" s="398"/>
      <c r="C443" s="398"/>
      <c r="D443" s="405"/>
      <c r="E443" s="398"/>
      <c r="F443" s="395"/>
      <c r="G443" s="396"/>
      <c r="H443" s="399"/>
      <c r="I443" s="395" t="s">
        <v>228</v>
      </c>
      <c r="J443" s="397" t="s">
        <v>228</v>
      </c>
      <c r="K443" s="398"/>
      <c r="L443" s="404"/>
      <c r="M443" s="400"/>
    </row>
    <row r="444" spans="1:13" s="148" customFormat="1" hidden="1" x14ac:dyDescent="0.25">
      <c r="A444" s="400"/>
      <c r="B444" s="398"/>
      <c r="C444" s="398"/>
      <c r="D444" s="405"/>
      <c r="E444" s="398"/>
      <c r="F444" s="395"/>
      <c r="G444" s="396"/>
      <c r="H444" s="399"/>
      <c r="I444" s="395" t="s">
        <v>228</v>
      </c>
      <c r="J444" s="397" t="s">
        <v>228</v>
      </c>
      <c r="K444" s="398"/>
      <c r="L444" s="404"/>
      <c r="M444" s="400"/>
    </row>
    <row r="445" spans="1:13" s="148" customFormat="1" hidden="1" x14ac:dyDescent="0.25">
      <c r="A445" s="400"/>
      <c r="B445" s="398"/>
      <c r="C445" s="398"/>
      <c r="D445" s="405"/>
      <c r="E445" s="398"/>
      <c r="F445" s="395"/>
      <c r="G445" s="396"/>
      <c r="H445" s="399"/>
      <c r="I445" s="395" t="s">
        <v>228</v>
      </c>
      <c r="J445" s="397" t="s">
        <v>228</v>
      </c>
      <c r="K445" s="398"/>
      <c r="L445" s="404"/>
      <c r="M445" s="400"/>
    </row>
    <row r="446" spans="1:13" s="148" customFormat="1" hidden="1" x14ac:dyDescent="0.25">
      <c r="A446" s="400"/>
      <c r="B446" s="398"/>
      <c r="C446" s="398"/>
      <c r="D446" s="405"/>
      <c r="E446" s="398"/>
      <c r="F446" s="395"/>
      <c r="G446" s="396"/>
      <c r="H446" s="399"/>
      <c r="I446" s="395" t="s">
        <v>228</v>
      </c>
      <c r="J446" s="397" t="s">
        <v>228</v>
      </c>
      <c r="K446" s="398"/>
      <c r="L446" s="404"/>
      <c r="M446" s="400"/>
    </row>
    <row r="447" spans="1:13" s="148" customFormat="1" hidden="1" x14ac:dyDescent="0.25">
      <c r="A447" s="400"/>
      <c r="B447" s="398"/>
      <c r="C447" s="398"/>
      <c r="D447" s="405"/>
      <c r="E447" s="398"/>
      <c r="F447" s="395"/>
      <c r="G447" s="396"/>
      <c r="H447" s="399"/>
      <c r="I447" s="395" t="s">
        <v>228</v>
      </c>
      <c r="J447" s="397" t="s">
        <v>228</v>
      </c>
      <c r="K447" s="398"/>
      <c r="L447" s="404"/>
      <c r="M447" s="400"/>
    </row>
    <row r="448" spans="1:13" s="148" customFormat="1" hidden="1" x14ac:dyDescent="0.25">
      <c r="A448" s="400"/>
      <c r="B448" s="398"/>
      <c r="C448" s="398"/>
      <c r="D448" s="405"/>
      <c r="E448" s="398"/>
      <c r="F448" s="395"/>
      <c r="G448" s="396"/>
      <c r="H448" s="399"/>
      <c r="I448" s="395" t="s">
        <v>228</v>
      </c>
      <c r="J448" s="397" t="s">
        <v>228</v>
      </c>
      <c r="K448" s="398"/>
      <c r="L448" s="404"/>
      <c r="M448" s="400"/>
    </row>
    <row r="449" spans="1:13" s="148" customFormat="1" hidden="1" x14ac:dyDescent="0.25">
      <c r="A449" s="400"/>
      <c r="B449" s="398"/>
      <c r="C449" s="398"/>
      <c r="D449" s="405"/>
      <c r="E449" s="398"/>
      <c r="F449" s="395"/>
      <c r="G449" s="396"/>
      <c r="H449" s="399"/>
      <c r="I449" s="395" t="s">
        <v>228</v>
      </c>
      <c r="J449" s="397" t="s">
        <v>228</v>
      </c>
      <c r="K449" s="398"/>
      <c r="L449" s="404"/>
      <c r="M449" s="400"/>
    </row>
    <row r="450" spans="1:13" s="148" customFormat="1" hidden="1" x14ac:dyDescent="0.25">
      <c r="A450" s="400"/>
      <c r="B450" s="398"/>
      <c r="C450" s="398"/>
      <c r="D450" s="405"/>
      <c r="E450" s="398"/>
      <c r="F450" s="395"/>
      <c r="G450" s="396"/>
      <c r="H450" s="399"/>
      <c r="I450" s="395" t="s">
        <v>228</v>
      </c>
      <c r="J450" s="397" t="s">
        <v>228</v>
      </c>
      <c r="K450" s="398"/>
      <c r="L450" s="404"/>
      <c r="M450" s="400"/>
    </row>
    <row r="451" spans="1:13" s="148" customFormat="1" hidden="1" x14ac:dyDescent="0.25">
      <c r="A451" s="400"/>
      <c r="B451" s="398"/>
      <c r="C451" s="398"/>
      <c r="D451" s="405"/>
      <c r="E451" s="398"/>
      <c r="F451" s="395"/>
      <c r="G451" s="396"/>
      <c r="H451" s="399"/>
      <c r="I451" s="395" t="s">
        <v>228</v>
      </c>
      <c r="J451" s="397" t="s">
        <v>228</v>
      </c>
      <c r="K451" s="398"/>
      <c r="L451" s="404"/>
      <c r="M451" s="400"/>
    </row>
    <row r="452" spans="1:13" s="148" customFormat="1" hidden="1" x14ac:dyDescent="0.25">
      <c r="A452" s="400"/>
      <c r="B452" s="398"/>
      <c r="C452" s="398"/>
      <c r="D452" s="405"/>
      <c r="E452" s="398"/>
      <c r="F452" s="395"/>
      <c r="G452" s="396"/>
      <c r="H452" s="399"/>
      <c r="I452" s="395" t="s">
        <v>228</v>
      </c>
      <c r="J452" s="397" t="s">
        <v>228</v>
      </c>
      <c r="K452" s="398"/>
      <c r="L452" s="404"/>
      <c r="M452" s="400"/>
    </row>
    <row r="453" spans="1:13" s="148" customFormat="1" hidden="1" x14ac:dyDescent="0.25">
      <c r="A453" s="400"/>
      <c r="B453" s="398"/>
      <c r="C453" s="398"/>
      <c r="D453" s="405"/>
      <c r="E453" s="398"/>
      <c r="F453" s="395"/>
      <c r="G453" s="396"/>
      <c r="H453" s="399"/>
      <c r="I453" s="395" t="s">
        <v>228</v>
      </c>
      <c r="J453" s="397" t="s">
        <v>228</v>
      </c>
      <c r="K453" s="398"/>
      <c r="L453" s="404"/>
      <c r="M453" s="400"/>
    </row>
    <row r="454" spans="1:13" s="148" customFormat="1" hidden="1" x14ac:dyDescent="0.25">
      <c r="A454" s="400"/>
      <c r="B454" s="398"/>
      <c r="C454" s="398"/>
      <c r="D454" s="405"/>
      <c r="E454" s="398"/>
      <c r="F454" s="395"/>
      <c r="G454" s="396"/>
      <c r="H454" s="399"/>
      <c r="I454" s="395" t="s">
        <v>228</v>
      </c>
      <c r="J454" s="397" t="s">
        <v>228</v>
      </c>
      <c r="K454" s="398"/>
      <c r="L454" s="404"/>
      <c r="M454" s="400"/>
    </row>
    <row r="455" spans="1:13" s="148" customFormat="1" hidden="1" x14ac:dyDescent="0.25">
      <c r="A455" s="400"/>
      <c r="B455" s="398"/>
      <c r="C455" s="398"/>
      <c r="D455" s="405"/>
      <c r="E455" s="398"/>
      <c r="F455" s="395"/>
      <c r="G455" s="396"/>
      <c r="H455" s="399"/>
      <c r="I455" s="395" t="s">
        <v>228</v>
      </c>
      <c r="J455" s="397" t="s">
        <v>228</v>
      </c>
      <c r="K455" s="398"/>
      <c r="L455" s="404"/>
      <c r="M455" s="400"/>
    </row>
    <row r="456" spans="1:13" s="148" customFormat="1" hidden="1" x14ac:dyDescent="0.25">
      <c r="A456" s="400"/>
      <c r="B456" s="398"/>
      <c r="C456" s="398"/>
      <c r="D456" s="405"/>
      <c r="E456" s="398"/>
      <c r="F456" s="395"/>
      <c r="G456" s="396"/>
      <c r="H456" s="399"/>
      <c r="I456" s="395" t="s">
        <v>228</v>
      </c>
      <c r="J456" s="397" t="s">
        <v>228</v>
      </c>
      <c r="K456" s="398"/>
      <c r="L456" s="404"/>
      <c r="M456" s="400"/>
    </row>
    <row r="457" spans="1:13" s="148" customFormat="1" hidden="1" x14ac:dyDescent="0.25">
      <c r="A457" s="400"/>
      <c r="B457" s="398"/>
      <c r="C457" s="398"/>
      <c r="D457" s="405"/>
      <c r="E457" s="398"/>
      <c r="F457" s="395"/>
      <c r="G457" s="396"/>
      <c r="H457" s="399"/>
      <c r="I457" s="395" t="s">
        <v>228</v>
      </c>
      <c r="J457" s="397" t="s">
        <v>228</v>
      </c>
      <c r="K457" s="398"/>
      <c r="L457" s="404"/>
      <c r="M457" s="400"/>
    </row>
    <row r="458" spans="1:13" s="148" customFormat="1" hidden="1" x14ac:dyDescent="0.25">
      <c r="A458" s="400"/>
      <c r="B458" s="398"/>
      <c r="C458" s="398"/>
      <c r="D458" s="405"/>
      <c r="E458" s="398"/>
      <c r="F458" s="395"/>
      <c r="G458" s="396"/>
      <c r="H458" s="399"/>
      <c r="I458" s="395" t="s">
        <v>228</v>
      </c>
      <c r="J458" s="397" t="s">
        <v>228</v>
      </c>
      <c r="K458" s="398"/>
      <c r="L458" s="404"/>
      <c r="M458" s="400"/>
    </row>
    <row r="459" spans="1:13" s="148" customFormat="1" hidden="1" x14ac:dyDescent="0.25">
      <c r="A459" s="400"/>
      <c r="B459" s="398"/>
      <c r="C459" s="398"/>
      <c r="D459" s="405"/>
      <c r="E459" s="398"/>
      <c r="F459" s="395"/>
      <c r="G459" s="396"/>
      <c r="H459" s="399"/>
      <c r="I459" s="395" t="s">
        <v>228</v>
      </c>
      <c r="J459" s="397" t="s">
        <v>228</v>
      </c>
      <c r="K459" s="398"/>
      <c r="L459" s="404"/>
      <c r="M459" s="400"/>
    </row>
    <row r="460" spans="1:13" s="148" customFormat="1" hidden="1" x14ac:dyDescent="0.25">
      <c r="A460" s="400"/>
      <c r="B460" s="398"/>
      <c r="C460" s="398"/>
      <c r="D460" s="405"/>
      <c r="E460" s="398"/>
      <c r="F460" s="395"/>
      <c r="G460" s="396"/>
      <c r="H460" s="399"/>
      <c r="I460" s="395" t="s">
        <v>228</v>
      </c>
      <c r="J460" s="397" t="s">
        <v>228</v>
      </c>
      <c r="K460" s="398"/>
      <c r="L460" s="404"/>
      <c r="M460" s="400"/>
    </row>
    <row r="461" spans="1:13" s="148" customFormat="1" hidden="1" x14ac:dyDescent="0.25">
      <c r="A461" s="400"/>
      <c r="B461" s="398"/>
      <c r="C461" s="398"/>
      <c r="D461" s="405"/>
      <c r="E461" s="398"/>
      <c r="F461" s="395"/>
      <c r="G461" s="396"/>
      <c r="H461" s="399"/>
      <c r="I461" s="395" t="s">
        <v>228</v>
      </c>
      <c r="J461" s="397" t="s">
        <v>228</v>
      </c>
      <c r="K461" s="398"/>
      <c r="L461" s="404"/>
      <c r="M461" s="400"/>
    </row>
    <row r="462" spans="1:13" s="148" customFormat="1" hidden="1" x14ac:dyDescent="0.25">
      <c r="A462" s="400"/>
      <c r="B462" s="398"/>
      <c r="C462" s="398"/>
      <c r="D462" s="405"/>
      <c r="E462" s="398"/>
      <c r="F462" s="395"/>
      <c r="G462" s="396"/>
      <c r="H462" s="399"/>
      <c r="I462" s="395" t="s">
        <v>228</v>
      </c>
      <c r="J462" s="397" t="s">
        <v>228</v>
      </c>
      <c r="K462" s="398"/>
      <c r="L462" s="404"/>
      <c r="M462" s="400"/>
    </row>
    <row r="463" spans="1:13" s="148" customFormat="1" hidden="1" x14ac:dyDescent="0.25">
      <c r="A463" s="400"/>
      <c r="B463" s="398"/>
      <c r="C463" s="398"/>
      <c r="D463" s="405"/>
      <c r="E463" s="398"/>
      <c r="F463" s="395"/>
      <c r="G463" s="396"/>
      <c r="H463" s="399"/>
      <c r="I463" s="395" t="s">
        <v>228</v>
      </c>
      <c r="J463" s="397" t="s">
        <v>228</v>
      </c>
      <c r="K463" s="398"/>
      <c r="L463" s="404"/>
      <c r="M463" s="400"/>
    </row>
    <row r="464" spans="1:13" s="148" customFormat="1" hidden="1" x14ac:dyDescent="0.25">
      <c r="A464" s="400"/>
      <c r="B464" s="398"/>
      <c r="C464" s="398"/>
      <c r="D464" s="405"/>
      <c r="E464" s="398"/>
      <c r="F464" s="395"/>
      <c r="G464" s="396"/>
      <c r="H464" s="399"/>
      <c r="I464" s="395" t="s">
        <v>228</v>
      </c>
      <c r="J464" s="397" t="s">
        <v>228</v>
      </c>
      <c r="K464" s="398"/>
      <c r="L464" s="404"/>
      <c r="M464" s="400"/>
    </row>
    <row r="465" spans="1:13" s="148" customFormat="1" hidden="1" x14ac:dyDescent="0.25">
      <c r="A465" s="400"/>
      <c r="B465" s="398"/>
      <c r="C465" s="398"/>
      <c r="D465" s="405"/>
      <c r="E465" s="398"/>
      <c r="F465" s="395"/>
      <c r="G465" s="396"/>
      <c r="H465" s="399"/>
      <c r="I465" s="395" t="s">
        <v>228</v>
      </c>
      <c r="J465" s="397" t="s">
        <v>228</v>
      </c>
      <c r="K465" s="398"/>
      <c r="L465" s="404"/>
      <c r="M465" s="400"/>
    </row>
    <row r="466" spans="1:13" s="148" customFormat="1" hidden="1" x14ac:dyDescent="0.25">
      <c r="A466" s="400"/>
      <c r="B466" s="398"/>
      <c r="C466" s="398"/>
      <c r="D466" s="405"/>
      <c r="E466" s="398"/>
      <c r="F466" s="395"/>
      <c r="G466" s="396"/>
      <c r="H466" s="399"/>
      <c r="I466" s="395" t="s">
        <v>228</v>
      </c>
      <c r="J466" s="397" t="s">
        <v>228</v>
      </c>
      <c r="K466" s="398"/>
      <c r="L466" s="404"/>
      <c r="M466" s="400"/>
    </row>
    <row r="467" spans="1:13" s="148" customFormat="1" hidden="1" x14ac:dyDescent="0.25">
      <c r="A467" s="400"/>
      <c r="B467" s="398"/>
      <c r="C467" s="398"/>
      <c r="D467" s="405"/>
      <c r="E467" s="398"/>
      <c r="F467" s="395"/>
      <c r="G467" s="396"/>
      <c r="H467" s="399"/>
      <c r="I467" s="395" t="s">
        <v>228</v>
      </c>
      <c r="J467" s="397" t="s">
        <v>228</v>
      </c>
      <c r="K467" s="398"/>
      <c r="L467" s="404"/>
      <c r="M467" s="400"/>
    </row>
    <row r="468" spans="1:13" s="148" customFormat="1" hidden="1" x14ac:dyDescent="0.25">
      <c r="A468" s="400"/>
      <c r="B468" s="398"/>
      <c r="C468" s="398"/>
      <c r="D468" s="405"/>
      <c r="E468" s="398"/>
      <c r="F468" s="395"/>
      <c r="G468" s="396"/>
      <c r="H468" s="399"/>
      <c r="I468" s="395" t="s">
        <v>228</v>
      </c>
      <c r="J468" s="397" t="s">
        <v>228</v>
      </c>
      <c r="K468" s="398"/>
      <c r="L468" s="404"/>
      <c r="M468" s="400"/>
    </row>
    <row r="469" spans="1:13" s="148" customFormat="1" hidden="1" x14ac:dyDescent="0.25">
      <c r="A469" s="400"/>
      <c r="B469" s="398"/>
      <c r="C469" s="398"/>
      <c r="D469" s="405"/>
      <c r="E469" s="398"/>
      <c r="F469" s="395"/>
      <c r="G469" s="396"/>
      <c r="H469" s="399"/>
      <c r="I469" s="395" t="s">
        <v>228</v>
      </c>
      <c r="J469" s="397" t="s">
        <v>228</v>
      </c>
      <c r="K469" s="398"/>
      <c r="L469" s="404"/>
      <c r="M469" s="400"/>
    </row>
    <row r="470" spans="1:13" s="148" customFormat="1" hidden="1" x14ac:dyDescent="0.25">
      <c r="A470" s="400"/>
      <c r="B470" s="398"/>
      <c r="C470" s="398"/>
      <c r="D470" s="405"/>
      <c r="E470" s="398"/>
      <c r="F470" s="395"/>
      <c r="G470" s="396"/>
      <c r="H470" s="399"/>
      <c r="I470" s="395" t="s">
        <v>228</v>
      </c>
      <c r="J470" s="397" t="s">
        <v>228</v>
      </c>
      <c r="K470" s="398"/>
      <c r="L470" s="404"/>
      <c r="M470" s="400"/>
    </row>
    <row r="471" spans="1:13" s="148" customFormat="1" hidden="1" x14ac:dyDescent="0.25">
      <c r="A471" s="400"/>
      <c r="B471" s="398"/>
      <c r="C471" s="398"/>
      <c r="D471" s="405"/>
      <c r="E471" s="398"/>
      <c r="F471" s="395"/>
      <c r="G471" s="396"/>
      <c r="H471" s="399"/>
      <c r="I471" s="395" t="s">
        <v>228</v>
      </c>
      <c r="J471" s="397" t="s">
        <v>228</v>
      </c>
      <c r="K471" s="398"/>
      <c r="L471" s="404"/>
      <c r="M471" s="400"/>
    </row>
    <row r="472" spans="1:13" s="148" customFormat="1" hidden="1" x14ac:dyDescent="0.25">
      <c r="A472" s="400"/>
      <c r="B472" s="398"/>
      <c r="C472" s="398"/>
      <c r="D472" s="405"/>
      <c r="E472" s="398"/>
      <c r="F472" s="395"/>
      <c r="G472" s="396"/>
      <c r="H472" s="399"/>
      <c r="I472" s="395" t="s">
        <v>228</v>
      </c>
      <c r="J472" s="397" t="s">
        <v>228</v>
      </c>
      <c r="K472" s="398"/>
      <c r="L472" s="404"/>
      <c r="M472" s="400"/>
    </row>
    <row r="473" spans="1:13" s="148" customFormat="1" hidden="1" x14ac:dyDescent="0.25">
      <c r="A473" s="400"/>
      <c r="B473" s="398"/>
      <c r="C473" s="398"/>
      <c r="D473" s="405"/>
      <c r="E473" s="398"/>
      <c r="F473" s="395"/>
      <c r="G473" s="396"/>
      <c r="H473" s="399"/>
      <c r="I473" s="395" t="s">
        <v>228</v>
      </c>
      <c r="J473" s="397" t="s">
        <v>228</v>
      </c>
      <c r="K473" s="398"/>
      <c r="L473" s="404"/>
      <c r="M473" s="400"/>
    </row>
    <row r="474" spans="1:13" s="148" customFormat="1" hidden="1" x14ac:dyDescent="0.25">
      <c r="A474" s="400"/>
      <c r="B474" s="398"/>
      <c r="C474" s="398"/>
      <c r="D474" s="405"/>
      <c r="E474" s="398"/>
      <c r="F474" s="395"/>
      <c r="G474" s="396"/>
      <c r="H474" s="399"/>
      <c r="I474" s="395" t="s">
        <v>228</v>
      </c>
      <c r="J474" s="397" t="s">
        <v>228</v>
      </c>
      <c r="K474" s="398"/>
      <c r="L474" s="404"/>
      <c r="M474" s="400"/>
    </row>
    <row r="475" spans="1:13" s="148" customFormat="1" hidden="1" x14ac:dyDescent="0.25">
      <c r="A475" s="400"/>
      <c r="B475" s="398"/>
      <c r="C475" s="398"/>
      <c r="D475" s="405"/>
      <c r="E475" s="398"/>
      <c r="F475" s="395"/>
      <c r="G475" s="396"/>
      <c r="H475" s="399"/>
      <c r="I475" s="395" t="s">
        <v>228</v>
      </c>
      <c r="J475" s="397" t="s">
        <v>228</v>
      </c>
      <c r="K475" s="398"/>
      <c r="L475" s="404"/>
      <c r="M475" s="400"/>
    </row>
    <row r="476" spans="1:13" s="148" customFormat="1" hidden="1" x14ac:dyDescent="0.25">
      <c r="A476" s="400"/>
      <c r="B476" s="398"/>
      <c r="C476" s="398"/>
      <c r="D476" s="405"/>
      <c r="E476" s="398"/>
      <c r="F476" s="395"/>
      <c r="G476" s="396"/>
      <c r="H476" s="399"/>
      <c r="I476" s="395" t="s">
        <v>228</v>
      </c>
      <c r="J476" s="397" t="s">
        <v>228</v>
      </c>
      <c r="K476" s="398"/>
      <c r="L476" s="404"/>
      <c r="M476" s="400"/>
    </row>
    <row r="477" spans="1:13" s="148" customFormat="1" hidden="1" x14ac:dyDescent="0.25">
      <c r="A477" s="400"/>
      <c r="B477" s="398"/>
      <c r="C477" s="398"/>
      <c r="D477" s="405"/>
      <c r="E477" s="398"/>
      <c r="F477" s="395"/>
      <c r="G477" s="396"/>
      <c r="H477" s="399"/>
      <c r="I477" s="395" t="s">
        <v>228</v>
      </c>
      <c r="J477" s="397" t="s">
        <v>228</v>
      </c>
      <c r="K477" s="398"/>
      <c r="L477" s="404"/>
      <c r="M477" s="400"/>
    </row>
    <row r="478" spans="1:13" s="148" customFormat="1" hidden="1" x14ac:dyDescent="0.25">
      <c r="A478" s="400"/>
      <c r="B478" s="398"/>
      <c r="C478" s="398"/>
      <c r="D478" s="405"/>
      <c r="E478" s="398"/>
      <c r="F478" s="395"/>
      <c r="G478" s="396"/>
      <c r="H478" s="399"/>
      <c r="I478" s="395" t="s">
        <v>228</v>
      </c>
      <c r="J478" s="397" t="s">
        <v>228</v>
      </c>
      <c r="K478" s="398"/>
      <c r="L478" s="404"/>
      <c r="M478" s="400"/>
    </row>
    <row r="479" spans="1:13" s="148" customFormat="1" hidden="1" x14ac:dyDescent="0.25">
      <c r="A479" s="400"/>
      <c r="B479" s="398"/>
      <c r="C479" s="398"/>
      <c r="D479" s="405"/>
      <c r="E479" s="398"/>
      <c r="F479" s="395"/>
      <c r="G479" s="396"/>
      <c r="H479" s="399"/>
      <c r="I479" s="395" t="s">
        <v>228</v>
      </c>
      <c r="J479" s="397" t="s">
        <v>228</v>
      </c>
      <c r="K479" s="398"/>
      <c r="L479" s="404"/>
      <c r="M479" s="400"/>
    </row>
    <row r="480" spans="1:13" s="148" customFormat="1" hidden="1" x14ac:dyDescent="0.25">
      <c r="A480" s="400"/>
      <c r="B480" s="398"/>
      <c r="C480" s="398"/>
      <c r="D480" s="405"/>
      <c r="E480" s="398"/>
      <c r="F480" s="395"/>
      <c r="G480" s="396"/>
      <c r="H480" s="399"/>
      <c r="I480" s="395" t="s">
        <v>228</v>
      </c>
      <c r="J480" s="397" t="s">
        <v>228</v>
      </c>
      <c r="K480" s="398"/>
      <c r="L480" s="404"/>
      <c r="M480" s="400"/>
    </row>
    <row r="481" spans="1:13" s="148" customFormat="1" hidden="1" x14ac:dyDescent="0.25">
      <c r="A481" s="400"/>
      <c r="B481" s="398"/>
      <c r="C481" s="398"/>
      <c r="D481" s="405"/>
      <c r="E481" s="398"/>
      <c r="F481" s="395"/>
      <c r="G481" s="396"/>
      <c r="H481" s="399"/>
      <c r="I481" s="395" t="s">
        <v>228</v>
      </c>
      <c r="J481" s="397" t="s">
        <v>228</v>
      </c>
      <c r="K481" s="398"/>
      <c r="L481" s="404"/>
      <c r="M481" s="400"/>
    </row>
    <row r="482" spans="1:13" s="148" customFormat="1" hidden="1" x14ac:dyDescent="0.25">
      <c r="A482" s="400"/>
      <c r="B482" s="398"/>
      <c r="C482" s="398"/>
      <c r="D482" s="405"/>
      <c r="E482" s="398"/>
      <c r="F482" s="395"/>
      <c r="G482" s="396"/>
      <c r="H482" s="399"/>
      <c r="I482" s="395" t="s">
        <v>228</v>
      </c>
      <c r="J482" s="397" t="s">
        <v>228</v>
      </c>
      <c r="K482" s="398"/>
      <c r="L482" s="404"/>
      <c r="M482" s="400"/>
    </row>
    <row r="483" spans="1:13" s="148" customFormat="1" hidden="1" x14ac:dyDescent="0.25">
      <c r="A483" s="400"/>
      <c r="B483" s="398"/>
      <c r="C483" s="398"/>
      <c r="D483" s="405"/>
      <c r="E483" s="398"/>
      <c r="F483" s="395"/>
      <c r="G483" s="396"/>
      <c r="H483" s="399"/>
      <c r="I483" s="395" t="s">
        <v>228</v>
      </c>
      <c r="J483" s="397" t="s">
        <v>228</v>
      </c>
      <c r="K483" s="398"/>
      <c r="L483" s="404"/>
      <c r="M483" s="400"/>
    </row>
    <row r="484" spans="1:13" s="148" customFormat="1" hidden="1" x14ac:dyDescent="0.25">
      <c r="A484" s="400"/>
      <c r="B484" s="398"/>
      <c r="C484" s="398"/>
      <c r="D484" s="405"/>
      <c r="E484" s="398"/>
      <c r="F484" s="395"/>
      <c r="G484" s="396"/>
      <c r="H484" s="399"/>
      <c r="I484" s="395" t="s">
        <v>228</v>
      </c>
      <c r="J484" s="397" t="s">
        <v>228</v>
      </c>
      <c r="K484" s="398"/>
      <c r="L484" s="404"/>
      <c r="M484" s="400"/>
    </row>
    <row r="485" spans="1:13" s="148" customFormat="1" hidden="1" x14ac:dyDescent="0.25">
      <c r="A485" s="400"/>
      <c r="B485" s="398"/>
      <c r="C485" s="398"/>
      <c r="D485" s="405"/>
      <c r="E485" s="398"/>
      <c r="F485" s="395"/>
      <c r="G485" s="396"/>
      <c r="H485" s="399"/>
      <c r="I485" s="395" t="s">
        <v>228</v>
      </c>
      <c r="J485" s="397" t="s">
        <v>228</v>
      </c>
      <c r="K485" s="398"/>
      <c r="L485" s="404"/>
      <c r="M485" s="400"/>
    </row>
    <row r="486" spans="1:13" s="148" customFormat="1" hidden="1" x14ac:dyDescent="0.25">
      <c r="A486" s="400"/>
      <c r="B486" s="398"/>
      <c r="C486" s="398"/>
      <c r="D486" s="405"/>
      <c r="E486" s="398"/>
      <c r="F486" s="395"/>
      <c r="G486" s="396"/>
      <c r="H486" s="399"/>
      <c r="I486" s="395" t="s">
        <v>228</v>
      </c>
      <c r="J486" s="397" t="s">
        <v>228</v>
      </c>
      <c r="K486" s="398"/>
      <c r="L486" s="404"/>
      <c r="M486" s="400"/>
    </row>
    <row r="487" spans="1:13" s="148" customFormat="1" hidden="1" x14ac:dyDescent="0.25">
      <c r="A487" s="400"/>
      <c r="B487" s="398"/>
      <c r="C487" s="398"/>
      <c r="D487" s="405"/>
      <c r="E487" s="398"/>
      <c r="F487" s="395"/>
      <c r="G487" s="396"/>
      <c r="H487" s="399"/>
      <c r="I487" s="395" t="s">
        <v>228</v>
      </c>
      <c r="J487" s="397" t="s">
        <v>228</v>
      </c>
      <c r="K487" s="398"/>
      <c r="L487" s="404"/>
      <c r="M487" s="400"/>
    </row>
    <row r="488" spans="1:13" s="148" customFormat="1" hidden="1" x14ac:dyDescent="0.25">
      <c r="A488" s="400"/>
      <c r="B488" s="398"/>
      <c r="C488" s="398"/>
      <c r="D488" s="405"/>
      <c r="E488" s="398"/>
      <c r="F488" s="395"/>
      <c r="G488" s="396"/>
      <c r="H488" s="399"/>
      <c r="I488" s="395" t="s">
        <v>228</v>
      </c>
      <c r="J488" s="397" t="s">
        <v>228</v>
      </c>
      <c r="K488" s="398"/>
      <c r="L488" s="404"/>
      <c r="M488" s="400"/>
    </row>
    <row r="489" spans="1:13" s="148" customFormat="1" hidden="1" x14ac:dyDescent="0.25">
      <c r="A489" s="400"/>
      <c r="B489" s="398"/>
      <c r="C489" s="398"/>
      <c r="D489" s="405"/>
      <c r="E489" s="398"/>
      <c r="F489" s="395"/>
      <c r="G489" s="396"/>
      <c r="H489" s="399"/>
      <c r="I489" s="395" t="s">
        <v>228</v>
      </c>
      <c r="J489" s="397" t="s">
        <v>228</v>
      </c>
      <c r="K489" s="398"/>
      <c r="L489" s="404"/>
      <c r="M489" s="400"/>
    </row>
    <row r="490" spans="1:13" s="148" customFormat="1" hidden="1" x14ac:dyDescent="0.25">
      <c r="A490" s="400"/>
      <c r="B490" s="398"/>
      <c r="C490" s="398"/>
      <c r="D490" s="405"/>
      <c r="E490" s="398"/>
      <c r="F490" s="395"/>
      <c r="G490" s="396"/>
      <c r="H490" s="399"/>
      <c r="I490" s="395" t="s">
        <v>228</v>
      </c>
      <c r="J490" s="397" t="s">
        <v>228</v>
      </c>
      <c r="K490" s="398"/>
      <c r="L490" s="404"/>
      <c r="M490" s="400"/>
    </row>
    <row r="491" spans="1:13" s="148" customFormat="1" hidden="1" x14ac:dyDescent="0.25">
      <c r="A491" s="400"/>
      <c r="B491" s="398"/>
      <c r="C491" s="398"/>
      <c r="D491" s="405"/>
      <c r="E491" s="398"/>
      <c r="F491" s="395"/>
      <c r="G491" s="396"/>
      <c r="H491" s="399"/>
      <c r="I491" s="395" t="s">
        <v>228</v>
      </c>
      <c r="J491" s="397" t="s">
        <v>228</v>
      </c>
      <c r="K491" s="398"/>
      <c r="L491" s="404"/>
      <c r="M491" s="400"/>
    </row>
    <row r="492" spans="1:13" s="148" customFormat="1" hidden="1" x14ac:dyDescent="0.25">
      <c r="A492" s="400"/>
      <c r="B492" s="398"/>
      <c r="C492" s="398"/>
      <c r="D492" s="405"/>
      <c r="E492" s="398"/>
      <c r="F492" s="395"/>
      <c r="G492" s="396"/>
      <c r="H492" s="399"/>
      <c r="I492" s="395" t="s">
        <v>228</v>
      </c>
      <c r="J492" s="397" t="s">
        <v>228</v>
      </c>
      <c r="K492" s="398"/>
      <c r="L492" s="404"/>
      <c r="M492" s="400"/>
    </row>
    <row r="493" spans="1:13" s="148" customFormat="1" hidden="1" x14ac:dyDescent="0.25">
      <c r="A493" s="400"/>
      <c r="B493" s="398"/>
      <c r="C493" s="398"/>
      <c r="D493" s="405"/>
      <c r="E493" s="398"/>
      <c r="F493" s="395"/>
      <c r="G493" s="396"/>
      <c r="H493" s="399"/>
      <c r="I493" s="395" t="s">
        <v>228</v>
      </c>
      <c r="J493" s="397" t="s">
        <v>228</v>
      </c>
      <c r="K493" s="398"/>
      <c r="L493" s="404"/>
      <c r="M493" s="400"/>
    </row>
    <row r="494" spans="1:13" s="148" customFormat="1" hidden="1" x14ac:dyDescent="0.25">
      <c r="A494" s="400"/>
      <c r="B494" s="398"/>
      <c r="C494" s="398"/>
      <c r="D494" s="405"/>
      <c r="E494" s="398"/>
      <c r="F494" s="395"/>
      <c r="G494" s="396"/>
      <c r="H494" s="399"/>
      <c r="I494" s="395" t="s">
        <v>228</v>
      </c>
      <c r="J494" s="397" t="s">
        <v>228</v>
      </c>
      <c r="K494" s="398"/>
      <c r="L494" s="404"/>
      <c r="M494" s="400"/>
    </row>
    <row r="495" spans="1:13" s="148" customFormat="1" hidden="1" x14ac:dyDescent="0.25">
      <c r="A495" s="400"/>
      <c r="B495" s="398"/>
      <c r="C495" s="398"/>
      <c r="D495" s="405"/>
      <c r="E495" s="398"/>
      <c r="F495" s="395"/>
      <c r="G495" s="396"/>
      <c r="H495" s="399"/>
      <c r="I495" s="395" t="s">
        <v>228</v>
      </c>
      <c r="J495" s="397" t="s">
        <v>228</v>
      </c>
      <c r="K495" s="398"/>
      <c r="L495" s="404"/>
      <c r="M495" s="400"/>
    </row>
    <row r="496" spans="1:13" s="148" customFormat="1" hidden="1" x14ac:dyDescent="0.25">
      <c r="A496" s="400"/>
      <c r="B496" s="398"/>
      <c r="C496" s="398"/>
      <c r="D496" s="405"/>
      <c r="E496" s="398"/>
      <c r="F496" s="395"/>
      <c r="G496" s="396"/>
      <c r="H496" s="399"/>
      <c r="I496" s="395" t="s">
        <v>228</v>
      </c>
      <c r="J496" s="397" t="s">
        <v>228</v>
      </c>
      <c r="K496" s="398"/>
      <c r="L496" s="404"/>
      <c r="M496" s="400"/>
    </row>
    <row r="497" spans="1:13" s="148" customFormat="1" hidden="1" x14ac:dyDescent="0.25">
      <c r="A497" s="400"/>
      <c r="B497" s="398"/>
      <c r="C497" s="398"/>
      <c r="D497" s="405"/>
      <c r="E497" s="398"/>
      <c r="F497" s="395"/>
      <c r="G497" s="396"/>
      <c r="H497" s="399"/>
      <c r="I497" s="395" t="s">
        <v>228</v>
      </c>
      <c r="J497" s="397" t="s">
        <v>228</v>
      </c>
      <c r="K497" s="398"/>
      <c r="L497" s="404"/>
      <c r="M497" s="400"/>
    </row>
    <row r="498" spans="1:13" s="148" customFormat="1" hidden="1" x14ac:dyDescent="0.25">
      <c r="A498" s="400"/>
      <c r="B498" s="398"/>
      <c r="C498" s="398"/>
      <c r="D498" s="405"/>
      <c r="E498" s="398"/>
      <c r="F498" s="395"/>
      <c r="G498" s="396"/>
      <c r="H498" s="399"/>
      <c r="I498" s="395" t="s">
        <v>228</v>
      </c>
      <c r="J498" s="397" t="s">
        <v>228</v>
      </c>
      <c r="K498" s="398"/>
      <c r="L498" s="404"/>
      <c r="M498" s="400"/>
    </row>
    <row r="499" spans="1:13" s="148" customFormat="1" hidden="1" x14ac:dyDescent="0.25">
      <c r="A499" s="400"/>
      <c r="B499" s="398"/>
      <c r="C499" s="398"/>
      <c r="D499" s="405"/>
      <c r="E499" s="398"/>
      <c r="F499" s="395"/>
      <c r="G499" s="396"/>
      <c r="H499" s="399"/>
      <c r="I499" s="395" t="s">
        <v>228</v>
      </c>
      <c r="J499" s="397" t="s">
        <v>228</v>
      </c>
      <c r="K499" s="398"/>
      <c r="L499" s="404"/>
      <c r="M499" s="400"/>
    </row>
    <row r="500" spans="1:13" s="148" customFormat="1" hidden="1" x14ac:dyDescent="0.25">
      <c r="A500" s="400"/>
      <c r="B500" s="398"/>
      <c r="C500" s="398"/>
      <c r="D500" s="405"/>
      <c r="E500" s="398"/>
      <c r="F500" s="395"/>
      <c r="G500" s="396"/>
      <c r="H500" s="399"/>
      <c r="I500" s="395" t="s">
        <v>228</v>
      </c>
      <c r="J500" s="397" t="s">
        <v>228</v>
      </c>
      <c r="K500" s="398"/>
      <c r="L500" s="404"/>
      <c r="M500" s="400"/>
    </row>
    <row r="501" spans="1:13" s="148" customFormat="1" hidden="1" x14ac:dyDescent="0.25">
      <c r="A501" s="400"/>
      <c r="B501" s="398"/>
      <c r="C501" s="398"/>
      <c r="D501" s="405"/>
      <c r="E501" s="398"/>
      <c r="F501" s="395"/>
      <c r="G501" s="396"/>
      <c r="H501" s="399"/>
      <c r="I501" s="395" t="s">
        <v>228</v>
      </c>
      <c r="J501" s="397" t="s">
        <v>228</v>
      </c>
      <c r="K501" s="398"/>
      <c r="L501" s="404"/>
      <c r="M501" s="400"/>
    </row>
    <row r="502" spans="1:13" s="148" customFormat="1" hidden="1" x14ac:dyDescent="0.25">
      <c r="A502" s="400"/>
      <c r="B502" s="398"/>
      <c r="C502" s="398"/>
      <c r="D502" s="405"/>
      <c r="E502" s="398"/>
      <c r="F502" s="395"/>
      <c r="G502" s="396"/>
      <c r="H502" s="399"/>
      <c r="I502" s="395" t="s">
        <v>228</v>
      </c>
      <c r="J502" s="397" t="s">
        <v>228</v>
      </c>
      <c r="K502" s="398"/>
      <c r="L502" s="404"/>
      <c r="M502" s="400"/>
    </row>
    <row r="503" spans="1:13" s="148" customFormat="1" hidden="1" x14ac:dyDescent="0.25">
      <c r="A503" s="400"/>
      <c r="B503" s="398"/>
      <c r="C503" s="398"/>
      <c r="D503" s="405"/>
      <c r="E503" s="398"/>
      <c r="F503" s="395"/>
      <c r="G503" s="396"/>
      <c r="H503" s="399"/>
      <c r="I503" s="395" t="s">
        <v>228</v>
      </c>
      <c r="J503" s="397" t="s">
        <v>228</v>
      </c>
      <c r="K503" s="398"/>
      <c r="L503" s="404"/>
      <c r="M503" s="400"/>
    </row>
    <row r="504" spans="1:13" s="148" customFormat="1" hidden="1" x14ac:dyDescent="0.25">
      <c r="A504" s="400"/>
      <c r="B504" s="398"/>
      <c r="C504" s="398"/>
      <c r="D504" s="405"/>
      <c r="E504" s="398"/>
      <c r="F504" s="395"/>
      <c r="G504" s="396"/>
      <c r="H504" s="399"/>
      <c r="I504" s="395" t="s">
        <v>228</v>
      </c>
      <c r="J504" s="397" t="s">
        <v>228</v>
      </c>
      <c r="K504" s="398"/>
      <c r="L504" s="404"/>
      <c r="M504" s="400"/>
    </row>
    <row r="505" spans="1:13" s="148" customFormat="1" hidden="1" x14ac:dyDescent="0.25">
      <c r="A505" s="400"/>
      <c r="B505" s="398"/>
      <c r="C505" s="398"/>
      <c r="D505" s="405"/>
      <c r="E505" s="398"/>
      <c r="F505" s="395"/>
      <c r="G505" s="396"/>
      <c r="H505" s="399"/>
      <c r="I505" s="395" t="s">
        <v>228</v>
      </c>
      <c r="J505" s="397" t="s">
        <v>228</v>
      </c>
      <c r="K505" s="398"/>
      <c r="L505" s="404"/>
      <c r="M505" s="400"/>
    </row>
    <row r="506" spans="1:13" s="148" customFormat="1" hidden="1" x14ac:dyDescent="0.25">
      <c r="A506" s="400"/>
      <c r="B506" s="398"/>
      <c r="C506" s="398"/>
      <c r="D506" s="405"/>
      <c r="E506" s="398"/>
      <c r="F506" s="395"/>
      <c r="G506" s="396"/>
      <c r="H506" s="399"/>
      <c r="I506" s="395" t="s">
        <v>228</v>
      </c>
      <c r="J506" s="397" t="s">
        <v>228</v>
      </c>
      <c r="K506" s="398"/>
      <c r="L506" s="404"/>
      <c r="M506" s="400"/>
    </row>
    <row r="507" spans="1:13" s="148" customFormat="1" hidden="1" x14ac:dyDescent="0.25">
      <c r="A507" s="400"/>
      <c r="B507" s="398"/>
      <c r="C507" s="398"/>
      <c r="D507" s="405"/>
      <c r="E507" s="398"/>
      <c r="F507" s="395"/>
      <c r="G507" s="396"/>
      <c r="H507" s="399"/>
      <c r="I507" s="395" t="s">
        <v>228</v>
      </c>
      <c r="J507" s="397" t="s">
        <v>228</v>
      </c>
      <c r="K507" s="398"/>
      <c r="L507" s="404"/>
      <c r="M507" s="400"/>
    </row>
    <row r="508" spans="1:13" s="148" customFormat="1" hidden="1" x14ac:dyDescent="0.25">
      <c r="A508" s="400"/>
      <c r="B508" s="398"/>
      <c r="C508" s="398"/>
      <c r="D508" s="405"/>
      <c r="E508" s="398"/>
      <c r="F508" s="395"/>
      <c r="G508" s="396"/>
      <c r="H508" s="399"/>
      <c r="I508" s="395" t="s">
        <v>228</v>
      </c>
      <c r="J508" s="397" t="s">
        <v>228</v>
      </c>
      <c r="K508" s="398"/>
      <c r="L508" s="404"/>
      <c r="M508" s="400"/>
    </row>
    <row r="509" spans="1:13" s="148" customFormat="1" hidden="1" x14ac:dyDescent="0.25">
      <c r="A509" s="400"/>
      <c r="B509" s="398"/>
      <c r="C509" s="398"/>
      <c r="D509" s="405"/>
      <c r="E509" s="398"/>
      <c r="F509" s="395"/>
      <c r="G509" s="396"/>
      <c r="H509" s="399"/>
      <c r="I509" s="395" t="s">
        <v>228</v>
      </c>
      <c r="J509" s="397" t="s">
        <v>228</v>
      </c>
      <c r="K509" s="398"/>
      <c r="L509" s="404"/>
      <c r="M509" s="400"/>
    </row>
    <row r="510" spans="1:13" s="148" customFormat="1" hidden="1" x14ac:dyDescent="0.25">
      <c r="A510" s="400"/>
      <c r="B510" s="398"/>
      <c r="C510" s="398"/>
      <c r="D510" s="405"/>
      <c r="E510" s="398"/>
      <c r="F510" s="395"/>
      <c r="G510" s="396"/>
      <c r="H510" s="399"/>
      <c r="I510" s="395" t="s">
        <v>228</v>
      </c>
      <c r="J510" s="397" t="s">
        <v>228</v>
      </c>
      <c r="K510" s="398"/>
      <c r="L510" s="404"/>
      <c r="M510" s="400"/>
    </row>
    <row r="511" spans="1:13" s="148" customFormat="1" hidden="1" x14ac:dyDescent="0.25">
      <c r="A511" s="400"/>
      <c r="B511" s="398"/>
      <c r="C511" s="398"/>
      <c r="D511" s="405"/>
      <c r="E511" s="398"/>
      <c r="F511" s="395"/>
      <c r="G511" s="396"/>
      <c r="H511" s="399"/>
      <c r="I511" s="395" t="s">
        <v>228</v>
      </c>
      <c r="J511" s="397" t="s">
        <v>228</v>
      </c>
      <c r="K511" s="398"/>
      <c r="L511" s="404"/>
      <c r="M511" s="400"/>
    </row>
    <row r="512" spans="1:13" s="148" customFormat="1" hidden="1" x14ac:dyDescent="0.25">
      <c r="A512" s="400"/>
      <c r="B512" s="398"/>
      <c r="C512" s="398"/>
      <c r="D512" s="405"/>
      <c r="E512" s="398"/>
      <c r="F512" s="395"/>
      <c r="G512" s="396"/>
      <c r="H512" s="399"/>
      <c r="I512" s="395" t="s">
        <v>228</v>
      </c>
      <c r="J512" s="397" t="s">
        <v>228</v>
      </c>
      <c r="K512" s="398"/>
      <c r="L512" s="404"/>
      <c r="M512" s="400"/>
    </row>
    <row r="513" spans="1:13" s="148" customFormat="1" hidden="1" x14ac:dyDescent="0.25">
      <c r="A513" s="400"/>
      <c r="B513" s="398"/>
      <c r="C513" s="398"/>
      <c r="D513" s="405"/>
      <c r="E513" s="398"/>
      <c r="F513" s="395"/>
      <c r="G513" s="396"/>
      <c r="H513" s="399"/>
      <c r="I513" s="395" t="s">
        <v>228</v>
      </c>
      <c r="J513" s="397" t="s">
        <v>228</v>
      </c>
      <c r="K513" s="398"/>
      <c r="L513" s="404"/>
      <c r="M513" s="400"/>
    </row>
    <row r="514" spans="1:13" s="148" customFormat="1" hidden="1" x14ac:dyDescent="0.25">
      <c r="A514" s="400"/>
      <c r="B514" s="398"/>
      <c r="C514" s="398"/>
      <c r="D514" s="405"/>
      <c r="E514" s="398"/>
      <c r="F514" s="395"/>
      <c r="G514" s="396"/>
      <c r="H514" s="399"/>
      <c r="I514" s="395" t="s">
        <v>228</v>
      </c>
      <c r="J514" s="397" t="s">
        <v>228</v>
      </c>
      <c r="K514" s="398"/>
      <c r="L514" s="404"/>
      <c r="M514" s="400"/>
    </row>
    <row r="515" spans="1:13" s="148" customFormat="1" hidden="1" x14ac:dyDescent="0.25">
      <c r="A515" s="400"/>
      <c r="B515" s="398"/>
      <c r="C515" s="398"/>
      <c r="D515" s="405"/>
      <c r="E515" s="398"/>
      <c r="F515" s="395"/>
      <c r="G515" s="396"/>
      <c r="H515" s="399"/>
      <c r="I515" s="395" t="s">
        <v>228</v>
      </c>
      <c r="J515" s="397" t="s">
        <v>228</v>
      </c>
      <c r="K515" s="398"/>
      <c r="L515" s="404"/>
      <c r="M515" s="400"/>
    </row>
    <row r="516" spans="1:13" s="148" customFormat="1" hidden="1" x14ac:dyDescent="0.25">
      <c r="A516" s="400"/>
      <c r="B516" s="398"/>
      <c r="C516" s="398"/>
      <c r="D516" s="405"/>
      <c r="E516" s="398"/>
      <c r="F516" s="395"/>
      <c r="G516" s="396"/>
      <c r="H516" s="399"/>
      <c r="I516" s="395" t="s">
        <v>228</v>
      </c>
      <c r="J516" s="397" t="s">
        <v>228</v>
      </c>
      <c r="K516" s="398"/>
      <c r="L516" s="404"/>
      <c r="M516" s="400"/>
    </row>
    <row r="517" spans="1:13" s="148" customFormat="1" hidden="1" x14ac:dyDescent="0.25">
      <c r="A517" s="400"/>
      <c r="B517" s="398"/>
      <c r="C517" s="398"/>
      <c r="D517" s="405"/>
      <c r="E517" s="398"/>
      <c r="F517" s="395"/>
      <c r="G517" s="396"/>
      <c r="H517" s="399"/>
      <c r="I517" s="395" t="s">
        <v>228</v>
      </c>
      <c r="J517" s="397" t="s">
        <v>228</v>
      </c>
      <c r="K517" s="398"/>
      <c r="L517" s="404"/>
      <c r="M517" s="400"/>
    </row>
    <row r="518" spans="1:13" s="148" customFormat="1" hidden="1" x14ac:dyDescent="0.25">
      <c r="A518" s="400"/>
      <c r="B518" s="398"/>
      <c r="C518" s="398"/>
      <c r="D518" s="405"/>
      <c r="E518" s="398"/>
      <c r="F518" s="395"/>
      <c r="G518" s="396"/>
      <c r="H518" s="399"/>
      <c r="I518" s="395" t="s">
        <v>228</v>
      </c>
      <c r="J518" s="397" t="s">
        <v>228</v>
      </c>
      <c r="K518" s="398"/>
      <c r="L518" s="404"/>
      <c r="M518" s="400"/>
    </row>
    <row r="519" spans="1:13" s="148" customFormat="1" hidden="1" x14ac:dyDescent="0.25">
      <c r="A519" s="400"/>
      <c r="B519" s="398"/>
      <c r="C519" s="398"/>
      <c r="D519" s="405"/>
      <c r="E519" s="398"/>
      <c r="F519" s="395"/>
      <c r="G519" s="396"/>
      <c r="H519" s="399"/>
      <c r="I519" s="395" t="s">
        <v>228</v>
      </c>
      <c r="J519" s="397" t="s">
        <v>228</v>
      </c>
      <c r="K519" s="398"/>
      <c r="L519" s="404"/>
      <c r="M519" s="400"/>
    </row>
    <row r="520" spans="1:13" s="148" customFormat="1" hidden="1" x14ac:dyDescent="0.25">
      <c r="A520" s="400"/>
      <c r="B520" s="398"/>
      <c r="C520" s="398"/>
      <c r="D520" s="405"/>
      <c r="E520" s="398"/>
      <c r="F520" s="395"/>
      <c r="G520" s="396"/>
      <c r="H520" s="399"/>
      <c r="I520" s="395" t="s">
        <v>228</v>
      </c>
      <c r="J520" s="397" t="s">
        <v>228</v>
      </c>
      <c r="K520" s="398"/>
      <c r="L520" s="404"/>
      <c r="M520" s="400"/>
    </row>
    <row r="521" spans="1:13" s="148" customFormat="1" hidden="1" x14ac:dyDescent="0.25">
      <c r="A521" s="400"/>
      <c r="B521" s="398"/>
      <c r="C521" s="398"/>
      <c r="D521" s="405"/>
      <c r="E521" s="398"/>
      <c r="F521" s="395"/>
      <c r="G521" s="396"/>
      <c r="H521" s="399"/>
      <c r="I521" s="395" t="s">
        <v>228</v>
      </c>
      <c r="J521" s="397" t="s">
        <v>228</v>
      </c>
      <c r="K521" s="398"/>
      <c r="L521" s="404"/>
      <c r="M521" s="400"/>
    </row>
    <row r="522" spans="1:13" s="148" customFormat="1" hidden="1" x14ac:dyDescent="0.25">
      <c r="A522" s="400"/>
      <c r="B522" s="398"/>
      <c r="C522" s="398"/>
      <c r="D522" s="405"/>
      <c r="E522" s="398"/>
      <c r="F522" s="395"/>
      <c r="G522" s="396"/>
      <c r="H522" s="399"/>
      <c r="I522" s="395" t="s">
        <v>228</v>
      </c>
      <c r="J522" s="397" t="s">
        <v>228</v>
      </c>
      <c r="K522" s="398"/>
      <c r="L522" s="404"/>
      <c r="M522" s="400"/>
    </row>
    <row r="523" spans="1:13" s="148" customFormat="1" hidden="1" x14ac:dyDescent="0.25">
      <c r="A523" s="400"/>
      <c r="B523" s="398"/>
      <c r="C523" s="398"/>
      <c r="D523" s="405"/>
      <c r="E523" s="398"/>
      <c r="F523" s="395"/>
      <c r="G523" s="396"/>
      <c r="H523" s="399"/>
      <c r="I523" s="395" t="s">
        <v>228</v>
      </c>
      <c r="J523" s="397" t="s">
        <v>228</v>
      </c>
      <c r="K523" s="398"/>
      <c r="L523" s="404"/>
      <c r="M523" s="400"/>
    </row>
    <row r="524" spans="1:13" s="148" customFormat="1" hidden="1" x14ac:dyDescent="0.25">
      <c r="A524" s="400"/>
      <c r="B524" s="398"/>
      <c r="C524" s="398"/>
      <c r="D524" s="405"/>
      <c r="E524" s="398"/>
      <c r="F524" s="395"/>
      <c r="G524" s="396"/>
      <c r="H524" s="399"/>
      <c r="I524" s="395" t="s">
        <v>228</v>
      </c>
      <c r="J524" s="397" t="s">
        <v>228</v>
      </c>
      <c r="K524" s="398"/>
      <c r="L524" s="404"/>
      <c r="M524" s="400"/>
    </row>
    <row r="525" spans="1:13" s="148" customFormat="1" hidden="1" x14ac:dyDescent="0.25">
      <c r="A525" s="400"/>
      <c r="B525" s="398"/>
      <c r="C525" s="398"/>
      <c r="D525" s="405"/>
      <c r="E525" s="398"/>
      <c r="F525" s="395"/>
      <c r="G525" s="396"/>
      <c r="H525" s="399"/>
      <c r="I525" s="395" t="s">
        <v>228</v>
      </c>
      <c r="J525" s="397" t="s">
        <v>228</v>
      </c>
      <c r="K525" s="398"/>
      <c r="L525" s="404"/>
      <c r="M525" s="400"/>
    </row>
    <row r="526" spans="1:13" s="148" customFormat="1" hidden="1" x14ac:dyDescent="0.25">
      <c r="A526" s="400"/>
      <c r="B526" s="398"/>
      <c r="C526" s="398"/>
      <c r="D526" s="405"/>
      <c r="E526" s="398"/>
      <c r="F526" s="395"/>
      <c r="G526" s="396"/>
      <c r="H526" s="399"/>
      <c r="I526" s="395" t="s">
        <v>228</v>
      </c>
      <c r="J526" s="397" t="s">
        <v>228</v>
      </c>
      <c r="K526" s="398"/>
      <c r="L526" s="404"/>
      <c r="M526" s="400"/>
    </row>
    <row r="527" spans="1:13" s="148" customFormat="1" hidden="1" x14ac:dyDescent="0.25">
      <c r="A527" s="400"/>
      <c r="B527" s="398"/>
      <c r="C527" s="398"/>
      <c r="D527" s="405"/>
      <c r="E527" s="398"/>
      <c r="F527" s="395"/>
      <c r="G527" s="396"/>
      <c r="H527" s="399"/>
      <c r="I527" s="395" t="s">
        <v>228</v>
      </c>
      <c r="J527" s="397" t="s">
        <v>228</v>
      </c>
      <c r="K527" s="398"/>
      <c r="L527" s="404"/>
      <c r="M527" s="400"/>
    </row>
    <row r="528" spans="1:13" s="148" customFormat="1" hidden="1" x14ac:dyDescent="0.25">
      <c r="A528" s="400"/>
      <c r="B528" s="398"/>
      <c r="C528" s="398"/>
      <c r="D528" s="405"/>
      <c r="E528" s="398"/>
      <c r="F528" s="395"/>
      <c r="G528" s="396"/>
      <c r="H528" s="399"/>
      <c r="I528" s="395" t="s">
        <v>228</v>
      </c>
      <c r="J528" s="397" t="s">
        <v>228</v>
      </c>
      <c r="K528" s="398"/>
      <c r="L528" s="404"/>
      <c r="M528" s="400"/>
    </row>
    <row r="529" spans="1:13" s="148" customFormat="1" hidden="1" x14ac:dyDescent="0.25">
      <c r="A529" s="400"/>
      <c r="B529" s="398"/>
      <c r="C529" s="398"/>
      <c r="D529" s="405"/>
      <c r="E529" s="398"/>
      <c r="F529" s="395"/>
      <c r="G529" s="396"/>
      <c r="H529" s="399"/>
      <c r="I529" s="395" t="s">
        <v>228</v>
      </c>
      <c r="J529" s="397" t="s">
        <v>228</v>
      </c>
      <c r="K529" s="398"/>
      <c r="L529" s="404"/>
      <c r="M529" s="400"/>
    </row>
    <row r="530" spans="1:13" s="148" customFormat="1" hidden="1" x14ac:dyDescent="0.25">
      <c r="A530" s="400"/>
      <c r="B530" s="398"/>
      <c r="C530" s="398"/>
      <c r="D530" s="405"/>
      <c r="E530" s="398"/>
      <c r="F530" s="395"/>
      <c r="G530" s="396"/>
      <c r="H530" s="399"/>
      <c r="I530" s="395" t="s">
        <v>228</v>
      </c>
      <c r="J530" s="397" t="s">
        <v>228</v>
      </c>
      <c r="K530" s="398"/>
      <c r="L530" s="404"/>
      <c r="M530" s="400"/>
    </row>
    <row r="531" spans="1:13" s="148" customFormat="1" hidden="1" x14ac:dyDescent="0.25">
      <c r="A531" s="400"/>
      <c r="B531" s="398"/>
      <c r="C531" s="398"/>
      <c r="D531" s="405"/>
      <c r="E531" s="398"/>
      <c r="F531" s="395"/>
      <c r="G531" s="396"/>
      <c r="H531" s="399"/>
      <c r="I531" s="395" t="s">
        <v>228</v>
      </c>
      <c r="J531" s="397" t="s">
        <v>228</v>
      </c>
      <c r="K531" s="398"/>
      <c r="L531" s="404"/>
      <c r="M531" s="400"/>
    </row>
    <row r="532" spans="1:13" s="148" customFormat="1" hidden="1" x14ac:dyDescent="0.25">
      <c r="A532" s="400"/>
      <c r="B532" s="398"/>
      <c r="C532" s="398"/>
      <c r="D532" s="405"/>
      <c r="E532" s="398"/>
      <c r="F532" s="395"/>
      <c r="G532" s="396"/>
      <c r="H532" s="399"/>
      <c r="I532" s="395" t="s">
        <v>228</v>
      </c>
      <c r="J532" s="397" t="s">
        <v>228</v>
      </c>
      <c r="K532" s="398"/>
      <c r="L532" s="404"/>
      <c r="M532" s="400"/>
    </row>
    <row r="533" spans="1:13" s="148" customFormat="1" hidden="1" x14ac:dyDescent="0.25">
      <c r="A533" s="400"/>
      <c r="B533" s="398"/>
      <c r="C533" s="398"/>
      <c r="D533" s="405"/>
      <c r="E533" s="398"/>
      <c r="F533" s="395"/>
      <c r="G533" s="396"/>
      <c r="H533" s="399"/>
      <c r="I533" s="395" t="s">
        <v>228</v>
      </c>
      <c r="J533" s="397" t="s">
        <v>228</v>
      </c>
      <c r="K533" s="398"/>
      <c r="L533" s="404"/>
      <c r="M533" s="400"/>
    </row>
    <row r="534" spans="1:13" s="148" customFormat="1" hidden="1" x14ac:dyDescent="0.25">
      <c r="A534" s="400"/>
      <c r="B534" s="398"/>
      <c r="C534" s="398"/>
      <c r="D534" s="405"/>
      <c r="E534" s="398"/>
      <c r="F534" s="395"/>
      <c r="G534" s="396"/>
      <c r="H534" s="399"/>
      <c r="I534" s="395" t="s">
        <v>228</v>
      </c>
      <c r="J534" s="397" t="s">
        <v>228</v>
      </c>
      <c r="K534" s="398"/>
      <c r="L534" s="404"/>
      <c r="M534" s="400"/>
    </row>
    <row r="535" spans="1:13" s="148" customFormat="1" hidden="1" x14ac:dyDescent="0.25">
      <c r="A535" s="400"/>
      <c r="B535" s="398"/>
      <c r="C535" s="398"/>
      <c r="D535" s="405"/>
      <c r="E535" s="398"/>
      <c r="F535" s="395"/>
      <c r="G535" s="396"/>
      <c r="H535" s="399"/>
      <c r="I535" s="395" t="s">
        <v>228</v>
      </c>
      <c r="J535" s="397" t="s">
        <v>228</v>
      </c>
      <c r="K535" s="398"/>
      <c r="L535" s="404"/>
      <c r="M535" s="400"/>
    </row>
    <row r="536" spans="1:13" s="148" customFormat="1" hidden="1" x14ac:dyDescent="0.25">
      <c r="A536" s="400"/>
      <c r="B536" s="398"/>
      <c r="C536" s="398"/>
      <c r="D536" s="405"/>
      <c r="E536" s="398"/>
      <c r="F536" s="395"/>
      <c r="G536" s="396"/>
      <c r="H536" s="399"/>
      <c r="I536" s="395" t="s">
        <v>228</v>
      </c>
      <c r="J536" s="397" t="s">
        <v>228</v>
      </c>
      <c r="K536" s="398"/>
      <c r="L536" s="404"/>
      <c r="M536" s="400"/>
    </row>
    <row r="537" spans="1:13" s="148" customFormat="1" hidden="1" x14ac:dyDescent="0.25">
      <c r="A537" s="400"/>
      <c r="B537" s="398"/>
      <c r="C537" s="398"/>
      <c r="D537" s="405"/>
      <c r="E537" s="398"/>
      <c r="F537" s="395"/>
      <c r="G537" s="396"/>
      <c r="H537" s="399"/>
      <c r="I537" s="395" t="s">
        <v>228</v>
      </c>
      <c r="J537" s="397" t="s">
        <v>228</v>
      </c>
      <c r="K537" s="398"/>
      <c r="L537" s="404"/>
      <c r="M537" s="400"/>
    </row>
    <row r="538" spans="1:13" s="148" customFormat="1" hidden="1" x14ac:dyDescent="0.25">
      <c r="A538" s="400"/>
      <c r="B538" s="398"/>
      <c r="C538" s="398"/>
      <c r="D538" s="405"/>
      <c r="E538" s="398"/>
      <c r="F538" s="395"/>
      <c r="G538" s="396"/>
      <c r="H538" s="399"/>
      <c r="I538" s="395" t="s">
        <v>228</v>
      </c>
      <c r="J538" s="397" t="s">
        <v>228</v>
      </c>
      <c r="K538" s="398"/>
      <c r="L538" s="404"/>
      <c r="M538" s="400"/>
    </row>
    <row r="539" spans="1:13" s="148" customFormat="1" hidden="1" x14ac:dyDescent="0.25">
      <c r="A539" s="400"/>
      <c r="B539" s="398"/>
      <c r="C539" s="398"/>
      <c r="D539" s="405"/>
      <c r="E539" s="398"/>
      <c r="F539" s="395"/>
      <c r="G539" s="396"/>
      <c r="H539" s="399"/>
      <c r="I539" s="395" t="s">
        <v>228</v>
      </c>
      <c r="J539" s="397" t="s">
        <v>228</v>
      </c>
      <c r="K539" s="398"/>
      <c r="L539" s="404"/>
      <c r="M539" s="400"/>
    </row>
    <row r="540" spans="1:13" s="148" customFormat="1" hidden="1" x14ac:dyDescent="0.25">
      <c r="A540" s="400"/>
      <c r="B540" s="398"/>
      <c r="C540" s="398"/>
      <c r="D540" s="405"/>
      <c r="E540" s="398"/>
      <c r="F540" s="395"/>
      <c r="G540" s="396"/>
      <c r="H540" s="399"/>
      <c r="I540" s="395" t="s">
        <v>228</v>
      </c>
      <c r="J540" s="397" t="s">
        <v>228</v>
      </c>
      <c r="K540" s="398"/>
      <c r="L540" s="404"/>
      <c r="M540" s="400"/>
    </row>
    <row r="541" spans="1:13" s="148" customFormat="1" hidden="1" x14ac:dyDescent="0.25">
      <c r="A541" s="400"/>
      <c r="B541" s="398"/>
      <c r="C541" s="398"/>
      <c r="D541" s="405"/>
      <c r="E541" s="398"/>
      <c r="F541" s="395"/>
      <c r="G541" s="396"/>
      <c r="H541" s="399"/>
      <c r="I541" s="395" t="s">
        <v>228</v>
      </c>
      <c r="J541" s="397" t="s">
        <v>228</v>
      </c>
      <c r="K541" s="398"/>
      <c r="L541" s="404"/>
      <c r="M541" s="400"/>
    </row>
    <row r="542" spans="1:13" s="148" customFormat="1" hidden="1" x14ac:dyDescent="0.25">
      <c r="A542" s="400"/>
      <c r="B542" s="398"/>
      <c r="C542" s="398"/>
      <c r="D542" s="405"/>
      <c r="E542" s="398"/>
      <c r="F542" s="395"/>
      <c r="G542" s="396"/>
      <c r="H542" s="399"/>
      <c r="I542" s="395" t="s">
        <v>228</v>
      </c>
      <c r="J542" s="397" t="s">
        <v>228</v>
      </c>
      <c r="K542" s="398"/>
      <c r="L542" s="404"/>
      <c r="M542" s="400"/>
    </row>
    <row r="543" spans="1:13" s="148" customFormat="1" hidden="1" x14ac:dyDescent="0.25">
      <c r="A543" s="400"/>
      <c r="B543" s="398"/>
      <c r="C543" s="398"/>
      <c r="D543" s="405"/>
      <c r="E543" s="398"/>
      <c r="F543" s="395"/>
      <c r="G543" s="396"/>
      <c r="H543" s="399"/>
      <c r="I543" s="395" t="s">
        <v>228</v>
      </c>
      <c r="J543" s="397" t="s">
        <v>228</v>
      </c>
      <c r="K543" s="398"/>
      <c r="L543" s="404"/>
      <c r="M543" s="400"/>
    </row>
    <row r="544" spans="1:13" s="148" customFormat="1" hidden="1" x14ac:dyDescent="0.25">
      <c r="A544" s="400"/>
      <c r="B544" s="398"/>
      <c r="C544" s="398"/>
      <c r="D544" s="405"/>
      <c r="E544" s="398"/>
      <c r="F544" s="395"/>
      <c r="G544" s="396"/>
      <c r="H544" s="399"/>
      <c r="I544" s="395" t="s">
        <v>228</v>
      </c>
      <c r="J544" s="397" t="s">
        <v>228</v>
      </c>
      <c r="K544" s="398"/>
      <c r="L544" s="404"/>
      <c r="M544" s="400"/>
    </row>
    <row r="545" spans="1:13" s="148" customFormat="1" hidden="1" x14ac:dyDescent="0.25">
      <c r="A545" s="400"/>
      <c r="B545" s="398"/>
      <c r="C545" s="398"/>
      <c r="D545" s="405"/>
      <c r="E545" s="398"/>
      <c r="F545" s="395"/>
      <c r="G545" s="396"/>
      <c r="H545" s="399"/>
      <c r="I545" s="395" t="s">
        <v>228</v>
      </c>
      <c r="J545" s="397" t="s">
        <v>228</v>
      </c>
      <c r="K545" s="398"/>
      <c r="L545" s="404"/>
      <c r="M545" s="400"/>
    </row>
    <row r="546" spans="1:13" s="148" customFormat="1" hidden="1" x14ac:dyDescent="0.25">
      <c r="A546" s="400"/>
      <c r="B546" s="398"/>
      <c r="C546" s="398"/>
      <c r="D546" s="405"/>
      <c r="E546" s="398"/>
      <c r="F546" s="395"/>
      <c r="G546" s="396"/>
      <c r="H546" s="399"/>
      <c r="I546" s="395" t="s">
        <v>228</v>
      </c>
      <c r="J546" s="397" t="s">
        <v>228</v>
      </c>
      <c r="K546" s="398"/>
      <c r="L546" s="404"/>
      <c r="M546" s="400"/>
    </row>
    <row r="547" spans="1:13" s="148" customFormat="1" hidden="1" x14ac:dyDescent="0.25">
      <c r="A547" s="400"/>
      <c r="B547" s="398"/>
      <c r="C547" s="398"/>
      <c r="D547" s="405"/>
      <c r="E547" s="398"/>
      <c r="F547" s="395"/>
      <c r="G547" s="396"/>
      <c r="H547" s="399"/>
      <c r="I547" s="395" t="s">
        <v>228</v>
      </c>
      <c r="J547" s="397" t="s">
        <v>228</v>
      </c>
      <c r="K547" s="398"/>
      <c r="L547" s="404"/>
      <c r="M547" s="400"/>
    </row>
    <row r="548" spans="1:13" s="148" customFormat="1" hidden="1" x14ac:dyDescent="0.25">
      <c r="A548" s="400"/>
      <c r="B548" s="398"/>
      <c r="C548" s="398"/>
      <c r="D548" s="405"/>
      <c r="E548" s="398"/>
      <c r="F548" s="395"/>
      <c r="G548" s="396"/>
      <c r="H548" s="399"/>
      <c r="I548" s="395" t="s">
        <v>228</v>
      </c>
      <c r="J548" s="397" t="s">
        <v>228</v>
      </c>
      <c r="K548" s="398"/>
      <c r="L548" s="404"/>
      <c r="M548" s="400"/>
    </row>
    <row r="549" spans="1:13" s="148" customFormat="1" hidden="1" x14ac:dyDescent="0.25">
      <c r="A549" s="400"/>
      <c r="B549" s="398"/>
      <c r="C549" s="398"/>
      <c r="D549" s="405"/>
      <c r="E549" s="398"/>
      <c r="F549" s="395"/>
      <c r="G549" s="396"/>
      <c r="H549" s="399"/>
      <c r="I549" s="395" t="s">
        <v>228</v>
      </c>
      <c r="J549" s="397" t="s">
        <v>228</v>
      </c>
      <c r="K549" s="398"/>
      <c r="L549" s="404"/>
      <c r="M549" s="400"/>
    </row>
    <row r="550" spans="1:13" s="148" customFormat="1" hidden="1" x14ac:dyDescent="0.25">
      <c r="A550" s="400"/>
      <c r="B550" s="398"/>
      <c r="C550" s="398"/>
      <c r="D550" s="405"/>
      <c r="E550" s="398"/>
      <c r="F550" s="395"/>
      <c r="G550" s="396"/>
      <c r="H550" s="399"/>
      <c r="I550" s="395" t="s">
        <v>228</v>
      </c>
      <c r="J550" s="397" t="s">
        <v>228</v>
      </c>
      <c r="K550" s="398"/>
      <c r="L550" s="404"/>
      <c r="M550" s="400"/>
    </row>
    <row r="551" spans="1:13" s="148" customFormat="1" hidden="1" x14ac:dyDescent="0.25">
      <c r="A551" s="400"/>
      <c r="B551" s="398"/>
      <c r="C551" s="398"/>
      <c r="D551" s="405"/>
      <c r="E551" s="398"/>
      <c r="F551" s="395"/>
      <c r="G551" s="396"/>
      <c r="H551" s="399"/>
      <c r="I551" s="395" t="s">
        <v>228</v>
      </c>
      <c r="J551" s="397" t="s">
        <v>228</v>
      </c>
      <c r="K551" s="398"/>
      <c r="L551" s="404"/>
      <c r="M551" s="400"/>
    </row>
    <row r="552" spans="1:13" s="148" customFormat="1" hidden="1" x14ac:dyDescent="0.25">
      <c r="A552" s="400"/>
      <c r="B552" s="398"/>
      <c r="C552" s="398"/>
      <c r="D552" s="405"/>
      <c r="E552" s="398"/>
      <c r="F552" s="395"/>
      <c r="G552" s="396"/>
      <c r="H552" s="399"/>
      <c r="I552" s="395" t="s">
        <v>228</v>
      </c>
      <c r="J552" s="397" t="s">
        <v>228</v>
      </c>
      <c r="K552" s="398"/>
      <c r="L552" s="404"/>
      <c r="M552" s="400"/>
    </row>
    <row r="553" spans="1:13" s="148" customFormat="1" hidden="1" x14ac:dyDescent="0.25">
      <c r="A553" s="400"/>
      <c r="B553" s="398"/>
      <c r="C553" s="398"/>
      <c r="D553" s="405"/>
      <c r="E553" s="398"/>
      <c r="F553" s="395"/>
      <c r="G553" s="396"/>
      <c r="H553" s="399"/>
      <c r="I553" s="395" t="s">
        <v>228</v>
      </c>
      <c r="J553" s="397" t="s">
        <v>228</v>
      </c>
      <c r="K553" s="398"/>
      <c r="L553" s="404"/>
      <c r="M553" s="400"/>
    </row>
    <row r="554" spans="1:13" s="148" customFormat="1" hidden="1" x14ac:dyDescent="0.25">
      <c r="A554" s="400"/>
      <c r="B554" s="398"/>
      <c r="C554" s="398"/>
      <c r="D554" s="405"/>
      <c r="E554" s="398"/>
      <c r="F554" s="395"/>
      <c r="G554" s="396"/>
      <c r="H554" s="399"/>
      <c r="I554" s="395" t="s">
        <v>228</v>
      </c>
      <c r="J554" s="397" t="s">
        <v>228</v>
      </c>
      <c r="K554" s="398"/>
      <c r="L554" s="404"/>
      <c r="M554" s="400"/>
    </row>
    <row r="555" spans="1:13" s="148" customFormat="1" hidden="1" x14ac:dyDescent="0.25">
      <c r="A555" s="400"/>
      <c r="B555" s="398"/>
      <c r="C555" s="398"/>
      <c r="D555" s="405"/>
      <c r="E555" s="398"/>
      <c r="F555" s="395"/>
      <c r="G555" s="396"/>
      <c r="H555" s="399"/>
      <c r="I555" s="395" t="s">
        <v>228</v>
      </c>
      <c r="J555" s="397" t="s">
        <v>228</v>
      </c>
      <c r="K555" s="398"/>
      <c r="L555" s="404"/>
      <c r="M555" s="400"/>
    </row>
    <row r="556" spans="1:13" s="148" customFormat="1" hidden="1" x14ac:dyDescent="0.25">
      <c r="A556" s="400"/>
      <c r="B556" s="398"/>
      <c r="C556" s="398"/>
      <c r="D556" s="405"/>
      <c r="E556" s="398"/>
      <c r="F556" s="395"/>
      <c r="G556" s="396"/>
      <c r="H556" s="399"/>
      <c r="I556" s="395" t="s">
        <v>228</v>
      </c>
      <c r="J556" s="397" t="s">
        <v>228</v>
      </c>
      <c r="K556" s="398"/>
      <c r="L556" s="404"/>
      <c r="M556" s="400"/>
    </row>
    <row r="557" spans="1:13" s="148" customFormat="1" hidden="1" x14ac:dyDescent="0.25">
      <c r="A557" s="400"/>
      <c r="B557" s="398"/>
      <c r="C557" s="398"/>
      <c r="D557" s="405"/>
      <c r="E557" s="398"/>
      <c r="F557" s="395"/>
      <c r="G557" s="396"/>
      <c r="H557" s="399"/>
      <c r="I557" s="395" t="s">
        <v>228</v>
      </c>
      <c r="J557" s="397" t="s">
        <v>228</v>
      </c>
      <c r="K557" s="398"/>
      <c r="L557" s="404"/>
      <c r="M557" s="400"/>
    </row>
    <row r="558" spans="1:13" s="148" customFormat="1" hidden="1" x14ac:dyDescent="0.25">
      <c r="A558" s="400"/>
      <c r="B558" s="398"/>
      <c r="C558" s="398"/>
      <c r="D558" s="405"/>
      <c r="E558" s="398"/>
      <c r="F558" s="395"/>
      <c r="G558" s="396"/>
      <c r="H558" s="399"/>
      <c r="I558" s="395" t="s">
        <v>228</v>
      </c>
      <c r="J558" s="397" t="s">
        <v>228</v>
      </c>
      <c r="K558" s="398"/>
      <c r="L558" s="404"/>
      <c r="M558" s="400"/>
    </row>
    <row r="559" spans="1:13" s="148" customFormat="1" hidden="1" x14ac:dyDescent="0.25">
      <c r="A559" s="400"/>
      <c r="B559" s="398"/>
      <c r="C559" s="398"/>
      <c r="D559" s="405"/>
      <c r="E559" s="398"/>
      <c r="F559" s="395"/>
      <c r="G559" s="396"/>
      <c r="H559" s="399"/>
      <c r="I559" s="395" t="s">
        <v>228</v>
      </c>
      <c r="J559" s="397" t="s">
        <v>228</v>
      </c>
      <c r="K559" s="398"/>
      <c r="L559" s="404"/>
      <c r="M559" s="400"/>
    </row>
    <row r="560" spans="1:13" s="148" customFormat="1" hidden="1" x14ac:dyDescent="0.25">
      <c r="A560" s="400"/>
      <c r="B560" s="398"/>
      <c r="C560" s="398"/>
      <c r="D560" s="405"/>
      <c r="E560" s="398"/>
      <c r="F560" s="395"/>
      <c r="G560" s="396"/>
      <c r="H560" s="399"/>
      <c r="I560" s="395" t="s">
        <v>228</v>
      </c>
      <c r="J560" s="397" t="s">
        <v>228</v>
      </c>
      <c r="K560" s="398"/>
      <c r="L560" s="404"/>
      <c r="M560" s="400"/>
    </row>
    <row r="561" spans="1:13" s="148" customFormat="1" hidden="1" x14ac:dyDescent="0.25">
      <c r="A561" s="400"/>
      <c r="B561" s="398"/>
      <c r="C561" s="398"/>
      <c r="D561" s="405"/>
      <c r="E561" s="398"/>
      <c r="F561" s="395"/>
      <c r="G561" s="396"/>
      <c r="H561" s="399"/>
      <c r="I561" s="395" t="s">
        <v>228</v>
      </c>
      <c r="J561" s="397" t="s">
        <v>228</v>
      </c>
      <c r="K561" s="398"/>
      <c r="L561" s="404"/>
      <c r="M561" s="400"/>
    </row>
    <row r="562" spans="1:13" s="148" customFormat="1" hidden="1" x14ac:dyDescent="0.25">
      <c r="A562" s="400"/>
      <c r="B562" s="398"/>
      <c r="C562" s="398"/>
      <c r="D562" s="405"/>
      <c r="E562" s="398"/>
      <c r="F562" s="395"/>
      <c r="G562" s="396"/>
      <c r="H562" s="399"/>
      <c r="I562" s="395" t="s">
        <v>228</v>
      </c>
      <c r="J562" s="397" t="s">
        <v>228</v>
      </c>
      <c r="K562" s="398"/>
      <c r="L562" s="404"/>
      <c r="M562" s="400"/>
    </row>
    <row r="563" spans="1:13" s="148" customFormat="1" hidden="1" x14ac:dyDescent="0.25">
      <c r="A563" s="400"/>
      <c r="B563" s="398"/>
      <c r="C563" s="398"/>
      <c r="D563" s="405"/>
      <c r="E563" s="398"/>
      <c r="F563" s="395"/>
      <c r="G563" s="396"/>
      <c r="H563" s="399"/>
      <c r="I563" s="395" t="s">
        <v>228</v>
      </c>
      <c r="J563" s="397" t="s">
        <v>228</v>
      </c>
      <c r="K563" s="398"/>
      <c r="L563" s="404"/>
      <c r="M563" s="400"/>
    </row>
    <row r="564" spans="1:13" s="148" customFormat="1" hidden="1" x14ac:dyDescent="0.25">
      <c r="A564" s="400"/>
      <c r="B564" s="398"/>
      <c r="C564" s="398"/>
      <c r="D564" s="405"/>
      <c r="E564" s="398"/>
      <c r="F564" s="395"/>
      <c r="G564" s="396"/>
      <c r="H564" s="399"/>
      <c r="I564" s="395" t="s">
        <v>228</v>
      </c>
      <c r="J564" s="397" t="s">
        <v>228</v>
      </c>
      <c r="K564" s="398"/>
      <c r="L564" s="404"/>
      <c r="M564" s="400"/>
    </row>
    <row r="565" spans="1:13" s="148" customFormat="1" hidden="1" x14ac:dyDescent="0.25">
      <c r="A565" s="400"/>
      <c r="B565" s="398"/>
      <c r="C565" s="398"/>
      <c r="D565" s="405"/>
      <c r="E565" s="398"/>
      <c r="F565" s="395"/>
      <c r="G565" s="396"/>
      <c r="H565" s="399"/>
      <c r="I565" s="395" t="s">
        <v>228</v>
      </c>
      <c r="J565" s="397" t="s">
        <v>228</v>
      </c>
      <c r="K565" s="398"/>
      <c r="L565" s="404"/>
      <c r="M565" s="400"/>
    </row>
    <row r="566" spans="1:13" s="148" customFormat="1" hidden="1" x14ac:dyDescent="0.25">
      <c r="A566" s="400"/>
      <c r="B566" s="398"/>
      <c r="C566" s="398"/>
      <c r="D566" s="405"/>
      <c r="E566" s="398"/>
      <c r="F566" s="395"/>
      <c r="G566" s="396"/>
      <c r="H566" s="399"/>
      <c r="I566" s="395" t="s">
        <v>228</v>
      </c>
      <c r="J566" s="397" t="s">
        <v>228</v>
      </c>
      <c r="K566" s="398"/>
      <c r="L566" s="404"/>
      <c r="M566" s="400"/>
    </row>
    <row r="567" spans="1:13" s="148" customFormat="1" hidden="1" x14ac:dyDescent="0.25">
      <c r="A567" s="400"/>
      <c r="B567" s="398"/>
      <c r="C567" s="398"/>
      <c r="D567" s="405"/>
      <c r="E567" s="398"/>
      <c r="F567" s="395"/>
      <c r="G567" s="396"/>
      <c r="H567" s="399"/>
      <c r="I567" s="395" t="s">
        <v>228</v>
      </c>
      <c r="J567" s="397" t="s">
        <v>228</v>
      </c>
      <c r="K567" s="398"/>
      <c r="L567" s="404"/>
      <c r="M567" s="400"/>
    </row>
    <row r="568" spans="1:13" s="148" customFormat="1" hidden="1" x14ac:dyDescent="0.25">
      <c r="A568" s="400"/>
      <c r="B568" s="398"/>
      <c r="C568" s="398"/>
      <c r="D568" s="405"/>
      <c r="E568" s="398"/>
      <c r="F568" s="395"/>
      <c r="G568" s="396"/>
      <c r="H568" s="399"/>
      <c r="I568" s="395" t="s">
        <v>228</v>
      </c>
      <c r="J568" s="397" t="s">
        <v>228</v>
      </c>
      <c r="K568" s="398"/>
      <c r="L568" s="404"/>
      <c r="M568" s="400"/>
    </row>
    <row r="569" spans="1:13" s="148" customFormat="1" hidden="1" x14ac:dyDescent="0.25">
      <c r="A569" s="400"/>
      <c r="B569" s="398"/>
      <c r="C569" s="398"/>
      <c r="D569" s="405"/>
      <c r="E569" s="398"/>
      <c r="F569" s="395"/>
      <c r="G569" s="396"/>
      <c r="H569" s="399"/>
      <c r="I569" s="395" t="s">
        <v>228</v>
      </c>
      <c r="J569" s="397" t="s">
        <v>228</v>
      </c>
      <c r="K569" s="398"/>
      <c r="L569" s="404"/>
      <c r="M569" s="400"/>
    </row>
    <row r="570" spans="1:13" s="148" customFormat="1" hidden="1" x14ac:dyDescent="0.25">
      <c r="A570" s="400"/>
      <c r="B570" s="398"/>
      <c r="C570" s="398"/>
      <c r="D570" s="405"/>
      <c r="E570" s="398"/>
      <c r="F570" s="395"/>
      <c r="G570" s="396"/>
      <c r="H570" s="399"/>
      <c r="I570" s="395" t="s">
        <v>228</v>
      </c>
      <c r="J570" s="397" t="s">
        <v>228</v>
      </c>
      <c r="K570" s="398"/>
      <c r="L570" s="404"/>
      <c r="M570" s="400"/>
    </row>
    <row r="571" spans="1:13" s="148" customFormat="1" hidden="1" x14ac:dyDescent="0.25">
      <c r="A571" s="400"/>
      <c r="B571" s="398"/>
      <c r="C571" s="398"/>
      <c r="D571" s="405"/>
      <c r="E571" s="398"/>
      <c r="F571" s="395"/>
      <c r="G571" s="396"/>
      <c r="H571" s="399"/>
      <c r="I571" s="395" t="s">
        <v>228</v>
      </c>
      <c r="J571" s="397" t="s">
        <v>228</v>
      </c>
      <c r="K571" s="398"/>
      <c r="L571" s="404"/>
      <c r="M571" s="400"/>
    </row>
    <row r="572" spans="1:13" s="148" customFormat="1" hidden="1" x14ac:dyDescent="0.25">
      <c r="A572" s="400"/>
      <c r="B572" s="398"/>
      <c r="C572" s="398"/>
      <c r="D572" s="405"/>
      <c r="E572" s="398"/>
      <c r="F572" s="395"/>
      <c r="G572" s="396"/>
      <c r="H572" s="399"/>
      <c r="I572" s="395" t="s">
        <v>228</v>
      </c>
      <c r="J572" s="397" t="s">
        <v>228</v>
      </c>
      <c r="K572" s="398"/>
      <c r="L572" s="404"/>
      <c r="M572" s="400"/>
    </row>
    <row r="573" spans="1:13" s="148" customFormat="1" hidden="1" x14ac:dyDescent="0.25">
      <c r="A573" s="400"/>
      <c r="B573" s="398"/>
      <c r="C573" s="398"/>
      <c r="D573" s="405"/>
      <c r="E573" s="398"/>
      <c r="F573" s="395"/>
      <c r="G573" s="396"/>
      <c r="H573" s="399"/>
      <c r="I573" s="395" t="s">
        <v>228</v>
      </c>
      <c r="J573" s="397" t="s">
        <v>228</v>
      </c>
      <c r="K573" s="398"/>
      <c r="L573" s="404"/>
      <c r="M573" s="400"/>
    </row>
    <row r="574" spans="1:13" s="148" customFormat="1" hidden="1" x14ac:dyDescent="0.25">
      <c r="A574" s="400"/>
      <c r="B574" s="398"/>
      <c r="C574" s="398"/>
      <c r="D574" s="405"/>
      <c r="E574" s="398"/>
      <c r="F574" s="395"/>
      <c r="G574" s="396"/>
      <c r="H574" s="399"/>
      <c r="I574" s="395" t="s">
        <v>228</v>
      </c>
      <c r="J574" s="397" t="s">
        <v>228</v>
      </c>
      <c r="K574" s="398"/>
      <c r="L574" s="404"/>
      <c r="M574" s="400"/>
    </row>
    <row r="575" spans="1:13" s="148" customFormat="1" hidden="1" x14ac:dyDescent="0.25">
      <c r="A575" s="400"/>
      <c r="B575" s="398"/>
      <c r="C575" s="398"/>
      <c r="D575" s="405"/>
      <c r="E575" s="398"/>
      <c r="F575" s="395"/>
      <c r="G575" s="396"/>
      <c r="H575" s="399"/>
      <c r="I575" s="395" t="s">
        <v>228</v>
      </c>
      <c r="J575" s="397" t="s">
        <v>228</v>
      </c>
      <c r="K575" s="398"/>
      <c r="L575" s="404"/>
      <c r="M575" s="400"/>
    </row>
    <row r="576" spans="1:13" s="148" customFormat="1" hidden="1" x14ac:dyDescent="0.25">
      <c r="A576" s="400"/>
      <c r="B576" s="398"/>
      <c r="C576" s="398"/>
      <c r="D576" s="405"/>
      <c r="E576" s="398"/>
      <c r="F576" s="395"/>
      <c r="G576" s="396"/>
      <c r="H576" s="399"/>
      <c r="I576" s="395" t="s">
        <v>228</v>
      </c>
      <c r="J576" s="397" t="s">
        <v>228</v>
      </c>
      <c r="K576" s="398"/>
      <c r="L576" s="404"/>
      <c r="M576" s="400"/>
    </row>
    <row r="577" spans="1:13" s="148" customFormat="1" hidden="1" x14ac:dyDescent="0.25">
      <c r="A577" s="400"/>
      <c r="B577" s="398"/>
      <c r="C577" s="398"/>
      <c r="D577" s="405"/>
      <c r="E577" s="398"/>
      <c r="F577" s="395"/>
      <c r="G577" s="396"/>
      <c r="H577" s="399"/>
      <c r="I577" s="395" t="s">
        <v>228</v>
      </c>
      <c r="J577" s="397" t="s">
        <v>228</v>
      </c>
      <c r="K577" s="398"/>
      <c r="L577" s="404"/>
      <c r="M577" s="400"/>
    </row>
    <row r="578" spans="1:13" s="148" customFormat="1" hidden="1" x14ac:dyDescent="0.25">
      <c r="A578" s="400"/>
      <c r="B578" s="398"/>
      <c r="C578" s="398"/>
      <c r="D578" s="405"/>
      <c r="E578" s="398"/>
      <c r="F578" s="395"/>
      <c r="G578" s="396"/>
      <c r="H578" s="399"/>
      <c r="I578" s="395" t="s">
        <v>228</v>
      </c>
      <c r="J578" s="397" t="s">
        <v>228</v>
      </c>
      <c r="K578" s="398"/>
      <c r="L578" s="404"/>
      <c r="M578" s="400"/>
    </row>
    <row r="579" spans="1:13" s="148" customFormat="1" hidden="1" x14ac:dyDescent="0.25">
      <c r="A579" s="400"/>
      <c r="B579" s="398"/>
      <c r="C579" s="398"/>
      <c r="D579" s="405"/>
      <c r="E579" s="398"/>
      <c r="F579" s="395"/>
      <c r="G579" s="396"/>
      <c r="H579" s="399"/>
      <c r="I579" s="395" t="s">
        <v>228</v>
      </c>
      <c r="J579" s="397" t="s">
        <v>228</v>
      </c>
      <c r="K579" s="398"/>
      <c r="L579" s="404"/>
      <c r="M579" s="400"/>
    </row>
    <row r="580" spans="1:13" s="148" customFormat="1" hidden="1" x14ac:dyDescent="0.25">
      <c r="A580" s="400"/>
      <c r="B580" s="398"/>
      <c r="C580" s="398"/>
      <c r="D580" s="405"/>
      <c r="E580" s="398"/>
      <c r="F580" s="395"/>
      <c r="G580" s="396"/>
      <c r="H580" s="399"/>
      <c r="I580" s="395" t="s">
        <v>228</v>
      </c>
      <c r="J580" s="397" t="s">
        <v>228</v>
      </c>
      <c r="K580" s="398"/>
      <c r="L580" s="404"/>
      <c r="M580" s="400"/>
    </row>
    <row r="581" spans="1:13" s="148" customFormat="1" hidden="1" x14ac:dyDescent="0.25">
      <c r="A581" s="400"/>
      <c r="B581" s="398"/>
      <c r="C581" s="398"/>
      <c r="D581" s="405"/>
      <c r="E581" s="398"/>
      <c r="F581" s="395"/>
      <c r="G581" s="396"/>
      <c r="H581" s="399"/>
      <c r="I581" s="395" t="s">
        <v>228</v>
      </c>
      <c r="J581" s="397" t="s">
        <v>228</v>
      </c>
      <c r="K581" s="398"/>
      <c r="L581" s="404"/>
      <c r="M581" s="400"/>
    </row>
    <row r="582" spans="1:13" s="148" customFormat="1" hidden="1" x14ac:dyDescent="0.25">
      <c r="A582" s="400"/>
      <c r="B582" s="398"/>
      <c r="C582" s="398"/>
      <c r="D582" s="405"/>
      <c r="E582" s="398"/>
      <c r="F582" s="395"/>
      <c r="G582" s="396"/>
      <c r="H582" s="399"/>
      <c r="I582" s="395" t="s">
        <v>228</v>
      </c>
      <c r="J582" s="397" t="s">
        <v>228</v>
      </c>
      <c r="K582" s="398"/>
      <c r="L582" s="404"/>
      <c r="M582" s="400"/>
    </row>
    <row r="583" spans="1:13" s="148" customFormat="1" hidden="1" x14ac:dyDescent="0.25">
      <c r="A583" s="400"/>
      <c r="B583" s="398"/>
      <c r="C583" s="398"/>
      <c r="D583" s="405"/>
      <c r="E583" s="398"/>
      <c r="F583" s="395"/>
      <c r="G583" s="396"/>
      <c r="H583" s="399"/>
      <c r="I583" s="395" t="s">
        <v>228</v>
      </c>
      <c r="J583" s="397" t="s">
        <v>228</v>
      </c>
      <c r="K583" s="398"/>
      <c r="L583" s="404"/>
      <c r="M583" s="400"/>
    </row>
    <row r="584" spans="1:13" s="148" customFormat="1" hidden="1" x14ac:dyDescent="0.25">
      <c r="A584" s="400"/>
      <c r="B584" s="398"/>
      <c r="C584" s="398"/>
      <c r="D584" s="405"/>
      <c r="E584" s="398"/>
      <c r="F584" s="395"/>
      <c r="G584" s="396"/>
      <c r="H584" s="399"/>
      <c r="I584" s="395" t="s">
        <v>228</v>
      </c>
      <c r="J584" s="397" t="s">
        <v>228</v>
      </c>
      <c r="K584" s="398"/>
      <c r="L584" s="404"/>
      <c r="M584" s="400"/>
    </row>
    <row r="585" spans="1:13" s="148" customFormat="1" hidden="1" x14ac:dyDescent="0.25">
      <c r="A585" s="400"/>
      <c r="B585" s="398"/>
      <c r="C585" s="398"/>
      <c r="D585" s="405"/>
      <c r="E585" s="398"/>
      <c r="F585" s="395"/>
      <c r="G585" s="396"/>
      <c r="H585" s="399"/>
      <c r="I585" s="395" t="s">
        <v>228</v>
      </c>
      <c r="J585" s="397" t="s">
        <v>228</v>
      </c>
      <c r="K585" s="398"/>
      <c r="L585" s="404"/>
      <c r="M585" s="400"/>
    </row>
    <row r="586" spans="1:13" s="148" customFormat="1" hidden="1" x14ac:dyDescent="0.25">
      <c r="A586" s="400"/>
      <c r="B586" s="398"/>
      <c r="C586" s="398"/>
      <c r="D586" s="405"/>
      <c r="E586" s="398"/>
      <c r="F586" s="395"/>
      <c r="G586" s="396"/>
      <c r="H586" s="399"/>
      <c r="I586" s="395" t="s">
        <v>228</v>
      </c>
      <c r="J586" s="397" t="s">
        <v>228</v>
      </c>
      <c r="K586" s="398"/>
      <c r="L586" s="404"/>
      <c r="M586" s="400"/>
    </row>
    <row r="587" spans="1:13" s="148" customFormat="1" hidden="1" x14ac:dyDescent="0.25">
      <c r="A587" s="400"/>
      <c r="B587" s="398"/>
      <c r="C587" s="398"/>
      <c r="D587" s="405"/>
      <c r="E587" s="398"/>
      <c r="F587" s="395"/>
      <c r="G587" s="396"/>
      <c r="H587" s="399"/>
      <c r="I587" s="395" t="s">
        <v>228</v>
      </c>
      <c r="J587" s="397" t="s">
        <v>228</v>
      </c>
      <c r="K587" s="398"/>
      <c r="L587" s="404"/>
      <c r="M587" s="400"/>
    </row>
    <row r="588" spans="1:13" s="148" customFormat="1" hidden="1" x14ac:dyDescent="0.25">
      <c r="A588" s="400"/>
      <c r="B588" s="398"/>
      <c r="C588" s="398"/>
      <c r="D588" s="405"/>
      <c r="E588" s="398"/>
      <c r="F588" s="395"/>
      <c r="G588" s="396"/>
      <c r="H588" s="399"/>
      <c r="I588" s="395" t="s">
        <v>228</v>
      </c>
      <c r="J588" s="397" t="s">
        <v>228</v>
      </c>
      <c r="K588" s="398"/>
      <c r="L588" s="404"/>
      <c r="M588" s="400"/>
    </row>
    <row r="589" spans="1:13" s="148" customFormat="1" hidden="1" x14ac:dyDescent="0.25">
      <c r="A589" s="400"/>
      <c r="B589" s="398"/>
      <c r="C589" s="398"/>
      <c r="D589" s="405"/>
      <c r="E589" s="398"/>
      <c r="F589" s="395"/>
      <c r="G589" s="396"/>
      <c r="H589" s="399"/>
      <c r="I589" s="395" t="s">
        <v>228</v>
      </c>
      <c r="J589" s="397" t="s">
        <v>228</v>
      </c>
      <c r="K589" s="398"/>
      <c r="L589" s="404"/>
      <c r="M589" s="400"/>
    </row>
    <row r="590" spans="1:13" s="148" customFormat="1" hidden="1" x14ac:dyDescent="0.25">
      <c r="A590" s="400"/>
      <c r="B590" s="398"/>
      <c r="C590" s="398"/>
      <c r="D590" s="405"/>
      <c r="E590" s="398"/>
      <c r="F590" s="395"/>
      <c r="G590" s="396"/>
      <c r="H590" s="399"/>
      <c r="I590" s="395" t="s">
        <v>228</v>
      </c>
      <c r="J590" s="397" t="s">
        <v>228</v>
      </c>
      <c r="K590" s="398"/>
      <c r="L590" s="404"/>
      <c r="M590" s="400"/>
    </row>
    <row r="591" spans="1:13" s="148" customFormat="1" hidden="1" x14ac:dyDescent="0.25">
      <c r="A591" s="400"/>
      <c r="B591" s="398"/>
      <c r="C591" s="398"/>
      <c r="D591" s="405"/>
      <c r="E591" s="398"/>
      <c r="F591" s="395"/>
      <c r="G591" s="396"/>
      <c r="H591" s="399"/>
      <c r="I591" s="395" t="s">
        <v>228</v>
      </c>
      <c r="J591" s="397" t="s">
        <v>228</v>
      </c>
      <c r="K591" s="398"/>
      <c r="L591" s="404"/>
      <c r="M591" s="400"/>
    </row>
    <row r="592" spans="1:13" s="148" customFormat="1" hidden="1" x14ac:dyDescent="0.25">
      <c r="A592" s="400"/>
      <c r="B592" s="398"/>
      <c r="C592" s="398"/>
      <c r="D592" s="405"/>
      <c r="E592" s="398"/>
      <c r="F592" s="395"/>
      <c r="G592" s="396"/>
      <c r="H592" s="399"/>
      <c r="I592" s="395" t="s">
        <v>228</v>
      </c>
      <c r="J592" s="397" t="s">
        <v>228</v>
      </c>
      <c r="K592" s="398"/>
      <c r="L592" s="404"/>
      <c r="M592" s="400"/>
    </row>
    <row r="593" spans="1:13" s="148" customFormat="1" hidden="1" x14ac:dyDescent="0.25">
      <c r="A593" s="400"/>
      <c r="B593" s="398"/>
      <c r="C593" s="398"/>
      <c r="D593" s="405"/>
      <c r="E593" s="398"/>
      <c r="F593" s="395"/>
      <c r="G593" s="396"/>
      <c r="H593" s="399"/>
      <c r="I593" s="395" t="s">
        <v>228</v>
      </c>
      <c r="J593" s="397" t="s">
        <v>228</v>
      </c>
      <c r="K593" s="398"/>
      <c r="L593" s="404"/>
      <c r="M593" s="400"/>
    </row>
    <row r="594" spans="1:13" s="148" customFormat="1" hidden="1" x14ac:dyDescent="0.25">
      <c r="A594" s="400"/>
      <c r="B594" s="398"/>
      <c r="C594" s="398"/>
      <c r="D594" s="405"/>
      <c r="E594" s="398"/>
      <c r="F594" s="395"/>
      <c r="G594" s="396"/>
      <c r="H594" s="399"/>
      <c r="I594" s="395" t="s">
        <v>228</v>
      </c>
      <c r="J594" s="397" t="s">
        <v>228</v>
      </c>
      <c r="K594" s="398"/>
      <c r="L594" s="404"/>
      <c r="M594" s="400"/>
    </row>
    <row r="595" spans="1:13" s="148" customFormat="1" hidden="1" x14ac:dyDescent="0.25">
      <c r="A595" s="400"/>
      <c r="B595" s="398"/>
      <c r="C595" s="398"/>
      <c r="D595" s="405"/>
      <c r="E595" s="398"/>
      <c r="F595" s="395"/>
      <c r="G595" s="396"/>
      <c r="H595" s="399"/>
      <c r="I595" s="395" t="s">
        <v>228</v>
      </c>
      <c r="J595" s="397" t="s">
        <v>228</v>
      </c>
      <c r="K595" s="398"/>
      <c r="L595" s="404"/>
      <c r="M595" s="400"/>
    </row>
    <row r="596" spans="1:13" s="148" customFormat="1" hidden="1" x14ac:dyDescent="0.25">
      <c r="A596" s="400"/>
      <c r="B596" s="398"/>
      <c r="C596" s="398"/>
      <c r="D596" s="405"/>
      <c r="E596" s="398"/>
      <c r="F596" s="395"/>
      <c r="G596" s="396"/>
      <c r="H596" s="399"/>
      <c r="I596" s="395" t="s">
        <v>228</v>
      </c>
      <c r="J596" s="397" t="s">
        <v>228</v>
      </c>
      <c r="K596" s="398"/>
      <c r="L596" s="404"/>
      <c r="M596" s="400"/>
    </row>
    <row r="597" spans="1:13" s="148" customFormat="1" hidden="1" x14ac:dyDescent="0.25">
      <c r="A597" s="400"/>
      <c r="B597" s="398"/>
      <c r="C597" s="398"/>
      <c r="D597" s="405"/>
      <c r="E597" s="398"/>
      <c r="F597" s="395"/>
      <c r="G597" s="396"/>
      <c r="H597" s="399"/>
      <c r="I597" s="395" t="s">
        <v>228</v>
      </c>
      <c r="J597" s="397" t="s">
        <v>228</v>
      </c>
      <c r="K597" s="398"/>
      <c r="L597" s="404"/>
      <c r="M597" s="400"/>
    </row>
    <row r="598" spans="1:13" s="148" customFormat="1" hidden="1" x14ac:dyDescent="0.25">
      <c r="A598" s="400"/>
      <c r="B598" s="398"/>
      <c r="C598" s="398"/>
      <c r="D598" s="405"/>
      <c r="E598" s="398"/>
      <c r="F598" s="395"/>
      <c r="G598" s="396"/>
      <c r="H598" s="399"/>
      <c r="I598" s="395" t="s">
        <v>228</v>
      </c>
      <c r="J598" s="397" t="s">
        <v>228</v>
      </c>
      <c r="K598" s="398"/>
      <c r="L598" s="404"/>
      <c r="M598" s="400"/>
    </row>
    <row r="599" spans="1:13" s="148" customFormat="1" hidden="1" x14ac:dyDescent="0.25">
      <c r="A599" s="400"/>
      <c r="B599" s="398"/>
      <c r="C599" s="398"/>
      <c r="D599" s="405"/>
      <c r="E599" s="398"/>
      <c r="F599" s="395"/>
      <c r="G599" s="396"/>
      <c r="H599" s="399"/>
      <c r="I599" s="395" t="s">
        <v>228</v>
      </c>
      <c r="J599" s="397" t="s">
        <v>228</v>
      </c>
      <c r="K599" s="398"/>
      <c r="L599" s="404"/>
      <c r="M599" s="400"/>
    </row>
    <row r="600" spans="1:13" s="148" customFormat="1" hidden="1" x14ac:dyDescent="0.25">
      <c r="A600" s="400"/>
      <c r="B600" s="398"/>
      <c r="C600" s="398"/>
      <c r="D600" s="405"/>
      <c r="E600" s="398"/>
      <c r="F600" s="395"/>
      <c r="G600" s="396"/>
      <c r="H600" s="399"/>
      <c r="I600" s="395" t="s">
        <v>228</v>
      </c>
      <c r="J600" s="397" t="s">
        <v>228</v>
      </c>
      <c r="K600" s="398"/>
      <c r="L600" s="404"/>
      <c r="M600" s="400"/>
    </row>
    <row r="601" spans="1:13" s="148" customFormat="1" hidden="1" x14ac:dyDescent="0.25">
      <c r="A601" s="400"/>
      <c r="B601" s="398"/>
      <c r="C601" s="398"/>
      <c r="D601" s="405"/>
      <c r="E601" s="398"/>
      <c r="F601" s="395"/>
      <c r="G601" s="396"/>
      <c r="H601" s="399"/>
      <c r="I601" s="395" t="s">
        <v>228</v>
      </c>
      <c r="J601" s="397" t="s">
        <v>228</v>
      </c>
      <c r="K601" s="398"/>
      <c r="L601" s="404"/>
      <c r="M601" s="400"/>
    </row>
    <row r="602" spans="1:13" s="148" customFormat="1" hidden="1" x14ac:dyDescent="0.25">
      <c r="A602" s="400"/>
      <c r="B602" s="398"/>
      <c r="C602" s="398"/>
      <c r="D602" s="405"/>
      <c r="E602" s="398"/>
      <c r="F602" s="395"/>
      <c r="G602" s="396"/>
      <c r="H602" s="399"/>
      <c r="I602" s="395" t="s">
        <v>228</v>
      </c>
      <c r="J602" s="397" t="s">
        <v>228</v>
      </c>
      <c r="K602" s="398"/>
      <c r="L602" s="404"/>
      <c r="M602" s="400"/>
    </row>
    <row r="603" spans="1:13" s="148" customFormat="1" hidden="1" x14ac:dyDescent="0.25">
      <c r="A603" s="400"/>
      <c r="B603" s="398"/>
      <c r="C603" s="398"/>
      <c r="D603" s="405"/>
      <c r="E603" s="398"/>
      <c r="F603" s="395"/>
      <c r="G603" s="396"/>
      <c r="H603" s="399"/>
      <c r="I603" s="395" t="s">
        <v>228</v>
      </c>
      <c r="J603" s="397" t="s">
        <v>228</v>
      </c>
      <c r="K603" s="398"/>
      <c r="L603" s="404"/>
      <c r="M603" s="400"/>
    </row>
    <row r="604" spans="1:13" s="148" customFormat="1" hidden="1" x14ac:dyDescent="0.25">
      <c r="A604" s="400"/>
      <c r="B604" s="398"/>
      <c r="C604" s="398"/>
      <c r="D604" s="405"/>
      <c r="E604" s="398"/>
      <c r="F604" s="395"/>
      <c r="G604" s="396"/>
      <c r="H604" s="399"/>
      <c r="I604" s="395" t="s">
        <v>228</v>
      </c>
      <c r="J604" s="397" t="s">
        <v>228</v>
      </c>
      <c r="K604" s="398"/>
      <c r="L604" s="404"/>
      <c r="M604" s="400"/>
    </row>
    <row r="605" spans="1:13" s="148" customFormat="1" hidden="1" x14ac:dyDescent="0.25">
      <c r="A605" s="400"/>
      <c r="B605" s="398"/>
      <c r="C605" s="398"/>
      <c r="D605" s="405"/>
      <c r="E605" s="398"/>
      <c r="F605" s="395"/>
      <c r="G605" s="396"/>
      <c r="H605" s="399"/>
      <c r="I605" s="395" t="s">
        <v>228</v>
      </c>
      <c r="J605" s="397" t="s">
        <v>228</v>
      </c>
      <c r="K605" s="398"/>
      <c r="L605" s="404"/>
      <c r="M605" s="400"/>
    </row>
    <row r="606" spans="1:13" s="148" customFormat="1" hidden="1" x14ac:dyDescent="0.25">
      <c r="A606" s="400"/>
      <c r="B606" s="398"/>
      <c r="C606" s="398"/>
      <c r="D606" s="405"/>
      <c r="E606" s="398"/>
      <c r="F606" s="395"/>
      <c r="G606" s="396"/>
      <c r="H606" s="399"/>
      <c r="I606" s="395" t="s">
        <v>228</v>
      </c>
      <c r="J606" s="397" t="s">
        <v>228</v>
      </c>
      <c r="K606" s="398"/>
      <c r="L606" s="404"/>
      <c r="M606" s="400"/>
    </row>
    <row r="607" spans="1:13" s="148" customFormat="1" hidden="1" x14ac:dyDescent="0.25">
      <c r="A607" s="400"/>
      <c r="B607" s="398"/>
      <c r="C607" s="398"/>
      <c r="D607" s="405"/>
      <c r="E607" s="398"/>
      <c r="F607" s="395"/>
      <c r="G607" s="396"/>
      <c r="H607" s="399"/>
      <c r="I607" s="395" t="s">
        <v>228</v>
      </c>
      <c r="J607" s="397" t="s">
        <v>228</v>
      </c>
      <c r="K607" s="398"/>
      <c r="L607" s="404"/>
      <c r="M607" s="400"/>
    </row>
    <row r="608" spans="1:13" s="148" customFormat="1" hidden="1" x14ac:dyDescent="0.25">
      <c r="A608" s="400"/>
      <c r="B608" s="398"/>
      <c r="C608" s="398"/>
      <c r="D608" s="405"/>
      <c r="E608" s="398"/>
      <c r="F608" s="395"/>
      <c r="G608" s="396"/>
      <c r="H608" s="399"/>
      <c r="I608" s="395" t="s">
        <v>228</v>
      </c>
      <c r="J608" s="397" t="s">
        <v>228</v>
      </c>
      <c r="K608" s="398"/>
      <c r="L608" s="404"/>
      <c r="M608" s="400"/>
    </row>
    <row r="609" spans="1:13" s="148" customFormat="1" hidden="1" x14ac:dyDescent="0.25">
      <c r="A609" s="400"/>
      <c r="B609" s="398"/>
      <c r="C609" s="398"/>
      <c r="D609" s="405"/>
      <c r="E609" s="398"/>
      <c r="F609" s="395"/>
      <c r="G609" s="396"/>
      <c r="H609" s="399"/>
      <c r="I609" s="395" t="s">
        <v>228</v>
      </c>
      <c r="J609" s="397" t="s">
        <v>228</v>
      </c>
      <c r="K609" s="398"/>
      <c r="L609" s="404"/>
      <c r="M609" s="400"/>
    </row>
    <row r="610" spans="1:13" s="148" customFormat="1" hidden="1" x14ac:dyDescent="0.25">
      <c r="A610" s="400"/>
      <c r="B610" s="398"/>
      <c r="C610" s="398"/>
      <c r="D610" s="405"/>
      <c r="E610" s="398"/>
      <c r="F610" s="395"/>
      <c r="G610" s="396"/>
      <c r="H610" s="399"/>
      <c r="I610" s="395" t="s">
        <v>228</v>
      </c>
      <c r="J610" s="397" t="s">
        <v>228</v>
      </c>
      <c r="K610" s="398"/>
      <c r="L610" s="404"/>
      <c r="M610" s="400"/>
    </row>
    <row r="611" spans="1:13" s="148" customFormat="1" hidden="1" x14ac:dyDescent="0.25">
      <c r="A611" s="400"/>
      <c r="B611" s="398"/>
      <c r="C611" s="398"/>
      <c r="D611" s="405"/>
      <c r="E611" s="398"/>
      <c r="F611" s="395"/>
      <c r="G611" s="396"/>
      <c r="H611" s="399"/>
      <c r="I611" s="395" t="s">
        <v>228</v>
      </c>
      <c r="J611" s="397" t="s">
        <v>228</v>
      </c>
      <c r="K611" s="398"/>
      <c r="L611" s="404"/>
      <c r="M611" s="400"/>
    </row>
    <row r="612" spans="1:13" s="148" customFormat="1" hidden="1" x14ac:dyDescent="0.25">
      <c r="A612" s="400"/>
      <c r="B612" s="398"/>
      <c r="C612" s="398"/>
      <c r="D612" s="405"/>
      <c r="E612" s="398"/>
      <c r="F612" s="395"/>
      <c r="G612" s="396"/>
      <c r="H612" s="399"/>
      <c r="I612" s="395" t="s">
        <v>228</v>
      </c>
      <c r="J612" s="397" t="s">
        <v>228</v>
      </c>
      <c r="K612" s="398"/>
      <c r="L612" s="404"/>
      <c r="M612" s="400"/>
    </row>
    <row r="613" spans="1:13" s="148" customFormat="1" hidden="1" x14ac:dyDescent="0.25">
      <c r="A613" s="400"/>
      <c r="B613" s="398"/>
      <c r="C613" s="398"/>
      <c r="D613" s="405"/>
      <c r="E613" s="398"/>
      <c r="F613" s="395"/>
      <c r="G613" s="396"/>
      <c r="H613" s="399"/>
      <c r="I613" s="395" t="s">
        <v>228</v>
      </c>
      <c r="J613" s="397" t="s">
        <v>228</v>
      </c>
      <c r="K613" s="398"/>
      <c r="L613" s="404"/>
      <c r="M613" s="400"/>
    </row>
    <row r="614" spans="1:13" s="148" customFormat="1" hidden="1" x14ac:dyDescent="0.25">
      <c r="A614" s="400"/>
      <c r="B614" s="398"/>
      <c r="C614" s="398"/>
      <c r="D614" s="405"/>
      <c r="E614" s="398"/>
      <c r="F614" s="395"/>
      <c r="G614" s="396"/>
      <c r="H614" s="399"/>
      <c r="I614" s="395" t="s">
        <v>228</v>
      </c>
      <c r="J614" s="397" t="s">
        <v>228</v>
      </c>
      <c r="K614" s="398"/>
      <c r="L614" s="404"/>
      <c r="M614" s="400"/>
    </row>
    <row r="615" spans="1:13" s="148" customFormat="1" hidden="1" x14ac:dyDescent="0.25">
      <c r="A615" s="400"/>
      <c r="B615" s="398"/>
      <c r="C615" s="398"/>
      <c r="D615" s="405"/>
      <c r="E615" s="398"/>
      <c r="F615" s="395"/>
      <c r="G615" s="396"/>
      <c r="H615" s="399"/>
      <c r="I615" s="395" t="s">
        <v>228</v>
      </c>
      <c r="J615" s="397" t="s">
        <v>228</v>
      </c>
      <c r="K615" s="398"/>
      <c r="L615" s="404"/>
      <c r="M615" s="400"/>
    </row>
    <row r="616" spans="1:13" s="148" customFormat="1" hidden="1" x14ac:dyDescent="0.25">
      <c r="A616" s="400"/>
      <c r="B616" s="398"/>
      <c r="C616" s="398"/>
      <c r="D616" s="405"/>
      <c r="E616" s="398"/>
      <c r="F616" s="395"/>
      <c r="G616" s="396"/>
      <c r="H616" s="399"/>
      <c r="I616" s="395" t="s">
        <v>228</v>
      </c>
      <c r="J616" s="397" t="s">
        <v>228</v>
      </c>
      <c r="K616" s="398"/>
      <c r="L616" s="404"/>
      <c r="M616" s="400"/>
    </row>
    <row r="617" spans="1:13" s="148" customFormat="1" hidden="1" x14ac:dyDescent="0.25">
      <c r="A617" s="400"/>
      <c r="B617" s="398"/>
      <c r="C617" s="398"/>
      <c r="D617" s="405"/>
      <c r="E617" s="398"/>
      <c r="F617" s="395"/>
      <c r="G617" s="396"/>
      <c r="H617" s="399"/>
      <c r="I617" s="395" t="s">
        <v>228</v>
      </c>
      <c r="J617" s="397" t="s">
        <v>228</v>
      </c>
      <c r="K617" s="398"/>
      <c r="L617" s="404"/>
      <c r="M617" s="400"/>
    </row>
    <row r="618" spans="1:13" s="148" customFormat="1" hidden="1" x14ac:dyDescent="0.25">
      <c r="A618" s="400"/>
      <c r="B618" s="398"/>
      <c r="C618" s="398"/>
      <c r="D618" s="405"/>
      <c r="E618" s="398"/>
      <c r="F618" s="395"/>
      <c r="G618" s="396"/>
      <c r="H618" s="399"/>
      <c r="I618" s="395" t="s">
        <v>228</v>
      </c>
      <c r="J618" s="397" t="s">
        <v>228</v>
      </c>
      <c r="K618" s="398"/>
      <c r="L618" s="404"/>
      <c r="M618" s="400"/>
    </row>
    <row r="619" spans="1:13" s="148" customFormat="1" hidden="1" x14ac:dyDescent="0.25">
      <c r="A619" s="400"/>
      <c r="B619" s="398"/>
      <c r="C619" s="398"/>
      <c r="D619" s="405"/>
      <c r="E619" s="398"/>
      <c r="F619" s="395"/>
      <c r="G619" s="396"/>
      <c r="H619" s="399"/>
      <c r="I619" s="395" t="s">
        <v>228</v>
      </c>
      <c r="J619" s="397" t="s">
        <v>228</v>
      </c>
      <c r="K619" s="398"/>
      <c r="L619" s="404"/>
      <c r="M619" s="400"/>
    </row>
    <row r="620" spans="1:13" s="148" customFormat="1" hidden="1" x14ac:dyDescent="0.25">
      <c r="A620" s="400"/>
      <c r="B620" s="398"/>
      <c r="C620" s="398"/>
      <c r="D620" s="405"/>
      <c r="E620" s="398"/>
      <c r="F620" s="395"/>
      <c r="G620" s="396"/>
      <c r="H620" s="399"/>
      <c r="I620" s="395" t="s">
        <v>228</v>
      </c>
      <c r="J620" s="397" t="s">
        <v>228</v>
      </c>
      <c r="K620" s="398"/>
      <c r="L620" s="404"/>
      <c r="M620" s="400"/>
    </row>
    <row r="621" spans="1:13" s="148" customFormat="1" hidden="1" x14ac:dyDescent="0.25">
      <c r="A621" s="400"/>
      <c r="B621" s="398"/>
      <c r="C621" s="398"/>
      <c r="D621" s="405"/>
      <c r="E621" s="398"/>
      <c r="F621" s="395"/>
      <c r="G621" s="396"/>
      <c r="H621" s="399"/>
      <c r="I621" s="395" t="s">
        <v>228</v>
      </c>
      <c r="J621" s="397" t="s">
        <v>228</v>
      </c>
      <c r="K621" s="398"/>
      <c r="L621" s="404"/>
      <c r="M621" s="400"/>
    </row>
    <row r="622" spans="1:13" s="148" customFormat="1" hidden="1" x14ac:dyDescent="0.25">
      <c r="A622" s="400"/>
      <c r="B622" s="398"/>
      <c r="C622" s="398"/>
      <c r="D622" s="405"/>
      <c r="E622" s="398"/>
      <c r="F622" s="395"/>
      <c r="G622" s="396"/>
      <c r="H622" s="399"/>
      <c r="I622" s="395" t="s">
        <v>228</v>
      </c>
      <c r="J622" s="397" t="s">
        <v>228</v>
      </c>
      <c r="K622" s="398"/>
      <c r="L622" s="404"/>
      <c r="M622" s="400"/>
    </row>
    <row r="623" spans="1:13" s="148" customFormat="1" hidden="1" x14ac:dyDescent="0.25">
      <c r="A623" s="400"/>
      <c r="B623" s="398"/>
      <c r="C623" s="398"/>
      <c r="D623" s="405"/>
      <c r="E623" s="398"/>
      <c r="F623" s="395"/>
      <c r="G623" s="396"/>
      <c r="H623" s="399"/>
      <c r="I623" s="395" t="s">
        <v>228</v>
      </c>
      <c r="J623" s="397" t="s">
        <v>228</v>
      </c>
      <c r="K623" s="398"/>
      <c r="L623" s="404"/>
      <c r="M623" s="400"/>
    </row>
    <row r="624" spans="1:13" s="148" customFormat="1" hidden="1" x14ac:dyDescent="0.25">
      <c r="A624" s="400"/>
      <c r="B624" s="398"/>
      <c r="C624" s="398"/>
      <c r="D624" s="405"/>
      <c r="E624" s="398"/>
      <c r="F624" s="395"/>
      <c r="G624" s="396"/>
      <c r="H624" s="399"/>
      <c r="I624" s="395" t="s">
        <v>228</v>
      </c>
      <c r="J624" s="397" t="s">
        <v>228</v>
      </c>
      <c r="K624" s="398"/>
      <c r="L624" s="404"/>
      <c r="M624" s="400"/>
    </row>
    <row r="625" spans="1:13" s="148" customFormat="1" hidden="1" x14ac:dyDescent="0.25">
      <c r="A625" s="400"/>
      <c r="B625" s="398"/>
      <c r="C625" s="398"/>
      <c r="D625" s="405"/>
      <c r="E625" s="398"/>
      <c r="F625" s="395"/>
      <c r="G625" s="396"/>
      <c r="H625" s="399"/>
      <c r="I625" s="395" t="s">
        <v>228</v>
      </c>
      <c r="J625" s="397" t="s">
        <v>228</v>
      </c>
      <c r="K625" s="398"/>
      <c r="L625" s="404"/>
      <c r="M625" s="400"/>
    </row>
    <row r="626" spans="1:13" s="148" customFormat="1" hidden="1" x14ac:dyDescent="0.25">
      <c r="A626" s="400"/>
      <c r="B626" s="398"/>
      <c r="C626" s="398"/>
      <c r="D626" s="405"/>
      <c r="E626" s="398"/>
      <c r="F626" s="395"/>
      <c r="G626" s="396"/>
      <c r="H626" s="399"/>
      <c r="I626" s="395" t="s">
        <v>228</v>
      </c>
      <c r="J626" s="397" t="s">
        <v>228</v>
      </c>
      <c r="K626" s="398"/>
      <c r="L626" s="404"/>
      <c r="M626" s="400"/>
    </row>
    <row r="627" spans="1:13" s="148" customFormat="1" hidden="1" x14ac:dyDescent="0.25">
      <c r="A627" s="400"/>
      <c r="B627" s="398"/>
      <c r="C627" s="398"/>
      <c r="D627" s="405"/>
      <c r="E627" s="398"/>
      <c r="F627" s="395"/>
      <c r="G627" s="396"/>
      <c r="H627" s="399"/>
      <c r="I627" s="395" t="s">
        <v>228</v>
      </c>
      <c r="J627" s="397" t="s">
        <v>228</v>
      </c>
      <c r="K627" s="398"/>
      <c r="L627" s="404"/>
      <c r="M627" s="400"/>
    </row>
    <row r="628" spans="1:13" s="148" customFormat="1" hidden="1" x14ac:dyDescent="0.25">
      <c r="A628" s="400"/>
      <c r="B628" s="398"/>
      <c r="C628" s="398"/>
      <c r="D628" s="405"/>
      <c r="E628" s="398"/>
      <c r="F628" s="395"/>
      <c r="G628" s="396"/>
      <c r="H628" s="399"/>
      <c r="I628" s="395" t="s">
        <v>228</v>
      </c>
      <c r="J628" s="397" t="s">
        <v>228</v>
      </c>
      <c r="K628" s="398"/>
      <c r="L628" s="404"/>
      <c r="M628" s="400"/>
    </row>
    <row r="629" spans="1:13" s="148" customFormat="1" hidden="1" x14ac:dyDescent="0.25">
      <c r="A629" s="400"/>
      <c r="B629" s="398"/>
      <c r="C629" s="398"/>
      <c r="D629" s="405"/>
      <c r="E629" s="398"/>
      <c r="F629" s="395"/>
      <c r="G629" s="396"/>
      <c r="H629" s="399"/>
      <c r="I629" s="395" t="s">
        <v>228</v>
      </c>
      <c r="J629" s="397" t="s">
        <v>228</v>
      </c>
      <c r="K629" s="398"/>
      <c r="L629" s="404"/>
      <c r="M629" s="400"/>
    </row>
    <row r="630" spans="1:13" s="148" customFormat="1" hidden="1" x14ac:dyDescent="0.25">
      <c r="A630" s="400"/>
      <c r="B630" s="398"/>
      <c r="C630" s="398"/>
      <c r="D630" s="405"/>
      <c r="E630" s="398"/>
      <c r="F630" s="395"/>
      <c r="G630" s="396"/>
      <c r="H630" s="399"/>
      <c r="I630" s="395" t="s">
        <v>228</v>
      </c>
      <c r="J630" s="397" t="s">
        <v>228</v>
      </c>
      <c r="K630" s="398"/>
      <c r="L630" s="404"/>
      <c r="M630" s="400"/>
    </row>
    <row r="631" spans="1:13" s="148" customFormat="1" hidden="1" x14ac:dyDescent="0.25">
      <c r="A631" s="400"/>
      <c r="B631" s="398"/>
      <c r="C631" s="398"/>
      <c r="D631" s="405"/>
      <c r="E631" s="398"/>
      <c r="F631" s="395"/>
      <c r="G631" s="396"/>
      <c r="H631" s="399"/>
      <c r="I631" s="395" t="s">
        <v>228</v>
      </c>
      <c r="J631" s="397" t="s">
        <v>228</v>
      </c>
      <c r="K631" s="398"/>
      <c r="L631" s="404"/>
      <c r="M631" s="400"/>
    </row>
    <row r="632" spans="1:13" s="148" customFormat="1" hidden="1" x14ac:dyDescent="0.25">
      <c r="A632" s="400"/>
      <c r="B632" s="398"/>
      <c r="C632" s="398"/>
      <c r="D632" s="405"/>
      <c r="E632" s="398"/>
      <c r="F632" s="395"/>
      <c r="G632" s="396"/>
      <c r="H632" s="399"/>
      <c r="I632" s="395" t="s">
        <v>228</v>
      </c>
      <c r="J632" s="397" t="s">
        <v>228</v>
      </c>
      <c r="K632" s="398"/>
      <c r="L632" s="404"/>
      <c r="M632" s="400"/>
    </row>
    <row r="633" spans="1:13" s="148" customFormat="1" hidden="1" x14ac:dyDescent="0.25">
      <c r="A633" s="400"/>
      <c r="B633" s="398"/>
      <c r="C633" s="398"/>
      <c r="D633" s="405"/>
      <c r="E633" s="398"/>
      <c r="F633" s="395"/>
      <c r="G633" s="396"/>
      <c r="H633" s="399"/>
      <c r="I633" s="395" t="s">
        <v>228</v>
      </c>
      <c r="J633" s="397" t="s">
        <v>228</v>
      </c>
      <c r="K633" s="398"/>
      <c r="L633" s="404"/>
      <c r="M633" s="400"/>
    </row>
    <row r="634" spans="1:13" s="148" customFormat="1" hidden="1" x14ac:dyDescent="0.25">
      <c r="A634" s="400"/>
      <c r="B634" s="398"/>
      <c r="C634" s="398"/>
      <c r="D634" s="405"/>
      <c r="E634" s="398"/>
      <c r="F634" s="395"/>
      <c r="G634" s="396"/>
      <c r="H634" s="399"/>
      <c r="I634" s="395" t="s">
        <v>228</v>
      </c>
      <c r="J634" s="397" t="s">
        <v>228</v>
      </c>
      <c r="K634" s="398"/>
      <c r="L634" s="404"/>
      <c r="M634" s="400"/>
    </row>
    <row r="635" spans="1:13" s="148" customFormat="1" hidden="1" x14ac:dyDescent="0.25">
      <c r="A635" s="400"/>
      <c r="B635" s="398"/>
      <c r="C635" s="398"/>
      <c r="D635" s="405"/>
      <c r="E635" s="398"/>
      <c r="F635" s="395"/>
      <c r="G635" s="396"/>
      <c r="H635" s="399"/>
      <c r="I635" s="395" t="s">
        <v>228</v>
      </c>
      <c r="J635" s="397" t="s">
        <v>228</v>
      </c>
      <c r="K635" s="398"/>
      <c r="L635" s="404"/>
      <c r="M635" s="400"/>
    </row>
    <row r="636" spans="1:13" s="148" customFormat="1" hidden="1" x14ac:dyDescent="0.25">
      <c r="A636" s="400"/>
      <c r="B636" s="398"/>
      <c r="C636" s="398"/>
      <c r="D636" s="405"/>
      <c r="E636" s="398"/>
      <c r="F636" s="395"/>
      <c r="G636" s="396"/>
      <c r="H636" s="399"/>
      <c r="I636" s="395" t="s">
        <v>228</v>
      </c>
      <c r="J636" s="397" t="s">
        <v>228</v>
      </c>
      <c r="K636" s="398"/>
      <c r="L636" s="404"/>
      <c r="M636" s="400"/>
    </row>
    <row r="637" spans="1:13" s="148" customFormat="1" hidden="1" x14ac:dyDescent="0.25">
      <c r="A637" s="400"/>
      <c r="B637" s="398"/>
      <c r="C637" s="398"/>
      <c r="D637" s="405"/>
      <c r="E637" s="398"/>
      <c r="F637" s="395"/>
      <c r="G637" s="396"/>
      <c r="H637" s="399"/>
      <c r="I637" s="395" t="s">
        <v>228</v>
      </c>
      <c r="J637" s="397" t="s">
        <v>228</v>
      </c>
      <c r="K637" s="398"/>
      <c r="L637" s="404"/>
      <c r="M637" s="400"/>
    </row>
    <row r="638" spans="1:13" s="148" customFormat="1" hidden="1" x14ac:dyDescent="0.25">
      <c r="A638" s="400"/>
      <c r="B638" s="398"/>
      <c r="C638" s="398"/>
      <c r="D638" s="405"/>
      <c r="E638" s="398"/>
      <c r="F638" s="395"/>
      <c r="G638" s="396"/>
      <c r="H638" s="399"/>
      <c r="I638" s="395" t="s">
        <v>228</v>
      </c>
      <c r="J638" s="397" t="s">
        <v>228</v>
      </c>
      <c r="K638" s="398"/>
      <c r="L638" s="404"/>
      <c r="M638" s="400"/>
    </row>
    <row r="639" spans="1:13" s="148" customFormat="1" hidden="1" x14ac:dyDescent="0.25">
      <c r="A639" s="400"/>
      <c r="B639" s="398"/>
      <c r="C639" s="398"/>
      <c r="D639" s="405"/>
      <c r="E639" s="398"/>
      <c r="F639" s="395"/>
      <c r="G639" s="396"/>
      <c r="H639" s="399"/>
      <c r="I639" s="395" t="s">
        <v>228</v>
      </c>
      <c r="J639" s="397" t="s">
        <v>228</v>
      </c>
      <c r="K639" s="398"/>
      <c r="L639" s="404"/>
      <c r="M639" s="400"/>
    </row>
    <row r="640" spans="1:13" s="148" customFormat="1" hidden="1" x14ac:dyDescent="0.25">
      <c r="A640" s="400"/>
      <c r="B640" s="398"/>
      <c r="C640" s="398"/>
      <c r="D640" s="405"/>
      <c r="E640" s="398"/>
      <c r="F640" s="395"/>
      <c r="G640" s="396"/>
      <c r="H640" s="399"/>
      <c r="I640" s="395" t="s">
        <v>228</v>
      </c>
      <c r="J640" s="397" t="s">
        <v>228</v>
      </c>
      <c r="K640" s="398"/>
      <c r="L640" s="404"/>
      <c r="M640" s="400"/>
    </row>
    <row r="641" spans="1:13" s="148" customFormat="1" hidden="1" x14ac:dyDescent="0.25">
      <c r="A641" s="400"/>
      <c r="B641" s="398"/>
      <c r="C641" s="398"/>
      <c r="D641" s="405"/>
      <c r="E641" s="398"/>
      <c r="F641" s="395"/>
      <c r="G641" s="396"/>
      <c r="H641" s="399"/>
      <c r="I641" s="395" t="s">
        <v>228</v>
      </c>
      <c r="J641" s="397" t="s">
        <v>228</v>
      </c>
      <c r="K641" s="398"/>
      <c r="L641" s="404"/>
      <c r="M641" s="400"/>
    </row>
    <row r="642" spans="1:13" s="148" customFormat="1" hidden="1" x14ac:dyDescent="0.25">
      <c r="A642" s="400"/>
      <c r="B642" s="398"/>
      <c r="C642" s="398"/>
      <c r="D642" s="405"/>
      <c r="E642" s="398"/>
      <c r="F642" s="395"/>
      <c r="G642" s="396"/>
      <c r="H642" s="399"/>
      <c r="I642" s="395" t="s">
        <v>228</v>
      </c>
      <c r="J642" s="397" t="s">
        <v>228</v>
      </c>
      <c r="K642" s="398"/>
      <c r="L642" s="404"/>
      <c r="M642" s="400"/>
    </row>
    <row r="643" spans="1:13" s="148" customFormat="1" hidden="1" x14ac:dyDescent="0.25">
      <c r="A643" s="400"/>
      <c r="B643" s="398"/>
      <c r="C643" s="398"/>
      <c r="D643" s="405"/>
      <c r="E643" s="398"/>
      <c r="F643" s="395"/>
      <c r="G643" s="396"/>
      <c r="H643" s="399"/>
      <c r="I643" s="395" t="s">
        <v>228</v>
      </c>
      <c r="J643" s="397" t="s">
        <v>228</v>
      </c>
      <c r="K643" s="398"/>
      <c r="L643" s="404"/>
      <c r="M643" s="400"/>
    </row>
    <row r="644" spans="1:13" s="148" customFormat="1" hidden="1" x14ac:dyDescent="0.25">
      <c r="A644" s="400"/>
      <c r="B644" s="398"/>
      <c r="C644" s="398"/>
      <c r="D644" s="405"/>
      <c r="E644" s="398"/>
      <c r="F644" s="395"/>
      <c r="G644" s="396"/>
      <c r="H644" s="399"/>
      <c r="I644" s="395" t="s">
        <v>228</v>
      </c>
      <c r="J644" s="397" t="s">
        <v>228</v>
      </c>
      <c r="K644" s="398"/>
      <c r="L644" s="404"/>
      <c r="M644" s="400"/>
    </row>
    <row r="645" spans="1:13" s="148" customFormat="1" hidden="1" x14ac:dyDescent="0.25">
      <c r="A645" s="400"/>
      <c r="B645" s="398"/>
      <c r="C645" s="398"/>
      <c r="D645" s="405"/>
      <c r="E645" s="398"/>
      <c r="F645" s="395"/>
      <c r="G645" s="396"/>
      <c r="H645" s="399"/>
      <c r="I645" s="395" t="s">
        <v>228</v>
      </c>
      <c r="J645" s="397" t="s">
        <v>228</v>
      </c>
      <c r="K645" s="398"/>
      <c r="L645" s="404"/>
      <c r="M645" s="400"/>
    </row>
    <row r="646" spans="1:13" s="148" customFormat="1" hidden="1" x14ac:dyDescent="0.25">
      <c r="A646" s="400"/>
      <c r="B646" s="398"/>
      <c r="C646" s="398"/>
      <c r="D646" s="405"/>
      <c r="E646" s="398"/>
      <c r="F646" s="395"/>
      <c r="G646" s="396"/>
      <c r="H646" s="399"/>
      <c r="I646" s="395" t="s">
        <v>228</v>
      </c>
      <c r="J646" s="397" t="s">
        <v>228</v>
      </c>
      <c r="K646" s="398"/>
      <c r="L646" s="404"/>
      <c r="M646" s="400"/>
    </row>
    <row r="647" spans="1:13" s="148" customFormat="1" hidden="1" x14ac:dyDescent="0.25">
      <c r="A647" s="400"/>
      <c r="B647" s="398"/>
      <c r="C647" s="398"/>
      <c r="D647" s="405"/>
      <c r="E647" s="398"/>
      <c r="F647" s="395"/>
      <c r="G647" s="396"/>
      <c r="H647" s="399"/>
      <c r="I647" s="395" t="s">
        <v>228</v>
      </c>
      <c r="J647" s="397" t="s">
        <v>228</v>
      </c>
      <c r="K647" s="398"/>
      <c r="L647" s="404"/>
      <c r="M647" s="400"/>
    </row>
    <row r="648" spans="1:13" s="148" customFormat="1" hidden="1" x14ac:dyDescent="0.25">
      <c r="A648" s="400"/>
      <c r="B648" s="398"/>
      <c r="C648" s="398"/>
      <c r="D648" s="405"/>
      <c r="E648" s="398"/>
      <c r="F648" s="395"/>
      <c r="G648" s="396"/>
      <c r="H648" s="399"/>
      <c r="I648" s="395" t="s">
        <v>228</v>
      </c>
      <c r="J648" s="397" t="s">
        <v>228</v>
      </c>
      <c r="K648" s="398"/>
      <c r="L648" s="404"/>
      <c r="M648" s="400"/>
    </row>
    <row r="649" spans="1:13" s="148" customFormat="1" hidden="1" x14ac:dyDescent="0.25">
      <c r="A649" s="400"/>
      <c r="B649" s="398"/>
      <c r="C649" s="398"/>
      <c r="D649" s="405"/>
      <c r="E649" s="398"/>
      <c r="F649" s="395"/>
      <c r="G649" s="396"/>
      <c r="H649" s="399"/>
      <c r="I649" s="395" t="s">
        <v>228</v>
      </c>
      <c r="J649" s="397" t="s">
        <v>228</v>
      </c>
      <c r="K649" s="398"/>
      <c r="L649" s="404"/>
      <c r="M649" s="400"/>
    </row>
    <row r="650" spans="1:13" s="148" customFormat="1" hidden="1" x14ac:dyDescent="0.25">
      <c r="A650" s="400"/>
      <c r="B650" s="398"/>
      <c r="C650" s="398"/>
      <c r="D650" s="405"/>
      <c r="E650" s="398"/>
      <c r="F650" s="395"/>
      <c r="G650" s="396"/>
      <c r="H650" s="399"/>
      <c r="I650" s="395" t="s">
        <v>228</v>
      </c>
      <c r="J650" s="397" t="s">
        <v>228</v>
      </c>
      <c r="K650" s="398"/>
      <c r="L650" s="404"/>
      <c r="M650" s="400"/>
    </row>
    <row r="651" spans="1:13" s="148" customFormat="1" hidden="1" x14ac:dyDescent="0.25">
      <c r="A651" s="400"/>
      <c r="B651" s="398"/>
      <c r="C651" s="398"/>
      <c r="D651" s="405"/>
      <c r="E651" s="398"/>
      <c r="F651" s="395"/>
      <c r="G651" s="396"/>
      <c r="H651" s="399"/>
      <c r="I651" s="395" t="s">
        <v>228</v>
      </c>
      <c r="J651" s="397" t="s">
        <v>228</v>
      </c>
      <c r="K651" s="398"/>
      <c r="L651" s="404"/>
      <c r="M651" s="400"/>
    </row>
    <row r="652" spans="1:13" s="148" customFormat="1" hidden="1" x14ac:dyDescent="0.25">
      <c r="A652" s="400"/>
      <c r="B652" s="398"/>
      <c r="C652" s="398"/>
      <c r="D652" s="405"/>
      <c r="E652" s="398"/>
      <c r="F652" s="395"/>
      <c r="G652" s="396"/>
      <c r="H652" s="399"/>
      <c r="I652" s="395" t="s">
        <v>228</v>
      </c>
      <c r="J652" s="397" t="s">
        <v>228</v>
      </c>
      <c r="K652" s="398"/>
      <c r="L652" s="404"/>
      <c r="M652" s="400"/>
    </row>
    <row r="653" spans="1:13" s="148" customFormat="1" hidden="1" x14ac:dyDescent="0.25">
      <c r="A653" s="400"/>
      <c r="B653" s="398"/>
      <c r="C653" s="398"/>
      <c r="D653" s="405"/>
      <c r="E653" s="398"/>
      <c r="F653" s="395"/>
      <c r="G653" s="396"/>
      <c r="H653" s="399"/>
      <c r="I653" s="395" t="s">
        <v>228</v>
      </c>
      <c r="J653" s="397" t="s">
        <v>228</v>
      </c>
      <c r="K653" s="398"/>
      <c r="L653" s="404"/>
      <c r="M653" s="400"/>
    </row>
    <row r="654" spans="1:13" s="148" customFormat="1" hidden="1" x14ac:dyDescent="0.25">
      <c r="A654" s="400"/>
      <c r="B654" s="398"/>
      <c r="C654" s="398"/>
      <c r="D654" s="405"/>
      <c r="E654" s="398"/>
      <c r="F654" s="395"/>
      <c r="G654" s="396"/>
      <c r="H654" s="399"/>
      <c r="I654" s="395" t="s">
        <v>228</v>
      </c>
      <c r="J654" s="397" t="s">
        <v>228</v>
      </c>
      <c r="K654" s="398"/>
      <c r="L654" s="404"/>
      <c r="M654" s="400"/>
    </row>
    <row r="655" spans="1:13" s="148" customFormat="1" hidden="1" x14ac:dyDescent="0.25">
      <c r="A655" s="400"/>
      <c r="B655" s="398"/>
      <c r="C655" s="398"/>
      <c r="D655" s="405"/>
      <c r="E655" s="398"/>
      <c r="F655" s="395"/>
      <c r="G655" s="396"/>
      <c r="H655" s="399"/>
      <c r="I655" s="395" t="s">
        <v>228</v>
      </c>
      <c r="J655" s="397" t="s">
        <v>228</v>
      </c>
      <c r="K655" s="398"/>
      <c r="L655" s="404"/>
      <c r="M655" s="400"/>
    </row>
    <row r="656" spans="1:13" s="148" customFormat="1" hidden="1" x14ac:dyDescent="0.25">
      <c r="A656" s="400"/>
      <c r="B656" s="398"/>
      <c r="C656" s="398"/>
      <c r="D656" s="405"/>
      <c r="E656" s="398"/>
      <c r="F656" s="395"/>
      <c r="G656" s="396"/>
      <c r="H656" s="399"/>
      <c r="I656" s="395" t="s">
        <v>228</v>
      </c>
      <c r="J656" s="397" t="s">
        <v>228</v>
      </c>
      <c r="K656" s="398"/>
      <c r="L656" s="404"/>
      <c r="M656" s="400"/>
    </row>
    <row r="657" spans="1:13" s="148" customFormat="1" hidden="1" x14ac:dyDescent="0.25">
      <c r="A657" s="400"/>
      <c r="B657" s="398"/>
      <c r="C657" s="398"/>
      <c r="D657" s="405"/>
      <c r="E657" s="398"/>
      <c r="F657" s="395"/>
      <c r="G657" s="396"/>
      <c r="H657" s="399"/>
      <c r="I657" s="395" t="s">
        <v>228</v>
      </c>
      <c r="J657" s="397" t="s">
        <v>228</v>
      </c>
      <c r="K657" s="398"/>
      <c r="L657" s="404"/>
      <c r="M657" s="400"/>
    </row>
    <row r="658" spans="1:13" s="148" customFormat="1" hidden="1" x14ac:dyDescent="0.25">
      <c r="A658" s="400"/>
      <c r="B658" s="398"/>
      <c r="C658" s="398"/>
      <c r="D658" s="405"/>
      <c r="E658" s="398"/>
      <c r="F658" s="395"/>
      <c r="G658" s="396"/>
      <c r="H658" s="399"/>
      <c r="I658" s="395" t="s">
        <v>228</v>
      </c>
      <c r="J658" s="397" t="s">
        <v>228</v>
      </c>
      <c r="K658" s="398"/>
      <c r="L658" s="404"/>
      <c r="M658" s="400"/>
    </row>
    <row r="659" spans="1:13" s="148" customFormat="1" hidden="1" x14ac:dyDescent="0.25">
      <c r="A659" s="400"/>
      <c r="B659" s="398"/>
      <c r="C659" s="398"/>
      <c r="D659" s="405"/>
      <c r="E659" s="398"/>
      <c r="F659" s="395"/>
      <c r="G659" s="396"/>
      <c r="H659" s="399"/>
      <c r="I659" s="395" t="s">
        <v>228</v>
      </c>
      <c r="J659" s="397" t="s">
        <v>228</v>
      </c>
      <c r="K659" s="398"/>
      <c r="L659" s="404"/>
      <c r="M659" s="400"/>
    </row>
    <row r="660" spans="1:13" s="148" customFormat="1" hidden="1" x14ac:dyDescent="0.25">
      <c r="A660" s="400"/>
      <c r="B660" s="398"/>
      <c r="C660" s="398"/>
      <c r="D660" s="405"/>
      <c r="E660" s="398"/>
      <c r="F660" s="395"/>
      <c r="G660" s="396"/>
      <c r="H660" s="399"/>
      <c r="I660" s="395" t="s">
        <v>228</v>
      </c>
      <c r="J660" s="397" t="s">
        <v>228</v>
      </c>
      <c r="K660" s="398"/>
      <c r="L660" s="404"/>
      <c r="M660" s="400"/>
    </row>
    <row r="661" spans="1:13" s="148" customFormat="1" hidden="1" x14ac:dyDescent="0.25">
      <c r="A661" s="400"/>
      <c r="B661" s="398"/>
      <c r="C661" s="398"/>
      <c r="D661" s="405"/>
      <c r="E661" s="398"/>
      <c r="F661" s="395"/>
      <c r="G661" s="396"/>
      <c r="H661" s="399"/>
      <c r="I661" s="395" t="s">
        <v>228</v>
      </c>
      <c r="J661" s="397" t="s">
        <v>228</v>
      </c>
      <c r="K661" s="398"/>
      <c r="L661" s="404"/>
      <c r="M661" s="400"/>
    </row>
    <row r="662" spans="1:13" s="148" customFormat="1" hidden="1" x14ac:dyDescent="0.25">
      <c r="A662" s="400"/>
      <c r="B662" s="398"/>
      <c r="C662" s="398"/>
      <c r="D662" s="405"/>
      <c r="E662" s="398"/>
      <c r="F662" s="395"/>
      <c r="G662" s="396"/>
      <c r="H662" s="399"/>
      <c r="I662" s="395" t="s">
        <v>228</v>
      </c>
      <c r="J662" s="397" t="s">
        <v>228</v>
      </c>
      <c r="K662" s="398"/>
      <c r="L662" s="404"/>
      <c r="M662" s="400"/>
    </row>
    <row r="663" spans="1:13" s="148" customFormat="1" hidden="1" x14ac:dyDescent="0.25">
      <c r="A663" s="400"/>
      <c r="B663" s="398"/>
      <c r="C663" s="398"/>
      <c r="D663" s="405"/>
      <c r="E663" s="398"/>
      <c r="F663" s="395"/>
      <c r="G663" s="396"/>
      <c r="H663" s="399"/>
      <c r="I663" s="395" t="s">
        <v>228</v>
      </c>
      <c r="J663" s="397" t="s">
        <v>228</v>
      </c>
      <c r="K663" s="398"/>
      <c r="L663" s="404"/>
      <c r="M663" s="400"/>
    </row>
    <row r="664" spans="1:13" s="148" customFormat="1" hidden="1" x14ac:dyDescent="0.25">
      <c r="A664" s="400"/>
      <c r="B664" s="398"/>
      <c r="C664" s="398"/>
      <c r="D664" s="405"/>
      <c r="E664" s="398"/>
      <c r="F664" s="395"/>
      <c r="G664" s="396"/>
      <c r="H664" s="399"/>
      <c r="I664" s="395" t="s">
        <v>228</v>
      </c>
      <c r="J664" s="397" t="s">
        <v>228</v>
      </c>
      <c r="K664" s="398"/>
      <c r="L664" s="404"/>
      <c r="M664" s="400"/>
    </row>
    <row r="665" spans="1:13" s="148" customFormat="1" hidden="1" x14ac:dyDescent="0.25">
      <c r="A665" s="400"/>
      <c r="B665" s="398"/>
      <c r="C665" s="398"/>
      <c r="D665" s="405"/>
      <c r="E665" s="398"/>
      <c r="F665" s="395"/>
      <c r="G665" s="396"/>
      <c r="H665" s="399"/>
      <c r="I665" s="395" t="s">
        <v>228</v>
      </c>
      <c r="J665" s="397" t="s">
        <v>228</v>
      </c>
      <c r="K665" s="398"/>
      <c r="L665" s="404"/>
      <c r="M665" s="400"/>
    </row>
    <row r="666" spans="1:13" s="148" customFormat="1" hidden="1" x14ac:dyDescent="0.25">
      <c r="A666" s="400"/>
      <c r="B666" s="398"/>
      <c r="C666" s="398"/>
      <c r="D666" s="405"/>
      <c r="E666" s="398"/>
      <c r="F666" s="395"/>
      <c r="G666" s="396"/>
      <c r="H666" s="399"/>
      <c r="I666" s="395" t="s">
        <v>228</v>
      </c>
      <c r="J666" s="397" t="s">
        <v>228</v>
      </c>
      <c r="K666" s="398"/>
      <c r="L666" s="404"/>
      <c r="M666" s="400"/>
    </row>
    <row r="667" spans="1:13" s="148" customFormat="1" hidden="1" x14ac:dyDescent="0.25">
      <c r="A667" s="400"/>
      <c r="B667" s="398"/>
      <c r="C667" s="398"/>
      <c r="D667" s="405"/>
      <c r="E667" s="398"/>
      <c r="F667" s="395"/>
      <c r="G667" s="396"/>
      <c r="H667" s="399"/>
      <c r="I667" s="395" t="s">
        <v>228</v>
      </c>
      <c r="J667" s="397" t="s">
        <v>228</v>
      </c>
      <c r="K667" s="398"/>
      <c r="L667" s="404"/>
      <c r="M667" s="400"/>
    </row>
    <row r="668" spans="1:13" s="148" customFormat="1" hidden="1" x14ac:dyDescent="0.25">
      <c r="A668" s="400"/>
      <c r="B668" s="398"/>
      <c r="C668" s="398"/>
      <c r="D668" s="405"/>
      <c r="E668" s="398"/>
      <c r="F668" s="395"/>
      <c r="G668" s="396"/>
      <c r="H668" s="399"/>
      <c r="I668" s="395" t="s">
        <v>228</v>
      </c>
      <c r="J668" s="397" t="s">
        <v>228</v>
      </c>
      <c r="K668" s="398"/>
      <c r="L668" s="404"/>
      <c r="M668" s="400"/>
    </row>
    <row r="669" spans="1:13" s="148" customFormat="1" hidden="1" x14ac:dyDescent="0.25">
      <c r="A669" s="400"/>
      <c r="B669" s="398"/>
      <c r="C669" s="398"/>
      <c r="D669" s="405"/>
      <c r="E669" s="398"/>
      <c r="F669" s="395"/>
      <c r="G669" s="396"/>
      <c r="H669" s="399"/>
      <c r="I669" s="395" t="s">
        <v>228</v>
      </c>
      <c r="J669" s="397" t="s">
        <v>228</v>
      </c>
      <c r="K669" s="398"/>
      <c r="L669" s="404"/>
      <c r="M669" s="400"/>
    </row>
    <row r="670" spans="1:13" s="148" customFormat="1" hidden="1" x14ac:dyDescent="0.25">
      <c r="A670" s="400"/>
      <c r="B670" s="398"/>
      <c r="C670" s="398"/>
      <c r="D670" s="405"/>
      <c r="E670" s="398"/>
      <c r="F670" s="395"/>
      <c r="G670" s="396"/>
      <c r="H670" s="399"/>
      <c r="I670" s="395" t="s">
        <v>228</v>
      </c>
      <c r="J670" s="397" t="s">
        <v>228</v>
      </c>
      <c r="K670" s="398"/>
      <c r="L670" s="404"/>
      <c r="M670" s="400"/>
    </row>
    <row r="671" spans="1:13" s="148" customFormat="1" hidden="1" x14ac:dyDescent="0.25">
      <c r="A671" s="400"/>
      <c r="B671" s="398"/>
      <c r="C671" s="398"/>
      <c r="D671" s="405"/>
      <c r="E671" s="398"/>
      <c r="F671" s="395"/>
      <c r="G671" s="396"/>
      <c r="H671" s="399"/>
      <c r="I671" s="395" t="s">
        <v>228</v>
      </c>
      <c r="J671" s="397" t="s">
        <v>228</v>
      </c>
      <c r="K671" s="398"/>
      <c r="L671" s="404"/>
      <c r="M671" s="400"/>
    </row>
    <row r="672" spans="1:13" s="148" customFormat="1" hidden="1" x14ac:dyDescent="0.25">
      <c r="A672" s="400"/>
      <c r="B672" s="398"/>
      <c r="C672" s="398"/>
      <c r="D672" s="405"/>
      <c r="E672" s="398"/>
      <c r="F672" s="395"/>
      <c r="G672" s="396"/>
      <c r="H672" s="399"/>
      <c r="I672" s="395" t="s">
        <v>228</v>
      </c>
      <c r="J672" s="397" t="s">
        <v>228</v>
      </c>
      <c r="K672" s="398"/>
      <c r="L672" s="404"/>
      <c r="M672" s="400"/>
    </row>
    <row r="673" spans="1:13" s="148" customFormat="1" hidden="1" x14ac:dyDescent="0.25">
      <c r="A673" s="400"/>
      <c r="B673" s="398"/>
      <c r="C673" s="398"/>
      <c r="D673" s="405"/>
      <c r="E673" s="398"/>
      <c r="F673" s="395"/>
      <c r="G673" s="396"/>
      <c r="H673" s="399"/>
      <c r="I673" s="395" t="s">
        <v>228</v>
      </c>
      <c r="J673" s="397" t="s">
        <v>228</v>
      </c>
      <c r="K673" s="398"/>
      <c r="L673" s="404"/>
      <c r="M673" s="400"/>
    </row>
    <row r="674" spans="1:13" s="148" customFormat="1" hidden="1" x14ac:dyDescent="0.25">
      <c r="A674" s="400"/>
      <c r="B674" s="398"/>
      <c r="C674" s="398"/>
      <c r="D674" s="405"/>
      <c r="E674" s="398"/>
      <c r="F674" s="395"/>
      <c r="G674" s="396"/>
      <c r="H674" s="399"/>
      <c r="I674" s="395" t="s">
        <v>228</v>
      </c>
      <c r="J674" s="397" t="s">
        <v>228</v>
      </c>
      <c r="K674" s="398"/>
      <c r="L674" s="404"/>
      <c r="M674" s="400"/>
    </row>
    <row r="675" spans="1:13" s="148" customFormat="1" hidden="1" x14ac:dyDescent="0.25">
      <c r="A675" s="400"/>
      <c r="B675" s="398"/>
      <c r="C675" s="398"/>
      <c r="D675" s="405"/>
      <c r="E675" s="398"/>
      <c r="F675" s="395"/>
      <c r="G675" s="396"/>
      <c r="H675" s="399"/>
      <c r="I675" s="395" t="s">
        <v>228</v>
      </c>
      <c r="J675" s="397" t="s">
        <v>228</v>
      </c>
      <c r="K675" s="398"/>
      <c r="L675" s="404"/>
      <c r="M675" s="400"/>
    </row>
    <row r="676" spans="1:13" s="148" customFormat="1" hidden="1" x14ac:dyDescent="0.25">
      <c r="A676" s="400"/>
      <c r="B676" s="398"/>
      <c r="C676" s="398"/>
      <c r="D676" s="405"/>
      <c r="E676" s="398"/>
      <c r="F676" s="395"/>
      <c r="G676" s="396"/>
      <c r="H676" s="399"/>
      <c r="I676" s="395" t="s">
        <v>228</v>
      </c>
      <c r="J676" s="397" t="s">
        <v>228</v>
      </c>
      <c r="K676" s="398"/>
      <c r="L676" s="404"/>
      <c r="M676" s="400"/>
    </row>
    <row r="677" spans="1:13" s="148" customFormat="1" hidden="1" x14ac:dyDescent="0.25">
      <c r="A677" s="400"/>
      <c r="B677" s="398"/>
      <c r="C677" s="398"/>
      <c r="D677" s="405"/>
      <c r="E677" s="398"/>
      <c r="F677" s="395"/>
      <c r="G677" s="396"/>
      <c r="H677" s="399"/>
      <c r="I677" s="395" t="s">
        <v>228</v>
      </c>
      <c r="J677" s="397" t="s">
        <v>228</v>
      </c>
      <c r="K677" s="398"/>
      <c r="L677" s="404"/>
      <c r="M677" s="400"/>
    </row>
    <row r="678" spans="1:13" s="148" customFormat="1" hidden="1" x14ac:dyDescent="0.25">
      <c r="A678" s="400"/>
      <c r="B678" s="398"/>
      <c r="C678" s="398"/>
      <c r="D678" s="405"/>
      <c r="E678" s="398"/>
      <c r="F678" s="395"/>
      <c r="G678" s="396"/>
      <c r="H678" s="399"/>
      <c r="I678" s="395" t="s">
        <v>228</v>
      </c>
      <c r="J678" s="397" t="s">
        <v>228</v>
      </c>
      <c r="K678" s="398"/>
      <c r="L678" s="404"/>
      <c r="M678" s="400"/>
    </row>
    <row r="679" spans="1:13" s="148" customFormat="1" hidden="1" x14ac:dyDescent="0.25">
      <c r="A679" s="400"/>
      <c r="B679" s="398"/>
      <c r="C679" s="398"/>
      <c r="D679" s="405"/>
      <c r="E679" s="398"/>
      <c r="F679" s="395"/>
      <c r="G679" s="396"/>
      <c r="H679" s="399"/>
      <c r="I679" s="395" t="s">
        <v>228</v>
      </c>
      <c r="J679" s="397" t="s">
        <v>228</v>
      </c>
      <c r="K679" s="398"/>
      <c r="L679" s="404"/>
      <c r="M679" s="400"/>
    </row>
    <row r="680" spans="1:13" s="148" customFormat="1" hidden="1" x14ac:dyDescent="0.25">
      <c r="A680" s="400"/>
      <c r="B680" s="398"/>
      <c r="C680" s="398"/>
      <c r="D680" s="405"/>
      <c r="E680" s="398"/>
      <c r="F680" s="395"/>
      <c r="G680" s="396"/>
      <c r="H680" s="399"/>
      <c r="I680" s="395" t="s">
        <v>228</v>
      </c>
      <c r="J680" s="397" t="s">
        <v>228</v>
      </c>
      <c r="K680" s="398"/>
      <c r="L680" s="404"/>
      <c r="M680" s="400"/>
    </row>
    <row r="681" spans="1:13" s="148" customFormat="1" hidden="1" x14ac:dyDescent="0.25">
      <c r="A681" s="400"/>
      <c r="B681" s="398"/>
      <c r="C681" s="398"/>
      <c r="D681" s="405"/>
      <c r="E681" s="398"/>
      <c r="F681" s="395"/>
      <c r="G681" s="396"/>
      <c r="H681" s="399"/>
      <c r="I681" s="395" t="s">
        <v>228</v>
      </c>
      <c r="J681" s="397" t="s">
        <v>228</v>
      </c>
      <c r="K681" s="398"/>
      <c r="L681" s="404"/>
      <c r="M681" s="400"/>
    </row>
    <row r="682" spans="1:13" s="148" customFormat="1" hidden="1" x14ac:dyDescent="0.25">
      <c r="A682" s="400"/>
      <c r="B682" s="398"/>
      <c r="C682" s="398"/>
      <c r="D682" s="405"/>
      <c r="E682" s="398"/>
      <c r="F682" s="395"/>
      <c r="G682" s="396"/>
      <c r="H682" s="399"/>
      <c r="I682" s="395" t="s">
        <v>228</v>
      </c>
      <c r="J682" s="397" t="s">
        <v>228</v>
      </c>
      <c r="K682" s="398"/>
      <c r="L682" s="404"/>
      <c r="M682" s="400"/>
    </row>
    <row r="683" spans="1:13" s="148" customFormat="1" hidden="1" x14ac:dyDescent="0.25">
      <c r="A683" s="400"/>
      <c r="B683" s="398"/>
      <c r="C683" s="398"/>
      <c r="D683" s="405"/>
      <c r="E683" s="398"/>
      <c r="F683" s="395"/>
      <c r="G683" s="396"/>
      <c r="H683" s="399"/>
      <c r="I683" s="395" t="s">
        <v>228</v>
      </c>
      <c r="J683" s="397" t="s">
        <v>228</v>
      </c>
      <c r="K683" s="398"/>
      <c r="L683" s="404"/>
      <c r="M683" s="400"/>
    </row>
    <row r="684" spans="1:13" s="148" customFormat="1" hidden="1" x14ac:dyDescent="0.25">
      <c r="A684" s="400"/>
      <c r="B684" s="398"/>
      <c r="C684" s="398"/>
      <c r="D684" s="405"/>
      <c r="E684" s="398"/>
      <c r="F684" s="395"/>
      <c r="G684" s="396"/>
      <c r="H684" s="399"/>
      <c r="I684" s="395" t="s">
        <v>228</v>
      </c>
      <c r="J684" s="397" t="s">
        <v>228</v>
      </c>
      <c r="K684" s="398"/>
      <c r="L684" s="404"/>
      <c r="M684" s="400"/>
    </row>
    <row r="685" spans="1:13" s="148" customFormat="1" hidden="1" x14ac:dyDescent="0.25">
      <c r="A685" s="400"/>
      <c r="B685" s="398"/>
      <c r="C685" s="398"/>
      <c r="D685" s="405"/>
      <c r="E685" s="398"/>
      <c r="F685" s="395"/>
      <c r="G685" s="396"/>
      <c r="H685" s="399"/>
      <c r="I685" s="395" t="s">
        <v>228</v>
      </c>
      <c r="J685" s="397" t="s">
        <v>228</v>
      </c>
      <c r="K685" s="398"/>
      <c r="L685" s="404"/>
      <c r="M685" s="400"/>
    </row>
    <row r="686" spans="1:13" s="148" customFormat="1" hidden="1" x14ac:dyDescent="0.25">
      <c r="A686" s="400"/>
      <c r="B686" s="398"/>
      <c r="C686" s="398"/>
      <c r="D686" s="405"/>
      <c r="E686" s="398"/>
      <c r="F686" s="395"/>
      <c r="G686" s="396"/>
      <c r="H686" s="399"/>
      <c r="I686" s="395" t="s">
        <v>228</v>
      </c>
      <c r="J686" s="397" t="s">
        <v>228</v>
      </c>
      <c r="K686" s="398"/>
      <c r="L686" s="404"/>
      <c r="M686" s="400"/>
    </row>
    <row r="687" spans="1:13" s="148" customFormat="1" hidden="1" x14ac:dyDescent="0.25">
      <c r="A687" s="400"/>
      <c r="B687" s="398"/>
      <c r="C687" s="398"/>
      <c r="D687" s="405"/>
      <c r="E687" s="398"/>
      <c r="F687" s="395"/>
      <c r="G687" s="396"/>
      <c r="H687" s="399"/>
      <c r="I687" s="395" t="s">
        <v>228</v>
      </c>
      <c r="J687" s="397" t="s">
        <v>228</v>
      </c>
      <c r="K687" s="398"/>
      <c r="L687" s="404"/>
      <c r="M687" s="400"/>
    </row>
    <row r="688" spans="1:13" s="148" customFormat="1" hidden="1" x14ac:dyDescent="0.25">
      <c r="A688" s="400"/>
      <c r="B688" s="398"/>
      <c r="C688" s="398"/>
      <c r="D688" s="405"/>
      <c r="E688" s="398"/>
      <c r="F688" s="395"/>
      <c r="G688" s="396"/>
      <c r="H688" s="399"/>
      <c r="I688" s="395" t="s">
        <v>228</v>
      </c>
      <c r="J688" s="397" t="s">
        <v>228</v>
      </c>
      <c r="K688" s="398"/>
      <c r="L688" s="404"/>
      <c r="M688" s="400"/>
    </row>
    <row r="689" spans="1:13" s="148" customFormat="1" hidden="1" x14ac:dyDescent="0.25">
      <c r="A689" s="400"/>
      <c r="B689" s="398"/>
      <c r="C689" s="398"/>
      <c r="D689" s="405"/>
      <c r="E689" s="398"/>
      <c r="F689" s="395"/>
      <c r="G689" s="396"/>
      <c r="H689" s="399"/>
      <c r="I689" s="395" t="s">
        <v>228</v>
      </c>
      <c r="J689" s="397" t="s">
        <v>228</v>
      </c>
      <c r="K689" s="398"/>
      <c r="L689" s="404"/>
      <c r="M689" s="400"/>
    </row>
    <row r="690" spans="1:13" s="148" customFormat="1" hidden="1" x14ac:dyDescent="0.25">
      <c r="A690" s="400"/>
      <c r="B690" s="398"/>
      <c r="C690" s="398"/>
      <c r="D690" s="405"/>
      <c r="E690" s="398"/>
      <c r="F690" s="395"/>
      <c r="G690" s="396"/>
      <c r="H690" s="399"/>
      <c r="I690" s="395" t="s">
        <v>228</v>
      </c>
      <c r="J690" s="397" t="s">
        <v>228</v>
      </c>
      <c r="K690" s="398"/>
      <c r="L690" s="404"/>
      <c r="M690" s="400"/>
    </row>
    <row r="691" spans="1:13" s="148" customFormat="1" hidden="1" x14ac:dyDescent="0.25">
      <c r="A691" s="400"/>
      <c r="B691" s="398"/>
      <c r="C691" s="398"/>
      <c r="D691" s="405"/>
      <c r="E691" s="398"/>
      <c r="F691" s="395"/>
      <c r="G691" s="396"/>
      <c r="H691" s="399"/>
      <c r="I691" s="395" t="s">
        <v>228</v>
      </c>
      <c r="J691" s="397" t="s">
        <v>228</v>
      </c>
      <c r="K691" s="398"/>
      <c r="L691" s="404"/>
      <c r="M691" s="400"/>
    </row>
    <row r="692" spans="1:13" s="148" customFormat="1" hidden="1" x14ac:dyDescent="0.25">
      <c r="A692" s="400"/>
      <c r="B692" s="398"/>
      <c r="C692" s="398"/>
      <c r="D692" s="405"/>
      <c r="E692" s="398"/>
      <c r="F692" s="395"/>
      <c r="G692" s="396"/>
      <c r="H692" s="399"/>
      <c r="I692" s="395" t="s">
        <v>228</v>
      </c>
      <c r="J692" s="397" t="s">
        <v>228</v>
      </c>
      <c r="K692" s="398"/>
      <c r="L692" s="404"/>
      <c r="M692" s="400"/>
    </row>
    <row r="693" spans="1:13" s="148" customFormat="1" hidden="1" x14ac:dyDescent="0.25">
      <c r="A693" s="400"/>
      <c r="B693" s="398"/>
      <c r="C693" s="398"/>
      <c r="D693" s="405"/>
      <c r="E693" s="398"/>
      <c r="F693" s="395"/>
      <c r="G693" s="396"/>
      <c r="H693" s="399"/>
      <c r="I693" s="395" t="s">
        <v>228</v>
      </c>
      <c r="J693" s="397" t="s">
        <v>228</v>
      </c>
      <c r="K693" s="398"/>
      <c r="L693" s="404"/>
      <c r="M693" s="400"/>
    </row>
    <row r="694" spans="1:13" s="148" customFormat="1" hidden="1" x14ac:dyDescent="0.25">
      <c r="A694" s="400"/>
      <c r="B694" s="398"/>
      <c r="C694" s="398"/>
      <c r="D694" s="405"/>
      <c r="E694" s="398"/>
      <c r="F694" s="395"/>
      <c r="G694" s="396"/>
      <c r="H694" s="399"/>
      <c r="I694" s="395" t="s">
        <v>228</v>
      </c>
      <c r="J694" s="397" t="s">
        <v>228</v>
      </c>
      <c r="K694" s="398"/>
      <c r="L694" s="404"/>
      <c r="M694" s="400"/>
    </row>
    <row r="695" spans="1:13" s="148" customFormat="1" hidden="1" x14ac:dyDescent="0.25">
      <c r="A695" s="400"/>
      <c r="B695" s="398"/>
      <c r="C695" s="398"/>
      <c r="D695" s="405"/>
      <c r="E695" s="398"/>
      <c r="F695" s="395"/>
      <c r="G695" s="396"/>
      <c r="H695" s="399"/>
      <c r="I695" s="395" t="s">
        <v>228</v>
      </c>
      <c r="J695" s="397" t="s">
        <v>228</v>
      </c>
      <c r="K695" s="398"/>
      <c r="L695" s="404"/>
      <c r="M695" s="400"/>
    </row>
    <row r="696" spans="1:13" s="148" customFormat="1" hidden="1" x14ac:dyDescent="0.25">
      <c r="A696" s="400"/>
      <c r="B696" s="398"/>
      <c r="C696" s="398"/>
      <c r="D696" s="405"/>
      <c r="E696" s="398"/>
      <c r="F696" s="395"/>
      <c r="G696" s="396"/>
      <c r="H696" s="399"/>
      <c r="I696" s="395" t="s">
        <v>228</v>
      </c>
      <c r="J696" s="397" t="s">
        <v>228</v>
      </c>
      <c r="K696" s="398"/>
      <c r="L696" s="404"/>
      <c r="M696" s="400"/>
    </row>
    <row r="697" spans="1:13" s="148" customFormat="1" hidden="1" x14ac:dyDescent="0.25">
      <c r="A697" s="400"/>
      <c r="B697" s="398"/>
      <c r="C697" s="398"/>
      <c r="D697" s="405"/>
      <c r="E697" s="398"/>
      <c r="F697" s="395"/>
      <c r="G697" s="396"/>
      <c r="H697" s="399"/>
      <c r="I697" s="395" t="s">
        <v>228</v>
      </c>
      <c r="J697" s="397" t="s">
        <v>228</v>
      </c>
      <c r="K697" s="398"/>
      <c r="L697" s="404"/>
      <c r="M697" s="400"/>
    </row>
    <row r="698" spans="1:13" s="148" customFormat="1" hidden="1" x14ac:dyDescent="0.25">
      <c r="A698" s="400"/>
      <c r="B698" s="398"/>
      <c r="C698" s="398"/>
      <c r="D698" s="405"/>
      <c r="E698" s="398"/>
      <c r="F698" s="395"/>
      <c r="G698" s="396"/>
      <c r="H698" s="399"/>
      <c r="I698" s="395" t="s">
        <v>228</v>
      </c>
      <c r="J698" s="397" t="s">
        <v>228</v>
      </c>
      <c r="K698" s="398"/>
      <c r="L698" s="404"/>
      <c r="M698" s="400"/>
    </row>
    <row r="699" spans="1:13" s="148" customFormat="1" hidden="1" x14ac:dyDescent="0.25">
      <c r="A699" s="400"/>
      <c r="B699" s="398"/>
      <c r="C699" s="398"/>
      <c r="D699" s="405"/>
      <c r="E699" s="398"/>
      <c r="F699" s="395"/>
      <c r="G699" s="396"/>
      <c r="H699" s="399"/>
      <c r="I699" s="395" t="s">
        <v>228</v>
      </c>
      <c r="J699" s="397" t="s">
        <v>228</v>
      </c>
      <c r="K699" s="398"/>
      <c r="L699" s="404"/>
      <c r="M699" s="400"/>
    </row>
    <row r="700" spans="1:13" s="148" customFormat="1" hidden="1" x14ac:dyDescent="0.25">
      <c r="A700" s="400"/>
      <c r="B700" s="398"/>
      <c r="C700" s="398"/>
      <c r="D700" s="405"/>
      <c r="E700" s="398"/>
      <c r="F700" s="395"/>
      <c r="G700" s="396"/>
      <c r="H700" s="399"/>
      <c r="I700" s="395" t="s">
        <v>228</v>
      </c>
      <c r="J700" s="397" t="s">
        <v>228</v>
      </c>
      <c r="K700" s="398"/>
      <c r="L700" s="404"/>
      <c r="M700" s="400"/>
    </row>
    <row r="701" spans="1:13" s="148" customFormat="1" hidden="1" x14ac:dyDescent="0.25">
      <c r="A701" s="400"/>
      <c r="B701" s="398"/>
      <c r="C701" s="398"/>
      <c r="D701" s="405"/>
      <c r="E701" s="398"/>
      <c r="F701" s="395"/>
      <c r="G701" s="396"/>
      <c r="H701" s="399"/>
      <c r="I701" s="395" t="s">
        <v>228</v>
      </c>
      <c r="J701" s="397" t="s">
        <v>228</v>
      </c>
      <c r="K701" s="398"/>
      <c r="L701" s="404"/>
      <c r="M701" s="400"/>
    </row>
    <row r="702" spans="1:13" s="148" customFormat="1" hidden="1" x14ac:dyDescent="0.25">
      <c r="A702" s="400"/>
      <c r="B702" s="398"/>
      <c r="C702" s="398"/>
      <c r="D702" s="405"/>
      <c r="E702" s="398"/>
      <c r="F702" s="395"/>
      <c r="G702" s="396"/>
      <c r="H702" s="399"/>
      <c r="I702" s="395" t="s">
        <v>228</v>
      </c>
      <c r="J702" s="397" t="s">
        <v>228</v>
      </c>
      <c r="K702" s="398"/>
      <c r="L702" s="404"/>
      <c r="M702" s="400"/>
    </row>
    <row r="703" spans="1:13" s="148" customFormat="1" hidden="1" x14ac:dyDescent="0.25">
      <c r="A703" s="400"/>
      <c r="B703" s="398"/>
      <c r="C703" s="398"/>
      <c r="D703" s="405"/>
      <c r="E703" s="398"/>
      <c r="F703" s="395"/>
      <c r="G703" s="396"/>
      <c r="H703" s="399"/>
      <c r="I703" s="395" t="s">
        <v>228</v>
      </c>
      <c r="J703" s="397" t="s">
        <v>228</v>
      </c>
      <c r="K703" s="398"/>
      <c r="L703" s="404"/>
      <c r="M703" s="400"/>
    </row>
    <row r="704" spans="1:13" s="148" customFormat="1" hidden="1" x14ac:dyDescent="0.25">
      <c r="A704" s="400"/>
      <c r="B704" s="398"/>
      <c r="C704" s="398"/>
      <c r="D704" s="405"/>
      <c r="E704" s="398"/>
      <c r="F704" s="395"/>
      <c r="G704" s="396"/>
      <c r="H704" s="399"/>
      <c r="I704" s="395" t="s">
        <v>228</v>
      </c>
      <c r="J704" s="397" t="s">
        <v>228</v>
      </c>
      <c r="K704" s="398"/>
      <c r="L704" s="404"/>
      <c r="M704" s="400"/>
    </row>
    <row r="705" spans="1:13" s="148" customFormat="1" hidden="1" x14ac:dyDescent="0.25">
      <c r="A705" s="400"/>
      <c r="B705" s="398"/>
      <c r="C705" s="398"/>
      <c r="D705" s="405"/>
      <c r="E705" s="398"/>
      <c r="F705" s="395"/>
      <c r="G705" s="396"/>
      <c r="H705" s="399"/>
      <c r="I705" s="395" t="s">
        <v>228</v>
      </c>
      <c r="J705" s="397" t="s">
        <v>228</v>
      </c>
      <c r="K705" s="398"/>
      <c r="L705" s="404"/>
      <c r="M705" s="400"/>
    </row>
    <row r="706" spans="1:13" s="148" customFormat="1" hidden="1" x14ac:dyDescent="0.25">
      <c r="A706" s="400"/>
      <c r="B706" s="398"/>
      <c r="C706" s="398"/>
      <c r="D706" s="405"/>
      <c r="E706" s="398"/>
      <c r="F706" s="395"/>
      <c r="G706" s="396"/>
      <c r="H706" s="399"/>
      <c r="I706" s="395" t="s">
        <v>228</v>
      </c>
      <c r="J706" s="397" t="s">
        <v>228</v>
      </c>
      <c r="K706" s="398"/>
      <c r="L706" s="404"/>
      <c r="M706" s="400"/>
    </row>
    <row r="707" spans="1:13" s="148" customFormat="1" hidden="1" x14ac:dyDescent="0.25">
      <c r="A707" s="400"/>
      <c r="B707" s="398"/>
      <c r="C707" s="398"/>
      <c r="D707" s="405"/>
      <c r="E707" s="398"/>
      <c r="F707" s="395"/>
      <c r="G707" s="396"/>
      <c r="H707" s="399"/>
      <c r="I707" s="395" t="s">
        <v>228</v>
      </c>
      <c r="J707" s="397" t="s">
        <v>228</v>
      </c>
      <c r="K707" s="398"/>
      <c r="L707" s="404"/>
      <c r="M707" s="400"/>
    </row>
    <row r="708" spans="1:13" s="148" customFormat="1" hidden="1" x14ac:dyDescent="0.25">
      <c r="A708" s="400"/>
      <c r="B708" s="398"/>
      <c r="C708" s="398"/>
      <c r="D708" s="405"/>
      <c r="E708" s="398"/>
      <c r="F708" s="395"/>
      <c r="G708" s="396"/>
      <c r="H708" s="399"/>
      <c r="I708" s="395" t="s">
        <v>228</v>
      </c>
      <c r="J708" s="397" t="s">
        <v>228</v>
      </c>
      <c r="K708" s="398"/>
      <c r="L708" s="404"/>
      <c r="M708" s="400"/>
    </row>
    <row r="709" spans="1:13" s="148" customFormat="1" hidden="1" x14ac:dyDescent="0.25">
      <c r="A709" s="400"/>
      <c r="B709" s="398"/>
      <c r="C709" s="398"/>
      <c r="D709" s="405"/>
      <c r="E709" s="398"/>
      <c r="F709" s="395"/>
      <c r="G709" s="396"/>
      <c r="H709" s="399"/>
      <c r="I709" s="395" t="s">
        <v>228</v>
      </c>
      <c r="J709" s="397" t="s">
        <v>228</v>
      </c>
      <c r="K709" s="398"/>
      <c r="L709" s="404"/>
      <c r="M709" s="400"/>
    </row>
    <row r="710" spans="1:13" s="148" customFormat="1" hidden="1" x14ac:dyDescent="0.25">
      <c r="A710" s="400"/>
      <c r="B710" s="398"/>
      <c r="C710" s="398"/>
      <c r="D710" s="405"/>
      <c r="E710" s="398"/>
      <c r="F710" s="395"/>
      <c r="G710" s="396"/>
      <c r="H710" s="399"/>
      <c r="I710" s="395" t="s">
        <v>228</v>
      </c>
      <c r="J710" s="397" t="s">
        <v>228</v>
      </c>
      <c r="K710" s="398"/>
      <c r="L710" s="404"/>
      <c r="M710" s="400"/>
    </row>
    <row r="711" spans="1:13" s="148" customFormat="1" hidden="1" x14ac:dyDescent="0.25">
      <c r="A711" s="400"/>
      <c r="B711" s="398"/>
      <c r="C711" s="398"/>
      <c r="D711" s="405"/>
      <c r="E711" s="398"/>
      <c r="F711" s="395"/>
      <c r="G711" s="396"/>
      <c r="H711" s="399"/>
      <c r="I711" s="395" t="s">
        <v>228</v>
      </c>
      <c r="J711" s="397" t="s">
        <v>228</v>
      </c>
      <c r="K711" s="398"/>
      <c r="L711" s="404"/>
      <c r="M711" s="400"/>
    </row>
    <row r="712" spans="1:13" s="148" customFormat="1" hidden="1" x14ac:dyDescent="0.25">
      <c r="A712" s="400"/>
      <c r="B712" s="398"/>
      <c r="C712" s="398"/>
      <c r="D712" s="405"/>
      <c r="E712" s="398"/>
      <c r="F712" s="395"/>
      <c r="G712" s="396"/>
      <c r="H712" s="399"/>
      <c r="I712" s="395" t="s">
        <v>228</v>
      </c>
      <c r="J712" s="397" t="s">
        <v>228</v>
      </c>
      <c r="K712" s="398"/>
      <c r="L712" s="404"/>
      <c r="M712" s="400"/>
    </row>
    <row r="713" spans="1:13" s="148" customFormat="1" hidden="1" x14ac:dyDescent="0.25">
      <c r="A713" s="400"/>
      <c r="B713" s="398"/>
      <c r="C713" s="398"/>
      <c r="D713" s="405"/>
      <c r="E713" s="398"/>
      <c r="F713" s="395"/>
      <c r="G713" s="396"/>
      <c r="H713" s="399"/>
      <c r="I713" s="395" t="s">
        <v>228</v>
      </c>
      <c r="J713" s="397" t="s">
        <v>228</v>
      </c>
      <c r="K713" s="398"/>
      <c r="L713" s="404"/>
      <c r="M713" s="400"/>
    </row>
    <row r="714" spans="1:13" s="148" customFormat="1" hidden="1" x14ac:dyDescent="0.25">
      <c r="A714" s="400"/>
      <c r="B714" s="398"/>
      <c r="C714" s="398"/>
      <c r="D714" s="405"/>
      <c r="E714" s="398"/>
      <c r="F714" s="395"/>
      <c r="G714" s="396"/>
      <c r="H714" s="399"/>
      <c r="I714" s="395" t="s">
        <v>228</v>
      </c>
      <c r="J714" s="397" t="s">
        <v>228</v>
      </c>
      <c r="K714" s="398"/>
      <c r="L714" s="404"/>
      <c r="M714" s="400"/>
    </row>
    <row r="715" spans="1:13" s="148" customFormat="1" hidden="1" x14ac:dyDescent="0.25">
      <c r="A715" s="400"/>
      <c r="B715" s="398"/>
      <c r="C715" s="398"/>
      <c r="D715" s="405"/>
      <c r="E715" s="398"/>
      <c r="F715" s="395"/>
      <c r="G715" s="396"/>
      <c r="H715" s="399"/>
      <c r="I715" s="395" t="s">
        <v>228</v>
      </c>
      <c r="J715" s="397" t="s">
        <v>228</v>
      </c>
      <c r="K715" s="398"/>
      <c r="L715" s="404"/>
      <c r="M715" s="400"/>
    </row>
    <row r="716" spans="1:13" s="148" customFormat="1" hidden="1" x14ac:dyDescent="0.25">
      <c r="A716" s="400"/>
      <c r="B716" s="398"/>
      <c r="C716" s="398"/>
      <c r="D716" s="405"/>
      <c r="E716" s="398"/>
      <c r="F716" s="395"/>
      <c r="G716" s="396"/>
      <c r="H716" s="399"/>
      <c r="I716" s="395" t="s">
        <v>228</v>
      </c>
      <c r="J716" s="397" t="s">
        <v>228</v>
      </c>
      <c r="K716" s="398"/>
      <c r="L716" s="404"/>
      <c r="M716" s="400"/>
    </row>
    <row r="717" spans="1:13" s="148" customFormat="1" hidden="1" x14ac:dyDescent="0.25">
      <c r="A717" s="400"/>
      <c r="B717" s="398"/>
      <c r="C717" s="398"/>
      <c r="D717" s="405"/>
      <c r="E717" s="398"/>
      <c r="F717" s="395"/>
      <c r="G717" s="396"/>
      <c r="H717" s="399"/>
      <c r="I717" s="395" t="s">
        <v>228</v>
      </c>
      <c r="J717" s="397" t="s">
        <v>228</v>
      </c>
      <c r="K717" s="398"/>
      <c r="L717" s="404"/>
      <c r="M717" s="400"/>
    </row>
    <row r="718" spans="1:13" s="148" customFormat="1" hidden="1" x14ac:dyDescent="0.25">
      <c r="A718" s="400"/>
      <c r="B718" s="398"/>
      <c r="C718" s="398"/>
      <c r="D718" s="405"/>
      <c r="E718" s="398"/>
      <c r="F718" s="395"/>
      <c r="G718" s="396"/>
      <c r="H718" s="399"/>
      <c r="I718" s="395" t="s">
        <v>228</v>
      </c>
      <c r="J718" s="397" t="s">
        <v>228</v>
      </c>
      <c r="K718" s="398"/>
      <c r="L718" s="404"/>
      <c r="M718" s="400"/>
    </row>
    <row r="719" spans="1:13" s="148" customFormat="1" hidden="1" x14ac:dyDescent="0.25">
      <c r="A719" s="400"/>
      <c r="B719" s="398"/>
      <c r="C719" s="398"/>
      <c r="D719" s="405"/>
      <c r="E719" s="398"/>
      <c r="F719" s="395"/>
      <c r="G719" s="396"/>
      <c r="H719" s="399"/>
      <c r="I719" s="395" t="s">
        <v>228</v>
      </c>
      <c r="J719" s="397" t="s">
        <v>228</v>
      </c>
      <c r="K719" s="398"/>
      <c r="L719" s="404"/>
      <c r="M719" s="400"/>
    </row>
    <row r="720" spans="1:13" s="148" customFormat="1" hidden="1" x14ac:dyDescent="0.25">
      <c r="A720" s="400"/>
      <c r="B720" s="398"/>
      <c r="C720" s="398"/>
      <c r="D720" s="405"/>
      <c r="E720" s="398"/>
      <c r="F720" s="395"/>
      <c r="G720" s="396"/>
      <c r="H720" s="399"/>
      <c r="I720" s="395" t="s">
        <v>228</v>
      </c>
      <c r="J720" s="397" t="s">
        <v>228</v>
      </c>
      <c r="K720" s="398"/>
      <c r="L720" s="404"/>
      <c r="M720" s="400"/>
    </row>
    <row r="721" spans="1:13" s="148" customFormat="1" hidden="1" x14ac:dyDescent="0.25">
      <c r="A721" s="400"/>
      <c r="B721" s="398"/>
      <c r="C721" s="398"/>
      <c r="D721" s="405"/>
      <c r="E721" s="398"/>
      <c r="F721" s="395"/>
      <c r="G721" s="396"/>
      <c r="H721" s="399"/>
      <c r="I721" s="395" t="s">
        <v>228</v>
      </c>
      <c r="J721" s="397" t="s">
        <v>228</v>
      </c>
      <c r="K721" s="398"/>
      <c r="L721" s="404"/>
      <c r="M721" s="400"/>
    </row>
    <row r="722" spans="1:13" s="148" customFormat="1" hidden="1" x14ac:dyDescent="0.25">
      <c r="A722" s="400"/>
      <c r="B722" s="398"/>
      <c r="C722" s="398"/>
      <c r="D722" s="405"/>
      <c r="E722" s="398"/>
      <c r="F722" s="395"/>
      <c r="G722" s="396"/>
      <c r="H722" s="399"/>
      <c r="I722" s="395" t="s">
        <v>228</v>
      </c>
      <c r="J722" s="397" t="s">
        <v>228</v>
      </c>
      <c r="K722" s="398"/>
      <c r="L722" s="404"/>
      <c r="M722" s="400"/>
    </row>
    <row r="723" spans="1:13" s="148" customFormat="1" hidden="1" x14ac:dyDescent="0.25">
      <c r="A723" s="400"/>
      <c r="B723" s="398"/>
      <c r="C723" s="398"/>
      <c r="D723" s="405"/>
      <c r="E723" s="398"/>
      <c r="F723" s="395"/>
      <c r="G723" s="396"/>
      <c r="H723" s="399"/>
      <c r="I723" s="395" t="s">
        <v>228</v>
      </c>
      <c r="J723" s="397" t="s">
        <v>228</v>
      </c>
      <c r="K723" s="398"/>
      <c r="L723" s="404"/>
      <c r="M723" s="400"/>
    </row>
    <row r="724" spans="1:13" s="148" customFormat="1" hidden="1" x14ac:dyDescent="0.25">
      <c r="A724" s="400"/>
      <c r="B724" s="398"/>
      <c r="C724" s="398"/>
      <c r="D724" s="405"/>
      <c r="E724" s="398"/>
      <c r="F724" s="395"/>
      <c r="G724" s="396"/>
      <c r="H724" s="399"/>
      <c r="I724" s="395" t="s">
        <v>228</v>
      </c>
      <c r="J724" s="397" t="s">
        <v>228</v>
      </c>
      <c r="K724" s="398"/>
      <c r="L724" s="404"/>
      <c r="M724" s="400"/>
    </row>
    <row r="725" spans="1:13" s="148" customFormat="1" hidden="1" x14ac:dyDescent="0.25">
      <c r="A725" s="400"/>
      <c r="B725" s="398"/>
      <c r="C725" s="398"/>
      <c r="D725" s="405"/>
      <c r="E725" s="398"/>
      <c r="F725" s="395"/>
      <c r="G725" s="396"/>
      <c r="H725" s="399"/>
      <c r="I725" s="395" t="s">
        <v>228</v>
      </c>
      <c r="J725" s="397" t="s">
        <v>228</v>
      </c>
      <c r="K725" s="398"/>
      <c r="L725" s="404"/>
      <c r="M725" s="400"/>
    </row>
    <row r="726" spans="1:13" s="148" customFormat="1" hidden="1" x14ac:dyDescent="0.25">
      <c r="A726" s="400"/>
      <c r="B726" s="398"/>
      <c r="C726" s="398"/>
      <c r="D726" s="405"/>
      <c r="E726" s="398"/>
      <c r="F726" s="395"/>
      <c r="G726" s="396"/>
      <c r="H726" s="399"/>
      <c r="I726" s="395" t="s">
        <v>228</v>
      </c>
      <c r="J726" s="397" t="s">
        <v>228</v>
      </c>
      <c r="K726" s="398"/>
      <c r="L726" s="404"/>
      <c r="M726" s="400"/>
    </row>
    <row r="727" spans="1:13" s="148" customFormat="1" hidden="1" x14ac:dyDescent="0.25">
      <c r="A727" s="400"/>
      <c r="B727" s="398"/>
      <c r="C727" s="398"/>
      <c r="D727" s="405"/>
      <c r="E727" s="398"/>
      <c r="F727" s="395"/>
      <c r="G727" s="396"/>
      <c r="H727" s="399"/>
      <c r="I727" s="395" t="s">
        <v>228</v>
      </c>
      <c r="J727" s="397" t="s">
        <v>228</v>
      </c>
      <c r="K727" s="398"/>
      <c r="L727" s="404"/>
      <c r="M727" s="400"/>
    </row>
    <row r="728" spans="1:13" s="148" customFormat="1" hidden="1" x14ac:dyDescent="0.25">
      <c r="A728" s="400"/>
      <c r="B728" s="398"/>
      <c r="C728" s="398"/>
      <c r="D728" s="405"/>
      <c r="E728" s="398"/>
      <c r="F728" s="395"/>
      <c r="G728" s="396"/>
      <c r="H728" s="399"/>
      <c r="I728" s="395" t="s">
        <v>228</v>
      </c>
      <c r="J728" s="397" t="s">
        <v>228</v>
      </c>
      <c r="K728" s="398"/>
      <c r="L728" s="404"/>
      <c r="M728" s="400"/>
    </row>
    <row r="729" spans="1:13" s="148" customFormat="1" hidden="1" x14ac:dyDescent="0.25">
      <c r="A729" s="400"/>
      <c r="B729" s="398"/>
      <c r="C729" s="398"/>
      <c r="D729" s="405"/>
      <c r="E729" s="398"/>
      <c r="F729" s="395"/>
      <c r="G729" s="396"/>
      <c r="H729" s="399"/>
      <c r="I729" s="395" t="s">
        <v>228</v>
      </c>
      <c r="J729" s="397" t="s">
        <v>228</v>
      </c>
      <c r="K729" s="398"/>
      <c r="L729" s="404"/>
      <c r="M729" s="400"/>
    </row>
    <row r="730" spans="1:13" s="148" customFormat="1" hidden="1" x14ac:dyDescent="0.25">
      <c r="A730" s="400"/>
      <c r="B730" s="398"/>
      <c r="C730" s="398"/>
      <c r="D730" s="405"/>
      <c r="E730" s="398"/>
      <c r="F730" s="395"/>
      <c r="G730" s="396"/>
      <c r="H730" s="399"/>
      <c r="I730" s="395" t="s">
        <v>228</v>
      </c>
      <c r="J730" s="397" t="s">
        <v>228</v>
      </c>
      <c r="K730" s="398"/>
      <c r="L730" s="404"/>
      <c r="M730" s="400"/>
    </row>
    <row r="731" spans="1:13" s="148" customFormat="1" hidden="1" x14ac:dyDescent="0.25">
      <c r="A731" s="400"/>
      <c r="B731" s="398"/>
      <c r="C731" s="398"/>
      <c r="D731" s="405"/>
      <c r="E731" s="398"/>
      <c r="F731" s="395"/>
      <c r="G731" s="396"/>
      <c r="H731" s="399"/>
      <c r="I731" s="395" t="s">
        <v>228</v>
      </c>
      <c r="J731" s="397" t="s">
        <v>228</v>
      </c>
      <c r="K731" s="398"/>
      <c r="L731" s="404"/>
      <c r="M731" s="400"/>
    </row>
    <row r="732" spans="1:13" s="148" customFormat="1" hidden="1" x14ac:dyDescent="0.25">
      <c r="A732" s="400"/>
      <c r="B732" s="398"/>
      <c r="C732" s="398"/>
      <c r="D732" s="405"/>
      <c r="E732" s="398"/>
      <c r="F732" s="395"/>
      <c r="G732" s="396"/>
      <c r="H732" s="399"/>
      <c r="I732" s="395" t="s">
        <v>228</v>
      </c>
      <c r="J732" s="397" t="s">
        <v>228</v>
      </c>
      <c r="K732" s="398"/>
      <c r="L732" s="404"/>
      <c r="M732" s="400"/>
    </row>
    <row r="733" spans="1:13" s="148" customFormat="1" hidden="1" x14ac:dyDescent="0.25">
      <c r="A733" s="400"/>
      <c r="B733" s="398"/>
      <c r="C733" s="398"/>
      <c r="D733" s="405"/>
      <c r="E733" s="398"/>
      <c r="F733" s="395"/>
      <c r="G733" s="396"/>
      <c r="H733" s="399"/>
      <c r="I733" s="395" t="s">
        <v>228</v>
      </c>
      <c r="J733" s="397" t="s">
        <v>228</v>
      </c>
      <c r="K733" s="398"/>
      <c r="L733" s="404"/>
      <c r="M733" s="400"/>
    </row>
    <row r="734" spans="1:13" s="148" customFormat="1" hidden="1" x14ac:dyDescent="0.25">
      <c r="A734" s="400"/>
      <c r="B734" s="398"/>
      <c r="C734" s="398"/>
      <c r="D734" s="405"/>
      <c r="E734" s="398"/>
      <c r="F734" s="395"/>
      <c r="G734" s="396"/>
      <c r="H734" s="399"/>
      <c r="I734" s="395" t="s">
        <v>228</v>
      </c>
      <c r="J734" s="397" t="s">
        <v>228</v>
      </c>
      <c r="K734" s="398"/>
      <c r="L734" s="404"/>
      <c r="M734" s="400"/>
    </row>
    <row r="735" spans="1:13" s="148" customFormat="1" hidden="1" x14ac:dyDescent="0.25">
      <c r="A735" s="400"/>
      <c r="B735" s="398"/>
      <c r="C735" s="398"/>
      <c r="D735" s="405"/>
      <c r="E735" s="398"/>
      <c r="F735" s="395"/>
      <c r="G735" s="396"/>
      <c r="H735" s="399"/>
      <c r="I735" s="395" t="s">
        <v>228</v>
      </c>
      <c r="J735" s="397" t="s">
        <v>228</v>
      </c>
      <c r="K735" s="398"/>
      <c r="L735" s="404"/>
      <c r="M735" s="400"/>
    </row>
    <row r="736" spans="1:13" s="148" customFormat="1" hidden="1" x14ac:dyDescent="0.25">
      <c r="A736" s="400"/>
      <c r="B736" s="398"/>
      <c r="C736" s="398"/>
      <c r="D736" s="405"/>
      <c r="E736" s="398"/>
      <c r="F736" s="395"/>
      <c r="G736" s="396"/>
      <c r="H736" s="399"/>
      <c r="I736" s="395" t="s">
        <v>228</v>
      </c>
      <c r="J736" s="397" t="s">
        <v>228</v>
      </c>
      <c r="K736" s="398"/>
      <c r="L736" s="404"/>
      <c r="M736" s="400"/>
    </row>
    <row r="737" spans="1:13" s="148" customFormat="1" hidden="1" x14ac:dyDescent="0.25">
      <c r="A737" s="400"/>
      <c r="B737" s="398"/>
      <c r="C737" s="398"/>
      <c r="D737" s="405"/>
      <c r="E737" s="398"/>
      <c r="F737" s="395"/>
      <c r="G737" s="396"/>
      <c r="H737" s="399"/>
      <c r="I737" s="395" t="s">
        <v>228</v>
      </c>
      <c r="J737" s="397" t="s">
        <v>228</v>
      </c>
      <c r="K737" s="398"/>
      <c r="L737" s="404"/>
      <c r="M737" s="400"/>
    </row>
    <row r="738" spans="1:13" s="148" customFormat="1" hidden="1" x14ac:dyDescent="0.25">
      <c r="A738" s="400"/>
      <c r="B738" s="398"/>
      <c r="C738" s="398"/>
      <c r="D738" s="405"/>
      <c r="E738" s="398"/>
      <c r="F738" s="395"/>
      <c r="G738" s="396"/>
      <c r="H738" s="399"/>
      <c r="I738" s="395" t="s">
        <v>228</v>
      </c>
      <c r="J738" s="397" t="s">
        <v>228</v>
      </c>
      <c r="K738" s="398"/>
      <c r="L738" s="404"/>
      <c r="M738" s="400"/>
    </row>
    <row r="739" spans="1:13" s="148" customFormat="1" hidden="1" x14ac:dyDescent="0.25">
      <c r="A739" s="400"/>
      <c r="B739" s="398"/>
      <c r="C739" s="398"/>
      <c r="D739" s="405"/>
      <c r="E739" s="398"/>
      <c r="F739" s="395"/>
      <c r="G739" s="396"/>
      <c r="H739" s="399"/>
      <c r="I739" s="395" t="s">
        <v>228</v>
      </c>
      <c r="J739" s="397" t="s">
        <v>228</v>
      </c>
      <c r="K739" s="398"/>
      <c r="L739" s="404"/>
      <c r="M739" s="400"/>
    </row>
    <row r="740" spans="1:13" s="148" customFormat="1" hidden="1" x14ac:dyDescent="0.25">
      <c r="A740" s="400"/>
      <c r="B740" s="398"/>
      <c r="C740" s="398"/>
      <c r="D740" s="405"/>
      <c r="E740" s="398"/>
      <c r="F740" s="395"/>
      <c r="G740" s="396"/>
      <c r="H740" s="399"/>
      <c r="I740" s="395" t="s">
        <v>228</v>
      </c>
      <c r="J740" s="397" t="s">
        <v>228</v>
      </c>
      <c r="K740" s="398"/>
      <c r="L740" s="404"/>
      <c r="M740" s="400"/>
    </row>
    <row r="741" spans="1:13" s="148" customFormat="1" hidden="1" x14ac:dyDescent="0.25">
      <c r="A741" s="400"/>
      <c r="B741" s="398"/>
      <c r="C741" s="398"/>
      <c r="D741" s="405"/>
      <c r="E741" s="398"/>
      <c r="F741" s="395"/>
      <c r="G741" s="396"/>
      <c r="H741" s="399"/>
      <c r="I741" s="395" t="s">
        <v>228</v>
      </c>
      <c r="J741" s="397" t="s">
        <v>228</v>
      </c>
      <c r="K741" s="398"/>
      <c r="L741" s="404"/>
      <c r="M741" s="400"/>
    </row>
    <row r="742" spans="1:13" s="148" customFormat="1" hidden="1" x14ac:dyDescent="0.25">
      <c r="A742" s="400"/>
      <c r="B742" s="398"/>
      <c r="C742" s="398"/>
      <c r="D742" s="405"/>
      <c r="E742" s="398"/>
      <c r="F742" s="395"/>
      <c r="G742" s="396"/>
      <c r="H742" s="399"/>
      <c r="I742" s="395" t="s">
        <v>228</v>
      </c>
      <c r="J742" s="397" t="s">
        <v>228</v>
      </c>
      <c r="K742" s="398"/>
      <c r="L742" s="404"/>
      <c r="M742" s="400"/>
    </row>
    <row r="743" spans="1:13" s="148" customFormat="1" hidden="1" x14ac:dyDescent="0.25">
      <c r="A743" s="400"/>
      <c r="B743" s="398"/>
      <c r="C743" s="398"/>
      <c r="D743" s="405"/>
      <c r="E743" s="398"/>
      <c r="F743" s="395"/>
      <c r="G743" s="396"/>
      <c r="H743" s="399"/>
      <c r="I743" s="395" t="s">
        <v>228</v>
      </c>
      <c r="J743" s="397" t="s">
        <v>228</v>
      </c>
      <c r="K743" s="398"/>
      <c r="L743" s="404"/>
      <c r="M743" s="400"/>
    </row>
    <row r="744" spans="1:13" s="148" customFormat="1" hidden="1" x14ac:dyDescent="0.25">
      <c r="A744" s="400"/>
      <c r="B744" s="398"/>
      <c r="C744" s="398"/>
      <c r="D744" s="405"/>
      <c r="E744" s="398"/>
      <c r="F744" s="395"/>
      <c r="G744" s="396"/>
      <c r="H744" s="399"/>
      <c r="I744" s="395" t="s">
        <v>228</v>
      </c>
      <c r="J744" s="397" t="s">
        <v>228</v>
      </c>
      <c r="K744" s="398"/>
      <c r="L744" s="404"/>
      <c r="M744" s="400"/>
    </row>
    <row r="745" spans="1:13" s="148" customFormat="1" hidden="1" x14ac:dyDescent="0.25">
      <c r="A745" s="400"/>
      <c r="B745" s="398"/>
      <c r="C745" s="398"/>
      <c r="D745" s="405"/>
      <c r="E745" s="398"/>
      <c r="F745" s="395"/>
      <c r="G745" s="396"/>
      <c r="H745" s="399"/>
      <c r="I745" s="395" t="s">
        <v>228</v>
      </c>
      <c r="J745" s="397" t="s">
        <v>228</v>
      </c>
      <c r="K745" s="398"/>
      <c r="L745" s="404"/>
      <c r="M745" s="400"/>
    </row>
    <row r="746" spans="1:13" s="148" customFormat="1" hidden="1" x14ac:dyDescent="0.25">
      <c r="A746" s="400"/>
      <c r="B746" s="398"/>
      <c r="C746" s="398"/>
      <c r="D746" s="405"/>
      <c r="E746" s="398"/>
      <c r="F746" s="395"/>
      <c r="G746" s="396"/>
      <c r="H746" s="399"/>
      <c r="I746" s="395" t="s">
        <v>228</v>
      </c>
      <c r="J746" s="397" t="s">
        <v>228</v>
      </c>
      <c r="K746" s="398"/>
      <c r="L746" s="404"/>
      <c r="M746" s="400"/>
    </row>
    <row r="747" spans="1:13" s="148" customFormat="1" hidden="1" x14ac:dyDescent="0.25">
      <c r="A747" s="400"/>
      <c r="B747" s="398"/>
      <c r="C747" s="398"/>
      <c r="D747" s="405"/>
      <c r="E747" s="398"/>
      <c r="F747" s="395"/>
      <c r="G747" s="396"/>
      <c r="H747" s="399"/>
      <c r="I747" s="395" t="s">
        <v>228</v>
      </c>
      <c r="J747" s="397" t="s">
        <v>228</v>
      </c>
      <c r="K747" s="398"/>
      <c r="L747" s="404"/>
      <c r="M747" s="400"/>
    </row>
    <row r="748" spans="1:13" s="148" customFormat="1" hidden="1" x14ac:dyDescent="0.25">
      <c r="A748" s="400"/>
      <c r="B748" s="398"/>
      <c r="C748" s="398"/>
      <c r="D748" s="405"/>
      <c r="E748" s="398"/>
      <c r="F748" s="395"/>
      <c r="G748" s="396"/>
      <c r="H748" s="399"/>
      <c r="I748" s="395" t="s">
        <v>228</v>
      </c>
      <c r="J748" s="397" t="s">
        <v>228</v>
      </c>
      <c r="K748" s="398"/>
      <c r="L748" s="404"/>
      <c r="M748" s="400"/>
    </row>
    <row r="749" spans="1:13" s="148" customFormat="1" hidden="1" x14ac:dyDescent="0.25">
      <c r="A749" s="400"/>
      <c r="B749" s="398"/>
      <c r="C749" s="398"/>
      <c r="D749" s="405"/>
      <c r="E749" s="398"/>
      <c r="F749" s="395"/>
      <c r="G749" s="396"/>
      <c r="H749" s="399"/>
      <c r="I749" s="395" t="s">
        <v>228</v>
      </c>
      <c r="J749" s="397" t="s">
        <v>228</v>
      </c>
      <c r="K749" s="398"/>
      <c r="L749" s="404"/>
      <c r="M749" s="400"/>
    </row>
    <row r="750" spans="1:13" s="148" customFormat="1" hidden="1" x14ac:dyDescent="0.25">
      <c r="A750" s="400"/>
      <c r="B750" s="398"/>
      <c r="C750" s="398"/>
      <c r="D750" s="405"/>
      <c r="E750" s="398"/>
      <c r="F750" s="395"/>
      <c r="G750" s="396"/>
      <c r="H750" s="399"/>
      <c r="I750" s="395" t="s">
        <v>228</v>
      </c>
      <c r="J750" s="397" t="s">
        <v>228</v>
      </c>
      <c r="K750" s="398"/>
      <c r="L750" s="404"/>
      <c r="M750" s="400"/>
    </row>
    <row r="751" spans="1:13" s="148" customFormat="1" hidden="1" x14ac:dyDescent="0.25">
      <c r="A751" s="400"/>
      <c r="B751" s="398"/>
      <c r="C751" s="398"/>
      <c r="D751" s="405"/>
      <c r="E751" s="398"/>
      <c r="F751" s="395"/>
      <c r="G751" s="396"/>
      <c r="H751" s="399"/>
      <c r="I751" s="395" t="s">
        <v>228</v>
      </c>
      <c r="J751" s="397" t="s">
        <v>228</v>
      </c>
      <c r="K751" s="398"/>
      <c r="L751" s="404"/>
      <c r="M751" s="400"/>
    </row>
    <row r="752" spans="1:13" s="148" customFormat="1" hidden="1" x14ac:dyDescent="0.25">
      <c r="A752" s="400"/>
      <c r="B752" s="398"/>
      <c r="C752" s="398"/>
      <c r="D752" s="405"/>
      <c r="E752" s="398"/>
      <c r="F752" s="395"/>
      <c r="G752" s="396"/>
      <c r="H752" s="399"/>
      <c r="I752" s="395" t="s">
        <v>228</v>
      </c>
      <c r="J752" s="397" t="s">
        <v>228</v>
      </c>
      <c r="K752" s="398"/>
      <c r="L752" s="404"/>
      <c r="M752" s="400"/>
    </row>
    <row r="753" spans="1:13" s="148" customFormat="1" hidden="1" x14ac:dyDescent="0.25">
      <c r="A753" s="400"/>
      <c r="B753" s="398"/>
      <c r="C753" s="398"/>
      <c r="D753" s="405"/>
      <c r="E753" s="398"/>
      <c r="F753" s="395"/>
      <c r="G753" s="396"/>
      <c r="H753" s="399"/>
      <c r="I753" s="395" t="s">
        <v>228</v>
      </c>
      <c r="J753" s="397" t="s">
        <v>228</v>
      </c>
      <c r="K753" s="398"/>
      <c r="L753" s="404"/>
      <c r="M753" s="400"/>
    </row>
    <row r="754" spans="1:13" s="148" customFormat="1" hidden="1" x14ac:dyDescent="0.25">
      <c r="A754" s="400"/>
      <c r="B754" s="398"/>
      <c r="C754" s="398"/>
      <c r="D754" s="405"/>
      <c r="E754" s="398"/>
      <c r="F754" s="395"/>
      <c r="G754" s="396"/>
      <c r="H754" s="399"/>
      <c r="I754" s="395" t="s">
        <v>228</v>
      </c>
      <c r="J754" s="397" t="s">
        <v>228</v>
      </c>
      <c r="K754" s="398"/>
      <c r="L754" s="404"/>
      <c r="M754" s="400"/>
    </row>
    <row r="755" spans="1:13" s="148" customFormat="1" hidden="1" x14ac:dyDescent="0.25">
      <c r="A755" s="400"/>
      <c r="B755" s="398"/>
      <c r="C755" s="398"/>
      <c r="D755" s="405"/>
      <c r="E755" s="398"/>
      <c r="F755" s="395"/>
      <c r="G755" s="396"/>
      <c r="H755" s="399"/>
      <c r="I755" s="395" t="s">
        <v>228</v>
      </c>
      <c r="J755" s="397" t="s">
        <v>228</v>
      </c>
      <c r="K755" s="398"/>
      <c r="L755" s="404"/>
      <c r="M755" s="400"/>
    </row>
    <row r="756" spans="1:13" s="148" customFormat="1" hidden="1" x14ac:dyDescent="0.25">
      <c r="A756" s="400"/>
      <c r="B756" s="398"/>
      <c r="C756" s="398"/>
      <c r="D756" s="405"/>
      <c r="E756" s="398"/>
      <c r="F756" s="395"/>
      <c r="G756" s="396"/>
      <c r="H756" s="399"/>
      <c r="I756" s="395" t="s">
        <v>228</v>
      </c>
      <c r="J756" s="397" t="s">
        <v>228</v>
      </c>
      <c r="K756" s="398"/>
      <c r="L756" s="404"/>
      <c r="M756" s="400"/>
    </row>
    <row r="757" spans="1:13" s="148" customFormat="1" hidden="1" x14ac:dyDescent="0.25">
      <c r="A757" s="400"/>
      <c r="B757" s="398"/>
      <c r="C757" s="398"/>
      <c r="D757" s="405"/>
      <c r="E757" s="398"/>
      <c r="F757" s="395"/>
      <c r="G757" s="396"/>
      <c r="H757" s="399"/>
      <c r="I757" s="395" t="s">
        <v>228</v>
      </c>
      <c r="J757" s="397" t="s">
        <v>228</v>
      </c>
      <c r="K757" s="398"/>
      <c r="L757" s="404"/>
      <c r="M757" s="400"/>
    </row>
    <row r="758" spans="1:13" s="148" customFormat="1" hidden="1" x14ac:dyDescent="0.25">
      <c r="A758" s="400"/>
      <c r="B758" s="398"/>
      <c r="C758" s="398"/>
      <c r="D758" s="405"/>
      <c r="E758" s="398"/>
      <c r="F758" s="395"/>
      <c r="G758" s="396"/>
      <c r="H758" s="399"/>
      <c r="I758" s="395" t="s">
        <v>228</v>
      </c>
      <c r="J758" s="397" t="s">
        <v>228</v>
      </c>
      <c r="K758" s="398"/>
      <c r="L758" s="404"/>
      <c r="M758" s="400"/>
    </row>
    <row r="759" spans="1:13" s="148" customFormat="1" hidden="1" x14ac:dyDescent="0.25">
      <c r="A759" s="400"/>
      <c r="B759" s="398"/>
      <c r="C759" s="398"/>
      <c r="D759" s="405"/>
      <c r="E759" s="398"/>
      <c r="F759" s="395"/>
      <c r="G759" s="396"/>
      <c r="H759" s="399"/>
      <c r="I759" s="395" t="s">
        <v>228</v>
      </c>
      <c r="J759" s="397" t="s">
        <v>228</v>
      </c>
      <c r="K759" s="398"/>
      <c r="L759" s="404"/>
      <c r="M759" s="400"/>
    </row>
    <row r="760" spans="1:13" s="148" customFormat="1" hidden="1" x14ac:dyDescent="0.25">
      <c r="A760" s="400"/>
      <c r="B760" s="398"/>
      <c r="C760" s="398"/>
      <c r="D760" s="405"/>
      <c r="E760" s="398"/>
      <c r="F760" s="395"/>
      <c r="G760" s="396"/>
      <c r="H760" s="399"/>
      <c r="I760" s="395" t="s">
        <v>228</v>
      </c>
      <c r="J760" s="397" t="s">
        <v>228</v>
      </c>
      <c r="K760" s="398"/>
      <c r="L760" s="404"/>
      <c r="M760" s="400"/>
    </row>
    <row r="761" spans="1:13" s="148" customFormat="1" hidden="1" x14ac:dyDescent="0.25">
      <c r="A761" s="400"/>
      <c r="B761" s="398"/>
      <c r="C761" s="398"/>
      <c r="D761" s="405"/>
      <c r="E761" s="398"/>
      <c r="F761" s="395"/>
      <c r="G761" s="396"/>
      <c r="H761" s="399"/>
      <c r="I761" s="395" t="s">
        <v>228</v>
      </c>
      <c r="J761" s="397" t="s">
        <v>228</v>
      </c>
      <c r="K761" s="398"/>
      <c r="L761" s="404"/>
      <c r="M761" s="400"/>
    </row>
    <row r="762" spans="1:13" s="148" customFormat="1" hidden="1" x14ac:dyDescent="0.25">
      <c r="A762" s="400"/>
      <c r="B762" s="398"/>
      <c r="C762" s="398"/>
      <c r="D762" s="405"/>
      <c r="E762" s="398"/>
      <c r="F762" s="395"/>
      <c r="G762" s="396"/>
      <c r="H762" s="399"/>
      <c r="I762" s="395" t="s">
        <v>228</v>
      </c>
      <c r="J762" s="397" t="s">
        <v>228</v>
      </c>
      <c r="K762" s="398"/>
      <c r="L762" s="404"/>
      <c r="M762" s="400"/>
    </row>
    <row r="763" spans="1:13" s="148" customFormat="1" hidden="1" x14ac:dyDescent="0.25">
      <c r="A763" s="400"/>
      <c r="B763" s="398"/>
      <c r="C763" s="398"/>
      <c r="D763" s="405"/>
      <c r="E763" s="398"/>
      <c r="F763" s="395"/>
      <c r="G763" s="396"/>
      <c r="H763" s="399"/>
      <c r="I763" s="395" t="s">
        <v>228</v>
      </c>
      <c r="J763" s="397" t="s">
        <v>228</v>
      </c>
      <c r="K763" s="398"/>
      <c r="L763" s="404"/>
      <c r="M763" s="400"/>
    </row>
    <row r="764" spans="1:13" s="148" customFormat="1" hidden="1" x14ac:dyDescent="0.25">
      <c r="A764" s="400"/>
      <c r="B764" s="398"/>
      <c r="C764" s="398"/>
      <c r="D764" s="405"/>
      <c r="E764" s="398"/>
      <c r="F764" s="395"/>
      <c r="G764" s="396"/>
      <c r="H764" s="399"/>
      <c r="I764" s="395" t="s">
        <v>228</v>
      </c>
      <c r="J764" s="397" t="s">
        <v>228</v>
      </c>
      <c r="K764" s="398"/>
      <c r="L764" s="404"/>
      <c r="M764" s="400"/>
    </row>
    <row r="765" spans="1:13" s="148" customFormat="1" hidden="1" x14ac:dyDescent="0.25">
      <c r="A765" s="400"/>
      <c r="B765" s="398"/>
      <c r="C765" s="398"/>
      <c r="D765" s="405"/>
      <c r="E765" s="398"/>
      <c r="F765" s="395"/>
      <c r="G765" s="396"/>
      <c r="H765" s="399"/>
      <c r="I765" s="395" t="s">
        <v>228</v>
      </c>
      <c r="J765" s="397" t="s">
        <v>228</v>
      </c>
      <c r="K765" s="398"/>
      <c r="L765" s="404"/>
      <c r="M765" s="400"/>
    </row>
    <row r="766" spans="1:13" s="148" customFormat="1" hidden="1" x14ac:dyDescent="0.25">
      <c r="A766" s="400"/>
      <c r="B766" s="398"/>
      <c r="C766" s="398"/>
      <c r="D766" s="405"/>
      <c r="E766" s="398"/>
      <c r="F766" s="395"/>
      <c r="G766" s="396"/>
      <c r="H766" s="399"/>
      <c r="I766" s="395" t="s">
        <v>228</v>
      </c>
      <c r="J766" s="397" t="s">
        <v>228</v>
      </c>
      <c r="K766" s="398"/>
      <c r="L766" s="404"/>
      <c r="M766" s="400"/>
    </row>
    <row r="767" spans="1:13" s="148" customFormat="1" hidden="1" x14ac:dyDescent="0.25">
      <c r="A767" s="400"/>
      <c r="B767" s="398"/>
      <c r="C767" s="398"/>
      <c r="D767" s="405"/>
      <c r="E767" s="398"/>
      <c r="F767" s="395"/>
      <c r="G767" s="396"/>
      <c r="H767" s="399"/>
      <c r="I767" s="395" t="s">
        <v>228</v>
      </c>
      <c r="J767" s="397" t="s">
        <v>228</v>
      </c>
      <c r="K767" s="398"/>
      <c r="L767" s="404"/>
      <c r="M767" s="400"/>
    </row>
    <row r="768" spans="1:13" s="148" customFormat="1" hidden="1" x14ac:dyDescent="0.25">
      <c r="A768" s="400"/>
      <c r="B768" s="398"/>
      <c r="C768" s="398"/>
      <c r="D768" s="405"/>
      <c r="E768" s="398"/>
      <c r="F768" s="395"/>
      <c r="G768" s="396"/>
      <c r="H768" s="399"/>
      <c r="I768" s="395" t="s">
        <v>228</v>
      </c>
      <c r="J768" s="397" t="s">
        <v>228</v>
      </c>
      <c r="K768" s="398"/>
      <c r="L768" s="404"/>
      <c r="M768" s="400"/>
    </row>
    <row r="769" spans="1:13" s="148" customFormat="1" hidden="1" x14ac:dyDescent="0.25">
      <c r="A769" s="400"/>
      <c r="B769" s="398"/>
      <c r="C769" s="398"/>
      <c r="D769" s="405"/>
      <c r="E769" s="398"/>
      <c r="F769" s="395"/>
      <c r="G769" s="396"/>
      <c r="H769" s="399"/>
      <c r="I769" s="395" t="s">
        <v>228</v>
      </c>
      <c r="J769" s="397" t="s">
        <v>228</v>
      </c>
      <c r="K769" s="398"/>
      <c r="L769" s="404"/>
      <c r="M769" s="400"/>
    </row>
    <row r="770" spans="1:13" s="148" customFormat="1" hidden="1" x14ac:dyDescent="0.25">
      <c r="A770" s="400"/>
      <c r="B770" s="398"/>
      <c r="C770" s="398"/>
      <c r="D770" s="405"/>
      <c r="E770" s="398"/>
      <c r="F770" s="395"/>
      <c r="G770" s="396"/>
      <c r="H770" s="399"/>
      <c r="I770" s="395" t="s">
        <v>228</v>
      </c>
      <c r="J770" s="397" t="s">
        <v>228</v>
      </c>
      <c r="K770" s="398"/>
      <c r="L770" s="404"/>
      <c r="M770" s="400"/>
    </row>
    <row r="771" spans="1:13" s="148" customFormat="1" hidden="1" x14ac:dyDescent="0.25">
      <c r="A771" s="400"/>
      <c r="B771" s="398"/>
      <c r="C771" s="398"/>
      <c r="D771" s="405"/>
      <c r="E771" s="398"/>
      <c r="F771" s="395"/>
      <c r="G771" s="396"/>
      <c r="H771" s="399"/>
      <c r="I771" s="395" t="s">
        <v>228</v>
      </c>
      <c r="J771" s="397" t="s">
        <v>228</v>
      </c>
      <c r="K771" s="398"/>
      <c r="L771" s="404"/>
      <c r="M771" s="400"/>
    </row>
    <row r="772" spans="1:13" s="148" customFormat="1" hidden="1" x14ac:dyDescent="0.25">
      <c r="A772" s="400"/>
      <c r="B772" s="398"/>
      <c r="C772" s="398"/>
      <c r="D772" s="405"/>
      <c r="E772" s="398"/>
      <c r="F772" s="395"/>
      <c r="G772" s="396"/>
      <c r="H772" s="399"/>
      <c r="I772" s="395" t="s">
        <v>228</v>
      </c>
      <c r="J772" s="397" t="s">
        <v>228</v>
      </c>
      <c r="K772" s="398"/>
      <c r="L772" s="404"/>
      <c r="M772" s="400"/>
    </row>
    <row r="773" spans="1:13" s="148" customFormat="1" hidden="1" x14ac:dyDescent="0.25">
      <c r="A773" s="400"/>
      <c r="B773" s="398"/>
      <c r="C773" s="398"/>
      <c r="D773" s="405"/>
      <c r="E773" s="398"/>
      <c r="F773" s="395"/>
      <c r="G773" s="396"/>
      <c r="H773" s="399"/>
      <c r="I773" s="395" t="s">
        <v>228</v>
      </c>
      <c r="J773" s="397" t="s">
        <v>228</v>
      </c>
      <c r="K773" s="398"/>
      <c r="L773" s="404"/>
      <c r="M773" s="400"/>
    </row>
    <row r="774" spans="1:13" s="148" customFormat="1" hidden="1" x14ac:dyDescent="0.25">
      <c r="A774" s="400"/>
      <c r="B774" s="398"/>
      <c r="C774" s="398"/>
      <c r="D774" s="405"/>
      <c r="E774" s="398"/>
      <c r="F774" s="395"/>
      <c r="G774" s="396"/>
      <c r="H774" s="399"/>
      <c r="I774" s="395" t="s">
        <v>228</v>
      </c>
      <c r="J774" s="397" t="s">
        <v>228</v>
      </c>
      <c r="K774" s="398"/>
      <c r="L774" s="404"/>
      <c r="M774" s="400"/>
    </row>
    <row r="775" spans="1:13" s="148" customFormat="1" hidden="1" x14ac:dyDescent="0.25">
      <c r="A775" s="400"/>
      <c r="B775" s="398"/>
      <c r="C775" s="398"/>
      <c r="D775" s="405"/>
      <c r="E775" s="398"/>
      <c r="F775" s="395"/>
      <c r="G775" s="396"/>
      <c r="H775" s="399"/>
      <c r="I775" s="395" t="s">
        <v>228</v>
      </c>
      <c r="J775" s="397" t="s">
        <v>228</v>
      </c>
      <c r="K775" s="398"/>
      <c r="L775" s="404"/>
      <c r="M775" s="400"/>
    </row>
    <row r="776" spans="1:13" s="148" customFormat="1" hidden="1" x14ac:dyDescent="0.25">
      <c r="A776" s="400"/>
      <c r="B776" s="398"/>
      <c r="C776" s="398"/>
      <c r="D776" s="405"/>
      <c r="E776" s="398"/>
      <c r="F776" s="395"/>
      <c r="G776" s="396"/>
      <c r="H776" s="399"/>
      <c r="I776" s="395" t="s">
        <v>228</v>
      </c>
      <c r="J776" s="397" t="s">
        <v>228</v>
      </c>
      <c r="K776" s="398"/>
      <c r="L776" s="404"/>
      <c r="M776" s="400"/>
    </row>
    <row r="777" spans="1:13" s="148" customFormat="1" hidden="1" x14ac:dyDescent="0.25">
      <c r="A777" s="400"/>
      <c r="B777" s="398"/>
      <c r="C777" s="398"/>
      <c r="D777" s="405"/>
      <c r="E777" s="398"/>
      <c r="F777" s="395"/>
      <c r="G777" s="396"/>
      <c r="H777" s="399"/>
      <c r="I777" s="395" t="s">
        <v>228</v>
      </c>
      <c r="J777" s="397" t="s">
        <v>228</v>
      </c>
      <c r="K777" s="398"/>
      <c r="L777" s="404"/>
      <c r="M777" s="400"/>
    </row>
    <row r="778" spans="1:13" s="148" customFormat="1" hidden="1" x14ac:dyDescent="0.25">
      <c r="A778" s="400"/>
      <c r="B778" s="398"/>
      <c r="C778" s="398"/>
      <c r="D778" s="405"/>
      <c r="E778" s="398"/>
      <c r="F778" s="395"/>
      <c r="G778" s="396"/>
      <c r="H778" s="399"/>
      <c r="I778" s="395" t="s">
        <v>228</v>
      </c>
      <c r="J778" s="397" t="s">
        <v>228</v>
      </c>
      <c r="K778" s="398"/>
      <c r="L778" s="404"/>
      <c r="M778" s="400"/>
    </row>
    <row r="779" spans="1:13" s="148" customFormat="1" hidden="1" x14ac:dyDescent="0.25">
      <c r="A779" s="400"/>
      <c r="B779" s="398"/>
      <c r="C779" s="398"/>
      <c r="D779" s="405"/>
      <c r="E779" s="398"/>
      <c r="F779" s="395"/>
      <c r="G779" s="396"/>
      <c r="H779" s="399"/>
      <c r="I779" s="395" t="s">
        <v>228</v>
      </c>
      <c r="J779" s="397" t="s">
        <v>228</v>
      </c>
      <c r="K779" s="398"/>
      <c r="L779" s="404"/>
      <c r="M779" s="400"/>
    </row>
    <row r="780" spans="1:13" s="148" customFormat="1" hidden="1" x14ac:dyDescent="0.25">
      <c r="A780" s="400"/>
      <c r="B780" s="398"/>
      <c r="C780" s="398"/>
      <c r="D780" s="405"/>
      <c r="E780" s="398"/>
      <c r="F780" s="395"/>
      <c r="G780" s="396"/>
      <c r="H780" s="399"/>
      <c r="I780" s="395" t="s">
        <v>228</v>
      </c>
      <c r="J780" s="397" t="s">
        <v>228</v>
      </c>
      <c r="K780" s="398"/>
      <c r="L780" s="404"/>
      <c r="M780" s="400"/>
    </row>
    <row r="781" spans="1:13" s="148" customFormat="1" hidden="1" x14ac:dyDescent="0.25">
      <c r="A781" s="400"/>
      <c r="B781" s="398"/>
      <c r="C781" s="398"/>
      <c r="D781" s="405"/>
      <c r="E781" s="398"/>
      <c r="F781" s="395"/>
      <c r="G781" s="396"/>
      <c r="H781" s="399"/>
      <c r="I781" s="395" t="s">
        <v>228</v>
      </c>
      <c r="J781" s="397" t="s">
        <v>228</v>
      </c>
      <c r="K781" s="398"/>
      <c r="L781" s="404"/>
      <c r="M781" s="400"/>
    </row>
    <row r="782" spans="1:13" s="148" customFormat="1" hidden="1" x14ac:dyDescent="0.25">
      <c r="A782" s="400"/>
      <c r="B782" s="398"/>
      <c r="C782" s="398"/>
      <c r="D782" s="405"/>
      <c r="E782" s="398"/>
      <c r="F782" s="395"/>
      <c r="G782" s="396"/>
      <c r="H782" s="399"/>
      <c r="I782" s="395" t="s">
        <v>228</v>
      </c>
      <c r="J782" s="397" t="s">
        <v>228</v>
      </c>
      <c r="K782" s="398"/>
      <c r="L782" s="404"/>
      <c r="M782" s="400"/>
    </row>
    <row r="783" spans="1:13" s="148" customFormat="1" hidden="1" x14ac:dyDescent="0.25">
      <c r="A783" s="400"/>
      <c r="B783" s="398"/>
      <c r="C783" s="398"/>
      <c r="D783" s="405"/>
      <c r="E783" s="398"/>
      <c r="F783" s="395"/>
      <c r="G783" s="396"/>
      <c r="H783" s="399"/>
      <c r="I783" s="395" t="s">
        <v>228</v>
      </c>
      <c r="J783" s="397" t="s">
        <v>228</v>
      </c>
      <c r="K783" s="398"/>
      <c r="L783" s="404"/>
      <c r="M783" s="400"/>
    </row>
    <row r="784" spans="1:13" s="148" customFormat="1" hidden="1" x14ac:dyDescent="0.25">
      <c r="A784" s="400"/>
      <c r="B784" s="398"/>
      <c r="C784" s="398"/>
      <c r="D784" s="405"/>
      <c r="E784" s="398"/>
      <c r="F784" s="395"/>
      <c r="G784" s="396"/>
      <c r="H784" s="399"/>
      <c r="I784" s="395" t="s">
        <v>228</v>
      </c>
      <c r="J784" s="397" t="s">
        <v>228</v>
      </c>
      <c r="K784" s="398"/>
      <c r="L784" s="404"/>
      <c r="M784" s="400"/>
    </row>
    <row r="785" spans="1:13" s="148" customFormat="1" hidden="1" x14ac:dyDescent="0.25">
      <c r="A785" s="400"/>
      <c r="B785" s="398"/>
      <c r="C785" s="398"/>
      <c r="D785" s="405"/>
      <c r="E785" s="398"/>
      <c r="F785" s="395"/>
      <c r="G785" s="396"/>
      <c r="H785" s="399"/>
      <c r="I785" s="395" t="s">
        <v>228</v>
      </c>
      <c r="J785" s="397" t="s">
        <v>228</v>
      </c>
      <c r="K785" s="398"/>
      <c r="L785" s="404"/>
      <c r="M785" s="400"/>
    </row>
    <row r="786" spans="1:13" s="148" customFormat="1" hidden="1" x14ac:dyDescent="0.25">
      <c r="A786" s="400"/>
      <c r="B786" s="398"/>
      <c r="C786" s="398"/>
      <c r="D786" s="405"/>
      <c r="E786" s="398"/>
      <c r="F786" s="395"/>
      <c r="G786" s="396"/>
      <c r="H786" s="399"/>
      <c r="I786" s="395" t="s">
        <v>228</v>
      </c>
      <c r="J786" s="397" t="s">
        <v>228</v>
      </c>
      <c r="K786" s="398"/>
      <c r="L786" s="404"/>
      <c r="M786" s="400"/>
    </row>
    <row r="787" spans="1:13" s="148" customFormat="1" hidden="1" x14ac:dyDescent="0.25">
      <c r="A787" s="400"/>
      <c r="B787" s="398"/>
      <c r="C787" s="398"/>
      <c r="D787" s="405"/>
      <c r="E787" s="398"/>
      <c r="F787" s="395"/>
      <c r="G787" s="396"/>
      <c r="H787" s="399"/>
      <c r="I787" s="395" t="s">
        <v>228</v>
      </c>
      <c r="J787" s="397" t="s">
        <v>228</v>
      </c>
      <c r="K787" s="398"/>
      <c r="L787" s="404"/>
      <c r="M787" s="400"/>
    </row>
    <row r="788" spans="1:13" s="148" customFormat="1" hidden="1" x14ac:dyDescent="0.25">
      <c r="A788" s="400"/>
      <c r="B788" s="398"/>
      <c r="C788" s="398"/>
      <c r="D788" s="405"/>
      <c r="E788" s="398"/>
      <c r="F788" s="395"/>
      <c r="G788" s="396"/>
      <c r="H788" s="399"/>
      <c r="I788" s="395" t="s">
        <v>228</v>
      </c>
      <c r="J788" s="397" t="s">
        <v>228</v>
      </c>
      <c r="K788" s="398"/>
      <c r="L788" s="404"/>
      <c r="M788" s="400"/>
    </row>
    <row r="789" spans="1:13" s="148" customFormat="1" hidden="1" x14ac:dyDescent="0.25">
      <c r="A789" s="400"/>
      <c r="B789" s="398"/>
      <c r="C789" s="398"/>
      <c r="D789" s="405"/>
      <c r="E789" s="398"/>
      <c r="F789" s="395"/>
      <c r="G789" s="396"/>
      <c r="H789" s="399"/>
      <c r="I789" s="395" t="s">
        <v>228</v>
      </c>
      <c r="J789" s="397" t="s">
        <v>228</v>
      </c>
      <c r="K789" s="398"/>
      <c r="L789" s="404"/>
      <c r="M789" s="400"/>
    </row>
    <row r="790" spans="1:13" s="148" customFormat="1" hidden="1" x14ac:dyDescent="0.25">
      <c r="A790" s="400"/>
      <c r="B790" s="398"/>
      <c r="C790" s="398"/>
      <c r="D790" s="405"/>
      <c r="E790" s="398"/>
      <c r="F790" s="395"/>
      <c r="G790" s="396"/>
      <c r="H790" s="399"/>
      <c r="I790" s="395" t="s">
        <v>228</v>
      </c>
      <c r="J790" s="397" t="s">
        <v>228</v>
      </c>
      <c r="K790" s="398"/>
      <c r="L790" s="404"/>
      <c r="M790" s="400"/>
    </row>
    <row r="791" spans="1:13" s="148" customFormat="1" hidden="1" x14ac:dyDescent="0.25">
      <c r="A791" s="400"/>
      <c r="B791" s="398"/>
      <c r="C791" s="398"/>
      <c r="D791" s="405"/>
      <c r="E791" s="398"/>
      <c r="F791" s="395"/>
      <c r="G791" s="396"/>
      <c r="H791" s="399"/>
      <c r="I791" s="395" t="s">
        <v>228</v>
      </c>
      <c r="J791" s="397" t="s">
        <v>228</v>
      </c>
      <c r="K791" s="398"/>
      <c r="L791" s="404"/>
      <c r="M791" s="400"/>
    </row>
    <row r="792" spans="1:13" s="148" customFormat="1" hidden="1" x14ac:dyDescent="0.25">
      <c r="A792" s="400"/>
      <c r="B792" s="398"/>
      <c r="C792" s="398"/>
      <c r="D792" s="405"/>
      <c r="E792" s="398"/>
      <c r="F792" s="395"/>
      <c r="G792" s="396"/>
      <c r="H792" s="399"/>
      <c r="I792" s="395" t="s">
        <v>228</v>
      </c>
      <c r="J792" s="397" t="s">
        <v>228</v>
      </c>
      <c r="K792" s="398"/>
      <c r="L792" s="404"/>
      <c r="M792" s="400"/>
    </row>
    <row r="793" spans="1:13" s="148" customFormat="1" hidden="1" x14ac:dyDescent="0.25">
      <c r="A793" s="400"/>
      <c r="B793" s="398"/>
      <c r="C793" s="398"/>
      <c r="D793" s="405"/>
      <c r="E793" s="398"/>
      <c r="F793" s="395"/>
      <c r="G793" s="396"/>
      <c r="H793" s="399"/>
      <c r="I793" s="395" t="s">
        <v>228</v>
      </c>
      <c r="J793" s="397" t="s">
        <v>228</v>
      </c>
      <c r="K793" s="398"/>
      <c r="L793" s="404"/>
      <c r="M793" s="400"/>
    </row>
    <row r="794" spans="1:13" s="148" customFormat="1" hidden="1" x14ac:dyDescent="0.25">
      <c r="A794" s="400"/>
      <c r="B794" s="398"/>
      <c r="C794" s="398"/>
      <c r="D794" s="405"/>
      <c r="E794" s="398"/>
      <c r="F794" s="395"/>
      <c r="G794" s="396"/>
      <c r="H794" s="399"/>
      <c r="I794" s="395" t="s">
        <v>228</v>
      </c>
      <c r="J794" s="397" t="s">
        <v>228</v>
      </c>
      <c r="K794" s="398"/>
      <c r="L794" s="404"/>
      <c r="M794" s="400"/>
    </row>
    <row r="795" spans="1:13" s="148" customFormat="1" hidden="1" x14ac:dyDescent="0.25">
      <c r="A795" s="400"/>
      <c r="B795" s="398"/>
      <c r="C795" s="398"/>
      <c r="D795" s="405"/>
      <c r="E795" s="398"/>
      <c r="F795" s="395"/>
      <c r="G795" s="396"/>
      <c r="H795" s="399"/>
      <c r="I795" s="395" t="s">
        <v>228</v>
      </c>
      <c r="J795" s="397" t="s">
        <v>228</v>
      </c>
      <c r="K795" s="398"/>
      <c r="L795" s="404"/>
      <c r="M795" s="400"/>
    </row>
    <row r="796" spans="1:13" s="148" customFormat="1" hidden="1" x14ac:dyDescent="0.25">
      <c r="A796" s="400"/>
      <c r="B796" s="398"/>
      <c r="C796" s="398"/>
      <c r="D796" s="405"/>
      <c r="E796" s="398"/>
      <c r="F796" s="395"/>
      <c r="G796" s="396"/>
      <c r="H796" s="399"/>
      <c r="I796" s="395" t="s">
        <v>228</v>
      </c>
      <c r="J796" s="397" t="s">
        <v>228</v>
      </c>
      <c r="K796" s="398"/>
      <c r="L796" s="404"/>
      <c r="M796" s="400"/>
    </row>
    <row r="797" spans="1:13" s="148" customFormat="1" hidden="1" x14ac:dyDescent="0.25">
      <c r="A797" s="400"/>
      <c r="B797" s="398"/>
      <c r="C797" s="398"/>
      <c r="D797" s="405"/>
      <c r="E797" s="398"/>
      <c r="F797" s="395"/>
      <c r="G797" s="396"/>
      <c r="H797" s="399"/>
      <c r="I797" s="395" t="s">
        <v>228</v>
      </c>
      <c r="J797" s="397" t="s">
        <v>228</v>
      </c>
      <c r="K797" s="398"/>
      <c r="L797" s="404"/>
      <c r="M797" s="400"/>
    </row>
    <row r="798" spans="1:13" s="148" customFormat="1" hidden="1" x14ac:dyDescent="0.25">
      <c r="A798" s="400"/>
      <c r="B798" s="398"/>
      <c r="C798" s="398"/>
      <c r="D798" s="405"/>
      <c r="E798" s="398"/>
      <c r="F798" s="395"/>
      <c r="G798" s="396"/>
      <c r="H798" s="399"/>
      <c r="I798" s="395" t="s">
        <v>228</v>
      </c>
      <c r="J798" s="397" t="s">
        <v>228</v>
      </c>
      <c r="K798" s="398"/>
      <c r="L798" s="404"/>
      <c r="M798" s="400"/>
    </row>
    <row r="799" spans="1:13" s="148" customFormat="1" hidden="1" x14ac:dyDescent="0.25">
      <c r="A799" s="400"/>
      <c r="B799" s="398"/>
      <c r="C799" s="398"/>
      <c r="D799" s="405"/>
      <c r="E799" s="398"/>
      <c r="F799" s="395"/>
      <c r="G799" s="396"/>
      <c r="H799" s="399"/>
      <c r="I799" s="395" t="s">
        <v>228</v>
      </c>
      <c r="J799" s="397" t="s">
        <v>228</v>
      </c>
      <c r="K799" s="398"/>
      <c r="L799" s="404"/>
      <c r="M799" s="400"/>
    </row>
    <row r="800" spans="1:13" s="148" customFormat="1" hidden="1" x14ac:dyDescent="0.25">
      <c r="A800" s="400"/>
      <c r="B800" s="398"/>
      <c r="C800" s="398"/>
      <c r="D800" s="405"/>
      <c r="E800" s="398"/>
      <c r="F800" s="395"/>
      <c r="G800" s="396"/>
      <c r="H800" s="399"/>
      <c r="I800" s="395" t="s">
        <v>228</v>
      </c>
      <c r="J800" s="397" t="s">
        <v>228</v>
      </c>
      <c r="K800" s="398"/>
      <c r="L800" s="404"/>
      <c r="M800" s="400"/>
    </row>
    <row r="801" spans="1:13" s="148" customFormat="1" hidden="1" x14ac:dyDescent="0.25">
      <c r="A801" s="400"/>
      <c r="B801" s="398"/>
      <c r="C801" s="398"/>
      <c r="D801" s="405"/>
      <c r="E801" s="398"/>
      <c r="F801" s="395"/>
      <c r="G801" s="396"/>
      <c r="H801" s="399"/>
      <c r="I801" s="395" t="s">
        <v>228</v>
      </c>
      <c r="J801" s="397" t="s">
        <v>228</v>
      </c>
      <c r="K801" s="398"/>
      <c r="L801" s="404"/>
      <c r="M801" s="400"/>
    </row>
    <row r="802" spans="1:13" s="148" customFormat="1" hidden="1" x14ac:dyDescent="0.25">
      <c r="A802" s="400"/>
      <c r="B802" s="398"/>
      <c r="C802" s="398"/>
      <c r="D802" s="405"/>
      <c r="E802" s="398"/>
      <c r="F802" s="395"/>
      <c r="G802" s="396"/>
      <c r="H802" s="399"/>
      <c r="I802" s="395" t="s">
        <v>228</v>
      </c>
      <c r="J802" s="397" t="s">
        <v>228</v>
      </c>
      <c r="K802" s="398"/>
      <c r="L802" s="404"/>
      <c r="M802" s="400"/>
    </row>
    <row r="803" spans="1:13" s="148" customFormat="1" hidden="1" x14ac:dyDescent="0.25">
      <c r="A803" s="400"/>
      <c r="B803" s="398"/>
      <c r="C803" s="398"/>
      <c r="D803" s="405"/>
      <c r="E803" s="398"/>
      <c r="F803" s="395"/>
      <c r="G803" s="396"/>
      <c r="H803" s="399"/>
      <c r="I803" s="395" t="s">
        <v>228</v>
      </c>
      <c r="J803" s="397" t="s">
        <v>228</v>
      </c>
      <c r="K803" s="398"/>
      <c r="L803" s="404"/>
      <c r="M803" s="400"/>
    </row>
    <row r="804" spans="1:13" s="148" customFormat="1" hidden="1" x14ac:dyDescent="0.25">
      <c r="A804" s="400"/>
      <c r="B804" s="398"/>
      <c r="C804" s="398"/>
      <c r="D804" s="405"/>
      <c r="E804" s="398"/>
      <c r="F804" s="395"/>
      <c r="G804" s="396"/>
      <c r="H804" s="399"/>
      <c r="I804" s="395" t="s">
        <v>228</v>
      </c>
      <c r="J804" s="397" t="s">
        <v>228</v>
      </c>
      <c r="K804" s="398"/>
      <c r="L804" s="404"/>
      <c r="M804" s="400"/>
    </row>
    <row r="805" spans="1:13" s="148" customFormat="1" hidden="1" x14ac:dyDescent="0.25">
      <c r="A805" s="400"/>
      <c r="B805" s="398"/>
      <c r="C805" s="398"/>
      <c r="D805" s="405"/>
      <c r="E805" s="398"/>
      <c r="F805" s="395"/>
      <c r="G805" s="396"/>
      <c r="H805" s="399"/>
      <c r="I805" s="395" t="s">
        <v>228</v>
      </c>
      <c r="J805" s="397" t="s">
        <v>228</v>
      </c>
      <c r="K805" s="398"/>
      <c r="L805" s="404"/>
      <c r="M805" s="400"/>
    </row>
    <row r="806" spans="1:13" s="148" customFormat="1" hidden="1" x14ac:dyDescent="0.25">
      <c r="A806" s="400"/>
      <c r="B806" s="398"/>
      <c r="C806" s="398"/>
      <c r="D806" s="405"/>
      <c r="E806" s="398"/>
      <c r="F806" s="395"/>
      <c r="G806" s="396"/>
      <c r="H806" s="399"/>
      <c r="I806" s="395" t="s">
        <v>228</v>
      </c>
      <c r="J806" s="397" t="s">
        <v>228</v>
      </c>
      <c r="K806" s="398"/>
      <c r="L806" s="404"/>
      <c r="M806" s="400"/>
    </row>
    <row r="807" spans="1:13" s="148" customFormat="1" hidden="1" x14ac:dyDescent="0.25">
      <c r="A807" s="400"/>
      <c r="B807" s="398"/>
      <c r="C807" s="398"/>
      <c r="D807" s="405"/>
      <c r="E807" s="398"/>
      <c r="F807" s="395"/>
      <c r="G807" s="396"/>
      <c r="H807" s="399"/>
      <c r="I807" s="395" t="s">
        <v>228</v>
      </c>
      <c r="J807" s="397" t="s">
        <v>228</v>
      </c>
      <c r="K807" s="398"/>
      <c r="L807" s="404"/>
      <c r="M807" s="400"/>
    </row>
    <row r="808" spans="1:13" s="148" customFormat="1" hidden="1" x14ac:dyDescent="0.25">
      <c r="A808" s="400"/>
      <c r="B808" s="398"/>
      <c r="C808" s="398"/>
      <c r="D808" s="405"/>
      <c r="E808" s="398"/>
      <c r="F808" s="395"/>
      <c r="G808" s="396"/>
      <c r="H808" s="399"/>
      <c r="I808" s="395" t="s">
        <v>228</v>
      </c>
      <c r="J808" s="397" t="s">
        <v>228</v>
      </c>
      <c r="K808" s="398"/>
      <c r="L808" s="404"/>
      <c r="M808" s="400"/>
    </row>
    <row r="809" spans="1:13" s="148" customFormat="1" hidden="1" x14ac:dyDescent="0.25">
      <c r="A809" s="400"/>
      <c r="B809" s="398"/>
      <c r="C809" s="398"/>
      <c r="D809" s="405"/>
      <c r="E809" s="398"/>
      <c r="F809" s="395"/>
      <c r="G809" s="396"/>
      <c r="H809" s="399"/>
      <c r="I809" s="395" t="s">
        <v>228</v>
      </c>
      <c r="J809" s="397" t="s">
        <v>228</v>
      </c>
      <c r="K809" s="398"/>
      <c r="L809" s="404"/>
      <c r="M809" s="400"/>
    </row>
    <row r="810" spans="1:13" s="148" customFormat="1" hidden="1" x14ac:dyDescent="0.25">
      <c r="A810" s="400"/>
      <c r="B810" s="398"/>
      <c r="C810" s="398"/>
      <c r="D810" s="405"/>
      <c r="E810" s="398"/>
      <c r="F810" s="395"/>
      <c r="G810" s="396"/>
      <c r="H810" s="399"/>
      <c r="I810" s="395" t="s">
        <v>228</v>
      </c>
      <c r="J810" s="397" t="s">
        <v>228</v>
      </c>
      <c r="K810" s="398"/>
      <c r="L810" s="404"/>
      <c r="M810" s="400"/>
    </row>
    <row r="811" spans="1:13" s="148" customFormat="1" hidden="1" x14ac:dyDescent="0.25">
      <c r="A811" s="400"/>
      <c r="B811" s="398"/>
      <c r="C811" s="398"/>
      <c r="D811" s="405"/>
      <c r="E811" s="398"/>
      <c r="F811" s="395"/>
      <c r="G811" s="396"/>
      <c r="H811" s="399"/>
      <c r="I811" s="395" t="s">
        <v>228</v>
      </c>
      <c r="J811" s="397" t="s">
        <v>228</v>
      </c>
      <c r="K811" s="398"/>
      <c r="L811" s="404"/>
      <c r="M811" s="400"/>
    </row>
    <row r="812" spans="1:13" s="148" customFormat="1" hidden="1" x14ac:dyDescent="0.25">
      <c r="A812" s="400"/>
      <c r="B812" s="398"/>
      <c r="C812" s="398"/>
      <c r="D812" s="405"/>
      <c r="E812" s="398"/>
      <c r="F812" s="395"/>
      <c r="G812" s="396"/>
      <c r="H812" s="399"/>
      <c r="I812" s="395" t="s">
        <v>228</v>
      </c>
      <c r="J812" s="397" t="s">
        <v>228</v>
      </c>
      <c r="K812" s="398"/>
      <c r="L812" s="404"/>
      <c r="M812" s="400"/>
    </row>
    <row r="813" spans="1:13" s="148" customFormat="1" hidden="1" x14ac:dyDescent="0.25">
      <c r="A813" s="400"/>
      <c r="B813" s="398"/>
      <c r="C813" s="398"/>
      <c r="D813" s="405"/>
      <c r="E813" s="398"/>
      <c r="F813" s="395"/>
      <c r="G813" s="396"/>
      <c r="H813" s="399"/>
      <c r="I813" s="395" t="s">
        <v>228</v>
      </c>
      <c r="J813" s="397" t="s">
        <v>228</v>
      </c>
      <c r="K813" s="398"/>
      <c r="L813" s="404"/>
      <c r="M813" s="400"/>
    </row>
    <row r="814" spans="1:13" s="148" customFormat="1" hidden="1" x14ac:dyDescent="0.25">
      <c r="A814" s="400"/>
      <c r="B814" s="398"/>
      <c r="C814" s="398"/>
      <c r="D814" s="405"/>
      <c r="E814" s="398"/>
      <c r="F814" s="395"/>
      <c r="G814" s="396"/>
      <c r="H814" s="399"/>
      <c r="I814" s="395" t="s">
        <v>228</v>
      </c>
      <c r="J814" s="397" t="s">
        <v>228</v>
      </c>
      <c r="K814" s="398"/>
      <c r="L814" s="404"/>
      <c r="M814" s="400"/>
    </row>
    <row r="815" spans="1:13" s="148" customFormat="1" hidden="1" x14ac:dyDescent="0.25">
      <c r="A815" s="400"/>
      <c r="B815" s="398"/>
      <c r="C815" s="398"/>
      <c r="D815" s="405"/>
      <c r="E815" s="398"/>
      <c r="F815" s="395"/>
      <c r="G815" s="396"/>
      <c r="H815" s="399"/>
      <c r="I815" s="395" t="s">
        <v>228</v>
      </c>
      <c r="J815" s="397" t="s">
        <v>228</v>
      </c>
      <c r="K815" s="398"/>
      <c r="L815" s="404"/>
      <c r="M815" s="400"/>
    </row>
    <row r="816" spans="1:13" s="148" customFormat="1" hidden="1" x14ac:dyDescent="0.25">
      <c r="A816" s="400"/>
      <c r="B816" s="398"/>
      <c r="C816" s="398"/>
      <c r="D816" s="405"/>
      <c r="E816" s="398"/>
      <c r="F816" s="395"/>
      <c r="G816" s="396"/>
      <c r="H816" s="399"/>
      <c r="I816" s="395" t="s">
        <v>228</v>
      </c>
      <c r="J816" s="397" t="s">
        <v>228</v>
      </c>
      <c r="K816" s="398"/>
      <c r="L816" s="404"/>
      <c r="M816" s="400"/>
    </row>
    <row r="817" spans="1:13" s="148" customFormat="1" hidden="1" x14ac:dyDescent="0.25">
      <c r="A817" s="400"/>
      <c r="B817" s="398"/>
      <c r="C817" s="398"/>
      <c r="D817" s="405"/>
      <c r="E817" s="398"/>
      <c r="F817" s="395"/>
      <c r="G817" s="396"/>
      <c r="H817" s="399"/>
      <c r="I817" s="395" t="s">
        <v>228</v>
      </c>
      <c r="J817" s="397" t="s">
        <v>228</v>
      </c>
      <c r="K817" s="398"/>
      <c r="L817" s="404"/>
      <c r="M817" s="400"/>
    </row>
    <row r="818" spans="1:13" s="148" customFormat="1" hidden="1" x14ac:dyDescent="0.25">
      <c r="A818" s="400"/>
      <c r="B818" s="398"/>
      <c r="C818" s="398"/>
      <c r="D818" s="405"/>
      <c r="E818" s="398"/>
      <c r="F818" s="395"/>
      <c r="G818" s="396"/>
      <c r="H818" s="399"/>
      <c r="I818" s="395" t="s">
        <v>228</v>
      </c>
      <c r="J818" s="397" t="s">
        <v>228</v>
      </c>
      <c r="K818" s="398"/>
      <c r="L818" s="404"/>
      <c r="M818" s="400"/>
    </row>
    <row r="819" spans="1:13" s="148" customFormat="1" hidden="1" x14ac:dyDescent="0.25">
      <c r="A819" s="400"/>
      <c r="B819" s="398"/>
      <c r="C819" s="398"/>
      <c r="D819" s="405"/>
      <c r="E819" s="398"/>
      <c r="F819" s="395"/>
      <c r="G819" s="396"/>
      <c r="H819" s="399"/>
      <c r="I819" s="395" t="s">
        <v>228</v>
      </c>
      <c r="J819" s="397" t="s">
        <v>228</v>
      </c>
      <c r="K819" s="398"/>
      <c r="L819" s="404"/>
      <c r="M819" s="400"/>
    </row>
    <row r="820" spans="1:13" s="148" customFormat="1" hidden="1" x14ac:dyDescent="0.25">
      <c r="A820" s="400"/>
      <c r="B820" s="398"/>
      <c r="C820" s="398"/>
      <c r="D820" s="405"/>
      <c r="E820" s="398"/>
      <c r="F820" s="395"/>
      <c r="G820" s="396"/>
      <c r="H820" s="399"/>
      <c r="I820" s="395" t="s">
        <v>228</v>
      </c>
      <c r="J820" s="397" t="s">
        <v>228</v>
      </c>
      <c r="K820" s="398"/>
      <c r="L820" s="404"/>
      <c r="M820" s="400"/>
    </row>
    <row r="821" spans="1:13" s="148" customFormat="1" hidden="1" x14ac:dyDescent="0.25">
      <c r="A821" s="400"/>
      <c r="B821" s="398"/>
      <c r="C821" s="398"/>
      <c r="D821" s="405"/>
      <c r="E821" s="398"/>
      <c r="F821" s="395"/>
      <c r="G821" s="396"/>
      <c r="H821" s="399"/>
      <c r="I821" s="395" t="s">
        <v>228</v>
      </c>
      <c r="J821" s="397" t="s">
        <v>228</v>
      </c>
      <c r="K821" s="398"/>
      <c r="L821" s="404"/>
      <c r="M821" s="400"/>
    </row>
    <row r="822" spans="1:13" s="148" customFormat="1" hidden="1" x14ac:dyDescent="0.25">
      <c r="A822" s="400"/>
      <c r="B822" s="398"/>
      <c r="C822" s="398"/>
      <c r="D822" s="405"/>
      <c r="E822" s="398"/>
      <c r="F822" s="395"/>
      <c r="G822" s="396"/>
      <c r="H822" s="399"/>
      <c r="I822" s="395" t="s">
        <v>228</v>
      </c>
      <c r="J822" s="397" t="s">
        <v>228</v>
      </c>
      <c r="K822" s="398"/>
      <c r="L822" s="404"/>
      <c r="M822" s="400"/>
    </row>
    <row r="823" spans="1:13" s="148" customFormat="1" hidden="1" x14ac:dyDescent="0.25">
      <c r="A823" s="400"/>
      <c r="B823" s="398"/>
      <c r="C823" s="398"/>
      <c r="D823" s="405"/>
      <c r="E823" s="398"/>
      <c r="F823" s="395"/>
      <c r="G823" s="396"/>
      <c r="H823" s="399"/>
      <c r="I823" s="395" t="s">
        <v>228</v>
      </c>
      <c r="J823" s="397" t="s">
        <v>228</v>
      </c>
      <c r="K823" s="398"/>
      <c r="L823" s="404"/>
      <c r="M823" s="400"/>
    </row>
    <row r="824" spans="1:13" s="148" customFormat="1" hidden="1" x14ac:dyDescent="0.25">
      <c r="A824" s="400"/>
      <c r="B824" s="398"/>
      <c r="C824" s="398"/>
      <c r="D824" s="405"/>
      <c r="E824" s="398"/>
      <c r="F824" s="395"/>
      <c r="G824" s="396"/>
      <c r="H824" s="399"/>
      <c r="I824" s="395" t="s">
        <v>228</v>
      </c>
      <c r="J824" s="397" t="s">
        <v>228</v>
      </c>
      <c r="K824" s="398"/>
      <c r="L824" s="404"/>
      <c r="M824" s="400"/>
    </row>
    <row r="825" spans="1:13" s="148" customFormat="1" hidden="1" x14ac:dyDescent="0.25">
      <c r="A825" s="400"/>
      <c r="B825" s="398"/>
      <c r="C825" s="398"/>
      <c r="D825" s="405"/>
      <c r="E825" s="398"/>
      <c r="F825" s="395"/>
      <c r="G825" s="396"/>
      <c r="H825" s="399"/>
      <c r="I825" s="395" t="s">
        <v>228</v>
      </c>
      <c r="J825" s="397" t="s">
        <v>228</v>
      </c>
      <c r="K825" s="398"/>
      <c r="L825" s="404"/>
      <c r="M825" s="400"/>
    </row>
    <row r="826" spans="1:13" s="148" customFormat="1" hidden="1" x14ac:dyDescent="0.25">
      <c r="A826" s="400"/>
      <c r="B826" s="398"/>
      <c r="C826" s="398"/>
      <c r="D826" s="405"/>
      <c r="E826" s="398"/>
      <c r="F826" s="395"/>
      <c r="G826" s="396"/>
      <c r="H826" s="399"/>
      <c r="I826" s="395" t="s">
        <v>228</v>
      </c>
      <c r="J826" s="397" t="s">
        <v>228</v>
      </c>
      <c r="K826" s="398"/>
      <c r="L826" s="404"/>
      <c r="M826" s="400"/>
    </row>
    <row r="827" spans="1:13" s="148" customFormat="1" hidden="1" x14ac:dyDescent="0.25">
      <c r="A827" s="400"/>
      <c r="B827" s="398"/>
      <c r="C827" s="398"/>
      <c r="D827" s="405"/>
      <c r="E827" s="398"/>
      <c r="F827" s="395"/>
      <c r="G827" s="396"/>
      <c r="H827" s="399"/>
      <c r="I827" s="395" t="s">
        <v>228</v>
      </c>
      <c r="J827" s="397" t="s">
        <v>228</v>
      </c>
      <c r="K827" s="398"/>
      <c r="L827" s="404"/>
      <c r="M827" s="400"/>
    </row>
    <row r="828" spans="1:13" s="148" customFormat="1" hidden="1" x14ac:dyDescent="0.25">
      <c r="A828" s="400"/>
      <c r="B828" s="398"/>
      <c r="C828" s="398"/>
      <c r="D828" s="405"/>
      <c r="E828" s="398"/>
      <c r="F828" s="395"/>
      <c r="G828" s="396"/>
      <c r="H828" s="399"/>
      <c r="I828" s="395" t="s">
        <v>228</v>
      </c>
      <c r="J828" s="397" t="s">
        <v>228</v>
      </c>
      <c r="K828" s="398"/>
      <c r="L828" s="404"/>
      <c r="M828" s="400"/>
    </row>
    <row r="829" spans="1:13" s="148" customFormat="1" hidden="1" x14ac:dyDescent="0.25">
      <c r="A829" s="400"/>
      <c r="B829" s="398"/>
      <c r="C829" s="398"/>
      <c r="D829" s="405"/>
      <c r="E829" s="398"/>
      <c r="F829" s="395"/>
      <c r="G829" s="396"/>
      <c r="H829" s="399"/>
      <c r="I829" s="395" t="s">
        <v>228</v>
      </c>
      <c r="J829" s="397" t="s">
        <v>228</v>
      </c>
      <c r="K829" s="398"/>
      <c r="L829" s="404"/>
      <c r="M829" s="400"/>
    </row>
    <row r="830" spans="1:13" s="148" customFormat="1" hidden="1" x14ac:dyDescent="0.25">
      <c r="A830" s="400"/>
      <c r="B830" s="398"/>
      <c r="C830" s="398"/>
      <c r="D830" s="405"/>
      <c r="E830" s="398"/>
      <c r="F830" s="395"/>
      <c r="G830" s="396"/>
      <c r="H830" s="399"/>
      <c r="I830" s="395" t="s">
        <v>228</v>
      </c>
      <c r="J830" s="397" t="s">
        <v>228</v>
      </c>
      <c r="K830" s="398"/>
      <c r="L830" s="404"/>
      <c r="M830" s="400"/>
    </row>
    <row r="831" spans="1:13" s="148" customFormat="1" hidden="1" x14ac:dyDescent="0.25">
      <c r="A831" s="400"/>
      <c r="B831" s="398"/>
      <c r="C831" s="398"/>
      <c r="D831" s="405"/>
      <c r="E831" s="398"/>
      <c r="F831" s="395"/>
      <c r="G831" s="396"/>
      <c r="H831" s="399"/>
      <c r="I831" s="395" t="s">
        <v>228</v>
      </c>
      <c r="J831" s="397" t="s">
        <v>228</v>
      </c>
      <c r="K831" s="398"/>
      <c r="L831" s="404"/>
      <c r="M831" s="400"/>
    </row>
    <row r="832" spans="1:13" s="148" customFormat="1" hidden="1" x14ac:dyDescent="0.25">
      <c r="A832" s="400"/>
      <c r="B832" s="398"/>
      <c r="C832" s="398"/>
      <c r="D832" s="405"/>
      <c r="E832" s="398"/>
      <c r="F832" s="395"/>
      <c r="G832" s="396"/>
      <c r="H832" s="399"/>
      <c r="I832" s="395" t="s">
        <v>228</v>
      </c>
      <c r="J832" s="397" t="s">
        <v>228</v>
      </c>
      <c r="K832" s="398"/>
      <c r="L832" s="404"/>
      <c r="M832" s="400"/>
    </row>
    <row r="833" spans="1:13" s="148" customFormat="1" hidden="1" x14ac:dyDescent="0.25">
      <c r="A833" s="400"/>
      <c r="B833" s="398"/>
      <c r="C833" s="398"/>
      <c r="D833" s="405"/>
      <c r="E833" s="398"/>
      <c r="F833" s="395"/>
      <c r="G833" s="396"/>
      <c r="H833" s="399"/>
      <c r="I833" s="395" t="s">
        <v>228</v>
      </c>
      <c r="J833" s="397" t="s">
        <v>228</v>
      </c>
      <c r="K833" s="398"/>
      <c r="L833" s="404"/>
      <c r="M833" s="400"/>
    </row>
    <row r="834" spans="1:13" s="148" customFormat="1" hidden="1" x14ac:dyDescent="0.25">
      <c r="A834" s="400"/>
      <c r="B834" s="398"/>
      <c r="C834" s="398"/>
      <c r="D834" s="405"/>
      <c r="E834" s="398"/>
      <c r="F834" s="395"/>
      <c r="G834" s="396"/>
      <c r="H834" s="399"/>
      <c r="I834" s="395" t="s">
        <v>228</v>
      </c>
      <c r="J834" s="397" t="s">
        <v>228</v>
      </c>
      <c r="K834" s="398"/>
      <c r="L834" s="404"/>
      <c r="M834" s="400"/>
    </row>
    <row r="835" spans="1:13" s="148" customFormat="1" hidden="1" x14ac:dyDescent="0.25">
      <c r="A835" s="400"/>
      <c r="B835" s="398"/>
      <c r="C835" s="398"/>
      <c r="D835" s="405"/>
      <c r="E835" s="398"/>
      <c r="F835" s="395"/>
      <c r="G835" s="396"/>
      <c r="H835" s="399"/>
      <c r="I835" s="395" t="s">
        <v>228</v>
      </c>
      <c r="J835" s="397" t="s">
        <v>228</v>
      </c>
      <c r="K835" s="398"/>
      <c r="L835" s="404"/>
      <c r="M835" s="400"/>
    </row>
    <row r="836" spans="1:13" s="148" customFormat="1" hidden="1" x14ac:dyDescent="0.25">
      <c r="A836" s="400"/>
      <c r="B836" s="398"/>
      <c r="C836" s="398"/>
      <c r="D836" s="405"/>
      <c r="E836" s="398"/>
      <c r="F836" s="395"/>
      <c r="G836" s="396"/>
      <c r="H836" s="399"/>
      <c r="I836" s="395" t="s">
        <v>228</v>
      </c>
      <c r="J836" s="397" t="s">
        <v>228</v>
      </c>
      <c r="K836" s="398"/>
      <c r="L836" s="404"/>
      <c r="M836" s="400"/>
    </row>
    <row r="837" spans="1:13" s="148" customFormat="1" hidden="1" x14ac:dyDescent="0.25">
      <c r="A837" s="400"/>
      <c r="B837" s="398"/>
      <c r="C837" s="398"/>
      <c r="D837" s="405"/>
      <c r="E837" s="398"/>
      <c r="F837" s="395"/>
      <c r="G837" s="396"/>
      <c r="H837" s="399"/>
      <c r="I837" s="395" t="s">
        <v>228</v>
      </c>
      <c r="J837" s="397" t="s">
        <v>228</v>
      </c>
      <c r="K837" s="398"/>
      <c r="L837" s="404"/>
      <c r="M837" s="400"/>
    </row>
    <row r="838" spans="1:13" s="148" customFormat="1" hidden="1" x14ac:dyDescent="0.25">
      <c r="A838" s="400"/>
      <c r="B838" s="398"/>
      <c r="C838" s="398"/>
      <c r="D838" s="405"/>
      <c r="E838" s="398"/>
      <c r="F838" s="395"/>
      <c r="G838" s="396"/>
      <c r="H838" s="399"/>
      <c r="I838" s="395" t="s">
        <v>228</v>
      </c>
      <c r="J838" s="397" t="s">
        <v>228</v>
      </c>
      <c r="K838" s="398"/>
      <c r="L838" s="404"/>
      <c r="M838" s="400"/>
    </row>
    <row r="839" spans="1:13" s="148" customFormat="1" hidden="1" x14ac:dyDescent="0.25">
      <c r="A839" s="400"/>
      <c r="B839" s="398"/>
      <c r="C839" s="398"/>
      <c r="D839" s="405"/>
      <c r="E839" s="398"/>
      <c r="F839" s="395"/>
      <c r="G839" s="396"/>
      <c r="H839" s="399"/>
      <c r="I839" s="395" t="s">
        <v>228</v>
      </c>
      <c r="J839" s="397" t="s">
        <v>228</v>
      </c>
      <c r="K839" s="398"/>
      <c r="L839" s="404"/>
      <c r="M839" s="400"/>
    </row>
    <row r="840" spans="1:13" s="148" customFormat="1" hidden="1" x14ac:dyDescent="0.25">
      <c r="A840" s="400"/>
      <c r="B840" s="398"/>
      <c r="C840" s="398"/>
      <c r="D840" s="405"/>
      <c r="E840" s="398"/>
      <c r="F840" s="395"/>
      <c r="G840" s="396"/>
      <c r="H840" s="399"/>
      <c r="I840" s="395" t="s">
        <v>228</v>
      </c>
      <c r="J840" s="397" t="s">
        <v>228</v>
      </c>
      <c r="K840" s="398"/>
      <c r="L840" s="404"/>
      <c r="M840" s="400"/>
    </row>
    <row r="841" spans="1:13" s="148" customFormat="1" hidden="1" x14ac:dyDescent="0.25">
      <c r="A841" s="400"/>
      <c r="B841" s="398"/>
      <c r="C841" s="398"/>
      <c r="D841" s="405"/>
      <c r="E841" s="398"/>
      <c r="F841" s="395"/>
      <c r="G841" s="396"/>
      <c r="H841" s="399"/>
      <c r="I841" s="395" t="s">
        <v>228</v>
      </c>
      <c r="J841" s="397" t="s">
        <v>228</v>
      </c>
      <c r="K841" s="398"/>
      <c r="L841" s="404"/>
      <c r="M841" s="400"/>
    </row>
    <row r="842" spans="1:13" s="148" customFormat="1" hidden="1" x14ac:dyDescent="0.25">
      <c r="A842" s="400"/>
      <c r="B842" s="398"/>
      <c r="C842" s="398"/>
      <c r="D842" s="405"/>
      <c r="E842" s="398"/>
      <c r="F842" s="395"/>
      <c r="G842" s="396"/>
      <c r="H842" s="399"/>
      <c r="I842" s="395" t="s">
        <v>228</v>
      </c>
      <c r="J842" s="397" t="s">
        <v>228</v>
      </c>
      <c r="K842" s="398"/>
      <c r="L842" s="404"/>
      <c r="M842" s="400"/>
    </row>
    <row r="843" spans="1:13" s="148" customFormat="1" hidden="1" x14ac:dyDescent="0.25">
      <c r="A843" s="400"/>
      <c r="B843" s="398"/>
      <c r="C843" s="398"/>
      <c r="D843" s="405"/>
      <c r="E843" s="398"/>
      <c r="F843" s="395"/>
      <c r="G843" s="396"/>
      <c r="H843" s="399"/>
      <c r="I843" s="395" t="s">
        <v>228</v>
      </c>
      <c r="J843" s="397" t="s">
        <v>228</v>
      </c>
      <c r="K843" s="398"/>
      <c r="L843" s="404"/>
      <c r="M843" s="400"/>
    </row>
    <row r="844" spans="1:13" s="148" customFormat="1" hidden="1" x14ac:dyDescent="0.25">
      <c r="A844" s="400"/>
      <c r="B844" s="398"/>
      <c r="C844" s="398"/>
      <c r="D844" s="405"/>
      <c r="E844" s="398"/>
      <c r="F844" s="395"/>
      <c r="G844" s="396"/>
      <c r="H844" s="399"/>
      <c r="I844" s="395" t="s">
        <v>228</v>
      </c>
      <c r="J844" s="397" t="s">
        <v>228</v>
      </c>
      <c r="K844" s="398"/>
      <c r="L844" s="404"/>
      <c r="M844" s="400"/>
    </row>
    <row r="845" spans="1:13" s="148" customFormat="1" hidden="1" x14ac:dyDescent="0.25">
      <c r="A845" s="400"/>
      <c r="B845" s="398"/>
      <c r="C845" s="398"/>
      <c r="D845" s="405"/>
      <c r="E845" s="398"/>
      <c r="F845" s="395"/>
      <c r="G845" s="396"/>
      <c r="H845" s="399"/>
      <c r="I845" s="395" t="s">
        <v>228</v>
      </c>
      <c r="J845" s="397" t="s">
        <v>228</v>
      </c>
      <c r="K845" s="398"/>
      <c r="L845" s="404"/>
      <c r="M845" s="400"/>
    </row>
    <row r="846" spans="1:13" s="148" customFormat="1" hidden="1" x14ac:dyDescent="0.25">
      <c r="A846" s="400"/>
      <c r="B846" s="398"/>
      <c r="C846" s="398"/>
      <c r="D846" s="405"/>
      <c r="E846" s="398"/>
      <c r="F846" s="395"/>
      <c r="G846" s="396"/>
      <c r="H846" s="399"/>
      <c r="I846" s="395" t="s">
        <v>228</v>
      </c>
      <c r="J846" s="397" t="s">
        <v>228</v>
      </c>
      <c r="K846" s="398"/>
      <c r="L846" s="404"/>
      <c r="M846" s="400"/>
    </row>
    <row r="847" spans="1:13" s="148" customFormat="1" hidden="1" x14ac:dyDescent="0.25">
      <c r="A847" s="400"/>
      <c r="B847" s="398"/>
      <c r="C847" s="398"/>
      <c r="D847" s="405"/>
      <c r="E847" s="398"/>
      <c r="F847" s="395"/>
      <c r="G847" s="396"/>
      <c r="H847" s="399"/>
      <c r="I847" s="395" t="s">
        <v>228</v>
      </c>
      <c r="J847" s="397" t="s">
        <v>228</v>
      </c>
      <c r="K847" s="398"/>
      <c r="L847" s="404"/>
      <c r="M847" s="400"/>
    </row>
    <row r="848" spans="1:13" s="148" customFormat="1" hidden="1" x14ac:dyDescent="0.25">
      <c r="A848" s="400"/>
      <c r="B848" s="398"/>
      <c r="C848" s="398"/>
      <c r="D848" s="405"/>
      <c r="E848" s="398"/>
      <c r="F848" s="395"/>
      <c r="G848" s="396"/>
      <c r="H848" s="399"/>
      <c r="I848" s="395" t="s">
        <v>228</v>
      </c>
      <c r="J848" s="397" t="s">
        <v>228</v>
      </c>
      <c r="K848" s="398"/>
      <c r="L848" s="404"/>
      <c r="M848" s="400"/>
    </row>
    <row r="849" spans="1:13" s="148" customFormat="1" hidden="1" x14ac:dyDescent="0.25">
      <c r="A849" s="400"/>
      <c r="B849" s="398"/>
      <c r="C849" s="398"/>
      <c r="D849" s="405"/>
      <c r="E849" s="398"/>
      <c r="F849" s="395"/>
      <c r="G849" s="396"/>
      <c r="H849" s="399"/>
      <c r="I849" s="395" t="s">
        <v>228</v>
      </c>
      <c r="J849" s="397" t="s">
        <v>228</v>
      </c>
      <c r="K849" s="398"/>
      <c r="L849" s="404"/>
      <c r="M849" s="400"/>
    </row>
    <row r="850" spans="1:13" s="148" customFormat="1" hidden="1" x14ac:dyDescent="0.25">
      <c r="A850" s="400"/>
      <c r="B850" s="398"/>
      <c r="C850" s="398"/>
      <c r="D850" s="405"/>
      <c r="E850" s="398"/>
      <c r="F850" s="395"/>
      <c r="G850" s="396"/>
      <c r="H850" s="399"/>
      <c r="I850" s="395" t="s">
        <v>228</v>
      </c>
      <c r="J850" s="397" t="s">
        <v>228</v>
      </c>
      <c r="K850" s="398"/>
      <c r="L850" s="404"/>
      <c r="M850" s="400"/>
    </row>
    <row r="851" spans="1:13" s="148" customFormat="1" hidden="1" x14ac:dyDescent="0.25">
      <c r="A851" s="400"/>
      <c r="B851" s="398"/>
      <c r="C851" s="398"/>
      <c r="D851" s="405"/>
      <c r="E851" s="398"/>
      <c r="F851" s="395"/>
      <c r="G851" s="396"/>
      <c r="H851" s="399"/>
      <c r="I851" s="395" t="s">
        <v>228</v>
      </c>
      <c r="J851" s="397" t="s">
        <v>228</v>
      </c>
      <c r="K851" s="398"/>
      <c r="L851" s="404"/>
      <c r="M851" s="400"/>
    </row>
    <row r="852" spans="1:13" s="148" customFormat="1" hidden="1" x14ac:dyDescent="0.25">
      <c r="A852" s="400"/>
      <c r="B852" s="398"/>
      <c r="C852" s="398"/>
      <c r="D852" s="405"/>
      <c r="E852" s="398"/>
      <c r="F852" s="395"/>
      <c r="G852" s="396"/>
      <c r="H852" s="399"/>
      <c r="I852" s="395" t="s">
        <v>228</v>
      </c>
      <c r="J852" s="397" t="s">
        <v>228</v>
      </c>
      <c r="K852" s="398"/>
      <c r="L852" s="404"/>
      <c r="M852" s="400"/>
    </row>
    <row r="853" spans="1:13" s="148" customFormat="1" hidden="1" x14ac:dyDescent="0.25">
      <c r="A853" s="400"/>
      <c r="B853" s="398"/>
      <c r="C853" s="398"/>
      <c r="D853" s="405"/>
      <c r="E853" s="398"/>
      <c r="F853" s="395"/>
      <c r="G853" s="396"/>
      <c r="H853" s="399"/>
      <c r="I853" s="395" t="s">
        <v>228</v>
      </c>
      <c r="J853" s="397" t="s">
        <v>228</v>
      </c>
      <c r="K853" s="398"/>
      <c r="L853" s="404"/>
      <c r="M853" s="400"/>
    </row>
    <row r="854" spans="1:13" s="148" customFormat="1" hidden="1" x14ac:dyDescent="0.25">
      <c r="A854" s="400"/>
      <c r="B854" s="398"/>
      <c r="C854" s="398"/>
      <c r="D854" s="405"/>
      <c r="E854" s="398"/>
      <c r="F854" s="395"/>
      <c r="G854" s="396"/>
      <c r="H854" s="399"/>
      <c r="I854" s="395" t="s">
        <v>228</v>
      </c>
      <c r="J854" s="397" t="s">
        <v>228</v>
      </c>
      <c r="K854" s="398"/>
      <c r="L854" s="404"/>
      <c r="M854" s="400"/>
    </row>
    <row r="855" spans="1:13" s="148" customFormat="1" hidden="1" x14ac:dyDescent="0.25">
      <c r="A855" s="400"/>
      <c r="B855" s="398"/>
      <c r="C855" s="398"/>
      <c r="D855" s="405"/>
      <c r="E855" s="398"/>
      <c r="F855" s="395"/>
      <c r="G855" s="396"/>
      <c r="H855" s="399"/>
      <c r="I855" s="395" t="s">
        <v>228</v>
      </c>
      <c r="J855" s="397" t="s">
        <v>228</v>
      </c>
      <c r="K855" s="398"/>
      <c r="L855" s="404"/>
      <c r="M855" s="400"/>
    </row>
    <row r="856" spans="1:13" s="148" customFormat="1" hidden="1" x14ac:dyDescent="0.25">
      <c r="A856" s="400"/>
      <c r="B856" s="398"/>
      <c r="C856" s="398"/>
      <c r="D856" s="405"/>
      <c r="E856" s="398"/>
      <c r="F856" s="395"/>
      <c r="G856" s="396"/>
      <c r="H856" s="399"/>
      <c r="I856" s="395" t="s">
        <v>228</v>
      </c>
      <c r="J856" s="397" t="s">
        <v>228</v>
      </c>
      <c r="K856" s="398"/>
      <c r="L856" s="404"/>
      <c r="M856" s="400"/>
    </row>
    <row r="857" spans="1:13" s="148" customFormat="1" hidden="1" x14ac:dyDescent="0.25">
      <c r="A857" s="400"/>
      <c r="B857" s="398"/>
      <c r="C857" s="398"/>
      <c r="D857" s="405"/>
      <c r="E857" s="398"/>
      <c r="F857" s="395"/>
      <c r="G857" s="396"/>
      <c r="H857" s="399"/>
      <c r="I857" s="395" t="s">
        <v>228</v>
      </c>
      <c r="J857" s="397" t="s">
        <v>228</v>
      </c>
      <c r="K857" s="398"/>
      <c r="L857" s="404"/>
      <c r="M857" s="400"/>
    </row>
    <row r="858" spans="1:13" s="148" customFormat="1" hidden="1" x14ac:dyDescent="0.25">
      <c r="A858" s="400"/>
      <c r="B858" s="398"/>
      <c r="C858" s="398"/>
      <c r="D858" s="405"/>
      <c r="E858" s="398"/>
      <c r="F858" s="395"/>
      <c r="G858" s="396"/>
      <c r="H858" s="399"/>
      <c r="I858" s="395" t="s">
        <v>228</v>
      </c>
      <c r="J858" s="397" t="s">
        <v>228</v>
      </c>
      <c r="K858" s="398"/>
      <c r="L858" s="404"/>
      <c r="M858" s="400"/>
    </row>
    <row r="859" spans="1:13" s="148" customFormat="1" hidden="1" x14ac:dyDescent="0.25">
      <c r="A859" s="400"/>
      <c r="B859" s="398"/>
      <c r="C859" s="398"/>
      <c r="D859" s="405"/>
      <c r="E859" s="398"/>
      <c r="F859" s="395"/>
      <c r="G859" s="396"/>
      <c r="H859" s="399"/>
      <c r="I859" s="395" t="s">
        <v>228</v>
      </c>
      <c r="J859" s="397" t="s">
        <v>228</v>
      </c>
      <c r="K859" s="398"/>
      <c r="L859" s="404"/>
      <c r="M859" s="400"/>
    </row>
    <row r="860" spans="1:13" s="148" customFormat="1" hidden="1" x14ac:dyDescent="0.25">
      <c r="A860" s="400"/>
      <c r="B860" s="398"/>
      <c r="C860" s="398"/>
      <c r="D860" s="405"/>
      <c r="E860" s="398"/>
      <c r="F860" s="395"/>
      <c r="G860" s="396"/>
      <c r="H860" s="399"/>
      <c r="I860" s="395" t="s">
        <v>228</v>
      </c>
      <c r="J860" s="397" t="s">
        <v>228</v>
      </c>
      <c r="K860" s="398"/>
      <c r="L860" s="404"/>
      <c r="M860" s="400"/>
    </row>
    <row r="861" spans="1:13" s="148" customFormat="1" hidden="1" x14ac:dyDescent="0.25">
      <c r="A861" s="400"/>
      <c r="B861" s="398"/>
      <c r="C861" s="398"/>
      <c r="D861" s="405"/>
      <c r="E861" s="398"/>
      <c r="F861" s="395"/>
      <c r="G861" s="396"/>
      <c r="H861" s="399"/>
      <c r="I861" s="395" t="s">
        <v>228</v>
      </c>
      <c r="J861" s="397" t="s">
        <v>228</v>
      </c>
      <c r="K861" s="398"/>
      <c r="L861" s="404"/>
      <c r="M861" s="400"/>
    </row>
    <row r="862" spans="1:13" s="148" customFormat="1" hidden="1" x14ac:dyDescent="0.25">
      <c r="A862" s="400"/>
      <c r="B862" s="398"/>
      <c r="C862" s="398"/>
      <c r="D862" s="405"/>
      <c r="E862" s="398"/>
      <c r="F862" s="395"/>
      <c r="G862" s="396"/>
      <c r="H862" s="399"/>
      <c r="I862" s="395" t="s">
        <v>228</v>
      </c>
      <c r="J862" s="397" t="s">
        <v>228</v>
      </c>
      <c r="K862" s="398"/>
      <c r="L862" s="404"/>
      <c r="M862" s="400"/>
    </row>
    <row r="863" spans="1:13" s="148" customFormat="1" hidden="1" x14ac:dyDescent="0.25">
      <c r="A863" s="400"/>
      <c r="B863" s="398"/>
      <c r="C863" s="398"/>
      <c r="D863" s="405"/>
      <c r="E863" s="398"/>
      <c r="F863" s="395"/>
      <c r="G863" s="396"/>
      <c r="H863" s="399"/>
      <c r="I863" s="395" t="s">
        <v>228</v>
      </c>
      <c r="J863" s="397" t="s">
        <v>228</v>
      </c>
      <c r="K863" s="398"/>
      <c r="L863" s="404"/>
      <c r="M863" s="400"/>
    </row>
    <row r="864" spans="1:13" s="148" customFormat="1" hidden="1" x14ac:dyDescent="0.25">
      <c r="A864" s="400"/>
      <c r="B864" s="398"/>
      <c r="C864" s="398"/>
      <c r="D864" s="405"/>
      <c r="E864" s="398"/>
      <c r="F864" s="395"/>
      <c r="G864" s="396"/>
      <c r="H864" s="399"/>
      <c r="I864" s="395" t="s">
        <v>228</v>
      </c>
      <c r="J864" s="397" t="s">
        <v>228</v>
      </c>
      <c r="K864" s="398"/>
      <c r="L864" s="404"/>
      <c r="M864" s="400"/>
    </row>
    <row r="865" spans="1:13" s="148" customFormat="1" hidden="1" x14ac:dyDescent="0.25">
      <c r="A865" s="400"/>
      <c r="B865" s="398"/>
      <c r="C865" s="398"/>
      <c r="D865" s="405"/>
      <c r="E865" s="398"/>
      <c r="F865" s="395"/>
      <c r="G865" s="396"/>
      <c r="H865" s="399"/>
      <c r="I865" s="395" t="s">
        <v>228</v>
      </c>
      <c r="J865" s="397" t="s">
        <v>228</v>
      </c>
      <c r="K865" s="398"/>
      <c r="L865" s="404"/>
      <c r="M865" s="400"/>
    </row>
    <row r="866" spans="1:13" s="148" customFormat="1" hidden="1" x14ac:dyDescent="0.25">
      <c r="A866" s="400"/>
      <c r="B866" s="398"/>
      <c r="C866" s="398"/>
      <c r="D866" s="405"/>
      <c r="E866" s="398"/>
      <c r="F866" s="395"/>
      <c r="G866" s="396"/>
      <c r="H866" s="399"/>
      <c r="I866" s="395" t="s">
        <v>228</v>
      </c>
      <c r="J866" s="397" t="s">
        <v>228</v>
      </c>
      <c r="K866" s="398"/>
      <c r="L866" s="404"/>
      <c r="M866" s="400"/>
    </row>
    <row r="867" spans="1:13" s="148" customFormat="1" hidden="1" x14ac:dyDescent="0.25">
      <c r="A867" s="400"/>
      <c r="B867" s="398"/>
      <c r="C867" s="398"/>
      <c r="D867" s="405"/>
      <c r="E867" s="398"/>
      <c r="F867" s="395"/>
      <c r="G867" s="396"/>
      <c r="H867" s="399"/>
      <c r="I867" s="395" t="s">
        <v>228</v>
      </c>
      <c r="J867" s="397" t="s">
        <v>228</v>
      </c>
      <c r="K867" s="398"/>
      <c r="L867" s="404"/>
      <c r="M867" s="400"/>
    </row>
    <row r="868" spans="1:13" s="148" customFormat="1" hidden="1" x14ac:dyDescent="0.25">
      <c r="A868" s="400"/>
      <c r="B868" s="398"/>
      <c r="C868" s="398"/>
      <c r="D868" s="405"/>
      <c r="E868" s="398"/>
      <c r="F868" s="395"/>
      <c r="G868" s="396"/>
      <c r="H868" s="399"/>
      <c r="I868" s="395" t="s">
        <v>228</v>
      </c>
      <c r="J868" s="397" t="s">
        <v>228</v>
      </c>
      <c r="K868" s="398"/>
      <c r="L868" s="404"/>
      <c r="M868" s="400"/>
    </row>
    <row r="869" spans="1:13" s="148" customFormat="1" hidden="1" x14ac:dyDescent="0.25">
      <c r="A869" s="400"/>
      <c r="B869" s="398"/>
      <c r="C869" s="398"/>
      <c r="D869" s="405"/>
      <c r="E869" s="398"/>
      <c r="F869" s="395"/>
      <c r="G869" s="396"/>
      <c r="H869" s="399"/>
      <c r="I869" s="395" t="s">
        <v>228</v>
      </c>
      <c r="J869" s="397" t="s">
        <v>228</v>
      </c>
      <c r="K869" s="398"/>
      <c r="L869" s="404"/>
      <c r="M869" s="400"/>
    </row>
    <row r="870" spans="1:13" s="148" customFormat="1" hidden="1" x14ac:dyDescent="0.25">
      <c r="A870" s="400"/>
      <c r="B870" s="398"/>
      <c r="C870" s="398"/>
      <c r="D870" s="405"/>
      <c r="E870" s="398"/>
      <c r="F870" s="395"/>
      <c r="G870" s="396"/>
      <c r="H870" s="399"/>
      <c r="I870" s="395" t="s">
        <v>228</v>
      </c>
      <c r="J870" s="397" t="s">
        <v>228</v>
      </c>
      <c r="K870" s="398"/>
      <c r="L870" s="404"/>
      <c r="M870" s="400"/>
    </row>
    <row r="871" spans="1:13" s="148" customFormat="1" hidden="1" x14ac:dyDescent="0.25">
      <c r="A871" s="400"/>
      <c r="B871" s="398"/>
      <c r="C871" s="398"/>
      <c r="D871" s="405"/>
      <c r="E871" s="398"/>
      <c r="F871" s="395"/>
      <c r="G871" s="396"/>
      <c r="H871" s="399"/>
      <c r="I871" s="395" t="s">
        <v>228</v>
      </c>
      <c r="J871" s="397" t="s">
        <v>228</v>
      </c>
      <c r="K871" s="398"/>
      <c r="L871" s="404"/>
      <c r="M871" s="400"/>
    </row>
    <row r="872" spans="1:13" s="148" customFormat="1" hidden="1" x14ac:dyDescent="0.25">
      <c r="A872" s="400"/>
      <c r="B872" s="398"/>
      <c r="C872" s="398"/>
      <c r="D872" s="405"/>
      <c r="E872" s="398"/>
      <c r="F872" s="395"/>
      <c r="G872" s="396"/>
      <c r="H872" s="399"/>
      <c r="I872" s="395" t="s">
        <v>228</v>
      </c>
      <c r="J872" s="397" t="s">
        <v>228</v>
      </c>
      <c r="K872" s="398"/>
      <c r="L872" s="404"/>
      <c r="M872" s="400"/>
    </row>
    <row r="873" spans="1:13" s="148" customFormat="1" hidden="1" x14ac:dyDescent="0.25">
      <c r="A873" s="400"/>
      <c r="B873" s="398"/>
      <c r="C873" s="398"/>
      <c r="D873" s="405"/>
      <c r="E873" s="398"/>
      <c r="F873" s="395"/>
      <c r="G873" s="396"/>
      <c r="H873" s="399"/>
      <c r="I873" s="395" t="s">
        <v>228</v>
      </c>
      <c r="J873" s="397" t="s">
        <v>228</v>
      </c>
      <c r="K873" s="398"/>
      <c r="L873" s="404"/>
      <c r="M873" s="400"/>
    </row>
    <row r="874" spans="1:13" s="148" customFormat="1" hidden="1" x14ac:dyDescent="0.25">
      <c r="A874" s="400"/>
      <c r="B874" s="398"/>
      <c r="C874" s="398"/>
      <c r="D874" s="405"/>
      <c r="E874" s="398"/>
      <c r="F874" s="395"/>
      <c r="G874" s="396"/>
      <c r="H874" s="399"/>
      <c r="I874" s="395" t="s">
        <v>228</v>
      </c>
      <c r="J874" s="397" t="s">
        <v>228</v>
      </c>
      <c r="K874" s="398"/>
      <c r="L874" s="404"/>
      <c r="M874" s="400"/>
    </row>
    <row r="875" spans="1:13" s="148" customFormat="1" hidden="1" x14ac:dyDescent="0.25">
      <c r="A875" s="400"/>
      <c r="B875" s="398"/>
      <c r="C875" s="398"/>
      <c r="D875" s="405"/>
      <c r="E875" s="398"/>
      <c r="F875" s="395"/>
      <c r="G875" s="396"/>
      <c r="H875" s="399"/>
      <c r="I875" s="395" t="s">
        <v>228</v>
      </c>
      <c r="J875" s="397" t="s">
        <v>228</v>
      </c>
      <c r="K875" s="398"/>
      <c r="L875" s="404"/>
      <c r="M875" s="400"/>
    </row>
    <row r="876" spans="1:13" s="148" customFormat="1" hidden="1" x14ac:dyDescent="0.25">
      <c r="A876" s="400"/>
      <c r="B876" s="398"/>
      <c r="C876" s="398"/>
      <c r="D876" s="405"/>
      <c r="E876" s="398"/>
      <c r="F876" s="395"/>
      <c r="G876" s="396"/>
      <c r="H876" s="399"/>
      <c r="I876" s="395" t="s">
        <v>228</v>
      </c>
      <c r="J876" s="397" t="s">
        <v>228</v>
      </c>
      <c r="K876" s="398"/>
      <c r="L876" s="404"/>
      <c r="M876" s="400"/>
    </row>
    <row r="877" spans="1:13" s="148" customFormat="1" hidden="1" x14ac:dyDescent="0.25">
      <c r="A877" s="400"/>
      <c r="B877" s="398"/>
      <c r="C877" s="398"/>
      <c r="D877" s="405"/>
      <c r="E877" s="398"/>
      <c r="F877" s="395"/>
      <c r="G877" s="396"/>
      <c r="H877" s="399"/>
      <c r="I877" s="395" t="s">
        <v>228</v>
      </c>
      <c r="J877" s="397" t="s">
        <v>228</v>
      </c>
      <c r="K877" s="398"/>
      <c r="L877" s="404"/>
      <c r="M877" s="400"/>
    </row>
    <row r="878" spans="1:13" s="148" customFormat="1" hidden="1" x14ac:dyDescent="0.25">
      <c r="A878" s="400"/>
      <c r="B878" s="398"/>
      <c r="C878" s="398"/>
      <c r="D878" s="405"/>
      <c r="E878" s="398"/>
      <c r="F878" s="395"/>
      <c r="G878" s="396"/>
      <c r="H878" s="399"/>
      <c r="I878" s="395" t="s">
        <v>228</v>
      </c>
      <c r="J878" s="397" t="s">
        <v>228</v>
      </c>
      <c r="K878" s="398"/>
      <c r="L878" s="404"/>
      <c r="M878" s="400"/>
    </row>
    <row r="879" spans="1:13" s="148" customFormat="1" hidden="1" x14ac:dyDescent="0.25">
      <c r="A879" s="400"/>
      <c r="B879" s="398"/>
      <c r="C879" s="398"/>
      <c r="D879" s="405"/>
      <c r="E879" s="398"/>
      <c r="F879" s="395"/>
      <c r="G879" s="396"/>
      <c r="H879" s="399"/>
      <c r="I879" s="395" t="s">
        <v>228</v>
      </c>
      <c r="J879" s="397" t="s">
        <v>228</v>
      </c>
      <c r="K879" s="398"/>
      <c r="L879" s="404"/>
      <c r="M879" s="400"/>
    </row>
    <row r="880" spans="1:13" s="148" customFormat="1" hidden="1" x14ac:dyDescent="0.25">
      <c r="A880" s="400"/>
      <c r="B880" s="398"/>
      <c r="C880" s="398"/>
      <c r="D880" s="405"/>
      <c r="E880" s="398"/>
      <c r="F880" s="395"/>
      <c r="G880" s="396"/>
      <c r="H880" s="399"/>
      <c r="I880" s="395" t="s">
        <v>228</v>
      </c>
      <c r="J880" s="397" t="s">
        <v>228</v>
      </c>
      <c r="K880" s="398"/>
      <c r="L880" s="404"/>
      <c r="M880" s="400"/>
    </row>
    <row r="881" spans="1:13" s="148" customFormat="1" hidden="1" x14ac:dyDescent="0.25">
      <c r="A881" s="400"/>
      <c r="B881" s="398"/>
      <c r="C881" s="398"/>
      <c r="D881" s="405"/>
      <c r="E881" s="398"/>
      <c r="F881" s="395"/>
      <c r="G881" s="396"/>
      <c r="H881" s="399"/>
      <c r="I881" s="395" t="s">
        <v>228</v>
      </c>
      <c r="J881" s="397" t="s">
        <v>228</v>
      </c>
      <c r="K881" s="398"/>
      <c r="L881" s="404"/>
      <c r="M881" s="400"/>
    </row>
    <row r="882" spans="1:13" s="148" customFormat="1" hidden="1" x14ac:dyDescent="0.25">
      <c r="A882" s="400"/>
      <c r="B882" s="398"/>
      <c r="C882" s="398"/>
      <c r="D882" s="405"/>
      <c r="E882" s="398"/>
      <c r="F882" s="395"/>
      <c r="G882" s="396"/>
      <c r="H882" s="399"/>
      <c r="I882" s="395" t="s">
        <v>228</v>
      </c>
      <c r="J882" s="397" t="s">
        <v>228</v>
      </c>
      <c r="K882" s="398"/>
      <c r="L882" s="404"/>
      <c r="M882" s="400"/>
    </row>
    <row r="883" spans="1:13" s="148" customFormat="1" hidden="1" x14ac:dyDescent="0.25">
      <c r="A883" s="400"/>
      <c r="B883" s="398"/>
      <c r="C883" s="398"/>
      <c r="D883" s="405"/>
      <c r="E883" s="398"/>
      <c r="F883" s="395"/>
      <c r="G883" s="396"/>
      <c r="H883" s="399"/>
      <c r="I883" s="395" t="s">
        <v>228</v>
      </c>
      <c r="J883" s="397" t="s">
        <v>228</v>
      </c>
      <c r="K883" s="398"/>
      <c r="L883" s="404"/>
      <c r="M883" s="400"/>
    </row>
    <row r="884" spans="1:13" s="148" customFormat="1" hidden="1" x14ac:dyDescent="0.25">
      <c r="A884" s="400"/>
      <c r="B884" s="398"/>
      <c r="C884" s="398"/>
      <c r="D884" s="405"/>
      <c r="E884" s="398"/>
      <c r="F884" s="395"/>
      <c r="G884" s="396"/>
      <c r="H884" s="399"/>
      <c r="I884" s="395" t="s">
        <v>228</v>
      </c>
      <c r="J884" s="397" t="s">
        <v>228</v>
      </c>
      <c r="K884" s="398"/>
      <c r="L884" s="404"/>
      <c r="M884" s="400"/>
    </row>
    <row r="885" spans="1:13" s="148" customFormat="1" hidden="1" x14ac:dyDescent="0.25">
      <c r="A885" s="400"/>
      <c r="B885" s="398"/>
      <c r="C885" s="398"/>
      <c r="D885" s="405"/>
      <c r="E885" s="398"/>
      <c r="F885" s="395"/>
      <c r="G885" s="396"/>
      <c r="H885" s="399"/>
      <c r="I885" s="395" t="s">
        <v>228</v>
      </c>
      <c r="J885" s="397" t="s">
        <v>228</v>
      </c>
      <c r="K885" s="398"/>
      <c r="L885" s="404"/>
      <c r="M885" s="400"/>
    </row>
    <row r="886" spans="1:13" s="148" customFormat="1" hidden="1" x14ac:dyDescent="0.25">
      <c r="A886" s="400"/>
      <c r="B886" s="398"/>
      <c r="C886" s="398"/>
      <c r="D886" s="405"/>
      <c r="E886" s="398"/>
      <c r="F886" s="395"/>
      <c r="G886" s="396"/>
      <c r="H886" s="399"/>
      <c r="I886" s="395" t="s">
        <v>228</v>
      </c>
      <c r="J886" s="397" t="s">
        <v>228</v>
      </c>
      <c r="K886" s="398"/>
      <c r="L886" s="404"/>
      <c r="M886" s="400"/>
    </row>
    <row r="887" spans="1:13" s="148" customFormat="1" hidden="1" x14ac:dyDescent="0.25">
      <c r="A887" s="400"/>
      <c r="B887" s="398"/>
      <c r="C887" s="398"/>
      <c r="D887" s="405"/>
      <c r="E887" s="398"/>
      <c r="F887" s="395"/>
      <c r="G887" s="396"/>
      <c r="H887" s="399"/>
      <c r="I887" s="395" t="s">
        <v>228</v>
      </c>
      <c r="J887" s="397" t="s">
        <v>228</v>
      </c>
      <c r="K887" s="398"/>
      <c r="L887" s="404"/>
      <c r="M887" s="400"/>
    </row>
    <row r="888" spans="1:13" s="148" customFormat="1" hidden="1" x14ac:dyDescent="0.25">
      <c r="A888" s="400"/>
      <c r="B888" s="398"/>
      <c r="C888" s="398"/>
      <c r="D888" s="405"/>
      <c r="E888" s="398"/>
      <c r="F888" s="395"/>
      <c r="G888" s="396"/>
      <c r="H888" s="399"/>
      <c r="I888" s="395" t="s">
        <v>228</v>
      </c>
      <c r="J888" s="397" t="s">
        <v>228</v>
      </c>
      <c r="K888" s="398"/>
      <c r="L888" s="404"/>
      <c r="M888" s="400"/>
    </row>
    <row r="889" spans="1:13" s="148" customFormat="1" hidden="1" x14ac:dyDescent="0.25">
      <c r="A889" s="400"/>
      <c r="B889" s="398"/>
      <c r="C889" s="398"/>
      <c r="D889" s="405"/>
      <c r="E889" s="398"/>
      <c r="F889" s="395"/>
      <c r="G889" s="396"/>
      <c r="H889" s="399"/>
      <c r="I889" s="395" t="s">
        <v>228</v>
      </c>
      <c r="J889" s="397" t="s">
        <v>228</v>
      </c>
      <c r="K889" s="398"/>
      <c r="L889" s="404"/>
      <c r="M889" s="400"/>
    </row>
    <row r="890" spans="1:13" s="148" customFormat="1" hidden="1" x14ac:dyDescent="0.25">
      <c r="A890" s="400"/>
      <c r="B890" s="398"/>
      <c r="C890" s="398"/>
      <c r="D890" s="405"/>
      <c r="E890" s="398"/>
      <c r="F890" s="395"/>
      <c r="G890" s="396"/>
      <c r="H890" s="399"/>
      <c r="I890" s="395" t="s">
        <v>228</v>
      </c>
      <c r="J890" s="397" t="s">
        <v>228</v>
      </c>
      <c r="K890" s="398"/>
      <c r="L890" s="404"/>
      <c r="M890" s="400"/>
    </row>
    <row r="891" spans="1:13" s="148" customFormat="1" hidden="1" x14ac:dyDescent="0.25">
      <c r="A891" s="400"/>
      <c r="B891" s="398"/>
      <c r="C891" s="398"/>
      <c r="D891" s="405"/>
      <c r="E891" s="398"/>
      <c r="F891" s="395"/>
      <c r="G891" s="396"/>
      <c r="H891" s="399"/>
      <c r="I891" s="395" t="s">
        <v>228</v>
      </c>
      <c r="J891" s="397" t="s">
        <v>228</v>
      </c>
      <c r="K891" s="398"/>
      <c r="L891" s="404"/>
      <c r="M891" s="400"/>
    </row>
    <row r="892" spans="1:13" s="148" customFormat="1" hidden="1" x14ac:dyDescent="0.25">
      <c r="A892" s="400"/>
      <c r="B892" s="398"/>
      <c r="C892" s="398"/>
      <c r="D892" s="405"/>
      <c r="E892" s="398"/>
      <c r="F892" s="395"/>
      <c r="G892" s="396"/>
      <c r="H892" s="399"/>
      <c r="I892" s="395" t="s">
        <v>228</v>
      </c>
      <c r="J892" s="397" t="s">
        <v>228</v>
      </c>
      <c r="K892" s="398"/>
      <c r="L892" s="404"/>
      <c r="M892" s="400"/>
    </row>
    <row r="893" spans="1:13" s="148" customFormat="1" hidden="1" x14ac:dyDescent="0.25">
      <c r="A893" s="400"/>
      <c r="B893" s="398"/>
      <c r="C893" s="398"/>
      <c r="D893" s="405"/>
      <c r="E893" s="398"/>
      <c r="F893" s="395"/>
      <c r="G893" s="396"/>
      <c r="H893" s="399"/>
      <c r="I893" s="395" t="s">
        <v>228</v>
      </c>
      <c r="J893" s="397" t="s">
        <v>228</v>
      </c>
      <c r="K893" s="398"/>
      <c r="L893" s="404"/>
      <c r="M893" s="400"/>
    </row>
    <row r="894" spans="1:13" s="148" customFormat="1" hidden="1" x14ac:dyDescent="0.25">
      <c r="A894" s="400"/>
      <c r="B894" s="398"/>
      <c r="C894" s="398"/>
      <c r="D894" s="405"/>
      <c r="E894" s="398"/>
      <c r="F894" s="395"/>
      <c r="G894" s="396"/>
      <c r="H894" s="399"/>
      <c r="I894" s="395" t="s">
        <v>228</v>
      </c>
      <c r="J894" s="397" t="s">
        <v>228</v>
      </c>
      <c r="K894" s="398"/>
      <c r="L894" s="404"/>
      <c r="M894" s="400"/>
    </row>
    <row r="895" spans="1:13" s="148" customFormat="1" hidden="1" x14ac:dyDescent="0.25">
      <c r="A895" s="400"/>
      <c r="B895" s="398"/>
      <c r="C895" s="398"/>
      <c r="D895" s="405"/>
      <c r="E895" s="398"/>
      <c r="F895" s="395"/>
      <c r="G895" s="396"/>
      <c r="H895" s="399"/>
      <c r="I895" s="395" t="s">
        <v>228</v>
      </c>
      <c r="J895" s="397" t="s">
        <v>228</v>
      </c>
      <c r="K895" s="398"/>
      <c r="L895" s="404"/>
      <c r="M895" s="400"/>
    </row>
    <row r="896" spans="1:13" s="148" customFormat="1" hidden="1" x14ac:dyDescent="0.25">
      <c r="A896" s="400"/>
      <c r="B896" s="398"/>
      <c r="C896" s="398"/>
      <c r="D896" s="405"/>
      <c r="E896" s="398"/>
      <c r="F896" s="395"/>
      <c r="G896" s="396"/>
      <c r="H896" s="399"/>
      <c r="I896" s="395" t="s">
        <v>228</v>
      </c>
      <c r="J896" s="397" t="s">
        <v>228</v>
      </c>
      <c r="K896" s="398"/>
      <c r="L896" s="404"/>
      <c r="M896" s="400"/>
    </row>
    <row r="897" spans="1:13" s="148" customFormat="1" hidden="1" x14ac:dyDescent="0.25">
      <c r="A897" s="400"/>
      <c r="B897" s="398"/>
      <c r="C897" s="398"/>
      <c r="D897" s="405"/>
      <c r="E897" s="398"/>
      <c r="F897" s="395"/>
      <c r="G897" s="396"/>
      <c r="H897" s="399"/>
      <c r="I897" s="395" t="s">
        <v>228</v>
      </c>
      <c r="J897" s="397" t="s">
        <v>228</v>
      </c>
      <c r="K897" s="398"/>
      <c r="L897" s="404"/>
      <c r="M897" s="400"/>
    </row>
    <row r="898" spans="1:13" s="148" customFormat="1" hidden="1" x14ac:dyDescent="0.25">
      <c r="A898" s="400"/>
      <c r="B898" s="398"/>
      <c r="C898" s="398"/>
      <c r="D898" s="405"/>
      <c r="E898" s="398"/>
      <c r="F898" s="395"/>
      <c r="G898" s="396"/>
      <c r="H898" s="399"/>
      <c r="I898" s="395" t="s">
        <v>228</v>
      </c>
      <c r="J898" s="397" t="s">
        <v>228</v>
      </c>
      <c r="K898" s="398"/>
      <c r="L898" s="404"/>
      <c r="M898" s="400"/>
    </row>
    <row r="899" spans="1:13" s="148" customFormat="1" hidden="1" x14ac:dyDescent="0.25">
      <c r="A899" s="400"/>
      <c r="B899" s="398"/>
      <c r="C899" s="398"/>
      <c r="D899" s="405"/>
      <c r="E899" s="398"/>
      <c r="F899" s="395"/>
      <c r="G899" s="396"/>
      <c r="H899" s="399"/>
      <c r="I899" s="395" t="s">
        <v>228</v>
      </c>
      <c r="J899" s="397" t="s">
        <v>228</v>
      </c>
      <c r="K899" s="398"/>
      <c r="L899" s="404"/>
      <c r="M899" s="400"/>
    </row>
    <row r="900" spans="1:13" s="148" customFormat="1" hidden="1" x14ac:dyDescent="0.25">
      <c r="A900" s="400"/>
      <c r="B900" s="398"/>
      <c r="C900" s="398"/>
      <c r="D900" s="405"/>
      <c r="E900" s="398"/>
      <c r="F900" s="395"/>
      <c r="G900" s="396"/>
      <c r="H900" s="399"/>
      <c r="I900" s="395" t="s">
        <v>228</v>
      </c>
      <c r="J900" s="397" t="s">
        <v>228</v>
      </c>
      <c r="K900" s="398"/>
      <c r="L900" s="404"/>
      <c r="M900" s="400"/>
    </row>
    <row r="901" spans="1:13" s="148" customFormat="1" hidden="1" x14ac:dyDescent="0.25">
      <c r="A901" s="400"/>
      <c r="B901" s="398"/>
      <c r="C901" s="398"/>
      <c r="D901" s="405"/>
      <c r="E901" s="398"/>
      <c r="F901" s="395"/>
      <c r="G901" s="396"/>
      <c r="H901" s="399"/>
      <c r="I901" s="395" t="s">
        <v>228</v>
      </c>
      <c r="J901" s="397" t="s">
        <v>228</v>
      </c>
      <c r="K901" s="398"/>
      <c r="L901" s="404"/>
      <c r="M901" s="400"/>
    </row>
    <row r="902" spans="1:13" s="148" customFormat="1" hidden="1" x14ac:dyDescent="0.25">
      <c r="A902" s="400"/>
      <c r="B902" s="398"/>
      <c r="C902" s="398"/>
      <c r="D902" s="405"/>
      <c r="E902" s="398"/>
      <c r="F902" s="395"/>
      <c r="G902" s="396"/>
      <c r="H902" s="399"/>
      <c r="I902" s="395" t="s">
        <v>228</v>
      </c>
      <c r="J902" s="397" t="s">
        <v>228</v>
      </c>
      <c r="K902" s="398"/>
      <c r="L902" s="404"/>
      <c r="M902" s="400"/>
    </row>
    <row r="903" spans="1:13" s="148" customFormat="1" hidden="1" x14ac:dyDescent="0.25">
      <c r="A903" s="400"/>
      <c r="B903" s="398"/>
      <c r="C903" s="398"/>
      <c r="D903" s="405"/>
      <c r="E903" s="398"/>
      <c r="F903" s="395"/>
      <c r="G903" s="396"/>
      <c r="H903" s="399"/>
      <c r="I903" s="395" t="s">
        <v>228</v>
      </c>
      <c r="J903" s="397" t="s">
        <v>228</v>
      </c>
      <c r="K903" s="398"/>
      <c r="L903" s="404"/>
      <c r="M903" s="400"/>
    </row>
    <row r="904" spans="1:13" s="148" customFormat="1" hidden="1" x14ac:dyDescent="0.25">
      <c r="A904" s="400"/>
      <c r="B904" s="398"/>
      <c r="C904" s="398"/>
      <c r="D904" s="405"/>
      <c r="E904" s="398"/>
      <c r="F904" s="395"/>
      <c r="G904" s="396"/>
      <c r="H904" s="399"/>
      <c r="I904" s="395" t="s">
        <v>228</v>
      </c>
      <c r="J904" s="397" t="s">
        <v>228</v>
      </c>
      <c r="K904" s="398"/>
      <c r="L904" s="404"/>
      <c r="M904" s="400"/>
    </row>
    <row r="905" spans="1:13" s="148" customFormat="1" hidden="1" x14ac:dyDescent="0.25">
      <c r="A905" s="400"/>
      <c r="B905" s="398"/>
      <c r="C905" s="398"/>
      <c r="D905" s="405"/>
      <c r="E905" s="398"/>
      <c r="F905" s="395"/>
      <c r="G905" s="396"/>
      <c r="H905" s="399"/>
      <c r="I905" s="395" t="s">
        <v>228</v>
      </c>
      <c r="J905" s="397" t="s">
        <v>228</v>
      </c>
      <c r="K905" s="398"/>
      <c r="L905" s="404"/>
      <c r="M905" s="400"/>
    </row>
    <row r="906" spans="1:13" s="148" customFormat="1" hidden="1" x14ac:dyDescent="0.25">
      <c r="A906" s="400"/>
      <c r="B906" s="398"/>
      <c r="C906" s="398"/>
      <c r="D906" s="405"/>
      <c r="E906" s="398"/>
      <c r="F906" s="395"/>
      <c r="G906" s="396"/>
      <c r="H906" s="399"/>
      <c r="I906" s="395" t="s">
        <v>228</v>
      </c>
      <c r="J906" s="397" t="s">
        <v>228</v>
      </c>
      <c r="K906" s="398"/>
      <c r="L906" s="404"/>
      <c r="M906" s="400"/>
    </row>
    <row r="907" spans="1:13" s="148" customFormat="1" hidden="1" x14ac:dyDescent="0.25">
      <c r="A907" s="400"/>
      <c r="B907" s="398"/>
      <c r="C907" s="398"/>
      <c r="D907" s="405"/>
      <c r="E907" s="398"/>
      <c r="F907" s="395"/>
      <c r="G907" s="396"/>
      <c r="H907" s="399"/>
      <c r="I907" s="395" t="s">
        <v>228</v>
      </c>
      <c r="J907" s="397" t="s">
        <v>228</v>
      </c>
      <c r="K907" s="398"/>
      <c r="L907" s="404"/>
      <c r="M907" s="400"/>
    </row>
    <row r="908" spans="1:13" s="148" customFormat="1" hidden="1" x14ac:dyDescent="0.25">
      <c r="A908" s="400"/>
      <c r="B908" s="398"/>
      <c r="C908" s="398"/>
      <c r="D908" s="405"/>
      <c r="E908" s="398"/>
      <c r="F908" s="395"/>
      <c r="G908" s="396"/>
      <c r="H908" s="399"/>
      <c r="I908" s="395" t="s">
        <v>228</v>
      </c>
      <c r="J908" s="397" t="s">
        <v>228</v>
      </c>
      <c r="K908" s="398"/>
      <c r="L908" s="404"/>
      <c r="M908" s="400"/>
    </row>
    <row r="909" spans="1:13" s="148" customFormat="1" hidden="1" x14ac:dyDescent="0.25">
      <c r="A909" s="400"/>
      <c r="B909" s="398"/>
      <c r="C909" s="398"/>
      <c r="D909" s="405"/>
      <c r="E909" s="398"/>
      <c r="F909" s="395"/>
      <c r="G909" s="396"/>
      <c r="H909" s="399"/>
      <c r="I909" s="395" t="s">
        <v>228</v>
      </c>
      <c r="J909" s="397" t="s">
        <v>228</v>
      </c>
      <c r="K909" s="398"/>
      <c r="L909" s="404"/>
      <c r="M909" s="400"/>
    </row>
    <row r="910" spans="1:13" s="148" customFormat="1" hidden="1" x14ac:dyDescent="0.25">
      <c r="A910" s="400"/>
      <c r="B910" s="398"/>
      <c r="C910" s="398"/>
      <c r="D910" s="405"/>
      <c r="E910" s="398"/>
      <c r="F910" s="395"/>
      <c r="G910" s="396"/>
      <c r="H910" s="399"/>
      <c r="I910" s="395" t="s">
        <v>228</v>
      </c>
      <c r="J910" s="397" t="s">
        <v>228</v>
      </c>
      <c r="K910" s="398"/>
      <c r="L910" s="404"/>
      <c r="M910" s="400"/>
    </row>
    <row r="911" spans="1:13" s="148" customFormat="1" hidden="1" x14ac:dyDescent="0.25">
      <c r="A911" s="400"/>
      <c r="B911" s="398"/>
      <c r="C911" s="398"/>
      <c r="D911" s="405"/>
      <c r="E911" s="398"/>
      <c r="F911" s="395"/>
      <c r="G911" s="396"/>
      <c r="H911" s="399"/>
      <c r="I911" s="395" t="s">
        <v>228</v>
      </c>
      <c r="J911" s="397" t="s">
        <v>228</v>
      </c>
      <c r="K911" s="398"/>
      <c r="L911" s="404"/>
      <c r="M911" s="400"/>
    </row>
    <row r="912" spans="1:13" s="148" customFormat="1" hidden="1" x14ac:dyDescent="0.25">
      <c r="A912" s="400"/>
      <c r="B912" s="398"/>
      <c r="C912" s="398"/>
      <c r="D912" s="405"/>
      <c r="E912" s="398"/>
      <c r="F912" s="395"/>
      <c r="G912" s="396"/>
      <c r="H912" s="399"/>
      <c r="I912" s="395" t="s">
        <v>228</v>
      </c>
      <c r="J912" s="397" t="s">
        <v>228</v>
      </c>
      <c r="K912" s="398"/>
      <c r="L912" s="404"/>
      <c r="M912" s="400"/>
    </row>
    <row r="913" spans="1:13" s="148" customFormat="1" hidden="1" x14ac:dyDescent="0.25">
      <c r="A913" s="400"/>
      <c r="B913" s="398"/>
      <c r="C913" s="398"/>
      <c r="D913" s="405"/>
      <c r="E913" s="398"/>
      <c r="F913" s="395"/>
      <c r="G913" s="396"/>
      <c r="H913" s="399"/>
      <c r="I913" s="395" t="s">
        <v>228</v>
      </c>
      <c r="J913" s="397" t="s">
        <v>228</v>
      </c>
      <c r="K913" s="398"/>
      <c r="L913" s="404"/>
      <c r="M913" s="400"/>
    </row>
    <row r="914" spans="1:13" s="148" customFormat="1" hidden="1" x14ac:dyDescent="0.25">
      <c r="A914" s="400"/>
      <c r="B914" s="398"/>
      <c r="C914" s="398"/>
      <c r="D914" s="405"/>
      <c r="E914" s="398"/>
      <c r="F914" s="395"/>
      <c r="G914" s="396"/>
      <c r="H914" s="399"/>
      <c r="I914" s="395" t="s">
        <v>228</v>
      </c>
      <c r="J914" s="397" t="s">
        <v>228</v>
      </c>
      <c r="K914" s="398"/>
      <c r="L914" s="404"/>
      <c r="M914" s="400"/>
    </row>
    <row r="915" spans="1:13" s="148" customFormat="1" hidden="1" x14ac:dyDescent="0.25">
      <c r="A915" s="400"/>
      <c r="B915" s="398"/>
      <c r="C915" s="398"/>
      <c r="D915" s="405"/>
      <c r="E915" s="398"/>
      <c r="F915" s="395"/>
      <c r="G915" s="396"/>
      <c r="H915" s="399"/>
      <c r="I915" s="395" t="s">
        <v>228</v>
      </c>
      <c r="J915" s="397" t="s">
        <v>228</v>
      </c>
      <c r="K915" s="398"/>
      <c r="L915" s="404"/>
      <c r="M915" s="400"/>
    </row>
    <row r="916" spans="1:13" s="148" customFormat="1" hidden="1" x14ac:dyDescent="0.25">
      <c r="A916" s="400"/>
      <c r="B916" s="398"/>
      <c r="C916" s="398"/>
      <c r="D916" s="405"/>
      <c r="E916" s="398"/>
      <c r="F916" s="395"/>
      <c r="G916" s="396"/>
      <c r="H916" s="399"/>
      <c r="I916" s="395" t="s">
        <v>228</v>
      </c>
      <c r="J916" s="397" t="s">
        <v>228</v>
      </c>
      <c r="K916" s="398"/>
      <c r="L916" s="404"/>
      <c r="M916" s="400"/>
    </row>
    <row r="917" spans="1:13" s="148" customFormat="1" hidden="1" x14ac:dyDescent="0.25">
      <c r="A917" s="400"/>
      <c r="B917" s="398"/>
      <c r="C917" s="398"/>
      <c r="D917" s="405"/>
      <c r="E917" s="398"/>
      <c r="F917" s="395"/>
      <c r="G917" s="396"/>
      <c r="H917" s="399"/>
      <c r="I917" s="395" t="s">
        <v>228</v>
      </c>
      <c r="J917" s="397" t="s">
        <v>228</v>
      </c>
      <c r="K917" s="398"/>
      <c r="L917" s="404"/>
      <c r="M917" s="400"/>
    </row>
    <row r="918" spans="1:13" s="148" customFormat="1" hidden="1" x14ac:dyDescent="0.25">
      <c r="A918" s="400"/>
      <c r="B918" s="398"/>
      <c r="C918" s="398"/>
      <c r="D918" s="405"/>
      <c r="E918" s="398"/>
      <c r="F918" s="395"/>
      <c r="G918" s="396"/>
      <c r="H918" s="399"/>
      <c r="I918" s="395" t="s">
        <v>228</v>
      </c>
      <c r="J918" s="397" t="s">
        <v>228</v>
      </c>
      <c r="K918" s="398"/>
      <c r="L918" s="404"/>
      <c r="M918" s="400"/>
    </row>
    <row r="919" spans="1:13" s="148" customFormat="1" hidden="1" x14ac:dyDescent="0.25">
      <c r="A919" s="400"/>
      <c r="B919" s="398"/>
      <c r="C919" s="398"/>
      <c r="D919" s="405"/>
      <c r="E919" s="398"/>
      <c r="F919" s="395"/>
      <c r="G919" s="396"/>
      <c r="H919" s="399"/>
      <c r="I919" s="395" t="s">
        <v>228</v>
      </c>
      <c r="J919" s="397" t="s">
        <v>228</v>
      </c>
      <c r="K919" s="398"/>
      <c r="L919" s="404"/>
      <c r="M919" s="400"/>
    </row>
    <row r="920" spans="1:13" s="148" customFormat="1" hidden="1" x14ac:dyDescent="0.25">
      <c r="A920" s="400"/>
      <c r="B920" s="398"/>
      <c r="C920" s="398"/>
      <c r="D920" s="405"/>
      <c r="E920" s="398"/>
      <c r="F920" s="395"/>
      <c r="G920" s="396"/>
      <c r="H920" s="399"/>
      <c r="I920" s="395" t="s">
        <v>228</v>
      </c>
      <c r="J920" s="397" t="s">
        <v>228</v>
      </c>
      <c r="K920" s="398"/>
      <c r="L920" s="404"/>
      <c r="M920" s="400"/>
    </row>
    <row r="921" spans="1:13" s="148" customFormat="1" hidden="1" x14ac:dyDescent="0.25">
      <c r="A921" s="400"/>
      <c r="B921" s="398"/>
      <c r="C921" s="398"/>
      <c r="D921" s="405"/>
      <c r="E921" s="398"/>
      <c r="F921" s="395"/>
      <c r="G921" s="396"/>
      <c r="H921" s="399"/>
      <c r="I921" s="395" t="s">
        <v>228</v>
      </c>
      <c r="J921" s="397" t="s">
        <v>228</v>
      </c>
      <c r="K921" s="398"/>
      <c r="L921" s="404"/>
      <c r="M921" s="400"/>
    </row>
    <row r="922" spans="1:13" s="148" customFormat="1" hidden="1" x14ac:dyDescent="0.25">
      <c r="A922" s="400"/>
      <c r="B922" s="398"/>
      <c r="C922" s="398"/>
      <c r="D922" s="405"/>
      <c r="E922" s="398"/>
      <c r="F922" s="395"/>
      <c r="G922" s="396"/>
      <c r="H922" s="399"/>
      <c r="I922" s="395" t="s">
        <v>228</v>
      </c>
      <c r="J922" s="397" t="s">
        <v>228</v>
      </c>
      <c r="K922" s="398"/>
      <c r="L922" s="404"/>
      <c r="M922" s="400"/>
    </row>
    <row r="923" spans="1:13" s="148" customFormat="1" hidden="1" x14ac:dyDescent="0.25">
      <c r="A923" s="400"/>
      <c r="B923" s="398"/>
      <c r="C923" s="398"/>
      <c r="D923" s="405"/>
      <c r="E923" s="398"/>
      <c r="F923" s="395"/>
      <c r="G923" s="396"/>
      <c r="H923" s="399"/>
      <c r="I923" s="395" t="s">
        <v>228</v>
      </c>
      <c r="J923" s="397" t="s">
        <v>228</v>
      </c>
      <c r="K923" s="398"/>
      <c r="L923" s="404"/>
      <c r="M923" s="400"/>
    </row>
    <row r="924" spans="1:13" s="148" customFormat="1" hidden="1" x14ac:dyDescent="0.25">
      <c r="A924" s="400"/>
      <c r="B924" s="398"/>
      <c r="C924" s="398"/>
      <c r="D924" s="405"/>
      <c r="E924" s="398"/>
      <c r="F924" s="395"/>
      <c r="G924" s="396"/>
      <c r="H924" s="399"/>
      <c r="I924" s="395" t="s">
        <v>228</v>
      </c>
      <c r="J924" s="397" t="s">
        <v>228</v>
      </c>
      <c r="K924" s="398"/>
      <c r="L924" s="404"/>
      <c r="M924" s="400"/>
    </row>
    <row r="925" spans="1:13" s="148" customFormat="1" hidden="1" x14ac:dyDescent="0.25">
      <c r="A925" s="400"/>
      <c r="B925" s="398"/>
      <c r="C925" s="398"/>
      <c r="D925" s="405"/>
      <c r="E925" s="398"/>
      <c r="F925" s="395"/>
      <c r="G925" s="396"/>
      <c r="H925" s="399"/>
      <c r="I925" s="395" t="s">
        <v>228</v>
      </c>
      <c r="J925" s="397" t="s">
        <v>228</v>
      </c>
      <c r="K925" s="398"/>
      <c r="L925" s="404"/>
      <c r="M925" s="400"/>
    </row>
    <row r="926" spans="1:13" s="148" customFormat="1" hidden="1" x14ac:dyDescent="0.25">
      <c r="A926" s="400"/>
      <c r="B926" s="398"/>
      <c r="C926" s="398"/>
      <c r="D926" s="405"/>
      <c r="E926" s="398"/>
      <c r="F926" s="395"/>
      <c r="G926" s="396"/>
      <c r="H926" s="399"/>
      <c r="I926" s="395" t="s">
        <v>228</v>
      </c>
      <c r="J926" s="397" t="s">
        <v>228</v>
      </c>
      <c r="K926" s="398"/>
      <c r="L926" s="404"/>
      <c r="M926" s="400"/>
    </row>
    <row r="927" spans="1:13" s="148" customFormat="1" hidden="1" x14ac:dyDescent="0.25">
      <c r="A927" s="400"/>
      <c r="B927" s="398"/>
      <c r="C927" s="398"/>
      <c r="D927" s="405"/>
      <c r="E927" s="398"/>
      <c r="F927" s="395"/>
      <c r="G927" s="396"/>
      <c r="H927" s="399"/>
      <c r="I927" s="395" t="s">
        <v>228</v>
      </c>
      <c r="J927" s="397" t="s">
        <v>228</v>
      </c>
      <c r="K927" s="398"/>
      <c r="L927" s="404"/>
      <c r="M927" s="400"/>
    </row>
    <row r="928" spans="1:13" s="148" customFormat="1" hidden="1" x14ac:dyDescent="0.25">
      <c r="A928" s="400"/>
      <c r="B928" s="398"/>
      <c r="C928" s="398"/>
      <c r="D928" s="405"/>
      <c r="E928" s="398"/>
      <c r="F928" s="395"/>
      <c r="G928" s="396"/>
      <c r="H928" s="399"/>
      <c r="I928" s="395" t="s">
        <v>228</v>
      </c>
      <c r="J928" s="397" t="s">
        <v>228</v>
      </c>
      <c r="K928" s="398"/>
      <c r="L928" s="404"/>
      <c r="M928" s="400"/>
    </row>
    <row r="929" spans="1:13" s="148" customFormat="1" hidden="1" x14ac:dyDescent="0.25">
      <c r="A929" s="400"/>
      <c r="B929" s="398"/>
      <c r="C929" s="398"/>
      <c r="D929" s="405"/>
      <c r="E929" s="398"/>
      <c r="F929" s="395"/>
      <c r="G929" s="396"/>
      <c r="H929" s="399"/>
      <c r="I929" s="395" t="s">
        <v>228</v>
      </c>
      <c r="J929" s="397" t="s">
        <v>228</v>
      </c>
      <c r="K929" s="398"/>
      <c r="L929" s="404"/>
      <c r="M929" s="400"/>
    </row>
    <row r="930" spans="1:13" s="148" customFormat="1" hidden="1" x14ac:dyDescent="0.25">
      <c r="A930" s="400"/>
      <c r="B930" s="398"/>
      <c r="C930" s="398"/>
      <c r="D930" s="405"/>
      <c r="E930" s="398"/>
      <c r="F930" s="395"/>
      <c r="G930" s="396"/>
      <c r="H930" s="399"/>
      <c r="I930" s="395" t="s">
        <v>228</v>
      </c>
      <c r="J930" s="397" t="s">
        <v>228</v>
      </c>
      <c r="K930" s="398"/>
      <c r="L930" s="404"/>
      <c r="M930" s="400"/>
    </row>
    <row r="931" spans="1:13" s="148" customFormat="1" hidden="1" x14ac:dyDescent="0.25">
      <c r="A931" s="400"/>
      <c r="B931" s="398"/>
      <c r="C931" s="398"/>
      <c r="D931" s="405"/>
      <c r="E931" s="398"/>
      <c r="F931" s="395"/>
      <c r="G931" s="396"/>
      <c r="H931" s="399"/>
      <c r="I931" s="395" t="s">
        <v>228</v>
      </c>
      <c r="J931" s="397" t="s">
        <v>228</v>
      </c>
      <c r="K931" s="398"/>
      <c r="L931" s="404"/>
      <c r="M931" s="400"/>
    </row>
    <row r="932" spans="1:13" s="148" customFormat="1" hidden="1" x14ac:dyDescent="0.25">
      <c r="A932" s="400"/>
      <c r="B932" s="398"/>
      <c r="C932" s="398"/>
      <c r="D932" s="405"/>
      <c r="E932" s="398"/>
      <c r="F932" s="395"/>
      <c r="G932" s="396"/>
      <c r="H932" s="399"/>
      <c r="I932" s="395" t="s">
        <v>228</v>
      </c>
      <c r="J932" s="397" t="s">
        <v>228</v>
      </c>
      <c r="K932" s="398"/>
      <c r="L932" s="404"/>
      <c r="M932" s="400"/>
    </row>
    <row r="933" spans="1:13" s="148" customFormat="1" hidden="1" x14ac:dyDescent="0.25">
      <c r="A933" s="400"/>
      <c r="B933" s="398"/>
      <c r="C933" s="398"/>
      <c r="D933" s="405"/>
      <c r="E933" s="398"/>
      <c r="F933" s="395"/>
      <c r="G933" s="396"/>
      <c r="H933" s="399"/>
      <c r="I933" s="395" t="s">
        <v>228</v>
      </c>
      <c r="J933" s="397" t="s">
        <v>228</v>
      </c>
      <c r="K933" s="398"/>
      <c r="L933" s="404"/>
      <c r="M933" s="400"/>
    </row>
    <row r="934" spans="1:13" s="148" customFormat="1" hidden="1" x14ac:dyDescent="0.25">
      <c r="A934" s="400"/>
      <c r="B934" s="398"/>
      <c r="C934" s="398"/>
      <c r="D934" s="405"/>
      <c r="E934" s="398"/>
      <c r="F934" s="395"/>
      <c r="G934" s="396"/>
      <c r="H934" s="399"/>
      <c r="I934" s="395" t="s">
        <v>228</v>
      </c>
      <c r="J934" s="397" t="s">
        <v>228</v>
      </c>
      <c r="K934" s="398"/>
      <c r="L934" s="404"/>
      <c r="M934" s="400"/>
    </row>
    <row r="935" spans="1:13" s="148" customFormat="1" hidden="1" x14ac:dyDescent="0.25">
      <c r="A935" s="400"/>
      <c r="B935" s="398"/>
      <c r="C935" s="398"/>
      <c r="D935" s="405"/>
      <c r="E935" s="398"/>
      <c r="F935" s="395"/>
      <c r="G935" s="396"/>
      <c r="H935" s="399"/>
      <c r="I935" s="395" t="s">
        <v>228</v>
      </c>
      <c r="J935" s="397" t="s">
        <v>228</v>
      </c>
      <c r="K935" s="398"/>
      <c r="L935" s="404"/>
      <c r="M935" s="400"/>
    </row>
    <row r="936" spans="1:13" s="148" customFormat="1" hidden="1" x14ac:dyDescent="0.25">
      <c r="A936" s="400"/>
      <c r="B936" s="398"/>
      <c r="C936" s="398"/>
      <c r="D936" s="405"/>
      <c r="E936" s="398"/>
      <c r="F936" s="395"/>
      <c r="G936" s="396"/>
      <c r="H936" s="399"/>
      <c r="I936" s="395" t="s">
        <v>228</v>
      </c>
      <c r="J936" s="397" t="s">
        <v>228</v>
      </c>
      <c r="K936" s="398"/>
      <c r="L936" s="404"/>
      <c r="M936" s="400"/>
    </row>
    <row r="937" spans="1:13" s="148" customFormat="1" hidden="1" x14ac:dyDescent="0.25">
      <c r="A937" s="400"/>
      <c r="B937" s="398"/>
      <c r="C937" s="398"/>
      <c r="D937" s="405"/>
      <c r="E937" s="398"/>
      <c r="F937" s="395"/>
      <c r="G937" s="396"/>
      <c r="H937" s="399"/>
      <c r="I937" s="395" t="s">
        <v>228</v>
      </c>
      <c r="J937" s="397" t="s">
        <v>228</v>
      </c>
      <c r="K937" s="398"/>
      <c r="L937" s="404"/>
      <c r="M937" s="400"/>
    </row>
    <row r="938" spans="1:13" s="148" customFormat="1" hidden="1" x14ac:dyDescent="0.25">
      <c r="A938" s="400"/>
      <c r="B938" s="398"/>
      <c r="C938" s="398"/>
      <c r="D938" s="405"/>
      <c r="E938" s="398"/>
      <c r="F938" s="395"/>
      <c r="G938" s="396"/>
      <c r="H938" s="399"/>
      <c r="I938" s="395" t="s">
        <v>228</v>
      </c>
      <c r="J938" s="397" t="s">
        <v>228</v>
      </c>
      <c r="K938" s="398"/>
      <c r="L938" s="404"/>
      <c r="M938" s="400"/>
    </row>
    <row r="939" spans="1:13" s="148" customFormat="1" hidden="1" x14ac:dyDescent="0.25">
      <c r="A939" s="400"/>
      <c r="B939" s="398"/>
      <c r="C939" s="398"/>
      <c r="D939" s="405"/>
      <c r="E939" s="398"/>
      <c r="F939" s="395"/>
      <c r="G939" s="396"/>
      <c r="H939" s="399"/>
      <c r="I939" s="395" t="s">
        <v>228</v>
      </c>
      <c r="J939" s="397" t="s">
        <v>228</v>
      </c>
      <c r="K939" s="398"/>
      <c r="L939" s="404"/>
      <c r="M939" s="400"/>
    </row>
    <row r="940" spans="1:13" s="148" customFormat="1" hidden="1" x14ac:dyDescent="0.25">
      <c r="A940" s="400"/>
      <c r="B940" s="398"/>
      <c r="C940" s="398"/>
      <c r="D940" s="405"/>
      <c r="E940" s="398"/>
      <c r="F940" s="395"/>
      <c r="G940" s="396"/>
      <c r="H940" s="399"/>
      <c r="I940" s="395" t="s">
        <v>228</v>
      </c>
      <c r="J940" s="397" t="s">
        <v>228</v>
      </c>
      <c r="K940" s="398"/>
      <c r="L940" s="404"/>
      <c r="M940" s="400"/>
    </row>
    <row r="941" spans="1:13" s="148" customFormat="1" hidden="1" x14ac:dyDescent="0.25">
      <c r="A941" s="400"/>
      <c r="B941" s="398"/>
      <c r="C941" s="398"/>
      <c r="D941" s="405"/>
      <c r="E941" s="398"/>
      <c r="F941" s="395"/>
      <c r="G941" s="396"/>
      <c r="H941" s="399"/>
      <c r="I941" s="395" t="s">
        <v>228</v>
      </c>
      <c r="J941" s="397" t="s">
        <v>228</v>
      </c>
      <c r="K941" s="398"/>
      <c r="L941" s="404"/>
      <c r="M941" s="400"/>
    </row>
    <row r="942" spans="1:13" s="148" customFormat="1" hidden="1" x14ac:dyDescent="0.25">
      <c r="A942" s="400"/>
      <c r="B942" s="398"/>
      <c r="C942" s="398"/>
      <c r="D942" s="405"/>
      <c r="E942" s="398"/>
      <c r="F942" s="395"/>
      <c r="G942" s="396"/>
      <c r="H942" s="399"/>
      <c r="I942" s="395" t="s">
        <v>228</v>
      </c>
      <c r="J942" s="397" t="s">
        <v>228</v>
      </c>
      <c r="K942" s="398"/>
      <c r="L942" s="404"/>
      <c r="M942" s="400"/>
    </row>
    <row r="943" spans="1:13" s="148" customFormat="1" hidden="1" x14ac:dyDescent="0.25">
      <c r="A943" s="400"/>
      <c r="B943" s="398"/>
      <c r="C943" s="398"/>
      <c r="D943" s="405"/>
      <c r="E943" s="398"/>
      <c r="F943" s="395"/>
      <c r="G943" s="396"/>
      <c r="H943" s="399"/>
      <c r="I943" s="395" t="s">
        <v>228</v>
      </c>
      <c r="J943" s="397" t="s">
        <v>228</v>
      </c>
      <c r="K943" s="398"/>
      <c r="L943" s="404"/>
      <c r="M943" s="400"/>
    </row>
    <row r="944" spans="1:13" s="148" customFormat="1" hidden="1" x14ac:dyDescent="0.25">
      <c r="A944" s="400"/>
      <c r="B944" s="398"/>
      <c r="C944" s="398"/>
      <c r="D944" s="405"/>
      <c r="E944" s="398"/>
      <c r="F944" s="395"/>
      <c r="G944" s="396"/>
      <c r="H944" s="399"/>
      <c r="I944" s="395" t="s">
        <v>228</v>
      </c>
      <c r="J944" s="397" t="s">
        <v>228</v>
      </c>
      <c r="K944" s="398"/>
      <c r="L944" s="404"/>
      <c r="M944" s="400"/>
    </row>
    <row r="945" spans="1:13" s="148" customFormat="1" hidden="1" x14ac:dyDescent="0.25">
      <c r="A945" s="400"/>
      <c r="B945" s="398"/>
      <c r="C945" s="398"/>
      <c r="D945" s="405"/>
      <c r="E945" s="398"/>
      <c r="F945" s="395"/>
      <c r="G945" s="396"/>
      <c r="H945" s="399"/>
      <c r="I945" s="395" t="s">
        <v>228</v>
      </c>
      <c r="J945" s="397" t="s">
        <v>228</v>
      </c>
      <c r="K945" s="398"/>
      <c r="L945" s="404"/>
      <c r="M945" s="400"/>
    </row>
    <row r="946" spans="1:13" s="148" customFormat="1" hidden="1" x14ac:dyDescent="0.25">
      <c r="A946" s="400"/>
      <c r="B946" s="398"/>
      <c r="C946" s="398"/>
      <c r="D946" s="405"/>
      <c r="E946" s="398"/>
      <c r="F946" s="395"/>
      <c r="G946" s="396"/>
      <c r="H946" s="399"/>
      <c r="I946" s="395" t="s">
        <v>228</v>
      </c>
      <c r="J946" s="397" t="s">
        <v>228</v>
      </c>
      <c r="K946" s="398"/>
      <c r="L946" s="404"/>
      <c r="M946" s="400"/>
    </row>
    <row r="947" spans="1:13" s="148" customFormat="1" hidden="1" x14ac:dyDescent="0.25">
      <c r="A947" s="400"/>
      <c r="B947" s="398"/>
      <c r="C947" s="398"/>
      <c r="D947" s="405"/>
      <c r="E947" s="398"/>
      <c r="F947" s="395"/>
      <c r="G947" s="396"/>
      <c r="H947" s="399"/>
      <c r="I947" s="395" t="s">
        <v>228</v>
      </c>
      <c r="J947" s="397" t="s">
        <v>228</v>
      </c>
      <c r="K947" s="398"/>
      <c r="L947" s="404"/>
      <c r="M947" s="400"/>
    </row>
    <row r="948" spans="1:13" s="148" customFormat="1" hidden="1" x14ac:dyDescent="0.25">
      <c r="A948" s="400"/>
      <c r="B948" s="398"/>
      <c r="C948" s="398"/>
      <c r="D948" s="405"/>
      <c r="E948" s="398"/>
      <c r="F948" s="395"/>
      <c r="G948" s="396"/>
      <c r="H948" s="399"/>
      <c r="I948" s="395" t="s">
        <v>228</v>
      </c>
      <c r="J948" s="397" t="s">
        <v>228</v>
      </c>
      <c r="K948" s="398"/>
      <c r="L948" s="404"/>
      <c r="M948" s="400"/>
    </row>
    <row r="949" spans="1:13" s="148" customFormat="1" hidden="1" x14ac:dyDescent="0.25">
      <c r="A949" s="400"/>
      <c r="B949" s="398"/>
      <c r="C949" s="398"/>
      <c r="D949" s="405"/>
      <c r="E949" s="398"/>
      <c r="F949" s="395"/>
      <c r="G949" s="396"/>
      <c r="H949" s="399"/>
      <c r="I949" s="395" t="s">
        <v>228</v>
      </c>
      <c r="J949" s="397" t="s">
        <v>228</v>
      </c>
      <c r="K949" s="398"/>
      <c r="L949" s="404"/>
      <c r="M949" s="400"/>
    </row>
    <row r="950" spans="1:13" s="148" customFormat="1" hidden="1" x14ac:dyDescent="0.25">
      <c r="A950" s="400"/>
      <c r="B950" s="398"/>
      <c r="C950" s="398"/>
      <c r="D950" s="405"/>
      <c r="E950" s="398"/>
      <c r="F950" s="395"/>
      <c r="G950" s="396"/>
      <c r="H950" s="399"/>
      <c r="I950" s="395" t="s">
        <v>228</v>
      </c>
      <c r="J950" s="397" t="s">
        <v>228</v>
      </c>
      <c r="K950" s="398"/>
      <c r="L950" s="404"/>
      <c r="M950" s="400"/>
    </row>
    <row r="951" spans="1:13" s="148" customFormat="1" hidden="1" x14ac:dyDescent="0.25">
      <c r="A951" s="400"/>
      <c r="B951" s="398"/>
      <c r="C951" s="398"/>
      <c r="D951" s="405"/>
      <c r="E951" s="398"/>
      <c r="F951" s="395"/>
      <c r="G951" s="396"/>
      <c r="H951" s="399"/>
      <c r="I951" s="395" t="s">
        <v>228</v>
      </c>
      <c r="J951" s="397" t="s">
        <v>228</v>
      </c>
      <c r="K951" s="398"/>
      <c r="L951" s="404"/>
      <c r="M951" s="400"/>
    </row>
    <row r="952" spans="1:13" s="148" customFormat="1" hidden="1" x14ac:dyDescent="0.25">
      <c r="A952" s="400"/>
      <c r="B952" s="398"/>
      <c r="C952" s="398"/>
      <c r="D952" s="405"/>
      <c r="E952" s="398"/>
      <c r="F952" s="395"/>
      <c r="G952" s="396"/>
      <c r="H952" s="399"/>
      <c r="I952" s="395" t="s">
        <v>228</v>
      </c>
      <c r="J952" s="397" t="s">
        <v>228</v>
      </c>
      <c r="K952" s="398"/>
      <c r="L952" s="404"/>
      <c r="M952" s="400"/>
    </row>
    <row r="953" spans="1:13" s="148" customFormat="1" hidden="1" x14ac:dyDescent="0.25">
      <c r="A953" s="400"/>
      <c r="B953" s="398"/>
      <c r="C953" s="398"/>
      <c r="D953" s="405"/>
      <c r="E953" s="398"/>
      <c r="F953" s="395"/>
      <c r="G953" s="396"/>
      <c r="H953" s="399"/>
      <c r="I953" s="395" t="s">
        <v>228</v>
      </c>
      <c r="J953" s="397" t="s">
        <v>228</v>
      </c>
      <c r="K953" s="398"/>
      <c r="L953" s="404"/>
      <c r="M953" s="400"/>
    </row>
    <row r="954" spans="1:13" s="148" customFormat="1" hidden="1" x14ac:dyDescent="0.25">
      <c r="A954" s="400"/>
      <c r="B954" s="398"/>
      <c r="C954" s="398"/>
      <c r="D954" s="405"/>
      <c r="E954" s="398"/>
      <c r="F954" s="395"/>
      <c r="G954" s="396"/>
      <c r="H954" s="399"/>
      <c r="I954" s="395" t="s">
        <v>228</v>
      </c>
      <c r="J954" s="397" t="s">
        <v>228</v>
      </c>
      <c r="K954" s="398"/>
      <c r="L954" s="404"/>
      <c r="M954" s="400"/>
    </row>
    <row r="955" spans="1:13" s="148" customFormat="1" hidden="1" x14ac:dyDescent="0.25">
      <c r="A955" s="400"/>
      <c r="B955" s="398"/>
      <c r="C955" s="398"/>
      <c r="D955" s="405"/>
      <c r="E955" s="398"/>
      <c r="F955" s="395"/>
      <c r="G955" s="396"/>
      <c r="H955" s="399"/>
      <c r="I955" s="395" t="s">
        <v>228</v>
      </c>
      <c r="J955" s="397" t="s">
        <v>228</v>
      </c>
      <c r="K955" s="398"/>
      <c r="L955" s="404"/>
      <c r="M955" s="400"/>
    </row>
    <row r="956" spans="1:13" s="148" customFormat="1" hidden="1" x14ac:dyDescent="0.25">
      <c r="A956" s="400"/>
      <c r="B956" s="398"/>
      <c r="C956" s="398"/>
      <c r="D956" s="405"/>
      <c r="E956" s="398"/>
      <c r="F956" s="395"/>
      <c r="G956" s="396"/>
      <c r="H956" s="399"/>
      <c r="I956" s="395" t="s">
        <v>228</v>
      </c>
      <c r="J956" s="397" t="s">
        <v>228</v>
      </c>
      <c r="K956" s="398"/>
      <c r="L956" s="404"/>
      <c r="M956" s="400"/>
    </row>
    <row r="957" spans="1:13" s="148" customFormat="1" hidden="1" x14ac:dyDescent="0.25">
      <c r="A957" s="400"/>
      <c r="B957" s="398"/>
      <c r="C957" s="398"/>
      <c r="D957" s="405"/>
      <c r="E957" s="398"/>
      <c r="F957" s="395"/>
      <c r="G957" s="396"/>
      <c r="H957" s="399"/>
      <c r="I957" s="395" t="s">
        <v>228</v>
      </c>
      <c r="J957" s="397" t="s">
        <v>228</v>
      </c>
      <c r="K957" s="398"/>
      <c r="L957" s="404"/>
      <c r="M957" s="400"/>
    </row>
    <row r="958" spans="1:13" s="148" customFormat="1" hidden="1" x14ac:dyDescent="0.25">
      <c r="A958" s="400"/>
      <c r="B958" s="398"/>
      <c r="C958" s="398"/>
      <c r="D958" s="405"/>
      <c r="E958" s="398"/>
      <c r="F958" s="395"/>
      <c r="G958" s="396"/>
      <c r="H958" s="399"/>
      <c r="I958" s="395" t="s">
        <v>228</v>
      </c>
      <c r="J958" s="397" t="s">
        <v>228</v>
      </c>
      <c r="K958" s="398"/>
      <c r="L958" s="404"/>
      <c r="M958" s="400"/>
    </row>
    <row r="959" spans="1:13" s="148" customFormat="1" hidden="1" x14ac:dyDescent="0.25">
      <c r="A959" s="400"/>
      <c r="B959" s="398"/>
      <c r="C959" s="398"/>
      <c r="D959" s="405"/>
      <c r="E959" s="398"/>
      <c r="F959" s="395"/>
      <c r="G959" s="396"/>
      <c r="H959" s="399"/>
      <c r="I959" s="395" t="s">
        <v>228</v>
      </c>
      <c r="J959" s="397" t="s">
        <v>228</v>
      </c>
      <c r="K959" s="398"/>
      <c r="L959" s="404"/>
      <c r="M959" s="400"/>
    </row>
    <row r="960" spans="1:13" s="148" customFormat="1" hidden="1" x14ac:dyDescent="0.25">
      <c r="A960" s="400"/>
      <c r="B960" s="398"/>
      <c r="C960" s="398"/>
      <c r="D960" s="405"/>
      <c r="E960" s="398"/>
      <c r="F960" s="395"/>
      <c r="G960" s="396"/>
      <c r="H960" s="399"/>
      <c r="I960" s="395" t="s">
        <v>228</v>
      </c>
      <c r="J960" s="397" t="s">
        <v>228</v>
      </c>
      <c r="K960" s="398"/>
      <c r="L960" s="404"/>
      <c r="M960" s="400"/>
    </row>
    <row r="961" spans="1:13" s="148" customFormat="1" hidden="1" x14ac:dyDescent="0.25">
      <c r="A961" s="400"/>
      <c r="B961" s="398"/>
      <c r="C961" s="398"/>
      <c r="D961" s="405"/>
      <c r="E961" s="398"/>
      <c r="F961" s="395"/>
      <c r="G961" s="396"/>
      <c r="H961" s="399"/>
      <c r="I961" s="395" t="s">
        <v>228</v>
      </c>
      <c r="J961" s="397" t="s">
        <v>228</v>
      </c>
      <c r="K961" s="398"/>
      <c r="L961" s="404"/>
      <c r="M961" s="400"/>
    </row>
    <row r="962" spans="1:13" s="148" customFormat="1" hidden="1" x14ac:dyDescent="0.25">
      <c r="A962" s="400"/>
      <c r="B962" s="398"/>
      <c r="C962" s="398"/>
      <c r="D962" s="405"/>
      <c r="E962" s="398"/>
      <c r="F962" s="395"/>
      <c r="G962" s="396"/>
      <c r="H962" s="399"/>
      <c r="I962" s="395" t="s">
        <v>228</v>
      </c>
      <c r="J962" s="397" t="s">
        <v>228</v>
      </c>
      <c r="K962" s="398"/>
      <c r="L962" s="404"/>
      <c r="M962" s="400"/>
    </row>
    <row r="963" spans="1:13" s="148" customFormat="1" hidden="1" x14ac:dyDescent="0.25">
      <c r="A963" s="400"/>
      <c r="B963" s="398"/>
      <c r="C963" s="398"/>
      <c r="D963" s="405"/>
      <c r="E963" s="398"/>
      <c r="F963" s="395"/>
      <c r="G963" s="396"/>
      <c r="H963" s="399"/>
      <c r="I963" s="395" t="s">
        <v>228</v>
      </c>
      <c r="J963" s="397" t="s">
        <v>228</v>
      </c>
      <c r="K963" s="398"/>
      <c r="L963" s="404"/>
      <c r="M963" s="400"/>
    </row>
    <row r="964" spans="1:13" s="148" customFormat="1" hidden="1" x14ac:dyDescent="0.25">
      <c r="A964" s="400"/>
      <c r="B964" s="398"/>
      <c r="C964" s="398"/>
      <c r="D964" s="405"/>
      <c r="E964" s="398"/>
      <c r="F964" s="395"/>
      <c r="G964" s="396"/>
      <c r="H964" s="399"/>
      <c r="I964" s="395" t="s">
        <v>228</v>
      </c>
      <c r="J964" s="397" t="s">
        <v>228</v>
      </c>
      <c r="K964" s="398"/>
      <c r="L964" s="404"/>
      <c r="M964" s="400"/>
    </row>
    <row r="965" spans="1:13" s="148" customFormat="1" hidden="1" x14ac:dyDescent="0.25">
      <c r="A965" s="400"/>
      <c r="B965" s="398"/>
      <c r="C965" s="398"/>
      <c r="D965" s="405"/>
      <c r="E965" s="398"/>
      <c r="F965" s="395"/>
      <c r="G965" s="396"/>
      <c r="H965" s="399"/>
      <c r="I965" s="395" t="s">
        <v>228</v>
      </c>
      <c r="J965" s="397" t="s">
        <v>228</v>
      </c>
      <c r="K965" s="398"/>
      <c r="L965" s="404"/>
      <c r="M965" s="400"/>
    </row>
    <row r="966" spans="1:13" s="148" customFormat="1" hidden="1" x14ac:dyDescent="0.25">
      <c r="A966" s="400"/>
      <c r="B966" s="398"/>
      <c r="C966" s="398"/>
      <c r="D966" s="405"/>
      <c r="E966" s="398"/>
      <c r="F966" s="395"/>
      <c r="G966" s="396"/>
      <c r="H966" s="399"/>
      <c r="I966" s="395" t="s">
        <v>228</v>
      </c>
      <c r="J966" s="397" t="s">
        <v>228</v>
      </c>
      <c r="K966" s="398"/>
      <c r="L966" s="404"/>
      <c r="M966" s="400"/>
    </row>
    <row r="967" spans="1:13" s="148" customFormat="1" hidden="1" x14ac:dyDescent="0.25">
      <c r="A967" s="400"/>
      <c r="B967" s="398"/>
      <c r="C967" s="398"/>
      <c r="D967" s="405"/>
      <c r="E967" s="398"/>
      <c r="F967" s="395"/>
      <c r="G967" s="396"/>
      <c r="H967" s="399"/>
      <c r="I967" s="395" t="s">
        <v>228</v>
      </c>
      <c r="J967" s="397" t="s">
        <v>228</v>
      </c>
      <c r="K967" s="398"/>
      <c r="L967" s="404"/>
      <c r="M967" s="400"/>
    </row>
    <row r="968" spans="1:13" s="148" customFormat="1" hidden="1" x14ac:dyDescent="0.25">
      <c r="A968" s="400"/>
      <c r="B968" s="398"/>
      <c r="C968" s="398"/>
      <c r="D968" s="405"/>
      <c r="E968" s="398"/>
      <c r="F968" s="395"/>
      <c r="G968" s="396"/>
      <c r="H968" s="399"/>
      <c r="I968" s="395" t="s">
        <v>228</v>
      </c>
      <c r="J968" s="397" t="s">
        <v>228</v>
      </c>
      <c r="K968" s="398"/>
      <c r="L968" s="404"/>
      <c r="M968" s="400"/>
    </row>
    <row r="969" spans="1:13" s="148" customFormat="1" hidden="1" x14ac:dyDescent="0.25">
      <c r="A969" s="400"/>
      <c r="B969" s="398"/>
      <c r="C969" s="398"/>
      <c r="D969" s="405"/>
      <c r="E969" s="398"/>
      <c r="F969" s="395"/>
      <c r="G969" s="396"/>
      <c r="H969" s="399"/>
      <c r="I969" s="395" t="s">
        <v>228</v>
      </c>
      <c r="J969" s="397" t="s">
        <v>228</v>
      </c>
      <c r="K969" s="398"/>
      <c r="L969" s="404"/>
      <c r="M969" s="400"/>
    </row>
    <row r="970" spans="1:13" s="148" customFormat="1" hidden="1" x14ac:dyDescent="0.25">
      <c r="A970" s="400"/>
      <c r="B970" s="398"/>
      <c r="C970" s="398"/>
      <c r="D970" s="405"/>
      <c r="E970" s="398"/>
      <c r="F970" s="395"/>
      <c r="G970" s="396"/>
      <c r="H970" s="399"/>
      <c r="I970" s="395" t="s">
        <v>228</v>
      </c>
      <c r="J970" s="397" t="s">
        <v>228</v>
      </c>
      <c r="K970" s="398"/>
      <c r="L970" s="404"/>
      <c r="M970" s="400"/>
    </row>
    <row r="971" spans="1:13" s="148" customFormat="1" hidden="1" x14ac:dyDescent="0.25">
      <c r="A971" s="400"/>
      <c r="B971" s="398"/>
      <c r="C971" s="398"/>
      <c r="D971" s="405"/>
      <c r="E971" s="398"/>
      <c r="F971" s="395"/>
      <c r="G971" s="396"/>
      <c r="H971" s="399"/>
      <c r="I971" s="395" t="s">
        <v>228</v>
      </c>
      <c r="J971" s="397" t="s">
        <v>228</v>
      </c>
      <c r="K971" s="398"/>
      <c r="L971" s="404"/>
      <c r="M971" s="400"/>
    </row>
    <row r="972" spans="1:13" s="148" customFormat="1" hidden="1" x14ac:dyDescent="0.25">
      <c r="A972" s="400"/>
      <c r="B972" s="398"/>
      <c r="C972" s="398"/>
      <c r="D972" s="405"/>
      <c r="E972" s="398"/>
      <c r="F972" s="395"/>
      <c r="G972" s="396"/>
      <c r="H972" s="399"/>
      <c r="I972" s="395" t="s">
        <v>228</v>
      </c>
      <c r="J972" s="397" t="s">
        <v>228</v>
      </c>
      <c r="K972" s="398"/>
      <c r="L972" s="404"/>
      <c r="M972" s="400"/>
    </row>
    <row r="973" spans="1:13" s="148" customFormat="1" hidden="1" x14ac:dyDescent="0.25">
      <c r="A973" s="400"/>
      <c r="B973" s="398"/>
      <c r="C973" s="398"/>
      <c r="D973" s="405"/>
      <c r="E973" s="398"/>
      <c r="F973" s="395"/>
      <c r="G973" s="396"/>
      <c r="H973" s="399"/>
      <c r="I973" s="395" t="s">
        <v>228</v>
      </c>
      <c r="J973" s="397" t="s">
        <v>228</v>
      </c>
      <c r="K973" s="398"/>
      <c r="L973" s="404"/>
      <c r="M973" s="400"/>
    </row>
    <row r="974" spans="1:13" s="148" customFormat="1" hidden="1" x14ac:dyDescent="0.25">
      <c r="A974" s="400"/>
      <c r="B974" s="398"/>
      <c r="C974" s="398"/>
      <c r="D974" s="405"/>
      <c r="E974" s="398"/>
      <c r="F974" s="395"/>
      <c r="G974" s="396"/>
      <c r="H974" s="399"/>
      <c r="I974" s="395" t="s">
        <v>228</v>
      </c>
      <c r="J974" s="397" t="s">
        <v>228</v>
      </c>
      <c r="K974" s="398"/>
      <c r="L974" s="404"/>
      <c r="M974" s="400"/>
    </row>
    <row r="975" spans="1:13" s="148" customFormat="1" hidden="1" x14ac:dyDescent="0.25">
      <c r="A975" s="400"/>
      <c r="B975" s="398"/>
      <c r="C975" s="398"/>
      <c r="D975" s="405"/>
      <c r="E975" s="398"/>
      <c r="F975" s="395"/>
      <c r="G975" s="396"/>
      <c r="H975" s="399"/>
      <c r="I975" s="395" t="s">
        <v>228</v>
      </c>
      <c r="J975" s="397" t="s">
        <v>228</v>
      </c>
      <c r="K975" s="398"/>
      <c r="L975" s="404"/>
      <c r="M975" s="400"/>
    </row>
    <row r="976" spans="1:13" s="148" customFormat="1" hidden="1" x14ac:dyDescent="0.25">
      <c r="A976" s="400"/>
      <c r="B976" s="398"/>
      <c r="C976" s="398"/>
      <c r="D976" s="405"/>
      <c r="E976" s="398"/>
      <c r="F976" s="395"/>
      <c r="G976" s="396"/>
      <c r="H976" s="399"/>
      <c r="I976" s="395" t="s">
        <v>228</v>
      </c>
      <c r="J976" s="397" t="s">
        <v>228</v>
      </c>
      <c r="K976" s="398"/>
      <c r="L976" s="404"/>
      <c r="M976" s="400"/>
    </row>
    <row r="977" spans="1:13" s="148" customFormat="1" hidden="1" x14ac:dyDescent="0.25">
      <c r="A977" s="400"/>
      <c r="B977" s="398"/>
      <c r="C977" s="398"/>
      <c r="D977" s="405"/>
      <c r="E977" s="398"/>
      <c r="F977" s="395"/>
      <c r="G977" s="396"/>
      <c r="H977" s="399"/>
      <c r="I977" s="395" t="s">
        <v>228</v>
      </c>
      <c r="J977" s="397" t="s">
        <v>228</v>
      </c>
      <c r="K977" s="398"/>
      <c r="L977" s="404"/>
      <c r="M977" s="400"/>
    </row>
    <row r="978" spans="1:13" s="148" customFormat="1" hidden="1" x14ac:dyDescent="0.25">
      <c r="A978" s="400"/>
      <c r="B978" s="398"/>
      <c r="C978" s="398"/>
      <c r="D978" s="405"/>
      <c r="E978" s="398"/>
      <c r="F978" s="395"/>
      <c r="G978" s="396"/>
      <c r="H978" s="399"/>
      <c r="I978" s="395" t="s">
        <v>228</v>
      </c>
      <c r="J978" s="397" t="s">
        <v>228</v>
      </c>
      <c r="K978" s="398"/>
      <c r="L978" s="404"/>
      <c r="M978" s="400"/>
    </row>
    <row r="979" spans="1:13" s="148" customFormat="1" hidden="1" x14ac:dyDescent="0.25">
      <c r="A979" s="400"/>
      <c r="B979" s="398"/>
      <c r="C979" s="398"/>
      <c r="D979" s="405"/>
      <c r="E979" s="398"/>
      <c r="F979" s="395"/>
      <c r="G979" s="396"/>
      <c r="H979" s="399"/>
      <c r="I979" s="395" t="s">
        <v>228</v>
      </c>
      <c r="J979" s="397" t="s">
        <v>228</v>
      </c>
      <c r="K979" s="398"/>
      <c r="L979" s="404"/>
      <c r="M979" s="400"/>
    </row>
    <row r="980" spans="1:13" s="148" customFormat="1" hidden="1" x14ac:dyDescent="0.25">
      <c r="A980" s="400"/>
      <c r="B980" s="398"/>
      <c r="C980" s="398"/>
      <c r="D980" s="405"/>
      <c r="E980" s="398"/>
      <c r="F980" s="395"/>
      <c r="G980" s="396"/>
      <c r="H980" s="399"/>
      <c r="I980" s="395" t="s">
        <v>228</v>
      </c>
      <c r="J980" s="397" t="s">
        <v>228</v>
      </c>
      <c r="K980" s="398"/>
      <c r="L980" s="404"/>
      <c r="M980" s="400"/>
    </row>
    <row r="981" spans="1:13" s="148" customFormat="1" hidden="1" x14ac:dyDescent="0.25">
      <c r="A981" s="400"/>
      <c r="B981" s="398"/>
      <c r="C981" s="398"/>
      <c r="D981" s="405"/>
      <c r="E981" s="398"/>
      <c r="F981" s="395"/>
      <c r="G981" s="396"/>
      <c r="H981" s="399"/>
      <c r="I981" s="395" t="s">
        <v>228</v>
      </c>
      <c r="J981" s="397" t="s">
        <v>228</v>
      </c>
      <c r="K981" s="398"/>
      <c r="L981" s="404"/>
      <c r="M981" s="400"/>
    </row>
    <row r="982" spans="1:13" s="148" customFormat="1" hidden="1" x14ac:dyDescent="0.25">
      <c r="A982" s="400"/>
      <c r="B982" s="398"/>
      <c r="C982" s="398"/>
      <c r="D982" s="405"/>
      <c r="E982" s="398"/>
      <c r="F982" s="395"/>
      <c r="G982" s="396"/>
      <c r="H982" s="399"/>
      <c r="I982" s="395" t="s">
        <v>228</v>
      </c>
      <c r="J982" s="397" t="s">
        <v>228</v>
      </c>
      <c r="K982" s="398"/>
      <c r="L982" s="404"/>
      <c r="M982" s="400"/>
    </row>
    <row r="983" spans="1:13" s="148" customFormat="1" hidden="1" x14ac:dyDescent="0.25">
      <c r="A983" s="400"/>
      <c r="B983" s="398"/>
      <c r="C983" s="398"/>
      <c r="D983" s="405"/>
      <c r="E983" s="398"/>
      <c r="F983" s="395"/>
      <c r="G983" s="396"/>
      <c r="H983" s="399"/>
      <c r="I983" s="395" t="s">
        <v>228</v>
      </c>
      <c r="J983" s="397" t="s">
        <v>228</v>
      </c>
      <c r="K983" s="398"/>
      <c r="L983" s="404"/>
      <c r="M983" s="400"/>
    </row>
    <row r="984" spans="1:13" s="148" customFormat="1" hidden="1" x14ac:dyDescent="0.25">
      <c r="A984" s="400"/>
      <c r="B984" s="398"/>
      <c r="C984" s="398"/>
      <c r="D984" s="405"/>
      <c r="E984" s="398"/>
      <c r="F984" s="395"/>
      <c r="G984" s="396"/>
      <c r="H984" s="399"/>
      <c r="I984" s="395" t="s">
        <v>228</v>
      </c>
      <c r="J984" s="397" t="s">
        <v>228</v>
      </c>
      <c r="K984" s="398"/>
      <c r="L984" s="404"/>
      <c r="M984" s="400"/>
    </row>
    <row r="985" spans="1:13" s="148" customFormat="1" hidden="1" x14ac:dyDescent="0.25">
      <c r="A985" s="400"/>
      <c r="B985" s="398"/>
      <c r="C985" s="398"/>
      <c r="D985" s="405"/>
      <c r="E985" s="398"/>
      <c r="F985" s="395"/>
      <c r="G985" s="396"/>
      <c r="H985" s="399"/>
      <c r="I985" s="395" t="s">
        <v>228</v>
      </c>
      <c r="J985" s="397" t="s">
        <v>228</v>
      </c>
      <c r="K985" s="398"/>
      <c r="L985" s="404"/>
      <c r="M985" s="400"/>
    </row>
    <row r="986" spans="1:13" s="148" customFormat="1" hidden="1" x14ac:dyDescent="0.25">
      <c r="A986" s="400"/>
      <c r="B986" s="398"/>
      <c r="C986" s="398"/>
      <c r="D986" s="405"/>
      <c r="E986" s="398"/>
      <c r="F986" s="395"/>
      <c r="G986" s="396"/>
      <c r="H986" s="399"/>
      <c r="I986" s="395" t="s">
        <v>228</v>
      </c>
      <c r="J986" s="397" t="s">
        <v>228</v>
      </c>
      <c r="K986" s="398"/>
      <c r="L986" s="404"/>
      <c r="M986" s="400"/>
    </row>
    <row r="987" spans="1:13" s="148" customFormat="1" hidden="1" x14ac:dyDescent="0.25">
      <c r="A987" s="400"/>
      <c r="B987" s="398"/>
      <c r="C987" s="398"/>
      <c r="D987" s="405"/>
      <c r="E987" s="398"/>
      <c r="F987" s="395"/>
      <c r="G987" s="396"/>
      <c r="H987" s="399"/>
      <c r="I987" s="395" t="s">
        <v>228</v>
      </c>
      <c r="J987" s="397" t="s">
        <v>228</v>
      </c>
      <c r="K987" s="398"/>
      <c r="L987" s="404"/>
      <c r="M987" s="400"/>
    </row>
    <row r="988" spans="1:13" s="148" customFormat="1" hidden="1" x14ac:dyDescent="0.25">
      <c r="A988" s="400"/>
      <c r="B988" s="398"/>
      <c r="C988" s="398"/>
      <c r="D988" s="405"/>
      <c r="E988" s="398"/>
      <c r="F988" s="395"/>
      <c r="G988" s="396"/>
      <c r="H988" s="399"/>
      <c r="I988" s="395" t="s">
        <v>228</v>
      </c>
      <c r="J988" s="397" t="s">
        <v>228</v>
      </c>
      <c r="K988" s="398"/>
      <c r="L988" s="404"/>
      <c r="M988" s="400"/>
    </row>
    <row r="989" spans="1:13" s="148" customFormat="1" hidden="1" x14ac:dyDescent="0.25">
      <c r="A989" s="400"/>
      <c r="B989" s="398"/>
      <c r="C989" s="398"/>
      <c r="D989" s="405"/>
      <c r="E989" s="398"/>
      <c r="F989" s="395"/>
      <c r="G989" s="396"/>
      <c r="H989" s="399"/>
      <c r="I989" s="395" t="s">
        <v>228</v>
      </c>
      <c r="J989" s="397" t="s">
        <v>228</v>
      </c>
      <c r="K989" s="398"/>
      <c r="L989" s="404"/>
      <c r="M989" s="400"/>
    </row>
    <row r="990" spans="1:13" s="148" customFormat="1" hidden="1" x14ac:dyDescent="0.25">
      <c r="A990" s="400"/>
      <c r="B990" s="398"/>
      <c r="C990" s="398"/>
      <c r="D990" s="405"/>
      <c r="E990" s="398"/>
      <c r="F990" s="395"/>
      <c r="G990" s="396"/>
      <c r="H990" s="399"/>
      <c r="I990" s="395" t="s">
        <v>228</v>
      </c>
      <c r="J990" s="397" t="s">
        <v>228</v>
      </c>
      <c r="K990" s="398"/>
      <c r="L990" s="404"/>
      <c r="M990" s="400"/>
    </row>
    <row r="991" spans="1:13" s="148" customFormat="1" hidden="1" x14ac:dyDescent="0.25">
      <c r="A991" s="400"/>
      <c r="B991" s="398"/>
      <c r="C991" s="398"/>
      <c r="D991" s="405"/>
      <c r="E991" s="398"/>
      <c r="F991" s="395"/>
      <c r="G991" s="396"/>
      <c r="H991" s="399"/>
      <c r="I991" s="395" t="s">
        <v>228</v>
      </c>
      <c r="J991" s="397" t="s">
        <v>228</v>
      </c>
      <c r="K991" s="398"/>
      <c r="L991" s="404"/>
      <c r="M991" s="400"/>
    </row>
    <row r="992" spans="1:13" s="148" customFormat="1" hidden="1" x14ac:dyDescent="0.25">
      <c r="A992" s="400"/>
      <c r="B992" s="398"/>
      <c r="C992" s="398"/>
      <c r="D992" s="405"/>
      <c r="E992" s="398"/>
      <c r="F992" s="395"/>
      <c r="G992" s="396"/>
      <c r="H992" s="399"/>
      <c r="I992" s="395" t="s">
        <v>228</v>
      </c>
      <c r="J992" s="397" t="s">
        <v>228</v>
      </c>
      <c r="K992" s="398"/>
      <c r="L992" s="404"/>
      <c r="M992" s="400"/>
    </row>
    <row r="993" spans="1:13" s="148" customFormat="1" hidden="1" x14ac:dyDescent="0.25">
      <c r="A993" s="400"/>
      <c r="B993" s="398"/>
      <c r="C993" s="398"/>
      <c r="D993" s="405"/>
      <c r="E993" s="398"/>
      <c r="F993" s="395"/>
      <c r="G993" s="396"/>
      <c r="H993" s="399"/>
      <c r="I993" s="395" t="s">
        <v>228</v>
      </c>
      <c r="J993" s="397" t="s">
        <v>228</v>
      </c>
      <c r="K993" s="398"/>
      <c r="L993" s="404"/>
      <c r="M993" s="400"/>
    </row>
    <row r="994" spans="1:13" s="148" customFormat="1" hidden="1" x14ac:dyDescent="0.25">
      <c r="A994" s="400"/>
      <c r="B994" s="398"/>
      <c r="C994" s="398"/>
      <c r="D994" s="405"/>
      <c r="E994" s="398"/>
      <c r="F994" s="395"/>
      <c r="G994" s="396"/>
      <c r="H994" s="399"/>
      <c r="I994" s="395" t="s">
        <v>228</v>
      </c>
      <c r="J994" s="397" t="s">
        <v>228</v>
      </c>
      <c r="K994" s="398"/>
      <c r="L994" s="404"/>
      <c r="M994" s="400"/>
    </row>
    <row r="995" spans="1:13" s="148" customFormat="1" hidden="1" x14ac:dyDescent="0.25">
      <c r="A995" s="400"/>
      <c r="B995" s="398"/>
      <c r="C995" s="398"/>
      <c r="D995" s="405"/>
      <c r="E995" s="398"/>
      <c r="F995" s="395"/>
      <c r="G995" s="396"/>
      <c r="H995" s="399"/>
      <c r="I995" s="395" t="s">
        <v>228</v>
      </c>
      <c r="J995" s="397" t="s">
        <v>228</v>
      </c>
      <c r="K995" s="398"/>
      <c r="L995" s="404"/>
      <c r="M995" s="400"/>
    </row>
    <row r="996" spans="1:13" s="148" customFormat="1" hidden="1" x14ac:dyDescent="0.25">
      <c r="A996" s="400"/>
      <c r="B996" s="398"/>
      <c r="C996" s="398"/>
      <c r="D996" s="405"/>
      <c r="E996" s="398"/>
      <c r="F996" s="395"/>
      <c r="G996" s="396"/>
      <c r="H996" s="399"/>
      <c r="I996" s="395" t="s">
        <v>228</v>
      </c>
      <c r="J996" s="397" t="s">
        <v>228</v>
      </c>
      <c r="K996" s="398"/>
      <c r="L996" s="404"/>
      <c r="M996" s="400"/>
    </row>
    <row r="997" spans="1:13" s="148" customFormat="1" hidden="1" x14ac:dyDescent="0.25">
      <c r="A997" s="400"/>
      <c r="B997" s="398"/>
      <c r="C997" s="398"/>
      <c r="D997" s="405"/>
      <c r="E997" s="398"/>
      <c r="F997" s="395"/>
      <c r="G997" s="396"/>
      <c r="H997" s="399"/>
      <c r="I997" s="395" t="s">
        <v>228</v>
      </c>
      <c r="J997" s="397" t="s">
        <v>228</v>
      </c>
      <c r="K997" s="398"/>
      <c r="L997" s="404"/>
      <c r="M997" s="400"/>
    </row>
    <row r="998" spans="1:13" s="148" customFormat="1" hidden="1" x14ac:dyDescent="0.25">
      <c r="A998" s="400"/>
      <c r="B998" s="398"/>
      <c r="C998" s="398"/>
      <c r="D998" s="405"/>
      <c r="E998" s="398"/>
      <c r="F998" s="395"/>
      <c r="G998" s="396"/>
      <c r="H998" s="399"/>
      <c r="I998" s="395" t="s">
        <v>228</v>
      </c>
      <c r="J998" s="397" t="s">
        <v>228</v>
      </c>
      <c r="K998" s="398"/>
      <c r="L998" s="404"/>
      <c r="M998" s="400"/>
    </row>
    <row r="999" spans="1:13" s="148" customFormat="1" hidden="1" x14ac:dyDescent="0.25">
      <c r="A999" s="400"/>
      <c r="B999" s="398"/>
      <c r="C999" s="398"/>
      <c r="D999" s="405"/>
      <c r="E999" s="398"/>
      <c r="F999" s="395"/>
      <c r="G999" s="396"/>
      <c r="H999" s="399"/>
      <c r="I999" s="395" t="s">
        <v>228</v>
      </c>
      <c r="J999" s="397" t="s">
        <v>228</v>
      </c>
      <c r="K999" s="398"/>
      <c r="L999" s="404"/>
      <c r="M999" s="400"/>
    </row>
    <row r="1000" spans="1:13" s="148" customFormat="1" hidden="1" x14ac:dyDescent="0.25">
      <c r="A1000" s="400"/>
      <c r="B1000" s="398"/>
      <c r="C1000" s="398"/>
      <c r="D1000" s="405"/>
      <c r="E1000" s="398"/>
      <c r="F1000" s="395"/>
      <c r="G1000" s="396"/>
      <c r="H1000" s="399"/>
      <c r="I1000" s="395" t="s">
        <v>228</v>
      </c>
      <c r="J1000" s="397" t="s">
        <v>228</v>
      </c>
      <c r="K1000" s="398"/>
      <c r="L1000" s="404"/>
      <c r="M1000" s="400"/>
    </row>
    <row r="1001" spans="1:13" s="148" customFormat="1" hidden="1" x14ac:dyDescent="0.25">
      <c r="A1001" s="400"/>
      <c r="B1001" s="398"/>
      <c r="C1001" s="398"/>
      <c r="D1001" s="405"/>
      <c r="E1001" s="398"/>
      <c r="F1001" s="395"/>
      <c r="G1001" s="396"/>
      <c r="H1001" s="399"/>
      <c r="I1001" s="395" t="s">
        <v>228</v>
      </c>
      <c r="J1001" s="397" t="s">
        <v>228</v>
      </c>
      <c r="K1001" s="398"/>
      <c r="L1001" s="404"/>
      <c r="M1001" s="400"/>
    </row>
    <row r="1002" spans="1:13" s="148" customFormat="1" hidden="1" x14ac:dyDescent="0.25">
      <c r="A1002" s="400"/>
      <c r="B1002" s="398"/>
      <c r="C1002" s="398"/>
      <c r="D1002" s="405"/>
      <c r="E1002" s="398"/>
      <c r="F1002" s="395"/>
      <c r="G1002" s="396"/>
      <c r="H1002" s="399"/>
      <c r="I1002" s="395" t="s">
        <v>228</v>
      </c>
      <c r="J1002" s="397" t="s">
        <v>228</v>
      </c>
      <c r="K1002" s="398"/>
      <c r="L1002" s="404"/>
      <c r="M1002" s="400"/>
    </row>
    <row r="1003" spans="1:13" s="148" customFormat="1" hidden="1" x14ac:dyDescent="0.25">
      <c r="A1003" s="400"/>
      <c r="B1003" s="398"/>
      <c r="C1003" s="398"/>
      <c r="D1003" s="405"/>
      <c r="E1003" s="398"/>
      <c r="F1003" s="395"/>
      <c r="G1003" s="396"/>
      <c r="H1003" s="399"/>
      <c r="I1003" s="395" t="s">
        <v>228</v>
      </c>
      <c r="J1003" s="397" t="s">
        <v>228</v>
      </c>
      <c r="K1003" s="398"/>
      <c r="L1003" s="404"/>
      <c r="M1003" s="400"/>
    </row>
    <row r="1004" spans="1:13" s="148" customFormat="1" hidden="1" x14ac:dyDescent="0.25">
      <c r="A1004" s="400"/>
      <c r="B1004" s="398"/>
      <c r="C1004" s="398"/>
      <c r="D1004" s="405"/>
      <c r="E1004" s="398"/>
      <c r="F1004" s="395"/>
      <c r="G1004" s="396"/>
      <c r="H1004" s="399"/>
      <c r="I1004" s="395" t="s">
        <v>228</v>
      </c>
      <c r="J1004" s="397" t="s">
        <v>228</v>
      </c>
      <c r="K1004" s="398"/>
      <c r="L1004" s="404"/>
      <c r="M1004" s="400"/>
    </row>
    <row r="1005" spans="1:13" s="148" customFormat="1" hidden="1" x14ac:dyDescent="0.25">
      <c r="A1005" s="400"/>
      <c r="B1005" s="398"/>
      <c r="C1005" s="398"/>
      <c r="D1005" s="405"/>
      <c r="E1005" s="398"/>
      <c r="F1005" s="395"/>
      <c r="G1005" s="396"/>
      <c r="H1005" s="399"/>
      <c r="I1005" s="395" t="s">
        <v>228</v>
      </c>
      <c r="J1005" s="397" t="s">
        <v>228</v>
      </c>
      <c r="K1005" s="398"/>
      <c r="L1005" s="404"/>
      <c r="M1005" s="400"/>
    </row>
    <row r="1006" spans="1:13" s="148" customFormat="1" hidden="1" x14ac:dyDescent="0.25">
      <c r="A1006" s="400"/>
      <c r="B1006" s="398"/>
      <c r="C1006" s="398"/>
      <c r="D1006" s="405"/>
      <c r="E1006" s="398"/>
      <c r="F1006" s="395"/>
      <c r="G1006" s="396"/>
      <c r="H1006" s="399"/>
      <c r="I1006" s="395" t="s">
        <v>228</v>
      </c>
      <c r="J1006" s="397" t="s">
        <v>228</v>
      </c>
      <c r="K1006" s="398"/>
      <c r="L1006" s="404"/>
      <c r="M1006" s="400"/>
    </row>
    <row r="1007" spans="1:13" s="148" customFormat="1" hidden="1" x14ac:dyDescent="0.25">
      <c r="A1007" s="400"/>
      <c r="B1007" s="398"/>
      <c r="C1007" s="398"/>
      <c r="D1007" s="405"/>
      <c r="E1007" s="398"/>
      <c r="F1007" s="395"/>
      <c r="G1007" s="396"/>
      <c r="H1007" s="399"/>
      <c r="I1007" s="395" t="s">
        <v>228</v>
      </c>
      <c r="J1007" s="397" t="s">
        <v>228</v>
      </c>
      <c r="K1007" s="398"/>
      <c r="L1007" s="404"/>
      <c r="M1007" s="400"/>
    </row>
    <row r="1008" spans="1:13" s="148" customFormat="1" hidden="1" x14ac:dyDescent="0.25">
      <c r="A1008" s="400"/>
      <c r="B1008" s="398"/>
      <c r="C1008" s="398"/>
      <c r="D1008" s="405"/>
      <c r="E1008" s="398"/>
      <c r="F1008" s="395"/>
      <c r="G1008" s="396"/>
      <c r="H1008" s="399"/>
      <c r="I1008" s="395" t="s">
        <v>228</v>
      </c>
      <c r="J1008" s="397" t="s">
        <v>228</v>
      </c>
      <c r="K1008" s="398"/>
      <c r="L1008" s="404"/>
      <c r="M1008" s="400"/>
    </row>
    <row r="1009" spans="1:13" s="148" customFormat="1" hidden="1" x14ac:dyDescent="0.25">
      <c r="A1009" s="400"/>
      <c r="B1009" s="398"/>
      <c r="C1009" s="398"/>
      <c r="D1009" s="405"/>
      <c r="E1009" s="398"/>
      <c r="F1009" s="395"/>
      <c r="G1009" s="396"/>
      <c r="H1009" s="399"/>
      <c r="I1009" s="395" t="s">
        <v>228</v>
      </c>
      <c r="J1009" s="397" t="s">
        <v>228</v>
      </c>
      <c r="K1009" s="398"/>
      <c r="L1009" s="404"/>
      <c r="M1009" s="400"/>
    </row>
    <row r="1010" spans="1:13" s="148" customFormat="1" hidden="1" x14ac:dyDescent="0.25">
      <c r="A1010" s="400"/>
      <c r="B1010" s="398"/>
      <c r="C1010" s="398"/>
      <c r="D1010" s="405"/>
      <c r="E1010" s="398"/>
      <c r="F1010" s="395"/>
      <c r="G1010" s="396"/>
      <c r="H1010" s="399"/>
      <c r="I1010" s="395" t="s">
        <v>228</v>
      </c>
      <c r="J1010" s="397" t="s">
        <v>228</v>
      </c>
      <c r="K1010" s="398"/>
      <c r="L1010" s="404"/>
      <c r="M1010" s="400"/>
    </row>
    <row r="1011" spans="1:13" s="148" customFormat="1" hidden="1" x14ac:dyDescent="0.25">
      <c r="A1011" s="400"/>
      <c r="B1011" s="398"/>
      <c r="C1011" s="398"/>
      <c r="D1011" s="405"/>
      <c r="E1011" s="398"/>
      <c r="F1011" s="395"/>
      <c r="G1011" s="396"/>
      <c r="H1011" s="399"/>
      <c r="I1011" s="395" t="s">
        <v>228</v>
      </c>
      <c r="J1011" s="397" t="s">
        <v>228</v>
      </c>
      <c r="K1011" s="398"/>
      <c r="L1011" s="404"/>
      <c r="M1011" s="400"/>
    </row>
    <row r="1012" spans="1:13" s="148" customFormat="1" hidden="1" x14ac:dyDescent="0.25">
      <c r="A1012" s="400"/>
      <c r="B1012" s="398"/>
      <c r="C1012" s="398"/>
      <c r="D1012" s="405"/>
      <c r="E1012" s="398"/>
      <c r="F1012" s="395"/>
      <c r="G1012" s="396"/>
      <c r="H1012" s="399"/>
      <c r="I1012" s="395" t="s">
        <v>228</v>
      </c>
      <c r="J1012" s="397" t="s">
        <v>228</v>
      </c>
      <c r="K1012" s="398"/>
      <c r="L1012" s="404"/>
      <c r="M1012" s="400"/>
    </row>
    <row r="1013" spans="1:13" s="148" customFormat="1" hidden="1" x14ac:dyDescent="0.25">
      <c r="A1013" s="400"/>
      <c r="B1013" s="398"/>
      <c r="C1013" s="398"/>
      <c r="D1013" s="405"/>
      <c r="E1013" s="398"/>
      <c r="F1013" s="395"/>
      <c r="G1013" s="396"/>
      <c r="H1013" s="399"/>
      <c r="I1013" s="395" t="s">
        <v>228</v>
      </c>
      <c r="J1013" s="397" t="s">
        <v>228</v>
      </c>
      <c r="K1013" s="398"/>
      <c r="L1013" s="404"/>
      <c r="M1013" s="400"/>
    </row>
    <row r="1014" spans="1:13" s="148" customFormat="1" hidden="1" x14ac:dyDescent="0.25">
      <c r="A1014" s="400"/>
      <c r="B1014" s="398"/>
      <c r="C1014" s="398"/>
      <c r="D1014" s="405"/>
      <c r="E1014" s="398"/>
      <c r="F1014" s="395"/>
      <c r="G1014" s="396"/>
      <c r="H1014" s="399"/>
      <c r="I1014" s="395" t="s">
        <v>228</v>
      </c>
      <c r="J1014" s="397" t="s">
        <v>228</v>
      </c>
      <c r="K1014" s="398"/>
      <c r="L1014" s="404"/>
      <c r="M1014" s="400"/>
    </row>
    <row r="1015" spans="1:13" s="148" customFormat="1" hidden="1" x14ac:dyDescent="0.25">
      <c r="A1015" s="400"/>
      <c r="B1015" s="398"/>
      <c r="C1015" s="398"/>
      <c r="D1015" s="405"/>
      <c r="E1015" s="398"/>
      <c r="F1015" s="395"/>
      <c r="G1015" s="396"/>
      <c r="H1015" s="399"/>
      <c r="I1015" s="395" t="s">
        <v>228</v>
      </c>
      <c r="J1015" s="397" t="s">
        <v>228</v>
      </c>
      <c r="K1015" s="398"/>
      <c r="L1015" s="404"/>
      <c r="M1015" s="400"/>
    </row>
    <row r="1016" spans="1:13" s="148" customFormat="1" hidden="1" x14ac:dyDescent="0.25">
      <c r="A1016" s="400"/>
      <c r="B1016" s="398"/>
      <c r="C1016" s="398"/>
      <c r="D1016" s="405"/>
      <c r="E1016" s="398"/>
      <c r="F1016" s="395"/>
      <c r="G1016" s="396"/>
      <c r="H1016" s="399"/>
      <c r="I1016" s="395" t="s">
        <v>228</v>
      </c>
      <c r="J1016" s="397" t="s">
        <v>228</v>
      </c>
      <c r="K1016" s="398"/>
      <c r="L1016" s="404"/>
      <c r="M1016" s="400"/>
    </row>
    <row r="1017" spans="1:13" s="148" customFormat="1" hidden="1" x14ac:dyDescent="0.25">
      <c r="A1017" s="400"/>
      <c r="B1017" s="398"/>
      <c r="C1017" s="398"/>
      <c r="D1017" s="405"/>
      <c r="E1017" s="398"/>
      <c r="F1017" s="395"/>
      <c r="G1017" s="396"/>
      <c r="H1017" s="399"/>
      <c r="I1017" s="395" t="s">
        <v>228</v>
      </c>
      <c r="J1017" s="397" t="s">
        <v>228</v>
      </c>
      <c r="K1017" s="398"/>
      <c r="L1017" s="404"/>
      <c r="M1017" s="400"/>
    </row>
    <row r="1018" spans="1:13" s="148" customFormat="1" hidden="1" x14ac:dyDescent="0.25">
      <c r="A1018" s="400"/>
      <c r="B1018" s="398"/>
      <c r="C1018" s="398"/>
      <c r="D1018" s="405"/>
      <c r="E1018" s="398"/>
      <c r="F1018" s="395"/>
      <c r="G1018" s="396"/>
      <c r="H1018" s="399"/>
      <c r="I1018" s="395" t="s">
        <v>228</v>
      </c>
      <c r="J1018" s="397" t="s">
        <v>228</v>
      </c>
      <c r="K1018" s="398"/>
      <c r="L1018" s="404"/>
      <c r="M1018" s="400"/>
    </row>
    <row r="1019" spans="1:13" s="148" customFormat="1" hidden="1" x14ac:dyDescent="0.25">
      <c r="A1019" s="400"/>
      <c r="B1019" s="398"/>
      <c r="C1019" s="398"/>
      <c r="D1019" s="405"/>
      <c r="E1019" s="398"/>
      <c r="F1019" s="395"/>
      <c r="G1019" s="396"/>
      <c r="H1019" s="399"/>
      <c r="I1019" s="395" t="s">
        <v>228</v>
      </c>
      <c r="J1019" s="397" t="s">
        <v>228</v>
      </c>
      <c r="K1019" s="398"/>
      <c r="L1019" s="404"/>
      <c r="M1019" s="400"/>
    </row>
    <row r="1020" spans="1:13" s="148" customFormat="1" hidden="1" x14ac:dyDescent="0.25">
      <c r="A1020" s="400"/>
      <c r="B1020" s="398"/>
      <c r="C1020" s="398"/>
      <c r="D1020" s="405"/>
      <c r="E1020" s="398"/>
      <c r="F1020" s="395"/>
      <c r="G1020" s="396"/>
      <c r="H1020" s="399"/>
      <c r="I1020" s="395" t="s">
        <v>228</v>
      </c>
      <c r="J1020" s="397" t="s">
        <v>228</v>
      </c>
      <c r="K1020" s="398"/>
      <c r="L1020" s="404"/>
      <c r="M1020" s="400"/>
    </row>
    <row r="1021" spans="1:13" s="148" customFormat="1" hidden="1" x14ac:dyDescent="0.25">
      <c r="A1021" s="400"/>
      <c r="B1021" s="398"/>
      <c r="C1021" s="398"/>
      <c r="D1021" s="405"/>
      <c r="E1021" s="398"/>
      <c r="F1021" s="395"/>
      <c r="G1021" s="396"/>
      <c r="H1021" s="399"/>
      <c r="I1021" s="395" t="s">
        <v>228</v>
      </c>
      <c r="J1021" s="397" t="s">
        <v>228</v>
      </c>
      <c r="K1021" s="398"/>
      <c r="L1021" s="404"/>
      <c r="M1021" s="400"/>
    </row>
    <row r="1022" spans="1:13" s="148" customFormat="1" hidden="1" x14ac:dyDescent="0.25">
      <c r="A1022" s="400"/>
      <c r="B1022" s="398"/>
      <c r="C1022" s="398"/>
      <c r="D1022" s="405"/>
      <c r="E1022" s="398"/>
      <c r="F1022" s="395"/>
      <c r="G1022" s="396"/>
      <c r="H1022" s="399"/>
      <c r="I1022" s="395" t="s">
        <v>228</v>
      </c>
      <c r="J1022" s="397" t="s">
        <v>228</v>
      </c>
      <c r="K1022" s="398"/>
      <c r="L1022" s="404"/>
      <c r="M1022" s="400"/>
    </row>
    <row r="1023" spans="1:13" s="148" customFormat="1" hidden="1" x14ac:dyDescent="0.25">
      <c r="A1023" s="400"/>
      <c r="B1023" s="398"/>
      <c r="C1023" s="398"/>
      <c r="D1023" s="405"/>
      <c r="E1023" s="398"/>
      <c r="F1023" s="395"/>
      <c r="G1023" s="396"/>
      <c r="H1023" s="399"/>
      <c r="I1023" s="395" t="s">
        <v>228</v>
      </c>
      <c r="J1023" s="397" t="s">
        <v>228</v>
      </c>
      <c r="K1023" s="398"/>
      <c r="L1023" s="404"/>
      <c r="M1023" s="400"/>
    </row>
    <row r="1024" spans="1:13" s="148" customFormat="1" hidden="1" x14ac:dyDescent="0.25">
      <c r="A1024" s="400"/>
      <c r="B1024" s="398"/>
      <c r="C1024" s="398"/>
      <c r="D1024" s="405"/>
      <c r="E1024" s="398"/>
      <c r="F1024" s="395"/>
      <c r="G1024" s="396"/>
      <c r="H1024" s="399"/>
      <c r="I1024" s="395" t="s">
        <v>228</v>
      </c>
      <c r="J1024" s="397" t="s">
        <v>228</v>
      </c>
      <c r="K1024" s="398"/>
      <c r="L1024" s="404"/>
      <c r="M1024" s="400"/>
    </row>
    <row r="1025" spans="1:13" s="148" customFormat="1" hidden="1" x14ac:dyDescent="0.25">
      <c r="A1025" s="400"/>
      <c r="B1025" s="398"/>
      <c r="C1025" s="398"/>
      <c r="D1025" s="405"/>
      <c r="E1025" s="398"/>
      <c r="F1025" s="395"/>
      <c r="G1025" s="396"/>
      <c r="H1025" s="399"/>
      <c r="I1025" s="395" t="s">
        <v>228</v>
      </c>
      <c r="J1025" s="397" t="s">
        <v>228</v>
      </c>
      <c r="K1025" s="398"/>
      <c r="L1025" s="404"/>
      <c r="M1025" s="400"/>
    </row>
    <row r="1026" spans="1:13" s="148" customFormat="1" hidden="1" x14ac:dyDescent="0.25">
      <c r="A1026" s="400"/>
      <c r="B1026" s="398"/>
      <c r="C1026" s="398"/>
      <c r="D1026" s="405"/>
      <c r="E1026" s="398"/>
      <c r="F1026" s="395"/>
      <c r="G1026" s="396"/>
      <c r="H1026" s="399"/>
      <c r="I1026" s="395" t="s">
        <v>228</v>
      </c>
      <c r="J1026" s="397" t="s">
        <v>228</v>
      </c>
      <c r="K1026" s="398"/>
      <c r="L1026" s="404"/>
      <c r="M1026" s="400"/>
    </row>
    <row r="1027" spans="1:13" s="148" customFormat="1" hidden="1" x14ac:dyDescent="0.25">
      <c r="A1027" s="400"/>
      <c r="B1027" s="398"/>
      <c r="C1027" s="398"/>
      <c r="D1027" s="405"/>
      <c r="E1027" s="398"/>
      <c r="F1027" s="395"/>
      <c r="G1027" s="396"/>
      <c r="H1027" s="399"/>
      <c r="I1027" s="395" t="s">
        <v>228</v>
      </c>
      <c r="J1027" s="397" t="s">
        <v>228</v>
      </c>
      <c r="K1027" s="398"/>
      <c r="L1027" s="404"/>
      <c r="M1027" s="400"/>
    </row>
    <row r="1028" spans="1:13" s="148" customFormat="1" hidden="1" x14ac:dyDescent="0.25">
      <c r="A1028" s="400"/>
      <c r="B1028" s="398"/>
      <c r="C1028" s="398"/>
      <c r="D1028" s="405"/>
      <c r="E1028" s="398"/>
      <c r="F1028" s="395"/>
      <c r="G1028" s="396"/>
      <c r="H1028" s="399"/>
      <c r="I1028" s="395" t="s">
        <v>228</v>
      </c>
      <c r="J1028" s="397" t="s">
        <v>228</v>
      </c>
      <c r="K1028" s="398"/>
      <c r="L1028" s="404"/>
      <c r="M1028" s="400"/>
    </row>
    <row r="1029" spans="1:13" s="148" customFormat="1" hidden="1" x14ac:dyDescent="0.25">
      <c r="A1029" s="400"/>
      <c r="B1029" s="398"/>
      <c r="C1029" s="398"/>
      <c r="D1029" s="405"/>
      <c r="E1029" s="398"/>
      <c r="F1029" s="395"/>
      <c r="G1029" s="396"/>
      <c r="H1029" s="399"/>
      <c r="I1029" s="395" t="s">
        <v>228</v>
      </c>
      <c r="J1029" s="397" t="s">
        <v>228</v>
      </c>
      <c r="K1029" s="398"/>
      <c r="L1029" s="404"/>
      <c r="M1029" s="400"/>
    </row>
    <row r="1030" spans="1:13" s="148" customFormat="1" hidden="1" x14ac:dyDescent="0.25">
      <c r="A1030" s="400"/>
      <c r="B1030" s="398"/>
      <c r="C1030" s="398"/>
      <c r="D1030" s="405"/>
      <c r="E1030" s="398"/>
      <c r="F1030" s="395"/>
      <c r="G1030" s="396"/>
      <c r="H1030" s="399"/>
      <c r="I1030" s="395" t="s">
        <v>228</v>
      </c>
      <c r="J1030" s="397" t="s">
        <v>228</v>
      </c>
      <c r="K1030" s="398"/>
      <c r="L1030" s="404"/>
      <c r="M1030" s="400"/>
    </row>
    <row r="1031" spans="1:13" s="148" customFormat="1" hidden="1" x14ac:dyDescent="0.25">
      <c r="A1031" s="400"/>
      <c r="B1031" s="398"/>
      <c r="C1031" s="398"/>
      <c r="D1031" s="405"/>
      <c r="E1031" s="398"/>
      <c r="F1031" s="395"/>
      <c r="G1031" s="396"/>
      <c r="H1031" s="399"/>
      <c r="I1031" s="395" t="s">
        <v>228</v>
      </c>
      <c r="J1031" s="397" t="s">
        <v>228</v>
      </c>
      <c r="K1031" s="398"/>
      <c r="L1031" s="404"/>
      <c r="M1031" s="400"/>
    </row>
    <row r="1032" spans="1:13" s="148" customFormat="1" hidden="1" x14ac:dyDescent="0.25">
      <c r="A1032" s="400"/>
      <c r="B1032" s="398"/>
      <c r="C1032" s="398"/>
      <c r="D1032" s="405"/>
      <c r="E1032" s="398"/>
      <c r="F1032" s="395"/>
      <c r="G1032" s="396"/>
      <c r="H1032" s="399"/>
      <c r="I1032" s="395" t="s">
        <v>228</v>
      </c>
      <c r="J1032" s="397" t="s">
        <v>228</v>
      </c>
      <c r="K1032" s="398"/>
      <c r="L1032" s="404"/>
      <c r="M1032" s="400"/>
    </row>
    <row r="1033" spans="1:13" s="148" customFormat="1" hidden="1" x14ac:dyDescent="0.25">
      <c r="A1033" s="400"/>
      <c r="B1033" s="398"/>
      <c r="C1033" s="398"/>
      <c r="D1033" s="405"/>
      <c r="E1033" s="398"/>
      <c r="F1033" s="395"/>
      <c r="G1033" s="396"/>
      <c r="H1033" s="399"/>
      <c r="I1033" s="395" t="s">
        <v>228</v>
      </c>
      <c r="J1033" s="397" t="s">
        <v>228</v>
      </c>
      <c r="K1033" s="398"/>
      <c r="L1033" s="404"/>
      <c r="M1033" s="400"/>
    </row>
    <row r="1034" spans="1:13" s="148" customFormat="1" hidden="1" x14ac:dyDescent="0.25">
      <c r="A1034" s="400"/>
      <c r="B1034" s="398"/>
      <c r="C1034" s="398"/>
      <c r="D1034" s="405"/>
      <c r="E1034" s="398"/>
      <c r="F1034" s="395"/>
      <c r="G1034" s="396"/>
      <c r="H1034" s="399"/>
      <c r="I1034" s="395" t="s">
        <v>228</v>
      </c>
      <c r="J1034" s="397" t="s">
        <v>228</v>
      </c>
      <c r="K1034" s="398"/>
      <c r="L1034" s="404"/>
      <c r="M1034" s="400"/>
    </row>
    <row r="1035" spans="1:13" s="148" customFormat="1" hidden="1" x14ac:dyDescent="0.25">
      <c r="A1035" s="400"/>
      <c r="B1035" s="398"/>
      <c r="C1035" s="398"/>
      <c r="D1035" s="405"/>
      <c r="E1035" s="398"/>
      <c r="F1035" s="395"/>
      <c r="G1035" s="396"/>
      <c r="H1035" s="399"/>
      <c r="I1035" s="395" t="s">
        <v>228</v>
      </c>
      <c r="J1035" s="397" t="s">
        <v>228</v>
      </c>
      <c r="K1035" s="398"/>
      <c r="L1035" s="404"/>
      <c r="M1035" s="400"/>
    </row>
    <row r="1036" spans="1:13" s="148" customFormat="1" hidden="1" x14ac:dyDescent="0.25">
      <c r="A1036" s="400"/>
      <c r="B1036" s="398"/>
      <c r="C1036" s="398"/>
      <c r="D1036" s="405"/>
      <c r="E1036" s="398"/>
      <c r="F1036" s="395"/>
      <c r="G1036" s="396"/>
      <c r="H1036" s="399"/>
      <c r="I1036" s="395" t="s">
        <v>228</v>
      </c>
      <c r="J1036" s="397" t="s">
        <v>228</v>
      </c>
      <c r="K1036" s="398"/>
      <c r="L1036" s="404"/>
      <c r="M1036" s="400"/>
    </row>
    <row r="1037" spans="1:13" s="148" customFormat="1" hidden="1" x14ac:dyDescent="0.25">
      <c r="A1037" s="400"/>
      <c r="B1037" s="398"/>
      <c r="C1037" s="398"/>
      <c r="D1037" s="405"/>
      <c r="E1037" s="398"/>
      <c r="F1037" s="395"/>
      <c r="G1037" s="396"/>
      <c r="H1037" s="399"/>
      <c r="I1037" s="395" t="s">
        <v>228</v>
      </c>
      <c r="J1037" s="397" t="s">
        <v>228</v>
      </c>
      <c r="K1037" s="398"/>
      <c r="L1037" s="404"/>
      <c r="M1037" s="400"/>
    </row>
    <row r="1038" spans="1:13" s="148" customFormat="1" hidden="1" x14ac:dyDescent="0.25">
      <c r="A1038" s="400"/>
      <c r="B1038" s="398"/>
      <c r="C1038" s="398"/>
      <c r="D1038" s="405"/>
      <c r="E1038" s="398"/>
      <c r="F1038" s="395"/>
      <c r="G1038" s="396"/>
      <c r="H1038" s="399"/>
      <c r="I1038" s="395" t="s">
        <v>228</v>
      </c>
      <c r="J1038" s="397" t="s">
        <v>228</v>
      </c>
      <c r="K1038" s="398"/>
      <c r="L1038" s="404"/>
      <c r="M1038" s="400"/>
    </row>
    <row r="1039" spans="1:13" s="148" customFormat="1" hidden="1" x14ac:dyDescent="0.25">
      <c r="A1039" s="400"/>
      <c r="B1039" s="398"/>
      <c r="C1039" s="398"/>
      <c r="D1039" s="405"/>
      <c r="E1039" s="398"/>
      <c r="F1039" s="395"/>
      <c r="G1039" s="396"/>
      <c r="H1039" s="399"/>
      <c r="I1039" s="395" t="s">
        <v>228</v>
      </c>
      <c r="J1039" s="397" t="s">
        <v>228</v>
      </c>
      <c r="K1039" s="398"/>
      <c r="L1039" s="404"/>
      <c r="M1039" s="400"/>
    </row>
    <row r="1040" spans="1:13" s="148" customFormat="1" hidden="1" x14ac:dyDescent="0.25">
      <c r="A1040" s="400"/>
      <c r="B1040" s="398"/>
      <c r="C1040" s="398"/>
      <c r="D1040" s="405"/>
      <c r="E1040" s="398"/>
      <c r="F1040" s="395"/>
      <c r="G1040" s="396"/>
      <c r="H1040" s="399"/>
      <c r="I1040" s="395" t="s">
        <v>228</v>
      </c>
      <c r="J1040" s="397" t="s">
        <v>228</v>
      </c>
      <c r="K1040" s="398"/>
      <c r="L1040" s="404"/>
      <c r="M1040" s="400"/>
    </row>
    <row r="1041" spans="1:13" s="148" customFormat="1" hidden="1" x14ac:dyDescent="0.25">
      <c r="A1041" s="400"/>
      <c r="B1041" s="398"/>
      <c r="C1041" s="398"/>
      <c r="D1041" s="405"/>
      <c r="E1041" s="398"/>
      <c r="F1041" s="395"/>
      <c r="G1041" s="396"/>
      <c r="H1041" s="399"/>
      <c r="I1041" s="395" t="s">
        <v>228</v>
      </c>
      <c r="J1041" s="397" t="s">
        <v>228</v>
      </c>
      <c r="K1041" s="398"/>
      <c r="L1041" s="404"/>
      <c r="M1041" s="400"/>
    </row>
    <row r="1042" spans="1:13" s="148" customFormat="1" hidden="1" x14ac:dyDescent="0.25">
      <c r="A1042" s="400"/>
      <c r="B1042" s="398"/>
      <c r="C1042" s="398"/>
      <c r="D1042" s="405"/>
      <c r="E1042" s="398"/>
      <c r="F1042" s="395"/>
      <c r="G1042" s="396"/>
      <c r="H1042" s="399"/>
      <c r="I1042" s="395" t="s">
        <v>228</v>
      </c>
      <c r="J1042" s="397" t="s">
        <v>228</v>
      </c>
      <c r="K1042" s="398"/>
      <c r="L1042" s="404"/>
      <c r="M1042" s="400"/>
    </row>
    <row r="1043" spans="1:13" s="148" customFormat="1" hidden="1" x14ac:dyDescent="0.25">
      <c r="A1043" s="400"/>
      <c r="B1043" s="398"/>
      <c r="C1043" s="398"/>
      <c r="D1043" s="405"/>
      <c r="E1043" s="398"/>
      <c r="F1043" s="395"/>
      <c r="G1043" s="396"/>
      <c r="H1043" s="399"/>
      <c r="I1043" s="395" t="s">
        <v>228</v>
      </c>
      <c r="J1043" s="397" t="s">
        <v>228</v>
      </c>
      <c r="K1043" s="398"/>
      <c r="L1043" s="404"/>
      <c r="M1043" s="400"/>
    </row>
    <row r="1044" spans="1:13" s="148" customFormat="1" hidden="1" x14ac:dyDescent="0.25">
      <c r="A1044" s="400"/>
      <c r="B1044" s="398"/>
      <c r="C1044" s="398"/>
      <c r="D1044" s="405"/>
      <c r="E1044" s="398"/>
      <c r="F1044" s="395"/>
      <c r="G1044" s="396"/>
      <c r="H1044" s="399"/>
      <c r="I1044" s="395" t="s">
        <v>228</v>
      </c>
      <c r="J1044" s="397" t="s">
        <v>228</v>
      </c>
      <c r="K1044" s="398"/>
      <c r="L1044" s="404"/>
      <c r="M1044" s="400"/>
    </row>
    <row r="1045" spans="1:13" s="148" customFormat="1" hidden="1" x14ac:dyDescent="0.25">
      <c r="A1045" s="400"/>
      <c r="B1045" s="398"/>
      <c r="C1045" s="398"/>
      <c r="D1045" s="405"/>
      <c r="E1045" s="398"/>
      <c r="F1045" s="395"/>
      <c r="G1045" s="396"/>
      <c r="H1045" s="399"/>
      <c r="I1045" s="395" t="s">
        <v>228</v>
      </c>
      <c r="J1045" s="397" t="s">
        <v>228</v>
      </c>
      <c r="K1045" s="398"/>
      <c r="L1045" s="404"/>
      <c r="M1045" s="400"/>
    </row>
    <row r="1046" spans="1:13" s="148" customFormat="1" hidden="1" x14ac:dyDescent="0.25">
      <c r="A1046" s="400"/>
      <c r="B1046" s="398"/>
      <c r="C1046" s="398"/>
      <c r="D1046" s="405"/>
      <c r="E1046" s="398"/>
      <c r="F1046" s="395"/>
      <c r="G1046" s="396"/>
      <c r="H1046" s="399"/>
      <c r="I1046" s="395" t="s">
        <v>228</v>
      </c>
      <c r="J1046" s="397" t="s">
        <v>228</v>
      </c>
      <c r="K1046" s="398"/>
      <c r="L1046" s="404"/>
      <c r="M1046" s="400"/>
    </row>
    <row r="1047" spans="1:13" s="148" customFormat="1" hidden="1" x14ac:dyDescent="0.25">
      <c r="A1047" s="400"/>
      <c r="B1047" s="398"/>
      <c r="C1047" s="398"/>
      <c r="D1047" s="405"/>
      <c r="E1047" s="398"/>
      <c r="F1047" s="395"/>
      <c r="G1047" s="396"/>
      <c r="H1047" s="399"/>
      <c r="I1047" s="395" t="s">
        <v>228</v>
      </c>
      <c r="J1047" s="397" t="s">
        <v>228</v>
      </c>
      <c r="K1047" s="398"/>
      <c r="L1047" s="404"/>
      <c r="M1047" s="400"/>
    </row>
    <row r="1048" spans="1:13" s="148" customFormat="1" hidden="1" x14ac:dyDescent="0.25">
      <c r="A1048" s="400"/>
      <c r="B1048" s="398"/>
      <c r="C1048" s="398"/>
      <c r="D1048" s="405"/>
      <c r="E1048" s="398"/>
      <c r="F1048" s="395"/>
      <c r="G1048" s="396"/>
      <c r="H1048" s="399"/>
      <c r="I1048" s="395" t="s">
        <v>228</v>
      </c>
      <c r="J1048" s="397" t="s">
        <v>228</v>
      </c>
      <c r="K1048" s="398"/>
      <c r="L1048" s="404"/>
      <c r="M1048" s="400"/>
    </row>
    <row r="1049" spans="1:13" s="148" customFormat="1" hidden="1" x14ac:dyDescent="0.25">
      <c r="A1049" s="400"/>
      <c r="B1049" s="398"/>
      <c r="C1049" s="398"/>
      <c r="D1049" s="405"/>
      <c r="E1049" s="398"/>
      <c r="F1049" s="395"/>
      <c r="G1049" s="396"/>
      <c r="H1049" s="399"/>
      <c r="I1049" s="395" t="s">
        <v>228</v>
      </c>
      <c r="J1049" s="397" t="s">
        <v>228</v>
      </c>
      <c r="K1049" s="398"/>
      <c r="L1049" s="404"/>
      <c r="M1049" s="400"/>
    </row>
    <row r="1050" spans="1:13" s="148" customFormat="1" hidden="1" x14ac:dyDescent="0.25">
      <c r="A1050" s="400"/>
      <c r="B1050" s="398"/>
      <c r="C1050" s="398"/>
      <c r="D1050" s="405"/>
      <c r="E1050" s="398"/>
      <c r="F1050" s="395"/>
      <c r="G1050" s="396"/>
      <c r="H1050" s="399"/>
      <c r="I1050" s="395" t="s">
        <v>228</v>
      </c>
      <c r="J1050" s="397" t="s">
        <v>228</v>
      </c>
      <c r="K1050" s="398"/>
      <c r="L1050" s="404"/>
      <c r="M1050" s="400"/>
    </row>
    <row r="1051" spans="1:13" s="148" customFormat="1" hidden="1" x14ac:dyDescent="0.25">
      <c r="A1051" s="400"/>
      <c r="B1051" s="398"/>
      <c r="C1051" s="398"/>
      <c r="D1051" s="405"/>
      <c r="E1051" s="398"/>
      <c r="F1051" s="395"/>
      <c r="G1051" s="396"/>
      <c r="H1051" s="399"/>
      <c r="I1051" s="395" t="s">
        <v>228</v>
      </c>
      <c r="J1051" s="397" t="s">
        <v>228</v>
      </c>
      <c r="K1051" s="398"/>
      <c r="L1051" s="404"/>
      <c r="M1051" s="400"/>
    </row>
    <row r="1052" spans="1:13" s="148" customFormat="1" hidden="1" x14ac:dyDescent="0.25">
      <c r="A1052" s="400"/>
      <c r="B1052" s="398"/>
      <c r="C1052" s="398"/>
      <c r="D1052" s="405"/>
      <c r="E1052" s="398"/>
      <c r="F1052" s="395"/>
      <c r="G1052" s="396"/>
      <c r="H1052" s="399"/>
      <c r="I1052" s="395" t="s">
        <v>228</v>
      </c>
      <c r="J1052" s="397" t="s">
        <v>228</v>
      </c>
      <c r="K1052" s="398"/>
      <c r="L1052" s="404"/>
      <c r="M1052" s="400"/>
    </row>
    <row r="1053" spans="1:13" s="148" customFormat="1" hidden="1" x14ac:dyDescent="0.25">
      <c r="A1053" s="400"/>
      <c r="B1053" s="398"/>
      <c r="C1053" s="398"/>
      <c r="D1053" s="405"/>
      <c r="E1053" s="398"/>
      <c r="F1053" s="395"/>
      <c r="G1053" s="396"/>
      <c r="H1053" s="399"/>
      <c r="I1053" s="395" t="s">
        <v>228</v>
      </c>
      <c r="J1053" s="397" t="s">
        <v>228</v>
      </c>
      <c r="K1053" s="398"/>
      <c r="L1053" s="404"/>
      <c r="M1053" s="400"/>
    </row>
    <row r="1054" spans="1:13" s="148" customFormat="1" hidden="1" x14ac:dyDescent="0.25">
      <c r="A1054" s="400"/>
      <c r="B1054" s="398"/>
      <c r="C1054" s="398"/>
      <c r="D1054" s="405"/>
      <c r="E1054" s="398"/>
      <c r="F1054" s="395"/>
      <c r="G1054" s="396"/>
      <c r="H1054" s="399"/>
      <c r="I1054" s="395" t="s">
        <v>228</v>
      </c>
      <c r="J1054" s="397" t="s">
        <v>228</v>
      </c>
      <c r="K1054" s="398"/>
      <c r="L1054" s="404"/>
      <c r="M1054" s="400"/>
    </row>
    <row r="1055" spans="1:13" s="148" customFormat="1" hidden="1" x14ac:dyDescent="0.25">
      <c r="A1055" s="400"/>
      <c r="B1055" s="398"/>
      <c r="C1055" s="398"/>
      <c r="D1055" s="405"/>
      <c r="E1055" s="398"/>
      <c r="F1055" s="395"/>
      <c r="G1055" s="396"/>
      <c r="H1055" s="399"/>
      <c r="I1055" s="395" t="s">
        <v>228</v>
      </c>
      <c r="J1055" s="397" t="s">
        <v>228</v>
      </c>
      <c r="K1055" s="398"/>
      <c r="L1055" s="404"/>
      <c r="M1055" s="400"/>
    </row>
    <row r="1056" spans="1:13" s="148" customFormat="1" hidden="1" x14ac:dyDescent="0.25">
      <c r="A1056" s="400"/>
      <c r="B1056" s="398"/>
      <c r="C1056" s="398"/>
      <c r="D1056" s="405"/>
      <c r="E1056" s="398"/>
      <c r="F1056" s="395"/>
      <c r="G1056" s="396"/>
      <c r="H1056" s="399"/>
      <c r="I1056" s="395" t="s">
        <v>228</v>
      </c>
      <c r="J1056" s="397" t="s">
        <v>228</v>
      </c>
      <c r="K1056" s="398"/>
      <c r="L1056" s="404"/>
      <c r="M1056" s="400"/>
    </row>
    <row r="1057" spans="1:13" s="148" customFormat="1" hidden="1" x14ac:dyDescent="0.25">
      <c r="A1057" s="400"/>
      <c r="B1057" s="398"/>
      <c r="C1057" s="398"/>
      <c r="D1057" s="405"/>
      <c r="E1057" s="398"/>
      <c r="F1057" s="395"/>
      <c r="G1057" s="396"/>
      <c r="H1057" s="399"/>
      <c r="I1057" s="395" t="s">
        <v>228</v>
      </c>
      <c r="J1057" s="397" t="s">
        <v>228</v>
      </c>
      <c r="K1057" s="398"/>
      <c r="L1057" s="404"/>
      <c r="M1057" s="400"/>
    </row>
    <row r="1058" spans="1:13" s="148" customFormat="1" hidden="1" x14ac:dyDescent="0.25">
      <c r="A1058" s="400"/>
      <c r="B1058" s="398"/>
      <c r="C1058" s="398"/>
      <c r="D1058" s="405"/>
      <c r="E1058" s="398"/>
      <c r="F1058" s="395"/>
      <c r="G1058" s="396"/>
      <c r="H1058" s="399"/>
      <c r="I1058" s="395" t="s">
        <v>228</v>
      </c>
      <c r="J1058" s="397" t="s">
        <v>228</v>
      </c>
      <c r="K1058" s="398"/>
      <c r="L1058" s="404"/>
      <c r="M1058" s="400"/>
    </row>
    <row r="1059" spans="1:13" s="148" customFormat="1" hidden="1" x14ac:dyDescent="0.25">
      <c r="A1059" s="400"/>
      <c r="B1059" s="398"/>
      <c r="C1059" s="398"/>
      <c r="D1059" s="405"/>
      <c r="E1059" s="398"/>
      <c r="F1059" s="395"/>
      <c r="G1059" s="396"/>
      <c r="H1059" s="399"/>
      <c r="I1059" s="395" t="s">
        <v>228</v>
      </c>
      <c r="J1059" s="397" t="s">
        <v>228</v>
      </c>
      <c r="K1059" s="398"/>
      <c r="L1059" s="404"/>
      <c r="M1059" s="400"/>
    </row>
    <row r="1060" spans="1:13" s="148" customFormat="1" hidden="1" x14ac:dyDescent="0.25">
      <c r="A1060" s="400"/>
      <c r="B1060" s="398"/>
      <c r="C1060" s="398"/>
      <c r="D1060" s="405"/>
      <c r="E1060" s="398"/>
      <c r="F1060" s="395"/>
      <c r="G1060" s="396"/>
      <c r="H1060" s="399"/>
      <c r="I1060" s="395" t="s">
        <v>228</v>
      </c>
      <c r="J1060" s="397" t="s">
        <v>228</v>
      </c>
      <c r="K1060" s="398"/>
      <c r="L1060" s="404"/>
      <c r="M1060" s="400"/>
    </row>
    <row r="1061" spans="1:13" s="148" customFormat="1" hidden="1" x14ac:dyDescent="0.25">
      <c r="A1061" s="400"/>
      <c r="B1061" s="398"/>
      <c r="C1061" s="398"/>
      <c r="D1061" s="405"/>
      <c r="E1061" s="398"/>
      <c r="F1061" s="395"/>
      <c r="G1061" s="396"/>
      <c r="H1061" s="399"/>
      <c r="I1061" s="395" t="s">
        <v>228</v>
      </c>
      <c r="J1061" s="397" t="s">
        <v>228</v>
      </c>
      <c r="K1061" s="398"/>
      <c r="L1061" s="404"/>
      <c r="M1061" s="400"/>
    </row>
    <row r="1062" spans="1:13" s="148" customFormat="1" hidden="1" x14ac:dyDescent="0.25">
      <c r="A1062" s="400"/>
      <c r="B1062" s="398"/>
      <c r="C1062" s="398"/>
      <c r="D1062" s="405"/>
      <c r="E1062" s="398"/>
      <c r="F1062" s="395"/>
      <c r="G1062" s="396"/>
      <c r="H1062" s="399"/>
      <c r="I1062" s="395" t="s">
        <v>228</v>
      </c>
      <c r="J1062" s="397" t="s">
        <v>228</v>
      </c>
      <c r="K1062" s="398"/>
      <c r="L1062" s="404"/>
      <c r="M1062" s="400"/>
    </row>
    <row r="1063" spans="1:13" s="148" customFormat="1" hidden="1" x14ac:dyDescent="0.25">
      <c r="A1063" s="400"/>
      <c r="B1063" s="398"/>
      <c r="C1063" s="398"/>
      <c r="D1063" s="405"/>
      <c r="E1063" s="398"/>
      <c r="F1063" s="395"/>
      <c r="G1063" s="396"/>
      <c r="H1063" s="399"/>
      <c r="I1063" s="395" t="s">
        <v>228</v>
      </c>
      <c r="J1063" s="397" t="s">
        <v>228</v>
      </c>
      <c r="K1063" s="398"/>
      <c r="L1063" s="404"/>
      <c r="M1063" s="400"/>
    </row>
    <row r="1064" spans="1:13" s="148" customFormat="1" hidden="1" x14ac:dyDescent="0.25">
      <c r="A1064" s="400"/>
      <c r="B1064" s="398"/>
      <c r="C1064" s="398"/>
      <c r="D1064" s="405"/>
      <c r="E1064" s="398"/>
      <c r="F1064" s="395"/>
      <c r="G1064" s="396"/>
      <c r="H1064" s="399"/>
      <c r="I1064" s="395" t="s">
        <v>228</v>
      </c>
      <c r="J1064" s="397" t="s">
        <v>228</v>
      </c>
      <c r="K1064" s="398"/>
      <c r="L1064" s="404"/>
      <c r="M1064" s="400"/>
    </row>
    <row r="1065" spans="1:13" s="148" customFormat="1" hidden="1" x14ac:dyDescent="0.25">
      <c r="A1065" s="400"/>
      <c r="B1065" s="398"/>
      <c r="C1065" s="398"/>
      <c r="D1065" s="405"/>
      <c r="E1065" s="398"/>
      <c r="F1065" s="395"/>
      <c r="G1065" s="396"/>
      <c r="H1065" s="399"/>
      <c r="I1065" s="395" t="s">
        <v>228</v>
      </c>
      <c r="J1065" s="397" t="s">
        <v>228</v>
      </c>
      <c r="K1065" s="398"/>
      <c r="L1065" s="404"/>
      <c r="M1065" s="400"/>
    </row>
    <row r="1066" spans="1:13" s="148" customFormat="1" hidden="1" x14ac:dyDescent="0.25">
      <c r="A1066" s="400"/>
      <c r="B1066" s="398"/>
      <c r="C1066" s="398"/>
      <c r="D1066" s="405"/>
      <c r="E1066" s="398"/>
      <c r="F1066" s="395"/>
      <c r="G1066" s="396"/>
      <c r="H1066" s="399"/>
      <c r="I1066" s="395" t="s">
        <v>228</v>
      </c>
      <c r="J1066" s="397" t="s">
        <v>228</v>
      </c>
      <c r="K1066" s="398"/>
      <c r="L1066" s="404"/>
      <c r="M1066" s="400"/>
    </row>
    <row r="1067" spans="1:13" s="148" customFormat="1" hidden="1" x14ac:dyDescent="0.25">
      <c r="A1067" s="400"/>
      <c r="B1067" s="398"/>
      <c r="C1067" s="398"/>
      <c r="D1067" s="405"/>
      <c r="E1067" s="398"/>
      <c r="F1067" s="395"/>
      <c r="G1067" s="396"/>
      <c r="H1067" s="399"/>
      <c r="I1067" s="395" t="s">
        <v>228</v>
      </c>
      <c r="J1067" s="397" t="s">
        <v>228</v>
      </c>
      <c r="K1067" s="398"/>
      <c r="L1067" s="404"/>
      <c r="M1067" s="400"/>
    </row>
    <row r="1068" spans="1:13" s="148" customFormat="1" hidden="1" x14ac:dyDescent="0.25">
      <c r="A1068" s="400"/>
      <c r="B1068" s="398"/>
      <c r="C1068" s="398"/>
      <c r="D1068" s="405"/>
      <c r="E1068" s="398"/>
      <c r="F1068" s="395"/>
      <c r="G1068" s="396"/>
      <c r="H1068" s="399"/>
      <c r="I1068" s="395" t="s">
        <v>228</v>
      </c>
      <c r="J1068" s="397" t="s">
        <v>228</v>
      </c>
      <c r="K1068" s="398"/>
      <c r="L1068" s="404"/>
      <c r="M1068" s="400"/>
    </row>
    <row r="1069" spans="1:13" s="148" customFormat="1" hidden="1" x14ac:dyDescent="0.25">
      <c r="A1069" s="400"/>
      <c r="B1069" s="398"/>
      <c r="C1069" s="398"/>
      <c r="D1069" s="405"/>
      <c r="E1069" s="398"/>
      <c r="F1069" s="395"/>
      <c r="G1069" s="396"/>
      <c r="H1069" s="399"/>
      <c r="I1069" s="395" t="s">
        <v>228</v>
      </c>
      <c r="J1069" s="397" t="s">
        <v>228</v>
      </c>
      <c r="K1069" s="398"/>
      <c r="L1069" s="404"/>
      <c r="M1069" s="400"/>
    </row>
    <row r="1070" spans="1:13" s="148" customFormat="1" hidden="1" x14ac:dyDescent="0.25">
      <c r="A1070" s="400"/>
      <c r="B1070" s="398"/>
      <c r="C1070" s="398"/>
      <c r="D1070" s="405"/>
      <c r="E1070" s="398"/>
      <c r="F1070" s="395"/>
      <c r="G1070" s="396"/>
      <c r="H1070" s="399"/>
      <c r="I1070" s="395" t="s">
        <v>228</v>
      </c>
      <c r="J1070" s="397" t="s">
        <v>228</v>
      </c>
      <c r="K1070" s="398"/>
      <c r="L1070" s="404"/>
      <c r="M1070" s="400"/>
    </row>
    <row r="1071" spans="1:13" s="148" customFormat="1" hidden="1" x14ac:dyDescent="0.25">
      <c r="A1071" s="400"/>
      <c r="B1071" s="398"/>
      <c r="C1071" s="398"/>
      <c r="D1071" s="405"/>
      <c r="E1071" s="398"/>
      <c r="F1071" s="395"/>
      <c r="G1071" s="396"/>
      <c r="H1071" s="399"/>
      <c r="I1071" s="395" t="s">
        <v>228</v>
      </c>
      <c r="J1071" s="397" t="s">
        <v>228</v>
      </c>
      <c r="K1071" s="398"/>
      <c r="L1071" s="404"/>
      <c r="M1071" s="400"/>
    </row>
    <row r="1072" spans="1:13" s="148" customFormat="1" hidden="1" x14ac:dyDescent="0.25">
      <c r="A1072" s="400"/>
      <c r="B1072" s="398"/>
      <c r="C1072" s="398"/>
      <c r="D1072" s="405"/>
      <c r="E1072" s="398"/>
      <c r="F1072" s="395"/>
      <c r="G1072" s="396"/>
      <c r="H1072" s="399"/>
      <c r="I1072" s="395" t="s">
        <v>228</v>
      </c>
      <c r="J1072" s="397" t="s">
        <v>228</v>
      </c>
      <c r="K1072" s="398"/>
      <c r="L1072" s="404"/>
      <c r="M1072" s="400"/>
    </row>
    <row r="1073" spans="1:13" s="148" customFormat="1" hidden="1" x14ac:dyDescent="0.25">
      <c r="A1073" s="400"/>
      <c r="B1073" s="398"/>
      <c r="C1073" s="398"/>
      <c r="D1073" s="405"/>
      <c r="E1073" s="398"/>
      <c r="F1073" s="395"/>
      <c r="G1073" s="396"/>
      <c r="H1073" s="399"/>
      <c r="I1073" s="395" t="s">
        <v>228</v>
      </c>
      <c r="J1073" s="397" t="s">
        <v>228</v>
      </c>
      <c r="K1073" s="398"/>
      <c r="L1073" s="404"/>
      <c r="M1073" s="400"/>
    </row>
    <row r="1074" spans="1:13" s="148" customFormat="1" hidden="1" x14ac:dyDescent="0.25">
      <c r="A1074" s="400"/>
      <c r="B1074" s="398"/>
      <c r="C1074" s="398"/>
      <c r="D1074" s="405"/>
      <c r="E1074" s="398"/>
      <c r="F1074" s="395"/>
      <c r="G1074" s="396"/>
      <c r="H1074" s="399"/>
      <c r="I1074" s="395" t="s">
        <v>228</v>
      </c>
      <c r="J1074" s="397" t="s">
        <v>228</v>
      </c>
      <c r="K1074" s="398"/>
      <c r="L1074" s="404"/>
      <c r="M1074" s="400"/>
    </row>
    <row r="1075" spans="1:13" s="148" customFormat="1" hidden="1" x14ac:dyDescent="0.25">
      <c r="A1075" s="400"/>
      <c r="B1075" s="398"/>
      <c r="C1075" s="398"/>
      <c r="D1075" s="405"/>
      <c r="E1075" s="398"/>
      <c r="F1075" s="395"/>
      <c r="G1075" s="396"/>
      <c r="H1075" s="399"/>
      <c r="I1075" s="395" t="s">
        <v>228</v>
      </c>
      <c r="J1075" s="397" t="s">
        <v>228</v>
      </c>
      <c r="K1075" s="398"/>
      <c r="L1075" s="404"/>
      <c r="M1075" s="400"/>
    </row>
    <row r="1076" spans="1:13" s="148" customFormat="1" hidden="1" x14ac:dyDescent="0.25">
      <c r="A1076" s="400"/>
      <c r="B1076" s="398"/>
      <c r="C1076" s="398"/>
      <c r="D1076" s="405"/>
      <c r="E1076" s="398"/>
      <c r="F1076" s="395"/>
      <c r="G1076" s="396"/>
      <c r="H1076" s="399"/>
      <c r="I1076" s="395" t="s">
        <v>228</v>
      </c>
      <c r="J1076" s="397" t="s">
        <v>228</v>
      </c>
      <c r="K1076" s="398"/>
      <c r="L1076" s="404"/>
      <c r="M1076" s="400"/>
    </row>
    <row r="1077" spans="1:13" s="148" customFormat="1" hidden="1" x14ac:dyDescent="0.25">
      <c r="A1077" s="400"/>
      <c r="B1077" s="398"/>
      <c r="C1077" s="398"/>
      <c r="D1077" s="405"/>
      <c r="E1077" s="398"/>
      <c r="F1077" s="395"/>
      <c r="G1077" s="396"/>
      <c r="H1077" s="399"/>
      <c r="I1077" s="395" t="s">
        <v>228</v>
      </c>
      <c r="J1077" s="397" t="s">
        <v>228</v>
      </c>
      <c r="K1077" s="398"/>
      <c r="L1077" s="404"/>
      <c r="M1077" s="400"/>
    </row>
    <row r="1078" spans="1:13" s="148" customFormat="1" hidden="1" x14ac:dyDescent="0.25">
      <c r="A1078" s="400"/>
      <c r="B1078" s="398"/>
      <c r="C1078" s="398"/>
      <c r="D1078" s="405"/>
      <c r="E1078" s="398"/>
      <c r="F1078" s="395"/>
      <c r="G1078" s="396"/>
      <c r="H1078" s="399"/>
      <c r="I1078" s="395" t="s">
        <v>228</v>
      </c>
      <c r="J1078" s="397" t="s">
        <v>228</v>
      </c>
      <c r="K1078" s="398"/>
      <c r="L1078" s="404"/>
      <c r="M1078" s="400"/>
    </row>
    <row r="1079" spans="1:13" s="148" customFormat="1" hidden="1" x14ac:dyDescent="0.25">
      <c r="A1079" s="400"/>
      <c r="B1079" s="398"/>
      <c r="C1079" s="398"/>
      <c r="D1079" s="405"/>
      <c r="E1079" s="398"/>
      <c r="F1079" s="395"/>
      <c r="G1079" s="396"/>
      <c r="H1079" s="399"/>
      <c r="I1079" s="395" t="s">
        <v>228</v>
      </c>
      <c r="J1079" s="397" t="s">
        <v>228</v>
      </c>
      <c r="K1079" s="398"/>
      <c r="L1079" s="404"/>
      <c r="M1079" s="400"/>
    </row>
    <row r="1080" spans="1:13" s="148" customFormat="1" hidden="1" x14ac:dyDescent="0.25">
      <c r="A1080" s="400"/>
      <c r="B1080" s="398"/>
      <c r="C1080" s="398"/>
      <c r="D1080" s="405"/>
      <c r="E1080" s="398"/>
      <c r="F1080" s="395"/>
      <c r="G1080" s="396"/>
      <c r="H1080" s="399"/>
      <c r="I1080" s="395" t="s">
        <v>228</v>
      </c>
      <c r="J1080" s="397" t="s">
        <v>228</v>
      </c>
      <c r="K1080" s="398"/>
      <c r="L1080" s="404"/>
      <c r="M1080" s="400"/>
    </row>
    <row r="1081" spans="1:13" s="148" customFormat="1" hidden="1" x14ac:dyDescent="0.25">
      <c r="A1081" s="400"/>
      <c r="B1081" s="398"/>
      <c r="C1081" s="398"/>
      <c r="D1081" s="405"/>
      <c r="E1081" s="398"/>
      <c r="F1081" s="395"/>
      <c r="G1081" s="396"/>
      <c r="H1081" s="399"/>
      <c r="I1081" s="395" t="s">
        <v>228</v>
      </c>
      <c r="J1081" s="397" t="s">
        <v>228</v>
      </c>
      <c r="K1081" s="398"/>
      <c r="L1081" s="404"/>
      <c r="M1081" s="400"/>
    </row>
    <row r="1082" spans="1:13" s="148" customFormat="1" hidden="1" x14ac:dyDescent="0.25">
      <c r="A1082" s="400"/>
      <c r="B1082" s="398"/>
      <c r="C1082" s="398"/>
      <c r="D1082" s="405"/>
      <c r="E1082" s="398"/>
      <c r="F1082" s="395"/>
      <c r="G1082" s="396"/>
      <c r="H1082" s="399"/>
      <c r="I1082" s="395" t="s">
        <v>228</v>
      </c>
      <c r="J1082" s="397" t="s">
        <v>228</v>
      </c>
      <c r="K1082" s="398"/>
      <c r="L1082" s="404"/>
      <c r="M1082" s="400"/>
    </row>
    <row r="1083" spans="1:13" s="148" customFormat="1" hidden="1" x14ac:dyDescent="0.25">
      <c r="A1083" s="400"/>
      <c r="B1083" s="398"/>
      <c r="C1083" s="398"/>
      <c r="D1083" s="405"/>
      <c r="E1083" s="398"/>
      <c r="F1083" s="395"/>
      <c r="G1083" s="396"/>
      <c r="H1083" s="399"/>
      <c r="I1083" s="395" t="s">
        <v>228</v>
      </c>
      <c r="J1083" s="397" t="s">
        <v>228</v>
      </c>
      <c r="K1083" s="398"/>
      <c r="L1083" s="404"/>
      <c r="M1083" s="400"/>
    </row>
    <row r="1084" spans="1:13" s="148" customFormat="1" hidden="1" x14ac:dyDescent="0.25">
      <c r="A1084" s="400"/>
      <c r="B1084" s="398"/>
      <c r="C1084" s="398"/>
      <c r="D1084" s="405"/>
      <c r="E1084" s="398"/>
      <c r="F1084" s="395"/>
      <c r="G1084" s="396"/>
      <c r="H1084" s="399"/>
      <c r="I1084" s="395" t="s">
        <v>228</v>
      </c>
      <c r="J1084" s="397" t="s">
        <v>228</v>
      </c>
      <c r="K1084" s="398"/>
      <c r="L1084" s="404"/>
      <c r="M1084" s="400"/>
    </row>
    <row r="1085" spans="1:13" s="148" customFormat="1" hidden="1" x14ac:dyDescent="0.25">
      <c r="A1085" s="400"/>
      <c r="B1085" s="398"/>
      <c r="C1085" s="398"/>
      <c r="D1085" s="405"/>
      <c r="E1085" s="398"/>
      <c r="F1085" s="395"/>
      <c r="G1085" s="396"/>
      <c r="H1085" s="399"/>
      <c r="I1085" s="395" t="s">
        <v>228</v>
      </c>
      <c r="J1085" s="397" t="s">
        <v>228</v>
      </c>
      <c r="K1085" s="398"/>
      <c r="L1085" s="404"/>
      <c r="M1085" s="400"/>
    </row>
    <row r="1086" spans="1:13" s="148" customFormat="1" hidden="1" x14ac:dyDescent="0.25">
      <c r="A1086" s="400"/>
      <c r="B1086" s="398"/>
      <c r="C1086" s="398"/>
      <c r="D1086" s="405"/>
      <c r="E1086" s="398"/>
      <c r="F1086" s="395"/>
      <c r="G1086" s="396"/>
      <c r="H1086" s="399"/>
      <c r="I1086" s="395" t="s">
        <v>228</v>
      </c>
      <c r="J1086" s="397" t="s">
        <v>228</v>
      </c>
      <c r="K1086" s="398"/>
      <c r="L1086" s="404"/>
      <c r="M1086" s="400"/>
    </row>
    <row r="1087" spans="1:13" s="148" customFormat="1" hidden="1" x14ac:dyDescent="0.25">
      <c r="A1087" s="400"/>
      <c r="B1087" s="398"/>
      <c r="C1087" s="398"/>
      <c r="D1087" s="405"/>
      <c r="E1087" s="398"/>
      <c r="F1087" s="395"/>
      <c r="G1087" s="396"/>
      <c r="H1087" s="399"/>
      <c r="I1087" s="395" t="s">
        <v>228</v>
      </c>
      <c r="J1087" s="397" t="s">
        <v>228</v>
      </c>
      <c r="K1087" s="398"/>
      <c r="L1087" s="404"/>
      <c r="M1087" s="400"/>
    </row>
    <row r="1088" spans="1:13" s="148" customFormat="1" hidden="1" x14ac:dyDescent="0.25">
      <c r="A1088" s="400"/>
      <c r="B1088" s="398"/>
      <c r="C1088" s="398"/>
      <c r="D1088" s="405"/>
      <c r="E1088" s="398"/>
      <c r="F1088" s="395"/>
      <c r="G1088" s="396"/>
      <c r="H1088" s="399"/>
      <c r="I1088" s="395" t="s">
        <v>228</v>
      </c>
      <c r="J1088" s="397" t="s">
        <v>228</v>
      </c>
      <c r="K1088" s="398"/>
      <c r="L1088" s="404"/>
      <c r="M1088" s="400"/>
    </row>
    <row r="1089" spans="1:13" s="148" customFormat="1" hidden="1" x14ac:dyDescent="0.25">
      <c r="A1089" s="400"/>
      <c r="B1089" s="398"/>
      <c r="C1089" s="398"/>
      <c r="D1089" s="405"/>
      <c r="E1089" s="398"/>
      <c r="F1089" s="395"/>
      <c r="G1089" s="396"/>
      <c r="H1089" s="399"/>
      <c r="I1089" s="395" t="s">
        <v>228</v>
      </c>
      <c r="J1089" s="397" t="s">
        <v>228</v>
      </c>
      <c r="K1089" s="398"/>
      <c r="L1089" s="404"/>
      <c r="M1089" s="400"/>
    </row>
    <row r="1090" spans="1:13" s="148" customFormat="1" hidden="1" x14ac:dyDescent="0.25">
      <c r="A1090" s="400"/>
      <c r="B1090" s="398"/>
      <c r="C1090" s="398"/>
      <c r="D1090" s="405"/>
      <c r="E1090" s="398"/>
      <c r="F1090" s="395"/>
      <c r="G1090" s="396"/>
      <c r="H1090" s="399"/>
      <c r="I1090" s="395" t="s">
        <v>228</v>
      </c>
      <c r="J1090" s="397" t="s">
        <v>228</v>
      </c>
      <c r="K1090" s="398"/>
      <c r="L1090" s="404"/>
      <c r="M1090" s="400"/>
    </row>
    <row r="1091" spans="1:13" s="148" customFormat="1" hidden="1" x14ac:dyDescent="0.25">
      <c r="A1091" s="400"/>
      <c r="B1091" s="398"/>
      <c r="C1091" s="398"/>
      <c r="D1091" s="405"/>
      <c r="E1091" s="398"/>
      <c r="F1091" s="395"/>
      <c r="G1091" s="396"/>
      <c r="H1091" s="399"/>
      <c r="I1091" s="395" t="s">
        <v>228</v>
      </c>
      <c r="J1091" s="397" t="s">
        <v>228</v>
      </c>
      <c r="K1091" s="398"/>
      <c r="L1091" s="404"/>
      <c r="M1091" s="400"/>
    </row>
    <row r="1092" spans="1:13" s="148" customFormat="1" hidden="1" x14ac:dyDescent="0.25">
      <c r="A1092" s="400"/>
      <c r="B1092" s="398"/>
      <c r="C1092" s="398"/>
      <c r="D1092" s="405"/>
      <c r="E1092" s="398"/>
      <c r="F1092" s="395"/>
      <c r="G1092" s="396"/>
      <c r="H1092" s="399"/>
      <c r="I1092" s="395" t="s">
        <v>228</v>
      </c>
      <c r="J1092" s="397" t="s">
        <v>228</v>
      </c>
      <c r="K1092" s="398"/>
      <c r="L1092" s="404"/>
      <c r="M1092" s="400"/>
    </row>
    <row r="1093" spans="1:13" s="148" customFormat="1" hidden="1" x14ac:dyDescent="0.25">
      <c r="A1093" s="400"/>
      <c r="B1093" s="398"/>
      <c r="C1093" s="398"/>
      <c r="D1093" s="405"/>
      <c r="E1093" s="398"/>
      <c r="F1093" s="395"/>
      <c r="G1093" s="396"/>
      <c r="H1093" s="399"/>
      <c r="I1093" s="395" t="s">
        <v>228</v>
      </c>
      <c r="J1093" s="397" t="s">
        <v>228</v>
      </c>
      <c r="K1093" s="398"/>
      <c r="L1093" s="404"/>
      <c r="M1093" s="400"/>
    </row>
    <row r="1094" spans="1:13" s="148" customFormat="1" hidden="1" x14ac:dyDescent="0.25">
      <c r="A1094" s="400"/>
      <c r="B1094" s="398"/>
      <c r="C1094" s="398"/>
      <c r="D1094" s="405"/>
      <c r="E1094" s="398"/>
      <c r="F1094" s="395"/>
      <c r="G1094" s="396"/>
      <c r="H1094" s="399"/>
      <c r="I1094" s="395" t="s">
        <v>228</v>
      </c>
      <c r="J1094" s="397" t="s">
        <v>228</v>
      </c>
      <c r="K1094" s="398"/>
      <c r="L1094" s="404"/>
      <c r="M1094" s="400"/>
    </row>
    <row r="1095" spans="1:13" s="148" customFormat="1" hidden="1" x14ac:dyDescent="0.25">
      <c r="A1095" s="400"/>
      <c r="B1095" s="398"/>
      <c r="C1095" s="398"/>
      <c r="D1095" s="405"/>
      <c r="E1095" s="398"/>
      <c r="F1095" s="395"/>
      <c r="G1095" s="396"/>
      <c r="H1095" s="399"/>
      <c r="I1095" s="395" t="s">
        <v>228</v>
      </c>
      <c r="J1095" s="397" t="s">
        <v>228</v>
      </c>
      <c r="K1095" s="398"/>
      <c r="L1095" s="404"/>
      <c r="M1095" s="400"/>
    </row>
    <row r="1096" spans="1:13" s="148" customFormat="1" hidden="1" x14ac:dyDescent="0.25">
      <c r="A1096" s="400"/>
      <c r="B1096" s="398"/>
      <c r="C1096" s="398"/>
      <c r="D1096" s="405"/>
      <c r="E1096" s="398"/>
      <c r="F1096" s="395"/>
      <c r="G1096" s="396"/>
      <c r="H1096" s="399"/>
      <c r="I1096" s="395" t="s">
        <v>228</v>
      </c>
      <c r="J1096" s="397" t="s">
        <v>228</v>
      </c>
      <c r="K1096" s="398"/>
      <c r="L1096" s="404"/>
      <c r="M1096" s="400"/>
    </row>
    <row r="1097" spans="1:13" s="148" customFormat="1" hidden="1" x14ac:dyDescent="0.25">
      <c r="A1097" s="400"/>
      <c r="B1097" s="398"/>
      <c r="C1097" s="398"/>
      <c r="D1097" s="405"/>
      <c r="E1097" s="398"/>
      <c r="F1097" s="395"/>
      <c r="G1097" s="396"/>
      <c r="H1097" s="399"/>
      <c r="I1097" s="395" t="s">
        <v>228</v>
      </c>
      <c r="J1097" s="397" t="s">
        <v>228</v>
      </c>
      <c r="K1097" s="398"/>
      <c r="L1097" s="404"/>
      <c r="M1097" s="400"/>
    </row>
    <row r="1098" spans="1:13" s="148" customFormat="1" hidden="1" x14ac:dyDescent="0.25">
      <c r="A1098" s="400"/>
      <c r="B1098" s="398"/>
      <c r="C1098" s="398"/>
      <c r="D1098" s="405"/>
      <c r="E1098" s="398"/>
      <c r="F1098" s="395"/>
      <c r="G1098" s="396"/>
      <c r="H1098" s="399"/>
      <c r="I1098" s="395" t="s">
        <v>228</v>
      </c>
      <c r="J1098" s="397" t="s">
        <v>228</v>
      </c>
      <c r="K1098" s="398"/>
      <c r="L1098" s="404"/>
      <c r="M1098" s="400"/>
    </row>
    <row r="1099" spans="1:13" s="148" customFormat="1" hidden="1" x14ac:dyDescent="0.25">
      <c r="A1099" s="400"/>
      <c r="B1099" s="398"/>
      <c r="C1099" s="398"/>
      <c r="D1099" s="405"/>
      <c r="E1099" s="398"/>
      <c r="F1099" s="395"/>
      <c r="G1099" s="396"/>
      <c r="H1099" s="399"/>
      <c r="I1099" s="395" t="s">
        <v>228</v>
      </c>
      <c r="J1099" s="397" t="s">
        <v>228</v>
      </c>
      <c r="K1099" s="398"/>
      <c r="L1099" s="404"/>
      <c r="M1099" s="400"/>
    </row>
    <row r="1100" spans="1:13" s="148" customFormat="1" hidden="1" x14ac:dyDescent="0.25">
      <c r="A1100" s="400"/>
      <c r="B1100" s="398"/>
      <c r="C1100" s="398"/>
      <c r="D1100" s="405"/>
      <c r="E1100" s="398"/>
      <c r="F1100" s="395"/>
      <c r="G1100" s="396"/>
      <c r="H1100" s="399"/>
      <c r="I1100" s="395" t="s">
        <v>228</v>
      </c>
      <c r="J1100" s="397" t="s">
        <v>228</v>
      </c>
      <c r="K1100" s="398"/>
      <c r="L1100" s="404"/>
      <c r="M1100" s="400"/>
    </row>
    <row r="1101" spans="1:13" s="148" customFormat="1" hidden="1" x14ac:dyDescent="0.25">
      <c r="A1101" s="400"/>
      <c r="B1101" s="398"/>
      <c r="C1101" s="398"/>
      <c r="D1101" s="405"/>
      <c r="E1101" s="398"/>
      <c r="F1101" s="395"/>
      <c r="G1101" s="396"/>
      <c r="H1101" s="399"/>
      <c r="I1101" s="395" t="s">
        <v>228</v>
      </c>
      <c r="J1101" s="397" t="s">
        <v>228</v>
      </c>
      <c r="K1101" s="398"/>
      <c r="L1101" s="404"/>
      <c r="M1101" s="400"/>
    </row>
    <row r="1102" spans="1:13" s="148" customFormat="1" hidden="1" x14ac:dyDescent="0.25">
      <c r="A1102" s="400"/>
      <c r="B1102" s="398"/>
      <c r="C1102" s="398"/>
      <c r="D1102" s="405"/>
      <c r="E1102" s="398"/>
      <c r="F1102" s="395"/>
      <c r="G1102" s="396"/>
      <c r="H1102" s="399"/>
      <c r="I1102" s="395" t="s">
        <v>228</v>
      </c>
      <c r="J1102" s="397" t="s">
        <v>228</v>
      </c>
      <c r="K1102" s="398"/>
      <c r="L1102" s="404"/>
      <c r="M1102" s="400"/>
    </row>
    <row r="1103" spans="1:13" s="148" customFormat="1" hidden="1" x14ac:dyDescent="0.25">
      <c r="A1103" s="400"/>
      <c r="B1103" s="398"/>
      <c r="C1103" s="398"/>
      <c r="D1103" s="405"/>
      <c r="E1103" s="398"/>
      <c r="F1103" s="395"/>
      <c r="G1103" s="396"/>
      <c r="H1103" s="399"/>
      <c r="I1103" s="395" t="s">
        <v>228</v>
      </c>
      <c r="J1103" s="397" t="s">
        <v>228</v>
      </c>
      <c r="K1103" s="398"/>
      <c r="L1103" s="404"/>
      <c r="M1103" s="400"/>
    </row>
    <row r="1104" spans="1:13" s="148" customFormat="1" hidden="1" x14ac:dyDescent="0.25">
      <c r="A1104" s="400"/>
      <c r="B1104" s="398"/>
      <c r="C1104" s="398"/>
      <c r="D1104" s="405"/>
      <c r="E1104" s="398"/>
      <c r="F1104" s="395"/>
      <c r="G1104" s="396"/>
      <c r="H1104" s="399"/>
      <c r="I1104" s="395" t="s">
        <v>228</v>
      </c>
      <c r="J1104" s="397" t="s">
        <v>228</v>
      </c>
      <c r="K1104" s="398"/>
      <c r="L1104" s="404"/>
      <c r="M1104" s="400"/>
    </row>
    <row r="1105" spans="1:13" s="148" customFormat="1" hidden="1" x14ac:dyDescent="0.25">
      <c r="A1105" s="400"/>
      <c r="B1105" s="398"/>
      <c r="C1105" s="398"/>
      <c r="D1105" s="405"/>
      <c r="E1105" s="398"/>
      <c r="F1105" s="395"/>
      <c r="G1105" s="396"/>
      <c r="H1105" s="399"/>
      <c r="I1105" s="395" t="s">
        <v>228</v>
      </c>
      <c r="J1105" s="397" t="s">
        <v>228</v>
      </c>
      <c r="K1105" s="398"/>
      <c r="L1105" s="404"/>
      <c r="M1105" s="400"/>
    </row>
    <row r="1106" spans="1:13" s="148" customFormat="1" hidden="1" x14ac:dyDescent="0.25">
      <c r="A1106" s="400"/>
      <c r="B1106" s="398"/>
      <c r="C1106" s="398"/>
      <c r="D1106" s="405"/>
      <c r="E1106" s="398"/>
      <c r="F1106" s="395"/>
      <c r="G1106" s="396"/>
      <c r="H1106" s="399"/>
      <c r="I1106" s="395" t="s">
        <v>228</v>
      </c>
      <c r="J1106" s="397" t="s">
        <v>228</v>
      </c>
      <c r="K1106" s="398"/>
      <c r="L1106" s="404"/>
      <c r="M1106" s="400"/>
    </row>
    <row r="1107" spans="1:13" s="148" customFormat="1" hidden="1" x14ac:dyDescent="0.25">
      <c r="A1107" s="400"/>
      <c r="B1107" s="398"/>
      <c r="C1107" s="398"/>
      <c r="D1107" s="405"/>
      <c r="E1107" s="398"/>
      <c r="F1107" s="395"/>
      <c r="G1107" s="396"/>
      <c r="H1107" s="399"/>
      <c r="I1107" s="395" t="s">
        <v>228</v>
      </c>
      <c r="J1107" s="397" t="s">
        <v>228</v>
      </c>
      <c r="K1107" s="398"/>
      <c r="L1107" s="404"/>
      <c r="M1107" s="400"/>
    </row>
    <row r="1108" spans="1:13" s="148" customFormat="1" hidden="1" x14ac:dyDescent="0.25">
      <c r="A1108" s="400"/>
      <c r="B1108" s="398"/>
      <c r="C1108" s="398"/>
      <c r="D1108" s="405"/>
      <c r="E1108" s="398"/>
      <c r="F1108" s="395"/>
      <c r="G1108" s="396"/>
      <c r="H1108" s="399"/>
      <c r="I1108" s="395" t="s">
        <v>228</v>
      </c>
      <c r="J1108" s="397" t="s">
        <v>228</v>
      </c>
      <c r="K1108" s="398"/>
      <c r="L1108" s="404"/>
      <c r="M1108" s="400"/>
    </row>
    <row r="1109" spans="1:13" s="148" customFormat="1" hidden="1" x14ac:dyDescent="0.25">
      <c r="A1109" s="400"/>
      <c r="B1109" s="398"/>
      <c r="C1109" s="398"/>
      <c r="D1109" s="405"/>
      <c r="E1109" s="398"/>
      <c r="F1109" s="395"/>
      <c r="G1109" s="396"/>
      <c r="H1109" s="399"/>
      <c r="I1109" s="395" t="s">
        <v>228</v>
      </c>
      <c r="J1109" s="397" t="s">
        <v>228</v>
      </c>
      <c r="K1109" s="398"/>
      <c r="L1109" s="404"/>
      <c r="M1109" s="400"/>
    </row>
    <row r="1110" spans="1:13" s="148" customFormat="1" hidden="1" x14ac:dyDescent="0.25">
      <c r="A1110" s="400"/>
      <c r="B1110" s="398"/>
      <c r="C1110" s="398"/>
      <c r="D1110" s="405"/>
      <c r="E1110" s="398"/>
      <c r="F1110" s="395"/>
      <c r="G1110" s="396"/>
      <c r="H1110" s="399"/>
      <c r="I1110" s="395" t="s">
        <v>228</v>
      </c>
      <c r="J1110" s="397" t="s">
        <v>228</v>
      </c>
      <c r="K1110" s="398"/>
      <c r="L1110" s="404"/>
      <c r="M1110" s="400"/>
    </row>
    <row r="1111" spans="1:13" s="148" customFormat="1" hidden="1" x14ac:dyDescent="0.25">
      <c r="A1111" s="400"/>
      <c r="B1111" s="398"/>
      <c r="C1111" s="398"/>
      <c r="D1111" s="405"/>
      <c r="E1111" s="398"/>
      <c r="F1111" s="395"/>
      <c r="G1111" s="396"/>
      <c r="H1111" s="399"/>
      <c r="I1111" s="395" t="s">
        <v>228</v>
      </c>
      <c r="J1111" s="397" t="s">
        <v>228</v>
      </c>
      <c r="K1111" s="398"/>
      <c r="L1111" s="404"/>
      <c r="M1111" s="400"/>
    </row>
    <row r="1112" spans="1:13" s="148" customFormat="1" hidden="1" x14ac:dyDescent="0.25">
      <c r="A1112" s="400"/>
      <c r="B1112" s="398"/>
      <c r="C1112" s="398"/>
      <c r="D1112" s="405"/>
      <c r="E1112" s="398"/>
      <c r="F1112" s="395"/>
      <c r="G1112" s="396"/>
      <c r="H1112" s="399"/>
      <c r="I1112" s="395" t="s">
        <v>228</v>
      </c>
      <c r="J1112" s="397" t="s">
        <v>228</v>
      </c>
      <c r="K1112" s="398"/>
      <c r="L1112" s="404"/>
      <c r="M1112" s="400"/>
    </row>
    <row r="1113" spans="1:13" s="148" customFormat="1" hidden="1" x14ac:dyDescent="0.25">
      <c r="A1113" s="400"/>
      <c r="B1113" s="398"/>
      <c r="C1113" s="398"/>
      <c r="D1113" s="405"/>
      <c r="E1113" s="398"/>
      <c r="F1113" s="395"/>
      <c r="G1113" s="396"/>
      <c r="H1113" s="399"/>
      <c r="I1113" s="395" t="s">
        <v>228</v>
      </c>
      <c r="J1113" s="397" t="s">
        <v>228</v>
      </c>
      <c r="K1113" s="398"/>
      <c r="L1113" s="404"/>
      <c r="M1113" s="400"/>
    </row>
    <row r="1114" spans="1:13" s="148" customFormat="1" hidden="1" x14ac:dyDescent="0.25">
      <c r="A1114" s="400"/>
      <c r="B1114" s="398"/>
      <c r="C1114" s="398"/>
      <c r="D1114" s="405"/>
      <c r="E1114" s="398"/>
      <c r="F1114" s="395"/>
      <c r="G1114" s="396"/>
      <c r="H1114" s="399"/>
      <c r="I1114" s="395" t="s">
        <v>228</v>
      </c>
      <c r="J1114" s="397" t="s">
        <v>228</v>
      </c>
      <c r="K1114" s="398"/>
      <c r="L1114" s="404"/>
      <c r="M1114" s="400"/>
    </row>
    <row r="1115" spans="1:13" s="148" customFormat="1" hidden="1" x14ac:dyDescent="0.25">
      <c r="A1115" s="400"/>
      <c r="B1115" s="398"/>
      <c r="C1115" s="398"/>
      <c r="D1115" s="405"/>
      <c r="E1115" s="398"/>
      <c r="F1115" s="395"/>
      <c r="G1115" s="396"/>
      <c r="H1115" s="399"/>
      <c r="I1115" s="395" t="s">
        <v>228</v>
      </c>
      <c r="J1115" s="397" t="s">
        <v>228</v>
      </c>
      <c r="K1115" s="398"/>
      <c r="L1115" s="404"/>
      <c r="M1115" s="400"/>
    </row>
    <row r="1116" spans="1:13" s="148" customFormat="1" hidden="1" x14ac:dyDescent="0.25">
      <c r="A1116" s="400"/>
      <c r="B1116" s="398"/>
      <c r="C1116" s="398"/>
      <c r="D1116" s="405"/>
      <c r="E1116" s="398"/>
      <c r="F1116" s="395"/>
      <c r="G1116" s="396"/>
      <c r="H1116" s="399"/>
      <c r="I1116" s="395" t="s">
        <v>228</v>
      </c>
      <c r="J1116" s="397" t="s">
        <v>228</v>
      </c>
      <c r="K1116" s="398"/>
      <c r="L1116" s="404"/>
      <c r="M1116" s="400"/>
    </row>
    <row r="1117" spans="1:13" s="148" customFormat="1" hidden="1" x14ac:dyDescent="0.25">
      <c r="A1117" s="400"/>
      <c r="B1117" s="398"/>
      <c r="C1117" s="398"/>
      <c r="D1117" s="405"/>
      <c r="E1117" s="398"/>
      <c r="F1117" s="395"/>
      <c r="G1117" s="396"/>
      <c r="H1117" s="399"/>
      <c r="I1117" s="395" t="s">
        <v>228</v>
      </c>
      <c r="J1117" s="397" t="s">
        <v>228</v>
      </c>
      <c r="K1117" s="398"/>
      <c r="L1117" s="404"/>
      <c r="M1117" s="400"/>
    </row>
    <row r="1118" spans="1:13" s="148" customFormat="1" hidden="1" x14ac:dyDescent="0.25">
      <c r="A1118" s="400"/>
      <c r="B1118" s="398"/>
      <c r="C1118" s="398"/>
      <c r="D1118" s="405"/>
      <c r="E1118" s="398"/>
      <c r="F1118" s="395"/>
      <c r="G1118" s="396"/>
      <c r="H1118" s="399"/>
      <c r="I1118" s="395" t="s">
        <v>228</v>
      </c>
      <c r="J1118" s="397" t="s">
        <v>228</v>
      </c>
      <c r="K1118" s="398"/>
      <c r="L1118" s="404"/>
      <c r="M1118" s="400"/>
    </row>
    <row r="1119" spans="1:13" s="148" customFormat="1" hidden="1" x14ac:dyDescent="0.25">
      <c r="A1119" s="400"/>
      <c r="B1119" s="398"/>
      <c r="C1119" s="398"/>
      <c r="D1119" s="405"/>
      <c r="E1119" s="398"/>
      <c r="F1119" s="395"/>
      <c r="G1119" s="396"/>
      <c r="H1119" s="399"/>
      <c r="I1119" s="395" t="s">
        <v>228</v>
      </c>
      <c r="J1119" s="397" t="s">
        <v>228</v>
      </c>
      <c r="K1119" s="398"/>
      <c r="L1119" s="404"/>
      <c r="M1119" s="400"/>
    </row>
    <row r="1120" spans="1:13" s="148" customFormat="1" hidden="1" x14ac:dyDescent="0.25">
      <c r="A1120" s="400"/>
      <c r="B1120" s="398"/>
      <c r="C1120" s="398"/>
      <c r="D1120" s="405"/>
      <c r="E1120" s="398"/>
      <c r="F1120" s="395"/>
      <c r="G1120" s="396"/>
      <c r="H1120" s="399"/>
      <c r="I1120" s="395" t="s">
        <v>228</v>
      </c>
      <c r="J1120" s="397" t="s">
        <v>228</v>
      </c>
      <c r="K1120" s="398"/>
      <c r="L1120" s="404"/>
      <c r="M1120" s="400"/>
    </row>
    <row r="1121" spans="1:13" s="148" customFormat="1" hidden="1" x14ac:dyDescent="0.25">
      <c r="A1121" s="400"/>
      <c r="B1121" s="398"/>
      <c r="C1121" s="398"/>
      <c r="D1121" s="405"/>
      <c r="E1121" s="398"/>
      <c r="F1121" s="395"/>
      <c r="G1121" s="396"/>
      <c r="H1121" s="399"/>
      <c r="I1121" s="395" t="s">
        <v>228</v>
      </c>
      <c r="J1121" s="397" t="s">
        <v>228</v>
      </c>
      <c r="K1121" s="398"/>
      <c r="L1121" s="404"/>
      <c r="M1121" s="400"/>
    </row>
    <row r="1122" spans="1:13" s="148" customFormat="1" hidden="1" x14ac:dyDescent="0.25">
      <c r="A1122" s="400"/>
      <c r="B1122" s="398"/>
      <c r="C1122" s="398"/>
      <c r="D1122" s="405"/>
      <c r="E1122" s="398"/>
      <c r="F1122" s="395"/>
      <c r="G1122" s="396"/>
      <c r="H1122" s="399"/>
      <c r="I1122" s="395" t="s">
        <v>228</v>
      </c>
      <c r="J1122" s="397" t="s">
        <v>228</v>
      </c>
      <c r="K1122" s="398"/>
      <c r="L1122" s="404"/>
      <c r="M1122" s="400"/>
    </row>
    <row r="1123" spans="1:13" s="148" customFormat="1" hidden="1" x14ac:dyDescent="0.25">
      <c r="A1123" s="400"/>
      <c r="B1123" s="398"/>
      <c r="C1123" s="398"/>
      <c r="D1123" s="405"/>
      <c r="E1123" s="398"/>
      <c r="F1123" s="395"/>
      <c r="G1123" s="396"/>
      <c r="H1123" s="399"/>
      <c r="I1123" s="395" t="s">
        <v>228</v>
      </c>
      <c r="J1123" s="397" t="s">
        <v>228</v>
      </c>
      <c r="K1123" s="398"/>
      <c r="L1123" s="404"/>
      <c r="M1123" s="400"/>
    </row>
    <row r="1124" spans="1:13" s="148" customFormat="1" hidden="1" x14ac:dyDescent="0.25">
      <c r="A1124" s="400"/>
      <c r="B1124" s="398"/>
      <c r="C1124" s="398"/>
      <c r="D1124" s="405"/>
      <c r="E1124" s="398"/>
      <c r="F1124" s="395"/>
      <c r="G1124" s="396"/>
      <c r="H1124" s="399"/>
      <c r="I1124" s="395" t="s">
        <v>228</v>
      </c>
      <c r="J1124" s="397" t="s">
        <v>228</v>
      </c>
      <c r="K1124" s="398"/>
      <c r="L1124" s="404"/>
      <c r="M1124" s="400"/>
    </row>
    <row r="1125" spans="1:13" s="148" customFormat="1" hidden="1" x14ac:dyDescent="0.25">
      <c r="A1125" s="400"/>
      <c r="B1125" s="398"/>
      <c r="C1125" s="398"/>
      <c r="D1125" s="405"/>
      <c r="E1125" s="398"/>
      <c r="F1125" s="395"/>
      <c r="G1125" s="396"/>
      <c r="H1125" s="399"/>
      <c r="I1125" s="395" t="s">
        <v>228</v>
      </c>
      <c r="J1125" s="397" t="s">
        <v>228</v>
      </c>
      <c r="K1125" s="398"/>
      <c r="L1125" s="404"/>
      <c r="M1125" s="400"/>
    </row>
    <row r="1126" spans="1:13" s="148" customFormat="1" hidden="1" x14ac:dyDescent="0.25">
      <c r="A1126" s="400"/>
      <c r="B1126" s="398"/>
      <c r="C1126" s="398"/>
      <c r="D1126" s="405"/>
      <c r="E1126" s="398"/>
      <c r="F1126" s="395"/>
      <c r="G1126" s="396"/>
      <c r="H1126" s="399"/>
      <c r="I1126" s="395" t="s">
        <v>228</v>
      </c>
      <c r="J1126" s="397" t="s">
        <v>228</v>
      </c>
      <c r="K1126" s="398"/>
      <c r="L1126" s="404"/>
      <c r="M1126" s="400"/>
    </row>
    <row r="1127" spans="1:13" s="148" customFormat="1" hidden="1" x14ac:dyDescent="0.25">
      <c r="A1127" s="400"/>
      <c r="B1127" s="398"/>
      <c r="C1127" s="398"/>
      <c r="D1127" s="405"/>
      <c r="E1127" s="398"/>
      <c r="F1127" s="395"/>
      <c r="G1127" s="396"/>
      <c r="H1127" s="399"/>
      <c r="I1127" s="395" t="s">
        <v>228</v>
      </c>
      <c r="J1127" s="397" t="s">
        <v>228</v>
      </c>
      <c r="K1127" s="398"/>
      <c r="L1127" s="404"/>
      <c r="M1127" s="400"/>
    </row>
    <row r="1128" spans="1:13" s="148" customFormat="1" hidden="1" x14ac:dyDescent="0.25">
      <c r="A1128" s="400"/>
      <c r="B1128" s="398"/>
      <c r="C1128" s="398"/>
      <c r="D1128" s="405"/>
      <c r="E1128" s="398"/>
      <c r="F1128" s="395"/>
      <c r="G1128" s="396"/>
      <c r="H1128" s="399"/>
      <c r="I1128" s="395" t="s">
        <v>228</v>
      </c>
      <c r="J1128" s="397" t="s">
        <v>228</v>
      </c>
      <c r="K1128" s="398"/>
      <c r="L1128" s="404"/>
      <c r="M1128" s="400"/>
    </row>
    <row r="1129" spans="1:13" s="148" customFormat="1" hidden="1" x14ac:dyDescent="0.25">
      <c r="A1129" s="400"/>
      <c r="B1129" s="398"/>
      <c r="C1129" s="398"/>
      <c r="D1129" s="405"/>
      <c r="E1129" s="398"/>
      <c r="F1129" s="395"/>
      <c r="G1129" s="396"/>
      <c r="H1129" s="399"/>
      <c r="I1129" s="395" t="s">
        <v>228</v>
      </c>
      <c r="J1129" s="397" t="s">
        <v>228</v>
      </c>
      <c r="K1129" s="398"/>
      <c r="L1129" s="404"/>
      <c r="M1129" s="400"/>
    </row>
    <row r="1130" spans="1:13" s="148" customFormat="1" hidden="1" x14ac:dyDescent="0.25">
      <c r="A1130" s="400"/>
      <c r="B1130" s="398"/>
      <c r="C1130" s="398"/>
      <c r="D1130" s="405"/>
      <c r="E1130" s="398"/>
      <c r="F1130" s="395"/>
      <c r="G1130" s="396"/>
      <c r="H1130" s="399"/>
      <c r="I1130" s="395" t="s">
        <v>228</v>
      </c>
      <c r="J1130" s="397" t="s">
        <v>228</v>
      </c>
      <c r="K1130" s="398"/>
      <c r="L1130" s="404"/>
      <c r="M1130" s="400"/>
    </row>
    <row r="1131" spans="1:13" s="148" customFormat="1" hidden="1" x14ac:dyDescent="0.25">
      <c r="A1131" s="400"/>
      <c r="B1131" s="398"/>
      <c r="C1131" s="398"/>
      <c r="D1131" s="405"/>
      <c r="E1131" s="398"/>
      <c r="F1131" s="395"/>
      <c r="G1131" s="396"/>
      <c r="H1131" s="399"/>
      <c r="I1131" s="395" t="s">
        <v>228</v>
      </c>
      <c r="J1131" s="397" t="s">
        <v>228</v>
      </c>
      <c r="K1131" s="398"/>
      <c r="L1131" s="404"/>
      <c r="M1131" s="400"/>
    </row>
    <row r="1132" spans="1:13" s="148" customFormat="1" hidden="1" x14ac:dyDescent="0.25">
      <c r="A1132" s="400"/>
      <c r="B1132" s="398"/>
      <c r="C1132" s="398"/>
      <c r="D1132" s="405"/>
      <c r="E1132" s="398"/>
      <c r="F1132" s="395"/>
      <c r="G1132" s="396"/>
      <c r="H1132" s="399"/>
      <c r="I1132" s="395" t="s">
        <v>228</v>
      </c>
      <c r="J1132" s="397" t="s">
        <v>228</v>
      </c>
      <c r="K1132" s="398"/>
      <c r="L1132" s="404"/>
      <c r="M1132" s="400"/>
    </row>
    <row r="1133" spans="1:13" s="148" customFormat="1" hidden="1" x14ac:dyDescent="0.25">
      <c r="A1133" s="400"/>
      <c r="B1133" s="398"/>
      <c r="C1133" s="398"/>
      <c r="D1133" s="405"/>
      <c r="E1133" s="398"/>
      <c r="F1133" s="395"/>
      <c r="G1133" s="396"/>
      <c r="H1133" s="399"/>
      <c r="I1133" s="395" t="s">
        <v>228</v>
      </c>
      <c r="J1133" s="397" t="s">
        <v>228</v>
      </c>
      <c r="K1133" s="398"/>
      <c r="L1133" s="404"/>
      <c r="M1133" s="400"/>
    </row>
    <row r="1134" spans="1:13" s="148" customFormat="1" hidden="1" x14ac:dyDescent="0.25">
      <c r="A1134" s="400"/>
      <c r="B1134" s="398"/>
      <c r="C1134" s="398"/>
      <c r="D1134" s="405"/>
      <c r="E1134" s="398"/>
      <c r="F1134" s="395"/>
      <c r="G1134" s="396"/>
      <c r="H1134" s="399"/>
      <c r="I1134" s="395" t="s">
        <v>228</v>
      </c>
      <c r="J1134" s="397" t="s">
        <v>228</v>
      </c>
      <c r="K1134" s="398"/>
      <c r="L1134" s="404"/>
      <c r="M1134" s="400"/>
    </row>
    <row r="1135" spans="1:13" s="148" customFormat="1" hidden="1" x14ac:dyDescent="0.25">
      <c r="A1135" s="400"/>
      <c r="B1135" s="398"/>
      <c r="C1135" s="398"/>
      <c r="D1135" s="405"/>
      <c r="E1135" s="398"/>
      <c r="F1135" s="395"/>
      <c r="G1135" s="396"/>
      <c r="H1135" s="399"/>
      <c r="I1135" s="395" t="s">
        <v>228</v>
      </c>
      <c r="J1135" s="397" t="s">
        <v>228</v>
      </c>
      <c r="K1135" s="398"/>
      <c r="L1135" s="404"/>
      <c r="M1135" s="400"/>
    </row>
    <row r="1136" spans="1:13" s="148" customFormat="1" hidden="1" x14ac:dyDescent="0.25">
      <c r="A1136" s="400"/>
      <c r="B1136" s="398"/>
      <c r="C1136" s="398"/>
      <c r="D1136" s="405"/>
      <c r="E1136" s="398"/>
      <c r="F1136" s="395"/>
      <c r="G1136" s="396"/>
      <c r="H1136" s="399"/>
      <c r="I1136" s="395" t="s">
        <v>228</v>
      </c>
      <c r="J1136" s="397" t="s">
        <v>228</v>
      </c>
      <c r="K1136" s="398"/>
      <c r="L1136" s="404"/>
      <c r="M1136" s="400"/>
    </row>
    <row r="1137" spans="1:13" s="148" customFormat="1" hidden="1" x14ac:dyDescent="0.25">
      <c r="A1137" s="400"/>
      <c r="B1137" s="398"/>
      <c r="C1137" s="398"/>
      <c r="D1137" s="405"/>
      <c r="E1137" s="398"/>
      <c r="F1137" s="395"/>
      <c r="G1137" s="396"/>
      <c r="H1137" s="399"/>
      <c r="I1137" s="395" t="s">
        <v>228</v>
      </c>
      <c r="J1137" s="397" t="s">
        <v>228</v>
      </c>
      <c r="K1137" s="398"/>
      <c r="L1137" s="404"/>
      <c r="M1137" s="400"/>
    </row>
    <row r="1138" spans="1:13" s="148" customFormat="1" hidden="1" x14ac:dyDescent="0.25">
      <c r="A1138" s="400"/>
      <c r="B1138" s="398"/>
      <c r="C1138" s="398"/>
      <c r="D1138" s="405"/>
      <c r="E1138" s="398"/>
      <c r="F1138" s="395"/>
      <c r="G1138" s="396"/>
      <c r="H1138" s="399"/>
      <c r="I1138" s="395" t="s">
        <v>228</v>
      </c>
      <c r="J1138" s="397" t="s">
        <v>228</v>
      </c>
      <c r="K1138" s="398"/>
      <c r="L1138" s="404"/>
      <c r="M1138" s="400"/>
    </row>
    <row r="1139" spans="1:13" s="148" customFormat="1" hidden="1" x14ac:dyDescent="0.25">
      <c r="A1139" s="400"/>
      <c r="B1139" s="398"/>
      <c r="C1139" s="398"/>
      <c r="D1139" s="405"/>
      <c r="E1139" s="398"/>
      <c r="F1139" s="395"/>
      <c r="G1139" s="396"/>
      <c r="H1139" s="399"/>
      <c r="I1139" s="395" t="s">
        <v>228</v>
      </c>
      <c r="J1139" s="397" t="s">
        <v>228</v>
      </c>
      <c r="K1139" s="398"/>
      <c r="L1139" s="404"/>
      <c r="M1139" s="400"/>
    </row>
    <row r="1140" spans="1:13" s="148" customFormat="1" hidden="1" x14ac:dyDescent="0.25">
      <c r="A1140" s="400"/>
      <c r="B1140" s="398"/>
      <c r="C1140" s="398"/>
      <c r="D1140" s="405"/>
      <c r="E1140" s="398"/>
      <c r="F1140" s="395"/>
      <c r="G1140" s="396"/>
      <c r="H1140" s="399"/>
      <c r="I1140" s="395" t="s">
        <v>228</v>
      </c>
      <c r="J1140" s="397" t="s">
        <v>228</v>
      </c>
      <c r="K1140" s="398"/>
      <c r="L1140" s="404"/>
      <c r="M1140" s="400"/>
    </row>
    <row r="1141" spans="1:13" s="148" customFormat="1" hidden="1" x14ac:dyDescent="0.25">
      <c r="A1141" s="400"/>
      <c r="B1141" s="398"/>
      <c r="C1141" s="398"/>
      <c r="D1141" s="405"/>
      <c r="E1141" s="398"/>
      <c r="F1141" s="395"/>
      <c r="G1141" s="396"/>
      <c r="H1141" s="399"/>
      <c r="I1141" s="395" t="s">
        <v>228</v>
      </c>
      <c r="J1141" s="397" t="s">
        <v>228</v>
      </c>
      <c r="K1141" s="398"/>
      <c r="L1141" s="404"/>
      <c r="M1141" s="400"/>
    </row>
    <row r="1142" spans="1:13" s="148" customFormat="1" hidden="1" x14ac:dyDescent="0.25">
      <c r="A1142" s="400"/>
      <c r="B1142" s="398"/>
      <c r="C1142" s="398"/>
      <c r="D1142" s="405"/>
      <c r="E1142" s="398"/>
      <c r="F1142" s="395"/>
      <c r="G1142" s="396"/>
      <c r="H1142" s="399"/>
      <c r="I1142" s="395" t="s">
        <v>228</v>
      </c>
      <c r="J1142" s="397" t="s">
        <v>228</v>
      </c>
      <c r="K1142" s="398"/>
      <c r="L1142" s="404"/>
      <c r="M1142" s="400"/>
    </row>
    <row r="1143" spans="1:13" s="148" customFormat="1" hidden="1" x14ac:dyDescent="0.25">
      <c r="A1143" s="400"/>
      <c r="B1143" s="398"/>
      <c r="C1143" s="398"/>
      <c r="D1143" s="405"/>
      <c r="E1143" s="398"/>
      <c r="F1143" s="395"/>
      <c r="G1143" s="396"/>
      <c r="H1143" s="399"/>
      <c r="I1143" s="395" t="s">
        <v>228</v>
      </c>
      <c r="J1143" s="397" t="s">
        <v>228</v>
      </c>
      <c r="K1143" s="398"/>
      <c r="L1143" s="404"/>
      <c r="M1143" s="400"/>
    </row>
    <row r="1144" spans="1:13" s="148" customFormat="1" hidden="1" x14ac:dyDescent="0.25">
      <c r="A1144" s="400"/>
      <c r="B1144" s="398"/>
      <c r="C1144" s="398"/>
      <c r="D1144" s="405"/>
      <c r="E1144" s="398"/>
      <c r="F1144" s="395"/>
      <c r="G1144" s="396"/>
      <c r="H1144" s="399"/>
      <c r="I1144" s="395" t="s">
        <v>228</v>
      </c>
      <c r="J1144" s="397" t="s">
        <v>228</v>
      </c>
      <c r="K1144" s="398"/>
      <c r="L1144" s="404"/>
      <c r="M1144" s="400"/>
    </row>
    <row r="1145" spans="1:13" s="148" customFormat="1" hidden="1" x14ac:dyDescent="0.25">
      <c r="A1145" s="400"/>
      <c r="B1145" s="398"/>
      <c r="C1145" s="398"/>
      <c r="D1145" s="405"/>
      <c r="E1145" s="398"/>
      <c r="F1145" s="395"/>
      <c r="G1145" s="396"/>
      <c r="H1145" s="399"/>
      <c r="I1145" s="395" t="s">
        <v>228</v>
      </c>
      <c r="J1145" s="397" t="s">
        <v>228</v>
      </c>
      <c r="K1145" s="398"/>
      <c r="L1145" s="404"/>
      <c r="M1145" s="400"/>
    </row>
    <row r="1146" spans="1:13" s="148" customFormat="1" hidden="1" x14ac:dyDescent="0.25">
      <c r="A1146" s="400"/>
      <c r="B1146" s="398"/>
      <c r="C1146" s="398"/>
      <c r="D1146" s="405"/>
      <c r="E1146" s="398"/>
      <c r="F1146" s="395"/>
      <c r="G1146" s="396"/>
      <c r="H1146" s="399"/>
      <c r="I1146" s="395" t="s">
        <v>228</v>
      </c>
      <c r="J1146" s="397" t="s">
        <v>228</v>
      </c>
      <c r="K1146" s="398"/>
      <c r="L1146" s="404"/>
      <c r="M1146" s="400"/>
    </row>
    <row r="1147" spans="1:13" s="148" customFormat="1" hidden="1" x14ac:dyDescent="0.25">
      <c r="A1147" s="400"/>
      <c r="B1147" s="398"/>
      <c r="C1147" s="398"/>
      <c r="D1147" s="405"/>
      <c r="E1147" s="398"/>
      <c r="F1147" s="395"/>
      <c r="G1147" s="396"/>
      <c r="H1147" s="399"/>
      <c r="I1147" s="395" t="s">
        <v>228</v>
      </c>
      <c r="J1147" s="397" t="s">
        <v>228</v>
      </c>
      <c r="K1147" s="398"/>
      <c r="L1147" s="404"/>
      <c r="M1147" s="400"/>
    </row>
    <row r="1148" spans="1:13" s="148" customFormat="1" hidden="1" x14ac:dyDescent="0.25">
      <c r="A1148" s="400"/>
      <c r="B1148" s="398"/>
      <c r="C1148" s="398"/>
      <c r="D1148" s="405"/>
      <c r="E1148" s="398"/>
      <c r="F1148" s="395"/>
      <c r="G1148" s="396"/>
      <c r="H1148" s="399"/>
      <c r="I1148" s="395" t="s">
        <v>228</v>
      </c>
      <c r="J1148" s="397" t="s">
        <v>228</v>
      </c>
      <c r="K1148" s="398"/>
      <c r="L1148" s="404"/>
      <c r="M1148" s="400"/>
    </row>
    <row r="1149" spans="1:13" s="148" customFormat="1" hidden="1" x14ac:dyDescent="0.25">
      <c r="A1149" s="400"/>
      <c r="B1149" s="398"/>
      <c r="C1149" s="398"/>
      <c r="D1149" s="405"/>
      <c r="E1149" s="398"/>
      <c r="F1149" s="395"/>
      <c r="G1149" s="396"/>
      <c r="H1149" s="399"/>
      <c r="I1149" s="395" t="s">
        <v>228</v>
      </c>
      <c r="J1149" s="397" t="s">
        <v>228</v>
      </c>
      <c r="K1149" s="398"/>
      <c r="L1149" s="404"/>
      <c r="M1149" s="400"/>
    </row>
    <row r="1150" spans="1:13" s="148" customFormat="1" hidden="1" x14ac:dyDescent="0.25">
      <c r="A1150" s="400"/>
      <c r="B1150" s="398"/>
      <c r="C1150" s="398"/>
      <c r="D1150" s="405"/>
      <c r="E1150" s="398"/>
      <c r="F1150" s="395"/>
      <c r="G1150" s="396"/>
      <c r="H1150" s="399"/>
      <c r="I1150" s="395" t="s">
        <v>228</v>
      </c>
      <c r="J1150" s="397" t="s">
        <v>228</v>
      </c>
      <c r="K1150" s="398"/>
      <c r="L1150" s="404"/>
      <c r="M1150" s="400"/>
    </row>
    <row r="1151" spans="1:13" s="148" customFormat="1" hidden="1" x14ac:dyDescent="0.25">
      <c r="A1151" s="400"/>
      <c r="B1151" s="398"/>
      <c r="C1151" s="398"/>
      <c r="D1151" s="405"/>
      <c r="E1151" s="398"/>
      <c r="F1151" s="395"/>
      <c r="G1151" s="396"/>
      <c r="H1151" s="399"/>
      <c r="I1151" s="395" t="s">
        <v>228</v>
      </c>
      <c r="J1151" s="397" t="s">
        <v>228</v>
      </c>
      <c r="K1151" s="398"/>
      <c r="L1151" s="404"/>
      <c r="M1151" s="400"/>
    </row>
    <row r="1152" spans="1:13" s="148" customFormat="1" hidden="1" x14ac:dyDescent="0.25">
      <c r="A1152" s="400"/>
      <c r="B1152" s="398"/>
      <c r="C1152" s="398"/>
      <c r="D1152" s="405"/>
      <c r="E1152" s="398"/>
      <c r="F1152" s="395"/>
      <c r="G1152" s="396"/>
      <c r="H1152" s="399"/>
      <c r="I1152" s="395" t="s">
        <v>228</v>
      </c>
      <c r="J1152" s="397" t="s">
        <v>228</v>
      </c>
      <c r="K1152" s="398"/>
      <c r="L1152" s="404"/>
      <c r="M1152" s="400"/>
    </row>
    <row r="1153" spans="1:13" s="148" customFormat="1" hidden="1" x14ac:dyDescent="0.25">
      <c r="A1153" s="400"/>
      <c r="B1153" s="398"/>
      <c r="C1153" s="398"/>
      <c r="D1153" s="405"/>
      <c r="E1153" s="398"/>
      <c r="F1153" s="395"/>
      <c r="G1153" s="396"/>
      <c r="H1153" s="399"/>
      <c r="I1153" s="395" t="s">
        <v>228</v>
      </c>
      <c r="J1153" s="397" t="s">
        <v>228</v>
      </c>
      <c r="K1153" s="398"/>
      <c r="L1153" s="404"/>
      <c r="M1153" s="400"/>
    </row>
    <row r="1154" spans="1:13" s="148" customFormat="1" hidden="1" x14ac:dyDescent="0.25">
      <c r="A1154" s="400"/>
      <c r="B1154" s="398"/>
      <c r="C1154" s="398"/>
      <c r="D1154" s="405"/>
      <c r="E1154" s="398"/>
      <c r="F1154" s="395"/>
      <c r="G1154" s="396"/>
      <c r="H1154" s="399"/>
      <c r="I1154" s="395" t="s">
        <v>228</v>
      </c>
      <c r="J1154" s="397" t="s">
        <v>228</v>
      </c>
      <c r="K1154" s="398"/>
      <c r="L1154" s="404"/>
      <c r="M1154" s="400"/>
    </row>
    <row r="1155" spans="1:13" s="148" customFormat="1" hidden="1" x14ac:dyDescent="0.25">
      <c r="A1155" s="400"/>
      <c r="B1155" s="398"/>
      <c r="C1155" s="398"/>
      <c r="D1155" s="405"/>
      <c r="E1155" s="398"/>
      <c r="F1155" s="395"/>
      <c r="G1155" s="396"/>
      <c r="H1155" s="399"/>
      <c r="I1155" s="395" t="s">
        <v>228</v>
      </c>
      <c r="J1155" s="397" t="s">
        <v>228</v>
      </c>
      <c r="K1155" s="398"/>
      <c r="L1155" s="404"/>
      <c r="M1155" s="400"/>
    </row>
    <row r="1156" spans="1:13" s="148" customFormat="1" hidden="1" x14ac:dyDescent="0.25">
      <c r="A1156" s="400"/>
      <c r="B1156" s="398"/>
      <c r="C1156" s="398"/>
      <c r="D1156" s="405"/>
      <c r="E1156" s="398"/>
      <c r="F1156" s="395"/>
      <c r="G1156" s="396"/>
      <c r="H1156" s="399"/>
      <c r="I1156" s="395" t="s">
        <v>228</v>
      </c>
      <c r="J1156" s="397" t="s">
        <v>228</v>
      </c>
      <c r="K1156" s="398"/>
      <c r="L1156" s="404"/>
      <c r="M1156" s="400"/>
    </row>
    <row r="1157" spans="1:13" s="148" customFormat="1" hidden="1" x14ac:dyDescent="0.25">
      <c r="A1157" s="400"/>
      <c r="B1157" s="398"/>
      <c r="C1157" s="398"/>
      <c r="D1157" s="405"/>
      <c r="E1157" s="398"/>
      <c r="F1157" s="395"/>
      <c r="G1157" s="396"/>
      <c r="H1157" s="399"/>
      <c r="I1157" s="395" t="s">
        <v>228</v>
      </c>
      <c r="J1157" s="397" t="s">
        <v>228</v>
      </c>
      <c r="K1157" s="398"/>
      <c r="L1157" s="404"/>
      <c r="M1157" s="400"/>
    </row>
    <row r="1158" spans="1:13" s="148" customFormat="1" hidden="1" x14ac:dyDescent="0.25">
      <c r="A1158" s="400"/>
      <c r="B1158" s="398"/>
      <c r="C1158" s="398"/>
      <c r="D1158" s="405"/>
      <c r="E1158" s="398"/>
      <c r="F1158" s="395"/>
      <c r="G1158" s="396"/>
      <c r="H1158" s="399"/>
      <c r="I1158" s="395" t="s">
        <v>228</v>
      </c>
      <c r="J1158" s="397" t="s">
        <v>228</v>
      </c>
      <c r="K1158" s="398"/>
      <c r="L1158" s="404"/>
      <c r="M1158" s="400"/>
    </row>
    <row r="1159" spans="1:13" s="148" customFormat="1" hidden="1" x14ac:dyDescent="0.25">
      <c r="A1159" s="400"/>
      <c r="B1159" s="398"/>
      <c r="C1159" s="398"/>
      <c r="D1159" s="405"/>
      <c r="E1159" s="398"/>
      <c r="F1159" s="395"/>
      <c r="G1159" s="396"/>
      <c r="H1159" s="399"/>
      <c r="I1159" s="395" t="s">
        <v>228</v>
      </c>
      <c r="J1159" s="397" t="s">
        <v>228</v>
      </c>
      <c r="K1159" s="398"/>
      <c r="L1159" s="404"/>
      <c r="M1159" s="400"/>
    </row>
    <row r="1160" spans="1:13" s="148" customFormat="1" hidden="1" x14ac:dyDescent="0.25">
      <c r="A1160" s="400"/>
      <c r="B1160" s="398"/>
      <c r="C1160" s="398"/>
      <c r="D1160" s="405"/>
      <c r="E1160" s="398"/>
      <c r="F1160" s="395"/>
      <c r="G1160" s="396"/>
      <c r="H1160" s="399"/>
      <c r="I1160" s="395" t="s">
        <v>228</v>
      </c>
      <c r="J1160" s="397" t="s">
        <v>228</v>
      </c>
      <c r="K1160" s="398"/>
      <c r="L1160" s="404"/>
      <c r="M1160" s="400"/>
    </row>
    <row r="1161" spans="1:13" s="148" customFormat="1" hidden="1" x14ac:dyDescent="0.25">
      <c r="A1161" s="400"/>
      <c r="B1161" s="398"/>
      <c r="C1161" s="398"/>
      <c r="D1161" s="405"/>
      <c r="E1161" s="398"/>
      <c r="F1161" s="395"/>
      <c r="G1161" s="396"/>
      <c r="H1161" s="399"/>
      <c r="I1161" s="395" t="s">
        <v>228</v>
      </c>
      <c r="J1161" s="397" t="s">
        <v>228</v>
      </c>
      <c r="K1161" s="398"/>
      <c r="L1161" s="404"/>
      <c r="M1161" s="400"/>
    </row>
    <row r="1162" spans="1:13" s="148" customFormat="1" hidden="1" x14ac:dyDescent="0.25">
      <c r="A1162" s="400"/>
      <c r="B1162" s="398"/>
      <c r="C1162" s="398"/>
      <c r="D1162" s="405"/>
      <c r="E1162" s="398"/>
      <c r="F1162" s="395"/>
      <c r="G1162" s="396"/>
      <c r="H1162" s="399"/>
      <c r="I1162" s="395" t="s">
        <v>228</v>
      </c>
      <c r="J1162" s="397" t="s">
        <v>228</v>
      </c>
      <c r="K1162" s="398"/>
      <c r="L1162" s="404"/>
      <c r="M1162" s="400"/>
    </row>
    <row r="1163" spans="1:13" s="148" customFormat="1" hidden="1" x14ac:dyDescent="0.25">
      <c r="A1163" s="400"/>
      <c r="B1163" s="398"/>
      <c r="C1163" s="398"/>
      <c r="D1163" s="405"/>
      <c r="E1163" s="398"/>
      <c r="F1163" s="395"/>
      <c r="G1163" s="396"/>
      <c r="H1163" s="399"/>
      <c r="I1163" s="395" t="s">
        <v>228</v>
      </c>
      <c r="J1163" s="397" t="s">
        <v>228</v>
      </c>
      <c r="K1163" s="398"/>
      <c r="L1163" s="404"/>
      <c r="M1163" s="400"/>
    </row>
    <row r="1164" spans="1:13" s="148" customFormat="1" hidden="1" x14ac:dyDescent="0.25">
      <c r="A1164" s="400"/>
      <c r="B1164" s="398"/>
      <c r="C1164" s="398"/>
      <c r="D1164" s="405"/>
      <c r="E1164" s="398"/>
      <c r="F1164" s="395"/>
      <c r="G1164" s="396"/>
      <c r="H1164" s="399"/>
      <c r="I1164" s="395" t="s">
        <v>228</v>
      </c>
      <c r="J1164" s="397" t="s">
        <v>228</v>
      </c>
      <c r="K1164" s="398"/>
      <c r="L1164" s="404"/>
      <c r="M1164" s="400"/>
    </row>
    <row r="1165" spans="1:13" s="148" customFormat="1" hidden="1" x14ac:dyDescent="0.25">
      <c r="A1165" s="400"/>
      <c r="B1165" s="398"/>
      <c r="C1165" s="398"/>
      <c r="D1165" s="405"/>
      <c r="E1165" s="398"/>
      <c r="F1165" s="395"/>
      <c r="G1165" s="396"/>
      <c r="H1165" s="399"/>
      <c r="I1165" s="395" t="s">
        <v>228</v>
      </c>
      <c r="J1165" s="397" t="s">
        <v>228</v>
      </c>
      <c r="K1165" s="398"/>
      <c r="L1165" s="404"/>
      <c r="M1165" s="400"/>
    </row>
    <row r="1166" spans="1:13" s="148" customFormat="1" hidden="1" x14ac:dyDescent="0.25">
      <c r="A1166" s="400"/>
      <c r="B1166" s="398"/>
      <c r="C1166" s="398"/>
      <c r="D1166" s="405"/>
      <c r="E1166" s="398"/>
      <c r="F1166" s="395"/>
      <c r="G1166" s="396"/>
      <c r="H1166" s="399"/>
      <c r="I1166" s="395" t="s">
        <v>228</v>
      </c>
      <c r="J1166" s="397" t="s">
        <v>228</v>
      </c>
      <c r="K1166" s="398"/>
      <c r="L1166" s="404"/>
      <c r="M1166" s="400"/>
    </row>
    <row r="1167" spans="1:13" s="148" customFormat="1" hidden="1" x14ac:dyDescent="0.25">
      <c r="A1167" s="400"/>
      <c r="B1167" s="398"/>
      <c r="C1167" s="398"/>
      <c r="D1167" s="405"/>
      <c r="E1167" s="398"/>
      <c r="F1167" s="395"/>
      <c r="G1167" s="396"/>
      <c r="H1167" s="399"/>
      <c r="I1167" s="395" t="s">
        <v>228</v>
      </c>
      <c r="J1167" s="397" t="s">
        <v>228</v>
      </c>
      <c r="K1167" s="398"/>
      <c r="L1167" s="404"/>
      <c r="M1167" s="400"/>
    </row>
    <row r="1168" spans="1:13" s="148" customFormat="1" hidden="1" x14ac:dyDescent="0.25">
      <c r="A1168" s="400"/>
      <c r="B1168" s="398"/>
      <c r="C1168" s="398"/>
      <c r="D1168" s="405"/>
      <c r="E1168" s="398"/>
      <c r="F1168" s="395"/>
      <c r="G1168" s="396"/>
      <c r="H1168" s="399"/>
      <c r="I1168" s="395" t="s">
        <v>228</v>
      </c>
      <c r="J1168" s="397" t="s">
        <v>228</v>
      </c>
      <c r="K1168" s="398"/>
      <c r="L1168" s="404"/>
      <c r="M1168" s="400"/>
    </row>
    <row r="1169" spans="1:13" s="148" customFormat="1" hidden="1" x14ac:dyDescent="0.25">
      <c r="A1169" s="400"/>
      <c r="B1169" s="398"/>
      <c r="C1169" s="398"/>
      <c r="D1169" s="405"/>
      <c r="E1169" s="398"/>
      <c r="F1169" s="395"/>
      <c r="G1169" s="396"/>
      <c r="H1169" s="399"/>
      <c r="I1169" s="395" t="s">
        <v>228</v>
      </c>
      <c r="J1169" s="397" t="s">
        <v>228</v>
      </c>
      <c r="K1169" s="398"/>
      <c r="L1169" s="404"/>
      <c r="M1169" s="400"/>
    </row>
    <row r="1170" spans="1:13" s="148" customFormat="1" hidden="1" x14ac:dyDescent="0.25">
      <c r="A1170" s="400"/>
      <c r="B1170" s="398"/>
      <c r="C1170" s="398"/>
      <c r="D1170" s="405"/>
      <c r="E1170" s="398"/>
      <c r="F1170" s="395"/>
      <c r="G1170" s="396"/>
      <c r="H1170" s="399"/>
      <c r="I1170" s="395" t="s">
        <v>228</v>
      </c>
      <c r="J1170" s="397" t="s">
        <v>228</v>
      </c>
      <c r="K1170" s="398"/>
      <c r="L1170" s="404"/>
      <c r="M1170" s="400"/>
    </row>
    <row r="1171" spans="1:13" s="148" customFormat="1" hidden="1" x14ac:dyDescent="0.25">
      <c r="A1171" s="400"/>
      <c r="B1171" s="398"/>
      <c r="C1171" s="398"/>
      <c r="D1171" s="405"/>
      <c r="E1171" s="398"/>
      <c r="F1171" s="395"/>
      <c r="G1171" s="396"/>
      <c r="H1171" s="399"/>
      <c r="I1171" s="395" t="s">
        <v>228</v>
      </c>
      <c r="J1171" s="397" t="s">
        <v>228</v>
      </c>
      <c r="K1171" s="398"/>
      <c r="L1171" s="404"/>
      <c r="M1171" s="400"/>
    </row>
    <row r="1172" spans="1:13" s="148" customFormat="1" hidden="1" x14ac:dyDescent="0.25">
      <c r="A1172" s="400"/>
      <c r="B1172" s="398"/>
      <c r="C1172" s="398"/>
      <c r="D1172" s="405"/>
      <c r="E1172" s="398"/>
      <c r="F1172" s="395"/>
      <c r="G1172" s="396"/>
      <c r="H1172" s="399"/>
      <c r="I1172" s="395" t="s">
        <v>228</v>
      </c>
      <c r="J1172" s="397" t="s">
        <v>228</v>
      </c>
      <c r="K1172" s="398"/>
      <c r="L1172" s="404"/>
      <c r="M1172" s="400"/>
    </row>
    <row r="1173" spans="1:13" s="148" customFormat="1" hidden="1" x14ac:dyDescent="0.25">
      <c r="A1173" s="400"/>
      <c r="B1173" s="398"/>
      <c r="C1173" s="398"/>
      <c r="D1173" s="405"/>
      <c r="E1173" s="398"/>
      <c r="F1173" s="395"/>
      <c r="G1173" s="396"/>
      <c r="H1173" s="399"/>
      <c r="I1173" s="395" t="s">
        <v>228</v>
      </c>
      <c r="J1173" s="397" t="s">
        <v>228</v>
      </c>
      <c r="K1173" s="398"/>
      <c r="L1173" s="404"/>
      <c r="M1173" s="400"/>
    </row>
    <row r="1174" spans="1:13" s="148" customFormat="1" hidden="1" x14ac:dyDescent="0.25">
      <c r="A1174" s="400"/>
      <c r="B1174" s="398"/>
      <c r="C1174" s="398"/>
      <c r="D1174" s="405"/>
      <c r="E1174" s="398"/>
      <c r="F1174" s="395"/>
      <c r="G1174" s="396"/>
      <c r="H1174" s="399"/>
      <c r="I1174" s="395" t="s">
        <v>228</v>
      </c>
      <c r="J1174" s="397" t="s">
        <v>228</v>
      </c>
      <c r="K1174" s="398"/>
      <c r="L1174" s="404"/>
      <c r="M1174" s="400"/>
    </row>
    <row r="1175" spans="1:13" s="148" customFormat="1" hidden="1" x14ac:dyDescent="0.25">
      <c r="A1175" s="400"/>
      <c r="B1175" s="398"/>
      <c r="C1175" s="398"/>
      <c r="D1175" s="405"/>
      <c r="E1175" s="398"/>
      <c r="F1175" s="395"/>
      <c r="G1175" s="396"/>
      <c r="H1175" s="399"/>
      <c r="I1175" s="395" t="s">
        <v>228</v>
      </c>
      <c r="J1175" s="397" t="s">
        <v>228</v>
      </c>
      <c r="K1175" s="398"/>
      <c r="L1175" s="404"/>
      <c r="M1175" s="400"/>
    </row>
    <row r="1176" spans="1:13" s="148" customFormat="1" hidden="1" x14ac:dyDescent="0.25">
      <c r="A1176" s="400"/>
      <c r="B1176" s="398"/>
      <c r="C1176" s="398"/>
      <c r="D1176" s="405"/>
      <c r="E1176" s="398"/>
      <c r="F1176" s="395"/>
      <c r="G1176" s="396"/>
      <c r="H1176" s="399"/>
      <c r="I1176" s="395" t="s">
        <v>228</v>
      </c>
      <c r="J1176" s="397" t="s">
        <v>228</v>
      </c>
      <c r="K1176" s="398"/>
      <c r="L1176" s="404"/>
      <c r="M1176" s="400"/>
    </row>
    <row r="1177" spans="1:13" s="148" customFormat="1" hidden="1" x14ac:dyDescent="0.25">
      <c r="A1177" s="400"/>
      <c r="B1177" s="398"/>
      <c r="C1177" s="398"/>
      <c r="D1177" s="405"/>
      <c r="E1177" s="398"/>
      <c r="F1177" s="395"/>
      <c r="G1177" s="396"/>
      <c r="H1177" s="399"/>
      <c r="I1177" s="395" t="s">
        <v>228</v>
      </c>
      <c r="J1177" s="397" t="s">
        <v>228</v>
      </c>
      <c r="K1177" s="398"/>
      <c r="L1177" s="404"/>
      <c r="M1177" s="400"/>
    </row>
    <row r="1178" spans="1:13" s="148" customFormat="1" hidden="1" x14ac:dyDescent="0.25">
      <c r="A1178" s="400"/>
      <c r="B1178" s="398"/>
      <c r="C1178" s="398"/>
      <c r="D1178" s="405"/>
      <c r="E1178" s="398"/>
      <c r="F1178" s="395"/>
      <c r="G1178" s="396"/>
      <c r="H1178" s="399"/>
      <c r="I1178" s="395" t="s">
        <v>228</v>
      </c>
      <c r="J1178" s="397" t="s">
        <v>228</v>
      </c>
      <c r="K1178" s="398"/>
      <c r="L1178" s="404"/>
      <c r="M1178" s="400"/>
    </row>
    <row r="1179" spans="1:13" s="148" customFormat="1" hidden="1" x14ac:dyDescent="0.25">
      <c r="A1179" s="400"/>
      <c r="B1179" s="398"/>
      <c r="C1179" s="398"/>
      <c r="D1179" s="405"/>
      <c r="E1179" s="398"/>
      <c r="F1179" s="395"/>
      <c r="G1179" s="396"/>
      <c r="H1179" s="399"/>
      <c r="I1179" s="395" t="s">
        <v>228</v>
      </c>
      <c r="J1179" s="397" t="s">
        <v>228</v>
      </c>
      <c r="K1179" s="398"/>
      <c r="L1179" s="404"/>
      <c r="M1179" s="400"/>
    </row>
    <row r="1180" spans="1:13" s="148" customFormat="1" hidden="1" x14ac:dyDescent="0.25">
      <c r="A1180" s="400"/>
      <c r="B1180" s="398"/>
      <c r="C1180" s="398"/>
      <c r="D1180" s="405"/>
      <c r="E1180" s="398"/>
      <c r="F1180" s="395"/>
      <c r="G1180" s="396"/>
      <c r="H1180" s="399"/>
      <c r="I1180" s="395" t="s">
        <v>228</v>
      </c>
      <c r="J1180" s="397" t="s">
        <v>228</v>
      </c>
      <c r="K1180" s="398"/>
      <c r="L1180" s="404"/>
      <c r="M1180" s="400"/>
    </row>
    <row r="1181" spans="1:13" s="148" customFormat="1" hidden="1" x14ac:dyDescent="0.25">
      <c r="A1181" s="400"/>
      <c r="B1181" s="398"/>
      <c r="C1181" s="398"/>
      <c r="D1181" s="405"/>
      <c r="E1181" s="398"/>
      <c r="F1181" s="395"/>
      <c r="G1181" s="396"/>
      <c r="H1181" s="399"/>
      <c r="I1181" s="395" t="s">
        <v>228</v>
      </c>
      <c r="J1181" s="397" t="s">
        <v>228</v>
      </c>
      <c r="K1181" s="398"/>
      <c r="L1181" s="404"/>
      <c r="M1181" s="400"/>
    </row>
    <row r="1182" spans="1:13" s="148" customFormat="1" hidden="1" x14ac:dyDescent="0.25">
      <c r="A1182" s="400"/>
      <c r="B1182" s="398"/>
      <c r="C1182" s="398"/>
      <c r="D1182" s="405"/>
      <c r="E1182" s="398"/>
      <c r="F1182" s="395"/>
      <c r="G1182" s="396"/>
      <c r="H1182" s="399"/>
      <c r="I1182" s="395" t="s">
        <v>228</v>
      </c>
      <c r="J1182" s="397" t="s">
        <v>228</v>
      </c>
      <c r="K1182" s="398"/>
      <c r="L1182" s="404"/>
      <c r="M1182" s="400"/>
    </row>
    <row r="1183" spans="1:13" s="148" customFormat="1" hidden="1" x14ac:dyDescent="0.25">
      <c r="A1183" s="400"/>
      <c r="B1183" s="398"/>
      <c r="C1183" s="398"/>
      <c r="D1183" s="405"/>
      <c r="E1183" s="398"/>
      <c r="F1183" s="395"/>
      <c r="G1183" s="396"/>
      <c r="H1183" s="399"/>
      <c r="I1183" s="395" t="s">
        <v>228</v>
      </c>
      <c r="J1183" s="397" t="s">
        <v>228</v>
      </c>
      <c r="K1183" s="398"/>
      <c r="L1183" s="404"/>
      <c r="M1183" s="400"/>
    </row>
    <row r="1184" spans="1:13" s="148" customFormat="1" hidden="1" x14ac:dyDescent="0.25">
      <c r="A1184" s="400"/>
      <c r="B1184" s="398"/>
      <c r="C1184" s="398"/>
      <c r="D1184" s="405"/>
      <c r="E1184" s="398"/>
      <c r="F1184" s="395"/>
      <c r="G1184" s="396"/>
      <c r="H1184" s="399"/>
      <c r="I1184" s="395" t="s">
        <v>228</v>
      </c>
      <c r="J1184" s="397" t="s">
        <v>228</v>
      </c>
      <c r="K1184" s="398"/>
      <c r="L1184" s="404"/>
      <c r="M1184" s="400"/>
    </row>
    <row r="1185" spans="1:13" s="148" customFormat="1" hidden="1" x14ac:dyDescent="0.25">
      <c r="A1185" s="400"/>
      <c r="B1185" s="398"/>
      <c r="C1185" s="398"/>
      <c r="D1185" s="405"/>
      <c r="E1185" s="398"/>
      <c r="F1185" s="395"/>
      <c r="G1185" s="396"/>
      <c r="H1185" s="399"/>
      <c r="I1185" s="395" t="s">
        <v>228</v>
      </c>
      <c r="J1185" s="397" t="s">
        <v>228</v>
      </c>
      <c r="K1185" s="398"/>
      <c r="L1185" s="404"/>
      <c r="M1185" s="400"/>
    </row>
    <row r="1186" spans="1:13" s="148" customFormat="1" hidden="1" x14ac:dyDescent="0.25">
      <c r="A1186" s="400"/>
      <c r="B1186" s="398"/>
      <c r="C1186" s="398"/>
      <c r="D1186" s="405"/>
      <c r="E1186" s="398"/>
      <c r="F1186" s="395"/>
      <c r="G1186" s="396"/>
      <c r="H1186" s="399"/>
      <c r="I1186" s="395" t="s">
        <v>228</v>
      </c>
      <c r="J1186" s="397" t="s">
        <v>228</v>
      </c>
      <c r="K1186" s="398"/>
      <c r="L1186" s="404"/>
      <c r="M1186" s="400"/>
    </row>
    <row r="1187" spans="1:13" s="148" customFormat="1" hidden="1" x14ac:dyDescent="0.25">
      <c r="A1187" s="400"/>
      <c r="B1187" s="398"/>
      <c r="C1187" s="398"/>
      <c r="D1187" s="405"/>
      <c r="E1187" s="398"/>
      <c r="F1187" s="395"/>
      <c r="G1187" s="396"/>
      <c r="H1187" s="399"/>
      <c r="I1187" s="395" t="s">
        <v>228</v>
      </c>
      <c r="J1187" s="397" t="s">
        <v>228</v>
      </c>
      <c r="K1187" s="398"/>
      <c r="L1187" s="404"/>
      <c r="M1187" s="400"/>
    </row>
    <row r="1188" spans="1:13" s="148" customFormat="1" hidden="1" x14ac:dyDescent="0.25">
      <c r="A1188" s="400"/>
      <c r="B1188" s="398"/>
      <c r="C1188" s="398"/>
      <c r="D1188" s="405"/>
      <c r="E1188" s="398"/>
      <c r="F1188" s="395"/>
      <c r="G1188" s="396"/>
      <c r="H1188" s="399"/>
      <c r="I1188" s="395" t="s">
        <v>228</v>
      </c>
      <c r="J1188" s="397" t="s">
        <v>228</v>
      </c>
      <c r="K1188" s="398"/>
      <c r="L1188" s="404"/>
      <c r="M1188" s="400"/>
    </row>
    <row r="1189" spans="1:13" s="148" customFormat="1" hidden="1" x14ac:dyDescent="0.25">
      <c r="A1189" s="400"/>
      <c r="B1189" s="398"/>
      <c r="C1189" s="398"/>
      <c r="D1189" s="405"/>
      <c r="E1189" s="398"/>
      <c r="F1189" s="395"/>
      <c r="G1189" s="396"/>
      <c r="H1189" s="399"/>
      <c r="I1189" s="395" t="s">
        <v>228</v>
      </c>
      <c r="J1189" s="397" t="s">
        <v>228</v>
      </c>
      <c r="K1189" s="398"/>
      <c r="L1189" s="404"/>
      <c r="M1189" s="400"/>
    </row>
    <row r="1190" spans="1:13" s="148" customFormat="1" hidden="1" x14ac:dyDescent="0.25">
      <c r="A1190" s="400"/>
      <c r="B1190" s="398"/>
      <c r="C1190" s="398"/>
      <c r="D1190" s="405"/>
      <c r="E1190" s="398"/>
      <c r="F1190" s="395"/>
      <c r="G1190" s="396"/>
      <c r="H1190" s="399"/>
      <c r="I1190" s="395" t="s">
        <v>228</v>
      </c>
      <c r="J1190" s="397" t="s">
        <v>228</v>
      </c>
      <c r="K1190" s="398"/>
      <c r="L1190" s="404"/>
      <c r="M1190" s="400"/>
    </row>
    <row r="1191" spans="1:13" s="148" customFormat="1" hidden="1" x14ac:dyDescent="0.25">
      <c r="A1191" s="400"/>
      <c r="B1191" s="398"/>
      <c r="C1191" s="398"/>
      <c r="D1191" s="405"/>
      <c r="E1191" s="398"/>
      <c r="F1191" s="395"/>
      <c r="G1191" s="396"/>
      <c r="H1191" s="399"/>
      <c r="I1191" s="395" t="s">
        <v>228</v>
      </c>
      <c r="J1191" s="397" t="s">
        <v>228</v>
      </c>
      <c r="K1191" s="398"/>
      <c r="L1191" s="404"/>
      <c r="M1191" s="400"/>
    </row>
    <row r="1192" spans="1:13" s="148" customFormat="1" hidden="1" x14ac:dyDescent="0.25">
      <c r="A1192" s="400"/>
      <c r="B1192" s="398"/>
      <c r="C1192" s="398"/>
      <c r="D1192" s="405"/>
      <c r="E1192" s="398"/>
      <c r="F1192" s="395"/>
      <c r="G1192" s="396"/>
      <c r="H1192" s="399"/>
      <c r="I1192" s="395" t="s">
        <v>228</v>
      </c>
      <c r="J1192" s="397" t="s">
        <v>228</v>
      </c>
      <c r="K1192" s="398"/>
      <c r="L1192" s="404"/>
      <c r="M1192" s="400"/>
    </row>
    <row r="1193" spans="1:13" s="148" customFormat="1" hidden="1" x14ac:dyDescent="0.25">
      <c r="A1193" s="400"/>
      <c r="B1193" s="398"/>
      <c r="C1193" s="398"/>
      <c r="D1193" s="405"/>
      <c r="E1193" s="398"/>
      <c r="F1193" s="395"/>
      <c r="G1193" s="396"/>
      <c r="H1193" s="399"/>
      <c r="I1193" s="395" t="s">
        <v>228</v>
      </c>
      <c r="J1193" s="397" t="s">
        <v>228</v>
      </c>
      <c r="K1193" s="398"/>
      <c r="L1193" s="404"/>
      <c r="M1193" s="400"/>
    </row>
    <row r="1194" spans="1:13" s="148" customFormat="1" hidden="1" x14ac:dyDescent="0.25">
      <c r="A1194" s="400"/>
      <c r="B1194" s="398"/>
      <c r="C1194" s="398"/>
      <c r="D1194" s="405"/>
      <c r="E1194" s="398"/>
      <c r="F1194" s="395"/>
      <c r="G1194" s="396"/>
      <c r="H1194" s="399"/>
      <c r="I1194" s="395" t="s">
        <v>228</v>
      </c>
      <c r="J1194" s="397" t="s">
        <v>228</v>
      </c>
      <c r="K1194" s="398"/>
      <c r="L1194" s="404"/>
      <c r="M1194" s="400"/>
    </row>
    <row r="1195" spans="1:13" s="148" customFormat="1" hidden="1" x14ac:dyDescent="0.25">
      <c r="A1195" s="400"/>
      <c r="B1195" s="398"/>
      <c r="C1195" s="398"/>
      <c r="D1195" s="405"/>
      <c r="E1195" s="398"/>
      <c r="F1195" s="395"/>
      <c r="G1195" s="396"/>
      <c r="H1195" s="399"/>
      <c r="I1195" s="395" t="s">
        <v>228</v>
      </c>
      <c r="J1195" s="397" t="s">
        <v>228</v>
      </c>
      <c r="K1195" s="398"/>
      <c r="L1195" s="404"/>
      <c r="M1195" s="400"/>
    </row>
    <row r="1196" spans="1:13" s="148" customFormat="1" hidden="1" x14ac:dyDescent="0.25">
      <c r="A1196" s="400"/>
      <c r="B1196" s="398"/>
      <c r="C1196" s="398"/>
      <c r="D1196" s="405"/>
      <c r="E1196" s="398"/>
      <c r="F1196" s="395"/>
      <c r="G1196" s="396"/>
      <c r="H1196" s="399"/>
      <c r="I1196" s="395" t="s">
        <v>228</v>
      </c>
      <c r="J1196" s="397" t="s">
        <v>228</v>
      </c>
      <c r="K1196" s="398"/>
      <c r="L1196" s="404"/>
      <c r="M1196" s="400"/>
    </row>
    <row r="1197" spans="1:13" s="148" customFormat="1" hidden="1" x14ac:dyDescent="0.25">
      <c r="A1197" s="400"/>
      <c r="B1197" s="398"/>
      <c r="C1197" s="398"/>
      <c r="D1197" s="405"/>
      <c r="E1197" s="398"/>
      <c r="F1197" s="395"/>
      <c r="G1197" s="396"/>
      <c r="H1197" s="399"/>
      <c r="I1197" s="395" t="s">
        <v>228</v>
      </c>
      <c r="J1197" s="397" t="s">
        <v>228</v>
      </c>
      <c r="K1197" s="398"/>
      <c r="L1197" s="404"/>
      <c r="M1197" s="400"/>
    </row>
    <row r="1198" spans="1:13" s="148" customFormat="1" hidden="1" x14ac:dyDescent="0.25">
      <c r="A1198" s="400"/>
      <c r="B1198" s="398"/>
      <c r="C1198" s="398"/>
      <c r="D1198" s="405"/>
      <c r="E1198" s="398"/>
      <c r="F1198" s="395"/>
      <c r="G1198" s="396"/>
      <c r="H1198" s="399"/>
      <c r="I1198" s="395" t="s">
        <v>228</v>
      </c>
      <c r="J1198" s="397" t="s">
        <v>228</v>
      </c>
      <c r="K1198" s="398"/>
      <c r="L1198" s="404"/>
      <c r="M1198" s="400"/>
    </row>
    <row r="1199" spans="1:13" s="148" customFormat="1" hidden="1" x14ac:dyDescent="0.25">
      <c r="A1199" s="400"/>
      <c r="B1199" s="398"/>
      <c r="C1199" s="398"/>
      <c r="D1199" s="405"/>
      <c r="E1199" s="398"/>
      <c r="F1199" s="395"/>
      <c r="G1199" s="396"/>
      <c r="H1199" s="399"/>
      <c r="I1199" s="395" t="s">
        <v>228</v>
      </c>
      <c r="J1199" s="397" t="s">
        <v>228</v>
      </c>
      <c r="K1199" s="398"/>
      <c r="L1199" s="404"/>
      <c r="M1199" s="400"/>
    </row>
    <row r="1200" spans="1:13" s="148" customFormat="1" hidden="1" x14ac:dyDescent="0.25">
      <c r="A1200" s="400"/>
      <c r="B1200" s="398"/>
      <c r="C1200" s="398"/>
      <c r="D1200" s="405"/>
      <c r="E1200" s="398"/>
      <c r="F1200" s="395"/>
      <c r="G1200" s="396"/>
      <c r="H1200" s="399"/>
      <c r="I1200" s="395" t="s">
        <v>228</v>
      </c>
      <c r="J1200" s="397" t="s">
        <v>228</v>
      </c>
      <c r="K1200" s="398"/>
      <c r="L1200" s="404"/>
      <c r="M1200" s="400"/>
    </row>
    <row r="1201" spans="1:13" s="148" customFormat="1" hidden="1" x14ac:dyDescent="0.25">
      <c r="A1201" s="400"/>
      <c r="B1201" s="398"/>
      <c r="C1201" s="398"/>
      <c r="D1201" s="405"/>
      <c r="E1201" s="398"/>
      <c r="F1201" s="395"/>
      <c r="G1201" s="396"/>
      <c r="H1201" s="399"/>
      <c r="I1201" s="395" t="s">
        <v>228</v>
      </c>
      <c r="J1201" s="397" t="s">
        <v>228</v>
      </c>
      <c r="K1201" s="398"/>
      <c r="L1201" s="404"/>
      <c r="M1201" s="400"/>
    </row>
    <row r="1202" spans="1:13" s="148" customFormat="1" hidden="1" x14ac:dyDescent="0.25">
      <c r="A1202" s="400"/>
      <c r="B1202" s="398"/>
      <c r="C1202" s="398"/>
      <c r="D1202" s="405"/>
      <c r="E1202" s="398"/>
      <c r="F1202" s="395"/>
      <c r="G1202" s="396"/>
      <c r="H1202" s="399"/>
      <c r="I1202" s="395" t="s">
        <v>228</v>
      </c>
      <c r="J1202" s="397" t="s">
        <v>228</v>
      </c>
      <c r="K1202" s="398"/>
      <c r="L1202" s="404"/>
      <c r="M1202" s="400"/>
    </row>
    <row r="1203" spans="1:13" s="148" customFormat="1" hidden="1" x14ac:dyDescent="0.25">
      <c r="A1203" s="400"/>
      <c r="B1203" s="398"/>
      <c r="C1203" s="398"/>
      <c r="D1203" s="405"/>
      <c r="E1203" s="398"/>
      <c r="F1203" s="395"/>
      <c r="G1203" s="396"/>
      <c r="H1203" s="399"/>
      <c r="I1203" s="395" t="s">
        <v>228</v>
      </c>
      <c r="J1203" s="397" t="s">
        <v>228</v>
      </c>
      <c r="K1203" s="398"/>
      <c r="L1203" s="404"/>
      <c r="M1203" s="400"/>
    </row>
    <row r="1204" spans="1:13" s="148" customFormat="1" hidden="1" x14ac:dyDescent="0.25">
      <c r="A1204" s="400"/>
      <c r="B1204" s="398"/>
      <c r="C1204" s="398"/>
      <c r="D1204" s="405"/>
      <c r="E1204" s="398"/>
      <c r="F1204" s="395"/>
      <c r="G1204" s="396"/>
      <c r="H1204" s="399"/>
      <c r="I1204" s="395" t="s">
        <v>228</v>
      </c>
      <c r="J1204" s="397" t="s">
        <v>228</v>
      </c>
      <c r="K1204" s="398"/>
      <c r="L1204" s="404"/>
      <c r="M1204" s="400"/>
    </row>
    <row r="1205" spans="1:13" s="148" customFormat="1" hidden="1" x14ac:dyDescent="0.25">
      <c r="A1205" s="400"/>
      <c r="B1205" s="398"/>
      <c r="C1205" s="398"/>
      <c r="D1205" s="405"/>
      <c r="E1205" s="398"/>
      <c r="F1205" s="395"/>
      <c r="G1205" s="396"/>
      <c r="H1205" s="399"/>
      <c r="I1205" s="395" t="s">
        <v>228</v>
      </c>
      <c r="J1205" s="397" t="s">
        <v>228</v>
      </c>
      <c r="K1205" s="398"/>
      <c r="L1205" s="404"/>
      <c r="M1205" s="400"/>
    </row>
    <row r="1206" spans="1:13" s="148" customFormat="1" hidden="1" x14ac:dyDescent="0.25">
      <c r="A1206" s="400"/>
      <c r="B1206" s="398"/>
      <c r="C1206" s="398"/>
      <c r="D1206" s="405"/>
      <c r="E1206" s="398"/>
      <c r="F1206" s="395"/>
      <c r="G1206" s="396"/>
      <c r="H1206" s="399"/>
      <c r="I1206" s="395" t="s">
        <v>228</v>
      </c>
      <c r="J1206" s="397" t="s">
        <v>228</v>
      </c>
      <c r="K1206" s="398"/>
      <c r="L1206" s="404"/>
      <c r="M1206" s="400"/>
    </row>
    <row r="1207" spans="1:13" s="148" customFormat="1" hidden="1" x14ac:dyDescent="0.25">
      <c r="A1207" s="400"/>
      <c r="B1207" s="398"/>
      <c r="C1207" s="398"/>
      <c r="D1207" s="405"/>
      <c r="E1207" s="398"/>
      <c r="F1207" s="395"/>
      <c r="G1207" s="396"/>
      <c r="H1207" s="399"/>
      <c r="I1207" s="395" t="s">
        <v>228</v>
      </c>
      <c r="J1207" s="397" t="s">
        <v>228</v>
      </c>
      <c r="K1207" s="398"/>
      <c r="L1207" s="404"/>
      <c r="M1207" s="400"/>
    </row>
    <row r="1208" spans="1:13" s="148" customFormat="1" hidden="1" x14ac:dyDescent="0.25">
      <c r="A1208" s="400"/>
      <c r="B1208" s="398"/>
      <c r="C1208" s="398"/>
      <c r="D1208" s="405"/>
      <c r="E1208" s="398"/>
      <c r="F1208" s="395"/>
      <c r="G1208" s="396"/>
      <c r="H1208" s="399"/>
      <c r="I1208" s="395" t="s">
        <v>228</v>
      </c>
      <c r="J1208" s="397" t="s">
        <v>228</v>
      </c>
      <c r="K1208" s="398"/>
      <c r="L1208" s="404"/>
      <c r="M1208" s="400"/>
    </row>
    <row r="1209" spans="1:13" s="148" customFormat="1" hidden="1" x14ac:dyDescent="0.25">
      <c r="A1209" s="400"/>
      <c r="B1209" s="398"/>
      <c r="C1209" s="398"/>
      <c r="D1209" s="405"/>
      <c r="E1209" s="398"/>
      <c r="F1209" s="395"/>
      <c r="G1209" s="396"/>
      <c r="H1209" s="399"/>
      <c r="I1209" s="395" t="s">
        <v>228</v>
      </c>
      <c r="J1209" s="397" t="s">
        <v>228</v>
      </c>
      <c r="K1209" s="398"/>
      <c r="L1209" s="404"/>
      <c r="M1209" s="400"/>
    </row>
    <row r="1210" spans="1:13" s="148" customFormat="1" hidden="1" x14ac:dyDescent="0.25">
      <c r="A1210" s="400"/>
      <c r="B1210" s="398"/>
      <c r="C1210" s="398"/>
      <c r="D1210" s="405"/>
      <c r="E1210" s="398"/>
      <c r="F1210" s="395"/>
      <c r="G1210" s="396"/>
      <c r="H1210" s="399"/>
      <c r="I1210" s="395" t="s">
        <v>228</v>
      </c>
      <c r="J1210" s="397" t="s">
        <v>228</v>
      </c>
      <c r="K1210" s="398"/>
      <c r="L1210" s="404"/>
      <c r="M1210" s="400"/>
    </row>
    <row r="1211" spans="1:13" s="148" customFormat="1" hidden="1" x14ac:dyDescent="0.25">
      <c r="A1211" s="400"/>
      <c r="B1211" s="398"/>
      <c r="C1211" s="398"/>
      <c r="D1211" s="405"/>
      <c r="E1211" s="398"/>
      <c r="F1211" s="395"/>
      <c r="G1211" s="396"/>
      <c r="H1211" s="399"/>
      <c r="I1211" s="395" t="s">
        <v>228</v>
      </c>
      <c r="J1211" s="397" t="s">
        <v>228</v>
      </c>
      <c r="K1211" s="398"/>
      <c r="L1211" s="404"/>
      <c r="M1211" s="400"/>
    </row>
    <row r="1212" spans="1:13" s="148" customFormat="1" hidden="1" x14ac:dyDescent="0.25">
      <c r="A1212" s="400"/>
      <c r="B1212" s="398"/>
      <c r="C1212" s="398"/>
      <c r="D1212" s="405"/>
      <c r="E1212" s="398"/>
      <c r="F1212" s="395"/>
      <c r="G1212" s="396"/>
      <c r="H1212" s="399"/>
      <c r="I1212" s="395" t="s">
        <v>228</v>
      </c>
      <c r="J1212" s="397" t="s">
        <v>228</v>
      </c>
      <c r="K1212" s="398"/>
      <c r="L1212" s="404"/>
      <c r="M1212" s="400"/>
    </row>
    <row r="1213" spans="1:13" s="148" customFormat="1" hidden="1" x14ac:dyDescent="0.25">
      <c r="A1213" s="400"/>
      <c r="B1213" s="398"/>
      <c r="C1213" s="398"/>
      <c r="D1213" s="405"/>
      <c r="E1213" s="398"/>
      <c r="F1213" s="395"/>
      <c r="G1213" s="396"/>
      <c r="H1213" s="399"/>
      <c r="I1213" s="395" t="s">
        <v>228</v>
      </c>
      <c r="J1213" s="397" t="s">
        <v>228</v>
      </c>
      <c r="K1213" s="398"/>
      <c r="L1213" s="404"/>
      <c r="M1213" s="400"/>
    </row>
    <row r="1214" spans="1:13" s="148" customFormat="1" hidden="1" x14ac:dyDescent="0.25">
      <c r="A1214" s="400"/>
      <c r="B1214" s="398"/>
      <c r="C1214" s="398"/>
      <c r="D1214" s="405"/>
      <c r="E1214" s="398"/>
      <c r="F1214" s="395"/>
      <c r="G1214" s="396"/>
      <c r="H1214" s="399"/>
      <c r="I1214" s="395" t="s">
        <v>228</v>
      </c>
      <c r="J1214" s="397" t="s">
        <v>228</v>
      </c>
      <c r="K1214" s="398"/>
      <c r="L1214" s="404"/>
      <c r="M1214" s="400"/>
    </row>
    <row r="1215" spans="1:13" s="148" customFormat="1" hidden="1" x14ac:dyDescent="0.25">
      <c r="A1215" s="400"/>
      <c r="B1215" s="398"/>
      <c r="C1215" s="398"/>
      <c r="D1215" s="405"/>
      <c r="E1215" s="398"/>
      <c r="F1215" s="395"/>
      <c r="G1215" s="396"/>
      <c r="H1215" s="399"/>
      <c r="I1215" s="395" t="s">
        <v>228</v>
      </c>
      <c r="J1215" s="397" t="s">
        <v>228</v>
      </c>
      <c r="K1215" s="398"/>
      <c r="L1215" s="404"/>
      <c r="M1215" s="400"/>
    </row>
    <row r="1216" spans="1:13" s="148" customFormat="1" hidden="1" x14ac:dyDescent="0.25">
      <c r="A1216" s="400"/>
      <c r="B1216" s="398"/>
      <c r="C1216" s="398"/>
      <c r="D1216" s="405"/>
      <c r="E1216" s="398"/>
      <c r="F1216" s="395"/>
      <c r="G1216" s="396"/>
      <c r="H1216" s="399"/>
      <c r="I1216" s="395" t="s">
        <v>228</v>
      </c>
      <c r="J1216" s="397" t="s">
        <v>228</v>
      </c>
      <c r="K1216" s="398"/>
      <c r="L1216" s="404"/>
      <c r="M1216" s="400"/>
    </row>
    <row r="1217" spans="1:13" s="148" customFormat="1" hidden="1" x14ac:dyDescent="0.25">
      <c r="A1217" s="400"/>
      <c r="B1217" s="398"/>
      <c r="C1217" s="398"/>
      <c r="D1217" s="405"/>
      <c r="E1217" s="398"/>
      <c r="F1217" s="395"/>
      <c r="G1217" s="396"/>
      <c r="H1217" s="399"/>
      <c r="I1217" s="395" t="s">
        <v>228</v>
      </c>
      <c r="J1217" s="397" t="s">
        <v>228</v>
      </c>
      <c r="K1217" s="398"/>
      <c r="L1217" s="404"/>
      <c r="M1217" s="400"/>
    </row>
    <row r="1218" spans="1:13" s="148" customFormat="1" hidden="1" x14ac:dyDescent="0.25">
      <c r="A1218" s="400"/>
      <c r="B1218" s="398"/>
      <c r="C1218" s="398"/>
      <c r="D1218" s="405"/>
      <c r="E1218" s="398"/>
      <c r="F1218" s="395"/>
      <c r="G1218" s="396"/>
      <c r="H1218" s="399"/>
      <c r="I1218" s="395" t="s">
        <v>228</v>
      </c>
      <c r="J1218" s="397" t="s">
        <v>228</v>
      </c>
      <c r="K1218" s="398"/>
      <c r="L1218" s="404"/>
      <c r="M1218" s="400"/>
    </row>
    <row r="1219" spans="1:13" s="148" customFormat="1" hidden="1" x14ac:dyDescent="0.25">
      <c r="A1219" s="400"/>
      <c r="B1219" s="398"/>
      <c r="C1219" s="398"/>
      <c r="D1219" s="405"/>
      <c r="E1219" s="398"/>
      <c r="F1219" s="395"/>
      <c r="G1219" s="396"/>
      <c r="H1219" s="399"/>
      <c r="I1219" s="395" t="s">
        <v>228</v>
      </c>
      <c r="J1219" s="397" t="s">
        <v>228</v>
      </c>
      <c r="K1219" s="398"/>
      <c r="L1219" s="404"/>
      <c r="M1219" s="400"/>
    </row>
    <row r="1220" spans="1:13" s="148" customFormat="1" hidden="1" x14ac:dyDescent="0.25">
      <c r="A1220" s="400"/>
      <c r="B1220" s="398"/>
      <c r="C1220" s="398"/>
      <c r="D1220" s="405"/>
      <c r="E1220" s="398"/>
      <c r="F1220" s="395"/>
      <c r="G1220" s="396"/>
      <c r="H1220" s="399"/>
      <c r="I1220" s="395" t="s">
        <v>228</v>
      </c>
      <c r="J1220" s="397" t="s">
        <v>228</v>
      </c>
      <c r="K1220" s="398"/>
      <c r="L1220" s="404"/>
      <c r="M1220" s="400"/>
    </row>
    <row r="1221" spans="1:13" s="148" customFormat="1" hidden="1" x14ac:dyDescent="0.25">
      <c r="A1221" s="400"/>
      <c r="B1221" s="398"/>
      <c r="C1221" s="398"/>
      <c r="D1221" s="405"/>
      <c r="E1221" s="398"/>
      <c r="F1221" s="395"/>
      <c r="G1221" s="396"/>
      <c r="H1221" s="399"/>
      <c r="I1221" s="395" t="s">
        <v>228</v>
      </c>
      <c r="J1221" s="397" t="s">
        <v>228</v>
      </c>
      <c r="K1221" s="398"/>
      <c r="L1221" s="404"/>
      <c r="M1221" s="400"/>
    </row>
    <row r="1222" spans="1:13" s="148" customFormat="1" hidden="1" x14ac:dyDescent="0.25">
      <c r="A1222" s="400"/>
      <c r="B1222" s="398"/>
      <c r="C1222" s="398"/>
      <c r="D1222" s="405"/>
      <c r="E1222" s="398"/>
      <c r="F1222" s="395"/>
      <c r="G1222" s="396"/>
      <c r="H1222" s="399"/>
      <c r="I1222" s="395" t="s">
        <v>228</v>
      </c>
      <c r="J1222" s="397" t="s">
        <v>228</v>
      </c>
      <c r="K1222" s="398"/>
      <c r="L1222" s="404"/>
      <c r="M1222" s="400"/>
    </row>
    <row r="1223" spans="1:13" s="148" customFormat="1" hidden="1" x14ac:dyDescent="0.25">
      <c r="A1223" s="400"/>
      <c r="B1223" s="398"/>
      <c r="C1223" s="398"/>
      <c r="D1223" s="405"/>
      <c r="E1223" s="398"/>
      <c r="F1223" s="395"/>
      <c r="G1223" s="396"/>
      <c r="H1223" s="399"/>
      <c r="I1223" s="395" t="s">
        <v>228</v>
      </c>
      <c r="J1223" s="397" t="s">
        <v>228</v>
      </c>
      <c r="K1223" s="398"/>
      <c r="L1223" s="404"/>
      <c r="M1223" s="400"/>
    </row>
    <row r="1224" spans="1:13" s="148" customFormat="1" hidden="1" x14ac:dyDescent="0.25">
      <c r="A1224" s="400"/>
      <c r="B1224" s="398"/>
      <c r="C1224" s="398"/>
      <c r="D1224" s="405"/>
      <c r="E1224" s="398"/>
      <c r="F1224" s="395"/>
      <c r="G1224" s="396"/>
      <c r="H1224" s="399"/>
      <c r="I1224" s="395" t="s">
        <v>228</v>
      </c>
      <c r="J1224" s="397" t="s">
        <v>228</v>
      </c>
      <c r="K1224" s="398"/>
      <c r="L1224" s="404"/>
      <c r="M1224" s="400"/>
    </row>
    <row r="1225" spans="1:13" s="148" customFormat="1" hidden="1" x14ac:dyDescent="0.25">
      <c r="A1225" s="400"/>
      <c r="B1225" s="398"/>
      <c r="C1225" s="398"/>
      <c r="D1225" s="405"/>
      <c r="E1225" s="398"/>
      <c r="F1225" s="395"/>
      <c r="G1225" s="396"/>
      <c r="H1225" s="399"/>
      <c r="I1225" s="395" t="s">
        <v>228</v>
      </c>
      <c r="J1225" s="397" t="s">
        <v>228</v>
      </c>
      <c r="K1225" s="398"/>
      <c r="L1225" s="404"/>
      <c r="M1225" s="400"/>
    </row>
    <row r="1226" spans="1:13" s="148" customFormat="1" hidden="1" x14ac:dyDescent="0.25">
      <c r="A1226" s="400"/>
      <c r="B1226" s="398"/>
      <c r="C1226" s="398"/>
      <c r="D1226" s="405"/>
      <c r="E1226" s="398"/>
      <c r="F1226" s="395"/>
      <c r="G1226" s="396"/>
      <c r="H1226" s="399"/>
      <c r="I1226" s="395" t="s">
        <v>228</v>
      </c>
      <c r="J1226" s="397" t="s">
        <v>228</v>
      </c>
      <c r="K1226" s="398"/>
      <c r="L1226" s="404"/>
      <c r="M1226" s="400"/>
    </row>
    <row r="1227" spans="1:13" s="148" customFormat="1" hidden="1" x14ac:dyDescent="0.25">
      <c r="A1227" s="400"/>
      <c r="B1227" s="398"/>
      <c r="C1227" s="398"/>
      <c r="D1227" s="405"/>
      <c r="E1227" s="398"/>
      <c r="F1227" s="395"/>
      <c r="G1227" s="396"/>
      <c r="H1227" s="399"/>
      <c r="I1227" s="395" t="s">
        <v>228</v>
      </c>
      <c r="J1227" s="397" t="s">
        <v>228</v>
      </c>
      <c r="K1227" s="398"/>
      <c r="L1227" s="404"/>
      <c r="M1227" s="400"/>
    </row>
    <row r="1228" spans="1:13" s="148" customFormat="1" hidden="1" x14ac:dyDescent="0.25">
      <c r="A1228" s="400"/>
      <c r="B1228" s="398"/>
      <c r="C1228" s="398"/>
      <c r="D1228" s="405"/>
      <c r="E1228" s="398"/>
      <c r="F1228" s="395"/>
      <c r="G1228" s="396"/>
      <c r="H1228" s="399"/>
      <c r="I1228" s="395" t="s">
        <v>228</v>
      </c>
      <c r="J1228" s="397" t="s">
        <v>228</v>
      </c>
      <c r="K1228" s="398"/>
      <c r="L1228" s="404"/>
      <c r="M1228" s="400"/>
    </row>
    <row r="1229" spans="1:13" s="148" customFormat="1" hidden="1" x14ac:dyDescent="0.25">
      <c r="A1229" s="400"/>
      <c r="B1229" s="398"/>
      <c r="C1229" s="398"/>
      <c r="D1229" s="405"/>
      <c r="E1229" s="398"/>
      <c r="F1229" s="395"/>
      <c r="G1229" s="396"/>
      <c r="H1229" s="399"/>
      <c r="I1229" s="395" t="s">
        <v>228</v>
      </c>
      <c r="J1229" s="397" t="s">
        <v>228</v>
      </c>
      <c r="K1229" s="398"/>
      <c r="L1229" s="404"/>
      <c r="M1229" s="400"/>
    </row>
    <row r="1230" spans="1:13" s="148" customFormat="1" hidden="1" x14ac:dyDescent="0.25">
      <c r="A1230" s="400"/>
      <c r="B1230" s="398"/>
      <c r="C1230" s="398"/>
      <c r="D1230" s="405"/>
      <c r="E1230" s="398"/>
      <c r="F1230" s="395"/>
      <c r="G1230" s="396"/>
      <c r="H1230" s="399"/>
      <c r="I1230" s="395" t="s">
        <v>228</v>
      </c>
      <c r="J1230" s="397" t="s">
        <v>228</v>
      </c>
      <c r="K1230" s="398"/>
      <c r="L1230" s="404"/>
      <c r="M1230" s="400"/>
    </row>
    <row r="1231" spans="1:13" s="148" customFormat="1" hidden="1" x14ac:dyDescent="0.25">
      <c r="A1231" s="400"/>
      <c r="B1231" s="398"/>
      <c r="C1231" s="398"/>
      <c r="D1231" s="405"/>
      <c r="E1231" s="398"/>
      <c r="F1231" s="395"/>
      <c r="G1231" s="396"/>
      <c r="H1231" s="399"/>
      <c r="I1231" s="395" t="s">
        <v>228</v>
      </c>
      <c r="J1231" s="397" t="s">
        <v>228</v>
      </c>
      <c r="K1231" s="398"/>
      <c r="L1231" s="404"/>
      <c r="M1231" s="400"/>
    </row>
    <row r="1232" spans="1:13" s="148" customFormat="1" hidden="1" x14ac:dyDescent="0.25">
      <c r="A1232" s="400"/>
      <c r="B1232" s="398"/>
      <c r="C1232" s="398"/>
      <c r="D1232" s="405"/>
      <c r="E1232" s="398"/>
      <c r="F1232" s="395"/>
      <c r="G1232" s="396"/>
      <c r="H1232" s="399"/>
      <c r="I1232" s="395" t="s">
        <v>228</v>
      </c>
      <c r="J1232" s="397" t="s">
        <v>228</v>
      </c>
      <c r="K1232" s="398"/>
      <c r="L1232" s="404"/>
      <c r="M1232" s="400"/>
    </row>
    <row r="1233" spans="1:13" s="148" customFormat="1" hidden="1" x14ac:dyDescent="0.25">
      <c r="A1233" s="400"/>
      <c r="B1233" s="398"/>
      <c r="C1233" s="398"/>
      <c r="D1233" s="405"/>
      <c r="E1233" s="398"/>
      <c r="F1233" s="395"/>
      <c r="G1233" s="396"/>
      <c r="H1233" s="399"/>
      <c r="I1233" s="395" t="s">
        <v>228</v>
      </c>
      <c r="J1233" s="397" t="s">
        <v>228</v>
      </c>
      <c r="K1233" s="398"/>
      <c r="L1233" s="404"/>
      <c r="M1233" s="400"/>
    </row>
    <row r="1234" spans="1:13" s="148" customFormat="1" hidden="1" x14ac:dyDescent="0.25">
      <c r="A1234" s="400"/>
      <c r="B1234" s="398"/>
      <c r="C1234" s="398"/>
      <c r="D1234" s="405"/>
      <c r="E1234" s="398"/>
      <c r="F1234" s="395"/>
      <c r="G1234" s="396"/>
      <c r="H1234" s="399"/>
      <c r="I1234" s="395" t="s">
        <v>228</v>
      </c>
      <c r="J1234" s="397" t="s">
        <v>228</v>
      </c>
      <c r="K1234" s="398"/>
      <c r="L1234" s="404"/>
      <c r="M1234" s="400"/>
    </row>
    <row r="1235" spans="1:13" s="148" customFormat="1" hidden="1" x14ac:dyDescent="0.25">
      <c r="A1235" s="400"/>
      <c r="B1235" s="398"/>
      <c r="C1235" s="398"/>
      <c r="D1235" s="405"/>
      <c r="E1235" s="398"/>
      <c r="F1235" s="395"/>
      <c r="G1235" s="396"/>
      <c r="H1235" s="399"/>
      <c r="I1235" s="395" t="s">
        <v>228</v>
      </c>
      <c r="J1235" s="397" t="s">
        <v>228</v>
      </c>
      <c r="K1235" s="398"/>
      <c r="L1235" s="404"/>
      <c r="M1235" s="400"/>
    </row>
    <row r="1236" spans="1:13" s="148" customFormat="1" hidden="1" x14ac:dyDescent="0.25">
      <c r="A1236" s="400"/>
      <c r="B1236" s="398"/>
      <c r="C1236" s="398"/>
      <c r="D1236" s="405"/>
      <c r="E1236" s="398"/>
      <c r="F1236" s="395"/>
      <c r="G1236" s="396"/>
      <c r="H1236" s="399"/>
      <c r="I1236" s="395" t="s">
        <v>228</v>
      </c>
      <c r="J1236" s="397" t="s">
        <v>228</v>
      </c>
      <c r="K1236" s="398"/>
      <c r="L1236" s="404"/>
      <c r="M1236" s="400"/>
    </row>
    <row r="1237" spans="1:13" s="148" customFormat="1" hidden="1" x14ac:dyDescent="0.25">
      <c r="A1237" s="400"/>
      <c r="B1237" s="398"/>
      <c r="C1237" s="398"/>
      <c r="D1237" s="405"/>
      <c r="E1237" s="398"/>
      <c r="F1237" s="395"/>
      <c r="G1237" s="396"/>
      <c r="H1237" s="399"/>
      <c r="I1237" s="395" t="s">
        <v>228</v>
      </c>
      <c r="J1237" s="397" t="s">
        <v>228</v>
      </c>
      <c r="K1237" s="398"/>
      <c r="L1237" s="404"/>
      <c r="M1237" s="400"/>
    </row>
    <row r="1238" spans="1:13" s="148" customFormat="1" hidden="1" x14ac:dyDescent="0.25">
      <c r="A1238" s="400"/>
      <c r="B1238" s="398"/>
      <c r="C1238" s="398"/>
      <c r="D1238" s="405"/>
      <c r="E1238" s="398"/>
      <c r="F1238" s="395"/>
      <c r="G1238" s="396"/>
      <c r="H1238" s="399"/>
      <c r="I1238" s="395" t="s">
        <v>228</v>
      </c>
      <c r="J1238" s="397" t="s">
        <v>228</v>
      </c>
      <c r="K1238" s="398"/>
      <c r="L1238" s="404"/>
      <c r="M1238" s="400"/>
    </row>
    <row r="1239" spans="1:13" s="148" customFormat="1" hidden="1" x14ac:dyDescent="0.25">
      <c r="A1239" s="400"/>
      <c r="B1239" s="398"/>
      <c r="C1239" s="398"/>
      <c r="D1239" s="405"/>
      <c r="E1239" s="398"/>
      <c r="F1239" s="395"/>
      <c r="G1239" s="396"/>
      <c r="H1239" s="399"/>
      <c r="I1239" s="395" t="s">
        <v>228</v>
      </c>
      <c r="J1239" s="397" t="s">
        <v>228</v>
      </c>
      <c r="K1239" s="398"/>
      <c r="L1239" s="404"/>
      <c r="M1239" s="400"/>
    </row>
    <row r="1240" spans="1:13" s="148" customFormat="1" hidden="1" x14ac:dyDescent="0.25">
      <c r="A1240" s="400"/>
      <c r="B1240" s="398"/>
      <c r="C1240" s="398"/>
      <c r="D1240" s="405"/>
      <c r="E1240" s="398"/>
      <c r="F1240" s="395"/>
      <c r="G1240" s="396"/>
      <c r="H1240" s="399"/>
      <c r="I1240" s="395" t="s">
        <v>228</v>
      </c>
      <c r="J1240" s="397" t="s">
        <v>228</v>
      </c>
      <c r="K1240" s="398"/>
      <c r="L1240" s="404"/>
      <c r="M1240" s="400"/>
    </row>
    <row r="1241" spans="1:13" s="148" customFormat="1" hidden="1" x14ac:dyDescent="0.25">
      <c r="A1241" s="400"/>
      <c r="B1241" s="398"/>
      <c r="C1241" s="398"/>
      <c r="D1241" s="405"/>
      <c r="E1241" s="398"/>
      <c r="F1241" s="395"/>
      <c r="G1241" s="396"/>
      <c r="H1241" s="399"/>
      <c r="I1241" s="395" t="s">
        <v>228</v>
      </c>
      <c r="J1241" s="397" t="s">
        <v>228</v>
      </c>
      <c r="K1241" s="398"/>
      <c r="L1241" s="404"/>
      <c r="M1241" s="400"/>
    </row>
    <row r="1242" spans="1:13" s="148" customFormat="1" hidden="1" x14ac:dyDescent="0.25">
      <c r="A1242" s="400"/>
      <c r="B1242" s="398"/>
      <c r="C1242" s="398"/>
      <c r="D1242" s="405"/>
      <c r="E1242" s="398"/>
      <c r="F1242" s="395"/>
      <c r="G1242" s="396"/>
      <c r="H1242" s="399"/>
      <c r="I1242" s="395" t="s">
        <v>228</v>
      </c>
      <c r="J1242" s="397" t="s">
        <v>228</v>
      </c>
      <c r="K1242" s="398"/>
      <c r="L1242" s="404"/>
      <c r="M1242" s="400"/>
    </row>
    <row r="1243" spans="1:13" s="148" customFormat="1" hidden="1" x14ac:dyDescent="0.25">
      <c r="A1243" s="400"/>
      <c r="B1243" s="398"/>
      <c r="C1243" s="398"/>
      <c r="D1243" s="405"/>
      <c r="E1243" s="398"/>
      <c r="F1243" s="395"/>
      <c r="G1243" s="396"/>
      <c r="H1243" s="399"/>
      <c r="I1243" s="395" t="s">
        <v>228</v>
      </c>
      <c r="J1243" s="397" t="s">
        <v>228</v>
      </c>
      <c r="K1243" s="398"/>
      <c r="L1243" s="404"/>
      <c r="M1243" s="400"/>
    </row>
    <row r="1244" spans="1:13" s="148" customFormat="1" hidden="1" x14ac:dyDescent="0.25">
      <c r="A1244" s="400"/>
      <c r="B1244" s="398"/>
      <c r="C1244" s="398"/>
      <c r="D1244" s="405"/>
      <c r="E1244" s="398"/>
      <c r="F1244" s="395"/>
      <c r="G1244" s="396"/>
      <c r="H1244" s="399"/>
      <c r="I1244" s="395" t="s">
        <v>228</v>
      </c>
      <c r="J1244" s="397" t="s">
        <v>228</v>
      </c>
      <c r="K1244" s="398"/>
      <c r="L1244" s="404"/>
      <c r="M1244" s="400"/>
    </row>
    <row r="1245" spans="1:13" s="148" customFormat="1" hidden="1" x14ac:dyDescent="0.25">
      <c r="A1245" s="400"/>
      <c r="B1245" s="398"/>
      <c r="C1245" s="398"/>
      <c r="D1245" s="405"/>
      <c r="E1245" s="398"/>
      <c r="F1245" s="395"/>
      <c r="G1245" s="396"/>
      <c r="H1245" s="399"/>
      <c r="I1245" s="395" t="s">
        <v>228</v>
      </c>
      <c r="J1245" s="397" t="s">
        <v>228</v>
      </c>
      <c r="K1245" s="398"/>
      <c r="L1245" s="404"/>
      <c r="M1245" s="400"/>
    </row>
    <row r="1246" spans="1:13" s="148" customFormat="1" hidden="1" x14ac:dyDescent="0.25">
      <c r="A1246" s="400"/>
      <c r="B1246" s="398"/>
      <c r="C1246" s="398"/>
      <c r="D1246" s="405"/>
      <c r="E1246" s="398"/>
      <c r="F1246" s="395"/>
      <c r="G1246" s="396"/>
      <c r="H1246" s="399"/>
      <c r="I1246" s="395" t="s">
        <v>228</v>
      </c>
      <c r="J1246" s="397" t="s">
        <v>228</v>
      </c>
      <c r="K1246" s="398"/>
      <c r="L1246" s="404"/>
      <c r="M1246" s="400"/>
    </row>
    <row r="1247" spans="1:13" s="148" customFormat="1" hidden="1" x14ac:dyDescent="0.25">
      <c r="A1247" s="400"/>
      <c r="B1247" s="398"/>
      <c r="C1247" s="398"/>
      <c r="D1247" s="405"/>
      <c r="E1247" s="398"/>
      <c r="F1247" s="395"/>
      <c r="G1247" s="396"/>
      <c r="H1247" s="399"/>
      <c r="I1247" s="395" t="s">
        <v>228</v>
      </c>
      <c r="J1247" s="397" t="s">
        <v>228</v>
      </c>
      <c r="K1247" s="398"/>
      <c r="L1247" s="404"/>
      <c r="M1247" s="400"/>
    </row>
    <row r="1248" spans="1:13" s="148" customFormat="1" hidden="1" x14ac:dyDescent="0.25">
      <c r="A1248" s="400"/>
      <c r="B1248" s="398"/>
      <c r="C1248" s="398"/>
      <c r="D1248" s="405"/>
      <c r="E1248" s="398"/>
      <c r="F1248" s="395"/>
      <c r="G1248" s="396"/>
      <c r="H1248" s="399"/>
      <c r="I1248" s="395" t="s">
        <v>228</v>
      </c>
      <c r="J1248" s="397" t="s">
        <v>228</v>
      </c>
      <c r="K1248" s="398"/>
      <c r="L1248" s="404"/>
      <c r="M1248" s="400"/>
    </row>
    <row r="1249" spans="1:13" s="148" customFormat="1" hidden="1" x14ac:dyDescent="0.25">
      <c r="A1249" s="400"/>
      <c r="B1249" s="398"/>
      <c r="C1249" s="398"/>
      <c r="D1249" s="405"/>
      <c r="E1249" s="398"/>
      <c r="F1249" s="395"/>
      <c r="G1249" s="396"/>
      <c r="H1249" s="399"/>
      <c r="I1249" s="395" t="s">
        <v>228</v>
      </c>
      <c r="J1249" s="397" t="s">
        <v>228</v>
      </c>
      <c r="K1249" s="398"/>
      <c r="L1249" s="404"/>
      <c r="M1249" s="400"/>
    </row>
    <row r="1250" spans="1:13" s="148" customFormat="1" hidden="1" x14ac:dyDescent="0.25">
      <c r="A1250" s="400"/>
      <c r="B1250" s="398"/>
      <c r="C1250" s="398"/>
      <c r="D1250" s="405"/>
      <c r="E1250" s="398"/>
      <c r="F1250" s="395"/>
      <c r="G1250" s="396"/>
      <c r="H1250" s="399"/>
      <c r="I1250" s="395" t="s">
        <v>228</v>
      </c>
      <c r="J1250" s="397" t="s">
        <v>228</v>
      </c>
      <c r="K1250" s="398"/>
      <c r="L1250" s="404"/>
      <c r="M1250" s="400"/>
    </row>
    <row r="1251" spans="1:13" s="148" customFormat="1" hidden="1" x14ac:dyDescent="0.25">
      <c r="A1251" s="400"/>
      <c r="B1251" s="398"/>
      <c r="C1251" s="398"/>
      <c r="D1251" s="405"/>
      <c r="E1251" s="398"/>
      <c r="F1251" s="395"/>
      <c r="G1251" s="396"/>
      <c r="H1251" s="399"/>
      <c r="I1251" s="395" t="s">
        <v>228</v>
      </c>
      <c r="J1251" s="397" t="s">
        <v>228</v>
      </c>
      <c r="K1251" s="398"/>
      <c r="L1251" s="404"/>
      <c r="M1251" s="400"/>
    </row>
    <row r="1252" spans="1:13" s="148" customFormat="1" hidden="1" x14ac:dyDescent="0.25">
      <c r="A1252" s="400"/>
      <c r="B1252" s="398"/>
      <c r="C1252" s="398"/>
      <c r="D1252" s="405"/>
      <c r="E1252" s="398"/>
      <c r="F1252" s="395"/>
      <c r="G1252" s="396"/>
      <c r="H1252" s="399"/>
      <c r="I1252" s="395" t="s">
        <v>228</v>
      </c>
      <c r="J1252" s="397" t="s">
        <v>228</v>
      </c>
      <c r="K1252" s="398"/>
      <c r="L1252" s="404"/>
      <c r="M1252" s="400"/>
    </row>
    <row r="1253" spans="1:13" s="148" customFormat="1" hidden="1" x14ac:dyDescent="0.25">
      <c r="A1253" s="400"/>
      <c r="B1253" s="398"/>
      <c r="C1253" s="398"/>
      <c r="D1253" s="405"/>
      <c r="E1253" s="398"/>
      <c r="F1253" s="395"/>
      <c r="G1253" s="396"/>
      <c r="H1253" s="399"/>
      <c r="I1253" s="395" t="s">
        <v>228</v>
      </c>
      <c r="J1253" s="397" t="s">
        <v>228</v>
      </c>
      <c r="K1253" s="398"/>
      <c r="L1253" s="404"/>
      <c r="M1253" s="400"/>
    </row>
    <row r="1254" spans="1:13" s="148" customFormat="1" hidden="1" x14ac:dyDescent="0.25">
      <c r="A1254" s="400"/>
      <c r="B1254" s="398"/>
      <c r="C1254" s="398"/>
      <c r="D1254" s="405"/>
      <c r="E1254" s="398"/>
      <c r="F1254" s="395"/>
      <c r="G1254" s="396"/>
      <c r="H1254" s="399"/>
      <c r="I1254" s="395" t="s">
        <v>228</v>
      </c>
      <c r="J1254" s="397" t="s">
        <v>228</v>
      </c>
      <c r="K1254" s="398"/>
      <c r="L1254" s="404"/>
      <c r="M1254" s="400"/>
    </row>
    <row r="1255" spans="1:13" s="148" customFormat="1" hidden="1" x14ac:dyDescent="0.25">
      <c r="A1255" s="400"/>
      <c r="B1255" s="398"/>
      <c r="C1255" s="398"/>
      <c r="D1255" s="405"/>
      <c r="E1255" s="398"/>
      <c r="F1255" s="395"/>
      <c r="G1255" s="396"/>
      <c r="H1255" s="399"/>
      <c r="I1255" s="395" t="s">
        <v>228</v>
      </c>
      <c r="J1255" s="397" t="s">
        <v>228</v>
      </c>
      <c r="K1255" s="398"/>
      <c r="L1255" s="404"/>
      <c r="M1255" s="400"/>
    </row>
    <row r="1256" spans="1:13" s="148" customFormat="1" hidden="1" x14ac:dyDescent="0.25">
      <c r="A1256" s="400"/>
      <c r="B1256" s="398"/>
      <c r="C1256" s="398"/>
      <c r="D1256" s="405"/>
      <c r="E1256" s="398"/>
      <c r="F1256" s="395"/>
      <c r="G1256" s="396"/>
      <c r="H1256" s="399"/>
      <c r="I1256" s="395" t="s">
        <v>228</v>
      </c>
      <c r="J1256" s="397" t="s">
        <v>228</v>
      </c>
      <c r="K1256" s="398"/>
      <c r="L1256" s="404"/>
      <c r="M1256" s="400"/>
    </row>
    <row r="1257" spans="1:13" s="148" customFormat="1" hidden="1" x14ac:dyDescent="0.25">
      <c r="A1257" s="400"/>
      <c r="B1257" s="398"/>
      <c r="C1257" s="398"/>
      <c r="D1257" s="405"/>
      <c r="E1257" s="398"/>
      <c r="F1257" s="395"/>
      <c r="G1257" s="396"/>
      <c r="H1257" s="399"/>
      <c r="I1257" s="395" t="s">
        <v>228</v>
      </c>
      <c r="J1257" s="397" t="s">
        <v>228</v>
      </c>
      <c r="K1257" s="398"/>
      <c r="L1257" s="404"/>
      <c r="M1257" s="400"/>
    </row>
    <row r="1258" spans="1:13" s="148" customFormat="1" hidden="1" x14ac:dyDescent="0.25">
      <c r="A1258" s="400"/>
      <c r="B1258" s="398"/>
      <c r="C1258" s="398"/>
      <c r="D1258" s="405"/>
      <c r="E1258" s="398"/>
      <c r="F1258" s="395"/>
      <c r="G1258" s="396"/>
      <c r="H1258" s="399"/>
      <c r="I1258" s="395" t="s">
        <v>228</v>
      </c>
      <c r="J1258" s="397" t="s">
        <v>228</v>
      </c>
      <c r="K1258" s="398"/>
      <c r="L1258" s="404"/>
      <c r="M1258" s="400"/>
    </row>
    <row r="1259" spans="1:13" s="148" customFormat="1" hidden="1" x14ac:dyDescent="0.25">
      <c r="A1259" s="400"/>
      <c r="B1259" s="398"/>
      <c r="C1259" s="398"/>
      <c r="D1259" s="405"/>
      <c r="E1259" s="398"/>
      <c r="F1259" s="395"/>
      <c r="G1259" s="396"/>
      <c r="H1259" s="399"/>
      <c r="I1259" s="395" t="s">
        <v>228</v>
      </c>
      <c r="J1259" s="397" t="s">
        <v>228</v>
      </c>
      <c r="K1259" s="398"/>
      <c r="L1259" s="404"/>
      <c r="M1259" s="400"/>
    </row>
    <row r="1260" spans="1:13" s="148" customFormat="1" hidden="1" x14ac:dyDescent="0.25">
      <c r="A1260" s="400"/>
      <c r="B1260" s="398"/>
      <c r="C1260" s="398"/>
      <c r="D1260" s="405"/>
      <c r="E1260" s="398"/>
      <c r="F1260" s="395"/>
      <c r="G1260" s="396"/>
      <c r="H1260" s="399"/>
      <c r="I1260" s="395" t="s">
        <v>228</v>
      </c>
      <c r="J1260" s="397" t="s">
        <v>228</v>
      </c>
      <c r="K1260" s="398"/>
      <c r="L1260" s="404"/>
      <c r="M1260" s="400"/>
    </row>
    <row r="1261" spans="1:13" s="148" customFormat="1" hidden="1" x14ac:dyDescent="0.25">
      <c r="A1261" s="400"/>
      <c r="B1261" s="398"/>
      <c r="C1261" s="398"/>
      <c r="D1261" s="405"/>
      <c r="E1261" s="398"/>
      <c r="F1261" s="395"/>
      <c r="G1261" s="396"/>
      <c r="H1261" s="399"/>
      <c r="I1261" s="395" t="s">
        <v>228</v>
      </c>
      <c r="J1261" s="397" t="s">
        <v>228</v>
      </c>
      <c r="K1261" s="398"/>
      <c r="L1261" s="404"/>
      <c r="M1261" s="400"/>
    </row>
    <row r="1262" spans="1:13" s="148" customFormat="1" hidden="1" x14ac:dyDescent="0.25">
      <c r="A1262" s="400"/>
      <c r="B1262" s="398"/>
      <c r="C1262" s="398"/>
      <c r="D1262" s="405"/>
      <c r="E1262" s="398"/>
      <c r="F1262" s="395"/>
      <c r="G1262" s="396"/>
      <c r="H1262" s="399"/>
      <c r="I1262" s="395" t="s">
        <v>228</v>
      </c>
      <c r="J1262" s="397" t="s">
        <v>228</v>
      </c>
      <c r="K1262" s="398"/>
      <c r="L1262" s="404"/>
      <c r="M1262" s="400"/>
    </row>
    <row r="1263" spans="1:13" s="148" customFormat="1" hidden="1" x14ac:dyDescent="0.25">
      <c r="A1263" s="400"/>
      <c r="B1263" s="398"/>
      <c r="C1263" s="398"/>
      <c r="D1263" s="405"/>
      <c r="E1263" s="398"/>
      <c r="F1263" s="395"/>
      <c r="G1263" s="396"/>
      <c r="H1263" s="399"/>
      <c r="I1263" s="395" t="s">
        <v>228</v>
      </c>
      <c r="J1263" s="397" t="s">
        <v>228</v>
      </c>
      <c r="K1263" s="398"/>
      <c r="L1263" s="404"/>
      <c r="M1263" s="400"/>
    </row>
    <row r="1264" spans="1:13" s="148" customFormat="1" hidden="1" x14ac:dyDescent="0.25">
      <c r="A1264" s="400"/>
      <c r="B1264" s="398"/>
      <c r="C1264" s="398"/>
      <c r="D1264" s="405"/>
      <c r="E1264" s="398"/>
      <c r="F1264" s="395"/>
      <c r="G1264" s="396"/>
      <c r="H1264" s="399"/>
      <c r="I1264" s="395" t="s">
        <v>228</v>
      </c>
      <c r="J1264" s="397" t="s">
        <v>228</v>
      </c>
      <c r="K1264" s="398"/>
      <c r="L1264" s="404"/>
      <c r="M1264" s="400"/>
    </row>
    <row r="1265" spans="1:13" s="148" customFormat="1" hidden="1" x14ac:dyDescent="0.25">
      <c r="A1265" s="400"/>
      <c r="B1265" s="398"/>
      <c r="C1265" s="398"/>
      <c r="D1265" s="405"/>
      <c r="E1265" s="398"/>
      <c r="F1265" s="395"/>
      <c r="G1265" s="396"/>
      <c r="H1265" s="399"/>
      <c r="I1265" s="395" t="s">
        <v>228</v>
      </c>
      <c r="J1265" s="397" t="s">
        <v>228</v>
      </c>
      <c r="K1265" s="398"/>
      <c r="L1265" s="404"/>
      <c r="M1265" s="400"/>
    </row>
    <row r="1266" spans="1:13" s="148" customFormat="1" hidden="1" x14ac:dyDescent="0.25">
      <c r="A1266" s="400"/>
      <c r="B1266" s="398"/>
      <c r="C1266" s="398"/>
      <c r="D1266" s="405"/>
      <c r="E1266" s="398"/>
      <c r="F1266" s="395"/>
      <c r="G1266" s="396"/>
      <c r="H1266" s="399"/>
      <c r="I1266" s="395" t="s">
        <v>228</v>
      </c>
      <c r="J1266" s="397" t="s">
        <v>228</v>
      </c>
      <c r="K1266" s="398"/>
      <c r="L1266" s="404"/>
      <c r="M1266" s="400"/>
    </row>
    <row r="1267" spans="1:13" s="148" customFormat="1" hidden="1" x14ac:dyDescent="0.25">
      <c r="A1267" s="400"/>
      <c r="B1267" s="398"/>
      <c r="C1267" s="398"/>
      <c r="D1267" s="405"/>
      <c r="E1267" s="398"/>
      <c r="F1267" s="395"/>
      <c r="G1267" s="396"/>
      <c r="H1267" s="399"/>
      <c r="I1267" s="395" t="s">
        <v>228</v>
      </c>
      <c r="J1267" s="397" t="s">
        <v>228</v>
      </c>
      <c r="K1267" s="398"/>
      <c r="L1267" s="404"/>
      <c r="M1267" s="400"/>
    </row>
    <row r="1268" spans="1:13" s="148" customFormat="1" hidden="1" x14ac:dyDescent="0.25">
      <c r="A1268" s="400"/>
      <c r="B1268" s="398"/>
      <c r="C1268" s="398"/>
      <c r="D1268" s="405"/>
      <c r="E1268" s="398"/>
      <c r="F1268" s="395"/>
      <c r="G1268" s="396"/>
      <c r="H1268" s="399"/>
      <c r="I1268" s="395" t="s">
        <v>228</v>
      </c>
      <c r="J1268" s="397" t="s">
        <v>228</v>
      </c>
      <c r="K1268" s="398"/>
      <c r="L1268" s="404"/>
      <c r="M1268" s="400"/>
    </row>
    <row r="1269" spans="1:13" s="148" customFormat="1" hidden="1" x14ac:dyDescent="0.25">
      <c r="A1269" s="400"/>
      <c r="B1269" s="398"/>
      <c r="C1269" s="398"/>
      <c r="D1269" s="405"/>
      <c r="E1269" s="398"/>
      <c r="F1269" s="395"/>
      <c r="G1269" s="396"/>
      <c r="H1269" s="399"/>
      <c r="I1269" s="395" t="s">
        <v>228</v>
      </c>
      <c r="J1269" s="397" t="s">
        <v>228</v>
      </c>
      <c r="K1269" s="398"/>
      <c r="L1269" s="404"/>
      <c r="M1269" s="400"/>
    </row>
    <row r="1270" spans="1:13" s="148" customFormat="1" hidden="1" x14ac:dyDescent="0.25">
      <c r="A1270" s="400"/>
      <c r="B1270" s="398"/>
      <c r="C1270" s="398"/>
      <c r="D1270" s="405"/>
      <c r="E1270" s="398"/>
      <c r="F1270" s="395"/>
      <c r="G1270" s="396"/>
      <c r="H1270" s="399"/>
      <c r="I1270" s="395" t="s">
        <v>228</v>
      </c>
      <c r="J1270" s="397" t="s">
        <v>228</v>
      </c>
      <c r="K1270" s="398"/>
      <c r="L1270" s="404"/>
      <c r="M1270" s="400"/>
    </row>
    <row r="1271" spans="1:13" s="148" customFormat="1" hidden="1" x14ac:dyDescent="0.25">
      <c r="A1271" s="400"/>
      <c r="B1271" s="398"/>
      <c r="C1271" s="398"/>
      <c r="D1271" s="405"/>
      <c r="E1271" s="398"/>
      <c r="F1271" s="395"/>
      <c r="G1271" s="396"/>
      <c r="H1271" s="399"/>
      <c r="I1271" s="395" t="s">
        <v>228</v>
      </c>
      <c r="J1271" s="397" t="s">
        <v>228</v>
      </c>
      <c r="K1271" s="398"/>
      <c r="L1271" s="404"/>
      <c r="M1271" s="400"/>
    </row>
    <row r="1272" spans="1:13" s="148" customFormat="1" hidden="1" x14ac:dyDescent="0.25">
      <c r="A1272" s="400"/>
      <c r="B1272" s="398"/>
      <c r="C1272" s="398"/>
      <c r="D1272" s="405"/>
      <c r="E1272" s="398"/>
      <c r="F1272" s="395"/>
      <c r="G1272" s="396"/>
      <c r="H1272" s="399"/>
      <c r="I1272" s="395" t="s">
        <v>228</v>
      </c>
      <c r="J1272" s="397" t="s">
        <v>228</v>
      </c>
      <c r="K1272" s="398"/>
      <c r="L1272" s="404"/>
      <c r="M1272" s="400"/>
    </row>
    <row r="1273" spans="1:13" s="148" customFormat="1" hidden="1" x14ac:dyDescent="0.25">
      <c r="A1273" s="400"/>
      <c r="B1273" s="398"/>
      <c r="C1273" s="398"/>
      <c r="D1273" s="405"/>
      <c r="E1273" s="398"/>
      <c r="F1273" s="395"/>
      <c r="G1273" s="396"/>
      <c r="H1273" s="399"/>
      <c r="I1273" s="395" t="s">
        <v>228</v>
      </c>
      <c r="J1273" s="397" t="s">
        <v>228</v>
      </c>
      <c r="K1273" s="398"/>
      <c r="L1273" s="404"/>
      <c r="M1273" s="400"/>
    </row>
    <row r="1274" spans="1:13" s="148" customFormat="1" hidden="1" x14ac:dyDescent="0.25">
      <c r="A1274" s="400"/>
      <c r="B1274" s="398"/>
      <c r="C1274" s="398"/>
      <c r="D1274" s="405"/>
      <c r="E1274" s="398"/>
      <c r="F1274" s="395"/>
      <c r="G1274" s="396"/>
      <c r="H1274" s="399"/>
      <c r="I1274" s="395" t="s">
        <v>228</v>
      </c>
      <c r="J1274" s="397" t="s">
        <v>228</v>
      </c>
      <c r="K1274" s="398"/>
      <c r="L1274" s="404"/>
      <c r="M1274" s="400"/>
    </row>
    <row r="1275" spans="1:13" s="148" customFormat="1" hidden="1" x14ac:dyDescent="0.25">
      <c r="A1275" s="400"/>
      <c r="B1275" s="398"/>
      <c r="C1275" s="398"/>
      <c r="D1275" s="405"/>
      <c r="E1275" s="398"/>
      <c r="F1275" s="395"/>
      <c r="G1275" s="396"/>
      <c r="H1275" s="399"/>
      <c r="I1275" s="395" t="s">
        <v>228</v>
      </c>
      <c r="J1275" s="397" t="s">
        <v>228</v>
      </c>
      <c r="K1275" s="398"/>
      <c r="L1275" s="404"/>
      <c r="M1275" s="400"/>
    </row>
    <row r="1276" spans="1:13" s="148" customFormat="1" hidden="1" x14ac:dyDescent="0.25">
      <c r="A1276" s="400"/>
      <c r="B1276" s="398"/>
      <c r="C1276" s="398"/>
      <c r="D1276" s="405"/>
      <c r="E1276" s="398"/>
      <c r="F1276" s="395"/>
      <c r="G1276" s="396"/>
      <c r="H1276" s="399"/>
      <c r="I1276" s="395" t="s">
        <v>228</v>
      </c>
      <c r="J1276" s="397" t="s">
        <v>228</v>
      </c>
      <c r="K1276" s="398"/>
      <c r="L1276" s="404"/>
      <c r="M1276" s="400"/>
    </row>
    <row r="1277" spans="1:13" s="148" customFormat="1" hidden="1" x14ac:dyDescent="0.25">
      <c r="A1277" s="400"/>
      <c r="B1277" s="398"/>
      <c r="C1277" s="398"/>
      <c r="D1277" s="405"/>
      <c r="E1277" s="398"/>
      <c r="F1277" s="395"/>
      <c r="G1277" s="396"/>
      <c r="H1277" s="399"/>
      <c r="I1277" s="395" t="s">
        <v>228</v>
      </c>
      <c r="J1277" s="397" t="s">
        <v>228</v>
      </c>
      <c r="K1277" s="398"/>
      <c r="L1277" s="404"/>
      <c r="M1277" s="400"/>
    </row>
    <row r="1278" spans="1:13" s="148" customFormat="1" hidden="1" x14ac:dyDescent="0.25">
      <c r="A1278" s="400"/>
      <c r="B1278" s="398"/>
      <c r="C1278" s="398"/>
      <c r="D1278" s="405"/>
      <c r="E1278" s="398"/>
      <c r="F1278" s="395"/>
      <c r="G1278" s="396"/>
      <c r="H1278" s="399"/>
      <c r="I1278" s="395" t="s">
        <v>228</v>
      </c>
      <c r="J1278" s="397" t="s">
        <v>228</v>
      </c>
      <c r="K1278" s="398"/>
      <c r="L1278" s="404"/>
      <c r="M1278" s="400"/>
    </row>
    <row r="1279" spans="1:13" s="148" customFormat="1" hidden="1" x14ac:dyDescent="0.25">
      <c r="A1279" s="400"/>
      <c r="B1279" s="398"/>
      <c r="C1279" s="398"/>
      <c r="D1279" s="405"/>
      <c r="E1279" s="398"/>
      <c r="F1279" s="395"/>
      <c r="G1279" s="396"/>
      <c r="H1279" s="399"/>
      <c r="I1279" s="395" t="s">
        <v>228</v>
      </c>
      <c r="J1279" s="397" t="s">
        <v>228</v>
      </c>
      <c r="K1279" s="398"/>
      <c r="L1279" s="404"/>
      <c r="M1279" s="400"/>
    </row>
    <row r="1280" spans="1:13" s="148" customFormat="1" hidden="1" x14ac:dyDescent="0.25">
      <c r="A1280" s="400"/>
      <c r="B1280" s="398"/>
      <c r="C1280" s="398"/>
      <c r="D1280" s="405"/>
      <c r="E1280" s="398"/>
      <c r="F1280" s="395"/>
      <c r="G1280" s="396"/>
      <c r="H1280" s="399"/>
      <c r="I1280" s="395" t="s">
        <v>228</v>
      </c>
      <c r="J1280" s="397" t="s">
        <v>228</v>
      </c>
      <c r="K1280" s="398"/>
      <c r="L1280" s="404"/>
      <c r="M1280" s="400"/>
    </row>
    <row r="1281" spans="1:13" s="148" customFormat="1" hidden="1" x14ac:dyDescent="0.25">
      <c r="A1281" s="400"/>
      <c r="B1281" s="398"/>
      <c r="C1281" s="398"/>
      <c r="D1281" s="405"/>
      <c r="E1281" s="398"/>
      <c r="F1281" s="395"/>
      <c r="G1281" s="396"/>
      <c r="H1281" s="399"/>
      <c r="I1281" s="395" t="s">
        <v>228</v>
      </c>
      <c r="J1281" s="397" t="s">
        <v>228</v>
      </c>
      <c r="K1281" s="398"/>
      <c r="L1281" s="404"/>
      <c r="M1281" s="400"/>
    </row>
    <row r="1282" spans="1:13" s="148" customFormat="1" hidden="1" x14ac:dyDescent="0.25">
      <c r="A1282" s="400"/>
      <c r="B1282" s="398"/>
      <c r="C1282" s="398"/>
      <c r="D1282" s="405"/>
      <c r="E1282" s="398"/>
      <c r="F1282" s="395"/>
      <c r="G1282" s="396"/>
      <c r="H1282" s="399"/>
      <c r="I1282" s="395" t="s">
        <v>228</v>
      </c>
      <c r="J1282" s="397" t="s">
        <v>228</v>
      </c>
      <c r="K1282" s="398"/>
      <c r="L1282" s="404"/>
      <c r="M1282" s="400"/>
    </row>
    <row r="1283" spans="1:13" s="148" customFormat="1" hidden="1" x14ac:dyDescent="0.25">
      <c r="A1283" s="400"/>
      <c r="B1283" s="398"/>
      <c r="C1283" s="398"/>
      <c r="D1283" s="405"/>
      <c r="E1283" s="398"/>
      <c r="F1283" s="395"/>
      <c r="G1283" s="396"/>
      <c r="H1283" s="399"/>
      <c r="I1283" s="395" t="s">
        <v>228</v>
      </c>
      <c r="J1283" s="397" t="s">
        <v>228</v>
      </c>
      <c r="K1283" s="398"/>
      <c r="L1283" s="404"/>
      <c r="M1283" s="400"/>
    </row>
    <row r="1284" spans="1:13" s="148" customFormat="1" hidden="1" x14ac:dyDescent="0.25">
      <c r="A1284" s="400"/>
      <c r="B1284" s="398"/>
      <c r="C1284" s="398"/>
      <c r="D1284" s="405"/>
      <c r="E1284" s="398"/>
      <c r="F1284" s="395"/>
      <c r="G1284" s="396"/>
      <c r="H1284" s="399"/>
      <c r="I1284" s="395" t="s">
        <v>228</v>
      </c>
      <c r="J1284" s="397" t="s">
        <v>228</v>
      </c>
      <c r="K1284" s="398"/>
      <c r="L1284" s="404"/>
      <c r="M1284" s="400"/>
    </row>
    <row r="1285" spans="1:13" s="148" customFormat="1" hidden="1" x14ac:dyDescent="0.25">
      <c r="A1285" s="400"/>
      <c r="B1285" s="398"/>
      <c r="C1285" s="398"/>
      <c r="D1285" s="405"/>
      <c r="E1285" s="398"/>
      <c r="F1285" s="395"/>
      <c r="G1285" s="396"/>
      <c r="H1285" s="399"/>
      <c r="I1285" s="395" t="s">
        <v>228</v>
      </c>
      <c r="J1285" s="397" t="s">
        <v>228</v>
      </c>
      <c r="K1285" s="398"/>
      <c r="L1285" s="404"/>
      <c r="M1285" s="400"/>
    </row>
    <row r="1286" spans="1:13" s="148" customFormat="1" hidden="1" x14ac:dyDescent="0.25">
      <c r="A1286" s="400"/>
      <c r="B1286" s="398"/>
      <c r="C1286" s="398"/>
      <c r="D1286" s="405"/>
      <c r="E1286" s="398"/>
      <c r="F1286" s="395"/>
      <c r="G1286" s="396"/>
      <c r="H1286" s="399"/>
      <c r="I1286" s="395" t="s">
        <v>228</v>
      </c>
      <c r="J1286" s="397" t="s">
        <v>228</v>
      </c>
      <c r="K1286" s="398"/>
      <c r="L1286" s="404"/>
      <c r="M1286" s="400"/>
    </row>
    <row r="1287" spans="1:13" s="148" customFormat="1" hidden="1" x14ac:dyDescent="0.25">
      <c r="A1287" s="400"/>
      <c r="B1287" s="398"/>
      <c r="C1287" s="398"/>
      <c r="D1287" s="405"/>
      <c r="E1287" s="398"/>
      <c r="F1287" s="395"/>
      <c r="G1287" s="396"/>
      <c r="H1287" s="399"/>
      <c r="I1287" s="395" t="s">
        <v>228</v>
      </c>
      <c r="J1287" s="397" t="s">
        <v>228</v>
      </c>
      <c r="K1287" s="398"/>
      <c r="L1287" s="404"/>
      <c r="M1287" s="400"/>
    </row>
    <row r="1288" spans="1:13" s="148" customFormat="1" hidden="1" x14ac:dyDescent="0.25">
      <c r="A1288" s="400"/>
      <c r="B1288" s="398"/>
      <c r="C1288" s="398"/>
      <c r="D1288" s="405"/>
      <c r="E1288" s="398"/>
      <c r="F1288" s="395"/>
      <c r="G1288" s="396"/>
      <c r="H1288" s="399"/>
      <c r="I1288" s="395" t="s">
        <v>228</v>
      </c>
      <c r="J1288" s="397" t="s">
        <v>228</v>
      </c>
      <c r="K1288" s="398"/>
      <c r="L1288" s="404"/>
      <c r="M1288" s="400"/>
    </row>
    <row r="1289" spans="1:13" s="148" customFormat="1" hidden="1" x14ac:dyDescent="0.25">
      <c r="A1289" s="400"/>
      <c r="B1289" s="398"/>
      <c r="C1289" s="398"/>
      <c r="D1289" s="405"/>
      <c r="E1289" s="398"/>
      <c r="F1289" s="395"/>
      <c r="G1289" s="396"/>
      <c r="H1289" s="399"/>
      <c r="I1289" s="395" t="s">
        <v>228</v>
      </c>
      <c r="J1289" s="397" t="s">
        <v>228</v>
      </c>
      <c r="K1289" s="398"/>
      <c r="L1289" s="404"/>
      <c r="M1289" s="400"/>
    </row>
    <row r="1290" spans="1:13" s="148" customFormat="1" hidden="1" x14ac:dyDescent="0.25">
      <c r="A1290" s="400"/>
      <c r="B1290" s="398"/>
      <c r="C1290" s="398"/>
      <c r="D1290" s="405"/>
      <c r="E1290" s="398"/>
      <c r="F1290" s="395"/>
      <c r="G1290" s="396"/>
      <c r="H1290" s="399"/>
      <c r="I1290" s="395" t="s">
        <v>228</v>
      </c>
      <c r="J1290" s="397" t="s">
        <v>228</v>
      </c>
      <c r="K1290" s="398"/>
      <c r="L1290" s="404"/>
      <c r="M1290" s="400"/>
    </row>
    <row r="1291" spans="1:13" s="148" customFormat="1" hidden="1" x14ac:dyDescent="0.25">
      <c r="A1291" s="400"/>
      <c r="B1291" s="398"/>
      <c r="C1291" s="398"/>
      <c r="D1291" s="405"/>
      <c r="E1291" s="398"/>
      <c r="F1291" s="395"/>
      <c r="G1291" s="396"/>
      <c r="H1291" s="399"/>
      <c r="I1291" s="395" t="s">
        <v>228</v>
      </c>
      <c r="J1291" s="397" t="s">
        <v>228</v>
      </c>
      <c r="K1291" s="398"/>
      <c r="L1291" s="404"/>
      <c r="M1291" s="400"/>
    </row>
    <row r="1292" spans="1:13" s="148" customFormat="1" hidden="1" x14ac:dyDescent="0.25">
      <c r="A1292" s="400"/>
      <c r="B1292" s="398"/>
      <c r="C1292" s="398"/>
      <c r="D1292" s="405"/>
      <c r="E1292" s="398"/>
      <c r="F1292" s="395"/>
      <c r="G1292" s="396"/>
      <c r="H1292" s="399"/>
      <c r="I1292" s="395" t="s">
        <v>228</v>
      </c>
      <c r="J1292" s="397" t="s">
        <v>228</v>
      </c>
      <c r="K1292" s="398"/>
      <c r="L1292" s="404"/>
      <c r="M1292" s="400"/>
    </row>
    <row r="1293" spans="1:13" s="148" customFormat="1" hidden="1" x14ac:dyDescent="0.25">
      <c r="A1293" s="400"/>
      <c r="B1293" s="398"/>
      <c r="C1293" s="398"/>
      <c r="D1293" s="405"/>
      <c r="E1293" s="398"/>
      <c r="F1293" s="395"/>
      <c r="G1293" s="396"/>
      <c r="H1293" s="399"/>
      <c r="I1293" s="395" t="s">
        <v>228</v>
      </c>
      <c r="J1293" s="397" t="s">
        <v>228</v>
      </c>
      <c r="K1293" s="398"/>
      <c r="L1293" s="404"/>
      <c r="M1293" s="400"/>
    </row>
    <row r="1294" spans="1:13" s="148" customFormat="1" hidden="1" x14ac:dyDescent="0.25">
      <c r="A1294" s="400"/>
      <c r="B1294" s="398"/>
      <c r="C1294" s="398"/>
      <c r="D1294" s="405"/>
      <c r="E1294" s="398"/>
      <c r="F1294" s="395"/>
      <c r="G1294" s="396"/>
      <c r="H1294" s="399"/>
      <c r="I1294" s="395" t="s">
        <v>228</v>
      </c>
      <c r="J1294" s="397" t="s">
        <v>228</v>
      </c>
      <c r="K1294" s="398"/>
      <c r="L1294" s="404"/>
      <c r="M1294" s="400"/>
    </row>
    <row r="1295" spans="1:13" s="148" customFormat="1" hidden="1" x14ac:dyDescent="0.25">
      <c r="A1295" s="400"/>
      <c r="B1295" s="398"/>
      <c r="C1295" s="398"/>
      <c r="D1295" s="405"/>
      <c r="E1295" s="398"/>
      <c r="F1295" s="395"/>
      <c r="G1295" s="396"/>
      <c r="H1295" s="399"/>
      <c r="I1295" s="395" t="s">
        <v>228</v>
      </c>
      <c r="J1295" s="397" t="s">
        <v>228</v>
      </c>
      <c r="K1295" s="398"/>
      <c r="L1295" s="404"/>
      <c r="M1295" s="400"/>
    </row>
    <row r="1296" spans="1:13" s="148" customFormat="1" hidden="1" x14ac:dyDescent="0.25">
      <c r="A1296" s="400"/>
      <c r="B1296" s="398"/>
      <c r="C1296" s="398"/>
      <c r="D1296" s="405"/>
      <c r="E1296" s="398"/>
      <c r="F1296" s="395"/>
      <c r="G1296" s="396"/>
      <c r="H1296" s="399"/>
      <c r="I1296" s="395" t="s">
        <v>228</v>
      </c>
      <c r="J1296" s="397" t="s">
        <v>228</v>
      </c>
      <c r="K1296" s="398"/>
      <c r="L1296" s="404"/>
      <c r="M1296" s="400"/>
    </row>
    <row r="1297" spans="1:13" s="148" customFormat="1" hidden="1" x14ac:dyDescent="0.25">
      <c r="A1297" s="400"/>
      <c r="B1297" s="398"/>
      <c r="C1297" s="398"/>
      <c r="D1297" s="405"/>
      <c r="E1297" s="398"/>
      <c r="F1297" s="395"/>
      <c r="G1297" s="396"/>
      <c r="H1297" s="399"/>
      <c r="I1297" s="395" t="s">
        <v>228</v>
      </c>
      <c r="J1297" s="397" t="s">
        <v>228</v>
      </c>
      <c r="K1297" s="398"/>
      <c r="L1297" s="404"/>
      <c r="M1297" s="400"/>
    </row>
    <row r="1298" spans="1:13" s="148" customFormat="1" hidden="1" x14ac:dyDescent="0.25">
      <c r="A1298" s="400"/>
      <c r="B1298" s="398"/>
      <c r="C1298" s="398"/>
      <c r="D1298" s="405"/>
      <c r="E1298" s="398"/>
      <c r="F1298" s="395"/>
      <c r="G1298" s="396"/>
      <c r="H1298" s="399"/>
      <c r="I1298" s="395" t="s">
        <v>228</v>
      </c>
      <c r="J1298" s="397" t="s">
        <v>228</v>
      </c>
      <c r="K1298" s="398"/>
      <c r="L1298" s="404"/>
      <c r="M1298" s="400"/>
    </row>
    <row r="1299" spans="1:13" s="148" customFormat="1" hidden="1" x14ac:dyDescent="0.25">
      <c r="A1299" s="400"/>
      <c r="B1299" s="398"/>
      <c r="C1299" s="398"/>
      <c r="D1299" s="405"/>
      <c r="E1299" s="398"/>
      <c r="F1299" s="395"/>
      <c r="G1299" s="396"/>
      <c r="H1299" s="399"/>
      <c r="I1299" s="395" t="s">
        <v>228</v>
      </c>
      <c r="J1299" s="397" t="s">
        <v>228</v>
      </c>
      <c r="K1299" s="398"/>
      <c r="L1299" s="404"/>
      <c r="M1299" s="400"/>
    </row>
    <row r="1300" spans="1:13" s="148" customFormat="1" hidden="1" x14ac:dyDescent="0.25">
      <c r="A1300" s="400"/>
      <c r="B1300" s="398"/>
      <c r="C1300" s="398"/>
      <c r="D1300" s="405"/>
      <c r="E1300" s="398"/>
      <c r="F1300" s="395"/>
      <c r="G1300" s="396"/>
      <c r="H1300" s="399"/>
      <c r="I1300" s="395" t="s">
        <v>228</v>
      </c>
      <c r="J1300" s="397" t="s">
        <v>228</v>
      </c>
      <c r="K1300" s="398"/>
      <c r="L1300" s="404"/>
      <c r="M1300" s="400"/>
    </row>
    <row r="1301" spans="1:13" s="148" customFormat="1" hidden="1" x14ac:dyDescent="0.25">
      <c r="A1301" s="400"/>
      <c r="B1301" s="398"/>
      <c r="C1301" s="398"/>
      <c r="D1301" s="405"/>
      <c r="E1301" s="398"/>
      <c r="F1301" s="395"/>
      <c r="G1301" s="396"/>
      <c r="H1301" s="399"/>
      <c r="I1301" s="395" t="s">
        <v>228</v>
      </c>
      <c r="J1301" s="397" t="s">
        <v>228</v>
      </c>
      <c r="K1301" s="398"/>
      <c r="L1301" s="404"/>
      <c r="M1301" s="400"/>
    </row>
    <row r="1302" spans="1:13" s="148" customFormat="1" hidden="1" x14ac:dyDescent="0.25">
      <c r="A1302" s="400"/>
      <c r="B1302" s="398"/>
      <c r="C1302" s="398"/>
      <c r="D1302" s="405"/>
      <c r="E1302" s="398"/>
      <c r="F1302" s="395"/>
      <c r="G1302" s="396"/>
      <c r="H1302" s="399"/>
      <c r="I1302" s="395" t="s">
        <v>228</v>
      </c>
      <c r="J1302" s="397" t="s">
        <v>228</v>
      </c>
      <c r="K1302" s="398"/>
      <c r="L1302" s="404"/>
      <c r="M1302" s="400"/>
    </row>
    <row r="1303" spans="1:13" s="148" customFormat="1" hidden="1" x14ac:dyDescent="0.25">
      <c r="A1303" s="400"/>
      <c r="B1303" s="398"/>
      <c r="C1303" s="398"/>
      <c r="D1303" s="405"/>
      <c r="E1303" s="398"/>
      <c r="F1303" s="395"/>
      <c r="G1303" s="396"/>
      <c r="H1303" s="399"/>
      <c r="I1303" s="395" t="s">
        <v>228</v>
      </c>
      <c r="J1303" s="397" t="s">
        <v>228</v>
      </c>
      <c r="K1303" s="398"/>
      <c r="L1303" s="404"/>
      <c r="M1303" s="400"/>
    </row>
    <row r="1304" spans="1:13" s="148" customFormat="1" hidden="1" x14ac:dyDescent="0.25">
      <c r="A1304" s="400"/>
      <c r="B1304" s="398"/>
      <c r="C1304" s="398"/>
      <c r="D1304" s="405"/>
      <c r="E1304" s="398"/>
      <c r="F1304" s="395"/>
      <c r="G1304" s="396"/>
      <c r="H1304" s="399"/>
      <c r="I1304" s="395" t="s">
        <v>228</v>
      </c>
      <c r="J1304" s="397" t="s">
        <v>228</v>
      </c>
      <c r="K1304" s="398"/>
      <c r="L1304" s="404"/>
      <c r="M1304" s="400"/>
    </row>
    <row r="1305" spans="1:13" s="148" customFormat="1" hidden="1" x14ac:dyDescent="0.25">
      <c r="A1305" s="400"/>
      <c r="B1305" s="398"/>
      <c r="C1305" s="398"/>
      <c r="D1305" s="405"/>
      <c r="E1305" s="398"/>
      <c r="F1305" s="395"/>
      <c r="G1305" s="396"/>
      <c r="H1305" s="399"/>
      <c r="I1305" s="395" t="s">
        <v>228</v>
      </c>
      <c r="J1305" s="397" t="s">
        <v>228</v>
      </c>
      <c r="K1305" s="398"/>
      <c r="L1305" s="404"/>
      <c r="M1305" s="400"/>
    </row>
    <row r="1306" spans="1:13" s="148" customFormat="1" hidden="1" x14ac:dyDescent="0.25">
      <c r="A1306" s="400"/>
      <c r="B1306" s="398"/>
      <c r="C1306" s="398"/>
      <c r="D1306" s="405"/>
      <c r="E1306" s="398"/>
      <c r="F1306" s="395"/>
      <c r="G1306" s="396"/>
      <c r="H1306" s="399"/>
      <c r="I1306" s="395" t="s">
        <v>228</v>
      </c>
      <c r="J1306" s="397" t="s">
        <v>228</v>
      </c>
      <c r="K1306" s="398"/>
      <c r="L1306" s="404"/>
      <c r="M1306" s="400"/>
    </row>
    <row r="1307" spans="1:13" s="148" customFormat="1" hidden="1" x14ac:dyDescent="0.25">
      <c r="A1307" s="400"/>
      <c r="B1307" s="398"/>
      <c r="C1307" s="398"/>
      <c r="D1307" s="405"/>
      <c r="E1307" s="398"/>
      <c r="F1307" s="395"/>
      <c r="G1307" s="396"/>
      <c r="H1307" s="399"/>
      <c r="I1307" s="395" t="s">
        <v>228</v>
      </c>
      <c r="J1307" s="397" t="s">
        <v>228</v>
      </c>
      <c r="K1307" s="398"/>
      <c r="L1307" s="404"/>
      <c r="M1307" s="400"/>
    </row>
    <row r="1308" spans="1:13" s="148" customFormat="1" hidden="1" x14ac:dyDescent="0.25">
      <c r="A1308" s="400"/>
      <c r="B1308" s="398"/>
      <c r="C1308" s="398"/>
      <c r="D1308" s="405"/>
      <c r="E1308" s="398"/>
      <c r="F1308" s="395"/>
      <c r="G1308" s="396"/>
      <c r="H1308" s="399"/>
      <c r="I1308" s="395" t="s">
        <v>228</v>
      </c>
      <c r="J1308" s="397" t="s">
        <v>228</v>
      </c>
      <c r="K1308" s="398"/>
      <c r="L1308" s="404"/>
      <c r="M1308" s="400"/>
    </row>
    <row r="1309" spans="1:13" s="148" customFormat="1" hidden="1" x14ac:dyDescent="0.25">
      <c r="A1309" s="400"/>
      <c r="B1309" s="398"/>
      <c r="C1309" s="398"/>
      <c r="D1309" s="405"/>
      <c r="E1309" s="398"/>
      <c r="F1309" s="395"/>
      <c r="G1309" s="396"/>
      <c r="H1309" s="399"/>
      <c r="I1309" s="395" t="s">
        <v>228</v>
      </c>
      <c r="J1309" s="397" t="s">
        <v>228</v>
      </c>
      <c r="K1309" s="398"/>
      <c r="L1309" s="404"/>
      <c r="M1309" s="400"/>
    </row>
    <row r="1310" spans="1:13" s="148" customFormat="1" hidden="1" x14ac:dyDescent="0.25">
      <c r="A1310" s="400"/>
      <c r="B1310" s="398"/>
      <c r="C1310" s="398"/>
      <c r="D1310" s="405"/>
      <c r="E1310" s="398"/>
      <c r="F1310" s="395"/>
      <c r="G1310" s="396"/>
      <c r="H1310" s="399"/>
      <c r="I1310" s="395" t="s">
        <v>228</v>
      </c>
      <c r="J1310" s="397" t="s">
        <v>228</v>
      </c>
      <c r="K1310" s="398"/>
      <c r="L1310" s="404"/>
      <c r="M1310" s="400"/>
    </row>
    <row r="1311" spans="1:13" s="148" customFormat="1" hidden="1" x14ac:dyDescent="0.25">
      <c r="A1311" s="400"/>
      <c r="B1311" s="398"/>
      <c r="C1311" s="398"/>
      <c r="D1311" s="405"/>
      <c r="E1311" s="398"/>
      <c r="F1311" s="395"/>
      <c r="G1311" s="396"/>
      <c r="H1311" s="399"/>
      <c r="I1311" s="395" t="s">
        <v>228</v>
      </c>
      <c r="J1311" s="397" t="s">
        <v>228</v>
      </c>
      <c r="K1311" s="398"/>
      <c r="L1311" s="404"/>
      <c r="M1311" s="400"/>
    </row>
    <row r="1312" spans="1:13" s="148" customFormat="1" hidden="1" x14ac:dyDescent="0.25">
      <c r="A1312" s="400"/>
      <c r="B1312" s="398"/>
      <c r="C1312" s="398"/>
      <c r="D1312" s="405"/>
      <c r="E1312" s="398"/>
      <c r="F1312" s="395"/>
      <c r="G1312" s="396"/>
      <c r="H1312" s="399"/>
      <c r="I1312" s="395" t="s">
        <v>228</v>
      </c>
      <c r="J1312" s="397" t="s">
        <v>228</v>
      </c>
      <c r="K1312" s="398"/>
      <c r="L1312" s="404"/>
      <c r="M1312" s="400"/>
    </row>
    <row r="1313" spans="1:13" s="148" customFormat="1" hidden="1" x14ac:dyDescent="0.25">
      <c r="A1313" s="400"/>
      <c r="B1313" s="398"/>
      <c r="C1313" s="398"/>
      <c r="D1313" s="405"/>
      <c r="E1313" s="398"/>
      <c r="F1313" s="395"/>
      <c r="G1313" s="396"/>
      <c r="H1313" s="399"/>
      <c r="I1313" s="395" t="s">
        <v>228</v>
      </c>
      <c r="J1313" s="397" t="s">
        <v>228</v>
      </c>
      <c r="K1313" s="398"/>
      <c r="L1313" s="404"/>
      <c r="M1313" s="400"/>
    </row>
    <row r="1314" spans="1:13" s="148" customFormat="1" hidden="1" x14ac:dyDescent="0.25">
      <c r="A1314" s="400"/>
      <c r="B1314" s="398"/>
      <c r="C1314" s="398"/>
      <c r="D1314" s="405"/>
      <c r="E1314" s="398"/>
      <c r="F1314" s="395"/>
      <c r="G1314" s="396"/>
      <c r="H1314" s="399"/>
      <c r="I1314" s="395" t="s">
        <v>228</v>
      </c>
      <c r="J1314" s="397" t="s">
        <v>228</v>
      </c>
      <c r="K1314" s="398"/>
      <c r="L1314" s="404"/>
      <c r="M1314" s="400"/>
    </row>
    <row r="1315" spans="1:13" s="148" customFormat="1" hidden="1" x14ac:dyDescent="0.25">
      <c r="A1315" s="400"/>
      <c r="B1315" s="398"/>
      <c r="C1315" s="398"/>
      <c r="D1315" s="405"/>
      <c r="E1315" s="398"/>
      <c r="F1315" s="395"/>
      <c r="G1315" s="396"/>
      <c r="H1315" s="399"/>
      <c r="I1315" s="395" t="s">
        <v>228</v>
      </c>
      <c r="J1315" s="397" t="s">
        <v>228</v>
      </c>
      <c r="K1315" s="398"/>
      <c r="L1315" s="404"/>
      <c r="M1315" s="400"/>
    </row>
    <row r="1316" spans="1:13" s="148" customFormat="1" hidden="1" x14ac:dyDescent="0.25">
      <c r="A1316" s="400"/>
      <c r="B1316" s="398"/>
      <c r="C1316" s="398"/>
      <c r="D1316" s="405"/>
      <c r="E1316" s="398"/>
      <c r="F1316" s="395"/>
      <c r="G1316" s="396"/>
      <c r="H1316" s="399"/>
      <c r="I1316" s="395" t="s">
        <v>228</v>
      </c>
      <c r="J1316" s="397" t="s">
        <v>228</v>
      </c>
      <c r="K1316" s="398"/>
      <c r="L1316" s="404"/>
      <c r="M1316" s="400"/>
    </row>
    <row r="1317" spans="1:13" s="148" customFormat="1" hidden="1" x14ac:dyDescent="0.25">
      <c r="A1317" s="400"/>
      <c r="B1317" s="398"/>
      <c r="C1317" s="398"/>
      <c r="D1317" s="405"/>
      <c r="E1317" s="398"/>
      <c r="F1317" s="395"/>
      <c r="G1317" s="396"/>
      <c r="H1317" s="399"/>
      <c r="I1317" s="395" t="s">
        <v>228</v>
      </c>
      <c r="J1317" s="397" t="s">
        <v>228</v>
      </c>
      <c r="K1317" s="398"/>
      <c r="L1317" s="404"/>
      <c r="M1317" s="400"/>
    </row>
    <row r="1318" spans="1:13" s="148" customFormat="1" hidden="1" x14ac:dyDescent="0.25">
      <c r="A1318" s="400"/>
      <c r="B1318" s="398"/>
      <c r="C1318" s="398"/>
      <c r="D1318" s="405"/>
      <c r="E1318" s="398"/>
      <c r="F1318" s="395"/>
      <c r="G1318" s="396"/>
      <c r="H1318" s="399"/>
      <c r="I1318" s="395" t="s">
        <v>228</v>
      </c>
      <c r="J1318" s="397" t="s">
        <v>228</v>
      </c>
      <c r="K1318" s="398"/>
      <c r="L1318" s="404"/>
      <c r="M1318" s="400"/>
    </row>
    <row r="1319" spans="1:13" s="148" customFormat="1" hidden="1" x14ac:dyDescent="0.25">
      <c r="A1319" s="400"/>
      <c r="B1319" s="398"/>
      <c r="C1319" s="398"/>
      <c r="D1319" s="405"/>
      <c r="E1319" s="398"/>
      <c r="F1319" s="395"/>
      <c r="G1319" s="396"/>
      <c r="H1319" s="399"/>
      <c r="I1319" s="395" t="s">
        <v>228</v>
      </c>
      <c r="J1319" s="397" t="s">
        <v>228</v>
      </c>
      <c r="K1319" s="398"/>
      <c r="L1319" s="404"/>
      <c r="M1319" s="400"/>
    </row>
    <row r="1320" spans="1:13" s="148" customFormat="1" hidden="1" x14ac:dyDescent="0.25">
      <c r="A1320" s="400"/>
      <c r="B1320" s="398"/>
      <c r="C1320" s="398"/>
      <c r="D1320" s="405"/>
      <c r="E1320" s="398"/>
      <c r="F1320" s="395"/>
      <c r="G1320" s="396"/>
      <c r="H1320" s="399"/>
      <c r="I1320" s="395" t="s">
        <v>228</v>
      </c>
      <c r="J1320" s="397" t="s">
        <v>228</v>
      </c>
      <c r="K1320" s="398"/>
      <c r="L1320" s="404"/>
      <c r="M1320" s="400"/>
    </row>
    <row r="1321" spans="1:13" s="148" customFormat="1" hidden="1" x14ac:dyDescent="0.25">
      <c r="A1321" s="400"/>
      <c r="B1321" s="398"/>
      <c r="C1321" s="398"/>
      <c r="D1321" s="405"/>
      <c r="E1321" s="398"/>
      <c r="F1321" s="395"/>
      <c r="G1321" s="396"/>
      <c r="H1321" s="399"/>
      <c r="I1321" s="395" t="s">
        <v>228</v>
      </c>
      <c r="J1321" s="397" t="s">
        <v>228</v>
      </c>
      <c r="K1321" s="398"/>
      <c r="L1321" s="404"/>
      <c r="M1321" s="400"/>
    </row>
    <row r="1322" spans="1:13" s="148" customFormat="1" hidden="1" x14ac:dyDescent="0.25">
      <c r="A1322" s="400"/>
      <c r="B1322" s="398"/>
      <c r="C1322" s="398"/>
      <c r="D1322" s="405"/>
      <c r="E1322" s="398"/>
      <c r="F1322" s="395"/>
      <c r="G1322" s="396"/>
      <c r="H1322" s="399"/>
      <c r="I1322" s="395" t="s">
        <v>228</v>
      </c>
      <c r="J1322" s="397" t="s">
        <v>228</v>
      </c>
      <c r="K1322" s="398"/>
      <c r="L1322" s="404"/>
      <c r="M1322" s="400"/>
    </row>
    <row r="1323" spans="1:13" s="148" customFormat="1" hidden="1" x14ac:dyDescent="0.25">
      <c r="A1323" s="400"/>
      <c r="B1323" s="398"/>
      <c r="C1323" s="398"/>
      <c r="D1323" s="405"/>
      <c r="E1323" s="398"/>
      <c r="F1323" s="395"/>
      <c r="G1323" s="396"/>
      <c r="H1323" s="399"/>
      <c r="I1323" s="395" t="s">
        <v>228</v>
      </c>
      <c r="J1323" s="397" t="s">
        <v>228</v>
      </c>
      <c r="K1323" s="398"/>
      <c r="L1323" s="404"/>
      <c r="M1323" s="400"/>
    </row>
    <row r="1324" spans="1:13" s="148" customFormat="1" hidden="1" x14ac:dyDescent="0.25">
      <c r="A1324" s="400"/>
      <c r="B1324" s="398"/>
      <c r="C1324" s="398"/>
      <c r="D1324" s="405"/>
      <c r="E1324" s="398"/>
      <c r="F1324" s="395"/>
      <c r="G1324" s="396"/>
      <c r="H1324" s="399"/>
      <c r="I1324" s="395" t="s">
        <v>228</v>
      </c>
      <c r="J1324" s="397" t="s">
        <v>228</v>
      </c>
      <c r="K1324" s="398"/>
      <c r="L1324" s="404"/>
      <c r="M1324" s="400"/>
    </row>
    <row r="1325" spans="1:13" s="148" customFormat="1" hidden="1" x14ac:dyDescent="0.25">
      <c r="A1325" s="400"/>
      <c r="B1325" s="398"/>
      <c r="C1325" s="398"/>
      <c r="D1325" s="405"/>
      <c r="E1325" s="398"/>
      <c r="F1325" s="395"/>
      <c r="G1325" s="396"/>
      <c r="H1325" s="399"/>
      <c r="I1325" s="395" t="s">
        <v>228</v>
      </c>
      <c r="J1325" s="397" t="s">
        <v>228</v>
      </c>
      <c r="K1325" s="398"/>
      <c r="L1325" s="404"/>
      <c r="M1325" s="400"/>
    </row>
    <row r="1326" spans="1:13" s="148" customFormat="1" hidden="1" x14ac:dyDescent="0.25">
      <c r="A1326" s="400"/>
      <c r="B1326" s="398"/>
      <c r="C1326" s="398"/>
      <c r="D1326" s="405"/>
      <c r="E1326" s="398"/>
      <c r="F1326" s="395"/>
      <c r="G1326" s="396"/>
      <c r="H1326" s="399"/>
      <c r="I1326" s="395" t="s">
        <v>228</v>
      </c>
      <c r="J1326" s="397" t="s">
        <v>228</v>
      </c>
      <c r="K1326" s="398"/>
      <c r="L1326" s="404"/>
      <c r="M1326" s="400"/>
    </row>
    <row r="1327" spans="1:13" s="148" customFormat="1" hidden="1" x14ac:dyDescent="0.25">
      <c r="A1327" s="400"/>
      <c r="B1327" s="398"/>
      <c r="C1327" s="398"/>
      <c r="D1327" s="405"/>
      <c r="E1327" s="398"/>
      <c r="F1327" s="395"/>
      <c r="G1327" s="396"/>
      <c r="H1327" s="399"/>
      <c r="I1327" s="395" t="s">
        <v>228</v>
      </c>
      <c r="J1327" s="397" t="s">
        <v>228</v>
      </c>
      <c r="K1327" s="398"/>
      <c r="L1327" s="404"/>
      <c r="M1327" s="400"/>
    </row>
    <row r="1328" spans="1:13" s="148" customFormat="1" hidden="1" x14ac:dyDescent="0.25">
      <c r="A1328" s="400"/>
      <c r="B1328" s="398"/>
      <c r="C1328" s="398"/>
      <c r="D1328" s="405"/>
      <c r="E1328" s="398"/>
      <c r="F1328" s="395"/>
      <c r="G1328" s="396"/>
      <c r="H1328" s="399"/>
      <c r="I1328" s="395" t="s">
        <v>228</v>
      </c>
      <c r="J1328" s="397" t="s">
        <v>228</v>
      </c>
      <c r="K1328" s="398"/>
      <c r="L1328" s="404"/>
      <c r="M1328" s="400"/>
    </row>
    <row r="1329" spans="1:13" s="148" customFormat="1" hidden="1" x14ac:dyDescent="0.25">
      <c r="A1329" s="400"/>
      <c r="B1329" s="398"/>
      <c r="C1329" s="398"/>
      <c r="D1329" s="405"/>
      <c r="E1329" s="398"/>
      <c r="F1329" s="395"/>
      <c r="G1329" s="396"/>
      <c r="H1329" s="399"/>
      <c r="I1329" s="395" t="s">
        <v>228</v>
      </c>
      <c r="J1329" s="397" t="s">
        <v>228</v>
      </c>
      <c r="K1329" s="398"/>
      <c r="L1329" s="404"/>
      <c r="M1329" s="400"/>
    </row>
    <row r="1330" spans="1:13" s="148" customFormat="1" hidden="1" x14ac:dyDescent="0.25">
      <c r="A1330" s="400"/>
      <c r="B1330" s="398"/>
      <c r="C1330" s="398"/>
      <c r="D1330" s="405"/>
      <c r="E1330" s="398"/>
      <c r="F1330" s="395"/>
      <c r="G1330" s="396"/>
      <c r="H1330" s="399"/>
      <c r="I1330" s="395" t="s">
        <v>228</v>
      </c>
      <c r="J1330" s="397" t="s">
        <v>228</v>
      </c>
      <c r="K1330" s="398"/>
      <c r="L1330" s="404"/>
      <c r="M1330" s="400"/>
    </row>
    <row r="1331" spans="1:13" s="148" customFormat="1" hidden="1" x14ac:dyDescent="0.25">
      <c r="A1331" s="400"/>
      <c r="B1331" s="398"/>
      <c r="C1331" s="398"/>
      <c r="D1331" s="405"/>
      <c r="E1331" s="398"/>
      <c r="F1331" s="395"/>
      <c r="G1331" s="396"/>
      <c r="H1331" s="399"/>
      <c r="I1331" s="395" t="s">
        <v>228</v>
      </c>
      <c r="J1331" s="397" t="s">
        <v>228</v>
      </c>
      <c r="K1331" s="398"/>
      <c r="L1331" s="404"/>
      <c r="M1331" s="400"/>
    </row>
    <row r="1332" spans="1:13" s="148" customFormat="1" hidden="1" x14ac:dyDescent="0.25">
      <c r="A1332" s="400"/>
      <c r="B1332" s="398"/>
      <c r="C1332" s="398"/>
      <c r="D1332" s="405"/>
      <c r="E1332" s="398"/>
      <c r="F1332" s="395"/>
      <c r="G1332" s="396"/>
      <c r="H1332" s="399"/>
      <c r="I1332" s="395" t="s">
        <v>228</v>
      </c>
      <c r="J1332" s="397" t="s">
        <v>228</v>
      </c>
      <c r="K1332" s="398"/>
      <c r="L1332" s="404"/>
      <c r="M1332" s="400"/>
    </row>
    <row r="1333" spans="1:13" s="148" customFormat="1" hidden="1" x14ac:dyDescent="0.25">
      <c r="A1333" s="400"/>
      <c r="B1333" s="398"/>
      <c r="C1333" s="398"/>
      <c r="D1333" s="405"/>
      <c r="E1333" s="398"/>
      <c r="F1333" s="395"/>
      <c r="G1333" s="396"/>
      <c r="H1333" s="399"/>
      <c r="I1333" s="395" t="s">
        <v>228</v>
      </c>
      <c r="J1333" s="397" t="s">
        <v>228</v>
      </c>
      <c r="K1333" s="398"/>
      <c r="L1333" s="404"/>
      <c r="M1333" s="400"/>
    </row>
    <row r="1334" spans="1:13" s="148" customFormat="1" hidden="1" x14ac:dyDescent="0.25">
      <c r="A1334" s="400"/>
      <c r="B1334" s="398"/>
      <c r="C1334" s="398"/>
      <c r="D1334" s="405"/>
      <c r="E1334" s="398"/>
      <c r="F1334" s="395"/>
      <c r="G1334" s="396"/>
      <c r="H1334" s="399"/>
      <c r="I1334" s="395" t="s">
        <v>228</v>
      </c>
      <c r="J1334" s="397" t="s">
        <v>228</v>
      </c>
      <c r="K1334" s="398"/>
      <c r="L1334" s="404"/>
      <c r="M1334" s="400"/>
    </row>
    <row r="1335" spans="1:13" s="148" customFormat="1" hidden="1" x14ac:dyDescent="0.25">
      <c r="A1335" s="400"/>
      <c r="B1335" s="398"/>
      <c r="C1335" s="398"/>
      <c r="D1335" s="405"/>
      <c r="E1335" s="398"/>
      <c r="F1335" s="395"/>
      <c r="G1335" s="396"/>
      <c r="H1335" s="399"/>
      <c r="I1335" s="395" t="s">
        <v>228</v>
      </c>
      <c r="J1335" s="397" t="s">
        <v>228</v>
      </c>
      <c r="K1335" s="398"/>
      <c r="L1335" s="404"/>
      <c r="M1335" s="400"/>
    </row>
    <row r="1336" spans="1:13" s="148" customFormat="1" hidden="1" x14ac:dyDescent="0.25">
      <c r="A1336" s="400"/>
      <c r="B1336" s="398"/>
      <c r="C1336" s="398"/>
      <c r="D1336" s="405"/>
      <c r="E1336" s="398"/>
      <c r="F1336" s="395"/>
      <c r="G1336" s="396"/>
      <c r="H1336" s="399"/>
      <c r="I1336" s="395" t="s">
        <v>228</v>
      </c>
      <c r="J1336" s="397" t="s">
        <v>228</v>
      </c>
      <c r="K1336" s="398"/>
      <c r="L1336" s="404"/>
      <c r="M1336" s="400"/>
    </row>
    <row r="1337" spans="1:13" s="148" customFormat="1" hidden="1" x14ac:dyDescent="0.25">
      <c r="A1337" s="400"/>
      <c r="B1337" s="398"/>
      <c r="C1337" s="398"/>
      <c r="D1337" s="405"/>
      <c r="E1337" s="398"/>
      <c r="F1337" s="395"/>
      <c r="G1337" s="396"/>
      <c r="H1337" s="399"/>
      <c r="I1337" s="395" t="s">
        <v>228</v>
      </c>
      <c r="J1337" s="397" t="s">
        <v>228</v>
      </c>
      <c r="K1337" s="398"/>
      <c r="L1337" s="404"/>
      <c r="M1337" s="400"/>
    </row>
    <row r="1338" spans="1:13" s="148" customFormat="1" hidden="1" x14ac:dyDescent="0.25">
      <c r="A1338" s="400"/>
      <c r="B1338" s="398"/>
      <c r="C1338" s="398"/>
      <c r="D1338" s="405"/>
      <c r="E1338" s="398"/>
      <c r="F1338" s="395"/>
      <c r="G1338" s="396"/>
      <c r="H1338" s="399"/>
      <c r="I1338" s="395" t="s">
        <v>228</v>
      </c>
      <c r="J1338" s="397" t="s">
        <v>228</v>
      </c>
      <c r="K1338" s="398"/>
      <c r="L1338" s="404"/>
      <c r="M1338" s="400"/>
    </row>
    <row r="1339" spans="1:13" s="148" customFormat="1" hidden="1" x14ac:dyDescent="0.25">
      <c r="A1339" s="400"/>
      <c r="B1339" s="398"/>
      <c r="C1339" s="398"/>
      <c r="D1339" s="405"/>
      <c r="E1339" s="398"/>
      <c r="F1339" s="395"/>
      <c r="G1339" s="396"/>
      <c r="H1339" s="399"/>
      <c r="I1339" s="395" t="s">
        <v>228</v>
      </c>
      <c r="J1339" s="397" t="s">
        <v>228</v>
      </c>
      <c r="K1339" s="398"/>
      <c r="L1339" s="404"/>
      <c r="M1339" s="400"/>
    </row>
    <row r="1340" spans="1:13" s="148" customFormat="1" hidden="1" x14ac:dyDescent="0.25">
      <c r="A1340" s="400"/>
      <c r="B1340" s="398"/>
      <c r="C1340" s="398"/>
      <c r="D1340" s="405"/>
      <c r="E1340" s="398"/>
      <c r="F1340" s="395"/>
      <c r="G1340" s="396"/>
      <c r="H1340" s="399"/>
      <c r="I1340" s="395" t="s">
        <v>228</v>
      </c>
      <c r="J1340" s="397" t="s">
        <v>228</v>
      </c>
      <c r="K1340" s="398"/>
      <c r="L1340" s="404"/>
      <c r="M1340" s="400"/>
    </row>
    <row r="1341" spans="1:13" s="148" customFormat="1" hidden="1" x14ac:dyDescent="0.25">
      <c r="A1341" s="400"/>
      <c r="B1341" s="398"/>
      <c r="C1341" s="398"/>
      <c r="D1341" s="405"/>
      <c r="E1341" s="398"/>
      <c r="F1341" s="395"/>
      <c r="G1341" s="396"/>
      <c r="H1341" s="399"/>
      <c r="I1341" s="395" t="s">
        <v>228</v>
      </c>
      <c r="J1341" s="397" t="s">
        <v>228</v>
      </c>
      <c r="K1341" s="398"/>
      <c r="L1341" s="404"/>
      <c r="M1341" s="400"/>
    </row>
    <row r="1342" spans="1:13" s="148" customFormat="1" hidden="1" x14ac:dyDescent="0.25">
      <c r="A1342" s="400"/>
      <c r="B1342" s="398"/>
      <c r="C1342" s="398"/>
      <c r="D1342" s="405"/>
      <c r="E1342" s="398"/>
      <c r="F1342" s="395"/>
      <c r="G1342" s="396"/>
      <c r="H1342" s="399"/>
      <c r="I1342" s="395" t="s">
        <v>228</v>
      </c>
      <c r="J1342" s="397" t="s">
        <v>228</v>
      </c>
      <c r="K1342" s="398"/>
      <c r="L1342" s="404"/>
      <c r="M1342" s="400"/>
    </row>
    <row r="1343" spans="1:13" s="148" customFormat="1" hidden="1" x14ac:dyDescent="0.25">
      <c r="A1343" s="400"/>
      <c r="B1343" s="398"/>
      <c r="C1343" s="398"/>
      <c r="D1343" s="405"/>
      <c r="E1343" s="398"/>
      <c r="F1343" s="395"/>
      <c r="G1343" s="396"/>
      <c r="H1343" s="399"/>
      <c r="I1343" s="395" t="s">
        <v>228</v>
      </c>
      <c r="J1343" s="397" t="s">
        <v>228</v>
      </c>
      <c r="K1343" s="398"/>
      <c r="L1343" s="404"/>
      <c r="M1343" s="400"/>
    </row>
    <row r="1344" spans="1:13" s="148" customFormat="1" hidden="1" x14ac:dyDescent="0.25">
      <c r="A1344" s="400"/>
      <c r="B1344" s="398"/>
      <c r="C1344" s="398"/>
      <c r="D1344" s="405"/>
      <c r="E1344" s="398"/>
      <c r="F1344" s="395"/>
      <c r="G1344" s="396"/>
      <c r="H1344" s="399"/>
      <c r="I1344" s="395" t="s">
        <v>228</v>
      </c>
      <c r="J1344" s="397" t="s">
        <v>228</v>
      </c>
      <c r="K1344" s="398"/>
      <c r="L1344" s="404"/>
      <c r="M1344" s="400"/>
    </row>
    <row r="1345" spans="1:13" s="148" customFormat="1" hidden="1" x14ac:dyDescent="0.25">
      <c r="A1345" s="400"/>
      <c r="B1345" s="398"/>
      <c r="C1345" s="398"/>
      <c r="D1345" s="405"/>
      <c r="E1345" s="398"/>
      <c r="F1345" s="395"/>
      <c r="G1345" s="396"/>
      <c r="H1345" s="399"/>
      <c r="I1345" s="395" t="s">
        <v>228</v>
      </c>
      <c r="J1345" s="397" t="s">
        <v>228</v>
      </c>
      <c r="K1345" s="398"/>
      <c r="L1345" s="404"/>
      <c r="M1345" s="400"/>
    </row>
    <row r="1346" spans="1:13" s="148" customFormat="1" hidden="1" x14ac:dyDescent="0.25">
      <c r="A1346" s="400"/>
      <c r="B1346" s="398"/>
      <c r="C1346" s="398"/>
      <c r="D1346" s="405"/>
      <c r="E1346" s="398"/>
      <c r="F1346" s="395"/>
      <c r="G1346" s="396"/>
      <c r="H1346" s="399"/>
      <c r="I1346" s="395" t="s">
        <v>228</v>
      </c>
      <c r="J1346" s="397" t="s">
        <v>228</v>
      </c>
      <c r="K1346" s="398"/>
      <c r="L1346" s="404"/>
      <c r="M1346" s="400"/>
    </row>
    <row r="1347" spans="1:13" s="148" customFormat="1" hidden="1" x14ac:dyDescent="0.25">
      <c r="A1347" s="400"/>
      <c r="B1347" s="398"/>
      <c r="C1347" s="398"/>
      <c r="D1347" s="405"/>
      <c r="E1347" s="398"/>
      <c r="F1347" s="395"/>
      <c r="G1347" s="396"/>
      <c r="H1347" s="399"/>
      <c r="I1347" s="395" t="s">
        <v>228</v>
      </c>
      <c r="J1347" s="397" t="s">
        <v>228</v>
      </c>
      <c r="K1347" s="398"/>
      <c r="L1347" s="404"/>
      <c r="M1347" s="400"/>
    </row>
    <row r="1348" spans="1:13" s="148" customFormat="1" hidden="1" x14ac:dyDescent="0.25">
      <c r="A1348" s="400"/>
      <c r="B1348" s="398"/>
      <c r="C1348" s="398"/>
      <c r="D1348" s="405"/>
      <c r="E1348" s="398"/>
      <c r="F1348" s="395"/>
      <c r="G1348" s="396"/>
      <c r="H1348" s="399"/>
      <c r="I1348" s="395" t="s">
        <v>228</v>
      </c>
      <c r="J1348" s="397" t="s">
        <v>228</v>
      </c>
      <c r="K1348" s="398"/>
      <c r="L1348" s="404"/>
      <c r="M1348" s="400"/>
    </row>
    <row r="1349" spans="1:13" s="148" customFormat="1" hidden="1" x14ac:dyDescent="0.25">
      <c r="A1349" s="400"/>
      <c r="B1349" s="398"/>
      <c r="C1349" s="398"/>
      <c r="D1349" s="405"/>
      <c r="E1349" s="398"/>
      <c r="F1349" s="395"/>
      <c r="G1349" s="396"/>
      <c r="H1349" s="399"/>
      <c r="I1349" s="395" t="s">
        <v>228</v>
      </c>
      <c r="J1349" s="397" t="s">
        <v>228</v>
      </c>
      <c r="K1349" s="398"/>
      <c r="L1349" s="404"/>
      <c r="M1349" s="400"/>
    </row>
    <row r="1350" spans="1:13" s="148" customFormat="1" hidden="1" x14ac:dyDescent="0.25">
      <c r="A1350" s="400"/>
      <c r="B1350" s="398"/>
      <c r="C1350" s="398"/>
      <c r="D1350" s="405"/>
      <c r="E1350" s="398"/>
      <c r="F1350" s="395"/>
      <c r="G1350" s="396"/>
      <c r="H1350" s="399"/>
      <c r="I1350" s="395" t="s">
        <v>228</v>
      </c>
      <c r="J1350" s="397" t="s">
        <v>228</v>
      </c>
      <c r="K1350" s="398"/>
      <c r="L1350" s="404"/>
      <c r="M1350" s="400"/>
    </row>
    <row r="1351" spans="1:13" s="148" customFormat="1" hidden="1" x14ac:dyDescent="0.25">
      <c r="A1351" s="400"/>
      <c r="B1351" s="398"/>
      <c r="C1351" s="398"/>
      <c r="D1351" s="405"/>
      <c r="E1351" s="398"/>
      <c r="F1351" s="395"/>
      <c r="G1351" s="396"/>
      <c r="H1351" s="399"/>
      <c r="I1351" s="395" t="s">
        <v>228</v>
      </c>
      <c r="J1351" s="397" t="s">
        <v>228</v>
      </c>
      <c r="K1351" s="398"/>
      <c r="L1351" s="404"/>
      <c r="M1351" s="400"/>
    </row>
    <row r="1352" spans="1:13" s="148" customFormat="1" hidden="1" x14ac:dyDescent="0.25">
      <c r="A1352" s="400"/>
      <c r="B1352" s="398"/>
      <c r="C1352" s="398"/>
      <c r="D1352" s="405"/>
      <c r="E1352" s="398"/>
      <c r="F1352" s="395"/>
      <c r="G1352" s="396"/>
      <c r="H1352" s="399"/>
      <c r="I1352" s="395" t="s">
        <v>228</v>
      </c>
      <c r="J1352" s="397" t="s">
        <v>228</v>
      </c>
      <c r="K1352" s="398"/>
      <c r="L1352" s="404"/>
      <c r="M1352" s="400"/>
    </row>
    <row r="1353" spans="1:13" s="148" customFormat="1" hidden="1" x14ac:dyDescent="0.25">
      <c r="A1353" s="400"/>
      <c r="B1353" s="398"/>
      <c r="C1353" s="398"/>
      <c r="D1353" s="405"/>
      <c r="E1353" s="398"/>
      <c r="F1353" s="395"/>
      <c r="G1353" s="396"/>
      <c r="H1353" s="399"/>
      <c r="I1353" s="395" t="s">
        <v>228</v>
      </c>
      <c r="J1353" s="397" t="s">
        <v>228</v>
      </c>
      <c r="K1353" s="398"/>
      <c r="L1353" s="404"/>
      <c r="M1353" s="400"/>
    </row>
    <row r="1354" spans="1:13" s="148" customFormat="1" hidden="1" x14ac:dyDescent="0.25">
      <c r="A1354" s="400"/>
      <c r="B1354" s="398"/>
      <c r="C1354" s="398"/>
      <c r="D1354" s="405"/>
      <c r="E1354" s="398"/>
      <c r="F1354" s="395"/>
      <c r="G1354" s="396"/>
      <c r="H1354" s="399"/>
      <c r="I1354" s="395" t="s">
        <v>228</v>
      </c>
      <c r="J1354" s="397" t="s">
        <v>228</v>
      </c>
      <c r="K1354" s="398"/>
      <c r="L1354" s="404"/>
      <c r="M1354" s="400"/>
    </row>
    <row r="1355" spans="1:13" s="148" customFormat="1" hidden="1" x14ac:dyDescent="0.25">
      <c r="A1355" s="400"/>
      <c r="B1355" s="398"/>
      <c r="C1355" s="398"/>
      <c r="D1355" s="405"/>
      <c r="E1355" s="398"/>
      <c r="F1355" s="395"/>
      <c r="G1355" s="396"/>
      <c r="H1355" s="399"/>
      <c r="I1355" s="395" t="s">
        <v>228</v>
      </c>
      <c r="J1355" s="397" t="s">
        <v>228</v>
      </c>
      <c r="K1355" s="398"/>
      <c r="L1355" s="404"/>
      <c r="M1355" s="400"/>
    </row>
    <row r="1356" spans="1:13" s="148" customFormat="1" hidden="1" x14ac:dyDescent="0.25">
      <c r="A1356" s="400"/>
      <c r="B1356" s="398"/>
      <c r="C1356" s="398"/>
      <c r="D1356" s="405"/>
      <c r="E1356" s="398"/>
      <c r="F1356" s="395"/>
      <c r="G1356" s="396"/>
      <c r="H1356" s="399"/>
      <c r="I1356" s="395" t="s">
        <v>228</v>
      </c>
      <c r="J1356" s="397" t="s">
        <v>228</v>
      </c>
      <c r="K1356" s="398"/>
      <c r="L1356" s="404"/>
      <c r="M1356" s="400"/>
    </row>
    <row r="1357" spans="1:13" s="148" customFormat="1" hidden="1" x14ac:dyDescent="0.25">
      <c r="A1357" s="400"/>
      <c r="B1357" s="398"/>
      <c r="C1357" s="398"/>
      <c r="D1357" s="405"/>
      <c r="E1357" s="398"/>
      <c r="F1357" s="395"/>
      <c r="G1357" s="396"/>
      <c r="H1357" s="399"/>
      <c r="I1357" s="395" t="s">
        <v>228</v>
      </c>
      <c r="J1357" s="397" t="s">
        <v>228</v>
      </c>
      <c r="K1357" s="398"/>
      <c r="L1357" s="404"/>
      <c r="M1357" s="400"/>
    </row>
    <row r="1358" spans="1:13" s="148" customFormat="1" hidden="1" x14ac:dyDescent="0.25">
      <c r="A1358" s="400"/>
      <c r="B1358" s="398"/>
      <c r="C1358" s="398"/>
      <c r="D1358" s="405"/>
      <c r="E1358" s="398"/>
      <c r="F1358" s="395"/>
      <c r="G1358" s="396"/>
      <c r="H1358" s="399"/>
      <c r="I1358" s="395" t="s">
        <v>228</v>
      </c>
      <c r="J1358" s="397" t="s">
        <v>228</v>
      </c>
      <c r="K1358" s="398"/>
      <c r="L1358" s="404"/>
      <c r="M1358" s="400"/>
    </row>
    <row r="1359" spans="1:13" s="148" customFormat="1" hidden="1" x14ac:dyDescent="0.25">
      <c r="A1359" s="400"/>
      <c r="B1359" s="398"/>
      <c r="C1359" s="398"/>
      <c r="D1359" s="405"/>
      <c r="E1359" s="398"/>
      <c r="F1359" s="395"/>
      <c r="G1359" s="396"/>
      <c r="H1359" s="399"/>
      <c r="I1359" s="395" t="s">
        <v>228</v>
      </c>
      <c r="J1359" s="397" t="s">
        <v>228</v>
      </c>
      <c r="K1359" s="398"/>
      <c r="L1359" s="404"/>
      <c r="M1359" s="400"/>
    </row>
    <row r="1360" spans="1:13" s="148" customFormat="1" hidden="1" x14ac:dyDescent="0.25">
      <c r="A1360" s="400"/>
      <c r="B1360" s="398"/>
      <c r="C1360" s="398"/>
      <c r="D1360" s="405"/>
      <c r="E1360" s="398"/>
      <c r="F1360" s="395"/>
      <c r="G1360" s="396"/>
      <c r="H1360" s="399"/>
      <c r="I1360" s="395" t="s">
        <v>228</v>
      </c>
      <c r="J1360" s="397" t="s">
        <v>228</v>
      </c>
      <c r="K1360" s="398"/>
      <c r="L1360" s="404"/>
      <c r="M1360" s="400"/>
    </row>
    <row r="1361" spans="1:13" s="148" customFormat="1" hidden="1" x14ac:dyDescent="0.25">
      <c r="A1361" s="400"/>
      <c r="B1361" s="398"/>
      <c r="C1361" s="398"/>
      <c r="D1361" s="405"/>
      <c r="E1361" s="398"/>
      <c r="F1361" s="395"/>
      <c r="G1361" s="396"/>
      <c r="H1361" s="399"/>
      <c r="I1361" s="395" t="s">
        <v>228</v>
      </c>
      <c r="J1361" s="397" t="s">
        <v>228</v>
      </c>
      <c r="K1361" s="398"/>
      <c r="L1361" s="404"/>
      <c r="M1361" s="400"/>
    </row>
    <row r="1362" spans="1:13" s="148" customFormat="1" hidden="1" x14ac:dyDescent="0.25">
      <c r="A1362" s="400"/>
      <c r="B1362" s="398"/>
      <c r="C1362" s="398"/>
      <c r="D1362" s="405"/>
      <c r="E1362" s="398"/>
      <c r="F1362" s="395"/>
      <c r="G1362" s="396"/>
      <c r="H1362" s="399"/>
      <c r="I1362" s="395" t="s">
        <v>228</v>
      </c>
      <c r="J1362" s="397" t="s">
        <v>228</v>
      </c>
      <c r="K1362" s="398"/>
      <c r="L1362" s="404"/>
      <c r="M1362" s="400"/>
    </row>
    <row r="1363" spans="1:13" s="148" customFormat="1" hidden="1" x14ac:dyDescent="0.25">
      <c r="A1363" s="400"/>
      <c r="B1363" s="398"/>
      <c r="C1363" s="398"/>
      <c r="D1363" s="405"/>
      <c r="E1363" s="398"/>
      <c r="F1363" s="395"/>
      <c r="G1363" s="396"/>
      <c r="H1363" s="399"/>
      <c r="I1363" s="395" t="s">
        <v>228</v>
      </c>
      <c r="J1363" s="397" t="s">
        <v>228</v>
      </c>
      <c r="K1363" s="398"/>
      <c r="L1363" s="404"/>
      <c r="M1363" s="400"/>
    </row>
    <row r="1364" spans="1:13" s="148" customFormat="1" hidden="1" x14ac:dyDescent="0.25">
      <c r="A1364" s="400"/>
      <c r="B1364" s="398"/>
      <c r="C1364" s="398"/>
      <c r="D1364" s="405"/>
      <c r="E1364" s="398"/>
      <c r="F1364" s="395"/>
      <c r="G1364" s="396"/>
      <c r="H1364" s="399"/>
      <c r="I1364" s="395" t="s">
        <v>228</v>
      </c>
      <c r="J1364" s="397" t="s">
        <v>228</v>
      </c>
      <c r="K1364" s="398"/>
      <c r="L1364" s="404"/>
      <c r="M1364" s="400"/>
    </row>
    <row r="1365" spans="1:13" s="148" customFormat="1" hidden="1" x14ac:dyDescent="0.25">
      <c r="A1365" s="400"/>
      <c r="B1365" s="398"/>
      <c r="C1365" s="398"/>
      <c r="D1365" s="405"/>
      <c r="E1365" s="398"/>
      <c r="F1365" s="395"/>
      <c r="G1365" s="396"/>
      <c r="H1365" s="399"/>
      <c r="I1365" s="395" t="s">
        <v>228</v>
      </c>
      <c r="J1365" s="397" t="s">
        <v>228</v>
      </c>
      <c r="K1365" s="398"/>
      <c r="L1365" s="404"/>
      <c r="M1365" s="400"/>
    </row>
    <row r="1366" spans="1:13" s="148" customFormat="1" hidden="1" x14ac:dyDescent="0.25">
      <c r="A1366" s="400"/>
      <c r="B1366" s="398"/>
      <c r="C1366" s="398"/>
      <c r="D1366" s="405"/>
      <c r="E1366" s="398"/>
      <c r="F1366" s="395"/>
      <c r="G1366" s="396"/>
      <c r="H1366" s="399"/>
      <c r="I1366" s="395" t="s">
        <v>228</v>
      </c>
      <c r="J1366" s="397" t="s">
        <v>228</v>
      </c>
      <c r="K1366" s="398"/>
      <c r="L1366" s="404"/>
      <c r="M1366" s="400"/>
    </row>
    <row r="1367" spans="1:13" s="148" customFormat="1" hidden="1" x14ac:dyDescent="0.25">
      <c r="A1367" s="400"/>
      <c r="B1367" s="398"/>
      <c r="C1367" s="398"/>
      <c r="D1367" s="405"/>
      <c r="E1367" s="398"/>
      <c r="F1367" s="395"/>
      <c r="G1367" s="396"/>
      <c r="H1367" s="399"/>
      <c r="I1367" s="395" t="s">
        <v>228</v>
      </c>
      <c r="J1367" s="397" t="s">
        <v>228</v>
      </c>
      <c r="K1367" s="398"/>
      <c r="L1367" s="404"/>
      <c r="M1367" s="400"/>
    </row>
    <row r="1368" spans="1:13" s="148" customFormat="1" hidden="1" x14ac:dyDescent="0.25">
      <c r="A1368" s="400"/>
      <c r="B1368" s="398"/>
      <c r="C1368" s="398"/>
      <c r="D1368" s="405"/>
      <c r="E1368" s="398"/>
      <c r="F1368" s="395"/>
      <c r="G1368" s="396"/>
      <c r="H1368" s="399"/>
      <c r="I1368" s="395" t="s">
        <v>228</v>
      </c>
      <c r="J1368" s="397" t="s">
        <v>228</v>
      </c>
      <c r="K1368" s="398"/>
      <c r="L1368" s="404"/>
      <c r="M1368" s="400"/>
    </row>
    <row r="1369" spans="1:13" s="148" customFormat="1" hidden="1" x14ac:dyDescent="0.25">
      <c r="A1369" s="400"/>
      <c r="B1369" s="398"/>
      <c r="C1369" s="398"/>
      <c r="D1369" s="405"/>
      <c r="E1369" s="398"/>
      <c r="F1369" s="395"/>
      <c r="G1369" s="396"/>
      <c r="H1369" s="399"/>
      <c r="I1369" s="395" t="s">
        <v>228</v>
      </c>
      <c r="J1369" s="397" t="s">
        <v>228</v>
      </c>
      <c r="K1369" s="398"/>
      <c r="L1369" s="404"/>
      <c r="M1369" s="400"/>
    </row>
    <row r="1370" spans="1:13" s="148" customFormat="1" hidden="1" x14ac:dyDescent="0.25">
      <c r="A1370" s="400"/>
      <c r="B1370" s="398"/>
      <c r="C1370" s="398"/>
      <c r="D1370" s="405"/>
      <c r="E1370" s="398"/>
      <c r="F1370" s="395"/>
      <c r="G1370" s="396"/>
      <c r="H1370" s="399"/>
      <c r="I1370" s="395" t="s">
        <v>228</v>
      </c>
      <c r="J1370" s="397" t="s">
        <v>228</v>
      </c>
      <c r="K1370" s="398"/>
      <c r="L1370" s="404"/>
      <c r="M1370" s="400"/>
    </row>
    <row r="1371" spans="1:13" s="148" customFormat="1" hidden="1" x14ac:dyDescent="0.25">
      <c r="A1371" s="400"/>
      <c r="B1371" s="398"/>
      <c r="C1371" s="398"/>
      <c r="D1371" s="405"/>
      <c r="E1371" s="398"/>
      <c r="F1371" s="395"/>
      <c r="G1371" s="396"/>
      <c r="H1371" s="399"/>
      <c r="I1371" s="395" t="s">
        <v>228</v>
      </c>
      <c r="J1371" s="397" t="s">
        <v>228</v>
      </c>
      <c r="K1371" s="398"/>
      <c r="L1371" s="404"/>
      <c r="M1371" s="400"/>
    </row>
    <row r="1372" spans="1:13" s="148" customFormat="1" hidden="1" x14ac:dyDescent="0.25">
      <c r="A1372" s="400"/>
      <c r="B1372" s="398"/>
      <c r="C1372" s="398"/>
      <c r="D1372" s="405"/>
      <c r="E1372" s="398"/>
      <c r="F1372" s="395"/>
      <c r="G1372" s="396"/>
      <c r="H1372" s="399"/>
      <c r="I1372" s="395" t="s">
        <v>228</v>
      </c>
      <c r="J1372" s="397" t="s">
        <v>228</v>
      </c>
      <c r="K1372" s="398"/>
      <c r="L1372" s="404"/>
      <c r="M1372" s="400"/>
    </row>
    <row r="1373" spans="1:13" s="148" customFormat="1" hidden="1" x14ac:dyDescent="0.25">
      <c r="A1373" s="400"/>
      <c r="B1373" s="398"/>
      <c r="C1373" s="398"/>
      <c r="D1373" s="405"/>
      <c r="E1373" s="398"/>
      <c r="F1373" s="395"/>
      <c r="G1373" s="396"/>
      <c r="H1373" s="399"/>
      <c r="I1373" s="395" t="s">
        <v>228</v>
      </c>
      <c r="J1373" s="397" t="s">
        <v>228</v>
      </c>
      <c r="K1373" s="398"/>
      <c r="L1373" s="404"/>
      <c r="M1373" s="400"/>
    </row>
    <row r="1374" spans="1:13" s="148" customFormat="1" hidden="1" x14ac:dyDescent="0.25">
      <c r="A1374" s="400"/>
      <c r="B1374" s="398"/>
      <c r="C1374" s="398"/>
      <c r="D1374" s="405"/>
      <c r="E1374" s="398"/>
      <c r="F1374" s="395"/>
      <c r="G1374" s="396"/>
      <c r="H1374" s="399"/>
      <c r="I1374" s="395" t="s">
        <v>228</v>
      </c>
      <c r="J1374" s="397" t="s">
        <v>228</v>
      </c>
      <c r="K1374" s="398"/>
      <c r="L1374" s="404"/>
      <c r="M1374" s="400"/>
    </row>
    <row r="1375" spans="1:13" s="148" customFormat="1" hidden="1" x14ac:dyDescent="0.25">
      <c r="A1375" s="400"/>
      <c r="B1375" s="398"/>
      <c r="C1375" s="398"/>
      <c r="D1375" s="405"/>
      <c r="E1375" s="398"/>
      <c r="F1375" s="395"/>
      <c r="G1375" s="396"/>
      <c r="H1375" s="399"/>
      <c r="I1375" s="395" t="s">
        <v>228</v>
      </c>
      <c r="J1375" s="397" t="s">
        <v>228</v>
      </c>
      <c r="K1375" s="398"/>
      <c r="L1375" s="404"/>
      <c r="M1375" s="400"/>
    </row>
    <row r="1376" spans="1:13" s="148" customFormat="1" hidden="1" x14ac:dyDescent="0.25">
      <c r="A1376" s="400"/>
      <c r="B1376" s="398"/>
      <c r="C1376" s="398"/>
      <c r="D1376" s="405"/>
      <c r="E1376" s="398"/>
      <c r="F1376" s="395"/>
      <c r="G1376" s="396"/>
      <c r="H1376" s="399"/>
      <c r="I1376" s="395" t="s">
        <v>228</v>
      </c>
      <c r="J1376" s="397" t="s">
        <v>228</v>
      </c>
      <c r="K1376" s="398"/>
      <c r="L1376" s="404"/>
      <c r="M1376" s="400"/>
    </row>
    <row r="1377" spans="1:13" s="148" customFormat="1" hidden="1" x14ac:dyDescent="0.25">
      <c r="A1377" s="400"/>
      <c r="B1377" s="398"/>
      <c r="C1377" s="398"/>
      <c r="D1377" s="405"/>
      <c r="E1377" s="398"/>
      <c r="F1377" s="395"/>
      <c r="G1377" s="396"/>
      <c r="H1377" s="399"/>
      <c r="I1377" s="395" t="s">
        <v>228</v>
      </c>
      <c r="J1377" s="397" t="s">
        <v>228</v>
      </c>
      <c r="K1377" s="398"/>
      <c r="L1377" s="404"/>
      <c r="M1377" s="400"/>
    </row>
    <row r="1378" spans="1:13" s="148" customFormat="1" hidden="1" x14ac:dyDescent="0.25">
      <c r="A1378" s="400"/>
      <c r="B1378" s="398"/>
      <c r="C1378" s="398"/>
      <c r="D1378" s="405"/>
      <c r="E1378" s="398"/>
      <c r="F1378" s="395"/>
      <c r="G1378" s="396"/>
      <c r="H1378" s="399"/>
      <c r="I1378" s="395" t="s">
        <v>228</v>
      </c>
      <c r="J1378" s="397" t="s">
        <v>228</v>
      </c>
      <c r="K1378" s="398"/>
      <c r="L1378" s="404"/>
      <c r="M1378" s="400"/>
    </row>
    <row r="1379" spans="1:13" s="148" customFormat="1" hidden="1" x14ac:dyDescent="0.25">
      <c r="A1379" s="400"/>
      <c r="B1379" s="398"/>
      <c r="C1379" s="398"/>
      <c r="D1379" s="405"/>
      <c r="E1379" s="398"/>
      <c r="F1379" s="395"/>
      <c r="G1379" s="396"/>
      <c r="H1379" s="399"/>
      <c r="I1379" s="395" t="s">
        <v>228</v>
      </c>
      <c r="J1379" s="397" t="s">
        <v>228</v>
      </c>
      <c r="K1379" s="398"/>
      <c r="L1379" s="404"/>
      <c r="M1379" s="400"/>
    </row>
    <row r="1380" spans="1:13" s="148" customFormat="1" hidden="1" x14ac:dyDescent="0.25">
      <c r="A1380" s="400"/>
      <c r="B1380" s="398"/>
      <c r="C1380" s="398"/>
      <c r="D1380" s="405"/>
      <c r="E1380" s="398"/>
      <c r="F1380" s="395"/>
      <c r="G1380" s="396"/>
      <c r="H1380" s="399"/>
      <c r="I1380" s="395" t="s">
        <v>228</v>
      </c>
      <c r="J1380" s="397" t="s">
        <v>228</v>
      </c>
      <c r="K1380" s="398"/>
      <c r="L1380" s="404"/>
      <c r="M1380" s="400"/>
    </row>
    <row r="1381" spans="1:13" s="148" customFormat="1" hidden="1" x14ac:dyDescent="0.25">
      <c r="A1381" s="400"/>
      <c r="B1381" s="398"/>
      <c r="C1381" s="398"/>
      <c r="D1381" s="405"/>
      <c r="E1381" s="398"/>
      <c r="F1381" s="395"/>
      <c r="G1381" s="396"/>
      <c r="H1381" s="399"/>
      <c r="I1381" s="395" t="s">
        <v>228</v>
      </c>
      <c r="J1381" s="397" t="s">
        <v>228</v>
      </c>
      <c r="K1381" s="398"/>
      <c r="L1381" s="404"/>
      <c r="M1381" s="400"/>
    </row>
    <row r="1382" spans="1:13" s="148" customFormat="1" hidden="1" x14ac:dyDescent="0.25">
      <c r="A1382" s="400"/>
      <c r="B1382" s="398"/>
      <c r="C1382" s="398"/>
      <c r="D1382" s="405"/>
      <c r="E1382" s="398"/>
      <c r="F1382" s="395"/>
      <c r="G1382" s="396"/>
      <c r="H1382" s="399"/>
      <c r="I1382" s="395" t="s">
        <v>228</v>
      </c>
      <c r="J1382" s="397" t="s">
        <v>228</v>
      </c>
      <c r="K1382" s="398"/>
      <c r="L1382" s="404"/>
      <c r="M1382" s="400"/>
    </row>
    <row r="1383" spans="1:13" s="148" customFormat="1" hidden="1" x14ac:dyDescent="0.25">
      <c r="A1383" s="400"/>
      <c r="B1383" s="398"/>
      <c r="C1383" s="398"/>
      <c r="D1383" s="405"/>
      <c r="E1383" s="398"/>
      <c r="F1383" s="395"/>
      <c r="G1383" s="396"/>
      <c r="H1383" s="399"/>
      <c r="I1383" s="395" t="s">
        <v>228</v>
      </c>
      <c r="J1383" s="397" t="s">
        <v>228</v>
      </c>
      <c r="K1383" s="398"/>
      <c r="L1383" s="404"/>
      <c r="M1383" s="400"/>
    </row>
    <row r="1384" spans="1:13" s="148" customFormat="1" hidden="1" x14ac:dyDescent="0.25">
      <c r="A1384" s="400"/>
      <c r="B1384" s="398"/>
      <c r="C1384" s="398"/>
      <c r="D1384" s="405"/>
      <c r="E1384" s="398"/>
      <c r="F1384" s="395"/>
      <c r="G1384" s="396"/>
      <c r="H1384" s="399"/>
      <c r="I1384" s="395" t="s">
        <v>228</v>
      </c>
      <c r="J1384" s="397" t="s">
        <v>228</v>
      </c>
      <c r="K1384" s="398"/>
      <c r="L1384" s="404"/>
      <c r="M1384" s="400"/>
    </row>
    <row r="1385" spans="1:13" s="148" customFormat="1" hidden="1" x14ac:dyDescent="0.25">
      <c r="A1385" s="400"/>
      <c r="B1385" s="398"/>
      <c r="C1385" s="398"/>
      <c r="D1385" s="405"/>
      <c r="E1385" s="398"/>
      <c r="F1385" s="395"/>
      <c r="G1385" s="396"/>
      <c r="H1385" s="399"/>
      <c r="I1385" s="395" t="s">
        <v>228</v>
      </c>
      <c r="J1385" s="397" t="s">
        <v>228</v>
      </c>
      <c r="K1385" s="398"/>
      <c r="L1385" s="404"/>
      <c r="M1385" s="400"/>
    </row>
    <row r="1386" spans="1:13" s="148" customFormat="1" hidden="1" x14ac:dyDescent="0.25">
      <c r="A1386" s="400"/>
      <c r="B1386" s="398"/>
      <c r="C1386" s="398"/>
      <c r="D1386" s="405"/>
      <c r="E1386" s="398"/>
      <c r="F1386" s="395"/>
      <c r="G1386" s="396"/>
      <c r="H1386" s="399"/>
      <c r="I1386" s="395" t="s">
        <v>228</v>
      </c>
      <c r="J1386" s="397" t="s">
        <v>228</v>
      </c>
      <c r="K1386" s="398"/>
      <c r="L1386" s="404"/>
      <c r="M1386" s="400"/>
    </row>
    <row r="1387" spans="1:13" s="148" customFormat="1" hidden="1" x14ac:dyDescent="0.25">
      <c r="A1387" s="400"/>
      <c r="B1387" s="398"/>
      <c r="C1387" s="398"/>
      <c r="D1387" s="405"/>
      <c r="E1387" s="398"/>
      <c r="F1387" s="395"/>
      <c r="G1387" s="396"/>
      <c r="H1387" s="399"/>
      <c r="I1387" s="395" t="s">
        <v>228</v>
      </c>
      <c r="J1387" s="397" t="s">
        <v>228</v>
      </c>
      <c r="K1387" s="398"/>
      <c r="L1387" s="404"/>
      <c r="M1387" s="400"/>
    </row>
    <row r="1388" spans="1:13" s="148" customFormat="1" hidden="1" x14ac:dyDescent="0.25">
      <c r="A1388" s="400"/>
      <c r="B1388" s="398"/>
      <c r="C1388" s="398"/>
      <c r="D1388" s="405"/>
      <c r="E1388" s="398"/>
      <c r="F1388" s="395"/>
      <c r="G1388" s="396"/>
      <c r="H1388" s="399"/>
      <c r="I1388" s="395" t="s">
        <v>228</v>
      </c>
      <c r="J1388" s="397" t="s">
        <v>228</v>
      </c>
      <c r="K1388" s="398"/>
      <c r="L1388" s="404"/>
      <c r="M1388" s="400"/>
    </row>
    <row r="1389" spans="1:13" s="148" customFormat="1" hidden="1" x14ac:dyDescent="0.25">
      <c r="A1389" s="400"/>
      <c r="B1389"/>
      <c r="C1389" s="398"/>
      <c r="D1389" s="405"/>
      <c r="E1389" s="398"/>
      <c r="F1389" s="395"/>
      <c r="G1389" s="396"/>
      <c r="H1389" s="399"/>
      <c r="I1389" s="395" t="s">
        <v>228</v>
      </c>
      <c r="J1389" s="397" t="s">
        <v>228</v>
      </c>
      <c r="K1389" s="398"/>
      <c r="L1389" s="404"/>
      <c r="M1389" s="400"/>
    </row>
  </sheetData>
  <sheetProtection autoFilter="0"/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054FB7872EE9439ED1E3E0DE7D5857" ma:contentTypeVersion="7" ma:contentTypeDescription="Create a new document." ma:contentTypeScope="" ma:versionID="9dfe997567921bb74eaf8bbbd0492b99">
  <xsd:schema xmlns:xsd="http://www.w3.org/2001/XMLSchema" xmlns:xs="http://www.w3.org/2001/XMLSchema" xmlns:p="http://schemas.microsoft.com/office/2006/metadata/properties" xmlns:ns2="ad94d93c-fc34-41ae-a51a-fa68ae508215" targetNamespace="http://schemas.microsoft.com/office/2006/metadata/properties" ma:root="true" ma:fieldsID="dad423934d31cf9b6780792fce330d65" ns2:_="">
    <xsd:import namespace="ad94d93c-fc34-41ae-a51a-fa68ae508215"/>
    <xsd:element name="properties">
      <xsd:complexType>
        <xsd:sequence>
          <xsd:element name="documentManagement">
            <xsd:complexType>
              <xsd:all>
                <xsd:element ref="ns2:Original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94d93c-fc34-41ae-a51a-fa68ae508215" elementFormDefault="qualified">
    <xsd:import namespace="http://schemas.microsoft.com/office/2006/documentManagement/types"/>
    <xsd:import namespace="http://schemas.microsoft.com/office/infopath/2007/PartnerControls"/>
    <xsd:element name="OriginalID" ma:index="8" nillable="true" ma:displayName="OriginalID" ma:decimals="0" ma:internalName="OriginalID">
      <xsd:simpleType>
        <xsd:restriction base="dms:Number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iginalID xmlns="ad94d93c-fc34-41ae-a51a-fa68ae508215" xsi:nil="true"/>
  </documentManagement>
</p:properties>
</file>

<file path=customXml/itemProps1.xml><?xml version="1.0" encoding="utf-8"?>
<ds:datastoreItem xmlns:ds="http://schemas.openxmlformats.org/officeDocument/2006/customXml" ds:itemID="{FCBA46B1-A3E2-4CC4-8903-A53EF5543C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d94d93c-fc34-41ae-a51a-fa68ae5082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55DEDCD-61BD-4CB4-82D2-F72340C08C1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660D708-F254-4BFC-83A2-9090D304058D}">
  <ds:schemaRefs>
    <ds:schemaRef ds:uri="http://schemas.microsoft.com/office/2006/documentManagement/types"/>
    <ds:schemaRef ds:uri="http://schemas.microsoft.com/office/infopath/2007/PartnerControls"/>
    <ds:schemaRef ds:uri="ad94d93c-fc34-41ae-a51a-fa68ae508215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15</vt:i4>
      </vt:variant>
    </vt:vector>
  </HeadingPairs>
  <TitlesOfParts>
    <vt:vector size="38" baseType="lpstr">
      <vt:lpstr>Individual Schedule</vt:lpstr>
      <vt:lpstr>RTA</vt:lpstr>
      <vt:lpstr>Summary</vt:lpstr>
      <vt:lpstr>Template</vt:lpstr>
      <vt:lpstr>Fri 03.20</vt:lpstr>
      <vt:lpstr>Sat 03.21</vt:lpstr>
      <vt:lpstr>Sun 03.22</vt:lpstr>
      <vt:lpstr>Mon 03.23</vt:lpstr>
      <vt:lpstr>Tue 03.24</vt:lpstr>
      <vt:lpstr>Wed 03.25</vt:lpstr>
      <vt:lpstr>Thu 03.26</vt:lpstr>
      <vt:lpstr>Fri 03.27</vt:lpstr>
      <vt:lpstr>Sat 03.28</vt:lpstr>
      <vt:lpstr>Sun 03.29</vt:lpstr>
      <vt:lpstr>Mon 03.30</vt:lpstr>
      <vt:lpstr>Tue 03.31</vt:lpstr>
      <vt:lpstr>Wed 04.01</vt:lpstr>
      <vt:lpstr>Thu 04.02</vt:lpstr>
      <vt:lpstr>Base Schedules</vt:lpstr>
      <vt:lpstr>Other Scheduled Events</vt:lpstr>
      <vt:lpstr>rpt tools</vt:lpstr>
      <vt:lpstr>Interview</vt:lpstr>
      <vt:lpstr>Project Time</vt:lpstr>
      <vt:lpstr>Day_1</vt:lpstr>
      <vt:lpstr>Day_10</vt:lpstr>
      <vt:lpstr>Day_11</vt:lpstr>
      <vt:lpstr>Day_12</vt:lpstr>
      <vt:lpstr>Day_13</vt:lpstr>
      <vt:lpstr>Day_14</vt:lpstr>
      <vt:lpstr>Day_2</vt:lpstr>
      <vt:lpstr>Day_3</vt:lpstr>
      <vt:lpstr>Day_4</vt:lpstr>
      <vt:lpstr>Day_5</vt:lpstr>
      <vt:lpstr>Day_6</vt:lpstr>
      <vt:lpstr>Day_7</vt:lpstr>
      <vt:lpstr>Day_8</vt:lpstr>
      <vt:lpstr>Day_9</vt:lpstr>
      <vt:lpstr>'Individual Schedule'!Print_Area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>Updated Joels (lead) schedule due to mini bid;Updated Angelica losing Joel and Mike gaining</cp:keywords>
  <cp:lastModifiedBy/>
  <dcterms:created xsi:type="dcterms:W3CDTF">2016-12-15T20:19:38Z</dcterms:created>
  <dcterms:modified xsi:type="dcterms:W3CDTF">2020-03-20T22:29:11Z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0x010100FF054FB7872EE9439ED1E3E0DE7D5857</vt:lpwstr>
  </property>
  <property fmtid="{D5CDD505-2E9C-101B-9397-08002B2CF9AE}" pid="3" name="SV_QUERY_LIST_4F35BF76-6C0D-4D9B-82B2-816C12CF3733">
    <vt:lpwstr>empty_477D106A-C0D6-4607-AEBD-E2C9D60EA279</vt:lpwstr>
  </property>
</Properties>
</file>